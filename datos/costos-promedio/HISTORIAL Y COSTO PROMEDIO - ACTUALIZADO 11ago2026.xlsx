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8000" tabRatio="500" firstSheet="0" activeTab="0" autoFilterDateGrouping="1"/>
  </bookViews>
  <sheets>
    <sheet name="COSTO PROMEDIO x SKU" sheetId="1" state="visible" r:id="rId1"/>
    <sheet name="DETALLE CRONOLÓGICO" sheetId="2" state="visible" r:id="rId2"/>
    <sheet name="COSTO POR MES" sheetId="3" state="visible" r:id="rId3"/>
    <sheet name="SIN HISTORIAL DE PRECIO" sheetId="4" state="visible" r:id="rId4"/>
  </sheets>
  <definedNames>
    <definedName name="_xlnm._FilterDatabase" localSheetId="0" hidden="1">'COSTO PROMEDIO x SKU'!$A$1:$V$2224</definedName>
    <definedName name="_xlnm._FilterDatabase" localSheetId="1" hidden="1">'DETALLE CRONOLÓGICO'!$A$1:$N$4919</definedName>
    <definedName name="_xlnm._FilterDatabase" localSheetId="2" hidden="1">'COSTO POR MES'!$A$3:$N$2226</definedName>
    <definedName name="_xlnm._FilterDatabase" localSheetId="3" hidden="1">'SIN HISTORIAL DE PRECIO'!$A$3:$H$1018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4" formatCode="\$#,##0.00"/>
    <numFmt numFmtId="165" formatCode="\+0.0%;\-0.0%;0.0%"/>
    <numFmt numFmtId="166" formatCode="0.00\x"/>
  </numFmts>
  <fonts count="5">
    <font>
      <name val="Calibri"/>
      <charset val="1"/>
      <family val="2"/>
      <color theme="1"/>
      <sz val="11"/>
    </font>
    <font>
      <name val="Arial"/>
      <family val="2"/>
      <sz val="10"/>
    </font>
    <font>
      <name val="Arial"/>
      <family val="2"/>
      <b val="1"/>
      <color rgb="FF2E5C8A"/>
      <sz val="11"/>
    </font>
    <font>
      <name val="Arial"/>
      <family val="2"/>
      <b val="1"/>
      <color rgb="FFFFFFFF"/>
      <sz val="10"/>
    </font>
    <font>
      <name val="Arial"/>
      <family val="2"/>
      <b val="1"/>
      <sz val="10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3" fontId="1" fillId="0" borderId="0" pivotButton="0" quotePrefix="0" xfId="0"/>
    <xf numFmtId="164" fontId="4" fillId="3" borderId="0" pivotButton="0" quotePrefix="0" xfId="0"/>
    <xf numFmtId="164" fontId="1" fillId="0" borderId="0" pivotButton="0" quotePrefix="0" xfId="0"/>
    <xf numFmtId="165" fontId="1" fillId="0" borderId="0" pivotButton="0" quotePrefix="0" xfId="0"/>
    <xf numFmtId="166" fontId="1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/>
  </cellStyles>
  <dxfs count="4"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C8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24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1" sqref="A1"/>
    </sheetView>
  </sheetViews>
  <sheetFormatPr baseColWidth="10" defaultColWidth="8.6640625" defaultRowHeight="15"/>
  <cols>
    <col width="17" customWidth="1" min="1" max="1"/>
    <col width="42" customWidth="1" min="2" max="2"/>
    <col width="28" customWidth="1" min="3" max="3"/>
    <col width="18" customWidth="1" min="4" max="4"/>
    <col width="11" customWidth="1" min="5" max="6"/>
    <col width="13" customWidth="1" min="7" max="8"/>
    <col width="20" customWidth="1" min="9" max="9"/>
    <col width="19" customWidth="1" min="10" max="10"/>
    <col width="13" customWidth="1" min="11" max="13"/>
    <col width="15" customWidth="1" min="14" max="14"/>
    <col width="13" customWidth="1" min="15" max="15"/>
    <col width="15" customWidth="1" min="16" max="16"/>
    <col width="14" customWidth="1" min="17" max="17"/>
    <col width="16" customWidth="1" min="18" max="18"/>
    <col width="9" customWidth="1" min="19" max="19"/>
    <col width="16" customWidth="1" min="20" max="20"/>
    <col width="12" customWidth="1" min="21" max="21"/>
    <col width="14" customWidth="1" min="22" max="22"/>
  </cols>
  <sheetData>
    <row r="1" ht="31.5" customHeight="1">
      <c r="A1" s="3" t="inlineStr">
        <is>
          <t>SKU</t>
        </is>
      </c>
      <c r="B1" s="3" t="inlineStr">
        <is>
          <t>PRODUCTO</t>
        </is>
      </c>
      <c r="C1" s="3" t="inlineStr">
        <is>
          <t>VARIANTE</t>
        </is>
      </c>
      <c r="D1" s="3" t="inlineStr">
        <is>
          <t>PROVEEDOR(ES)</t>
        </is>
      </c>
      <c r="E1" s="3" t="inlineStr">
        <is>
          <t>No. DE COMPRAS</t>
        </is>
      </c>
      <c r="F1" s="3" t="inlineStr">
        <is>
          <t>PIEZAS COMPRADAS</t>
        </is>
      </c>
      <c r="G1" s="3" t="inlineStr">
        <is>
          <t>PRIMERA COMPRA</t>
        </is>
      </c>
      <c r="H1" s="3" t="inlineStr">
        <is>
          <t>ÚLTIMA COMPRA</t>
        </is>
      </c>
      <c r="I1" s="3" t="inlineStr">
        <is>
          <t>COSTO PROMEDIO PONDERADO (MXN)</t>
        </is>
      </c>
      <c r="J1" s="3" t="inlineStr">
        <is>
          <t>COSTO PROMEDIO SIMPLE (MXN)</t>
        </is>
      </c>
      <c r="K1" s="3" t="inlineStr">
        <is>
          <t>COSTO MÍNIMO</t>
        </is>
      </c>
      <c r="L1" s="3" t="inlineStr">
        <is>
          <t>COSTO MÁXIMO</t>
        </is>
      </c>
      <c r="M1" s="3" t="inlineStr">
        <is>
          <t>ÚLTIMO COSTO</t>
        </is>
      </c>
      <c r="N1" s="3" t="inlineStr">
        <is>
          <t>VARIACIÓN 1er vs ÚLTIMO</t>
        </is>
      </c>
      <c r="O1" s="3" t="inlineStr">
        <is>
          <t>ROAS 3 SUGERIDO</t>
        </is>
      </c>
      <c r="P1" s="3" t="inlineStr">
        <is>
          <t>ROAS 3.5 SUGERIDO</t>
        </is>
      </c>
      <c r="Q1" s="3" t="inlineStr">
        <is>
          <t>ROAS 4 SUGERIDO</t>
        </is>
      </c>
      <c r="R1" s="3" t="inlineStr">
        <is>
          <t>PRECIO EN SHOPIFY HOY</t>
        </is>
      </c>
      <c r="S1" s="3" t="inlineStr">
        <is>
          <t>STOCK HOY</t>
        </is>
      </c>
      <c r="T1" s="3" t="inlineStr">
        <is>
          <t>ESTATUS SHOPIFY</t>
        </is>
      </c>
      <c r="U1" s="3" t="inlineStr">
        <is>
          <t>ROAS REAL HOY</t>
        </is>
      </c>
      <c r="V1" s="3" t="inlineStr">
        <is>
          <t>SEMÁFORO</t>
        </is>
      </c>
    </row>
    <row r="2">
      <c r="A2" s="1" t="inlineStr">
        <is>
          <t>10065591041229</t>
        </is>
      </c>
      <c r="B2" s="1" t="inlineStr">
        <is>
          <t>TRAJE DE BAÑO COMPLETO TRIOMPHE</t>
        </is>
      </c>
      <c r="C2" s="1" t="inlineStr">
        <is>
          <t>M</t>
        </is>
      </c>
      <c r="D2" s="1" t="inlineStr">
        <is>
          <t>ZOEY</t>
        </is>
      </c>
      <c r="E2" s="4">
        <f>COUNTIF('DETALLE CRONOLÓGICO'!$A$2:$A$4919,$A2)</f>
        <v/>
      </c>
      <c r="F2" s="4">
        <f>SUMIFS('DETALLE CRONOLÓGICO'!$I$2:$I$4919,'DETALLE CRONOLÓGICO'!$A$2:$A$4919,$A2)</f>
        <v/>
      </c>
      <c r="G2" s="1">
        <f>INDEX('DETALLE CRONOLÓGICO'!$D$2:$D$4919,MATCH($A2,'DETALLE CRONOLÓGICO'!$A$2:$A$4919,0))</f>
        <v/>
      </c>
      <c r="H2" s="1">
        <f>INDEX('DETALLE CRONOLÓGICO'!$D$2:$D$4919,MATCH($A2,'DETALLE CRONOLÓGICO'!$A$2:$A$4919,0)+$E2-1)</f>
        <v/>
      </c>
      <c r="I2" s="5">
        <f>IFERROR(SUMIFS('DETALLE CRONOLÓGICO'!$L$2:$L$4919,'DETALLE CRONOLÓGICO'!$A$2:$A$4919,$A2)/$F2,"")</f>
        <v/>
      </c>
      <c r="J2" s="6">
        <f>IFERROR(SUMIFS('DETALLE CRONOLÓGICO'!$K$2:$K$4919,'DETALLE CRONOLÓGICO'!$A$2:$A$4919,$A2)/$E2,"")</f>
        <v/>
      </c>
      <c r="K2" s="6">
        <f>_xlfn.MINIFS('DETALLE CRONOLÓGICO'!$K$2:$K$4919,'DETALLE CRONOLÓGICO'!$A$2:$A$4919,$A2)</f>
        <v/>
      </c>
      <c r="L2" s="6">
        <f>_xlfn.MAXIFS('DETALLE CRONOLÓGICO'!$K$2:$K$4919,'DETALLE CRONOLÓGICO'!$A$2:$A$4919,$A2)</f>
        <v/>
      </c>
      <c r="M2" s="6">
        <f>INDEX('DETALLE CRONOLÓGICO'!$K$2:$K$4919,MATCH($A2,'DETALLE CRONOLÓGICO'!$A$2:$A$4919,0)+$E2-1)</f>
        <v/>
      </c>
      <c r="N2" s="7">
        <f>IFERROR($M2/INDEX('DETALLE CRONOLÓGICO'!$K$2:$K$4919,MATCH($A2,'DETALLE CRONOLÓGICO'!$A$2:$A$4919,0))-1,"")</f>
        <v/>
      </c>
      <c r="O2" s="6">
        <f>IFERROR($I2*3,"")</f>
        <v/>
      </c>
      <c r="P2" s="6">
        <f>IFERROR($I2*3.5,"")</f>
        <v/>
      </c>
      <c r="Q2" s="6">
        <f>IFERROR($I2*4,"")</f>
        <v/>
      </c>
      <c r="R2" s="6" t="n">
        <v>2499</v>
      </c>
      <c r="S2" s="4" t="n">
        <v>3</v>
      </c>
      <c r="T2" s="1" t="inlineStr">
        <is>
          <t>active</t>
        </is>
      </c>
      <c r="U2" s="8" t="n"/>
      <c r="V2" s="1" t="inlineStr">
        <is>
          <t>SIN PRECIO</t>
        </is>
      </c>
    </row>
    <row r="3">
      <c r="A3" s="1" t="inlineStr">
        <is>
          <t>10065591106765</t>
        </is>
      </c>
      <c r="B3" s="1" t="inlineStr">
        <is>
          <t>TRAJE DE BAÑO C TRIOMPHE ALL BLACK</t>
        </is>
      </c>
      <c r="C3" s="1" t="inlineStr">
        <is>
          <t>M</t>
        </is>
      </c>
      <c r="D3" s="1" t="inlineStr">
        <is>
          <t>ZOEY</t>
        </is>
      </c>
      <c r="E3" s="4">
        <f>COUNTIF('DETALLE CRONOLÓGICO'!$A$2:$A$4919,$A3)</f>
        <v/>
      </c>
      <c r="F3" s="4">
        <f>SUMIFS('DETALLE CRONOLÓGICO'!$I$2:$I$4919,'DETALLE CRONOLÓGICO'!$A$2:$A$4919,$A3)</f>
        <v/>
      </c>
      <c r="G3" s="1">
        <f>INDEX('DETALLE CRONOLÓGICO'!$D$2:$D$4919,MATCH($A3,'DETALLE CRONOLÓGICO'!$A$2:$A$4919,0))</f>
        <v/>
      </c>
      <c r="H3" s="1">
        <f>INDEX('DETALLE CRONOLÓGICO'!$D$2:$D$4919,MATCH($A3,'DETALLE CRONOLÓGICO'!$A$2:$A$4919,0)+$E3-1)</f>
        <v/>
      </c>
      <c r="I3" s="5">
        <f>IFERROR(SUMIFS('DETALLE CRONOLÓGICO'!$L$2:$L$4919,'DETALLE CRONOLÓGICO'!$A$2:$A$4919,$A3)/$F3,"")</f>
        <v/>
      </c>
      <c r="J3" s="6">
        <f>IFERROR(SUMIFS('DETALLE CRONOLÓGICO'!$K$2:$K$4919,'DETALLE CRONOLÓGICO'!$A$2:$A$4919,$A3)/$E3,"")</f>
        <v/>
      </c>
      <c r="K3" s="6">
        <f>_xlfn.MINIFS('DETALLE CRONOLÓGICO'!$K$2:$K$4919,'DETALLE CRONOLÓGICO'!$A$2:$A$4919,$A3)</f>
        <v/>
      </c>
      <c r="L3" s="6">
        <f>_xlfn.MAXIFS('DETALLE CRONOLÓGICO'!$K$2:$K$4919,'DETALLE CRONOLÓGICO'!$A$2:$A$4919,$A3)</f>
        <v/>
      </c>
      <c r="M3" s="6">
        <f>INDEX('DETALLE CRONOLÓGICO'!$K$2:$K$4919,MATCH($A3,'DETALLE CRONOLÓGICO'!$A$2:$A$4919,0)+$E3-1)</f>
        <v/>
      </c>
      <c r="N3" s="7">
        <f>IFERROR($M3/INDEX('DETALLE CRONOLÓGICO'!$K$2:$K$4919,MATCH($A3,'DETALLE CRONOLÓGICO'!$A$2:$A$4919,0))-1,"")</f>
        <v/>
      </c>
      <c r="O3" s="6">
        <f>IFERROR($I3*3,"")</f>
        <v/>
      </c>
      <c r="P3" s="6">
        <f>IFERROR($I3*3.5,"")</f>
        <v/>
      </c>
      <c r="Q3" s="6">
        <f>IFERROR($I3*4,"")</f>
        <v/>
      </c>
      <c r="R3" s="6" t="n">
        <v>2579</v>
      </c>
      <c r="S3" s="4" t="n">
        <v>2</v>
      </c>
      <c r="T3" s="1" t="inlineStr">
        <is>
          <t>active</t>
        </is>
      </c>
      <c r="U3" s="8" t="n"/>
      <c r="V3" s="1" t="inlineStr">
        <is>
          <t>SIN PRECIO</t>
        </is>
      </c>
    </row>
    <row r="4">
      <c r="A4" s="1" t="inlineStr">
        <is>
          <t>10065591251949</t>
        </is>
      </c>
      <c r="B4" s="1" t="inlineStr">
        <is>
          <t>TRAJE DE BAÑO GC PINK</t>
        </is>
      </c>
      <c r="C4" s="1" t="inlineStr">
        <is>
          <t>M</t>
        </is>
      </c>
      <c r="D4" s="1" t="inlineStr">
        <is>
          <t>ZOEY</t>
        </is>
      </c>
      <c r="E4" s="4">
        <f>COUNTIF('DETALLE CRONOLÓGICO'!$A$2:$A$4919,$A4)</f>
        <v/>
      </c>
      <c r="F4" s="4">
        <f>SUMIFS('DETALLE CRONOLÓGICO'!$I$2:$I$4919,'DETALLE CRONOLÓGICO'!$A$2:$A$4919,$A4)</f>
        <v/>
      </c>
      <c r="G4" s="1">
        <f>INDEX('DETALLE CRONOLÓGICO'!$D$2:$D$4919,MATCH($A4,'DETALLE CRONOLÓGICO'!$A$2:$A$4919,0))</f>
        <v/>
      </c>
      <c r="H4" s="1">
        <f>INDEX('DETALLE CRONOLÓGICO'!$D$2:$D$4919,MATCH($A4,'DETALLE CRONOLÓGICO'!$A$2:$A$4919,0)+$E4-1)</f>
        <v/>
      </c>
      <c r="I4" s="5">
        <f>IFERROR(SUMIFS('DETALLE CRONOLÓGICO'!$L$2:$L$4919,'DETALLE CRONOLÓGICO'!$A$2:$A$4919,$A4)/$F4,"")</f>
        <v/>
      </c>
      <c r="J4" s="6">
        <f>IFERROR(SUMIFS('DETALLE CRONOLÓGICO'!$K$2:$K$4919,'DETALLE CRONOLÓGICO'!$A$2:$A$4919,$A4)/$E4,"")</f>
        <v/>
      </c>
      <c r="K4" s="6">
        <f>_xlfn.MINIFS('DETALLE CRONOLÓGICO'!$K$2:$K$4919,'DETALLE CRONOLÓGICO'!$A$2:$A$4919,$A4)</f>
        <v/>
      </c>
      <c r="L4" s="6">
        <f>_xlfn.MAXIFS('DETALLE CRONOLÓGICO'!$K$2:$K$4919,'DETALLE CRONOLÓGICO'!$A$2:$A$4919,$A4)</f>
        <v/>
      </c>
      <c r="M4" s="6">
        <f>INDEX('DETALLE CRONOLÓGICO'!$K$2:$K$4919,MATCH($A4,'DETALLE CRONOLÓGICO'!$A$2:$A$4919,0)+$E4-1)</f>
        <v/>
      </c>
      <c r="N4" s="7">
        <f>IFERROR($M4/INDEX('DETALLE CRONOLÓGICO'!$K$2:$K$4919,MATCH($A4,'DETALLE CRONOLÓGICO'!$A$2:$A$4919,0))-1,"")</f>
        <v/>
      </c>
      <c r="O4" s="6">
        <f>IFERROR($I4*3,"")</f>
        <v/>
      </c>
      <c r="P4" s="6">
        <f>IFERROR($I4*3.5,"")</f>
        <v/>
      </c>
      <c r="Q4" s="6">
        <f>IFERROR($I4*4,"")</f>
        <v/>
      </c>
      <c r="R4" s="6" t="n">
        <v>2579</v>
      </c>
      <c r="S4" s="4" t="n">
        <v>2</v>
      </c>
      <c r="T4" s="1" t="inlineStr">
        <is>
          <t>active</t>
        </is>
      </c>
      <c r="U4" s="8" t="n"/>
      <c r="V4" s="1" t="inlineStr">
        <is>
          <t>SIN PRECIO</t>
        </is>
      </c>
    </row>
    <row r="5">
      <c r="A5" s="1" t="inlineStr">
        <is>
          <t>10065591348557</t>
        </is>
      </c>
      <c r="B5" s="1" t="inlineStr">
        <is>
          <t>TRAJE DE BAÑO COMPLETO CD</t>
        </is>
      </c>
      <c r="C5" s="1" t="inlineStr">
        <is>
          <t>M</t>
        </is>
      </c>
      <c r="D5" s="1" t="inlineStr">
        <is>
          <t>ZOEY</t>
        </is>
      </c>
      <c r="E5" s="4">
        <f>COUNTIF('DETALLE CRONOLÓGICO'!$A$2:$A$4919,$A5)</f>
        <v/>
      </c>
      <c r="F5" s="4">
        <f>SUMIFS('DETALLE CRONOLÓGICO'!$I$2:$I$4919,'DETALLE CRONOLÓGICO'!$A$2:$A$4919,$A5)</f>
        <v/>
      </c>
      <c r="G5" s="1">
        <f>INDEX('DETALLE CRONOLÓGICO'!$D$2:$D$4919,MATCH($A5,'DETALLE CRONOLÓGICO'!$A$2:$A$4919,0))</f>
        <v/>
      </c>
      <c r="H5" s="1">
        <f>INDEX('DETALLE CRONOLÓGICO'!$D$2:$D$4919,MATCH($A5,'DETALLE CRONOLÓGICO'!$A$2:$A$4919,0)+$E5-1)</f>
        <v/>
      </c>
      <c r="I5" s="5">
        <f>IFERROR(SUMIFS('DETALLE CRONOLÓGICO'!$L$2:$L$4919,'DETALLE CRONOLÓGICO'!$A$2:$A$4919,$A5)/$F5,"")</f>
        <v/>
      </c>
      <c r="J5" s="6">
        <f>IFERROR(SUMIFS('DETALLE CRONOLÓGICO'!$K$2:$K$4919,'DETALLE CRONOLÓGICO'!$A$2:$A$4919,$A5)/$E5,"")</f>
        <v/>
      </c>
      <c r="K5" s="6">
        <f>_xlfn.MINIFS('DETALLE CRONOLÓGICO'!$K$2:$K$4919,'DETALLE CRONOLÓGICO'!$A$2:$A$4919,$A5)</f>
        <v/>
      </c>
      <c r="L5" s="6">
        <f>_xlfn.MAXIFS('DETALLE CRONOLÓGICO'!$K$2:$K$4919,'DETALLE CRONOLÓGICO'!$A$2:$A$4919,$A5)</f>
        <v/>
      </c>
      <c r="M5" s="6">
        <f>INDEX('DETALLE CRONOLÓGICO'!$K$2:$K$4919,MATCH($A5,'DETALLE CRONOLÓGICO'!$A$2:$A$4919,0)+$E5-1)</f>
        <v/>
      </c>
      <c r="N5" s="7">
        <f>IFERROR($M5/INDEX('DETALLE CRONOLÓGICO'!$K$2:$K$4919,MATCH($A5,'DETALLE CRONOLÓGICO'!$A$2:$A$4919,0))-1,"")</f>
        <v/>
      </c>
      <c r="O5" s="6">
        <f>IFERROR($I5*3,"")</f>
        <v/>
      </c>
      <c r="P5" s="6">
        <f>IFERROR($I5*3.5,"")</f>
        <v/>
      </c>
      <c r="Q5" s="6">
        <f>IFERROR($I5*4,"")</f>
        <v/>
      </c>
      <c r="R5" s="6" t="n">
        <v>2579</v>
      </c>
      <c r="S5" s="4" t="n">
        <v>0</v>
      </c>
      <c r="T5" s="1" t="inlineStr">
        <is>
          <t>active</t>
        </is>
      </c>
      <c r="U5" s="8" t="n"/>
      <c r="V5" s="1" t="inlineStr">
        <is>
          <t>SIN PRECIO</t>
        </is>
      </c>
    </row>
    <row r="6">
      <c r="A6" s="1" t="inlineStr">
        <is>
          <t>10132411046285</t>
        </is>
      </c>
      <c r="B6" s="1" t="inlineStr">
        <is>
          <t>SANDALIAS CD DIORACT BLACK</t>
        </is>
      </c>
      <c r="C6" s="1" t="inlineStr">
        <is>
          <t>38/25mx</t>
        </is>
      </c>
      <c r="D6" s="1" t="inlineStr">
        <is>
          <t>DINA DU</t>
        </is>
      </c>
      <c r="E6" s="4">
        <f>COUNTIF('DETALLE CRONOLÓGICO'!$A$2:$A$4919,$A6)</f>
        <v/>
      </c>
      <c r="F6" s="4">
        <f>SUMIFS('DETALLE CRONOLÓGICO'!$I$2:$I$4919,'DETALLE CRONOLÓGICO'!$A$2:$A$4919,$A6)</f>
        <v/>
      </c>
      <c r="G6" s="1">
        <f>INDEX('DETALLE CRONOLÓGICO'!$D$2:$D$4919,MATCH($A6,'DETALLE CRONOLÓGICO'!$A$2:$A$4919,0))</f>
        <v/>
      </c>
      <c r="H6" s="1">
        <f>INDEX('DETALLE CRONOLÓGICO'!$D$2:$D$4919,MATCH($A6,'DETALLE CRONOLÓGICO'!$A$2:$A$4919,0)+$E6-1)</f>
        <v/>
      </c>
      <c r="I6" s="5">
        <f>IFERROR(SUMIFS('DETALLE CRONOLÓGICO'!$L$2:$L$4919,'DETALLE CRONOLÓGICO'!$A$2:$A$4919,$A6)/$F6,"")</f>
        <v/>
      </c>
      <c r="J6" s="6">
        <f>IFERROR(SUMIFS('DETALLE CRONOLÓGICO'!$K$2:$K$4919,'DETALLE CRONOLÓGICO'!$A$2:$A$4919,$A6)/$E6,"")</f>
        <v/>
      </c>
      <c r="K6" s="6">
        <f>_xlfn.MINIFS('DETALLE CRONOLÓGICO'!$K$2:$K$4919,'DETALLE CRONOLÓGICO'!$A$2:$A$4919,$A6)</f>
        <v/>
      </c>
      <c r="L6" s="6">
        <f>_xlfn.MAXIFS('DETALLE CRONOLÓGICO'!$K$2:$K$4919,'DETALLE CRONOLÓGICO'!$A$2:$A$4919,$A6)</f>
        <v/>
      </c>
      <c r="M6" s="6">
        <f>INDEX('DETALLE CRONOLÓGICO'!$K$2:$K$4919,MATCH($A6,'DETALLE CRONOLÓGICO'!$A$2:$A$4919,0)+$E6-1)</f>
        <v/>
      </c>
      <c r="N6" s="7">
        <f>IFERROR($M6/INDEX('DETALLE CRONOLÓGICO'!$K$2:$K$4919,MATCH($A6,'DETALLE CRONOLÓGICO'!$A$2:$A$4919,0))-1,"")</f>
        <v/>
      </c>
      <c r="O6" s="6">
        <f>IFERROR($I6*3,"")</f>
        <v/>
      </c>
      <c r="P6" s="6">
        <f>IFERROR($I6*3.5,"")</f>
        <v/>
      </c>
      <c r="Q6" s="6">
        <f>IFERROR($I6*4,"")</f>
        <v/>
      </c>
      <c r="R6" s="6" t="n">
        <v>3789</v>
      </c>
      <c r="S6" s="4" t="n">
        <v>0</v>
      </c>
      <c r="T6" s="1" t="inlineStr">
        <is>
          <t>active</t>
        </is>
      </c>
      <c r="U6" s="8" t="n"/>
      <c r="V6" s="1" t="inlineStr">
        <is>
          <t>SIN PRECIO</t>
        </is>
      </c>
    </row>
    <row r="7">
      <c r="A7" s="1" t="inlineStr">
        <is>
          <t>10132411116909</t>
        </is>
      </c>
      <c r="B7" s="1" t="inlineStr">
        <is>
          <t>BOLSO CD SADDLE ALL BLACK</t>
        </is>
      </c>
      <c r="C7" s="1" t="inlineStr">
        <is>
          <t>Default Title</t>
        </is>
      </c>
      <c r="D7" s="1" t="inlineStr">
        <is>
          <t>DINA DU</t>
        </is>
      </c>
      <c r="E7" s="4">
        <f>COUNTIF('DETALLE CRONOLÓGICO'!$A$2:$A$4919,$A7)</f>
        <v/>
      </c>
      <c r="F7" s="4">
        <f>SUMIFS('DETALLE CRONOLÓGICO'!$I$2:$I$4919,'DETALLE CRONOLÓGICO'!$A$2:$A$4919,$A7)</f>
        <v/>
      </c>
      <c r="G7" s="1">
        <f>INDEX('DETALLE CRONOLÓGICO'!$D$2:$D$4919,MATCH($A7,'DETALLE CRONOLÓGICO'!$A$2:$A$4919,0))</f>
        <v/>
      </c>
      <c r="H7" s="1">
        <f>INDEX('DETALLE CRONOLÓGICO'!$D$2:$D$4919,MATCH($A7,'DETALLE CRONOLÓGICO'!$A$2:$A$4919,0)+$E7-1)</f>
        <v/>
      </c>
      <c r="I7" s="5">
        <f>IFERROR(SUMIFS('DETALLE CRONOLÓGICO'!$L$2:$L$4919,'DETALLE CRONOLÓGICO'!$A$2:$A$4919,$A7)/$F7,"")</f>
        <v/>
      </c>
      <c r="J7" s="6">
        <f>IFERROR(SUMIFS('DETALLE CRONOLÓGICO'!$K$2:$K$4919,'DETALLE CRONOLÓGICO'!$A$2:$A$4919,$A7)/$E7,"")</f>
        <v/>
      </c>
      <c r="K7" s="6">
        <f>_xlfn.MINIFS('DETALLE CRONOLÓGICO'!$K$2:$K$4919,'DETALLE CRONOLÓGICO'!$A$2:$A$4919,$A7)</f>
        <v/>
      </c>
      <c r="L7" s="6">
        <f>_xlfn.MAXIFS('DETALLE CRONOLÓGICO'!$K$2:$K$4919,'DETALLE CRONOLÓGICO'!$A$2:$A$4919,$A7)</f>
        <v/>
      </c>
      <c r="M7" s="6">
        <f>INDEX('DETALLE CRONOLÓGICO'!$K$2:$K$4919,MATCH($A7,'DETALLE CRONOLÓGICO'!$A$2:$A$4919,0)+$E7-1)</f>
        <v/>
      </c>
      <c r="N7" s="7">
        <f>IFERROR($M7/INDEX('DETALLE CRONOLÓGICO'!$K$2:$K$4919,MATCH($A7,'DETALLE CRONOLÓGICO'!$A$2:$A$4919,0))-1,"")</f>
        <v/>
      </c>
      <c r="O7" s="6">
        <f>IFERROR($I7*3,"")</f>
        <v/>
      </c>
      <c r="P7" s="6">
        <f>IFERROR($I7*3.5,"")</f>
        <v/>
      </c>
      <c r="Q7" s="6">
        <f>IFERROR($I7*4,"")</f>
        <v/>
      </c>
      <c r="R7" s="6" t="n">
        <v>5999</v>
      </c>
      <c r="S7" s="4" t="n">
        <v>1</v>
      </c>
      <c r="T7" s="1" t="inlineStr">
        <is>
          <t>active</t>
        </is>
      </c>
      <c r="U7" s="8" t="n"/>
      <c r="V7" s="1" t="inlineStr">
        <is>
          <t>SIN PRECIO</t>
        </is>
      </c>
    </row>
    <row r="8">
      <c r="A8" s="1" t="inlineStr">
        <is>
          <t>10132411251373</t>
        </is>
      </c>
      <c r="B8" s="1" t="inlineStr">
        <is>
          <t>BOLSO CD BOW BURGUNDY</t>
        </is>
      </c>
      <c r="C8" s="1" t="inlineStr">
        <is>
          <t>Default Title</t>
        </is>
      </c>
      <c r="D8" s="1" t="inlineStr">
        <is>
          <t>DINA DU</t>
        </is>
      </c>
      <c r="E8" s="4">
        <f>COUNTIF('DETALLE CRONOLÓGICO'!$A$2:$A$4919,$A8)</f>
        <v/>
      </c>
      <c r="F8" s="4">
        <f>SUMIFS('DETALLE CRONOLÓGICO'!$I$2:$I$4919,'DETALLE CRONOLÓGICO'!$A$2:$A$4919,$A8)</f>
        <v/>
      </c>
      <c r="G8" s="1">
        <f>INDEX('DETALLE CRONOLÓGICO'!$D$2:$D$4919,MATCH($A8,'DETALLE CRONOLÓGICO'!$A$2:$A$4919,0))</f>
        <v/>
      </c>
      <c r="H8" s="1">
        <f>INDEX('DETALLE CRONOLÓGICO'!$D$2:$D$4919,MATCH($A8,'DETALLE CRONOLÓGICO'!$A$2:$A$4919,0)+$E8-1)</f>
        <v/>
      </c>
      <c r="I8" s="5">
        <f>IFERROR(SUMIFS('DETALLE CRONOLÓGICO'!$L$2:$L$4919,'DETALLE CRONOLÓGICO'!$A$2:$A$4919,$A8)/$F8,"")</f>
        <v/>
      </c>
      <c r="J8" s="6">
        <f>IFERROR(SUMIFS('DETALLE CRONOLÓGICO'!$K$2:$K$4919,'DETALLE CRONOLÓGICO'!$A$2:$A$4919,$A8)/$E8,"")</f>
        <v/>
      </c>
      <c r="K8" s="6">
        <f>_xlfn.MINIFS('DETALLE CRONOLÓGICO'!$K$2:$K$4919,'DETALLE CRONOLÓGICO'!$A$2:$A$4919,$A8)</f>
        <v/>
      </c>
      <c r="L8" s="6">
        <f>_xlfn.MAXIFS('DETALLE CRONOLÓGICO'!$K$2:$K$4919,'DETALLE CRONOLÓGICO'!$A$2:$A$4919,$A8)</f>
        <v/>
      </c>
      <c r="M8" s="6">
        <f>INDEX('DETALLE CRONOLÓGICO'!$K$2:$K$4919,MATCH($A8,'DETALLE CRONOLÓGICO'!$A$2:$A$4919,0)+$E8-1)</f>
        <v/>
      </c>
      <c r="N8" s="7">
        <f>IFERROR($M8/INDEX('DETALLE CRONOLÓGICO'!$K$2:$K$4919,MATCH($A8,'DETALLE CRONOLÓGICO'!$A$2:$A$4919,0))-1,"")</f>
        <v/>
      </c>
      <c r="O8" s="6">
        <f>IFERROR($I8*3,"")</f>
        <v/>
      </c>
      <c r="P8" s="6">
        <f>IFERROR($I8*3.5,"")</f>
        <v/>
      </c>
      <c r="Q8" s="6">
        <f>IFERROR($I8*4,"")</f>
        <v/>
      </c>
      <c r="R8" s="6" t="n">
        <v>6720.51</v>
      </c>
      <c r="S8" s="4" t="n">
        <v>1</v>
      </c>
      <c r="T8" s="1" t="inlineStr">
        <is>
          <t>active</t>
        </is>
      </c>
      <c r="U8" s="8" t="n"/>
      <c r="V8" s="1" t="inlineStr">
        <is>
          <t>SIN PRECIO</t>
        </is>
      </c>
    </row>
    <row r="9">
      <c r="A9" s="1" t="inlineStr">
        <is>
          <t>10132411318605</t>
        </is>
      </c>
      <c r="B9" s="1" t="inlineStr">
        <is>
          <t>BOLSO CD BOW BLACK</t>
        </is>
      </c>
      <c r="C9" s="1" t="inlineStr">
        <is>
          <t>Default Title</t>
        </is>
      </c>
      <c r="D9" s="1" t="inlineStr">
        <is>
          <t>DINA DU</t>
        </is>
      </c>
      <c r="E9" s="4">
        <f>COUNTIF('DETALLE CRONOLÓGICO'!$A$2:$A$4919,$A9)</f>
        <v/>
      </c>
      <c r="F9" s="4">
        <f>SUMIFS('DETALLE CRONOLÓGICO'!$I$2:$I$4919,'DETALLE CRONOLÓGICO'!$A$2:$A$4919,$A9)</f>
        <v/>
      </c>
      <c r="G9" s="1">
        <f>INDEX('DETALLE CRONOLÓGICO'!$D$2:$D$4919,MATCH($A9,'DETALLE CRONOLÓGICO'!$A$2:$A$4919,0))</f>
        <v/>
      </c>
      <c r="H9" s="1">
        <f>INDEX('DETALLE CRONOLÓGICO'!$D$2:$D$4919,MATCH($A9,'DETALLE CRONOLÓGICO'!$A$2:$A$4919,0)+$E9-1)</f>
        <v/>
      </c>
      <c r="I9" s="5">
        <f>IFERROR(SUMIFS('DETALLE CRONOLÓGICO'!$L$2:$L$4919,'DETALLE CRONOLÓGICO'!$A$2:$A$4919,$A9)/$F9,"")</f>
        <v/>
      </c>
      <c r="J9" s="6">
        <f>IFERROR(SUMIFS('DETALLE CRONOLÓGICO'!$K$2:$K$4919,'DETALLE CRONOLÓGICO'!$A$2:$A$4919,$A9)/$E9,"")</f>
        <v/>
      </c>
      <c r="K9" s="6">
        <f>_xlfn.MINIFS('DETALLE CRONOLÓGICO'!$K$2:$K$4919,'DETALLE CRONOLÓGICO'!$A$2:$A$4919,$A9)</f>
        <v/>
      </c>
      <c r="L9" s="6">
        <f>_xlfn.MAXIFS('DETALLE CRONOLÓGICO'!$K$2:$K$4919,'DETALLE CRONOLÓGICO'!$A$2:$A$4919,$A9)</f>
        <v/>
      </c>
      <c r="M9" s="6">
        <f>INDEX('DETALLE CRONOLÓGICO'!$K$2:$K$4919,MATCH($A9,'DETALLE CRONOLÓGICO'!$A$2:$A$4919,0)+$E9-1)</f>
        <v/>
      </c>
      <c r="N9" s="7">
        <f>IFERROR($M9/INDEX('DETALLE CRONOLÓGICO'!$K$2:$K$4919,MATCH($A9,'DETALLE CRONOLÓGICO'!$A$2:$A$4919,0))-1,"")</f>
        <v/>
      </c>
      <c r="O9" s="6">
        <f>IFERROR($I9*3,"")</f>
        <v/>
      </c>
      <c r="P9" s="6">
        <f>IFERROR($I9*3.5,"")</f>
        <v/>
      </c>
      <c r="Q9" s="6">
        <f>IFERROR($I9*4,"")</f>
        <v/>
      </c>
      <c r="R9" s="6" t="n">
        <v>6720.51</v>
      </c>
      <c r="S9" s="4" t="n">
        <v>0</v>
      </c>
      <c r="T9" s="1" t="inlineStr">
        <is>
          <t>active</t>
        </is>
      </c>
      <c r="U9" s="8" t="n"/>
      <c r="V9" s="1" t="inlineStr">
        <is>
          <t>SIN PRECIO</t>
        </is>
      </c>
    </row>
    <row r="10">
      <c r="A10" s="1" t="inlineStr">
        <is>
          <t>10132411463245</t>
        </is>
      </c>
      <c r="B10" s="1" t="inlineStr">
        <is>
          <t>GORRO F LOGOS</t>
        </is>
      </c>
      <c r="C10" s="1" t="inlineStr">
        <is>
          <t>Default Title</t>
        </is>
      </c>
      <c r="D10" s="1" t="inlineStr">
        <is>
          <t>DINA DU</t>
        </is>
      </c>
      <c r="E10" s="4">
        <f>COUNTIF('DETALLE CRONOLÓGICO'!$A$2:$A$4919,$A10)</f>
        <v/>
      </c>
      <c r="F10" s="4">
        <f>SUMIFS('DETALLE CRONOLÓGICO'!$I$2:$I$4919,'DETALLE CRONOLÓGICO'!$A$2:$A$4919,$A10)</f>
        <v/>
      </c>
      <c r="G10" s="1">
        <f>INDEX('DETALLE CRONOLÓGICO'!$D$2:$D$4919,MATCH($A10,'DETALLE CRONOLÓGICO'!$A$2:$A$4919,0))</f>
        <v/>
      </c>
      <c r="H10" s="1">
        <f>INDEX('DETALLE CRONOLÓGICO'!$D$2:$D$4919,MATCH($A10,'DETALLE CRONOLÓGICO'!$A$2:$A$4919,0)+$E10-1)</f>
        <v/>
      </c>
      <c r="I10" s="5">
        <f>IFERROR(SUMIFS('DETALLE CRONOLÓGICO'!$L$2:$L$4919,'DETALLE CRONOLÓGICO'!$A$2:$A$4919,$A10)/$F10,"")</f>
        <v/>
      </c>
      <c r="J10" s="6">
        <f>IFERROR(SUMIFS('DETALLE CRONOLÓGICO'!$K$2:$K$4919,'DETALLE CRONOLÓGICO'!$A$2:$A$4919,$A10)/$E10,"")</f>
        <v/>
      </c>
      <c r="K10" s="6">
        <f>_xlfn.MINIFS('DETALLE CRONOLÓGICO'!$K$2:$K$4919,'DETALLE CRONOLÓGICO'!$A$2:$A$4919,$A10)</f>
        <v/>
      </c>
      <c r="L10" s="6">
        <f>_xlfn.MAXIFS('DETALLE CRONOLÓGICO'!$K$2:$K$4919,'DETALLE CRONOLÓGICO'!$A$2:$A$4919,$A10)</f>
        <v/>
      </c>
      <c r="M10" s="6">
        <f>INDEX('DETALLE CRONOLÓGICO'!$K$2:$K$4919,MATCH($A10,'DETALLE CRONOLÓGICO'!$A$2:$A$4919,0)+$E10-1)</f>
        <v/>
      </c>
      <c r="N10" s="7">
        <f>IFERROR($M10/INDEX('DETALLE CRONOLÓGICO'!$K$2:$K$4919,MATCH($A10,'DETALLE CRONOLÓGICO'!$A$2:$A$4919,0))-1,"")</f>
        <v/>
      </c>
      <c r="O10" s="6">
        <f>IFERROR($I10*3,"")</f>
        <v/>
      </c>
      <c r="P10" s="6">
        <f>IFERROR($I10*3.5,"")</f>
        <v/>
      </c>
      <c r="Q10" s="6">
        <f>IFERROR($I10*4,"")</f>
        <v/>
      </c>
      <c r="R10" s="6" t="n">
        <v>1089</v>
      </c>
      <c r="S10" s="4" t="n">
        <v>0</v>
      </c>
      <c r="T10" s="1" t="inlineStr">
        <is>
          <t>active</t>
        </is>
      </c>
      <c r="U10" s="8" t="n"/>
      <c r="V10" s="1" t="inlineStr">
        <is>
          <t>SIN PRECIO</t>
        </is>
      </c>
    </row>
    <row r="11">
      <c r="A11" s="1" t="inlineStr">
        <is>
          <t>10132411501101</t>
        </is>
      </c>
      <c r="B11" s="1" t="inlineStr">
        <is>
          <t>CARTERA F GRAPHY WHITE</t>
        </is>
      </c>
      <c r="C11" s="1" t="inlineStr">
        <is>
          <t>Default Title</t>
        </is>
      </c>
      <c r="D11" s="1" t="inlineStr">
        <is>
          <t>DINA DU</t>
        </is>
      </c>
      <c r="E11" s="4">
        <f>COUNTIF('DETALLE CRONOLÓGICO'!$A$2:$A$4919,$A11)</f>
        <v/>
      </c>
      <c r="F11" s="4">
        <f>SUMIFS('DETALLE CRONOLÓGICO'!$I$2:$I$4919,'DETALLE CRONOLÓGICO'!$A$2:$A$4919,$A11)</f>
        <v/>
      </c>
      <c r="G11" s="1">
        <f>INDEX('DETALLE CRONOLÓGICO'!$D$2:$D$4919,MATCH($A11,'DETALLE CRONOLÓGICO'!$A$2:$A$4919,0))</f>
        <v/>
      </c>
      <c r="H11" s="1">
        <f>INDEX('DETALLE CRONOLÓGICO'!$D$2:$D$4919,MATCH($A11,'DETALLE CRONOLÓGICO'!$A$2:$A$4919,0)+$E11-1)</f>
        <v/>
      </c>
      <c r="I11" s="5">
        <f>IFERROR(SUMIFS('DETALLE CRONOLÓGICO'!$L$2:$L$4919,'DETALLE CRONOLÓGICO'!$A$2:$A$4919,$A11)/$F11,"")</f>
        <v/>
      </c>
      <c r="J11" s="6">
        <f>IFERROR(SUMIFS('DETALLE CRONOLÓGICO'!$K$2:$K$4919,'DETALLE CRONOLÓGICO'!$A$2:$A$4919,$A11)/$E11,"")</f>
        <v/>
      </c>
      <c r="K11" s="6">
        <f>_xlfn.MINIFS('DETALLE CRONOLÓGICO'!$K$2:$K$4919,'DETALLE CRONOLÓGICO'!$A$2:$A$4919,$A11)</f>
        <v/>
      </c>
      <c r="L11" s="6">
        <f>_xlfn.MAXIFS('DETALLE CRONOLÓGICO'!$K$2:$K$4919,'DETALLE CRONOLÓGICO'!$A$2:$A$4919,$A11)</f>
        <v/>
      </c>
      <c r="M11" s="6">
        <f>INDEX('DETALLE CRONOLÓGICO'!$K$2:$K$4919,MATCH($A11,'DETALLE CRONOLÓGICO'!$A$2:$A$4919,0)+$E11-1)</f>
        <v/>
      </c>
      <c r="N11" s="7">
        <f>IFERROR($M11/INDEX('DETALLE CRONOLÓGICO'!$K$2:$K$4919,MATCH($A11,'DETALLE CRONOLÓGICO'!$A$2:$A$4919,0))-1,"")</f>
        <v/>
      </c>
      <c r="O11" s="6">
        <f>IFERROR($I11*3,"")</f>
        <v/>
      </c>
      <c r="P11" s="6">
        <f>IFERROR($I11*3.5,"")</f>
        <v/>
      </c>
      <c r="Q11" s="6">
        <f>IFERROR($I11*4,"")</f>
        <v/>
      </c>
      <c r="R11" s="6" t="n">
        <v>4300</v>
      </c>
      <c r="S11" s="4" t="n">
        <v>2</v>
      </c>
      <c r="T11" s="1" t="inlineStr">
        <is>
          <t>active</t>
        </is>
      </c>
      <c r="U11" s="8" t="n"/>
      <c r="V11" s="1" t="inlineStr">
        <is>
          <t>SIN PRECIO</t>
        </is>
      </c>
    </row>
    <row r="12">
      <c r="A12" s="1" t="inlineStr">
        <is>
          <t>10132411606189</t>
        </is>
      </c>
      <c r="B12" s="1" t="inlineStr">
        <is>
          <t>CARTERA F BAGUETTE MINI</t>
        </is>
      </c>
      <c r="C12" s="1" t="inlineStr">
        <is>
          <t>Default Title</t>
        </is>
      </c>
      <c r="D12" s="1" t="inlineStr">
        <is>
          <t>DINA DU</t>
        </is>
      </c>
      <c r="E12" s="4">
        <f>COUNTIF('DETALLE CRONOLÓGICO'!$A$2:$A$4919,$A12)</f>
        <v/>
      </c>
      <c r="F12" s="4">
        <f>SUMIFS('DETALLE CRONOLÓGICO'!$I$2:$I$4919,'DETALLE CRONOLÓGICO'!$A$2:$A$4919,$A12)</f>
        <v/>
      </c>
      <c r="G12" s="1">
        <f>INDEX('DETALLE CRONOLÓGICO'!$D$2:$D$4919,MATCH($A12,'DETALLE CRONOLÓGICO'!$A$2:$A$4919,0))</f>
        <v/>
      </c>
      <c r="H12" s="1">
        <f>INDEX('DETALLE CRONOLÓGICO'!$D$2:$D$4919,MATCH($A12,'DETALLE CRONOLÓGICO'!$A$2:$A$4919,0)+$E12-1)</f>
        <v/>
      </c>
      <c r="I12" s="5">
        <f>IFERROR(SUMIFS('DETALLE CRONOLÓGICO'!$L$2:$L$4919,'DETALLE CRONOLÓGICO'!$A$2:$A$4919,$A12)/$F12,"")</f>
        <v/>
      </c>
      <c r="J12" s="6">
        <f>IFERROR(SUMIFS('DETALLE CRONOLÓGICO'!$K$2:$K$4919,'DETALLE CRONOLÓGICO'!$A$2:$A$4919,$A12)/$E12,"")</f>
        <v/>
      </c>
      <c r="K12" s="6">
        <f>_xlfn.MINIFS('DETALLE CRONOLÓGICO'!$K$2:$K$4919,'DETALLE CRONOLÓGICO'!$A$2:$A$4919,$A12)</f>
        <v/>
      </c>
      <c r="L12" s="6">
        <f>_xlfn.MAXIFS('DETALLE CRONOLÓGICO'!$K$2:$K$4919,'DETALLE CRONOLÓGICO'!$A$2:$A$4919,$A12)</f>
        <v/>
      </c>
      <c r="M12" s="6">
        <f>INDEX('DETALLE CRONOLÓGICO'!$K$2:$K$4919,MATCH($A12,'DETALLE CRONOLÓGICO'!$A$2:$A$4919,0)+$E12-1)</f>
        <v/>
      </c>
      <c r="N12" s="7">
        <f>IFERROR($M12/INDEX('DETALLE CRONOLÓGICO'!$K$2:$K$4919,MATCH($A12,'DETALLE CRONOLÓGICO'!$A$2:$A$4919,0))-1,"")</f>
        <v/>
      </c>
      <c r="O12" s="6">
        <f>IFERROR($I12*3,"")</f>
        <v/>
      </c>
      <c r="P12" s="6">
        <f>IFERROR($I12*3.5,"")</f>
        <v/>
      </c>
      <c r="Q12" s="6">
        <f>IFERROR($I12*4,"")</f>
        <v/>
      </c>
      <c r="R12" s="6" t="n">
        <v>6500</v>
      </c>
      <c r="S12" s="4" t="n">
        <v>0</v>
      </c>
      <c r="T12" s="1" t="inlineStr">
        <is>
          <t>active</t>
        </is>
      </c>
      <c r="U12" s="8" t="n"/>
      <c r="V12" s="1" t="inlineStr">
        <is>
          <t>SIN PRECIO</t>
        </is>
      </c>
    </row>
    <row r="13">
      <c r="A13" s="1" t="inlineStr">
        <is>
          <t>10132411776813</t>
        </is>
      </c>
      <c r="B13" s="1" t="inlineStr">
        <is>
          <t>BOLSO F GRAPHY LOGOS</t>
        </is>
      </c>
      <c r="C13" s="1" t="inlineStr">
        <is>
          <t>Default Title</t>
        </is>
      </c>
      <c r="D13" s="1" t="inlineStr">
        <is>
          <t>DINA DU</t>
        </is>
      </c>
      <c r="E13" s="4">
        <f>COUNTIF('DETALLE CRONOLÓGICO'!$A$2:$A$4919,$A13)</f>
        <v/>
      </c>
      <c r="F13" s="4">
        <f>SUMIFS('DETALLE CRONOLÓGICO'!$I$2:$I$4919,'DETALLE CRONOLÓGICO'!$A$2:$A$4919,$A13)</f>
        <v/>
      </c>
      <c r="G13" s="1">
        <f>INDEX('DETALLE CRONOLÓGICO'!$D$2:$D$4919,MATCH($A13,'DETALLE CRONOLÓGICO'!$A$2:$A$4919,0))</f>
        <v/>
      </c>
      <c r="H13" s="1">
        <f>INDEX('DETALLE CRONOLÓGICO'!$D$2:$D$4919,MATCH($A13,'DETALLE CRONOLÓGICO'!$A$2:$A$4919,0)+$E13-1)</f>
        <v/>
      </c>
      <c r="I13" s="5">
        <f>IFERROR(SUMIFS('DETALLE CRONOLÓGICO'!$L$2:$L$4919,'DETALLE CRONOLÓGICO'!$A$2:$A$4919,$A13)/$F13,"")</f>
        <v/>
      </c>
      <c r="J13" s="6">
        <f>IFERROR(SUMIFS('DETALLE CRONOLÓGICO'!$K$2:$K$4919,'DETALLE CRONOLÓGICO'!$A$2:$A$4919,$A13)/$E13,"")</f>
        <v/>
      </c>
      <c r="K13" s="6">
        <f>_xlfn.MINIFS('DETALLE CRONOLÓGICO'!$K$2:$K$4919,'DETALLE CRONOLÓGICO'!$A$2:$A$4919,$A13)</f>
        <v/>
      </c>
      <c r="L13" s="6">
        <f>_xlfn.MAXIFS('DETALLE CRONOLÓGICO'!$K$2:$K$4919,'DETALLE CRONOLÓGICO'!$A$2:$A$4919,$A13)</f>
        <v/>
      </c>
      <c r="M13" s="6">
        <f>INDEX('DETALLE CRONOLÓGICO'!$K$2:$K$4919,MATCH($A13,'DETALLE CRONOLÓGICO'!$A$2:$A$4919,0)+$E13-1)</f>
        <v/>
      </c>
      <c r="N13" s="7">
        <f>IFERROR($M13/INDEX('DETALLE CRONOLÓGICO'!$K$2:$K$4919,MATCH($A13,'DETALLE CRONOLÓGICO'!$A$2:$A$4919,0))-1,"")</f>
        <v/>
      </c>
      <c r="O13" s="6">
        <f>IFERROR($I13*3,"")</f>
        <v/>
      </c>
      <c r="P13" s="6">
        <f>IFERROR($I13*3.5,"")</f>
        <v/>
      </c>
      <c r="Q13" s="6">
        <f>IFERROR($I13*4,"")</f>
        <v/>
      </c>
      <c r="R13" s="6" t="n">
        <v>7383.1</v>
      </c>
      <c r="S13" s="4" t="n">
        <v>2</v>
      </c>
      <c r="T13" s="1" t="inlineStr">
        <is>
          <t>active</t>
        </is>
      </c>
      <c r="U13" s="8" t="n"/>
      <c r="V13" s="1" t="inlineStr">
        <is>
          <t>SIN PRECIO</t>
        </is>
      </c>
    </row>
    <row r="14">
      <c r="A14" s="1" t="inlineStr">
        <is>
          <t>10427542282892</t>
        </is>
      </c>
      <c r="B14" s="1" t="inlineStr">
        <is>
          <t>RELOJ SANTOS SILVER</t>
        </is>
      </c>
      <c r="C14" s="1" t="inlineStr">
        <is>
          <t>34mm Mujer Con Caja</t>
        </is>
      </c>
      <c r="D14" s="1" t="inlineStr">
        <is>
          <t>ZOEY</t>
        </is>
      </c>
      <c r="E14" s="4">
        <f>COUNTIF('DETALLE CRONOLÓGICO'!$A$2:$A$4919,$A14)</f>
        <v/>
      </c>
      <c r="F14" s="4">
        <f>SUMIFS('DETALLE CRONOLÓGICO'!$I$2:$I$4919,'DETALLE CRONOLÓGICO'!$A$2:$A$4919,$A14)</f>
        <v/>
      </c>
      <c r="G14" s="1">
        <f>INDEX('DETALLE CRONOLÓGICO'!$D$2:$D$4919,MATCH($A14,'DETALLE CRONOLÓGICO'!$A$2:$A$4919,0))</f>
        <v/>
      </c>
      <c r="H14" s="1">
        <f>INDEX('DETALLE CRONOLÓGICO'!$D$2:$D$4919,MATCH($A14,'DETALLE CRONOLÓGICO'!$A$2:$A$4919,0)+$E14-1)</f>
        <v/>
      </c>
      <c r="I14" s="5">
        <f>IFERROR(SUMIFS('DETALLE CRONOLÓGICO'!$L$2:$L$4919,'DETALLE CRONOLÓGICO'!$A$2:$A$4919,$A14)/$F14,"")</f>
        <v/>
      </c>
      <c r="J14" s="6">
        <f>IFERROR(SUMIFS('DETALLE CRONOLÓGICO'!$K$2:$K$4919,'DETALLE CRONOLÓGICO'!$A$2:$A$4919,$A14)/$E14,"")</f>
        <v/>
      </c>
      <c r="K14" s="6">
        <f>_xlfn.MINIFS('DETALLE CRONOLÓGICO'!$K$2:$K$4919,'DETALLE CRONOLÓGICO'!$A$2:$A$4919,$A14)</f>
        <v/>
      </c>
      <c r="L14" s="6">
        <f>_xlfn.MAXIFS('DETALLE CRONOLÓGICO'!$K$2:$K$4919,'DETALLE CRONOLÓGICO'!$A$2:$A$4919,$A14)</f>
        <v/>
      </c>
      <c r="M14" s="6">
        <f>INDEX('DETALLE CRONOLÓGICO'!$K$2:$K$4919,MATCH($A14,'DETALLE CRONOLÓGICO'!$A$2:$A$4919,0)+$E14-1)</f>
        <v/>
      </c>
      <c r="N14" s="7">
        <f>IFERROR($M14/INDEX('DETALLE CRONOLÓGICO'!$K$2:$K$4919,MATCH($A14,'DETALLE CRONOLÓGICO'!$A$2:$A$4919,0))-1,"")</f>
        <v/>
      </c>
      <c r="O14" s="6">
        <f>IFERROR($I14*3,"")</f>
        <v/>
      </c>
      <c r="P14" s="6">
        <f>IFERROR($I14*3.5,"")</f>
        <v/>
      </c>
      <c r="Q14" s="6">
        <f>IFERROR($I14*4,"")</f>
        <v/>
      </c>
      <c r="R14" s="6" t="n">
        <v>6699</v>
      </c>
      <c r="S14" s="4" t="n">
        <v>0</v>
      </c>
      <c r="T14" s="1" t="inlineStr">
        <is>
          <t>active</t>
        </is>
      </c>
      <c r="U14" s="8" t="n"/>
      <c r="V14" s="1" t="inlineStr">
        <is>
          <t>SIN PRECIO</t>
        </is>
      </c>
    </row>
    <row r="15">
      <c r="A15" s="1" t="inlineStr">
        <is>
          <t>10427542282893</t>
        </is>
      </c>
      <c r="B15" s="1" t="inlineStr">
        <is>
          <t>RELOJ SANTOS SILVER</t>
        </is>
      </c>
      <c r="C15" s="1" t="inlineStr">
        <is>
          <t>39mm Hombre Con Caja</t>
        </is>
      </c>
      <c r="D15" s="1" t="inlineStr">
        <is>
          <t>ZOEY</t>
        </is>
      </c>
      <c r="E15" s="4">
        <f>COUNTIF('DETALLE CRONOLÓGICO'!$A$2:$A$4919,$A15)</f>
        <v/>
      </c>
      <c r="F15" s="4">
        <f>SUMIFS('DETALLE CRONOLÓGICO'!$I$2:$I$4919,'DETALLE CRONOLÓGICO'!$A$2:$A$4919,$A15)</f>
        <v/>
      </c>
      <c r="G15" s="1">
        <f>INDEX('DETALLE CRONOLÓGICO'!$D$2:$D$4919,MATCH($A15,'DETALLE CRONOLÓGICO'!$A$2:$A$4919,0))</f>
        <v/>
      </c>
      <c r="H15" s="1">
        <f>INDEX('DETALLE CRONOLÓGICO'!$D$2:$D$4919,MATCH($A15,'DETALLE CRONOLÓGICO'!$A$2:$A$4919,0)+$E15-1)</f>
        <v/>
      </c>
      <c r="I15" s="5">
        <f>IFERROR(SUMIFS('DETALLE CRONOLÓGICO'!$L$2:$L$4919,'DETALLE CRONOLÓGICO'!$A$2:$A$4919,$A15)/$F15,"")</f>
        <v/>
      </c>
      <c r="J15" s="6">
        <f>IFERROR(SUMIFS('DETALLE CRONOLÓGICO'!$K$2:$K$4919,'DETALLE CRONOLÓGICO'!$A$2:$A$4919,$A15)/$E15,"")</f>
        <v/>
      </c>
      <c r="K15" s="6">
        <f>_xlfn.MINIFS('DETALLE CRONOLÓGICO'!$K$2:$K$4919,'DETALLE CRONOLÓGICO'!$A$2:$A$4919,$A15)</f>
        <v/>
      </c>
      <c r="L15" s="6">
        <f>_xlfn.MAXIFS('DETALLE CRONOLÓGICO'!$K$2:$K$4919,'DETALLE CRONOLÓGICO'!$A$2:$A$4919,$A15)</f>
        <v/>
      </c>
      <c r="M15" s="6">
        <f>INDEX('DETALLE CRONOLÓGICO'!$K$2:$K$4919,MATCH($A15,'DETALLE CRONOLÓGICO'!$A$2:$A$4919,0)+$E15-1)</f>
        <v/>
      </c>
      <c r="N15" s="7">
        <f>IFERROR($M15/INDEX('DETALLE CRONOLÓGICO'!$K$2:$K$4919,MATCH($A15,'DETALLE CRONOLÓGICO'!$A$2:$A$4919,0))-1,"")</f>
        <v/>
      </c>
      <c r="O15" s="6">
        <f>IFERROR($I15*3,"")</f>
        <v/>
      </c>
      <c r="P15" s="6">
        <f>IFERROR($I15*3.5,"")</f>
        <v/>
      </c>
      <c r="Q15" s="6">
        <f>IFERROR($I15*4,"")</f>
        <v/>
      </c>
      <c r="R15" s="6" t="n">
        <v>6699</v>
      </c>
      <c r="S15" s="4" t="n">
        <v>0</v>
      </c>
      <c r="T15" s="1" t="inlineStr">
        <is>
          <t>active</t>
        </is>
      </c>
      <c r="U15" s="8" t="n"/>
      <c r="V15" s="1" t="inlineStr">
        <is>
          <t>SIN PRECIO</t>
        </is>
      </c>
    </row>
    <row r="16">
      <c r="A16" s="1" t="inlineStr">
        <is>
          <t>10473111097537</t>
        </is>
      </c>
      <c r="B16" s="1" t="inlineStr">
        <is>
          <t>PULSERA DE CUENTAS ROSEGOLD</t>
        </is>
      </c>
      <c r="C16" s="1" t="inlineStr">
        <is>
          <t>17cm</t>
        </is>
      </c>
      <c r="D16" s="1" t="inlineStr">
        <is>
          <t>ZOEY</t>
        </is>
      </c>
      <c r="E16" s="4">
        <f>COUNTIF('DETALLE CRONOLÓGICO'!$A$2:$A$4919,$A16)</f>
        <v/>
      </c>
      <c r="F16" s="4">
        <f>SUMIFS('DETALLE CRONOLÓGICO'!$I$2:$I$4919,'DETALLE CRONOLÓGICO'!$A$2:$A$4919,$A16)</f>
        <v/>
      </c>
      <c r="G16" s="1">
        <f>INDEX('DETALLE CRONOLÓGICO'!$D$2:$D$4919,MATCH($A16,'DETALLE CRONOLÓGICO'!$A$2:$A$4919,0))</f>
        <v/>
      </c>
      <c r="H16" s="1">
        <f>INDEX('DETALLE CRONOLÓGICO'!$D$2:$D$4919,MATCH($A16,'DETALLE CRONOLÓGICO'!$A$2:$A$4919,0)+$E16-1)</f>
        <v/>
      </c>
      <c r="I16" s="5">
        <f>IFERROR(SUMIFS('DETALLE CRONOLÓGICO'!$L$2:$L$4919,'DETALLE CRONOLÓGICO'!$A$2:$A$4919,$A16)/$F16,"")</f>
        <v/>
      </c>
      <c r="J16" s="6">
        <f>IFERROR(SUMIFS('DETALLE CRONOLÓGICO'!$K$2:$K$4919,'DETALLE CRONOLÓGICO'!$A$2:$A$4919,$A16)/$E16,"")</f>
        <v/>
      </c>
      <c r="K16" s="6">
        <f>_xlfn.MINIFS('DETALLE CRONOLÓGICO'!$K$2:$K$4919,'DETALLE CRONOLÓGICO'!$A$2:$A$4919,$A16)</f>
        <v/>
      </c>
      <c r="L16" s="6">
        <f>_xlfn.MAXIFS('DETALLE CRONOLÓGICO'!$K$2:$K$4919,'DETALLE CRONOLÓGICO'!$A$2:$A$4919,$A16)</f>
        <v/>
      </c>
      <c r="M16" s="6">
        <f>INDEX('DETALLE CRONOLÓGICO'!$K$2:$K$4919,MATCH($A16,'DETALLE CRONOLÓGICO'!$A$2:$A$4919,0)+$E16-1)</f>
        <v/>
      </c>
      <c r="N16" s="7">
        <f>IFERROR($M16/INDEX('DETALLE CRONOLÓGICO'!$K$2:$K$4919,MATCH($A16,'DETALLE CRONOLÓGICO'!$A$2:$A$4919,0))-1,"")</f>
        <v/>
      </c>
      <c r="O16" s="6">
        <f>IFERROR($I16*3,"")</f>
        <v/>
      </c>
      <c r="P16" s="6">
        <f>IFERROR($I16*3.5,"")</f>
        <v/>
      </c>
      <c r="Q16" s="6">
        <f>IFERROR($I16*4,"")</f>
        <v/>
      </c>
      <c r="R16" s="6" t="n">
        <v>899</v>
      </c>
      <c r="S16" s="4" t="n">
        <v>6</v>
      </c>
      <c r="T16" s="1" t="inlineStr">
        <is>
          <t>active</t>
        </is>
      </c>
      <c r="U16" s="8" t="n"/>
      <c r="V16" s="1" t="inlineStr">
        <is>
          <t>SIN PRECIO</t>
        </is>
      </c>
    </row>
    <row r="17">
      <c r="A17" s="1" t="inlineStr">
        <is>
          <t>10717801055213</t>
        </is>
      </c>
      <c r="B17" s="1" t="inlineStr">
        <is>
          <t>ANILLO CD ZIRCONIAS GOLD-BLACK</t>
        </is>
      </c>
      <c r="C17" s="1" t="inlineStr">
        <is>
          <t>7</t>
        </is>
      </c>
      <c r="D17" s="1" t="inlineStr">
        <is>
          <t>HAIFENG</t>
        </is>
      </c>
      <c r="E17" s="4">
        <f>COUNTIF('DETALLE CRONOLÓGICO'!$A$2:$A$4919,$A17)</f>
        <v/>
      </c>
      <c r="F17" s="4">
        <f>SUMIFS('DETALLE CRONOLÓGICO'!$I$2:$I$4919,'DETALLE CRONOLÓGICO'!$A$2:$A$4919,$A17)</f>
        <v/>
      </c>
      <c r="G17" s="1">
        <f>INDEX('DETALLE CRONOLÓGICO'!$D$2:$D$4919,MATCH($A17,'DETALLE CRONOLÓGICO'!$A$2:$A$4919,0))</f>
        <v/>
      </c>
      <c r="H17" s="1">
        <f>INDEX('DETALLE CRONOLÓGICO'!$D$2:$D$4919,MATCH($A17,'DETALLE CRONOLÓGICO'!$A$2:$A$4919,0)+$E17-1)</f>
        <v/>
      </c>
      <c r="I17" s="5">
        <f>IFERROR(SUMIFS('DETALLE CRONOLÓGICO'!$L$2:$L$4919,'DETALLE CRONOLÓGICO'!$A$2:$A$4919,$A17)/$F17,"")</f>
        <v/>
      </c>
      <c r="J17" s="6">
        <f>IFERROR(SUMIFS('DETALLE CRONOLÓGICO'!$K$2:$K$4919,'DETALLE CRONOLÓGICO'!$A$2:$A$4919,$A17)/$E17,"")</f>
        <v/>
      </c>
      <c r="K17" s="6">
        <f>_xlfn.MINIFS('DETALLE CRONOLÓGICO'!$K$2:$K$4919,'DETALLE CRONOLÓGICO'!$A$2:$A$4919,$A17)</f>
        <v/>
      </c>
      <c r="L17" s="6">
        <f>_xlfn.MAXIFS('DETALLE CRONOLÓGICO'!$K$2:$K$4919,'DETALLE CRONOLÓGICO'!$A$2:$A$4919,$A17)</f>
        <v/>
      </c>
      <c r="M17" s="6">
        <f>INDEX('DETALLE CRONOLÓGICO'!$K$2:$K$4919,MATCH($A17,'DETALLE CRONOLÓGICO'!$A$2:$A$4919,0)+$E17-1)</f>
        <v/>
      </c>
      <c r="N17" s="7">
        <f>IFERROR($M17/INDEX('DETALLE CRONOLÓGICO'!$K$2:$K$4919,MATCH($A17,'DETALLE CRONOLÓGICO'!$A$2:$A$4919,0))-1,"")</f>
        <v/>
      </c>
      <c r="O17" s="6">
        <f>IFERROR($I17*3,"")</f>
        <v/>
      </c>
      <c r="P17" s="6">
        <f>IFERROR($I17*3.5,"")</f>
        <v/>
      </c>
      <c r="Q17" s="6">
        <f>IFERROR($I17*4,"")</f>
        <v/>
      </c>
      <c r="R17" s="6" t="n">
        <v>790.5</v>
      </c>
      <c r="S17" s="4" t="n">
        <v>2</v>
      </c>
      <c r="T17" s="1" t="inlineStr">
        <is>
          <t>active</t>
        </is>
      </c>
      <c r="U17" s="8" t="n"/>
      <c r="V17" s="1" t="inlineStr">
        <is>
          <t>SIN PRECIO</t>
        </is>
      </c>
    </row>
    <row r="18">
      <c r="A18" s="1" t="inlineStr">
        <is>
          <t>10956321024557</t>
        </is>
      </c>
      <c r="B18" s="1" t="inlineStr">
        <is>
          <t>ANILLO BV BUMPS GOLD ZIRCONIAS</t>
        </is>
      </c>
      <c r="C18" s="1" t="inlineStr">
        <is>
          <t>6</t>
        </is>
      </c>
      <c r="D18" s="1" t="inlineStr">
        <is>
          <t>HAIFENG</t>
        </is>
      </c>
      <c r="E18" s="4">
        <f>COUNTIF('DETALLE CRONOLÓGICO'!$A$2:$A$4919,$A18)</f>
        <v/>
      </c>
      <c r="F18" s="4">
        <f>SUMIFS('DETALLE CRONOLÓGICO'!$I$2:$I$4919,'DETALLE CRONOLÓGICO'!$A$2:$A$4919,$A18)</f>
        <v/>
      </c>
      <c r="G18" s="1">
        <f>INDEX('DETALLE CRONOLÓGICO'!$D$2:$D$4919,MATCH($A18,'DETALLE CRONOLÓGICO'!$A$2:$A$4919,0))</f>
        <v/>
      </c>
      <c r="H18" s="1">
        <f>INDEX('DETALLE CRONOLÓGICO'!$D$2:$D$4919,MATCH($A18,'DETALLE CRONOLÓGICO'!$A$2:$A$4919,0)+$E18-1)</f>
        <v/>
      </c>
      <c r="I18" s="5">
        <f>IFERROR(SUMIFS('DETALLE CRONOLÓGICO'!$L$2:$L$4919,'DETALLE CRONOLÓGICO'!$A$2:$A$4919,$A18)/$F18,"")</f>
        <v/>
      </c>
      <c r="J18" s="6">
        <f>IFERROR(SUMIFS('DETALLE CRONOLÓGICO'!$K$2:$K$4919,'DETALLE CRONOLÓGICO'!$A$2:$A$4919,$A18)/$E18,"")</f>
        <v/>
      </c>
      <c r="K18" s="6">
        <f>_xlfn.MINIFS('DETALLE CRONOLÓGICO'!$K$2:$K$4919,'DETALLE CRONOLÓGICO'!$A$2:$A$4919,$A18)</f>
        <v/>
      </c>
      <c r="L18" s="6">
        <f>_xlfn.MAXIFS('DETALLE CRONOLÓGICO'!$K$2:$K$4919,'DETALLE CRONOLÓGICO'!$A$2:$A$4919,$A18)</f>
        <v/>
      </c>
      <c r="M18" s="6">
        <f>INDEX('DETALLE CRONOLÓGICO'!$K$2:$K$4919,MATCH($A18,'DETALLE CRONOLÓGICO'!$A$2:$A$4919,0)+$E18-1)</f>
        <v/>
      </c>
      <c r="N18" s="7">
        <f>IFERROR($M18/INDEX('DETALLE CRONOLÓGICO'!$K$2:$K$4919,MATCH($A18,'DETALLE CRONOLÓGICO'!$A$2:$A$4919,0))-1,"")</f>
        <v/>
      </c>
      <c r="O18" s="6">
        <f>IFERROR($I18*3,"")</f>
        <v/>
      </c>
      <c r="P18" s="6">
        <f>IFERROR($I18*3.5,"")</f>
        <v/>
      </c>
      <c r="Q18" s="6">
        <f>IFERROR($I18*4,"")</f>
        <v/>
      </c>
      <c r="R18" s="6" t="n">
        <v>999</v>
      </c>
      <c r="S18" s="4" t="n">
        <v>1</v>
      </c>
      <c r="T18" s="1" t="inlineStr">
        <is>
          <t>active</t>
        </is>
      </c>
      <c r="U18" s="8" t="n"/>
      <c r="V18" s="1" t="inlineStr">
        <is>
          <t>SIN PRECIO</t>
        </is>
      </c>
    </row>
    <row r="19">
      <c r="A19" s="1" t="inlineStr">
        <is>
          <t>10956321157325</t>
        </is>
      </c>
      <c r="B19" s="1" t="inlineStr">
        <is>
          <t>ANILLO BV BUMPS GOLD ZIRCONIAS</t>
        </is>
      </c>
      <c r="C19" s="1" t="inlineStr">
        <is>
          <t>7</t>
        </is>
      </c>
      <c r="D19" s="1" t="inlineStr">
        <is>
          <t>HAIFENG</t>
        </is>
      </c>
      <c r="E19" s="4">
        <f>COUNTIF('DETALLE CRONOLÓGICO'!$A$2:$A$4919,$A19)</f>
        <v/>
      </c>
      <c r="F19" s="4">
        <f>SUMIFS('DETALLE CRONOLÓGICO'!$I$2:$I$4919,'DETALLE CRONOLÓGICO'!$A$2:$A$4919,$A19)</f>
        <v/>
      </c>
      <c r="G19" s="1">
        <f>INDEX('DETALLE CRONOLÓGICO'!$D$2:$D$4919,MATCH($A19,'DETALLE CRONOLÓGICO'!$A$2:$A$4919,0))</f>
        <v/>
      </c>
      <c r="H19" s="1">
        <f>INDEX('DETALLE CRONOLÓGICO'!$D$2:$D$4919,MATCH($A19,'DETALLE CRONOLÓGICO'!$A$2:$A$4919,0)+$E19-1)</f>
        <v/>
      </c>
      <c r="I19" s="5">
        <f>IFERROR(SUMIFS('DETALLE CRONOLÓGICO'!$L$2:$L$4919,'DETALLE CRONOLÓGICO'!$A$2:$A$4919,$A19)/$F19,"")</f>
        <v/>
      </c>
      <c r="J19" s="6">
        <f>IFERROR(SUMIFS('DETALLE CRONOLÓGICO'!$K$2:$K$4919,'DETALLE CRONOLÓGICO'!$A$2:$A$4919,$A19)/$E19,"")</f>
        <v/>
      </c>
      <c r="K19" s="6">
        <f>_xlfn.MINIFS('DETALLE CRONOLÓGICO'!$K$2:$K$4919,'DETALLE CRONOLÓGICO'!$A$2:$A$4919,$A19)</f>
        <v/>
      </c>
      <c r="L19" s="6">
        <f>_xlfn.MAXIFS('DETALLE CRONOLÓGICO'!$K$2:$K$4919,'DETALLE CRONOLÓGICO'!$A$2:$A$4919,$A19)</f>
        <v/>
      </c>
      <c r="M19" s="6">
        <f>INDEX('DETALLE CRONOLÓGICO'!$K$2:$K$4919,MATCH($A19,'DETALLE CRONOLÓGICO'!$A$2:$A$4919,0)+$E19-1)</f>
        <v/>
      </c>
      <c r="N19" s="7">
        <f>IFERROR($M19/INDEX('DETALLE CRONOLÓGICO'!$K$2:$K$4919,MATCH($A19,'DETALLE CRONOLÓGICO'!$A$2:$A$4919,0))-1,"")</f>
        <v/>
      </c>
      <c r="O19" s="6">
        <f>IFERROR($I19*3,"")</f>
        <v/>
      </c>
      <c r="P19" s="6">
        <f>IFERROR($I19*3.5,"")</f>
        <v/>
      </c>
      <c r="Q19" s="6">
        <f>IFERROR($I19*4,"")</f>
        <v/>
      </c>
      <c r="R19" s="6" t="n">
        <v>999</v>
      </c>
      <c r="S19" s="4" t="n">
        <v>2</v>
      </c>
      <c r="T19" s="1" t="inlineStr">
        <is>
          <t>active</t>
        </is>
      </c>
      <c r="U19" s="8" t="n"/>
      <c r="V19" s="1" t="inlineStr">
        <is>
          <t>SIN PRECIO</t>
        </is>
      </c>
    </row>
    <row r="20">
      <c r="A20" s="1" t="inlineStr">
        <is>
          <t>10956321291309</t>
        </is>
      </c>
      <c r="B20" s="1" t="inlineStr">
        <is>
          <t>ANILLO BV BUMPS SILVER ZIRCONIAS-6</t>
        </is>
      </c>
      <c r="C20" s="1" t="n">
        <v>6</v>
      </c>
      <c r="D20" s="1" t="inlineStr">
        <is>
          <t>HAIFENG</t>
        </is>
      </c>
      <c r="E20" s="4">
        <f>COUNTIF('DETALLE CRONOLÓGICO'!$A$2:$A$4919,$A20)</f>
        <v/>
      </c>
      <c r="F20" s="4">
        <f>SUMIFS('DETALLE CRONOLÓGICO'!$I$2:$I$4919,'DETALLE CRONOLÓGICO'!$A$2:$A$4919,$A20)</f>
        <v/>
      </c>
      <c r="G20" s="1">
        <f>INDEX('DETALLE CRONOLÓGICO'!$D$2:$D$4919,MATCH($A20,'DETALLE CRONOLÓGICO'!$A$2:$A$4919,0))</f>
        <v/>
      </c>
      <c r="H20" s="1">
        <f>INDEX('DETALLE CRONOLÓGICO'!$D$2:$D$4919,MATCH($A20,'DETALLE CRONOLÓGICO'!$A$2:$A$4919,0)+$E20-1)</f>
        <v/>
      </c>
      <c r="I20" s="5">
        <f>IFERROR(SUMIFS('DETALLE CRONOLÓGICO'!$L$2:$L$4919,'DETALLE CRONOLÓGICO'!$A$2:$A$4919,$A20)/$F20,"")</f>
        <v/>
      </c>
      <c r="J20" s="6">
        <f>IFERROR(SUMIFS('DETALLE CRONOLÓGICO'!$K$2:$K$4919,'DETALLE CRONOLÓGICO'!$A$2:$A$4919,$A20)/$E20,"")</f>
        <v/>
      </c>
      <c r="K20" s="6">
        <f>_xlfn.MINIFS('DETALLE CRONOLÓGICO'!$K$2:$K$4919,'DETALLE CRONOLÓGICO'!$A$2:$A$4919,$A20)</f>
        <v/>
      </c>
      <c r="L20" s="6">
        <f>_xlfn.MAXIFS('DETALLE CRONOLÓGICO'!$K$2:$K$4919,'DETALLE CRONOLÓGICO'!$A$2:$A$4919,$A20)</f>
        <v/>
      </c>
      <c r="M20" s="6">
        <f>INDEX('DETALLE CRONOLÓGICO'!$K$2:$K$4919,MATCH($A20,'DETALLE CRONOLÓGICO'!$A$2:$A$4919,0)+$E20-1)</f>
        <v/>
      </c>
      <c r="N20" s="7">
        <f>IFERROR($M20/INDEX('DETALLE CRONOLÓGICO'!$K$2:$K$4919,MATCH($A20,'DETALLE CRONOLÓGICO'!$A$2:$A$4919,0))-1,"")</f>
        <v/>
      </c>
      <c r="O20" s="6">
        <f>IFERROR($I20*3,"")</f>
        <v/>
      </c>
      <c r="P20" s="6">
        <f>IFERROR($I20*3.5,"")</f>
        <v/>
      </c>
      <c r="Q20" s="6">
        <f>IFERROR($I20*4,"")</f>
        <v/>
      </c>
      <c r="R20" s="6" t="n">
        <v>850</v>
      </c>
      <c r="S20" s="4" t="n">
        <v>1</v>
      </c>
      <c r="T20" s="1" t="inlineStr">
        <is>
          <t>active</t>
        </is>
      </c>
      <c r="U20" s="8" t="n"/>
      <c r="V20" s="1" t="inlineStr">
        <is>
          <t>SIN PRECIO</t>
        </is>
      </c>
    </row>
    <row r="21">
      <c r="A21" s="1" t="inlineStr">
        <is>
          <t>10956321324077</t>
        </is>
      </c>
      <c r="B21" s="1" t="inlineStr">
        <is>
          <t>ANILLO BV BUMPS SILVER ZIRCONIAS</t>
        </is>
      </c>
      <c r="C21" s="1" t="inlineStr">
        <is>
          <t>7</t>
        </is>
      </c>
      <c r="D21" s="1" t="inlineStr">
        <is>
          <t>HAIFENG</t>
        </is>
      </c>
      <c r="E21" s="4">
        <f>COUNTIF('DETALLE CRONOLÓGICO'!$A$2:$A$4919,$A21)</f>
        <v/>
      </c>
      <c r="F21" s="4">
        <f>SUMIFS('DETALLE CRONOLÓGICO'!$I$2:$I$4919,'DETALLE CRONOLÓGICO'!$A$2:$A$4919,$A21)</f>
        <v/>
      </c>
      <c r="G21" s="1">
        <f>INDEX('DETALLE CRONOLÓGICO'!$D$2:$D$4919,MATCH($A21,'DETALLE CRONOLÓGICO'!$A$2:$A$4919,0))</f>
        <v/>
      </c>
      <c r="H21" s="1">
        <f>INDEX('DETALLE CRONOLÓGICO'!$D$2:$D$4919,MATCH($A21,'DETALLE CRONOLÓGICO'!$A$2:$A$4919,0)+$E21-1)</f>
        <v/>
      </c>
      <c r="I21" s="5">
        <f>IFERROR(SUMIFS('DETALLE CRONOLÓGICO'!$L$2:$L$4919,'DETALLE CRONOLÓGICO'!$A$2:$A$4919,$A21)/$F21,"")</f>
        <v/>
      </c>
      <c r="J21" s="6">
        <f>IFERROR(SUMIFS('DETALLE CRONOLÓGICO'!$K$2:$K$4919,'DETALLE CRONOLÓGICO'!$A$2:$A$4919,$A21)/$E21,"")</f>
        <v/>
      </c>
      <c r="K21" s="6">
        <f>_xlfn.MINIFS('DETALLE CRONOLÓGICO'!$K$2:$K$4919,'DETALLE CRONOLÓGICO'!$A$2:$A$4919,$A21)</f>
        <v/>
      </c>
      <c r="L21" s="6">
        <f>_xlfn.MAXIFS('DETALLE CRONOLÓGICO'!$K$2:$K$4919,'DETALLE CRONOLÓGICO'!$A$2:$A$4919,$A21)</f>
        <v/>
      </c>
      <c r="M21" s="6">
        <f>INDEX('DETALLE CRONOLÓGICO'!$K$2:$K$4919,MATCH($A21,'DETALLE CRONOLÓGICO'!$A$2:$A$4919,0)+$E21-1)</f>
        <v/>
      </c>
      <c r="N21" s="7">
        <f>IFERROR($M21/INDEX('DETALLE CRONOLÓGICO'!$K$2:$K$4919,MATCH($A21,'DETALLE CRONOLÓGICO'!$A$2:$A$4919,0))-1,"")</f>
        <v/>
      </c>
      <c r="O21" s="6">
        <f>IFERROR($I21*3,"")</f>
        <v/>
      </c>
      <c r="P21" s="6">
        <f>IFERROR($I21*3.5,"")</f>
        <v/>
      </c>
      <c r="Q21" s="6">
        <f>IFERROR($I21*4,"")</f>
        <v/>
      </c>
      <c r="R21" s="6" t="n">
        <v>850</v>
      </c>
      <c r="S21" s="4" t="n">
        <v>1</v>
      </c>
      <c r="T21" s="1" t="inlineStr">
        <is>
          <t>active</t>
        </is>
      </c>
      <c r="U21" s="8" t="n"/>
      <c r="V21" s="1" t="inlineStr">
        <is>
          <t>SIN PRECIO</t>
        </is>
      </c>
    </row>
    <row r="22">
      <c r="A22" s="1" t="inlineStr">
        <is>
          <t>11078751761037</t>
        </is>
      </c>
      <c r="B22" s="1" t="inlineStr">
        <is>
          <t>COLLAR C GOLD ZIRCONIAS</t>
        </is>
      </c>
      <c r="C22" s="1" t="inlineStr">
        <is>
          <t>Default Title</t>
        </is>
      </c>
      <c r="D22" s="1" t="inlineStr">
        <is>
          <t>HAIFENG</t>
        </is>
      </c>
      <c r="E22" s="4">
        <f>COUNTIF('DETALLE CRONOLÓGICO'!$A$2:$A$4919,$A22)</f>
        <v/>
      </c>
      <c r="F22" s="4">
        <f>SUMIFS('DETALLE CRONOLÓGICO'!$I$2:$I$4919,'DETALLE CRONOLÓGICO'!$A$2:$A$4919,$A22)</f>
        <v/>
      </c>
      <c r="G22" s="1">
        <f>INDEX('DETALLE CRONOLÓGICO'!$D$2:$D$4919,MATCH($A22,'DETALLE CRONOLÓGICO'!$A$2:$A$4919,0))</f>
        <v/>
      </c>
      <c r="H22" s="1">
        <f>INDEX('DETALLE CRONOLÓGICO'!$D$2:$D$4919,MATCH($A22,'DETALLE CRONOLÓGICO'!$A$2:$A$4919,0)+$E22-1)</f>
        <v/>
      </c>
      <c r="I22" s="5">
        <f>IFERROR(SUMIFS('DETALLE CRONOLÓGICO'!$L$2:$L$4919,'DETALLE CRONOLÓGICO'!$A$2:$A$4919,$A22)/$F22,"")</f>
        <v/>
      </c>
      <c r="J22" s="6">
        <f>IFERROR(SUMIFS('DETALLE CRONOLÓGICO'!$K$2:$K$4919,'DETALLE CRONOLÓGICO'!$A$2:$A$4919,$A22)/$E22,"")</f>
        <v/>
      </c>
      <c r="K22" s="6">
        <f>_xlfn.MINIFS('DETALLE CRONOLÓGICO'!$K$2:$K$4919,'DETALLE CRONOLÓGICO'!$A$2:$A$4919,$A22)</f>
        <v/>
      </c>
      <c r="L22" s="6">
        <f>_xlfn.MAXIFS('DETALLE CRONOLÓGICO'!$K$2:$K$4919,'DETALLE CRONOLÓGICO'!$A$2:$A$4919,$A22)</f>
        <v/>
      </c>
      <c r="M22" s="6">
        <f>INDEX('DETALLE CRONOLÓGICO'!$K$2:$K$4919,MATCH($A22,'DETALLE CRONOLÓGICO'!$A$2:$A$4919,0)+$E22-1)</f>
        <v/>
      </c>
      <c r="N22" s="7">
        <f>IFERROR($M22/INDEX('DETALLE CRONOLÓGICO'!$K$2:$K$4919,MATCH($A22,'DETALLE CRONOLÓGICO'!$A$2:$A$4919,0))-1,"")</f>
        <v/>
      </c>
      <c r="O22" s="6">
        <f>IFERROR($I22*3,"")</f>
        <v/>
      </c>
      <c r="P22" s="6">
        <f>IFERROR($I22*3.5,"")</f>
        <v/>
      </c>
      <c r="Q22" s="6">
        <f>IFERROR($I22*4,"")</f>
        <v/>
      </c>
      <c r="R22" s="6" t="n">
        <v>550</v>
      </c>
      <c r="S22" s="4" t="n">
        <v>12</v>
      </c>
      <c r="T22" s="1" t="inlineStr">
        <is>
          <t>active</t>
        </is>
      </c>
      <c r="U22" s="8" t="n"/>
      <c r="V22" s="1" t="inlineStr">
        <is>
          <t>SIN PRECIO</t>
        </is>
      </c>
    </row>
    <row r="23">
      <c r="A23" s="1" t="inlineStr">
        <is>
          <t>11078751910221</t>
        </is>
      </c>
      <c r="B23" s="1" t="inlineStr">
        <is>
          <t>ARETES C GOLD ZIRCONIAS</t>
        </is>
      </c>
      <c r="C23" s="1" t="inlineStr">
        <is>
          <t>Default Title</t>
        </is>
      </c>
      <c r="D23" s="1" t="inlineStr">
        <is>
          <t>HAIFENG</t>
        </is>
      </c>
      <c r="E23" s="4">
        <f>COUNTIF('DETALLE CRONOLÓGICO'!$A$2:$A$4919,$A23)</f>
        <v/>
      </c>
      <c r="F23" s="4">
        <f>SUMIFS('DETALLE CRONOLÓGICO'!$I$2:$I$4919,'DETALLE CRONOLÓGICO'!$A$2:$A$4919,$A23)</f>
        <v/>
      </c>
      <c r="G23" s="1">
        <f>INDEX('DETALLE CRONOLÓGICO'!$D$2:$D$4919,MATCH($A23,'DETALLE CRONOLÓGICO'!$A$2:$A$4919,0))</f>
        <v/>
      </c>
      <c r="H23" s="1">
        <f>INDEX('DETALLE CRONOLÓGICO'!$D$2:$D$4919,MATCH($A23,'DETALLE CRONOLÓGICO'!$A$2:$A$4919,0)+$E23-1)</f>
        <v/>
      </c>
      <c r="I23" s="5">
        <f>IFERROR(SUMIFS('DETALLE CRONOLÓGICO'!$L$2:$L$4919,'DETALLE CRONOLÓGICO'!$A$2:$A$4919,$A23)/$F23,"")</f>
        <v/>
      </c>
      <c r="J23" s="6">
        <f>IFERROR(SUMIFS('DETALLE CRONOLÓGICO'!$K$2:$K$4919,'DETALLE CRONOLÓGICO'!$A$2:$A$4919,$A23)/$E23,"")</f>
        <v/>
      </c>
      <c r="K23" s="6">
        <f>_xlfn.MINIFS('DETALLE CRONOLÓGICO'!$K$2:$K$4919,'DETALLE CRONOLÓGICO'!$A$2:$A$4919,$A23)</f>
        <v/>
      </c>
      <c r="L23" s="6">
        <f>_xlfn.MAXIFS('DETALLE CRONOLÓGICO'!$K$2:$K$4919,'DETALLE CRONOLÓGICO'!$A$2:$A$4919,$A23)</f>
        <v/>
      </c>
      <c r="M23" s="6">
        <f>INDEX('DETALLE CRONOLÓGICO'!$K$2:$K$4919,MATCH($A23,'DETALLE CRONOLÓGICO'!$A$2:$A$4919,0)+$E23-1)</f>
        <v/>
      </c>
      <c r="N23" s="7">
        <f>IFERROR($M23/INDEX('DETALLE CRONOLÓGICO'!$K$2:$K$4919,MATCH($A23,'DETALLE CRONOLÓGICO'!$A$2:$A$4919,0))-1,"")</f>
        <v/>
      </c>
      <c r="O23" s="6">
        <f>IFERROR($I23*3,"")</f>
        <v/>
      </c>
      <c r="P23" s="6">
        <f>IFERROR($I23*3.5,"")</f>
        <v/>
      </c>
      <c r="Q23" s="6">
        <f>IFERROR($I23*4,"")</f>
        <v/>
      </c>
      <c r="R23" s="6" t="n">
        <v>575</v>
      </c>
      <c r="S23" s="4" t="n">
        <v>7</v>
      </c>
      <c r="T23" s="1" t="inlineStr">
        <is>
          <t>active</t>
        </is>
      </c>
      <c r="U23" s="8" t="n"/>
      <c r="V23" s="1" t="inlineStr">
        <is>
          <t>SIN PRECIO</t>
        </is>
      </c>
    </row>
    <row r="24">
      <c r="A24" s="1" t="inlineStr">
        <is>
          <t>11078752382541</t>
        </is>
      </c>
      <c r="B24" s="1" t="inlineStr">
        <is>
          <t>ARETES C GOLD PEARL</t>
        </is>
      </c>
      <c r="C24" s="1" t="inlineStr">
        <is>
          <t>Default Title</t>
        </is>
      </c>
      <c r="D24" s="1" t="inlineStr">
        <is>
          <t>HAIFENG</t>
        </is>
      </c>
      <c r="E24" s="4">
        <f>COUNTIF('DETALLE CRONOLÓGICO'!$A$2:$A$4919,$A24)</f>
        <v/>
      </c>
      <c r="F24" s="4">
        <f>SUMIFS('DETALLE CRONOLÓGICO'!$I$2:$I$4919,'DETALLE CRONOLÓGICO'!$A$2:$A$4919,$A24)</f>
        <v/>
      </c>
      <c r="G24" s="1">
        <f>INDEX('DETALLE CRONOLÓGICO'!$D$2:$D$4919,MATCH($A24,'DETALLE CRONOLÓGICO'!$A$2:$A$4919,0))</f>
        <v/>
      </c>
      <c r="H24" s="1">
        <f>INDEX('DETALLE CRONOLÓGICO'!$D$2:$D$4919,MATCH($A24,'DETALLE CRONOLÓGICO'!$A$2:$A$4919,0)+$E24-1)</f>
        <v/>
      </c>
      <c r="I24" s="5">
        <f>IFERROR(SUMIFS('DETALLE CRONOLÓGICO'!$L$2:$L$4919,'DETALLE CRONOLÓGICO'!$A$2:$A$4919,$A24)/$F24,"")</f>
        <v/>
      </c>
      <c r="J24" s="6">
        <f>IFERROR(SUMIFS('DETALLE CRONOLÓGICO'!$K$2:$K$4919,'DETALLE CRONOLÓGICO'!$A$2:$A$4919,$A24)/$E24,"")</f>
        <v/>
      </c>
      <c r="K24" s="6">
        <f>_xlfn.MINIFS('DETALLE CRONOLÓGICO'!$K$2:$K$4919,'DETALLE CRONOLÓGICO'!$A$2:$A$4919,$A24)</f>
        <v/>
      </c>
      <c r="L24" s="6">
        <f>_xlfn.MAXIFS('DETALLE CRONOLÓGICO'!$K$2:$K$4919,'DETALLE CRONOLÓGICO'!$A$2:$A$4919,$A24)</f>
        <v/>
      </c>
      <c r="M24" s="6">
        <f>INDEX('DETALLE CRONOLÓGICO'!$K$2:$K$4919,MATCH($A24,'DETALLE CRONOLÓGICO'!$A$2:$A$4919,0)+$E24-1)</f>
        <v/>
      </c>
      <c r="N24" s="7">
        <f>IFERROR($M24/INDEX('DETALLE CRONOLÓGICO'!$K$2:$K$4919,MATCH($A24,'DETALLE CRONOLÓGICO'!$A$2:$A$4919,0))-1,"")</f>
        <v/>
      </c>
      <c r="O24" s="6">
        <f>IFERROR($I24*3,"")</f>
        <v/>
      </c>
      <c r="P24" s="6">
        <f>IFERROR($I24*3.5,"")</f>
        <v/>
      </c>
      <c r="Q24" s="6">
        <f>IFERROR($I24*4,"")</f>
        <v/>
      </c>
      <c r="R24" s="6" t="n">
        <v>499</v>
      </c>
      <c r="S24" s="4" t="n">
        <v>6</v>
      </c>
      <c r="T24" s="1" t="inlineStr">
        <is>
          <t>active</t>
        </is>
      </c>
      <c r="U24" s="8" t="n"/>
      <c r="V24" s="1" t="inlineStr">
        <is>
          <t>SIN PRECIO</t>
        </is>
      </c>
    </row>
    <row r="25">
      <c r="A25" s="1" t="inlineStr">
        <is>
          <t>11453671120077</t>
        </is>
      </c>
      <c r="B25" s="1" t="inlineStr">
        <is>
          <t>ARETES FR GOLD ONE PEARL</t>
        </is>
      </c>
      <c r="C25" s="1" t="inlineStr">
        <is>
          <t>PRODUCTO NUEVO</t>
        </is>
      </c>
      <c r="D25" s="1" t="inlineStr">
        <is>
          <t>HAIFENG</t>
        </is>
      </c>
      <c r="E25" s="4">
        <f>COUNTIF('DETALLE CRONOLÓGICO'!$A$2:$A$4919,$A25)</f>
        <v/>
      </c>
      <c r="F25" s="4">
        <f>SUMIFS('DETALLE CRONOLÓGICO'!$I$2:$I$4919,'DETALLE CRONOLÓGICO'!$A$2:$A$4919,$A25)</f>
        <v/>
      </c>
      <c r="G25" s="1">
        <f>INDEX('DETALLE CRONOLÓGICO'!$D$2:$D$4919,MATCH($A25,'DETALLE CRONOLÓGICO'!$A$2:$A$4919,0))</f>
        <v/>
      </c>
      <c r="H25" s="1">
        <f>INDEX('DETALLE CRONOLÓGICO'!$D$2:$D$4919,MATCH($A25,'DETALLE CRONOLÓGICO'!$A$2:$A$4919,0)+$E25-1)</f>
        <v/>
      </c>
      <c r="I25" s="5">
        <f>IFERROR(SUMIFS('DETALLE CRONOLÓGICO'!$L$2:$L$4919,'DETALLE CRONOLÓGICO'!$A$2:$A$4919,$A25)/$F25,"")</f>
        <v/>
      </c>
      <c r="J25" s="6">
        <f>IFERROR(SUMIFS('DETALLE CRONOLÓGICO'!$K$2:$K$4919,'DETALLE CRONOLÓGICO'!$A$2:$A$4919,$A25)/$E25,"")</f>
        <v/>
      </c>
      <c r="K25" s="6">
        <f>_xlfn.MINIFS('DETALLE CRONOLÓGICO'!$K$2:$K$4919,'DETALLE CRONOLÓGICO'!$A$2:$A$4919,$A25)</f>
        <v/>
      </c>
      <c r="L25" s="6">
        <f>_xlfn.MAXIFS('DETALLE CRONOLÓGICO'!$K$2:$K$4919,'DETALLE CRONOLÓGICO'!$A$2:$A$4919,$A25)</f>
        <v/>
      </c>
      <c r="M25" s="6">
        <f>INDEX('DETALLE CRONOLÓGICO'!$K$2:$K$4919,MATCH($A25,'DETALLE CRONOLÓGICO'!$A$2:$A$4919,0)+$E25-1)</f>
        <v/>
      </c>
      <c r="N25" s="7">
        <f>IFERROR($M25/INDEX('DETALLE CRONOLÓGICO'!$K$2:$K$4919,MATCH($A25,'DETALLE CRONOLÓGICO'!$A$2:$A$4919,0))-1,"")</f>
        <v/>
      </c>
      <c r="O25" s="6">
        <f>IFERROR($I25*3,"")</f>
        <v/>
      </c>
      <c r="P25" s="6">
        <f>IFERROR($I25*3.5,"")</f>
        <v/>
      </c>
      <c r="Q25" s="6">
        <f>IFERROR($I25*4,"")</f>
        <v/>
      </c>
      <c r="R25" s="6" t="n">
        <v>499</v>
      </c>
      <c r="S25" s="4" t="n">
        <v>0</v>
      </c>
      <c r="T25" s="1" t="inlineStr">
        <is>
          <t>draft</t>
        </is>
      </c>
      <c r="U25" s="8" t="n"/>
      <c r="V25" s="1" t="inlineStr">
        <is>
          <t>SIN PRECIO</t>
        </is>
      </c>
    </row>
    <row r="26">
      <c r="A26" s="1" t="inlineStr">
        <is>
          <t>11915813184811</t>
        </is>
      </c>
      <c r="B26" s="1" t="inlineStr">
        <is>
          <t>LENTES DE SOL MM BROWN</t>
        </is>
      </c>
      <c r="C26" s="1" t="inlineStr">
        <is>
          <t>Default Title</t>
        </is>
      </c>
      <c r="D26" s="1" t="inlineStr">
        <is>
          <t>CYNTHIA</t>
        </is>
      </c>
      <c r="E26" s="4">
        <f>COUNTIF('DETALLE CRONOLÓGICO'!$A$2:$A$4919,$A26)</f>
        <v/>
      </c>
      <c r="F26" s="4">
        <f>SUMIFS('DETALLE CRONOLÓGICO'!$I$2:$I$4919,'DETALLE CRONOLÓGICO'!$A$2:$A$4919,$A26)</f>
        <v/>
      </c>
      <c r="G26" s="1">
        <f>INDEX('DETALLE CRONOLÓGICO'!$D$2:$D$4919,MATCH($A26,'DETALLE CRONOLÓGICO'!$A$2:$A$4919,0))</f>
        <v/>
      </c>
      <c r="H26" s="1">
        <f>INDEX('DETALLE CRONOLÓGICO'!$D$2:$D$4919,MATCH($A26,'DETALLE CRONOLÓGICO'!$A$2:$A$4919,0)+$E26-1)</f>
        <v/>
      </c>
      <c r="I26" s="5">
        <f>IFERROR(SUMIFS('DETALLE CRONOLÓGICO'!$L$2:$L$4919,'DETALLE CRONOLÓGICO'!$A$2:$A$4919,$A26)/$F26,"")</f>
        <v/>
      </c>
      <c r="J26" s="6">
        <f>IFERROR(SUMIFS('DETALLE CRONOLÓGICO'!$K$2:$K$4919,'DETALLE CRONOLÓGICO'!$A$2:$A$4919,$A26)/$E26,"")</f>
        <v/>
      </c>
      <c r="K26" s="6">
        <f>_xlfn.MINIFS('DETALLE CRONOLÓGICO'!$K$2:$K$4919,'DETALLE CRONOLÓGICO'!$A$2:$A$4919,$A26)</f>
        <v/>
      </c>
      <c r="L26" s="6">
        <f>_xlfn.MAXIFS('DETALLE CRONOLÓGICO'!$K$2:$K$4919,'DETALLE CRONOLÓGICO'!$A$2:$A$4919,$A26)</f>
        <v/>
      </c>
      <c r="M26" s="6">
        <f>INDEX('DETALLE CRONOLÓGICO'!$K$2:$K$4919,MATCH($A26,'DETALLE CRONOLÓGICO'!$A$2:$A$4919,0)+$E26-1)</f>
        <v/>
      </c>
      <c r="N26" s="7">
        <f>IFERROR($M26/INDEX('DETALLE CRONOLÓGICO'!$K$2:$K$4919,MATCH($A26,'DETALLE CRONOLÓGICO'!$A$2:$A$4919,0))-1,"")</f>
        <v/>
      </c>
      <c r="O26" s="6">
        <f>IFERROR($I26*3,"")</f>
        <v/>
      </c>
      <c r="P26" s="6">
        <f>IFERROR($I26*3.5,"")</f>
        <v/>
      </c>
      <c r="Q26" s="6">
        <f>IFERROR($I26*4,"")</f>
        <v/>
      </c>
      <c r="R26" s="6" t="n">
        <v>2730</v>
      </c>
      <c r="S26" s="4" t="n">
        <v>4</v>
      </c>
      <c r="T26" s="1" t="inlineStr">
        <is>
          <t>active</t>
        </is>
      </c>
      <c r="U26" s="8" t="n"/>
      <c r="V26" s="1" t="inlineStr">
        <is>
          <t>SIN PRECIO</t>
        </is>
      </c>
    </row>
    <row r="27">
      <c r="A27" s="1" t="inlineStr">
        <is>
          <t>11915820343339</t>
        </is>
      </c>
      <c r="B27" s="1" t="inlineStr">
        <is>
          <t>LENTES MM HAVANA</t>
        </is>
      </c>
      <c r="C27" s="1" t="inlineStr">
        <is>
          <t>Default Title</t>
        </is>
      </c>
      <c r="D27" s="1" t="inlineStr">
        <is>
          <t>CYNTHIA</t>
        </is>
      </c>
      <c r="E27" s="4">
        <f>COUNTIF('DETALLE CRONOLÓGICO'!$A$2:$A$4919,$A27)</f>
        <v/>
      </c>
      <c r="F27" s="4">
        <f>SUMIFS('DETALLE CRONOLÓGICO'!$I$2:$I$4919,'DETALLE CRONOLÓGICO'!$A$2:$A$4919,$A27)</f>
        <v/>
      </c>
      <c r="G27" s="1">
        <f>INDEX('DETALLE CRONOLÓGICO'!$D$2:$D$4919,MATCH($A27,'DETALLE CRONOLÓGICO'!$A$2:$A$4919,0))</f>
        <v/>
      </c>
      <c r="H27" s="1">
        <f>INDEX('DETALLE CRONOLÓGICO'!$D$2:$D$4919,MATCH($A27,'DETALLE CRONOLÓGICO'!$A$2:$A$4919,0)+$E27-1)</f>
        <v/>
      </c>
      <c r="I27" s="5">
        <f>IFERROR(SUMIFS('DETALLE CRONOLÓGICO'!$L$2:$L$4919,'DETALLE CRONOLÓGICO'!$A$2:$A$4919,$A27)/$F27,"")</f>
        <v/>
      </c>
      <c r="J27" s="6">
        <f>IFERROR(SUMIFS('DETALLE CRONOLÓGICO'!$K$2:$K$4919,'DETALLE CRONOLÓGICO'!$A$2:$A$4919,$A27)/$E27,"")</f>
        <v/>
      </c>
      <c r="K27" s="6">
        <f>_xlfn.MINIFS('DETALLE CRONOLÓGICO'!$K$2:$K$4919,'DETALLE CRONOLÓGICO'!$A$2:$A$4919,$A27)</f>
        <v/>
      </c>
      <c r="L27" s="6">
        <f>_xlfn.MAXIFS('DETALLE CRONOLÓGICO'!$K$2:$K$4919,'DETALLE CRONOLÓGICO'!$A$2:$A$4919,$A27)</f>
        <v/>
      </c>
      <c r="M27" s="6">
        <f>INDEX('DETALLE CRONOLÓGICO'!$K$2:$K$4919,MATCH($A27,'DETALLE CRONOLÓGICO'!$A$2:$A$4919,0)+$E27-1)</f>
        <v/>
      </c>
      <c r="N27" s="7">
        <f>IFERROR($M27/INDEX('DETALLE CRONOLÓGICO'!$K$2:$K$4919,MATCH($A27,'DETALLE CRONOLÓGICO'!$A$2:$A$4919,0))-1,"")</f>
        <v/>
      </c>
      <c r="O27" s="6">
        <f>IFERROR($I27*3,"")</f>
        <v/>
      </c>
      <c r="P27" s="6">
        <f>IFERROR($I27*3.5,"")</f>
        <v/>
      </c>
      <c r="Q27" s="6">
        <f>IFERROR($I27*4,"")</f>
        <v/>
      </c>
      <c r="R27" s="6" t="n">
        <v>2899</v>
      </c>
      <c r="S27" s="4" t="n">
        <v>1</v>
      </c>
      <c r="T27" s="1" t="inlineStr">
        <is>
          <t>active</t>
        </is>
      </c>
      <c r="U27" s="8" t="n"/>
      <c r="V27" s="1" t="inlineStr">
        <is>
          <t>SIN PRECIO</t>
        </is>
      </c>
    </row>
    <row r="28">
      <c r="A28" s="1" t="inlineStr">
        <is>
          <t>11915825730987</t>
        </is>
      </c>
      <c r="B28" s="1" t="inlineStr">
        <is>
          <t>TRAJE DE BAÑO C</t>
        </is>
      </c>
      <c r="C28" s="1" t="inlineStr">
        <is>
          <t>M</t>
        </is>
      </c>
      <c r="D28" s="1" t="inlineStr">
        <is>
          <t>CYNTHIA</t>
        </is>
      </c>
      <c r="E28" s="4">
        <f>COUNTIF('DETALLE CRONOLÓGICO'!$A$2:$A$4919,$A28)</f>
        <v/>
      </c>
      <c r="F28" s="4">
        <f>SUMIFS('DETALLE CRONOLÓGICO'!$I$2:$I$4919,'DETALLE CRONOLÓGICO'!$A$2:$A$4919,$A28)</f>
        <v/>
      </c>
      <c r="G28" s="1">
        <f>INDEX('DETALLE CRONOLÓGICO'!$D$2:$D$4919,MATCH($A28,'DETALLE CRONOLÓGICO'!$A$2:$A$4919,0))</f>
        <v/>
      </c>
      <c r="H28" s="1">
        <f>INDEX('DETALLE CRONOLÓGICO'!$D$2:$D$4919,MATCH($A28,'DETALLE CRONOLÓGICO'!$A$2:$A$4919,0)+$E28-1)</f>
        <v/>
      </c>
      <c r="I28" s="5">
        <f>IFERROR(SUMIFS('DETALLE CRONOLÓGICO'!$L$2:$L$4919,'DETALLE CRONOLÓGICO'!$A$2:$A$4919,$A28)/$F28,"")</f>
        <v/>
      </c>
      <c r="J28" s="6">
        <f>IFERROR(SUMIFS('DETALLE CRONOLÓGICO'!$K$2:$K$4919,'DETALLE CRONOLÓGICO'!$A$2:$A$4919,$A28)/$E28,"")</f>
        <v/>
      </c>
      <c r="K28" s="6">
        <f>_xlfn.MINIFS('DETALLE CRONOLÓGICO'!$K$2:$K$4919,'DETALLE CRONOLÓGICO'!$A$2:$A$4919,$A28)</f>
        <v/>
      </c>
      <c r="L28" s="6">
        <f>_xlfn.MAXIFS('DETALLE CRONOLÓGICO'!$K$2:$K$4919,'DETALLE CRONOLÓGICO'!$A$2:$A$4919,$A28)</f>
        <v/>
      </c>
      <c r="M28" s="6">
        <f>INDEX('DETALLE CRONOLÓGICO'!$K$2:$K$4919,MATCH($A28,'DETALLE CRONOLÓGICO'!$A$2:$A$4919,0)+$E28-1)</f>
        <v/>
      </c>
      <c r="N28" s="7">
        <f>IFERROR($M28/INDEX('DETALLE CRONOLÓGICO'!$K$2:$K$4919,MATCH($A28,'DETALLE CRONOLÓGICO'!$A$2:$A$4919,0))-1,"")</f>
        <v/>
      </c>
      <c r="O28" s="6">
        <f>IFERROR($I28*3,"")</f>
        <v/>
      </c>
      <c r="P28" s="6">
        <f>IFERROR($I28*3.5,"")</f>
        <v/>
      </c>
      <c r="Q28" s="6">
        <f>IFERROR($I28*4,"")</f>
        <v/>
      </c>
      <c r="R28" s="6" t="n"/>
      <c r="S28" s="4" t="n"/>
      <c r="T28" s="1" t="inlineStr">
        <is>
          <t>YA NO EXISTE EN SHOPIFY</t>
        </is>
      </c>
      <c r="U28" s="8" t="n"/>
      <c r="V28" s="1" t="inlineStr">
        <is>
          <t>SIN PRECIO</t>
        </is>
      </c>
    </row>
    <row r="29">
      <c r="A29" s="1" t="inlineStr">
        <is>
          <t>11915825763755</t>
        </is>
      </c>
      <c r="B29" s="1" t="inlineStr">
        <is>
          <t>TRAJE DE BAÑO C</t>
        </is>
      </c>
      <c r="C29" s="1" t="inlineStr">
        <is>
          <t>L</t>
        </is>
      </c>
      <c r="D29" s="1" t="inlineStr">
        <is>
          <t>CYNTHIA</t>
        </is>
      </c>
      <c r="E29" s="4">
        <f>COUNTIF('DETALLE CRONOLÓGICO'!$A$2:$A$4919,$A29)</f>
        <v/>
      </c>
      <c r="F29" s="4">
        <f>SUMIFS('DETALLE CRONOLÓGICO'!$I$2:$I$4919,'DETALLE CRONOLÓGICO'!$A$2:$A$4919,$A29)</f>
        <v/>
      </c>
      <c r="G29" s="1">
        <f>INDEX('DETALLE CRONOLÓGICO'!$D$2:$D$4919,MATCH($A29,'DETALLE CRONOLÓGICO'!$A$2:$A$4919,0))</f>
        <v/>
      </c>
      <c r="H29" s="1">
        <f>INDEX('DETALLE CRONOLÓGICO'!$D$2:$D$4919,MATCH($A29,'DETALLE CRONOLÓGICO'!$A$2:$A$4919,0)+$E29-1)</f>
        <v/>
      </c>
      <c r="I29" s="5">
        <f>IFERROR(SUMIFS('DETALLE CRONOLÓGICO'!$L$2:$L$4919,'DETALLE CRONOLÓGICO'!$A$2:$A$4919,$A29)/$F29,"")</f>
        <v/>
      </c>
      <c r="J29" s="6">
        <f>IFERROR(SUMIFS('DETALLE CRONOLÓGICO'!$K$2:$K$4919,'DETALLE CRONOLÓGICO'!$A$2:$A$4919,$A29)/$E29,"")</f>
        <v/>
      </c>
      <c r="K29" s="6">
        <f>_xlfn.MINIFS('DETALLE CRONOLÓGICO'!$K$2:$K$4919,'DETALLE CRONOLÓGICO'!$A$2:$A$4919,$A29)</f>
        <v/>
      </c>
      <c r="L29" s="6">
        <f>_xlfn.MAXIFS('DETALLE CRONOLÓGICO'!$K$2:$K$4919,'DETALLE CRONOLÓGICO'!$A$2:$A$4919,$A29)</f>
        <v/>
      </c>
      <c r="M29" s="6">
        <f>INDEX('DETALLE CRONOLÓGICO'!$K$2:$K$4919,MATCH($A29,'DETALLE CRONOLÓGICO'!$A$2:$A$4919,0)+$E29-1)</f>
        <v/>
      </c>
      <c r="N29" s="7">
        <f>IFERROR($M29/INDEX('DETALLE CRONOLÓGICO'!$K$2:$K$4919,MATCH($A29,'DETALLE CRONOLÓGICO'!$A$2:$A$4919,0))-1,"")</f>
        <v/>
      </c>
      <c r="O29" s="6">
        <f>IFERROR($I29*3,"")</f>
        <v/>
      </c>
      <c r="P29" s="6">
        <f>IFERROR($I29*3.5,"")</f>
        <v/>
      </c>
      <c r="Q29" s="6">
        <f>IFERROR($I29*4,"")</f>
        <v/>
      </c>
      <c r="R29" s="6" t="n">
        <v>1099</v>
      </c>
      <c r="S29" s="4" t="n">
        <v>0</v>
      </c>
      <c r="T29" s="1" t="inlineStr">
        <is>
          <t>active</t>
        </is>
      </c>
      <c r="U29" s="8" t="n"/>
      <c r="V29" s="1" t="inlineStr">
        <is>
          <t>SIN PRECIO</t>
        </is>
      </c>
    </row>
    <row r="30">
      <c r="A30" s="1" t="inlineStr">
        <is>
          <t>11915826071979</t>
        </is>
      </c>
      <c r="B30" s="1" t="inlineStr">
        <is>
          <t>LENTES LV EVIDENCE</t>
        </is>
      </c>
      <c r="C30" s="1" t="inlineStr">
        <is>
          <t>HIGH QUALITY</t>
        </is>
      </c>
      <c r="D30" s="1" t="inlineStr">
        <is>
          <t>CYNTHIA</t>
        </is>
      </c>
      <c r="E30" s="4">
        <f>COUNTIF('DETALLE CRONOLÓGICO'!$A$2:$A$4919,$A30)</f>
        <v/>
      </c>
      <c r="F30" s="4">
        <f>SUMIFS('DETALLE CRONOLÓGICO'!$I$2:$I$4919,'DETALLE CRONOLÓGICO'!$A$2:$A$4919,$A30)</f>
        <v/>
      </c>
      <c r="G30" s="1">
        <f>INDEX('DETALLE CRONOLÓGICO'!$D$2:$D$4919,MATCH($A30,'DETALLE CRONOLÓGICO'!$A$2:$A$4919,0))</f>
        <v/>
      </c>
      <c r="H30" s="1">
        <f>INDEX('DETALLE CRONOLÓGICO'!$D$2:$D$4919,MATCH($A30,'DETALLE CRONOLÓGICO'!$A$2:$A$4919,0)+$E30-1)</f>
        <v/>
      </c>
      <c r="I30" s="5">
        <f>IFERROR(SUMIFS('DETALLE CRONOLÓGICO'!$L$2:$L$4919,'DETALLE CRONOLÓGICO'!$A$2:$A$4919,$A30)/$F30,"")</f>
        <v/>
      </c>
      <c r="J30" s="6">
        <f>IFERROR(SUMIFS('DETALLE CRONOLÓGICO'!$K$2:$K$4919,'DETALLE CRONOLÓGICO'!$A$2:$A$4919,$A30)/$E30,"")</f>
        <v/>
      </c>
      <c r="K30" s="6">
        <f>_xlfn.MINIFS('DETALLE CRONOLÓGICO'!$K$2:$K$4919,'DETALLE CRONOLÓGICO'!$A$2:$A$4919,$A30)</f>
        <v/>
      </c>
      <c r="L30" s="6">
        <f>_xlfn.MAXIFS('DETALLE CRONOLÓGICO'!$K$2:$K$4919,'DETALLE CRONOLÓGICO'!$A$2:$A$4919,$A30)</f>
        <v/>
      </c>
      <c r="M30" s="6">
        <f>INDEX('DETALLE CRONOLÓGICO'!$K$2:$K$4919,MATCH($A30,'DETALLE CRONOLÓGICO'!$A$2:$A$4919,0)+$E30-1)</f>
        <v/>
      </c>
      <c r="N30" s="7">
        <f>IFERROR($M30/INDEX('DETALLE CRONOLÓGICO'!$K$2:$K$4919,MATCH($A30,'DETALLE CRONOLÓGICO'!$A$2:$A$4919,0))-1,"")</f>
        <v/>
      </c>
      <c r="O30" s="6">
        <f>IFERROR($I30*3,"")</f>
        <v/>
      </c>
      <c r="P30" s="6">
        <f>IFERROR($I30*3.5,"")</f>
        <v/>
      </c>
      <c r="Q30" s="6">
        <f>IFERROR($I30*4,"")</f>
        <v/>
      </c>
      <c r="R30" s="6" t="n">
        <v>955</v>
      </c>
      <c r="S30" s="4" t="n">
        <v>1</v>
      </c>
      <c r="T30" s="1" t="inlineStr">
        <is>
          <t>active</t>
        </is>
      </c>
      <c r="U30" s="8" t="n"/>
      <c r="V30" s="1" t="inlineStr">
        <is>
          <t>SIN PRECIO</t>
        </is>
      </c>
    </row>
    <row r="31">
      <c r="A31" s="1" t="inlineStr">
        <is>
          <t>11915828032299</t>
        </is>
      </c>
      <c r="B31" s="1" t="inlineStr">
        <is>
          <t>BOLSO DE VIAJE G BOWLING 55 GREEN</t>
        </is>
      </c>
      <c r="C31" s="1" t="inlineStr">
        <is>
          <t>Default Title</t>
        </is>
      </c>
      <c r="D31" s="1" t="inlineStr">
        <is>
          <t>CYNTHIA</t>
        </is>
      </c>
      <c r="E31" s="4">
        <f>COUNTIF('DETALLE CRONOLÓGICO'!$A$2:$A$4919,$A31)</f>
        <v/>
      </c>
      <c r="F31" s="4">
        <f>SUMIFS('DETALLE CRONOLÓGICO'!$I$2:$I$4919,'DETALLE CRONOLÓGICO'!$A$2:$A$4919,$A31)</f>
        <v/>
      </c>
      <c r="G31" s="1">
        <f>INDEX('DETALLE CRONOLÓGICO'!$D$2:$D$4919,MATCH($A31,'DETALLE CRONOLÓGICO'!$A$2:$A$4919,0))</f>
        <v/>
      </c>
      <c r="H31" s="1">
        <f>INDEX('DETALLE CRONOLÓGICO'!$D$2:$D$4919,MATCH($A31,'DETALLE CRONOLÓGICO'!$A$2:$A$4919,0)+$E31-1)</f>
        <v/>
      </c>
      <c r="I31" s="5">
        <f>IFERROR(SUMIFS('DETALLE CRONOLÓGICO'!$L$2:$L$4919,'DETALLE CRONOLÓGICO'!$A$2:$A$4919,$A31)/$F31,"")</f>
        <v/>
      </c>
      <c r="J31" s="6">
        <f>IFERROR(SUMIFS('DETALLE CRONOLÓGICO'!$K$2:$K$4919,'DETALLE CRONOLÓGICO'!$A$2:$A$4919,$A31)/$E31,"")</f>
        <v/>
      </c>
      <c r="K31" s="6">
        <f>_xlfn.MINIFS('DETALLE CRONOLÓGICO'!$K$2:$K$4919,'DETALLE CRONOLÓGICO'!$A$2:$A$4919,$A31)</f>
        <v/>
      </c>
      <c r="L31" s="6">
        <f>_xlfn.MAXIFS('DETALLE CRONOLÓGICO'!$K$2:$K$4919,'DETALLE CRONOLÓGICO'!$A$2:$A$4919,$A31)</f>
        <v/>
      </c>
      <c r="M31" s="6">
        <f>INDEX('DETALLE CRONOLÓGICO'!$K$2:$K$4919,MATCH($A31,'DETALLE CRONOLÓGICO'!$A$2:$A$4919,0)+$E31-1)</f>
        <v/>
      </c>
      <c r="N31" s="7">
        <f>IFERROR($M31/INDEX('DETALLE CRONOLÓGICO'!$K$2:$K$4919,MATCH($A31,'DETALLE CRONOLÓGICO'!$A$2:$A$4919,0))-1,"")</f>
        <v/>
      </c>
      <c r="O31" s="6">
        <f>IFERROR($I31*3,"")</f>
        <v/>
      </c>
      <c r="P31" s="6">
        <f>IFERROR($I31*3.5,"")</f>
        <v/>
      </c>
      <c r="Q31" s="6">
        <f>IFERROR($I31*4,"")</f>
        <v/>
      </c>
      <c r="R31" s="6" t="n">
        <v>7999</v>
      </c>
      <c r="S31" s="4" t="n">
        <v>3</v>
      </c>
      <c r="T31" s="1" t="inlineStr">
        <is>
          <t>active</t>
        </is>
      </c>
      <c r="U31" s="8" t="n"/>
      <c r="V31" s="1" t="inlineStr">
        <is>
          <t>SIN PRECIO</t>
        </is>
      </c>
    </row>
    <row r="32">
      <c r="A32" s="1" t="inlineStr">
        <is>
          <t>11915828105387</t>
        </is>
      </c>
      <c r="B32" s="1" t="inlineStr">
        <is>
          <t>TRAJE DE BAÑO V</t>
        </is>
      </c>
      <c r="C32" s="1" t="inlineStr">
        <is>
          <t>M</t>
        </is>
      </c>
      <c r="D32" s="1" t="inlineStr">
        <is>
          <t>CYNTHIA</t>
        </is>
      </c>
      <c r="E32" s="4">
        <f>COUNTIF('DETALLE CRONOLÓGICO'!$A$2:$A$4919,$A32)</f>
        <v/>
      </c>
      <c r="F32" s="4">
        <f>SUMIFS('DETALLE CRONOLÓGICO'!$I$2:$I$4919,'DETALLE CRONOLÓGICO'!$A$2:$A$4919,$A32)</f>
        <v/>
      </c>
      <c r="G32" s="1">
        <f>INDEX('DETALLE CRONOLÓGICO'!$D$2:$D$4919,MATCH($A32,'DETALLE CRONOLÓGICO'!$A$2:$A$4919,0))</f>
        <v/>
      </c>
      <c r="H32" s="1">
        <f>INDEX('DETALLE CRONOLÓGICO'!$D$2:$D$4919,MATCH($A32,'DETALLE CRONOLÓGICO'!$A$2:$A$4919,0)+$E32-1)</f>
        <v/>
      </c>
      <c r="I32" s="5">
        <f>IFERROR(SUMIFS('DETALLE CRONOLÓGICO'!$L$2:$L$4919,'DETALLE CRONOLÓGICO'!$A$2:$A$4919,$A32)/$F32,"")</f>
        <v/>
      </c>
      <c r="J32" s="6">
        <f>IFERROR(SUMIFS('DETALLE CRONOLÓGICO'!$K$2:$K$4919,'DETALLE CRONOLÓGICO'!$A$2:$A$4919,$A32)/$E32,"")</f>
        <v/>
      </c>
      <c r="K32" s="6">
        <f>_xlfn.MINIFS('DETALLE CRONOLÓGICO'!$K$2:$K$4919,'DETALLE CRONOLÓGICO'!$A$2:$A$4919,$A32)</f>
        <v/>
      </c>
      <c r="L32" s="6">
        <f>_xlfn.MAXIFS('DETALLE CRONOLÓGICO'!$K$2:$K$4919,'DETALLE CRONOLÓGICO'!$A$2:$A$4919,$A32)</f>
        <v/>
      </c>
      <c r="M32" s="6">
        <f>INDEX('DETALLE CRONOLÓGICO'!$K$2:$K$4919,MATCH($A32,'DETALLE CRONOLÓGICO'!$A$2:$A$4919,0)+$E32-1)</f>
        <v/>
      </c>
      <c r="N32" s="7">
        <f>IFERROR($M32/INDEX('DETALLE CRONOLÓGICO'!$K$2:$K$4919,MATCH($A32,'DETALLE CRONOLÓGICO'!$A$2:$A$4919,0))-1,"")</f>
        <v/>
      </c>
      <c r="O32" s="6">
        <f>IFERROR($I32*3,"")</f>
        <v/>
      </c>
      <c r="P32" s="6">
        <f>IFERROR($I32*3.5,"")</f>
        <v/>
      </c>
      <c r="Q32" s="6">
        <f>IFERROR($I32*4,"")</f>
        <v/>
      </c>
      <c r="R32" s="6" t="n">
        <v>1149</v>
      </c>
      <c r="S32" s="4" t="n">
        <v>0</v>
      </c>
      <c r="T32" s="1" t="inlineStr">
        <is>
          <t>active</t>
        </is>
      </c>
      <c r="U32" s="8" t="n"/>
      <c r="V32" s="1" t="inlineStr">
        <is>
          <t>SIN PRECIO</t>
        </is>
      </c>
    </row>
    <row r="33">
      <c r="A33" s="1" t="inlineStr">
        <is>
          <t>11915828138155</t>
        </is>
      </c>
      <c r="B33" s="1" t="inlineStr">
        <is>
          <t>TRAJE DE BAÑO V</t>
        </is>
      </c>
      <c r="C33" s="1" t="inlineStr">
        <is>
          <t>L</t>
        </is>
      </c>
      <c r="D33" s="1" t="inlineStr">
        <is>
          <t>CYNTHIA</t>
        </is>
      </c>
      <c r="E33" s="4">
        <f>COUNTIF('DETALLE CRONOLÓGICO'!$A$2:$A$4919,$A33)</f>
        <v/>
      </c>
      <c r="F33" s="4">
        <f>SUMIFS('DETALLE CRONOLÓGICO'!$I$2:$I$4919,'DETALLE CRONOLÓGICO'!$A$2:$A$4919,$A33)</f>
        <v/>
      </c>
      <c r="G33" s="1">
        <f>INDEX('DETALLE CRONOLÓGICO'!$D$2:$D$4919,MATCH($A33,'DETALLE CRONOLÓGICO'!$A$2:$A$4919,0))</f>
        <v/>
      </c>
      <c r="H33" s="1">
        <f>INDEX('DETALLE CRONOLÓGICO'!$D$2:$D$4919,MATCH($A33,'DETALLE CRONOLÓGICO'!$A$2:$A$4919,0)+$E33-1)</f>
        <v/>
      </c>
      <c r="I33" s="5">
        <f>IFERROR(SUMIFS('DETALLE CRONOLÓGICO'!$L$2:$L$4919,'DETALLE CRONOLÓGICO'!$A$2:$A$4919,$A33)/$F33,"")</f>
        <v/>
      </c>
      <c r="J33" s="6">
        <f>IFERROR(SUMIFS('DETALLE CRONOLÓGICO'!$K$2:$K$4919,'DETALLE CRONOLÓGICO'!$A$2:$A$4919,$A33)/$E33,"")</f>
        <v/>
      </c>
      <c r="K33" s="6">
        <f>_xlfn.MINIFS('DETALLE CRONOLÓGICO'!$K$2:$K$4919,'DETALLE CRONOLÓGICO'!$A$2:$A$4919,$A33)</f>
        <v/>
      </c>
      <c r="L33" s="6">
        <f>_xlfn.MAXIFS('DETALLE CRONOLÓGICO'!$K$2:$K$4919,'DETALLE CRONOLÓGICO'!$A$2:$A$4919,$A33)</f>
        <v/>
      </c>
      <c r="M33" s="6">
        <f>INDEX('DETALLE CRONOLÓGICO'!$K$2:$K$4919,MATCH($A33,'DETALLE CRONOLÓGICO'!$A$2:$A$4919,0)+$E33-1)</f>
        <v/>
      </c>
      <c r="N33" s="7">
        <f>IFERROR($M33/INDEX('DETALLE CRONOLÓGICO'!$K$2:$K$4919,MATCH($A33,'DETALLE CRONOLÓGICO'!$A$2:$A$4919,0))-1,"")</f>
        <v/>
      </c>
      <c r="O33" s="6">
        <f>IFERROR($I33*3,"")</f>
        <v/>
      </c>
      <c r="P33" s="6">
        <f>IFERROR($I33*3.5,"")</f>
        <v/>
      </c>
      <c r="Q33" s="6">
        <f>IFERROR($I33*4,"")</f>
        <v/>
      </c>
      <c r="R33" s="6" t="n">
        <v>1149</v>
      </c>
      <c r="S33" s="4" t="n">
        <v>6</v>
      </c>
      <c r="T33" s="1" t="inlineStr">
        <is>
          <t>active</t>
        </is>
      </c>
      <c r="U33" s="8" t="n"/>
      <c r="V33" s="1" t="inlineStr">
        <is>
          <t>SIN PRECIO</t>
        </is>
      </c>
    </row>
    <row r="34">
      <c r="A34" s="1" t="inlineStr">
        <is>
          <t>11966951169965</t>
        </is>
      </c>
      <c r="B34" s="1" t="inlineStr">
        <is>
          <t>PULSERA DE CUENTAS CON INSIGNIA DE CORAZÓN BLUE</t>
        </is>
      </c>
      <c r="C34" s="1" t="inlineStr">
        <is>
          <t>20 cm</t>
        </is>
      </c>
      <c r="D34" s="1" t="inlineStr">
        <is>
          <t>HAIFENG</t>
        </is>
      </c>
      <c r="E34" s="4">
        <f>COUNTIF('DETALLE CRONOLÓGICO'!$A$2:$A$4919,$A34)</f>
        <v/>
      </c>
      <c r="F34" s="4">
        <f>SUMIFS('DETALLE CRONOLÓGICO'!$I$2:$I$4919,'DETALLE CRONOLÓGICO'!$A$2:$A$4919,$A34)</f>
        <v/>
      </c>
      <c r="G34" s="1">
        <f>INDEX('DETALLE CRONOLÓGICO'!$D$2:$D$4919,MATCH($A34,'DETALLE CRONOLÓGICO'!$A$2:$A$4919,0))</f>
        <v/>
      </c>
      <c r="H34" s="1">
        <f>INDEX('DETALLE CRONOLÓGICO'!$D$2:$D$4919,MATCH($A34,'DETALLE CRONOLÓGICO'!$A$2:$A$4919,0)+$E34-1)</f>
        <v/>
      </c>
      <c r="I34" s="5">
        <f>IFERROR(SUMIFS('DETALLE CRONOLÓGICO'!$L$2:$L$4919,'DETALLE CRONOLÓGICO'!$A$2:$A$4919,$A34)/$F34,"")</f>
        <v/>
      </c>
      <c r="J34" s="6">
        <f>IFERROR(SUMIFS('DETALLE CRONOLÓGICO'!$K$2:$K$4919,'DETALLE CRONOLÓGICO'!$A$2:$A$4919,$A34)/$E34,"")</f>
        <v/>
      </c>
      <c r="K34" s="6">
        <f>_xlfn.MINIFS('DETALLE CRONOLÓGICO'!$K$2:$K$4919,'DETALLE CRONOLÓGICO'!$A$2:$A$4919,$A34)</f>
        <v/>
      </c>
      <c r="L34" s="6">
        <f>_xlfn.MAXIFS('DETALLE CRONOLÓGICO'!$K$2:$K$4919,'DETALLE CRONOLÓGICO'!$A$2:$A$4919,$A34)</f>
        <v/>
      </c>
      <c r="M34" s="6">
        <f>INDEX('DETALLE CRONOLÓGICO'!$K$2:$K$4919,MATCH($A34,'DETALLE CRONOLÓGICO'!$A$2:$A$4919,0)+$E34-1)</f>
        <v/>
      </c>
      <c r="N34" s="7">
        <f>IFERROR($M34/INDEX('DETALLE CRONOLÓGICO'!$K$2:$K$4919,MATCH($A34,'DETALLE CRONOLÓGICO'!$A$2:$A$4919,0))-1,"")</f>
        <v/>
      </c>
      <c r="O34" s="6">
        <f>IFERROR($I34*3,"")</f>
        <v/>
      </c>
      <c r="P34" s="6">
        <f>IFERROR($I34*3.5,"")</f>
        <v/>
      </c>
      <c r="Q34" s="6">
        <f>IFERROR($I34*4,"")</f>
        <v/>
      </c>
      <c r="R34" s="6" t="n">
        <v>550</v>
      </c>
      <c r="S34" s="4" t="n">
        <v>2</v>
      </c>
      <c r="T34" s="1" t="inlineStr">
        <is>
          <t>active</t>
        </is>
      </c>
      <c r="U34" s="8" t="n"/>
      <c r="V34" s="1" t="inlineStr">
        <is>
          <t>SIN PRECIO</t>
        </is>
      </c>
    </row>
    <row r="35">
      <c r="A35" s="1" t="inlineStr">
        <is>
          <t>12314361063501</t>
        </is>
      </c>
      <c r="B35" s="1" t="inlineStr">
        <is>
          <t>ANILLO F DOBLE GOLD</t>
        </is>
      </c>
      <c r="C35" s="1" t="inlineStr">
        <is>
          <t>AJUSTABLE</t>
        </is>
      </c>
      <c r="D35" s="1" t="inlineStr">
        <is>
          <t>HAIFENG</t>
        </is>
      </c>
      <c r="E35" s="4">
        <f>COUNTIF('DETALLE CRONOLÓGICO'!$A$2:$A$4919,$A35)</f>
        <v/>
      </c>
      <c r="F35" s="4">
        <f>SUMIFS('DETALLE CRONOLÓGICO'!$I$2:$I$4919,'DETALLE CRONOLÓGICO'!$A$2:$A$4919,$A35)</f>
        <v/>
      </c>
      <c r="G35" s="1">
        <f>INDEX('DETALLE CRONOLÓGICO'!$D$2:$D$4919,MATCH($A35,'DETALLE CRONOLÓGICO'!$A$2:$A$4919,0))</f>
        <v/>
      </c>
      <c r="H35" s="1">
        <f>INDEX('DETALLE CRONOLÓGICO'!$D$2:$D$4919,MATCH($A35,'DETALLE CRONOLÓGICO'!$A$2:$A$4919,0)+$E35-1)</f>
        <v/>
      </c>
      <c r="I35" s="5">
        <f>IFERROR(SUMIFS('DETALLE CRONOLÓGICO'!$L$2:$L$4919,'DETALLE CRONOLÓGICO'!$A$2:$A$4919,$A35)/$F35,"")</f>
        <v/>
      </c>
      <c r="J35" s="6">
        <f>IFERROR(SUMIFS('DETALLE CRONOLÓGICO'!$K$2:$K$4919,'DETALLE CRONOLÓGICO'!$A$2:$A$4919,$A35)/$E35,"")</f>
        <v/>
      </c>
      <c r="K35" s="6">
        <f>_xlfn.MINIFS('DETALLE CRONOLÓGICO'!$K$2:$K$4919,'DETALLE CRONOLÓGICO'!$A$2:$A$4919,$A35)</f>
        <v/>
      </c>
      <c r="L35" s="6">
        <f>_xlfn.MAXIFS('DETALLE CRONOLÓGICO'!$K$2:$K$4919,'DETALLE CRONOLÓGICO'!$A$2:$A$4919,$A35)</f>
        <v/>
      </c>
      <c r="M35" s="6">
        <f>INDEX('DETALLE CRONOLÓGICO'!$K$2:$K$4919,MATCH($A35,'DETALLE CRONOLÓGICO'!$A$2:$A$4919,0)+$E35-1)</f>
        <v/>
      </c>
      <c r="N35" s="7">
        <f>IFERROR($M35/INDEX('DETALLE CRONOLÓGICO'!$K$2:$K$4919,MATCH($A35,'DETALLE CRONOLÓGICO'!$A$2:$A$4919,0))-1,"")</f>
        <v/>
      </c>
      <c r="O35" s="6">
        <f>IFERROR($I35*3,"")</f>
        <v/>
      </c>
      <c r="P35" s="6">
        <f>IFERROR($I35*3.5,"")</f>
        <v/>
      </c>
      <c r="Q35" s="6">
        <f>IFERROR($I35*4,"")</f>
        <v/>
      </c>
      <c r="R35" s="6" t="n">
        <v>620</v>
      </c>
      <c r="S35" s="4" t="n">
        <v>0</v>
      </c>
      <c r="T35" s="1" t="inlineStr">
        <is>
          <t>active</t>
        </is>
      </c>
      <c r="U35" s="8" t="n"/>
      <c r="V35" s="1" t="inlineStr">
        <is>
          <t>SIN PRECIO</t>
        </is>
      </c>
    </row>
    <row r="36">
      <c r="A36" s="1" t="inlineStr">
        <is>
          <t>12314361226797</t>
        </is>
      </c>
      <c r="B36" s="1" t="inlineStr">
        <is>
          <t>ARRACADAS COLGANTES F ZIRCONIA</t>
        </is>
      </c>
      <c r="C36" s="1" t="inlineStr">
        <is>
          <t>Default Title</t>
        </is>
      </c>
      <c r="D36" s="1" t="inlineStr">
        <is>
          <t>HAIFENG</t>
        </is>
      </c>
      <c r="E36" s="4">
        <f>COUNTIF('DETALLE CRONOLÓGICO'!$A$2:$A$4919,$A36)</f>
        <v/>
      </c>
      <c r="F36" s="4">
        <f>SUMIFS('DETALLE CRONOLÓGICO'!$I$2:$I$4919,'DETALLE CRONOLÓGICO'!$A$2:$A$4919,$A36)</f>
        <v/>
      </c>
      <c r="G36" s="1">
        <f>INDEX('DETALLE CRONOLÓGICO'!$D$2:$D$4919,MATCH($A36,'DETALLE CRONOLÓGICO'!$A$2:$A$4919,0))</f>
        <v/>
      </c>
      <c r="H36" s="1">
        <f>INDEX('DETALLE CRONOLÓGICO'!$D$2:$D$4919,MATCH($A36,'DETALLE CRONOLÓGICO'!$A$2:$A$4919,0)+$E36-1)</f>
        <v/>
      </c>
      <c r="I36" s="5">
        <f>IFERROR(SUMIFS('DETALLE CRONOLÓGICO'!$L$2:$L$4919,'DETALLE CRONOLÓGICO'!$A$2:$A$4919,$A36)/$F36,"")</f>
        <v/>
      </c>
      <c r="J36" s="6">
        <f>IFERROR(SUMIFS('DETALLE CRONOLÓGICO'!$K$2:$K$4919,'DETALLE CRONOLÓGICO'!$A$2:$A$4919,$A36)/$E36,"")</f>
        <v/>
      </c>
      <c r="K36" s="6">
        <f>_xlfn.MINIFS('DETALLE CRONOLÓGICO'!$K$2:$K$4919,'DETALLE CRONOLÓGICO'!$A$2:$A$4919,$A36)</f>
        <v/>
      </c>
      <c r="L36" s="6">
        <f>_xlfn.MAXIFS('DETALLE CRONOLÓGICO'!$K$2:$K$4919,'DETALLE CRONOLÓGICO'!$A$2:$A$4919,$A36)</f>
        <v/>
      </c>
      <c r="M36" s="6">
        <f>INDEX('DETALLE CRONOLÓGICO'!$K$2:$K$4919,MATCH($A36,'DETALLE CRONOLÓGICO'!$A$2:$A$4919,0)+$E36-1)</f>
        <v/>
      </c>
      <c r="N36" s="7">
        <f>IFERROR($M36/INDEX('DETALLE CRONOLÓGICO'!$K$2:$K$4919,MATCH($A36,'DETALLE CRONOLÓGICO'!$A$2:$A$4919,0))-1,"")</f>
        <v/>
      </c>
      <c r="O36" s="6">
        <f>IFERROR($I36*3,"")</f>
        <v/>
      </c>
      <c r="P36" s="6">
        <f>IFERROR($I36*3.5,"")</f>
        <v/>
      </c>
      <c r="Q36" s="6">
        <f>IFERROR($I36*4,"")</f>
        <v/>
      </c>
      <c r="R36" s="6" t="n">
        <v>670</v>
      </c>
      <c r="S36" s="4" t="n">
        <v>1</v>
      </c>
      <c r="T36" s="1" t="inlineStr">
        <is>
          <t>active</t>
        </is>
      </c>
      <c r="U36" s="8" t="n"/>
      <c r="V36" s="1" t="inlineStr">
        <is>
          <t>SIN PRECIO</t>
        </is>
      </c>
    </row>
    <row r="37">
      <c r="A37" s="1" t="inlineStr">
        <is>
          <t>12314361364653</t>
        </is>
      </c>
      <c r="B37" s="1" t="inlineStr">
        <is>
          <t>ARETES F GOLD PEARL</t>
        </is>
      </c>
      <c r="C37" s="1" t="inlineStr">
        <is>
          <t>Default Title</t>
        </is>
      </c>
      <c r="D37" s="1" t="inlineStr">
        <is>
          <t>HAIFENG</t>
        </is>
      </c>
      <c r="E37" s="4">
        <f>COUNTIF('DETALLE CRONOLÓGICO'!$A$2:$A$4919,$A37)</f>
        <v/>
      </c>
      <c r="F37" s="4">
        <f>SUMIFS('DETALLE CRONOLÓGICO'!$I$2:$I$4919,'DETALLE CRONOLÓGICO'!$A$2:$A$4919,$A37)</f>
        <v/>
      </c>
      <c r="G37" s="1">
        <f>INDEX('DETALLE CRONOLÓGICO'!$D$2:$D$4919,MATCH($A37,'DETALLE CRONOLÓGICO'!$A$2:$A$4919,0))</f>
        <v/>
      </c>
      <c r="H37" s="1">
        <f>INDEX('DETALLE CRONOLÓGICO'!$D$2:$D$4919,MATCH($A37,'DETALLE CRONOLÓGICO'!$A$2:$A$4919,0)+$E37-1)</f>
        <v/>
      </c>
      <c r="I37" s="5">
        <f>IFERROR(SUMIFS('DETALLE CRONOLÓGICO'!$L$2:$L$4919,'DETALLE CRONOLÓGICO'!$A$2:$A$4919,$A37)/$F37,"")</f>
        <v/>
      </c>
      <c r="J37" s="6">
        <f>IFERROR(SUMIFS('DETALLE CRONOLÓGICO'!$K$2:$K$4919,'DETALLE CRONOLÓGICO'!$A$2:$A$4919,$A37)/$E37,"")</f>
        <v/>
      </c>
      <c r="K37" s="6">
        <f>_xlfn.MINIFS('DETALLE CRONOLÓGICO'!$K$2:$K$4919,'DETALLE CRONOLÓGICO'!$A$2:$A$4919,$A37)</f>
        <v/>
      </c>
      <c r="L37" s="6">
        <f>_xlfn.MAXIFS('DETALLE CRONOLÓGICO'!$K$2:$K$4919,'DETALLE CRONOLÓGICO'!$A$2:$A$4919,$A37)</f>
        <v/>
      </c>
      <c r="M37" s="6">
        <f>INDEX('DETALLE CRONOLÓGICO'!$K$2:$K$4919,MATCH($A37,'DETALLE CRONOLÓGICO'!$A$2:$A$4919,0)+$E37-1)</f>
        <v/>
      </c>
      <c r="N37" s="7">
        <f>IFERROR($M37/INDEX('DETALLE CRONOLÓGICO'!$K$2:$K$4919,MATCH($A37,'DETALLE CRONOLÓGICO'!$A$2:$A$4919,0))-1,"")</f>
        <v/>
      </c>
      <c r="O37" s="6">
        <f>IFERROR($I37*3,"")</f>
        <v/>
      </c>
      <c r="P37" s="6">
        <f>IFERROR($I37*3.5,"")</f>
        <v/>
      </c>
      <c r="Q37" s="6">
        <f>IFERROR($I37*4,"")</f>
        <v/>
      </c>
      <c r="R37" s="6" t="n">
        <v>699</v>
      </c>
      <c r="S37" s="4" t="n">
        <v>4</v>
      </c>
      <c r="T37" s="1" t="inlineStr">
        <is>
          <t>active</t>
        </is>
      </c>
      <c r="U37" s="8" t="n"/>
      <c r="V37" s="1" t="inlineStr">
        <is>
          <t>SIN PRECIO</t>
        </is>
      </c>
    </row>
    <row r="38">
      <c r="A38" s="1" t="inlineStr">
        <is>
          <t>12314361469741</t>
        </is>
      </c>
      <c r="B38" s="1" t="inlineStr">
        <is>
          <t>ARETES F FILO GOLD</t>
        </is>
      </c>
      <c r="C38" s="1" t="inlineStr">
        <is>
          <t>Default Title</t>
        </is>
      </c>
      <c r="D38" s="1" t="inlineStr">
        <is>
          <t>HAIFENG</t>
        </is>
      </c>
      <c r="E38" s="4">
        <f>COUNTIF('DETALLE CRONOLÓGICO'!$A$2:$A$4919,$A38)</f>
        <v/>
      </c>
      <c r="F38" s="4">
        <f>SUMIFS('DETALLE CRONOLÓGICO'!$I$2:$I$4919,'DETALLE CRONOLÓGICO'!$A$2:$A$4919,$A38)</f>
        <v/>
      </c>
      <c r="G38" s="1">
        <f>INDEX('DETALLE CRONOLÓGICO'!$D$2:$D$4919,MATCH($A38,'DETALLE CRONOLÓGICO'!$A$2:$A$4919,0))</f>
        <v/>
      </c>
      <c r="H38" s="1">
        <f>INDEX('DETALLE CRONOLÓGICO'!$D$2:$D$4919,MATCH($A38,'DETALLE CRONOLÓGICO'!$A$2:$A$4919,0)+$E38-1)</f>
        <v/>
      </c>
      <c r="I38" s="5">
        <f>IFERROR(SUMIFS('DETALLE CRONOLÓGICO'!$L$2:$L$4919,'DETALLE CRONOLÓGICO'!$A$2:$A$4919,$A38)/$F38,"")</f>
        <v/>
      </c>
      <c r="J38" s="6">
        <f>IFERROR(SUMIFS('DETALLE CRONOLÓGICO'!$K$2:$K$4919,'DETALLE CRONOLÓGICO'!$A$2:$A$4919,$A38)/$E38,"")</f>
        <v/>
      </c>
      <c r="K38" s="6">
        <f>_xlfn.MINIFS('DETALLE CRONOLÓGICO'!$K$2:$K$4919,'DETALLE CRONOLÓGICO'!$A$2:$A$4919,$A38)</f>
        <v/>
      </c>
      <c r="L38" s="6">
        <f>_xlfn.MAXIFS('DETALLE CRONOLÓGICO'!$K$2:$K$4919,'DETALLE CRONOLÓGICO'!$A$2:$A$4919,$A38)</f>
        <v/>
      </c>
      <c r="M38" s="6">
        <f>INDEX('DETALLE CRONOLÓGICO'!$K$2:$K$4919,MATCH($A38,'DETALLE CRONOLÓGICO'!$A$2:$A$4919,0)+$E38-1)</f>
        <v/>
      </c>
      <c r="N38" s="7">
        <f>IFERROR($M38/INDEX('DETALLE CRONOLÓGICO'!$K$2:$K$4919,MATCH($A38,'DETALLE CRONOLÓGICO'!$A$2:$A$4919,0))-1,"")</f>
        <v/>
      </c>
      <c r="O38" s="6">
        <f>IFERROR($I38*3,"")</f>
        <v/>
      </c>
      <c r="P38" s="6">
        <f>IFERROR($I38*3.5,"")</f>
        <v/>
      </c>
      <c r="Q38" s="6">
        <f>IFERROR($I38*4,"")</f>
        <v/>
      </c>
      <c r="R38" s="6" t="n">
        <v>699</v>
      </c>
      <c r="S38" s="4" t="n">
        <v>2</v>
      </c>
      <c r="T38" s="1" t="inlineStr">
        <is>
          <t>active</t>
        </is>
      </c>
      <c r="U38" s="8" t="n"/>
      <c r="V38" s="1" t="inlineStr">
        <is>
          <t>SIN PRECIO</t>
        </is>
      </c>
    </row>
    <row r="39">
      <c r="A39" s="1" t="inlineStr">
        <is>
          <t>12314361504205</t>
        </is>
      </c>
      <c r="B39" s="1" t="inlineStr">
        <is>
          <t>ANILLO F SILVER ZIRCONIAS</t>
        </is>
      </c>
      <c r="C39" s="1" t="inlineStr">
        <is>
          <t>8</t>
        </is>
      </c>
      <c r="D39" s="1" t="inlineStr">
        <is>
          <t>HAIFENG</t>
        </is>
      </c>
      <c r="E39" s="4">
        <f>COUNTIF('DETALLE CRONOLÓGICO'!$A$2:$A$4919,$A39)</f>
        <v/>
      </c>
      <c r="F39" s="4">
        <f>SUMIFS('DETALLE CRONOLÓGICO'!$I$2:$I$4919,'DETALLE CRONOLÓGICO'!$A$2:$A$4919,$A39)</f>
        <v/>
      </c>
      <c r="G39" s="1">
        <f>INDEX('DETALLE CRONOLÓGICO'!$D$2:$D$4919,MATCH($A39,'DETALLE CRONOLÓGICO'!$A$2:$A$4919,0))</f>
        <v/>
      </c>
      <c r="H39" s="1">
        <f>INDEX('DETALLE CRONOLÓGICO'!$D$2:$D$4919,MATCH($A39,'DETALLE CRONOLÓGICO'!$A$2:$A$4919,0)+$E39-1)</f>
        <v/>
      </c>
      <c r="I39" s="5">
        <f>IFERROR(SUMIFS('DETALLE CRONOLÓGICO'!$L$2:$L$4919,'DETALLE CRONOLÓGICO'!$A$2:$A$4919,$A39)/$F39,"")</f>
        <v/>
      </c>
      <c r="J39" s="6">
        <f>IFERROR(SUMIFS('DETALLE CRONOLÓGICO'!$K$2:$K$4919,'DETALLE CRONOLÓGICO'!$A$2:$A$4919,$A39)/$E39,"")</f>
        <v/>
      </c>
      <c r="K39" s="6">
        <f>_xlfn.MINIFS('DETALLE CRONOLÓGICO'!$K$2:$K$4919,'DETALLE CRONOLÓGICO'!$A$2:$A$4919,$A39)</f>
        <v/>
      </c>
      <c r="L39" s="6">
        <f>_xlfn.MAXIFS('DETALLE CRONOLÓGICO'!$K$2:$K$4919,'DETALLE CRONOLÓGICO'!$A$2:$A$4919,$A39)</f>
        <v/>
      </c>
      <c r="M39" s="6">
        <f>INDEX('DETALLE CRONOLÓGICO'!$K$2:$K$4919,MATCH($A39,'DETALLE CRONOLÓGICO'!$A$2:$A$4919,0)+$E39-1)</f>
        <v/>
      </c>
      <c r="N39" s="7">
        <f>IFERROR($M39/INDEX('DETALLE CRONOLÓGICO'!$K$2:$K$4919,MATCH($A39,'DETALLE CRONOLÓGICO'!$A$2:$A$4919,0))-1,"")</f>
        <v/>
      </c>
      <c r="O39" s="6">
        <f>IFERROR($I39*3,"")</f>
        <v/>
      </c>
      <c r="P39" s="6">
        <f>IFERROR($I39*3.5,"")</f>
        <v/>
      </c>
      <c r="Q39" s="6">
        <f>IFERROR($I39*4,"")</f>
        <v/>
      </c>
      <c r="R39" s="6" t="n">
        <v>404</v>
      </c>
      <c r="S39" s="4" t="n">
        <v>1</v>
      </c>
      <c r="T39" s="1" t="inlineStr">
        <is>
          <t>active</t>
        </is>
      </c>
      <c r="U39" s="8" t="n"/>
      <c r="V39" s="1" t="inlineStr">
        <is>
          <t>SIN PRECIO</t>
        </is>
      </c>
    </row>
    <row r="40">
      <c r="A40" s="1" t="inlineStr">
        <is>
          <t>12314361636973</t>
        </is>
      </c>
      <c r="B40" s="1" t="inlineStr">
        <is>
          <t>ANILLO F SILVER ZIRCONIAS</t>
        </is>
      </c>
      <c r="C40" s="1" t="n">
        <v>9</v>
      </c>
      <c r="D40" s="1" t="inlineStr">
        <is>
          <t>HAIFENG</t>
        </is>
      </c>
      <c r="E40" s="4">
        <f>COUNTIF('DETALLE CRONOLÓGICO'!$A$2:$A$4919,$A40)</f>
        <v/>
      </c>
      <c r="F40" s="4">
        <f>SUMIFS('DETALLE CRONOLÓGICO'!$I$2:$I$4919,'DETALLE CRONOLÓGICO'!$A$2:$A$4919,$A40)</f>
        <v/>
      </c>
      <c r="G40" s="1">
        <f>INDEX('DETALLE CRONOLÓGICO'!$D$2:$D$4919,MATCH($A40,'DETALLE CRONOLÓGICO'!$A$2:$A$4919,0))</f>
        <v/>
      </c>
      <c r="H40" s="1">
        <f>INDEX('DETALLE CRONOLÓGICO'!$D$2:$D$4919,MATCH($A40,'DETALLE CRONOLÓGICO'!$A$2:$A$4919,0)+$E40-1)</f>
        <v/>
      </c>
      <c r="I40" s="5">
        <f>IFERROR(SUMIFS('DETALLE CRONOLÓGICO'!$L$2:$L$4919,'DETALLE CRONOLÓGICO'!$A$2:$A$4919,$A40)/$F40,"")</f>
        <v/>
      </c>
      <c r="J40" s="6">
        <f>IFERROR(SUMIFS('DETALLE CRONOLÓGICO'!$K$2:$K$4919,'DETALLE CRONOLÓGICO'!$A$2:$A$4919,$A40)/$E40,"")</f>
        <v/>
      </c>
      <c r="K40" s="6">
        <f>_xlfn.MINIFS('DETALLE CRONOLÓGICO'!$K$2:$K$4919,'DETALLE CRONOLÓGICO'!$A$2:$A$4919,$A40)</f>
        <v/>
      </c>
      <c r="L40" s="6">
        <f>_xlfn.MAXIFS('DETALLE CRONOLÓGICO'!$K$2:$K$4919,'DETALLE CRONOLÓGICO'!$A$2:$A$4919,$A40)</f>
        <v/>
      </c>
      <c r="M40" s="6">
        <f>INDEX('DETALLE CRONOLÓGICO'!$K$2:$K$4919,MATCH($A40,'DETALLE CRONOLÓGICO'!$A$2:$A$4919,0)+$E40-1)</f>
        <v/>
      </c>
      <c r="N40" s="7">
        <f>IFERROR($M40/INDEX('DETALLE CRONOLÓGICO'!$K$2:$K$4919,MATCH($A40,'DETALLE CRONOLÓGICO'!$A$2:$A$4919,0))-1,"")</f>
        <v/>
      </c>
      <c r="O40" s="6">
        <f>IFERROR($I40*3,"")</f>
        <v/>
      </c>
      <c r="P40" s="6">
        <f>IFERROR($I40*3.5,"")</f>
        <v/>
      </c>
      <c r="Q40" s="6">
        <f>IFERROR($I40*4,"")</f>
        <v/>
      </c>
      <c r="R40" s="6" t="n">
        <v>374</v>
      </c>
      <c r="S40" s="4" t="n">
        <v>2</v>
      </c>
      <c r="T40" s="1" t="inlineStr">
        <is>
          <t>active</t>
        </is>
      </c>
      <c r="U40" s="8" t="n"/>
      <c r="V40" s="1" t="inlineStr">
        <is>
          <t>SIN PRECIO</t>
        </is>
      </c>
    </row>
    <row r="41">
      <c r="A41" s="1" t="inlineStr">
        <is>
          <t>12314361740365</t>
        </is>
      </c>
      <c r="B41" s="1" t="inlineStr">
        <is>
          <t>COLLAR F GOLD ZIRCONIAS</t>
        </is>
      </c>
      <c r="C41" s="1" t="inlineStr">
        <is>
          <t>Default Title</t>
        </is>
      </c>
      <c r="D41" s="1" t="inlineStr">
        <is>
          <t>HAIFENG</t>
        </is>
      </c>
      <c r="E41" s="4">
        <f>COUNTIF('DETALLE CRONOLÓGICO'!$A$2:$A$4919,$A41)</f>
        <v/>
      </c>
      <c r="F41" s="4">
        <f>SUMIFS('DETALLE CRONOLÓGICO'!$I$2:$I$4919,'DETALLE CRONOLÓGICO'!$A$2:$A$4919,$A41)</f>
        <v/>
      </c>
      <c r="G41" s="1">
        <f>INDEX('DETALLE CRONOLÓGICO'!$D$2:$D$4919,MATCH($A41,'DETALLE CRONOLÓGICO'!$A$2:$A$4919,0))</f>
        <v/>
      </c>
      <c r="H41" s="1">
        <f>INDEX('DETALLE CRONOLÓGICO'!$D$2:$D$4919,MATCH($A41,'DETALLE CRONOLÓGICO'!$A$2:$A$4919,0)+$E41-1)</f>
        <v/>
      </c>
      <c r="I41" s="5">
        <f>IFERROR(SUMIFS('DETALLE CRONOLÓGICO'!$L$2:$L$4919,'DETALLE CRONOLÓGICO'!$A$2:$A$4919,$A41)/$F41,"")</f>
        <v/>
      </c>
      <c r="J41" s="6">
        <f>IFERROR(SUMIFS('DETALLE CRONOLÓGICO'!$K$2:$K$4919,'DETALLE CRONOLÓGICO'!$A$2:$A$4919,$A41)/$E41,"")</f>
        <v/>
      </c>
      <c r="K41" s="6">
        <f>_xlfn.MINIFS('DETALLE CRONOLÓGICO'!$K$2:$K$4919,'DETALLE CRONOLÓGICO'!$A$2:$A$4919,$A41)</f>
        <v/>
      </c>
      <c r="L41" s="6">
        <f>_xlfn.MAXIFS('DETALLE CRONOLÓGICO'!$K$2:$K$4919,'DETALLE CRONOLÓGICO'!$A$2:$A$4919,$A41)</f>
        <v/>
      </c>
      <c r="M41" s="6">
        <f>INDEX('DETALLE CRONOLÓGICO'!$K$2:$K$4919,MATCH($A41,'DETALLE CRONOLÓGICO'!$A$2:$A$4919,0)+$E41-1)</f>
        <v/>
      </c>
      <c r="N41" s="7">
        <f>IFERROR($M41/INDEX('DETALLE CRONOLÓGICO'!$K$2:$K$4919,MATCH($A41,'DETALLE CRONOLÓGICO'!$A$2:$A$4919,0))-1,"")</f>
        <v/>
      </c>
      <c r="O41" s="6">
        <f>IFERROR($I41*3,"")</f>
        <v/>
      </c>
      <c r="P41" s="6">
        <f>IFERROR($I41*3.5,"")</f>
        <v/>
      </c>
      <c r="Q41" s="6">
        <f>IFERROR($I41*4,"")</f>
        <v/>
      </c>
      <c r="R41" s="6" t="n">
        <v>660</v>
      </c>
      <c r="S41" s="4" t="n">
        <v>5</v>
      </c>
      <c r="T41" s="1" t="inlineStr">
        <is>
          <t>active</t>
        </is>
      </c>
      <c r="U41" s="8" t="n"/>
      <c r="V41" s="1" t="inlineStr">
        <is>
          <t>SIN PRECIO</t>
        </is>
      </c>
    </row>
    <row r="42">
      <c r="A42" s="1" t="inlineStr">
        <is>
          <t>12314361978221</t>
        </is>
      </c>
      <c r="B42" s="1" t="inlineStr">
        <is>
          <t>ARETES F SILVER ZIRCONIAS</t>
        </is>
      </c>
      <c r="C42" s="1" t="inlineStr">
        <is>
          <t>Default Title</t>
        </is>
      </c>
      <c r="D42" s="1" t="inlineStr">
        <is>
          <t>HAIFENG</t>
        </is>
      </c>
      <c r="E42" s="4">
        <f>COUNTIF('DETALLE CRONOLÓGICO'!$A$2:$A$4919,$A42)</f>
        <v/>
      </c>
      <c r="F42" s="4">
        <f>SUMIFS('DETALLE CRONOLÓGICO'!$I$2:$I$4919,'DETALLE CRONOLÓGICO'!$A$2:$A$4919,$A42)</f>
        <v/>
      </c>
      <c r="G42" s="1">
        <f>INDEX('DETALLE CRONOLÓGICO'!$D$2:$D$4919,MATCH($A42,'DETALLE CRONOLÓGICO'!$A$2:$A$4919,0))</f>
        <v/>
      </c>
      <c r="H42" s="1">
        <f>INDEX('DETALLE CRONOLÓGICO'!$D$2:$D$4919,MATCH($A42,'DETALLE CRONOLÓGICO'!$A$2:$A$4919,0)+$E42-1)</f>
        <v/>
      </c>
      <c r="I42" s="5">
        <f>IFERROR(SUMIFS('DETALLE CRONOLÓGICO'!$L$2:$L$4919,'DETALLE CRONOLÓGICO'!$A$2:$A$4919,$A42)/$F42,"")</f>
        <v/>
      </c>
      <c r="J42" s="6">
        <f>IFERROR(SUMIFS('DETALLE CRONOLÓGICO'!$K$2:$K$4919,'DETALLE CRONOLÓGICO'!$A$2:$A$4919,$A42)/$E42,"")</f>
        <v/>
      </c>
      <c r="K42" s="6">
        <f>_xlfn.MINIFS('DETALLE CRONOLÓGICO'!$K$2:$K$4919,'DETALLE CRONOLÓGICO'!$A$2:$A$4919,$A42)</f>
        <v/>
      </c>
      <c r="L42" s="6">
        <f>_xlfn.MAXIFS('DETALLE CRONOLÓGICO'!$K$2:$K$4919,'DETALLE CRONOLÓGICO'!$A$2:$A$4919,$A42)</f>
        <v/>
      </c>
      <c r="M42" s="6">
        <f>INDEX('DETALLE CRONOLÓGICO'!$K$2:$K$4919,MATCH($A42,'DETALLE CRONOLÓGICO'!$A$2:$A$4919,0)+$E42-1)</f>
        <v/>
      </c>
      <c r="N42" s="7">
        <f>IFERROR($M42/INDEX('DETALLE CRONOLÓGICO'!$K$2:$K$4919,MATCH($A42,'DETALLE CRONOLÓGICO'!$A$2:$A$4919,0))-1,"")</f>
        <v/>
      </c>
      <c r="O42" s="6">
        <f>IFERROR($I42*3,"")</f>
        <v/>
      </c>
      <c r="P42" s="6">
        <f>IFERROR($I42*3.5,"")</f>
        <v/>
      </c>
      <c r="Q42" s="6">
        <f>IFERROR($I42*4,"")</f>
        <v/>
      </c>
      <c r="R42" s="6" t="n">
        <v>580</v>
      </c>
      <c r="S42" s="4" t="n">
        <v>3</v>
      </c>
      <c r="T42" s="1" t="inlineStr">
        <is>
          <t>active</t>
        </is>
      </c>
      <c r="U42" s="8" t="n"/>
      <c r="V42" s="1" t="inlineStr">
        <is>
          <t>SIN PRECIO</t>
        </is>
      </c>
    </row>
    <row r="43">
      <c r="A43" s="1" t="inlineStr">
        <is>
          <t>12314362081613</t>
        </is>
      </c>
      <c r="B43" s="1" t="inlineStr">
        <is>
          <t>ARETES F GOLD ZIRCONIAS</t>
        </is>
      </c>
      <c r="C43" s="1" t="inlineStr">
        <is>
          <t>Default Title</t>
        </is>
      </c>
      <c r="D43" s="1" t="inlineStr">
        <is>
          <t>HAIFENG</t>
        </is>
      </c>
      <c r="E43" s="4">
        <f>COUNTIF('DETALLE CRONOLÓGICO'!$A$2:$A$4919,$A43)</f>
        <v/>
      </c>
      <c r="F43" s="4">
        <f>SUMIFS('DETALLE CRONOLÓGICO'!$I$2:$I$4919,'DETALLE CRONOLÓGICO'!$A$2:$A$4919,$A43)</f>
        <v/>
      </c>
      <c r="G43" s="1">
        <f>INDEX('DETALLE CRONOLÓGICO'!$D$2:$D$4919,MATCH($A43,'DETALLE CRONOLÓGICO'!$A$2:$A$4919,0))</f>
        <v/>
      </c>
      <c r="H43" s="1">
        <f>INDEX('DETALLE CRONOLÓGICO'!$D$2:$D$4919,MATCH($A43,'DETALLE CRONOLÓGICO'!$A$2:$A$4919,0)+$E43-1)</f>
        <v/>
      </c>
      <c r="I43" s="5">
        <f>IFERROR(SUMIFS('DETALLE CRONOLÓGICO'!$L$2:$L$4919,'DETALLE CRONOLÓGICO'!$A$2:$A$4919,$A43)/$F43,"")</f>
        <v/>
      </c>
      <c r="J43" s="6">
        <f>IFERROR(SUMIFS('DETALLE CRONOLÓGICO'!$K$2:$K$4919,'DETALLE CRONOLÓGICO'!$A$2:$A$4919,$A43)/$E43,"")</f>
        <v/>
      </c>
      <c r="K43" s="6">
        <f>_xlfn.MINIFS('DETALLE CRONOLÓGICO'!$K$2:$K$4919,'DETALLE CRONOLÓGICO'!$A$2:$A$4919,$A43)</f>
        <v/>
      </c>
      <c r="L43" s="6">
        <f>_xlfn.MAXIFS('DETALLE CRONOLÓGICO'!$K$2:$K$4919,'DETALLE CRONOLÓGICO'!$A$2:$A$4919,$A43)</f>
        <v/>
      </c>
      <c r="M43" s="6">
        <f>INDEX('DETALLE CRONOLÓGICO'!$K$2:$K$4919,MATCH($A43,'DETALLE CRONOLÓGICO'!$A$2:$A$4919,0)+$E43-1)</f>
        <v/>
      </c>
      <c r="N43" s="7">
        <f>IFERROR($M43/INDEX('DETALLE CRONOLÓGICO'!$K$2:$K$4919,MATCH($A43,'DETALLE CRONOLÓGICO'!$A$2:$A$4919,0))-1,"")</f>
        <v/>
      </c>
      <c r="O43" s="6">
        <f>IFERROR($I43*3,"")</f>
        <v/>
      </c>
      <c r="P43" s="6">
        <f>IFERROR($I43*3.5,"")</f>
        <v/>
      </c>
      <c r="Q43" s="6">
        <f>IFERROR($I43*4,"")</f>
        <v/>
      </c>
      <c r="R43" s="6" t="n">
        <v>580</v>
      </c>
      <c r="S43" s="4" t="n">
        <v>2</v>
      </c>
      <c r="T43" s="1" t="inlineStr">
        <is>
          <t>active</t>
        </is>
      </c>
      <c r="U43" s="8" t="n"/>
      <c r="V43" s="1" t="inlineStr">
        <is>
          <t>SIN PRECIO</t>
        </is>
      </c>
    </row>
    <row r="44">
      <c r="A44" s="1" t="inlineStr">
        <is>
          <t>12314362119469</t>
        </is>
      </c>
      <c r="B44" s="1" t="inlineStr">
        <is>
          <t>PULSERA F O'LOCK GOLD</t>
        </is>
      </c>
      <c r="C44" s="1" t="inlineStr">
        <is>
          <t>Default Title</t>
        </is>
      </c>
      <c r="D44" s="1" t="inlineStr">
        <is>
          <t>HAIFENG</t>
        </is>
      </c>
      <c r="E44" s="4">
        <f>COUNTIF('DETALLE CRONOLÓGICO'!$A$2:$A$4919,$A44)</f>
        <v/>
      </c>
      <c r="F44" s="4">
        <f>SUMIFS('DETALLE CRONOLÓGICO'!$I$2:$I$4919,'DETALLE CRONOLÓGICO'!$A$2:$A$4919,$A44)</f>
        <v/>
      </c>
      <c r="G44" s="1">
        <f>INDEX('DETALLE CRONOLÓGICO'!$D$2:$D$4919,MATCH($A44,'DETALLE CRONOLÓGICO'!$A$2:$A$4919,0))</f>
        <v/>
      </c>
      <c r="H44" s="1">
        <f>INDEX('DETALLE CRONOLÓGICO'!$D$2:$D$4919,MATCH($A44,'DETALLE CRONOLÓGICO'!$A$2:$A$4919,0)+$E44-1)</f>
        <v/>
      </c>
      <c r="I44" s="5">
        <f>IFERROR(SUMIFS('DETALLE CRONOLÓGICO'!$L$2:$L$4919,'DETALLE CRONOLÓGICO'!$A$2:$A$4919,$A44)/$F44,"")</f>
        <v/>
      </c>
      <c r="J44" s="6">
        <f>IFERROR(SUMIFS('DETALLE CRONOLÓGICO'!$K$2:$K$4919,'DETALLE CRONOLÓGICO'!$A$2:$A$4919,$A44)/$E44,"")</f>
        <v/>
      </c>
      <c r="K44" s="6">
        <f>_xlfn.MINIFS('DETALLE CRONOLÓGICO'!$K$2:$K$4919,'DETALLE CRONOLÓGICO'!$A$2:$A$4919,$A44)</f>
        <v/>
      </c>
      <c r="L44" s="6">
        <f>_xlfn.MAXIFS('DETALLE CRONOLÓGICO'!$K$2:$K$4919,'DETALLE CRONOLÓGICO'!$A$2:$A$4919,$A44)</f>
        <v/>
      </c>
      <c r="M44" s="6">
        <f>INDEX('DETALLE CRONOLÓGICO'!$K$2:$K$4919,MATCH($A44,'DETALLE CRONOLÓGICO'!$A$2:$A$4919,0)+$E44-1)</f>
        <v/>
      </c>
      <c r="N44" s="7">
        <f>IFERROR($M44/INDEX('DETALLE CRONOLÓGICO'!$K$2:$K$4919,MATCH($A44,'DETALLE CRONOLÓGICO'!$A$2:$A$4919,0))-1,"")</f>
        <v/>
      </c>
      <c r="O44" s="6">
        <f>IFERROR($I44*3,"")</f>
        <v/>
      </c>
      <c r="P44" s="6">
        <f>IFERROR($I44*3.5,"")</f>
        <v/>
      </c>
      <c r="Q44" s="6">
        <f>IFERROR($I44*4,"")</f>
        <v/>
      </c>
      <c r="R44" s="6" t="n">
        <v>580</v>
      </c>
      <c r="S44" s="4" t="n">
        <v>3</v>
      </c>
      <c r="T44" s="1" t="inlineStr">
        <is>
          <t>active</t>
        </is>
      </c>
      <c r="U44" s="8" t="n"/>
      <c r="V44" s="1" t="inlineStr">
        <is>
          <t>SIN PRECIO</t>
        </is>
      </c>
    </row>
    <row r="45">
      <c r="A45" s="1" t="inlineStr">
        <is>
          <t>12314362492941</t>
        </is>
      </c>
      <c r="B45" s="1" t="inlineStr">
        <is>
          <t>ARETES F GOLD</t>
        </is>
      </c>
      <c r="C45" s="1" t="inlineStr">
        <is>
          <t>Default Title</t>
        </is>
      </c>
      <c r="D45" s="1" t="inlineStr">
        <is>
          <t>HAIFENG</t>
        </is>
      </c>
      <c r="E45" s="4">
        <f>COUNTIF('DETALLE CRONOLÓGICO'!$A$2:$A$4919,$A45)</f>
        <v/>
      </c>
      <c r="F45" s="4">
        <f>SUMIFS('DETALLE CRONOLÓGICO'!$I$2:$I$4919,'DETALLE CRONOLÓGICO'!$A$2:$A$4919,$A45)</f>
        <v/>
      </c>
      <c r="G45" s="1">
        <f>INDEX('DETALLE CRONOLÓGICO'!$D$2:$D$4919,MATCH($A45,'DETALLE CRONOLÓGICO'!$A$2:$A$4919,0))</f>
        <v/>
      </c>
      <c r="H45" s="1">
        <f>INDEX('DETALLE CRONOLÓGICO'!$D$2:$D$4919,MATCH($A45,'DETALLE CRONOLÓGICO'!$A$2:$A$4919,0)+$E45-1)</f>
        <v/>
      </c>
      <c r="I45" s="5">
        <f>IFERROR(SUMIFS('DETALLE CRONOLÓGICO'!$L$2:$L$4919,'DETALLE CRONOLÓGICO'!$A$2:$A$4919,$A45)/$F45,"")</f>
        <v/>
      </c>
      <c r="J45" s="6">
        <f>IFERROR(SUMIFS('DETALLE CRONOLÓGICO'!$K$2:$K$4919,'DETALLE CRONOLÓGICO'!$A$2:$A$4919,$A45)/$E45,"")</f>
        <v/>
      </c>
      <c r="K45" s="6">
        <f>_xlfn.MINIFS('DETALLE CRONOLÓGICO'!$K$2:$K$4919,'DETALLE CRONOLÓGICO'!$A$2:$A$4919,$A45)</f>
        <v/>
      </c>
      <c r="L45" s="6">
        <f>_xlfn.MAXIFS('DETALLE CRONOLÓGICO'!$K$2:$K$4919,'DETALLE CRONOLÓGICO'!$A$2:$A$4919,$A45)</f>
        <v/>
      </c>
      <c r="M45" s="6">
        <f>INDEX('DETALLE CRONOLÓGICO'!$K$2:$K$4919,MATCH($A45,'DETALLE CRONOLÓGICO'!$A$2:$A$4919,0)+$E45-1)</f>
        <v/>
      </c>
      <c r="N45" s="7">
        <f>IFERROR($M45/INDEX('DETALLE CRONOLÓGICO'!$K$2:$K$4919,MATCH($A45,'DETALLE CRONOLÓGICO'!$A$2:$A$4919,0))-1,"")</f>
        <v/>
      </c>
      <c r="O45" s="6">
        <f>IFERROR($I45*3,"")</f>
        <v/>
      </c>
      <c r="P45" s="6">
        <f>IFERROR($I45*3.5,"")</f>
        <v/>
      </c>
      <c r="Q45" s="6">
        <f>IFERROR($I45*4,"")</f>
        <v/>
      </c>
      <c r="R45" s="6" t="n">
        <v>499</v>
      </c>
      <c r="S45" s="4" t="n">
        <v>4</v>
      </c>
      <c r="T45" s="1" t="inlineStr">
        <is>
          <t>active</t>
        </is>
      </c>
      <c r="U45" s="8" t="n"/>
      <c r="V45" s="1" t="inlineStr">
        <is>
          <t>SIN PRECIO</t>
        </is>
      </c>
    </row>
    <row r="46">
      <c r="A46" s="1" t="inlineStr">
        <is>
          <t>12314362540493</t>
        </is>
      </c>
      <c r="B46" s="1" t="inlineStr">
        <is>
          <t>ARRACADAS F GOLD-BLACK</t>
        </is>
      </c>
      <c r="C46" s="1" t="inlineStr">
        <is>
          <t>Default Title</t>
        </is>
      </c>
      <c r="D46" s="1" t="inlineStr">
        <is>
          <t>HAIFENG</t>
        </is>
      </c>
      <c r="E46" s="4">
        <f>COUNTIF('DETALLE CRONOLÓGICO'!$A$2:$A$4919,$A46)</f>
        <v/>
      </c>
      <c r="F46" s="4">
        <f>SUMIFS('DETALLE CRONOLÓGICO'!$I$2:$I$4919,'DETALLE CRONOLÓGICO'!$A$2:$A$4919,$A46)</f>
        <v/>
      </c>
      <c r="G46" s="1">
        <f>INDEX('DETALLE CRONOLÓGICO'!$D$2:$D$4919,MATCH($A46,'DETALLE CRONOLÓGICO'!$A$2:$A$4919,0))</f>
        <v/>
      </c>
      <c r="H46" s="1">
        <f>INDEX('DETALLE CRONOLÓGICO'!$D$2:$D$4919,MATCH($A46,'DETALLE CRONOLÓGICO'!$A$2:$A$4919,0)+$E46-1)</f>
        <v/>
      </c>
      <c r="I46" s="5">
        <f>IFERROR(SUMIFS('DETALLE CRONOLÓGICO'!$L$2:$L$4919,'DETALLE CRONOLÓGICO'!$A$2:$A$4919,$A46)/$F46,"")</f>
        <v/>
      </c>
      <c r="J46" s="6">
        <f>IFERROR(SUMIFS('DETALLE CRONOLÓGICO'!$K$2:$K$4919,'DETALLE CRONOLÓGICO'!$A$2:$A$4919,$A46)/$E46,"")</f>
        <v/>
      </c>
      <c r="K46" s="6">
        <f>_xlfn.MINIFS('DETALLE CRONOLÓGICO'!$K$2:$K$4919,'DETALLE CRONOLÓGICO'!$A$2:$A$4919,$A46)</f>
        <v/>
      </c>
      <c r="L46" s="6">
        <f>_xlfn.MAXIFS('DETALLE CRONOLÓGICO'!$K$2:$K$4919,'DETALLE CRONOLÓGICO'!$A$2:$A$4919,$A46)</f>
        <v/>
      </c>
      <c r="M46" s="6">
        <f>INDEX('DETALLE CRONOLÓGICO'!$K$2:$K$4919,MATCH($A46,'DETALLE CRONOLÓGICO'!$A$2:$A$4919,0)+$E46-1)</f>
        <v/>
      </c>
      <c r="N46" s="7">
        <f>IFERROR($M46/INDEX('DETALLE CRONOLÓGICO'!$K$2:$K$4919,MATCH($A46,'DETALLE CRONOLÓGICO'!$A$2:$A$4919,0))-1,"")</f>
        <v/>
      </c>
      <c r="O46" s="6">
        <f>IFERROR($I46*3,"")</f>
        <v/>
      </c>
      <c r="P46" s="6">
        <f>IFERROR($I46*3.5,"")</f>
        <v/>
      </c>
      <c r="Q46" s="6">
        <f>IFERROR($I46*4,"")</f>
        <v/>
      </c>
      <c r="R46" s="6" t="n">
        <v>670</v>
      </c>
      <c r="S46" s="4" t="n">
        <v>4</v>
      </c>
      <c r="T46" s="1" t="inlineStr">
        <is>
          <t>active</t>
        </is>
      </c>
      <c r="U46" s="8" t="n"/>
      <c r="V46" s="1" t="inlineStr">
        <is>
          <t>SIN PRECIO</t>
        </is>
      </c>
    </row>
    <row r="47">
      <c r="A47" s="1" t="inlineStr">
        <is>
          <t>12314362665261</t>
        </is>
      </c>
      <c r="B47" s="1" t="inlineStr">
        <is>
          <t>BRAZALETE F GOLD ZIRCONIAS</t>
        </is>
      </c>
      <c r="C47" s="1" t="inlineStr">
        <is>
          <t>0.5 cm</t>
        </is>
      </c>
      <c r="D47" s="1" t="inlineStr">
        <is>
          <t>HAIFENG</t>
        </is>
      </c>
      <c r="E47" s="4">
        <f>COUNTIF('DETALLE CRONOLÓGICO'!$A$2:$A$4919,$A47)</f>
        <v/>
      </c>
      <c r="F47" s="4">
        <f>SUMIFS('DETALLE CRONOLÓGICO'!$I$2:$I$4919,'DETALLE CRONOLÓGICO'!$A$2:$A$4919,$A47)</f>
        <v/>
      </c>
      <c r="G47" s="1">
        <f>INDEX('DETALLE CRONOLÓGICO'!$D$2:$D$4919,MATCH($A47,'DETALLE CRONOLÓGICO'!$A$2:$A$4919,0))</f>
        <v/>
      </c>
      <c r="H47" s="1">
        <f>INDEX('DETALLE CRONOLÓGICO'!$D$2:$D$4919,MATCH($A47,'DETALLE CRONOLÓGICO'!$A$2:$A$4919,0)+$E47-1)</f>
        <v/>
      </c>
      <c r="I47" s="5">
        <f>IFERROR(SUMIFS('DETALLE CRONOLÓGICO'!$L$2:$L$4919,'DETALLE CRONOLÓGICO'!$A$2:$A$4919,$A47)/$F47,"")</f>
        <v/>
      </c>
      <c r="J47" s="6">
        <f>IFERROR(SUMIFS('DETALLE CRONOLÓGICO'!$K$2:$K$4919,'DETALLE CRONOLÓGICO'!$A$2:$A$4919,$A47)/$E47,"")</f>
        <v/>
      </c>
      <c r="K47" s="6">
        <f>_xlfn.MINIFS('DETALLE CRONOLÓGICO'!$K$2:$K$4919,'DETALLE CRONOLÓGICO'!$A$2:$A$4919,$A47)</f>
        <v/>
      </c>
      <c r="L47" s="6">
        <f>_xlfn.MAXIFS('DETALLE CRONOLÓGICO'!$K$2:$K$4919,'DETALLE CRONOLÓGICO'!$A$2:$A$4919,$A47)</f>
        <v/>
      </c>
      <c r="M47" s="6">
        <f>INDEX('DETALLE CRONOLÓGICO'!$K$2:$K$4919,MATCH($A47,'DETALLE CRONOLÓGICO'!$A$2:$A$4919,0)+$E47-1)</f>
        <v/>
      </c>
      <c r="N47" s="7">
        <f>IFERROR($M47/INDEX('DETALLE CRONOLÓGICO'!$K$2:$K$4919,MATCH($A47,'DETALLE CRONOLÓGICO'!$A$2:$A$4919,0))-1,"")</f>
        <v/>
      </c>
      <c r="O47" s="6">
        <f>IFERROR($I47*3,"")</f>
        <v/>
      </c>
      <c r="P47" s="6">
        <f>IFERROR($I47*3.5,"")</f>
        <v/>
      </c>
      <c r="Q47" s="6">
        <f>IFERROR($I47*4,"")</f>
        <v/>
      </c>
      <c r="R47" s="6" t="n">
        <v>840</v>
      </c>
      <c r="S47" s="4" t="n">
        <v>0</v>
      </c>
      <c r="T47" s="1" t="inlineStr">
        <is>
          <t>active</t>
        </is>
      </c>
      <c r="U47" s="8" t="n"/>
      <c r="V47" s="1" t="inlineStr">
        <is>
          <t>SIN PRECIO</t>
        </is>
      </c>
    </row>
    <row r="48">
      <c r="A48" s="1" t="inlineStr">
        <is>
          <t>12314362703117</t>
        </is>
      </c>
      <c r="B48" s="1" t="inlineStr">
        <is>
          <t>ANILLO F GOLD ZIRCONIAS</t>
        </is>
      </c>
      <c r="C48" s="1" t="inlineStr">
        <is>
          <t>6</t>
        </is>
      </c>
      <c r="D48" s="1" t="inlineStr">
        <is>
          <t>HAIFENG</t>
        </is>
      </c>
      <c r="E48" s="4">
        <f>COUNTIF('DETALLE CRONOLÓGICO'!$A$2:$A$4919,$A48)</f>
        <v/>
      </c>
      <c r="F48" s="4">
        <f>SUMIFS('DETALLE CRONOLÓGICO'!$I$2:$I$4919,'DETALLE CRONOLÓGICO'!$A$2:$A$4919,$A48)</f>
        <v/>
      </c>
      <c r="G48" s="1">
        <f>INDEX('DETALLE CRONOLÓGICO'!$D$2:$D$4919,MATCH($A48,'DETALLE CRONOLÓGICO'!$A$2:$A$4919,0))</f>
        <v/>
      </c>
      <c r="H48" s="1">
        <f>INDEX('DETALLE CRONOLÓGICO'!$D$2:$D$4919,MATCH($A48,'DETALLE CRONOLÓGICO'!$A$2:$A$4919,0)+$E48-1)</f>
        <v/>
      </c>
      <c r="I48" s="5">
        <f>IFERROR(SUMIFS('DETALLE CRONOLÓGICO'!$L$2:$L$4919,'DETALLE CRONOLÓGICO'!$A$2:$A$4919,$A48)/$F48,"")</f>
        <v/>
      </c>
      <c r="J48" s="6">
        <f>IFERROR(SUMIFS('DETALLE CRONOLÓGICO'!$K$2:$K$4919,'DETALLE CRONOLÓGICO'!$A$2:$A$4919,$A48)/$E48,"")</f>
        <v/>
      </c>
      <c r="K48" s="6">
        <f>_xlfn.MINIFS('DETALLE CRONOLÓGICO'!$K$2:$K$4919,'DETALLE CRONOLÓGICO'!$A$2:$A$4919,$A48)</f>
        <v/>
      </c>
      <c r="L48" s="6">
        <f>_xlfn.MAXIFS('DETALLE CRONOLÓGICO'!$K$2:$K$4919,'DETALLE CRONOLÓGICO'!$A$2:$A$4919,$A48)</f>
        <v/>
      </c>
      <c r="M48" s="6">
        <f>INDEX('DETALLE CRONOLÓGICO'!$K$2:$K$4919,MATCH($A48,'DETALLE CRONOLÓGICO'!$A$2:$A$4919,0)+$E48-1)</f>
        <v/>
      </c>
      <c r="N48" s="7">
        <f>IFERROR($M48/INDEX('DETALLE CRONOLÓGICO'!$K$2:$K$4919,MATCH($A48,'DETALLE CRONOLÓGICO'!$A$2:$A$4919,0))-1,"")</f>
        <v/>
      </c>
      <c r="O48" s="6">
        <f>IFERROR($I48*3,"")</f>
        <v/>
      </c>
      <c r="P48" s="6">
        <f>IFERROR($I48*3.5,"")</f>
        <v/>
      </c>
      <c r="Q48" s="6">
        <f>IFERROR($I48*4,"")</f>
        <v/>
      </c>
      <c r="R48" s="6" t="n">
        <v>576.8</v>
      </c>
      <c r="S48" s="4" t="n">
        <v>2</v>
      </c>
      <c r="T48" s="1" t="inlineStr">
        <is>
          <t>active</t>
        </is>
      </c>
      <c r="U48" s="8" t="n"/>
      <c r="V48" s="1" t="inlineStr">
        <is>
          <t>SIN PRECIO</t>
        </is>
      </c>
    </row>
    <row r="49">
      <c r="A49" s="1" t="inlineStr">
        <is>
          <t>12314362835885</t>
        </is>
      </c>
      <c r="B49" s="1" t="inlineStr">
        <is>
          <t>ANILLO F GOLD ZIRCONIAS</t>
        </is>
      </c>
      <c r="C49" s="1" t="inlineStr">
        <is>
          <t>7</t>
        </is>
      </c>
      <c r="D49" s="1" t="inlineStr">
        <is>
          <t>HAIFENG</t>
        </is>
      </c>
      <c r="E49" s="4">
        <f>COUNTIF('DETALLE CRONOLÓGICO'!$A$2:$A$4919,$A49)</f>
        <v/>
      </c>
      <c r="F49" s="4">
        <f>SUMIFS('DETALLE CRONOLÓGICO'!$I$2:$I$4919,'DETALLE CRONOLÓGICO'!$A$2:$A$4919,$A49)</f>
        <v/>
      </c>
      <c r="G49" s="1">
        <f>INDEX('DETALLE CRONOLÓGICO'!$D$2:$D$4919,MATCH($A49,'DETALLE CRONOLÓGICO'!$A$2:$A$4919,0))</f>
        <v/>
      </c>
      <c r="H49" s="1">
        <f>INDEX('DETALLE CRONOLÓGICO'!$D$2:$D$4919,MATCH($A49,'DETALLE CRONOLÓGICO'!$A$2:$A$4919,0)+$E49-1)</f>
        <v/>
      </c>
      <c r="I49" s="5">
        <f>IFERROR(SUMIFS('DETALLE CRONOLÓGICO'!$L$2:$L$4919,'DETALLE CRONOLÓGICO'!$A$2:$A$4919,$A49)/$F49,"")</f>
        <v/>
      </c>
      <c r="J49" s="6">
        <f>IFERROR(SUMIFS('DETALLE CRONOLÓGICO'!$K$2:$K$4919,'DETALLE CRONOLÓGICO'!$A$2:$A$4919,$A49)/$E49,"")</f>
        <v/>
      </c>
      <c r="K49" s="6">
        <f>_xlfn.MINIFS('DETALLE CRONOLÓGICO'!$K$2:$K$4919,'DETALLE CRONOLÓGICO'!$A$2:$A$4919,$A49)</f>
        <v/>
      </c>
      <c r="L49" s="6">
        <f>_xlfn.MAXIFS('DETALLE CRONOLÓGICO'!$K$2:$K$4919,'DETALLE CRONOLÓGICO'!$A$2:$A$4919,$A49)</f>
        <v/>
      </c>
      <c r="M49" s="6">
        <f>INDEX('DETALLE CRONOLÓGICO'!$K$2:$K$4919,MATCH($A49,'DETALLE CRONOLÓGICO'!$A$2:$A$4919,0)+$E49-1)</f>
        <v/>
      </c>
      <c r="N49" s="7">
        <f>IFERROR($M49/INDEX('DETALLE CRONOLÓGICO'!$K$2:$K$4919,MATCH($A49,'DETALLE CRONOLÓGICO'!$A$2:$A$4919,0))-1,"")</f>
        <v/>
      </c>
      <c r="O49" s="6">
        <f>IFERROR($I49*3,"")</f>
        <v/>
      </c>
      <c r="P49" s="6">
        <f>IFERROR($I49*3.5,"")</f>
        <v/>
      </c>
      <c r="Q49" s="6">
        <f>IFERROR($I49*4,"")</f>
        <v/>
      </c>
      <c r="R49" s="6" t="n">
        <v>576.8</v>
      </c>
      <c r="S49" s="4" t="n">
        <v>0</v>
      </c>
      <c r="T49" s="1" t="inlineStr">
        <is>
          <t>active</t>
        </is>
      </c>
      <c r="U49" s="8" t="n"/>
      <c r="V49" s="1" t="inlineStr">
        <is>
          <t>SIN PRECIO</t>
        </is>
      </c>
    </row>
    <row r="50">
      <c r="A50" s="1" t="inlineStr">
        <is>
          <t>12314363483981</t>
        </is>
      </c>
      <c r="B50" s="1" t="inlineStr">
        <is>
          <t>PULSERA F LOGOS GOLD-BLACK</t>
        </is>
      </c>
      <c r="C50" s="1" t="inlineStr">
        <is>
          <t>HIGH QUALITY</t>
        </is>
      </c>
      <c r="D50" s="1" t="inlineStr">
        <is>
          <t>HAIFENG</t>
        </is>
      </c>
      <c r="E50" s="4">
        <f>COUNTIF('DETALLE CRONOLÓGICO'!$A$2:$A$4919,$A50)</f>
        <v/>
      </c>
      <c r="F50" s="4">
        <f>SUMIFS('DETALLE CRONOLÓGICO'!$I$2:$I$4919,'DETALLE CRONOLÓGICO'!$A$2:$A$4919,$A50)</f>
        <v/>
      </c>
      <c r="G50" s="1">
        <f>INDEX('DETALLE CRONOLÓGICO'!$D$2:$D$4919,MATCH($A50,'DETALLE CRONOLÓGICO'!$A$2:$A$4919,0))</f>
        <v/>
      </c>
      <c r="H50" s="1">
        <f>INDEX('DETALLE CRONOLÓGICO'!$D$2:$D$4919,MATCH($A50,'DETALLE CRONOLÓGICO'!$A$2:$A$4919,0)+$E50-1)</f>
        <v/>
      </c>
      <c r="I50" s="5">
        <f>IFERROR(SUMIFS('DETALLE CRONOLÓGICO'!$L$2:$L$4919,'DETALLE CRONOLÓGICO'!$A$2:$A$4919,$A50)/$F50,"")</f>
        <v/>
      </c>
      <c r="J50" s="6">
        <f>IFERROR(SUMIFS('DETALLE CRONOLÓGICO'!$K$2:$K$4919,'DETALLE CRONOLÓGICO'!$A$2:$A$4919,$A50)/$E50,"")</f>
        <v/>
      </c>
      <c r="K50" s="6">
        <f>_xlfn.MINIFS('DETALLE CRONOLÓGICO'!$K$2:$K$4919,'DETALLE CRONOLÓGICO'!$A$2:$A$4919,$A50)</f>
        <v/>
      </c>
      <c r="L50" s="6">
        <f>_xlfn.MAXIFS('DETALLE CRONOLÓGICO'!$K$2:$K$4919,'DETALLE CRONOLÓGICO'!$A$2:$A$4919,$A50)</f>
        <v/>
      </c>
      <c r="M50" s="6">
        <f>INDEX('DETALLE CRONOLÓGICO'!$K$2:$K$4919,MATCH($A50,'DETALLE CRONOLÓGICO'!$A$2:$A$4919,0)+$E50-1)</f>
        <v/>
      </c>
      <c r="N50" s="7">
        <f>IFERROR($M50/INDEX('DETALLE CRONOLÓGICO'!$K$2:$K$4919,MATCH($A50,'DETALLE CRONOLÓGICO'!$A$2:$A$4919,0))-1,"")</f>
        <v/>
      </c>
      <c r="O50" s="6">
        <f>IFERROR($I50*3,"")</f>
        <v/>
      </c>
      <c r="P50" s="6">
        <f>IFERROR($I50*3.5,"")</f>
        <v/>
      </c>
      <c r="Q50" s="6">
        <f>IFERROR($I50*4,"")</f>
        <v/>
      </c>
      <c r="R50" s="6" t="n">
        <v>988</v>
      </c>
      <c r="S50" s="4" t="n">
        <v>2</v>
      </c>
      <c r="T50" s="1" t="inlineStr">
        <is>
          <t>active</t>
        </is>
      </c>
      <c r="U50" s="8" t="n"/>
      <c r="V50" s="1" t="inlineStr">
        <is>
          <t>SIN PRECIO</t>
        </is>
      </c>
    </row>
    <row r="51">
      <c r="A51" s="1" t="inlineStr">
        <is>
          <t>12314363576653</t>
        </is>
      </c>
      <c r="B51" s="1" t="inlineStr">
        <is>
          <t>BRAZALETE F LOGOS GOLD</t>
        </is>
      </c>
      <c r="C51" s="1" t="inlineStr">
        <is>
          <t>Default Title</t>
        </is>
      </c>
      <c r="D51" s="1" t="inlineStr">
        <is>
          <t>HAIFENG</t>
        </is>
      </c>
      <c r="E51" s="4">
        <f>COUNTIF('DETALLE CRONOLÓGICO'!$A$2:$A$4919,$A51)</f>
        <v/>
      </c>
      <c r="F51" s="4">
        <f>SUMIFS('DETALLE CRONOLÓGICO'!$I$2:$I$4919,'DETALLE CRONOLÓGICO'!$A$2:$A$4919,$A51)</f>
        <v/>
      </c>
      <c r="G51" s="1">
        <f>INDEX('DETALLE CRONOLÓGICO'!$D$2:$D$4919,MATCH($A51,'DETALLE CRONOLÓGICO'!$A$2:$A$4919,0))</f>
        <v/>
      </c>
      <c r="H51" s="1">
        <f>INDEX('DETALLE CRONOLÓGICO'!$D$2:$D$4919,MATCH($A51,'DETALLE CRONOLÓGICO'!$A$2:$A$4919,0)+$E51-1)</f>
        <v/>
      </c>
      <c r="I51" s="5">
        <f>IFERROR(SUMIFS('DETALLE CRONOLÓGICO'!$L$2:$L$4919,'DETALLE CRONOLÓGICO'!$A$2:$A$4919,$A51)/$F51,"")</f>
        <v/>
      </c>
      <c r="J51" s="6">
        <f>IFERROR(SUMIFS('DETALLE CRONOLÓGICO'!$K$2:$K$4919,'DETALLE CRONOLÓGICO'!$A$2:$A$4919,$A51)/$E51,"")</f>
        <v/>
      </c>
      <c r="K51" s="6">
        <f>_xlfn.MINIFS('DETALLE CRONOLÓGICO'!$K$2:$K$4919,'DETALLE CRONOLÓGICO'!$A$2:$A$4919,$A51)</f>
        <v/>
      </c>
      <c r="L51" s="6">
        <f>_xlfn.MAXIFS('DETALLE CRONOLÓGICO'!$K$2:$K$4919,'DETALLE CRONOLÓGICO'!$A$2:$A$4919,$A51)</f>
        <v/>
      </c>
      <c r="M51" s="6">
        <f>INDEX('DETALLE CRONOLÓGICO'!$K$2:$K$4919,MATCH($A51,'DETALLE CRONOLÓGICO'!$A$2:$A$4919,0)+$E51-1)</f>
        <v/>
      </c>
      <c r="N51" s="7">
        <f>IFERROR($M51/INDEX('DETALLE CRONOLÓGICO'!$K$2:$K$4919,MATCH($A51,'DETALLE CRONOLÓGICO'!$A$2:$A$4919,0))-1,"")</f>
        <v/>
      </c>
      <c r="O51" s="6">
        <f>IFERROR($I51*3,"")</f>
        <v/>
      </c>
      <c r="P51" s="6">
        <f>IFERROR($I51*3.5,"")</f>
        <v/>
      </c>
      <c r="Q51" s="6">
        <f>IFERROR($I51*4,"")</f>
        <v/>
      </c>
      <c r="R51" s="6" t="n">
        <v>840</v>
      </c>
      <c r="S51" s="4" t="n">
        <v>3</v>
      </c>
      <c r="T51" s="1" t="inlineStr">
        <is>
          <t>active</t>
        </is>
      </c>
      <c r="U51" s="8" t="n"/>
      <c r="V51" s="1" t="inlineStr">
        <is>
          <t>SIN PRECIO</t>
        </is>
      </c>
    </row>
    <row r="52">
      <c r="A52" s="1" t="inlineStr">
        <is>
          <t>12314363611117</t>
        </is>
      </c>
      <c r="B52" s="1" t="inlineStr">
        <is>
          <t>PULSERA MM SILVER-WHITE</t>
        </is>
      </c>
      <c r="C52" s="1" t="inlineStr">
        <is>
          <t>Default Title</t>
        </is>
      </c>
      <c r="D52" s="1" t="inlineStr">
        <is>
          <t>HAIFENG</t>
        </is>
      </c>
      <c r="E52" s="4">
        <f>COUNTIF('DETALLE CRONOLÓGICO'!$A$2:$A$4919,$A52)</f>
        <v/>
      </c>
      <c r="F52" s="4">
        <f>SUMIFS('DETALLE CRONOLÓGICO'!$I$2:$I$4919,'DETALLE CRONOLÓGICO'!$A$2:$A$4919,$A52)</f>
        <v/>
      </c>
      <c r="G52" s="1">
        <f>INDEX('DETALLE CRONOLÓGICO'!$D$2:$D$4919,MATCH($A52,'DETALLE CRONOLÓGICO'!$A$2:$A$4919,0))</f>
        <v/>
      </c>
      <c r="H52" s="1">
        <f>INDEX('DETALLE CRONOLÓGICO'!$D$2:$D$4919,MATCH($A52,'DETALLE CRONOLÓGICO'!$A$2:$A$4919,0)+$E52-1)</f>
        <v/>
      </c>
      <c r="I52" s="5">
        <f>IFERROR(SUMIFS('DETALLE CRONOLÓGICO'!$L$2:$L$4919,'DETALLE CRONOLÓGICO'!$A$2:$A$4919,$A52)/$F52,"")</f>
        <v/>
      </c>
      <c r="J52" s="6">
        <f>IFERROR(SUMIFS('DETALLE CRONOLÓGICO'!$K$2:$K$4919,'DETALLE CRONOLÓGICO'!$A$2:$A$4919,$A52)/$E52,"")</f>
        <v/>
      </c>
      <c r="K52" s="6">
        <f>_xlfn.MINIFS('DETALLE CRONOLÓGICO'!$K$2:$K$4919,'DETALLE CRONOLÓGICO'!$A$2:$A$4919,$A52)</f>
        <v/>
      </c>
      <c r="L52" s="6">
        <f>_xlfn.MAXIFS('DETALLE CRONOLÓGICO'!$K$2:$K$4919,'DETALLE CRONOLÓGICO'!$A$2:$A$4919,$A52)</f>
        <v/>
      </c>
      <c r="M52" s="6">
        <f>INDEX('DETALLE CRONOLÓGICO'!$K$2:$K$4919,MATCH($A52,'DETALLE CRONOLÓGICO'!$A$2:$A$4919,0)+$E52-1)</f>
        <v/>
      </c>
      <c r="N52" s="7">
        <f>IFERROR($M52/INDEX('DETALLE CRONOLÓGICO'!$K$2:$K$4919,MATCH($A52,'DETALLE CRONOLÓGICO'!$A$2:$A$4919,0))-1,"")</f>
        <v/>
      </c>
      <c r="O52" s="6">
        <f>IFERROR($I52*3,"")</f>
        <v/>
      </c>
      <c r="P52" s="6">
        <f>IFERROR($I52*3.5,"")</f>
        <v/>
      </c>
      <c r="Q52" s="6">
        <f>IFERROR($I52*4,"")</f>
        <v/>
      </c>
      <c r="R52" s="6" t="n">
        <v>599</v>
      </c>
      <c r="S52" s="4" t="n">
        <v>3</v>
      </c>
      <c r="T52" s="1" t="inlineStr">
        <is>
          <t>active</t>
        </is>
      </c>
      <c r="U52" s="8" t="n"/>
      <c r="V52" s="1" t="inlineStr">
        <is>
          <t>SIN PRECIO</t>
        </is>
      </c>
    </row>
    <row r="53">
      <c r="A53" s="1" t="inlineStr">
        <is>
          <t>12314363883437</t>
        </is>
      </c>
      <c r="B53" s="1" t="inlineStr">
        <is>
          <t>PULSERA MM GOLD-WHITE</t>
        </is>
      </c>
      <c r="C53" s="1" t="inlineStr">
        <is>
          <t>Default Title</t>
        </is>
      </c>
      <c r="D53" s="1" t="inlineStr">
        <is>
          <t>HAIFENG</t>
        </is>
      </c>
      <c r="E53" s="4">
        <f>COUNTIF('DETALLE CRONOLÓGICO'!$A$2:$A$4919,$A53)</f>
        <v/>
      </c>
      <c r="F53" s="4">
        <f>SUMIFS('DETALLE CRONOLÓGICO'!$I$2:$I$4919,'DETALLE CRONOLÓGICO'!$A$2:$A$4919,$A53)</f>
        <v/>
      </c>
      <c r="G53" s="1">
        <f>INDEX('DETALLE CRONOLÓGICO'!$D$2:$D$4919,MATCH($A53,'DETALLE CRONOLÓGICO'!$A$2:$A$4919,0))</f>
        <v/>
      </c>
      <c r="H53" s="1">
        <f>INDEX('DETALLE CRONOLÓGICO'!$D$2:$D$4919,MATCH($A53,'DETALLE CRONOLÓGICO'!$A$2:$A$4919,0)+$E53-1)</f>
        <v/>
      </c>
      <c r="I53" s="5">
        <f>IFERROR(SUMIFS('DETALLE CRONOLÓGICO'!$L$2:$L$4919,'DETALLE CRONOLÓGICO'!$A$2:$A$4919,$A53)/$F53,"")</f>
        <v/>
      </c>
      <c r="J53" s="6">
        <f>IFERROR(SUMIFS('DETALLE CRONOLÓGICO'!$K$2:$K$4919,'DETALLE CRONOLÓGICO'!$A$2:$A$4919,$A53)/$E53,"")</f>
        <v/>
      </c>
      <c r="K53" s="6">
        <f>_xlfn.MINIFS('DETALLE CRONOLÓGICO'!$K$2:$K$4919,'DETALLE CRONOLÓGICO'!$A$2:$A$4919,$A53)</f>
        <v/>
      </c>
      <c r="L53" s="6">
        <f>_xlfn.MAXIFS('DETALLE CRONOLÓGICO'!$K$2:$K$4919,'DETALLE CRONOLÓGICO'!$A$2:$A$4919,$A53)</f>
        <v/>
      </c>
      <c r="M53" s="6">
        <f>INDEX('DETALLE CRONOLÓGICO'!$K$2:$K$4919,MATCH($A53,'DETALLE CRONOLÓGICO'!$A$2:$A$4919,0)+$E53-1)</f>
        <v/>
      </c>
      <c r="N53" s="7">
        <f>IFERROR($M53/INDEX('DETALLE CRONOLÓGICO'!$K$2:$K$4919,MATCH($A53,'DETALLE CRONOLÓGICO'!$A$2:$A$4919,0))-1,"")</f>
        <v/>
      </c>
      <c r="O53" s="6">
        <f>IFERROR($I53*3,"")</f>
        <v/>
      </c>
      <c r="P53" s="6">
        <f>IFERROR($I53*3.5,"")</f>
        <v/>
      </c>
      <c r="Q53" s="6">
        <f>IFERROR($I53*4,"")</f>
        <v/>
      </c>
      <c r="R53" s="6" t="n"/>
      <c r="S53" s="4" t="n"/>
      <c r="T53" s="1" t="inlineStr">
        <is>
          <t>YA NO EXISTE EN SHOPIFY</t>
        </is>
      </c>
      <c r="U53" s="8" t="n"/>
      <c r="V53" s="1" t="inlineStr">
        <is>
          <t>SIN PRECIO</t>
        </is>
      </c>
    </row>
    <row r="54">
      <c r="A54" s="1" t="inlineStr">
        <is>
          <t>12314363985133</t>
        </is>
      </c>
      <c r="B54" s="1" t="inlineStr">
        <is>
          <t>ARRACADAS MM GOLD-BLACK</t>
        </is>
      </c>
      <c r="C54" s="1" t="inlineStr">
        <is>
          <t>Default Title</t>
        </is>
      </c>
      <c r="D54" s="1" t="inlineStr">
        <is>
          <t>HAIFENG</t>
        </is>
      </c>
      <c r="E54" s="4">
        <f>COUNTIF('DETALLE CRONOLÓGICO'!$A$2:$A$4919,$A54)</f>
        <v/>
      </c>
      <c r="F54" s="4">
        <f>SUMIFS('DETALLE CRONOLÓGICO'!$I$2:$I$4919,'DETALLE CRONOLÓGICO'!$A$2:$A$4919,$A54)</f>
        <v/>
      </c>
      <c r="G54" s="1">
        <f>INDEX('DETALLE CRONOLÓGICO'!$D$2:$D$4919,MATCH($A54,'DETALLE CRONOLÓGICO'!$A$2:$A$4919,0))</f>
        <v/>
      </c>
      <c r="H54" s="1">
        <f>INDEX('DETALLE CRONOLÓGICO'!$D$2:$D$4919,MATCH($A54,'DETALLE CRONOLÓGICO'!$A$2:$A$4919,0)+$E54-1)</f>
        <v/>
      </c>
      <c r="I54" s="5">
        <f>IFERROR(SUMIFS('DETALLE CRONOLÓGICO'!$L$2:$L$4919,'DETALLE CRONOLÓGICO'!$A$2:$A$4919,$A54)/$F54,"")</f>
        <v/>
      </c>
      <c r="J54" s="6">
        <f>IFERROR(SUMIFS('DETALLE CRONOLÓGICO'!$K$2:$K$4919,'DETALLE CRONOLÓGICO'!$A$2:$A$4919,$A54)/$E54,"")</f>
        <v/>
      </c>
      <c r="K54" s="6">
        <f>_xlfn.MINIFS('DETALLE CRONOLÓGICO'!$K$2:$K$4919,'DETALLE CRONOLÓGICO'!$A$2:$A$4919,$A54)</f>
        <v/>
      </c>
      <c r="L54" s="6">
        <f>_xlfn.MAXIFS('DETALLE CRONOLÓGICO'!$K$2:$K$4919,'DETALLE CRONOLÓGICO'!$A$2:$A$4919,$A54)</f>
        <v/>
      </c>
      <c r="M54" s="6">
        <f>INDEX('DETALLE CRONOLÓGICO'!$K$2:$K$4919,MATCH($A54,'DETALLE CRONOLÓGICO'!$A$2:$A$4919,0)+$E54-1)</f>
        <v/>
      </c>
      <c r="N54" s="7">
        <f>IFERROR($M54/INDEX('DETALLE CRONOLÓGICO'!$K$2:$K$4919,MATCH($A54,'DETALLE CRONOLÓGICO'!$A$2:$A$4919,0))-1,"")</f>
        <v/>
      </c>
      <c r="O54" s="6">
        <f>IFERROR($I54*3,"")</f>
        <v/>
      </c>
      <c r="P54" s="6">
        <f>IFERROR($I54*3.5,"")</f>
        <v/>
      </c>
      <c r="Q54" s="6">
        <f>IFERROR($I54*4,"")</f>
        <v/>
      </c>
      <c r="R54" s="6" t="n">
        <v>680</v>
      </c>
      <c r="S54" s="4" t="n">
        <v>4</v>
      </c>
      <c r="T54" s="1" t="inlineStr">
        <is>
          <t>active</t>
        </is>
      </c>
      <c r="U54" s="8" t="n"/>
      <c r="V54" s="1" t="inlineStr">
        <is>
          <t>SIN PRECIO</t>
        </is>
      </c>
    </row>
    <row r="55">
      <c r="A55" s="1" t="inlineStr">
        <is>
          <t>12314364086829</t>
        </is>
      </c>
      <c r="B55" s="1" t="inlineStr">
        <is>
          <t>ARRACADAS MM GOLD-WHITE</t>
        </is>
      </c>
      <c r="C55" s="1" t="inlineStr">
        <is>
          <t>Default Title</t>
        </is>
      </c>
      <c r="D55" s="1" t="inlineStr">
        <is>
          <t>HAIFENG</t>
        </is>
      </c>
      <c r="E55" s="4">
        <f>COUNTIF('DETALLE CRONOLÓGICO'!$A$2:$A$4919,$A55)</f>
        <v/>
      </c>
      <c r="F55" s="4">
        <f>SUMIFS('DETALLE CRONOLÓGICO'!$I$2:$I$4919,'DETALLE CRONOLÓGICO'!$A$2:$A$4919,$A55)</f>
        <v/>
      </c>
      <c r="G55" s="1">
        <f>INDEX('DETALLE CRONOLÓGICO'!$D$2:$D$4919,MATCH($A55,'DETALLE CRONOLÓGICO'!$A$2:$A$4919,0))</f>
        <v/>
      </c>
      <c r="H55" s="1">
        <f>INDEX('DETALLE CRONOLÓGICO'!$D$2:$D$4919,MATCH($A55,'DETALLE CRONOLÓGICO'!$A$2:$A$4919,0)+$E55-1)</f>
        <v/>
      </c>
      <c r="I55" s="5">
        <f>IFERROR(SUMIFS('DETALLE CRONOLÓGICO'!$L$2:$L$4919,'DETALLE CRONOLÓGICO'!$A$2:$A$4919,$A55)/$F55,"")</f>
        <v/>
      </c>
      <c r="J55" s="6">
        <f>IFERROR(SUMIFS('DETALLE CRONOLÓGICO'!$K$2:$K$4919,'DETALLE CRONOLÓGICO'!$A$2:$A$4919,$A55)/$E55,"")</f>
        <v/>
      </c>
      <c r="K55" s="6">
        <f>_xlfn.MINIFS('DETALLE CRONOLÓGICO'!$K$2:$K$4919,'DETALLE CRONOLÓGICO'!$A$2:$A$4919,$A55)</f>
        <v/>
      </c>
      <c r="L55" s="6">
        <f>_xlfn.MAXIFS('DETALLE CRONOLÓGICO'!$K$2:$K$4919,'DETALLE CRONOLÓGICO'!$A$2:$A$4919,$A55)</f>
        <v/>
      </c>
      <c r="M55" s="6">
        <f>INDEX('DETALLE CRONOLÓGICO'!$K$2:$K$4919,MATCH($A55,'DETALLE CRONOLÓGICO'!$A$2:$A$4919,0)+$E55-1)</f>
        <v/>
      </c>
      <c r="N55" s="7">
        <f>IFERROR($M55/INDEX('DETALLE CRONOLÓGICO'!$K$2:$K$4919,MATCH($A55,'DETALLE CRONOLÓGICO'!$A$2:$A$4919,0))-1,"")</f>
        <v/>
      </c>
      <c r="O55" s="6">
        <f>IFERROR($I55*3,"")</f>
        <v/>
      </c>
      <c r="P55" s="6">
        <f>IFERROR($I55*3.5,"")</f>
        <v/>
      </c>
      <c r="Q55" s="6">
        <f>IFERROR($I55*4,"")</f>
        <v/>
      </c>
      <c r="R55" s="6" t="n">
        <v>680</v>
      </c>
      <c r="S55" s="4" t="n">
        <v>5</v>
      </c>
      <c r="T55" s="1" t="inlineStr">
        <is>
          <t>active</t>
        </is>
      </c>
      <c r="U55" s="8" t="n"/>
      <c r="V55" s="1" t="inlineStr">
        <is>
          <t>SIN PRECIO</t>
        </is>
      </c>
    </row>
    <row r="56">
      <c r="A56" s="1" t="inlineStr">
        <is>
          <t>12731906776716</t>
        </is>
      </c>
      <c r="B56" s="1" t="inlineStr">
        <is>
          <t>COLLAR CORAZÓN SILVER</t>
        </is>
      </c>
      <c r="C56" s="1" t="inlineStr">
        <is>
          <t>44 cm / dije 2.5cm</t>
        </is>
      </c>
      <c r="D56" s="1" t="inlineStr">
        <is>
          <t>ZOEY</t>
        </is>
      </c>
      <c r="E56" s="4">
        <f>COUNTIF('DETALLE CRONOLÓGICO'!$A$2:$A$4919,$A56)</f>
        <v/>
      </c>
      <c r="F56" s="4">
        <f>SUMIFS('DETALLE CRONOLÓGICO'!$I$2:$I$4919,'DETALLE CRONOLÓGICO'!$A$2:$A$4919,$A56)</f>
        <v/>
      </c>
      <c r="G56" s="1">
        <f>INDEX('DETALLE CRONOLÓGICO'!$D$2:$D$4919,MATCH($A56,'DETALLE CRONOLÓGICO'!$A$2:$A$4919,0))</f>
        <v/>
      </c>
      <c r="H56" s="1">
        <f>INDEX('DETALLE CRONOLÓGICO'!$D$2:$D$4919,MATCH($A56,'DETALLE CRONOLÓGICO'!$A$2:$A$4919,0)+$E56-1)</f>
        <v/>
      </c>
      <c r="I56" s="5">
        <f>IFERROR(SUMIFS('DETALLE CRONOLÓGICO'!$L$2:$L$4919,'DETALLE CRONOLÓGICO'!$A$2:$A$4919,$A56)/$F56,"")</f>
        <v/>
      </c>
      <c r="J56" s="6">
        <f>IFERROR(SUMIFS('DETALLE CRONOLÓGICO'!$K$2:$K$4919,'DETALLE CRONOLÓGICO'!$A$2:$A$4919,$A56)/$E56,"")</f>
        <v/>
      </c>
      <c r="K56" s="6">
        <f>_xlfn.MINIFS('DETALLE CRONOLÓGICO'!$K$2:$K$4919,'DETALLE CRONOLÓGICO'!$A$2:$A$4919,$A56)</f>
        <v/>
      </c>
      <c r="L56" s="6">
        <f>_xlfn.MAXIFS('DETALLE CRONOLÓGICO'!$K$2:$K$4919,'DETALLE CRONOLÓGICO'!$A$2:$A$4919,$A56)</f>
        <v/>
      </c>
      <c r="M56" s="6">
        <f>INDEX('DETALLE CRONOLÓGICO'!$K$2:$K$4919,MATCH($A56,'DETALLE CRONOLÓGICO'!$A$2:$A$4919,0)+$E56-1)</f>
        <v/>
      </c>
      <c r="N56" s="7">
        <f>IFERROR($M56/INDEX('DETALLE CRONOLÓGICO'!$K$2:$K$4919,MATCH($A56,'DETALLE CRONOLÓGICO'!$A$2:$A$4919,0))-1,"")</f>
        <v/>
      </c>
      <c r="O56" s="6">
        <f>IFERROR($I56*3,"")</f>
        <v/>
      </c>
      <c r="P56" s="6">
        <f>IFERROR($I56*3.5,"")</f>
        <v/>
      </c>
      <c r="Q56" s="6">
        <f>IFERROR($I56*4,"")</f>
        <v/>
      </c>
      <c r="R56" s="6" t="n">
        <v>950</v>
      </c>
      <c r="S56" s="4" t="n">
        <v>1</v>
      </c>
      <c r="T56" s="1" t="inlineStr">
        <is>
          <t>active</t>
        </is>
      </c>
      <c r="U56" s="8" t="n"/>
      <c r="V56" s="1" t="inlineStr">
        <is>
          <t>SIN PRECIO</t>
        </is>
      </c>
    </row>
    <row r="57">
      <c r="A57" s="1" t="inlineStr">
        <is>
          <t>13667531088813</t>
        </is>
      </c>
      <c r="B57" s="1" t="inlineStr">
        <is>
          <t>ANILLO BV BUMPS GOLD-BLACK</t>
        </is>
      </c>
      <c r="C57" s="1" t="inlineStr">
        <is>
          <t>8</t>
        </is>
      </c>
      <c r="D57" s="1" t="inlineStr">
        <is>
          <t>HAIFENG</t>
        </is>
      </c>
      <c r="E57" s="4">
        <f>COUNTIF('DETALLE CRONOLÓGICO'!$A$2:$A$4919,$A57)</f>
        <v/>
      </c>
      <c r="F57" s="4">
        <f>SUMIFS('DETALLE CRONOLÓGICO'!$I$2:$I$4919,'DETALLE CRONOLÓGICO'!$A$2:$A$4919,$A57)</f>
        <v/>
      </c>
      <c r="G57" s="1">
        <f>INDEX('DETALLE CRONOLÓGICO'!$D$2:$D$4919,MATCH($A57,'DETALLE CRONOLÓGICO'!$A$2:$A$4919,0))</f>
        <v/>
      </c>
      <c r="H57" s="1">
        <f>INDEX('DETALLE CRONOLÓGICO'!$D$2:$D$4919,MATCH($A57,'DETALLE CRONOLÓGICO'!$A$2:$A$4919,0)+$E57-1)</f>
        <v/>
      </c>
      <c r="I57" s="5">
        <f>IFERROR(SUMIFS('DETALLE CRONOLÓGICO'!$L$2:$L$4919,'DETALLE CRONOLÓGICO'!$A$2:$A$4919,$A57)/$F57,"")</f>
        <v/>
      </c>
      <c r="J57" s="6">
        <f>IFERROR(SUMIFS('DETALLE CRONOLÓGICO'!$K$2:$K$4919,'DETALLE CRONOLÓGICO'!$A$2:$A$4919,$A57)/$E57,"")</f>
        <v/>
      </c>
      <c r="K57" s="6">
        <f>_xlfn.MINIFS('DETALLE CRONOLÓGICO'!$K$2:$K$4919,'DETALLE CRONOLÓGICO'!$A$2:$A$4919,$A57)</f>
        <v/>
      </c>
      <c r="L57" s="6">
        <f>_xlfn.MAXIFS('DETALLE CRONOLÓGICO'!$K$2:$K$4919,'DETALLE CRONOLÓGICO'!$A$2:$A$4919,$A57)</f>
        <v/>
      </c>
      <c r="M57" s="6">
        <f>INDEX('DETALLE CRONOLÓGICO'!$K$2:$K$4919,MATCH($A57,'DETALLE CRONOLÓGICO'!$A$2:$A$4919,0)+$E57-1)</f>
        <v/>
      </c>
      <c r="N57" s="7">
        <f>IFERROR($M57/INDEX('DETALLE CRONOLÓGICO'!$K$2:$K$4919,MATCH($A57,'DETALLE CRONOLÓGICO'!$A$2:$A$4919,0))-1,"")</f>
        <v/>
      </c>
      <c r="O57" s="6">
        <f>IFERROR($I57*3,"")</f>
        <v/>
      </c>
      <c r="P57" s="6">
        <f>IFERROR($I57*3.5,"")</f>
        <v/>
      </c>
      <c r="Q57" s="6">
        <f>IFERROR($I57*4,"")</f>
        <v/>
      </c>
      <c r="R57" s="6" t="n">
        <v>750</v>
      </c>
      <c r="S57" s="4" t="n">
        <v>2</v>
      </c>
      <c r="T57" s="1" t="inlineStr">
        <is>
          <t>active</t>
        </is>
      </c>
      <c r="U57" s="8" t="n"/>
      <c r="V57" s="1" t="inlineStr">
        <is>
          <t>SIN PRECIO</t>
        </is>
      </c>
    </row>
    <row r="58">
      <c r="A58" s="1" t="inlineStr">
        <is>
          <t>13794531858861</t>
        </is>
      </c>
      <c r="B58" s="1" t="inlineStr">
        <is>
          <t>CARTERA PR SAFFIANO DARKBLUE</t>
        </is>
      </c>
      <c r="C58" s="1" t="inlineStr">
        <is>
          <t>BLUE</t>
        </is>
      </c>
      <c r="D58" s="1" t="inlineStr">
        <is>
          <t>ZOEY</t>
        </is>
      </c>
      <c r="E58" s="4">
        <f>COUNTIF('DETALLE CRONOLÓGICO'!$A$2:$A$4919,$A58)</f>
        <v/>
      </c>
      <c r="F58" s="4">
        <f>SUMIFS('DETALLE CRONOLÓGICO'!$I$2:$I$4919,'DETALLE CRONOLÓGICO'!$A$2:$A$4919,$A58)</f>
        <v/>
      </c>
      <c r="G58" s="1">
        <f>INDEX('DETALLE CRONOLÓGICO'!$D$2:$D$4919,MATCH($A58,'DETALLE CRONOLÓGICO'!$A$2:$A$4919,0))</f>
        <v/>
      </c>
      <c r="H58" s="1">
        <f>INDEX('DETALLE CRONOLÓGICO'!$D$2:$D$4919,MATCH($A58,'DETALLE CRONOLÓGICO'!$A$2:$A$4919,0)+$E58-1)</f>
        <v/>
      </c>
      <c r="I58" s="5">
        <f>IFERROR(SUMIFS('DETALLE CRONOLÓGICO'!$L$2:$L$4919,'DETALLE CRONOLÓGICO'!$A$2:$A$4919,$A58)/$F58,"")</f>
        <v/>
      </c>
      <c r="J58" s="6">
        <f>IFERROR(SUMIFS('DETALLE CRONOLÓGICO'!$K$2:$K$4919,'DETALLE CRONOLÓGICO'!$A$2:$A$4919,$A58)/$E58,"")</f>
        <v/>
      </c>
      <c r="K58" s="6">
        <f>_xlfn.MINIFS('DETALLE CRONOLÓGICO'!$K$2:$K$4919,'DETALLE CRONOLÓGICO'!$A$2:$A$4919,$A58)</f>
        <v/>
      </c>
      <c r="L58" s="6">
        <f>_xlfn.MAXIFS('DETALLE CRONOLÓGICO'!$K$2:$K$4919,'DETALLE CRONOLÓGICO'!$A$2:$A$4919,$A58)</f>
        <v/>
      </c>
      <c r="M58" s="6">
        <f>INDEX('DETALLE CRONOLÓGICO'!$K$2:$K$4919,MATCH($A58,'DETALLE CRONOLÓGICO'!$A$2:$A$4919,0)+$E58-1)</f>
        <v/>
      </c>
      <c r="N58" s="7">
        <f>IFERROR($M58/INDEX('DETALLE CRONOLÓGICO'!$K$2:$K$4919,MATCH($A58,'DETALLE CRONOLÓGICO'!$A$2:$A$4919,0))-1,"")</f>
        <v/>
      </c>
      <c r="O58" s="6">
        <f>IFERROR($I58*3,"")</f>
        <v/>
      </c>
      <c r="P58" s="6">
        <f>IFERROR($I58*3.5,"")</f>
        <v/>
      </c>
      <c r="Q58" s="6">
        <f>IFERROR($I58*4,"")</f>
        <v/>
      </c>
      <c r="R58" s="6" t="n">
        <v>1999</v>
      </c>
      <c r="S58" s="4" t="n">
        <v>2</v>
      </c>
      <c r="T58" s="1" t="inlineStr">
        <is>
          <t>active</t>
        </is>
      </c>
      <c r="U58" s="8" t="n"/>
      <c r="V58" s="1" t="inlineStr">
        <is>
          <t>SIN PRECIO</t>
        </is>
      </c>
    </row>
    <row r="59">
      <c r="A59" s="1" t="inlineStr">
        <is>
          <t>13794532310349</t>
        </is>
      </c>
      <c r="B59" s="1" t="inlineStr">
        <is>
          <t>CARTERA MM NAPA PINK</t>
        </is>
      </c>
      <c r="C59" s="1" t="inlineStr">
        <is>
          <t>Default Title</t>
        </is>
      </c>
      <c r="D59" s="1" t="inlineStr">
        <is>
          <t>ZOEY</t>
        </is>
      </c>
      <c r="E59" s="4">
        <f>COUNTIF('DETALLE CRONOLÓGICO'!$A$2:$A$4919,$A59)</f>
        <v/>
      </c>
      <c r="F59" s="4">
        <f>SUMIFS('DETALLE CRONOLÓGICO'!$I$2:$I$4919,'DETALLE CRONOLÓGICO'!$A$2:$A$4919,$A59)</f>
        <v/>
      </c>
      <c r="G59" s="1">
        <f>INDEX('DETALLE CRONOLÓGICO'!$D$2:$D$4919,MATCH($A59,'DETALLE CRONOLÓGICO'!$A$2:$A$4919,0))</f>
        <v/>
      </c>
      <c r="H59" s="1">
        <f>INDEX('DETALLE CRONOLÓGICO'!$D$2:$D$4919,MATCH($A59,'DETALLE CRONOLÓGICO'!$A$2:$A$4919,0)+$E59-1)</f>
        <v/>
      </c>
      <c r="I59" s="5">
        <f>IFERROR(SUMIFS('DETALLE CRONOLÓGICO'!$L$2:$L$4919,'DETALLE CRONOLÓGICO'!$A$2:$A$4919,$A59)/$F59,"")</f>
        <v/>
      </c>
      <c r="J59" s="6">
        <f>IFERROR(SUMIFS('DETALLE CRONOLÓGICO'!$K$2:$K$4919,'DETALLE CRONOLÓGICO'!$A$2:$A$4919,$A59)/$E59,"")</f>
        <v/>
      </c>
      <c r="K59" s="6">
        <f>_xlfn.MINIFS('DETALLE CRONOLÓGICO'!$K$2:$K$4919,'DETALLE CRONOLÓGICO'!$A$2:$A$4919,$A59)</f>
        <v/>
      </c>
      <c r="L59" s="6">
        <f>_xlfn.MAXIFS('DETALLE CRONOLÓGICO'!$K$2:$K$4919,'DETALLE CRONOLÓGICO'!$A$2:$A$4919,$A59)</f>
        <v/>
      </c>
      <c r="M59" s="6">
        <f>INDEX('DETALLE CRONOLÓGICO'!$K$2:$K$4919,MATCH($A59,'DETALLE CRONOLÓGICO'!$A$2:$A$4919,0)+$E59-1)</f>
        <v/>
      </c>
      <c r="N59" s="7">
        <f>IFERROR($M59/INDEX('DETALLE CRONOLÓGICO'!$K$2:$K$4919,MATCH($A59,'DETALLE CRONOLÓGICO'!$A$2:$A$4919,0))-1,"")</f>
        <v/>
      </c>
      <c r="O59" s="6">
        <f>IFERROR($I59*3,"")</f>
        <v/>
      </c>
      <c r="P59" s="6">
        <f>IFERROR($I59*3.5,"")</f>
        <v/>
      </c>
      <c r="Q59" s="6">
        <f>IFERROR($I59*4,"")</f>
        <v/>
      </c>
      <c r="R59" s="6" t="n">
        <v>2440</v>
      </c>
      <c r="S59" s="4" t="n">
        <v>0</v>
      </c>
      <c r="T59" s="1" t="inlineStr">
        <is>
          <t>active</t>
        </is>
      </c>
      <c r="U59" s="8" t="n"/>
      <c r="V59" s="1" t="inlineStr">
        <is>
          <t>SIN PRECIO</t>
        </is>
      </c>
    </row>
    <row r="60">
      <c r="A60" s="1" t="inlineStr">
        <is>
          <t>13798161017037</t>
        </is>
      </c>
      <c r="B60" s="1" t="inlineStr">
        <is>
          <t>CADENA H GOLD</t>
        </is>
      </c>
      <c r="C60" s="1" t="inlineStr">
        <is>
          <t>Default Title</t>
        </is>
      </c>
      <c r="D60" s="1" t="inlineStr">
        <is>
          <t>HAIFENG</t>
        </is>
      </c>
      <c r="E60" s="4">
        <f>COUNTIF('DETALLE CRONOLÓGICO'!$A$2:$A$4919,$A60)</f>
        <v/>
      </c>
      <c r="F60" s="4">
        <f>SUMIFS('DETALLE CRONOLÓGICO'!$I$2:$I$4919,'DETALLE CRONOLÓGICO'!$A$2:$A$4919,$A60)</f>
        <v/>
      </c>
      <c r="G60" s="1">
        <f>INDEX('DETALLE CRONOLÓGICO'!$D$2:$D$4919,MATCH($A60,'DETALLE CRONOLÓGICO'!$A$2:$A$4919,0))</f>
        <v/>
      </c>
      <c r="H60" s="1">
        <f>INDEX('DETALLE CRONOLÓGICO'!$D$2:$D$4919,MATCH($A60,'DETALLE CRONOLÓGICO'!$A$2:$A$4919,0)+$E60-1)</f>
        <v/>
      </c>
      <c r="I60" s="5">
        <f>IFERROR(SUMIFS('DETALLE CRONOLÓGICO'!$L$2:$L$4919,'DETALLE CRONOLÓGICO'!$A$2:$A$4919,$A60)/$F60,"")</f>
        <v/>
      </c>
      <c r="J60" s="6">
        <f>IFERROR(SUMIFS('DETALLE CRONOLÓGICO'!$K$2:$K$4919,'DETALLE CRONOLÓGICO'!$A$2:$A$4919,$A60)/$E60,"")</f>
        <v/>
      </c>
      <c r="K60" s="6">
        <f>_xlfn.MINIFS('DETALLE CRONOLÓGICO'!$K$2:$K$4919,'DETALLE CRONOLÓGICO'!$A$2:$A$4919,$A60)</f>
        <v/>
      </c>
      <c r="L60" s="6">
        <f>_xlfn.MAXIFS('DETALLE CRONOLÓGICO'!$K$2:$K$4919,'DETALLE CRONOLÓGICO'!$A$2:$A$4919,$A60)</f>
        <v/>
      </c>
      <c r="M60" s="6">
        <f>INDEX('DETALLE CRONOLÓGICO'!$K$2:$K$4919,MATCH($A60,'DETALLE CRONOLÓGICO'!$A$2:$A$4919,0)+$E60-1)</f>
        <v/>
      </c>
      <c r="N60" s="7">
        <f>IFERROR($M60/INDEX('DETALLE CRONOLÓGICO'!$K$2:$K$4919,MATCH($A60,'DETALLE CRONOLÓGICO'!$A$2:$A$4919,0))-1,"")</f>
        <v/>
      </c>
      <c r="O60" s="6">
        <f>IFERROR($I60*3,"")</f>
        <v/>
      </c>
      <c r="P60" s="6">
        <f>IFERROR($I60*3.5,"")</f>
        <v/>
      </c>
      <c r="Q60" s="6">
        <f>IFERROR($I60*4,"")</f>
        <v/>
      </c>
      <c r="R60" s="6" t="n">
        <v>1099</v>
      </c>
      <c r="S60" s="4" t="n">
        <v>0</v>
      </c>
      <c r="T60" s="1" t="inlineStr">
        <is>
          <t>active</t>
        </is>
      </c>
      <c r="U60" s="8" t="n"/>
      <c r="V60" s="1" t="inlineStr">
        <is>
          <t>SIN PRECIO</t>
        </is>
      </c>
    </row>
    <row r="61">
      <c r="A61" s="1" t="inlineStr">
        <is>
          <t>13863311065325</t>
        </is>
      </c>
      <c r="B61" s="1" t="inlineStr">
        <is>
          <t>BOLSO CD MESSENGER SADDLE BLACK</t>
        </is>
      </c>
      <c r="C61" s="1" t="inlineStr">
        <is>
          <t>Default Title</t>
        </is>
      </c>
      <c r="D61" s="1" t="inlineStr">
        <is>
          <t>CYNTHIA</t>
        </is>
      </c>
      <c r="E61" s="4">
        <f>COUNTIF('DETALLE CRONOLÓGICO'!$A$2:$A$4919,$A61)</f>
        <v/>
      </c>
      <c r="F61" s="4">
        <f>SUMIFS('DETALLE CRONOLÓGICO'!$I$2:$I$4919,'DETALLE CRONOLÓGICO'!$A$2:$A$4919,$A61)</f>
        <v/>
      </c>
      <c r="G61" s="1">
        <f>INDEX('DETALLE CRONOLÓGICO'!$D$2:$D$4919,MATCH($A61,'DETALLE CRONOLÓGICO'!$A$2:$A$4919,0))</f>
        <v/>
      </c>
      <c r="H61" s="1">
        <f>INDEX('DETALLE CRONOLÓGICO'!$D$2:$D$4919,MATCH($A61,'DETALLE CRONOLÓGICO'!$A$2:$A$4919,0)+$E61-1)</f>
        <v/>
      </c>
      <c r="I61" s="5">
        <f>IFERROR(SUMIFS('DETALLE CRONOLÓGICO'!$L$2:$L$4919,'DETALLE CRONOLÓGICO'!$A$2:$A$4919,$A61)/$F61,"")</f>
        <v/>
      </c>
      <c r="J61" s="6">
        <f>IFERROR(SUMIFS('DETALLE CRONOLÓGICO'!$K$2:$K$4919,'DETALLE CRONOLÓGICO'!$A$2:$A$4919,$A61)/$E61,"")</f>
        <v/>
      </c>
      <c r="K61" s="6">
        <f>_xlfn.MINIFS('DETALLE CRONOLÓGICO'!$K$2:$K$4919,'DETALLE CRONOLÓGICO'!$A$2:$A$4919,$A61)</f>
        <v/>
      </c>
      <c r="L61" s="6">
        <f>_xlfn.MAXIFS('DETALLE CRONOLÓGICO'!$K$2:$K$4919,'DETALLE CRONOLÓGICO'!$A$2:$A$4919,$A61)</f>
        <v/>
      </c>
      <c r="M61" s="6">
        <f>INDEX('DETALLE CRONOLÓGICO'!$K$2:$K$4919,MATCH($A61,'DETALLE CRONOLÓGICO'!$A$2:$A$4919,0)+$E61-1)</f>
        <v/>
      </c>
      <c r="N61" s="7">
        <f>IFERROR($M61/INDEX('DETALLE CRONOLÓGICO'!$K$2:$K$4919,MATCH($A61,'DETALLE CRONOLÓGICO'!$A$2:$A$4919,0))-1,"")</f>
        <v/>
      </c>
      <c r="O61" s="6">
        <f>IFERROR($I61*3,"")</f>
        <v/>
      </c>
      <c r="P61" s="6">
        <f>IFERROR($I61*3.5,"")</f>
        <v/>
      </c>
      <c r="Q61" s="6">
        <f>IFERROR($I61*4,"")</f>
        <v/>
      </c>
      <c r="R61" s="6" t="n">
        <v>4700</v>
      </c>
      <c r="S61" s="4" t="n">
        <v>3</v>
      </c>
      <c r="T61" s="1" t="inlineStr">
        <is>
          <t>active</t>
        </is>
      </c>
      <c r="U61" s="8" t="n"/>
      <c r="V61" s="1" t="inlineStr">
        <is>
          <t>SIN PRECIO</t>
        </is>
      </c>
    </row>
    <row r="62">
      <c r="A62" s="1" t="inlineStr">
        <is>
          <t>14156151055725</t>
        </is>
      </c>
      <c r="B62" s="1" t="inlineStr">
        <is>
          <t>RELOJ PANTHERE SILVER</t>
        </is>
      </c>
      <c r="C62" s="1" t="inlineStr">
        <is>
          <t>RELOJ SIN CAJA</t>
        </is>
      </c>
      <c r="D62" s="1" t="inlineStr">
        <is>
          <t>ZOEY</t>
        </is>
      </c>
      <c r="E62" s="4">
        <f>COUNTIF('DETALLE CRONOLÓGICO'!$A$2:$A$4919,$A62)</f>
        <v/>
      </c>
      <c r="F62" s="4">
        <f>SUMIFS('DETALLE CRONOLÓGICO'!$I$2:$I$4919,'DETALLE CRONOLÓGICO'!$A$2:$A$4919,$A62)</f>
        <v/>
      </c>
      <c r="G62" s="1">
        <f>INDEX('DETALLE CRONOLÓGICO'!$D$2:$D$4919,MATCH($A62,'DETALLE CRONOLÓGICO'!$A$2:$A$4919,0))</f>
        <v/>
      </c>
      <c r="H62" s="1">
        <f>INDEX('DETALLE CRONOLÓGICO'!$D$2:$D$4919,MATCH($A62,'DETALLE CRONOLÓGICO'!$A$2:$A$4919,0)+$E62-1)</f>
        <v/>
      </c>
      <c r="I62" s="5">
        <f>IFERROR(SUMIFS('DETALLE CRONOLÓGICO'!$L$2:$L$4919,'DETALLE CRONOLÓGICO'!$A$2:$A$4919,$A62)/$F62,"")</f>
        <v/>
      </c>
      <c r="J62" s="6">
        <f>IFERROR(SUMIFS('DETALLE CRONOLÓGICO'!$K$2:$K$4919,'DETALLE CRONOLÓGICO'!$A$2:$A$4919,$A62)/$E62,"")</f>
        <v/>
      </c>
      <c r="K62" s="6">
        <f>_xlfn.MINIFS('DETALLE CRONOLÓGICO'!$K$2:$K$4919,'DETALLE CRONOLÓGICO'!$A$2:$A$4919,$A62)</f>
        <v/>
      </c>
      <c r="L62" s="6">
        <f>_xlfn.MAXIFS('DETALLE CRONOLÓGICO'!$K$2:$K$4919,'DETALLE CRONOLÓGICO'!$A$2:$A$4919,$A62)</f>
        <v/>
      </c>
      <c r="M62" s="6">
        <f>INDEX('DETALLE CRONOLÓGICO'!$K$2:$K$4919,MATCH($A62,'DETALLE CRONOLÓGICO'!$A$2:$A$4919,0)+$E62-1)</f>
        <v/>
      </c>
      <c r="N62" s="7">
        <f>IFERROR($M62/INDEX('DETALLE CRONOLÓGICO'!$K$2:$K$4919,MATCH($A62,'DETALLE CRONOLÓGICO'!$A$2:$A$4919,0))-1,"")</f>
        <v/>
      </c>
      <c r="O62" s="6">
        <f>IFERROR($I62*3,"")</f>
        <v/>
      </c>
      <c r="P62" s="6">
        <f>IFERROR($I62*3.5,"")</f>
        <v/>
      </c>
      <c r="Q62" s="6">
        <f>IFERROR($I62*4,"")</f>
        <v/>
      </c>
      <c r="R62" s="6" t="n">
        <v>4829</v>
      </c>
      <c r="S62" s="4" t="n">
        <v>2</v>
      </c>
      <c r="T62" s="1" t="inlineStr">
        <is>
          <t>active</t>
        </is>
      </c>
      <c r="U62" s="8" t="n"/>
      <c r="V62" s="1" t="inlineStr">
        <is>
          <t>SIN PRECIO</t>
        </is>
      </c>
    </row>
    <row r="63">
      <c r="A63" s="1" t="inlineStr">
        <is>
          <t>14247351086093</t>
        </is>
      </c>
      <c r="B63" s="1" t="inlineStr">
        <is>
          <t>ARETES F O'LOCK SILVER</t>
        </is>
      </c>
      <c r="C63" s="1" t="inlineStr">
        <is>
          <t>Default Title</t>
        </is>
      </c>
      <c r="D63" s="1" t="inlineStr">
        <is>
          <t>HAIFENG</t>
        </is>
      </c>
      <c r="E63" s="4">
        <f>COUNTIF('DETALLE CRONOLÓGICO'!$A$2:$A$4919,$A63)</f>
        <v/>
      </c>
      <c r="F63" s="4">
        <f>SUMIFS('DETALLE CRONOLÓGICO'!$I$2:$I$4919,'DETALLE CRONOLÓGICO'!$A$2:$A$4919,$A63)</f>
        <v/>
      </c>
      <c r="G63" s="1">
        <f>INDEX('DETALLE CRONOLÓGICO'!$D$2:$D$4919,MATCH($A63,'DETALLE CRONOLÓGICO'!$A$2:$A$4919,0))</f>
        <v/>
      </c>
      <c r="H63" s="1">
        <f>INDEX('DETALLE CRONOLÓGICO'!$D$2:$D$4919,MATCH($A63,'DETALLE CRONOLÓGICO'!$A$2:$A$4919,0)+$E63-1)</f>
        <v/>
      </c>
      <c r="I63" s="5">
        <f>IFERROR(SUMIFS('DETALLE CRONOLÓGICO'!$L$2:$L$4919,'DETALLE CRONOLÓGICO'!$A$2:$A$4919,$A63)/$F63,"")</f>
        <v/>
      </c>
      <c r="J63" s="6">
        <f>IFERROR(SUMIFS('DETALLE CRONOLÓGICO'!$K$2:$K$4919,'DETALLE CRONOLÓGICO'!$A$2:$A$4919,$A63)/$E63,"")</f>
        <v/>
      </c>
      <c r="K63" s="6">
        <f>_xlfn.MINIFS('DETALLE CRONOLÓGICO'!$K$2:$K$4919,'DETALLE CRONOLÓGICO'!$A$2:$A$4919,$A63)</f>
        <v/>
      </c>
      <c r="L63" s="6">
        <f>_xlfn.MAXIFS('DETALLE CRONOLÓGICO'!$K$2:$K$4919,'DETALLE CRONOLÓGICO'!$A$2:$A$4919,$A63)</f>
        <v/>
      </c>
      <c r="M63" s="6">
        <f>INDEX('DETALLE CRONOLÓGICO'!$K$2:$K$4919,MATCH($A63,'DETALLE CRONOLÓGICO'!$A$2:$A$4919,0)+$E63-1)</f>
        <v/>
      </c>
      <c r="N63" s="7">
        <f>IFERROR($M63/INDEX('DETALLE CRONOLÓGICO'!$K$2:$K$4919,MATCH($A63,'DETALLE CRONOLÓGICO'!$A$2:$A$4919,0))-1,"")</f>
        <v/>
      </c>
      <c r="O63" s="6">
        <f>IFERROR($I63*3,"")</f>
        <v/>
      </c>
      <c r="P63" s="6">
        <f>IFERROR($I63*3.5,"")</f>
        <v/>
      </c>
      <c r="Q63" s="6">
        <f>IFERROR($I63*4,"")</f>
        <v/>
      </c>
      <c r="R63" s="6" t="n">
        <v>670</v>
      </c>
      <c r="S63" s="4" t="n">
        <v>3</v>
      </c>
      <c r="T63" s="1" t="inlineStr">
        <is>
          <t>active</t>
        </is>
      </c>
      <c r="U63" s="8" t="n"/>
      <c r="V63" s="1" t="inlineStr">
        <is>
          <t>SIN PRECIO</t>
        </is>
      </c>
    </row>
    <row r="64">
      <c r="A64" s="1" t="inlineStr">
        <is>
          <t>14361211269805</t>
        </is>
      </c>
      <c r="B64" s="1" t="inlineStr">
        <is>
          <t>BRAZALETE BV SILVER WHITE</t>
        </is>
      </c>
      <c r="C64" s="1" t="inlineStr">
        <is>
          <t>17</t>
        </is>
      </c>
      <c r="D64" s="1" t="inlineStr">
        <is>
          <t>HAIFENG</t>
        </is>
      </c>
      <c r="E64" s="4">
        <f>COUNTIF('DETALLE CRONOLÓGICO'!$A$2:$A$4919,$A64)</f>
        <v/>
      </c>
      <c r="F64" s="4">
        <f>SUMIFS('DETALLE CRONOLÓGICO'!$I$2:$I$4919,'DETALLE CRONOLÓGICO'!$A$2:$A$4919,$A64)</f>
        <v/>
      </c>
      <c r="G64" s="1">
        <f>INDEX('DETALLE CRONOLÓGICO'!$D$2:$D$4919,MATCH($A64,'DETALLE CRONOLÓGICO'!$A$2:$A$4919,0))</f>
        <v/>
      </c>
      <c r="H64" s="1">
        <f>INDEX('DETALLE CRONOLÓGICO'!$D$2:$D$4919,MATCH($A64,'DETALLE CRONOLÓGICO'!$A$2:$A$4919,0)+$E64-1)</f>
        <v/>
      </c>
      <c r="I64" s="5">
        <f>IFERROR(SUMIFS('DETALLE CRONOLÓGICO'!$L$2:$L$4919,'DETALLE CRONOLÓGICO'!$A$2:$A$4919,$A64)/$F64,"")</f>
        <v/>
      </c>
      <c r="J64" s="6">
        <f>IFERROR(SUMIFS('DETALLE CRONOLÓGICO'!$K$2:$K$4919,'DETALLE CRONOLÓGICO'!$A$2:$A$4919,$A64)/$E64,"")</f>
        <v/>
      </c>
      <c r="K64" s="6">
        <f>_xlfn.MINIFS('DETALLE CRONOLÓGICO'!$K$2:$K$4919,'DETALLE CRONOLÓGICO'!$A$2:$A$4919,$A64)</f>
        <v/>
      </c>
      <c r="L64" s="6">
        <f>_xlfn.MAXIFS('DETALLE CRONOLÓGICO'!$K$2:$K$4919,'DETALLE CRONOLÓGICO'!$A$2:$A$4919,$A64)</f>
        <v/>
      </c>
      <c r="M64" s="6">
        <f>INDEX('DETALLE CRONOLÓGICO'!$K$2:$K$4919,MATCH($A64,'DETALLE CRONOLÓGICO'!$A$2:$A$4919,0)+$E64-1)</f>
        <v/>
      </c>
      <c r="N64" s="7">
        <f>IFERROR($M64/INDEX('DETALLE CRONOLÓGICO'!$K$2:$K$4919,MATCH($A64,'DETALLE CRONOLÓGICO'!$A$2:$A$4919,0))-1,"")</f>
        <v/>
      </c>
      <c r="O64" s="6">
        <f>IFERROR($I64*3,"")</f>
        <v/>
      </c>
      <c r="P64" s="6">
        <f>IFERROR($I64*3.5,"")</f>
        <v/>
      </c>
      <c r="Q64" s="6">
        <f>IFERROR($I64*4,"")</f>
        <v/>
      </c>
      <c r="R64" s="6" t="n">
        <v>850</v>
      </c>
      <c r="S64" s="4" t="n">
        <v>3</v>
      </c>
      <c r="T64" s="1" t="inlineStr">
        <is>
          <t>active</t>
        </is>
      </c>
      <c r="U64" s="8" t="n"/>
      <c r="V64" s="1" t="inlineStr">
        <is>
          <t>SIN PRECIO</t>
        </is>
      </c>
    </row>
    <row r="65">
      <c r="A65" s="1" t="inlineStr">
        <is>
          <t>14361211408813</t>
        </is>
      </c>
      <c r="B65" s="1" t="inlineStr">
        <is>
          <t>BRAZALETE BV ROSEGOLD WHITE</t>
        </is>
      </c>
      <c r="C65" s="1" t="inlineStr">
        <is>
          <t>17</t>
        </is>
      </c>
      <c r="D65" s="1" t="inlineStr">
        <is>
          <t>HAIFENG</t>
        </is>
      </c>
      <c r="E65" s="4">
        <f>COUNTIF('DETALLE CRONOLÓGICO'!$A$2:$A$4919,$A65)</f>
        <v/>
      </c>
      <c r="F65" s="4">
        <f>SUMIFS('DETALLE CRONOLÓGICO'!$I$2:$I$4919,'DETALLE CRONOLÓGICO'!$A$2:$A$4919,$A65)</f>
        <v/>
      </c>
      <c r="G65" s="1">
        <f>INDEX('DETALLE CRONOLÓGICO'!$D$2:$D$4919,MATCH($A65,'DETALLE CRONOLÓGICO'!$A$2:$A$4919,0))</f>
        <v/>
      </c>
      <c r="H65" s="1">
        <f>INDEX('DETALLE CRONOLÓGICO'!$D$2:$D$4919,MATCH($A65,'DETALLE CRONOLÓGICO'!$A$2:$A$4919,0)+$E65-1)</f>
        <v/>
      </c>
      <c r="I65" s="5">
        <f>IFERROR(SUMIFS('DETALLE CRONOLÓGICO'!$L$2:$L$4919,'DETALLE CRONOLÓGICO'!$A$2:$A$4919,$A65)/$F65,"")</f>
        <v/>
      </c>
      <c r="J65" s="6">
        <f>IFERROR(SUMIFS('DETALLE CRONOLÓGICO'!$K$2:$K$4919,'DETALLE CRONOLÓGICO'!$A$2:$A$4919,$A65)/$E65,"")</f>
        <v/>
      </c>
      <c r="K65" s="6">
        <f>_xlfn.MINIFS('DETALLE CRONOLÓGICO'!$K$2:$K$4919,'DETALLE CRONOLÓGICO'!$A$2:$A$4919,$A65)</f>
        <v/>
      </c>
      <c r="L65" s="6">
        <f>_xlfn.MAXIFS('DETALLE CRONOLÓGICO'!$K$2:$K$4919,'DETALLE CRONOLÓGICO'!$A$2:$A$4919,$A65)</f>
        <v/>
      </c>
      <c r="M65" s="6">
        <f>INDEX('DETALLE CRONOLÓGICO'!$K$2:$K$4919,MATCH($A65,'DETALLE CRONOLÓGICO'!$A$2:$A$4919,0)+$E65-1)</f>
        <v/>
      </c>
      <c r="N65" s="7">
        <f>IFERROR($M65/INDEX('DETALLE CRONOLÓGICO'!$K$2:$K$4919,MATCH($A65,'DETALLE CRONOLÓGICO'!$A$2:$A$4919,0))-1,"")</f>
        <v/>
      </c>
      <c r="O65" s="6">
        <f>IFERROR($I65*3,"")</f>
        <v/>
      </c>
      <c r="P65" s="6">
        <f>IFERROR($I65*3.5,"")</f>
        <v/>
      </c>
      <c r="Q65" s="6">
        <f>IFERROR($I65*4,"")</f>
        <v/>
      </c>
      <c r="R65" s="6" t="n">
        <v>850</v>
      </c>
      <c r="S65" s="4" t="n">
        <v>3</v>
      </c>
      <c r="T65" s="1" t="inlineStr">
        <is>
          <t>active</t>
        </is>
      </c>
      <c r="U65" s="8" t="n"/>
      <c r="V65" s="1" t="inlineStr">
        <is>
          <t>SIN PRECIO</t>
        </is>
      </c>
    </row>
    <row r="66">
      <c r="A66" s="1" t="inlineStr">
        <is>
          <t>14401521021389</t>
        </is>
      </c>
      <c r="B66" s="1" t="inlineStr">
        <is>
          <t>CINTO LV REVERSIBLE HERITAGE</t>
        </is>
      </c>
      <c r="C66" s="1" t="inlineStr">
        <is>
          <t>Default Title</t>
        </is>
      </c>
      <c r="D66" s="1" t="inlineStr">
        <is>
          <t>CYNTHIA</t>
        </is>
      </c>
      <c r="E66" s="4">
        <f>COUNTIF('DETALLE CRONOLÓGICO'!$A$2:$A$4919,$A66)</f>
        <v/>
      </c>
      <c r="F66" s="4">
        <f>SUMIFS('DETALLE CRONOLÓGICO'!$I$2:$I$4919,'DETALLE CRONOLÓGICO'!$A$2:$A$4919,$A66)</f>
        <v/>
      </c>
      <c r="G66" s="1">
        <f>INDEX('DETALLE CRONOLÓGICO'!$D$2:$D$4919,MATCH($A66,'DETALLE CRONOLÓGICO'!$A$2:$A$4919,0))</f>
        <v/>
      </c>
      <c r="H66" s="1">
        <f>INDEX('DETALLE CRONOLÓGICO'!$D$2:$D$4919,MATCH($A66,'DETALLE CRONOLÓGICO'!$A$2:$A$4919,0)+$E66-1)</f>
        <v/>
      </c>
      <c r="I66" s="5">
        <f>IFERROR(SUMIFS('DETALLE CRONOLÓGICO'!$L$2:$L$4919,'DETALLE CRONOLÓGICO'!$A$2:$A$4919,$A66)/$F66,"")</f>
        <v/>
      </c>
      <c r="J66" s="6">
        <f>IFERROR(SUMIFS('DETALLE CRONOLÓGICO'!$K$2:$K$4919,'DETALLE CRONOLÓGICO'!$A$2:$A$4919,$A66)/$E66,"")</f>
        <v/>
      </c>
      <c r="K66" s="6">
        <f>_xlfn.MINIFS('DETALLE CRONOLÓGICO'!$K$2:$K$4919,'DETALLE CRONOLÓGICO'!$A$2:$A$4919,$A66)</f>
        <v/>
      </c>
      <c r="L66" s="6">
        <f>_xlfn.MAXIFS('DETALLE CRONOLÓGICO'!$K$2:$K$4919,'DETALLE CRONOLÓGICO'!$A$2:$A$4919,$A66)</f>
        <v/>
      </c>
      <c r="M66" s="6">
        <f>INDEX('DETALLE CRONOLÓGICO'!$K$2:$K$4919,MATCH($A66,'DETALLE CRONOLÓGICO'!$A$2:$A$4919,0)+$E66-1)</f>
        <v/>
      </c>
      <c r="N66" s="7">
        <f>IFERROR($M66/INDEX('DETALLE CRONOLÓGICO'!$K$2:$K$4919,MATCH($A66,'DETALLE CRONOLÓGICO'!$A$2:$A$4919,0))-1,"")</f>
        <v/>
      </c>
      <c r="O66" s="6">
        <f>IFERROR($I66*3,"")</f>
        <v/>
      </c>
      <c r="P66" s="6">
        <f>IFERROR($I66*3.5,"")</f>
        <v/>
      </c>
      <c r="Q66" s="6">
        <f>IFERROR($I66*4,"")</f>
        <v/>
      </c>
      <c r="R66" s="6" t="n">
        <v>1199</v>
      </c>
      <c r="S66" s="4" t="n">
        <v>0</v>
      </c>
      <c r="T66" s="1" t="inlineStr">
        <is>
          <t>active</t>
        </is>
      </c>
      <c r="U66" s="8" t="n"/>
      <c r="V66" s="1" t="inlineStr">
        <is>
          <t>SIN PRECIO</t>
        </is>
      </c>
    </row>
    <row r="67">
      <c r="A67" s="1" t="inlineStr">
        <is>
          <t>14401521186925</t>
        </is>
      </c>
      <c r="B67" s="1" t="inlineStr">
        <is>
          <t>CARTERA LV STREAMER MOCASIN</t>
        </is>
      </c>
      <c r="C67" s="1" t="inlineStr">
        <is>
          <t>Default Title</t>
        </is>
      </c>
      <c r="D67" s="1" t="inlineStr">
        <is>
          <t>CYNTHIA</t>
        </is>
      </c>
      <c r="E67" s="4">
        <f>COUNTIF('DETALLE CRONOLÓGICO'!$A$2:$A$4919,$A67)</f>
        <v/>
      </c>
      <c r="F67" s="4">
        <f>SUMIFS('DETALLE CRONOLÓGICO'!$I$2:$I$4919,'DETALLE CRONOLÓGICO'!$A$2:$A$4919,$A67)</f>
        <v/>
      </c>
      <c r="G67" s="1">
        <f>INDEX('DETALLE CRONOLÓGICO'!$D$2:$D$4919,MATCH($A67,'DETALLE CRONOLÓGICO'!$A$2:$A$4919,0))</f>
        <v/>
      </c>
      <c r="H67" s="1">
        <f>INDEX('DETALLE CRONOLÓGICO'!$D$2:$D$4919,MATCH($A67,'DETALLE CRONOLÓGICO'!$A$2:$A$4919,0)+$E67-1)</f>
        <v/>
      </c>
      <c r="I67" s="5">
        <f>IFERROR(SUMIFS('DETALLE CRONOLÓGICO'!$L$2:$L$4919,'DETALLE CRONOLÓGICO'!$A$2:$A$4919,$A67)/$F67,"")</f>
        <v/>
      </c>
      <c r="J67" s="6">
        <f>IFERROR(SUMIFS('DETALLE CRONOLÓGICO'!$K$2:$K$4919,'DETALLE CRONOLÓGICO'!$A$2:$A$4919,$A67)/$E67,"")</f>
        <v/>
      </c>
      <c r="K67" s="6">
        <f>_xlfn.MINIFS('DETALLE CRONOLÓGICO'!$K$2:$K$4919,'DETALLE CRONOLÓGICO'!$A$2:$A$4919,$A67)</f>
        <v/>
      </c>
      <c r="L67" s="6">
        <f>_xlfn.MAXIFS('DETALLE CRONOLÓGICO'!$K$2:$K$4919,'DETALLE CRONOLÓGICO'!$A$2:$A$4919,$A67)</f>
        <v/>
      </c>
      <c r="M67" s="6">
        <f>INDEX('DETALLE CRONOLÓGICO'!$K$2:$K$4919,MATCH($A67,'DETALLE CRONOLÓGICO'!$A$2:$A$4919,0)+$E67-1)</f>
        <v/>
      </c>
      <c r="N67" s="7">
        <f>IFERROR($M67/INDEX('DETALLE CRONOLÓGICO'!$K$2:$K$4919,MATCH($A67,'DETALLE CRONOLÓGICO'!$A$2:$A$4919,0))-1,"")</f>
        <v/>
      </c>
      <c r="O67" s="6">
        <f>IFERROR($I67*3,"")</f>
        <v/>
      </c>
      <c r="P67" s="6">
        <f>IFERROR($I67*3.5,"")</f>
        <v/>
      </c>
      <c r="Q67" s="6">
        <f>IFERROR($I67*4,"")</f>
        <v/>
      </c>
      <c r="R67" s="6" t="n">
        <v>3699</v>
      </c>
      <c r="S67" s="4" t="n">
        <v>3</v>
      </c>
      <c r="T67" s="1" t="inlineStr">
        <is>
          <t>active</t>
        </is>
      </c>
      <c r="U67" s="8" t="n"/>
      <c r="V67" s="1" t="inlineStr">
        <is>
          <t>SIN PRECIO</t>
        </is>
      </c>
    </row>
    <row r="68">
      <c r="A68" s="1" t="inlineStr">
        <is>
          <t>14401521219693</t>
        </is>
      </c>
      <c r="B68" s="1" t="inlineStr">
        <is>
          <t>LENTES C SANTOS</t>
        </is>
      </c>
      <c r="C68" s="1" t="inlineStr">
        <is>
          <t>Default Title</t>
        </is>
      </c>
      <c r="D68" s="1" t="inlineStr">
        <is>
          <t>CYNTHIA</t>
        </is>
      </c>
      <c r="E68" s="4">
        <f>COUNTIF('DETALLE CRONOLÓGICO'!$A$2:$A$4919,$A68)</f>
        <v/>
      </c>
      <c r="F68" s="4">
        <f>SUMIFS('DETALLE CRONOLÓGICO'!$I$2:$I$4919,'DETALLE CRONOLÓGICO'!$A$2:$A$4919,$A68)</f>
        <v/>
      </c>
      <c r="G68" s="1">
        <f>INDEX('DETALLE CRONOLÓGICO'!$D$2:$D$4919,MATCH($A68,'DETALLE CRONOLÓGICO'!$A$2:$A$4919,0))</f>
        <v/>
      </c>
      <c r="H68" s="1">
        <f>INDEX('DETALLE CRONOLÓGICO'!$D$2:$D$4919,MATCH($A68,'DETALLE CRONOLÓGICO'!$A$2:$A$4919,0)+$E68-1)</f>
        <v/>
      </c>
      <c r="I68" s="5">
        <f>IFERROR(SUMIFS('DETALLE CRONOLÓGICO'!$L$2:$L$4919,'DETALLE CRONOLÓGICO'!$A$2:$A$4919,$A68)/$F68,"")</f>
        <v/>
      </c>
      <c r="J68" s="6">
        <f>IFERROR(SUMIFS('DETALLE CRONOLÓGICO'!$K$2:$K$4919,'DETALLE CRONOLÓGICO'!$A$2:$A$4919,$A68)/$E68,"")</f>
        <v/>
      </c>
      <c r="K68" s="6">
        <f>_xlfn.MINIFS('DETALLE CRONOLÓGICO'!$K$2:$K$4919,'DETALLE CRONOLÓGICO'!$A$2:$A$4919,$A68)</f>
        <v/>
      </c>
      <c r="L68" s="6">
        <f>_xlfn.MAXIFS('DETALLE CRONOLÓGICO'!$K$2:$K$4919,'DETALLE CRONOLÓGICO'!$A$2:$A$4919,$A68)</f>
        <v/>
      </c>
      <c r="M68" s="6">
        <f>INDEX('DETALLE CRONOLÓGICO'!$K$2:$K$4919,MATCH($A68,'DETALLE CRONOLÓGICO'!$A$2:$A$4919,0)+$E68-1)</f>
        <v/>
      </c>
      <c r="N68" s="7">
        <f>IFERROR($M68/INDEX('DETALLE CRONOLÓGICO'!$K$2:$K$4919,MATCH($A68,'DETALLE CRONOLÓGICO'!$A$2:$A$4919,0))-1,"")</f>
        <v/>
      </c>
      <c r="O68" s="6">
        <f>IFERROR($I68*3,"")</f>
        <v/>
      </c>
      <c r="P68" s="6">
        <f>IFERROR($I68*3.5,"")</f>
        <v/>
      </c>
      <c r="Q68" s="6">
        <f>IFERROR($I68*4,"")</f>
        <v/>
      </c>
      <c r="R68" s="6" t="n">
        <v>3079</v>
      </c>
      <c r="S68" s="4" t="n">
        <v>0</v>
      </c>
      <c r="T68" s="1" t="inlineStr">
        <is>
          <t>active</t>
        </is>
      </c>
      <c r="U68" s="8" t="n"/>
      <c r="V68" s="1" t="inlineStr">
        <is>
          <t>SIN PRECIO</t>
        </is>
      </c>
    </row>
    <row r="69">
      <c r="A69" s="1" t="inlineStr">
        <is>
          <t>14401521352461</t>
        </is>
      </c>
      <c r="B69" s="1" t="inlineStr">
        <is>
          <t>LENTES C TRIOMPHE GOLD CAT</t>
        </is>
      </c>
      <c r="C69" s="1" t="inlineStr">
        <is>
          <t>Default Title</t>
        </is>
      </c>
      <c r="D69" s="1" t="inlineStr">
        <is>
          <t>CYNTHIA</t>
        </is>
      </c>
      <c r="E69" s="4">
        <f>COUNTIF('DETALLE CRONOLÓGICO'!$A$2:$A$4919,$A69)</f>
        <v/>
      </c>
      <c r="F69" s="4">
        <f>SUMIFS('DETALLE CRONOLÓGICO'!$I$2:$I$4919,'DETALLE CRONOLÓGICO'!$A$2:$A$4919,$A69)</f>
        <v/>
      </c>
      <c r="G69" s="1">
        <f>INDEX('DETALLE CRONOLÓGICO'!$D$2:$D$4919,MATCH($A69,'DETALLE CRONOLÓGICO'!$A$2:$A$4919,0))</f>
        <v/>
      </c>
      <c r="H69" s="1">
        <f>INDEX('DETALLE CRONOLÓGICO'!$D$2:$D$4919,MATCH($A69,'DETALLE CRONOLÓGICO'!$A$2:$A$4919,0)+$E69-1)</f>
        <v/>
      </c>
      <c r="I69" s="5">
        <f>IFERROR(SUMIFS('DETALLE CRONOLÓGICO'!$L$2:$L$4919,'DETALLE CRONOLÓGICO'!$A$2:$A$4919,$A69)/$F69,"")</f>
        <v/>
      </c>
      <c r="J69" s="6">
        <f>IFERROR(SUMIFS('DETALLE CRONOLÓGICO'!$K$2:$K$4919,'DETALLE CRONOLÓGICO'!$A$2:$A$4919,$A69)/$E69,"")</f>
        <v/>
      </c>
      <c r="K69" s="6">
        <f>_xlfn.MINIFS('DETALLE CRONOLÓGICO'!$K$2:$K$4919,'DETALLE CRONOLÓGICO'!$A$2:$A$4919,$A69)</f>
        <v/>
      </c>
      <c r="L69" s="6">
        <f>_xlfn.MAXIFS('DETALLE CRONOLÓGICO'!$K$2:$K$4919,'DETALLE CRONOLÓGICO'!$A$2:$A$4919,$A69)</f>
        <v/>
      </c>
      <c r="M69" s="6">
        <f>INDEX('DETALLE CRONOLÓGICO'!$K$2:$K$4919,MATCH($A69,'DETALLE CRONOLÓGICO'!$A$2:$A$4919,0)+$E69-1)</f>
        <v/>
      </c>
      <c r="N69" s="7">
        <f>IFERROR($M69/INDEX('DETALLE CRONOLÓGICO'!$K$2:$K$4919,MATCH($A69,'DETALLE CRONOLÓGICO'!$A$2:$A$4919,0))-1,"")</f>
        <v/>
      </c>
      <c r="O69" s="6">
        <f>IFERROR($I69*3,"")</f>
        <v/>
      </c>
      <c r="P69" s="6">
        <f>IFERROR($I69*3.5,"")</f>
        <v/>
      </c>
      <c r="Q69" s="6">
        <f>IFERROR($I69*4,"")</f>
        <v/>
      </c>
      <c r="R69" s="6" t="n">
        <v>2799</v>
      </c>
      <c r="S69" s="4" t="n">
        <v>2</v>
      </c>
      <c r="T69" s="1" t="inlineStr">
        <is>
          <t>active</t>
        </is>
      </c>
      <c r="U69" s="8" t="n"/>
      <c r="V69" s="1" t="inlineStr">
        <is>
          <t>SIN PRECIO</t>
        </is>
      </c>
    </row>
    <row r="70">
      <c r="A70" s="1" t="inlineStr">
        <is>
          <t>14401521483533</t>
        </is>
      </c>
      <c r="B70" s="1" t="inlineStr">
        <is>
          <t>CINTO C TRIOMPHE LOGOS</t>
        </is>
      </c>
      <c r="C70" s="1" t="inlineStr">
        <is>
          <t>Default Title</t>
        </is>
      </c>
      <c r="D70" s="1" t="inlineStr">
        <is>
          <t>CYNTHIA</t>
        </is>
      </c>
      <c r="E70" s="4">
        <f>COUNTIF('DETALLE CRONOLÓGICO'!$A$2:$A$4919,$A70)</f>
        <v/>
      </c>
      <c r="F70" s="4">
        <f>SUMIFS('DETALLE CRONOLÓGICO'!$I$2:$I$4919,'DETALLE CRONOLÓGICO'!$A$2:$A$4919,$A70)</f>
        <v/>
      </c>
      <c r="G70" s="1">
        <f>INDEX('DETALLE CRONOLÓGICO'!$D$2:$D$4919,MATCH($A70,'DETALLE CRONOLÓGICO'!$A$2:$A$4919,0))</f>
        <v/>
      </c>
      <c r="H70" s="1">
        <f>INDEX('DETALLE CRONOLÓGICO'!$D$2:$D$4919,MATCH($A70,'DETALLE CRONOLÓGICO'!$A$2:$A$4919,0)+$E70-1)</f>
        <v/>
      </c>
      <c r="I70" s="5">
        <f>IFERROR(SUMIFS('DETALLE CRONOLÓGICO'!$L$2:$L$4919,'DETALLE CRONOLÓGICO'!$A$2:$A$4919,$A70)/$F70,"")</f>
        <v/>
      </c>
      <c r="J70" s="6">
        <f>IFERROR(SUMIFS('DETALLE CRONOLÓGICO'!$K$2:$K$4919,'DETALLE CRONOLÓGICO'!$A$2:$A$4919,$A70)/$E70,"")</f>
        <v/>
      </c>
      <c r="K70" s="6">
        <f>_xlfn.MINIFS('DETALLE CRONOLÓGICO'!$K$2:$K$4919,'DETALLE CRONOLÓGICO'!$A$2:$A$4919,$A70)</f>
        <v/>
      </c>
      <c r="L70" s="6">
        <f>_xlfn.MAXIFS('DETALLE CRONOLÓGICO'!$K$2:$K$4919,'DETALLE CRONOLÓGICO'!$A$2:$A$4919,$A70)</f>
        <v/>
      </c>
      <c r="M70" s="6">
        <f>INDEX('DETALLE CRONOLÓGICO'!$K$2:$K$4919,MATCH($A70,'DETALLE CRONOLÓGICO'!$A$2:$A$4919,0)+$E70-1)</f>
        <v/>
      </c>
      <c r="N70" s="7">
        <f>IFERROR($M70/INDEX('DETALLE CRONOLÓGICO'!$K$2:$K$4919,MATCH($A70,'DETALLE CRONOLÓGICO'!$A$2:$A$4919,0))-1,"")</f>
        <v/>
      </c>
      <c r="O70" s="6">
        <f>IFERROR($I70*3,"")</f>
        <v/>
      </c>
      <c r="P70" s="6">
        <f>IFERROR($I70*3.5,"")</f>
        <v/>
      </c>
      <c r="Q70" s="6">
        <f>IFERROR($I70*4,"")</f>
        <v/>
      </c>
      <c r="R70" s="6" t="n">
        <v>915</v>
      </c>
      <c r="S70" s="4" t="n">
        <v>1</v>
      </c>
      <c r="T70" s="1" t="inlineStr">
        <is>
          <t>active</t>
        </is>
      </c>
      <c r="U70" s="8" t="n"/>
      <c r="V70" s="1" t="inlineStr">
        <is>
          <t>SIN PRECIO</t>
        </is>
      </c>
    </row>
    <row r="71">
      <c r="A71" s="1" t="inlineStr">
        <is>
          <t>14401521547373</t>
        </is>
      </c>
      <c r="B71" s="1" t="inlineStr">
        <is>
          <t>BOLSO C CABAS PANIER BLACK16cm</t>
        </is>
      </c>
      <c r="C71" s="1" t="inlineStr">
        <is>
          <t>Default Title</t>
        </is>
      </c>
      <c r="D71" s="1" t="inlineStr">
        <is>
          <t>CYNTHIA</t>
        </is>
      </c>
      <c r="E71" s="4">
        <f>COUNTIF('DETALLE CRONOLÓGICO'!$A$2:$A$4919,$A71)</f>
        <v/>
      </c>
      <c r="F71" s="4">
        <f>SUMIFS('DETALLE CRONOLÓGICO'!$I$2:$I$4919,'DETALLE CRONOLÓGICO'!$A$2:$A$4919,$A71)</f>
        <v/>
      </c>
      <c r="G71" s="1">
        <f>INDEX('DETALLE CRONOLÓGICO'!$D$2:$D$4919,MATCH($A71,'DETALLE CRONOLÓGICO'!$A$2:$A$4919,0))</f>
        <v/>
      </c>
      <c r="H71" s="1">
        <f>INDEX('DETALLE CRONOLÓGICO'!$D$2:$D$4919,MATCH($A71,'DETALLE CRONOLÓGICO'!$A$2:$A$4919,0)+$E71-1)</f>
        <v/>
      </c>
      <c r="I71" s="5">
        <f>IFERROR(SUMIFS('DETALLE CRONOLÓGICO'!$L$2:$L$4919,'DETALLE CRONOLÓGICO'!$A$2:$A$4919,$A71)/$F71,"")</f>
        <v/>
      </c>
      <c r="J71" s="6">
        <f>IFERROR(SUMIFS('DETALLE CRONOLÓGICO'!$K$2:$K$4919,'DETALLE CRONOLÓGICO'!$A$2:$A$4919,$A71)/$E71,"")</f>
        <v/>
      </c>
      <c r="K71" s="6">
        <f>_xlfn.MINIFS('DETALLE CRONOLÓGICO'!$K$2:$K$4919,'DETALLE CRONOLÓGICO'!$A$2:$A$4919,$A71)</f>
        <v/>
      </c>
      <c r="L71" s="6">
        <f>_xlfn.MAXIFS('DETALLE CRONOLÓGICO'!$K$2:$K$4919,'DETALLE CRONOLÓGICO'!$A$2:$A$4919,$A71)</f>
        <v/>
      </c>
      <c r="M71" s="6">
        <f>INDEX('DETALLE CRONOLÓGICO'!$K$2:$K$4919,MATCH($A71,'DETALLE CRONOLÓGICO'!$A$2:$A$4919,0)+$E71-1)</f>
        <v/>
      </c>
      <c r="N71" s="7">
        <f>IFERROR($M71/INDEX('DETALLE CRONOLÓGICO'!$K$2:$K$4919,MATCH($A71,'DETALLE CRONOLÓGICO'!$A$2:$A$4919,0))-1,"")</f>
        <v/>
      </c>
      <c r="O71" s="6">
        <f>IFERROR($I71*3,"")</f>
        <v/>
      </c>
      <c r="P71" s="6">
        <f>IFERROR($I71*3.5,"")</f>
        <v/>
      </c>
      <c r="Q71" s="6">
        <f>IFERROR($I71*4,"")</f>
        <v/>
      </c>
      <c r="R71" s="6" t="n">
        <v>4469</v>
      </c>
      <c r="S71" s="4" t="n">
        <v>4</v>
      </c>
      <c r="T71" s="1" t="inlineStr">
        <is>
          <t>active</t>
        </is>
      </c>
      <c r="U71" s="8" t="n"/>
      <c r="V71" s="1" t="inlineStr">
        <is>
          <t>SIN PRECIO</t>
        </is>
      </c>
    </row>
    <row r="72">
      <c r="A72" s="1" t="inlineStr">
        <is>
          <t>14401521612909</t>
        </is>
      </c>
      <c r="B72" s="1" t="inlineStr">
        <is>
          <t>BOLSO C PANIER HOBO</t>
        </is>
      </c>
      <c r="C72" s="1" t="inlineStr">
        <is>
          <t>Default Title</t>
        </is>
      </c>
      <c r="D72" s="1" t="inlineStr">
        <is>
          <t>CYNTHIA</t>
        </is>
      </c>
      <c r="E72" s="4">
        <f>COUNTIF('DETALLE CRONOLÓGICO'!$A$2:$A$4919,$A72)</f>
        <v/>
      </c>
      <c r="F72" s="4">
        <f>SUMIFS('DETALLE CRONOLÓGICO'!$I$2:$I$4919,'DETALLE CRONOLÓGICO'!$A$2:$A$4919,$A72)</f>
        <v/>
      </c>
      <c r="G72" s="1">
        <f>INDEX('DETALLE CRONOLÓGICO'!$D$2:$D$4919,MATCH($A72,'DETALLE CRONOLÓGICO'!$A$2:$A$4919,0))</f>
        <v/>
      </c>
      <c r="H72" s="1">
        <f>INDEX('DETALLE CRONOLÓGICO'!$D$2:$D$4919,MATCH($A72,'DETALLE CRONOLÓGICO'!$A$2:$A$4919,0)+$E72-1)</f>
        <v/>
      </c>
      <c r="I72" s="5">
        <f>IFERROR(SUMIFS('DETALLE CRONOLÓGICO'!$L$2:$L$4919,'DETALLE CRONOLÓGICO'!$A$2:$A$4919,$A72)/$F72,"")</f>
        <v/>
      </c>
      <c r="J72" s="6">
        <f>IFERROR(SUMIFS('DETALLE CRONOLÓGICO'!$K$2:$K$4919,'DETALLE CRONOLÓGICO'!$A$2:$A$4919,$A72)/$E72,"")</f>
        <v/>
      </c>
      <c r="K72" s="6">
        <f>_xlfn.MINIFS('DETALLE CRONOLÓGICO'!$K$2:$K$4919,'DETALLE CRONOLÓGICO'!$A$2:$A$4919,$A72)</f>
        <v/>
      </c>
      <c r="L72" s="6">
        <f>_xlfn.MAXIFS('DETALLE CRONOLÓGICO'!$K$2:$K$4919,'DETALLE CRONOLÓGICO'!$A$2:$A$4919,$A72)</f>
        <v/>
      </c>
      <c r="M72" s="6">
        <f>INDEX('DETALLE CRONOLÓGICO'!$K$2:$K$4919,MATCH($A72,'DETALLE CRONOLÓGICO'!$A$2:$A$4919,0)+$E72-1)</f>
        <v/>
      </c>
      <c r="N72" s="7">
        <f>IFERROR($M72/INDEX('DETALLE CRONOLÓGICO'!$K$2:$K$4919,MATCH($A72,'DETALLE CRONOLÓGICO'!$A$2:$A$4919,0))-1,"")</f>
        <v/>
      </c>
      <c r="O72" s="6">
        <f>IFERROR($I72*3,"")</f>
        <v/>
      </c>
      <c r="P72" s="6">
        <f>IFERROR($I72*3.5,"")</f>
        <v/>
      </c>
      <c r="Q72" s="6">
        <f>IFERROR($I72*4,"")</f>
        <v/>
      </c>
      <c r="R72" s="6" t="n">
        <v>4459</v>
      </c>
      <c r="S72" s="4" t="n">
        <v>1</v>
      </c>
      <c r="T72" s="1" t="inlineStr">
        <is>
          <t>active</t>
        </is>
      </c>
      <c r="U72" s="8" t="n"/>
      <c r="V72" s="1" t="inlineStr">
        <is>
          <t>SIN PRECIO</t>
        </is>
      </c>
    </row>
    <row r="73">
      <c r="A73" s="1" t="inlineStr">
        <is>
          <t>14401521745677</t>
        </is>
      </c>
      <c r="B73" s="1" t="inlineStr">
        <is>
          <t>BOLSO C CABAS PANIER BROWN</t>
        </is>
      </c>
      <c r="C73" s="1" t="inlineStr">
        <is>
          <t>Default Title</t>
        </is>
      </c>
      <c r="D73" s="1" t="inlineStr">
        <is>
          <t>CYNTHIA</t>
        </is>
      </c>
      <c r="E73" s="4">
        <f>COUNTIF('DETALLE CRONOLÓGICO'!$A$2:$A$4919,$A73)</f>
        <v/>
      </c>
      <c r="F73" s="4">
        <f>SUMIFS('DETALLE CRONOLÓGICO'!$I$2:$I$4919,'DETALLE CRONOLÓGICO'!$A$2:$A$4919,$A73)</f>
        <v/>
      </c>
      <c r="G73" s="1">
        <f>INDEX('DETALLE CRONOLÓGICO'!$D$2:$D$4919,MATCH($A73,'DETALLE CRONOLÓGICO'!$A$2:$A$4919,0))</f>
        <v/>
      </c>
      <c r="H73" s="1">
        <f>INDEX('DETALLE CRONOLÓGICO'!$D$2:$D$4919,MATCH($A73,'DETALLE CRONOLÓGICO'!$A$2:$A$4919,0)+$E73-1)</f>
        <v/>
      </c>
      <c r="I73" s="5">
        <f>IFERROR(SUMIFS('DETALLE CRONOLÓGICO'!$L$2:$L$4919,'DETALLE CRONOLÓGICO'!$A$2:$A$4919,$A73)/$F73,"")</f>
        <v/>
      </c>
      <c r="J73" s="6">
        <f>IFERROR(SUMIFS('DETALLE CRONOLÓGICO'!$K$2:$K$4919,'DETALLE CRONOLÓGICO'!$A$2:$A$4919,$A73)/$E73,"")</f>
        <v/>
      </c>
      <c r="K73" s="6">
        <f>_xlfn.MINIFS('DETALLE CRONOLÓGICO'!$K$2:$K$4919,'DETALLE CRONOLÓGICO'!$A$2:$A$4919,$A73)</f>
        <v/>
      </c>
      <c r="L73" s="6">
        <f>_xlfn.MAXIFS('DETALLE CRONOLÓGICO'!$K$2:$K$4919,'DETALLE CRONOLÓGICO'!$A$2:$A$4919,$A73)</f>
        <v/>
      </c>
      <c r="M73" s="6">
        <f>INDEX('DETALLE CRONOLÓGICO'!$K$2:$K$4919,MATCH($A73,'DETALLE CRONOLÓGICO'!$A$2:$A$4919,0)+$E73-1)</f>
        <v/>
      </c>
      <c r="N73" s="7">
        <f>IFERROR($M73/INDEX('DETALLE CRONOLÓGICO'!$K$2:$K$4919,MATCH($A73,'DETALLE CRONOLÓGICO'!$A$2:$A$4919,0))-1,"")</f>
        <v/>
      </c>
      <c r="O73" s="6">
        <f>IFERROR($I73*3,"")</f>
        <v/>
      </c>
      <c r="P73" s="6">
        <f>IFERROR($I73*3.5,"")</f>
        <v/>
      </c>
      <c r="Q73" s="6">
        <f>IFERROR($I73*4,"")</f>
        <v/>
      </c>
      <c r="R73" s="6" t="n">
        <v>4469</v>
      </c>
      <c r="S73" s="4" t="n">
        <v>1</v>
      </c>
      <c r="T73" s="1" t="inlineStr">
        <is>
          <t>active</t>
        </is>
      </c>
      <c r="U73" s="8" t="n"/>
      <c r="V73" s="1" t="inlineStr">
        <is>
          <t>SIN PRECIO</t>
        </is>
      </c>
    </row>
    <row r="74">
      <c r="A74" s="1" t="inlineStr">
        <is>
          <t>14401521878445</t>
        </is>
      </c>
      <c r="B74" s="1" t="inlineStr">
        <is>
          <t>BOLSO C HALFMOON BLACK</t>
        </is>
      </c>
      <c r="C74" s="1" t="inlineStr">
        <is>
          <t>Default Title</t>
        </is>
      </c>
      <c r="D74" s="1" t="inlineStr">
        <is>
          <t>CYNTHIA</t>
        </is>
      </c>
      <c r="E74" s="4">
        <f>COUNTIF('DETALLE CRONOLÓGICO'!$A$2:$A$4919,$A74)</f>
        <v/>
      </c>
      <c r="F74" s="4">
        <f>SUMIFS('DETALLE CRONOLÓGICO'!$I$2:$I$4919,'DETALLE CRONOLÓGICO'!$A$2:$A$4919,$A74)</f>
        <v/>
      </c>
      <c r="G74" s="1">
        <f>INDEX('DETALLE CRONOLÓGICO'!$D$2:$D$4919,MATCH($A74,'DETALLE CRONOLÓGICO'!$A$2:$A$4919,0))</f>
        <v/>
      </c>
      <c r="H74" s="1">
        <f>INDEX('DETALLE CRONOLÓGICO'!$D$2:$D$4919,MATCH($A74,'DETALLE CRONOLÓGICO'!$A$2:$A$4919,0)+$E74-1)</f>
        <v/>
      </c>
      <c r="I74" s="5">
        <f>IFERROR(SUMIFS('DETALLE CRONOLÓGICO'!$L$2:$L$4919,'DETALLE CRONOLÓGICO'!$A$2:$A$4919,$A74)/$F74,"")</f>
        <v/>
      </c>
      <c r="J74" s="6">
        <f>IFERROR(SUMIFS('DETALLE CRONOLÓGICO'!$K$2:$K$4919,'DETALLE CRONOLÓGICO'!$A$2:$A$4919,$A74)/$E74,"")</f>
        <v/>
      </c>
      <c r="K74" s="6">
        <f>_xlfn.MINIFS('DETALLE CRONOLÓGICO'!$K$2:$K$4919,'DETALLE CRONOLÓGICO'!$A$2:$A$4919,$A74)</f>
        <v/>
      </c>
      <c r="L74" s="6">
        <f>_xlfn.MAXIFS('DETALLE CRONOLÓGICO'!$K$2:$K$4919,'DETALLE CRONOLÓGICO'!$A$2:$A$4919,$A74)</f>
        <v/>
      </c>
      <c r="M74" s="6">
        <f>INDEX('DETALLE CRONOLÓGICO'!$K$2:$K$4919,MATCH($A74,'DETALLE CRONOLÓGICO'!$A$2:$A$4919,0)+$E74-1)</f>
        <v/>
      </c>
      <c r="N74" s="7">
        <f>IFERROR($M74/INDEX('DETALLE CRONOLÓGICO'!$K$2:$K$4919,MATCH($A74,'DETALLE CRONOLÓGICO'!$A$2:$A$4919,0))-1,"")</f>
        <v/>
      </c>
      <c r="O74" s="6">
        <f>IFERROR($I74*3,"")</f>
        <v/>
      </c>
      <c r="P74" s="6">
        <f>IFERROR($I74*3.5,"")</f>
        <v/>
      </c>
      <c r="Q74" s="6">
        <f>IFERROR($I74*4,"")</f>
        <v/>
      </c>
      <c r="R74" s="6" t="n">
        <v>5910</v>
      </c>
      <c r="S74" s="4" t="n">
        <v>0</v>
      </c>
      <c r="T74" s="1" t="inlineStr">
        <is>
          <t>active</t>
        </is>
      </c>
      <c r="U74" s="8" t="n"/>
      <c r="V74" s="1" t="inlineStr">
        <is>
          <t>SIN PRECIO</t>
        </is>
      </c>
    </row>
    <row r="75">
      <c r="A75" s="1" t="inlineStr">
        <is>
          <t>14401521907821</t>
        </is>
      </c>
      <c r="B75" s="1" t="inlineStr">
        <is>
          <t>BOLSO GC SHOULDER BLACK</t>
        </is>
      </c>
      <c r="C75" s="1" t="inlineStr">
        <is>
          <t>Default Title</t>
        </is>
      </c>
      <c r="D75" s="1" t="inlineStr">
        <is>
          <t>CYNTHIA</t>
        </is>
      </c>
      <c r="E75" s="4">
        <f>COUNTIF('DETALLE CRONOLÓGICO'!$A$2:$A$4919,$A75)</f>
        <v/>
      </c>
      <c r="F75" s="4">
        <f>SUMIFS('DETALLE CRONOLÓGICO'!$I$2:$I$4919,'DETALLE CRONOLÓGICO'!$A$2:$A$4919,$A75)</f>
        <v/>
      </c>
      <c r="G75" s="1">
        <f>INDEX('DETALLE CRONOLÓGICO'!$D$2:$D$4919,MATCH($A75,'DETALLE CRONOLÓGICO'!$A$2:$A$4919,0))</f>
        <v/>
      </c>
      <c r="H75" s="1">
        <f>INDEX('DETALLE CRONOLÓGICO'!$D$2:$D$4919,MATCH($A75,'DETALLE CRONOLÓGICO'!$A$2:$A$4919,0)+$E75-1)</f>
        <v/>
      </c>
      <c r="I75" s="5">
        <f>IFERROR(SUMIFS('DETALLE CRONOLÓGICO'!$L$2:$L$4919,'DETALLE CRONOLÓGICO'!$A$2:$A$4919,$A75)/$F75,"")</f>
        <v/>
      </c>
      <c r="J75" s="6">
        <f>IFERROR(SUMIFS('DETALLE CRONOLÓGICO'!$K$2:$K$4919,'DETALLE CRONOLÓGICO'!$A$2:$A$4919,$A75)/$E75,"")</f>
        <v/>
      </c>
      <c r="K75" s="6">
        <f>_xlfn.MINIFS('DETALLE CRONOLÓGICO'!$K$2:$K$4919,'DETALLE CRONOLÓGICO'!$A$2:$A$4919,$A75)</f>
        <v/>
      </c>
      <c r="L75" s="6">
        <f>_xlfn.MAXIFS('DETALLE CRONOLÓGICO'!$K$2:$K$4919,'DETALLE CRONOLÓGICO'!$A$2:$A$4919,$A75)</f>
        <v/>
      </c>
      <c r="M75" s="6">
        <f>INDEX('DETALLE CRONOLÓGICO'!$K$2:$K$4919,MATCH($A75,'DETALLE CRONOLÓGICO'!$A$2:$A$4919,0)+$E75-1)</f>
        <v/>
      </c>
      <c r="N75" s="7">
        <f>IFERROR($M75/INDEX('DETALLE CRONOLÓGICO'!$K$2:$K$4919,MATCH($A75,'DETALLE CRONOLÓGICO'!$A$2:$A$4919,0))-1,"")</f>
        <v/>
      </c>
      <c r="O75" s="6">
        <f>IFERROR($I75*3,"")</f>
        <v/>
      </c>
      <c r="P75" s="6">
        <f>IFERROR($I75*3.5,"")</f>
        <v/>
      </c>
      <c r="Q75" s="6">
        <f>IFERROR($I75*4,"")</f>
        <v/>
      </c>
      <c r="R75" s="6" t="n">
        <v>5815</v>
      </c>
      <c r="S75" s="4" t="n">
        <v>0</v>
      </c>
      <c r="T75" s="1" t="inlineStr">
        <is>
          <t>active</t>
        </is>
      </c>
      <c r="U75" s="8" t="n"/>
      <c r="V75" s="1" t="inlineStr">
        <is>
          <t>SIN PRECIO</t>
        </is>
      </c>
    </row>
    <row r="76">
      <c r="A76" s="1" t="inlineStr">
        <is>
          <t>14401522038893</t>
        </is>
      </c>
      <c r="B76" s="1" t="inlineStr">
        <is>
          <t>BOLSO GC TOTE BEATRIX BROWN</t>
        </is>
      </c>
      <c r="C76" s="1" t="inlineStr">
        <is>
          <t>Default Title</t>
        </is>
      </c>
      <c r="D76" s="1" t="inlineStr">
        <is>
          <t>CYNTHIA</t>
        </is>
      </c>
      <c r="E76" s="4">
        <f>COUNTIF('DETALLE CRONOLÓGICO'!$A$2:$A$4919,$A76)</f>
        <v/>
      </c>
      <c r="F76" s="4">
        <f>SUMIFS('DETALLE CRONOLÓGICO'!$I$2:$I$4919,'DETALLE CRONOLÓGICO'!$A$2:$A$4919,$A76)</f>
        <v/>
      </c>
      <c r="G76" s="1">
        <f>INDEX('DETALLE CRONOLÓGICO'!$D$2:$D$4919,MATCH($A76,'DETALLE CRONOLÓGICO'!$A$2:$A$4919,0))</f>
        <v/>
      </c>
      <c r="H76" s="1">
        <f>INDEX('DETALLE CRONOLÓGICO'!$D$2:$D$4919,MATCH($A76,'DETALLE CRONOLÓGICO'!$A$2:$A$4919,0)+$E76-1)</f>
        <v/>
      </c>
      <c r="I76" s="5">
        <f>IFERROR(SUMIFS('DETALLE CRONOLÓGICO'!$L$2:$L$4919,'DETALLE CRONOLÓGICO'!$A$2:$A$4919,$A76)/$F76,"")</f>
        <v/>
      </c>
      <c r="J76" s="6">
        <f>IFERROR(SUMIFS('DETALLE CRONOLÓGICO'!$K$2:$K$4919,'DETALLE CRONOLÓGICO'!$A$2:$A$4919,$A76)/$E76,"")</f>
        <v/>
      </c>
      <c r="K76" s="6">
        <f>_xlfn.MINIFS('DETALLE CRONOLÓGICO'!$K$2:$K$4919,'DETALLE CRONOLÓGICO'!$A$2:$A$4919,$A76)</f>
        <v/>
      </c>
      <c r="L76" s="6">
        <f>_xlfn.MAXIFS('DETALLE CRONOLÓGICO'!$K$2:$K$4919,'DETALLE CRONOLÓGICO'!$A$2:$A$4919,$A76)</f>
        <v/>
      </c>
      <c r="M76" s="6">
        <f>INDEX('DETALLE CRONOLÓGICO'!$K$2:$K$4919,MATCH($A76,'DETALLE CRONOLÓGICO'!$A$2:$A$4919,0)+$E76-1)</f>
        <v/>
      </c>
      <c r="N76" s="7">
        <f>IFERROR($M76/INDEX('DETALLE CRONOLÓGICO'!$K$2:$K$4919,MATCH($A76,'DETALLE CRONOLÓGICO'!$A$2:$A$4919,0))-1,"")</f>
        <v/>
      </c>
      <c r="O76" s="6">
        <f>IFERROR($I76*3,"")</f>
        <v/>
      </c>
      <c r="P76" s="6">
        <f>IFERROR($I76*3.5,"")</f>
        <v/>
      </c>
      <c r="Q76" s="6">
        <f>IFERROR($I76*4,"")</f>
        <v/>
      </c>
      <c r="R76" s="6" t="n">
        <v>5505</v>
      </c>
      <c r="S76" s="4" t="n">
        <v>0</v>
      </c>
      <c r="T76" s="1" t="inlineStr">
        <is>
          <t>active</t>
        </is>
      </c>
      <c r="U76" s="8" t="n"/>
      <c r="V76" s="1" t="inlineStr">
        <is>
          <t>SIN PRECIO</t>
        </is>
      </c>
    </row>
    <row r="77">
      <c r="A77" s="1" t="inlineStr">
        <is>
          <t>14401522171661</t>
        </is>
      </c>
      <c r="B77" s="1" t="inlineStr">
        <is>
          <t>CARTERA GC PLEGABLE ALL BLACK</t>
        </is>
      </c>
      <c r="C77" s="1" t="inlineStr">
        <is>
          <t>Default Title</t>
        </is>
      </c>
      <c r="D77" s="1" t="inlineStr">
        <is>
          <t>CYNTHIA</t>
        </is>
      </c>
      <c r="E77" s="4">
        <f>COUNTIF('DETALLE CRONOLÓGICO'!$A$2:$A$4919,$A77)</f>
        <v/>
      </c>
      <c r="F77" s="4">
        <f>SUMIFS('DETALLE CRONOLÓGICO'!$I$2:$I$4919,'DETALLE CRONOLÓGICO'!$A$2:$A$4919,$A77)</f>
        <v/>
      </c>
      <c r="G77" s="1">
        <f>INDEX('DETALLE CRONOLÓGICO'!$D$2:$D$4919,MATCH($A77,'DETALLE CRONOLÓGICO'!$A$2:$A$4919,0))</f>
        <v/>
      </c>
      <c r="H77" s="1">
        <f>INDEX('DETALLE CRONOLÓGICO'!$D$2:$D$4919,MATCH($A77,'DETALLE CRONOLÓGICO'!$A$2:$A$4919,0)+$E77-1)</f>
        <v/>
      </c>
      <c r="I77" s="5">
        <f>IFERROR(SUMIFS('DETALLE CRONOLÓGICO'!$L$2:$L$4919,'DETALLE CRONOLÓGICO'!$A$2:$A$4919,$A77)/$F77,"")</f>
        <v/>
      </c>
      <c r="J77" s="6">
        <f>IFERROR(SUMIFS('DETALLE CRONOLÓGICO'!$K$2:$K$4919,'DETALLE CRONOLÓGICO'!$A$2:$A$4919,$A77)/$E77,"")</f>
        <v/>
      </c>
      <c r="K77" s="6">
        <f>_xlfn.MINIFS('DETALLE CRONOLÓGICO'!$K$2:$K$4919,'DETALLE CRONOLÓGICO'!$A$2:$A$4919,$A77)</f>
        <v/>
      </c>
      <c r="L77" s="6">
        <f>_xlfn.MAXIFS('DETALLE CRONOLÓGICO'!$K$2:$K$4919,'DETALLE CRONOLÓGICO'!$A$2:$A$4919,$A77)</f>
        <v/>
      </c>
      <c r="M77" s="6">
        <f>INDEX('DETALLE CRONOLÓGICO'!$K$2:$K$4919,MATCH($A77,'DETALLE CRONOLÓGICO'!$A$2:$A$4919,0)+$E77-1)</f>
        <v/>
      </c>
      <c r="N77" s="7">
        <f>IFERROR($M77/INDEX('DETALLE CRONOLÓGICO'!$K$2:$K$4919,MATCH($A77,'DETALLE CRONOLÓGICO'!$A$2:$A$4919,0))-1,"")</f>
        <v/>
      </c>
      <c r="O77" s="6">
        <f>IFERROR($I77*3,"")</f>
        <v/>
      </c>
      <c r="P77" s="6">
        <f>IFERROR($I77*3.5,"")</f>
        <v/>
      </c>
      <c r="Q77" s="6">
        <f>IFERROR($I77*4,"")</f>
        <v/>
      </c>
      <c r="R77" s="6" t="n">
        <v>2380</v>
      </c>
      <c r="S77" s="4" t="n">
        <v>1</v>
      </c>
      <c r="T77" s="1" t="inlineStr">
        <is>
          <t>active</t>
        </is>
      </c>
      <c r="U77" s="8" t="n"/>
      <c r="V77" s="1" t="inlineStr">
        <is>
          <t>SIN PRECIO</t>
        </is>
      </c>
    </row>
    <row r="78">
      <c r="A78" s="1" t="inlineStr">
        <is>
          <t>14401522235501</t>
        </is>
      </c>
      <c r="B78" s="1" t="inlineStr">
        <is>
          <t>TARJETERO GC HORSEBIT 1955</t>
        </is>
      </c>
      <c r="C78" s="1" t="inlineStr">
        <is>
          <t>Default Title</t>
        </is>
      </c>
      <c r="D78" s="1" t="inlineStr">
        <is>
          <t>CYNTHIA</t>
        </is>
      </c>
      <c r="E78" s="4">
        <f>COUNTIF('DETALLE CRONOLÓGICO'!$A$2:$A$4919,$A78)</f>
        <v/>
      </c>
      <c r="F78" s="4">
        <f>SUMIFS('DETALLE CRONOLÓGICO'!$I$2:$I$4919,'DETALLE CRONOLÓGICO'!$A$2:$A$4919,$A78)</f>
        <v/>
      </c>
      <c r="G78" s="1">
        <f>INDEX('DETALLE CRONOLÓGICO'!$D$2:$D$4919,MATCH($A78,'DETALLE CRONOLÓGICO'!$A$2:$A$4919,0))</f>
        <v/>
      </c>
      <c r="H78" s="1">
        <f>INDEX('DETALLE CRONOLÓGICO'!$D$2:$D$4919,MATCH($A78,'DETALLE CRONOLÓGICO'!$A$2:$A$4919,0)+$E78-1)</f>
        <v/>
      </c>
      <c r="I78" s="5">
        <f>IFERROR(SUMIFS('DETALLE CRONOLÓGICO'!$L$2:$L$4919,'DETALLE CRONOLÓGICO'!$A$2:$A$4919,$A78)/$F78,"")</f>
        <v/>
      </c>
      <c r="J78" s="6">
        <f>IFERROR(SUMIFS('DETALLE CRONOLÓGICO'!$K$2:$K$4919,'DETALLE CRONOLÓGICO'!$A$2:$A$4919,$A78)/$E78,"")</f>
        <v/>
      </c>
      <c r="K78" s="6">
        <f>_xlfn.MINIFS('DETALLE CRONOLÓGICO'!$K$2:$K$4919,'DETALLE CRONOLÓGICO'!$A$2:$A$4919,$A78)</f>
        <v/>
      </c>
      <c r="L78" s="6">
        <f>_xlfn.MAXIFS('DETALLE CRONOLÓGICO'!$K$2:$K$4919,'DETALLE CRONOLÓGICO'!$A$2:$A$4919,$A78)</f>
        <v/>
      </c>
      <c r="M78" s="6">
        <f>INDEX('DETALLE CRONOLÓGICO'!$K$2:$K$4919,MATCH($A78,'DETALLE CRONOLÓGICO'!$A$2:$A$4919,0)+$E78-1)</f>
        <v/>
      </c>
      <c r="N78" s="7">
        <f>IFERROR($M78/INDEX('DETALLE CRONOLÓGICO'!$K$2:$K$4919,MATCH($A78,'DETALLE CRONOLÓGICO'!$A$2:$A$4919,0))-1,"")</f>
        <v/>
      </c>
      <c r="O78" s="6">
        <f>IFERROR($I78*3,"")</f>
        <v/>
      </c>
      <c r="P78" s="6">
        <f>IFERROR($I78*3.5,"")</f>
        <v/>
      </c>
      <c r="Q78" s="6">
        <f>IFERROR($I78*4,"")</f>
        <v/>
      </c>
      <c r="R78" s="6" t="n">
        <v>3499</v>
      </c>
      <c r="S78" s="4" t="n">
        <v>4</v>
      </c>
      <c r="T78" s="1" t="inlineStr">
        <is>
          <t>active</t>
        </is>
      </c>
      <c r="U78" s="8" t="n"/>
      <c r="V78" s="1" t="inlineStr">
        <is>
          <t>SIN PRECIO</t>
        </is>
      </c>
    </row>
    <row r="79">
      <c r="A79" s="1" t="inlineStr">
        <is>
          <t>14401522366573</t>
        </is>
      </c>
      <c r="B79" s="1" t="inlineStr">
        <is>
          <t>CARTERA GC ZIP MARMONT BLACK</t>
        </is>
      </c>
      <c r="C79" s="1" t="inlineStr">
        <is>
          <t>Default Title</t>
        </is>
      </c>
      <c r="D79" s="1" t="inlineStr">
        <is>
          <t>CYNTHIA</t>
        </is>
      </c>
      <c r="E79" s="4">
        <f>COUNTIF('DETALLE CRONOLÓGICO'!$A$2:$A$4919,$A79)</f>
        <v/>
      </c>
      <c r="F79" s="4">
        <f>SUMIFS('DETALLE CRONOLÓGICO'!$I$2:$I$4919,'DETALLE CRONOLÓGICO'!$A$2:$A$4919,$A79)</f>
        <v/>
      </c>
      <c r="G79" s="1">
        <f>INDEX('DETALLE CRONOLÓGICO'!$D$2:$D$4919,MATCH($A79,'DETALLE CRONOLÓGICO'!$A$2:$A$4919,0))</f>
        <v/>
      </c>
      <c r="H79" s="1">
        <f>INDEX('DETALLE CRONOLÓGICO'!$D$2:$D$4919,MATCH($A79,'DETALLE CRONOLÓGICO'!$A$2:$A$4919,0)+$E79-1)</f>
        <v/>
      </c>
      <c r="I79" s="5">
        <f>IFERROR(SUMIFS('DETALLE CRONOLÓGICO'!$L$2:$L$4919,'DETALLE CRONOLÓGICO'!$A$2:$A$4919,$A79)/$F79,"")</f>
        <v/>
      </c>
      <c r="J79" s="6">
        <f>IFERROR(SUMIFS('DETALLE CRONOLÓGICO'!$K$2:$K$4919,'DETALLE CRONOLÓGICO'!$A$2:$A$4919,$A79)/$E79,"")</f>
        <v/>
      </c>
      <c r="K79" s="6">
        <f>_xlfn.MINIFS('DETALLE CRONOLÓGICO'!$K$2:$K$4919,'DETALLE CRONOLÓGICO'!$A$2:$A$4919,$A79)</f>
        <v/>
      </c>
      <c r="L79" s="6">
        <f>_xlfn.MAXIFS('DETALLE CRONOLÓGICO'!$K$2:$K$4919,'DETALLE CRONOLÓGICO'!$A$2:$A$4919,$A79)</f>
        <v/>
      </c>
      <c r="M79" s="6">
        <f>INDEX('DETALLE CRONOLÓGICO'!$K$2:$K$4919,MATCH($A79,'DETALLE CRONOLÓGICO'!$A$2:$A$4919,0)+$E79-1)</f>
        <v/>
      </c>
      <c r="N79" s="7">
        <f>IFERROR($M79/INDEX('DETALLE CRONOLÓGICO'!$K$2:$K$4919,MATCH($A79,'DETALLE CRONOLÓGICO'!$A$2:$A$4919,0))-1,"")</f>
        <v/>
      </c>
      <c r="O79" s="6">
        <f>IFERROR($I79*3,"")</f>
        <v/>
      </c>
      <c r="P79" s="6">
        <f>IFERROR($I79*3.5,"")</f>
        <v/>
      </c>
      <c r="Q79" s="6">
        <f>IFERROR($I79*4,"")</f>
        <v/>
      </c>
      <c r="R79" s="6" t="n">
        <v>3099</v>
      </c>
      <c r="S79" s="4" t="n">
        <v>2</v>
      </c>
      <c r="T79" s="1" t="inlineStr">
        <is>
          <t>active</t>
        </is>
      </c>
      <c r="U79" s="8" t="n"/>
      <c r="V79" s="1" t="inlineStr">
        <is>
          <t>SIN PRECIO</t>
        </is>
      </c>
    </row>
    <row r="80">
      <c r="A80" s="1" t="inlineStr">
        <is>
          <t>14401522499341</t>
        </is>
      </c>
      <c r="B80" s="1" t="inlineStr">
        <is>
          <t>BOLSO GC SHOULDER SUPREME</t>
        </is>
      </c>
      <c r="C80" s="1" t="inlineStr">
        <is>
          <t>Default Title</t>
        </is>
      </c>
      <c r="D80" s="1" t="inlineStr">
        <is>
          <t>CYNTHIA</t>
        </is>
      </c>
      <c r="E80" s="4">
        <f>COUNTIF('DETALLE CRONOLÓGICO'!$A$2:$A$4919,$A80)</f>
        <v/>
      </c>
      <c r="F80" s="4">
        <f>SUMIFS('DETALLE CRONOLÓGICO'!$I$2:$I$4919,'DETALLE CRONOLÓGICO'!$A$2:$A$4919,$A80)</f>
        <v/>
      </c>
      <c r="G80" s="1">
        <f>INDEX('DETALLE CRONOLÓGICO'!$D$2:$D$4919,MATCH($A80,'DETALLE CRONOLÓGICO'!$A$2:$A$4919,0))</f>
        <v/>
      </c>
      <c r="H80" s="1">
        <f>INDEX('DETALLE CRONOLÓGICO'!$D$2:$D$4919,MATCH($A80,'DETALLE CRONOLÓGICO'!$A$2:$A$4919,0)+$E80-1)</f>
        <v/>
      </c>
      <c r="I80" s="5">
        <f>IFERROR(SUMIFS('DETALLE CRONOLÓGICO'!$L$2:$L$4919,'DETALLE CRONOLÓGICO'!$A$2:$A$4919,$A80)/$F80,"")</f>
        <v/>
      </c>
      <c r="J80" s="6">
        <f>IFERROR(SUMIFS('DETALLE CRONOLÓGICO'!$K$2:$K$4919,'DETALLE CRONOLÓGICO'!$A$2:$A$4919,$A80)/$E80,"")</f>
        <v/>
      </c>
      <c r="K80" s="6">
        <f>_xlfn.MINIFS('DETALLE CRONOLÓGICO'!$K$2:$K$4919,'DETALLE CRONOLÓGICO'!$A$2:$A$4919,$A80)</f>
        <v/>
      </c>
      <c r="L80" s="6">
        <f>_xlfn.MAXIFS('DETALLE CRONOLÓGICO'!$K$2:$K$4919,'DETALLE CRONOLÓGICO'!$A$2:$A$4919,$A80)</f>
        <v/>
      </c>
      <c r="M80" s="6">
        <f>INDEX('DETALLE CRONOLÓGICO'!$K$2:$K$4919,MATCH($A80,'DETALLE CRONOLÓGICO'!$A$2:$A$4919,0)+$E80-1)</f>
        <v/>
      </c>
      <c r="N80" s="7">
        <f>IFERROR($M80/INDEX('DETALLE CRONOLÓGICO'!$K$2:$K$4919,MATCH($A80,'DETALLE CRONOLÓGICO'!$A$2:$A$4919,0))-1,"")</f>
        <v/>
      </c>
      <c r="O80" s="6">
        <f>IFERROR($I80*3,"")</f>
        <v/>
      </c>
      <c r="P80" s="6">
        <f>IFERROR($I80*3.5,"")</f>
        <v/>
      </c>
      <c r="Q80" s="6">
        <f>IFERROR($I80*4,"")</f>
        <v/>
      </c>
      <c r="R80" s="6" t="n">
        <v>5300</v>
      </c>
      <c r="S80" s="4" t="n">
        <v>1</v>
      </c>
      <c r="T80" s="1" t="inlineStr">
        <is>
          <t>active</t>
        </is>
      </c>
      <c r="U80" s="8" t="n"/>
      <c r="V80" s="1" t="inlineStr">
        <is>
          <t>SIN PRECIO</t>
        </is>
      </c>
    </row>
    <row r="81">
      <c r="A81" s="1" t="inlineStr">
        <is>
          <t>14401522525325</t>
        </is>
      </c>
      <c r="B81" s="1" t="inlineStr">
        <is>
          <t>CARTERA GC PLEGABLE LOGOS</t>
        </is>
      </c>
      <c r="C81" s="1" t="inlineStr">
        <is>
          <t>Default Title</t>
        </is>
      </c>
      <c r="D81" s="1" t="inlineStr">
        <is>
          <t>CYNTHIA</t>
        </is>
      </c>
      <c r="E81" s="4">
        <f>COUNTIF('DETALLE CRONOLÓGICO'!$A$2:$A$4919,$A81)</f>
        <v/>
      </c>
      <c r="F81" s="4">
        <f>SUMIFS('DETALLE CRONOLÓGICO'!$I$2:$I$4919,'DETALLE CRONOLÓGICO'!$A$2:$A$4919,$A81)</f>
        <v/>
      </c>
      <c r="G81" s="1">
        <f>INDEX('DETALLE CRONOLÓGICO'!$D$2:$D$4919,MATCH($A81,'DETALLE CRONOLÓGICO'!$A$2:$A$4919,0))</f>
        <v/>
      </c>
      <c r="H81" s="1">
        <f>INDEX('DETALLE CRONOLÓGICO'!$D$2:$D$4919,MATCH($A81,'DETALLE CRONOLÓGICO'!$A$2:$A$4919,0)+$E81-1)</f>
        <v/>
      </c>
      <c r="I81" s="5">
        <f>IFERROR(SUMIFS('DETALLE CRONOLÓGICO'!$L$2:$L$4919,'DETALLE CRONOLÓGICO'!$A$2:$A$4919,$A81)/$F81,"")</f>
        <v/>
      </c>
      <c r="J81" s="6">
        <f>IFERROR(SUMIFS('DETALLE CRONOLÓGICO'!$K$2:$K$4919,'DETALLE CRONOLÓGICO'!$A$2:$A$4919,$A81)/$E81,"")</f>
        <v/>
      </c>
      <c r="K81" s="6">
        <f>_xlfn.MINIFS('DETALLE CRONOLÓGICO'!$K$2:$K$4919,'DETALLE CRONOLÓGICO'!$A$2:$A$4919,$A81)</f>
        <v/>
      </c>
      <c r="L81" s="6">
        <f>_xlfn.MAXIFS('DETALLE CRONOLÓGICO'!$K$2:$K$4919,'DETALLE CRONOLÓGICO'!$A$2:$A$4919,$A81)</f>
        <v/>
      </c>
      <c r="M81" s="6">
        <f>INDEX('DETALLE CRONOLÓGICO'!$K$2:$K$4919,MATCH($A81,'DETALLE CRONOLÓGICO'!$A$2:$A$4919,0)+$E81-1)</f>
        <v/>
      </c>
      <c r="N81" s="7">
        <f>IFERROR($M81/INDEX('DETALLE CRONOLÓGICO'!$K$2:$K$4919,MATCH($A81,'DETALLE CRONOLÓGICO'!$A$2:$A$4919,0))-1,"")</f>
        <v/>
      </c>
      <c r="O81" s="6">
        <f>IFERROR($I81*3,"")</f>
        <v/>
      </c>
      <c r="P81" s="6">
        <f>IFERROR($I81*3.5,"")</f>
        <v/>
      </c>
      <c r="Q81" s="6">
        <f>IFERROR($I81*4,"")</f>
        <v/>
      </c>
      <c r="R81" s="6" t="n">
        <v>2799</v>
      </c>
      <c r="S81" s="4" t="n">
        <v>2</v>
      </c>
      <c r="T81" s="1" t="inlineStr">
        <is>
          <t>active</t>
        </is>
      </c>
      <c r="U81" s="8" t="n"/>
      <c r="V81" s="1" t="inlineStr">
        <is>
          <t>SIN PRECIO</t>
        </is>
      </c>
    </row>
    <row r="82">
      <c r="A82" s="1" t="inlineStr">
        <is>
          <t>14401522621933</t>
        </is>
      </c>
      <c r="B82" s="1" t="inlineStr">
        <is>
          <t>LENTES GC EYEWEAR NEW POP</t>
        </is>
      </c>
      <c r="C82" s="1" t="inlineStr">
        <is>
          <t>Default Title</t>
        </is>
      </c>
      <c r="D82" s="1" t="inlineStr">
        <is>
          <t>CYNTHIA</t>
        </is>
      </c>
      <c r="E82" s="4">
        <f>COUNTIF('DETALLE CRONOLÓGICO'!$A$2:$A$4919,$A82)</f>
        <v/>
      </c>
      <c r="F82" s="4">
        <f>SUMIFS('DETALLE CRONOLÓGICO'!$I$2:$I$4919,'DETALLE CRONOLÓGICO'!$A$2:$A$4919,$A82)</f>
        <v/>
      </c>
      <c r="G82" s="1">
        <f>INDEX('DETALLE CRONOLÓGICO'!$D$2:$D$4919,MATCH($A82,'DETALLE CRONOLÓGICO'!$A$2:$A$4919,0))</f>
        <v/>
      </c>
      <c r="H82" s="1">
        <f>INDEX('DETALLE CRONOLÓGICO'!$D$2:$D$4919,MATCH($A82,'DETALLE CRONOLÓGICO'!$A$2:$A$4919,0)+$E82-1)</f>
        <v/>
      </c>
      <c r="I82" s="5">
        <f>IFERROR(SUMIFS('DETALLE CRONOLÓGICO'!$L$2:$L$4919,'DETALLE CRONOLÓGICO'!$A$2:$A$4919,$A82)/$F82,"")</f>
        <v/>
      </c>
      <c r="J82" s="6">
        <f>IFERROR(SUMIFS('DETALLE CRONOLÓGICO'!$K$2:$K$4919,'DETALLE CRONOLÓGICO'!$A$2:$A$4919,$A82)/$E82,"")</f>
        <v/>
      </c>
      <c r="K82" s="6">
        <f>_xlfn.MINIFS('DETALLE CRONOLÓGICO'!$K$2:$K$4919,'DETALLE CRONOLÓGICO'!$A$2:$A$4919,$A82)</f>
        <v/>
      </c>
      <c r="L82" s="6">
        <f>_xlfn.MAXIFS('DETALLE CRONOLÓGICO'!$K$2:$K$4919,'DETALLE CRONOLÓGICO'!$A$2:$A$4919,$A82)</f>
        <v/>
      </c>
      <c r="M82" s="6">
        <f>INDEX('DETALLE CRONOLÓGICO'!$K$2:$K$4919,MATCH($A82,'DETALLE CRONOLÓGICO'!$A$2:$A$4919,0)+$E82-1)</f>
        <v/>
      </c>
      <c r="N82" s="7">
        <f>IFERROR($M82/INDEX('DETALLE CRONOLÓGICO'!$K$2:$K$4919,MATCH($A82,'DETALLE CRONOLÓGICO'!$A$2:$A$4919,0))-1,"")</f>
        <v/>
      </c>
      <c r="O82" s="6">
        <f>IFERROR($I82*3,"")</f>
        <v/>
      </c>
      <c r="P82" s="6">
        <f>IFERROR($I82*3.5,"")</f>
        <v/>
      </c>
      <c r="Q82" s="6">
        <f>IFERROR($I82*4,"")</f>
        <v/>
      </c>
      <c r="R82" s="6" t="n">
        <v>3125</v>
      </c>
      <c r="S82" s="4" t="n">
        <v>2</v>
      </c>
      <c r="T82" s="1" t="inlineStr">
        <is>
          <t>active</t>
        </is>
      </c>
      <c r="U82" s="8" t="n"/>
      <c r="V82" s="1" t="inlineStr">
        <is>
          <t>SIN PRECIO</t>
        </is>
      </c>
    </row>
    <row r="83">
      <c r="A83" s="1" t="inlineStr">
        <is>
          <t>14401522754701</t>
        </is>
      </c>
      <c r="B83" s="1" t="inlineStr">
        <is>
          <t>LENTES GC ALL BLACK</t>
        </is>
      </c>
      <c r="C83" s="1" t="inlineStr">
        <is>
          <t>Default Title</t>
        </is>
      </c>
      <c r="D83" s="1" t="inlineStr">
        <is>
          <t>CYNTHIA</t>
        </is>
      </c>
      <c r="E83" s="4">
        <f>COUNTIF('DETALLE CRONOLÓGICO'!$A$2:$A$4919,$A83)</f>
        <v/>
      </c>
      <c r="F83" s="4">
        <f>SUMIFS('DETALLE CRONOLÓGICO'!$I$2:$I$4919,'DETALLE CRONOLÓGICO'!$A$2:$A$4919,$A83)</f>
        <v/>
      </c>
      <c r="G83" s="1">
        <f>INDEX('DETALLE CRONOLÓGICO'!$D$2:$D$4919,MATCH($A83,'DETALLE CRONOLÓGICO'!$A$2:$A$4919,0))</f>
        <v/>
      </c>
      <c r="H83" s="1">
        <f>INDEX('DETALLE CRONOLÓGICO'!$D$2:$D$4919,MATCH($A83,'DETALLE CRONOLÓGICO'!$A$2:$A$4919,0)+$E83-1)</f>
        <v/>
      </c>
      <c r="I83" s="5">
        <f>IFERROR(SUMIFS('DETALLE CRONOLÓGICO'!$L$2:$L$4919,'DETALLE CRONOLÓGICO'!$A$2:$A$4919,$A83)/$F83,"")</f>
        <v/>
      </c>
      <c r="J83" s="6">
        <f>IFERROR(SUMIFS('DETALLE CRONOLÓGICO'!$K$2:$K$4919,'DETALLE CRONOLÓGICO'!$A$2:$A$4919,$A83)/$E83,"")</f>
        <v/>
      </c>
      <c r="K83" s="6">
        <f>_xlfn.MINIFS('DETALLE CRONOLÓGICO'!$K$2:$K$4919,'DETALLE CRONOLÓGICO'!$A$2:$A$4919,$A83)</f>
        <v/>
      </c>
      <c r="L83" s="6">
        <f>_xlfn.MAXIFS('DETALLE CRONOLÓGICO'!$K$2:$K$4919,'DETALLE CRONOLÓGICO'!$A$2:$A$4919,$A83)</f>
        <v/>
      </c>
      <c r="M83" s="6">
        <f>INDEX('DETALLE CRONOLÓGICO'!$K$2:$K$4919,MATCH($A83,'DETALLE CRONOLÓGICO'!$A$2:$A$4919,0)+$E83-1)</f>
        <v/>
      </c>
      <c r="N83" s="7">
        <f>IFERROR($M83/INDEX('DETALLE CRONOLÓGICO'!$K$2:$K$4919,MATCH($A83,'DETALLE CRONOLÓGICO'!$A$2:$A$4919,0))-1,"")</f>
        <v/>
      </c>
      <c r="O83" s="6">
        <f>IFERROR($I83*3,"")</f>
        <v/>
      </c>
      <c r="P83" s="6">
        <f>IFERROR($I83*3.5,"")</f>
        <v/>
      </c>
      <c r="Q83" s="6">
        <f>IFERROR($I83*4,"")</f>
        <v/>
      </c>
      <c r="R83" s="6" t="n">
        <v>4450</v>
      </c>
      <c r="S83" s="4" t="n">
        <v>2</v>
      </c>
      <c r="T83" s="1" t="inlineStr">
        <is>
          <t>active</t>
        </is>
      </c>
      <c r="U83" s="8" t="n"/>
      <c r="V83" s="1" t="inlineStr">
        <is>
          <t>SIN PRECIO</t>
        </is>
      </c>
    </row>
    <row r="84">
      <c r="A84" s="1" t="inlineStr">
        <is>
          <t>14401522887469</t>
        </is>
      </c>
      <c r="B84" s="1" t="inlineStr">
        <is>
          <t>CINTO GC WHITE</t>
        </is>
      </c>
      <c r="C84" s="1" t="inlineStr">
        <is>
          <t>Default Title</t>
        </is>
      </c>
      <c r="D84" s="1" t="inlineStr">
        <is>
          <t>CYNTHIA</t>
        </is>
      </c>
      <c r="E84" s="4">
        <f>COUNTIF('DETALLE CRONOLÓGICO'!$A$2:$A$4919,$A84)</f>
        <v/>
      </c>
      <c r="F84" s="4">
        <f>SUMIFS('DETALLE CRONOLÓGICO'!$I$2:$I$4919,'DETALLE CRONOLÓGICO'!$A$2:$A$4919,$A84)</f>
        <v/>
      </c>
      <c r="G84" s="1">
        <f>INDEX('DETALLE CRONOLÓGICO'!$D$2:$D$4919,MATCH($A84,'DETALLE CRONOLÓGICO'!$A$2:$A$4919,0))</f>
        <v/>
      </c>
      <c r="H84" s="1">
        <f>INDEX('DETALLE CRONOLÓGICO'!$D$2:$D$4919,MATCH($A84,'DETALLE CRONOLÓGICO'!$A$2:$A$4919,0)+$E84-1)</f>
        <v/>
      </c>
      <c r="I84" s="5">
        <f>IFERROR(SUMIFS('DETALLE CRONOLÓGICO'!$L$2:$L$4919,'DETALLE CRONOLÓGICO'!$A$2:$A$4919,$A84)/$F84,"")</f>
        <v/>
      </c>
      <c r="J84" s="6">
        <f>IFERROR(SUMIFS('DETALLE CRONOLÓGICO'!$K$2:$K$4919,'DETALLE CRONOLÓGICO'!$A$2:$A$4919,$A84)/$E84,"")</f>
        <v/>
      </c>
      <c r="K84" s="6">
        <f>_xlfn.MINIFS('DETALLE CRONOLÓGICO'!$K$2:$K$4919,'DETALLE CRONOLÓGICO'!$A$2:$A$4919,$A84)</f>
        <v/>
      </c>
      <c r="L84" s="6">
        <f>_xlfn.MAXIFS('DETALLE CRONOLÓGICO'!$K$2:$K$4919,'DETALLE CRONOLÓGICO'!$A$2:$A$4919,$A84)</f>
        <v/>
      </c>
      <c r="M84" s="6">
        <f>INDEX('DETALLE CRONOLÓGICO'!$K$2:$K$4919,MATCH($A84,'DETALLE CRONOLÓGICO'!$A$2:$A$4919,0)+$E84-1)</f>
        <v/>
      </c>
      <c r="N84" s="7">
        <f>IFERROR($M84/INDEX('DETALLE CRONOLÓGICO'!$K$2:$K$4919,MATCH($A84,'DETALLE CRONOLÓGICO'!$A$2:$A$4919,0))-1,"")</f>
        <v/>
      </c>
      <c r="O84" s="6">
        <f>IFERROR($I84*3,"")</f>
        <v/>
      </c>
      <c r="P84" s="6">
        <f>IFERROR($I84*3.5,"")</f>
        <v/>
      </c>
      <c r="Q84" s="6">
        <f>IFERROR($I84*4,"")</f>
        <v/>
      </c>
      <c r="R84" s="6" t="n">
        <v>899</v>
      </c>
      <c r="S84" s="4" t="n">
        <v>3</v>
      </c>
      <c r="T84" s="1" t="inlineStr">
        <is>
          <t>active</t>
        </is>
      </c>
      <c r="U84" s="8" t="n"/>
      <c r="V84" s="1" t="inlineStr">
        <is>
          <t>SIN PRECIO</t>
        </is>
      </c>
    </row>
    <row r="85">
      <c r="A85" s="1" t="inlineStr">
        <is>
          <t>14401522920237</t>
        </is>
      </c>
      <c r="B85" s="1" t="inlineStr">
        <is>
          <t>BOLSO CC DOUBLE FLAP</t>
        </is>
      </c>
      <c r="C85" s="1" t="inlineStr">
        <is>
          <t>Default Title</t>
        </is>
      </c>
      <c r="D85" s="1" t="inlineStr">
        <is>
          <t>CYNTHIA</t>
        </is>
      </c>
      <c r="E85" s="4">
        <f>COUNTIF('DETALLE CRONOLÓGICO'!$A$2:$A$4919,$A85)</f>
        <v/>
      </c>
      <c r="F85" s="4">
        <f>SUMIFS('DETALLE CRONOLÓGICO'!$I$2:$I$4919,'DETALLE CRONOLÓGICO'!$A$2:$A$4919,$A85)</f>
        <v/>
      </c>
      <c r="G85" s="1">
        <f>INDEX('DETALLE CRONOLÓGICO'!$D$2:$D$4919,MATCH($A85,'DETALLE CRONOLÓGICO'!$A$2:$A$4919,0))</f>
        <v/>
      </c>
      <c r="H85" s="1">
        <f>INDEX('DETALLE CRONOLÓGICO'!$D$2:$D$4919,MATCH($A85,'DETALLE CRONOLÓGICO'!$A$2:$A$4919,0)+$E85-1)</f>
        <v/>
      </c>
      <c r="I85" s="5">
        <f>IFERROR(SUMIFS('DETALLE CRONOLÓGICO'!$L$2:$L$4919,'DETALLE CRONOLÓGICO'!$A$2:$A$4919,$A85)/$F85,"")</f>
        <v/>
      </c>
      <c r="J85" s="6">
        <f>IFERROR(SUMIFS('DETALLE CRONOLÓGICO'!$K$2:$K$4919,'DETALLE CRONOLÓGICO'!$A$2:$A$4919,$A85)/$E85,"")</f>
        <v/>
      </c>
      <c r="K85" s="6">
        <f>_xlfn.MINIFS('DETALLE CRONOLÓGICO'!$K$2:$K$4919,'DETALLE CRONOLÓGICO'!$A$2:$A$4919,$A85)</f>
        <v/>
      </c>
      <c r="L85" s="6">
        <f>_xlfn.MAXIFS('DETALLE CRONOLÓGICO'!$K$2:$K$4919,'DETALLE CRONOLÓGICO'!$A$2:$A$4919,$A85)</f>
        <v/>
      </c>
      <c r="M85" s="6">
        <f>INDEX('DETALLE CRONOLÓGICO'!$K$2:$K$4919,MATCH($A85,'DETALLE CRONOLÓGICO'!$A$2:$A$4919,0)+$E85-1)</f>
        <v/>
      </c>
      <c r="N85" s="7">
        <f>IFERROR($M85/INDEX('DETALLE CRONOLÓGICO'!$K$2:$K$4919,MATCH($A85,'DETALLE CRONOLÓGICO'!$A$2:$A$4919,0))-1,"")</f>
        <v/>
      </c>
      <c r="O85" s="6">
        <f>IFERROR($I85*3,"")</f>
        <v/>
      </c>
      <c r="P85" s="6">
        <f>IFERROR($I85*3.5,"")</f>
        <v/>
      </c>
      <c r="Q85" s="6">
        <f>IFERROR($I85*4,"")</f>
        <v/>
      </c>
      <c r="R85" s="6" t="n">
        <v>6540</v>
      </c>
      <c r="S85" s="4" t="n">
        <v>2</v>
      </c>
      <c r="T85" s="1" t="inlineStr">
        <is>
          <t>active</t>
        </is>
      </c>
      <c r="U85" s="8" t="n"/>
      <c r="V85" s="1" t="inlineStr">
        <is>
          <t>SIN PRECIO</t>
        </is>
      </c>
    </row>
    <row r="86">
      <c r="A86" s="1" t="inlineStr">
        <is>
          <t>14401523053005</t>
        </is>
      </c>
      <c r="B86" s="1" t="inlineStr">
        <is>
          <t>CARTERA MM BLACK</t>
        </is>
      </c>
      <c r="C86" s="1" t="inlineStr">
        <is>
          <t>Default Title</t>
        </is>
      </c>
      <c r="D86" s="1" t="inlineStr">
        <is>
          <t>CYNTHIA</t>
        </is>
      </c>
      <c r="E86" s="4">
        <f>COUNTIF('DETALLE CRONOLÓGICO'!$A$2:$A$4919,$A86)</f>
        <v/>
      </c>
      <c r="F86" s="4">
        <f>SUMIFS('DETALLE CRONOLÓGICO'!$I$2:$I$4919,'DETALLE CRONOLÓGICO'!$A$2:$A$4919,$A86)</f>
        <v/>
      </c>
      <c r="G86" s="1">
        <f>INDEX('DETALLE CRONOLÓGICO'!$D$2:$D$4919,MATCH($A86,'DETALLE CRONOLÓGICO'!$A$2:$A$4919,0))</f>
        <v/>
      </c>
      <c r="H86" s="1">
        <f>INDEX('DETALLE CRONOLÓGICO'!$D$2:$D$4919,MATCH($A86,'DETALLE CRONOLÓGICO'!$A$2:$A$4919,0)+$E86-1)</f>
        <v/>
      </c>
      <c r="I86" s="5">
        <f>IFERROR(SUMIFS('DETALLE CRONOLÓGICO'!$L$2:$L$4919,'DETALLE CRONOLÓGICO'!$A$2:$A$4919,$A86)/$F86,"")</f>
        <v/>
      </c>
      <c r="J86" s="6">
        <f>IFERROR(SUMIFS('DETALLE CRONOLÓGICO'!$K$2:$K$4919,'DETALLE CRONOLÓGICO'!$A$2:$A$4919,$A86)/$E86,"")</f>
        <v/>
      </c>
      <c r="K86" s="6">
        <f>_xlfn.MINIFS('DETALLE CRONOLÓGICO'!$K$2:$K$4919,'DETALLE CRONOLÓGICO'!$A$2:$A$4919,$A86)</f>
        <v/>
      </c>
      <c r="L86" s="6">
        <f>_xlfn.MAXIFS('DETALLE CRONOLÓGICO'!$K$2:$K$4919,'DETALLE CRONOLÓGICO'!$A$2:$A$4919,$A86)</f>
        <v/>
      </c>
      <c r="M86" s="6">
        <f>INDEX('DETALLE CRONOLÓGICO'!$K$2:$K$4919,MATCH($A86,'DETALLE CRONOLÓGICO'!$A$2:$A$4919,0)+$E86-1)</f>
        <v/>
      </c>
      <c r="N86" s="7">
        <f>IFERROR($M86/INDEX('DETALLE CRONOLÓGICO'!$K$2:$K$4919,MATCH($A86,'DETALLE CRONOLÓGICO'!$A$2:$A$4919,0))-1,"")</f>
        <v/>
      </c>
      <c r="O86" s="6">
        <f>IFERROR($I86*3,"")</f>
        <v/>
      </c>
      <c r="P86" s="6">
        <f>IFERROR($I86*3.5,"")</f>
        <v/>
      </c>
      <c r="Q86" s="6">
        <f>IFERROR($I86*4,"")</f>
        <v/>
      </c>
      <c r="R86" s="6" t="n">
        <v>3125</v>
      </c>
      <c r="S86" s="4" t="n">
        <v>0</v>
      </c>
      <c r="T86" s="1" t="inlineStr">
        <is>
          <t>active</t>
        </is>
      </c>
      <c r="U86" s="8" t="n"/>
      <c r="V86" s="1" t="inlineStr">
        <is>
          <t>SIN PRECIO</t>
        </is>
      </c>
    </row>
    <row r="87">
      <c r="A87" s="1" t="inlineStr">
        <is>
          <t>14401523185773</t>
        </is>
      </c>
      <c r="B87" s="1" t="inlineStr">
        <is>
          <t>TARJETERO MM BLACK</t>
        </is>
      </c>
      <c r="C87" s="1" t="inlineStr">
        <is>
          <t>Default Title</t>
        </is>
      </c>
      <c r="D87" s="1" t="inlineStr">
        <is>
          <t>CYNTHIA</t>
        </is>
      </c>
      <c r="E87" s="4">
        <f>COUNTIF('DETALLE CRONOLÓGICO'!$A$2:$A$4919,$A87)</f>
        <v/>
      </c>
      <c r="F87" s="4">
        <f>SUMIFS('DETALLE CRONOLÓGICO'!$I$2:$I$4919,'DETALLE CRONOLÓGICO'!$A$2:$A$4919,$A87)</f>
        <v/>
      </c>
      <c r="G87" s="1">
        <f>INDEX('DETALLE CRONOLÓGICO'!$D$2:$D$4919,MATCH($A87,'DETALLE CRONOLÓGICO'!$A$2:$A$4919,0))</f>
        <v/>
      </c>
      <c r="H87" s="1">
        <f>INDEX('DETALLE CRONOLÓGICO'!$D$2:$D$4919,MATCH($A87,'DETALLE CRONOLÓGICO'!$A$2:$A$4919,0)+$E87-1)</f>
        <v/>
      </c>
      <c r="I87" s="5">
        <f>IFERROR(SUMIFS('DETALLE CRONOLÓGICO'!$L$2:$L$4919,'DETALLE CRONOLÓGICO'!$A$2:$A$4919,$A87)/$F87,"")</f>
        <v/>
      </c>
      <c r="J87" s="6">
        <f>IFERROR(SUMIFS('DETALLE CRONOLÓGICO'!$K$2:$K$4919,'DETALLE CRONOLÓGICO'!$A$2:$A$4919,$A87)/$E87,"")</f>
        <v/>
      </c>
      <c r="K87" s="6">
        <f>_xlfn.MINIFS('DETALLE CRONOLÓGICO'!$K$2:$K$4919,'DETALLE CRONOLÓGICO'!$A$2:$A$4919,$A87)</f>
        <v/>
      </c>
      <c r="L87" s="6">
        <f>_xlfn.MAXIFS('DETALLE CRONOLÓGICO'!$K$2:$K$4919,'DETALLE CRONOLÓGICO'!$A$2:$A$4919,$A87)</f>
        <v/>
      </c>
      <c r="M87" s="6">
        <f>INDEX('DETALLE CRONOLÓGICO'!$K$2:$K$4919,MATCH($A87,'DETALLE CRONOLÓGICO'!$A$2:$A$4919,0)+$E87-1)</f>
        <v/>
      </c>
      <c r="N87" s="7">
        <f>IFERROR($M87/INDEX('DETALLE CRONOLÓGICO'!$K$2:$K$4919,MATCH($A87,'DETALLE CRONOLÓGICO'!$A$2:$A$4919,0))-1,"")</f>
        <v/>
      </c>
      <c r="O87" s="6">
        <f>IFERROR($I87*3,"")</f>
        <v/>
      </c>
      <c r="P87" s="6">
        <f>IFERROR($I87*3.5,"")</f>
        <v/>
      </c>
      <c r="Q87" s="6">
        <f>IFERROR($I87*4,"")</f>
        <v/>
      </c>
      <c r="R87" s="6" t="n">
        <v>1819</v>
      </c>
      <c r="S87" s="4" t="n">
        <v>2</v>
      </c>
      <c r="T87" s="1" t="inlineStr">
        <is>
          <t>active</t>
        </is>
      </c>
      <c r="U87" s="8" t="n"/>
      <c r="V87" s="1" t="inlineStr">
        <is>
          <t>SIN PRECIO</t>
        </is>
      </c>
    </row>
    <row r="88">
      <c r="A88" s="1" t="inlineStr">
        <is>
          <t>14401523218541</t>
        </is>
      </c>
      <c r="B88" s="1" t="inlineStr">
        <is>
          <t>BOLSO PR RE-NYLON</t>
        </is>
      </c>
      <c r="C88" s="1" t="inlineStr">
        <is>
          <t>Default Title</t>
        </is>
      </c>
      <c r="D88" s="1" t="inlineStr">
        <is>
          <t>CYNTHIA</t>
        </is>
      </c>
      <c r="E88" s="4">
        <f>COUNTIF('DETALLE CRONOLÓGICO'!$A$2:$A$4919,$A88)</f>
        <v/>
      </c>
      <c r="F88" s="4">
        <f>SUMIFS('DETALLE CRONOLÓGICO'!$I$2:$I$4919,'DETALLE CRONOLÓGICO'!$A$2:$A$4919,$A88)</f>
        <v/>
      </c>
      <c r="G88" s="1">
        <f>INDEX('DETALLE CRONOLÓGICO'!$D$2:$D$4919,MATCH($A88,'DETALLE CRONOLÓGICO'!$A$2:$A$4919,0))</f>
        <v/>
      </c>
      <c r="H88" s="1">
        <f>INDEX('DETALLE CRONOLÓGICO'!$D$2:$D$4919,MATCH($A88,'DETALLE CRONOLÓGICO'!$A$2:$A$4919,0)+$E88-1)</f>
        <v/>
      </c>
      <c r="I88" s="5">
        <f>IFERROR(SUMIFS('DETALLE CRONOLÓGICO'!$L$2:$L$4919,'DETALLE CRONOLÓGICO'!$A$2:$A$4919,$A88)/$F88,"")</f>
        <v/>
      </c>
      <c r="J88" s="6">
        <f>IFERROR(SUMIFS('DETALLE CRONOLÓGICO'!$K$2:$K$4919,'DETALLE CRONOLÓGICO'!$A$2:$A$4919,$A88)/$E88,"")</f>
        <v/>
      </c>
      <c r="K88" s="6">
        <f>_xlfn.MINIFS('DETALLE CRONOLÓGICO'!$K$2:$K$4919,'DETALLE CRONOLÓGICO'!$A$2:$A$4919,$A88)</f>
        <v/>
      </c>
      <c r="L88" s="6">
        <f>_xlfn.MAXIFS('DETALLE CRONOLÓGICO'!$K$2:$K$4919,'DETALLE CRONOLÓGICO'!$A$2:$A$4919,$A88)</f>
        <v/>
      </c>
      <c r="M88" s="6">
        <f>INDEX('DETALLE CRONOLÓGICO'!$K$2:$K$4919,MATCH($A88,'DETALLE CRONOLÓGICO'!$A$2:$A$4919,0)+$E88-1)</f>
        <v/>
      </c>
      <c r="N88" s="7">
        <f>IFERROR($M88/INDEX('DETALLE CRONOLÓGICO'!$K$2:$K$4919,MATCH($A88,'DETALLE CRONOLÓGICO'!$A$2:$A$4919,0))-1,"")</f>
        <v/>
      </c>
      <c r="O88" s="6">
        <f>IFERROR($I88*3,"")</f>
        <v/>
      </c>
      <c r="P88" s="6">
        <f>IFERROR($I88*3.5,"")</f>
        <v/>
      </c>
      <c r="Q88" s="6">
        <f>IFERROR($I88*4,"")</f>
        <v/>
      </c>
      <c r="R88" s="6" t="n">
        <v>0</v>
      </c>
      <c r="S88" s="4" t="n">
        <v>0</v>
      </c>
      <c r="T88" s="1" t="inlineStr">
        <is>
          <t>draft</t>
        </is>
      </c>
      <c r="U88" s="8" t="n"/>
      <c r="V88" s="1" t="inlineStr">
        <is>
          <t>SIN PRECIO</t>
        </is>
      </c>
    </row>
    <row r="89">
      <c r="A89" s="1" t="inlineStr">
        <is>
          <t>14401523316845</t>
        </is>
      </c>
      <c r="B89" s="1" t="inlineStr">
        <is>
          <t>MOCHILA PR RE-NYLON</t>
        </is>
      </c>
      <c r="C89" s="1" t="inlineStr">
        <is>
          <t>Default Title</t>
        </is>
      </c>
      <c r="D89" s="1" t="inlineStr">
        <is>
          <t>CYNTHIA</t>
        </is>
      </c>
      <c r="E89" s="4">
        <f>COUNTIF('DETALLE CRONOLÓGICO'!$A$2:$A$4919,$A89)</f>
        <v/>
      </c>
      <c r="F89" s="4">
        <f>SUMIFS('DETALLE CRONOLÓGICO'!$I$2:$I$4919,'DETALLE CRONOLÓGICO'!$A$2:$A$4919,$A89)</f>
        <v/>
      </c>
      <c r="G89" s="1">
        <f>INDEX('DETALLE CRONOLÓGICO'!$D$2:$D$4919,MATCH($A89,'DETALLE CRONOLÓGICO'!$A$2:$A$4919,0))</f>
        <v/>
      </c>
      <c r="H89" s="1">
        <f>INDEX('DETALLE CRONOLÓGICO'!$D$2:$D$4919,MATCH($A89,'DETALLE CRONOLÓGICO'!$A$2:$A$4919,0)+$E89-1)</f>
        <v/>
      </c>
      <c r="I89" s="5">
        <f>IFERROR(SUMIFS('DETALLE CRONOLÓGICO'!$L$2:$L$4919,'DETALLE CRONOLÓGICO'!$A$2:$A$4919,$A89)/$F89,"")</f>
        <v/>
      </c>
      <c r="J89" s="6">
        <f>IFERROR(SUMIFS('DETALLE CRONOLÓGICO'!$K$2:$K$4919,'DETALLE CRONOLÓGICO'!$A$2:$A$4919,$A89)/$E89,"")</f>
        <v/>
      </c>
      <c r="K89" s="6">
        <f>_xlfn.MINIFS('DETALLE CRONOLÓGICO'!$K$2:$K$4919,'DETALLE CRONOLÓGICO'!$A$2:$A$4919,$A89)</f>
        <v/>
      </c>
      <c r="L89" s="6">
        <f>_xlfn.MAXIFS('DETALLE CRONOLÓGICO'!$K$2:$K$4919,'DETALLE CRONOLÓGICO'!$A$2:$A$4919,$A89)</f>
        <v/>
      </c>
      <c r="M89" s="6">
        <f>INDEX('DETALLE CRONOLÓGICO'!$K$2:$K$4919,MATCH($A89,'DETALLE CRONOLÓGICO'!$A$2:$A$4919,0)+$E89-1)</f>
        <v/>
      </c>
      <c r="N89" s="7">
        <f>IFERROR($M89/INDEX('DETALLE CRONOLÓGICO'!$K$2:$K$4919,MATCH($A89,'DETALLE CRONOLÓGICO'!$A$2:$A$4919,0))-1,"")</f>
        <v/>
      </c>
      <c r="O89" s="6">
        <f>IFERROR($I89*3,"")</f>
        <v/>
      </c>
      <c r="P89" s="6">
        <f>IFERROR($I89*3.5,"")</f>
        <v/>
      </c>
      <c r="Q89" s="6">
        <f>IFERROR($I89*4,"")</f>
        <v/>
      </c>
      <c r="R89" s="6" t="n">
        <v>5999</v>
      </c>
      <c r="S89" s="4" t="n">
        <v>2</v>
      </c>
      <c r="T89" s="1" t="inlineStr">
        <is>
          <t>active</t>
        </is>
      </c>
      <c r="U89" s="8" t="n"/>
      <c r="V89" s="1" t="inlineStr">
        <is>
          <t>SIN PRECIO</t>
        </is>
      </c>
    </row>
    <row r="90">
      <c r="A90" s="1" t="inlineStr">
        <is>
          <t>14401523449613</t>
        </is>
      </c>
      <c r="B90" s="1" t="inlineStr">
        <is>
          <t>BOLSO CD CON CREMALLERA</t>
        </is>
      </c>
      <c r="C90" s="1" t="inlineStr">
        <is>
          <t>Default Title</t>
        </is>
      </c>
      <c r="D90" s="1" t="inlineStr">
        <is>
          <t>CYNTHIA</t>
        </is>
      </c>
      <c r="E90" s="4">
        <f>COUNTIF('DETALLE CRONOLÓGICO'!$A$2:$A$4919,$A90)</f>
        <v/>
      </c>
      <c r="F90" s="4">
        <f>SUMIFS('DETALLE CRONOLÓGICO'!$I$2:$I$4919,'DETALLE CRONOLÓGICO'!$A$2:$A$4919,$A90)</f>
        <v/>
      </c>
      <c r="G90" s="1">
        <f>INDEX('DETALLE CRONOLÓGICO'!$D$2:$D$4919,MATCH($A90,'DETALLE CRONOLÓGICO'!$A$2:$A$4919,0))</f>
        <v/>
      </c>
      <c r="H90" s="1">
        <f>INDEX('DETALLE CRONOLÓGICO'!$D$2:$D$4919,MATCH($A90,'DETALLE CRONOLÓGICO'!$A$2:$A$4919,0)+$E90-1)</f>
        <v/>
      </c>
      <c r="I90" s="5">
        <f>IFERROR(SUMIFS('DETALLE CRONOLÓGICO'!$L$2:$L$4919,'DETALLE CRONOLÓGICO'!$A$2:$A$4919,$A90)/$F90,"")</f>
        <v/>
      </c>
      <c r="J90" s="6">
        <f>IFERROR(SUMIFS('DETALLE CRONOLÓGICO'!$K$2:$K$4919,'DETALLE CRONOLÓGICO'!$A$2:$A$4919,$A90)/$E90,"")</f>
        <v/>
      </c>
      <c r="K90" s="6">
        <f>_xlfn.MINIFS('DETALLE CRONOLÓGICO'!$K$2:$K$4919,'DETALLE CRONOLÓGICO'!$A$2:$A$4919,$A90)</f>
        <v/>
      </c>
      <c r="L90" s="6">
        <f>_xlfn.MAXIFS('DETALLE CRONOLÓGICO'!$K$2:$K$4919,'DETALLE CRONOLÓGICO'!$A$2:$A$4919,$A90)</f>
        <v/>
      </c>
      <c r="M90" s="6">
        <f>INDEX('DETALLE CRONOLÓGICO'!$K$2:$K$4919,MATCH($A90,'DETALLE CRONOLÓGICO'!$A$2:$A$4919,0)+$E90-1)</f>
        <v/>
      </c>
      <c r="N90" s="7">
        <f>IFERROR($M90/INDEX('DETALLE CRONOLÓGICO'!$K$2:$K$4919,MATCH($A90,'DETALLE CRONOLÓGICO'!$A$2:$A$4919,0))-1,"")</f>
        <v/>
      </c>
      <c r="O90" s="6">
        <f>IFERROR($I90*3,"")</f>
        <v/>
      </c>
      <c r="P90" s="6">
        <f>IFERROR($I90*3.5,"")</f>
        <v/>
      </c>
      <c r="Q90" s="6">
        <f>IFERROR($I90*4,"")</f>
        <v/>
      </c>
      <c r="R90" s="6" t="n">
        <v>5095</v>
      </c>
      <c r="S90" s="4" t="n">
        <v>5</v>
      </c>
      <c r="T90" s="1" t="inlineStr">
        <is>
          <t>active</t>
        </is>
      </c>
      <c r="U90" s="8" t="n"/>
      <c r="V90" s="1" t="inlineStr">
        <is>
          <t>SIN PRECIO</t>
        </is>
      </c>
    </row>
    <row r="91">
      <c r="A91" s="1" t="inlineStr">
        <is>
          <t>14512841047597</t>
        </is>
      </c>
      <c r="B91" s="1" t="inlineStr">
        <is>
          <t>PULSERA LV IDYLLE BLOSSOM GOLD</t>
        </is>
      </c>
      <c r="C91" s="1" t="inlineStr">
        <is>
          <t>Default Title</t>
        </is>
      </c>
      <c r="D91" s="1" t="inlineStr">
        <is>
          <t>HAIFENG</t>
        </is>
      </c>
      <c r="E91" s="4">
        <f>COUNTIF('DETALLE CRONOLÓGICO'!$A$2:$A$4919,$A91)</f>
        <v/>
      </c>
      <c r="F91" s="4">
        <f>SUMIFS('DETALLE CRONOLÓGICO'!$I$2:$I$4919,'DETALLE CRONOLÓGICO'!$A$2:$A$4919,$A91)</f>
        <v/>
      </c>
      <c r="G91" s="1">
        <f>INDEX('DETALLE CRONOLÓGICO'!$D$2:$D$4919,MATCH($A91,'DETALLE CRONOLÓGICO'!$A$2:$A$4919,0))</f>
        <v/>
      </c>
      <c r="H91" s="1">
        <f>INDEX('DETALLE CRONOLÓGICO'!$D$2:$D$4919,MATCH($A91,'DETALLE CRONOLÓGICO'!$A$2:$A$4919,0)+$E91-1)</f>
        <v/>
      </c>
      <c r="I91" s="5">
        <f>IFERROR(SUMIFS('DETALLE CRONOLÓGICO'!$L$2:$L$4919,'DETALLE CRONOLÓGICO'!$A$2:$A$4919,$A91)/$F91,"")</f>
        <v/>
      </c>
      <c r="J91" s="6">
        <f>IFERROR(SUMIFS('DETALLE CRONOLÓGICO'!$K$2:$K$4919,'DETALLE CRONOLÓGICO'!$A$2:$A$4919,$A91)/$E91,"")</f>
        <v/>
      </c>
      <c r="K91" s="6">
        <f>_xlfn.MINIFS('DETALLE CRONOLÓGICO'!$K$2:$K$4919,'DETALLE CRONOLÓGICO'!$A$2:$A$4919,$A91)</f>
        <v/>
      </c>
      <c r="L91" s="6">
        <f>_xlfn.MAXIFS('DETALLE CRONOLÓGICO'!$K$2:$K$4919,'DETALLE CRONOLÓGICO'!$A$2:$A$4919,$A91)</f>
        <v/>
      </c>
      <c r="M91" s="6">
        <f>INDEX('DETALLE CRONOLÓGICO'!$K$2:$K$4919,MATCH($A91,'DETALLE CRONOLÓGICO'!$A$2:$A$4919,0)+$E91-1)</f>
        <v/>
      </c>
      <c r="N91" s="7">
        <f>IFERROR($M91/INDEX('DETALLE CRONOLÓGICO'!$K$2:$K$4919,MATCH($A91,'DETALLE CRONOLÓGICO'!$A$2:$A$4919,0))-1,"")</f>
        <v/>
      </c>
      <c r="O91" s="6">
        <f>IFERROR($I91*3,"")</f>
        <v/>
      </c>
      <c r="P91" s="6">
        <f>IFERROR($I91*3.5,"")</f>
        <v/>
      </c>
      <c r="Q91" s="6">
        <f>IFERROR($I91*4,"")</f>
        <v/>
      </c>
      <c r="R91" s="6" t="n">
        <v>950</v>
      </c>
      <c r="S91" s="4" t="n">
        <v>3</v>
      </c>
      <c r="T91" s="1" t="inlineStr">
        <is>
          <t>active</t>
        </is>
      </c>
      <c r="U91" s="8" t="n"/>
      <c r="V91" s="1" t="inlineStr">
        <is>
          <t>SIN PRECIO</t>
        </is>
      </c>
    </row>
    <row r="92">
      <c r="A92" s="1" t="inlineStr">
        <is>
          <t>14679511089581</t>
        </is>
      </c>
      <c r="B92" s="1" t="inlineStr">
        <is>
          <t>PULSERA H SILVER</t>
        </is>
      </c>
      <c r="C92" s="1" t="inlineStr">
        <is>
          <t>Default Title</t>
        </is>
      </c>
      <c r="D92" s="1" t="inlineStr">
        <is>
          <t>HAIFENG</t>
        </is>
      </c>
      <c r="E92" s="4">
        <f>COUNTIF('DETALLE CRONOLÓGICO'!$A$2:$A$4919,$A92)</f>
        <v/>
      </c>
      <c r="F92" s="4">
        <f>SUMIFS('DETALLE CRONOLÓGICO'!$I$2:$I$4919,'DETALLE CRONOLÓGICO'!$A$2:$A$4919,$A92)</f>
        <v/>
      </c>
      <c r="G92" s="1">
        <f>INDEX('DETALLE CRONOLÓGICO'!$D$2:$D$4919,MATCH($A92,'DETALLE CRONOLÓGICO'!$A$2:$A$4919,0))</f>
        <v/>
      </c>
      <c r="H92" s="1">
        <f>INDEX('DETALLE CRONOLÓGICO'!$D$2:$D$4919,MATCH($A92,'DETALLE CRONOLÓGICO'!$A$2:$A$4919,0)+$E92-1)</f>
        <v/>
      </c>
      <c r="I92" s="5">
        <f>IFERROR(SUMIFS('DETALLE CRONOLÓGICO'!$L$2:$L$4919,'DETALLE CRONOLÓGICO'!$A$2:$A$4919,$A92)/$F92,"")</f>
        <v/>
      </c>
      <c r="J92" s="6">
        <f>IFERROR(SUMIFS('DETALLE CRONOLÓGICO'!$K$2:$K$4919,'DETALLE CRONOLÓGICO'!$A$2:$A$4919,$A92)/$E92,"")</f>
        <v/>
      </c>
      <c r="K92" s="6">
        <f>_xlfn.MINIFS('DETALLE CRONOLÓGICO'!$K$2:$K$4919,'DETALLE CRONOLÓGICO'!$A$2:$A$4919,$A92)</f>
        <v/>
      </c>
      <c r="L92" s="6">
        <f>_xlfn.MAXIFS('DETALLE CRONOLÓGICO'!$K$2:$K$4919,'DETALLE CRONOLÓGICO'!$A$2:$A$4919,$A92)</f>
        <v/>
      </c>
      <c r="M92" s="6">
        <f>INDEX('DETALLE CRONOLÓGICO'!$K$2:$K$4919,MATCH($A92,'DETALLE CRONOLÓGICO'!$A$2:$A$4919,0)+$E92-1)</f>
        <v/>
      </c>
      <c r="N92" s="7">
        <f>IFERROR($M92/INDEX('DETALLE CRONOLÓGICO'!$K$2:$K$4919,MATCH($A92,'DETALLE CRONOLÓGICO'!$A$2:$A$4919,0))-1,"")</f>
        <v/>
      </c>
      <c r="O92" s="6">
        <f>IFERROR($I92*3,"")</f>
        <v/>
      </c>
      <c r="P92" s="6">
        <f>IFERROR($I92*3.5,"")</f>
        <v/>
      </c>
      <c r="Q92" s="6">
        <f>IFERROR($I92*4,"")</f>
        <v/>
      </c>
      <c r="R92" s="6" t="n">
        <v>460</v>
      </c>
      <c r="S92" s="4" t="n">
        <v>2</v>
      </c>
      <c r="T92" s="1" t="inlineStr">
        <is>
          <t>active</t>
        </is>
      </c>
      <c r="U92" s="8" t="n"/>
      <c r="V92" s="1" t="inlineStr">
        <is>
          <t>SIN PRECIO</t>
        </is>
      </c>
    </row>
    <row r="93">
      <c r="A93" s="1" t="inlineStr">
        <is>
          <t>15104851060781</t>
        </is>
      </c>
      <c r="B93" s="1" t="inlineStr">
        <is>
          <t>COLLAR ALHAMBRA GOLD</t>
        </is>
      </c>
      <c r="C93" s="1" t="inlineStr">
        <is>
          <t>Default Title</t>
        </is>
      </c>
      <c r="D93" s="1" t="inlineStr">
        <is>
          <t>HAIFENG</t>
        </is>
      </c>
      <c r="E93" s="4">
        <f>COUNTIF('DETALLE CRONOLÓGICO'!$A$2:$A$4919,$A93)</f>
        <v/>
      </c>
      <c r="F93" s="4">
        <f>SUMIFS('DETALLE CRONOLÓGICO'!$I$2:$I$4919,'DETALLE CRONOLÓGICO'!$A$2:$A$4919,$A93)</f>
        <v/>
      </c>
      <c r="G93" s="1">
        <f>INDEX('DETALLE CRONOLÓGICO'!$D$2:$D$4919,MATCH($A93,'DETALLE CRONOLÓGICO'!$A$2:$A$4919,0))</f>
        <v/>
      </c>
      <c r="H93" s="1">
        <f>INDEX('DETALLE CRONOLÓGICO'!$D$2:$D$4919,MATCH($A93,'DETALLE CRONOLÓGICO'!$A$2:$A$4919,0)+$E93-1)</f>
        <v/>
      </c>
      <c r="I93" s="5">
        <f>IFERROR(SUMIFS('DETALLE CRONOLÓGICO'!$L$2:$L$4919,'DETALLE CRONOLÓGICO'!$A$2:$A$4919,$A93)/$F93,"")</f>
        <v/>
      </c>
      <c r="J93" s="6">
        <f>IFERROR(SUMIFS('DETALLE CRONOLÓGICO'!$K$2:$K$4919,'DETALLE CRONOLÓGICO'!$A$2:$A$4919,$A93)/$E93,"")</f>
        <v/>
      </c>
      <c r="K93" s="6">
        <f>_xlfn.MINIFS('DETALLE CRONOLÓGICO'!$K$2:$K$4919,'DETALLE CRONOLÓGICO'!$A$2:$A$4919,$A93)</f>
        <v/>
      </c>
      <c r="L93" s="6">
        <f>_xlfn.MAXIFS('DETALLE CRONOLÓGICO'!$K$2:$K$4919,'DETALLE CRONOLÓGICO'!$A$2:$A$4919,$A93)</f>
        <v/>
      </c>
      <c r="M93" s="6">
        <f>INDEX('DETALLE CRONOLÓGICO'!$K$2:$K$4919,MATCH($A93,'DETALLE CRONOLÓGICO'!$A$2:$A$4919,0)+$E93-1)</f>
        <v/>
      </c>
      <c r="N93" s="7">
        <f>IFERROR($M93/INDEX('DETALLE CRONOLÓGICO'!$K$2:$K$4919,MATCH($A93,'DETALLE CRONOLÓGICO'!$A$2:$A$4919,0))-1,"")</f>
        <v/>
      </c>
      <c r="O93" s="6">
        <f>IFERROR($I93*3,"")</f>
        <v/>
      </c>
      <c r="P93" s="6">
        <f>IFERROR($I93*3.5,"")</f>
        <v/>
      </c>
      <c r="Q93" s="6">
        <f>IFERROR($I93*4,"")</f>
        <v/>
      </c>
      <c r="R93" s="6" t="n">
        <v>450</v>
      </c>
      <c r="S93" s="4" t="n">
        <v>3</v>
      </c>
      <c r="T93" s="1" t="inlineStr">
        <is>
          <t>active</t>
        </is>
      </c>
      <c r="U93" s="8" t="n"/>
      <c r="V93" s="1" t="inlineStr">
        <is>
          <t>SIN PRECIO</t>
        </is>
      </c>
    </row>
    <row r="94">
      <c r="A94" s="1" t="inlineStr">
        <is>
          <t>15104861195245</t>
        </is>
      </c>
      <c r="B94" s="1" t="inlineStr">
        <is>
          <t>ANILLO LV RED BLOSSOM STAR ROSE GOLD</t>
        </is>
      </c>
      <c r="C94" s="1" t="inlineStr">
        <is>
          <t>6</t>
        </is>
      </c>
      <c r="D94" s="1" t="inlineStr">
        <is>
          <t>HAIFENG</t>
        </is>
      </c>
      <c r="E94" s="4">
        <f>COUNTIF('DETALLE CRONOLÓGICO'!$A$2:$A$4919,$A94)</f>
        <v/>
      </c>
      <c r="F94" s="4">
        <f>SUMIFS('DETALLE CRONOLÓGICO'!$I$2:$I$4919,'DETALLE CRONOLÓGICO'!$A$2:$A$4919,$A94)</f>
        <v/>
      </c>
      <c r="G94" s="1">
        <f>INDEX('DETALLE CRONOLÓGICO'!$D$2:$D$4919,MATCH($A94,'DETALLE CRONOLÓGICO'!$A$2:$A$4919,0))</f>
        <v/>
      </c>
      <c r="H94" s="1">
        <f>INDEX('DETALLE CRONOLÓGICO'!$D$2:$D$4919,MATCH($A94,'DETALLE CRONOLÓGICO'!$A$2:$A$4919,0)+$E94-1)</f>
        <v/>
      </c>
      <c r="I94" s="5">
        <f>IFERROR(SUMIFS('DETALLE CRONOLÓGICO'!$L$2:$L$4919,'DETALLE CRONOLÓGICO'!$A$2:$A$4919,$A94)/$F94,"")</f>
        <v/>
      </c>
      <c r="J94" s="6">
        <f>IFERROR(SUMIFS('DETALLE CRONOLÓGICO'!$K$2:$K$4919,'DETALLE CRONOLÓGICO'!$A$2:$A$4919,$A94)/$E94,"")</f>
        <v/>
      </c>
      <c r="K94" s="6">
        <f>_xlfn.MINIFS('DETALLE CRONOLÓGICO'!$K$2:$K$4919,'DETALLE CRONOLÓGICO'!$A$2:$A$4919,$A94)</f>
        <v/>
      </c>
      <c r="L94" s="6">
        <f>_xlfn.MAXIFS('DETALLE CRONOLÓGICO'!$K$2:$K$4919,'DETALLE CRONOLÓGICO'!$A$2:$A$4919,$A94)</f>
        <v/>
      </c>
      <c r="M94" s="6">
        <f>INDEX('DETALLE CRONOLÓGICO'!$K$2:$K$4919,MATCH($A94,'DETALLE CRONOLÓGICO'!$A$2:$A$4919,0)+$E94-1)</f>
        <v/>
      </c>
      <c r="N94" s="7">
        <f>IFERROR($M94/INDEX('DETALLE CRONOLÓGICO'!$K$2:$K$4919,MATCH($A94,'DETALLE CRONOLÓGICO'!$A$2:$A$4919,0))-1,"")</f>
        <v/>
      </c>
      <c r="O94" s="6">
        <f>IFERROR($I94*3,"")</f>
        <v/>
      </c>
      <c r="P94" s="6">
        <f>IFERROR($I94*3.5,"")</f>
        <v/>
      </c>
      <c r="Q94" s="6">
        <f>IFERROR($I94*4,"")</f>
        <v/>
      </c>
      <c r="R94" s="6" t="n">
        <v>820</v>
      </c>
      <c r="S94" s="4" t="n">
        <v>1</v>
      </c>
      <c r="T94" s="1" t="inlineStr">
        <is>
          <t>active</t>
        </is>
      </c>
      <c r="U94" s="8" t="n"/>
      <c r="V94" s="1" t="inlineStr">
        <is>
          <t>SIN PRECIO</t>
        </is>
      </c>
    </row>
    <row r="95">
      <c r="A95" s="1" t="inlineStr">
        <is>
          <t>15104861228013</t>
        </is>
      </c>
      <c r="B95" s="1" t="inlineStr">
        <is>
          <t>ANILLO LV RED BLOSSOM STAR ROSE GOLD</t>
        </is>
      </c>
      <c r="C95" s="1" t="inlineStr">
        <is>
          <t>7</t>
        </is>
      </c>
      <c r="D95" s="1" t="inlineStr">
        <is>
          <t>HAIFENG</t>
        </is>
      </c>
      <c r="E95" s="4">
        <f>COUNTIF('DETALLE CRONOLÓGICO'!$A$2:$A$4919,$A95)</f>
        <v/>
      </c>
      <c r="F95" s="4">
        <f>SUMIFS('DETALLE CRONOLÓGICO'!$I$2:$I$4919,'DETALLE CRONOLÓGICO'!$A$2:$A$4919,$A95)</f>
        <v/>
      </c>
      <c r="G95" s="1">
        <f>INDEX('DETALLE CRONOLÓGICO'!$D$2:$D$4919,MATCH($A95,'DETALLE CRONOLÓGICO'!$A$2:$A$4919,0))</f>
        <v/>
      </c>
      <c r="H95" s="1">
        <f>INDEX('DETALLE CRONOLÓGICO'!$D$2:$D$4919,MATCH($A95,'DETALLE CRONOLÓGICO'!$A$2:$A$4919,0)+$E95-1)</f>
        <v/>
      </c>
      <c r="I95" s="5">
        <f>IFERROR(SUMIFS('DETALLE CRONOLÓGICO'!$L$2:$L$4919,'DETALLE CRONOLÓGICO'!$A$2:$A$4919,$A95)/$F95,"")</f>
        <v/>
      </c>
      <c r="J95" s="6">
        <f>IFERROR(SUMIFS('DETALLE CRONOLÓGICO'!$K$2:$K$4919,'DETALLE CRONOLÓGICO'!$A$2:$A$4919,$A95)/$E95,"")</f>
        <v/>
      </c>
      <c r="K95" s="6">
        <f>_xlfn.MINIFS('DETALLE CRONOLÓGICO'!$K$2:$K$4919,'DETALLE CRONOLÓGICO'!$A$2:$A$4919,$A95)</f>
        <v/>
      </c>
      <c r="L95" s="6">
        <f>_xlfn.MAXIFS('DETALLE CRONOLÓGICO'!$K$2:$K$4919,'DETALLE CRONOLÓGICO'!$A$2:$A$4919,$A95)</f>
        <v/>
      </c>
      <c r="M95" s="6">
        <f>INDEX('DETALLE CRONOLÓGICO'!$K$2:$K$4919,MATCH($A95,'DETALLE CRONOLÓGICO'!$A$2:$A$4919,0)+$E95-1)</f>
        <v/>
      </c>
      <c r="N95" s="7">
        <f>IFERROR($M95/INDEX('DETALLE CRONOLÓGICO'!$K$2:$K$4919,MATCH($A95,'DETALLE CRONOLÓGICO'!$A$2:$A$4919,0))-1,"")</f>
        <v/>
      </c>
      <c r="O95" s="6">
        <f>IFERROR($I95*3,"")</f>
        <v/>
      </c>
      <c r="P95" s="6">
        <f>IFERROR($I95*3.5,"")</f>
        <v/>
      </c>
      <c r="Q95" s="6">
        <f>IFERROR($I95*4,"")</f>
        <v/>
      </c>
      <c r="R95" s="6" t="n">
        <v>820</v>
      </c>
      <c r="S95" s="4" t="n">
        <v>1</v>
      </c>
      <c r="T95" s="1" t="inlineStr">
        <is>
          <t>active</t>
        </is>
      </c>
      <c r="U95" s="8" t="n"/>
      <c r="V95" s="1" t="inlineStr">
        <is>
          <t>SIN PRECIO</t>
        </is>
      </c>
    </row>
    <row r="96">
      <c r="A96" s="1" t="inlineStr">
        <is>
          <t>15104861336493</t>
        </is>
      </c>
      <c r="B96" s="1" t="inlineStr">
        <is>
          <t>ANILLO LV GREEN BLOSSOM STAR ROSE GOLD</t>
        </is>
      </c>
      <c r="C96" s="1" t="inlineStr">
        <is>
          <t>6</t>
        </is>
      </c>
      <c r="D96" s="1" t="inlineStr">
        <is>
          <t>HAIFENG</t>
        </is>
      </c>
      <c r="E96" s="4">
        <f>COUNTIF('DETALLE CRONOLÓGICO'!$A$2:$A$4919,$A96)</f>
        <v/>
      </c>
      <c r="F96" s="4">
        <f>SUMIFS('DETALLE CRONOLÓGICO'!$I$2:$I$4919,'DETALLE CRONOLÓGICO'!$A$2:$A$4919,$A96)</f>
        <v/>
      </c>
      <c r="G96" s="1">
        <f>INDEX('DETALLE CRONOLÓGICO'!$D$2:$D$4919,MATCH($A96,'DETALLE CRONOLÓGICO'!$A$2:$A$4919,0))</f>
        <v/>
      </c>
      <c r="H96" s="1">
        <f>INDEX('DETALLE CRONOLÓGICO'!$D$2:$D$4919,MATCH($A96,'DETALLE CRONOLÓGICO'!$A$2:$A$4919,0)+$E96-1)</f>
        <v/>
      </c>
      <c r="I96" s="5">
        <f>IFERROR(SUMIFS('DETALLE CRONOLÓGICO'!$L$2:$L$4919,'DETALLE CRONOLÓGICO'!$A$2:$A$4919,$A96)/$F96,"")</f>
        <v/>
      </c>
      <c r="J96" s="6">
        <f>IFERROR(SUMIFS('DETALLE CRONOLÓGICO'!$K$2:$K$4919,'DETALLE CRONOLÓGICO'!$A$2:$A$4919,$A96)/$E96,"")</f>
        <v/>
      </c>
      <c r="K96" s="6">
        <f>_xlfn.MINIFS('DETALLE CRONOLÓGICO'!$K$2:$K$4919,'DETALLE CRONOLÓGICO'!$A$2:$A$4919,$A96)</f>
        <v/>
      </c>
      <c r="L96" s="6">
        <f>_xlfn.MAXIFS('DETALLE CRONOLÓGICO'!$K$2:$K$4919,'DETALLE CRONOLÓGICO'!$A$2:$A$4919,$A96)</f>
        <v/>
      </c>
      <c r="M96" s="6">
        <f>INDEX('DETALLE CRONOLÓGICO'!$K$2:$K$4919,MATCH($A96,'DETALLE CRONOLÓGICO'!$A$2:$A$4919,0)+$E96-1)</f>
        <v/>
      </c>
      <c r="N96" s="7">
        <f>IFERROR($M96/INDEX('DETALLE CRONOLÓGICO'!$K$2:$K$4919,MATCH($A96,'DETALLE CRONOLÓGICO'!$A$2:$A$4919,0))-1,"")</f>
        <v/>
      </c>
      <c r="O96" s="6">
        <f>IFERROR($I96*3,"")</f>
        <v/>
      </c>
      <c r="P96" s="6">
        <f>IFERROR($I96*3.5,"")</f>
        <v/>
      </c>
      <c r="Q96" s="6">
        <f>IFERROR($I96*4,"")</f>
        <v/>
      </c>
      <c r="R96" s="6" t="n">
        <v>820</v>
      </c>
      <c r="S96" s="4" t="n">
        <v>1</v>
      </c>
      <c r="T96" s="1" t="inlineStr">
        <is>
          <t>active</t>
        </is>
      </c>
      <c r="U96" s="8" t="n"/>
      <c r="V96" s="1" t="inlineStr">
        <is>
          <t>SIN PRECIO</t>
        </is>
      </c>
    </row>
    <row r="97">
      <c r="A97" s="1" t="inlineStr">
        <is>
          <t>15104861469261</t>
        </is>
      </c>
      <c r="B97" s="1" t="inlineStr">
        <is>
          <t>ANILLO LV GREEN BLOSSOM STAR ROSE GOLD</t>
        </is>
      </c>
      <c r="C97" s="1" t="inlineStr">
        <is>
          <t>7</t>
        </is>
      </c>
      <c r="D97" s="1" t="inlineStr">
        <is>
          <t>HAIFENG</t>
        </is>
      </c>
      <c r="E97" s="4">
        <f>COUNTIF('DETALLE CRONOLÓGICO'!$A$2:$A$4919,$A97)</f>
        <v/>
      </c>
      <c r="F97" s="4">
        <f>SUMIFS('DETALLE CRONOLÓGICO'!$I$2:$I$4919,'DETALLE CRONOLÓGICO'!$A$2:$A$4919,$A97)</f>
        <v/>
      </c>
      <c r="G97" s="1">
        <f>INDEX('DETALLE CRONOLÓGICO'!$D$2:$D$4919,MATCH($A97,'DETALLE CRONOLÓGICO'!$A$2:$A$4919,0))</f>
        <v/>
      </c>
      <c r="H97" s="1">
        <f>INDEX('DETALLE CRONOLÓGICO'!$D$2:$D$4919,MATCH($A97,'DETALLE CRONOLÓGICO'!$A$2:$A$4919,0)+$E97-1)</f>
        <v/>
      </c>
      <c r="I97" s="5">
        <f>IFERROR(SUMIFS('DETALLE CRONOLÓGICO'!$L$2:$L$4919,'DETALLE CRONOLÓGICO'!$A$2:$A$4919,$A97)/$F97,"")</f>
        <v/>
      </c>
      <c r="J97" s="6">
        <f>IFERROR(SUMIFS('DETALLE CRONOLÓGICO'!$K$2:$K$4919,'DETALLE CRONOLÓGICO'!$A$2:$A$4919,$A97)/$E97,"")</f>
        <v/>
      </c>
      <c r="K97" s="6">
        <f>_xlfn.MINIFS('DETALLE CRONOLÓGICO'!$K$2:$K$4919,'DETALLE CRONOLÓGICO'!$A$2:$A$4919,$A97)</f>
        <v/>
      </c>
      <c r="L97" s="6">
        <f>_xlfn.MAXIFS('DETALLE CRONOLÓGICO'!$K$2:$K$4919,'DETALLE CRONOLÓGICO'!$A$2:$A$4919,$A97)</f>
        <v/>
      </c>
      <c r="M97" s="6">
        <f>INDEX('DETALLE CRONOLÓGICO'!$K$2:$K$4919,MATCH($A97,'DETALLE CRONOLÓGICO'!$A$2:$A$4919,0)+$E97-1)</f>
        <v/>
      </c>
      <c r="N97" s="7">
        <f>IFERROR($M97/INDEX('DETALLE CRONOLÓGICO'!$K$2:$K$4919,MATCH($A97,'DETALLE CRONOLÓGICO'!$A$2:$A$4919,0))-1,"")</f>
        <v/>
      </c>
      <c r="O97" s="6">
        <f>IFERROR($I97*3,"")</f>
        <v/>
      </c>
      <c r="P97" s="6">
        <f>IFERROR($I97*3.5,"")</f>
        <v/>
      </c>
      <c r="Q97" s="6">
        <f>IFERROR($I97*4,"")</f>
        <v/>
      </c>
      <c r="R97" s="6" t="n">
        <v>820</v>
      </c>
      <c r="S97" s="4" t="n">
        <v>1</v>
      </c>
      <c r="T97" s="1" t="inlineStr">
        <is>
          <t>active</t>
        </is>
      </c>
      <c r="U97" s="8" t="n"/>
      <c r="V97" s="1" t="inlineStr">
        <is>
          <t>SIN PRECIO</t>
        </is>
      </c>
    </row>
    <row r="98">
      <c r="A98" s="1" t="inlineStr">
        <is>
          <t>15104861551757</t>
        </is>
      </c>
      <c r="B98" s="1" t="inlineStr">
        <is>
          <t>BRAZALETE IDYLLE ROSE GOLD ZIRCONIAS</t>
        </is>
      </c>
      <c r="C98" s="1" t="inlineStr">
        <is>
          <t>Default Title</t>
        </is>
      </c>
      <c r="D98" s="1" t="inlineStr">
        <is>
          <t>HAIFENG</t>
        </is>
      </c>
      <c r="E98" s="4">
        <f>COUNTIF('DETALLE CRONOLÓGICO'!$A$2:$A$4919,$A98)</f>
        <v/>
      </c>
      <c r="F98" s="4">
        <f>SUMIFS('DETALLE CRONOLÓGICO'!$I$2:$I$4919,'DETALLE CRONOLÓGICO'!$A$2:$A$4919,$A98)</f>
        <v/>
      </c>
      <c r="G98" s="1">
        <f>INDEX('DETALLE CRONOLÓGICO'!$D$2:$D$4919,MATCH($A98,'DETALLE CRONOLÓGICO'!$A$2:$A$4919,0))</f>
        <v/>
      </c>
      <c r="H98" s="1">
        <f>INDEX('DETALLE CRONOLÓGICO'!$D$2:$D$4919,MATCH($A98,'DETALLE CRONOLÓGICO'!$A$2:$A$4919,0)+$E98-1)</f>
        <v/>
      </c>
      <c r="I98" s="5">
        <f>IFERROR(SUMIFS('DETALLE CRONOLÓGICO'!$L$2:$L$4919,'DETALLE CRONOLÓGICO'!$A$2:$A$4919,$A98)/$F98,"")</f>
        <v/>
      </c>
      <c r="J98" s="6">
        <f>IFERROR(SUMIFS('DETALLE CRONOLÓGICO'!$K$2:$K$4919,'DETALLE CRONOLÓGICO'!$A$2:$A$4919,$A98)/$E98,"")</f>
        <v/>
      </c>
      <c r="K98" s="6">
        <f>_xlfn.MINIFS('DETALLE CRONOLÓGICO'!$K$2:$K$4919,'DETALLE CRONOLÓGICO'!$A$2:$A$4919,$A98)</f>
        <v/>
      </c>
      <c r="L98" s="6">
        <f>_xlfn.MAXIFS('DETALLE CRONOLÓGICO'!$K$2:$K$4919,'DETALLE CRONOLÓGICO'!$A$2:$A$4919,$A98)</f>
        <v/>
      </c>
      <c r="M98" s="6">
        <f>INDEX('DETALLE CRONOLÓGICO'!$K$2:$K$4919,MATCH($A98,'DETALLE CRONOLÓGICO'!$A$2:$A$4919,0)+$E98-1)</f>
        <v/>
      </c>
      <c r="N98" s="7">
        <f>IFERROR($M98/INDEX('DETALLE CRONOLÓGICO'!$K$2:$K$4919,MATCH($A98,'DETALLE CRONOLÓGICO'!$A$2:$A$4919,0))-1,"")</f>
        <v/>
      </c>
      <c r="O98" s="6">
        <f>IFERROR($I98*3,"")</f>
        <v/>
      </c>
      <c r="P98" s="6">
        <f>IFERROR($I98*3.5,"")</f>
        <v/>
      </c>
      <c r="Q98" s="6">
        <f>IFERROR($I98*4,"")</f>
        <v/>
      </c>
      <c r="R98" s="6" t="n">
        <v>1299</v>
      </c>
      <c r="S98" s="4" t="n">
        <v>0</v>
      </c>
      <c r="T98" s="1" t="inlineStr">
        <is>
          <t>active</t>
        </is>
      </c>
      <c r="U98" s="8" t="n"/>
      <c r="V98" s="1" t="inlineStr">
        <is>
          <t>SIN PRECIO</t>
        </is>
      </c>
    </row>
    <row r="99">
      <c r="A99" s="1" t="inlineStr">
        <is>
          <t>15104861653453</t>
        </is>
      </c>
      <c r="B99" s="1" t="inlineStr">
        <is>
          <t>PULSERA LV BLOSSOM ROSE GOLD RED</t>
        </is>
      </c>
      <c r="C99" s="1" t="inlineStr">
        <is>
          <t>Default Title</t>
        </is>
      </c>
      <c r="D99" s="1" t="inlineStr">
        <is>
          <t>HAIFENG</t>
        </is>
      </c>
      <c r="E99" s="4">
        <f>COUNTIF('DETALLE CRONOLÓGICO'!$A$2:$A$4919,$A99)</f>
        <v/>
      </c>
      <c r="F99" s="4">
        <f>SUMIFS('DETALLE CRONOLÓGICO'!$I$2:$I$4919,'DETALLE CRONOLÓGICO'!$A$2:$A$4919,$A99)</f>
        <v/>
      </c>
      <c r="G99" s="1">
        <f>INDEX('DETALLE CRONOLÓGICO'!$D$2:$D$4919,MATCH($A99,'DETALLE CRONOLÓGICO'!$A$2:$A$4919,0))</f>
        <v/>
      </c>
      <c r="H99" s="1">
        <f>INDEX('DETALLE CRONOLÓGICO'!$D$2:$D$4919,MATCH($A99,'DETALLE CRONOLÓGICO'!$A$2:$A$4919,0)+$E99-1)</f>
        <v/>
      </c>
      <c r="I99" s="5">
        <f>IFERROR(SUMIFS('DETALLE CRONOLÓGICO'!$L$2:$L$4919,'DETALLE CRONOLÓGICO'!$A$2:$A$4919,$A99)/$F99,"")</f>
        <v/>
      </c>
      <c r="J99" s="6">
        <f>IFERROR(SUMIFS('DETALLE CRONOLÓGICO'!$K$2:$K$4919,'DETALLE CRONOLÓGICO'!$A$2:$A$4919,$A99)/$E99,"")</f>
        <v/>
      </c>
      <c r="K99" s="6">
        <f>_xlfn.MINIFS('DETALLE CRONOLÓGICO'!$K$2:$K$4919,'DETALLE CRONOLÓGICO'!$A$2:$A$4919,$A99)</f>
        <v/>
      </c>
      <c r="L99" s="6">
        <f>_xlfn.MAXIFS('DETALLE CRONOLÓGICO'!$K$2:$K$4919,'DETALLE CRONOLÓGICO'!$A$2:$A$4919,$A99)</f>
        <v/>
      </c>
      <c r="M99" s="6">
        <f>INDEX('DETALLE CRONOLÓGICO'!$K$2:$K$4919,MATCH($A99,'DETALLE CRONOLÓGICO'!$A$2:$A$4919,0)+$E99-1)</f>
        <v/>
      </c>
      <c r="N99" s="7">
        <f>IFERROR($M99/INDEX('DETALLE CRONOLÓGICO'!$K$2:$K$4919,MATCH($A99,'DETALLE CRONOLÓGICO'!$A$2:$A$4919,0))-1,"")</f>
        <v/>
      </c>
      <c r="O99" s="6">
        <f>IFERROR($I99*3,"")</f>
        <v/>
      </c>
      <c r="P99" s="6">
        <f>IFERROR($I99*3.5,"")</f>
        <v/>
      </c>
      <c r="Q99" s="6">
        <f>IFERROR($I99*4,"")</f>
        <v/>
      </c>
      <c r="R99" s="6" t="n">
        <v>1199</v>
      </c>
      <c r="S99" s="4" t="n">
        <v>3</v>
      </c>
      <c r="T99" s="1" t="inlineStr">
        <is>
          <t>active</t>
        </is>
      </c>
      <c r="U99" s="8" t="n"/>
      <c r="V99" s="1" t="inlineStr">
        <is>
          <t>SIN PRECIO</t>
        </is>
      </c>
    </row>
    <row r="100">
      <c r="A100" s="1" t="inlineStr">
        <is>
          <t>15104861720685</t>
        </is>
      </c>
      <c r="B100" s="1" t="inlineStr">
        <is>
          <t>PULSERA LV SILVER LOGOS PEARL</t>
        </is>
      </c>
      <c r="C100" s="1" t="inlineStr">
        <is>
          <t>Default Title</t>
        </is>
      </c>
      <c r="D100" s="1" t="inlineStr">
        <is>
          <t>HAIFENG</t>
        </is>
      </c>
      <c r="E100" s="4">
        <f>COUNTIF('DETALLE CRONOLÓGICO'!$A$2:$A$4919,$A100)</f>
        <v/>
      </c>
      <c r="F100" s="4">
        <f>SUMIFS('DETALLE CRONOLÓGICO'!$I$2:$I$4919,'DETALLE CRONOLÓGICO'!$A$2:$A$4919,$A100)</f>
        <v/>
      </c>
      <c r="G100" s="1">
        <f>INDEX('DETALLE CRONOLÓGICO'!$D$2:$D$4919,MATCH($A100,'DETALLE CRONOLÓGICO'!$A$2:$A$4919,0))</f>
        <v/>
      </c>
      <c r="H100" s="1">
        <f>INDEX('DETALLE CRONOLÓGICO'!$D$2:$D$4919,MATCH($A100,'DETALLE CRONOLÓGICO'!$A$2:$A$4919,0)+$E100-1)</f>
        <v/>
      </c>
      <c r="I100" s="5">
        <f>IFERROR(SUMIFS('DETALLE CRONOLÓGICO'!$L$2:$L$4919,'DETALLE CRONOLÓGICO'!$A$2:$A$4919,$A100)/$F100,"")</f>
        <v/>
      </c>
      <c r="J100" s="6">
        <f>IFERROR(SUMIFS('DETALLE CRONOLÓGICO'!$K$2:$K$4919,'DETALLE CRONOLÓGICO'!$A$2:$A$4919,$A100)/$E100,"")</f>
        <v/>
      </c>
      <c r="K100" s="6">
        <f>_xlfn.MINIFS('DETALLE CRONOLÓGICO'!$K$2:$K$4919,'DETALLE CRONOLÓGICO'!$A$2:$A$4919,$A100)</f>
        <v/>
      </c>
      <c r="L100" s="6">
        <f>_xlfn.MAXIFS('DETALLE CRONOLÓGICO'!$K$2:$K$4919,'DETALLE CRONOLÓGICO'!$A$2:$A$4919,$A100)</f>
        <v/>
      </c>
      <c r="M100" s="6">
        <f>INDEX('DETALLE CRONOLÓGICO'!$K$2:$K$4919,MATCH($A100,'DETALLE CRONOLÓGICO'!$A$2:$A$4919,0)+$E100-1)</f>
        <v/>
      </c>
      <c r="N100" s="7">
        <f>IFERROR($M100/INDEX('DETALLE CRONOLÓGICO'!$K$2:$K$4919,MATCH($A100,'DETALLE CRONOLÓGICO'!$A$2:$A$4919,0))-1,"")</f>
        <v/>
      </c>
      <c r="O100" s="6">
        <f>IFERROR($I100*3,"")</f>
        <v/>
      </c>
      <c r="P100" s="6">
        <f>IFERROR($I100*3.5,"")</f>
        <v/>
      </c>
      <c r="Q100" s="6">
        <f>IFERROR($I100*4,"")</f>
        <v/>
      </c>
      <c r="R100" s="6" t="n">
        <v>1071.2</v>
      </c>
      <c r="S100" s="4" t="n">
        <v>1</v>
      </c>
      <c r="T100" s="1" t="inlineStr">
        <is>
          <t>active</t>
        </is>
      </c>
      <c r="U100" s="8" t="n"/>
      <c r="V100" s="1" t="inlineStr">
        <is>
          <t>SIN PRECIO</t>
        </is>
      </c>
    </row>
    <row r="101">
      <c r="A101" s="1" t="inlineStr">
        <is>
          <t>15104861829165</t>
        </is>
      </c>
      <c r="B101" s="1" t="inlineStr">
        <is>
          <t>COLLAR SUN BLACK BLOSSOM GOLD</t>
        </is>
      </c>
      <c r="C101" s="1" t="inlineStr">
        <is>
          <t>Default Title</t>
        </is>
      </c>
      <c r="D101" s="1" t="inlineStr">
        <is>
          <t>HAIFENG</t>
        </is>
      </c>
      <c r="E101" s="4">
        <f>COUNTIF('DETALLE CRONOLÓGICO'!$A$2:$A$4919,$A101)</f>
        <v/>
      </c>
      <c r="F101" s="4">
        <f>SUMIFS('DETALLE CRONOLÓGICO'!$I$2:$I$4919,'DETALLE CRONOLÓGICO'!$A$2:$A$4919,$A101)</f>
        <v/>
      </c>
      <c r="G101" s="1">
        <f>INDEX('DETALLE CRONOLÓGICO'!$D$2:$D$4919,MATCH($A101,'DETALLE CRONOLÓGICO'!$A$2:$A$4919,0))</f>
        <v/>
      </c>
      <c r="H101" s="1">
        <f>INDEX('DETALLE CRONOLÓGICO'!$D$2:$D$4919,MATCH($A101,'DETALLE CRONOLÓGICO'!$A$2:$A$4919,0)+$E101-1)</f>
        <v/>
      </c>
      <c r="I101" s="5">
        <f>IFERROR(SUMIFS('DETALLE CRONOLÓGICO'!$L$2:$L$4919,'DETALLE CRONOLÓGICO'!$A$2:$A$4919,$A101)/$F101,"")</f>
        <v/>
      </c>
      <c r="J101" s="6">
        <f>IFERROR(SUMIFS('DETALLE CRONOLÓGICO'!$K$2:$K$4919,'DETALLE CRONOLÓGICO'!$A$2:$A$4919,$A101)/$E101,"")</f>
        <v/>
      </c>
      <c r="K101" s="6">
        <f>_xlfn.MINIFS('DETALLE CRONOLÓGICO'!$K$2:$K$4919,'DETALLE CRONOLÓGICO'!$A$2:$A$4919,$A101)</f>
        <v/>
      </c>
      <c r="L101" s="6">
        <f>_xlfn.MAXIFS('DETALLE CRONOLÓGICO'!$K$2:$K$4919,'DETALLE CRONOLÓGICO'!$A$2:$A$4919,$A101)</f>
        <v/>
      </c>
      <c r="M101" s="6">
        <f>INDEX('DETALLE CRONOLÓGICO'!$K$2:$K$4919,MATCH($A101,'DETALLE CRONOLÓGICO'!$A$2:$A$4919,0)+$E101-1)</f>
        <v/>
      </c>
      <c r="N101" s="7">
        <f>IFERROR($M101/INDEX('DETALLE CRONOLÓGICO'!$K$2:$K$4919,MATCH($A101,'DETALLE CRONOLÓGICO'!$A$2:$A$4919,0))-1,"")</f>
        <v/>
      </c>
      <c r="O101" s="6">
        <f>IFERROR($I101*3,"")</f>
        <v/>
      </c>
      <c r="P101" s="6">
        <f>IFERROR($I101*3.5,"")</f>
        <v/>
      </c>
      <c r="Q101" s="6">
        <f>IFERROR($I101*4,"")</f>
        <v/>
      </c>
      <c r="R101" s="6" t="n">
        <v>680</v>
      </c>
      <c r="S101" s="4" t="n">
        <v>2</v>
      </c>
      <c r="T101" s="1" t="inlineStr">
        <is>
          <t>active</t>
        </is>
      </c>
      <c r="U101" s="8" t="n"/>
      <c r="V101" s="1" t="inlineStr">
        <is>
          <t>SIN PRECIO</t>
        </is>
      </c>
    </row>
    <row r="102">
      <c r="A102" s="1" t="inlineStr">
        <is>
          <t>15104861996397</t>
        </is>
      </c>
      <c r="B102" s="1" t="inlineStr">
        <is>
          <t>COLLAR SUN BLACK BLOSSOM ROSE GOLD</t>
        </is>
      </c>
      <c r="C102" s="1" t="inlineStr">
        <is>
          <t>Default Title</t>
        </is>
      </c>
      <c r="D102" s="1" t="inlineStr">
        <is>
          <t>HAIFENG</t>
        </is>
      </c>
      <c r="E102" s="4">
        <f>COUNTIF('DETALLE CRONOLÓGICO'!$A$2:$A$4919,$A102)</f>
        <v/>
      </c>
      <c r="F102" s="4">
        <f>SUMIFS('DETALLE CRONOLÓGICO'!$I$2:$I$4919,'DETALLE CRONOLÓGICO'!$A$2:$A$4919,$A102)</f>
        <v/>
      </c>
      <c r="G102" s="1">
        <f>INDEX('DETALLE CRONOLÓGICO'!$D$2:$D$4919,MATCH($A102,'DETALLE CRONOLÓGICO'!$A$2:$A$4919,0))</f>
        <v/>
      </c>
      <c r="H102" s="1">
        <f>INDEX('DETALLE CRONOLÓGICO'!$D$2:$D$4919,MATCH($A102,'DETALLE CRONOLÓGICO'!$A$2:$A$4919,0)+$E102-1)</f>
        <v/>
      </c>
      <c r="I102" s="5">
        <f>IFERROR(SUMIFS('DETALLE CRONOLÓGICO'!$L$2:$L$4919,'DETALLE CRONOLÓGICO'!$A$2:$A$4919,$A102)/$F102,"")</f>
        <v/>
      </c>
      <c r="J102" s="6">
        <f>IFERROR(SUMIFS('DETALLE CRONOLÓGICO'!$K$2:$K$4919,'DETALLE CRONOLÓGICO'!$A$2:$A$4919,$A102)/$E102,"")</f>
        <v/>
      </c>
      <c r="K102" s="6">
        <f>_xlfn.MINIFS('DETALLE CRONOLÓGICO'!$K$2:$K$4919,'DETALLE CRONOLÓGICO'!$A$2:$A$4919,$A102)</f>
        <v/>
      </c>
      <c r="L102" s="6">
        <f>_xlfn.MAXIFS('DETALLE CRONOLÓGICO'!$K$2:$K$4919,'DETALLE CRONOLÓGICO'!$A$2:$A$4919,$A102)</f>
        <v/>
      </c>
      <c r="M102" s="6">
        <f>INDEX('DETALLE CRONOLÓGICO'!$K$2:$K$4919,MATCH($A102,'DETALLE CRONOLÓGICO'!$A$2:$A$4919,0)+$E102-1)</f>
        <v/>
      </c>
      <c r="N102" s="7">
        <f>IFERROR($M102/INDEX('DETALLE CRONOLÓGICO'!$K$2:$K$4919,MATCH($A102,'DETALLE CRONOLÓGICO'!$A$2:$A$4919,0))-1,"")</f>
        <v/>
      </c>
      <c r="O102" s="6">
        <f>IFERROR($I102*3,"")</f>
        <v/>
      </c>
      <c r="P102" s="6">
        <f>IFERROR($I102*3.5,"")</f>
        <v/>
      </c>
      <c r="Q102" s="6">
        <f>IFERROR($I102*4,"")</f>
        <v/>
      </c>
      <c r="R102" s="6" t="n">
        <v>680</v>
      </c>
      <c r="S102" s="4" t="n">
        <v>1</v>
      </c>
      <c r="T102" s="1" t="inlineStr">
        <is>
          <t>active</t>
        </is>
      </c>
      <c r="U102" s="8" t="n"/>
      <c r="V102" s="1" t="inlineStr">
        <is>
          <t>SIN PRECIO</t>
        </is>
      </c>
    </row>
    <row r="103">
      <c r="A103" s="1" t="inlineStr">
        <is>
          <t>15104862051213</t>
        </is>
      </c>
      <c r="B103" s="1" t="inlineStr">
        <is>
          <t>COLLAR SUN GREEN BLOSSOM GOLD</t>
        </is>
      </c>
      <c r="C103" s="1" t="inlineStr">
        <is>
          <t>Default Title</t>
        </is>
      </c>
      <c r="D103" s="1" t="inlineStr">
        <is>
          <t>HAIFENG</t>
        </is>
      </c>
      <c r="E103" s="4">
        <f>COUNTIF('DETALLE CRONOLÓGICO'!$A$2:$A$4919,$A103)</f>
        <v/>
      </c>
      <c r="F103" s="4">
        <f>SUMIFS('DETALLE CRONOLÓGICO'!$I$2:$I$4919,'DETALLE CRONOLÓGICO'!$A$2:$A$4919,$A103)</f>
        <v/>
      </c>
      <c r="G103" s="1">
        <f>INDEX('DETALLE CRONOLÓGICO'!$D$2:$D$4919,MATCH($A103,'DETALLE CRONOLÓGICO'!$A$2:$A$4919,0))</f>
        <v/>
      </c>
      <c r="H103" s="1">
        <f>INDEX('DETALLE CRONOLÓGICO'!$D$2:$D$4919,MATCH($A103,'DETALLE CRONOLÓGICO'!$A$2:$A$4919,0)+$E103-1)</f>
        <v/>
      </c>
      <c r="I103" s="5">
        <f>IFERROR(SUMIFS('DETALLE CRONOLÓGICO'!$L$2:$L$4919,'DETALLE CRONOLÓGICO'!$A$2:$A$4919,$A103)/$F103,"")</f>
        <v/>
      </c>
      <c r="J103" s="6">
        <f>IFERROR(SUMIFS('DETALLE CRONOLÓGICO'!$K$2:$K$4919,'DETALLE CRONOLÓGICO'!$A$2:$A$4919,$A103)/$E103,"")</f>
        <v/>
      </c>
      <c r="K103" s="6">
        <f>_xlfn.MINIFS('DETALLE CRONOLÓGICO'!$K$2:$K$4919,'DETALLE CRONOLÓGICO'!$A$2:$A$4919,$A103)</f>
        <v/>
      </c>
      <c r="L103" s="6">
        <f>_xlfn.MAXIFS('DETALLE CRONOLÓGICO'!$K$2:$K$4919,'DETALLE CRONOLÓGICO'!$A$2:$A$4919,$A103)</f>
        <v/>
      </c>
      <c r="M103" s="6">
        <f>INDEX('DETALLE CRONOLÓGICO'!$K$2:$K$4919,MATCH($A103,'DETALLE CRONOLÓGICO'!$A$2:$A$4919,0)+$E103-1)</f>
        <v/>
      </c>
      <c r="N103" s="7">
        <f>IFERROR($M103/INDEX('DETALLE CRONOLÓGICO'!$K$2:$K$4919,MATCH($A103,'DETALLE CRONOLÓGICO'!$A$2:$A$4919,0))-1,"")</f>
        <v/>
      </c>
      <c r="O103" s="6">
        <f>IFERROR($I103*3,"")</f>
        <v/>
      </c>
      <c r="P103" s="6">
        <f>IFERROR($I103*3.5,"")</f>
        <v/>
      </c>
      <c r="Q103" s="6">
        <f>IFERROR($I103*4,"")</f>
        <v/>
      </c>
      <c r="R103" s="6" t="n">
        <v>680</v>
      </c>
      <c r="S103" s="4" t="n">
        <v>3</v>
      </c>
      <c r="T103" s="1" t="inlineStr">
        <is>
          <t>active</t>
        </is>
      </c>
      <c r="U103" s="8" t="n"/>
      <c r="V103" s="1" t="inlineStr">
        <is>
          <t>SIN PRECIO</t>
        </is>
      </c>
    </row>
    <row r="104">
      <c r="A104" s="1" t="inlineStr">
        <is>
          <t>15104862187373</t>
        </is>
      </c>
      <c r="B104" s="1" t="inlineStr">
        <is>
          <t>COLLAR SUN GREEN BLOSSOM ROSE GOLD</t>
        </is>
      </c>
      <c r="C104" s="1" t="inlineStr">
        <is>
          <t>Default Title</t>
        </is>
      </c>
      <c r="D104" s="1" t="inlineStr">
        <is>
          <t>HAIFENG</t>
        </is>
      </c>
      <c r="E104" s="4">
        <f>COUNTIF('DETALLE CRONOLÓGICO'!$A$2:$A$4919,$A104)</f>
        <v/>
      </c>
      <c r="F104" s="4">
        <f>SUMIFS('DETALLE CRONOLÓGICO'!$I$2:$I$4919,'DETALLE CRONOLÓGICO'!$A$2:$A$4919,$A104)</f>
        <v/>
      </c>
      <c r="G104" s="1">
        <f>INDEX('DETALLE CRONOLÓGICO'!$D$2:$D$4919,MATCH($A104,'DETALLE CRONOLÓGICO'!$A$2:$A$4919,0))</f>
        <v/>
      </c>
      <c r="H104" s="1">
        <f>INDEX('DETALLE CRONOLÓGICO'!$D$2:$D$4919,MATCH($A104,'DETALLE CRONOLÓGICO'!$A$2:$A$4919,0)+$E104-1)</f>
        <v/>
      </c>
      <c r="I104" s="5">
        <f>IFERROR(SUMIFS('DETALLE CRONOLÓGICO'!$L$2:$L$4919,'DETALLE CRONOLÓGICO'!$A$2:$A$4919,$A104)/$F104,"")</f>
        <v/>
      </c>
      <c r="J104" s="6">
        <f>IFERROR(SUMIFS('DETALLE CRONOLÓGICO'!$K$2:$K$4919,'DETALLE CRONOLÓGICO'!$A$2:$A$4919,$A104)/$E104,"")</f>
        <v/>
      </c>
      <c r="K104" s="6">
        <f>_xlfn.MINIFS('DETALLE CRONOLÓGICO'!$K$2:$K$4919,'DETALLE CRONOLÓGICO'!$A$2:$A$4919,$A104)</f>
        <v/>
      </c>
      <c r="L104" s="6">
        <f>_xlfn.MAXIFS('DETALLE CRONOLÓGICO'!$K$2:$K$4919,'DETALLE CRONOLÓGICO'!$A$2:$A$4919,$A104)</f>
        <v/>
      </c>
      <c r="M104" s="6">
        <f>INDEX('DETALLE CRONOLÓGICO'!$K$2:$K$4919,MATCH($A104,'DETALLE CRONOLÓGICO'!$A$2:$A$4919,0)+$E104-1)</f>
        <v/>
      </c>
      <c r="N104" s="7">
        <f>IFERROR($M104/INDEX('DETALLE CRONOLÓGICO'!$K$2:$K$4919,MATCH($A104,'DETALLE CRONOLÓGICO'!$A$2:$A$4919,0))-1,"")</f>
        <v/>
      </c>
      <c r="O104" s="6">
        <f>IFERROR($I104*3,"")</f>
        <v/>
      </c>
      <c r="P104" s="6">
        <f>IFERROR($I104*3.5,"")</f>
        <v/>
      </c>
      <c r="Q104" s="6">
        <f>IFERROR($I104*4,"")</f>
        <v/>
      </c>
      <c r="R104" s="6" t="n">
        <v>680</v>
      </c>
      <c r="S104" s="4" t="n">
        <v>1</v>
      </c>
      <c r="T104" s="1" t="inlineStr">
        <is>
          <t>active</t>
        </is>
      </c>
      <c r="U104" s="8" t="n"/>
      <c r="V104" s="1" t="inlineStr">
        <is>
          <t>SIN PRECIO</t>
        </is>
      </c>
    </row>
    <row r="105">
      <c r="A105" s="1" t="inlineStr">
        <is>
          <t>15104862263629</t>
        </is>
      </c>
      <c r="B105" s="1" t="inlineStr">
        <is>
          <t>COLLAR SUN RED BLOSSOM GOLD</t>
        </is>
      </c>
      <c r="C105" s="1" t="inlineStr">
        <is>
          <t>Default Title</t>
        </is>
      </c>
      <c r="D105" s="1" t="inlineStr">
        <is>
          <t>HAIFENG</t>
        </is>
      </c>
      <c r="E105" s="4">
        <f>COUNTIF('DETALLE CRONOLÓGICO'!$A$2:$A$4919,$A105)</f>
        <v/>
      </c>
      <c r="F105" s="4">
        <f>SUMIFS('DETALLE CRONOLÓGICO'!$I$2:$I$4919,'DETALLE CRONOLÓGICO'!$A$2:$A$4919,$A105)</f>
        <v/>
      </c>
      <c r="G105" s="1">
        <f>INDEX('DETALLE CRONOLÓGICO'!$D$2:$D$4919,MATCH($A105,'DETALLE CRONOLÓGICO'!$A$2:$A$4919,0))</f>
        <v/>
      </c>
      <c r="H105" s="1">
        <f>INDEX('DETALLE CRONOLÓGICO'!$D$2:$D$4919,MATCH($A105,'DETALLE CRONOLÓGICO'!$A$2:$A$4919,0)+$E105-1)</f>
        <v/>
      </c>
      <c r="I105" s="5">
        <f>IFERROR(SUMIFS('DETALLE CRONOLÓGICO'!$L$2:$L$4919,'DETALLE CRONOLÓGICO'!$A$2:$A$4919,$A105)/$F105,"")</f>
        <v/>
      </c>
      <c r="J105" s="6">
        <f>IFERROR(SUMIFS('DETALLE CRONOLÓGICO'!$K$2:$K$4919,'DETALLE CRONOLÓGICO'!$A$2:$A$4919,$A105)/$E105,"")</f>
        <v/>
      </c>
      <c r="K105" s="6">
        <f>_xlfn.MINIFS('DETALLE CRONOLÓGICO'!$K$2:$K$4919,'DETALLE CRONOLÓGICO'!$A$2:$A$4919,$A105)</f>
        <v/>
      </c>
      <c r="L105" s="6">
        <f>_xlfn.MAXIFS('DETALLE CRONOLÓGICO'!$K$2:$K$4919,'DETALLE CRONOLÓGICO'!$A$2:$A$4919,$A105)</f>
        <v/>
      </c>
      <c r="M105" s="6">
        <f>INDEX('DETALLE CRONOLÓGICO'!$K$2:$K$4919,MATCH($A105,'DETALLE CRONOLÓGICO'!$A$2:$A$4919,0)+$E105-1)</f>
        <v/>
      </c>
      <c r="N105" s="7">
        <f>IFERROR($M105/INDEX('DETALLE CRONOLÓGICO'!$K$2:$K$4919,MATCH($A105,'DETALLE CRONOLÓGICO'!$A$2:$A$4919,0))-1,"")</f>
        <v/>
      </c>
      <c r="O105" s="6">
        <f>IFERROR($I105*3,"")</f>
        <v/>
      </c>
      <c r="P105" s="6">
        <f>IFERROR($I105*3.5,"")</f>
        <v/>
      </c>
      <c r="Q105" s="6">
        <f>IFERROR($I105*4,"")</f>
        <v/>
      </c>
      <c r="R105" s="6" t="n">
        <v>680</v>
      </c>
      <c r="S105" s="4" t="n">
        <v>3</v>
      </c>
      <c r="T105" s="1" t="inlineStr">
        <is>
          <t>active</t>
        </is>
      </c>
      <c r="U105" s="8" t="n"/>
      <c r="V105" s="1" t="inlineStr">
        <is>
          <t>SIN PRECIO</t>
        </is>
      </c>
    </row>
    <row r="106">
      <c r="A106" s="1" t="inlineStr">
        <is>
          <t>15104862383981</t>
        </is>
      </c>
      <c r="B106" s="1" t="inlineStr">
        <is>
          <t>COLLAR SUN RED BLOSSOM ROSE GOLD</t>
        </is>
      </c>
      <c r="C106" s="1" t="inlineStr">
        <is>
          <t>Default Title</t>
        </is>
      </c>
      <c r="D106" s="1" t="inlineStr">
        <is>
          <t>HAIFENG</t>
        </is>
      </c>
      <c r="E106" s="4">
        <f>COUNTIF('DETALLE CRONOLÓGICO'!$A$2:$A$4919,$A106)</f>
        <v/>
      </c>
      <c r="F106" s="4">
        <f>SUMIFS('DETALLE CRONOLÓGICO'!$I$2:$I$4919,'DETALLE CRONOLÓGICO'!$A$2:$A$4919,$A106)</f>
        <v/>
      </c>
      <c r="G106" s="1">
        <f>INDEX('DETALLE CRONOLÓGICO'!$D$2:$D$4919,MATCH($A106,'DETALLE CRONOLÓGICO'!$A$2:$A$4919,0))</f>
        <v/>
      </c>
      <c r="H106" s="1">
        <f>INDEX('DETALLE CRONOLÓGICO'!$D$2:$D$4919,MATCH($A106,'DETALLE CRONOLÓGICO'!$A$2:$A$4919,0)+$E106-1)</f>
        <v/>
      </c>
      <c r="I106" s="5">
        <f>IFERROR(SUMIFS('DETALLE CRONOLÓGICO'!$L$2:$L$4919,'DETALLE CRONOLÓGICO'!$A$2:$A$4919,$A106)/$F106,"")</f>
        <v/>
      </c>
      <c r="J106" s="6">
        <f>IFERROR(SUMIFS('DETALLE CRONOLÓGICO'!$K$2:$K$4919,'DETALLE CRONOLÓGICO'!$A$2:$A$4919,$A106)/$E106,"")</f>
        <v/>
      </c>
      <c r="K106" s="6">
        <f>_xlfn.MINIFS('DETALLE CRONOLÓGICO'!$K$2:$K$4919,'DETALLE CRONOLÓGICO'!$A$2:$A$4919,$A106)</f>
        <v/>
      </c>
      <c r="L106" s="6">
        <f>_xlfn.MAXIFS('DETALLE CRONOLÓGICO'!$K$2:$K$4919,'DETALLE CRONOLÓGICO'!$A$2:$A$4919,$A106)</f>
        <v/>
      </c>
      <c r="M106" s="6">
        <f>INDEX('DETALLE CRONOLÓGICO'!$K$2:$K$4919,MATCH($A106,'DETALLE CRONOLÓGICO'!$A$2:$A$4919,0)+$E106-1)</f>
        <v/>
      </c>
      <c r="N106" s="7">
        <f>IFERROR($M106/INDEX('DETALLE CRONOLÓGICO'!$K$2:$K$4919,MATCH($A106,'DETALLE CRONOLÓGICO'!$A$2:$A$4919,0))-1,"")</f>
        <v/>
      </c>
      <c r="O106" s="6">
        <f>IFERROR($I106*3,"")</f>
        <v/>
      </c>
      <c r="P106" s="6">
        <f>IFERROR($I106*3.5,"")</f>
        <v/>
      </c>
      <c r="Q106" s="6">
        <f>IFERROR($I106*4,"")</f>
        <v/>
      </c>
      <c r="R106" s="6" t="n">
        <v>680</v>
      </c>
      <c r="S106" s="4" t="n">
        <v>2</v>
      </c>
      <c r="T106" s="1" t="inlineStr">
        <is>
          <t>active</t>
        </is>
      </c>
      <c r="U106" s="8" t="n"/>
      <c r="V106" s="1" t="inlineStr">
        <is>
          <t>SIN PRECIO</t>
        </is>
      </c>
    </row>
    <row r="107">
      <c r="A107" s="1" t="inlineStr">
        <is>
          <t>15104862489069</t>
        </is>
      </c>
      <c r="B107" s="1" t="inlineStr">
        <is>
          <t>ARETES LV FLOWERGRAM GOLD</t>
        </is>
      </c>
      <c r="C107" s="1" t="inlineStr">
        <is>
          <t>Default Title</t>
        </is>
      </c>
      <c r="D107" s="1" t="inlineStr">
        <is>
          <t>HAIFENG</t>
        </is>
      </c>
      <c r="E107" s="4">
        <f>COUNTIF('DETALLE CRONOLÓGICO'!$A$2:$A$4919,$A107)</f>
        <v/>
      </c>
      <c r="F107" s="4">
        <f>SUMIFS('DETALLE CRONOLÓGICO'!$I$2:$I$4919,'DETALLE CRONOLÓGICO'!$A$2:$A$4919,$A107)</f>
        <v/>
      </c>
      <c r="G107" s="1">
        <f>INDEX('DETALLE CRONOLÓGICO'!$D$2:$D$4919,MATCH($A107,'DETALLE CRONOLÓGICO'!$A$2:$A$4919,0))</f>
        <v/>
      </c>
      <c r="H107" s="1">
        <f>INDEX('DETALLE CRONOLÓGICO'!$D$2:$D$4919,MATCH($A107,'DETALLE CRONOLÓGICO'!$A$2:$A$4919,0)+$E107-1)</f>
        <v/>
      </c>
      <c r="I107" s="5">
        <f>IFERROR(SUMIFS('DETALLE CRONOLÓGICO'!$L$2:$L$4919,'DETALLE CRONOLÓGICO'!$A$2:$A$4919,$A107)/$F107,"")</f>
        <v/>
      </c>
      <c r="J107" s="6">
        <f>IFERROR(SUMIFS('DETALLE CRONOLÓGICO'!$K$2:$K$4919,'DETALLE CRONOLÓGICO'!$A$2:$A$4919,$A107)/$E107,"")</f>
        <v/>
      </c>
      <c r="K107" s="6">
        <f>_xlfn.MINIFS('DETALLE CRONOLÓGICO'!$K$2:$K$4919,'DETALLE CRONOLÓGICO'!$A$2:$A$4919,$A107)</f>
        <v/>
      </c>
      <c r="L107" s="6">
        <f>_xlfn.MAXIFS('DETALLE CRONOLÓGICO'!$K$2:$K$4919,'DETALLE CRONOLÓGICO'!$A$2:$A$4919,$A107)</f>
        <v/>
      </c>
      <c r="M107" s="6">
        <f>INDEX('DETALLE CRONOLÓGICO'!$K$2:$K$4919,MATCH($A107,'DETALLE CRONOLÓGICO'!$A$2:$A$4919,0)+$E107-1)</f>
        <v/>
      </c>
      <c r="N107" s="7">
        <f>IFERROR($M107/INDEX('DETALLE CRONOLÓGICO'!$K$2:$K$4919,MATCH($A107,'DETALLE CRONOLÓGICO'!$A$2:$A$4919,0))-1,"")</f>
        <v/>
      </c>
      <c r="O107" s="6">
        <f>IFERROR($I107*3,"")</f>
        <v/>
      </c>
      <c r="P107" s="6">
        <f>IFERROR($I107*3.5,"")</f>
        <v/>
      </c>
      <c r="Q107" s="6">
        <f>IFERROR($I107*4,"")</f>
        <v/>
      </c>
      <c r="R107" s="6" t="n">
        <v>820</v>
      </c>
      <c r="S107" s="4" t="n">
        <v>0</v>
      </c>
      <c r="T107" s="1" t="inlineStr">
        <is>
          <t>active</t>
        </is>
      </c>
      <c r="U107" s="8" t="n"/>
      <c r="V107" s="1" t="inlineStr">
        <is>
          <t>SIN PRECIO</t>
        </is>
      </c>
    </row>
    <row r="108">
      <c r="A108" s="1" t="inlineStr">
        <is>
          <t>15104862595853</t>
        </is>
      </c>
      <c r="B108" s="1" t="inlineStr">
        <is>
          <t>ARETES LV LOGO PEARL</t>
        </is>
      </c>
      <c r="C108" s="1" t="inlineStr">
        <is>
          <t>Default Title</t>
        </is>
      </c>
      <c r="D108" s="1" t="inlineStr">
        <is>
          <t>HAIFENG</t>
        </is>
      </c>
      <c r="E108" s="4">
        <f>COUNTIF('DETALLE CRONOLÓGICO'!$A$2:$A$4919,$A108)</f>
        <v/>
      </c>
      <c r="F108" s="4">
        <f>SUMIFS('DETALLE CRONOLÓGICO'!$I$2:$I$4919,'DETALLE CRONOLÓGICO'!$A$2:$A$4919,$A108)</f>
        <v/>
      </c>
      <c r="G108" s="1">
        <f>INDEX('DETALLE CRONOLÓGICO'!$D$2:$D$4919,MATCH($A108,'DETALLE CRONOLÓGICO'!$A$2:$A$4919,0))</f>
        <v/>
      </c>
      <c r="H108" s="1">
        <f>INDEX('DETALLE CRONOLÓGICO'!$D$2:$D$4919,MATCH($A108,'DETALLE CRONOLÓGICO'!$A$2:$A$4919,0)+$E108-1)</f>
        <v/>
      </c>
      <c r="I108" s="5">
        <f>IFERROR(SUMIFS('DETALLE CRONOLÓGICO'!$L$2:$L$4919,'DETALLE CRONOLÓGICO'!$A$2:$A$4919,$A108)/$F108,"")</f>
        <v/>
      </c>
      <c r="J108" s="6">
        <f>IFERROR(SUMIFS('DETALLE CRONOLÓGICO'!$K$2:$K$4919,'DETALLE CRONOLÓGICO'!$A$2:$A$4919,$A108)/$E108,"")</f>
        <v/>
      </c>
      <c r="K108" s="6">
        <f>_xlfn.MINIFS('DETALLE CRONOLÓGICO'!$K$2:$K$4919,'DETALLE CRONOLÓGICO'!$A$2:$A$4919,$A108)</f>
        <v/>
      </c>
      <c r="L108" s="6">
        <f>_xlfn.MAXIFS('DETALLE CRONOLÓGICO'!$K$2:$K$4919,'DETALLE CRONOLÓGICO'!$A$2:$A$4919,$A108)</f>
        <v/>
      </c>
      <c r="M108" s="6">
        <f>INDEX('DETALLE CRONOLÓGICO'!$K$2:$K$4919,MATCH($A108,'DETALLE CRONOLÓGICO'!$A$2:$A$4919,0)+$E108-1)</f>
        <v/>
      </c>
      <c r="N108" s="7">
        <f>IFERROR($M108/INDEX('DETALLE CRONOLÓGICO'!$K$2:$K$4919,MATCH($A108,'DETALLE CRONOLÓGICO'!$A$2:$A$4919,0))-1,"")</f>
        <v/>
      </c>
      <c r="O108" s="6">
        <f>IFERROR($I108*3,"")</f>
        <v/>
      </c>
      <c r="P108" s="6">
        <f>IFERROR($I108*3.5,"")</f>
        <v/>
      </c>
      <c r="Q108" s="6">
        <f>IFERROR($I108*4,"")</f>
        <v/>
      </c>
      <c r="R108" s="6" t="n">
        <v>750</v>
      </c>
      <c r="S108" s="4" t="n">
        <v>2</v>
      </c>
      <c r="T108" s="1" t="inlineStr">
        <is>
          <t>active</t>
        </is>
      </c>
      <c r="U108" s="8" t="n"/>
      <c r="V108" s="1" t="inlineStr">
        <is>
          <t>SIN PRECIO</t>
        </is>
      </c>
    </row>
    <row r="109">
      <c r="A109" s="1" t="inlineStr">
        <is>
          <t>15104862668173</t>
        </is>
      </c>
      <c r="B109" s="1" t="inlineStr">
        <is>
          <t>COLLAR KELLY ROSE GOLD</t>
        </is>
      </c>
      <c r="C109" s="1" t="inlineStr">
        <is>
          <t>Default Title</t>
        </is>
      </c>
      <c r="D109" s="1" t="inlineStr">
        <is>
          <t>HAIFENG</t>
        </is>
      </c>
      <c r="E109" s="4">
        <f>COUNTIF('DETALLE CRONOLÓGICO'!$A$2:$A$4919,$A109)</f>
        <v/>
      </c>
      <c r="F109" s="4">
        <f>SUMIFS('DETALLE CRONOLÓGICO'!$I$2:$I$4919,'DETALLE CRONOLÓGICO'!$A$2:$A$4919,$A109)</f>
        <v/>
      </c>
      <c r="G109" s="1">
        <f>INDEX('DETALLE CRONOLÓGICO'!$D$2:$D$4919,MATCH($A109,'DETALLE CRONOLÓGICO'!$A$2:$A$4919,0))</f>
        <v/>
      </c>
      <c r="H109" s="1">
        <f>INDEX('DETALLE CRONOLÓGICO'!$D$2:$D$4919,MATCH($A109,'DETALLE CRONOLÓGICO'!$A$2:$A$4919,0)+$E109-1)</f>
        <v/>
      </c>
      <c r="I109" s="5">
        <f>IFERROR(SUMIFS('DETALLE CRONOLÓGICO'!$L$2:$L$4919,'DETALLE CRONOLÓGICO'!$A$2:$A$4919,$A109)/$F109,"")</f>
        <v/>
      </c>
      <c r="J109" s="6">
        <f>IFERROR(SUMIFS('DETALLE CRONOLÓGICO'!$K$2:$K$4919,'DETALLE CRONOLÓGICO'!$A$2:$A$4919,$A109)/$E109,"")</f>
        <v/>
      </c>
      <c r="K109" s="6">
        <f>_xlfn.MINIFS('DETALLE CRONOLÓGICO'!$K$2:$K$4919,'DETALLE CRONOLÓGICO'!$A$2:$A$4919,$A109)</f>
        <v/>
      </c>
      <c r="L109" s="6">
        <f>_xlfn.MAXIFS('DETALLE CRONOLÓGICO'!$K$2:$K$4919,'DETALLE CRONOLÓGICO'!$A$2:$A$4919,$A109)</f>
        <v/>
      </c>
      <c r="M109" s="6">
        <f>INDEX('DETALLE CRONOLÓGICO'!$K$2:$K$4919,MATCH($A109,'DETALLE CRONOLÓGICO'!$A$2:$A$4919,0)+$E109-1)</f>
        <v/>
      </c>
      <c r="N109" s="7">
        <f>IFERROR($M109/INDEX('DETALLE CRONOLÓGICO'!$K$2:$K$4919,MATCH($A109,'DETALLE CRONOLÓGICO'!$A$2:$A$4919,0))-1,"")</f>
        <v/>
      </c>
      <c r="O109" s="6">
        <f>IFERROR($I109*3,"")</f>
        <v/>
      </c>
      <c r="P109" s="6">
        <f>IFERROR($I109*3.5,"")</f>
        <v/>
      </c>
      <c r="Q109" s="6">
        <f>IFERROR($I109*4,"")</f>
        <v/>
      </c>
      <c r="R109" s="6" t="n">
        <v>499</v>
      </c>
      <c r="S109" s="4" t="n">
        <v>3</v>
      </c>
      <c r="T109" s="1" t="inlineStr">
        <is>
          <t>active</t>
        </is>
      </c>
      <c r="U109" s="8" t="n"/>
      <c r="V109" s="1" t="inlineStr">
        <is>
          <t>SIN PRECIO</t>
        </is>
      </c>
    </row>
    <row r="110">
      <c r="A110" s="1" t="inlineStr">
        <is>
          <t>15104862702637</t>
        </is>
      </c>
      <c r="B110" s="1" t="inlineStr">
        <is>
          <t>ARETES H GOLD</t>
        </is>
      </c>
      <c r="C110" s="1" t="inlineStr">
        <is>
          <t>Default Title</t>
        </is>
      </c>
      <c r="D110" s="1" t="inlineStr">
        <is>
          <t>HAIFENG</t>
        </is>
      </c>
      <c r="E110" s="4">
        <f>COUNTIF('DETALLE CRONOLÓGICO'!$A$2:$A$4919,$A110)</f>
        <v/>
      </c>
      <c r="F110" s="4">
        <f>SUMIFS('DETALLE CRONOLÓGICO'!$I$2:$I$4919,'DETALLE CRONOLÓGICO'!$A$2:$A$4919,$A110)</f>
        <v/>
      </c>
      <c r="G110" s="1">
        <f>INDEX('DETALLE CRONOLÓGICO'!$D$2:$D$4919,MATCH($A110,'DETALLE CRONOLÓGICO'!$A$2:$A$4919,0))</f>
        <v/>
      </c>
      <c r="H110" s="1">
        <f>INDEX('DETALLE CRONOLÓGICO'!$D$2:$D$4919,MATCH($A110,'DETALLE CRONOLÓGICO'!$A$2:$A$4919,0)+$E110-1)</f>
        <v/>
      </c>
      <c r="I110" s="5">
        <f>IFERROR(SUMIFS('DETALLE CRONOLÓGICO'!$L$2:$L$4919,'DETALLE CRONOLÓGICO'!$A$2:$A$4919,$A110)/$F110,"")</f>
        <v/>
      </c>
      <c r="J110" s="6">
        <f>IFERROR(SUMIFS('DETALLE CRONOLÓGICO'!$K$2:$K$4919,'DETALLE CRONOLÓGICO'!$A$2:$A$4919,$A110)/$E110,"")</f>
        <v/>
      </c>
      <c r="K110" s="6">
        <f>_xlfn.MINIFS('DETALLE CRONOLÓGICO'!$K$2:$K$4919,'DETALLE CRONOLÓGICO'!$A$2:$A$4919,$A110)</f>
        <v/>
      </c>
      <c r="L110" s="6">
        <f>_xlfn.MAXIFS('DETALLE CRONOLÓGICO'!$K$2:$K$4919,'DETALLE CRONOLÓGICO'!$A$2:$A$4919,$A110)</f>
        <v/>
      </c>
      <c r="M110" s="6">
        <f>INDEX('DETALLE CRONOLÓGICO'!$K$2:$K$4919,MATCH($A110,'DETALLE CRONOLÓGICO'!$A$2:$A$4919,0)+$E110-1)</f>
        <v/>
      </c>
      <c r="N110" s="7">
        <f>IFERROR($M110/INDEX('DETALLE CRONOLÓGICO'!$K$2:$K$4919,MATCH($A110,'DETALLE CRONOLÓGICO'!$A$2:$A$4919,0))-1,"")</f>
        <v/>
      </c>
      <c r="O110" s="6">
        <f>IFERROR($I110*3,"")</f>
        <v/>
      </c>
      <c r="P110" s="6">
        <f>IFERROR($I110*3.5,"")</f>
        <v/>
      </c>
      <c r="Q110" s="6">
        <f>IFERROR($I110*4,"")</f>
        <v/>
      </c>
      <c r="R110" s="6" t="n">
        <v>780</v>
      </c>
      <c r="S110" s="4" t="n">
        <v>0</v>
      </c>
      <c r="T110" s="1" t="inlineStr">
        <is>
          <t>active</t>
        </is>
      </c>
      <c r="U110" s="8" t="n"/>
      <c r="V110" s="1" t="inlineStr">
        <is>
          <t>SIN PRECIO</t>
        </is>
      </c>
    </row>
    <row r="111">
      <c r="A111" s="1" t="inlineStr">
        <is>
          <t>15104862806029</t>
        </is>
      </c>
      <c r="B111" s="1" t="inlineStr">
        <is>
          <t>ARETES LOGO H ROSE GOLD ZIRCONIAS</t>
        </is>
      </c>
      <c r="C111" s="1" t="inlineStr">
        <is>
          <t>Default Title</t>
        </is>
      </c>
      <c r="D111" s="1" t="inlineStr">
        <is>
          <t>HAIFENG</t>
        </is>
      </c>
      <c r="E111" s="4">
        <f>COUNTIF('DETALLE CRONOLÓGICO'!$A$2:$A$4919,$A111)</f>
        <v/>
      </c>
      <c r="F111" s="4">
        <f>SUMIFS('DETALLE CRONOLÓGICO'!$I$2:$I$4919,'DETALLE CRONOLÓGICO'!$A$2:$A$4919,$A111)</f>
        <v/>
      </c>
      <c r="G111" s="1">
        <f>INDEX('DETALLE CRONOLÓGICO'!$D$2:$D$4919,MATCH($A111,'DETALLE CRONOLÓGICO'!$A$2:$A$4919,0))</f>
        <v/>
      </c>
      <c r="H111" s="1">
        <f>INDEX('DETALLE CRONOLÓGICO'!$D$2:$D$4919,MATCH($A111,'DETALLE CRONOLÓGICO'!$A$2:$A$4919,0)+$E111-1)</f>
        <v/>
      </c>
      <c r="I111" s="5">
        <f>IFERROR(SUMIFS('DETALLE CRONOLÓGICO'!$L$2:$L$4919,'DETALLE CRONOLÓGICO'!$A$2:$A$4919,$A111)/$F111,"")</f>
        <v/>
      </c>
      <c r="J111" s="6">
        <f>IFERROR(SUMIFS('DETALLE CRONOLÓGICO'!$K$2:$K$4919,'DETALLE CRONOLÓGICO'!$A$2:$A$4919,$A111)/$E111,"")</f>
        <v/>
      </c>
      <c r="K111" s="6">
        <f>_xlfn.MINIFS('DETALLE CRONOLÓGICO'!$K$2:$K$4919,'DETALLE CRONOLÓGICO'!$A$2:$A$4919,$A111)</f>
        <v/>
      </c>
      <c r="L111" s="6">
        <f>_xlfn.MAXIFS('DETALLE CRONOLÓGICO'!$K$2:$K$4919,'DETALLE CRONOLÓGICO'!$A$2:$A$4919,$A111)</f>
        <v/>
      </c>
      <c r="M111" s="6">
        <f>INDEX('DETALLE CRONOLÓGICO'!$K$2:$K$4919,MATCH($A111,'DETALLE CRONOLÓGICO'!$A$2:$A$4919,0)+$E111-1)</f>
        <v/>
      </c>
      <c r="N111" s="7">
        <f>IFERROR($M111/INDEX('DETALLE CRONOLÓGICO'!$K$2:$K$4919,MATCH($A111,'DETALLE CRONOLÓGICO'!$A$2:$A$4919,0))-1,"")</f>
        <v/>
      </c>
      <c r="O111" s="6">
        <f>IFERROR($I111*3,"")</f>
        <v/>
      </c>
      <c r="P111" s="6">
        <f>IFERROR($I111*3.5,"")</f>
        <v/>
      </c>
      <c r="Q111" s="6">
        <f>IFERROR($I111*4,"")</f>
        <v/>
      </c>
      <c r="R111" s="6" t="n">
        <v>669.2</v>
      </c>
      <c r="S111" s="4" t="n">
        <v>2</v>
      </c>
      <c r="T111" s="1" t="inlineStr">
        <is>
          <t>active</t>
        </is>
      </c>
      <c r="U111" s="8" t="n"/>
      <c r="V111" s="1" t="inlineStr">
        <is>
          <t>SIN PRECIO</t>
        </is>
      </c>
    </row>
    <row r="112">
      <c r="A112" s="1" t="inlineStr">
        <is>
          <t>15104862909421</t>
        </is>
      </c>
      <c r="B112" s="1" t="inlineStr">
        <is>
          <t>COLLAR PANTHERE LISO GOLD</t>
        </is>
      </c>
      <c r="C112" s="1" t="inlineStr">
        <is>
          <t>Default Title</t>
        </is>
      </c>
      <c r="D112" s="1" t="inlineStr">
        <is>
          <t>HAIFENG</t>
        </is>
      </c>
      <c r="E112" s="4">
        <f>COUNTIF('DETALLE CRONOLÓGICO'!$A$2:$A$4919,$A112)</f>
        <v/>
      </c>
      <c r="F112" s="4">
        <f>SUMIFS('DETALLE CRONOLÓGICO'!$I$2:$I$4919,'DETALLE CRONOLÓGICO'!$A$2:$A$4919,$A112)</f>
        <v/>
      </c>
      <c r="G112" s="1">
        <f>INDEX('DETALLE CRONOLÓGICO'!$D$2:$D$4919,MATCH($A112,'DETALLE CRONOLÓGICO'!$A$2:$A$4919,0))</f>
        <v/>
      </c>
      <c r="H112" s="1">
        <f>INDEX('DETALLE CRONOLÓGICO'!$D$2:$D$4919,MATCH($A112,'DETALLE CRONOLÓGICO'!$A$2:$A$4919,0)+$E112-1)</f>
        <v/>
      </c>
      <c r="I112" s="5">
        <f>IFERROR(SUMIFS('DETALLE CRONOLÓGICO'!$L$2:$L$4919,'DETALLE CRONOLÓGICO'!$A$2:$A$4919,$A112)/$F112,"")</f>
        <v/>
      </c>
      <c r="J112" s="6">
        <f>IFERROR(SUMIFS('DETALLE CRONOLÓGICO'!$K$2:$K$4919,'DETALLE CRONOLÓGICO'!$A$2:$A$4919,$A112)/$E112,"")</f>
        <v/>
      </c>
      <c r="K112" s="6">
        <f>_xlfn.MINIFS('DETALLE CRONOLÓGICO'!$K$2:$K$4919,'DETALLE CRONOLÓGICO'!$A$2:$A$4919,$A112)</f>
        <v/>
      </c>
      <c r="L112" s="6">
        <f>_xlfn.MAXIFS('DETALLE CRONOLÓGICO'!$K$2:$K$4919,'DETALLE CRONOLÓGICO'!$A$2:$A$4919,$A112)</f>
        <v/>
      </c>
      <c r="M112" s="6">
        <f>INDEX('DETALLE CRONOLÓGICO'!$K$2:$K$4919,MATCH($A112,'DETALLE CRONOLÓGICO'!$A$2:$A$4919,0)+$E112-1)</f>
        <v/>
      </c>
      <c r="N112" s="7">
        <f>IFERROR($M112/INDEX('DETALLE CRONOLÓGICO'!$K$2:$K$4919,MATCH($A112,'DETALLE CRONOLÓGICO'!$A$2:$A$4919,0))-1,"")</f>
        <v/>
      </c>
      <c r="O112" s="6">
        <f>IFERROR($I112*3,"")</f>
        <v/>
      </c>
      <c r="P112" s="6">
        <f>IFERROR($I112*3.5,"")</f>
        <v/>
      </c>
      <c r="Q112" s="6">
        <f>IFERROR($I112*4,"")</f>
        <v/>
      </c>
      <c r="R112" s="6" t="n">
        <v>750</v>
      </c>
      <c r="S112" s="4" t="n">
        <v>5</v>
      </c>
      <c r="T112" s="1" t="inlineStr">
        <is>
          <t>active</t>
        </is>
      </c>
      <c r="U112" s="8" t="n"/>
      <c r="V112" s="1" t="inlineStr">
        <is>
          <t>SIN PRECIO</t>
        </is>
      </c>
    </row>
    <row r="113">
      <c r="A113" s="1" t="inlineStr">
        <is>
          <t>15104863078349</t>
        </is>
      </c>
      <c r="B113" s="1" t="inlineStr">
        <is>
          <t>COLLAR PANTHERE LISO SILVER</t>
        </is>
      </c>
      <c r="C113" s="1" t="inlineStr">
        <is>
          <t>Default Title</t>
        </is>
      </c>
      <c r="D113" s="1" t="inlineStr">
        <is>
          <t>HAIFENG</t>
        </is>
      </c>
      <c r="E113" s="4">
        <f>COUNTIF('DETALLE CRONOLÓGICO'!$A$2:$A$4919,$A113)</f>
        <v/>
      </c>
      <c r="F113" s="4">
        <f>SUMIFS('DETALLE CRONOLÓGICO'!$I$2:$I$4919,'DETALLE CRONOLÓGICO'!$A$2:$A$4919,$A113)</f>
        <v/>
      </c>
      <c r="G113" s="1">
        <f>INDEX('DETALLE CRONOLÓGICO'!$D$2:$D$4919,MATCH($A113,'DETALLE CRONOLÓGICO'!$A$2:$A$4919,0))</f>
        <v/>
      </c>
      <c r="H113" s="1">
        <f>INDEX('DETALLE CRONOLÓGICO'!$D$2:$D$4919,MATCH($A113,'DETALLE CRONOLÓGICO'!$A$2:$A$4919,0)+$E113-1)</f>
        <v/>
      </c>
      <c r="I113" s="5">
        <f>IFERROR(SUMIFS('DETALLE CRONOLÓGICO'!$L$2:$L$4919,'DETALLE CRONOLÓGICO'!$A$2:$A$4919,$A113)/$F113,"")</f>
        <v/>
      </c>
      <c r="J113" s="6">
        <f>IFERROR(SUMIFS('DETALLE CRONOLÓGICO'!$K$2:$K$4919,'DETALLE CRONOLÓGICO'!$A$2:$A$4919,$A113)/$E113,"")</f>
        <v/>
      </c>
      <c r="K113" s="6">
        <f>_xlfn.MINIFS('DETALLE CRONOLÓGICO'!$K$2:$K$4919,'DETALLE CRONOLÓGICO'!$A$2:$A$4919,$A113)</f>
        <v/>
      </c>
      <c r="L113" s="6">
        <f>_xlfn.MAXIFS('DETALLE CRONOLÓGICO'!$K$2:$K$4919,'DETALLE CRONOLÓGICO'!$A$2:$A$4919,$A113)</f>
        <v/>
      </c>
      <c r="M113" s="6">
        <f>INDEX('DETALLE CRONOLÓGICO'!$K$2:$K$4919,MATCH($A113,'DETALLE CRONOLÓGICO'!$A$2:$A$4919,0)+$E113-1)</f>
        <v/>
      </c>
      <c r="N113" s="7">
        <f>IFERROR($M113/INDEX('DETALLE CRONOLÓGICO'!$K$2:$K$4919,MATCH($A113,'DETALLE CRONOLÓGICO'!$A$2:$A$4919,0))-1,"")</f>
        <v/>
      </c>
      <c r="O113" s="6">
        <f>IFERROR($I113*3,"")</f>
        <v/>
      </c>
      <c r="P113" s="6">
        <f>IFERROR($I113*3.5,"")</f>
        <v/>
      </c>
      <c r="Q113" s="6">
        <f>IFERROR($I113*4,"")</f>
        <v/>
      </c>
      <c r="R113" s="6" t="n">
        <v>741.6</v>
      </c>
      <c r="S113" s="4" t="n">
        <v>2</v>
      </c>
      <c r="T113" s="1" t="inlineStr">
        <is>
          <t>active</t>
        </is>
      </c>
      <c r="U113" s="8" t="n"/>
      <c r="V113" s="1" t="inlineStr">
        <is>
          <t>SIN PRECIO</t>
        </is>
      </c>
    </row>
    <row r="114">
      <c r="A114" s="1" t="inlineStr">
        <is>
          <t>15104863162605</t>
        </is>
      </c>
      <c r="B114" s="1" t="inlineStr">
        <is>
          <t>COLLAR T KEY HEART</t>
        </is>
      </c>
      <c r="C114" s="1" t="inlineStr">
        <is>
          <t>Default Title</t>
        </is>
      </c>
      <c r="D114" s="1" t="inlineStr">
        <is>
          <t>HAIFENG</t>
        </is>
      </c>
      <c r="E114" s="4">
        <f>COUNTIF('DETALLE CRONOLÓGICO'!$A$2:$A$4919,$A114)</f>
        <v/>
      </c>
      <c r="F114" s="4">
        <f>SUMIFS('DETALLE CRONOLÓGICO'!$I$2:$I$4919,'DETALLE CRONOLÓGICO'!$A$2:$A$4919,$A114)</f>
        <v/>
      </c>
      <c r="G114" s="1">
        <f>INDEX('DETALLE CRONOLÓGICO'!$D$2:$D$4919,MATCH($A114,'DETALLE CRONOLÓGICO'!$A$2:$A$4919,0))</f>
        <v/>
      </c>
      <c r="H114" s="1">
        <f>INDEX('DETALLE CRONOLÓGICO'!$D$2:$D$4919,MATCH($A114,'DETALLE CRONOLÓGICO'!$A$2:$A$4919,0)+$E114-1)</f>
        <v/>
      </c>
      <c r="I114" s="5">
        <f>IFERROR(SUMIFS('DETALLE CRONOLÓGICO'!$L$2:$L$4919,'DETALLE CRONOLÓGICO'!$A$2:$A$4919,$A114)/$F114,"")</f>
        <v/>
      </c>
      <c r="J114" s="6">
        <f>IFERROR(SUMIFS('DETALLE CRONOLÓGICO'!$K$2:$K$4919,'DETALLE CRONOLÓGICO'!$A$2:$A$4919,$A114)/$E114,"")</f>
        <v/>
      </c>
      <c r="K114" s="6">
        <f>_xlfn.MINIFS('DETALLE CRONOLÓGICO'!$K$2:$K$4919,'DETALLE CRONOLÓGICO'!$A$2:$A$4919,$A114)</f>
        <v/>
      </c>
      <c r="L114" s="6">
        <f>_xlfn.MAXIFS('DETALLE CRONOLÓGICO'!$K$2:$K$4919,'DETALLE CRONOLÓGICO'!$A$2:$A$4919,$A114)</f>
        <v/>
      </c>
      <c r="M114" s="6">
        <f>INDEX('DETALLE CRONOLÓGICO'!$K$2:$K$4919,MATCH($A114,'DETALLE CRONOLÓGICO'!$A$2:$A$4919,0)+$E114-1)</f>
        <v/>
      </c>
      <c r="N114" s="7">
        <f>IFERROR($M114/INDEX('DETALLE CRONOLÓGICO'!$K$2:$K$4919,MATCH($A114,'DETALLE CRONOLÓGICO'!$A$2:$A$4919,0))-1,"")</f>
        <v/>
      </c>
      <c r="O114" s="6">
        <f>IFERROR($I114*3,"")</f>
        <v/>
      </c>
      <c r="P114" s="6">
        <f>IFERROR($I114*3.5,"")</f>
        <v/>
      </c>
      <c r="Q114" s="6">
        <f>IFERROR($I114*4,"")</f>
        <v/>
      </c>
      <c r="R114" s="6" t="n">
        <v>750</v>
      </c>
      <c r="S114" s="4" t="n">
        <v>0</v>
      </c>
      <c r="T114" s="1" t="inlineStr">
        <is>
          <t>active</t>
        </is>
      </c>
      <c r="U114" s="8" t="n"/>
      <c r="V114" s="1" t="inlineStr">
        <is>
          <t>SIN PRECIO</t>
        </is>
      </c>
    </row>
    <row r="115">
      <c r="A115" s="1" t="inlineStr">
        <is>
          <t>15104863274477</t>
        </is>
      </c>
      <c r="B115" s="1" t="inlineStr">
        <is>
          <t>COLLAR KNOT SILVER ZIRCONIAS</t>
        </is>
      </c>
      <c r="C115" s="1" t="inlineStr">
        <is>
          <t>Default Title</t>
        </is>
      </c>
      <c r="D115" s="1" t="inlineStr">
        <is>
          <t>HAIFENG</t>
        </is>
      </c>
      <c r="E115" s="4">
        <f>COUNTIF('DETALLE CRONOLÓGICO'!$A$2:$A$4919,$A115)</f>
        <v/>
      </c>
      <c r="F115" s="4">
        <f>SUMIFS('DETALLE CRONOLÓGICO'!$I$2:$I$4919,'DETALLE CRONOLÓGICO'!$A$2:$A$4919,$A115)</f>
        <v/>
      </c>
      <c r="G115" s="1">
        <f>INDEX('DETALLE CRONOLÓGICO'!$D$2:$D$4919,MATCH($A115,'DETALLE CRONOLÓGICO'!$A$2:$A$4919,0))</f>
        <v/>
      </c>
      <c r="H115" s="1">
        <f>INDEX('DETALLE CRONOLÓGICO'!$D$2:$D$4919,MATCH($A115,'DETALLE CRONOLÓGICO'!$A$2:$A$4919,0)+$E115-1)</f>
        <v/>
      </c>
      <c r="I115" s="5">
        <f>IFERROR(SUMIFS('DETALLE CRONOLÓGICO'!$L$2:$L$4919,'DETALLE CRONOLÓGICO'!$A$2:$A$4919,$A115)/$F115,"")</f>
        <v/>
      </c>
      <c r="J115" s="6">
        <f>IFERROR(SUMIFS('DETALLE CRONOLÓGICO'!$K$2:$K$4919,'DETALLE CRONOLÓGICO'!$A$2:$A$4919,$A115)/$E115,"")</f>
        <v/>
      </c>
      <c r="K115" s="6">
        <f>_xlfn.MINIFS('DETALLE CRONOLÓGICO'!$K$2:$K$4919,'DETALLE CRONOLÓGICO'!$A$2:$A$4919,$A115)</f>
        <v/>
      </c>
      <c r="L115" s="6">
        <f>_xlfn.MAXIFS('DETALLE CRONOLÓGICO'!$K$2:$K$4919,'DETALLE CRONOLÓGICO'!$A$2:$A$4919,$A115)</f>
        <v/>
      </c>
      <c r="M115" s="6">
        <f>INDEX('DETALLE CRONOLÓGICO'!$K$2:$K$4919,MATCH($A115,'DETALLE CRONOLÓGICO'!$A$2:$A$4919,0)+$E115-1)</f>
        <v/>
      </c>
      <c r="N115" s="7">
        <f>IFERROR($M115/INDEX('DETALLE CRONOLÓGICO'!$K$2:$K$4919,MATCH($A115,'DETALLE CRONOLÓGICO'!$A$2:$A$4919,0))-1,"")</f>
        <v/>
      </c>
      <c r="O115" s="6">
        <f>IFERROR($I115*3,"")</f>
        <v/>
      </c>
      <c r="P115" s="6">
        <f>IFERROR($I115*3.5,"")</f>
        <v/>
      </c>
      <c r="Q115" s="6">
        <f>IFERROR($I115*4,"")</f>
        <v/>
      </c>
      <c r="R115" s="6" t="n">
        <v>599</v>
      </c>
      <c r="S115" s="4" t="n">
        <v>5</v>
      </c>
      <c r="T115" s="1" t="inlineStr">
        <is>
          <t>active</t>
        </is>
      </c>
      <c r="U115" s="8" t="n"/>
      <c r="V115" s="1" t="inlineStr">
        <is>
          <t>SIN PRECIO</t>
        </is>
      </c>
    </row>
    <row r="116">
      <c r="A116" s="1" t="inlineStr">
        <is>
          <t>15104863347341</t>
        </is>
      </c>
      <c r="B116" s="1" t="inlineStr">
        <is>
          <t>COLLAR KNOT ROSEGOLD HALF ZIRCONIAS</t>
        </is>
      </c>
      <c r="C116" s="1" t="inlineStr">
        <is>
          <t>Default Title</t>
        </is>
      </c>
      <c r="D116" s="1" t="inlineStr">
        <is>
          <t>HAIFENG</t>
        </is>
      </c>
      <c r="E116" s="4">
        <f>COUNTIF('DETALLE CRONOLÓGICO'!$A$2:$A$4919,$A116)</f>
        <v/>
      </c>
      <c r="F116" s="4">
        <f>SUMIFS('DETALLE CRONOLÓGICO'!$I$2:$I$4919,'DETALLE CRONOLÓGICO'!$A$2:$A$4919,$A116)</f>
        <v/>
      </c>
      <c r="G116" s="1">
        <f>INDEX('DETALLE CRONOLÓGICO'!$D$2:$D$4919,MATCH($A116,'DETALLE CRONOLÓGICO'!$A$2:$A$4919,0))</f>
        <v/>
      </c>
      <c r="H116" s="1">
        <f>INDEX('DETALLE CRONOLÓGICO'!$D$2:$D$4919,MATCH($A116,'DETALLE CRONOLÓGICO'!$A$2:$A$4919,0)+$E116-1)</f>
        <v/>
      </c>
      <c r="I116" s="5">
        <f>IFERROR(SUMIFS('DETALLE CRONOLÓGICO'!$L$2:$L$4919,'DETALLE CRONOLÓGICO'!$A$2:$A$4919,$A116)/$F116,"")</f>
        <v/>
      </c>
      <c r="J116" s="6">
        <f>IFERROR(SUMIFS('DETALLE CRONOLÓGICO'!$K$2:$K$4919,'DETALLE CRONOLÓGICO'!$A$2:$A$4919,$A116)/$E116,"")</f>
        <v/>
      </c>
      <c r="K116" s="6">
        <f>_xlfn.MINIFS('DETALLE CRONOLÓGICO'!$K$2:$K$4919,'DETALLE CRONOLÓGICO'!$A$2:$A$4919,$A116)</f>
        <v/>
      </c>
      <c r="L116" s="6">
        <f>_xlfn.MAXIFS('DETALLE CRONOLÓGICO'!$K$2:$K$4919,'DETALLE CRONOLÓGICO'!$A$2:$A$4919,$A116)</f>
        <v/>
      </c>
      <c r="M116" s="6">
        <f>INDEX('DETALLE CRONOLÓGICO'!$K$2:$K$4919,MATCH($A116,'DETALLE CRONOLÓGICO'!$A$2:$A$4919,0)+$E116-1)</f>
        <v/>
      </c>
      <c r="N116" s="7">
        <f>IFERROR($M116/INDEX('DETALLE CRONOLÓGICO'!$K$2:$K$4919,MATCH($A116,'DETALLE CRONOLÓGICO'!$A$2:$A$4919,0))-1,"")</f>
        <v/>
      </c>
      <c r="O116" s="6">
        <f>IFERROR($I116*3,"")</f>
        <v/>
      </c>
      <c r="P116" s="6">
        <f>IFERROR($I116*3.5,"")</f>
        <v/>
      </c>
      <c r="Q116" s="6">
        <f>IFERROR($I116*4,"")</f>
        <v/>
      </c>
      <c r="R116" s="6" t="n">
        <v>550</v>
      </c>
      <c r="S116" s="4" t="n">
        <v>3</v>
      </c>
      <c r="T116" s="1" t="inlineStr">
        <is>
          <t>active</t>
        </is>
      </c>
      <c r="U116" s="8" t="n"/>
      <c r="V116" s="1" t="inlineStr">
        <is>
          <t>SIN PRECIO</t>
        </is>
      </c>
    </row>
    <row r="117">
      <c r="A117" s="1" t="inlineStr">
        <is>
          <t>15104863437293</t>
        </is>
      </c>
      <c r="B117" s="1" t="inlineStr">
        <is>
          <t>COLLAR KNOT GOLD ZIRCONIAS</t>
        </is>
      </c>
      <c r="C117" s="1" t="inlineStr">
        <is>
          <t>Default Title</t>
        </is>
      </c>
      <c r="D117" s="1" t="inlineStr">
        <is>
          <t>HAIFENG</t>
        </is>
      </c>
      <c r="E117" s="4">
        <f>COUNTIF('DETALLE CRONOLÓGICO'!$A$2:$A$4919,$A117)</f>
        <v/>
      </c>
      <c r="F117" s="4">
        <f>SUMIFS('DETALLE CRONOLÓGICO'!$I$2:$I$4919,'DETALLE CRONOLÓGICO'!$A$2:$A$4919,$A117)</f>
        <v/>
      </c>
      <c r="G117" s="1">
        <f>INDEX('DETALLE CRONOLÓGICO'!$D$2:$D$4919,MATCH($A117,'DETALLE CRONOLÓGICO'!$A$2:$A$4919,0))</f>
        <v/>
      </c>
      <c r="H117" s="1">
        <f>INDEX('DETALLE CRONOLÓGICO'!$D$2:$D$4919,MATCH($A117,'DETALLE CRONOLÓGICO'!$A$2:$A$4919,0)+$E117-1)</f>
        <v/>
      </c>
      <c r="I117" s="5">
        <f>IFERROR(SUMIFS('DETALLE CRONOLÓGICO'!$L$2:$L$4919,'DETALLE CRONOLÓGICO'!$A$2:$A$4919,$A117)/$F117,"")</f>
        <v/>
      </c>
      <c r="J117" s="6">
        <f>IFERROR(SUMIFS('DETALLE CRONOLÓGICO'!$K$2:$K$4919,'DETALLE CRONOLÓGICO'!$A$2:$A$4919,$A117)/$E117,"")</f>
        <v/>
      </c>
      <c r="K117" s="6">
        <f>_xlfn.MINIFS('DETALLE CRONOLÓGICO'!$K$2:$K$4919,'DETALLE CRONOLÓGICO'!$A$2:$A$4919,$A117)</f>
        <v/>
      </c>
      <c r="L117" s="6">
        <f>_xlfn.MAXIFS('DETALLE CRONOLÓGICO'!$K$2:$K$4919,'DETALLE CRONOLÓGICO'!$A$2:$A$4919,$A117)</f>
        <v/>
      </c>
      <c r="M117" s="6">
        <f>INDEX('DETALLE CRONOLÓGICO'!$K$2:$K$4919,MATCH($A117,'DETALLE CRONOLÓGICO'!$A$2:$A$4919,0)+$E117-1)</f>
        <v/>
      </c>
      <c r="N117" s="7">
        <f>IFERROR($M117/INDEX('DETALLE CRONOLÓGICO'!$K$2:$K$4919,MATCH($A117,'DETALLE CRONOLÓGICO'!$A$2:$A$4919,0))-1,"")</f>
        <v/>
      </c>
      <c r="O117" s="6">
        <f>IFERROR($I117*3,"")</f>
        <v/>
      </c>
      <c r="P117" s="6">
        <f>IFERROR($I117*3.5,"")</f>
        <v/>
      </c>
      <c r="Q117" s="6">
        <f>IFERROR($I117*4,"")</f>
        <v/>
      </c>
      <c r="R117" s="6" t="n">
        <v>680</v>
      </c>
      <c r="S117" s="4" t="n">
        <v>0</v>
      </c>
      <c r="T117" s="1" t="inlineStr">
        <is>
          <t>active</t>
        </is>
      </c>
      <c r="U117" s="8" t="n"/>
      <c r="V117" s="1" t="inlineStr">
        <is>
          <t>SIN PRECIO</t>
        </is>
      </c>
    </row>
    <row r="118">
      <c r="A118" s="1" t="inlineStr">
        <is>
          <t>15104863595501</t>
        </is>
      </c>
      <c r="B118" s="1" t="inlineStr">
        <is>
          <t>PULSERA T HEART</t>
        </is>
      </c>
      <c r="C118" s="1" t="inlineStr">
        <is>
          <t>Default Title</t>
        </is>
      </c>
      <c r="D118" s="1" t="inlineStr">
        <is>
          <t>HAIFENG</t>
        </is>
      </c>
      <c r="E118" s="4">
        <f>COUNTIF('DETALLE CRONOLÓGICO'!$A$2:$A$4919,$A118)</f>
        <v/>
      </c>
      <c r="F118" s="4">
        <f>SUMIFS('DETALLE CRONOLÓGICO'!$I$2:$I$4919,'DETALLE CRONOLÓGICO'!$A$2:$A$4919,$A118)</f>
        <v/>
      </c>
      <c r="G118" s="1">
        <f>INDEX('DETALLE CRONOLÓGICO'!$D$2:$D$4919,MATCH($A118,'DETALLE CRONOLÓGICO'!$A$2:$A$4919,0))</f>
        <v/>
      </c>
      <c r="H118" s="1">
        <f>INDEX('DETALLE CRONOLÓGICO'!$D$2:$D$4919,MATCH($A118,'DETALLE CRONOLÓGICO'!$A$2:$A$4919,0)+$E118-1)</f>
        <v/>
      </c>
      <c r="I118" s="5">
        <f>IFERROR(SUMIFS('DETALLE CRONOLÓGICO'!$L$2:$L$4919,'DETALLE CRONOLÓGICO'!$A$2:$A$4919,$A118)/$F118,"")</f>
        <v/>
      </c>
      <c r="J118" s="6">
        <f>IFERROR(SUMIFS('DETALLE CRONOLÓGICO'!$K$2:$K$4919,'DETALLE CRONOLÓGICO'!$A$2:$A$4919,$A118)/$E118,"")</f>
        <v/>
      </c>
      <c r="K118" s="6">
        <f>_xlfn.MINIFS('DETALLE CRONOLÓGICO'!$K$2:$K$4919,'DETALLE CRONOLÓGICO'!$A$2:$A$4919,$A118)</f>
        <v/>
      </c>
      <c r="L118" s="6">
        <f>_xlfn.MAXIFS('DETALLE CRONOLÓGICO'!$K$2:$K$4919,'DETALLE CRONOLÓGICO'!$A$2:$A$4919,$A118)</f>
        <v/>
      </c>
      <c r="M118" s="6">
        <f>INDEX('DETALLE CRONOLÓGICO'!$K$2:$K$4919,MATCH($A118,'DETALLE CRONOLÓGICO'!$A$2:$A$4919,0)+$E118-1)</f>
        <v/>
      </c>
      <c r="N118" s="7">
        <f>IFERROR($M118/INDEX('DETALLE CRONOLÓGICO'!$K$2:$K$4919,MATCH($A118,'DETALLE CRONOLÓGICO'!$A$2:$A$4919,0))-1,"")</f>
        <v/>
      </c>
      <c r="O118" s="6">
        <f>IFERROR($I118*3,"")</f>
        <v/>
      </c>
      <c r="P118" s="6">
        <f>IFERROR($I118*3.5,"")</f>
        <v/>
      </c>
      <c r="Q118" s="6">
        <f>IFERROR($I118*4,"")</f>
        <v/>
      </c>
      <c r="R118" s="6" t="n">
        <v>599</v>
      </c>
      <c r="S118" s="4" t="n">
        <v>0</v>
      </c>
      <c r="T118" s="1" t="inlineStr">
        <is>
          <t>active</t>
        </is>
      </c>
      <c r="U118" s="8" t="n"/>
      <c r="V118" s="1" t="inlineStr">
        <is>
          <t>SIN PRECIO</t>
        </is>
      </c>
    </row>
    <row r="119">
      <c r="A119" s="1" t="inlineStr">
        <is>
          <t>15104863678477</t>
        </is>
      </c>
      <c r="B119" s="1" t="inlineStr">
        <is>
          <t>ARETES CC BOUTON CAMELIA GOLD</t>
        </is>
      </c>
      <c r="C119" s="1" t="inlineStr">
        <is>
          <t>Default Title</t>
        </is>
      </c>
      <c r="D119" s="1" t="inlineStr">
        <is>
          <t>HAIFENG</t>
        </is>
      </c>
      <c r="E119" s="4">
        <f>COUNTIF('DETALLE CRONOLÓGICO'!$A$2:$A$4919,$A119)</f>
        <v/>
      </c>
      <c r="F119" s="4">
        <f>SUMIFS('DETALLE CRONOLÓGICO'!$I$2:$I$4919,'DETALLE CRONOLÓGICO'!$A$2:$A$4919,$A119)</f>
        <v/>
      </c>
      <c r="G119" s="1">
        <f>INDEX('DETALLE CRONOLÓGICO'!$D$2:$D$4919,MATCH($A119,'DETALLE CRONOLÓGICO'!$A$2:$A$4919,0))</f>
        <v/>
      </c>
      <c r="H119" s="1">
        <f>INDEX('DETALLE CRONOLÓGICO'!$D$2:$D$4919,MATCH($A119,'DETALLE CRONOLÓGICO'!$A$2:$A$4919,0)+$E119-1)</f>
        <v/>
      </c>
      <c r="I119" s="5">
        <f>IFERROR(SUMIFS('DETALLE CRONOLÓGICO'!$L$2:$L$4919,'DETALLE CRONOLÓGICO'!$A$2:$A$4919,$A119)/$F119,"")</f>
        <v/>
      </c>
      <c r="J119" s="6">
        <f>IFERROR(SUMIFS('DETALLE CRONOLÓGICO'!$K$2:$K$4919,'DETALLE CRONOLÓGICO'!$A$2:$A$4919,$A119)/$E119,"")</f>
        <v/>
      </c>
      <c r="K119" s="6">
        <f>_xlfn.MINIFS('DETALLE CRONOLÓGICO'!$K$2:$K$4919,'DETALLE CRONOLÓGICO'!$A$2:$A$4919,$A119)</f>
        <v/>
      </c>
      <c r="L119" s="6">
        <f>_xlfn.MAXIFS('DETALLE CRONOLÓGICO'!$K$2:$K$4919,'DETALLE CRONOLÓGICO'!$A$2:$A$4919,$A119)</f>
        <v/>
      </c>
      <c r="M119" s="6">
        <f>INDEX('DETALLE CRONOLÓGICO'!$K$2:$K$4919,MATCH($A119,'DETALLE CRONOLÓGICO'!$A$2:$A$4919,0)+$E119-1)</f>
        <v/>
      </c>
      <c r="N119" s="7">
        <f>IFERROR($M119/INDEX('DETALLE CRONOLÓGICO'!$K$2:$K$4919,MATCH($A119,'DETALLE CRONOLÓGICO'!$A$2:$A$4919,0))-1,"")</f>
        <v/>
      </c>
      <c r="O119" s="6">
        <f>IFERROR($I119*3,"")</f>
        <v/>
      </c>
      <c r="P119" s="6">
        <f>IFERROR($I119*3.5,"")</f>
        <v/>
      </c>
      <c r="Q119" s="6">
        <f>IFERROR($I119*4,"")</f>
        <v/>
      </c>
      <c r="R119" s="6" t="n">
        <v>0</v>
      </c>
      <c r="S119" s="4" t="n">
        <v>0</v>
      </c>
      <c r="T119" s="1" t="inlineStr">
        <is>
          <t>draft</t>
        </is>
      </c>
      <c r="U119" s="8" t="n"/>
      <c r="V119" s="1" t="inlineStr">
        <is>
          <t>SIN PRECIO</t>
        </is>
      </c>
    </row>
    <row r="120">
      <c r="A120" s="1" t="inlineStr">
        <is>
          <t>15118061083949</t>
        </is>
      </c>
      <c r="B120" s="1" t="inlineStr">
        <is>
          <t>ARETES T CORAZÓN CON FLECHA</t>
        </is>
      </c>
      <c r="C120" s="1" t="inlineStr">
        <is>
          <t>Default Title</t>
        </is>
      </c>
      <c r="D120" s="1" t="inlineStr">
        <is>
          <t>HAIFENG</t>
        </is>
      </c>
      <c r="E120" s="4">
        <f>COUNTIF('DETALLE CRONOLÓGICO'!$A$2:$A$4919,$A120)</f>
        <v/>
      </c>
      <c r="F120" s="4">
        <f>SUMIFS('DETALLE CRONOLÓGICO'!$I$2:$I$4919,'DETALLE CRONOLÓGICO'!$A$2:$A$4919,$A120)</f>
        <v/>
      </c>
      <c r="G120" s="1">
        <f>INDEX('DETALLE CRONOLÓGICO'!$D$2:$D$4919,MATCH($A120,'DETALLE CRONOLÓGICO'!$A$2:$A$4919,0))</f>
        <v/>
      </c>
      <c r="H120" s="1">
        <f>INDEX('DETALLE CRONOLÓGICO'!$D$2:$D$4919,MATCH($A120,'DETALLE CRONOLÓGICO'!$A$2:$A$4919,0)+$E120-1)</f>
        <v/>
      </c>
      <c r="I120" s="5">
        <f>IFERROR(SUMIFS('DETALLE CRONOLÓGICO'!$L$2:$L$4919,'DETALLE CRONOLÓGICO'!$A$2:$A$4919,$A120)/$F120,"")</f>
        <v/>
      </c>
      <c r="J120" s="6">
        <f>IFERROR(SUMIFS('DETALLE CRONOLÓGICO'!$K$2:$K$4919,'DETALLE CRONOLÓGICO'!$A$2:$A$4919,$A120)/$E120,"")</f>
        <v/>
      </c>
      <c r="K120" s="6">
        <f>_xlfn.MINIFS('DETALLE CRONOLÓGICO'!$K$2:$K$4919,'DETALLE CRONOLÓGICO'!$A$2:$A$4919,$A120)</f>
        <v/>
      </c>
      <c r="L120" s="6">
        <f>_xlfn.MAXIFS('DETALLE CRONOLÓGICO'!$K$2:$K$4919,'DETALLE CRONOLÓGICO'!$A$2:$A$4919,$A120)</f>
        <v/>
      </c>
      <c r="M120" s="6">
        <f>INDEX('DETALLE CRONOLÓGICO'!$K$2:$K$4919,MATCH($A120,'DETALLE CRONOLÓGICO'!$A$2:$A$4919,0)+$E120-1)</f>
        <v/>
      </c>
      <c r="N120" s="7">
        <f>IFERROR($M120/INDEX('DETALLE CRONOLÓGICO'!$K$2:$K$4919,MATCH($A120,'DETALLE CRONOLÓGICO'!$A$2:$A$4919,0))-1,"")</f>
        <v/>
      </c>
      <c r="O120" s="6">
        <f>IFERROR($I120*3,"")</f>
        <v/>
      </c>
      <c r="P120" s="6">
        <f>IFERROR($I120*3.5,"")</f>
        <v/>
      </c>
      <c r="Q120" s="6">
        <f>IFERROR($I120*4,"")</f>
        <v/>
      </c>
      <c r="R120" s="6" t="n">
        <v>450</v>
      </c>
      <c r="S120" s="4" t="n">
        <v>0</v>
      </c>
      <c r="T120" s="1" t="inlineStr">
        <is>
          <t>active</t>
        </is>
      </c>
      <c r="U120" s="8" t="n"/>
      <c r="V120" s="1" t="inlineStr">
        <is>
          <t>SIN PRECIO</t>
        </is>
      </c>
    </row>
    <row r="121">
      <c r="A121" s="1" t="inlineStr">
        <is>
          <t>15489301069581</t>
        </is>
      </c>
      <c r="B121" s="1" t="inlineStr">
        <is>
          <t>COLLAR TRES AROS ROSE GOLD</t>
        </is>
      </c>
      <c r="C121" s="1" t="inlineStr">
        <is>
          <t>Default Title</t>
        </is>
      </c>
      <c r="D121" s="1" t="inlineStr">
        <is>
          <t>HAIFENG</t>
        </is>
      </c>
      <c r="E121" s="4">
        <f>COUNTIF('DETALLE CRONOLÓGICO'!$A$2:$A$4919,$A121)</f>
        <v/>
      </c>
      <c r="F121" s="4">
        <f>SUMIFS('DETALLE CRONOLÓGICO'!$I$2:$I$4919,'DETALLE CRONOLÓGICO'!$A$2:$A$4919,$A121)</f>
        <v/>
      </c>
      <c r="G121" s="1">
        <f>INDEX('DETALLE CRONOLÓGICO'!$D$2:$D$4919,MATCH($A121,'DETALLE CRONOLÓGICO'!$A$2:$A$4919,0))</f>
        <v/>
      </c>
      <c r="H121" s="1">
        <f>INDEX('DETALLE CRONOLÓGICO'!$D$2:$D$4919,MATCH($A121,'DETALLE CRONOLÓGICO'!$A$2:$A$4919,0)+$E121-1)</f>
        <v/>
      </c>
      <c r="I121" s="5">
        <f>IFERROR(SUMIFS('DETALLE CRONOLÓGICO'!$L$2:$L$4919,'DETALLE CRONOLÓGICO'!$A$2:$A$4919,$A121)/$F121,"")</f>
        <v/>
      </c>
      <c r="J121" s="6">
        <f>IFERROR(SUMIFS('DETALLE CRONOLÓGICO'!$K$2:$K$4919,'DETALLE CRONOLÓGICO'!$A$2:$A$4919,$A121)/$E121,"")</f>
        <v/>
      </c>
      <c r="K121" s="6">
        <f>_xlfn.MINIFS('DETALLE CRONOLÓGICO'!$K$2:$K$4919,'DETALLE CRONOLÓGICO'!$A$2:$A$4919,$A121)</f>
        <v/>
      </c>
      <c r="L121" s="6">
        <f>_xlfn.MAXIFS('DETALLE CRONOLÓGICO'!$K$2:$K$4919,'DETALLE CRONOLÓGICO'!$A$2:$A$4919,$A121)</f>
        <v/>
      </c>
      <c r="M121" s="6">
        <f>INDEX('DETALLE CRONOLÓGICO'!$K$2:$K$4919,MATCH($A121,'DETALLE CRONOLÓGICO'!$A$2:$A$4919,0)+$E121-1)</f>
        <v/>
      </c>
      <c r="N121" s="7">
        <f>IFERROR($M121/INDEX('DETALLE CRONOLÓGICO'!$K$2:$K$4919,MATCH($A121,'DETALLE CRONOLÓGICO'!$A$2:$A$4919,0))-1,"")</f>
        <v/>
      </c>
      <c r="O121" s="6">
        <f>IFERROR($I121*3,"")</f>
        <v/>
      </c>
      <c r="P121" s="6">
        <f>IFERROR($I121*3.5,"")</f>
        <v/>
      </c>
      <c r="Q121" s="6">
        <f>IFERROR($I121*4,"")</f>
        <v/>
      </c>
      <c r="R121" s="6" t="n">
        <v>0</v>
      </c>
      <c r="S121" s="4" t="n">
        <v>1</v>
      </c>
      <c r="T121" s="1" t="inlineStr">
        <is>
          <t>draft</t>
        </is>
      </c>
      <c r="U121" s="8" t="n"/>
      <c r="V121" s="1" t="inlineStr">
        <is>
          <t>SIN PRECIO</t>
        </is>
      </c>
    </row>
    <row r="122">
      <c r="A122" s="1" t="inlineStr">
        <is>
          <t>15554121015853</t>
        </is>
      </c>
      <c r="B122" s="1" t="inlineStr">
        <is>
          <t>ANILLO MOVE PAVE GOLD</t>
        </is>
      </c>
      <c r="C122" s="1" t="inlineStr">
        <is>
          <t>6</t>
        </is>
      </c>
      <c r="D122" s="1" t="inlineStr">
        <is>
          <t>HAIFENG</t>
        </is>
      </c>
      <c r="E122" s="4">
        <f>COUNTIF('DETALLE CRONOLÓGICO'!$A$2:$A$4919,$A122)</f>
        <v/>
      </c>
      <c r="F122" s="4">
        <f>SUMIFS('DETALLE CRONOLÓGICO'!$I$2:$I$4919,'DETALLE CRONOLÓGICO'!$A$2:$A$4919,$A122)</f>
        <v/>
      </c>
      <c r="G122" s="1">
        <f>INDEX('DETALLE CRONOLÓGICO'!$D$2:$D$4919,MATCH($A122,'DETALLE CRONOLÓGICO'!$A$2:$A$4919,0))</f>
        <v/>
      </c>
      <c r="H122" s="1">
        <f>INDEX('DETALLE CRONOLÓGICO'!$D$2:$D$4919,MATCH($A122,'DETALLE CRONOLÓGICO'!$A$2:$A$4919,0)+$E122-1)</f>
        <v/>
      </c>
      <c r="I122" s="5">
        <f>IFERROR(SUMIFS('DETALLE CRONOLÓGICO'!$L$2:$L$4919,'DETALLE CRONOLÓGICO'!$A$2:$A$4919,$A122)/$F122,"")</f>
        <v/>
      </c>
      <c r="J122" s="6">
        <f>IFERROR(SUMIFS('DETALLE CRONOLÓGICO'!$K$2:$K$4919,'DETALLE CRONOLÓGICO'!$A$2:$A$4919,$A122)/$E122,"")</f>
        <v/>
      </c>
      <c r="K122" s="6">
        <f>_xlfn.MINIFS('DETALLE CRONOLÓGICO'!$K$2:$K$4919,'DETALLE CRONOLÓGICO'!$A$2:$A$4919,$A122)</f>
        <v/>
      </c>
      <c r="L122" s="6">
        <f>_xlfn.MAXIFS('DETALLE CRONOLÓGICO'!$K$2:$K$4919,'DETALLE CRONOLÓGICO'!$A$2:$A$4919,$A122)</f>
        <v/>
      </c>
      <c r="M122" s="6">
        <f>INDEX('DETALLE CRONOLÓGICO'!$K$2:$K$4919,MATCH($A122,'DETALLE CRONOLÓGICO'!$A$2:$A$4919,0)+$E122-1)</f>
        <v/>
      </c>
      <c r="N122" s="7">
        <f>IFERROR($M122/INDEX('DETALLE CRONOLÓGICO'!$K$2:$K$4919,MATCH($A122,'DETALLE CRONOLÓGICO'!$A$2:$A$4919,0))-1,"")</f>
        <v/>
      </c>
      <c r="O122" s="6">
        <f>IFERROR($I122*3,"")</f>
        <v/>
      </c>
      <c r="P122" s="6">
        <f>IFERROR($I122*3.5,"")</f>
        <v/>
      </c>
      <c r="Q122" s="6">
        <f>IFERROR($I122*4,"")</f>
        <v/>
      </c>
      <c r="R122" s="6" t="n">
        <v>499</v>
      </c>
      <c r="S122" s="4" t="n">
        <v>2</v>
      </c>
      <c r="T122" s="1" t="inlineStr">
        <is>
          <t>draft</t>
        </is>
      </c>
      <c r="U122" s="8" t="n"/>
      <c r="V122" s="1" t="inlineStr">
        <is>
          <t>SIN PRECIO</t>
        </is>
      </c>
    </row>
    <row r="123">
      <c r="A123" s="1" t="inlineStr">
        <is>
          <t>15554121148621</t>
        </is>
      </c>
      <c r="B123" s="1" t="inlineStr">
        <is>
          <t>ANILLO MOVE PAVE GOLD</t>
        </is>
      </c>
      <c r="C123" s="1" t="inlineStr">
        <is>
          <t>7</t>
        </is>
      </c>
      <c r="D123" s="1" t="inlineStr">
        <is>
          <t>HAIFENG</t>
        </is>
      </c>
      <c r="E123" s="4">
        <f>COUNTIF('DETALLE CRONOLÓGICO'!$A$2:$A$4919,$A123)</f>
        <v/>
      </c>
      <c r="F123" s="4">
        <f>SUMIFS('DETALLE CRONOLÓGICO'!$I$2:$I$4919,'DETALLE CRONOLÓGICO'!$A$2:$A$4919,$A123)</f>
        <v/>
      </c>
      <c r="G123" s="1">
        <f>INDEX('DETALLE CRONOLÓGICO'!$D$2:$D$4919,MATCH($A123,'DETALLE CRONOLÓGICO'!$A$2:$A$4919,0))</f>
        <v/>
      </c>
      <c r="H123" s="1">
        <f>INDEX('DETALLE CRONOLÓGICO'!$D$2:$D$4919,MATCH($A123,'DETALLE CRONOLÓGICO'!$A$2:$A$4919,0)+$E123-1)</f>
        <v/>
      </c>
      <c r="I123" s="5">
        <f>IFERROR(SUMIFS('DETALLE CRONOLÓGICO'!$L$2:$L$4919,'DETALLE CRONOLÓGICO'!$A$2:$A$4919,$A123)/$F123,"")</f>
        <v/>
      </c>
      <c r="J123" s="6">
        <f>IFERROR(SUMIFS('DETALLE CRONOLÓGICO'!$K$2:$K$4919,'DETALLE CRONOLÓGICO'!$A$2:$A$4919,$A123)/$E123,"")</f>
        <v/>
      </c>
      <c r="K123" s="6">
        <f>_xlfn.MINIFS('DETALLE CRONOLÓGICO'!$K$2:$K$4919,'DETALLE CRONOLÓGICO'!$A$2:$A$4919,$A123)</f>
        <v/>
      </c>
      <c r="L123" s="6">
        <f>_xlfn.MAXIFS('DETALLE CRONOLÓGICO'!$K$2:$K$4919,'DETALLE CRONOLÓGICO'!$A$2:$A$4919,$A123)</f>
        <v/>
      </c>
      <c r="M123" s="6">
        <f>INDEX('DETALLE CRONOLÓGICO'!$K$2:$K$4919,MATCH($A123,'DETALLE CRONOLÓGICO'!$A$2:$A$4919,0)+$E123-1)</f>
        <v/>
      </c>
      <c r="N123" s="7">
        <f>IFERROR($M123/INDEX('DETALLE CRONOLÓGICO'!$K$2:$K$4919,MATCH($A123,'DETALLE CRONOLÓGICO'!$A$2:$A$4919,0))-1,"")</f>
        <v/>
      </c>
      <c r="O123" s="6">
        <f>IFERROR($I123*3,"")</f>
        <v/>
      </c>
      <c r="P123" s="6">
        <f>IFERROR($I123*3.5,"")</f>
        <v/>
      </c>
      <c r="Q123" s="6">
        <f>IFERROR($I123*4,"")</f>
        <v/>
      </c>
      <c r="R123" s="6" t="n">
        <v>499</v>
      </c>
      <c r="S123" s="4" t="n">
        <v>2</v>
      </c>
      <c r="T123" s="1" t="inlineStr">
        <is>
          <t>draft</t>
        </is>
      </c>
      <c r="U123" s="8" t="n"/>
      <c r="V123" s="1" t="inlineStr">
        <is>
          <t>SIN PRECIO</t>
        </is>
      </c>
    </row>
    <row r="124">
      <c r="A124" s="1" t="inlineStr">
        <is>
          <t>15554121245229</t>
        </is>
      </c>
      <c r="B124" s="1" t="inlineStr">
        <is>
          <t>ANILLO MOVE UNO PAVE DROP GOLD</t>
        </is>
      </c>
      <c r="C124" s="1" t="inlineStr">
        <is>
          <t>7</t>
        </is>
      </c>
      <c r="D124" s="1" t="inlineStr">
        <is>
          <t>HAIFENG</t>
        </is>
      </c>
      <c r="E124" s="4">
        <f>COUNTIF('DETALLE CRONOLÓGICO'!$A$2:$A$4919,$A124)</f>
        <v/>
      </c>
      <c r="F124" s="4">
        <f>SUMIFS('DETALLE CRONOLÓGICO'!$I$2:$I$4919,'DETALLE CRONOLÓGICO'!$A$2:$A$4919,$A124)</f>
        <v/>
      </c>
      <c r="G124" s="1">
        <f>INDEX('DETALLE CRONOLÓGICO'!$D$2:$D$4919,MATCH($A124,'DETALLE CRONOLÓGICO'!$A$2:$A$4919,0))</f>
        <v/>
      </c>
      <c r="H124" s="1">
        <f>INDEX('DETALLE CRONOLÓGICO'!$D$2:$D$4919,MATCH($A124,'DETALLE CRONOLÓGICO'!$A$2:$A$4919,0)+$E124-1)</f>
        <v/>
      </c>
      <c r="I124" s="5">
        <f>IFERROR(SUMIFS('DETALLE CRONOLÓGICO'!$L$2:$L$4919,'DETALLE CRONOLÓGICO'!$A$2:$A$4919,$A124)/$F124,"")</f>
        <v/>
      </c>
      <c r="J124" s="6">
        <f>IFERROR(SUMIFS('DETALLE CRONOLÓGICO'!$K$2:$K$4919,'DETALLE CRONOLÓGICO'!$A$2:$A$4919,$A124)/$E124,"")</f>
        <v/>
      </c>
      <c r="K124" s="6">
        <f>_xlfn.MINIFS('DETALLE CRONOLÓGICO'!$K$2:$K$4919,'DETALLE CRONOLÓGICO'!$A$2:$A$4919,$A124)</f>
        <v/>
      </c>
      <c r="L124" s="6">
        <f>_xlfn.MAXIFS('DETALLE CRONOLÓGICO'!$K$2:$K$4919,'DETALLE CRONOLÓGICO'!$A$2:$A$4919,$A124)</f>
        <v/>
      </c>
      <c r="M124" s="6">
        <f>INDEX('DETALLE CRONOLÓGICO'!$K$2:$K$4919,MATCH($A124,'DETALLE CRONOLÓGICO'!$A$2:$A$4919,0)+$E124-1)</f>
        <v/>
      </c>
      <c r="N124" s="7">
        <f>IFERROR($M124/INDEX('DETALLE CRONOLÓGICO'!$K$2:$K$4919,MATCH($A124,'DETALLE CRONOLÓGICO'!$A$2:$A$4919,0))-1,"")</f>
        <v/>
      </c>
      <c r="O124" s="6">
        <f>IFERROR($I124*3,"")</f>
        <v/>
      </c>
      <c r="P124" s="6">
        <f>IFERROR($I124*3.5,"")</f>
        <v/>
      </c>
      <c r="Q124" s="6">
        <f>IFERROR($I124*4,"")</f>
        <v/>
      </c>
      <c r="R124" s="6" t="n">
        <v>599</v>
      </c>
      <c r="S124" s="4" t="n">
        <v>2</v>
      </c>
      <c r="T124" s="1" t="inlineStr">
        <is>
          <t>draft</t>
        </is>
      </c>
      <c r="U124" s="8" t="n"/>
      <c r="V124" s="1" t="inlineStr">
        <is>
          <t>SIN PRECIO</t>
        </is>
      </c>
    </row>
    <row r="125">
      <c r="A125" s="1" t="inlineStr">
        <is>
          <t>15554121358797</t>
        </is>
      </c>
      <c r="B125" s="1" t="inlineStr">
        <is>
          <t>BRAZALETE MOVE NOA CISELE GOLD</t>
        </is>
      </c>
      <c r="C125" s="1" t="inlineStr">
        <is>
          <t>Default Title</t>
        </is>
      </c>
      <c r="D125" s="1" t="inlineStr">
        <is>
          <t>HAIFENG</t>
        </is>
      </c>
      <c r="E125" s="4">
        <f>COUNTIF('DETALLE CRONOLÓGICO'!$A$2:$A$4919,$A125)</f>
        <v/>
      </c>
      <c r="F125" s="4">
        <f>SUMIFS('DETALLE CRONOLÓGICO'!$I$2:$I$4919,'DETALLE CRONOLÓGICO'!$A$2:$A$4919,$A125)</f>
        <v/>
      </c>
      <c r="G125" s="1">
        <f>INDEX('DETALLE CRONOLÓGICO'!$D$2:$D$4919,MATCH($A125,'DETALLE CRONOLÓGICO'!$A$2:$A$4919,0))</f>
        <v/>
      </c>
      <c r="H125" s="1">
        <f>INDEX('DETALLE CRONOLÓGICO'!$D$2:$D$4919,MATCH($A125,'DETALLE CRONOLÓGICO'!$A$2:$A$4919,0)+$E125-1)</f>
        <v/>
      </c>
      <c r="I125" s="5">
        <f>IFERROR(SUMIFS('DETALLE CRONOLÓGICO'!$L$2:$L$4919,'DETALLE CRONOLÓGICO'!$A$2:$A$4919,$A125)/$F125,"")</f>
        <v/>
      </c>
      <c r="J125" s="6">
        <f>IFERROR(SUMIFS('DETALLE CRONOLÓGICO'!$K$2:$K$4919,'DETALLE CRONOLÓGICO'!$A$2:$A$4919,$A125)/$E125,"")</f>
        <v/>
      </c>
      <c r="K125" s="6">
        <f>_xlfn.MINIFS('DETALLE CRONOLÓGICO'!$K$2:$K$4919,'DETALLE CRONOLÓGICO'!$A$2:$A$4919,$A125)</f>
        <v/>
      </c>
      <c r="L125" s="6">
        <f>_xlfn.MAXIFS('DETALLE CRONOLÓGICO'!$K$2:$K$4919,'DETALLE CRONOLÓGICO'!$A$2:$A$4919,$A125)</f>
        <v/>
      </c>
      <c r="M125" s="6">
        <f>INDEX('DETALLE CRONOLÓGICO'!$K$2:$K$4919,MATCH($A125,'DETALLE CRONOLÓGICO'!$A$2:$A$4919,0)+$E125-1)</f>
        <v/>
      </c>
      <c r="N125" s="7">
        <f>IFERROR($M125/INDEX('DETALLE CRONOLÓGICO'!$K$2:$K$4919,MATCH($A125,'DETALLE CRONOLÓGICO'!$A$2:$A$4919,0))-1,"")</f>
        <v/>
      </c>
      <c r="O125" s="6">
        <f>IFERROR($I125*3,"")</f>
        <v/>
      </c>
      <c r="P125" s="6">
        <f>IFERROR($I125*3.5,"")</f>
        <v/>
      </c>
      <c r="Q125" s="6">
        <f>IFERROR($I125*4,"")</f>
        <v/>
      </c>
      <c r="R125" s="6" t="n">
        <v>1499</v>
      </c>
      <c r="S125" s="4" t="n">
        <v>1</v>
      </c>
      <c r="T125" s="1" t="inlineStr">
        <is>
          <t>active</t>
        </is>
      </c>
      <c r="U125" s="8" t="n"/>
      <c r="V125" s="1" t="inlineStr">
        <is>
          <t>SIN PRECIO</t>
        </is>
      </c>
    </row>
    <row r="126">
      <c r="A126" s="1" t="inlineStr">
        <is>
          <t>15554121422637</t>
        </is>
      </c>
      <c r="B126" s="1" t="inlineStr">
        <is>
          <t>ANILLO MOVE PAVE SILVER</t>
        </is>
      </c>
      <c r="C126" s="1" t="inlineStr">
        <is>
          <t>6</t>
        </is>
      </c>
      <c r="D126" s="1" t="inlineStr">
        <is>
          <t>HAIFENG</t>
        </is>
      </c>
      <c r="E126" s="4">
        <f>COUNTIF('DETALLE CRONOLÓGICO'!$A$2:$A$4919,$A126)</f>
        <v/>
      </c>
      <c r="F126" s="4">
        <f>SUMIFS('DETALLE CRONOLÓGICO'!$I$2:$I$4919,'DETALLE CRONOLÓGICO'!$A$2:$A$4919,$A126)</f>
        <v/>
      </c>
      <c r="G126" s="1">
        <f>INDEX('DETALLE CRONOLÓGICO'!$D$2:$D$4919,MATCH($A126,'DETALLE CRONOLÓGICO'!$A$2:$A$4919,0))</f>
        <v/>
      </c>
      <c r="H126" s="1">
        <f>INDEX('DETALLE CRONOLÓGICO'!$D$2:$D$4919,MATCH($A126,'DETALLE CRONOLÓGICO'!$A$2:$A$4919,0)+$E126-1)</f>
        <v/>
      </c>
      <c r="I126" s="5">
        <f>IFERROR(SUMIFS('DETALLE CRONOLÓGICO'!$L$2:$L$4919,'DETALLE CRONOLÓGICO'!$A$2:$A$4919,$A126)/$F126,"")</f>
        <v/>
      </c>
      <c r="J126" s="6">
        <f>IFERROR(SUMIFS('DETALLE CRONOLÓGICO'!$K$2:$K$4919,'DETALLE CRONOLÓGICO'!$A$2:$A$4919,$A126)/$E126,"")</f>
        <v/>
      </c>
      <c r="K126" s="6">
        <f>_xlfn.MINIFS('DETALLE CRONOLÓGICO'!$K$2:$K$4919,'DETALLE CRONOLÓGICO'!$A$2:$A$4919,$A126)</f>
        <v/>
      </c>
      <c r="L126" s="6">
        <f>_xlfn.MAXIFS('DETALLE CRONOLÓGICO'!$K$2:$K$4919,'DETALLE CRONOLÓGICO'!$A$2:$A$4919,$A126)</f>
        <v/>
      </c>
      <c r="M126" s="6">
        <f>INDEX('DETALLE CRONOLÓGICO'!$K$2:$K$4919,MATCH($A126,'DETALLE CRONOLÓGICO'!$A$2:$A$4919,0)+$E126-1)</f>
        <v/>
      </c>
      <c r="N126" s="7">
        <f>IFERROR($M126/INDEX('DETALLE CRONOLÓGICO'!$K$2:$K$4919,MATCH($A126,'DETALLE CRONOLÓGICO'!$A$2:$A$4919,0))-1,"")</f>
        <v/>
      </c>
      <c r="O126" s="6">
        <f>IFERROR($I126*3,"")</f>
        <v/>
      </c>
      <c r="P126" s="6">
        <f>IFERROR($I126*3.5,"")</f>
        <v/>
      </c>
      <c r="Q126" s="6">
        <f>IFERROR($I126*4,"")</f>
        <v/>
      </c>
      <c r="R126" s="6" t="n">
        <v>550</v>
      </c>
      <c r="S126" s="4" t="n">
        <v>2</v>
      </c>
      <c r="T126" s="1" t="inlineStr">
        <is>
          <t>draft</t>
        </is>
      </c>
      <c r="U126" s="8" t="n"/>
      <c r="V126" s="1" t="inlineStr">
        <is>
          <t>SIN PRECIO</t>
        </is>
      </c>
    </row>
    <row r="127">
      <c r="A127" s="1" t="inlineStr">
        <is>
          <t>15554121555405</t>
        </is>
      </c>
      <c r="B127" s="1" t="inlineStr">
        <is>
          <t>ANILLO MOVE PAVE SILVER</t>
        </is>
      </c>
      <c r="C127" s="1" t="inlineStr">
        <is>
          <t>7</t>
        </is>
      </c>
      <c r="D127" s="1" t="inlineStr">
        <is>
          <t>HAIFENG</t>
        </is>
      </c>
      <c r="E127" s="4">
        <f>COUNTIF('DETALLE CRONOLÓGICO'!$A$2:$A$4919,$A127)</f>
        <v/>
      </c>
      <c r="F127" s="4">
        <f>SUMIFS('DETALLE CRONOLÓGICO'!$I$2:$I$4919,'DETALLE CRONOLÓGICO'!$A$2:$A$4919,$A127)</f>
        <v/>
      </c>
      <c r="G127" s="1">
        <f>INDEX('DETALLE CRONOLÓGICO'!$D$2:$D$4919,MATCH($A127,'DETALLE CRONOLÓGICO'!$A$2:$A$4919,0))</f>
        <v/>
      </c>
      <c r="H127" s="1">
        <f>INDEX('DETALLE CRONOLÓGICO'!$D$2:$D$4919,MATCH($A127,'DETALLE CRONOLÓGICO'!$A$2:$A$4919,0)+$E127-1)</f>
        <v/>
      </c>
      <c r="I127" s="5">
        <f>IFERROR(SUMIFS('DETALLE CRONOLÓGICO'!$L$2:$L$4919,'DETALLE CRONOLÓGICO'!$A$2:$A$4919,$A127)/$F127,"")</f>
        <v/>
      </c>
      <c r="J127" s="6">
        <f>IFERROR(SUMIFS('DETALLE CRONOLÓGICO'!$K$2:$K$4919,'DETALLE CRONOLÓGICO'!$A$2:$A$4919,$A127)/$E127,"")</f>
        <v/>
      </c>
      <c r="K127" s="6">
        <f>_xlfn.MINIFS('DETALLE CRONOLÓGICO'!$K$2:$K$4919,'DETALLE CRONOLÓGICO'!$A$2:$A$4919,$A127)</f>
        <v/>
      </c>
      <c r="L127" s="6">
        <f>_xlfn.MAXIFS('DETALLE CRONOLÓGICO'!$K$2:$K$4919,'DETALLE CRONOLÓGICO'!$A$2:$A$4919,$A127)</f>
        <v/>
      </c>
      <c r="M127" s="6">
        <f>INDEX('DETALLE CRONOLÓGICO'!$K$2:$K$4919,MATCH($A127,'DETALLE CRONOLÓGICO'!$A$2:$A$4919,0)+$E127-1)</f>
        <v/>
      </c>
      <c r="N127" s="7">
        <f>IFERROR($M127/INDEX('DETALLE CRONOLÓGICO'!$K$2:$K$4919,MATCH($A127,'DETALLE CRONOLÓGICO'!$A$2:$A$4919,0))-1,"")</f>
        <v/>
      </c>
      <c r="O127" s="6">
        <f>IFERROR($I127*3,"")</f>
        <v/>
      </c>
      <c r="P127" s="6">
        <f>IFERROR($I127*3.5,"")</f>
        <v/>
      </c>
      <c r="Q127" s="6">
        <f>IFERROR($I127*4,"")</f>
        <v/>
      </c>
      <c r="R127" s="6" t="n">
        <v>550</v>
      </c>
      <c r="S127" s="4" t="n">
        <v>2</v>
      </c>
      <c r="T127" s="1" t="inlineStr">
        <is>
          <t>draft</t>
        </is>
      </c>
      <c r="U127" s="8" t="n"/>
      <c r="V127" s="1" t="inlineStr">
        <is>
          <t>SIN PRECIO</t>
        </is>
      </c>
    </row>
    <row r="128">
      <c r="A128" s="1" t="inlineStr">
        <is>
          <t>15554121626029</t>
        </is>
      </c>
      <c r="B128" s="1" t="inlineStr">
        <is>
          <t>BRAZALETE MOVE UNO GOLD ZIRCONIAS</t>
        </is>
      </c>
      <c r="C128" s="1" t="inlineStr">
        <is>
          <t>Default Title</t>
        </is>
      </c>
      <c r="D128" s="1" t="inlineStr">
        <is>
          <t>HAIFENG</t>
        </is>
      </c>
      <c r="E128" s="4">
        <f>COUNTIF('DETALLE CRONOLÓGICO'!$A$2:$A$4919,$A128)</f>
        <v/>
      </c>
      <c r="F128" s="4">
        <f>SUMIFS('DETALLE CRONOLÓGICO'!$I$2:$I$4919,'DETALLE CRONOLÓGICO'!$A$2:$A$4919,$A128)</f>
        <v/>
      </c>
      <c r="G128" s="1">
        <f>INDEX('DETALLE CRONOLÓGICO'!$D$2:$D$4919,MATCH($A128,'DETALLE CRONOLÓGICO'!$A$2:$A$4919,0))</f>
        <v/>
      </c>
      <c r="H128" s="1">
        <f>INDEX('DETALLE CRONOLÓGICO'!$D$2:$D$4919,MATCH($A128,'DETALLE CRONOLÓGICO'!$A$2:$A$4919,0)+$E128-1)</f>
        <v/>
      </c>
      <c r="I128" s="5">
        <f>IFERROR(SUMIFS('DETALLE CRONOLÓGICO'!$L$2:$L$4919,'DETALLE CRONOLÓGICO'!$A$2:$A$4919,$A128)/$F128,"")</f>
        <v/>
      </c>
      <c r="J128" s="6">
        <f>IFERROR(SUMIFS('DETALLE CRONOLÓGICO'!$K$2:$K$4919,'DETALLE CRONOLÓGICO'!$A$2:$A$4919,$A128)/$E128,"")</f>
        <v/>
      </c>
      <c r="K128" s="6">
        <f>_xlfn.MINIFS('DETALLE CRONOLÓGICO'!$K$2:$K$4919,'DETALLE CRONOLÓGICO'!$A$2:$A$4919,$A128)</f>
        <v/>
      </c>
      <c r="L128" s="6">
        <f>_xlfn.MAXIFS('DETALLE CRONOLÓGICO'!$K$2:$K$4919,'DETALLE CRONOLÓGICO'!$A$2:$A$4919,$A128)</f>
        <v/>
      </c>
      <c r="M128" s="6">
        <f>INDEX('DETALLE CRONOLÓGICO'!$K$2:$K$4919,MATCH($A128,'DETALLE CRONOLÓGICO'!$A$2:$A$4919,0)+$E128-1)</f>
        <v/>
      </c>
      <c r="N128" s="7">
        <f>IFERROR($M128/INDEX('DETALLE CRONOLÓGICO'!$K$2:$K$4919,MATCH($A128,'DETALLE CRONOLÓGICO'!$A$2:$A$4919,0))-1,"")</f>
        <v/>
      </c>
      <c r="O128" s="6">
        <f>IFERROR($I128*3,"")</f>
        <v/>
      </c>
      <c r="P128" s="6">
        <f>IFERROR($I128*3.5,"")</f>
        <v/>
      </c>
      <c r="Q128" s="6">
        <f>IFERROR($I128*4,"")</f>
        <v/>
      </c>
      <c r="R128" s="6" t="n">
        <v>850</v>
      </c>
      <c r="S128" s="4" t="n">
        <v>0</v>
      </c>
      <c r="T128" s="1" t="inlineStr">
        <is>
          <t>active</t>
        </is>
      </c>
      <c r="U128" s="8" t="n"/>
      <c r="V128" s="1" t="inlineStr">
        <is>
          <t>SIN PRECIO</t>
        </is>
      </c>
    </row>
    <row r="129">
      <c r="A129" s="1" t="inlineStr">
        <is>
          <t>15554121796653</t>
        </is>
      </c>
      <c r="B129" s="1" t="inlineStr">
        <is>
          <t>PULSERA MOVE CORDON PAVÉ</t>
        </is>
      </c>
      <c r="C129" s="1" t="inlineStr">
        <is>
          <t>Default Title</t>
        </is>
      </c>
      <c r="D129" s="1" t="inlineStr">
        <is>
          <t>HAIFENG</t>
        </is>
      </c>
      <c r="E129" s="4">
        <f>COUNTIF('DETALLE CRONOLÓGICO'!$A$2:$A$4919,$A129)</f>
        <v/>
      </c>
      <c r="F129" s="4">
        <f>SUMIFS('DETALLE CRONOLÓGICO'!$I$2:$I$4919,'DETALLE CRONOLÓGICO'!$A$2:$A$4919,$A129)</f>
        <v/>
      </c>
      <c r="G129" s="1">
        <f>INDEX('DETALLE CRONOLÓGICO'!$D$2:$D$4919,MATCH($A129,'DETALLE CRONOLÓGICO'!$A$2:$A$4919,0))</f>
        <v/>
      </c>
      <c r="H129" s="1">
        <f>INDEX('DETALLE CRONOLÓGICO'!$D$2:$D$4919,MATCH($A129,'DETALLE CRONOLÓGICO'!$A$2:$A$4919,0)+$E129-1)</f>
        <v/>
      </c>
      <c r="I129" s="5">
        <f>IFERROR(SUMIFS('DETALLE CRONOLÓGICO'!$L$2:$L$4919,'DETALLE CRONOLÓGICO'!$A$2:$A$4919,$A129)/$F129,"")</f>
        <v/>
      </c>
      <c r="J129" s="6">
        <f>IFERROR(SUMIFS('DETALLE CRONOLÓGICO'!$K$2:$K$4919,'DETALLE CRONOLÓGICO'!$A$2:$A$4919,$A129)/$E129,"")</f>
        <v/>
      </c>
      <c r="K129" s="6">
        <f>_xlfn.MINIFS('DETALLE CRONOLÓGICO'!$K$2:$K$4919,'DETALLE CRONOLÓGICO'!$A$2:$A$4919,$A129)</f>
        <v/>
      </c>
      <c r="L129" s="6">
        <f>_xlfn.MAXIFS('DETALLE CRONOLÓGICO'!$K$2:$K$4919,'DETALLE CRONOLÓGICO'!$A$2:$A$4919,$A129)</f>
        <v/>
      </c>
      <c r="M129" s="6">
        <f>INDEX('DETALLE CRONOLÓGICO'!$K$2:$K$4919,MATCH($A129,'DETALLE CRONOLÓGICO'!$A$2:$A$4919,0)+$E129-1)</f>
        <v/>
      </c>
      <c r="N129" s="7">
        <f>IFERROR($M129/INDEX('DETALLE CRONOLÓGICO'!$K$2:$K$4919,MATCH($A129,'DETALLE CRONOLÓGICO'!$A$2:$A$4919,0))-1,"")</f>
        <v/>
      </c>
      <c r="O129" s="6">
        <f>IFERROR($I129*3,"")</f>
        <v/>
      </c>
      <c r="P129" s="6">
        <f>IFERROR($I129*3.5,"")</f>
        <v/>
      </c>
      <c r="Q129" s="6">
        <f>IFERROR($I129*4,"")</f>
        <v/>
      </c>
      <c r="R129" s="6" t="n">
        <v>699</v>
      </c>
      <c r="S129" s="4" t="n">
        <v>2</v>
      </c>
      <c r="T129" s="1" t="inlineStr">
        <is>
          <t>draft</t>
        </is>
      </c>
      <c r="U129" s="8" t="n"/>
      <c r="V129" s="1" t="inlineStr">
        <is>
          <t>SIN PRECIO</t>
        </is>
      </c>
    </row>
    <row r="130">
      <c r="A130" s="1" t="inlineStr">
        <is>
          <t>15554121831117</t>
        </is>
      </c>
      <c r="B130" s="1" t="inlineStr">
        <is>
          <t>COLLAR MSS SILVER CON ZIRCONIA</t>
        </is>
      </c>
      <c r="C130" s="1" t="inlineStr">
        <is>
          <t>Default Title</t>
        </is>
      </c>
      <c r="D130" s="1" t="inlineStr">
        <is>
          <t>HAIFENG</t>
        </is>
      </c>
      <c r="E130" s="4">
        <f>COUNTIF('DETALLE CRONOLÓGICO'!$A$2:$A$4919,$A130)</f>
        <v/>
      </c>
      <c r="F130" s="4">
        <f>SUMIFS('DETALLE CRONOLÓGICO'!$I$2:$I$4919,'DETALLE CRONOLÓGICO'!$A$2:$A$4919,$A130)</f>
        <v/>
      </c>
      <c r="G130" s="1">
        <f>INDEX('DETALLE CRONOLÓGICO'!$D$2:$D$4919,MATCH($A130,'DETALLE CRONOLÓGICO'!$A$2:$A$4919,0))</f>
        <v/>
      </c>
      <c r="H130" s="1">
        <f>INDEX('DETALLE CRONOLÓGICO'!$D$2:$D$4919,MATCH($A130,'DETALLE CRONOLÓGICO'!$A$2:$A$4919,0)+$E130-1)</f>
        <v/>
      </c>
      <c r="I130" s="5">
        <f>IFERROR(SUMIFS('DETALLE CRONOLÓGICO'!$L$2:$L$4919,'DETALLE CRONOLÓGICO'!$A$2:$A$4919,$A130)/$F130,"")</f>
        <v/>
      </c>
      <c r="J130" s="6">
        <f>IFERROR(SUMIFS('DETALLE CRONOLÓGICO'!$K$2:$K$4919,'DETALLE CRONOLÓGICO'!$A$2:$A$4919,$A130)/$E130,"")</f>
        <v/>
      </c>
      <c r="K130" s="6">
        <f>_xlfn.MINIFS('DETALLE CRONOLÓGICO'!$K$2:$K$4919,'DETALLE CRONOLÓGICO'!$A$2:$A$4919,$A130)</f>
        <v/>
      </c>
      <c r="L130" s="6">
        <f>_xlfn.MAXIFS('DETALLE CRONOLÓGICO'!$K$2:$K$4919,'DETALLE CRONOLÓGICO'!$A$2:$A$4919,$A130)</f>
        <v/>
      </c>
      <c r="M130" s="6">
        <f>INDEX('DETALLE CRONOLÓGICO'!$K$2:$K$4919,MATCH($A130,'DETALLE CRONOLÓGICO'!$A$2:$A$4919,0)+$E130-1)</f>
        <v/>
      </c>
      <c r="N130" s="7">
        <f>IFERROR($M130/INDEX('DETALLE CRONOLÓGICO'!$K$2:$K$4919,MATCH($A130,'DETALLE CRONOLÓGICO'!$A$2:$A$4919,0))-1,"")</f>
        <v/>
      </c>
      <c r="O130" s="6">
        <f>IFERROR($I130*3,"")</f>
        <v/>
      </c>
      <c r="P130" s="6">
        <f>IFERROR($I130*3.5,"")</f>
        <v/>
      </c>
      <c r="Q130" s="6">
        <f>IFERROR($I130*4,"")</f>
        <v/>
      </c>
      <c r="R130" s="6" t="n">
        <v>699</v>
      </c>
      <c r="S130" s="4" t="n">
        <v>0</v>
      </c>
      <c r="T130" s="1" t="inlineStr">
        <is>
          <t>draft</t>
        </is>
      </c>
      <c r="U130" s="8" t="n"/>
      <c r="V130" s="1" t="inlineStr">
        <is>
          <t>SIN PRECIO</t>
        </is>
      </c>
    </row>
    <row r="131">
      <c r="A131" s="1" t="inlineStr">
        <is>
          <t>15554122051469</t>
        </is>
      </c>
      <c r="B131" s="1" t="inlineStr">
        <is>
          <t>BRAZALETE MOVE NOA GOLD</t>
        </is>
      </c>
      <c r="C131" s="1" t="inlineStr">
        <is>
          <t>Default Title</t>
        </is>
      </c>
      <c r="D131" s="1" t="inlineStr">
        <is>
          <t>HAIFENG</t>
        </is>
      </c>
      <c r="E131" s="4">
        <f>COUNTIF('DETALLE CRONOLÓGICO'!$A$2:$A$4919,$A131)</f>
        <v/>
      </c>
      <c r="F131" s="4">
        <f>SUMIFS('DETALLE CRONOLÓGICO'!$I$2:$I$4919,'DETALLE CRONOLÓGICO'!$A$2:$A$4919,$A131)</f>
        <v/>
      </c>
      <c r="G131" s="1">
        <f>INDEX('DETALLE CRONOLÓGICO'!$D$2:$D$4919,MATCH($A131,'DETALLE CRONOLÓGICO'!$A$2:$A$4919,0))</f>
        <v/>
      </c>
      <c r="H131" s="1">
        <f>INDEX('DETALLE CRONOLÓGICO'!$D$2:$D$4919,MATCH($A131,'DETALLE CRONOLÓGICO'!$A$2:$A$4919,0)+$E131-1)</f>
        <v/>
      </c>
      <c r="I131" s="5">
        <f>IFERROR(SUMIFS('DETALLE CRONOLÓGICO'!$L$2:$L$4919,'DETALLE CRONOLÓGICO'!$A$2:$A$4919,$A131)/$F131,"")</f>
        <v/>
      </c>
      <c r="J131" s="6">
        <f>IFERROR(SUMIFS('DETALLE CRONOLÓGICO'!$K$2:$K$4919,'DETALLE CRONOLÓGICO'!$A$2:$A$4919,$A131)/$E131,"")</f>
        <v/>
      </c>
      <c r="K131" s="6">
        <f>_xlfn.MINIFS('DETALLE CRONOLÓGICO'!$K$2:$K$4919,'DETALLE CRONOLÓGICO'!$A$2:$A$4919,$A131)</f>
        <v/>
      </c>
      <c r="L131" s="6">
        <f>_xlfn.MAXIFS('DETALLE CRONOLÓGICO'!$K$2:$K$4919,'DETALLE CRONOLÓGICO'!$A$2:$A$4919,$A131)</f>
        <v/>
      </c>
      <c r="M131" s="6">
        <f>INDEX('DETALLE CRONOLÓGICO'!$K$2:$K$4919,MATCH($A131,'DETALLE CRONOLÓGICO'!$A$2:$A$4919,0)+$E131-1)</f>
        <v/>
      </c>
      <c r="N131" s="7">
        <f>IFERROR($M131/INDEX('DETALLE CRONOLÓGICO'!$K$2:$K$4919,MATCH($A131,'DETALLE CRONOLÓGICO'!$A$2:$A$4919,0))-1,"")</f>
        <v/>
      </c>
      <c r="O131" s="6">
        <f>IFERROR($I131*3,"")</f>
        <v/>
      </c>
      <c r="P131" s="6">
        <f>IFERROR($I131*3.5,"")</f>
        <v/>
      </c>
      <c r="Q131" s="6">
        <f>IFERROR($I131*4,"")</f>
        <v/>
      </c>
      <c r="R131" s="6" t="n">
        <v>850</v>
      </c>
      <c r="S131" s="4" t="n">
        <v>2</v>
      </c>
      <c r="T131" s="1" t="inlineStr">
        <is>
          <t>active</t>
        </is>
      </c>
      <c r="U131" s="8" t="n"/>
      <c r="V131" s="1" t="inlineStr">
        <is>
          <t>SIN PRECIO</t>
        </is>
      </c>
    </row>
    <row r="132">
      <c r="A132" s="1" t="inlineStr">
        <is>
          <t>15554122120397</t>
        </is>
      </c>
      <c r="B132" s="1" t="inlineStr">
        <is>
          <t>COLLAR MOVE UNO DOBLE ZIRCONIAS ROSE GOLD</t>
        </is>
      </c>
      <c r="C132" s="1" t="inlineStr">
        <is>
          <t>Default Title</t>
        </is>
      </c>
      <c r="D132" s="1" t="inlineStr">
        <is>
          <t>HAIFENG</t>
        </is>
      </c>
      <c r="E132" s="4">
        <f>COUNTIF('DETALLE CRONOLÓGICO'!$A$2:$A$4919,$A132)</f>
        <v/>
      </c>
      <c r="F132" s="4">
        <f>SUMIFS('DETALLE CRONOLÓGICO'!$I$2:$I$4919,'DETALLE CRONOLÓGICO'!$A$2:$A$4919,$A132)</f>
        <v/>
      </c>
      <c r="G132" s="1">
        <f>INDEX('DETALLE CRONOLÓGICO'!$D$2:$D$4919,MATCH($A132,'DETALLE CRONOLÓGICO'!$A$2:$A$4919,0))</f>
        <v/>
      </c>
      <c r="H132" s="1">
        <f>INDEX('DETALLE CRONOLÓGICO'!$D$2:$D$4919,MATCH($A132,'DETALLE CRONOLÓGICO'!$A$2:$A$4919,0)+$E132-1)</f>
        <v/>
      </c>
      <c r="I132" s="5">
        <f>IFERROR(SUMIFS('DETALLE CRONOLÓGICO'!$L$2:$L$4919,'DETALLE CRONOLÓGICO'!$A$2:$A$4919,$A132)/$F132,"")</f>
        <v/>
      </c>
      <c r="J132" s="6">
        <f>IFERROR(SUMIFS('DETALLE CRONOLÓGICO'!$K$2:$K$4919,'DETALLE CRONOLÓGICO'!$A$2:$A$4919,$A132)/$E132,"")</f>
        <v/>
      </c>
      <c r="K132" s="6">
        <f>_xlfn.MINIFS('DETALLE CRONOLÓGICO'!$K$2:$K$4919,'DETALLE CRONOLÓGICO'!$A$2:$A$4919,$A132)</f>
        <v/>
      </c>
      <c r="L132" s="6">
        <f>_xlfn.MAXIFS('DETALLE CRONOLÓGICO'!$K$2:$K$4919,'DETALLE CRONOLÓGICO'!$A$2:$A$4919,$A132)</f>
        <v/>
      </c>
      <c r="M132" s="6">
        <f>INDEX('DETALLE CRONOLÓGICO'!$K$2:$K$4919,MATCH($A132,'DETALLE CRONOLÓGICO'!$A$2:$A$4919,0)+$E132-1)</f>
        <v/>
      </c>
      <c r="N132" s="7">
        <f>IFERROR($M132/INDEX('DETALLE CRONOLÓGICO'!$K$2:$K$4919,MATCH($A132,'DETALLE CRONOLÓGICO'!$A$2:$A$4919,0))-1,"")</f>
        <v/>
      </c>
      <c r="O132" s="6">
        <f>IFERROR($I132*3,"")</f>
        <v/>
      </c>
      <c r="P132" s="6">
        <f>IFERROR($I132*3.5,"")</f>
        <v/>
      </c>
      <c r="Q132" s="6">
        <f>IFERROR($I132*4,"")</f>
        <v/>
      </c>
      <c r="R132" s="6" t="n">
        <v>950</v>
      </c>
      <c r="S132" s="4" t="n">
        <v>2</v>
      </c>
      <c r="T132" s="1" t="inlineStr">
        <is>
          <t>draft</t>
        </is>
      </c>
      <c r="U132" s="8" t="n"/>
      <c r="V132" s="1" t="inlineStr">
        <is>
          <t>SIN PRECIO</t>
        </is>
      </c>
    </row>
    <row r="133">
      <c r="A133" s="1" t="inlineStr">
        <is>
          <t>15554122254861</t>
        </is>
      </c>
      <c r="B133" s="1" t="inlineStr">
        <is>
          <t>COLLAR MOVE UNO SILVER</t>
        </is>
      </c>
      <c r="C133" s="1" t="inlineStr">
        <is>
          <t>Default Title</t>
        </is>
      </c>
      <c r="D133" s="1" t="inlineStr">
        <is>
          <t>HAIFENG</t>
        </is>
      </c>
      <c r="E133" s="4">
        <f>COUNTIF('DETALLE CRONOLÓGICO'!$A$2:$A$4919,$A133)</f>
        <v/>
      </c>
      <c r="F133" s="4">
        <f>SUMIFS('DETALLE CRONOLÓGICO'!$I$2:$I$4919,'DETALLE CRONOLÓGICO'!$A$2:$A$4919,$A133)</f>
        <v/>
      </c>
      <c r="G133" s="1">
        <f>INDEX('DETALLE CRONOLÓGICO'!$D$2:$D$4919,MATCH($A133,'DETALLE CRONOLÓGICO'!$A$2:$A$4919,0))</f>
        <v/>
      </c>
      <c r="H133" s="1">
        <f>INDEX('DETALLE CRONOLÓGICO'!$D$2:$D$4919,MATCH($A133,'DETALLE CRONOLÓGICO'!$A$2:$A$4919,0)+$E133-1)</f>
        <v/>
      </c>
      <c r="I133" s="5">
        <f>IFERROR(SUMIFS('DETALLE CRONOLÓGICO'!$L$2:$L$4919,'DETALLE CRONOLÓGICO'!$A$2:$A$4919,$A133)/$F133,"")</f>
        <v/>
      </c>
      <c r="J133" s="6">
        <f>IFERROR(SUMIFS('DETALLE CRONOLÓGICO'!$K$2:$K$4919,'DETALLE CRONOLÓGICO'!$A$2:$A$4919,$A133)/$E133,"")</f>
        <v/>
      </c>
      <c r="K133" s="6">
        <f>_xlfn.MINIFS('DETALLE CRONOLÓGICO'!$K$2:$K$4919,'DETALLE CRONOLÓGICO'!$A$2:$A$4919,$A133)</f>
        <v/>
      </c>
      <c r="L133" s="6">
        <f>_xlfn.MAXIFS('DETALLE CRONOLÓGICO'!$K$2:$K$4919,'DETALLE CRONOLÓGICO'!$A$2:$A$4919,$A133)</f>
        <v/>
      </c>
      <c r="M133" s="6">
        <f>INDEX('DETALLE CRONOLÓGICO'!$K$2:$K$4919,MATCH($A133,'DETALLE CRONOLÓGICO'!$A$2:$A$4919,0)+$E133-1)</f>
        <v/>
      </c>
      <c r="N133" s="7">
        <f>IFERROR($M133/INDEX('DETALLE CRONOLÓGICO'!$K$2:$K$4919,MATCH($A133,'DETALLE CRONOLÓGICO'!$A$2:$A$4919,0))-1,"")</f>
        <v/>
      </c>
      <c r="O133" s="6">
        <f>IFERROR($I133*3,"")</f>
        <v/>
      </c>
      <c r="P133" s="6">
        <f>IFERROR($I133*3.5,"")</f>
        <v/>
      </c>
      <c r="Q133" s="6">
        <f>IFERROR($I133*4,"")</f>
        <v/>
      </c>
      <c r="R133" s="6" t="n">
        <v>599</v>
      </c>
      <c r="S133" s="4" t="n">
        <v>2</v>
      </c>
      <c r="T133" s="1" t="inlineStr">
        <is>
          <t>draft</t>
        </is>
      </c>
      <c r="U133" s="8" t="n"/>
      <c r="V133" s="1" t="inlineStr">
        <is>
          <t>SIN PRECIO</t>
        </is>
      </c>
    </row>
    <row r="134">
      <c r="A134" s="1" t="inlineStr">
        <is>
          <t>15554122489325</t>
        </is>
      </c>
      <c r="B134" s="1" t="inlineStr">
        <is>
          <t>COLLAR MOVE UNO GOLD</t>
        </is>
      </c>
      <c r="C134" s="1" t="inlineStr">
        <is>
          <t>Default Title</t>
        </is>
      </c>
      <c r="D134" s="1" t="inlineStr">
        <is>
          <t>HAIFENG</t>
        </is>
      </c>
      <c r="E134" s="4">
        <f>COUNTIF('DETALLE CRONOLÓGICO'!$A$2:$A$4919,$A134)</f>
        <v/>
      </c>
      <c r="F134" s="4">
        <f>SUMIFS('DETALLE CRONOLÓGICO'!$I$2:$I$4919,'DETALLE CRONOLÓGICO'!$A$2:$A$4919,$A134)</f>
        <v/>
      </c>
      <c r="G134" s="1">
        <f>INDEX('DETALLE CRONOLÓGICO'!$D$2:$D$4919,MATCH($A134,'DETALLE CRONOLÓGICO'!$A$2:$A$4919,0))</f>
        <v/>
      </c>
      <c r="H134" s="1">
        <f>INDEX('DETALLE CRONOLÓGICO'!$D$2:$D$4919,MATCH($A134,'DETALLE CRONOLÓGICO'!$A$2:$A$4919,0)+$E134-1)</f>
        <v/>
      </c>
      <c r="I134" s="5">
        <f>IFERROR(SUMIFS('DETALLE CRONOLÓGICO'!$L$2:$L$4919,'DETALLE CRONOLÓGICO'!$A$2:$A$4919,$A134)/$F134,"")</f>
        <v/>
      </c>
      <c r="J134" s="6">
        <f>IFERROR(SUMIFS('DETALLE CRONOLÓGICO'!$K$2:$K$4919,'DETALLE CRONOLÓGICO'!$A$2:$A$4919,$A134)/$E134,"")</f>
        <v/>
      </c>
      <c r="K134" s="6">
        <f>_xlfn.MINIFS('DETALLE CRONOLÓGICO'!$K$2:$K$4919,'DETALLE CRONOLÓGICO'!$A$2:$A$4919,$A134)</f>
        <v/>
      </c>
      <c r="L134" s="6">
        <f>_xlfn.MAXIFS('DETALLE CRONOLÓGICO'!$K$2:$K$4919,'DETALLE CRONOLÓGICO'!$A$2:$A$4919,$A134)</f>
        <v/>
      </c>
      <c r="M134" s="6">
        <f>INDEX('DETALLE CRONOLÓGICO'!$K$2:$K$4919,MATCH($A134,'DETALLE CRONOLÓGICO'!$A$2:$A$4919,0)+$E134-1)</f>
        <v/>
      </c>
      <c r="N134" s="7">
        <f>IFERROR($M134/INDEX('DETALLE CRONOLÓGICO'!$K$2:$K$4919,MATCH($A134,'DETALLE CRONOLÓGICO'!$A$2:$A$4919,0))-1,"")</f>
        <v/>
      </c>
      <c r="O134" s="6">
        <f>IFERROR($I134*3,"")</f>
        <v/>
      </c>
      <c r="P134" s="6">
        <f>IFERROR($I134*3.5,"")</f>
        <v/>
      </c>
      <c r="Q134" s="6">
        <f>IFERROR($I134*4,"")</f>
        <v/>
      </c>
      <c r="R134" s="6" t="n">
        <v>599</v>
      </c>
      <c r="S134" s="4" t="n">
        <v>2</v>
      </c>
      <c r="T134" s="1" t="inlineStr">
        <is>
          <t>draft</t>
        </is>
      </c>
      <c r="U134" s="8" t="n"/>
      <c r="V134" s="1" t="inlineStr">
        <is>
          <t>SIN PRECIO</t>
        </is>
      </c>
    </row>
    <row r="135">
      <c r="A135" s="1" t="inlineStr">
        <is>
          <t>15554122553165</t>
        </is>
      </c>
      <c r="B135" s="1" t="inlineStr">
        <is>
          <t>COLLAR MOVE UNO GOLD ZIRCONIAS</t>
        </is>
      </c>
      <c r="C135" s="1" t="inlineStr">
        <is>
          <t>Default Title</t>
        </is>
      </c>
      <c r="D135" s="1" t="inlineStr">
        <is>
          <t>HAIFENG</t>
        </is>
      </c>
      <c r="E135" s="4">
        <f>COUNTIF('DETALLE CRONOLÓGICO'!$A$2:$A$4919,$A135)</f>
        <v/>
      </c>
      <c r="F135" s="4">
        <f>SUMIFS('DETALLE CRONOLÓGICO'!$I$2:$I$4919,'DETALLE CRONOLÓGICO'!$A$2:$A$4919,$A135)</f>
        <v/>
      </c>
      <c r="G135" s="1">
        <f>INDEX('DETALLE CRONOLÓGICO'!$D$2:$D$4919,MATCH($A135,'DETALLE CRONOLÓGICO'!$A$2:$A$4919,0))</f>
        <v/>
      </c>
      <c r="H135" s="1">
        <f>INDEX('DETALLE CRONOLÓGICO'!$D$2:$D$4919,MATCH($A135,'DETALLE CRONOLÓGICO'!$A$2:$A$4919,0)+$E135-1)</f>
        <v/>
      </c>
      <c r="I135" s="5">
        <f>IFERROR(SUMIFS('DETALLE CRONOLÓGICO'!$L$2:$L$4919,'DETALLE CRONOLÓGICO'!$A$2:$A$4919,$A135)/$F135,"")</f>
        <v/>
      </c>
      <c r="J135" s="6">
        <f>IFERROR(SUMIFS('DETALLE CRONOLÓGICO'!$K$2:$K$4919,'DETALLE CRONOLÓGICO'!$A$2:$A$4919,$A135)/$E135,"")</f>
        <v/>
      </c>
      <c r="K135" s="6">
        <f>_xlfn.MINIFS('DETALLE CRONOLÓGICO'!$K$2:$K$4919,'DETALLE CRONOLÓGICO'!$A$2:$A$4919,$A135)</f>
        <v/>
      </c>
      <c r="L135" s="6">
        <f>_xlfn.MAXIFS('DETALLE CRONOLÓGICO'!$K$2:$K$4919,'DETALLE CRONOLÓGICO'!$A$2:$A$4919,$A135)</f>
        <v/>
      </c>
      <c r="M135" s="6">
        <f>INDEX('DETALLE CRONOLÓGICO'!$K$2:$K$4919,MATCH($A135,'DETALLE CRONOLÓGICO'!$A$2:$A$4919,0)+$E135-1)</f>
        <v/>
      </c>
      <c r="N135" s="7">
        <f>IFERROR($M135/INDEX('DETALLE CRONOLÓGICO'!$K$2:$K$4919,MATCH($A135,'DETALLE CRONOLÓGICO'!$A$2:$A$4919,0))-1,"")</f>
        <v/>
      </c>
      <c r="O135" s="6">
        <f>IFERROR($I135*3,"")</f>
        <v/>
      </c>
      <c r="P135" s="6">
        <f>IFERROR($I135*3.5,"")</f>
        <v/>
      </c>
      <c r="Q135" s="6">
        <f>IFERROR($I135*4,"")</f>
        <v/>
      </c>
      <c r="R135" s="6" t="n">
        <v>699</v>
      </c>
      <c r="S135" s="4" t="n">
        <v>2</v>
      </c>
      <c r="T135" s="1" t="inlineStr">
        <is>
          <t>draft</t>
        </is>
      </c>
      <c r="U135" s="8" t="n"/>
      <c r="V135" s="1" t="inlineStr">
        <is>
          <t>SIN PRECIO</t>
        </is>
      </c>
    </row>
    <row r="136">
      <c r="A136" s="1" t="inlineStr">
        <is>
          <t>15554122623789</t>
        </is>
      </c>
      <c r="B136" s="1" t="inlineStr">
        <is>
          <t>COLLAR MOVE CIRCLE SILVER</t>
        </is>
      </c>
      <c r="C136" s="1" t="inlineStr">
        <is>
          <t>Default Title</t>
        </is>
      </c>
      <c r="D136" s="1" t="inlineStr">
        <is>
          <t>HAIFENG</t>
        </is>
      </c>
      <c r="E136" s="4">
        <f>COUNTIF('DETALLE CRONOLÓGICO'!$A$2:$A$4919,$A136)</f>
        <v/>
      </c>
      <c r="F136" s="4">
        <f>SUMIFS('DETALLE CRONOLÓGICO'!$I$2:$I$4919,'DETALLE CRONOLÓGICO'!$A$2:$A$4919,$A136)</f>
        <v/>
      </c>
      <c r="G136" s="1">
        <f>INDEX('DETALLE CRONOLÓGICO'!$D$2:$D$4919,MATCH($A136,'DETALLE CRONOLÓGICO'!$A$2:$A$4919,0))</f>
        <v/>
      </c>
      <c r="H136" s="1">
        <f>INDEX('DETALLE CRONOLÓGICO'!$D$2:$D$4919,MATCH($A136,'DETALLE CRONOLÓGICO'!$A$2:$A$4919,0)+$E136-1)</f>
        <v/>
      </c>
      <c r="I136" s="5">
        <f>IFERROR(SUMIFS('DETALLE CRONOLÓGICO'!$L$2:$L$4919,'DETALLE CRONOLÓGICO'!$A$2:$A$4919,$A136)/$F136,"")</f>
        <v/>
      </c>
      <c r="J136" s="6">
        <f>IFERROR(SUMIFS('DETALLE CRONOLÓGICO'!$K$2:$K$4919,'DETALLE CRONOLÓGICO'!$A$2:$A$4919,$A136)/$E136,"")</f>
        <v/>
      </c>
      <c r="K136" s="6">
        <f>_xlfn.MINIFS('DETALLE CRONOLÓGICO'!$K$2:$K$4919,'DETALLE CRONOLÓGICO'!$A$2:$A$4919,$A136)</f>
        <v/>
      </c>
      <c r="L136" s="6">
        <f>_xlfn.MAXIFS('DETALLE CRONOLÓGICO'!$K$2:$K$4919,'DETALLE CRONOLÓGICO'!$A$2:$A$4919,$A136)</f>
        <v/>
      </c>
      <c r="M136" s="6">
        <f>INDEX('DETALLE CRONOLÓGICO'!$K$2:$K$4919,MATCH($A136,'DETALLE CRONOLÓGICO'!$A$2:$A$4919,0)+$E136-1)</f>
        <v/>
      </c>
      <c r="N136" s="7">
        <f>IFERROR($M136/INDEX('DETALLE CRONOLÓGICO'!$K$2:$K$4919,MATCH($A136,'DETALLE CRONOLÓGICO'!$A$2:$A$4919,0))-1,"")</f>
        <v/>
      </c>
      <c r="O136" s="6">
        <f>IFERROR($I136*3,"")</f>
        <v/>
      </c>
      <c r="P136" s="6">
        <f>IFERROR($I136*3.5,"")</f>
        <v/>
      </c>
      <c r="Q136" s="6">
        <f>IFERROR($I136*4,"")</f>
        <v/>
      </c>
      <c r="R136" s="6" t="n">
        <v>599</v>
      </c>
      <c r="S136" s="4" t="n">
        <v>2</v>
      </c>
      <c r="T136" s="1" t="inlineStr">
        <is>
          <t>draft</t>
        </is>
      </c>
      <c r="U136" s="8" t="n"/>
      <c r="V136" s="1" t="inlineStr">
        <is>
          <t>SIN PRECIO</t>
        </is>
      </c>
    </row>
    <row r="137">
      <c r="A137" s="1" t="inlineStr">
        <is>
          <t>15554122759949</t>
        </is>
      </c>
      <c r="B137" s="1" t="inlineStr">
        <is>
          <t>ARETES MOVE UNO STUD SILVER</t>
        </is>
      </c>
      <c r="C137" s="1" t="inlineStr">
        <is>
          <t>Default Title</t>
        </is>
      </c>
      <c r="D137" s="1" t="inlineStr">
        <is>
          <t>HAIFENG</t>
        </is>
      </c>
      <c r="E137" s="4">
        <f>COUNTIF('DETALLE CRONOLÓGICO'!$A$2:$A$4919,$A137)</f>
        <v/>
      </c>
      <c r="F137" s="4">
        <f>SUMIFS('DETALLE CRONOLÓGICO'!$I$2:$I$4919,'DETALLE CRONOLÓGICO'!$A$2:$A$4919,$A137)</f>
        <v/>
      </c>
      <c r="G137" s="1">
        <f>INDEX('DETALLE CRONOLÓGICO'!$D$2:$D$4919,MATCH($A137,'DETALLE CRONOLÓGICO'!$A$2:$A$4919,0))</f>
        <v/>
      </c>
      <c r="H137" s="1">
        <f>INDEX('DETALLE CRONOLÓGICO'!$D$2:$D$4919,MATCH($A137,'DETALLE CRONOLÓGICO'!$A$2:$A$4919,0)+$E137-1)</f>
        <v/>
      </c>
      <c r="I137" s="5">
        <f>IFERROR(SUMIFS('DETALLE CRONOLÓGICO'!$L$2:$L$4919,'DETALLE CRONOLÓGICO'!$A$2:$A$4919,$A137)/$F137,"")</f>
        <v/>
      </c>
      <c r="J137" s="6">
        <f>IFERROR(SUMIFS('DETALLE CRONOLÓGICO'!$K$2:$K$4919,'DETALLE CRONOLÓGICO'!$A$2:$A$4919,$A137)/$E137,"")</f>
        <v/>
      </c>
      <c r="K137" s="6">
        <f>_xlfn.MINIFS('DETALLE CRONOLÓGICO'!$K$2:$K$4919,'DETALLE CRONOLÓGICO'!$A$2:$A$4919,$A137)</f>
        <v/>
      </c>
      <c r="L137" s="6">
        <f>_xlfn.MAXIFS('DETALLE CRONOLÓGICO'!$K$2:$K$4919,'DETALLE CRONOLÓGICO'!$A$2:$A$4919,$A137)</f>
        <v/>
      </c>
      <c r="M137" s="6">
        <f>INDEX('DETALLE CRONOLÓGICO'!$K$2:$K$4919,MATCH($A137,'DETALLE CRONOLÓGICO'!$A$2:$A$4919,0)+$E137-1)</f>
        <v/>
      </c>
      <c r="N137" s="7">
        <f>IFERROR($M137/INDEX('DETALLE CRONOLÓGICO'!$K$2:$K$4919,MATCH($A137,'DETALLE CRONOLÓGICO'!$A$2:$A$4919,0))-1,"")</f>
        <v/>
      </c>
      <c r="O137" s="6">
        <f>IFERROR($I137*3,"")</f>
        <v/>
      </c>
      <c r="P137" s="6">
        <f>IFERROR($I137*3.5,"")</f>
        <v/>
      </c>
      <c r="Q137" s="6">
        <f>IFERROR($I137*4,"")</f>
        <v/>
      </c>
      <c r="R137" s="6" t="n">
        <v>799</v>
      </c>
      <c r="S137" s="4" t="n">
        <v>2</v>
      </c>
      <c r="T137" s="1" t="inlineStr">
        <is>
          <t>draft</t>
        </is>
      </c>
      <c r="U137" s="8" t="n"/>
      <c r="V137" s="1" t="inlineStr">
        <is>
          <t>SIN PRECIO</t>
        </is>
      </c>
    </row>
    <row r="138">
      <c r="A138" s="1" t="inlineStr">
        <is>
          <t>15554122891021</t>
        </is>
      </c>
      <c r="B138" s="1" t="inlineStr">
        <is>
          <t>COLLAR MOVE 10TH SILVER</t>
        </is>
      </c>
      <c r="C138" s="1" t="inlineStr">
        <is>
          <t>Default Title</t>
        </is>
      </c>
      <c r="D138" s="1" t="inlineStr">
        <is>
          <t>HAIFENG</t>
        </is>
      </c>
      <c r="E138" s="4">
        <f>COUNTIF('DETALLE CRONOLÓGICO'!$A$2:$A$4919,$A138)</f>
        <v/>
      </c>
      <c r="F138" s="4">
        <f>SUMIFS('DETALLE CRONOLÓGICO'!$I$2:$I$4919,'DETALLE CRONOLÓGICO'!$A$2:$A$4919,$A138)</f>
        <v/>
      </c>
      <c r="G138" s="1">
        <f>INDEX('DETALLE CRONOLÓGICO'!$D$2:$D$4919,MATCH($A138,'DETALLE CRONOLÓGICO'!$A$2:$A$4919,0))</f>
        <v/>
      </c>
      <c r="H138" s="1">
        <f>INDEX('DETALLE CRONOLÓGICO'!$D$2:$D$4919,MATCH($A138,'DETALLE CRONOLÓGICO'!$A$2:$A$4919,0)+$E138-1)</f>
        <v/>
      </c>
      <c r="I138" s="5">
        <f>IFERROR(SUMIFS('DETALLE CRONOLÓGICO'!$L$2:$L$4919,'DETALLE CRONOLÓGICO'!$A$2:$A$4919,$A138)/$F138,"")</f>
        <v/>
      </c>
      <c r="J138" s="6">
        <f>IFERROR(SUMIFS('DETALLE CRONOLÓGICO'!$K$2:$K$4919,'DETALLE CRONOLÓGICO'!$A$2:$A$4919,$A138)/$E138,"")</f>
        <v/>
      </c>
      <c r="K138" s="6">
        <f>_xlfn.MINIFS('DETALLE CRONOLÓGICO'!$K$2:$K$4919,'DETALLE CRONOLÓGICO'!$A$2:$A$4919,$A138)</f>
        <v/>
      </c>
      <c r="L138" s="6">
        <f>_xlfn.MAXIFS('DETALLE CRONOLÓGICO'!$K$2:$K$4919,'DETALLE CRONOLÓGICO'!$A$2:$A$4919,$A138)</f>
        <v/>
      </c>
      <c r="M138" s="6">
        <f>INDEX('DETALLE CRONOLÓGICO'!$K$2:$K$4919,MATCH($A138,'DETALLE CRONOLÓGICO'!$A$2:$A$4919,0)+$E138-1)</f>
        <v/>
      </c>
      <c r="N138" s="7">
        <f>IFERROR($M138/INDEX('DETALLE CRONOLÓGICO'!$K$2:$K$4919,MATCH($A138,'DETALLE CRONOLÓGICO'!$A$2:$A$4919,0))-1,"")</f>
        <v/>
      </c>
      <c r="O138" s="6">
        <f>IFERROR($I138*3,"")</f>
        <v/>
      </c>
      <c r="P138" s="6">
        <f>IFERROR($I138*3.5,"")</f>
        <v/>
      </c>
      <c r="Q138" s="6">
        <f>IFERROR($I138*4,"")</f>
        <v/>
      </c>
      <c r="R138" s="6" t="n">
        <v>699</v>
      </c>
      <c r="S138" s="4" t="n">
        <v>2</v>
      </c>
      <c r="T138" s="1" t="inlineStr">
        <is>
          <t>draft</t>
        </is>
      </c>
      <c r="U138" s="8" t="n"/>
      <c r="V138" s="1" t="inlineStr">
        <is>
          <t>SIN PRECIO</t>
        </is>
      </c>
    </row>
    <row r="139">
      <c r="A139" s="1" t="inlineStr">
        <is>
          <t>15554122997805</t>
        </is>
      </c>
      <c r="B139" s="1" t="inlineStr">
        <is>
          <t>ARETES MOVE UNO LISO GOLD</t>
        </is>
      </c>
      <c r="C139" s="1" t="inlineStr">
        <is>
          <t>Default Title</t>
        </is>
      </c>
      <c r="D139" s="1" t="inlineStr">
        <is>
          <t>HAIFENG</t>
        </is>
      </c>
      <c r="E139" s="4">
        <f>COUNTIF('DETALLE CRONOLÓGICO'!$A$2:$A$4919,$A139)</f>
        <v/>
      </c>
      <c r="F139" s="4">
        <f>SUMIFS('DETALLE CRONOLÓGICO'!$I$2:$I$4919,'DETALLE CRONOLÓGICO'!$A$2:$A$4919,$A139)</f>
        <v/>
      </c>
      <c r="G139" s="1">
        <f>INDEX('DETALLE CRONOLÓGICO'!$D$2:$D$4919,MATCH($A139,'DETALLE CRONOLÓGICO'!$A$2:$A$4919,0))</f>
        <v/>
      </c>
      <c r="H139" s="1">
        <f>INDEX('DETALLE CRONOLÓGICO'!$D$2:$D$4919,MATCH($A139,'DETALLE CRONOLÓGICO'!$A$2:$A$4919,0)+$E139-1)</f>
        <v/>
      </c>
      <c r="I139" s="5">
        <f>IFERROR(SUMIFS('DETALLE CRONOLÓGICO'!$L$2:$L$4919,'DETALLE CRONOLÓGICO'!$A$2:$A$4919,$A139)/$F139,"")</f>
        <v/>
      </c>
      <c r="J139" s="6">
        <f>IFERROR(SUMIFS('DETALLE CRONOLÓGICO'!$K$2:$K$4919,'DETALLE CRONOLÓGICO'!$A$2:$A$4919,$A139)/$E139,"")</f>
        <v/>
      </c>
      <c r="K139" s="6">
        <f>_xlfn.MINIFS('DETALLE CRONOLÓGICO'!$K$2:$K$4919,'DETALLE CRONOLÓGICO'!$A$2:$A$4919,$A139)</f>
        <v/>
      </c>
      <c r="L139" s="6">
        <f>_xlfn.MAXIFS('DETALLE CRONOLÓGICO'!$K$2:$K$4919,'DETALLE CRONOLÓGICO'!$A$2:$A$4919,$A139)</f>
        <v/>
      </c>
      <c r="M139" s="6">
        <f>INDEX('DETALLE CRONOLÓGICO'!$K$2:$K$4919,MATCH($A139,'DETALLE CRONOLÓGICO'!$A$2:$A$4919,0)+$E139-1)</f>
        <v/>
      </c>
      <c r="N139" s="7">
        <f>IFERROR($M139/INDEX('DETALLE CRONOLÓGICO'!$K$2:$K$4919,MATCH($A139,'DETALLE CRONOLÓGICO'!$A$2:$A$4919,0))-1,"")</f>
        <v/>
      </c>
      <c r="O139" s="6">
        <f>IFERROR($I139*3,"")</f>
        <v/>
      </c>
      <c r="P139" s="6">
        <f>IFERROR($I139*3.5,"")</f>
        <v/>
      </c>
      <c r="Q139" s="6">
        <f>IFERROR($I139*4,"")</f>
        <v/>
      </c>
      <c r="R139" s="6" t="n">
        <v>499</v>
      </c>
      <c r="S139" s="4" t="n">
        <v>2</v>
      </c>
      <c r="T139" s="1" t="inlineStr">
        <is>
          <t>draft</t>
        </is>
      </c>
      <c r="U139" s="8" t="n"/>
      <c r="V139" s="1" t="inlineStr">
        <is>
          <t>SIN PRECIO</t>
        </is>
      </c>
    </row>
    <row r="140">
      <c r="A140" s="1" t="inlineStr">
        <is>
          <t>15554123061645</t>
        </is>
      </c>
      <c r="B140" s="1" t="inlineStr">
        <is>
          <t>ARETES MOVE UNO LISO ROSE GOLD</t>
        </is>
      </c>
      <c r="C140" s="1" t="inlineStr">
        <is>
          <t>Default Title</t>
        </is>
      </c>
      <c r="D140" s="1" t="inlineStr">
        <is>
          <t>HAIFENG</t>
        </is>
      </c>
      <c r="E140" s="4">
        <f>COUNTIF('DETALLE CRONOLÓGICO'!$A$2:$A$4919,$A140)</f>
        <v/>
      </c>
      <c r="F140" s="4">
        <f>SUMIFS('DETALLE CRONOLÓGICO'!$I$2:$I$4919,'DETALLE CRONOLÓGICO'!$A$2:$A$4919,$A140)</f>
        <v/>
      </c>
      <c r="G140" s="1">
        <f>INDEX('DETALLE CRONOLÓGICO'!$D$2:$D$4919,MATCH($A140,'DETALLE CRONOLÓGICO'!$A$2:$A$4919,0))</f>
        <v/>
      </c>
      <c r="H140" s="1">
        <f>INDEX('DETALLE CRONOLÓGICO'!$D$2:$D$4919,MATCH($A140,'DETALLE CRONOLÓGICO'!$A$2:$A$4919,0)+$E140-1)</f>
        <v/>
      </c>
      <c r="I140" s="5">
        <f>IFERROR(SUMIFS('DETALLE CRONOLÓGICO'!$L$2:$L$4919,'DETALLE CRONOLÓGICO'!$A$2:$A$4919,$A140)/$F140,"")</f>
        <v/>
      </c>
      <c r="J140" s="6">
        <f>IFERROR(SUMIFS('DETALLE CRONOLÓGICO'!$K$2:$K$4919,'DETALLE CRONOLÓGICO'!$A$2:$A$4919,$A140)/$E140,"")</f>
        <v/>
      </c>
      <c r="K140" s="6">
        <f>_xlfn.MINIFS('DETALLE CRONOLÓGICO'!$K$2:$K$4919,'DETALLE CRONOLÓGICO'!$A$2:$A$4919,$A140)</f>
        <v/>
      </c>
      <c r="L140" s="6">
        <f>_xlfn.MAXIFS('DETALLE CRONOLÓGICO'!$K$2:$K$4919,'DETALLE CRONOLÓGICO'!$A$2:$A$4919,$A140)</f>
        <v/>
      </c>
      <c r="M140" s="6">
        <f>INDEX('DETALLE CRONOLÓGICO'!$K$2:$K$4919,MATCH($A140,'DETALLE CRONOLÓGICO'!$A$2:$A$4919,0)+$E140-1)</f>
        <v/>
      </c>
      <c r="N140" s="7">
        <f>IFERROR($M140/INDEX('DETALLE CRONOLÓGICO'!$K$2:$K$4919,MATCH($A140,'DETALLE CRONOLÓGICO'!$A$2:$A$4919,0))-1,"")</f>
        <v/>
      </c>
      <c r="O140" s="6">
        <f>IFERROR($I140*3,"")</f>
        <v/>
      </c>
      <c r="P140" s="6">
        <f>IFERROR($I140*3.5,"")</f>
        <v/>
      </c>
      <c r="Q140" s="6">
        <f>IFERROR($I140*4,"")</f>
        <v/>
      </c>
      <c r="R140" s="6" t="n">
        <v>499</v>
      </c>
      <c r="S140" s="4" t="n">
        <v>2</v>
      </c>
      <c r="T140" s="1" t="inlineStr">
        <is>
          <t>draft</t>
        </is>
      </c>
      <c r="U140" s="8" t="n"/>
      <c r="V140" s="1" t="inlineStr">
        <is>
          <t>SIN PRECIO</t>
        </is>
      </c>
    </row>
    <row r="141">
      <c r="A141" s="1" t="inlineStr">
        <is>
          <t>15554123135661</t>
        </is>
      </c>
      <c r="B141" s="1" t="inlineStr">
        <is>
          <t>ARETES MOVE UNO LISO SILVER</t>
        </is>
      </c>
      <c r="C141" s="1" t="inlineStr">
        <is>
          <t>Default Title</t>
        </is>
      </c>
      <c r="D141" s="1" t="inlineStr">
        <is>
          <t>HAIFENG</t>
        </is>
      </c>
      <c r="E141" s="4">
        <f>COUNTIF('DETALLE CRONOLÓGICO'!$A$2:$A$4919,$A141)</f>
        <v/>
      </c>
      <c r="F141" s="4">
        <f>SUMIFS('DETALLE CRONOLÓGICO'!$I$2:$I$4919,'DETALLE CRONOLÓGICO'!$A$2:$A$4919,$A141)</f>
        <v/>
      </c>
      <c r="G141" s="1">
        <f>INDEX('DETALLE CRONOLÓGICO'!$D$2:$D$4919,MATCH($A141,'DETALLE CRONOLÓGICO'!$A$2:$A$4919,0))</f>
        <v/>
      </c>
      <c r="H141" s="1">
        <f>INDEX('DETALLE CRONOLÓGICO'!$D$2:$D$4919,MATCH($A141,'DETALLE CRONOLÓGICO'!$A$2:$A$4919,0)+$E141-1)</f>
        <v/>
      </c>
      <c r="I141" s="5">
        <f>IFERROR(SUMIFS('DETALLE CRONOLÓGICO'!$L$2:$L$4919,'DETALLE CRONOLÓGICO'!$A$2:$A$4919,$A141)/$F141,"")</f>
        <v/>
      </c>
      <c r="J141" s="6">
        <f>IFERROR(SUMIFS('DETALLE CRONOLÓGICO'!$K$2:$K$4919,'DETALLE CRONOLÓGICO'!$A$2:$A$4919,$A141)/$E141,"")</f>
        <v/>
      </c>
      <c r="K141" s="6">
        <f>_xlfn.MINIFS('DETALLE CRONOLÓGICO'!$K$2:$K$4919,'DETALLE CRONOLÓGICO'!$A$2:$A$4919,$A141)</f>
        <v/>
      </c>
      <c r="L141" s="6">
        <f>_xlfn.MAXIFS('DETALLE CRONOLÓGICO'!$K$2:$K$4919,'DETALLE CRONOLÓGICO'!$A$2:$A$4919,$A141)</f>
        <v/>
      </c>
      <c r="M141" s="6">
        <f>INDEX('DETALLE CRONOLÓGICO'!$K$2:$K$4919,MATCH($A141,'DETALLE CRONOLÓGICO'!$A$2:$A$4919,0)+$E141-1)</f>
        <v/>
      </c>
      <c r="N141" s="7">
        <f>IFERROR($M141/INDEX('DETALLE CRONOLÓGICO'!$K$2:$K$4919,MATCH($A141,'DETALLE CRONOLÓGICO'!$A$2:$A$4919,0))-1,"")</f>
        <v/>
      </c>
      <c r="O141" s="6">
        <f>IFERROR($I141*3,"")</f>
        <v/>
      </c>
      <c r="P141" s="6">
        <f>IFERROR($I141*3.5,"")</f>
        <v/>
      </c>
      <c r="Q141" s="6">
        <f>IFERROR($I141*4,"")</f>
        <v/>
      </c>
      <c r="R141" s="6" t="n">
        <v>499</v>
      </c>
      <c r="S141" s="4" t="n">
        <v>3</v>
      </c>
      <c r="T141" s="1" t="inlineStr">
        <is>
          <t>active</t>
        </is>
      </c>
      <c r="U141" s="8" t="n"/>
      <c r="V141" s="1" t="inlineStr">
        <is>
          <t>SIN PRECIO</t>
        </is>
      </c>
    </row>
    <row r="142">
      <c r="A142" s="1" t="inlineStr">
        <is>
          <t>15554123204589</t>
        </is>
      </c>
      <c r="B142" s="1" t="inlineStr">
        <is>
          <t>ARETES MOVE UNO Y UNO GOLD</t>
        </is>
      </c>
      <c r="C142" s="1" t="inlineStr">
        <is>
          <t>Default Title</t>
        </is>
      </c>
      <c r="D142" s="1" t="inlineStr">
        <is>
          <t>HAIFENG</t>
        </is>
      </c>
      <c r="E142" s="4">
        <f>COUNTIF('DETALLE CRONOLÓGICO'!$A$2:$A$4919,$A142)</f>
        <v/>
      </c>
      <c r="F142" s="4">
        <f>SUMIFS('DETALLE CRONOLÓGICO'!$I$2:$I$4919,'DETALLE CRONOLÓGICO'!$A$2:$A$4919,$A142)</f>
        <v/>
      </c>
      <c r="G142" s="1">
        <f>INDEX('DETALLE CRONOLÓGICO'!$D$2:$D$4919,MATCH($A142,'DETALLE CRONOLÓGICO'!$A$2:$A$4919,0))</f>
        <v/>
      </c>
      <c r="H142" s="1">
        <f>INDEX('DETALLE CRONOLÓGICO'!$D$2:$D$4919,MATCH($A142,'DETALLE CRONOLÓGICO'!$A$2:$A$4919,0)+$E142-1)</f>
        <v/>
      </c>
      <c r="I142" s="5">
        <f>IFERROR(SUMIFS('DETALLE CRONOLÓGICO'!$L$2:$L$4919,'DETALLE CRONOLÓGICO'!$A$2:$A$4919,$A142)/$F142,"")</f>
        <v/>
      </c>
      <c r="J142" s="6">
        <f>IFERROR(SUMIFS('DETALLE CRONOLÓGICO'!$K$2:$K$4919,'DETALLE CRONOLÓGICO'!$A$2:$A$4919,$A142)/$E142,"")</f>
        <v/>
      </c>
      <c r="K142" s="6">
        <f>_xlfn.MINIFS('DETALLE CRONOLÓGICO'!$K$2:$K$4919,'DETALLE CRONOLÓGICO'!$A$2:$A$4919,$A142)</f>
        <v/>
      </c>
      <c r="L142" s="6">
        <f>_xlfn.MAXIFS('DETALLE CRONOLÓGICO'!$K$2:$K$4919,'DETALLE CRONOLÓGICO'!$A$2:$A$4919,$A142)</f>
        <v/>
      </c>
      <c r="M142" s="6">
        <f>INDEX('DETALLE CRONOLÓGICO'!$K$2:$K$4919,MATCH($A142,'DETALLE CRONOLÓGICO'!$A$2:$A$4919,0)+$E142-1)</f>
        <v/>
      </c>
      <c r="N142" s="7">
        <f>IFERROR($M142/INDEX('DETALLE CRONOLÓGICO'!$K$2:$K$4919,MATCH($A142,'DETALLE CRONOLÓGICO'!$A$2:$A$4919,0))-1,"")</f>
        <v/>
      </c>
      <c r="O142" s="6">
        <f>IFERROR($I142*3,"")</f>
        <v/>
      </c>
      <c r="P142" s="6">
        <f>IFERROR($I142*3.5,"")</f>
        <v/>
      </c>
      <c r="Q142" s="6">
        <f>IFERROR($I142*4,"")</f>
        <v/>
      </c>
      <c r="R142" s="6" t="n">
        <v>499</v>
      </c>
      <c r="S142" s="4" t="n">
        <v>2</v>
      </c>
      <c r="T142" s="1" t="inlineStr">
        <is>
          <t>draft</t>
        </is>
      </c>
      <c r="U142" s="8" t="n"/>
      <c r="V142" s="1" t="inlineStr">
        <is>
          <t>SIN PRECIO</t>
        </is>
      </c>
    </row>
    <row r="143">
      <c r="A143" s="1" t="inlineStr">
        <is>
          <t>15554123342445</t>
        </is>
      </c>
      <c r="B143" s="1" t="inlineStr">
        <is>
          <t>ARETES MOVE UNO Y UNO SILVER</t>
        </is>
      </c>
      <c r="C143" s="1" t="inlineStr">
        <is>
          <t>Default Title</t>
        </is>
      </c>
      <c r="D143" s="1" t="inlineStr">
        <is>
          <t>HAIFENG</t>
        </is>
      </c>
      <c r="E143" s="4">
        <f>COUNTIF('DETALLE CRONOLÓGICO'!$A$2:$A$4919,$A143)</f>
        <v/>
      </c>
      <c r="F143" s="4">
        <f>SUMIFS('DETALLE CRONOLÓGICO'!$I$2:$I$4919,'DETALLE CRONOLÓGICO'!$A$2:$A$4919,$A143)</f>
        <v/>
      </c>
      <c r="G143" s="1">
        <f>INDEX('DETALLE CRONOLÓGICO'!$D$2:$D$4919,MATCH($A143,'DETALLE CRONOLÓGICO'!$A$2:$A$4919,0))</f>
        <v/>
      </c>
      <c r="H143" s="1">
        <f>INDEX('DETALLE CRONOLÓGICO'!$D$2:$D$4919,MATCH($A143,'DETALLE CRONOLÓGICO'!$A$2:$A$4919,0)+$E143-1)</f>
        <v/>
      </c>
      <c r="I143" s="5">
        <f>IFERROR(SUMIFS('DETALLE CRONOLÓGICO'!$L$2:$L$4919,'DETALLE CRONOLÓGICO'!$A$2:$A$4919,$A143)/$F143,"")</f>
        <v/>
      </c>
      <c r="J143" s="6">
        <f>IFERROR(SUMIFS('DETALLE CRONOLÓGICO'!$K$2:$K$4919,'DETALLE CRONOLÓGICO'!$A$2:$A$4919,$A143)/$E143,"")</f>
        <v/>
      </c>
      <c r="K143" s="6">
        <f>_xlfn.MINIFS('DETALLE CRONOLÓGICO'!$K$2:$K$4919,'DETALLE CRONOLÓGICO'!$A$2:$A$4919,$A143)</f>
        <v/>
      </c>
      <c r="L143" s="6">
        <f>_xlfn.MAXIFS('DETALLE CRONOLÓGICO'!$K$2:$K$4919,'DETALLE CRONOLÓGICO'!$A$2:$A$4919,$A143)</f>
        <v/>
      </c>
      <c r="M143" s="6">
        <f>INDEX('DETALLE CRONOLÓGICO'!$K$2:$K$4919,MATCH($A143,'DETALLE CRONOLÓGICO'!$A$2:$A$4919,0)+$E143-1)</f>
        <v/>
      </c>
      <c r="N143" s="7">
        <f>IFERROR($M143/INDEX('DETALLE CRONOLÓGICO'!$K$2:$K$4919,MATCH($A143,'DETALLE CRONOLÓGICO'!$A$2:$A$4919,0))-1,"")</f>
        <v/>
      </c>
      <c r="O143" s="6">
        <f>IFERROR($I143*3,"")</f>
        <v/>
      </c>
      <c r="P143" s="6">
        <f>IFERROR($I143*3.5,"")</f>
        <v/>
      </c>
      <c r="Q143" s="6">
        <f>IFERROR($I143*4,"")</f>
        <v/>
      </c>
      <c r="R143" s="6" t="n">
        <v>499</v>
      </c>
      <c r="S143" s="4" t="n">
        <v>1</v>
      </c>
      <c r="T143" s="1" t="inlineStr">
        <is>
          <t>active</t>
        </is>
      </c>
      <c r="U143" s="8" t="n"/>
      <c r="V143" s="1" t="inlineStr">
        <is>
          <t>SIN PRECIO</t>
        </is>
      </c>
    </row>
    <row r="144">
      <c r="A144" s="1" t="inlineStr">
        <is>
          <t>15554123464493</t>
        </is>
      </c>
      <c r="B144" s="1" t="inlineStr">
        <is>
          <t>ARETES MOVE UNO GOLD ZIRCONIAS</t>
        </is>
      </c>
      <c r="C144" s="1" t="inlineStr">
        <is>
          <t>Default Title</t>
        </is>
      </c>
      <c r="D144" s="1" t="inlineStr">
        <is>
          <t>HAIFENG</t>
        </is>
      </c>
      <c r="E144" s="4">
        <f>COUNTIF('DETALLE CRONOLÓGICO'!$A$2:$A$4919,$A144)</f>
        <v/>
      </c>
      <c r="F144" s="4">
        <f>SUMIFS('DETALLE CRONOLÓGICO'!$I$2:$I$4919,'DETALLE CRONOLÓGICO'!$A$2:$A$4919,$A144)</f>
        <v/>
      </c>
      <c r="G144" s="1">
        <f>INDEX('DETALLE CRONOLÓGICO'!$D$2:$D$4919,MATCH($A144,'DETALLE CRONOLÓGICO'!$A$2:$A$4919,0))</f>
        <v/>
      </c>
      <c r="H144" s="1">
        <f>INDEX('DETALLE CRONOLÓGICO'!$D$2:$D$4919,MATCH($A144,'DETALLE CRONOLÓGICO'!$A$2:$A$4919,0)+$E144-1)</f>
        <v/>
      </c>
      <c r="I144" s="5">
        <f>IFERROR(SUMIFS('DETALLE CRONOLÓGICO'!$L$2:$L$4919,'DETALLE CRONOLÓGICO'!$A$2:$A$4919,$A144)/$F144,"")</f>
        <v/>
      </c>
      <c r="J144" s="6">
        <f>IFERROR(SUMIFS('DETALLE CRONOLÓGICO'!$K$2:$K$4919,'DETALLE CRONOLÓGICO'!$A$2:$A$4919,$A144)/$E144,"")</f>
        <v/>
      </c>
      <c r="K144" s="6">
        <f>_xlfn.MINIFS('DETALLE CRONOLÓGICO'!$K$2:$K$4919,'DETALLE CRONOLÓGICO'!$A$2:$A$4919,$A144)</f>
        <v/>
      </c>
      <c r="L144" s="6">
        <f>_xlfn.MAXIFS('DETALLE CRONOLÓGICO'!$K$2:$K$4919,'DETALLE CRONOLÓGICO'!$A$2:$A$4919,$A144)</f>
        <v/>
      </c>
      <c r="M144" s="6">
        <f>INDEX('DETALLE CRONOLÓGICO'!$K$2:$K$4919,MATCH($A144,'DETALLE CRONOLÓGICO'!$A$2:$A$4919,0)+$E144-1)</f>
        <v/>
      </c>
      <c r="N144" s="7">
        <f>IFERROR($M144/INDEX('DETALLE CRONOLÓGICO'!$K$2:$K$4919,MATCH($A144,'DETALLE CRONOLÓGICO'!$A$2:$A$4919,0))-1,"")</f>
        <v/>
      </c>
      <c r="O144" s="6">
        <f>IFERROR($I144*3,"")</f>
        <v/>
      </c>
      <c r="P144" s="6">
        <f>IFERROR($I144*3.5,"")</f>
        <v/>
      </c>
      <c r="Q144" s="6">
        <f>IFERROR($I144*4,"")</f>
        <v/>
      </c>
      <c r="R144" s="6" t="n">
        <v>450</v>
      </c>
      <c r="S144" s="4" t="n">
        <v>2</v>
      </c>
      <c r="T144" s="1" t="inlineStr">
        <is>
          <t>draft</t>
        </is>
      </c>
      <c r="U144" s="8" t="n"/>
      <c r="V144" s="1" t="inlineStr">
        <is>
          <t>SIN PRECIO</t>
        </is>
      </c>
    </row>
    <row r="145">
      <c r="A145" s="1" t="inlineStr">
        <is>
          <t>15554123566189</t>
        </is>
      </c>
      <c r="B145" s="1" t="inlineStr">
        <is>
          <t>ARETES MOVE CIRCLE GOLD</t>
        </is>
      </c>
      <c r="C145" s="1" t="inlineStr">
        <is>
          <t>Default Title</t>
        </is>
      </c>
      <c r="D145" s="1" t="inlineStr">
        <is>
          <t>HAIFENG</t>
        </is>
      </c>
      <c r="E145" s="4">
        <f>COUNTIF('DETALLE CRONOLÓGICO'!$A$2:$A$4919,$A145)</f>
        <v/>
      </c>
      <c r="F145" s="4">
        <f>SUMIFS('DETALLE CRONOLÓGICO'!$I$2:$I$4919,'DETALLE CRONOLÓGICO'!$A$2:$A$4919,$A145)</f>
        <v/>
      </c>
      <c r="G145" s="1">
        <f>INDEX('DETALLE CRONOLÓGICO'!$D$2:$D$4919,MATCH($A145,'DETALLE CRONOLÓGICO'!$A$2:$A$4919,0))</f>
        <v/>
      </c>
      <c r="H145" s="1">
        <f>INDEX('DETALLE CRONOLÓGICO'!$D$2:$D$4919,MATCH($A145,'DETALLE CRONOLÓGICO'!$A$2:$A$4919,0)+$E145-1)</f>
        <v/>
      </c>
      <c r="I145" s="5">
        <f>IFERROR(SUMIFS('DETALLE CRONOLÓGICO'!$L$2:$L$4919,'DETALLE CRONOLÓGICO'!$A$2:$A$4919,$A145)/$F145,"")</f>
        <v/>
      </c>
      <c r="J145" s="6">
        <f>IFERROR(SUMIFS('DETALLE CRONOLÓGICO'!$K$2:$K$4919,'DETALLE CRONOLÓGICO'!$A$2:$A$4919,$A145)/$E145,"")</f>
        <v/>
      </c>
      <c r="K145" s="6">
        <f>_xlfn.MINIFS('DETALLE CRONOLÓGICO'!$K$2:$K$4919,'DETALLE CRONOLÓGICO'!$A$2:$A$4919,$A145)</f>
        <v/>
      </c>
      <c r="L145" s="6">
        <f>_xlfn.MAXIFS('DETALLE CRONOLÓGICO'!$K$2:$K$4919,'DETALLE CRONOLÓGICO'!$A$2:$A$4919,$A145)</f>
        <v/>
      </c>
      <c r="M145" s="6">
        <f>INDEX('DETALLE CRONOLÓGICO'!$K$2:$K$4919,MATCH($A145,'DETALLE CRONOLÓGICO'!$A$2:$A$4919,0)+$E145-1)</f>
        <v/>
      </c>
      <c r="N145" s="7">
        <f>IFERROR($M145/INDEX('DETALLE CRONOLÓGICO'!$K$2:$K$4919,MATCH($A145,'DETALLE CRONOLÓGICO'!$A$2:$A$4919,0))-1,"")</f>
        <v/>
      </c>
      <c r="O145" s="6">
        <f>IFERROR($I145*3,"")</f>
        <v/>
      </c>
      <c r="P145" s="6">
        <f>IFERROR($I145*3.5,"")</f>
        <v/>
      </c>
      <c r="Q145" s="6">
        <f>IFERROR($I145*4,"")</f>
        <v/>
      </c>
      <c r="R145" s="6" t="n">
        <v>442</v>
      </c>
      <c r="S145" s="4" t="n">
        <v>1</v>
      </c>
      <c r="T145" s="1" t="inlineStr">
        <is>
          <t>active</t>
        </is>
      </c>
      <c r="U145" s="8" t="n"/>
      <c r="V145" s="1" t="inlineStr">
        <is>
          <t>SIN PRECIO</t>
        </is>
      </c>
    </row>
    <row r="146">
      <c r="A146" s="1" t="inlineStr">
        <is>
          <t>15554123602349</t>
        </is>
      </c>
      <c r="B146" s="1" t="inlineStr">
        <is>
          <t>ARETES MOVE CIRCLE SILVER</t>
        </is>
      </c>
      <c r="C146" s="1" t="inlineStr">
        <is>
          <t>Default Title</t>
        </is>
      </c>
      <c r="D146" s="1" t="inlineStr">
        <is>
          <t>HAIFENG</t>
        </is>
      </c>
      <c r="E146" s="4">
        <f>COUNTIF('DETALLE CRONOLÓGICO'!$A$2:$A$4919,$A146)</f>
        <v/>
      </c>
      <c r="F146" s="4">
        <f>SUMIFS('DETALLE CRONOLÓGICO'!$I$2:$I$4919,'DETALLE CRONOLÓGICO'!$A$2:$A$4919,$A146)</f>
        <v/>
      </c>
      <c r="G146" s="1">
        <f>INDEX('DETALLE CRONOLÓGICO'!$D$2:$D$4919,MATCH($A146,'DETALLE CRONOLÓGICO'!$A$2:$A$4919,0))</f>
        <v/>
      </c>
      <c r="H146" s="1">
        <f>INDEX('DETALLE CRONOLÓGICO'!$D$2:$D$4919,MATCH($A146,'DETALLE CRONOLÓGICO'!$A$2:$A$4919,0)+$E146-1)</f>
        <v/>
      </c>
      <c r="I146" s="5">
        <f>IFERROR(SUMIFS('DETALLE CRONOLÓGICO'!$L$2:$L$4919,'DETALLE CRONOLÓGICO'!$A$2:$A$4919,$A146)/$F146,"")</f>
        <v/>
      </c>
      <c r="J146" s="6">
        <f>IFERROR(SUMIFS('DETALLE CRONOLÓGICO'!$K$2:$K$4919,'DETALLE CRONOLÓGICO'!$A$2:$A$4919,$A146)/$E146,"")</f>
        <v/>
      </c>
      <c r="K146" s="6">
        <f>_xlfn.MINIFS('DETALLE CRONOLÓGICO'!$K$2:$K$4919,'DETALLE CRONOLÓGICO'!$A$2:$A$4919,$A146)</f>
        <v/>
      </c>
      <c r="L146" s="6">
        <f>_xlfn.MAXIFS('DETALLE CRONOLÓGICO'!$K$2:$K$4919,'DETALLE CRONOLÓGICO'!$A$2:$A$4919,$A146)</f>
        <v/>
      </c>
      <c r="M146" s="6">
        <f>INDEX('DETALLE CRONOLÓGICO'!$K$2:$K$4919,MATCH($A146,'DETALLE CRONOLÓGICO'!$A$2:$A$4919,0)+$E146-1)</f>
        <v/>
      </c>
      <c r="N146" s="7">
        <f>IFERROR($M146/INDEX('DETALLE CRONOLÓGICO'!$K$2:$K$4919,MATCH($A146,'DETALLE CRONOLÓGICO'!$A$2:$A$4919,0))-1,"")</f>
        <v/>
      </c>
      <c r="O146" s="6">
        <f>IFERROR($I146*3,"")</f>
        <v/>
      </c>
      <c r="P146" s="6">
        <f>IFERROR($I146*3.5,"")</f>
        <v/>
      </c>
      <c r="Q146" s="6">
        <f>IFERROR($I146*4,"")</f>
        <v/>
      </c>
      <c r="R146" s="6" t="n">
        <v>680</v>
      </c>
      <c r="S146" s="4" t="n">
        <v>1</v>
      </c>
      <c r="T146" s="1" t="inlineStr">
        <is>
          <t>active</t>
        </is>
      </c>
      <c r="U146" s="8" t="n"/>
      <c r="V146" s="1" t="inlineStr">
        <is>
          <t>SIN PRECIO</t>
        </is>
      </c>
    </row>
    <row r="147">
      <c r="A147" s="1" t="inlineStr">
        <is>
          <t>15565825325196</t>
        </is>
      </c>
      <c r="B147" s="1" t="inlineStr">
        <is>
          <t>CARTERA GC BI-FOLD</t>
        </is>
      </c>
      <c r="C147" s="1" t="inlineStr">
        <is>
          <t>9.5cm x 10cm</t>
        </is>
      </c>
      <c r="D147" s="1" t="inlineStr">
        <is>
          <t>ZOEY</t>
        </is>
      </c>
      <c r="E147" s="4">
        <f>COUNTIF('DETALLE CRONOLÓGICO'!$A$2:$A$4919,$A147)</f>
        <v/>
      </c>
      <c r="F147" s="4">
        <f>SUMIFS('DETALLE CRONOLÓGICO'!$I$2:$I$4919,'DETALLE CRONOLÓGICO'!$A$2:$A$4919,$A147)</f>
        <v/>
      </c>
      <c r="G147" s="1">
        <f>INDEX('DETALLE CRONOLÓGICO'!$D$2:$D$4919,MATCH($A147,'DETALLE CRONOLÓGICO'!$A$2:$A$4919,0))</f>
        <v/>
      </c>
      <c r="H147" s="1">
        <f>INDEX('DETALLE CRONOLÓGICO'!$D$2:$D$4919,MATCH($A147,'DETALLE CRONOLÓGICO'!$A$2:$A$4919,0)+$E147-1)</f>
        <v/>
      </c>
      <c r="I147" s="5">
        <f>IFERROR(SUMIFS('DETALLE CRONOLÓGICO'!$L$2:$L$4919,'DETALLE CRONOLÓGICO'!$A$2:$A$4919,$A147)/$F147,"")</f>
        <v/>
      </c>
      <c r="J147" s="6">
        <f>IFERROR(SUMIFS('DETALLE CRONOLÓGICO'!$K$2:$K$4919,'DETALLE CRONOLÓGICO'!$A$2:$A$4919,$A147)/$E147,"")</f>
        <v/>
      </c>
      <c r="K147" s="6">
        <f>_xlfn.MINIFS('DETALLE CRONOLÓGICO'!$K$2:$K$4919,'DETALLE CRONOLÓGICO'!$A$2:$A$4919,$A147)</f>
        <v/>
      </c>
      <c r="L147" s="6">
        <f>_xlfn.MAXIFS('DETALLE CRONOLÓGICO'!$K$2:$K$4919,'DETALLE CRONOLÓGICO'!$A$2:$A$4919,$A147)</f>
        <v/>
      </c>
      <c r="M147" s="6">
        <f>INDEX('DETALLE CRONOLÓGICO'!$K$2:$K$4919,MATCH($A147,'DETALLE CRONOLÓGICO'!$A$2:$A$4919,0)+$E147-1)</f>
        <v/>
      </c>
      <c r="N147" s="7">
        <f>IFERROR($M147/INDEX('DETALLE CRONOLÓGICO'!$K$2:$K$4919,MATCH($A147,'DETALLE CRONOLÓGICO'!$A$2:$A$4919,0))-1,"")</f>
        <v/>
      </c>
      <c r="O147" s="6">
        <f>IFERROR($I147*3,"")</f>
        <v/>
      </c>
      <c r="P147" s="6">
        <f>IFERROR($I147*3.5,"")</f>
        <v/>
      </c>
      <c r="Q147" s="6">
        <f>IFERROR($I147*4,"")</f>
        <v/>
      </c>
      <c r="R147" s="6" t="n">
        <v>1208</v>
      </c>
      <c r="S147" s="4" t="n">
        <v>4</v>
      </c>
      <c r="T147" s="1" t="inlineStr">
        <is>
          <t>active</t>
        </is>
      </c>
      <c r="U147" s="8" t="n"/>
      <c r="V147" s="1" t="inlineStr">
        <is>
          <t>SIN PRECIO</t>
        </is>
      </c>
    </row>
    <row r="148">
      <c r="A148" s="1" t="inlineStr">
        <is>
          <t>15711171018701</t>
        </is>
      </c>
      <c r="B148" s="1" t="inlineStr">
        <is>
          <t>ANILLO DOBLE T GOLD</t>
        </is>
      </c>
      <c r="C148" s="1" t="inlineStr">
        <is>
          <t>6</t>
        </is>
      </c>
      <c r="D148" s="1" t="inlineStr">
        <is>
          <t>HAIFENG</t>
        </is>
      </c>
      <c r="E148" s="4">
        <f>COUNTIF('DETALLE CRONOLÓGICO'!$A$2:$A$4919,$A148)</f>
        <v/>
      </c>
      <c r="F148" s="4">
        <f>SUMIFS('DETALLE CRONOLÓGICO'!$I$2:$I$4919,'DETALLE CRONOLÓGICO'!$A$2:$A$4919,$A148)</f>
        <v/>
      </c>
      <c r="G148" s="1">
        <f>INDEX('DETALLE CRONOLÓGICO'!$D$2:$D$4919,MATCH($A148,'DETALLE CRONOLÓGICO'!$A$2:$A$4919,0))</f>
        <v/>
      </c>
      <c r="H148" s="1">
        <f>INDEX('DETALLE CRONOLÓGICO'!$D$2:$D$4919,MATCH($A148,'DETALLE CRONOLÓGICO'!$A$2:$A$4919,0)+$E148-1)</f>
        <v/>
      </c>
      <c r="I148" s="5">
        <f>IFERROR(SUMIFS('DETALLE CRONOLÓGICO'!$L$2:$L$4919,'DETALLE CRONOLÓGICO'!$A$2:$A$4919,$A148)/$F148,"")</f>
        <v/>
      </c>
      <c r="J148" s="6">
        <f>IFERROR(SUMIFS('DETALLE CRONOLÓGICO'!$K$2:$K$4919,'DETALLE CRONOLÓGICO'!$A$2:$A$4919,$A148)/$E148,"")</f>
        <v/>
      </c>
      <c r="K148" s="6">
        <f>_xlfn.MINIFS('DETALLE CRONOLÓGICO'!$K$2:$K$4919,'DETALLE CRONOLÓGICO'!$A$2:$A$4919,$A148)</f>
        <v/>
      </c>
      <c r="L148" s="6">
        <f>_xlfn.MAXIFS('DETALLE CRONOLÓGICO'!$K$2:$K$4919,'DETALLE CRONOLÓGICO'!$A$2:$A$4919,$A148)</f>
        <v/>
      </c>
      <c r="M148" s="6">
        <f>INDEX('DETALLE CRONOLÓGICO'!$K$2:$K$4919,MATCH($A148,'DETALLE CRONOLÓGICO'!$A$2:$A$4919,0)+$E148-1)</f>
        <v/>
      </c>
      <c r="N148" s="7">
        <f>IFERROR($M148/INDEX('DETALLE CRONOLÓGICO'!$K$2:$K$4919,MATCH($A148,'DETALLE CRONOLÓGICO'!$A$2:$A$4919,0))-1,"")</f>
        <v/>
      </c>
      <c r="O148" s="6">
        <f>IFERROR($I148*3,"")</f>
        <v/>
      </c>
      <c r="P148" s="6">
        <f>IFERROR($I148*3.5,"")</f>
        <v/>
      </c>
      <c r="Q148" s="6">
        <f>IFERROR($I148*4,"")</f>
        <v/>
      </c>
      <c r="R148" s="6" t="n">
        <v>480</v>
      </c>
      <c r="S148" s="4" t="n">
        <v>5</v>
      </c>
      <c r="T148" s="1" t="inlineStr">
        <is>
          <t>active</t>
        </is>
      </c>
      <c r="U148" s="8" t="n"/>
      <c r="V148" s="1" t="inlineStr">
        <is>
          <t>SIN PRECIO</t>
        </is>
      </c>
    </row>
    <row r="149">
      <c r="A149" s="1" t="inlineStr">
        <is>
          <t>15711171151469</t>
        </is>
      </c>
      <c r="B149" s="1" t="inlineStr">
        <is>
          <t>ANILLO DOBLE T GOLD</t>
        </is>
      </c>
      <c r="C149" s="1" t="inlineStr">
        <is>
          <t>7</t>
        </is>
      </c>
      <c r="D149" s="1" t="inlineStr">
        <is>
          <t>HAIFENG</t>
        </is>
      </c>
      <c r="E149" s="4">
        <f>COUNTIF('DETALLE CRONOLÓGICO'!$A$2:$A$4919,$A149)</f>
        <v/>
      </c>
      <c r="F149" s="4">
        <f>SUMIFS('DETALLE CRONOLÓGICO'!$I$2:$I$4919,'DETALLE CRONOLÓGICO'!$A$2:$A$4919,$A149)</f>
        <v/>
      </c>
      <c r="G149" s="1">
        <f>INDEX('DETALLE CRONOLÓGICO'!$D$2:$D$4919,MATCH($A149,'DETALLE CRONOLÓGICO'!$A$2:$A$4919,0))</f>
        <v/>
      </c>
      <c r="H149" s="1">
        <f>INDEX('DETALLE CRONOLÓGICO'!$D$2:$D$4919,MATCH($A149,'DETALLE CRONOLÓGICO'!$A$2:$A$4919,0)+$E149-1)</f>
        <v/>
      </c>
      <c r="I149" s="5">
        <f>IFERROR(SUMIFS('DETALLE CRONOLÓGICO'!$L$2:$L$4919,'DETALLE CRONOLÓGICO'!$A$2:$A$4919,$A149)/$F149,"")</f>
        <v/>
      </c>
      <c r="J149" s="6">
        <f>IFERROR(SUMIFS('DETALLE CRONOLÓGICO'!$K$2:$K$4919,'DETALLE CRONOLÓGICO'!$A$2:$A$4919,$A149)/$E149,"")</f>
        <v/>
      </c>
      <c r="K149" s="6">
        <f>_xlfn.MINIFS('DETALLE CRONOLÓGICO'!$K$2:$K$4919,'DETALLE CRONOLÓGICO'!$A$2:$A$4919,$A149)</f>
        <v/>
      </c>
      <c r="L149" s="6">
        <f>_xlfn.MAXIFS('DETALLE CRONOLÓGICO'!$K$2:$K$4919,'DETALLE CRONOLÓGICO'!$A$2:$A$4919,$A149)</f>
        <v/>
      </c>
      <c r="M149" s="6">
        <f>INDEX('DETALLE CRONOLÓGICO'!$K$2:$K$4919,MATCH($A149,'DETALLE CRONOLÓGICO'!$A$2:$A$4919,0)+$E149-1)</f>
        <v/>
      </c>
      <c r="N149" s="7">
        <f>IFERROR($M149/INDEX('DETALLE CRONOLÓGICO'!$K$2:$K$4919,MATCH($A149,'DETALLE CRONOLÓGICO'!$A$2:$A$4919,0))-1,"")</f>
        <v/>
      </c>
      <c r="O149" s="6">
        <f>IFERROR($I149*3,"")</f>
        <v/>
      </c>
      <c r="P149" s="6">
        <f>IFERROR($I149*3.5,"")</f>
        <v/>
      </c>
      <c r="Q149" s="6">
        <f>IFERROR($I149*4,"")</f>
        <v/>
      </c>
      <c r="R149" s="6" t="n">
        <v>480</v>
      </c>
      <c r="S149" s="4" t="n">
        <v>3</v>
      </c>
      <c r="T149" s="1" t="inlineStr">
        <is>
          <t>active</t>
        </is>
      </c>
      <c r="U149" s="8" t="n"/>
      <c r="V149" s="1" t="inlineStr">
        <is>
          <t>SIN PRECIO</t>
        </is>
      </c>
    </row>
    <row r="150">
      <c r="A150" s="1" t="inlineStr">
        <is>
          <t>15711171284237</t>
        </is>
      </c>
      <c r="B150" s="1" t="inlineStr">
        <is>
          <t>ANILLO DOBLE T GOLD</t>
        </is>
      </c>
      <c r="C150" s="1" t="inlineStr">
        <is>
          <t>8</t>
        </is>
      </c>
      <c r="D150" s="1" t="inlineStr">
        <is>
          <t>HAIFENG</t>
        </is>
      </c>
      <c r="E150" s="4">
        <f>COUNTIF('DETALLE CRONOLÓGICO'!$A$2:$A$4919,$A150)</f>
        <v/>
      </c>
      <c r="F150" s="4">
        <f>SUMIFS('DETALLE CRONOLÓGICO'!$I$2:$I$4919,'DETALLE CRONOLÓGICO'!$A$2:$A$4919,$A150)</f>
        <v/>
      </c>
      <c r="G150" s="1">
        <f>INDEX('DETALLE CRONOLÓGICO'!$D$2:$D$4919,MATCH($A150,'DETALLE CRONOLÓGICO'!$A$2:$A$4919,0))</f>
        <v/>
      </c>
      <c r="H150" s="1">
        <f>INDEX('DETALLE CRONOLÓGICO'!$D$2:$D$4919,MATCH($A150,'DETALLE CRONOLÓGICO'!$A$2:$A$4919,0)+$E150-1)</f>
        <v/>
      </c>
      <c r="I150" s="5">
        <f>IFERROR(SUMIFS('DETALLE CRONOLÓGICO'!$L$2:$L$4919,'DETALLE CRONOLÓGICO'!$A$2:$A$4919,$A150)/$F150,"")</f>
        <v/>
      </c>
      <c r="J150" s="6">
        <f>IFERROR(SUMIFS('DETALLE CRONOLÓGICO'!$K$2:$K$4919,'DETALLE CRONOLÓGICO'!$A$2:$A$4919,$A150)/$E150,"")</f>
        <v/>
      </c>
      <c r="K150" s="6">
        <f>_xlfn.MINIFS('DETALLE CRONOLÓGICO'!$K$2:$K$4919,'DETALLE CRONOLÓGICO'!$A$2:$A$4919,$A150)</f>
        <v/>
      </c>
      <c r="L150" s="6">
        <f>_xlfn.MAXIFS('DETALLE CRONOLÓGICO'!$K$2:$K$4919,'DETALLE CRONOLÓGICO'!$A$2:$A$4919,$A150)</f>
        <v/>
      </c>
      <c r="M150" s="6">
        <f>INDEX('DETALLE CRONOLÓGICO'!$K$2:$K$4919,MATCH($A150,'DETALLE CRONOLÓGICO'!$A$2:$A$4919,0)+$E150-1)</f>
        <v/>
      </c>
      <c r="N150" s="7">
        <f>IFERROR($M150/INDEX('DETALLE CRONOLÓGICO'!$K$2:$K$4919,MATCH($A150,'DETALLE CRONOLÓGICO'!$A$2:$A$4919,0))-1,"")</f>
        <v/>
      </c>
      <c r="O150" s="6">
        <f>IFERROR($I150*3,"")</f>
        <v/>
      </c>
      <c r="P150" s="6">
        <f>IFERROR($I150*3.5,"")</f>
        <v/>
      </c>
      <c r="Q150" s="6">
        <f>IFERROR($I150*4,"")</f>
        <v/>
      </c>
      <c r="R150" s="6" t="n">
        <v>480</v>
      </c>
      <c r="S150" s="4" t="n">
        <v>3</v>
      </c>
      <c r="T150" s="1" t="inlineStr">
        <is>
          <t>active</t>
        </is>
      </c>
      <c r="U150" s="8" t="n"/>
      <c r="V150" s="1" t="inlineStr">
        <is>
          <t>SIN PRECIO</t>
        </is>
      </c>
    </row>
    <row r="151">
      <c r="A151" s="1" t="inlineStr">
        <is>
          <t>15711171361197</t>
        </is>
      </c>
      <c r="B151" s="1" t="inlineStr">
        <is>
          <t>ANILLO DOBLE T ROSE GOLD</t>
        </is>
      </c>
      <c r="C151" s="1" t="inlineStr">
        <is>
          <t>6</t>
        </is>
      </c>
      <c r="D151" s="1" t="inlineStr">
        <is>
          <t>HAIFENG</t>
        </is>
      </c>
      <c r="E151" s="4">
        <f>COUNTIF('DETALLE CRONOLÓGICO'!$A$2:$A$4919,$A151)</f>
        <v/>
      </c>
      <c r="F151" s="4">
        <f>SUMIFS('DETALLE CRONOLÓGICO'!$I$2:$I$4919,'DETALLE CRONOLÓGICO'!$A$2:$A$4919,$A151)</f>
        <v/>
      </c>
      <c r="G151" s="1">
        <f>INDEX('DETALLE CRONOLÓGICO'!$D$2:$D$4919,MATCH($A151,'DETALLE CRONOLÓGICO'!$A$2:$A$4919,0))</f>
        <v/>
      </c>
      <c r="H151" s="1">
        <f>INDEX('DETALLE CRONOLÓGICO'!$D$2:$D$4919,MATCH($A151,'DETALLE CRONOLÓGICO'!$A$2:$A$4919,0)+$E151-1)</f>
        <v/>
      </c>
      <c r="I151" s="5">
        <f>IFERROR(SUMIFS('DETALLE CRONOLÓGICO'!$L$2:$L$4919,'DETALLE CRONOLÓGICO'!$A$2:$A$4919,$A151)/$F151,"")</f>
        <v/>
      </c>
      <c r="J151" s="6">
        <f>IFERROR(SUMIFS('DETALLE CRONOLÓGICO'!$K$2:$K$4919,'DETALLE CRONOLÓGICO'!$A$2:$A$4919,$A151)/$E151,"")</f>
        <v/>
      </c>
      <c r="K151" s="6">
        <f>_xlfn.MINIFS('DETALLE CRONOLÓGICO'!$K$2:$K$4919,'DETALLE CRONOLÓGICO'!$A$2:$A$4919,$A151)</f>
        <v/>
      </c>
      <c r="L151" s="6">
        <f>_xlfn.MAXIFS('DETALLE CRONOLÓGICO'!$K$2:$K$4919,'DETALLE CRONOLÓGICO'!$A$2:$A$4919,$A151)</f>
        <v/>
      </c>
      <c r="M151" s="6">
        <f>INDEX('DETALLE CRONOLÓGICO'!$K$2:$K$4919,MATCH($A151,'DETALLE CRONOLÓGICO'!$A$2:$A$4919,0)+$E151-1)</f>
        <v/>
      </c>
      <c r="N151" s="7">
        <f>IFERROR($M151/INDEX('DETALLE CRONOLÓGICO'!$K$2:$K$4919,MATCH($A151,'DETALLE CRONOLÓGICO'!$A$2:$A$4919,0))-1,"")</f>
        <v/>
      </c>
      <c r="O151" s="6">
        <f>IFERROR($I151*3,"")</f>
        <v/>
      </c>
      <c r="P151" s="6">
        <f>IFERROR($I151*3.5,"")</f>
        <v/>
      </c>
      <c r="Q151" s="6">
        <f>IFERROR($I151*4,"")</f>
        <v/>
      </c>
      <c r="R151" s="6" t="n">
        <v>480</v>
      </c>
      <c r="S151" s="4" t="n">
        <v>3</v>
      </c>
      <c r="T151" s="1" t="inlineStr">
        <is>
          <t>active</t>
        </is>
      </c>
      <c r="U151" s="8" t="n"/>
      <c r="V151" s="1" t="inlineStr">
        <is>
          <t>SIN PRECIO</t>
        </is>
      </c>
    </row>
    <row r="152">
      <c r="A152" s="1" t="inlineStr">
        <is>
          <t>15711171493965</t>
        </is>
      </c>
      <c r="B152" s="1" t="inlineStr">
        <is>
          <t>ANILLO DOBLE T ROSE GOLD</t>
        </is>
      </c>
      <c r="C152" s="1" t="inlineStr">
        <is>
          <t>7</t>
        </is>
      </c>
      <c r="D152" s="1" t="inlineStr">
        <is>
          <t>HAIFENG</t>
        </is>
      </c>
      <c r="E152" s="4">
        <f>COUNTIF('DETALLE CRONOLÓGICO'!$A$2:$A$4919,$A152)</f>
        <v/>
      </c>
      <c r="F152" s="4">
        <f>SUMIFS('DETALLE CRONOLÓGICO'!$I$2:$I$4919,'DETALLE CRONOLÓGICO'!$A$2:$A$4919,$A152)</f>
        <v/>
      </c>
      <c r="G152" s="1">
        <f>INDEX('DETALLE CRONOLÓGICO'!$D$2:$D$4919,MATCH($A152,'DETALLE CRONOLÓGICO'!$A$2:$A$4919,0))</f>
        <v/>
      </c>
      <c r="H152" s="1">
        <f>INDEX('DETALLE CRONOLÓGICO'!$D$2:$D$4919,MATCH($A152,'DETALLE CRONOLÓGICO'!$A$2:$A$4919,0)+$E152-1)</f>
        <v/>
      </c>
      <c r="I152" s="5">
        <f>IFERROR(SUMIFS('DETALLE CRONOLÓGICO'!$L$2:$L$4919,'DETALLE CRONOLÓGICO'!$A$2:$A$4919,$A152)/$F152,"")</f>
        <v/>
      </c>
      <c r="J152" s="6">
        <f>IFERROR(SUMIFS('DETALLE CRONOLÓGICO'!$K$2:$K$4919,'DETALLE CRONOLÓGICO'!$A$2:$A$4919,$A152)/$E152,"")</f>
        <v/>
      </c>
      <c r="K152" s="6">
        <f>_xlfn.MINIFS('DETALLE CRONOLÓGICO'!$K$2:$K$4919,'DETALLE CRONOLÓGICO'!$A$2:$A$4919,$A152)</f>
        <v/>
      </c>
      <c r="L152" s="6">
        <f>_xlfn.MAXIFS('DETALLE CRONOLÓGICO'!$K$2:$K$4919,'DETALLE CRONOLÓGICO'!$A$2:$A$4919,$A152)</f>
        <v/>
      </c>
      <c r="M152" s="6">
        <f>INDEX('DETALLE CRONOLÓGICO'!$K$2:$K$4919,MATCH($A152,'DETALLE CRONOLÓGICO'!$A$2:$A$4919,0)+$E152-1)</f>
        <v/>
      </c>
      <c r="N152" s="7">
        <f>IFERROR($M152/INDEX('DETALLE CRONOLÓGICO'!$K$2:$K$4919,MATCH($A152,'DETALLE CRONOLÓGICO'!$A$2:$A$4919,0))-1,"")</f>
        <v/>
      </c>
      <c r="O152" s="6">
        <f>IFERROR($I152*3,"")</f>
        <v/>
      </c>
      <c r="P152" s="6">
        <f>IFERROR($I152*3.5,"")</f>
        <v/>
      </c>
      <c r="Q152" s="6">
        <f>IFERROR($I152*4,"")</f>
        <v/>
      </c>
      <c r="R152" s="6" t="n">
        <v>480</v>
      </c>
      <c r="S152" s="4" t="n">
        <v>3</v>
      </c>
      <c r="T152" s="1" t="inlineStr">
        <is>
          <t>active</t>
        </is>
      </c>
      <c r="U152" s="8" t="n"/>
      <c r="V152" s="1" t="inlineStr">
        <is>
          <t>SIN PRECIO</t>
        </is>
      </c>
    </row>
    <row r="153">
      <c r="A153" s="1" t="inlineStr">
        <is>
          <t>15711171526733</t>
        </is>
      </c>
      <c r="B153" s="1" t="inlineStr">
        <is>
          <t>ANILLO DOBLE T ROSE GOLD</t>
        </is>
      </c>
      <c r="C153" s="1" t="inlineStr">
        <is>
          <t>8</t>
        </is>
      </c>
      <c r="D153" s="1" t="inlineStr">
        <is>
          <t>HAIFENG</t>
        </is>
      </c>
      <c r="E153" s="4">
        <f>COUNTIF('DETALLE CRONOLÓGICO'!$A$2:$A$4919,$A153)</f>
        <v/>
      </c>
      <c r="F153" s="4">
        <f>SUMIFS('DETALLE CRONOLÓGICO'!$I$2:$I$4919,'DETALLE CRONOLÓGICO'!$A$2:$A$4919,$A153)</f>
        <v/>
      </c>
      <c r="G153" s="1">
        <f>INDEX('DETALLE CRONOLÓGICO'!$D$2:$D$4919,MATCH($A153,'DETALLE CRONOLÓGICO'!$A$2:$A$4919,0))</f>
        <v/>
      </c>
      <c r="H153" s="1">
        <f>INDEX('DETALLE CRONOLÓGICO'!$D$2:$D$4919,MATCH($A153,'DETALLE CRONOLÓGICO'!$A$2:$A$4919,0)+$E153-1)</f>
        <v/>
      </c>
      <c r="I153" s="5">
        <f>IFERROR(SUMIFS('DETALLE CRONOLÓGICO'!$L$2:$L$4919,'DETALLE CRONOLÓGICO'!$A$2:$A$4919,$A153)/$F153,"")</f>
        <v/>
      </c>
      <c r="J153" s="6">
        <f>IFERROR(SUMIFS('DETALLE CRONOLÓGICO'!$K$2:$K$4919,'DETALLE CRONOLÓGICO'!$A$2:$A$4919,$A153)/$E153,"")</f>
        <v/>
      </c>
      <c r="K153" s="6">
        <f>_xlfn.MINIFS('DETALLE CRONOLÓGICO'!$K$2:$K$4919,'DETALLE CRONOLÓGICO'!$A$2:$A$4919,$A153)</f>
        <v/>
      </c>
      <c r="L153" s="6">
        <f>_xlfn.MAXIFS('DETALLE CRONOLÓGICO'!$K$2:$K$4919,'DETALLE CRONOLÓGICO'!$A$2:$A$4919,$A153)</f>
        <v/>
      </c>
      <c r="M153" s="6">
        <f>INDEX('DETALLE CRONOLÓGICO'!$K$2:$K$4919,MATCH($A153,'DETALLE CRONOLÓGICO'!$A$2:$A$4919,0)+$E153-1)</f>
        <v/>
      </c>
      <c r="N153" s="7">
        <f>IFERROR($M153/INDEX('DETALLE CRONOLÓGICO'!$K$2:$K$4919,MATCH($A153,'DETALLE CRONOLÓGICO'!$A$2:$A$4919,0))-1,"")</f>
        <v/>
      </c>
      <c r="O153" s="6">
        <f>IFERROR($I153*3,"")</f>
        <v/>
      </c>
      <c r="P153" s="6">
        <f>IFERROR($I153*3.5,"")</f>
        <v/>
      </c>
      <c r="Q153" s="6">
        <f>IFERROR($I153*4,"")</f>
        <v/>
      </c>
      <c r="R153" s="6" t="n">
        <v>480</v>
      </c>
      <c r="S153" s="4" t="n">
        <v>5</v>
      </c>
      <c r="T153" s="1" t="inlineStr">
        <is>
          <t>active</t>
        </is>
      </c>
      <c r="U153" s="8" t="n"/>
      <c r="V153" s="1" t="inlineStr">
        <is>
          <t>SIN PRECIO</t>
        </is>
      </c>
    </row>
    <row r="154">
      <c r="A154" s="1" t="inlineStr">
        <is>
          <t>15711171624141</t>
        </is>
      </c>
      <c r="B154" s="1" t="inlineStr">
        <is>
          <t>ANILLO DOBLE T SILVER</t>
        </is>
      </c>
      <c r="C154" s="1" t="inlineStr">
        <is>
          <t>6</t>
        </is>
      </c>
      <c r="D154" s="1" t="inlineStr">
        <is>
          <t>HAIFENG</t>
        </is>
      </c>
      <c r="E154" s="4">
        <f>COUNTIF('DETALLE CRONOLÓGICO'!$A$2:$A$4919,$A154)</f>
        <v/>
      </c>
      <c r="F154" s="4">
        <f>SUMIFS('DETALLE CRONOLÓGICO'!$I$2:$I$4919,'DETALLE CRONOLÓGICO'!$A$2:$A$4919,$A154)</f>
        <v/>
      </c>
      <c r="G154" s="1">
        <f>INDEX('DETALLE CRONOLÓGICO'!$D$2:$D$4919,MATCH($A154,'DETALLE CRONOLÓGICO'!$A$2:$A$4919,0))</f>
        <v/>
      </c>
      <c r="H154" s="1">
        <f>INDEX('DETALLE CRONOLÓGICO'!$D$2:$D$4919,MATCH($A154,'DETALLE CRONOLÓGICO'!$A$2:$A$4919,0)+$E154-1)</f>
        <v/>
      </c>
      <c r="I154" s="5">
        <f>IFERROR(SUMIFS('DETALLE CRONOLÓGICO'!$L$2:$L$4919,'DETALLE CRONOLÓGICO'!$A$2:$A$4919,$A154)/$F154,"")</f>
        <v/>
      </c>
      <c r="J154" s="6">
        <f>IFERROR(SUMIFS('DETALLE CRONOLÓGICO'!$K$2:$K$4919,'DETALLE CRONOLÓGICO'!$A$2:$A$4919,$A154)/$E154,"")</f>
        <v/>
      </c>
      <c r="K154" s="6">
        <f>_xlfn.MINIFS('DETALLE CRONOLÓGICO'!$K$2:$K$4919,'DETALLE CRONOLÓGICO'!$A$2:$A$4919,$A154)</f>
        <v/>
      </c>
      <c r="L154" s="6">
        <f>_xlfn.MAXIFS('DETALLE CRONOLÓGICO'!$K$2:$K$4919,'DETALLE CRONOLÓGICO'!$A$2:$A$4919,$A154)</f>
        <v/>
      </c>
      <c r="M154" s="6">
        <f>INDEX('DETALLE CRONOLÓGICO'!$K$2:$K$4919,MATCH($A154,'DETALLE CRONOLÓGICO'!$A$2:$A$4919,0)+$E154-1)</f>
        <v/>
      </c>
      <c r="N154" s="7">
        <f>IFERROR($M154/INDEX('DETALLE CRONOLÓGICO'!$K$2:$K$4919,MATCH($A154,'DETALLE CRONOLÓGICO'!$A$2:$A$4919,0))-1,"")</f>
        <v/>
      </c>
      <c r="O154" s="6">
        <f>IFERROR($I154*3,"")</f>
        <v/>
      </c>
      <c r="P154" s="6">
        <f>IFERROR($I154*3.5,"")</f>
        <v/>
      </c>
      <c r="Q154" s="6">
        <f>IFERROR($I154*4,"")</f>
        <v/>
      </c>
      <c r="R154" s="6" t="n">
        <v>450</v>
      </c>
      <c r="S154" s="4" t="n">
        <v>1</v>
      </c>
      <c r="T154" s="1" t="inlineStr">
        <is>
          <t>active</t>
        </is>
      </c>
      <c r="U154" s="8" t="n"/>
      <c r="V154" s="1" t="inlineStr">
        <is>
          <t>SIN PRECIO</t>
        </is>
      </c>
    </row>
    <row r="155">
      <c r="A155" s="1" t="inlineStr">
        <is>
          <t>15711171756909</t>
        </is>
      </c>
      <c r="B155" s="1" t="n"/>
      <c r="C155" s="1" t="inlineStr">
        <is>
          <t>7</t>
        </is>
      </c>
      <c r="D155" s="1" t="inlineStr">
        <is>
          <t>HAIFENG</t>
        </is>
      </c>
      <c r="E155" s="4">
        <f>COUNTIF('DETALLE CRONOLÓGICO'!$A$2:$A$4919,$A155)</f>
        <v/>
      </c>
      <c r="F155" s="4">
        <f>SUMIFS('DETALLE CRONOLÓGICO'!$I$2:$I$4919,'DETALLE CRONOLÓGICO'!$A$2:$A$4919,$A155)</f>
        <v/>
      </c>
      <c r="G155" s="1">
        <f>INDEX('DETALLE CRONOLÓGICO'!$D$2:$D$4919,MATCH($A155,'DETALLE CRONOLÓGICO'!$A$2:$A$4919,0))</f>
        <v/>
      </c>
      <c r="H155" s="1">
        <f>INDEX('DETALLE CRONOLÓGICO'!$D$2:$D$4919,MATCH($A155,'DETALLE CRONOLÓGICO'!$A$2:$A$4919,0)+$E155-1)</f>
        <v/>
      </c>
      <c r="I155" s="5">
        <f>IFERROR(SUMIFS('DETALLE CRONOLÓGICO'!$L$2:$L$4919,'DETALLE CRONOLÓGICO'!$A$2:$A$4919,$A155)/$F155,"")</f>
        <v/>
      </c>
      <c r="J155" s="6">
        <f>IFERROR(SUMIFS('DETALLE CRONOLÓGICO'!$K$2:$K$4919,'DETALLE CRONOLÓGICO'!$A$2:$A$4919,$A155)/$E155,"")</f>
        <v/>
      </c>
      <c r="K155" s="6">
        <f>_xlfn.MINIFS('DETALLE CRONOLÓGICO'!$K$2:$K$4919,'DETALLE CRONOLÓGICO'!$A$2:$A$4919,$A155)</f>
        <v/>
      </c>
      <c r="L155" s="6">
        <f>_xlfn.MAXIFS('DETALLE CRONOLÓGICO'!$K$2:$K$4919,'DETALLE CRONOLÓGICO'!$A$2:$A$4919,$A155)</f>
        <v/>
      </c>
      <c r="M155" s="6">
        <f>INDEX('DETALLE CRONOLÓGICO'!$K$2:$K$4919,MATCH($A155,'DETALLE CRONOLÓGICO'!$A$2:$A$4919,0)+$E155-1)</f>
        <v/>
      </c>
      <c r="N155" s="7">
        <f>IFERROR($M155/INDEX('DETALLE CRONOLÓGICO'!$K$2:$K$4919,MATCH($A155,'DETALLE CRONOLÓGICO'!$A$2:$A$4919,0))-1,"")</f>
        <v/>
      </c>
      <c r="O155" s="6">
        <f>IFERROR($I155*3,"")</f>
        <v/>
      </c>
      <c r="P155" s="6">
        <f>IFERROR($I155*3.5,"")</f>
        <v/>
      </c>
      <c r="Q155" s="6">
        <f>IFERROR($I155*4,"")</f>
        <v/>
      </c>
      <c r="R155" s="6" t="n">
        <v>292</v>
      </c>
      <c r="S155" s="4" t="n">
        <v>2</v>
      </c>
      <c r="T155" s="1" t="inlineStr">
        <is>
          <t>active</t>
        </is>
      </c>
      <c r="U155" s="8" t="n"/>
      <c r="V155" s="1" t="inlineStr">
        <is>
          <t>SIN PRECIO</t>
        </is>
      </c>
    </row>
    <row r="156">
      <c r="A156" s="1" t="inlineStr">
        <is>
          <t>15711171889677</t>
        </is>
      </c>
      <c r="B156" s="1" t="inlineStr">
        <is>
          <t>ANILLO DOBLE T SILVER</t>
        </is>
      </c>
      <c r="C156" s="1" t="inlineStr">
        <is>
          <t>8</t>
        </is>
      </c>
      <c r="D156" s="1" t="inlineStr">
        <is>
          <t>HAIFENG</t>
        </is>
      </c>
      <c r="E156" s="4">
        <f>COUNTIF('DETALLE CRONOLÓGICO'!$A$2:$A$4919,$A156)</f>
        <v/>
      </c>
      <c r="F156" s="4">
        <f>SUMIFS('DETALLE CRONOLÓGICO'!$I$2:$I$4919,'DETALLE CRONOLÓGICO'!$A$2:$A$4919,$A156)</f>
        <v/>
      </c>
      <c r="G156" s="1">
        <f>INDEX('DETALLE CRONOLÓGICO'!$D$2:$D$4919,MATCH($A156,'DETALLE CRONOLÓGICO'!$A$2:$A$4919,0))</f>
        <v/>
      </c>
      <c r="H156" s="1">
        <f>INDEX('DETALLE CRONOLÓGICO'!$D$2:$D$4919,MATCH($A156,'DETALLE CRONOLÓGICO'!$A$2:$A$4919,0)+$E156-1)</f>
        <v/>
      </c>
      <c r="I156" s="5">
        <f>IFERROR(SUMIFS('DETALLE CRONOLÓGICO'!$L$2:$L$4919,'DETALLE CRONOLÓGICO'!$A$2:$A$4919,$A156)/$F156,"")</f>
        <v/>
      </c>
      <c r="J156" s="6">
        <f>IFERROR(SUMIFS('DETALLE CRONOLÓGICO'!$K$2:$K$4919,'DETALLE CRONOLÓGICO'!$A$2:$A$4919,$A156)/$E156,"")</f>
        <v/>
      </c>
      <c r="K156" s="6">
        <f>_xlfn.MINIFS('DETALLE CRONOLÓGICO'!$K$2:$K$4919,'DETALLE CRONOLÓGICO'!$A$2:$A$4919,$A156)</f>
        <v/>
      </c>
      <c r="L156" s="6">
        <f>_xlfn.MAXIFS('DETALLE CRONOLÓGICO'!$K$2:$K$4919,'DETALLE CRONOLÓGICO'!$A$2:$A$4919,$A156)</f>
        <v/>
      </c>
      <c r="M156" s="6">
        <f>INDEX('DETALLE CRONOLÓGICO'!$K$2:$K$4919,MATCH($A156,'DETALLE CRONOLÓGICO'!$A$2:$A$4919,0)+$E156-1)</f>
        <v/>
      </c>
      <c r="N156" s="7">
        <f>IFERROR($M156/INDEX('DETALLE CRONOLÓGICO'!$K$2:$K$4919,MATCH($A156,'DETALLE CRONOLÓGICO'!$A$2:$A$4919,0))-1,"")</f>
        <v/>
      </c>
      <c r="O156" s="6">
        <f>IFERROR($I156*3,"")</f>
        <v/>
      </c>
      <c r="P156" s="6">
        <f>IFERROR($I156*3.5,"")</f>
        <v/>
      </c>
      <c r="Q156" s="6">
        <f>IFERROR($I156*4,"")</f>
        <v/>
      </c>
      <c r="R156" s="6" t="n">
        <v>450</v>
      </c>
      <c r="S156" s="4" t="n">
        <v>0</v>
      </c>
      <c r="T156" s="1" t="inlineStr">
        <is>
          <t>active</t>
        </is>
      </c>
      <c r="U156" s="8" t="n"/>
      <c r="V156" s="1" t="inlineStr">
        <is>
          <t>SIN PRECIO</t>
        </is>
      </c>
    </row>
    <row r="157">
      <c r="A157" s="1" t="inlineStr">
        <is>
          <t>15711171972493</t>
        </is>
      </c>
      <c r="B157" s="1" t="inlineStr">
        <is>
          <t>PULSERA PANTHERE DOBLE CADENA C</t>
        </is>
      </c>
      <c r="C157" s="1" t="inlineStr">
        <is>
          <t>Default Title</t>
        </is>
      </c>
      <c r="D157" s="1" t="inlineStr">
        <is>
          <t>HAIFENG</t>
        </is>
      </c>
      <c r="E157" s="4">
        <f>COUNTIF('DETALLE CRONOLÓGICO'!$A$2:$A$4919,$A157)</f>
        <v/>
      </c>
      <c r="F157" s="4">
        <f>SUMIFS('DETALLE CRONOLÓGICO'!$I$2:$I$4919,'DETALLE CRONOLÓGICO'!$A$2:$A$4919,$A157)</f>
        <v/>
      </c>
      <c r="G157" s="1">
        <f>INDEX('DETALLE CRONOLÓGICO'!$D$2:$D$4919,MATCH($A157,'DETALLE CRONOLÓGICO'!$A$2:$A$4919,0))</f>
        <v/>
      </c>
      <c r="H157" s="1">
        <f>INDEX('DETALLE CRONOLÓGICO'!$D$2:$D$4919,MATCH($A157,'DETALLE CRONOLÓGICO'!$A$2:$A$4919,0)+$E157-1)</f>
        <v/>
      </c>
      <c r="I157" s="5">
        <f>IFERROR(SUMIFS('DETALLE CRONOLÓGICO'!$L$2:$L$4919,'DETALLE CRONOLÓGICO'!$A$2:$A$4919,$A157)/$F157,"")</f>
        <v/>
      </c>
      <c r="J157" s="6">
        <f>IFERROR(SUMIFS('DETALLE CRONOLÓGICO'!$K$2:$K$4919,'DETALLE CRONOLÓGICO'!$A$2:$A$4919,$A157)/$E157,"")</f>
        <v/>
      </c>
      <c r="K157" s="6">
        <f>_xlfn.MINIFS('DETALLE CRONOLÓGICO'!$K$2:$K$4919,'DETALLE CRONOLÓGICO'!$A$2:$A$4919,$A157)</f>
        <v/>
      </c>
      <c r="L157" s="6">
        <f>_xlfn.MAXIFS('DETALLE CRONOLÓGICO'!$K$2:$K$4919,'DETALLE CRONOLÓGICO'!$A$2:$A$4919,$A157)</f>
        <v/>
      </c>
      <c r="M157" s="6">
        <f>INDEX('DETALLE CRONOLÓGICO'!$K$2:$K$4919,MATCH($A157,'DETALLE CRONOLÓGICO'!$A$2:$A$4919,0)+$E157-1)</f>
        <v/>
      </c>
      <c r="N157" s="7">
        <f>IFERROR($M157/INDEX('DETALLE CRONOLÓGICO'!$K$2:$K$4919,MATCH($A157,'DETALLE CRONOLÓGICO'!$A$2:$A$4919,0))-1,"")</f>
        <v/>
      </c>
      <c r="O157" s="6">
        <f>IFERROR($I157*3,"")</f>
        <v/>
      </c>
      <c r="P157" s="6">
        <f>IFERROR($I157*3.5,"")</f>
        <v/>
      </c>
      <c r="Q157" s="6">
        <f>IFERROR($I157*4,"")</f>
        <v/>
      </c>
      <c r="R157" s="6" t="n">
        <v>599</v>
      </c>
      <c r="S157" s="4" t="n">
        <v>2</v>
      </c>
      <c r="T157" s="1" t="inlineStr">
        <is>
          <t>active</t>
        </is>
      </c>
      <c r="U157" s="8" t="n"/>
      <c r="V157" s="1" t="inlineStr">
        <is>
          <t>SIN PRECIO</t>
        </is>
      </c>
    </row>
    <row r="158">
      <c r="A158" s="1" t="inlineStr">
        <is>
          <t>15711172030349</t>
        </is>
      </c>
      <c r="B158" s="1" t="inlineStr">
        <is>
          <t>ARETES BEAN GOLD T</t>
        </is>
      </c>
      <c r="C158" s="1" t="inlineStr">
        <is>
          <t>Default Title</t>
        </is>
      </c>
      <c r="D158" s="1" t="inlineStr">
        <is>
          <t>CYNTHIA</t>
        </is>
      </c>
      <c r="E158" s="4">
        <f>COUNTIF('DETALLE CRONOLÓGICO'!$A$2:$A$4919,$A158)</f>
        <v/>
      </c>
      <c r="F158" s="4">
        <f>SUMIFS('DETALLE CRONOLÓGICO'!$I$2:$I$4919,'DETALLE CRONOLÓGICO'!$A$2:$A$4919,$A158)</f>
        <v/>
      </c>
      <c r="G158" s="1">
        <f>INDEX('DETALLE CRONOLÓGICO'!$D$2:$D$4919,MATCH($A158,'DETALLE CRONOLÓGICO'!$A$2:$A$4919,0))</f>
        <v/>
      </c>
      <c r="H158" s="1">
        <f>INDEX('DETALLE CRONOLÓGICO'!$D$2:$D$4919,MATCH($A158,'DETALLE CRONOLÓGICO'!$A$2:$A$4919,0)+$E158-1)</f>
        <v/>
      </c>
      <c r="I158" s="5">
        <f>IFERROR(SUMIFS('DETALLE CRONOLÓGICO'!$L$2:$L$4919,'DETALLE CRONOLÓGICO'!$A$2:$A$4919,$A158)/$F158,"")</f>
        <v/>
      </c>
      <c r="J158" s="6">
        <f>IFERROR(SUMIFS('DETALLE CRONOLÓGICO'!$K$2:$K$4919,'DETALLE CRONOLÓGICO'!$A$2:$A$4919,$A158)/$E158,"")</f>
        <v/>
      </c>
      <c r="K158" s="6">
        <f>_xlfn.MINIFS('DETALLE CRONOLÓGICO'!$K$2:$K$4919,'DETALLE CRONOLÓGICO'!$A$2:$A$4919,$A158)</f>
        <v/>
      </c>
      <c r="L158" s="6">
        <f>_xlfn.MAXIFS('DETALLE CRONOLÓGICO'!$K$2:$K$4919,'DETALLE CRONOLÓGICO'!$A$2:$A$4919,$A158)</f>
        <v/>
      </c>
      <c r="M158" s="6">
        <f>INDEX('DETALLE CRONOLÓGICO'!$K$2:$K$4919,MATCH($A158,'DETALLE CRONOLÓGICO'!$A$2:$A$4919,0)+$E158-1)</f>
        <v/>
      </c>
      <c r="N158" s="7">
        <f>IFERROR($M158/INDEX('DETALLE CRONOLÓGICO'!$K$2:$K$4919,MATCH($A158,'DETALLE CRONOLÓGICO'!$A$2:$A$4919,0))-1,"")</f>
        <v/>
      </c>
      <c r="O158" s="6">
        <f>IFERROR($I158*3,"")</f>
        <v/>
      </c>
      <c r="P158" s="6">
        <f>IFERROR($I158*3.5,"")</f>
        <v/>
      </c>
      <c r="Q158" s="6">
        <f>IFERROR($I158*4,"")</f>
        <v/>
      </c>
      <c r="R158" s="6" t="n">
        <v>935</v>
      </c>
      <c r="S158" s="4" t="n">
        <v>10</v>
      </c>
      <c r="T158" s="1" t="inlineStr">
        <is>
          <t>active</t>
        </is>
      </c>
      <c r="U158" s="8" t="n"/>
      <c r="V158" s="1" t="inlineStr">
        <is>
          <t>SIN PRECIO</t>
        </is>
      </c>
    </row>
    <row r="159">
      <c r="A159" s="1" t="inlineStr">
        <is>
          <t>15711172175405</t>
        </is>
      </c>
      <c r="B159" s="1" t="inlineStr">
        <is>
          <t>ARETES DIORIVIERA GOLD CD</t>
        </is>
      </c>
      <c r="C159" s="1" t="inlineStr">
        <is>
          <t>Default Title</t>
        </is>
      </c>
      <c r="D159" s="1" t="inlineStr">
        <is>
          <t>CYNTHIA</t>
        </is>
      </c>
      <c r="E159" s="4">
        <f>COUNTIF('DETALLE CRONOLÓGICO'!$A$2:$A$4919,$A159)</f>
        <v/>
      </c>
      <c r="F159" s="4">
        <f>SUMIFS('DETALLE CRONOLÓGICO'!$I$2:$I$4919,'DETALLE CRONOLÓGICO'!$A$2:$A$4919,$A159)</f>
        <v/>
      </c>
      <c r="G159" s="1">
        <f>INDEX('DETALLE CRONOLÓGICO'!$D$2:$D$4919,MATCH($A159,'DETALLE CRONOLÓGICO'!$A$2:$A$4919,0))</f>
        <v/>
      </c>
      <c r="H159" s="1">
        <f>INDEX('DETALLE CRONOLÓGICO'!$D$2:$D$4919,MATCH($A159,'DETALLE CRONOLÓGICO'!$A$2:$A$4919,0)+$E159-1)</f>
        <v/>
      </c>
      <c r="I159" s="5">
        <f>IFERROR(SUMIFS('DETALLE CRONOLÓGICO'!$L$2:$L$4919,'DETALLE CRONOLÓGICO'!$A$2:$A$4919,$A159)/$F159,"")</f>
        <v/>
      </c>
      <c r="J159" s="6">
        <f>IFERROR(SUMIFS('DETALLE CRONOLÓGICO'!$K$2:$K$4919,'DETALLE CRONOLÓGICO'!$A$2:$A$4919,$A159)/$E159,"")</f>
        <v/>
      </c>
      <c r="K159" s="6">
        <f>_xlfn.MINIFS('DETALLE CRONOLÓGICO'!$K$2:$K$4919,'DETALLE CRONOLÓGICO'!$A$2:$A$4919,$A159)</f>
        <v/>
      </c>
      <c r="L159" s="6">
        <f>_xlfn.MAXIFS('DETALLE CRONOLÓGICO'!$K$2:$K$4919,'DETALLE CRONOLÓGICO'!$A$2:$A$4919,$A159)</f>
        <v/>
      </c>
      <c r="M159" s="6">
        <f>INDEX('DETALLE CRONOLÓGICO'!$K$2:$K$4919,MATCH($A159,'DETALLE CRONOLÓGICO'!$A$2:$A$4919,0)+$E159-1)</f>
        <v/>
      </c>
      <c r="N159" s="7">
        <f>IFERROR($M159/INDEX('DETALLE CRONOLÓGICO'!$K$2:$K$4919,MATCH($A159,'DETALLE CRONOLÓGICO'!$A$2:$A$4919,0))-1,"")</f>
        <v/>
      </c>
      <c r="O159" s="6">
        <f>IFERROR($I159*3,"")</f>
        <v/>
      </c>
      <c r="P159" s="6">
        <f>IFERROR($I159*3.5,"")</f>
        <v/>
      </c>
      <c r="Q159" s="6">
        <f>IFERROR($I159*4,"")</f>
        <v/>
      </c>
      <c r="R159" s="6" t="n">
        <v>950</v>
      </c>
      <c r="S159" s="4" t="n">
        <v>0</v>
      </c>
      <c r="T159" s="1" t="inlineStr">
        <is>
          <t>active</t>
        </is>
      </c>
      <c r="U159" s="8" t="n"/>
      <c r="V159" s="1" t="inlineStr">
        <is>
          <t>SIN PRECIO</t>
        </is>
      </c>
    </row>
    <row r="160">
      <c r="A160" s="1" t="inlineStr">
        <is>
          <t>15711172277517</t>
        </is>
      </c>
      <c r="B160" s="1" t="inlineStr">
        <is>
          <t>ARETES CD SADDLE GOLD</t>
        </is>
      </c>
      <c r="C160" s="1" t="inlineStr">
        <is>
          <t>3 cm</t>
        </is>
      </c>
      <c r="D160" s="1" t="inlineStr">
        <is>
          <t>CYNTHIA</t>
        </is>
      </c>
      <c r="E160" s="4">
        <f>COUNTIF('DETALLE CRONOLÓGICO'!$A$2:$A$4919,$A160)</f>
        <v/>
      </c>
      <c r="F160" s="4">
        <f>SUMIFS('DETALLE CRONOLÓGICO'!$I$2:$I$4919,'DETALLE CRONOLÓGICO'!$A$2:$A$4919,$A160)</f>
        <v/>
      </c>
      <c r="G160" s="1">
        <f>INDEX('DETALLE CRONOLÓGICO'!$D$2:$D$4919,MATCH($A160,'DETALLE CRONOLÓGICO'!$A$2:$A$4919,0))</f>
        <v/>
      </c>
      <c r="H160" s="1">
        <f>INDEX('DETALLE CRONOLÓGICO'!$D$2:$D$4919,MATCH($A160,'DETALLE CRONOLÓGICO'!$A$2:$A$4919,0)+$E160-1)</f>
        <v/>
      </c>
      <c r="I160" s="5">
        <f>IFERROR(SUMIFS('DETALLE CRONOLÓGICO'!$L$2:$L$4919,'DETALLE CRONOLÓGICO'!$A$2:$A$4919,$A160)/$F160,"")</f>
        <v/>
      </c>
      <c r="J160" s="6">
        <f>IFERROR(SUMIFS('DETALLE CRONOLÓGICO'!$K$2:$K$4919,'DETALLE CRONOLÓGICO'!$A$2:$A$4919,$A160)/$E160,"")</f>
        <v/>
      </c>
      <c r="K160" s="6">
        <f>_xlfn.MINIFS('DETALLE CRONOLÓGICO'!$K$2:$K$4919,'DETALLE CRONOLÓGICO'!$A$2:$A$4919,$A160)</f>
        <v/>
      </c>
      <c r="L160" s="6">
        <f>_xlfn.MAXIFS('DETALLE CRONOLÓGICO'!$K$2:$K$4919,'DETALLE CRONOLÓGICO'!$A$2:$A$4919,$A160)</f>
        <v/>
      </c>
      <c r="M160" s="6">
        <f>INDEX('DETALLE CRONOLÓGICO'!$K$2:$K$4919,MATCH($A160,'DETALLE CRONOLÓGICO'!$A$2:$A$4919,0)+$E160-1)</f>
        <v/>
      </c>
      <c r="N160" s="7">
        <f>IFERROR($M160/INDEX('DETALLE CRONOLÓGICO'!$K$2:$K$4919,MATCH($A160,'DETALLE CRONOLÓGICO'!$A$2:$A$4919,0))-1,"")</f>
        <v/>
      </c>
      <c r="O160" s="6">
        <f>IFERROR($I160*3,"")</f>
        <v/>
      </c>
      <c r="P160" s="6">
        <f>IFERROR($I160*3.5,"")</f>
        <v/>
      </c>
      <c r="Q160" s="6">
        <f>IFERROR($I160*4,"")</f>
        <v/>
      </c>
      <c r="R160" s="6" t="n">
        <v>582.47</v>
      </c>
      <c r="S160" s="4" t="n">
        <v>3</v>
      </c>
      <c r="T160" s="1" t="inlineStr">
        <is>
          <t>active</t>
        </is>
      </c>
      <c r="U160" s="8" t="n"/>
      <c r="V160" s="1" t="inlineStr">
        <is>
          <t>SIN PRECIO</t>
        </is>
      </c>
    </row>
    <row r="161">
      <c r="A161" s="1" t="inlineStr">
        <is>
          <t>15711172330573</t>
        </is>
      </c>
      <c r="B161" s="1" t="inlineStr">
        <is>
          <t>ARETES CD PETIT JOLIE GOLD</t>
        </is>
      </c>
      <c r="C161" s="1" t="inlineStr">
        <is>
          <t>Default Title</t>
        </is>
      </c>
      <c r="D161" s="1" t="inlineStr">
        <is>
          <t>CYNTHIA</t>
        </is>
      </c>
      <c r="E161" s="4">
        <f>COUNTIF('DETALLE CRONOLÓGICO'!$A$2:$A$4919,$A161)</f>
        <v/>
      </c>
      <c r="F161" s="4">
        <f>SUMIFS('DETALLE CRONOLÓGICO'!$I$2:$I$4919,'DETALLE CRONOLÓGICO'!$A$2:$A$4919,$A161)</f>
        <v/>
      </c>
      <c r="G161" s="1">
        <f>INDEX('DETALLE CRONOLÓGICO'!$D$2:$D$4919,MATCH($A161,'DETALLE CRONOLÓGICO'!$A$2:$A$4919,0))</f>
        <v/>
      </c>
      <c r="H161" s="1">
        <f>INDEX('DETALLE CRONOLÓGICO'!$D$2:$D$4919,MATCH($A161,'DETALLE CRONOLÓGICO'!$A$2:$A$4919,0)+$E161-1)</f>
        <v/>
      </c>
      <c r="I161" s="5">
        <f>IFERROR(SUMIFS('DETALLE CRONOLÓGICO'!$L$2:$L$4919,'DETALLE CRONOLÓGICO'!$A$2:$A$4919,$A161)/$F161,"")</f>
        <v/>
      </c>
      <c r="J161" s="6">
        <f>IFERROR(SUMIFS('DETALLE CRONOLÓGICO'!$K$2:$K$4919,'DETALLE CRONOLÓGICO'!$A$2:$A$4919,$A161)/$E161,"")</f>
        <v/>
      </c>
      <c r="K161" s="6">
        <f>_xlfn.MINIFS('DETALLE CRONOLÓGICO'!$K$2:$K$4919,'DETALLE CRONOLÓGICO'!$A$2:$A$4919,$A161)</f>
        <v/>
      </c>
      <c r="L161" s="6">
        <f>_xlfn.MAXIFS('DETALLE CRONOLÓGICO'!$K$2:$K$4919,'DETALLE CRONOLÓGICO'!$A$2:$A$4919,$A161)</f>
        <v/>
      </c>
      <c r="M161" s="6">
        <f>INDEX('DETALLE CRONOLÓGICO'!$K$2:$K$4919,MATCH($A161,'DETALLE CRONOLÓGICO'!$A$2:$A$4919,0)+$E161-1)</f>
        <v/>
      </c>
      <c r="N161" s="7">
        <f>IFERROR($M161/INDEX('DETALLE CRONOLÓGICO'!$K$2:$K$4919,MATCH($A161,'DETALLE CRONOLÓGICO'!$A$2:$A$4919,0))-1,"")</f>
        <v/>
      </c>
      <c r="O161" s="6">
        <f>IFERROR($I161*3,"")</f>
        <v/>
      </c>
      <c r="P161" s="6">
        <f>IFERROR($I161*3.5,"")</f>
        <v/>
      </c>
      <c r="Q161" s="6">
        <f>IFERROR($I161*4,"")</f>
        <v/>
      </c>
      <c r="R161" s="6" t="n">
        <v>709</v>
      </c>
      <c r="S161" s="4" t="n">
        <v>2</v>
      </c>
      <c r="T161" s="1" t="inlineStr">
        <is>
          <t>active</t>
        </is>
      </c>
      <c r="U161" s="8" t="n"/>
      <c r="V161" s="1" t="inlineStr">
        <is>
          <t>SIN PRECIO</t>
        </is>
      </c>
    </row>
    <row r="162">
      <c r="A162" s="1" t="inlineStr">
        <is>
          <t>15711172404461</t>
        </is>
      </c>
      <c r="B162" s="1" t="inlineStr">
        <is>
          <t>PULSERA PETIT CD JOLIE GOLD</t>
        </is>
      </c>
      <c r="C162" s="1" t="inlineStr">
        <is>
          <t>20 cm</t>
        </is>
      </c>
      <c r="D162" s="1" t="inlineStr">
        <is>
          <t>CYNTHIA</t>
        </is>
      </c>
      <c r="E162" s="4">
        <f>COUNTIF('DETALLE CRONOLÓGICO'!$A$2:$A$4919,$A162)</f>
        <v/>
      </c>
      <c r="F162" s="4">
        <f>SUMIFS('DETALLE CRONOLÓGICO'!$I$2:$I$4919,'DETALLE CRONOLÓGICO'!$A$2:$A$4919,$A162)</f>
        <v/>
      </c>
      <c r="G162" s="1">
        <f>INDEX('DETALLE CRONOLÓGICO'!$D$2:$D$4919,MATCH($A162,'DETALLE CRONOLÓGICO'!$A$2:$A$4919,0))</f>
        <v/>
      </c>
      <c r="H162" s="1">
        <f>INDEX('DETALLE CRONOLÓGICO'!$D$2:$D$4919,MATCH($A162,'DETALLE CRONOLÓGICO'!$A$2:$A$4919,0)+$E162-1)</f>
        <v/>
      </c>
      <c r="I162" s="5">
        <f>IFERROR(SUMIFS('DETALLE CRONOLÓGICO'!$L$2:$L$4919,'DETALLE CRONOLÓGICO'!$A$2:$A$4919,$A162)/$F162,"")</f>
        <v/>
      </c>
      <c r="J162" s="6">
        <f>IFERROR(SUMIFS('DETALLE CRONOLÓGICO'!$K$2:$K$4919,'DETALLE CRONOLÓGICO'!$A$2:$A$4919,$A162)/$E162,"")</f>
        <v/>
      </c>
      <c r="K162" s="6">
        <f>_xlfn.MINIFS('DETALLE CRONOLÓGICO'!$K$2:$K$4919,'DETALLE CRONOLÓGICO'!$A$2:$A$4919,$A162)</f>
        <v/>
      </c>
      <c r="L162" s="6">
        <f>_xlfn.MAXIFS('DETALLE CRONOLÓGICO'!$K$2:$K$4919,'DETALLE CRONOLÓGICO'!$A$2:$A$4919,$A162)</f>
        <v/>
      </c>
      <c r="M162" s="6">
        <f>INDEX('DETALLE CRONOLÓGICO'!$K$2:$K$4919,MATCH($A162,'DETALLE CRONOLÓGICO'!$A$2:$A$4919,0)+$E162-1)</f>
        <v/>
      </c>
      <c r="N162" s="7">
        <f>IFERROR($M162/INDEX('DETALLE CRONOLÓGICO'!$K$2:$K$4919,MATCH($A162,'DETALLE CRONOLÓGICO'!$A$2:$A$4919,0))-1,"")</f>
        <v/>
      </c>
      <c r="O162" s="6">
        <f>IFERROR($I162*3,"")</f>
        <v/>
      </c>
      <c r="P162" s="6">
        <f>IFERROR($I162*3.5,"")</f>
        <v/>
      </c>
      <c r="Q162" s="6">
        <f>IFERROR($I162*4,"")</f>
        <v/>
      </c>
      <c r="R162" s="6" t="n">
        <v>935</v>
      </c>
      <c r="S162" s="4" t="n">
        <v>4</v>
      </c>
      <c r="T162" s="1" t="inlineStr">
        <is>
          <t>active</t>
        </is>
      </c>
      <c r="U162" s="8" t="n"/>
      <c r="V162" s="1" t="inlineStr">
        <is>
          <t>SIN PRECIO</t>
        </is>
      </c>
    </row>
    <row r="163">
      <c r="A163" s="1" t="inlineStr">
        <is>
          <t>15711172573869</t>
        </is>
      </c>
      <c r="B163" s="1" t="inlineStr">
        <is>
          <t>COLLAR JOLIE CD GOLD</t>
        </is>
      </c>
      <c r="C163" s="1" t="inlineStr">
        <is>
          <t>Default Title</t>
        </is>
      </c>
      <c r="D163" s="1" t="inlineStr">
        <is>
          <t>CYNTHIA</t>
        </is>
      </c>
      <c r="E163" s="4">
        <f>COUNTIF('DETALLE CRONOLÓGICO'!$A$2:$A$4919,$A163)</f>
        <v/>
      </c>
      <c r="F163" s="4">
        <f>SUMIFS('DETALLE CRONOLÓGICO'!$I$2:$I$4919,'DETALLE CRONOLÓGICO'!$A$2:$A$4919,$A163)</f>
        <v/>
      </c>
      <c r="G163" s="1">
        <f>INDEX('DETALLE CRONOLÓGICO'!$D$2:$D$4919,MATCH($A163,'DETALLE CRONOLÓGICO'!$A$2:$A$4919,0))</f>
        <v/>
      </c>
      <c r="H163" s="1">
        <f>INDEX('DETALLE CRONOLÓGICO'!$D$2:$D$4919,MATCH($A163,'DETALLE CRONOLÓGICO'!$A$2:$A$4919,0)+$E163-1)</f>
        <v/>
      </c>
      <c r="I163" s="5">
        <f>IFERROR(SUMIFS('DETALLE CRONOLÓGICO'!$L$2:$L$4919,'DETALLE CRONOLÓGICO'!$A$2:$A$4919,$A163)/$F163,"")</f>
        <v/>
      </c>
      <c r="J163" s="6">
        <f>IFERROR(SUMIFS('DETALLE CRONOLÓGICO'!$K$2:$K$4919,'DETALLE CRONOLÓGICO'!$A$2:$A$4919,$A163)/$E163,"")</f>
        <v/>
      </c>
      <c r="K163" s="6">
        <f>_xlfn.MINIFS('DETALLE CRONOLÓGICO'!$K$2:$K$4919,'DETALLE CRONOLÓGICO'!$A$2:$A$4919,$A163)</f>
        <v/>
      </c>
      <c r="L163" s="6">
        <f>_xlfn.MAXIFS('DETALLE CRONOLÓGICO'!$K$2:$K$4919,'DETALLE CRONOLÓGICO'!$A$2:$A$4919,$A163)</f>
        <v/>
      </c>
      <c r="M163" s="6">
        <f>INDEX('DETALLE CRONOLÓGICO'!$K$2:$K$4919,MATCH($A163,'DETALLE CRONOLÓGICO'!$A$2:$A$4919,0)+$E163-1)</f>
        <v/>
      </c>
      <c r="N163" s="7">
        <f>IFERROR($M163/INDEX('DETALLE CRONOLÓGICO'!$K$2:$K$4919,MATCH($A163,'DETALLE CRONOLÓGICO'!$A$2:$A$4919,0))-1,"")</f>
        <v/>
      </c>
      <c r="O163" s="6">
        <f>IFERROR($I163*3,"")</f>
        <v/>
      </c>
      <c r="P163" s="6">
        <f>IFERROR($I163*3.5,"")</f>
        <v/>
      </c>
      <c r="Q163" s="6">
        <f>IFERROR($I163*4,"")</f>
        <v/>
      </c>
      <c r="R163" s="6" t="n">
        <v>820</v>
      </c>
      <c r="S163" s="4" t="n">
        <v>7</v>
      </c>
      <c r="T163" s="1" t="inlineStr">
        <is>
          <t>active</t>
        </is>
      </c>
      <c r="U163" s="8" t="n"/>
      <c r="V163" s="1" t="inlineStr">
        <is>
          <t>SIN PRECIO</t>
        </is>
      </c>
    </row>
    <row r="164">
      <c r="A164" s="1" t="inlineStr">
        <is>
          <t>15711172684525</t>
        </is>
      </c>
      <c r="B164" s="1" t="inlineStr">
        <is>
          <t>COLLAR LOGO CD CON ZIRCONIA SILVER</t>
        </is>
      </c>
      <c r="C164" s="1" t="inlineStr">
        <is>
          <t>Default Title</t>
        </is>
      </c>
      <c r="D164" s="1" t="inlineStr">
        <is>
          <t>CYNTHIA</t>
        </is>
      </c>
      <c r="E164" s="4">
        <f>COUNTIF('DETALLE CRONOLÓGICO'!$A$2:$A$4919,$A164)</f>
        <v/>
      </c>
      <c r="F164" s="4">
        <f>SUMIFS('DETALLE CRONOLÓGICO'!$I$2:$I$4919,'DETALLE CRONOLÓGICO'!$A$2:$A$4919,$A164)</f>
        <v/>
      </c>
      <c r="G164" s="1">
        <f>INDEX('DETALLE CRONOLÓGICO'!$D$2:$D$4919,MATCH($A164,'DETALLE CRONOLÓGICO'!$A$2:$A$4919,0))</f>
        <v/>
      </c>
      <c r="H164" s="1">
        <f>INDEX('DETALLE CRONOLÓGICO'!$D$2:$D$4919,MATCH($A164,'DETALLE CRONOLÓGICO'!$A$2:$A$4919,0)+$E164-1)</f>
        <v/>
      </c>
      <c r="I164" s="5">
        <f>IFERROR(SUMIFS('DETALLE CRONOLÓGICO'!$L$2:$L$4919,'DETALLE CRONOLÓGICO'!$A$2:$A$4919,$A164)/$F164,"")</f>
        <v/>
      </c>
      <c r="J164" s="6">
        <f>IFERROR(SUMIFS('DETALLE CRONOLÓGICO'!$K$2:$K$4919,'DETALLE CRONOLÓGICO'!$A$2:$A$4919,$A164)/$E164,"")</f>
        <v/>
      </c>
      <c r="K164" s="6">
        <f>_xlfn.MINIFS('DETALLE CRONOLÓGICO'!$K$2:$K$4919,'DETALLE CRONOLÓGICO'!$A$2:$A$4919,$A164)</f>
        <v/>
      </c>
      <c r="L164" s="6">
        <f>_xlfn.MAXIFS('DETALLE CRONOLÓGICO'!$K$2:$K$4919,'DETALLE CRONOLÓGICO'!$A$2:$A$4919,$A164)</f>
        <v/>
      </c>
      <c r="M164" s="6">
        <f>INDEX('DETALLE CRONOLÓGICO'!$K$2:$K$4919,MATCH($A164,'DETALLE CRONOLÓGICO'!$A$2:$A$4919,0)+$E164-1)</f>
        <v/>
      </c>
      <c r="N164" s="7">
        <f>IFERROR($M164/INDEX('DETALLE CRONOLÓGICO'!$K$2:$K$4919,MATCH($A164,'DETALLE CRONOLÓGICO'!$A$2:$A$4919,0))-1,"")</f>
        <v/>
      </c>
      <c r="O164" s="6">
        <f>IFERROR($I164*3,"")</f>
        <v/>
      </c>
      <c r="P164" s="6">
        <f>IFERROR($I164*3.5,"")</f>
        <v/>
      </c>
      <c r="Q164" s="6">
        <f>IFERROR($I164*4,"")</f>
        <v/>
      </c>
      <c r="R164" s="6" t="n">
        <v>528</v>
      </c>
      <c r="S164" s="4" t="n">
        <v>0</v>
      </c>
      <c r="T164" s="1" t="inlineStr">
        <is>
          <t>active</t>
        </is>
      </c>
      <c r="U164" s="8" t="n"/>
      <c r="V164" s="1" t="inlineStr">
        <is>
          <t>SIN PRECIO</t>
        </is>
      </c>
    </row>
    <row r="165">
      <c r="A165" s="1" t="inlineStr">
        <is>
          <t>15711172766221</t>
        </is>
      </c>
      <c r="B165" s="1" t="inlineStr">
        <is>
          <t>PULSERA C GOLD</t>
        </is>
      </c>
      <c r="C165" s="1" t="inlineStr">
        <is>
          <t>Default Title</t>
        </is>
      </c>
      <c r="D165" s="1" t="inlineStr">
        <is>
          <t>CYNTHIA</t>
        </is>
      </c>
      <c r="E165" s="4">
        <f>COUNTIF('DETALLE CRONOLÓGICO'!$A$2:$A$4919,$A165)</f>
        <v/>
      </c>
      <c r="F165" s="4">
        <f>SUMIFS('DETALLE CRONOLÓGICO'!$I$2:$I$4919,'DETALLE CRONOLÓGICO'!$A$2:$A$4919,$A165)</f>
        <v/>
      </c>
      <c r="G165" s="1">
        <f>INDEX('DETALLE CRONOLÓGICO'!$D$2:$D$4919,MATCH($A165,'DETALLE CRONOLÓGICO'!$A$2:$A$4919,0))</f>
        <v/>
      </c>
      <c r="H165" s="1">
        <f>INDEX('DETALLE CRONOLÓGICO'!$D$2:$D$4919,MATCH($A165,'DETALLE CRONOLÓGICO'!$A$2:$A$4919,0)+$E165-1)</f>
        <v/>
      </c>
      <c r="I165" s="5">
        <f>IFERROR(SUMIFS('DETALLE CRONOLÓGICO'!$L$2:$L$4919,'DETALLE CRONOLÓGICO'!$A$2:$A$4919,$A165)/$F165,"")</f>
        <v/>
      </c>
      <c r="J165" s="6">
        <f>IFERROR(SUMIFS('DETALLE CRONOLÓGICO'!$K$2:$K$4919,'DETALLE CRONOLÓGICO'!$A$2:$A$4919,$A165)/$E165,"")</f>
        <v/>
      </c>
      <c r="K165" s="6">
        <f>_xlfn.MINIFS('DETALLE CRONOLÓGICO'!$K$2:$K$4919,'DETALLE CRONOLÓGICO'!$A$2:$A$4919,$A165)</f>
        <v/>
      </c>
      <c r="L165" s="6">
        <f>_xlfn.MAXIFS('DETALLE CRONOLÓGICO'!$K$2:$K$4919,'DETALLE CRONOLÓGICO'!$A$2:$A$4919,$A165)</f>
        <v/>
      </c>
      <c r="M165" s="6">
        <f>INDEX('DETALLE CRONOLÓGICO'!$K$2:$K$4919,MATCH($A165,'DETALLE CRONOLÓGICO'!$A$2:$A$4919,0)+$E165-1)</f>
        <v/>
      </c>
      <c r="N165" s="7">
        <f>IFERROR($M165/INDEX('DETALLE CRONOLÓGICO'!$K$2:$K$4919,MATCH($A165,'DETALLE CRONOLÓGICO'!$A$2:$A$4919,0))-1,"")</f>
        <v/>
      </c>
      <c r="O165" s="6">
        <f>IFERROR($I165*3,"")</f>
        <v/>
      </c>
      <c r="P165" s="6">
        <f>IFERROR($I165*3.5,"")</f>
        <v/>
      </c>
      <c r="Q165" s="6">
        <f>IFERROR($I165*4,"")</f>
        <v/>
      </c>
      <c r="R165" s="6" t="n">
        <v>939</v>
      </c>
      <c r="S165" s="4" t="n">
        <v>5</v>
      </c>
      <c r="T165" s="1" t="inlineStr">
        <is>
          <t>active</t>
        </is>
      </c>
      <c r="U165" s="8" t="n"/>
      <c r="V165" s="1" t="inlineStr">
        <is>
          <t>SIN PRECIO</t>
        </is>
      </c>
    </row>
    <row r="166">
      <c r="A166" s="1" t="inlineStr">
        <is>
          <t>15711172845805</t>
        </is>
      </c>
      <c r="B166" s="1" t="inlineStr">
        <is>
          <t>PULSERA C SILVER</t>
        </is>
      </c>
      <c r="C166" s="1" t="inlineStr">
        <is>
          <t>16 cm</t>
        </is>
      </c>
      <c r="D166" s="1" t="inlineStr">
        <is>
          <t>CYNTHIA</t>
        </is>
      </c>
      <c r="E166" s="4">
        <f>COUNTIF('DETALLE CRONOLÓGICO'!$A$2:$A$4919,$A166)</f>
        <v/>
      </c>
      <c r="F166" s="4">
        <f>SUMIFS('DETALLE CRONOLÓGICO'!$I$2:$I$4919,'DETALLE CRONOLÓGICO'!$A$2:$A$4919,$A166)</f>
        <v/>
      </c>
      <c r="G166" s="1">
        <f>INDEX('DETALLE CRONOLÓGICO'!$D$2:$D$4919,MATCH($A166,'DETALLE CRONOLÓGICO'!$A$2:$A$4919,0))</f>
        <v/>
      </c>
      <c r="H166" s="1">
        <f>INDEX('DETALLE CRONOLÓGICO'!$D$2:$D$4919,MATCH($A166,'DETALLE CRONOLÓGICO'!$A$2:$A$4919,0)+$E166-1)</f>
        <v/>
      </c>
      <c r="I166" s="5">
        <f>IFERROR(SUMIFS('DETALLE CRONOLÓGICO'!$L$2:$L$4919,'DETALLE CRONOLÓGICO'!$A$2:$A$4919,$A166)/$F166,"")</f>
        <v/>
      </c>
      <c r="J166" s="6">
        <f>IFERROR(SUMIFS('DETALLE CRONOLÓGICO'!$K$2:$K$4919,'DETALLE CRONOLÓGICO'!$A$2:$A$4919,$A166)/$E166,"")</f>
        <v/>
      </c>
      <c r="K166" s="6">
        <f>_xlfn.MINIFS('DETALLE CRONOLÓGICO'!$K$2:$K$4919,'DETALLE CRONOLÓGICO'!$A$2:$A$4919,$A166)</f>
        <v/>
      </c>
      <c r="L166" s="6">
        <f>_xlfn.MAXIFS('DETALLE CRONOLÓGICO'!$K$2:$K$4919,'DETALLE CRONOLÓGICO'!$A$2:$A$4919,$A166)</f>
        <v/>
      </c>
      <c r="M166" s="6">
        <f>INDEX('DETALLE CRONOLÓGICO'!$K$2:$K$4919,MATCH($A166,'DETALLE CRONOLÓGICO'!$A$2:$A$4919,0)+$E166-1)</f>
        <v/>
      </c>
      <c r="N166" s="7">
        <f>IFERROR($M166/INDEX('DETALLE CRONOLÓGICO'!$K$2:$K$4919,MATCH($A166,'DETALLE CRONOLÓGICO'!$A$2:$A$4919,0))-1,"")</f>
        <v/>
      </c>
      <c r="O166" s="6">
        <f>IFERROR($I166*3,"")</f>
        <v/>
      </c>
      <c r="P166" s="6">
        <f>IFERROR($I166*3.5,"")</f>
        <v/>
      </c>
      <c r="Q166" s="6">
        <f>IFERROR($I166*4,"")</f>
        <v/>
      </c>
      <c r="R166" s="6" t="n">
        <v>820</v>
      </c>
      <c r="S166" s="4" t="n">
        <v>2</v>
      </c>
      <c r="T166" s="1" t="inlineStr">
        <is>
          <t>active</t>
        </is>
      </c>
      <c r="U166" s="8" t="n"/>
      <c r="V166" s="1" t="inlineStr">
        <is>
          <t>SIN PRECIO</t>
        </is>
      </c>
    </row>
    <row r="167">
      <c r="A167" s="1" t="inlineStr">
        <is>
          <t>15711173032365</t>
        </is>
      </c>
      <c r="B167" s="1" t="inlineStr">
        <is>
          <t>PERFUME DEVOTION, EAU DE PARFUM 100ML</t>
        </is>
      </c>
      <c r="C167" s="1" t="inlineStr">
        <is>
          <t>Default Title</t>
        </is>
      </c>
      <c r="D167" s="1" t="inlineStr">
        <is>
          <t>ZOEY</t>
        </is>
      </c>
      <c r="E167" s="4">
        <f>COUNTIF('DETALLE CRONOLÓGICO'!$A$2:$A$4919,$A167)</f>
        <v/>
      </c>
      <c r="F167" s="4">
        <f>SUMIFS('DETALLE CRONOLÓGICO'!$I$2:$I$4919,'DETALLE CRONOLÓGICO'!$A$2:$A$4919,$A167)</f>
        <v/>
      </c>
      <c r="G167" s="1">
        <f>INDEX('DETALLE CRONOLÓGICO'!$D$2:$D$4919,MATCH($A167,'DETALLE CRONOLÓGICO'!$A$2:$A$4919,0))</f>
        <v/>
      </c>
      <c r="H167" s="1">
        <f>INDEX('DETALLE CRONOLÓGICO'!$D$2:$D$4919,MATCH($A167,'DETALLE CRONOLÓGICO'!$A$2:$A$4919,0)+$E167-1)</f>
        <v/>
      </c>
      <c r="I167" s="5">
        <f>IFERROR(SUMIFS('DETALLE CRONOLÓGICO'!$L$2:$L$4919,'DETALLE CRONOLÓGICO'!$A$2:$A$4919,$A167)/$F167,"")</f>
        <v/>
      </c>
      <c r="J167" s="6">
        <f>IFERROR(SUMIFS('DETALLE CRONOLÓGICO'!$K$2:$K$4919,'DETALLE CRONOLÓGICO'!$A$2:$A$4919,$A167)/$E167,"")</f>
        <v/>
      </c>
      <c r="K167" s="6">
        <f>_xlfn.MINIFS('DETALLE CRONOLÓGICO'!$K$2:$K$4919,'DETALLE CRONOLÓGICO'!$A$2:$A$4919,$A167)</f>
        <v/>
      </c>
      <c r="L167" s="6">
        <f>_xlfn.MAXIFS('DETALLE CRONOLÓGICO'!$K$2:$K$4919,'DETALLE CRONOLÓGICO'!$A$2:$A$4919,$A167)</f>
        <v/>
      </c>
      <c r="M167" s="6">
        <f>INDEX('DETALLE CRONOLÓGICO'!$K$2:$K$4919,MATCH($A167,'DETALLE CRONOLÓGICO'!$A$2:$A$4919,0)+$E167-1)</f>
        <v/>
      </c>
      <c r="N167" s="7">
        <f>IFERROR($M167/INDEX('DETALLE CRONOLÓGICO'!$K$2:$K$4919,MATCH($A167,'DETALLE CRONOLÓGICO'!$A$2:$A$4919,0))-1,"")</f>
        <v/>
      </c>
      <c r="O167" s="6">
        <f>IFERROR($I167*3,"")</f>
        <v/>
      </c>
      <c r="P167" s="6">
        <f>IFERROR($I167*3.5,"")</f>
        <v/>
      </c>
      <c r="Q167" s="6">
        <f>IFERROR($I167*4,"")</f>
        <v/>
      </c>
      <c r="R167" s="6" t="n">
        <v>1499</v>
      </c>
      <c r="S167" s="4" t="n">
        <v>2</v>
      </c>
      <c r="T167" s="1" t="inlineStr">
        <is>
          <t>active</t>
        </is>
      </c>
      <c r="U167" s="8" t="n"/>
      <c r="V167" s="1" t="inlineStr">
        <is>
          <t>SIN PRECIO</t>
        </is>
      </c>
    </row>
    <row r="168">
      <c r="A168" s="1" t="inlineStr">
        <is>
          <t>15711173123085</t>
        </is>
      </c>
      <c r="B168" s="1" t="inlineStr">
        <is>
          <t>PERFUME LAYTON DE MARLY 125ML</t>
        </is>
      </c>
      <c r="C168" s="1" t="inlineStr">
        <is>
          <t>Default Title</t>
        </is>
      </c>
      <c r="D168" s="1" t="inlineStr">
        <is>
          <t>ZOEY</t>
        </is>
      </c>
      <c r="E168" s="4">
        <f>COUNTIF('DETALLE CRONOLÓGICO'!$A$2:$A$4919,$A168)</f>
        <v/>
      </c>
      <c r="F168" s="4">
        <f>SUMIFS('DETALLE CRONOLÓGICO'!$I$2:$I$4919,'DETALLE CRONOLÓGICO'!$A$2:$A$4919,$A168)</f>
        <v/>
      </c>
      <c r="G168" s="1">
        <f>INDEX('DETALLE CRONOLÓGICO'!$D$2:$D$4919,MATCH($A168,'DETALLE CRONOLÓGICO'!$A$2:$A$4919,0))</f>
        <v/>
      </c>
      <c r="H168" s="1">
        <f>INDEX('DETALLE CRONOLÓGICO'!$D$2:$D$4919,MATCH($A168,'DETALLE CRONOLÓGICO'!$A$2:$A$4919,0)+$E168-1)</f>
        <v/>
      </c>
      <c r="I168" s="5">
        <f>IFERROR(SUMIFS('DETALLE CRONOLÓGICO'!$L$2:$L$4919,'DETALLE CRONOLÓGICO'!$A$2:$A$4919,$A168)/$F168,"")</f>
        <v/>
      </c>
      <c r="J168" s="6">
        <f>IFERROR(SUMIFS('DETALLE CRONOLÓGICO'!$K$2:$K$4919,'DETALLE CRONOLÓGICO'!$A$2:$A$4919,$A168)/$E168,"")</f>
        <v/>
      </c>
      <c r="K168" s="6">
        <f>_xlfn.MINIFS('DETALLE CRONOLÓGICO'!$K$2:$K$4919,'DETALLE CRONOLÓGICO'!$A$2:$A$4919,$A168)</f>
        <v/>
      </c>
      <c r="L168" s="6">
        <f>_xlfn.MAXIFS('DETALLE CRONOLÓGICO'!$K$2:$K$4919,'DETALLE CRONOLÓGICO'!$A$2:$A$4919,$A168)</f>
        <v/>
      </c>
      <c r="M168" s="6">
        <f>INDEX('DETALLE CRONOLÓGICO'!$K$2:$K$4919,MATCH($A168,'DETALLE CRONOLÓGICO'!$A$2:$A$4919,0)+$E168-1)</f>
        <v/>
      </c>
      <c r="N168" s="7">
        <f>IFERROR($M168/INDEX('DETALLE CRONOLÓGICO'!$K$2:$K$4919,MATCH($A168,'DETALLE CRONOLÓGICO'!$A$2:$A$4919,0))-1,"")</f>
        <v/>
      </c>
      <c r="O168" s="6">
        <f>IFERROR($I168*3,"")</f>
        <v/>
      </c>
      <c r="P168" s="6">
        <f>IFERROR($I168*3.5,"")</f>
        <v/>
      </c>
      <c r="Q168" s="6">
        <f>IFERROR($I168*4,"")</f>
        <v/>
      </c>
      <c r="R168" s="6" t="n">
        <v>1899</v>
      </c>
      <c r="S168" s="4" t="n">
        <v>1</v>
      </c>
      <c r="T168" s="1" t="inlineStr">
        <is>
          <t>active</t>
        </is>
      </c>
      <c r="U168" s="8" t="n"/>
      <c r="V168" s="1" t="inlineStr">
        <is>
          <t>SIN PRECIO</t>
        </is>
      </c>
    </row>
    <row r="169">
      <c r="A169" s="1" t="inlineStr">
        <is>
          <t>15711173203885</t>
        </is>
      </c>
      <c r="B169" s="1" t="inlineStr">
        <is>
          <t>PERFUME LES SABLES ROSES</t>
        </is>
      </c>
      <c r="C169" s="1" t="inlineStr">
        <is>
          <t>Default Title</t>
        </is>
      </c>
      <c r="D169" s="1" t="inlineStr">
        <is>
          <t>ZOEY</t>
        </is>
      </c>
      <c r="E169" s="4">
        <f>COUNTIF('DETALLE CRONOLÓGICO'!$A$2:$A$4919,$A169)</f>
        <v/>
      </c>
      <c r="F169" s="4">
        <f>SUMIFS('DETALLE CRONOLÓGICO'!$I$2:$I$4919,'DETALLE CRONOLÓGICO'!$A$2:$A$4919,$A169)</f>
        <v/>
      </c>
      <c r="G169" s="1">
        <f>INDEX('DETALLE CRONOLÓGICO'!$D$2:$D$4919,MATCH($A169,'DETALLE CRONOLÓGICO'!$A$2:$A$4919,0))</f>
        <v/>
      </c>
      <c r="H169" s="1">
        <f>INDEX('DETALLE CRONOLÓGICO'!$D$2:$D$4919,MATCH($A169,'DETALLE CRONOLÓGICO'!$A$2:$A$4919,0)+$E169-1)</f>
        <v/>
      </c>
      <c r="I169" s="5">
        <f>IFERROR(SUMIFS('DETALLE CRONOLÓGICO'!$L$2:$L$4919,'DETALLE CRONOLÓGICO'!$A$2:$A$4919,$A169)/$F169,"")</f>
        <v/>
      </c>
      <c r="J169" s="6">
        <f>IFERROR(SUMIFS('DETALLE CRONOLÓGICO'!$K$2:$K$4919,'DETALLE CRONOLÓGICO'!$A$2:$A$4919,$A169)/$E169,"")</f>
        <v/>
      </c>
      <c r="K169" s="6">
        <f>_xlfn.MINIFS('DETALLE CRONOLÓGICO'!$K$2:$K$4919,'DETALLE CRONOLÓGICO'!$A$2:$A$4919,$A169)</f>
        <v/>
      </c>
      <c r="L169" s="6">
        <f>_xlfn.MAXIFS('DETALLE CRONOLÓGICO'!$K$2:$K$4919,'DETALLE CRONOLÓGICO'!$A$2:$A$4919,$A169)</f>
        <v/>
      </c>
      <c r="M169" s="6">
        <f>INDEX('DETALLE CRONOLÓGICO'!$K$2:$K$4919,MATCH($A169,'DETALLE CRONOLÓGICO'!$A$2:$A$4919,0)+$E169-1)</f>
        <v/>
      </c>
      <c r="N169" s="7">
        <f>IFERROR($M169/INDEX('DETALLE CRONOLÓGICO'!$K$2:$K$4919,MATCH($A169,'DETALLE CRONOLÓGICO'!$A$2:$A$4919,0))-1,"")</f>
        <v/>
      </c>
      <c r="O169" s="6">
        <f>IFERROR($I169*3,"")</f>
        <v/>
      </c>
      <c r="P169" s="6">
        <f>IFERROR($I169*3.5,"")</f>
        <v/>
      </c>
      <c r="Q169" s="6">
        <f>IFERROR($I169*4,"")</f>
        <v/>
      </c>
      <c r="R169" s="6" t="n">
        <v>3610</v>
      </c>
      <c r="S169" s="4" t="n">
        <v>1</v>
      </c>
      <c r="T169" s="1" t="inlineStr">
        <is>
          <t>active</t>
        </is>
      </c>
      <c r="U169" s="8" t="n"/>
      <c r="V169" s="1" t="inlineStr">
        <is>
          <t>SIN PRECIO</t>
        </is>
      </c>
    </row>
    <row r="170">
      <c r="A170" s="1" t="inlineStr">
        <is>
          <t>15711173374893</t>
        </is>
      </c>
      <c r="B170" s="1" t="inlineStr">
        <is>
          <t>PERFUME PARADOXE, EAU DE PARFUM 90ML</t>
        </is>
      </c>
      <c r="C170" s="1" t="inlineStr">
        <is>
          <t>90 ml</t>
        </is>
      </c>
      <c r="D170" s="1" t="inlineStr">
        <is>
          <t>ZOEY</t>
        </is>
      </c>
      <c r="E170" s="4">
        <f>COUNTIF('DETALLE CRONOLÓGICO'!$A$2:$A$4919,$A170)</f>
        <v/>
      </c>
      <c r="F170" s="4">
        <f>SUMIFS('DETALLE CRONOLÓGICO'!$I$2:$I$4919,'DETALLE CRONOLÓGICO'!$A$2:$A$4919,$A170)</f>
        <v/>
      </c>
      <c r="G170" s="1">
        <f>INDEX('DETALLE CRONOLÓGICO'!$D$2:$D$4919,MATCH($A170,'DETALLE CRONOLÓGICO'!$A$2:$A$4919,0))</f>
        <v/>
      </c>
      <c r="H170" s="1">
        <f>INDEX('DETALLE CRONOLÓGICO'!$D$2:$D$4919,MATCH($A170,'DETALLE CRONOLÓGICO'!$A$2:$A$4919,0)+$E170-1)</f>
        <v/>
      </c>
      <c r="I170" s="5">
        <f>IFERROR(SUMIFS('DETALLE CRONOLÓGICO'!$L$2:$L$4919,'DETALLE CRONOLÓGICO'!$A$2:$A$4919,$A170)/$F170,"")</f>
        <v/>
      </c>
      <c r="J170" s="6">
        <f>IFERROR(SUMIFS('DETALLE CRONOLÓGICO'!$K$2:$K$4919,'DETALLE CRONOLÓGICO'!$A$2:$A$4919,$A170)/$E170,"")</f>
        <v/>
      </c>
      <c r="K170" s="6">
        <f>_xlfn.MINIFS('DETALLE CRONOLÓGICO'!$K$2:$K$4919,'DETALLE CRONOLÓGICO'!$A$2:$A$4919,$A170)</f>
        <v/>
      </c>
      <c r="L170" s="6">
        <f>_xlfn.MAXIFS('DETALLE CRONOLÓGICO'!$K$2:$K$4919,'DETALLE CRONOLÓGICO'!$A$2:$A$4919,$A170)</f>
        <v/>
      </c>
      <c r="M170" s="6">
        <f>INDEX('DETALLE CRONOLÓGICO'!$K$2:$K$4919,MATCH($A170,'DETALLE CRONOLÓGICO'!$A$2:$A$4919,0)+$E170-1)</f>
        <v/>
      </c>
      <c r="N170" s="7">
        <f>IFERROR($M170/INDEX('DETALLE CRONOLÓGICO'!$K$2:$K$4919,MATCH($A170,'DETALLE CRONOLÓGICO'!$A$2:$A$4919,0))-1,"")</f>
        <v/>
      </c>
      <c r="O170" s="6">
        <f>IFERROR($I170*3,"")</f>
        <v/>
      </c>
      <c r="P170" s="6">
        <f>IFERROR($I170*3.5,"")</f>
        <v/>
      </c>
      <c r="Q170" s="6">
        <f>IFERROR($I170*4,"")</f>
        <v/>
      </c>
      <c r="R170" s="6" t="n">
        <v>1910</v>
      </c>
      <c r="S170" s="4" t="n">
        <v>2</v>
      </c>
      <c r="T170" s="1" t="inlineStr">
        <is>
          <t>active</t>
        </is>
      </c>
      <c r="U170" s="8" t="n"/>
      <c r="V170" s="1" t="inlineStr">
        <is>
          <t>SIN PRECIO</t>
        </is>
      </c>
    </row>
    <row r="171">
      <c r="A171" s="1" t="inlineStr">
        <is>
          <t>15711173480813</t>
        </is>
      </c>
      <c r="B171" s="1" t="inlineStr">
        <is>
          <t>PERFUME TERRE H</t>
        </is>
      </c>
      <c r="C171" s="1" t="inlineStr">
        <is>
          <t>100 ml</t>
        </is>
      </c>
      <c r="D171" s="1" t="inlineStr">
        <is>
          <t>ZOEY</t>
        </is>
      </c>
      <c r="E171" s="4">
        <f>COUNTIF('DETALLE CRONOLÓGICO'!$A$2:$A$4919,$A171)</f>
        <v/>
      </c>
      <c r="F171" s="4">
        <f>SUMIFS('DETALLE CRONOLÓGICO'!$I$2:$I$4919,'DETALLE CRONOLÓGICO'!$A$2:$A$4919,$A171)</f>
        <v/>
      </c>
      <c r="G171" s="1">
        <f>INDEX('DETALLE CRONOLÓGICO'!$D$2:$D$4919,MATCH($A171,'DETALLE CRONOLÓGICO'!$A$2:$A$4919,0))</f>
        <v/>
      </c>
      <c r="H171" s="1">
        <f>INDEX('DETALLE CRONOLÓGICO'!$D$2:$D$4919,MATCH($A171,'DETALLE CRONOLÓGICO'!$A$2:$A$4919,0)+$E171-1)</f>
        <v/>
      </c>
      <c r="I171" s="5">
        <f>IFERROR(SUMIFS('DETALLE CRONOLÓGICO'!$L$2:$L$4919,'DETALLE CRONOLÓGICO'!$A$2:$A$4919,$A171)/$F171,"")</f>
        <v/>
      </c>
      <c r="J171" s="6">
        <f>IFERROR(SUMIFS('DETALLE CRONOLÓGICO'!$K$2:$K$4919,'DETALLE CRONOLÓGICO'!$A$2:$A$4919,$A171)/$E171,"")</f>
        <v/>
      </c>
      <c r="K171" s="6">
        <f>_xlfn.MINIFS('DETALLE CRONOLÓGICO'!$K$2:$K$4919,'DETALLE CRONOLÓGICO'!$A$2:$A$4919,$A171)</f>
        <v/>
      </c>
      <c r="L171" s="6">
        <f>_xlfn.MAXIFS('DETALLE CRONOLÓGICO'!$K$2:$K$4919,'DETALLE CRONOLÓGICO'!$A$2:$A$4919,$A171)</f>
        <v/>
      </c>
      <c r="M171" s="6">
        <f>INDEX('DETALLE CRONOLÓGICO'!$K$2:$K$4919,MATCH($A171,'DETALLE CRONOLÓGICO'!$A$2:$A$4919,0)+$E171-1)</f>
        <v/>
      </c>
      <c r="N171" s="7">
        <f>IFERROR($M171/INDEX('DETALLE CRONOLÓGICO'!$K$2:$K$4919,MATCH($A171,'DETALLE CRONOLÓGICO'!$A$2:$A$4919,0))-1,"")</f>
        <v/>
      </c>
      <c r="O171" s="6">
        <f>IFERROR($I171*3,"")</f>
        <v/>
      </c>
      <c r="P171" s="6">
        <f>IFERROR($I171*3.5,"")</f>
        <v/>
      </c>
      <c r="Q171" s="6">
        <f>IFERROR($I171*4,"")</f>
        <v/>
      </c>
      <c r="R171" s="6" t="n">
        <v>1565</v>
      </c>
      <c r="S171" s="4" t="n">
        <v>2</v>
      </c>
      <c r="T171" s="1" t="inlineStr">
        <is>
          <t>active</t>
        </is>
      </c>
      <c r="U171" s="8" t="n"/>
      <c r="V171" s="1" t="inlineStr">
        <is>
          <t>SIN PRECIO</t>
        </is>
      </c>
    </row>
    <row r="172">
      <c r="A172" s="1" t="inlineStr">
        <is>
          <t>15711173551373</t>
        </is>
      </c>
      <c r="B172" s="1" t="inlineStr">
        <is>
          <t>PERFUME TF COSTA AZZURRA 100ML</t>
        </is>
      </c>
      <c r="C172" s="1" t="inlineStr">
        <is>
          <t>Default Title</t>
        </is>
      </c>
      <c r="D172" s="1" t="inlineStr">
        <is>
          <t>ZOEY</t>
        </is>
      </c>
      <c r="E172" s="4">
        <f>COUNTIF('DETALLE CRONOLÓGICO'!$A$2:$A$4919,$A172)</f>
        <v/>
      </c>
      <c r="F172" s="4">
        <f>SUMIFS('DETALLE CRONOLÓGICO'!$I$2:$I$4919,'DETALLE CRONOLÓGICO'!$A$2:$A$4919,$A172)</f>
        <v/>
      </c>
      <c r="G172" s="1">
        <f>INDEX('DETALLE CRONOLÓGICO'!$D$2:$D$4919,MATCH($A172,'DETALLE CRONOLÓGICO'!$A$2:$A$4919,0))</f>
        <v/>
      </c>
      <c r="H172" s="1">
        <f>INDEX('DETALLE CRONOLÓGICO'!$D$2:$D$4919,MATCH($A172,'DETALLE CRONOLÓGICO'!$A$2:$A$4919,0)+$E172-1)</f>
        <v/>
      </c>
      <c r="I172" s="5">
        <f>IFERROR(SUMIFS('DETALLE CRONOLÓGICO'!$L$2:$L$4919,'DETALLE CRONOLÓGICO'!$A$2:$A$4919,$A172)/$F172,"")</f>
        <v/>
      </c>
      <c r="J172" s="6">
        <f>IFERROR(SUMIFS('DETALLE CRONOLÓGICO'!$K$2:$K$4919,'DETALLE CRONOLÓGICO'!$A$2:$A$4919,$A172)/$E172,"")</f>
        <v/>
      </c>
      <c r="K172" s="6">
        <f>_xlfn.MINIFS('DETALLE CRONOLÓGICO'!$K$2:$K$4919,'DETALLE CRONOLÓGICO'!$A$2:$A$4919,$A172)</f>
        <v/>
      </c>
      <c r="L172" s="6">
        <f>_xlfn.MAXIFS('DETALLE CRONOLÓGICO'!$K$2:$K$4919,'DETALLE CRONOLÓGICO'!$A$2:$A$4919,$A172)</f>
        <v/>
      </c>
      <c r="M172" s="6">
        <f>INDEX('DETALLE CRONOLÓGICO'!$K$2:$K$4919,MATCH($A172,'DETALLE CRONOLÓGICO'!$A$2:$A$4919,0)+$E172-1)</f>
        <v/>
      </c>
      <c r="N172" s="7">
        <f>IFERROR($M172/INDEX('DETALLE CRONOLÓGICO'!$K$2:$K$4919,MATCH($A172,'DETALLE CRONOLÓGICO'!$A$2:$A$4919,0))-1,"")</f>
        <v/>
      </c>
      <c r="O172" s="6">
        <f>IFERROR($I172*3,"")</f>
        <v/>
      </c>
      <c r="P172" s="6">
        <f>IFERROR($I172*3.5,"")</f>
        <v/>
      </c>
      <c r="Q172" s="6">
        <f>IFERROR($I172*4,"")</f>
        <v/>
      </c>
      <c r="R172" s="6" t="n">
        <v>1859</v>
      </c>
      <c r="S172" s="4" t="n">
        <v>3</v>
      </c>
      <c r="T172" s="1" t="inlineStr">
        <is>
          <t>active</t>
        </is>
      </c>
      <c r="U172" s="8" t="n"/>
      <c r="V172" s="1" t="inlineStr">
        <is>
          <t>SIN PRECIO</t>
        </is>
      </c>
    </row>
    <row r="173">
      <c r="A173" s="1" t="inlineStr">
        <is>
          <t>15711173666157</t>
        </is>
      </c>
      <c r="B173" s="1" t="inlineStr">
        <is>
          <t>PERFUME, DELINA EXCLUSIF EAU DE PARFUM, 75 ML</t>
        </is>
      </c>
      <c r="C173" s="1" t="inlineStr">
        <is>
          <t>Default Title</t>
        </is>
      </c>
      <c r="D173" s="1" t="inlineStr">
        <is>
          <t>ZOEY</t>
        </is>
      </c>
      <c r="E173" s="4">
        <f>COUNTIF('DETALLE CRONOLÓGICO'!$A$2:$A$4919,$A173)</f>
        <v/>
      </c>
      <c r="F173" s="4">
        <f>SUMIFS('DETALLE CRONOLÓGICO'!$I$2:$I$4919,'DETALLE CRONOLÓGICO'!$A$2:$A$4919,$A173)</f>
        <v/>
      </c>
      <c r="G173" s="1">
        <f>INDEX('DETALLE CRONOLÓGICO'!$D$2:$D$4919,MATCH($A173,'DETALLE CRONOLÓGICO'!$A$2:$A$4919,0))</f>
        <v/>
      </c>
      <c r="H173" s="1">
        <f>INDEX('DETALLE CRONOLÓGICO'!$D$2:$D$4919,MATCH($A173,'DETALLE CRONOLÓGICO'!$A$2:$A$4919,0)+$E173-1)</f>
        <v/>
      </c>
      <c r="I173" s="5">
        <f>IFERROR(SUMIFS('DETALLE CRONOLÓGICO'!$L$2:$L$4919,'DETALLE CRONOLÓGICO'!$A$2:$A$4919,$A173)/$F173,"")</f>
        <v/>
      </c>
      <c r="J173" s="6">
        <f>IFERROR(SUMIFS('DETALLE CRONOLÓGICO'!$K$2:$K$4919,'DETALLE CRONOLÓGICO'!$A$2:$A$4919,$A173)/$E173,"")</f>
        <v/>
      </c>
      <c r="K173" s="6">
        <f>_xlfn.MINIFS('DETALLE CRONOLÓGICO'!$K$2:$K$4919,'DETALLE CRONOLÓGICO'!$A$2:$A$4919,$A173)</f>
        <v/>
      </c>
      <c r="L173" s="6">
        <f>_xlfn.MAXIFS('DETALLE CRONOLÓGICO'!$K$2:$K$4919,'DETALLE CRONOLÓGICO'!$A$2:$A$4919,$A173)</f>
        <v/>
      </c>
      <c r="M173" s="6">
        <f>INDEX('DETALLE CRONOLÓGICO'!$K$2:$K$4919,MATCH($A173,'DETALLE CRONOLÓGICO'!$A$2:$A$4919,0)+$E173-1)</f>
        <v/>
      </c>
      <c r="N173" s="7">
        <f>IFERROR($M173/INDEX('DETALLE CRONOLÓGICO'!$K$2:$K$4919,MATCH($A173,'DETALLE CRONOLÓGICO'!$A$2:$A$4919,0))-1,"")</f>
        <v/>
      </c>
      <c r="O173" s="6">
        <f>IFERROR($I173*3,"")</f>
        <v/>
      </c>
      <c r="P173" s="6">
        <f>IFERROR($I173*3.5,"")</f>
        <v/>
      </c>
      <c r="Q173" s="6">
        <f>IFERROR($I173*4,"")</f>
        <v/>
      </c>
      <c r="R173" s="6" t="n">
        <v>1910</v>
      </c>
      <c r="S173" s="4" t="n">
        <v>2</v>
      </c>
      <c r="T173" s="1" t="inlineStr">
        <is>
          <t>active</t>
        </is>
      </c>
      <c r="U173" s="8" t="n"/>
      <c r="V173" s="1" t="inlineStr">
        <is>
          <t>SIN PRECIO</t>
        </is>
      </c>
    </row>
    <row r="174">
      <c r="A174" s="1" t="inlineStr">
        <is>
          <t>15857683908876</t>
        </is>
      </c>
      <c r="B174" s="1" t="inlineStr">
        <is>
          <t>ANILLO TRES AROS</t>
        </is>
      </c>
      <c r="C174" s="1" t="inlineStr">
        <is>
          <t>7</t>
        </is>
      </c>
      <c r="D174" s="1" t="inlineStr">
        <is>
          <t>HAIFENG</t>
        </is>
      </c>
      <c r="E174" s="4">
        <f>COUNTIF('DETALLE CRONOLÓGICO'!$A$2:$A$4919,$A174)</f>
        <v/>
      </c>
      <c r="F174" s="4">
        <f>SUMIFS('DETALLE CRONOLÓGICO'!$I$2:$I$4919,'DETALLE CRONOLÓGICO'!$A$2:$A$4919,$A174)</f>
        <v/>
      </c>
      <c r="G174" s="1">
        <f>INDEX('DETALLE CRONOLÓGICO'!$D$2:$D$4919,MATCH($A174,'DETALLE CRONOLÓGICO'!$A$2:$A$4919,0))</f>
        <v/>
      </c>
      <c r="H174" s="1">
        <f>INDEX('DETALLE CRONOLÓGICO'!$D$2:$D$4919,MATCH($A174,'DETALLE CRONOLÓGICO'!$A$2:$A$4919,0)+$E174-1)</f>
        <v/>
      </c>
      <c r="I174" s="5">
        <f>IFERROR(SUMIFS('DETALLE CRONOLÓGICO'!$L$2:$L$4919,'DETALLE CRONOLÓGICO'!$A$2:$A$4919,$A174)/$F174,"")</f>
        <v/>
      </c>
      <c r="J174" s="6">
        <f>IFERROR(SUMIFS('DETALLE CRONOLÓGICO'!$K$2:$K$4919,'DETALLE CRONOLÓGICO'!$A$2:$A$4919,$A174)/$E174,"")</f>
        <v/>
      </c>
      <c r="K174" s="6">
        <f>_xlfn.MINIFS('DETALLE CRONOLÓGICO'!$K$2:$K$4919,'DETALLE CRONOLÓGICO'!$A$2:$A$4919,$A174)</f>
        <v/>
      </c>
      <c r="L174" s="6">
        <f>_xlfn.MAXIFS('DETALLE CRONOLÓGICO'!$K$2:$K$4919,'DETALLE CRONOLÓGICO'!$A$2:$A$4919,$A174)</f>
        <v/>
      </c>
      <c r="M174" s="6">
        <f>INDEX('DETALLE CRONOLÓGICO'!$K$2:$K$4919,MATCH($A174,'DETALLE CRONOLÓGICO'!$A$2:$A$4919,0)+$E174-1)</f>
        <v/>
      </c>
      <c r="N174" s="7">
        <f>IFERROR($M174/INDEX('DETALLE CRONOLÓGICO'!$K$2:$K$4919,MATCH($A174,'DETALLE CRONOLÓGICO'!$A$2:$A$4919,0))-1,"")</f>
        <v/>
      </c>
      <c r="O174" s="6">
        <f>IFERROR($I174*3,"")</f>
        <v/>
      </c>
      <c r="P174" s="6">
        <f>IFERROR($I174*3.5,"")</f>
        <v/>
      </c>
      <c r="Q174" s="6">
        <f>IFERROR($I174*4,"")</f>
        <v/>
      </c>
      <c r="R174" s="6" t="n">
        <v>650</v>
      </c>
      <c r="S174" s="4" t="n">
        <v>2</v>
      </c>
      <c r="T174" s="1" t="inlineStr">
        <is>
          <t>active</t>
        </is>
      </c>
      <c r="U174" s="8" t="n"/>
      <c r="V174" s="1" t="inlineStr">
        <is>
          <t>SIN PRECIO</t>
        </is>
      </c>
    </row>
    <row r="175">
      <c r="A175" s="1" t="inlineStr">
        <is>
          <t>15857685448972</t>
        </is>
      </c>
      <c r="B175" s="1" t="inlineStr">
        <is>
          <t>ANILLO TRES AROS</t>
        </is>
      </c>
      <c r="C175" s="1" t="inlineStr">
        <is>
          <t>8</t>
        </is>
      </c>
      <c r="D175" s="1" t="inlineStr">
        <is>
          <t>HAIFENG</t>
        </is>
      </c>
      <c r="E175" s="4">
        <f>COUNTIF('DETALLE CRONOLÓGICO'!$A$2:$A$4919,$A175)</f>
        <v/>
      </c>
      <c r="F175" s="4">
        <f>SUMIFS('DETALLE CRONOLÓGICO'!$I$2:$I$4919,'DETALLE CRONOLÓGICO'!$A$2:$A$4919,$A175)</f>
        <v/>
      </c>
      <c r="G175" s="1">
        <f>INDEX('DETALLE CRONOLÓGICO'!$D$2:$D$4919,MATCH($A175,'DETALLE CRONOLÓGICO'!$A$2:$A$4919,0))</f>
        <v/>
      </c>
      <c r="H175" s="1">
        <f>INDEX('DETALLE CRONOLÓGICO'!$D$2:$D$4919,MATCH($A175,'DETALLE CRONOLÓGICO'!$A$2:$A$4919,0)+$E175-1)</f>
        <v/>
      </c>
      <c r="I175" s="5">
        <f>IFERROR(SUMIFS('DETALLE CRONOLÓGICO'!$L$2:$L$4919,'DETALLE CRONOLÓGICO'!$A$2:$A$4919,$A175)/$F175,"")</f>
        <v/>
      </c>
      <c r="J175" s="6">
        <f>IFERROR(SUMIFS('DETALLE CRONOLÓGICO'!$K$2:$K$4919,'DETALLE CRONOLÓGICO'!$A$2:$A$4919,$A175)/$E175,"")</f>
        <v/>
      </c>
      <c r="K175" s="6">
        <f>_xlfn.MINIFS('DETALLE CRONOLÓGICO'!$K$2:$K$4919,'DETALLE CRONOLÓGICO'!$A$2:$A$4919,$A175)</f>
        <v/>
      </c>
      <c r="L175" s="6">
        <f>_xlfn.MAXIFS('DETALLE CRONOLÓGICO'!$K$2:$K$4919,'DETALLE CRONOLÓGICO'!$A$2:$A$4919,$A175)</f>
        <v/>
      </c>
      <c r="M175" s="6">
        <f>INDEX('DETALLE CRONOLÓGICO'!$K$2:$K$4919,MATCH($A175,'DETALLE CRONOLÓGICO'!$A$2:$A$4919,0)+$E175-1)</f>
        <v/>
      </c>
      <c r="N175" s="7">
        <f>IFERROR($M175/INDEX('DETALLE CRONOLÓGICO'!$K$2:$K$4919,MATCH($A175,'DETALLE CRONOLÓGICO'!$A$2:$A$4919,0))-1,"")</f>
        <v/>
      </c>
      <c r="O175" s="6">
        <f>IFERROR($I175*3,"")</f>
        <v/>
      </c>
      <c r="P175" s="6">
        <f>IFERROR($I175*3.5,"")</f>
        <v/>
      </c>
      <c r="Q175" s="6">
        <f>IFERROR($I175*4,"")</f>
        <v/>
      </c>
      <c r="R175" s="6" t="n">
        <v>650</v>
      </c>
      <c r="S175" s="4" t="n">
        <v>5</v>
      </c>
      <c r="T175" s="1" t="inlineStr">
        <is>
          <t>active</t>
        </is>
      </c>
      <c r="U175" s="8" t="n"/>
      <c r="V175" s="1" t="inlineStr">
        <is>
          <t>SIN PRECIO</t>
        </is>
      </c>
    </row>
    <row r="176">
      <c r="A176" s="1" t="inlineStr">
        <is>
          <t>15857685585804</t>
        </is>
      </c>
      <c r="B176" s="1" t="inlineStr">
        <is>
          <t>ANILLO TRES AROS</t>
        </is>
      </c>
      <c r="C176" s="1" t="inlineStr">
        <is>
          <t>6</t>
        </is>
      </c>
      <c r="D176" s="1" t="inlineStr">
        <is>
          <t>HAIFENG / ZOEY</t>
        </is>
      </c>
      <c r="E176" s="4">
        <f>COUNTIF('DETALLE CRONOLÓGICO'!$A$2:$A$4919,$A176)</f>
        <v/>
      </c>
      <c r="F176" s="4">
        <f>SUMIFS('DETALLE CRONOLÓGICO'!$I$2:$I$4919,'DETALLE CRONOLÓGICO'!$A$2:$A$4919,$A176)</f>
        <v/>
      </c>
      <c r="G176" s="1">
        <f>INDEX('DETALLE CRONOLÓGICO'!$D$2:$D$4919,MATCH($A176,'DETALLE CRONOLÓGICO'!$A$2:$A$4919,0))</f>
        <v/>
      </c>
      <c r="H176" s="1">
        <f>INDEX('DETALLE CRONOLÓGICO'!$D$2:$D$4919,MATCH($A176,'DETALLE CRONOLÓGICO'!$A$2:$A$4919,0)+$E176-1)</f>
        <v/>
      </c>
      <c r="I176" s="5">
        <f>IFERROR(SUMIFS('DETALLE CRONOLÓGICO'!$L$2:$L$4919,'DETALLE CRONOLÓGICO'!$A$2:$A$4919,$A176)/$F176,"")</f>
        <v/>
      </c>
      <c r="J176" s="6">
        <f>IFERROR(SUMIFS('DETALLE CRONOLÓGICO'!$K$2:$K$4919,'DETALLE CRONOLÓGICO'!$A$2:$A$4919,$A176)/$E176,"")</f>
        <v/>
      </c>
      <c r="K176" s="6">
        <f>_xlfn.MINIFS('DETALLE CRONOLÓGICO'!$K$2:$K$4919,'DETALLE CRONOLÓGICO'!$A$2:$A$4919,$A176)</f>
        <v/>
      </c>
      <c r="L176" s="6">
        <f>_xlfn.MAXIFS('DETALLE CRONOLÓGICO'!$K$2:$K$4919,'DETALLE CRONOLÓGICO'!$A$2:$A$4919,$A176)</f>
        <v/>
      </c>
      <c r="M176" s="6">
        <f>INDEX('DETALLE CRONOLÓGICO'!$K$2:$K$4919,MATCH($A176,'DETALLE CRONOLÓGICO'!$A$2:$A$4919,0)+$E176-1)</f>
        <v/>
      </c>
      <c r="N176" s="7">
        <f>IFERROR($M176/INDEX('DETALLE CRONOLÓGICO'!$K$2:$K$4919,MATCH($A176,'DETALLE CRONOLÓGICO'!$A$2:$A$4919,0))-1,"")</f>
        <v/>
      </c>
      <c r="O176" s="6">
        <f>IFERROR($I176*3,"")</f>
        <v/>
      </c>
      <c r="P176" s="6">
        <f>IFERROR($I176*3.5,"")</f>
        <v/>
      </c>
      <c r="Q176" s="6">
        <f>IFERROR($I176*4,"")</f>
        <v/>
      </c>
      <c r="R176" s="6" t="n">
        <v>650</v>
      </c>
      <c r="S176" s="4" t="n">
        <v>8</v>
      </c>
      <c r="T176" s="1" t="inlineStr">
        <is>
          <t>active</t>
        </is>
      </c>
      <c r="U176" s="8" t="n"/>
      <c r="V176" s="1" t="inlineStr">
        <is>
          <t>SIN PRECIO</t>
        </is>
      </c>
    </row>
    <row r="177">
      <c r="A177" s="1" t="inlineStr">
        <is>
          <t>15857686786700</t>
        </is>
      </c>
      <c r="B177" s="1" t="inlineStr">
        <is>
          <t>ANILLO TRES AROS</t>
        </is>
      </c>
      <c r="C177" s="1" t="inlineStr">
        <is>
          <t>9</t>
        </is>
      </c>
      <c r="D177" s="1" t="inlineStr">
        <is>
          <t>HAIFENG</t>
        </is>
      </c>
      <c r="E177" s="4">
        <f>COUNTIF('DETALLE CRONOLÓGICO'!$A$2:$A$4919,$A177)</f>
        <v/>
      </c>
      <c r="F177" s="4">
        <f>SUMIFS('DETALLE CRONOLÓGICO'!$I$2:$I$4919,'DETALLE CRONOLÓGICO'!$A$2:$A$4919,$A177)</f>
        <v/>
      </c>
      <c r="G177" s="1">
        <f>INDEX('DETALLE CRONOLÓGICO'!$D$2:$D$4919,MATCH($A177,'DETALLE CRONOLÓGICO'!$A$2:$A$4919,0))</f>
        <v/>
      </c>
      <c r="H177" s="1">
        <f>INDEX('DETALLE CRONOLÓGICO'!$D$2:$D$4919,MATCH($A177,'DETALLE CRONOLÓGICO'!$A$2:$A$4919,0)+$E177-1)</f>
        <v/>
      </c>
      <c r="I177" s="5">
        <f>IFERROR(SUMIFS('DETALLE CRONOLÓGICO'!$L$2:$L$4919,'DETALLE CRONOLÓGICO'!$A$2:$A$4919,$A177)/$F177,"")</f>
        <v/>
      </c>
      <c r="J177" s="6">
        <f>IFERROR(SUMIFS('DETALLE CRONOLÓGICO'!$K$2:$K$4919,'DETALLE CRONOLÓGICO'!$A$2:$A$4919,$A177)/$E177,"")</f>
        <v/>
      </c>
      <c r="K177" s="6">
        <f>_xlfn.MINIFS('DETALLE CRONOLÓGICO'!$K$2:$K$4919,'DETALLE CRONOLÓGICO'!$A$2:$A$4919,$A177)</f>
        <v/>
      </c>
      <c r="L177" s="6">
        <f>_xlfn.MAXIFS('DETALLE CRONOLÓGICO'!$K$2:$K$4919,'DETALLE CRONOLÓGICO'!$A$2:$A$4919,$A177)</f>
        <v/>
      </c>
      <c r="M177" s="6">
        <f>INDEX('DETALLE CRONOLÓGICO'!$K$2:$K$4919,MATCH($A177,'DETALLE CRONOLÓGICO'!$A$2:$A$4919,0)+$E177-1)</f>
        <v/>
      </c>
      <c r="N177" s="7">
        <f>IFERROR($M177/INDEX('DETALLE CRONOLÓGICO'!$K$2:$K$4919,MATCH($A177,'DETALLE CRONOLÓGICO'!$A$2:$A$4919,0))-1,"")</f>
        <v/>
      </c>
      <c r="O177" s="6">
        <f>IFERROR($I177*3,"")</f>
        <v/>
      </c>
      <c r="P177" s="6">
        <f>IFERROR($I177*3.5,"")</f>
        <v/>
      </c>
      <c r="Q177" s="6">
        <f>IFERROR($I177*4,"")</f>
        <v/>
      </c>
      <c r="R177" s="6" t="n">
        <v>650</v>
      </c>
      <c r="S177" s="4" t="n">
        <v>0</v>
      </c>
      <c r="T177" s="1" t="inlineStr">
        <is>
          <t>active</t>
        </is>
      </c>
      <c r="U177" s="8" t="n"/>
      <c r="V177" s="1" t="inlineStr">
        <is>
          <t>SIN PRECIO</t>
        </is>
      </c>
    </row>
    <row r="178">
      <c r="A178" s="1" t="inlineStr">
        <is>
          <t>16048621033133</t>
        </is>
      </c>
      <c r="B178" s="1" t="inlineStr">
        <is>
          <t>COLLAR MSS MOVE ROSEGOLD LISO</t>
        </is>
      </c>
      <c r="C178" s="1" t="inlineStr">
        <is>
          <t>Default Title</t>
        </is>
      </c>
      <c r="D178" s="1" t="inlineStr">
        <is>
          <t>HAIFENG</t>
        </is>
      </c>
      <c r="E178" s="4">
        <f>COUNTIF('DETALLE CRONOLÓGICO'!$A$2:$A$4919,$A178)</f>
        <v/>
      </c>
      <c r="F178" s="4">
        <f>SUMIFS('DETALLE CRONOLÓGICO'!$I$2:$I$4919,'DETALLE CRONOLÓGICO'!$A$2:$A$4919,$A178)</f>
        <v/>
      </c>
      <c r="G178" s="1">
        <f>INDEX('DETALLE CRONOLÓGICO'!$D$2:$D$4919,MATCH($A178,'DETALLE CRONOLÓGICO'!$A$2:$A$4919,0))</f>
        <v/>
      </c>
      <c r="H178" s="1">
        <f>INDEX('DETALLE CRONOLÓGICO'!$D$2:$D$4919,MATCH($A178,'DETALLE CRONOLÓGICO'!$A$2:$A$4919,0)+$E178-1)</f>
        <v/>
      </c>
      <c r="I178" s="5">
        <f>IFERROR(SUMIFS('DETALLE CRONOLÓGICO'!$L$2:$L$4919,'DETALLE CRONOLÓGICO'!$A$2:$A$4919,$A178)/$F178,"")</f>
        <v/>
      </c>
      <c r="J178" s="6">
        <f>IFERROR(SUMIFS('DETALLE CRONOLÓGICO'!$K$2:$K$4919,'DETALLE CRONOLÓGICO'!$A$2:$A$4919,$A178)/$E178,"")</f>
        <v/>
      </c>
      <c r="K178" s="6">
        <f>_xlfn.MINIFS('DETALLE CRONOLÓGICO'!$K$2:$K$4919,'DETALLE CRONOLÓGICO'!$A$2:$A$4919,$A178)</f>
        <v/>
      </c>
      <c r="L178" s="6">
        <f>_xlfn.MAXIFS('DETALLE CRONOLÓGICO'!$K$2:$K$4919,'DETALLE CRONOLÓGICO'!$A$2:$A$4919,$A178)</f>
        <v/>
      </c>
      <c r="M178" s="6">
        <f>INDEX('DETALLE CRONOLÓGICO'!$K$2:$K$4919,MATCH($A178,'DETALLE CRONOLÓGICO'!$A$2:$A$4919,0)+$E178-1)</f>
        <v/>
      </c>
      <c r="N178" s="7">
        <f>IFERROR($M178/INDEX('DETALLE CRONOLÓGICO'!$K$2:$K$4919,MATCH($A178,'DETALLE CRONOLÓGICO'!$A$2:$A$4919,0))-1,"")</f>
        <v/>
      </c>
      <c r="O178" s="6">
        <f>IFERROR($I178*3,"")</f>
        <v/>
      </c>
      <c r="P178" s="6">
        <f>IFERROR($I178*3.5,"")</f>
        <v/>
      </c>
      <c r="Q178" s="6">
        <f>IFERROR($I178*4,"")</f>
        <v/>
      </c>
      <c r="R178" s="6" t="n">
        <v>659.2</v>
      </c>
      <c r="S178" s="4" t="n">
        <v>7</v>
      </c>
      <c r="T178" s="1" t="inlineStr">
        <is>
          <t>active</t>
        </is>
      </c>
      <c r="U178" s="8" t="n"/>
      <c r="V178" s="1" t="inlineStr">
        <is>
          <t>SIN PRECIO</t>
        </is>
      </c>
    </row>
    <row r="179">
      <c r="A179" s="1" t="inlineStr">
        <is>
          <t>16117871063213</t>
        </is>
      </c>
      <c r="B179" s="1" t="inlineStr">
        <is>
          <t>ARETES CD SASOM PEARL BLUE</t>
        </is>
      </c>
      <c r="C179" s="1" t="inlineStr">
        <is>
          <t>Default Title</t>
        </is>
      </c>
      <c r="D179" s="1" t="inlineStr">
        <is>
          <t>HAIFENG</t>
        </is>
      </c>
      <c r="E179" s="4">
        <f>COUNTIF('DETALLE CRONOLÓGICO'!$A$2:$A$4919,$A179)</f>
        <v/>
      </c>
      <c r="F179" s="4">
        <f>SUMIFS('DETALLE CRONOLÓGICO'!$I$2:$I$4919,'DETALLE CRONOLÓGICO'!$A$2:$A$4919,$A179)</f>
        <v/>
      </c>
      <c r="G179" s="1">
        <f>INDEX('DETALLE CRONOLÓGICO'!$D$2:$D$4919,MATCH($A179,'DETALLE CRONOLÓGICO'!$A$2:$A$4919,0))</f>
        <v/>
      </c>
      <c r="H179" s="1">
        <f>INDEX('DETALLE CRONOLÓGICO'!$D$2:$D$4919,MATCH($A179,'DETALLE CRONOLÓGICO'!$A$2:$A$4919,0)+$E179-1)</f>
        <v/>
      </c>
      <c r="I179" s="5">
        <f>IFERROR(SUMIFS('DETALLE CRONOLÓGICO'!$L$2:$L$4919,'DETALLE CRONOLÓGICO'!$A$2:$A$4919,$A179)/$F179,"")</f>
        <v/>
      </c>
      <c r="J179" s="6">
        <f>IFERROR(SUMIFS('DETALLE CRONOLÓGICO'!$K$2:$K$4919,'DETALLE CRONOLÓGICO'!$A$2:$A$4919,$A179)/$E179,"")</f>
        <v/>
      </c>
      <c r="K179" s="6">
        <f>_xlfn.MINIFS('DETALLE CRONOLÓGICO'!$K$2:$K$4919,'DETALLE CRONOLÓGICO'!$A$2:$A$4919,$A179)</f>
        <v/>
      </c>
      <c r="L179" s="6">
        <f>_xlfn.MAXIFS('DETALLE CRONOLÓGICO'!$K$2:$K$4919,'DETALLE CRONOLÓGICO'!$A$2:$A$4919,$A179)</f>
        <v/>
      </c>
      <c r="M179" s="6">
        <f>INDEX('DETALLE CRONOLÓGICO'!$K$2:$K$4919,MATCH($A179,'DETALLE CRONOLÓGICO'!$A$2:$A$4919,0)+$E179-1)</f>
        <v/>
      </c>
      <c r="N179" s="7">
        <f>IFERROR($M179/INDEX('DETALLE CRONOLÓGICO'!$K$2:$K$4919,MATCH($A179,'DETALLE CRONOLÓGICO'!$A$2:$A$4919,0))-1,"")</f>
        <v/>
      </c>
      <c r="O179" s="6">
        <f>IFERROR($I179*3,"")</f>
        <v/>
      </c>
      <c r="P179" s="6">
        <f>IFERROR($I179*3.5,"")</f>
        <v/>
      </c>
      <c r="Q179" s="6">
        <f>IFERROR($I179*4,"")</f>
        <v/>
      </c>
      <c r="R179" s="6" t="n">
        <v>0</v>
      </c>
      <c r="S179" s="4" t="n">
        <v>0</v>
      </c>
      <c r="T179" s="1" t="inlineStr">
        <is>
          <t>draft</t>
        </is>
      </c>
      <c r="U179" s="8" t="n"/>
      <c r="V179" s="1" t="inlineStr">
        <is>
          <t>SIN PRECIO</t>
        </is>
      </c>
    </row>
    <row r="180">
      <c r="A180" s="1" t="inlineStr">
        <is>
          <t>16117871175085</t>
        </is>
      </c>
      <c r="B180" s="1" t="inlineStr">
        <is>
          <t>ARRACADAS CD GOLD BLACK ZIRCONIAS</t>
        </is>
      </c>
      <c r="C180" s="1" t="n"/>
      <c r="D180" s="1" t="inlineStr">
        <is>
          <t>HAIFENG</t>
        </is>
      </c>
      <c r="E180" s="4">
        <f>COUNTIF('DETALLE CRONOLÓGICO'!$A$2:$A$4919,$A180)</f>
        <v/>
      </c>
      <c r="F180" s="4">
        <f>SUMIFS('DETALLE CRONOLÓGICO'!$I$2:$I$4919,'DETALLE CRONOLÓGICO'!$A$2:$A$4919,$A180)</f>
        <v/>
      </c>
      <c r="G180" s="1">
        <f>INDEX('DETALLE CRONOLÓGICO'!$D$2:$D$4919,MATCH($A180,'DETALLE CRONOLÓGICO'!$A$2:$A$4919,0))</f>
        <v/>
      </c>
      <c r="H180" s="1">
        <f>INDEX('DETALLE CRONOLÓGICO'!$D$2:$D$4919,MATCH($A180,'DETALLE CRONOLÓGICO'!$A$2:$A$4919,0)+$E180-1)</f>
        <v/>
      </c>
      <c r="I180" s="5">
        <f>IFERROR(SUMIFS('DETALLE CRONOLÓGICO'!$L$2:$L$4919,'DETALLE CRONOLÓGICO'!$A$2:$A$4919,$A180)/$F180,"")</f>
        <v/>
      </c>
      <c r="J180" s="6">
        <f>IFERROR(SUMIFS('DETALLE CRONOLÓGICO'!$K$2:$K$4919,'DETALLE CRONOLÓGICO'!$A$2:$A$4919,$A180)/$E180,"")</f>
        <v/>
      </c>
      <c r="K180" s="6">
        <f>_xlfn.MINIFS('DETALLE CRONOLÓGICO'!$K$2:$K$4919,'DETALLE CRONOLÓGICO'!$A$2:$A$4919,$A180)</f>
        <v/>
      </c>
      <c r="L180" s="6">
        <f>_xlfn.MAXIFS('DETALLE CRONOLÓGICO'!$K$2:$K$4919,'DETALLE CRONOLÓGICO'!$A$2:$A$4919,$A180)</f>
        <v/>
      </c>
      <c r="M180" s="6">
        <f>INDEX('DETALLE CRONOLÓGICO'!$K$2:$K$4919,MATCH($A180,'DETALLE CRONOLÓGICO'!$A$2:$A$4919,0)+$E180-1)</f>
        <v/>
      </c>
      <c r="N180" s="7">
        <f>IFERROR($M180/INDEX('DETALLE CRONOLÓGICO'!$K$2:$K$4919,MATCH($A180,'DETALLE CRONOLÓGICO'!$A$2:$A$4919,0))-1,"")</f>
        <v/>
      </c>
      <c r="O180" s="6">
        <f>IFERROR($I180*3,"")</f>
        <v/>
      </c>
      <c r="P180" s="6">
        <f>IFERROR($I180*3.5,"")</f>
        <v/>
      </c>
      <c r="Q180" s="6">
        <f>IFERROR($I180*4,"")</f>
        <v/>
      </c>
      <c r="R180" s="6" t="n"/>
      <c r="S180" s="4" t="n"/>
      <c r="T180" s="1" t="inlineStr">
        <is>
          <t>YA NO EXISTE EN SHOPIFY</t>
        </is>
      </c>
      <c r="U180" s="8" t="n"/>
      <c r="V180" s="1" t="inlineStr">
        <is>
          <t>SIN PRECIO</t>
        </is>
      </c>
    </row>
    <row r="181">
      <c r="A181" s="1" t="inlineStr">
        <is>
          <t>16117871480237</t>
        </is>
      </c>
      <c r="B181" s="1" t="inlineStr">
        <is>
          <t>PULSERA KNOT ONE ROSE GOLD CON ZIRCONIA</t>
        </is>
      </c>
      <c r="C181" s="1" t="inlineStr">
        <is>
          <t>Default Title</t>
        </is>
      </c>
      <c r="D181" s="1" t="inlineStr">
        <is>
          <t>HAIFENG</t>
        </is>
      </c>
      <c r="E181" s="4">
        <f>COUNTIF('DETALLE CRONOLÓGICO'!$A$2:$A$4919,$A181)</f>
        <v/>
      </c>
      <c r="F181" s="4">
        <f>SUMIFS('DETALLE CRONOLÓGICO'!$I$2:$I$4919,'DETALLE CRONOLÓGICO'!$A$2:$A$4919,$A181)</f>
        <v/>
      </c>
      <c r="G181" s="1">
        <f>INDEX('DETALLE CRONOLÓGICO'!$D$2:$D$4919,MATCH($A181,'DETALLE CRONOLÓGICO'!$A$2:$A$4919,0))</f>
        <v/>
      </c>
      <c r="H181" s="1">
        <f>INDEX('DETALLE CRONOLÓGICO'!$D$2:$D$4919,MATCH($A181,'DETALLE CRONOLÓGICO'!$A$2:$A$4919,0)+$E181-1)</f>
        <v/>
      </c>
      <c r="I181" s="5">
        <f>IFERROR(SUMIFS('DETALLE CRONOLÓGICO'!$L$2:$L$4919,'DETALLE CRONOLÓGICO'!$A$2:$A$4919,$A181)/$F181,"")</f>
        <v/>
      </c>
      <c r="J181" s="6">
        <f>IFERROR(SUMIFS('DETALLE CRONOLÓGICO'!$K$2:$K$4919,'DETALLE CRONOLÓGICO'!$A$2:$A$4919,$A181)/$E181,"")</f>
        <v/>
      </c>
      <c r="K181" s="6">
        <f>_xlfn.MINIFS('DETALLE CRONOLÓGICO'!$K$2:$K$4919,'DETALLE CRONOLÓGICO'!$A$2:$A$4919,$A181)</f>
        <v/>
      </c>
      <c r="L181" s="6">
        <f>_xlfn.MAXIFS('DETALLE CRONOLÓGICO'!$K$2:$K$4919,'DETALLE CRONOLÓGICO'!$A$2:$A$4919,$A181)</f>
        <v/>
      </c>
      <c r="M181" s="6">
        <f>INDEX('DETALLE CRONOLÓGICO'!$K$2:$K$4919,MATCH($A181,'DETALLE CRONOLÓGICO'!$A$2:$A$4919,0)+$E181-1)</f>
        <v/>
      </c>
      <c r="N181" s="7">
        <f>IFERROR($M181/INDEX('DETALLE CRONOLÓGICO'!$K$2:$K$4919,MATCH($A181,'DETALLE CRONOLÓGICO'!$A$2:$A$4919,0))-1,"")</f>
        <v/>
      </c>
      <c r="O181" s="6">
        <f>IFERROR($I181*3,"")</f>
        <v/>
      </c>
      <c r="P181" s="6">
        <f>IFERROR($I181*3.5,"")</f>
        <v/>
      </c>
      <c r="Q181" s="6">
        <f>IFERROR($I181*4,"")</f>
        <v/>
      </c>
      <c r="R181" s="6" t="n">
        <v>535</v>
      </c>
      <c r="S181" s="4" t="n">
        <v>2</v>
      </c>
      <c r="T181" s="1" t="inlineStr">
        <is>
          <t>active</t>
        </is>
      </c>
      <c r="U181" s="8" t="n"/>
      <c r="V181" s="1" t="inlineStr">
        <is>
          <t>SIN PRECIO</t>
        </is>
      </c>
    </row>
    <row r="182">
      <c r="A182" s="1" t="inlineStr">
        <is>
          <t>16117871577997</t>
        </is>
      </c>
      <c r="B182" s="1" t="inlineStr">
        <is>
          <t>ANILLO BV ZERO 1 BLACK-ROSEGOLD</t>
        </is>
      </c>
      <c r="C182" s="1" t="inlineStr">
        <is>
          <t>7</t>
        </is>
      </c>
      <c r="D182" s="1" t="inlineStr">
        <is>
          <t>HAIFENG</t>
        </is>
      </c>
      <c r="E182" s="4">
        <f>COUNTIF('DETALLE CRONOLÓGICO'!$A$2:$A$4919,$A182)</f>
        <v/>
      </c>
      <c r="F182" s="4">
        <f>SUMIFS('DETALLE CRONOLÓGICO'!$I$2:$I$4919,'DETALLE CRONOLÓGICO'!$A$2:$A$4919,$A182)</f>
        <v/>
      </c>
      <c r="G182" s="1">
        <f>INDEX('DETALLE CRONOLÓGICO'!$D$2:$D$4919,MATCH($A182,'DETALLE CRONOLÓGICO'!$A$2:$A$4919,0))</f>
        <v/>
      </c>
      <c r="H182" s="1">
        <f>INDEX('DETALLE CRONOLÓGICO'!$D$2:$D$4919,MATCH($A182,'DETALLE CRONOLÓGICO'!$A$2:$A$4919,0)+$E182-1)</f>
        <v/>
      </c>
      <c r="I182" s="5">
        <f>IFERROR(SUMIFS('DETALLE CRONOLÓGICO'!$L$2:$L$4919,'DETALLE CRONOLÓGICO'!$A$2:$A$4919,$A182)/$F182,"")</f>
        <v/>
      </c>
      <c r="J182" s="6">
        <f>IFERROR(SUMIFS('DETALLE CRONOLÓGICO'!$K$2:$K$4919,'DETALLE CRONOLÓGICO'!$A$2:$A$4919,$A182)/$E182,"")</f>
        <v/>
      </c>
      <c r="K182" s="6">
        <f>_xlfn.MINIFS('DETALLE CRONOLÓGICO'!$K$2:$K$4919,'DETALLE CRONOLÓGICO'!$A$2:$A$4919,$A182)</f>
        <v/>
      </c>
      <c r="L182" s="6">
        <f>_xlfn.MAXIFS('DETALLE CRONOLÓGICO'!$K$2:$K$4919,'DETALLE CRONOLÓGICO'!$A$2:$A$4919,$A182)</f>
        <v/>
      </c>
      <c r="M182" s="6">
        <f>INDEX('DETALLE CRONOLÓGICO'!$K$2:$K$4919,MATCH($A182,'DETALLE CRONOLÓGICO'!$A$2:$A$4919,0)+$E182-1)</f>
        <v/>
      </c>
      <c r="N182" s="7">
        <f>IFERROR($M182/INDEX('DETALLE CRONOLÓGICO'!$K$2:$K$4919,MATCH($A182,'DETALLE CRONOLÓGICO'!$A$2:$A$4919,0))-1,"")</f>
        <v/>
      </c>
      <c r="O182" s="6">
        <f>IFERROR($I182*3,"")</f>
        <v/>
      </c>
      <c r="P182" s="6">
        <f>IFERROR($I182*3.5,"")</f>
        <v/>
      </c>
      <c r="Q182" s="6">
        <f>IFERROR($I182*4,"")</f>
        <v/>
      </c>
      <c r="R182" s="6" t="n">
        <v>580</v>
      </c>
      <c r="S182" s="4" t="n">
        <v>2</v>
      </c>
      <c r="T182" s="1" t="inlineStr">
        <is>
          <t>active</t>
        </is>
      </c>
      <c r="U182" s="8" t="n"/>
      <c r="V182" s="1" t="inlineStr">
        <is>
          <t>SIN PRECIO</t>
        </is>
      </c>
    </row>
    <row r="183">
      <c r="A183" s="1" t="inlineStr">
        <is>
          <t>16117871610765</t>
        </is>
      </c>
      <c r="B183" s="1" t="inlineStr">
        <is>
          <t>ANILLO BV ZERO 1 BLACK-ROSEGOLD</t>
        </is>
      </c>
      <c r="C183" s="1" t="inlineStr">
        <is>
          <t>8</t>
        </is>
      </c>
      <c r="D183" s="1" t="inlineStr">
        <is>
          <t>HAIFENG</t>
        </is>
      </c>
      <c r="E183" s="4">
        <f>COUNTIF('DETALLE CRONOLÓGICO'!$A$2:$A$4919,$A183)</f>
        <v/>
      </c>
      <c r="F183" s="4">
        <f>SUMIFS('DETALLE CRONOLÓGICO'!$I$2:$I$4919,'DETALLE CRONOLÓGICO'!$A$2:$A$4919,$A183)</f>
        <v/>
      </c>
      <c r="G183" s="1">
        <f>INDEX('DETALLE CRONOLÓGICO'!$D$2:$D$4919,MATCH($A183,'DETALLE CRONOLÓGICO'!$A$2:$A$4919,0))</f>
        <v/>
      </c>
      <c r="H183" s="1">
        <f>INDEX('DETALLE CRONOLÓGICO'!$D$2:$D$4919,MATCH($A183,'DETALLE CRONOLÓGICO'!$A$2:$A$4919,0)+$E183-1)</f>
        <v/>
      </c>
      <c r="I183" s="5">
        <f>IFERROR(SUMIFS('DETALLE CRONOLÓGICO'!$L$2:$L$4919,'DETALLE CRONOLÓGICO'!$A$2:$A$4919,$A183)/$F183,"")</f>
        <v/>
      </c>
      <c r="J183" s="6">
        <f>IFERROR(SUMIFS('DETALLE CRONOLÓGICO'!$K$2:$K$4919,'DETALLE CRONOLÓGICO'!$A$2:$A$4919,$A183)/$E183,"")</f>
        <v/>
      </c>
      <c r="K183" s="6">
        <f>_xlfn.MINIFS('DETALLE CRONOLÓGICO'!$K$2:$K$4919,'DETALLE CRONOLÓGICO'!$A$2:$A$4919,$A183)</f>
        <v/>
      </c>
      <c r="L183" s="6">
        <f>_xlfn.MAXIFS('DETALLE CRONOLÓGICO'!$K$2:$K$4919,'DETALLE CRONOLÓGICO'!$A$2:$A$4919,$A183)</f>
        <v/>
      </c>
      <c r="M183" s="6">
        <f>INDEX('DETALLE CRONOLÓGICO'!$K$2:$K$4919,MATCH($A183,'DETALLE CRONOLÓGICO'!$A$2:$A$4919,0)+$E183-1)</f>
        <v/>
      </c>
      <c r="N183" s="7">
        <f>IFERROR($M183/INDEX('DETALLE CRONOLÓGICO'!$K$2:$K$4919,MATCH($A183,'DETALLE CRONOLÓGICO'!$A$2:$A$4919,0))-1,"")</f>
        <v/>
      </c>
      <c r="O183" s="6">
        <f>IFERROR($I183*3,"")</f>
        <v/>
      </c>
      <c r="P183" s="6">
        <f>IFERROR($I183*3.5,"")</f>
        <v/>
      </c>
      <c r="Q183" s="6">
        <f>IFERROR($I183*4,"")</f>
        <v/>
      </c>
      <c r="R183" s="6" t="n">
        <v>580</v>
      </c>
      <c r="S183" s="4" t="n">
        <v>3</v>
      </c>
      <c r="T183" s="1" t="inlineStr">
        <is>
          <t>active</t>
        </is>
      </c>
      <c r="U183" s="8" t="n"/>
      <c r="V183" s="1" t="inlineStr">
        <is>
          <t>SIN PRECIO</t>
        </is>
      </c>
    </row>
    <row r="184">
      <c r="A184" s="1" t="inlineStr">
        <is>
          <t>16117871722093</t>
        </is>
      </c>
      <c r="B184" s="1" t="inlineStr">
        <is>
          <t>PULSERA BV GOLD CON ZIRCONIA</t>
        </is>
      </c>
      <c r="C184" s="1" t="inlineStr">
        <is>
          <t>Default Title</t>
        </is>
      </c>
      <c r="D184" s="1" t="inlineStr">
        <is>
          <t>HAIFENG</t>
        </is>
      </c>
      <c r="E184" s="4">
        <f>COUNTIF('DETALLE CRONOLÓGICO'!$A$2:$A$4919,$A184)</f>
        <v/>
      </c>
      <c r="F184" s="4">
        <f>SUMIFS('DETALLE CRONOLÓGICO'!$I$2:$I$4919,'DETALLE CRONOLÓGICO'!$A$2:$A$4919,$A184)</f>
        <v/>
      </c>
      <c r="G184" s="1">
        <f>INDEX('DETALLE CRONOLÓGICO'!$D$2:$D$4919,MATCH($A184,'DETALLE CRONOLÓGICO'!$A$2:$A$4919,0))</f>
        <v/>
      </c>
      <c r="H184" s="1">
        <f>INDEX('DETALLE CRONOLÓGICO'!$D$2:$D$4919,MATCH($A184,'DETALLE CRONOLÓGICO'!$A$2:$A$4919,0)+$E184-1)</f>
        <v/>
      </c>
      <c r="I184" s="5">
        <f>IFERROR(SUMIFS('DETALLE CRONOLÓGICO'!$L$2:$L$4919,'DETALLE CRONOLÓGICO'!$A$2:$A$4919,$A184)/$F184,"")</f>
        <v/>
      </c>
      <c r="J184" s="6">
        <f>IFERROR(SUMIFS('DETALLE CRONOLÓGICO'!$K$2:$K$4919,'DETALLE CRONOLÓGICO'!$A$2:$A$4919,$A184)/$E184,"")</f>
        <v/>
      </c>
      <c r="K184" s="6">
        <f>_xlfn.MINIFS('DETALLE CRONOLÓGICO'!$K$2:$K$4919,'DETALLE CRONOLÓGICO'!$A$2:$A$4919,$A184)</f>
        <v/>
      </c>
      <c r="L184" s="6">
        <f>_xlfn.MAXIFS('DETALLE CRONOLÓGICO'!$K$2:$K$4919,'DETALLE CRONOLÓGICO'!$A$2:$A$4919,$A184)</f>
        <v/>
      </c>
      <c r="M184" s="6">
        <f>INDEX('DETALLE CRONOLÓGICO'!$K$2:$K$4919,MATCH($A184,'DETALLE CRONOLÓGICO'!$A$2:$A$4919,0)+$E184-1)</f>
        <v/>
      </c>
      <c r="N184" s="7">
        <f>IFERROR($M184/INDEX('DETALLE CRONOLÓGICO'!$K$2:$K$4919,MATCH($A184,'DETALLE CRONOLÓGICO'!$A$2:$A$4919,0))-1,"")</f>
        <v/>
      </c>
      <c r="O184" s="6">
        <f>IFERROR($I184*3,"")</f>
        <v/>
      </c>
      <c r="P184" s="6">
        <f>IFERROR($I184*3.5,"")</f>
        <v/>
      </c>
      <c r="Q184" s="6">
        <f>IFERROR($I184*4,"")</f>
        <v/>
      </c>
      <c r="R184" s="6" t="n">
        <v>430</v>
      </c>
      <c r="S184" s="4" t="n">
        <v>1</v>
      </c>
      <c r="T184" s="1" t="inlineStr">
        <is>
          <t>active</t>
        </is>
      </c>
      <c r="U184" s="8" t="n"/>
      <c r="V184" s="1" t="inlineStr">
        <is>
          <t>SIN PRECIO</t>
        </is>
      </c>
    </row>
    <row r="185">
      <c r="A185" s="1" t="inlineStr">
        <is>
          <t>16483891088621</t>
        </is>
      </c>
      <c r="B185" s="1" t="inlineStr">
        <is>
          <t>CINTO LV HERITAGE LOGO SILVER</t>
        </is>
      </c>
      <c r="C185" s="1" t="inlineStr">
        <is>
          <t>Default Title</t>
        </is>
      </c>
      <c r="D185" s="1" t="inlineStr">
        <is>
          <t>CYNTHIA</t>
        </is>
      </c>
      <c r="E185" s="4">
        <f>COUNTIF('DETALLE CRONOLÓGICO'!$A$2:$A$4919,$A185)</f>
        <v/>
      </c>
      <c r="F185" s="4">
        <f>SUMIFS('DETALLE CRONOLÓGICO'!$I$2:$I$4919,'DETALLE CRONOLÓGICO'!$A$2:$A$4919,$A185)</f>
        <v/>
      </c>
      <c r="G185" s="1">
        <f>INDEX('DETALLE CRONOLÓGICO'!$D$2:$D$4919,MATCH($A185,'DETALLE CRONOLÓGICO'!$A$2:$A$4919,0))</f>
        <v/>
      </c>
      <c r="H185" s="1">
        <f>INDEX('DETALLE CRONOLÓGICO'!$D$2:$D$4919,MATCH($A185,'DETALLE CRONOLÓGICO'!$A$2:$A$4919,0)+$E185-1)</f>
        <v/>
      </c>
      <c r="I185" s="5">
        <f>IFERROR(SUMIFS('DETALLE CRONOLÓGICO'!$L$2:$L$4919,'DETALLE CRONOLÓGICO'!$A$2:$A$4919,$A185)/$F185,"")</f>
        <v/>
      </c>
      <c r="J185" s="6">
        <f>IFERROR(SUMIFS('DETALLE CRONOLÓGICO'!$K$2:$K$4919,'DETALLE CRONOLÓGICO'!$A$2:$A$4919,$A185)/$E185,"")</f>
        <v/>
      </c>
      <c r="K185" s="6">
        <f>_xlfn.MINIFS('DETALLE CRONOLÓGICO'!$K$2:$K$4919,'DETALLE CRONOLÓGICO'!$A$2:$A$4919,$A185)</f>
        <v/>
      </c>
      <c r="L185" s="6">
        <f>_xlfn.MAXIFS('DETALLE CRONOLÓGICO'!$K$2:$K$4919,'DETALLE CRONOLÓGICO'!$A$2:$A$4919,$A185)</f>
        <v/>
      </c>
      <c r="M185" s="6">
        <f>INDEX('DETALLE CRONOLÓGICO'!$K$2:$K$4919,MATCH($A185,'DETALLE CRONOLÓGICO'!$A$2:$A$4919,0)+$E185-1)</f>
        <v/>
      </c>
      <c r="N185" s="7">
        <f>IFERROR($M185/INDEX('DETALLE CRONOLÓGICO'!$K$2:$K$4919,MATCH($A185,'DETALLE CRONOLÓGICO'!$A$2:$A$4919,0))-1,"")</f>
        <v/>
      </c>
      <c r="O185" s="6">
        <f>IFERROR($I185*3,"")</f>
        <v/>
      </c>
      <c r="P185" s="6">
        <f>IFERROR($I185*3.5,"")</f>
        <v/>
      </c>
      <c r="Q185" s="6">
        <f>IFERROR($I185*4,"")</f>
        <v/>
      </c>
      <c r="R185" s="6" t="n">
        <v>915</v>
      </c>
      <c r="S185" s="4" t="n">
        <v>0</v>
      </c>
      <c r="T185" s="1" t="inlineStr">
        <is>
          <t>active</t>
        </is>
      </c>
      <c r="U185" s="8" t="n"/>
      <c r="V185" s="1" t="inlineStr">
        <is>
          <t>SIN PRECIO</t>
        </is>
      </c>
    </row>
    <row r="186">
      <c r="A186" s="1" t="inlineStr">
        <is>
          <t>16498231076513</t>
        </is>
      </c>
      <c r="B186" s="1" t="inlineStr">
        <is>
          <t>SET DE COLLAR Y PULSERA CORAZÓN CON ZIRCONIA. Titanio</t>
        </is>
      </c>
      <c r="C186" s="1" t="inlineStr">
        <is>
          <t>Default Title</t>
        </is>
      </c>
      <c r="D186" s="1" t="inlineStr">
        <is>
          <t>ZOEY</t>
        </is>
      </c>
      <c r="E186" s="4">
        <f>COUNTIF('DETALLE CRONOLÓGICO'!$A$2:$A$4919,$A186)</f>
        <v/>
      </c>
      <c r="F186" s="4">
        <f>SUMIFS('DETALLE CRONOLÓGICO'!$I$2:$I$4919,'DETALLE CRONOLÓGICO'!$A$2:$A$4919,$A186)</f>
        <v/>
      </c>
      <c r="G186" s="1">
        <f>INDEX('DETALLE CRONOLÓGICO'!$D$2:$D$4919,MATCH($A186,'DETALLE CRONOLÓGICO'!$A$2:$A$4919,0))</f>
        <v/>
      </c>
      <c r="H186" s="1">
        <f>INDEX('DETALLE CRONOLÓGICO'!$D$2:$D$4919,MATCH($A186,'DETALLE CRONOLÓGICO'!$A$2:$A$4919,0)+$E186-1)</f>
        <v/>
      </c>
      <c r="I186" s="5">
        <f>IFERROR(SUMIFS('DETALLE CRONOLÓGICO'!$L$2:$L$4919,'DETALLE CRONOLÓGICO'!$A$2:$A$4919,$A186)/$F186,"")</f>
        <v/>
      </c>
      <c r="J186" s="6">
        <f>IFERROR(SUMIFS('DETALLE CRONOLÓGICO'!$K$2:$K$4919,'DETALLE CRONOLÓGICO'!$A$2:$A$4919,$A186)/$E186,"")</f>
        <v/>
      </c>
      <c r="K186" s="6">
        <f>_xlfn.MINIFS('DETALLE CRONOLÓGICO'!$K$2:$K$4919,'DETALLE CRONOLÓGICO'!$A$2:$A$4919,$A186)</f>
        <v/>
      </c>
      <c r="L186" s="6">
        <f>_xlfn.MAXIFS('DETALLE CRONOLÓGICO'!$K$2:$K$4919,'DETALLE CRONOLÓGICO'!$A$2:$A$4919,$A186)</f>
        <v/>
      </c>
      <c r="M186" s="6">
        <f>INDEX('DETALLE CRONOLÓGICO'!$K$2:$K$4919,MATCH($A186,'DETALLE CRONOLÓGICO'!$A$2:$A$4919,0)+$E186-1)</f>
        <v/>
      </c>
      <c r="N186" s="7">
        <f>IFERROR($M186/INDEX('DETALLE CRONOLÓGICO'!$K$2:$K$4919,MATCH($A186,'DETALLE CRONOLÓGICO'!$A$2:$A$4919,0))-1,"")</f>
        <v/>
      </c>
      <c r="O186" s="6">
        <f>IFERROR($I186*3,"")</f>
        <v/>
      </c>
      <c r="P186" s="6">
        <f>IFERROR($I186*3.5,"")</f>
        <v/>
      </c>
      <c r="Q186" s="6">
        <f>IFERROR($I186*4,"")</f>
        <v/>
      </c>
      <c r="R186" s="6" t="n">
        <v>1299</v>
      </c>
      <c r="S186" s="4" t="n">
        <v>3</v>
      </c>
      <c r="T186" s="1" t="inlineStr">
        <is>
          <t>active</t>
        </is>
      </c>
      <c r="U186" s="8" t="n"/>
      <c r="V186" s="1" t="inlineStr">
        <is>
          <t>SIN PRECIO</t>
        </is>
      </c>
    </row>
    <row r="187">
      <c r="A187" s="1" t="inlineStr">
        <is>
          <t>16572644570636</t>
        </is>
      </c>
      <c r="B187" s="1" t="inlineStr">
        <is>
          <t>TRAJE DE BAÑO GC</t>
        </is>
      </c>
      <c r="C187" s="1" t="inlineStr">
        <is>
          <t>L</t>
        </is>
      </c>
      <c r="D187" s="1" t="inlineStr">
        <is>
          <t>CYNTHIA</t>
        </is>
      </c>
      <c r="E187" s="4">
        <f>COUNTIF('DETALLE CRONOLÓGICO'!$A$2:$A$4919,$A187)</f>
        <v/>
      </c>
      <c r="F187" s="4">
        <f>SUMIFS('DETALLE CRONOLÓGICO'!$I$2:$I$4919,'DETALLE CRONOLÓGICO'!$A$2:$A$4919,$A187)</f>
        <v/>
      </c>
      <c r="G187" s="1">
        <f>INDEX('DETALLE CRONOLÓGICO'!$D$2:$D$4919,MATCH($A187,'DETALLE CRONOLÓGICO'!$A$2:$A$4919,0))</f>
        <v/>
      </c>
      <c r="H187" s="1">
        <f>INDEX('DETALLE CRONOLÓGICO'!$D$2:$D$4919,MATCH($A187,'DETALLE CRONOLÓGICO'!$A$2:$A$4919,0)+$E187-1)</f>
        <v/>
      </c>
      <c r="I187" s="5">
        <f>IFERROR(SUMIFS('DETALLE CRONOLÓGICO'!$L$2:$L$4919,'DETALLE CRONOLÓGICO'!$A$2:$A$4919,$A187)/$F187,"")</f>
        <v/>
      </c>
      <c r="J187" s="6">
        <f>IFERROR(SUMIFS('DETALLE CRONOLÓGICO'!$K$2:$K$4919,'DETALLE CRONOLÓGICO'!$A$2:$A$4919,$A187)/$E187,"")</f>
        <v/>
      </c>
      <c r="K187" s="6">
        <f>_xlfn.MINIFS('DETALLE CRONOLÓGICO'!$K$2:$K$4919,'DETALLE CRONOLÓGICO'!$A$2:$A$4919,$A187)</f>
        <v/>
      </c>
      <c r="L187" s="6">
        <f>_xlfn.MAXIFS('DETALLE CRONOLÓGICO'!$K$2:$K$4919,'DETALLE CRONOLÓGICO'!$A$2:$A$4919,$A187)</f>
        <v/>
      </c>
      <c r="M187" s="6">
        <f>INDEX('DETALLE CRONOLÓGICO'!$K$2:$K$4919,MATCH($A187,'DETALLE CRONOLÓGICO'!$A$2:$A$4919,0)+$E187-1)</f>
        <v/>
      </c>
      <c r="N187" s="7">
        <f>IFERROR($M187/INDEX('DETALLE CRONOLÓGICO'!$K$2:$K$4919,MATCH($A187,'DETALLE CRONOLÓGICO'!$A$2:$A$4919,0))-1,"")</f>
        <v/>
      </c>
      <c r="O187" s="6">
        <f>IFERROR($I187*3,"")</f>
        <v/>
      </c>
      <c r="P187" s="6">
        <f>IFERROR($I187*3.5,"")</f>
        <v/>
      </c>
      <c r="Q187" s="6">
        <f>IFERROR($I187*4,"")</f>
        <v/>
      </c>
      <c r="R187" s="6" t="n">
        <v>1129</v>
      </c>
      <c r="S187" s="4" t="n">
        <v>0</v>
      </c>
      <c r="T187" s="1" t="inlineStr">
        <is>
          <t>active</t>
        </is>
      </c>
      <c r="U187" s="8" t="n"/>
      <c r="V187" s="1" t="inlineStr">
        <is>
          <t>SIN PRECIO</t>
        </is>
      </c>
    </row>
    <row r="188">
      <c r="A188" s="1" t="inlineStr">
        <is>
          <t>16572644603404</t>
        </is>
      </c>
      <c r="B188" s="1" t="inlineStr">
        <is>
          <t>TRAJE DE BANO GC</t>
        </is>
      </c>
      <c r="C188" s="1" t="inlineStr">
        <is>
          <t>XL</t>
        </is>
      </c>
      <c r="D188" s="1" t="inlineStr">
        <is>
          <t>CYNTHIA</t>
        </is>
      </c>
      <c r="E188" s="4">
        <f>COUNTIF('DETALLE CRONOLÓGICO'!$A$2:$A$4919,$A188)</f>
        <v/>
      </c>
      <c r="F188" s="4">
        <f>SUMIFS('DETALLE CRONOLÓGICO'!$I$2:$I$4919,'DETALLE CRONOLÓGICO'!$A$2:$A$4919,$A188)</f>
        <v/>
      </c>
      <c r="G188" s="1">
        <f>INDEX('DETALLE CRONOLÓGICO'!$D$2:$D$4919,MATCH($A188,'DETALLE CRONOLÓGICO'!$A$2:$A$4919,0))</f>
        <v/>
      </c>
      <c r="H188" s="1">
        <f>INDEX('DETALLE CRONOLÓGICO'!$D$2:$D$4919,MATCH($A188,'DETALLE CRONOLÓGICO'!$A$2:$A$4919,0)+$E188-1)</f>
        <v/>
      </c>
      <c r="I188" s="5">
        <f>IFERROR(SUMIFS('DETALLE CRONOLÓGICO'!$L$2:$L$4919,'DETALLE CRONOLÓGICO'!$A$2:$A$4919,$A188)/$F188,"")</f>
        <v/>
      </c>
      <c r="J188" s="6">
        <f>IFERROR(SUMIFS('DETALLE CRONOLÓGICO'!$K$2:$K$4919,'DETALLE CRONOLÓGICO'!$A$2:$A$4919,$A188)/$E188,"")</f>
        <v/>
      </c>
      <c r="K188" s="6">
        <f>_xlfn.MINIFS('DETALLE CRONOLÓGICO'!$K$2:$K$4919,'DETALLE CRONOLÓGICO'!$A$2:$A$4919,$A188)</f>
        <v/>
      </c>
      <c r="L188" s="6">
        <f>_xlfn.MAXIFS('DETALLE CRONOLÓGICO'!$K$2:$K$4919,'DETALLE CRONOLÓGICO'!$A$2:$A$4919,$A188)</f>
        <v/>
      </c>
      <c r="M188" s="6">
        <f>INDEX('DETALLE CRONOLÓGICO'!$K$2:$K$4919,MATCH($A188,'DETALLE CRONOLÓGICO'!$A$2:$A$4919,0)+$E188-1)</f>
        <v/>
      </c>
      <c r="N188" s="7">
        <f>IFERROR($M188/INDEX('DETALLE CRONOLÓGICO'!$K$2:$K$4919,MATCH($A188,'DETALLE CRONOLÓGICO'!$A$2:$A$4919,0))-1,"")</f>
        <v/>
      </c>
      <c r="O188" s="6">
        <f>IFERROR($I188*3,"")</f>
        <v/>
      </c>
      <c r="P188" s="6">
        <f>IFERROR($I188*3.5,"")</f>
        <v/>
      </c>
      <c r="Q188" s="6">
        <f>IFERROR($I188*4,"")</f>
        <v/>
      </c>
      <c r="R188" s="6" t="n">
        <v>1129</v>
      </c>
      <c r="S188" s="4" t="n">
        <v>2</v>
      </c>
      <c r="T188" s="1" t="inlineStr">
        <is>
          <t>active</t>
        </is>
      </c>
      <c r="U188" s="8" t="n"/>
      <c r="V188" s="1" t="inlineStr">
        <is>
          <t>SIN PRECIO</t>
        </is>
      </c>
    </row>
    <row r="189">
      <c r="A189" s="1" t="inlineStr">
        <is>
          <t>16572647978508</t>
        </is>
      </c>
      <c r="B189" s="1" t="inlineStr">
        <is>
          <t>TRAJE DE BAÑO COMPLETO VC</t>
        </is>
      </c>
      <c r="C189" s="1" t="inlineStr">
        <is>
          <t>L</t>
        </is>
      </c>
      <c r="D189" s="1" t="inlineStr">
        <is>
          <t>CYNTHIA</t>
        </is>
      </c>
      <c r="E189" s="4">
        <f>COUNTIF('DETALLE CRONOLÓGICO'!$A$2:$A$4919,$A189)</f>
        <v/>
      </c>
      <c r="F189" s="4">
        <f>SUMIFS('DETALLE CRONOLÓGICO'!$I$2:$I$4919,'DETALLE CRONOLÓGICO'!$A$2:$A$4919,$A189)</f>
        <v/>
      </c>
      <c r="G189" s="1">
        <f>INDEX('DETALLE CRONOLÓGICO'!$D$2:$D$4919,MATCH($A189,'DETALLE CRONOLÓGICO'!$A$2:$A$4919,0))</f>
        <v/>
      </c>
      <c r="H189" s="1">
        <f>INDEX('DETALLE CRONOLÓGICO'!$D$2:$D$4919,MATCH($A189,'DETALLE CRONOLÓGICO'!$A$2:$A$4919,0)+$E189-1)</f>
        <v/>
      </c>
      <c r="I189" s="5">
        <f>IFERROR(SUMIFS('DETALLE CRONOLÓGICO'!$L$2:$L$4919,'DETALLE CRONOLÓGICO'!$A$2:$A$4919,$A189)/$F189,"")</f>
        <v/>
      </c>
      <c r="J189" s="6">
        <f>IFERROR(SUMIFS('DETALLE CRONOLÓGICO'!$K$2:$K$4919,'DETALLE CRONOLÓGICO'!$A$2:$A$4919,$A189)/$E189,"")</f>
        <v/>
      </c>
      <c r="K189" s="6">
        <f>_xlfn.MINIFS('DETALLE CRONOLÓGICO'!$K$2:$K$4919,'DETALLE CRONOLÓGICO'!$A$2:$A$4919,$A189)</f>
        <v/>
      </c>
      <c r="L189" s="6">
        <f>_xlfn.MAXIFS('DETALLE CRONOLÓGICO'!$K$2:$K$4919,'DETALLE CRONOLÓGICO'!$A$2:$A$4919,$A189)</f>
        <v/>
      </c>
      <c r="M189" s="6">
        <f>INDEX('DETALLE CRONOLÓGICO'!$K$2:$K$4919,MATCH($A189,'DETALLE CRONOLÓGICO'!$A$2:$A$4919,0)+$E189-1)</f>
        <v/>
      </c>
      <c r="N189" s="7">
        <f>IFERROR($M189/INDEX('DETALLE CRONOLÓGICO'!$K$2:$K$4919,MATCH($A189,'DETALLE CRONOLÓGICO'!$A$2:$A$4919,0))-1,"")</f>
        <v/>
      </c>
      <c r="O189" s="6">
        <f>IFERROR($I189*3,"")</f>
        <v/>
      </c>
      <c r="P189" s="6">
        <f>IFERROR($I189*3.5,"")</f>
        <v/>
      </c>
      <c r="Q189" s="6">
        <f>IFERROR($I189*4,"")</f>
        <v/>
      </c>
      <c r="R189" s="6" t="n">
        <v>1359</v>
      </c>
      <c r="S189" s="4" t="n">
        <v>4</v>
      </c>
      <c r="T189" s="1" t="inlineStr">
        <is>
          <t>active</t>
        </is>
      </c>
      <c r="U189" s="8" t="n"/>
      <c r="V189" s="1" t="inlineStr">
        <is>
          <t>SIN PRECIO</t>
        </is>
      </c>
    </row>
    <row r="190">
      <c r="A190" s="1" t="inlineStr">
        <is>
          <t>16572648011276</t>
        </is>
      </c>
      <c r="B190" s="1" t="inlineStr">
        <is>
          <t>TRAJE DE BAÑO COMPLETO VC</t>
        </is>
      </c>
      <c r="C190" s="1" t="inlineStr">
        <is>
          <t>XL</t>
        </is>
      </c>
      <c r="D190" s="1" t="inlineStr">
        <is>
          <t>CYNTHIA</t>
        </is>
      </c>
      <c r="E190" s="4">
        <f>COUNTIF('DETALLE CRONOLÓGICO'!$A$2:$A$4919,$A190)</f>
        <v/>
      </c>
      <c r="F190" s="4">
        <f>SUMIFS('DETALLE CRONOLÓGICO'!$I$2:$I$4919,'DETALLE CRONOLÓGICO'!$A$2:$A$4919,$A190)</f>
        <v/>
      </c>
      <c r="G190" s="1">
        <f>INDEX('DETALLE CRONOLÓGICO'!$D$2:$D$4919,MATCH($A190,'DETALLE CRONOLÓGICO'!$A$2:$A$4919,0))</f>
        <v/>
      </c>
      <c r="H190" s="1">
        <f>INDEX('DETALLE CRONOLÓGICO'!$D$2:$D$4919,MATCH($A190,'DETALLE CRONOLÓGICO'!$A$2:$A$4919,0)+$E190-1)</f>
        <v/>
      </c>
      <c r="I190" s="5">
        <f>IFERROR(SUMIFS('DETALLE CRONOLÓGICO'!$L$2:$L$4919,'DETALLE CRONOLÓGICO'!$A$2:$A$4919,$A190)/$F190,"")</f>
        <v/>
      </c>
      <c r="J190" s="6">
        <f>IFERROR(SUMIFS('DETALLE CRONOLÓGICO'!$K$2:$K$4919,'DETALLE CRONOLÓGICO'!$A$2:$A$4919,$A190)/$E190,"")</f>
        <v/>
      </c>
      <c r="K190" s="6">
        <f>_xlfn.MINIFS('DETALLE CRONOLÓGICO'!$K$2:$K$4919,'DETALLE CRONOLÓGICO'!$A$2:$A$4919,$A190)</f>
        <v/>
      </c>
      <c r="L190" s="6">
        <f>_xlfn.MAXIFS('DETALLE CRONOLÓGICO'!$K$2:$K$4919,'DETALLE CRONOLÓGICO'!$A$2:$A$4919,$A190)</f>
        <v/>
      </c>
      <c r="M190" s="6">
        <f>INDEX('DETALLE CRONOLÓGICO'!$K$2:$K$4919,MATCH($A190,'DETALLE CRONOLÓGICO'!$A$2:$A$4919,0)+$E190-1)</f>
        <v/>
      </c>
      <c r="N190" s="7">
        <f>IFERROR($M190/INDEX('DETALLE CRONOLÓGICO'!$K$2:$K$4919,MATCH($A190,'DETALLE CRONOLÓGICO'!$A$2:$A$4919,0))-1,"")</f>
        <v/>
      </c>
      <c r="O190" s="6">
        <f>IFERROR($I190*3,"")</f>
        <v/>
      </c>
      <c r="P190" s="6">
        <f>IFERROR($I190*3.5,"")</f>
        <v/>
      </c>
      <c r="Q190" s="6">
        <f>IFERROR($I190*4,"")</f>
        <v/>
      </c>
      <c r="R190" s="6" t="n">
        <v>1359</v>
      </c>
      <c r="S190" s="4" t="n">
        <v>4</v>
      </c>
      <c r="T190" s="1" t="inlineStr">
        <is>
          <t>active</t>
        </is>
      </c>
      <c r="U190" s="8" t="n"/>
      <c r="V190" s="1" t="inlineStr">
        <is>
          <t>SIN PRECIO</t>
        </is>
      </c>
    </row>
    <row r="191">
      <c r="A191" s="1" t="inlineStr">
        <is>
          <t>16572648568332</t>
        </is>
      </c>
      <c r="B191" s="1" t="inlineStr">
        <is>
          <t>TRAJE DE BAÑO PR BLACK</t>
        </is>
      </c>
      <c r="C191" s="1" t="inlineStr">
        <is>
          <t>L</t>
        </is>
      </c>
      <c r="D191" s="1" t="inlineStr">
        <is>
          <t>CYNTHIA</t>
        </is>
      </c>
      <c r="E191" s="4">
        <f>COUNTIF('DETALLE CRONOLÓGICO'!$A$2:$A$4919,$A191)</f>
        <v/>
      </c>
      <c r="F191" s="4">
        <f>SUMIFS('DETALLE CRONOLÓGICO'!$I$2:$I$4919,'DETALLE CRONOLÓGICO'!$A$2:$A$4919,$A191)</f>
        <v/>
      </c>
      <c r="G191" s="1">
        <f>INDEX('DETALLE CRONOLÓGICO'!$D$2:$D$4919,MATCH($A191,'DETALLE CRONOLÓGICO'!$A$2:$A$4919,0))</f>
        <v/>
      </c>
      <c r="H191" s="1">
        <f>INDEX('DETALLE CRONOLÓGICO'!$D$2:$D$4919,MATCH($A191,'DETALLE CRONOLÓGICO'!$A$2:$A$4919,0)+$E191-1)</f>
        <v/>
      </c>
      <c r="I191" s="5">
        <f>IFERROR(SUMIFS('DETALLE CRONOLÓGICO'!$L$2:$L$4919,'DETALLE CRONOLÓGICO'!$A$2:$A$4919,$A191)/$F191,"")</f>
        <v/>
      </c>
      <c r="J191" s="6">
        <f>IFERROR(SUMIFS('DETALLE CRONOLÓGICO'!$K$2:$K$4919,'DETALLE CRONOLÓGICO'!$A$2:$A$4919,$A191)/$E191,"")</f>
        <v/>
      </c>
      <c r="K191" s="6">
        <f>_xlfn.MINIFS('DETALLE CRONOLÓGICO'!$K$2:$K$4919,'DETALLE CRONOLÓGICO'!$A$2:$A$4919,$A191)</f>
        <v/>
      </c>
      <c r="L191" s="6">
        <f>_xlfn.MAXIFS('DETALLE CRONOLÓGICO'!$K$2:$K$4919,'DETALLE CRONOLÓGICO'!$A$2:$A$4919,$A191)</f>
        <v/>
      </c>
      <c r="M191" s="6">
        <f>INDEX('DETALLE CRONOLÓGICO'!$K$2:$K$4919,MATCH($A191,'DETALLE CRONOLÓGICO'!$A$2:$A$4919,0)+$E191-1)</f>
        <v/>
      </c>
      <c r="N191" s="7">
        <f>IFERROR($M191/INDEX('DETALLE CRONOLÓGICO'!$K$2:$K$4919,MATCH($A191,'DETALLE CRONOLÓGICO'!$A$2:$A$4919,0))-1,"")</f>
        <v/>
      </c>
      <c r="O191" s="6">
        <f>IFERROR($I191*3,"")</f>
        <v/>
      </c>
      <c r="P191" s="6">
        <f>IFERROR($I191*3.5,"")</f>
        <v/>
      </c>
      <c r="Q191" s="6">
        <f>IFERROR($I191*4,"")</f>
        <v/>
      </c>
      <c r="R191" s="6" t="n">
        <v>779</v>
      </c>
      <c r="S191" s="4" t="n">
        <v>6</v>
      </c>
      <c r="T191" s="1" t="inlineStr">
        <is>
          <t>active</t>
        </is>
      </c>
      <c r="U191" s="8" t="n"/>
      <c r="V191" s="1" t="inlineStr">
        <is>
          <t>SIN PRECIO</t>
        </is>
      </c>
    </row>
    <row r="192">
      <c r="A192" s="1" t="inlineStr">
        <is>
          <t>16572648601100</t>
        </is>
      </c>
      <c r="B192" s="1" t="inlineStr">
        <is>
          <t>TRAJE DE BAÑO PR BLACK</t>
        </is>
      </c>
      <c r="C192" s="1" t="inlineStr">
        <is>
          <t>XL</t>
        </is>
      </c>
      <c r="D192" s="1" t="inlineStr">
        <is>
          <t>CYNTHIA</t>
        </is>
      </c>
      <c r="E192" s="4">
        <f>COUNTIF('DETALLE CRONOLÓGICO'!$A$2:$A$4919,$A192)</f>
        <v/>
      </c>
      <c r="F192" s="4">
        <f>SUMIFS('DETALLE CRONOLÓGICO'!$I$2:$I$4919,'DETALLE CRONOLÓGICO'!$A$2:$A$4919,$A192)</f>
        <v/>
      </c>
      <c r="G192" s="1">
        <f>INDEX('DETALLE CRONOLÓGICO'!$D$2:$D$4919,MATCH($A192,'DETALLE CRONOLÓGICO'!$A$2:$A$4919,0))</f>
        <v/>
      </c>
      <c r="H192" s="1">
        <f>INDEX('DETALLE CRONOLÓGICO'!$D$2:$D$4919,MATCH($A192,'DETALLE CRONOLÓGICO'!$A$2:$A$4919,0)+$E192-1)</f>
        <v/>
      </c>
      <c r="I192" s="5">
        <f>IFERROR(SUMIFS('DETALLE CRONOLÓGICO'!$L$2:$L$4919,'DETALLE CRONOLÓGICO'!$A$2:$A$4919,$A192)/$F192,"")</f>
        <v/>
      </c>
      <c r="J192" s="6">
        <f>IFERROR(SUMIFS('DETALLE CRONOLÓGICO'!$K$2:$K$4919,'DETALLE CRONOLÓGICO'!$A$2:$A$4919,$A192)/$E192,"")</f>
        <v/>
      </c>
      <c r="K192" s="6">
        <f>_xlfn.MINIFS('DETALLE CRONOLÓGICO'!$K$2:$K$4919,'DETALLE CRONOLÓGICO'!$A$2:$A$4919,$A192)</f>
        <v/>
      </c>
      <c r="L192" s="6">
        <f>_xlfn.MAXIFS('DETALLE CRONOLÓGICO'!$K$2:$K$4919,'DETALLE CRONOLÓGICO'!$A$2:$A$4919,$A192)</f>
        <v/>
      </c>
      <c r="M192" s="6">
        <f>INDEX('DETALLE CRONOLÓGICO'!$K$2:$K$4919,MATCH($A192,'DETALLE CRONOLÓGICO'!$A$2:$A$4919,0)+$E192-1)</f>
        <v/>
      </c>
      <c r="N192" s="7">
        <f>IFERROR($M192/INDEX('DETALLE CRONOLÓGICO'!$K$2:$K$4919,MATCH($A192,'DETALLE CRONOLÓGICO'!$A$2:$A$4919,0))-1,"")</f>
        <v/>
      </c>
      <c r="O192" s="6">
        <f>IFERROR($I192*3,"")</f>
        <v/>
      </c>
      <c r="P192" s="6">
        <f>IFERROR($I192*3.5,"")</f>
        <v/>
      </c>
      <c r="Q192" s="6">
        <f>IFERROR($I192*4,"")</f>
        <v/>
      </c>
      <c r="R192" s="6" t="n">
        <v>1199</v>
      </c>
      <c r="S192" s="4" t="n">
        <v>2</v>
      </c>
      <c r="T192" s="1" t="inlineStr">
        <is>
          <t>active</t>
        </is>
      </c>
      <c r="U192" s="8" t="n"/>
      <c r="V192" s="1" t="inlineStr">
        <is>
          <t>SIN PRECIO</t>
        </is>
      </c>
    </row>
    <row r="193">
      <c r="A193" s="1" t="inlineStr">
        <is>
          <t>17235661006529</t>
        </is>
      </c>
      <c r="B193" s="1" t="inlineStr">
        <is>
          <t>ARETES CD TRIBALES</t>
        </is>
      </c>
      <c r="C193" s="1" t="inlineStr">
        <is>
          <t>Default Title</t>
        </is>
      </c>
      <c r="D193" s="1" t="inlineStr">
        <is>
          <t>CYNTHIA</t>
        </is>
      </c>
      <c r="E193" s="4">
        <f>COUNTIF('DETALLE CRONOLÓGICO'!$A$2:$A$4919,$A193)</f>
        <v/>
      </c>
      <c r="F193" s="4">
        <f>SUMIFS('DETALLE CRONOLÓGICO'!$I$2:$I$4919,'DETALLE CRONOLÓGICO'!$A$2:$A$4919,$A193)</f>
        <v/>
      </c>
      <c r="G193" s="1">
        <f>INDEX('DETALLE CRONOLÓGICO'!$D$2:$D$4919,MATCH($A193,'DETALLE CRONOLÓGICO'!$A$2:$A$4919,0))</f>
        <v/>
      </c>
      <c r="H193" s="1">
        <f>INDEX('DETALLE CRONOLÓGICO'!$D$2:$D$4919,MATCH($A193,'DETALLE CRONOLÓGICO'!$A$2:$A$4919,0)+$E193-1)</f>
        <v/>
      </c>
      <c r="I193" s="5">
        <f>IFERROR(SUMIFS('DETALLE CRONOLÓGICO'!$L$2:$L$4919,'DETALLE CRONOLÓGICO'!$A$2:$A$4919,$A193)/$F193,"")</f>
        <v/>
      </c>
      <c r="J193" s="6">
        <f>IFERROR(SUMIFS('DETALLE CRONOLÓGICO'!$K$2:$K$4919,'DETALLE CRONOLÓGICO'!$A$2:$A$4919,$A193)/$E193,"")</f>
        <v/>
      </c>
      <c r="K193" s="6">
        <f>_xlfn.MINIFS('DETALLE CRONOLÓGICO'!$K$2:$K$4919,'DETALLE CRONOLÓGICO'!$A$2:$A$4919,$A193)</f>
        <v/>
      </c>
      <c r="L193" s="6">
        <f>_xlfn.MAXIFS('DETALLE CRONOLÓGICO'!$K$2:$K$4919,'DETALLE CRONOLÓGICO'!$A$2:$A$4919,$A193)</f>
        <v/>
      </c>
      <c r="M193" s="6">
        <f>INDEX('DETALLE CRONOLÓGICO'!$K$2:$K$4919,MATCH($A193,'DETALLE CRONOLÓGICO'!$A$2:$A$4919,0)+$E193-1)</f>
        <v/>
      </c>
      <c r="N193" s="7">
        <f>IFERROR($M193/INDEX('DETALLE CRONOLÓGICO'!$K$2:$K$4919,MATCH($A193,'DETALLE CRONOLÓGICO'!$A$2:$A$4919,0))-1,"")</f>
        <v/>
      </c>
      <c r="O193" s="6">
        <f>IFERROR($I193*3,"")</f>
        <v/>
      </c>
      <c r="P193" s="6">
        <f>IFERROR($I193*3.5,"")</f>
        <v/>
      </c>
      <c r="Q193" s="6">
        <f>IFERROR($I193*4,"")</f>
        <v/>
      </c>
      <c r="R193" s="6" t="n">
        <v>935</v>
      </c>
      <c r="S193" s="4" t="n">
        <v>6</v>
      </c>
      <c r="T193" s="1" t="inlineStr">
        <is>
          <t>active</t>
        </is>
      </c>
      <c r="U193" s="8" t="n"/>
      <c r="V193" s="1" t="inlineStr">
        <is>
          <t>SIN PRECIO</t>
        </is>
      </c>
    </row>
    <row r="194">
      <c r="A194" s="1" t="inlineStr">
        <is>
          <t>17360611039917</t>
        </is>
      </c>
      <c r="B194" s="1" t="inlineStr">
        <is>
          <t>ANILLO DOBLE T CON ZIRCONIAS SILVER</t>
        </is>
      </c>
      <c r="C194" s="1" t="inlineStr">
        <is>
          <t>7</t>
        </is>
      </c>
      <c r="D194" s="1" t="inlineStr">
        <is>
          <t>HAIFENG</t>
        </is>
      </c>
      <c r="E194" s="4">
        <f>COUNTIF('DETALLE CRONOLÓGICO'!$A$2:$A$4919,$A194)</f>
        <v/>
      </c>
      <c r="F194" s="4">
        <f>SUMIFS('DETALLE CRONOLÓGICO'!$I$2:$I$4919,'DETALLE CRONOLÓGICO'!$A$2:$A$4919,$A194)</f>
        <v/>
      </c>
      <c r="G194" s="1">
        <f>INDEX('DETALLE CRONOLÓGICO'!$D$2:$D$4919,MATCH($A194,'DETALLE CRONOLÓGICO'!$A$2:$A$4919,0))</f>
        <v/>
      </c>
      <c r="H194" s="1">
        <f>INDEX('DETALLE CRONOLÓGICO'!$D$2:$D$4919,MATCH($A194,'DETALLE CRONOLÓGICO'!$A$2:$A$4919,0)+$E194-1)</f>
        <v/>
      </c>
      <c r="I194" s="5">
        <f>IFERROR(SUMIFS('DETALLE CRONOLÓGICO'!$L$2:$L$4919,'DETALLE CRONOLÓGICO'!$A$2:$A$4919,$A194)/$F194,"")</f>
        <v/>
      </c>
      <c r="J194" s="6">
        <f>IFERROR(SUMIFS('DETALLE CRONOLÓGICO'!$K$2:$K$4919,'DETALLE CRONOLÓGICO'!$A$2:$A$4919,$A194)/$E194,"")</f>
        <v/>
      </c>
      <c r="K194" s="6">
        <f>_xlfn.MINIFS('DETALLE CRONOLÓGICO'!$K$2:$K$4919,'DETALLE CRONOLÓGICO'!$A$2:$A$4919,$A194)</f>
        <v/>
      </c>
      <c r="L194" s="6">
        <f>_xlfn.MAXIFS('DETALLE CRONOLÓGICO'!$K$2:$K$4919,'DETALLE CRONOLÓGICO'!$A$2:$A$4919,$A194)</f>
        <v/>
      </c>
      <c r="M194" s="6">
        <f>INDEX('DETALLE CRONOLÓGICO'!$K$2:$K$4919,MATCH($A194,'DETALLE CRONOLÓGICO'!$A$2:$A$4919,0)+$E194-1)</f>
        <v/>
      </c>
      <c r="N194" s="7">
        <f>IFERROR($M194/INDEX('DETALLE CRONOLÓGICO'!$K$2:$K$4919,MATCH($A194,'DETALLE CRONOLÓGICO'!$A$2:$A$4919,0))-1,"")</f>
        <v/>
      </c>
      <c r="O194" s="6">
        <f>IFERROR($I194*3,"")</f>
        <v/>
      </c>
      <c r="P194" s="6">
        <f>IFERROR($I194*3.5,"")</f>
        <v/>
      </c>
      <c r="Q194" s="6">
        <f>IFERROR($I194*4,"")</f>
        <v/>
      </c>
      <c r="R194" s="6" t="n">
        <v>580</v>
      </c>
      <c r="S194" s="4" t="n">
        <v>4</v>
      </c>
      <c r="T194" s="1" t="inlineStr">
        <is>
          <t>active</t>
        </is>
      </c>
      <c r="U194" s="8" t="n"/>
      <c r="V194" s="1" t="inlineStr">
        <is>
          <t>SIN PRECIO</t>
        </is>
      </c>
    </row>
    <row r="195">
      <c r="A195" s="1" t="inlineStr">
        <is>
          <t>17360611172685</t>
        </is>
      </c>
      <c r="B195" s="1" t="inlineStr">
        <is>
          <t>ANILLO DOBLE T CON ZIRCONIAS SILVER</t>
        </is>
      </c>
      <c r="C195" s="1" t="inlineStr">
        <is>
          <t>8</t>
        </is>
      </c>
      <c r="D195" s="1" t="inlineStr">
        <is>
          <t>HAIFENG</t>
        </is>
      </c>
      <c r="E195" s="4">
        <f>COUNTIF('DETALLE CRONOLÓGICO'!$A$2:$A$4919,$A195)</f>
        <v/>
      </c>
      <c r="F195" s="4">
        <f>SUMIFS('DETALLE CRONOLÓGICO'!$I$2:$I$4919,'DETALLE CRONOLÓGICO'!$A$2:$A$4919,$A195)</f>
        <v/>
      </c>
      <c r="G195" s="1">
        <f>INDEX('DETALLE CRONOLÓGICO'!$D$2:$D$4919,MATCH($A195,'DETALLE CRONOLÓGICO'!$A$2:$A$4919,0))</f>
        <v/>
      </c>
      <c r="H195" s="1">
        <f>INDEX('DETALLE CRONOLÓGICO'!$D$2:$D$4919,MATCH($A195,'DETALLE CRONOLÓGICO'!$A$2:$A$4919,0)+$E195-1)</f>
        <v/>
      </c>
      <c r="I195" s="5">
        <f>IFERROR(SUMIFS('DETALLE CRONOLÓGICO'!$L$2:$L$4919,'DETALLE CRONOLÓGICO'!$A$2:$A$4919,$A195)/$F195,"")</f>
        <v/>
      </c>
      <c r="J195" s="6">
        <f>IFERROR(SUMIFS('DETALLE CRONOLÓGICO'!$K$2:$K$4919,'DETALLE CRONOLÓGICO'!$A$2:$A$4919,$A195)/$E195,"")</f>
        <v/>
      </c>
      <c r="K195" s="6">
        <f>_xlfn.MINIFS('DETALLE CRONOLÓGICO'!$K$2:$K$4919,'DETALLE CRONOLÓGICO'!$A$2:$A$4919,$A195)</f>
        <v/>
      </c>
      <c r="L195" s="6">
        <f>_xlfn.MAXIFS('DETALLE CRONOLÓGICO'!$K$2:$K$4919,'DETALLE CRONOLÓGICO'!$A$2:$A$4919,$A195)</f>
        <v/>
      </c>
      <c r="M195" s="6">
        <f>INDEX('DETALLE CRONOLÓGICO'!$K$2:$K$4919,MATCH($A195,'DETALLE CRONOLÓGICO'!$A$2:$A$4919,0)+$E195-1)</f>
        <v/>
      </c>
      <c r="N195" s="7">
        <f>IFERROR($M195/INDEX('DETALLE CRONOLÓGICO'!$K$2:$K$4919,MATCH($A195,'DETALLE CRONOLÓGICO'!$A$2:$A$4919,0))-1,"")</f>
        <v/>
      </c>
      <c r="O195" s="6">
        <f>IFERROR($I195*3,"")</f>
        <v/>
      </c>
      <c r="P195" s="6">
        <f>IFERROR($I195*3.5,"")</f>
        <v/>
      </c>
      <c r="Q195" s="6">
        <f>IFERROR($I195*4,"")</f>
        <v/>
      </c>
      <c r="R195" s="6" t="n">
        <v>580</v>
      </c>
      <c r="S195" s="4" t="n">
        <v>2</v>
      </c>
      <c r="T195" s="1" t="inlineStr">
        <is>
          <t>active</t>
        </is>
      </c>
      <c r="U195" s="8" t="n"/>
      <c r="V195" s="1" t="inlineStr">
        <is>
          <t>SIN PRECIO</t>
        </is>
      </c>
    </row>
    <row r="196">
      <c r="A196" s="1" t="inlineStr">
        <is>
          <t>17360611212237</t>
        </is>
      </c>
      <c r="B196" s="1" t="inlineStr">
        <is>
          <t>RELOJ BALLON BLUE C</t>
        </is>
      </c>
      <c r="C196" s="1" t="inlineStr">
        <is>
          <t>RELOJ SIN CAJA</t>
        </is>
      </c>
      <c r="D196" s="1" t="inlineStr">
        <is>
          <t>ZOEY</t>
        </is>
      </c>
      <c r="E196" s="4">
        <f>COUNTIF('DETALLE CRONOLÓGICO'!$A$2:$A$4919,$A196)</f>
        <v/>
      </c>
      <c r="F196" s="4">
        <f>SUMIFS('DETALLE CRONOLÓGICO'!$I$2:$I$4919,'DETALLE CRONOLÓGICO'!$A$2:$A$4919,$A196)</f>
        <v/>
      </c>
      <c r="G196" s="1">
        <f>INDEX('DETALLE CRONOLÓGICO'!$D$2:$D$4919,MATCH($A196,'DETALLE CRONOLÓGICO'!$A$2:$A$4919,0))</f>
        <v/>
      </c>
      <c r="H196" s="1">
        <f>INDEX('DETALLE CRONOLÓGICO'!$D$2:$D$4919,MATCH($A196,'DETALLE CRONOLÓGICO'!$A$2:$A$4919,0)+$E196-1)</f>
        <v/>
      </c>
      <c r="I196" s="5">
        <f>IFERROR(SUMIFS('DETALLE CRONOLÓGICO'!$L$2:$L$4919,'DETALLE CRONOLÓGICO'!$A$2:$A$4919,$A196)/$F196,"")</f>
        <v/>
      </c>
      <c r="J196" s="6">
        <f>IFERROR(SUMIFS('DETALLE CRONOLÓGICO'!$K$2:$K$4919,'DETALLE CRONOLÓGICO'!$A$2:$A$4919,$A196)/$E196,"")</f>
        <v/>
      </c>
      <c r="K196" s="6">
        <f>_xlfn.MINIFS('DETALLE CRONOLÓGICO'!$K$2:$K$4919,'DETALLE CRONOLÓGICO'!$A$2:$A$4919,$A196)</f>
        <v/>
      </c>
      <c r="L196" s="6">
        <f>_xlfn.MAXIFS('DETALLE CRONOLÓGICO'!$K$2:$K$4919,'DETALLE CRONOLÓGICO'!$A$2:$A$4919,$A196)</f>
        <v/>
      </c>
      <c r="M196" s="6">
        <f>INDEX('DETALLE CRONOLÓGICO'!$K$2:$K$4919,MATCH($A196,'DETALLE CRONOLÓGICO'!$A$2:$A$4919,0)+$E196-1)</f>
        <v/>
      </c>
      <c r="N196" s="7">
        <f>IFERROR($M196/INDEX('DETALLE CRONOLÓGICO'!$K$2:$K$4919,MATCH($A196,'DETALLE CRONOLÓGICO'!$A$2:$A$4919,0))-1,"")</f>
        <v/>
      </c>
      <c r="O196" s="6">
        <f>IFERROR($I196*3,"")</f>
        <v/>
      </c>
      <c r="P196" s="6">
        <f>IFERROR($I196*3.5,"")</f>
        <v/>
      </c>
      <c r="Q196" s="6">
        <f>IFERROR($I196*4,"")</f>
        <v/>
      </c>
      <c r="R196" s="6" t="n">
        <v>3999</v>
      </c>
      <c r="S196" s="4" t="n">
        <v>1</v>
      </c>
      <c r="T196" s="1" t="inlineStr">
        <is>
          <t>active</t>
        </is>
      </c>
      <c r="U196" s="8" t="n"/>
      <c r="V196" s="1" t="inlineStr">
        <is>
          <t>SIN PRECIO</t>
        </is>
      </c>
    </row>
    <row r="197">
      <c r="A197" s="1" t="inlineStr">
        <is>
          <t>17360611212238</t>
        </is>
      </c>
      <c r="B197" s="1" t="inlineStr">
        <is>
          <t>RELOJ BALLON BLUE C</t>
        </is>
      </c>
      <c r="C197" s="1" t="inlineStr">
        <is>
          <t>RELOJ CON CAJA</t>
        </is>
      </c>
      <c r="D197" s="1" t="inlineStr">
        <is>
          <t>ZOEY</t>
        </is>
      </c>
      <c r="E197" s="4">
        <f>COUNTIF('DETALLE CRONOLÓGICO'!$A$2:$A$4919,$A197)</f>
        <v/>
      </c>
      <c r="F197" s="4">
        <f>SUMIFS('DETALLE CRONOLÓGICO'!$I$2:$I$4919,'DETALLE CRONOLÓGICO'!$A$2:$A$4919,$A197)</f>
        <v/>
      </c>
      <c r="G197" s="1">
        <f>INDEX('DETALLE CRONOLÓGICO'!$D$2:$D$4919,MATCH($A197,'DETALLE CRONOLÓGICO'!$A$2:$A$4919,0))</f>
        <v/>
      </c>
      <c r="H197" s="1">
        <f>INDEX('DETALLE CRONOLÓGICO'!$D$2:$D$4919,MATCH($A197,'DETALLE CRONOLÓGICO'!$A$2:$A$4919,0)+$E197-1)</f>
        <v/>
      </c>
      <c r="I197" s="5">
        <f>IFERROR(SUMIFS('DETALLE CRONOLÓGICO'!$L$2:$L$4919,'DETALLE CRONOLÓGICO'!$A$2:$A$4919,$A197)/$F197,"")</f>
        <v/>
      </c>
      <c r="J197" s="6">
        <f>IFERROR(SUMIFS('DETALLE CRONOLÓGICO'!$K$2:$K$4919,'DETALLE CRONOLÓGICO'!$A$2:$A$4919,$A197)/$E197,"")</f>
        <v/>
      </c>
      <c r="K197" s="6">
        <f>_xlfn.MINIFS('DETALLE CRONOLÓGICO'!$K$2:$K$4919,'DETALLE CRONOLÓGICO'!$A$2:$A$4919,$A197)</f>
        <v/>
      </c>
      <c r="L197" s="6">
        <f>_xlfn.MAXIFS('DETALLE CRONOLÓGICO'!$K$2:$K$4919,'DETALLE CRONOLÓGICO'!$A$2:$A$4919,$A197)</f>
        <v/>
      </c>
      <c r="M197" s="6">
        <f>INDEX('DETALLE CRONOLÓGICO'!$K$2:$K$4919,MATCH($A197,'DETALLE CRONOLÓGICO'!$A$2:$A$4919,0)+$E197-1)</f>
        <v/>
      </c>
      <c r="N197" s="7">
        <f>IFERROR($M197/INDEX('DETALLE CRONOLÓGICO'!$K$2:$K$4919,MATCH($A197,'DETALLE CRONOLÓGICO'!$A$2:$A$4919,0))-1,"")</f>
        <v/>
      </c>
      <c r="O197" s="6">
        <f>IFERROR($I197*3,"")</f>
        <v/>
      </c>
      <c r="P197" s="6">
        <f>IFERROR($I197*3.5,"")</f>
        <v/>
      </c>
      <c r="Q197" s="6">
        <f>IFERROR($I197*4,"")</f>
        <v/>
      </c>
      <c r="R197" s="6" t="n">
        <v>4100</v>
      </c>
      <c r="S197" s="4" t="n">
        <v>0</v>
      </c>
      <c r="T197" s="1" t="inlineStr">
        <is>
          <t>active</t>
        </is>
      </c>
      <c r="U197" s="8" t="n"/>
      <c r="V197" s="1" t="inlineStr">
        <is>
          <t>SIN PRECIO</t>
        </is>
      </c>
    </row>
    <row r="198">
      <c r="A198" s="1" t="inlineStr">
        <is>
          <t>17360611377165</t>
        </is>
      </c>
      <c r="B198" s="1" t="inlineStr">
        <is>
          <t>RELOJ COSMOGRAPH DAYTONA GREEN DIAL R</t>
        </is>
      </c>
      <c r="C198" s="1" t="inlineStr">
        <is>
          <t>RELOJ SIN CAJA</t>
        </is>
      </c>
      <c r="D198" s="1" t="inlineStr">
        <is>
          <t>ZOEY</t>
        </is>
      </c>
      <c r="E198" s="4">
        <f>COUNTIF('DETALLE CRONOLÓGICO'!$A$2:$A$4919,$A198)</f>
        <v/>
      </c>
      <c r="F198" s="4">
        <f>SUMIFS('DETALLE CRONOLÓGICO'!$I$2:$I$4919,'DETALLE CRONOLÓGICO'!$A$2:$A$4919,$A198)</f>
        <v/>
      </c>
      <c r="G198" s="1">
        <f>INDEX('DETALLE CRONOLÓGICO'!$D$2:$D$4919,MATCH($A198,'DETALLE CRONOLÓGICO'!$A$2:$A$4919,0))</f>
        <v/>
      </c>
      <c r="H198" s="1">
        <f>INDEX('DETALLE CRONOLÓGICO'!$D$2:$D$4919,MATCH($A198,'DETALLE CRONOLÓGICO'!$A$2:$A$4919,0)+$E198-1)</f>
        <v/>
      </c>
      <c r="I198" s="5">
        <f>IFERROR(SUMIFS('DETALLE CRONOLÓGICO'!$L$2:$L$4919,'DETALLE CRONOLÓGICO'!$A$2:$A$4919,$A198)/$F198,"")</f>
        <v/>
      </c>
      <c r="J198" s="6">
        <f>IFERROR(SUMIFS('DETALLE CRONOLÓGICO'!$K$2:$K$4919,'DETALLE CRONOLÓGICO'!$A$2:$A$4919,$A198)/$E198,"")</f>
        <v/>
      </c>
      <c r="K198" s="6">
        <f>_xlfn.MINIFS('DETALLE CRONOLÓGICO'!$K$2:$K$4919,'DETALLE CRONOLÓGICO'!$A$2:$A$4919,$A198)</f>
        <v/>
      </c>
      <c r="L198" s="6">
        <f>_xlfn.MAXIFS('DETALLE CRONOLÓGICO'!$K$2:$K$4919,'DETALLE CRONOLÓGICO'!$A$2:$A$4919,$A198)</f>
        <v/>
      </c>
      <c r="M198" s="6">
        <f>INDEX('DETALLE CRONOLÓGICO'!$K$2:$K$4919,MATCH($A198,'DETALLE CRONOLÓGICO'!$A$2:$A$4919,0)+$E198-1)</f>
        <v/>
      </c>
      <c r="N198" s="7">
        <f>IFERROR($M198/INDEX('DETALLE CRONOLÓGICO'!$K$2:$K$4919,MATCH($A198,'DETALLE CRONOLÓGICO'!$A$2:$A$4919,0))-1,"")</f>
        <v/>
      </c>
      <c r="O198" s="6">
        <f>IFERROR($I198*3,"")</f>
        <v/>
      </c>
      <c r="P198" s="6">
        <f>IFERROR($I198*3.5,"")</f>
        <v/>
      </c>
      <c r="Q198" s="6">
        <f>IFERROR($I198*4,"")</f>
        <v/>
      </c>
      <c r="R198" s="6" t="n">
        <v>4999</v>
      </c>
      <c r="S198" s="4" t="n">
        <v>2</v>
      </c>
      <c r="T198" s="1" t="inlineStr">
        <is>
          <t>active</t>
        </is>
      </c>
      <c r="U198" s="8" t="n"/>
      <c r="V198" s="1" t="inlineStr">
        <is>
          <t>SIN PRECIO</t>
        </is>
      </c>
    </row>
    <row r="199">
      <c r="A199" s="1" t="inlineStr">
        <is>
          <t>17360611377166</t>
        </is>
      </c>
      <c r="B199" s="1" t="inlineStr">
        <is>
          <t>RELOJ COSMOGRAPH DAYTONA GREEN DIAL R</t>
        </is>
      </c>
      <c r="C199" s="1" t="inlineStr">
        <is>
          <t>RELOJ CON CAJA</t>
        </is>
      </c>
      <c r="D199" s="1" t="inlineStr">
        <is>
          <t>ZOEY</t>
        </is>
      </c>
      <c r="E199" s="4">
        <f>COUNTIF('DETALLE CRONOLÓGICO'!$A$2:$A$4919,$A199)</f>
        <v/>
      </c>
      <c r="F199" s="4">
        <f>SUMIFS('DETALLE CRONOLÓGICO'!$I$2:$I$4919,'DETALLE CRONOLÓGICO'!$A$2:$A$4919,$A199)</f>
        <v/>
      </c>
      <c r="G199" s="1">
        <f>INDEX('DETALLE CRONOLÓGICO'!$D$2:$D$4919,MATCH($A199,'DETALLE CRONOLÓGICO'!$A$2:$A$4919,0))</f>
        <v/>
      </c>
      <c r="H199" s="1">
        <f>INDEX('DETALLE CRONOLÓGICO'!$D$2:$D$4919,MATCH($A199,'DETALLE CRONOLÓGICO'!$A$2:$A$4919,0)+$E199-1)</f>
        <v/>
      </c>
      <c r="I199" s="5">
        <f>IFERROR(SUMIFS('DETALLE CRONOLÓGICO'!$L$2:$L$4919,'DETALLE CRONOLÓGICO'!$A$2:$A$4919,$A199)/$F199,"")</f>
        <v/>
      </c>
      <c r="J199" s="6">
        <f>IFERROR(SUMIFS('DETALLE CRONOLÓGICO'!$K$2:$K$4919,'DETALLE CRONOLÓGICO'!$A$2:$A$4919,$A199)/$E199,"")</f>
        <v/>
      </c>
      <c r="K199" s="6">
        <f>_xlfn.MINIFS('DETALLE CRONOLÓGICO'!$K$2:$K$4919,'DETALLE CRONOLÓGICO'!$A$2:$A$4919,$A199)</f>
        <v/>
      </c>
      <c r="L199" s="6">
        <f>_xlfn.MAXIFS('DETALLE CRONOLÓGICO'!$K$2:$K$4919,'DETALLE CRONOLÓGICO'!$A$2:$A$4919,$A199)</f>
        <v/>
      </c>
      <c r="M199" s="6">
        <f>INDEX('DETALLE CRONOLÓGICO'!$K$2:$K$4919,MATCH($A199,'DETALLE CRONOLÓGICO'!$A$2:$A$4919,0)+$E199-1)</f>
        <v/>
      </c>
      <c r="N199" s="7">
        <f>IFERROR($M199/INDEX('DETALLE CRONOLÓGICO'!$K$2:$K$4919,MATCH($A199,'DETALLE CRONOLÓGICO'!$A$2:$A$4919,0))-1,"")</f>
        <v/>
      </c>
      <c r="O199" s="6">
        <f>IFERROR($I199*3,"")</f>
        <v/>
      </c>
      <c r="P199" s="6">
        <f>IFERROR($I199*3.5,"")</f>
        <v/>
      </c>
      <c r="Q199" s="6">
        <f>IFERROR($I199*4,"")</f>
        <v/>
      </c>
      <c r="R199" s="6" t="n">
        <v>6150</v>
      </c>
      <c r="S199" s="4" t="n">
        <v>0</v>
      </c>
      <c r="T199" s="1" t="inlineStr">
        <is>
          <t>active</t>
        </is>
      </c>
      <c r="U199" s="8" t="n"/>
      <c r="V199" s="1" t="inlineStr">
        <is>
          <t>SIN PRECIO</t>
        </is>
      </c>
    </row>
    <row r="200">
      <c r="A200" s="1" t="inlineStr">
        <is>
          <t>17360611474253</t>
        </is>
      </c>
      <c r="B200" s="1" t="inlineStr">
        <is>
          <t>RELOJ LADY DATEJUST GOLD RX</t>
        </is>
      </c>
      <c r="C200" s="1" t="inlineStr">
        <is>
          <t>RELOJ SIN CAJA</t>
        </is>
      </c>
      <c r="D200" s="1" t="inlineStr">
        <is>
          <t>ZOEY</t>
        </is>
      </c>
      <c r="E200" s="4">
        <f>COUNTIF('DETALLE CRONOLÓGICO'!$A$2:$A$4919,$A200)</f>
        <v/>
      </c>
      <c r="F200" s="4">
        <f>SUMIFS('DETALLE CRONOLÓGICO'!$I$2:$I$4919,'DETALLE CRONOLÓGICO'!$A$2:$A$4919,$A200)</f>
        <v/>
      </c>
      <c r="G200" s="1">
        <f>INDEX('DETALLE CRONOLÓGICO'!$D$2:$D$4919,MATCH($A200,'DETALLE CRONOLÓGICO'!$A$2:$A$4919,0))</f>
        <v/>
      </c>
      <c r="H200" s="1">
        <f>INDEX('DETALLE CRONOLÓGICO'!$D$2:$D$4919,MATCH($A200,'DETALLE CRONOLÓGICO'!$A$2:$A$4919,0)+$E200-1)</f>
        <v/>
      </c>
      <c r="I200" s="5">
        <f>IFERROR(SUMIFS('DETALLE CRONOLÓGICO'!$L$2:$L$4919,'DETALLE CRONOLÓGICO'!$A$2:$A$4919,$A200)/$F200,"")</f>
        <v/>
      </c>
      <c r="J200" s="6">
        <f>IFERROR(SUMIFS('DETALLE CRONOLÓGICO'!$K$2:$K$4919,'DETALLE CRONOLÓGICO'!$A$2:$A$4919,$A200)/$E200,"")</f>
        <v/>
      </c>
      <c r="K200" s="6">
        <f>_xlfn.MINIFS('DETALLE CRONOLÓGICO'!$K$2:$K$4919,'DETALLE CRONOLÓGICO'!$A$2:$A$4919,$A200)</f>
        <v/>
      </c>
      <c r="L200" s="6">
        <f>_xlfn.MAXIFS('DETALLE CRONOLÓGICO'!$K$2:$K$4919,'DETALLE CRONOLÓGICO'!$A$2:$A$4919,$A200)</f>
        <v/>
      </c>
      <c r="M200" s="6">
        <f>INDEX('DETALLE CRONOLÓGICO'!$K$2:$K$4919,MATCH($A200,'DETALLE CRONOLÓGICO'!$A$2:$A$4919,0)+$E200-1)</f>
        <v/>
      </c>
      <c r="N200" s="7">
        <f>IFERROR($M200/INDEX('DETALLE CRONOLÓGICO'!$K$2:$K$4919,MATCH($A200,'DETALLE CRONOLÓGICO'!$A$2:$A$4919,0))-1,"")</f>
        <v/>
      </c>
      <c r="O200" s="6">
        <f>IFERROR($I200*3,"")</f>
        <v/>
      </c>
      <c r="P200" s="6">
        <f>IFERROR($I200*3.5,"")</f>
        <v/>
      </c>
      <c r="Q200" s="6">
        <f>IFERROR($I200*4,"")</f>
        <v/>
      </c>
      <c r="R200" s="6" t="n">
        <v>5045</v>
      </c>
      <c r="S200" s="4" t="n">
        <v>1</v>
      </c>
      <c r="T200" s="1" t="inlineStr">
        <is>
          <t>active</t>
        </is>
      </c>
      <c r="U200" s="8" t="n"/>
      <c r="V200" s="1" t="inlineStr">
        <is>
          <t>SIN PRECIO</t>
        </is>
      </c>
    </row>
    <row r="201">
      <c r="A201" s="1" t="inlineStr">
        <is>
          <t>17360611572910</t>
        </is>
      </c>
      <c r="B201" s="1" t="inlineStr">
        <is>
          <t>RELOJ NAUTILUS PP</t>
        </is>
      </c>
      <c r="C201" s="1" t="inlineStr">
        <is>
          <t>RELOJ CON CAJA</t>
        </is>
      </c>
      <c r="D201" s="1" t="inlineStr">
        <is>
          <t>ZOEY</t>
        </is>
      </c>
      <c r="E201" s="4">
        <f>COUNTIF('DETALLE CRONOLÓGICO'!$A$2:$A$4919,$A201)</f>
        <v/>
      </c>
      <c r="F201" s="4">
        <f>SUMIFS('DETALLE CRONOLÓGICO'!$I$2:$I$4919,'DETALLE CRONOLÓGICO'!$A$2:$A$4919,$A201)</f>
        <v/>
      </c>
      <c r="G201" s="1">
        <f>INDEX('DETALLE CRONOLÓGICO'!$D$2:$D$4919,MATCH($A201,'DETALLE CRONOLÓGICO'!$A$2:$A$4919,0))</f>
        <v/>
      </c>
      <c r="H201" s="1">
        <f>INDEX('DETALLE CRONOLÓGICO'!$D$2:$D$4919,MATCH($A201,'DETALLE CRONOLÓGICO'!$A$2:$A$4919,0)+$E201-1)</f>
        <v/>
      </c>
      <c r="I201" s="5">
        <f>IFERROR(SUMIFS('DETALLE CRONOLÓGICO'!$L$2:$L$4919,'DETALLE CRONOLÓGICO'!$A$2:$A$4919,$A201)/$F201,"")</f>
        <v/>
      </c>
      <c r="J201" s="6">
        <f>IFERROR(SUMIFS('DETALLE CRONOLÓGICO'!$K$2:$K$4919,'DETALLE CRONOLÓGICO'!$A$2:$A$4919,$A201)/$E201,"")</f>
        <v/>
      </c>
      <c r="K201" s="6">
        <f>_xlfn.MINIFS('DETALLE CRONOLÓGICO'!$K$2:$K$4919,'DETALLE CRONOLÓGICO'!$A$2:$A$4919,$A201)</f>
        <v/>
      </c>
      <c r="L201" s="6">
        <f>_xlfn.MAXIFS('DETALLE CRONOLÓGICO'!$K$2:$K$4919,'DETALLE CRONOLÓGICO'!$A$2:$A$4919,$A201)</f>
        <v/>
      </c>
      <c r="M201" s="6">
        <f>INDEX('DETALLE CRONOLÓGICO'!$K$2:$K$4919,MATCH($A201,'DETALLE CRONOLÓGICO'!$A$2:$A$4919,0)+$E201-1)</f>
        <v/>
      </c>
      <c r="N201" s="7">
        <f>IFERROR($M201/INDEX('DETALLE CRONOLÓGICO'!$K$2:$K$4919,MATCH($A201,'DETALLE CRONOLÓGICO'!$A$2:$A$4919,0))-1,"")</f>
        <v/>
      </c>
      <c r="O201" s="6">
        <f>IFERROR($I201*3,"")</f>
        <v/>
      </c>
      <c r="P201" s="6">
        <f>IFERROR($I201*3.5,"")</f>
        <v/>
      </c>
      <c r="Q201" s="6">
        <f>IFERROR($I201*4,"")</f>
        <v/>
      </c>
      <c r="R201" s="6" t="n">
        <v>5949</v>
      </c>
      <c r="S201" s="4" t="n">
        <v>2</v>
      </c>
      <c r="T201" s="1" t="inlineStr">
        <is>
          <t>active</t>
        </is>
      </c>
      <c r="U201" s="8" t="n"/>
      <c r="V201" s="1" t="inlineStr">
        <is>
          <t>SIN PRECIO</t>
        </is>
      </c>
    </row>
    <row r="202">
      <c r="A202" s="1" t="inlineStr">
        <is>
          <t>17360611631597</t>
        </is>
      </c>
      <c r="B202" s="1" t="inlineStr">
        <is>
          <t>RELOJ GENEVA PP</t>
        </is>
      </c>
      <c r="C202" s="1" t="inlineStr">
        <is>
          <t>RELOJ CON CAJA</t>
        </is>
      </c>
      <c r="D202" s="1" t="inlineStr">
        <is>
          <t>ZOEY</t>
        </is>
      </c>
      <c r="E202" s="4">
        <f>COUNTIF('DETALLE CRONOLÓGICO'!$A$2:$A$4919,$A202)</f>
        <v/>
      </c>
      <c r="F202" s="4">
        <f>SUMIFS('DETALLE CRONOLÓGICO'!$I$2:$I$4919,'DETALLE CRONOLÓGICO'!$A$2:$A$4919,$A202)</f>
        <v/>
      </c>
      <c r="G202" s="1">
        <f>INDEX('DETALLE CRONOLÓGICO'!$D$2:$D$4919,MATCH($A202,'DETALLE CRONOLÓGICO'!$A$2:$A$4919,0))</f>
        <v/>
      </c>
      <c r="H202" s="1">
        <f>INDEX('DETALLE CRONOLÓGICO'!$D$2:$D$4919,MATCH($A202,'DETALLE CRONOLÓGICO'!$A$2:$A$4919,0)+$E202-1)</f>
        <v/>
      </c>
      <c r="I202" s="5">
        <f>IFERROR(SUMIFS('DETALLE CRONOLÓGICO'!$L$2:$L$4919,'DETALLE CRONOLÓGICO'!$A$2:$A$4919,$A202)/$F202,"")</f>
        <v/>
      </c>
      <c r="J202" s="6">
        <f>IFERROR(SUMIFS('DETALLE CRONOLÓGICO'!$K$2:$K$4919,'DETALLE CRONOLÓGICO'!$A$2:$A$4919,$A202)/$E202,"")</f>
        <v/>
      </c>
      <c r="K202" s="6">
        <f>_xlfn.MINIFS('DETALLE CRONOLÓGICO'!$K$2:$K$4919,'DETALLE CRONOLÓGICO'!$A$2:$A$4919,$A202)</f>
        <v/>
      </c>
      <c r="L202" s="6">
        <f>_xlfn.MAXIFS('DETALLE CRONOLÓGICO'!$K$2:$K$4919,'DETALLE CRONOLÓGICO'!$A$2:$A$4919,$A202)</f>
        <v/>
      </c>
      <c r="M202" s="6">
        <f>INDEX('DETALLE CRONOLÓGICO'!$K$2:$K$4919,MATCH($A202,'DETALLE CRONOLÓGICO'!$A$2:$A$4919,0)+$E202-1)</f>
        <v/>
      </c>
      <c r="N202" s="7">
        <f>IFERROR($M202/INDEX('DETALLE CRONOLÓGICO'!$K$2:$K$4919,MATCH($A202,'DETALLE CRONOLÓGICO'!$A$2:$A$4919,0))-1,"")</f>
        <v/>
      </c>
      <c r="O202" s="6">
        <f>IFERROR($I202*3,"")</f>
        <v/>
      </c>
      <c r="P202" s="6">
        <f>IFERROR($I202*3.5,"")</f>
        <v/>
      </c>
      <c r="Q202" s="6">
        <f>IFERROR($I202*4,"")</f>
        <v/>
      </c>
      <c r="R202" s="6" t="n">
        <v>7209</v>
      </c>
      <c r="S202" s="4" t="n">
        <v>0</v>
      </c>
      <c r="T202" s="1" t="inlineStr">
        <is>
          <t>active</t>
        </is>
      </c>
      <c r="U202" s="8" t="n"/>
      <c r="V202" s="1" t="inlineStr">
        <is>
          <t>SIN PRECIO</t>
        </is>
      </c>
    </row>
    <row r="203">
      <c r="A203" s="1" t="inlineStr">
        <is>
          <t>17360611631598</t>
        </is>
      </c>
      <c r="B203" s="1" t="inlineStr">
        <is>
          <t>RELOJ GENEVA PP</t>
        </is>
      </c>
      <c r="C203" s="1" t="inlineStr">
        <is>
          <t>RELOJ SIN CAJA</t>
        </is>
      </c>
      <c r="D203" s="1" t="inlineStr">
        <is>
          <t>ZOEY</t>
        </is>
      </c>
      <c r="E203" s="4">
        <f>COUNTIF('DETALLE CRONOLÓGICO'!$A$2:$A$4919,$A203)</f>
        <v/>
      </c>
      <c r="F203" s="4">
        <f>SUMIFS('DETALLE CRONOLÓGICO'!$I$2:$I$4919,'DETALLE CRONOLÓGICO'!$A$2:$A$4919,$A203)</f>
        <v/>
      </c>
      <c r="G203" s="1">
        <f>INDEX('DETALLE CRONOLÓGICO'!$D$2:$D$4919,MATCH($A203,'DETALLE CRONOLÓGICO'!$A$2:$A$4919,0))</f>
        <v/>
      </c>
      <c r="H203" s="1">
        <f>INDEX('DETALLE CRONOLÓGICO'!$D$2:$D$4919,MATCH($A203,'DETALLE CRONOLÓGICO'!$A$2:$A$4919,0)+$E203-1)</f>
        <v/>
      </c>
      <c r="I203" s="5">
        <f>IFERROR(SUMIFS('DETALLE CRONOLÓGICO'!$L$2:$L$4919,'DETALLE CRONOLÓGICO'!$A$2:$A$4919,$A203)/$F203,"")</f>
        <v/>
      </c>
      <c r="J203" s="6">
        <f>IFERROR(SUMIFS('DETALLE CRONOLÓGICO'!$K$2:$K$4919,'DETALLE CRONOLÓGICO'!$A$2:$A$4919,$A203)/$E203,"")</f>
        <v/>
      </c>
      <c r="K203" s="6">
        <f>_xlfn.MINIFS('DETALLE CRONOLÓGICO'!$K$2:$K$4919,'DETALLE CRONOLÓGICO'!$A$2:$A$4919,$A203)</f>
        <v/>
      </c>
      <c r="L203" s="6">
        <f>_xlfn.MAXIFS('DETALLE CRONOLÓGICO'!$K$2:$K$4919,'DETALLE CRONOLÓGICO'!$A$2:$A$4919,$A203)</f>
        <v/>
      </c>
      <c r="M203" s="6">
        <f>INDEX('DETALLE CRONOLÓGICO'!$K$2:$K$4919,MATCH($A203,'DETALLE CRONOLÓGICO'!$A$2:$A$4919,0)+$E203-1)</f>
        <v/>
      </c>
      <c r="N203" s="7">
        <f>IFERROR($M203/INDEX('DETALLE CRONOLÓGICO'!$K$2:$K$4919,MATCH($A203,'DETALLE CRONOLÓGICO'!$A$2:$A$4919,0))-1,"")</f>
        <v/>
      </c>
      <c r="O203" s="6">
        <f>IFERROR($I203*3,"")</f>
        <v/>
      </c>
      <c r="P203" s="6">
        <f>IFERROR($I203*3.5,"")</f>
        <v/>
      </c>
      <c r="Q203" s="6">
        <f>IFERROR($I203*4,"")</f>
        <v/>
      </c>
      <c r="R203" s="6" t="n">
        <v>6099</v>
      </c>
      <c r="S203" s="4" t="n">
        <v>2</v>
      </c>
      <c r="T203" s="1" t="inlineStr">
        <is>
          <t>active</t>
        </is>
      </c>
      <c r="U203" s="8" t="n"/>
      <c r="V203" s="1" t="inlineStr">
        <is>
          <t>SIN PRECIO</t>
        </is>
      </c>
    </row>
    <row r="204">
      <c r="A204" s="1" t="inlineStr">
        <is>
          <t>17416232396428</t>
        </is>
      </c>
      <c r="B204" s="1" t="inlineStr">
        <is>
          <t>BOLSO CD TOTE</t>
        </is>
      </c>
      <c r="C204" s="1" t="inlineStr">
        <is>
          <t>36.5cm x 28cm x 10cm</t>
        </is>
      </c>
      <c r="D204" s="1" t="inlineStr">
        <is>
          <t>ZOEY</t>
        </is>
      </c>
      <c r="E204" s="4">
        <f>COUNTIF('DETALLE CRONOLÓGICO'!$A$2:$A$4919,$A204)</f>
        <v/>
      </c>
      <c r="F204" s="4">
        <f>SUMIFS('DETALLE CRONOLÓGICO'!$I$2:$I$4919,'DETALLE CRONOLÓGICO'!$A$2:$A$4919,$A204)</f>
        <v/>
      </c>
      <c r="G204" s="1">
        <f>INDEX('DETALLE CRONOLÓGICO'!$D$2:$D$4919,MATCH($A204,'DETALLE CRONOLÓGICO'!$A$2:$A$4919,0))</f>
        <v/>
      </c>
      <c r="H204" s="1">
        <f>INDEX('DETALLE CRONOLÓGICO'!$D$2:$D$4919,MATCH($A204,'DETALLE CRONOLÓGICO'!$A$2:$A$4919,0)+$E204-1)</f>
        <v/>
      </c>
      <c r="I204" s="5">
        <f>IFERROR(SUMIFS('DETALLE CRONOLÓGICO'!$L$2:$L$4919,'DETALLE CRONOLÓGICO'!$A$2:$A$4919,$A204)/$F204,"")</f>
        <v/>
      </c>
      <c r="J204" s="6">
        <f>IFERROR(SUMIFS('DETALLE CRONOLÓGICO'!$K$2:$K$4919,'DETALLE CRONOLÓGICO'!$A$2:$A$4919,$A204)/$E204,"")</f>
        <v/>
      </c>
      <c r="K204" s="6">
        <f>_xlfn.MINIFS('DETALLE CRONOLÓGICO'!$K$2:$K$4919,'DETALLE CRONOLÓGICO'!$A$2:$A$4919,$A204)</f>
        <v/>
      </c>
      <c r="L204" s="6">
        <f>_xlfn.MAXIFS('DETALLE CRONOLÓGICO'!$K$2:$K$4919,'DETALLE CRONOLÓGICO'!$A$2:$A$4919,$A204)</f>
        <v/>
      </c>
      <c r="M204" s="6">
        <f>INDEX('DETALLE CRONOLÓGICO'!$K$2:$K$4919,MATCH($A204,'DETALLE CRONOLÓGICO'!$A$2:$A$4919,0)+$E204-1)</f>
        <v/>
      </c>
      <c r="N204" s="7">
        <f>IFERROR($M204/INDEX('DETALLE CRONOLÓGICO'!$K$2:$K$4919,MATCH($A204,'DETALLE CRONOLÓGICO'!$A$2:$A$4919,0))-1,"")</f>
        <v/>
      </c>
      <c r="O204" s="6">
        <f>IFERROR($I204*3,"")</f>
        <v/>
      </c>
      <c r="P204" s="6">
        <f>IFERROR($I204*3.5,"")</f>
        <v/>
      </c>
      <c r="Q204" s="6">
        <f>IFERROR($I204*4,"")</f>
        <v/>
      </c>
      <c r="R204" s="6" t="n">
        <v>4069</v>
      </c>
      <c r="S204" s="4" t="n">
        <v>5</v>
      </c>
      <c r="T204" s="1" t="inlineStr">
        <is>
          <t>active</t>
        </is>
      </c>
      <c r="U204" s="8" t="n"/>
      <c r="V204" s="1" t="inlineStr">
        <is>
          <t>SIN PRECIO</t>
        </is>
      </c>
    </row>
    <row r="205">
      <c r="A205" s="1" t="inlineStr">
        <is>
          <t>17760786033676</t>
        </is>
      </c>
      <c r="B205" s="1" t="inlineStr">
        <is>
          <t>BOLSO CC 22 SILVER</t>
        </is>
      </c>
      <c r="C205" s="1" t="inlineStr">
        <is>
          <t>19cm de alto x 23.5cm de ancho</t>
        </is>
      </c>
      <c r="D205" s="1" t="inlineStr">
        <is>
          <t>ZOEY</t>
        </is>
      </c>
      <c r="E205" s="4">
        <f>COUNTIF('DETALLE CRONOLÓGICO'!$A$2:$A$4919,$A205)</f>
        <v/>
      </c>
      <c r="F205" s="4">
        <f>SUMIFS('DETALLE CRONOLÓGICO'!$I$2:$I$4919,'DETALLE CRONOLÓGICO'!$A$2:$A$4919,$A205)</f>
        <v/>
      </c>
      <c r="G205" s="1">
        <f>INDEX('DETALLE CRONOLÓGICO'!$D$2:$D$4919,MATCH($A205,'DETALLE CRONOLÓGICO'!$A$2:$A$4919,0))</f>
        <v/>
      </c>
      <c r="H205" s="1">
        <f>INDEX('DETALLE CRONOLÓGICO'!$D$2:$D$4919,MATCH($A205,'DETALLE CRONOLÓGICO'!$A$2:$A$4919,0)+$E205-1)</f>
        <v/>
      </c>
      <c r="I205" s="5">
        <f>IFERROR(SUMIFS('DETALLE CRONOLÓGICO'!$L$2:$L$4919,'DETALLE CRONOLÓGICO'!$A$2:$A$4919,$A205)/$F205,"")</f>
        <v/>
      </c>
      <c r="J205" s="6">
        <f>IFERROR(SUMIFS('DETALLE CRONOLÓGICO'!$K$2:$K$4919,'DETALLE CRONOLÓGICO'!$A$2:$A$4919,$A205)/$E205,"")</f>
        <v/>
      </c>
      <c r="K205" s="6">
        <f>_xlfn.MINIFS('DETALLE CRONOLÓGICO'!$K$2:$K$4919,'DETALLE CRONOLÓGICO'!$A$2:$A$4919,$A205)</f>
        <v/>
      </c>
      <c r="L205" s="6">
        <f>_xlfn.MAXIFS('DETALLE CRONOLÓGICO'!$K$2:$K$4919,'DETALLE CRONOLÓGICO'!$A$2:$A$4919,$A205)</f>
        <v/>
      </c>
      <c r="M205" s="6">
        <f>INDEX('DETALLE CRONOLÓGICO'!$K$2:$K$4919,MATCH($A205,'DETALLE CRONOLÓGICO'!$A$2:$A$4919,0)+$E205-1)</f>
        <v/>
      </c>
      <c r="N205" s="7">
        <f>IFERROR($M205/INDEX('DETALLE CRONOLÓGICO'!$K$2:$K$4919,MATCH($A205,'DETALLE CRONOLÓGICO'!$A$2:$A$4919,0))-1,"")</f>
        <v/>
      </c>
      <c r="O205" s="6">
        <f>IFERROR($I205*3,"")</f>
        <v/>
      </c>
      <c r="P205" s="6">
        <f>IFERROR($I205*3.5,"")</f>
        <v/>
      </c>
      <c r="Q205" s="6">
        <f>IFERROR($I205*4,"")</f>
        <v/>
      </c>
      <c r="R205" s="6" t="n">
        <v>2937</v>
      </c>
      <c r="S205" s="4" t="n">
        <v>5</v>
      </c>
      <c r="T205" s="1" t="inlineStr">
        <is>
          <t>active</t>
        </is>
      </c>
      <c r="U205" s="8" t="n"/>
      <c r="V205" s="1" t="inlineStr">
        <is>
          <t>SIN PRECIO</t>
        </is>
      </c>
    </row>
    <row r="206">
      <c r="A206" s="1" t="inlineStr">
        <is>
          <t>17872087535244</t>
        </is>
      </c>
      <c r="B206" s="1" t="inlineStr">
        <is>
          <t>BOLSO LW ANAGRAM</t>
        </is>
      </c>
      <c r="C206" s="1" t="inlineStr">
        <is>
          <t>50cm x 26cm x 15cm</t>
        </is>
      </c>
      <c r="D206" s="1" t="inlineStr">
        <is>
          <t>ZOEY</t>
        </is>
      </c>
      <c r="E206" s="4">
        <f>COUNTIF('DETALLE CRONOLÓGICO'!$A$2:$A$4919,$A206)</f>
        <v/>
      </c>
      <c r="F206" s="4">
        <f>SUMIFS('DETALLE CRONOLÓGICO'!$I$2:$I$4919,'DETALLE CRONOLÓGICO'!$A$2:$A$4919,$A206)</f>
        <v/>
      </c>
      <c r="G206" s="1">
        <f>INDEX('DETALLE CRONOLÓGICO'!$D$2:$D$4919,MATCH($A206,'DETALLE CRONOLÓGICO'!$A$2:$A$4919,0))</f>
        <v/>
      </c>
      <c r="H206" s="1">
        <f>INDEX('DETALLE CRONOLÓGICO'!$D$2:$D$4919,MATCH($A206,'DETALLE CRONOLÓGICO'!$A$2:$A$4919,0)+$E206-1)</f>
        <v/>
      </c>
      <c r="I206" s="5">
        <f>IFERROR(SUMIFS('DETALLE CRONOLÓGICO'!$L$2:$L$4919,'DETALLE CRONOLÓGICO'!$A$2:$A$4919,$A206)/$F206,"")</f>
        <v/>
      </c>
      <c r="J206" s="6">
        <f>IFERROR(SUMIFS('DETALLE CRONOLÓGICO'!$K$2:$K$4919,'DETALLE CRONOLÓGICO'!$A$2:$A$4919,$A206)/$E206,"")</f>
        <v/>
      </c>
      <c r="K206" s="6">
        <f>_xlfn.MINIFS('DETALLE CRONOLÓGICO'!$K$2:$K$4919,'DETALLE CRONOLÓGICO'!$A$2:$A$4919,$A206)</f>
        <v/>
      </c>
      <c r="L206" s="6">
        <f>_xlfn.MAXIFS('DETALLE CRONOLÓGICO'!$K$2:$K$4919,'DETALLE CRONOLÓGICO'!$A$2:$A$4919,$A206)</f>
        <v/>
      </c>
      <c r="M206" s="6">
        <f>INDEX('DETALLE CRONOLÓGICO'!$K$2:$K$4919,MATCH($A206,'DETALLE CRONOLÓGICO'!$A$2:$A$4919,0)+$E206-1)</f>
        <v/>
      </c>
      <c r="N206" s="7">
        <f>IFERROR($M206/INDEX('DETALLE CRONOLÓGICO'!$K$2:$K$4919,MATCH($A206,'DETALLE CRONOLÓGICO'!$A$2:$A$4919,0))-1,"")</f>
        <v/>
      </c>
      <c r="O206" s="6">
        <f>IFERROR($I206*3,"")</f>
        <v/>
      </c>
      <c r="P206" s="6">
        <f>IFERROR($I206*3.5,"")</f>
        <v/>
      </c>
      <c r="Q206" s="6">
        <f>IFERROR($I206*4,"")</f>
        <v/>
      </c>
      <c r="R206" s="6" t="n">
        <v>3780</v>
      </c>
      <c r="S206" s="4" t="n">
        <v>3</v>
      </c>
      <c r="T206" s="1" t="inlineStr">
        <is>
          <t>active</t>
        </is>
      </c>
      <c r="U206" s="8" t="n"/>
      <c r="V206" s="1" t="inlineStr">
        <is>
          <t>SIN PRECIO</t>
        </is>
      </c>
    </row>
    <row r="207">
      <c r="A207" s="1" t="inlineStr">
        <is>
          <t>17964141062349</t>
        </is>
      </c>
      <c r="B207" s="1" t="inlineStr">
        <is>
          <t>BRAZALETE LV TAILOR SOO</t>
        </is>
      </c>
      <c r="C207" s="1" t="inlineStr">
        <is>
          <t>Default Title</t>
        </is>
      </c>
      <c r="D207" s="1" t="inlineStr">
        <is>
          <t>HAIFENG</t>
        </is>
      </c>
      <c r="E207" s="4">
        <f>COUNTIF('DETALLE CRONOLÓGICO'!$A$2:$A$4919,$A207)</f>
        <v/>
      </c>
      <c r="F207" s="4">
        <f>SUMIFS('DETALLE CRONOLÓGICO'!$I$2:$I$4919,'DETALLE CRONOLÓGICO'!$A$2:$A$4919,$A207)</f>
        <v/>
      </c>
      <c r="G207" s="1">
        <f>INDEX('DETALLE CRONOLÓGICO'!$D$2:$D$4919,MATCH($A207,'DETALLE CRONOLÓGICO'!$A$2:$A$4919,0))</f>
        <v/>
      </c>
      <c r="H207" s="1">
        <f>INDEX('DETALLE CRONOLÓGICO'!$D$2:$D$4919,MATCH($A207,'DETALLE CRONOLÓGICO'!$A$2:$A$4919,0)+$E207-1)</f>
        <v/>
      </c>
      <c r="I207" s="5">
        <f>IFERROR(SUMIFS('DETALLE CRONOLÓGICO'!$L$2:$L$4919,'DETALLE CRONOLÓGICO'!$A$2:$A$4919,$A207)/$F207,"")</f>
        <v/>
      </c>
      <c r="J207" s="6">
        <f>IFERROR(SUMIFS('DETALLE CRONOLÓGICO'!$K$2:$K$4919,'DETALLE CRONOLÓGICO'!$A$2:$A$4919,$A207)/$E207,"")</f>
        <v/>
      </c>
      <c r="K207" s="6">
        <f>_xlfn.MINIFS('DETALLE CRONOLÓGICO'!$K$2:$K$4919,'DETALLE CRONOLÓGICO'!$A$2:$A$4919,$A207)</f>
        <v/>
      </c>
      <c r="L207" s="6">
        <f>_xlfn.MAXIFS('DETALLE CRONOLÓGICO'!$K$2:$K$4919,'DETALLE CRONOLÓGICO'!$A$2:$A$4919,$A207)</f>
        <v/>
      </c>
      <c r="M207" s="6">
        <f>INDEX('DETALLE CRONOLÓGICO'!$K$2:$K$4919,MATCH($A207,'DETALLE CRONOLÓGICO'!$A$2:$A$4919,0)+$E207-1)</f>
        <v/>
      </c>
      <c r="N207" s="7">
        <f>IFERROR($M207/INDEX('DETALLE CRONOLÓGICO'!$K$2:$K$4919,MATCH($A207,'DETALLE CRONOLÓGICO'!$A$2:$A$4919,0))-1,"")</f>
        <v/>
      </c>
      <c r="O207" s="6">
        <f>IFERROR($I207*3,"")</f>
        <v/>
      </c>
      <c r="P207" s="6">
        <f>IFERROR($I207*3.5,"")</f>
        <v/>
      </c>
      <c r="Q207" s="6">
        <f>IFERROR($I207*4,"")</f>
        <v/>
      </c>
      <c r="R207" s="6" t="n">
        <v>0</v>
      </c>
      <c r="S207" s="4" t="n">
        <v>2</v>
      </c>
      <c r="T207" s="1" t="inlineStr">
        <is>
          <t>draft</t>
        </is>
      </c>
      <c r="U207" s="8" t="n"/>
      <c r="V207" s="1" t="inlineStr">
        <is>
          <t>SIN PRECIO</t>
        </is>
      </c>
    </row>
    <row r="208">
      <c r="A208" s="1" t="inlineStr">
        <is>
          <t>17964141190029</t>
        </is>
      </c>
      <c r="B208" s="1" t="inlineStr">
        <is>
          <t>ANILLO LV TAILOR SOO</t>
        </is>
      </c>
      <c r="C208" s="1" t="inlineStr">
        <is>
          <t>AJUSTABLE</t>
        </is>
      </c>
      <c r="D208" s="1" t="inlineStr">
        <is>
          <t>HAIFENG</t>
        </is>
      </c>
      <c r="E208" s="4">
        <f>COUNTIF('DETALLE CRONOLÓGICO'!$A$2:$A$4919,$A208)</f>
        <v/>
      </c>
      <c r="F208" s="4">
        <f>SUMIFS('DETALLE CRONOLÓGICO'!$I$2:$I$4919,'DETALLE CRONOLÓGICO'!$A$2:$A$4919,$A208)</f>
        <v/>
      </c>
      <c r="G208" s="1">
        <f>INDEX('DETALLE CRONOLÓGICO'!$D$2:$D$4919,MATCH($A208,'DETALLE CRONOLÓGICO'!$A$2:$A$4919,0))</f>
        <v/>
      </c>
      <c r="H208" s="1">
        <f>INDEX('DETALLE CRONOLÓGICO'!$D$2:$D$4919,MATCH($A208,'DETALLE CRONOLÓGICO'!$A$2:$A$4919,0)+$E208-1)</f>
        <v/>
      </c>
      <c r="I208" s="5">
        <f>IFERROR(SUMIFS('DETALLE CRONOLÓGICO'!$L$2:$L$4919,'DETALLE CRONOLÓGICO'!$A$2:$A$4919,$A208)/$F208,"")</f>
        <v/>
      </c>
      <c r="J208" s="6">
        <f>IFERROR(SUMIFS('DETALLE CRONOLÓGICO'!$K$2:$K$4919,'DETALLE CRONOLÓGICO'!$A$2:$A$4919,$A208)/$E208,"")</f>
        <v/>
      </c>
      <c r="K208" s="6">
        <f>_xlfn.MINIFS('DETALLE CRONOLÓGICO'!$K$2:$K$4919,'DETALLE CRONOLÓGICO'!$A$2:$A$4919,$A208)</f>
        <v/>
      </c>
      <c r="L208" s="6">
        <f>_xlfn.MAXIFS('DETALLE CRONOLÓGICO'!$K$2:$K$4919,'DETALLE CRONOLÓGICO'!$A$2:$A$4919,$A208)</f>
        <v/>
      </c>
      <c r="M208" s="6">
        <f>INDEX('DETALLE CRONOLÓGICO'!$K$2:$K$4919,MATCH($A208,'DETALLE CRONOLÓGICO'!$A$2:$A$4919,0)+$E208-1)</f>
        <v/>
      </c>
      <c r="N208" s="7">
        <f>IFERROR($M208/INDEX('DETALLE CRONOLÓGICO'!$K$2:$K$4919,MATCH($A208,'DETALLE CRONOLÓGICO'!$A$2:$A$4919,0))-1,"")</f>
        <v/>
      </c>
      <c r="O208" s="6">
        <f>IFERROR($I208*3,"")</f>
        <v/>
      </c>
      <c r="P208" s="6">
        <f>IFERROR($I208*3.5,"")</f>
        <v/>
      </c>
      <c r="Q208" s="6">
        <f>IFERROR($I208*4,"")</f>
        <v/>
      </c>
      <c r="R208" s="6" t="n">
        <v>750</v>
      </c>
      <c r="S208" s="4" t="n">
        <v>2</v>
      </c>
      <c r="T208" s="1" t="inlineStr">
        <is>
          <t>draft</t>
        </is>
      </c>
      <c r="U208" s="8" t="n"/>
      <c r="V208" s="1" t="inlineStr">
        <is>
          <t>SIN PRECIO</t>
        </is>
      </c>
    </row>
    <row r="209">
      <c r="A209" s="1" t="inlineStr">
        <is>
          <t>17964141219949</t>
        </is>
      </c>
      <c r="B209" s="1" t="inlineStr">
        <is>
          <t>PULSERA LV MONOGRAM BOLD SOO</t>
        </is>
      </c>
      <c r="C209" s="1" t="inlineStr">
        <is>
          <t>Default Title</t>
        </is>
      </c>
      <c r="D209" s="1" t="inlineStr">
        <is>
          <t>HAIFENG</t>
        </is>
      </c>
      <c r="E209" s="4">
        <f>COUNTIF('DETALLE CRONOLÓGICO'!$A$2:$A$4919,$A209)</f>
        <v/>
      </c>
      <c r="F209" s="4">
        <f>SUMIFS('DETALLE CRONOLÓGICO'!$I$2:$I$4919,'DETALLE CRONOLÓGICO'!$A$2:$A$4919,$A209)</f>
        <v/>
      </c>
      <c r="G209" s="1">
        <f>INDEX('DETALLE CRONOLÓGICO'!$D$2:$D$4919,MATCH($A209,'DETALLE CRONOLÓGICO'!$A$2:$A$4919,0))</f>
        <v/>
      </c>
      <c r="H209" s="1">
        <f>INDEX('DETALLE CRONOLÓGICO'!$D$2:$D$4919,MATCH($A209,'DETALLE CRONOLÓGICO'!$A$2:$A$4919,0)+$E209-1)</f>
        <v/>
      </c>
      <c r="I209" s="5">
        <f>IFERROR(SUMIFS('DETALLE CRONOLÓGICO'!$L$2:$L$4919,'DETALLE CRONOLÓGICO'!$A$2:$A$4919,$A209)/$F209,"")</f>
        <v/>
      </c>
      <c r="J209" s="6">
        <f>IFERROR(SUMIFS('DETALLE CRONOLÓGICO'!$K$2:$K$4919,'DETALLE CRONOLÓGICO'!$A$2:$A$4919,$A209)/$E209,"")</f>
        <v/>
      </c>
      <c r="K209" s="6">
        <f>_xlfn.MINIFS('DETALLE CRONOLÓGICO'!$K$2:$K$4919,'DETALLE CRONOLÓGICO'!$A$2:$A$4919,$A209)</f>
        <v/>
      </c>
      <c r="L209" s="6">
        <f>_xlfn.MAXIFS('DETALLE CRONOLÓGICO'!$K$2:$K$4919,'DETALLE CRONOLÓGICO'!$A$2:$A$4919,$A209)</f>
        <v/>
      </c>
      <c r="M209" s="6">
        <f>INDEX('DETALLE CRONOLÓGICO'!$K$2:$K$4919,MATCH($A209,'DETALLE CRONOLÓGICO'!$A$2:$A$4919,0)+$E209-1)</f>
        <v/>
      </c>
      <c r="N209" s="7">
        <f>IFERROR($M209/INDEX('DETALLE CRONOLÓGICO'!$K$2:$K$4919,MATCH($A209,'DETALLE CRONOLÓGICO'!$A$2:$A$4919,0))-1,"")</f>
        <v/>
      </c>
      <c r="O209" s="6">
        <f>IFERROR($I209*3,"")</f>
        <v/>
      </c>
      <c r="P209" s="6">
        <f>IFERROR($I209*3.5,"")</f>
        <v/>
      </c>
      <c r="Q209" s="6">
        <f>IFERROR($I209*4,"")</f>
        <v/>
      </c>
      <c r="R209" s="6" t="n">
        <v>750</v>
      </c>
      <c r="S209" s="4" t="n">
        <v>2</v>
      </c>
      <c r="T209" s="1" t="inlineStr">
        <is>
          <t>draft</t>
        </is>
      </c>
      <c r="U209" s="8" t="n"/>
      <c r="V209" s="1" t="inlineStr">
        <is>
          <t>SIN PRECIO</t>
        </is>
      </c>
    </row>
    <row r="210">
      <c r="A210" s="1" t="inlineStr">
        <is>
          <t>17964141313165</t>
        </is>
      </c>
      <c r="B210" s="1" t="inlineStr">
        <is>
          <t>PULSERA LV DAMIER STAPLES SOO</t>
        </is>
      </c>
      <c r="C210" s="1" t="inlineStr">
        <is>
          <t>Default Title</t>
        </is>
      </c>
      <c r="D210" s="1" t="inlineStr">
        <is>
          <t>HAIFENG</t>
        </is>
      </c>
      <c r="E210" s="4">
        <f>COUNTIF('DETALLE CRONOLÓGICO'!$A$2:$A$4919,$A210)</f>
        <v/>
      </c>
      <c r="F210" s="4">
        <f>SUMIFS('DETALLE CRONOLÓGICO'!$I$2:$I$4919,'DETALLE CRONOLÓGICO'!$A$2:$A$4919,$A210)</f>
        <v/>
      </c>
      <c r="G210" s="1">
        <f>INDEX('DETALLE CRONOLÓGICO'!$D$2:$D$4919,MATCH($A210,'DETALLE CRONOLÓGICO'!$A$2:$A$4919,0))</f>
        <v/>
      </c>
      <c r="H210" s="1">
        <f>INDEX('DETALLE CRONOLÓGICO'!$D$2:$D$4919,MATCH($A210,'DETALLE CRONOLÓGICO'!$A$2:$A$4919,0)+$E210-1)</f>
        <v/>
      </c>
      <c r="I210" s="5">
        <f>IFERROR(SUMIFS('DETALLE CRONOLÓGICO'!$L$2:$L$4919,'DETALLE CRONOLÓGICO'!$A$2:$A$4919,$A210)/$F210,"")</f>
        <v/>
      </c>
      <c r="J210" s="6">
        <f>IFERROR(SUMIFS('DETALLE CRONOLÓGICO'!$K$2:$K$4919,'DETALLE CRONOLÓGICO'!$A$2:$A$4919,$A210)/$E210,"")</f>
        <v/>
      </c>
      <c r="K210" s="6">
        <f>_xlfn.MINIFS('DETALLE CRONOLÓGICO'!$K$2:$K$4919,'DETALLE CRONOLÓGICO'!$A$2:$A$4919,$A210)</f>
        <v/>
      </c>
      <c r="L210" s="6">
        <f>_xlfn.MAXIFS('DETALLE CRONOLÓGICO'!$K$2:$K$4919,'DETALLE CRONOLÓGICO'!$A$2:$A$4919,$A210)</f>
        <v/>
      </c>
      <c r="M210" s="6">
        <f>INDEX('DETALLE CRONOLÓGICO'!$K$2:$K$4919,MATCH($A210,'DETALLE CRONOLÓGICO'!$A$2:$A$4919,0)+$E210-1)</f>
        <v/>
      </c>
      <c r="N210" s="7">
        <f>IFERROR($M210/INDEX('DETALLE CRONOLÓGICO'!$K$2:$K$4919,MATCH($A210,'DETALLE CRONOLÓGICO'!$A$2:$A$4919,0))-1,"")</f>
        <v/>
      </c>
      <c r="O210" s="6">
        <f>IFERROR($I210*3,"")</f>
        <v/>
      </c>
      <c r="P210" s="6">
        <f>IFERROR($I210*3.5,"")</f>
        <v/>
      </c>
      <c r="Q210" s="6">
        <f>IFERROR($I210*4,"")</f>
        <v/>
      </c>
      <c r="R210" s="6" t="n">
        <v>750</v>
      </c>
      <c r="S210" s="4" t="n">
        <v>2</v>
      </c>
      <c r="T210" s="1" t="inlineStr">
        <is>
          <t>draft</t>
        </is>
      </c>
      <c r="U210" s="8" t="n"/>
      <c r="V210" s="1" t="inlineStr">
        <is>
          <t>SIN PRECIO</t>
        </is>
      </c>
    </row>
    <row r="211">
      <c r="A211" s="1" t="inlineStr">
        <is>
          <t>17964141440845</t>
        </is>
      </c>
      <c r="B211" s="1" t="inlineStr">
        <is>
          <t>ANILLO LV MOSAIC SOO</t>
        </is>
      </c>
      <c r="C211" s="1" t="inlineStr">
        <is>
          <t>8</t>
        </is>
      </c>
      <c r="D211" s="1" t="inlineStr">
        <is>
          <t>HAIFENG</t>
        </is>
      </c>
      <c r="E211" s="4">
        <f>COUNTIF('DETALLE CRONOLÓGICO'!$A$2:$A$4919,$A211)</f>
        <v/>
      </c>
      <c r="F211" s="4">
        <f>SUMIFS('DETALLE CRONOLÓGICO'!$I$2:$I$4919,'DETALLE CRONOLÓGICO'!$A$2:$A$4919,$A211)</f>
        <v/>
      </c>
      <c r="G211" s="1">
        <f>INDEX('DETALLE CRONOLÓGICO'!$D$2:$D$4919,MATCH($A211,'DETALLE CRONOLÓGICO'!$A$2:$A$4919,0))</f>
        <v/>
      </c>
      <c r="H211" s="1">
        <f>INDEX('DETALLE CRONOLÓGICO'!$D$2:$D$4919,MATCH($A211,'DETALLE CRONOLÓGICO'!$A$2:$A$4919,0)+$E211-1)</f>
        <v/>
      </c>
      <c r="I211" s="5">
        <f>IFERROR(SUMIFS('DETALLE CRONOLÓGICO'!$L$2:$L$4919,'DETALLE CRONOLÓGICO'!$A$2:$A$4919,$A211)/$F211,"")</f>
        <v/>
      </c>
      <c r="J211" s="6">
        <f>IFERROR(SUMIFS('DETALLE CRONOLÓGICO'!$K$2:$K$4919,'DETALLE CRONOLÓGICO'!$A$2:$A$4919,$A211)/$E211,"")</f>
        <v/>
      </c>
      <c r="K211" s="6">
        <f>_xlfn.MINIFS('DETALLE CRONOLÓGICO'!$K$2:$K$4919,'DETALLE CRONOLÓGICO'!$A$2:$A$4919,$A211)</f>
        <v/>
      </c>
      <c r="L211" s="6">
        <f>_xlfn.MAXIFS('DETALLE CRONOLÓGICO'!$K$2:$K$4919,'DETALLE CRONOLÓGICO'!$A$2:$A$4919,$A211)</f>
        <v/>
      </c>
      <c r="M211" s="6">
        <f>INDEX('DETALLE CRONOLÓGICO'!$K$2:$K$4919,MATCH($A211,'DETALLE CRONOLÓGICO'!$A$2:$A$4919,0)+$E211-1)</f>
        <v/>
      </c>
      <c r="N211" s="7">
        <f>IFERROR($M211/INDEX('DETALLE CRONOLÓGICO'!$K$2:$K$4919,MATCH($A211,'DETALLE CRONOLÓGICO'!$A$2:$A$4919,0))-1,"")</f>
        <v/>
      </c>
      <c r="O211" s="6">
        <f>IFERROR($I211*3,"")</f>
        <v/>
      </c>
      <c r="P211" s="6">
        <f>IFERROR($I211*3.5,"")</f>
        <v/>
      </c>
      <c r="Q211" s="6">
        <f>IFERROR($I211*4,"")</f>
        <v/>
      </c>
      <c r="R211" s="6" t="n">
        <v>499</v>
      </c>
      <c r="S211" s="4" t="n">
        <v>2</v>
      </c>
      <c r="T211" s="1" t="inlineStr">
        <is>
          <t>draft</t>
        </is>
      </c>
      <c r="U211" s="8" t="n"/>
      <c r="V211" s="1" t="inlineStr">
        <is>
          <t>SIN PRECIO</t>
        </is>
      </c>
    </row>
    <row r="212">
      <c r="A212" s="1" t="inlineStr">
        <is>
          <t>17964141539149</t>
        </is>
      </c>
      <c r="B212" s="1" t="inlineStr">
        <is>
          <t>LENTES LV WAIMEA</t>
        </is>
      </c>
      <c r="C212" s="1" t="inlineStr">
        <is>
          <t>Default Title</t>
        </is>
      </c>
      <c r="D212" s="1" t="inlineStr">
        <is>
          <t>HAIFENG</t>
        </is>
      </c>
      <c r="E212" s="4">
        <f>COUNTIF('DETALLE CRONOLÓGICO'!$A$2:$A$4919,$A212)</f>
        <v/>
      </c>
      <c r="F212" s="4">
        <f>SUMIFS('DETALLE CRONOLÓGICO'!$I$2:$I$4919,'DETALLE CRONOLÓGICO'!$A$2:$A$4919,$A212)</f>
        <v/>
      </c>
      <c r="G212" s="1">
        <f>INDEX('DETALLE CRONOLÓGICO'!$D$2:$D$4919,MATCH($A212,'DETALLE CRONOLÓGICO'!$A$2:$A$4919,0))</f>
        <v/>
      </c>
      <c r="H212" s="1">
        <f>INDEX('DETALLE CRONOLÓGICO'!$D$2:$D$4919,MATCH($A212,'DETALLE CRONOLÓGICO'!$A$2:$A$4919,0)+$E212-1)</f>
        <v/>
      </c>
      <c r="I212" s="5">
        <f>IFERROR(SUMIFS('DETALLE CRONOLÓGICO'!$L$2:$L$4919,'DETALLE CRONOLÓGICO'!$A$2:$A$4919,$A212)/$F212,"")</f>
        <v/>
      </c>
      <c r="J212" s="6">
        <f>IFERROR(SUMIFS('DETALLE CRONOLÓGICO'!$K$2:$K$4919,'DETALLE CRONOLÓGICO'!$A$2:$A$4919,$A212)/$E212,"")</f>
        <v/>
      </c>
      <c r="K212" s="6">
        <f>_xlfn.MINIFS('DETALLE CRONOLÓGICO'!$K$2:$K$4919,'DETALLE CRONOLÓGICO'!$A$2:$A$4919,$A212)</f>
        <v/>
      </c>
      <c r="L212" s="6">
        <f>_xlfn.MAXIFS('DETALLE CRONOLÓGICO'!$K$2:$K$4919,'DETALLE CRONOLÓGICO'!$A$2:$A$4919,$A212)</f>
        <v/>
      </c>
      <c r="M212" s="6">
        <f>INDEX('DETALLE CRONOLÓGICO'!$K$2:$K$4919,MATCH($A212,'DETALLE CRONOLÓGICO'!$A$2:$A$4919,0)+$E212-1)</f>
        <v/>
      </c>
      <c r="N212" s="7">
        <f>IFERROR($M212/INDEX('DETALLE CRONOLÓGICO'!$K$2:$K$4919,MATCH($A212,'DETALLE CRONOLÓGICO'!$A$2:$A$4919,0))-1,"")</f>
        <v/>
      </c>
      <c r="O212" s="6">
        <f>IFERROR($I212*3,"")</f>
        <v/>
      </c>
      <c r="P212" s="6">
        <f>IFERROR($I212*3.5,"")</f>
        <v/>
      </c>
      <c r="Q212" s="6">
        <f>IFERROR($I212*4,"")</f>
        <v/>
      </c>
      <c r="R212" s="6" t="n">
        <v>2350</v>
      </c>
      <c r="S212" s="4" t="n">
        <v>1</v>
      </c>
      <c r="T212" s="1" t="inlineStr">
        <is>
          <t>active</t>
        </is>
      </c>
      <c r="U212" s="8" t="n"/>
      <c r="V212" s="1" t="inlineStr">
        <is>
          <t>SIN PRECIO</t>
        </is>
      </c>
    </row>
    <row r="213">
      <c r="A213" s="1" t="inlineStr">
        <is>
          <t>17964141660045</t>
        </is>
      </c>
      <c r="B213" s="1" t="inlineStr">
        <is>
          <t>ANILLO F FF</t>
        </is>
      </c>
      <c r="C213" s="1" t="inlineStr">
        <is>
          <t>8</t>
        </is>
      </c>
      <c r="D213" s="1" t="inlineStr">
        <is>
          <t>HAIFENG</t>
        </is>
      </c>
      <c r="E213" s="4">
        <f>COUNTIF('DETALLE CRONOLÓGICO'!$A$2:$A$4919,$A213)</f>
        <v/>
      </c>
      <c r="F213" s="4">
        <f>SUMIFS('DETALLE CRONOLÓGICO'!$I$2:$I$4919,'DETALLE CRONOLÓGICO'!$A$2:$A$4919,$A213)</f>
        <v/>
      </c>
      <c r="G213" s="1">
        <f>INDEX('DETALLE CRONOLÓGICO'!$D$2:$D$4919,MATCH($A213,'DETALLE CRONOLÓGICO'!$A$2:$A$4919,0))</f>
        <v/>
      </c>
      <c r="H213" s="1">
        <f>INDEX('DETALLE CRONOLÓGICO'!$D$2:$D$4919,MATCH($A213,'DETALLE CRONOLÓGICO'!$A$2:$A$4919,0)+$E213-1)</f>
        <v/>
      </c>
      <c r="I213" s="5">
        <f>IFERROR(SUMIFS('DETALLE CRONOLÓGICO'!$L$2:$L$4919,'DETALLE CRONOLÓGICO'!$A$2:$A$4919,$A213)/$F213,"")</f>
        <v/>
      </c>
      <c r="J213" s="6">
        <f>IFERROR(SUMIFS('DETALLE CRONOLÓGICO'!$K$2:$K$4919,'DETALLE CRONOLÓGICO'!$A$2:$A$4919,$A213)/$E213,"")</f>
        <v/>
      </c>
      <c r="K213" s="6">
        <f>_xlfn.MINIFS('DETALLE CRONOLÓGICO'!$K$2:$K$4919,'DETALLE CRONOLÓGICO'!$A$2:$A$4919,$A213)</f>
        <v/>
      </c>
      <c r="L213" s="6">
        <f>_xlfn.MAXIFS('DETALLE CRONOLÓGICO'!$K$2:$K$4919,'DETALLE CRONOLÓGICO'!$A$2:$A$4919,$A213)</f>
        <v/>
      </c>
      <c r="M213" s="6">
        <f>INDEX('DETALLE CRONOLÓGICO'!$K$2:$K$4919,MATCH($A213,'DETALLE CRONOLÓGICO'!$A$2:$A$4919,0)+$E213-1)</f>
        <v/>
      </c>
      <c r="N213" s="7">
        <f>IFERROR($M213/INDEX('DETALLE CRONOLÓGICO'!$K$2:$K$4919,MATCH($A213,'DETALLE CRONOLÓGICO'!$A$2:$A$4919,0))-1,"")</f>
        <v/>
      </c>
      <c r="O213" s="6">
        <f>IFERROR($I213*3,"")</f>
        <v/>
      </c>
      <c r="P213" s="6">
        <f>IFERROR($I213*3.5,"")</f>
        <v/>
      </c>
      <c r="Q213" s="6">
        <f>IFERROR($I213*4,"")</f>
        <v/>
      </c>
      <c r="R213" s="6" t="n">
        <v>499</v>
      </c>
      <c r="S213" s="4" t="n">
        <v>2</v>
      </c>
      <c r="T213" s="1" t="inlineStr">
        <is>
          <t>draft</t>
        </is>
      </c>
      <c r="U213" s="8" t="n"/>
      <c r="V213" s="1" t="inlineStr">
        <is>
          <t>SIN PRECIO</t>
        </is>
      </c>
    </row>
    <row r="214">
      <c r="A214" s="1" t="inlineStr">
        <is>
          <t>17964141754957</t>
        </is>
      </c>
      <c r="B214" s="1" t="inlineStr">
        <is>
          <t>LENTES CD OBLIQUE S1</t>
        </is>
      </c>
      <c r="C214" s="1" t="inlineStr">
        <is>
          <t>Default Title</t>
        </is>
      </c>
      <c r="D214" s="1" t="inlineStr">
        <is>
          <t>HAIFENG</t>
        </is>
      </c>
      <c r="E214" s="4">
        <f>COUNTIF('DETALLE CRONOLÓGICO'!$A$2:$A$4919,$A214)</f>
        <v/>
      </c>
      <c r="F214" s="4">
        <f>SUMIFS('DETALLE CRONOLÓGICO'!$I$2:$I$4919,'DETALLE CRONOLÓGICO'!$A$2:$A$4919,$A214)</f>
        <v/>
      </c>
      <c r="G214" s="1">
        <f>INDEX('DETALLE CRONOLÓGICO'!$D$2:$D$4919,MATCH($A214,'DETALLE CRONOLÓGICO'!$A$2:$A$4919,0))</f>
        <v/>
      </c>
      <c r="H214" s="1">
        <f>INDEX('DETALLE CRONOLÓGICO'!$D$2:$D$4919,MATCH($A214,'DETALLE CRONOLÓGICO'!$A$2:$A$4919,0)+$E214-1)</f>
        <v/>
      </c>
      <c r="I214" s="5">
        <f>IFERROR(SUMIFS('DETALLE CRONOLÓGICO'!$L$2:$L$4919,'DETALLE CRONOLÓGICO'!$A$2:$A$4919,$A214)/$F214,"")</f>
        <v/>
      </c>
      <c r="J214" s="6">
        <f>IFERROR(SUMIFS('DETALLE CRONOLÓGICO'!$K$2:$K$4919,'DETALLE CRONOLÓGICO'!$A$2:$A$4919,$A214)/$E214,"")</f>
        <v/>
      </c>
      <c r="K214" s="6">
        <f>_xlfn.MINIFS('DETALLE CRONOLÓGICO'!$K$2:$K$4919,'DETALLE CRONOLÓGICO'!$A$2:$A$4919,$A214)</f>
        <v/>
      </c>
      <c r="L214" s="6">
        <f>_xlfn.MAXIFS('DETALLE CRONOLÓGICO'!$K$2:$K$4919,'DETALLE CRONOLÓGICO'!$A$2:$A$4919,$A214)</f>
        <v/>
      </c>
      <c r="M214" s="6">
        <f>INDEX('DETALLE CRONOLÓGICO'!$K$2:$K$4919,MATCH($A214,'DETALLE CRONOLÓGICO'!$A$2:$A$4919,0)+$E214-1)</f>
        <v/>
      </c>
      <c r="N214" s="7">
        <f>IFERROR($M214/INDEX('DETALLE CRONOLÓGICO'!$K$2:$K$4919,MATCH($A214,'DETALLE CRONOLÓGICO'!$A$2:$A$4919,0))-1,"")</f>
        <v/>
      </c>
      <c r="O214" s="6">
        <f>IFERROR($I214*3,"")</f>
        <v/>
      </c>
      <c r="P214" s="6">
        <f>IFERROR($I214*3.5,"")</f>
        <v/>
      </c>
      <c r="Q214" s="6">
        <f>IFERROR($I214*4,"")</f>
        <v/>
      </c>
      <c r="R214" s="6" t="n">
        <v>2899</v>
      </c>
      <c r="S214" s="4" t="n">
        <v>0</v>
      </c>
      <c r="T214" s="1" t="inlineStr">
        <is>
          <t>active</t>
        </is>
      </c>
      <c r="U214" s="8" t="n"/>
      <c r="V214" s="1" t="inlineStr">
        <is>
          <t>SIN PRECIO</t>
        </is>
      </c>
    </row>
    <row r="215">
      <c r="A215" s="1" t="inlineStr">
        <is>
          <t>17964141887725</t>
        </is>
      </c>
      <c r="B215" s="1" t="inlineStr">
        <is>
          <t>LENTES CD LINK A1U</t>
        </is>
      </c>
      <c r="C215" s="1" t="inlineStr">
        <is>
          <t>Default Title</t>
        </is>
      </c>
      <c r="D215" s="1" t="inlineStr">
        <is>
          <t>HAIFENG</t>
        </is>
      </c>
      <c r="E215" s="4">
        <f>COUNTIF('DETALLE CRONOLÓGICO'!$A$2:$A$4919,$A215)</f>
        <v/>
      </c>
      <c r="F215" s="4">
        <f>SUMIFS('DETALLE CRONOLÓGICO'!$I$2:$I$4919,'DETALLE CRONOLÓGICO'!$A$2:$A$4919,$A215)</f>
        <v/>
      </c>
      <c r="G215" s="1">
        <f>INDEX('DETALLE CRONOLÓGICO'!$D$2:$D$4919,MATCH($A215,'DETALLE CRONOLÓGICO'!$A$2:$A$4919,0))</f>
        <v/>
      </c>
      <c r="H215" s="1">
        <f>INDEX('DETALLE CRONOLÓGICO'!$D$2:$D$4919,MATCH($A215,'DETALLE CRONOLÓGICO'!$A$2:$A$4919,0)+$E215-1)</f>
        <v/>
      </c>
      <c r="I215" s="5">
        <f>IFERROR(SUMIFS('DETALLE CRONOLÓGICO'!$L$2:$L$4919,'DETALLE CRONOLÓGICO'!$A$2:$A$4919,$A215)/$F215,"")</f>
        <v/>
      </c>
      <c r="J215" s="6">
        <f>IFERROR(SUMIFS('DETALLE CRONOLÓGICO'!$K$2:$K$4919,'DETALLE CRONOLÓGICO'!$A$2:$A$4919,$A215)/$E215,"")</f>
        <v/>
      </c>
      <c r="K215" s="6">
        <f>_xlfn.MINIFS('DETALLE CRONOLÓGICO'!$K$2:$K$4919,'DETALLE CRONOLÓGICO'!$A$2:$A$4919,$A215)</f>
        <v/>
      </c>
      <c r="L215" s="6">
        <f>_xlfn.MAXIFS('DETALLE CRONOLÓGICO'!$K$2:$K$4919,'DETALLE CRONOLÓGICO'!$A$2:$A$4919,$A215)</f>
        <v/>
      </c>
      <c r="M215" s="6">
        <f>INDEX('DETALLE CRONOLÓGICO'!$K$2:$K$4919,MATCH($A215,'DETALLE CRONOLÓGICO'!$A$2:$A$4919,0)+$E215-1)</f>
        <v/>
      </c>
      <c r="N215" s="7">
        <f>IFERROR($M215/INDEX('DETALLE CRONOLÓGICO'!$K$2:$K$4919,MATCH($A215,'DETALLE CRONOLÓGICO'!$A$2:$A$4919,0))-1,"")</f>
        <v/>
      </c>
      <c r="O215" s="6">
        <f>IFERROR($I215*3,"")</f>
        <v/>
      </c>
      <c r="P215" s="6">
        <f>IFERROR($I215*3.5,"")</f>
        <v/>
      </c>
      <c r="Q215" s="6">
        <f>IFERROR($I215*4,"")</f>
        <v/>
      </c>
      <c r="R215" s="6" t="n">
        <v>1884</v>
      </c>
      <c r="S215" s="4" t="n">
        <v>2</v>
      </c>
      <c r="T215" s="1" t="inlineStr">
        <is>
          <t>active</t>
        </is>
      </c>
      <c r="U215" s="8" t="n"/>
      <c r="V215" s="1" t="inlineStr">
        <is>
          <t>SIN PRECIO</t>
        </is>
      </c>
    </row>
    <row r="216">
      <c r="A216" s="1" t="inlineStr">
        <is>
          <t>17964141953261</t>
        </is>
      </c>
      <c r="B216" s="1" t="inlineStr">
        <is>
          <t>PULSERA PR SYMBOLE</t>
        </is>
      </c>
      <c r="C216" s="1" t="inlineStr">
        <is>
          <t>18CM</t>
        </is>
      </c>
      <c r="D216" s="1" t="inlineStr">
        <is>
          <t>HAIFENG</t>
        </is>
      </c>
      <c r="E216" s="4">
        <f>COUNTIF('DETALLE CRONOLÓGICO'!$A$2:$A$4919,$A216)</f>
        <v/>
      </c>
      <c r="F216" s="4">
        <f>SUMIFS('DETALLE CRONOLÓGICO'!$I$2:$I$4919,'DETALLE CRONOLÓGICO'!$A$2:$A$4919,$A216)</f>
        <v/>
      </c>
      <c r="G216" s="1">
        <f>INDEX('DETALLE CRONOLÓGICO'!$D$2:$D$4919,MATCH($A216,'DETALLE CRONOLÓGICO'!$A$2:$A$4919,0))</f>
        <v/>
      </c>
      <c r="H216" s="1">
        <f>INDEX('DETALLE CRONOLÓGICO'!$D$2:$D$4919,MATCH($A216,'DETALLE CRONOLÓGICO'!$A$2:$A$4919,0)+$E216-1)</f>
        <v/>
      </c>
      <c r="I216" s="5">
        <f>IFERROR(SUMIFS('DETALLE CRONOLÓGICO'!$L$2:$L$4919,'DETALLE CRONOLÓGICO'!$A$2:$A$4919,$A216)/$F216,"")</f>
        <v/>
      </c>
      <c r="J216" s="6">
        <f>IFERROR(SUMIFS('DETALLE CRONOLÓGICO'!$K$2:$K$4919,'DETALLE CRONOLÓGICO'!$A$2:$A$4919,$A216)/$E216,"")</f>
        <v/>
      </c>
      <c r="K216" s="6">
        <f>_xlfn.MINIFS('DETALLE CRONOLÓGICO'!$K$2:$K$4919,'DETALLE CRONOLÓGICO'!$A$2:$A$4919,$A216)</f>
        <v/>
      </c>
      <c r="L216" s="6">
        <f>_xlfn.MAXIFS('DETALLE CRONOLÓGICO'!$K$2:$K$4919,'DETALLE CRONOLÓGICO'!$A$2:$A$4919,$A216)</f>
        <v/>
      </c>
      <c r="M216" s="6">
        <f>INDEX('DETALLE CRONOLÓGICO'!$K$2:$K$4919,MATCH($A216,'DETALLE CRONOLÓGICO'!$A$2:$A$4919,0)+$E216-1)</f>
        <v/>
      </c>
      <c r="N216" s="7">
        <f>IFERROR($M216/INDEX('DETALLE CRONOLÓGICO'!$K$2:$K$4919,MATCH($A216,'DETALLE CRONOLÓGICO'!$A$2:$A$4919,0))-1,"")</f>
        <v/>
      </c>
      <c r="O216" s="6">
        <f>IFERROR($I216*3,"")</f>
        <v/>
      </c>
      <c r="P216" s="6">
        <f>IFERROR($I216*3.5,"")</f>
        <v/>
      </c>
      <c r="Q216" s="6">
        <f>IFERROR($I216*4,"")</f>
        <v/>
      </c>
      <c r="R216" s="6" t="n">
        <v>750</v>
      </c>
      <c r="S216" s="4" t="n">
        <v>2</v>
      </c>
      <c r="T216" s="1" t="inlineStr">
        <is>
          <t>draft</t>
        </is>
      </c>
      <c r="U216" s="8" t="n"/>
      <c r="V216" s="1" t="inlineStr">
        <is>
          <t>SIN PRECIO</t>
        </is>
      </c>
    </row>
    <row r="217">
      <c r="A217" s="1" t="inlineStr">
        <is>
          <t>17964142049869</t>
        </is>
      </c>
      <c r="B217" s="1" t="inlineStr">
        <is>
          <t>PULSERA BV GOLD BLACK-WHITE</t>
        </is>
      </c>
      <c r="C217" s="1" t="inlineStr">
        <is>
          <t>16CM</t>
        </is>
      </c>
      <c r="D217" s="1" t="inlineStr">
        <is>
          <t>HAIFENG</t>
        </is>
      </c>
      <c r="E217" s="4">
        <f>COUNTIF('DETALLE CRONOLÓGICO'!$A$2:$A$4919,$A217)</f>
        <v/>
      </c>
      <c r="F217" s="4">
        <f>SUMIFS('DETALLE CRONOLÓGICO'!$I$2:$I$4919,'DETALLE CRONOLÓGICO'!$A$2:$A$4919,$A217)</f>
        <v/>
      </c>
      <c r="G217" s="1">
        <f>INDEX('DETALLE CRONOLÓGICO'!$D$2:$D$4919,MATCH($A217,'DETALLE CRONOLÓGICO'!$A$2:$A$4919,0))</f>
        <v/>
      </c>
      <c r="H217" s="1">
        <f>INDEX('DETALLE CRONOLÓGICO'!$D$2:$D$4919,MATCH($A217,'DETALLE CRONOLÓGICO'!$A$2:$A$4919,0)+$E217-1)</f>
        <v/>
      </c>
      <c r="I217" s="5">
        <f>IFERROR(SUMIFS('DETALLE CRONOLÓGICO'!$L$2:$L$4919,'DETALLE CRONOLÓGICO'!$A$2:$A$4919,$A217)/$F217,"")</f>
        <v/>
      </c>
      <c r="J217" s="6">
        <f>IFERROR(SUMIFS('DETALLE CRONOLÓGICO'!$K$2:$K$4919,'DETALLE CRONOLÓGICO'!$A$2:$A$4919,$A217)/$E217,"")</f>
        <v/>
      </c>
      <c r="K217" s="6">
        <f>_xlfn.MINIFS('DETALLE CRONOLÓGICO'!$K$2:$K$4919,'DETALLE CRONOLÓGICO'!$A$2:$A$4919,$A217)</f>
        <v/>
      </c>
      <c r="L217" s="6">
        <f>_xlfn.MAXIFS('DETALLE CRONOLÓGICO'!$K$2:$K$4919,'DETALLE CRONOLÓGICO'!$A$2:$A$4919,$A217)</f>
        <v/>
      </c>
      <c r="M217" s="6">
        <f>INDEX('DETALLE CRONOLÓGICO'!$K$2:$K$4919,MATCH($A217,'DETALLE CRONOLÓGICO'!$A$2:$A$4919,0)+$E217-1)</f>
        <v/>
      </c>
      <c r="N217" s="7">
        <f>IFERROR($M217/INDEX('DETALLE CRONOLÓGICO'!$K$2:$K$4919,MATCH($A217,'DETALLE CRONOLÓGICO'!$A$2:$A$4919,0))-1,"")</f>
        <v/>
      </c>
      <c r="O217" s="6">
        <f>IFERROR($I217*3,"")</f>
        <v/>
      </c>
      <c r="P217" s="6">
        <f>IFERROR($I217*3.5,"")</f>
        <v/>
      </c>
      <c r="Q217" s="6">
        <f>IFERROR($I217*4,"")</f>
        <v/>
      </c>
      <c r="R217" s="6" t="n">
        <v>650</v>
      </c>
      <c r="S217" s="4" t="n">
        <v>0</v>
      </c>
      <c r="T217" s="1" t="inlineStr">
        <is>
          <t>draft</t>
        </is>
      </c>
      <c r="U217" s="8" t="n"/>
      <c r="V217" s="1" t="inlineStr">
        <is>
          <t>SIN PRECIO</t>
        </is>
      </c>
    </row>
    <row r="218">
      <c r="A218" s="1" t="inlineStr">
        <is>
          <t>17964142179245</t>
        </is>
      </c>
      <c r="B218" s="1" t="inlineStr">
        <is>
          <t>ANILLO BV ANISH KAPOOR</t>
        </is>
      </c>
      <c r="C218" s="1" t="inlineStr">
        <is>
          <t>7</t>
        </is>
      </c>
      <c r="D218" s="1" t="inlineStr">
        <is>
          <t>HAIFENG</t>
        </is>
      </c>
      <c r="E218" s="4">
        <f>COUNTIF('DETALLE CRONOLÓGICO'!$A$2:$A$4919,$A218)</f>
        <v/>
      </c>
      <c r="F218" s="4">
        <f>SUMIFS('DETALLE CRONOLÓGICO'!$I$2:$I$4919,'DETALLE CRONOLÓGICO'!$A$2:$A$4919,$A218)</f>
        <v/>
      </c>
      <c r="G218" s="1">
        <f>INDEX('DETALLE CRONOLÓGICO'!$D$2:$D$4919,MATCH($A218,'DETALLE CRONOLÓGICO'!$A$2:$A$4919,0))</f>
        <v/>
      </c>
      <c r="H218" s="1">
        <f>INDEX('DETALLE CRONOLÓGICO'!$D$2:$D$4919,MATCH($A218,'DETALLE CRONOLÓGICO'!$A$2:$A$4919,0)+$E218-1)</f>
        <v/>
      </c>
      <c r="I218" s="5">
        <f>IFERROR(SUMIFS('DETALLE CRONOLÓGICO'!$L$2:$L$4919,'DETALLE CRONOLÓGICO'!$A$2:$A$4919,$A218)/$F218,"")</f>
        <v/>
      </c>
      <c r="J218" s="6">
        <f>IFERROR(SUMIFS('DETALLE CRONOLÓGICO'!$K$2:$K$4919,'DETALLE CRONOLÓGICO'!$A$2:$A$4919,$A218)/$E218,"")</f>
        <v/>
      </c>
      <c r="K218" s="6">
        <f>_xlfn.MINIFS('DETALLE CRONOLÓGICO'!$K$2:$K$4919,'DETALLE CRONOLÓGICO'!$A$2:$A$4919,$A218)</f>
        <v/>
      </c>
      <c r="L218" s="6">
        <f>_xlfn.MAXIFS('DETALLE CRONOLÓGICO'!$K$2:$K$4919,'DETALLE CRONOLÓGICO'!$A$2:$A$4919,$A218)</f>
        <v/>
      </c>
      <c r="M218" s="6">
        <f>INDEX('DETALLE CRONOLÓGICO'!$K$2:$K$4919,MATCH($A218,'DETALLE CRONOLÓGICO'!$A$2:$A$4919,0)+$E218-1)</f>
        <v/>
      </c>
      <c r="N218" s="7">
        <f>IFERROR($M218/INDEX('DETALLE CRONOLÓGICO'!$K$2:$K$4919,MATCH($A218,'DETALLE CRONOLÓGICO'!$A$2:$A$4919,0))-1,"")</f>
        <v/>
      </c>
      <c r="O218" s="6">
        <f>IFERROR($I218*3,"")</f>
        <v/>
      </c>
      <c r="P218" s="6">
        <f>IFERROR($I218*3.5,"")</f>
        <v/>
      </c>
      <c r="Q218" s="6">
        <f>IFERROR($I218*4,"")</f>
        <v/>
      </c>
      <c r="R218" s="6" t="n">
        <v>699</v>
      </c>
      <c r="S218" s="4" t="n">
        <v>2</v>
      </c>
      <c r="T218" s="1" t="inlineStr">
        <is>
          <t>draft</t>
        </is>
      </c>
      <c r="U218" s="8" t="n"/>
      <c r="V218" s="1" t="inlineStr">
        <is>
          <t>SIN PRECIO</t>
        </is>
      </c>
    </row>
    <row r="219">
      <c r="A219" s="1" t="inlineStr">
        <is>
          <t>17964142243085</t>
        </is>
      </c>
      <c r="B219" s="1" t="inlineStr">
        <is>
          <t>ANILLO BV SORTIJA SILVER</t>
        </is>
      </c>
      <c r="C219" s="1" t="inlineStr">
        <is>
          <t>7</t>
        </is>
      </c>
      <c r="D219" s="1" t="inlineStr">
        <is>
          <t>HAIFENG</t>
        </is>
      </c>
      <c r="E219" s="4">
        <f>COUNTIF('DETALLE CRONOLÓGICO'!$A$2:$A$4919,$A219)</f>
        <v/>
      </c>
      <c r="F219" s="4">
        <f>SUMIFS('DETALLE CRONOLÓGICO'!$I$2:$I$4919,'DETALLE CRONOLÓGICO'!$A$2:$A$4919,$A219)</f>
        <v/>
      </c>
      <c r="G219" s="1">
        <f>INDEX('DETALLE CRONOLÓGICO'!$D$2:$D$4919,MATCH($A219,'DETALLE CRONOLÓGICO'!$A$2:$A$4919,0))</f>
        <v/>
      </c>
      <c r="H219" s="1">
        <f>INDEX('DETALLE CRONOLÓGICO'!$D$2:$D$4919,MATCH($A219,'DETALLE CRONOLÓGICO'!$A$2:$A$4919,0)+$E219-1)</f>
        <v/>
      </c>
      <c r="I219" s="5">
        <f>IFERROR(SUMIFS('DETALLE CRONOLÓGICO'!$L$2:$L$4919,'DETALLE CRONOLÓGICO'!$A$2:$A$4919,$A219)/$F219,"")</f>
        <v/>
      </c>
      <c r="J219" s="6">
        <f>IFERROR(SUMIFS('DETALLE CRONOLÓGICO'!$K$2:$K$4919,'DETALLE CRONOLÓGICO'!$A$2:$A$4919,$A219)/$E219,"")</f>
        <v/>
      </c>
      <c r="K219" s="6">
        <f>_xlfn.MINIFS('DETALLE CRONOLÓGICO'!$K$2:$K$4919,'DETALLE CRONOLÓGICO'!$A$2:$A$4919,$A219)</f>
        <v/>
      </c>
      <c r="L219" s="6">
        <f>_xlfn.MAXIFS('DETALLE CRONOLÓGICO'!$K$2:$K$4919,'DETALLE CRONOLÓGICO'!$A$2:$A$4919,$A219)</f>
        <v/>
      </c>
      <c r="M219" s="6">
        <f>INDEX('DETALLE CRONOLÓGICO'!$K$2:$K$4919,MATCH($A219,'DETALLE CRONOLÓGICO'!$A$2:$A$4919,0)+$E219-1)</f>
        <v/>
      </c>
      <c r="N219" s="7">
        <f>IFERROR($M219/INDEX('DETALLE CRONOLÓGICO'!$K$2:$K$4919,MATCH($A219,'DETALLE CRONOLÓGICO'!$A$2:$A$4919,0))-1,"")</f>
        <v/>
      </c>
      <c r="O219" s="6">
        <f>IFERROR($I219*3,"")</f>
        <v/>
      </c>
      <c r="P219" s="6">
        <f>IFERROR($I219*3.5,"")</f>
        <v/>
      </c>
      <c r="Q219" s="6">
        <f>IFERROR($I219*4,"")</f>
        <v/>
      </c>
      <c r="R219" s="6" t="n">
        <v>599</v>
      </c>
      <c r="S219" s="4" t="n">
        <v>2</v>
      </c>
      <c r="T219" s="1" t="inlineStr">
        <is>
          <t>draft</t>
        </is>
      </c>
      <c r="U219" s="8" t="n"/>
      <c r="V219" s="1" t="inlineStr">
        <is>
          <t>SIN PRECIO</t>
        </is>
      </c>
    </row>
    <row r="220">
      <c r="A220" s="1" t="inlineStr">
        <is>
          <t>17964142322733</t>
        </is>
      </c>
      <c r="B220" s="1" t="inlineStr">
        <is>
          <t>COLLAR LV SPIKE SILVER</t>
        </is>
      </c>
      <c r="C220" s="1" t="inlineStr">
        <is>
          <t>Default Title</t>
        </is>
      </c>
      <c r="D220" s="1" t="inlineStr">
        <is>
          <t>HAIFENG</t>
        </is>
      </c>
      <c r="E220" s="4">
        <f>COUNTIF('DETALLE CRONOLÓGICO'!$A$2:$A$4919,$A220)</f>
        <v/>
      </c>
      <c r="F220" s="4">
        <f>SUMIFS('DETALLE CRONOLÓGICO'!$I$2:$I$4919,'DETALLE CRONOLÓGICO'!$A$2:$A$4919,$A220)</f>
        <v/>
      </c>
      <c r="G220" s="1">
        <f>INDEX('DETALLE CRONOLÓGICO'!$D$2:$D$4919,MATCH($A220,'DETALLE CRONOLÓGICO'!$A$2:$A$4919,0))</f>
        <v/>
      </c>
      <c r="H220" s="1">
        <f>INDEX('DETALLE CRONOLÓGICO'!$D$2:$D$4919,MATCH($A220,'DETALLE CRONOLÓGICO'!$A$2:$A$4919,0)+$E220-1)</f>
        <v/>
      </c>
      <c r="I220" s="5">
        <f>IFERROR(SUMIFS('DETALLE CRONOLÓGICO'!$L$2:$L$4919,'DETALLE CRONOLÓGICO'!$A$2:$A$4919,$A220)/$F220,"")</f>
        <v/>
      </c>
      <c r="J220" s="6">
        <f>IFERROR(SUMIFS('DETALLE CRONOLÓGICO'!$K$2:$K$4919,'DETALLE CRONOLÓGICO'!$A$2:$A$4919,$A220)/$E220,"")</f>
        <v/>
      </c>
      <c r="K220" s="6">
        <f>_xlfn.MINIFS('DETALLE CRONOLÓGICO'!$K$2:$K$4919,'DETALLE CRONOLÓGICO'!$A$2:$A$4919,$A220)</f>
        <v/>
      </c>
      <c r="L220" s="6">
        <f>_xlfn.MAXIFS('DETALLE CRONOLÓGICO'!$K$2:$K$4919,'DETALLE CRONOLÓGICO'!$A$2:$A$4919,$A220)</f>
        <v/>
      </c>
      <c r="M220" s="6">
        <f>INDEX('DETALLE CRONOLÓGICO'!$K$2:$K$4919,MATCH($A220,'DETALLE CRONOLÓGICO'!$A$2:$A$4919,0)+$E220-1)</f>
        <v/>
      </c>
      <c r="N220" s="7">
        <f>IFERROR($M220/INDEX('DETALLE CRONOLÓGICO'!$K$2:$K$4919,MATCH($A220,'DETALLE CRONOLÓGICO'!$A$2:$A$4919,0))-1,"")</f>
        <v/>
      </c>
      <c r="O220" s="6">
        <f>IFERROR($I220*3,"")</f>
        <v/>
      </c>
      <c r="P220" s="6">
        <f>IFERROR($I220*3.5,"")</f>
        <v/>
      </c>
      <c r="Q220" s="6">
        <f>IFERROR($I220*4,"")</f>
        <v/>
      </c>
      <c r="R220" s="6" t="n">
        <v>999</v>
      </c>
      <c r="S220" s="4" t="n">
        <v>2</v>
      </c>
      <c r="T220" s="1" t="inlineStr">
        <is>
          <t>active</t>
        </is>
      </c>
      <c r="U220" s="8" t="n"/>
      <c r="V220" s="1" t="inlineStr">
        <is>
          <t>SIN PRECIO</t>
        </is>
      </c>
    </row>
    <row r="221">
      <c r="A221" s="1" t="inlineStr">
        <is>
          <t>17964142453805</t>
        </is>
      </c>
      <c r="B221" s="1" t="inlineStr">
        <is>
          <t>COLLAR LV BLOSSOM BB STAR SILVER</t>
        </is>
      </c>
      <c r="C221" s="1" t="inlineStr">
        <is>
          <t>Default Title</t>
        </is>
      </c>
      <c r="D221" s="1" t="inlineStr">
        <is>
          <t>HAIFENG</t>
        </is>
      </c>
      <c r="E221" s="4">
        <f>COUNTIF('DETALLE CRONOLÓGICO'!$A$2:$A$4919,$A221)</f>
        <v/>
      </c>
      <c r="F221" s="4">
        <f>SUMIFS('DETALLE CRONOLÓGICO'!$I$2:$I$4919,'DETALLE CRONOLÓGICO'!$A$2:$A$4919,$A221)</f>
        <v/>
      </c>
      <c r="G221" s="1">
        <f>INDEX('DETALLE CRONOLÓGICO'!$D$2:$D$4919,MATCH($A221,'DETALLE CRONOLÓGICO'!$A$2:$A$4919,0))</f>
        <v/>
      </c>
      <c r="H221" s="1">
        <f>INDEX('DETALLE CRONOLÓGICO'!$D$2:$D$4919,MATCH($A221,'DETALLE CRONOLÓGICO'!$A$2:$A$4919,0)+$E221-1)</f>
        <v/>
      </c>
      <c r="I221" s="5">
        <f>IFERROR(SUMIFS('DETALLE CRONOLÓGICO'!$L$2:$L$4919,'DETALLE CRONOLÓGICO'!$A$2:$A$4919,$A221)/$F221,"")</f>
        <v/>
      </c>
      <c r="J221" s="6">
        <f>IFERROR(SUMIFS('DETALLE CRONOLÓGICO'!$K$2:$K$4919,'DETALLE CRONOLÓGICO'!$A$2:$A$4919,$A221)/$E221,"")</f>
        <v/>
      </c>
      <c r="K221" s="6">
        <f>_xlfn.MINIFS('DETALLE CRONOLÓGICO'!$K$2:$K$4919,'DETALLE CRONOLÓGICO'!$A$2:$A$4919,$A221)</f>
        <v/>
      </c>
      <c r="L221" s="6">
        <f>_xlfn.MAXIFS('DETALLE CRONOLÓGICO'!$K$2:$K$4919,'DETALLE CRONOLÓGICO'!$A$2:$A$4919,$A221)</f>
        <v/>
      </c>
      <c r="M221" s="6">
        <f>INDEX('DETALLE CRONOLÓGICO'!$K$2:$K$4919,MATCH($A221,'DETALLE CRONOLÓGICO'!$A$2:$A$4919,0)+$E221-1)</f>
        <v/>
      </c>
      <c r="N221" s="7">
        <f>IFERROR($M221/INDEX('DETALLE CRONOLÓGICO'!$K$2:$K$4919,MATCH($A221,'DETALLE CRONOLÓGICO'!$A$2:$A$4919,0))-1,"")</f>
        <v/>
      </c>
      <c r="O221" s="6">
        <f>IFERROR($I221*3,"")</f>
        <v/>
      </c>
      <c r="P221" s="6">
        <f>IFERROR($I221*3.5,"")</f>
        <v/>
      </c>
      <c r="Q221" s="6">
        <f>IFERROR($I221*4,"")</f>
        <v/>
      </c>
      <c r="R221" s="6" t="n">
        <v>499</v>
      </c>
      <c r="S221" s="4" t="n">
        <v>2</v>
      </c>
      <c r="T221" s="1" t="inlineStr">
        <is>
          <t>draft</t>
        </is>
      </c>
      <c r="U221" s="8" t="n"/>
      <c r="V221" s="1" t="inlineStr">
        <is>
          <t>SIN PRECIO</t>
        </is>
      </c>
    </row>
    <row r="222">
      <c r="A222" s="1" t="inlineStr">
        <is>
          <t>17964142517645</t>
        </is>
      </c>
      <c r="B222" s="1" t="inlineStr">
        <is>
          <t>COLLAR LV BLOSSOM BB STAR GOLD</t>
        </is>
      </c>
      <c r="C222" s="1" t="inlineStr">
        <is>
          <t>Default Title</t>
        </is>
      </c>
      <c r="D222" s="1" t="inlineStr">
        <is>
          <t>HAIFENG</t>
        </is>
      </c>
      <c r="E222" s="4">
        <f>COUNTIF('DETALLE CRONOLÓGICO'!$A$2:$A$4919,$A222)</f>
        <v/>
      </c>
      <c r="F222" s="4">
        <f>SUMIFS('DETALLE CRONOLÓGICO'!$I$2:$I$4919,'DETALLE CRONOLÓGICO'!$A$2:$A$4919,$A222)</f>
        <v/>
      </c>
      <c r="G222" s="1">
        <f>INDEX('DETALLE CRONOLÓGICO'!$D$2:$D$4919,MATCH($A222,'DETALLE CRONOLÓGICO'!$A$2:$A$4919,0))</f>
        <v/>
      </c>
      <c r="H222" s="1">
        <f>INDEX('DETALLE CRONOLÓGICO'!$D$2:$D$4919,MATCH($A222,'DETALLE CRONOLÓGICO'!$A$2:$A$4919,0)+$E222-1)</f>
        <v/>
      </c>
      <c r="I222" s="5">
        <f>IFERROR(SUMIFS('DETALLE CRONOLÓGICO'!$L$2:$L$4919,'DETALLE CRONOLÓGICO'!$A$2:$A$4919,$A222)/$F222,"")</f>
        <v/>
      </c>
      <c r="J222" s="6">
        <f>IFERROR(SUMIFS('DETALLE CRONOLÓGICO'!$K$2:$K$4919,'DETALLE CRONOLÓGICO'!$A$2:$A$4919,$A222)/$E222,"")</f>
        <v/>
      </c>
      <c r="K222" s="6">
        <f>_xlfn.MINIFS('DETALLE CRONOLÓGICO'!$K$2:$K$4919,'DETALLE CRONOLÓGICO'!$A$2:$A$4919,$A222)</f>
        <v/>
      </c>
      <c r="L222" s="6">
        <f>_xlfn.MAXIFS('DETALLE CRONOLÓGICO'!$K$2:$K$4919,'DETALLE CRONOLÓGICO'!$A$2:$A$4919,$A222)</f>
        <v/>
      </c>
      <c r="M222" s="6">
        <f>INDEX('DETALLE CRONOLÓGICO'!$K$2:$K$4919,MATCH($A222,'DETALLE CRONOLÓGICO'!$A$2:$A$4919,0)+$E222-1)</f>
        <v/>
      </c>
      <c r="N222" s="7">
        <f>IFERROR($M222/INDEX('DETALLE CRONOLÓGICO'!$K$2:$K$4919,MATCH($A222,'DETALLE CRONOLÓGICO'!$A$2:$A$4919,0))-1,"")</f>
        <v/>
      </c>
      <c r="O222" s="6">
        <f>IFERROR($I222*3,"")</f>
        <v/>
      </c>
      <c r="P222" s="6">
        <f>IFERROR($I222*3.5,"")</f>
        <v/>
      </c>
      <c r="Q222" s="6">
        <f>IFERROR($I222*4,"")</f>
        <v/>
      </c>
      <c r="R222" s="6" t="n">
        <v>0</v>
      </c>
      <c r="S222" s="4" t="n">
        <v>2</v>
      </c>
      <c r="T222" s="1" t="inlineStr">
        <is>
          <t>draft</t>
        </is>
      </c>
      <c r="U222" s="8" t="n"/>
      <c r="V222" s="1" t="inlineStr">
        <is>
          <t>SIN PRECIO</t>
        </is>
      </c>
    </row>
    <row r="223">
      <c r="A223" s="1" t="inlineStr">
        <is>
          <t>17964142645325</t>
        </is>
      </c>
      <c r="B223" s="1" t="inlineStr">
        <is>
          <t>PULSERA LV MONOGRAM CHAIN SOO</t>
        </is>
      </c>
      <c r="C223" s="1" t="inlineStr">
        <is>
          <t>18CM</t>
        </is>
      </c>
      <c r="D223" s="1" t="inlineStr">
        <is>
          <t>HAIFENG</t>
        </is>
      </c>
      <c r="E223" s="4">
        <f>COUNTIF('DETALLE CRONOLÓGICO'!$A$2:$A$4919,$A223)</f>
        <v/>
      </c>
      <c r="F223" s="4">
        <f>SUMIFS('DETALLE CRONOLÓGICO'!$I$2:$I$4919,'DETALLE CRONOLÓGICO'!$A$2:$A$4919,$A223)</f>
        <v/>
      </c>
      <c r="G223" s="1">
        <f>INDEX('DETALLE CRONOLÓGICO'!$D$2:$D$4919,MATCH($A223,'DETALLE CRONOLÓGICO'!$A$2:$A$4919,0))</f>
        <v/>
      </c>
      <c r="H223" s="1">
        <f>INDEX('DETALLE CRONOLÓGICO'!$D$2:$D$4919,MATCH($A223,'DETALLE CRONOLÓGICO'!$A$2:$A$4919,0)+$E223-1)</f>
        <v/>
      </c>
      <c r="I223" s="5">
        <f>IFERROR(SUMIFS('DETALLE CRONOLÓGICO'!$L$2:$L$4919,'DETALLE CRONOLÓGICO'!$A$2:$A$4919,$A223)/$F223,"")</f>
        <v/>
      </c>
      <c r="J223" s="6">
        <f>IFERROR(SUMIFS('DETALLE CRONOLÓGICO'!$K$2:$K$4919,'DETALLE CRONOLÓGICO'!$A$2:$A$4919,$A223)/$E223,"")</f>
        <v/>
      </c>
      <c r="K223" s="6">
        <f>_xlfn.MINIFS('DETALLE CRONOLÓGICO'!$K$2:$K$4919,'DETALLE CRONOLÓGICO'!$A$2:$A$4919,$A223)</f>
        <v/>
      </c>
      <c r="L223" s="6">
        <f>_xlfn.MAXIFS('DETALLE CRONOLÓGICO'!$K$2:$K$4919,'DETALLE CRONOLÓGICO'!$A$2:$A$4919,$A223)</f>
        <v/>
      </c>
      <c r="M223" s="6">
        <f>INDEX('DETALLE CRONOLÓGICO'!$K$2:$K$4919,MATCH($A223,'DETALLE CRONOLÓGICO'!$A$2:$A$4919,0)+$E223-1)</f>
        <v/>
      </c>
      <c r="N223" s="7">
        <f>IFERROR($M223/INDEX('DETALLE CRONOLÓGICO'!$K$2:$K$4919,MATCH($A223,'DETALLE CRONOLÓGICO'!$A$2:$A$4919,0))-1,"")</f>
        <v/>
      </c>
      <c r="O223" s="6">
        <f>IFERROR($I223*3,"")</f>
        <v/>
      </c>
      <c r="P223" s="6">
        <f>IFERROR($I223*3.5,"")</f>
        <v/>
      </c>
      <c r="Q223" s="6">
        <f>IFERROR($I223*4,"")</f>
        <v/>
      </c>
      <c r="R223" s="6" t="n">
        <v>1499</v>
      </c>
      <c r="S223" s="4" t="n">
        <v>2</v>
      </c>
      <c r="T223" s="1" t="inlineStr">
        <is>
          <t>active</t>
        </is>
      </c>
      <c r="U223" s="8" t="n"/>
      <c r="V223" s="1" t="inlineStr">
        <is>
          <t>SIN PRECIO</t>
        </is>
      </c>
    </row>
    <row r="224">
      <c r="A224" s="1" t="inlineStr">
        <is>
          <t>17964142743629</t>
        </is>
      </c>
      <c r="B224" s="1" t="inlineStr">
        <is>
          <t>PULSERA LV DAMIER MONOGRAM</t>
        </is>
      </c>
      <c r="C224" s="1" t="inlineStr">
        <is>
          <t>18CM</t>
        </is>
      </c>
      <c r="D224" s="1" t="inlineStr">
        <is>
          <t>HAIFENG</t>
        </is>
      </c>
      <c r="E224" s="4">
        <f>COUNTIF('DETALLE CRONOLÓGICO'!$A$2:$A$4919,$A224)</f>
        <v/>
      </c>
      <c r="F224" s="4">
        <f>SUMIFS('DETALLE CRONOLÓGICO'!$I$2:$I$4919,'DETALLE CRONOLÓGICO'!$A$2:$A$4919,$A224)</f>
        <v/>
      </c>
      <c r="G224" s="1">
        <f>INDEX('DETALLE CRONOLÓGICO'!$D$2:$D$4919,MATCH($A224,'DETALLE CRONOLÓGICO'!$A$2:$A$4919,0))</f>
        <v/>
      </c>
      <c r="H224" s="1">
        <f>INDEX('DETALLE CRONOLÓGICO'!$D$2:$D$4919,MATCH($A224,'DETALLE CRONOLÓGICO'!$A$2:$A$4919,0)+$E224-1)</f>
        <v/>
      </c>
      <c r="I224" s="5">
        <f>IFERROR(SUMIFS('DETALLE CRONOLÓGICO'!$L$2:$L$4919,'DETALLE CRONOLÓGICO'!$A$2:$A$4919,$A224)/$F224,"")</f>
        <v/>
      </c>
      <c r="J224" s="6">
        <f>IFERROR(SUMIFS('DETALLE CRONOLÓGICO'!$K$2:$K$4919,'DETALLE CRONOLÓGICO'!$A$2:$A$4919,$A224)/$E224,"")</f>
        <v/>
      </c>
      <c r="K224" s="6">
        <f>_xlfn.MINIFS('DETALLE CRONOLÓGICO'!$K$2:$K$4919,'DETALLE CRONOLÓGICO'!$A$2:$A$4919,$A224)</f>
        <v/>
      </c>
      <c r="L224" s="6">
        <f>_xlfn.MAXIFS('DETALLE CRONOLÓGICO'!$K$2:$K$4919,'DETALLE CRONOLÓGICO'!$A$2:$A$4919,$A224)</f>
        <v/>
      </c>
      <c r="M224" s="6">
        <f>INDEX('DETALLE CRONOLÓGICO'!$K$2:$K$4919,MATCH($A224,'DETALLE CRONOLÓGICO'!$A$2:$A$4919,0)+$E224-1)</f>
        <v/>
      </c>
      <c r="N224" s="7">
        <f>IFERROR($M224/INDEX('DETALLE CRONOLÓGICO'!$K$2:$K$4919,MATCH($A224,'DETALLE CRONOLÓGICO'!$A$2:$A$4919,0))-1,"")</f>
        <v/>
      </c>
      <c r="O224" s="6">
        <f>IFERROR($I224*3,"")</f>
        <v/>
      </c>
      <c r="P224" s="6">
        <f>IFERROR($I224*3.5,"")</f>
        <v/>
      </c>
      <c r="Q224" s="6">
        <f>IFERROR($I224*4,"")</f>
        <v/>
      </c>
      <c r="R224" s="6" t="n">
        <v>1250</v>
      </c>
      <c r="S224" s="4" t="n">
        <v>1</v>
      </c>
      <c r="T224" s="1" t="inlineStr">
        <is>
          <t>active</t>
        </is>
      </c>
      <c r="U224" s="8" t="n"/>
      <c r="V224" s="1" t="inlineStr">
        <is>
          <t>SIN PRECIO</t>
        </is>
      </c>
    </row>
    <row r="225">
      <c r="A225" s="1" t="inlineStr">
        <is>
          <t>17964142823277</t>
        </is>
      </c>
      <c r="B225" s="1" t="inlineStr">
        <is>
          <t>GORRA C BEIS BABY BLUE</t>
        </is>
      </c>
      <c r="C225" s="1" t="inlineStr">
        <is>
          <t>Default Title</t>
        </is>
      </c>
      <c r="D225" s="1" t="inlineStr">
        <is>
          <t>HAIFENG</t>
        </is>
      </c>
      <c r="E225" s="4">
        <f>COUNTIF('DETALLE CRONOLÓGICO'!$A$2:$A$4919,$A225)</f>
        <v/>
      </c>
      <c r="F225" s="4">
        <f>SUMIFS('DETALLE CRONOLÓGICO'!$I$2:$I$4919,'DETALLE CRONOLÓGICO'!$A$2:$A$4919,$A225)</f>
        <v/>
      </c>
      <c r="G225" s="1">
        <f>INDEX('DETALLE CRONOLÓGICO'!$D$2:$D$4919,MATCH($A225,'DETALLE CRONOLÓGICO'!$A$2:$A$4919,0))</f>
        <v/>
      </c>
      <c r="H225" s="1">
        <f>INDEX('DETALLE CRONOLÓGICO'!$D$2:$D$4919,MATCH($A225,'DETALLE CRONOLÓGICO'!$A$2:$A$4919,0)+$E225-1)</f>
        <v/>
      </c>
      <c r="I225" s="5">
        <f>IFERROR(SUMIFS('DETALLE CRONOLÓGICO'!$L$2:$L$4919,'DETALLE CRONOLÓGICO'!$A$2:$A$4919,$A225)/$F225,"")</f>
        <v/>
      </c>
      <c r="J225" s="6">
        <f>IFERROR(SUMIFS('DETALLE CRONOLÓGICO'!$K$2:$K$4919,'DETALLE CRONOLÓGICO'!$A$2:$A$4919,$A225)/$E225,"")</f>
        <v/>
      </c>
      <c r="K225" s="6">
        <f>_xlfn.MINIFS('DETALLE CRONOLÓGICO'!$K$2:$K$4919,'DETALLE CRONOLÓGICO'!$A$2:$A$4919,$A225)</f>
        <v/>
      </c>
      <c r="L225" s="6">
        <f>_xlfn.MAXIFS('DETALLE CRONOLÓGICO'!$K$2:$K$4919,'DETALLE CRONOLÓGICO'!$A$2:$A$4919,$A225)</f>
        <v/>
      </c>
      <c r="M225" s="6">
        <f>INDEX('DETALLE CRONOLÓGICO'!$K$2:$K$4919,MATCH($A225,'DETALLE CRONOLÓGICO'!$A$2:$A$4919,0)+$E225-1)</f>
        <v/>
      </c>
      <c r="N225" s="7">
        <f>IFERROR($M225/INDEX('DETALLE CRONOLÓGICO'!$K$2:$K$4919,MATCH($A225,'DETALLE CRONOLÓGICO'!$A$2:$A$4919,0))-1,"")</f>
        <v/>
      </c>
      <c r="O225" s="6">
        <f>IFERROR($I225*3,"")</f>
        <v/>
      </c>
      <c r="P225" s="6">
        <f>IFERROR($I225*3.5,"")</f>
        <v/>
      </c>
      <c r="Q225" s="6">
        <f>IFERROR($I225*4,"")</f>
        <v/>
      </c>
      <c r="R225" s="6" t="n">
        <v>1999</v>
      </c>
      <c r="S225" s="4" t="n">
        <v>2</v>
      </c>
      <c r="T225" s="1" t="inlineStr">
        <is>
          <t>active</t>
        </is>
      </c>
      <c r="U225" s="8" t="n"/>
      <c r="V225" s="1" t="inlineStr">
        <is>
          <t>SIN PRECIO</t>
        </is>
      </c>
    </row>
    <row r="226">
      <c r="A226" s="1" t="inlineStr">
        <is>
          <t>17964142921581</t>
        </is>
      </c>
      <c r="B226" s="1" t="inlineStr">
        <is>
          <t>GORRA MM DRILL BLUE</t>
        </is>
      </c>
      <c r="C226" s="1" t="inlineStr">
        <is>
          <t>Default Title</t>
        </is>
      </c>
      <c r="D226" s="1" t="inlineStr">
        <is>
          <t>HAIFENG</t>
        </is>
      </c>
      <c r="E226" s="4">
        <f>COUNTIF('DETALLE CRONOLÓGICO'!$A$2:$A$4919,$A226)</f>
        <v/>
      </c>
      <c r="F226" s="4">
        <f>SUMIFS('DETALLE CRONOLÓGICO'!$I$2:$I$4919,'DETALLE CRONOLÓGICO'!$A$2:$A$4919,$A226)</f>
        <v/>
      </c>
      <c r="G226" s="1">
        <f>INDEX('DETALLE CRONOLÓGICO'!$D$2:$D$4919,MATCH($A226,'DETALLE CRONOLÓGICO'!$A$2:$A$4919,0))</f>
        <v/>
      </c>
      <c r="H226" s="1">
        <f>INDEX('DETALLE CRONOLÓGICO'!$D$2:$D$4919,MATCH($A226,'DETALLE CRONOLÓGICO'!$A$2:$A$4919,0)+$E226-1)</f>
        <v/>
      </c>
      <c r="I226" s="5">
        <f>IFERROR(SUMIFS('DETALLE CRONOLÓGICO'!$L$2:$L$4919,'DETALLE CRONOLÓGICO'!$A$2:$A$4919,$A226)/$F226,"")</f>
        <v/>
      </c>
      <c r="J226" s="6">
        <f>IFERROR(SUMIFS('DETALLE CRONOLÓGICO'!$K$2:$K$4919,'DETALLE CRONOLÓGICO'!$A$2:$A$4919,$A226)/$E226,"")</f>
        <v/>
      </c>
      <c r="K226" s="6">
        <f>_xlfn.MINIFS('DETALLE CRONOLÓGICO'!$K$2:$K$4919,'DETALLE CRONOLÓGICO'!$A$2:$A$4919,$A226)</f>
        <v/>
      </c>
      <c r="L226" s="6">
        <f>_xlfn.MAXIFS('DETALLE CRONOLÓGICO'!$K$2:$K$4919,'DETALLE CRONOLÓGICO'!$A$2:$A$4919,$A226)</f>
        <v/>
      </c>
      <c r="M226" s="6">
        <f>INDEX('DETALLE CRONOLÓGICO'!$K$2:$K$4919,MATCH($A226,'DETALLE CRONOLÓGICO'!$A$2:$A$4919,0)+$E226-1)</f>
        <v/>
      </c>
      <c r="N226" s="7">
        <f>IFERROR($M226/INDEX('DETALLE CRONOLÓGICO'!$K$2:$K$4919,MATCH($A226,'DETALLE CRONOLÓGICO'!$A$2:$A$4919,0))-1,"")</f>
        <v/>
      </c>
      <c r="O226" s="6">
        <f>IFERROR($I226*3,"")</f>
        <v/>
      </c>
      <c r="P226" s="6">
        <f>IFERROR($I226*3.5,"")</f>
        <v/>
      </c>
      <c r="Q226" s="6">
        <f>IFERROR($I226*4,"")</f>
        <v/>
      </c>
      <c r="R226" s="6" t="n">
        <v>1999</v>
      </c>
      <c r="S226" s="4" t="n">
        <v>1</v>
      </c>
      <c r="T226" s="1" t="inlineStr">
        <is>
          <t>active</t>
        </is>
      </c>
      <c r="U226" s="8" t="n"/>
      <c r="V226" s="1" t="inlineStr">
        <is>
          <t>SIN PRECIO</t>
        </is>
      </c>
    </row>
    <row r="227">
      <c r="A227" s="1" t="inlineStr">
        <is>
          <t>17964143087117</t>
        </is>
      </c>
      <c r="B227" s="1" t="inlineStr">
        <is>
          <t>GORRA MM DRILL PINK</t>
        </is>
      </c>
      <c r="C227" s="1" t="inlineStr">
        <is>
          <t>Default Title</t>
        </is>
      </c>
      <c r="D227" s="1" t="inlineStr">
        <is>
          <t>HAIFENG</t>
        </is>
      </c>
      <c r="E227" s="4">
        <f>COUNTIF('DETALLE CRONOLÓGICO'!$A$2:$A$4919,$A227)</f>
        <v/>
      </c>
      <c r="F227" s="4">
        <f>SUMIFS('DETALLE CRONOLÓGICO'!$I$2:$I$4919,'DETALLE CRONOLÓGICO'!$A$2:$A$4919,$A227)</f>
        <v/>
      </c>
      <c r="G227" s="1">
        <f>INDEX('DETALLE CRONOLÓGICO'!$D$2:$D$4919,MATCH($A227,'DETALLE CRONOLÓGICO'!$A$2:$A$4919,0))</f>
        <v/>
      </c>
      <c r="H227" s="1">
        <f>INDEX('DETALLE CRONOLÓGICO'!$D$2:$D$4919,MATCH($A227,'DETALLE CRONOLÓGICO'!$A$2:$A$4919,0)+$E227-1)</f>
        <v/>
      </c>
      <c r="I227" s="5">
        <f>IFERROR(SUMIFS('DETALLE CRONOLÓGICO'!$L$2:$L$4919,'DETALLE CRONOLÓGICO'!$A$2:$A$4919,$A227)/$F227,"")</f>
        <v/>
      </c>
      <c r="J227" s="6">
        <f>IFERROR(SUMIFS('DETALLE CRONOLÓGICO'!$K$2:$K$4919,'DETALLE CRONOLÓGICO'!$A$2:$A$4919,$A227)/$E227,"")</f>
        <v/>
      </c>
      <c r="K227" s="6">
        <f>_xlfn.MINIFS('DETALLE CRONOLÓGICO'!$K$2:$K$4919,'DETALLE CRONOLÓGICO'!$A$2:$A$4919,$A227)</f>
        <v/>
      </c>
      <c r="L227" s="6">
        <f>_xlfn.MAXIFS('DETALLE CRONOLÓGICO'!$K$2:$K$4919,'DETALLE CRONOLÓGICO'!$A$2:$A$4919,$A227)</f>
        <v/>
      </c>
      <c r="M227" s="6">
        <f>INDEX('DETALLE CRONOLÓGICO'!$K$2:$K$4919,MATCH($A227,'DETALLE CRONOLÓGICO'!$A$2:$A$4919,0)+$E227-1)</f>
        <v/>
      </c>
      <c r="N227" s="7">
        <f>IFERROR($M227/INDEX('DETALLE CRONOLÓGICO'!$K$2:$K$4919,MATCH($A227,'DETALLE CRONOLÓGICO'!$A$2:$A$4919,0))-1,"")</f>
        <v/>
      </c>
      <c r="O227" s="6">
        <f>IFERROR($I227*3,"")</f>
        <v/>
      </c>
      <c r="P227" s="6">
        <f>IFERROR($I227*3.5,"")</f>
        <v/>
      </c>
      <c r="Q227" s="6">
        <f>IFERROR($I227*4,"")</f>
        <v/>
      </c>
      <c r="R227" s="6" t="n">
        <v>1999</v>
      </c>
      <c r="S227" s="4" t="n">
        <v>1</v>
      </c>
      <c r="T227" s="1" t="inlineStr">
        <is>
          <t>active</t>
        </is>
      </c>
      <c r="U227" s="8" t="n"/>
      <c r="V227" s="1" t="inlineStr">
        <is>
          <t>SIN PRECIO</t>
        </is>
      </c>
    </row>
    <row r="228">
      <c r="A228" s="1" t="inlineStr">
        <is>
          <t>18652671095713</t>
        </is>
      </c>
      <c r="B228" s="1" t="inlineStr">
        <is>
          <t>PULSERA DE TELA TRES AROS GREY</t>
        </is>
      </c>
      <c r="C228" s="1" t="inlineStr">
        <is>
          <t>Default Title</t>
        </is>
      </c>
      <c r="D228" s="1" t="inlineStr">
        <is>
          <t>HAIFENG</t>
        </is>
      </c>
      <c r="E228" s="4">
        <f>COUNTIF('DETALLE CRONOLÓGICO'!$A$2:$A$4919,$A228)</f>
        <v/>
      </c>
      <c r="F228" s="4">
        <f>SUMIFS('DETALLE CRONOLÓGICO'!$I$2:$I$4919,'DETALLE CRONOLÓGICO'!$A$2:$A$4919,$A228)</f>
        <v/>
      </c>
      <c r="G228" s="1">
        <f>INDEX('DETALLE CRONOLÓGICO'!$D$2:$D$4919,MATCH($A228,'DETALLE CRONOLÓGICO'!$A$2:$A$4919,0))</f>
        <v/>
      </c>
      <c r="H228" s="1">
        <f>INDEX('DETALLE CRONOLÓGICO'!$D$2:$D$4919,MATCH($A228,'DETALLE CRONOLÓGICO'!$A$2:$A$4919,0)+$E228-1)</f>
        <v/>
      </c>
      <c r="I228" s="5">
        <f>IFERROR(SUMIFS('DETALLE CRONOLÓGICO'!$L$2:$L$4919,'DETALLE CRONOLÓGICO'!$A$2:$A$4919,$A228)/$F228,"")</f>
        <v/>
      </c>
      <c r="J228" s="6">
        <f>IFERROR(SUMIFS('DETALLE CRONOLÓGICO'!$K$2:$K$4919,'DETALLE CRONOLÓGICO'!$A$2:$A$4919,$A228)/$E228,"")</f>
        <v/>
      </c>
      <c r="K228" s="6">
        <f>_xlfn.MINIFS('DETALLE CRONOLÓGICO'!$K$2:$K$4919,'DETALLE CRONOLÓGICO'!$A$2:$A$4919,$A228)</f>
        <v/>
      </c>
      <c r="L228" s="6">
        <f>_xlfn.MAXIFS('DETALLE CRONOLÓGICO'!$K$2:$K$4919,'DETALLE CRONOLÓGICO'!$A$2:$A$4919,$A228)</f>
        <v/>
      </c>
      <c r="M228" s="6">
        <f>INDEX('DETALLE CRONOLÓGICO'!$K$2:$K$4919,MATCH($A228,'DETALLE CRONOLÓGICO'!$A$2:$A$4919,0)+$E228-1)</f>
        <v/>
      </c>
      <c r="N228" s="7">
        <f>IFERROR($M228/INDEX('DETALLE CRONOLÓGICO'!$K$2:$K$4919,MATCH($A228,'DETALLE CRONOLÓGICO'!$A$2:$A$4919,0))-1,"")</f>
        <v/>
      </c>
      <c r="O228" s="6">
        <f>IFERROR($I228*3,"")</f>
        <v/>
      </c>
      <c r="P228" s="6">
        <f>IFERROR($I228*3.5,"")</f>
        <v/>
      </c>
      <c r="Q228" s="6">
        <f>IFERROR($I228*4,"")</f>
        <v/>
      </c>
      <c r="R228" s="6" t="n">
        <v>399</v>
      </c>
      <c r="S228" s="4" t="n">
        <v>0</v>
      </c>
      <c r="T228" s="1" t="inlineStr">
        <is>
          <t>active</t>
        </is>
      </c>
      <c r="U228" s="8" t="n"/>
      <c r="V228" s="1" t="inlineStr">
        <is>
          <t>SIN PRECIO</t>
        </is>
      </c>
    </row>
    <row r="229">
      <c r="A229" s="1" t="inlineStr">
        <is>
          <t>18936841085197</t>
        </is>
      </c>
      <c r="B229" s="1" t="inlineStr">
        <is>
          <t>GORRA A BLACK AND WHITE</t>
        </is>
      </c>
      <c r="C229" s="1" t="inlineStr">
        <is>
          <t>Default Title</t>
        </is>
      </c>
      <c r="D229" s="1" t="inlineStr">
        <is>
          <t>ZOEY</t>
        </is>
      </c>
      <c r="E229" s="4">
        <f>COUNTIF('DETALLE CRONOLÓGICO'!$A$2:$A$4919,$A229)</f>
        <v/>
      </c>
      <c r="F229" s="4">
        <f>SUMIFS('DETALLE CRONOLÓGICO'!$I$2:$I$4919,'DETALLE CRONOLÓGICO'!$A$2:$A$4919,$A229)</f>
        <v/>
      </c>
      <c r="G229" s="1">
        <f>INDEX('DETALLE CRONOLÓGICO'!$D$2:$D$4919,MATCH($A229,'DETALLE CRONOLÓGICO'!$A$2:$A$4919,0))</f>
        <v/>
      </c>
      <c r="H229" s="1">
        <f>INDEX('DETALLE CRONOLÓGICO'!$D$2:$D$4919,MATCH($A229,'DETALLE CRONOLÓGICO'!$A$2:$A$4919,0)+$E229-1)</f>
        <v/>
      </c>
      <c r="I229" s="5">
        <f>IFERROR(SUMIFS('DETALLE CRONOLÓGICO'!$L$2:$L$4919,'DETALLE CRONOLÓGICO'!$A$2:$A$4919,$A229)/$F229,"")</f>
        <v/>
      </c>
      <c r="J229" s="6">
        <f>IFERROR(SUMIFS('DETALLE CRONOLÓGICO'!$K$2:$K$4919,'DETALLE CRONOLÓGICO'!$A$2:$A$4919,$A229)/$E229,"")</f>
        <v/>
      </c>
      <c r="K229" s="6">
        <f>_xlfn.MINIFS('DETALLE CRONOLÓGICO'!$K$2:$K$4919,'DETALLE CRONOLÓGICO'!$A$2:$A$4919,$A229)</f>
        <v/>
      </c>
      <c r="L229" s="6">
        <f>_xlfn.MAXIFS('DETALLE CRONOLÓGICO'!$K$2:$K$4919,'DETALLE CRONOLÓGICO'!$A$2:$A$4919,$A229)</f>
        <v/>
      </c>
      <c r="M229" s="6">
        <f>INDEX('DETALLE CRONOLÓGICO'!$K$2:$K$4919,MATCH($A229,'DETALLE CRONOLÓGICO'!$A$2:$A$4919,0)+$E229-1)</f>
        <v/>
      </c>
      <c r="N229" s="7">
        <f>IFERROR($M229/INDEX('DETALLE CRONOLÓGICO'!$K$2:$K$4919,MATCH($A229,'DETALLE CRONOLÓGICO'!$A$2:$A$4919,0))-1,"")</f>
        <v/>
      </c>
      <c r="O229" s="6">
        <f>IFERROR($I229*3,"")</f>
        <v/>
      </c>
      <c r="P229" s="6">
        <f>IFERROR($I229*3.5,"")</f>
        <v/>
      </c>
      <c r="Q229" s="6">
        <f>IFERROR($I229*4,"")</f>
        <v/>
      </c>
      <c r="R229" s="6" t="n">
        <v>1069</v>
      </c>
      <c r="S229" s="4" t="n">
        <v>2</v>
      </c>
      <c r="T229" s="1" t="inlineStr">
        <is>
          <t>active</t>
        </is>
      </c>
      <c r="U229" s="8" t="n"/>
      <c r="V229" s="1" t="inlineStr">
        <is>
          <t>SIN PRECIO</t>
        </is>
      </c>
    </row>
    <row r="230" ht="29" customHeight="1">
      <c r="A230" s="1" t="inlineStr">
        <is>
          <t>19693770314380</t>
        </is>
      </c>
      <c r="B230" s="9" t="inlineStr">
        <is>
          <t>BOLSO DE VIAJE BROWN LV
55cm</t>
        </is>
      </c>
      <c r="C230" s="1" t="inlineStr">
        <is>
          <t>HIGH QUALITY</t>
        </is>
      </c>
      <c r="D230" s="1" t="inlineStr">
        <is>
          <t>DINA DU</t>
        </is>
      </c>
      <c r="E230" s="4">
        <f>COUNTIF('DETALLE CRONOLÓGICO'!$A$2:$A$4919,$A230)</f>
        <v/>
      </c>
      <c r="F230" s="4">
        <f>SUMIFS('DETALLE CRONOLÓGICO'!$I$2:$I$4919,'DETALLE CRONOLÓGICO'!$A$2:$A$4919,$A230)</f>
        <v/>
      </c>
      <c r="G230" s="1">
        <f>INDEX('DETALLE CRONOLÓGICO'!$D$2:$D$4919,MATCH($A230,'DETALLE CRONOLÓGICO'!$A$2:$A$4919,0))</f>
        <v/>
      </c>
      <c r="H230" s="1">
        <f>INDEX('DETALLE CRONOLÓGICO'!$D$2:$D$4919,MATCH($A230,'DETALLE CRONOLÓGICO'!$A$2:$A$4919,0)+$E230-1)</f>
        <v/>
      </c>
      <c r="I230" s="5">
        <f>IFERROR(SUMIFS('DETALLE CRONOLÓGICO'!$L$2:$L$4919,'DETALLE CRONOLÓGICO'!$A$2:$A$4919,$A230)/$F230,"")</f>
        <v/>
      </c>
      <c r="J230" s="6">
        <f>IFERROR(SUMIFS('DETALLE CRONOLÓGICO'!$K$2:$K$4919,'DETALLE CRONOLÓGICO'!$A$2:$A$4919,$A230)/$E230,"")</f>
        <v/>
      </c>
      <c r="K230" s="6">
        <f>_xlfn.MINIFS('DETALLE CRONOLÓGICO'!$K$2:$K$4919,'DETALLE CRONOLÓGICO'!$A$2:$A$4919,$A230)</f>
        <v/>
      </c>
      <c r="L230" s="6">
        <f>_xlfn.MAXIFS('DETALLE CRONOLÓGICO'!$K$2:$K$4919,'DETALLE CRONOLÓGICO'!$A$2:$A$4919,$A230)</f>
        <v/>
      </c>
      <c r="M230" s="6">
        <f>INDEX('DETALLE CRONOLÓGICO'!$K$2:$K$4919,MATCH($A230,'DETALLE CRONOLÓGICO'!$A$2:$A$4919,0)+$E230-1)</f>
        <v/>
      </c>
      <c r="N230" s="7">
        <f>IFERROR($M230/INDEX('DETALLE CRONOLÓGICO'!$K$2:$K$4919,MATCH($A230,'DETALLE CRONOLÓGICO'!$A$2:$A$4919,0))-1,"")</f>
        <v/>
      </c>
      <c r="O230" s="6">
        <f>IFERROR($I230*3,"")</f>
        <v/>
      </c>
      <c r="P230" s="6">
        <f>IFERROR($I230*3.5,"")</f>
        <v/>
      </c>
      <c r="Q230" s="6">
        <f>IFERROR($I230*4,"")</f>
        <v/>
      </c>
      <c r="R230" s="6" t="n">
        <v>5963.27</v>
      </c>
      <c r="S230" s="4" t="n">
        <v>1</v>
      </c>
      <c r="T230" s="1" t="inlineStr">
        <is>
          <t>active</t>
        </is>
      </c>
      <c r="U230" s="8" t="n"/>
      <c r="V230" s="1" t="inlineStr">
        <is>
          <t>SIN PRECIO</t>
        </is>
      </c>
    </row>
    <row r="231">
      <c r="A231" s="1" t="inlineStr">
        <is>
          <t>19874081084045</t>
        </is>
      </c>
      <c r="B231" s="1" t="inlineStr">
        <is>
          <t>GORRA A WHITE</t>
        </is>
      </c>
      <c r="C231" s="1" t="inlineStr">
        <is>
          <t>Default Title</t>
        </is>
      </c>
      <c r="D231" s="1" t="inlineStr">
        <is>
          <t>ZOEY</t>
        </is>
      </c>
      <c r="E231" s="4">
        <f>COUNTIF('DETALLE CRONOLÓGICO'!$A$2:$A$4919,$A231)</f>
        <v/>
      </c>
      <c r="F231" s="4">
        <f>SUMIFS('DETALLE CRONOLÓGICO'!$I$2:$I$4919,'DETALLE CRONOLÓGICO'!$A$2:$A$4919,$A231)</f>
        <v/>
      </c>
      <c r="G231" s="1">
        <f>INDEX('DETALLE CRONOLÓGICO'!$D$2:$D$4919,MATCH($A231,'DETALLE CRONOLÓGICO'!$A$2:$A$4919,0))</f>
        <v/>
      </c>
      <c r="H231" s="1">
        <f>INDEX('DETALLE CRONOLÓGICO'!$D$2:$D$4919,MATCH($A231,'DETALLE CRONOLÓGICO'!$A$2:$A$4919,0)+$E231-1)</f>
        <v/>
      </c>
      <c r="I231" s="5">
        <f>IFERROR(SUMIFS('DETALLE CRONOLÓGICO'!$L$2:$L$4919,'DETALLE CRONOLÓGICO'!$A$2:$A$4919,$A231)/$F231,"")</f>
        <v/>
      </c>
      <c r="J231" s="6">
        <f>IFERROR(SUMIFS('DETALLE CRONOLÓGICO'!$K$2:$K$4919,'DETALLE CRONOLÓGICO'!$A$2:$A$4919,$A231)/$E231,"")</f>
        <v/>
      </c>
      <c r="K231" s="6">
        <f>_xlfn.MINIFS('DETALLE CRONOLÓGICO'!$K$2:$K$4919,'DETALLE CRONOLÓGICO'!$A$2:$A$4919,$A231)</f>
        <v/>
      </c>
      <c r="L231" s="6">
        <f>_xlfn.MAXIFS('DETALLE CRONOLÓGICO'!$K$2:$K$4919,'DETALLE CRONOLÓGICO'!$A$2:$A$4919,$A231)</f>
        <v/>
      </c>
      <c r="M231" s="6">
        <f>INDEX('DETALLE CRONOLÓGICO'!$K$2:$K$4919,MATCH($A231,'DETALLE CRONOLÓGICO'!$A$2:$A$4919,0)+$E231-1)</f>
        <v/>
      </c>
      <c r="N231" s="7">
        <f>IFERROR($M231/INDEX('DETALLE CRONOLÓGICO'!$K$2:$K$4919,MATCH($A231,'DETALLE CRONOLÓGICO'!$A$2:$A$4919,0))-1,"")</f>
        <v/>
      </c>
      <c r="O231" s="6">
        <f>IFERROR($I231*3,"")</f>
        <v/>
      </c>
      <c r="P231" s="6">
        <f>IFERROR($I231*3.5,"")</f>
        <v/>
      </c>
      <c r="Q231" s="6">
        <f>IFERROR($I231*4,"")</f>
        <v/>
      </c>
      <c r="R231" s="6" t="n">
        <v>1069</v>
      </c>
      <c r="S231" s="4" t="n">
        <v>3</v>
      </c>
      <c r="T231" s="1" t="inlineStr">
        <is>
          <t>active</t>
        </is>
      </c>
      <c r="U231" s="8" t="n"/>
      <c r="V231" s="1" t="inlineStr">
        <is>
          <t>SIN PRECIO</t>
        </is>
      </c>
    </row>
    <row r="232">
      <c r="A232" s="1" t="inlineStr">
        <is>
          <t>19976221521036</t>
        </is>
      </c>
      <c r="B232" s="1" t="inlineStr">
        <is>
          <t>BOLSO DE VIAJE BLACK PÉGASE LV</t>
        </is>
      </c>
      <c r="C232" s="1" t="inlineStr">
        <is>
          <t>HIGH QUALITY</t>
        </is>
      </c>
      <c r="D232" s="1" t="inlineStr">
        <is>
          <t>CYNTHIA</t>
        </is>
      </c>
      <c r="E232" s="4">
        <f>COUNTIF('DETALLE CRONOLÓGICO'!$A$2:$A$4919,$A232)</f>
        <v/>
      </c>
      <c r="F232" s="4">
        <f>SUMIFS('DETALLE CRONOLÓGICO'!$I$2:$I$4919,'DETALLE CRONOLÓGICO'!$A$2:$A$4919,$A232)</f>
        <v/>
      </c>
      <c r="G232" s="1">
        <f>INDEX('DETALLE CRONOLÓGICO'!$D$2:$D$4919,MATCH($A232,'DETALLE CRONOLÓGICO'!$A$2:$A$4919,0))</f>
        <v/>
      </c>
      <c r="H232" s="1">
        <f>INDEX('DETALLE CRONOLÓGICO'!$D$2:$D$4919,MATCH($A232,'DETALLE CRONOLÓGICO'!$A$2:$A$4919,0)+$E232-1)</f>
        <v/>
      </c>
      <c r="I232" s="5">
        <f>IFERROR(SUMIFS('DETALLE CRONOLÓGICO'!$L$2:$L$4919,'DETALLE CRONOLÓGICO'!$A$2:$A$4919,$A232)/$F232,"")</f>
        <v/>
      </c>
      <c r="J232" s="6">
        <f>IFERROR(SUMIFS('DETALLE CRONOLÓGICO'!$K$2:$K$4919,'DETALLE CRONOLÓGICO'!$A$2:$A$4919,$A232)/$E232,"")</f>
        <v/>
      </c>
      <c r="K232" s="6">
        <f>_xlfn.MINIFS('DETALLE CRONOLÓGICO'!$K$2:$K$4919,'DETALLE CRONOLÓGICO'!$A$2:$A$4919,$A232)</f>
        <v/>
      </c>
      <c r="L232" s="6">
        <f>_xlfn.MAXIFS('DETALLE CRONOLÓGICO'!$K$2:$K$4919,'DETALLE CRONOLÓGICO'!$A$2:$A$4919,$A232)</f>
        <v/>
      </c>
      <c r="M232" s="6">
        <f>INDEX('DETALLE CRONOLÓGICO'!$K$2:$K$4919,MATCH($A232,'DETALLE CRONOLÓGICO'!$A$2:$A$4919,0)+$E232-1)</f>
        <v/>
      </c>
      <c r="N232" s="7">
        <f>IFERROR($M232/INDEX('DETALLE CRONOLÓGICO'!$K$2:$K$4919,MATCH($A232,'DETALLE CRONOLÓGICO'!$A$2:$A$4919,0))-1,"")</f>
        <v/>
      </c>
      <c r="O232" s="6">
        <f>IFERROR($I232*3,"")</f>
        <v/>
      </c>
      <c r="P232" s="6">
        <f>IFERROR($I232*3.5,"")</f>
        <v/>
      </c>
      <c r="Q232" s="6">
        <f>IFERROR($I232*4,"")</f>
        <v/>
      </c>
      <c r="R232" s="6" t="n">
        <v>5609</v>
      </c>
      <c r="S232" s="4" t="n">
        <v>2</v>
      </c>
      <c r="T232" s="1" t="inlineStr">
        <is>
          <t>active</t>
        </is>
      </c>
      <c r="U232" s="8" t="n"/>
      <c r="V232" s="1" t="inlineStr">
        <is>
          <t>SIN PRECIO</t>
        </is>
      </c>
    </row>
    <row r="233">
      <c r="A233" s="1" t="inlineStr">
        <is>
          <t>20002741079437</t>
        </is>
      </c>
      <c r="B233" s="1" t="inlineStr">
        <is>
          <t>ARETES LV PADLOCK SILVER CON ZIRCONIA</t>
        </is>
      </c>
      <c r="C233" s="1" t="inlineStr">
        <is>
          <t>Default Title</t>
        </is>
      </c>
      <c r="D233" s="1" t="inlineStr">
        <is>
          <t>HAIFENG</t>
        </is>
      </c>
      <c r="E233" s="4">
        <f>COUNTIF('DETALLE CRONOLÓGICO'!$A$2:$A$4919,$A233)</f>
        <v/>
      </c>
      <c r="F233" s="4">
        <f>SUMIFS('DETALLE CRONOLÓGICO'!$I$2:$I$4919,'DETALLE CRONOLÓGICO'!$A$2:$A$4919,$A233)</f>
        <v/>
      </c>
      <c r="G233" s="1">
        <f>INDEX('DETALLE CRONOLÓGICO'!$D$2:$D$4919,MATCH($A233,'DETALLE CRONOLÓGICO'!$A$2:$A$4919,0))</f>
        <v/>
      </c>
      <c r="H233" s="1">
        <f>INDEX('DETALLE CRONOLÓGICO'!$D$2:$D$4919,MATCH($A233,'DETALLE CRONOLÓGICO'!$A$2:$A$4919,0)+$E233-1)</f>
        <v/>
      </c>
      <c r="I233" s="5">
        <f>IFERROR(SUMIFS('DETALLE CRONOLÓGICO'!$L$2:$L$4919,'DETALLE CRONOLÓGICO'!$A$2:$A$4919,$A233)/$F233,"")</f>
        <v/>
      </c>
      <c r="J233" s="6">
        <f>IFERROR(SUMIFS('DETALLE CRONOLÓGICO'!$K$2:$K$4919,'DETALLE CRONOLÓGICO'!$A$2:$A$4919,$A233)/$E233,"")</f>
        <v/>
      </c>
      <c r="K233" s="6">
        <f>_xlfn.MINIFS('DETALLE CRONOLÓGICO'!$K$2:$K$4919,'DETALLE CRONOLÓGICO'!$A$2:$A$4919,$A233)</f>
        <v/>
      </c>
      <c r="L233" s="6">
        <f>_xlfn.MAXIFS('DETALLE CRONOLÓGICO'!$K$2:$K$4919,'DETALLE CRONOLÓGICO'!$A$2:$A$4919,$A233)</f>
        <v/>
      </c>
      <c r="M233" s="6">
        <f>INDEX('DETALLE CRONOLÓGICO'!$K$2:$K$4919,MATCH($A233,'DETALLE CRONOLÓGICO'!$A$2:$A$4919,0)+$E233-1)</f>
        <v/>
      </c>
      <c r="N233" s="7">
        <f>IFERROR($M233/INDEX('DETALLE CRONOLÓGICO'!$K$2:$K$4919,MATCH($A233,'DETALLE CRONOLÓGICO'!$A$2:$A$4919,0))-1,"")</f>
        <v/>
      </c>
      <c r="O233" s="6">
        <f>IFERROR($I233*3,"")</f>
        <v/>
      </c>
      <c r="P233" s="6">
        <f>IFERROR($I233*3.5,"")</f>
        <v/>
      </c>
      <c r="Q233" s="6">
        <f>IFERROR($I233*4,"")</f>
        <v/>
      </c>
      <c r="R233" s="6" t="n">
        <v>1236</v>
      </c>
      <c r="S233" s="4" t="n">
        <v>1</v>
      </c>
      <c r="T233" s="1" t="inlineStr">
        <is>
          <t>active</t>
        </is>
      </c>
      <c r="U233" s="8" t="n"/>
      <c r="V233" s="1" t="inlineStr">
        <is>
          <t>SIN PRECIO</t>
        </is>
      </c>
    </row>
    <row r="234">
      <c r="A234" s="1" t="inlineStr">
        <is>
          <t>21078752836941</t>
        </is>
      </c>
      <c r="B234" s="1" t="inlineStr">
        <is>
          <t>ARRACADAS C GOLD ZIRCONIAS</t>
        </is>
      </c>
      <c r="C234" s="1" t="inlineStr">
        <is>
          <t>Default Title</t>
        </is>
      </c>
      <c r="D234" s="1" t="inlineStr">
        <is>
          <t>HAIFENG</t>
        </is>
      </c>
      <c r="E234" s="4">
        <f>COUNTIF('DETALLE CRONOLÓGICO'!$A$2:$A$4919,$A234)</f>
        <v/>
      </c>
      <c r="F234" s="4">
        <f>SUMIFS('DETALLE CRONOLÓGICO'!$I$2:$I$4919,'DETALLE CRONOLÓGICO'!$A$2:$A$4919,$A234)</f>
        <v/>
      </c>
      <c r="G234" s="1">
        <f>INDEX('DETALLE CRONOLÓGICO'!$D$2:$D$4919,MATCH($A234,'DETALLE CRONOLÓGICO'!$A$2:$A$4919,0))</f>
        <v/>
      </c>
      <c r="H234" s="1">
        <f>INDEX('DETALLE CRONOLÓGICO'!$D$2:$D$4919,MATCH($A234,'DETALLE CRONOLÓGICO'!$A$2:$A$4919,0)+$E234-1)</f>
        <v/>
      </c>
      <c r="I234" s="5">
        <f>IFERROR(SUMIFS('DETALLE CRONOLÓGICO'!$L$2:$L$4919,'DETALLE CRONOLÓGICO'!$A$2:$A$4919,$A234)/$F234,"")</f>
        <v/>
      </c>
      <c r="J234" s="6">
        <f>IFERROR(SUMIFS('DETALLE CRONOLÓGICO'!$K$2:$K$4919,'DETALLE CRONOLÓGICO'!$A$2:$A$4919,$A234)/$E234,"")</f>
        <v/>
      </c>
      <c r="K234" s="6">
        <f>_xlfn.MINIFS('DETALLE CRONOLÓGICO'!$K$2:$K$4919,'DETALLE CRONOLÓGICO'!$A$2:$A$4919,$A234)</f>
        <v/>
      </c>
      <c r="L234" s="6">
        <f>_xlfn.MAXIFS('DETALLE CRONOLÓGICO'!$K$2:$K$4919,'DETALLE CRONOLÓGICO'!$A$2:$A$4919,$A234)</f>
        <v/>
      </c>
      <c r="M234" s="6">
        <f>INDEX('DETALLE CRONOLÓGICO'!$K$2:$K$4919,MATCH($A234,'DETALLE CRONOLÓGICO'!$A$2:$A$4919,0)+$E234-1)</f>
        <v/>
      </c>
      <c r="N234" s="7">
        <f>IFERROR($M234/INDEX('DETALLE CRONOLÓGICO'!$K$2:$K$4919,MATCH($A234,'DETALLE CRONOLÓGICO'!$A$2:$A$4919,0))-1,"")</f>
        <v/>
      </c>
      <c r="O234" s="6">
        <f>IFERROR($I234*3,"")</f>
        <v/>
      </c>
      <c r="P234" s="6">
        <f>IFERROR($I234*3.5,"")</f>
        <v/>
      </c>
      <c r="Q234" s="6">
        <f>IFERROR($I234*4,"")</f>
        <v/>
      </c>
      <c r="R234" s="6" t="n">
        <v>620</v>
      </c>
      <c r="S234" s="4" t="n">
        <v>6</v>
      </c>
      <c r="T234" s="1" t="inlineStr">
        <is>
          <t>active</t>
        </is>
      </c>
      <c r="U234" s="8" t="n"/>
      <c r="V234" s="1" t="inlineStr">
        <is>
          <t>SIN PRECIO</t>
        </is>
      </c>
    </row>
    <row r="235">
      <c r="A235" s="1" t="inlineStr">
        <is>
          <t>21120091008141</t>
        </is>
      </c>
      <c r="B235" s="1" t="n"/>
      <c r="C235" s="1" t="inlineStr">
        <is>
          <t>L</t>
        </is>
      </c>
      <c r="D235" s="1" t="inlineStr">
        <is>
          <t>ZOEY</t>
        </is>
      </c>
      <c r="E235" s="4">
        <f>COUNTIF('DETALLE CRONOLÓGICO'!$A$2:$A$4919,$A235)</f>
        <v/>
      </c>
      <c r="F235" s="4">
        <f>SUMIFS('DETALLE CRONOLÓGICO'!$I$2:$I$4919,'DETALLE CRONOLÓGICO'!$A$2:$A$4919,$A235)</f>
        <v/>
      </c>
      <c r="G235" s="1">
        <f>INDEX('DETALLE CRONOLÓGICO'!$D$2:$D$4919,MATCH($A235,'DETALLE CRONOLÓGICO'!$A$2:$A$4919,0))</f>
        <v/>
      </c>
      <c r="H235" s="1">
        <f>INDEX('DETALLE CRONOLÓGICO'!$D$2:$D$4919,MATCH($A235,'DETALLE CRONOLÓGICO'!$A$2:$A$4919,0)+$E235-1)</f>
        <v/>
      </c>
      <c r="I235" s="5">
        <f>IFERROR(SUMIFS('DETALLE CRONOLÓGICO'!$L$2:$L$4919,'DETALLE CRONOLÓGICO'!$A$2:$A$4919,$A235)/$F235,"")</f>
        <v/>
      </c>
      <c r="J235" s="6">
        <f>IFERROR(SUMIFS('DETALLE CRONOLÓGICO'!$K$2:$K$4919,'DETALLE CRONOLÓGICO'!$A$2:$A$4919,$A235)/$E235,"")</f>
        <v/>
      </c>
      <c r="K235" s="6">
        <f>_xlfn.MINIFS('DETALLE CRONOLÓGICO'!$K$2:$K$4919,'DETALLE CRONOLÓGICO'!$A$2:$A$4919,$A235)</f>
        <v/>
      </c>
      <c r="L235" s="6">
        <f>_xlfn.MAXIFS('DETALLE CRONOLÓGICO'!$K$2:$K$4919,'DETALLE CRONOLÓGICO'!$A$2:$A$4919,$A235)</f>
        <v/>
      </c>
      <c r="M235" s="6">
        <f>INDEX('DETALLE CRONOLÓGICO'!$K$2:$K$4919,MATCH($A235,'DETALLE CRONOLÓGICO'!$A$2:$A$4919,0)+$E235-1)</f>
        <v/>
      </c>
      <c r="N235" s="7">
        <f>IFERROR($M235/INDEX('DETALLE CRONOLÓGICO'!$K$2:$K$4919,MATCH($A235,'DETALLE CRONOLÓGICO'!$A$2:$A$4919,0))-1,"")</f>
        <v/>
      </c>
      <c r="O235" s="6">
        <f>IFERROR($I235*3,"")</f>
        <v/>
      </c>
      <c r="P235" s="6">
        <f>IFERROR($I235*3.5,"")</f>
        <v/>
      </c>
      <c r="Q235" s="6">
        <f>IFERROR($I235*4,"")</f>
        <v/>
      </c>
      <c r="R235" s="6" t="n">
        <v>2899</v>
      </c>
      <c r="S235" s="4" t="n">
        <v>0</v>
      </c>
      <c r="T235" s="1" t="inlineStr">
        <is>
          <t>active</t>
        </is>
      </c>
      <c r="U235" s="8" t="n"/>
      <c r="V235" s="1" t="inlineStr">
        <is>
          <t>SIN PRECIO</t>
        </is>
      </c>
    </row>
    <row r="236">
      <c r="A236" s="1" t="inlineStr">
        <is>
          <t>21206411051949</t>
        </is>
      </c>
      <c r="B236" s="1" t="inlineStr">
        <is>
          <t>ANILLO LOVE UNLIMITED ROSEGOLD</t>
        </is>
      </c>
      <c r="C236" s="1" t="inlineStr">
        <is>
          <t>6</t>
        </is>
      </c>
      <c r="D236" s="1" t="inlineStr">
        <is>
          <t>HAIFENG</t>
        </is>
      </c>
      <c r="E236" s="4">
        <f>COUNTIF('DETALLE CRONOLÓGICO'!$A$2:$A$4919,$A236)</f>
        <v/>
      </c>
      <c r="F236" s="4">
        <f>SUMIFS('DETALLE CRONOLÓGICO'!$I$2:$I$4919,'DETALLE CRONOLÓGICO'!$A$2:$A$4919,$A236)</f>
        <v/>
      </c>
      <c r="G236" s="1">
        <f>INDEX('DETALLE CRONOLÓGICO'!$D$2:$D$4919,MATCH($A236,'DETALLE CRONOLÓGICO'!$A$2:$A$4919,0))</f>
        <v/>
      </c>
      <c r="H236" s="1">
        <f>INDEX('DETALLE CRONOLÓGICO'!$D$2:$D$4919,MATCH($A236,'DETALLE CRONOLÓGICO'!$A$2:$A$4919,0)+$E236-1)</f>
        <v/>
      </c>
      <c r="I236" s="5">
        <f>IFERROR(SUMIFS('DETALLE CRONOLÓGICO'!$L$2:$L$4919,'DETALLE CRONOLÓGICO'!$A$2:$A$4919,$A236)/$F236,"")</f>
        <v/>
      </c>
      <c r="J236" s="6">
        <f>IFERROR(SUMIFS('DETALLE CRONOLÓGICO'!$K$2:$K$4919,'DETALLE CRONOLÓGICO'!$A$2:$A$4919,$A236)/$E236,"")</f>
        <v/>
      </c>
      <c r="K236" s="6">
        <f>_xlfn.MINIFS('DETALLE CRONOLÓGICO'!$K$2:$K$4919,'DETALLE CRONOLÓGICO'!$A$2:$A$4919,$A236)</f>
        <v/>
      </c>
      <c r="L236" s="6">
        <f>_xlfn.MAXIFS('DETALLE CRONOLÓGICO'!$K$2:$K$4919,'DETALLE CRONOLÓGICO'!$A$2:$A$4919,$A236)</f>
        <v/>
      </c>
      <c r="M236" s="6">
        <f>INDEX('DETALLE CRONOLÓGICO'!$K$2:$K$4919,MATCH($A236,'DETALLE CRONOLÓGICO'!$A$2:$A$4919,0)+$E236-1)</f>
        <v/>
      </c>
      <c r="N236" s="7">
        <f>IFERROR($M236/INDEX('DETALLE CRONOLÓGICO'!$K$2:$K$4919,MATCH($A236,'DETALLE CRONOLÓGICO'!$A$2:$A$4919,0))-1,"")</f>
        <v/>
      </c>
      <c r="O236" s="6">
        <f>IFERROR($I236*3,"")</f>
        <v/>
      </c>
      <c r="P236" s="6">
        <f>IFERROR($I236*3.5,"")</f>
        <v/>
      </c>
      <c r="Q236" s="6">
        <f>IFERROR($I236*4,"")</f>
        <v/>
      </c>
      <c r="R236" s="6" t="n">
        <v>550</v>
      </c>
      <c r="S236" s="4" t="n">
        <v>3</v>
      </c>
      <c r="T236" s="1" t="inlineStr">
        <is>
          <t>active</t>
        </is>
      </c>
      <c r="U236" s="8" t="n"/>
      <c r="V236" s="1" t="inlineStr">
        <is>
          <t>SIN PRECIO</t>
        </is>
      </c>
    </row>
    <row r="237">
      <c r="A237" s="1" t="inlineStr">
        <is>
          <t>21206411184717</t>
        </is>
      </c>
      <c r="B237" s="1" t="inlineStr">
        <is>
          <t>ANILLO LOVE UNLIMITED ROSEGOLD</t>
        </is>
      </c>
      <c r="C237" s="1" t="inlineStr">
        <is>
          <t>7</t>
        </is>
      </c>
      <c r="D237" s="1" t="inlineStr">
        <is>
          <t>HAIFENG</t>
        </is>
      </c>
      <c r="E237" s="4">
        <f>COUNTIF('DETALLE CRONOLÓGICO'!$A$2:$A$4919,$A237)</f>
        <v/>
      </c>
      <c r="F237" s="4">
        <f>SUMIFS('DETALLE CRONOLÓGICO'!$I$2:$I$4919,'DETALLE CRONOLÓGICO'!$A$2:$A$4919,$A237)</f>
        <v/>
      </c>
      <c r="G237" s="1">
        <f>INDEX('DETALLE CRONOLÓGICO'!$D$2:$D$4919,MATCH($A237,'DETALLE CRONOLÓGICO'!$A$2:$A$4919,0))</f>
        <v/>
      </c>
      <c r="H237" s="1">
        <f>INDEX('DETALLE CRONOLÓGICO'!$D$2:$D$4919,MATCH($A237,'DETALLE CRONOLÓGICO'!$A$2:$A$4919,0)+$E237-1)</f>
        <v/>
      </c>
      <c r="I237" s="5">
        <f>IFERROR(SUMIFS('DETALLE CRONOLÓGICO'!$L$2:$L$4919,'DETALLE CRONOLÓGICO'!$A$2:$A$4919,$A237)/$F237,"")</f>
        <v/>
      </c>
      <c r="J237" s="6">
        <f>IFERROR(SUMIFS('DETALLE CRONOLÓGICO'!$K$2:$K$4919,'DETALLE CRONOLÓGICO'!$A$2:$A$4919,$A237)/$E237,"")</f>
        <v/>
      </c>
      <c r="K237" s="6">
        <f>_xlfn.MINIFS('DETALLE CRONOLÓGICO'!$K$2:$K$4919,'DETALLE CRONOLÓGICO'!$A$2:$A$4919,$A237)</f>
        <v/>
      </c>
      <c r="L237" s="6">
        <f>_xlfn.MAXIFS('DETALLE CRONOLÓGICO'!$K$2:$K$4919,'DETALLE CRONOLÓGICO'!$A$2:$A$4919,$A237)</f>
        <v/>
      </c>
      <c r="M237" s="6">
        <f>INDEX('DETALLE CRONOLÓGICO'!$K$2:$K$4919,MATCH($A237,'DETALLE CRONOLÓGICO'!$A$2:$A$4919,0)+$E237-1)</f>
        <v/>
      </c>
      <c r="N237" s="7">
        <f>IFERROR($M237/INDEX('DETALLE CRONOLÓGICO'!$K$2:$K$4919,MATCH($A237,'DETALLE CRONOLÓGICO'!$A$2:$A$4919,0))-1,"")</f>
        <v/>
      </c>
      <c r="O237" s="6">
        <f>IFERROR($I237*3,"")</f>
        <v/>
      </c>
      <c r="P237" s="6">
        <f>IFERROR($I237*3.5,"")</f>
        <v/>
      </c>
      <c r="Q237" s="6">
        <f>IFERROR($I237*4,"")</f>
        <v/>
      </c>
      <c r="R237" s="6" t="n">
        <v>550</v>
      </c>
      <c r="S237" s="4" t="n">
        <v>3</v>
      </c>
      <c r="T237" s="1" t="inlineStr">
        <is>
          <t>active</t>
        </is>
      </c>
      <c r="U237" s="8" t="n"/>
      <c r="V237" s="1" t="inlineStr">
        <is>
          <t>SIN PRECIO</t>
        </is>
      </c>
    </row>
    <row r="238">
      <c r="A238" s="1" t="inlineStr">
        <is>
          <t>21206411294893</t>
        </is>
      </c>
      <c r="B238" s="1" t="inlineStr">
        <is>
          <t>ANILLO LOVE UNLIMITED GOLD</t>
        </is>
      </c>
      <c r="C238" s="1" t="inlineStr">
        <is>
          <t>6</t>
        </is>
      </c>
      <c r="D238" s="1" t="inlineStr">
        <is>
          <t>HAIFENG</t>
        </is>
      </c>
      <c r="E238" s="4">
        <f>COUNTIF('DETALLE CRONOLÓGICO'!$A$2:$A$4919,$A238)</f>
        <v/>
      </c>
      <c r="F238" s="4">
        <f>SUMIFS('DETALLE CRONOLÓGICO'!$I$2:$I$4919,'DETALLE CRONOLÓGICO'!$A$2:$A$4919,$A238)</f>
        <v/>
      </c>
      <c r="G238" s="1">
        <f>INDEX('DETALLE CRONOLÓGICO'!$D$2:$D$4919,MATCH($A238,'DETALLE CRONOLÓGICO'!$A$2:$A$4919,0))</f>
        <v/>
      </c>
      <c r="H238" s="1">
        <f>INDEX('DETALLE CRONOLÓGICO'!$D$2:$D$4919,MATCH($A238,'DETALLE CRONOLÓGICO'!$A$2:$A$4919,0)+$E238-1)</f>
        <v/>
      </c>
      <c r="I238" s="5">
        <f>IFERROR(SUMIFS('DETALLE CRONOLÓGICO'!$L$2:$L$4919,'DETALLE CRONOLÓGICO'!$A$2:$A$4919,$A238)/$F238,"")</f>
        <v/>
      </c>
      <c r="J238" s="6">
        <f>IFERROR(SUMIFS('DETALLE CRONOLÓGICO'!$K$2:$K$4919,'DETALLE CRONOLÓGICO'!$A$2:$A$4919,$A238)/$E238,"")</f>
        <v/>
      </c>
      <c r="K238" s="6">
        <f>_xlfn.MINIFS('DETALLE CRONOLÓGICO'!$K$2:$K$4919,'DETALLE CRONOLÓGICO'!$A$2:$A$4919,$A238)</f>
        <v/>
      </c>
      <c r="L238" s="6">
        <f>_xlfn.MAXIFS('DETALLE CRONOLÓGICO'!$K$2:$K$4919,'DETALLE CRONOLÓGICO'!$A$2:$A$4919,$A238)</f>
        <v/>
      </c>
      <c r="M238" s="6">
        <f>INDEX('DETALLE CRONOLÓGICO'!$K$2:$K$4919,MATCH($A238,'DETALLE CRONOLÓGICO'!$A$2:$A$4919,0)+$E238-1)</f>
        <v/>
      </c>
      <c r="N238" s="7">
        <f>IFERROR($M238/INDEX('DETALLE CRONOLÓGICO'!$K$2:$K$4919,MATCH($A238,'DETALLE CRONOLÓGICO'!$A$2:$A$4919,0))-1,"")</f>
        <v/>
      </c>
      <c r="O238" s="6">
        <f>IFERROR($I238*3,"")</f>
        <v/>
      </c>
      <c r="P238" s="6">
        <f>IFERROR($I238*3.5,"")</f>
        <v/>
      </c>
      <c r="Q238" s="6">
        <f>IFERROR($I238*4,"")</f>
        <v/>
      </c>
      <c r="R238" s="6" t="n">
        <v>550</v>
      </c>
      <c r="S238" s="4" t="n">
        <v>3</v>
      </c>
      <c r="T238" s="1" t="inlineStr">
        <is>
          <t>active</t>
        </is>
      </c>
      <c r="U238" s="8" t="n"/>
      <c r="V238" s="1" t="inlineStr">
        <is>
          <t>SIN PRECIO</t>
        </is>
      </c>
    </row>
    <row r="239">
      <c r="A239" s="1" t="inlineStr">
        <is>
          <t>21206411327661</t>
        </is>
      </c>
      <c r="B239" s="1" t="inlineStr">
        <is>
          <t>ANILLO LOVE UNLIMITED GOLD</t>
        </is>
      </c>
      <c r="C239" s="1" t="inlineStr">
        <is>
          <t>7</t>
        </is>
      </c>
      <c r="D239" s="1" t="inlineStr">
        <is>
          <t>HAIFENG</t>
        </is>
      </c>
      <c r="E239" s="4">
        <f>COUNTIF('DETALLE CRONOLÓGICO'!$A$2:$A$4919,$A239)</f>
        <v/>
      </c>
      <c r="F239" s="4">
        <f>SUMIFS('DETALLE CRONOLÓGICO'!$I$2:$I$4919,'DETALLE CRONOLÓGICO'!$A$2:$A$4919,$A239)</f>
        <v/>
      </c>
      <c r="G239" s="1">
        <f>INDEX('DETALLE CRONOLÓGICO'!$D$2:$D$4919,MATCH($A239,'DETALLE CRONOLÓGICO'!$A$2:$A$4919,0))</f>
        <v/>
      </c>
      <c r="H239" s="1">
        <f>INDEX('DETALLE CRONOLÓGICO'!$D$2:$D$4919,MATCH($A239,'DETALLE CRONOLÓGICO'!$A$2:$A$4919,0)+$E239-1)</f>
        <v/>
      </c>
      <c r="I239" s="5">
        <f>IFERROR(SUMIFS('DETALLE CRONOLÓGICO'!$L$2:$L$4919,'DETALLE CRONOLÓGICO'!$A$2:$A$4919,$A239)/$F239,"")</f>
        <v/>
      </c>
      <c r="J239" s="6">
        <f>IFERROR(SUMIFS('DETALLE CRONOLÓGICO'!$K$2:$K$4919,'DETALLE CRONOLÓGICO'!$A$2:$A$4919,$A239)/$E239,"")</f>
        <v/>
      </c>
      <c r="K239" s="6">
        <f>_xlfn.MINIFS('DETALLE CRONOLÓGICO'!$K$2:$K$4919,'DETALLE CRONOLÓGICO'!$A$2:$A$4919,$A239)</f>
        <v/>
      </c>
      <c r="L239" s="6">
        <f>_xlfn.MAXIFS('DETALLE CRONOLÓGICO'!$K$2:$K$4919,'DETALLE CRONOLÓGICO'!$A$2:$A$4919,$A239)</f>
        <v/>
      </c>
      <c r="M239" s="6">
        <f>INDEX('DETALLE CRONOLÓGICO'!$K$2:$K$4919,MATCH($A239,'DETALLE CRONOLÓGICO'!$A$2:$A$4919,0)+$E239-1)</f>
        <v/>
      </c>
      <c r="N239" s="7">
        <f>IFERROR($M239/INDEX('DETALLE CRONOLÓGICO'!$K$2:$K$4919,MATCH($A239,'DETALLE CRONOLÓGICO'!$A$2:$A$4919,0))-1,"")</f>
        <v/>
      </c>
      <c r="O239" s="6">
        <f>IFERROR($I239*3,"")</f>
        <v/>
      </c>
      <c r="P239" s="6">
        <f>IFERROR($I239*3.5,"")</f>
        <v/>
      </c>
      <c r="Q239" s="6">
        <f>IFERROR($I239*4,"")</f>
        <v/>
      </c>
      <c r="R239" s="6" t="n">
        <v>550</v>
      </c>
      <c r="S239" s="4" t="n">
        <v>5</v>
      </c>
      <c r="T239" s="1" t="inlineStr">
        <is>
          <t>active</t>
        </is>
      </c>
      <c r="U239" s="8" t="n"/>
      <c r="V239" s="1" t="inlineStr">
        <is>
          <t>SIN PRECIO</t>
        </is>
      </c>
    </row>
    <row r="240">
      <c r="A240" s="1" t="inlineStr">
        <is>
          <t>21206411460429</t>
        </is>
      </c>
      <c r="B240" s="1" t="inlineStr">
        <is>
          <t>ANILLO LOVE UNLIMITED GOLD</t>
        </is>
      </c>
      <c r="C240" s="1" t="inlineStr">
        <is>
          <t>8</t>
        </is>
      </c>
      <c r="D240" s="1" t="inlineStr">
        <is>
          <t>HAIFENG</t>
        </is>
      </c>
      <c r="E240" s="4">
        <f>COUNTIF('DETALLE CRONOLÓGICO'!$A$2:$A$4919,$A240)</f>
        <v/>
      </c>
      <c r="F240" s="4">
        <f>SUMIFS('DETALLE CRONOLÓGICO'!$I$2:$I$4919,'DETALLE CRONOLÓGICO'!$A$2:$A$4919,$A240)</f>
        <v/>
      </c>
      <c r="G240" s="1">
        <f>INDEX('DETALLE CRONOLÓGICO'!$D$2:$D$4919,MATCH($A240,'DETALLE CRONOLÓGICO'!$A$2:$A$4919,0))</f>
        <v/>
      </c>
      <c r="H240" s="1">
        <f>INDEX('DETALLE CRONOLÓGICO'!$D$2:$D$4919,MATCH($A240,'DETALLE CRONOLÓGICO'!$A$2:$A$4919,0)+$E240-1)</f>
        <v/>
      </c>
      <c r="I240" s="5">
        <f>IFERROR(SUMIFS('DETALLE CRONOLÓGICO'!$L$2:$L$4919,'DETALLE CRONOLÓGICO'!$A$2:$A$4919,$A240)/$F240,"")</f>
        <v/>
      </c>
      <c r="J240" s="6">
        <f>IFERROR(SUMIFS('DETALLE CRONOLÓGICO'!$K$2:$K$4919,'DETALLE CRONOLÓGICO'!$A$2:$A$4919,$A240)/$E240,"")</f>
        <v/>
      </c>
      <c r="K240" s="6">
        <f>_xlfn.MINIFS('DETALLE CRONOLÓGICO'!$K$2:$K$4919,'DETALLE CRONOLÓGICO'!$A$2:$A$4919,$A240)</f>
        <v/>
      </c>
      <c r="L240" s="6">
        <f>_xlfn.MAXIFS('DETALLE CRONOLÓGICO'!$K$2:$K$4919,'DETALLE CRONOLÓGICO'!$A$2:$A$4919,$A240)</f>
        <v/>
      </c>
      <c r="M240" s="6">
        <f>INDEX('DETALLE CRONOLÓGICO'!$K$2:$K$4919,MATCH($A240,'DETALLE CRONOLÓGICO'!$A$2:$A$4919,0)+$E240-1)</f>
        <v/>
      </c>
      <c r="N240" s="7">
        <f>IFERROR($M240/INDEX('DETALLE CRONOLÓGICO'!$K$2:$K$4919,MATCH($A240,'DETALLE CRONOLÓGICO'!$A$2:$A$4919,0))-1,"")</f>
        <v/>
      </c>
      <c r="O240" s="6">
        <f>IFERROR($I240*3,"")</f>
        <v/>
      </c>
      <c r="P240" s="6">
        <f>IFERROR($I240*3.5,"")</f>
        <v/>
      </c>
      <c r="Q240" s="6">
        <f>IFERROR($I240*4,"")</f>
        <v/>
      </c>
      <c r="R240" s="6" t="n">
        <v>550</v>
      </c>
      <c r="S240" s="4" t="n">
        <v>5</v>
      </c>
      <c r="T240" s="1" t="inlineStr">
        <is>
          <t>active</t>
        </is>
      </c>
      <c r="U240" s="8" t="n"/>
      <c r="V240" s="1" t="inlineStr">
        <is>
          <t>SIN PRECIO</t>
        </is>
      </c>
    </row>
    <row r="241">
      <c r="A241" s="1" t="inlineStr">
        <is>
          <t>21206411515789</t>
        </is>
      </c>
      <c r="B241" s="1" t="inlineStr">
        <is>
          <t>ANILLO LOVE UNLIMITED SILVER</t>
        </is>
      </c>
      <c r="C241" s="1" t="inlineStr">
        <is>
          <t>6</t>
        </is>
      </c>
      <c r="D241" s="1" t="inlineStr">
        <is>
          <t>HAIFENG</t>
        </is>
      </c>
      <c r="E241" s="4">
        <f>COUNTIF('DETALLE CRONOLÓGICO'!$A$2:$A$4919,$A241)</f>
        <v/>
      </c>
      <c r="F241" s="4">
        <f>SUMIFS('DETALLE CRONOLÓGICO'!$I$2:$I$4919,'DETALLE CRONOLÓGICO'!$A$2:$A$4919,$A241)</f>
        <v/>
      </c>
      <c r="G241" s="1">
        <f>INDEX('DETALLE CRONOLÓGICO'!$D$2:$D$4919,MATCH($A241,'DETALLE CRONOLÓGICO'!$A$2:$A$4919,0))</f>
        <v/>
      </c>
      <c r="H241" s="1">
        <f>INDEX('DETALLE CRONOLÓGICO'!$D$2:$D$4919,MATCH($A241,'DETALLE CRONOLÓGICO'!$A$2:$A$4919,0)+$E241-1)</f>
        <v/>
      </c>
      <c r="I241" s="5">
        <f>IFERROR(SUMIFS('DETALLE CRONOLÓGICO'!$L$2:$L$4919,'DETALLE CRONOLÓGICO'!$A$2:$A$4919,$A241)/$F241,"")</f>
        <v/>
      </c>
      <c r="J241" s="6">
        <f>IFERROR(SUMIFS('DETALLE CRONOLÓGICO'!$K$2:$K$4919,'DETALLE CRONOLÓGICO'!$A$2:$A$4919,$A241)/$E241,"")</f>
        <v/>
      </c>
      <c r="K241" s="6">
        <f>_xlfn.MINIFS('DETALLE CRONOLÓGICO'!$K$2:$K$4919,'DETALLE CRONOLÓGICO'!$A$2:$A$4919,$A241)</f>
        <v/>
      </c>
      <c r="L241" s="6">
        <f>_xlfn.MAXIFS('DETALLE CRONOLÓGICO'!$K$2:$K$4919,'DETALLE CRONOLÓGICO'!$A$2:$A$4919,$A241)</f>
        <v/>
      </c>
      <c r="M241" s="6">
        <f>INDEX('DETALLE CRONOLÓGICO'!$K$2:$K$4919,MATCH($A241,'DETALLE CRONOLÓGICO'!$A$2:$A$4919,0)+$E241-1)</f>
        <v/>
      </c>
      <c r="N241" s="7">
        <f>IFERROR($M241/INDEX('DETALLE CRONOLÓGICO'!$K$2:$K$4919,MATCH($A241,'DETALLE CRONOLÓGICO'!$A$2:$A$4919,0))-1,"")</f>
        <v/>
      </c>
      <c r="O241" s="6">
        <f>IFERROR($I241*3,"")</f>
        <v/>
      </c>
      <c r="P241" s="6">
        <f>IFERROR($I241*3.5,"")</f>
        <v/>
      </c>
      <c r="Q241" s="6">
        <f>IFERROR($I241*4,"")</f>
        <v/>
      </c>
      <c r="R241" s="6" t="n">
        <v>550</v>
      </c>
      <c r="S241" s="4" t="n">
        <v>2</v>
      </c>
      <c r="T241" s="1" t="inlineStr">
        <is>
          <t>active</t>
        </is>
      </c>
      <c r="U241" s="8" t="n"/>
      <c r="V241" s="1" t="inlineStr">
        <is>
          <t>SIN PRECIO</t>
        </is>
      </c>
    </row>
    <row r="242">
      <c r="A242" s="1" t="inlineStr">
        <is>
          <t>21206421648557</t>
        </is>
      </c>
      <c r="B242" s="1" t="inlineStr">
        <is>
          <t>ANILLO LOVE UNLIMITED SILVER</t>
        </is>
      </c>
      <c r="C242" s="1" t="inlineStr">
        <is>
          <t>7</t>
        </is>
      </c>
      <c r="D242" s="1" t="inlineStr">
        <is>
          <t>HAIFENG</t>
        </is>
      </c>
      <c r="E242" s="4">
        <f>COUNTIF('DETALLE CRONOLÓGICO'!$A$2:$A$4919,$A242)</f>
        <v/>
      </c>
      <c r="F242" s="4">
        <f>SUMIFS('DETALLE CRONOLÓGICO'!$I$2:$I$4919,'DETALLE CRONOLÓGICO'!$A$2:$A$4919,$A242)</f>
        <v/>
      </c>
      <c r="G242" s="1">
        <f>INDEX('DETALLE CRONOLÓGICO'!$D$2:$D$4919,MATCH($A242,'DETALLE CRONOLÓGICO'!$A$2:$A$4919,0))</f>
        <v/>
      </c>
      <c r="H242" s="1">
        <f>INDEX('DETALLE CRONOLÓGICO'!$D$2:$D$4919,MATCH($A242,'DETALLE CRONOLÓGICO'!$A$2:$A$4919,0)+$E242-1)</f>
        <v/>
      </c>
      <c r="I242" s="5">
        <f>IFERROR(SUMIFS('DETALLE CRONOLÓGICO'!$L$2:$L$4919,'DETALLE CRONOLÓGICO'!$A$2:$A$4919,$A242)/$F242,"")</f>
        <v/>
      </c>
      <c r="J242" s="6">
        <f>IFERROR(SUMIFS('DETALLE CRONOLÓGICO'!$K$2:$K$4919,'DETALLE CRONOLÓGICO'!$A$2:$A$4919,$A242)/$E242,"")</f>
        <v/>
      </c>
      <c r="K242" s="6">
        <f>_xlfn.MINIFS('DETALLE CRONOLÓGICO'!$K$2:$K$4919,'DETALLE CRONOLÓGICO'!$A$2:$A$4919,$A242)</f>
        <v/>
      </c>
      <c r="L242" s="6">
        <f>_xlfn.MAXIFS('DETALLE CRONOLÓGICO'!$K$2:$K$4919,'DETALLE CRONOLÓGICO'!$A$2:$A$4919,$A242)</f>
        <v/>
      </c>
      <c r="M242" s="6">
        <f>INDEX('DETALLE CRONOLÓGICO'!$K$2:$K$4919,MATCH($A242,'DETALLE CRONOLÓGICO'!$A$2:$A$4919,0)+$E242-1)</f>
        <v/>
      </c>
      <c r="N242" s="7">
        <f>IFERROR($M242/INDEX('DETALLE CRONOLÓGICO'!$K$2:$K$4919,MATCH($A242,'DETALLE CRONOLÓGICO'!$A$2:$A$4919,0))-1,"")</f>
        <v/>
      </c>
      <c r="O242" s="6">
        <f>IFERROR($I242*3,"")</f>
        <v/>
      </c>
      <c r="P242" s="6">
        <f>IFERROR($I242*3.5,"")</f>
        <v/>
      </c>
      <c r="Q242" s="6">
        <f>IFERROR($I242*4,"")</f>
        <v/>
      </c>
      <c r="R242" s="6" t="n">
        <v>357</v>
      </c>
      <c r="S242" s="4" t="n">
        <v>4</v>
      </c>
      <c r="T242" s="1" t="inlineStr">
        <is>
          <t>active</t>
        </is>
      </c>
      <c r="U242" s="8" t="n"/>
      <c r="V242" s="1" t="inlineStr">
        <is>
          <t>SIN PRECIO</t>
        </is>
      </c>
    </row>
    <row r="243">
      <c r="A243" s="1" t="inlineStr">
        <is>
          <t>21206421781325</t>
        </is>
      </c>
      <c r="B243" s="1" t="inlineStr">
        <is>
          <t>ANILLO LOVE UNLIMITED SILVER</t>
        </is>
      </c>
      <c r="C243" s="1" t="inlineStr">
        <is>
          <t>8</t>
        </is>
      </c>
      <c r="D243" s="1" t="inlineStr">
        <is>
          <t>HAIFENG</t>
        </is>
      </c>
      <c r="E243" s="4">
        <f>COUNTIF('DETALLE CRONOLÓGICO'!$A$2:$A$4919,$A243)</f>
        <v/>
      </c>
      <c r="F243" s="4">
        <f>SUMIFS('DETALLE CRONOLÓGICO'!$I$2:$I$4919,'DETALLE CRONOLÓGICO'!$A$2:$A$4919,$A243)</f>
        <v/>
      </c>
      <c r="G243" s="1">
        <f>INDEX('DETALLE CRONOLÓGICO'!$D$2:$D$4919,MATCH($A243,'DETALLE CRONOLÓGICO'!$A$2:$A$4919,0))</f>
        <v/>
      </c>
      <c r="H243" s="1">
        <f>INDEX('DETALLE CRONOLÓGICO'!$D$2:$D$4919,MATCH($A243,'DETALLE CRONOLÓGICO'!$A$2:$A$4919,0)+$E243-1)</f>
        <v/>
      </c>
      <c r="I243" s="5">
        <f>IFERROR(SUMIFS('DETALLE CRONOLÓGICO'!$L$2:$L$4919,'DETALLE CRONOLÓGICO'!$A$2:$A$4919,$A243)/$F243,"")</f>
        <v/>
      </c>
      <c r="J243" s="6">
        <f>IFERROR(SUMIFS('DETALLE CRONOLÓGICO'!$K$2:$K$4919,'DETALLE CRONOLÓGICO'!$A$2:$A$4919,$A243)/$E243,"")</f>
        <v/>
      </c>
      <c r="K243" s="6">
        <f>_xlfn.MINIFS('DETALLE CRONOLÓGICO'!$K$2:$K$4919,'DETALLE CRONOLÓGICO'!$A$2:$A$4919,$A243)</f>
        <v/>
      </c>
      <c r="L243" s="6">
        <f>_xlfn.MAXIFS('DETALLE CRONOLÓGICO'!$K$2:$K$4919,'DETALLE CRONOLÓGICO'!$A$2:$A$4919,$A243)</f>
        <v/>
      </c>
      <c r="M243" s="6">
        <f>INDEX('DETALLE CRONOLÓGICO'!$K$2:$K$4919,MATCH($A243,'DETALLE CRONOLÓGICO'!$A$2:$A$4919,0)+$E243-1)</f>
        <v/>
      </c>
      <c r="N243" s="7">
        <f>IFERROR($M243/INDEX('DETALLE CRONOLÓGICO'!$K$2:$K$4919,MATCH($A243,'DETALLE CRONOLÓGICO'!$A$2:$A$4919,0))-1,"")</f>
        <v/>
      </c>
      <c r="O243" s="6">
        <f>IFERROR($I243*3,"")</f>
        <v/>
      </c>
      <c r="P243" s="6">
        <f>IFERROR($I243*3.5,"")</f>
        <v/>
      </c>
      <c r="Q243" s="6">
        <f>IFERROR($I243*4,"")</f>
        <v/>
      </c>
      <c r="R243" s="6" t="n">
        <v>550</v>
      </c>
      <c r="S243" s="4" t="n">
        <v>4</v>
      </c>
      <c r="T243" s="1" t="inlineStr">
        <is>
          <t>active</t>
        </is>
      </c>
      <c r="U243" s="8" t="n"/>
      <c r="V243" s="1" t="inlineStr">
        <is>
          <t>SIN PRECIO</t>
        </is>
      </c>
    </row>
    <row r="244">
      <c r="A244" s="1" t="inlineStr">
        <is>
          <t>21605761269037</t>
        </is>
      </c>
      <c r="B244" s="1" t="inlineStr">
        <is>
          <t>ANILLO BACK SOON T ROSE GOLD</t>
        </is>
      </c>
      <c r="C244" s="1" t="inlineStr">
        <is>
          <t>5</t>
        </is>
      </c>
      <c r="D244" s="1" t="inlineStr">
        <is>
          <t>HAIFENG</t>
        </is>
      </c>
      <c r="E244" s="4">
        <f>COUNTIF('DETALLE CRONOLÓGICO'!$A$2:$A$4919,$A244)</f>
        <v/>
      </c>
      <c r="F244" s="4">
        <f>SUMIFS('DETALLE CRONOLÓGICO'!$I$2:$I$4919,'DETALLE CRONOLÓGICO'!$A$2:$A$4919,$A244)</f>
        <v/>
      </c>
      <c r="G244" s="1">
        <f>INDEX('DETALLE CRONOLÓGICO'!$D$2:$D$4919,MATCH($A244,'DETALLE CRONOLÓGICO'!$A$2:$A$4919,0))</f>
        <v/>
      </c>
      <c r="H244" s="1">
        <f>INDEX('DETALLE CRONOLÓGICO'!$D$2:$D$4919,MATCH($A244,'DETALLE CRONOLÓGICO'!$A$2:$A$4919,0)+$E244-1)</f>
        <v/>
      </c>
      <c r="I244" s="5">
        <f>IFERROR(SUMIFS('DETALLE CRONOLÓGICO'!$L$2:$L$4919,'DETALLE CRONOLÓGICO'!$A$2:$A$4919,$A244)/$F244,"")</f>
        <v/>
      </c>
      <c r="J244" s="6">
        <f>IFERROR(SUMIFS('DETALLE CRONOLÓGICO'!$K$2:$K$4919,'DETALLE CRONOLÓGICO'!$A$2:$A$4919,$A244)/$E244,"")</f>
        <v/>
      </c>
      <c r="K244" s="6">
        <f>_xlfn.MINIFS('DETALLE CRONOLÓGICO'!$K$2:$K$4919,'DETALLE CRONOLÓGICO'!$A$2:$A$4919,$A244)</f>
        <v/>
      </c>
      <c r="L244" s="6">
        <f>_xlfn.MAXIFS('DETALLE CRONOLÓGICO'!$K$2:$K$4919,'DETALLE CRONOLÓGICO'!$A$2:$A$4919,$A244)</f>
        <v/>
      </c>
      <c r="M244" s="6">
        <f>INDEX('DETALLE CRONOLÓGICO'!$K$2:$K$4919,MATCH($A244,'DETALLE CRONOLÓGICO'!$A$2:$A$4919,0)+$E244-1)</f>
        <v/>
      </c>
      <c r="N244" s="7">
        <f>IFERROR($M244/INDEX('DETALLE CRONOLÓGICO'!$K$2:$K$4919,MATCH($A244,'DETALLE CRONOLÓGICO'!$A$2:$A$4919,0))-1,"")</f>
        <v/>
      </c>
      <c r="O244" s="6">
        <f>IFERROR($I244*3,"")</f>
        <v/>
      </c>
      <c r="P244" s="6">
        <f>IFERROR($I244*3.5,"")</f>
        <v/>
      </c>
      <c r="Q244" s="6">
        <f>IFERROR($I244*4,"")</f>
        <v/>
      </c>
      <c r="R244" s="6" t="n">
        <v>400</v>
      </c>
      <c r="S244" s="4" t="n">
        <v>2</v>
      </c>
      <c r="T244" s="1" t="inlineStr">
        <is>
          <t>active</t>
        </is>
      </c>
      <c r="U244" s="8" t="n"/>
      <c r="V244" s="1" t="inlineStr">
        <is>
          <t>SIN PRECIO</t>
        </is>
      </c>
    </row>
    <row r="245">
      <c r="A245" s="1" t="inlineStr">
        <is>
          <t>21605771301805</t>
        </is>
      </c>
      <c r="B245" s="1" t="inlineStr">
        <is>
          <t>ANILLO BACK SOON T ROSE GOLD</t>
        </is>
      </c>
      <c r="C245" s="1" t="inlineStr">
        <is>
          <t>6</t>
        </is>
      </c>
      <c r="D245" s="1" t="inlineStr">
        <is>
          <t>HAIFENG</t>
        </is>
      </c>
      <c r="E245" s="4">
        <f>COUNTIF('DETALLE CRONOLÓGICO'!$A$2:$A$4919,$A245)</f>
        <v/>
      </c>
      <c r="F245" s="4">
        <f>SUMIFS('DETALLE CRONOLÓGICO'!$I$2:$I$4919,'DETALLE CRONOLÓGICO'!$A$2:$A$4919,$A245)</f>
        <v/>
      </c>
      <c r="G245" s="1">
        <f>INDEX('DETALLE CRONOLÓGICO'!$D$2:$D$4919,MATCH($A245,'DETALLE CRONOLÓGICO'!$A$2:$A$4919,0))</f>
        <v/>
      </c>
      <c r="H245" s="1">
        <f>INDEX('DETALLE CRONOLÓGICO'!$D$2:$D$4919,MATCH($A245,'DETALLE CRONOLÓGICO'!$A$2:$A$4919,0)+$E245-1)</f>
        <v/>
      </c>
      <c r="I245" s="5">
        <f>IFERROR(SUMIFS('DETALLE CRONOLÓGICO'!$L$2:$L$4919,'DETALLE CRONOLÓGICO'!$A$2:$A$4919,$A245)/$F245,"")</f>
        <v/>
      </c>
      <c r="J245" s="6">
        <f>IFERROR(SUMIFS('DETALLE CRONOLÓGICO'!$K$2:$K$4919,'DETALLE CRONOLÓGICO'!$A$2:$A$4919,$A245)/$E245,"")</f>
        <v/>
      </c>
      <c r="K245" s="6">
        <f>_xlfn.MINIFS('DETALLE CRONOLÓGICO'!$K$2:$K$4919,'DETALLE CRONOLÓGICO'!$A$2:$A$4919,$A245)</f>
        <v/>
      </c>
      <c r="L245" s="6">
        <f>_xlfn.MAXIFS('DETALLE CRONOLÓGICO'!$K$2:$K$4919,'DETALLE CRONOLÓGICO'!$A$2:$A$4919,$A245)</f>
        <v/>
      </c>
      <c r="M245" s="6">
        <f>INDEX('DETALLE CRONOLÓGICO'!$K$2:$K$4919,MATCH($A245,'DETALLE CRONOLÓGICO'!$A$2:$A$4919,0)+$E245-1)</f>
        <v/>
      </c>
      <c r="N245" s="7">
        <f>IFERROR($M245/INDEX('DETALLE CRONOLÓGICO'!$K$2:$K$4919,MATCH($A245,'DETALLE CRONOLÓGICO'!$A$2:$A$4919,0))-1,"")</f>
        <v/>
      </c>
      <c r="O245" s="6">
        <f>IFERROR($I245*3,"")</f>
        <v/>
      </c>
      <c r="P245" s="6">
        <f>IFERROR($I245*3.5,"")</f>
        <v/>
      </c>
      <c r="Q245" s="6">
        <f>IFERROR($I245*4,"")</f>
        <v/>
      </c>
      <c r="R245" s="6" t="n">
        <v>400</v>
      </c>
      <c r="S245" s="4" t="n">
        <v>2</v>
      </c>
      <c r="T245" s="1" t="inlineStr">
        <is>
          <t>active</t>
        </is>
      </c>
      <c r="U245" s="8" t="n"/>
      <c r="V245" s="1" t="inlineStr">
        <is>
          <t>SIN PRECIO</t>
        </is>
      </c>
    </row>
    <row r="246">
      <c r="A246" s="1" t="inlineStr">
        <is>
          <t>21605771334573</t>
        </is>
      </c>
      <c r="B246" s="1" t="inlineStr">
        <is>
          <t>ANILLO BACK SOON T ROSE GOLD</t>
        </is>
      </c>
      <c r="C246" s="1" t="inlineStr">
        <is>
          <t>7</t>
        </is>
      </c>
      <c r="D246" s="1" t="inlineStr">
        <is>
          <t>HAIFENG</t>
        </is>
      </c>
      <c r="E246" s="4">
        <f>COUNTIF('DETALLE CRONOLÓGICO'!$A$2:$A$4919,$A246)</f>
        <v/>
      </c>
      <c r="F246" s="4">
        <f>SUMIFS('DETALLE CRONOLÓGICO'!$I$2:$I$4919,'DETALLE CRONOLÓGICO'!$A$2:$A$4919,$A246)</f>
        <v/>
      </c>
      <c r="G246" s="1">
        <f>INDEX('DETALLE CRONOLÓGICO'!$D$2:$D$4919,MATCH($A246,'DETALLE CRONOLÓGICO'!$A$2:$A$4919,0))</f>
        <v/>
      </c>
      <c r="H246" s="1">
        <f>INDEX('DETALLE CRONOLÓGICO'!$D$2:$D$4919,MATCH($A246,'DETALLE CRONOLÓGICO'!$A$2:$A$4919,0)+$E246-1)</f>
        <v/>
      </c>
      <c r="I246" s="5">
        <f>IFERROR(SUMIFS('DETALLE CRONOLÓGICO'!$L$2:$L$4919,'DETALLE CRONOLÓGICO'!$A$2:$A$4919,$A246)/$F246,"")</f>
        <v/>
      </c>
      <c r="J246" s="6">
        <f>IFERROR(SUMIFS('DETALLE CRONOLÓGICO'!$K$2:$K$4919,'DETALLE CRONOLÓGICO'!$A$2:$A$4919,$A246)/$E246,"")</f>
        <v/>
      </c>
      <c r="K246" s="6">
        <f>_xlfn.MINIFS('DETALLE CRONOLÓGICO'!$K$2:$K$4919,'DETALLE CRONOLÓGICO'!$A$2:$A$4919,$A246)</f>
        <v/>
      </c>
      <c r="L246" s="6">
        <f>_xlfn.MAXIFS('DETALLE CRONOLÓGICO'!$K$2:$K$4919,'DETALLE CRONOLÓGICO'!$A$2:$A$4919,$A246)</f>
        <v/>
      </c>
      <c r="M246" s="6">
        <f>INDEX('DETALLE CRONOLÓGICO'!$K$2:$K$4919,MATCH($A246,'DETALLE CRONOLÓGICO'!$A$2:$A$4919,0)+$E246-1)</f>
        <v/>
      </c>
      <c r="N246" s="7">
        <f>IFERROR($M246/INDEX('DETALLE CRONOLÓGICO'!$K$2:$K$4919,MATCH($A246,'DETALLE CRONOLÓGICO'!$A$2:$A$4919,0))-1,"")</f>
        <v/>
      </c>
      <c r="O246" s="6">
        <f>IFERROR($I246*3,"")</f>
        <v/>
      </c>
      <c r="P246" s="6">
        <f>IFERROR($I246*3.5,"")</f>
        <v/>
      </c>
      <c r="Q246" s="6">
        <f>IFERROR($I246*4,"")</f>
        <v/>
      </c>
      <c r="R246" s="6" t="n">
        <v>400</v>
      </c>
      <c r="S246" s="4" t="n">
        <v>6</v>
      </c>
      <c r="T246" s="1" t="inlineStr">
        <is>
          <t>active</t>
        </is>
      </c>
      <c r="U246" s="8" t="n"/>
      <c r="V246" s="1" t="inlineStr">
        <is>
          <t>SIN PRECIO</t>
        </is>
      </c>
    </row>
    <row r="247">
      <c r="A247" s="1" t="inlineStr">
        <is>
          <t>21605774283693</t>
        </is>
      </c>
      <c r="B247" s="1" t="inlineStr">
        <is>
          <t>ANILLO BACK SOON T SILVER</t>
        </is>
      </c>
      <c r="C247" s="1" t="inlineStr">
        <is>
          <t>6</t>
        </is>
      </c>
      <c r="D247" s="1" t="inlineStr">
        <is>
          <t>HAIFENG</t>
        </is>
      </c>
      <c r="E247" s="4">
        <f>COUNTIF('DETALLE CRONOLÓGICO'!$A$2:$A$4919,$A247)</f>
        <v/>
      </c>
      <c r="F247" s="4">
        <f>SUMIFS('DETALLE CRONOLÓGICO'!$I$2:$I$4919,'DETALLE CRONOLÓGICO'!$A$2:$A$4919,$A247)</f>
        <v/>
      </c>
      <c r="G247" s="1">
        <f>INDEX('DETALLE CRONOLÓGICO'!$D$2:$D$4919,MATCH($A247,'DETALLE CRONOLÓGICO'!$A$2:$A$4919,0))</f>
        <v/>
      </c>
      <c r="H247" s="1">
        <f>INDEX('DETALLE CRONOLÓGICO'!$D$2:$D$4919,MATCH($A247,'DETALLE CRONOLÓGICO'!$A$2:$A$4919,0)+$E247-1)</f>
        <v/>
      </c>
      <c r="I247" s="5">
        <f>IFERROR(SUMIFS('DETALLE CRONOLÓGICO'!$L$2:$L$4919,'DETALLE CRONOLÓGICO'!$A$2:$A$4919,$A247)/$F247,"")</f>
        <v/>
      </c>
      <c r="J247" s="6">
        <f>IFERROR(SUMIFS('DETALLE CRONOLÓGICO'!$K$2:$K$4919,'DETALLE CRONOLÓGICO'!$A$2:$A$4919,$A247)/$E247,"")</f>
        <v/>
      </c>
      <c r="K247" s="6">
        <f>_xlfn.MINIFS('DETALLE CRONOLÓGICO'!$K$2:$K$4919,'DETALLE CRONOLÓGICO'!$A$2:$A$4919,$A247)</f>
        <v/>
      </c>
      <c r="L247" s="6">
        <f>_xlfn.MAXIFS('DETALLE CRONOLÓGICO'!$K$2:$K$4919,'DETALLE CRONOLÓGICO'!$A$2:$A$4919,$A247)</f>
        <v/>
      </c>
      <c r="M247" s="6">
        <f>INDEX('DETALLE CRONOLÓGICO'!$K$2:$K$4919,MATCH($A247,'DETALLE CRONOLÓGICO'!$A$2:$A$4919,0)+$E247-1)</f>
        <v/>
      </c>
      <c r="N247" s="7">
        <f>IFERROR($M247/INDEX('DETALLE CRONOLÓGICO'!$K$2:$K$4919,MATCH($A247,'DETALLE CRONOLÓGICO'!$A$2:$A$4919,0))-1,"")</f>
        <v/>
      </c>
      <c r="O247" s="6">
        <f>IFERROR($I247*3,"")</f>
        <v/>
      </c>
      <c r="P247" s="6">
        <f>IFERROR($I247*3.5,"")</f>
        <v/>
      </c>
      <c r="Q247" s="6">
        <f>IFERROR($I247*4,"")</f>
        <v/>
      </c>
      <c r="R247" s="6" t="n">
        <v>450</v>
      </c>
      <c r="S247" s="4" t="n">
        <v>5</v>
      </c>
      <c r="T247" s="1" t="inlineStr">
        <is>
          <t>active</t>
        </is>
      </c>
      <c r="U247" s="8" t="n"/>
      <c r="V247" s="1" t="inlineStr">
        <is>
          <t>SIN PRECIO</t>
        </is>
      </c>
    </row>
    <row r="248">
      <c r="A248" s="1" t="inlineStr">
        <is>
          <t>21605774316461</t>
        </is>
      </c>
      <c r="B248" s="1" t="inlineStr">
        <is>
          <t>ANILLO BACK SOON T SILVER</t>
        </is>
      </c>
      <c r="C248" s="1" t="inlineStr">
        <is>
          <t>7</t>
        </is>
      </c>
      <c r="D248" s="1" t="inlineStr">
        <is>
          <t>HAIFENG</t>
        </is>
      </c>
      <c r="E248" s="4">
        <f>COUNTIF('DETALLE CRONOLÓGICO'!$A$2:$A$4919,$A248)</f>
        <v/>
      </c>
      <c r="F248" s="4">
        <f>SUMIFS('DETALLE CRONOLÓGICO'!$I$2:$I$4919,'DETALLE CRONOLÓGICO'!$A$2:$A$4919,$A248)</f>
        <v/>
      </c>
      <c r="G248" s="1">
        <f>INDEX('DETALLE CRONOLÓGICO'!$D$2:$D$4919,MATCH($A248,'DETALLE CRONOLÓGICO'!$A$2:$A$4919,0))</f>
        <v/>
      </c>
      <c r="H248" s="1">
        <f>INDEX('DETALLE CRONOLÓGICO'!$D$2:$D$4919,MATCH($A248,'DETALLE CRONOLÓGICO'!$A$2:$A$4919,0)+$E248-1)</f>
        <v/>
      </c>
      <c r="I248" s="5">
        <f>IFERROR(SUMIFS('DETALLE CRONOLÓGICO'!$L$2:$L$4919,'DETALLE CRONOLÓGICO'!$A$2:$A$4919,$A248)/$F248,"")</f>
        <v/>
      </c>
      <c r="J248" s="6">
        <f>IFERROR(SUMIFS('DETALLE CRONOLÓGICO'!$K$2:$K$4919,'DETALLE CRONOLÓGICO'!$A$2:$A$4919,$A248)/$E248,"")</f>
        <v/>
      </c>
      <c r="K248" s="6">
        <f>_xlfn.MINIFS('DETALLE CRONOLÓGICO'!$K$2:$K$4919,'DETALLE CRONOLÓGICO'!$A$2:$A$4919,$A248)</f>
        <v/>
      </c>
      <c r="L248" s="6">
        <f>_xlfn.MAXIFS('DETALLE CRONOLÓGICO'!$K$2:$K$4919,'DETALLE CRONOLÓGICO'!$A$2:$A$4919,$A248)</f>
        <v/>
      </c>
      <c r="M248" s="6">
        <f>INDEX('DETALLE CRONOLÓGICO'!$K$2:$K$4919,MATCH($A248,'DETALLE CRONOLÓGICO'!$A$2:$A$4919,0)+$E248-1)</f>
        <v/>
      </c>
      <c r="N248" s="7">
        <f>IFERROR($M248/INDEX('DETALLE CRONOLÓGICO'!$K$2:$K$4919,MATCH($A248,'DETALLE CRONOLÓGICO'!$A$2:$A$4919,0))-1,"")</f>
        <v/>
      </c>
      <c r="O248" s="6">
        <f>IFERROR($I248*3,"")</f>
        <v/>
      </c>
      <c r="P248" s="6">
        <f>IFERROR($I248*3.5,"")</f>
        <v/>
      </c>
      <c r="Q248" s="6">
        <f>IFERROR($I248*4,"")</f>
        <v/>
      </c>
      <c r="R248" s="6" t="n">
        <v>450</v>
      </c>
      <c r="S248" s="4" t="n">
        <v>1</v>
      </c>
      <c r="T248" s="1" t="inlineStr">
        <is>
          <t>active</t>
        </is>
      </c>
      <c r="U248" s="8" t="n"/>
      <c r="V248" s="1" t="inlineStr">
        <is>
          <t>SIN PRECIO</t>
        </is>
      </c>
    </row>
    <row r="249">
      <c r="A249" s="1" t="inlineStr">
        <is>
          <t>21605774349229</t>
        </is>
      </c>
      <c r="B249" s="1" t="inlineStr">
        <is>
          <t>ANILLO BACK SOON T SILVER</t>
        </is>
      </c>
      <c r="C249" s="1" t="inlineStr">
        <is>
          <t>8</t>
        </is>
      </c>
      <c r="D249" s="1" t="inlineStr">
        <is>
          <t>HAIFENG</t>
        </is>
      </c>
      <c r="E249" s="4">
        <f>COUNTIF('DETALLE CRONOLÓGICO'!$A$2:$A$4919,$A249)</f>
        <v/>
      </c>
      <c r="F249" s="4">
        <f>SUMIFS('DETALLE CRONOLÓGICO'!$I$2:$I$4919,'DETALLE CRONOLÓGICO'!$A$2:$A$4919,$A249)</f>
        <v/>
      </c>
      <c r="G249" s="1">
        <f>INDEX('DETALLE CRONOLÓGICO'!$D$2:$D$4919,MATCH($A249,'DETALLE CRONOLÓGICO'!$A$2:$A$4919,0))</f>
        <v/>
      </c>
      <c r="H249" s="1">
        <f>INDEX('DETALLE CRONOLÓGICO'!$D$2:$D$4919,MATCH($A249,'DETALLE CRONOLÓGICO'!$A$2:$A$4919,0)+$E249-1)</f>
        <v/>
      </c>
      <c r="I249" s="5">
        <f>IFERROR(SUMIFS('DETALLE CRONOLÓGICO'!$L$2:$L$4919,'DETALLE CRONOLÓGICO'!$A$2:$A$4919,$A249)/$F249,"")</f>
        <v/>
      </c>
      <c r="J249" s="6">
        <f>IFERROR(SUMIFS('DETALLE CRONOLÓGICO'!$K$2:$K$4919,'DETALLE CRONOLÓGICO'!$A$2:$A$4919,$A249)/$E249,"")</f>
        <v/>
      </c>
      <c r="K249" s="6">
        <f>_xlfn.MINIFS('DETALLE CRONOLÓGICO'!$K$2:$K$4919,'DETALLE CRONOLÓGICO'!$A$2:$A$4919,$A249)</f>
        <v/>
      </c>
      <c r="L249" s="6">
        <f>_xlfn.MAXIFS('DETALLE CRONOLÓGICO'!$K$2:$K$4919,'DETALLE CRONOLÓGICO'!$A$2:$A$4919,$A249)</f>
        <v/>
      </c>
      <c r="M249" s="6">
        <f>INDEX('DETALLE CRONOLÓGICO'!$K$2:$K$4919,MATCH($A249,'DETALLE CRONOLÓGICO'!$A$2:$A$4919,0)+$E249-1)</f>
        <v/>
      </c>
      <c r="N249" s="7">
        <f>IFERROR($M249/INDEX('DETALLE CRONOLÓGICO'!$K$2:$K$4919,MATCH($A249,'DETALLE CRONOLÓGICO'!$A$2:$A$4919,0))-1,"")</f>
        <v/>
      </c>
      <c r="O249" s="6">
        <f>IFERROR($I249*3,"")</f>
        <v/>
      </c>
      <c r="P249" s="6">
        <f>IFERROR($I249*3.5,"")</f>
        <v/>
      </c>
      <c r="Q249" s="6">
        <f>IFERROR($I249*4,"")</f>
        <v/>
      </c>
      <c r="R249" s="6" t="n">
        <v>450</v>
      </c>
      <c r="S249" s="4" t="n">
        <v>7</v>
      </c>
      <c r="T249" s="1" t="inlineStr">
        <is>
          <t>active</t>
        </is>
      </c>
      <c r="U249" s="8" t="n"/>
      <c r="V249" s="1" t="inlineStr">
        <is>
          <t>SIN PRECIO</t>
        </is>
      </c>
    </row>
    <row r="250">
      <c r="A250" s="1" t="inlineStr">
        <is>
          <t>22064321023405</t>
        </is>
      </c>
      <c r="B250" s="1" t="inlineStr">
        <is>
          <t>BRAZALETE LOVE GOLD</t>
        </is>
      </c>
      <c r="C250" s="1" t="inlineStr">
        <is>
          <t>16CM</t>
        </is>
      </c>
      <c r="D250" s="1" t="inlineStr">
        <is>
          <t>HAIFENG</t>
        </is>
      </c>
      <c r="E250" s="4">
        <f>COUNTIF('DETALLE CRONOLÓGICO'!$A$2:$A$4919,$A250)</f>
        <v/>
      </c>
      <c r="F250" s="4">
        <f>SUMIFS('DETALLE CRONOLÓGICO'!$I$2:$I$4919,'DETALLE CRONOLÓGICO'!$A$2:$A$4919,$A250)</f>
        <v/>
      </c>
      <c r="G250" s="1">
        <f>INDEX('DETALLE CRONOLÓGICO'!$D$2:$D$4919,MATCH($A250,'DETALLE CRONOLÓGICO'!$A$2:$A$4919,0))</f>
        <v/>
      </c>
      <c r="H250" s="1">
        <f>INDEX('DETALLE CRONOLÓGICO'!$D$2:$D$4919,MATCH($A250,'DETALLE CRONOLÓGICO'!$A$2:$A$4919,0)+$E250-1)</f>
        <v/>
      </c>
      <c r="I250" s="5">
        <f>IFERROR(SUMIFS('DETALLE CRONOLÓGICO'!$L$2:$L$4919,'DETALLE CRONOLÓGICO'!$A$2:$A$4919,$A250)/$F250,"")</f>
        <v/>
      </c>
      <c r="J250" s="6">
        <f>IFERROR(SUMIFS('DETALLE CRONOLÓGICO'!$K$2:$K$4919,'DETALLE CRONOLÓGICO'!$A$2:$A$4919,$A250)/$E250,"")</f>
        <v/>
      </c>
      <c r="K250" s="6">
        <f>_xlfn.MINIFS('DETALLE CRONOLÓGICO'!$K$2:$K$4919,'DETALLE CRONOLÓGICO'!$A$2:$A$4919,$A250)</f>
        <v/>
      </c>
      <c r="L250" s="6">
        <f>_xlfn.MAXIFS('DETALLE CRONOLÓGICO'!$K$2:$K$4919,'DETALLE CRONOLÓGICO'!$A$2:$A$4919,$A250)</f>
        <v/>
      </c>
      <c r="M250" s="6">
        <f>INDEX('DETALLE CRONOLÓGICO'!$K$2:$K$4919,MATCH($A250,'DETALLE CRONOLÓGICO'!$A$2:$A$4919,0)+$E250-1)</f>
        <v/>
      </c>
      <c r="N250" s="7">
        <f>IFERROR($M250/INDEX('DETALLE CRONOLÓGICO'!$K$2:$K$4919,MATCH($A250,'DETALLE CRONOLÓGICO'!$A$2:$A$4919,0))-1,"")</f>
        <v/>
      </c>
      <c r="O250" s="6">
        <f>IFERROR($I250*3,"")</f>
        <v/>
      </c>
      <c r="P250" s="6">
        <f>IFERROR($I250*3.5,"")</f>
        <v/>
      </c>
      <c r="Q250" s="6">
        <f>IFERROR($I250*4,"")</f>
        <v/>
      </c>
      <c r="R250" s="6" t="n">
        <v>450</v>
      </c>
      <c r="S250" s="4" t="n">
        <v>0</v>
      </c>
      <c r="T250" s="1" t="inlineStr">
        <is>
          <t>active</t>
        </is>
      </c>
      <c r="U250" s="8" t="n"/>
      <c r="V250" s="1" t="inlineStr">
        <is>
          <t>SIN PRECIO</t>
        </is>
      </c>
    </row>
    <row r="251">
      <c r="A251" s="1" t="inlineStr">
        <is>
          <t>22064321131885</t>
        </is>
      </c>
      <c r="B251" s="1" t="inlineStr">
        <is>
          <t>PULSERA LOVE SILVER-BLACK MICROZIRCONIAS</t>
        </is>
      </c>
      <c r="C251" s="1" t="inlineStr">
        <is>
          <t>17CM</t>
        </is>
      </c>
      <c r="D251" s="1" t="inlineStr">
        <is>
          <t>HAIFENG</t>
        </is>
      </c>
      <c r="E251" s="4">
        <f>COUNTIF('DETALLE CRONOLÓGICO'!$A$2:$A$4919,$A251)</f>
        <v/>
      </c>
      <c r="F251" s="4">
        <f>SUMIFS('DETALLE CRONOLÓGICO'!$I$2:$I$4919,'DETALLE CRONOLÓGICO'!$A$2:$A$4919,$A251)</f>
        <v/>
      </c>
      <c r="G251" s="1">
        <f>INDEX('DETALLE CRONOLÓGICO'!$D$2:$D$4919,MATCH($A251,'DETALLE CRONOLÓGICO'!$A$2:$A$4919,0))</f>
        <v/>
      </c>
      <c r="H251" s="1">
        <f>INDEX('DETALLE CRONOLÓGICO'!$D$2:$D$4919,MATCH($A251,'DETALLE CRONOLÓGICO'!$A$2:$A$4919,0)+$E251-1)</f>
        <v/>
      </c>
      <c r="I251" s="5">
        <f>IFERROR(SUMIFS('DETALLE CRONOLÓGICO'!$L$2:$L$4919,'DETALLE CRONOLÓGICO'!$A$2:$A$4919,$A251)/$F251,"")</f>
        <v/>
      </c>
      <c r="J251" s="6">
        <f>IFERROR(SUMIFS('DETALLE CRONOLÓGICO'!$K$2:$K$4919,'DETALLE CRONOLÓGICO'!$A$2:$A$4919,$A251)/$E251,"")</f>
        <v/>
      </c>
      <c r="K251" s="6">
        <f>_xlfn.MINIFS('DETALLE CRONOLÓGICO'!$K$2:$K$4919,'DETALLE CRONOLÓGICO'!$A$2:$A$4919,$A251)</f>
        <v/>
      </c>
      <c r="L251" s="6">
        <f>_xlfn.MAXIFS('DETALLE CRONOLÓGICO'!$K$2:$K$4919,'DETALLE CRONOLÓGICO'!$A$2:$A$4919,$A251)</f>
        <v/>
      </c>
      <c r="M251" s="6">
        <f>INDEX('DETALLE CRONOLÓGICO'!$K$2:$K$4919,MATCH($A251,'DETALLE CRONOLÓGICO'!$A$2:$A$4919,0)+$E251-1)</f>
        <v/>
      </c>
      <c r="N251" s="7">
        <f>IFERROR($M251/INDEX('DETALLE CRONOLÓGICO'!$K$2:$K$4919,MATCH($A251,'DETALLE CRONOLÓGICO'!$A$2:$A$4919,0))-1,"")</f>
        <v/>
      </c>
      <c r="O251" s="6">
        <f>IFERROR($I251*3,"")</f>
        <v/>
      </c>
      <c r="P251" s="6">
        <f>IFERROR($I251*3.5,"")</f>
        <v/>
      </c>
      <c r="Q251" s="6">
        <f>IFERROR($I251*4,"")</f>
        <v/>
      </c>
      <c r="R251" s="6" t="n">
        <v>2060</v>
      </c>
      <c r="S251" s="4" t="n">
        <v>0</v>
      </c>
      <c r="T251" s="1" t="inlineStr">
        <is>
          <t>active</t>
        </is>
      </c>
      <c r="U251" s="8" t="n"/>
      <c r="V251" s="1" t="inlineStr">
        <is>
          <t>SIN PRECIO</t>
        </is>
      </c>
    </row>
    <row r="252">
      <c r="A252" s="1" t="inlineStr">
        <is>
          <t>22064321264653</t>
        </is>
      </c>
      <c r="B252" s="1" t="inlineStr">
        <is>
          <t>PULSERA LOVE SILVER-BLACK MICROZIRCONIAS</t>
        </is>
      </c>
      <c r="C252" s="1" t="inlineStr">
        <is>
          <t>18CM</t>
        </is>
      </c>
      <c r="D252" s="1" t="inlineStr">
        <is>
          <t>HAIFENG</t>
        </is>
      </c>
      <c r="E252" s="4">
        <f>COUNTIF('DETALLE CRONOLÓGICO'!$A$2:$A$4919,$A252)</f>
        <v/>
      </c>
      <c r="F252" s="4">
        <f>SUMIFS('DETALLE CRONOLÓGICO'!$I$2:$I$4919,'DETALLE CRONOLÓGICO'!$A$2:$A$4919,$A252)</f>
        <v/>
      </c>
      <c r="G252" s="1">
        <f>INDEX('DETALLE CRONOLÓGICO'!$D$2:$D$4919,MATCH($A252,'DETALLE CRONOLÓGICO'!$A$2:$A$4919,0))</f>
        <v/>
      </c>
      <c r="H252" s="1">
        <f>INDEX('DETALLE CRONOLÓGICO'!$D$2:$D$4919,MATCH($A252,'DETALLE CRONOLÓGICO'!$A$2:$A$4919,0)+$E252-1)</f>
        <v/>
      </c>
      <c r="I252" s="5">
        <f>IFERROR(SUMIFS('DETALLE CRONOLÓGICO'!$L$2:$L$4919,'DETALLE CRONOLÓGICO'!$A$2:$A$4919,$A252)/$F252,"")</f>
        <v/>
      </c>
      <c r="J252" s="6">
        <f>IFERROR(SUMIFS('DETALLE CRONOLÓGICO'!$K$2:$K$4919,'DETALLE CRONOLÓGICO'!$A$2:$A$4919,$A252)/$E252,"")</f>
        <v/>
      </c>
      <c r="K252" s="6">
        <f>_xlfn.MINIFS('DETALLE CRONOLÓGICO'!$K$2:$K$4919,'DETALLE CRONOLÓGICO'!$A$2:$A$4919,$A252)</f>
        <v/>
      </c>
      <c r="L252" s="6">
        <f>_xlfn.MAXIFS('DETALLE CRONOLÓGICO'!$K$2:$K$4919,'DETALLE CRONOLÓGICO'!$A$2:$A$4919,$A252)</f>
        <v/>
      </c>
      <c r="M252" s="6">
        <f>INDEX('DETALLE CRONOLÓGICO'!$K$2:$K$4919,MATCH($A252,'DETALLE CRONOLÓGICO'!$A$2:$A$4919,0)+$E252-1)</f>
        <v/>
      </c>
      <c r="N252" s="7">
        <f>IFERROR($M252/INDEX('DETALLE CRONOLÓGICO'!$K$2:$K$4919,MATCH($A252,'DETALLE CRONOLÓGICO'!$A$2:$A$4919,0))-1,"")</f>
        <v/>
      </c>
      <c r="O252" s="6">
        <f>IFERROR($I252*3,"")</f>
        <v/>
      </c>
      <c r="P252" s="6">
        <f>IFERROR($I252*3.5,"")</f>
        <v/>
      </c>
      <c r="Q252" s="6">
        <f>IFERROR($I252*4,"")</f>
        <v/>
      </c>
      <c r="R252" s="6" t="n">
        <v>2060</v>
      </c>
      <c r="S252" s="4" t="n">
        <v>4</v>
      </c>
      <c r="T252" s="1" t="inlineStr">
        <is>
          <t>active</t>
        </is>
      </c>
      <c r="U252" s="8" t="n"/>
      <c r="V252" s="1" t="inlineStr">
        <is>
          <t>SIN PRECIO</t>
        </is>
      </c>
    </row>
    <row r="253">
      <c r="A253" s="1" t="inlineStr">
        <is>
          <t>22064321319469</t>
        </is>
      </c>
      <c r="B253" s="1" t="inlineStr">
        <is>
          <t>ANILLO LOVE SILVER-BLACK MICROZIRCONIAS</t>
        </is>
      </c>
      <c r="C253" s="1" t="inlineStr">
        <is>
          <t>8</t>
        </is>
      </c>
      <c r="D253" s="1" t="inlineStr">
        <is>
          <t>HAIFENG</t>
        </is>
      </c>
      <c r="E253" s="4">
        <f>COUNTIF('DETALLE CRONOLÓGICO'!$A$2:$A$4919,$A253)</f>
        <v/>
      </c>
      <c r="F253" s="4">
        <f>SUMIFS('DETALLE CRONOLÓGICO'!$I$2:$I$4919,'DETALLE CRONOLÓGICO'!$A$2:$A$4919,$A253)</f>
        <v/>
      </c>
      <c r="G253" s="1">
        <f>INDEX('DETALLE CRONOLÓGICO'!$D$2:$D$4919,MATCH($A253,'DETALLE CRONOLÓGICO'!$A$2:$A$4919,0))</f>
        <v/>
      </c>
      <c r="H253" s="1">
        <f>INDEX('DETALLE CRONOLÓGICO'!$D$2:$D$4919,MATCH($A253,'DETALLE CRONOLÓGICO'!$A$2:$A$4919,0)+$E253-1)</f>
        <v/>
      </c>
      <c r="I253" s="5">
        <f>IFERROR(SUMIFS('DETALLE CRONOLÓGICO'!$L$2:$L$4919,'DETALLE CRONOLÓGICO'!$A$2:$A$4919,$A253)/$F253,"")</f>
        <v/>
      </c>
      <c r="J253" s="6">
        <f>IFERROR(SUMIFS('DETALLE CRONOLÓGICO'!$K$2:$K$4919,'DETALLE CRONOLÓGICO'!$A$2:$A$4919,$A253)/$E253,"")</f>
        <v/>
      </c>
      <c r="K253" s="6">
        <f>_xlfn.MINIFS('DETALLE CRONOLÓGICO'!$K$2:$K$4919,'DETALLE CRONOLÓGICO'!$A$2:$A$4919,$A253)</f>
        <v/>
      </c>
      <c r="L253" s="6">
        <f>_xlfn.MAXIFS('DETALLE CRONOLÓGICO'!$K$2:$K$4919,'DETALLE CRONOLÓGICO'!$A$2:$A$4919,$A253)</f>
        <v/>
      </c>
      <c r="M253" s="6">
        <f>INDEX('DETALLE CRONOLÓGICO'!$K$2:$K$4919,MATCH($A253,'DETALLE CRONOLÓGICO'!$A$2:$A$4919,0)+$E253-1)</f>
        <v/>
      </c>
      <c r="N253" s="7">
        <f>IFERROR($M253/INDEX('DETALLE CRONOLÓGICO'!$K$2:$K$4919,MATCH($A253,'DETALLE CRONOLÓGICO'!$A$2:$A$4919,0))-1,"")</f>
        <v/>
      </c>
      <c r="O253" s="6">
        <f>IFERROR($I253*3,"")</f>
        <v/>
      </c>
      <c r="P253" s="6">
        <f>IFERROR($I253*3.5,"")</f>
        <v/>
      </c>
      <c r="Q253" s="6">
        <f>IFERROR($I253*4,"")</f>
        <v/>
      </c>
      <c r="R253" s="6" t="n">
        <v>999</v>
      </c>
      <c r="S253" s="4" t="n">
        <v>3</v>
      </c>
      <c r="T253" s="1" t="inlineStr">
        <is>
          <t>active</t>
        </is>
      </c>
      <c r="U253" s="8" t="n"/>
      <c r="V253" s="1" t="inlineStr">
        <is>
          <t>SIN PRECIO</t>
        </is>
      </c>
    </row>
    <row r="254">
      <c r="A254" s="1" t="inlineStr">
        <is>
          <t>22064321452237</t>
        </is>
      </c>
      <c r="B254" s="1" t="inlineStr">
        <is>
          <t>ANILLO LOVE SILVER-BLACK MICROZIRCONIAS</t>
        </is>
      </c>
      <c r="C254" s="1" t="inlineStr">
        <is>
          <t>9</t>
        </is>
      </c>
      <c r="D254" s="1" t="inlineStr">
        <is>
          <t>HAIFENG</t>
        </is>
      </c>
      <c r="E254" s="4">
        <f>COUNTIF('DETALLE CRONOLÓGICO'!$A$2:$A$4919,$A254)</f>
        <v/>
      </c>
      <c r="F254" s="4">
        <f>SUMIFS('DETALLE CRONOLÓGICO'!$I$2:$I$4919,'DETALLE CRONOLÓGICO'!$A$2:$A$4919,$A254)</f>
        <v/>
      </c>
      <c r="G254" s="1">
        <f>INDEX('DETALLE CRONOLÓGICO'!$D$2:$D$4919,MATCH($A254,'DETALLE CRONOLÓGICO'!$A$2:$A$4919,0))</f>
        <v/>
      </c>
      <c r="H254" s="1">
        <f>INDEX('DETALLE CRONOLÓGICO'!$D$2:$D$4919,MATCH($A254,'DETALLE CRONOLÓGICO'!$A$2:$A$4919,0)+$E254-1)</f>
        <v/>
      </c>
      <c r="I254" s="5">
        <f>IFERROR(SUMIFS('DETALLE CRONOLÓGICO'!$L$2:$L$4919,'DETALLE CRONOLÓGICO'!$A$2:$A$4919,$A254)/$F254,"")</f>
        <v/>
      </c>
      <c r="J254" s="6">
        <f>IFERROR(SUMIFS('DETALLE CRONOLÓGICO'!$K$2:$K$4919,'DETALLE CRONOLÓGICO'!$A$2:$A$4919,$A254)/$E254,"")</f>
        <v/>
      </c>
      <c r="K254" s="6">
        <f>_xlfn.MINIFS('DETALLE CRONOLÓGICO'!$K$2:$K$4919,'DETALLE CRONOLÓGICO'!$A$2:$A$4919,$A254)</f>
        <v/>
      </c>
      <c r="L254" s="6">
        <f>_xlfn.MAXIFS('DETALLE CRONOLÓGICO'!$K$2:$K$4919,'DETALLE CRONOLÓGICO'!$A$2:$A$4919,$A254)</f>
        <v/>
      </c>
      <c r="M254" s="6">
        <f>INDEX('DETALLE CRONOLÓGICO'!$K$2:$K$4919,MATCH($A254,'DETALLE CRONOLÓGICO'!$A$2:$A$4919,0)+$E254-1)</f>
        <v/>
      </c>
      <c r="N254" s="7">
        <f>IFERROR($M254/INDEX('DETALLE CRONOLÓGICO'!$K$2:$K$4919,MATCH($A254,'DETALLE CRONOLÓGICO'!$A$2:$A$4919,0))-1,"")</f>
        <v/>
      </c>
      <c r="O254" s="6">
        <f>IFERROR($I254*3,"")</f>
        <v/>
      </c>
      <c r="P254" s="6">
        <f>IFERROR($I254*3.5,"")</f>
        <v/>
      </c>
      <c r="Q254" s="6">
        <f>IFERROR($I254*4,"")</f>
        <v/>
      </c>
      <c r="R254" s="6" t="n">
        <v>649</v>
      </c>
      <c r="S254" s="4" t="n">
        <v>2</v>
      </c>
      <c r="T254" s="1" t="inlineStr">
        <is>
          <t>active</t>
        </is>
      </c>
      <c r="U254" s="8" t="n"/>
      <c r="V254" s="1" t="inlineStr">
        <is>
          <t>SIN PRECIO</t>
        </is>
      </c>
    </row>
    <row r="255">
      <c r="A255" s="1" t="inlineStr">
        <is>
          <t>22064321560717</t>
        </is>
      </c>
      <c r="B255" s="1" t="inlineStr">
        <is>
          <t>PULSERA LOVE-LOVE GOLD ZIRCONIAS</t>
        </is>
      </c>
      <c r="C255" s="1" t="inlineStr">
        <is>
          <t>Default Title</t>
        </is>
      </c>
      <c r="D255" s="1" t="inlineStr">
        <is>
          <t>HAIFENG</t>
        </is>
      </c>
      <c r="E255" s="4">
        <f>COUNTIF('DETALLE CRONOLÓGICO'!$A$2:$A$4919,$A255)</f>
        <v/>
      </c>
      <c r="F255" s="4">
        <f>SUMIFS('DETALLE CRONOLÓGICO'!$I$2:$I$4919,'DETALLE CRONOLÓGICO'!$A$2:$A$4919,$A255)</f>
        <v/>
      </c>
      <c r="G255" s="1">
        <f>INDEX('DETALLE CRONOLÓGICO'!$D$2:$D$4919,MATCH($A255,'DETALLE CRONOLÓGICO'!$A$2:$A$4919,0))</f>
        <v/>
      </c>
      <c r="H255" s="1">
        <f>INDEX('DETALLE CRONOLÓGICO'!$D$2:$D$4919,MATCH($A255,'DETALLE CRONOLÓGICO'!$A$2:$A$4919,0)+$E255-1)</f>
        <v/>
      </c>
      <c r="I255" s="5">
        <f>IFERROR(SUMIFS('DETALLE CRONOLÓGICO'!$L$2:$L$4919,'DETALLE CRONOLÓGICO'!$A$2:$A$4919,$A255)/$F255,"")</f>
        <v/>
      </c>
      <c r="J255" s="6">
        <f>IFERROR(SUMIFS('DETALLE CRONOLÓGICO'!$K$2:$K$4919,'DETALLE CRONOLÓGICO'!$A$2:$A$4919,$A255)/$E255,"")</f>
        <v/>
      </c>
      <c r="K255" s="6">
        <f>_xlfn.MINIFS('DETALLE CRONOLÓGICO'!$K$2:$K$4919,'DETALLE CRONOLÓGICO'!$A$2:$A$4919,$A255)</f>
        <v/>
      </c>
      <c r="L255" s="6">
        <f>_xlfn.MAXIFS('DETALLE CRONOLÓGICO'!$K$2:$K$4919,'DETALLE CRONOLÓGICO'!$A$2:$A$4919,$A255)</f>
        <v/>
      </c>
      <c r="M255" s="6">
        <f>INDEX('DETALLE CRONOLÓGICO'!$K$2:$K$4919,MATCH($A255,'DETALLE CRONOLÓGICO'!$A$2:$A$4919,0)+$E255-1)</f>
        <v/>
      </c>
      <c r="N255" s="7">
        <f>IFERROR($M255/INDEX('DETALLE CRONOLÓGICO'!$K$2:$K$4919,MATCH($A255,'DETALLE CRONOLÓGICO'!$A$2:$A$4919,0))-1,"")</f>
        <v/>
      </c>
      <c r="O255" s="6">
        <f>IFERROR($I255*3,"")</f>
        <v/>
      </c>
      <c r="P255" s="6">
        <f>IFERROR($I255*3.5,"")</f>
        <v/>
      </c>
      <c r="Q255" s="6">
        <f>IFERROR($I255*4,"")</f>
        <v/>
      </c>
      <c r="R255" s="6" t="n">
        <v>450</v>
      </c>
      <c r="S255" s="4" t="n">
        <v>4</v>
      </c>
      <c r="T255" s="1" t="inlineStr">
        <is>
          <t>active</t>
        </is>
      </c>
      <c r="U255" s="8" t="n"/>
      <c r="V255" s="1" t="inlineStr">
        <is>
          <t>SIN PRECIO</t>
        </is>
      </c>
    </row>
    <row r="256">
      <c r="A256" s="1" t="inlineStr">
        <is>
          <t>22064321629645</t>
        </is>
      </c>
      <c r="B256" s="1" t="inlineStr">
        <is>
          <t>ANILLO DOBLE PANTHERE GOLD</t>
        </is>
      </c>
      <c r="C256" s="1" t="inlineStr">
        <is>
          <t>6</t>
        </is>
      </c>
      <c r="D256" s="1" t="inlineStr">
        <is>
          <t>HAIFENG</t>
        </is>
      </c>
      <c r="E256" s="4">
        <f>COUNTIF('DETALLE CRONOLÓGICO'!$A$2:$A$4919,$A256)</f>
        <v/>
      </c>
      <c r="F256" s="4">
        <f>SUMIFS('DETALLE CRONOLÓGICO'!$I$2:$I$4919,'DETALLE CRONOLÓGICO'!$A$2:$A$4919,$A256)</f>
        <v/>
      </c>
      <c r="G256" s="1">
        <f>INDEX('DETALLE CRONOLÓGICO'!$D$2:$D$4919,MATCH($A256,'DETALLE CRONOLÓGICO'!$A$2:$A$4919,0))</f>
        <v/>
      </c>
      <c r="H256" s="1">
        <f>INDEX('DETALLE CRONOLÓGICO'!$D$2:$D$4919,MATCH($A256,'DETALLE CRONOLÓGICO'!$A$2:$A$4919,0)+$E256-1)</f>
        <v/>
      </c>
      <c r="I256" s="5">
        <f>IFERROR(SUMIFS('DETALLE CRONOLÓGICO'!$L$2:$L$4919,'DETALLE CRONOLÓGICO'!$A$2:$A$4919,$A256)/$F256,"")</f>
        <v/>
      </c>
      <c r="J256" s="6">
        <f>IFERROR(SUMIFS('DETALLE CRONOLÓGICO'!$K$2:$K$4919,'DETALLE CRONOLÓGICO'!$A$2:$A$4919,$A256)/$E256,"")</f>
        <v/>
      </c>
      <c r="K256" s="6">
        <f>_xlfn.MINIFS('DETALLE CRONOLÓGICO'!$K$2:$K$4919,'DETALLE CRONOLÓGICO'!$A$2:$A$4919,$A256)</f>
        <v/>
      </c>
      <c r="L256" s="6">
        <f>_xlfn.MAXIFS('DETALLE CRONOLÓGICO'!$K$2:$K$4919,'DETALLE CRONOLÓGICO'!$A$2:$A$4919,$A256)</f>
        <v/>
      </c>
      <c r="M256" s="6">
        <f>INDEX('DETALLE CRONOLÓGICO'!$K$2:$K$4919,MATCH($A256,'DETALLE CRONOLÓGICO'!$A$2:$A$4919,0)+$E256-1)</f>
        <v/>
      </c>
      <c r="N256" s="7">
        <f>IFERROR($M256/INDEX('DETALLE CRONOLÓGICO'!$K$2:$K$4919,MATCH($A256,'DETALLE CRONOLÓGICO'!$A$2:$A$4919,0))-1,"")</f>
        <v/>
      </c>
      <c r="O256" s="6">
        <f>IFERROR($I256*3,"")</f>
        <v/>
      </c>
      <c r="P256" s="6">
        <f>IFERROR($I256*3.5,"")</f>
        <v/>
      </c>
      <c r="Q256" s="6">
        <f>IFERROR($I256*4,"")</f>
        <v/>
      </c>
      <c r="R256" s="6" t="n">
        <v>750</v>
      </c>
      <c r="S256" s="4" t="n">
        <v>4</v>
      </c>
      <c r="T256" s="1" t="inlineStr">
        <is>
          <t>active</t>
        </is>
      </c>
      <c r="U256" s="8" t="n"/>
      <c r="V256" s="1" t="inlineStr">
        <is>
          <t>SIN PRECIO</t>
        </is>
      </c>
    </row>
    <row r="257">
      <c r="A257" s="1" t="inlineStr">
        <is>
          <t>22064321762413</t>
        </is>
      </c>
      <c r="B257" s="1" t="inlineStr">
        <is>
          <t>ANILLO DOBLE PANTHERE GOLD</t>
        </is>
      </c>
      <c r="C257" s="1" t="inlineStr">
        <is>
          <t>7</t>
        </is>
      </c>
      <c r="D257" s="1" t="inlineStr">
        <is>
          <t>HAIFENG</t>
        </is>
      </c>
      <c r="E257" s="4">
        <f>COUNTIF('DETALLE CRONOLÓGICO'!$A$2:$A$4919,$A257)</f>
        <v/>
      </c>
      <c r="F257" s="4">
        <f>SUMIFS('DETALLE CRONOLÓGICO'!$I$2:$I$4919,'DETALLE CRONOLÓGICO'!$A$2:$A$4919,$A257)</f>
        <v/>
      </c>
      <c r="G257" s="1">
        <f>INDEX('DETALLE CRONOLÓGICO'!$D$2:$D$4919,MATCH($A257,'DETALLE CRONOLÓGICO'!$A$2:$A$4919,0))</f>
        <v/>
      </c>
      <c r="H257" s="1">
        <f>INDEX('DETALLE CRONOLÓGICO'!$D$2:$D$4919,MATCH($A257,'DETALLE CRONOLÓGICO'!$A$2:$A$4919,0)+$E257-1)</f>
        <v/>
      </c>
      <c r="I257" s="5">
        <f>IFERROR(SUMIFS('DETALLE CRONOLÓGICO'!$L$2:$L$4919,'DETALLE CRONOLÓGICO'!$A$2:$A$4919,$A257)/$F257,"")</f>
        <v/>
      </c>
      <c r="J257" s="6">
        <f>IFERROR(SUMIFS('DETALLE CRONOLÓGICO'!$K$2:$K$4919,'DETALLE CRONOLÓGICO'!$A$2:$A$4919,$A257)/$E257,"")</f>
        <v/>
      </c>
      <c r="K257" s="6">
        <f>_xlfn.MINIFS('DETALLE CRONOLÓGICO'!$K$2:$K$4919,'DETALLE CRONOLÓGICO'!$A$2:$A$4919,$A257)</f>
        <v/>
      </c>
      <c r="L257" s="6">
        <f>_xlfn.MAXIFS('DETALLE CRONOLÓGICO'!$K$2:$K$4919,'DETALLE CRONOLÓGICO'!$A$2:$A$4919,$A257)</f>
        <v/>
      </c>
      <c r="M257" s="6">
        <f>INDEX('DETALLE CRONOLÓGICO'!$K$2:$K$4919,MATCH($A257,'DETALLE CRONOLÓGICO'!$A$2:$A$4919,0)+$E257-1)</f>
        <v/>
      </c>
      <c r="N257" s="7">
        <f>IFERROR($M257/INDEX('DETALLE CRONOLÓGICO'!$K$2:$K$4919,MATCH($A257,'DETALLE CRONOLÓGICO'!$A$2:$A$4919,0))-1,"")</f>
        <v/>
      </c>
      <c r="O257" s="6">
        <f>IFERROR($I257*3,"")</f>
        <v/>
      </c>
      <c r="P257" s="6">
        <f>IFERROR($I257*3.5,"")</f>
        <v/>
      </c>
      <c r="Q257" s="6">
        <f>IFERROR($I257*4,"")</f>
        <v/>
      </c>
      <c r="R257" s="6" t="n">
        <v>750</v>
      </c>
      <c r="S257" s="4" t="n">
        <v>2</v>
      </c>
      <c r="T257" s="1" t="inlineStr">
        <is>
          <t>active</t>
        </is>
      </c>
      <c r="U257" s="8" t="n"/>
      <c r="V257" s="1" t="inlineStr">
        <is>
          <t>SIN PRECIO</t>
        </is>
      </c>
    </row>
    <row r="258">
      <c r="A258" s="1" t="inlineStr">
        <is>
          <t>22064321801965</t>
        </is>
      </c>
      <c r="B258" s="1" t="inlineStr">
        <is>
          <t>ANILLO TRINITY</t>
        </is>
      </c>
      <c r="C258" s="1" t="inlineStr">
        <is>
          <t>6</t>
        </is>
      </c>
      <c r="D258" s="1" t="inlineStr">
        <is>
          <t>HAIFENG</t>
        </is>
      </c>
      <c r="E258" s="4">
        <f>COUNTIF('DETALLE CRONOLÓGICO'!$A$2:$A$4919,$A258)</f>
        <v/>
      </c>
      <c r="F258" s="4">
        <f>SUMIFS('DETALLE CRONOLÓGICO'!$I$2:$I$4919,'DETALLE CRONOLÓGICO'!$A$2:$A$4919,$A258)</f>
        <v/>
      </c>
      <c r="G258" s="1">
        <f>INDEX('DETALLE CRONOLÓGICO'!$D$2:$D$4919,MATCH($A258,'DETALLE CRONOLÓGICO'!$A$2:$A$4919,0))</f>
        <v/>
      </c>
      <c r="H258" s="1">
        <f>INDEX('DETALLE CRONOLÓGICO'!$D$2:$D$4919,MATCH($A258,'DETALLE CRONOLÓGICO'!$A$2:$A$4919,0)+$E258-1)</f>
        <v/>
      </c>
      <c r="I258" s="5">
        <f>IFERROR(SUMIFS('DETALLE CRONOLÓGICO'!$L$2:$L$4919,'DETALLE CRONOLÓGICO'!$A$2:$A$4919,$A258)/$F258,"")</f>
        <v/>
      </c>
      <c r="J258" s="6">
        <f>IFERROR(SUMIFS('DETALLE CRONOLÓGICO'!$K$2:$K$4919,'DETALLE CRONOLÓGICO'!$A$2:$A$4919,$A258)/$E258,"")</f>
        <v/>
      </c>
      <c r="K258" s="6">
        <f>_xlfn.MINIFS('DETALLE CRONOLÓGICO'!$K$2:$K$4919,'DETALLE CRONOLÓGICO'!$A$2:$A$4919,$A258)</f>
        <v/>
      </c>
      <c r="L258" s="6">
        <f>_xlfn.MAXIFS('DETALLE CRONOLÓGICO'!$K$2:$K$4919,'DETALLE CRONOLÓGICO'!$A$2:$A$4919,$A258)</f>
        <v/>
      </c>
      <c r="M258" s="6">
        <f>INDEX('DETALLE CRONOLÓGICO'!$K$2:$K$4919,MATCH($A258,'DETALLE CRONOLÓGICO'!$A$2:$A$4919,0)+$E258-1)</f>
        <v/>
      </c>
      <c r="N258" s="7">
        <f>IFERROR($M258/INDEX('DETALLE CRONOLÓGICO'!$K$2:$K$4919,MATCH($A258,'DETALLE CRONOLÓGICO'!$A$2:$A$4919,0))-1,"")</f>
        <v/>
      </c>
      <c r="O258" s="6">
        <f>IFERROR($I258*3,"")</f>
        <v/>
      </c>
      <c r="P258" s="6">
        <f>IFERROR($I258*3.5,"")</f>
        <v/>
      </c>
      <c r="Q258" s="6">
        <f>IFERROR($I258*4,"")</f>
        <v/>
      </c>
      <c r="R258" s="6" t="n">
        <v>699</v>
      </c>
      <c r="S258" s="4" t="n">
        <v>1</v>
      </c>
      <c r="T258" s="1" t="inlineStr">
        <is>
          <t>active</t>
        </is>
      </c>
      <c r="U258" s="8" t="n"/>
      <c r="V258" s="1" t="inlineStr">
        <is>
          <t>SIN PRECIO</t>
        </is>
      </c>
    </row>
    <row r="259">
      <c r="A259" s="1" t="inlineStr">
        <is>
          <t>22064321934733</t>
        </is>
      </c>
      <c r="B259" s="1" t="inlineStr">
        <is>
          <t>ANILLO TRINITY</t>
        </is>
      </c>
      <c r="C259" s="1" t="inlineStr">
        <is>
          <t>7</t>
        </is>
      </c>
      <c r="D259" s="1" t="inlineStr">
        <is>
          <t>HAIFENG</t>
        </is>
      </c>
      <c r="E259" s="4">
        <f>COUNTIF('DETALLE CRONOLÓGICO'!$A$2:$A$4919,$A259)</f>
        <v/>
      </c>
      <c r="F259" s="4">
        <f>SUMIFS('DETALLE CRONOLÓGICO'!$I$2:$I$4919,'DETALLE CRONOLÓGICO'!$A$2:$A$4919,$A259)</f>
        <v/>
      </c>
      <c r="G259" s="1">
        <f>INDEX('DETALLE CRONOLÓGICO'!$D$2:$D$4919,MATCH($A259,'DETALLE CRONOLÓGICO'!$A$2:$A$4919,0))</f>
        <v/>
      </c>
      <c r="H259" s="1">
        <f>INDEX('DETALLE CRONOLÓGICO'!$D$2:$D$4919,MATCH($A259,'DETALLE CRONOLÓGICO'!$A$2:$A$4919,0)+$E259-1)</f>
        <v/>
      </c>
      <c r="I259" s="5">
        <f>IFERROR(SUMIFS('DETALLE CRONOLÓGICO'!$L$2:$L$4919,'DETALLE CRONOLÓGICO'!$A$2:$A$4919,$A259)/$F259,"")</f>
        <v/>
      </c>
      <c r="J259" s="6">
        <f>IFERROR(SUMIFS('DETALLE CRONOLÓGICO'!$K$2:$K$4919,'DETALLE CRONOLÓGICO'!$A$2:$A$4919,$A259)/$E259,"")</f>
        <v/>
      </c>
      <c r="K259" s="6">
        <f>_xlfn.MINIFS('DETALLE CRONOLÓGICO'!$K$2:$K$4919,'DETALLE CRONOLÓGICO'!$A$2:$A$4919,$A259)</f>
        <v/>
      </c>
      <c r="L259" s="6">
        <f>_xlfn.MAXIFS('DETALLE CRONOLÓGICO'!$K$2:$K$4919,'DETALLE CRONOLÓGICO'!$A$2:$A$4919,$A259)</f>
        <v/>
      </c>
      <c r="M259" s="6">
        <f>INDEX('DETALLE CRONOLÓGICO'!$K$2:$K$4919,MATCH($A259,'DETALLE CRONOLÓGICO'!$A$2:$A$4919,0)+$E259-1)</f>
        <v/>
      </c>
      <c r="N259" s="7">
        <f>IFERROR($M259/INDEX('DETALLE CRONOLÓGICO'!$K$2:$K$4919,MATCH($A259,'DETALLE CRONOLÓGICO'!$A$2:$A$4919,0))-1,"")</f>
        <v/>
      </c>
      <c r="O259" s="6">
        <f>IFERROR($I259*3,"")</f>
        <v/>
      </c>
      <c r="P259" s="6">
        <f>IFERROR($I259*3.5,"")</f>
        <v/>
      </c>
      <c r="Q259" s="6">
        <f>IFERROR($I259*4,"")</f>
        <v/>
      </c>
      <c r="R259" s="6" t="n">
        <v>699</v>
      </c>
      <c r="S259" s="4" t="n">
        <v>3</v>
      </c>
      <c r="T259" s="1" t="inlineStr">
        <is>
          <t>active</t>
        </is>
      </c>
      <c r="U259" s="8" t="n"/>
      <c r="V259" s="1" t="inlineStr">
        <is>
          <t>SIN PRECIO</t>
        </is>
      </c>
    </row>
    <row r="260">
      <c r="A260" s="1" t="inlineStr">
        <is>
          <t>22064322048301</t>
        </is>
      </c>
      <c r="B260" s="1" t="inlineStr">
        <is>
          <t>ANILLO CLASH DOBLE ROSE GOLD</t>
        </is>
      </c>
      <c r="C260" s="1" t="inlineStr">
        <is>
          <t>6</t>
        </is>
      </c>
      <c r="D260" s="1" t="inlineStr">
        <is>
          <t>HAIFENG</t>
        </is>
      </c>
      <c r="E260" s="4">
        <f>COUNTIF('DETALLE CRONOLÓGICO'!$A$2:$A$4919,$A260)</f>
        <v/>
      </c>
      <c r="F260" s="4">
        <f>SUMIFS('DETALLE CRONOLÓGICO'!$I$2:$I$4919,'DETALLE CRONOLÓGICO'!$A$2:$A$4919,$A260)</f>
        <v/>
      </c>
      <c r="G260" s="1">
        <f>INDEX('DETALLE CRONOLÓGICO'!$D$2:$D$4919,MATCH($A260,'DETALLE CRONOLÓGICO'!$A$2:$A$4919,0))</f>
        <v/>
      </c>
      <c r="H260" s="1">
        <f>INDEX('DETALLE CRONOLÓGICO'!$D$2:$D$4919,MATCH($A260,'DETALLE CRONOLÓGICO'!$A$2:$A$4919,0)+$E260-1)</f>
        <v/>
      </c>
      <c r="I260" s="5">
        <f>IFERROR(SUMIFS('DETALLE CRONOLÓGICO'!$L$2:$L$4919,'DETALLE CRONOLÓGICO'!$A$2:$A$4919,$A260)/$F260,"")</f>
        <v/>
      </c>
      <c r="J260" s="6">
        <f>IFERROR(SUMIFS('DETALLE CRONOLÓGICO'!$K$2:$K$4919,'DETALLE CRONOLÓGICO'!$A$2:$A$4919,$A260)/$E260,"")</f>
        <v/>
      </c>
      <c r="K260" s="6">
        <f>_xlfn.MINIFS('DETALLE CRONOLÓGICO'!$K$2:$K$4919,'DETALLE CRONOLÓGICO'!$A$2:$A$4919,$A260)</f>
        <v/>
      </c>
      <c r="L260" s="6">
        <f>_xlfn.MAXIFS('DETALLE CRONOLÓGICO'!$K$2:$K$4919,'DETALLE CRONOLÓGICO'!$A$2:$A$4919,$A260)</f>
        <v/>
      </c>
      <c r="M260" s="6">
        <f>INDEX('DETALLE CRONOLÓGICO'!$K$2:$K$4919,MATCH($A260,'DETALLE CRONOLÓGICO'!$A$2:$A$4919,0)+$E260-1)</f>
        <v/>
      </c>
      <c r="N260" s="7">
        <f>IFERROR($M260/INDEX('DETALLE CRONOLÓGICO'!$K$2:$K$4919,MATCH($A260,'DETALLE CRONOLÓGICO'!$A$2:$A$4919,0))-1,"")</f>
        <v/>
      </c>
      <c r="O260" s="6">
        <f>IFERROR($I260*3,"")</f>
        <v/>
      </c>
      <c r="P260" s="6">
        <f>IFERROR($I260*3.5,"")</f>
        <v/>
      </c>
      <c r="Q260" s="6">
        <f>IFERROR($I260*4,"")</f>
        <v/>
      </c>
      <c r="R260" s="6" t="n">
        <v>830</v>
      </c>
      <c r="S260" s="4" t="n">
        <v>1</v>
      </c>
      <c r="T260" s="1" t="inlineStr">
        <is>
          <t>active</t>
        </is>
      </c>
      <c r="U260" s="8" t="n"/>
      <c r="V260" s="1" t="inlineStr">
        <is>
          <t>SIN PRECIO</t>
        </is>
      </c>
    </row>
    <row r="261">
      <c r="A261" s="1" t="inlineStr">
        <is>
          <t>22064322181069</t>
        </is>
      </c>
      <c r="B261" s="1" t="inlineStr">
        <is>
          <t>ANILLO CLASH DOBLE ROSE GOLD</t>
        </is>
      </c>
      <c r="C261" s="1" t="inlineStr">
        <is>
          <t>7</t>
        </is>
      </c>
      <c r="D261" s="1" t="inlineStr">
        <is>
          <t>HAIFENG</t>
        </is>
      </c>
      <c r="E261" s="4">
        <f>COUNTIF('DETALLE CRONOLÓGICO'!$A$2:$A$4919,$A261)</f>
        <v/>
      </c>
      <c r="F261" s="4">
        <f>SUMIFS('DETALLE CRONOLÓGICO'!$I$2:$I$4919,'DETALLE CRONOLÓGICO'!$A$2:$A$4919,$A261)</f>
        <v/>
      </c>
      <c r="G261" s="1">
        <f>INDEX('DETALLE CRONOLÓGICO'!$D$2:$D$4919,MATCH($A261,'DETALLE CRONOLÓGICO'!$A$2:$A$4919,0))</f>
        <v/>
      </c>
      <c r="H261" s="1">
        <f>INDEX('DETALLE CRONOLÓGICO'!$D$2:$D$4919,MATCH($A261,'DETALLE CRONOLÓGICO'!$A$2:$A$4919,0)+$E261-1)</f>
        <v/>
      </c>
      <c r="I261" s="5">
        <f>IFERROR(SUMIFS('DETALLE CRONOLÓGICO'!$L$2:$L$4919,'DETALLE CRONOLÓGICO'!$A$2:$A$4919,$A261)/$F261,"")</f>
        <v/>
      </c>
      <c r="J261" s="6">
        <f>IFERROR(SUMIFS('DETALLE CRONOLÓGICO'!$K$2:$K$4919,'DETALLE CRONOLÓGICO'!$A$2:$A$4919,$A261)/$E261,"")</f>
        <v/>
      </c>
      <c r="K261" s="6">
        <f>_xlfn.MINIFS('DETALLE CRONOLÓGICO'!$K$2:$K$4919,'DETALLE CRONOLÓGICO'!$A$2:$A$4919,$A261)</f>
        <v/>
      </c>
      <c r="L261" s="6">
        <f>_xlfn.MAXIFS('DETALLE CRONOLÓGICO'!$K$2:$K$4919,'DETALLE CRONOLÓGICO'!$A$2:$A$4919,$A261)</f>
        <v/>
      </c>
      <c r="M261" s="6">
        <f>INDEX('DETALLE CRONOLÓGICO'!$K$2:$K$4919,MATCH($A261,'DETALLE CRONOLÓGICO'!$A$2:$A$4919,0)+$E261-1)</f>
        <v/>
      </c>
      <c r="N261" s="7">
        <f>IFERROR($M261/INDEX('DETALLE CRONOLÓGICO'!$K$2:$K$4919,MATCH($A261,'DETALLE CRONOLÓGICO'!$A$2:$A$4919,0))-1,"")</f>
        <v/>
      </c>
      <c r="O261" s="6">
        <f>IFERROR($I261*3,"")</f>
        <v/>
      </c>
      <c r="P261" s="6">
        <f>IFERROR($I261*3.5,"")</f>
        <v/>
      </c>
      <c r="Q261" s="6">
        <f>IFERROR($I261*4,"")</f>
        <v/>
      </c>
      <c r="R261" s="6" t="n">
        <v>830</v>
      </c>
      <c r="S261" s="4" t="n">
        <v>0</v>
      </c>
      <c r="T261" s="1" t="inlineStr">
        <is>
          <t>active</t>
        </is>
      </c>
      <c r="U261" s="8" t="n"/>
      <c r="V261" s="1" t="inlineStr">
        <is>
          <t>SIN PRECIO</t>
        </is>
      </c>
    </row>
    <row r="262">
      <c r="A262" s="1" t="inlineStr">
        <is>
          <t>22064322217229</t>
        </is>
      </c>
      <c r="B262" s="1" t="inlineStr">
        <is>
          <t>LENTES F LOGO</t>
        </is>
      </c>
      <c r="C262" s="1" t="inlineStr">
        <is>
          <t>Default Title</t>
        </is>
      </c>
      <c r="D262" s="1" t="inlineStr">
        <is>
          <t>HAIFENG</t>
        </is>
      </c>
      <c r="E262" s="4">
        <f>COUNTIF('DETALLE CRONOLÓGICO'!$A$2:$A$4919,$A262)</f>
        <v/>
      </c>
      <c r="F262" s="4">
        <f>SUMIFS('DETALLE CRONOLÓGICO'!$I$2:$I$4919,'DETALLE CRONOLÓGICO'!$A$2:$A$4919,$A262)</f>
        <v/>
      </c>
      <c r="G262" s="1">
        <f>INDEX('DETALLE CRONOLÓGICO'!$D$2:$D$4919,MATCH($A262,'DETALLE CRONOLÓGICO'!$A$2:$A$4919,0))</f>
        <v/>
      </c>
      <c r="H262" s="1">
        <f>INDEX('DETALLE CRONOLÓGICO'!$D$2:$D$4919,MATCH($A262,'DETALLE CRONOLÓGICO'!$A$2:$A$4919,0)+$E262-1)</f>
        <v/>
      </c>
      <c r="I262" s="5">
        <f>IFERROR(SUMIFS('DETALLE CRONOLÓGICO'!$L$2:$L$4919,'DETALLE CRONOLÓGICO'!$A$2:$A$4919,$A262)/$F262,"")</f>
        <v/>
      </c>
      <c r="J262" s="6">
        <f>IFERROR(SUMIFS('DETALLE CRONOLÓGICO'!$K$2:$K$4919,'DETALLE CRONOLÓGICO'!$A$2:$A$4919,$A262)/$E262,"")</f>
        <v/>
      </c>
      <c r="K262" s="6">
        <f>_xlfn.MINIFS('DETALLE CRONOLÓGICO'!$K$2:$K$4919,'DETALLE CRONOLÓGICO'!$A$2:$A$4919,$A262)</f>
        <v/>
      </c>
      <c r="L262" s="6">
        <f>_xlfn.MAXIFS('DETALLE CRONOLÓGICO'!$K$2:$K$4919,'DETALLE CRONOLÓGICO'!$A$2:$A$4919,$A262)</f>
        <v/>
      </c>
      <c r="M262" s="6">
        <f>INDEX('DETALLE CRONOLÓGICO'!$K$2:$K$4919,MATCH($A262,'DETALLE CRONOLÓGICO'!$A$2:$A$4919,0)+$E262-1)</f>
        <v/>
      </c>
      <c r="N262" s="7">
        <f>IFERROR($M262/INDEX('DETALLE CRONOLÓGICO'!$K$2:$K$4919,MATCH($A262,'DETALLE CRONOLÓGICO'!$A$2:$A$4919,0))-1,"")</f>
        <v/>
      </c>
      <c r="O262" s="6">
        <f>IFERROR($I262*3,"")</f>
        <v/>
      </c>
      <c r="P262" s="6">
        <f>IFERROR($I262*3.5,"")</f>
        <v/>
      </c>
      <c r="Q262" s="6">
        <f>IFERROR($I262*4,"")</f>
        <v/>
      </c>
      <c r="R262" s="6" t="n">
        <v>2500</v>
      </c>
      <c r="S262" s="4" t="n">
        <v>0</v>
      </c>
      <c r="T262" s="1" t="inlineStr">
        <is>
          <t>active</t>
        </is>
      </c>
      <c r="U262" s="8" t="n"/>
      <c r="V262" s="1" t="inlineStr">
        <is>
          <t>SIN PRECIO</t>
        </is>
      </c>
    </row>
    <row r="263">
      <c r="A263" s="1" t="inlineStr">
        <is>
          <t>22064322363565</t>
        </is>
      </c>
      <c r="B263" s="1" t="inlineStr">
        <is>
          <t>LENTES LV SQUARE</t>
        </is>
      </c>
      <c r="C263" s="1" t="inlineStr">
        <is>
          <t>Default Title</t>
        </is>
      </c>
      <c r="D263" s="1" t="inlineStr">
        <is>
          <t>HAIFENG</t>
        </is>
      </c>
      <c r="E263" s="4">
        <f>COUNTIF('DETALLE CRONOLÓGICO'!$A$2:$A$4919,$A263)</f>
        <v/>
      </c>
      <c r="F263" s="4">
        <f>SUMIFS('DETALLE CRONOLÓGICO'!$I$2:$I$4919,'DETALLE CRONOLÓGICO'!$A$2:$A$4919,$A263)</f>
        <v/>
      </c>
      <c r="G263" s="1">
        <f>INDEX('DETALLE CRONOLÓGICO'!$D$2:$D$4919,MATCH($A263,'DETALLE CRONOLÓGICO'!$A$2:$A$4919,0))</f>
        <v/>
      </c>
      <c r="H263" s="1">
        <f>INDEX('DETALLE CRONOLÓGICO'!$D$2:$D$4919,MATCH($A263,'DETALLE CRONOLÓGICO'!$A$2:$A$4919,0)+$E263-1)</f>
        <v/>
      </c>
      <c r="I263" s="5">
        <f>IFERROR(SUMIFS('DETALLE CRONOLÓGICO'!$L$2:$L$4919,'DETALLE CRONOLÓGICO'!$A$2:$A$4919,$A263)/$F263,"")</f>
        <v/>
      </c>
      <c r="J263" s="6">
        <f>IFERROR(SUMIFS('DETALLE CRONOLÓGICO'!$K$2:$K$4919,'DETALLE CRONOLÓGICO'!$A$2:$A$4919,$A263)/$E263,"")</f>
        <v/>
      </c>
      <c r="K263" s="6">
        <f>_xlfn.MINIFS('DETALLE CRONOLÓGICO'!$K$2:$K$4919,'DETALLE CRONOLÓGICO'!$A$2:$A$4919,$A263)</f>
        <v/>
      </c>
      <c r="L263" s="6">
        <f>_xlfn.MAXIFS('DETALLE CRONOLÓGICO'!$K$2:$K$4919,'DETALLE CRONOLÓGICO'!$A$2:$A$4919,$A263)</f>
        <v/>
      </c>
      <c r="M263" s="6">
        <f>INDEX('DETALLE CRONOLÓGICO'!$K$2:$K$4919,MATCH($A263,'DETALLE CRONOLÓGICO'!$A$2:$A$4919,0)+$E263-1)</f>
        <v/>
      </c>
      <c r="N263" s="7">
        <f>IFERROR($M263/INDEX('DETALLE CRONOLÓGICO'!$K$2:$K$4919,MATCH($A263,'DETALLE CRONOLÓGICO'!$A$2:$A$4919,0))-1,"")</f>
        <v/>
      </c>
      <c r="O263" s="6">
        <f>IFERROR($I263*3,"")</f>
        <v/>
      </c>
      <c r="P263" s="6">
        <f>IFERROR($I263*3.5,"")</f>
        <v/>
      </c>
      <c r="Q263" s="6">
        <f>IFERROR($I263*4,"")</f>
        <v/>
      </c>
      <c r="R263" s="6" t="n">
        <v>4799</v>
      </c>
      <c r="S263" s="4" t="n">
        <v>2</v>
      </c>
      <c r="T263" s="1" t="inlineStr">
        <is>
          <t>active</t>
        </is>
      </c>
      <c r="U263" s="8" t="n"/>
      <c r="V263" s="1" t="inlineStr">
        <is>
          <t>SIN PRECIO</t>
        </is>
      </c>
    </row>
    <row r="264">
      <c r="A264" s="1" t="inlineStr">
        <is>
          <t>22064322466957</t>
        </is>
      </c>
      <c r="B264" s="1" t="inlineStr">
        <is>
          <t>LENTES MM RUNWAY</t>
        </is>
      </c>
      <c r="C264" s="1" t="inlineStr">
        <is>
          <t>Default Title</t>
        </is>
      </c>
      <c r="D264" s="1" t="inlineStr">
        <is>
          <t>HAIFENG</t>
        </is>
      </c>
      <c r="E264" s="4">
        <f>COUNTIF('DETALLE CRONOLÓGICO'!$A$2:$A$4919,$A264)</f>
        <v/>
      </c>
      <c r="F264" s="4">
        <f>SUMIFS('DETALLE CRONOLÓGICO'!$I$2:$I$4919,'DETALLE CRONOLÓGICO'!$A$2:$A$4919,$A264)</f>
        <v/>
      </c>
      <c r="G264" s="1">
        <f>INDEX('DETALLE CRONOLÓGICO'!$D$2:$D$4919,MATCH($A264,'DETALLE CRONOLÓGICO'!$A$2:$A$4919,0))</f>
        <v/>
      </c>
      <c r="H264" s="1">
        <f>INDEX('DETALLE CRONOLÓGICO'!$D$2:$D$4919,MATCH($A264,'DETALLE CRONOLÓGICO'!$A$2:$A$4919,0)+$E264-1)</f>
        <v/>
      </c>
      <c r="I264" s="5">
        <f>IFERROR(SUMIFS('DETALLE CRONOLÓGICO'!$L$2:$L$4919,'DETALLE CRONOLÓGICO'!$A$2:$A$4919,$A264)/$F264,"")</f>
        <v/>
      </c>
      <c r="J264" s="6">
        <f>IFERROR(SUMIFS('DETALLE CRONOLÓGICO'!$K$2:$K$4919,'DETALLE CRONOLÓGICO'!$A$2:$A$4919,$A264)/$E264,"")</f>
        <v/>
      </c>
      <c r="K264" s="6">
        <f>_xlfn.MINIFS('DETALLE CRONOLÓGICO'!$K$2:$K$4919,'DETALLE CRONOLÓGICO'!$A$2:$A$4919,$A264)</f>
        <v/>
      </c>
      <c r="L264" s="6">
        <f>_xlfn.MAXIFS('DETALLE CRONOLÓGICO'!$K$2:$K$4919,'DETALLE CRONOLÓGICO'!$A$2:$A$4919,$A264)</f>
        <v/>
      </c>
      <c r="M264" s="6">
        <f>INDEX('DETALLE CRONOLÓGICO'!$K$2:$K$4919,MATCH($A264,'DETALLE CRONOLÓGICO'!$A$2:$A$4919,0)+$E264-1)</f>
        <v/>
      </c>
      <c r="N264" s="7">
        <f>IFERROR($M264/INDEX('DETALLE CRONOLÓGICO'!$K$2:$K$4919,MATCH($A264,'DETALLE CRONOLÓGICO'!$A$2:$A$4919,0))-1,"")</f>
        <v/>
      </c>
      <c r="O264" s="6">
        <f>IFERROR($I264*3,"")</f>
        <v/>
      </c>
      <c r="P264" s="6">
        <f>IFERROR($I264*3.5,"")</f>
        <v/>
      </c>
      <c r="Q264" s="6">
        <f>IFERROR($I264*4,"")</f>
        <v/>
      </c>
      <c r="R264" s="6" t="n">
        <v>2899</v>
      </c>
      <c r="S264" s="4" t="n">
        <v>2</v>
      </c>
      <c r="T264" s="1" t="inlineStr">
        <is>
          <t>active</t>
        </is>
      </c>
      <c r="U264" s="8" t="n"/>
      <c r="V264" s="1" t="inlineStr">
        <is>
          <t>SIN PRECIO</t>
        </is>
      </c>
    </row>
    <row r="265">
      <c r="A265" s="1" t="inlineStr">
        <is>
          <t>22064322578829</t>
        </is>
      </c>
      <c r="B265" s="1" t="inlineStr">
        <is>
          <t>ARETES BV B.ZERO ROSE GOLD</t>
        </is>
      </c>
      <c r="C265" s="1" t="inlineStr">
        <is>
          <t>Default Title</t>
        </is>
      </c>
      <c r="D265" s="1" t="inlineStr">
        <is>
          <t>HAIFENG</t>
        </is>
      </c>
      <c r="E265" s="4">
        <f>COUNTIF('DETALLE CRONOLÓGICO'!$A$2:$A$4919,$A265)</f>
        <v/>
      </c>
      <c r="F265" s="4">
        <f>SUMIFS('DETALLE CRONOLÓGICO'!$I$2:$I$4919,'DETALLE CRONOLÓGICO'!$A$2:$A$4919,$A265)</f>
        <v/>
      </c>
      <c r="G265" s="1">
        <f>INDEX('DETALLE CRONOLÓGICO'!$D$2:$D$4919,MATCH($A265,'DETALLE CRONOLÓGICO'!$A$2:$A$4919,0))</f>
        <v/>
      </c>
      <c r="H265" s="1">
        <f>INDEX('DETALLE CRONOLÓGICO'!$D$2:$D$4919,MATCH($A265,'DETALLE CRONOLÓGICO'!$A$2:$A$4919,0)+$E265-1)</f>
        <v/>
      </c>
      <c r="I265" s="5">
        <f>IFERROR(SUMIFS('DETALLE CRONOLÓGICO'!$L$2:$L$4919,'DETALLE CRONOLÓGICO'!$A$2:$A$4919,$A265)/$F265,"")</f>
        <v/>
      </c>
      <c r="J265" s="6">
        <f>IFERROR(SUMIFS('DETALLE CRONOLÓGICO'!$K$2:$K$4919,'DETALLE CRONOLÓGICO'!$A$2:$A$4919,$A265)/$E265,"")</f>
        <v/>
      </c>
      <c r="K265" s="6">
        <f>_xlfn.MINIFS('DETALLE CRONOLÓGICO'!$K$2:$K$4919,'DETALLE CRONOLÓGICO'!$A$2:$A$4919,$A265)</f>
        <v/>
      </c>
      <c r="L265" s="6">
        <f>_xlfn.MAXIFS('DETALLE CRONOLÓGICO'!$K$2:$K$4919,'DETALLE CRONOLÓGICO'!$A$2:$A$4919,$A265)</f>
        <v/>
      </c>
      <c r="M265" s="6">
        <f>INDEX('DETALLE CRONOLÓGICO'!$K$2:$K$4919,MATCH($A265,'DETALLE CRONOLÓGICO'!$A$2:$A$4919,0)+$E265-1)</f>
        <v/>
      </c>
      <c r="N265" s="7">
        <f>IFERROR($M265/INDEX('DETALLE CRONOLÓGICO'!$K$2:$K$4919,MATCH($A265,'DETALLE CRONOLÓGICO'!$A$2:$A$4919,0))-1,"")</f>
        <v/>
      </c>
      <c r="O265" s="6">
        <f>IFERROR($I265*3,"")</f>
        <v/>
      </c>
      <c r="P265" s="6">
        <f>IFERROR($I265*3.5,"")</f>
        <v/>
      </c>
      <c r="Q265" s="6">
        <f>IFERROR($I265*4,"")</f>
        <v/>
      </c>
      <c r="R265" s="6" t="n">
        <v>824</v>
      </c>
      <c r="S265" s="4" t="n">
        <v>2</v>
      </c>
      <c r="T265" s="1" t="inlineStr">
        <is>
          <t>active</t>
        </is>
      </c>
      <c r="U265" s="8" t="n"/>
      <c r="V265" s="1" t="inlineStr">
        <is>
          <t>SIN PRECIO</t>
        </is>
      </c>
    </row>
    <row r="266">
      <c r="A266" s="1" t="inlineStr">
        <is>
          <t>22064322680525</t>
        </is>
      </c>
      <c r="B266" s="1" t="inlineStr">
        <is>
          <t>ANILLO BV ROSE GOLD PEARL</t>
        </is>
      </c>
      <c r="C266" s="1" t="inlineStr">
        <is>
          <t>6</t>
        </is>
      </c>
      <c r="D266" s="1" t="inlineStr">
        <is>
          <t>HAIFENG</t>
        </is>
      </c>
      <c r="E266" s="4">
        <f>COUNTIF('DETALLE CRONOLÓGICO'!$A$2:$A$4919,$A266)</f>
        <v/>
      </c>
      <c r="F266" s="4">
        <f>SUMIFS('DETALLE CRONOLÓGICO'!$I$2:$I$4919,'DETALLE CRONOLÓGICO'!$A$2:$A$4919,$A266)</f>
        <v/>
      </c>
      <c r="G266" s="1">
        <f>INDEX('DETALLE CRONOLÓGICO'!$D$2:$D$4919,MATCH($A266,'DETALLE CRONOLÓGICO'!$A$2:$A$4919,0))</f>
        <v/>
      </c>
      <c r="H266" s="1">
        <f>INDEX('DETALLE CRONOLÓGICO'!$D$2:$D$4919,MATCH($A266,'DETALLE CRONOLÓGICO'!$A$2:$A$4919,0)+$E266-1)</f>
        <v/>
      </c>
      <c r="I266" s="5">
        <f>IFERROR(SUMIFS('DETALLE CRONOLÓGICO'!$L$2:$L$4919,'DETALLE CRONOLÓGICO'!$A$2:$A$4919,$A266)/$F266,"")</f>
        <v/>
      </c>
      <c r="J266" s="6">
        <f>IFERROR(SUMIFS('DETALLE CRONOLÓGICO'!$K$2:$K$4919,'DETALLE CRONOLÓGICO'!$A$2:$A$4919,$A266)/$E266,"")</f>
        <v/>
      </c>
      <c r="K266" s="6">
        <f>_xlfn.MINIFS('DETALLE CRONOLÓGICO'!$K$2:$K$4919,'DETALLE CRONOLÓGICO'!$A$2:$A$4919,$A266)</f>
        <v/>
      </c>
      <c r="L266" s="6">
        <f>_xlfn.MAXIFS('DETALLE CRONOLÓGICO'!$K$2:$K$4919,'DETALLE CRONOLÓGICO'!$A$2:$A$4919,$A266)</f>
        <v/>
      </c>
      <c r="M266" s="6">
        <f>INDEX('DETALLE CRONOLÓGICO'!$K$2:$K$4919,MATCH($A266,'DETALLE CRONOLÓGICO'!$A$2:$A$4919,0)+$E266-1)</f>
        <v/>
      </c>
      <c r="N266" s="7">
        <f>IFERROR($M266/INDEX('DETALLE CRONOLÓGICO'!$K$2:$K$4919,MATCH($A266,'DETALLE CRONOLÓGICO'!$A$2:$A$4919,0))-1,"")</f>
        <v/>
      </c>
      <c r="O266" s="6">
        <f>IFERROR($I266*3,"")</f>
        <v/>
      </c>
      <c r="P266" s="6">
        <f>IFERROR($I266*3.5,"")</f>
        <v/>
      </c>
      <c r="Q266" s="6">
        <f>IFERROR($I266*4,"")</f>
        <v/>
      </c>
      <c r="R266" s="6" t="n">
        <v>750</v>
      </c>
      <c r="S266" s="4" t="n">
        <v>0</v>
      </c>
      <c r="T266" s="1" t="inlineStr">
        <is>
          <t>active</t>
        </is>
      </c>
      <c r="U266" s="8" t="n"/>
      <c r="V266" s="1" t="inlineStr">
        <is>
          <t>SIN PRECIO</t>
        </is>
      </c>
    </row>
    <row r="267">
      <c r="A267" s="1" t="inlineStr">
        <is>
          <t>22064322713293</t>
        </is>
      </c>
      <c r="B267" s="1" t="inlineStr">
        <is>
          <t>ANILLO BV ROSE GOLD PEARL</t>
        </is>
      </c>
      <c r="C267" s="1" t="inlineStr">
        <is>
          <t>7</t>
        </is>
      </c>
      <c r="D267" s="1" t="inlineStr">
        <is>
          <t>HAIFENG</t>
        </is>
      </c>
      <c r="E267" s="4">
        <f>COUNTIF('DETALLE CRONOLÓGICO'!$A$2:$A$4919,$A267)</f>
        <v/>
      </c>
      <c r="F267" s="4">
        <f>SUMIFS('DETALLE CRONOLÓGICO'!$I$2:$I$4919,'DETALLE CRONOLÓGICO'!$A$2:$A$4919,$A267)</f>
        <v/>
      </c>
      <c r="G267" s="1">
        <f>INDEX('DETALLE CRONOLÓGICO'!$D$2:$D$4919,MATCH($A267,'DETALLE CRONOLÓGICO'!$A$2:$A$4919,0))</f>
        <v/>
      </c>
      <c r="H267" s="1">
        <f>INDEX('DETALLE CRONOLÓGICO'!$D$2:$D$4919,MATCH($A267,'DETALLE CRONOLÓGICO'!$A$2:$A$4919,0)+$E267-1)</f>
        <v/>
      </c>
      <c r="I267" s="5">
        <f>IFERROR(SUMIFS('DETALLE CRONOLÓGICO'!$L$2:$L$4919,'DETALLE CRONOLÓGICO'!$A$2:$A$4919,$A267)/$F267,"")</f>
        <v/>
      </c>
      <c r="J267" s="6">
        <f>IFERROR(SUMIFS('DETALLE CRONOLÓGICO'!$K$2:$K$4919,'DETALLE CRONOLÓGICO'!$A$2:$A$4919,$A267)/$E267,"")</f>
        <v/>
      </c>
      <c r="K267" s="6">
        <f>_xlfn.MINIFS('DETALLE CRONOLÓGICO'!$K$2:$K$4919,'DETALLE CRONOLÓGICO'!$A$2:$A$4919,$A267)</f>
        <v/>
      </c>
      <c r="L267" s="6">
        <f>_xlfn.MAXIFS('DETALLE CRONOLÓGICO'!$K$2:$K$4919,'DETALLE CRONOLÓGICO'!$A$2:$A$4919,$A267)</f>
        <v/>
      </c>
      <c r="M267" s="6">
        <f>INDEX('DETALLE CRONOLÓGICO'!$K$2:$K$4919,MATCH($A267,'DETALLE CRONOLÓGICO'!$A$2:$A$4919,0)+$E267-1)</f>
        <v/>
      </c>
      <c r="N267" s="7">
        <f>IFERROR($M267/INDEX('DETALLE CRONOLÓGICO'!$K$2:$K$4919,MATCH($A267,'DETALLE CRONOLÓGICO'!$A$2:$A$4919,0))-1,"")</f>
        <v/>
      </c>
      <c r="O267" s="6">
        <f>IFERROR($I267*3,"")</f>
        <v/>
      </c>
      <c r="P267" s="6">
        <f>IFERROR($I267*3.5,"")</f>
        <v/>
      </c>
      <c r="Q267" s="6">
        <f>IFERROR($I267*4,"")</f>
        <v/>
      </c>
      <c r="R267" s="6" t="n">
        <v>750</v>
      </c>
      <c r="S267" s="4" t="n">
        <v>2</v>
      </c>
      <c r="T267" s="1" t="inlineStr">
        <is>
          <t>active</t>
        </is>
      </c>
      <c r="U267" s="8" t="n"/>
      <c r="V267" s="1" t="inlineStr">
        <is>
          <t>SIN PRECIO</t>
        </is>
      </c>
    </row>
    <row r="268">
      <c r="A268" s="1" t="inlineStr">
        <is>
          <t>22064322816685</t>
        </is>
      </c>
      <c r="B268" s="1" t="inlineStr">
        <is>
          <t>ANILLO SERPENTI VIPER ROSE GOLD GREEN</t>
        </is>
      </c>
      <c r="C268" s="1" t="inlineStr">
        <is>
          <t>7</t>
        </is>
      </c>
      <c r="D268" s="1" t="inlineStr">
        <is>
          <t>HAIFENG</t>
        </is>
      </c>
      <c r="E268" s="4">
        <f>COUNTIF('DETALLE CRONOLÓGICO'!$A$2:$A$4919,$A268)</f>
        <v/>
      </c>
      <c r="F268" s="4">
        <f>SUMIFS('DETALLE CRONOLÓGICO'!$I$2:$I$4919,'DETALLE CRONOLÓGICO'!$A$2:$A$4919,$A268)</f>
        <v/>
      </c>
      <c r="G268" s="1">
        <f>INDEX('DETALLE CRONOLÓGICO'!$D$2:$D$4919,MATCH($A268,'DETALLE CRONOLÓGICO'!$A$2:$A$4919,0))</f>
        <v/>
      </c>
      <c r="H268" s="1">
        <f>INDEX('DETALLE CRONOLÓGICO'!$D$2:$D$4919,MATCH($A268,'DETALLE CRONOLÓGICO'!$A$2:$A$4919,0)+$E268-1)</f>
        <v/>
      </c>
      <c r="I268" s="5">
        <f>IFERROR(SUMIFS('DETALLE CRONOLÓGICO'!$L$2:$L$4919,'DETALLE CRONOLÓGICO'!$A$2:$A$4919,$A268)/$F268,"")</f>
        <v/>
      </c>
      <c r="J268" s="6">
        <f>IFERROR(SUMIFS('DETALLE CRONOLÓGICO'!$K$2:$K$4919,'DETALLE CRONOLÓGICO'!$A$2:$A$4919,$A268)/$E268,"")</f>
        <v/>
      </c>
      <c r="K268" s="6">
        <f>_xlfn.MINIFS('DETALLE CRONOLÓGICO'!$K$2:$K$4919,'DETALLE CRONOLÓGICO'!$A$2:$A$4919,$A268)</f>
        <v/>
      </c>
      <c r="L268" s="6">
        <f>_xlfn.MAXIFS('DETALLE CRONOLÓGICO'!$K$2:$K$4919,'DETALLE CRONOLÓGICO'!$A$2:$A$4919,$A268)</f>
        <v/>
      </c>
      <c r="M268" s="6">
        <f>INDEX('DETALLE CRONOLÓGICO'!$K$2:$K$4919,MATCH($A268,'DETALLE CRONOLÓGICO'!$A$2:$A$4919,0)+$E268-1)</f>
        <v/>
      </c>
      <c r="N268" s="7">
        <f>IFERROR($M268/INDEX('DETALLE CRONOLÓGICO'!$K$2:$K$4919,MATCH($A268,'DETALLE CRONOLÓGICO'!$A$2:$A$4919,0))-1,"")</f>
        <v/>
      </c>
      <c r="O268" s="6">
        <f>IFERROR($I268*3,"")</f>
        <v/>
      </c>
      <c r="P268" s="6">
        <f>IFERROR($I268*3.5,"")</f>
        <v/>
      </c>
      <c r="Q268" s="6">
        <f>IFERROR($I268*4,"")</f>
        <v/>
      </c>
      <c r="R268" s="6" t="n">
        <v>899</v>
      </c>
      <c r="S268" s="4" t="n">
        <v>1</v>
      </c>
      <c r="T268" s="1" t="inlineStr">
        <is>
          <t>active</t>
        </is>
      </c>
      <c r="U268" s="8" t="n"/>
      <c r="V268" s="1" t="inlineStr">
        <is>
          <t>SIN PRECIO</t>
        </is>
      </c>
    </row>
    <row r="269">
      <c r="A269" s="1" t="inlineStr">
        <is>
          <t>22064322949453</t>
        </is>
      </c>
      <c r="B269" s="1" t="inlineStr">
        <is>
          <t>ANILLO SERPENTI VIPER ROSE GOLD GREEN</t>
        </is>
      </c>
      <c r="C269" s="1" t="inlineStr">
        <is>
          <t>8</t>
        </is>
      </c>
      <c r="D269" s="1" t="inlineStr">
        <is>
          <t>HAIFENG</t>
        </is>
      </c>
      <c r="E269" s="4">
        <f>COUNTIF('DETALLE CRONOLÓGICO'!$A$2:$A$4919,$A269)</f>
        <v/>
      </c>
      <c r="F269" s="4">
        <f>SUMIFS('DETALLE CRONOLÓGICO'!$I$2:$I$4919,'DETALLE CRONOLÓGICO'!$A$2:$A$4919,$A269)</f>
        <v/>
      </c>
      <c r="G269" s="1">
        <f>INDEX('DETALLE CRONOLÓGICO'!$D$2:$D$4919,MATCH($A269,'DETALLE CRONOLÓGICO'!$A$2:$A$4919,0))</f>
        <v/>
      </c>
      <c r="H269" s="1">
        <f>INDEX('DETALLE CRONOLÓGICO'!$D$2:$D$4919,MATCH($A269,'DETALLE CRONOLÓGICO'!$A$2:$A$4919,0)+$E269-1)</f>
        <v/>
      </c>
      <c r="I269" s="5">
        <f>IFERROR(SUMIFS('DETALLE CRONOLÓGICO'!$L$2:$L$4919,'DETALLE CRONOLÓGICO'!$A$2:$A$4919,$A269)/$F269,"")</f>
        <v/>
      </c>
      <c r="J269" s="6">
        <f>IFERROR(SUMIFS('DETALLE CRONOLÓGICO'!$K$2:$K$4919,'DETALLE CRONOLÓGICO'!$A$2:$A$4919,$A269)/$E269,"")</f>
        <v/>
      </c>
      <c r="K269" s="6">
        <f>_xlfn.MINIFS('DETALLE CRONOLÓGICO'!$K$2:$K$4919,'DETALLE CRONOLÓGICO'!$A$2:$A$4919,$A269)</f>
        <v/>
      </c>
      <c r="L269" s="6">
        <f>_xlfn.MAXIFS('DETALLE CRONOLÓGICO'!$K$2:$K$4919,'DETALLE CRONOLÓGICO'!$A$2:$A$4919,$A269)</f>
        <v/>
      </c>
      <c r="M269" s="6">
        <f>INDEX('DETALLE CRONOLÓGICO'!$K$2:$K$4919,MATCH($A269,'DETALLE CRONOLÓGICO'!$A$2:$A$4919,0)+$E269-1)</f>
        <v/>
      </c>
      <c r="N269" s="7">
        <f>IFERROR($M269/INDEX('DETALLE CRONOLÓGICO'!$K$2:$K$4919,MATCH($A269,'DETALLE CRONOLÓGICO'!$A$2:$A$4919,0))-1,"")</f>
        <v/>
      </c>
      <c r="O269" s="6">
        <f>IFERROR($I269*3,"")</f>
        <v/>
      </c>
      <c r="P269" s="6">
        <f>IFERROR($I269*3.5,"")</f>
        <v/>
      </c>
      <c r="Q269" s="6">
        <f>IFERROR($I269*4,"")</f>
        <v/>
      </c>
      <c r="R269" s="6" t="n">
        <v>899</v>
      </c>
      <c r="S269" s="4" t="n">
        <v>2</v>
      </c>
      <c r="T269" s="1" t="inlineStr">
        <is>
          <t>active</t>
        </is>
      </c>
      <c r="U269" s="8" t="n"/>
      <c r="V269" s="1" t="inlineStr">
        <is>
          <t>SIN PRECIO</t>
        </is>
      </c>
    </row>
    <row r="270">
      <c r="A270" s="1" t="inlineStr">
        <is>
          <t>22064323054541</t>
        </is>
      </c>
      <c r="B270" s="1" t="inlineStr">
        <is>
          <t>ANILLO SERPENTI VIPER ROSE GOLD WHITE</t>
        </is>
      </c>
      <c r="C270" s="1" t="inlineStr">
        <is>
          <t>7</t>
        </is>
      </c>
      <c r="D270" s="1" t="inlineStr">
        <is>
          <t>HAIFENG</t>
        </is>
      </c>
      <c r="E270" s="4">
        <f>COUNTIF('DETALLE CRONOLÓGICO'!$A$2:$A$4919,$A270)</f>
        <v/>
      </c>
      <c r="F270" s="4">
        <f>SUMIFS('DETALLE CRONOLÓGICO'!$I$2:$I$4919,'DETALLE CRONOLÓGICO'!$A$2:$A$4919,$A270)</f>
        <v/>
      </c>
      <c r="G270" s="1">
        <f>INDEX('DETALLE CRONOLÓGICO'!$D$2:$D$4919,MATCH($A270,'DETALLE CRONOLÓGICO'!$A$2:$A$4919,0))</f>
        <v/>
      </c>
      <c r="H270" s="1">
        <f>INDEX('DETALLE CRONOLÓGICO'!$D$2:$D$4919,MATCH($A270,'DETALLE CRONOLÓGICO'!$A$2:$A$4919,0)+$E270-1)</f>
        <v/>
      </c>
      <c r="I270" s="5">
        <f>IFERROR(SUMIFS('DETALLE CRONOLÓGICO'!$L$2:$L$4919,'DETALLE CRONOLÓGICO'!$A$2:$A$4919,$A270)/$F270,"")</f>
        <v/>
      </c>
      <c r="J270" s="6">
        <f>IFERROR(SUMIFS('DETALLE CRONOLÓGICO'!$K$2:$K$4919,'DETALLE CRONOLÓGICO'!$A$2:$A$4919,$A270)/$E270,"")</f>
        <v/>
      </c>
      <c r="K270" s="6">
        <f>_xlfn.MINIFS('DETALLE CRONOLÓGICO'!$K$2:$K$4919,'DETALLE CRONOLÓGICO'!$A$2:$A$4919,$A270)</f>
        <v/>
      </c>
      <c r="L270" s="6">
        <f>_xlfn.MAXIFS('DETALLE CRONOLÓGICO'!$K$2:$K$4919,'DETALLE CRONOLÓGICO'!$A$2:$A$4919,$A270)</f>
        <v/>
      </c>
      <c r="M270" s="6">
        <f>INDEX('DETALLE CRONOLÓGICO'!$K$2:$K$4919,MATCH($A270,'DETALLE CRONOLÓGICO'!$A$2:$A$4919,0)+$E270-1)</f>
        <v/>
      </c>
      <c r="N270" s="7">
        <f>IFERROR($M270/INDEX('DETALLE CRONOLÓGICO'!$K$2:$K$4919,MATCH($A270,'DETALLE CRONOLÓGICO'!$A$2:$A$4919,0))-1,"")</f>
        <v/>
      </c>
      <c r="O270" s="6">
        <f>IFERROR($I270*3,"")</f>
        <v/>
      </c>
      <c r="P270" s="6">
        <f>IFERROR($I270*3.5,"")</f>
        <v/>
      </c>
      <c r="Q270" s="6">
        <f>IFERROR($I270*4,"")</f>
        <v/>
      </c>
      <c r="R270" s="6" t="n">
        <v>899</v>
      </c>
      <c r="S270" s="4" t="n">
        <v>2</v>
      </c>
      <c r="T270" s="1" t="inlineStr">
        <is>
          <t>active</t>
        </is>
      </c>
      <c r="U270" s="8" t="n"/>
      <c r="V270" s="1" t="inlineStr">
        <is>
          <t>SIN PRECIO</t>
        </is>
      </c>
    </row>
    <row r="271">
      <c r="A271" s="1" t="inlineStr">
        <is>
          <t>22064323187309</t>
        </is>
      </c>
      <c r="B271" s="1" t="inlineStr">
        <is>
          <t>ANILLO SERPENTI VIPER ROSE GOLD WHITE</t>
        </is>
      </c>
      <c r="C271" s="1" t="inlineStr">
        <is>
          <t>8</t>
        </is>
      </c>
      <c r="D271" s="1" t="inlineStr">
        <is>
          <t>HAIFENG</t>
        </is>
      </c>
      <c r="E271" s="4">
        <f>COUNTIF('DETALLE CRONOLÓGICO'!$A$2:$A$4919,$A271)</f>
        <v/>
      </c>
      <c r="F271" s="4">
        <f>SUMIFS('DETALLE CRONOLÓGICO'!$I$2:$I$4919,'DETALLE CRONOLÓGICO'!$A$2:$A$4919,$A271)</f>
        <v/>
      </c>
      <c r="G271" s="1">
        <f>INDEX('DETALLE CRONOLÓGICO'!$D$2:$D$4919,MATCH($A271,'DETALLE CRONOLÓGICO'!$A$2:$A$4919,0))</f>
        <v/>
      </c>
      <c r="H271" s="1">
        <f>INDEX('DETALLE CRONOLÓGICO'!$D$2:$D$4919,MATCH($A271,'DETALLE CRONOLÓGICO'!$A$2:$A$4919,0)+$E271-1)</f>
        <v/>
      </c>
      <c r="I271" s="5">
        <f>IFERROR(SUMIFS('DETALLE CRONOLÓGICO'!$L$2:$L$4919,'DETALLE CRONOLÓGICO'!$A$2:$A$4919,$A271)/$F271,"")</f>
        <v/>
      </c>
      <c r="J271" s="6">
        <f>IFERROR(SUMIFS('DETALLE CRONOLÓGICO'!$K$2:$K$4919,'DETALLE CRONOLÓGICO'!$A$2:$A$4919,$A271)/$E271,"")</f>
        <v/>
      </c>
      <c r="K271" s="6">
        <f>_xlfn.MINIFS('DETALLE CRONOLÓGICO'!$K$2:$K$4919,'DETALLE CRONOLÓGICO'!$A$2:$A$4919,$A271)</f>
        <v/>
      </c>
      <c r="L271" s="6">
        <f>_xlfn.MAXIFS('DETALLE CRONOLÓGICO'!$K$2:$K$4919,'DETALLE CRONOLÓGICO'!$A$2:$A$4919,$A271)</f>
        <v/>
      </c>
      <c r="M271" s="6">
        <f>INDEX('DETALLE CRONOLÓGICO'!$K$2:$K$4919,MATCH($A271,'DETALLE CRONOLÓGICO'!$A$2:$A$4919,0)+$E271-1)</f>
        <v/>
      </c>
      <c r="N271" s="7">
        <f>IFERROR($M271/INDEX('DETALLE CRONOLÓGICO'!$K$2:$K$4919,MATCH($A271,'DETALLE CRONOLÓGICO'!$A$2:$A$4919,0))-1,"")</f>
        <v/>
      </c>
      <c r="O271" s="6">
        <f>IFERROR($I271*3,"")</f>
        <v/>
      </c>
      <c r="P271" s="6">
        <f>IFERROR($I271*3.5,"")</f>
        <v/>
      </c>
      <c r="Q271" s="6">
        <f>IFERROR($I271*4,"")</f>
        <v/>
      </c>
      <c r="R271" s="6" t="n">
        <v>899</v>
      </c>
      <c r="S271" s="4" t="n">
        <v>0</v>
      </c>
      <c r="T271" s="1" t="inlineStr">
        <is>
          <t>active</t>
        </is>
      </c>
      <c r="U271" s="8" t="n"/>
      <c r="V271" s="1" t="inlineStr">
        <is>
          <t>SIN PRECIO</t>
        </is>
      </c>
    </row>
    <row r="272">
      <c r="A272" s="1" t="inlineStr">
        <is>
          <t>22064323225165</t>
        </is>
      </c>
      <c r="B272" s="1" t="inlineStr">
        <is>
          <t>ANILLO DIVAS DREAM ROSE GOLD</t>
        </is>
      </c>
      <c r="C272" s="1" t="inlineStr">
        <is>
          <t>6</t>
        </is>
      </c>
      <c r="D272" s="1" t="inlineStr">
        <is>
          <t>HAIFENG</t>
        </is>
      </c>
      <c r="E272" s="4">
        <f>COUNTIF('DETALLE CRONOLÓGICO'!$A$2:$A$4919,$A272)</f>
        <v/>
      </c>
      <c r="F272" s="4">
        <f>SUMIFS('DETALLE CRONOLÓGICO'!$I$2:$I$4919,'DETALLE CRONOLÓGICO'!$A$2:$A$4919,$A272)</f>
        <v/>
      </c>
      <c r="G272" s="1">
        <f>INDEX('DETALLE CRONOLÓGICO'!$D$2:$D$4919,MATCH($A272,'DETALLE CRONOLÓGICO'!$A$2:$A$4919,0))</f>
        <v/>
      </c>
      <c r="H272" s="1">
        <f>INDEX('DETALLE CRONOLÓGICO'!$D$2:$D$4919,MATCH($A272,'DETALLE CRONOLÓGICO'!$A$2:$A$4919,0)+$E272-1)</f>
        <v/>
      </c>
      <c r="I272" s="5">
        <f>IFERROR(SUMIFS('DETALLE CRONOLÓGICO'!$L$2:$L$4919,'DETALLE CRONOLÓGICO'!$A$2:$A$4919,$A272)/$F272,"")</f>
        <v/>
      </c>
      <c r="J272" s="6">
        <f>IFERROR(SUMIFS('DETALLE CRONOLÓGICO'!$K$2:$K$4919,'DETALLE CRONOLÓGICO'!$A$2:$A$4919,$A272)/$E272,"")</f>
        <v/>
      </c>
      <c r="K272" s="6">
        <f>_xlfn.MINIFS('DETALLE CRONOLÓGICO'!$K$2:$K$4919,'DETALLE CRONOLÓGICO'!$A$2:$A$4919,$A272)</f>
        <v/>
      </c>
      <c r="L272" s="6">
        <f>_xlfn.MAXIFS('DETALLE CRONOLÓGICO'!$K$2:$K$4919,'DETALLE CRONOLÓGICO'!$A$2:$A$4919,$A272)</f>
        <v/>
      </c>
      <c r="M272" s="6">
        <f>INDEX('DETALLE CRONOLÓGICO'!$K$2:$K$4919,MATCH($A272,'DETALLE CRONOLÓGICO'!$A$2:$A$4919,0)+$E272-1)</f>
        <v/>
      </c>
      <c r="N272" s="7">
        <f>IFERROR($M272/INDEX('DETALLE CRONOLÓGICO'!$K$2:$K$4919,MATCH($A272,'DETALLE CRONOLÓGICO'!$A$2:$A$4919,0))-1,"")</f>
        <v/>
      </c>
      <c r="O272" s="6">
        <f>IFERROR($I272*3,"")</f>
        <v/>
      </c>
      <c r="P272" s="6">
        <f>IFERROR($I272*3.5,"")</f>
        <v/>
      </c>
      <c r="Q272" s="6">
        <f>IFERROR($I272*4,"")</f>
        <v/>
      </c>
      <c r="R272" s="6" t="n">
        <v>599</v>
      </c>
      <c r="S272" s="4" t="n">
        <v>1</v>
      </c>
      <c r="T272" s="1" t="inlineStr">
        <is>
          <t>active</t>
        </is>
      </c>
      <c r="U272" s="8" t="n"/>
      <c r="V272" s="1" t="inlineStr">
        <is>
          <t>SIN PRECIO</t>
        </is>
      </c>
    </row>
    <row r="273">
      <c r="A273" s="1" t="inlineStr">
        <is>
          <t>22064323357933</t>
        </is>
      </c>
      <c r="B273" s="1" t="inlineStr">
        <is>
          <t>ANILLO DIVAS DREAM ROSE GOLD</t>
        </is>
      </c>
      <c r="C273" s="1" t="inlineStr">
        <is>
          <t>7</t>
        </is>
      </c>
      <c r="D273" s="1" t="inlineStr">
        <is>
          <t>HAIFENG</t>
        </is>
      </c>
      <c r="E273" s="4">
        <f>COUNTIF('DETALLE CRONOLÓGICO'!$A$2:$A$4919,$A273)</f>
        <v/>
      </c>
      <c r="F273" s="4">
        <f>SUMIFS('DETALLE CRONOLÓGICO'!$I$2:$I$4919,'DETALLE CRONOLÓGICO'!$A$2:$A$4919,$A273)</f>
        <v/>
      </c>
      <c r="G273" s="1">
        <f>INDEX('DETALLE CRONOLÓGICO'!$D$2:$D$4919,MATCH($A273,'DETALLE CRONOLÓGICO'!$A$2:$A$4919,0))</f>
        <v/>
      </c>
      <c r="H273" s="1">
        <f>INDEX('DETALLE CRONOLÓGICO'!$D$2:$D$4919,MATCH($A273,'DETALLE CRONOLÓGICO'!$A$2:$A$4919,0)+$E273-1)</f>
        <v/>
      </c>
      <c r="I273" s="5">
        <f>IFERROR(SUMIFS('DETALLE CRONOLÓGICO'!$L$2:$L$4919,'DETALLE CRONOLÓGICO'!$A$2:$A$4919,$A273)/$F273,"")</f>
        <v/>
      </c>
      <c r="J273" s="6">
        <f>IFERROR(SUMIFS('DETALLE CRONOLÓGICO'!$K$2:$K$4919,'DETALLE CRONOLÓGICO'!$A$2:$A$4919,$A273)/$E273,"")</f>
        <v/>
      </c>
      <c r="K273" s="6">
        <f>_xlfn.MINIFS('DETALLE CRONOLÓGICO'!$K$2:$K$4919,'DETALLE CRONOLÓGICO'!$A$2:$A$4919,$A273)</f>
        <v/>
      </c>
      <c r="L273" s="6">
        <f>_xlfn.MAXIFS('DETALLE CRONOLÓGICO'!$K$2:$K$4919,'DETALLE CRONOLÓGICO'!$A$2:$A$4919,$A273)</f>
        <v/>
      </c>
      <c r="M273" s="6">
        <f>INDEX('DETALLE CRONOLÓGICO'!$K$2:$K$4919,MATCH($A273,'DETALLE CRONOLÓGICO'!$A$2:$A$4919,0)+$E273-1)</f>
        <v/>
      </c>
      <c r="N273" s="7">
        <f>IFERROR($M273/INDEX('DETALLE CRONOLÓGICO'!$K$2:$K$4919,MATCH($A273,'DETALLE CRONOLÓGICO'!$A$2:$A$4919,0))-1,"")</f>
        <v/>
      </c>
      <c r="O273" s="6">
        <f>IFERROR($I273*3,"")</f>
        <v/>
      </c>
      <c r="P273" s="6">
        <f>IFERROR($I273*3.5,"")</f>
        <v/>
      </c>
      <c r="Q273" s="6">
        <f>IFERROR($I273*4,"")</f>
        <v/>
      </c>
      <c r="R273" s="6" t="n">
        <v>599</v>
      </c>
      <c r="S273" s="4" t="n">
        <v>2</v>
      </c>
      <c r="T273" s="1" t="inlineStr">
        <is>
          <t>active</t>
        </is>
      </c>
      <c r="U273" s="8" t="n"/>
      <c r="V273" s="1" t="inlineStr">
        <is>
          <t>SIN PRECIO</t>
        </is>
      </c>
    </row>
    <row r="274">
      <c r="A274" s="1" t="inlineStr">
        <is>
          <t>22064323404269</t>
        </is>
      </c>
      <c r="B274" s="1" t="inlineStr">
        <is>
          <t>ANILLO FLOWER DOBLE SILVER</t>
        </is>
      </c>
      <c r="C274" s="1" t="inlineStr">
        <is>
          <t>Default Title</t>
        </is>
      </c>
      <c r="D274" s="1" t="inlineStr">
        <is>
          <t>HAIFENG</t>
        </is>
      </c>
      <c r="E274" s="4">
        <f>COUNTIF('DETALLE CRONOLÓGICO'!$A$2:$A$4919,$A274)</f>
        <v/>
      </c>
      <c r="F274" s="4">
        <f>SUMIFS('DETALLE CRONOLÓGICO'!$I$2:$I$4919,'DETALLE CRONOLÓGICO'!$A$2:$A$4919,$A274)</f>
        <v/>
      </c>
      <c r="G274" s="1">
        <f>INDEX('DETALLE CRONOLÓGICO'!$D$2:$D$4919,MATCH($A274,'DETALLE CRONOLÓGICO'!$A$2:$A$4919,0))</f>
        <v/>
      </c>
      <c r="H274" s="1">
        <f>INDEX('DETALLE CRONOLÓGICO'!$D$2:$D$4919,MATCH($A274,'DETALLE CRONOLÓGICO'!$A$2:$A$4919,0)+$E274-1)</f>
        <v/>
      </c>
      <c r="I274" s="5">
        <f>IFERROR(SUMIFS('DETALLE CRONOLÓGICO'!$L$2:$L$4919,'DETALLE CRONOLÓGICO'!$A$2:$A$4919,$A274)/$F274,"")</f>
        <v/>
      </c>
      <c r="J274" s="6">
        <f>IFERROR(SUMIFS('DETALLE CRONOLÓGICO'!$K$2:$K$4919,'DETALLE CRONOLÓGICO'!$A$2:$A$4919,$A274)/$E274,"")</f>
        <v/>
      </c>
      <c r="K274" s="6">
        <f>_xlfn.MINIFS('DETALLE CRONOLÓGICO'!$K$2:$K$4919,'DETALLE CRONOLÓGICO'!$A$2:$A$4919,$A274)</f>
        <v/>
      </c>
      <c r="L274" s="6">
        <f>_xlfn.MAXIFS('DETALLE CRONOLÓGICO'!$K$2:$K$4919,'DETALLE CRONOLÓGICO'!$A$2:$A$4919,$A274)</f>
        <v/>
      </c>
      <c r="M274" s="6">
        <f>INDEX('DETALLE CRONOLÓGICO'!$K$2:$K$4919,MATCH($A274,'DETALLE CRONOLÓGICO'!$A$2:$A$4919,0)+$E274-1)</f>
        <v/>
      </c>
      <c r="N274" s="7">
        <f>IFERROR($M274/INDEX('DETALLE CRONOLÓGICO'!$K$2:$K$4919,MATCH($A274,'DETALLE CRONOLÓGICO'!$A$2:$A$4919,0))-1,"")</f>
        <v/>
      </c>
      <c r="O274" s="6">
        <f>IFERROR($I274*3,"")</f>
        <v/>
      </c>
      <c r="P274" s="6">
        <f>IFERROR($I274*3.5,"")</f>
        <v/>
      </c>
      <c r="Q274" s="6">
        <f>IFERROR($I274*4,"")</f>
        <v/>
      </c>
      <c r="R274" s="6" t="n">
        <v>799</v>
      </c>
      <c r="S274" s="4" t="n">
        <v>3</v>
      </c>
      <c r="T274" s="1" t="inlineStr">
        <is>
          <t>active</t>
        </is>
      </c>
      <c r="U274" s="8" t="n"/>
      <c r="V274" s="1" t="inlineStr">
        <is>
          <t>SIN PRECIO</t>
        </is>
      </c>
    </row>
    <row r="275">
      <c r="A275" s="1" t="inlineStr">
        <is>
          <t>22064323571501</t>
        </is>
      </c>
      <c r="B275" s="1" t="inlineStr">
        <is>
          <t>ANILLO FLOWER DOBLE GOLD</t>
        </is>
      </c>
      <c r="C275" s="1" t="inlineStr">
        <is>
          <t>Default Title</t>
        </is>
      </c>
      <c r="D275" s="1" t="inlineStr">
        <is>
          <t>HAIFENG</t>
        </is>
      </c>
      <c r="E275" s="4">
        <f>COUNTIF('DETALLE CRONOLÓGICO'!$A$2:$A$4919,$A275)</f>
        <v/>
      </c>
      <c r="F275" s="4">
        <f>SUMIFS('DETALLE CRONOLÓGICO'!$I$2:$I$4919,'DETALLE CRONOLÓGICO'!$A$2:$A$4919,$A275)</f>
        <v/>
      </c>
      <c r="G275" s="1">
        <f>INDEX('DETALLE CRONOLÓGICO'!$D$2:$D$4919,MATCH($A275,'DETALLE CRONOLÓGICO'!$A$2:$A$4919,0))</f>
        <v/>
      </c>
      <c r="H275" s="1">
        <f>INDEX('DETALLE CRONOLÓGICO'!$D$2:$D$4919,MATCH($A275,'DETALLE CRONOLÓGICO'!$A$2:$A$4919,0)+$E275-1)</f>
        <v/>
      </c>
      <c r="I275" s="5">
        <f>IFERROR(SUMIFS('DETALLE CRONOLÓGICO'!$L$2:$L$4919,'DETALLE CRONOLÓGICO'!$A$2:$A$4919,$A275)/$F275,"")</f>
        <v/>
      </c>
      <c r="J275" s="6">
        <f>IFERROR(SUMIFS('DETALLE CRONOLÓGICO'!$K$2:$K$4919,'DETALLE CRONOLÓGICO'!$A$2:$A$4919,$A275)/$E275,"")</f>
        <v/>
      </c>
      <c r="K275" s="6">
        <f>_xlfn.MINIFS('DETALLE CRONOLÓGICO'!$K$2:$K$4919,'DETALLE CRONOLÓGICO'!$A$2:$A$4919,$A275)</f>
        <v/>
      </c>
      <c r="L275" s="6">
        <f>_xlfn.MAXIFS('DETALLE CRONOLÓGICO'!$K$2:$K$4919,'DETALLE CRONOLÓGICO'!$A$2:$A$4919,$A275)</f>
        <v/>
      </c>
      <c r="M275" s="6">
        <f>INDEX('DETALLE CRONOLÓGICO'!$K$2:$K$4919,MATCH($A275,'DETALLE CRONOLÓGICO'!$A$2:$A$4919,0)+$E275-1)</f>
        <v/>
      </c>
      <c r="N275" s="7">
        <f>IFERROR($M275/INDEX('DETALLE CRONOLÓGICO'!$K$2:$K$4919,MATCH($A275,'DETALLE CRONOLÓGICO'!$A$2:$A$4919,0))-1,"")</f>
        <v/>
      </c>
      <c r="O275" s="6">
        <f>IFERROR($I275*3,"")</f>
        <v/>
      </c>
      <c r="P275" s="6">
        <f>IFERROR($I275*3.5,"")</f>
        <v/>
      </c>
      <c r="Q275" s="6">
        <f>IFERROR($I275*4,"")</f>
        <v/>
      </c>
      <c r="R275" s="6" t="n">
        <v>750</v>
      </c>
      <c r="S275" s="4" t="n">
        <v>3</v>
      </c>
      <c r="T275" s="1" t="inlineStr">
        <is>
          <t>active</t>
        </is>
      </c>
      <c r="U275" s="8" t="n"/>
      <c r="V275" s="1" t="inlineStr">
        <is>
          <t>SIN PRECIO</t>
        </is>
      </c>
    </row>
    <row r="276">
      <c r="A276" s="1" t="inlineStr">
        <is>
          <t>22064323607661</t>
        </is>
      </c>
      <c r="B276" s="1" t="inlineStr">
        <is>
          <t>ANILLO MARIPOSA DOBLE SILVER</t>
        </is>
      </c>
      <c r="C276" s="1" t="inlineStr">
        <is>
          <t>Default Title</t>
        </is>
      </c>
      <c r="D276" s="1" t="inlineStr">
        <is>
          <t>HAIFENG</t>
        </is>
      </c>
      <c r="E276" s="4">
        <f>COUNTIF('DETALLE CRONOLÓGICO'!$A$2:$A$4919,$A276)</f>
        <v/>
      </c>
      <c r="F276" s="4">
        <f>SUMIFS('DETALLE CRONOLÓGICO'!$I$2:$I$4919,'DETALLE CRONOLÓGICO'!$A$2:$A$4919,$A276)</f>
        <v/>
      </c>
      <c r="G276" s="1">
        <f>INDEX('DETALLE CRONOLÓGICO'!$D$2:$D$4919,MATCH($A276,'DETALLE CRONOLÓGICO'!$A$2:$A$4919,0))</f>
        <v/>
      </c>
      <c r="H276" s="1">
        <f>INDEX('DETALLE CRONOLÓGICO'!$D$2:$D$4919,MATCH($A276,'DETALLE CRONOLÓGICO'!$A$2:$A$4919,0)+$E276-1)</f>
        <v/>
      </c>
      <c r="I276" s="5">
        <f>IFERROR(SUMIFS('DETALLE CRONOLÓGICO'!$L$2:$L$4919,'DETALLE CRONOLÓGICO'!$A$2:$A$4919,$A276)/$F276,"")</f>
        <v/>
      </c>
      <c r="J276" s="6">
        <f>IFERROR(SUMIFS('DETALLE CRONOLÓGICO'!$K$2:$K$4919,'DETALLE CRONOLÓGICO'!$A$2:$A$4919,$A276)/$E276,"")</f>
        <v/>
      </c>
      <c r="K276" s="6">
        <f>_xlfn.MINIFS('DETALLE CRONOLÓGICO'!$K$2:$K$4919,'DETALLE CRONOLÓGICO'!$A$2:$A$4919,$A276)</f>
        <v/>
      </c>
      <c r="L276" s="6">
        <f>_xlfn.MAXIFS('DETALLE CRONOLÓGICO'!$K$2:$K$4919,'DETALLE CRONOLÓGICO'!$A$2:$A$4919,$A276)</f>
        <v/>
      </c>
      <c r="M276" s="6">
        <f>INDEX('DETALLE CRONOLÓGICO'!$K$2:$K$4919,MATCH($A276,'DETALLE CRONOLÓGICO'!$A$2:$A$4919,0)+$E276-1)</f>
        <v/>
      </c>
      <c r="N276" s="7">
        <f>IFERROR($M276/INDEX('DETALLE CRONOLÓGICO'!$K$2:$K$4919,MATCH($A276,'DETALLE CRONOLÓGICO'!$A$2:$A$4919,0))-1,"")</f>
        <v/>
      </c>
      <c r="O276" s="6">
        <f>IFERROR($I276*3,"")</f>
        <v/>
      </c>
      <c r="P276" s="6">
        <f>IFERROR($I276*3.5,"")</f>
        <v/>
      </c>
      <c r="Q276" s="6">
        <f>IFERROR($I276*4,"")</f>
        <v/>
      </c>
      <c r="R276" s="6" t="n">
        <v>750</v>
      </c>
      <c r="S276" s="4" t="n">
        <v>3</v>
      </c>
      <c r="T276" s="1" t="inlineStr">
        <is>
          <t>active</t>
        </is>
      </c>
      <c r="U276" s="8" t="n"/>
      <c r="V276" s="1" t="inlineStr">
        <is>
          <t>SIN PRECIO</t>
        </is>
      </c>
    </row>
    <row r="277">
      <c r="A277" s="1" t="inlineStr">
        <is>
          <t>22064323778285</t>
        </is>
      </c>
      <c r="B277" s="1" t="inlineStr">
        <is>
          <t>ANILLO FLOWER HALF ZIRCONIAS GOLD</t>
        </is>
      </c>
      <c r="C277" s="1" t="inlineStr">
        <is>
          <t>Default Title</t>
        </is>
      </c>
      <c r="D277" s="1" t="inlineStr">
        <is>
          <t>HAIFENG</t>
        </is>
      </c>
      <c r="E277" s="4">
        <f>COUNTIF('DETALLE CRONOLÓGICO'!$A$2:$A$4919,$A277)</f>
        <v/>
      </c>
      <c r="F277" s="4">
        <f>SUMIFS('DETALLE CRONOLÓGICO'!$I$2:$I$4919,'DETALLE CRONOLÓGICO'!$A$2:$A$4919,$A277)</f>
        <v/>
      </c>
      <c r="G277" s="1">
        <f>INDEX('DETALLE CRONOLÓGICO'!$D$2:$D$4919,MATCH($A277,'DETALLE CRONOLÓGICO'!$A$2:$A$4919,0))</f>
        <v/>
      </c>
      <c r="H277" s="1">
        <f>INDEX('DETALLE CRONOLÓGICO'!$D$2:$D$4919,MATCH($A277,'DETALLE CRONOLÓGICO'!$A$2:$A$4919,0)+$E277-1)</f>
        <v/>
      </c>
      <c r="I277" s="5">
        <f>IFERROR(SUMIFS('DETALLE CRONOLÓGICO'!$L$2:$L$4919,'DETALLE CRONOLÓGICO'!$A$2:$A$4919,$A277)/$F277,"")</f>
        <v/>
      </c>
      <c r="J277" s="6">
        <f>IFERROR(SUMIFS('DETALLE CRONOLÓGICO'!$K$2:$K$4919,'DETALLE CRONOLÓGICO'!$A$2:$A$4919,$A277)/$E277,"")</f>
        <v/>
      </c>
      <c r="K277" s="6">
        <f>_xlfn.MINIFS('DETALLE CRONOLÓGICO'!$K$2:$K$4919,'DETALLE CRONOLÓGICO'!$A$2:$A$4919,$A277)</f>
        <v/>
      </c>
      <c r="L277" s="6">
        <f>_xlfn.MAXIFS('DETALLE CRONOLÓGICO'!$K$2:$K$4919,'DETALLE CRONOLÓGICO'!$A$2:$A$4919,$A277)</f>
        <v/>
      </c>
      <c r="M277" s="6">
        <f>INDEX('DETALLE CRONOLÓGICO'!$K$2:$K$4919,MATCH($A277,'DETALLE CRONOLÓGICO'!$A$2:$A$4919,0)+$E277-1)</f>
        <v/>
      </c>
      <c r="N277" s="7">
        <f>IFERROR($M277/INDEX('DETALLE CRONOLÓGICO'!$K$2:$K$4919,MATCH($A277,'DETALLE CRONOLÓGICO'!$A$2:$A$4919,0))-1,"")</f>
        <v/>
      </c>
      <c r="O277" s="6">
        <f>IFERROR($I277*3,"")</f>
        <v/>
      </c>
      <c r="P277" s="6">
        <f>IFERROR($I277*3.5,"")</f>
        <v/>
      </c>
      <c r="Q277" s="6">
        <f>IFERROR($I277*4,"")</f>
        <v/>
      </c>
      <c r="R277" s="6" t="n">
        <v>799</v>
      </c>
      <c r="S277" s="4" t="n">
        <v>3</v>
      </c>
      <c r="T277" s="1" t="inlineStr">
        <is>
          <t>active</t>
        </is>
      </c>
      <c r="U277" s="8" t="n"/>
      <c r="V277" s="1" t="inlineStr">
        <is>
          <t>SIN PRECIO</t>
        </is>
      </c>
    </row>
    <row r="278">
      <c r="A278" s="1" t="inlineStr">
        <is>
          <t>22064323845517</t>
        </is>
      </c>
      <c r="B278" s="1" t="inlineStr">
        <is>
          <t>ANILLO MARIQUITA ROSE GOLD</t>
        </is>
      </c>
      <c r="C278" s="1" t="inlineStr">
        <is>
          <t>Default Title</t>
        </is>
      </c>
      <c r="D278" s="1" t="inlineStr">
        <is>
          <t>HAIFENG</t>
        </is>
      </c>
      <c r="E278" s="4">
        <f>COUNTIF('DETALLE CRONOLÓGICO'!$A$2:$A$4919,$A278)</f>
        <v/>
      </c>
      <c r="F278" s="4">
        <f>SUMIFS('DETALLE CRONOLÓGICO'!$I$2:$I$4919,'DETALLE CRONOLÓGICO'!$A$2:$A$4919,$A278)</f>
        <v/>
      </c>
      <c r="G278" s="1">
        <f>INDEX('DETALLE CRONOLÓGICO'!$D$2:$D$4919,MATCH($A278,'DETALLE CRONOLÓGICO'!$A$2:$A$4919,0))</f>
        <v/>
      </c>
      <c r="H278" s="1">
        <f>INDEX('DETALLE CRONOLÓGICO'!$D$2:$D$4919,MATCH($A278,'DETALLE CRONOLÓGICO'!$A$2:$A$4919,0)+$E278-1)</f>
        <v/>
      </c>
      <c r="I278" s="5">
        <f>IFERROR(SUMIFS('DETALLE CRONOLÓGICO'!$L$2:$L$4919,'DETALLE CRONOLÓGICO'!$A$2:$A$4919,$A278)/$F278,"")</f>
        <v/>
      </c>
      <c r="J278" s="6">
        <f>IFERROR(SUMIFS('DETALLE CRONOLÓGICO'!$K$2:$K$4919,'DETALLE CRONOLÓGICO'!$A$2:$A$4919,$A278)/$E278,"")</f>
        <v/>
      </c>
      <c r="K278" s="6">
        <f>_xlfn.MINIFS('DETALLE CRONOLÓGICO'!$K$2:$K$4919,'DETALLE CRONOLÓGICO'!$A$2:$A$4919,$A278)</f>
        <v/>
      </c>
      <c r="L278" s="6">
        <f>_xlfn.MAXIFS('DETALLE CRONOLÓGICO'!$K$2:$K$4919,'DETALLE CRONOLÓGICO'!$A$2:$A$4919,$A278)</f>
        <v/>
      </c>
      <c r="M278" s="6">
        <f>INDEX('DETALLE CRONOLÓGICO'!$K$2:$K$4919,MATCH($A278,'DETALLE CRONOLÓGICO'!$A$2:$A$4919,0)+$E278-1)</f>
        <v/>
      </c>
      <c r="N278" s="7">
        <f>IFERROR($M278/INDEX('DETALLE CRONOLÓGICO'!$K$2:$K$4919,MATCH($A278,'DETALLE CRONOLÓGICO'!$A$2:$A$4919,0))-1,"")</f>
        <v/>
      </c>
      <c r="O278" s="6">
        <f>IFERROR($I278*3,"")</f>
        <v/>
      </c>
      <c r="P278" s="6">
        <f>IFERROR($I278*3.5,"")</f>
        <v/>
      </c>
      <c r="Q278" s="6">
        <f>IFERROR($I278*4,"")</f>
        <v/>
      </c>
      <c r="R278" s="6" t="n">
        <v>799</v>
      </c>
      <c r="S278" s="4" t="n">
        <v>2</v>
      </c>
      <c r="T278" s="1" t="inlineStr">
        <is>
          <t>active</t>
        </is>
      </c>
      <c r="U278" s="8" t="n"/>
      <c r="V278" s="1" t="inlineStr">
        <is>
          <t>SIN PRECIO</t>
        </is>
      </c>
    </row>
    <row r="279">
      <c r="A279" s="1" t="inlineStr">
        <is>
          <t>22064323912749</t>
        </is>
      </c>
      <c r="B279" s="1" t="inlineStr">
        <is>
          <t>PULSERA HEART ROSE GOLD</t>
        </is>
      </c>
      <c r="C279" s="1" t="inlineStr">
        <is>
          <t>Default Title</t>
        </is>
      </c>
      <c r="D279" s="1" t="inlineStr">
        <is>
          <t>HAIFENG</t>
        </is>
      </c>
      <c r="E279" s="4">
        <f>COUNTIF('DETALLE CRONOLÓGICO'!$A$2:$A$4919,$A279)</f>
        <v/>
      </c>
      <c r="F279" s="4">
        <f>SUMIFS('DETALLE CRONOLÓGICO'!$I$2:$I$4919,'DETALLE CRONOLÓGICO'!$A$2:$A$4919,$A279)</f>
        <v/>
      </c>
      <c r="G279" s="1">
        <f>INDEX('DETALLE CRONOLÓGICO'!$D$2:$D$4919,MATCH($A279,'DETALLE CRONOLÓGICO'!$A$2:$A$4919,0))</f>
        <v/>
      </c>
      <c r="H279" s="1">
        <f>INDEX('DETALLE CRONOLÓGICO'!$D$2:$D$4919,MATCH($A279,'DETALLE CRONOLÓGICO'!$A$2:$A$4919,0)+$E279-1)</f>
        <v/>
      </c>
      <c r="I279" s="5">
        <f>IFERROR(SUMIFS('DETALLE CRONOLÓGICO'!$L$2:$L$4919,'DETALLE CRONOLÓGICO'!$A$2:$A$4919,$A279)/$F279,"")</f>
        <v/>
      </c>
      <c r="J279" s="6">
        <f>IFERROR(SUMIFS('DETALLE CRONOLÓGICO'!$K$2:$K$4919,'DETALLE CRONOLÓGICO'!$A$2:$A$4919,$A279)/$E279,"")</f>
        <v/>
      </c>
      <c r="K279" s="6">
        <f>_xlfn.MINIFS('DETALLE CRONOLÓGICO'!$K$2:$K$4919,'DETALLE CRONOLÓGICO'!$A$2:$A$4919,$A279)</f>
        <v/>
      </c>
      <c r="L279" s="6">
        <f>_xlfn.MAXIFS('DETALLE CRONOLÓGICO'!$K$2:$K$4919,'DETALLE CRONOLÓGICO'!$A$2:$A$4919,$A279)</f>
        <v/>
      </c>
      <c r="M279" s="6">
        <f>INDEX('DETALLE CRONOLÓGICO'!$K$2:$K$4919,MATCH($A279,'DETALLE CRONOLÓGICO'!$A$2:$A$4919,0)+$E279-1)</f>
        <v/>
      </c>
      <c r="N279" s="7">
        <f>IFERROR($M279/INDEX('DETALLE CRONOLÓGICO'!$K$2:$K$4919,MATCH($A279,'DETALLE CRONOLÓGICO'!$A$2:$A$4919,0))-1,"")</f>
        <v/>
      </c>
      <c r="O279" s="6">
        <f>IFERROR($I279*3,"")</f>
        <v/>
      </c>
      <c r="P279" s="6">
        <f>IFERROR($I279*3.5,"")</f>
        <v/>
      </c>
      <c r="Q279" s="6">
        <f>IFERROR($I279*4,"")</f>
        <v/>
      </c>
      <c r="R279" s="6" t="n">
        <v>499</v>
      </c>
      <c r="S279" s="4" t="n">
        <v>4</v>
      </c>
      <c r="T279" s="1" t="inlineStr">
        <is>
          <t>active</t>
        </is>
      </c>
      <c r="U279" s="8" t="n"/>
      <c r="V279" s="1" t="inlineStr">
        <is>
          <t>SIN PRECIO</t>
        </is>
      </c>
    </row>
    <row r="280">
      <c r="A280" s="1" t="inlineStr">
        <is>
          <t>22064324048909</t>
        </is>
      </c>
      <c r="B280" s="1" t="inlineStr">
        <is>
          <t>COLLAR MARIPOSA ROSE GOLD WHITE</t>
        </is>
      </c>
      <c r="C280" s="1" t="inlineStr">
        <is>
          <t>Default Title</t>
        </is>
      </c>
      <c r="D280" s="1" t="inlineStr">
        <is>
          <t>HAIFENG</t>
        </is>
      </c>
      <c r="E280" s="4">
        <f>COUNTIF('DETALLE CRONOLÓGICO'!$A$2:$A$4919,$A280)</f>
        <v/>
      </c>
      <c r="F280" s="4">
        <f>SUMIFS('DETALLE CRONOLÓGICO'!$I$2:$I$4919,'DETALLE CRONOLÓGICO'!$A$2:$A$4919,$A280)</f>
        <v/>
      </c>
      <c r="G280" s="1">
        <f>INDEX('DETALLE CRONOLÓGICO'!$D$2:$D$4919,MATCH($A280,'DETALLE CRONOLÓGICO'!$A$2:$A$4919,0))</f>
        <v/>
      </c>
      <c r="H280" s="1">
        <f>INDEX('DETALLE CRONOLÓGICO'!$D$2:$D$4919,MATCH($A280,'DETALLE CRONOLÓGICO'!$A$2:$A$4919,0)+$E280-1)</f>
        <v/>
      </c>
      <c r="I280" s="5">
        <f>IFERROR(SUMIFS('DETALLE CRONOLÓGICO'!$L$2:$L$4919,'DETALLE CRONOLÓGICO'!$A$2:$A$4919,$A280)/$F280,"")</f>
        <v/>
      </c>
      <c r="J280" s="6">
        <f>IFERROR(SUMIFS('DETALLE CRONOLÓGICO'!$K$2:$K$4919,'DETALLE CRONOLÓGICO'!$A$2:$A$4919,$A280)/$E280,"")</f>
        <v/>
      </c>
      <c r="K280" s="6">
        <f>_xlfn.MINIFS('DETALLE CRONOLÓGICO'!$K$2:$K$4919,'DETALLE CRONOLÓGICO'!$A$2:$A$4919,$A280)</f>
        <v/>
      </c>
      <c r="L280" s="6">
        <f>_xlfn.MAXIFS('DETALLE CRONOLÓGICO'!$K$2:$K$4919,'DETALLE CRONOLÓGICO'!$A$2:$A$4919,$A280)</f>
        <v/>
      </c>
      <c r="M280" s="6">
        <f>INDEX('DETALLE CRONOLÓGICO'!$K$2:$K$4919,MATCH($A280,'DETALLE CRONOLÓGICO'!$A$2:$A$4919,0)+$E280-1)</f>
        <v/>
      </c>
      <c r="N280" s="7">
        <f>IFERROR($M280/INDEX('DETALLE CRONOLÓGICO'!$K$2:$K$4919,MATCH($A280,'DETALLE CRONOLÓGICO'!$A$2:$A$4919,0))-1,"")</f>
        <v/>
      </c>
      <c r="O280" s="6">
        <f>IFERROR($I280*3,"")</f>
        <v/>
      </c>
      <c r="P280" s="6">
        <f>IFERROR($I280*3.5,"")</f>
        <v/>
      </c>
      <c r="Q280" s="6">
        <f>IFERROR($I280*4,"")</f>
        <v/>
      </c>
      <c r="R280" s="6" t="n">
        <v>499</v>
      </c>
      <c r="S280" s="4" t="n">
        <v>2</v>
      </c>
      <c r="T280" s="1" t="inlineStr">
        <is>
          <t>active</t>
        </is>
      </c>
      <c r="U280" s="8" t="n"/>
      <c r="V280" s="1" t="inlineStr">
        <is>
          <t>SIN PRECIO</t>
        </is>
      </c>
    </row>
    <row r="281">
      <c r="A281" s="1" t="inlineStr">
        <is>
          <t>22064324185069</t>
        </is>
      </c>
      <c r="B281" s="1" t="inlineStr">
        <is>
          <t>COLLAR MARIPOSA SILVER ZIRCONIAS</t>
        </is>
      </c>
      <c r="C281" s="1" t="inlineStr">
        <is>
          <t>Default Title</t>
        </is>
      </c>
      <c r="D281" s="1" t="inlineStr">
        <is>
          <t>HAIFENG</t>
        </is>
      </c>
      <c r="E281" s="4">
        <f>COUNTIF('DETALLE CRONOLÓGICO'!$A$2:$A$4919,$A281)</f>
        <v/>
      </c>
      <c r="F281" s="4">
        <f>SUMIFS('DETALLE CRONOLÓGICO'!$I$2:$I$4919,'DETALLE CRONOLÓGICO'!$A$2:$A$4919,$A281)</f>
        <v/>
      </c>
      <c r="G281" s="1">
        <f>INDEX('DETALLE CRONOLÓGICO'!$D$2:$D$4919,MATCH($A281,'DETALLE CRONOLÓGICO'!$A$2:$A$4919,0))</f>
        <v/>
      </c>
      <c r="H281" s="1">
        <f>INDEX('DETALLE CRONOLÓGICO'!$D$2:$D$4919,MATCH($A281,'DETALLE CRONOLÓGICO'!$A$2:$A$4919,0)+$E281-1)</f>
        <v/>
      </c>
      <c r="I281" s="5">
        <f>IFERROR(SUMIFS('DETALLE CRONOLÓGICO'!$L$2:$L$4919,'DETALLE CRONOLÓGICO'!$A$2:$A$4919,$A281)/$F281,"")</f>
        <v/>
      </c>
      <c r="J281" s="6">
        <f>IFERROR(SUMIFS('DETALLE CRONOLÓGICO'!$K$2:$K$4919,'DETALLE CRONOLÓGICO'!$A$2:$A$4919,$A281)/$E281,"")</f>
        <v/>
      </c>
      <c r="K281" s="6">
        <f>_xlfn.MINIFS('DETALLE CRONOLÓGICO'!$K$2:$K$4919,'DETALLE CRONOLÓGICO'!$A$2:$A$4919,$A281)</f>
        <v/>
      </c>
      <c r="L281" s="6">
        <f>_xlfn.MAXIFS('DETALLE CRONOLÓGICO'!$K$2:$K$4919,'DETALLE CRONOLÓGICO'!$A$2:$A$4919,$A281)</f>
        <v/>
      </c>
      <c r="M281" s="6">
        <f>INDEX('DETALLE CRONOLÓGICO'!$K$2:$K$4919,MATCH($A281,'DETALLE CRONOLÓGICO'!$A$2:$A$4919,0)+$E281-1)</f>
        <v/>
      </c>
      <c r="N281" s="7">
        <f>IFERROR($M281/INDEX('DETALLE CRONOLÓGICO'!$K$2:$K$4919,MATCH($A281,'DETALLE CRONOLÓGICO'!$A$2:$A$4919,0))-1,"")</f>
        <v/>
      </c>
      <c r="O281" s="6">
        <f>IFERROR($I281*3,"")</f>
        <v/>
      </c>
      <c r="P281" s="6">
        <f>IFERROR($I281*3.5,"")</f>
        <v/>
      </c>
      <c r="Q281" s="6">
        <f>IFERROR($I281*4,"")</f>
        <v/>
      </c>
      <c r="R281" s="6" t="n">
        <v>599</v>
      </c>
      <c r="S281" s="4" t="n">
        <v>3</v>
      </c>
      <c r="T281" s="1" t="inlineStr">
        <is>
          <t>draft</t>
        </is>
      </c>
      <c r="U281" s="8" t="n"/>
      <c r="V281" s="1" t="inlineStr">
        <is>
          <t>SIN PRECIO</t>
        </is>
      </c>
    </row>
    <row r="282">
      <c r="A282" s="1" t="inlineStr">
        <is>
          <t>22064324293549</t>
        </is>
      </c>
      <c r="B282" s="1" t="inlineStr">
        <is>
          <t>COLLAR MARIPOSA TURQUESA GOLD</t>
        </is>
      </c>
      <c r="C282" s="1" t="inlineStr">
        <is>
          <t>Default Title</t>
        </is>
      </c>
      <c r="D282" s="1" t="inlineStr">
        <is>
          <t>HAIFENG</t>
        </is>
      </c>
      <c r="E282" s="4">
        <f>COUNTIF('DETALLE CRONOLÓGICO'!$A$2:$A$4919,$A282)</f>
        <v/>
      </c>
      <c r="F282" s="4">
        <f>SUMIFS('DETALLE CRONOLÓGICO'!$I$2:$I$4919,'DETALLE CRONOLÓGICO'!$A$2:$A$4919,$A282)</f>
        <v/>
      </c>
      <c r="G282" s="1">
        <f>INDEX('DETALLE CRONOLÓGICO'!$D$2:$D$4919,MATCH($A282,'DETALLE CRONOLÓGICO'!$A$2:$A$4919,0))</f>
        <v/>
      </c>
      <c r="H282" s="1">
        <f>INDEX('DETALLE CRONOLÓGICO'!$D$2:$D$4919,MATCH($A282,'DETALLE CRONOLÓGICO'!$A$2:$A$4919,0)+$E282-1)</f>
        <v/>
      </c>
      <c r="I282" s="5">
        <f>IFERROR(SUMIFS('DETALLE CRONOLÓGICO'!$L$2:$L$4919,'DETALLE CRONOLÓGICO'!$A$2:$A$4919,$A282)/$F282,"")</f>
        <v/>
      </c>
      <c r="J282" s="6">
        <f>IFERROR(SUMIFS('DETALLE CRONOLÓGICO'!$K$2:$K$4919,'DETALLE CRONOLÓGICO'!$A$2:$A$4919,$A282)/$E282,"")</f>
        <v/>
      </c>
      <c r="K282" s="6">
        <f>_xlfn.MINIFS('DETALLE CRONOLÓGICO'!$K$2:$K$4919,'DETALLE CRONOLÓGICO'!$A$2:$A$4919,$A282)</f>
        <v/>
      </c>
      <c r="L282" s="6">
        <f>_xlfn.MAXIFS('DETALLE CRONOLÓGICO'!$K$2:$K$4919,'DETALLE CRONOLÓGICO'!$A$2:$A$4919,$A282)</f>
        <v/>
      </c>
      <c r="M282" s="6">
        <f>INDEX('DETALLE CRONOLÓGICO'!$K$2:$K$4919,MATCH($A282,'DETALLE CRONOLÓGICO'!$A$2:$A$4919,0)+$E282-1)</f>
        <v/>
      </c>
      <c r="N282" s="7">
        <f>IFERROR($M282/INDEX('DETALLE CRONOLÓGICO'!$K$2:$K$4919,MATCH($A282,'DETALLE CRONOLÓGICO'!$A$2:$A$4919,0))-1,"")</f>
        <v/>
      </c>
      <c r="O282" s="6">
        <f>IFERROR($I282*3,"")</f>
        <v/>
      </c>
      <c r="P282" s="6">
        <f>IFERROR($I282*3.5,"")</f>
        <v/>
      </c>
      <c r="Q282" s="6">
        <f>IFERROR($I282*4,"")</f>
        <v/>
      </c>
      <c r="R282" s="6" t="n">
        <v>499</v>
      </c>
      <c r="S282" s="4" t="n">
        <v>0</v>
      </c>
      <c r="T282" s="1" t="inlineStr">
        <is>
          <t>active</t>
        </is>
      </c>
      <c r="U282" s="8" t="n"/>
      <c r="V282" s="1" t="inlineStr">
        <is>
          <t>SIN PRECIO</t>
        </is>
      </c>
    </row>
    <row r="283">
      <c r="A283" s="1" t="inlineStr">
        <is>
          <t>22064324357101</t>
        </is>
      </c>
      <c r="B283" s="1" t="inlineStr">
        <is>
          <t>PULSERA T SILVER PADLOCK</t>
        </is>
      </c>
      <c r="C283" s="1" t="inlineStr">
        <is>
          <t>Default Title</t>
        </is>
      </c>
      <c r="D283" s="1" t="inlineStr">
        <is>
          <t>HAIFENG</t>
        </is>
      </c>
      <c r="E283" s="4">
        <f>COUNTIF('DETALLE CRONOLÓGICO'!$A$2:$A$4919,$A283)</f>
        <v/>
      </c>
      <c r="F283" s="4">
        <f>SUMIFS('DETALLE CRONOLÓGICO'!$I$2:$I$4919,'DETALLE CRONOLÓGICO'!$A$2:$A$4919,$A283)</f>
        <v/>
      </c>
      <c r="G283" s="1">
        <f>INDEX('DETALLE CRONOLÓGICO'!$D$2:$D$4919,MATCH($A283,'DETALLE CRONOLÓGICO'!$A$2:$A$4919,0))</f>
        <v/>
      </c>
      <c r="H283" s="1">
        <f>INDEX('DETALLE CRONOLÓGICO'!$D$2:$D$4919,MATCH($A283,'DETALLE CRONOLÓGICO'!$A$2:$A$4919,0)+$E283-1)</f>
        <v/>
      </c>
      <c r="I283" s="5">
        <f>IFERROR(SUMIFS('DETALLE CRONOLÓGICO'!$L$2:$L$4919,'DETALLE CRONOLÓGICO'!$A$2:$A$4919,$A283)/$F283,"")</f>
        <v/>
      </c>
      <c r="J283" s="6">
        <f>IFERROR(SUMIFS('DETALLE CRONOLÓGICO'!$K$2:$K$4919,'DETALLE CRONOLÓGICO'!$A$2:$A$4919,$A283)/$E283,"")</f>
        <v/>
      </c>
      <c r="K283" s="6">
        <f>_xlfn.MINIFS('DETALLE CRONOLÓGICO'!$K$2:$K$4919,'DETALLE CRONOLÓGICO'!$A$2:$A$4919,$A283)</f>
        <v/>
      </c>
      <c r="L283" s="6">
        <f>_xlfn.MAXIFS('DETALLE CRONOLÓGICO'!$K$2:$K$4919,'DETALLE CRONOLÓGICO'!$A$2:$A$4919,$A283)</f>
        <v/>
      </c>
      <c r="M283" s="6">
        <f>INDEX('DETALLE CRONOLÓGICO'!$K$2:$K$4919,MATCH($A283,'DETALLE CRONOLÓGICO'!$A$2:$A$4919,0)+$E283-1)</f>
        <v/>
      </c>
      <c r="N283" s="7">
        <f>IFERROR($M283/INDEX('DETALLE CRONOLÓGICO'!$K$2:$K$4919,MATCH($A283,'DETALLE CRONOLÓGICO'!$A$2:$A$4919,0))-1,"")</f>
        <v/>
      </c>
      <c r="O283" s="6">
        <f>IFERROR($I283*3,"")</f>
        <v/>
      </c>
      <c r="P283" s="6">
        <f>IFERROR($I283*3.5,"")</f>
        <v/>
      </c>
      <c r="Q283" s="6">
        <f>IFERROR($I283*4,"")</f>
        <v/>
      </c>
      <c r="R283" s="6" t="n">
        <v>499</v>
      </c>
      <c r="S283" s="4" t="n">
        <v>3</v>
      </c>
      <c r="T283" s="1" t="inlineStr">
        <is>
          <t>active</t>
        </is>
      </c>
      <c r="U283" s="8" t="n"/>
      <c r="V283" s="1" t="inlineStr">
        <is>
          <t>SIN PRECIO</t>
        </is>
      </c>
    </row>
    <row r="284">
      <c r="A284" s="1" t="inlineStr">
        <is>
          <t>22154981086081</t>
        </is>
      </c>
      <c r="B284" s="1" t="inlineStr">
        <is>
          <t>COLLAR DOBLE PLACA - GOLD PINK</t>
        </is>
      </c>
      <c r="C284" s="1" t="inlineStr">
        <is>
          <t>44.5cm</t>
        </is>
      </c>
      <c r="D284" s="1" t="inlineStr">
        <is>
          <t>ZOEY</t>
        </is>
      </c>
      <c r="E284" s="4">
        <f>COUNTIF('DETALLE CRONOLÓGICO'!$A$2:$A$4919,$A284)</f>
        <v/>
      </c>
      <c r="F284" s="4">
        <f>SUMIFS('DETALLE CRONOLÓGICO'!$I$2:$I$4919,'DETALLE CRONOLÓGICO'!$A$2:$A$4919,$A284)</f>
        <v/>
      </c>
      <c r="G284" s="1">
        <f>INDEX('DETALLE CRONOLÓGICO'!$D$2:$D$4919,MATCH($A284,'DETALLE CRONOLÓGICO'!$A$2:$A$4919,0))</f>
        <v/>
      </c>
      <c r="H284" s="1">
        <f>INDEX('DETALLE CRONOLÓGICO'!$D$2:$D$4919,MATCH($A284,'DETALLE CRONOLÓGICO'!$A$2:$A$4919,0)+$E284-1)</f>
        <v/>
      </c>
      <c r="I284" s="5">
        <f>IFERROR(SUMIFS('DETALLE CRONOLÓGICO'!$L$2:$L$4919,'DETALLE CRONOLÓGICO'!$A$2:$A$4919,$A284)/$F284,"")</f>
        <v/>
      </c>
      <c r="J284" s="6">
        <f>IFERROR(SUMIFS('DETALLE CRONOLÓGICO'!$K$2:$K$4919,'DETALLE CRONOLÓGICO'!$A$2:$A$4919,$A284)/$E284,"")</f>
        <v/>
      </c>
      <c r="K284" s="6">
        <f>_xlfn.MINIFS('DETALLE CRONOLÓGICO'!$K$2:$K$4919,'DETALLE CRONOLÓGICO'!$A$2:$A$4919,$A284)</f>
        <v/>
      </c>
      <c r="L284" s="6">
        <f>_xlfn.MAXIFS('DETALLE CRONOLÓGICO'!$K$2:$K$4919,'DETALLE CRONOLÓGICO'!$A$2:$A$4919,$A284)</f>
        <v/>
      </c>
      <c r="M284" s="6">
        <f>INDEX('DETALLE CRONOLÓGICO'!$K$2:$K$4919,MATCH($A284,'DETALLE CRONOLÓGICO'!$A$2:$A$4919,0)+$E284-1)</f>
        <v/>
      </c>
      <c r="N284" s="7">
        <f>IFERROR($M284/INDEX('DETALLE CRONOLÓGICO'!$K$2:$K$4919,MATCH($A284,'DETALLE CRONOLÓGICO'!$A$2:$A$4919,0))-1,"")</f>
        <v/>
      </c>
      <c r="O284" s="6">
        <f>IFERROR($I284*3,"")</f>
        <v/>
      </c>
      <c r="P284" s="6">
        <f>IFERROR($I284*3.5,"")</f>
        <v/>
      </c>
      <c r="Q284" s="6">
        <f>IFERROR($I284*4,"")</f>
        <v/>
      </c>
      <c r="R284" s="6" t="n">
        <v>820</v>
      </c>
      <c r="S284" s="4" t="n">
        <v>8</v>
      </c>
      <c r="T284" s="1" t="inlineStr">
        <is>
          <t>active</t>
        </is>
      </c>
      <c r="U284" s="8" t="n"/>
      <c r="V284" s="1" t="inlineStr">
        <is>
          <t>SIN PRECIO</t>
        </is>
      </c>
    </row>
    <row r="285">
      <c r="A285" s="1" t="inlineStr">
        <is>
          <t>22214572663341</t>
        </is>
      </c>
      <c r="B285" s="1" t="inlineStr">
        <is>
          <t>ANILLO SIXTEEN STONE SILVER</t>
        </is>
      </c>
      <c r="C285" s="1" t="inlineStr">
        <is>
          <t>REGULAR 6</t>
        </is>
      </c>
      <c r="D285" s="1" t="inlineStr">
        <is>
          <t>HAIFENG</t>
        </is>
      </c>
      <c r="E285" s="4">
        <f>COUNTIF('DETALLE CRONOLÓGICO'!$A$2:$A$4919,$A285)</f>
        <v/>
      </c>
      <c r="F285" s="4">
        <f>SUMIFS('DETALLE CRONOLÓGICO'!$I$2:$I$4919,'DETALLE CRONOLÓGICO'!$A$2:$A$4919,$A285)</f>
        <v/>
      </c>
      <c r="G285" s="1">
        <f>INDEX('DETALLE CRONOLÓGICO'!$D$2:$D$4919,MATCH($A285,'DETALLE CRONOLÓGICO'!$A$2:$A$4919,0))</f>
        <v/>
      </c>
      <c r="H285" s="1">
        <f>INDEX('DETALLE CRONOLÓGICO'!$D$2:$D$4919,MATCH($A285,'DETALLE CRONOLÓGICO'!$A$2:$A$4919,0)+$E285-1)</f>
        <v/>
      </c>
      <c r="I285" s="5">
        <f>IFERROR(SUMIFS('DETALLE CRONOLÓGICO'!$L$2:$L$4919,'DETALLE CRONOLÓGICO'!$A$2:$A$4919,$A285)/$F285,"")</f>
        <v/>
      </c>
      <c r="J285" s="6">
        <f>IFERROR(SUMIFS('DETALLE CRONOLÓGICO'!$K$2:$K$4919,'DETALLE CRONOLÓGICO'!$A$2:$A$4919,$A285)/$E285,"")</f>
        <v/>
      </c>
      <c r="K285" s="6">
        <f>_xlfn.MINIFS('DETALLE CRONOLÓGICO'!$K$2:$K$4919,'DETALLE CRONOLÓGICO'!$A$2:$A$4919,$A285)</f>
        <v/>
      </c>
      <c r="L285" s="6">
        <f>_xlfn.MAXIFS('DETALLE CRONOLÓGICO'!$K$2:$K$4919,'DETALLE CRONOLÓGICO'!$A$2:$A$4919,$A285)</f>
        <v/>
      </c>
      <c r="M285" s="6">
        <f>INDEX('DETALLE CRONOLÓGICO'!$K$2:$K$4919,MATCH($A285,'DETALLE CRONOLÓGICO'!$A$2:$A$4919,0)+$E285-1)</f>
        <v/>
      </c>
      <c r="N285" s="7">
        <f>IFERROR($M285/INDEX('DETALLE CRONOLÓGICO'!$K$2:$K$4919,MATCH($A285,'DETALLE CRONOLÓGICO'!$A$2:$A$4919,0))-1,"")</f>
        <v/>
      </c>
      <c r="O285" s="6">
        <f>IFERROR($I285*3,"")</f>
        <v/>
      </c>
      <c r="P285" s="6">
        <f>IFERROR($I285*3.5,"")</f>
        <v/>
      </c>
      <c r="Q285" s="6">
        <f>IFERROR($I285*4,"")</f>
        <v/>
      </c>
      <c r="R285" s="6" t="n">
        <v>500</v>
      </c>
      <c r="S285" s="4" t="n">
        <v>0</v>
      </c>
      <c r="T285" s="1" t="inlineStr">
        <is>
          <t>active</t>
        </is>
      </c>
      <c r="U285" s="8" t="n"/>
      <c r="V285" s="1" t="inlineStr">
        <is>
          <t>SIN PRECIO</t>
        </is>
      </c>
    </row>
    <row r="286">
      <c r="A286" s="1" t="inlineStr">
        <is>
          <t>22351461089709</t>
        </is>
      </c>
      <c r="B286" s="1" t="inlineStr">
        <is>
          <t>PULSERA BV ROSEGOLD WHITE CON ZIRCONIA</t>
        </is>
      </c>
      <c r="C286" s="1" t="inlineStr">
        <is>
          <t>high quality</t>
        </is>
      </c>
      <c r="D286" s="1" t="inlineStr">
        <is>
          <t>HAIFENG</t>
        </is>
      </c>
      <c r="E286" s="4">
        <f>COUNTIF('DETALLE CRONOLÓGICO'!$A$2:$A$4919,$A286)</f>
        <v/>
      </c>
      <c r="F286" s="4">
        <f>SUMIFS('DETALLE CRONOLÓGICO'!$I$2:$I$4919,'DETALLE CRONOLÓGICO'!$A$2:$A$4919,$A286)</f>
        <v/>
      </c>
      <c r="G286" s="1">
        <f>INDEX('DETALLE CRONOLÓGICO'!$D$2:$D$4919,MATCH($A286,'DETALLE CRONOLÓGICO'!$A$2:$A$4919,0))</f>
        <v/>
      </c>
      <c r="H286" s="1">
        <f>INDEX('DETALLE CRONOLÓGICO'!$D$2:$D$4919,MATCH($A286,'DETALLE CRONOLÓGICO'!$A$2:$A$4919,0)+$E286-1)</f>
        <v/>
      </c>
      <c r="I286" s="5">
        <f>IFERROR(SUMIFS('DETALLE CRONOLÓGICO'!$L$2:$L$4919,'DETALLE CRONOLÓGICO'!$A$2:$A$4919,$A286)/$F286,"")</f>
        <v/>
      </c>
      <c r="J286" s="6">
        <f>IFERROR(SUMIFS('DETALLE CRONOLÓGICO'!$K$2:$K$4919,'DETALLE CRONOLÓGICO'!$A$2:$A$4919,$A286)/$E286,"")</f>
        <v/>
      </c>
      <c r="K286" s="6">
        <f>_xlfn.MINIFS('DETALLE CRONOLÓGICO'!$K$2:$K$4919,'DETALLE CRONOLÓGICO'!$A$2:$A$4919,$A286)</f>
        <v/>
      </c>
      <c r="L286" s="6">
        <f>_xlfn.MAXIFS('DETALLE CRONOLÓGICO'!$K$2:$K$4919,'DETALLE CRONOLÓGICO'!$A$2:$A$4919,$A286)</f>
        <v/>
      </c>
      <c r="M286" s="6">
        <f>INDEX('DETALLE CRONOLÓGICO'!$K$2:$K$4919,MATCH($A286,'DETALLE CRONOLÓGICO'!$A$2:$A$4919,0)+$E286-1)</f>
        <v/>
      </c>
      <c r="N286" s="7">
        <f>IFERROR($M286/INDEX('DETALLE CRONOLÓGICO'!$K$2:$K$4919,MATCH($A286,'DETALLE CRONOLÓGICO'!$A$2:$A$4919,0))-1,"")</f>
        <v/>
      </c>
      <c r="O286" s="6">
        <f>IFERROR($I286*3,"")</f>
        <v/>
      </c>
      <c r="P286" s="6">
        <f>IFERROR($I286*3.5,"")</f>
        <v/>
      </c>
      <c r="Q286" s="6">
        <f>IFERROR($I286*4,"")</f>
        <v/>
      </c>
      <c r="R286" s="6" t="n">
        <v>699</v>
      </c>
      <c r="S286" s="4" t="n">
        <v>2</v>
      </c>
      <c r="T286" s="1" t="inlineStr">
        <is>
          <t>active</t>
        </is>
      </c>
      <c r="U286" s="8" t="n"/>
      <c r="V286" s="1" t="inlineStr">
        <is>
          <t>SIN PRECIO</t>
        </is>
      </c>
    </row>
    <row r="287">
      <c r="A287" s="1" t="inlineStr">
        <is>
          <t>22649971041005</t>
        </is>
      </c>
      <c r="B287" s="1" t="inlineStr">
        <is>
          <t>CADENA H SILVER</t>
        </is>
      </c>
      <c r="C287" s="1" t="inlineStr">
        <is>
          <t>Default Title</t>
        </is>
      </c>
      <c r="D287" s="1" t="inlineStr">
        <is>
          <t>HAIFENG</t>
        </is>
      </c>
      <c r="E287" s="4">
        <f>COUNTIF('DETALLE CRONOLÓGICO'!$A$2:$A$4919,$A287)</f>
        <v/>
      </c>
      <c r="F287" s="4">
        <f>SUMIFS('DETALLE CRONOLÓGICO'!$I$2:$I$4919,'DETALLE CRONOLÓGICO'!$A$2:$A$4919,$A287)</f>
        <v/>
      </c>
      <c r="G287" s="1">
        <f>INDEX('DETALLE CRONOLÓGICO'!$D$2:$D$4919,MATCH($A287,'DETALLE CRONOLÓGICO'!$A$2:$A$4919,0))</f>
        <v/>
      </c>
      <c r="H287" s="1">
        <f>INDEX('DETALLE CRONOLÓGICO'!$D$2:$D$4919,MATCH($A287,'DETALLE CRONOLÓGICO'!$A$2:$A$4919,0)+$E287-1)</f>
        <v/>
      </c>
      <c r="I287" s="5">
        <f>IFERROR(SUMIFS('DETALLE CRONOLÓGICO'!$L$2:$L$4919,'DETALLE CRONOLÓGICO'!$A$2:$A$4919,$A287)/$F287,"")</f>
        <v/>
      </c>
      <c r="J287" s="6">
        <f>IFERROR(SUMIFS('DETALLE CRONOLÓGICO'!$K$2:$K$4919,'DETALLE CRONOLÓGICO'!$A$2:$A$4919,$A287)/$E287,"")</f>
        <v/>
      </c>
      <c r="K287" s="6">
        <f>_xlfn.MINIFS('DETALLE CRONOLÓGICO'!$K$2:$K$4919,'DETALLE CRONOLÓGICO'!$A$2:$A$4919,$A287)</f>
        <v/>
      </c>
      <c r="L287" s="6">
        <f>_xlfn.MAXIFS('DETALLE CRONOLÓGICO'!$K$2:$K$4919,'DETALLE CRONOLÓGICO'!$A$2:$A$4919,$A287)</f>
        <v/>
      </c>
      <c r="M287" s="6">
        <f>INDEX('DETALLE CRONOLÓGICO'!$K$2:$K$4919,MATCH($A287,'DETALLE CRONOLÓGICO'!$A$2:$A$4919,0)+$E287-1)</f>
        <v/>
      </c>
      <c r="N287" s="7">
        <f>IFERROR($M287/INDEX('DETALLE CRONOLÓGICO'!$K$2:$K$4919,MATCH($A287,'DETALLE CRONOLÓGICO'!$A$2:$A$4919,0))-1,"")</f>
        <v/>
      </c>
      <c r="O287" s="6">
        <f>IFERROR($I287*3,"")</f>
        <v/>
      </c>
      <c r="P287" s="6">
        <f>IFERROR($I287*3.5,"")</f>
        <v/>
      </c>
      <c r="Q287" s="6">
        <f>IFERROR($I287*4,"")</f>
        <v/>
      </c>
      <c r="R287" s="6" t="n">
        <v>1099</v>
      </c>
      <c r="S287" s="4" t="n">
        <v>2</v>
      </c>
      <c r="T287" s="1" t="inlineStr">
        <is>
          <t>active</t>
        </is>
      </c>
      <c r="U287" s="8" t="n"/>
      <c r="V287" s="1" t="inlineStr">
        <is>
          <t>SIN PRECIO</t>
        </is>
      </c>
    </row>
    <row r="288">
      <c r="A288" s="1" t="inlineStr">
        <is>
          <t>22731921054541</t>
        </is>
      </c>
      <c r="B288" s="1" t="inlineStr">
        <is>
          <t>PULSERA BV ROSEGOLD BLACK CON ZIRCONIA</t>
        </is>
      </c>
      <c r="C288" s="1" t="inlineStr">
        <is>
          <t>Default Title</t>
        </is>
      </c>
      <c r="D288" s="1" t="inlineStr">
        <is>
          <t>HAIFENG</t>
        </is>
      </c>
      <c r="E288" s="4">
        <f>COUNTIF('DETALLE CRONOLÓGICO'!$A$2:$A$4919,$A288)</f>
        <v/>
      </c>
      <c r="F288" s="4">
        <f>SUMIFS('DETALLE CRONOLÓGICO'!$I$2:$I$4919,'DETALLE CRONOLÓGICO'!$A$2:$A$4919,$A288)</f>
        <v/>
      </c>
      <c r="G288" s="1">
        <f>INDEX('DETALLE CRONOLÓGICO'!$D$2:$D$4919,MATCH($A288,'DETALLE CRONOLÓGICO'!$A$2:$A$4919,0))</f>
        <v/>
      </c>
      <c r="H288" s="1">
        <f>INDEX('DETALLE CRONOLÓGICO'!$D$2:$D$4919,MATCH($A288,'DETALLE CRONOLÓGICO'!$A$2:$A$4919,0)+$E288-1)</f>
        <v/>
      </c>
      <c r="I288" s="5">
        <f>IFERROR(SUMIFS('DETALLE CRONOLÓGICO'!$L$2:$L$4919,'DETALLE CRONOLÓGICO'!$A$2:$A$4919,$A288)/$F288,"")</f>
        <v/>
      </c>
      <c r="J288" s="6">
        <f>IFERROR(SUMIFS('DETALLE CRONOLÓGICO'!$K$2:$K$4919,'DETALLE CRONOLÓGICO'!$A$2:$A$4919,$A288)/$E288,"")</f>
        <v/>
      </c>
      <c r="K288" s="6">
        <f>_xlfn.MINIFS('DETALLE CRONOLÓGICO'!$K$2:$K$4919,'DETALLE CRONOLÓGICO'!$A$2:$A$4919,$A288)</f>
        <v/>
      </c>
      <c r="L288" s="6">
        <f>_xlfn.MAXIFS('DETALLE CRONOLÓGICO'!$K$2:$K$4919,'DETALLE CRONOLÓGICO'!$A$2:$A$4919,$A288)</f>
        <v/>
      </c>
      <c r="M288" s="6">
        <f>INDEX('DETALLE CRONOLÓGICO'!$K$2:$K$4919,MATCH($A288,'DETALLE CRONOLÓGICO'!$A$2:$A$4919,0)+$E288-1)</f>
        <v/>
      </c>
      <c r="N288" s="7">
        <f>IFERROR($M288/INDEX('DETALLE CRONOLÓGICO'!$K$2:$K$4919,MATCH($A288,'DETALLE CRONOLÓGICO'!$A$2:$A$4919,0))-1,"")</f>
        <v/>
      </c>
      <c r="O288" s="6">
        <f>IFERROR($I288*3,"")</f>
        <v/>
      </c>
      <c r="P288" s="6">
        <f>IFERROR($I288*3.5,"")</f>
        <v/>
      </c>
      <c r="Q288" s="6">
        <f>IFERROR($I288*4,"")</f>
        <v/>
      </c>
      <c r="R288" s="6" t="n">
        <v>670</v>
      </c>
      <c r="S288" s="4" t="n">
        <v>3</v>
      </c>
      <c r="T288" s="1" t="inlineStr">
        <is>
          <t>active</t>
        </is>
      </c>
      <c r="U288" s="8" t="n"/>
      <c r="V288" s="1" t="inlineStr">
        <is>
          <t>SIN PRECIO</t>
        </is>
      </c>
    </row>
    <row r="289">
      <c r="A289" s="1" t="inlineStr">
        <is>
          <t>22974391090893</t>
        </is>
      </c>
      <c r="B289" s="1" t="inlineStr">
        <is>
          <t>COLLAR LV LADY GOLD</t>
        </is>
      </c>
      <c r="C289" s="1" t="inlineStr">
        <is>
          <t>Default Title</t>
        </is>
      </c>
      <c r="D289" s="1" t="inlineStr">
        <is>
          <t>NANCY</t>
        </is>
      </c>
      <c r="E289" s="4">
        <f>COUNTIF('DETALLE CRONOLÓGICO'!$A$2:$A$4919,$A289)</f>
        <v/>
      </c>
      <c r="F289" s="4">
        <f>SUMIFS('DETALLE CRONOLÓGICO'!$I$2:$I$4919,'DETALLE CRONOLÓGICO'!$A$2:$A$4919,$A289)</f>
        <v/>
      </c>
      <c r="G289" s="1">
        <f>INDEX('DETALLE CRONOLÓGICO'!$D$2:$D$4919,MATCH($A289,'DETALLE CRONOLÓGICO'!$A$2:$A$4919,0))</f>
        <v/>
      </c>
      <c r="H289" s="1">
        <f>INDEX('DETALLE CRONOLÓGICO'!$D$2:$D$4919,MATCH($A289,'DETALLE CRONOLÓGICO'!$A$2:$A$4919,0)+$E289-1)</f>
        <v/>
      </c>
      <c r="I289" s="5">
        <f>IFERROR(SUMIFS('DETALLE CRONOLÓGICO'!$L$2:$L$4919,'DETALLE CRONOLÓGICO'!$A$2:$A$4919,$A289)/$F289,"")</f>
        <v/>
      </c>
      <c r="J289" s="6">
        <f>IFERROR(SUMIFS('DETALLE CRONOLÓGICO'!$K$2:$K$4919,'DETALLE CRONOLÓGICO'!$A$2:$A$4919,$A289)/$E289,"")</f>
        <v/>
      </c>
      <c r="K289" s="6">
        <f>_xlfn.MINIFS('DETALLE CRONOLÓGICO'!$K$2:$K$4919,'DETALLE CRONOLÓGICO'!$A$2:$A$4919,$A289)</f>
        <v/>
      </c>
      <c r="L289" s="6">
        <f>_xlfn.MAXIFS('DETALLE CRONOLÓGICO'!$K$2:$K$4919,'DETALLE CRONOLÓGICO'!$A$2:$A$4919,$A289)</f>
        <v/>
      </c>
      <c r="M289" s="6">
        <f>INDEX('DETALLE CRONOLÓGICO'!$K$2:$K$4919,MATCH($A289,'DETALLE CRONOLÓGICO'!$A$2:$A$4919,0)+$E289-1)</f>
        <v/>
      </c>
      <c r="N289" s="7">
        <f>IFERROR($M289/INDEX('DETALLE CRONOLÓGICO'!$K$2:$K$4919,MATCH($A289,'DETALLE CRONOLÓGICO'!$A$2:$A$4919,0))-1,"")</f>
        <v/>
      </c>
      <c r="O289" s="6">
        <f>IFERROR($I289*3,"")</f>
        <v/>
      </c>
      <c r="P289" s="6">
        <f>IFERROR($I289*3.5,"")</f>
        <v/>
      </c>
      <c r="Q289" s="6">
        <f>IFERROR($I289*4,"")</f>
        <v/>
      </c>
      <c r="R289" s="6" t="n">
        <v>850</v>
      </c>
      <c r="S289" s="4" t="n">
        <v>0</v>
      </c>
      <c r="T289" s="1" t="inlineStr">
        <is>
          <t>active</t>
        </is>
      </c>
      <c r="U289" s="8" t="n"/>
      <c r="V289" s="1" t="inlineStr">
        <is>
          <t>SIN PRECIO</t>
        </is>
      </c>
    </row>
    <row r="290">
      <c r="A290" s="1" t="inlineStr">
        <is>
          <t>22974391120269</t>
        </is>
      </c>
      <c r="B290" s="1" t="inlineStr">
        <is>
          <t>COLLAR LV GO-SOO GOLD</t>
        </is>
      </c>
      <c r="C290" s="1" t="inlineStr">
        <is>
          <t>Default Title</t>
        </is>
      </c>
      <c r="D290" s="1" t="inlineStr">
        <is>
          <t>NANCY</t>
        </is>
      </c>
      <c r="E290" s="4">
        <f>COUNTIF('DETALLE CRONOLÓGICO'!$A$2:$A$4919,$A290)</f>
        <v/>
      </c>
      <c r="F290" s="4">
        <f>SUMIFS('DETALLE CRONOLÓGICO'!$I$2:$I$4919,'DETALLE CRONOLÓGICO'!$A$2:$A$4919,$A290)</f>
        <v/>
      </c>
      <c r="G290" s="1">
        <f>INDEX('DETALLE CRONOLÓGICO'!$D$2:$D$4919,MATCH($A290,'DETALLE CRONOLÓGICO'!$A$2:$A$4919,0))</f>
        <v/>
      </c>
      <c r="H290" s="1">
        <f>INDEX('DETALLE CRONOLÓGICO'!$D$2:$D$4919,MATCH($A290,'DETALLE CRONOLÓGICO'!$A$2:$A$4919,0)+$E290-1)</f>
        <v/>
      </c>
      <c r="I290" s="5">
        <f>IFERROR(SUMIFS('DETALLE CRONOLÓGICO'!$L$2:$L$4919,'DETALLE CRONOLÓGICO'!$A$2:$A$4919,$A290)/$F290,"")</f>
        <v/>
      </c>
      <c r="J290" s="6">
        <f>IFERROR(SUMIFS('DETALLE CRONOLÓGICO'!$K$2:$K$4919,'DETALLE CRONOLÓGICO'!$A$2:$A$4919,$A290)/$E290,"")</f>
        <v/>
      </c>
      <c r="K290" s="6">
        <f>_xlfn.MINIFS('DETALLE CRONOLÓGICO'!$K$2:$K$4919,'DETALLE CRONOLÓGICO'!$A$2:$A$4919,$A290)</f>
        <v/>
      </c>
      <c r="L290" s="6">
        <f>_xlfn.MAXIFS('DETALLE CRONOLÓGICO'!$K$2:$K$4919,'DETALLE CRONOLÓGICO'!$A$2:$A$4919,$A290)</f>
        <v/>
      </c>
      <c r="M290" s="6">
        <f>INDEX('DETALLE CRONOLÓGICO'!$K$2:$K$4919,MATCH($A290,'DETALLE CRONOLÓGICO'!$A$2:$A$4919,0)+$E290-1)</f>
        <v/>
      </c>
      <c r="N290" s="7">
        <f>IFERROR($M290/INDEX('DETALLE CRONOLÓGICO'!$K$2:$K$4919,MATCH($A290,'DETALLE CRONOLÓGICO'!$A$2:$A$4919,0))-1,"")</f>
        <v/>
      </c>
      <c r="O290" s="6">
        <f>IFERROR($I290*3,"")</f>
        <v/>
      </c>
      <c r="P290" s="6">
        <f>IFERROR($I290*3.5,"")</f>
        <v/>
      </c>
      <c r="Q290" s="6">
        <f>IFERROR($I290*4,"")</f>
        <v/>
      </c>
      <c r="R290" s="6" t="n">
        <v>599</v>
      </c>
      <c r="S290" s="4" t="n">
        <v>0</v>
      </c>
      <c r="T290" s="1" t="inlineStr">
        <is>
          <t>active</t>
        </is>
      </c>
      <c r="U290" s="8" t="n"/>
      <c r="V290" s="1" t="inlineStr">
        <is>
          <t>SIN PRECIO</t>
        </is>
      </c>
    </row>
    <row r="291">
      <c r="A291" s="1" t="inlineStr">
        <is>
          <t>22974391279021</t>
        </is>
      </c>
      <c r="B291" s="1" t="inlineStr">
        <is>
          <t>COLLAR LV ICONIC LOUISA SILVER</t>
        </is>
      </c>
      <c r="C291" s="1" t="inlineStr">
        <is>
          <t>Default Title</t>
        </is>
      </c>
      <c r="D291" s="1" t="inlineStr">
        <is>
          <t>NANCY</t>
        </is>
      </c>
      <c r="E291" s="4">
        <f>COUNTIF('DETALLE CRONOLÓGICO'!$A$2:$A$4919,$A291)</f>
        <v/>
      </c>
      <c r="F291" s="4">
        <f>SUMIFS('DETALLE CRONOLÓGICO'!$I$2:$I$4919,'DETALLE CRONOLÓGICO'!$A$2:$A$4919,$A291)</f>
        <v/>
      </c>
      <c r="G291" s="1">
        <f>INDEX('DETALLE CRONOLÓGICO'!$D$2:$D$4919,MATCH($A291,'DETALLE CRONOLÓGICO'!$A$2:$A$4919,0))</f>
        <v/>
      </c>
      <c r="H291" s="1">
        <f>INDEX('DETALLE CRONOLÓGICO'!$D$2:$D$4919,MATCH($A291,'DETALLE CRONOLÓGICO'!$A$2:$A$4919,0)+$E291-1)</f>
        <v/>
      </c>
      <c r="I291" s="5">
        <f>IFERROR(SUMIFS('DETALLE CRONOLÓGICO'!$L$2:$L$4919,'DETALLE CRONOLÓGICO'!$A$2:$A$4919,$A291)/$F291,"")</f>
        <v/>
      </c>
      <c r="J291" s="6">
        <f>IFERROR(SUMIFS('DETALLE CRONOLÓGICO'!$K$2:$K$4919,'DETALLE CRONOLÓGICO'!$A$2:$A$4919,$A291)/$E291,"")</f>
        <v/>
      </c>
      <c r="K291" s="6">
        <f>_xlfn.MINIFS('DETALLE CRONOLÓGICO'!$K$2:$K$4919,'DETALLE CRONOLÓGICO'!$A$2:$A$4919,$A291)</f>
        <v/>
      </c>
      <c r="L291" s="6">
        <f>_xlfn.MAXIFS('DETALLE CRONOLÓGICO'!$K$2:$K$4919,'DETALLE CRONOLÓGICO'!$A$2:$A$4919,$A291)</f>
        <v/>
      </c>
      <c r="M291" s="6">
        <f>INDEX('DETALLE CRONOLÓGICO'!$K$2:$K$4919,MATCH($A291,'DETALLE CRONOLÓGICO'!$A$2:$A$4919,0)+$E291-1)</f>
        <v/>
      </c>
      <c r="N291" s="7">
        <f>IFERROR($M291/INDEX('DETALLE CRONOLÓGICO'!$K$2:$K$4919,MATCH($A291,'DETALLE CRONOLÓGICO'!$A$2:$A$4919,0))-1,"")</f>
        <v/>
      </c>
      <c r="O291" s="6">
        <f>IFERROR($I291*3,"")</f>
        <v/>
      </c>
      <c r="P291" s="6">
        <f>IFERROR($I291*3.5,"")</f>
        <v/>
      </c>
      <c r="Q291" s="6">
        <f>IFERROR($I291*4,"")</f>
        <v/>
      </c>
      <c r="R291" s="6" t="n">
        <v>699</v>
      </c>
      <c r="S291" s="4" t="n">
        <v>2</v>
      </c>
      <c r="T291" s="1" t="inlineStr">
        <is>
          <t>draft</t>
        </is>
      </c>
      <c r="U291" s="8" t="n"/>
      <c r="V291" s="1" t="inlineStr">
        <is>
          <t>SIN PRECIO</t>
        </is>
      </c>
    </row>
    <row r="292">
      <c r="A292" s="1" t="inlineStr">
        <is>
          <t>22974391301613</t>
        </is>
      </c>
      <c r="B292" s="1" t="inlineStr">
        <is>
          <t>PULSERA LV ICONIC LOUISA SILVER</t>
        </is>
      </c>
      <c r="C292" s="1" t="inlineStr">
        <is>
          <t>Default Title</t>
        </is>
      </c>
      <c r="D292" s="1" t="inlineStr">
        <is>
          <t>NANCY</t>
        </is>
      </c>
      <c r="E292" s="4">
        <f>COUNTIF('DETALLE CRONOLÓGICO'!$A$2:$A$4919,$A292)</f>
        <v/>
      </c>
      <c r="F292" s="4">
        <f>SUMIFS('DETALLE CRONOLÓGICO'!$I$2:$I$4919,'DETALLE CRONOLÓGICO'!$A$2:$A$4919,$A292)</f>
        <v/>
      </c>
      <c r="G292" s="1">
        <f>INDEX('DETALLE CRONOLÓGICO'!$D$2:$D$4919,MATCH($A292,'DETALLE CRONOLÓGICO'!$A$2:$A$4919,0))</f>
        <v/>
      </c>
      <c r="H292" s="1">
        <f>INDEX('DETALLE CRONOLÓGICO'!$D$2:$D$4919,MATCH($A292,'DETALLE CRONOLÓGICO'!$A$2:$A$4919,0)+$E292-1)</f>
        <v/>
      </c>
      <c r="I292" s="5">
        <f>IFERROR(SUMIFS('DETALLE CRONOLÓGICO'!$L$2:$L$4919,'DETALLE CRONOLÓGICO'!$A$2:$A$4919,$A292)/$F292,"")</f>
        <v/>
      </c>
      <c r="J292" s="6">
        <f>IFERROR(SUMIFS('DETALLE CRONOLÓGICO'!$K$2:$K$4919,'DETALLE CRONOLÓGICO'!$A$2:$A$4919,$A292)/$E292,"")</f>
        <v/>
      </c>
      <c r="K292" s="6">
        <f>_xlfn.MINIFS('DETALLE CRONOLÓGICO'!$K$2:$K$4919,'DETALLE CRONOLÓGICO'!$A$2:$A$4919,$A292)</f>
        <v/>
      </c>
      <c r="L292" s="6">
        <f>_xlfn.MAXIFS('DETALLE CRONOLÓGICO'!$K$2:$K$4919,'DETALLE CRONOLÓGICO'!$A$2:$A$4919,$A292)</f>
        <v/>
      </c>
      <c r="M292" s="6">
        <f>INDEX('DETALLE CRONOLÓGICO'!$K$2:$K$4919,MATCH($A292,'DETALLE CRONOLÓGICO'!$A$2:$A$4919,0)+$E292-1)</f>
        <v/>
      </c>
      <c r="N292" s="7">
        <f>IFERROR($M292/INDEX('DETALLE CRONOLÓGICO'!$K$2:$K$4919,MATCH($A292,'DETALLE CRONOLÓGICO'!$A$2:$A$4919,0))-1,"")</f>
        <v/>
      </c>
      <c r="O292" s="6">
        <f>IFERROR($I292*3,"")</f>
        <v/>
      </c>
      <c r="P292" s="6">
        <f>IFERROR($I292*3.5,"")</f>
        <v/>
      </c>
      <c r="Q292" s="6">
        <f>IFERROR($I292*4,"")</f>
        <v/>
      </c>
      <c r="R292" s="6" t="n">
        <v>650</v>
      </c>
      <c r="S292" s="4" t="n">
        <v>2</v>
      </c>
      <c r="T292" s="1" t="inlineStr">
        <is>
          <t>active</t>
        </is>
      </c>
      <c r="U292" s="8" t="n"/>
      <c r="V292" s="1" t="inlineStr">
        <is>
          <t>SIN PRECIO</t>
        </is>
      </c>
    </row>
    <row r="293">
      <c r="A293" s="1" t="inlineStr">
        <is>
          <t>22974391456973</t>
        </is>
      </c>
      <c r="B293" s="1" t="inlineStr">
        <is>
          <t>BRAZALETE LV EMPREINTE SILVER</t>
        </is>
      </c>
      <c r="C293" s="1" t="inlineStr">
        <is>
          <t>Default Title</t>
        </is>
      </c>
      <c r="D293" s="1" t="inlineStr">
        <is>
          <t>NANCY</t>
        </is>
      </c>
      <c r="E293" s="4">
        <f>COUNTIF('DETALLE CRONOLÓGICO'!$A$2:$A$4919,$A293)</f>
        <v/>
      </c>
      <c r="F293" s="4">
        <f>SUMIFS('DETALLE CRONOLÓGICO'!$I$2:$I$4919,'DETALLE CRONOLÓGICO'!$A$2:$A$4919,$A293)</f>
        <v/>
      </c>
      <c r="G293" s="1">
        <f>INDEX('DETALLE CRONOLÓGICO'!$D$2:$D$4919,MATCH($A293,'DETALLE CRONOLÓGICO'!$A$2:$A$4919,0))</f>
        <v/>
      </c>
      <c r="H293" s="1">
        <f>INDEX('DETALLE CRONOLÓGICO'!$D$2:$D$4919,MATCH($A293,'DETALLE CRONOLÓGICO'!$A$2:$A$4919,0)+$E293-1)</f>
        <v/>
      </c>
      <c r="I293" s="5">
        <f>IFERROR(SUMIFS('DETALLE CRONOLÓGICO'!$L$2:$L$4919,'DETALLE CRONOLÓGICO'!$A$2:$A$4919,$A293)/$F293,"")</f>
        <v/>
      </c>
      <c r="J293" s="6">
        <f>IFERROR(SUMIFS('DETALLE CRONOLÓGICO'!$K$2:$K$4919,'DETALLE CRONOLÓGICO'!$A$2:$A$4919,$A293)/$E293,"")</f>
        <v/>
      </c>
      <c r="K293" s="6">
        <f>_xlfn.MINIFS('DETALLE CRONOLÓGICO'!$K$2:$K$4919,'DETALLE CRONOLÓGICO'!$A$2:$A$4919,$A293)</f>
        <v/>
      </c>
      <c r="L293" s="6">
        <f>_xlfn.MAXIFS('DETALLE CRONOLÓGICO'!$K$2:$K$4919,'DETALLE CRONOLÓGICO'!$A$2:$A$4919,$A293)</f>
        <v/>
      </c>
      <c r="M293" s="6">
        <f>INDEX('DETALLE CRONOLÓGICO'!$K$2:$K$4919,MATCH($A293,'DETALLE CRONOLÓGICO'!$A$2:$A$4919,0)+$E293-1)</f>
        <v/>
      </c>
      <c r="N293" s="7">
        <f>IFERROR($M293/INDEX('DETALLE CRONOLÓGICO'!$K$2:$K$4919,MATCH($A293,'DETALLE CRONOLÓGICO'!$A$2:$A$4919,0))-1,"")</f>
        <v/>
      </c>
      <c r="O293" s="6">
        <f>IFERROR($I293*3,"")</f>
        <v/>
      </c>
      <c r="P293" s="6">
        <f>IFERROR($I293*3.5,"")</f>
        <v/>
      </c>
      <c r="Q293" s="6">
        <f>IFERROR($I293*4,"")</f>
        <v/>
      </c>
      <c r="R293" s="6" t="n">
        <v>499</v>
      </c>
      <c r="S293" s="4" t="n">
        <v>0</v>
      </c>
      <c r="T293" s="1" t="inlineStr">
        <is>
          <t>active</t>
        </is>
      </c>
      <c r="U293" s="8" t="n"/>
      <c r="V293" s="1" t="inlineStr">
        <is>
          <t>SIN PRECIO</t>
        </is>
      </c>
    </row>
    <row r="294">
      <c r="A294" s="1" t="inlineStr">
        <is>
          <t>22974391600461</t>
        </is>
      </c>
      <c r="B294" s="1" t="inlineStr">
        <is>
          <t>ARETES LV LADY GOLD</t>
        </is>
      </c>
      <c r="C294" s="1" t="inlineStr">
        <is>
          <t>Default Title</t>
        </is>
      </c>
      <c r="D294" s="1" t="inlineStr">
        <is>
          <t>NANCY</t>
        </is>
      </c>
      <c r="E294" s="4">
        <f>COUNTIF('DETALLE CRONOLÓGICO'!$A$2:$A$4919,$A294)</f>
        <v/>
      </c>
      <c r="F294" s="4">
        <f>SUMIFS('DETALLE CRONOLÓGICO'!$I$2:$I$4919,'DETALLE CRONOLÓGICO'!$A$2:$A$4919,$A294)</f>
        <v/>
      </c>
      <c r="G294" s="1">
        <f>INDEX('DETALLE CRONOLÓGICO'!$D$2:$D$4919,MATCH($A294,'DETALLE CRONOLÓGICO'!$A$2:$A$4919,0))</f>
        <v/>
      </c>
      <c r="H294" s="1">
        <f>INDEX('DETALLE CRONOLÓGICO'!$D$2:$D$4919,MATCH($A294,'DETALLE CRONOLÓGICO'!$A$2:$A$4919,0)+$E294-1)</f>
        <v/>
      </c>
      <c r="I294" s="5">
        <f>IFERROR(SUMIFS('DETALLE CRONOLÓGICO'!$L$2:$L$4919,'DETALLE CRONOLÓGICO'!$A$2:$A$4919,$A294)/$F294,"")</f>
        <v/>
      </c>
      <c r="J294" s="6">
        <f>IFERROR(SUMIFS('DETALLE CRONOLÓGICO'!$K$2:$K$4919,'DETALLE CRONOLÓGICO'!$A$2:$A$4919,$A294)/$E294,"")</f>
        <v/>
      </c>
      <c r="K294" s="6">
        <f>_xlfn.MINIFS('DETALLE CRONOLÓGICO'!$K$2:$K$4919,'DETALLE CRONOLÓGICO'!$A$2:$A$4919,$A294)</f>
        <v/>
      </c>
      <c r="L294" s="6">
        <f>_xlfn.MAXIFS('DETALLE CRONOLÓGICO'!$K$2:$K$4919,'DETALLE CRONOLÓGICO'!$A$2:$A$4919,$A294)</f>
        <v/>
      </c>
      <c r="M294" s="6">
        <f>INDEX('DETALLE CRONOLÓGICO'!$K$2:$K$4919,MATCH($A294,'DETALLE CRONOLÓGICO'!$A$2:$A$4919,0)+$E294-1)</f>
        <v/>
      </c>
      <c r="N294" s="7">
        <f>IFERROR($M294/INDEX('DETALLE CRONOLÓGICO'!$K$2:$K$4919,MATCH($A294,'DETALLE CRONOLÓGICO'!$A$2:$A$4919,0))-1,"")</f>
        <v/>
      </c>
      <c r="O294" s="6">
        <f>IFERROR($I294*3,"")</f>
        <v/>
      </c>
      <c r="P294" s="6">
        <f>IFERROR($I294*3.5,"")</f>
        <v/>
      </c>
      <c r="Q294" s="6">
        <f>IFERROR($I294*4,"")</f>
        <v/>
      </c>
      <c r="R294" s="6" t="n">
        <v>599</v>
      </c>
      <c r="S294" s="4" t="n">
        <v>2</v>
      </c>
      <c r="T294" s="1" t="inlineStr">
        <is>
          <t>active</t>
        </is>
      </c>
      <c r="U294" s="8" t="n"/>
      <c r="V294" s="1" t="inlineStr">
        <is>
          <t>SIN PRECIO</t>
        </is>
      </c>
    </row>
    <row r="295">
      <c r="A295" s="1" t="inlineStr">
        <is>
          <t>22974391930381</t>
        </is>
      </c>
      <c r="B295" s="1" t="inlineStr">
        <is>
          <t>COLLAR CC CAMELIA ROSE GOLD</t>
        </is>
      </c>
      <c r="C295" s="1" t="inlineStr">
        <is>
          <t>Default Title</t>
        </is>
      </c>
      <c r="D295" s="1" t="inlineStr">
        <is>
          <t>NANCY</t>
        </is>
      </c>
      <c r="E295" s="4">
        <f>COUNTIF('DETALLE CRONOLÓGICO'!$A$2:$A$4919,$A295)</f>
        <v/>
      </c>
      <c r="F295" s="4">
        <f>SUMIFS('DETALLE CRONOLÓGICO'!$I$2:$I$4919,'DETALLE CRONOLÓGICO'!$A$2:$A$4919,$A295)</f>
        <v/>
      </c>
      <c r="G295" s="1">
        <f>INDEX('DETALLE CRONOLÓGICO'!$D$2:$D$4919,MATCH($A295,'DETALLE CRONOLÓGICO'!$A$2:$A$4919,0))</f>
        <v/>
      </c>
      <c r="H295" s="1">
        <f>INDEX('DETALLE CRONOLÓGICO'!$D$2:$D$4919,MATCH($A295,'DETALLE CRONOLÓGICO'!$A$2:$A$4919,0)+$E295-1)</f>
        <v/>
      </c>
      <c r="I295" s="5">
        <f>IFERROR(SUMIFS('DETALLE CRONOLÓGICO'!$L$2:$L$4919,'DETALLE CRONOLÓGICO'!$A$2:$A$4919,$A295)/$F295,"")</f>
        <v/>
      </c>
      <c r="J295" s="6">
        <f>IFERROR(SUMIFS('DETALLE CRONOLÓGICO'!$K$2:$K$4919,'DETALLE CRONOLÓGICO'!$A$2:$A$4919,$A295)/$E295,"")</f>
        <v/>
      </c>
      <c r="K295" s="6">
        <f>_xlfn.MINIFS('DETALLE CRONOLÓGICO'!$K$2:$K$4919,'DETALLE CRONOLÓGICO'!$A$2:$A$4919,$A295)</f>
        <v/>
      </c>
      <c r="L295" s="6">
        <f>_xlfn.MAXIFS('DETALLE CRONOLÓGICO'!$K$2:$K$4919,'DETALLE CRONOLÓGICO'!$A$2:$A$4919,$A295)</f>
        <v/>
      </c>
      <c r="M295" s="6">
        <f>INDEX('DETALLE CRONOLÓGICO'!$K$2:$K$4919,MATCH($A295,'DETALLE CRONOLÓGICO'!$A$2:$A$4919,0)+$E295-1)</f>
        <v/>
      </c>
      <c r="N295" s="7">
        <f>IFERROR($M295/INDEX('DETALLE CRONOLÓGICO'!$K$2:$K$4919,MATCH($A295,'DETALLE CRONOLÓGICO'!$A$2:$A$4919,0))-1,"")</f>
        <v/>
      </c>
      <c r="O295" s="6">
        <f>IFERROR($I295*3,"")</f>
        <v/>
      </c>
      <c r="P295" s="6">
        <f>IFERROR($I295*3.5,"")</f>
        <v/>
      </c>
      <c r="Q295" s="6">
        <f>IFERROR($I295*4,"")</f>
        <v/>
      </c>
      <c r="R295" s="6" t="n">
        <v>750</v>
      </c>
      <c r="S295" s="4" t="n">
        <v>1</v>
      </c>
      <c r="T295" s="1" t="inlineStr">
        <is>
          <t>active</t>
        </is>
      </c>
      <c r="U295" s="8" t="n"/>
      <c r="V295" s="1" t="inlineStr">
        <is>
          <t>SIN PRECIO</t>
        </is>
      </c>
    </row>
    <row r="296">
      <c r="A296" s="1" t="inlineStr">
        <is>
          <t>22974392089133</t>
        </is>
      </c>
      <c r="B296" s="1" t="inlineStr">
        <is>
          <t>PULSERA CC COMETE GEODE SILVER</t>
        </is>
      </c>
      <c r="C296" s="1" t="inlineStr">
        <is>
          <t>Default Title</t>
        </is>
      </c>
      <c r="D296" s="1" t="inlineStr">
        <is>
          <t>NANCY</t>
        </is>
      </c>
      <c r="E296" s="4">
        <f>COUNTIF('DETALLE CRONOLÓGICO'!$A$2:$A$4919,$A296)</f>
        <v/>
      </c>
      <c r="F296" s="4">
        <f>SUMIFS('DETALLE CRONOLÓGICO'!$I$2:$I$4919,'DETALLE CRONOLÓGICO'!$A$2:$A$4919,$A296)</f>
        <v/>
      </c>
      <c r="G296" s="1">
        <f>INDEX('DETALLE CRONOLÓGICO'!$D$2:$D$4919,MATCH($A296,'DETALLE CRONOLÓGICO'!$A$2:$A$4919,0))</f>
        <v/>
      </c>
      <c r="H296" s="1">
        <f>INDEX('DETALLE CRONOLÓGICO'!$D$2:$D$4919,MATCH($A296,'DETALLE CRONOLÓGICO'!$A$2:$A$4919,0)+$E296-1)</f>
        <v/>
      </c>
      <c r="I296" s="5">
        <f>IFERROR(SUMIFS('DETALLE CRONOLÓGICO'!$L$2:$L$4919,'DETALLE CRONOLÓGICO'!$A$2:$A$4919,$A296)/$F296,"")</f>
        <v/>
      </c>
      <c r="J296" s="6">
        <f>IFERROR(SUMIFS('DETALLE CRONOLÓGICO'!$K$2:$K$4919,'DETALLE CRONOLÓGICO'!$A$2:$A$4919,$A296)/$E296,"")</f>
        <v/>
      </c>
      <c r="K296" s="6">
        <f>_xlfn.MINIFS('DETALLE CRONOLÓGICO'!$K$2:$K$4919,'DETALLE CRONOLÓGICO'!$A$2:$A$4919,$A296)</f>
        <v/>
      </c>
      <c r="L296" s="6">
        <f>_xlfn.MAXIFS('DETALLE CRONOLÓGICO'!$K$2:$K$4919,'DETALLE CRONOLÓGICO'!$A$2:$A$4919,$A296)</f>
        <v/>
      </c>
      <c r="M296" s="6">
        <f>INDEX('DETALLE CRONOLÓGICO'!$K$2:$K$4919,MATCH($A296,'DETALLE CRONOLÓGICO'!$A$2:$A$4919,0)+$E296-1)</f>
        <v/>
      </c>
      <c r="N296" s="7">
        <f>IFERROR($M296/INDEX('DETALLE CRONOLÓGICO'!$K$2:$K$4919,MATCH($A296,'DETALLE CRONOLÓGICO'!$A$2:$A$4919,0))-1,"")</f>
        <v/>
      </c>
      <c r="O296" s="6">
        <f>IFERROR($I296*3,"")</f>
        <v/>
      </c>
      <c r="P296" s="6">
        <f>IFERROR($I296*3.5,"")</f>
        <v/>
      </c>
      <c r="Q296" s="6">
        <f>IFERROR($I296*4,"")</f>
        <v/>
      </c>
      <c r="R296" s="6" t="n">
        <v>550</v>
      </c>
      <c r="S296" s="4" t="n">
        <v>0</v>
      </c>
      <c r="T296" s="1" t="inlineStr">
        <is>
          <t>active</t>
        </is>
      </c>
      <c r="U296" s="8" t="n"/>
      <c r="V296" s="1" t="inlineStr">
        <is>
          <t>SIN PRECIO</t>
        </is>
      </c>
    </row>
    <row r="297">
      <c r="A297" s="1" t="inlineStr">
        <is>
          <t>22974392136013</t>
        </is>
      </c>
      <c r="B297" s="1" t="inlineStr">
        <is>
          <t>BRAZALETE CC WHITE LOGOS</t>
        </is>
      </c>
      <c r="C297" s="1" t="inlineStr">
        <is>
          <t>Default Title</t>
        </is>
      </c>
      <c r="D297" s="1" t="inlineStr">
        <is>
          <t>NANCY</t>
        </is>
      </c>
      <c r="E297" s="4">
        <f>COUNTIF('DETALLE CRONOLÓGICO'!$A$2:$A$4919,$A297)</f>
        <v/>
      </c>
      <c r="F297" s="4">
        <f>SUMIFS('DETALLE CRONOLÓGICO'!$I$2:$I$4919,'DETALLE CRONOLÓGICO'!$A$2:$A$4919,$A297)</f>
        <v/>
      </c>
      <c r="G297" s="1">
        <f>INDEX('DETALLE CRONOLÓGICO'!$D$2:$D$4919,MATCH($A297,'DETALLE CRONOLÓGICO'!$A$2:$A$4919,0))</f>
        <v/>
      </c>
      <c r="H297" s="1">
        <f>INDEX('DETALLE CRONOLÓGICO'!$D$2:$D$4919,MATCH($A297,'DETALLE CRONOLÓGICO'!$A$2:$A$4919,0)+$E297-1)</f>
        <v/>
      </c>
      <c r="I297" s="5">
        <f>IFERROR(SUMIFS('DETALLE CRONOLÓGICO'!$L$2:$L$4919,'DETALLE CRONOLÓGICO'!$A$2:$A$4919,$A297)/$F297,"")</f>
        <v/>
      </c>
      <c r="J297" s="6">
        <f>IFERROR(SUMIFS('DETALLE CRONOLÓGICO'!$K$2:$K$4919,'DETALLE CRONOLÓGICO'!$A$2:$A$4919,$A297)/$E297,"")</f>
        <v/>
      </c>
      <c r="K297" s="6">
        <f>_xlfn.MINIFS('DETALLE CRONOLÓGICO'!$K$2:$K$4919,'DETALLE CRONOLÓGICO'!$A$2:$A$4919,$A297)</f>
        <v/>
      </c>
      <c r="L297" s="6">
        <f>_xlfn.MAXIFS('DETALLE CRONOLÓGICO'!$K$2:$K$4919,'DETALLE CRONOLÓGICO'!$A$2:$A$4919,$A297)</f>
        <v/>
      </c>
      <c r="M297" s="6">
        <f>INDEX('DETALLE CRONOLÓGICO'!$K$2:$K$4919,MATCH($A297,'DETALLE CRONOLÓGICO'!$A$2:$A$4919,0)+$E297-1)</f>
        <v/>
      </c>
      <c r="N297" s="7">
        <f>IFERROR($M297/INDEX('DETALLE CRONOLÓGICO'!$K$2:$K$4919,MATCH($A297,'DETALLE CRONOLÓGICO'!$A$2:$A$4919,0))-1,"")</f>
        <v/>
      </c>
      <c r="O297" s="6">
        <f>IFERROR($I297*3,"")</f>
        <v/>
      </c>
      <c r="P297" s="6">
        <f>IFERROR($I297*3.5,"")</f>
        <v/>
      </c>
      <c r="Q297" s="6">
        <f>IFERROR($I297*4,"")</f>
        <v/>
      </c>
      <c r="R297" s="6" t="n">
        <v>650</v>
      </c>
      <c r="S297" s="4" t="n">
        <v>0</v>
      </c>
      <c r="T297" s="1" t="inlineStr">
        <is>
          <t>active</t>
        </is>
      </c>
      <c r="U297" s="8" t="n"/>
      <c r="V297" s="1" t="inlineStr">
        <is>
          <t>SIN PRECIO</t>
        </is>
      </c>
    </row>
    <row r="298">
      <c r="A298" s="1" t="inlineStr">
        <is>
          <t>22974392232621</t>
        </is>
      </c>
      <c r="B298" s="1" t="inlineStr">
        <is>
          <t>ARETES CC RESIN PEARL SILVER</t>
        </is>
      </c>
      <c r="C298" s="1" t="inlineStr">
        <is>
          <t>Default Title</t>
        </is>
      </c>
      <c r="D298" s="1" t="inlineStr">
        <is>
          <t>NANCY</t>
        </is>
      </c>
      <c r="E298" s="4">
        <f>COUNTIF('DETALLE CRONOLÓGICO'!$A$2:$A$4919,$A298)</f>
        <v/>
      </c>
      <c r="F298" s="4">
        <f>SUMIFS('DETALLE CRONOLÓGICO'!$I$2:$I$4919,'DETALLE CRONOLÓGICO'!$A$2:$A$4919,$A298)</f>
        <v/>
      </c>
      <c r="G298" s="1">
        <f>INDEX('DETALLE CRONOLÓGICO'!$D$2:$D$4919,MATCH($A298,'DETALLE CRONOLÓGICO'!$A$2:$A$4919,0))</f>
        <v/>
      </c>
      <c r="H298" s="1">
        <f>INDEX('DETALLE CRONOLÓGICO'!$D$2:$D$4919,MATCH($A298,'DETALLE CRONOLÓGICO'!$A$2:$A$4919,0)+$E298-1)</f>
        <v/>
      </c>
      <c r="I298" s="5">
        <f>IFERROR(SUMIFS('DETALLE CRONOLÓGICO'!$L$2:$L$4919,'DETALLE CRONOLÓGICO'!$A$2:$A$4919,$A298)/$F298,"")</f>
        <v/>
      </c>
      <c r="J298" s="6">
        <f>IFERROR(SUMIFS('DETALLE CRONOLÓGICO'!$K$2:$K$4919,'DETALLE CRONOLÓGICO'!$A$2:$A$4919,$A298)/$E298,"")</f>
        <v/>
      </c>
      <c r="K298" s="6">
        <f>_xlfn.MINIFS('DETALLE CRONOLÓGICO'!$K$2:$K$4919,'DETALLE CRONOLÓGICO'!$A$2:$A$4919,$A298)</f>
        <v/>
      </c>
      <c r="L298" s="6">
        <f>_xlfn.MAXIFS('DETALLE CRONOLÓGICO'!$K$2:$K$4919,'DETALLE CRONOLÓGICO'!$A$2:$A$4919,$A298)</f>
        <v/>
      </c>
      <c r="M298" s="6">
        <f>INDEX('DETALLE CRONOLÓGICO'!$K$2:$K$4919,MATCH($A298,'DETALLE CRONOLÓGICO'!$A$2:$A$4919,0)+$E298-1)</f>
        <v/>
      </c>
      <c r="N298" s="7">
        <f>IFERROR($M298/INDEX('DETALLE CRONOLÓGICO'!$K$2:$K$4919,MATCH($A298,'DETALLE CRONOLÓGICO'!$A$2:$A$4919,0))-1,"")</f>
        <v/>
      </c>
      <c r="O298" s="6">
        <f>IFERROR($I298*3,"")</f>
        <v/>
      </c>
      <c r="P298" s="6">
        <f>IFERROR($I298*3.5,"")</f>
        <v/>
      </c>
      <c r="Q298" s="6">
        <f>IFERROR($I298*4,"")</f>
        <v/>
      </c>
      <c r="R298" s="6" t="n">
        <v>499</v>
      </c>
      <c r="S298" s="4" t="n">
        <v>0</v>
      </c>
      <c r="T298" s="1" t="inlineStr">
        <is>
          <t>active</t>
        </is>
      </c>
      <c r="U298" s="8" t="n"/>
      <c r="V298" s="1" t="inlineStr">
        <is>
          <t>SIN PRECIO</t>
        </is>
      </c>
    </row>
    <row r="299">
      <c r="A299" s="1" t="inlineStr">
        <is>
          <t>22974392394765</t>
        </is>
      </c>
      <c r="B299" s="1" t="inlineStr">
        <is>
          <t>BRAZALETE GG HORSEBIT GOLD</t>
        </is>
      </c>
      <c r="C299" s="1" t="inlineStr">
        <is>
          <t>Default Title</t>
        </is>
      </c>
      <c r="D299" s="1" t="inlineStr">
        <is>
          <t>NANCY</t>
        </is>
      </c>
      <c r="E299" s="4">
        <f>COUNTIF('DETALLE CRONOLÓGICO'!$A$2:$A$4919,$A299)</f>
        <v/>
      </c>
      <c r="F299" s="4">
        <f>SUMIFS('DETALLE CRONOLÓGICO'!$I$2:$I$4919,'DETALLE CRONOLÓGICO'!$A$2:$A$4919,$A299)</f>
        <v/>
      </c>
      <c r="G299" s="1">
        <f>INDEX('DETALLE CRONOLÓGICO'!$D$2:$D$4919,MATCH($A299,'DETALLE CRONOLÓGICO'!$A$2:$A$4919,0))</f>
        <v/>
      </c>
      <c r="H299" s="1">
        <f>INDEX('DETALLE CRONOLÓGICO'!$D$2:$D$4919,MATCH($A299,'DETALLE CRONOLÓGICO'!$A$2:$A$4919,0)+$E299-1)</f>
        <v/>
      </c>
      <c r="I299" s="5">
        <f>IFERROR(SUMIFS('DETALLE CRONOLÓGICO'!$L$2:$L$4919,'DETALLE CRONOLÓGICO'!$A$2:$A$4919,$A299)/$F299,"")</f>
        <v/>
      </c>
      <c r="J299" s="6">
        <f>IFERROR(SUMIFS('DETALLE CRONOLÓGICO'!$K$2:$K$4919,'DETALLE CRONOLÓGICO'!$A$2:$A$4919,$A299)/$E299,"")</f>
        <v/>
      </c>
      <c r="K299" s="6">
        <f>_xlfn.MINIFS('DETALLE CRONOLÓGICO'!$K$2:$K$4919,'DETALLE CRONOLÓGICO'!$A$2:$A$4919,$A299)</f>
        <v/>
      </c>
      <c r="L299" s="6">
        <f>_xlfn.MAXIFS('DETALLE CRONOLÓGICO'!$K$2:$K$4919,'DETALLE CRONOLÓGICO'!$A$2:$A$4919,$A299)</f>
        <v/>
      </c>
      <c r="M299" s="6">
        <f>INDEX('DETALLE CRONOLÓGICO'!$K$2:$K$4919,MATCH($A299,'DETALLE CRONOLÓGICO'!$A$2:$A$4919,0)+$E299-1)</f>
        <v/>
      </c>
      <c r="N299" s="7">
        <f>IFERROR($M299/INDEX('DETALLE CRONOLÓGICO'!$K$2:$K$4919,MATCH($A299,'DETALLE CRONOLÓGICO'!$A$2:$A$4919,0))-1,"")</f>
        <v/>
      </c>
      <c r="O299" s="6">
        <f>IFERROR($I299*3,"")</f>
        <v/>
      </c>
      <c r="P299" s="6">
        <f>IFERROR($I299*3.5,"")</f>
        <v/>
      </c>
      <c r="Q299" s="6">
        <f>IFERROR($I299*4,"")</f>
        <v/>
      </c>
      <c r="R299" s="6" t="n">
        <v>389</v>
      </c>
      <c r="S299" s="4" t="n">
        <v>2</v>
      </c>
      <c r="T299" s="1" t="inlineStr">
        <is>
          <t>active</t>
        </is>
      </c>
      <c r="U299" s="8" t="n"/>
      <c r="V299" s="1" t="inlineStr">
        <is>
          <t>SIN PRECIO</t>
        </is>
      </c>
    </row>
    <row r="300">
      <c r="A300" s="1" t="inlineStr">
        <is>
          <t>22974392487981</t>
        </is>
      </c>
      <c r="B300" s="1" t="inlineStr">
        <is>
          <t>ARRACADAS GG BLONDIE GOLD</t>
        </is>
      </c>
      <c r="C300" s="1" t="inlineStr">
        <is>
          <t>Default Title</t>
        </is>
      </c>
      <c r="D300" s="1" t="inlineStr">
        <is>
          <t>NANCY</t>
        </is>
      </c>
      <c r="E300" s="4">
        <f>COUNTIF('DETALLE CRONOLÓGICO'!$A$2:$A$4919,$A300)</f>
        <v/>
      </c>
      <c r="F300" s="4">
        <f>SUMIFS('DETALLE CRONOLÓGICO'!$I$2:$I$4919,'DETALLE CRONOLÓGICO'!$A$2:$A$4919,$A300)</f>
        <v/>
      </c>
      <c r="G300" s="1">
        <f>INDEX('DETALLE CRONOLÓGICO'!$D$2:$D$4919,MATCH($A300,'DETALLE CRONOLÓGICO'!$A$2:$A$4919,0))</f>
        <v/>
      </c>
      <c r="H300" s="1">
        <f>INDEX('DETALLE CRONOLÓGICO'!$D$2:$D$4919,MATCH($A300,'DETALLE CRONOLÓGICO'!$A$2:$A$4919,0)+$E300-1)</f>
        <v/>
      </c>
      <c r="I300" s="5">
        <f>IFERROR(SUMIFS('DETALLE CRONOLÓGICO'!$L$2:$L$4919,'DETALLE CRONOLÓGICO'!$A$2:$A$4919,$A300)/$F300,"")</f>
        <v/>
      </c>
      <c r="J300" s="6">
        <f>IFERROR(SUMIFS('DETALLE CRONOLÓGICO'!$K$2:$K$4919,'DETALLE CRONOLÓGICO'!$A$2:$A$4919,$A300)/$E300,"")</f>
        <v/>
      </c>
      <c r="K300" s="6">
        <f>_xlfn.MINIFS('DETALLE CRONOLÓGICO'!$K$2:$K$4919,'DETALLE CRONOLÓGICO'!$A$2:$A$4919,$A300)</f>
        <v/>
      </c>
      <c r="L300" s="6">
        <f>_xlfn.MAXIFS('DETALLE CRONOLÓGICO'!$K$2:$K$4919,'DETALLE CRONOLÓGICO'!$A$2:$A$4919,$A300)</f>
        <v/>
      </c>
      <c r="M300" s="6">
        <f>INDEX('DETALLE CRONOLÓGICO'!$K$2:$K$4919,MATCH($A300,'DETALLE CRONOLÓGICO'!$A$2:$A$4919,0)+$E300-1)</f>
        <v/>
      </c>
      <c r="N300" s="7">
        <f>IFERROR($M300/INDEX('DETALLE CRONOLÓGICO'!$K$2:$K$4919,MATCH($A300,'DETALLE CRONOLÓGICO'!$A$2:$A$4919,0))-1,"")</f>
        <v/>
      </c>
      <c r="O300" s="6">
        <f>IFERROR($I300*3,"")</f>
        <v/>
      </c>
      <c r="P300" s="6">
        <f>IFERROR($I300*3.5,"")</f>
        <v/>
      </c>
      <c r="Q300" s="6">
        <f>IFERROR($I300*4,"")</f>
        <v/>
      </c>
      <c r="R300" s="6" t="n">
        <v>499</v>
      </c>
      <c r="S300" s="4" t="n">
        <v>0</v>
      </c>
      <c r="T300" s="1" t="inlineStr">
        <is>
          <t>active</t>
        </is>
      </c>
      <c r="U300" s="8" t="n"/>
      <c r="V300" s="1" t="inlineStr">
        <is>
          <t>SIN PRECIO</t>
        </is>
      </c>
    </row>
    <row r="301">
      <c r="A301" s="1" t="inlineStr">
        <is>
          <t>22974392517357</t>
        </is>
      </c>
      <c r="B301" s="1" t="inlineStr">
        <is>
          <t>GARGANTILLA CD BLACK</t>
        </is>
      </c>
      <c r="C301" s="1" t="inlineStr">
        <is>
          <t>Default Title</t>
        </is>
      </c>
      <c r="D301" s="1" t="inlineStr">
        <is>
          <t>NANCY</t>
        </is>
      </c>
      <c r="E301" s="4">
        <f>COUNTIF('DETALLE CRONOLÓGICO'!$A$2:$A$4919,$A301)</f>
        <v/>
      </c>
      <c r="F301" s="4">
        <f>SUMIFS('DETALLE CRONOLÓGICO'!$I$2:$I$4919,'DETALLE CRONOLÓGICO'!$A$2:$A$4919,$A301)</f>
        <v/>
      </c>
      <c r="G301" s="1">
        <f>INDEX('DETALLE CRONOLÓGICO'!$D$2:$D$4919,MATCH($A301,'DETALLE CRONOLÓGICO'!$A$2:$A$4919,0))</f>
        <v/>
      </c>
      <c r="H301" s="1">
        <f>INDEX('DETALLE CRONOLÓGICO'!$D$2:$D$4919,MATCH($A301,'DETALLE CRONOLÓGICO'!$A$2:$A$4919,0)+$E301-1)</f>
        <v/>
      </c>
      <c r="I301" s="5">
        <f>IFERROR(SUMIFS('DETALLE CRONOLÓGICO'!$L$2:$L$4919,'DETALLE CRONOLÓGICO'!$A$2:$A$4919,$A301)/$F301,"")</f>
        <v/>
      </c>
      <c r="J301" s="6">
        <f>IFERROR(SUMIFS('DETALLE CRONOLÓGICO'!$K$2:$K$4919,'DETALLE CRONOLÓGICO'!$A$2:$A$4919,$A301)/$E301,"")</f>
        <v/>
      </c>
      <c r="K301" s="6">
        <f>_xlfn.MINIFS('DETALLE CRONOLÓGICO'!$K$2:$K$4919,'DETALLE CRONOLÓGICO'!$A$2:$A$4919,$A301)</f>
        <v/>
      </c>
      <c r="L301" s="6">
        <f>_xlfn.MAXIFS('DETALLE CRONOLÓGICO'!$K$2:$K$4919,'DETALLE CRONOLÓGICO'!$A$2:$A$4919,$A301)</f>
        <v/>
      </c>
      <c r="M301" s="6">
        <f>INDEX('DETALLE CRONOLÓGICO'!$K$2:$K$4919,MATCH($A301,'DETALLE CRONOLÓGICO'!$A$2:$A$4919,0)+$E301-1)</f>
        <v/>
      </c>
      <c r="N301" s="7">
        <f>IFERROR($M301/INDEX('DETALLE CRONOLÓGICO'!$K$2:$K$4919,MATCH($A301,'DETALLE CRONOLÓGICO'!$A$2:$A$4919,0))-1,"")</f>
        <v/>
      </c>
      <c r="O301" s="6">
        <f>IFERROR($I301*3,"")</f>
        <v/>
      </c>
      <c r="P301" s="6">
        <f>IFERROR($I301*3.5,"")</f>
        <v/>
      </c>
      <c r="Q301" s="6">
        <f>IFERROR($I301*4,"")</f>
        <v/>
      </c>
      <c r="R301" s="6" t="n">
        <v>499</v>
      </c>
      <c r="S301" s="4" t="n">
        <v>0</v>
      </c>
      <c r="T301" s="1" t="inlineStr">
        <is>
          <t>active</t>
        </is>
      </c>
      <c r="U301" s="8" t="n"/>
      <c r="V301" s="1" t="inlineStr">
        <is>
          <t>SIN PRECIO</t>
        </is>
      </c>
    </row>
    <row r="302">
      <c r="A302" s="1" t="inlineStr">
        <is>
          <t>22974392600397</t>
        </is>
      </c>
      <c r="B302" s="1" t="inlineStr">
        <is>
          <t>BRAZALETE CD PETIT MULTI GOLD</t>
        </is>
      </c>
      <c r="C302" s="1" t="inlineStr">
        <is>
          <t>Default Title</t>
        </is>
      </c>
      <c r="D302" s="1" t="inlineStr">
        <is>
          <t>NANCY</t>
        </is>
      </c>
      <c r="E302" s="4">
        <f>COUNTIF('DETALLE CRONOLÓGICO'!$A$2:$A$4919,$A302)</f>
        <v/>
      </c>
      <c r="F302" s="4">
        <f>SUMIFS('DETALLE CRONOLÓGICO'!$I$2:$I$4919,'DETALLE CRONOLÓGICO'!$A$2:$A$4919,$A302)</f>
        <v/>
      </c>
      <c r="G302" s="1">
        <f>INDEX('DETALLE CRONOLÓGICO'!$D$2:$D$4919,MATCH($A302,'DETALLE CRONOLÓGICO'!$A$2:$A$4919,0))</f>
        <v/>
      </c>
      <c r="H302" s="1">
        <f>INDEX('DETALLE CRONOLÓGICO'!$D$2:$D$4919,MATCH($A302,'DETALLE CRONOLÓGICO'!$A$2:$A$4919,0)+$E302-1)</f>
        <v/>
      </c>
      <c r="I302" s="5">
        <f>IFERROR(SUMIFS('DETALLE CRONOLÓGICO'!$L$2:$L$4919,'DETALLE CRONOLÓGICO'!$A$2:$A$4919,$A302)/$F302,"")</f>
        <v/>
      </c>
      <c r="J302" s="6">
        <f>IFERROR(SUMIFS('DETALLE CRONOLÓGICO'!$K$2:$K$4919,'DETALLE CRONOLÓGICO'!$A$2:$A$4919,$A302)/$E302,"")</f>
        <v/>
      </c>
      <c r="K302" s="6">
        <f>_xlfn.MINIFS('DETALLE CRONOLÓGICO'!$K$2:$K$4919,'DETALLE CRONOLÓGICO'!$A$2:$A$4919,$A302)</f>
        <v/>
      </c>
      <c r="L302" s="6">
        <f>_xlfn.MAXIFS('DETALLE CRONOLÓGICO'!$K$2:$K$4919,'DETALLE CRONOLÓGICO'!$A$2:$A$4919,$A302)</f>
        <v/>
      </c>
      <c r="M302" s="6">
        <f>INDEX('DETALLE CRONOLÓGICO'!$K$2:$K$4919,MATCH($A302,'DETALLE CRONOLÓGICO'!$A$2:$A$4919,0)+$E302-1)</f>
        <v/>
      </c>
      <c r="N302" s="7">
        <f>IFERROR($M302/INDEX('DETALLE CRONOLÓGICO'!$K$2:$K$4919,MATCH($A302,'DETALLE CRONOLÓGICO'!$A$2:$A$4919,0))-1,"")</f>
        <v/>
      </c>
      <c r="O302" s="6">
        <f>IFERROR($I302*3,"")</f>
        <v/>
      </c>
      <c r="P302" s="6">
        <f>IFERROR($I302*3.5,"")</f>
        <v/>
      </c>
      <c r="Q302" s="6">
        <f>IFERROR($I302*4,"")</f>
        <v/>
      </c>
      <c r="R302" s="6" t="n">
        <v>650</v>
      </c>
      <c r="S302" s="4" t="n">
        <v>0</v>
      </c>
      <c r="T302" s="1" t="inlineStr">
        <is>
          <t>active</t>
        </is>
      </c>
      <c r="U302" s="8" t="n"/>
      <c r="V302" s="1" t="inlineStr">
        <is>
          <t>SIN PRECIO</t>
        </is>
      </c>
    </row>
    <row r="303">
      <c r="A303" s="1" t="inlineStr">
        <is>
          <t>22974392766477</t>
        </is>
      </c>
      <c r="B303" s="1" t="inlineStr">
        <is>
          <t>ARRACADAS CD NEW LOOK GOLD</t>
        </is>
      </c>
      <c r="C303" s="1" t="inlineStr">
        <is>
          <t>HIGH QUALITY</t>
        </is>
      </c>
      <c r="D303" s="1" t="inlineStr">
        <is>
          <t>NANCY</t>
        </is>
      </c>
      <c r="E303" s="4">
        <f>COUNTIF('DETALLE CRONOLÓGICO'!$A$2:$A$4919,$A303)</f>
        <v/>
      </c>
      <c r="F303" s="4">
        <f>SUMIFS('DETALLE CRONOLÓGICO'!$I$2:$I$4919,'DETALLE CRONOLÓGICO'!$A$2:$A$4919,$A303)</f>
        <v/>
      </c>
      <c r="G303" s="1">
        <f>INDEX('DETALLE CRONOLÓGICO'!$D$2:$D$4919,MATCH($A303,'DETALLE CRONOLÓGICO'!$A$2:$A$4919,0))</f>
        <v/>
      </c>
      <c r="H303" s="1">
        <f>INDEX('DETALLE CRONOLÓGICO'!$D$2:$D$4919,MATCH($A303,'DETALLE CRONOLÓGICO'!$A$2:$A$4919,0)+$E303-1)</f>
        <v/>
      </c>
      <c r="I303" s="5">
        <f>IFERROR(SUMIFS('DETALLE CRONOLÓGICO'!$L$2:$L$4919,'DETALLE CRONOLÓGICO'!$A$2:$A$4919,$A303)/$F303,"")</f>
        <v/>
      </c>
      <c r="J303" s="6">
        <f>IFERROR(SUMIFS('DETALLE CRONOLÓGICO'!$K$2:$K$4919,'DETALLE CRONOLÓGICO'!$A$2:$A$4919,$A303)/$E303,"")</f>
        <v/>
      </c>
      <c r="K303" s="6">
        <f>_xlfn.MINIFS('DETALLE CRONOLÓGICO'!$K$2:$K$4919,'DETALLE CRONOLÓGICO'!$A$2:$A$4919,$A303)</f>
        <v/>
      </c>
      <c r="L303" s="6">
        <f>_xlfn.MAXIFS('DETALLE CRONOLÓGICO'!$K$2:$K$4919,'DETALLE CRONOLÓGICO'!$A$2:$A$4919,$A303)</f>
        <v/>
      </c>
      <c r="M303" s="6">
        <f>INDEX('DETALLE CRONOLÓGICO'!$K$2:$K$4919,MATCH($A303,'DETALLE CRONOLÓGICO'!$A$2:$A$4919,0)+$E303-1)</f>
        <v/>
      </c>
      <c r="N303" s="7">
        <f>IFERROR($M303/INDEX('DETALLE CRONOLÓGICO'!$K$2:$K$4919,MATCH($A303,'DETALLE CRONOLÓGICO'!$A$2:$A$4919,0))-1,"")</f>
        <v/>
      </c>
      <c r="O303" s="6">
        <f>IFERROR($I303*3,"")</f>
        <v/>
      </c>
      <c r="P303" s="6">
        <f>IFERROR($I303*3.5,"")</f>
        <v/>
      </c>
      <c r="Q303" s="6">
        <f>IFERROR($I303*4,"")</f>
        <v/>
      </c>
      <c r="R303" s="6" t="n">
        <v>550</v>
      </c>
      <c r="S303" s="4" t="n">
        <v>0</v>
      </c>
      <c r="T303" s="1" t="inlineStr">
        <is>
          <t>active</t>
        </is>
      </c>
      <c r="U303" s="8" t="n"/>
      <c r="V303" s="1" t="inlineStr">
        <is>
          <t>SIN PRECIO</t>
        </is>
      </c>
    </row>
    <row r="304">
      <c r="A304" s="1" t="inlineStr">
        <is>
          <t>22974393035949</t>
        </is>
      </c>
      <c r="B304" s="1" t="inlineStr">
        <is>
          <t>ARETES V MEDUSA GOLD</t>
        </is>
      </c>
      <c r="C304" s="1" t="inlineStr">
        <is>
          <t>Default Title</t>
        </is>
      </c>
      <c r="D304" s="1" t="inlineStr">
        <is>
          <t>NANCY</t>
        </is>
      </c>
      <c r="E304" s="4">
        <f>COUNTIF('DETALLE CRONOLÓGICO'!$A$2:$A$4919,$A304)</f>
        <v/>
      </c>
      <c r="F304" s="4">
        <f>SUMIFS('DETALLE CRONOLÓGICO'!$I$2:$I$4919,'DETALLE CRONOLÓGICO'!$A$2:$A$4919,$A304)</f>
        <v/>
      </c>
      <c r="G304" s="1">
        <f>INDEX('DETALLE CRONOLÓGICO'!$D$2:$D$4919,MATCH($A304,'DETALLE CRONOLÓGICO'!$A$2:$A$4919,0))</f>
        <v/>
      </c>
      <c r="H304" s="1">
        <f>INDEX('DETALLE CRONOLÓGICO'!$D$2:$D$4919,MATCH($A304,'DETALLE CRONOLÓGICO'!$A$2:$A$4919,0)+$E304-1)</f>
        <v/>
      </c>
      <c r="I304" s="5">
        <f>IFERROR(SUMIFS('DETALLE CRONOLÓGICO'!$L$2:$L$4919,'DETALLE CRONOLÓGICO'!$A$2:$A$4919,$A304)/$F304,"")</f>
        <v/>
      </c>
      <c r="J304" s="6">
        <f>IFERROR(SUMIFS('DETALLE CRONOLÓGICO'!$K$2:$K$4919,'DETALLE CRONOLÓGICO'!$A$2:$A$4919,$A304)/$E304,"")</f>
        <v/>
      </c>
      <c r="K304" s="6">
        <f>_xlfn.MINIFS('DETALLE CRONOLÓGICO'!$K$2:$K$4919,'DETALLE CRONOLÓGICO'!$A$2:$A$4919,$A304)</f>
        <v/>
      </c>
      <c r="L304" s="6">
        <f>_xlfn.MAXIFS('DETALLE CRONOLÓGICO'!$K$2:$K$4919,'DETALLE CRONOLÓGICO'!$A$2:$A$4919,$A304)</f>
        <v/>
      </c>
      <c r="M304" s="6">
        <f>INDEX('DETALLE CRONOLÓGICO'!$K$2:$K$4919,MATCH($A304,'DETALLE CRONOLÓGICO'!$A$2:$A$4919,0)+$E304-1)</f>
        <v/>
      </c>
      <c r="N304" s="7">
        <f>IFERROR($M304/INDEX('DETALLE CRONOLÓGICO'!$K$2:$K$4919,MATCH($A304,'DETALLE CRONOLÓGICO'!$A$2:$A$4919,0))-1,"")</f>
        <v/>
      </c>
      <c r="O304" s="6">
        <f>IFERROR($I304*3,"")</f>
        <v/>
      </c>
      <c r="P304" s="6">
        <f>IFERROR($I304*3.5,"")</f>
        <v/>
      </c>
      <c r="Q304" s="6">
        <f>IFERROR($I304*4,"")</f>
        <v/>
      </c>
      <c r="R304" s="6" t="n">
        <v>540</v>
      </c>
      <c r="S304" s="4" t="n">
        <v>2</v>
      </c>
      <c r="T304" s="1" t="inlineStr">
        <is>
          <t>active</t>
        </is>
      </c>
      <c r="U304" s="8" t="n"/>
      <c r="V304" s="1" t="inlineStr">
        <is>
          <t>SIN PRECIO</t>
        </is>
      </c>
    </row>
    <row r="305">
      <c r="A305" s="1" t="inlineStr">
        <is>
          <t>22974393134797</t>
        </is>
      </c>
      <c r="B305" s="1" t="inlineStr">
        <is>
          <t>BRAZALETE V B.ZERO1 ROSE GOLD</t>
        </is>
      </c>
      <c r="C305" s="1" t="inlineStr">
        <is>
          <t>Default Title</t>
        </is>
      </c>
      <c r="D305" s="1" t="inlineStr">
        <is>
          <t>NANCY</t>
        </is>
      </c>
      <c r="E305" s="4">
        <f>COUNTIF('DETALLE CRONOLÓGICO'!$A$2:$A$4919,$A305)</f>
        <v/>
      </c>
      <c r="F305" s="4">
        <f>SUMIFS('DETALLE CRONOLÓGICO'!$I$2:$I$4919,'DETALLE CRONOLÓGICO'!$A$2:$A$4919,$A305)</f>
        <v/>
      </c>
      <c r="G305" s="1">
        <f>INDEX('DETALLE CRONOLÓGICO'!$D$2:$D$4919,MATCH($A305,'DETALLE CRONOLÓGICO'!$A$2:$A$4919,0))</f>
        <v/>
      </c>
      <c r="H305" s="1">
        <f>INDEX('DETALLE CRONOLÓGICO'!$D$2:$D$4919,MATCH($A305,'DETALLE CRONOLÓGICO'!$A$2:$A$4919,0)+$E305-1)</f>
        <v/>
      </c>
      <c r="I305" s="5">
        <f>IFERROR(SUMIFS('DETALLE CRONOLÓGICO'!$L$2:$L$4919,'DETALLE CRONOLÓGICO'!$A$2:$A$4919,$A305)/$F305,"")</f>
        <v/>
      </c>
      <c r="J305" s="6">
        <f>IFERROR(SUMIFS('DETALLE CRONOLÓGICO'!$K$2:$K$4919,'DETALLE CRONOLÓGICO'!$A$2:$A$4919,$A305)/$E305,"")</f>
        <v/>
      </c>
      <c r="K305" s="6">
        <f>_xlfn.MINIFS('DETALLE CRONOLÓGICO'!$K$2:$K$4919,'DETALLE CRONOLÓGICO'!$A$2:$A$4919,$A305)</f>
        <v/>
      </c>
      <c r="L305" s="6">
        <f>_xlfn.MAXIFS('DETALLE CRONOLÓGICO'!$K$2:$K$4919,'DETALLE CRONOLÓGICO'!$A$2:$A$4919,$A305)</f>
        <v/>
      </c>
      <c r="M305" s="6">
        <f>INDEX('DETALLE CRONOLÓGICO'!$K$2:$K$4919,MATCH($A305,'DETALLE CRONOLÓGICO'!$A$2:$A$4919,0)+$E305-1)</f>
        <v/>
      </c>
      <c r="N305" s="7">
        <f>IFERROR($M305/INDEX('DETALLE CRONOLÓGICO'!$K$2:$K$4919,MATCH($A305,'DETALLE CRONOLÓGICO'!$A$2:$A$4919,0))-1,"")</f>
        <v/>
      </c>
      <c r="O305" s="6">
        <f>IFERROR($I305*3,"")</f>
        <v/>
      </c>
      <c r="P305" s="6">
        <f>IFERROR($I305*3.5,"")</f>
        <v/>
      </c>
      <c r="Q305" s="6">
        <f>IFERROR($I305*4,"")</f>
        <v/>
      </c>
      <c r="R305" s="6" t="n">
        <v>499</v>
      </c>
      <c r="S305" s="4" t="n">
        <v>3</v>
      </c>
      <c r="T305" s="1" t="inlineStr">
        <is>
          <t>draft</t>
        </is>
      </c>
      <c r="U305" s="8" t="n"/>
      <c r="V305" s="1" t="inlineStr">
        <is>
          <t>SIN PRECIO</t>
        </is>
      </c>
    </row>
    <row r="306">
      <c r="A306" s="1" t="inlineStr">
        <is>
          <t>22974393293549</t>
        </is>
      </c>
      <c r="B306" s="1" t="inlineStr">
        <is>
          <t>BRAZALETE V B.ZERO1 ALL GOLD</t>
        </is>
      </c>
      <c r="C306" s="1" t="inlineStr">
        <is>
          <t>Default Title</t>
        </is>
      </c>
      <c r="D306" s="1" t="inlineStr">
        <is>
          <t>NANCY</t>
        </is>
      </c>
      <c r="E306" s="4">
        <f>COUNTIF('DETALLE CRONOLÓGICO'!$A$2:$A$4919,$A306)</f>
        <v/>
      </c>
      <c r="F306" s="4">
        <f>SUMIFS('DETALLE CRONOLÓGICO'!$I$2:$I$4919,'DETALLE CRONOLÓGICO'!$A$2:$A$4919,$A306)</f>
        <v/>
      </c>
      <c r="G306" s="1">
        <f>INDEX('DETALLE CRONOLÓGICO'!$D$2:$D$4919,MATCH($A306,'DETALLE CRONOLÓGICO'!$A$2:$A$4919,0))</f>
        <v/>
      </c>
      <c r="H306" s="1">
        <f>INDEX('DETALLE CRONOLÓGICO'!$D$2:$D$4919,MATCH($A306,'DETALLE CRONOLÓGICO'!$A$2:$A$4919,0)+$E306-1)</f>
        <v/>
      </c>
      <c r="I306" s="5">
        <f>IFERROR(SUMIFS('DETALLE CRONOLÓGICO'!$L$2:$L$4919,'DETALLE CRONOLÓGICO'!$A$2:$A$4919,$A306)/$F306,"")</f>
        <v/>
      </c>
      <c r="J306" s="6">
        <f>IFERROR(SUMIFS('DETALLE CRONOLÓGICO'!$K$2:$K$4919,'DETALLE CRONOLÓGICO'!$A$2:$A$4919,$A306)/$E306,"")</f>
        <v/>
      </c>
      <c r="K306" s="6">
        <f>_xlfn.MINIFS('DETALLE CRONOLÓGICO'!$K$2:$K$4919,'DETALLE CRONOLÓGICO'!$A$2:$A$4919,$A306)</f>
        <v/>
      </c>
      <c r="L306" s="6">
        <f>_xlfn.MAXIFS('DETALLE CRONOLÓGICO'!$K$2:$K$4919,'DETALLE CRONOLÓGICO'!$A$2:$A$4919,$A306)</f>
        <v/>
      </c>
      <c r="M306" s="6">
        <f>INDEX('DETALLE CRONOLÓGICO'!$K$2:$K$4919,MATCH($A306,'DETALLE CRONOLÓGICO'!$A$2:$A$4919,0)+$E306-1)</f>
        <v/>
      </c>
      <c r="N306" s="7">
        <f>IFERROR($M306/INDEX('DETALLE CRONOLÓGICO'!$K$2:$K$4919,MATCH($A306,'DETALLE CRONOLÓGICO'!$A$2:$A$4919,0))-1,"")</f>
        <v/>
      </c>
      <c r="O306" s="6">
        <f>IFERROR($I306*3,"")</f>
        <v/>
      </c>
      <c r="P306" s="6">
        <f>IFERROR($I306*3.5,"")</f>
        <v/>
      </c>
      <c r="Q306" s="6">
        <f>IFERROR($I306*4,"")</f>
        <v/>
      </c>
      <c r="R306" s="6" t="n">
        <v>499</v>
      </c>
      <c r="S306" s="4" t="n">
        <v>3</v>
      </c>
      <c r="T306" s="1" t="inlineStr">
        <is>
          <t>draft</t>
        </is>
      </c>
      <c r="U306" s="8" t="n"/>
      <c r="V306" s="1" t="inlineStr">
        <is>
          <t>SIN PRECIO</t>
        </is>
      </c>
    </row>
    <row r="307">
      <c r="A307" s="1" t="inlineStr">
        <is>
          <t>23025461018285</t>
        </is>
      </c>
      <c r="B307" s="1" t="inlineStr">
        <is>
          <t>TENIS LV CLASSIC</t>
        </is>
      </c>
      <c r="C307" s="1" t="inlineStr">
        <is>
          <t>42/8MX</t>
        </is>
      </c>
      <c r="D307" s="1" t="inlineStr">
        <is>
          <t>ZOEY</t>
        </is>
      </c>
      <c r="E307" s="4">
        <f>COUNTIF('DETALLE CRONOLÓGICO'!$A$2:$A$4919,$A307)</f>
        <v/>
      </c>
      <c r="F307" s="4">
        <f>SUMIFS('DETALLE CRONOLÓGICO'!$I$2:$I$4919,'DETALLE CRONOLÓGICO'!$A$2:$A$4919,$A307)</f>
        <v/>
      </c>
      <c r="G307" s="1">
        <f>INDEX('DETALLE CRONOLÓGICO'!$D$2:$D$4919,MATCH($A307,'DETALLE CRONOLÓGICO'!$A$2:$A$4919,0))</f>
        <v/>
      </c>
      <c r="H307" s="1">
        <f>INDEX('DETALLE CRONOLÓGICO'!$D$2:$D$4919,MATCH($A307,'DETALLE CRONOLÓGICO'!$A$2:$A$4919,0)+$E307-1)</f>
        <v/>
      </c>
      <c r="I307" s="5">
        <f>IFERROR(SUMIFS('DETALLE CRONOLÓGICO'!$L$2:$L$4919,'DETALLE CRONOLÓGICO'!$A$2:$A$4919,$A307)/$F307,"")</f>
        <v/>
      </c>
      <c r="J307" s="6">
        <f>IFERROR(SUMIFS('DETALLE CRONOLÓGICO'!$K$2:$K$4919,'DETALLE CRONOLÓGICO'!$A$2:$A$4919,$A307)/$E307,"")</f>
        <v/>
      </c>
      <c r="K307" s="6">
        <f>_xlfn.MINIFS('DETALLE CRONOLÓGICO'!$K$2:$K$4919,'DETALLE CRONOLÓGICO'!$A$2:$A$4919,$A307)</f>
        <v/>
      </c>
      <c r="L307" s="6">
        <f>_xlfn.MAXIFS('DETALLE CRONOLÓGICO'!$K$2:$K$4919,'DETALLE CRONOLÓGICO'!$A$2:$A$4919,$A307)</f>
        <v/>
      </c>
      <c r="M307" s="6">
        <f>INDEX('DETALLE CRONOLÓGICO'!$K$2:$K$4919,MATCH($A307,'DETALLE CRONOLÓGICO'!$A$2:$A$4919,0)+$E307-1)</f>
        <v/>
      </c>
      <c r="N307" s="7">
        <f>IFERROR($M307/INDEX('DETALLE CRONOLÓGICO'!$K$2:$K$4919,MATCH($A307,'DETALLE CRONOLÓGICO'!$A$2:$A$4919,0))-1,"")</f>
        <v/>
      </c>
      <c r="O307" s="6">
        <f>IFERROR($I307*3,"")</f>
        <v/>
      </c>
      <c r="P307" s="6">
        <f>IFERROR($I307*3.5,"")</f>
        <v/>
      </c>
      <c r="Q307" s="6">
        <f>IFERROR($I307*4,"")</f>
        <v/>
      </c>
      <c r="R307" s="6" t="n">
        <v>6680</v>
      </c>
      <c r="S307" s="4" t="n">
        <v>0</v>
      </c>
      <c r="T307" s="1" t="inlineStr">
        <is>
          <t>active</t>
        </is>
      </c>
      <c r="U307" s="8" t="n"/>
      <c r="V307" s="1" t="inlineStr">
        <is>
          <t>SIN PRECIO</t>
        </is>
      </c>
    </row>
    <row r="308">
      <c r="A308" s="1" t="inlineStr">
        <is>
          <t>23025461105261</t>
        </is>
      </c>
      <c r="B308" s="1" t="inlineStr">
        <is>
          <t>SANDALIAS H CHYPRE</t>
        </is>
      </c>
      <c r="C308" s="1" t="inlineStr">
        <is>
          <t>42/8MX</t>
        </is>
      </c>
      <c r="D308" s="1" t="inlineStr">
        <is>
          <t>ZOEY</t>
        </is>
      </c>
      <c r="E308" s="4">
        <f>COUNTIF('DETALLE CRONOLÓGICO'!$A$2:$A$4919,$A308)</f>
        <v/>
      </c>
      <c r="F308" s="4">
        <f>SUMIFS('DETALLE CRONOLÓGICO'!$I$2:$I$4919,'DETALLE CRONOLÓGICO'!$A$2:$A$4919,$A308)</f>
        <v/>
      </c>
      <c r="G308" s="1">
        <f>INDEX('DETALLE CRONOLÓGICO'!$D$2:$D$4919,MATCH($A308,'DETALLE CRONOLÓGICO'!$A$2:$A$4919,0))</f>
        <v/>
      </c>
      <c r="H308" s="1">
        <f>INDEX('DETALLE CRONOLÓGICO'!$D$2:$D$4919,MATCH($A308,'DETALLE CRONOLÓGICO'!$A$2:$A$4919,0)+$E308-1)</f>
        <v/>
      </c>
      <c r="I308" s="5">
        <f>IFERROR(SUMIFS('DETALLE CRONOLÓGICO'!$L$2:$L$4919,'DETALLE CRONOLÓGICO'!$A$2:$A$4919,$A308)/$F308,"")</f>
        <v/>
      </c>
      <c r="J308" s="6">
        <f>IFERROR(SUMIFS('DETALLE CRONOLÓGICO'!$K$2:$K$4919,'DETALLE CRONOLÓGICO'!$A$2:$A$4919,$A308)/$E308,"")</f>
        <v/>
      </c>
      <c r="K308" s="6">
        <f>_xlfn.MINIFS('DETALLE CRONOLÓGICO'!$K$2:$K$4919,'DETALLE CRONOLÓGICO'!$A$2:$A$4919,$A308)</f>
        <v/>
      </c>
      <c r="L308" s="6">
        <f>_xlfn.MAXIFS('DETALLE CRONOLÓGICO'!$K$2:$K$4919,'DETALLE CRONOLÓGICO'!$A$2:$A$4919,$A308)</f>
        <v/>
      </c>
      <c r="M308" s="6">
        <f>INDEX('DETALLE CRONOLÓGICO'!$K$2:$K$4919,MATCH($A308,'DETALLE CRONOLÓGICO'!$A$2:$A$4919,0)+$E308-1)</f>
        <v/>
      </c>
      <c r="N308" s="7">
        <f>IFERROR($M308/INDEX('DETALLE CRONOLÓGICO'!$K$2:$K$4919,MATCH($A308,'DETALLE CRONOLÓGICO'!$A$2:$A$4919,0))-1,"")</f>
        <v/>
      </c>
      <c r="O308" s="6">
        <f>IFERROR($I308*3,"")</f>
        <v/>
      </c>
      <c r="P308" s="6">
        <f>IFERROR($I308*3.5,"")</f>
        <v/>
      </c>
      <c r="Q308" s="6">
        <f>IFERROR($I308*4,"")</f>
        <v/>
      </c>
      <c r="R308" s="6" t="n">
        <v>4775</v>
      </c>
      <c r="S308" s="4" t="n">
        <v>0</v>
      </c>
      <c r="T308" s="1" t="inlineStr">
        <is>
          <t>active</t>
        </is>
      </c>
      <c r="U308" s="8" t="n"/>
      <c r="V308" s="1" t="inlineStr">
        <is>
          <t>SIN PRECIO</t>
        </is>
      </c>
    </row>
    <row r="309">
      <c r="A309" s="1" t="inlineStr">
        <is>
          <t>23025461238029</t>
        </is>
      </c>
      <c r="B309" s="1" t="inlineStr">
        <is>
          <t>SANDALIAS H CHYPRE</t>
        </is>
      </c>
      <c r="C309" s="1" t="inlineStr">
        <is>
          <t>44/9MX</t>
        </is>
      </c>
      <c r="D309" s="1" t="inlineStr">
        <is>
          <t>ZOEY</t>
        </is>
      </c>
      <c r="E309" s="4">
        <f>COUNTIF('DETALLE CRONOLÓGICO'!$A$2:$A$4919,$A309)</f>
        <v/>
      </c>
      <c r="F309" s="4">
        <f>SUMIFS('DETALLE CRONOLÓGICO'!$I$2:$I$4919,'DETALLE CRONOLÓGICO'!$A$2:$A$4919,$A309)</f>
        <v/>
      </c>
      <c r="G309" s="1">
        <f>INDEX('DETALLE CRONOLÓGICO'!$D$2:$D$4919,MATCH($A309,'DETALLE CRONOLÓGICO'!$A$2:$A$4919,0))</f>
        <v/>
      </c>
      <c r="H309" s="1">
        <f>INDEX('DETALLE CRONOLÓGICO'!$D$2:$D$4919,MATCH($A309,'DETALLE CRONOLÓGICO'!$A$2:$A$4919,0)+$E309-1)</f>
        <v/>
      </c>
      <c r="I309" s="5">
        <f>IFERROR(SUMIFS('DETALLE CRONOLÓGICO'!$L$2:$L$4919,'DETALLE CRONOLÓGICO'!$A$2:$A$4919,$A309)/$F309,"")</f>
        <v/>
      </c>
      <c r="J309" s="6">
        <f>IFERROR(SUMIFS('DETALLE CRONOLÓGICO'!$K$2:$K$4919,'DETALLE CRONOLÓGICO'!$A$2:$A$4919,$A309)/$E309,"")</f>
        <v/>
      </c>
      <c r="K309" s="6">
        <f>_xlfn.MINIFS('DETALLE CRONOLÓGICO'!$K$2:$K$4919,'DETALLE CRONOLÓGICO'!$A$2:$A$4919,$A309)</f>
        <v/>
      </c>
      <c r="L309" s="6">
        <f>_xlfn.MAXIFS('DETALLE CRONOLÓGICO'!$K$2:$K$4919,'DETALLE CRONOLÓGICO'!$A$2:$A$4919,$A309)</f>
        <v/>
      </c>
      <c r="M309" s="6">
        <f>INDEX('DETALLE CRONOLÓGICO'!$K$2:$K$4919,MATCH($A309,'DETALLE CRONOLÓGICO'!$A$2:$A$4919,0)+$E309-1)</f>
        <v/>
      </c>
      <c r="N309" s="7">
        <f>IFERROR($M309/INDEX('DETALLE CRONOLÓGICO'!$K$2:$K$4919,MATCH($A309,'DETALLE CRONOLÓGICO'!$A$2:$A$4919,0))-1,"")</f>
        <v/>
      </c>
      <c r="O309" s="6">
        <f>IFERROR($I309*3,"")</f>
        <v/>
      </c>
      <c r="P309" s="6">
        <f>IFERROR($I309*3.5,"")</f>
        <v/>
      </c>
      <c r="Q309" s="6">
        <f>IFERROR($I309*4,"")</f>
        <v/>
      </c>
      <c r="R309" s="6" t="n">
        <v>4775</v>
      </c>
      <c r="S309" s="4" t="n">
        <v>0</v>
      </c>
      <c r="T309" s="1" t="inlineStr">
        <is>
          <t>active</t>
        </is>
      </c>
      <c r="U309" s="8" t="n"/>
      <c r="V309" s="1" t="inlineStr">
        <is>
          <t>SIN PRECIO</t>
        </is>
      </c>
    </row>
    <row r="310">
      <c r="A310" s="1" t="inlineStr">
        <is>
          <t>23025461332941</t>
        </is>
      </c>
      <c r="B310" s="1" t="inlineStr">
        <is>
          <t>TENIS H BOUNCING WHITE</t>
        </is>
      </c>
      <c r="C310" s="1" t="inlineStr">
        <is>
          <t>42/8MX</t>
        </is>
      </c>
      <c r="D310" s="1" t="inlineStr">
        <is>
          <t>ZOEY</t>
        </is>
      </c>
      <c r="E310" s="4">
        <f>COUNTIF('DETALLE CRONOLÓGICO'!$A$2:$A$4919,$A310)</f>
        <v/>
      </c>
      <c r="F310" s="4">
        <f>SUMIFS('DETALLE CRONOLÓGICO'!$I$2:$I$4919,'DETALLE CRONOLÓGICO'!$A$2:$A$4919,$A310)</f>
        <v/>
      </c>
      <c r="G310" s="1">
        <f>INDEX('DETALLE CRONOLÓGICO'!$D$2:$D$4919,MATCH($A310,'DETALLE CRONOLÓGICO'!$A$2:$A$4919,0))</f>
        <v/>
      </c>
      <c r="H310" s="1">
        <f>INDEX('DETALLE CRONOLÓGICO'!$D$2:$D$4919,MATCH($A310,'DETALLE CRONOLÓGICO'!$A$2:$A$4919,0)+$E310-1)</f>
        <v/>
      </c>
      <c r="I310" s="5">
        <f>IFERROR(SUMIFS('DETALLE CRONOLÓGICO'!$L$2:$L$4919,'DETALLE CRONOLÓGICO'!$A$2:$A$4919,$A310)/$F310,"")</f>
        <v/>
      </c>
      <c r="J310" s="6">
        <f>IFERROR(SUMIFS('DETALLE CRONOLÓGICO'!$K$2:$K$4919,'DETALLE CRONOLÓGICO'!$A$2:$A$4919,$A310)/$E310,"")</f>
        <v/>
      </c>
      <c r="K310" s="6">
        <f>_xlfn.MINIFS('DETALLE CRONOLÓGICO'!$K$2:$K$4919,'DETALLE CRONOLÓGICO'!$A$2:$A$4919,$A310)</f>
        <v/>
      </c>
      <c r="L310" s="6">
        <f>_xlfn.MAXIFS('DETALLE CRONOLÓGICO'!$K$2:$K$4919,'DETALLE CRONOLÓGICO'!$A$2:$A$4919,$A310)</f>
        <v/>
      </c>
      <c r="M310" s="6">
        <f>INDEX('DETALLE CRONOLÓGICO'!$K$2:$K$4919,MATCH($A310,'DETALLE CRONOLÓGICO'!$A$2:$A$4919,0)+$E310-1)</f>
        <v/>
      </c>
      <c r="N310" s="7">
        <f>IFERROR($M310/INDEX('DETALLE CRONOLÓGICO'!$K$2:$K$4919,MATCH($A310,'DETALLE CRONOLÓGICO'!$A$2:$A$4919,0))-1,"")</f>
        <v/>
      </c>
      <c r="O310" s="6">
        <f>IFERROR($I310*3,"")</f>
        <v/>
      </c>
      <c r="P310" s="6">
        <f>IFERROR($I310*3.5,"")</f>
        <v/>
      </c>
      <c r="Q310" s="6">
        <f>IFERROR($I310*4,"")</f>
        <v/>
      </c>
      <c r="R310" s="6" t="n">
        <v>4139</v>
      </c>
      <c r="S310" s="4" t="n">
        <v>1</v>
      </c>
      <c r="T310" s="1" t="inlineStr">
        <is>
          <t>active</t>
        </is>
      </c>
      <c r="U310" s="8" t="n"/>
      <c r="V310" s="1" t="inlineStr">
        <is>
          <t>SIN PRECIO</t>
        </is>
      </c>
    </row>
    <row r="311">
      <c r="A311" s="1" t="inlineStr">
        <is>
          <t>23025461465709</t>
        </is>
      </c>
      <c r="B311" s="1" t="inlineStr">
        <is>
          <t>TENIS H BOUNCING WHITE</t>
        </is>
      </c>
      <c r="C311" s="1" t="inlineStr">
        <is>
          <t>44/9MX</t>
        </is>
      </c>
      <c r="D311" s="1" t="inlineStr">
        <is>
          <t>ZOEY</t>
        </is>
      </c>
      <c r="E311" s="4">
        <f>COUNTIF('DETALLE CRONOLÓGICO'!$A$2:$A$4919,$A311)</f>
        <v/>
      </c>
      <c r="F311" s="4">
        <f>SUMIFS('DETALLE CRONOLÓGICO'!$I$2:$I$4919,'DETALLE CRONOLÓGICO'!$A$2:$A$4919,$A311)</f>
        <v/>
      </c>
      <c r="G311" s="1">
        <f>INDEX('DETALLE CRONOLÓGICO'!$D$2:$D$4919,MATCH($A311,'DETALLE CRONOLÓGICO'!$A$2:$A$4919,0))</f>
        <v/>
      </c>
      <c r="H311" s="1">
        <f>INDEX('DETALLE CRONOLÓGICO'!$D$2:$D$4919,MATCH($A311,'DETALLE CRONOLÓGICO'!$A$2:$A$4919,0)+$E311-1)</f>
        <v/>
      </c>
      <c r="I311" s="5">
        <f>IFERROR(SUMIFS('DETALLE CRONOLÓGICO'!$L$2:$L$4919,'DETALLE CRONOLÓGICO'!$A$2:$A$4919,$A311)/$F311,"")</f>
        <v/>
      </c>
      <c r="J311" s="6">
        <f>IFERROR(SUMIFS('DETALLE CRONOLÓGICO'!$K$2:$K$4919,'DETALLE CRONOLÓGICO'!$A$2:$A$4919,$A311)/$E311,"")</f>
        <v/>
      </c>
      <c r="K311" s="6">
        <f>_xlfn.MINIFS('DETALLE CRONOLÓGICO'!$K$2:$K$4919,'DETALLE CRONOLÓGICO'!$A$2:$A$4919,$A311)</f>
        <v/>
      </c>
      <c r="L311" s="6">
        <f>_xlfn.MAXIFS('DETALLE CRONOLÓGICO'!$K$2:$K$4919,'DETALLE CRONOLÓGICO'!$A$2:$A$4919,$A311)</f>
        <v/>
      </c>
      <c r="M311" s="6">
        <f>INDEX('DETALLE CRONOLÓGICO'!$K$2:$K$4919,MATCH($A311,'DETALLE CRONOLÓGICO'!$A$2:$A$4919,0)+$E311-1)</f>
        <v/>
      </c>
      <c r="N311" s="7">
        <f>IFERROR($M311/INDEX('DETALLE CRONOLÓGICO'!$K$2:$K$4919,MATCH($A311,'DETALLE CRONOLÓGICO'!$A$2:$A$4919,0))-1,"")</f>
        <v/>
      </c>
      <c r="O311" s="6">
        <f>IFERROR($I311*3,"")</f>
        <v/>
      </c>
      <c r="P311" s="6">
        <f>IFERROR($I311*3.5,"")</f>
        <v/>
      </c>
      <c r="Q311" s="6">
        <f>IFERROR($I311*4,"")</f>
        <v/>
      </c>
      <c r="R311" s="6" t="n">
        <v>6369</v>
      </c>
      <c r="S311" s="4" t="n">
        <v>0</v>
      </c>
      <c r="T311" s="1" t="inlineStr">
        <is>
          <t>active</t>
        </is>
      </c>
      <c r="U311" s="8" t="n"/>
      <c r="V311" s="1" t="inlineStr">
        <is>
          <t>SIN PRECIO</t>
        </is>
      </c>
    </row>
    <row r="312">
      <c r="A312" s="1" t="inlineStr">
        <is>
          <t>23025461529549</t>
        </is>
      </c>
      <c r="B312" s="1" t="inlineStr">
        <is>
          <t>TENIS H BOUNCING BLACK</t>
        </is>
      </c>
      <c r="C312" s="1" t="inlineStr">
        <is>
          <t>42/8MX</t>
        </is>
      </c>
      <c r="D312" s="1" t="inlineStr">
        <is>
          <t>ZOEY</t>
        </is>
      </c>
      <c r="E312" s="4">
        <f>COUNTIF('DETALLE CRONOLÓGICO'!$A$2:$A$4919,$A312)</f>
        <v/>
      </c>
      <c r="F312" s="4">
        <f>SUMIFS('DETALLE CRONOLÓGICO'!$I$2:$I$4919,'DETALLE CRONOLÓGICO'!$A$2:$A$4919,$A312)</f>
        <v/>
      </c>
      <c r="G312" s="1">
        <f>INDEX('DETALLE CRONOLÓGICO'!$D$2:$D$4919,MATCH($A312,'DETALLE CRONOLÓGICO'!$A$2:$A$4919,0))</f>
        <v/>
      </c>
      <c r="H312" s="1">
        <f>INDEX('DETALLE CRONOLÓGICO'!$D$2:$D$4919,MATCH($A312,'DETALLE CRONOLÓGICO'!$A$2:$A$4919,0)+$E312-1)</f>
        <v/>
      </c>
      <c r="I312" s="5">
        <f>IFERROR(SUMIFS('DETALLE CRONOLÓGICO'!$L$2:$L$4919,'DETALLE CRONOLÓGICO'!$A$2:$A$4919,$A312)/$F312,"")</f>
        <v/>
      </c>
      <c r="J312" s="6">
        <f>IFERROR(SUMIFS('DETALLE CRONOLÓGICO'!$K$2:$K$4919,'DETALLE CRONOLÓGICO'!$A$2:$A$4919,$A312)/$E312,"")</f>
        <v/>
      </c>
      <c r="K312" s="6">
        <f>_xlfn.MINIFS('DETALLE CRONOLÓGICO'!$K$2:$K$4919,'DETALLE CRONOLÓGICO'!$A$2:$A$4919,$A312)</f>
        <v/>
      </c>
      <c r="L312" s="6">
        <f>_xlfn.MAXIFS('DETALLE CRONOLÓGICO'!$K$2:$K$4919,'DETALLE CRONOLÓGICO'!$A$2:$A$4919,$A312)</f>
        <v/>
      </c>
      <c r="M312" s="6">
        <f>INDEX('DETALLE CRONOLÓGICO'!$K$2:$K$4919,MATCH($A312,'DETALLE CRONOLÓGICO'!$A$2:$A$4919,0)+$E312-1)</f>
        <v/>
      </c>
      <c r="N312" s="7">
        <f>IFERROR($M312/INDEX('DETALLE CRONOLÓGICO'!$K$2:$K$4919,MATCH($A312,'DETALLE CRONOLÓGICO'!$A$2:$A$4919,0))-1,"")</f>
        <v/>
      </c>
      <c r="O312" s="6">
        <f>IFERROR($I312*3,"")</f>
        <v/>
      </c>
      <c r="P312" s="6">
        <f>IFERROR($I312*3.5,"")</f>
        <v/>
      </c>
      <c r="Q312" s="6">
        <f>IFERROR($I312*4,"")</f>
        <v/>
      </c>
      <c r="R312" s="6" t="n">
        <v>6369</v>
      </c>
      <c r="S312" s="4" t="n">
        <v>1</v>
      </c>
      <c r="T312" s="1" t="inlineStr">
        <is>
          <t>active</t>
        </is>
      </c>
      <c r="U312" s="8" t="n"/>
      <c r="V312" s="1" t="inlineStr">
        <is>
          <t>SIN PRECIO</t>
        </is>
      </c>
    </row>
    <row r="313">
      <c r="A313" s="1" t="inlineStr">
        <is>
          <t>23025461662317</t>
        </is>
      </c>
      <c r="B313" s="1" t="inlineStr">
        <is>
          <t>TENIS H BOUNCING BLACK</t>
        </is>
      </c>
      <c r="C313" s="1" t="inlineStr">
        <is>
          <t>44/9MX</t>
        </is>
      </c>
      <c r="D313" s="1" t="inlineStr">
        <is>
          <t>ZOEY</t>
        </is>
      </c>
      <c r="E313" s="4">
        <f>COUNTIF('DETALLE CRONOLÓGICO'!$A$2:$A$4919,$A313)</f>
        <v/>
      </c>
      <c r="F313" s="4">
        <f>SUMIFS('DETALLE CRONOLÓGICO'!$I$2:$I$4919,'DETALLE CRONOLÓGICO'!$A$2:$A$4919,$A313)</f>
        <v/>
      </c>
      <c r="G313" s="1">
        <f>INDEX('DETALLE CRONOLÓGICO'!$D$2:$D$4919,MATCH($A313,'DETALLE CRONOLÓGICO'!$A$2:$A$4919,0))</f>
        <v/>
      </c>
      <c r="H313" s="1">
        <f>INDEX('DETALLE CRONOLÓGICO'!$D$2:$D$4919,MATCH($A313,'DETALLE CRONOLÓGICO'!$A$2:$A$4919,0)+$E313-1)</f>
        <v/>
      </c>
      <c r="I313" s="5">
        <f>IFERROR(SUMIFS('DETALLE CRONOLÓGICO'!$L$2:$L$4919,'DETALLE CRONOLÓGICO'!$A$2:$A$4919,$A313)/$F313,"")</f>
        <v/>
      </c>
      <c r="J313" s="6">
        <f>IFERROR(SUMIFS('DETALLE CRONOLÓGICO'!$K$2:$K$4919,'DETALLE CRONOLÓGICO'!$A$2:$A$4919,$A313)/$E313,"")</f>
        <v/>
      </c>
      <c r="K313" s="6">
        <f>_xlfn.MINIFS('DETALLE CRONOLÓGICO'!$K$2:$K$4919,'DETALLE CRONOLÓGICO'!$A$2:$A$4919,$A313)</f>
        <v/>
      </c>
      <c r="L313" s="6">
        <f>_xlfn.MAXIFS('DETALLE CRONOLÓGICO'!$K$2:$K$4919,'DETALLE CRONOLÓGICO'!$A$2:$A$4919,$A313)</f>
        <v/>
      </c>
      <c r="M313" s="6">
        <f>INDEX('DETALLE CRONOLÓGICO'!$K$2:$K$4919,MATCH($A313,'DETALLE CRONOLÓGICO'!$A$2:$A$4919,0)+$E313-1)</f>
        <v/>
      </c>
      <c r="N313" s="7">
        <f>IFERROR($M313/INDEX('DETALLE CRONOLÓGICO'!$K$2:$K$4919,MATCH($A313,'DETALLE CRONOLÓGICO'!$A$2:$A$4919,0))-1,"")</f>
        <v/>
      </c>
      <c r="O313" s="6">
        <f>IFERROR($I313*3,"")</f>
        <v/>
      </c>
      <c r="P313" s="6">
        <f>IFERROR($I313*3.5,"")</f>
        <v/>
      </c>
      <c r="Q313" s="6">
        <f>IFERROR($I313*4,"")</f>
        <v/>
      </c>
      <c r="R313" s="6" t="n">
        <v>6369</v>
      </c>
      <c r="S313" s="4" t="n">
        <v>1</v>
      </c>
      <c r="T313" s="1" t="inlineStr">
        <is>
          <t>active</t>
        </is>
      </c>
      <c r="U313" s="8" t="n"/>
      <c r="V313" s="1" t="inlineStr">
        <is>
          <t>SIN PRECIO</t>
        </is>
      </c>
    </row>
    <row r="314">
      <c r="A314" s="1" t="inlineStr">
        <is>
          <t>23025461724461</t>
        </is>
      </c>
      <c r="B314" s="1" t="inlineStr">
        <is>
          <t>MOCASINES GC HORSEBIT</t>
        </is>
      </c>
      <c r="C314" s="1" t="inlineStr">
        <is>
          <t>42/8MX</t>
        </is>
      </c>
      <c r="D314" s="1" t="inlineStr">
        <is>
          <t>ZOEY</t>
        </is>
      </c>
      <c r="E314" s="4">
        <f>COUNTIF('DETALLE CRONOLÓGICO'!$A$2:$A$4919,$A314)</f>
        <v/>
      </c>
      <c r="F314" s="4">
        <f>SUMIFS('DETALLE CRONOLÓGICO'!$I$2:$I$4919,'DETALLE CRONOLÓGICO'!$A$2:$A$4919,$A314)</f>
        <v/>
      </c>
      <c r="G314" s="1">
        <f>INDEX('DETALLE CRONOLÓGICO'!$D$2:$D$4919,MATCH($A314,'DETALLE CRONOLÓGICO'!$A$2:$A$4919,0))</f>
        <v/>
      </c>
      <c r="H314" s="1">
        <f>INDEX('DETALLE CRONOLÓGICO'!$D$2:$D$4919,MATCH($A314,'DETALLE CRONOLÓGICO'!$A$2:$A$4919,0)+$E314-1)</f>
        <v/>
      </c>
      <c r="I314" s="5">
        <f>IFERROR(SUMIFS('DETALLE CRONOLÓGICO'!$L$2:$L$4919,'DETALLE CRONOLÓGICO'!$A$2:$A$4919,$A314)/$F314,"")</f>
        <v/>
      </c>
      <c r="J314" s="6">
        <f>IFERROR(SUMIFS('DETALLE CRONOLÓGICO'!$K$2:$K$4919,'DETALLE CRONOLÓGICO'!$A$2:$A$4919,$A314)/$E314,"")</f>
        <v/>
      </c>
      <c r="K314" s="6">
        <f>_xlfn.MINIFS('DETALLE CRONOLÓGICO'!$K$2:$K$4919,'DETALLE CRONOLÓGICO'!$A$2:$A$4919,$A314)</f>
        <v/>
      </c>
      <c r="L314" s="6">
        <f>_xlfn.MAXIFS('DETALLE CRONOLÓGICO'!$K$2:$K$4919,'DETALLE CRONOLÓGICO'!$A$2:$A$4919,$A314)</f>
        <v/>
      </c>
      <c r="M314" s="6">
        <f>INDEX('DETALLE CRONOLÓGICO'!$K$2:$K$4919,MATCH($A314,'DETALLE CRONOLÓGICO'!$A$2:$A$4919,0)+$E314-1)</f>
        <v/>
      </c>
      <c r="N314" s="7">
        <f>IFERROR($M314/INDEX('DETALLE CRONOLÓGICO'!$K$2:$K$4919,MATCH($A314,'DETALLE CRONOLÓGICO'!$A$2:$A$4919,0))-1,"")</f>
        <v/>
      </c>
      <c r="O314" s="6">
        <f>IFERROR($I314*3,"")</f>
        <v/>
      </c>
      <c r="P314" s="6">
        <f>IFERROR($I314*3.5,"")</f>
        <v/>
      </c>
      <c r="Q314" s="6">
        <f>IFERROR($I314*4,"")</f>
        <v/>
      </c>
      <c r="R314" s="6" t="n">
        <v>3997</v>
      </c>
      <c r="S314" s="4" t="n">
        <v>1</v>
      </c>
      <c r="T314" s="1" t="inlineStr">
        <is>
          <t>active</t>
        </is>
      </c>
      <c r="U314" s="8" t="n"/>
      <c r="V314" s="1" t="inlineStr">
        <is>
          <t>SIN PRECIO</t>
        </is>
      </c>
    </row>
    <row r="315">
      <c r="A315" s="1" t="inlineStr">
        <is>
          <t>23025461857229</t>
        </is>
      </c>
      <c r="B315" s="1" t="inlineStr">
        <is>
          <t>MOCASINES GC HORSEBIT</t>
        </is>
      </c>
      <c r="C315" s="1" t="inlineStr">
        <is>
          <t>44/9MX</t>
        </is>
      </c>
      <c r="D315" s="1" t="inlineStr">
        <is>
          <t>ZOEY</t>
        </is>
      </c>
      <c r="E315" s="4">
        <f>COUNTIF('DETALLE CRONOLÓGICO'!$A$2:$A$4919,$A315)</f>
        <v/>
      </c>
      <c r="F315" s="4">
        <f>SUMIFS('DETALLE CRONOLÓGICO'!$I$2:$I$4919,'DETALLE CRONOLÓGICO'!$A$2:$A$4919,$A315)</f>
        <v/>
      </c>
      <c r="G315" s="1">
        <f>INDEX('DETALLE CRONOLÓGICO'!$D$2:$D$4919,MATCH($A315,'DETALLE CRONOLÓGICO'!$A$2:$A$4919,0))</f>
        <v/>
      </c>
      <c r="H315" s="1">
        <f>INDEX('DETALLE CRONOLÓGICO'!$D$2:$D$4919,MATCH($A315,'DETALLE CRONOLÓGICO'!$A$2:$A$4919,0)+$E315-1)</f>
        <v/>
      </c>
      <c r="I315" s="5">
        <f>IFERROR(SUMIFS('DETALLE CRONOLÓGICO'!$L$2:$L$4919,'DETALLE CRONOLÓGICO'!$A$2:$A$4919,$A315)/$F315,"")</f>
        <v/>
      </c>
      <c r="J315" s="6">
        <f>IFERROR(SUMIFS('DETALLE CRONOLÓGICO'!$K$2:$K$4919,'DETALLE CRONOLÓGICO'!$A$2:$A$4919,$A315)/$E315,"")</f>
        <v/>
      </c>
      <c r="K315" s="6">
        <f>_xlfn.MINIFS('DETALLE CRONOLÓGICO'!$K$2:$K$4919,'DETALLE CRONOLÓGICO'!$A$2:$A$4919,$A315)</f>
        <v/>
      </c>
      <c r="L315" s="6">
        <f>_xlfn.MAXIFS('DETALLE CRONOLÓGICO'!$K$2:$K$4919,'DETALLE CRONOLÓGICO'!$A$2:$A$4919,$A315)</f>
        <v/>
      </c>
      <c r="M315" s="6">
        <f>INDEX('DETALLE CRONOLÓGICO'!$K$2:$K$4919,MATCH($A315,'DETALLE CRONOLÓGICO'!$A$2:$A$4919,0)+$E315-1)</f>
        <v/>
      </c>
      <c r="N315" s="7">
        <f>IFERROR($M315/INDEX('DETALLE CRONOLÓGICO'!$K$2:$K$4919,MATCH($A315,'DETALLE CRONOLÓGICO'!$A$2:$A$4919,0))-1,"")</f>
        <v/>
      </c>
      <c r="O315" s="6">
        <f>IFERROR($I315*3,"")</f>
        <v/>
      </c>
      <c r="P315" s="6">
        <f>IFERROR($I315*3.5,"")</f>
        <v/>
      </c>
      <c r="Q315" s="6">
        <f>IFERROR($I315*4,"")</f>
        <v/>
      </c>
      <c r="R315" s="6" t="n">
        <v>3997</v>
      </c>
      <c r="S315" s="4" t="n">
        <v>1</v>
      </c>
      <c r="T315" s="1" t="inlineStr">
        <is>
          <t>active</t>
        </is>
      </c>
      <c r="U315" s="8" t="n"/>
      <c r="V315" s="1" t="inlineStr">
        <is>
          <t>SIN PRECIO</t>
        </is>
      </c>
    </row>
    <row r="316">
      <c r="A316" s="1" t="inlineStr">
        <is>
          <t>2314362835885</t>
        </is>
      </c>
      <c r="B316" s="1" t="n"/>
      <c r="C316" s="1" t="n"/>
      <c r="D316" s="1" t="inlineStr">
        <is>
          <t>HAIFENG</t>
        </is>
      </c>
      <c r="E316" s="4">
        <f>COUNTIF('DETALLE CRONOLÓGICO'!$A$2:$A$4919,$A316)</f>
        <v/>
      </c>
      <c r="F316" s="4">
        <f>SUMIFS('DETALLE CRONOLÓGICO'!$I$2:$I$4919,'DETALLE CRONOLÓGICO'!$A$2:$A$4919,$A316)</f>
        <v/>
      </c>
      <c r="G316" s="1">
        <f>INDEX('DETALLE CRONOLÓGICO'!$D$2:$D$4919,MATCH($A316,'DETALLE CRONOLÓGICO'!$A$2:$A$4919,0))</f>
        <v/>
      </c>
      <c r="H316" s="1">
        <f>INDEX('DETALLE CRONOLÓGICO'!$D$2:$D$4919,MATCH($A316,'DETALLE CRONOLÓGICO'!$A$2:$A$4919,0)+$E316-1)</f>
        <v/>
      </c>
      <c r="I316" s="5">
        <f>IFERROR(SUMIFS('DETALLE CRONOLÓGICO'!$L$2:$L$4919,'DETALLE CRONOLÓGICO'!$A$2:$A$4919,$A316)/$F316,"")</f>
        <v/>
      </c>
      <c r="J316" s="6">
        <f>IFERROR(SUMIFS('DETALLE CRONOLÓGICO'!$K$2:$K$4919,'DETALLE CRONOLÓGICO'!$A$2:$A$4919,$A316)/$E316,"")</f>
        <v/>
      </c>
      <c r="K316" s="6">
        <f>_xlfn.MINIFS('DETALLE CRONOLÓGICO'!$K$2:$K$4919,'DETALLE CRONOLÓGICO'!$A$2:$A$4919,$A316)</f>
        <v/>
      </c>
      <c r="L316" s="6">
        <f>_xlfn.MAXIFS('DETALLE CRONOLÓGICO'!$K$2:$K$4919,'DETALLE CRONOLÓGICO'!$A$2:$A$4919,$A316)</f>
        <v/>
      </c>
      <c r="M316" s="6">
        <f>INDEX('DETALLE CRONOLÓGICO'!$K$2:$K$4919,MATCH($A316,'DETALLE CRONOLÓGICO'!$A$2:$A$4919,0)+$E316-1)</f>
        <v/>
      </c>
      <c r="N316" s="7">
        <f>IFERROR($M316/INDEX('DETALLE CRONOLÓGICO'!$K$2:$K$4919,MATCH($A316,'DETALLE CRONOLÓGICO'!$A$2:$A$4919,0))-1,"")</f>
        <v/>
      </c>
      <c r="O316" s="6">
        <f>IFERROR($I316*3,"")</f>
        <v/>
      </c>
      <c r="P316" s="6">
        <f>IFERROR($I316*3.5,"")</f>
        <v/>
      </c>
      <c r="Q316" s="6">
        <f>IFERROR($I316*4,"")</f>
        <v/>
      </c>
      <c r="R316" s="6" t="n"/>
      <c r="S316" s="4" t="n"/>
      <c r="T316" s="1" t="inlineStr">
        <is>
          <t>YA NO EXISTE EN SHOPIFY</t>
        </is>
      </c>
      <c r="U316" s="8" t="n"/>
      <c r="V316" s="1" t="inlineStr">
        <is>
          <t>SIN PRECIO</t>
        </is>
      </c>
    </row>
    <row r="317">
      <c r="A317" s="1" t="inlineStr">
        <is>
          <t>23663391024461</t>
        </is>
      </c>
      <c r="B317" s="1" t="inlineStr">
        <is>
          <t>COLLAR LOVE ROSEGOLD CON ZIRCONIA</t>
        </is>
      </c>
      <c r="C317" s="1" t="inlineStr">
        <is>
          <t>Default Title</t>
        </is>
      </c>
      <c r="D317" s="1" t="inlineStr">
        <is>
          <t>HAIFENG</t>
        </is>
      </c>
      <c r="E317" s="4">
        <f>COUNTIF('DETALLE CRONOLÓGICO'!$A$2:$A$4919,$A317)</f>
        <v/>
      </c>
      <c r="F317" s="4">
        <f>SUMIFS('DETALLE CRONOLÓGICO'!$I$2:$I$4919,'DETALLE CRONOLÓGICO'!$A$2:$A$4919,$A317)</f>
        <v/>
      </c>
      <c r="G317" s="1">
        <f>INDEX('DETALLE CRONOLÓGICO'!$D$2:$D$4919,MATCH($A317,'DETALLE CRONOLÓGICO'!$A$2:$A$4919,0))</f>
        <v/>
      </c>
      <c r="H317" s="1">
        <f>INDEX('DETALLE CRONOLÓGICO'!$D$2:$D$4919,MATCH($A317,'DETALLE CRONOLÓGICO'!$A$2:$A$4919,0)+$E317-1)</f>
        <v/>
      </c>
      <c r="I317" s="5">
        <f>IFERROR(SUMIFS('DETALLE CRONOLÓGICO'!$L$2:$L$4919,'DETALLE CRONOLÓGICO'!$A$2:$A$4919,$A317)/$F317,"")</f>
        <v/>
      </c>
      <c r="J317" s="6">
        <f>IFERROR(SUMIFS('DETALLE CRONOLÓGICO'!$K$2:$K$4919,'DETALLE CRONOLÓGICO'!$A$2:$A$4919,$A317)/$E317,"")</f>
        <v/>
      </c>
      <c r="K317" s="6">
        <f>_xlfn.MINIFS('DETALLE CRONOLÓGICO'!$K$2:$K$4919,'DETALLE CRONOLÓGICO'!$A$2:$A$4919,$A317)</f>
        <v/>
      </c>
      <c r="L317" s="6">
        <f>_xlfn.MAXIFS('DETALLE CRONOLÓGICO'!$K$2:$K$4919,'DETALLE CRONOLÓGICO'!$A$2:$A$4919,$A317)</f>
        <v/>
      </c>
      <c r="M317" s="6">
        <f>INDEX('DETALLE CRONOLÓGICO'!$K$2:$K$4919,MATCH($A317,'DETALLE CRONOLÓGICO'!$A$2:$A$4919,0)+$E317-1)</f>
        <v/>
      </c>
      <c r="N317" s="7">
        <f>IFERROR($M317/INDEX('DETALLE CRONOLÓGICO'!$K$2:$K$4919,MATCH($A317,'DETALLE CRONOLÓGICO'!$A$2:$A$4919,0))-1,"")</f>
        <v/>
      </c>
      <c r="O317" s="6">
        <f>IFERROR($I317*3,"")</f>
        <v/>
      </c>
      <c r="P317" s="6">
        <f>IFERROR($I317*3.5,"")</f>
        <v/>
      </c>
      <c r="Q317" s="6">
        <f>IFERROR($I317*4,"")</f>
        <v/>
      </c>
      <c r="R317" s="6" t="n">
        <v>292</v>
      </c>
      <c r="S317" s="4" t="n">
        <v>5</v>
      </c>
      <c r="T317" s="1" t="inlineStr">
        <is>
          <t>active</t>
        </is>
      </c>
      <c r="U317" s="8" t="n"/>
      <c r="V317" s="1" t="inlineStr">
        <is>
          <t>SIN PRECIO</t>
        </is>
      </c>
    </row>
    <row r="318">
      <c r="A318" s="1" t="inlineStr">
        <is>
          <t>23794532108653</t>
        </is>
      </c>
      <c r="B318" s="1" t="inlineStr">
        <is>
          <t>CARTERA MM MATELASSE</t>
        </is>
      </c>
      <c r="C318" s="1" t="inlineStr">
        <is>
          <t>Default Title</t>
        </is>
      </c>
      <c r="D318" s="1" t="inlineStr">
        <is>
          <t>ZOEY</t>
        </is>
      </c>
      <c r="E318" s="4">
        <f>COUNTIF('DETALLE CRONOLÓGICO'!$A$2:$A$4919,$A318)</f>
        <v/>
      </c>
      <c r="F318" s="4">
        <f>SUMIFS('DETALLE CRONOLÓGICO'!$I$2:$I$4919,'DETALLE CRONOLÓGICO'!$A$2:$A$4919,$A318)</f>
        <v/>
      </c>
      <c r="G318" s="1">
        <f>INDEX('DETALLE CRONOLÓGICO'!$D$2:$D$4919,MATCH($A318,'DETALLE CRONOLÓGICO'!$A$2:$A$4919,0))</f>
        <v/>
      </c>
      <c r="H318" s="1">
        <f>INDEX('DETALLE CRONOLÓGICO'!$D$2:$D$4919,MATCH($A318,'DETALLE CRONOLÓGICO'!$A$2:$A$4919,0)+$E318-1)</f>
        <v/>
      </c>
      <c r="I318" s="5">
        <f>IFERROR(SUMIFS('DETALLE CRONOLÓGICO'!$L$2:$L$4919,'DETALLE CRONOLÓGICO'!$A$2:$A$4919,$A318)/$F318,"")</f>
        <v/>
      </c>
      <c r="J318" s="6">
        <f>IFERROR(SUMIFS('DETALLE CRONOLÓGICO'!$K$2:$K$4919,'DETALLE CRONOLÓGICO'!$A$2:$A$4919,$A318)/$E318,"")</f>
        <v/>
      </c>
      <c r="K318" s="6">
        <f>_xlfn.MINIFS('DETALLE CRONOLÓGICO'!$K$2:$K$4919,'DETALLE CRONOLÓGICO'!$A$2:$A$4919,$A318)</f>
        <v/>
      </c>
      <c r="L318" s="6">
        <f>_xlfn.MAXIFS('DETALLE CRONOLÓGICO'!$K$2:$K$4919,'DETALLE CRONOLÓGICO'!$A$2:$A$4919,$A318)</f>
        <v/>
      </c>
      <c r="M318" s="6">
        <f>INDEX('DETALLE CRONOLÓGICO'!$K$2:$K$4919,MATCH($A318,'DETALLE CRONOLÓGICO'!$A$2:$A$4919,0)+$E318-1)</f>
        <v/>
      </c>
      <c r="N318" s="7">
        <f>IFERROR($M318/INDEX('DETALLE CRONOLÓGICO'!$K$2:$K$4919,MATCH($A318,'DETALLE CRONOLÓGICO'!$A$2:$A$4919,0))-1,"")</f>
        <v/>
      </c>
      <c r="O318" s="6">
        <f>IFERROR($I318*3,"")</f>
        <v/>
      </c>
      <c r="P318" s="6">
        <f>IFERROR($I318*3.5,"")</f>
        <v/>
      </c>
      <c r="Q318" s="6">
        <f>IFERROR($I318*4,"")</f>
        <v/>
      </c>
      <c r="R318" s="6" t="n">
        <v>2339</v>
      </c>
      <c r="S318" s="4" t="n">
        <v>0</v>
      </c>
      <c r="T318" s="1" t="inlineStr">
        <is>
          <t>active</t>
        </is>
      </c>
      <c r="U318" s="8" t="n"/>
      <c r="V318" s="1" t="inlineStr">
        <is>
          <t>SIN PRECIO</t>
        </is>
      </c>
    </row>
    <row r="319">
      <c r="A319" s="1" t="inlineStr">
        <is>
          <t>24072851084557</t>
        </is>
      </c>
      <c r="B319" s="1" t="inlineStr">
        <is>
          <t>BOLSO CC MINI KELLY WHITE</t>
        </is>
      </c>
      <c r="C319" s="1" t="inlineStr">
        <is>
          <t>Default Title</t>
        </is>
      </c>
      <c r="D319" s="1" t="inlineStr">
        <is>
          <t>CYNTHIA</t>
        </is>
      </c>
      <c r="E319" s="4">
        <f>COUNTIF('DETALLE CRONOLÓGICO'!$A$2:$A$4919,$A319)</f>
        <v/>
      </c>
      <c r="F319" s="4">
        <f>SUMIFS('DETALLE CRONOLÓGICO'!$I$2:$I$4919,'DETALLE CRONOLÓGICO'!$A$2:$A$4919,$A319)</f>
        <v/>
      </c>
      <c r="G319" s="1">
        <f>INDEX('DETALLE CRONOLÓGICO'!$D$2:$D$4919,MATCH($A319,'DETALLE CRONOLÓGICO'!$A$2:$A$4919,0))</f>
        <v/>
      </c>
      <c r="H319" s="1">
        <f>INDEX('DETALLE CRONOLÓGICO'!$D$2:$D$4919,MATCH($A319,'DETALLE CRONOLÓGICO'!$A$2:$A$4919,0)+$E319-1)</f>
        <v/>
      </c>
      <c r="I319" s="5">
        <f>IFERROR(SUMIFS('DETALLE CRONOLÓGICO'!$L$2:$L$4919,'DETALLE CRONOLÓGICO'!$A$2:$A$4919,$A319)/$F319,"")</f>
        <v/>
      </c>
      <c r="J319" s="6">
        <f>IFERROR(SUMIFS('DETALLE CRONOLÓGICO'!$K$2:$K$4919,'DETALLE CRONOLÓGICO'!$A$2:$A$4919,$A319)/$E319,"")</f>
        <v/>
      </c>
      <c r="K319" s="6">
        <f>_xlfn.MINIFS('DETALLE CRONOLÓGICO'!$K$2:$K$4919,'DETALLE CRONOLÓGICO'!$A$2:$A$4919,$A319)</f>
        <v/>
      </c>
      <c r="L319" s="6">
        <f>_xlfn.MAXIFS('DETALLE CRONOLÓGICO'!$K$2:$K$4919,'DETALLE CRONOLÓGICO'!$A$2:$A$4919,$A319)</f>
        <v/>
      </c>
      <c r="M319" s="6">
        <f>INDEX('DETALLE CRONOLÓGICO'!$K$2:$K$4919,MATCH($A319,'DETALLE CRONOLÓGICO'!$A$2:$A$4919,0)+$E319-1)</f>
        <v/>
      </c>
      <c r="N319" s="7">
        <f>IFERROR($M319/INDEX('DETALLE CRONOLÓGICO'!$K$2:$K$4919,MATCH($A319,'DETALLE CRONOLÓGICO'!$A$2:$A$4919,0))-1,"")</f>
        <v/>
      </c>
      <c r="O319" s="6">
        <f>IFERROR($I319*3,"")</f>
        <v/>
      </c>
      <c r="P319" s="6">
        <f>IFERROR($I319*3.5,"")</f>
        <v/>
      </c>
      <c r="Q319" s="6">
        <f>IFERROR($I319*4,"")</f>
        <v/>
      </c>
      <c r="R319" s="6" t="n">
        <v>5629</v>
      </c>
      <c r="S319" s="4" t="n">
        <v>2</v>
      </c>
      <c r="T319" s="1" t="inlineStr">
        <is>
          <t>active</t>
        </is>
      </c>
      <c r="U319" s="8" t="n"/>
      <c r="V319" s="1" t="inlineStr">
        <is>
          <t>SIN PRECIO</t>
        </is>
      </c>
    </row>
    <row r="320">
      <c r="A320" s="1" t="inlineStr">
        <is>
          <t>24072851105773</t>
        </is>
      </c>
      <c r="B320" s="1" t="inlineStr">
        <is>
          <t>BOLSO CC MINI KELLY BLACK</t>
        </is>
      </c>
      <c r="C320" s="1" t="inlineStr">
        <is>
          <t>Default Title</t>
        </is>
      </c>
      <c r="D320" s="1" t="inlineStr">
        <is>
          <t>CYNTHIA</t>
        </is>
      </c>
      <c r="E320" s="4">
        <f>COUNTIF('DETALLE CRONOLÓGICO'!$A$2:$A$4919,$A320)</f>
        <v/>
      </c>
      <c r="F320" s="4">
        <f>SUMIFS('DETALLE CRONOLÓGICO'!$I$2:$I$4919,'DETALLE CRONOLÓGICO'!$A$2:$A$4919,$A320)</f>
        <v/>
      </c>
      <c r="G320" s="1">
        <f>INDEX('DETALLE CRONOLÓGICO'!$D$2:$D$4919,MATCH($A320,'DETALLE CRONOLÓGICO'!$A$2:$A$4919,0))</f>
        <v/>
      </c>
      <c r="H320" s="1">
        <f>INDEX('DETALLE CRONOLÓGICO'!$D$2:$D$4919,MATCH($A320,'DETALLE CRONOLÓGICO'!$A$2:$A$4919,0)+$E320-1)</f>
        <v/>
      </c>
      <c r="I320" s="5">
        <f>IFERROR(SUMIFS('DETALLE CRONOLÓGICO'!$L$2:$L$4919,'DETALLE CRONOLÓGICO'!$A$2:$A$4919,$A320)/$F320,"")</f>
        <v/>
      </c>
      <c r="J320" s="6">
        <f>IFERROR(SUMIFS('DETALLE CRONOLÓGICO'!$K$2:$K$4919,'DETALLE CRONOLÓGICO'!$A$2:$A$4919,$A320)/$E320,"")</f>
        <v/>
      </c>
      <c r="K320" s="6">
        <f>_xlfn.MINIFS('DETALLE CRONOLÓGICO'!$K$2:$K$4919,'DETALLE CRONOLÓGICO'!$A$2:$A$4919,$A320)</f>
        <v/>
      </c>
      <c r="L320" s="6">
        <f>_xlfn.MAXIFS('DETALLE CRONOLÓGICO'!$K$2:$K$4919,'DETALLE CRONOLÓGICO'!$A$2:$A$4919,$A320)</f>
        <v/>
      </c>
      <c r="M320" s="6">
        <f>INDEX('DETALLE CRONOLÓGICO'!$K$2:$K$4919,MATCH($A320,'DETALLE CRONOLÓGICO'!$A$2:$A$4919,0)+$E320-1)</f>
        <v/>
      </c>
      <c r="N320" s="7">
        <f>IFERROR($M320/INDEX('DETALLE CRONOLÓGICO'!$K$2:$K$4919,MATCH($A320,'DETALLE CRONOLÓGICO'!$A$2:$A$4919,0))-1,"")</f>
        <v/>
      </c>
      <c r="O320" s="6">
        <f>IFERROR($I320*3,"")</f>
        <v/>
      </c>
      <c r="P320" s="6">
        <f>IFERROR($I320*3.5,"")</f>
        <v/>
      </c>
      <c r="Q320" s="6">
        <f>IFERROR($I320*4,"")</f>
        <v/>
      </c>
      <c r="R320" s="6" t="n">
        <v>4350</v>
      </c>
      <c r="S320" s="4" t="n">
        <v>0</v>
      </c>
      <c r="T320" s="1" t="inlineStr">
        <is>
          <t>active</t>
        </is>
      </c>
      <c r="U320" s="8" t="n"/>
      <c r="V320" s="1" t="inlineStr">
        <is>
          <t>SIN PRECIO</t>
        </is>
      </c>
    </row>
    <row r="321">
      <c r="A321" s="1" t="inlineStr">
        <is>
          <t>24469401092557</t>
        </is>
      </c>
      <c r="B321" s="1" t="inlineStr">
        <is>
          <t>UGG PANTUFLAS TAZZ II</t>
        </is>
      </c>
      <c r="C321" s="1" t="inlineStr">
        <is>
          <t>24CM</t>
        </is>
      </c>
      <c r="D321" s="1" t="inlineStr">
        <is>
          <t>CYNTHIA / ZOEY</t>
        </is>
      </c>
      <c r="E321" s="4">
        <f>COUNTIF('DETALLE CRONOLÓGICO'!$A$2:$A$4919,$A321)</f>
        <v/>
      </c>
      <c r="F321" s="4">
        <f>SUMIFS('DETALLE CRONOLÓGICO'!$I$2:$I$4919,'DETALLE CRONOLÓGICO'!$A$2:$A$4919,$A321)</f>
        <v/>
      </c>
      <c r="G321" s="1">
        <f>INDEX('DETALLE CRONOLÓGICO'!$D$2:$D$4919,MATCH($A321,'DETALLE CRONOLÓGICO'!$A$2:$A$4919,0))</f>
        <v/>
      </c>
      <c r="H321" s="1">
        <f>INDEX('DETALLE CRONOLÓGICO'!$D$2:$D$4919,MATCH($A321,'DETALLE CRONOLÓGICO'!$A$2:$A$4919,0)+$E321-1)</f>
        <v/>
      </c>
      <c r="I321" s="5">
        <f>IFERROR(SUMIFS('DETALLE CRONOLÓGICO'!$L$2:$L$4919,'DETALLE CRONOLÓGICO'!$A$2:$A$4919,$A321)/$F321,"")</f>
        <v/>
      </c>
      <c r="J321" s="6">
        <f>IFERROR(SUMIFS('DETALLE CRONOLÓGICO'!$K$2:$K$4919,'DETALLE CRONOLÓGICO'!$A$2:$A$4919,$A321)/$E321,"")</f>
        <v/>
      </c>
      <c r="K321" s="6">
        <f>_xlfn.MINIFS('DETALLE CRONOLÓGICO'!$K$2:$K$4919,'DETALLE CRONOLÓGICO'!$A$2:$A$4919,$A321)</f>
        <v/>
      </c>
      <c r="L321" s="6">
        <f>_xlfn.MAXIFS('DETALLE CRONOLÓGICO'!$K$2:$K$4919,'DETALLE CRONOLÓGICO'!$A$2:$A$4919,$A321)</f>
        <v/>
      </c>
      <c r="M321" s="6">
        <f>INDEX('DETALLE CRONOLÓGICO'!$K$2:$K$4919,MATCH($A321,'DETALLE CRONOLÓGICO'!$A$2:$A$4919,0)+$E321-1)</f>
        <v/>
      </c>
      <c r="N321" s="7">
        <f>IFERROR($M321/INDEX('DETALLE CRONOLÓGICO'!$K$2:$K$4919,MATCH($A321,'DETALLE CRONOLÓGICO'!$A$2:$A$4919,0))-1,"")</f>
        <v/>
      </c>
      <c r="O321" s="6">
        <f>IFERROR($I321*3,"")</f>
        <v/>
      </c>
      <c r="P321" s="6">
        <f>IFERROR($I321*3.5,"")</f>
        <v/>
      </c>
      <c r="Q321" s="6">
        <f>IFERROR($I321*4,"")</f>
        <v/>
      </c>
      <c r="R321" s="6" t="n">
        <v>2592</v>
      </c>
      <c r="S321" s="4" t="n">
        <v>4</v>
      </c>
      <c r="T321" s="1" t="inlineStr">
        <is>
          <t>active</t>
        </is>
      </c>
      <c r="U321" s="8" t="n"/>
      <c r="V321" s="1" t="inlineStr">
        <is>
          <t>SIN PRECIO</t>
        </is>
      </c>
    </row>
    <row r="322">
      <c r="A322" s="1" t="inlineStr">
        <is>
          <t>24469411243981</t>
        </is>
      </c>
      <c r="B322" s="1" t="inlineStr">
        <is>
          <t>BOLSO MM AVENTURE BROWN</t>
        </is>
      </c>
      <c r="C322" s="1" t="inlineStr">
        <is>
          <t>Café</t>
        </is>
      </c>
      <c r="D322" s="1" t="inlineStr">
        <is>
          <t>CYNTHIA</t>
        </is>
      </c>
      <c r="E322" s="4">
        <f>COUNTIF('DETALLE CRONOLÓGICO'!$A$2:$A$4919,$A322)</f>
        <v/>
      </c>
      <c r="F322" s="4">
        <f>SUMIFS('DETALLE CRONOLÓGICO'!$I$2:$I$4919,'DETALLE CRONOLÓGICO'!$A$2:$A$4919,$A322)</f>
        <v/>
      </c>
      <c r="G322" s="1">
        <f>INDEX('DETALLE CRONOLÓGICO'!$D$2:$D$4919,MATCH($A322,'DETALLE CRONOLÓGICO'!$A$2:$A$4919,0))</f>
        <v/>
      </c>
      <c r="H322" s="1">
        <f>INDEX('DETALLE CRONOLÓGICO'!$D$2:$D$4919,MATCH($A322,'DETALLE CRONOLÓGICO'!$A$2:$A$4919,0)+$E322-1)</f>
        <v/>
      </c>
      <c r="I322" s="5">
        <f>IFERROR(SUMIFS('DETALLE CRONOLÓGICO'!$L$2:$L$4919,'DETALLE CRONOLÓGICO'!$A$2:$A$4919,$A322)/$F322,"")</f>
        <v/>
      </c>
      <c r="J322" s="6">
        <f>IFERROR(SUMIFS('DETALLE CRONOLÓGICO'!$K$2:$K$4919,'DETALLE CRONOLÓGICO'!$A$2:$A$4919,$A322)/$E322,"")</f>
        <v/>
      </c>
      <c r="K322" s="6">
        <f>_xlfn.MINIFS('DETALLE CRONOLÓGICO'!$K$2:$K$4919,'DETALLE CRONOLÓGICO'!$A$2:$A$4919,$A322)</f>
        <v/>
      </c>
      <c r="L322" s="6">
        <f>_xlfn.MAXIFS('DETALLE CRONOLÓGICO'!$K$2:$K$4919,'DETALLE CRONOLÓGICO'!$A$2:$A$4919,$A322)</f>
        <v/>
      </c>
      <c r="M322" s="6">
        <f>INDEX('DETALLE CRONOLÓGICO'!$K$2:$K$4919,MATCH($A322,'DETALLE CRONOLÓGICO'!$A$2:$A$4919,0)+$E322-1)</f>
        <v/>
      </c>
      <c r="N322" s="7">
        <f>IFERROR($M322/INDEX('DETALLE CRONOLÓGICO'!$K$2:$K$4919,MATCH($A322,'DETALLE CRONOLÓGICO'!$A$2:$A$4919,0))-1,"")</f>
        <v/>
      </c>
      <c r="O322" s="6">
        <f>IFERROR($I322*3,"")</f>
        <v/>
      </c>
      <c r="P322" s="6">
        <f>IFERROR($I322*3.5,"")</f>
        <v/>
      </c>
      <c r="Q322" s="6">
        <f>IFERROR($I322*4,"")</f>
        <v/>
      </c>
      <c r="R322" s="6" t="n">
        <v>6535</v>
      </c>
      <c r="S322" s="4" t="n">
        <v>2</v>
      </c>
      <c r="T322" s="1" t="inlineStr">
        <is>
          <t>active</t>
        </is>
      </c>
      <c r="U322" s="8" t="n"/>
      <c r="V322" s="1" t="inlineStr">
        <is>
          <t>SIN PRECIO</t>
        </is>
      </c>
    </row>
    <row r="323">
      <c r="A323" s="1" t="inlineStr">
        <is>
          <t>24469411303885</t>
        </is>
      </c>
      <c r="B323" s="1" t="inlineStr">
        <is>
          <t>BOLSO CC CLASIC NUDE</t>
        </is>
      </c>
      <c r="C323" s="1" t="inlineStr">
        <is>
          <t>Default Title</t>
        </is>
      </c>
      <c r="D323" s="1" t="inlineStr">
        <is>
          <t>CYNTHIA</t>
        </is>
      </c>
      <c r="E323" s="4">
        <f>COUNTIF('DETALLE CRONOLÓGICO'!$A$2:$A$4919,$A323)</f>
        <v/>
      </c>
      <c r="F323" s="4">
        <f>SUMIFS('DETALLE CRONOLÓGICO'!$I$2:$I$4919,'DETALLE CRONOLÓGICO'!$A$2:$A$4919,$A323)</f>
        <v/>
      </c>
      <c r="G323" s="1">
        <f>INDEX('DETALLE CRONOLÓGICO'!$D$2:$D$4919,MATCH($A323,'DETALLE CRONOLÓGICO'!$A$2:$A$4919,0))</f>
        <v/>
      </c>
      <c r="H323" s="1">
        <f>INDEX('DETALLE CRONOLÓGICO'!$D$2:$D$4919,MATCH($A323,'DETALLE CRONOLÓGICO'!$A$2:$A$4919,0)+$E323-1)</f>
        <v/>
      </c>
      <c r="I323" s="5">
        <f>IFERROR(SUMIFS('DETALLE CRONOLÓGICO'!$L$2:$L$4919,'DETALLE CRONOLÓGICO'!$A$2:$A$4919,$A323)/$F323,"")</f>
        <v/>
      </c>
      <c r="J323" s="6">
        <f>IFERROR(SUMIFS('DETALLE CRONOLÓGICO'!$K$2:$K$4919,'DETALLE CRONOLÓGICO'!$A$2:$A$4919,$A323)/$E323,"")</f>
        <v/>
      </c>
      <c r="K323" s="6">
        <f>_xlfn.MINIFS('DETALLE CRONOLÓGICO'!$K$2:$K$4919,'DETALLE CRONOLÓGICO'!$A$2:$A$4919,$A323)</f>
        <v/>
      </c>
      <c r="L323" s="6">
        <f>_xlfn.MAXIFS('DETALLE CRONOLÓGICO'!$K$2:$K$4919,'DETALLE CRONOLÓGICO'!$A$2:$A$4919,$A323)</f>
        <v/>
      </c>
      <c r="M323" s="6">
        <f>INDEX('DETALLE CRONOLÓGICO'!$K$2:$K$4919,MATCH($A323,'DETALLE CRONOLÓGICO'!$A$2:$A$4919,0)+$E323-1)</f>
        <v/>
      </c>
      <c r="N323" s="7">
        <f>IFERROR($M323/INDEX('DETALLE CRONOLÓGICO'!$K$2:$K$4919,MATCH($A323,'DETALLE CRONOLÓGICO'!$A$2:$A$4919,0))-1,"")</f>
        <v/>
      </c>
      <c r="O323" s="6">
        <f>IFERROR($I323*3,"")</f>
        <v/>
      </c>
      <c r="P323" s="6">
        <f>IFERROR($I323*3.5,"")</f>
        <v/>
      </c>
      <c r="Q323" s="6">
        <f>IFERROR($I323*4,"")</f>
        <v/>
      </c>
      <c r="R323" s="6" t="n">
        <v>4449</v>
      </c>
      <c r="S323" s="4" t="n">
        <v>0</v>
      </c>
      <c r="T323" s="1" t="inlineStr">
        <is>
          <t>active</t>
        </is>
      </c>
      <c r="U323" s="8" t="n"/>
      <c r="V323" s="1" t="inlineStr">
        <is>
          <t>SIN PRECIO</t>
        </is>
      </c>
    </row>
    <row r="324">
      <c r="A324" s="1" t="inlineStr">
        <is>
          <t>24469411472813</t>
        </is>
      </c>
      <c r="B324" s="1" t="inlineStr">
        <is>
          <t>BOLSO CC CLASIC BROWN</t>
        </is>
      </c>
      <c r="C324" s="1" t="inlineStr">
        <is>
          <t>Default Title</t>
        </is>
      </c>
      <c r="D324" s="1" t="inlineStr">
        <is>
          <t>CYNTHIA</t>
        </is>
      </c>
      <c r="E324" s="4">
        <f>COUNTIF('DETALLE CRONOLÓGICO'!$A$2:$A$4919,$A324)</f>
        <v/>
      </c>
      <c r="F324" s="4">
        <f>SUMIFS('DETALLE CRONOLÓGICO'!$I$2:$I$4919,'DETALLE CRONOLÓGICO'!$A$2:$A$4919,$A324)</f>
        <v/>
      </c>
      <c r="G324" s="1">
        <f>INDEX('DETALLE CRONOLÓGICO'!$D$2:$D$4919,MATCH($A324,'DETALLE CRONOLÓGICO'!$A$2:$A$4919,0))</f>
        <v/>
      </c>
      <c r="H324" s="1">
        <f>INDEX('DETALLE CRONOLÓGICO'!$D$2:$D$4919,MATCH($A324,'DETALLE CRONOLÓGICO'!$A$2:$A$4919,0)+$E324-1)</f>
        <v/>
      </c>
      <c r="I324" s="5">
        <f>IFERROR(SUMIFS('DETALLE CRONOLÓGICO'!$L$2:$L$4919,'DETALLE CRONOLÓGICO'!$A$2:$A$4919,$A324)/$F324,"")</f>
        <v/>
      </c>
      <c r="J324" s="6">
        <f>IFERROR(SUMIFS('DETALLE CRONOLÓGICO'!$K$2:$K$4919,'DETALLE CRONOLÓGICO'!$A$2:$A$4919,$A324)/$E324,"")</f>
        <v/>
      </c>
      <c r="K324" s="6">
        <f>_xlfn.MINIFS('DETALLE CRONOLÓGICO'!$K$2:$K$4919,'DETALLE CRONOLÓGICO'!$A$2:$A$4919,$A324)</f>
        <v/>
      </c>
      <c r="L324" s="6">
        <f>_xlfn.MAXIFS('DETALLE CRONOLÓGICO'!$K$2:$K$4919,'DETALLE CRONOLÓGICO'!$A$2:$A$4919,$A324)</f>
        <v/>
      </c>
      <c r="M324" s="6">
        <f>INDEX('DETALLE CRONOLÓGICO'!$K$2:$K$4919,MATCH($A324,'DETALLE CRONOLÓGICO'!$A$2:$A$4919,0)+$E324-1)</f>
        <v/>
      </c>
      <c r="N324" s="7">
        <f>IFERROR($M324/INDEX('DETALLE CRONOLÓGICO'!$K$2:$K$4919,MATCH($A324,'DETALLE CRONOLÓGICO'!$A$2:$A$4919,0))-1,"")</f>
        <v/>
      </c>
      <c r="O324" s="6">
        <f>IFERROR($I324*3,"")</f>
        <v/>
      </c>
      <c r="P324" s="6">
        <f>IFERROR($I324*3.5,"")</f>
        <v/>
      </c>
      <c r="Q324" s="6">
        <f>IFERROR($I324*4,"")</f>
        <v/>
      </c>
      <c r="R324" s="6" t="n">
        <v>4999</v>
      </c>
      <c r="S324" s="4" t="n">
        <v>3</v>
      </c>
      <c r="T324" s="1" t="inlineStr">
        <is>
          <t>active</t>
        </is>
      </c>
      <c r="U324" s="8" t="n"/>
      <c r="V324" s="1" t="inlineStr">
        <is>
          <t>SIN PRECIO</t>
        </is>
      </c>
    </row>
    <row r="325">
      <c r="A325" s="1" t="inlineStr">
        <is>
          <t>24469411540045</t>
        </is>
      </c>
      <c r="B325" s="1" t="inlineStr">
        <is>
          <t>BOLSO ZV BLACK</t>
        </is>
      </c>
      <c r="C325" s="1" t="inlineStr">
        <is>
          <t>Default Title</t>
        </is>
      </c>
      <c r="D325" s="1" t="inlineStr">
        <is>
          <t>CYNTHIA</t>
        </is>
      </c>
      <c r="E325" s="4">
        <f>COUNTIF('DETALLE CRONOLÓGICO'!$A$2:$A$4919,$A325)</f>
        <v/>
      </c>
      <c r="F325" s="4">
        <f>SUMIFS('DETALLE CRONOLÓGICO'!$I$2:$I$4919,'DETALLE CRONOLÓGICO'!$A$2:$A$4919,$A325)</f>
        <v/>
      </c>
      <c r="G325" s="1">
        <f>INDEX('DETALLE CRONOLÓGICO'!$D$2:$D$4919,MATCH($A325,'DETALLE CRONOLÓGICO'!$A$2:$A$4919,0))</f>
        <v/>
      </c>
      <c r="H325" s="1">
        <f>INDEX('DETALLE CRONOLÓGICO'!$D$2:$D$4919,MATCH($A325,'DETALLE CRONOLÓGICO'!$A$2:$A$4919,0)+$E325-1)</f>
        <v/>
      </c>
      <c r="I325" s="5">
        <f>IFERROR(SUMIFS('DETALLE CRONOLÓGICO'!$L$2:$L$4919,'DETALLE CRONOLÓGICO'!$A$2:$A$4919,$A325)/$F325,"")</f>
        <v/>
      </c>
      <c r="J325" s="6">
        <f>IFERROR(SUMIFS('DETALLE CRONOLÓGICO'!$K$2:$K$4919,'DETALLE CRONOLÓGICO'!$A$2:$A$4919,$A325)/$E325,"")</f>
        <v/>
      </c>
      <c r="K325" s="6">
        <f>_xlfn.MINIFS('DETALLE CRONOLÓGICO'!$K$2:$K$4919,'DETALLE CRONOLÓGICO'!$A$2:$A$4919,$A325)</f>
        <v/>
      </c>
      <c r="L325" s="6">
        <f>_xlfn.MAXIFS('DETALLE CRONOLÓGICO'!$K$2:$K$4919,'DETALLE CRONOLÓGICO'!$A$2:$A$4919,$A325)</f>
        <v/>
      </c>
      <c r="M325" s="6">
        <f>INDEX('DETALLE CRONOLÓGICO'!$K$2:$K$4919,MATCH($A325,'DETALLE CRONOLÓGICO'!$A$2:$A$4919,0)+$E325-1)</f>
        <v/>
      </c>
      <c r="N325" s="7">
        <f>IFERROR($M325/INDEX('DETALLE CRONOLÓGICO'!$K$2:$K$4919,MATCH($A325,'DETALLE CRONOLÓGICO'!$A$2:$A$4919,0))-1,"")</f>
        <v/>
      </c>
      <c r="O325" s="6">
        <f>IFERROR($I325*3,"")</f>
        <v/>
      </c>
      <c r="P325" s="6">
        <f>IFERROR($I325*3.5,"")</f>
        <v/>
      </c>
      <c r="Q325" s="6">
        <f>IFERROR($I325*4,"")</f>
        <v/>
      </c>
      <c r="R325" s="6" t="n">
        <v>3200</v>
      </c>
      <c r="S325" s="4" t="n">
        <v>0</v>
      </c>
      <c r="T325" s="1" t="inlineStr">
        <is>
          <t>active</t>
        </is>
      </c>
      <c r="U325" s="8" t="n"/>
      <c r="V325" s="1" t="inlineStr">
        <is>
          <t>SIN PRECIO</t>
        </is>
      </c>
    </row>
    <row r="326">
      <c r="A326" s="1" t="inlineStr">
        <is>
          <t>24703361096333</t>
        </is>
      </c>
      <c r="B326" s="1" t="inlineStr">
        <is>
          <t>ANILLO DELGADO T TRUE GOLD</t>
        </is>
      </c>
      <c r="C326" s="1" t="inlineStr">
        <is>
          <t>7</t>
        </is>
      </c>
      <c r="D326" s="1" t="inlineStr">
        <is>
          <t>HAIFENG</t>
        </is>
      </c>
      <c r="E326" s="4">
        <f>COUNTIF('DETALLE CRONOLÓGICO'!$A$2:$A$4919,$A326)</f>
        <v/>
      </c>
      <c r="F326" s="4">
        <f>SUMIFS('DETALLE CRONOLÓGICO'!$I$2:$I$4919,'DETALLE CRONOLÓGICO'!$A$2:$A$4919,$A326)</f>
        <v/>
      </c>
      <c r="G326" s="1">
        <f>INDEX('DETALLE CRONOLÓGICO'!$D$2:$D$4919,MATCH($A326,'DETALLE CRONOLÓGICO'!$A$2:$A$4919,0))</f>
        <v/>
      </c>
      <c r="H326" s="1">
        <f>INDEX('DETALLE CRONOLÓGICO'!$D$2:$D$4919,MATCH($A326,'DETALLE CRONOLÓGICO'!$A$2:$A$4919,0)+$E326-1)</f>
        <v/>
      </c>
      <c r="I326" s="5">
        <f>IFERROR(SUMIFS('DETALLE CRONOLÓGICO'!$L$2:$L$4919,'DETALLE CRONOLÓGICO'!$A$2:$A$4919,$A326)/$F326,"")</f>
        <v/>
      </c>
      <c r="J326" s="6">
        <f>IFERROR(SUMIFS('DETALLE CRONOLÓGICO'!$K$2:$K$4919,'DETALLE CRONOLÓGICO'!$A$2:$A$4919,$A326)/$E326,"")</f>
        <v/>
      </c>
      <c r="K326" s="6">
        <f>_xlfn.MINIFS('DETALLE CRONOLÓGICO'!$K$2:$K$4919,'DETALLE CRONOLÓGICO'!$A$2:$A$4919,$A326)</f>
        <v/>
      </c>
      <c r="L326" s="6">
        <f>_xlfn.MAXIFS('DETALLE CRONOLÓGICO'!$K$2:$K$4919,'DETALLE CRONOLÓGICO'!$A$2:$A$4919,$A326)</f>
        <v/>
      </c>
      <c r="M326" s="6">
        <f>INDEX('DETALLE CRONOLÓGICO'!$K$2:$K$4919,MATCH($A326,'DETALLE CRONOLÓGICO'!$A$2:$A$4919,0)+$E326-1)</f>
        <v/>
      </c>
      <c r="N326" s="7">
        <f>IFERROR($M326/INDEX('DETALLE CRONOLÓGICO'!$K$2:$K$4919,MATCH($A326,'DETALLE CRONOLÓGICO'!$A$2:$A$4919,0))-1,"")</f>
        <v/>
      </c>
      <c r="O326" s="6">
        <f>IFERROR($I326*3,"")</f>
        <v/>
      </c>
      <c r="P326" s="6">
        <f>IFERROR($I326*3.5,"")</f>
        <v/>
      </c>
      <c r="Q326" s="6">
        <f>IFERROR($I326*4,"")</f>
        <v/>
      </c>
      <c r="R326" s="6" t="n">
        <v>535.6</v>
      </c>
      <c r="S326" s="4" t="n">
        <v>5</v>
      </c>
      <c r="T326" s="1" t="inlineStr">
        <is>
          <t>active</t>
        </is>
      </c>
      <c r="U326" s="8" t="n"/>
      <c r="V326" s="1" t="inlineStr">
        <is>
          <t>SIN PRECIO</t>
        </is>
      </c>
    </row>
    <row r="327">
      <c r="A327" s="1" t="inlineStr">
        <is>
          <t>24703361129101</t>
        </is>
      </c>
      <c r="B327" s="1" t="inlineStr">
        <is>
          <t>ANILLO DELGADO T TRUE GOLD</t>
        </is>
      </c>
      <c r="C327" s="1" t="n">
        <v>8</v>
      </c>
      <c r="D327" s="1" t="inlineStr">
        <is>
          <t>HAIFENG</t>
        </is>
      </c>
      <c r="E327" s="4">
        <f>COUNTIF('DETALLE CRONOLÓGICO'!$A$2:$A$4919,$A327)</f>
        <v/>
      </c>
      <c r="F327" s="4">
        <f>SUMIFS('DETALLE CRONOLÓGICO'!$I$2:$I$4919,'DETALLE CRONOLÓGICO'!$A$2:$A$4919,$A327)</f>
        <v/>
      </c>
      <c r="G327" s="1">
        <f>INDEX('DETALLE CRONOLÓGICO'!$D$2:$D$4919,MATCH($A327,'DETALLE CRONOLÓGICO'!$A$2:$A$4919,0))</f>
        <v/>
      </c>
      <c r="H327" s="1">
        <f>INDEX('DETALLE CRONOLÓGICO'!$D$2:$D$4919,MATCH($A327,'DETALLE CRONOLÓGICO'!$A$2:$A$4919,0)+$E327-1)</f>
        <v/>
      </c>
      <c r="I327" s="5">
        <f>IFERROR(SUMIFS('DETALLE CRONOLÓGICO'!$L$2:$L$4919,'DETALLE CRONOLÓGICO'!$A$2:$A$4919,$A327)/$F327,"")</f>
        <v/>
      </c>
      <c r="J327" s="6">
        <f>IFERROR(SUMIFS('DETALLE CRONOLÓGICO'!$K$2:$K$4919,'DETALLE CRONOLÓGICO'!$A$2:$A$4919,$A327)/$E327,"")</f>
        <v/>
      </c>
      <c r="K327" s="6">
        <f>_xlfn.MINIFS('DETALLE CRONOLÓGICO'!$K$2:$K$4919,'DETALLE CRONOLÓGICO'!$A$2:$A$4919,$A327)</f>
        <v/>
      </c>
      <c r="L327" s="6">
        <f>_xlfn.MAXIFS('DETALLE CRONOLÓGICO'!$K$2:$K$4919,'DETALLE CRONOLÓGICO'!$A$2:$A$4919,$A327)</f>
        <v/>
      </c>
      <c r="M327" s="6">
        <f>INDEX('DETALLE CRONOLÓGICO'!$K$2:$K$4919,MATCH($A327,'DETALLE CRONOLÓGICO'!$A$2:$A$4919,0)+$E327-1)</f>
        <v/>
      </c>
      <c r="N327" s="7">
        <f>IFERROR($M327/INDEX('DETALLE CRONOLÓGICO'!$K$2:$K$4919,MATCH($A327,'DETALLE CRONOLÓGICO'!$A$2:$A$4919,0))-1,"")</f>
        <v/>
      </c>
      <c r="O327" s="6">
        <f>IFERROR($I327*3,"")</f>
        <v/>
      </c>
      <c r="P327" s="6">
        <f>IFERROR($I327*3.5,"")</f>
        <v/>
      </c>
      <c r="Q327" s="6">
        <f>IFERROR($I327*4,"")</f>
        <v/>
      </c>
      <c r="R327" s="6" t="n">
        <v>535.6</v>
      </c>
      <c r="S327" s="4" t="n">
        <v>4</v>
      </c>
      <c r="T327" s="1" t="inlineStr">
        <is>
          <t>active</t>
        </is>
      </c>
      <c r="U327" s="8" t="n"/>
      <c r="V327" s="1" t="inlineStr">
        <is>
          <t>SIN PRECIO</t>
        </is>
      </c>
    </row>
    <row r="328">
      <c r="A328" s="1" t="inlineStr">
        <is>
          <t>24780441054861</t>
        </is>
      </c>
      <c r="B328" s="1" t="inlineStr">
        <is>
          <t>CARTERA LV VICTORINE MONOGRAM EMPREINTE</t>
        </is>
      </c>
      <c r="C328" s="1" t="n"/>
      <c r="D328" s="1" t="inlineStr">
        <is>
          <t>ZOEY</t>
        </is>
      </c>
      <c r="E328" s="4">
        <f>COUNTIF('DETALLE CRONOLÓGICO'!$A$2:$A$4919,$A328)</f>
        <v/>
      </c>
      <c r="F328" s="4">
        <f>SUMIFS('DETALLE CRONOLÓGICO'!$I$2:$I$4919,'DETALLE CRONOLÓGICO'!$A$2:$A$4919,$A328)</f>
        <v/>
      </c>
      <c r="G328" s="1">
        <f>INDEX('DETALLE CRONOLÓGICO'!$D$2:$D$4919,MATCH($A328,'DETALLE CRONOLÓGICO'!$A$2:$A$4919,0))</f>
        <v/>
      </c>
      <c r="H328" s="1">
        <f>INDEX('DETALLE CRONOLÓGICO'!$D$2:$D$4919,MATCH($A328,'DETALLE CRONOLÓGICO'!$A$2:$A$4919,0)+$E328-1)</f>
        <v/>
      </c>
      <c r="I328" s="5">
        <f>IFERROR(SUMIFS('DETALLE CRONOLÓGICO'!$L$2:$L$4919,'DETALLE CRONOLÓGICO'!$A$2:$A$4919,$A328)/$F328,"")</f>
        <v/>
      </c>
      <c r="J328" s="6">
        <f>IFERROR(SUMIFS('DETALLE CRONOLÓGICO'!$K$2:$K$4919,'DETALLE CRONOLÓGICO'!$A$2:$A$4919,$A328)/$E328,"")</f>
        <v/>
      </c>
      <c r="K328" s="6">
        <f>_xlfn.MINIFS('DETALLE CRONOLÓGICO'!$K$2:$K$4919,'DETALLE CRONOLÓGICO'!$A$2:$A$4919,$A328)</f>
        <v/>
      </c>
      <c r="L328" s="6">
        <f>_xlfn.MAXIFS('DETALLE CRONOLÓGICO'!$K$2:$K$4919,'DETALLE CRONOLÓGICO'!$A$2:$A$4919,$A328)</f>
        <v/>
      </c>
      <c r="M328" s="6">
        <f>INDEX('DETALLE CRONOLÓGICO'!$K$2:$K$4919,MATCH($A328,'DETALLE CRONOLÓGICO'!$A$2:$A$4919,0)+$E328-1)</f>
        <v/>
      </c>
      <c r="N328" s="7">
        <f>IFERROR($M328/INDEX('DETALLE CRONOLÓGICO'!$K$2:$K$4919,MATCH($A328,'DETALLE CRONOLÓGICO'!$A$2:$A$4919,0))-1,"")</f>
        <v/>
      </c>
      <c r="O328" s="6">
        <f>IFERROR($I328*3,"")</f>
        <v/>
      </c>
      <c r="P328" s="6">
        <f>IFERROR($I328*3.5,"")</f>
        <v/>
      </c>
      <c r="Q328" s="6">
        <f>IFERROR($I328*4,"")</f>
        <v/>
      </c>
      <c r="R328" s="6" t="n">
        <v>1569</v>
      </c>
      <c r="S328" s="4" t="n">
        <v>0</v>
      </c>
      <c r="T328" s="1" t="inlineStr">
        <is>
          <t>active</t>
        </is>
      </c>
      <c r="U328" s="8" t="n"/>
      <c r="V328" s="1" t="inlineStr">
        <is>
          <t>SIN PRECIO</t>
        </is>
      </c>
    </row>
    <row r="329">
      <c r="A329" s="1" t="inlineStr">
        <is>
          <t>24780441141293</t>
        </is>
      </c>
      <c r="B329" s="1" t="inlineStr">
        <is>
          <t>CARTERA LV BLOOM H36</t>
        </is>
      </c>
      <c r="C329" s="1" t="n"/>
      <c r="D329" s="1" t="inlineStr">
        <is>
          <t>ZOEY</t>
        </is>
      </c>
      <c r="E329" s="4">
        <f>COUNTIF('DETALLE CRONOLÓGICO'!$A$2:$A$4919,$A329)</f>
        <v/>
      </c>
      <c r="F329" s="4">
        <f>SUMIFS('DETALLE CRONOLÓGICO'!$I$2:$I$4919,'DETALLE CRONOLÓGICO'!$A$2:$A$4919,$A329)</f>
        <v/>
      </c>
      <c r="G329" s="1">
        <f>INDEX('DETALLE CRONOLÓGICO'!$D$2:$D$4919,MATCH($A329,'DETALLE CRONOLÓGICO'!$A$2:$A$4919,0))</f>
        <v/>
      </c>
      <c r="H329" s="1">
        <f>INDEX('DETALLE CRONOLÓGICO'!$D$2:$D$4919,MATCH($A329,'DETALLE CRONOLÓGICO'!$A$2:$A$4919,0)+$E329-1)</f>
        <v/>
      </c>
      <c r="I329" s="5">
        <f>IFERROR(SUMIFS('DETALLE CRONOLÓGICO'!$L$2:$L$4919,'DETALLE CRONOLÓGICO'!$A$2:$A$4919,$A329)/$F329,"")</f>
        <v/>
      </c>
      <c r="J329" s="6">
        <f>IFERROR(SUMIFS('DETALLE CRONOLÓGICO'!$K$2:$K$4919,'DETALLE CRONOLÓGICO'!$A$2:$A$4919,$A329)/$E329,"")</f>
        <v/>
      </c>
      <c r="K329" s="6">
        <f>_xlfn.MINIFS('DETALLE CRONOLÓGICO'!$K$2:$K$4919,'DETALLE CRONOLÓGICO'!$A$2:$A$4919,$A329)</f>
        <v/>
      </c>
      <c r="L329" s="6">
        <f>_xlfn.MAXIFS('DETALLE CRONOLÓGICO'!$K$2:$K$4919,'DETALLE CRONOLÓGICO'!$A$2:$A$4919,$A329)</f>
        <v/>
      </c>
      <c r="M329" s="6">
        <f>INDEX('DETALLE CRONOLÓGICO'!$K$2:$K$4919,MATCH($A329,'DETALLE CRONOLÓGICO'!$A$2:$A$4919,0)+$E329-1)</f>
        <v/>
      </c>
      <c r="N329" s="7">
        <f>IFERROR($M329/INDEX('DETALLE CRONOLÓGICO'!$K$2:$K$4919,MATCH($A329,'DETALLE CRONOLÓGICO'!$A$2:$A$4919,0))-1,"")</f>
        <v/>
      </c>
      <c r="O329" s="6">
        <f>IFERROR($I329*3,"")</f>
        <v/>
      </c>
      <c r="P329" s="6">
        <f>IFERROR($I329*3.5,"")</f>
        <v/>
      </c>
      <c r="Q329" s="6">
        <f>IFERROR($I329*4,"")</f>
        <v/>
      </c>
      <c r="R329" s="6" t="n">
        <v>1373</v>
      </c>
      <c r="S329" s="4" t="n">
        <v>0</v>
      </c>
      <c r="T329" s="1" t="inlineStr">
        <is>
          <t>active</t>
        </is>
      </c>
      <c r="U329" s="8" t="n"/>
      <c r="V329" s="1" t="inlineStr">
        <is>
          <t>SIN PRECIO</t>
        </is>
      </c>
    </row>
    <row r="330">
      <c r="A330" s="1" t="inlineStr">
        <is>
          <t>24780441200045</t>
        </is>
      </c>
      <c r="B330" s="1" t="inlineStr">
        <is>
          <t>CARTERA LV EMILIE REVERSO</t>
        </is>
      </c>
      <c r="C330" s="1" t="n"/>
      <c r="D330" s="1" t="inlineStr">
        <is>
          <t>ZOEY</t>
        </is>
      </c>
      <c r="E330" s="4">
        <f>COUNTIF('DETALLE CRONOLÓGICO'!$A$2:$A$4919,$A330)</f>
        <v/>
      </c>
      <c r="F330" s="4">
        <f>SUMIFS('DETALLE CRONOLÓGICO'!$I$2:$I$4919,'DETALLE CRONOLÓGICO'!$A$2:$A$4919,$A330)</f>
        <v/>
      </c>
      <c r="G330" s="1">
        <f>INDEX('DETALLE CRONOLÓGICO'!$D$2:$D$4919,MATCH($A330,'DETALLE CRONOLÓGICO'!$A$2:$A$4919,0))</f>
        <v/>
      </c>
      <c r="H330" s="1">
        <f>INDEX('DETALLE CRONOLÓGICO'!$D$2:$D$4919,MATCH($A330,'DETALLE CRONOLÓGICO'!$A$2:$A$4919,0)+$E330-1)</f>
        <v/>
      </c>
      <c r="I330" s="5">
        <f>IFERROR(SUMIFS('DETALLE CRONOLÓGICO'!$L$2:$L$4919,'DETALLE CRONOLÓGICO'!$A$2:$A$4919,$A330)/$F330,"")</f>
        <v/>
      </c>
      <c r="J330" s="6">
        <f>IFERROR(SUMIFS('DETALLE CRONOLÓGICO'!$K$2:$K$4919,'DETALLE CRONOLÓGICO'!$A$2:$A$4919,$A330)/$E330,"")</f>
        <v/>
      </c>
      <c r="K330" s="6">
        <f>_xlfn.MINIFS('DETALLE CRONOLÓGICO'!$K$2:$K$4919,'DETALLE CRONOLÓGICO'!$A$2:$A$4919,$A330)</f>
        <v/>
      </c>
      <c r="L330" s="6">
        <f>_xlfn.MAXIFS('DETALLE CRONOLÓGICO'!$K$2:$K$4919,'DETALLE CRONOLÓGICO'!$A$2:$A$4919,$A330)</f>
        <v/>
      </c>
      <c r="M330" s="6">
        <f>INDEX('DETALLE CRONOLÓGICO'!$K$2:$K$4919,MATCH($A330,'DETALLE CRONOLÓGICO'!$A$2:$A$4919,0)+$E330-1)</f>
        <v/>
      </c>
      <c r="N330" s="7">
        <f>IFERROR($M330/INDEX('DETALLE CRONOLÓGICO'!$K$2:$K$4919,MATCH($A330,'DETALLE CRONOLÓGICO'!$A$2:$A$4919,0))-1,"")</f>
        <v/>
      </c>
      <c r="O330" s="6">
        <f>IFERROR($I330*3,"")</f>
        <v/>
      </c>
      <c r="P330" s="6">
        <f>IFERROR($I330*3.5,"")</f>
        <v/>
      </c>
      <c r="Q330" s="6">
        <f>IFERROR($I330*4,"")</f>
        <v/>
      </c>
      <c r="R330" s="6" t="n">
        <v>0</v>
      </c>
      <c r="S330" s="4" t="n">
        <v>0</v>
      </c>
      <c r="T330" s="1" t="inlineStr">
        <is>
          <t>draft</t>
        </is>
      </c>
      <c r="U330" s="8" t="n"/>
      <c r="V330" s="1" t="inlineStr">
        <is>
          <t>SIN PRECIO</t>
        </is>
      </c>
    </row>
    <row r="331">
      <c r="A331" s="1" t="inlineStr">
        <is>
          <t>24780441331117</t>
        </is>
      </c>
      <c r="B331" s="1" t="inlineStr">
        <is>
          <t>BOLSO LV NANO DIANE MONOGRAM</t>
        </is>
      </c>
      <c r="C331" s="1" t="n"/>
      <c r="D331" s="1" t="inlineStr">
        <is>
          <t>ZOEY</t>
        </is>
      </c>
      <c r="E331" s="4">
        <f>COUNTIF('DETALLE CRONOLÓGICO'!$A$2:$A$4919,$A331)</f>
        <v/>
      </c>
      <c r="F331" s="4">
        <f>SUMIFS('DETALLE CRONOLÓGICO'!$I$2:$I$4919,'DETALLE CRONOLÓGICO'!$A$2:$A$4919,$A331)</f>
        <v/>
      </c>
      <c r="G331" s="1">
        <f>INDEX('DETALLE CRONOLÓGICO'!$D$2:$D$4919,MATCH($A331,'DETALLE CRONOLÓGICO'!$A$2:$A$4919,0))</f>
        <v/>
      </c>
      <c r="H331" s="1">
        <f>INDEX('DETALLE CRONOLÓGICO'!$D$2:$D$4919,MATCH($A331,'DETALLE CRONOLÓGICO'!$A$2:$A$4919,0)+$E331-1)</f>
        <v/>
      </c>
      <c r="I331" s="5">
        <f>IFERROR(SUMIFS('DETALLE CRONOLÓGICO'!$L$2:$L$4919,'DETALLE CRONOLÓGICO'!$A$2:$A$4919,$A331)/$F331,"")</f>
        <v/>
      </c>
      <c r="J331" s="6">
        <f>IFERROR(SUMIFS('DETALLE CRONOLÓGICO'!$K$2:$K$4919,'DETALLE CRONOLÓGICO'!$A$2:$A$4919,$A331)/$E331,"")</f>
        <v/>
      </c>
      <c r="K331" s="6">
        <f>_xlfn.MINIFS('DETALLE CRONOLÓGICO'!$K$2:$K$4919,'DETALLE CRONOLÓGICO'!$A$2:$A$4919,$A331)</f>
        <v/>
      </c>
      <c r="L331" s="6">
        <f>_xlfn.MAXIFS('DETALLE CRONOLÓGICO'!$K$2:$K$4919,'DETALLE CRONOLÓGICO'!$A$2:$A$4919,$A331)</f>
        <v/>
      </c>
      <c r="M331" s="6">
        <f>INDEX('DETALLE CRONOLÓGICO'!$K$2:$K$4919,MATCH($A331,'DETALLE CRONOLÓGICO'!$A$2:$A$4919,0)+$E331-1)</f>
        <v/>
      </c>
      <c r="N331" s="7">
        <f>IFERROR($M331/INDEX('DETALLE CRONOLÓGICO'!$K$2:$K$4919,MATCH($A331,'DETALLE CRONOLÓGICO'!$A$2:$A$4919,0))-1,"")</f>
        <v/>
      </c>
      <c r="O331" s="6">
        <f>IFERROR($I331*3,"")</f>
        <v/>
      </c>
      <c r="P331" s="6">
        <f>IFERROR($I331*3.5,"")</f>
        <v/>
      </c>
      <c r="Q331" s="6">
        <f>IFERROR($I331*4,"")</f>
        <v/>
      </c>
      <c r="R331" s="6" t="n">
        <v>3260</v>
      </c>
      <c r="S331" s="4" t="n">
        <v>0</v>
      </c>
      <c r="T331" s="1" t="inlineStr">
        <is>
          <t>active</t>
        </is>
      </c>
      <c r="U331" s="8" t="n"/>
      <c r="V331" s="1" t="inlineStr">
        <is>
          <t>SIN PRECIO</t>
        </is>
      </c>
    </row>
    <row r="332">
      <c r="A332" s="1" t="inlineStr">
        <is>
          <t>24780441426573</t>
        </is>
      </c>
      <c r="B332" s="1" t="inlineStr">
        <is>
          <t>CINTO LV MINI FLOWERGRAM</t>
        </is>
      </c>
      <c r="C332" s="1" t="inlineStr">
        <is>
          <t>100 cm</t>
        </is>
      </c>
      <c r="D332" s="1" t="inlineStr">
        <is>
          <t>ZOEY</t>
        </is>
      </c>
      <c r="E332" s="4">
        <f>COUNTIF('DETALLE CRONOLÓGICO'!$A$2:$A$4919,$A332)</f>
        <v/>
      </c>
      <c r="F332" s="4">
        <f>SUMIFS('DETALLE CRONOLÓGICO'!$I$2:$I$4919,'DETALLE CRONOLÓGICO'!$A$2:$A$4919,$A332)</f>
        <v/>
      </c>
      <c r="G332" s="1">
        <f>INDEX('DETALLE CRONOLÓGICO'!$D$2:$D$4919,MATCH($A332,'DETALLE CRONOLÓGICO'!$A$2:$A$4919,0))</f>
        <v/>
      </c>
      <c r="H332" s="1">
        <f>INDEX('DETALLE CRONOLÓGICO'!$D$2:$D$4919,MATCH($A332,'DETALLE CRONOLÓGICO'!$A$2:$A$4919,0)+$E332-1)</f>
        <v/>
      </c>
      <c r="I332" s="5">
        <f>IFERROR(SUMIFS('DETALLE CRONOLÓGICO'!$L$2:$L$4919,'DETALLE CRONOLÓGICO'!$A$2:$A$4919,$A332)/$F332,"")</f>
        <v/>
      </c>
      <c r="J332" s="6">
        <f>IFERROR(SUMIFS('DETALLE CRONOLÓGICO'!$K$2:$K$4919,'DETALLE CRONOLÓGICO'!$A$2:$A$4919,$A332)/$E332,"")</f>
        <v/>
      </c>
      <c r="K332" s="6">
        <f>_xlfn.MINIFS('DETALLE CRONOLÓGICO'!$K$2:$K$4919,'DETALLE CRONOLÓGICO'!$A$2:$A$4919,$A332)</f>
        <v/>
      </c>
      <c r="L332" s="6">
        <f>_xlfn.MAXIFS('DETALLE CRONOLÓGICO'!$K$2:$K$4919,'DETALLE CRONOLÓGICO'!$A$2:$A$4919,$A332)</f>
        <v/>
      </c>
      <c r="M332" s="6">
        <f>INDEX('DETALLE CRONOLÓGICO'!$K$2:$K$4919,MATCH($A332,'DETALLE CRONOLÓGICO'!$A$2:$A$4919,0)+$E332-1)</f>
        <v/>
      </c>
      <c r="N332" s="7">
        <f>IFERROR($M332/INDEX('DETALLE CRONOLÓGICO'!$K$2:$K$4919,MATCH($A332,'DETALLE CRONOLÓGICO'!$A$2:$A$4919,0))-1,"")</f>
        <v/>
      </c>
      <c r="O332" s="6">
        <f>IFERROR($I332*3,"")</f>
        <v/>
      </c>
      <c r="P332" s="6">
        <f>IFERROR($I332*3.5,"")</f>
        <v/>
      </c>
      <c r="Q332" s="6">
        <f>IFERROR($I332*4,"")</f>
        <v/>
      </c>
      <c r="R332" s="6" t="n">
        <v>5579</v>
      </c>
      <c r="S332" s="4" t="n">
        <v>1</v>
      </c>
      <c r="T332" s="1" t="inlineStr">
        <is>
          <t>active</t>
        </is>
      </c>
      <c r="U332" s="8" t="n"/>
      <c r="V332" s="1" t="inlineStr">
        <is>
          <t>SIN PRECIO</t>
        </is>
      </c>
    </row>
    <row r="333">
      <c r="A333" s="1" t="inlineStr">
        <is>
          <t>24780441590413</t>
        </is>
      </c>
      <c r="B333" s="1" t="inlineStr">
        <is>
          <t>CINTO LV DARLING ARD</t>
        </is>
      </c>
      <c r="C333" s="1" t="inlineStr">
        <is>
          <t>100 cm</t>
        </is>
      </c>
      <c r="D333" s="1" t="inlineStr">
        <is>
          <t>ZOEY</t>
        </is>
      </c>
      <c r="E333" s="4">
        <f>COUNTIF('DETALLE CRONOLÓGICO'!$A$2:$A$4919,$A333)</f>
        <v/>
      </c>
      <c r="F333" s="4">
        <f>SUMIFS('DETALLE CRONOLÓGICO'!$I$2:$I$4919,'DETALLE CRONOLÓGICO'!$A$2:$A$4919,$A333)</f>
        <v/>
      </c>
      <c r="G333" s="1">
        <f>INDEX('DETALLE CRONOLÓGICO'!$D$2:$D$4919,MATCH($A333,'DETALLE CRONOLÓGICO'!$A$2:$A$4919,0))</f>
        <v/>
      </c>
      <c r="H333" s="1">
        <f>INDEX('DETALLE CRONOLÓGICO'!$D$2:$D$4919,MATCH($A333,'DETALLE CRONOLÓGICO'!$A$2:$A$4919,0)+$E333-1)</f>
        <v/>
      </c>
      <c r="I333" s="5">
        <f>IFERROR(SUMIFS('DETALLE CRONOLÓGICO'!$L$2:$L$4919,'DETALLE CRONOLÓGICO'!$A$2:$A$4919,$A333)/$F333,"")</f>
        <v/>
      </c>
      <c r="J333" s="6">
        <f>IFERROR(SUMIFS('DETALLE CRONOLÓGICO'!$K$2:$K$4919,'DETALLE CRONOLÓGICO'!$A$2:$A$4919,$A333)/$E333,"")</f>
        <v/>
      </c>
      <c r="K333" s="6">
        <f>_xlfn.MINIFS('DETALLE CRONOLÓGICO'!$K$2:$K$4919,'DETALLE CRONOLÓGICO'!$A$2:$A$4919,$A333)</f>
        <v/>
      </c>
      <c r="L333" s="6">
        <f>_xlfn.MAXIFS('DETALLE CRONOLÓGICO'!$K$2:$K$4919,'DETALLE CRONOLÓGICO'!$A$2:$A$4919,$A333)</f>
        <v/>
      </c>
      <c r="M333" s="6">
        <f>INDEX('DETALLE CRONOLÓGICO'!$K$2:$K$4919,MATCH($A333,'DETALLE CRONOLÓGICO'!$A$2:$A$4919,0)+$E333-1)</f>
        <v/>
      </c>
      <c r="N333" s="7">
        <f>IFERROR($M333/INDEX('DETALLE CRONOLÓGICO'!$K$2:$K$4919,MATCH($A333,'DETALLE CRONOLÓGICO'!$A$2:$A$4919,0))-1,"")</f>
        <v/>
      </c>
      <c r="O333" s="6">
        <f>IFERROR($I333*3,"")</f>
        <v/>
      </c>
      <c r="P333" s="6">
        <f>IFERROR($I333*3.5,"")</f>
        <v/>
      </c>
      <c r="Q333" s="6">
        <f>IFERROR($I333*4,"")</f>
        <v/>
      </c>
      <c r="R333" s="6" t="n">
        <v>5099</v>
      </c>
      <c r="S333" s="4" t="n">
        <v>2</v>
      </c>
      <c r="T333" s="1" t="inlineStr">
        <is>
          <t>active</t>
        </is>
      </c>
      <c r="U333" s="8" t="n"/>
      <c r="V333" s="1" t="inlineStr">
        <is>
          <t>SIN PRECIO</t>
        </is>
      </c>
    </row>
    <row r="334">
      <c r="A334" s="1" t="inlineStr">
        <is>
          <t>24780441651405</t>
        </is>
      </c>
      <c r="B334" s="1" t="inlineStr">
        <is>
          <t>CINTO LV S-LOCK REVERSIBLE</t>
        </is>
      </c>
      <c r="C334" s="1" t="inlineStr">
        <is>
          <t>100 cm</t>
        </is>
      </c>
      <c r="D334" s="1" t="inlineStr">
        <is>
          <t>ZOEY</t>
        </is>
      </c>
      <c r="E334" s="4">
        <f>COUNTIF('DETALLE CRONOLÓGICO'!$A$2:$A$4919,$A334)</f>
        <v/>
      </c>
      <c r="F334" s="4">
        <f>SUMIFS('DETALLE CRONOLÓGICO'!$I$2:$I$4919,'DETALLE CRONOLÓGICO'!$A$2:$A$4919,$A334)</f>
        <v/>
      </c>
      <c r="G334" s="1">
        <f>INDEX('DETALLE CRONOLÓGICO'!$D$2:$D$4919,MATCH($A334,'DETALLE CRONOLÓGICO'!$A$2:$A$4919,0))</f>
        <v/>
      </c>
      <c r="H334" s="1">
        <f>INDEX('DETALLE CRONOLÓGICO'!$D$2:$D$4919,MATCH($A334,'DETALLE CRONOLÓGICO'!$A$2:$A$4919,0)+$E334-1)</f>
        <v/>
      </c>
      <c r="I334" s="5">
        <f>IFERROR(SUMIFS('DETALLE CRONOLÓGICO'!$L$2:$L$4919,'DETALLE CRONOLÓGICO'!$A$2:$A$4919,$A334)/$F334,"")</f>
        <v/>
      </c>
      <c r="J334" s="6">
        <f>IFERROR(SUMIFS('DETALLE CRONOLÓGICO'!$K$2:$K$4919,'DETALLE CRONOLÓGICO'!$A$2:$A$4919,$A334)/$E334,"")</f>
        <v/>
      </c>
      <c r="K334" s="6">
        <f>_xlfn.MINIFS('DETALLE CRONOLÓGICO'!$K$2:$K$4919,'DETALLE CRONOLÓGICO'!$A$2:$A$4919,$A334)</f>
        <v/>
      </c>
      <c r="L334" s="6">
        <f>_xlfn.MAXIFS('DETALLE CRONOLÓGICO'!$K$2:$K$4919,'DETALLE CRONOLÓGICO'!$A$2:$A$4919,$A334)</f>
        <v/>
      </c>
      <c r="M334" s="6">
        <f>INDEX('DETALLE CRONOLÓGICO'!$K$2:$K$4919,MATCH($A334,'DETALLE CRONOLÓGICO'!$A$2:$A$4919,0)+$E334-1)</f>
        <v/>
      </c>
      <c r="N334" s="7">
        <f>IFERROR($M334/INDEX('DETALLE CRONOLÓGICO'!$K$2:$K$4919,MATCH($A334,'DETALLE CRONOLÓGICO'!$A$2:$A$4919,0))-1,"")</f>
        <v/>
      </c>
      <c r="O334" s="6">
        <f>IFERROR($I334*3,"")</f>
        <v/>
      </c>
      <c r="P334" s="6">
        <f>IFERROR($I334*3.5,"")</f>
        <v/>
      </c>
      <c r="Q334" s="6">
        <f>IFERROR($I334*4,"")</f>
        <v/>
      </c>
      <c r="R334" s="6" t="n">
        <v>4469</v>
      </c>
      <c r="S334" s="4" t="n">
        <v>2</v>
      </c>
      <c r="T334" s="1" t="inlineStr">
        <is>
          <t>active</t>
        </is>
      </c>
      <c r="U334" s="8" t="n"/>
      <c r="V334" s="1" t="inlineStr">
        <is>
          <t>SIN PRECIO</t>
        </is>
      </c>
    </row>
    <row r="335">
      <c r="A335" s="1" t="inlineStr">
        <is>
          <t>24780441715245</t>
        </is>
      </c>
      <c r="B335" s="1" t="inlineStr">
        <is>
          <t>CINTO LV REVERSIBLE DAMOFLAJE</t>
        </is>
      </c>
      <c r="C335" s="1" t="inlineStr">
        <is>
          <t>110cm</t>
        </is>
      </c>
      <c r="D335" s="1" t="inlineStr">
        <is>
          <t>ZOEY</t>
        </is>
      </c>
      <c r="E335" s="4">
        <f>COUNTIF('DETALLE CRONOLÓGICO'!$A$2:$A$4919,$A335)</f>
        <v/>
      </c>
      <c r="F335" s="4">
        <f>SUMIFS('DETALLE CRONOLÓGICO'!$I$2:$I$4919,'DETALLE CRONOLÓGICO'!$A$2:$A$4919,$A335)</f>
        <v/>
      </c>
      <c r="G335" s="1">
        <f>INDEX('DETALLE CRONOLÓGICO'!$D$2:$D$4919,MATCH($A335,'DETALLE CRONOLÓGICO'!$A$2:$A$4919,0))</f>
        <v/>
      </c>
      <c r="H335" s="1">
        <f>INDEX('DETALLE CRONOLÓGICO'!$D$2:$D$4919,MATCH($A335,'DETALLE CRONOLÓGICO'!$A$2:$A$4919,0)+$E335-1)</f>
        <v/>
      </c>
      <c r="I335" s="5">
        <f>IFERROR(SUMIFS('DETALLE CRONOLÓGICO'!$L$2:$L$4919,'DETALLE CRONOLÓGICO'!$A$2:$A$4919,$A335)/$F335,"")</f>
        <v/>
      </c>
      <c r="J335" s="6">
        <f>IFERROR(SUMIFS('DETALLE CRONOLÓGICO'!$K$2:$K$4919,'DETALLE CRONOLÓGICO'!$A$2:$A$4919,$A335)/$E335,"")</f>
        <v/>
      </c>
      <c r="K335" s="6">
        <f>_xlfn.MINIFS('DETALLE CRONOLÓGICO'!$K$2:$K$4919,'DETALLE CRONOLÓGICO'!$A$2:$A$4919,$A335)</f>
        <v/>
      </c>
      <c r="L335" s="6">
        <f>_xlfn.MAXIFS('DETALLE CRONOLÓGICO'!$K$2:$K$4919,'DETALLE CRONOLÓGICO'!$A$2:$A$4919,$A335)</f>
        <v/>
      </c>
      <c r="M335" s="6">
        <f>INDEX('DETALLE CRONOLÓGICO'!$K$2:$K$4919,MATCH($A335,'DETALLE CRONOLÓGICO'!$A$2:$A$4919,0)+$E335-1)</f>
        <v/>
      </c>
      <c r="N335" s="7">
        <f>IFERROR($M335/INDEX('DETALLE CRONOLÓGICO'!$K$2:$K$4919,MATCH($A335,'DETALLE CRONOLÓGICO'!$A$2:$A$4919,0))-1,"")</f>
        <v/>
      </c>
      <c r="O335" s="6">
        <f>IFERROR($I335*3,"")</f>
        <v/>
      </c>
      <c r="P335" s="6">
        <f>IFERROR($I335*3.5,"")</f>
        <v/>
      </c>
      <c r="Q335" s="6">
        <f>IFERROR($I335*4,"")</f>
        <v/>
      </c>
      <c r="R335" s="6" t="n">
        <v>3899</v>
      </c>
      <c r="S335" s="4" t="n">
        <v>2</v>
      </c>
      <c r="T335" s="1" t="inlineStr">
        <is>
          <t>active</t>
        </is>
      </c>
      <c r="U335" s="8" t="n"/>
      <c r="V335" s="1" t="inlineStr">
        <is>
          <t>SIN PRECIO</t>
        </is>
      </c>
    </row>
    <row r="336">
      <c r="A336" s="1" t="inlineStr">
        <is>
          <t>24780441879085</t>
        </is>
      </c>
      <c r="B336" s="1" t="inlineStr">
        <is>
          <t>CINTO LV REVERSIBLE FROG</t>
        </is>
      </c>
      <c r="C336" s="1" t="inlineStr">
        <is>
          <t>110cm</t>
        </is>
      </c>
      <c r="D336" s="1" t="inlineStr">
        <is>
          <t>ZOEY</t>
        </is>
      </c>
      <c r="E336" s="4">
        <f>COUNTIF('DETALLE CRONOLÓGICO'!$A$2:$A$4919,$A336)</f>
        <v/>
      </c>
      <c r="F336" s="4">
        <f>SUMIFS('DETALLE CRONOLÓGICO'!$I$2:$I$4919,'DETALLE CRONOLÓGICO'!$A$2:$A$4919,$A336)</f>
        <v/>
      </c>
      <c r="G336" s="1">
        <f>INDEX('DETALLE CRONOLÓGICO'!$D$2:$D$4919,MATCH($A336,'DETALLE CRONOLÓGICO'!$A$2:$A$4919,0))</f>
        <v/>
      </c>
      <c r="H336" s="1">
        <f>INDEX('DETALLE CRONOLÓGICO'!$D$2:$D$4919,MATCH($A336,'DETALLE CRONOLÓGICO'!$A$2:$A$4919,0)+$E336-1)</f>
        <v/>
      </c>
      <c r="I336" s="5">
        <f>IFERROR(SUMIFS('DETALLE CRONOLÓGICO'!$L$2:$L$4919,'DETALLE CRONOLÓGICO'!$A$2:$A$4919,$A336)/$F336,"")</f>
        <v/>
      </c>
      <c r="J336" s="6">
        <f>IFERROR(SUMIFS('DETALLE CRONOLÓGICO'!$K$2:$K$4919,'DETALLE CRONOLÓGICO'!$A$2:$A$4919,$A336)/$E336,"")</f>
        <v/>
      </c>
      <c r="K336" s="6">
        <f>_xlfn.MINIFS('DETALLE CRONOLÓGICO'!$K$2:$K$4919,'DETALLE CRONOLÓGICO'!$A$2:$A$4919,$A336)</f>
        <v/>
      </c>
      <c r="L336" s="6">
        <f>_xlfn.MAXIFS('DETALLE CRONOLÓGICO'!$K$2:$K$4919,'DETALLE CRONOLÓGICO'!$A$2:$A$4919,$A336)</f>
        <v/>
      </c>
      <c r="M336" s="6">
        <f>INDEX('DETALLE CRONOLÓGICO'!$K$2:$K$4919,MATCH($A336,'DETALLE CRONOLÓGICO'!$A$2:$A$4919,0)+$E336-1)</f>
        <v/>
      </c>
      <c r="N336" s="7">
        <f>IFERROR($M336/INDEX('DETALLE CRONOLÓGICO'!$K$2:$K$4919,MATCH($A336,'DETALLE CRONOLÓGICO'!$A$2:$A$4919,0))-1,"")</f>
        <v/>
      </c>
      <c r="O336" s="6">
        <f>IFERROR($I336*3,"")</f>
        <v/>
      </c>
      <c r="P336" s="6">
        <f>IFERROR($I336*3.5,"")</f>
        <v/>
      </c>
      <c r="Q336" s="6">
        <f>IFERROR($I336*4,"")</f>
        <v/>
      </c>
      <c r="R336" s="6" t="n">
        <v>4710</v>
      </c>
      <c r="S336" s="4" t="n">
        <v>2</v>
      </c>
      <c r="T336" s="1" t="inlineStr">
        <is>
          <t>active</t>
        </is>
      </c>
      <c r="U336" s="8" t="n"/>
      <c r="V336" s="1" t="inlineStr">
        <is>
          <t>SIN PRECIO</t>
        </is>
      </c>
    </row>
    <row r="337">
      <c r="A337" s="1" t="inlineStr">
        <is>
          <t>24780441910157</t>
        </is>
      </c>
      <c r="B337" s="1" t="inlineStr">
        <is>
          <t>CINTO LV REVERSIBLE OPTIC</t>
        </is>
      </c>
      <c r="C337" s="1" t="inlineStr">
        <is>
          <t>110cm</t>
        </is>
      </c>
      <c r="D337" s="1" t="inlineStr">
        <is>
          <t>ZOEY</t>
        </is>
      </c>
      <c r="E337" s="4">
        <f>COUNTIF('DETALLE CRONOLÓGICO'!$A$2:$A$4919,$A337)</f>
        <v/>
      </c>
      <c r="F337" s="4">
        <f>SUMIFS('DETALLE CRONOLÓGICO'!$I$2:$I$4919,'DETALLE CRONOLÓGICO'!$A$2:$A$4919,$A337)</f>
        <v/>
      </c>
      <c r="G337" s="1">
        <f>INDEX('DETALLE CRONOLÓGICO'!$D$2:$D$4919,MATCH($A337,'DETALLE CRONOLÓGICO'!$A$2:$A$4919,0))</f>
        <v/>
      </c>
      <c r="H337" s="1">
        <f>INDEX('DETALLE CRONOLÓGICO'!$D$2:$D$4919,MATCH($A337,'DETALLE CRONOLÓGICO'!$A$2:$A$4919,0)+$E337-1)</f>
        <v/>
      </c>
      <c r="I337" s="5">
        <f>IFERROR(SUMIFS('DETALLE CRONOLÓGICO'!$L$2:$L$4919,'DETALLE CRONOLÓGICO'!$A$2:$A$4919,$A337)/$F337,"")</f>
        <v/>
      </c>
      <c r="J337" s="6">
        <f>IFERROR(SUMIFS('DETALLE CRONOLÓGICO'!$K$2:$K$4919,'DETALLE CRONOLÓGICO'!$A$2:$A$4919,$A337)/$E337,"")</f>
        <v/>
      </c>
      <c r="K337" s="6">
        <f>_xlfn.MINIFS('DETALLE CRONOLÓGICO'!$K$2:$K$4919,'DETALLE CRONOLÓGICO'!$A$2:$A$4919,$A337)</f>
        <v/>
      </c>
      <c r="L337" s="6">
        <f>_xlfn.MAXIFS('DETALLE CRONOLÓGICO'!$K$2:$K$4919,'DETALLE CRONOLÓGICO'!$A$2:$A$4919,$A337)</f>
        <v/>
      </c>
      <c r="M337" s="6">
        <f>INDEX('DETALLE CRONOLÓGICO'!$K$2:$K$4919,MATCH($A337,'DETALLE CRONOLÓGICO'!$A$2:$A$4919,0)+$E337-1)</f>
        <v/>
      </c>
      <c r="N337" s="7">
        <f>IFERROR($M337/INDEX('DETALLE CRONOLÓGICO'!$K$2:$K$4919,MATCH($A337,'DETALLE CRONOLÓGICO'!$A$2:$A$4919,0))-1,"")</f>
        <v/>
      </c>
      <c r="O337" s="6">
        <f>IFERROR($I337*3,"")</f>
        <v/>
      </c>
      <c r="P337" s="6">
        <f>IFERROR($I337*3.5,"")</f>
        <v/>
      </c>
      <c r="Q337" s="6">
        <f>IFERROR($I337*4,"")</f>
        <v/>
      </c>
      <c r="R337" s="6" t="n">
        <v>4710</v>
      </c>
      <c r="S337" s="4" t="n">
        <v>2</v>
      </c>
      <c r="T337" s="1" t="inlineStr">
        <is>
          <t>active</t>
        </is>
      </c>
      <c r="U337" s="8" t="n"/>
      <c r="V337" s="1" t="inlineStr">
        <is>
          <t>SIN PRECIO</t>
        </is>
      </c>
    </row>
    <row r="338">
      <c r="A338" s="1" t="inlineStr">
        <is>
          <t>24780442041229</t>
        </is>
      </c>
      <c r="B338" s="1" t="inlineStr">
        <is>
          <t>BOLSO CC SHOPPING TOTE</t>
        </is>
      </c>
      <c r="C338" s="1" t="n"/>
      <c r="D338" s="1" t="inlineStr">
        <is>
          <t>ZOEY</t>
        </is>
      </c>
      <c r="E338" s="4">
        <f>COUNTIF('DETALLE CRONOLÓGICO'!$A$2:$A$4919,$A338)</f>
        <v/>
      </c>
      <c r="F338" s="4">
        <f>SUMIFS('DETALLE CRONOLÓGICO'!$I$2:$I$4919,'DETALLE CRONOLÓGICO'!$A$2:$A$4919,$A338)</f>
        <v/>
      </c>
      <c r="G338" s="1">
        <f>INDEX('DETALLE CRONOLÓGICO'!$D$2:$D$4919,MATCH($A338,'DETALLE CRONOLÓGICO'!$A$2:$A$4919,0))</f>
        <v/>
      </c>
      <c r="H338" s="1">
        <f>INDEX('DETALLE CRONOLÓGICO'!$D$2:$D$4919,MATCH($A338,'DETALLE CRONOLÓGICO'!$A$2:$A$4919,0)+$E338-1)</f>
        <v/>
      </c>
      <c r="I338" s="5">
        <f>IFERROR(SUMIFS('DETALLE CRONOLÓGICO'!$L$2:$L$4919,'DETALLE CRONOLÓGICO'!$A$2:$A$4919,$A338)/$F338,"")</f>
        <v/>
      </c>
      <c r="J338" s="6">
        <f>IFERROR(SUMIFS('DETALLE CRONOLÓGICO'!$K$2:$K$4919,'DETALLE CRONOLÓGICO'!$A$2:$A$4919,$A338)/$E338,"")</f>
        <v/>
      </c>
      <c r="K338" s="6">
        <f>_xlfn.MINIFS('DETALLE CRONOLÓGICO'!$K$2:$K$4919,'DETALLE CRONOLÓGICO'!$A$2:$A$4919,$A338)</f>
        <v/>
      </c>
      <c r="L338" s="6">
        <f>_xlfn.MAXIFS('DETALLE CRONOLÓGICO'!$K$2:$K$4919,'DETALLE CRONOLÓGICO'!$A$2:$A$4919,$A338)</f>
        <v/>
      </c>
      <c r="M338" s="6">
        <f>INDEX('DETALLE CRONOLÓGICO'!$K$2:$K$4919,MATCH($A338,'DETALLE CRONOLÓGICO'!$A$2:$A$4919,0)+$E338-1)</f>
        <v/>
      </c>
      <c r="N338" s="7">
        <f>IFERROR($M338/INDEX('DETALLE CRONOLÓGICO'!$K$2:$K$4919,MATCH($A338,'DETALLE CRONOLÓGICO'!$A$2:$A$4919,0))-1,"")</f>
        <v/>
      </c>
      <c r="O338" s="6">
        <f>IFERROR($I338*3,"")</f>
        <v/>
      </c>
      <c r="P338" s="6">
        <f>IFERROR($I338*3.5,"")</f>
        <v/>
      </c>
      <c r="Q338" s="6">
        <f>IFERROR($I338*4,"")</f>
        <v/>
      </c>
      <c r="R338" s="6" t="n">
        <v>5399</v>
      </c>
      <c r="S338" s="4" t="n">
        <v>2</v>
      </c>
      <c r="T338" s="1" t="inlineStr">
        <is>
          <t>active</t>
        </is>
      </c>
      <c r="U338" s="8" t="n"/>
      <c r="V338" s="1" t="inlineStr">
        <is>
          <t>SIN PRECIO</t>
        </is>
      </c>
    </row>
    <row r="339">
      <c r="A339" s="1" t="inlineStr">
        <is>
          <t>24780442101677</t>
        </is>
      </c>
      <c r="B339" s="1" t="inlineStr">
        <is>
          <t>BOLSO CC N°25 WHITE BROWN</t>
        </is>
      </c>
      <c r="C339" s="1" t="n"/>
      <c r="D339" s="1" t="inlineStr">
        <is>
          <t>ZOEY</t>
        </is>
      </c>
      <c r="E339" s="4">
        <f>COUNTIF('DETALLE CRONOLÓGICO'!$A$2:$A$4919,$A339)</f>
        <v/>
      </c>
      <c r="F339" s="4">
        <f>SUMIFS('DETALLE CRONOLÓGICO'!$I$2:$I$4919,'DETALLE CRONOLÓGICO'!$A$2:$A$4919,$A339)</f>
        <v/>
      </c>
      <c r="G339" s="1">
        <f>INDEX('DETALLE CRONOLÓGICO'!$D$2:$D$4919,MATCH($A339,'DETALLE CRONOLÓGICO'!$A$2:$A$4919,0))</f>
        <v/>
      </c>
      <c r="H339" s="1">
        <f>INDEX('DETALLE CRONOLÓGICO'!$D$2:$D$4919,MATCH($A339,'DETALLE CRONOLÓGICO'!$A$2:$A$4919,0)+$E339-1)</f>
        <v/>
      </c>
      <c r="I339" s="5">
        <f>IFERROR(SUMIFS('DETALLE CRONOLÓGICO'!$L$2:$L$4919,'DETALLE CRONOLÓGICO'!$A$2:$A$4919,$A339)/$F339,"")</f>
        <v/>
      </c>
      <c r="J339" s="6">
        <f>IFERROR(SUMIFS('DETALLE CRONOLÓGICO'!$K$2:$K$4919,'DETALLE CRONOLÓGICO'!$A$2:$A$4919,$A339)/$E339,"")</f>
        <v/>
      </c>
      <c r="K339" s="6">
        <f>_xlfn.MINIFS('DETALLE CRONOLÓGICO'!$K$2:$K$4919,'DETALLE CRONOLÓGICO'!$A$2:$A$4919,$A339)</f>
        <v/>
      </c>
      <c r="L339" s="6">
        <f>_xlfn.MAXIFS('DETALLE CRONOLÓGICO'!$K$2:$K$4919,'DETALLE CRONOLÓGICO'!$A$2:$A$4919,$A339)</f>
        <v/>
      </c>
      <c r="M339" s="6">
        <f>INDEX('DETALLE CRONOLÓGICO'!$K$2:$K$4919,MATCH($A339,'DETALLE CRONOLÓGICO'!$A$2:$A$4919,0)+$E339-1)</f>
        <v/>
      </c>
      <c r="N339" s="7">
        <f>IFERROR($M339/INDEX('DETALLE CRONOLÓGICO'!$K$2:$K$4919,MATCH($A339,'DETALLE CRONOLÓGICO'!$A$2:$A$4919,0))-1,"")</f>
        <v/>
      </c>
      <c r="O339" s="6">
        <f>IFERROR($I339*3,"")</f>
        <v/>
      </c>
      <c r="P339" s="6">
        <f>IFERROR($I339*3.5,"")</f>
        <v/>
      </c>
      <c r="Q339" s="6">
        <f>IFERROR($I339*4,"")</f>
        <v/>
      </c>
      <c r="R339" s="6" t="n">
        <v>5999</v>
      </c>
      <c r="S339" s="4" t="n">
        <v>0</v>
      </c>
      <c r="T339" s="1" t="inlineStr">
        <is>
          <t>active</t>
        </is>
      </c>
      <c r="U339" s="8" t="n"/>
      <c r="V339" s="1" t="inlineStr">
        <is>
          <t>SIN PRECIO</t>
        </is>
      </c>
    </row>
    <row r="340">
      <c r="A340" s="1" t="inlineStr">
        <is>
          <t>24780442224269</t>
        </is>
      </c>
      <c r="B340" s="1" t="inlineStr">
        <is>
          <t>BOLSO CC MARY JANES</t>
        </is>
      </c>
      <c r="C340" s="1" t="n"/>
      <c r="D340" s="1" t="inlineStr">
        <is>
          <t>ZOEY</t>
        </is>
      </c>
      <c r="E340" s="4">
        <f>COUNTIF('DETALLE CRONOLÓGICO'!$A$2:$A$4919,$A340)</f>
        <v/>
      </c>
      <c r="F340" s="4">
        <f>SUMIFS('DETALLE CRONOLÓGICO'!$I$2:$I$4919,'DETALLE CRONOLÓGICO'!$A$2:$A$4919,$A340)</f>
        <v/>
      </c>
      <c r="G340" s="1">
        <f>INDEX('DETALLE CRONOLÓGICO'!$D$2:$D$4919,MATCH($A340,'DETALLE CRONOLÓGICO'!$A$2:$A$4919,0))</f>
        <v/>
      </c>
      <c r="H340" s="1">
        <f>INDEX('DETALLE CRONOLÓGICO'!$D$2:$D$4919,MATCH($A340,'DETALLE CRONOLÓGICO'!$A$2:$A$4919,0)+$E340-1)</f>
        <v/>
      </c>
      <c r="I340" s="5">
        <f>IFERROR(SUMIFS('DETALLE CRONOLÓGICO'!$L$2:$L$4919,'DETALLE CRONOLÓGICO'!$A$2:$A$4919,$A340)/$F340,"")</f>
        <v/>
      </c>
      <c r="J340" s="6">
        <f>IFERROR(SUMIFS('DETALLE CRONOLÓGICO'!$K$2:$K$4919,'DETALLE CRONOLÓGICO'!$A$2:$A$4919,$A340)/$E340,"")</f>
        <v/>
      </c>
      <c r="K340" s="6">
        <f>_xlfn.MINIFS('DETALLE CRONOLÓGICO'!$K$2:$K$4919,'DETALLE CRONOLÓGICO'!$A$2:$A$4919,$A340)</f>
        <v/>
      </c>
      <c r="L340" s="6">
        <f>_xlfn.MAXIFS('DETALLE CRONOLÓGICO'!$K$2:$K$4919,'DETALLE CRONOLÓGICO'!$A$2:$A$4919,$A340)</f>
        <v/>
      </c>
      <c r="M340" s="6">
        <f>INDEX('DETALLE CRONOLÓGICO'!$K$2:$K$4919,MATCH($A340,'DETALLE CRONOLÓGICO'!$A$2:$A$4919,0)+$E340-1)</f>
        <v/>
      </c>
      <c r="N340" s="7">
        <f>IFERROR($M340/INDEX('DETALLE CRONOLÓGICO'!$K$2:$K$4919,MATCH($A340,'DETALLE CRONOLÓGICO'!$A$2:$A$4919,0))-1,"")</f>
        <v/>
      </c>
      <c r="O340" s="6">
        <f>IFERROR($I340*3,"")</f>
        <v/>
      </c>
      <c r="P340" s="6">
        <f>IFERROR($I340*3.5,"")</f>
        <v/>
      </c>
      <c r="Q340" s="6">
        <f>IFERROR($I340*4,"")</f>
        <v/>
      </c>
      <c r="R340" s="6" t="n">
        <v>5689</v>
      </c>
      <c r="S340" s="4" t="n">
        <v>1</v>
      </c>
      <c r="T340" s="1" t="inlineStr">
        <is>
          <t>active</t>
        </is>
      </c>
      <c r="U340" s="8" t="n"/>
      <c r="V340" s="1" t="inlineStr">
        <is>
          <t>SIN PRECIO</t>
        </is>
      </c>
    </row>
    <row r="341">
      <c r="A341" s="1" t="inlineStr">
        <is>
          <t>24780442388109</t>
        </is>
      </c>
      <c r="B341" s="1" t="inlineStr">
        <is>
          <t>BOLSO CC LARGE TOTE</t>
        </is>
      </c>
      <c r="C341" s="1" t="n"/>
      <c r="D341" s="1" t="inlineStr">
        <is>
          <t>ZOEY</t>
        </is>
      </c>
      <c r="E341" s="4">
        <f>COUNTIF('DETALLE CRONOLÓGICO'!$A$2:$A$4919,$A341)</f>
        <v/>
      </c>
      <c r="F341" s="4">
        <f>SUMIFS('DETALLE CRONOLÓGICO'!$I$2:$I$4919,'DETALLE CRONOLÓGICO'!$A$2:$A$4919,$A341)</f>
        <v/>
      </c>
      <c r="G341" s="1">
        <f>INDEX('DETALLE CRONOLÓGICO'!$D$2:$D$4919,MATCH($A341,'DETALLE CRONOLÓGICO'!$A$2:$A$4919,0))</f>
        <v/>
      </c>
      <c r="H341" s="1">
        <f>INDEX('DETALLE CRONOLÓGICO'!$D$2:$D$4919,MATCH($A341,'DETALLE CRONOLÓGICO'!$A$2:$A$4919,0)+$E341-1)</f>
        <v/>
      </c>
      <c r="I341" s="5">
        <f>IFERROR(SUMIFS('DETALLE CRONOLÓGICO'!$L$2:$L$4919,'DETALLE CRONOLÓGICO'!$A$2:$A$4919,$A341)/$F341,"")</f>
        <v/>
      </c>
      <c r="J341" s="6">
        <f>IFERROR(SUMIFS('DETALLE CRONOLÓGICO'!$K$2:$K$4919,'DETALLE CRONOLÓGICO'!$A$2:$A$4919,$A341)/$E341,"")</f>
        <v/>
      </c>
      <c r="K341" s="6">
        <f>_xlfn.MINIFS('DETALLE CRONOLÓGICO'!$K$2:$K$4919,'DETALLE CRONOLÓGICO'!$A$2:$A$4919,$A341)</f>
        <v/>
      </c>
      <c r="L341" s="6">
        <f>_xlfn.MAXIFS('DETALLE CRONOLÓGICO'!$K$2:$K$4919,'DETALLE CRONOLÓGICO'!$A$2:$A$4919,$A341)</f>
        <v/>
      </c>
      <c r="M341" s="6">
        <f>INDEX('DETALLE CRONOLÓGICO'!$K$2:$K$4919,MATCH($A341,'DETALLE CRONOLÓGICO'!$A$2:$A$4919,0)+$E341-1)</f>
        <v/>
      </c>
      <c r="N341" s="7">
        <f>IFERROR($M341/INDEX('DETALLE CRONOLÓGICO'!$K$2:$K$4919,MATCH($A341,'DETALLE CRONOLÓGICO'!$A$2:$A$4919,0))-1,"")</f>
        <v/>
      </c>
      <c r="O341" s="6">
        <f>IFERROR($I341*3,"")</f>
        <v/>
      </c>
      <c r="P341" s="6">
        <f>IFERROR($I341*3.5,"")</f>
        <v/>
      </c>
      <c r="Q341" s="6">
        <f>IFERROR($I341*4,"")</f>
        <v/>
      </c>
      <c r="R341" s="6" t="n">
        <v>6500</v>
      </c>
      <c r="S341" s="4" t="n">
        <v>2</v>
      </c>
      <c r="T341" s="1" t="inlineStr">
        <is>
          <t>active</t>
        </is>
      </c>
      <c r="U341" s="8" t="n"/>
      <c r="V341" s="1" t="inlineStr">
        <is>
          <t>SIN PRECIO</t>
        </is>
      </c>
    </row>
    <row r="342">
      <c r="A342" s="1" t="inlineStr">
        <is>
          <t>24780442420877</t>
        </is>
      </c>
      <c r="B342" s="1" t="inlineStr">
        <is>
          <t>BOLSO C N°25 DENIM</t>
        </is>
      </c>
      <c r="C342" s="1" t="n"/>
      <c r="D342" s="1" t="inlineStr">
        <is>
          <t>ZOEY</t>
        </is>
      </c>
      <c r="E342" s="4">
        <f>COUNTIF('DETALLE CRONOLÓGICO'!$A$2:$A$4919,$A342)</f>
        <v/>
      </c>
      <c r="F342" s="4">
        <f>SUMIFS('DETALLE CRONOLÓGICO'!$I$2:$I$4919,'DETALLE CRONOLÓGICO'!$A$2:$A$4919,$A342)</f>
        <v/>
      </c>
      <c r="G342" s="1">
        <f>INDEX('DETALLE CRONOLÓGICO'!$D$2:$D$4919,MATCH($A342,'DETALLE CRONOLÓGICO'!$A$2:$A$4919,0))</f>
        <v/>
      </c>
      <c r="H342" s="1">
        <f>INDEX('DETALLE CRONOLÓGICO'!$D$2:$D$4919,MATCH($A342,'DETALLE CRONOLÓGICO'!$A$2:$A$4919,0)+$E342-1)</f>
        <v/>
      </c>
      <c r="I342" s="5">
        <f>IFERROR(SUMIFS('DETALLE CRONOLÓGICO'!$L$2:$L$4919,'DETALLE CRONOLÓGICO'!$A$2:$A$4919,$A342)/$F342,"")</f>
        <v/>
      </c>
      <c r="J342" s="6">
        <f>IFERROR(SUMIFS('DETALLE CRONOLÓGICO'!$K$2:$K$4919,'DETALLE CRONOLÓGICO'!$A$2:$A$4919,$A342)/$E342,"")</f>
        <v/>
      </c>
      <c r="K342" s="6">
        <f>_xlfn.MINIFS('DETALLE CRONOLÓGICO'!$K$2:$K$4919,'DETALLE CRONOLÓGICO'!$A$2:$A$4919,$A342)</f>
        <v/>
      </c>
      <c r="L342" s="6">
        <f>_xlfn.MAXIFS('DETALLE CRONOLÓGICO'!$K$2:$K$4919,'DETALLE CRONOLÓGICO'!$A$2:$A$4919,$A342)</f>
        <v/>
      </c>
      <c r="M342" s="6">
        <f>INDEX('DETALLE CRONOLÓGICO'!$K$2:$K$4919,MATCH($A342,'DETALLE CRONOLÓGICO'!$A$2:$A$4919,0)+$E342-1)</f>
        <v/>
      </c>
      <c r="N342" s="7">
        <f>IFERROR($M342/INDEX('DETALLE CRONOLÓGICO'!$K$2:$K$4919,MATCH($A342,'DETALLE CRONOLÓGICO'!$A$2:$A$4919,0))-1,"")</f>
        <v/>
      </c>
      <c r="O342" s="6">
        <f>IFERROR($I342*3,"")</f>
        <v/>
      </c>
      <c r="P342" s="6">
        <f>IFERROR($I342*3.5,"")</f>
        <v/>
      </c>
      <c r="Q342" s="6">
        <f>IFERROR($I342*4,"")</f>
        <v/>
      </c>
      <c r="R342" s="6" t="n">
        <v>6000</v>
      </c>
      <c r="S342" s="4" t="n">
        <v>0</v>
      </c>
      <c r="T342" s="1" t="inlineStr">
        <is>
          <t>active</t>
        </is>
      </c>
      <c r="U342" s="8" t="n"/>
      <c r="V342" s="1" t="inlineStr">
        <is>
          <t>SIN PRECIO</t>
        </is>
      </c>
    </row>
    <row r="343">
      <c r="A343" s="1" t="inlineStr">
        <is>
          <t>24780442584717</t>
        </is>
      </c>
      <c r="B343" s="1" t="inlineStr">
        <is>
          <t>BOLSO C N°25 GOLD</t>
        </is>
      </c>
      <c r="C343" s="1" t="n"/>
      <c r="D343" s="1" t="inlineStr">
        <is>
          <t>ZOEY</t>
        </is>
      </c>
      <c r="E343" s="4">
        <f>COUNTIF('DETALLE CRONOLÓGICO'!$A$2:$A$4919,$A343)</f>
        <v/>
      </c>
      <c r="F343" s="4">
        <f>SUMIFS('DETALLE CRONOLÓGICO'!$I$2:$I$4919,'DETALLE CRONOLÓGICO'!$A$2:$A$4919,$A343)</f>
        <v/>
      </c>
      <c r="G343" s="1">
        <f>INDEX('DETALLE CRONOLÓGICO'!$D$2:$D$4919,MATCH($A343,'DETALLE CRONOLÓGICO'!$A$2:$A$4919,0))</f>
        <v/>
      </c>
      <c r="H343" s="1">
        <f>INDEX('DETALLE CRONOLÓGICO'!$D$2:$D$4919,MATCH($A343,'DETALLE CRONOLÓGICO'!$A$2:$A$4919,0)+$E343-1)</f>
        <v/>
      </c>
      <c r="I343" s="5">
        <f>IFERROR(SUMIFS('DETALLE CRONOLÓGICO'!$L$2:$L$4919,'DETALLE CRONOLÓGICO'!$A$2:$A$4919,$A343)/$F343,"")</f>
        <v/>
      </c>
      <c r="J343" s="6">
        <f>IFERROR(SUMIFS('DETALLE CRONOLÓGICO'!$K$2:$K$4919,'DETALLE CRONOLÓGICO'!$A$2:$A$4919,$A343)/$E343,"")</f>
        <v/>
      </c>
      <c r="K343" s="6">
        <f>_xlfn.MINIFS('DETALLE CRONOLÓGICO'!$K$2:$K$4919,'DETALLE CRONOLÓGICO'!$A$2:$A$4919,$A343)</f>
        <v/>
      </c>
      <c r="L343" s="6">
        <f>_xlfn.MAXIFS('DETALLE CRONOLÓGICO'!$K$2:$K$4919,'DETALLE CRONOLÓGICO'!$A$2:$A$4919,$A343)</f>
        <v/>
      </c>
      <c r="M343" s="6">
        <f>INDEX('DETALLE CRONOLÓGICO'!$K$2:$K$4919,MATCH($A343,'DETALLE CRONOLÓGICO'!$A$2:$A$4919,0)+$E343-1)</f>
        <v/>
      </c>
      <c r="N343" s="7">
        <f>IFERROR($M343/INDEX('DETALLE CRONOLÓGICO'!$K$2:$K$4919,MATCH($A343,'DETALLE CRONOLÓGICO'!$A$2:$A$4919,0))-1,"")</f>
        <v/>
      </c>
      <c r="O343" s="6">
        <f>IFERROR($I343*3,"")</f>
        <v/>
      </c>
      <c r="P343" s="6">
        <f>IFERROR($I343*3.5,"")</f>
        <v/>
      </c>
      <c r="Q343" s="6">
        <f>IFERROR($I343*4,"")</f>
        <v/>
      </c>
      <c r="R343" s="6" t="n">
        <v>6000</v>
      </c>
      <c r="S343" s="4" t="n">
        <v>2</v>
      </c>
      <c r="T343" s="1" t="inlineStr">
        <is>
          <t>active</t>
        </is>
      </c>
      <c r="U343" s="8" t="n"/>
      <c r="V343" s="1" t="inlineStr">
        <is>
          <t>SIN PRECIO</t>
        </is>
      </c>
    </row>
    <row r="344">
      <c r="A344" s="1" t="inlineStr">
        <is>
          <t>24780442614093</t>
        </is>
      </c>
      <c r="B344" s="1" t="inlineStr">
        <is>
          <t>BOLSO CC MINITASKE</t>
        </is>
      </c>
      <c r="C344" s="1" t="n"/>
      <c r="D344" s="1" t="inlineStr">
        <is>
          <t>ZOEY</t>
        </is>
      </c>
      <c r="E344" s="4">
        <f>COUNTIF('DETALLE CRONOLÓGICO'!$A$2:$A$4919,$A344)</f>
        <v/>
      </c>
      <c r="F344" s="4">
        <f>SUMIFS('DETALLE CRONOLÓGICO'!$I$2:$I$4919,'DETALLE CRONOLÓGICO'!$A$2:$A$4919,$A344)</f>
        <v/>
      </c>
      <c r="G344" s="1">
        <f>INDEX('DETALLE CRONOLÓGICO'!$D$2:$D$4919,MATCH($A344,'DETALLE CRONOLÓGICO'!$A$2:$A$4919,0))</f>
        <v/>
      </c>
      <c r="H344" s="1">
        <f>INDEX('DETALLE CRONOLÓGICO'!$D$2:$D$4919,MATCH($A344,'DETALLE CRONOLÓGICO'!$A$2:$A$4919,0)+$E344-1)</f>
        <v/>
      </c>
      <c r="I344" s="5">
        <f>IFERROR(SUMIFS('DETALLE CRONOLÓGICO'!$L$2:$L$4919,'DETALLE CRONOLÓGICO'!$A$2:$A$4919,$A344)/$F344,"")</f>
        <v/>
      </c>
      <c r="J344" s="6">
        <f>IFERROR(SUMIFS('DETALLE CRONOLÓGICO'!$K$2:$K$4919,'DETALLE CRONOLÓGICO'!$A$2:$A$4919,$A344)/$E344,"")</f>
        <v/>
      </c>
      <c r="K344" s="6">
        <f>_xlfn.MINIFS('DETALLE CRONOLÓGICO'!$K$2:$K$4919,'DETALLE CRONOLÓGICO'!$A$2:$A$4919,$A344)</f>
        <v/>
      </c>
      <c r="L344" s="6">
        <f>_xlfn.MAXIFS('DETALLE CRONOLÓGICO'!$K$2:$K$4919,'DETALLE CRONOLÓGICO'!$A$2:$A$4919,$A344)</f>
        <v/>
      </c>
      <c r="M344" s="6">
        <f>INDEX('DETALLE CRONOLÓGICO'!$K$2:$K$4919,MATCH($A344,'DETALLE CRONOLÓGICO'!$A$2:$A$4919,0)+$E344-1)</f>
        <v/>
      </c>
      <c r="N344" s="7">
        <f>IFERROR($M344/INDEX('DETALLE CRONOLÓGICO'!$K$2:$K$4919,MATCH($A344,'DETALLE CRONOLÓGICO'!$A$2:$A$4919,0))-1,"")</f>
        <v/>
      </c>
      <c r="O344" s="6">
        <f>IFERROR($I344*3,"")</f>
        <v/>
      </c>
      <c r="P344" s="6">
        <f>IFERROR($I344*3.5,"")</f>
        <v/>
      </c>
      <c r="Q344" s="6">
        <f>IFERROR($I344*4,"")</f>
        <v/>
      </c>
      <c r="R344" s="6" t="n">
        <v>6379</v>
      </c>
      <c r="S344" s="4" t="n">
        <v>0</v>
      </c>
      <c r="T344" s="1" t="inlineStr">
        <is>
          <t>active</t>
        </is>
      </c>
      <c r="U344" s="8" t="n"/>
      <c r="V344" s="1" t="inlineStr">
        <is>
          <t>SIN PRECIO</t>
        </is>
      </c>
    </row>
    <row r="345">
      <c r="A345" s="1" t="inlineStr">
        <is>
          <t>24780442777933</t>
        </is>
      </c>
      <c r="B345" s="1" t="inlineStr">
        <is>
          <t>BOLSO CC CLUTCH WHITE PEARL</t>
        </is>
      </c>
      <c r="C345" s="1" t="n"/>
      <c r="D345" s="1" t="inlineStr">
        <is>
          <t>ZOEY</t>
        </is>
      </c>
      <c r="E345" s="4">
        <f>COUNTIF('DETALLE CRONOLÓGICO'!$A$2:$A$4919,$A345)</f>
        <v/>
      </c>
      <c r="F345" s="4">
        <f>SUMIFS('DETALLE CRONOLÓGICO'!$I$2:$I$4919,'DETALLE CRONOLÓGICO'!$A$2:$A$4919,$A345)</f>
        <v/>
      </c>
      <c r="G345" s="1">
        <f>INDEX('DETALLE CRONOLÓGICO'!$D$2:$D$4919,MATCH($A345,'DETALLE CRONOLÓGICO'!$A$2:$A$4919,0))</f>
        <v/>
      </c>
      <c r="H345" s="1">
        <f>INDEX('DETALLE CRONOLÓGICO'!$D$2:$D$4919,MATCH($A345,'DETALLE CRONOLÓGICO'!$A$2:$A$4919,0)+$E345-1)</f>
        <v/>
      </c>
      <c r="I345" s="5">
        <f>IFERROR(SUMIFS('DETALLE CRONOLÓGICO'!$L$2:$L$4919,'DETALLE CRONOLÓGICO'!$A$2:$A$4919,$A345)/$F345,"")</f>
        <v/>
      </c>
      <c r="J345" s="6">
        <f>IFERROR(SUMIFS('DETALLE CRONOLÓGICO'!$K$2:$K$4919,'DETALLE CRONOLÓGICO'!$A$2:$A$4919,$A345)/$E345,"")</f>
        <v/>
      </c>
      <c r="K345" s="6">
        <f>_xlfn.MINIFS('DETALLE CRONOLÓGICO'!$K$2:$K$4919,'DETALLE CRONOLÓGICO'!$A$2:$A$4919,$A345)</f>
        <v/>
      </c>
      <c r="L345" s="6">
        <f>_xlfn.MAXIFS('DETALLE CRONOLÓGICO'!$K$2:$K$4919,'DETALLE CRONOLÓGICO'!$A$2:$A$4919,$A345)</f>
        <v/>
      </c>
      <c r="M345" s="6">
        <f>INDEX('DETALLE CRONOLÓGICO'!$K$2:$K$4919,MATCH($A345,'DETALLE CRONOLÓGICO'!$A$2:$A$4919,0)+$E345-1)</f>
        <v/>
      </c>
      <c r="N345" s="7">
        <f>IFERROR($M345/INDEX('DETALLE CRONOLÓGICO'!$K$2:$K$4919,MATCH($A345,'DETALLE CRONOLÓGICO'!$A$2:$A$4919,0))-1,"")</f>
        <v/>
      </c>
      <c r="O345" s="6">
        <f>IFERROR($I345*3,"")</f>
        <v/>
      </c>
      <c r="P345" s="6">
        <f>IFERROR($I345*3.5,"")</f>
        <v/>
      </c>
      <c r="Q345" s="6">
        <f>IFERROR($I345*4,"")</f>
        <v/>
      </c>
      <c r="R345" s="6" t="n">
        <v>0</v>
      </c>
      <c r="S345" s="4" t="n">
        <v>0</v>
      </c>
      <c r="T345" s="1" t="inlineStr">
        <is>
          <t>draft</t>
        </is>
      </c>
      <c r="U345" s="8" t="n"/>
      <c r="V345" s="1" t="inlineStr">
        <is>
          <t>SIN PRECIO</t>
        </is>
      </c>
    </row>
    <row r="346">
      <c r="A346" s="1" t="inlineStr">
        <is>
          <t>24780442803917</t>
        </is>
      </c>
      <c r="B346" s="1" t="inlineStr">
        <is>
          <t>CARTERA CC CON SOLAPA BLACK</t>
        </is>
      </c>
      <c r="C346" s="1" t="n"/>
      <c r="D346" s="1" t="inlineStr">
        <is>
          <t>ZOEY</t>
        </is>
      </c>
      <c r="E346" s="4">
        <f>COUNTIF('DETALLE CRONOLÓGICO'!$A$2:$A$4919,$A346)</f>
        <v/>
      </c>
      <c r="F346" s="4">
        <f>SUMIFS('DETALLE CRONOLÓGICO'!$I$2:$I$4919,'DETALLE CRONOLÓGICO'!$A$2:$A$4919,$A346)</f>
        <v/>
      </c>
      <c r="G346" s="1">
        <f>INDEX('DETALLE CRONOLÓGICO'!$D$2:$D$4919,MATCH($A346,'DETALLE CRONOLÓGICO'!$A$2:$A$4919,0))</f>
        <v/>
      </c>
      <c r="H346" s="1">
        <f>INDEX('DETALLE CRONOLÓGICO'!$D$2:$D$4919,MATCH($A346,'DETALLE CRONOLÓGICO'!$A$2:$A$4919,0)+$E346-1)</f>
        <v/>
      </c>
      <c r="I346" s="5">
        <f>IFERROR(SUMIFS('DETALLE CRONOLÓGICO'!$L$2:$L$4919,'DETALLE CRONOLÓGICO'!$A$2:$A$4919,$A346)/$F346,"")</f>
        <v/>
      </c>
      <c r="J346" s="6">
        <f>IFERROR(SUMIFS('DETALLE CRONOLÓGICO'!$K$2:$K$4919,'DETALLE CRONOLÓGICO'!$A$2:$A$4919,$A346)/$E346,"")</f>
        <v/>
      </c>
      <c r="K346" s="6">
        <f>_xlfn.MINIFS('DETALLE CRONOLÓGICO'!$K$2:$K$4919,'DETALLE CRONOLÓGICO'!$A$2:$A$4919,$A346)</f>
        <v/>
      </c>
      <c r="L346" s="6">
        <f>_xlfn.MAXIFS('DETALLE CRONOLÓGICO'!$K$2:$K$4919,'DETALLE CRONOLÓGICO'!$A$2:$A$4919,$A346)</f>
        <v/>
      </c>
      <c r="M346" s="6">
        <f>INDEX('DETALLE CRONOLÓGICO'!$K$2:$K$4919,MATCH($A346,'DETALLE CRONOLÓGICO'!$A$2:$A$4919,0)+$E346-1)</f>
        <v/>
      </c>
      <c r="N346" s="7">
        <f>IFERROR($M346/INDEX('DETALLE CRONOLÓGICO'!$K$2:$K$4919,MATCH($A346,'DETALLE CRONOLÓGICO'!$A$2:$A$4919,0))-1,"")</f>
        <v/>
      </c>
      <c r="O346" s="6">
        <f>IFERROR($I346*3,"")</f>
        <v/>
      </c>
      <c r="P346" s="6">
        <f>IFERROR($I346*3.5,"")</f>
        <v/>
      </c>
      <c r="Q346" s="6">
        <f>IFERROR($I346*4,"")</f>
        <v/>
      </c>
      <c r="R346" s="6" t="n">
        <v>2159</v>
      </c>
      <c r="S346" s="4" t="n">
        <v>2</v>
      </c>
      <c r="T346" s="1" t="inlineStr">
        <is>
          <t>active</t>
        </is>
      </c>
      <c r="U346" s="8" t="n"/>
      <c r="V346" s="1" t="inlineStr">
        <is>
          <t>SIN PRECIO</t>
        </is>
      </c>
    </row>
    <row r="347">
      <c r="A347" s="1" t="inlineStr">
        <is>
          <t>24780442908333</t>
        </is>
      </c>
      <c r="B347" s="1" t="inlineStr">
        <is>
          <t>BALLERINAS CC COCO MARK</t>
        </is>
      </c>
      <c r="C347" s="1" t="inlineStr">
        <is>
          <t>38/25MX</t>
        </is>
      </c>
      <c r="D347" s="1" t="inlineStr">
        <is>
          <t>ZOEY</t>
        </is>
      </c>
      <c r="E347" s="4">
        <f>COUNTIF('DETALLE CRONOLÓGICO'!$A$2:$A$4919,$A347)</f>
        <v/>
      </c>
      <c r="F347" s="4">
        <f>SUMIFS('DETALLE CRONOLÓGICO'!$I$2:$I$4919,'DETALLE CRONOLÓGICO'!$A$2:$A$4919,$A347)</f>
        <v/>
      </c>
      <c r="G347" s="1">
        <f>INDEX('DETALLE CRONOLÓGICO'!$D$2:$D$4919,MATCH($A347,'DETALLE CRONOLÓGICO'!$A$2:$A$4919,0))</f>
        <v/>
      </c>
      <c r="H347" s="1">
        <f>INDEX('DETALLE CRONOLÓGICO'!$D$2:$D$4919,MATCH($A347,'DETALLE CRONOLÓGICO'!$A$2:$A$4919,0)+$E347-1)</f>
        <v/>
      </c>
      <c r="I347" s="5">
        <f>IFERROR(SUMIFS('DETALLE CRONOLÓGICO'!$L$2:$L$4919,'DETALLE CRONOLÓGICO'!$A$2:$A$4919,$A347)/$F347,"")</f>
        <v/>
      </c>
      <c r="J347" s="6">
        <f>IFERROR(SUMIFS('DETALLE CRONOLÓGICO'!$K$2:$K$4919,'DETALLE CRONOLÓGICO'!$A$2:$A$4919,$A347)/$E347,"")</f>
        <v/>
      </c>
      <c r="K347" s="6">
        <f>_xlfn.MINIFS('DETALLE CRONOLÓGICO'!$K$2:$K$4919,'DETALLE CRONOLÓGICO'!$A$2:$A$4919,$A347)</f>
        <v/>
      </c>
      <c r="L347" s="6">
        <f>_xlfn.MAXIFS('DETALLE CRONOLÓGICO'!$K$2:$K$4919,'DETALLE CRONOLÓGICO'!$A$2:$A$4919,$A347)</f>
        <v/>
      </c>
      <c r="M347" s="6">
        <f>INDEX('DETALLE CRONOLÓGICO'!$K$2:$K$4919,MATCH($A347,'DETALLE CRONOLÓGICO'!$A$2:$A$4919,0)+$E347-1)</f>
        <v/>
      </c>
      <c r="N347" s="7">
        <f>IFERROR($M347/INDEX('DETALLE CRONOLÓGICO'!$K$2:$K$4919,MATCH($A347,'DETALLE CRONOLÓGICO'!$A$2:$A$4919,0))-1,"")</f>
        <v/>
      </c>
      <c r="O347" s="6">
        <f>IFERROR($I347*3,"")</f>
        <v/>
      </c>
      <c r="P347" s="6">
        <f>IFERROR($I347*3.5,"")</f>
        <v/>
      </c>
      <c r="Q347" s="6">
        <f>IFERROR($I347*4,"")</f>
        <v/>
      </c>
      <c r="R347" s="6" t="n">
        <v>5888</v>
      </c>
      <c r="S347" s="4" t="n">
        <v>0</v>
      </c>
      <c r="T347" s="1" t="inlineStr">
        <is>
          <t>active</t>
        </is>
      </c>
      <c r="U347" s="8" t="n"/>
      <c r="V347" s="1" t="inlineStr">
        <is>
          <t>SIN PRECIO</t>
        </is>
      </c>
    </row>
    <row r="348">
      <c r="A348" s="1" t="inlineStr">
        <is>
          <t>24780443041101</t>
        </is>
      </c>
      <c r="B348" s="1" t="inlineStr">
        <is>
          <t>BALLERINAS CC COCO MARK</t>
        </is>
      </c>
      <c r="C348" s="1" t="inlineStr">
        <is>
          <t>35/254MX</t>
        </is>
      </c>
      <c r="D348" s="1" t="inlineStr">
        <is>
          <t>ZOEY</t>
        </is>
      </c>
      <c r="E348" s="4">
        <f>COUNTIF('DETALLE CRONOLÓGICO'!$A$2:$A$4919,$A348)</f>
        <v/>
      </c>
      <c r="F348" s="4">
        <f>SUMIFS('DETALLE CRONOLÓGICO'!$I$2:$I$4919,'DETALLE CRONOLÓGICO'!$A$2:$A$4919,$A348)</f>
        <v/>
      </c>
      <c r="G348" s="1">
        <f>INDEX('DETALLE CRONOLÓGICO'!$D$2:$D$4919,MATCH($A348,'DETALLE CRONOLÓGICO'!$A$2:$A$4919,0))</f>
        <v/>
      </c>
      <c r="H348" s="1">
        <f>INDEX('DETALLE CRONOLÓGICO'!$D$2:$D$4919,MATCH($A348,'DETALLE CRONOLÓGICO'!$A$2:$A$4919,0)+$E348-1)</f>
        <v/>
      </c>
      <c r="I348" s="5">
        <f>IFERROR(SUMIFS('DETALLE CRONOLÓGICO'!$L$2:$L$4919,'DETALLE CRONOLÓGICO'!$A$2:$A$4919,$A348)/$F348,"")</f>
        <v/>
      </c>
      <c r="J348" s="6">
        <f>IFERROR(SUMIFS('DETALLE CRONOLÓGICO'!$K$2:$K$4919,'DETALLE CRONOLÓGICO'!$A$2:$A$4919,$A348)/$E348,"")</f>
        <v/>
      </c>
      <c r="K348" s="6">
        <f>_xlfn.MINIFS('DETALLE CRONOLÓGICO'!$K$2:$K$4919,'DETALLE CRONOLÓGICO'!$A$2:$A$4919,$A348)</f>
        <v/>
      </c>
      <c r="L348" s="6">
        <f>_xlfn.MAXIFS('DETALLE CRONOLÓGICO'!$K$2:$K$4919,'DETALLE CRONOLÓGICO'!$A$2:$A$4919,$A348)</f>
        <v/>
      </c>
      <c r="M348" s="6">
        <f>INDEX('DETALLE CRONOLÓGICO'!$K$2:$K$4919,MATCH($A348,'DETALLE CRONOLÓGICO'!$A$2:$A$4919,0)+$E348-1)</f>
        <v/>
      </c>
      <c r="N348" s="7">
        <f>IFERROR($M348/INDEX('DETALLE CRONOLÓGICO'!$K$2:$K$4919,MATCH($A348,'DETALLE CRONOLÓGICO'!$A$2:$A$4919,0))-1,"")</f>
        <v/>
      </c>
      <c r="O348" s="6">
        <f>IFERROR($I348*3,"")</f>
        <v/>
      </c>
      <c r="P348" s="6">
        <f>IFERROR($I348*3.5,"")</f>
        <v/>
      </c>
      <c r="Q348" s="6">
        <f>IFERROR($I348*4,"")</f>
        <v/>
      </c>
      <c r="R348" s="6" t="n">
        <v>5888</v>
      </c>
      <c r="S348" s="4" t="n">
        <v>1</v>
      </c>
      <c r="T348" s="1" t="inlineStr">
        <is>
          <t>active</t>
        </is>
      </c>
      <c r="U348" s="8" t="n"/>
      <c r="V348" s="1" t="inlineStr">
        <is>
          <t>SIN PRECIO</t>
        </is>
      </c>
    </row>
    <row r="349">
      <c r="A349" s="1" t="inlineStr">
        <is>
          <t>24780443136013</t>
        </is>
      </c>
      <c r="B349" s="1" t="inlineStr">
        <is>
          <t>CINTO CC LEATHER BLACK</t>
        </is>
      </c>
      <c r="C349" s="1" t="inlineStr">
        <is>
          <t>100cm</t>
        </is>
      </c>
      <c r="D349" s="1" t="inlineStr">
        <is>
          <t>ZOEY</t>
        </is>
      </c>
      <c r="E349" s="4">
        <f>COUNTIF('DETALLE CRONOLÓGICO'!$A$2:$A$4919,$A349)</f>
        <v/>
      </c>
      <c r="F349" s="4">
        <f>SUMIFS('DETALLE CRONOLÓGICO'!$I$2:$I$4919,'DETALLE CRONOLÓGICO'!$A$2:$A$4919,$A349)</f>
        <v/>
      </c>
      <c r="G349" s="1">
        <f>INDEX('DETALLE CRONOLÓGICO'!$D$2:$D$4919,MATCH($A349,'DETALLE CRONOLÓGICO'!$A$2:$A$4919,0))</f>
        <v/>
      </c>
      <c r="H349" s="1">
        <f>INDEX('DETALLE CRONOLÓGICO'!$D$2:$D$4919,MATCH($A349,'DETALLE CRONOLÓGICO'!$A$2:$A$4919,0)+$E349-1)</f>
        <v/>
      </c>
      <c r="I349" s="5">
        <f>IFERROR(SUMIFS('DETALLE CRONOLÓGICO'!$L$2:$L$4919,'DETALLE CRONOLÓGICO'!$A$2:$A$4919,$A349)/$F349,"")</f>
        <v/>
      </c>
      <c r="J349" s="6">
        <f>IFERROR(SUMIFS('DETALLE CRONOLÓGICO'!$K$2:$K$4919,'DETALLE CRONOLÓGICO'!$A$2:$A$4919,$A349)/$E349,"")</f>
        <v/>
      </c>
      <c r="K349" s="6">
        <f>_xlfn.MINIFS('DETALLE CRONOLÓGICO'!$K$2:$K$4919,'DETALLE CRONOLÓGICO'!$A$2:$A$4919,$A349)</f>
        <v/>
      </c>
      <c r="L349" s="6">
        <f>_xlfn.MAXIFS('DETALLE CRONOLÓGICO'!$K$2:$K$4919,'DETALLE CRONOLÓGICO'!$A$2:$A$4919,$A349)</f>
        <v/>
      </c>
      <c r="M349" s="6">
        <f>INDEX('DETALLE CRONOLÓGICO'!$K$2:$K$4919,MATCH($A349,'DETALLE CRONOLÓGICO'!$A$2:$A$4919,0)+$E349-1)</f>
        <v/>
      </c>
      <c r="N349" s="7">
        <f>IFERROR($M349/INDEX('DETALLE CRONOLÓGICO'!$K$2:$K$4919,MATCH($A349,'DETALLE CRONOLÓGICO'!$A$2:$A$4919,0))-1,"")</f>
        <v/>
      </c>
      <c r="O349" s="6">
        <f>IFERROR($I349*3,"")</f>
        <v/>
      </c>
      <c r="P349" s="6">
        <f>IFERROR($I349*3.5,"")</f>
        <v/>
      </c>
      <c r="Q349" s="6">
        <f>IFERROR($I349*4,"")</f>
        <v/>
      </c>
      <c r="R349" s="6" t="n">
        <v>4120</v>
      </c>
      <c r="S349" s="4" t="n">
        <v>2</v>
      </c>
      <c r="T349" s="1" t="inlineStr">
        <is>
          <t>active</t>
        </is>
      </c>
      <c r="U349" s="8" t="n"/>
      <c r="V349" s="1" t="inlineStr">
        <is>
          <t>SIN PRECIO</t>
        </is>
      </c>
    </row>
    <row r="350">
      <c r="A350" s="1" t="inlineStr">
        <is>
          <t>24780443296461</t>
        </is>
      </c>
      <c r="B350" s="1" t="inlineStr">
        <is>
          <t>CINTO CC LEATHER</t>
        </is>
      </c>
      <c r="C350" s="1" t="inlineStr">
        <is>
          <t>100cm</t>
        </is>
      </c>
      <c r="D350" s="1" t="inlineStr">
        <is>
          <t>ZOEY</t>
        </is>
      </c>
      <c r="E350" s="4">
        <f>COUNTIF('DETALLE CRONOLÓGICO'!$A$2:$A$4919,$A350)</f>
        <v/>
      </c>
      <c r="F350" s="4">
        <f>SUMIFS('DETALLE CRONOLÓGICO'!$I$2:$I$4919,'DETALLE CRONOLÓGICO'!$A$2:$A$4919,$A350)</f>
        <v/>
      </c>
      <c r="G350" s="1">
        <f>INDEX('DETALLE CRONOLÓGICO'!$D$2:$D$4919,MATCH($A350,'DETALLE CRONOLÓGICO'!$A$2:$A$4919,0))</f>
        <v/>
      </c>
      <c r="H350" s="1">
        <f>INDEX('DETALLE CRONOLÓGICO'!$D$2:$D$4919,MATCH($A350,'DETALLE CRONOLÓGICO'!$A$2:$A$4919,0)+$E350-1)</f>
        <v/>
      </c>
      <c r="I350" s="5">
        <f>IFERROR(SUMIFS('DETALLE CRONOLÓGICO'!$L$2:$L$4919,'DETALLE CRONOLÓGICO'!$A$2:$A$4919,$A350)/$F350,"")</f>
        <v/>
      </c>
      <c r="J350" s="6">
        <f>IFERROR(SUMIFS('DETALLE CRONOLÓGICO'!$K$2:$K$4919,'DETALLE CRONOLÓGICO'!$A$2:$A$4919,$A350)/$E350,"")</f>
        <v/>
      </c>
      <c r="K350" s="6">
        <f>_xlfn.MINIFS('DETALLE CRONOLÓGICO'!$K$2:$K$4919,'DETALLE CRONOLÓGICO'!$A$2:$A$4919,$A350)</f>
        <v/>
      </c>
      <c r="L350" s="6">
        <f>_xlfn.MAXIFS('DETALLE CRONOLÓGICO'!$K$2:$K$4919,'DETALLE CRONOLÓGICO'!$A$2:$A$4919,$A350)</f>
        <v/>
      </c>
      <c r="M350" s="6">
        <f>INDEX('DETALLE CRONOLÓGICO'!$K$2:$K$4919,MATCH($A350,'DETALLE CRONOLÓGICO'!$A$2:$A$4919,0)+$E350-1)</f>
        <v/>
      </c>
      <c r="N350" s="7">
        <f>IFERROR($M350/INDEX('DETALLE CRONOLÓGICO'!$K$2:$K$4919,MATCH($A350,'DETALLE CRONOLÓGICO'!$A$2:$A$4919,0))-1,"")</f>
        <v/>
      </c>
      <c r="O350" s="6">
        <f>IFERROR($I350*3,"")</f>
        <v/>
      </c>
      <c r="P350" s="6">
        <f>IFERROR($I350*3.5,"")</f>
        <v/>
      </c>
      <c r="Q350" s="6">
        <f>IFERROR($I350*4,"")</f>
        <v/>
      </c>
      <c r="R350" s="6" t="n">
        <v>4120</v>
      </c>
      <c r="S350" s="4" t="n">
        <v>2</v>
      </c>
      <c r="T350" s="1" t="inlineStr">
        <is>
          <t>active</t>
        </is>
      </c>
      <c r="U350" s="8" t="n"/>
      <c r="V350" s="1" t="inlineStr">
        <is>
          <t>SIN PRECIO</t>
        </is>
      </c>
    </row>
    <row r="351">
      <c r="A351" s="1" t="inlineStr">
        <is>
          <t>24780443358605</t>
        </is>
      </c>
      <c r="B351" s="1" t="inlineStr">
        <is>
          <t>CINTO CC SLINGBACK</t>
        </is>
      </c>
      <c r="C351" s="1" t="inlineStr">
        <is>
          <t>100cm</t>
        </is>
      </c>
      <c r="D351" s="1" t="inlineStr">
        <is>
          <t>ZOEY</t>
        </is>
      </c>
      <c r="E351" s="4">
        <f>COUNTIF('DETALLE CRONOLÓGICO'!$A$2:$A$4919,$A351)</f>
        <v/>
      </c>
      <c r="F351" s="4">
        <f>SUMIFS('DETALLE CRONOLÓGICO'!$I$2:$I$4919,'DETALLE CRONOLÓGICO'!$A$2:$A$4919,$A351)</f>
        <v/>
      </c>
      <c r="G351" s="1">
        <f>INDEX('DETALLE CRONOLÓGICO'!$D$2:$D$4919,MATCH($A351,'DETALLE CRONOLÓGICO'!$A$2:$A$4919,0))</f>
        <v/>
      </c>
      <c r="H351" s="1">
        <f>INDEX('DETALLE CRONOLÓGICO'!$D$2:$D$4919,MATCH($A351,'DETALLE CRONOLÓGICO'!$A$2:$A$4919,0)+$E351-1)</f>
        <v/>
      </c>
      <c r="I351" s="5">
        <f>IFERROR(SUMIFS('DETALLE CRONOLÓGICO'!$L$2:$L$4919,'DETALLE CRONOLÓGICO'!$A$2:$A$4919,$A351)/$F351,"")</f>
        <v/>
      </c>
      <c r="J351" s="6">
        <f>IFERROR(SUMIFS('DETALLE CRONOLÓGICO'!$K$2:$K$4919,'DETALLE CRONOLÓGICO'!$A$2:$A$4919,$A351)/$E351,"")</f>
        <v/>
      </c>
      <c r="K351" s="6">
        <f>_xlfn.MINIFS('DETALLE CRONOLÓGICO'!$K$2:$K$4919,'DETALLE CRONOLÓGICO'!$A$2:$A$4919,$A351)</f>
        <v/>
      </c>
      <c r="L351" s="6">
        <f>_xlfn.MAXIFS('DETALLE CRONOLÓGICO'!$K$2:$K$4919,'DETALLE CRONOLÓGICO'!$A$2:$A$4919,$A351)</f>
        <v/>
      </c>
      <c r="M351" s="6">
        <f>INDEX('DETALLE CRONOLÓGICO'!$K$2:$K$4919,MATCH($A351,'DETALLE CRONOLÓGICO'!$A$2:$A$4919,0)+$E351-1)</f>
        <v/>
      </c>
      <c r="N351" s="7">
        <f>IFERROR($M351/INDEX('DETALLE CRONOLÓGICO'!$K$2:$K$4919,MATCH($A351,'DETALLE CRONOLÓGICO'!$A$2:$A$4919,0))-1,"")</f>
        <v/>
      </c>
      <c r="O351" s="6">
        <f>IFERROR($I351*3,"")</f>
        <v/>
      </c>
      <c r="P351" s="6">
        <f>IFERROR($I351*3.5,"")</f>
        <v/>
      </c>
      <c r="Q351" s="6">
        <f>IFERROR($I351*4,"")</f>
        <v/>
      </c>
      <c r="R351" s="6" t="n">
        <v>4710</v>
      </c>
      <c r="S351" s="4" t="n">
        <v>2</v>
      </c>
      <c r="T351" s="1" t="inlineStr">
        <is>
          <t>active</t>
        </is>
      </c>
      <c r="U351" s="8" t="n"/>
      <c r="V351" s="1" t="inlineStr">
        <is>
          <t>SIN PRECIO</t>
        </is>
      </c>
    </row>
    <row r="352">
      <c r="A352" s="1" t="inlineStr">
        <is>
          <t>24780443453517</t>
        </is>
      </c>
      <c r="B352" s="1" t="inlineStr">
        <is>
          <t>CINTO CC CHAIN</t>
        </is>
      </c>
      <c r="C352" s="1" t="inlineStr">
        <is>
          <t>100cm</t>
        </is>
      </c>
      <c r="D352" s="1" t="inlineStr">
        <is>
          <t>ZOEY</t>
        </is>
      </c>
      <c r="E352" s="4">
        <f>COUNTIF('DETALLE CRONOLÓGICO'!$A$2:$A$4919,$A352)</f>
        <v/>
      </c>
      <c r="F352" s="4">
        <f>SUMIFS('DETALLE CRONOLÓGICO'!$I$2:$I$4919,'DETALLE CRONOLÓGICO'!$A$2:$A$4919,$A352)</f>
        <v/>
      </c>
      <c r="G352" s="1">
        <f>INDEX('DETALLE CRONOLÓGICO'!$D$2:$D$4919,MATCH($A352,'DETALLE CRONOLÓGICO'!$A$2:$A$4919,0))</f>
        <v/>
      </c>
      <c r="H352" s="1">
        <f>INDEX('DETALLE CRONOLÓGICO'!$D$2:$D$4919,MATCH($A352,'DETALLE CRONOLÓGICO'!$A$2:$A$4919,0)+$E352-1)</f>
        <v/>
      </c>
      <c r="I352" s="5">
        <f>IFERROR(SUMIFS('DETALLE CRONOLÓGICO'!$L$2:$L$4919,'DETALLE CRONOLÓGICO'!$A$2:$A$4919,$A352)/$F352,"")</f>
        <v/>
      </c>
      <c r="J352" s="6">
        <f>IFERROR(SUMIFS('DETALLE CRONOLÓGICO'!$K$2:$K$4919,'DETALLE CRONOLÓGICO'!$A$2:$A$4919,$A352)/$E352,"")</f>
        <v/>
      </c>
      <c r="K352" s="6">
        <f>_xlfn.MINIFS('DETALLE CRONOLÓGICO'!$K$2:$K$4919,'DETALLE CRONOLÓGICO'!$A$2:$A$4919,$A352)</f>
        <v/>
      </c>
      <c r="L352" s="6">
        <f>_xlfn.MAXIFS('DETALLE CRONOLÓGICO'!$K$2:$K$4919,'DETALLE CRONOLÓGICO'!$A$2:$A$4919,$A352)</f>
        <v/>
      </c>
      <c r="M352" s="6">
        <f>INDEX('DETALLE CRONOLÓGICO'!$K$2:$K$4919,MATCH($A352,'DETALLE CRONOLÓGICO'!$A$2:$A$4919,0)+$E352-1)</f>
        <v/>
      </c>
      <c r="N352" s="7">
        <f>IFERROR($M352/INDEX('DETALLE CRONOLÓGICO'!$K$2:$K$4919,MATCH($A352,'DETALLE CRONOLÓGICO'!$A$2:$A$4919,0))-1,"")</f>
        <v/>
      </c>
      <c r="O352" s="6">
        <f>IFERROR($I352*3,"")</f>
        <v/>
      </c>
      <c r="P352" s="6">
        <f>IFERROR($I352*3.5,"")</f>
        <v/>
      </c>
      <c r="Q352" s="6">
        <f>IFERROR($I352*4,"")</f>
        <v/>
      </c>
      <c r="R352" s="6" t="n">
        <v>5579</v>
      </c>
      <c r="S352" s="4" t="n">
        <v>1</v>
      </c>
      <c r="T352" s="1" t="inlineStr">
        <is>
          <t>active</t>
        </is>
      </c>
      <c r="U352" s="8" t="n"/>
      <c r="V352" s="1" t="inlineStr">
        <is>
          <t>SIN PRECIO</t>
        </is>
      </c>
    </row>
    <row r="353">
      <c r="A353" s="1" t="inlineStr">
        <is>
          <t>24780443529645</t>
        </is>
      </c>
      <c r="B353" s="1" t="inlineStr">
        <is>
          <t>CINTO CC CLASSIC</t>
        </is>
      </c>
      <c r="C353" s="1" t="inlineStr">
        <is>
          <t>100cm</t>
        </is>
      </c>
      <c r="D353" s="1" t="inlineStr">
        <is>
          <t>ZOEY</t>
        </is>
      </c>
      <c r="E353" s="4">
        <f>COUNTIF('DETALLE CRONOLÓGICO'!$A$2:$A$4919,$A353)</f>
        <v/>
      </c>
      <c r="F353" s="4">
        <f>SUMIFS('DETALLE CRONOLÓGICO'!$I$2:$I$4919,'DETALLE CRONOLÓGICO'!$A$2:$A$4919,$A353)</f>
        <v/>
      </c>
      <c r="G353" s="1">
        <f>INDEX('DETALLE CRONOLÓGICO'!$D$2:$D$4919,MATCH($A353,'DETALLE CRONOLÓGICO'!$A$2:$A$4919,0))</f>
        <v/>
      </c>
      <c r="H353" s="1">
        <f>INDEX('DETALLE CRONOLÓGICO'!$D$2:$D$4919,MATCH($A353,'DETALLE CRONOLÓGICO'!$A$2:$A$4919,0)+$E353-1)</f>
        <v/>
      </c>
      <c r="I353" s="5">
        <f>IFERROR(SUMIFS('DETALLE CRONOLÓGICO'!$L$2:$L$4919,'DETALLE CRONOLÓGICO'!$A$2:$A$4919,$A353)/$F353,"")</f>
        <v/>
      </c>
      <c r="J353" s="6">
        <f>IFERROR(SUMIFS('DETALLE CRONOLÓGICO'!$K$2:$K$4919,'DETALLE CRONOLÓGICO'!$A$2:$A$4919,$A353)/$E353,"")</f>
        <v/>
      </c>
      <c r="K353" s="6">
        <f>_xlfn.MINIFS('DETALLE CRONOLÓGICO'!$K$2:$K$4919,'DETALLE CRONOLÓGICO'!$A$2:$A$4919,$A353)</f>
        <v/>
      </c>
      <c r="L353" s="6">
        <f>_xlfn.MAXIFS('DETALLE CRONOLÓGICO'!$K$2:$K$4919,'DETALLE CRONOLÓGICO'!$A$2:$A$4919,$A353)</f>
        <v/>
      </c>
      <c r="M353" s="6">
        <f>INDEX('DETALLE CRONOLÓGICO'!$K$2:$K$4919,MATCH($A353,'DETALLE CRONOLÓGICO'!$A$2:$A$4919,0)+$E353-1)</f>
        <v/>
      </c>
      <c r="N353" s="7">
        <f>IFERROR($M353/INDEX('DETALLE CRONOLÓGICO'!$K$2:$K$4919,MATCH($A353,'DETALLE CRONOLÓGICO'!$A$2:$A$4919,0))-1,"")</f>
        <v/>
      </c>
      <c r="O353" s="6">
        <f>IFERROR($I353*3,"")</f>
        <v/>
      </c>
      <c r="P353" s="6">
        <f>IFERROR($I353*3.5,"")</f>
        <v/>
      </c>
      <c r="Q353" s="6">
        <f>IFERROR($I353*4,"")</f>
        <v/>
      </c>
      <c r="R353" s="6" t="n">
        <v>3899</v>
      </c>
      <c r="S353" s="4" t="n">
        <v>1</v>
      </c>
      <c r="T353" s="1" t="inlineStr">
        <is>
          <t>active</t>
        </is>
      </c>
      <c r="U353" s="8" t="n"/>
      <c r="V353" s="1" t="inlineStr">
        <is>
          <t>SIN PRECIO</t>
        </is>
      </c>
    </row>
    <row r="354">
      <c r="A354" s="1" t="inlineStr">
        <is>
          <t>25156441068705</t>
        </is>
      </c>
      <c r="B354" s="1" t="inlineStr">
        <is>
          <t>COLLAR DOBLE PLACA-GOLD TURQUESA</t>
        </is>
      </c>
      <c r="C354" s="1" t="inlineStr">
        <is>
          <t>44.5cm</t>
        </is>
      </c>
      <c r="D354" s="1" t="inlineStr">
        <is>
          <t>ZOEY</t>
        </is>
      </c>
      <c r="E354" s="4">
        <f>COUNTIF('DETALLE CRONOLÓGICO'!$A$2:$A$4919,$A354)</f>
        <v/>
      </c>
      <c r="F354" s="4">
        <f>SUMIFS('DETALLE CRONOLÓGICO'!$I$2:$I$4919,'DETALLE CRONOLÓGICO'!$A$2:$A$4919,$A354)</f>
        <v/>
      </c>
      <c r="G354" s="1">
        <f>INDEX('DETALLE CRONOLÓGICO'!$D$2:$D$4919,MATCH($A354,'DETALLE CRONOLÓGICO'!$A$2:$A$4919,0))</f>
        <v/>
      </c>
      <c r="H354" s="1">
        <f>INDEX('DETALLE CRONOLÓGICO'!$D$2:$D$4919,MATCH($A354,'DETALLE CRONOLÓGICO'!$A$2:$A$4919,0)+$E354-1)</f>
        <v/>
      </c>
      <c r="I354" s="5">
        <f>IFERROR(SUMIFS('DETALLE CRONOLÓGICO'!$L$2:$L$4919,'DETALLE CRONOLÓGICO'!$A$2:$A$4919,$A354)/$F354,"")</f>
        <v/>
      </c>
      <c r="J354" s="6">
        <f>IFERROR(SUMIFS('DETALLE CRONOLÓGICO'!$K$2:$K$4919,'DETALLE CRONOLÓGICO'!$A$2:$A$4919,$A354)/$E354,"")</f>
        <v/>
      </c>
      <c r="K354" s="6">
        <f>_xlfn.MINIFS('DETALLE CRONOLÓGICO'!$K$2:$K$4919,'DETALLE CRONOLÓGICO'!$A$2:$A$4919,$A354)</f>
        <v/>
      </c>
      <c r="L354" s="6">
        <f>_xlfn.MAXIFS('DETALLE CRONOLÓGICO'!$K$2:$K$4919,'DETALLE CRONOLÓGICO'!$A$2:$A$4919,$A354)</f>
        <v/>
      </c>
      <c r="M354" s="6">
        <f>INDEX('DETALLE CRONOLÓGICO'!$K$2:$K$4919,MATCH($A354,'DETALLE CRONOLÓGICO'!$A$2:$A$4919,0)+$E354-1)</f>
        <v/>
      </c>
      <c r="N354" s="7">
        <f>IFERROR($M354/INDEX('DETALLE CRONOLÓGICO'!$K$2:$K$4919,MATCH($A354,'DETALLE CRONOLÓGICO'!$A$2:$A$4919,0))-1,"")</f>
        <v/>
      </c>
      <c r="O354" s="6">
        <f>IFERROR($I354*3,"")</f>
        <v/>
      </c>
      <c r="P354" s="6">
        <f>IFERROR($I354*3.5,"")</f>
        <v/>
      </c>
      <c r="Q354" s="6">
        <f>IFERROR($I354*4,"")</f>
        <v/>
      </c>
      <c r="R354" s="6" t="n">
        <v>925</v>
      </c>
      <c r="S354" s="4" t="n">
        <v>4</v>
      </c>
      <c r="T354" s="1" t="inlineStr">
        <is>
          <t>active</t>
        </is>
      </c>
      <c r="U354" s="8" t="n"/>
      <c r="V354" s="1" t="inlineStr">
        <is>
          <t>SIN PRECIO</t>
        </is>
      </c>
    </row>
    <row r="355">
      <c r="A355" s="1" t="inlineStr">
        <is>
          <t>26487151099425</t>
        </is>
      </c>
      <c r="B355" s="1" t="inlineStr">
        <is>
          <t>PULSERA BEAN GOLD</t>
        </is>
      </c>
      <c r="C355" s="1" t="inlineStr">
        <is>
          <t>16 CM</t>
        </is>
      </c>
      <c r="D355" s="1" t="inlineStr">
        <is>
          <t>HAIFENG</t>
        </is>
      </c>
      <c r="E355" s="4">
        <f>COUNTIF('DETALLE CRONOLÓGICO'!$A$2:$A$4919,$A355)</f>
        <v/>
      </c>
      <c r="F355" s="4">
        <f>SUMIFS('DETALLE CRONOLÓGICO'!$I$2:$I$4919,'DETALLE CRONOLÓGICO'!$A$2:$A$4919,$A355)</f>
        <v/>
      </c>
      <c r="G355" s="1">
        <f>INDEX('DETALLE CRONOLÓGICO'!$D$2:$D$4919,MATCH($A355,'DETALLE CRONOLÓGICO'!$A$2:$A$4919,0))</f>
        <v/>
      </c>
      <c r="H355" s="1">
        <f>INDEX('DETALLE CRONOLÓGICO'!$D$2:$D$4919,MATCH($A355,'DETALLE CRONOLÓGICO'!$A$2:$A$4919,0)+$E355-1)</f>
        <v/>
      </c>
      <c r="I355" s="5">
        <f>IFERROR(SUMIFS('DETALLE CRONOLÓGICO'!$L$2:$L$4919,'DETALLE CRONOLÓGICO'!$A$2:$A$4919,$A355)/$F355,"")</f>
        <v/>
      </c>
      <c r="J355" s="6">
        <f>IFERROR(SUMIFS('DETALLE CRONOLÓGICO'!$K$2:$K$4919,'DETALLE CRONOLÓGICO'!$A$2:$A$4919,$A355)/$E355,"")</f>
        <v/>
      </c>
      <c r="K355" s="6">
        <f>_xlfn.MINIFS('DETALLE CRONOLÓGICO'!$K$2:$K$4919,'DETALLE CRONOLÓGICO'!$A$2:$A$4919,$A355)</f>
        <v/>
      </c>
      <c r="L355" s="6">
        <f>_xlfn.MAXIFS('DETALLE CRONOLÓGICO'!$K$2:$K$4919,'DETALLE CRONOLÓGICO'!$A$2:$A$4919,$A355)</f>
        <v/>
      </c>
      <c r="M355" s="6">
        <f>INDEX('DETALLE CRONOLÓGICO'!$K$2:$K$4919,MATCH($A355,'DETALLE CRONOLÓGICO'!$A$2:$A$4919,0)+$E355-1)</f>
        <v/>
      </c>
      <c r="N355" s="7">
        <f>IFERROR($M355/INDEX('DETALLE CRONOLÓGICO'!$K$2:$K$4919,MATCH($A355,'DETALLE CRONOLÓGICO'!$A$2:$A$4919,0))-1,"")</f>
        <v/>
      </c>
      <c r="O355" s="6">
        <f>IFERROR($I355*3,"")</f>
        <v/>
      </c>
      <c r="P355" s="6">
        <f>IFERROR($I355*3.5,"")</f>
        <v/>
      </c>
      <c r="Q355" s="6">
        <f>IFERROR($I355*4,"")</f>
        <v/>
      </c>
      <c r="R355" s="6" t="n">
        <v>650</v>
      </c>
      <c r="S355" s="4" t="n">
        <v>4</v>
      </c>
      <c r="T355" s="1" t="inlineStr">
        <is>
          <t>active</t>
        </is>
      </c>
      <c r="U355" s="8" t="n"/>
      <c r="V355" s="1" t="inlineStr">
        <is>
          <t>SIN PRECIO</t>
        </is>
      </c>
    </row>
    <row r="356">
      <c r="A356" s="1" t="inlineStr">
        <is>
          <t>26487151166497</t>
        </is>
      </c>
      <c r="B356" s="1" t="inlineStr">
        <is>
          <t>ARETES TRINITY</t>
        </is>
      </c>
      <c r="C356" s="1" t="inlineStr">
        <is>
          <t>1 cm</t>
        </is>
      </c>
      <c r="D356" s="1" t="inlineStr">
        <is>
          <t>NANCY</t>
        </is>
      </c>
      <c r="E356" s="4">
        <f>COUNTIF('DETALLE CRONOLÓGICO'!$A$2:$A$4919,$A356)</f>
        <v/>
      </c>
      <c r="F356" s="4">
        <f>SUMIFS('DETALLE CRONOLÓGICO'!$I$2:$I$4919,'DETALLE CRONOLÓGICO'!$A$2:$A$4919,$A356)</f>
        <v/>
      </c>
      <c r="G356" s="1">
        <f>INDEX('DETALLE CRONOLÓGICO'!$D$2:$D$4919,MATCH($A356,'DETALLE CRONOLÓGICO'!$A$2:$A$4919,0))</f>
        <v/>
      </c>
      <c r="H356" s="1">
        <f>INDEX('DETALLE CRONOLÓGICO'!$D$2:$D$4919,MATCH($A356,'DETALLE CRONOLÓGICO'!$A$2:$A$4919,0)+$E356-1)</f>
        <v/>
      </c>
      <c r="I356" s="5">
        <f>IFERROR(SUMIFS('DETALLE CRONOLÓGICO'!$L$2:$L$4919,'DETALLE CRONOLÓGICO'!$A$2:$A$4919,$A356)/$F356,"")</f>
        <v/>
      </c>
      <c r="J356" s="6">
        <f>IFERROR(SUMIFS('DETALLE CRONOLÓGICO'!$K$2:$K$4919,'DETALLE CRONOLÓGICO'!$A$2:$A$4919,$A356)/$E356,"")</f>
        <v/>
      </c>
      <c r="K356" s="6">
        <f>_xlfn.MINIFS('DETALLE CRONOLÓGICO'!$K$2:$K$4919,'DETALLE CRONOLÓGICO'!$A$2:$A$4919,$A356)</f>
        <v/>
      </c>
      <c r="L356" s="6">
        <f>_xlfn.MAXIFS('DETALLE CRONOLÓGICO'!$K$2:$K$4919,'DETALLE CRONOLÓGICO'!$A$2:$A$4919,$A356)</f>
        <v/>
      </c>
      <c r="M356" s="6">
        <f>INDEX('DETALLE CRONOLÓGICO'!$K$2:$K$4919,MATCH($A356,'DETALLE CRONOLÓGICO'!$A$2:$A$4919,0)+$E356-1)</f>
        <v/>
      </c>
      <c r="N356" s="7">
        <f>IFERROR($M356/INDEX('DETALLE CRONOLÓGICO'!$K$2:$K$4919,MATCH($A356,'DETALLE CRONOLÓGICO'!$A$2:$A$4919,0))-1,"")</f>
        <v/>
      </c>
      <c r="O356" s="6">
        <f>IFERROR($I356*3,"")</f>
        <v/>
      </c>
      <c r="P356" s="6">
        <f>IFERROR($I356*3.5,"")</f>
        <v/>
      </c>
      <c r="Q356" s="6">
        <f>IFERROR($I356*4,"")</f>
        <v/>
      </c>
      <c r="R356" s="6" t="n">
        <v>576.8</v>
      </c>
      <c r="S356" s="4" t="n">
        <v>0</v>
      </c>
      <c r="T356" s="1" t="inlineStr">
        <is>
          <t>active</t>
        </is>
      </c>
      <c r="U356" s="8" t="n"/>
      <c r="V356" s="1" t="inlineStr">
        <is>
          <t>SIN PRECIO</t>
        </is>
      </c>
    </row>
    <row r="357">
      <c r="A357" s="1" t="inlineStr">
        <is>
          <t>2653019476748</t>
        </is>
      </c>
      <c r="B357" s="1" t="inlineStr">
        <is>
          <t>ANILLO SIXTEEN STONE SILVER</t>
        </is>
      </c>
      <c r="C357" s="1" t="inlineStr">
        <is>
          <t>HIGH QUALITY 5</t>
        </is>
      </c>
      <c r="D357" s="1" t="inlineStr">
        <is>
          <t>HAIFENG</t>
        </is>
      </c>
      <c r="E357" s="4">
        <f>COUNTIF('DETALLE CRONOLÓGICO'!$A$2:$A$4919,$A357)</f>
        <v/>
      </c>
      <c r="F357" s="4">
        <f>SUMIFS('DETALLE CRONOLÓGICO'!$I$2:$I$4919,'DETALLE CRONOLÓGICO'!$A$2:$A$4919,$A357)</f>
        <v/>
      </c>
      <c r="G357" s="1">
        <f>INDEX('DETALLE CRONOLÓGICO'!$D$2:$D$4919,MATCH($A357,'DETALLE CRONOLÓGICO'!$A$2:$A$4919,0))</f>
        <v/>
      </c>
      <c r="H357" s="1">
        <f>INDEX('DETALLE CRONOLÓGICO'!$D$2:$D$4919,MATCH($A357,'DETALLE CRONOLÓGICO'!$A$2:$A$4919,0)+$E357-1)</f>
        <v/>
      </c>
      <c r="I357" s="5">
        <f>IFERROR(SUMIFS('DETALLE CRONOLÓGICO'!$L$2:$L$4919,'DETALLE CRONOLÓGICO'!$A$2:$A$4919,$A357)/$F357,"")</f>
        <v/>
      </c>
      <c r="J357" s="6">
        <f>IFERROR(SUMIFS('DETALLE CRONOLÓGICO'!$K$2:$K$4919,'DETALLE CRONOLÓGICO'!$A$2:$A$4919,$A357)/$E357,"")</f>
        <v/>
      </c>
      <c r="K357" s="6">
        <f>_xlfn.MINIFS('DETALLE CRONOLÓGICO'!$K$2:$K$4919,'DETALLE CRONOLÓGICO'!$A$2:$A$4919,$A357)</f>
        <v/>
      </c>
      <c r="L357" s="6">
        <f>_xlfn.MAXIFS('DETALLE CRONOLÓGICO'!$K$2:$K$4919,'DETALLE CRONOLÓGICO'!$A$2:$A$4919,$A357)</f>
        <v/>
      </c>
      <c r="M357" s="6">
        <f>INDEX('DETALLE CRONOLÓGICO'!$K$2:$K$4919,MATCH($A357,'DETALLE CRONOLÓGICO'!$A$2:$A$4919,0)+$E357-1)</f>
        <v/>
      </c>
      <c r="N357" s="7">
        <f>IFERROR($M357/INDEX('DETALLE CRONOLÓGICO'!$K$2:$K$4919,MATCH($A357,'DETALLE CRONOLÓGICO'!$A$2:$A$4919,0))-1,"")</f>
        <v/>
      </c>
      <c r="O357" s="6">
        <f>IFERROR($I357*3,"")</f>
        <v/>
      </c>
      <c r="P357" s="6">
        <f>IFERROR($I357*3.5,"")</f>
        <v/>
      </c>
      <c r="Q357" s="6">
        <f>IFERROR($I357*4,"")</f>
        <v/>
      </c>
      <c r="R357" s="6" t="n">
        <v>999</v>
      </c>
      <c r="S357" s="4" t="n">
        <v>4</v>
      </c>
      <c r="T357" s="1" t="inlineStr">
        <is>
          <t>active</t>
        </is>
      </c>
      <c r="U357" s="8" t="n"/>
      <c r="V357" s="1" t="inlineStr">
        <is>
          <t>SIN PRECIO</t>
        </is>
      </c>
    </row>
    <row r="358">
      <c r="A358" s="1" t="inlineStr">
        <is>
          <t>2653019509516</t>
        </is>
      </c>
      <c r="B358" s="1" t="inlineStr">
        <is>
          <t>ANILLO SIXTEEN STONE SILVER</t>
        </is>
      </c>
      <c r="C358" s="1" t="inlineStr">
        <is>
          <t>HIGH QUALITY 6</t>
        </is>
      </c>
      <c r="D358" s="1" t="inlineStr">
        <is>
          <t>HAIFENG</t>
        </is>
      </c>
      <c r="E358" s="4">
        <f>COUNTIF('DETALLE CRONOLÓGICO'!$A$2:$A$4919,$A358)</f>
        <v/>
      </c>
      <c r="F358" s="4">
        <f>SUMIFS('DETALLE CRONOLÓGICO'!$I$2:$I$4919,'DETALLE CRONOLÓGICO'!$A$2:$A$4919,$A358)</f>
        <v/>
      </c>
      <c r="G358" s="1">
        <f>INDEX('DETALLE CRONOLÓGICO'!$D$2:$D$4919,MATCH($A358,'DETALLE CRONOLÓGICO'!$A$2:$A$4919,0))</f>
        <v/>
      </c>
      <c r="H358" s="1">
        <f>INDEX('DETALLE CRONOLÓGICO'!$D$2:$D$4919,MATCH($A358,'DETALLE CRONOLÓGICO'!$A$2:$A$4919,0)+$E358-1)</f>
        <v/>
      </c>
      <c r="I358" s="5">
        <f>IFERROR(SUMIFS('DETALLE CRONOLÓGICO'!$L$2:$L$4919,'DETALLE CRONOLÓGICO'!$A$2:$A$4919,$A358)/$F358,"")</f>
        <v/>
      </c>
      <c r="J358" s="6">
        <f>IFERROR(SUMIFS('DETALLE CRONOLÓGICO'!$K$2:$K$4919,'DETALLE CRONOLÓGICO'!$A$2:$A$4919,$A358)/$E358,"")</f>
        <v/>
      </c>
      <c r="K358" s="6">
        <f>_xlfn.MINIFS('DETALLE CRONOLÓGICO'!$K$2:$K$4919,'DETALLE CRONOLÓGICO'!$A$2:$A$4919,$A358)</f>
        <v/>
      </c>
      <c r="L358" s="6">
        <f>_xlfn.MAXIFS('DETALLE CRONOLÓGICO'!$K$2:$K$4919,'DETALLE CRONOLÓGICO'!$A$2:$A$4919,$A358)</f>
        <v/>
      </c>
      <c r="M358" s="6">
        <f>INDEX('DETALLE CRONOLÓGICO'!$K$2:$K$4919,MATCH($A358,'DETALLE CRONOLÓGICO'!$A$2:$A$4919,0)+$E358-1)</f>
        <v/>
      </c>
      <c r="N358" s="7">
        <f>IFERROR($M358/INDEX('DETALLE CRONOLÓGICO'!$K$2:$K$4919,MATCH($A358,'DETALLE CRONOLÓGICO'!$A$2:$A$4919,0))-1,"")</f>
        <v/>
      </c>
      <c r="O358" s="6">
        <f>IFERROR($I358*3,"")</f>
        <v/>
      </c>
      <c r="P358" s="6">
        <f>IFERROR($I358*3.5,"")</f>
        <v/>
      </c>
      <c r="Q358" s="6">
        <f>IFERROR($I358*4,"")</f>
        <v/>
      </c>
      <c r="R358" s="6" t="n">
        <v>999</v>
      </c>
      <c r="S358" s="4" t="n">
        <v>4</v>
      </c>
      <c r="T358" s="1" t="inlineStr">
        <is>
          <t>active</t>
        </is>
      </c>
      <c r="U358" s="8" t="n"/>
      <c r="V358" s="1" t="inlineStr">
        <is>
          <t>SIN PRECIO</t>
        </is>
      </c>
    </row>
    <row r="359">
      <c r="A359" s="1" t="inlineStr">
        <is>
          <t>2653019542284</t>
        </is>
      </c>
      <c r="B359" s="1" t="inlineStr">
        <is>
          <t>ANILLO SIXTEEN STONE SILVER</t>
        </is>
      </c>
      <c r="C359" s="1" t="inlineStr">
        <is>
          <t>HIGH QUALITY 7</t>
        </is>
      </c>
      <c r="D359" s="1" t="inlineStr">
        <is>
          <t>HAIFENG</t>
        </is>
      </c>
      <c r="E359" s="4">
        <f>COUNTIF('DETALLE CRONOLÓGICO'!$A$2:$A$4919,$A359)</f>
        <v/>
      </c>
      <c r="F359" s="4">
        <f>SUMIFS('DETALLE CRONOLÓGICO'!$I$2:$I$4919,'DETALLE CRONOLÓGICO'!$A$2:$A$4919,$A359)</f>
        <v/>
      </c>
      <c r="G359" s="1">
        <f>INDEX('DETALLE CRONOLÓGICO'!$D$2:$D$4919,MATCH($A359,'DETALLE CRONOLÓGICO'!$A$2:$A$4919,0))</f>
        <v/>
      </c>
      <c r="H359" s="1">
        <f>INDEX('DETALLE CRONOLÓGICO'!$D$2:$D$4919,MATCH($A359,'DETALLE CRONOLÓGICO'!$A$2:$A$4919,0)+$E359-1)</f>
        <v/>
      </c>
      <c r="I359" s="5">
        <f>IFERROR(SUMIFS('DETALLE CRONOLÓGICO'!$L$2:$L$4919,'DETALLE CRONOLÓGICO'!$A$2:$A$4919,$A359)/$F359,"")</f>
        <v/>
      </c>
      <c r="J359" s="6">
        <f>IFERROR(SUMIFS('DETALLE CRONOLÓGICO'!$K$2:$K$4919,'DETALLE CRONOLÓGICO'!$A$2:$A$4919,$A359)/$E359,"")</f>
        <v/>
      </c>
      <c r="K359" s="6">
        <f>_xlfn.MINIFS('DETALLE CRONOLÓGICO'!$K$2:$K$4919,'DETALLE CRONOLÓGICO'!$A$2:$A$4919,$A359)</f>
        <v/>
      </c>
      <c r="L359" s="6">
        <f>_xlfn.MAXIFS('DETALLE CRONOLÓGICO'!$K$2:$K$4919,'DETALLE CRONOLÓGICO'!$A$2:$A$4919,$A359)</f>
        <v/>
      </c>
      <c r="M359" s="6">
        <f>INDEX('DETALLE CRONOLÓGICO'!$K$2:$K$4919,MATCH($A359,'DETALLE CRONOLÓGICO'!$A$2:$A$4919,0)+$E359-1)</f>
        <v/>
      </c>
      <c r="N359" s="7">
        <f>IFERROR($M359/INDEX('DETALLE CRONOLÓGICO'!$K$2:$K$4919,MATCH($A359,'DETALLE CRONOLÓGICO'!$A$2:$A$4919,0))-1,"")</f>
        <v/>
      </c>
      <c r="O359" s="6">
        <f>IFERROR($I359*3,"")</f>
        <v/>
      </c>
      <c r="P359" s="6">
        <f>IFERROR($I359*3.5,"")</f>
        <v/>
      </c>
      <c r="Q359" s="6">
        <f>IFERROR($I359*4,"")</f>
        <v/>
      </c>
      <c r="R359" s="6" t="n">
        <v>999</v>
      </c>
      <c r="S359" s="4" t="n">
        <v>6</v>
      </c>
      <c r="T359" s="1" t="inlineStr">
        <is>
          <t>active</t>
        </is>
      </c>
      <c r="U359" s="8" t="n"/>
      <c r="V359" s="1" t="inlineStr">
        <is>
          <t>SIN PRECIO</t>
        </is>
      </c>
    </row>
    <row r="360">
      <c r="A360" s="1" t="inlineStr">
        <is>
          <t>2653020127500</t>
        </is>
      </c>
      <c r="B360" s="1" t="inlineStr">
        <is>
          <t>ANILLO TREBOL GOLD BLACK</t>
        </is>
      </c>
      <c r="C360" s="1" t="n">
        <v>8</v>
      </c>
      <c r="D360" s="1" t="inlineStr">
        <is>
          <t>NANCY</t>
        </is>
      </c>
      <c r="E360" s="4">
        <f>COUNTIF('DETALLE CRONOLÓGICO'!$A$2:$A$4919,$A360)</f>
        <v/>
      </c>
      <c r="F360" s="4">
        <f>SUMIFS('DETALLE CRONOLÓGICO'!$I$2:$I$4919,'DETALLE CRONOLÓGICO'!$A$2:$A$4919,$A360)</f>
        <v/>
      </c>
      <c r="G360" s="1">
        <f>INDEX('DETALLE CRONOLÓGICO'!$D$2:$D$4919,MATCH($A360,'DETALLE CRONOLÓGICO'!$A$2:$A$4919,0))</f>
        <v/>
      </c>
      <c r="H360" s="1">
        <f>INDEX('DETALLE CRONOLÓGICO'!$D$2:$D$4919,MATCH($A360,'DETALLE CRONOLÓGICO'!$A$2:$A$4919,0)+$E360-1)</f>
        <v/>
      </c>
      <c r="I360" s="5">
        <f>IFERROR(SUMIFS('DETALLE CRONOLÓGICO'!$L$2:$L$4919,'DETALLE CRONOLÓGICO'!$A$2:$A$4919,$A360)/$F360,"")</f>
        <v/>
      </c>
      <c r="J360" s="6">
        <f>IFERROR(SUMIFS('DETALLE CRONOLÓGICO'!$K$2:$K$4919,'DETALLE CRONOLÓGICO'!$A$2:$A$4919,$A360)/$E360,"")</f>
        <v/>
      </c>
      <c r="K360" s="6">
        <f>_xlfn.MINIFS('DETALLE CRONOLÓGICO'!$K$2:$K$4919,'DETALLE CRONOLÓGICO'!$A$2:$A$4919,$A360)</f>
        <v/>
      </c>
      <c r="L360" s="6">
        <f>_xlfn.MAXIFS('DETALLE CRONOLÓGICO'!$K$2:$K$4919,'DETALLE CRONOLÓGICO'!$A$2:$A$4919,$A360)</f>
        <v/>
      </c>
      <c r="M360" s="6">
        <f>INDEX('DETALLE CRONOLÓGICO'!$K$2:$K$4919,MATCH($A360,'DETALLE CRONOLÓGICO'!$A$2:$A$4919,0)+$E360-1)</f>
        <v/>
      </c>
      <c r="N360" s="7">
        <f>IFERROR($M360/INDEX('DETALLE CRONOLÓGICO'!$K$2:$K$4919,MATCH($A360,'DETALLE CRONOLÓGICO'!$A$2:$A$4919,0))-1,"")</f>
        <v/>
      </c>
      <c r="O360" s="6">
        <f>IFERROR($I360*3,"")</f>
        <v/>
      </c>
      <c r="P360" s="6">
        <f>IFERROR($I360*3.5,"")</f>
        <v/>
      </c>
      <c r="Q360" s="6">
        <f>IFERROR($I360*4,"")</f>
        <v/>
      </c>
      <c r="R360" s="6" t="n">
        <v>389</v>
      </c>
      <c r="S360" s="4" t="n">
        <v>3</v>
      </c>
      <c r="T360" s="1" t="inlineStr">
        <is>
          <t>active</t>
        </is>
      </c>
      <c r="U360" s="8" t="n"/>
      <c r="V360" s="1" t="inlineStr">
        <is>
          <t>SIN PRECIO</t>
        </is>
      </c>
    </row>
    <row r="361">
      <c r="A361" s="1" t="inlineStr">
        <is>
          <t>2653021417996</t>
        </is>
      </c>
      <c r="B361" s="1" t="inlineStr">
        <is>
          <t>ANILLO LOVE GOLD ANCHO (WIDE)</t>
        </is>
      </c>
      <c r="C361" s="1" t="inlineStr">
        <is>
          <t>5</t>
        </is>
      </c>
      <c r="D361" s="1" t="inlineStr">
        <is>
          <t>HAIFENG</t>
        </is>
      </c>
      <c r="E361" s="4">
        <f>COUNTIF('DETALLE CRONOLÓGICO'!$A$2:$A$4919,$A361)</f>
        <v/>
      </c>
      <c r="F361" s="4">
        <f>SUMIFS('DETALLE CRONOLÓGICO'!$I$2:$I$4919,'DETALLE CRONOLÓGICO'!$A$2:$A$4919,$A361)</f>
        <v/>
      </c>
      <c r="G361" s="1">
        <f>INDEX('DETALLE CRONOLÓGICO'!$D$2:$D$4919,MATCH($A361,'DETALLE CRONOLÓGICO'!$A$2:$A$4919,0))</f>
        <v/>
      </c>
      <c r="H361" s="1">
        <f>INDEX('DETALLE CRONOLÓGICO'!$D$2:$D$4919,MATCH($A361,'DETALLE CRONOLÓGICO'!$A$2:$A$4919,0)+$E361-1)</f>
        <v/>
      </c>
      <c r="I361" s="5">
        <f>IFERROR(SUMIFS('DETALLE CRONOLÓGICO'!$L$2:$L$4919,'DETALLE CRONOLÓGICO'!$A$2:$A$4919,$A361)/$F361,"")</f>
        <v/>
      </c>
      <c r="J361" s="6">
        <f>IFERROR(SUMIFS('DETALLE CRONOLÓGICO'!$K$2:$K$4919,'DETALLE CRONOLÓGICO'!$A$2:$A$4919,$A361)/$E361,"")</f>
        <v/>
      </c>
      <c r="K361" s="6">
        <f>_xlfn.MINIFS('DETALLE CRONOLÓGICO'!$K$2:$K$4919,'DETALLE CRONOLÓGICO'!$A$2:$A$4919,$A361)</f>
        <v/>
      </c>
      <c r="L361" s="6">
        <f>_xlfn.MAXIFS('DETALLE CRONOLÓGICO'!$K$2:$K$4919,'DETALLE CRONOLÓGICO'!$A$2:$A$4919,$A361)</f>
        <v/>
      </c>
      <c r="M361" s="6">
        <f>INDEX('DETALLE CRONOLÓGICO'!$K$2:$K$4919,MATCH($A361,'DETALLE CRONOLÓGICO'!$A$2:$A$4919,0)+$E361-1)</f>
        <v/>
      </c>
      <c r="N361" s="7">
        <f>IFERROR($M361/INDEX('DETALLE CRONOLÓGICO'!$K$2:$K$4919,MATCH($A361,'DETALLE CRONOLÓGICO'!$A$2:$A$4919,0))-1,"")</f>
        <v/>
      </c>
      <c r="O361" s="6">
        <f>IFERROR($I361*3,"")</f>
        <v/>
      </c>
      <c r="P361" s="6">
        <f>IFERROR($I361*3.5,"")</f>
        <v/>
      </c>
      <c r="Q361" s="6">
        <f>IFERROR($I361*4,"")</f>
        <v/>
      </c>
      <c r="R361" s="6" t="n">
        <v>400</v>
      </c>
      <c r="S361" s="4" t="n">
        <v>4</v>
      </c>
      <c r="T361" s="1" t="inlineStr">
        <is>
          <t>active</t>
        </is>
      </c>
      <c r="U361" s="8" t="n"/>
      <c r="V361" s="1" t="inlineStr">
        <is>
          <t>SIN PRECIO</t>
        </is>
      </c>
    </row>
    <row r="362">
      <c r="A362" s="1" t="inlineStr">
        <is>
          <t>2653021450764</t>
        </is>
      </c>
      <c r="B362" s="1" t="inlineStr">
        <is>
          <t>ANILLO LOVE GOLD ANCHO (WIDE)</t>
        </is>
      </c>
      <c r="C362" s="1" t="inlineStr">
        <is>
          <t>6</t>
        </is>
      </c>
      <c r="D362" s="1" t="inlineStr">
        <is>
          <t>HAIFENG</t>
        </is>
      </c>
      <c r="E362" s="4">
        <f>COUNTIF('DETALLE CRONOLÓGICO'!$A$2:$A$4919,$A362)</f>
        <v/>
      </c>
      <c r="F362" s="4">
        <f>SUMIFS('DETALLE CRONOLÓGICO'!$I$2:$I$4919,'DETALLE CRONOLÓGICO'!$A$2:$A$4919,$A362)</f>
        <v/>
      </c>
      <c r="G362" s="1">
        <f>INDEX('DETALLE CRONOLÓGICO'!$D$2:$D$4919,MATCH($A362,'DETALLE CRONOLÓGICO'!$A$2:$A$4919,0))</f>
        <v/>
      </c>
      <c r="H362" s="1">
        <f>INDEX('DETALLE CRONOLÓGICO'!$D$2:$D$4919,MATCH($A362,'DETALLE CRONOLÓGICO'!$A$2:$A$4919,0)+$E362-1)</f>
        <v/>
      </c>
      <c r="I362" s="5">
        <f>IFERROR(SUMIFS('DETALLE CRONOLÓGICO'!$L$2:$L$4919,'DETALLE CRONOLÓGICO'!$A$2:$A$4919,$A362)/$F362,"")</f>
        <v/>
      </c>
      <c r="J362" s="6">
        <f>IFERROR(SUMIFS('DETALLE CRONOLÓGICO'!$K$2:$K$4919,'DETALLE CRONOLÓGICO'!$A$2:$A$4919,$A362)/$E362,"")</f>
        <v/>
      </c>
      <c r="K362" s="6">
        <f>_xlfn.MINIFS('DETALLE CRONOLÓGICO'!$K$2:$K$4919,'DETALLE CRONOLÓGICO'!$A$2:$A$4919,$A362)</f>
        <v/>
      </c>
      <c r="L362" s="6">
        <f>_xlfn.MAXIFS('DETALLE CRONOLÓGICO'!$K$2:$K$4919,'DETALLE CRONOLÓGICO'!$A$2:$A$4919,$A362)</f>
        <v/>
      </c>
      <c r="M362" s="6">
        <f>INDEX('DETALLE CRONOLÓGICO'!$K$2:$K$4919,MATCH($A362,'DETALLE CRONOLÓGICO'!$A$2:$A$4919,0)+$E362-1)</f>
        <v/>
      </c>
      <c r="N362" s="7">
        <f>IFERROR($M362/INDEX('DETALLE CRONOLÓGICO'!$K$2:$K$4919,MATCH($A362,'DETALLE CRONOLÓGICO'!$A$2:$A$4919,0))-1,"")</f>
        <v/>
      </c>
      <c r="O362" s="6">
        <f>IFERROR($I362*3,"")</f>
        <v/>
      </c>
      <c r="P362" s="6">
        <f>IFERROR($I362*3.5,"")</f>
        <v/>
      </c>
      <c r="Q362" s="6">
        <f>IFERROR($I362*4,"")</f>
        <v/>
      </c>
      <c r="R362" s="6" t="n">
        <v>400</v>
      </c>
      <c r="S362" s="4" t="n">
        <v>3</v>
      </c>
      <c r="T362" s="1" t="inlineStr">
        <is>
          <t>active</t>
        </is>
      </c>
      <c r="U362" s="8" t="n"/>
      <c r="V362" s="1" t="inlineStr">
        <is>
          <t>SIN PRECIO</t>
        </is>
      </c>
    </row>
    <row r="363">
      <c r="A363" s="1" t="inlineStr">
        <is>
          <t>2653021483532</t>
        </is>
      </c>
      <c r="B363" s="1" t="inlineStr">
        <is>
          <t>ANILLO LOVE GOLD ANCHO (WIDHT WITHOUT ZIRCONIAS)</t>
        </is>
      </c>
      <c r="C363" s="1" t="inlineStr">
        <is>
          <t>7</t>
        </is>
      </c>
      <c r="D363" s="1" t="inlineStr">
        <is>
          <t>HAIFENG</t>
        </is>
      </c>
      <c r="E363" s="4">
        <f>COUNTIF('DETALLE CRONOLÓGICO'!$A$2:$A$4919,$A363)</f>
        <v/>
      </c>
      <c r="F363" s="4">
        <f>SUMIFS('DETALLE CRONOLÓGICO'!$I$2:$I$4919,'DETALLE CRONOLÓGICO'!$A$2:$A$4919,$A363)</f>
        <v/>
      </c>
      <c r="G363" s="1">
        <f>INDEX('DETALLE CRONOLÓGICO'!$D$2:$D$4919,MATCH($A363,'DETALLE CRONOLÓGICO'!$A$2:$A$4919,0))</f>
        <v/>
      </c>
      <c r="H363" s="1">
        <f>INDEX('DETALLE CRONOLÓGICO'!$D$2:$D$4919,MATCH($A363,'DETALLE CRONOLÓGICO'!$A$2:$A$4919,0)+$E363-1)</f>
        <v/>
      </c>
      <c r="I363" s="5">
        <f>IFERROR(SUMIFS('DETALLE CRONOLÓGICO'!$L$2:$L$4919,'DETALLE CRONOLÓGICO'!$A$2:$A$4919,$A363)/$F363,"")</f>
        <v/>
      </c>
      <c r="J363" s="6">
        <f>IFERROR(SUMIFS('DETALLE CRONOLÓGICO'!$K$2:$K$4919,'DETALLE CRONOLÓGICO'!$A$2:$A$4919,$A363)/$E363,"")</f>
        <v/>
      </c>
      <c r="K363" s="6">
        <f>_xlfn.MINIFS('DETALLE CRONOLÓGICO'!$K$2:$K$4919,'DETALLE CRONOLÓGICO'!$A$2:$A$4919,$A363)</f>
        <v/>
      </c>
      <c r="L363" s="6">
        <f>_xlfn.MAXIFS('DETALLE CRONOLÓGICO'!$K$2:$K$4919,'DETALLE CRONOLÓGICO'!$A$2:$A$4919,$A363)</f>
        <v/>
      </c>
      <c r="M363" s="6">
        <f>INDEX('DETALLE CRONOLÓGICO'!$K$2:$K$4919,MATCH($A363,'DETALLE CRONOLÓGICO'!$A$2:$A$4919,0)+$E363-1)</f>
        <v/>
      </c>
      <c r="N363" s="7">
        <f>IFERROR($M363/INDEX('DETALLE CRONOLÓGICO'!$K$2:$K$4919,MATCH($A363,'DETALLE CRONOLÓGICO'!$A$2:$A$4919,0))-1,"")</f>
        <v/>
      </c>
      <c r="O363" s="6">
        <f>IFERROR($I363*3,"")</f>
        <v/>
      </c>
      <c r="P363" s="6">
        <f>IFERROR($I363*3.5,"")</f>
        <v/>
      </c>
      <c r="Q363" s="6">
        <f>IFERROR($I363*4,"")</f>
        <v/>
      </c>
      <c r="R363" s="6" t="n">
        <v>400</v>
      </c>
      <c r="S363" s="4" t="n">
        <v>0</v>
      </c>
      <c r="T363" s="1" t="inlineStr">
        <is>
          <t>active</t>
        </is>
      </c>
      <c r="U363" s="8" t="n"/>
      <c r="V363" s="1" t="inlineStr">
        <is>
          <t>SIN PRECIO</t>
        </is>
      </c>
    </row>
    <row r="364">
      <c r="A364" s="1" t="inlineStr">
        <is>
          <t>2653021516300</t>
        </is>
      </c>
      <c r="B364" s="1" t="inlineStr">
        <is>
          <t>ANILLO LOVE GOLD ANCHO (WIDE)</t>
        </is>
      </c>
      <c r="C364" s="1" t="inlineStr">
        <is>
          <t>8</t>
        </is>
      </c>
      <c r="D364" s="1" t="inlineStr">
        <is>
          <t>HAIFENG</t>
        </is>
      </c>
      <c r="E364" s="4">
        <f>COUNTIF('DETALLE CRONOLÓGICO'!$A$2:$A$4919,$A364)</f>
        <v/>
      </c>
      <c r="F364" s="4">
        <f>SUMIFS('DETALLE CRONOLÓGICO'!$I$2:$I$4919,'DETALLE CRONOLÓGICO'!$A$2:$A$4919,$A364)</f>
        <v/>
      </c>
      <c r="G364" s="1">
        <f>INDEX('DETALLE CRONOLÓGICO'!$D$2:$D$4919,MATCH($A364,'DETALLE CRONOLÓGICO'!$A$2:$A$4919,0))</f>
        <v/>
      </c>
      <c r="H364" s="1">
        <f>INDEX('DETALLE CRONOLÓGICO'!$D$2:$D$4919,MATCH($A364,'DETALLE CRONOLÓGICO'!$A$2:$A$4919,0)+$E364-1)</f>
        <v/>
      </c>
      <c r="I364" s="5">
        <f>IFERROR(SUMIFS('DETALLE CRONOLÓGICO'!$L$2:$L$4919,'DETALLE CRONOLÓGICO'!$A$2:$A$4919,$A364)/$F364,"")</f>
        <v/>
      </c>
      <c r="J364" s="6">
        <f>IFERROR(SUMIFS('DETALLE CRONOLÓGICO'!$K$2:$K$4919,'DETALLE CRONOLÓGICO'!$A$2:$A$4919,$A364)/$E364,"")</f>
        <v/>
      </c>
      <c r="K364" s="6">
        <f>_xlfn.MINIFS('DETALLE CRONOLÓGICO'!$K$2:$K$4919,'DETALLE CRONOLÓGICO'!$A$2:$A$4919,$A364)</f>
        <v/>
      </c>
      <c r="L364" s="6">
        <f>_xlfn.MAXIFS('DETALLE CRONOLÓGICO'!$K$2:$K$4919,'DETALLE CRONOLÓGICO'!$A$2:$A$4919,$A364)</f>
        <v/>
      </c>
      <c r="M364" s="6">
        <f>INDEX('DETALLE CRONOLÓGICO'!$K$2:$K$4919,MATCH($A364,'DETALLE CRONOLÓGICO'!$A$2:$A$4919,0)+$E364-1)</f>
        <v/>
      </c>
      <c r="N364" s="7">
        <f>IFERROR($M364/INDEX('DETALLE CRONOLÓGICO'!$K$2:$K$4919,MATCH($A364,'DETALLE CRONOLÓGICO'!$A$2:$A$4919,0))-1,"")</f>
        <v/>
      </c>
      <c r="O364" s="6">
        <f>IFERROR($I364*3,"")</f>
        <v/>
      </c>
      <c r="P364" s="6">
        <f>IFERROR($I364*3.5,"")</f>
        <v/>
      </c>
      <c r="Q364" s="6">
        <f>IFERROR($I364*4,"")</f>
        <v/>
      </c>
      <c r="R364" s="6" t="n">
        <v>400</v>
      </c>
      <c r="S364" s="4" t="n">
        <v>2</v>
      </c>
      <c r="T364" s="1" t="inlineStr">
        <is>
          <t>active</t>
        </is>
      </c>
      <c r="U364" s="8" t="n"/>
      <c r="V364" s="1" t="inlineStr">
        <is>
          <t>SIN PRECIO</t>
        </is>
      </c>
    </row>
    <row r="365">
      <c r="A365" s="1" t="inlineStr">
        <is>
          <t>2653021549068</t>
        </is>
      </c>
      <c r="B365" s="1" t="inlineStr">
        <is>
          <t>ANILLO LOVE GOLD ANCHO (WIDE)</t>
        </is>
      </c>
      <c r="C365" s="1" t="inlineStr">
        <is>
          <t>9</t>
        </is>
      </c>
      <c r="D365" s="1" t="inlineStr">
        <is>
          <t>HAIFENG</t>
        </is>
      </c>
      <c r="E365" s="4">
        <f>COUNTIF('DETALLE CRONOLÓGICO'!$A$2:$A$4919,$A365)</f>
        <v/>
      </c>
      <c r="F365" s="4">
        <f>SUMIFS('DETALLE CRONOLÓGICO'!$I$2:$I$4919,'DETALLE CRONOLÓGICO'!$A$2:$A$4919,$A365)</f>
        <v/>
      </c>
      <c r="G365" s="1">
        <f>INDEX('DETALLE CRONOLÓGICO'!$D$2:$D$4919,MATCH($A365,'DETALLE CRONOLÓGICO'!$A$2:$A$4919,0))</f>
        <v/>
      </c>
      <c r="H365" s="1">
        <f>INDEX('DETALLE CRONOLÓGICO'!$D$2:$D$4919,MATCH($A365,'DETALLE CRONOLÓGICO'!$A$2:$A$4919,0)+$E365-1)</f>
        <v/>
      </c>
      <c r="I365" s="5">
        <f>IFERROR(SUMIFS('DETALLE CRONOLÓGICO'!$L$2:$L$4919,'DETALLE CRONOLÓGICO'!$A$2:$A$4919,$A365)/$F365,"")</f>
        <v/>
      </c>
      <c r="J365" s="6">
        <f>IFERROR(SUMIFS('DETALLE CRONOLÓGICO'!$K$2:$K$4919,'DETALLE CRONOLÓGICO'!$A$2:$A$4919,$A365)/$E365,"")</f>
        <v/>
      </c>
      <c r="K365" s="6">
        <f>_xlfn.MINIFS('DETALLE CRONOLÓGICO'!$K$2:$K$4919,'DETALLE CRONOLÓGICO'!$A$2:$A$4919,$A365)</f>
        <v/>
      </c>
      <c r="L365" s="6">
        <f>_xlfn.MAXIFS('DETALLE CRONOLÓGICO'!$K$2:$K$4919,'DETALLE CRONOLÓGICO'!$A$2:$A$4919,$A365)</f>
        <v/>
      </c>
      <c r="M365" s="6">
        <f>INDEX('DETALLE CRONOLÓGICO'!$K$2:$K$4919,MATCH($A365,'DETALLE CRONOLÓGICO'!$A$2:$A$4919,0)+$E365-1)</f>
        <v/>
      </c>
      <c r="N365" s="7">
        <f>IFERROR($M365/INDEX('DETALLE CRONOLÓGICO'!$K$2:$K$4919,MATCH($A365,'DETALLE CRONOLÓGICO'!$A$2:$A$4919,0))-1,"")</f>
        <v/>
      </c>
      <c r="O365" s="6">
        <f>IFERROR($I365*3,"")</f>
        <v/>
      </c>
      <c r="P365" s="6">
        <f>IFERROR($I365*3.5,"")</f>
        <v/>
      </c>
      <c r="Q365" s="6">
        <f>IFERROR($I365*4,"")</f>
        <v/>
      </c>
      <c r="R365" s="6" t="n">
        <v>400</v>
      </c>
      <c r="S365" s="4" t="n">
        <v>4</v>
      </c>
      <c r="T365" s="1" t="inlineStr">
        <is>
          <t>active</t>
        </is>
      </c>
      <c r="U365" s="8" t="n"/>
      <c r="V365" s="1" t="inlineStr">
        <is>
          <t>SIN PRECIO</t>
        </is>
      </c>
    </row>
    <row r="366">
      <c r="A366" s="1" t="inlineStr">
        <is>
          <t>2653021581836</t>
        </is>
      </c>
      <c r="B366" s="1" t="inlineStr">
        <is>
          <t>ANILLO LOVE GOLD ANCHO</t>
        </is>
      </c>
      <c r="C366" s="1" t="inlineStr">
        <is>
          <t>10</t>
        </is>
      </c>
      <c r="D366" s="1" t="inlineStr">
        <is>
          <t>HAIFENG</t>
        </is>
      </c>
      <c r="E366" s="4">
        <f>COUNTIF('DETALLE CRONOLÓGICO'!$A$2:$A$4919,$A366)</f>
        <v/>
      </c>
      <c r="F366" s="4">
        <f>SUMIFS('DETALLE CRONOLÓGICO'!$I$2:$I$4919,'DETALLE CRONOLÓGICO'!$A$2:$A$4919,$A366)</f>
        <v/>
      </c>
      <c r="G366" s="1">
        <f>INDEX('DETALLE CRONOLÓGICO'!$D$2:$D$4919,MATCH($A366,'DETALLE CRONOLÓGICO'!$A$2:$A$4919,0))</f>
        <v/>
      </c>
      <c r="H366" s="1">
        <f>INDEX('DETALLE CRONOLÓGICO'!$D$2:$D$4919,MATCH($A366,'DETALLE CRONOLÓGICO'!$A$2:$A$4919,0)+$E366-1)</f>
        <v/>
      </c>
      <c r="I366" s="5">
        <f>IFERROR(SUMIFS('DETALLE CRONOLÓGICO'!$L$2:$L$4919,'DETALLE CRONOLÓGICO'!$A$2:$A$4919,$A366)/$F366,"")</f>
        <v/>
      </c>
      <c r="J366" s="6">
        <f>IFERROR(SUMIFS('DETALLE CRONOLÓGICO'!$K$2:$K$4919,'DETALLE CRONOLÓGICO'!$A$2:$A$4919,$A366)/$E366,"")</f>
        <v/>
      </c>
      <c r="K366" s="6">
        <f>_xlfn.MINIFS('DETALLE CRONOLÓGICO'!$K$2:$K$4919,'DETALLE CRONOLÓGICO'!$A$2:$A$4919,$A366)</f>
        <v/>
      </c>
      <c r="L366" s="6">
        <f>_xlfn.MAXIFS('DETALLE CRONOLÓGICO'!$K$2:$K$4919,'DETALLE CRONOLÓGICO'!$A$2:$A$4919,$A366)</f>
        <v/>
      </c>
      <c r="M366" s="6">
        <f>INDEX('DETALLE CRONOLÓGICO'!$K$2:$K$4919,MATCH($A366,'DETALLE CRONOLÓGICO'!$A$2:$A$4919,0)+$E366-1)</f>
        <v/>
      </c>
      <c r="N366" s="7">
        <f>IFERROR($M366/INDEX('DETALLE CRONOLÓGICO'!$K$2:$K$4919,MATCH($A366,'DETALLE CRONOLÓGICO'!$A$2:$A$4919,0))-1,"")</f>
        <v/>
      </c>
      <c r="O366" s="6">
        <f>IFERROR($I366*3,"")</f>
        <v/>
      </c>
      <c r="P366" s="6">
        <f>IFERROR($I366*3.5,"")</f>
        <v/>
      </c>
      <c r="Q366" s="6">
        <f>IFERROR($I366*4,"")</f>
        <v/>
      </c>
      <c r="R366" s="6" t="n">
        <v>400</v>
      </c>
      <c r="S366" s="4" t="n">
        <v>2</v>
      </c>
      <c r="T366" s="1" t="inlineStr">
        <is>
          <t>active</t>
        </is>
      </c>
      <c r="U366" s="8" t="n"/>
      <c r="V366" s="1" t="inlineStr">
        <is>
          <t>SIN PRECIO</t>
        </is>
      </c>
    </row>
    <row r="367">
      <c r="A367" s="1" t="inlineStr">
        <is>
          <t>2653021614604</t>
        </is>
      </c>
      <c r="B367" s="1" t="inlineStr">
        <is>
          <t>ANILLO LOVE GOLD ANCHO</t>
        </is>
      </c>
      <c r="C367" s="1" t="inlineStr">
        <is>
          <t>11</t>
        </is>
      </c>
      <c r="D367" s="1" t="inlineStr">
        <is>
          <t>HAIFENG</t>
        </is>
      </c>
      <c r="E367" s="4">
        <f>COUNTIF('DETALLE CRONOLÓGICO'!$A$2:$A$4919,$A367)</f>
        <v/>
      </c>
      <c r="F367" s="4">
        <f>SUMIFS('DETALLE CRONOLÓGICO'!$I$2:$I$4919,'DETALLE CRONOLÓGICO'!$A$2:$A$4919,$A367)</f>
        <v/>
      </c>
      <c r="G367" s="1">
        <f>INDEX('DETALLE CRONOLÓGICO'!$D$2:$D$4919,MATCH($A367,'DETALLE CRONOLÓGICO'!$A$2:$A$4919,0))</f>
        <v/>
      </c>
      <c r="H367" s="1">
        <f>INDEX('DETALLE CRONOLÓGICO'!$D$2:$D$4919,MATCH($A367,'DETALLE CRONOLÓGICO'!$A$2:$A$4919,0)+$E367-1)</f>
        <v/>
      </c>
      <c r="I367" s="5">
        <f>IFERROR(SUMIFS('DETALLE CRONOLÓGICO'!$L$2:$L$4919,'DETALLE CRONOLÓGICO'!$A$2:$A$4919,$A367)/$F367,"")</f>
        <v/>
      </c>
      <c r="J367" s="6">
        <f>IFERROR(SUMIFS('DETALLE CRONOLÓGICO'!$K$2:$K$4919,'DETALLE CRONOLÓGICO'!$A$2:$A$4919,$A367)/$E367,"")</f>
        <v/>
      </c>
      <c r="K367" s="6">
        <f>_xlfn.MINIFS('DETALLE CRONOLÓGICO'!$K$2:$K$4919,'DETALLE CRONOLÓGICO'!$A$2:$A$4919,$A367)</f>
        <v/>
      </c>
      <c r="L367" s="6">
        <f>_xlfn.MAXIFS('DETALLE CRONOLÓGICO'!$K$2:$K$4919,'DETALLE CRONOLÓGICO'!$A$2:$A$4919,$A367)</f>
        <v/>
      </c>
      <c r="M367" s="6">
        <f>INDEX('DETALLE CRONOLÓGICO'!$K$2:$K$4919,MATCH($A367,'DETALLE CRONOLÓGICO'!$A$2:$A$4919,0)+$E367-1)</f>
        <v/>
      </c>
      <c r="N367" s="7">
        <f>IFERROR($M367/INDEX('DETALLE CRONOLÓGICO'!$K$2:$K$4919,MATCH($A367,'DETALLE CRONOLÓGICO'!$A$2:$A$4919,0))-1,"")</f>
        <v/>
      </c>
      <c r="O367" s="6">
        <f>IFERROR($I367*3,"")</f>
        <v/>
      </c>
      <c r="P367" s="6">
        <f>IFERROR($I367*3.5,"")</f>
        <v/>
      </c>
      <c r="Q367" s="6">
        <f>IFERROR($I367*4,"")</f>
        <v/>
      </c>
      <c r="R367" s="6" t="n">
        <v>400</v>
      </c>
      <c r="S367" s="4" t="n">
        <v>4</v>
      </c>
      <c r="T367" s="1" t="inlineStr">
        <is>
          <t>active</t>
        </is>
      </c>
      <c r="U367" s="8" t="n"/>
      <c r="V367" s="1" t="inlineStr">
        <is>
          <t>SIN PRECIO</t>
        </is>
      </c>
    </row>
    <row r="368">
      <c r="A368" s="1" t="inlineStr">
        <is>
          <t>2653025069708</t>
        </is>
      </c>
      <c r="B368" s="1" t="inlineStr">
        <is>
          <t>ANILLO TREBOL GOLD WHITE</t>
        </is>
      </c>
      <c r="C368" s="1" t="n"/>
      <c r="D368" s="1" t="inlineStr">
        <is>
          <t>NANCY</t>
        </is>
      </c>
      <c r="E368" s="4">
        <f>COUNTIF('DETALLE CRONOLÓGICO'!$A$2:$A$4919,$A368)</f>
        <v/>
      </c>
      <c r="F368" s="4">
        <f>SUMIFS('DETALLE CRONOLÓGICO'!$I$2:$I$4919,'DETALLE CRONOLÓGICO'!$A$2:$A$4919,$A368)</f>
        <v/>
      </c>
      <c r="G368" s="1">
        <f>INDEX('DETALLE CRONOLÓGICO'!$D$2:$D$4919,MATCH($A368,'DETALLE CRONOLÓGICO'!$A$2:$A$4919,0))</f>
        <v/>
      </c>
      <c r="H368" s="1">
        <f>INDEX('DETALLE CRONOLÓGICO'!$D$2:$D$4919,MATCH($A368,'DETALLE CRONOLÓGICO'!$A$2:$A$4919,0)+$E368-1)</f>
        <v/>
      </c>
      <c r="I368" s="5">
        <f>IFERROR(SUMIFS('DETALLE CRONOLÓGICO'!$L$2:$L$4919,'DETALLE CRONOLÓGICO'!$A$2:$A$4919,$A368)/$F368,"")</f>
        <v/>
      </c>
      <c r="J368" s="6">
        <f>IFERROR(SUMIFS('DETALLE CRONOLÓGICO'!$K$2:$K$4919,'DETALLE CRONOLÓGICO'!$A$2:$A$4919,$A368)/$E368,"")</f>
        <v/>
      </c>
      <c r="K368" s="6">
        <f>_xlfn.MINIFS('DETALLE CRONOLÓGICO'!$K$2:$K$4919,'DETALLE CRONOLÓGICO'!$A$2:$A$4919,$A368)</f>
        <v/>
      </c>
      <c r="L368" s="6">
        <f>_xlfn.MAXIFS('DETALLE CRONOLÓGICO'!$K$2:$K$4919,'DETALLE CRONOLÓGICO'!$A$2:$A$4919,$A368)</f>
        <v/>
      </c>
      <c r="M368" s="6">
        <f>INDEX('DETALLE CRONOLÓGICO'!$K$2:$K$4919,MATCH($A368,'DETALLE CRONOLÓGICO'!$A$2:$A$4919,0)+$E368-1)</f>
        <v/>
      </c>
      <c r="N368" s="7">
        <f>IFERROR($M368/INDEX('DETALLE CRONOLÓGICO'!$K$2:$K$4919,MATCH($A368,'DETALLE CRONOLÓGICO'!$A$2:$A$4919,0))-1,"")</f>
        <v/>
      </c>
      <c r="O368" s="6">
        <f>IFERROR($I368*3,"")</f>
        <v/>
      </c>
      <c r="P368" s="6">
        <f>IFERROR($I368*3.5,"")</f>
        <v/>
      </c>
      <c r="Q368" s="6">
        <f>IFERROR($I368*4,"")</f>
        <v/>
      </c>
      <c r="R368" s="6" t="n">
        <v>599</v>
      </c>
      <c r="S368" s="4" t="n">
        <v>3</v>
      </c>
      <c r="T368" s="1" t="inlineStr">
        <is>
          <t>active</t>
        </is>
      </c>
      <c r="U368" s="8" t="n"/>
      <c r="V368" s="1" t="inlineStr">
        <is>
          <t>SIN PRECIO</t>
        </is>
      </c>
    </row>
    <row r="369">
      <c r="A369" s="1" t="inlineStr">
        <is>
          <t>2653026071052</t>
        </is>
      </c>
      <c r="B369" s="1" t="inlineStr">
        <is>
          <t>ANILLO LOVE SILVER ANCHO</t>
        </is>
      </c>
      <c r="C369" s="1" t="inlineStr">
        <is>
          <t>5</t>
        </is>
      </c>
      <c r="D369" s="1" t="inlineStr">
        <is>
          <t>HAIFENG</t>
        </is>
      </c>
      <c r="E369" s="4">
        <f>COUNTIF('DETALLE CRONOLÓGICO'!$A$2:$A$4919,$A369)</f>
        <v/>
      </c>
      <c r="F369" s="4">
        <f>SUMIFS('DETALLE CRONOLÓGICO'!$I$2:$I$4919,'DETALLE CRONOLÓGICO'!$A$2:$A$4919,$A369)</f>
        <v/>
      </c>
      <c r="G369" s="1">
        <f>INDEX('DETALLE CRONOLÓGICO'!$D$2:$D$4919,MATCH($A369,'DETALLE CRONOLÓGICO'!$A$2:$A$4919,0))</f>
        <v/>
      </c>
      <c r="H369" s="1">
        <f>INDEX('DETALLE CRONOLÓGICO'!$D$2:$D$4919,MATCH($A369,'DETALLE CRONOLÓGICO'!$A$2:$A$4919,0)+$E369-1)</f>
        <v/>
      </c>
      <c r="I369" s="5">
        <f>IFERROR(SUMIFS('DETALLE CRONOLÓGICO'!$L$2:$L$4919,'DETALLE CRONOLÓGICO'!$A$2:$A$4919,$A369)/$F369,"")</f>
        <v/>
      </c>
      <c r="J369" s="6">
        <f>IFERROR(SUMIFS('DETALLE CRONOLÓGICO'!$K$2:$K$4919,'DETALLE CRONOLÓGICO'!$A$2:$A$4919,$A369)/$E369,"")</f>
        <v/>
      </c>
      <c r="K369" s="6">
        <f>_xlfn.MINIFS('DETALLE CRONOLÓGICO'!$K$2:$K$4919,'DETALLE CRONOLÓGICO'!$A$2:$A$4919,$A369)</f>
        <v/>
      </c>
      <c r="L369" s="6">
        <f>_xlfn.MAXIFS('DETALLE CRONOLÓGICO'!$K$2:$K$4919,'DETALLE CRONOLÓGICO'!$A$2:$A$4919,$A369)</f>
        <v/>
      </c>
      <c r="M369" s="6">
        <f>INDEX('DETALLE CRONOLÓGICO'!$K$2:$K$4919,MATCH($A369,'DETALLE CRONOLÓGICO'!$A$2:$A$4919,0)+$E369-1)</f>
        <v/>
      </c>
      <c r="N369" s="7">
        <f>IFERROR($M369/INDEX('DETALLE CRONOLÓGICO'!$K$2:$K$4919,MATCH($A369,'DETALLE CRONOLÓGICO'!$A$2:$A$4919,0))-1,"")</f>
        <v/>
      </c>
      <c r="O369" s="6">
        <f>IFERROR($I369*3,"")</f>
        <v/>
      </c>
      <c r="P369" s="6">
        <f>IFERROR($I369*3.5,"")</f>
        <v/>
      </c>
      <c r="Q369" s="6">
        <f>IFERROR($I369*4,"")</f>
        <v/>
      </c>
      <c r="R369" s="6" t="n">
        <v>400</v>
      </c>
      <c r="S369" s="4" t="n">
        <v>5</v>
      </c>
      <c r="T369" s="1" t="inlineStr">
        <is>
          <t>active</t>
        </is>
      </c>
      <c r="U369" s="8" t="n"/>
      <c r="V369" s="1" t="inlineStr">
        <is>
          <t>SIN PRECIO</t>
        </is>
      </c>
    </row>
    <row r="370">
      <c r="A370" s="1" t="inlineStr">
        <is>
          <t>2653026103820</t>
        </is>
      </c>
      <c r="B370" s="1" t="inlineStr">
        <is>
          <t>ANILLO LOVE SILVER ANCHO</t>
        </is>
      </c>
      <c r="C370" s="1" t="inlineStr">
        <is>
          <t>6</t>
        </is>
      </c>
      <c r="D370" s="1" t="inlineStr">
        <is>
          <t>HAIFENG</t>
        </is>
      </c>
      <c r="E370" s="4">
        <f>COUNTIF('DETALLE CRONOLÓGICO'!$A$2:$A$4919,$A370)</f>
        <v/>
      </c>
      <c r="F370" s="4">
        <f>SUMIFS('DETALLE CRONOLÓGICO'!$I$2:$I$4919,'DETALLE CRONOLÓGICO'!$A$2:$A$4919,$A370)</f>
        <v/>
      </c>
      <c r="G370" s="1">
        <f>INDEX('DETALLE CRONOLÓGICO'!$D$2:$D$4919,MATCH($A370,'DETALLE CRONOLÓGICO'!$A$2:$A$4919,0))</f>
        <v/>
      </c>
      <c r="H370" s="1">
        <f>INDEX('DETALLE CRONOLÓGICO'!$D$2:$D$4919,MATCH($A370,'DETALLE CRONOLÓGICO'!$A$2:$A$4919,0)+$E370-1)</f>
        <v/>
      </c>
      <c r="I370" s="5">
        <f>IFERROR(SUMIFS('DETALLE CRONOLÓGICO'!$L$2:$L$4919,'DETALLE CRONOLÓGICO'!$A$2:$A$4919,$A370)/$F370,"")</f>
        <v/>
      </c>
      <c r="J370" s="6">
        <f>IFERROR(SUMIFS('DETALLE CRONOLÓGICO'!$K$2:$K$4919,'DETALLE CRONOLÓGICO'!$A$2:$A$4919,$A370)/$E370,"")</f>
        <v/>
      </c>
      <c r="K370" s="6">
        <f>_xlfn.MINIFS('DETALLE CRONOLÓGICO'!$K$2:$K$4919,'DETALLE CRONOLÓGICO'!$A$2:$A$4919,$A370)</f>
        <v/>
      </c>
      <c r="L370" s="6">
        <f>_xlfn.MAXIFS('DETALLE CRONOLÓGICO'!$K$2:$K$4919,'DETALLE CRONOLÓGICO'!$A$2:$A$4919,$A370)</f>
        <v/>
      </c>
      <c r="M370" s="6">
        <f>INDEX('DETALLE CRONOLÓGICO'!$K$2:$K$4919,MATCH($A370,'DETALLE CRONOLÓGICO'!$A$2:$A$4919,0)+$E370-1)</f>
        <v/>
      </c>
      <c r="N370" s="7">
        <f>IFERROR($M370/INDEX('DETALLE CRONOLÓGICO'!$K$2:$K$4919,MATCH($A370,'DETALLE CRONOLÓGICO'!$A$2:$A$4919,0))-1,"")</f>
        <v/>
      </c>
      <c r="O370" s="6">
        <f>IFERROR($I370*3,"")</f>
        <v/>
      </c>
      <c r="P370" s="6">
        <f>IFERROR($I370*3.5,"")</f>
        <v/>
      </c>
      <c r="Q370" s="6">
        <f>IFERROR($I370*4,"")</f>
        <v/>
      </c>
      <c r="R370" s="6" t="n">
        <v>400</v>
      </c>
      <c r="S370" s="4" t="n">
        <v>4</v>
      </c>
      <c r="T370" s="1" t="inlineStr">
        <is>
          <t>active</t>
        </is>
      </c>
      <c r="U370" s="8" t="n"/>
      <c r="V370" s="1" t="inlineStr">
        <is>
          <t>SIN PRECIO</t>
        </is>
      </c>
    </row>
    <row r="371">
      <c r="A371" s="1" t="inlineStr">
        <is>
          <t>2653026136588</t>
        </is>
      </c>
      <c r="B371" s="1" t="inlineStr">
        <is>
          <t>ANILLO LOVE SILVER ANCHO (WIDHT WIHTOUT ZIRCONIAS)</t>
        </is>
      </c>
      <c r="C371" s="1" t="inlineStr">
        <is>
          <t>7</t>
        </is>
      </c>
      <c r="D371" s="1" t="inlineStr">
        <is>
          <t>HAIFENG</t>
        </is>
      </c>
      <c r="E371" s="4">
        <f>COUNTIF('DETALLE CRONOLÓGICO'!$A$2:$A$4919,$A371)</f>
        <v/>
      </c>
      <c r="F371" s="4">
        <f>SUMIFS('DETALLE CRONOLÓGICO'!$I$2:$I$4919,'DETALLE CRONOLÓGICO'!$A$2:$A$4919,$A371)</f>
        <v/>
      </c>
      <c r="G371" s="1">
        <f>INDEX('DETALLE CRONOLÓGICO'!$D$2:$D$4919,MATCH($A371,'DETALLE CRONOLÓGICO'!$A$2:$A$4919,0))</f>
        <v/>
      </c>
      <c r="H371" s="1">
        <f>INDEX('DETALLE CRONOLÓGICO'!$D$2:$D$4919,MATCH($A371,'DETALLE CRONOLÓGICO'!$A$2:$A$4919,0)+$E371-1)</f>
        <v/>
      </c>
      <c r="I371" s="5">
        <f>IFERROR(SUMIFS('DETALLE CRONOLÓGICO'!$L$2:$L$4919,'DETALLE CRONOLÓGICO'!$A$2:$A$4919,$A371)/$F371,"")</f>
        <v/>
      </c>
      <c r="J371" s="6">
        <f>IFERROR(SUMIFS('DETALLE CRONOLÓGICO'!$K$2:$K$4919,'DETALLE CRONOLÓGICO'!$A$2:$A$4919,$A371)/$E371,"")</f>
        <v/>
      </c>
      <c r="K371" s="6">
        <f>_xlfn.MINIFS('DETALLE CRONOLÓGICO'!$K$2:$K$4919,'DETALLE CRONOLÓGICO'!$A$2:$A$4919,$A371)</f>
        <v/>
      </c>
      <c r="L371" s="6">
        <f>_xlfn.MAXIFS('DETALLE CRONOLÓGICO'!$K$2:$K$4919,'DETALLE CRONOLÓGICO'!$A$2:$A$4919,$A371)</f>
        <v/>
      </c>
      <c r="M371" s="6">
        <f>INDEX('DETALLE CRONOLÓGICO'!$K$2:$K$4919,MATCH($A371,'DETALLE CRONOLÓGICO'!$A$2:$A$4919,0)+$E371-1)</f>
        <v/>
      </c>
      <c r="N371" s="7">
        <f>IFERROR($M371/INDEX('DETALLE CRONOLÓGICO'!$K$2:$K$4919,MATCH($A371,'DETALLE CRONOLÓGICO'!$A$2:$A$4919,0))-1,"")</f>
        <v/>
      </c>
      <c r="O371" s="6">
        <f>IFERROR($I371*3,"")</f>
        <v/>
      </c>
      <c r="P371" s="6">
        <f>IFERROR($I371*3.5,"")</f>
        <v/>
      </c>
      <c r="Q371" s="6">
        <f>IFERROR($I371*4,"")</f>
        <v/>
      </c>
      <c r="R371" s="6" t="n">
        <v>400</v>
      </c>
      <c r="S371" s="4" t="n">
        <v>2</v>
      </c>
      <c r="T371" s="1" t="inlineStr">
        <is>
          <t>active</t>
        </is>
      </c>
      <c r="U371" s="8" t="n"/>
      <c r="V371" s="1" t="inlineStr">
        <is>
          <t>SIN PRECIO</t>
        </is>
      </c>
    </row>
    <row r="372">
      <c r="A372" s="1" t="inlineStr">
        <is>
          <t>2653027325964</t>
        </is>
      </c>
      <c r="B372" s="1" t="inlineStr">
        <is>
          <t>ANILLO KNOT GOLD</t>
        </is>
      </c>
      <c r="C372" s="1" t="n">
        <v>8</v>
      </c>
      <c r="D372" s="1" t="inlineStr">
        <is>
          <t>NANCY</t>
        </is>
      </c>
      <c r="E372" s="4">
        <f>COUNTIF('DETALLE CRONOLÓGICO'!$A$2:$A$4919,$A372)</f>
        <v/>
      </c>
      <c r="F372" s="4">
        <f>SUMIFS('DETALLE CRONOLÓGICO'!$I$2:$I$4919,'DETALLE CRONOLÓGICO'!$A$2:$A$4919,$A372)</f>
        <v/>
      </c>
      <c r="G372" s="1">
        <f>INDEX('DETALLE CRONOLÓGICO'!$D$2:$D$4919,MATCH($A372,'DETALLE CRONOLÓGICO'!$A$2:$A$4919,0))</f>
        <v/>
      </c>
      <c r="H372" s="1">
        <f>INDEX('DETALLE CRONOLÓGICO'!$D$2:$D$4919,MATCH($A372,'DETALLE CRONOLÓGICO'!$A$2:$A$4919,0)+$E372-1)</f>
        <v/>
      </c>
      <c r="I372" s="5">
        <f>IFERROR(SUMIFS('DETALLE CRONOLÓGICO'!$L$2:$L$4919,'DETALLE CRONOLÓGICO'!$A$2:$A$4919,$A372)/$F372,"")</f>
        <v/>
      </c>
      <c r="J372" s="6">
        <f>IFERROR(SUMIFS('DETALLE CRONOLÓGICO'!$K$2:$K$4919,'DETALLE CRONOLÓGICO'!$A$2:$A$4919,$A372)/$E372,"")</f>
        <v/>
      </c>
      <c r="K372" s="6">
        <f>_xlfn.MINIFS('DETALLE CRONOLÓGICO'!$K$2:$K$4919,'DETALLE CRONOLÓGICO'!$A$2:$A$4919,$A372)</f>
        <v/>
      </c>
      <c r="L372" s="6">
        <f>_xlfn.MAXIFS('DETALLE CRONOLÓGICO'!$K$2:$K$4919,'DETALLE CRONOLÓGICO'!$A$2:$A$4919,$A372)</f>
        <v/>
      </c>
      <c r="M372" s="6">
        <f>INDEX('DETALLE CRONOLÓGICO'!$K$2:$K$4919,MATCH($A372,'DETALLE CRONOLÓGICO'!$A$2:$A$4919,0)+$E372-1)</f>
        <v/>
      </c>
      <c r="N372" s="7">
        <f>IFERROR($M372/INDEX('DETALLE CRONOLÓGICO'!$K$2:$K$4919,MATCH($A372,'DETALLE CRONOLÓGICO'!$A$2:$A$4919,0))-1,"")</f>
        <v/>
      </c>
      <c r="O372" s="6">
        <f>IFERROR($I372*3,"")</f>
        <v/>
      </c>
      <c r="P372" s="6">
        <f>IFERROR($I372*3.5,"")</f>
        <v/>
      </c>
      <c r="Q372" s="6">
        <f>IFERROR($I372*4,"")</f>
        <v/>
      </c>
      <c r="R372" s="6" t="n">
        <v>540</v>
      </c>
      <c r="S372" s="4" t="n">
        <v>1</v>
      </c>
      <c r="T372" s="1" t="inlineStr">
        <is>
          <t>active</t>
        </is>
      </c>
      <c r="U372" s="8" t="n"/>
      <c r="V372" s="1" t="inlineStr">
        <is>
          <t>SIN PRECIO</t>
        </is>
      </c>
    </row>
    <row r="373">
      <c r="A373" s="1" t="inlineStr">
        <is>
          <t>2653028529932</t>
        </is>
      </c>
      <c r="B373" s="1" t="inlineStr">
        <is>
          <t>ANILLO SIXTEEN STONE SILVER</t>
        </is>
      </c>
      <c r="C373" s="1" t="inlineStr">
        <is>
          <t>HIGH QUALITY 8</t>
        </is>
      </c>
      <c r="D373" s="1" t="inlineStr">
        <is>
          <t>HAIFENG</t>
        </is>
      </c>
      <c r="E373" s="4">
        <f>COUNTIF('DETALLE CRONOLÓGICO'!$A$2:$A$4919,$A373)</f>
        <v/>
      </c>
      <c r="F373" s="4">
        <f>SUMIFS('DETALLE CRONOLÓGICO'!$I$2:$I$4919,'DETALLE CRONOLÓGICO'!$A$2:$A$4919,$A373)</f>
        <v/>
      </c>
      <c r="G373" s="1">
        <f>INDEX('DETALLE CRONOLÓGICO'!$D$2:$D$4919,MATCH($A373,'DETALLE CRONOLÓGICO'!$A$2:$A$4919,0))</f>
        <v/>
      </c>
      <c r="H373" s="1">
        <f>INDEX('DETALLE CRONOLÓGICO'!$D$2:$D$4919,MATCH($A373,'DETALLE CRONOLÓGICO'!$A$2:$A$4919,0)+$E373-1)</f>
        <v/>
      </c>
      <c r="I373" s="5">
        <f>IFERROR(SUMIFS('DETALLE CRONOLÓGICO'!$L$2:$L$4919,'DETALLE CRONOLÓGICO'!$A$2:$A$4919,$A373)/$F373,"")</f>
        <v/>
      </c>
      <c r="J373" s="6">
        <f>IFERROR(SUMIFS('DETALLE CRONOLÓGICO'!$K$2:$K$4919,'DETALLE CRONOLÓGICO'!$A$2:$A$4919,$A373)/$E373,"")</f>
        <v/>
      </c>
      <c r="K373" s="6">
        <f>_xlfn.MINIFS('DETALLE CRONOLÓGICO'!$K$2:$K$4919,'DETALLE CRONOLÓGICO'!$A$2:$A$4919,$A373)</f>
        <v/>
      </c>
      <c r="L373" s="6">
        <f>_xlfn.MAXIFS('DETALLE CRONOLÓGICO'!$K$2:$K$4919,'DETALLE CRONOLÓGICO'!$A$2:$A$4919,$A373)</f>
        <v/>
      </c>
      <c r="M373" s="6">
        <f>INDEX('DETALLE CRONOLÓGICO'!$K$2:$K$4919,MATCH($A373,'DETALLE CRONOLÓGICO'!$A$2:$A$4919,0)+$E373-1)</f>
        <v/>
      </c>
      <c r="N373" s="7">
        <f>IFERROR($M373/INDEX('DETALLE CRONOLÓGICO'!$K$2:$K$4919,MATCH($A373,'DETALLE CRONOLÓGICO'!$A$2:$A$4919,0))-1,"")</f>
        <v/>
      </c>
      <c r="O373" s="6">
        <f>IFERROR($I373*3,"")</f>
        <v/>
      </c>
      <c r="P373" s="6">
        <f>IFERROR($I373*3.5,"")</f>
        <v/>
      </c>
      <c r="Q373" s="6">
        <f>IFERROR($I373*4,"")</f>
        <v/>
      </c>
      <c r="R373" s="6" t="n">
        <v>999</v>
      </c>
      <c r="S373" s="4" t="n">
        <v>6</v>
      </c>
      <c r="T373" s="1" t="inlineStr">
        <is>
          <t>active</t>
        </is>
      </c>
      <c r="U373" s="8" t="n"/>
      <c r="V373" s="1" t="inlineStr">
        <is>
          <t>SIN PRECIO</t>
        </is>
      </c>
    </row>
    <row r="374">
      <c r="A374" s="1" t="inlineStr">
        <is>
          <t>2653028882316</t>
        </is>
      </c>
      <c r="B374" s="1" t="inlineStr">
        <is>
          <t>ANILLO TREBOL GOLD BLACK</t>
        </is>
      </c>
      <c r="C374" s="1" t="n">
        <v>6</v>
      </c>
      <c r="D374" s="1" t="inlineStr">
        <is>
          <t>NANCY</t>
        </is>
      </c>
      <c r="E374" s="4">
        <f>COUNTIF('DETALLE CRONOLÓGICO'!$A$2:$A$4919,$A374)</f>
        <v/>
      </c>
      <c r="F374" s="4">
        <f>SUMIFS('DETALLE CRONOLÓGICO'!$I$2:$I$4919,'DETALLE CRONOLÓGICO'!$A$2:$A$4919,$A374)</f>
        <v/>
      </c>
      <c r="G374" s="1">
        <f>INDEX('DETALLE CRONOLÓGICO'!$D$2:$D$4919,MATCH($A374,'DETALLE CRONOLÓGICO'!$A$2:$A$4919,0))</f>
        <v/>
      </c>
      <c r="H374" s="1">
        <f>INDEX('DETALLE CRONOLÓGICO'!$D$2:$D$4919,MATCH($A374,'DETALLE CRONOLÓGICO'!$A$2:$A$4919,0)+$E374-1)</f>
        <v/>
      </c>
      <c r="I374" s="5">
        <f>IFERROR(SUMIFS('DETALLE CRONOLÓGICO'!$L$2:$L$4919,'DETALLE CRONOLÓGICO'!$A$2:$A$4919,$A374)/$F374,"")</f>
        <v/>
      </c>
      <c r="J374" s="6">
        <f>IFERROR(SUMIFS('DETALLE CRONOLÓGICO'!$K$2:$K$4919,'DETALLE CRONOLÓGICO'!$A$2:$A$4919,$A374)/$E374,"")</f>
        <v/>
      </c>
      <c r="K374" s="6">
        <f>_xlfn.MINIFS('DETALLE CRONOLÓGICO'!$K$2:$K$4919,'DETALLE CRONOLÓGICO'!$A$2:$A$4919,$A374)</f>
        <v/>
      </c>
      <c r="L374" s="6">
        <f>_xlfn.MAXIFS('DETALLE CRONOLÓGICO'!$K$2:$K$4919,'DETALLE CRONOLÓGICO'!$A$2:$A$4919,$A374)</f>
        <v/>
      </c>
      <c r="M374" s="6">
        <f>INDEX('DETALLE CRONOLÓGICO'!$K$2:$K$4919,MATCH($A374,'DETALLE CRONOLÓGICO'!$A$2:$A$4919,0)+$E374-1)</f>
        <v/>
      </c>
      <c r="N374" s="7">
        <f>IFERROR($M374/INDEX('DETALLE CRONOLÓGICO'!$K$2:$K$4919,MATCH($A374,'DETALLE CRONOLÓGICO'!$A$2:$A$4919,0))-1,"")</f>
        <v/>
      </c>
      <c r="O374" s="6">
        <f>IFERROR($I374*3,"")</f>
        <v/>
      </c>
      <c r="P374" s="6">
        <f>IFERROR($I374*3.5,"")</f>
        <v/>
      </c>
      <c r="Q374" s="6">
        <f>IFERROR($I374*4,"")</f>
        <v/>
      </c>
      <c r="R374" s="6" t="n">
        <v>389</v>
      </c>
      <c r="S374" s="4" t="n">
        <v>2</v>
      </c>
      <c r="T374" s="1" t="inlineStr">
        <is>
          <t>active</t>
        </is>
      </c>
      <c r="U374" s="8" t="n"/>
      <c r="V374" s="1" t="inlineStr">
        <is>
          <t>SIN PRECIO</t>
        </is>
      </c>
    </row>
    <row r="375">
      <c r="A375" s="1" t="inlineStr">
        <is>
          <t>2653032923532</t>
        </is>
      </c>
      <c r="B375" s="1" t="n"/>
      <c r="C375" s="1" t="n">
        <v>6</v>
      </c>
      <c r="D375" s="1" t="inlineStr">
        <is>
          <t>NANCY</t>
        </is>
      </c>
      <c r="E375" s="4">
        <f>COUNTIF('DETALLE CRONOLÓGICO'!$A$2:$A$4919,$A375)</f>
        <v/>
      </c>
      <c r="F375" s="4">
        <f>SUMIFS('DETALLE CRONOLÓGICO'!$I$2:$I$4919,'DETALLE CRONOLÓGICO'!$A$2:$A$4919,$A375)</f>
        <v/>
      </c>
      <c r="G375" s="1">
        <f>INDEX('DETALLE CRONOLÓGICO'!$D$2:$D$4919,MATCH($A375,'DETALLE CRONOLÓGICO'!$A$2:$A$4919,0))</f>
        <v/>
      </c>
      <c r="H375" s="1">
        <f>INDEX('DETALLE CRONOLÓGICO'!$D$2:$D$4919,MATCH($A375,'DETALLE CRONOLÓGICO'!$A$2:$A$4919,0)+$E375-1)</f>
        <v/>
      </c>
      <c r="I375" s="5">
        <f>IFERROR(SUMIFS('DETALLE CRONOLÓGICO'!$L$2:$L$4919,'DETALLE CRONOLÓGICO'!$A$2:$A$4919,$A375)/$F375,"")</f>
        <v/>
      </c>
      <c r="J375" s="6">
        <f>IFERROR(SUMIFS('DETALLE CRONOLÓGICO'!$K$2:$K$4919,'DETALLE CRONOLÓGICO'!$A$2:$A$4919,$A375)/$E375,"")</f>
        <v/>
      </c>
      <c r="K375" s="6">
        <f>_xlfn.MINIFS('DETALLE CRONOLÓGICO'!$K$2:$K$4919,'DETALLE CRONOLÓGICO'!$A$2:$A$4919,$A375)</f>
        <v/>
      </c>
      <c r="L375" s="6">
        <f>_xlfn.MAXIFS('DETALLE CRONOLÓGICO'!$K$2:$K$4919,'DETALLE CRONOLÓGICO'!$A$2:$A$4919,$A375)</f>
        <v/>
      </c>
      <c r="M375" s="6">
        <f>INDEX('DETALLE CRONOLÓGICO'!$K$2:$K$4919,MATCH($A375,'DETALLE CRONOLÓGICO'!$A$2:$A$4919,0)+$E375-1)</f>
        <v/>
      </c>
      <c r="N375" s="7">
        <f>IFERROR($M375/INDEX('DETALLE CRONOLÓGICO'!$K$2:$K$4919,MATCH($A375,'DETALLE CRONOLÓGICO'!$A$2:$A$4919,0))-1,"")</f>
        <v/>
      </c>
      <c r="O375" s="6">
        <f>IFERROR($I375*3,"")</f>
        <v/>
      </c>
      <c r="P375" s="6">
        <f>IFERROR($I375*3.5,"")</f>
        <v/>
      </c>
      <c r="Q375" s="6">
        <f>IFERROR($I375*4,"")</f>
        <v/>
      </c>
      <c r="R375" s="6" t="n">
        <v>499</v>
      </c>
      <c r="S375" s="4" t="n">
        <v>3</v>
      </c>
      <c r="T375" s="1" t="inlineStr">
        <is>
          <t>active</t>
        </is>
      </c>
      <c r="U375" s="8" t="n"/>
      <c r="V375" s="1" t="inlineStr">
        <is>
          <t>SIN PRECIO</t>
        </is>
      </c>
    </row>
    <row r="376">
      <c r="A376" s="1" t="inlineStr">
        <is>
          <t>2653036169356</t>
        </is>
      </c>
      <c r="B376" s="1" t="inlineStr">
        <is>
          <t>ANILLO LOVE SILVER ANCHO</t>
        </is>
      </c>
      <c r="C376" s="1" t="inlineStr">
        <is>
          <t>8</t>
        </is>
      </c>
      <c r="D376" s="1" t="inlineStr">
        <is>
          <t>HAIFENG</t>
        </is>
      </c>
      <c r="E376" s="4">
        <f>COUNTIF('DETALLE CRONOLÓGICO'!$A$2:$A$4919,$A376)</f>
        <v/>
      </c>
      <c r="F376" s="4">
        <f>SUMIFS('DETALLE CRONOLÓGICO'!$I$2:$I$4919,'DETALLE CRONOLÓGICO'!$A$2:$A$4919,$A376)</f>
        <v/>
      </c>
      <c r="G376" s="1">
        <f>INDEX('DETALLE CRONOLÓGICO'!$D$2:$D$4919,MATCH($A376,'DETALLE CRONOLÓGICO'!$A$2:$A$4919,0))</f>
        <v/>
      </c>
      <c r="H376" s="1">
        <f>INDEX('DETALLE CRONOLÓGICO'!$D$2:$D$4919,MATCH($A376,'DETALLE CRONOLÓGICO'!$A$2:$A$4919,0)+$E376-1)</f>
        <v/>
      </c>
      <c r="I376" s="5">
        <f>IFERROR(SUMIFS('DETALLE CRONOLÓGICO'!$L$2:$L$4919,'DETALLE CRONOLÓGICO'!$A$2:$A$4919,$A376)/$F376,"")</f>
        <v/>
      </c>
      <c r="J376" s="6">
        <f>IFERROR(SUMIFS('DETALLE CRONOLÓGICO'!$K$2:$K$4919,'DETALLE CRONOLÓGICO'!$A$2:$A$4919,$A376)/$E376,"")</f>
        <v/>
      </c>
      <c r="K376" s="6">
        <f>_xlfn.MINIFS('DETALLE CRONOLÓGICO'!$K$2:$K$4919,'DETALLE CRONOLÓGICO'!$A$2:$A$4919,$A376)</f>
        <v/>
      </c>
      <c r="L376" s="6">
        <f>_xlfn.MAXIFS('DETALLE CRONOLÓGICO'!$K$2:$K$4919,'DETALLE CRONOLÓGICO'!$A$2:$A$4919,$A376)</f>
        <v/>
      </c>
      <c r="M376" s="6">
        <f>INDEX('DETALLE CRONOLÓGICO'!$K$2:$K$4919,MATCH($A376,'DETALLE CRONOLÓGICO'!$A$2:$A$4919,0)+$E376-1)</f>
        <v/>
      </c>
      <c r="N376" s="7">
        <f>IFERROR($M376/INDEX('DETALLE CRONOLÓGICO'!$K$2:$K$4919,MATCH($A376,'DETALLE CRONOLÓGICO'!$A$2:$A$4919,0))-1,"")</f>
        <v/>
      </c>
      <c r="O376" s="6">
        <f>IFERROR($I376*3,"")</f>
        <v/>
      </c>
      <c r="P376" s="6">
        <f>IFERROR($I376*3.5,"")</f>
        <v/>
      </c>
      <c r="Q376" s="6">
        <f>IFERROR($I376*4,"")</f>
        <v/>
      </c>
      <c r="R376" s="6" t="n">
        <v>400</v>
      </c>
      <c r="S376" s="4" t="n">
        <v>5</v>
      </c>
      <c r="T376" s="1" t="inlineStr">
        <is>
          <t>active</t>
        </is>
      </c>
      <c r="U376" s="8" t="n"/>
      <c r="V376" s="1" t="inlineStr">
        <is>
          <t>SIN PRECIO</t>
        </is>
      </c>
    </row>
    <row r="377">
      <c r="A377" s="1" t="inlineStr">
        <is>
          <t>2653036202124</t>
        </is>
      </c>
      <c r="B377" s="1" t="inlineStr">
        <is>
          <t>ANILLO LOVE SILVER ANCHO</t>
        </is>
      </c>
      <c r="C377" s="1" t="inlineStr">
        <is>
          <t>9</t>
        </is>
      </c>
      <c r="D377" s="1" t="inlineStr">
        <is>
          <t>HAIFENG</t>
        </is>
      </c>
      <c r="E377" s="4">
        <f>COUNTIF('DETALLE CRONOLÓGICO'!$A$2:$A$4919,$A377)</f>
        <v/>
      </c>
      <c r="F377" s="4">
        <f>SUMIFS('DETALLE CRONOLÓGICO'!$I$2:$I$4919,'DETALLE CRONOLÓGICO'!$A$2:$A$4919,$A377)</f>
        <v/>
      </c>
      <c r="G377" s="1">
        <f>INDEX('DETALLE CRONOLÓGICO'!$D$2:$D$4919,MATCH($A377,'DETALLE CRONOLÓGICO'!$A$2:$A$4919,0))</f>
        <v/>
      </c>
      <c r="H377" s="1">
        <f>INDEX('DETALLE CRONOLÓGICO'!$D$2:$D$4919,MATCH($A377,'DETALLE CRONOLÓGICO'!$A$2:$A$4919,0)+$E377-1)</f>
        <v/>
      </c>
      <c r="I377" s="5">
        <f>IFERROR(SUMIFS('DETALLE CRONOLÓGICO'!$L$2:$L$4919,'DETALLE CRONOLÓGICO'!$A$2:$A$4919,$A377)/$F377,"")</f>
        <v/>
      </c>
      <c r="J377" s="6">
        <f>IFERROR(SUMIFS('DETALLE CRONOLÓGICO'!$K$2:$K$4919,'DETALLE CRONOLÓGICO'!$A$2:$A$4919,$A377)/$E377,"")</f>
        <v/>
      </c>
      <c r="K377" s="6">
        <f>_xlfn.MINIFS('DETALLE CRONOLÓGICO'!$K$2:$K$4919,'DETALLE CRONOLÓGICO'!$A$2:$A$4919,$A377)</f>
        <v/>
      </c>
      <c r="L377" s="6">
        <f>_xlfn.MAXIFS('DETALLE CRONOLÓGICO'!$K$2:$K$4919,'DETALLE CRONOLÓGICO'!$A$2:$A$4919,$A377)</f>
        <v/>
      </c>
      <c r="M377" s="6">
        <f>INDEX('DETALLE CRONOLÓGICO'!$K$2:$K$4919,MATCH($A377,'DETALLE CRONOLÓGICO'!$A$2:$A$4919,0)+$E377-1)</f>
        <v/>
      </c>
      <c r="N377" s="7">
        <f>IFERROR($M377/INDEX('DETALLE CRONOLÓGICO'!$K$2:$K$4919,MATCH($A377,'DETALLE CRONOLÓGICO'!$A$2:$A$4919,0))-1,"")</f>
        <v/>
      </c>
      <c r="O377" s="6">
        <f>IFERROR($I377*3,"")</f>
        <v/>
      </c>
      <c r="P377" s="6">
        <f>IFERROR($I377*3.5,"")</f>
        <v/>
      </c>
      <c r="Q377" s="6">
        <f>IFERROR($I377*4,"")</f>
        <v/>
      </c>
      <c r="R377" s="6" t="n">
        <v>400</v>
      </c>
      <c r="S377" s="4" t="n">
        <v>2</v>
      </c>
      <c r="T377" s="1" t="inlineStr">
        <is>
          <t>active</t>
        </is>
      </c>
      <c r="U377" s="8" t="n"/>
      <c r="V377" s="1" t="inlineStr">
        <is>
          <t>SIN PRECIO</t>
        </is>
      </c>
    </row>
    <row r="378">
      <c r="A378" s="1" t="inlineStr">
        <is>
          <t>2653036234892</t>
        </is>
      </c>
      <c r="B378" s="1" t="inlineStr">
        <is>
          <t>ANILLO LOVE SILVER ANCHO (WIDHT WIHTOUT ZIRCONIAS)</t>
        </is>
      </c>
      <c r="C378" s="1" t="inlineStr">
        <is>
          <t>10</t>
        </is>
      </c>
      <c r="D378" s="1" t="inlineStr">
        <is>
          <t>HAIFENG</t>
        </is>
      </c>
      <c r="E378" s="4">
        <f>COUNTIF('DETALLE CRONOLÓGICO'!$A$2:$A$4919,$A378)</f>
        <v/>
      </c>
      <c r="F378" s="4">
        <f>SUMIFS('DETALLE CRONOLÓGICO'!$I$2:$I$4919,'DETALLE CRONOLÓGICO'!$A$2:$A$4919,$A378)</f>
        <v/>
      </c>
      <c r="G378" s="1">
        <f>INDEX('DETALLE CRONOLÓGICO'!$D$2:$D$4919,MATCH($A378,'DETALLE CRONOLÓGICO'!$A$2:$A$4919,0))</f>
        <v/>
      </c>
      <c r="H378" s="1">
        <f>INDEX('DETALLE CRONOLÓGICO'!$D$2:$D$4919,MATCH($A378,'DETALLE CRONOLÓGICO'!$A$2:$A$4919,0)+$E378-1)</f>
        <v/>
      </c>
      <c r="I378" s="5">
        <f>IFERROR(SUMIFS('DETALLE CRONOLÓGICO'!$L$2:$L$4919,'DETALLE CRONOLÓGICO'!$A$2:$A$4919,$A378)/$F378,"")</f>
        <v/>
      </c>
      <c r="J378" s="6">
        <f>IFERROR(SUMIFS('DETALLE CRONOLÓGICO'!$K$2:$K$4919,'DETALLE CRONOLÓGICO'!$A$2:$A$4919,$A378)/$E378,"")</f>
        <v/>
      </c>
      <c r="K378" s="6">
        <f>_xlfn.MINIFS('DETALLE CRONOLÓGICO'!$K$2:$K$4919,'DETALLE CRONOLÓGICO'!$A$2:$A$4919,$A378)</f>
        <v/>
      </c>
      <c r="L378" s="6">
        <f>_xlfn.MAXIFS('DETALLE CRONOLÓGICO'!$K$2:$K$4919,'DETALLE CRONOLÓGICO'!$A$2:$A$4919,$A378)</f>
        <v/>
      </c>
      <c r="M378" s="6">
        <f>INDEX('DETALLE CRONOLÓGICO'!$K$2:$K$4919,MATCH($A378,'DETALLE CRONOLÓGICO'!$A$2:$A$4919,0)+$E378-1)</f>
        <v/>
      </c>
      <c r="N378" s="7">
        <f>IFERROR($M378/INDEX('DETALLE CRONOLÓGICO'!$K$2:$K$4919,MATCH($A378,'DETALLE CRONOLÓGICO'!$A$2:$A$4919,0))-1,"")</f>
        <v/>
      </c>
      <c r="O378" s="6">
        <f>IFERROR($I378*3,"")</f>
        <v/>
      </c>
      <c r="P378" s="6">
        <f>IFERROR($I378*3.5,"")</f>
        <v/>
      </c>
      <c r="Q378" s="6">
        <f>IFERROR($I378*4,"")</f>
        <v/>
      </c>
      <c r="R378" s="6" t="n">
        <v>400</v>
      </c>
      <c r="S378" s="4" t="n">
        <v>2</v>
      </c>
      <c r="T378" s="1" t="inlineStr">
        <is>
          <t>active</t>
        </is>
      </c>
      <c r="U378" s="8" t="n"/>
      <c r="V378" s="1" t="inlineStr">
        <is>
          <t>SIN PRECIO</t>
        </is>
      </c>
    </row>
    <row r="379">
      <c r="A379" s="1" t="inlineStr">
        <is>
          <t>2653036267660</t>
        </is>
      </c>
      <c r="B379" s="1" t="inlineStr">
        <is>
          <t>ANILLO LOVE SILVER ANCHO</t>
        </is>
      </c>
      <c r="C379" s="1" t="inlineStr">
        <is>
          <t>11</t>
        </is>
      </c>
      <c r="D379" s="1" t="inlineStr">
        <is>
          <t>HAIFENG</t>
        </is>
      </c>
      <c r="E379" s="4">
        <f>COUNTIF('DETALLE CRONOLÓGICO'!$A$2:$A$4919,$A379)</f>
        <v/>
      </c>
      <c r="F379" s="4">
        <f>SUMIFS('DETALLE CRONOLÓGICO'!$I$2:$I$4919,'DETALLE CRONOLÓGICO'!$A$2:$A$4919,$A379)</f>
        <v/>
      </c>
      <c r="G379" s="1">
        <f>INDEX('DETALLE CRONOLÓGICO'!$D$2:$D$4919,MATCH($A379,'DETALLE CRONOLÓGICO'!$A$2:$A$4919,0))</f>
        <v/>
      </c>
      <c r="H379" s="1">
        <f>INDEX('DETALLE CRONOLÓGICO'!$D$2:$D$4919,MATCH($A379,'DETALLE CRONOLÓGICO'!$A$2:$A$4919,0)+$E379-1)</f>
        <v/>
      </c>
      <c r="I379" s="5">
        <f>IFERROR(SUMIFS('DETALLE CRONOLÓGICO'!$L$2:$L$4919,'DETALLE CRONOLÓGICO'!$A$2:$A$4919,$A379)/$F379,"")</f>
        <v/>
      </c>
      <c r="J379" s="6">
        <f>IFERROR(SUMIFS('DETALLE CRONOLÓGICO'!$K$2:$K$4919,'DETALLE CRONOLÓGICO'!$A$2:$A$4919,$A379)/$E379,"")</f>
        <v/>
      </c>
      <c r="K379" s="6">
        <f>_xlfn.MINIFS('DETALLE CRONOLÓGICO'!$K$2:$K$4919,'DETALLE CRONOLÓGICO'!$A$2:$A$4919,$A379)</f>
        <v/>
      </c>
      <c r="L379" s="6">
        <f>_xlfn.MAXIFS('DETALLE CRONOLÓGICO'!$K$2:$K$4919,'DETALLE CRONOLÓGICO'!$A$2:$A$4919,$A379)</f>
        <v/>
      </c>
      <c r="M379" s="6">
        <f>INDEX('DETALLE CRONOLÓGICO'!$K$2:$K$4919,MATCH($A379,'DETALLE CRONOLÓGICO'!$A$2:$A$4919,0)+$E379-1)</f>
        <v/>
      </c>
      <c r="N379" s="7">
        <f>IFERROR($M379/INDEX('DETALLE CRONOLÓGICO'!$K$2:$K$4919,MATCH($A379,'DETALLE CRONOLÓGICO'!$A$2:$A$4919,0))-1,"")</f>
        <v/>
      </c>
      <c r="O379" s="6">
        <f>IFERROR($I379*3,"")</f>
        <v/>
      </c>
      <c r="P379" s="6">
        <f>IFERROR($I379*3.5,"")</f>
        <v/>
      </c>
      <c r="Q379" s="6">
        <f>IFERROR($I379*4,"")</f>
        <v/>
      </c>
      <c r="R379" s="6" t="n">
        <v>400</v>
      </c>
      <c r="S379" s="4" t="n">
        <v>3</v>
      </c>
      <c r="T379" s="1" t="inlineStr">
        <is>
          <t>active</t>
        </is>
      </c>
      <c r="U379" s="8" t="n"/>
      <c r="V379" s="1" t="inlineStr">
        <is>
          <t>SIN PRECIO</t>
        </is>
      </c>
    </row>
    <row r="380">
      <c r="A380" s="1" t="inlineStr">
        <is>
          <t>2653039338124</t>
        </is>
      </c>
      <c r="B380" s="1" t="inlineStr">
        <is>
          <t>ANILLO BV GOLD</t>
        </is>
      </c>
      <c r="C380" s="1" t="inlineStr">
        <is>
          <t>5</t>
        </is>
      </c>
      <c r="D380" s="1" t="inlineStr">
        <is>
          <t>COCOMA</t>
        </is>
      </c>
      <c r="E380" s="4">
        <f>COUNTIF('DETALLE CRONOLÓGICO'!$A$2:$A$4919,$A380)</f>
        <v/>
      </c>
      <c r="F380" s="4">
        <f>SUMIFS('DETALLE CRONOLÓGICO'!$I$2:$I$4919,'DETALLE CRONOLÓGICO'!$A$2:$A$4919,$A380)</f>
        <v/>
      </c>
      <c r="G380" s="1">
        <f>INDEX('DETALLE CRONOLÓGICO'!$D$2:$D$4919,MATCH($A380,'DETALLE CRONOLÓGICO'!$A$2:$A$4919,0))</f>
        <v/>
      </c>
      <c r="H380" s="1">
        <f>INDEX('DETALLE CRONOLÓGICO'!$D$2:$D$4919,MATCH($A380,'DETALLE CRONOLÓGICO'!$A$2:$A$4919,0)+$E380-1)</f>
        <v/>
      </c>
      <c r="I380" s="5">
        <f>IFERROR(SUMIFS('DETALLE CRONOLÓGICO'!$L$2:$L$4919,'DETALLE CRONOLÓGICO'!$A$2:$A$4919,$A380)/$F380,"")</f>
        <v/>
      </c>
      <c r="J380" s="6">
        <f>IFERROR(SUMIFS('DETALLE CRONOLÓGICO'!$K$2:$K$4919,'DETALLE CRONOLÓGICO'!$A$2:$A$4919,$A380)/$E380,"")</f>
        <v/>
      </c>
      <c r="K380" s="6">
        <f>_xlfn.MINIFS('DETALLE CRONOLÓGICO'!$K$2:$K$4919,'DETALLE CRONOLÓGICO'!$A$2:$A$4919,$A380)</f>
        <v/>
      </c>
      <c r="L380" s="6">
        <f>_xlfn.MAXIFS('DETALLE CRONOLÓGICO'!$K$2:$K$4919,'DETALLE CRONOLÓGICO'!$A$2:$A$4919,$A380)</f>
        <v/>
      </c>
      <c r="M380" s="6">
        <f>INDEX('DETALLE CRONOLÓGICO'!$K$2:$K$4919,MATCH($A380,'DETALLE CRONOLÓGICO'!$A$2:$A$4919,0)+$E380-1)</f>
        <v/>
      </c>
      <c r="N380" s="7">
        <f>IFERROR($M380/INDEX('DETALLE CRONOLÓGICO'!$K$2:$K$4919,MATCH($A380,'DETALLE CRONOLÓGICO'!$A$2:$A$4919,0))-1,"")</f>
        <v/>
      </c>
      <c r="O380" s="6">
        <f>IFERROR($I380*3,"")</f>
        <v/>
      </c>
      <c r="P380" s="6">
        <f>IFERROR($I380*3.5,"")</f>
        <v/>
      </c>
      <c r="Q380" s="6">
        <f>IFERROR($I380*4,"")</f>
        <v/>
      </c>
      <c r="R380" s="6" t="n">
        <v>550</v>
      </c>
      <c r="S380" s="4" t="n">
        <v>9</v>
      </c>
      <c r="T380" s="1" t="inlineStr">
        <is>
          <t>active</t>
        </is>
      </c>
      <c r="U380" s="8" t="n"/>
      <c r="V380" s="1" t="inlineStr">
        <is>
          <t>SIN PRECIO</t>
        </is>
      </c>
    </row>
    <row r="381">
      <c r="A381" s="1" t="inlineStr">
        <is>
          <t>2653039370892</t>
        </is>
      </c>
      <c r="B381" s="1" t="inlineStr">
        <is>
          <t>ANILLO BV GOLD</t>
        </is>
      </c>
      <c r="C381" s="1" t="inlineStr">
        <is>
          <t>6</t>
        </is>
      </c>
      <c r="D381" s="1" t="inlineStr">
        <is>
          <t>COCOMA</t>
        </is>
      </c>
      <c r="E381" s="4">
        <f>COUNTIF('DETALLE CRONOLÓGICO'!$A$2:$A$4919,$A381)</f>
        <v/>
      </c>
      <c r="F381" s="4">
        <f>SUMIFS('DETALLE CRONOLÓGICO'!$I$2:$I$4919,'DETALLE CRONOLÓGICO'!$A$2:$A$4919,$A381)</f>
        <v/>
      </c>
      <c r="G381" s="1">
        <f>INDEX('DETALLE CRONOLÓGICO'!$D$2:$D$4919,MATCH($A381,'DETALLE CRONOLÓGICO'!$A$2:$A$4919,0))</f>
        <v/>
      </c>
      <c r="H381" s="1">
        <f>INDEX('DETALLE CRONOLÓGICO'!$D$2:$D$4919,MATCH($A381,'DETALLE CRONOLÓGICO'!$A$2:$A$4919,0)+$E381-1)</f>
        <v/>
      </c>
      <c r="I381" s="5">
        <f>IFERROR(SUMIFS('DETALLE CRONOLÓGICO'!$L$2:$L$4919,'DETALLE CRONOLÓGICO'!$A$2:$A$4919,$A381)/$F381,"")</f>
        <v/>
      </c>
      <c r="J381" s="6">
        <f>IFERROR(SUMIFS('DETALLE CRONOLÓGICO'!$K$2:$K$4919,'DETALLE CRONOLÓGICO'!$A$2:$A$4919,$A381)/$E381,"")</f>
        <v/>
      </c>
      <c r="K381" s="6">
        <f>_xlfn.MINIFS('DETALLE CRONOLÓGICO'!$K$2:$K$4919,'DETALLE CRONOLÓGICO'!$A$2:$A$4919,$A381)</f>
        <v/>
      </c>
      <c r="L381" s="6">
        <f>_xlfn.MAXIFS('DETALLE CRONOLÓGICO'!$K$2:$K$4919,'DETALLE CRONOLÓGICO'!$A$2:$A$4919,$A381)</f>
        <v/>
      </c>
      <c r="M381" s="6">
        <f>INDEX('DETALLE CRONOLÓGICO'!$K$2:$K$4919,MATCH($A381,'DETALLE CRONOLÓGICO'!$A$2:$A$4919,0)+$E381-1)</f>
        <v/>
      </c>
      <c r="N381" s="7">
        <f>IFERROR($M381/INDEX('DETALLE CRONOLÓGICO'!$K$2:$K$4919,MATCH($A381,'DETALLE CRONOLÓGICO'!$A$2:$A$4919,0))-1,"")</f>
        <v/>
      </c>
      <c r="O381" s="6">
        <f>IFERROR($I381*3,"")</f>
        <v/>
      </c>
      <c r="P381" s="6">
        <f>IFERROR($I381*3.5,"")</f>
        <v/>
      </c>
      <c r="Q381" s="6">
        <f>IFERROR($I381*4,"")</f>
        <v/>
      </c>
      <c r="R381" s="6" t="n">
        <v>550</v>
      </c>
      <c r="S381" s="4" t="n">
        <v>4</v>
      </c>
      <c r="T381" s="1" t="inlineStr">
        <is>
          <t>active</t>
        </is>
      </c>
      <c r="U381" s="8" t="n"/>
      <c r="V381" s="1" t="inlineStr">
        <is>
          <t>SIN PRECIO</t>
        </is>
      </c>
    </row>
    <row r="382">
      <c r="A382" s="1" t="inlineStr">
        <is>
          <t>2653039403660</t>
        </is>
      </c>
      <c r="B382" s="1" t="inlineStr">
        <is>
          <t>ANILLO BV GOLD</t>
        </is>
      </c>
      <c r="C382" s="1" t="inlineStr">
        <is>
          <t>7</t>
        </is>
      </c>
      <c r="D382" s="1" t="inlineStr">
        <is>
          <t>COCOMA</t>
        </is>
      </c>
      <c r="E382" s="4">
        <f>COUNTIF('DETALLE CRONOLÓGICO'!$A$2:$A$4919,$A382)</f>
        <v/>
      </c>
      <c r="F382" s="4">
        <f>SUMIFS('DETALLE CRONOLÓGICO'!$I$2:$I$4919,'DETALLE CRONOLÓGICO'!$A$2:$A$4919,$A382)</f>
        <v/>
      </c>
      <c r="G382" s="1">
        <f>INDEX('DETALLE CRONOLÓGICO'!$D$2:$D$4919,MATCH($A382,'DETALLE CRONOLÓGICO'!$A$2:$A$4919,0))</f>
        <v/>
      </c>
      <c r="H382" s="1">
        <f>INDEX('DETALLE CRONOLÓGICO'!$D$2:$D$4919,MATCH($A382,'DETALLE CRONOLÓGICO'!$A$2:$A$4919,0)+$E382-1)</f>
        <v/>
      </c>
      <c r="I382" s="5">
        <f>IFERROR(SUMIFS('DETALLE CRONOLÓGICO'!$L$2:$L$4919,'DETALLE CRONOLÓGICO'!$A$2:$A$4919,$A382)/$F382,"")</f>
        <v/>
      </c>
      <c r="J382" s="6">
        <f>IFERROR(SUMIFS('DETALLE CRONOLÓGICO'!$K$2:$K$4919,'DETALLE CRONOLÓGICO'!$A$2:$A$4919,$A382)/$E382,"")</f>
        <v/>
      </c>
      <c r="K382" s="6">
        <f>_xlfn.MINIFS('DETALLE CRONOLÓGICO'!$K$2:$K$4919,'DETALLE CRONOLÓGICO'!$A$2:$A$4919,$A382)</f>
        <v/>
      </c>
      <c r="L382" s="6">
        <f>_xlfn.MAXIFS('DETALLE CRONOLÓGICO'!$K$2:$K$4919,'DETALLE CRONOLÓGICO'!$A$2:$A$4919,$A382)</f>
        <v/>
      </c>
      <c r="M382" s="6">
        <f>INDEX('DETALLE CRONOLÓGICO'!$K$2:$K$4919,MATCH($A382,'DETALLE CRONOLÓGICO'!$A$2:$A$4919,0)+$E382-1)</f>
        <v/>
      </c>
      <c r="N382" s="7">
        <f>IFERROR($M382/INDEX('DETALLE CRONOLÓGICO'!$K$2:$K$4919,MATCH($A382,'DETALLE CRONOLÓGICO'!$A$2:$A$4919,0))-1,"")</f>
        <v/>
      </c>
      <c r="O382" s="6">
        <f>IFERROR($I382*3,"")</f>
        <v/>
      </c>
      <c r="P382" s="6">
        <f>IFERROR($I382*3.5,"")</f>
        <v/>
      </c>
      <c r="Q382" s="6">
        <f>IFERROR($I382*4,"")</f>
        <v/>
      </c>
      <c r="R382" s="6" t="n">
        <v>550</v>
      </c>
      <c r="S382" s="4" t="n">
        <v>1</v>
      </c>
      <c r="T382" s="1" t="inlineStr">
        <is>
          <t>active</t>
        </is>
      </c>
      <c r="U382" s="8" t="n"/>
      <c r="V382" s="1" t="inlineStr">
        <is>
          <t>SIN PRECIO</t>
        </is>
      </c>
    </row>
    <row r="383">
      <c r="A383" s="1" t="inlineStr">
        <is>
          <t>2653039436428</t>
        </is>
      </c>
      <c r="B383" s="1" t="inlineStr">
        <is>
          <t>ANILLO BV GOLD</t>
        </is>
      </c>
      <c r="C383" s="1" t="inlineStr">
        <is>
          <t>8</t>
        </is>
      </c>
      <c r="D383" s="1" t="inlineStr">
        <is>
          <t>COCOMA</t>
        </is>
      </c>
      <c r="E383" s="4">
        <f>COUNTIF('DETALLE CRONOLÓGICO'!$A$2:$A$4919,$A383)</f>
        <v/>
      </c>
      <c r="F383" s="4">
        <f>SUMIFS('DETALLE CRONOLÓGICO'!$I$2:$I$4919,'DETALLE CRONOLÓGICO'!$A$2:$A$4919,$A383)</f>
        <v/>
      </c>
      <c r="G383" s="1">
        <f>INDEX('DETALLE CRONOLÓGICO'!$D$2:$D$4919,MATCH($A383,'DETALLE CRONOLÓGICO'!$A$2:$A$4919,0))</f>
        <v/>
      </c>
      <c r="H383" s="1">
        <f>INDEX('DETALLE CRONOLÓGICO'!$D$2:$D$4919,MATCH($A383,'DETALLE CRONOLÓGICO'!$A$2:$A$4919,0)+$E383-1)</f>
        <v/>
      </c>
      <c r="I383" s="5">
        <f>IFERROR(SUMIFS('DETALLE CRONOLÓGICO'!$L$2:$L$4919,'DETALLE CRONOLÓGICO'!$A$2:$A$4919,$A383)/$F383,"")</f>
        <v/>
      </c>
      <c r="J383" s="6">
        <f>IFERROR(SUMIFS('DETALLE CRONOLÓGICO'!$K$2:$K$4919,'DETALLE CRONOLÓGICO'!$A$2:$A$4919,$A383)/$E383,"")</f>
        <v/>
      </c>
      <c r="K383" s="6">
        <f>_xlfn.MINIFS('DETALLE CRONOLÓGICO'!$K$2:$K$4919,'DETALLE CRONOLÓGICO'!$A$2:$A$4919,$A383)</f>
        <v/>
      </c>
      <c r="L383" s="6">
        <f>_xlfn.MAXIFS('DETALLE CRONOLÓGICO'!$K$2:$K$4919,'DETALLE CRONOLÓGICO'!$A$2:$A$4919,$A383)</f>
        <v/>
      </c>
      <c r="M383" s="6">
        <f>INDEX('DETALLE CRONOLÓGICO'!$K$2:$K$4919,MATCH($A383,'DETALLE CRONOLÓGICO'!$A$2:$A$4919,0)+$E383-1)</f>
        <v/>
      </c>
      <c r="N383" s="7">
        <f>IFERROR($M383/INDEX('DETALLE CRONOLÓGICO'!$K$2:$K$4919,MATCH($A383,'DETALLE CRONOLÓGICO'!$A$2:$A$4919,0))-1,"")</f>
        <v/>
      </c>
      <c r="O383" s="6">
        <f>IFERROR($I383*3,"")</f>
        <v/>
      </c>
      <c r="P383" s="6">
        <f>IFERROR($I383*3.5,"")</f>
        <v/>
      </c>
      <c r="Q383" s="6">
        <f>IFERROR($I383*4,"")</f>
        <v/>
      </c>
      <c r="R383" s="6" t="n">
        <v>550</v>
      </c>
      <c r="S383" s="4" t="n">
        <v>1</v>
      </c>
      <c r="T383" s="1" t="inlineStr">
        <is>
          <t>active</t>
        </is>
      </c>
      <c r="U383" s="8" t="n"/>
      <c r="V383" s="1" t="inlineStr">
        <is>
          <t>SIN PRECIO</t>
        </is>
      </c>
    </row>
    <row r="384">
      <c r="A384" s="1" t="inlineStr">
        <is>
          <t>2653039469196</t>
        </is>
      </c>
      <c r="B384" s="1" t="inlineStr">
        <is>
          <t>ANILLO BV GOLD</t>
        </is>
      </c>
      <c r="C384" s="1" t="inlineStr">
        <is>
          <t>9</t>
        </is>
      </c>
      <c r="D384" s="1" t="inlineStr">
        <is>
          <t>COCOMA</t>
        </is>
      </c>
      <c r="E384" s="4">
        <f>COUNTIF('DETALLE CRONOLÓGICO'!$A$2:$A$4919,$A384)</f>
        <v/>
      </c>
      <c r="F384" s="4">
        <f>SUMIFS('DETALLE CRONOLÓGICO'!$I$2:$I$4919,'DETALLE CRONOLÓGICO'!$A$2:$A$4919,$A384)</f>
        <v/>
      </c>
      <c r="G384" s="1">
        <f>INDEX('DETALLE CRONOLÓGICO'!$D$2:$D$4919,MATCH($A384,'DETALLE CRONOLÓGICO'!$A$2:$A$4919,0))</f>
        <v/>
      </c>
      <c r="H384" s="1">
        <f>INDEX('DETALLE CRONOLÓGICO'!$D$2:$D$4919,MATCH($A384,'DETALLE CRONOLÓGICO'!$A$2:$A$4919,0)+$E384-1)</f>
        <v/>
      </c>
      <c r="I384" s="5">
        <f>IFERROR(SUMIFS('DETALLE CRONOLÓGICO'!$L$2:$L$4919,'DETALLE CRONOLÓGICO'!$A$2:$A$4919,$A384)/$F384,"")</f>
        <v/>
      </c>
      <c r="J384" s="6">
        <f>IFERROR(SUMIFS('DETALLE CRONOLÓGICO'!$K$2:$K$4919,'DETALLE CRONOLÓGICO'!$A$2:$A$4919,$A384)/$E384,"")</f>
        <v/>
      </c>
      <c r="K384" s="6">
        <f>_xlfn.MINIFS('DETALLE CRONOLÓGICO'!$K$2:$K$4919,'DETALLE CRONOLÓGICO'!$A$2:$A$4919,$A384)</f>
        <v/>
      </c>
      <c r="L384" s="6">
        <f>_xlfn.MAXIFS('DETALLE CRONOLÓGICO'!$K$2:$K$4919,'DETALLE CRONOLÓGICO'!$A$2:$A$4919,$A384)</f>
        <v/>
      </c>
      <c r="M384" s="6">
        <f>INDEX('DETALLE CRONOLÓGICO'!$K$2:$K$4919,MATCH($A384,'DETALLE CRONOLÓGICO'!$A$2:$A$4919,0)+$E384-1)</f>
        <v/>
      </c>
      <c r="N384" s="7">
        <f>IFERROR($M384/INDEX('DETALLE CRONOLÓGICO'!$K$2:$K$4919,MATCH($A384,'DETALLE CRONOLÓGICO'!$A$2:$A$4919,0))-1,"")</f>
        <v/>
      </c>
      <c r="O384" s="6">
        <f>IFERROR($I384*3,"")</f>
        <v/>
      </c>
      <c r="P384" s="6">
        <f>IFERROR($I384*3.5,"")</f>
        <v/>
      </c>
      <c r="Q384" s="6">
        <f>IFERROR($I384*4,"")</f>
        <v/>
      </c>
      <c r="R384" s="6" t="n">
        <v>550</v>
      </c>
      <c r="S384" s="4" t="n">
        <v>2</v>
      </c>
      <c r="T384" s="1" t="inlineStr">
        <is>
          <t>active</t>
        </is>
      </c>
      <c r="U384" s="8" t="n"/>
      <c r="V384" s="1" t="inlineStr">
        <is>
          <t>SIN PRECIO</t>
        </is>
      </c>
    </row>
    <row r="385">
      <c r="A385" s="1" t="inlineStr">
        <is>
          <t>2653039501964</t>
        </is>
      </c>
      <c r="B385" s="1" t="inlineStr">
        <is>
          <t>ANILLO BV GOLD</t>
        </is>
      </c>
      <c r="C385" s="1" t="inlineStr">
        <is>
          <t>10</t>
        </is>
      </c>
      <c r="D385" s="1" t="inlineStr">
        <is>
          <t>COCOMA</t>
        </is>
      </c>
      <c r="E385" s="4">
        <f>COUNTIF('DETALLE CRONOLÓGICO'!$A$2:$A$4919,$A385)</f>
        <v/>
      </c>
      <c r="F385" s="4">
        <f>SUMIFS('DETALLE CRONOLÓGICO'!$I$2:$I$4919,'DETALLE CRONOLÓGICO'!$A$2:$A$4919,$A385)</f>
        <v/>
      </c>
      <c r="G385" s="1">
        <f>INDEX('DETALLE CRONOLÓGICO'!$D$2:$D$4919,MATCH($A385,'DETALLE CRONOLÓGICO'!$A$2:$A$4919,0))</f>
        <v/>
      </c>
      <c r="H385" s="1">
        <f>INDEX('DETALLE CRONOLÓGICO'!$D$2:$D$4919,MATCH($A385,'DETALLE CRONOLÓGICO'!$A$2:$A$4919,0)+$E385-1)</f>
        <v/>
      </c>
      <c r="I385" s="5">
        <f>IFERROR(SUMIFS('DETALLE CRONOLÓGICO'!$L$2:$L$4919,'DETALLE CRONOLÓGICO'!$A$2:$A$4919,$A385)/$F385,"")</f>
        <v/>
      </c>
      <c r="J385" s="6">
        <f>IFERROR(SUMIFS('DETALLE CRONOLÓGICO'!$K$2:$K$4919,'DETALLE CRONOLÓGICO'!$A$2:$A$4919,$A385)/$E385,"")</f>
        <v/>
      </c>
      <c r="K385" s="6">
        <f>_xlfn.MINIFS('DETALLE CRONOLÓGICO'!$K$2:$K$4919,'DETALLE CRONOLÓGICO'!$A$2:$A$4919,$A385)</f>
        <v/>
      </c>
      <c r="L385" s="6">
        <f>_xlfn.MAXIFS('DETALLE CRONOLÓGICO'!$K$2:$K$4919,'DETALLE CRONOLÓGICO'!$A$2:$A$4919,$A385)</f>
        <v/>
      </c>
      <c r="M385" s="6">
        <f>INDEX('DETALLE CRONOLÓGICO'!$K$2:$K$4919,MATCH($A385,'DETALLE CRONOLÓGICO'!$A$2:$A$4919,0)+$E385-1)</f>
        <v/>
      </c>
      <c r="N385" s="7">
        <f>IFERROR($M385/INDEX('DETALLE CRONOLÓGICO'!$K$2:$K$4919,MATCH($A385,'DETALLE CRONOLÓGICO'!$A$2:$A$4919,0))-1,"")</f>
        <v/>
      </c>
      <c r="O385" s="6">
        <f>IFERROR($I385*3,"")</f>
        <v/>
      </c>
      <c r="P385" s="6">
        <f>IFERROR($I385*3.5,"")</f>
        <v/>
      </c>
      <c r="Q385" s="6">
        <f>IFERROR($I385*4,"")</f>
        <v/>
      </c>
      <c r="R385" s="6" t="n">
        <v>550</v>
      </c>
      <c r="S385" s="4" t="n">
        <v>6</v>
      </c>
      <c r="T385" s="1" t="inlineStr">
        <is>
          <t>active</t>
        </is>
      </c>
      <c r="U385" s="8" t="n"/>
      <c r="V385" s="1" t="inlineStr">
        <is>
          <t>SIN PRECIO</t>
        </is>
      </c>
    </row>
    <row r="386">
      <c r="A386" s="1" t="inlineStr">
        <is>
          <t>2653039534732</t>
        </is>
      </c>
      <c r="B386" s="1" t="inlineStr">
        <is>
          <t>ANILLO BV GOLD</t>
        </is>
      </c>
      <c r="C386" s="1" t="inlineStr">
        <is>
          <t>11</t>
        </is>
      </c>
      <c r="D386" s="1" t="inlineStr">
        <is>
          <t>COCOMA</t>
        </is>
      </c>
      <c r="E386" s="4">
        <f>COUNTIF('DETALLE CRONOLÓGICO'!$A$2:$A$4919,$A386)</f>
        <v/>
      </c>
      <c r="F386" s="4">
        <f>SUMIFS('DETALLE CRONOLÓGICO'!$I$2:$I$4919,'DETALLE CRONOLÓGICO'!$A$2:$A$4919,$A386)</f>
        <v/>
      </c>
      <c r="G386" s="1">
        <f>INDEX('DETALLE CRONOLÓGICO'!$D$2:$D$4919,MATCH($A386,'DETALLE CRONOLÓGICO'!$A$2:$A$4919,0))</f>
        <v/>
      </c>
      <c r="H386" s="1">
        <f>INDEX('DETALLE CRONOLÓGICO'!$D$2:$D$4919,MATCH($A386,'DETALLE CRONOLÓGICO'!$A$2:$A$4919,0)+$E386-1)</f>
        <v/>
      </c>
      <c r="I386" s="5">
        <f>IFERROR(SUMIFS('DETALLE CRONOLÓGICO'!$L$2:$L$4919,'DETALLE CRONOLÓGICO'!$A$2:$A$4919,$A386)/$F386,"")</f>
        <v/>
      </c>
      <c r="J386" s="6">
        <f>IFERROR(SUMIFS('DETALLE CRONOLÓGICO'!$K$2:$K$4919,'DETALLE CRONOLÓGICO'!$A$2:$A$4919,$A386)/$E386,"")</f>
        <v/>
      </c>
      <c r="K386" s="6">
        <f>_xlfn.MINIFS('DETALLE CRONOLÓGICO'!$K$2:$K$4919,'DETALLE CRONOLÓGICO'!$A$2:$A$4919,$A386)</f>
        <v/>
      </c>
      <c r="L386" s="6">
        <f>_xlfn.MAXIFS('DETALLE CRONOLÓGICO'!$K$2:$K$4919,'DETALLE CRONOLÓGICO'!$A$2:$A$4919,$A386)</f>
        <v/>
      </c>
      <c r="M386" s="6">
        <f>INDEX('DETALLE CRONOLÓGICO'!$K$2:$K$4919,MATCH($A386,'DETALLE CRONOLÓGICO'!$A$2:$A$4919,0)+$E386-1)</f>
        <v/>
      </c>
      <c r="N386" s="7">
        <f>IFERROR($M386/INDEX('DETALLE CRONOLÓGICO'!$K$2:$K$4919,MATCH($A386,'DETALLE CRONOLÓGICO'!$A$2:$A$4919,0))-1,"")</f>
        <v/>
      </c>
      <c r="O386" s="6">
        <f>IFERROR($I386*3,"")</f>
        <v/>
      </c>
      <c r="P386" s="6">
        <f>IFERROR($I386*3.5,"")</f>
        <v/>
      </c>
      <c r="Q386" s="6">
        <f>IFERROR($I386*4,"")</f>
        <v/>
      </c>
      <c r="R386" s="6" t="n">
        <v>550</v>
      </c>
      <c r="S386" s="4" t="n">
        <v>3</v>
      </c>
      <c r="T386" s="1" t="inlineStr">
        <is>
          <t>active</t>
        </is>
      </c>
      <c r="U386" s="8" t="n"/>
      <c r="V386" s="1" t="inlineStr">
        <is>
          <t>SIN PRECIO</t>
        </is>
      </c>
    </row>
    <row r="387">
      <c r="A387" s="1" t="inlineStr">
        <is>
          <t>2653039567500</t>
        </is>
      </c>
      <c r="B387" s="1" t="inlineStr">
        <is>
          <t>ANILLO BV GOLD</t>
        </is>
      </c>
      <c r="C387" s="1" t="inlineStr">
        <is>
          <t>12</t>
        </is>
      </c>
      <c r="D387" s="1" t="inlineStr">
        <is>
          <t>COCOMA</t>
        </is>
      </c>
      <c r="E387" s="4">
        <f>COUNTIF('DETALLE CRONOLÓGICO'!$A$2:$A$4919,$A387)</f>
        <v/>
      </c>
      <c r="F387" s="4">
        <f>SUMIFS('DETALLE CRONOLÓGICO'!$I$2:$I$4919,'DETALLE CRONOLÓGICO'!$A$2:$A$4919,$A387)</f>
        <v/>
      </c>
      <c r="G387" s="1">
        <f>INDEX('DETALLE CRONOLÓGICO'!$D$2:$D$4919,MATCH($A387,'DETALLE CRONOLÓGICO'!$A$2:$A$4919,0))</f>
        <v/>
      </c>
      <c r="H387" s="1">
        <f>INDEX('DETALLE CRONOLÓGICO'!$D$2:$D$4919,MATCH($A387,'DETALLE CRONOLÓGICO'!$A$2:$A$4919,0)+$E387-1)</f>
        <v/>
      </c>
      <c r="I387" s="5">
        <f>IFERROR(SUMIFS('DETALLE CRONOLÓGICO'!$L$2:$L$4919,'DETALLE CRONOLÓGICO'!$A$2:$A$4919,$A387)/$F387,"")</f>
        <v/>
      </c>
      <c r="J387" s="6">
        <f>IFERROR(SUMIFS('DETALLE CRONOLÓGICO'!$K$2:$K$4919,'DETALLE CRONOLÓGICO'!$A$2:$A$4919,$A387)/$E387,"")</f>
        <v/>
      </c>
      <c r="K387" s="6">
        <f>_xlfn.MINIFS('DETALLE CRONOLÓGICO'!$K$2:$K$4919,'DETALLE CRONOLÓGICO'!$A$2:$A$4919,$A387)</f>
        <v/>
      </c>
      <c r="L387" s="6">
        <f>_xlfn.MAXIFS('DETALLE CRONOLÓGICO'!$K$2:$K$4919,'DETALLE CRONOLÓGICO'!$A$2:$A$4919,$A387)</f>
        <v/>
      </c>
      <c r="M387" s="6">
        <f>INDEX('DETALLE CRONOLÓGICO'!$K$2:$K$4919,MATCH($A387,'DETALLE CRONOLÓGICO'!$A$2:$A$4919,0)+$E387-1)</f>
        <v/>
      </c>
      <c r="N387" s="7">
        <f>IFERROR($M387/INDEX('DETALLE CRONOLÓGICO'!$K$2:$K$4919,MATCH($A387,'DETALLE CRONOLÓGICO'!$A$2:$A$4919,0))-1,"")</f>
        <v/>
      </c>
      <c r="O387" s="6">
        <f>IFERROR($I387*3,"")</f>
        <v/>
      </c>
      <c r="P387" s="6">
        <f>IFERROR($I387*3.5,"")</f>
        <v/>
      </c>
      <c r="Q387" s="6">
        <f>IFERROR($I387*4,"")</f>
        <v/>
      </c>
      <c r="R387" s="6" t="n">
        <v>550</v>
      </c>
      <c r="S387" s="4" t="n">
        <v>0</v>
      </c>
      <c r="T387" s="1" t="inlineStr">
        <is>
          <t>active</t>
        </is>
      </c>
      <c r="U387" s="8" t="n"/>
      <c r="V387" s="1" t="inlineStr">
        <is>
          <t>SIN PRECIO</t>
        </is>
      </c>
    </row>
    <row r="388">
      <c r="A388" s="1" t="inlineStr">
        <is>
          <t>26853591099213</t>
        </is>
      </c>
      <c r="B388" s="1" t="inlineStr">
        <is>
          <t>GORRA BARBAS EL MAGO</t>
        </is>
      </c>
      <c r="C388" s="1" t="inlineStr">
        <is>
          <t>Default Title</t>
        </is>
      </c>
      <c r="D388" s="1" t="inlineStr">
        <is>
          <t>COCO ZHANG</t>
        </is>
      </c>
      <c r="E388" s="4">
        <f>COUNTIF('DETALLE CRONOLÓGICO'!$A$2:$A$4919,$A388)</f>
        <v/>
      </c>
      <c r="F388" s="4">
        <f>SUMIFS('DETALLE CRONOLÓGICO'!$I$2:$I$4919,'DETALLE CRONOLÓGICO'!$A$2:$A$4919,$A388)</f>
        <v/>
      </c>
      <c r="G388" s="1">
        <f>INDEX('DETALLE CRONOLÓGICO'!$D$2:$D$4919,MATCH($A388,'DETALLE CRONOLÓGICO'!$A$2:$A$4919,0))</f>
        <v/>
      </c>
      <c r="H388" s="1">
        <f>INDEX('DETALLE CRONOLÓGICO'!$D$2:$D$4919,MATCH($A388,'DETALLE CRONOLÓGICO'!$A$2:$A$4919,0)+$E388-1)</f>
        <v/>
      </c>
      <c r="I388" s="5">
        <f>IFERROR(SUMIFS('DETALLE CRONOLÓGICO'!$L$2:$L$4919,'DETALLE CRONOLÓGICO'!$A$2:$A$4919,$A388)/$F388,"")</f>
        <v/>
      </c>
      <c r="J388" s="6">
        <f>IFERROR(SUMIFS('DETALLE CRONOLÓGICO'!$K$2:$K$4919,'DETALLE CRONOLÓGICO'!$A$2:$A$4919,$A388)/$E388,"")</f>
        <v/>
      </c>
      <c r="K388" s="6">
        <f>_xlfn.MINIFS('DETALLE CRONOLÓGICO'!$K$2:$K$4919,'DETALLE CRONOLÓGICO'!$A$2:$A$4919,$A388)</f>
        <v/>
      </c>
      <c r="L388" s="6">
        <f>_xlfn.MAXIFS('DETALLE CRONOLÓGICO'!$K$2:$K$4919,'DETALLE CRONOLÓGICO'!$A$2:$A$4919,$A388)</f>
        <v/>
      </c>
      <c r="M388" s="6">
        <f>INDEX('DETALLE CRONOLÓGICO'!$K$2:$K$4919,MATCH($A388,'DETALLE CRONOLÓGICO'!$A$2:$A$4919,0)+$E388-1)</f>
        <v/>
      </c>
      <c r="N388" s="7">
        <f>IFERROR($M388/INDEX('DETALLE CRONOLÓGICO'!$K$2:$K$4919,MATCH($A388,'DETALLE CRONOLÓGICO'!$A$2:$A$4919,0))-1,"")</f>
        <v/>
      </c>
      <c r="O388" s="6">
        <f>IFERROR($I388*3,"")</f>
        <v/>
      </c>
      <c r="P388" s="6">
        <f>IFERROR($I388*3.5,"")</f>
        <v/>
      </c>
      <c r="Q388" s="6">
        <f>IFERROR($I388*4,"")</f>
        <v/>
      </c>
      <c r="R388" s="6" t="n">
        <v>1550</v>
      </c>
      <c r="S388" s="4" t="n">
        <v>2</v>
      </c>
      <c r="T388" s="1" t="inlineStr">
        <is>
          <t>active</t>
        </is>
      </c>
      <c r="U388" s="8" t="n"/>
      <c r="V388" s="1" t="inlineStr">
        <is>
          <t>SIN PRECIO</t>
        </is>
      </c>
    </row>
    <row r="389">
      <c r="A389" s="1" t="inlineStr">
        <is>
          <t>26853591164749</t>
        </is>
      </c>
      <c r="B389" s="1" t="inlineStr">
        <is>
          <t>GORRA THIRTY ONE FOREVER</t>
        </is>
      </c>
      <c r="C389" s="1" t="inlineStr">
        <is>
          <t>Default Title</t>
        </is>
      </c>
      <c r="D389" s="1" t="inlineStr">
        <is>
          <t>COCO ZHANG</t>
        </is>
      </c>
      <c r="E389" s="4">
        <f>COUNTIF('DETALLE CRONOLÓGICO'!$A$2:$A$4919,$A389)</f>
        <v/>
      </c>
      <c r="F389" s="4">
        <f>SUMIFS('DETALLE CRONOLÓGICO'!$I$2:$I$4919,'DETALLE CRONOLÓGICO'!$A$2:$A$4919,$A389)</f>
        <v/>
      </c>
      <c r="G389" s="1">
        <f>INDEX('DETALLE CRONOLÓGICO'!$D$2:$D$4919,MATCH($A389,'DETALLE CRONOLÓGICO'!$A$2:$A$4919,0))</f>
        <v/>
      </c>
      <c r="H389" s="1">
        <f>INDEX('DETALLE CRONOLÓGICO'!$D$2:$D$4919,MATCH($A389,'DETALLE CRONOLÓGICO'!$A$2:$A$4919,0)+$E389-1)</f>
        <v/>
      </c>
      <c r="I389" s="5">
        <f>IFERROR(SUMIFS('DETALLE CRONOLÓGICO'!$L$2:$L$4919,'DETALLE CRONOLÓGICO'!$A$2:$A$4919,$A389)/$F389,"")</f>
        <v/>
      </c>
      <c r="J389" s="6">
        <f>IFERROR(SUMIFS('DETALLE CRONOLÓGICO'!$K$2:$K$4919,'DETALLE CRONOLÓGICO'!$A$2:$A$4919,$A389)/$E389,"")</f>
        <v/>
      </c>
      <c r="K389" s="6">
        <f>_xlfn.MINIFS('DETALLE CRONOLÓGICO'!$K$2:$K$4919,'DETALLE CRONOLÓGICO'!$A$2:$A$4919,$A389)</f>
        <v/>
      </c>
      <c r="L389" s="6">
        <f>_xlfn.MAXIFS('DETALLE CRONOLÓGICO'!$K$2:$K$4919,'DETALLE CRONOLÓGICO'!$A$2:$A$4919,$A389)</f>
        <v/>
      </c>
      <c r="M389" s="6">
        <f>INDEX('DETALLE CRONOLÓGICO'!$K$2:$K$4919,MATCH($A389,'DETALLE CRONOLÓGICO'!$A$2:$A$4919,0)+$E389-1)</f>
        <v/>
      </c>
      <c r="N389" s="7">
        <f>IFERROR($M389/INDEX('DETALLE CRONOLÓGICO'!$K$2:$K$4919,MATCH($A389,'DETALLE CRONOLÓGICO'!$A$2:$A$4919,0))-1,"")</f>
        <v/>
      </c>
      <c r="O389" s="6">
        <f>IFERROR($I389*3,"")</f>
        <v/>
      </c>
      <c r="P389" s="6">
        <f>IFERROR($I389*3.5,"")</f>
        <v/>
      </c>
      <c r="Q389" s="6">
        <f>IFERROR($I389*4,"")</f>
        <v/>
      </c>
      <c r="R389" s="6" t="n">
        <v>1550</v>
      </c>
      <c r="S389" s="4" t="n">
        <v>2</v>
      </c>
      <c r="T389" s="1" t="inlineStr">
        <is>
          <t>active</t>
        </is>
      </c>
      <c r="U389" s="8" t="n"/>
      <c r="V389" s="1" t="inlineStr">
        <is>
          <t>SIN PRECIO</t>
        </is>
      </c>
    </row>
    <row r="390">
      <c r="A390" s="1" t="inlineStr">
        <is>
          <t>26853591295821</t>
        </is>
      </c>
      <c r="B390" s="1" t="inlineStr">
        <is>
          <t>GORRA EL BARBAS CHROME X CT</t>
        </is>
      </c>
      <c r="C390" s="1" t="inlineStr">
        <is>
          <t>Default Title</t>
        </is>
      </c>
      <c r="D390" s="1" t="inlineStr">
        <is>
          <t>COCO ZHANG</t>
        </is>
      </c>
      <c r="E390" s="4">
        <f>COUNTIF('DETALLE CRONOLÓGICO'!$A$2:$A$4919,$A390)</f>
        <v/>
      </c>
      <c r="F390" s="4">
        <f>SUMIFS('DETALLE CRONOLÓGICO'!$I$2:$I$4919,'DETALLE CRONOLÓGICO'!$A$2:$A$4919,$A390)</f>
        <v/>
      </c>
      <c r="G390" s="1">
        <f>INDEX('DETALLE CRONOLÓGICO'!$D$2:$D$4919,MATCH($A390,'DETALLE CRONOLÓGICO'!$A$2:$A$4919,0))</f>
        <v/>
      </c>
      <c r="H390" s="1">
        <f>INDEX('DETALLE CRONOLÓGICO'!$D$2:$D$4919,MATCH($A390,'DETALLE CRONOLÓGICO'!$A$2:$A$4919,0)+$E390-1)</f>
        <v/>
      </c>
      <c r="I390" s="5">
        <f>IFERROR(SUMIFS('DETALLE CRONOLÓGICO'!$L$2:$L$4919,'DETALLE CRONOLÓGICO'!$A$2:$A$4919,$A390)/$F390,"")</f>
        <v/>
      </c>
      <c r="J390" s="6">
        <f>IFERROR(SUMIFS('DETALLE CRONOLÓGICO'!$K$2:$K$4919,'DETALLE CRONOLÓGICO'!$A$2:$A$4919,$A390)/$E390,"")</f>
        <v/>
      </c>
      <c r="K390" s="6">
        <f>_xlfn.MINIFS('DETALLE CRONOLÓGICO'!$K$2:$K$4919,'DETALLE CRONOLÓGICO'!$A$2:$A$4919,$A390)</f>
        <v/>
      </c>
      <c r="L390" s="6">
        <f>_xlfn.MAXIFS('DETALLE CRONOLÓGICO'!$K$2:$K$4919,'DETALLE CRONOLÓGICO'!$A$2:$A$4919,$A390)</f>
        <v/>
      </c>
      <c r="M390" s="6">
        <f>INDEX('DETALLE CRONOLÓGICO'!$K$2:$K$4919,MATCH($A390,'DETALLE CRONOLÓGICO'!$A$2:$A$4919,0)+$E390-1)</f>
        <v/>
      </c>
      <c r="N390" s="7">
        <f>IFERROR($M390/INDEX('DETALLE CRONOLÓGICO'!$K$2:$K$4919,MATCH($A390,'DETALLE CRONOLÓGICO'!$A$2:$A$4919,0))-1,"")</f>
        <v/>
      </c>
      <c r="O390" s="6">
        <f>IFERROR($I390*3,"")</f>
        <v/>
      </c>
      <c r="P390" s="6">
        <f>IFERROR($I390*3.5,"")</f>
        <v/>
      </c>
      <c r="Q390" s="6">
        <f>IFERROR($I390*4,"")</f>
        <v/>
      </c>
      <c r="R390" s="6" t="n">
        <v>1007</v>
      </c>
      <c r="S390" s="4" t="n">
        <v>2</v>
      </c>
      <c r="T390" s="1" t="inlineStr">
        <is>
          <t>active</t>
        </is>
      </c>
      <c r="U390" s="8" t="n"/>
      <c r="V390" s="1" t="inlineStr">
        <is>
          <t>SIN PRECIO</t>
        </is>
      </c>
    </row>
    <row r="391">
      <c r="A391" s="1" t="inlineStr">
        <is>
          <t>26853591330285</t>
        </is>
      </c>
      <c r="B391" s="1" t="inlineStr">
        <is>
          <t>GORRA EL BARBAS CHROME</t>
        </is>
      </c>
      <c r="C391" s="1" t="inlineStr">
        <is>
          <t>Default Title</t>
        </is>
      </c>
      <c r="D391" s="1" t="inlineStr">
        <is>
          <t>COCO ZHANG</t>
        </is>
      </c>
      <c r="E391" s="4">
        <f>COUNTIF('DETALLE CRONOLÓGICO'!$A$2:$A$4919,$A391)</f>
        <v/>
      </c>
      <c r="F391" s="4">
        <f>SUMIFS('DETALLE CRONOLÓGICO'!$I$2:$I$4919,'DETALLE CRONOLÓGICO'!$A$2:$A$4919,$A391)</f>
        <v/>
      </c>
      <c r="G391" s="1">
        <f>INDEX('DETALLE CRONOLÓGICO'!$D$2:$D$4919,MATCH($A391,'DETALLE CRONOLÓGICO'!$A$2:$A$4919,0))</f>
        <v/>
      </c>
      <c r="H391" s="1">
        <f>INDEX('DETALLE CRONOLÓGICO'!$D$2:$D$4919,MATCH($A391,'DETALLE CRONOLÓGICO'!$A$2:$A$4919,0)+$E391-1)</f>
        <v/>
      </c>
      <c r="I391" s="5">
        <f>IFERROR(SUMIFS('DETALLE CRONOLÓGICO'!$L$2:$L$4919,'DETALLE CRONOLÓGICO'!$A$2:$A$4919,$A391)/$F391,"")</f>
        <v/>
      </c>
      <c r="J391" s="6">
        <f>IFERROR(SUMIFS('DETALLE CRONOLÓGICO'!$K$2:$K$4919,'DETALLE CRONOLÓGICO'!$A$2:$A$4919,$A391)/$E391,"")</f>
        <v/>
      </c>
      <c r="K391" s="6">
        <f>_xlfn.MINIFS('DETALLE CRONOLÓGICO'!$K$2:$K$4919,'DETALLE CRONOLÓGICO'!$A$2:$A$4919,$A391)</f>
        <v/>
      </c>
      <c r="L391" s="6">
        <f>_xlfn.MAXIFS('DETALLE CRONOLÓGICO'!$K$2:$K$4919,'DETALLE CRONOLÓGICO'!$A$2:$A$4919,$A391)</f>
        <v/>
      </c>
      <c r="M391" s="6">
        <f>INDEX('DETALLE CRONOLÓGICO'!$K$2:$K$4919,MATCH($A391,'DETALLE CRONOLÓGICO'!$A$2:$A$4919,0)+$E391-1)</f>
        <v/>
      </c>
      <c r="N391" s="7">
        <f>IFERROR($M391/INDEX('DETALLE CRONOLÓGICO'!$K$2:$K$4919,MATCH($A391,'DETALLE CRONOLÓGICO'!$A$2:$A$4919,0))-1,"")</f>
        <v/>
      </c>
      <c r="O391" s="6">
        <f>IFERROR($I391*3,"")</f>
        <v/>
      </c>
      <c r="P391" s="6">
        <f>IFERROR($I391*3.5,"")</f>
        <v/>
      </c>
      <c r="Q391" s="6">
        <f>IFERROR($I391*4,"")</f>
        <v/>
      </c>
      <c r="R391" s="6" t="n">
        <v>1550</v>
      </c>
      <c r="S391" s="4" t="n">
        <v>2</v>
      </c>
      <c r="T391" s="1" t="inlineStr">
        <is>
          <t>active</t>
        </is>
      </c>
      <c r="U391" s="8" t="n"/>
      <c r="V391" s="1" t="inlineStr">
        <is>
          <t>SIN PRECIO</t>
        </is>
      </c>
    </row>
    <row r="392">
      <c r="A392" s="1" t="inlineStr">
        <is>
          <t>26853591497517</t>
        </is>
      </c>
      <c r="B392" s="1" t="inlineStr">
        <is>
          <t>GORRA DANDY ONYX</t>
        </is>
      </c>
      <c r="C392" s="1" t="inlineStr">
        <is>
          <t>Default Title</t>
        </is>
      </c>
      <c r="D392" s="1" t="inlineStr">
        <is>
          <t>COCO ZHANG</t>
        </is>
      </c>
      <c r="E392" s="4">
        <f>COUNTIF('DETALLE CRONOLÓGICO'!$A$2:$A$4919,$A392)</f>
        <v/>
      </c>
      <c r="F392" s="4">
        <f>SUMIFS('DETALLE CRONOLÓGICO'!$I$2:$I$4919,'DETALLE CRONOLÓGICO'!$A$2:$A$4919,$A392)</f>
        <v/>
      </c>
      <c r="G392" s="1">
        <f>INDEX('DETALLE CRONOLÓGICO'!$D$2:$D$4919,MATCH($A392,'DETALLE CRONOLÓGICO'!$A$2:$A$4919,0))</f>
        <v/>
      </c>
      <c r="H392" s="1">
        <f>INDEX('DETALLE CRONOLÓGICO'!$D$2:$D$4919,MATCH($A392,'DETALLE CRONOLÓGICO'!$A$2:$A$4919,0)+$E392-1)</f>
        <v/>
      </c>
      <c r="I392" s="5">
        <f>IFERROR(SUMIFS('DETALLE CRONOLÓGICO'!$L$2:$L$4919,'DETALLE CRONOLÓGICO'!$A$2:$A$4919,$A392)/$F392,"")</f>
        <v/>
      </c>
      <c r="J392" s="6">
        <f>IFERROR(SUMIFS('DETALLE CRONOLÓGICO'!$K$2:$K$4919,'DETALLE CRONOLÓGICO'!$A$2:$A$4919,$A392)/$E392,"")</f>
        <v/>
      </c>
      <c r="K392" s="6">
        <f>_xlfn.MINIFS('DETALLE CRONOLÓGICO'!$K$2:$K$4919,'DETALLE CRONOLÓGICO'!$A$2:$A$4919,$A392)</f>
        <v/>
      </c>
      <c r="L392" s="6">
        <f>_xlfn.MAXIFS('DETALLE CRONOLÓGICO'!$K$2:$K$4919,'DETALLE CRONOLÓGICO'!$A$2:$A$4919,$A392)</f>
        <v/>
      </c>
      <c r="M392" s="6">
        <f>INDEX('DETALLE CRONOLÓGICO'!$K$2:$K$4919,MATCH($A392,'DETALLE CRONOLÓGICO'!$A$2:$A$4919,0)+$E392-1)</f>
        <v/>
      </c>
      <c r="N392" s="7">
        <f>IFERROR($M392/INDEX('DETALLE CRONOLÓGICO'!$K$2:$K$4919,MATCH($A392,'DETALLE CRONOLÓGICO'!$A$2:$A$4919,0))-1,"")</f>
        <v/>
      </c>
      <c r="O392" s="6">
        <f>IFERROR($I392*3,"")</f>
        <v/>
      </c>
      <c r="P392" s="6">
        <f>IFERROR($I392*3.5,"")</f>
        <v/>
      </c>
      <c r="Q392" s="6">
        <f>IFERROR($I392*4,"")</f>
        <v/>
      </c>
      <c r="R392" s="6" t="n">
        <v>1550</v>
      </c>
      <c r="S392" s="4" t="n">
        <v>2</v>
      </c>
      <c r="T392" s="1" t="inlineStr">
        <is>
          <t>active</t>
        </is>
      </c>
      <c r="U392" s="8" t="n"/>
      <c r="V392" s="1" t="inlineStr">
        <is>
          <t>SIN PRECIO</t>
        </is>
      </c>
    </row>
    <row r="393">
      <c r="A393" s="1" t="inlineStr">
        <is>
          <t>26853591559661</t>
        </is>
      </c>
      <c r="B393" s="1" t="inlineStr">
        <is>
          <t>GORRA EL BARBAS X RICH THE KID STATE</t>
        </is>
      </c>
      <c r="C393" s="1" t="inlineStr">
        <is>
          <t>Default Title</t>
        </is>
      </c>
      <c r="D393" s="1" t="inlineStr">
        <is>
          <t>COCO ZHANG</t>
        </is>
      </c>
      <c r="E393" s="4">
        <f>COUNTIF('DETALLE CRONOLÓGICO'!$A$2:$A$4919,$A393)</f>
        <v/>
      </c>
      <c r="F393" s="4">
        <f>SUMIFS('DETALLE CRONOLÓGICO'!$I$2:$I$4919,'DETALLE CRONOLÓGICO'!$A$2:$A$4919,$A393)</f>
        <v/>
      </c>
      <c r="G393" s="1">
        <f>INDEX('DETALLE CRONOLÓGICO'!$D$2:$D$4919,MATCH($A393,'DETALLE CRONOLÓGICO'!$A$2:$A$4919,0))</f>
        <v/>
      </c>
      <c r="H393" s="1">
        <f>INDEX('DETALLE CRONOLÓGICO'!$D$2:$D$4919,MATCH($A393,'DETALLE CRONOLÓGICO'!$A$2:$A$4919,0)+$E393-1)</f>
        <v/>
      </c>
      <c r="I393" s="5">
        <f>IFERROR(SUMIFS('DETALLE CRONOLÓGICO'!$L$2:$L$4919,'DETALLE CRONOLÓGICO'!$A$2:$A$4919,$A393)/$F393,"")</f>
        <v/>
      </c>
      <c r="J393" s="6">
        <f>IFERROR(SUMIFS('DETALLE CRONOLÓGICO'!$K$2:$K$4919,'DETALLE CRONOLÓGICO'!$A$2:$A$4919,$A393)/$E393,"")</f>
        <v/>
      </c>
      <c r="K393" s="6">
        <f>_xlfn.MINIFS('DETALLE CRONOLÓGICO'!$K$2:$K$4919,'DETALLE CRONOLÓGICO'!$A$2:$A$4919,$A393)</f>
        <v/>
      </c>
      <c r="L393" s="6">
        <f>_xlfn.MAXIFS('DETALLE CRONOLÓGICO'!$K$2:$K$4919,'DETALLE CRONOLÓGICO'!$A$2:$A$4919,$A393)</f>
        <v/>
      </c>
      <c r="M393" s="6">
        <f>INDEX('DETALLE CRONOLÓGICO'!$K$2:$K$4919,MATCH($A393,'DETALLE CRONOLÓGICO'!$A$2:$A$4919,0)+$E393-1)</f>
        <v/>
      </c>
      <c r="N393" s="7">
        <f>IFERROR($M393/INDEX('DETALLE CRONOLÓGICO'!$K$2:$K$4919,MATCH($A393,'DETALLE CRONOLÓGICO'!$A$2:$A$4919,0))-1,"")</f>
        <v/>
      </c>
      <c r="O393" s="6">
        <f>IFERROR($I393*3,"")</f>
        <v/>
      </c>
      <c r="P393" s="6">
        <f>IFERROR($I393*3.5,"")</f>
        <v/>
      </c>
      <c r="Q393" s="6">
        <f>IFERROR($I393*4,"")</f>
        <v/>
      </c>
      <c r="R393" s="6" t="n">
        <v>1550</v>
      </c>
      <c r="S393" s="4" t="n">
        <v>2</v>
      </c>
      <c r="T393" s="1" t="inlineStr">
        <is>
          <t>active</t>
        </is>
      </c>
      <c r="U393" s="8" t="n"/>
      <c r="V393" s="1" t="inlineStr">
        <is>
          <t>SIN PRECIO</t>
        </is>
      </c>
    </row>
    <row r="394">
      <c r="A394" s="1" t="inlineStr">
        <is>
          <t>26853591657965</t>
        </is>
      </c>
      <c r="B394" s="1" t="inlineStr">
        <is>
          <t>GORRA DANDY X JUNIOR EL AZUL</t>
        </is>
      </c>
      <c r="C394" s="1" t="inlineStr">
        <is>
          <t>Default Title</t>
        </is>
      </c>
      <c r="D394" s="1" t="inlineStr">
        <is>
          <t>COCO ZHANG</t>
        </is>
      </c>
      <c r="E394" s="4">
        <f>COUNTIF('DETALLE CRONOLÓGICO'!$A$2:$A$4919,$A394)</f>
        <v/>
      </c>
      <c r="F394" s="4">
        <f>SUMIFS('DETALLE CRONOLÓGICO'!$I$2:$I$4919,'DETALLE CRONOLÓGICO'!$A$2:$A$4919,$A394)</f>
        <v/>
      </c>
      <c r="G394" s="1">
        <f>INDEX('DETALLE CRONOLÓGICO'!$D$2:$D$4919,MATCH($A394,'DETALLE CRONOLÓGICO'!$A$2:$A$4919,0))</f>
        <v/>
      </c>
      <c r="H394" s="1">
        <f>INDEX('DETALLE CRONOLÓGICO'!$D$2:$D$4919,MATCH($A394,'DETALLE CRONOLÓGICO'!$A$2:$A$4919,0)+$E394-1)</f>
        <v/>
      </c>
      <c r="I394" s="5">
        <f>IFERROR(SUMIFS('DETALLE CRONOLÓGICO'!$L$2:$L$4919,'DETALLE CRONOLÓGICO'!$A$2:$A$4919,$A394)/$F394,"")</f>
        <v/>
      </c>
      <c r="J394" s="6">
        <f>IFERROR(SUMIFS('DETALLE CRONOLÓGICO'!$K$2:$K$4919,'DETALLE CRONOLÓGICO'!$A$2:$A$4919,$A394)/$E394,"")</f>
        <v/>
      </c>
      <c r="K394" s="6">
        <f>_xlfn.MINIFS('DETALLE CRONOLÓGICO'!$K$2:$K$4919,'DETALLE CRONOLÓGICO'!$A$2:$A$4919,$A394)</f>
        <v/>
      </c>
      <c r="L394" s="6">
        <f>_xlfn.MAXIFS('DETALLE CRONOLÓGICO'!$K$2:$K$4919,'DETALLE CRONOLÓGICO'!$A$2:$A$4919,$A394)</f>
        <v/>
      </c>
      <c r="M394" s="6">
        <f>INDEX('DETALLE CRONOLÓGICO'!$K$2:$K$4919,MATCH($A394,'DETALLE CRONOLÓGICO'!$A$2:$A$4919,0)+$E394-1)</f>
        <v/>
      </c>
      <c r="N394" s="7">
        <f>IFERROR($M394/INDEX('DETALLE CRONOLÓGICO'!$K$2:$K$4919,MATCH($A394,'DETALLE CRONOLÓGICO'!$A$2:$A$4919,0))-1,"")</f>
        <v/>
      </c>
      <c r="O394" s="6">
        <f>IFERROR($I394*3,"")</f>
        <v/>
      </c>
      <c r="P394" s="6">
        <f>IFERROR($I394*3.5,"")</f>
        <v/>
      </c>
      <c r="Q394" s="6">
        <f>IFERROR($I394*4,"")</f>
        <v/>
      </c>
      <c r="R394" s="6" t="n">
        <v>1550</v>
      </c>
      <c r="S394" s="4" t="n">
        <v>1</v>
      </c>
      <c r="T394" s="1" t="inlineStr">
        <is>
          <t>active</t>
        </is>
      </c>
      <c r="U394" s="8" t="n"/>
      <c r="V394" s="1" t="inlineStr">
        <is>
          <t>SIN PRECIO</t>
        </is>
      </c>
    </row>
    <row r="395">
      <c r="A395" s="1" t="inlineStr">
        <is>
          <t>26853591721805</t>
        </is>
      </c>
      <c r="B395" s="1" t="inlineStr">
        <is>
          <t>GORRA DANDY X JUNIOR CLAVE ALI</t>
        </is>
      </c>
      <c r="C395" s="1" t="inlineStr">
        <is>
          <t>Default Title</t>
        </is>
      </c>
      <c r="D395" s="1" t="inlineStr">
        <is>
          <t>COCO ZHANG</t>
        </is>
      </c>
      <c r="E395" s="4">
        <f>COUNTIF('DETALLE CRONOLÓGICO'!$A$2:$A$4919,$A395)</f>
        <v/>
      </c>
      <c r="F395" s="4">
        <f>SUMIFS('DETALLE CRONOLÓGICO'!$I$2:$I$4919,'DETALLE CRONOLÓGICO'!$A$2:$A$4919,$A395)</f>
        <v/>
      </c>
      <c r="G395" s="1">
        <f>INDEX('DETALLE CRONOLÓGICO'!$D$2:$D$4919,MATCH($A395,'DETALLE CRONOLÓGICO'!$A$2:$A$4919,0))</f>
        <v/>
      </c>
      <c r="H395" s="1">
        <f>INDEX('DETALLE CRONOLÓGICO'!$D$2:$D$4919,MATCH($A395,'DETALLE CRONOLÓGICO'!$A$2:$A$4919,0)+$E395-1)</f>
        <v/>
      </c>
      <c r="I395" s="5">
        <f>IFERROR(SUMIFS('DETALLE CRONOLÓGICO'!$L$2:$L$4919,'DETALLE CRONOLÓGICO'!$A$2:$A$4919,$A395)/$F395,"")</f>
        <v/>
      </c>
      <c r="J395" s="6">
        <f>IFERROR(SUMIFS('DETALLE CRONOLÓGICO'!$K$2:$K$4919,'DETALLE CRONOLÓGICO'!$A$2:$A$4919,$A395)/$E395,"")</f>
        <v/>
      </c>
      <c r="K395" s="6">
        <f>_xlfn.MINIFS('DETALLE CRONOLÓGICO'!$K$2:$K$4919,'DETALLE CRONOLÓGICO'!$A$2:$A$4919,$A395)</f>
        <v/>
      </c>
      <c r="L395" s="6">
        <f>_xlfn.MAXIFS('DETALLE CRONOLÓGICO'!$K$2:$K$4919,'DETALLE CRONOLÓGICO'!$A$2:$A$4919,$A395)</f>
        <v/>
      </c>
      <c r="M395" s="6">
        <f>INDEX('DETALLE CRONOLÓGICO'!$K$2:$K$4919,MATCH($A395,'DETALLE CRONOLÓGICO'!$A$2:$A$4919,0)+$E395-1)</f>
        <v/>
      </c>
      <c r="N395" s="7">
        <f>IFERROR($M395/INDEX('DETALLE CRONOLÓGICO'!$K$2:$K$4919,MATCH($A395,'DETALLE CRONOLÓGICO'!$A$2:$A$4919,0))-1,"")</f>
        <v/>
      </c>
      <c r="O395" s="6">
        <f>IFERROR($I395*3,"")</f>
        <v/>
      </c>
      <c r="P395" s="6">
        <f>IFERROR($I395*3.5,"")</f>
        <v/>
      </c>
      <c r="Q395" s="6">
        <f>IFERROR($I395*4,"")</f>
        <v/>
      </c>
      <c r="R395" s="6" t="n">
        <v>1550</v>
      </c>
      <c r="S395" s="4" t="n">
        <v>1</v>
      </c>
      <c r="T395" s="1" t="inlineStr">
        <is>
          <t>active</t>
        </is>
      </c>
      <c r="U395" s="8" t="n"/>
      <c r="V395" s="1" t="inlineStr">
        <is>
          <t>SIN PRECIO</t>
        </is>
      </c>
    </row>
    <row r="396">
      <c r="A396" s="1" t="inlineStr">
        <is>
          <t>26853591847789</t>
        </is>
      </c>
      <c r="B396" s="1" t="inlineStr">
        <is>
          <t>GORRA EL BARBAS GALAXY</t>
        </is>
      </c>
      <c r="C396" s="1" t="inlineStr">
        <is>
          <t>Default Title</t>
        </is>
      </c>
      <c r="D396" s="1" t="inlineStr">
        <is>
          <t>COCO ZHANG</t>
        </is>
      </c>
      <c r="E396" s="4">
        <f>COUNTIF('DETALLE CRONOLÓGICO'!$A$2:$A$4919,$A396)</f>
        <v/>
      </c>
      <c r="F396" s="4">
        <f>SUMIFS('DETALLE CRONOLÓGICO'!$I$2:$I$4919,'DETALLE CRONOLÓGICO'!$A$2:$A$4919,$A396)</f>
        <v/>
      </c>
      <c r="G396" s="1">
        <f>INDEX('DETALLE CRONOLÓGICO'!$D$2:$D$4919,MATCH($A396,'DETALLE CRONOLÓGICO'!$A$2:$A$4919,0))</f>
        <v/>
      </c>
      <c r="H396" s="1">
        <f>INDEX('DETALLE CRONOLÓGICO'!$D$2:$D$4919,MATCH($A396,'DETALLE CRONOLÓGICO'!$A$2:$A$4919,0)+$E396-1)</f>
        <v/>
      </c>
      <c r="I396" s="5">
        <f>IFERROR(SUMIFS('DETALLE CRONOLÓGICO'!$L$2:$L$4919,'DETALLE CRONOLÓGICO'!$A$2:$A$4919,$A396)/$F396,"")</f>
        <v/>
      </c>
      <c r="J396" s="6">
        <f>IFERROR(SUMIFS('DETALLE CRONOLÓGICO'!$K$2:$K$4919,'DETALLE CRONOLÓGICO'!$A$2:$A$4919,$A396)/$E396,"")</f>
        <v/>
      </c>
      <c r="K396" s="6">
        <f>_xlfn.MINIFS('DETALLE CRONOLÓGICO'!$K$2:$K$4919,'DETALLE CRONOLÓGICO'!$A$2:$A$4919,$A396)</f>
        <v/>
      </c>
      <c r="L396" s="6">
        <f>_xlfn.MAXIFS('DETALLE CRONOLÓGICO'!$K$2:$K$4919,'DETALLE CRONOLÓGICO'!$A$2:$A$4919,$A396)</f>
        <v/>
      </c>
      <c r="M396" s="6">
        <f>INDEX('DETALLE CRONOLÓGICO'!$K$2:$K$4919,MATCH($A396,'DETALLE CRONOLÓGICO'!$A$2:$A$4919,0)+$E396-1)</f>
        <v/>
      </c>
      <c r="N396" s="7">
        <f>IFERROR($M396/INDEX('DETALLE CRONOLÓGICO'!$K$2:$K$4919,MATCH($A396,'DETALLE CRONOLÓGICO'!$A$2:$A$4919,0))-1,"")</f>
        <v/>
      </c>
      <c r="O396" s="6">
        <f>IFERROR($I396*3,"")</f>
        <v/>
      </c>
      <c r="P396" s="6">
        <f>IFERROR($I396*3.5,"")</f>
        <v/>
      </c>
      <c r="Q396" s="6">
        <f>IFERROR($I396*4,"")</f>
        <v/>
      </c>
      <c r="R396" s="6" t="n">
        <v>1550</v>
      </c>
      <c r="S396" s="4" t="n">
        <v>2</v>
      </c>
      <c r="T396" s="1" t="inlineStr">
        <is>
          <t>active</t>
        </is>
      </c>
      <c r="U396" s="8" t="n"/>
      <c r="V396" s="1" t="inlineStr">
        <is>
          <t>SIN PRECIO</t>
        </is>
      </c>
    </row>
    <row r="397">
      <c r="A397" s="1" t="inlineStr">
        <is>
          <t>26853591980557</t>
        </is>
      </c>
      <c r="B397" s="1" t="inlineStr">
        <is>
          <t>GORRA BARBAS B CHROME</t>
        </is>
      </c>
      <c r="C397" s="1" t="inlineStr">
        <is>
          <t>Default Title</t>
        </is>
      </c>
      <c r="D397" s="1" t="inlineStr">
        <is>
          <t>COCO ZHANG</t>
        </is>
      </c>
      <c r="E397" s="4">
        <f>COUNTIF('DETALLE CRONOLÓGICO'!$A$2:$A$4919,$A397)</f>
        <v/>
      </c>
      <c r="F397" s="4">
        <f>SUMIFS('DETALLE CRONOLÓGICO'!$I$2:$I$4919,'DETALLE CRONOLÓGICO'!$A$2:$A$4919,$A397)</f>
        <v/>
      </c>
      <c r="G397" s="1">
        <f>INDEX('DETALLE CRONOLÓGICO'!$D$2:$D$4919,MATCH($A397,'DETALLE CRONOLÓGICO'!$A$2:$A$4919,0))</f>
        <v/>
      </c>
      <c r="H397" s="1">
        <f>INDEX('DETALLE CRONOLÓGICO'!$D$2:$D$4919,MATCH($A397,'DETALLE CRONOLÓGICO'!$A$2:$A$4919,0)+$E397-1)</f>
        <v/>
      </c>
      <c r="I397" s="5">
        <f>IFERROR(SUMIFS('DETALLE CRONOLÓGICO'!$L$2:$L$4919,'DETALLE CRONOLÓGICO'!$A$2:$A$4919,$A397)/$F397,"")</f>
        <v/>
      </c>
      <c r="J397" s="6">
        <f>IFERROR(SUMIFS('DETALLE CRONOLÓGICO'!$K$2:$K$4919,'DETALLE CRONOLÓGICO'!$A$2:$A$4919,$A397)/$E397,"")</f>
        <v/>
      </c>
      <c r="K397" s="6">
        <f>_xlfn.MINIFS('DETALLE CRONOLÓGICO'!$K$2:$K$4919,'DETALLE CRONOLÓGICO'!$A$2:$A$4919,$A397)</f>
        <v/>
      </c>
      <c r="L397" s="6">
        <f>_xlfn.MAXIFS('DETALLE CRONOLÓGICO'!$K$2:$K$4919,'DETALLE CRONOLÓGICO'!$A$2:$A$4919,$A397)</f>
        <v/>
      </c>
      <c r="M397" s="6">
        <f>INDEX('DETALLE CRONOLÓGICO'!$K$2:$K$4919,MATCH($A397,'DETALLE CRONOLÓGICO'!$A$2:$A$4919,0)+$E397-1)</f>
        <v/>
      </c>
      <c r="N397" s="7">
        <f>IFERROR($M397/INDEX('DETALLE CRONOLÓGICO'!$K$2:$K$4919,MATCH($A397,'DETALLE CRONOLÓGICO'!$A$2:$A$4919,0))-1,"")</f>
        <v/>
      </c>
      <c r="O397" s="6">
        <f>IFERROR($I397*3,"")</f>
        <v/>
      </c>
      <c r="P397" s="6">
        <f>IFERROR($I397*3.5,"")</f>
        <v/>
      </c>
      <c r="Q397" s="6">
        <f>IFERROR($I397*4,"")</f>
        <v/>
      </c>
      <c r="R397" s="6" t="n">
        <v>1199</v>
      </c>
      <c r="S397" s="4" t="n">
        <v>0</v>
      </c>
      <c r="T397" s="1" t="inlineStr">
        <is>
          <t>active</t>
        </is>
      </c>
      <c r="U397" s="8" t="n"/>
      <c r="V397" s="1" t="inlineStr">
        <is>
          <t>SIN PRECIO</t>
        </is>
      </c>
    </row>
    <row r="398">
      <c r="A398" s="1" t="inlineStr">
        <is>
          <t>26853592046093</t>
        </is>
      </c>
      <c r="B398" s="1" t="inlineStr">
        <is>
          <t>GORRA DANDY X LOST HILLS LH CHROME</t>
        </is>
      </c>
      <c r="C398" s="1" t="inlineStr">
        <is>
          <t>Default Title</t>
        </is>
      </c>
      <c r="D398" s="1" t="inlineStr">
        <is>
          <t>COCO ZHANG</t>
        </is>
      </c>
      <c r="E398" s="4">
        <f>COUNTIF('DETALLE CRONOLÓGICO'!$A$2:$A$4919,$A398)</f>
        <v/>
      </c>
      <c r="F398" s="4">
        <f>SUMIFS('DETALLE CRONOLÓGICO'!$I$2:$I$4919,'DETALLE CRONOLÓGICO'!$A$2:$A$4919,$A398)</f>
        <v/>
      </c>
      <c r="G398" s="1">
        <f>INDEX('DETALLE CRONOLÓGICO'!$D$2:$D$4919,MATCH($A398,'DETALLE CRONOLÓGICO'!$A$2:$A$4919,0))</f>
        <v/>
      </c>
      <c r="H398" s="1">
        <f>INDEX('DETALLE CRONOLÓGICO'!$D$2:$D$4919,MATCH($A398,'DETALLE CRONOLÓGICO'!$A$2:$A$4919,0)+$E398-1)</f>
        <v/>
      </c>
      <c r="I398" s="5">
        <f>IFERROR(SUMIFS('DETALLE CRONOLÓGICO'!$L$2:$L$4919,'DETALLE CRONOLÓGICO'!$A$2:$A$4919,$A398)/$F398,"")</f>
        <v/>
      </c>
      <c r="J398" s="6">
        <f>IFERROR(SUMIFS('DETALLE CRONOLÓGICO'!$K$2:$K$4919,'DETALLE CRONOLÓGICO'!$A$2:$A$4919,$A398)/$E398,"")</f>
        <v/>
      </c>
      <c r="K398" s="6">
        <f>_xlfn.MINIFS('DETALLE CRONOLÓGICO'!$K$2:$K$4919,'DETALLE CRONOLÓGICO'!$A$2:$A$4919,$A398)</f>
        <v/>
      </c>
      <c r="L398" s="6">
        <f>_xlfn.MAXIFS('DETALLE CRONOLÓGICO'!$K$2:$K$4919,'DETALLE CRONOLÓGICO'!$A$2:$A$4919,$A398)</f>
        <v/>
      </c>
      <c r="M398" s="6">
        <f>INDEX('DETALLE CRONOLÓGICO'!$K$2:$K$4919,MATCH($A398,'DETALLE CRONOLÓGICO'!$A$2:$A$4919,0)+$E398-1)</f>
        <v/>
      </c>
      <c r="N398" s="7">
        <f>IFERROR($M398/INDEX('DETALLE CRONOLÓGICO'!$K$2:$K$4919,MATCH($A398,'DETALLE CRONOLÓGICO'!$A$2:$A$4919,0))-1,"")</f>
        <v/>
      </c>
      <c r="O398" s="6">
        <f>IFERROR($I398*3,"")</f>
        <v/>
      </c>
      <c r="P398" s="6">
        <f>IFERROR($I398*3.5,"")</f>
        <v/>
      </c>
      <c r="Q398" s="6">
        <f>IFERROR($I398*4,"")</f>
        <v/>
      </c>
      <c r="R398" s="6" t="n">
        <v>1550</v>
      </c>
      <c r="S398" s="4" t="n">
        <v>1</v>
      </c>
      <c r="T398" s="1" t="inlineStr">
        <is>
          <t>active</t>
        </is>
      </c>
      <c r="U398" s="8" t="n"/>
      <c r="V398" s="1" t="inlineStr">
        <is>
          <t>SIN PRECIO</t>
        </is>
      </c>
    </row>
    <row r="399">
      <c r="A399" s="1" t="inlineStr">
        <is>
          <t>26853592178861</t>
        </is>
      </c>
      <c r="B399" s="1" t="inlineStr">
        <is>
          <t>GORRA 31 FOREVER BLACK</t>
        </is>
      </c>
      <c r="C399" s="1" t="inlineStr">
        <is>
          <t>Default Title</t>
        </is>
      </c>
      <c r="D399" s="1" t="inlineStr">
        <is>
          <t>COCO ZHANG</t>
        </is>
      </c>
      <c r="E399" s="4">
        <f>COUNTIF('DETALLE CRONOLÓGICO'!$A$2:$A$4919,$A399)</f>
        <v/>
      </c>
      <c r="F399" s="4">
        <f>SUMIFS('DETALLE CRONOLÓGICO'!$I$2:$I$4919,'DETALLE CRONOLÓGICO'!$A$2:$A$4919,$A399)</f>
        <v/>
      </c>
      <c r="G399" s="1">
        <f>INDEX('DETALLE CRONOLÓGICO'!$D$2:$D$4919,MATCH($A399,'DETALLE CRONOLÓGICO'!$A$2:$A$4919,0))</f>
        <v/>
      </c>
      <c r="H399" s="1">
        <f>INDEX('DETALLE CRONOLÓGICO'!$D$2:$D$4919,MATCH($A399,'DETALLE CRONOLÓGICO'!$A$2:$A$4919,0)+$E399-1)</f>
        <v/>
      </c>
      <c r="I399" s="5">
        <f>IFERROR(SUMIFS('DETALLE CRONOLÓGICO'!$L$2:$L$4919,'DETALLE CRONOLÓGICO'!$A$2:$A$4919,$A399)/$F399,"")</f>
        <v/>
      </c>
      <c r="J399" s="6">
        <f>IFERROR(SUMIFS('DETALLE CRONOLÓGICO'!$K$2:$K$4919,'DETALLE CRONOLÓGICO'!$A$2:$A$4919,$A399)/$E399,"")</f>
        <v/>
      </c>
      <c r="K399" s="6">
        <f>_xlfn.MINIFS('DETALLE CRONOLÓGICO'!$K$2:$K$4919,'DETALLE CRONOLÓGICO'!$A$2:$A$4919,$A399)</f>
        <v/>
      </c>
      <c r="L399" s="6">
        <f>_xlfn.MAXIFS('DETALLE CRONOLÓGICO'!$K$2:$K$4919,'DETALLE CRONOLÓGICO'!$A$2:$A$4919,$A399)</f>
        <v/>
      </c>
      <c r="M399" s="6">
        <f>INDEX('DETALLE CRONOLÓGICO'!$K$2:$K$4919,MATCH($A399,'DETALLE CRONOLÓGICO'!$A$2:$A$4919,0)+$E399-1)</f>
        <v/>
      </c>
      <c r="N399" s="7">
        <f>IFERROR($M399/INDEX('DETALLE CRONOLÓGICO'!$K$2:$K$4919,MATCH($A399,'DETALLE CRONOLÓGICO'!$A$2:$A$4919,0))-1,"")</f>
        <v/>
      </c>
      <c r="O399" s="6">
        <f>IFERROR($I399*3,"")</f>
        <v/>
      </c>
      <c r="P399" s="6">
        <f>IFERROR($I399*3.5,"")</f>
        <v/>
      </c>
      <c r="Q399" s="6">
        <f>IFERROR($I399*4,"")</f>
        <v/>
      </c>
      <c r="R399" s="6" t="n">
        <v>1550</v>
      </c>
      <c r="S399" s="4" t="n">
        <v>1</v>
      </c>
      <c r="T399" s="1" t="inlineStr">
        <is>
          <t>active</t>
        </is>
      </c>
      <c r="U399" s="8" t="n"/>
      <c r="V399" s="1" t="inlineStr">
        <is>
          <t>SIN PRECIO</t>
        </is>
      </c>
    </row>
    <row r="400">
      <c r="A400" s="1" t="inlineStr">
        <is>
          <t>26853592244397</t>
        </is>
      </c>
      <c r="B400" s="1" t="inlineStr">
        <is>
          <t>GORRA EL BARBAS 77</t>
        </is>
      </c>
      <c r="C400" s="1" t="inlineStr">
        <is>
          <t>Default Title</t>
        </is>
      </c>
      <c r="D400" s="1" t="inlineStr">
        <is>
          <t>COCO ZHANG</t>
        </is>
      </c>
      <c r="E400" s="4">
        <f>COUNTIF('DETALLE CRONOLÓGICO'!$A$2:$A$4919,$A400)</f>
        <v/>
      </c>
      <c r="F400" s="4">
        <f>SUMIFS('DETALLE CRONOLÓGICO'!$I$2:$I$4919,'DETALLE CRONOLÓGICO'!$A$2:$A$4919,$A400)</f>
        <v/>
      </c>
      <c r="G400" s="1">
        <f>INDEX('DETALLE CRONOLÓGICO'!$D$2:$D$4919,MATCH($A400,'DETALLE CRONOLÓGICO'!$A$2:$A$4919,0))</f>
        <v/>
      </c>
      <c r="H400" s="1">
        <f>INDEX('DETALLE CRONOLÓGICO'!$D$2:$D$4919,MATCH($A400,'DETALLE CRONOLÓGICO'!$A$2:$A$4919,0)+$E400-1)</f>
        <v/>
      </c>
      <c r="I400" s="5">
        <f>IFERROR(SUMIFS('DETALLE CRONOLÓGICO'!$L$2:$L$4919,'DETALLE CRONOLÓGICO'!$A$2:$A$4919,$A400)/$F400,"")</f>
        <v/>
      </c>
      <c r="J400" s="6">
        <f>IFERROR(SUMIFS('DETALLE CRONOLÓGICO'!$K$2:$K$4919,'DETALLE CRONOLÓGICO'!$A$2:$A$4919,$A400)/$E400,"")</f>
        <v/>
      </c>
      <c r="K400" s="6">
        <f>_xlfn.MINIFS('DETALLE CRONOLÓGICO'!$K$2:$K$4919,'DETALLE CRONOLÓGICO'!$A$2:$A$4919,$A400)</f>
        <v/>
      </c>
      <c r="L400" s="6">
        <f>_xlfn.MAXIFS('DETALLE CRONOLÓGICO'!$K$2:$K$4919,'DETALLE CRONOLÓGICO'!$A$2:$A$4919,$A400)</f>
        <v/>
      </c>
      <c r="M400" s="6">
        <f>INDEX('DETALLE CRONOLÓGICO'!$K$2:$K$4919,MATCH($A400,'DETALLE CRONOLÓGICO'!$A$2:$A$4919,0)+$E400-1)</f>
        <v/>
      </c>
      <c r="N400" s="7">
        <f>IFERROR($M400/INDEX('DETALLE CRONOLÓGICO'!$K$2:$K$4919,MATCH($A400,'DETALLE CRONOLÓGICO'!$A$2:$A$4919,0))-1,"")</f>
        <v/>
      </c>
      <c r="O400" s="6">
        <f>IFERROR($I400*3,"")</f>
        <v/>
      </c>
      <c r="P400" s="6">
        <f>IFERROR($I400*3.5,"")</f>
        <v/>
      </c>
      <c r="Q400" s="6">
        <f>IFERROR($I400*4,"")</f>
        <v/>
      </c>
      <c r="R400" s="6" t="n">
        <v>1550</v>
      </c>
      <c r="S400" s="4" t="n">
        <v>1</v>
      </c>
      <c r="T400" s="1" t="inlineStr">
        <is>
          <t>active</t>
        </is>
      </c>
      <c r="U400" s="8" t="n"/>
      <c r="V400" s="1" t="inlineStr">
        <is>
          <t>SIN PRECIO</t>
        </is>
      </c>
    </row>
    <row r="401">
      <c r="A401" s="1" t="inlineStr">
        <is>
          <t>27009181053197</t>
        </is>
      </c>
      <c r="B401" s="1" t="inlineStr">
        <is>
          <t>ANILLO PANTHERE BIG SILVER C</t>
        </is>
      </c>
      <c r="C401" s="1" t="inlineStr">
        <is>
          <t>Default Title</t>
        </is>
      </c>
      <c r="D401" s="1" t="inlineStr">
        <is>
          <t>HAIFENG</t>
        </is>
      </c>
      <c r="E401" s="4">
        <f>COUNTIF('DETALLE CRONOLÓGICO'!$A$2:$A$4919,$A401)</f>
        <v/>
      </c>
      <c r="F401" s="4">
        <f>SUMIFS('DETALLE CRONOLÓGICO'!$I$2:$I$4919,'DETALLE CRONOLÓGICO'!$A$2:$A$4919,$A401)</f>
        <v/>
      </c>
      <c r="G401" s="1">
        <f>INDEX('DETALLE CRONOLÓGICO'!$D$2:$D$4919,MATCH($A401,'DETALLE CRONOLÓGICO'!$A$2:$A$4919,0))</f>
        <v/>
      </c>
      <c r="H401" s="1">
        <f>INDEX('DETALLE CRONOLÓGICO'!$D$2:$D$4919,MATCH($A401,'DETALLE CRONOLÓGICO'!$A$2:$A$4919,0)+$E401-1)</f>
        <v/>
      </c>
      <c r="I401" s="5">
        <f>IFERROR(SUMIFS('DETALLE CRONOLÓGICO'!$L$2:$L$4919,'DETALLE CRONOLÓGICO'!$A$2:$A$4919,$A401)/$F401,"")</f>
        <v/>
      </c>
      <c r="J401" s="6">
        <f>IFERROR(SUMIFS('DETALLE CRONOLÓGICO'!$K$2:$K$4919,'DETALLE CRONOLÓGICO'!$A$2:$A$4919,$A401)/$E401,"")</f>
        <v/>
      </c>
      <c r="K401" s="6">
        <f>_xlfn.MINIFS('DETALLE CRONOLÓGICO'!$K$2:$K$4919,'DETALLE CRONOLÓGICO'!$A$2:$A$4919,$A401)</f>
        <v/>
      </c>
      <c r="L401" s="6">
        <f>_xlfn.MAXIFS('DETALLE CRONOLÓGICO'!$K$2:$K$4919,'DETALLE CRONOLÓGICO'!$A$2:$A$4919,$A401)</f>
        <v/>
      </c>
      <c r="M401" s="6">
        <f>INDEX('DETALLE CRONOLÓGICO'!$K$2:$K$4919,MATCH($A401,'DETALLE CRONOLÓGICO'!$A$2:$A$4919,0)+$E401-1)</f>
        <v/>
      </c>
      <c r="N401" s="7">
        <f>IFERROR($M401/INDEX('DETALLE CRONOLÓGICO'!$K$2:$K$4919,MATCH($A401,'DETALLE CRONOLÓGICO'!$A$2:$A$4919,0))-1,"")</f>
        <v/>
      </c>
      <c r="O401" s="6">
        <f>IFERROR($I401*3,"")</f>
        <v/>
      </c>
      <c r="P401" s="6">
        <f>IFERROR($I401*3.5,"")</f>
        <v/>
      </c>
      <c r="Q401" s="6">
        <f>IFERROR($I401*4,"")</f>
        <v/>
      </c>
      <c r="R401" s="6" t="n">
        <v>750</v>
      </c>
      <c r="S401" s="4" t="n">
        <v>2</v>
      </c>
      <c r="T401" s="1" t="inlineStr">
        <is>
          <t>active</t>
        </is>
      </c>
      <c r="U401" s="8" t="n"/>
      <c r="V401" s="1" t="inlineStr">
        <is>
          <t>SIN PRECIO</t>
        </is>
      </c>
    </row>
    <row r="402">
      <c r="A402" s="1" t="inlineStr">
        <is>
          <t>27127011173132</t>
        </is>
      </c>
      <c r="B402" s="1" t="inlineStr">
        <is>
          <t>COLLAR Bzero SILVER BLACK</t>
        </is>
      </c>
      <c r="C402" s="1" t="inlineStr">
        <is>
          <t>41cm de largo con 8cm de Extension.</t>
        </is>
      </c>
      <c r="D402" s="1" t="inlineStr">
        <is>
          <t>HAIFENG</t>
        </is>
      </c>
      <c r="E402" s="4">
        <f>COUNTIF('DETALLE CRONOLÓGICO'!$A$2:$A$4919,$A402)</f>
        <v/>
      </c>
      <c r="F402" s="4">
        <f>SUMIFS('DETALLE CRONOLÓGICO'!$I$2:$I$4919,'DETALLE CRONOLÓGICO'!$A$2:$A$4919,$A402)</f>
        <v/>
      </c>
      <c r="G402" s="1">
        <f>INDEX('DETALLE CRONOLÓGICO'!$D$2:$D$4919,MATCH($A402,'DETALLE CRONOLÓGICO'!$A$2:$A$4919,0))</f>
        <v/>
      </c>
      <c r="H402" s="1">
        <f>INDEX('DETALLE CRONOLÓGICO'!$D$2:$D$4919,MATCH($A402,'DETALLE CRONOLÓGICO'!$A$2:$A$4919,0)+$E402-1)</f>
        <v/>
      </c>
      <c r="I402" s="5">
        <f>IFERROR(SUMIFS('DETALLE CRONOLÓGICO'!$L$2:$L$4919,'DETALLE CRONOLÓGICO'!$A$2:$A$4919,$A402)/$F402,"")</f>
        <v/>
      </c>
      <c r="J402" s="6">
        <f>IFERROR(SUMIFS('DETALLE CRONOLÓGICO'!$K$2:$K$4919,'DETALLE CRONOLÓGICO'!$A$2:$A$4919,$A402)/$E402,"")</f>
        <v/>
      </c>
      <c r="K402" s="6">
        <f>_xlfn.MINIFS('DETALLE CRONOLÓGICO'!$K$2:$K$4919,'DETALLE CRONOLÓGICO'!$A$2:$A$4919,$A402)</f>
        <v/>
      </c>
      <c r="L402" s="6">
        <f>_xlfn.MAXIFS('DETALLE CRONOLÓGICO'!$K$2:$K$4919,'DETALLE CRONOLÓGICO'!$A$2:$A$4919,$A402)</f>
        <v/>
      </c>
      <c r="M402" s="6">
        <f>INDEX('DETALLE CRONOLÓGICO'!$K$2:$K$4919,MATCH($A402,'DETALLE CRONOLÓGICO'!$A$2:$A$4919,0)+$E402-1)</f>
        <v/>
      </c>
      <c r="N402" s="7">
        <f>IFERROR($M402/INDEX('DETALLE CRONOLÓGICO'!$K$2:$K$4919,MATCH($A402,'DETALLE CRONOLÓGICO'!$A$2:$A$4919,0))-1,"")</f>
        <v/>
      </c>
      <c r="O402" s="6">
        <f>IFERROR($I402*3,"")</f>
        <v/>
      </c>
      <c r="P402" s="6">
        <f>IFERROR($I402*3.5,"")</f>
        <v/>
      </c>
      <c r="Q402" s="6">
        <f>IFERROR($I402*4,"")</f>
        <v/>
      </c>
      <c r="R402" s="6" t="n">
        <v>550</v>
      </c>
      <c r="S402" s="4" t="n">
        <v>5</v>
      </c>
      <c r="T402" s="1" t="inlineStr">
        <is>
          <t>active</t>
        </is>
      </c>
      <c r="U402" s="8" t="n"/>
      <c r="V402" s="1" t="inlineStr">
        <is>
          <t>SIN PRECIO</t>
        </is>
      </c>
    </row>
    <row r="403">
      <c r="A403" s="1" t="inlineStr">
        <is>
          <t>27127017235212</t>
        </is>
      </c>
      <c r="B403" s="1" t="inlineStr">
        <is>
          <t>COLLAR Bzero ROSEGOLD BLACK</t>
        </is>
      </c>
      <c r="C403" s="1" t="inlineStr">
        <is>
          <t>41cm de largo con 8cm de extensión</t>
        </is>
      </c>
      <c r="D403" s="1" t="inlineStr">
        <is>
          <t>HAIFENG</t>
        </is>
      </c>
      <c r="E403" s="4">
        <f>COUNTIF('DETALLE CRONOLÓGICO'!$A$2:$A$4919,$A403)</f>
        <v/>
      </c>
      <c r="F403" s="4">
        <f>SUMIFS('DETALLE CRONOLÓGICO'!$I$2:$I$4919,'DETALLE CRONOLÓGICO'!$A$2:$A$4919,$A403)</f>
        <v/>
      </c>
      <c r="G403" s="1">
        <f>INDEX('DETALLE CRONOLÓGICO'!$D$2:$D$4919,MATCH($A403,'DETALLE CRONOLÓGICO'!$A$2:$A$4919,0))</f>
        <v/>
      </c>
      <c r="H403" s="1">
        <f>INDEX('DETALLE CRONOLÓGICO'!$D$2:$D$4919,MATCH($A403,'DETALLE CRONOLÓGICO'!$A$2:$A$4919,0)+$E403-1)</f>
        <v/>
      </c>
      <c r="I403" s="5">
        <f>IFERROR(SUMIFS('DETALLE CRONOLÓGICO'!$L$2:$L$4919,'DETALLE CRONOLÓGICO'!$A$2:$A$4919,$A403)/$F403,"")</f>
        <v/>
      </c>
      <c r="J403" s="6">
        <f>IFERROR(SUMIFS('DETALLE CRONOLÓGICO'!$K$2:$K$4919,'DETALLE CRONOLÓGICO'!$A$2:$A$4919,$A403)/$E403,"")</f>
        <v/>
      </c>
      <c r="K403" s="6">
        <f>_xlfn.MINIFS('DETALLE CRONOLÓGICO'!$K$2:$K$4919,'DETALLE CRONOLÓGICO'!$A$2:$A$4919,$A403)</f>
        <v/>
      </c>
      <c r="L403" s="6">
        <f>_xlfn.MAXIFS('DETALLE CRONOLÓGICO'!$K$2:$K$4919,'DETALLE CRONOLÓGICO'!$A$2:$A$4919,$A403)</f>
        <v/>
      </c>
      <c r="M403" s="6">
        <f>INDEX('DETALLE CRONOLÓGICO'!$K$2:$K$4919,MATCH($A403,'DETALLE CRONOLÓGICO'!$A$2:$A$4919,0)+$E403-1)</f>
        <v/>
      </c>
      <c r="N403" s="7">
        <f>IFERROR($M403/INDEX('DETALLE CRONOLÓGICO'!$K$2:$K$4919,MATCH($A403,'DETALLE CRONOLÓGICO'!$A$2:$A$4919,0))-1,"")</f>
        <v/>
      </c>
      <c r="O403" s="6">
        <f>IFERROR($I403*3,"")</f>
        <v/>
      </c>
      <c r="P403" s="6">
        <f>IFERROR($I403*3.5,"")</f>
        <v/>
      </c>
      <c r="Q403" s="6">
        <f>IFERROR($I403*4,"")</f>
        <v/>
      </c>
      <c r="R403" s="6" t="n">
        <v>550</v>
      </c>
      <c r="S403" s="4" t="n">
        <v>1</v>
      </c>
      <c r="T403" s="1" t="inlineStr">
        <is>
          <t>active</t>
        </is>
      </c>
      <c r="U403" s="8" t="n"/>
      <c r="V403" s="1" t="inlineStr">
        <is>
          <t>SIN PRECIO</t>
        </is>
      </c>
    </row>
    <row r="404">
      <c r="A404" s="1" t="inlineStr">
        <is>
          <t>27168511089165</t>
        </is>
      </c>
      <c r="B404" s="1" t="inlineStr">
        <is>
          <t>BOLSA GG SMALL BROWN</t>
        </is>
      </c>
      <c r="C404" s="1" t="inlineStr">
        <is>
          <t>Default Title</t>
        </is>
      </c>
      <c r="D404" s="1" t="inlineStr">
        <is>
          <t>ZOEY</t>
        </is>
      </c>
      <c r="E404" s="4">
        <f>COUNTIF('DETALLE CRONOLÓGICO'!$A$2:$A$4919,$A404)</f>
        <v/>
      </c>
      <c r="F404" s="4">
        <f>SUMIFS('DETALLE CRONOLÓGICO'!$I$2:$I$4919,'DETALLE CRONOLÓGICO'!$A$2:$A$4919,$A404)</f>
        <v/>
      </c>
      <c r="G404" s="1">
        <f>INDEX('DETALLE CRONOLÓGICO'!$D$2:$D$4919,MATCH($A404,'DETALLE CRONOLÓGICO'!$A$2:$A$4919,0))</f>
        <v/>
      </c>
      <c r="H404" s="1">
        <f>INDEX('DETALLE CRONOLÓGICO'!$D$2:$D$4919,MATCH($A404,'DETALLE CRONOLÓGICO'!$A$2:$A$4919,0)+$E404-1)</f>
        <v/>
      </c>
      <c r="I404" s="5">
        <f>IFERROR(SUMIFS('DETALLE CRONOLÓGICO'!$L$2:$L$4919,'DETALLE CRONOLÓGICO'!$A$2:$A$4919,$A404)/$F404,"")</f>
        <v/>
      </c>
      <c r="J404" s="6">
        <f>IFERROR(SUMIFS('DETALLE CRONOLÓGICO'!$K$2:$K$4919,'DETALLE CRONOLÓGICO'!$A$2:$A$4919,$A404)/$E404,"")</f>
        <v/>
      </c>
      <c r="K404" s="6">
        <f>_xlfn.MINIFS('DETALLE CRONOLÓGICO'!$K$2:$K$4919,'DETALLE CRONOLÓGICO'!$A$2:$A$4919,$A404)</f>
        <v/>
      </c>
      <c r="L404" s="6">
        <f>_xlfn.MAXIFS('DETALLE CRONOLÓGICO'!$K$2:$K$4919,'DETALLE CRONOLÓGICO'!$A$2:$A$4919,$A404)</f>
        <v/>
      </c>
      <c r="M404" s="6">
        <f>INDEX('DETALLE CRONOLÓGICO'!$K$2:$K$4919,MATCH($A404,'DETALLE CRONOLÓGICO'!$A$2:$A$4919,0)+$E404-1)</f>
        <v/>
      </c>
      <c r="N404" s="7">
        <f>IFERROR($M404/INDEX('DETALLE CRONOLÓGICO'!$K$2:$K$4919,MATCH($A404,'DETALLE CRONOLÓGICO'!$A$2:$A$4919,0))-1,"")</f>
        <v/>
      </c>
      <c r="O404" s="6">
        <f>IFERROR($I404*3,"")</f>
        <v/>
      </c>
      <c r="P404" s="6">
        <f>IFERROR($I404*3.5,"")</f>
        <v/>
      </c>
      <c r="Q404" s="6">
        <f>IFERROR($I404*4,"")</f>
        <v/>
      </c>
      <c r="R404" s="6" t="n">
        <v>4230.59</v>
      </c>
      <c r="S404" s="4" t="n">
        <v>8</v>
      </c>
      <c r="T404" s="1" t="inlineStr">
        <is>
          <t>active</t>
        </is>
      </c>
      <c r="U404" s="8" t="n"/>
      <c r="V404" s="1" t="inlineStr">
        <is>
          <t>SIN PRECIO</t>
        </is>
      </c>
    </row>
    <row r="405">
      <c r="A405" s="1" t="inlineStr">
        <is>
          <t>27854241086413</t>
        </is>
      </c>
      <c r="B405" s="1" t="inlineStr">
        <is>
          <t>ARETES KNOT GOLD</t>
        </is>
      </c>
      <c r="C405" s="1" t="inlineStr">
        <is>
          <t>Default Title</t>
        </is>
      </c>
      <c r="D405" s="1" t="inlineStr">
        <is>
          <t>HAIFENG</t>
        </is>
      </c>
      <c r="E405" s="4">
        <f>COUNTIF('DETALLE CRONOLÓGICO'!$A$2:$A$4919,$A405)</f>
        <v/>
      </c>
      <c r="F405" s="4">
        <f>SUMIFS('DETALLE CRONOLÓGICO'!$I$2:$I$4919,'DETALLE CRONOLÓGICO'!$A$2:$A$4919,$A405)</f>
        <v/>
      </c>
      <c r="G405" s="1">
        <f>INDEX('DETALLE CRONOLÓGICO'!$D$2:$D$4919,MATCH($A405,'DETALLE CRONOLÓGICO'!$A$2:$A$4919,0))</f>
        <v/>
      </c>
      <c r="H405" s="1">
        <f>INDEX('DETALLE CRONOLÓGICO'!$D$2:$D$4919,MATCH($A405,'DETALLE CRONOLÓGICO'!$A$2:$A$4919,0)+$E405-1)</f>
        <v/>
      </c>
      <c r="I405" s="5">
        <f>IFERROR(SUMIFS('DETALLE CRONOLÓGICO'!$L$2:$L$4919,'DETALLE CRONOLÓGICO'!$A$2:$A$4919,$A405)/$F405,"")</f>
        <v/>
      </c>
      <c r="J405" s="6">
        <f>IFERROR(SUMIFS('DETALLE CRONOLÓGICO'!$K$2:$K$4919,'DETALLE CRONOLÓGICO'!$A$2:$A$4919,$A405)/$E405,"")</f>
        <v/>
      </c>
      <c r="K405" s="6">
        <f>_xlfn.MINIFS('DETALLE CRONOLÓGICO'!$K$2:$K$4919,'DETALLE CRONOLÓGICO'!$A$2:$A$4919,$A405)</f>
        <v/>
      </c>
      <c r="L405" s="6">
        <f>_xlfn.MAXIFS('DETALLE CRONOLÓGICO'!$K$2:$K$4919,'DETALLE CRONOLÓGICO'!$A$2:$A$4919,$A405)</f>
        <v/>
      </c>
      <c r="M405" s="6">
        <f>INDEX('DETALLE CRONOLÓGICO'!$K$2:$K$4919,MATCH($A405,'DETALLE CRONOLÓGICO'!$A$2:$A$4919,0)+$E405-1)</f>
        <v/>
      </c>
      <c r="N405" s="7">
        <f>IFERROR($M405/INDEX('DETALLE CRONOLÓGICO'!$K$2:$K$4919,MATCH($A405,'DETALLE CRONOLÓGICO'!$A$2:$A$4919,0))-1,"")</f>
        <v/>
      </c>
      <c r="O405" s="6">
        <f>IFERROR($I405*3,"")</f>
        <v/>
      </c>
      <c r="P405" s="6">
        <f>IFERROR($I405*3.5,"")</f>
        <v/>
      </c>
      <c r="Q405" s="6">
        <f>IFERROR($I405*4,"")</f>
        <v/>
      </c>
      <c r="R405" s="6" t="n">
        <v>250</v>
      </c>
      <c r="S405" s="4" t="n">
        <v>3</v>
      </c>
      <c r="T405" s="1" t="inlineStr">
        <is>
          <t>active</t>
        </is>
      </c>
      <c r="U405" s="8" t="n"/>
      <c r="V405" s="1" t="inlineStr">
        <is>
          <t>SIN PRECIO</t>
        </is>
      </c>
    </row>
    <row r="406">
      <c r="A406" s="1" t="inlineStr">
        <is>
          <t>29024531094765</t>
        </is>
      </c>
      <c r="B406" s="1" t="inlineStr">
        <is>
          <t>UGG PANTUFLAS TAZZ II</t>
        </is>
      </c>
      <c r="C406" s="1" t="inlineStr">
        <is>
          <t>23CM</t>
        </is>
      </c>
      <c r="D406" s="1" t="inlineStr">
        <is>
          <t>ZOEY</t>
        </is>
      </c>
      <c r="E406" s="4">
        <f>COUNTIF('DETALLE CRONOLÓGICO'!$A$2:$A$4919,$A406)</f>
        <v/>
      </c>
      <c r="F406" s="4">
        <f>SUMIFS('DETALLE CRONOLÓGICO'!$I$2:$I$4919,'DETALLE CRONOLÓGICO'!$A$2:$A$4919,$A406)</f>
        <v/>
      </c>
      <c r="G406" s="1">
        <f>INDEX('DETALLE CRONOLÓGICO'!$D$2:$D$4919,MATCH($A406,'DETALLE CRONOLÓGICO'!$A$2:$A$4919,0))</f>
        <v/>
      </c>
      <c r="H406" s="1">
        <f>INDEX('DETALLE CRONOLÓGICO'!$D$2:$D$4919,MATCH($A406,'DETALLE CRONOLÓGICO'!$A$2:$A$4919,0)+$E406-1)</f>
        <v/>
      </c>
      <c r="I406" s="5">
        <f>IFERROR(SUMIFS('DETALLE CRONOLÓGICO'!$L$2:$L$4919,'DETALLE CRONOLÓGICO'!$A$2:$A$4919,$A406)/$F406,"")</f>
        <v/>
      </c>
      <c r="J406" s="6">
        <f>IFERROR(SUMIFS('DETALLE CRONOLÓGICO'!$K$2:$K$4919,'DETALLE CRONOLÓGICO'!$A$2:$A$4919,$A406)/$E406,"")</f>
        <v/>
      </c>
      <c r="K406" s="6">
        <f>_xlfn.MINIFS('DETALLE CRONOLÓGICO'!$K$2:$K$4919,'DETALLE CRONOLÓGICO'!$A$2:$A$4919,$A406)</f>
        <v/>
      </c>
      <c r="L406" s="6">
        <f>_xlfn.MAXIFS('DETALLE CRONOLÓGICO'!$K$2:$K$4919,'DETALLE CRONOLÓGICO'!$A$2:$A$4919,$A406)</f>
        <v/>
      </c>
      <c r="M406" s="6">
        <f>INDEX('DETALLE CRONOLÓGICO'!$K$2:$K$4919,MATCH($A406,'DETALLE CRONOLÓGICO'!$A$2:$A$4919,0)+$E406-1)</f>
        <v/>
      </c>
      <c r="N406" s="7">
        <f>IFERROR($M406/INDEX('DETALLE CRONOLÓGICO'!$K$2:$K$4919,MATCH($A406,'DETALLE CRONOLÓGICO'!$A$2:$A$4919,0))-1,"")</f>
        <v/>
      </c>
      <c r="O406" s="6">
        <f>IFERROR($I406*3,"")</f>
        <v/>
      </c>
      <c r="P406" s="6">
        <f>IFERROR($I406*3.5,"")</f>
        <v/>
      </c>
      <c r="Q406" s="6">
        <f>IFERROR($I406*4,"")</f>
        <v/>
      </c>
      <c r="R406" s="6" t="n">
        <v>2592</v>
      </c>
      <c r="S406" s="4" t="n">
        <v>0</v>
      </c>
      <c r="T406" s="1" t="inlineStr">
        <is>
          <t>active</t>
        </is>
      </c>
      <c r="U406" s="8" t="n"/>
      <c r="V406" s="1" t="inlineStr">
        <is>
          <t>SIN PRECIO</t>
        </is>
      </c>
    </row>
    <row r="407">
      <c r="A407" s="1" t="inlineStr">
        <is>
          <t>29502191036205</t>
        </is>
      </c>
      <c r="B407" s="1" t="inlineStr">
        <is>
          <t>ANILLO LV LES GASTONS SILVER</t>
        </is>
      </c>
      <c r="C407" s="1" t="n">
        <v>8</v>
      </c>
      <c r="D407" s="1" t="inlineStr">
        <is>
          <t>ZOEY</t>
        </is>
      </c>
      <c r="E407" s="4">
        <f>COUNTIF('DETALLE CRONOLÓGICO'!$A$2:$A$4919,$A407)</f>
        <v/>
      </c>
      <c r="F407" s="4">
        <f>SUMIFS('DETALLE CRONOLÓGICO'!$I$2:$I$4919,'DETALLE CRONOLÓGICO'!$A$2:$A$4919,$A407)</f>
        <v/>
      </c>
      <c r="G407" s="1">
        <f>INDEX('DETALLE CRONOLÓGICO'!$D$2:$D$4919,MATCH($A407,'DETALLE CRONOLÓGICO'!$A$2:$A$4919,0))</f>
        <v/>
      </c>
      <c r="H407" s="1">
        <f>INDEX('DETALLE CRONOLÓGICO'!$D$2:$D$4919,MATCH($A407,'DETALLE CRONOLÓGICO'!$A$2:$A$4919,0)+$E407-1)</f>
        <v/>
      </c>
      <c r="I407" s="5">
        <f>IFERROR(SUMIFS('DETALLE CRONOLÓGICO'!$L$2:$L$4919,'DETALLE CRONOLÓGICO'!$A$2:$A$4919,$A407)/$F407,"")</f>
        <v/>
      </c>
      <c r="J407" s="6">
        <f>IFERROR(SUMIFS('DETALLE CRONOLÓGICO'!$K$2:$K$4919,'DETALLE CRONOLÓGICO'!$A$2:$A$4919,$A407)/$E407,"")</f>
        <v/>
      </c>
      <c r="K407" s="6">
        <f>_xlfn.MINIFS('DETALLE CRONOLÓGICO'!$K$2:$K$4919,'DETALLE CRONOLÓGICO'!$A$2:$A$4919,$A407)</f>
        <v/>
      </c>
      <c r="L407" s="6">
        <f>_xlfn.MAXIFS('DETALLE CRONOLÓGICO'!$K$2:$K$4919,'DETALLE CRONOLÓGICO'!$A$2:$A$4919,$A407)</f>
        <v/>
      </c>
      <c r="M407" s="6">
        <f>INDEX('DETALLE CRONOLÓGICO'!$K$2:$K$4919,MATCH($A407,'DETALLE CRONOLÓGICO'!$A$2:$A$4919,0)+$E407-1)</f>
        <v/>
      </c>
      <c r="N407" s="7">
        <f>IFERROR($M407/INDEX('DETALLE CRONOLÓGICO'!$K$2:$K$4919,MATCH($A407,'DETALLE CRONOLÓGICO'!$A$2:$A$4919,0))-1,"")</f>
        <v/>
      </c>
      <c r="O407" s="6">
        <f>IFERROR($I407*3,"")</f>
        <v/>
      </c>
      <c r="P407" s="6">
        <f>IFERROR($I407*3.5,"")</f>
        <v/>
      </c>
      <c r="Q407" s="6">
        <f>IFERROR($I407*4,"")</f>
        <v/>
      </c>
      <c r="R407" s="6" t="n">
        <v>652</v>
      </c>
      <c r="S407" s="4" t="n">
        <v>3</v>
      </c>
      <c r="T407" s="1" t="inlineStr">
        <is>
          <t>active</t>
        </is>
      </c>
      <c r="U407" s="8" t="n"/>
      <c r="V407" s="1" t="inlineStr">
        <is>
          <t>SIN PRECIO</t>
        </is>
      </c>
    </row>
    <row r="408">
      <c r="A408" s="1" t="inlineStr">
        <is>
          <t>29502191036206</t>
        </is>
      </c>
      <c r="B408" s="1" t="n"/>
      <c r="C408" s="1" t="n">
        <v>9</v>
      </c>
      <c r="D408" s="1" t="inlineStr">
        <is>
          <t>ZOEY</t>
        </is>
      </c>
      <c r="E408" s="4">
        <f>COUNTIF('DETALLE CRONOLÓGICO'!$A$2:$A$4919,$A408)</f>
        <v/>
      </c>
      <c r="F408" s="4">
        <f>SUMIFS('DETALLE CRONOLÓGICO'!$I$2:$I$4919,'DETALLE CRONOLÓGICO'!$A$2:$A$4919,$A408)</f>
        <v/>
      </c>
      <c r="G408" s="1">
        <f>INDEX('DETALLE CRONOLÓGICO'!$D$2:$D$4919,MATCH($A408,'DETALLE CRONOLÓGICO'!$A$2:$A$4919,0))</f>
        <v/>
      </c>
      <c r="H408" s="1">
        <f>INDEX('DETALLE CRONOLÓGICO'!$D$2:$D$4919,MATCH($A408,'DETALLE CRONOLÓGICO'!$A$2:$A$4919,0)+$E408-1)</f>
        <v/>
      </c>
      <c r="I408" s="5">
        <f>IFERROR(SUMIFS('DETALLE CRONOLÓGICO'!$L$2:$L$4919,'DETALLE CRONOLÓGICO'!$A$2:$A$4919,$A408)/$F408,"")</f>
        <v/>
      </c>
      <c r="J408" s="6">
        <f>IFERROR(SUMIFS('DETALLE CRONOLÓGICO'!$K$2:$K$4919,'DETALLE CRONOLÓGICO'!$A$2:$A$4919,$A408)/$E408,"")</f>
        <v/>
      </c>
      <c r="K408" s="6">
        <f>_xlfn.MINIFS('DETALLE CRONOLÓGICO'!$K$2:$K$4919,'DETALLE CRONOLÓGICO'!$A$2:$A$4919,$A408)</f>
        <v/>
      </c>
      <c r="L408" s="6">
        <f>_xlfn.MAXIFS('DETALLE CRONOLÓGICO'!$K$2:$K$4919,'DETALLE CRONOLÓGICO'!$A$2:$A$4919,$A408)</f>
        <v/>
      </c>
      <c r="M408" s="6">
        <f>INDEX('DETALLE CRONOLÓGICO'!$K$2:$K$4919,MATCH($A408,'DETALLE CRONOLÓGICO'!$A$2:$A$4919,0)+$E408-1)</f>
        <v/>
      </c>
      <c r="N408" s="7">
        <f>IFERROR($M408/INDEX('DETALLE CRONOLÓGICO'!$K$2:$K$4919,MATCH($A408,'DETALLE CRONOLÓGICO'!$A$2:$A$4919,0))-1,"")</f>
        <v/>
      </c>
      <c r="O408" s="6">
        <f>IFERROR($I408*3,"")</f>
        <v/>
      </c>
      <c r="P408" s="6">
        <f>IFERROR($I408*3.5,"")</f>
        <v/>
      </c>
      <c r="Q408" s="6">
        <f>IFERROR($I408*4,"")</f>
        <v/>
      </c>
      <c r="R408" s="6" t="n">
        <v>652</v>
      </c>
      <c r="S408" s="4" t="n">
        <v>0</v>
      </c>
      <c r="T408" s="1" t="inlineStr">
        <is>
          <t>active</t>
        </is>
      </c>
      <c r="U408" s="8" t="n"/>
      <c r="V408" s="1" t="inlineStr">
        <is>
          <t>SIN PRECIO</t>
        </is>
      </c>
    </row>
    <row r="409">
      <c r="A409" s="1" t="inlineStr">
        <is>
          <t>29603521001805</t>
        </is>
      </c>
      <c r="B409" s="1" t="inlineStr">
        <is>
          <t>ARRACADAS CD LOGO CON ZIRCONIAS</t>
        </is>
      </c>
      <c r="C409" s="1" t="inlineStr">
        <is>
          <t>Default Title</t>
        </is>
      </c>
      <c r="D409" s="1" t="inlineStr">
        <is>
          <t>CYNTHIA</t>
        </is>
      </c>
      <c r="E409" s="4">
        <f>COUNTIF('DETALLE CRONOLÓGICO'!$A$2:$A$4919,$A409)</f>
        <v/>
      </c>
      <c r="F409" s="4">
        <f>SUMIFS('DETALLE CRONOLÓGICO'!$I$2:$I$4919,'DETALLE CRONOLÓGICO'!$A$2:$A$4919,$A409)</f>
        <v/>
      </c>
      <c r="G409" s="1">
        <f>INDEX('DETALLE CRONOLÓGICO'!$D$2:$D$4919,MATCH($A409,'DETALLE CRONOLÓGICO'!$A$2:$A$4919,0))</f>
        <v/>
      </c>
      <c r="H409" s="1">
        <f>INDEX('DETALLE CRONOLÓGICO'!$D$2:$D$4919,MATCH($A409,'DETALLE CRONOLÓGICO'!$A$2:$A$4919,0)+$E409-1)</f>
        <v/>
      </c>
      <c r="I409" s="5">
        <f>IFERROR(SUMIFS('DETALLE CRONOLÓGICO'!$L$2:$L$4919,'DETALLE CRONOLÓGICO'!$A$2:$A$4919,$A409)/$F409,"")</f>
        <v/>
      </c>
      <c r="J409" s="6">
        <f>IFERROR(SUMIFS('DETALLE CRONOLÓGICO'!$K$2:$K$4919,'DETALLE CRONOLÓGICO'!$A$2:$A$4919,$A409)/$E409,"")</f>
        <v/>
      </c>
      <c r="K409" s="6">
        <f>_xlfn.MINIFS('DETALLE CRONOLÓGICO'!$K$2:$K$4919,'DETALLE CRONOLÓGICO'!$A$2:$A$4919,$A409)</f>
        <v/>
      </c>
      <c r="L409" s="6">
        <f>_xlfn.MAXIFS('DETALLE CRONOLÓGICO'!$K$2:$K$4919,'DETALLE CRONOLÓGICO'!$A$2:$A$4919,$A409)</f>
        <v/>
      </c>
      <c r="M409" s="6">
        <f>INDEX('DETALLE CRONOLÓGICO'!$K$2:$K$4919,MATCH($A409,'DETALLE CRONOLÓGICO'!$A$2:$A$4919,0)+$E409-1)</f>
        <v/>
      </c>
      <c r="N409" s="7">
        <f>IFERROR($M409/INDEX('DETALLE CRONOLÓGICO'!$K$2:$K$4919,MATCH($A409,'DETALLE CRONOLÓGICO'!$A$2:$A$4919,0))-1,"")</f>
        <v/>
      </c>
      <c r="O409" s="6">
        <f>IFERROR($I409*3,"")</f>
        <v/>
      </c>
      <c r="P409" s="6">
        <f>IFERROR($I409*3.5,"")</f>
        <v/>
      </c>
      <c r="Q409" s="6">
        <f>IFERROR($I409*4,"")</f>
        <v/>
      </c>
      <c r="R409" s="6" t="n">
        <v>915</v>
      </c>
      <c r="S409" s="4" t="n">
        <v>1</v>
      </c>
      <c r="T409" s="1" t="inlineStr">
        <is>
          <t>active</t>
        </is>
      </c>
      <c r="U409" s="8" t="n"/>
      <c r="V409" s="1" t="inlineStr">
        <is>
          <t>SIN PRECIO</t>
        </is>
      </c>
    </row>
    <row r="410">
      <c r="A410" s="1" t="inlineStr">
        <is>
          <t>29736661018765</t>
        </is>
      </c>
      <c r="B410" s="1" t="inlineStr">
        <is>
          <t>PULSERA CD D-LUCK GOLD</t>
        </is>
      </c>
      <c r="C410" s="1" t="inlineStr">
        <is>
          <t>Default Title</t>
        </is>
      </c>
      <c r="D410" s="1" t="inlineStr">
        <is>
          <t>HAIFENG</t>
        </is>
      </c>
      <c r="E410" s="4">
        <f>COUNTIF('DETALLE CRONOLÓGICO'!$A$2:$A$4919,$A410)</f>
        <v/>
      </c>
      <c r="F410" s="4">
        <f>SUMIFS('DETALLE CRONOLÓGICO'!$I$2:$I$4919,'DETALLE CRONOLÓGICO'!$A$2:$A$4919,$A410)</f>
        <v/>
      </c>
      <c r="G410" s="1">
        <f>INDEX('DETALLE CRONOLÓGICO'!$D$2:$D$4919,MATCH($A410,'DETALLE CRONOLÓGICO'!$A$2:$A$4919,0))</f>
        <v/>
      </c>
      <c r="H410" s="1">
        <f>INDEX('DETALLE CRONOLÓGICO'!$D$2:$D$4919,MATCH($A410,'DETALLE CRONOLÓGICO'!$A$2:$A$4919,0)+$E410-1)</f>
        <v/>
      </c>
      <c r="I410" s="5">
        <f>IFERROR(SUMIFS('DETALLE CRONOLÓGICO'!$L$2:$L$4919,'DETALLE CRONOLÓGICO'!$A$2:$A$4919,$A410)/$F410,"")</f>
        <v/>
      </c>
      <c r="J410" s="6">
        <f>IFERROR(SUMIFS('DETALLE CRONOLÓGICO'!$K$2:$K$4919,'DETALLE CRONOLÓGICO'!$A$2:$A$4919,$A410)/$E410,"")</f>
        <v/>
      </c>
      <c r="K410" s="6">
        <f>_xlfn.MINIFS('DETALLE CRONOLÓGICO'!$K$2:$K$4919,'DETALLE CRONOLÓGICO'!$A$2:$A$4919,$A410)</f>
        <v/>
      </c>
      <c r="L410" s="6">
        <f>_xlfn.MAXIFS('DETALLE CRONOLÓGICO'!$K$2:$K$4919,'DETALLE CRONOLÓGICO'!$A$2:$A$4919,$A410)</f>
        <v/>
      </c>
      <c r="M410" s="6">
        <f>INDEX('DETALLE CRONOLÓGICO'!$K$2:$K$4919,MATCH($A410,'DETALLE CRONOLÓGICO'!$A$2:$A$4919,0)+$E410-1)</f>
        <v/>
      </c>
      <c r="N410" s="7">
        <f>IFERROR($M410/INDEX('DETALLE CRONOLÓGICO'!$K$2:$K$4919,MATCH($A410,'DETALLE CRONOLÓGICO'!$A$2:$A$4919,0))-1,"")</f>
        <v/>
      </c>
      <c r="O410" s="6">
        <f>IFERROR($I410*3,"")</f>
        <v/>
      </c>
      <c r="P410" s="6">
        <f>IFERROR($I410*3.5,"")</f>
        <v/>
      </c>
      <c r="Q410" s="6">
        <f>IFERROR($I410*4,"")</f>
        <v/>
      </c>
      <c r="R410" s="6" t="n">
        <v>1483</v>
      </c>
      <c r="S410" s="4" t="n">
        <v>1</v>
      </c>
      <c r="T410" s="1" t="inlineStr">
        <is>
          <t>active</t>
        </is>
      </c>
      <c r="U410" s="8" t="n"/>
      <c r="V410" s="1" t="inlineStr">
        <is>
          <t>SIN PRECIO</t>
        </is>
      </c>
    </row>
    <row r="411">
      <c r="A411" s="1" t="inlineStr">
        <is>
          <t>29736661175277</t>
        </is>
      </c>
      <c r="B411" s="1" t="inlineStr">
        <is>
          <t>COLLAR CD FLEUR GOLD</t>
        </is>
      </c>
      <c r="C411" s="1" t="inlineStr">
        <is>
          <t>Default Title</t>
        </is>
      </c>
      <c r="D411" s="1" t="inlineStr">
        <is>
          <t>HAIFENG</t>
        </is>
      </c>
      <c r="E411" s="4">
        <f>COUNTIF('DETALLE CRONOLÓGICO'!$A$2:$A$4919,$A411)</f>
        <v/>
      </c>
      <c r="F411" s="4">
        <f>SUMIFS('DETALLE CRONOLÓGICO'!$I$2:$I$4919,'DETALLE CRONOLÓGICO'!$A$2:$A$4919,$A411)</f>
        <v/>
      </c>
      <c r="G411" s="1">
        <f>INDEX('DETALLE CRONOLÓGICO'!$D$2:$D$4919,MATCH($A411,'DETALLE CRONOLÓGICO'!$A$2:$A$4919,0))</f>
        <v/>
      </c>
      <c r="H411" s="1">
        <f>INDEX('DETALLE CRONOLÓGICO'!$D$2:$D$4919,MATCH($A411,'DETALLE CRONOLÓGICO'!$A$2:$A$4919,0)+$E411-1)</f>
        <v/>
      </c>
      <c r="I411" s="5">
        <f>IFERROR(SUMIFS('DETALLE CRONOLÓGICO'!$L$2:$L$4919,'DETALLE CRONOLÓGICO'!$A$2:$A$4919,$A411)/$F411,"")</f>
        <v/>
      </c>
      <c r="J411" s="6">
        <f>IFERROR(SUMIFS('DETALLE CRONOLÓGICO'!$K$2:$K$4919,'DETALLE CRONOLÓGICO'!$A$2:$A$4919,$A411)/$E411,"")</f>
        <v/>
      </c>
      <c r="K411" s="6">
        <f>_xlfn.MINIFS('DETALLE CRONOLÓGICO'!$K$2:$K$4919,'DETALLE CRONOLÓGICO'!$A$2:$A$4919,$A411)</f>
        <v/>
      </c>
      <c r="L411" s="6">
        <f>_xlfn.MAXIFS('DETALLE CRONOLÓGICO'!$K$2:$K$4919,'DETALLE CRONOLÓGICO'!$A$2:$A$4919,$A411)</f>
        <v/>
      </c>
      <c r="M411" s="6">
        <f>INDEX('DETALLE CRONOLÓGICO'!$K$2:$K$4919,MATCH($A411,'DETALLE CRONOLÓGICO'!$A$2:$A$4919,0)+$E411-1)</f>
        <v/>
      </c>
      <c r="N411" s="7">
        <f>IFERROR($M411/INDEX('DETALLE CRONOLÓGICO'!$K$2:$K$4919,MATCH($A411,'DETALLE CRONOLÓGICO'!$A$2:$A$4919,0))-1,"")</f>
        <v/>
      </c>
      <c r="O411" s="6">
        <f>IFERROR($I411*3,"")</f>
        <v/>
      </c>
      <c r="P411" s="6">
        <f>IFERROR($I411*3.5,"")</f>
        <v/>
      </c>
      <c r="Q411" s="6">
        <f>IFERROR($I411*4,"")</f>
        <v/>
      </c>
      <c r="R411" s="6" t="n">
        <v>999</v>
      </c>
      <c r="S411" s="4" t="n">
        <v>0</v>
      </c>
      <c r="T411" s="1" t="inlineStr">
        <is>
          <t>active</t>
        </is>
      </c>
      <c r="U411" s="8" t="n"/>
      <c r="V411" s="1" t="inlineStr">
        <is>
          <t>SIN PRECIO</t>
        </is>
      </c>
    </row>
    <row r="412">
      <c r="A412" s="1" t="inlineStr">
        <is>
          <t>29736661267949</t>
        </is>
      </c>
      <c r="B412" s="1" t="inlineStr">
        <is>
          <t>PULSERA CD PETIT JOLIE METAL GOLD</t>
        </is>
      </c>
      <c r="C412" s="1" t="inlineStr">
        <is>
          <t>Default Title</t>
        </is>
      </c>
      <c r="D412" s="1" t="inlineStr">
        <is>
          <t>HAIFENG</t>
        </is>
      </c>
      <c r="E412" s="4">
        <f>COUNTIF('DETALLE CRONOLÓGICO'!$A$2:$A$4919,$A412)</f>
        <v/>
      </c>
      <c r="F412" s="4">
        <f>SUMIFS('DETALLE CRONOLÓGICO'!$I$2:$I$4919,'DETALLE CRONOLÓGICO'!$A$2:$A$4919,$A412)</f>
        <v/>
      </c>
      <c r="G412" s="1">
        <f>INDEX('DETALLE CRONOLÓGICO'!$D$2:$D$4919,MATCH($A412,'DETALLE CRONOLÓGICO'!$A$2:$A$4919,0))</f>
        <v/>
      </c>
      <c r="H412" s="1">
        <f>INDEX('DETALLE CRONOLÓGICO'!$D$2:$D$4919,MATCH($A412,'DETALLE CRONOLÓGICO'!$A$2:$A$4919,0)+$E412-1)</f>
        <v/>
      </c>
      <c r="I412" s="5">
        <f>IFERROR(SUMIFS('DETALLE CRONOLÓGICO'!$L$2:$L$4919,'DETALLE CRONOLÓGICO'!$A$2:$A$4919,$A412)/$F412,"")</f>
        <v/>
      </c>
      <c r="J412" s="6">
        <f>IFERROR(SUMIFS('DETALLE CRONOLÓGICO'!$K$2:$K$4919,'DETALLE CRONOLÓGICO'!$A$2:$A$4919,$A412)/$E412,"")</f>
        <v/>
      </c>
      <c r="K412" s="6">
        <f>_xlfn.MINIFS('DETALLE CRONOLÓGICO'!$K$2:$K$4919,'DETALLE CRONOLÓGICO'!$A$2:$A$4919,$A412)</f>
        <v/>
      </c>
      <c r="L412" s="6">
        <f>_xlfn.MAXIFS('DETALLE CRONOLÓGICO'!$K$2:$K$4919,'DETALLE CRONOLÓGICO'!$A$2:$A$4919,$A412)</f>
        <v/>
      </c>
      <c r="M412" s="6">
        <f>INDEX('DETALLE CRONOLÓGICO'!$K$2:$K$4919,MATCH($A412,'DETALLE CRONOLÓGICO'!$A$2:$A$4919,0)+$E412-1)</f>
        <v/>
      </c>
      <c r="N412" s="7">
        <f>IFERROR($M412/INDEX('DETALLE CRONOLÓGICO'!$K$2:$K$4919,MATCH($A412,'DETALLE CRONOLÓGICO'!$A$2:$A$4919,0))-1,"")</f>
        <v/>
      </c>
      <c r="O412" s="6">
        <f>IFERROR($I412*3,"")</f>
        <v/>
      </c>
      <c r="P412" s="6">
        <f>IFERROR($I412*3.5,"")</f>
        <v/>
      </c>
      <c r="Q412" s="6">
        <f>IFERROR($I412*4,"")</f>
        <v/>
      </c>
      <c r="R412" s="6" t="n">
        <v>850</v>
      </c>
      <c r="S412" s="4" t="n">
        <v>0</v>
      </c>
      <c r="T412" s="1" t="inlineStr">
        <is>
          <t>active</t>
        </is>
      </c>
      <c r="U412" s="8" t="n"/>
      <c r="V412" s="1" t="inlineStr">
        <is>
          <t>SIN PRECIO</t>
        </is>
      </c>
    </row>
    <row r="413">
      <c r="A413" s="1" t="inlineStr">
        <is>
          <t>29736661383277</t>
        </is>
      </c>
      <c r="B413" s="1" t="inlineStr">
        <is>
          <t>PULSERA CD PETIT CIRCLE GOLD</t>
        </is>
      </c>
      <c r="C413" s="1" t="inlineStr">
        <is>
          <t>Default Title</t>
        </is>
      </c>
      <c r="D413" s="1" t="inlineStr">
        <is>
          <t>HAIFENG</t>
        </is>
      </c>
      <c r="E413" s="4">
        <f>COUNTIF('DETALLE CRONOLÓGICO'!$A$2:$A$4919,$A413)</f>
        <v/>
      </c>
      <c r="F413" s="4">
        <f>SUMIFS('DETALLE CRONOLÓGICO'!$I$2:$I$4919,'DETALLE CRONOLÓGICO'!$A$2:$A$4919,$A413)</f>
        <v/>
      </c>
      <c r="G413" s="1">
        <f>INDEX('DETALLE CRONOLÓGICO'!$D$2:$D$4919,MATCH($A413,'DETALLE CRONOLÓGICO'!$A$2:$A$4919,0))</f>
        <v/>
      </c>
      <c r="H413" s="1">
        <f>INDEX('DETALLE CRONOLÓGICO'!$D$2:$D$4919,MATCH($A413,'DETALLE CRONOLÓGICO'!$A$2:$A$4919,0)+$E413-1)</f>
        <v/>
      </c>
      <c r="I413" s="5">
        <f>IFERROR(SUMIFS('DETALLE CRONOLÓGICO'!$L$2:$L$4919,'DETALLE CRONOLÓGICO'!$A$2:$A$4919,$A413)/$F413,"")</f>
        <v/>
      </c>
      <c r="J413" s="6">
        <f>IFERROR(SUMIFS('DETALLE CRONOLÓGICO'!$K$2:$K$4919,'DETALLE CRONOLÓGICO'!$A$2:$A$4919,$A413)/$E413,"")</f>
        <v/>
      </c>
      <c r="K413" s="6">
        <f>_xlfn.MINIFS('DETALLE CRONOLÓGICO'!$K$2:$K$4919,'DETALLE CRONOLÓGICO'!$A$2:$A$4919,$A413)</f>
        <v/>
      </c>
      <c r="L413" s="6">
        <f>_xlfn.MAXIFS('DETALLE CRONOLÓGICO'!$K$2:$K$4919,'DETALLE CRONOLÓGICO'!$A$2:$A$4919,$A413)</f>
        <v/>
      </c>
      <c r="M413" s="6">
        <f>INDEX('DETALLE CRONOLÓGICO'!$K$2:$K$4919,MATCH($A413,'DETALLE CRONOLÓGICO'!$A$2:$A$4919,0)+$E413-1)</f>
        <v/>
      </c>
      <c r="N413" s="7">
        <f>IFERROR($M413/INDEX('DETALLE CRONOLÓGICO'!$K$2:$K$4919,MATCH($A413,'DETALLE CRONOLÓGICO'!$A$2:$A$4919,0))-1,"")</f>
        <v/>
      </c>
      <c r="O413" s="6">
        <f>IFERROR($I413*3,"")</f>
        <v/>
      </c>
      <c r="P413" s="6">
        <f>IFERROR($I413*3.5,"")</f>
        <v/>
      </c>
      <c r="Q413" s="6">
        <f>IFERROR($I413*4,"")</f>
        <v/>
      </c>
      <c r="R413" s="6" t="n">
        <v>580</v>
      </c>
      <c r="S413" s="4" t="n">
        <v>2</v>
      </c>
      <c r="T413" s="1" t="inlineStr">
        <is>
          <t>active</t>
        </is>
      </c>
      <c r="U413" s="8" t="n"/>
      <c r="V413" s="1" t="inlineStr">
        <is>
          <t>SIN PRECIO</t>
        </is>
      </c>
    </row>
    <row r="414">
      <c r="A414" s="1" t="inlineStr">
        <is>
          <t>29736661440333</t>
        </is>
      </c>
      <c r="B414" s="1" t="inlineStr">
        <is>
          <t>ARETES CD PETIT DUO GOLD</t>
        </is>
      </c>
      <c r="C414" s="1" t="inlineStr">
        <is>
          <t>Default Title</t>
        </is>
      </c>
      <c r="D414" s="1" t="inlineStr">
        <is>
          <t>HAIFENG</t>
        </is>
      </c>
      <c r="E414" s="4">
        <f>COUNTIF('DETALLE CRONOLÓGICO'!$A$2:$A$4919,$A414)</f>
        <v/>
      </c>
      <c r="F414" s="4">
        <f>SUMIFS('DETALLE CRONOLÓGICO'!$I$2:$I$4919,'DETALLE CRONOLÓGICO'!$A$2:$A$4919,$A414)</f>
        <v/>
      </c>
      <c r="G414" s="1">
        <f>INDEX('DETALLE CRONOLÓGICO'!$D$2:$D$4919,MATCH($A414,'DETALLE CRONOLÓGICO'!$A$2:$A$4919,0))</f>
        <v/>
      </c>
      <c r="H414" s="1">
        <f>INDEX('DETALLE CRONOLÓGICO'!$D$2:$D$4919,MATCH($A414,'DETALLE CRONOLÓGICO'!$A$2:$A$4919,0)+$E414-1)</f>
        <v/>
      </c>
      <c r="I414" s="5">
        <f>IFERROR(SUMIFS('DETALLE CRONOLÓGICO'!$L$2:$L$4919,'DETALLE CRONOLÓGICO'!$A$2:$A$4919,$A414)/$F414,"")</f>
        <v/>
      </c>
      <c r="J414" s="6">
        <f>IFERROR(SUMIFS('DETALLE CRONOLÓGICO'!$K$2:$K$4919,'DETALLE CRONOLÓGICO'!$A$2:$A$4919,$A414)/$E414,"")</f>
        <v/>
      </c>
      <c r="K414" s="6">
        <f>_xlfn.MINIFS('DETALLE CRONOLÓGICO'!$K$2:$K$4919,'DETALLE CRONOLÓGICO'!$A$2:$A$4919,$A414)</f>
        <v/>
      </c>
      <c r="L414" s="6">
        <f>_xlfn.MAXIFS('DETALLE CRONOLÓGICO'!$K$2:$K$4919,'DETALLE CRONOLÓGICO'!$A$2:$A$4919,$A414)</f>
        <v/>
      </c>
      <c r="M414" s="6">
        <f>INDEX('DETALLE CRONOLÓGICO'!$K$2:$K$4919,MATCH($A414,'DETALLE CRONOLÓGICO'!$A$2:$A$4919,0)+$E414-1)</f>
        <v/>
      </c>
      <c r="N414" s="7">
        <f>IFERROR($M414/INDEX('DETALLE CRONOLÓGICO'!$K$2:$K$4919,MATCH($A414,'DETALLE CRONOLÓGICO'!$A$2:$A$4919,0))-1,"")</f>
        <v/>
      </c>
      <c r="O414" s="6">
        <f>IFERROR($I414*3,"")</f>
        <v/>
      </c>
      <c r="P414" s="6">
        <f>IFERROR($I414*3.5,"")</f>
        <v/>
      </c>
      <c r="Q414" s="6">
        <f>IFERROR($I414*4,"")</f>
        <v/>
      </c>
      <c r="R414" s="6" t="n">
        <v>850</v>
      </c>
      <c r="S414" s="4" t="n">
        <v>3</v>
      </c>
      <c r="T414" s="1" t="inlineStr">
        <is>
          <t>active</t>
        </is>
      </c>
      <c r="U414" s="8" t="n"/>
      <c r="V414" s="1" t="inlineStr">
        <is>
          <t>SIN PRECIO</t>
        </is>
      </c>
    </row>
    <row r="415">
      <c r="A415" s="1" t="inlineStr">
        <is>
          <t>29736661558989</t>
        </is>
      </c>
      <c r="B415" s="1" t="inlineStr">
        <is>
          <t>ARETES CD D-LUCK GOLD</t>
        </is>
      </c>
      <c r="C415" s="1" t="inlineStr">
        <is>
          <t>Default Title</t>
        </is>
      </c>
      <c r="D415" s="1" t="inlineStr">
        <is>
          <t>HAIFENG</t>
        </is>
      </c>
      <c r="E415" s="4">
        <f>COUNTIF('DETALLE CRONOLÓGICO'!$A$2:$A$4919,$A415)</f>
        <v/>
      </c>
      <c r="F415" s="4">
        <f>SUMIFS('DETALLE CRONOLÓGICO'!$I$2:$I$4919,'DETALLE CRONOLÓGICO'!$A$2:$A$4919,$A415)</f>
        <v/>
      </c>
      <c r="G415" s="1">
        <f>INDEX('DETALLE CRONOLÓGICO'!$D$2:$D$4919,MATCH($A415,'DETALLE CRONOLÓGICO'!$A$2:$A$4919,0))</f>
        <v/>
      </c>
      <c r="H415" s="1">
        <f>INDEX('DETALLE CRONOLÓGICO'!$D$2:$D$4919,MATCH($A415,'DETALLE CRONOLÓGICO'!$A$2:$A$4919,0)+$E415-1)</f>
        <v/>
      </c>
      <c r="I415" s="5">
        <f>IFERROR(SUMIFS('DETALLE CRONOLÓGICO'!$L$2:$L$4919,'DETALLE CRONOLÓGICO'!$A$2:$A$4919,$A415)/$F415,"")</f>
        <v/>
      </c>
      <c r="J415" s="6">
        <f>IFERROR(SUMIFS('DETALLE CRONOLÓGICO'!$K$2:$K$4919,'DETALLE CRONOLÓGICO'!$A$2:$A$4919,$A415)/$E415,"")</f>
        <v/>
      </c>
      <c r="K415" s="6">
        <f>_xlfn.MINIFS('DETALLE CRONOLÓGICO'!$K$2:$K$4919,'DETALLE CRONOLÓGICO'!$A$2:$A$4919,$A415)</f>
        <v/>
      </c>
      <c r="L415" s="6">
        <f>_xlfn.MAXIFS('DETALLE CRONOLÓGICO'!$K$2:$K$4919,'DETALLE CRONOLÓGICO'!$A$2:$A$4919,$A415)</f>
        <v/>
      </c>
      <c r="M415" s="6">
        <f>INDEX('DETALLE CRONOLÓGICO'!$K$2:$K$4919,MATCH($A415,'DETALLE CRONOLÓGICO'!$A$2:$A$4919,0)+$E415-1)</f>
        <v/>
      </c>
      <c r="N415" s="7">
        <f>IFERROR($M415/INDEX('DETALLE CRONOLÓGICO'!$K$2:$K$4919,MATCH($A415,'DETALLE CRONOLÓGICO'!$A$2:$A$4919,0))-1,"")</f>
        <v/>
      </c>
      <c r="O415" s="6">
        <f>IFERROR($I415*3,"")</f>
        <v/>
      </c>
      <c r="P415" s="6">
        <f>IFERROR($I415*3.5,"")</f>
        <v/>
      </c>
      <c r="Q415" s="6">
        <f>IFERROR($I415*4,"")</f>
        <v/>
      </c>
      <c r="R415" s="6" t="n">
        <v>620</v>
      </c>
      <c r="S415" s="4" t="n">
        <v>0</v>
      </c>
      <c r="T415" s="1" t="inlineStr">
        <is>
          <t>active</t>
        </is>
      </c>
      <c r="U415" s="8" t="n"/>
      <c r="V415" s="1" t="inlineStr">
        <is>
          <t>SIN PRECIO</t>
        </is>
      </c>
    </row>
    <row r="416">
      <c r="A416" s="1" t="inlineStr">
        <is>
          <t>29736661629069</t>
        </is>
      </c>
      <c r="B416" s="1" t="inlineStr">
        <is>
          <t>BROCHE CD PETIT PEARL GOLD</t>
        </is>
      </c>
      <c r="C416" s="1" t="inlineStr">
        <is>
          <t>Default Title</t>
        </is>
      </c>
      <c r="D416" s="1" t="inlineStr">
        <is>
          <t>HAIFENG</t>
        </is>
      </c>
      <c r="E416" s="4">
        <f>COUNTIF('DETALLE CRONOLÓGICO'!$A$2:$A$4919,$A416)</f>
        <v/>
      </c>
      <c r="F416" s="4">
        <f>SUMIFS('DETALLE CRONOLÓGICO'!$I$2:$I$4919,'DETALLE CRONOLÓGICO'!$A$2:$A$4919,$A416)</f>
        <v/>
      </c>
      <c r="G416" s="1">
        <f>INDEX('DETALLE CRONOLÓGICO'!$D$2:$D$4919,MATCH($A416,'DETALLE CRONOLÓGICO'!$A$2:$A$4919,0))</f>
        <v/>
      </c>
      <c r="H416" s="1">
        <f>INDEX('DETALLE CRONOLÓGICO'!$D$2:$D$4919,MATCH($A416,'DETALLE CRONOLÓGICO'!$A$2:$A$4919,0)+$E416-1)</f>
        <v/>
      </c>
      <c r="I416" s="5">
        <f>IFERROR(SUMIFS('DETALLE CRONOLÓGICO'!$L$2:$L$4919,'DETALLE CRONOLÓGICO'!$A$2:$A$4919,$A416)/$F416,"")</f>
        <v/>
      </c>
      <c r="J416" s="6">
        <f>IFERROR(SUMIFS('DETALLE CRONOLÓGICO'!$K$2:$K$4919,'DETALLE CRONOLÓGICO'!$A$2:$A$4919,$A416)/$E416,"")</f>
        <v/>
      </c>
      <c r="K416" s="6">
        <f>_xlfn.MINIFS('DETALLE CRONOLÓGICO'!$K$2:$K$4919,'DETALLE CRONOLÓGICO'!$A$2:$A$4919,$A416)</f>
        <v/>
      </c>
      <c r="L416" s="6">
        <f>_xlfn.MAXIFS('DETALLE CRONOLÓGICO'!$K$2:$K$4919,'DETALLE CRONOLÓGICO'!$A$2:$A$4919,$A416)</f>
        <v/>
      </c>
      <c r="M416" s="6">
        <f>INDEX('DETALLE CRONOLÓGICO'!$K$2:$K$4919,MATCH($A416,'DETALLE CRONOLÓGICO'!$A$2:$A$4919,0)+$E416-1)</f>
        <v/>
      </c>
      <c r="N416" s="7">
        <f>IFERROR($M416/INDEX('DETALLE CRONOLÓGICO'!$K$2:$K$4919,MATCH($A416,'DETALLE CRONOLÓGICO'!$A$2:$A$4919,0))-1,"")</f>
        <v/>
      </c>
      <c r="O416" s="6">
        <f>IFERROR($I416*3,"")</f>
        <v/>
      </c>
      <c r="P416" s="6">
        <f>IFERROR($I416*3.5,"")</f>
        <v/>
      </c>
      <c r="Q416" s="6">
        <f>IFERROR($I416*4,"")</f>
        <v/>
      </c>
      <c r="R416" s="6" t="n">
        <v>550</v>
      </c>
      <c r="S416" s="4" t="n">
        <v>1</v>
      </c>
      <c r="T416" s="1" t="inlineStr">
        <is>
          <t>active</t>
        </is>
      </c>
      <c r="U416" s="8" t="n"/>
      <c r="V416" s="1" t="inlineStr">
        <is>
          <t>SIN PRECIO</t>
        </is>
      </c>
    </row>
    <row r="417">
      <c r="A417" s="1" t="inlineStr">
        <is>
          <t>29736661772013</t>
        </is>
      </c>
      <c r="B417" s="1" t="inlineStr">
        <is>
          <t>COLLAR CD DOBLE PETIT GOLD</t>
        </is>
      </c>
      <c r="C417" s="1" t="inlineStr">
        <is>
          <t>Default Title</t>
        </is>
      </c>
      <c r="D417" s="1" t="inlineStr">
        <is>
          <t>HAIFENG</t>
        </is>
      </c>
      <c r="E417" s="4">
        <f>COUNTIF('DETALLE CRONOLÓGICO'!$A$2:$A$4919,$A417)</f>
        <v/>
      </c>
      <c r="F417" s="4">
        <f>SUMIFS('DETALLE CRONOLÓGICO'!$I$2:$I$4919,'DETALLE CRONOLÓGICO'!$A$2:$A$4919,$A417)</f>
        <v/>
      </c>
      <c r="G417" s="1">
        <f>INDEX('DETALLE CRONOLÓGICO'!$D$2:$D$4919,MATCH($A417,'DETALLE CRONOLÓGICO'!$A$2:$A$4919,0))</f>
        <v/>
      </c>
      <c r="H417" s="1">
        <f>INDEX('DETALLE CRONOLÓGICO'!$D$2:$D$4919,MATCH($A417,'DETALLE CRONOLÓGICO'!$A$2:$A$4919,0)+$E417-1)</f>
        <v/>
      </c>
      <c r="I417" s="5">
        <f>IFERROR(SUMIFS('DETALLE CRONOLÓGICO'!$L$2:$L$4919,'DETALLE CRONOLÓGICO'!$A$2:$A$4919,$A417)/$F417,"")</f>
        <v/>
      </c>
      <c r="J417" s="6">
        <f>IFERROR(SUMIFS('DETALLE CRONOLÓGICO'!$K$2:$K$4919,'DETALLE CRONOLÓGICO'!$A$2:$A$4919,$A417)/$E417,"")</f>
        <v/>
      </c>
      <c r="K417" s="6">
        <f>_xlfn.MINIFS('DETALLE CRONOLÓGICO'!$K$2:$K$4919,'DETALLE CRONOLÓGICO'!$A$2:$A$4919,$A417)</f>
        <v/>
      </c>
      <c r="L417" s="6">
        <f>_xlfn.MAXIFS('DETALLE CRONOLÓGICO'!$K$2:$K$4919,'DETALLE CRONOLÓGICO'!$A$2:$A$4919,$A417)</f>
        <v/>
      </c>
      <c r="M417" s="6">
        <f>INDEX('DETALLE CRONOLÓGICO'!$K$2:$K$4919,MATCH($A417,'DETALLE CRONOLÓGICO'!$A$2:$A$4919,0)+$E417-1)</f>
        <v/>
      </c>
      <c r="N417" s="7">
        <f>IFERROR($M417/INDEX('DETALLE CRONOLÓGICO'!$K$2:$K$4919,MATCH($A417,'DETALLE CRONOLÓGICO'!$A$2:$A$4919,0))-1,"")</f>
        <v/>
      </c>
      <c r="O417" s="6">
        <f>IFERROR($I417*3,"")</f>
        <v/>
      </c>
      <c r="P417" s="6">
        <f>IFERROR($I417*3.5,"")</f>
        <v/>
      </c>
      <c r="Q417" s="6">
        <f>IFERROR($I417*4,"")</f>
        <v/>
      </c>
      <c r="R417" s="6" t="n">
        <v>550</v>
      </c>
      <c r="S417" s="4" t="n">
        <v>0</v>
      </c>
      <c r="T417" s="1" t="inlineStr">
        <is>
          <t>active</t>
        </is>
      </c>
      <c r="U417" s="8" t="n"/>
      <c r="V417" s="1" t="inlineStr">
        <is>
          <t>SIN PRECIO</t>
        </is>
      </c>
    </row>
    <row r="418">
      <c r="A418" s="1" t="inlineStr">
        <is>
          <t>29736661818349</t>
        </is>
      </c>
      <c r="B418" s="1" t="inlineStr">
        <is>
          <t>ANILLO T X GOLD</t>
        </is>
      </c>
      <c r="C418" s="1" t="inlineStr">
        <is>
          <t>6</t>
        </is>
      </c>
      <c r="D418" s="1" t="inlineStr">
        <is>
          <t>HAIFENG</t>
        </is>
      </c>
      <c r="E418" s="4">
        <f>COUNTIF('DETALLE CRONOLÓGICO'!$A$2:$A$4919,$A418)</f>
        <v/>
      </c>
      <c r="F418" s="4">
        <f>SUMIFS('DETALLE CRONOLÓGICO'!$I$2:$I$4919,'DETALLE CRONOLÓGICO'!$A$2:$A$4919,$A418)</f>
        <v/>
      </c>
      <c r="G418" s="1">
        <f>INDEX('DETALLE CRONOLÓGICO'!$D$2:$D$4919,MATCH($A418,'DETALLE CRONOLÓGICO'!$A$2:$A$4919,0))</f>
        <v/>
      </c>
      <c r="H418" s="1">
        <f>INDEX('DETALLE CRONOLÓGICO'!$D$2:$D$4919,MATCH($A418,'DETALLE CRONOLÓGICO'!$A$2:$A$4919,0)+$E418-1)</f>
        <v/>
      </c>
      <c r="I418" s="5">
        <f>IFERROR(SUMIFS('DETALLE CRONOLÓGICO'!$L$2:$L$4919,'DETALLE CRONOLÓGICO'!$A$2:$A$4919,$A418)/$F418,"")</f>
        <v/>
      </c>
      <c r="J418" s="6">
        <f>IFERROR(SUMIFS('DETALLE CRONOLÓGICO'!$K$2:$K$4919,'DETALLE CRONOLÓGICO'!$A$2:$A$4919,$A418)/$E418,"")</f>
        <v/>
      </c>
      <c r="K418" s="6">
        <f>_xlfn.MINIFS('DETALLE CRONOLÓGICO'!$K$2:$K$4919,'DETALLE CRONOLÓGICO'!$A$2:$A$4919,$A418)</f>
        <v/>
      </c>
      <c r="L418" s="6">
        <f>_xlfn.MAXIFS('DETALLE CRONOLÓGICO'!$K$2:$K$4919,'DETALLE CRONOLÓGICO'!$A$2:$A$4919,$A418)</f>
        <v/>
      </c>
      <c r="M418" s="6">
        <f>INDEX('DETALLE CRONOLÓGICO'!$K$2:$K$4919,MATCH($A418,'DETALLE CRONOLÓGICO'!$A$2:$A$4919,0)+$E418-1)</f>
        <v/>
      </c>
      <c r="N418" s="7">
        <f>IFERROR($M418/INDEX('DETALLE CRONOLÓGICO'!$K$2:$K$4919,MATCH($A418,'DETALLE CRONOLÓGICO'!$A$2:$A$4919,0))-1,"")</f>
        <v/>
      </c>
      <c r="O418" s="6">
        <f>IFERROR($I418*3,"")</f>
        <v/>
      </c>
      <c r="P418" s="6">
        <f>IFERROR($I418*3.5,"")</f>
        <v/>
      </c>
      <c r="Q418" s="6">
        <f>IFERROR($I418*4,"")</f>
        <v/>
      </c>
      <c r="R418" s="6" t="n">
        <v>550</v>
      </c>
      <c r="S418" s="4" t="n">
        <v>4</v>
      </c>
      <c r="T418" s="1" t="inlineStr">
        <is>
          <t>active</t>
        </is>
      </c>
      <c r="U418" s="8" t="n"/>
      <c r="V418" s="1" t="inlineStr">
        <is>
          <t>SIN PRECIO</t>
        </is>
      </c>
    </row>
    <row r="419">
      <c r="A419" s="1" t="inlineStr">
        <is>
          <t>29736661951117</t>
        </is>
      </c>
      <c r="B419" s="1" t="inlineStr">
        <is>
          <t>ANILLO T X GOLD</t>
        </is>
      </c>
      <c r="C419" s="1" t="inlineStr">
        <is>
          <t>7</t>
        </is>
      </c>
      <c r="D419" s="1" t="inlineStr">
        <is>
          <t>HAIFENG</t>
        </is>
      </c>
      <c r="E419" s="4">
        <f>COUNTIF('DETALLE CRONOLÓGICO'!$A$2:$A$4919,$A419)</f>
        <v/>
      </c>
      <c r="F419" s="4">
        <f>SUMIFS('DETALLE CRONOLÓGICO'!$I$2:$I$4919,'DETALLE CRONOLÓGICO'!$A$2:$A$4919,$A419)</f>
        <v/>
      </c>
      <c r="G419" s="1">
        <f>INDEX('DETALLE CRONOLÓGICO'!$D$2:$D$4919,MATCH($A419,'DETALLE CRONOLÓGICO'!$A$2:$A$4919,0))</f>
        <v/>
      </c>
      <c r="H419" s="1">
        <f>INDEX('DETALLE CRONOLÓGICO'!$D$2:$D$4919,MATCH($A419,'DETALLE CRONOLÓGICO'!$A$2:$A$4919,0)+$E419-1)</f>
        <v/>
      </c>
      <c r="I419" s="5">
        <f>IFERROR(SUMIFS('DETALLE CRONOLÓGICO'!$L$2:$L$4919,'DETALLE CRONOLÓGICO'!$A$2:$A$4919,$A419)/$F419,"")</f>
        <v/>
      </c>
      <c r="J419" s="6">
        <f>IFERROR(SUMIFS('DETALLE CRONOLÓGICO'!$K$2:$K$4919,'DETALLE CRONOLÓGICO'!$A$2:$A$4919,$A419)/$E419,"")</f>
        <v/>
      </c>
      <c r="K419" s="6">
        <f>_xlfn.MINIFS('DETALLE CRONOLÓGICO'!$K$2:$K$4919,'DETALLE CRONOLÓGICO'!$A$2:$A$4919,$A419)</f>
        <v/>
      </c>
      <c r="L419" s="6">
        <f>_xlfn.MAXIFS('DETALLE CRONOLÓGICO'!$K$2:$K$4919,'DETALLE CRONOLÓGICO'!$A$2:$A$4919,$A419)</f>
        <v/>
      </c>
      <c r="M419" s="6">
        <f>INDEX('DETALLE CRONOLÓGICO'!$K$2:$K$4919,MATCH($A419,'DETALLE CRONOLÓGICO'!$A$2:$A$4919,0)+$E419-1)</f>
        <v/>
      </c>
      <c r="N419" s="7">
        <f>IFERROR($M419/INDEX('DETALLE CRONOLÓGICO'!$K$2:$K$4919,MATCH($A419,'DETALLE CRONOLÓGICO'!$A$2:$A$4919,0))-1,"")</f>
        <v/>
      </c>
      <c r="O419" s="6">
        <f>IFERROR($I419*3,"")</f>
        <v/>
      </c>
      <c r="P419" s="6">
        <f>IFERROR($I419*3.5,"")</f>
        <v/>
      </c>
      <c r="Q419" s="6">
        <f>IFERROR($I419*4,"")</f>
        <v/>
      </c>
      <c r="R419" s="6" t="n">
        <v>550</v>
      </c>
      <c r="S419" s="4" t="n">
        <v>3</v>
      </c>
      <c r="T419" s="1" t="inlineStr">
        <is>
          <t>active</t>
        </is>
      </c>
      <c r="U419" s="8" t="n"/>
      <c r="V419" s="1" t="inlineStr">
        <is>
          <t>SIN PRECIO</t>
        </is>
      </c>
    </row>
    <row r="420">
      <c r="A420" s="1" t="inlineStr">
        <is>
          <t>29736662086733</t>
        </is>
      </c>
      <c r="B420" s="1" t="inlineStr">
        <is>
          <t>ANILLO T SERPIENTE GOLD</t>
        </is>
      </c>
      <c r="C420" s="1" t="inlineStr">
        <is>
          <t>7</t>
        </is>
      </c>
      <c r="D420" s="1" t="inlineStr">
        <is>
          <t>HAIFENG</t>
        </is>
      </c>
      <c r="E420" s="4">
        <f>COUNTIF('DETALLE CRONOLÓGICO'!$A$2:$A$4919,$A420)</f>
        <v/>
      </c>
      <c r="F420" s="4">
        <f>SUMIFS('DETALLE CRONOLÓGICO'!$I$2:$I$4919,'DETALLE CRONOLÓGICO'!$A$2:$A$4919,$A420)</f>
        <v/>
      </c>
      <c r="G420" s="1">
        <f>INDEX('DETALLE CRONOLÓGICO'!$D$2:$D$4919,MATCH($A420,'DETALLE CRONOLÓGICO'!$A$2:$A$4919,0))</f>
        <v/>
      </c>
      <c r="H420" s="1">
        <f>INDEX('DETALLE CRONOLÓGICO'!$D$2:$D$4919,MATCH($A420,'DETALLE CRONOLÓGICO'!$A$2:$A$4919,0)+$E420-1)</f>
        <v/>
      </c>
      <c r="I420" s="5">
        <f>IFERROR(SUMIFS('DETALLE CRONOLÓGICO'!$L$2:$L$4919,'DETALLE CRONOLÓGICO'!$A$2:$A$4919,$A420)/$F420,"")</f>
        <v/>
      </c>
      <c r="J420" s="6">
        <f>IFERROR(SUMIFS('DETALLE CRONOLÓGICO'!$K$2:$K$4919,'DETALLE CRONOLÓGICO'!$A$2:$A$4919,$A420)/$E420,"")</f>
        <v/>
      </c>
      <c r="K420" s="6">
        <f>_xlfn.MINIFS('DETALLE CRONOLÓGICO'!$K$2:$K$4919,'DETALLE CRONOLÓGICO'!$A$2:$A$4919,$A420)</f>
        <v/>
      </c>
      <c r="L420" s="6">
        <f>_xlfn.MAXIFS('DETALLE CRONOLÓGICO'!$K$2:$K$4919,'DETALLE CRONOLÓGICO'!$A$2:$A$4919,$A420)</f>
        <v/>
      </c>
      <c r="M420" s="6">
        <f>INDEX('DETALLE CRONOLÓGICO'!$K$2:$K$4919,MATCH($A420,'DETALLE CRONOLÓGICO'!$A$2:$A$4919,0)+$E420-1)</f>
        <v/>
      </c>
      <c r="N420" s="7">
        <f>IFERROR($M420/INDEX('DETALLE CRONOLÓGICO'!$K$2:$K$4919,MATCH($A420,'DETALLE CRONOLÓGICO'!$A$2:$A$4919,0))-1,"")</f>
        <v/>
      </c>
      <c r="O420" s="6">
        <f>IFERROR($I420*3,"")</f>
        <v/>
      </c>
      <c r="P420" s="6">
        <f>IFERROR($I420*3.5,"")</f>
        <v/>
      </c>
      <c r="Q420" s="6">
        <f>IFERROR($I420*4,"")</f>
        <v/>
      </c>
      <c r="R420" s="6" t="n">
        <v>600</v>
      </c>
      <c r="S420" s="4" t="n">
        <v>3</v>
      </c>
      <c r="T420" s="1" t="inlineStr">
        <is>
          <t>active</t>
        </is>
      </c>
      <c r="U420" s="8" t="n"/>
      <c r="V420" s="1" t="inlineStr">
        <is>
          <t>SIN PRECIO</t>
        </is>
      </c>
    </row>
    <row r="421">
      <c r="A421" s="1" t="inlineStr">
        <is>
          <t>29736662119501</t>
        </is>
      </c>
      <c r="B421" s="1" t="inlineStr">
        <is>
          <t>ANILLO T SERPIENTE GOLD</t>
        </is>
      </c>
      <c r="C421" s="1" t="inlineStr">
        <is>
          <t>8</t>
        </is>
      </c>
      <c r="D421" s="1" t="inlineStr">
        <is>
          <t>HAIFENG</t>
        </is>
      </c>
      <c r="E421" s="4">
        <f>COUNTIF('DETALLE CRONOLÓGICO'!$A$2:$A$4919,$A421)</f>
        <v/>
      </c>
      <c r="F421" s="4">
        <f>SUMIFS('DETALLE CRONOLÓGICO'!$I$2:$I$4919,'DETALLE CRONOLÓGICO'!$A$2:$A$4919,$A421)</f>
        <v/>
      </c>
      <c r="G421" s="1">
        <f>INDEX('DETALLE CRONOLÓGICO'!$D$2:$D$4919,MATCH($A421,'DETALLE CRONOLÓGICO'!$A$2:$A$4919,0))</f>
        <v/>
      </c>
      <c r="H421" s="1">
        <f>INDEX('DETALLE CRONOLÓGICO'!$D$2:$D$4919,MATCH($A421,'DETALLE CRONOLÓGICO'!$A$2:$A$4919,0)+$E421-1)</f>
        <v/>
      </c>
      <c r="I421" s="5">
        <f>IFERROR(SUMIFS('DETALLE CRONOLÓGICO'!$L$2:$L$4919,'DETALLE CRONOLÓGICO'!$A$2:$A$4919,$A421)/$F421,"")</f>
        <v/>
      </c>
      <c r="J421" s="6">
        <f>IFERROR(SUMIFS('DETALLE CRONOLÓGICO'!$K$2:$K$4919,'DETALLE CRONOLÓGICO'!$A$2:$A$4919,$A421)/$E421,"")</f>
        <v/>
      </c>
      <c r="K421" s="6">
        <f>_xlfn.MINIFS('DETALLE CRONOLÓGICO'!$K$2:$K$4919,'DETALLE CRONOLÓGICO'!$A$2:$A$4919,$A421)</f>
        <v/>
      </c>
      <c r="L421" s="6">
        <f>_xlfn.MAXIFS('DETALLE CRONOLÓGICO'!$K$2:$K$4919,'DETALLE CRONOLÓGICO'!$A$2:$A$4919,$A421)</f>
        <v/>
      </c>
      <c r="M421" s="6">
        <f>INDEX('DETALLE CRONOLÓGICO'!$K$2:$K$4919,MATCH($A421,'DETALLE CRONOLÓGICO'!$A$2:$A$4919,0)+$E421-1)</f>
        <v/>
      </c>
      <c r="N421" s="7">
        <f>IFERROR($M421/INDEX('DETALLE CRONOLÓGICO'!$K$2:$K$4919,MATCH($A421,'DETALLE CRONOLÓGICO'!$A$2:$A$4919,0))-1,"")</f>
        <v/>
      </c>
      <c r="O421" s="6">
        <f>IFERROR($I421*3,"")</f>
        <v/>
      </c>
      <c r="P421" s="6">
        <f>IFERROR($I421*3.5,"")</f>
        <v/>
      </c>
      <c r="Q421" s="6">
        <f>IFERROR($I421*4,"")</f>
        <v/>
      </c>
      <c r="R421" s="6" t="n">
        <v>600</v>
      </c>
      <c r="S421" s="4" t="n">
        <v>2</v>
      </c>
      <c r="T421" s="1" t="inlineStr">
        <is>
          <t>active</t>
        </is>
      </c>
      <c r="U421" s="8" t="n"/>
      <c r="V421" s="1" t="inlineStr">
        <is>
          <t>SIN PRECIO</t>
        </is>
      </c>
    </row>
    <row r="422">
      <c r="A422" s="1" t="inlineStr">
        <is>
          <t>29736662234765</t>
        </is>
      </c>
      <c r="B422" s="1" t="inlineStr">
        <is>
          <t>ANILLO CD TRIBALES GOLD</t>
        </is>
      </c>
      <c r="C422" s="1" t="inlineStr">
        <is>
          <t>7</t>
        </is>
      </c>
      <c r="D422" s="1" t="inlineStr">
        <is>
          <t>HAIFENG</t>
        </is>
      </c>
      <c r="E422" s="4">
        <f>COUNTIF('DETALLE CRONOLÓGICO'!$A$2:$A$4919,$A422)</f>
        <v/>
      </c>
      <c r="F422" s="4">
        <f>SUMIFS('DETALLE CRONOLÓGICO'!$I$2:$I$4919,'DETALLE CRONOLÓGICO'!$A$2:$A$4919,$A422)</f>
        <v/>
      </c>
      <c r="G422" s="1">
        <f>INDEX('DETALLE CRONOLÓGICO'!$D$2:$D$4919,MATCH($A422,'DETALLE CRONOLÓGICO'!$A$2:$A$4919,0))</f>
        <v/>
      </c>
      <c r="H422" s="1">
        <f>INDEX('DETALLE CRONOLÓGICO'!$D$2:$D$4919,MATCH($A422,'DETALLE CRONOLÓGICO'!$A$2:$A$4919,0)+$E422-1)</f>
        <v/>
      </c>
      <c r="I422" s="5">
        <f>IFERROR(SUMIFS('DETALLE CRONOLÓGICO'!$L$2:$L$4919,'DETALLE CRONOLÓGICO'!$A$2:$A$4919,$A422)/$F422,"")</f>
        <v/>
      </c>
      <c r="J422" s="6">
        <f>IFERROR(SUMIFS('DETALLE CRONOLÓGICO'!$K$2:$K$4919,'DETALLE CRONOLÓGICO'!$A$2:$A$4919,$A422)/$E422,"")</f>
        <v/>
      </c>
      <c r="K422" s="6">
        <f>_xlfn.MINIFS('DETALLE CRONOLÓGICO'!$K$2:$K$4919,'DETALLE CRONOLÓGICO'!$A$2:$A$4919,$A422)</f>
        <v/>
      </c>
      <c r="L422" s="6">
        <f>_xlfn.MAXIFS('DETALLE CRONOLÓGICO'!$K$2:$K$4919,'DETALLE CRONOLÓGICO'!$A$2:$A$4919,$A422)</f>
        <v/>
      </c>
      <c r="M422" s="6">
        <f>INDEX('DETALLE CRONOLÓGICO'!$K$2:$K$4919,MATCH($A422,'DETALLE CRONOLÓGICO'!$A$2:$A$4919,0)+$E422-1)</f>
        <v/>
      </c>
      <c r="N422" s="7">
        <f>IFERROR($M422/INDEX('DETALLE CRONOLÓGICO'!$K$2:$K$4919,MATCH($A422,'DETALLE CRONOLÓGICO'!$A$2:$A$4919,0))-1,"")</f>
        <v/>
      </c>
      <c r="O422" s="6">
        <f>IFERROR($I422*3,"")</f>
        <v/>
      </c>
      <c r="P422" s="6">
        <f>IFERROR($I422*3.5,"")</f>
        <v/>
      </c>
      <c r="Q422" s="6">
        <f>IFERROR($I422*4,"")</f>
        <v/>
      </c>
      <c r="R422" s="6" t="n">
        <v>599</v>
      </c>
      <c r="S422" s="4" t="n">
        <v>0</v>
      </c>
      <c r="T422" s="1" t="inlineStr">
        <is>
          <t>active</t>
        </is>
      </c>
      <c r="U422" s="8" t="n"/>
      <c r="V422" s="1" t="inlineStr">
        <is>
          <t>SIN PRECIO</t>
        </is>
      </c>
    </row>
    <row r="423">
      <c r="A423" s="1" t="inlineStr">
        <is>
          <t>29736662373773</t>
        </is>
      </c>
      <c r="B423" s="1" t="inlineStr">
        <is>
          <t>ANILLO T CIERRE DOBLE SILVER</t>
        </is>
      </c>
      <c r="C423" s="1" t="inlineStr">
        <is>
          <t>6</t>
        </is>
      </c>
      <c r="D423" s="1" t="inlineStr">
        <is>
          <t>HAIFENG</t>
        </is>
      </c>
      <c r="E423" s="4">
        <f>COUNTIF('DETALLE CRONOLÓGICO'!$A$2:$A$4919,$A423)</f>
        <v/>
      </c>
      <c r="F423" s="4">
        <f>SUMIFS('DETALLE CRONOLÓGICO'!$I$2:$I$4919,'DETALLE CRONOLÓGICO'!$A$2:$A$4919,$A423)</f>
        <v/>
      </c>
      <c r="G423" s="1">
        <f>INDEX('DETALLE CRONOLÓGICO'!$D$2:$D$4919,MATCH($A423,'DETALLE CRONOLÓGICO'!$A$2:$A$4919,0))</f>
        <v/>
      </c>
      <c r="H423" s="1">
        <f>INDEX('DETALLE CRONOLÓGICO'!$D$2:$D$4919,MATCH($A423,'DETALLE CRONOLÓGICO'!$A$2:$A$4919,0)+$E423-1)</f>
        <v/>
      </c>
      <c r="I423" s="5">
        <f>IFERROR(SUMIFS('DETALLE CRONOLÓGICO'!$L$2:$L$4919,'DETALLE CRONOLÓGICO'!$A$2:$A$4919,$A423)/$F423,"")</f>
        <v/>
      </c>
      <c r="J423" s="6">
        <f>IFERROR(SUMIFS('DETALLE CRONOLÓGICO'!$K$2:$K$4919,'DETALLE CRONOLÓGICO'!$A$2:$A$4919,$A423)/$E423,"")</f>
        <v/>
      </c>
      <c r="K423" s="6">
        <f>_xlfn.MINIFS('DETALLE CRONOLÓGICO'!$K$2:$K$4919,'DETALLE CRONOLÓGICO'!$A$2:$A$4919,$A423)</f>
        <v/>
      </c>
      <c r="L423" s="6">
        <f>_xlfn.MAXIFS('DETALLE CRONOLÓGICO'!$K$2:$K$4919,'DETALLE CRONOLÓGICO'!$A$2:$A$4919,$A423)</f>
        <v/>
      </c>
      <c r="M423" s="6">
        <f>INDEX('DETALLE CRONOLÓGICO'!$K$2:$K$4919,MATCH($A423,'DETALLE CRONOLÓGICO'!$A$2:$A$4919,0)+$E423-1)</f>
        <v/>
      </c>
      <c r="N423" s="7">
        <f>IFERROR($M423/INDEX('DETALLE CRONOLÓGICO'!$K$2:$K$4919,MATCH($A423,'DETALLE CRONOLÓGICO'!$A$2:$A$4919,0))-1,"")</f>
        <v/>
      </c>
      <c r="O423" s="6">
        <f>IFERROR($I423*3,"")</f>
        <v/>
      </c>
      <c r="P423" s="6">
        <f>IFERROR($I423*3.5,"")</f>
        <v/>
      </c>
      <c r="Q423" s="6">
        <f>IFERROR($I423*4,"")</f>
        <v/>
      </c>
      <c r="R423" s="6" t="n">
        <v>0</v>
      </c>
      <c r="S423" s="4" t="n">
        <v>0</v>
      </c>
      <c r="T423" s="1" t="inlineStr">
        <is>
          <t>active</t>
        </is>
      </c>
      <c r="U423" s="8" t="n"/>
      <c r="V423" s="1" t="inlineStr">
        <is>
          <t>SIN PRECIO</t>
        </is>
      </c>
    </row>
    <row r="424">
      <c r="A424" s="1" t="inlineStr">
        <is>
          <t>29736662406541</t>
        </is>
      </c>
      <c r="B424" s="1" t="inlineStr">
        <is>
          <t>ANILLO T CIERRE DOBLE SILVER</t>
        </is>
      </c>
      <c r="C424" s="1" t="inlineStr">
        <is>
          <t>8</t>
        </is>
      </c>
      <c r="D424" s="1" t="inlineStr">
        <is>
          <t>HAIFENG</t>
        </is>
      </c>
      <c r="E424" s="4">
        <f>COUNTIF('DETALLE CRONOLÓGICO'!$A$2:$A$4919,$A424)</f>
        <v/>
      </c>
      <c r="F424" s="4">
        <f>SUMIFS('DETALLE CRONOLÓGICO'!$I$2:$I$4919,'DETALLE CRONOLÓGICO'!$A$2:$A$4919,$A424)</f>
        <v/>
      </c>
      <c r="G424" s="1">
        <f>INDEX('DETALLE CRONOLÓGICO'!$D$2:$D$4919,MATCH($A424,'DETALLE CRONOLÓGICO'!$A$2:$A$4919,0))</f>
        <v/>
      </c>
      <c r="H424" s="1">
        <f>INDEX('DETALLE CRONOLÓGICO'!$D$2:$D$4919,MATCH($A424,'DETALLE CRONOLÓGICO'!$A$2:$A$4919,0)+$E424-1)</f>
        <v/>
      </c>
      <c r="I424" s="5">
        <f>IFERROR(SUMIFS('DETALLE CRONOLÓGICO'!$L$2:$L$4919,'DETALLE CRONOLÓGICO'!$A$2:$A$4919,$A424)/$F424,"")</f>
        <v/>
      </c>
      <c r="J424" s="6">
        <f>IFERROR(SUMIFS('DETALLE CRONOLÓGICO'!$K$2:$K$4919,'DETALLE CRONOLÓGICO'!$A$2:$A$4919,$A424)/$E424,"")</f>
        <v/>
      </c>
      <c r="K424" s="6">
        <f>_xlfn.MINIFS('DETALLE CRONOLÓGICO'!$K$2:$K$4919,'DETALLE CRONOLÓGICO'!$A$2:$A$4919,$A424)</f>
        <v/>
      </c>
      <c r="L424" s="6">
        <f>_xlfn.MAXIFS('DETALLE CRONOLÓGICO'!$K$2:$K$4919,'DETALLE CRONOLÓGICO'!$A$2:$A$4919,$A424)</f>
        <v/>
      </c>
      <c r="M424" s="6">
        <f>INDEX('DETALLE CRONOLÓGICO'!$K$2:$K$4919,MATCH($A424,'DETALLE CRONOLÓGICO'!$A$2:$A$4919,0)+$E424-1)</f>
        <v/>
      </c>
      <c r="N424" s="7">
        <f>IFERROR($M424/INDEX('DETALLE CRONOLÓGICO'!$K$2:$K$4919,MATCH($A424,'DETALLE CRONOLÓGICO'!$A$2:$A$4919,0))-1,"")</f>
        <v/>
      </c>
      <c r="O424" s="6">
        <f>IFERROR($I424*3,"")</f>
        <v/>
      </c>
      <c r="P424" s="6">
        <f>IFERROR($I424*3.5,"")</f>
        <v/>
      </c>
      <c r="Q424" s="6">
        <f>IFERROR($I424*4,"")</f>
        <v/>
      </c>
      <c r="R424" s="6" t="n">
        <v>650</v>
      </c>
      <c r="S424" s="4" t="n">
        <v>3</v>
      </c>
      <c r="T424" s="1" t="inlineStr">
        <is>
          <t>active</t>
        </is>
      </c>
      <c r="U424" s="8" t="n"/>
      <c r="V424" s="1" t="inlineStr">
        <is>
          <t>SIN PRECIO</t>
        </is>
      </c>
    </row>
    <row r="425">
      <c r="A425" s="1" t="inlineStr">
        <is>
          <t>29736662528589</t>
        </is>
      </c>
      <c r="B425" s="1" t="inlineStr">
        <is>
          <t>ANILLO OPEN HEART SILVER</t>
        </is>
      </c>
      <c r="C425" s="1" t="inlineStr">
        <is>
          <t>7</t>
        </is>
      </c>
      <c r="D425" s="1" t="inlineStr">
        <is>
          <t>HAIFENG</t>
        </is>
      </c>
      <c r="E425" s="4">
        <f>COUNTIF('DETALLE CRONOLÓGICO'!$A$2:$A$4919,$A425)</f>
        <v/>
      </c>
      <c r="F425" s="4">
        <f>SUMIFS('DETALLE CRONOLÓGICO'!$I$2:$I$4919,'DETALLE CRONOLÓGICO'!$A$2:$A$4919,$A425)</f>
        <v/>
      </c>
      <c r="G425" s="1">
        <f>INDEX('DETALLE CRONOLÓGICO'!$D$2:$D$4919,MATCH($A425,'DETALLE CRONOLÓGICO'!$A$2:$A$4919,0))</f>
        <v/>
      </c>
      <c r="H425" s="1">
        <f>INDEX('DETALLE CRONOLÓGICO'!$D$2:$D$4919,MATCH($A425,'DETALLE CRONOLÓGICO'!$A$2:$A$4919,0)+$E425-1)</f>
        <v/>
      </c>
      <c r="I425" s="5">
        <f>IFERROR(SUMIFS('DETALLE CRONOLÓGICO'!$L$2:$L$4919,'DETALLE CRONOLÓGICO'!$A$2:$A$4919,$A425)/$F425,"")</f>
        <v/>
      </c>
      <c r="J425" s="6">
        <f>IFERROR(SUMIFS('DETALLE CRONOLÓGICO'!$K$2:$K$4919,'DETALLE CRONOLÓGICO'!$A$2:$A$4919,$A425)/$E425,"")</f>
        <v/>
      </c>
      <c r="K425" s="6">
        <f>_xlfn.MINIFS('DETALLE CRONOLÓGICO'!$K$2:$K$4919,'DETALLE CRONOLÓGICO'!$A$2:$A$4919,$A425)</f>
        <v/>
      </c>
      <c r="L425" s="6">
        <f>_xlfn.MAXIFS('DETALLE CRONOLÓGICO'!$K$2:$K$4919,'DETALLE CRONOLÓGICO'!$A$2:$A$4919,$A425)</f>
        <v/>
      </c>
      <c r="M425" s="6">
        <f>INDEX('DETALLE CRONOLÓGICO'!$K$2:$K$4919,MATCH($A425,'DETALLE CRONOLÓGICO'!$A$2:$A$4919,0)+$E425-1)</f>
        <v/>
      </c>
      <c r="N425" s="7">
        <f>IFERROR($M425/INDEX('DETALLE CRONOLÓGICO'!$K$2:$K$4919,MATCH($A425,'DETALLE CRONOLÓGICO'!$A$2:$A$4919,0))-1,"")</f>
        <v/>
      </c>
      <c r="O425" s="6">
        <f>IFERROR($I425*3,"")</f>
        <v/>
      </c>
      <c r="P425" s="6">
        <f>IFERROR($I425*3.5,"")</f>
        <v/>
      </c>
      <c r="Q425" s="6">
        <f>IFERROR($I425*4,"")</f>
        <v/>
      </c>
      <c r="R425" s="6" t="n">
        <v>389</v>
      </c>
      <c r="S425" s="4" t="n">
        <v>1</v>
      </c>
      <c r="T425" s="1" t="inlineStr">
        <is>
          <t>active</t>
        </is>
      </c>
      <c r="U425" s="8" t="n"/>
      <c r="V425" s="1" t="inlineStr">
        <is>
          <t>SIN PRECIO</t>
        </is>
      </c>
    </row>
    <row r="426">
      <c r="A426" s="1" t="inlineStr">
        <is>
          <t>29736662661357</t>
        </is>
      </c>
      <c r="B426" s="1" t="inlineStr">
        <is>
          <t>ANILLO OPEN HEART SILVER</t>
        </is>
      </c>
      <c r="C426" s="1" t="inlineStr">
        <is>
          <t>8</t>
        </is>
      </c>
      <c r="D426" s="1" t="inlineStr">
        <is>
          <t>HAIFENG</t>
        </is>
      </c>
      <c r="E426" s="4">
        <f>COUNTIF('DETALLE CRONOLÓGICO'!$A$2:$A$4919,$A426)</f>
        <v/>
      </c>
      <c r="F426" s="4">
        <f>SUMIFS('DETALLE CRONOLÓGICO'!$I$2:$I$4919,'DETALLE CRONOLÓGICO'!$A$2:$A$4919,$A426)</f>
        <v/>
      </c>
      <c r="G426" s="1">
        <f>INDEX('DETALLE CRONOLÓGICO'!$D$2:$D$4919,MATCH($A426,'DETALLE CRONOLÓGICO'!$A$2:$A$4919,0))</f>
        <v/>
      </c>
      <c r="H426" s="1">
        <f>INDEX('DETALLE CRONOLÓGICO'!$D$2:$D$4919,MATCH($A426,'DETALLE CRONOLÓGICO'!$A$2:$A$4919,0)+$E426-1)</f>
        <v/>
      </c>
      <c r="I426" s="5">
        <f>IFERROR(SUMIFS('DETALLE CRONOLÓGICO'!$L$2:$L$4919,'DETALLE CRONOLÓGICO'!$A$2:$A$4919,$A426)/$F426,"")</f>
        <v/>
      </c>
      <c r="J426" s="6">
        <f>IFERROR(SUMIFS('DETALLE CRONOLÓGICO'!$K$2:$K$4919,'DETALLE CRONOLÓGICO'!$A$2:$A$4919,$A426)/$E426,"")</f>
        <v/>
      </c>
      <c r="K426" s="6">
        <f>_xlfn.MINIFS('DETALLE CRONOLÓGICO'!$K$2:$K$4919,'DETALLE CRONOLÓGICO'!$A$2:$A$4919,$A426)</f>
        <v/>
      </c>
      <c r="L426" s="6">
        <f>_xlfn.MAXIFS('DETALLE CRONOLÓGICO'!$K$2:$K$4919,'DETALLE CRONOLÓGICO'!$A$2:$A$4919,$A426)</f>
        <v/>
      </c>
      <c r="M426" s="6">
        <f>INDEX('DETALLE CRONOLÓGICO'!$K$2:$K$4919,MATCH($A426,'DETALLE CRONOLÓGICO'!$A$2:$A$4919,0)+$E426-1)</f>
        <v/>
      </c>
      <c r="N426" s="7">
        <f>IFERROR($M426/INDEX('DETALLE CRONOLÓGICO'!$K$2:$K$4919,MATCH($A426,'DETALLE CRONOLÓGICO'!$A$2:$A$4919,0))-1,"")</f>
        <v/>
      </c>
      <c r="O426" s="6">
        <f>IFERROR($I426*3,"")</f>
        <v/>
      </c>
      <c r="P426" s="6">
        <f>IFERROR($I426*3.5,"")</f>
        <v/>
      </c>
      <c r="Q426" s="6">
        <f>IFERROR($I426*4,"")</f>
        <v/>
      </c>
      <c r="R426" s="6" t="n">
        <v>599</v>
      </c>
      <c r="S426" s="4" t="n">
        <v>3</v>
      </c>
      <c r="T426" s="1" t="inlineStr">
        <is>
          <t>active</t>
        </is>
      </c>
      <c r="U426" s="8" t="n"/>
      <c r="V426" s="1" t="inlineStr">
        <is>
          <t>SIN PRECIO</t>
        </is>
      </c>
    </row>
    <row r="427">
      <c r="A427" s="1" t="inlineStr">
        <is>
          <t>29736662752941</t>
        </is>
      </c>
      <c r="B427" s="1" t="inlineStr">
        <is>
          <t>ANILLO T SILVER CON ZIRCONIA</t>
        </is>
      </c>
      <c r="C427" s="1" t="inlineStr">
        <is>
          <t>7</t>
        </is>
      </c>
      <c r="D427" s="1" t="inlineStr">
        <is>
          <t>HAIFENG</t>
        </is>
      </c>
      <c r="E427" s="4">
        <f>COUNTIF('DETALLE CRONOLÓGICO'!$A$2:$A$4919,$A427)</f>
        <v/>
      </c>
      <c r="F427" s="4">
        <f>SUMIFS('DETALLE CRONOLÓGICO'!$I$2:$I$4919,'DETALLE CRONOLÓGICO'!$A$2:$A$4919,$A427)</f>
        <v/>
      </c>
      <c r="G427" s="1">
        <f>INDEX('DETALLE CRONOLÓGICO'!$D$2:$D$4919,MATCH($A427,'DETALLE CRONOLÓGICO'!$A$2:$A$4919,0))</f>
        <v/>
      </c>
      <c r="H427" s="1">
        <f>INDEX('DETALLE CRONOLÓGICO'!$D$2:$D$4919,MATCH($A427,'DETALLE CRONOLÓGICO'!$A$2:$A$4919,0)+$E427-1)</f>
        <v/>
      </c>
      <c r="I427" s="5">
        <f>IFERROR(SUMIFS('DETALLE CRONOLÓGICO'!$L$2:$L$4919,'DETALLE CRONOLÓGICO'!$A$2:$A$4919,$A427)/$F427,"")</f>
        <v/>
      </c>
      <c r="J427" s="6">
        <f>IFERROR(SUMIFS('DETALLE CRONOLÓGICO'!$K$2:$K$4919,'DETALLE CRONOLÓGICO'!$A$2:$A$4919,$A427)/$E427,"")</f>
        <v/>
      </c>
      <c r="K427" s="6">
        <f>_xlfn.MINIFS('DETALLE CRONOLÓGICO'!$K$2:$K$4919,'DETALLE CRONOLÓGICO'!$A$2:$A$4919,$A427)</f>
        <v/>
      </c>
      <c r="L427" s="6">
        <f>_xlfn.MAXIFS('DETALLE CRONOLÓGICO'!$K$2:$K$4919,'DETALLE CRONOLÓGICO'!$A$2:$A$4919,$A427)</f>
        <v/>
      </c>
      <c r="M427" s="6">
        <f>INDEX('DETALLE CRONOLÓGICO'!$K$2:$K$4919,MATCH($A427,'DETALLE CRONOLÓGICO'!$A$2:$A$4919,0)+$E427-1)</f>
        <v/>
      </c>
      <c r="N427" s="7">
        <f>IFERROR($M427/INDEX('DETALLE CRONOLÓGICO'!$K$2:$K$4919,MATCH($A427,'DETALLE CRONOLÓGICO'!$A$2:$A$4919,0))-1,"")</f>
        <v/>
      </c>
      <c r="O427" s="6">
        <f>IFERROR($I427*3,"")</f>
        <v/>
      </c>
      <c r="P427" s="6">
        <f>IFERROR($I427*3.5,"")</f>
        <v/>
      </c>
      <c r="Q427" s="6">
        <f>IFERROR($I427*4,"")</f>
        <v/>
      </c>
      <c r="R427" s="6" t="n">
        <v>650</v>
      </c>
      <c r="S427" s="4" t="n">
        <v>1</v>
      </c>
      <c r="T427" s="1" t="inlineStr">
        <is>
          <t>active</t>
        </is>
      </c>
      <c r="U427" s="8" t="n"/>
      <c r="V427" s="1" t="inlineStr">
        <is>
          <t>SIN PRECIO</t>
        </is>
      </c>
    </row>
    <row r="428">
      <c r="A428" s="1" t="inlineStr">
        <is>
          <t>29736662885709</t>
        </is>
      </c>
      <c r="B428" s="1" t="inlineStr">
        <is>
          <t>ANILLO T SILVER ZIRCONIAS</t>
        </is>
      </c>
      <c r="C428" s="1" t="inlineStr">
        <is>
          <t>8</t>
        </is>
      </c>
      <c r="D428" s="1" t="inlineStr">
        <is>
          <t>HAIFENG</t>
        </is>
      </c>
      <c r="E428" s="4">
        <f>COUNTIF('DETALLE CRONOLÓGICO'!$A$2:$A$4919,$A428)</f>
        <v/>
      </c>
      <c r="F428" s="4">
        <f>SUMIFS('DETALLE CRONOLÓGICO'!$I$2:$I$4919,'DETALLE CRONOLÓGICO'!$A$2:$A$4919,$A428)</f>
        <v/>
      </c>
      <c r="G428" s="1">
        <f>INDEX('DETALLE CRONOLÓGICO'!$D$2:$D$4919,MATCH($A428,'DETALLE CRONOLÓGICO'!$A$2:$A$4919,0))</f>
        <v/>
      </c>
      <c r="H428" s="1">
        <f>INDEX('DETALLE CRONOLÓGICO'!$D$2:$D$4919,MATCH($A428,'DETALLE CRONOLÓGICO'!$A$2:$A$4919,0)+$E428-1)</f>
        <v/>
      </c>
      <c r="I428" s="5">
        <f>IFERROR(SUMIFS('DETALLE CRONOLÓGICO'!$L$2:$L$4919,'DETALLE CRONOLÓGICO'!$A$2:$A$4919,$A428)/$F428,"")</f>
        <v/>
      </c>
      <c r="J428" s="6">
        <f>IFERROR(SUMIFS('DETALLE CRONOLÓGICO'!$K$2:$K$4919,'DETALLE CRONOLÓGICO'!$A$2:$A$4919,$A428)/$E428,"")</f>
        <v/>
      </c>
      <c r="K428" s="6">
        <f>_xlfn.MINIFS('DETALLE CRONOLÓGICO'!$K$2:$K$4919,'DETALLE CRONOLÓGICO'!$A$2:$A$4919,$A428)</f>
        <v/>
      </c>
      <c r="L428" s="6">
        <f>_xlfn.MAXIFS('DETALLE CRONOLÓGICO'!$K$2:$K$4919,'DETALLE CRONOLÓGICO'!$A$2:$A$4919,$A428)</f>
        <v/>
      </c>
      <c r="M428" s="6">
        <f>INDEX('DETALLE CRONOLÓGICO'!$K$2:$K$4919,MATCH($A428,'DETALLE CRONOLÓGICO'!$A$2:$A$4919,0)+$E428-1)</f>
        <v/>
      </c>
      <c r="N428" s="7">
        <f>IFERROR($M428/INDEX('DETALLE CRONOLÓGICO'!$K$2:$K$4919,MATCH($A428,'DETALLE CRONOLÓGICO'!$A$2:$A$4919,0))-1,"")</f>
        <v/>
      </c>
      <c r="O428" s="6">
        <f>IFERROR($I428*3,"")</f>
        <v/>
      </c>
      <c r="P428" s="6">
        <f>IFERROR($I428*3.5,"")</f>
        <v/>
      </c>
      <c r="Q428" s="6">
        <f>IFERROR($I428*4,"")</f>
        <v/>
      </c>
      <c r="R428" s="6" t="n">
        <v>650</v>
      </c>
      <c r="S428" s="4" t="n">
        <v>0</v>
      </c>
      <c r="T428" s="1" t="inlineStr">
        <is>
          <t>active</t>
        </is>
      </c>
      <c r="U428" s="8" t="n"/>
      <c r="V428" s="1" t="inlineStr">
        <is>
          <t>SIN PRECIO</t>
        </is>
      </c>
    </row>
    <row r="429">
      <c r="A429" s="1" t="inlineStr">
        <is>
          <t>29736672903821</t>
        </is>
      </c>
      <c r="B429" s="1" t="inlineStr">
        <is>
          <t>ANILLO T PEARL ROSE GOLD</t>
        </is>
      </c>
      <c r="C429" s="1" t="inlineStr">
        <is>
          <t>6</t>
        </is>
      </c>
      <c r="D429" s="1" t="inlineStr">
        <is>
          <t>HAIFENG</t>
        </is>
      </c>
      <c r="E429" s="4">
        <f>COUNTIF('DETALLE CRONOLÓGICO'!$A$2:$A$4919,$A429)</f>
        <v/>
      </c>
      <c r="F429" s="4">
        <f>SUMIFS('DETALLE CRONOLÓGICO'!$I$2:$I$4919,'DETALLE CRONOLÓGICO'!$A$2:$A$4919,$A429)</f>
        <v/>
      </c>
      <c r="G429" s="1">
        <f>INDEX('DETALLE CRONOLÓGICO'!$D$2:$D$4919,MATCH($A429,'DETALLE CRONOLÓGICO'!$A$2:$A$4919,0))</f>
        <v/>
      </c>
      <c r="H429" s="1">
        <f>INDEX('DETALLE CRONOLÓGICO'!$D$2:$D$4919,MATCH($A429,'DETALLE CRONOLÓGICO'!$A$2:$A$4919,0)+$E429-1)</f>
        <v/>
      </c>
      <c r="I429" s="5">
        <f>IFERROR(SUMIFS('DETALLE CRONOLÓGICO'!$L$2:$L$4919,'DETALLE CRONOLÓGICO'!$A$2:$A$4919,$A429)/$F429,"")</f>
        <v/>
      </c>
      <c r="J429" s="6">
        <f>IFERROR(SUMIFS('DETALLE CRONOLÓGICO'!$K$2:$K$4919,'DETALLE CRONOLÓGICO'!$A$2:$A$4919,$A429)/$E429,"")</f>
        <v/>
      </c>
      <c r="K429" s="6">
        <f>_xlfn.MINIFS('DETALLE CRONOLÓGICO'!$K$2:$K$4919,'DETALLE CRONOLÓGICO'!$A$2:$A$4919,$A429)</f>
        <v/>
      </c>
      <c r="L429" s="6">
        <f>_xlfn.MAXIFS('DETALLE CRONOLÓGICO'!$K$2:$K$4919,'DETALLE CRONOLÓGICO'!$A$2:$A$4919,$A429)</f>
        <v/>
      </c>
      <c r="M429" s="6">
        <f>INDEX('DETALLE CRONOLÓGICO'!$K$2:$K$4919,MATCH($A429,'DETALLE CRONOLÓGICO'!$A$2:$A$4919,0)+$E429-1)</f>
        <v/>
      </c>
      <c r="N429" s="7">
        <f>IFERROR($M429/INDEX('DETALLE CRONOLÓGICO'!$K$2:$K$4919,MATCH($A429,'DETALLE CRONOLÓGICO'!$A$2:$A$4919,0))-1,"")</f>
        <v/>
      </c>
      <c r="O429" s="6">
        <f>IFERROR($I429*3,"")</f>
        <v/>
      </c>
      <c r="P429" s="6">
        <f>IFERROR($I429*3.5,"")</f>
        <v/>
      </c>
      <c r="Q429" s="6">
        <f>IFERROR($I429*4,"")</f>
        <v/>
      </c>
      <c r="R429" s="6" t="n">
        <v>650</v>
      </c>
      <c r="S429" s="4" t="n">
        <v>2</v>
      </c>
      <c r="T429" s="1" t="inlineStr">
        <is>
          <t>active</t>
        </is>
      </c>
      <c r="U429" s="8" t="n"/>
      <c r="V429" s="1" t="inlineStr">
        <is>
          <t>SIN PRECIO</t>
        </is>
      </c>
    </row>
    <row r="430">
      <c r="A430" s="1" t="inlineStr">
        <is>
          <t>29736673036589</t>
        </is>
      </c>
      <c r="B430" s="1" t="inlineStr">
        <is>
          <t>ANILLO T PEARL ROSE GOLD</t>
        </is>
      </c>
      <c r="C430" s="1" t="inlineStr">
        <is>
          <t>7</t>
        </is>
      </c>
      <c r="D430" s="1" t="inlineStr">
        <is>
          <t>HAIFENG</t>
        </is>
      </c>
      <c r="E430" s="4">
        <f>COUNTIF('DETALLE CRONOLÓGICO'!$A$2:$A$4919,$A430)</f>
        <v/>
      </c>
      <c r="F430" s="4">
        <f>SUMIFS('DETALLE CRONOLÓGICO'!$I$2:$I$4919,'DETALLE CRONOLÓGICO'!$A$2:$A$4919,$A430)</f>
        <v/>
      </c>
      <c r="G430" s="1">
        <f>INDEX('DETALLE CRONOLÓGICO'!$D$2:$D$4919,MATCH($A430,'DETALLE CRONOLÓGICO'!$A$2:$A$4919,0))</f>
        <v/>
      </c>
      <c r="H430" s="1">
        <f>INDEX('DETALLE CRONOLÓGICO'!$D$2:$D$4919,MATCH($A430,'DETALLE CRONOLÓGICO'!$A$2:$A$4919,0)+$E430-1)</f>
        <v/>
      </c>
      <c r="I430" s="5">
        <f>IFERROR(SUMIFS('DETALLE CRONOLÓGICO'!$L$2:$L$4919,'DETALLE CRONOLÓGICO'!$A$2:$A$4919,$A430)/$F430,"")</f>
        <v/>
      </c>
      <c r="J430" s="6">
        <f>IFERROR(SUMIFS('DETALLE CRONOLÓGICO'!$K$2:$K$4919,'DETALLE CRONOLÓGICO'!$A$2:$A$4919,$A430)/$E430,"")</f>
        <v/>
      </c>
      <c r="K430" s="6">
        <f>_xlfn.MINIFS('DETALLE CRONOLÓGICO'!$K$2:$K$4919,'DETALLE CRONOLÓGICO'!$A$2:$A$4919,$A430)</f>
        <v/>
      </c>
      <c r="L430" s="6">
        <f>_xlfn.MAXIFS('DETALLE CRONOLÓGICO'!$K$2:$K$4919,'DETALLE CRONOLÓGICO'!$A$2:$A$4919,$A430)</f>
        <v/>
      </c>
      <c r="M430" s="6">
        <f>INDEX('DETALLE CRONOLÓGICO'!$K$2:$K$4919,MATCH($A430,'DETALLE CRONOLÓGICO'!$A$2:$A$4919,0)+$E430-1)</f>
        <v/>
      </c>
      <c r="N430" s="7">
        <f>IFERROR($M430/INDEX('DETALLE CRONOLÓGICO'!$K$2:$K$4919,MATCH($A430,'DETALLE CRONOLÓGICO'!$A$2:$A$4919,0))-1,"")</f>
        <v/>
      </c>
      <c r="O430" s="6">
        <f>IFERROR($I430*3,"")</f>
        <v/>
      </c>
      <c r="P430" s="6">
        <f>IFERROR($I430*3.5,"")</f>
        <v/>
      </c>
      <c r="Q430" s="6">
        <f>IFERROR($I430*4,"")</f>
        <v/>
      </c>
      <c r="R430" s="6" t="n">
        <v>650</v>
      </c>
      <c r="S430" s="4" t="n">
        <v>1</v>
      </c>
      <c r="T430" s="1" t="inlineStr">
        <is>
          <t>active</t>
        </is>
      </c>
      <c r="U430" s="8" t="n"/>
      <c r="V430" s="1" t="inlineStr">
        <is>
          <t>SIN PRECIO</t>
        </is>
      </c>
    </row>
    <row r="431">
      <c r="A431" s="1" t="inlineStr">
        <is>
          <t>29736673163725</t>
        </is>
      </c>
      <c r="B431" s="1" t="inlineStr">
        <is>
          <t>ANILLO T BONE SILVER</t>
        </is>
      </c>
      <c r="C431" s="1" t="inlineStr">
        <is>
          <t>Default Title</t>
        </is>
      </c>
      <c r="D431" s="1" t="inlineStr">
        <is>
          <t>HAIFENG</t>
        </is>
      </c>
      <c r="E431" s="4">
        <f>COUNTIF('DETALLE CRONOLÓGICO'!$A$2:$A$4919,$A431)</f>
        <v/>
      </c>
      <c r="F431" s="4">
        <f>SUMIFS('DETALLE CRONOLÓGICO'!$I$2:$I$4919,'DETALLE CRONOLÓGICO'!$A$2:$A$4919,$A431)</f>
        <v/>
      </c>
      <c r="G431" s="1">
        <f>INDEX('DETALLE CRONOLÓGICO'!$D$2:$D$4919,MATCH($A431,'DETALLE CRONOLÓGICO'!$A$2:$A$4919,0))</f>
        <v/>
      </c>
      <c r="H431" s="1">
        <f>INDEX('DETALLE CRONOLÓGICO'!$D$2:$D$4919,MATCH($A431,'DETALLE CRONOLÓGICO'!$A$2:$A$4919,0)+$E431-1)</f>
        <v/>
      </c>
      <c r="I431" s="5">
        <f>IFERROR(SUMIFS('DETALLE CRONOLÓGICO'!$L$2:$L$4919,'DETALLE CRONOLÓGICO'!$A$2:$A$4919,$A431)/$F431,"")</f>
        <v/>
      </c>
      <c r="J431" s="6">
        <f>IFERROR(SUMIFS('DETALLE CRONOLÓGICO'!$K$2:$K$4919,'DETALLE CRONOLÓGICO'!$A$2:$A$4919,$A431)/$E431,"")</f>
        <v/>
      </c>
      <c r="K431" s="6">
        <f>_xlfn.MINIFS('DETALLE CRONOLÓGICO'!$K$2:$K$4919,'DETALLE CRONOLÓGICO'!$A$2:$A$4919,$A431)</f>
        <v/>
      </c>
      <c r="L431" s="6">
        <f>_xlfn.MAXIFS('DETALLE CRONOLÓGICO'!$K$2:$K$4919,'DETALLE CRONOLÓGICO'!$A$2:$A$4919,$A431)</f>
        <v/>
      </c>
      <c r="M431" s="6">
        <f>INDEX('DETALLE CRONOLÓGICO'!$K$2:$K$4919,MATCH($A431,'DETALLE CRONOLÓGICO'!$A$2:$A$4919,0)+$E431-1)</f>
        <v/>
      </c>
      <c r="N431" s="7">
        <f>IFERROR($M431/INDEX('DETALLE CRONOLÓGICO'!$K$2:$K$4919,MATCH($A431,'DETALLE CRONOLÓGICO'!$A$2:$A$4919,0))-1,"")</f>
        <v/>
      </c>
      <c r="O431" s="6">
        <f>IFERROR($I431*3,"")</f>
        <v/>
      </c>
      <c r="P431" s="6">
        <f>IFERROR($I431*3.5,"")</f>
        <v/>
      </c>
      <c r="Q431" s="6">
        <f>IFERROR($I431*4,"")</f>
        <v/>
      </c>
      <c r="R431" s="6" t="n">
        <v>0</v>
      </c>
      <c r="S431" s="4" t="n">
        <v>0</v>
      </c>
      <c r="T431" s="1" t="inlineStr">
        <is>
          <t>draft</t>
        </is>
      </c>
      <c r="U431" s="8" t="n"/>
      <c r="V431" s="1" t="inlineStr">
        <is>
          <t>SIN PRECIO</t>
        </is>
      </c>
    </row>
    <row r="432">
      <c r="A432" s="1" t="inlineStr">
        <is>
          <t>29736673276749</t>
        </is>
      </c>
      <c r="B432" s="1" t="inlineStr">
        <is>
          <t>ANILLO T ZIRCONIAS GOLD</t>
        </is>
      </c>
      <c r="C432" s="1" t="inlineStr">
        <is>
          <t>6</t>
        </is>
      </c>
      <c r="D432" s="1" t="inlineStr">
        <is>
          <t>HAIFENG</t>
        </is>
      </c>
      <c r="E432" s="4">
        <f>COUNTIF('DETALLE CRONOLÓGICO'!$A$2:$A$4919,$A432)</f>
        <v/>
      </c>
      <c r="F432" s="4">
        <f>SUMIFS('DETALLE CRONOLÓGICO'!$I$2:$I$4919,'DETALLE CRONOLÓGICO'!$A$2:$A$4919,$A432)</f>
        <v/>
      </c>
      <c r="G432" s="1">
        <f>INDEX('DETALLE CRONOLÓGICO'!$D$2:$D$4919,MATCH($A432,'DETALLE CRONOLÓGICO'!$A$2:$A$4919,0))</f>
        <v/>
      </c>
      <c r="H432" s="1">
        <f>INDEX('DETALLE CRONOLÓGICO'!$D$2:$D$4919,MATCH($A432,'DETALLE CRONOLÓGICO'!$A$2:$A$4919,0)+$E432-1)</f>
        <v/>
      </c>
      <c r="I432" s="5">
        <f>IFERROR(SUMIFS('DETALLE CRONOLÓGICO'!$L$2:$L$4919,'DETALLE CRONOLÓGICO'!$A$2:$A$4919,$A432)/$F432,"")</f>
        <v/>
      </c>
      <c r="J432" s="6">
        <f>IFERROR(SUMIFS('DETALLE CRONOLÓGICO'!$K$2:$K$4919,'DETALLE CRONOLÓGICO'!$A$2:$A$4919,$A432)/$E432,"")</f>
        <v/>
      </c>
      <c r="K432" s="6">
        <f>_xlfn.MINIFS('DETALLE CRONOLÓGICO'!$K$2:$K$4919,'DETALLE CRONOLÓGICO'!$A$2:$A$4919,$A432)</f>
        <v/>
      </c>
      <c r="L432" s="6">
        <f>_xlfn.MAXIFS('DETALLE CRONOLÓGICO'!$K$2:$K$4919,'DETALLE CRONOLÓGICO'!$A$2:$A$4919,$A432)</f>
        <v/>
      </c>
      <c r="M432" s="6">
        <f>INDEX('DETALLE CRONOLÓGICO'!$K$2:$K$4919,MATCH($A432,'DETALLE CRONOLÓGICO'!$A$2:$A$4919,0)+$E432-1)</f>
        <v/>
      </c>
      <c r="N432" s="7">
        <f>IFERROR($M432/INDEX('DETALLE CRONOLÓGICO'!$K$2:$K$4919,MATCH($A432,'DETALLE CRONOLÓGICO'!$A$2:$A$4919,0))-1,"")</f>
        <v/>
      </c>
      <c r="O432" s="6">
        <f>IFERROR($I432*3,"")</f>
        <v/>
      </c>
      <c r="P432" s="6">
        <f>IFERROR($I432*3.5,"")</f>
        <v/>
      </c>
      <c r="Q432" s="6">
        <f>IFERROR($I432*4,"")</f>
        <v/>
      </c>
      <c r="R432" s="6" t="n">
        <v>499</v>
      </c>
      <c r="S432" s="4" t="n">
        <v>4</v>
      </c>
      <c r="T432" s="1" t="inlineStr">
        <is>
          <t>active</t>
        </is>
      </c>
      <c r="U432" s="8" t="n"/>
      <c r="V432" s="1" t="inlineStr">
        <is>
          <t>SIN PRECIO</t>
        </is>
      </c>
    </row>
    <row r="433">
      <c r="A433" s="1" t="inlineStr">
        <is>
          <t>29736673309517</t>
        </is>
      </c>
      <c r="B433" s="1" t="inlineStr">
        <is>
          <t>ANILLO T ZIRCONIAS GOLD</t>
        </is>
      </c>
      <c r="C433" s="1" t="inlineStr">
        <is>
          <t>7</t>
        </is>
      </c>
      <c r="D433" s="1" t="inlineStr">
        <is>
          <t>HAIFENG</t>
        </is>
      </c>
      <c r="E433" s="4">
        <f>COUNTIF('DETALLE CRONOLÓGICO'!$A$2:$A$4919,$A433)</f>
        <v/>
      </c>
      <c r="F433" s="4">
        <f>SUMIFS('DETALLE CRONOLÓGICO'!$I$2:$I$4919,'DETALLE CRONOLÓGICO'!$A$2:$A$4919,$A433)</f>
        <v/>
      </c>
      <c r="G433" s="1">
        <f>INDEX('DETALLE CRONOLÓGICO'!$D$2:$D$4919,MATCH($A433,'DETALLE CRONOLÓGICO'!$A$2:$A$4919,0))</f>
        <v/>
      </c>
      <c r="H433" s="1">
        <f>INDEX('DETALLE CRONOLÓGICO'!$D$2:$D$4919,MATCH($A433,'DETALLE CRONOLÓGICO'!$A$2:$A$4919,0)+$E433-1)</f>
        <v/>
      </c>
      <c r="I433" s="5">
        <f>IFERROR(SUMIFS('DETALLE CRONOLÓGICO'!$L$2:$L$4919,'DETALLE CRONOLÓGICO'!$A$2:$A$4919,$A433)/$F433,"")</f>
        <v/>
      </c>
      <c r="J433" s="6">
        <f>IFERROR(SUMIFS('DETALLE CRONOLÓGICO'!$K$2:$K$4919,'DETALLE CRONOLÓGICO'!$A$2:$A$4919,$A433)/$E433,"")</f>
        <v/>
      </c>
      <c r="K433" s="6">
        <f>_xlfn.MINIFS('DETALLE CRONOLÓGICO'!$K$2:$K$4919,'DETALLE CRONOLÓGICO'!$A$2:$A$4919,$A433)</f>
        <v/>
      </c>
      <c r="L433" s="6">
        <f>_xlfn.MAXIFS('DETALLE CRONOLÓGICO'!$K$2:$K$4919,'DETALLE CRONOLÓGICO'!$A$2:$A$4919,$A433)</f>
        <v/>
      </c>
      <c r="M433" s="6">
        <f>INDEX('DETALLE CRONOLÓGICO'!$K$2:$K$4919,MATCH($A433,'DETALLE CRONOLÓGICO'!$A$2:$A$4919,0)+$E433-1)</f>
        <v/>
      </c>
      <c r="N433" s="7">
        <f>IFERROR($M433/INDEX('DETALLE CRONOLÓGICO'!$K$2:$K$4919,MATCH($A433,'DETALLE CRONOLÓGICO'!$A$2:$A$4919,0))-1,"")</f>
        <v/>
      </c>
      <c r="O433" s="6">
        <f>IFERROR($I433*3,"")</f>
        <v/>
      </c>
      <c r="P433" s="6">
        <f>IFERROR($I433*3.5,"")</f>
        <v/>
      </c>
      <c r="Q433" s="6">
        <f>IFERROR($I433*4,"")</f>
        <v/>
      </c>
      <c r="R433" s="6" t="n">
        <v>499</v>
      </c>
      <c r="S433" s="4" t="n">
        <v>0</v>
      </c>
      <c r="T433" s="1" t="inlineStr">
        <is>
          <t>active</t>
        </is>
      </c>
      <c r="U433" s="8" t="n"/>
      <c r="V433" s="1" t="inlineStr">
        <is>
          <t>SIN PRECIO</t>
        </is>
      </c>
    </row>
    <row r="434">
      <c r="A434" s="1" t="inlineStr">
        <is>
          <t>29736673439437</t>
        </is>
      </c>
      <c r="B434" s="1" t="inlineStr">
        <is>
          <t>ANILLO T ZIRCONIAS ROSE GOLD</t>
        </is>
      </c>
      <c r="C434" s="1" t="inlineStr">
        <is>
          <t>6</t>
        </is>
      </c>
      <c r="D434" s="1" t="inlineStr">
        <is>
          <t>HAIFENG</t>
        </is>
      </c>
      <c r="E434" s="4">
        <f>COUNTIF('DETALLE CRONOLÓGICO'!$A$2:$A$4919,$A434)</f>
        <v/>
      </c>
      <c r="F434" s="4">
        <f>SUMIFS('DETALLE CRONOLÓGICO'!$I$2:$I$4919,'DETALLE CRONOLÓGICO'!$A$2:$A$4919,$A434)</f>
        <v/>
      </c>
      <c r="G434" s="1">
        <f>INDEX('DETALLE CRONOLÓGICO'!$D$2:$D$4919,MATCH($A434,'DETALLE CRONOLÓGICO'!$A$2:$A$4919,0))</f>
        <v/>
      </c>
      <c r="H434" s="1">
        <f>INDEX('DETALLE CRONOLÓGICO'!$D$2:$D$4919,MATCH($A434,'DETALLE CRONOLÓGICO'!$A$2:$A$4919,0)+$E434-1)</f>
        <v/>
      </c>
      <c r="I434" s="5">
        <f>IFERROR(SUMIFS('DETALLE CRONOLÓGICO'!$L$2:$L$4919,'DETALLE CRONOLÓGICO'!$A$2:$A$4919,$A434)/$F434,"")</f>
        <v/>
      </c>
      <c r="J434" s="6">
        <f>IFERROR(SUMIFS('DETALLE CRONOLÓGICO'!$K$2:$K$4919,'DETALLE CRONOLÓGICO'!$A$2:$A$4919,$A434)/$E434,"")</f>
        <v/>
      </c>
      <c r="K434" s="6">
        <f>_xlfn.MINIFS('DETALLE CRONOLÓGICO'!$K$2:$K$4919,'DETALLE CRONOLÓGICO'!$A$2:$A$4919,$A434)</f>
        <v/>
      </c>
      <c r="L434" s="6">
        <f>_xlfn.MAXIFS('DETALLE CRONOLÓGICO'!$K$2:$K$4919,'DETALLE CRONOLÓGICO'!$A$2:$A$4919,$A434)</f>
        <v/>
      </c>
      <c r="M434" s="6">
        <f>INDEX('DETALLE CRONOLÓGICO'!$K$2:$K$4919,MATCH($A434,'DETALLE CRONOLÓGICO'!$A$2:$A$4919,0)+$E434-1)</f>
        <v/>
      </c>
      <c r="N434" s="7">
        <f>IFERROR($M434/INDEX('DETALLE CRONOLÓGICO'!$K$2:$K$4919,MATCH($A434,'DETALLE CRONOLÓGICO'!$A$2:$A$4919,0))-1,"")</f>
        <v/>
      </c>
      <c r="O434" s="6">
        <f>IFERROR($I434*3,"")</f>
        <v/>
      </c>
      <c r="P434" s="6">
        <f>IFERROR($I434*3.5,"")</f>
        <v/>
      </c>
      <c r="Q434" s="6">
        <f>IFERROR($I434*4,"")</f>
        <v/>
      </c>
      <c r="R434" s="6" t="n">
        <v>650</v>
      </c>
      <c r="S434" s="4" t="n">
        <v>1</v>
      </c>
      <c r="T434" s="1" t="inlineStr">
        <is>
          <t>active</t>
        </is>
      </c>
      <c r="U434" s="8" t="n"/>
      <c r="V434" s="1" t="inlineStr">
        <is>
          <t>SIN PRECIO</t>
        </is>
      </c>
    </row>
    <row r="435">
      <c r="A435" s="1" t="inlineStr">
        <is>
          <t>29736673572205</t>
        </is>
      </c>
      <c r="B435" s="1" t="inlineStr">
        <is>
          <t>ANILLO T ZIRCONIAS ROSE GOLD</t>
        </is>
      </c>
      <c r="C435" s="1" t="inlineStr">
        <is>
          <t>7</t>
        </is>
      </c>
      <c r="D435" s="1" t="inlineStr">
        <is>
          <t>HAIFENG</t>
        </is>
      </c>
      <c r="E435" s="4">
        <f>COUNTIF('DETALLE CRONOLÓGICO'!$A$2:$A$4919,$A435)</f>
        <v/>
      </c>
      <c r="F435" s="4">
        <f>SUMIFS('DETALLE CRONOLÓGICO'!$I$2:$I$4919,'DETALLE CRONOLÓGICO'!$A$2:$A$4919,$A435)</f>
        <v/>
      </c>
      <c r="G435" s="1">
        <f>INDEX('DETALLE CRONOLÓGICO'!$D$2:$D$4919,MATCH($A435,'DETALLE CRONOLÓGICO'!$A$2:$A$4919,0))</f>
        <v/>
      </c>
      <c r="H435" s="1">
        <f>INDEX('DETALLE CRONOLÓGICO'!$D$2:$D$4919,MATCH($A435,'DETALLE CRONOLÓGICO'!$A$2:$A$4919,0)+$E435-1)</f>
        <v/>
      </c>
      <c r="I435" s="5">
        <f>IFERROR(SUMIFS('DETALLE CRONOLÓGICO'!$L$2:$L$4919,'DETALLE CRONOLÓGICO'!$A$2:$A$4919,$A435)/$F435,"")</f>
        <v/>
      </c>
      <c r="J435" s="6">
        <f>IFERROR(SUMIFS('DETALLE CRONOLÓGICO'!$K$2:$K$4919,'DETALLE CRONOLÓGICO'!$A$2:$A$4919,$A435)/$E435,"")</f>
        <v/>
      </c>
      <c r="K435" s="6">
        <f>_xlfn.MINIFS('DETALLE CRONOLÓGICO'!$K$2:$K$4919,'DETALLE CRONOLÓGICO'!$A$2:$A$4919,$A435)</f>
        <v/>
      </c>
      <c r="L435" s="6">
        <f>_xlfn.MAXIFS('DETALLE CRONOLÓGICO'!$K$2:$K$4919,'DETALLE CRONOLÓGICO'!$A$2:$A$4919,$A435)</f>
        <v/>
      </c>
      <c r="M435" s="6">
        <f>INDEX('DETALLE CRONOLÓGICO'!$K$2:$K$4919,MATCH($A435,'DETALLE CRONOLÓGICO'!$A$2:$A$4919,0)+$E435-1)</f>
        <v/>
      </c>
      <c r="N435" s="7">
        <f>IFERROR($M435/INDEX('DETALLE CRONOLÓGICO'!$K$2:$K$4919,MATCH($A435,'DETALLE CRONOLÓGICO'!$A$2:$A$4919,0))-1,"")</f>
        <v/>
      </c>
      <c r="O435" s="6">
        <f>IFERROR($I435*3,"")</f>
        <v/>
      </c>
      <c r="P435" s="6">
        <f>IFERROR($I435*3.5,"")</f>
        <v/>
      </c>
      <c r="Q435" s="6">
        <f>IFERROR($I435*4,"")</f>
        <v/>
      </c>
      <c r="R435" s="6" t="n">
        <v>650</v>
      </c>
      <c r="S435" s="4" t="n">
        <v>3</v>
      </c>
      <c r="T435" s="1" t="inlineStr">
        <is>
          <t>active</t>
        </is>
      </c>
      <c r="U435" s="8" t="n"/>
      <c r="V435" s="1" t="inlineStr">
        <is>
          <t>SIN PRECIO</t>
        </is>
      </c>
    </row>
    <row r="436">
      <c r="A436" s="1" t="inlineStr">
        <is>
          <t>29736673659245</t>
        </is>
      </c>
      <c r="B436" s="1" t="inlineStr">
        <is>
          <t>ARETES T SMILE HALF ZIRCONIAS GOLD</t>
        </is>
      </c>
      <c r="C436" s="1" t="inlineStr">
        <is>
          <t>Default Title</t>
        </is>
      </c>
      <c r="D436" s="1" t="inlineStr">
        <is>
          <t>HAIFENG</t>
        </is>
      </c>
      <c r="E436" s="4">
        <f>COUNTIF('DETALLE CRONOLÓGICO'!$A$2:$A$4919,$A436)</f>
        <v/>
      </c>
      <c r="F436" s="4">
        <f>SUMIFS('DETALLE CRONOLÓGICO'!$I$2:$I$4919,'DETALLE CRONOLÓGICO'!$A$2:$A$4919,$A436)</f>
        <v/>
      </c>
      <c r="G436" s="1">
        <f>INDEX('DETALLE CRONOLÓGICO'!$D$2:$D$4919,MATCH($A436,'DETALLE CRONOLÓGICO'!$A$2:$A$4919,0))</f>
        <v/>
      </c>
      <c r="H436" s="1">
        <f>INDEX('DETALLE CRONOLÓGICO'!$D$2:$D$4919,MATCH($A436,'DETALLE CRONOLÓGICO'!$A$2:$A$4919,0)+$E436-1)</f>
        <v/>
      </c>
      <c r="I436" s="5">
        <f>IFERROR(SUMIFS('DETALLE CRONOLÓGICO'!$L$2:$L$4919,'DETALLE CRONOLÓGICO'!$A$2:$A$4919,$A436)/$F436,"")</f>
        <v/>
      </c>
      <c r="J436" s="6">
        <f>IFERROR(SUMIFS('DETALLE CRONOLÓGICO'!$K$2:$K$4919,'DETALLE CRONOLÓGICO'!$A$2:$A$4919,$A436)/$E436,"")</f>
        <v/>
      </c>
      <c r="K436" s="6">
        <f>_xlfn.MINIFS('DETALLE CRONOLÓGICO'!$K$2:$K$4919,'DETALLE CRONOLÓGICO'!$A$2:$A$4919,$A436)</f>
        <v/>
      </c>
      <c r="L436" s="6">
        <f>_xlfn.MAXIFS('DETALLE CRONOLÓGICO'!$K$2:$K$4919,'DETALLE CRONOLÓGICO'!$A$2:$A$4919,$A436)</f>
        <v/>
      </c>
      <c r="M436" s="6">
        <f>INDEX('DETALLE CRONOLÓGICO'!$K$2:$K$4919,MATCH($A436,'DETALLE CRONOLÓGICO'!$A$2:$A$4919,0)+$E436-1)</f>
        <v/>
      </c>
      <c r="N436" s="7">
        <f>IFERROR($M436/INDEX('DETALLE CRONOLÓGICO'!$K$2:$K$4919,MATCH($A436,'DETALLE CRONOLÓGICO'!$A$2:$A$4919,0))-1,"")</f>
        <v/>
      </c>
      <c r="O436" s="6">
        <f>IFERROR($I436*3,"")</f>
        <v/>
      </c>
      <c r="P436" s="6">
        <f>IFERROR($I436*3.5,"")</f>
        <v/>
      </c>
      <c r="Q436" s="6">
        <f>IFERROR($I436*4,"")</f>
        <v/>
      </c>
      <c r="R436" s="6" t="n">
        <v>450</v>
      </c>
      <c r="S436" s="4" t="n">
        <v>2</v>
      </c>
      <c r="T436" s="1" t="inlineStr">
        <is>
          <t>active</t>
        </is>
      </c>
      <c r="U436" s="8" t="n"/>
      <c r="V436" s="1" t="inlineStr">
        <is>
          <t>SIN PRECIO</t>
        </is>
      </c>
    </row>
    <row r="437">
      <c r="A437" s="1" t="inlineStr">
        <is>
          <t>29736673779597</t>
        </is>
      </c>
      <c r="B437" s="1" t="inlineStr">
        <is>
          <t>ARETES T VICTORIA</t>
        </is>
      </c>
      <c r="C437" s="1" t="inlineStr">
        <is>
          <t>Default Title</t>
        </is>
      </c>
      <c r="D437" s="1" t="inlineStr">
        <is>
          <t>HAIFENG</t>
        </is>
      </c>
      <c r="E437" s="4">
        <f>COUNTIF('DETALLE CRONOLÓGICO'!$A$2:$A$4919,$A437)</f>
        <v/>
      </c>
      <c r="F437" s="4">
        <f>SUMIFS('DETALLE CRONOLÓGICO'!$I$2:$I$4919,'DETALLE CRONOLÓGICO'!$A$2:$A$4919,$A437)</f>
        <v/>
      </c>
      <c r="G437" s="1">
        <f>INDEX('DETALLE CRONOLÓGICO'!$D$2:$D$4919,MATCH($A437,'DETALLE CRONOLÓGICO'!$A$2:$A$4919,0))</f>
        <v/>
      </c>
      <c r="H437" s="1">
        <f>INDEX('DETALLE CRONOLÓGICO'!$D$2:$D$4919,MATCH($A437,'DETALLE CRONOLÓGICO'!$A$2:$A$4919,0)+$E437-1)</f>
        <v/>
      </c>
      <c r="I437" s="5">
        <f>IFERROR(SUMIFS('DETALLE CRONOLÓGICO'!$L$2:$L$4919,'DETALLE CRONOLÓGICO'!$A$2:$A$4919,$A437)/$F437,"")</f>
        <v/>
      </c>
      <c r="J437" s="6">
        <f>IFERROR(SUMIFS('DETALLE CRONOLÓGICO'!$K$2:$K$4919,'DETALLE CRONOLÓGICO'!$A$2:$A$4919,$A437)/$E437,"")</f>
        <v/>
      </c>
      <c r="K437" s="6">
        <f>_xlfn.MINIFS('DETALLE CRONOLÓGICO'!$K$2:$K$4919,'DETALLE CRONOLÓGICO'!$A$2:$A$4919,$A437)</f>
        <v/>
      </c>
      <c r="L437" s="6">
        <f>_xlfn.MAXIFS('DETALLE CRONOLÓGICO'!$K$2:$K$4919,'DETALLE CRONOLÓGICO'!$A$2:$A$4919,$A437)</f>
        <v/>
      </c>
      <c r="M437" s="6">
        <f>INDEX('DETALLE CRONOLÓGICO'!$K$2:$K$4919,MATCH($A437,'DETALLE CRONOLÓGICO'!$A$2:$A$4919,0)+$E437-1)</f>
        <v/>
      </c>
      <c r="N437" s="7">
        <f>IFERROR($M437/INDEX('DETALLE CRONOLÓGICO'!$K$2:$K$4919,MATCH($A437,'DETALLE CRONOLÓGICO'!$A$2:$A$4919,0))-1,"")</f>
        <v/>
      </c>
      <c r="O437" s="6">
        <f>IFERROR($I437*3,"")</f>
        <v/>
      </c>
      <c r="P437" s="6">
        <f>IFERROR($I437*3.5,"")</f>
        <v/>
      </c>
      <c r="Q437" s="6">
        <f>IFERROR($I437*4,"")</f>
        <v/>
      </c>
      <c r="R437" s="6" t="n">
        <v>699</v>
      </c>
      <c r="S437" s="4" t="n">
        <v>2</v>
      </c>
      <c r="T437" s="1" t="inlineStr">
        <is>
          <t>active</t>
        </is>
      </c>
      <c r="U437" s="8" t="n"/>
      <c r="V437" s="1" t="inlineStr">
        <is>
          <t>SIN PRECIO</t>
        </is>
      </c>
    </row>
    <row r="438">
      <c r="A438" s="1" t="inlineStr">
        <is>
          <t>29736673893165</t>
        </is>
      </c>
      <c r="B438" s="1" t="inlineStr">
        <is>
          <t>ARETES T SQUARE SIXTEEN STONE SILVER</t>
        </is>
      </c>
      <c r="C438" s="1" t="inlineStr">
        <is>
          <t>Default Title</t>
        </is>
      </c>
      <c r="D438" s="1" t="inlineStr">
        <is>
          <t>HAIFENG</t>
        </is>
      </c>
      <c r="E438" s="4">
        <f>COUNTIF('DETALLE CRONOLÓGICO'!$A$2:$A$4919,$A438)</f>
        <v/>
      </c>
      <c r="F438" s="4">
        <f>SUMIFS('DETALLE CRONOLÓGICO'!$I$2:$I$4919,'DETALLE CRONOLÓGICO'!$A$2:$A$4919,$A438)</f>
        <v/>
      </c>
      <c r="G438" s="1">
        <f>INDEX('DETALLE CRONOLÓGICO'!$D$2:$D$4919,MATCH($A438,'DETALLE CRONOLÓGICO'!$A$2:$A$4919,0))</f>
        <v/>
      </c>
      <c r="H438" s="1">
        <f>INDEX('DETALLE CRONOLÓGICO'!$D$2:$D$4919,MATCH($A438,'DETALLE CRONOLÓGICO'!$A$2:$A$4919,0)+$E438-1)</f>
        <v/>
      </c>
      <c r="I438" s="5">
        <f>IFERROR(SUMIFS('DETALLE CRONOLÓGICO'!$L$2:$L$4919,'DETALLE CRONOLÓGICO'!$A$2:$A$4919,$A438)/$F438,"")</f>
        <v/>
      </c>
      <c r="J438" s="6">
        <f>IFERROR(SUMIFS('DETALLE CRONOLÓGICO'!$K$2:$K$4919,'DETALLE CRONOLÓGICO'!$A$2:$A$4919,$A438)/$E438,"")</f>
        <v/>
      </c>
      <c r="K438" s="6">
        <f>_xlfn.MINIFS('DETALLE CRONOLÓGICO'!$K$2:$K$4919,'DETALLE CRONOLÓGICO'!$A$2:$A$4919,$A438)</f>
        <v/>
      </c>
      <c r="L438" s="6">
        <f>_xlfn.MAXIFS('DETALLE CRONOLÓGICO'!$K$2:$K$4919,'DETALLE CRONOLÓGICO'!$A$2:$A$4919,$A438)</f>
        <v/>
      </c>
      <c r="M438" s="6">
        <f>INDEX('DETALLE CRONOLÓGICO'!$K$2:$K$4919,MATCH($A438,'DETALLE CRONOLÓGICO'!$A$2:$A$4919,0)+$E438-1)</f>
        <v/>
      </c>
      <c r="N438" s="7">
        <f>IFERROR($M438/INDEX('DETALLE CRONOLÓGICO'!$K$2:$K$4919,MATCH($A438,'DETALLE CRONOLÓGICO'!$A$2:$A$4919,0))-1,"")</f>
        <v/>
      </c>
      <c r="O438" s="6">
        <f>IFERROR($I438*3,"")</f>
        <v/>
      </c>
      <c r="P438" s="6">
        <f>IFERROR($I438*3.5,"")</f>
        <v/>
      </c>
      <c r="Q438" s="6">
        <f>IFERROR($I438*4,"")</f>
        <v/>
      </c>
      <c r="R438" s="6" t="n">
        <v>599</v>
      </c>
      <c r="S438" s="4" t="n">
        <v>5</v>
      </c>
      <c r="T438" s="1" t="inlineStr">
        <is>
          <t>active</t>
        </is>
      </c>
      <c r="U438" s="8" t="n"/>
      <c r="V438" s="1" t="inlineStr">
        <is>
          <t>SIN PRECIO</t>
        </is>
      </c>
    </row>
    <row r="439">
      <c r="A439" s="1" t="inlineStr">
        <is>
          <t>29736673965485</t>
        </is>
      </c>
      <c r="B439" s="1" t="inlineStr">
        <is>
          <t>ARETES KNOT SMALL GOLD</t>
        </is>
      </c>
      <c r="C439" s="1" t="inlineStr">
        <is>
          <t>Default Title</t>
        </is>
      </c>
      <c r="D439" s="1" t="inlineStr">
        <is>
          <t>HAIFENG</t>
        </is>
      </c>
      <c r="E439" s="4">
        <f>COUNTIF('DETALLE CRONOLÓGICO'!$A$2:$A$4919,$A439)</f>
        <v/>
      </c>
      <c r="F439" s="4">
        <f>SUMIFS('DETALLE CRONOLÓGICO'!$I$2:$I$4919,'DETALLE CRONOLÓGICO'!$A$2:$A$4919,$A439)</f>
        <v/>
      </c>
      <c r="G439" s="1">
        <f>INDEX('DETALLE CRONOLÓGICO'!$D$2:$D$4919,MATCH($A439,'DETALLE CRONOLÓGICO'!$A$2:$A$4919,0))</f>
        <v/>
      </c>
      <c r="H439" s="1">
        <f>INDEX('DETALLE CRONOLÓGICO'!$D$2:$D$4919,MATCH($A439,'DETALLE CRONOLÓGICO'!$A$2:$A$4919,0)+$E439-1)</f>
        <v/>
      </c>
      <c r="I439" s="5">
        <f>IFERROR(SUMIFS('DETALLE CRONOLÓGICO'!$L$2:$L$4919,'DETALLE CRONOLÓGICO'!$A$2:$A$4919,$A439)/$F439,"")</f>
        <v/>
      </c>
      <c r="J439" s="6">
        <f>IFERROR(SUMIFS('DETALLE CRONOLÓGICO'!$K$2:$K$4919,'DETALLE CRONOLÓGICO'!$A$2:$A$4919,$A439)/$E439,"")</f>
        <v/>
      </c>
      <c r="K439" s="6">
        <f>_xlfn.MINIFS('DETALLE CRONOLÓGICO'!$K$2:$K$4919,'DETALLE CRONOLÓGICO'!$A$2:$A$4919,$A439)</f>
        <v/>
      </c>
      <c r="L439" s="6">
        <f>_xlfn.MAXIFS('DETALLE CRONOLÓGICO'!$K$2:$K$4919,'DETALLE CRONOLÓGICO'!$A$2:$A$4919,$A439)</f>
        <v/>
      </c>
      <c r="M439" s="6">
        <f>INDEX('DETALLE CRONOLÓGICO'!$K$2:$K$4919,MATCH($A439,'DETALLE CRONOLÓGICO'!$A$2:$A$4919,0)+$E439-1)</f>
        <v/>
      </c>
      <c r="N439" s="7">
        <f>IFERROR($M439/INDEX('DETALLE CRONOLÓGICO'!$K$2:$K$4919,MATCH($A439,'DETALLE CRONOLÓGICO'!$A$2:$A$4919,0))-1,"")</f>
        <v/>
      </c>
      <c r="O439" s="6">
        <f>IFERROR($I439*3,"")</f>
        <v/>
      </c>
      <c r="P439" s="6">
        <f>IFERROR($I439*3.5,"")</f>
        <v/>
      </c>
      <c r="Q439" s="6">
        <f>IFERROR($I439*4,"")</f>
        <v/>
      </c>
      <c r="R439" s="6" t="n">
        <v>599</v>
      </c>
      <c r="S439" s="4" t="n">
        <v>1</v>
      </c>
      <c r="T439" s="1" t="inlineStr">
        <is>
          <t>active</t>
        </is>
      </c>
      <c r="U439" s="8" t="n"/>
      <c r="V439" s="1" t="inlineStr">
        <is>
          <t>SIN PRECIO</t>
        </is>
      </c>
    </row>
    <row r="440">
      <c r="A440" s="1" t="inlineStr">
        <is>
          <t>29736674042893</t>
        </is>
      </c>
      <c r="B440" s="1" t="inlineStr">
        <is>
          <t>ARETES T CIRCULARES ROSE GOLD</t>
        </is>
      </c>
      <c r="C440" s="1" t="inlineStr">
        <is>
          <t>Default Title</t>
        </is>
      </c>
      <c r="D440" s="1" t="inlineStr">
        <is>
          <t>HAIFENG</t>
        </is>
      </c>
      <c r="E440" s="4">
        <f>COUNTIF('DETALLE CRONOLÓGICO'!$A$2:$A$4919,$A440)</f>
        <v/>
      </c>
      <c r="F440" s="4">
        <f>SUMIFS('DETALLE CRONOLÓGICO'!$I$2:$I$4919,'DETALLE CRONOLÓGICO'!$A$2:$A$4919,$A440)</f>
        <v/>
      </c>
      <c r="G440" s="1">
        <f>INDEX('DETALLE CRONOLÓGICO'!$D$2:$D$4919,MATCH($A440,'DETALLE CRONOLÓGICO'!$A$2:$A$4919,0))</f>
        <v/>
      </c>
      <c r="H440" s="1">
        <f>INDEX('DETALLE CRONOLÓGICO'!$D$2:$D$4919,MATCH($A440,'DETALLE CRONOLÓGICO'!$A$2:$A$4919,0)+$E440-1)</f>
        <v/>
      </c>
      <c r="I440" s="5">
        <f>IFERROR(SUMIFS('DETALLE CRONOLÓGICO'!$L$2:$L$4919,'DETALLE CRONOLÓGICO'!$A$2:$A$4919,$A440)/$F440,"")</f>
        <v/>
      </c>
      <c r="J440" s="6">
        <f>IFERROR(SUMIFS('DETALLE CRONOLÓGICO'!$K$2:$K$4919,'DETALLE CRONOLÓGICO'!$A$2:$A$4919,$A440)/$E440,"")</f>
        <v/>
      </c>
      <c r="K440" s="6">
        <f>_xlfn.MINIFS('DETALLE CRONOLÓGICO'!$K$2:$K$4919,'DETALLE CRONOLÓGICO'!$A$2:$A$4919,$A440)</f>
        <v/>
      </c>
      <c r="L440" s="6">
        <f>_xlfn.MAXIFS('DETALLE CRONOLÓGICO'!$K$2:$K$4919,'DETALLE CRONOLÓGICO'!$A$2:$A$4919,$A440)</f>
        <v/>
      </c>
      <c r="M440" s="6">
        <f>INDEX('DETALLE CRONOLÓGICO'!$K$2:$K$4919,MATCH($A440,'DETALLE CRONOLÓGICO'!$A$2:$A$4919,0)+$E440-1)</f>
        <v/>
      </c>
      <c r="N440" s="7">
        <f>IFERROR($M440/INDEX('DETALLE CRONOLÓGICO'!$K$2:$K$4919,MATCH($A440,'DETALLE CRONOLÓGICO'!$A$2:$A$4919,0))-1,"")</f>
        <v/>
      </c>
      <c r="O440" s="6">
        <f>IFERROR($I440*3,"")</f>
        <v/>
      </c>
      <c r="P440" s="6">
        <f>IFERROR($I440*3.5,"")</f>
        <v/>
      </c>
      <c r="Q440" s="6">
        <f>IFERROR($I440*4,"")</f>
        <v/>
      </c>
      <c r="R440" s="6" t="n">
        <v>799</v>
      </c>
      <c r="S440" s="4" t="n">
        <v>2</v>
      </c>
      <c r="T440" s="1" t="inlineStr">
        <is>
          <t>active</t>
        </is>
      </c>
      <c r="U440" s="8" t="n"/>
      <c r="V440" s="1" t="inlineStr">
        <is>
          <t>SIN PRECIO</t>
        </is>
      </c>
    </row>
    <row r="441">
      <c r="A441" s="1" t="inlineStr">
        <is>
          <t>29736674158157</t>
        </is>
      </c>
      <c r="B441" s="1" t="inlineStr">
        <is>
          <t>COLLAR OPEN HEAR GOLD ZIRCONIAS</t>
        </is>
      </c>
      <c r="C441" s="1" t="inlineStr">
        <is>
          <t>Default Title</t>
        </is>
      </c>
      <c r="D441" s="1" t="inlineStr">
        <is>
          <t>HAIFENG</t>
        </is>
      </c>
      <c r="E441" s="4">
        <f>COUNTIF('DETALLE CRONOLÓGICO'!$A$2:$A$4919,$A441)</f>
        <v/>
      </c>
      <c r="F441" s="4">
        <f>SUMIFS('DETALLE CRONOLÓGICO'!$I$2:$I$4919,'DETALLE CRONOLÓGICO'!$A$2:$A$4919,$A441)</f>
        <v/>
      </c>
      <c r="G441" s="1">
        <f>INDEX('DETALLE CRONOLÓGICO'!$D$2:$D$4919,MATCH($A441,'DETALLE CRONOLÓGICO'!$A$2:$A$4919,0))</f>
        <v/>
      </c>
      <c r="H441" s="1">
        <f>INDEX('DETALLE CRONOLÓGICO'!$D$2:$D$4919,MATCH($A441,'DETALLE CRONOLÓGICO'!$A$2:$A$4919,0)+$E441-1)</f>
        <v/>
      </c>
      <c r="I441" s="5">
        <f>IFERROR(SUMIFS('DETALLE CRONOLÓGICO'!$L$2:$L$4919,'DETALLE CRONOLÓGICO'!$A$2:$A$4919,$A441)/$F441,"")</f>
        <v/>
      </c>
      <c r="J441" s="6">
        <f>IFERROR(SUMIFS('DETALLE CRONOLÓGICO'!$K$2:$K$4919,'DETALLE CRONOLÓGICO'!$A$2:$A$4919,$A441)/$E441,"")</f>
        <v/>
      </c>
      <c r="K441" s="6">
        <f>_xlfn.MINIFS('DETALLE CRONOLÓGICO'!$K$2:$K$4919,'DETALLE CRONOLÓGICO'!$A$2:$A$4919,$A441)</f>
        <v/>
      </c>
      <c r="L441" s="6">
        <f>_xlfn.MAXIFS('DETALLE CRONOLÓGICO'!$K$2:$K$4919,'DETALLE CRONOLÓGICO'!$A$2:$A$4919,$A441)</f>
        <v/>
      </c>
      <c r="M441" s="6">
        <f>INDEX('DETALLE CRONOLÓGICO'!$K$2:$K$4919,MATCH($A441,'DETALLE CRONOLÓGICO'!$A$2:$A$4919,0)+$E441-1)</f>
        <v/>
      </c>
      <c r="N441" s="7">
        <f>IFERROR($M441/INDEX('DETALLE CRONOLÓGICO'!$K$2:$K$4919,MATCH($A441,'DETALLE CRONOLÓGICO'!$A$2:$A$4919,0))-1,"")</f>
        <v/>
      </c>
      <c r="O441" s="6">
        <f>IFERROR($I441*3,"")</f>
        <v/>
      </c>
      <c r="P441" s="6">
        <f>IFERROR($I441*3.5,"")</f>
        <v/>
      </c>
      <c r="Q441" s="6">
        <f>IFERROR($I441*4,"")</f>
        <v/>
      </c>
      <c r="R441" s="6" t="n">
        <v>699</v>
      </c>
      <c r="S441" s="4" t="n">
        <v>5</v>
      </c>
      <c r="T441" s="1" t="inlineStr">
        <is>
          <t>active</t>
        </is>
      </c>
      <c r="U441" s="8" t="n"/>
      <c r="V441" s="1" t="inlineStr">
        <is>
          <t>SIN PRECIO</t>
        </is>
      </c>
    </row>
    <row r="442">
      <c r="A442" s="1" t="inlineStr">
        <is>
          <t>29736674296013</t>
        </is>
      </c>
      <c r="B442" s="1" t="inlineStr">
        <is>
          <t>COLLAR COLGANTE LOVE</t>
        </is>
      </c>
      <c r="C442" s="1" t="inlineStr">
        <is>
          <t>Default Title</t>
        </is>
      </c>
      <c r="D442" s="1" t="inlineStr">
        <is>
          <t>HAIFENG</t>
        </is>
      </c>
      <c r="E442" s="4">
        <f>COUNTIF('DETALLE CRONOLÓGICO'!$A$2:$A$4919,$A442)</f>
        <v/>
      </c>
      <c r="F442" s="4">
        <f>SUMIFS('DETALLE CRONOLÓGICO'!$I$2:$I$4919,'DETALLE CRONOLÓGICO'!$A$2:$A$4919,$A442)</f>
        <v/>
      </c>
      <c r="G442" s="1">
        <f>INDEX('DETALLE CRONOLÓGICO'!$D$2:$D$4919,MATCH($A442,'DETALLE CRONOLÓGICO'!$A$2:$A$4919,0))</f>
        <v/>
      </c>
      <c r="H442" s="1">
        <f>INDEX('DETALLE CRONOLÓGICO'!$D$2:$D$4919,MATCH($A442,'DETALLE CRONOLÓGICO'!$A$2:$A$4919,0)+$E442-1)</f>
        <v/>
      </c>
      <c r="I442" s="5">
        <f>IFERROR(SUMIFS('DETALLE CRONOLÓGICO'!$L$2:$L$4919,'DETALLE CRONOLÓGICO'!$A$2:$A$4919,$A442)/$F442,"")</f>
        <v/>
      </c>
      <c r="J442" s="6">
        <f>IFERROR(SUMIFS('DETALLE CRONOLÓGICO'!$K$2:$K$4919,'DETALLE CRONOLÓGICO'!$A$2:$A$4919,$A442)/$E442,"")</f>
        <v/>
      </c>
      <c r="K442" s="6">
        <f>_xlfn.MINIFS('DETALLE CRONOLÓGICO'!$K$2:$K$4919,'DETALLE CRONOLÓGICO'!$A$2:$A$4919,$A442)</f>
        <v/>
      </c>
      <c r="L442" s="6">
        <f>_xlfn.MAXIFS('DETALLE CRONOLÓGICO'!$K$2:$K$4919,'DETALLE CRONOLÓGICO'!$A$2:$A$4919,$A442)</f>
        <v/>
      </c>
      <c r="M442" s="6">
        <f>INDEX('DETALLE CRONOLÓGICO'!$K$2:$K$4919,MATCH($A442,'DETALLE CRONOLÓGICO'!$A$2:$A$4919,0)+$E442-1)</f>
        <v/>
      </c>
      <c r="N442" s="7">
        <f>IFERROR($M442/INDEX('DETALLE CRONOLÓGICO'!$K$2:$K$4919,MATCH($A442,'DETALLE CRONOLÓGICO'!$A$2:$A$4919,0))-1,"")</f>
        <v/>
      </c>
      <c r="O442" s="6">
        <f>IFERROR($I442*3,"")</f>
        <v/>
      </c>
      <c r="P442" s="6">
        <f>IFERROR($I442*3.5,"")</f>
        <v/>
      </c>
      <c r="Q442" s="6">
        <f>IFERROR($I442*4,"")</f>
        <v/>
      </c>
      <c r="R442" s="6" t="n">
        <v>824</v>
      </c>
      <c r="S442" s="4" t="n">
        <v>1</v>
      </c>
      <c r="T442" s="1" t="inlineStr">
        <is>
          <t>active</t>
        </is>
      </c>
      <c r="U442" s="8" t="n"/>
      <c r="V442" s="1" t="inlineStr">
        <is>
          <t>SIN PRECIO</t>
        </is>
      </c>
    </row>
    <row r="443">
      <c r="A443" s="1" t="inlineStr">
        <is>
          <t>29852177262732</t>
        </is>
      </c>
      <c r="B443" s="1" t="inlineStr">
        <is>
          <t>PULSERA TREBOL GOLD VF</t>
        </is>
      </c>
      <c r="C443" s="1" t="inlineStr">
        <is>
          <t>18cm</t>
        </is>
      </c>
      <c r="D443" s="1" t="inlineStr">
        <is>
          <t>HAIFENG</t>
        </is>
      </c>
      <c r="E443" s="4">
        <f>COUNTIF('DETALLE CRONOLÓGICO'!$A$2:$A$4919,$A443)</f>
        <v/>
      </c>
      <c r="F443" s="4">
        <f>SUMIFS('DETALLE CRONOLÓGICO'!$I$2:$I$4919,'DETALLE CRONOLÓGICO'!$A$2:$A$4919,$A443)</f>
        <v/>
      </c>
      <c r="G443" s="1">
        <f>INDEX('DETALLE CRONOLÓGICO'!$D$2:$D$4919,MATCH($A443,'DETALLE CRONOLÓGICO'!$A$2:$A$4919,0))</f>
        <v/>
      </c>
      <c r="H443" s="1">
        <f>INDEX('DETALLE CRONOLÓGICO'!$D$2:$D$4919,MATCH($A443,'DETALLE CRONOLÓGICO'!$A$2:$A$4919,0)+$E443-1)</f>
        <v/>
      </c>
      <c r="I443" s="5">
        <f>IFERROR(SUMIFS('DETALLE CRONOLÓGICO'!$L$2:$L$4919,'DETALLE CRONOLÓGICO'!$A$2:$A$4919,$A443)/$F443,"")</f>
        <v/>
      </c>
      <c r="J443" s="6">
        <f>IFERROR(SUMIFS('DETALLE CRONOLÓGICO'!$K$2:$K$4919,'DETALLE CRONOLÓGICO'!$A$2:$A$4919,$A443)/$E443,"")</f>
        <v/>
      </c>
      <c r="K443" s="6">
        <f>_xlfn.MINIFS('DETALLE CRONOLÓGICO'!$K$2:$K$4919,'DETALLE CRONOLÓGICO'!$A$2:$A$4919,$A443)</f>
        <v/>
      </c>
      <c r="L443" s="6">
        <f>_xlfn.MAXIFS('DETALLE CRONOLÓGICO'!$K$2:$K$4919,'DETALLE CRONOLÓGICO'!$A$2:$A$4919,$A443)</f>
        <v/>
      </c>
      <c r="M443" s="6">
        <f>INDEX('DETALLE CRONOLÓGICO'!$K$2:$K$4919,MATCH($A443,'DETALLE CRONOLÓGICO'!$A$2:$A$4919,0)+$E443-1)</f>
        <v/>
      </c>
      <c r="N443" s="7">
        <f>IFERROR($M443/INDEX('DETALLE CRONOLÓGICO'!$K$2:$K$4919,MATCH($A443,'DETALLE CRONOLÓGICO'!$A$2:$A$4919,0))-1,"")</f>
        <v/>
      </c>
      <c r="O443" s="6">
        <f>IFERROR($I443*3,"")</f>
        <v/>
      </c>
      <c r="P443" s="6">
        <f>IFERROR($I443*3.5,"")</f>
        <v/>
      </c>
      <c r="Q443" s="6">
        <f>IFERROR($I443*4,"")</f>
        <v/>
      </c>
      <c r="R443" s="6" t="n">
        <v>900</v>
      </c>
      <c r="S443" s="4" t="n">
        <v>1</v>
      </c>
      <c r="T443" s="1" t="inlineStr">
        <is>
          <t>active</t>
        </is>
      </c>
      <c r="U443" s="8" t="n"/>
      <c r="V443" s="1" t="inlineStr">
        <is>
          <t>SIN PRECIO</t>
        </is>
      </c>
    </row>
    <row r="444">
      <c r="A444" s="1" t="inlineStr">
        <is>
          <t>29857041083437</t>
        </is>
      </c>
      <c r="B444" s="1" t="inlineStr">
        <is>
          <t>PULSERA CHROMES</t>
        </is>
      </c>
      <c r="C444" s="1" t="inlineStr">
        <is>
          <t>Default Title</t>
        </is>
      </c>
      <c r="D444" s="1" t="inlineStr">
        <is>
          <t>NANCY</t>
        </is>
      </c>
      <c r="E444" s="4">
        <f>COUNTIF('DETALLE CRONOLÓGICO'!$A$2:$A$4919,$A444)</f>
        <v/>
      </c>
      <c r="F444" s="4">
        <f>SUMIFS('DETALLE CRONOLÓGICO'!$I$2:$I$4919,'DETALLE CRONOLÓGICO'!$A$2:$A$4919,$A444)</f>
        <v/>
      </c>
      <c r="G444" s="1">
        <f>INDEX('DETALLE CRONOLÓGICO'!$D$2:$D$4919,MATCH($A444,'DETALLE CRONOLÓGICO'!$A$2:$A$4919,0))</f>
        <v/>
      </c>
      <c r="H444" s="1">
        <f>INDEX('DETALLE CRONOLÓGICO'!$D$2:$D$4919,MATCH($A444,'DETALLE CRONOLÓGICO'!$A$2:$A$4919,0)+$E444-1)</f>
        <v/>
      </c>
      <c r="I444" s="5">
        <f>IFERROR(SUMIFS('DETALLE CRONOLÓGICO'!$L$2:$L$4919,'DETALLE CRONOLÓGICO'!$A$2:$A$4919,$A444)/$F444,"")</f>
        <v/>
      </c>
      <c r="J444" s="6">
        <f>IFERROR(SUMIFS('DETALLE CRONOLÓGICO'!$K$2:$K$4919,'DETALLE CRONOLÓGICO'!$A$2:$A$4919,$A444)/$E444,"")</f>
        <v/>
      </c>
      <c r="K444" s="6">
        <f>_xlfn.MINIFS('DETALLE CRONOLÓGICO'!$K$2:$K$4919,'DETALLE CRONOLÓGICO'!$A$2:$A$4919,$A444)</f>
        <v/>
      </c>
      <c r="L444" s="6">
        <f>_xlfn.MAXIFS('DETALLE CRONOLÓGICO'!$K$2:$K$4919,'DETALLE CRONOLÓGICO'!$A$2:$A$4919,$A444)</f>
        <v/>
      </c>
      <c r="M444" s="6">
        <f>INDEX('DETALLE CRONOLÓGICO'!$K$2:$K$4919,MATCH($A444,'DETALLE CRONOLÓGICO'!$A$2:$A$4919,0)+$E444-1)</f>
        <v/>
      </c>
      <c r="N444" s="7">
        <f>IFERROR($M444/INDEX('DETALLE CRONOLÓGICO'!$K$2:$K$4919,MATCH($A444,'DETALLE CRONOLÓGICO'!$A$2:$A$4919,0))-1,"")</f>
        <v/>
      </c>
      <c r="O444" s="6">
        <f>IFERROR($I444*3,"")</f>
        <v/>
      </c>
      <c r="P444" s="6">
        <f>IFERROR($I444*3.5,"")</f>
        <v/>
      </c>
      <c r="Q444" s="6">
        <f>IFERROR($I444*4,"")</f>
        <v/>
      </c>
      <c r="R444" s="6" t="n">
        <v>639</v>
      </c>
      <c r="S444" s="4" t="n">
        <v>1</v>
      </c>
      <c r="T444" s="1" t="inlineStr">
        <is>
          <t>active</t>
        </is>
      </c>
      <c r="U444" s="8" t="n"/>
      <c r="V444" s="1" t="inlineStr">
        <is>
          <t>SIN PRECIO</t>
        </is>
      </c>
    </row>
    <row r="445">
      <c r="A445" s="1" t="inlineStr">
        <is>
          <t>29953901022861</t>
        </is>
      </c>
      <c r="B445" s="1" t="inlineStr">
        <is>
          <t>GORRA CC WHITE</t>
        </is>
      </c>
      <c r="C445" s="1" t="n"/>
      <c r="D445" s="1" t="inlineStr">
        <is>
          <t>ZOEY</t>
        </is>
      </c>
      <c r="E445" s="4">
        <f>COUNTIF('DETALLE CRONOLÓGICO'!$A$2:$A$4919,$A445)</f>
        <v/>
      </c>
      <c r="F445" s="4">
        <f>SUMIFS('DETALLE CRONOLÓGICO'!$I$2:$I$4919,'DETALLE CRONOLÓGICO'!$A$2:$A$4919,$A445)</f>
        <v/>
      </c>
      <c r="G445" s="1">
        <f>INDEX('DETALLE CRONOLÓGICO'!$D$2:$D$4919,MATCH($A445,'DETALLE CRONOLÓGICO'!$A$2:$A$4919,0))</f>
        <v/>
      </c>
      <c r="H445" s="1">
        <f>INDEX('DETALLE CRONOLÓGICO'!$D$2:$D$4919,MATCH($A445,'DETALLE CRONOLÓGICO'!$A$2:$A$4919,0)+$E445-1)</f>
        <v/>
      </c>
      <c r="I445" s="5">
        <f>IFERROR(SUMIFS('DETALLE CRONOLÓGICO'!$L$2:$L$4919,'DETALLE CRONOLÓGICO'!$A$2:$A$4919,$A445)/$F445,"")</f>
        <v/>
      </c>
      <c r="J445" s="6">
        <f>IFERROR(SUMIFS('DETALLE CRONOLÓGICO'!$K$2:$K$4919,'DETALLE CRONOLÓGICO'!$A$2:$A$4919,$A445)/$E445,"")</f>
        <v/>
      </c>
      <c r="K445" s="6">
        <f>_xlfn.MINIFS('DETALLE CRONOLÓGICO'!$K$2:$K$4919,'DETALLE CRONOLÓGICO'!$A$2:$A$4919,$A445)</f>
        <v/>
      </c>
      <c r="L445" s="6">
        <f>_xlfn.MAXIFS('DETALLE CRONOLÓGICO'!$K$2:$K$4919,'DETALLE CRONOLÓGICO'!$A$2:$A$4919,$A445)</f>
        <v/>
      </c>
      <c r="M445" s="6">
        <f>INDEX('DETALLE CRONOLÓGICO'!$K$2:$K$4919,MATCH($A445,'DETALLE CRONOLÓGICO'!$A$2:$A$4919,0)+$E445-1)</f>
        <v/>
      </c>
      <c r="N445" s="7">
        <f>IFERROR($M445/INDEX('DETALLE CRONOLÓGICO'!$K$2:$K$4919,MATCH($A445,'DETALLE CRONOLÓGICO'!$A$2:$A$4919,0))-1,"")</f>
        <v/>
      </c>
      <c r="O445" s="6">
        <f>IFERROR($I445*3,"")</f>
        <v/>
      </c>
      <c r="P445" s="6">
        <f>IFERROR($I445*3.5,"")</f>
        <v/>
      </c>
      <c r="Q445" s="6">
        <f>IFERROR($I445*4,"")</f>
        <v/>
      </c>
      <c r="R445" s="6" t="n">
        <v>0</v>
      </c>
      <c r="S445" s="4" t="n">
        <v>0</v>
      </c>
      <c r="T445" s="1" t="inlineStr">
        <is>
          <t>draft</t>
        </is>
      </c>
      <c r="U445" s="8" t="n"/>
      <c r="V445" s="1" t="inlineStr">
        <is>
          <t>SIN PRECIO</t>
        </is>
      </c>
    </row>
    <row r="446">
      <c r="A446" s="1" t="inlineStr">
        <is>
          <t>29953901152237</t>
        </is>
      </c>
      <c r="B446" s="1" t="inlineStr">
        <is>
          <t>BOLSO CD CRUNCHY MILLY</t>
        </is>
      </c>
      <c r="C446" s="1" t="n"/>
      <c r="D446" s="1" t="inlineStr">
        <is>
          <t>ZOEY</t>
        </is>
      </c>
      <c r="E446" s="4">
        <f>COUNTIF('DETALLE CRONOLÓGICO'!$A$2:$A$4919,$A446)</f>
        <v/>
      </c>
      <c r="F446" s="4">
        <f>SUMIFS('DETALLE CRONOLÓGICO'!$I$2:$I$4919,'DETALLE CRONOLÓGICO'!$A$2:$A$4919,$A446)</f>
        <v/>
      </c>
      <c r="G446" s="1">
        <f>INDEX('DETALLE CRONOLÓGICO'!$D$2:$D$4919,MATCH($A446,'DETALLE CRONOLÓGICO'!$A$2:$A$4919,0))</f>
        <v/>
      </c>
      <c r="H446" s="1">
        <f>INDEX('DETALLE CRONOLÓGICO'!$D$2:$D$4919,MATCH($A446,'DETALLE CRONOLÓGICO'!$A$2:$A$4919,0)+$E446-1)</f>
        <v/>
      </c>
      <c r="I446" s="5">
        <f>IFERROR(SUMIFS('DETALLE CRONOLÓGICO'!$L$2:$L$4919,'DETALLE CRONOLÓGICO'!$A$2:$A$4919,$A446)/$F446,"")</f>
        <v/>
      </c>
      <c r="J446" s="6">
        <f>IFERROR(SUMIFS('DETALLE CRONOLÓGICO'!$K$2:$K$4919,'DETALLE CRONOLÓGICO'!$A$2:$A$4919,$A446)/$E446,"")</f>
        <v/>
      </c>
      <c r="K446" s="6">
        <f>_xlfn.MINIFS('DETALLE CRONOLÓGICO'!$K$2:$K$4919,'DETALLE CRONOLÓGICO'!$A$2:$A$4919,$A446)</f>
        <v/>
      </c>
      <c r="L446" s="6">
        <f>_xlfn.MAXIFS('DETALLE CRONOLÓGICO'!$K$2:$K$4919,'DETALLE CRONOLÓGICO'!$A$2:$A$4919,$A446)</f>
        <v/>
      </c>
      <c r="M446" s="6">
        <f>INDEX('DETALLE CRONOLÓGICO'!$K$2:$K$4919,MATCH($A446,'DETALLE CRONOLÓGICO'!$A$2:$A$4919,0)+$E446-1)</f>
        <v/>
      </c>
      <c r="N446" s="7">
        <f>IFERROR($M446/INDEX('DETALLE CRONOLÓGICO'!$K$2:$K$4919,MATCH($A446,'DETALLE CRONOLÓGICO'!$A$2:$A$4919,0))-1,"")</f>
        <v/>
      </c>
      <c r="O446" s="6">
        <f>IFERROR($I446*3,"")</f>
        <v/>
      </c>
      <c r="P446" s="6">
        <f>IFERROR($I446*3.5,"")</f>
        <v/>
      </c>
      <c r="Q446" s="6">
        <f>IFERROR($I446*4,"")</f>
        <v/>
      </c>
      <c r="R446" s="6" t="n">
        <v>6379</v>
      </c>
      <c r="S446" s="4" t="n">
        <v>1</v>
      </c>
      <c r="T446" s="1" t="inlineStr">
        <is>
          <t>active</t>
        </is>
      </c>
      <c r="U446" s="8" t="n"/>
      <c r="V446" s="1" t="inlineStr">
        <is>
          <t>SIN PRECIO</t>
        </is>
      </c>
    </row>
    <row r="447">
      <c r="A447" s="1" t="inlineStr">
        <is>
          <t>29953901285005</t>
        </is>
      </c>
      <c r="B447" s="1" t="inlineStr">
        <is>
          <t>CINTO CD MEDALLON</t>
        </is>
      </c>
      <c r="C447" s="1" t="inlineStr">
        <is>
          <t>100cm</t>
        </is>
      </c>
      <c r="D447" s="1" t="inlineStr">
        <is>
          <t>ZOEY</t>
        </is>
      </c>
      <c r="E447" s="4">
        <f>COUNTIF('DETALLE CRONOLÓGICO'!$A$2:$A$4919,$A447)</f>
        <v/>
      </c>
      <c r="F447" s="4">
        <f>SUMIFS('DETALLE CRONOLÓGICO'!$I$2:$I$4919,'DETALLE CRONOLÓGICO'!$A$2:$A$4919,$A447)</f>
        <v/>
      </c>
      <c r="G447" s="1">
        <f>INDEX('DETALLE CRONOLÓGICO'!$D$2:$D$4919,MATCH($A447,'DETALLE CRONOLÓGICO'!$A$2:$A$4919,0))</f>
        <v/>
      </c>
      <c r="H447" s="1">
        <f>INDEX('DETALLE CRONOLÓGICO'!$D$2:$D$4919,MATCH($A447,'DETALLE CRONOLÓGICO'!$A$2:$A$4919,0)+$E447-1)</f>
        <v/>
      </c>
      <c r="I447" s="5">
        <f>IFERROR(SUMIFS('DETALLE CRONOLÓGICO'!$L$2:$L$4919,'DETALLE CRONOLÓGICO'!$A$2:$A$4919,$A447)/$F447,"")</f>
        <v/>
      </c>
      <c r="J447" s="6">
        <f>IFERROR(SUMIFS('DETALLE CRONOLÓGICO'!$K$2:$K$4919,'DETALLE CRONOLÓGICO'!$A$2:$A$4919,$A447)/$E447,"")</f>
        <v/>
      </c>
      <c r="K447" s="6">
        <f>_xlfn.MINIFS('DETALLE CRONOLÓGICO'!$K$2:$K$4919,'DETALLE CRONOLÓGICO'!$A$2:$A$4919,$A447)</f>
        <v/>
      </c>
      <c r="L447" s="6">
        <f>_xlfn.MAXIFS('DETALLE CRONOLÓGICO'!$K$2:$K$4919,'DETALLE CRONOLÓGICO'!$A$2:$A$4919,$A447)</f>
        <v/>
      </c>
      <c r="M447" s="6">
        <f>INDEX('DETALLE CRONOLÓGICO'!$K$2:$K$4919,MATCH($A447,'DETALLE CRONOLÓGICO'!$A$2:$A$4919,0)+$E447-1)</f>
        <v/>
      </c>
      <c r="N447" s="7">
        <f>IFERROR($M447/INDEX('DETALLE CRONOLÓGICO'!$K$2:$K$4919,MATCH($A447,'DETALLE CRONOLÓGICO'!$A$2:$A$4919,0))-1,"")</f>
        <v/>
      </c>
      <c r="O447" s="6">
        <f>IFERROR($I447*3,"")</f>
        <v/>
      </c>
      <c r="P447" s="6">
        <f>IFERROR($I447*3.5,"")</f>
        <v/>
      </c>
      <c r="Q447" s="6">
        <f>IFERROR($I447*4,"")</f>
        <v/>
      </c>
      <c r="R447" s="6" t="n">
        <v>4550</v>
      </c>
      <c r="S447" s="4" t="n">
        <v>1</v>
      </c>
      <c r="T447" s="1" t="inlineStr">
        <is>
          <t>active</t>
        </is>
      </c>
      <c r="U447" s="8" t="n"/>
      <c r="V447" s="1" t="inlineStr">
        <is>
          <t>SIN PRECIO</t>
        </is>
      </c>
    </row>
    <row r="448">
      <c r="A448" s="1" t="inlineStr">
        <is>
          <t>29953901383309</t>
        </is>
      </c>
      <c r="B448" s="1" t="inlineStr">
        <is>
          <t>BOLSO CD BOOK TOTE BANDOLERA</t>
        </is>
      </c>
      <c r="C448" s="1" t="n"/>
      <c r="D448" s="1" t="inlineStr">
        <is>
          <t>ZOEY</t>
        </is>
      </c>
      <c r="E448" s="4">
        <f>COUNTIF('DETALLE CRONOLÓGICO'!$A$2:$A$4919,$A448)</f>
        <v/>
      </c>
      <c r="F448" s="4">
        <f>SUMIFS('DETALLE CRONOLÓGICO'!$I$2:$I$4919,'DETALLE CRONOLÓGICO'!$A$2:$A$4919,$A448)</f>
        <v/>
      </c>
      <c r="G448" s="1">
        <f>INDEX('DETALLE CRONOLÓGICO'!$D$2:$D$4919,MATCH($A448,'DETALLE CRONOLÓGICO'!$A$2:$A$4919,0))</f>
        <v/>
      </c>
      <c r="H448" s="1">
        <f>INDEX('DETALLE CRONOLÓGICO'!$D$2:$D$4919,MATCH($A448,'DETALLE CRONOLÓGICO'!$A$2:$A$4919,0)+$E448-1)</f>
        <v/>
      </c>
      <c r="I448" s="5">
        <f>IFERROR(SUMIFS('DETALLE CRONOLÓGICO'!$L$2:$L$4919,'DETALLE CRONOLÓGICO'!$A$2:$A$4919,$A448)/$F448,"")</f>
        <v/>
      </c>
      <c r="J448" s="6">
        <f>IFERROR(SUMIFS('DETALLE CRONOLÓGICO'!$K$2:$K$4919,'DETALLE CRONOLÓGICO'!$A$2:$A$4919,$A448)/$E448,"")</f>
        <v/>
      </c>
      <c r="K448" s="6">
        <f>_xlfn.MINIFS('DETALLE CRONOLÓGICO'!$K$2:$K$4919,'DETALLE CRONOLÓGICO'!$A$2:$A$4919,$A448)</f>
        <v/>
      </c>
      <c r="L448" s="6">
        <f>_xlfn.MAXIFS('DETALLE CRONOLÓGICO'!$K$2:$K$4919,'DETALLE CRONOLÓGICO'!$A$2:$A$4919,$A448)</f>
        <v/>
      </c>
      <c r="M448" s="6">
        <f>INDEX('DETALLE CRONOLÓGICO'!$K$2:$K$4919,MATCH($A448,'DETALLE CRONOLÓGICO'!$A$2:$A$4919,0)+$E448-1)</f>
        <v/>
      </c>
      <c r="N448" s="7">
        <f>IFERROR($M448/INDEX('DETALLE CRONOLÓGICO'!$K$2:$K$4919,MATCH($A448,'DETALLE CRONOLÓGICO'!$A$2:$A$4919,0))-1,"")</f>
        <v/>
      </c>
      <c r="O448" s="6">
        <f>IFERROR($I448*3,"")</f>
        <v/>
      </c>
      <c r="P448" s="6">
        <f>IFERROR($I448*3.5,"")</f>
        <v/>
      </c>
      <c r="Q448" s="6">
        <f>IFERROR($I448*4,"")</f>
        <v/>
      </c>
      <c r="R448" s="6" t="n">
        <v>0</v>
      </c>
      <c r="S448" s="4" t="n">
        <v>0</v>
      </c>
      <c r="T448" s="1" t="inlineStr">
        <is>
          <t>draft</t>
        </is>
      </c>
      <c r="U448" s="8" t="n"/>
      <c r="V448" s="1" t="inlineStr">
        <is>
          <t>SIN PRECIO</t>
        </is>
      </c>
    </row>
    <row r="449">
      <c r="A449" s="1" t="inlineStr">
        <is>
          <t>29953901454477</t>
        </is>
      </c>
      <c r="B449" s="1" t="inlineStr">
        <is>
          <t>BOLSO CD MESSENGER SADDLE ALL BLACK</t>
        </is>
      </c>
      <c r="C449" s="1" t="n"/>
      <c r="D449" s="1" t="inlineStr">
        <is>
          <t>ZOEY</t>
        </is>
      </c>
      <c r="E449" s="4">
        <f>COUNTIF('DETALLE CRONOLÓGICO'!$A$2:$A$4919,$A449)</f>
        <v/>
      </c>
      <c r="F449" s="4">
        <f>SUMIFS('DETALLE CRONOLÓGICO'!$I$2:$I$4919,'DETALLE CRONOLÓGICO'!$A$2:$A$4919,$A449)</f>
        <v/>
      </c>
      <c r="G449" s="1">
        <f>INDEX('DETALLE CRONOLÓGICO'!$D$2:$D$4919,MATCH($A449,'DETALLE CRONOLÓGICO'!$A$2:$A$4919,0))</f>
        <v/>
      </c>
      <c r="H449" s="1">
        <f>INDEX('DETALLE CRONOLÓGICO'!$D$2:$D$4919,MATCH($A449,'DETALLE CRONOLÓGICO'!$A$2:$A$4919,0)+$E449-1)</f>
        <v/>
      </c>
      <c r="I449" s="5">
        <f>IFERROR(SUMIFS('DETALLE CRONOLÓGICO'!$L$2:$L$4919,'DETALLE CRONOLÓGICO'!$A$2:$A$4919,$A449)/$F449,"")</f>
        <v/>
      </c>
      <c r="J449" s="6">
        <f>IFERROR(SUMIFS('DETALLE CRONOLÓGICO'!$K$2:$K$4919,'DETALLE CRONOLÓGICO'!$A$2:$A$4919,$A449)/$E449,"")</f>
        <v/>
      </c>
      <c r="K449" s="6">
        <f>_xlfn.MINIFS('DETALLE CRONOLÓGICO'!$K$2:$K$4919,'DETALLE CRONOLÓGICO'!$A$2:$A$4919,$A449)</f>
        <v/>
      </c>
      <c r="L449" s="6">
        <f>_xlfn.MAXIFS('DETALLE CRONOLÓGICO'!$K$2:$K$4919,'DETALLE CRONOLÓGICO'!$A$2:$A$4919,$A449)</f>
        <v/>
      </c>
      <c r="M449" s="6">
        <f>INDEX('DETALLE CRONOLÓGICO'!$K$2:$K$4919,MATCH($A449,'DETALLE CRONOLÓGICO'!$A$2:$A$4919,0)+$E449-1)</f>
        <v/>
      </c>
      <c r="N449" s="7">
        <f>IFERROR($M449/INDEX('DETALLE CRONOLÓGICO'!$K$2:$K$4919,MATCH($A449,'DETALLE CRONOLÓGICO'!$A$2:$A$4919,0))-1,"")</f>
        <v/>
      </c>
      <c r="O449" s="6">
        <f>IFERROR($I449*3,"")</f>
        <v/>
      </c>
      <c r="P449" s="6">
        <f>IFERROR($I449*3.5,"")</f>
        <v/>
      </c>
      <c r="Q449" s="6">
        <f>IFERROR($I449*4,"")</f>
        <v/>
      </c>
      <c r="R449" s="6" t="n">
        <v>5499</v>
      </c>
      <c r="S449" s="4" t="n">
        <v>1</v>
      </c>
      <c r="T449" s="1" t="inlineStr">
        <is>
          <t>active</t>
        </is>
      </c>
      <c r="U449" s="8" t="n"/>
      <c r="V449" s="1" t="inlineStr">
        <is>
          <t>SIN PRECIO</t>
        </is>
      </c>
    </row>
    <row r="450">
      <c r="A450" s="1" t="inlineStr">
        <is>
          <t>29953901549389</t>
        </is>
      </c>
      <c r="B450" s="1" t="inlineStr">
        <is>
          <t>CARTERA CD DAHLIA OBLIQUE</t>
        </is>
      </c>
      <c r="C450" s="1" t="n"/>
      <c r="D450" s="1" t="inlineStr">
        <is>
          <t>ZOEY</t>
        </is>
      </c>
      <c r="E450" s="4">
        <f>COUNTIF('DETALLE CRONOLÓGICO'!$A$2:$A$4919,$A450)</f>
        <v/>
      </c>
      <c r="F450" s="4">
        <f>SUMIFS('DETALLE CRONOLÓGICO'!$I$2:$I$4919,'DETALLE CRONOLÓGICO'!$A$2:$A$4919,$A450)</f>
        <v/>
      </c>
      <c r="G450" s="1">
        <f>INDEX('DETALLE CRONOLÓGICO'!$D$2:$D$4919,MATCH($A450,'DETALLE CRONOLÓGICO'!$A$2:$A$4919,0))</f>
        <v/>
      </c>
      <c r="H450" s="1">
        <f>INDEX('DETALLE CRONOLÓGICO'!$D$2:$D$4919,MATCH($A450,'DETALLE CRONOLÓGICO'!$A$2:$A$4919,0)+$E450-1)</f>
        <v/>
      </c>
      <c r="I450" s="5">
        <f>IFERROR(SUMIFS('DETALLE CRONOLÓGICO'!$L$2:$L$4919,'DETALLE CRONOLÓGICO'!$A$2:$A$4919,$A450)/$F450,"")</f>
        <v/>
      </c>
      <c r="J450" s="6">
        <f>IFERROR(SUMIFS('DETALLE CRONOLÓGICO'!$K$2:$K$4919,'DETALLE CRONOLÓGICO'!$A$2:$A$4919,$A450)/$E450,"")</f>
        <v/>
      </c>
      <c r="K450" s="6">
        <f>_xlfn.MINIFS('DETALLE CRONOLÓGICO'!$K$2:$K$4919,'DETALLE CRONOLÓGICO'!$A$2:$A$4919,$A450)</f>
        <v/>
      </c>
      <c r="L450" s="6">
        <f>_xlfn.MAXIFS('DETALLE CRONOLÓGICO'!$K$2:$K$4919,'DETALLE CRONOLÓGICO'!$A$2:$A$4919,$A450)</f>
        <v/>
      </c>
      <c r="M450" s="6">
        <f>INDEX('DETALLE CRONOLÓGICO'!$K$2:$K$4919,MATCH($A450,'DETALLE CRONOLÓGICO'!$A$2:$A$4919,0)+$E450-1)</f>
        <v/>
      </c>
      <c r="N450" s="7">
        <f>IFERROR($M450/INDEX('DETALLE CRONOLÓGICO'!$K$2:$K$4919,MATCH($A450,'DETALLE CRONOLÓGICO'!$A$2:$A$4919,0))-1,"")</f>
        <v/>
      </c>
      <c r="O450" s="6">
        <f>IFERROR($I450*3,"")</f>
        <v/>
      </c>
      <c r="P450" s="6">
        <f>IFERROR($I450*3.5,"")</f>
        <v/>
      </c>
      <c r="Q450" s="6">
        <f>IFERROR($I450*4,"")</f>
        <v/>
      </c>
      <c r="R450" s="6" t="n">
        <v>2159</v>
      </c>
      <c r="S450" s="4" t="n">
        <v>0</v>
      </c>
      <c r="T450" s="1" t="inlineStr">
        <is>
          <t>active</t>
        </is>
      </c>
      <c r="U450" s="8" t="n"/>
      <c r="V450" s="1" t="inlineStr">
        <is>
          <t>SIN PRECIO</t>
        </is>
      </c>
    </row>
    <row r="451">
      <c r="A451" s="1" t="inlineStr">
        <is>
          <t>29953901642605</t>
        </is>
      </c>
      <c r="B451" s="1" t="inlineStr">
        <is>
          <t>CARTERA CD LADY D GLYCINE</t>
        </is>
      </c>
      <c r="C451" s="1" t="n"/>
      <c r="D451" s="1" t="inlineStr">
        <is>
          <t>ZOEY</t>
        </is>
      </c>
      <c r="E451" s="4">
        <f>COUNTIF('DETALLE CRONOLÓGICO'!$A$2:$A$4919,$A451)</f>
        <v/>
      </c>
      <c r="F451" s="4">
        <f>SUMIFS('DETALLE CRONOLÓGICO'!$I$2:$I$4919,'DETALLE CRONOLÓGICO'!$A$2:$A$4919,$A451)</f>
        <v/>
      </c>
      <c r="G451" s="1">
        <f>INDEX('DETALLE CRONOLÓGICO'!$D$2:$D$4919,MATCH($A451,'DETALLE CRONOLÓGICO'!$A$2:$A$4919,0))</f>
        <v/>
      </c>
      <c r="H451" s="1">
        <f>INDEX('DETALLE CRONOLÓGICO'!$D$2:$D$4919,MATCH($A451,'DETALLE CRONOLÓGICO'!$A$2:$A$4919,0)+$E451-1)</f>
        <v/>
      </c>
      <c r="I451" s="5">
        <f>IFERROR(SUMIFS('DETALLE CRONOLÓGICO'!$L$2:$L$4919,'DETALLE CRONOLÓGICO'!$A$2:$A$4919,$A451)/$F451,"")</f>
        <v/>
      </c>
      <c r="J451" s="6">
        <f>IFERROR(SUMIFS('DETALLE CRONOLÓGICO'!$K$2:$K$4919,'DETALLE CRONOLÓGICO'!$A$2:$A$4919,$A451)/$E451,"")</f>
        <v/>
      </c>
      <c r="K451" s="6">
        <f>_xlfn.MINIFS('DETALLE CRONOLÓGICO'!$K$2:$K$4919,'DETALLE CRONOLÓGICO'!$A$2:$A$4919,$A451)</f>
        <v/>
      </c>
      <c r="L451" s="6">
        <f>_xlfn.MAXIFS('DETALLE CRONOLÓGICO'!$K$2:$K$4919,'DETALLE CRONOLÓGICO'!$A$2:$A$4919,$A451)</f>
        <v/>
      </c>
      <c r="M451" s="6">
        <f>INDEX('DETALLE CRONOLÓGICO'!$K$2:$K$4919,MATCH($A451,'DETALLE CRONOLÓGICO'!$A$2:$A$4919,0)+$E451-1)</f>
        <v/>
      </c>
      <c r="N451" s="7">
        <f>IFERROR($M451/INDEX('DETALLE CRONOLÓGICO'!$K$2:$K$4919,MATCH($A451,'DETALLE CRONOLÓGICO'!$A$2:$A$4919,0))-1,"")</f>
        <v/>
      </c>
      <c r="O451" s="6">
        <f>IFERROR($I451*3,"")</f>
        <v/>
      </c>
      <c r="P451" s="6">
        <f>IFERROR($I451*3.5,"")</f>
        <v/>
      </c>
      <c r="Q451" s="6">
        <f>IFERROR($I451*4,"")</f>
        <v/>
      </c>
      <c r="R451" s="6" t="n">
        <v>2159</v>
      </c>
      <c r="S451" s="4" t="n">
        <v>2</v>
      </c>
      <c r="T451" s="1" t="inlineStr">
        <is>
          <t>active</t>
        </is>
      </c>
      <c r="U451" s="8" t="n"/>
      <c r="V451" s="1" t="inlineStr">
        <is>
          <t>SIN PRECIO</t>
        </is>
      </c>
    </row>
    <row r="452">
      <c r="A452" s="1" t="inlineStr">
        <is>
          <t>29953901737517</t>
        </is>
      </c>
      <c r="B452" s="1" t="inlineStr">
        <is>
          <t>CARTERA CD CARO CANNAGE</t>
        </is>
      </c>
      <c r="C452" s="1" t="n"/>
      <c r="D452" s="1" t="inlineStr">
        <is>
          <t>ZOEY</t>
        </is>
      </c>
      <c r="E452" s="4">
        <f>COUNTIF('DETALLE CRONOLÓGICO'!$A$2:$A$4919,$A452)</f>
        <v/>
      </c>
      <c r="F452" s="4">
        <f>SUMIFS('DETALLE CRONOLÓGICO'!$I$2:$I$4919,'DETALLE CRONOLÓGICO'!$A$2:$A$4919,$A452)</f>
        <v/>
      </c>
      <c r="G452" s="1">
        <f>INDEX('DETALLE CRONOLÓGICO'!$D$2:$D$4919,MATCH($A452,'DETALLE CRONOLÓGICO'!$A$2:$A$4919,0))</f>
        <v/>
      </c>
      <c r="H452" s="1">
        <f>INDEX('DETALLE CRONOLÓGICO'!$D$2:$D$4919,MATCH($A452,'DETALLE CRONOLÓGICO'!$A$2:$A$4919,0)+$E452-1)</f>
        <v/>
      </c>
      <c r="I452" s="5">
        <f>IFERROR(SUMIFS('DETALLE CRONOLÓGICO'!$L$2:$L$4919,'DETALLE CRONOLÓGICO'!$A$2:$A$4919,$A452)/$F452,"")</f>
        <v/>
      </c>
      <c r="J452" s="6">
        <f>IFERROR(SUMIFS('DETALLE CRONOLÓGICO'!$K$2:$K$4919,'DETALLE CRONOLÓGICO'!$A$2:$A$4919,$A452)/$E452,"")</f>
        <v/>
      </c>
      <c r="K452" s="6">
        <f>_xlfn.MINIFS('DETALLE CRONOLÓGICO'!$K$2:$K$4919,'DETALLE CRONOLÓGICO'!$A$2:$A$4919,$A452)</f>
        <v/>
      </c>
      <c r="L452" s="6">
        <f>_xlfn.MAXIFS('DETALLE CRONOLÓGICO'!$K$2:$K$4919,'DETALLE CRONOLÓGICO'!$A$2:$A$4919,$A452)</f>
        <v/>
      </c>
      <c r="M452" s="6">
        <f>INDEX('DETALLE CRONOLÓGICO'!$K$2:$K$4919,MATCH($A452,'DETALLE CRONOLÓGICO'!$A$2:$A$4919,0)+$E452-1)</f>
        <v/>
      </c>
      <c r="N452" s="7">
        <f>IFERROR($M452/INDEX('DETALLE CRONOLÓGICO'!$K$2:$K$4919,MATCH($A452,'DETALLE CRONOLÓGICO'!$A$2:$A$4919,0))-1,"")</f>
        <v/>
      </c>
      <c r="O452" s="6">
        <f>IFERROR($I452*3,"")</f>
        <v/>
      </c>
      <c r="P452" s="6">
        <f>IFERROR($I452*3.5,"")</f>
        <v/>
      </c>
      <c r="Q452" s="6">
        <f>IFERROR($I452*4,"")</f>
        <v/>
      </c>
      <c r="R452" s="6" t="n">
        <v>2159</v>
      </c>
      <c r="S452" s="4" t="n">
        <v>2</v>
      </c>
      <c r="T452" s="1" t="inlineStr">
        <is>
          <t>active</t>
        </is>
      </c>
      <c r="U452" s="8" t="n"/>
      <c r="V452" s="1" t="inlineStr">
        <is>
          <t>SIN PRECIO</t>
        </is>
      </c>
    </row>
    <row r="453">
      <c r="A453" s="1" t="inlineStr">
        <is>
          <t>29953901866893</t>
        </is>
      </c>
      <c r="B453" s="1" t="inlineStr">
        <is>
          <t>CARTERA CD ALARGADA CARO ORCHID</t>
        </is>
      </c>
      <c r="C453" s="1" t="n"/>
      <c r="D453" s="1" t="inlineStr">
        <is>
          <t>ZOEY</t>
        </is>
      </c>
      <c r="E453" s="4">
        <f>COUNTIF('DETALLE CRONOLÓGICO'!$A$2:$A$4919,$A453)</f>
        <v/>
      </c>
      <c r="F453" s="4">
        <f>SUMIFS('DETALLE CRONOLÓGICO'!$I$2:$I$4919,'DETALLE CRONOLÓGICO'!$A$2:$A$4919,$A453)</f>
        <v/>
      </c>
      <c r="G453" s="1">
        <f>INDEX('DETALLE CRONOLÓGICO'!$D$2:$D$4919,MATCH($A453,'DETALLE CRONOLÓGICO'!$A$2:$A$4919,0))</f>
        <v/>
      </c>
      <c r="H453" s="1">
        <f>INDEX('DETALLE CRONOLÓGICO'!$D$2:$D$4919,MATCH($A453,'DETALLE CRONOLÓGICO'!$A$2:$A$4919,0)+$E453-1)</f>
        <v/>
      </c>
      <c r="I453" s="5">
        <f>IFERROR(SUMIFS('DETALLE CRONOLÓGICO'!$L$2:$L$4919,'DETALLE CRONOLÓGICO'!$A$2:$A$4919,$A453)/$F453,"")</f>
        <v/>
      </c>
      <c r="J453" s="6">
        <f>IFERROR(SUMIFS('DETALLE CRONOLÓGICO'!$K$2:$K$4919,'DETALLE CRONOLÓGICO'!$A$2:$A$4919,$A453)/$E453,"")</f>
        <v/>
      </c>
      <c r="K453" s="6">
        <f>_xlfn.MINIFS('DETALLE CRONOLÓGICO'!$K$2:$K$4919,'DETALLE CRONOLÓGICO'!$A$2:$A$4919,$A453)</f>
        <v/>
      </c>
      <c r="L453" s="6">
        <f>_xlfn.MAXIFS('DETALLE CRONOLÓGICO'!$K$2:$K$4919,'DETALLE CRONOLÓGICO'!$A$2:$A$4919,$A453)</f>
        <v/>
      </c>
      <c r="M453" s="6">
        <f>INDEX('DETALLE CRONOLÓGICO'!$K$2:$K$4919,MATCH($A453,'DETALLE CRONOLÓGICO'!$A$2:$A$4919,0)+$E453-1)</f>
        <v/>
      </c>
      <c r="N453" s="7">
        <f>IFERROR($M453/INDEX('DETALLE CRONOLÓGICO'!$K$2:$K$4919,MATCH($A453,'DETALLE CRONOLÓGICO'!$A$2:$A$4919,0))-1,"")</f>
        <v/>
      </c>
      <c r="O453" s="6">
        <f>IFERROR($I453*3,"")</f>
        <v/>
      </c>
      <c r="P453" s="6">
        <f>IFERROR($I453*3.5,"")</f>
        <v/>
      </c>
      <c r="Q453" s="6">
        <f>IFERROR($I453*4,"")</f>
        <v/>
      </c>
      <c r="R453" s="6" t="n">
        <v>2159</v>
      </c>
      <c r="S453" s="4" t="n">
        <v>2</v>
      </c>
      <c r="T453" s="1" t="inlineStr">
        <is>
          <t>active</t>
        </is>
      </c>
      <c r="U453" s="8" t="n"/>
      <c r="V453" s="1" t="inlineStr">
        <is>
          <t>SIN PRECIO</t>
        </is>
      </c>
    </row>
    <row r="454">
      <c r="A454" s="1" t="inlineStr">
        <is>
          <t>29953901989485</t>
        </is>
      </c>
      <c r="B454" s="1" t="inlineStr">
        <is>
          <t>CARTERA CD LOTUS SADDLE OBLIQUE</t>
        </is>
      </c>
      <c r="C454" s="1" t="n"/>
      <c r="D454" s="1" t="inlineStr">
        <is>
          <t>ZOEY</t>
        </is>
      </c>
      <c r="E454" s="4">
        <f>COUNTIF('DETALLE CRONOLÓGICO'!$A$2:$A$4919,$A454)</f>
        <v/>
      </c>
      <c r="F454" s="4">
        <f>SUMIFS('DETALLE CRONOLÓGICO'!$I$2:$I$4919,'DETALLE CRONOLÓGICO'!$A$2:$A$4919,$A454)</f>
        <v/>
      </c>
      <c r="G454" s="1">
        <f>INDEX('DETALLE CRONOLÓGICO'!$D$2:$D$4919,MATCH($A454,'DETALLE CRONOLÓGICO'!$A$2:$A$4919,0))</f>
        <v/>
      </c>
      <c r="H454" s="1">
        <f>INDEX('DETALLE CRONOLÓGICO'!$D$2:$D$4919,MATCH($A454,'DETALLE CRONOLÓGICO'!$A$2:$A$4919,0)+$E454-1)</f>
        <v/>
      </c>
      <c r="I454" s="5">
        <f>IFERROR(SUMIFS('DETALLE CRONOLÓGICO'!$L$2:$L$4919,'DETALLE CRONOLÓGICO'!$A$2:$A$4919,$A454)/$F454,"")</f>
        <v/>
      </c>
      <c r="J454" s="6">
        <f>IFERROR(SUMIFS('DETALLE CRONOLÓGICO'!$K$2:$K$4919,'DETALLE CRONOLÓGICO'!$A$2:$A$4919,$A454)/$E454,"")</f>
        <v/>
      </c>
      <c r="K454" s="6">
        <f>_xlfn.MINIFS('DETALLE CRONOLÓGICO'!$K$2:$K$4919,'DETALLE CRONOLÓGICO'!$A$2:$A$4919,$A454)</f>
        <v/>
      </c>
      <c r="L454" s="6">
        <f>_xlfn.MAXIFS('DETALLE CRONOLÓGICO'!$K$2:$K$4919,'DETALLE CRONOLÓGICO'!$A$2:$A$4919,$A454)</f>
        <v/>
      </c>
      <c r="M454" s="6">
        <f>INDEX('DETALLE CRONOLÓGICO'!$K$2:$K$4919,MATCH($A454,'DETALLE CRONOLÓGICO'!$A$2:$A$4919,0)+$E454-1)</f>
        <v/>
      </c>
      <c r="N454" s="7">
        <f>IFERROR($M454/INDEX('DETALLE CRONOLÓGICO'!$K$2:$K$4919,MATCH($A454,'DETALLE CRONOLÓGICO'!$A$2:$A$4919,0))-1,"")</f>
        <v/>
      </c>
      <c r="O454" s="6">
        <f>IFERROR($I454*3,"")</f>
        <v/>
      </c>
      <c r="P454" s="6">
        <f>IFERROR($I454*3.5,"")</f>
        <v/>
      </c>
      <c r="Q454" s="6">
        <f>IFERROR($I454*4,"")</f>
        <v/>
      </c>
      <c r="R454" s="6" t="n">
        <v>2159</v>
      </c>
      <c r="S454" s="4" t="n">
        <v>2</v>
      </c>
      <c r="T454" s="1" t="inlineStr">
        <is>
          <t>active</t>
        </is>
      </c>
      <c r="U454" s="8" t="n"/>
      <c r="V454" s="1" t="inlineStr">
        <is>
          <t>SIN PRECIO</t>
        </is>
      </c>
    </row>
    <row r="455">
      <c r="A455" s="1" t="inlineStr">
        <is>
          <t>29953902018861</t>
        </is>
      </c>
      <c r="B455" s="1" t="inlineStr">
        <is>
          <t>CARTERA CD LOTUS SADDLE</t>
        </is>
      </c>
      <c r="C455" s="1" t="n"/>
      <c r="D455" s="1" t="inlineStr">
        <is>
          <t>ZOEY</t>
        </is>
      </c>
      <c r="E455" s="4">
        <f>COUNTIF('DETALLE CRONOLÓGICO'!$A$2:$A$4919,$A455)</f>
        <v/>
      </c>
      <c r="F455" s="4">
        <f>SUMIFS('DETALLE CRONOLÓGICO'!$I$2:$I$4919,'DETALLE CRONOLÓGICO'!$A$2:$A$4919,$A455)</f>
        <v/>
      </c>
      <c r="G455" s="1">
        <f>INDEX('DETALLE CRONOLÓGICO'!$D$2:$D$4919,MATCH($A455,'DETALLE CRONOLÓGICO'!$A$2:$A$4919,0))</f>
        <v/>
      </c>
      <c r="H455" s="1">
        <f>INDEX('DETALLE CRONOLÓGICO'!$D$2:$D$4919,MATCH($A455,'DETALLE CRONOLÓGICO'!$A$2:$A$4919,0)+$E455-1)</f>
        <v/>
      </c>
      <c r="I455" s="5">
        <f>IFERROR(SUMIFS('DETALLE CRONOLÓGICO'!$L$2:$L$4919,'DETALLE CRONOLÓGICO'!$A$2:$A$4919,$A455)/$F455,"")</f>
        <v/>
      </c>
      <c r="J455" s="6">
        <f>IFERROR(SUMIFS('DETALLE CRONOLÓGICO'!$K$2:$K$4919,'DETALLE CRONOLÓGICO'!$A$2:$A$4919,$A455)/$E455,"")</f>
        <v/>
      </c>
      <c r="K455" s="6">
        <f>_xlfn.MINIFS('DETALLE CRONOLÓGICO'!$K$2:$K$4919,'DETALLE CRONOLÓGICO'!$A$2:$A$4919,$A455)</f>
        <v/>
      </c>
      <c r="L455" s="6">
        <f>_xlfn.MAXIFS('DETALLE CRONOLÓGICO'!$K$2:$K$4919,'DETALLE CRONOLÓGICO'!$A$2:$A$4919,$A455)</f>
        <v/>
      </c>
      <c r="M455" s="6">
        <f>INDEX('DETALLE CRONOLÓGICO'!$K$2:$K$4919,MATCH($A455,'DETALLE CRONOLÓGICO'!$A$2:$A$4919,0)+$E455-1)</f>
        <v/>
      </c>
      <c r="N455" s="7">
        <f>IFERROR($M455/INDEX('DETALLE CRONOLÓGICO'!$K$2:$K$4919,MATCH($A455,'DETALLE CRONOLÓGICO'!$A$2:$A$4919,0))-1,"")</f>
        <v/>
      </c>
      <c r="O455" s="6">
        <f>IFERROR($I455*3,"")</f>
        <v/>
      </c>
      <c r="P455" s="6">
        <f>IFERROR($I455*3.5,"")</f>
        <v/>
      </c>
      <c r="Q455" s="6">
        <f>IFERROR($I455*4,"")</f>
        <v/>
      </c>
      <c r="R455" s="6" t="n">
        <v>2159</v>
      </c>
      <c r="S455" s="4" t="n">
        <v>2</v>
      </c>
      <c r="T455" s="1" t="inlineStr">
        <is>
          <t>active</t>
        </is>
      </c>
      <c r="U455" s="8" t="n"/>
      <c r="V455" s="1" t="inlineStr">
        <is>
          <t>SIN PRECIO</t>
        </is>
      </c>
    </row>
    <row r="456">
      <c r="A456" s="1" t="inlineStr">
        <is>
          <t>29953902146541</t>
        </is>
      </c>
      <c r="B456" s="1" t="inlineStr">
        <is>
          <t>MONEDERO CD MYRTE OBLIQUE</t>
        </is>
      </c>
      <c r="C456" s="1" t="n"/>
      <c r="D456" s="1" t="inlineStr">
        <is>
          <t>ZOEY</t>
        </is>
      </c>
      <c r="E456" s="4">
        <f>COUNTIF('DETALLE CRONOLÓGICO'!$A$2:$A$4919,$A456)</f>
        <v/>
      </c>
      <c r="F456" s="4">
        <f>SUMIFS('DETALLE CRONOLÓGICO'!$I$2:$I$4919,'DETALLE CRONOLÓGICO'!$A$2:$A$4919,$A456)</f>
        <v/>
      </c>
      <c r="G456" s="1">
        <f>INDEX('DETALLE CRONOLÓGICO'!$D$2:$D$4919,MATCH($A456,'DETALLE CRONOLÓGICO'!$A$2:$A$4919,0))</f>
        <v/>
      </c>
      <c r="H456" s="1">
        <f>INDEX('DETALLE CRONOLÓGICO'!$D$2:$D$4919,MATCH($A456,'DETALLE CRONOLÓGICO'!$A$2:$A$4919,0)+$E456-1)</f>
        <v/>
      </c>
      <c r="I456" s="5">
        <f>IFERROR(SUMIFS('DETALLE CRONOLÓGICO'!$L$2:$L$4919,'DETALLE CRONOLÓGICO'!$A$2:$A$4919,$A456)/$F456,"")</f>
        <v/>
      </c>
      <c r="J456" s="6">
        <f>IFERROR(SUMIFS('DETALLE CRONOLÓGICO'!$K$2:$K$4919,'DETALLE CRONOLÓGICO'!$A$2:$A$4919,$A456)/$E456,"")</f>
        <v/>
      </c>
      <c r="K456" s="6">
        <f>_xlfn.MINIFS('DETALLE CRONOLÓGICO'!$K$2:$K$4919,'DETALLE CRONOLÓGICO'!$A$2:$A$4919,$A456)</f>
        <v/>
      </c>
      <c r="L456" s="6">
        <f>_xlfn.MAXIFS('DETALLE CRONOLÓGICO'!$K$2:$K$4919,'DETALLE CRONOLÓGICO'!$A$2:$A$4919,$A456)</f>
        <v/>
      </c>
      <c r="M456" s="6">
        <f>INDEX('DETALLE CRONOLÓGICO'!$K$2:$K$4919,MATCH($A456,'DETALLE CRONOLÓGICO'!$A$2:$A$4919,0)+$E456-1)</f>
        <v/>
      </c>
      <c r="N456" s="7">
        <f>IFERROR($M456/INDEX('DETALLE CRONOLÓGICO'!$K$2:$K$4919,MATCH($A456,'DETALLE CRONOLÓGICO'!$A$2:$A$4919,0))-1,"")</f>
        <v/>
      </c>
      <c r="O456" s="6">
        <f>IFERROR($I456*3,"")</f>
        <v/>
      </c>
      <c r="P456" s="6">
        <f>IFERROR($I456*3.5,"")</f>
        <v/>
      </c>
      <c r="Q456" s="6">
        <f>IFERROR($I456*4,"")</f>
        <v/>
      </c>
      <c r="R456" s="6" t="n">
        <v>1869</v>
      </c>
      <c r="S456" s="4" t="n">
        <v>1</v>
      </c>
      <c r="T456" s="1" t="inlineStr">
        <is>
          <t>active</t>
        </is>
      </c>
      <c r="U456" s="8" t="n"/>
      <c r="V456" s="1" t="inlineStr">
        <is>
          <t>SIN PRECIO</t>
        </is>
      </c>
    </row>
    <row r="457">
      <c r="A457" s="1" t="inlineStr">
        <is>
          <t>29953902272525</t>
        </is>
      </c>
      <c r="B457" s="1" t="inlineStr">
        <is>
          <t>BOLSO YSL JAMIE SHOPPING</t>
        </is>
      </c>
      <c r="C457" s="1" t="n"/>
      <c r="D457" s="1" t="inlineStr">
        <is>
          <t>ZOEY</t>
        </is>
      </c>
      <c r="E457" s="4">
        <f>COUNTIF('DETALLE CRONOLÓGICO'!$A$2:$A$4919,$A457)</f>
        <v/>
      </c>
      <c r="F457" s="4">
        <f>SUMIFS('DETALLE CRONOLÓGICO'!$I$2:$I$4919,'DETALLE CRONOLÓGICO'!$A$2:$A$4919,$A457)</f>
        <v/>
      </c>
      <c r="G457" s="1">
        <f>INDEX('DETALLE CRONOLÓGICO'!$D$2:$D$4919,MATCH($A457,'DETALLE CRONOLÓGICO'!$A$2:$A$4919,0))</f>
        <v/>
      </c>
      <c r="H457" s="1">
        <f>INDEX('DETALLE CRONOLÓGICO'!$D$2:$D$4919,MATCH($A457,'DETALLE CRONOLÓGICO'!$A$2:$A$4919,0)+$E457-1)</f>
        <v/>
      </c>
      <c r="I457" s="5">
        <f>IFERROR(SUMIFS('DETALLE CRONOLÓGICO'!$L$2:$L$4919,'DETALLE CRONOLÓGICO'!$A$2:$A$4919,$A457)/$F457,"")</f>
        <v/>
      </c>
      <c r="J457" s="6">
        <f>IFERROR(SUMIFS('DETALLE CRONOLÓGICO'!$K$2:$K$4919,'DETALLE CRONOLÓGICO'!$A$2:$A$4919,$A457)/$E457,"")</f>
        <v/>
      </c>
      <c r="K457" s="6">
        <f>_xlfn.MINIFS('DETALLE CRONOLÓGICO'!$K$2:$K$4919,'DETALLE CRONOLÓGICO'!$A$2:$A$4919,$A457)</f>
        <v/>
      </c>
      <c r="L457" s="6">
        <f>_xlfn.MAXIFS('DETALLE CRONOLÓGICO'!$K$2:$K$4919,'DETALLE CRONOLÓGICO'!$A$2:$A$4919,$A457)</f>
        <v/>
      </c>
      <c r="M457" s="6">
        <f>INDEX('DETALLE CRONOLÓGICO'!$K$2:$K$4919,MATCH($A457,'DETALLE CRONOLÓGICO'!$A$2:$A$4919,0)+$E457-1)</f>
        <v/>
      </c>
      <c r="N457" s="7">
        <f>IFERROR($M457/INDEX('DETALLE CRONOLÓGICO'!$K$2:$K$4919,MATCH($A457,'DETALLE CRONOLÓGICO'!$A$2:$A$4919,0))-1,"")</f>
        <v/>
      </c>
      <c r="O457" s="6">
        <f>IFERROR($I457*3,"")</f>
        <v/>
      </c>
      <c r="P457" s="6">
        <f>IFERROR($I457*3.5,"")</f>
        <v/>
      </c>
      <c r="Q457" s="6">
        <f>IFERROR($I457*4,"")</f>
        <v/>
      </c>
      <c r="R457" s="6" t="n">
        <v>6769</v>
      </c>
      <c r="S457" s="4" t="n">
        <v>1</v>
      </c>
      <c r="T457" s="1" t="inlineStr">
        <is>
          <t>active</t>
        </is>
      </c>
      <c r="U457" s="8" t="n"/>
      <c r="V457" s="1" t="inlineStr">
        <is>
          <t>SIN PRECIO</t>
        </is>
      </c>
    </row>
    <row r="458">
      <c r="A458" s="1" t="inlineStr">
        <is>
          <t>29953902351501</t>
        </is>
      </c>
      <c r="B458" s="1" t="inlineStr">
        <is>
          <t>BOLSO YSL JAMIE SHOPPING ALL BLACK</t>
        </is>
      </c>
      <c r="C458" s="1" t="n"/>
      <c r="D458" s="1" t="inlineStr">
        <is>
          <t>ZOEY</t>
        </is>
      </c>
      <c r="E458" s="4">
        <f>COUNTIF('DETALLE CRONOLÓGICO'!$A$2:$A$4919,$A458)</f>
        <v/>
      </c>
      <c r="F458" s="4">
        <f>SUMIFS('DETALLE CRONOLÓGICO'!$I$2:$I$4919,'DETALLE CRONOLÓGICO'!$A$2:$A$4919,$A458)</f>
        <v/>
      </c>
      <c r="G458" s="1">
        <f>INDEX('DETALLE CRONOLÓGICO'!$D$2:$D$4919,MATCH($A458,'DETALLE CRONOLÓGICO'!$A$2:$A$4919,0))</f>
        <v/>
      </c>
      <c r="H458" s="1">
        <f>INDEX('DETALLE CRONOLÓGICO'!$D$2:$D$4919,MATCH($A458,'DETALLE CRONOLÓGICO'!$A$2:$A$4919,0)+$E458-1)</f>
        <v/>
      </c>
      <c r="I458" s="5">
        <f>IFERROR(SUMIFS('DETALLE CRONOLÓGICO'!$L$2:$L$4919,'DETALLE CRONOLÓGICO'!$A$2:$A$4919,$A458)/$F458,"")</f>
        <v/>
      </c>
      <c r="J458" s="6">
        <f>IFERROR(SUMIFS('DETALLE CRONOLÓGICO'!$K$2:$K$4919,'DETALLE CRONOLÓGICO'!$A$2:$A$4919,$A458)/$E458,"")</f>
        <v/>
      </c>
      <c r="K458" s="6">
        <f>_xlfn.MINIFS('DETALLE CRONOLÓGICO'!$K$2:$K$4919,'DETALLE CRONOLÓGICO'!$A$2:$A$4919,$A458)</f>
        <v/>
      </c>
      <c r="L458" s="6">
        <f>_xlfn.MAXIFS('DETALLE CRONOLÓGICO'!$K$2:$K$4919,'DETALLE CRONOLÓGICO'!$A$2:$A$4919,$A458)</f>
        <v/>
      </c>
      <c r="M458" s="6">
        <f>INDEX('DETALLE CRONOLÓGICO'!$K$2:$K$4919,MATCH($A458,'DETALLE CRONOLÓGICO'!$A$2:$A$4919,0)+$E458-1)</f>
        <v/>
      </c>
      <c r="N458" s="7">
        <f>IFERROR($M458/INDEX('DETALLE CRONOLÓGICO'!$K$2:$K$4919,MATCH($A458,'DETALLE CRONOLÓGICO'!$A$2:$A$4919,0))-1,"")</f>
        <v/>
      </c>
      <c r="O458" s="6">
        <f>IFERROR($I458*3,"")</f>
        <v/>
      </c>
      <c r="P458" s="6">
        <f>IFERROR($I458*3.5,"")</f>
        <v/>
      </c>
      <c r="Q458" s="6">
        <f>IFERROR($I458*4,"")</f>
        <v/>
      </c>
      <c r="R458" s="6" t="n">
        <v>0</v>
      </c>
      <c r="S458" s="4" t="n">
        <v>0</v>
      </c>
      <c r="T458" s="1" t="inlineStr">
        <is>
          <t>draft</t>
        </is>
      </c>
      <c r="U458" s="8" t="n"/>
      <c r="V458" s="1" t="inlineStr">
        <is>
          <t>SIN PRECIO</t>
        </is>
      </c>
    </row>
    <row r="459">
      <c r="A459" s="1" t="inlineStr">
        <is>
          <t>29953902481485</t>
        </is>
      </c>
      <c r="B459" s="1" t="inlineStr">
        <is>
          <t>BOLSO YSL JAMIE SHOPPING BURGUNDY</t>
        </is>
      </c>
      <c r="C459" s="1" t="n"/>
      <c r="D459" s="1" t="inlineStr">
        <is>
          <t>ZOEY</t>
        </is>
      </c>
      <c r="E459" s="4">
        <f>COUNTIF('DETALLE CRONOLÓGICO'!$A$2:$A$4919,$A459)</f>
        <v/>
      </c>
      <c r="F459" s="4">
        <f>SUMIFS('DETALLE CRONOLÓGICO'!$I$2:$I$4919,'DETALLE CRONOLÓGICO'!$A$2:$A$4919,$A459)</f>
        <v/>
      </c>
      <c r="G459" s="1">
        <f>INDEX('DETALLE CRONOLÓGICO'!$D$2:$D$4919,MATCH($A459,'DETALLE CRONOLÓGICO'!$A$2:$A$4919,0))</f>
        <v/>
      </c>
      <c r="H459" s="1">
        <f>INDEX('DETALLE CRONOLÓGICO'!$D$2:$D$4919,MATCH($A459,'DETALLE CRONOLÓGICO'!$A$2:$A$4919,0)+$E459-1)</f>
        <v/>
      </c>
      <c r="I459" s="5">
        <f>IFERROR(SUMIFS('DETALLE CRONOLÓGICO'!$L$2:$L$4919,'DETALLE CRONOLÓGICO'!$A$2:$A$4919,$A459)/$F459,"")</f>
        <v/>
      </c>
      <c r="J459" s="6">
        <f>IFERROR(SUMIFS('DETALLE CRONOLÓGICO'!$K$2:$K$4919,'DETALLE CRONOLÓGICO'!$A$2:$A$4919,$A459)/$E459,"")</f>
        <v/>
      </c>
      <c r="K459" s="6">
        <f>_xlfn.MINIFS('DETALLE CRONOLÓGICO'!$K$2:$K$4919,'DETALLE CRONOLÓGICO'!$A$2:$A$4919,$A459)</f>
        <v/>
      </c>
      <c r="L459" s="6">
        <f>_xlfn.MAXIFS('DETALLE CRONOLÓGICO'!$K$2:$K$4919,'DETALLE CRONOLÓGICO'!$A$2:$A$4919,$A459)</f>
        <v/>
      </c>
      <c r="M459" s="6">
        <f>INDEX('DETALLE CRONOLÓGICO'!$K$2:$K$4919,MATCH($A459,'DETALLE CRONOLÓGICO'!$A$2:$A$4919,0)+$E459-1)</f>
        <v/>
      </c>
      <c r="N459" s="7">
        <f>IFERROR($M459/INDEX('DETALLE CRONOLÓGICO'!$K$2:$K$4919,MATCH($A459,'DETALLE CRONOLÓGICO'!$A$2:$A$4919,0))-1,"")</f>
        <v/>
      </c>
      <c r="O459" s="6">
        <f>IFERROR($I459*3,"")</f>
        <v/>
      </c>
      <c r="P459" s="6">
        <f>IFERROR($I459*3.5,"")</f>
        <v/>
      </c>
      <c r="Q459" s="6">
        <f>IFERROR($I459*4,"")</f>
        <v/>
      </c>
      <c r="R459" s="6" t="n">
        <v>5579</v>
      </c>
      <c r="S459" s="4" t="n">
        <v>2</v>
      </c>
      <c r="T459" s="1" t="inlineStr">
        <is>
          <t>active</t>
        </is>
      </c>
      <c r="U459" s="8" t="n"/>
      <c r="V459" s="1" t="inlineStr">
        <is>
          <t>SIN PRECIO</t>
        </is>
      </c>
    </row>
    <row r="460">
      <c r="A460" s="1" t="inlineStr">
        <is>
          <t>29953902560653</t>
        </is>
      </c>
      <c r="B460" s="1" t="inlineStr">
        <is>
          <t>BOLSO YSL ICARE NAPA</t>
        </is>
      </c>
      <c r="C460" s="1" t="n"/>
      <c r="D460" s="1" t="inlineStr">
        <is>
          <t>ZOEY</t>
        </is>
      </c>
      <c r="E460" s="4">
        <f>COUNTIF('DETALLE CRONOLÓGICO'!$A$2:$A$4919,$A460)</f>
        <v/>
      </c>
      <c r="F460" s="4">
        <f>SUMIFS('DETALLE CRONOLÓGICO'!$I$2:$I$4919,'DETALLE CRONOLÓGICO'!$A$2:$A$4919,$A460)</f>
        <v/>
      </c>
      <c r="G460" s="1">
        <f>INDEX('DETALLE CRONOLÓGICO'!$D$2:$D$4919,MATCH($A460,'DETALLE CRONOLÓGICO'!$A$2:$A$4919,0))</f>
        <v/>
      </c>
      <c r="H460" s="1">
        <f>INDEX('DETALLE CRONOLÓGICO'!$D$2:$D$4919,MATCH($A460,'DETALLE CRONOLÓGICO'!$A$2:$A$4919,0)+$E460-1)</f>
        <v/>
      </c>
      <c r="I460" s="5">
        <f>IFERROR(SUMIFS('DETALLE CRONOLÓGICO'!$L$2:$L$4919,'DETALLE CRONOLÓGICO'!$A$2:$A$4919,$A460)/$F460,"")</f>
        <v/>
      </c>
      <c r="J460" s="6">
        <f>IFERROR(SUMIFS('DETALLE CRONOLÓGICO'!$K$2:$K$4919,'DETALLE CRONOLÓGICO'!$A$2:$A$4919,$A460)/$E460,"")</f>
        <v/>
      </c>
      <c r="K460" s="6">
        <f>_xlfn.MINIFS('DETALLE CRONOLÓGICO'!$K$2:$K$4919,'DETALLE CRONOLÓGICO'!$A$2:$A$4919,$A460)</f>
        <v/>
      </c>
      <c r="L460" s="6">
        <f>_xlfn.MAXIFS('DETALLE CRONOLÓGICO'!$K$2:$K$4919,'DETALLE CRONOLÓGICO'!$A$2:$A$4919,$A460)</f>
        <v/>
      </c>
      <c r="M460" s="6">
        <f>INDEX('DETALLE CRONOLÓGICO'!$K$2:$K$4919,MATCH($A460,'DETALLE CRONOLÓGICO'!$A$2:$A$4919,0)+$E460-1)</f>
        <v/>
      </c>
      <c r="N460" s="7">
        <f>IFERROR($M460/INDEX('DETALLE CRONOLÓGICO'!$K$2:$K$4919,MATCH($A460,'DETALLE CRONOLÓGICO'!$A$2:$A$4919,0))-1,"")</f>
        <v/>
      </c>
      <c r="O460" s="6">
        <f>IFERROR($I460*3,"")</f>
        <v/>
      </c>
      <c r="P460" s="6">
        <f>IFERROR($I460*3.5,"")</f>
        <v/>
      </c>
      <c r="Q460" s="6">
        <f>IFERROR($I460*4,"")</f>
        <v/>
      </c>
      <c r="R460" s="6" t="n">
        <v>5689</v>
      </c>
      <c r="S460" s="4" t="n">
        <v>2</v>
      </c>
      <c r="T460" s="1" t="inlineStr">
        <is>
          <t>active</t>
        </is>
      </c>
      <c r="U460" s="8" t="n"/>
      <c r="V460" s="1" t="inlineStr">
        <is>
          <t>SIN PRECIO</t>
        </is>
      </c>
    </row>
    <row r="461">
      <c r="A461" s="1" t="inlineStr">
        <is>
          <t>29953902655501</t>
        </is>
      </c>
      <c r="B461" s="1" t="inlineStr">
        <is>
          <t>BOLSO YSL ICARE NAPA BLACK</t>
        </is>
      </c>
      <c r="C461" s="1" t="n"/>
      <c r="D461" s="1" t="inlineStr">
        <is>
          <t>ZOEY</t>
        </is>
      </c>
      <c r="E461" s="4">
        <f>COUNTIF('DETALLE CRONOLÓGICO'!$A$2:$A$4919,$A461)</f>
        <v/>
      </c>
      <c r="F461" s="4">
        <f>SUMIFS('DETALLE CRONOLÓGICO'!$I$2:$I$4919,'DETALLE CRONOLÓGICO'!$A$2:$A$4919,$A461)</f>
        <v/>
      </c>
      <c r="G461" s="1">
        <f>INDEX('DETALLE CRONOLÓGICO'!$D$2:$D$4919,MATCH($A461,'DETALLE CRONOLÓGICO'!$A$2:$A$4919,0))</f>
        <v/>
      </c>
      <c r="H461" s="1">
        <f>INDEX('DETALLE CRONOLÓGICO'!$D$2:$D$4919,MATCH($A461,'DETALLE CRONOLÓGICO'!$A$2:$A$4919,0)+$E461-1)</f>
        <v/>
      </c>
      <c r="I461" s="5">
        <f>IFERROR(SUMIFS('DETALLE CRONOLÓGICO'!$L$2:$L$4919,'DETALLE CRONOLÓGICO'!$A$2:$A$4919,$A461)/$F461,"")</f>
        <v/>
      </c>
      <c r="J461" s="6">
        <f>IFERROR(SUMIFS('DETALLE CRONOLÓGICO'!$K$2:$K$4919,'DETALLE CRONOLÓGICO'!$A$2:$A$4919,$A461)/$E461,"")</f>
        <v/>
      </c>
      <c r="K461" s="6">
        <f>_xlfn.MINIFS('DETALLE CRONOLÓGICO'!$K$2:$K$4919,'DETALLE CRONOLÓGICO'!$A$2:$A$4919,$A461)</f>
        <v/>
      </c>
      <c r="L461" s="6">
        <f>_xlfn.MAXIFS('DETALLE CRONOLÓGICO'!$K$2:$K$4919,'DETALLE CRONOLÓGICO'!$A$2:$A$4919,$A461)</f>
        <v/>
      </c>
      <c r="M461" s="6">
        <f>INDEX('DETALLE CRONOLÓGICO'!$K$2:$K$4919,MATCH($A461,'DETALLE CRONOLÓGICO'!$A$2:$A$4919,0)+$E461-1)</f>
        <v/>
      </c>
      <c r="N461" s="7">
        <f>IFERROR($M461/INDEX('DETALLE CRONOLÓGICO'!$K$2:$K$4919,MATCH($A461,'DETALLE CRONOLÓGICO'!$A$2:$A$4919,0))-1,"")</f>
        <v/>
      </c>
      <c r="O461" s="6">
        <f>IFERROR($I461*3,"")</f>
        <v/>
      </c>
      <c r="P461" s="6">
        <f>IFERROR($I461*3.5,"")</f>
        <v/>
      </c>
      <c r="Q461" s="6">
        <f>IFERROR($I461*4,"")</f>
        <v/>
      </c>
      <c r="R461" s="6" t="n">
        <v>5789</v>
      </c>
      <c r="S461" s="4" t="n">
        <v>0</v>
      </c>
      <c r="T461" s="1" t="inlineStr">
        <is>
          <t>active</t>
        </is>
      </c>
      <c r="U461" s="8" t="n"/>
      <c r="V461" s="1" t="inlineStr">
        <is>
          <t>SIN PRECIO</t>
        </is>
      </c>
    </row>
    <row r="462">
      <c r="A462" s="1" t="inlineStr">
        <is>
          <t>29953902748109</t>
        </is>
      </c>
      <c r="B462" s="1" t="inlineStr">
        <is>
          <t>BOLSO POCHETTE YSL CASSANDRE</t>
        </is>
      </c>
      <c r="C462" s="1" t="n"/>
      <c r="D462" s="1" t="inlineStr">
        <is>
          <t>ZOEY</t>
        </is>
      </c>
      <c r="E462" s="4">
        <f>COUNTIF('DETALLE CRONOLÓGICO'!$A$2:$A$4919,$A462)</f>
        <v/>
      </c>
      <c r="F462" s="4">
        <f>SUMIFS('DETALLE CRONOLÓGICO'!$I$2:$I$4919,'DETALLE CRONOLÓGICO'!$A$2:$A$4919,$A462)</f>
        <v/>
      </c>
      <c r="G462" s="1">
        <f>INDEX('DETALLE CRONOLÓGICO'!$D$2:$D$4919,MATCH($A462,'DETALLE CRONOLÓGICO'!$A$2:$A$4919,0))</f>
        <v/>
      </c>
      <c r="H462" s="1">
        <f>INDEX('DETALLE CRONOLÓGICO'!$D$2:$D$4919,MATCH($A462,'DETALLE CRONOLÓGICO'!$A$2:$A$4919,0)+$E462-1)</f>
        <v/>
      </c>
      <c r="I462" s="5">
        <f>IFERROR(SUMIFS('DETALLE CRONOLÓGICO'!$L$2:$L$4919,'DETALLE CRONOLÓGICO'!$A$2:$A$4919,$A462)/$F462,"")</f>
        <v/>
      </c>
      <c r="J462" s="6">
        <f>IFERROR(SUMIFS('DETALLE CRONOLÓGICO'!$K$2:$K$4919,'DETALLE CRONOLÓGICO'!$A$2:$A$4919,$A462)/$E462,"")</f>
        <v/>
      </c>
      <c r="K462" s="6">
        <f>_xlfn.MINIFS('DETALLE CRONOLÓGICO'!$K$2:$K$4919,'DETALLE CRONOLÓGICO'!$A$2:$A$4919,$A462)</f>
        <v/>
      </c>
      <c r="L462" s="6">
        <f>_xlfn.MAXIFS('DETALLE CRONOLÓGICO'!$K$2:$K$4919,'DETALLE CRONOLÓGICO'!$A$2:$A$4919,$A462)</f>
        <v/>
      </c>
      <c r="M462" s="6">
        <f>INDEX('DETALLE CRONOLÓGICO'!$K$2:$K$4919,MATCH($A462,'DETALLE CRONOLÓGICO'!$A$2:$A$4919,0)+$E462-1)</f>
        <v/>
      </c>
      <c r="N462" s="7">
        <f>IFERROR($M462/INDEX('DETALLE CRONOLÓGICO'!$K$2:$K$4919,MATCH($A462,'DETALLE CRONOLÓGICO'!$A$2:$A$4919,0))-1,"")</f>
        <v/>
      </c>
      <c r="O462" s="6">
        <f>IFERROR($I462*3,"")</f>
        <v/>
      </c>
      <c r="P462" s="6">
        <f>IFERROR($I462*3.5,"")</f>
        <v/>
      </c>
      <c r="Q462" s="6">
        <f>IFERROR($I462*4,"")</f>
        <v/>
      </c>
      <c r="R462" s="6" t="n">
        <v>0</v>
      </c>
      <c r="S462" s="4" t="n">
        <v>0</v>
      </c>
      <c r="T462" s="1" t="inlineStr">
        <is>
          <t>draft</t>
        </is>
      </c>
      <c r="U462" s="8" t="n"/>
      <c r="V462" s="1" t="inlineStr">
        <is>
          <t>SIN PRECIO</t>
        </is>
      </c>
    </row>
    <row r="463">
      <c r="A463" s="1" t="inlineStr">
        <is>
          <t>29953902810253</t>
        </is>
      </c>
      <c r="B463" s="1" t="inlineStr">
        <is>
          <t>BOLSO YSL LOULOU BLACK GOLD</t>
        </is>
      </c>
      <c r="C463" s="1" t="n"/>
      <c r="D463" s="1" t="inlineStr">
        <is>
          <t>ZOEY</t>
        </is>
      </c>
      <c r="E463" s="4">
        <f>COUNTIF('DETALLE CRONOLÓGICO'!$A$2:$A$4919,$A463)</f>
        <v/>
      </c>
      <c r="F463" s="4">
        <f>SUMIFS('DETALLE CRONOLÓGICO'!$I$2:$I$4919,'DETALLE CRONOLÓGICO'!$A$2:$A$4919,$A463)</f>
        <v/>
      </c>
      <c r="G463" s="1">
        <f>INDEX('DETALLE CRONOLÓGICO'!$D$2:$D$4919,MATCH($A463,'DETALLE CRONOLÓGICO'!$A$2:$A$4919,0))</f>
        <v/>
      </c>
      <c r="H463" s="1">
        <f>INDEX('DETALLE CRONOLÓGICO'!$D$2:$D$4919,MATCH($A463,'DETALLE CRONOLÓGICO'!$A$2:$A$4919,0)+$E463-1)</f>
        <v/>
      </c>
      <c r="I463" s="5">
        <f>IFERROR(SUMIFS('DETALLE CRONOLÓGICO'!$L$2:$L$4919,'DETALLE CRONOLÓGICO'!$A$2:$A$4919,$A463)/$F463,"")</f>
        <v/>
      </c>
      <c r="J463" s="6">
        <f>IFERROR(SUMIFS('DETALLE CRONOLÓGICO'!$K$2:$K$4919,'DETALLE CRONOLÓGICO'!$A$2:$A$4919,$A463)/$E463,"")</f>
        <v/>
      </c>
      <c r="K463" s="6">
        <f>_xlfn.MINIFS('DETALLE CRONOLÓGICO'!$K$2:$K$4919,'DETALLE CRONOLÓGICO'!$A$2:$A$4919,$A463)</f>
        <v/>
      </c>
      <c r="L463" s="6">
        <f>_xlfn.MAXIFS('DETALLE CRONOLÓGICO'!$K$2:$K$4919,'DETALLE CRONOLÓGICO'!$A$2:$A$4919,$A463)</f>
        <v/>
      </c>
      <c r="M463" s="6">
        <f>INDEX('DETALLE CRONOLÓGICO'!$K$2:$K$4919,MATCH($A463,'DETALLE CRONOLÓGICO'!$A$2:$A$4919,0)+$E463-1)</f>
        <v/>
      </c>
      <c r="N463" s="7">
        <f>IFERROR($M463/INDEX('DETALLE CRONOLÓGICO'!$K$2:$K$4919,MATCH($A463,'DETALLE CRONOLÓGICO'!$A$2:$A$4919,0))-1,"")</f>
        <v/>
      </c>
      <c r="O463" s="6">
        <f>IFERROR($I463*3,"")</f>
        <v/>
      </c>
      <c r="P463" s="6">
        <f>IFERROR($I463*3.5,"")</f>
        <v/>
      </c>
      <c r="Q463" s="6">
        <f>IFERROR($I463*4,"")</f>
        <v/>
      </c>
      <c r="R463" s="6" t="n">
        <v>4999</v>
      </c>
      <c r="S463" s="4" t="n">
        <v>1</v>
      </c>
      <c r="T463" s="1" t="inlineStr">
        <is>
          <t>active</t>
        </is>
      </c>
      <c r="U463" s="8" t="n"/>
      <c r="V463" s="1" t="inlineStr">
        <is>
          <t>SIN PRECIO</t>
        </is>
      </c>
    </row>
    <row r="464">
      <c r="A464" s="1" t="inlineStr">
        <is>
          <t>29953902939629</t>
        </is>
      </c>
      <c r="B464" s="1" t="inlineStr">
        <is>
          <t>BOLSO YSL LOULOU WHITE</t>
        </is>
      </c>
      <c r="C464" s="1" t="n"/>
      <c r="D464" s="1" t="inlineStr">
        <is>
          <t>ZOEY</t>
        </is>
      </c>
      <c r="E464" s="4">
        <f>COUNTIF('DETALLE CRONOLÓGICO'!$A$2:$A$4919,$A464)</f>
        <v/>
      </c>
      <c r="F464" s="4">
        <f>SUMIFS('DETALLE CRONOLÓGICO'!$I$2:$I$4919,'DETALLE CRONOLÓGICO'!$A$2:$A$4919,$A464)</f>
        <v/>
      </c>
      <c r="G464" s="1">
        <f>INDEX('DETALLE CRONOLÓGICO'!$D$2:$D$4919,MATCH($A464,'DETALLE CRONOLÓGICO'!$A$2:$A$4919,0))</f>
        <v/>
      </c>
      <c r="H464" s="1">
        <f>INDEX('DETALLE CRONOLÓGICO'!$D$2:$D$4919,MATCH($A464,'DETALLE CRONOLÓGICO'!$A$2:$A$4919,0)+$E464-1)</f>
        <v/>
      </c>
      <c r="I464" s="5">
        <f>IFERROR(SUMIFS('DETALLE CRONOLÓGICO'!$L$2:$L$4919,'DETALLE CRONOLÓGICO'!$A$2:$A$4919,$A464)/$F464,"")</f>
        <v/>
      </c>
      <c r="J464" s="6">
        <f>IFERROR(SUMIFS('DETALLE CRONOLÓGICO'!$K$2:$K$4919,'DETALLE CRONOLÓGICO'!$A$2:$A$4919,$A464)/$E464,"")</f>
        <v/>
      </c>
      <c r="K464" s="6">
        <f>_xlfn.MINIFS('DETALLE CRONOLÓGICO'!$K$2:$K$4919,'DETALLE CRONOLÓGICO'!$A$2:$A$4919,$A464)</f>
        <v/>
      </c>
      <c r="L464" s="6">
        <f>_xlfn.MAXIFS('DETALLE CRONOLÓGICO'!$K$2:$K$4919,'DETALLE CRONOLÓGICO'!$A$2:$A$4919,$A464)</f>
        <v/>
      </c>
      <c r="M464" s="6">
        <f>INDEX('DETALLE CRONOLÓGICO'!$K$2:$K$4919,MATCH($A464,'DETALLE CRONOLÓGICO'!$A$2:$A$4919,0)+$E464-1)</f>
        <v/>
      </c>
      <c r="N464" s="7">
        <f>IFERROR($M464/INDEX('DETALLE CRONOLÓGICO'!$K$2:$K$4919,MATCH($A464,'DETALLE CRONOLÓGICO'!$A$2:$A$4919,0))-1,"")</f>
        <v/>
      </c>
      <c r="O464" s="6">
        <f>IFERROR($I464*3,"")</f>
        <v/>
      </c>
      <c r="P464" s="6">
        <f>IFERROR($I464*3.5,"")</f>
        <v/>
      </c>
      <c r="Q464" s="6">
        <f>IFERROR($I464*4,"")</f>
        <v/>
      </c>
      <c r="R464" s="6" t="n">
        <v>4810</v>
      </c>
      <c r="S464" s="4" t="n">
        <v>0</v>
      </c>
      <c r="T464" s="1" t="inlineStr">
        <is>
          <t>active</t>
        </is>
      </c>
      <c r="U464" s="8" t="n"/>
      <c r="V464" s="1" t="inlineStr">
        <is>
          <t>SIN PRECIO</t>
        </is>
      </c>
    </row>
    <row r="465">
      <c r="A465" s="1" t="inlineStr">
        <is>
          <t>29953903034541</t>
        </is>
      </c>
      <c r="B465" s="1" t="inlineStr">
        <is>
          <t>BOLSO YSL LOULOU BLACK SILVER</t>
        </is>
      </c>
      <c r="C465" s="1" t="n"/>
      <c r="D465" s="1" t="inlineStr">
        <is>
          <t>ZOEY</t>
        </is>
      </c>
      <c r="E465" s="4">
        <f>COUNTIF('DETALLE CRONOLÓGICO'!$A$2:$A$4919,$A465)</f>
        <v/>
      </c>
      <c r="F465" s="4">
        <f>SUMIFS('DETALLE CRONOLÓGICO'!$I$2:$I$4919,'DETALLE CRONOLÓGICO'!$A$2:$A$4919,$A465)</f>
        <v/>
      </c>
      <c r="G465" s="1">
        <f>INDEX('DETALLE CRONOLÓGICO'!$D$2:$D$4919,MATCH($A465,'DETALLE CRONOLÓGICO'!$A$2:$A$4919,0))</f>
        <v/>
      </c>
      <c r="H465" s="1">
        <f>INDEX('DETALLE CRONOLÓGICO'!$D$2:$D$4919,MATCH($A465,'DETALLE CRONOLÓGICO'!$A$2:$A$4919,0)+$E465-1)</f>
        <v/>
      </c>
      <c r="I465" s="5">
        <f>IFERROR(SUMIFS('DETALLE CRONOLÓGICO'!$L$2:$L$4919,'DETALLE CRONOLÓGICO'!$A$2:$A$4919,$A465)/$F465,"")</f>
        <v/>
      </c>
      <c r="J465" s="6">
        <f>IFERROR(SUMIFS('DETALLE CRONOLÓGICO'!$K$2:$K$4919,'DETALLE CRONOLÓGICO'!$A$2:$A$4919,$A465)/$E465,"")</f>
        <v/>
      </c>
      <c r="K465" s="6">
        <f>_xlfn.MINIFS('DETALLE CRONOLÓGICO'!$K$2:$K$4919,'DETALLE CRONOLÓGICO'!$A$2:$A$4919,$A465)</f>
        <v/>
      </c>
      <c r="L465" s="6">
        <f>_xlfn.MAXIFS('DETALLE CRONOLÓGICO'!$K$2:$K$4919,'DETALLE CRONOLÓGICO'!$A$2:$A$4919,$A465)</f>
        <v/>
      </c>
      <c r="M465" s="6">
        <f>INDEX('DETALLE CRONOLÓGICO'!$K$2:$K$4919,MATCH($A465,'DETALLE CRONOLÓGICO'!$A$2:$A$4919,0)+$E465-1)</f>
        <v/>
      </c>
      <c r="N465" s="7">
        <f>IFERROR($M465/INDEX('DETALLE CRONOLÓGICO'!$K$2:$K$4919,MATCH($A465,'DETALLE CRONOLÓGICO'!$A$2:$A$4919,0))-1,"")</f>
        <v/>
      </c>
      <c r="O465" s="6">
        <f>IFERROR($I465*3,"")</f>
        <v/>
      </c>
      <c r="P465" s="6">
        <f>IFERROR($I465*3.5,"")</f>
        <v/>
      </c>
      <c r="Q465" s="6">
        <f>IFERROR($I465*4,"")</f>
        <v/>
      </c>
      <c r="R465" s="6" t="n">
        <v>4810</v>
      </c>
      <c r="S465" s="4" t="n">
        <v>1</v>
      </c>
      <c r="T465" s="1" t="inlineStr">
        <is>
          <t>active</t>
        </is>
      </c>
      <c r="U465" s="8" t="n"/>
      <c r="V465" s="1" t="inlineStr">
        <is>
          <t>SIN PRECIO</t>
        </is>
      </c>
    </row>
    <row r="466">
      <c r="A466" s="1" t="inlineStr">
        <is>
          <t>29953903165613</t>
        </is>
      </c>
      <c r="B466" s="1" t="inlineStr">
        <is>
          <t>BOLSO YSL LOULOU BURGUNDY</t>
        </is>
      </c>
      <c r="C466" s="1" t="n"/>
      <c r="D466" s="1" t="inlineStr">
        <is>
          <t>ZOEY</t>
        </is>
      </c>
      <c r="E466" s="4">
        <f>COUNTIF('DETALLE CRONOLÓGICO'!$A$2:$A$4919,$A466)</f>
        <v/>
      </c>
      <c r="F466" s="4">
        <f>SUMIFS('DETALLE CRONOLÓGICO'!$I$2:$I$4919,'DETALLE CRONOLÓGICO'!$A$2:$A$4919,$A466)</f>
        <v/>
      </c>
      <c r="G466" s="1">
        <f>INDEX('DETALLE CRONOLÓGICO'!$D$2:$D$4919,MATCH($A466,'DETALLE CRONOLÓGICO'!$A$2:$A$4919,0))</f>
        <v/>
      </c>
      <c r="H466" s="1">
        <f>INDEX('DETALLE CRONOLÓGICO'!$D$2:$D$4919,MATCH($A466,'DETALLE CRONOLÓGICO'!$A$2:$A$4919,0)+$E466-1)</f>
        <v/>
      </c>
      <c r="I466" s="5">
        <f>IFERROR(SUMIFS('DETALLE CRONOLÓGICO'!$L$2:$L$4919,'DETALLE CRONOLÓGICO'!$A$2:$A$4919,$A466)/$F466,"")</f>
        <v/>
      </c>
      <c r="J466" s="6">
        <f>IFERROR(SUMIFS('DETALLE CRONOLÓGICO'!$K$2:$K$4919,'DETALLE CRONOLÓGICO'!$A$2:$A$4919,$A466)/$E466,"")</f>
        <v/>
      </c>
      <c r="K466" s="6">
        <f>_xlfn.MINIFS('DETALLE CRONOLÓGICO'!$K$2:$K$4919,'DETALLE CRONOLÓGICO'!$A$2:$A$4919,$A466)</f>
        <v/>
      </c>
      <c r="L466" s="6">
        <f>_xlfn.MAXIFS('DETALLE CRONOLÓGICO'!$K$2:$K$4919,'DETALLE CRONOLÓGICO'!$A$2:$A$4919,$A466)</f>
        <v/>
      </c>
      <c r="M466" s="6">
        <f>INDEX('DETALLE CRONOLÓGICO'!$K$2:$K$4919,MATCH($A466,'DETALLE CRONOLÓGICO'!$A$2:$A$4919,0)+$E466-1)</f>
        <v/>
      </c>
      <c r="N466" s="7">
        <f>IFERROR($M466/INDEX('DETALLE CRONOLÓGICO'!$K$2:$K$4919,MATCH($A466,'DETALLE CRONOLÓGICO'!$A$2:$A$4919,0))-1,"")</f>
        <v/>
      </c>
      <c r="O466" s="6">
        <f>IFERROR($I466*3,"")</f>
        <v/>
      </c>
      <c r="P466" s="6">
        <f>IFERROR($I466*3.5,"")</f>
        <v/>
      </c>
      <c r="Q466" s="6">
        <f>IFERROR($I466*4,"")</f>
        <v/>
      </c>
      <c r="R466" s="6" t="n">
        <v>5799</v>
      </c>
      <c r="S466" s="4" t="n">
        <v>1</v>
      </c>
      <c r="T466" s="1" t="inlineStr">
        <is>
          <t>active</t>
        </is>
      </c>
      <c r="U466" s="8" t="n"/>
      <c r="V466" s="1" t="inlineStr">
        <is>
          <t>SIN PRECIO</t>
        </is>
      </c>
    </row>
    <row r="467">
      <c r="A467" s="1" t="inlineStr">
        <is>
          <t>29953903227757</t>
        </is>
      </c>
      <c r="B467" s="1" t="inlineStr">
        <is>
          <t>BOLSO YSL KATE CLASSIC</t>
        </is>
      </c>
      <c r="C467" s="1" t="n"/>
      <c r="D467" s="1" t="inlineStr">
        <is>
          <t>ZOEY</t>
        </is>
      </c>
      <c r="E467" s="4">
        <f>COUNTIF('DETALLE CRONOLÓGICO'!$A$2:$A$4919,$A467)</f>
        <v/>
      </c>
      <c r="F467" s="4">
        <f>SUMIFS('DETALLE CRONOLÓGICO'!$I$2:$I$4919,'DETALLE CRONOLÓGICO'!$A$2:$A$4919,$A467)</f>
        <v/>
      </c>
      <c r="G467" s="1">
        <f>INDEX('DETALLE CRONOLÓGICO'!$D$2:$D$4919,MATCH($A467,'DETALLE CRONOLÓGICO'!$A$2:$A$4919,0))</f>
        <v/>
      </c>
      <c r="H467" s="1">
        <f>INDEX('DETALLE CRONOLÓGICO'!$D$2:$D$4919,MATCH($A467,'DETALLE CRONOLÓGICO'!$A$2:$A$4919,0)+$E467-1)</f>
        <v/>
      </c>
      <c r="I467" s="5">
        <f>IFERROR(SUMIFS('DETALLE CRONOLÓGICO'!$L$2:$L$4919,'DETALLE CRONOLÓGICO'!$A$2:$A$4919,$A467)/$F467,"")</f>
        <v/>
      </c>
      <c r="J467" s="6">
        <f>IFERROR(SUMIFS('DETALLE CRONOLÓGICO'!$K$2:$K$4919,'DETALLE CRONOLÓGICO'!$A$2:$A$4919,$A467)/$E467,"")</f>
        <v/>
      </c>
      <c r="K467" s="6">
        <f>_xlfn.MINIFS('DETALLE CRONOLÓGICO'!$K$2:$K$4919,'DETALLE CRONOLÓGICO'!$A$2:$A$4919,$A467)</f>
        <v/>
      </c>
      <c r="L467" s="6">
        <f>_xlfn.MAXIFS('DETALLE CRONOLÓGICO'!$K$2:$K$4919,'DETALLE CRONOLÓGICO'!$A$2:$A$4919,$A467)</f>
        <v/>
      </c>
      <c r="M467" s="6">
        <f>INDEX('DETALLE CRONOLÓGICO'!$K$2:$K$4919,MATCH($A467,'DETALLE CRONOLÓGICO'!$A$2:$A$4919,0)+$E467-1)</f>
        <v/>
      </c>
      <c r="N467" s="7">
        <f>IFERROR($M467/INDEX('DETALLE CRONOLÓGICO'!$K$2:$K$4919,MATCH($A467,'DETALLE CRONOLÓGICO'!$A$2:$A$4919,0))-1,"")</f>
        <v/>
      </c>
      <c r="O467" s="6">
        <f>IFERROR($I467*3,"")</f>
        <v/>
      </c>
      <c r="P467" s="6">
        <f>IFERROR($I467*3.5,"")</f>
        <v/>
      </c>
      <c r="Q467" s="6">
        <f>IFERROR($I467*4,"")</f>
        <v/>
      </c>
      <c r="R467" s="6" t="n">
        <v>4850</v>
      </c>
      <c r="S467" s="4" t="n">
        <v>1</v>
      </c>
      <c r="T467" s="1" t="inlineStr">
        <is>
          <t>active</t>
        </is>
      </c>
      <c r="U467" s="8" t="n"/>
      <c r="V467" s="1" t="inlineStr">
        <is>
          <t>SIN PRECIO</t>
        </is>
      </c>
    </row>
    <row r="468">
      <c r="A468" s="1" t="inlineStr">
        <is>
          <t>29953903326061</t>
        </is>
      </c>
      <c r="B468" s="1" t="inlineStr">
        <is>
          <t>BOLSO YSL GABY VANITY</t>
        </is>
      </c>
      <c r="C468" s="1" t="n"/>
      <c r="D468" s="1" t="inlineStr">
        <is>
          <t>ZOEY</t>
        </is>
      </c>
      <c r="E468" s="4">
        <f>COUNTIF('DETALLE CRONOLÓGICO'!$A$2:$A$4919,$A468)</f>
        <v/>
      </c>
      <c r="F468" s="4">
        <f>SUMIFS('DETALLE CRONOLÓGICO'!$I$2:$I$4919,'DETALLE CRONOLÓGICO'!$A$2:$A$4919,$A468)</f>
        <v/>
      </c>
      <c r="G468" s="1">
        <f>INDEX('DETALLE CRONOLÓGICO'!$D$2:$D$4919,MATCH($A468,'DETALLE CRONOLÓGICO'!$A$2:$A$4919,0))</f>
        <v/>
      </c>
      <c r="H468" s="1">
        <f>INDEX('DETALLE CRONOLÓGICO'!$D$2:$D$4919,MATCH($A468,'DETALLE CRONOLÓGICO'!$A$2:$A$4919,0)+$E468-1)</f>
        <v/>
      </c>
      <c r="I468" s="5">
        <f>IFERROR(SUMIFS('DETALLE CRONOLÓGICO'!$L$2:$L$4919,'DETALLE CRONOLÓGICO'!$A$2:$A$4919,$A468)/$F468,"")</f>
        <v/>
      </c>
      <c r="J468" s="6">
        <f>IFERROR(SUMIFS('DETALLE CRONOLÓGICO'!$K$2:$K$4919,'DETALLE CRONOLÓGICO'!$A$2:$A$4919,$A468)/$E468,"")</f>
        <v/>
      </c>
      <c r="K468" s="6">
        <f>_xlfn.MINIFS('DETALLE CRONOLÓGICO'!$K$2:$K$4919,'DETALLE CRONOLÓGICO'!$A$2:$A$4919,$A468)</f>
        <v/>
      </c>
      <c r="L468" s="6">
        <f>_xlfn.MAXIFS('DETALLE CRONOLÓGICO'!$K$2:$K$4919,'DETALLE CRONOLÓGICO'!$A$2:$A$4919,$A468)</f>
        <v/>
      </c>
      <c r="M468" s="6">
        <f>INDEX('DETALLE CRONOLÓGICO'!$K$2:$K$4919,MATCH($A468,'DETALLE CRONOLÓGICO'!$A$2:$A$4919,0)+$E468-1)</f>
        <v/>
      </c>
      <c r="N468" s="7">
        <f>IFERROR($M468/INDEX('DETALLE CRONOLÓGICO'!$K$2:$K$4919,MATCH($A468,'DETALLE CRONOLÓGICO'!$A$2:$A$4919,0))-1,"")</f>
        <v/>
      </c>
      <c r="O468" s="6">
        <f>IFERROR($I468*3,"")</f>
        <v/>
      </c>
      <c r="P468" s="6">
        <f>IFERROR($I468*3.5,"")</f>
        <v/>
      </c>
      <c r="Q468" s="6">
        <f>IFERROR($I468*4,"")</f>
        <v/>
      </c>
      <c r="R468" s="6" t="n">
        <v>3999</v>
      </c>
      <c r="S468" s="4" t="n">
        <v>0</v>
      </c>
      <c r="T468" s="1" t="inlineStr">
        <is>
          <t>active</t>
        </is>
      </c>
      <c r="U468" s="8" t="n"/>
      <c r="V468" s="1" t="inlineStr">
        <is>
          <t>SIN PRECIO</t>
        </is>
      </c>
    </row>
    <row r="469">
      <c r="A469" s="1" t="inlineStr">
        <is>
          <t>29953903457133</t>
        </is>
      </c>
      <c r="B469" s="1" t="inlineStr">
        <is>
          <t>BOLSO YSL SAC DE JOUR</t>
        </is>
      </c>
      <c r="C469" s="1" t="n"/>
      <c r="D469" s="1" t="inlineStr">
        <is>
          <t>ZOEY</t>
        </is>
      </c>
      <c r="E469" s="4">
        <f>COUNTIF('DETALLE CRONOLÓGICO'!$A$2:$A$4919,$A469)</f>
        <v/>
      </c>
      <c r="F469" s="4">
        <f>SUMIFS('DETALLE CRONOLÓGICO'!$I$2:$I$4919,'DETALLE CRONOLÓGICO'!$A$2:$A$4919,$A469)</f>
        <v/>
      </c>
      <c r="G469" s="1">
        <f>INDEX('DETALLE CRONOLÓGICO'!$D$2:$D$4919,MATCH($A469,'DETALLE CRONOLÓGICO'!$A$2:$A$4919,0))</f>
        <v/>
      </c>
      <c r="H469" s="1">
        <f>INDEX('DETALLE CRONOLÓGICO'!$D$2:$D$4919,MATCH($A469,'DETALLE CRONOLÓGICO'!$A$2:$A$4919,0)+$E469-1)</f>
        <v/>
      </c>
      <c r="I469" s="5">
        <f>IFERROR(SUMIFS('DETALLE CRONOLÓGICO'!$L$2:$L$4919,'DETALLE CRONOLÓGICO'!$A$2:$A$4919,$A469)/$F469,"")</f>
        <v/>
      </c>
      <c r="J469" s="6">
        <f>IFERROR(SUMIFS('DETALLE CRONOLÓGICO'!$K$2:$K$4919,'DETALLE CRONOLÓGICO'!$A$2:$A$4919,$A469)/$E469,"")</f>
        <v/>
      </c>
      <c r="K469" s="6">
        <f>_xlfn.MINIFS('DETALLE CRONOLÓGICO'!$K$2:$K$4919,'DETALLE CRONOLÓGICO'!$A$2:$A$4919,$A469)</f>
        <v/>
      </c>
      <c r="L469" s="6">
        <f>_xlfn.MAXIFS('DETALLE CRONOLÓGICO'!$K$2:$K$4919,'DETALLE CRONOLÓGICO'!$A$2:$A$4919,$A469)</f>
        <v/>
      </c>
      <c r="M469" s="6">
        <f>INDEX('DETALLE CRONOLÓGICO'!$K$2:$K$4919,MATCH($A469,'DETALLE CRONOLÓGICO'!$A$2:$A$4919,0)+$E469-1)</f>
        <v/>
      </c>
      <c r="N469" s="7">
        <f>IFERROR($M469/INDEX('DETALLE CRONOLÓGICO'!$K$2:$K$4919,MATCH($A469,'DETALLE CRONOLÓGICO'!$A$2:$A$4919,0))-1,"")</f>
        <v/>
      </c>
      <c r="O469" s="6">
        <f>IFERROR($I469*3,"")</f>
        <v/>
      </c>
      <c r="P469" s="6">
        <f>IFERROR($I469*3.5,"")</f>
        <v/>
      </c>
      <c r="Q469" s="6">
        <f>IFERROR($I469*4,"")</f>
        <v/>
      </c>
      <c r="R469" s="6" t="n">
        <v>7299</v>
      </c>
      <c r="S469" s="4" t="n">
        <v>1</v>
      </c>
      <c r="T469" s="1" t="inlineStr">
        <is>
          <t>active</t>
        </is>
      </c>
      <c r="U469" s="8" t="n"/>
      <c r="V469" s="1" t="inlineStr">
        <is>
          <t>SIN PRECIO</t>
        </is>
      </c>
    </row>
    <row r="470">
      <c r="A470" s="1" t="inlineStr">
        <is>
          <t>29973521015533</t>
        </is>
      </c>
      <c r="B470" s="1" t="inlineStr">
        <is>
          <t>ANILLO TRÉBOL SILVER</t>
        </is>
      </c>
      <c r="C470" s="1" t="inlineStr">
        <is>
          <t>6</t>
        </is>
      </c>
      <c r="D470" s="1" t="inlineStr">
        <is>
          <t>HAIFENG</t>
        </is>
      </c>
      <c r="E470" s="4">
        <f>COUNTIF('DETALLE CRONOLÓGICO'!$A$2:$A$4919,$A470)</f>
        <v/>
      </c>
      <c r="F470" s="4">
        <f>SUMIFS('DETALLE CRONOLÓGICO'!$I$2:$I$4919,'DETALLE CRONOLÓGICO'!$A$2:$A$4919,$A470)</f>
        <v/>
      </c>
      <c r="G470" s="1">
        <f>INDEX('DETALLE CRONOLÓGICO'!$D$2:$D$4919,MATCH($A470,'DETALLE CRONOLÓGICO'!$A$2:$A$4919,0))</f>
        <v/>
      </c>
      <c r="H470" s="1">
        <f>INDEX('DETALLE CRONOLÓGICO'!$D$2:$D$4919,MATCH($A470,'DETALLE CRONOLÓGICO'!$A$2:$A$4919,0)+$E470-1)</f>
        <v/>
      </c>
      <c r="I470" s="5">
        <f>IFERROR(SUMIFS('DETALLE CRONOLÓGICO'!$L$2:$L$4919,'DETALLE CRONOLÓGICO'!$A$2:$A$4919,$A470)/$F470,"")</f>
        <v/>
      </c>
      <c r="J470" s="6">
        <f>IFERROR(SUMIFS('DETALLE CRONOLÓGICO'!$K$2:$K$4919,'DETALLE CRONOLÓGICO'!$A$2:$A$4919,$A470)/$E470,"")</f>
        <v/>
      </c>
      <c r="K470" s="6">
        <f>_xlfn.MINIFS('DETALLE CRONOLÓGICO'!$K$2:$K$4919,'DETALLE CRONOLÓGICO'!$A$2:$A$4919,$A470)</f>
        <v/>
      </c>
      <c r="L470" s="6">
        <f>_xlfn.MAXIFS('DETALLE CRONOLÓGICO'!$K$2:$K$4919,'DETALLE CRONOLÓGICO'!$A$2:$A$4919,$A470)</f>
        <v/>
      </c>
      <c r="M470" s="6">
        <f>INDEX('DETALLE CRONOLÓGICO'!$K$2:$K$4919,MATCH($A470,'DETALLE CRONOLÓGICO'!$A$2:$A$4919,0)+$E470-1)</f>
        <v/>
      </c>
      <c r="N470" s="7">
        <f>IFERROR($M470/INDEX('DETALLE CRONOLÓGICO'!$K$2:$K$4919,MATCH($A470,'DETALLE CRONOLÓGICO'!$A$2:$A$4919,0))-1,"")</f>
        <v/>
      </c>
      <c r="O470" s="6">
        <f>IFERROR($I470*3,"")</f>
        <v/>
      </c>
      <c r="P470" s="6">
        <f>IFERROR($I470*3.5,"")</f>
        <v/>
      </c>
      <c r="Q470" s="6">
        <f>IFERROR($I470*4,"")</f>
        <v/>
      </c>
      <c r="R470" s="6" t="n">
        <v>599</v>
      </c>
      <c r="S470" s="4" t="n">
        <v>1</v>
      </c>
      <c r="T470" s="1" t="inlineStr">
        <is>
          <t>active</t>
        </is>
      </c>
      <c r="U470" s="8" t="n"/>
      <c r="V470" s="1" t="inlineStr">
        <is>
          <t>SIN PRECIO</t>
        </is>
      </c>
    </row>
    <row r="471">
      <c r="A471" s="1" t="inlineStr">
        <is>
          <t>30410821083277</t>
        </is>
      </c>
      <c r="B471" s="1" t="inlineStr">
        <is>
          <t>PULSERA KNOT ONE GOLD CON ZIRCONIA</t>
        </is>
      </c>
      <c r="C471" s="1" t="inlineStr">
        <is>
          <t>Default Title</t>
        </is>
      </c>
      <c r="D471" s="1" t="inlineStr">
        <is>
          <t>HAIFENG</t>
        </is>
      </c>
      <c r="E471" s="4">
        <f>COUNTIF('DETALLE CRONOLÓGICO'!$A$2:$A$4919,$A471)</f>
        <v/>
      </c>
      <c r="F471" s="4">
        <f>SUMIFS('DETALLE CRONOLÓGICO'!$I$2:$I$4919,'DETALLE CRONOLÓGICO'!$A$2:$A$4919,$A471)</f>
        <v/>
      </c>
      <c r="G471" s="1">
        <f>INDEX('DETALLE CRONOLÓGICO'!$D$2:$D$4919,MATCH($A471,'DETALLE CRONOLÓGICO'!$A$2:$A$4919,0))</f>
        <v/>
      </c>
      <c r="H471" s="1">
        <f>INDEX('DETALLE CRONOLÓGICO'!$D$2:$D$4919,MATCH($A471,'DETALLE CRONOLÓGICO'!$A$2:$A$4919,0)+$E471-1)</f>
        <v/>
      </c>
      <c r="I471" s="5">
        <f>IFERROR(SUMIFS('DETALLE CRONOLÓGICO'!$L$2:$L$4919,'DETALLE CRONOLÓGICO'!$A$2:$A$4919,$A471)/$F471,"")</f>
        <v/>
      </c>
      <c r="J471" s="6">
        <f>IFERROR(SUMIFS('DETALLE CRONOLÓGICO'!$K$2:$K$4919,'DETALLE CRONOLÓGICO'!$A$2:$A$4919,$A471)/$E471,"")</f>
        <v/>
      </c>
      <c r="K471" s="6">
        <f>_xlfn.MINIFS('DETALLE CRONOLÓGICO'!$K$2:$K$4919,'DETALLE CRONOLÓGICO'!$A$2:$A$4919,$A471)</f>
        <v/>
      </c>
      <c r="L471" s="6">
        <f>_xlfn.MAXIFS('DETALLE CRONOLÓGICO'!$K$2:$K$4919,'DETALLE CRONOLÓGICO'!$A$2:$A$4919,$A471)</f>
        <v/>
      </c>
      <c r="M471" s="6">
        <f>INDEX('DETALLE CRONOLÓGICO'!$K$2:$K$4919,MATCH($A471,'DETALLE CRONOLÓGICO'!$A$2:$A$4919,0)+$E471-1)</f>
        <v/>
      </c>
      <c r="N471" s="7">
        <f>IFERROR($M471/INDEX('DETALLE CRONOLÓGICO'!$K$2:$K$4919,MATCH($A471,'DETALLE CRONOLÓGICO'!$A$2:$A$4919,0))-1,"")</f>
        <v/>
      </c>
      <c r="O471" s="6">
        <f>IFERROR($I471*3,"")</f>
        <v/>
      </c>
      <c r="P471" s="6">
        <f>IFERROR($I471*3.5,"")</f>
        <v/>
      </c>
      <c r="Q471" s="6">
        <f>IFERROR($I471*4,"")</f>
        <v/>
      </c>
      <c r="R471" s="6" t="n">
        <v>535</v>
      </c>
      <c r="S471" s="4" t="n">
        <v>1</v>
      </c>
      <c r="T471" s="1" t="inlineStr">
        <is>
          <t>active</t>
        </is>
      </c>
      <c r="U471" s="8" t="n"/>
      <c r="V471" s="1" t="inlineStr">
        <is>
          <t>SIN PRECIO</t>
        </is>
      </c>
    </row>
    <row r="472">
      <c r="A472" s="1" t="inlineStr">
        <is>
          <t>30615281046477</t>
        </is>
      </c>
      <c r="B472" s="1" t="inlineStr">
        <is>
          <t>ANILLO T SERPIENTE GOLD</t>
        </is>
      </c>
      <c r="C472" s="1" t="inlineStr">
        <is>
          <t>6</t>
        </is>
      </c>
      <c r="D472" s="1" t="inlineStr">
        <is>
          <t>HAIFENG</t>
        </is>
      </c>
      <c r="E472" s="4">
        <f>COUNTIF('DETALLE CRONOLÓGICO'!$A$2:$A$4919,$A472)</f>
        <v/>
      </c>
      <c r="F472" s="4">
        <f>SUMIFS('DETALLE CRONOLÓGICO'!$I$2:$I$4919,'DETALLE CRONOLÓGICO'!$A$2:$A$4919,$A472)</f>
        <v/>
      </c>
      <c r="G472" s="1">
        <f>INDEX('DETALLE CRONOLÓGICO'!$D$2:$D$4919,MATCH($A472,'DETALLE CRONOLÓGICO'!$A$2:$A$4919,0))</f>
        <v/>
      </c>
      <c r="H472" s="1">
        <f>INDEX('DETALLE CRONOLÓGICO'!$D$2:$D$4919,MATCH($A472,'DETALLE CRONOLÓGICO'!$A$2:$A$4919,0)+$E472-1)</f>
        <v/>
      </c>
      <c r="I472" s="5">
        <f>IFERROR(SUMIFS('DETALLE CRONOLÓGICO'!$L$2:$L$4919,'DETALLE CRONOLÓGICO'!$A$2:$A$4919,$A472)/$F472,"")</f>
        <v/>
      </c>
      <c r="J472" s="6">
        <f>IFERROR(SUMIFS('DETALLE CRONOLÓGICO'!$K$2:$K$4919,'DETALLE CRONOLÓGICO'!$A$2:$A$4919,$A472)/$E472,"")</f>
        <v/>
      </c>
      <c r="K472" s="6">
        <f>_xlfn.MINIFS('DETALLE CRONOLÓGICO'!$K$2:$K$4919,'DETALLE CRONOLÓGICO'!$A$2:$A$4919,$A472)</f>
        <v/>
      </c>
      <c r="L472" s="6">
        <f>_xlfn.MAXIFS('DETALLE CRONOLÓGICO'!$K$2:$K$4919,'DETALLE CRONOLÓGICO'!$A$2:$A$4919,$A472)</f>
        <v/>
      </c>
      <c r="M472" s="6">
        <f>INDEX('DETALLE CRONOLÓGICO'!$K$2:$K$4919,MATCH($A472,'DETALLE CRONOLÓGICO'!$A$2:$A$4919,0)+$E472-1)</f>
        <v/>
      </c>
      <c r="N472" s="7">
        <f>IFERROR($M472/INDEX('DETALLE CRONOLÓGICO'!$K$2:$K$4919,MATCH($A472,'DETALLE CRONOLÓGICO'!$A$2:$A$4919,0))-1,"")</f>
        <v/>
      </c>
      <c r="O472" s="6">
        <f>IFERROR($I472*3,"")</f>
        <v/>
      </c>
      <c r="P472" s="6">
        <f>IFERROR($I472*3.5,"")</f>
        <v/>
      </c>
      <c r="Q472" s="6">
        <f>IFERROR($I472*4,"")</f>
        <v/>
      </c>
      <c r="R472" s="6" t="n">
        <v>600</v>
      </c>
      <c r="S472" s="4" t="n">
        <v>3</v>
      </c>
      <c r="T472" s="1" t="inlineStr">
        <is>
          <t>active</t>
        </is>
      </c>
      <c r="U472" s="8" t="n"/>
      <c r="V472" s="1" t="inlineStr">
        <is>
          <t>SIN PRECIO</t>
        </is>
      </c>
    </row>
    <row r="473">
      <c r="A473" s="1" t="inlineStr">
        <is>
          <t>31058341012141</t>
        </is>
      </c>
      <c r="B473" s="1" t="inlineStr">
        <is>
          <t>ANILLO KNOT DOBLE SILVER ZIRCONIAS</t>
        </is>
      </c>
      <c r="C473" s="1" t="inlineStr">
        <is>
          <t>7</t>
        </is>
      </c>
      <c r="D473" s="1" t="inlineStr">
        <is>
          <t>HAIFENG</t>
        </is>
      </c>
      <c r="E473" s="4">
        <f>COUNTIF('DETALLE CRONOLÓGICO'!$A$2:$A$4919,$A473)</f>
        <v/>
      </c>
      <c r="F473" s="4">
        <f>SUMIFS('DETALLE CRONOLÓGICO'!$I$2:$I$4919,'DETALLE CRONOLÓGICO'!$A$2:$A$4919,$A473)</f>
        <v/>
      </c>
      <c r="G473" s="1">
        <f>INDEX('DETALLE CRONOLÓGICO'!$D$2:$D$4919,MATCH($A473,'DETALLE CRONOLÓGICO'!$A$2:$A$4919,0))</f>
        <v/>
      </c>
      <c r="H473" s="1">
        <f>INDEX('DETALLE CRONOLÓGICO'!$D$2:$D$4919,MATCH($A473,'DETALLE CRONOLÓGICO'!$A$2:$A$4919,0)+$E473-1)</f>
        <v/>
      </c>
      <c r="I473" s="5">
        <f>IFERROR(SUMIFS('DETALLE CRONOLÓGICO'!$L$2:$L$4919,'DETALLE CRONOLÓGICO'!$A$2:$A$4919,$A473)/$F473,"")</f>
        <v/>
      </c>
      <c r="J473" s="6">
        <f>IFERROR(SUMIFS('DETALLE CRONOLÓGICO'!$K$2:$K$4919,'DETALLE CRONOLÓGICO'!$A$2:$A$4919,$A473)/$E473,"")</f>
        <v/>
      </c>
      <c r="K473" s="6">
        <f>_xlfn.MINIFS('DETALLE CRONOLÓGICO'!$K$2:$K$4919,'DETALLE CRONOLÓGICO'!$A$2:$A$4919,$A473)</f>
        <v/>
      </c>
      <c r="L473" s="6">
        <f>_xlfn.MAXIFS('DETALLE CRONOLÓGICO'!$K$2:$K$4919,'DETALLE CRONOLÓGICO'!$A$2:$A$4919,$A473)</f>
        <v/>
      </c>
      <c r="M473" s="6">
        <f>INDEX('DETALLE CRONOLÓGICO'!$K$2:$K$4919,MATCH($A473,'DETALLE CRONOLÓGICO'!$A$2:$A$4919,0)+$E473-1)</f>
        <v/>
      </c>
      <c r="N473" s="7">
        <f>IFERROR($M473/INDEX('DETALLE CRONOLÓGICO'!$K$2:$K$4919,MATCH($A473,'DETALLE CRONOLÓGICO'!$A$2:$A$4919,0))-1,"")</f>
        <v/>
      </c>
      <c r="O473" s="6">
        <f>IFERROR($I473*3,"")</f>
        <v/>
      </c>
      <c r="P473" s="6">
        <f>IFERROR($I473*3.5,"")</f>
        <v/>
      </c>
      <c r="Q473" s="6">
        <f>IFERROR($I473*4,"")</f>
        <v/>
      </c>
      <c r="R473" s="6" t="n">
        <v>550</v>
      </c>
      <c r="S473" s="4" t="n">
        <v>1</v>
      </c>
      <c r="T473" s="1" t="inlineStr">
        <is>
          <t>active</t>
        </is>
      </c>
      <c r="U473" s="8" t="n"/>
      <c r="V473" s="1" t="inlineStr">
        <is>
          <t>SIN PRECIO</t>
        </is>
      </c>
    </row>
    <row r="474">
      <c r="A474" s="1" t="inlineStr">
        <is>
          <t>31058341012142</t>
        </is>
      </c>
      <c r="B474" s="1" t="inlineStr">
        <is>
          <t>ANILLO KNOT DOBLE SILVER ZIRCONIAS</t>
        </is>
      </c>
      <c r="C474" s="1" t="inlineStr">
        <is>
          <t>8</t>
        </is>
      </c>
      <c r="D474" s="1" t="inlineStr">
        <is>
          <t>HAIFENG</t>
        </is>
      </c>
      <c r="E474" s="4">
        <f>COUNTIF('DETALLE CRONOLÓGICO'!$A$2:$A$4919,$A474)</f>
        <v/>
      </c>
      <c r="F474" s="4">
        <f>SUMIFS('DETALLE CRONOLÓGICO'!$I$2:$I$4919,'DETALLE CRONOLÓGICO'!$A$2:$A$4919,$A474)</f>
        <v/>
      </c>
      <c r="G474" s="1">
        <f>INDEX('DETALLE CRONOLÓGICO'!$D$2:$D$4919,MATCH($A474,'DETALLE CRONOLÓGICO'!$A$2:$A$4919,0))</f>
        <v/>
      </c>
      <c r="H474" s="1">
        <f>INDEX('DETALLE CRONOLÓGICO'!$D$2:$D$4919,MATCH($A474,'DETALLE CRONOLÓGICO'!$A$2:$A$4919,0)+$E474-1)</f>
        <v/>
      </c>
      <c r="I474" s="5">
        <f>IFERROR(SUMIFS('DETALLE CRONOLÓGICO'!$L$2:$L$4919,'DETALLE CRONOLÓGICO'!$A$2:$A$4919,$A474)/$F474,"")</f>
        <v/>
      </c>
      <c r="J474" s="6">
        <f>IFERROR(SUMIFS('DETALLE CRONOLÓGICO'!$K$2:$K$4919,'DETALLE CRONOLÓGICO'!$A$2:$A$4919,$A474)/$E474,"")</f>
        <v/>
      </c>
      <c r="K474" s="6">
        <f>_xlfn.MINIFS('DETALLE CRONOLÓGICO'!$K$2:$K$4919,'DETALLE CRONOLÓGICO'!$A$2:$A$4919,$A474)</f>
        <v/>
      </c>
      <c r="L474" s="6">
        <f>_xlfn.MAXIFS('DETALLE CRONOLÓGICO'!$K$2:$K$4919,'DETALLE CRONOLÓGICO'!$A$2:$A$4919,$A474)</f>
        <v/>
      </c>
      <c r="M474" s="6">
        <f>INDEX('DETALLE CRONOLÓGICO'!$K$2:$K$4919,MATCH($A474,'DETALLE CRONOLÓGICO'!$A$2:$A$4919,0)+$E474-1)</f>
        <v/>
      </c>
      <c r="N474" s="7">
        <f>IFERROR($M474/INDEX('DETALLE CRONOLÓGICO'!$K$2:$K$4919,MATCH($A474,'DETALLE CRONOLÓGICO'!$A$2:$A$4919,0))-1,"")</f>
        <v/>
      </c>
      <c r="O474" s="6">
        <f>IFERROR($I474*3,"")</f>
        <v/>
      </c>
      <c r="P474" s="6">
        <f>IFERROR($I474*3.5,"")</f>
        <v/>
      </c>
      <c r="Q474" s="6">
        <f>IFERROR($I474*4,"")</f>
        <v/>
      </c>
      <c r="R474" s="6" t="n">
        <v>550</v>
      </c>
      <c r="S474" s="4" t="n">
        <v>1</v>
      </c>
      <c r="T474" s="1" t="inlineStr">
        <is>
          <t>active</t>
        </is>
      </c>
      <c r="U474" s="8" t="n"/>
      <c r="V474" s="1" t="inlineStr">
        <is>
          <t>SIN PRECIO</t>
        </is>
      </c>
    </row>
    <row r="475">
      <c r="A475" s="1" t="inlineStr">
        <is>
          <t>31078752039597</t>
        </is>
      </c>
      <c r="B475" s="1" t="inlineStr">
        <is>
          <t>ARETES C SILVER ZIRCONIAS</t>
        </is>
      </c>
      <c r="C475" s="1" t="inlineStr">
        <is>
          <t>Default Title</t>
        </is>
      </c>
      <c r="D475" s="1" t="inlineStr">
        <is>
          <t>HAIFENG</t>
        </is>
      </c>
      <c r="E475" s="4">
        <f>COUNTIF('DETALLE CRONOLÓGICO'!$A$2:$A$4919,$A475)</f>
        <v/>
      </c>
      <c r="F475" s="4">
        <f>SUMIFS('DETALLE CRONOLÓGICO'!$I$2:$I$4919,'DETALLE CRONOLÓGICO'!$A$2:$A$4919,$A475)</f>
        <v/>
      </c>
      <c r="G475" s="1">
        <f>INDEX('DETALLE CRONOLÓGICO'!$D$2:$D$4919,MATCH($A475,'DETALLE CRONOLÓGICO'!$A$2:$A$4919,0))</f>
        <v/>
      </c>
      <c r="H475" s="1">
        <f>INDEX('DETALLE CRONOLÓGICO'!$D$2:$D$4919,MATCH($A475,'DETALLE CRONOLÓGICO'!$A$2:$A$4919,0)+$E475-1)</f>
        <v/>
      </c>
      <c r="I475" s="5">
        <f>IFERROR(SUMIFS('DETALLE CRONOLÓGICO'!$L$2:$L$4919,'DETALLE CRONOLÓGICO'!$A$2:$A$4919,$A475)/$F475,"")</f>
        <v/>
      </c>
      <c r="J475" s="6">
        <f>IFERROR(SUMIFS('DETALLE CRONOLÓGICO'!$K$2:$K$4919,'DETALLE CRONOLÓGICO'!$A$2:$A$4919,$A475)/$E475,"")</f>
        <v/>
      </c>
      <c r="K475" s="6">
        <f>_xlfn.MINIFS('DETALLE CRONOLÓGICO'!$K$2:$K$4919,'DETALLE CRONOLÓGICO'!$A$2:$A$4919,$A475)</f>
        <v/>
      </c>
      <c r="L475" s="6">
        <f>_xlfn.MAXIFS('DETALLE CRONOLÓGICO'!$K$2:$K$4919,'DETALLE CRONOLÓGICO'!$A$2:$A$4919,$A475)</f>
        <v/>
      </c>
      <c r="M475" s="6">
        <f>INDEX('DETALLE CRONOLÓGICO'!$K$2:$K$4919,MATCH($A475,'DETALLE CRONOLÓGICO'!$A$2:$A$4919,0)+$E475-1)</f>
        <v/>
      </c>
      <c r="N475" s="7">
        <f>IFERROR($M475/INDEX('DETALLE CRONOLÓGICO'!$K$2:$K$4919,MATCH($A475,'DETALLE CRONOLÓGICO'!$A$2:$A$4919,0))-1,"")</f>
        <v/>
      </c>
      <c r="O475" s="6">
        <f>IFERROR($I475*3,"")</f>
        <v/>
      </c>
      <c r="P475" s="6">
        <f>IFERROR($I475*3.5,"")</f>
        <v/>
      </c>
      <c r="Q475" s="6">
        <f>IFERROR($I475*4,"")</f>
        <v/>
      </c>
      <c r="R475" s="6" t="n">
        <v>575</v>
      </c>
      <c r="S475" s="4" t="n">
        <v>2</v>
      </c>
      <c r="T475" s="1" t="inlineStr">
        <is>
          <t>active</t>
        </is>
      </c>
      <c r="U475" s="8" t="n"/>
      <c r="V475" s="1" t="inlineStr">
        <is>
          <t>SIN PRECIO</t>
        </is>
      </c>
    </row>
    <row r="476">
      <c r="A476" s="1" t="inlineStr">
        <is>
          <t>31078752766317</t>
        </is>
      </c>
      <c r="B476" s="1" t="inlineStr">
        <is>
          <t>PULSERA C LOGO GOLD</t>
        </is>
      </c>
      <c r="C476" s="1" t="inlineStr">
        <is>
          <t>Dije 7mm 16cm de largo con 2cm de extensión</t>
        </is>
      </c>
      <c r="D476" s="1" t="inlineStr">
        <is>
          <t>HAIFENG</t>
        </is>
      </c>
      <c r="E476" s="4">
        <f>COUNTIF('DETALLE CRONOLÓGICO'!$A$2:$A$4919,$A476)</f>
        <v/>
      </c>
      <c r="F476" s="4">
        <f>SUMIFS('DETALLE CRONOLÓGICO'!$I$2:$I$4919,'DETALLE CRONOLÓGICO'!$A$2:$A$4919,$A476)</f>
        <v/>
      </c>
      <c r="G476" s="1">
        <f>INDEX('DETALLE CRONOLÓGICO'!$D$2:$D$4919,MATCH($A476,'DETALLE CRONOLÓGICO'!$A$2:$A$4919,0))</f>
        <v/>
      </c>
      <c r="H476" s="1">
        <f>INDEX('DETALLE CRONOLÓGICO'!$D$2:$D$4919,MATCH($A476,'DETALLE CRONOLÓGICO'!$A$2:$A$4919,0)+$E476-1)</f>
        <v/>
      </c>
      <c r="I476" s="5">
        <f>IFERROR(SUMIFS('DETALLE CRONOLÓGICO'!$L$2:$L$4919,'DETALLE CRONOLÓGICO'!$A$2:$A$4919,$A476)/$F476,"")</f>
        <v/>
      </c>
      <c r="J476" s="6">
        <f>IFERROR(SUMIFS('DETALLE CRONOLÓGICO'!$K$2:$K$4919,'DETALLE CRONOLÓGICO'!$A$2:$A$4919,$A476)/$E476,"")</f>
        <v/>
      </c>
      <c r="K476" s="6">
        <f>_xlfn.MINIFS('DETALLE CRONOLÓGICO'!$K$2:$K$4919,'DETALLE CRONOLÓGICO'!$A$2:$A$4919,$A476)</f>
        <v/>
      </c>
      <c r="L476" s="6">
        <f>_xlfn.MAXIFS('DETALLE CRONOLÓGICO'!$K$2:$K$4919,'DETALLE CRONOLÓGICO'!$A$2:$A$4919,$A476)</f>
        <v/>
      </c>
      <c r="M476" s="6">
        <f>INDEX('DETALLE CRONOLÓGICO'!$K$2:$K$4919,MATCH($A476,'DETALLE CRONOLÓGICO'!$A$2:$A$4919,0)+$E476-1)</f>
        <v/>
      </c>
      <c r="N476" s="7">
        <f>IFERROR($M476/INDEX('DETALLE CRONOLÓGICO'!$K$2:$K$4919,MATCH($A476,'DETALLE CRONOLÓGICO'!$A$2:$A$4919,0))-1,"")</f>
        <v/>
      </c>
      <c r="O476" s="6">
        <f>IFERROR($I476*3,"")</f>
        <v/>
      </c>
      <c r="P476" s="6">
        <f>IFERROR($I476*3.5,"")</f>
        <v/>
      </c>
      <c r="Q476" s="6">
        <f>IFERROR($I476*4,"")</f>
        <v/>
      </c>
      <c r="R476" s="6" t="n">
        <v>660</v>
      </c>
      <c r="S476" s="4" t="n">
        <v>0</v>
      </c>
      <c r="T476" s="1" t="inlineStr">
        <is>
          <t>active</t>
        </is>
      </c>
      <c r="U476" s="8" t="n"/>
      <c r="V476" s="1" t="inlineStr">
        <is>
          <t>SIN PRECIO</t>
        </is>
      </c>
    </row>
    <row r="477">
      <c r="A477" s="1" t="inlineStr">
        <is>
          <t>31078753113261</t>
        </is>
      </c>
      <c r="B477" s="1" t="inlineStr">
        <is>
          <t>PULSERA BV.ZERO GAPS GOLD</t>
        </is>
      </c>
      <c r="C477" s="1" t="inlineStr">
        <is>
          <t>Default Title</t>
        </is>
      </c>
      <c r="D477" s="1" t="inlineStr">
        <is>
          <t>HAIFENG</t>
        </is>
      </c>
      <c r="E477" s="4">
        <f>COUNTIF('DETALLE CRONOLÓGICO'!$A$2:$A$4919,$A477)</f>
        <v/>
      </c>
      <c r="F477" s="4">
        <f>SUMIFS('DETALLE CRONOLÓGICO'!$I$2:$I$4919,'DETALLE CRONOLÓGICO'!$A$2:$A$4919,$A477)</f>
        <v/>
      </c>
      <c r="G477" s="1">
        <f>INDEX('DETALLE CRONOLÓGICO'!$D$2:$D$4919,MATCH($A477,'DETALLE CRONOLÓGICO'!$A$2:$A$4919,0))</f>
        <v/>
      </c>
      <c r="H477" s="1">
        <f>INDEX('DETALLE CRONOLÓGICO'!$D$2:$D$4919,MATCH($A477,'DETALLE CRONOLÓGICO'!$A$2:$A$4919,0)+$E477-1)</f>
        <v/>
      </c>
      <c r="I477" s="5">
        <f>IFERROR(SUMIFS('DETALLE CRONOLÓGICO'!$L$2:$L$4919,'DETALLE CRONOLÓGICO'!$A$2:$A$4919,$A477)/$F477,"")</f>
        <v/>
      </c>
      <c r="J477" s="6">
        <f>IFERROR(SUMIFS('DETALLE CRONOLÓGICO'!$K$2:$K$4919,'DETALLE CRONOLÓGICO'!$A$2:$A$4919,$A477)/$E477,"")</f>
        <v/>
      </c>
      <c r="K477" s="6">
        <f>_xlfn.MINIFS('DETALLE CRONOLÓGICO'!$K$2:$K$4919,'DETALLE CRONOLÓGICO'!$A$2:$A$4919,$A477)</f>
        <v/>
      </c>
      <c r="L477" s="6">
        <f>_xlfn.MAXIFS('DETALLE CRONOLÓGICO'!$K$2:$K$4919,'DETALLE CRONOLÓGICO'!$A$2:$A$4919,$A477)</f>
        <v/>
      </c>
      <c r="M477" s="6">
        <f>INDEX('DETALLE CRONOLÓGICO'!$K$2:$K$4919,MATCH($A477,'DETALLE CRONOLÓGICO'!$A$2:$A$4919,0)+$E477-1)</f>
        <v/>
      </c>
      <c r="N477" s="7">
        <f>IFERROR($M477/INDEX('DETALLE CRONOLÓGICO'!$K$2:$K$4919,MATCH($A477,'DETALLE CRONOLÓGICO'!$A$2:$A$4919,0))-1,"")</f>
        <v/>
      </c>
      <c r="O477" s="6">
        <f>IFERROR($I477*3,"")</f>
        <v/>
      </c>
      <c r="P477" s="6">
        <f>IFERROR($I477*3.5,"")</f>
        <v/>
      </c>
      <c r="Q477" s="6">
        <f>IFERROR($I477*4,"")</f>
        <v/>
      </c>
      <c r="R477" s="6" t="n">
        <v>720</v>
      </c>
      <c r="S477" s="4" t="n">
        <v>3</v>
      </c>
      <c r="T477" s="1" t="inlineStr">
        <is>
          <t>active</t>
        </is>
      </c>
      <c r="U477" s="8" t="n"/>
      <c r="V477" s="1" t="inlineStr">
        <is>
          <t>SIN PRECIO</t>
        </is>
      </c>
    </row>
    <row r="478">
      <c r="A478" s="1" t="inlineStr">
        <is>
          <t>31453671066413</t>
        </is>
      </c>
      <c r="B478" s="1" t="inlineStr">
        <is>
          <t>COLLAR FR GOLD CON PERLA</t>
        </is>
      </c>
      <c r="C478" s="1" t="inlineStr">
        <is>
          <t>PRODUCTO NUEVO</t>
        </is>
      </c>
      <c r="D478" s="1" t="inlineStr">
        <is>
          <t>HAIFENG</t>
        </is>
      </c>
      <c r="E478" s="4">
        <f>COUNTIF('DETALLE CRONOLÓGICO'!$A$2:$A$4919,$A478)</f>
        <v/>
      </c>
      <c r="F478" s="4">
        <f>SUMIFS('DETALLE CRONOLÓGICO'!$I$2:$I$4919,'DETALLE CRONOLÓGICO'!$A$2:$A$4919,$A478)</f>
        <v/>
      </c>
      <c r="G478" s="1">
        <f>INDEX('DETALLE CRONOLÓGICO'!$D$2:$D$4919,MATCH($A478,'DETALLE CRONOLÓGICO'!$A$2:$A$4919,0))</f>
        <v/>
      </c>
      <c r="H478" s="1">
        <f>INDEX('DETALLE CRONOLÓGICO'!$D$2:$D$4919,MATCH($A478,'DETALLE CRONOLÓGICO'!$A$2:$A$4919,0)+$E478-1)</f>
        <v/>
      </c>
      <c r="I478" s="5">
        <f>IFERROR(SUMIFS('DETALLE CRONOLÓGICO'!$L$2:$L$4919,'DETALLE CRONOLÓGICO'!$A$2:$A$4919,$A478)/$F478,"")</f>
        <v/>
      </c>
      <c r="J478" s="6">
        <f>IFERROR(SUMIFS('DETALLE CRONOLÓGICO'!$K$2:$K$4919,'DETALLE CRONOLÓGICO'!$A$2:$A$4919,$A478)/$E478,"")</f>
        <v/>
      </c>
      <c r="K478" s="6">
        <f>_xlfn.MINIFS('DETALLE CRONOLÓGICO'!$K$2:$K$4919,'DETALLE CRONOLÓGICO'!$A$2:$A$4919,$A478)</f>
        <v/>
      </c>
      <c r="L478" s="6">
        <f>_xlfn.MAXIFS('DETALLE CRONOLÓGICO'!$K$2:$K$4919,'DETALLE CRONOLÓGICO'!$A$2:$A$4919,$A478)</f>
        <v/>
      </c>
      <c r="M478" s="6">
        <f>INDEX('DETALLE CRONOLÓGICO'!$K$2:$K$4919,MATCH($A478,'DETALLE CRONOLÓGICO'!$A$2:$A$4919,0)+$E478-1)</f>
        <v/>
      </c>
      <c r="N478" s="7">
        <f>IFERROR($M478/INDEX('DETALLE CRONOLÓGICO'!$K$2:$K$4919,MATCH($A478,'DETALLE CRONOLÓGICO'!$A$2:$A$4919,0))-1,"")</f>
        <v/>
      </c>
      <c r="O478" s="6">
        <f>IFERROR($I478*3,"")</f>
        <v/>
      </c>
      <c r="P478" s="6">
        <f>IFERROR($I478*3.5,"")</f>
        <v/>
      </c>
      <c r="Q478" s="6">
        <f>IFERROR($I478*4,"")</f>
        <v/>
      </c>
      <c r="R478" s="6" t="n">
        <v>599</v>
      </c>
      <c r="S478" s="4" t="n">
        <v>0</v>
      </c>
      <c r="T478" s="1" t="inlineStr">
        <is>
          <t>draft</t>
        </is>
      </c>
      <c r="U478" s="8" t="n"/>
      <c r="V478" s="1" t="inlineStr">
        <is>
          <t>SIN PRECIO</t>
        </is>
      </c>
    </row>
    <row r="479">
      <c r="A479" s="1" t="inlineStr">
        <is>
          <t>31453671341517</t>
        </is>
      </c>
      <c r="B479" s="1" t="inlineStr">
        <is>
          <t>ARETES FR SILVER ZIRCONIAS</t>
        </is>
      </c>
      <c r="C479" s="1" t="inlineStr">
        <is>
          <t>Default Title</t>
        </is>
      </c>
      <c r="D479" s="1" t="inlineStr">
        <is>
          <t>HAIFENG</t>
        </is>
      </c>
      <c r="E479" s="4">
        <f>COUNTIF('DETALLE CRONOLÓGICO'!$A$2:$A$4919,$A479)</f>
        <v/>
      </c>
      <c r="F479" s="4">
        <f>SUMIFS('DETALLE CRONOLÓGICO'!$I$2:$I$4919,'DETALLE CRONOLÓGICO'!$A$2:$A$4919,$A479)</f>
        <v/>
      </c>
      <c r="G479" s="1">
        <f>INDEX('DETALLE CRONOLÓGICO'!$D$2:$D$4919,MATCH($A479,'DETALLE CRONOLÓGICO'!$A$2:$A$4919,0))</f>
        <v/>
      </c>
      <c r="H479" s="1">
        <f>INDEX('DETALLE CRONOLÓGICO'!$D$2:$D$4919,MATCH($A479,'DETALLE CRONOLÓGICO'!$A$2:$A$4919,0)+$E479-1)</f>
        <v/>
      </c>
      <c r="I479" s="5">
        <f>IFERROR(SUMIFS('DETALLE CRONOLÓGICO'!$L$2:$L$4919,'DETALLE CRONOLÓGICO'!$A$2:$A$4919,$A479)/$F479,"")</f>
        <v/>
      </c>
      <c r="J479" s="6">
        <f>IFERROR(SUMIFS('DETALLE CRONOLÓGICO'!$K$2:$K$4919,'DETALLE CRONOLÓGICO'!$A$2:$A$4919,$A479)/$E479,"")</f>
        <v/>
      </c>
      <c r="K479" s="6">
        <f>_xlfn.MINIFS('DETALLE CRONOLÓGICO'!$K$2:$K$4919,'DETALLE CRONOLÓGICO'!$A$2:$A$4919,$A479)</f>
        <v/>
      </c>
      <c r="L479" s="6">
        <f>_xlfn.MAXIFS('DETALLE CRONOLÓGICO'!$K$2:$K$4919,'DETALLE CRONOLÓGICO'!$A$2:$A$4919,$A479)</f>
        <v/>
      </c>
      <c r="M479" s="6">
        <f>INDEX('DETALLE CRONOLÓGICO'!$K$2:$K$4919,MATCH($A479,'DETALLE CRONOLÓGICO'!$A$2:$A$4919,0)+$E479-1)</f>
        <v/>
      </c>
      <c r="N479" s="7">
        <f>IFERROR($M479/INDEX('DETALLE CRONOLÓGICO'!$K$2:$K$4919,MATCH($A479,'DETALLE CRONOLÓGICO'!$A$2:$A$4919,0))-1,"")</f>
        <v/>
      </c>
      <c r="O479" s="6">
        <f>IFERROR($I479*3,"")</f>
        <v/>
      </c>
      <c r="P479" s="6">
        <f>IFERROR($I479*3.5,"")</f>
        <v/>
      </c>
      <c r="Q479" s="6">
        <f>IFERROR($I479*4,"")</f>
        <v/>
      </c>
      <c r="R479" s="6" t="n">
        <v>499</v>
      </c>
      <c r="S479" s="4" t="n">
        <v>5</v>
      </c>
      <c r="T479" s="1" t="inlineStr">
        <is>
          <t>active</t>
        </is>
      </c>
      <c r="U479" s="8" t="n"/>
      <c r="V479" s="1" t="inlineStr">
        <is>
          <t>SIN PRECIO</t>
        </is>
      </c>
    </row>
    <row r="480">
      <c r="A480" s="1" t="inlineStr">
        <is>
          <t>31704301081517</t>
        </is>
      </c>
      <c r="B480" s="1" t="inlineStr">
        <is>
          <t>BOLSO CC DENIM</t>
        </is>
      </c>
      <c r="C480" s="1" t="inlineStr">
        <is>
          <t>Default Title</t>
        </is>
      </c>
      <c r="D480" s="1" t="inlineStr">
        <is>
          <t>HAIFENG</t>
        </is>
      </c>
      <c r="E480" s="4">
        <f>COUNTIF('DETALLE CRONOLÓGICO'!$A$2:$A$4919,$A480)</f>
        <v/>
      </c>
      <c r="F480" s="4">
        <f>SUMIFS('DETALLE CRONOLÓGICO'!$I$2:$I$4919,'DETALLE CRONOLÓGICO'!$A$2:$A$4919,$A480)</f>
        <v/>
      </c>
      <c r="G480" s="1">
        <f>INDEX('DETALLE CRONOLÓGICO'!$D$2:$D$4919,MATCH($A480,'DETALLE CRONOLÓGICO'!$A$2:$A$4919,0))</f>
        <v/>
      </c>
      <c r="H480" s="1">
        <f>INDEX('DETALLE CRONOLÓGICO'!$D$2:$D$4919,MATCH($A480,'DETALLE CRONOLÓGICO'!$A$2:$A$4919,0)+$E480-1)</f>
        <v/>
      </c>
      <c r="I480" s="5">
        <f>IFERROR(SUMIFS('DETALLE CRONOLÓGICO'!$L$2:$L$4919,'DETALLE CRONOLÓGICO'!$A$2:$A$4919,$A480)/$F480,"")</f>
        <v/>
      </c>
      <c r="J480" s="6">
        <f>IFERROR(SUMIFS('DETALLE CRONOLÓGICO'!$K$2:$K$4919,'DETALLE CRONOLÓGICO'!$A$2:$A$4919,$A480)/$E480,"")</f>
        <v/>
      </c>
      <c r="K480" s="6">
        <f>_xlfn.MINIFS('DETALLE CRONOLÓGICO'!$K$2:$K$4919,'DETALLE CRONOLÓGICO'!$A$2:$A$4919,$A480)</f>
        <v/>
      </c>
      <c r="L480" s="6">
        <f>_xlfn.MAXIFS('DETALLE CRONOLÓGICO'!$K$2:$K$4919,'DETALLE CRONOLÓGICO'!$A$2:$A$4919,$A480)</f>
        <v/>
      </c>
      <c r="M480" s="6">
        <f>INDEX('DETALLE CRONOLÓGICO'!$K$2:$K$4919,MATCH($A480,'DETALLE CRONOLÓGICO'!$A$2:$A$4919,0)+$E480-1)</f>
        <v/>
      </c>
      <c r="N480" s="7">
        <f>IFERROR($M480/INDEX('DETALLE CRONOLÓGICO'!$K$2:$K$4919,MATCH($A480,'DETALLE CRONOLÓGICO'!$A$2:$A$4919,0))-1,"")</f>
        <v/>
      </c>
      <c r="O480" s="6">
        <f>IFERROR($I480*3,"")</f>
        <v/>
      </c>
      <c r="P480" s="6">
        <f>IFERROR($I480*3.5,"")</f>
        <v/>
      </c>
      <c r="Q480" s="6">
        <f>IFERROR($I480*4,"")</f>
        <v/>
      </c>
      <c r="R480" s="6" t="n">
        <v>0</v>
      </c>
      <c r="S480" s="4" t="n">
        <v>1</v>
      </c>
      <c r="T480" s="1" t="inlineStr">
        <is>
          <t>draft</t>
        </is>
      </c>
      <c r="U480" s="8" t="n"/>
      <c r="V480" s="1" t="inlineStr">
        <is>
          <t>SIN PRECIO</t>
        </is>
      </c>
    </row>
    <row r="481">
      <c r="A481" s="1" t="inlineStr">
        <is>
          <t>32044741019373</t>
        </is>
      </c>
      <c r="B481" s="1" t="inlineStr">
        <is>
          <t>BOLSO CC SEQUINS WHITE</t>
        </is>
      </c>
      <c r="C481" s="1" t="inlineStr">
        <is>
          <t>Default Title</t>
        </is>
      </c>
      <c r="D481" s="1" t="inlineStr">
        <is>
          <t>HAIFENG</t>
        </is>
      </c>
      <c r="E481" s="4">
        <f>COUNTIF('DETALLE CRONOLÓGICO'!$A$2:$A$4919,$A481)</f>
        <v/>
      </c>
      <c r="F481" s="4">
        <f>SUMIFS('DETALLE CRONOLÓGICO'!$I$2:$I$4919,'DETALLE CRONOLÓGICO'!$A$2:$A$4919,$A481)</f>
        <v/>
      </c>
      <c r="G481" s="1">
        <f>INDEX('DETALLE CRONOLÓGICO'!$D$2:$D$4919,MATCH($A481,'DETALLE CRONOLÓGICO'!$A$2:$A$4919,0))</f>
        <v/>
      </c>
      <c r="H481" s="1">
        <f>INDEX('DETALLE CRONOLÓGICO'!$D$2:$D$4919,MATCH($A481,'DETALLE CRONOLÓGICO'!$A$2:$A$4919,0)+$E481-1)</f>
        <v/>
      </c>
      <c r="I481" s="5">
        <f>IFERROR(SUMIFS('DETALLE CRONOLÓGICO'!$L$2:$L$4919,'DETALLE CRONOLÓGICO'!$A$2:$A$4919,$A481)/$F481,"")</f>
        <v/>
      </c>
      <c r="J481" s="6">
        <f>IFERROR(SUMIFS('DETALLE CRONOLÓGICO'!$K$2:$K$4919,'DETALLE CRONOLÓGICO'!$A$2:$A$4919,$A481)/$E481,"")</f>
        <v/>
      </c>
      <c r="K481" s="6">
        <f>_xlfn.MINIFS('DETALLE CRONOLÓGICO'!$K$2:$K$4919,'DETALLE CRONOLÓGICO'!$A$2:$A$4919,$A481)</f>
        <v/>
      </c>
      <c r="L481" s="6">
        <f>_xlfn.MAXIFS('DETALLE CRONOLÓGICO'!$K$2:$K$4919,'DETALLE CRONOLÓGICO'!$A$2:$A$4919,$A481)</f>
        <v/>
      </c>
      <c r="M481" s="6">
        <f>INDEX('DETALLE CRONOLÓGICO'!$K$2:$K$4919,MATCH($A481,'DETALLE CRONOLÓGICO'!$A$2:$A$4919,0)+$E481-1)</f>
        <v/>
      </c>
      <c r="N481" s="7">
        <f>IFERROR($M481/INDEX('DETALLE CRONOLÓGICO'!$K$2:$K$4919,MATCH($A481,'DETALLE CRONOLÓGICO'!$A$2:$A$4919,0))-1,"")</f>
        <v/>
      </c>
      <c r="O481" s="6">
        <f>IFERROR($I481*3,"")</f>
        <v/>
      </c>
      <c r="P481" s="6">
        <f>IFERROR($I481*3.5,"")</f>
        <v/>
      </c>
      <c r="Q481" s="6">
        <f>IFERROR($I481*4,"")</f>
        <v/>
      </c>
      <c r="R481" s="6" t="n">
        <v>0</v>
      </c>
      <c r="S481" s="4" t="n">
        <v>2</v>
      </c>
      <c r="T481" s="1" t="inlineStr">
        <is>
          <t>draft</t>
        </is>
      </c>
      <c r="U481" s="8" t="n"/>
      <c r="V481" s="1" t="inlineStr">
        <is>
          <t>SIN PRECIO</t>
        </is>
      </c>
    </row>
    <row r="482">
      <c r="A482" s="1" t="inlineStr">
        <is>
          <t>33089531091469</t>
        </is>
      </c>
      <c r="B482" s="1" t="inlineStr">
        <is>
          <t>COLLAR BV ROSEGOLD CON ZIRCONIA ALREDEDOR</t>
        </is>
      </c>
      <c r="C482" s="1" t="inlineStr">
        <is>
          <t>Default Title</t>
        </is>
      </c>
      <c r="D482" s="1" t="inlineStr">
        <is>
          <t>HAIFENG</t>
        </is>
      </c>
      <c r="E482" s="4">
        <f>COUNTIF('DETALLE CRONOLÓGICO'!$A$2:$A$4919,$A482)</f>
        <v/>
      </c>
      <c r="F482" s="4">
        <f>SUMIFS('DETALLE CRONOLÓGICO'!$I$2:$I$4919,'DETALLE CRONOLÓGICO'!$A$2:$A$4919,$A482)</f>
        <v/>
      </c>
      <c r="G482" s="1">
        <f>INDEX('DETALLE CRONOLÓGICO'!$D$2:$D$4919,MATCH($A482,'DETALLE CRONOLÓGICO'!$A$2:$A$4919,0))</f>
        <v/>
      </c>
      <c r="H482" s="1">
        <f>INDEX('DETALLE CRONOLÓGICO'!$D$2:$D$4919,MATCH($A482,'DETALLE CRONOLÓGICO'!$A$2:$A$4919,0)+$E482-1)</f>
        <v/>
      </c>
      <c r="I482" s="5">
        <f>IFERROR(SUMIFS('DETALLE CRONOLÓGICO'!$L$2:$L$4919,'DETALLE CRONOLÓGICO'!$A$2:$A$4919,$A482)/$F482,"")</f>
        <v/>
      </c>
      <c r="J482" s="6">
        <f>IFERROR(SUMIFS('DETALLE CRONOLÓGICO'!$K$2:$K$4919,'DETALLE CRONOLÓGICO'!$A$2:$A$4919,$A482)/$E482,"")</f>
        <v/>
      </c>
      <c r="K482" s="6">
        <f>_xlfn.MINIFS('DETALLE CRONOLÓGICO'!$K$2:$K$4919,'DETALLE CRONOLÓGICO'!$A$2:$A$4919,$A482)</f>
        <v/>
      </c>
      <c r="L482" s="6">
        <f>_xlfn.MAXIFS('DETALLE CRONOLÓGICO'!$K$2:$K$4919,'DETALLE CRONOLÓGICO'!$A$2:$A$4919,$A482)</f>
        <v/>
      </c>
      <c r="M482" s="6">
        <f>INDEX('DETALLE CRONOLÓGICO'!$K$2:$K$4919,MATCH($A482,'DETALLE CRONOLÓGICO'!$A$2:$A$4919,0)+$E482-1)</f>
        <v/>
      </c>
      <c r="N482" s="7">
        <f>IFERROR($M482/INDEX('DETALLE CRONOLÓGICO'!$K$2:$K$4919,MATCH($A482,'DETALLE CRONOLÓGICO'!$A$2:$A$4919,0))-1,"")</f>
        <v/>
      </c>
      <c r="O482" s="6">
        <f>IFERROR($I482*3,"")</f>
        <v/>
      </c>
      <c r="P482" s="6">
        <f>IFERROR($I482*3.5,"")</f>
        <v/>
      </c>
      <c r="Q482" s="6">
        <f>IFERROR($I482*4,"")</f>
        <v/>
      </c>
      <c r="R482" s="6" t="n">
        <v>335</v>
      </c>
      <c r="S482" s="4" t="n">
        <v>4</v>
      </c>
      <c r="T482" s="1" t="inlineStr">
        <is>
          <t>active</t>
        </is>
      </c>
      <c r="U482" s="8" t="n"/>
      <c r="V482" s="1" t="inlineStr">
        <is>
          <t>SIN PRECIO</t>
        </is>
      </c>
    </row>
    <row r="483">
      <c r="A483" s="1" t="inlineStr">
        <is>
          <t>33644561048589</t>
        </is>
      </c>
      <c r="B483" s="1" t="inlineStr">
        <is>
          <t>BOLSO F FENDIGRAPHY WHITE</t>
        </is>
      </c>
      <c r="C483" s="1" t="inlineStr">
        <is>
          <t>Default Title</t>
        </is>
      </c>
      <c r="D483" s="1" t="inlineStr">
        <is>
          <t>CYNTHIA</t>
        </is>
      </c>
      <c r="E483" s="4">
        <f>COUNTIF('DETALLE CRONOLÓGICO'!$A$2:$A$4919,$A483)</f>
        <v/>
      </c>
      <c r="F483" s="4">
        <f>SUMIFS('DETALLE CRONOLÓGICO'!$I$2:$I$4919,'DETALLE CRONOLÓGICO'!$A$2:$A$4919,$A483)</f>
        <v/>
      </c>
      <c r="G483" s="1">
        <f>INDEX('DETALLE CRONOLÓGICO'!$D$2:$D$4919,MATCH($A483,'DETALLE CRONOLÓGICO'!$A$2:$A$4919,0))</f>
        <v/>
      </c>
      <c r="H483" s="1">
        <f>INDEX('DETALLE CRONOLÓGICO'!$D$2:$D$4919,MATCH($A483,'DETALLE CRONOLÓGICO'!$A$2:$A$4919,0)+$E483-1)</f>
        <v/>
      </c>
      <c r="I483" s="5">
        <f>IFERROR(SUMIFS('DETALLE CRONOLÓGICO'!$L$2:$L$4919,'DETALLE CRONOLÓGICO'!$A$2:$A$4919,$A483)/$F483,"")</f>
        <v/>
      </c>
      <c r="J483" s="6">
        <f>IFERROR(SUMIFS('DETALLE CRONOLÓGICO'!$K$2:$K$4919,'DETALLE CRONOLÓGICO'!$A$2:$A$4919,$A483)/$E483,"")</f>
        <v/>
      </c>
      <c r="K483" s="6">
        <f>_xlfn.MINIFS('DETALLE CRONOLÓGICO'!$K$2:$K$4919,'DETALLE CRONOLÓGICO'!$A$2:$A$4919,$A483)</f>
        <v/>
      </c>
      <c r="L483" s="6">
        <f>_xlfn.MAXIFS('DETALLE CRONOLÓGICO'!$K$2:$K$4919,'DETALLE CRONOLÓGICO'!$A$2:$A$4919,$A483)</f>
        <v/>
      </c>
      <c r="M483" s="6">
        <f>INDEX('DETALLE CRONOLÓGICO'!$K$2:$K$4919,MATCH($A483,'DETALLE CRONOLÓGICO'!$A$2:$A$4919,0)+$E483-1)</f>
        <v/>
      </c>
      <c r="N483" s="7">
        <f>IFERROR($M483/INDEX('DETALLE CRONOLÓGICO'!$K$2:$K$4919,MATCH($A483,'DETALLE CRONOLÓGICO'!$A$2:$A$4919,0))-1,"")</f>
        <v/>
      </c>
      <c r="O483" s="6">
        <f>IFERROR($I483*3,"")</f>
        <v/>
      </c>
      <c r="P483" s="6">
        <f>IFERROR($I483*3.5,"")</f>
        <v/>
      </c>
      <c r="Q483" s="6">
        <f>IFERROR($I483*4,"")</f>
        <v/>
      </c>
      <c r="R483" s="6" t="n">
        <v>4725</v>
      </c>
      <c r="S483" s="4" t="n">
        <v>1</v>
      </c>
      <c r="T483" s="1" t="inlineStr">
        <is>
          <t>active</t>
        </is>
      </c>
      <c r="U483" s="8" t="n"/>
      <c r="V483" s="1" t="inlineStr">
        <is>
          <t>SIN PRECIO</t>
        </is>
      </c>
    </row>
    <row r="484">
      <c r="A484" s="1" t="inlineStr">
        <is>
          <t>33644561183053</t>
        </is>
      </c>
      <c r="B484" s="1" t="inlineStr">
        <is>
          <t>BOLSO F CHAIN LOGOS</t>
        </is>
      </c>
      <c r="C484" s="1" t="inlineStr">
        <is>
          <t>Default Title</t>
        </is>
      </c>
      <c r="D484" s="1" t="inlineStr">
        <is>
          <t>CYNTHIA</t>
        </is>
      </c>
      <c r="E484" s="4">
        <f>COUNTIF('DETALLE CRONOLÓGICO'!$A$2:$A$4919,$A484)</f>
        <v/>
      </c>
      <c r="F484" s="4">
        <f>SUMIFS('DETALLE CRONOLÓGICO'!$I$2:$I$4919,'DETALLE CRONOLÓGICO'!$A$2:$A$4919,$A484)</f>
        <v/>
      </c>
      <c r="G484" s="1">
        <f>INDEX('DETALLE CRONOLÓGICO'!$D$2:$D$4919,MATCH($A484,'DETALLE CRONOLÓGICO'!$A$2:$A$4919,0))</f>
        <v/>
      </c>
      <c r="H484" s="1">
        <f>INDEX('DETALLE CRONOLÓGICO'!$D$2:$D$4919,MATCH($A484,'DETALLE CRONOLÓGICO'!$A$2:$A$4919,0)+$E484-1)</f>
        <v/>
      </c>
      <c r="I484" s="5">
        <f>IFERROR(SUMIFS('DETALLE CRONOLÓGICO'!$L$2:$L$4919,'DETALLE CRONOLÓGICO'!$A$2:$A$4919,$A484)/$F484,"")</f>
        <v/>
      </c>
      <c r="J484" s="6">
        <f>IFERROR(SUMIFS('DETALLE CRONOLÓGICO'!$K$2:$K$4919,'DETALLE CRONOLÓGICO'!$A$2:$A$4919,$A484)/$E484,"")</f>
        <v/>
      </c>
      <c r="K484" s="6">
        <f>_xlfn.MINIFS('DETALLE CRONOLÓGICO'!$K$2:$K$4919,'DETALLE CRONOLÓGICO'!$A$2:$A$4919,$A484)</f>
        <v/>
      </c>
      <c r="L484" s="6">
        <f>_xlfn.MAXIFS('DETALLE CRONOLÓGICO'!$K$2:$K$4919,'DETALLE CRONOLÓGICO'!$A$2:$A$4919,$A484)</f>
        <v/>
      </c>
      <c r="M484" s="6">
        <f>INDEX('DETALLE CRONOLÓGICO'!$K$2:$K$4919,MATCH($A484,'DETALLE CRONOLÓGICO'!$A$2:$A$4919,0)+$E484-1)</f>
        <v/>
      </c>
      <c r="N484" s="7">
        <f>IFERROR($M484/INDEX('DETALLE CRONOLÓGICO'!$K$2:$K$4919,MATCH($A484,'DETALLE CRONOLÓGICO'!$A$2:$A$4919,0))-1,"")</f>
        <v/>
      </c>
      <c r="O484" s="6">
        <f>IFERROR($I484*3,"")</f>
        <v/>
      </c>
      <c r="P484" s="6">
        <f>IFERROR($I484*3.5,"")</f>
        <v/>
      </c>
      <c r="Q484" s="6">
        <f>IFERROR($I484*4,"")</f>
        <v/>
      </c>
      <c r="R484" s="6" t="n">
        <v>4179</v>
      </c>
      <c r="S484" s="4" t="n">
        <v>0</v>
      </c>
      <c r="T484" s="1" t="inlineStr">
        <is>
          <t>active</t>
        </is>
      </c>
      <c r="U484" s="8" t="n"/>
      <c r="V484" s="1" t="inlineStr">
        <is>
          <t>SIN PRECIO</t>
        </is>
      </c>
    </row>
    <row r="485">
      <c r="A485" s="1" t="inlineStr">
        <is>
          <t>33644561253677</t>
        </is>
      </c>
      <c r="B485" s="1" t="inlineStr">
        <is>
          <t>BOLSO MM TOTE DE TELA</t>
        </is>
      </c>
      <c r="C485" s="1" t="inlineStr">
        <is>
          <t>Default Title</t>
        </is>
      </c>
      <c r="D485" s="1" t="inlineStr">
        <is>
          <t>CYNTHIA</t>
        </is>
      </c>
      <c r="E485" s="4">
        <f>COUNTIF('DETALLE CRONOLÓGICO'!$A$2:$A$4919,$A485)</f>
        <v/>
      </c>
      <c r="F485" s="4">
        <f>SUMIFS('DETALLE CRONOLÓGICO'!$I$2:$I$4919,'DETALLE CRONOLÓGICO'!$A$2:$A$4919,$A485)</f>
        <v/>
      </c>
      <c r="G485" s="1">
        <f>INDEX('DETALLE CRONOLÓGICO'!$D$2:$D$4919,MATCH($A485,'DETALLE CRONOLÓGICO'!$A$2:$A$4919,0))</f>
        <v/>
      </c>
      <c r="H485" s="1">
        <f>INDEX('DETALLE CRONOLÓGICO'!$D$2:$D$4919,MATCH($A485,'DETALLE CRONOLÓGICO'!$A$2:$A$4919,0)+$E485-1)</f>
        <v/>
      </c>
      <c r="I485" s="5">
        <f>IFERROR(SUMIFS('DETALLE CRONOLÓGICO'!$L$2:$L$4919,'DETALLE CRONOLÓGICO'!$A$2:$A$4919,$A485)/$F485,"")</f>
        <v/>
      </c>
      <c r="J485" s="6">
        <f>IFERROR(SUMIFS('DETALLE CRONOLÓGICO'!$K$2:$K$4919,'DETALLE CRONOLÓGICO'!$A$2:$A$4919,$A485)/$E485,"")</f>
        <v/>
      </c>
      <c r="K485" s="6">
        <f>_xlfn.MINIFS('DETALLE CRONOLÓGICO'!$K$2:$K$4919,'DETALLE CRONOLÓGICO'!$A$2:$A$4919,$A485)</f>
        <v/>
      </c>
      <c r="L485" s="6">
        <f>_xlfn.MAXIFS('DETALLE CRONOLÓGICO'!$K$2:$K$4919,'DETALLE CRONOLÓGICO'!$A$2:$A$4919,$A485)</f>
        <v/>
      </c>
      <c r="M485" s="6">
        <f>INDEX('DETALLE CRONOLÓGICO'!$K$2:$K$4919,MATCH($A485,'DETALLE CRONOLÓGICO'!$A$2:$A$4919,0)+$E485-1)</f>
        <v/>
      </c>
      <c r="N485" s="7">
        <f>IFERROR($M485/INDEX('DETALLE CRONOLÓGICO'!$K$2:$K$4919,MATCH($A485,'DETALLE CRONOLÓGICO'!$A$2:$A$4919,0))-1,"")</f>
        <v/>
      </c>
      <c r="O485" s="6">
        <f>IFERROR($I485*3,"")</f>
        <v/>
      </c>
      <c r="P485" s="6">
        <f>IFERROR($I485*3.5,"")</f>
        <v/>
      </c>
      <c r="Q485" s="6">
        <f>IFERROR($I485*4,"")</f>
        <v/>
      </c>
      <c r="R485" s="6" t="n">
        <v>3599</v>
      </c>
      <c r="S485" s="4" t="n">
        <v>0</v>
      </c>
      <c r="T485" s="1" t="inlineStr">
        <is>
          <t>active</t>
        </is>
      </c>
      <c r="U485" s="8" t="n"/>
      <c r="V485" s="1" t="inlineStr">
        <is>
          <t>SIN PRECIO</t>
        </is>
      </c>
    </row>
    <row r="486">
      <c r="A486" s="1" t="inlineStr">
        <is>
          <t>33644561374637</t>
        </is>
      </c>
      <c r="B486" s="1" t="inlineStr">
        <is>
          <t>SOMBRERO MM BEACH RAFFIA</t>
        </is>
      </c>
      <c r="C486" s="1" t="n">
        <v>33644561374637</v>
      </c>
      <c r="D486" s="1" t="inlineStr">
        <is>
          <t>CYNTHIA</t>
        </is>
      </c>
      <c r="E486" s="4">
        <f>COUNTIF('DETALLE CRONOLÓGICO'!$A$2:$A$4919,$A486)</f>
        <v/>
      </c>
      <c r="F486" s="4">
        <f>SUMIFS('DETALLE CRONOLÓGICO'!$I$2:$I$4919,'DETALLE CRONOLÓGICO'!$A$2:$A$4919,$A486)</f>
        <v/>
      </c>
      <c r="G486" s="1">
        <f>INDEX('DETALLE CRONOLÓGICO'!$D$2:$D$4919,MATCH($A486,'DETALLE CRONOLÓGICO'!$A$2:$A$4919,0))</f>
        <v/>
      </c>
      <c r="H486" s="1">
        <f>INDEX('DETALLE CRONOLÓGICO'!$D$2:$D$4919,MATCH($A486,'DETALLE CRONOLÓGICO'!$A$2:$A$4919,0)+$E486-1)</f>
        <v/>
      </c>
      <c r="I486" s="5">
        <f>IFERROR(SUMIFS('DETALLE CRONOLÓGICO'!$L$2:$L$4919,'DETALLE CRONOLÓGICO'!$A$2:$A$4919,$A486)/$F486,"")</f>
        <v/>
      </c>
      <c r="J486" s="6">
        <f>IFERROR(SUMIFS('DETALLE CRONOLÓGICO'!$K$2:$K$4919,'DETALLE CRONOLÓGICO'!$A$2:$A$4919,$A486)/$E486,"")</f>
        <v/>
      </c>
      <c r="K486" s="6">
        <f>_xlfn.MINIFS('DETALLE CRONOLÓGICO'!$K$2:$K$4919,'DETALLE CRONOLÓGICO'!$A$2:$A$4919,$A486)</f>
        <v/>
      </c>
      <c r="L486" s="6">
        <f>_xlfn.MAXIFS('DETALLE CRONOLÓGICO'!$K$2:$K$4919,'DETALLE CRONOLÓGICO'!$A$2:$A$4919,$A486)</f>
        <v/>
      </c>
      <c r="M486" s="6">
        <f>INDEX('DETALLE CRONOLÓGICO'!$K$2:$K$4919,MATCH($A486,'DETALLE CRONOLÓGICO'!$A$2:$A$4919,0)+$E486-1)</f>
        <v/>
      </c>
      <c r="N486" s="7">
        <f>IFERROR($M486/INDEX('DETALLE CRONOLÓGICO'!$K$2:$K$4919,MATCH($A486,'DETALLE CRONOLÓGICO'!$A$2:$A$4919,0))-1,"")</f>
        <v/>
      </c>
      <c r="O486" s="6">
        <f>IFERROR($I486*3,"")</f>
        <v/>
      </c>
      <c r="P486" s="6">
        <f>IFERROR($I486*3.5,"")</f>
        <v/>
      </c>
      <c r="Q486" s="6">
        <f>IFERROR($I486*4,"")</f>
        <v/>
      </c>
      <c r="R486" s="6" t="n">
        <v>1699</v>
      </c>
      <c r="S486" s="4" t="n">
        <v>0</v>
      </c>
      <c r="T486" s="1" t="inlineStr">
        <is>
          <t>active</t>
        </is>
      </c>
      <c r="U486" s="8" t="n"/>
      <c r="V486" s="1" t="inlineStr">
        <is>
          <t>SIN PRECIO</t>
        </is>
      </c>
    </row>
    <row r="487">
      <c r="A487" s="1" t="inlineStr">
        <is>
          <t>33644561498925</t>
        </is>
      </c>
      <c r="B487" s="1" t="inlineStr">
        <is>
          <t>SOMBRERO MM BEACH RAFFIA BROWN</t>
        </is>
      </c>
      <c r="C487" s="1" t="n">
        <v>33644561498925</v>
      </c>
      <c r="D487" s="1" t="inlineStr">
        <is>
          <t>CYNTHIA</t>
        </is>
      </c>
      <c r="E487" s="4">
        <f>COUNTIF('DETALLE CRONOLÓGICO'!$A$2:$A$4919,$A487)</f>
        <v/>
      </c>
      <c r="F487" s="4">
        <f>SUMIFS('DETALLE CRONOLÓGICO'!$I$2:$I$4919,'DETALLE CRONOLÓGICO'!$A$2:$A$4919,$A487)</f>
        <v/>
      </c>
      <c r="G487" s="1">
        <f>INDEX('DETALLE CRONOLÓGICO'!$D$2:$D$4919,MATCH($A487,'DETALLE CRONOLÓGICO'!$A$2:$A$4919,0))</f>
        <v/>
      </c>
      <c r="H487" s="1">
        <f>INDEX('DETALLE CRONOLÓGICO'!$D$2:$D$4919,MATCH($A487,'DETALLE CRONOLÓGICO'!$A$2:$A$4919,0)+$E487-1)</f>
        <v/>
      </c>
      <c r="I487" s="5">
        <f>IFERROR(SUMIFS('DETALLE CRONOLÓGICO'!$L$2:$L$4919,'DETALLE CRONOLÓGICO'!$A$2:$A$4919,$A487)/$F487,"")</f>
        <v/>
      </c>
      <c r="J487" s="6">
        <f>IFERROR(SUMIFS('DETALLE CRONOLÓGICO'!$K$2:$K$4919,'DETALLE CRONOLÓGICO'!$A$2:$A$4919,$A487)/$E487,"")</f>
        <v/>
      </c>
      <c r="K487" s="6">
        <f>_xlfn.MINIFS('DETALLE CRONOLÓGICO'!$K$2:$K$4919,'DETALLE CRONOLÓGICO'!$A$2:$A$4919,$A487)</f>
        <v/>
      </c>
      <c r="L487" s="6">
        <f>_xlfn.MAXIFS('DETALLE CRONOLÓGICO'!$K$2:$K$4919,'DETALLE CRONOLÓGICO'!$A$2:$A$4919,$A487)</f>
        <v/>
      </c>
      <c r="M487" s="6">
        <f>INDEX('DETALLE CRONOLÓGICO'!$K$2:$K$4919,MATCH($A487,'DETALLE CRONOLÓGICO'!$A$2:$A$4919,0)+$E487-1)</f>
        <v/>
      </c>
      <c r="N487" s="7">
        <f>IFERROR($M487/INDEX('DETALLE CRONOLÓGICO'!$K$2:$K$4919,MATCH($A487,'DETALLE CRONOLÓGICO'!$A$2:$A$4919,0))-1,"")</f>
        <v/>
      </c>
      <c r="O487" s="6">
        <f>IFERROR($I487*3,"")</f>
        <v/>
      </c>
      <c r="P487" s="6">
        <f>IFERROR($I487*3.5,"")</f>
        <v/>
      </c>
      <c r="Q487" s="6">
        <f>IFERROR($I487*4,"")</f>
        <v/>
      </c>
      <c r="R487" s="6" t="n">
        <v>1699</v>
      </c>
      <c r="S487" s="4" t="n">
        <v>1</v>
      </c>
      <c r="T487" s="1" t="inlineStr">
        <is>
          <t>active</t>
        </is>
      </c>
      <c r="U487" s="8" t="n"/>
      <c r="V487" s="1" t="inlineStr">
        <is>
          <t>SIN PRECIO</t>
        </is>
      </c>
    </row>
    <row r="488">
      <c r="A488" s="1" t="inlineStr">
        <is>
          <t>33644561555373</t>
        </is>
      </c>
      <c r="B488" s="1" t="inlineStr">
        <is>
          <t>SOMBRERO MM RAFFIA</t>
        </is>
      </c>
      <c r="C488" s="1" t="inlineStr">
        <is>
          <t>Default Title</t>
        </is>
      </c>
      <c r="D488" s="1" t="inlineStr">
        <is>
          <t>CYNTHIA</t>
        </is>
      </c>
      <c r="E488" s="4">
        <f>COUNTIF('DETALLE CRONOLÓGICO'!$A$2:$A$4919,$A488)</f>
        <v/>
      </c>
      <c r="F488" s="4">
        <f>SUMIFS('DETALLE CRONOLÓGICO'!$I$2:$I$4919,'DETALLE CRONOLÓGICO'!$A$2:$A$4919,$A488)</f>
        <v/>
      </c>
      <c r="G488" s="1">
        <f>INDEX('DETALLE CRONOLÓGICO'!$D$2:$D$4919,MATCH($A488,'DETALLE CRONOLÓGICO'!$A$2:$A$4919,0))</f>
        <v/>
      </c>
      <c r="H488" s="1">
        <f>INDEX('DETALLE CRONOLÓGICO'!$D$2:$D$4919,MATCH($A488,'DETALLE CRONOLÓGICO'!$A$2:$A$4919,0)+$E488-1)</f>
        <v/>
      </c>
      <c r="I488" s="5">
        <f>IFERROR(SUMIFS('DETALLE CRONOLÓGICO'!$L$2:$L$4919,'DETALLE CRONOLÓGICO'!$A$2:$A$4919,$A488)/$F488,"")</f>
        <v/>
      </c>
      <c r="J488" s="6">
        <f>IFERROR(SUMIFS('DETALLE CRONOLÓGICO'!$K$2:$K$4919,'DETALLE CRONOLÓGICO'!$A$2:$A$4919,$A488)/$E488,"")</f>
        <v/>
      </c>
      <c r="K488" s="6">
        <f>_xlfn.MINIFS('DETALLE CRONOLÓGICO'!$K$2:$K$4919,'DETALLE CRONOLÓGICO'!$A$2:$A$4919,$A488)</f>
        <v/>
      </c>
      <c r="L488" s="6">
        <f>_xlfn.MAXIFS('DETALLE CRONOLÓGICO'!$K$2:$K$4919,'DETALLE CRONOLÓGICO'!$A$2:$A$4919,$A488)</f>
        <v/>
      </c>
      <c r="M488" s="6">
        <f>INDEX('DETALLE CRONOLÓGICO'!$K$2:$K$4919,MATCH($A488,'DETALLE CRONOLÓGICO'!$A$2:$A$4919,0)+$E488-1)</f>
        <v/>
      </c>
      <c r="N488" s="7">
        <f>IFERROR($M488/INDEX('DETALLE CRONOLÓGICO'!$K$2:$K$4919,MATCH($A488,'DETALLE CRONOLÓGICO'!$A$2:$A$4919,0))-1,"")</f>
        <v/>
      </c>
      <c r="O488" s="6">
        <f>IFERROR($I488*3,"")</f>
        <v/>
      </c>
      <c r="P488" s="6">
        <f>IFERROR($I488*3.5,"")</f>
        <v/>
      </c>
      <c r="Q488" s="6">
        <f>IFERROR($I488*4,"")</f>
        <v/>
      </c>
      <c r="R488" s="6" t="n">
        <v>1039</v>
      </c>
      <c r="S488" s="4" t="n">
        <v>0</v>
      </c>
      <c r="T488" s="1" t="inlineStr">
        <is>
          <t>active</t>
        </is>
      </c>
      <c r="U488" s="8" t="n"/>
      <c r="V488" s="1" t="inlineStr">
        <is>
          <t>SIN PRECIO</t>
        </is>
      </c>
    </row>
    <row r="489">
      <c r="A489" s="1" t="inlineStr">
        <is>
          <t>33644561619885</t>
        </is>
      </c>
      <c r="B489" s="1" t="inlineStr">
        <is>
          <t>SOMBRERO MM RAFFIA BEIGE/RED</t>
        </is>
      </c>
      <c r="C489" s="1" t="inlineStr">
        <is>
          <t>Default Title</t>
        </is>
      </c>
      <c r="D489" s="1" t="inlineStr">
        <is>
          <t>CYNTHIA / ZOEY</t>
        </is>
      </c>
      <c r="E489" s="4">
        <f>COUNTIF('DETALLE CRONOLÓGICO'!$A$2:$A$4919,$A489)</f>
        <v/>
      </c>
      <c r="F489" s="4">
        <f>SUMIFS('DETALLE CRONOLÓGICO'!$I$2:$I$4919,'DETALLE CRONOLÓGICO'!$A$2:$A$4919,$A489)</f>
        <v/>
      </c>
      <c r="G489" s="1">
        <f>INDEX('DETALLE CRONOLÓGICO'!$D$2:$D$4919,MATCH($A489,'DETALLE CRONOLÓGICO'!$A$2:$A$4919,0))</f>
        <v/>
      </c>
      <c r="H489" s="1">
        <f>INDEX('DETALLE CRONOLÓGICO'!$D$2:$D$4919,MATCH($A489,'DETALLE CRONOLÓGICO'!$A$2:$A$4919,0)+$E489-1)</f>
        <v/>
      </c>
      <c r="I489" s="5">
        <f>IFERROR(SUMIFS('DETALLE CRONOLÓGICO'!$L$2:$L$4919,'DETALLE CRONOLÓGICO'!$A$2:$A$4919,$A489)/$F489,"")</f>
        <v/>
      </c>
      <c r="J489" s="6">
        <f>IFERROR(SUMIFS('DETALLE CRONOLÓGICO'!$K$2:$K$4919,'DETALLE CRONOLÓGICO'!$A$2:$A$4919,$A489)/$E489,"")</f>
        <v/>
      </c>
      <c r="K489" s="6">
        <f>_xlfn.MINIFS('DETALLE CRONOLÓGICO'!$K$2:$K$4919,'DETALLE CRONOLÓGICO'!$A$2:$A$4919,$A489)</f>
        <v/>
      </c>
      <c r="L489" s="6">
        <f>_xlfn.MAXIFS('DETALLE CRONOLÓGICO'!$K$2:$K$4919,'DETALLE CRONOLÓGICO'!$A$2:$A$4919,$A489)</f>
        <v/>
      </c>
      <c r="M489" s="6">
        <f>INDEX('DETALLE CRONOLÓGICO'!$K$2:$K$4919,MATCH($A489,'DETALLE CRONOLÓGICO'!$A$2:$A$4919,0)+$E489-1)</f>
        <v/>
      </c>
      <c r="N489" s="7">
        <f>IFERROR($M489/INDEX('DETALLE CRONOLÓGICO'!$K$2:$K$4919,MATCH($A489,'DETALLE CRONOLÓGICO'!$A$2:$A$4919,0))-1,"")</f>
        <v/>
      </c>
      <c r="O489" s="6">
        <f>IFERROR($I489*3,"")</f>
        <v/>
      </c>
      <c r="P489" s="6">
        <f>IFERROR($I489*3.5,"")</f>
        <v/>
      </c>
      <c r="Q489" s="6">
        <f>IFERROR($I489*4,"")</f>
        <v/>
      </c>
      <c r="R489" s="6" t="n">
        <v>3799</v>
      </c>
      <c r="S489" s="4" t="n">
        <v>0</v>
      </c>
      <c r="T489" s="1" t="inlineStr">
        <is>
          <t>active</t>
        </is>
      </c>
      <c r="U489" s="8" t="n"/>
      <c r="V489" s="1" t="inlineStr">
        <is>
          <t>SIN PRECIO</t>
        </is>
      </c>
    </row>
    <row r="490">
      <c r="A490" s="1" t="inlineStr">
        <is>
          <t>33644561748045</t>
        </is>
      </c>
      <c r="B490" s="1" t="inlineStr">
        <is>
          <t>SOMBRERO MM DENIM BLUE</t>
        </is>
      </c>
      <c r="C490" s="1" t="inlineStr">
        <is>
          <t>Default Title</t>
        </is>
      </c>
      <c r="D490" s="1" t="inlineStr">
        <is>
          <t>CYNTHIA</t>
        </is>
      </c>
      <c r="E490" s="4">
        <f>COUNTIF('DETALLE CRONOLÓGICO'!$A$2:$A$4919,$A490)</f>
        <v/>
      </c>
      <c r="F490" s="4">
        <f>SUMIFS('DETALLE CRONOLÓGICO'!$I$2:$I$4919,'DETALLE CRONOLÓGICO'!$A$2:$A$4919,$A490)</f>
        <v/>
      </c>
      <c r="G490" s="1">
        <f>INDEX('DETALLE CRONOLÓGICO'!$D$2:$D$4919,MATCH($A490,'DETALLE CRONOLÓGICO'!$A$2:$A$4919,0))</f>
        <v/>
      </c>
      <c r="H490" s="1">
        <f>INDEX('DETALLE CRONOLÓGICO'!$D$2:$D$4919,MATCH($A490,'DETALLE CRONOLÓGICO'!$A$2:$A$4919,0)+$E490-1)</f>
        <v/>
      </c>
      <c r="I490" s="5">
        <f>IFERROR(SUMIFS('DETALLE CRONOLÓGICO'!$L$2:$L$4919,'DETALLE CRONOLÓGICO'!$A$2:$A$4919,$A490)/$F490,"")</f>
        <v/>
      </c>
      <c r="J490" s="6">
        <f>IFERROR(SUMIFS('DETALLE CRONOLÓGICO'!$K$2:$K$4919,'DETALLE CRONOLÓGICO'!$A$2:$A$4919,$A490)/$E490,"")</f>
        <v/>
      </c>
      <c r="K490" s="6">
        <f>_xlfn.MINIFS('DETALLE CRONOLÓGICO'!$K$2:$K$4919,'DETALLE CRONOLÓGICO'!$A$2:$A$4919,$A490)</f>
        <v/>
      </c>
      <c r="L490" s="6">
        <f>_xlfn.MAXIFS('DETALLE CRONOLÓGICO'!$K$2:$K$4919,'DETALLE CRONOLÓGICO'!$A$2:$A$4919,$A490)</f>
        <v/>
      </c>
      <c r="M490" s="6">
        <f>INDEX('DETALLE CRONOLÓGICO'!$K$2:$K$4919,MATCH($A490,'DETALLE CRONOLÓGICO'!$A$2:$A$4919,0)+$E490-1)</f>
        <v/>
      </c>
      <c r="N490" s="7">
        <f>IFERROR($M490/INDEX('DETALLE CRONOLÓGICO'!$K$2:$K$4919,MATCH($A490,'DETALLE CRONOLÓGICO'!$A$2:$A$4919,0))-1,"")</f>
        <v/>
      </c>
      <c r="O490" s="6">
        <f>IFERROR($I490*3,"")</f>
        <v/>
      </c>
      <c r="P490" s="6">
        <f>IFERROR($I490*3.5,"")</f>
        <v/>
      </c>
      <c r="Q490" s="6">
        <f>IFERROR($I490*4,"")</f>
        <v/>
      </c>
      <c r="R490" s="6" t="n">
        <v>1019</v>
      </c>
      <c r="S490" s="4" t="n">
        <v>0</v>
      </c>
      <c r="T490" s="1" t="inlineStr">
        <is>
          <t>active</t>
        </is>
      </c>
      <c r="U490" s="8" t="n"/>
      <c r="V490" s="1" t="inlineStr">
        <is>
          <t>SIN PRECIO</t>
        </is>
      </c>
    </row>
    <row r="491">
      <c r="A491" s="1" t="inlineStr">
        <is>
          <t>33644561853133</t>
        </is>
      </c>
      <c r="B491" s="1" t="inlineStr">
        <is>
          <t>BOLSO MM TOTE RAFFIA</t>
        </is>
      </c>
      <c r="C491" s="1" t="inlineStr">
        <is>
          <t>Default Title</t>
        </is>
      </c>
      <c r="D491" s="1" t="inlineStr">
        <is>
          <t>CYNTHIA</t>
        </is>
      </c>
      <c r="E491" s="4">
        <f>COUNTIF('DETALLE CRONOLÓGICO'!$A$2:$A$4919,$A491)</f>
        <v/>
      </c>
      <c r="F491" s="4">
        <f>SUMIFS('DETALLE CRONOLÓGICO'!$I$2:$I$4919,'DETALLE CRONOLÓGICO'!$A$2:$A$4919,$A491)</f>
        <v/>
      </c>
      <c r="G491" s="1">
        <f>INDEX('DETALLE CRONOLÓGICO'!$D$2:$D$4919,MATCH($A491,'DETALLE CRONOLÓGICO'!$A$2:$A$4919,0))</f>
        <v/>
      </c>
      <c r="H491" s="1">
        <f>INDEX('DETALLE CRONOLÓGICO'!$D$2:$D$4919,MATCH($A491,'DETALLE CRONOLÓGICO'!$A$2:$A$4919,0)+$E491-1)</f>
        <v/>
      </c>
      <c r="I491" s="5">
        <f>IFERROR(SUMIFS('DETALLE CRONOLÓGICO'!$L$2:$L$4919,'DETALLE CRONOLÓGICO'!$A$2:$A$4919,$A491)/$F491,"")</f>
        <v/>
      </c>
      <c r="J491" s="6">
        <f>IFERROR(SUMIFS('DETALLE CRONOLÓGICO'!$K$2:$K$4919,'DETALLE CRONOLÓGICO'!$A$2:$A$4919,$A491)/$E491,"")</f>
        <v/>
      </c>
      <c r="K491" s="6">
        <f>_xlfn.MINIFS('DETALLE CRONOLÓGICO'!$K$2:$K$4919,'DETALLE CRONOLÓGICO'!$A$2:$A$4919,$A491)</f>
        <v/>
      </c>
      <c r="L491" s="6">
        <f>_xlfn.MAXIFS('DETALLE CRONOLÓGICO'!$K$2:$K$4919,'DETALLE CRONOLÓGICO'!$A$2:$A$4919,$A491)</f>
        <v/>
      </c>
      <c r="M491" s="6">
        <f>INDEX('DETALLE CRONOLÓGICO'!$K$2:$K$4919,MATCH($A491,'DETALLE CRONOLÓGICO'!$A$2:$A$4919,0)+$E491-1)</f>
        <v/>
      </c>
      <c r="N491" s="7">
        <f>IFERROR($M491/INDEX('DETALLE CRONOLÓGICO'!$K$2:$K$4919,MATCH($A491,'DETALLE CRONOLÓGICO'!$A$2:$A$4919,0))-1,"")</f>
        <v/>
      </c>
      <c r="O491" s="6">
        <f>IFERROR($I491*3,"")</f>
        <v/>
      </c>
      <c r="P491" s="6">
        <f>IFERROR($I491*3.5,"")</f>
        <v/>
      </c>
      <c r="Q491" s="6">
        <f>IFERROR($I491*4,"")</f>
        <v/>
      </c>
      <c r="R491" s="6" t="n">
        <v>4999</v>
      </c>
      <c r="S491" s="4" t="n">
        <v>0</v>
      </c>
      <c r="T491" s="1" t="inlineStr">
        <is>
          <t>active</t>
        </is>
      </c>
      <c r="U491" s="8" t="n"/>
      <c r="V491" s="1" t="inlineStr">
        <is>
          <t>SIN PRECIO</t>
        </is>
      </c>
    </row>
    <row r="492">
      <c r="A492" s="1" t="inlineStr">
        <is>
          <t>33644561954829</t>
        </is>
      </c>
      <c r="B492" s="1" t="inlineStr">
        <is>
          <t>BOLSO MM DENIM BLUE</t>
        </is>
      </c>
      <c r="C492" s="1" t="inlineStr">
        <is>
          <t>Default Title</t>
        </is>
      </c>
      <c r="D492" s="1" t="inlineStr">
        <is>
          <t>CYNTHIA</t>
        </is>
      </c>
      <c r="E492" s="4">
        <f>COUNTIF('DETALLE CRONOLÓGICO'!$A$2:$A$4919,$A492)</f>
        <v/>
      </c>
      <c r="F492" s="4">
        <f>SUMIFS('DETALLE CRONOLÓGICO'!$I$2:$I$4919,'DETALLE CRONOLÓGICO'!$A$2:$A$4919,$A492)</f>
        <v/>
      </c>
      <c r="G492" s="1">
        <f>INDEX('DETALLE CRONOLÓGICO'!$D$2:$D$4919,MATCH($A492,'DETALLE CRONOLÓGICO'!$A$2:$A$4919,0))</f>
        <v/>
      </c>
      <c r="H492" s="1">
        <f>INDEX('DETALLE CRONOLÓGICO'!$D$2:$D$4919,MATCH($A492,'DETALLE CRONOLÓGICO'!$A$2:$A$4919,0)+$E492-1)</f>
        <v/>
      </c>
      <c r="I492" s="5">
        <f>IFERROR(SUMIFS('DETALLE CRONOLÓGICO'!$L$2:$L$4919,'DETALLE CRONOLÓGICO'!$A$2:$A$4919,$A492)/$F492,"")</f>
        <v/>
      </c>
      <c r="J492" s="6">
        <f>IFERROR(SUMIFS('DETALLE CRONOLÓGICO'!$K$2:$K$4919,'DETALLE CRONOLÓGICO'!$A$2:$A$4919,$A492)/$E492,"")</f>
        <v/>
      </c>
      <c r="K492" s="6">
        <f>_xlfn.MINIFS('DETALLE CRONOLÓGICO'!$K$2:$K$4919,'DETALLE CRONOLÓGICO'!$A$2:$A$4919,$A492)</f>
        <v/>
      </c>
      <c r="L492" s="6">
        <f>_xlfn.MAXIFS('DETALLE CRONOLÓGICO'!$K$2:$K$4919,'DETALLE CRONOLÓGICO'!$A$2:$A$4919,$A492)</f>
        <v/>
      </c>
      <c r="M492" s="6">
        <f>INDEX('DETALLE CRONOLÓGICO'!$K$2:$K$4919,MATCH($A492,'DETALLE CRONOLÓGICO'!$A$2:$A$4919,0)+$E492-1)</f>
        <v/>
      </c>
      <c r="N492" s="7">
        <f>IFERROR($M492/INDEX('DETALLE CRONOLÓGICO'!$K$2:$K$4919,MATCH($A492,'DETALLE CRONOLÓGICO'!$A$2:$A$4919,0))-1,"")</f>
        <v/>
      </c>
      <c r="O492" s="6">
        <f>IFERROR($I492*3,"")</f>
        <v/>
      </c>
      <c r="P492" s="6">
        <f>IFERROR($I492*3.5,"")</f>
        <v/>
      </c>
      <c r="Q492" s="6">
        <f>IFERROR($I492*4,"")</f>
        <v/>
      </c>
      <c r="R492" s="6" t="n">
        <v>5910</v>
      </c>
      <c r="S492" s="4" t="n">
        <v>0</v>
      </c>
      <c r="T492" s="1" t="inlineStr">
        <is>
          <t>active</t>
        </is>
      </c>
      <c r="U492" s="8" t="n"/>
      <c r="V492" s="1" t="inlineStr">
        <is>
          <t>SIN PRECIO</t>
        </is>
      </c>
    </row>
    <row r="493">
      <c r="A493" s="1" t="inlineStr">
        <is>
          <t>33644562004557</t>
        </is>
      </c>
      <c r="B493" s="1" t="inlineStr">
        <is>
          <t>LENTES MM OVAL BLACK</t>
        </is>
      </c>
      <c r="C493" s="1" t="inlineStr">
        <is>
          <t>Default Title</t>
        </is>
      </c>
      <c r="D493" s="1" t="inlineStr">
        <is>
          <t>CYNTHIA</t>
        </is>
      </c>
      <c r="E493" s="4">
        <f>COUNTIF('DETALLE CRONOLÓGICO'!$A$2:$A$4919,$A493)</f>
        <v/>
      </c>
      <c r="F493" s="4">
        <f>SUMIFS('DETALLE CRONOLÓGICO'!$I$2:$I$4919,'DETALLE CRONOLÓGICO'!$A$2:$A$4919,$A493)</f>
        <v/>
      </c>
      <c r="G493" s="1">
        <f>INDEX('DETALLE CRONOLÓGICO'!$D$2:$D$4919,MATCH($A493,'DETALLE CRONOLÓGICO'!$A$2:$A$4919,0))</f>
        <v/>
      </c>
      <c r="H493" s="1">
        <f>INDEX('DETALLE CRONOLÓGICO'!$D$2:$D$4919,MATCH($A493,'DETALLE CRONOLÓGICO'!$A$2:$A$4919,0)+$E493-1)</f>
        <v/>
      </c>
      <c r="I493" s="5">
        <f>IFERROR(SUMIFS('DETALLE CRONOLÓGICO'!$L$2:$L$4919,'DETALLE CRONOLÓGICO'!$A$2:$A$4919,$A493)/$F493,"")</f>
        <v/>
      </c>
      <c r="J493" s="6">
        <f>IFERROR(SUMIFS('DETALLE CRONOLÓGICO'!$K$2:$K$4919,'DETALLE CRONOLÓGICO'!$A$2:$A$4919,$A493)/$E493,"")</f>
        <v/>
      </c>
      <c r="K493" s="6">
        <f>_xlfn.MINIFS('DETALLE CRONOLÓGICO'!$K$2:$K$4919,'DETALLE CRONOLÓGICO'!$A$2:$A$4919,$A493)</f>
        <v/>
      </c>
      <c r="L493" s="6">
        <f>_xlfn.MAXIFS('DETALLE CRONOLÓGICO'!$K$2:$K$4919,'DETALLE CRONOLÓGICO'!$A$2:$A$4919,$A493)</f>
        <v/>
      </c>
      <c r="M493" s="6">
        <f>INDEX('DETALLE CRONOLÓGICO'!$K$2:$K$4919,MATCH($A493,'DETALLE CRONOLÓGICO'!$A$2:$A$4919,0)+$E493-1)</f>
        <v/>
      </c>
      <c r="N493" s="7">
        <f>IFERROR($M493/INDEX('DETALLE CRONOLÓGICO'!$K$2:$K$4919,MATCH($A493,'DETALLE CRONOLÓGICO'!$A$2:$A$4919,0))-1,"")</f>
        <v/>
      </c>
      <c r="O493" s="6">
        <f>IFERROR($I493*3,"")</f>
        <v/>
      </c>
      <c r="P493" s="6">
        <f>IFERROR($I493*3.5,"")</f>
        <v/>
      </c>
      <c r="Q493" s="6">
        <f>IFERROR($I493*4,"")</f>
        <v/>
      </c>
      <c r="R493" s="6" t="n">
        <v>2910</v>
      </c>
      <c r="S493" s="4" t="n">
        <v>0</v>
      </c>
      <c r="T493" s="1" t="inlineStr">
        <is>
          <t>active</t>
        </is>
      </c>
      <c r="U493" s="8" t="n"/>
      <c r="V493" s="1" t="inlineStr">
        <is>
          <t>SIN PRECIO</t>
        </is>
      </c>
    </row>
    <row r="494">
      <c r="A494" s="1" t="inlineStr">
        <is>
          <t>33644562259373</t>
        </is>
      </c>
      <c r="B494" s="1" t="inlineStr">
        <is>
          <t>GORRA MM BROWN</t>
        </is>
      </c>
      <c r="C494" s="1" t="inlineStr">
        <is>
          <t>Default Title</t>
        </is>
      </c>
      <c r="D494" s="1" t="inlineStr">
        <is>
          <t>CYNTHIA</t>
        </is>
      </c>
      <c r="E494" s="4">
        <f>COUNTIF('DETALLE CRONOLÓGICO'!$A$2:$A$4919,$A494)</f>
        <v/>
      </c>
      <c r="F494" s="4">
        <f>SUMIFS('DETALLE CRONOLÓGICO'!$I$2:$I$4919,'DETALLE CRONOLÓGICO'!$A$2:$A$4919,$A494)</f>
        <v/>
      </c>
      <c r="G494" s="1">
        <f>INDEX('DETALLE CRONOLÓGICO'!$D$2:$D$4919,MATCH($A494,'DETALLE CRONOLÓGICO'!$A$2:$A$4919,0))</f>
        <v/>
      </c>
      <c r="H494" s="1">
        <f>INDEX('DETALLE CRONOLÓGICO'!$D$2:$D$4919,MATCH($A494,'DETALLE CRONOLÓGICO'!$A$2:$A$4919,0)+$E494-1)</f>
        <v/>
      </c>
      <c r="I494" s="5">
        <f>IFERROR(SUMIFS('DETALLE CRONOLÓGICO'!$L$2:$L$4919,'DETALLE CRONOLÓGICO'!$A$2:$A$4919,$A494)/$F494,"")</f>
        <v/>
      </c>
      <c r="J494" s="6">
        <f>IFERROR(SUMIFS('DETALLE CRONOLÓGICO'!$K$2:$K$4919,'DETALLE CRONOLÓGICO'!$A$2:$A$4919,$A494)/$E494,"")</f>
        <v/>
      </c>
      <c r="K494" s="6">
        <f>_xlfn.MINIFS('DETALLE CRONOLÓGICO'!$K$2:$K$4919,'DETALLE CRONOLÓGICO'!$A$2:$A$4919,$A494)</f>
        <v/>
      </c>
      <c r="L494" s="6">
        <f>_xlfn.MAXIFS('DETALLE CRONOLÓGICO'!$K$2:$K$4919,'DETALLE CRONOLÓGICO'!$A$2:$A$4919,$A494)</f>
        <v/>
      </c>
      <c r="M494" s="6">
        <f>INDEX('DETALLE CRONOLÓGICO'!$K$2:$K$4919,MATCH($A494,'DETALLE CRONOLÓGICO'!$A$2:$A$4919,0)+$E494-1)</f>
        <v/>
      </c>
      <c r="N494" s="7">
        <f>IFERROR($M494/INDEX('DETALLE CRONOLÓGICO'!$K$2:$K$4919,MATCH($A494,'DETALLE CRONOLÓGICO'!$A$2:$A$4919,0))-1,"")</f>
        <v/>
      </c>
      <c r="O494" s="6">
        <f>IFERROR($I494*3,"")</f>
        <v/>
      </c>
      <c r="P494" s="6">
        <f>IFERROR($I494*3.5,"")</f>
        <v/>
      </c>
      <c r="Q494" s="6">
        <f>IFERROR($I494*4,"")</f>
        <v/>
      </c>
      <c r="R494" s="6" t="n">
        <v>935</v>
      </c>
      <c r="S494" s="4" t="n">
        <v>0</v>
      </c>
      <c r="T494" s="1" t="inlineStr">
        <is>
          <t>active</t>
        </is>
      </c>
      <c r="U494" s="8" t="n"/>
      <c r="V494" s="1" t="inlineStr">
        <is>
          <t>SIN PRECIO</t>
        </is>
      </c>
    </row>
    <row r="495">
      <c r="A495" s="1" t="inlineStr">
        <is>
          <t>33765241120301</t>
        </is>
      </c>
      <c r="B495" s="1" t="inlineStr">
        <is>
          <t>ANILLO LV INSTICT SILVER-9</t>
        </is>
      </c>
      <c r="C495" s="1" t="inlineStr">
        <is>
          <t>9</t>
        </is>
      </c>
      <c r="D495" s="1" t="inlineStr">
        <is>
          <t>HAIFENG</t>
        </is>
      </c>
      <c r="E495" s="4">
        <f>COUNTIF('DETALLE CRONOLÓGICO'!$A$2:$A$4919,$A495)</f>
        <v/>
      </c>
      <c r="F495" s="4">
        <f>SUMIFS('DETALLE CRONOLÓGICO'!$I$2:$I$4919,'DETALLE CRONOLÓGICO'!$A$2:$A$4919,$A495)</f>
        <v/>
      </c>
      <c r="G495" s="1">
        <f>INDEX('DETALLE CRONOLÓGICO'!$D$2:$D$4919,MATCH($A495,'DETALLE CRONOLÓGICO'!$A$2:$A$4919,0))</f>
        <v/>
      </c>
      <c r="H495" s="1">
        <f>INDEX('DETALLE CRONOLÓGICO'!$D$2:$D$4919,MATCH($A495,'DETALLE CRONOLÓGICO'!$A$2:$A$4919,0)+$E495-1)</f>
        <v/>
      </c>
      <c r="I495" s="5">
        <f>IFERROR(SUMIFS('DETALLE CRONOLÓGICO'!$L$2:$L$4919,'DETALLE CRONOLÓGICO'!$A$2:$A$4919,$A495)/$F495,"")</f>
        <v/>
      </c>
      <c r="J495" s="6">
        <f>IFERROR(SUMIFS('DETALLE CRONOLÓGICO'!$K$2:$K$4919,'DETALLE CRONOLÓGICO'!$A$2:$A$4919,$A495)/$E495,"")</f>
        <v/>
      </c>
      <c r="K495" s="6">
        <f>_xlfn.MINIFS('DETALLE CRONOLÓGICO'!$K$2:$K$4919,'DETALLE CRONOLÓGICO'!$A$2:$A$4919,$A495)</f>
        <v/>
      </c>
      <c r="L495" s="6">
        <f>_xlfn.MAXIFS('DETALLE CRONOLÓGICO'!$K$2:$K$4919,'DETALLE CRONOLÓGICO'!$A$2:$A$4919,$A495)</f>
        <v/>
      </c>
      <c r="M495" s="6">
        <f>INDEX('DETALLE CRONOLÓGICO'!$K$2:$K$4919,MATCH($A495,'DETALLE CRONOLÓGICO'!$A$2:$A$4919,0)+$E495-1)</f>
        <v/>
      </c>
      <c r="N495" s="7">
        <f>IFERROR($M495/INDEX('DETALLE CRONOLÓGICO'!$K$2:$K$4919,MATCH($A495,'DETALLE CRONOLÓGICO'!$A$2:$A$4919,0))-1,"")</f>
        <v/>
      </c>
      <c r="O495" s="6">
        <f>IFERROR($I495*3,"")</f>
        <v/>
      </c>
      <c r="P495" s="6">
        <f>IFERROR($I495*3.5,"")</f>
        <v/>
      </c>
      <c r="Q495" s="6">
        <f>IFERROR($I495*4,"")</f>
        <v/>
      </c>
      <c r="R495" s="6" t="n">
        <v>560</v>
      </c>
      <c r="S495" s="4" t="n">
        <v>3</v>
      </c>
      <c r="T495" s="1" t="inlineStr">
        <is>
          <t>active</t>
        </is>
      </c>
      <c r="U495" s="8" t="n"/>
      <c r="V495" s="1" t="inlineStr">
        <is>
          <t>SIN PRECIO</t>
        </is>
      </c>
    </row>
    <row r="496">
      <c r="A496" s="1" t="inlineStr">
        <is>
          <t>3378841221933</t>
        </is>
      </c>
      <c r="B496" s="1" t="inlineStr">
        <is>
          <t>BALLERINAS LV BROWN CON INSIGNIAS</t>
        </is>
      </c>
      <c r="C496" s="1" t="inlineStr">
        <is>
          <t>24CM</t>
        </is>
      </c>
      <c r="D496" s="1" t="inlineStr">
        <is>
          <t>ZOEY</t>
        </is>
      </c>
      <c r="E496" s="4">
        <f>COUNTIF('DETALLE CRONOLÓGICO'!$A$2:$A$4919,$A496)</f>
        <v/>
      </c>
      <c r="F496" s="4">
        <f>SUMIFS('DETALLE CRONOLÓGICO'!$I$2:$I$4919,'DETALLE CRONOLÓGICO'!$A$2:$A$4919,$A496)</f>
        <v/>
      </c>
      <c r="G496" s="1">
        <f>INDEX('DETALLE CRONOLÓGICO'!$D$2:$D$4919,MATCH($A496,'DETALLE CRONOLÓGICO'!$A$2:$A$4919,0))</f>
        <v/>
      </c>
      <c r="H496" s="1">
        <f>INDEX('DETALLE CRONOLÓGICO'!$D$2:$D$4919,MATCH($A496,'DETALLE CRONOLÓGICO'!$A$2:$A$4919,0)+$E496-1)</f>
        <v/>
      </c>
      <c r="I496" s="5">
        <f>IFERROR(SUMIFS('DETALLE CRONOLÓGICO'!$L$2:$L$4919,'DETALLE CRONOLÓGICO'!$A$2:$A$4919,$A496)/$F496,"")</f>
        <v/>
      </c>
      <c r="J496" s="6">
        <f>IFERROR(SUMIFS('DETALLE CRONOLÓGICO'!$K$2:$K$4919,'DETALLE CRONOLÓGICO'!$A$2:$A$4919,$A496)/$E496,"")</f>
        <v/>
      </c>
      <c r="K496" s="6">
        <f>_xlfn.MINIFS('DETALLE CRONOLÓGICO'!$K$2:$K$4919,'DETALLE CRONOLÓGICO'!$A$2:$A$4919,$A496)</f>
        <v/>
      </c>
      <c r="L496" s="6">
        <f>_xlfn.MAXIFS('DETALLE CRONOLÓGICO'!$K$2:$K$4919,'DETALLE CRONOLÓGICO'!$A$2:$A$4919,$A496)</f>
        <v/>
      </c>
      <c r="M496" s="6">
        <f>INDEX('DETALLE CRONOLÓGICO'!$K$2:$K$4919,MATCH($A496,'DETALLE CRONOLÓGICO'!$A$2:$A$4919,0)+$E496-1)</f>
        <v/>
      </c>
      <c r="N496" s="7">
        <f>IFERROR($M496/INDEX('DETALLE CRONOLÓGICO'!$K$2:$K$4919,MATCH($A496,'DETALLE CRONOLÓGICO'!$A$2:$A$4919,0))-1,"")</f>
        <v/>
      </c>
      <c r="O496" s="6">
        <f>IFERROR($I496*3,"")</f>
        <v/>
      </c>
      <c r="P496" s="6">
        <f>IFERROR($I496*3.5,"")</f>
        <v/>
      </c>
      <c r="Q496" s="6">
        <f>IFERROR($I496*4,"")</f>
        <v/>
      </c>
      <c r="R496" s="6" t="n"/>
      <c r="S496" s="4" t="n"/>
      <c r="T496" s="1" t="inlineStr">
        <is>
          <t>YA NO EXISTE EN SHOPIFY</t>
        </is>
      </c>
      <c r="U496" s="8" t="n"/>
      <c r="V496" s="1" t="inlineStr">
        <is>
          <t>SIN PRECIO</t>
        </is>
      </c>
    </row>
    <row r="497">
      <c r="A497" s="1" t="inlineStr">
        <is>
          <t>33794531202829</t>
        </is>
      </c>
      <c r="B497" s="1" t="inlineStr">
        <is>
          <t>LENTES CD GLOW S1</t>
        </is>
      </c>
      <c r="C497" s="1" t="inlineStr">
        <is>
          <t>Default Title</t>
        </is>
      </c>
      <c r="D497" s="1" t="inlineStr">
        <is>
          <t>ZOEY</t>
        </is>
      </c>
      <c r="E497" s="4">
        <f>COUNTIF('DETALLE CRONOLÓGICO'!$A$2:$A$4919,$A497)</f>
        <v/>
      </c>
      <c r="F497" s="4">
        <f>SUMIFS('DETALLE CRONOLÓGICO'!$I$2:$I$4919,'DETALLE CRONOLÓGICO'!$A$2:$A$4919,$A497)</f>
        <v/>
      </c>
      <c r="G497" s="1">
        <f>INDEX('DETALLE CRONOLÓGICO'!$D$2:$D$4919,MATCH($A497,'DETALLE CRONOLÓGICO'!$A$2:$A$4919,0))</f>
        <v/>
      </c>
      <c r="H497" s="1">
        <f>INDEX('DETALLE CRONOLÓGICO'!$D$2:$D$4919,MATCH($A497,'DETALLE CRONOLÓGICO'!$A$2:$A$4919,0)+$E497-1)</f>
        <v/>
      </c>
      <c r="I497" s="5">
        <f>IFERROR(SUMIFS('DETALLE CRONOLÓGICO'!$L$2:$L$4919,'DETALLE CRONOLÓGICO'!$A$2:$A$4919,$A497)/$F497,"")</f>
        <v/>
      </c>
      <c r="J497" s="6">
        <f>IFERROR(SUMIFS('DETALLE CRONOLÓGICO'!$K$2:$K$4919,'DETALLE CRONOLÓGICO'!$A$2:$A$4919,$A497)/$E497,"")</f>
        <v/>
      </c>
      <c r="K497" s="6">
        <f>_xlfn.MINIFS('DETALLE CRONOLÓGICO'!$K$2:$K$4919,'DETALLE CRONOLÓGICO'!$A$2:$A$4919,$A497)</f>
        <v/>
      </c>
      <c r="L497" s="6">
        <f>_xlfn.MAXIFS('DETALLE CRONOLÓGICO'!$K$2:$K$4919,'DETALLE CRONOLÓGICO'!$A$2:$A$4919,$A497)</f>
        <v/>
      </c>
      <c r="M497" s="6">
        <f>INDEX('DETALLE CRONOLÓGICO'!$K$2:$K$4919,MATCH($A497,'DETALLE CRONOLÓGICO'!$A$2:$A$4919,0)+$E497-1)</f>
        <v/>
      </c>
      <c r="N497" s="7">
        <f>IFERROR($M497/INDEX('DETALLE CRONOLÓGICO'!$K$2:$K$4919,MATCH($A497,'DETALLE CRONOLÓGICO'!$A$2:$A$4919,0))-1,"")</f>
        <v/>
      </c>
      <c r="O497" s="6">
        <f>IFERROR($I497*3,"")</f>
        <v/>
      </c>
      <c r="P497" s="6">
        <f>IFERROR($I497*3.5,"")</f>
        <v/>
      </c>
      <c r="Q497" s="6">
        <f>IFERROR($I497*4,"")</f>
        <v/>
      </c>
      <c r="R497" s="6" t="n">
        <v>3399</v>
      </c>
      <c r="S497" s="4" t="n">
        <v>4</v>
      </c>
      <c r="T497" s="1" t="inlineStr">
        <is>
          <t>active</t>
        </is>
      </c>
      <c r="U497" s="8" t="n"/>
      <c r="V497" s="1" t="inlineStr">
        <is>
          <t>SIN PRECIO</t>
        </is>
      </c>
    </row>
    <row r="498">
      <c r="A498" s="1" t="inlineStr">
        <is>
          <t>33794532055533</t>
        </is>
      </c>
      <c r="B498" s="1" t="inlineStr">
        <is>
          <t>TARJETERO MM NAPA</t>
        </is>
      </c>
      <c r="C498" s="1" t="inlineStr">
        <is>
          <t>Default Title</t>
        </is>
      </c>
      <c r="D498" s="1" t="inlineStr">
        <is>
          <t>ZOEY</t>
        </is>
      </c>
      <c r="E498" s="4">
        <f>COUNTIF('DETALLE CRONOLÓGICO'!$A$2:$A$4919,$A498)</f>
        <v/>
      </c>
      <c r="F498" s="4">
        <f>SUMIFS('DETALLE CRONOLÓGICO'!$I$2:$I$4919,'DETALLE CRONOLÓGICO'!$A$2:$A$4919,$A498)</f>
        <v/>
      </c>
      <c r="G498" s="1">
        <f>INDEX('DETALLE CRONOLÓGICO'!$D$2:$D$4919,MATCH($A498,'DETALLE CRONOLÓGICO'!$A$2:$A$4919,0))</f>
        <v/>
      </c>
      <c r="H498" s="1">
        <f>INDEX('DETALLE CRONOLÓGICO'!$D$2:$D$4919,MATCH($A498,'DETALLE CRONOLÓGICO'!$A$2:$A$4919,0)+$E498-1)</f>
        <v/>
      </c>
      <c r="I498" s="5">
        <f>IFERROR(SUMIFS('DETALLE CRONOLÓGICO'!$L$2:$L$4919,'DETALLE CRONOLÓGICO'!$A$2:$A$4919,$A498)/$F498,"")</f>
        <v/>
      </c>
      <c r="J498" s="6">
        <f>IFERROR(SUMIFS('DETALLE CRONOLÓGICO'!$K$2:$K$4919,'DETALLE CRONOLÓGICO'!$A$2:$A$4919,$A498)/$E498,"")</f>
        <v/>
      </c>
      <c r="K498" s="6">
        <f>_xlfn.MINIFS('DETALLE CRONOLÓGICO'!$K$2:$K$4919,'DETALLE CRONOLÓGICO'!$A$2:$A$4919,$A498)</f>
        <v/>
      </c>
      <c r="L498" s="6">
        <f>_xlfn.MAXIFS('DETALLE CRONOLÓGICO'!$K$2:$K$4919,'DETALLE CRONOLÓGICO'!$A$2:$A$4919,$A498)</f>
        <v/>
      </c>
      <c r="M498" s="6">
        <f>INDEX('DETALLE CRONOLÓGICO'!$K$2:$K$4919,MATCH($A498,'DETALLE CRONOLÓGICO'!$A$2:$A$4919,0)+$E498-1)</f>
        <v/>
      </c>
      <c r="N498" s="7">
        <f>IFERROR($M498/INDEX('DETALLE CRONOLÓGICO'!$K$2:$K$4919,MATCH($A498,'DETALLE CRONOLÓGICO'!$A$2:$A$4919,0))-1,"")</f>
        <v/>
      </c>
      <c r="O498" s="6">
        <f>IFERROR($I498*3,"")</f>
        <v/>
      </c>
      <c r="P498" s="6">
        <f>IFERROR($I498*3.5,"")</f>
        <v/>
      </c>
      <c r="Q498" s="6">
        <f>IFERROR($I498*4,"")</f>
        <v/>
      </c>
      <c r="R498" s="6" t="n">
        <v>1599</v>
      </c>
      <c r="S498" s="4" t="n">
        <v>2</v>
      </c>
      <c r="T498" s="1" t="inlineStr">
        <is>
          <t>active</t>
        </is>
      </c>
      <c r="U498" s="8" t="n"/>
      <c r="V498" s="1" t="inlineStr">
        <is>
          <t>SIN PRECIO</t>
        </is>
      </c>
    </row>
    <row r="499">
      <c r="A499" s="1" t="inlineStr">
        <is>
          <t>33801891077645</t>
        </is>
      </c>
      <c r="B499" s="1" t="inlineStr">
        <is>
          <t>COLLAR BV SILVER SERPIENTE</t>
        </is>
      </c>
      <c r="C499" s="1" t="inlineStr">
        <is>
          <t>Default Title</t>
        </is>
      </c>
      <c r="D499" s="1" t="inlineStr">
        <is>
          <t>HAIFENG</t>
        </is>
      </c>
      <c r="E499" s="4">
        <f>COUNTIF('DETALLE CRONOLÓGICO'!$A$2:$A$4919,$A499)</f>
        <v/>
      </c>
      <c r="F499" s="4">
        <f>SUMIFS('DETALLE CRONOLÓGICO'!$I$2:$I$4919,'DETALLE CRONOLÓGICO'!$A$2:$A$4919,$A499)</f>
        <v/>
      </c>
      <c r="G499" s="1">
        <f>INDEX('DETALLE CRONOLÓGICO'!$D$2:$D$4919,MATCH($A499,'DETALLE CRONOLÓGICO'!$A$2:$A$4919,0))</f>
        <v/>
      </c>
      <c r="H499" s="1">
        <f>INDEX('DETALLE CRONOLÓGICO'!$D$2:$D$4919,MATCH($A499,'DETALLE CRONOLÓGICO'!$A$2:$A$4919,0)+$E499-1)</f>
        <v/>
      </c>
      <c r="I499" s="5">
        <f>IFERROR(SUMIFS('DETALLE CRONOLÓGICO'!$L$2:$L$4919,'DETALLE CRONOLÓGICO'!$A$2:$A$4919,$A499)/$F499,"")</f>
        <v/>
      </c>
      <c r="J499" s="6">
        <f>IFERROR(SUMIFS('DETALLE CRONOLÓGICO'!$K$2:$K$4919,'DETALLE CRONOLÓGICO'!$A$2:$A$4919,$A499)/$E499,"")</f>
        <v/>
      </c>
      <c r="K499" s="6">
        <f>_xlfn.MINIFS('DETALLE CRONOLÓGICO'!$K$2:$K$4919,'DETALLE CRONOLÓGICO'!$A$2:$A$4919,$A499)</f>
        <v/>
      </c>
      <c r="L499" s="6">
        <f>_xlfn.MAXIFS('DETALLE CRONOLÓGICO'!$K$2:$K$4919,'DETALLE CRONOLÓGICO'!$A$2:$A$4919,$A499)</f>
        <v/>
      </c>
      <c r="M499" s="6">
        <f>INDEX('DETALLE CRONOLÓGICO'!$K$2:$K$4919,MATCH($A499,'DETALLE CRONOLÓGICO'!$A$2:$A$4919,0)+$E499-1)</f>
        <v/>
      </c>
      <c r="N499" s="7">
        <f>IFERROR($M499/INDEX('DETALLE CRONOLÓGICO'!$K$2:$K$4919,MATCH($A499,'DETALLE CRONOLÓGICO'!$A$2:$A$4919,0))-1,"")</f>
        <v/>
      </c>
      <c r="O499" s="6">
        <f>IFERROR($I499*3,"")</f>
        <v/>
      </c>
      <c r="P499" s="6">
        <f>IFERROR($I499*3.5,"")</f>
        <v/>
      </c>
      <c r="Q499" s="6">
        <f>IFERROR($I499*4,"")</f>
        <v/>
      </c>
      <c r="R499" s="6" t="n">
        <v>576.8</v>
      </c>
      <c r="S499" s="4" t="n">
        <v>1</v>
      </c>
      <c r="T499" s="1" t="inlineStr">
        <is>
          <t>active</t>
        </is>
      </c>
      <c r="U499" s="8" t="n"/>
      <c r="V499" s="1" t="inlineStr">
        <is>
          <t>SIN PRECIO</t>
        </is>
      </c>
    </row>
    <row r="500">
      <c r="A500" s="1" t="inlineStr">
        <is>
          <t>3382853668492</t>
        </is>
      </c>
      <c r="B500" s="1" t="inlineStr">
        <is>
          <t>GORRA C BLACK</t>
        </is>
      </c>
      <c r="C500" s="1" t="inlineStr">
        <is>
          <t>M (AJUSTABLE)</t>
        </is>
      </c>
      <c r="D500" s="1" t="inlineStr">
        <is>
          <t>ZOEY</t>
        </is>
      </c>
      <c r="E500" s="4">
        <f>COUNTIF('DETALLE CRONOLÓGICO'!$A$2:$A$4919,$A500)</f>
        <v/>
      </c>
      <c r="F500" s="4">
        <f>SUMIFS('DETALLE CRONOLÓGICO'!$I$2:$I$4919,'DETALLE CRONOLÓGICO'!$A$2:$A$4919,$A500)</f>
        <v/>
      </c>
      <c r="G500" s="1">
        <f>INDEX('DETALLE CRONOLÓGICO'!$D$2:$D$4919,MATCH($A500,'DETALLE CRONOLÓGICO'!$A$2:$A$4919,0))</f>
        <v/>
      </c>
      <c r="H500" s="1">
        <f>INDEX('DETALLE CRONOLÓGICO'!$D$2:$D$4919,MATCH($A500,'DETALLE CRONOLÓGICO'!$A$2:$A$4919,0)+$E500-1)</f>
        <v/>
      </c>
      <c r="I500" s="5">
        <f>IFERROR(SUMIFS('DETALLE CRONOLÓGICO'!$L$2:$L$4919,'DETALLE CRONOLÓGICO'!$A$2:$A$4919,$A500)/$F500,"")</f>
        <v/>
      </c>
      <c r="J500" s="6">
        <f>IFERROR(SUMIFS('DETALLE CRONOLÓGICO'!$K$2:$K$4919,'DETALLE CRONOLÓGICO'!$A$2:$A$4919,$A500)/$E500,"")</f>
        <v/>
      </c>
      <c r="K500" s="6">
        <f>_xlfn.MINIFS('DETALLE CRONOLÓGICO'!$K$2:$K$4919,'DETALLE CRONOLÓGICO'!$A$2:$A$4919,$A500)</f>
        <v/>
      </c>
      <c r="L500" s="6">
        <f>_xlfn.MAXIFS('DETALLE CRONOLÓGICO'!$K$2:$K$4919,'DETALLE CRONOLÓGICO'!$A$2:$A$4919,$A500)</f>
        <v/>
      </c>
      <c r="M500" s="6">
        <f>INDEX('DETALLE CRONOLÓGICO'!$K$2:$K$4919,MATCH($A500,'DETALLE CRONOLÓGICO'!$A$2:$A$4919,0)+$E500-1)</f>
        <v/>
      </c>
      <c r="N500" s="7">
        <f>IFERROR($M500/INDEX('DETALLE CRONOLÓGICO'!$K$2:$K$4919,MATCH($A500,'DETALLE CRONOLÓGICO'!$A$2:$A$4919,0))-1,"")</f>
        <v/>
      </c>
      <c r="O500" s="6">
        <f>IFERROR($I500*3,"")</f>
        <v/>
      </c>
      <c r="P500" s="6">
        <f>IFERROR($I500*3.5,"")</f>
        <v/>
      </c>
      <c r="Q500" s="6">
        <f>IFERROR($I500*4,"")</f>
        <v/>
      </c>
      <c r="R500" s="6" t="n">
        <v>1859</v>
      </c>
      <c r="S500" s="4" t="n">
        <v>2</v>
      </c>
      <c r="T500" s="1" t="inlineStr">
        <is>
          <t>active</t>
        </is>
      </c>
      <c r="U500" s="8" t="n"/>
      <c r="V500" s="1" t="inlineStr">
        <is>
          <t>SIN PRECIO</t>
        </is>
      </c>
    </row>
    <row r="501">
      <c r="A501" s="1" t="inlineStr">
        <is>
          <t>3382860722828</t>
        </is>
      </c>
      <c r="B501" s="1" t="inlineStr">
        <is>
          <t>GORRA C LOGO BLACK</t>
        </is>
      </c>
      <c r="C501" s="1" t="inlineStr">
        <is>
          <t>AJUSTABLE</t>
        </is>
      </c>
      <c r="D501" s="1" t="inlineStr">
        <is>
          <t>CYNTHIA</t>
        </is>
      </c>
      <c r="E501" s="4">
        <f>COUNTIF('DETALLE CRONOLÓGICO'!$A$2:$A$4919,$A501)</f>
        <v/>
      </c>
      <c r="F501" s="4">
        <f>SUMIFS('DETALLE CRONOLÓGICO'!$I$2:$I$4919,'DETALLE CRONOLÓGICO'!$A$2:$A$4919,$A501)</f>
        <v/>
      </c>
      <c r="G501" s="1">
        <f>INDEX('DETALLE CRONOLÓGICO'!$D$2:$D$4919,MATCH($A501,'DETALLE CRONOLÓGICO'!$A$2:$A$4919,0))</f>
        <v/>
      </c>
      <c r="H501" s="1">
        <f>INDEX('DETALLE CRONOLÓGICO'!$D$2:$D$4919,MATCH($A501,'DETALLE CRONOLÓGICO'!$A$2:$A$4919,0)+$E501-1)</f>
        <v/>
      </c>
      <c r="I501" s="5">
        <f>IFERROR(SUMIFS('DETALLE CRONOLÓGICO'!$L$2:$L$4919,'DETALLE CRONOLÓGICO'!$A$2:$A$4919,$A501)/$F501,"")</f>
        <v/>
      </c>
      <c r="J501" s="6">
        <f>IFERROR(SUMIFS('DETALLE CRONOLÓGICO'!$K$2:$K$4919,'DETALLE CRONOLÓGICO'!$A$2:$A$4919,$A501)/$E501,"")</f>
        <v/>
      </c>
      <c r="K501" s="6">
        <f>_xlfn.MINIFS('DETALLE CRONOLÓGICO'!$K$2:$K$4919,'DETALLE CRONOLÓGICO'!$A$2:$A$4919,$A501)</f>
        <v/>
      </c>
      <c r="L501" s="6">
        <f>_xlfn.MAXIFS('DETALLE CRONOLÓGICO'!$K$2:$K$4919,'DETALLE CRONOLÓGICO'!$A$2:$A$4919,$A501)</f>
        <v/>
      </c>
      <c r="M501" s="6">
        <f>INDEX('DETALLE CRONOLÓGICO'!$K$2:$K$4919,MATCH($A501,'DETALLE CRONOLÓGICO'!$A$2:$A$4919,0)+$E501-1)</f>
        <v/>
      </c>
      <c r="N501" s="7">
        <f>IFERROR($M501/INDEX('DETALLE CRONOLÓGICO'!$K$2:$K$4919,MATCH($A501,'DETALLE CRONOLÓGICO'!$A$2:$A$4919,0))-1,"")</f>
        <v/>
      </c>
      <c r="O501" s="6">
        <f>IFERROR($I501*3,"")</f>
        <v/>
      </c>
      <c r="P501" s="6">
        <f>IFERROR($I501*3.5,"")</f>
        <v/>
      </c>
      <c r="Q501" s="6">
        <f>IFERROR($I501*4,"")</f>
        <v/>
      </c>
      <c r="R501" s="6" t="n">
        <v>899</v>
      </c>
      <c r="S501" s="4" t="n">
        <v>5</v>
      </c>
      <c r="T501" s="1" t="inlineStr">
        <is>
          <t>active</t>
        </is>
      </c>
      <c r="U501" s="8" t="n"/>
      <c r="V501" s="1" t="inlineStr">
        <is>
          <t>SIN PRECIO</t>
        </is>
      </c>
    </row>
    <row r="502">
      <c r="A502" s="1" t="inlineStr">
        <is>
          <t>3382867546764</t>
        </is>
      </c>
      <c r="B502" s="1" t="inlineStr">
        <is>
          <t>GORRA C BEIGE</t>
        </is>
      </c>
      <c r="C502" s="1" t="inlineStr">
        <is>
          <t>M (AJUSTABLE</t>
        </is>
      </c>
      <c r="D502" s="1" t="inlineStr">
        <is>
          <t>ZOEY</t>
        </is>
      </c>
      <c r="E502" s="4">
        <f>COUNTIF('DETALLE CRONOLÓGICO'!$A$2:$A$4919,$A502)</f>
        <v/>
      </c>
      <c r="F502" s="4">
        <f>SUMIFS('DETALLE CRONOLÓGICO'!$I$2:$I$4919,'DETALLE CRONOLÓGICO'!$A$2:$A$4919,$A502)</f>
        <v/>
      </c>
      <c r="G502" s="1">
        <f>INDEX('DETALLE CRONOLÓGICO'!$D$2:$D$4919,MATCH($A502,'DETALLE CRONOLÓGICO'!$A$2:$A$4919,0))</f>
        <v/>
      </c>
      <c r="H502" s="1">
        <f>INDEX('DETALLE CRONOLÓGICO'!$D$2:$D$4919,MATCH($A502,'DETALLE CRONOLÓGICO'!$A$2:$A$4919,0)+$E502-1)</f>
        <v/>
      </c>
      <c r="I502" s="5">
        <f>IFERROR(SUMIFS('DETALLE CRONOLÓGICO'!$L$2:$L$4919,'DETALLE CRONOLÓGICO'!$A$2:$A$4919,$A502)/$F502,"")</f>
        <v/>
      </c>
      <c r="J502" s="6">
        <f>IFERROR(SUMIFS('DETALLE CRONOLÓGICO'!$K$2:$K$4919,'DETALLE CRONOLÓGICO'!$A$2:$A$4919,$A502)/$E502,"")</f>
        <v/>
      </c>
      <c r="K502" s="6">
        <f>_xlfn.MINIFS('DETALLE CRONOLÓGICO'!$K$2:$K$4919,'DETALLE CRONOLÓGICO'!$A$2:$A$4919,$A502)</f>
        <v/>
      </c>
      <c r="L502" s="6">
        <f>_xlfn.MAXIFS('DETALLE CRONOLÓGICO'!$K$2:$K$4919,'DETALLE CRONOLÓGICO'!$A$2:$A$4919,$A502)</f>
        <v/>
      </c>
      <c r="M502" s="6">
        <f>INDEX('DETALLE CRONOLÓGICO'!$K$2:$K$4919,MATCH($A502,'DETALLE CRONOLÓGICO'!$A$2:$A$4919,0)+$E502-1)</f>
        <v/>
      </c>
      <c r="N502" s="7">
        <f>IFERROR($M502/INDEX('DETALLE CRONOLÓGICO'!$K$2:$K$4919,MATCH($A502,'DETALLE CRONOLÓGICO'!$A$2:$A$4919,0))-1,"")</f>
        <v/>
      </c>
      <c r="O502" s="6">
        <f>IFERROR($I502*3,"")</f>
        <v/>
      </c>
      <c r="P502" s="6">
        <f>IFERROR($I502*3.5,"")</f>
        <v/>
      </c>
      <c r="Q502" s="6">
        <f>IFERROR($I502*4,"")</f>
        <v/>
      </c>
      <c r="R502" s="6" t="n">
        <v>1845</v>
      </c>
      <c r="S502" s="4" t="n">
        <v>5</v>
      </c>
      <c r="T502" s="1" t="inlineStr">
        <is>
          <t>active</t>
        </is>
      </c>
      <c r="U502" s="8" t="n"/>
      <c r="V502" s="1" t="inlineStr">
        <is>
          <t>SIN PRECIO</t>
        </is>
      </c>
    </row>
    <row r="503">
      <c r="A503" s="1" t="inlineStr">
        <is>
          <t>33891171089901</t>
        </is>
      </c>
      <c r="B503" s="1" t="inlineStr">
        <is>
          <t>BOLSO YSL CHAROL CHERRY 37</t>
        </is>
      </c>
      <c r="C503" s="1" t="n"/>
      <c r="D503" s="1" t="inlineStr">
        <is>
          <t>ZOEY</t>
        </is>
      </c>
      <c r="E503" s="4">
        <f>COUNTIF('DETALLE CRONOLÓGICO'!$A$2:$A$4919,$A503)</f>
        <v/>
      </c>
      <c r="F503" s="4">
        <f>SUMIFS('DETALLE CRONOLÓGICO'!$I$2:$I$4919,'DETALLE CRONOLÓGICO'!$A$2:$A$4919,$A503)</f>
        <v/>
      </c>
      <c r="G503" s="1">
        <f>INDEX('DETALLE CRONOLÓGICO'!$D$2:$D$4919,MATCH($A503,'DETALLE CRONOLÓGICO'!$A$2:$A$4919,0))</f>
        <v/>
      </c>
      <c r="H503" s="1">
        <f>INDEX('DETALLE CRONOLÓGICO'!$D$2:$D$4919,MATCH($A503,'DETALLE CRONOLÓGICO'!$A$2:$A$4919,0)+$E503-1)</f>
        <v/>
      </c>
      <c r="I503" s="5">
        <f>IFERROR(SUMIFS('DETALLE CRONOLÓGICO'!$L$2:$L$4919,'DETALLE CRONOLÓGICO'!$A$2:$A$4919,$A503)/$F503,"")</f>
        <v/>
      </c>
      <c r="J503" s="6">
        <f>IFERROR(SUMIFS('DETALLE CRONOLÓGICO'!$K$2:$K$4919,'DETALLE CRONOLÓGICO'!$A$2:$A$4919,$A503)/$E503,"")</f>
        <v/>
      </c>
      <c r="K503" s="6">
        <f>_xlfn.MINIFS('DETALLE CRONOLÓGICO'!$K$2:$K$4919,'DETALLE CRONOLÓGICO'!$A$2:$A$4919,$A503)</f>
        <v/>
      </c>
      <c r="L503" s="6">
        <f>_xlfn.MAXIFS('DETALLE CRONOLÓGICO'!$K$2:$K$4919,'DETALLE CRONOLÓGICO'!$A$2:$A$4919,$A503)</f>
        <v/>
      </c>
      <c r="M503" s="6">
        <f>INDEX('DETALLE CRONOLÓGICO'!$K$2:$K$4919,MATCH($A503,'DETALLE CRONOLÓGICO'!$A$2:$A$4919,0)+$E503-1)</f>
        <v/>
      </c>
      <c r="N503" s="7">
        <f>IFERROR($M503/INDEX('DETALLE CRONOLÓGICO'!$K$2:$K$4919,MATCH($A503,'DETALLE CRONOLÓGICO'!$A$2:$A$4919,0))-1,"")</f>
        <v/>
      </c>
      <c r="O503" s="6">
        <f>IFERROR($I503*3,"")</f>
        <v/>
      </c>
      <c r="P503" s="6">
        <f>IFERROR($I503*3.5,"")</f>
        <v/>
      </c>
      <c r="Q503" s="6">
        <f>IFERROR($I503*4,"")</f>
        <v/>
      </c>
      <c r="R503" s="6" t="n">
        <v>4720</v>
      </c>
      <c r="S503" s="4" t="n">
        <v>1</v>
      </c>
      <c r="T503" s="1" t="inlineStr">
        <is>
          <t>active</t>
        </is>
      </c>
      <c r="U503" s="8" t="n"/>
      <c r="V503" s="1" t="inlineStr">
        <is>
          <t>SIN PRECIO</t>
        </is>
      </c>
    </row>
    <row r="504">
      <c r="A504" s="1" t="inlineStr">
        <is>
          <t>33891171186509</t>
        </is>
      </c>
      <c r="B504" s="1" t="inlineStr">
        <is>
          <t>BOLSO YSL VOLTAIRE BOX</t>
        </is>
      </c>
      <c r="C504" s="1" t="n"/>
      <c r="D504" s="1" t="inlineStr">
        <is>
          <t>ZOEY</t>
        </is>
      </c>
      <c r="E504" s="4">
        <f>COUNTIF('DETALLE CRONOLÓGICO'!$A$2:$A$4919,$A504)</f>
        <v/>
      </c>
      <c r="F504" s="4">
        <f>SUMIFS('DETALLE CRONOLÓGICO'!$I$2:$I$4919,'DETALLE CRONOLÓGICO'!$A$2:$A$4919,$A504)</f>
        <v/>
      </c>
      <c r="G504" s="1">
        <f>INDEX('DETALLE CRONOLÓGICO'!$D$2:$D$4919,MATCH($A504,'DETALLE CRONOLÓGICO'!$A$2:$A$4919,0))</f>
        <v/>
      </c>
      <c r="H504" s="1">
        <f>INDEX('DETALLE CRONOLÓGICO'!$D$2:$D$4919,MATCH($A504,'DETALLE CRONOLÓGICO'!$A$2:$A$4919,0)+$E504-1)</f>
        <v/>
      </c>
      <c r="I504" s="5">
        <f>IFERROR(SUMIFS('DETALLE CRONOLÓGICO'!$L$2:$L$4919,'DETALLE CRONOLÓGICO'!$A$2:$A$4919,$A504)/$F504,"")</f>
        <v/>
      </c>
      <c r="J504" s="6">
        <f>IFERROR(SUMIFS('DETALLE CRONOLÓGICO'!$K$2:$K$4919,'DETALLE CRONOLÓGICO'!$A$2:$A$4919,$A504)/$E504,"")</f>
        <v/>
      </c>
      <c r="K504" s="6">
        <f>_xlfn.MINIFS('DETALLE CRONOLÓGICO'!$K$2:$K$4919,'DETALLE CRONOLÓGICO'!$A$2:$A$4919,$A504)</f>
        <v/>
      </c>
      <c r="L504" s="6">
        <f>_xlfn.MAXIFS('DETALLE CRONOLÓGICO'!$K$2:$K$4919,'DETALLE CRONOLÓGICO'!$A$2:$A$4919,$A504)</f>
        <v/>
      </c>
      <c r="M504" s="6">
        <f>INDEX('DETALLE CRONOLÓGICO'!$K$2:$K$4919,MATCH($A504,'DETALLE CRONOLÓGICO'!$A$2:$A$4919,0)+$E504-1)</f>
        <v/>
      </c>
      <c r="N504" s="7">
        <f>IFERROR($M504/INDEX('DETALLE CRONOLÓGICO'!$K$2:$K$4919,MATCH($A504,'DETALLE CRONOLÓGICO'!$A$2:$A$4919,0))-1,"")</f>
        <v/>
      </c>
      <c r="O504" s="6">
        <f>IFERROR($I504*3,"")</f>
        <v/>
      </c>
      <c r="P504" s="6">
        <f>IFERROR($I504*3.5,"")</f>
        <v/>
      </c>
      <c r="Q504" s="6">
        <f>IFERROR($I504*4,"")</f>
        <v/>
      </c>
      <c r="R504" s="6" t="n">
        <v>5579</v>
      </c>
      <c r="S504" s="4" t="n">
        <v>1</v>
      </c>
      <c r="T504" s="1" t="inlineStr">
        <is>
          <t>active</t>
        </is>
      </c>
      <c r="U504" s="8" t="n"/>
      <c r="V504" s="1" t="inlineStr">
        <is>
          <t>SIN PRECIO</t>
        </is>
      </c>
    </row>
    <row r="505">
      <c r="A505" s="1" t="inlineStr">
        <is>
          <t>33891171250349</t>
        </is>
      </c>
      <c r="B505" s="1" t="inlineStr">
        <is>
          <t>BOLSO H EVELYNE 29</t>
        </is>
      </c>
      <c r="C505" s="1" t="n"/>
      <c r="D505" s="1" t="inlineStr">
        <is>
          <t>ZOEY</t>
        </is>
      </c>
      <c r="E505" s="4">
        <f>COUNTIF('DETALLE CRONOLÓGICO'!$A$2:$A$4919,$A505)</f>
        <v/>
      </c>
      <c r="F505" s="4">
        <f>SUMIFS('DETALLE CRONOLÓGICO'!$I$2:$I$4919,'DETALLE CRONOLÓGICO'!$A$2:$A$4919,$A505)</f>
        <v/>
      </c>
      <c r="G505" s="1">
        <f>INDEX('DETALLE CRONOLÓGICO'!$D$2:$D$4919,MATCH($A505,'DETALLE CRONOLÓGICO'!$A$2:$A$4919,0))</f>
        <v/>
      </c>
      <c r="H505" s="1">
        <f>INDEX('DETALLE CRONOLÓGICO'!$D$2:$D$4919,MATCH($A505,'DETALLE CRONOLÓGICO'!$A$2:$A$4919,0)+$E505-1)</f>
        <v/>
      </c>
      <c r="I505" s="5">
        <f>IFERROR(SUMIFS('DETALLE CRONOLÓGICO'!$L$2:$L$4919,'DETALLE CRONOLÓGICO'!$A$2:$A$4919,$A505)/$F505,"")</f>
        <v/>
      </c>
      <c r="J505" s="6">
        <f>IFERROR(SUMIFS('DETALLE CRONOLÓGICO'!$K$2:$K$4919,'DETALLE CRONOLÓGICO'!$A$2:$A$4919,$A505)/$E505,"")</f>
        <v/>
      </c>
      <c r="K505" s="6">
        <f>_xlfn.MINIFS('DETALLE CRONOLÓGICO'!$K$2:$K$4919,'DETALLE CRONOLÓGICO'!$A$2:$A$4919,$A505)</f>
        <v/>
      </c>
      <c r="L505" s="6">
        <f>_xlfn.MAXIFS('DETALLE CRONOLÓGICO'!$K$2:$K$4919,'DETALLE CRONOLÓGICO'!$A$2:$A$4919,$A505)</f>
        <v/>
      </c>
      <c r="M505" s="6">
        <f>INDEX('DETALLE CRONOLÓGICO'!$K$2:$K$4919,MATCH($A505,'DETALLE CRONOLÓGICO'!$A$2:$A$4919,0)+$E505-1)</f>
        <v/>
      </c>
      <c r="N505" s="7">
        <f>IFERROR($M505/INDEX('DETALLE CRONOLÓGICO'!$K$2:$K$4919,MATCH($A505,'DETALLE CRONOLÓGICO'!$A$2:$A$4919,0))-1,"")</f>
        <v/>
      </c>
      <c r="O505" s="6">
        <f>IFERROR($I505*3,"")</f>
        <v/>
      </c>
      <c r="P505" s="6">
        <f>IFERROR($I505*3.5,"")</f>
        <v/>
      </c>
      <c r="Q505" s="6">
        <f>IFERROR($I505*4,"")</f>
        <v/>
      </c>
      <c r="R505" s="6" t="n">
        <v>5920</v>
      </c>
      <c r="S505" s="4" t="n">
        <v>0</v>
      </c>
      <c r="T505" s="1" t="inlineStr">
        <is>
          <t>active</t>
        </is>
      </c>
      <c r="U505" s="8" t="n"/>
      <c r="V505" s="1" t="inlineStr">
        <is>
          <t>SIN PRECIO</t>
        </is>
      </c>
    </row>
    <row r="506">
      <c r="A506" s="1" t="inlineStr">
        <is>
          <t>33891171359725</t>
        </is>
      </c>
      <c r="B506" s="1" t="inlineStr">
        <is>
          <t>CARTERA CD LIBRO ALARGADA SADDLE</t>
        </is>
      </c>
      <c r="C506" s="1" t="n"/>
      <c r="D506" s="1" t="inlineStr">
        <is>
          <t>ZOEY</t>
        </is>
      </c>
      <c r="E506" s="4">
        <f>COUNTIF('DETALLE CRONOLÓGICO'!$A$2:$A$4919,$A506)</f>
        <v/>
      </c>
      <c r="F506" s="4">
        <f>SUMIFS('DETALLE CRONOLÓGICO'!$I$2:$I$4919,'DETALLE CRONOLÓGICO'!$A$2:$A$4919,$A506)</f>
        <v/>
      </c>
      <c r="G506" s="1">
        <f>INDEX('DETALLE CRONOLÓGICO'!$D$2:$D$4919,MATCH($A506,'DETALLE CRONOLÓGICO'!$A$2:$A$4919,0))</f>
        <v/>
      </c>
      <c r="H506" s="1">
        <f>INDEX('DETALLE CRONOLÓGICO'!$D$2:$D$4919,MATCH($A506,'DETALLE CRONOLÓGICO'!$A$2:$A$4919,0)+$E506-1)</f>
        <v/>
      </c>
      <c r="I506" s="5">
        <f>IFERROR(SUMIFS('DETALLE CRONOLÓGICO'!$L$2:$L$4919,'DETALLE CRONOLÓGICO'!$A$2:$A$4919,$A506)/$F506,"")</f>
        <v/>
      </c>
      <c r="J506" s="6">
        <f>IFERROR(SUMIFS('DETALLE CRONOLÓGICO'!$K$2:$K$4919,'DETALLE CRONOLÓGICO'!$A$2:$A$4919,$A506)/$E506,"")</f>
        <v/>
      </c>
      <c r="K506" s="6">
        <f>_xlfn.MINIFS('DETALLE CRONOLÓGICO'!$K$2:$K$4919,'DETALLE CRONOLÓGICO'!$A$2:$A$4919,$A506)</f>
        <v/>
      </c>
      <c r="L506" s="6">
        <f>_xlfn.MAXIFS('DETALLE CRONOLÓGICO'!$K$2:$K$4919,'DETALLE CRONOLÓGICO'!$A$2:$A$4919,$A506)</f>
        <v/>
      </c>
      <c r="M506" s="6">
        <f>INDEX('DETALLE CRONOLÓGICO'!$K$2:$K$4919,MATCH($A506,'DETALLE CRONOLÓGICO'!$A$2:$A$4919,0)+$E506-1)</f>
        <v/>
      </c>
      <c r="N506" s="7">
        <f>IFERROR($M506/INDEX('DETALLE CRONOLÓGICO'!$K$2:$K$4919,MATCH($A506,'DETALLE CRONOLÓGICO'!$A$2:$A$4919,0))-1,"")</f>
        <v/>
      </c>
      <c r="O506" s="6">
        <f>IFERROR($I506*3,"")</f>
        <v/>
      </c>
      <c r="P506" s="6">
        <f>IFERROR($I506*3.5,"")</f>
        <v/>
      </c>
      <c r="Q506" s="6">
        <f>IFERROR($I506*4,"")</f>
        <v/>
      </c>
      <c r="R506" s="6" t="n">
        <v>2159</v>
      </c>
      <c r="S506" s="4" t="n">
        <v>2</v>
      </c>
      <c r="T506" s="1" t="inlineStr">
        <is>
          <t>active</t>
        </is>
      </c>
      <c r="U506" s="8" t="n"/>
      <c r="V506" s="1" t="inlineStr">
        <is>
          <t>SIN PRECIO</t>
        </is>
      </c>
    </row>
    <row r="507">
      <c r="A507" s="1" t="inlineStr">
        <is>
          <t>33891171489101</t>
        </is>
      </c>
      <c r="B507" s="1" t="inlineStr">
        <is>
          <t>CARTERA CD LIBRO ALARGADA OBLIQUE</t>
        </is>
      </c>
      <c r="C507" s="1" t="n"/>
      <c r="D507" s="1" t="inlineStr">
        <is>
          <t>ZOEY</t>
        </is>
      </c>
      <c r="E507" s="4">
        <f>COUNTIF('DETALLE CRONOLÓGICO'!$A$2:$A$4919,$A507)</f>
        <v/>
      </c>
      <c r="F507" s="4">
        <f>SUMIFS('DETALLE CRONOLÓGICO'!$I$2:$I$4919,'DETALLE CRONOLÓGICO'!$A$2:$A$4919,$A507)</f>
        <v/>
      </c>
      <c r="G507" s="1">
        <f>INDEX('DETALLE CRONOLÓGICO'!$D$2:$D$4919,MATCH($A507,'DETALLE CRONOLÓGICO'!$A$2:$A$4919,0))</f>
        <v/>
      </c>
      <c r="H507" s="1">
        <f>INDEX('DETALLE CRONOLÓGICO'!$D$2:$D$4919,MATCH($A507,'DETALLE CRONOLÓGICO'!$A$2:$A$4919,0)+$E507-1)</f>
        <v/>
      </c>
      <c r="I507" s="5">
        <f>IFERROR(SUMIFS('DETALLE CRONOLÓGICO'!$L$2:$L$4919,'DETALLE CRONOLÓGICO'!$A$2:$A$4919,$A507)/$F507,"")</f>
        <v/>
      </c>
      <c r="J507" s="6">
        <f>IFERROR(SUMIFS('DETALLE CRONOLÓGICO'!$K$2:$K$4919,'DETALLE CRONOLÓGICO'!$A$2:$A$4919,$A507)/$E507,"")</f>
        <v/>
      </c>
      <c r="K507" s="6">
        <f>_xlfn.MINIFS('DETALLE CRONOLÓGICO'!$K$2:$K$4919,'DETALLE CRONOLÓGICO'!$A$2:$A$4919,$A507)</f>
        <v/>
      </c>
      <c r="L507" s="6">
        <f>_xlfn.MAXIFS('DETALLE CRONOLÓGICO'!$K$2:$K$4919,'DETALLE CRONOLÓGICO'!$A$2:$A$4919,$A507)</f>
        <v/>
      </c>
      <c r="M507" s="6">
        <f>INDEX('DETALLE CRONOLÓGICO'!$K$2:$K$4919,MATCH($A507,'DETALLE CRONOLÓGICO'!$A$2:$A$4919,0)+$E507-1)</f>
        <v/>
      </c>
      <c r="N507" s="7">
        <f>IFERROR($M507/INDEX('DETALLE CRONOLÓGICO'!$K$2:$K$4919,MATCH($A507,'DETALLE CRONOLÓGICO'!$A$2:$A$4919,0))-1,"")</f>
        <v/>
      </c>
      <c r="O507" s="6">
        <f>IFERROR($I507*3,"")</f>
        <v/>
      </c>
      <c r="P507" s="6">
        <f>IFERROR($I507*3.5,"")</f>
        <v/>
      </c>
      <c r="Q507" s="6">
        <f>IFERROR($I507*4,"")</f>
        <v/>
      </c>
      <c r="R507" s="6" t="n">
        <v>2200</v>
      </c>
      <c r="S507" s="4" t="n">
        <v>2</v>
      </c>
      <c r="T507" s="1" t="inlineStr">
        <is>
          <t>active</t>
        </is>
      </c>
      <c r="U507" s="8" t="n"/>
      <c r="V507" s="1" t="inlineStr">
        <is>
          <t>SIN PRECIO</t>
        </is>
      </c>
    </row>
    <row r="508">
      <c r="A508" s="1" t="inlineStr">
        <is>
          <t>33891171584013</t>
        </is>
      </c>
      <c r="B508" s="1" t="inlineStr">
        <is>
          <t>CARTERA H SELLIER COMPACT</t>
        </is>
      </c>
      <c r="C508" s="1" t="n"/>
      <c r="D508" s="1" t="inlineStr">
        <is>
          <t>ZOEY</t>
        </is>
      </c>
      <c r="E508" s="4">
        <f>COUNTIF('DETALLE CRONOLÓGICO'!$A$2:$A$4919,$A508)</f>
        <v/>
      </c>
      <c r="F508" s="4">
        <f>SUMIFS('DETALLE CRONOLÓGICO'!$I$2:$I$4919,'DETALLE CRONOLÓGICO'!$A$2:$A$4919,$A508)</f>
        <v/>
      </c>
      <c r="G508" s="1">
        <f>INDEX('DETALLE CRONOLÓGICO'!$D$2:$D$4919,MATCH($A508,'DETALLE CRONOLÓGICO'!$A$2:$A$4919,0))</f>
        <v/>
      </c>
      <c r="H508" s="1">
        <f>INDEX('DETALLE CRONOLÓGICO'!$D$2:$D$4919,MATCH($A508,'DETALLE CRONOLÓGICO'!$A$2:$A$4919,0)+$E508-1)</f>
        <v/>
      </c>
      <c r="I508" s="5">
        <f>IFERROR(SUMIFS('DETALLE CRONOLÓGICO'!$L$2:$L$4919,'DETALLE CRONOLÓGICO'!$A$2:$A$4919,$A508)/$F508,"")</f>
        <v/>
      </c>
      <c r="J508" s="6">
        <f>IFERROR(SUMIFS('DETALLE CRONOLÓGICO'!$K$2:$K$4919,'DETALLE CRONOLÓGICO'!$A$2:$A$4919,$A508)/$E508,"")</f>
        <v/>
      </c>
      <c r="K508" s="6">
        <f>_xlfn.MINIFS('DETALLE CRONOLÓGICO'!$K$2:$K$4919,'DETALLE CRONOLÓGICO'!$A$2:$A$4919,$A508)</f>
        <v/>
      </c>
      <c r="L508" s="6">
        <f>_xlfn.MAXIFS('DETALLE CRONOLÓGICO'!$K$2:$K$4919,'DETALLE CRONOLÓGICO'!$A$2:$A$4919,$A508)</f>
        <v/>
      </c>
      <c r="M508" s="6">
        <f>INDEX('DETALLE CRONOLÓGICO'!$K$2:$K$4919,MATCH($A508,'DETALLE CRONOLÓGICO'!$A$2:$A$4919,0)+$E508-1)</f>
        <v/>
      </c>
      <c r="N508" s="7">
        <f>IFERROR($M508/INDEX('DETALLE CRONOLÓGICO'!$K$2:$K$4919,MATCH($A508,'DETALLE CRONOLÓGICO'!$A$2:$A$4919,0))-1,"")</f>
        <v/>
      </c>
      <c r="O508" s="6">
        <f>IFERROR($I508*3,"")</f>
        <v/>
      </c>
      <c r="P508" s="6">
        <f>IFERROR($I508*3.5,"")</f>
        <v/>
      </c>
      <c r="Q508" s="6">
        <f>IFERROR($I508*4,"")</f>
        <v/>
      </c>
      <c r="R508" s="6" t="n">
        <v>2059</v>
      </c>
      <c r="S508" s="4" t="n">
        <v>2</v>
      </c>
      <c r="T508" s="1" t="inlineStr">
        <is>
          <t>active</t>
        </is>
      </c>
      <c r="U508" s="8" t="n"/>
      <c r="V508" s="1" t="inlineStr">
        <is>
          <t>SIN PRECIO</t>
        </is>
      </c>
    </row>
    <row r="509">
      <c r="A509" s="1" t="inlineStr">
        <is>
          <t>33891171670445</t>
        </is>
      </c>
      <c r="B509" s="1" t="inlineStr">
        <is>
          <t>CARTERA H SELLIER COMPACT BLACK</t>
        </is>
      </c>
      <c r="C509" s="1" t="n"/>
      <c r="D509" s="1" t="inlineStr">
        <is>
          <t>ZOEY</t>
        </is>
      </c>
      <c r="E509" s="4">
        <f>COUNTIF('DETALLE CRONOLÓGICO'!$A$2:$A$4919,$A509)</f>
        <v/>
      </c>
      <c r="F509" s="4">
        <f>SUMIFS('DETALLE CRONOLÓGICO'!$I$2:$I$4919,'DETALLE CRONOLÓGICO'!$A$2:$A$4919,$A509)</f>
        <v/>
      </c>
      <c r="G509" s="1">
        <f>INDEX('DETALLE CRONOLÓGICO'!$D$2:$D$4919,MATCH($A509,'DETALLE CRONOLÓGICO'!$A$2:$A$4919,0))</f>
        <v/>
      </c>
      <c r="H509" s="1">
        <f>INDEX('DETALLE CRONOLÓGICO'!$D$2:$D$4919,MATCH($A509,'DETALLE CRONOLÓGICO'!$A$2:$A$4919,0)+$E509-1)</f>
        <v/>
      </c>
      <c r="I509" s="5">
        <f>IFERROR(SUMIFS('DETALLE CRONOLÓGICO'!$L$2:$L$4919,'DETALLE CRONOLÓGICO'!$A$2:$A$4919,$A509)/$F509,"")</f>
        <v/>
      </c>
      <c r="J509" s="6">
        <f>IFERROR(SUMIFS('DETALLE CRONOLÓGICO'!$K$2:$K$4919,'DETALLE CRONOLÓGICO'!$A$2:$A$4919,$A509)/$E509,"")</f>
        <v/>
      </c>
      <c r="K509" s="6">
        <f>_xlfn.MINIFS('DETALLE CRONOLÓGICO'!$K$2:$K$4919,'DETALLE CRONOLÓGICO'!$A$2:$A$4919,$A509)</f>
        <v/>
      </c>
      <c r="L509" s="6">
        <f>_xlfn.MAXIFS('DETALLE CRONOLÓGICO'!$K$2:$K$4919,'DETALLE CRONOLÓGICO'!$A$2:$A$4919,$A509)</f>
        <v/>
      </c>
      <c r="M509" s="6">
        <f>INDEX('DETALLE CRONOLÓGICO'!$K$2:$K$4919,MATCH($A509,'DETALLE CRONOLÓGICO'!$A$2:$A$4919,0)+$E509-1)</f>
        <v/>
      </c>
      <c r="N509" s="7">
        <f>IFERROR($M509/INDEX('DETALLE CRONOLÓGICO'!$K$2:$K$4919,MATCH($A509,'DETALLE CRONOLÓGICO'!$A$2:$A$4919,0))-1,"")</f>
        <v/>
      </c>
      <c r="O509" s="6">
        <f>IFERROR($I509*3,"")</f>
        <v/>
      </c>
      <c r="P509" s="6">
        <f>IFERROR($I509*3.5,"")</f>
        <v/>
      </c>
      <c r="Q509" s="6">
        <f>IFERROR($I509*4,"")</f>
        <v/>
      </c>
      <c r="R509" s="6" t="n">
        <v>2059</v>
      </c>
      <c r="S509" s="4" t="n">
        <v>2</v>
      </c>
      <c r="T509" s="1" t="inlineStr">
        <is>
          <t>active</t>
        </is>
      </c>
      <c r="U509" s="8" t="n"/>
      <c r="V509" s="1" t="inlineStr">
        <is>
          <t>SIN PRECIO</t>
        </is>
      </c>
    </row>
    <row r="510">
      <c r="A510" s="1" t="inlineStr">
        <is>
          <t>33891171713389</t>
        </is>
      </c>
      <c r="B510" s="1" t="inlineStr">
        <is>
          <t>CARTERA H BEARN BLACK</t>
        </is>
      </c>
      <c r="C510" s="1" t="n"/>
      <c r="D510" s="1" t="inlineStr">
        <is>
          <t>ZOEY</t>
        </is>
      </c>
      <c r="E510" s="4">
        <f>COUNTIF('DETALLE CRONOLÓGICO'!$A$2:$A$4919,$A510)</f>
        <v/>
      </c>
      <c r="F510" s="4">
        <f>SUMIFS('DETALLE CRONOLÓGICO'!$I$2:$I$4919,'DETALLE CRONOLÓGICO'!$A$2:$A$4919,$A510)</f>
        <v/>
      </c>
      <c r="G510" s="1">
        <f>INDEX('DETALLE CRONOLÓGICO'!$D$2:$D$4919,MATCH($A510,'DETALLE CRONOLÓGICO'!$A$2:$A$4919,0))</f>
        <v/>
      </c>
      <c r="H510" s="1">
        <f>INDEX('DETALLE CRONOLÓGICO'!$D$2:$D$4919,MATCH($A510,'DETALLE CRONOLÓGICO'!$A$2:$A$4919,0)+$E510-1)</f>
        <v/>
      </c>
      <c r="I510" s="5">
        <f>IFERROR(SUMIFS('DETALLE CRONOLÓGICO'!$L$2:$L$4919,'DETALLE CRONOLÓGICO'!$A$2:$A$4919,$A510)/$F510,"")</f>
        <v/>
      </c>
      <c r="J510" s="6">
        <f>IFERROR(SUMIFS('DETALLE CRONOLÓGICO'!$K$2:$K$4919,'DETALLE CRONOLÓGICO'!$A$2:$A$4919,$A510)/$E510,"")</f>
        <v/>
      </c>
      <c r="K510" s="6">
        <f>_xlfn.MINIFS('DETALLE CRONOLÓGICO'!$K$2:$K$4919,'DETALLE CRONOLÓGICO'!$A$2:$A$4919,$A510)</f>
        <v/>
      </c>
      <c r="L510" s="6">
        <f>_xlfn.MAXIFS('DETALLE CRONOLÓGICO'!$K$2:$K$4919,'DETALLE CRONOLÓGICO'!$A$2:$A$4919,$A510)</f>
        <v/>
      </c>
      <c r="M510" s="6">
        <f>INDEX('DETALLE CRONOLÓGICO'!$K$2:$K$4919,MATCH($A510,'DETALLE CRONOLÓGICO'!$A$2:$A$4919,0)+$E510-1)</f>
        <v/>
      </c>
      <c r="N510" s="7">
        <f>IFERROR($M510/INDEX('DETALLE CRONOLÓGICO'!$K$2:$K$4919,MATCH($A510,'DETALLE CRONOLÓGICO'!$A$2:$A$4919,0))-1,"")</f>
        <v/>
      </c>
      <c r="O510" s="6">
        <f>IFERROR($I510*3,"")</f>
        <v/>
      </c>
      <c r="P510" s="6">
        <f>IFERROR($I510*3.5,"")</f>
        <v/>
      </c>
      <c r="Q510" s="6">
        <f>IFERROR($I510*4,"")</f>
        <v/>
      </c>
      <c r="R510" s="6" t="n">
        <v>2355</v>
      </c>
      <c r="S510" s="4" t="n">
        <v>2</v>
      </c>
      <c r="T510" s="1" t="inlineStr">
        <is>
          <t>active</t>
        </is>
      </c>
      <c r="U510" s="8" t="n"/>
      <c r="V510" s="1" t="inlineStr">
        <is>
          <t>SIN PRECIO</t>
        </is>
      </c>
    </row>
    <row r="511">
      <c r="A511" s="1" t="inlineStr">
        <is>
          <t>33891171856877</t>
        </is>
      </c>
      <c r="B511" s="1" t="inlineStr">
        <is>
          <t>CINTO GC HEBILLA OVALADA</t>
        </is>
      </c>
      <c r="C511" s="1" t="inlineStr">
        <is>
          <t>100cm</t>
        </is>
      </c>
      <c r="D511" s="1" t="inlineStr">
        <is>
          <t>ZOEY</t>
        </is>
      </c>
      <c r="E511" s="4">
        <f>COUNTIF('DETALLE CRONOLÓGICO'!$A$2:$A$4919,$A511)</f>
        <v/>
      </c>
      <c r="F511" s="4">
        <f>SUMIFS('DETALLE CRONOLÓGICO'!$I$2:$I$4919,'DETALLE CRONOLÓGICO'!$A$2:$A$4919,$A511)</f>
        <v/>
      </c>
      <c r="G511" s="1">
        <f>INDEX('DETALLE CRONOLÓGICO'!$D$2:$D$4919,MATCH($A511,'DETALLE CRONOLÓGICO'!$A$2:$A$4919,0))</f>
        <v/>
      </c>
      <c r="H511" s="1">
        <f>INDEX('DETALLE CRONOLÓGICO'!$D$2:$D$4919,MATCH($A511,'DETALLE CRONOLÓGICO'!$A$2:$A$4919,0)+$E511-1)</f>
        <v/>
      </c>
      <c r="I511" s="5">
        <f>IFERROR(SUMIFS('DETALLE CRONOLÓGICO'!$L$2:$L$4919,'DETALLE CRONOLÓGICO'!$A$2:$A$4919,$A511)/$F511,"")</f>
        <v/>
      </c>
      <c r="J511" s="6">
        <f>IFERROR(SUMIFS('DETALLE CRONOLÓGICO'!$K$2:$K$4919,'DETALLE CRONOLÓGICO'!$A$2:$A$4919,$A511)/$E511,"")</f>
        <v/>
      </c>
      <c r="K511" s="6">
        <f>_xlfn.MINIFS('DETALLE CRONOLÓGICO'!$K$2:$K$4919,'DETALLE CRONOLÓGICO'!$A$2:$A$4919,$A511)</f>
        <v/>
      </c>
      <c r="L511" s="6">
        <f>_xlfn.MAXIFS('DETALLE CRONOLÓGICO'!$K$2:$K$4919,'DETALLE CRONOLÓGICO'!$A$2:$A$4919,$A511)</f>
        <v/>
      </c>
      <c r="M511" s="6">
        <f>INDEX('DETALLE CRONOLÓGICO'!$K$2:$K$4919,MATCH($A511,'DETALLE CRONOLÓGICO'!$A$2:$A$4919,0)+$E511-1)</f>
        <v/>
      </c>
      <c r="N511" s="7">
        <f>IFERROR($M511/INDEX('DETALLE CRONOLÓGICO'!$K$2:$K$4919,MATCH($A511,'DETALLE CRONOLÓGICO'!$A$2:$A$4919,0))-1,"")</f>
        <v/>
      </c>
      <c r="O511" s="6">
        <f>IFERROR($I511*3,"")</f>
        <v/>
      </c>
      <c r="P511" s="6">
        <f>IFERROR($I511*3.5,"")</f>
        <v/>
      </c>
      <c r="Q511" s="6">
        <f>IFERROR($I511*4,"")</f>
        <v/>
      </c>
      <c r="R511" s="6" t="n">
        <v>4710</v>
      </c>
      <c r="S511" s="4" t="n">
        <v>2</v>
      </c>
      <c r="T511" s="1" t="inlineStr">
        <is>
          <t>active</t>
        </is>
      </c>
      <c r="U511" s="8" t="n"/>
      <c r="V511" s="1" t="inlineStr">
        <is>
          <t>SIN PRECIO</t>
        </is>
      </c>
    </row>
    <row r="512">
      <c r="A512" s="1" t="inlineStr">
        <is>
          <t>33891171950093</t>
        </is>
      </c>
      <c r="B512" s="1" t="inlineStr">
        <is>
          <t>CINTO GC HORSEBIT BROWN</t>
        </is>
      </c>
      <c r="C512" s="1" t="inlineStr">
        <is>
          <t>100cm</t>
        </is>
      </c>
      <c r="D512" s="1" t="inlineStr">
        <is>
          <t>ZOEY</t>
        </is>
      </c>
      <c r="E512" s="4">
        <f>COUNTIF('DETALLE CRONOLÓGICO'!$A$2:$A$4919,$A512)</f>
        <v/>
      </c>
      <c r="F512" s="4">
        <f>SUMIFS('DETALLE CRONOLÓGICO'!$I$2:$I$4919,'DETALLE CRONOLÓGICO'!$A$2:$A$4919,$A512)</f>
        <v/>
      </c>
      <c r="G512" s="1">
        <f>INDEX('DETALLE CRONOLÓGICO'!$D$2:$D$4919,MATCH($A512,'DETALLE CRONOLÓGICO'!$A$2:$A$4919,0))</f>
        <v/>
      </c>
      <c r="H512" s="1">
        <f>INDEX('DETALLE CRONOLÓGICO'!$D$2:$D$4919,MATCH($A512,'DETALLE CRONOLÓGICO'!$A$2:$A$4919,0)+$E512-1)</f>
        <v/>
      </c>
      <c r="I512" s="5">
        <f>IFERROR(SUMIFS('DETALLE CRONOLÓGICO'!$L$2:$L$4919,'DETALLE CRONOLÓGICO'!$A$2:$A$4919,$A512)/$F512,"")</f>
        <v/>
      </c>
      <c r="J512" s="6">
        <f>IFERROR(SUMIFS('DETALLE CRONOLÓGICO'!$K$2:$K$4919,'DETALLE CRONOLÓGICO'!$A$2:$A$4919,$A512)/$E512,"")</f>
        <v/>
      </c>
      <c r="K512" s="6">
        <f>_xlfn.MINIFS('DETALLE CRONOLÓGICO'!$K$2:$K$4919,'DETALLE CRONOLÓGICO'!$A$2:$A$4919,$A512)</f>
        <v/>
      </c>
      <c r="L512" s="6">
        <f>_xlfn.MAXIFS('DETALLE CRONOLÓGICO'!$K$2:$K$4919,'DETALLE CRONOLÓGICO'!$A$2:$A$4919,$A512)</f>
        <v/>
      </c>
      <c r="M512" s="6">
        <f>INDEX('DETALLE CRONOLÓGICO'!$K$2:$K$4919,MATCH($A512,'DETALLE CRONOLÓGICO'!$A$2:$A$4919,0)+$E512-1)</f>
        <v/>
      </c>
      <c r="N512" s="7">
        <f>IFERROR($M512/INDEX('DETALLE CRONOLÓGICO'!$K$2:$K$4919,MATCH($A512,'DETALLE CRONOLÓGICO'!$A$2:$A$4919,0))-1,"")</f>
        <v/>
      </c>
      <c r="O512" s="6">
        <f>IFERROR($I512*3,"")</f>
        <v/>
      </c>
      <c r="P512" s="6">
        <f>IFERROR($I512*3.5,"")</f>
        <v/>
      </c>
      <c r="Q512" s="6">
        <f>IFERROR($I512*4,"")</f>
        <v/>
      </c>
      <c r="R512" s="6" t="n">
        <v>4710</v>
      </c>
      <c r="S512" s="4" t="n">
        <v>2</v>
      </c>
      <c r="T512" s="1" t="inlineStr">
        <is>
          <t>active</t>
        </is>
      </c>
      <c r="U512" s="8" t="n"/>
      <c r="V512" s="1" t="inlineStr">
        <is>
          <t>SIN PRECIO</t>
        </is>
      </c>
    </row>
    <row r="513">
      <c r="A513" s="1" t="inlineStr">
        <is>
          <t>33891172043309</t>
        </is>
      </c>
      <c r="B513" s="1" t="inlineStr">
        <is>
          <t>CINTO GC HORSEBIT</t>
        </is>
      </c>
      <c r="C513" s="1" t="inlineStr">
        <is>
          <t>100cm</t>
        </is>
      </c>
      <c r="D513" s="1" t="inlineStr">
        <is>
          <t>ZOEY</t>
        </is>
      </c>
      <c r="E513" s="4">
        <f>COUNTIF('DETALLE CRONOLÓGICO'!$A$2:$A$4919,$A513)</f>
        <v/>
      </c>
      <c r="F513" s="4">
        <f>SUMIFS('DETALLE CRONOLÓGICO'!$I$2:$I$4919,'DETALLE CRONOLÓGICO'!$A$2:$A$4919,$A513)</f>
        <v/>
      </c>
      <c r="G513" s="1">
        <f>INDEX('DETALLE CRONOLÓGICO'!$D$2:$D$4919,MATCH($A513,'DETALLE CRONOLÓGICO'!$A$2:$A$4919,0))</f>
        <v/>
      </c>
      <c r="H513" s="1">
        <f>INDEX('DETALLE CRONOLÓGICO'!$D$2:$D$4919,MATCH($A513,'DETALLE CRONOLÓGICO'!$A$2:$A$4919,0)+$E513-1)</f>
        <v/>
      </c>
      <c r="I513" s="5">
        <f>IFERROR(SUMIFS('DETALLE CRONOLÓGICO'!$L$2:$L$4919,'DETALLE CRONOLÓGICO'!$A$2:$A$4919,$A513)/$F513,"")</f>
        <v/>
      </c>
      <c r="J513" s="6">
        <f>IFERROR(SUMIFS('DETALLE CRONOLÓGICO'!$K$2:$K$4919,'DETALLE CRONOLÓGICO'!$A$2:$A$4919,$A513)/$E513,"")</f>
        <v/>
      </c>
      <c r="K513" s="6">
        <f>_xlfn.MINIFS('DETALLE CRONOLÓGICO'!$K$2:$K$4919,'DETALLE CRONOLÓGICO'!$A$2:$A$4919,$A513)</f>
        <v/>
      </c>
      <c r="L513" s="6">
        <f>_xlfn.MAXIFS('DETALLE CRONOLÓGICO'!$K$2:$K$4919,'DETALLE CRONOLÓGICO'!$A$2:$A$4919,$A513)</f>
        <v/>
      </c>
      <c r="M513" s="6">
        <f>INDEX('DETALLE CRONOLÓGICO'!$K$2:$K$4919,MATCH($A513,'DETALLE CRONOLÓGICO'!$A$2:$A$4919,0)+$E513-1)</f>
        <v/>
      </c>
      <c r="N513" s="7">
        <f>IFERROR($M513/INDEX('DETALLE CRONOLÓGICO'!$K$2:$K$4919,MATCH($A513,'DETALLE CRONOLÓGICO'!$A$2:$A$4919,0))-1,"")</f>
        <v/>
      </c>
      <c r="O513" s="6">
        <f>IFERROR($I513*3,"")</f>
        <v/>
      </c>
      <c r="P513" s="6">
        <f>IFERROR($I513*3.5,"")</f>
        <v/>
      </c>
      <c r="Q513" s="6">
        <f>IFERROR($I513*4,"")</f>
        <v/>
      </c>
      <c r="R513" s="6" t="n">
        <v>4710</v>
      </c>
      <c r="S513" s="4" t="n">
        <v>2</v>
      </c>
      <c r="T513" s="1" t="inlineStr">
        <is>
          <t>active</t>
        </is>
      </c>
      <c r="U513" s="8" t="n"/>
      <c r="V513" s="1" t="inlineStr">
        <is>
          <t>SIN PRECIO</t>
        </is>
      </c>
    </row>
    <row r="514">
      <c r="A514" s="1" t="inlineStr">
        <is>
          <t>33891172105453</t>
        </is>
      </c>
      <c r="B514" s="1" t="inlineStr">
        <is>
          <t>CINTO GC CON HEBILLA REDONDA</t>
        </is>
      </c>
      <c r="C514" s="1" t="inlineStr">
        <is>
          <t>100cm</t>
        </is>
      </c>
      <c r="D514" s="1" t="inlineStr">
        <is>
          <t>ZOEY</t>
        </is>
      </c>
      <c r="E514" s="4">
        <f>COUNTIF('DETALLE CRONOLÓGICO'!$A$2:$A$4919,$A514)</f>
        <v/>
      </c>
      <c r="F514" s="4">
        <f>SUMIFS('DETALLE CRONOLÓGICO'!$I$2:$I$4919,'DETALLE CRONOLÓGICO'!$A$2:$A$4919,$A514)</f>
        <v/>
      </c>
      <c r="G514" s="1">
        <f>INDEX('DETALLE CRONOLÓGICO'!$D$2:$D$4919,MATCH($A514,'DETALLE CRONOLÓGICO'!$A$2:$A$4919,0))</f>
        <v/>
      </c>
      <c r="H514" s="1">
        <f>INDEX('DETALLE CRONOLÓGICO'!$D$2:$D$4919,MATCH($A514,'DETALLE CRONOLÓGICO'!$A$2:$A$4919,0)+$E514-1)</f>
        <v/>
      </c>
      <c r="I514" s="5">
        <f>IFERROR(SUMIFS('DETALLE CRONOLÓGICO'!$L$2:$L$4919,'DETALLE CRONOLÓGICO'!$A$2:$A$4919,$A514)/$F514,"")</f>
        <v/>
      </c>
      <c r="J514" s="6">
        <f>IFERROR(SUMIFS('DETALLE CRONOLÓGICO'!$K$2:$K$4919,'DETALLE CRONOLÓGICO'!$A$2:$A$4919,$A514)/$E514,"")</f>
        <v/>
      </c>
      <c r="K514" s="6">
        <f>_xlfn.MINIFS('DETALLE CRONOLÓGICO'!$K$2:$K$4919,'DETALLE CRONOLÓGICO'!$A$2:$A$4919,$A514)</f>
        <v/>
      </c>
      <c r="L514" s="6">
        <f>_xlfn.MAXIFS('DETALLE CRONOLÓGICO'!$K$2:$K$4919,'DETALLE CRONOLÓGICO'!$A$2:$A$4919,$A514)</f>
        <v/>
      </c>
      <c r="M514" s="6">
        <f>INDEX('DETALLE CRONOLÓGICO'!$K$2:$K$4919,MATCH($A514,'DETALLE CRONOLÓGICO'!$A$2:$A$4919,0)+$E514-1)</f>
        <v/>
      </c>
      <c r="N514" s="7">
        <f>IFERROR($M514/INDEX('DETALLE CRONOLÓGICO'!$K$2:$K$4919,MATCH($A514,'DETALLE CRONOLÓGICO'!$A$2:$A$4919,0))-1,"")</f>
        <v/>
      </c>
      <c r="O514" s="6">
        <f>IFERROR($I514*3,"")</f>
        <v/>
      </c>
      <c r="P514" s="6">
        <f>IFERROR($I514*3.5,"")</f>
        <v/>
      </c>
      <c r="Q514" s="6">
        <f>IFERROR($I514*4,"")</f>
        <v/>
      </c>
      <c r="R514" s="6" t="n">
        <v>0</v>
      </c>
      <c r="S514" s="4" t="n">
        <v>0</v>
      </c>
      <c r="T514" s="1" t="inlineStr">
        <is>
          <t>draft</t>
        </is>
      </c>
      <c r="U514" s="8" t="n"/>
      <c r="V514" s="1" t="inlineStr">
        <is>
          <t>SIN PRECIO</t>
        </is>
      </c>
    </row>
    <row r="515">
      <c r="A515" s="1" t="inlineStr">
        <is>
          <t>33891172265901</t>
        </is>
      </c>
      <c r="B515" s="1" t="inlineStr">
        <is>
          <t>CINTO GC ENTRELAZADA SILVER</t>
        </is>
      </c>
      <c r="C515" s="1" t="inlineStr">
        <is>
          <t>100cm</t>
        </is>
      </c>
      <c r="D515" s="1" t="inlineStr">
        <is>
          <t>ZOEY</t>
        </is>
      </c>
      <c r="E515" s="4">
        <f>COUNTIF('DETALLE CRONOLÓGICO'!$A$2:$A$4919,$A515)</f>
        <v/>
      </c>
      <c r="F515" s="4">
        <f>SUMIFS('DETALLE CRONOLÓGICO'!$I$2:$I$4919,'DETALLE CRONOLÓGICO'!$A$2:$A$4919,$A515)</f>
        <v/>
      </c>
      <c r="G515" s="1">
        <f>INDEX('DETALLE CRONOLÓGICO'!$D$2:$D$4919,MATCH($A515,'DETALLE CRONOLÓGICO'!$A$2:$A$4919,0))</f>
        <v/>
      </c>
      <c r="H515" s="1">
        <f>INDEX('DETALLE CRONOLÓGICO'!$D$2:$D$4919,MATCH($A515,'DETALLE CRONOLÓGICO'!$A$2:$A$4919,0)+$E515-1)</f>
        <v/>
      </c>
      <c r="I515" s="5">
        <f>IFERROR(SUMIFS('DETALLE CRONOLÓGICO'!$L$2:$L$4919,'DETALLE CRONOLÓGICO'!$A$2:$A$4919,$A515)/$F515,"")</f>
        <v/>
      </c>
      <c r="J515" s="6">
        <f>IFERROR(SUMIFS('DETALLE CRONOLÓGICO'!$K$2:$K$4919,'DETALLE CRONOLÓGICO'!$A$2:$A$4919,$A515)/$E515,"")</f>
        <v/>
      </c>
      <c r="K515" s="6">
        <f>_xlfn.MINIFS('DETALLE CRONOLÓGICO'!$K$2:$K$4919,'DETALLE CRONOLÓGICO'!$A$2:$A$4919,$A515)</f>
        <v/>
      </c>
      <c r="L515" s="6">
        <f>_xlfn.MAXIFS('DETALLE CRONOLÓGICO'!$K$2:$K$4919,'DETALLE CRONOLÓGICO'!$A$2:$A$4919,$A515)</f>
        <v/>
      </c>
      <c r="M515" s="6">
        <f>INDEX('DETALLE CRONOLÓGICO'!$K$2:$K$4919,MATCH($A515,'DETALLE CRONOLÓGICO'!$A$2:$A$4919,0)+$E515-1)</f>
        <v/>
      </c>
      <c r="N515" s="7">
        <f>IFERROR($M515/INDEX('DETALLE CRONOLÓGICO'!$K$2:$K$4919,MATCH($A515,'DETALLE CRONOLÓGICO'!$A$2:$A$4919,0))-1,"")</f>
        <v/>
      </c>
      <c r="O515" s="6">
        <f>IFERROR($I515*3,"")</f>
        <v/>
      </c>
      <c r="P515" s="6">
        <f>IFERROR($I515*3.5,"")</f>
        <v/>
      </c>
      <c r="Q515" s="6">
        <f>IFERROR($I515*4,"")</f>
        <v/>
      </c>
      <c r="R515" s="6" t="n">
        <v>4000</v>
      </c>
      <c r="S515" s="4" t="n">
        <v>2</v>
      </c>
      <c r="T515" s="1" t="inlineStr">
        <is>
          <t>active</t>
        </is>
      </c>
      <c r="U515" s="8" t="n"/>
      <c r="V515" s="1" t="inlineStr">
        <is>
          <t>SIN PRECIO</t>
        </is>
      </c>
    </row>
    <row r="516">
      <c r="A516" s="1" t="inlineStr">
        <is>
          <t>33891172393581</t>
        </is>
      </c>
      <c r="B516" s="1" t="inlineStr">
        <is>
          <t>CINTO GC ENTRELAZADA GOLD</t>
        </is>
      </c>
      <c r="C516" s="1" t="inlineStr">
        <is>
          <t>100cm</t>
        </is>
      </c>
      <c r="D516" s="1" t="inlineStr">
        <is>
          <t>ZOEY</t>
        </is>
      </c>
      <c r="E516" s="4">
        <f>COUNTIF('DETALLE CRONOLÓGICO'!$A$2:$A$4919,$A516)</f>
        <v/>
      </c>
      <c r="F516" s="4">
        <f>SUMIFS('DETALLE CRONOLÓGICO'!$I$2:$I$4919,'DETALLE CRONOLÓGICO'!$A$2:$A$4919,$A516)</f>
        <v/>
      </c>
      <c r="G516" s="1">
        <f>INDEX('DETALLE CRONOLÓGICO'!$D$2:$D$4919,MATCH($A516,'DETALLE CRONOLÓGICO'!$A$2:$A$4919,0))</f>
        <v/>
      </c>
      <c r="H516" s="1">
        <f>INDEX('DETALLE CRONOLÓGICO'!$D$2:$D$4919,MATCH($A516,'DETALLE CRONOLÓGICO'!$A$2:$A$4919,0)+$E516-1)</f>
        <v/>
      </c>
      <c r="I516" s="5">
        <f>IFERROR(SUMIFS('DETALLE CRONOLÓGICO'!$L$2:$L$4919,'DETALLE CRONOLÓGICO'!$A$2:$A$4919,$A516)/$F516,"")</f>
        <v/>
      </c>
      <c r="J516" s="6">
        <f>IFERROR(SUMIFS('DETALLE CRONOLÓGICO'!$K$2:$K$4919,'DETALLE CRONOLÓGICO'!$A$2:$A$4919,$A516)/$E516,"")</f>
        <v/>
      </c>
      <c r="K516" s="6">
        <f>_xlfn.MINIFS('DETALLE CRONOLÓGICO'!$K$2:$K$4919,'DETALLE CRONOLÓGICO'!$A$2:$A$4919,$A516)</f>
        <v/>
      </c>
      <c r="L516" s="6">
        <f>_xlfn.MAXIFS('DETALLE CRONOLÓGICO'!$K$2:$K$4919,'DETALLE CRONOLÓGICO'!$A$2:$A$4919,$A516)</f>
        <v/>
      </c>
      <c r="M516" s="6">
        <f>INDEX('DETALLE CRONOLÓGICO'!$K$2:$K$4919,MATCH($A516,'DETALLE CRONOLÓGICO'!$A$2:$A$4919,0)+$E516-1)</f>
        <v/>
      </c>
      <c r="N516" s="7">
        <f>IFERROR($M516/INDEX('DETALLE CRONOLÓGICO'!$K$2:$K$4919,MATCH($A516,'DETALLE CRONOLÓGICO'!$A$2:$A$4919,0))-1,"")</f>
        <v/>
      </c>
      <c r="O516" s="6">
        <f>IFERROR($I516*3,"")</f>
        <v/>
      </c>
      <c r="P516" s="6">
        <f>IFERROR($I516*3.5,"")</f>
        <v/>
      </c>
      <c r="Q516" s="6">
        <f>IFERROR($I516*4,"")</f>
        <v/>
      </c>
      <c r="R516" s="6" t="n">
        <v>4000</v>
      </c>
      <c r="S516" s="4" t="n">
        <v>2</v>
      </c>
      <c r="T516" s="1" t="inlineStr">
        <is>
          <t>active</t>
        </is>
      </c>
      <c r="U516" s="8" t="n"/>
      <c r="V516" s="1" t="inlineStr">
        <is>
          <t>SIN PRECIO</t>
        </is>
      </c>
    </row>
    <row r="517">
      <c r="A517" s="1" t="inlineStr">
        <is>
          <t>33891172488493</t>
        </is>
      </c>
      <c r="B517" s="1" t="inlineStr">
        <is>
          <t>CINTO FR ALL BLACK</t>
        </is>
      </c>
      <c r="C517" s="1" t="inlineStr">
        <is>
          <t>110cm</t>
        </is>
      </c>
      <c r="D517" s="1" t="inlineStr">
        <is>
          <t>ZOEY</t>
        </is>
      </c>
      <c r="E517" s="4">
        <f>COUNTIF('DETALLE CRONOLÓGICO'!$A$2:$A$4919,$A517)</f>
        <v/>
      </c>
      <c r="F517" s="4">
        <f>SUMIFS('DETALLE CRONOLÓGICO'!$I$2:$I$4919,'DETALLE CRONOLÓGICO'!$A$2:$A$4919,$A517)</f>
        <v/>
      </c>
      <c r="G517" s="1">
        <f>INDEX('DETALLE CRONOLÓGICO'!$D$2:$D$4919,MATCH($A517,'DETALLE CRONOLÓGICO'!$A$2:$A$4919,0))</f>
        <v/>
      </c>
      <c r="H517" s="1">
        <f>INDEX('DETALLE CRONOLÓGICO'!$D$2:$D$4919,MATCH($A517,'DETALLE CRONOLÓGICO'!$A$2:$A$4919,0)+$E517-1)</f>
        <v/>
      </c>
      <c r="I517" s="5">
        <f>IFERROR(SUMIFS('DETALLE CRONOLÓGICO'!$L$2:$L$4919,'DETALLE CRONOLÓGICO'!$A$2:$A$4919,$A517)/$F517,"")</f>
        <v/>
      </c>
      <c r="J517" s="6">
        <f>IFERROR(SUMIFS('DETALLE CRONOLÓGICO'!$K$2:$K$4919,'DETALLE CRONOLÓGICO'!$A$2:$A$4919,$A517)/$E517,"")</f>
        <v/>
      </c>
      <c r="K517" s="6">
        <f>_xlfn.MINIFS('DETALLE CRONOLÓGICO'!$K$2:$K$4919,'DETALLE CRONOLÓGICO'!$A$2:$A$4919,$A517)</f>
        <v/>
      </c>
      <c r="L517" s="6">
        <f>_xlfn.MAXIFS('DETALLE CRONOLÓGICO'!$K$2:$K$4919,'DETALLE CRONOLÓGICO'!$A$2:$A$4919,$A517)</f>
        <v/>
      </c>
      <c r="M517" s="6">
        <f>INDEX('DETALLE CRONOLÓGICO'!$K$2:$K$4919,MATCH($A517,'DETALLE CRONOLÓGICO'!$A$2:$A$4919,0)+$E517-1)</f>
        <v/>
      </c>
      <c r="N517" s="7">
        <f>IFERROR($M517/INDEX('DETALLE CRONOLÓGICO'!$K$2:$K$4919,MATCH($A517,'DETALLE CRONOLÓGICO'!$A$2:$A$4919,0))-1,"")</f>
        <v/>
      </c>
      <c r="O517" s="6">
        <f>IFERROR($I517*3,"")</f>
        <v/>
      </c>
      <c r="P517" s="6">
        <f>IFERROR($I517*3.5,"")</f>
        <v/>
      </c>
      <c r="Q517" s="6">
        <f>IFERROR($I517*4,"")</f>
        <v/>
      </c>
      <c r="R517" s="6" t="n">
        <v>4420</v>
      </c>
      <c r="S517" s="4" t="n">
        <v>2</v>
      </c>
      <c r="T517" s="1" t="inlineStr">
        <is>
          <t>active</t>
        </is>
      </c>
      <c r="U517" s="8" t="n"/>
      <c r="V517" s="1" t="inlineStr">
        <is>
          <t>SIN PRECIO</t>
        </is>
      </c>
    </row>
    <row r="518">
      <c r="A518" s="1" t="inlineStr">
        <is>
          <t>33891172512781</t>
        </is>
      </c>
      <c r="B518" s="1" t="inlineStr">
        <is>
          <t>CINTO FR REVERSIBLE BROWN</t>
        </is>
      </c>
      <c r="C518" s="1" t="inlineStr">
        <is>
          <t>110cm</t>
        </is>
      </c>
      <c r="D518" s="1" t="inlineStr">
        <is>
          <t>ZOEY</t>
        </is>
      </c>
      <c r="E518" s="4">
        <f>COUNTIF('DETALLE CRONOLÓGICO'!$A$2:$A$4919,$A518)</f>
        <v/>
      </c>
      <c r="F518" s="4">
        <f>SUMIFS('DETALLE CRONOLÓGICO'!$I$2:$I$4919,'DETALLE CRONOLÓGICO'!$A$2:$A$4919,$A518)</f>
        <v/>
      </c>
      <c r="G518" s="1">
        <f>INDEX('DETALLE CRONOLÓGICO'!$D$2:$D$4919,MATCH($A518,'DETALLE CRONOLÓGICO'!$A$2:$A$4919,0))</f>
        <v/>
      </c>
      <c r="H518" s="1">
        <f>INDEX('DETALLE CRONOLÓGICO'!$D$2:$D$4919,MATCH($A518,'DETALLE CRONOLÓGICO'!$A$2:$A$4919,0)+$E518-1)</f>
        <v/>
      </c>
      <c r="I518" s="5">
        <f>IFERROR(SUMIFS('DETALLE CRONOLÓGICO'!$L$2:$L$4919,'DETALLE CRONOLÓGICO'!$A$2:$A$4919,$A518)/$F518,"")</f>
        <v/>
      </c>
      <c r="J518" s="6">
        <f>IFERROR(SUMIFS('DETALLE CRONOLÓGICO'!$K$2:$K$4919,'DETALLE CRONOLÓGICO'!$A$2:$A$4919,$A518)/$E518,"")</f>
        <v/>
      </c>
      <c r="K518" s="6">
        <f>_xlfn.MINIFS('DETALLE CRONOLÓGICO'!$K$2:$K$4919,'DETALLE CRONOLÓGICO'!$A$2:$A$4919,$A518)</f>
        <v/>
      </c>
      <c r="L518" s="6">
        <f>_xlfn.MAXIFS('DETALLE CRONOLÓGICO'!$K$2:$K$4919,'DETALLE CRONOLÓGICO'!$A$2:$A$4919,$A518)</f>
        <v/>
      </c>
      <c r="M518" s="6">
        <f>INDEX('DETALLE CRONOLÓGICO'!$K$2:$K$4919,MATCH($A518,'DETALLE CRONOLÓGICO'!$A$2:$A$4919,0)+$E518-1)</f>
        <v/>
      </c>
      <c r="N518" s="7">
        <f>IFERROR($M518/INDEX('DETALLE CRONOLÓGICO'!$K$2:$K$4919,MATCH($A518,'DETALLE CRONOLÓGICO'!$A$2:$A$4919,0))-1,"")</f>
        <v/>
      </c>
      <c r="O518" s="6">
        <f>IFERROR($I518*3,"")</f>
        <v/>
      </c>
      <c r="P518" s="6">
        <f>IFERROR($I518*3.5,"")</f>
        <v/>
      </c>
      <c r="Q518" s="6">
        <f>IFERROR($I518*4,"")</f>
        <v/>
      </c>
      <c r="R518" s="6" t="n">
        <v>4420</v>
      </c>
      <c r="S518" s="4" t="n">
        <v>1</v>
      </c>
      <c r="T518" s="1" t="inlineStr">
        <is>
          <t>active</t>
        </is>
      </c>
      <c r="U518" s="8" t="n"/>
      <c r="V518" s="1" t="inlineStr">
        <is>
          <t>SIN PRECIO</t>
        </is>
      </c>
    </row>
    <row r="519">
      <c r="A519" s="1" t="inlineStr">
        <is>
          <t>33891172607693</t>
        </is>
      </c>
      <c r="B519" s="1" t="inlineStr">
        <is>
          <t>CINTO FR BLACK GANCINI</t>
        </is>
      </c>
      <c r="C519" s="1" t="inlineStr">
        <is>
          <t>110cm</t>
        </is>
      </c>
      <c r="D519" s="1" t="inlineStr">
        <is>
          <t>ZOEY</t>
        </is>
      </c>
      <c r="E519" s="4">
        <f>COUNTIF('DETALLE CRONOLÓGICO'!$A$2:$A$4919,$A519)</f>
        <v/>
      </c>
      <c r="F519" s="4">
        <f>SUMIFS('DETALLE CRONOLÓGICO'!$I$2:$I$4919,'DETALLE CRONOLÓGICO'!$A$2:$A$4919,$A519)</f>
        <v/>
      </c>
      <c r="G519" s="1">
        <f>INDEX('DETALLE CRONOLÓGICO'!$D$2:$D$4919,MATCH($A519,'DETALLE CRONOLÓGICO'!$A$2:$A$4919,0))</f>
        <v/>
      </c>
      <c r="H519" s="1">
        <f>INDEX('DETALLE CRONOLÓGICO'!$D$2:$D$4919,MATCH($A519,'DETALLE CRONOLÓGICO'!$A$2:$A$4919,0)+$E519-1)</f>
        <v/>
      </c>
      <c r="I519" s="5">
        <f>IFERROR(SUMIFS('DETALLE CRONOLÓGICO'!$L$2:$L$4919,'DETALLE CRONOLÓGICO'!$A$2:$A$4919,$A519)/$F519,"")</f>
        <v/>
      </c>
      <c r="J519" s="6">
        <f>IFERROR(SUMIFS('DETALLE CRONOLÓGICO'!$K$2:$K$4919,'DETALLE CRONOLÓGICO'!$A$2:$A$4919,$A519)/$E519,"")</f>
        <v/>
      </c>
      <c r="K519" s="6">
        <f>_xlfn.MINIFS('DETALLE CRONOLÓGICO'!$K$2:$K$4919,'DETALLE CRONOLÓGICO'!$A$2:$A$4919,$A519)</f>
        <v/>
      </c>
      <c r="L519" s="6">
        <f>_xlfn.MAXIFS('DETALLE CRONOLÓGICO'!$K$2:$K$4919,'DETALLE CRONOLÓGICO'!$A$2:$A$4919,$A519)</f>
        <v/>
      </c>
      <c r="M519" s="6">
        <f>INDEX('DETALLE CRONOLÓGICO'!$K$2:$K$4919,MATCH($A519,'DETALLE CRONOLÓGICO'!$A$2:$A$4919,0)+$E519-1)</f>
        <v/>
      </c>
      <c r="N519" s="7">
        <f>IFERROR($M519/INDEX('DETALLE CRONOLÓGICO'!$K$2:$K$4919,MATCH($A519,'DETALLE CRONOLÓGICO'!$A$2:$A$4919,0))-1,"")</f>
        <v/>
      </c>
      <c r="O519" s="6">
        <f>IFERROR($I519*3,"")</f>
        <v/>
      </c>
      <c r="P519" s="6">
        <f>IFERROR($I519*3.5,"")</f>
        <v/>
      </c>
      <c r="Q519" s="6">
        <f>IFERROR($I519*4,"")</f>
        <v/>
      </c>
      <c r="R519" s="6" t="n">
        <v>4415</v>
      </c>
      <c r="S519" s="4" t="n">
        <v>2</v>
      </c>
      <c r="T519" s="1" t="inlineStr">
        <is>
          <t>active</t>
        </is>
      </c>
      <c r="U519" s="8" t="n"/>
      <c r="V519" s="1" t="inlineStr">
        <is>
          <t>SIN PRECIO</t>
        </is>
      </c>
    </row>
    <row r="520">
      <c r="A520" s="1" t="inlineStr">
        <is>
          <t>33891172797517</t>
        </is>
      </c>
      <c r="B520" s="1" t="inlineStr">
        <is>
          <t>CINTO CD SADDLE OBLIQUE</t>
        </is>
      </c>
      <c r="C520" s="1" t="inlineStr">
        <is>
          <t>100cm</t>
        </is>
      </c>
      <c r="D520" s="1" t="inlineStr">
        <is>
          <t>ZOEY</t>
        </is>
      </c>
      <c r="E520" s="4">
        <f>COUNTIF('DETALLE CRONOLÓGICO'!$A$2:$A$4919,$A520)</f>
        <v/>
      </c>
      <c r="F520" s="4">
        <f>SUMIFS('DETALLE CRONOLÓGICO'!$I$2:$I$4919,'DETALLE CRONOLÓGICO'!$A$2:$A$4919,$A520)</f>
        <v/>
      </c>
      <c r="G520" s="1">
        <f>INDEX('DETALLE CRONOLÓGICO'!$D$2:$D$4919,MATCH($A520,'DETALLE CRONOLÓGICO'!$A$2:$A$4919,0))</f>
        <v/>
      </c>
      <c r="H520" s="1">
        <f>INDEX('DETALLE CRONOLÓGICO'!$D$2:$D$4919,MATCH($A520,'DETALLE CRONOLÓGICO'!$A$2:$A$4919,0)+$E520-1)</f>
        <v/>
      </c>
      <c r="I520" s="5">
        <f>IFERROR(SUMIFS('DETALLE CRONOLÓGICO'!$L$2:$L$4919,'DETALLE CRONOLÓGICO'!$A$2:$A$4919,$A520)/$F520,"")</f>
        <v/>
      </c>
      <c r="J520" s="6">
        <f>IFERROR(SUMIFS('DETALLE CRONOLÓGICO'!$K$2:$K$4919,'DETALLE CRONOLÓGICO'!$A$2:$A$4919,$A520)/$E520,"")</f>
        <v/>
      </c>
      <c r="K520" s="6">
        <f>_xlfn.MINIFS('DETALLE CRONOLÓGICO'!$K$2:$K$4919,'DETALLE CRONOLÓGICO'!$A$2:$A$4919,$A520)</f>
        <v/>
      </c>
      <c r="L520" s="6">
        <f>_xlfn.MAXIFS('DETALLE CRONOLÓGICO'!$K$2:$K$4919,'DETALLE CRONOLÓGICO'!$A$2:$A$4919,$A520)</f>
        <v/>
      </c>
      <c r="M520" s="6">
        <f>INDEX('DETALLE CRONOLÓGICO'!$K$2:$K$4919,MATCH($A520,'DETALLE CRONOLÓGICO'!$A$2:$A$4919,0)+$E520-1)</f>
        <v/>
      </c>
      <c r="N520" s="7">
        <f>IFERROR($M520/INDEX('DETALLE CRONOLÓGICO'!$K$2:$K$4919,MATCH($A520,'DETALLE CRONOLÓGICO'!$A$2:$A$4919,0))-1,"")</f>
        <v/>
      </c>
      <c r="O520" s="6">
        <f>IFERROR($I520*3,"")</f>
        <v/>
      </c>
      <c r="P520" s="6">
        <f>IFERROR($I520*3.5,"")</f>
        <v/>
      </c>
      <c r="Q520" s="6">
        <f>IFERROR($I520*4,"")</f>
        <v/>
      </c>
      <c r="R520" s="6" t="n">
        <v>4500</v>
      </c>
      <c r="S520" s="4" t="n">
        <v>2</v>
      </c>
      <c r="T520" s="1" t="inlineStr">
        <is>
          <t>active</t>
        </is>
      </c>
      <c r="U520" s="8" t="n"/>
      <c r="V520" s="1" t="inlineStr">
        <is>
          <t>SIN PRECIO</t>
        </is>
      </c>
    </row>
    <row r="521">
      <c r="A521" s="1" t="inlineStr">
        <is>
          <t>33891172826893</t>
        </is>
      </c>
      <c r="B521" s="1" t="inlineStr">
        <is>
          <t>CINTO CD MONTAIGNE 30</t>
        </is>
      </c>
      <c r="C521" s="1" t="inlineStr">
        <is>
          <t>100cm</t>
        </is>
      </c>
      <c r="D521" s="1" t="inlineStr">
        <is>
          <t>ZOEY</t>
        </is>
      </c>
      <c r="E521" s="4">
        <f>COUNTIF('DETALLE CRONOLÓGICO'!$A$2:$A$4919,$A521)</f>
        <v/>
      </c>
      <c r="F521" s="4">
        <f>SUMIFS('DETALLE CRONOLÓGICO'!$I$2:$I$4919,'DETALLE CRONOLÓGICO'!$A$2:$A$4919,$A521)</f>
        <v/>
      </c>
      <c r="G521" s="1">
        <f>INDEX('DETALLE CRONOLÓGICO'!$D$2:$D$4919,MATCH($A521,'DETALLE CRONOLÓGICO'!$A$2:$A$4919,0))</f>
        <v/>
      </c>
      <c r="H521" s="1">
        <f>INDEX('DETALLE CRONOLÓGICO'!$D$2:$D$4919,MATCH($A521,'DETALLE CRONOLÓGICO'!$A$2:$A$4919,0)+$E521-1)</f>
        <v/>
      </c>
      <c r="I521" s="5">
        <f>IFERROR(SUMIFS('DETALLE CRONOLÓGICO'!$L$2:$L$4919,'DETALLE CRONOLÓGICO'!$A$2:$A$4919,$A521)/$F521,"")</f>
        <v/>
      </c>
      <c r="J521" s="6">
        <f>IFERROR(SUMIFS('DETALLE CRONOLÓGICO'!$K$2:$K$4919,'DETALLE CRONOLÓGICO'!$A$2:$A$4919,$A521)/$E521,"")</f>
        <v/>
      </c>
      <c r="K521" s="6">
        <f>_xlfn.MINIFS('DETALLE CRONOLÓGICO'!$K$2:$K$4919,'DETALLE CRONOLÓGICO'!$A$2:$A$4919,$A521)</f>
        <v/>
      </c>
      <c r="L521" s="6">
        <f>_xlfn.MAXIFS('DETALLE CRONOLÓGICO'!$K$2:$K$4919,'DETALLE CRONOLÓGICO'!$A$2:$A$4919,$A521)</f>
        <v/>
      </c>
      <c r="M521" s="6">
        <f>INDEX('DETALLE CRONOLÓGICO'!$K$2:$K$4919,MATCH($A521,'DETALLE CRONOLÓGICO'!$A$2:$A$4919,0)+$E521-1)</f>
        <v/>
      </c>
      <c r="N521" s="7">
        <f>IFERROR($M521/INDEX('DETALLE CRONOLÓGICO'!$K$2:$K$4919,MATCH($A521,'DETALLE CRONOLÓGICO'!$A$2:$A$4919,0))-1,"")</f>
        <v/>
      </c>
      <c r="O521" s="6">
        <f>IFERROR($I521*3,"")</f>
        <v/>
      </c>
      <c r="P521" s="6">
        <f>IFERROR($I521*3.5,"")</f>
        <v/>
      </c>
      <c r="Q521" s="6">
        <f>IFERROR($I521*4,"")</f>
        <v/>
      </c>
      <c r="R521" s="6" t="n">
        <v>4118</v>
      </c>
      <c r="S521" s="4" t="n">
        <v>2</v>
      </c>
      <c r="T521" s="1" t="inlineStr">
        <is>
          <t>active</t>
        </is>
      </c>
      <c r="U521" s="8" t="n"/>
      <c r="V521" s="1" t="inlineStr">
        <is>
          <t>SIN PRECIO</t>
        </is>
      </c>
    </row>
    <row r="522">
      <c r="A522" s="1" t="inlineStr">
        <is>
          <t>33943761064813</t>
        </is>
      </c>
      <c r="B522" s="1" t="inlineStr">
        <is>
          <t>ANILLO TRES AROS SILVER/BLACK</t>
        </is>
      </c>
      <c r="C522" s="1" t="inlineStr">
        <is>
          <t>7</t>
        </is>
      </c>
      <c r="D522" s="1" t="inlineStr">
        <is>
          <t>HAIFENG</t>
        </is>
      </c>
      <c r="E522" s="4">
        <f>COUNTIF('DETALLE CRONOLÓGICO'!$A$2:$A$4919,$A522)</f>
        <v/>
      </c>
      <c r="F522" s="4">
        <f>SUMIFS('DETALLE CRONOLÓGICO'!$I$2:$I$4919,'DETALLE CRONOLÓGICO'!$A$2:$A$4919,$A522)</f>
        <v/>
      </c>
      <c r="G522" s="1">
        <f>INDEX('DETALLE CRONOLÓGICO'!$D$2:$D$4919,MATCH($A522,'DETALLE CRONOLÓGICO'!$A$2:$A$4919,0))</f>
        <v/>
      </c>
      <c r="H522" s="1">
        <f>INDEX('DETALLE CRONOLÓGICO'!$D$2:$D$4919,MATCH($A522,'DETALLE CRONOLÓGICO'!$A$2:$A$4919,0)+$E522-1)</f>
        <v/>
      </c>
      <c r="I522" s="5">
        <f>IFERROR(SUMIFS('DETALLE CRONOLÓGICO'!$L$2:$L$4919,'DETALLE CRONOLÓGICO'!$A$2:$A$4919,$A522)/$F522,"")</f>
        <v/>
      </c>
      <c r="J522" s="6">
        <f>IFERROR(SUMIFS('DETALLE CRONOLÓGICO'!$K$2:$K$4919,'DETALLE CRONOLÓGICO'!$A$2:$A$4919,$A522)/$E522,"")</f>
        <v/>
      </c>
      <c r="K522" s="6">
        <f>_xlfn.MINIFS('DETALLE CRONOLÓGICO'!$K$2:$K$4919,'DETALLE CRONOLÓGICO'!$A$2:$A$4919,$A522)</f>
        <v/>
      </c>
      <c r="L522" s="6">
        <f>_xlfn.MAXIFS('DETALLE CRONOLÓGICO'!$K$2:$K$4919,'DETALLE CRONOLÓGICO'!$A$2:$A$4919,$A522)</f>
        <v/>
      </c>
      <c r="M522" s="6">
        <f>INDEX('DETALLE CRONOLÓGICO'!$K$2:$K$4919,MATCH($A522,'DETALLE CRONOLÓGICO'!$A$2:$A$4919,0)+$E522-1)</f>
        <v/>
      </c>
      <c r="N522" s="7">
        <f>IFERROR($M522/INDEX('DETALLE CRONOLÓGICO'!$K$2:$K$4919,MATCH($A522,'DETALLE CRONOLÓGICO'!$A$2:$A$4919,0))-1,"")</f>
        <v/>
      </c>
      <c r="O522" s="6">
        <f>IFERROR($I522*3,"")</f>
        <v/>
      </c>
      <c r="P522" s="6">
        <f>IFERROR($I522*3.5,"")</f>
        <v/>
      </c>
      <c r="Q522" s="6">
        <f>IFERROR($I522*4,"")</f>
        <v/>
      </c>
      <c r="R522" s="6" t="n">
        <v>500</v>
      </c>
      <c r="S522" s="4" t="n">
        <v>1</v>
      </c>
      <c r="T522" s="1" t="inlineStr">
        <is>
          <t>active</t>
        </is>
      </c>
      <c r="U522" s="8" t="n"/>
      <c r="V522" s="1" t="inlineStr">
        <is>
          <t>SIN PRECIO</t>
        </is>
      </c>
    </row>
    <row r="523">
      <c r="A523" s="1" t="inlineStr">
        <is>
          <t>34163621043821</t>
        </is>
      </c>
      <c r="B523" s="1" t="inlineStr">
        <is>
          <t>PERFUME CREED SILVER MOUNTAIN WATER</t>
        </is>
      </c>
      <c r="C523" s="1" t="inlineStr">
        <is>
          <t>Default Title</t>
        </is>
      </c>
      <c r="D523" s="1" t="inlineStr">
        <is>
          <t>ZOEY</t>
        </is>
      </c>
      <c r="E523" s="4">
        <f>COUNTIF('DETALLE CRONOLÓGICO'!$A$2:$A$4919,$A523)</f>
        <v/>
      </c>
      <c r="F523" s="4">
        <f>SUMIFS('DETALLE CRONOLÓGICO'!$I$2:$I$4919,'DETALLE CRONOLÓGICO'!$A$2:$A$4919,$A523)</f>
        <v/>
      </c>
      <c r="G523" s="1">
        <f>INDEX('DETALLE CRONOLÓGICO'!$D$2:$D$4919,MATCH($A523,'DETALLE CRONOLÓGICO'!$A$2:$A$4919,0))</f>
        <v/>
      </c>
      <c r="H523" s="1">
        <f>INDEX('DETALLE CRONOLÓGICO'!$D$2:$D$4919,MATCH($A523,'DETALLE CRONOLÓGICO'!$A$2:$A$4919,0)+$E523-1)</f>
        <v/>
      </c>
      <c r="I523" s="5">
        <f>IFERROR(SUMIFS('DETALLE CRONOLÓGICO'!$L$2:$L$4919,'DETALLE CRONOLÓGICO'!$A$2:$A$4919,$A523)/$F523,"")</f>
        <v/>
      </c>
      <c r="J523" s="6">
        <f>IFERROR(SUMIFS('DETALLE CRONOLÓGICO'!$K$2:$K$4919,'DETALLE CRONOLÓGICO'!$A$2:$A$4919,$A523)/$E523,"")</f>
        <v/>
      </c>
      <c r="K523" s="6">
        <f>_xlfn.MINIFS('DETALLE CRONOLÓGICO'!$K$2:$K$4919,'DETALLE CRONOLÓGICO'!$A$2:$A$4919,$A523)</f>
        <v/>
      </c>
      <c r="L523" s="6">
        <f>_xlfn.MAXIFS('DETALLE CRONOLÓGICO'!$K$2:$K$4919,'DETALLE CRONOLÓGICO'!$A$2:$A$4919,$A523)</f>
        <v/>
      </c>
      <c r="M523" s="6">
        <f>INDEX('DETALLE CRONOLÓGICO'!$K$2:$K$4919,MATCH($A523,'DETALLE CRONOLÓGICO'!$A$2:$A$4919,0)+$E523-1)</f>
        <v/>
      </c>
      <c r="N523" s="7">
        <f>IFERROR($M523/INDEX('DETALLE CRONOLÓGICO'!$K$2:$K$4919,MATCH($A523,'DETALLE CRONOLÓGICO'!$A$2:$A$4919,0))-1,"")</f>
        <v/>
      </c>
      <c r="O523" s="6">
        <f>IFERROR($I523*3,"")</f>
        <v/>
      </c>
      <c r="P523" s="6">
        <f>IFERROR($I523*3.5,"")</f>
        <v/>
      </c>
      <c r="Q523" s="6">
        <f>IFERROR($I523*4,"")</f>
        <v/>
      </c>
      <c r="R523" s="6" t="n">
        <v>1799</v>
      </c>
      <c r="S523" s="4" t="n">
        <v>2</v>
      </c>
      <c r="T523" s="1" t="inlineStr">
        <is>
          <t>active</t>
        </is>
      </c>
      <c r="U523" s="8" t="n"/>
      <c r="V523" s="1" t="inlineStr">
        <is>
          <t>SIN PRECIO</t>
        </is>
      </c>
    </row>
    <row r="524">
      <c r="A524" s="1" t="inlineStr">
        <is>
          <t>34163621292397</t>
        </is>
      </c>
      <c r="B524" s="1" t="inlineStr">
        <is>
          <t>PERFUME YSL MEN</t>
        </is>
      </c>
      <c r="C524" s="1" t="inlineStr">
        <is>
          <t>Default Title</t>
        </is>
      </c>
      <c r="D524" s="1" t="inlineStr">
        <is>
          <t>ZOEY</t>
        </is>
      </c>
      <c r="E524" s="4">
        <f>COUNTIF('DETALLE CRONOLÓGICO'!$A$2:$A$4919,$A524)</f>
        <v/>
      </c>
      <c r="F524" s="4">
        <f>SUMIFS('DETALLE CRONOLÓGICO'!$I$2:$I$4919,'DETALLE CRONOLÓGICO'!$A$2:$A$4919,$A524)</f>
        <v/>
      </c>
      <c r="G524" s="1">
        <f>INDEX('DETALLE CRONOLÓGICO'!$D$2:$D$4919,MATCH($A524,'DETALLE CRONOLÓGICO'!$A$2:$A$4919,0))</f>
        <v/>
      </c>
      <c r="H524" s="1">
        <f>INDEX('DETALLE CRONOLÓGICO'!$D$2:$D$4919,MATCH($A524,'DETALLE CRONOLÓGICO'!$A$2:$A$4919,0)+$E524-1)</f>
        <v/>
      </c>
      <c r="I524" s="5">
        <f>IFERROR(SUMIFS('DETALLE CRONOLÓGICO'!$L$2:$L$4919,'DETALLE CRONOLÓGICO'!$A$2:$A$4919,$A524)/$F524,"")</f>
        <v/>
      </c>
      <c r="J524" s="6">
        <f>IFERROR(SUMIFS('DETALLE CRONOLÓGICO'!$K$2:$K$4919,'DETALLE CRONOLÓGICO'!$A$2:$A$4919,$A524)/$E524,"")</f>
        <v/>
      </c>
      <c r="K524" s="6">
        <f>_xlfn.MINIFS('DETALLE CRONOLÓGICO'!$K$2:$K$4919,'DETALLE CRONOLÓGICO'!$A$2:$A$4919,$A524)</f>
        <v/>
      </c>
      <c r="L524" s="6">
        <f>_xlfn.MAXIFS('DETALLE CRONOLÓGICO'!$K$2:$K$4919,'DETALLE CRONOLÓGICO'!$A$2:$A$4919,$A524)</f>
        <v/>
      </c>
      <c r="M524" s="6">
        <f>INDEX('DETALLE CRONOLÓGICO'!$K$2:$K$4919,MATCH($A524,'DETALLE CRONOLÓGICO'!$A$2:$A$4919,0)+$E524-1)</f>
        <v/>
      </c>
      <c r="N524" s="7">
        <f>IFERROR($M524/INDEX('DETALLE CRONOLÓGICO'!$K$2:$K$4919,MATCH($A524,'DETALLE CRONOLÓGICO'!$A$2:$A$4919,0))-1,"")</f>
        <v/>
      </c>
      <c r="O524" s="6">
        <f>IFERROR($I524*3,"")</f>
        <v/>
      </c>
      <c r="P524" s="6">
        <f>IFERROR($I524*3.5,"")</f>
        <v/>
      </c>
      <c r="Q524" s="6">
        <f>IFERROR($I524*4,"")</f>
        <v/>
      </c>
      <c r="R524" s="6" t="n">
        <v>1849</v>
      </c>
      <c r="S524" s="4" t="n">
        <v>0</v>
      </c>
      <c r="T524" s="1" t="inlineStr">
        <is>
          <t>active</t>
        </is>
      </c>
      <c r="U524" s="8" t="n"/>
      <c r="V524" s="1" t="inlineStr">
        <is>
          <t>SIN PRECIO</t>
        </is>
      </c>
    </row>
    <row r="525">
      <c r="A525" s="1" t="inlineStr">
        <is>
          <t>34163621325165</t>
        </is>
      </c>
      <c r="B525" s="1" t="inlineStr">
        <is>
          <t>PERFUME GIORGO PASSIONE</t>
        </is>
      </c>
      <c r="C525" s="1" t="inlineStr">
        <is>
          <t>Default Title</t>
        </is>
      </c>
      <c r="D525" s="1" t="inlineStr">
        <is>
          <t>ZOEY</t>
        </is>
      </c>
      <c r="E525" s="4">
        <f>COUNTIF('DETALLE CRONOLÓGICO'!$A$2:$A$4919,$A525)</f>
        <v/>
      </c>
      <c r="F525" s="4">
        <f>SUMIFS('DETALLE CRONOLÓGICO'!$I$2:$I$4919,'DETALLE CRONOLÓGICO'!$A$2:$A$4919,$A525)</f>
        <v/>
      </c>
      <c r="G525" s="1">
        <f>INDEX('DETALLE CRONOLÓGICO'!$D$2:$D$4919,MATCH($A525,'DETALLE CRONOLÓGICO'!$A$2:$A$4919,0))</f>
        <v/>
      </c>
      <c r="H525" s="1">
        <f>INDEX('DETALLE CRONOLÓGICO'!$D$2:$D$4919,MATCH($A525,'DETALLE CRONOLÓGICO'!$A$2:$A$4919,0)+$E525-1)</f>
        <v/>
      </c>
      <c r="I525" s="5">
        <f>IFERROR(SUMIFS('DETALLE CRONOLÓGICO'!$L$2:$L$4919,'DETALLE CRONOLÓGICO'!$A$2:$A$4919,$A525)/$F525,"")</f>
        <v/>
      </c>
      <c r="J525" s="6">
        <f>IFERROR(SUMIFS('DETALLE CRONOLÓGICO'!$K$2:$K$4919,'DETALLE CRONOLÓGICO'!$A$2:$A$4919,$A525)/$E525,"")</f>
        <v/>
      </c>
      <c r="K525" s="6">
        <f>_xlfn.MINIFS('DETALLE CRONOLÓGICO'!$K$2:$K$4919,'DETALLE CRONOLÓGICO'!$A$2:$A$4919,$A525)</f>
        <v/>
      </c>
      <c r="L525" s="6">
        <f>_xlfn.MAXIFS('DETALLE CRONOLÓGICO'!$K$2:$K$4919,'DETALLE CRONOLÓGICO'!$A$2:$A$4919,$A525)</f>
        <v/>
      </c>
      <c r="M525" s="6">
        <f>INDEX('DETALLE CRONOLÓGICO'!$K$2:$K$4919,MATCH($A525,'DETALLE CRONOLÓGICO'!$A$2:$A$4919,0)+$E525-1)</f>
        <v/>
      </c>
      <c r="N525" s="7">
        <f>IFERROR($M525/INDEX('DETALLE CRONOLÓGICO'!$K$2:$K$4919,MATCH($A525,'DETALLE CRONOLÓGICO'!$A$2:$A$4919,0))-1,"")</f>
        <v/>
      </c>
      <c r="O525" s="6">
        <f>IFERROR($I525*3,"")</f>
        <v/>
      </c>
      <c r="P525" s="6">
        <f>IFERROR($I525*3.5,"")</f>
        <v/>
      </c>
      <c r="Q525" s="6">
        <f>IFERROR($I525*4,"")</f>
        <v/>
      </c>
      <c r="R525" s="6" t="n">
        <v>1849</v>
      </c>
      <c r="S525" s="4" t="n">
        <v>1</v>
      </c>
      <c r="T525" s="1" t="inlineStr">
        <is>
          <t>active</t>
        </is>
      </c>
      <c r="U525" s="8" t="n"/>
      <c r="V525" s="1" t="inlineStr">
        <is>
          <t>SIN PRECIO</t>
        </is>
      </c>
    </row>
    <row r="526">
      <c r="A526" s="1" t="inlineStr">
        <is>
          <t>34163621418381</t>
        </is>
      </c>
      <c r="B526" s="1" t="inlineStr">
        <is>
          <t>PERUFUME JEAN PAUL SCANDAL WOMEN</t>
        </is>
      </c>
      <c r="C526" s="1" t="inlineStr">
        <is>
          <t>REGULAR</t>
        </is>
      </c>
      <c r="D526" s="1" t="inlineStr">
        <is>
          <t>ZOEY</t>
        </is>
      </c>
      <c r="E526" s="4">
        <f>COUNTIF('DETALLE CRONOLÓGICO'!$A$2:$A$4919,$A526)</f>
        <v/>
      </c>
      <c r="F526" s="4">
        <f>SUMIFS('DETALLE CRONOLÓGICO'!$I$2:$I$4919,'DETALLE CRONOLÓGICO'!$A$2:$A$4919,$A526)</f>
        <v/>
      </c>
      <c r="G526" s="1">
        <f>INDEX('DETALLE CRONOLÓGICO'!$D$2:$D$4919,MATCH($A526,'DETALLE CRONOLÓGICO'!$A$2:$A$4919,0))</f>
        <v/>
      </c>
      <c r="H526" s="1">
        <f>INDEX('DETALLE CRONOLÓGICO'!$D$2:$D$4919,MATCH($A526,'DETALLE CRONOLÓGICO'!$A$2:$A$4919,0)+$E526-1)</f>
        <v/>
      </c>
      <c r="I526" s="5">
        <f>IFERROR(SUMIFS('DETALLE CRONOLÓGICO'!$L$2:$L$4919,'DETALLE CRONOLÓGICO'!$A$2:$A$4919,$A526)/$F526,"")</f>
        <v/>
      </c>
      <c r="J526" s="6">
        <f>IFERROR(SUMIFS('DETALLE CRONOLÓGICO'!$K$2:$K$4919,'DETALLE CRONOLÓGICO'!$A$2:$A$4919,$A526)/$E526,"")</f>
        <v/>
      </c>
      <c r="K526" s="6">
        <f>_xlfn.MINIFS('DETALLE CRONOLÓGICO'!$K$2:$K$4919,'DETALLE CRONOLÓGICO'!$A$2:$A$4919,$A526)</f>
        <v/>
      </c>
      <c r="L526" s="6">
        <f>_xlfn.MAXIFS('DETALLE CRONOLÓGICO'!$K$2:$K$4919,'DETALLE CRONOLÓGICO'!$A$2:$A$4919,$A526)</f>
        <v/>
      </c>
      <c r="M526" s="6">
        <f>INDEX('DETALLE CRONOLÓGICO'!$K$2:$K$4919,MATCH($A526,'DETALLE CRONOLÓGICO'!$A$2:$A$4919,0)+$E526-1)</f>
        <v/>
      </c>
      <c r="N526" s="7">
        <f>IFERROR($M526/INDEX('DETALLE CRONOLÓGICO'!$K$2:$K$4919,MATCH($A526,'DETALLE CRONOLÓGICO'!$A$2:$A$4919,0))-1,"")</f>
        <v/>
      </c>
      <c r="O526" s="6">
        <f>IFERROR($I526*3,"")</f>
        <v/>
      </c>
      <c r="P526" s="6">
        <f>IFERROR($I526*3.5,"")</f>
        <v/>
      </c>
      <c r="Q526" s="6">
        <f>IFERROR($I526*4,"")</f>
        <v/>
      </c>
      <c r="R526" s="6" t="n">
        <v>1849</v>
      </c>
      <c r="S526" s="4" t="n">
        <v>0</v>
      </c>
      <c r="T526" s="1" t="inlineStr">
        <is>
          <t>active</t>
        </is>
      </c>
      <c r="U526" s="8" t="n"/>
      <c r="V526" s="1" t="inlineStr">
        <is>
          <t>SIN PRECIO</t>
        </is>
      </c>
    </row>
    <row r="527">
      <c r="A527" s="1" t="inlineStr">
        <is>
          <t>34163621682221</t>
        </is>
      </c>
      <c r="B527" s="1" t="inlineStr">
        <is>
          <t>PERFUME VERSACE CRYSTAL NOIR</t>
        </is>
      </c>
      <c r="C527" s="1" t="inlineStr">
        <is>
          <t>Default Title</t>
        </is>
      </c>
      <c r="D527" s="1" t="inlineStr">
        <is>
          <t>ZOEY</t>
        </is>
      </c>
      <c r="E527" s="4">
        <f>COUNTIF('DETALLE CRONOLÓGICO'!$A$2:$A$4919,$A527)</f>
        <v/>
      </c>
      <c r="F527" s="4">
        <f>SUMIFS('DETALLE CRONOLÓGICO'!$I$2:$I$4919,'DETALLE CRONOLÓGICO'!$A$2:$A$4919,$A527)</f>
        <v/>
      </c>
      <c r="G527" s="1">
        <f>INDEX('DETALLE CRONOLÓGICO'!$D$2:$D$4919,MATCH($A527,'DETALLE CRONOLÓGICO'!$A$2:$A$4919,0))</f>
        <v/>
      </c>
      <c r="H527" s="1">
        <f>INDEX('DETALLE CRONOLÓGICO'!$D$2:$D$4919,MATCH($A527,'DETALLE CRONOLÓGICO'!$A$2:$A$4919,0)+$E527-1)</f>
        <v/>
      </c>
      <c r="I527" s="5">
        <f>IFERROR(SUMIFS('DETALLE CRONOLÓGICO'!$L$2:$L$4919,'DETALLE CRONOLÓGICO'!$A$2:$A$4919,$A527)/$F527,"")</f>
        <v/>
      </c>
      <c r="J527" s="6">
        <f>IFERROR(SUMIFS('DETALLE CRONOLÓGICO'!$K$2:$K$4919,'DETALLE CRONOLÓGICO'!$A$2:$A$4919,$A527)/$E527,"")</f>
        <v/>
      </c>
      <c r="K527" s="6">
        <f>_xlfn.MINIFS('DETALLE CRONOLÓGICO'!$K$2:$K$4919,'DETALLE CRONOLÓGICO'!$A$2:$A$4919,$A527)</f>
        <v/>
      </c>
      <c r="L527" s="6">
        <f>_xlfn.MAXIFS('DETALLE CRONOLÓGICO'!$K$2:$K$4919,'DETALLE CRONOLÓGICO'!$A$2:$A$4919,$A527)</f>
        <v/>
      </c>
      <c r="M527" s="6">
        <f>INDEX('DETALLE CRONOLÓGICO'!$K$2:$K$4919,MATCH($A527,'DETALLE CRONOLÓGICO'!$A$2:$A$4919,0)+$E527-1)</f>
        <v/>
      </c>
      <c r="N527" s="7">
        <f>IFERROR($M527/INDEX('DETALLE CRONOLÓGICO'!$K$2:$K$4919,MATCH($A527,'DETALLE CRONOLÓGICO'!$A$2:$A$4919,0))-1,"")</f>
        <v/>
      </c>
      <c r="O527" s="6">
        <f>IFERROR($I527*3,"")</f>
        <v/>
      </c>
      <c r="P527" s="6">
        <f>IFERROR($I527*3.5,"")</f>
        <v/>
      </c>
      <c r="Q527" s="6">
        <f>IFERROR($I527*4,"")</f>
        <v/>
      </c>
      <c r="R527" s="6" t="n">
        <v>1849</v>
      </c>
      <c r="S527" s="4" t="n">
        <v>1</v>
      </c>
      <c r="T527" s="1" t="inlineStr">
        <is>
          <t>active</t>
        </is>
      </c>
      <c r="U527" s="8" t="n"/>
      <c r="V527" s="1" t="inlineStr">
        <is>
          <t>SIN PRECIO</t>
        </is>
      </c>
    </row>
    <row r="528">
      <c r="A528" s="1" t="inlineStr">
        <is>
          <t>34163621960461</t>
        </is>
      </c>
      <c r="B528" s="1" t="inlineStr">
        <is>
          <t>CARTERA F BAGUETTE BLACK</t>
        </is>
      </c>
      <c r="C528" s="1" t="inlineStr">
        <is>
          <t>HIGH QUALITY</t>
        </is>
      </c>
      <c r="D528" s="1" t="inlineStr">
        <is>
          <t>ZOEY</t>
        </is>
      </c>
      <c r="E528" s="4">
        <f>COUNTIF('DETALLE CRONOLÓGICO'!$A$2:$A$4919,$A528)</f>
        <v/>
      </c>
      <c r="F528" s="4">
        <f>SUMIFS('DETALLE CRONOLÓGICO'!$I$2:$I$4919,'DETALLE CRONOLÓGICO'!$A$2:$A$4919,$A528)</f>
        <v/>
      </c>
      <c r="G528" s="1">
        <f>INDEX('DETALLE CRONOLÓGICO'!$D$2:$D$4919,MATCH($A528,'DETALLE CRONOLÓGICO'!$A$2:$A$4919,0))</f>
        <v/>
      </c>
      <c r="H528" s="1">
        <f>INDEX('DETALLE CRONOLÓGICO'!$D$2:$D$4919,MATCH($A528,'DETALLE CRONOLÓGICO'!$A$2:$A$4919,0)+$E528-1)</f>
        <v/>
      </c>
      <c r="I528" s="5">
        <f>IFERROR(SUMIFS('DETALLE CRONOLÓGICO'!$L$2:$L$4919,'DETALLE CRONOLÓGICO'!$A$2:$A$4919,$A528)/$F528,"")</f>
        <v/>
      </c>
      <c r="J528" s="6">
        <f>IFERROR(SUMIFS('DETALLE CRONOLÓGICO'!$K$2:$K$4919,'DETALLE CRONOLÓGICO'!$A$2:$A$4919,$A528)/$E528,"")</f>
        <v/>
      </c>
      <c r="K528" s="6">
        <f>_xlfn.MINIFS('DETALLE CRONOLÓGICO'!$K$2:$K$4919,'DETALLE CRONOLÓGICO'!$A$2:$A$4919,$A528)</f>
        <v/>
      </c>
      <c r="L528" s="6">
        <f>_xlfn.MAXIFS('DETALLE CRONOLÓGICO'!$K$2:$K$4919,'DETALLE CRONOLÓGICO'!$A$2:$A$4919,$A528)</f>
        <v/>
      </c>
      <c r="M528" s="6">
        <f>INDEX('DETALLE CRONOLÓGICO'!$K$2:$K$4919,MATCH($A528,'DETALLE CRONOLÓGICO'!$A$2:$A$4919,0)+$E528-1)</f>
        <v/>
      </c>
      <c r="N528" s="7">
        <f>IFERROR($M528/INDEX('DETALLE CRONOLÓGICO'!$K$2:$K$4919,MATCH($A528,'DETALLE CRONOLÓGICO'!$A$2:$A$4919,0))-1,"")</f>
        <v/>
      </c>
      <c r="O528" s="6">
        <f>IFERROR($I528*3,"")</f>
        <v/>
      </c>
      <c r="P528" s="6">
        <f>IFERROR($I528*3.5,"")</f>
        <v/>
      </c>
      <c r="Q528" s="6">
        <f>IFERROR($I528*4,"")</f>
        <v/>
      </c>
      <c r="R528" s="6" t="n">
        <v>4719</v>
      </c>
      <c r="S528" s="4" t="n">
        <v>0</v>
      </c>
      <c r="T528" s="1" t="inlineStr">
        <is>
          <t>active</t>
        </is>
      </c>
      <c r="U528" s="8" t="n"/>
      <c r="V528" s="1" t="inlineStr">
        <is>
          <t>SIN PRECIO</t>
        </is>
      </c>
    </row>
    <row r="529">
      <c r="A529" s="1" t="inlineStr">
        <is>
          <t>34163622017517</t>
        </is>
      </c>
      <c r="B529" s="1" t="inlineStr">
        <is>
          <t>CARTERA F BAGUETTE WHITE</t>
        </is>
      </c>
      <c r="C529" s="1" t="inlineStr">
        <is>
          <t>HIGH QUALITY</t>
        </is>
      </c>
      <c r="D529" s="1" t="inlineStr">
        <is>
          <t>ZOEY</t>
        </is>
      </c>
      <c r="E529" s="4">
        <f>COUNTIF('DETALLE CRONOLÓGICO'!$A$2:$A$4919,$A529)</f>
        <v/>
      </c>
      <c r="F529" s="4">
        <f>SUMIFS('DETALLE CRONOLÓGICO'!$I$2:$I$4919,'DETALLE CRONOLÓGICO'!$A$2:$A$4919,$A529)</f>
        <v/>
      </c>
      <c r="G529" s="1">
        <f>INDEX('DETALLE CRONOLÓGICO'!$D$2:$D$4919,MATCH($A529,'DETALLE CRONOLÓGICO'!$A$2:$A$4919,0))</f>
        <v/>
      </c>
      <c r="H529" s="1">
        <f>INDEX('DETALLE CRONOLÓGICO'!$D$2:$D$4919,MATCH($A529,'DETALLE CRONOLÓGICO'!$A$2:$A$4919,0)+$E529-1)</f>
        <v/>
      </c>
      <c r="I529" s="5">
        <f>IFERROR(SUMIFS('DETALLE CRONOLÓGICO'!$L$2:$L$4919,'DETALLE CRONOLÓGICO'!$A$2:$A$4919,$A529)/$F529,"")</f>
        <v/>
      </c>
      <c r="J529" s="6">
        <f>IFERROR(SUMIFS('DETALLE CRONOLÓGICO'!$K$2:$K$4919,'DETALLE CRONOLÓGICO'!$A$2:$A$4919,$A529)/$E529,"")</f>
        <v/>
      </c>
      <c r="K529" s="6">
        <f>_xlfn.MINIFS('DETALLE CRONOLÓGICO'!$K$2:$K$4919,'DETALLE CRONOLÓGICO'!$A$2:$A$4919,$A529)</f>
        <v/>
      </c>
      <c r="L529" s="6">
        <f>_xlfn.MAXIFS('DETALLE CRONOLÓGICO'!$K$2:$K$4919,'DETALLE CRONOLÓGICO'!$A$2:$A$4919,$A529)</f>
        <v/>
      </c>
      <c r="M529" s="6">
        <f>INDEX('DETALLE CRONOLÓGICO'!$K$2:$K$4919,MATCH($A529,'DETALLE CRONOLÓGICO'!$A$2:$A$4919,0)+$E529-1)</f>
        <v/>
      </c>
      <c r="N529" s="7">
        <f>IFERROR($M529/INDEX('DETALLE CRONOLÓGICO'!$K$2:$K$4919,MATCH($A529,'DETALLE CRONOLÓGICO'!$A$2:$A$4919,0))-1,"")</f>
        <v/>
      </c>
      <c r="O529" s="6">
        <f>IFERROR($I529*3,"")</f>
        <v/>
      </c>
      <c r="P529" s="6">
        <f>IFERROR($I529*3.5,"")</f>
        <v/>
      </c>
      <c r="Q529" s="6">
        <f>IFERROR($I529*4,"")</f>
        <v/>
      </c>
      <c r="R529" s="6" t="n">
        <v>4660</v>
      </c>
      <c r="S529" s="4" t="n">
        <v>0</v>
      </c>
      <c r="T529" s="1" t="inlineStr">
        <is>
          <t>active</t>
        </is>
      </c>
      <c r="U529" s="8" t="n"/>
      <c r="V529" s="1" t="inlineStr">
        <is>
          <t>SIN PRECIO</t>
        </is>
      </c>
    </row>
    <row r="530">
      <c r="A530" s="1" t="inlineStr">
        <is>
          <t>34163622177965</t>
        </is>
      </c>
      <c r="B530" s="1" t="inlineStr">
        <is>
          <t>SANDALIAS F FEEL BLACK</t>
        </is>
      </c>
      <c r="C530" s="1" t="inlineStr">
        <is>
          <t>38/25mx</t>
        </is>
      </c>
      <c r="D530" s="1" t="inlineStr">
        <is>
          <t>ZOEY</t>
        </is>
      </c>
      <c r="E530" s="4">
        <f>COUNTIF('DETALLE CRONOLÓGICO'!$A$2:$A$4919,$A530)</f>
        <v/>
      </c>
      <c r="F530" s="4">
        <f>SUMIFS('DETALLE CRONOLÓGICO'!$I$2:$I$4919,'DETALLE CRONOLÓGICO'!$A$2:$A$4919,$A530)</f>
        <v/>
      </c>
      <c r="G530" s="1">
        <f>INDEX('DETALLE CRONOLÓGICO'!$D$2:$D$4919,MATCH($A530,'DETALLE CRONOLÓGICO'!$A$2:$A$4919,0))</f>
        <v/>
      </c>
      <c r="H530" s="1">
        <f>INDEX('DETALLE CRONOLÓGICO'!$D$2:$D$4919,MATCH($A530,'DETALLE CRONOLÓGICO'!$A$2:$A$4919,0)+$E530-1)</f>
        <v/>
      </c>
      <c r="I530" s="5">
        <f>IFERROR(SUMIFS('DETALLE CRONOLÓGICO'!$L$2:$L$4919,'DETALLE CRONOLÓGICO'!$A$2:$A$4919,$A530)/$F530,"")</f>
        <v/>
      </c>
      <c r="J530" s="6">
        <f>IFERROR(SUMIFS('DETALLE CRONOLÓGICO'!$K$2:$K$4919,'DETALLE CRONOLÓGICO'!$A$2:$A$4919,$A530)/$E530,"")</f>
        <v/>
      </c>
      <c r="K530" s="6">
        <f>_xlfn.MINIFS('DETALLE CRONOLÓGICO'!$K$2:$K$4919,'DETALLE CRONOLÓGICO'!$A$2:$A$4919,$A530)</f>
        <v/>
      </c>
      <c r="L530" s="6">
        <f>_xlfn.MAXIFS('DETALLE CRONOLÓGICO'!$K$2:$K$4919,'DETALLE CRONOLÓGICO'!$A$2:$A$4919,$A530)</f>
        <v/>
      </c>
      <c r="M530" s="6">
        <f>INDEX('DETALLE CRONOLÓGICO'!$K$2:$K$4919,MATCH($A530,'DETALLE CRONOLÓGICO'!$A$2:$A$4919,0)+$E530-1)</f>
        <v/>
      </c>
      <c r="N530" s="7">
        <f>IFERROR($M530/INDEX('DETALLE CRONOLÓGICO'!$K$2:$K$4919,MATCH($A530,'DETALLE CRONOLÓGICO'!$A$2:$A$4919,0))-1,"")</f>
        <v/>
      </c>
      <c r="O530" s="6">
        <f>IFERROR($I530*3,"")</f>
        <v/>
      </c>
      <c r="P530" s="6">
        <f>IFERROR($I530*3.5,"")</f>
        <v/>
      </c>
      <c r="Q530" s="6">
        <f>IFERROR($I530*4,"")</f>
        <v/>
      </c>
      <c r="R530" s="6" t="n">
        <v>5399</v>
      </c>
      <c r="S530" s="4" t="n">
        <v>3</v>
      </c>
      <c r="T530" s="1" t="inlineStr">
        <is>
          <t>active</t>
        </is>
      </c>
      <c r="U530" s="8" t="n"/>
      <c r="V530" s="1" t="inlineStr">
        <is>
          <t>SIN PRECIO</t>
        </is>
      </c>
    </row>
    <row r="531">
      <c r="A531" s="1" t="inlineStr">
        <is>
          <t>34163622241805</t>
        </is>
      </c>
      <c r="B531" s="1" t="inlineStr">
        <is>
          <t>LENTES F OVAL CRYSTAL BLACK</t>
        </is>
      </c>
      <c r="C531" s="1" t="inlineStr">
        <is>
          <t>Default Title</t>
        </is>
      </c>
      <c r="D531" s="1" t="inlineStr">
        <is>
          <t>ZOEY</t>
        </is>
      </c>
      <c r="E531" s="4">
        <f>COUNTIF('DETALLE CRONOLÓGICO'!$A$2:$A$4919,$A531)</f>
        <v/>
      </c>
      <c r="F531" s="4">
        <f>SUMIFS('DETALLE CRONOLÓGICO'!$I$2:$I$4919,'DETALLE CRONOLÓGICO'!$A$2:$A$4919,$A531)</f>
        <v/>
      </c>
      <c r="G531" s="1">
        <f>INDEX('DETALLE CRONOLÓGICO'!$D$2:$D$4919,MATCH($A531,'DETALLE CRONOLÓGICO'!$A$2:$A$4919,0))</f>
        <v/>
      </c>
      <c r="H531" s="1">
        <f>INDEX('DETALLE CRONOLÓGICO'!$D$2:$D$4919,MATCH($A531,'DETALLE CRONOLÓGICO'!$A$2:$A$4919,0)+$E531-1)</f>
        <v/>
      </c>
      <c r="I531" s="5">
        <f>IFERROR(SUMIFS('DETALLE CRONOLÓGICO'!$L$2:$L$4919,'DETALLE CRONOLÓGICO'!$A$2:$A$4919,$A531)/$F531,"")</f>
        <v/>
      </c>
      <c r="J531" s="6">
        <f>IFERROR(SUMIFS('DETALLE CRONOLÓGICO'!$K$2:$K$4919,'DETALLE CRONOLÓGICO'!$A$2:$A$4919,$A531)/$E531,"")</f>
        <v/>
      </c>
      <c r="K531" s="6">
        <f>_xlfn.MINIFS('DETALLE CRONOLÓGICO'!$K$2:$K$4919,'DETALLE CRONOLÓGICO'!$A$2:$A$4919,$A531)</f>
        <v/>
      </c>
      <c r="L531" s="6">
        <f>_xlfn.MAXIFS('DETALLE CRONOLÓGICO'!$K$2:$K$4919,'DETALLE CRONOLÓGICO'!$A$2:$A$4919,$A531)</f>
        <v/>
      </c>
      <c r="M531" s="6">
        <f>INDEX('DETALLE CRONOLÓGICO'!$K$2:$K$4919,MATCH($A531,'DETALLE CRONOLÓGICO'!$A$2:$A$4919,0)+$E531-1)</f>
        <v/>
      </c>
      <c r="N531" s="7">
        <f>IFERROR($M531/INDEX('DETALLE CRONOLÓGICO'!$K$2:$K$4919,MATCH($A531,'DETALLE CRONOLÓGICO'!$A$2:$A$4919,0))-1,"")</f>
        <v/>
      </c>
      <c r="O531" s="6">
        <f>IFERROR($I531*3,"")</f>
        <v/>
      </c>
      <c r="P531" s="6">
        <f>IFERROR($I531*3.5,"")</f>
        <v/>
      </c>
      <c r="Q531" s="6">
        <f>IFERROR($I531*4,"")</f>
        <v/>
      </c>
      <c r="R531" s="6" t="n">
        <v>3279</v>
      </c>
      <c r="S531" s="4" t="n">
        <v>0</v>
      </c>
      <c r="T531" s="1" t="inlineStr">
        <is>
          <t>active</t>
        </is>
      </c>
      <c r="U531" s="8" t="n"/>
      <c r="V531" s="1" t="inlineStr">
        <is>
          <t>SIN PRECIO</t>
        </is>
      </c>
    </row>
    <row r="532">
      <c r="A532" s="1" t="inlineStr">
        <is>
          <t>34163622302253</t>
        </is>
      </c>
      <c r="B532" s="1" t="inlineStr">
        <is>
          <t>LENTES F OVAL CRYSTAL</t>
        </is>
      </c>
      <c r="C532" s="1" t="inlineStr">
        <is>
          <t>Default Title</t>
        </is>
      </c>
      <c r="D532" s="1" t="inlineStr">
        <is>
          <t>ZOEY</t>
        </is>
      </c>
      <c r="E532" s="4">
        <f>COUNTIF('DETALLE CRONOLÓGICO'!$A$2:$A$4919,$A532)</f>
        <v/>
      </c>
      <c r="F532" s="4">
        <f>SUMIFS('DETALLE CRONOLÓGICO'!$I$2:$I$4919,'DETALLE CRONOLÓGICO'!$A$2:$A$4919,$A532)</f>
        <v/>
      </c>
      <c r="G532" s="1">
        <f>INDEX('DETALLE CRONOLÓGICO'!$D$2:$D$4919,MATCH($A532,'DETALLE CRONOLÓGICO'!$A$2:$A$4919,0))</f>
        <v/>
      </c>
      <c r="H532" s="1">
        <f>INDEX('DETALLE CRONOLÓGICO'!$D$2:$D$4919,MATCH($A532,'DETALLE CRONOLÓGICO'!$A$2:$A$4919,0)+$E532-1)</f>
        <v/>
      </c>
      <c r="I532" s="5">
        <f>IFERROR(SUMIFS('DETALLE CRONOLÓGICO'!$L$2:$L$4919,'DETALLE CRONOLÓGICO'!$A$2:$A$4919,$A532)/$F532,"")</f>
        <v/>
      </c>
      <c r="J532" s="6">
        <f>IFERROR(SUMIFS('DETALLE CRONOLÓGICO'!$K$2:$K$4919,'DETALLE CRONOLÓGICO'!$A$2:$A$4919,$A532)/$E532,"")</f>
        <v/>
      </c>
      <c r="K532" s="6">
        <f>_xlfn.MINIFS('DETALLE CRONOLÓGICO'!$K$2:$K$4919,'DETALLE CRONOLÓGICO'!$A$2:$A$4919,$A532)</f>
        <v/>
      </c>
      <c r="L532" s="6">
        <f>_xlfn.MAXIFS('DETALLE CRONOLÓGICO'!$K$2:$K$4919,'DETALLE CRONOLÓGICO'!$A$2:$A$4919,$A532)</f>
        <v/>
      </c>
      <c r="M532" s="6">
        <f>INDEX('DETALLE CRONOLÓGICO'!$K$2:$K$4919,MATCH($A532,'DETALLE CRONOLÓGICO'!$A$2:$A$4919,0)+$E532-1)</f>
        <v/>
      </c>
      <c r="N532" s="7">
        <f>IFERROR($M532/INDEX('DETALLE CRONOLÓGICO'!$K$2:$K$4919,MATCH($A532,'DETALLE CRONOLÓGICO'!$A$2:$A$4919,0))-1,"")</f>
        <v/>
      </c>
      <c r="O532" s="6">
        <f>IFERROR($I532*3,"")</f>
        <v/>
      </c>
      <c r="P532" s="6">
        <f>IFERROR($I532*3.5,"")</f>
        <v/>
      </c>
      <c r="Q532" s="6">
        <f>IFERROR($I532*4,"")</f>
        <v/>
      </c>
      <c r="R532" s="6" t="n">
        <v>3279</v>
      </c>
      <c r="S532" s="4" t="n">
        <v>0</v>
      </c>
      <c r="T532" s="1" t="inlineStr">
        <is>
          <t>active</t>
        </is>
      </c>
      <c r="U532" s="8" t="n"/>
      <c r="V532" s="1" t="inlineStr">
        <is>
          <t>SIN PRECIO</t>
        </is>
      </c>
    </row>
    <row r="533">
      <c r="A533" s="1" t="inlineStr">
        <is>
          <t>34163622492077</t>
        </is>
      </c>
      <c r="B533" s="1" t="inlineStr">
        <is>
          <t>SANDALIAS CD DIORACT WHITE</t>
        </is>
      </c>
      <c r="C533" s="1" t="inlineStr">
        <is>
          <t>38/25mx</t>
        </is>
      </c>
      <c r="D533" s="1" t="inlineStr">
        <is>
          <t>ZOEY</t>
        </is>
      </c>
      <c r="E533" s="4">
        <f>COUNTIF('DETALLE CRONOLÓGICO'!$A$2:$A$4919,$A533)</f>
        <v/>
      </c>
      <c r="F533" s="4">
        <f>SUMIFS('DETALLE CRONOLÓGICO'!$I$2:$I$4919,'DETALLE CRONOLÓGICO'!$A$2:$A$4919,$A533)</f>
        <v/>
      </c>
      <c r="G533" s="1">
        <f>INDEX('DETALLE CRONOLÓGICO'!$D$2:$D$4919,MATCH($A533,'DETALLE CRONOLÓGICO'!$A$2:$A$4919,0))</f>
        <v/>
      </c>
      <c r="H533" s="1">
        <f>INDEX('DETALLE CRONOLÓGICO'!$D$2:$D$4919,MATCH($A533,'DETALLE CRONOLÓGICO'!$A$2:$A$4919,0)+$E533-1)</f>
        <v/>
      </c>
      <c r="I533" s="5">
        <f>IFERROR(SUMIFS('DETALLE CRONOLÓGICO'!$L$2:$L$4919,'DETALLE CRONOLÓGICO'!$A$2:$A$4919,$A533)/$F533,"")</f>
        <v/>
      </c>
      <c r="J533" s="6">
        <f>IFERROR(SUMIFS('DETALLE CRONOLÓGICO'!$K$2:$K$4919,'DETALLE CRONOLÓGICO'!$A$2:$A$4919,$A533)/$E533,"")</f>
        <v/>
      </c>
      <c r="K533" s="6">
        <f>_xlfn.MINIFS('DETALLE CRONOLÓGICO'!$K$2:$K$4919,'DETALLE CRONOLÓGICO'!$A$2:$A$4919,$A533)</f>
        <v/>
      </c>
      <c r="L533" s="6">
        <f>_xlfn.MAXIFS('DETALLE CRONOLÓGICO'!$K$2:$K$4919,'DETALLE CRONOLÓGICO'!$A$2:$A$4919,$A533)</f>
        <v/>
      </c>
      <c r="M533" s="6">
        <f>INDEX('DETALLE CRONOLÓGICO'!$K$2:$K$4919,MATCH($A533,'DETALLE CRONOLÓGICO'!$A$2:$A$4919,0)+$E533-1)</f>
        <v/>
      </c>
      <c r="N533" s="7">
        <f>IFERROR($M533/INDEX('DETALLE CRONOLÓGICO'!$K$2:$K$4919,MATCH($A533,'DETALLE CRONOLÓGICO'!$A$2:$A$4919,0))-1,"")</f>
        <v/>
      </c>
      <c r="O533" s="6">
        <f>IFERROR($I533*3,"")</f>
        <v/>
      </c>
      <c r="P533" s="6">
        <f>IFERROR($I533*3.5,"")</f>
        <v/>
      </c>
      <c r="Q533" s="6">
        <f>IFERROR($I533*4,"")</f>
        <v/>
      </c>
      <c r="R533" s="6" t="n">
        <v>5899</v>
      </c>
      <c r="S533" s="4" t="n">
        <v>3</v>
      </c>
      <c r="T533" s="1" t="inlineStr">
        <is>
          <t>active</t>
        </is>
      </c>
      <c r="U533" s="8" t="n"/>
      <c r="V533" s="1" t="inlineStr">
        <is>
          <t>SIN PRECIO</t>
        </is>
      </c>
    </row>
    <row r="534">
      <c r="A534" s="1" t="inlineStr">
        <is>
          <t>34163622524845</t>
        </is>
      </c>
      <c r="B534" s="1" t="inlineStr">
        <is>
          <t>SANDALIAS CD DIORACT WHITE</t>
        </is>
      </c>
      <c r="C534" s="1" t="inlineStr">
        <is>
          <t>36/24mx</t>
        </is>
      </c>
      <c r="D534" s="1" t="inlineStr">
        <is>
          <t>ZOEY</t>
        </is>
      </c>
      <c r="E534" s="4">
        <f>COUNTIF('DETALLE CRONOLÓGICO'!$A$2:$A$4919,$A534)</f>
        <v/>
      </c>
      <c r="F534" s="4">
        <f>SUMIFS('DETALLE CRONOLÓGICO'!$I$2:$I$4919,'DETALLE CRONOLÓGICO'!$A$2:$A$4919,$A534)</f>
        <v/>
      </c>
      <c r="G534" s="1">
        <f>INDEX('DETALLE CRONOLÓGICO'!$D$2:$D$4919,MATCH($A534,'DETALLE CRONOLÓGICO'!$A$2:$A$4919,0))</f>
        <v/>
      </c>
      <c r="H534" s="1">
        <f>INDEX('DETALLE CRONOLÓGICO'!$D$2:$D$4919,MATCH($A534,'DETALLE CRONOLÓGICO'!$A$2:$A$4919,0)+$E534-1)</f>
        <v/>
      </c>
      <c r="I534" s="5">
        <f>IFERROR(SUMIFS('DETALLE CRONOLÓGICO'!$L$2:$L$4919,'DETALLE CRONOLÓGICO'!$A$2:$A$4919,$A534)/$F534,"")</f>
        <v/>
      </c>
      <c r="J534" s="6">
        <f>IFERROR(SUMIFS('DETALLE CRONOLÓGICO'!$K$2:$K$4919,'DETALLE CRONOLÓGICO'!$A$2:$A$4919,$A534)/$E534,"")</f>
        <v/>
      </c>
      <c r="K534" s="6">
        <f>_xlfn.MINIFS('DETALLE CRONOLÓGICO'!$K$2:$K$4919,'DETALLE CRONOLÓGICO'!$A$2:$A$4919,$A534)</f>
        <v/>
      </c>
      <c r="L534" s="6">
        <f>_xlfn.MAXIFS('DETALLE CRONOLÓGICO'!$K$2:$K$4919,'DETALLE CRONOLÓGICO'!$A$2:$A$4919,$A534)</f>
        <v/>
      </c>
      <c r="M534" s="6">
        <f>INDEX('DETALLE CRONOLÓGICO'!$K$2:$K$4919,MATCH($A534,'DETALLE CRONOLÓGICO'!$A$2:$A$4919,0)+$E534-1)</f>
        <v/>
      </c>
      <c r="N534" s="7">
        <f>IFERROR($M534/INDEX('DETALLE CRONOLÓGICO'!$K$2:$K$4919,MATCH($A534,'DETALLE CRONOLÓGICO'!$A$2:$A$4919,0))-1,"")</f>
        <v/>
      </c>
      <c r="O534" s="6">
        <f>IFERROR($I534*3,"")</f>
        <v/>
      </c>
      <c r="P534" s="6">
        <f>IFERROR($I534*3.5,"")</f>
        <v/>
      </c>
      <c r="Q534" s="6">
        <f>IFERROR($I534*4,"")</f>
        <v/>
      </c>
      <c r="R534" s="6" t="n">
        <v>5899</v>
      </c>
      <c r="S534" s="4" t="n">
        <v>0</v>
      </c>
      <c r="T534" s="1" t="inlineStr">
        <is>
          <t>active</t>
        </is>
      </c>
      <c r="U534" s="8" t="n"/>
      <c r="V534" s="1" t="inlineStr">
        <is>
          <t>SIN PRECIO</t>
        </is>
      </c>
    </row>
    <row r="535">
      <c r="A535" s="1" t="inlineStr">
        <is>
          <t>34163622623149</t>
        </is>
      </c>
      <c r="B535" s="1" t="inlineStr">
        <is>
          <t>SANDALIAS LV MULE BOM DIA</t>
        </is>
      </c>
      <c r="C535" s="1" t="inlineStr">
        <is>
          <t>38/25mx</t>
        </is>
      </c>
      <c r="D535" s="1" t="inlineStr">
        <is>
          <t>ZOEY</t>
        </is>
      </c>
      <c r="E535" s="4">
        <f>COUNTIF('DETALLE CRONOLÓGICO'!$A$2:$A$4919,$A535)</f>
        <v/>
      </c>
      <c r="F535" s="4">
        <f>SUMIFS('DETALLE CRONOLÓGICO'!$I$2:$I$4919,'DETALLE CRONOLÓGICO'!$A$2:$A$4919,$A535)</f>
        <v/>
      </c>
      <c r="G535" s="1">
        <f>INDEX('DETALLE CRONOLÓGICO'!$D$2:$D$4919,MATCH($A535,'DETALLE CRONOLÓGICO'!$A$2:$A$4919,0))</f>
        <v/>
      </c>
      <c r="H535" s="1">
        <f>INDEX('DETALLE CRONOLÓGICO'!$D$2:$D$4919,MATCH($A535,'DETALLE CRONOLÓGICO'!$A$2:$A$4919,0)+$E535-1)</f>
        <v/>
      </c>
      <c r="I535" s="5">
        <f>IFERROR(SUMIFS('DETALLE CRONOLÓGICO'!$L$2:$L$4919,'DETALLE CRONOLÓGICO'!$A$2:$A$4919,$A535)/$F535,"")</f>
        <v/>
      </c>
      <c r="J535" s="6">
        <f>IFERROR(SUMIFS('DETALLE CRONOLÓGICO'!$K$2:$K$4919,'DETALLE CRONOLÓGICO'!$A$2:$A$4919,$A535)/$E535,"")</f>
        <v/>
      </c>
      <c r="K535" s="6">
        <f>_xlfn.MINIFS('DETALLE CRONOLÓGICO'!$K$2:$K$4919,'DETALLE CRONOLÓGICO'!$A$2:$A$4919,$A535)</f>
        <v/>
      </c>
      <c r="L535" s="6">
        <f>_xlfn.MAXIFS('DETALLE CRONOLÓGICO'!$K$2:$K$4919,'DETALLE CRONOLÓGICO'!$A$2:$A$4919,$A535)</f>
        <v/>
      </c>
      <c r="M535" s="6">
        <f>INDEX('DETALLE CRONOLÓGICO'!$K$2:$K$4919,MATCH($A535,'DETALLE CRONOLÓGICO'!$A$2:$A$4919,0)+$E535-1)</f>
        <v/>
      </c>
      <c r="N535" s="7">
        <f>IFERROR($M535/INDEX('DETALLE CRONOLÓGICO'!$K$2:$K$4919,MATCH($A535,'DETALLE CRONOLÓGICO'!$A$2:$A$4919,0))-1,"")</f>
        <v/>
      </c>
      <c r="O535" s="6">
        <f>IFERROR($I535*3,"")</f>
        <v/>
      </c>
      <c r="P535" s="6">
        <f>IFERROR($I535*3.5,"")</f>
        <v/>
      </c>
      <c r="Q535" s="6">
        <f>IFERROR($I535*4,"")</f>
        <v/>
      </c>
      <c r="R535" s="6" t="n">
        <v>5122</v>
      </c>
      <c r="S535" s="4" t="n">
        <v>2</v>
      </c>
      <c r="T535" s="1" t="inlineStr">
        <is>
          <t>active</t>
        </is>
      </c>
      <c r="U535" s="8" t="n"/>
      <c r="V535" s="1" t="inlineStr">
        <is>
          <t>SIN PRECIO</t>
        </is>
      </c>
    </row>
    <row r="536">
      <c r="A536" s="1" t="inlineStr">
        <is>
          <t>34163622788685</t>
        </is>
      </c>
      <c r="B536" s="1" t="inlineStr">
        <is>
          <t>BOLSO YSL ICARINO NAPA BLACK</t>
        </is>
      </c>
      <c r="C536" s="1" t="inlineStr">
        <is>
          <t>Default Title</t>
        </is>
      </c>
      <c r="D536" s="1" t="inlineStr">
        <is>
          <t>ZOEY</t>
        </is>
      </c>
      <c r="E536" s="4">
        <f>COUNTIF('DETALLE CRONOLÓGICO'!$A$2:$A$4919,$A536)</f>
        <v/>
      </c>
      <c r="F536" s="4">
        <f>SUMIFS('DETALLE CRONOLÓGICO'!$I$2:$I$4919,'DETALLE CRONOLÓGICO'!$A$2:$A$4919,$A536)</f>
        <v/>
      </c>
      <c r="G536" s="1">
        <f>INDEX('DETALLE CRONOLÓGICO'!$D$2:$D$4919,MATCH($A536,'DETALLE CRONOLÓGICO'!$A$2:$A$4919,0))</f>
        <v/>
      </c>
      <c r="H536" s="1">
        <f>INDEX('DETALLE CRONOLÓGICO'!$D$2:$D$4919,MATCH($A536,'DETALLE CRONOLÓGICO'!$A$2:$A$4919,0)+$E536-1)</f>
        <v/>
      </c>
      <c r="I536" s="5">
        <f>IFERROR(SUMIFS('DETALLE CRONOLÓGICO'!$L$2:$L$4919,'DETALLE CRONOLÓGICO'!$A$2:$A$4919,$A536)/$F536,"")</f>
        <v/>
      </c>
      <c r="J536" s="6">
        <f>IFERROR(SUMIFS('DETALLE CRONOLÓGICO'!$K$2:$K$4919,'DETALLE CRONOLÓGICO'!$A$2:$A$4919,$A536)/$E536,"")</f>
        <v/>
      </c>
      <c r="K536" s="6">
        <f>_xlfn.MINIFS('DETALLE CRONOLÓGICO'!$K$2:$K$4919,'DETALLE CRONOLÓGICO'!$A$2:$A$4919,$A536)</f>
        <v/>
      </c>
      <c r="L536" s="6">
        <f>_xlfn.MAXIFS('DETALLE CRONOLÓGICO'!$K$2:$K$4919,'DETALLE CRONOLÓGICO'!$A$2:$A$4919,$A536)</f>
        <v/>
      </c>
      <c r="M536" s="6">
        <f>INDEX('DETALLE CRONOLÓGICO'!$K$2:$K$4919,MATCH($A536,'DETALLE CRONOLÓGICO'!$A$2:$A$4919,0)+$E536-1)</f>
        <v/>
      </c>
      <c r="N536" s="7">
        <f>IFERROR($M536/INDEX('DETALLE CRONOLÓGICO'!$K$2:$K$4919,MATCH($A536,'DETALLE CRONOLÓGICO'!$A$2:$A$4919,0))-1,"")</f>
        <v/>
      </c>
      <c r="O536" s="6">
        <f>IFERROR($I536*3,"")</f>
        <v/>
      </c>
      <c r="P536" s="6">
        <f>IFERROR($I536*3.5,"")</f>
        <v/>
      </c>
      <c r="Q536" s="6">
        <f>IFERROR($I536*4,"")</f>
        <v/>
      </c>
      <c r="R536" s="6" t="n">
        <v>5399</v>
      </c>
      <c r="S536" s="4" t="n">
        <v>2</v>
      </c>
      <c r="T536" s="1" t="inlineStr">
        <is>
          <t>active</t>
        </is>
      </c>
      <c r="U536" s="8" t="n"/>
      <c r="V536" s="1" t="inlineStr">
        <is>
          <t>SIN PRECIO</t>
        </is>
      </c>
    </row>
    <row r="537">
      <c r="A537" s="1" t="inlineStr">
        <is>
          <t>34163622850829</t>
        </is>
      </c>
      <c r="B537" s="1" t="inlineStr">
        <is>
          <t>LENTES YSL SL 914 BROWN</t>
        </is>
      </c>
      <c r="C537" s="1" t="inlineStr">
        <is>
          <t>Default Title</t>
        </is>
      </c>
      <c r="D537" s="1" t="inlineStr">
        <is>
          <t>ZOEY</t>
        </is>
      </c>
      <c r="E537" s="4">
        <f>COUNTIF('DETALLE CRONOLÓGICO'!$A$2:$A$4919,$A537)</f>
        <v/>
      </c>
      <c r="F537" s="4">
        <f>SUMIFS('DETALLE CRONOLÓGICO'!$I$2:$I$4919,'DETALLE CRONOLÓGICO'!$A$2:$A$4919,$A537)</f>
        <v/>
      </c>
      <c r="G537" s="1">
        <f>INDEX('DETALLE CRONOLÓGICO'!$D$2:$D$4919,MATCH($A537,'DETALLE CRONOLÓGICO'!$A$2:$A$4919,0))</f>
        <v/>
      </c>
      <c r="H537" s="1">
        <f>INDEX('DETALLE CRONOLÓGICO'!$D$2:$D$4919,MATCH($A537,'DETALLE CRONOLÓGICO'!$A$2:$A$4919,0)+$E537-1)</f>
        <v/>
      </c>
      <c r="I537" s="5">
        <f>IFERROR(SUMIFS('DETALLE CRONOLÓGICO'!$L$2:$L$4919,'DETALLE CRONOLÓGICO'!$A$2:$A$4919,$A537)/$F537,"")</f>
        <v/>
      </c>
      <c r="J537" s="6">
        <f>IFERROR(SUMIFS('DETALLE CRONOLÓGICO'!$K$2:$K$4919,'DETALLE CRONOLÓGICO'!$A$2:$A$4919,$A537)/$E537,"")</f>
        <v/>
      </c>
      <c r="K537" s="6">
        <f>_xlfn.MINIFS('DETALLE CRONOLÓGICO'!$K$2:$K$4919,'DETALLE CRONOLÓGICO'!$A$2:$A$4919,$A537)</f>
        <v/>
      </c>
      <c r="L537" s="6">
        <f>_xlfn.MAXIFS('DETALLE CRONOLÓGICO'!$K$2:$K$4919,'DETALLE CRONOLÓGICO'!$A$2:$A$4919,$A537)</f>
        <v/>
      </c>
      <c r="M537" s="6">
        <f>INDEX('DETALLE CRONOLÓGICO'!$K$2:$K$4919,MATCH($A537,'DETALLE CRONOLÓGICO'!$A$2:$A$4919,0)+$E537-1)</f>
        <v/>
      </c>
      <c r="N537" s="7">
        <f>IFERROR($M537/INDEX('DETALLE CRONOLÓGICO'!$K$2:$K$4919,MATCH($A537,'DETALLE CRONOLÓGICO'!$A$2:$A$4919,0))-1,"")</f>
        <v/>
      </c>
      <c r="O537" s="6">
        <f>IFERROR($I537*3,"")</f>
        <v/>
      </c>
      <c r="P537" s="6">
        <f>IFERROR($I537*3.5,"")</f>
        <v/>
      </c>
      <c r="Q537" s="6">
        <f>IFERROR($I537*4,"")</f>
        <v/>
      </c>
      <c r="R537" s="6" t="n">
        <v>3585</v>
      </c>
      <c r="S537" s="4" t="n">
        <v>1</v>
      </c>
      <c r="T537" s="1" t="inlineStr">
        <is>
          <t>active</t>
        </is>
      </c>
      <c r="U537" s="8" t="n"/>
      <c r="V537" s="1" t="inlineStr">
        <is>
          <t>SIN PRECIO</t>
        </is>
      </c>
    </row>
    <row r="538">
      <c r="A538" s="1" t="inlineStr">
        <is>
          <t>34163622950605</t>
        </is>
      </c>
      <c r="B538" s="1" t="inlineStr">
        <is>
          <t>PERFUME YOU STRONGER TOBACCO</t>
        </is>
      </c>
      <c r="C538" s="1" t="inlineStr">
        <is>
          <t>Default Title</t>
        </is>
      </c>
      <c r="D538" s="1" t="inlineStr">
        <is>
          <t>ZOEY</t>
        </is>
      </c>
      <c r="E538" s="4">
        <f>COUNTIF('DETALLE CRONOLÓGICO'!$A$2:$A$4919,$A538)</f>
        <v/>
      </c>
      <c r="F538" s="4">
        <f>SUMIFS('DETALLE CRONOLÓGICO'!$I$2:$I$4919,'DETALLE CRONOLÓGICO'!$A$2:$A$4919,$A538)</f>
        <v/>
      </c>
      <c r="G538" s="1">
        <f>INDEX('DETALLE CRONOLÓGICO'!$D$2:$D$4919,MATCH($A538,'DETALLE CRONOLÓGICO'!$A$2:$A$4919,0))</f>
        <v/>
      </c>
      <c r="H538" s="1">
        <f>INDEX('DETALLE CRONOLÓGICO'!$D$2:$D$4919,MATCH($A538,'DETALLE CRONOLÓGICO'!$A$2:$A$4919,0)+$E538-1)</f>
        <v/>
      </c>
      <c r="I538" s="5">
        <f>IFERROR(SUMIFS('DETALLE CRONOLÓGICO'!$L$2:$L$4919,'DETALLE CRONOLÓGICO'!$A$2:$A$4919,$A538)/$F538,"")</f>
        <v/>
      </c>
      <c r="J538" s="6">
        <f>IFERROR(SUMIFS('DETALLE CRONOLÓGICO'!$K$2:$K$4919,'DETALLE CRONOLÓGICO'!$A$2:$A$4919,$A538)/$E538,"")</f>
        <v/>
      </c>
      <c r="K538" s="6">
        <f>_xlfn.MINIFS('DETALLE CRONOLÓGICO'!$K$2:$K$4919,'DETALLE CRONOLÓGICO'!$A$2:$A$4919,$A538)</f>
        <v/>
      </c>
      <c r="L538" s="6">
        <f>_xlfn.MAXIFS('DETALLE CRONOLÓGICO'!$K$2:$K$4919,'DETALLE CRONOLÓGICO'!$A$2:$A$4919,$A538)</f>
        <v/>
      </c>
      <c r="M538" s="6">
        <f>INDEX('DETALLE CRONOLÓGICO'!$K$2:$K$4919,MATCH($A538,'DETALLE CRONOLÓGICO'!$A$2:$A$4919,0)+$E538-1)</f>
        <v/>
      </c>
      <c r="N538" s="7">
        <f>IFERROR($M538/INDEX('DETALLE CRONOLÓGICO'!$K$2:$K$4919,MATCH($A538,'DETALLE CRONOLÓGICO'!$A$2:$A$4919,0))-1,"")</f>
        <v/>
      </c>
      <c r="O538" s="6">
        <f>IFERROR($I538*3,"")</f>
        <v/>
      </c>
      <c r="P538" s="6">
        <f>IFERROR($I538*3.5,"")</f>
        <v/>
      </c>
      <c r="Q538" s="6">
        <f>IFERROR($I538*4,"")</f>
        <v/>
      </c>
      <c r="R538" s="6" t="n">
        <v>1849</v>
      </c>
      <c r="S538" s="4" t="n">
        <v>2</v>
      </c>
      <c r="T538" s="1" t="inlineStr">
        <is>
          <t>active</t>
        </is>
      </c>
      <c r="U538" s="8" t="n"/>
      <c r="V538" s="1" t="inlineStr">
        <is>
          <t>SIN PRECIO</t>
        </is>
      </c>
    </row>
    <row r="539">
      <c r="A539" s="1" t="inlineStr">
        <is>
          <t>34163623006797</t>
        </is>
      </c>
      <c r="B539" s="1" t="inlineStr">
        <is>
          <t>BOLSO F BAGUETTE TEJIDO</t>
        </is>
      </c>
      <c r="C539" s="1" t="inlineStr">
        <is>
          <t>Default Title</t>
        </is>
      </c>
      <c r="D539" s="1" t="inlineStr">
        <is>
          <t>ZOEY</t>
        </is>
      </c>
      <c r="E539" s="4">
        <f>COUNTIF('DETALLE CRONOLÓGICO'!$A$2:$A$4919,$A539)</f>
        <v/>
      </c>
      <c r="F539" s="4">
        <f>SUMIFS('DETALLE CRONOLÓGICO'!$I$2:$I$4919,'DETALLE CRONOLÓGICO'!$A$2:$A$4919,$A539)</f>
        <v/>
      </c>
      <c r="G539" s="1">
        <f>INDEX('DETALLE CRONOLÓGICO'!$D$2:$D$4919,MATCH($A539,'DETALLE CRONOLÓGICO'!$A$2:$A$4919,0))</f>
        <v/>
      </c>
      <c r="H539" s="1">
        <f>INDEX('DETALLE CRONOLÓGICO'!$D$2:$D$4919,MATCH($A539,'DETALLE CRONOLÓGICO'!$A$2:$A$4919,0)+$E539-1)</f>
        <v/>
      </c>
      <c r="I539" s="5">
        <f>IFERROR(SUMIFS('DETALLE CRONOLÓGICO'!$L$2:$L$4919,'DETALLE CRONOLÓGICO'!$A$2:$A$4919,$A539)/$F539,"")</f>
        <v/>
      </c>
      <c r="J539" s="6">
        <f>IFERROR(SUMIFS('DETALLE CRONOLÓGICO'!$K$2:$K$4919,'DETALLE CRONOLÓGICO'!$A$2:$A$4919,$A539)/$E539,"")</f>
        <v/>
      </c>
      <c r="K539" s="6">
        <f>_xlfn.MINIFS('DETALLE CRONOLÓGICO'!$K$2:$K$4919,'DETALLE CRONOLÓGICO'!$A$2:$A$4919,$A539)</f>
        <v/>
      </c>
      <c r="L539" s="6">
        <f>_xlfn.MAXIFS('DETALLE CRONOLÓGICO'!$K$2:$K$4919,'DETALLE CRONOLÓGICO'!$A$2:$A$4919,$A539)</f>
        <v/>
      </c>
      <c r="M539" s="6">
        <f>INDEX('DETALLE CRONOLÓGICO'!$K$2:$K$4919,MATCH($A539,'DETALLE CRONOLÓGICO'!$A$2:$A$4919,0)+$E539-1)</f>
        <v/>
      </c>
      <c r="N539" s="7">
        <f>IFERROR($M539/INDEX('DETALLE CRONOLÓGICO'!$K$2:$K$4919,MATCH($A539,'DETALLE CRONOLÓGICO'!$A$2:$A$4919,0))-1,"")</f>
        <v/>
      </c>
      <c r="O539" s="6">
        <f>IFERROR($I539*3,"")</f>
        <v/>
      </c>
      <c r="P539" s="6">
        <f>IFERROR($I539*3.5,"")</f>
        <v/>
      </c>
      <c r="Q539" s="6">
        <f>IFERROR($I539*4,"")</f>
        <v/>
      </c>
      <c r="R539" s="6" t="n">
        <v>4719</v>
      </c>
      <c r="S539" s="4" t="n">
        <v>0</v>
      </c>
      <c r="T539" s="1" t="inlineStr">
        <is>
          <t>active</t>
        </is>
      </c>
      <c r="U539" s="8" t="n"/>
      <c r="V539" s="1" t="inlineStr">
        <is>
          <t>SIN PRECIO</t>
        </is>
      </c>
    </row>
    <row r="540">
      <c r="A540" s="1" t="inlineStr">
        <is>
          <t>34163623137869</t>
        </is>
      </c>
      <c r="B540" s="1" t="inlineStr">
        <is>
          <t>BOLSO F SUNSHINE BLACK</t>
        </is>
      </c>
      <c r="C540" s="1" t="inlineStr">
        <is>
          <t>Default Title</t>
        </is>
      </c>
      <c r="D540" s="1" t="inlineStr">
        <is>
          <t>ZOEY</t>
        </is>
      </c>
      <c r="E540" s="4">
        <f>COUNTIF('DETALLE CRONOLÓGICO'!$A$2:$A$4919,$A540)</f>
        <v/>
      </c>
      <c r="F540" s="4">
        <f>SUMIFS('DETALLE CRONOLÓGICO'!$I$2:$I$4919,'DETALLE CRONOLÓGICO'!$A$2:$A$4919,$A540)</f>
        <v/>
      </c>
      <c r="G540" s="1">
        <f>INDEX('DETALLE CRONOLÓGICO'!$D$2:$D$4919,MATCH($A540,'DETALLE CRONOLÓGICO'!$A$2:$A$4919,0))</f>
        <v/>
      </c>
      <c r="H540" s="1">
        <f>INDEX('DETALLE CRONOLÓGICO'!$D$2:$D$4919,MATCH($A540,'DETALLE CRONOLÓGICO'!$A$2:$A$4919,0)+$E540-1)</f>
        <v/>
      </c>
      <c r="I540" s="5">
        <f>IFERROR(SUMIFS('DETALLE CRONOLÓGICO'!$L$2:$L$4919,'DETALLE CRONOLÓGICO'!$A$2:$A$4919,$A540)/$F540,"")</f>
        <v/>
      </c>
      <c r="J540" s="6">
        <f>IFERROR(SUMIFS('DETALLE CRONOLÓGICO'!$K$2:$K$4919,'DETALLE CRONOLÓGICO'!$A$2:$A$4919,$A540)/$E540,"")</f>
        <v/>
      </c>
      <c r="K540" s="6">
        <f>_xlfn.MINIFS('DETALLE CRONOLÓGICO'!$K$2:$K$4919,'DETALLE CRONOLÓGICO'!$A$2:$A$4919,$A540)</f>
        <v/>
      </c>
      <c r="L540" s="6">
        <f>_xlfn.MAXIFS('DETALLE CRONOLÓGICO'!$K$2:$K$4919,'DETALLE CRONOLÓGICO'!$A$2:$A$4919,$A540)</f>
        <v/>
      </c>
      <c r="M540" s="6">
        <f>INDEX('DETALLE CRONOLÓGICO'!$K$2:$K$4919,MATCH($A540,'DETALLE CRONOLÓGICO'!$A$2:$A$4919,0)+$E540-1)</f>
        <v/>
      </c>
      <c r="N540" s="7">
        <f>IFERROR($M540/INDEX('DETALLE CRONOLÓGICO'!$K$2:$K$4919,MATCH($A540,'DETALLE CRONOLÓGICO'!$A$2:$A$4919,0))-1,"")</f>
        <v/>
      </c>
      <c r="O540" s="6">
        <f>IFERROR($I540*3,"")</f>
        <v/>
      </c>
      <c r="P540" s="6">
        <f>IFERROR($I540*3.5,"")</f>
        <v/>
      </c>
      <c r="Q540" s="6">
        <f>IFERROR($I540*4,"")</f>
        <v/>
      </c>
      <c r="R540" s="6" t="n">
        <v>5019</v>
      </c>
      <c r="S540" s="4" t="n">
        <v>0</v>
      </c>
      <c r="T540" s="1" t="inlineStr">
        <is>
          <t>active</t>
        </is>
      </c>
      <c r="U540" s="8" t="n"/>
      <c r="V540" s="1" t="inlineStr">
        <is>
          <t>SIN PRECIO</t>
        </is>
      </c>
    </row>
    <row r="541">
      <c r="A541" s="1" t="inlineStr">
        <is>
          <t>34163623210189</t>
        </is>
      </c>
      <c r="B541" s="1" t="inlineStr">
        <is>
          <t>ZAPATILLAS V ROCKSTUD BEIGE</t>
        </is>
      </c>
      <c r="C541" s="1" t="inlineStr">
        <is>
          <t>38/24mx</t>
        </is>
      </c>
      <c r="D541" s="1" t="inlineStr">
        <is>
          <t>ZOEY</t>
        </is>
      </c>
      <c r="E541" s="4">
        <f>COUNTIF('DETALLE CRONOLÓGICO'!$A$2:$A$4919,$A541)</f>
        <v/>
      </c>
      <c r="F541" s="4">
        <f>SUMIFS('DETALLE CRONOLÓGICO'!$I$2:$I$4919,'DETALLE CRONOLÓGICO'!$A$2:$A$4919,$A541)</f>
        <v/>
      </c>
      <c r="G541" s="1">
        <f>INDEX('DETALLE CRONOLÓGICO'!$D$2:$D$4919,MATCH($A541,'DETALLE CRONOLÓGICO'!$A$2:$A$4919,0))</f>
        <v/>
      </c>
      <c r="H541" s="1">
        <f>INDEX('DETALLE CRONOLÓGICO'!$D$2:$D$4919,MATCH($A541,'DETALLE CRONOLÓGICO'!$A$2:$A$4919,0)+$E541-1)</f>
        <v/>
      </c>
      <c r="I541" s="5">
        <f>IFERROR(SUMIFS('DETALLE CRONOLÓGICO'!$L$2:$L$4919,'DETALLE CRONOLÓGICO'!$A$2:$A$4919,$A541)/$F541,"")</f>
        <v/>
      </c>
      <c r="J541" s="6">
        <f>IFERROR(SUMIFS('DETALLE CRONOLÓGICO'!$K$2:$K$4919,'DETALLE CRONOLÓGICO'!$A$2:$A$4919,$A541)/$E541,"")</f>
        <v/>
      </c>
      <c r="K541" s="6">
        <f>_xlfn.MINIFS('DETALLE CRONOLÓGICO'!$K$2:$K$4919,'DETALLE CRONOLÓGICO'!$A$2:$A$4919,$A541)</f>
        <v/>
      </c>
      <c r="L541" s="6">
        <f>_xlfn.MAXIFS('DETALLE CRONOLÓGICO'!$K$2:$K$4919,'DETALLE CRONOLÓGICO'!$A$2:$A$4919,$A541)</f>
        <v/>
      </c>
      <c r="M541" s="6">
        <f>INDEX('DETALLE CRONOLÓGICO'!$K$2:$K$4919,MATCH($A541,'DETALLE CRONOLÓGICO'!$A$2:$A$4919,0)+$E541-1)</f>
        <v/>
      </c>
      <c r="N541" s="7">
        <f>IFERROR($M541/INDEX('DETALLE CRONOLÓGICO'!$K$2:$K$4919,MATCH($A541,'DETALLE CRONOLÓGICO'!$A$2:$A$4919,0))-1,"")</f>
        <v/>
      </c>
      <c r="O541" s="6">
        <f>IFERROR($I541*3,"")</f>
        <v/>
      </c>
      <c r="P541" s="6">
        <f>IFERROR($I541*3.5,"")</f>
        <v/>
      </c>
      <c r="Q541" s="6">
        <f>IFERROR($I541*4,"")</f>
        <v/>
      </c>
      <c r="R541" s="6" t="n">
        <v>5359</v>
      </c>
      <c r="S541" s="4" t="n">
        <v>0</v>
      </c>
      <c r="T541" s="1" t="inlineStr">
        <is>
          <t>active</t>
        </is>
      </c>
      <c r="U541" s="8" t="n"/>
      <c r="V541" s="1" t="inlineStr">
        <is>
          <t>SIN PRECIO</t>
        </is>
      </c>
    </row>
    <row r="542">
      <c r="A542" s="1" t="inlineStr">
        <is>
          <t>34163623342957</t>
        </is>
      </c>
      <c r="B542" s="1" t="inlineStr">
        <is>
          <t>ZAPATILLAS V ROCKSTUD BEIGE</t>
        </is>
      </c>
      <c r="C542" s="1" t="inlineStr">
        <is>
          <t>36/24mx</t>
        </is>
      </c>
      <c r="D542" s="1" t="inlineStr">
        <is>
          <t>ZOEY</t>
        </is>
      </c>
      <c r="E542" s="4">
        <f>COUNTIF('DETALLE CRONOLÓGICO'!$A$2:$A$4919,$A542)</f>
        <v/>
      </c>
      <c r="F542" s="4">
        <f>SUMIFS('DETALLE CRONOLÓGICO'!$I$2:$I$4919,'DETALLE CRONOLÓGICO'!$A$2:$A$4919,$A542)</f>
        <v/>
      </c>
      <c r="G542" s="1">
        <f>INDEX('DETALLE CRONOLÓGICO'!$D$2:$D$4919,MATCH($A542,'DETALLE CRONOLÓGICO'!$A$2:$A$4919,0))</f>
        <v/>
      </c>
      <c r="H542" s="1">
        <f>INDEX('DETALLE CRONOLÓGICO'!$D$2:$D$4919,MATCH($A542,'DETALLE CRONOLÓGICO'!$A$2:$A$4919,0)+$E542-1)</f>
        <v/>
      </c>
      <c r="I542" s="5">
        <f>IFERROR(SUMIFS('DETALLE CRONOLÓGICO'!$L$2:$L$4919,'DETALLE CRONOLÓGICO'!$A$2:$A$4919,$A542)/$F542,"")</f>
        <v/>
      </c>
      <c r="J542" s="6">
        <f>IFERROR(SUMIFS('DETALLE CRONOLÓGICO'!$K$2:$K$4919,'DETALLE CRONOLÓGICO'!$A$2:$A$4919,$A542)/$E542,"")</f>
        <v/>
      </c>
      <c r="K542" s="6">
        <f>_xlfn.MINIFS('DETALLE CRONOLÓGICO'!$K$2:$K$4919,'DETALLE CRONOLÓGICO'!$A$2:$A$4919,$A542)</f>
        <v/>
      </c>
      <c r="L542" s="6">
        <f>_xlfn.MAXIFS('DETALLE CRONOLÓGICO'!$K$2:$K$4919,'DETALLE CRONOLÓGICO'!$A$2:$A$4919,$A542)</f>
        <v/>
      </c>
      <c r="M542" s="6">
        <f>INDEX('DETALLE CRONOLÓGICO'!$K$2:$K$4919,MATCH($A542,'DETALLE CRONOLÓGICO'!$A$2:$A$4919,0)+$E542-1)</f>
        <v/>
      </c>
      <c r="N542" s="7">
        <f>IFERROR($M542/INDEX('DETALLE CRONOLÓGICO'!$K$2:$K$4919,MATCH($A542,'DETALLE CRONOLÓGICO'!$A$2:$A$4919,0))-1,"")</f>
        <v/>
      </c>
      <c r="O542" s="6">
        <f>IFERROR($I542*3,"")</f>
        <v/>
      </c>
      <c r="P542" s="6">
        <f>IFERROR($I542*3.5,"")</f>
        <v/>
      </c>
      <c r="Q542" s="6">
        <f>IFERROR($I542*4,"")</f>
        <v/>
      </c>
      <c r="R542" s="6" t="n">
        <v>5399</v>
      </c>
      <c r="S542" s="4" t="n">
        <v>2</v>
      </c>
      <c r="T542" s="1" t="inlineStr">
        <is>
          <t>active</t>
        </is>
      </c>
      <c r="U542" s="8" t="n"/>
      <c r="V542" s="1" t="inlineStr">
        <is>
          <t>SIN PRECIO</t>
        </is>
      </c>
    </row>
    <row r="543">
      <c r="A543" s="1" t="inlineStr">
        <is>
          <t>34163623457677</t>
        </is>
      </c>
      <c r="B543" s="1" t="inlineStr">
        <is>
          <t>PULSERA DE TENNIS DIAMONDS BLUE</t>
        </is>
      </c>
      <c r="C543" s="1" t="inlineStr">
        <is>
          <t>Default Title</t>
        </is>
      </c>
      <c r="D543" s="1" t="inlineStr">
        <is>
          <t>ZOEY</t>
        </is>
      </c>
      <c r="E543" s="4">
        <f>COUNTIF('DETALLE CRONOLÓGICO'!$A$2:$A$4919,$A543)</f>
        <v/>
      </c>
      <c r="F543" s="4">
        <f>SUMIFS('DETALLE CRONOLÓGICO'!$I$2:$I$4919,'DETALLE CRONOLÓGICO'!$A$2:$A$4919,$A543)</f>
        <v/>
      </c>
      <c r="G543" s="1">
        <f>INDEX('DETALLE CRONOLÓGICO'!$D$2:$D$4919,MATCH($A543,'DETALLE CRONOLÓGICO'!$A$2:$A$4919,0))</f>
        <v/>
      </c>
      <c r="H543" s="1">
        <f>INDEX('DETALLE CRONOLÓGICO'!$D$2:$D$4919,MATCH($A543,'DETALLE CRONOLÓGICO'!$A$2:$A$4919,0)+$E543-1)</f>
        <v/>
      </c>
      <c r="I543" s="5">
        <f>IFERROR(SUMIFS('DETALLE CRONOLÓGICO'!$L$2:$L$4919,'DETALLE CRONOLÓGICO'!$A$2:$A$4919,$A543)/$F543,"")</f>
        <v/>
      </c>
      <c r="J543" s="6">
        <f>IFERROR(SUMIFS('DETALLE CRONOLÓGICO'!$K$2:$K$4919,'DETALLE CRONOLÓGICO'!$A$2:$A$4919,$A543)/$E543,"")</f>
        <v/>
      </c>
      <c r="K543" s="6">
        <f>_xlfn.MINIFS('DETALLE CRONOLÓGICO'!$K$2:$K$4919,'DETALLE CRONOLÓGICO'!$A$2:$A$4919,$A543)</f>
        <v/>
      </c>
      <c r="L543" s="6">
        <f>_xlfn.MAXIFS('DETALLE CRONOLÓGICO'!$K$2:$K$4919,'DETALLE CRONOLÓGICO'!$A$2:$A$4919,$A543)</f>
        <v/>
      </c>
      <c r="M543" s="6">
        <f>INDEX('DETALLE CRONOLÓGICO'!$K$2:$K$4919,MATCH($A543,'DETALLE CRONOLÓGICO'!$A$2:$A$4919,0)+$E543-1)</f>
        <v/>
      </c>
      <c r="N543" s="7">
        <f>IFERROR($M543/INDEX('DETALLE CRONOLÓGICO'!$K$2:$K$4919,MATCH($A543,'DETALLE CRONOLÓGICO'!$A$2:$A$4919,0))-1,"")</f>
        <v/>
      </c>
      <c r="O543" s="6">
        <f>IFERROR($I543*3,"")</f>
        <v/>
      </c>
      <c r="P543" s="6">
        <f>IFERROR($I543*3.5,"")</f>
        <v/>
      </c>
      <c r="Q543" s="6">
        <f>IFERROR($I543*4,"")</f>
        <v/>
      </c>
      <c r="R543" s="6" t="n">
        <v>1075</v>
      </c>
      <c r="S543" s="4" t="n">
        <v>1</v>
      </c>
      <c r="T543" s="1" t="inlineStr">
        <is>
          <t>active</t>
        </is>
      </c>
      <c r="U543" s="8" t="n"/>
      <c r="V543" s="1" t="inlineStr">
        <is>
          <t>SIN PRECIO</t>
        </is>
      </c>
    </row>
    <row r="544">
      <c r="A544" s="1" t="inlineStr">
        <is>
          <t>34163623595533</t>
        </is>
      </c>
      <c r="B544" s="1" t="inlineStr">
        <is>
          <t>PULSERA DE TENNIS DIAMONDS GOLD</t>
        </is>
      </c>
      <c r="C544" s="1" t="inlineStr">
        <is>
          <t>Default Title</t>
        </is>
      </c>
      <c r="D544" s="1" t="inlineStr">
        <is>
          <t>ZOEY</t>
        </is>
      </c>
      <c r="E544" s="4">
        <f>COUNTIF('DETALLE CRONOLÓGICO'!$A$2:$A$4919,$A544)</f>
        <v/>
      </c>
      <c r="F544" s="4">
        <f>SUMIFS('DETALLE CRONOLÓGICO'!$I$2:$I$4919,'DETALLE CRONOLÓGICO'!$A$2:$A$4919,$A544)</f>
        <v/>
      </c>
      <c r="G544" s="1">
        <f>INDEX('DETALLE CRONOLÓGICO'!$D$2:$D$4919,MATCH($A544,'DETALLE CRONOLÓGICO'!$A$2:$A$4919,0))</f>
        <v/>
      </c>
      <c r="H544" s="1">
        <f>INDEX('DETALLE CRONOLÓGICO'!$D$2:$D$4919,MATCH($A544,'DETALLE CRONOLÓGICO'!$A$2:$A$4919,0)+$E544-1)</f>
        <v/>
      </c>
      <c r="I544" s="5">
        <f>IFERROR(SUMIFS('DETALLE CRONOLÓGICO'!$L$2:$L$4919,'DETALLE CRONOLÓGICO'!$A$2:$A$4919,$A544)/$F544,"")</f>
        <v/>
      </c>
      <c r="J544" s="6">
        <f>IFERROR(SUMIFS('DETALLE CRONOLÓGICO'!$K$2:$K$4919,'DETALLE CRONOLÓGICO'!$A$2:$A$4919,$A544)/$E544,"")</f>
        <v/>
      </c>
      <c r="K544" s="6">
        <f>_xlfn.MINIFS('DETALLE CRONOLÓGICO'!$K$2:$K$4919,'DETALLE CRONOLÓGICO'!$A$2:$A$4919,$A544)</f>
        <v/>
      </c>
      <c r="L544" s="6">
        <f>_xlfn.MAXIFS('DETALLE CRONOLÓGICO'!$K$2:$K$4919,'DETALLE CRONOLÓGICO'!$A$2:$A$4919,$A544)</f>
        <v/>
      </c>
      <c r="M544" s="6">
        <f>INDEX('DETALLE CRONOLÓGICO'!$K$2:$K$4919,MATCH($A544,'DETALLE CRONOLÓGICO'!$A$2:$A$4919,0)+$E544-1)</f>
        <v/>
      </c>
      <c r="N544" s="7">
        <f>IFERROR($M544/INDEX('DETALLE CRONOLÓGICO'!$K$2:$K$4919,MATCH($A544,'DETALLE CRONOLÓGICO'!$A$2:$A$4919,0))-1,"")</f>
        <v/>
      </c>
      <c r="O544" s="6">
        <f>IFERROR($I544*3,"")</f>
        <v/>
      </c>
      <c r="P544" s="6">
        <f>IFERROR($I544*3.5,"")</f>
        <v/>
      </c>
      <c r="Q544" s="6">
        <f>IFERROR($I544*4,"")</f>
        <v/>
      </c>
      <c r="R544" s="6" t="n">
        <v>899</v>
      </c>
      <c r="S544" s="4" t="n">
        <v>0</v>
      </c>
      <c r="T544" s="1" t="inlineStr">
        <is>
          <t>active</t>
        </is>
      </c>
      <c r="U544" s="8" t="n"/>
      <c r="V544" s="1" t="inlineStr">
        <is>
          <t>SIN PRECIO</t>
        </is>
      </c>
    </row>
    <row r="545">
      <c r="A545" s="1" t="inlineStr">
        <is>
          <t>34163623621517</t>
        </is>
      </c>
      <c r="B545" s="1" t="inlineStr">
        <is>
          <t>PULSERA DE TENNIS DIAMONDS SILVER</t>
        </is>
      </c>
      <c r="C545" s="1" t="inlineStr">
        <is>
          <t>Default Title</t>
        </is>
      </c>
      <c r="D545" s="1" t="inlineStr">
        <is>
          <t>ZOEY</t>
        </is>
      </c>
      <c r="E545" s="4">
        <f>COUNTIF('DETALLE CRONOLÓGICO'!$A$2:$A$4919,$A545)</f>
        <v/>
      </c>
      <c r="F545" s="4">
        <f>SUMIFS('DETALLE CRONOLÓGICO'!$I$2:$I$4919,'DETALLE CRONOLÓGICO'!$A$2:$A$4919,$A545)</f>
        <v/>
      </c>
      <c r="G545" s="1">
        <f>INDEX('DETALLE CRONOLÓGICO'!$D$2:$D$4919,MATCH($A545,'DETALLE CRONOLÓGICO'!$A$2:$A$4919,0))</f>
        <v/>
      </c>
      <c r="H545" s="1">
        <f>INDEX('DETALLE CRONOLÓGICO'!$D$2:$D$4919,MATCH($A545,'DETALLE CRONOLÓGICO'!$A$2:$A$4919,0)+$E545-1)</f>
        <v/>
      </c>
      <c r="I545" s="5">
        <f>IFERROR(SUMIFS('DETALLE CRONOLÓGICO'!$L$2:$L$4919,'DETALLE CRONOLÓGICO'!$A$2:$A$4919,$A545)/$F545,"")</f>
        <v/>
      </c>
      <c r="J545" s="6">
        <f>IFERROR(SUMIFS('DETALLE CRONOLÓGICO'!$K$2:$K$4919,'DETALLE CRONOLÓGICO'!$A$2:$A$4919,$A545)/$E545,"")</f>
        <v/>
      </c>
      <c r="K545" s="6">
        <f>_xlfn.MINIFS('DETALLE CRONOLÓGICO'!$K$2:$K$4919,'DETALLE CRONOLÓGICO'!$A$2:$A$4919,$A545)</f>
        <v/>
      </c>
      <c r="L545" s="6">
        <f>_xlfn.MAXIFS('DETALLE CRONOLÓGICO'!$K$2:$K$4919,'DETALLE CRONOLÓGICO'!$A$2:$A$4919,$A545)</f>
        <v/>
      </c>
      <c r="M545" s="6">
        <f>INDEX('DETALLE CRONOLÓGICO'!$K$2:$K$4919,MATCH($A545,'DETALLE CRONOLÓGICO'!$A$2:$A$4919,0)+$E545-1)</f>
        <v/>
      </c>
      <c r="N545" s="7">
        <f>IFERROR($M545/INDEX('DETALLE CRONOLÓGICO'!$K$2:$K$4919,MATCH($A545,'DETALLE CRONOLÓGICO'!$A$2:$A$4919,0))-1,"")</f>
        <v/>
      </c>
      <c r="O545" s="6">
        <f>IFERROR($I545*3,"")</f>
        <v/>
      </c>
      <c r="P545" s="6">
        <f>IFERROR($I545*3.5,"")</f>
        <v/>
      </c>
      <c r="Q545" s="6">
        <f>IFERROR($I545*4,"")</f>
        <v/>
      </c>
      <c r="R545" s="6" t="n">
        <v>809</v>
      </c>
      <c r="S545" s="4" t="n">
        <v>0</v>
      </c>
      <c r="T545" s="1" t="inlineStr">
        <is>
          <t>active</t>
        </is>
      </c>
      <c r="U545" s="8" t="n"/>
      <c r="V545" s="1" t="inlineStr">
        <is>
          <t>SIN PRECIO</t>
        </is>
      </c>
    </row>
    <row r="546">
      <c r="A546" s="1" t="inlineStr">
        <is>
          <t>34163623705709</t>
        </is>
      </c>
      <c r="B546" s="1" t="inlineStr">
        <is>
          <t>RELOJ C BAIGNOIRE BLACK-GOLD</t>
        </is>
      </c>
      <c r="C546" s="1" t="inlineStr">
        <is>
          <t>Default Title</t>
        </is>
      </c>
      <c r="D546" s="1" t="inlineStr">
        <is>
          <t>ZOEY</t>
        </is>
      </c>
      <c r="E546" s="4">
        <f>COUNTIF('DETALLE CRONOLÓGICO'!$A$2:$A$4919,$A546)</f>
        <v/>
      </c>
      <c r="F546" s="4">
        <f>SUMIFS('DETALLE CRONOLÓGICO'!$I$2:$I$4919,'DETALLE CRONOLÓGICO'!$A$2:$A$4919,$A546)</f>
        <v/>
      </c>
      <c r="G546" s="1">
        <f>INDEX('DETALLE CRONOLÓGICO'!$D$2:$D$4919,MATCH($A546,'DETALLE CRONOLÓGICO'!$A$2:$A$4919,0))</f>
        <v/>
      </c>
      <c r="H546" s="1">
        <f>INDEX('DETALLE CRONOLÓGICO'!$D$2:$D$4919,MATCH($A546,'DETALLE CRONOLÓGICO'!$A$2:$A$4919,0)+$E546-1)</f>
        <v/>
      </c>
      <c r="I546" s="5">
        <f>IFERROR(SUMIFS('DETALLE CRONOLÓGICO'!$L$2:$L$4919,'DETALLE CRONOLÓGICO'!$A$2:$A$4919,$A546)/$F546,"")</f>
        <v/>
      </c>
      <c r="J546" s="6">
        <f>IFERROR(SUMIFS('DETALLE CRONOLÓGICO'!$K$2:$K$4919,'DETALLE CRONOLÓGICO'!$A$2:$A$4919,$A546)/$E546,"")</f>
        <v/>
      </c>
      <c r="K546" s="6">
        <f>_xlfn.MINIFS('DETALLE CRONOLÓGICO'!$K$2:$K$4919,'DETALLE CRONOLÓGICO'!$A$2:$A$4919,$A546)</f>
        <v/>
      </c>
      <c r="L546" s="6">
        <f>_xlfn.MAXIFS('DETALLE CRONOLÓGICO'!$K$2:$K$4919,'DETALLE CRONOLÓGICO'!$A$2:$A$4919,$A546)</f>
        <v/>
      </c>
      <c r="M546" s="6">
        <f>INDEX('DETALLE CRONOLÓGICO'!$K$2:$K$4919,MATCH($A546,'DETALLE CRONOLÓGICO'!$A$2:$A$4919,0)+$E546-1)</f>
        <v/>
      </c>
      <c r="N546" s="7">
        <f>IFERROR($M546/INDEX('DETALLE CRONOLÓGICO'!$K$2:$K$4919,MATCH($A546,'DETALLE CRONOLÓGICO'!$A$2:$A$4919,0))-1,"")</f>
        <v/>
      </c>
      <c r="O546" s="6">
        <f>IFERROR($I546*3,"")</f>
        <v/>
      </c>
      <c r="P546" s="6">
        <f>IFERROR($I546*3.5,"")</f>
        <v/>
      </c>
      <c r="Q546" s="6">
        <f>IFERROR($I546*4,"")</f>
        <v/>
      </c>
      <c r="R546" s="6" t="n">
        <v>6399</v>
      </c>
      <c r="S546" s="4" t="n">
        <v>3</v>
      </c>
      <c r="T546" s="1" t="inlineStr">
        <is>
          <t>active</t>
        </is>
      </c>
      <c r="U546" s="8" t="n"/>
      <c r="V546" s="1" t="inlineStr">
        <is>
          <t>SIN PRECIO</t>
        </is>
      </c>
    </row>
    <row r="547">
      <c r="A547" s="1" t="inlineStr">
        <is>
          <t>34241171019789</t>
        </is>
      </c>
      <c r="B547" s="1" t="inlineStr">
        <is>
          <t>COLLAR MM LOGO SILVER CON ZIRCONIA</t>
        </is>
      </c>
      <c r="C547" s="1" t="inlineStr">
        <is>
          <t>Default Title</t>
        </is>
      </c>
      <c r="D547" s="1" t="inlineStr">
        <is>
          <t>ZOEY</t>
        </is>
      </c>
      <c r="E547" s="4">
        <f>COUNTIF('DETALLE CRONOLÓGICO'!$A$2:$A$4919,$A547)</f>
        <v/>
      </c>
      <c r="F547" s="4">
        <f>SUMIFS('DETALLE CRONOLÓGICO'!$I$2:$I$4919,'DETALLE CRONOLÓGICO'!$A$2:$A$4919,$A547)</f>
        <v/>
      </c>
      <c r="G547" s="1">
        <f>INDEX('DETALLE CRONOLÓGICO'!$D$2:$D$4919,MATCH($A547,'DETALLE CRONOLÓGICO'!$A$2:$A$4919,0))</f>
        <v/>
      </c>
      <c r="H547" s="1">
        <f>INDEX('DETALLE CRONOLÓGICO'!$D$2:$D$4919,MATCH($A547,'DETALLE CRONOLÓGICO'!$A$2:$A$4919,0)+$E547-1)</f>
        <v/>
      </c>
      <c r="I547" s="5">
        <f>IFERROR(SUMIFS('DETALLE CRONOLÓGICO'!$L$2:$L$4919,'DETALLE CRONOLÓGICO'!$A$2:$A$4919,$A547)/$F547,"")</f>
        <v/>
      </c>
      <c r="J547" s="6">
        <f>IFERROR(SUMIFS('DETALLE CRONOLÓGICO'!$K$2:$K$4919,'DETALLE CRONOLÓGICO'!$A$2:$A$4919,$A547)/$E547,"")</f>
        <v/>
      </c>
      <c r="K547" s="6">
        <f>_xlfn.MINIFS('DETALLE CRONOLÓGICO'!$K$2:$K$4919,'DETALLE CRONOLÓGICO'!$A$2:$A$4919,$A547)</f>
        <v/>
      </c>
      <c r="L547" s="6">
        <f>_xlfn.MAXIFS('DETALLE CRONOLÓGICO'!$K$2:$K$4919,'DETALLE CRONOLÓGICO'!$A$2:$A$4919,$A547)</f>
        <v/>
      </c>
      <c r="M547" s="6">
        <f>INDEX('DETALLE CRONOLÓGICO'!$K$2:$K$4919,MATCH($A547,'DETALLE CRONOLÓGICO'!$A$2:$A$4919,0)+$E547-1)</f>
        <v/>
      </c>
      <c r="N547" s="7">
        <f>IFERROR($M547/INDEX('DETALLE CRONOLÓGICO'!$K$2:$K$4919,MATCH($A547,'DETALLE CRONOLÓGICO'!$A$2:$A$4919,0))-1,"")</f>
        <v/>
      </c>
      <c r="O547" s="6">
        <f>IFERROR($I547*3,"")</f>
        <v/>
      </c>
      <c r="P547" s="6">
        <f>IFERROR($I547*3.5,"")</f>
        <v/>
      </c>
      <c r="Q547" s="6">
        <f>IFERROR($I547*4,"")</f>
        <v/>
      </c>
      <c r="R547" s="6" t="n">
        <v>725</v>
      </c>
      <c r="S547" s="4" t="n">
        <v>1</v>
      </c>
      <c r="T547" s="1" t="inlineStr">
        <is>
          <t>active</t>
        </is>
      </c>
      <c r="U547" s="8" t="n"/>
      <c r="V547" s="1" t="inlineStr">
        <is>
          <t>SIN PRECIO</t>
        </is>
      </c>
    </row>
    <row r="548">
      <c r="A548" s="1" t="inlineStr">
        <is>
          <t>34313011061229</t>
        </is>
      </c>
      <c r="B548" s="1" t="inlineStr">
        <is>
          <t>BOLSO PR HANDBAG BROWN</t>
        </is>
      </c>
      <c r="C548" s="1" t="inlineStr">
        <is>
          <t>BIG</t>
        </is>
      </c>
      <c r="D548" s="1" t="inlineStr">
        <is>
          <t>CYNTHIA</t>
        </is>
      </c>
      <c r="E548" s="4">
        <f>COUNTIF('DETALLE CRONOLÓGICO'!$A$2:$A$4919,$A548)</f>
        <v/>
      </c>
      <c r="F548" s="4">
        <f>SUMIFS('DETALLE CRONOLÓGICO'!$I$2:$I$4919,'DETALLE CRONOLÓGICO'!$A$2:$A$4919,$A548)</f>
        <v/>
      </c>
      <c r="G548" s="1">
        <f>INDEX('DETALLE CRONOLÓGICO'!$D$2:$D$4919,MATCH($A548,'DETALLE CRONOLÓGICO'!$A$2:$A$4919,0))</f>
        <v/>
      </c>
      <c r="H548" s="1">
        <f>INDEX('DETALLE CRONOLÓGICO'!$D$2:$D$4919,MATCH($A548,'DETALLE CRONOLÓGICO'!$A$2:$A$4919,0)+$E548-1)</f>
        <v/>
      </c>
      <c r="I548" s="5">
        <f>IFERROR(SUMIFS('DETALLE CRONOLÓGICO'!$L$2:$L$4919,'DETALLE CRONOLÓGICO'!$A$2:$A$4919,$A548)/$F548,"")</f>
        <v/>
      </c>
      <c r="J548" s="6">
        <f>IFERROR(SUMIFS('DETALLE CRONOLÓGICO'!$K$2:$K$4919,'DETALLE CRONOLÓGICO'!$A$2:$A$4919,$A548)/$E548,"")</f>
        <v/>
      </c>
      <c r="K548" s="6">
        <f>_xlfn.MINIFS('DETALLE CRONOLÓGICO'!$K$2:$K$4919,'DETALLE CRONOLÓGICO'!$A$2:$A$4919,$A548)</f>
        <v/>
      </c>
      <c r="L548" s="6">
        <f>_xlfn.MAXIFS('DETALLE CRONOLÓGICO'!$K$2:$K$4919,'DETALLE CRONOLÓGICO'!$A$2:$A$4919,$A548)</f>
        <v/>
      </c>
      <c r="M548" s="6">
        <f>INDEX('DETALLE CRONOLÓGICO'!$K$2:$K$4919,MATCH($A548,'DETALLE CRONOLÓGICO'!$A$2:$A$4919,0)+$E548-1)</f>
        <v/>
      </c>
      <c r="N548" s="7">
        <f>IFERROR($M548/INDEX('DETALLE CRONOLÓGICO'!$K$2:$K$4919,MATCH($A548,'DETALLE CRONOLÓGICO'!$A$2:$A$4919,0))-1,"")</f>
        <v/>
      </c>
      <c r="O548" s="6">
        <f>IFERROR($I548*3,"")</f>
        <v/>
      </c>
      <c r="P548" s="6">
        <f>IFERROR($I548*3.5,"")</f>
        <v/>
      </c>
      <c r="Q548" s="6">
        <f>IFERROR($I548*4,"")</f>
        <v/>
      </c>
      <c r="R548" s="6" t="n">
        <v>5099</v>
      </c>
      <c r="S548" s="4" t="n">
        <v>3</v>
      </c>
      <c r="T548" s="1" t="inlineStr">
        <is>
          <t>active</t>
        </is>
      </c>
      <c r="U548" s="8" t="n"/>
      <c r="V548" s="1" t="inlineStr">
        <is>
          <t>SIN PRECIO</t>
        </is>
      </c>
    </row>
    <row r="549">
      <c r="A549" s="1" t="inlineStr">
        <is>
          <t>34361211039213</t>
        </is>
      </c>
      <c r="B549" s="1" t="inlineStr">
        <is>
          <t>PULSERA DIVAS DREAM SILVER</t>
        </is>
      </c>
      <c r="C549" s="1" t="inlineStr">
        <is>
          <t>Default Title</t>
        </is>
      </c>
      <c r="D549" s="1" t="inlineStr">
        <is>
          <t>HAIFENG</t>
        </is>
      </c>
      <c r="E549" s="4">
        <f>COUNTIF('DETALLE CRONOLÓGICO'!$A$2:$A$4919,$A549)</f>
        <v/>
      </c>
      <c r="F549" s="4">
        <f>SUMIFS('DETALLE CRONOLÓGICO'!$I$2:$I$4919,'DETALLE CRONOLÓGICO'!$A$2:$A$4919,$A549)</f>
        <v/>
      </c>
      <c r="G549" s="1">
        <f>INDEX('DETALLE CRONOLÓGICO'!$D$2:$D$4919,MATCH($A549,'DETALLE CRONOLÓGICO'!$A$2:$A$4919,0))</f>
        <v/>
      </c>
      <c r="H549" s="1">
        <f>INDEX('DETALLE CRONOLÓGICO'!$D$2:$D$4919,MATCH($A549,'DETALLE CRONOLÓGICO'!$A$2:$A$4919,0)+$E549-1)</f>
        <v/>
      </c>
      <c r="I549" s="5">
        <f>IFERROR(SUMIFS('DETALLE CRONOLÓGICO'!$L$2:$L$4919,'DETALLE CRONOLÓGICO'!$A$2:$A$4919,$A549)/$F549,"")</f>
        <v/>
      </c>
      <c r="J549" s="6">
        <f>IFERROR(SUMIFS('DETALLE CRONOLÓGICO'!$K$2:$K$4919,'DETALLE CRONOLÓGICO'!$A$2:$A$4919,$A549)/$E549,"")</f>
        <v/>
      </c>
      <c r="K549" s="6">
        <f>_xlfn.MINIFS('DETALLE CRONOLÓGICO'!$K$2:$K$4919,'DETALLE CRONOLÓGICO'!$A$2:$A$4919,$A549)</f>
        <v/>
      </c>
      <c r="L549" s="6">
        <f>_xlfn.MAXIFS('DETALLE CRONOLÓGICO'!$K$2:$K$4919,'DETALLE CRONOLÓGICO'!$A$2:$A$4919,$A549)</f>
        <v/>
      </c>
      <c r="M549" s="6">
        <f>INDEX('DETALLE CRONOLÓGICO'!$K$2:$K$4919,MATCH($A549,'DETALLE CRONOLÓGICO'!$A$2:$A$4919,0)+$E549-1)</f>
        <v/>
      </c>
      <c r="N549" s="7">
        <f>IFERROR($M549/INDEX('DETALLE CRONOLÓGICO'!$K$2:$K$4919,MATCH($A549,'DETALLE CRONOLÓGICO'!$A$2:$A$4919,0))-1,"")</f>
        <v/>
      </c>
      <c r="O549" s="6">
        <f>IFERROR($I549*3,"")</f>
        <v/>
      </c>
      <c r="P549" s="6">
        <f>IFERROR($I549*3.5,"")</f>
        <v/>
      </c>
      <c r="Q549" s="6">
        <f>IFERROR($I549*4,"")</f>
        <v/>
      </c>
      <c r="R549" s="6" t="n">
        <v>403</v>
      </c>
      <c r="S549" s="4" t="n">
        <v>3</v>
      </c>
      <c r="T549" s="1" t="inlineStr">
        <is>
          <t>active</t>
        </is>
      </c>
      <c r="U549" s="8" t="n"/>
      <c r="V549" s="1" t="inlineStr">
        <is>
          <t>SIN PRECIO</t>
        </is>
      </c>
    </row>
    <row r="550">
      <c r="A550" s="1" t="inlineStr">
        <is>
          <t>34762981018093</t>
        </is>
      </c>
      <c r="B550" s="1" t="inlineStr">
        <is>
          <t>RELOJ TANK CR BLACK GOLD CROCODILE</t>
        </is>
      </c>
      <c r="C550" s="1" t="n"/>
      <c r="D550" s="1" t="inlineStr">
        <is>
          <t>ZOEY</t>
        </is>
      </c>
      <c r="E550" s="4">
        <f>COUNTIF('DETALLE CRONOLÓGICO'!$A$2:$A$4919,$A550)</f>
        <v/>
      </c>
      <c r="F550" s="4">
        <f>SUMIFS('DETALLE CRONOLÓGICO'!$I$2:$I$4919,'DETALLE CRONOLÓGICO'!$A$2:$A$4919,$A550)</f>
        <v/>
      </c>
      <c r="G550" s="1">
        <f>INDEX('DETALLE CRONOLÓGICO'!$D$2:$D$4919,MATCH($A550,'DETALLE CRONOLÓGICO'!$A$2:$A$4919,0))</f>
        <v/>
      </c>
      <c r="H550" s="1">
        <f>INDEX('DETALLE CRONOLÓGICO'!$D$2:$D$4919,MATCH($A550,'DETALLE CRONOLÓGICO'!$A$2:$A$4919,0)+$E550-1)</f>
        <v/>
      </c>
      <c r="I550" s="5">
        <f>IFERROR(SUMIFS('DETALLE CRONOLÓGICO'!$L$2:$L$4919,'DETALLE CRONOLÓGICO'!$A$2:$A$4919,$A550)/$F550,"")</f>
        <v/>
      </c>
      <c r="J550" s="6">
        <f>IFERROR(SUMIFS('DETALLE CRONOLÓGICO'!$K$2:$K$4919,'DETALLE CRONOLÓGICO'!$A$2:$A$4919,$A550)/$E550,"")</f>
        <v/>
      </c>
      <c r="K550" s="6">
        <f>_xlfn.MINIFS('DETALLE CRONOLÓGICO'!$K$2:$K$4919,'DETALLE CRONOLÓGICO'!$A$2:$A$4919,$A550)</f>
        <v/>
      </c>
      <c r="L550" s="6">
        <f>_xlfn.MAXIFS('DETALLE CRONOLÓGICO'!$K$2:$K$4919,'DETALLE CRONOLÓGICO'!$A$2:$A$4919,$A550)</f>
        <v/>
      </c>
      <c r="M550" s="6">
        <f>INDEX('DETALLE CRONOLÓGICO'!$K$2:$K$4919,MATCH($A550,'DETALLE CRONOLÓGICO'!$A$2:$A$4919,0)+$E550-1)</f>
        <v/>
      </c>
      <c r="N550" s="7">
        <f>IFERROR($M550/INDEX('DETALLE CRONOLÓGICO'!$K$2:$K$4919,MATCH($A550,'DETALLE CRONOLÓGICO'!$A$2:$A$4919,0))-1,"")</f>
        <v/>
      </c>
      <c r="O550" s="6">
        <f>IFERROR($I550*3,"")</f>
        <v/>
      </c>
      <c r="P550" s="6">
        <f>IFERROR($I550*3.5,"")</f>
        <v/>
      </c>
      <c r="Q550" s="6">
        <f>IFERROR($I550*4,"")</f>
        <v/>
      </c>
      <c r="R550" s="6" t="n">
        <v>3720</v>
      </c>
      <c r="S550" s="4" t="n">
        <v>0</v>
      </c>
      <c r="T550" s="1" t="inlineStr">
        <is>
          <t>active</t>
        </is>
      </c>
      <c r="U550" s="8" t="n"/>
      <c r="V550" s="1" t="inlineStr">
        <is>
          <t>SIN PRECIO</t>
        </is>
      </c>
    </row>
    <row r="551">
      <c r="A551" s="1" t="inlineStr">
        <is>
          <t>34876761034381</t>
        </is>
      </c>
      <c r="B551" s="1" t="inlineStr">
        <is>
          <t>COLLAR DE CUENTAS BLUE T</t>
        </is>
      </c>
      <c r="C551" s="1" t="inlineStr">
        <is>
          <t>Default Title</t>
        </is>
      </c>
      <c r="D551" s="1" t="inlineStr">
        <is>
          <t>CYNTHIA</t>
        </is>
      </c>
      <c r="E551" s="4">
        <f>COUNTIF('DETALLE CRONOLÓGICO'!$A$2:$A$4919,$A551)</f>
        <v/>
      </c>
      <c r="F551" s="4">
        <f>SUMIFS('DETALLE CRONOLÓGICO'!$I$2:$I$4919,'DETALLE CRONOLÓGICO'!$A$2:$A$4919,$A551)</f>
        <v/>
      </c>
      <c r="G551" s="1">
        <f>INDEX('DETALLE CRONOLÓGICO'!$D$2:$D$4919,MATCH($A551,'DETALLE CRONOLÓGICO'!$A$2:$A$4919,0))</f>
        <v/>
      </c>
      <c r="H551" s="1">
        <f>INDEX('DETALLE CRONOLÓGICO'!$D$2:$D$4919,MATCH($A551,'DETALLE CRONOLÓGICO'!$A$2:$A$4919,0)+$E551-1)</f>
        <v/>
      </c>
      <c r="I551" s="5">
        <f>IFERROR(SUMIFS('DETALLE CRONOLÓGICO'!$L$2:$L$4919,'DETALLE CRONOLÓGICO'!$A$2:$A$4919,$A551)/$F551,"")</f>
        <v/>
      </c>
      <c r="J551" s="6">
        <f>IFERROR(SUMIFS('DETALLE CRONOLÓGICO'!$K$2:$K$4919,'DETALLE CRONOLÓGICO'!$A$2:$A$4919,$A551)/$E551,"")</f>
        <v/>
      </c>
      <c r="K551" s="6">
        <f>_xlfn.MINIFS('DETALLE CRONOLÓGICO'!$K$2:$K$4919,'DETALLE CRONOLÓGICO'!$A$2:$A$4919,$A551)</f>
        <v/>
      </c>
      <c r="L551" s="6">
        <f>_xlfn.MAXIFS('DETALLE CRONOLÓGICO'!$K$2:$K$4919,'DETALLE CRONOLÓGICO'!$A$2:$A$4919,$A551)</f>
        <v/>
      </c>
      <c r="M551" s="6">
        <f>INDEX('DETALLE CRONOLÓGICO'!$K$2:$K$4919,MATCH($A551,'DETALLE CRONOLÓGICO'!$A$2:$A$4919,0)+$E551-1)</f>
        <v/>
      </c>
      <c r="N551" s="7">
        <f>IFERROR($M551/INDEX('DETALLE CRONOLÓGICO'!$K$2:$K$4919,MATCH($A551,'DETALLE CRONOLÓGICO'!$A$2:$A$4919,0))-1,"")</f>
        <v/>
      </c>
      <c r="O551" s="6">
        <f>IFERROR($I551*3,"")</f>
        <v/>
      </c>
      <c r="P551" s="6">
        <f>IFERROR($I551*3.5,"")</f>
        <v/>
      </c>
      <c r="Q551" s="6">
        <f>IFERROR($I551*4,"")</f>
        <v/>
      </c>
      <c r="R551" s="6" t="n">
        <v>1040</v>
      </c>
      <c r="S551" s="4" t="n">
        <v>3</v>
      </c>
      <c r="T551" s="1" t="inlineStr">
        <is>
          <t>active</t>
        </is>
      </c>
      <c r="U551" s="8" t="n"/>
      <c r="V551" s="1" t="inlineStr">
        <is>
          <t>SIN PRECIO</t>
        </is>
      </c>
    </row>
    <row r="552">
      <c r="A552" s="1" t="inlineStr">
        <is>
          <t>34876761146797</t>
        </is>
      </c>
      <c r="B552" s="1" t="inlineStr">
        <is>
          <t>COLLAR DE CUENTAS PINK T</t>
        </is>
      </c>
      <c r="C552" s="1" t="inlineStr">
        <is>
          <t>Default Title</t>
        </is>
      </c>
      <c r="D552" s="1" t="inlineStr">
        <is>
          <t>CYNTHIA</t>
        </is>
      </c>
      <c r="E552" s="4">
        <f>COUNTIF('DETALLE CRONOLÓGICO'!$A$2:$A$4919,$A552)</f>
        <v/>
      </c>
      <c r="F552" s="4">
        <f>SUMIFS('DETALLE CRONOLÓGICO'!$I$2:$I$4919,'DETALLE CRONOLÓGICO'!$A$2:$A$4919,$A552)</f>
        <v/>
      </c>
      <c r="G552" s="1">
        <f>INDEX('DETALLE CRONOLÓGICO'!$D$2:$D$4919,MATCH($A552,'DETALLE CRONOLÓGICO'!$A$2:$A$4919,0))</f>
        <v/>
      </c>
      <c r="H552" s="1">
        <f>INDEX('DETALLE CRONOLÓGICO'!$D$2:$D$4919,MATCH($A552,'DETALLE CRONOLÓGICO'!$A$2:$A$4919,0)+$E552-1)</f>
        <v/>
      </c>
      <c r="I552" s="5">
        <f>IFERROR(SUMIFS('DETALLE CRONOLÓGICO'!$L$2:$L$4919,'DETALLE CRONOLÓGICO'!$A$2:$A$4919,$A552)/$F552,"")</f>
        <v/>
      </c>
      <c r="J552" s="6">
        <f>IFERROR(SUMIFS('DETALLE CRONOLÓGICO'!$K$2:$K$4919,'DETALLE CRONOLÓGICO'!$A$2:$A$4919,$A552)/$E552,"")</f>
        <v/>
      </c>
      <c r="K552" s="6">
        <f>_xlfn.MINIFS('DETALLE CRONOLÓGICO'!$K$2:$K$4919,'DETALLE CRONOLÓGICO'!$A$2:$A$4919,$A552)</f>
        <v/>
      </c>
      <c r="L552" s="6">
        <f>_xlfn.MAXIFS('DETALLE CRONOLÓGICO'!$K$2:$K$4919,'DETALLE CRONOLÓGICO'!$A$2:$A$4919,$A552)</f>
        <v/>
      </c>
      <c r="M552" s="6">
        <f>INDEX('DETALLE CRONOLÓGICO'!$K$2:$K$4919,MATCH($A552,'DETALLE CRONOLÓGICO'!$A$2:$A$4919,0)+$E552-1)</f>
        <v/>
      </c>
      <c r="N552" s="7">
        <f>IFERROR($M552/INDEX('DETALLE CRONOLÓGICO'!$K$2:$K$4919,MATCH($A552,'DETALLE CRONOLÓGICO'!$A$2:$A$4919,0))-1,"")</f>
        <v/>
      </c>
      <c r="O552" s="6">
        <f>IFERROR($I552*3,"")</f>
        <v/>
      </c>
      <c r="P552" s="6">
        <f>IFERROR($I552*3.5,"")</f>
        <v/>
      </c>
      <c r="Q552" s="6">
        <f>IFERROR($I552*4,"")</f>
        <v/>
      </c>
      <c r="R552" s="6" t="n">
        <v>1040</v>
      </c>
      <c r="S552" s="4" t="n">
        <v>2</v>
      </c>
      <c r="T552" s="1" t="inlineStr">
        <is>
          <t>active</t>
        </is>
      </c>
      <c r="U552" s="8" t="n"/>
      <c r="V552" s="1" t="inlineStr">
        <is>
          <t>SIN PRECIO</t>
        </is>
      </c>
    </row>
    <row r="553">
      <c r="A553" s="1" t="inlineStr">
        <is>
          <t>34876761251373</t>
        </is>
      </c>
      <c r="B553" s="1" t="inlineStr">
        <is>
          <t>ARETES T SQUARE SIXTEEN STONE</t>
        </is>
      </c>
      <c r="C553" s="1" t="inlineStr">
        <is>
          <t>Default Title</t>
        </is>
      </c>
      <c r="D553" s="1" t="inlineStr">
        <is>
          <t>CYNTHIA</t>
        </is>
      </c>
      <c r="E553" s="4">
        <f>COUNTIF('DETALLE CRONOLÓGICO'!$A$2:$A$4919,$A553)</f>
        <v/>
      </c>
      <c r="F553" s="4">
        <f>SUMIFS('DETALLE CRONOLÓGICO'!$I$2:$I$4919,'DETALLE CRONOLÓGICO'!$A$2:$A$4919,$A553)</f>
        <v/>
      </c>
      <c r="G553" s="1">
        <f>INDEX('DETALLE CRONOLÓGICO'!$D$2:$D$4919,MATCH($A553,'DETALLE CRONOLÓGICO'!$A$2:$A$4919,0))</f>
        <v/>
      </c>
      <c r="H553" s="1">
        <f>INDEX('DETALLE CRONOLÓGICO'!$D$2:$D$4919,MATCH($A553,'DETALLE CRONOLÓGICO'!$A$2:$A$4919,0)+$E553-1)</f>
        <v/>
      </c>
      <c r="I553" s="5">
        <f>IFERROR(SUMIFS('DETALLE CRONOLÓGICO'!$L$2:$L$4919,'DETALLE CRONOLÓGICO'!$A$2:$A$4919,$A553)/$F553,"")</f>
        <v/>
      </c>
      <c r="J553" s="6">
        <f>IFERROR(SUMIFS('DETALLE CRONOLÓGICO'!$K$2:$K$4919,'DETALLE CRONOLÓGICO'!$A$2:$A$4919,$A553)/$E553,"")</f>
        <v/>
      </c>
      <c r="K553" s="6">
        <f>_xlfn.MINIFS('DETALLE CRONOLÓGICO'!$K$2:$K$4919,'DETALLE CRONOLÓGICO'!$A$2:$A$4919,$A553)</f>
        <v/>
      </c>
      <c r="L553" s="6">
        <f>_xlfn.MAXIFS('DETALLE CRONOLÓGICO'!$K$2:$K$4919,'DETALLE CRONOLÓGICO'!$A$2:$A$4919,$A553)</f>
        <v/>
      </c>
      <c r="M553" s="6">
        <f>INDEX('DETALLE CRONOLÓGICO'!$K$2:$K$4919,MATCH($A553,'DETALLE CRONOLÓGICO'!$A$2:$A$4919,0)+$E553-1)</f>
        <v/>
      </c>
      <c r="N553" s="7">
        <f>IFERROR($M553/INDEX('DETALLE CRONOLÓGICO'!$K$2:$K$4919,MATCH($A553,'DETALLE CRONOLÓGICO'!$A$2:$A$4919,0))-1,"")</f>
        <v/>
      </c>
      <c r="O553" s="6">
        <f>IFERROR($I553*3,"")</f>
        <v/>
      </c>
      <c r="P553" s="6">
        <f>IFERROR($I553*3.5,"")</f>
        <v/>
      </c>
      <c r="Q553" s="6">
        <f>IFERROR($I553*4,"")</f>
        <v/>
      </c>
      <c r="R553" s="6" t="n">
        <v>750</v>
      </c>
      <c r="S553" s="4" t="n">
        <v>6</v>
      </c>
      <c r="T553" s="1" t="inlineStr">
        <is>
          <t>active</t>
        </is>
      </c>
      <c r="U553" s="8" t="n"/>
      <c r="V553" s="1" t="inlineStr">
        <is>
          <t>SIN PRECIO</t>
        </is>
      </c>
    </row>
    <row r="554">
      <c r="A554" s="1" t="inlineStr">
        <is>
          <t>34876761335341</t>
        </is>
      </c>
      <c r="B554" s="1" t="inlineStr">
        <is>
          <t>ANILLO T LOVESTRUCK SILVER-ROSE GOLD</t>
        </is>
      </c>
      <c r="C554" s="1" t="n">
        <v>6</v>
      </c>
      <c r="D554" s="1" t="inlineStr">
        <is>
          <t>CYNTHIA</t>
        </is>
      </c>
      <c r="E554" s="4">
        <f>COUNTIF('DETALLE CRONOLÓGICO'!$A$2:$A$4919,$A554)</f>
        <v/>
      </c>
      <c r="F554" s="4">
        <f>SUMIFS('DETALLE CRONOLÓGICO'!$I$2:$I$4919,'DETALLE CRONOLÓGICO'!$A$2:$A$4919,$A554)</f>
        <v/>
      </c>
      <c r="G554" s="1">
        <f>INDEX('DETALLE CRONOLÓGICO'!$D$2:$D$4919,MATCH($A554,'DETALLE CRONOLÓGICO'!$A$2:$A$4919,0))</f>
        <v/>
      </c>
      <c r="H554" s="1">
        <f>INDEX('DETALLE CRONOLÓGICO'!$D$2:$D$4919,MATCH($A554,'DETALLE CRONOLÓGICO'!$A$2:$A$4919,0)+$E554-1)</f>
        <v/>
      </c>
      <c r="I554" s="5">
        <f>IFERROR(SUMIFS('DETALLE CRONOLÓGICO'!$L$2:$L$4919,'DETALLE CRONOLÓGICO'!$A$2:$A$4919,$A554)/$F554,"")</f>
        <v/>
      </c>
      <c r="J554" s="6">
        <f>IFERROR(SUMIFS('DETALLE CRONOLÓGICO'!$K$2:$K$4919,'DETALLE CRONOLÓGICO'!$A$2:$A$4919,$A554)/$E554,"")</f>
        <v/>
      </c>
      <c r="K554" s="6">
        <f>_xlfn.MINIFS('DETALLE CRONOLÓGICO'!$K$2:$K$4919,'DETALLE CRONOLÓGICO'!$A$2:$A$4919,$A554)</f>
        <v/>
      </c>
      <c r="L554" s="6">
        <f>_xlfn.MAXIFS('DETALLE CRONOLÓGICO'!$K$2:$K$4919,'DETALLE CRONOLÓGICO'!$A$2:$A$4919,$A554)</f>
        <v/>
      </c>
      <c r="M554" s="6">
        <f>INDEX('DETALLE CRONOLÓGICO'!$K$2:$K$4919,MATCH($A554,'DETALLE CRONOLÓGICO'!$A$2:$A$4919,0)+$E554-1)</f>
        <v/>
      </c>
      <c r="N554" s="7">
        <f>IFERROR($M554/INDEX('DETALLE CRONOLÓGICO'!$K$2:$K$4919,MATCH($A554,'DETALLE CRONOLÓGICO'!$A$2:$A$4919,0))-1,"")</f>
        <v/>
      </c>
      <c r="O554" s="6">
        <f>IFERROR($I554*3,"")</f>
        <v/>
      </c>
      <c r="P554" s="6">
        <f>IFERROR($I554*3.5,"")</f>
        <v/>
      </c>
      <c r="Q554" s="6">
        <f>IFERROR($I554*4,"")</f>
        <v/>
      </c>
      <c r="R554" s="6" t="n">
        <v>750</v>
      </c>
      <c r="S554" s="4" t="n">
        <v>4</v>
      </c>
      <c r="T554" s="1" t="inlineStr">
        <is>
          <t>active</t>
        </is>
      </c>
      <c r="U554" s="8" t="n"/>
      <c r="V554" s="1" t="inlineStr">
        <is>
          <t>SIN PRECIO</t>
        </is>
      </c>
    </row>
    <row r="555">
      <c r="A555" s="1" t="inlineStr">
        <is>
          <t>34876761468109</t>
        </is>
      </c>
      <c r="B555" s="1" t="inlineStr">
        <is>
          <t>ANILLO T LOVESTRUCK SILVER-ROSE GOLD</t>
        </is>
      </c>
      <c r="C555" s="1" t="n">
        <v>7</v>
      </c>
      <c r="D555" s="1" t="inlineStr">
        <is>
          <t>CYNTHIA / HAIFENG</t>
        </is>
      </c>
      <c r="E555" s="4">
        <f>COUNTIF('DETALLE CRONOLÓGICO'!$A$2:$A$4919,$A555)</f>
        <v/>
      </c>
      <c r="F555" s="4">
        <f>SUMIFS('DETALLE CRONOLÓGICO'!$I$2:$I$4919,'DETALLE CRONOLÓGICO'!$A$2:$A$4919,$A555)</f>
        <v/>
      </c>
      <c r="G555" s="1">
        <f>INDEX('DETALLE CRONOLÓGICO'!$D$2:$D$4919,MATCH($A555,'DETALLE CRONOLÓGICO'!$A$2:$A$4919,0))</f>
        <v/>
      </c>
      <c r="H555" s="1">
        <f>INDEX('DETALLE CRONOLÓGICO'!$D$2:$D$4919,MATCH($A555,'DETALLE CRONOLÓGICO'!$A$2:$A$4919,0)+$E555-1)</f>
        <v/>
      </c>
      <c r="I555" s="5">
        <f>IFERROR(SUMIFS('DETALLE CRONOLÓGICO'!$L$2:$L$4919,'DETALLE CRONOLÓGICO'!$A$2:$A$4919,$A555)/$F555,"")</f>
        <v/>
      </c>
      <c r="J555" s="6">
        <f>IFERROR(SUMIFS('DETALLE CRONOLÓGICO'!$K$2:$K$4919,'DETALLE CRONOLÓGICO'!$A$2:$A$4919,$A555)/$E555,"")</f>
        <v/>
      </c>
      <c r="K555" s="6">
        <f>_xlfn.MINIFS('DETALLE CRONOLÓGICO'!$K$2:$K$4919,'DETALLE CRONOLÓGICO'!$A$2:$A$4919,$A555)</f>
        <v/>
      </c>
      <c r="L555" s="6">
        <f>_xlfn.MAXIFS('DETALLE CRONOLÓGICO'!$K$2:$K$4919,'DETALLE CRONOLÓGICO'!$A$2:$A$4919,$A555)</f>
        <v/>
      </c>
      <c r="M555" s="6">
        <f>INDEX('DETALLE CRONOLÓGICO'!$K$2:$K$4919,MATCH($A555,'DETALLE CRONOLÓGICO'!$A$2:$A$4919,0)+$E555-1)</f>
        <v/>
      </c>
      <c r="N555" s="7">
        <f>IFERROR($M555/INDEX('DETALLE CRONOLÓGICO'!$K$2:$K$4919,MATCH($A555,'DETALLE CRONOLÓGICO'!$A$2:$A$4919,0))-1,"")</f>
        <v/>
      </c>
      <c r="O555" s="6">
        <f>IFERROR($I555*3,"")</f>
        <v/>
      </c>
      <c r="P555" s="6">
        <f>IFERROR($I555*3.5,"")</f>
        <v/>
      </c>
      <c r="Q555" s="6">
        <f>IFERROR($I555*4,"")</f>
        <v/>
      </c>
      <c r="R555" s="6" t="n">
        <v>750</v>
      </c>
      <c r="S555" s="4" t="n">
        <v>3</v>
      </c>
      <c r="T555" s="1" t="inlineStr">
        <is>
          <t>active</t>
        </is>
      </c>
      <c r="U555" s="8" t="n"/>
      <c r="V555" s="1" t="inlineStr">
        <is>
          <t>SIN PRECIO</t>
        </is>
      </c>
    </row>
    <row r="556">
      <c r="A556" s="1" t="inlineStr">
        <is>
          <t>35127151093997</t>
        </is>
      </c>
      <c r="B556" s="1" t="inlineStr">
        <is>
          <t>BOLSO PR HANDBAG BROWN</t>
        </is>
      </c>
      <c r="C556" s="1" t="inlineStr">
        <is>
          <t>MEDIUM</t>
        </is>
      </c>
      <c r="D556" s="1" t="inlineStr">
        <is>
          <t>CYNTHIA</t>
        </is>
      </c>
      <c r="E556" s="4">
        <f>COUNTIF('DETALLE CRONOLÓGICO'!$A$2:$A$4919,$A556)</f>
        <v/>
      </c>
      <c r="F556" s="4">
        <f>SUMIFS('DETALLE CRONOLÓGICO'!$I$2:$I$4919,'DETALLE CRONOLÓGICO'!$A$2:$A$4919,$A556)</f>
        <v/>
      </c>
      <c r="G556" s="1">
        <f>INDEX('DETALLE CRONOLÓGICO'!$D$2:$D$4919,MATCH($A556,'DETALLE CRONOLÓGICO'!$A$2:$A$4919,0))</f>
        <v/>
      </c>
      <c r="H556" s="1">
        <f>INDEX('DETALLE CRONOLÓGICO'!$D$2:$D$4919,MATCH($A556,'DETALLE CRONOLÓGICO'!$A$2:$A$4919,0)+$E556-1)</f>
        <v/>
      </c>
      <c r="I556" s="5">
        <f>IFERROR(SUMIFS('DETALLE CRONOLÓGICO'!$L$2:$L$4919,'DETALLE CRONOLÓGICO'!$A$2:$A$4919,$A556)/$F556,"")</f>
        <v/>
      </c>
      <c r="J556" s="6">
        <f>IFERROR(SUMIFS('DETALLE CRONOLÓGICO'!$K$2:$K$4919,'DETALLE CRONOLÓGICO'!$A$2:$A$4919,$A556)/$E556,"")</f>
        <v/>
      </c>
      <c r="K556" s="6">
        <f>_xlfn.MINIFS('DETALLE CRONOLÓGICO'!$K$2:$K$4919,'DETALLE CRONOLÓGICO'!$A$2:$A$4919,$A556)</f>
        <v/>
      </c>
      <c r="L556" s="6">
        <f>_xlfn.MAXIFS('DETALLE CRONOLÓGICO'!$K$2:$K$4919,'DETALLE CRONOLÓGICO'!$A$2:$A$4919,$A556)</f>
        <v/>
      </c>
      <c r="M556" s="6">
        <f>INDEX('DETALLE CRONOLÓGICO'!$K$2:$K$4919,MATCH($A556,'DETALLE CRONOLÓGICO'!$A$2:$A$4919,0)+$E556-1)</f>
        <v/>
      </c>
      <c r="N556" s="7">
        <f>IFERROR($M556/INDEX('DETALLE CRONOLÓGICO'!$K$2:$K$4919,MATCH($A556,'DETALLE CRONOLÓGICO'!$A$2:$A$4919,0))-1,"")</f>
        <v/>
      </c>
      <c r="O556" s="6">
        <f>IFERROR($I556*3,"")</f>
        <v/>
      </c>
      <c r="P556" s="6">
        <f>IFERROR($I556*3.5,"")</f>
        <v/>
      </c>
      <c r="Q556" s="6">
        <f>IFERROR($I556*4,"")</f>
        <v/>
      </c>
      <c r="R556" s="6" t="n">
        <v>4599</v>
      </c>
      <c r="S556" s="4" t="n">
        <v>3</v>
      </c>
      <c r="T556" s="1" t="inlineStr">
        <is>
          <t>active</t>
        </is>
      </c>
      <c r="U556" s="8" t="n"/>
      <c r="V556" s="1" t="inlineStr">
        <is>
          <t>SIN PRECIO</t>
        </is>
      </c>
    </row>
    <row r="557">
      <c r="A557" s="1" t="inlineStr">
        <is>
          <t>35245867974284</t>
        </is>
      </c>
      <c r="B557" s="1" t="inlineStr">
        <is>
          <t>BOLSO YSL SHOPER ICARE</t>
        </is>
      </c>
      <c r="C557" s="1" t="inlineStr">
        <is>
          <t>42cm x 42cm</t>
        </is>
      </c>
      <c r="D557" s="1" t="inlineStr">
        <is>
          <t>CYNTHIA</t>
        </is>
      </c>
      <c r="E557" s="4">
        <f>COUNTIF('DETALLE CRONOLÓGICO'!$A$2:$A$4919,$A557)</f>
        <v/>
      </c>
      <c r="F557" s="4">
        <f>SUMIFS('DETALLE CRONOLÓGICO'!$I$2:$I$4919,'DETALLE CRONOLÓGICO'!$A$2:$A$4919,$A557)</f>
        <v/>
      </c>
      <c r="G557" s="1">
        <f>INDEX('DETALLE CRONOLÓGICO'!$D$2:$D$4919,MATCH($A557,'DETALLE CRONOLÓGICO'!$A$2:$A$4919,0))</f>
        <v/>
      </c>
      <c r="H557" s="1">
        <f>INDEX('DETALLE CRONOLÓGICO'!$D$2:$D$4919,MATCH($A557,'DETALLE CRONOLÓGICO'!$A$2:$A$4919,0)+$E557-1)</f>
        <v/>
      </c>
      <c r="I557" s="5">
        <f>IFERROR(SUMIFS('DETALLE CRONOLÓGICO'!$L$2:$L$4919,'DETALLE CRONOLÓGICO'!$A$2:$A$4919,$A557)/$F557,"")</f>
        <v/>
      </c>
      <c r="J557" s="6">
        <f>IFERROR(SUMIFS('DETALLE CRONOLÓGICO'!$K$2:$K$4919,'DETALLE CRONOLÓGICO'!$A$2:$A$4919,$A557)/$E557,"")</f>
        <v/>
      </c>
      <c r="K557" s="6">
        <f>_xlfn.MINIFS('DETALLE CRONOLÓGICO'!$K$2:$K$4919,'DETALLE CRONOLÓGICO'!$A$2:$A$4919,$A557)</f>
        <v/>
      </c>
      <c r="L557" s="6">
        <f>_xlfn.MAXIFS('DETALLE CRONOLÓGICO'!$K$2:$K$4919,'DETALLE CRONOLÓGICO'!$A$2:$A$4919,$A557)</f>
        <v/>
      </c>
      <c r="M557" s="6">
        <f>INDEX('DETALLE CRONOLÓGICO'!$K$2:$K$4919,MATCH($A557,'DETALLE CRONOLÓGICO'!$A$2:$A$4919,0)+$E557-1)</f>
        <v/>
      </c>
      <c r="N557" s="7">
        <f>IFERROR($M557/INDEX('DETALLE CRONOLÓGICO'!$K$2:$K$4919,MATCH($A557,'DETALLE CRONOLÓGICO'!$A$2:$A$4919,0))-1,"")</f>
        <v/>
      </c>
      <c r="O557" s="6">
        <f>IFERROR($I557*3,"")</f>
        <v/>
      </c>
      <c r="P557" s="6">
        <f>IFERROR($I557*3.5,"")</f>
        <v/>
      </c>
      <c r="Q557" s="6">
        <f>IFERROR($I557*4,"")</f>
        <v/>
      </c>
      <c r="R557" s="6" t="n">
        <v>5840</v>
      </c>
      <c r="S557" s="4" t="n">
        <v>1</v>
      </c>
      <c r="T557" s="1" t="inlineStr">
        <is>
          <t>active</t>
        </is>
      </c>
      <c r="U557" s="8" t="n"/>
      <c r="V557" s="1" t="inlineStr">
        <is>
          <t>SIN PRECIO</t>
        </is>
      </c>
    </row>
    <row r="558">
      <c r="A558" s="1" t="inlineStr">
        <is>
          <t>35432871092045</t>
        </is>
      </c>
      <c r="B558" s="1" t="inlineStr">
        <is>
          <t>BRAZALETE CC COCO RUSH SILVER</t>
        </is>
      </c>
      <c r="C558" s="1" t="inlineStr">
        <is>
          <t>Default Title</t>
        </is>
      </c>
      <c r="D558" s="1" t="inlineStr">
        <is>
          <t>HAIFENG</t>
        </is>
      </c>
      <c r="E558" s="4">
        <f>COUNTIF('DETALLE CRONOLÓGICO'!$A$2:$A$4919,$A558)</f>
        <v/>
      </c>
      <c r="F558" s="4">
        <f>SUMIFS('DETALLE CRONOLÓGICO'!$I$2:$I$4919,'DETALLE CRONOLÓGICO'!$A$2:$A$4919,$A558)</f>
        <v/>
      </c>
      <c r="G558" s="1">
        <f>INDEX('DETALLE CRONOLÓGICO'!$D$2:$D$4919,MATCH($A558,'DETALLE CRONOLÓGICO'!$A$2:$A$4919,0))</f>
        <v/>
      </c>
      <c r="H558" s="1">
        <f>INDEX('DETALLE CRONOLÓGICO'!$D$2:$D$4919,MATCH($A558,'DETALLE CRONOLÓGICO'!$A$2:$A$4919,0)+$E558-1)</f>
        <v/>
      </c>
      <c r="I558" s="5">
        <f>IFERROR(SUMIFS('DETALLE CRONOLÓGICO'!$L$2:$L$4919,'DETALLE CRONOLÓGICO'!$A$2:$A$4919,$A558)/$F558,"")</f>
        <v/>
      </c>
      <c r="J558" s="6">
        <f>IFERROR(SUMIFS('DETALLE CRONOLÓGICO'!$K$2:$K$4919,'DETALLE CRONOLÓGICO'!$A$2:$A$4919,$A558)/$E558,"")</f>
        <v/>
      </c>
      <c r="K558" s="6">
        <f>_xlfn.MINIFS('DETALLE CRONOLÓGICO'!$K$2:$K$4919,'DETALLE CRONOLÓGICO'!$A$2:$A$4919,$A558)</f>
        <v/>
      </c>
      <c r="L558" s="6">
        <f>_xlfn.MAXIFS('DETALLE CRONOLÓGICO'!$K$2:$K$4919,'DETALLE CRONOLÓGICO'!$A$2:$A$4919,$A558)</f>
        <v/>
      </c>
      <c r="M558" s="6">
        <f>INDEX('DETALLE CRONOLÓGICO'!$K$2:$K$4919,MATCH($A558,'DETALLE CRONOLÓGICO'!$A$2:$A$4919,0)+$E558-1)</f>
        <v/>
      </c>
      <c r="N558" s="7">
        <f>IFERROR($M558/INDEX('DETALLE CRONOLÓGICO'!$K$2:$K$4919,MATCH($A558,'DETALLE CRONOLÓGICO'!$A$2:$A$4919,0))-1,"")</f>
        <v/>
      </c>
      <c r="O558" s="6">
        <f>IFERROR($I558*3,"")</f>
        <v/>
      </c>
      <c r="P558" s="6">
        <f>IFERROR($I558*3.5,"")</f>
        <v/>
      </c>
      <c r="Q558" s="6">
        <f>IFERROR($I558*4,"")</f>
        <v/>
      </c>
      <c r="R558" s="6" t="n">
        <v>740.78</v>
      </c>
      <c r="S558" s="4" t="n">
        <v>2</v>
      </c>
      <c r="T558" s="1" t="inlineStr">
        <is>
          <t>active</t>
        </is>
      </c>
      <c r="U558" s="8" t="n"/>
      <c r="V558" s="1" t="inlineStr">
        <is>
          <t>SIN PRECIO</t>
        </is>
      </c>
    </row>
    <row r="559">
      <c r="A559" s="1" t="inlineStr">
        <is>
          <t>35432871136685</t>
        </is>
      </c>
      <c r="B559" s="1" t="inlineStr">
        <is>
          <t>COLLAR CC BOUTON CAMELIA GOLD</t>
        </is>
      </c>
      <c r="C559" s="1" t="inlineStr">
        <is>
          <t>Default Title</t>
        </is>
      </c>
      <c r="D559" s="1" t="inlineStr">
        <is>
          <t>HAIFENG</t>
        </is>
      </c>
      <c r="E559" s="4">
        <f>COUNTIF('DETALLE CRONOLÓGICO'!$A$2:$A$4919,$A559)</f>
        <v/>
      </c>
      <c r="F559" s="4">
        <f>SUMIFS('DETALLE CRONOLÓGICO'!$I$2:$I$4919,'DETALLE CRONOLÓGICO'!$A$2:$A$4919,$A559)</f>
        <v/>
      </c>
      <c r="G559" s="1">
        <f>INDEX('DETALLE CRONOLÓGICO'!$D$2:$D$4919,MATCH($A559,'DETALLE CRONOLÓGICO'!$A$2:$A$4919,0))</f>
        <v/>
      </c>
      <c r="H559" s="1">
        <f>INDEX('DETALLE CRONOLÓGICO'!$D$2:$D$4919,MATCH($A559,'DETALLE CRONOLÓGICO'!$A$2:$A$4919,0)+$E559-1)</f>
        <v/>
      </c>
      <c r="I559" s="5">
        <f>IFERROR(SUMIFS('DETALLE CRONOLÓGICO'!$L$2:$L$4919,'DETALLE CRONOLÓGICO'!$A$2:$A$4919,$A559)/$F559,"")</f>
        <v/>
      </c>
      <c r="J559" s="6">
        <f>IFERROR(SUMIFS('DETALLE CRONOLÓGICO'!$K$2:$K$4919,'DETALLE CRONOLÓGICO'!$A$2:$A$4919,$A559)/$E559,"")</f>
        <v/>
      </c>
      <c r="K559" s="6">
        <f>_xlfn.MINIFS('DETALLE CRONOLÓGICO'!$K$2:$K$4919,'DETALLE CRONOLÓGICO'!$A$2:$A$4919,$A559)</f>
        <v/>
      </c>
      <c r="L559" s="6">
        <f>_xlfn.MAXIFS('DETALLE CRONOLÓGICO'!$K$2:$K$4919,'DETALLE CRONOLÓGICO'!$A$2:$A$4919,$A559)</f>
        <v/>
      </c>
      <c r="M559" s="6">
        <f>INDEX('DETALLE CRONOLÓGICO'!$K$2:$K$4919,MATCH($A559,'DETALLE CRONOLÓGICO'!$A$2:$A$4919,0)+$E559-1)</f>
        <v/>
      </c>
      <c r="N559" s="7">
        <f>IFERROR($M559/INDEX('DETALLE CRONOLÓGICO'!$K$2:$K$4919,MATCH($A559,'DETALLE CRONOLÓGICO'!$A$2:$A$4919,0))-1,"")</f>
        <v/>
      </c>
      <c r="O559" s="6">
        <f>IFERROR($I559*3,"")</f>
        <v/>
      </c>
      <c r="P559" s="6">
        <f>IFERROR($I559*3.5,"")</f>
        <v/>
      </c>
      <c r="Q559" s="6">
        <f>IFERROR($I559*4,"")</f>
        <v/>
      </c>
      <c r="R559" s="6" t="n">
        <v>0</v>
      </c>
      <c r="S559" s="4" t="n">
        <v>0</v>
      </c>
      <c r="T559" s="1" t="inlineStr">
        <is>
          <t>draft</t>
        </is>
      </c>
      <c r="U559" s="8" t="n"/>
      <c r="V559" s="1" t="inlineStr">
        <is>
          <t>SIN PRECIO</t>
        </is>
      </c>
    </row>
    <row r="560">
      <c r="A560" s="1" t="inlineStr">
        <is>
          <t>35432871289805</t>
        </is>
      </c>
      <c r="B560" s="1" t="inlineStr">
        <is>
          <t>ANILLO CC COCO CRUSH ROSE GOLD</t>
        </is>
      </c>
      <c r="C560" s="1" t="inlineStr">
        <is>
          <t>6</t>
        </is>
      </c>
      <c r="D560" s="1" t="inlineStr">
        <is>
          <t>HAIFENG</t>
        </is>
      </c>
      <c r="E560" s="4">
        <f>COUNTIF('DETALLE CRONOLÓGICO'!$A$2:$A$4919,$A560)</f>
        <v/>
      </c>
      <c r="F560" s="4">
        <f>SUMIFS('DETALLE CRONOLÓGICO'!$I$2:$I$4919,'DETALLE CRONOLÓGICO'!$A$2:$A$4919,$A560)</f>
        <v/>
      </c>
      <c r="G560" s="1">
        <f>INDEX('DETALLE CRONOLÓGICO'!$D$2:$D$4919,MATCH($A560,'DETALLE CRONOLÓGICO'!$A$2:$A$4919,0))</f>
        <v/>
      </c>
      <c r="H560" s="1">
        <f>INDEX('DETALLE CRONOLÓGICO'!$D$2:$D$4919,MATCH($A560,'DETALLE CRONOLÓGICO'!$A$2:$A$4919,0)+$E560-1)</f>
        <v/>
      </c>
      <c r="I560" s="5">
        <f>IFERROR(SUMIFS('DETALLE CRONOLÓGICO'!$L$2:$L$4919,'DETALLE CRONOLÓGICO'!$A$2:$A$4919,$A560)/$F560,"")</f>
        <v/>
      </c>
      <c r="J560" s="6">
        <f>IFERROR(SUMIFS('DETALLE CRONOLÓGICO'!$K$2:$K$4919,'DETALLE CRONOLÓGICO'!$A$2:$A$4919,$A560)/$E560,"")</f>
        <v/>
      </c>
      <c r="K560" s="6">
        <f>_xlfn.MINIFS('DETALLE CRONOLÓGICO'!$K$2:$K$4919,'DETALLE CRONOLÓGICO'!$A$2:$A$4919,$A560)</f>
        <v/>
      </c>
      <c r="L560" s="6">
        <f>_xlfn.MAXIFS('DETALLE CRONOLÓGICO'!$K$2:$K$4919,'DETALLE CRONOLÓGICO'!$A$2:$A$4919,$A560)</f>
        <v/>
      </c>
      <c r="M560" s="6">
        <f>INDEX('DETALLE CRONOLÓGICO'!$K$2:$K$4919,MATCH($A560,'DETALLE CRONOLÓGICO'!$A$2:$A$4919,0)+$E560-1)</f>
        <v/>
      </c>
      <c r="N560" s="7">
        <f>IFERROR($M560/INDEX('DETALLE CRONOLÓGICO'!$K$2:$K$4919,MATCH($A560,'DETALLE CRONOLÓGICO'!$A$2:$A$4919,0))-1,"")</f>
        <v/>
      </c>
      <c r="O560" s="6">
        <f>IFERROR($I560*3,"")</f>
        <v/>
      </c>
      <c r="P560" s="6">
        <f>IFERROR($I560*3.5,"")</f>
        <v/>
      </c>
      <c r="Q560" s="6">
        <f>IFERROR($I560*4,"")</f>
        <v/>
      </c>
      <c r="R560" s="6" t="n">
        <v>850</v>
      </c>
      <c r="S560" s="4" t="n">
        <v>2</v>
      </c>
      <c r="T560" s="1" t="inlineStr">
        <is>
          <t>active</t>
        </is>
      </c>
      <c r="U560" s="8" t="n"/>
      <c r="V560" s="1" t="inlineStr">
        <is>
          <t>SIN PRECIO</t>
        </is>
      </c>
    </row>
    <row r="561">
      <c r="A561" s="1" t="inlineStr">
        <is>
          <t>35432871322573</t>
        </is>
      </c>
      <c r="B561" s="1" t="inlineStr">
        <is>
          <t>ANILLO CC COCO CRUSH ROSE GOLD</t>
        </is>
      </c>
      <c r="C561" s="1" t="inlineStr">
        <is>
          <t>7</t>
        </is>
      </c>
      <c r="D561" s="1" t="inlineStr">
        <is>
          <t>HAIFENG</t>
        </is>
      </c>
      <c r="E561" s="4">
        <f>COUNTIF('DETALLE CRONOLÓGICO'!$A$2:$A$4919,$A561)</f>
        <v/>
      </c>
      <c r="F561" s="4">
        <f>SUMIFS('DETALLE CRONOLÓGICO'!$I$2:$I$4919,'DETALLE CRONOLÓGICO'!$A$2:$A$4919,$A561)</f>
        <v/>
      </c>
      <c r="G561" s="1">
        <f>INDEX('DETALLE CRONOLÓGICO'!$D$2:$D$4919,MATCH($A561,'DETALLE CRONOLÓGICO'!$A$2:$A$4919,0))</f>
        <v/>
      </c>
      <c r="H561" s="1">
        <f>INDEX('DETALLE CRONOLÓGICO'!$D$2:$D$4919,MATCH($A561,'DETALLE CRONOLÓGICO'!$A$2:$A$4919,0)+$E561-1)</f>
        <v/>
      </c>
      <c r="I561" s="5">
        <f>IFERROR(SUMIFS('DETALLE CRONOLÓGICO'!$L$2:$L$4919,'DETALLE CRONOLÓGICO'!$A$2:$A$4919,$A561)/$F561,"")</f>
        <v/>
      </c>
      <c r="J561" s="6">
        <f>IFERROR(SUMIFS('DETALLE CRONOLÓGICO'!$K$2:$K$4919,'DETALLE CRONOLÓGICO'!$A$2:$A$4919,$A561)/$E561,"")</f>
        <v/>
      </c>
      <c r="K561" s="6">
        <f>_xlfn.MINIFS('DETALLE CRONOLÓGICO'!$K$2:$K$4919,'DETALLE CRONOLÓGICO'!$A$2:$A$4919,$A561)</f>
        <v/>
      </c>
      <c r="L561" s="6">
        <f>_xlfn.MAXIFS('DETALLE CRONOLÓGICO'!$K$2:$K$4919,'DETALLE CRONOLÓGICO'!$A$2:$A$4919,$A561)</f>
        <v/>
      </c>
      <c r="M561" s="6">
        <f>INDEX('DETALLE CRONOLÓGICO'!$K$2:$K$4919,MATCH($A561,'DETALLE CRONOLÓGICO'!$A$2:$A$4919,0)+$E561-1)</f>
        <v/>
      </c>
      <c r="N561" s="7">
        <f>IFERROR($M561/INDEX('DETALLE CRONOLÓGICO'!$K$2:$K$4919,MATCH($A561,'DETALLE CRONOLÓGICO'!$A$2:$A$4919,0))-1,"")</f>
        <v/>
      </c>
      <c r="O561" s="6">
        <f>IFERROR($I561*3,"")</f>
        <v/>
      </c>
      <c r="P561" s="6">
        <f>IFERROR($I561*3.5,"")</f>
        <v/>
      </c>
      <c r="Q561" s="6">
        <f>IFERROR($I561*4,"")</f>
        <v/>
      </c>
      <c r="R561" s="6" t="n">
        <v>850</v>
      </c>
      <c r="S561" s="4" t="n">
        <v>3</v>
      </c>
      <c r="T561" s="1" t="inlineStr">
        <is>
          <t>active</t>
        </is>
      </c>
      <c r="U561" s="8" t="n"/>
      <c r="V561" s="1" t="inlineStr">
        <is>
          <t>SIN PRECIO</t>
        </is>
      </c>
    </row>
    <row r="562">
      <c r="A562" s="1" t="inlineStr">
        <is>
          <t>35432871441773</t>
        </is>
      </c>
      <c r="B562" s="1" t="inlineStr">
        <is>
          <t>ANILLO CC COCO CRUSH ROSE GOLD-SILVER</t>
        </is>
      </c>
      <c r="C562" s="1" t="inlineStr">
        <is>
          <t>6</t>
        </is>
      </c>
      <c r="D562" s="1" t="inlineStr">
        <is>
          <t>HAIFENG</t>
        </is>
      </c>
      <c r="E562" s="4">
        <f>COUNTIF('DETALLE CRONOLÓGICO'!$A$2:$A$4919,$A562)</f>
        <v/>
      </c>
      <c r="F562" s="4">
        <f>SUMIFS('DETALLE CRONOLÓGICO'!$I$2:$I$4919,'DETALLE CRONOLÓGICO'!$A$2:$A$4919,$A562)</f>
        <v/>
      </c>
      <c r="G562" s="1">
        <f>INDEX('DETALLE CRONOLÓGICO'!$D$2:$D$4919,MATCH($A562,'DETALLE CRONOLÓGICO'!$A$2:$A$4919,0))</f>
        <v/>
      </c>
      <c r="H562" s="1">
        <f>INDEX('DETALLE CRONOLÓGICO'!$D$2:$D$4919,MATCH($A562,'DETALLE CRONOLÓGICO'!$A$2:$A$4919,0)+$E562-1)</f>
        <v/>
      </c>
      <c r="I562" s="5">
        <f>IFERROR(SUMIFS('DETALLE CRONOLÓGICO'!$L$2:$L$4919,'DETALLE CRONOLÓGICO'!$A$2:$A$4919,$A562)/$F562,"")</f>
        <v/>
      </c>
      <c r="J562" s="6">
        <f>IFERROR(SUMIFS('DETALLE CRONOLÓGICO'!$K$2:$K$4919,'DETALLE CRONOLÓGICO'!$A$2:$A$4919,$A562)/$E562,"")</f>
        <v/>
      </c>
      <c r="K562" s="6">
        <f>_xlfn.MINIFS('DETALLE CRONOLÓGICO'!$K$2:$K$4919,'DETALLE CRONOLÓGICO'!$A$2:$A$4919,$A562)</f>
        <v/>
      </c>
      <c r="L562" s="6">
        <f>_xlfn.MAXIFS('DETALLE CRONOLÓGICO'!$K$2:$K$4919,'DETALLE CRONOLÓGICO'!$A$2:$A$4919,$A562)</f>
        <v/>
      </c>
      <c r="M562" s="6">
        <f>INDEX('DETALLE CRONOLÓGICO'!$K$2:$K$4919,MATCH($A562,'DETALLE CRONOLÓGICO'!$A$2:$A$4919,0)+$E562-1)</f>
        <v/>
      </c>
      <c r="N562" s="7">
        <f>IFERROR($M562/INDEX('DETALLE CRONOLÓGICO'!$K$2:$K$4919,MATCH($A562,'DETALLE CRONOLÓGICO'!$A$2:$A$4919,0))-1,"")</f>
        <v/>
      </c>
      <c r="O562" s="6">
        <f>IFERROR($I562*3,"")</f>
        <v/>
      </c>
      <c r="P562" s="6">
        <f>IFERROR($I562*3.5,"")</f>
        <v/>
      </c>
      <c r="Q562" s="6">
        <f>IFERROR($I562*4,"")</f>
        <v/>
      </c>
      <c r="R562" s="6" t="n">
        <v>850</v>
      </c>
      <c r="S562" s="4" t="n">
        <v>3</v>
      </c>
      <c r="T562" s="1" t="inlineStr">
        <is>
          <t>active</t>
        </is>
      </c>
      <c r="U562" s="8" t="n"/>
      <c r="V562" s="1" t="inlineStr">
        <is>
          <t>SIN PRECIO</t>
        </is>
      </c>
    </row>
    <row r="563">
      <c r="A563" s="1" t="inlineStr">
        <is>
          <t>35432871574541</t>
        </is>
      </c>
      <c r="B563" s="1" t="inlineStr">
        <is>
          <t>ANILLO CC COCO CRUSH ROSE GOLD-SILVER</t>
        </is>
      </c>
      <c r="C563" s="1" t="inlineStr">
        <is>
          <t>7</t>
        </is>
      </c>
      <c r="D563" s="1" t="inlineStr">
        <is>
          <t>HAIFENG</t>
        </is>
      </c>
      <c r="E563" s="4">
        <f>COUNTIF('DETALLE CRONOLÓGICO'!$A$2:$A$4919,$A563)</f>
        <v/>
      </c>
      <c r="F563" s="4">
        <f>SUMIFS('DETALLE CRONOLÓGICO'!$I$2:$I$4919,'DETALLE CRONOLÓGICO'!$A$2:$A$4919,$A563)</f>
        <v/>
      </c>
      <c r="G563" s="1">
        <f>INDEX('DETALLE CRONOLÓGICO'!$D$2:$D$4919,MATCH($A563,'DETALLE CRONOLÓGICO'!$A$2:$A$4919,0))</f>
        <v/>
      </c>
      <c r="H563" s="1">
        <f>INDEX('DETALLE CRONOLÓGICO'!$D$2:$D$4919,MATCH($A563,'DETALLE CRONOLÓGICO'!$A$2:$A$4919,0)+$E563-1)</f>
        <v/>
      </c>
      <c r="I563" s="5">
        <f>IFERROR(SUMIFS('DETALLE CRONOLÓGICO'!$L$2:$L$4919,'DETALLE CRONOLÓGICO'!$A$2:$A$4919,$A563)/$F563,"")</f>
        <v/>
      </c>
      <c r="J563" s="6">
        <f>IFERROR(SUMIFS('DETALLE CRONOLÓGICO'!$K$2:$K$4919,'DETALLE CRONOLÓGICO'!$A$2:$A$4919,$A563)/$E563,"")</f>
        <v/>
      </c>
      <c r="K563" s="6">
        <f>_xlfn.MINIFS('DETALLE CRONOLÓGICO'!$K$2:$K$4919,'DETALLE CRONOLÓGICO'!$A$2:$A$4919,$A563)</f>
        <v/>
      </c>
      <c r="L563" s="6">
        <f>_xlfn.MAXIFS('DETALLE CRONOLÓGICO'!$K$2:$K$4919,'DETALLE CRONOLÓGICO'!$A$2:$A$4919,$A563)</f>
        <v/>
      </c>
      <c r="M563" s="6">
        <f>INDEX('DETALLE CRONOLÓGICO'!$K$2:$K$4919,MATCH($A563,'DETALLE CRONOLÓGICO'!$A$2:$A$4919,0)+$E563-1)</f>
        <v/>
      </c>
      <c r="N563" s="7">
        <f>IFERROR($M563/INDEX('DETALLE CRONOLÓGICO'!$K$2:$K$4919,MATCH($A563,'DETALLE CRONOLÓGICO'!$A$2:$A$4919,0))-1,"")</f>
        <v/>
      </c>
      <c r="O563" s="6">
        <f>IFERROR($I563*3,"")</f>
        <v/>
      </c>
      <c r="P563" s="6">
        <f>IFERROR($I563*3.5,"")</f>
        <v/>
      </c>
      <c r="Q563" s="6">
        <f>IFERROR($I563*4,"")</f>
        <v/>
      </c>
      <c r="R563" s="6" t="n">
        <v>850</v>
      </c>
      <c r="S563" s="4" t="n">
        <v>3</v>
      </c>
      <c r="T563" s="1" t="inlineStr">
        <is>
          <t>active</t>
        </is>
      </c>
      <c r="U563" s="8" t="n"/>
      <c r="V563" s="1" t="inlineStr">
        <is>
          <t>SIN PRECIO</t>
        </is>
      </c>
    </row>
    <row r="564">
      <c r="A564" s="1" t="inlineStr">
        <is>
          <t>35432871634445</t>
        </is>
      </c>
      <c r="B564" s="1" t="inlineStr">
        <is>
          <t>COLLAR CC COCO CRUSH GOLD</t>
        </is>
      </c>
      <c r="C564" s="1" t="inlineStr">
        <is>
          <t>Default Title</t>
        </is>
      </c>
      <c r="D564" s="1" t="inlineStr">
        <is>
          <t>HAIFENG</t>
        </is>
      </c>
      <c r="E564" s="4">
        <f>COUNTIF('DETALLE CRONOLÓGICO'!$A$2:$A$4919,$A564)</f>
        <v/>
      </c>
      <c r="F564" s="4">
        <f>SUMIFS('DETALLE CRONOLÓGICO'!$I$2:$I$4919,'DETALLE CRONOLÓGICO'!$A$2:$A$4919,$A564)</f>
        <v/>
      </c>
      <c r="G564" s="1">
        <f>INDEX('DETALLE CRONOLÓGICO'!$D$2:$D$4919,MATCH($A564,'DETALLE CRONOLÓGICO'!$A$2:$A$4919,0))</f>
        <v/>
      </c>
      <c r="H564" s="1">
        <f>INDEX('DETALLE CRONOLÓGICO'!$D$2:$D$4919,MATCH($A564,'DETALLE CRONOLÓGICO'!$A$2:$A$4919,0)+$E564-1)</f>
        <v/>
      </c>
      <c r="I564" s="5">
        <f>IFERROR(SUMIFS('DETALLE CRONOLÓGICO'!$L$2:$L$4919,'DETALLE CRONOLÓGICO'!$A$2:$A$4919,$A564)/$F564,"")</f>
        <v/>
      </c>
      <c r="J564" s="6">
        <f>IFERROR(SUMIFS('DETALLE CRONOLÓGICO'!$K$2:$K$4919,'DETALLE CRONOLÓGICO'!$A$2:$A$4919,$A564)/$E564,"")</f>
        <v/>
      </c>
      <c r="K564" s="6">
        <f>_xlfn.MINIFS('DETALLE CRONOLÓGICO'!$K$2:$K$4919,'DETALLE CRONOLÓGICO'!$A$2:$A$4919,$A564)</f>
        <v/>
      </c>
      <c r="L564" s="6">
        <f>_xlfn.MAXIFS('DETALLE CRONOLÓGICO'!$K$2:$K$4919,'DETALLE CRONOLÓGICO'!$A$2:$A$4919,$A564)</f>
        <v/>
      </c>
      <c r="M564" s="6">
        <f>INDEX('DETALLE CRONOLÓGICO'!$K$2:$K$4919,MATCH($A564,'DETALLE CRONOLÓGICO'!$A$2:$A$4919,0)+$E564-1)</f>
        <v/>
      </c>
      <c r="N564" s="7">
        <f>IFERROR($M564/INDEX('DETALLE CRONOLÓGICO'!$K$2:$K$4919,MATCH($A564,'DETALLE CRONOLÓGICO'!$A$2:$A$4919,0))-1,"")</f>
        <v/>
      </c>
      <c r="O564" s="6">
        <f>IFERROR($I564*3,"")</f>
        <v/>
      </c>
      <c r="P564" s="6">
        <f>IFERROR($I564*3.5,"")</f>
        <v/>
      </c>
      <c r="Q564" s="6">
        <f>IFERROR($I564*4,"")</f>
        <v/>
      </c>
      <c r="R564" s="6" t="n">
        <v>680</v>
      </c>
      <c r="S564" s="4" t="n">
        <v>2</v>
      </c>
      <c r="T564" s="1" t="inlineStr">
        <is>
          <t>active</t>
        </is>
      </c>
      <c r="U564" s="8" t="n"/>
      <c r="V564" s="1" t="inlineStr">
        <is>
          <t>SIN PRECIO</t>
        </is>
      </c>
    </row>
    <row r="565">
      <c r="A565" s="1" t="inlineStr">
        <is>
          <t>35432871709069</t>
        </is>
      </c>
      <c r="B565" s="1" t="inlineStr">
        <is>
          <t>COLLAR CC COCO GOLD</t>
        </is>
      </c>
      <c r="C565" s="1" t="inlineStr">
        <is>
          <t>Default Title</t>
        </is>
      </c>
      <c r="D565" s="1" t="inlineStr">
        <is>
          <t>HAIFENG</t>
        </is>
      </c>
      <c r="E565" s="4">
        <f>COUNTIF('DETALLE CRONOLÓGICO'!$A$2:$A$4919,$A565)</f>
        <v/>
      </c>
      <c r="F565" s="4">
        <f>SUMIFS('DETALLE CRONOLÓGICO'!$I$2:$I$4919,'DETALLE CRONOLÓGICO'!$A$2:$A$4919,$A565)</f>
        <v/>
      </c>
      <c r="G565" s="1">
        <f>INDEX('DETALLE CRONOLÓGICO'!$D$2:$D$4919,MATCH($A565,'DETALLE CRONOLÓGICO'!$A$2:$A$4919,0))</f>
        <v/>
      </c>
      <c r="H565" s="1">
        <f>INDEX('DETALLE CRONOLÓGICO'!$D$2:$D$4919,MATCH($A565,'DETALLE CRONOLÓGICO'!$A$2:$A$4919,0)+$E565-1)</f>
        <v/>
      </c>
      <c r="I565" s="5">
        <f>IFERROR(SUMIFS('DETALLE CRONOLÓGICO'!$L$2:$L$4919,'DETALLE CRONOLÓGICO'!$A$2:$A$4919,$A565)/$F565,"")</f>
        <v/>
      </c>
      <c r="J565" s="6">
        <f>IFERROR(SUMIFS('DETALLE CRONOLÓGICO'!$K$2:$K$4919,'DETALLE CRONOLÓGICO'!$A$2:$A$4919,$A565)/$E565,"")</f>
        <v/>
      </c>
      <c r="K565" s="6">
        <f>_xlfn.MINIFS('DETALLE CRONOLÓGICO'!$K$2:$K$4919,'DETALLE CRONOLÓGICO'!$A$2:$A$4919,$A565)</f>
        <v/>
      </c>
      <c r="L565" s="6">
        <f>_xlfn.MAXIFS('DETALLE CRONOLÓGICO'!$K$2:$K$4919,'DETALLE CRONOLÓGICO'!$A$2:$A$4919,$A565)</f>
        <v/>
      </c>
      <c r="M565" s="6">
        <f>INDEX('DETALLE CRONOLÓGICO'!$K$2:$K$4919,MATCH($A565,'DETALLE CRONOLÓGICO'!$A$2:$A$4919,0)+$E565-1)</f>
        <v/>
      </c>
      <c r="N565" s="7">
        <f>IFERROR($M565/INDEX('DETALLE CRONOLÓGICO'!$K$2:$K$4919,MATCH($A565,'DETALLE CRONOLÓGICO'!$A$2:$A$4919,0))-1,"")</f>
        <v/>
      </c>
      <c r="O565" s="6">
        <f>IFERROR($I565*3,"")</f>
        <v/>
      </c>
      <c r="P565" s="6">
        <f>IFERROR($I565*3.5,"")</f>
        <v/>
      </c>
      <c r="Q565" s="6">
        <f>IFERROR($I565*4,"")</f>
        <v/>
      </c>
      <c r="R565" s="6" t="n">
        <v>680</v>
      </c>
      <c r="S565" s="4" t="n">
        <v>2</v>
      </c>
      <c r="T565" s="1" t="inlineStr">
        <is>
          <t>active</t>
        </is>
      </c>
      <c r="U565" s="8" t="n"/>
      <c r="V565" s="1" t="inlineStr">
        <is>
          <t>SIN PRECIO</t>
        </is>
      </c>
    </row>
    <row r="566">
      <c r="A566" s="1" t="inlineStr">
        <is>
          <t>35432871814157</t>
        </is>
      </c>
      <c r="B566" s="1" t="inlineStr">
        <is>
          <t>ARETES H MINI MAILLON GOLD-BLACK</t>
        </is>
      </c>
      <c r="C566" s="1" t="inlineStr">
        <is>
          <t>Default Title</t>
        </is>
      </c>
      <c r="D566" s="1" t="inlineStr">
        <is>
          <t>HAIFENG</t>
        </is>
      </c>
      <c r="E566" s="4">
        <f>COUNTIF('DETALLE CRONOLÓGICO'!$A$2:$A$4919,$A566)</f>
        <v/>
      </c>
      <c r="F566" s="4">
        <f>SUMIFS('DETALLE CRONOLÓGICO'!$I$2:$I$4919,'DETALLE CRONOLÓGICO'!$A$2:$A$4919,$A566)</f>
        <v/>
      </c>
      <c r="G566" s="1">
        <f>INDEX('DETALLE CRONOLÓGICO'!$D$2:$D$4919,MATCH($A566,'DETALLE CRONOLÓGICO'!$A$2:$A$4919,0))</f>
        <v/>
      </c>
      <c r="H566" s="1">
        <f>INDEX('DETALLE CRONOLÓGICO'!$D$2:$D$4919,MATCH($A566,'DETALLE CRONOLÓGICO'!$A$2:$A$4919,0)+$E566-1)</f>
        <v/>
      </c>
      <c r="I566" s="5">
        <f>IFERROR(SUMIFS('DETALLE CRONOLÓGICO'!$L$2:$L$4919,'DETALLE CRONOLÓGICO'!$A$2:$A$4919,$A566)/$F566,"")</f>
        <v/>
      </c>
      <c r="J566" s="6">
        <f>IFERROR(SUMIFS('DETALLE CRONOLÓGICO'!$K$2:$K$4919,'DETALLE CRONOLÓGICO'!$A$2:$A$4919,$A566)/$E566,"")</f>
        <v/>
      </c>
      <c r="K566" s="6">
        <f>_xlfn.MINIFS('DETALLE CRONOLÓGICO'!$K$2:$K$4919,'DETALLE CRONOLÓGICO'!$A$2:$A$4919,$A566)</f>
        <v/>
      </c>
      <c r="L566" s="6">
        <f>_xlfn.MAXIFS('DETALLE CRONOLÓGICO'!$K$2:$K$4919,'DETALLE CRONOLÓGICO'!$A$2:$A$4919,$A566)</f>
        <v/>
      </c>
      <c r="M566" s="6">
        <f>INDEX('DETALLE CRONOLÓGICO'!$K$2:$K$4919,MATCH($A566,'DETALLE CRONOLÓGICO'!$A$2:$A$4919,0)+$E566-1)</f>
        <v/>
      </c>
      <c r="N566" s="7">
        <f>IFERROR($M566/INDEX('DETALLE CRONOLÓGICO'!$K$2:$K$4919,MATCH($A566,'DETALLE CRONOLÓGICO'!$A$2:$A$4919,0))-1,"")</f>
        <v/>
      </c>
      <c r="O566" s="6">
        <f>IFERROR($I566*3,"")</f>
        <v/>
      </c>
      <c r="P566" s="6">
        <f>IFERROR($I566*3.5,"")</f>
        <v/>
      </c>
      <c r="Q566" s="6">
        <f>IFERROR($I566*4,"")</f>
        <v/>
      </c>
      <c r="R566" s="6" t="n">
        <v>750</v>
      </c>
      <c r="S566" s="4" t="n">
        <v>3</v>
      </c>
      <c r="T566" s="1" t="inlineStr">
        <is>
          <t>active</t>
        </is>
      </c>
      <c r="U566" s="8" t="n"/>
      <c r="V566" s="1" t="inlineStr">
        <is>
          <t>SIN PRECIO</t>
        </is>
      </c>
    </row>
    <row r="567">
      <c r="A567" s="1" t="inlineStr">
        <is>
          <t>35432871939597</t>
        </is>
      </c>
      <c r="B567" s="1" t="inlineStr">
        <is>
          <t>ARETES H MINI MAILLON ROSE GOLD-WHITE</t>
        </is>
      </c>
      <c r="C567" s="1" t="inlineStr">
        <is>
          <t>Default Title</t>
        </is>
      </c>
      <c r="D567" s="1" t="inlineStr">
        <is>
          <t>HAIFENG</t>
        </is>
      </c>
      <c r="E567" s="4">
        <f>COUNTIF('DETALLE CRONOLÓGICO'!$A$2:$A$4919,$A567)</f>
        <v/>
      </c>
      <c r="F567" s="4">
        <f>SUMIFS('DETALLE CRONOLÓGICO'!$I$2:$I$4919,'DETALLE CRONOLÓGICO'!$A$2:$A$4919,$A567)</f>
        <v/>
      </c>
      <c r="G567" s="1">
        <f>INDEX('DETALLE CRONOLÓGICO'!$D$2:$D$4919,MATCH($A567,'DETALLE CRONOLÓGICO'!$A$2:$A$4919,0))</f>
        <v/>
      </c>
      <c r="H567" s="1">
        <f>INDEX('DETALLE CRONOLÓGICO'!$D$2:$D$4919,MATCH($A567,'DETALLE CRONOLÓGICO'!$A$2:$A$4919,0)+$E567-1)</f>
        <v/>
      </c>
      <c r="I567" s="5">
        <f>IFERROR(SUMIFS('DETALLE CRONOLÓGICO'!$L$2:$L$4919,'DETALLE CRONOLÓGICO'!$A$2:$A$4919,$A567)/$F567,"")</f>
        <v/>
      </c>
      <c r="J567" s="6">
        <f>IFERROR(SUMIFS('DETALLE CRONOLÓGICO'!$K$2:$K$4919,'DETALLE CRONOLÓGICO'!$A$2:$A$4919,$A567)/$E567,"")</f>
        <v/>
      </c>
      <c r="K567" s="6">
        <f>_xlfn.MINIFS('DETALLE CRONOLÓGICO'!$K$2:$K$4919,'DETALLE CRONOLÓGICO'!$A$2:$A$4919,$A567)</f>
        <v/>
      </c>
      <c r="L567" s="6">
        <f>_xlfn.MAXIFS('DETALLE CRONOLÓGICO'!$K$2:$K$4919,'DETALLE CRONOLÓGICO'!$A$2:$A$4919,$A567)</f>
        <v/>
      </c>
      <c r="M567" s="6">
        <f>INDEX('DETALLE CRONOLÓGICO'!$K$2:$K$4919,MATCH($A567,'DETALLE CRONOLÓGICO'!$A$2:$A$4919,0)+$E567-1)</f>
        <v/>
      </c>
      <c r="N567" s="7">
        <f>IFERROR($M567/INDEX('DETALLE CRONOLÓGICO'!$K$2:$K$4919,MATCH($A567,'DETALLE CRONOLÓGICO'!$A$2:$A$4919,0))-1,"")</f>
        <v/>
      </c>
      <c r="O567" s="6">
        <f>IFERROR($I567*3,"")</f>
        <v/>
      </c>
      <c r="P567" s="6">
        <f>IFERROR($I567*3.5,"")</f>
        <v/>
      </c>
      <c r="Q567" s="6">
        <f>IFERROR($I567*4,"")</f>
        <v/>
      </c>
      <c r="R567" s="6" t="n">
        <v>487</v>
      </c>
      <c r="S567" s="4" t="n">
        <v>3</v>
      </c>
      <c r="T567" s="1" t="inlineStr">
        <is>
          <t>active</t>
        </is>
      </c>
      <c r="U567" s="8" t="n"/>
      <c r="V567" s="1" t="inlineStr">
        <is>
          <t>SIN PRECIO</t>
        </is>
      </c>
    </row>
    <row r="568">
      <c r="A568" s="1" t="inlineStr">
        <is>
          <t>35432872053165</t>
        </is>
      </c>
      <c r="B568" s="1" t="inlineStr">
        <is>
          <t>ARETES POP H SILVER-BLACK</t>
        </is>
      </c>
      <c r="C568" s="1" t="inlineStr">
        <is>
          <t>Default Title</t>
        </is>
      </c>
      <c r="D568" s="1" t="inlineStr">
        <is>
          <t>HAIFENG</t>
        </is>
      </c>
      <c r="E568" s="4">
        <f>COUNTIF('DETALLE CRONOLÓGICO'!$A$2:$A$4919,$A568)</f>
        <v/>
      </c>
      <c r="F568" s="4">
        <f>SUMIFS('DETALLE CRONOLÓGICO'!$I$2:$I$4919,'DETALLE CRONOLÓGICO'!$A$2:$A$4919,$A568)</f>
        <v/>
      </c>
      <c r="G568" s="1">
        <f>INDEX('DETALLE CRONOLÓGICO'!$D$2:$D$4919,MATCH($A568,'DETALLE CRONOLÓGICO'!$A$2:$A$4919,0))</f>
        <v/>
      </c>
      <c r="H568" s="1">
        <f>INDEX('DETALLE CRONOLÓGICO'!$D$2:$D$4919,MATCH($A568,'DETALLE CRONOLÓGICO'!$A$2:$A$4919,0)+$E568-1)</f>
        <v/>
      </c>
      <c r="I568" s="5">
        <f>IFERROR(SUMIFS('DETALLE CRONOLÓGICO'!$L$2:$L$4919,'DETALLE CRONOLÓGICO'!$A$2:$A$4919,$A568)/$F568,"")</f>
        <v/>
      </c>
      <c r="J568" s="6">
        <f>IFERROR(SUMIFS('DETALLE CRONOLÓGICO'!$K$2:$K$4919,'DETALLE CRONOLÓGICO'!$A$2:$A$4919,$A568)/$E568,"")</f>
        <v/>
      </c>
      <c r="K568" s="6">
        <f>_xlfn.MINIFS('DETALLE CRONOLÓGICO'!$K$2:$K$4919,'DETALLE CRONOLÓGICO'!$A$2:$A$4919,$A568)</f>
        <v/>
      </c>
      <c r="L568" s="6">
        <f>_xlfn.MAXIFS('DETALLE CRONOLÓGICO'!$K$2:$K$4919,'DETALLE CRONOLÓGICO'!$A$2:$A$4919,$A568)</f>
        <v/>
      </c>
      <c r="M568" s="6">
        <f>INDEX('DETALLE CRONOLÓGICO'!$K$2:$K$4919,MATCH($A568,'DETALLE CRONOLÓGICO'!$A$2:$A$4919,0)+$E568-1)</f>
        <v/>
      </c>
      <c r="N568" s="7">
        <f>IFERROR($M568/INDEX('DETALLE CRONOLÓGICO'!$K$2:$K$4919,MATCH($A568,'DETALLE CRONOLÓGICO'!$A$2:$A$4919,0))-1,"")</f>
        <v/>
      </c>
      <c r="O568" s="6">
        <f>IFERROR($I568*3,"")</f>
        <v/>
      </c>
      <c r="P568" s="6">
        <f>IFERROR($I568*3.5,"")</f>
        <v/>
      </c>
      <c r="Q568" s="6">
        <f>IFERROR($I568*4,"")</f>
        <v/>
      </c>
      <c r="R568" s="6" t="n">
        <v>750</v>
      </c>
      <c r="S568" s="4" t="n">
        <v>2</v>
      </c>
      <c r="T568" s="1" t="inlineStr">
        <is>
          <t>active</t>
        </is>
      </c>
      <c r="U568" s="8" t="n"/>
      <c r="V568" s="1" t="inlineStr">
        <is>
          <t>SIN PRECIO</t>
        </is>
      </c>
    </row>
    <row r="569">
      <c r="A569" s="1" t="inlineStr">
        <is>
          <t>35432872130573</t>
        </is>
      </c>
      <c r="B569" s="1" t="inlineStr">
        <is>
          <t>ARETES POP H SILVER-WHITE</t>
        </is>
      </c>
      <c r="C569" s="1" t="inlineStr">
        <is>
          <t>Default Title</t>
        </is>
      </c>
      <c r="D569" s="1" t="inlineStr">
        <is>
          <t>HAIFENG</t>
        </is>
      </c>
      <c r="E569" s="4">
        <f>COUNTIF('DETALLE CRONOLÓGICO'!$A$2:$A$4919,$A569)</f>
        <v/>
      </c>
      <c r="F569" s="4">
        <f>SUMIFS('DETALLE CRONOLÓGICO'!$I$2:$I$4919,'DETALLE CRONOLÓGICO'!$A$2:$A$4919,$A569)</f>
        <v/>
      </c>
      <c r="G569" s="1">
        <f>INDEX('DETALLE CRONOLÓGICO'!$D$2:$D$4919,MATCH($A569,'DETALLE CRONOLÓGICO'!$A$2:$A$4919,0))</f>
        <v/>
      </c>
      <c r="H569" s="1">
        <f>INDEX('DETALLE CRONOLÓGICO'!$D$2:$D$4919,MATCH($A569,'DETALLE CRONOLÓGICO'!$A$2:$A$4919,0)+$E569-1)</f>
        <v/>
      </c>
      <c r="I569" s="5">
        <f>IFERROR(SUMIFS('DETALLE CRONOLÓGICO'!$L$2:$L$4919,'DETALLE CRONOLÓGICO'!$A$2:$A$4919,$A569)/$F569,"")</f>
        <v/>
      </c>
      <c r="J569" s="6">
        <f>IFERROR(SUMIFS('DETALLE CRONOLÓGICO'!$K$2:$K$4919,'DETALLE CRONOLÓGICO'!$A$2:$A$4919,$A569)/$E569,"")</f>
        <v/>
      </c>
      <c r="K569" s="6">
        <f>_xlfn.MINIFS('DETALLE CRONOLÓGICO'!$K$2:$K$4919,'DETALLE CRONOLÓGICO'!$A$2:$A$4919,$A569)</f>
        <v/>
      </c>
      <c r="L569" s="6">
        <f>_xlfn.MAXIFS('DETALLE CRONOLÓGICO'!$K$2:$K$4919,'DETALLE CRONOLÓGICO'!$A$2:$A$4919,$A569)</f>
        <v/>
      </c>
      <c r="M569" s="6">
        <f>INDEX('DETALLE CRONOLÓGICO'!$K$2:$K$4919,MATCH($A569,'DETALLE CRONOLÓGICO'!$A$2:$A$4919,0)+$E569-1)</f>
        <v/>
      </c>
      <c r="N569" s="7">
        <f>IFERROR($M569/INDEX('DETALLE CRONOLÓGICO'!$K$2:$K$4919,MATCH($A569,'DETALLE CRONOLÓGICO'!$A$2:$A$4919,0))-1,"")</f>
        <v/>
      </c>
      <c r="O569" s="6">
        <f>IFERROR($I569*3,"")</f>
        <v/>
      </c>
      <c r="P569" s="6">
        <f>IFERROR($I569*3.5,"")</f>
        <v/>
      </c>
      <c r="Q569" s="6">
        <f>IFERROR($I569*4,"")</f>
        <v/>
      </c>
      <c r="R569" s="6" t="n">
        <v>750</v>
      </c>
      <c r="S569" s="4" t="n">
        <v>2</v>
      </c>
      <c r="T569" s="1" t="inlineStr">
        <is>
          <t>active</t>
        </is>
      </c>
      <c r="U569" s="8" t="n"/>
      <c r="V569" s="1" t="inlineStr">
        <is>
          <t>SIN PRECIO</t>
        </is>
      </c>
    </row>
    <row r="570">
      <c r="A570" s="1" t="inlineStr">
        <is>
          <t>35432872271821</t>
        </is>
      </c>
      <c r="B570" s="1" t="inlineStr">
        <is>
          <t>COLLAR H MINI MAILLON ROSE GOLD</t>
        </is>
      </c>
      <c r="C570" s="1" t="inlineStr">
        <is>
          <t>Default Title</t>
        </is>
      </c>
      <c r="D570" s="1" t="inlineStr">
        <is>
          <t>HAIFENG</t>
        </is>
      </c>
      <c r="E570" s="4">
        <f>COUNTIF('DETALLE CRONOLÓGICO'!$A$2:$A$4919,$A570)</f>
        <v/>
      </c>
      <c r="F570" s="4">
        <f>SUMIFS('DETALLE CRONOLÓGICO'!$I$2:$I$4919,'DETALLE CRONOLÓGICO'!$A$2:$A$4919,$A570)</f>
        <v/>
      </c>
      <c r="G570" s="1">
        <f>INDEX('DETALLE CRONOLÓGICO'!$D$2:$D$4919,MATCH($A570,'DETALLE CRONOLÓGICO'!$A$2:$A$4919,0))</f>
        <v/>
      </c>
      <c r="H570" s="1">
        <f>INDEX('DETALLE CRONOLÓGICO'!$D$2:$D$4919,MATCH($A570,'DETALLE CRONOLÓGICO'!$A$2:$A$4919,0)+$E570-1)</f>
        <v/>
      </c>
      <c r="I570" s="5">
        <f>IFERROR(SUMIFS('DETALLE CRONOLÓGICO'!$L$2:$L$4919,'DETALLE CRONOLÓGICO'!$A$2:$A$4919,$A570)/$F570,"")</f>
        <v/>
      </c>
      <c r="J570" s="6">
        <f>IFERROR(SUMIFS('DETALLE CRONOLÓGICO'!$K$2:$K$4919,'DETALLE CRONOLÓGICO'!$A$2:$A$4919,$A570)/$E570,"")</f>
        <v/>
      </c>
      <c r="K570" s="6">
        <f>_xlfn.MINIFS('DETALLE CRONOLÓGICO'!$K$2:$K$4919,'DETALLE CRONOLÓGICO'!$A$2:$A$4919,$A570)</f>
        <v/>
      </c>
      <c r="L570" s="6">
        <f>_xlfn.MAXIFS('DETALLE CRONOLÓGICO'!$K$2:$K$4919,'DETALLE CRONOLÓGICO'!$A$2:$A$4919,$A570)</f>
        <v/>
      </c>
      <c r="M570" s="6">
        <f>INDEX('DETALLE CRONOLÓGICO'!$K$2:$K$4919,MATCH($A570,'DETALLE CRONOLÓGICO'!$A$2:$A$4919,0)+$E570-1)</f>
        <v/>
      </c>
      <c r="N570" s="7">
        <f>IFERROR($M570/INDEX('DETALLE CRONOLÓGICO'!$K$2:$K$4919,MATCH($A570,'DETALLE CRONOLÓGICO'!$A$2:$A$4919,0))-1,"")</f>
        <v/>
      </c>
      <c r="O570" s="6">
        <f>IFERROR($I570*3,"")</f>
        <v/>
      </c>
      <c r="P570" s="6">
        <f>IFERROR($I570*3.5,"")</f>
        <v/>
      </c>
      <c r="Q570" s="6">
        <f>IFERROR($I570*4,"")</f>
        <v/>
      </c>
      <c r="R570" s="6" t="n">
        <v>575.98</v>
      </c>
      <c r="S570" s="4" t="n">
        <v>3</v>
      </c>
      <c r="T570" s="1" t="inlineStr">
        <is>
          <t>active</t>
        </is>
      </c>
      <c r="U570" s="8" t="n"/>
      <c r="V570" s="1" t="inlineStr">
        <is>
          <t>SIN PRECIO</t>
        </is>
      </c>
    </row>
    <row r="571">
      <c r="A571" s="1" t="inlineStr">
        <is>
          <t>35432872383693</t>
        </is>
      </c>
      <c r="B571" s="1" t="inlineStr">
        <is>
          <t>COLLAR H MINI MAILLON GOLD-BLACK</t>
        </is>
      </c>
      <c r="C571" s="1" t="inlineStr">
        <is>
          <t>Default Title</t>
        </is>
      </c>
      <c r="D571" s="1" t="inlineStr">
        <is>
          <t>HAIFENG</t>
        </is>
      </c>
      <c r="E571" s="4">
        <f>COUNTIF('DETALLE CRONOLÓGICO'!$A$2:$A$4919,$A571)</f>
        <v/>
      </c>
      <c r="F571" s="4">
        <f>SUMIFS('DETALLE CRONOLÓGICO'!$I$2:$I$4919,'DETALLE CRONOLÓGICO'!$A$2:$A$4919,$A571)</f>
        <v/>
      </c>
      <c r="G571" s="1">
        <f>INDEX('DETALLE CRONOLÓGICO'!$D$2:$D$4919,MATCH($A571,'DETALLE CRONOLÓGICO'!$A$2:$A$4919,0))</f>
        <v/>
      </c>
      <c r="H571" s="1">
        <f>INDEX('DETALLE CRONOLÓGICO'!$D$2:$D$4919,MATCH($A571,'DETALLE CRONOLÓGICO'!$A$2:$A$4919,0)+$E571-1)</f>
        <v/>
      </c>
      <c r="I571" s="5">
        <f>IFERROR(SUMIFS('DETALLE CRONOLÓGICO'!$L$2:$L$4919,'DETALLE CRONOLÓGICO'!$A$2:$A$4919,$A571)/$F571,"")</f>
        <v/>
      </c>
      <c r="J571" s="6">
        <f>IFERROR(SUMIFS('DETALLE CRONOLÓGICO'!$K$2:$K$4919,'DETALLE CRONOLÓGICO'!$A$2:$A$4919,$A571)/$E571,"")</f>
        <v/>
      </c>
      <c r="K571" s="6">
        <f>_xlfn.MINIFS('DETALLE CRONOLÓGICO'!$K$2:$K$4919,'DETALLE CRONOLÓGICO'!$A$2:$A$4919,$A571)</f>
        <v/>
      </c>
      <c r="L571" s="6">
        <f>_xlfn.MAXIFS('DETALLE CRONOLÓGICO'!$K$2:$K$4919,'DETALLE CRONOLÓGICO'!$A$2:$A$4919,$A571)</f>
        <v/>
      </c>
      <c r="M571" s="6">
        <f>INDEX('DETALLE CRONOLÓGICO'!$K$2:$K$4919,MATCH($A571,'DETALLE CRONOLÓGICO'!$A$2:$A$4919,0)+$E571-1)</f>
        <v/>
      </c>
      <c r="N571" s="7">
        <f>IFERROR($M571/INDEX('DETALLE CRONOLÓGICO'!$K$2:$K$4919,MATCH($A571,'DETALLE CRONOLÓGICO'!$A$2:$A$4919,0))-1,"")</f>
        <v/>
      </c>
      <c r="O571" s="6">
        <f>IFERROR($I571*3,"")</f>
        <v/>
      </c>
      <c r="P571" s="6">
        <f>IFERROR($I571*3.5,"")</f>
        <v/>
      </c>
      <c r="Q571" s="6">
        <f>IFERROR($I571*4,"")</f>
        <v/>
      </c>
      <c r="R571" s="6" t="n">
        <v>599</v>
      </c>
      <c r="S571" s="4" t="n">
        <v>3</v>
      </c>
      <c r="T571" s="1" t="inlineStr">
        <is>
          <t>active</t>
        </is>
      </c>
      <c r="U571" s="8" t="n"/>
      <c r="V571" s="1" t="inlineStr">
        <is>
          <t>SIN PRECIO</t>
        </is>
      </c>
    </row>
    <row r="572">
      <c r="A572" s="1" t="inlineStr">
        <is>
          <t>35432872421549</t>
        </is>
      </c>
      <c r="B572" s="1" t="inlineStr">
        <is>
          <t>ARETES POP H ROSE GOLD PINK</t>
        </is>
      </c>
      <c r="C572" s="1" t="inlineStr">
        <is>
          <t>Default Title</t>
        </is>
      </c>
      <c r="D572" s="1" t="inlineStr">
        <is>
          <t>HAIFENG</t>
        </is>
      </c>
      <c r="E572" s="4">
        <f>COUNTIF('DETALLE CRONOLÓGICO'!$A$2:$A$4919,$A572)</f>
        <v/>
      </c>
      <c r="F572" s="4">
        <f>SUMIFS('DETALLE CRONOLÓGICO'!$I$2:$I$4919,'DETALLE CRONOLÓGICO'!$A$2:$A$4919,$A572)</f>
        <v/>
      </c>
      <c r="G572" s="1">
        <f>INDEX('DETALLE CRONOLÓGICO'!$D$2:$D$4919,MATCH($A572,'DETALLE CRONOLÓGICO'!$A$2:$A$4919,0))</f>
        <v/>
      </c>
      <c r="H572" s="1">
        <f>INDEX('DETALLE CRONOLÓGICO'!$D$2:$D$4919,MATCH($A572,'DETALLE CRONOLÓGICO'!$A$2:$A$4919,0)+$E572-1)</f>
        <v/>
      </c>
      <c r="I572" s="5">
        <f>IFERROR(SUMIFS('DETALLE CRONOLÓGICO'!$L$2:$L$4919,'DETALLE CRONOLÓGICO'!$A$2:$A$4919,$A572)/$F572,"")</f>
        <v/>
      </c>
      <c r="J572" s="6">
        <f>IFERROR(SUMIFS('DETALLE CRONOLÓGICO'!$K$2:$K$4919,'DETALLE CRONOLÓGICO'!$A$2:$A$4919,$A572)/$E572,"")</f>
        <v/>
      </c>
      <c r="K572" s="6">
        <f>_xlfn.MINIFS('DETALLE CRONOLÓGICO'!$K$2:$K$4919,'DETALLE CRONOLÓGICO'!$A$2:$A$4919,$A572)</f>
        <v/>
      </c>
      <c r="L572" s="6">
        <f>_xlfn.MAXIFS('DETALLE CRONOLÓGICO'!$K$2:$K$4919,'DETALLE CRONOLÓGICO'!$A$2:$A$4919,$A572)</f>
        <v/>
      </c>
      <c r="M572" s="6">
        <f>INDEX('DETALLE CRONOLÓGICO'!$K$2:$K$4919,MATCH($A572,'DETALLE CRONOLÓGICO'!$A$2:$A$4919,0)+$E572-1)</f>
        <v/>
      </c>
      <c r="N572" s="7">
        <f>IFERROR($M572/INDEX('DETALLE CRONOLÓGICO'!$K$2:$K$4919,MATCH($A572,'DETALLE CRONOLÓGICO'!$A$2:$A$4919,0))-1,"")</f>
        <v/>
      </c>
      <c r="O572" s="6">
        <f>IFERROR($I572*3,"")</f>
        <v/>
      </c>
      <c r="P572" s="6">
        <f>IFERROR($I572*3.5,"")</f>
        <v/>
      </c>
      <c r="Q572" s="6">
        <f>IFERROR($I572*4,"")</f>
        <v/>
      </c>
      <c r="R572" s="6" t="n">
        <v>0</v>
      </c>
      <c r="S572" s="4" t="n">
        <v>0</v>
      </c>
      <c r="T572" s="1" t="inlineStr">
        <is>
          <t>draft</t>
        </is>
      </c>
      <c r="U572" s="8" t="n"/>
      <c r="V572" s="1" t="inlineStr">
        <is>
          <t>SIN PRECIO</t>
        </is>
      </c>
    </row>
    <row r="573">
      <c r="A573" s="1" t="inlineStr">
        <is>
          <t>35432872592173</t>
        </is>
      </c>
      <c r="B573" s="1" t="inlineStr">
        <is>
          <t>BRAZALETE MINI CLIC CHAINE GOLD-BLACK</t>
        </is>
      </c>
      <c r="C573" s="1" t="inlineStr">
        <is>
          <t>Default Title</t>
        </is>
      </c>
      <c r="D573" s="1" t="inlineStr">
        <is>
          <t>HAIFENG</t>
        </is>
      </c>
      <c r="E573" s="4">
        <f>COUNTIF('DETALLE CRONOLÓGICO'!$A$2:$A$4919,$A573)</f>
        <v/>
      </c>
      <c r="F573" s="4">
        <f>SUMIFS('DETALLE CRONOLÓGICO'!$I$2:$I$4919,'DETALLE CRONOLÓGICO'!$A$2:$A$4919,$A573)</f>
        <v/>
      </c>
      <c r="G573" s="1">
        <f>INDEX('DETALLE CRONOLÓGICO'!$D$2:$D$4919,MATCH($A573,'DETALLE CRONOLÓGICO'!$A$2:$A$4919,0))</f>
        <v/>
      </c>
      <c r="H573" s="1">
        <f>INDEX('DETALLE CRONOLÓGICO'!$D$2:$D$4919,MATCH($A573,'DETALLE CRONOLÓGICO'!$A$2:$A$4919,0)+$E573-1)</f>
        <v/>
      </c>
      <c r="I573" s="5">
        <f>IFERROR(SUMIFS('DETALLE CRONOLÓGICO'!$L$2:$L$4919,'DETALLE CRONOLÓGICO'!$A$2:$A$4919,$A573)/$F573,"")</f>
        <v/>
      </c>
      <c r="J573" s="6">
        <f>IFERROR(SUMIFS('DETALLE CRONOLÓGICO'!$K$2:$K$4919,'DETALLE CRONOLÓGICO'!$A$2:$A$4919,$A573)/$E573,"")</f>
        <v/>
      </c>
      <c r="K573" s="6">
        <f>_xlfn.MINIFS('DETALLE CRONOLÓGICO'!$K$2:$K$4919,'DETALLE CRONOLÓGICO'!$A$2:$A$4919,$A573)</f>
        <v/>
      </c>
      <c r="L573" s="6">
        <f>_xlfn.MAXIFS('DETALLE CRONOLÓGICO'!$K$2:$K$4919,'DETALLE CRONOLÓGICO'!$A$2:$A$4919,$A573)</f>
        <v/>
      </c>
      <c r="M573" s="6">
        <f>INDEX('DETALLE CRONOLÓGICO'!$K$2:$K$4919,MATCH($A573,'DETALLE CRONOLÓGICO'!$A$2:$A$4919,0)+$E573-1)</f>
        <v/>
      </c>
      <c r="N573" s="7">
        <f>IFERROR($M573/INDEX('DETALLE CRONOLÓGICO'!$K$2:$K$4919,MATCH($A573,'DETALLE CRONOLÓGICO'!$A$2:$A$4919,0))-1,"")</f>
        <v/>
      </c>
      <c r="O573" s="6">
        <f>IFERROR($I573*3,"")</f>
        <v/>
      </c>
      <c r="P573" s="6">
        <f>IFERROR($I573*3.5,"")</f>
        <v/>
      </c>
      <c r="Q573" s="6">
        <f>IFERROR($I573*4,"")</f>
        <v/>
      </c>
      <c r="R573" s="6" t="n">
        <v>1499</v>
      </c>
      <c r="S573" s="4" t="n">
        <v>4</v>
      </c>
      <c r="T573" s="1" t="inlineStr">
        <is>
          <t>active</t>
        </is>
      </c>
      <c r="U573" s="8" t="n"/>
      <c r="V573" s="1" t="inlineStr">
        <is>
          <t>SIN PRECIO</t>
        </is>
      </c>
    </row>
    <row r="574">
      <c r="A574" s="1" t="inlineStr">
        <is>
          <t>35432872669581</t>
        </is>
      </c>
      <c r="B574" s="1" t="inlineStr">
        <is>
          <t>BRAZALETE MINI CLIC KELLY ROSE GOLD</t>
        </is>
      </c>
      <c r="C574" s="1" t="inlineStr">
        <is>
          <t>Default Title</t>
        </is>
      </c>
      <c r="D574" s="1" t="inlineStr">
        <is>
          <t>HAIFENG</t>
        </is>
      </c>
      <c r="E574" s="4">
        <f>COUNTIF('DETALLE CRONOLÓGICO'!$A$2:$A$4919,$A574)</f>
        <v/>
      </c>
      <c r="F574" s="4">
        <f>SUMIFS('DETALLE CRONOLÓGICO'!$I$2:$I$4919,'DETALLE CRONOLÓGICO'!$A$2:$A$4919,$A574)</f>
        <v/>
      </c>
      <c r="G574" s="1">
        <f>INDEX('DETALLE CRONOLÓGICO'!$D$2:$D$4919,MATCH($A574,'DETALLE CRONOLÓGICO'!$A$2:$A$4919,0))</f>
        <v/>
      </c>
      <c r="H574" s="1">
        <f>INDEX('DETALLE CRONOLÓGICO'!$D$2:$D$4919,MATCH($A574,'DETALLE CRONOLÓGICO'!$A$2:$A$4919,0)+$E574-1)</f>
        <v/>
      </c>
      <c r="I574" s="5">
        <f>IFERROR(SUMIFS('DETALLE CRONOLÓGICO'!$L$2:$L$4919,'DETALLE CRONOLÓGICO'!$A$2:$A$4919,$A574)/$F574,"")</f>
        <v/>
      </c>
      <c r="J574" s="6">
        <f>IFERROR(SUMIFS('DETALLE CRONOLÓGICO'!$K$2:$K$4919,'DETALLE CRONOLÓGICO'!$A$2:$A$4919,$A574)/$E574,"")</f>
        <v/>
      </c>
      <c r="K574" s="6">
        <f>_xlfn.MINIFS('DETALLE CRONOLÓGICO'!$K$2:$K$4919,'DETALLE CRONOLÓGICO'!$A$2:$A$4919,$A574)</f>
        <v/>
      </c>
      <c r="L574" s="6">
        <f>_xlfn.MAXIFS('DETALLE CRONOLÓGICO'!$K$2:$K$4919,'DETALLE CRONOLÓGICO'!$A$2:$A$4919,$A574)</f>
        <v/>
      </c>
      <c r="M574" s="6">
        <f>INDEX('DETALLE CRONOLÓGICO'!$K$2:$K$4919,MATCH($A574,'DETALLE CRONOLÓGICO'!$A$2:$A$4919,0)+$E574-1)</f>
        <v/>
      </c>
      <c r="N574" s="7">
        <f>IFERROR($M574/INDEX('DETALLE CRONOLÓGICO'!$K$2:$K$4919,MATCH($A574,'DETALLE CRONOLÓGICO'!$A$2:$A$4919,0))-1,"")</f>
        <v/>
      </c>
      <c r="O574" s="6">
        <f>IFERROR($I574*3,"")</f>
        <v/>
      </c>
      <c r="P574" s="6">
        <f>IFERROR($I574*3.5,"")</f>
        <v/>
      </c>
      <c r="Q574" s="6">
        <f>IFERROR($I574*4,"")</f>
        <v/>
      </c>
      <c r="R574" s="6" t="n">
        <v>1499</v>
      </c>
      <c r="S574" s="4" t="n">
        <v>1</v>
      </c>
      <c r="T574" s="1" t="inlineStr">
        <is>
          <t>active</t>
        </is>
      </c>
      <c r="U574" s="8" t="n"/>
      <c r="V574" s="1" t="inlineStr">
        <is>
          <t>SIN PRECIO</t>
        </is>
      </c>
    </row>
    <row r="575">
      <c r="A575" s="1" t="inlineStr">
        <is>
          <t>35432872781453</t>
        </is>
      </c>
      <c r="B575" s="1" t="inlineStr">
        <is>
          <t>BRAZALETE ELSA PERETTI SILVER</t>
        </is>
      </c>
      <c r="C575" s="1" t="inlineStr">
        <is>
          <t>Default Title</t>
        </is>
      </c>
      <c r="D575" s="1" t="inlineStr">
        <is>
          <t>HAIFENG</t>
        </is>
      </c>
      <c r="E575" s="4">
        <f>COUNTIF('DETALLE CRONOLÓGICO'!$A$2:$A$4919,$A575)</f>
        <v/>
      </c>
      <c r="F575" s="4">
        <f>SUMIFS('DETALLE CRONOLÓGICO'!$I$2:$I$4919,'DETALLE CRONOLÓGICO'!$A$2:$A$4919,$A575)</f>
        <v/>
      </c>
      <c r="G575" s="1">
        <f>INDEX('DETALLE CRONOLÓGICO'!$D$2:$D$4919,MATCH($A575,'DETALLE CRONOLÓGICO'!$A$2:$A$4919,0))</f>
        <v/>
      </c>
      <c r="H575" s="1">
        <f>INDEX('DETALLE CRONOLÓGICO'!$D$2:$D$4919,MATCH($A575,'DETALLE CRONOLÓGICO'!$A$2:$A$4919,0)+$E575-1)</f>
        <v/>
      </c>
      <c r="I575" s="5">
        <f>IFERROR(SUMIFS('DETALLE CRONOLÓGICO'!$L$2:$L$4919,'DETALLE CRONOLÓGICO'!$A$2:$A$4919,$A575)/$F575,"")</f>
        <v/>
      </c>
      <c r="J575" s="6">
        <f>IFERROR(SUMIFS('DETALLE CRONOLÓGICO'!$K$2:$K$4919,'DETALLE CRONOLÓGICO'!$A$2:$A$4919,$A575)/$E575,"")</f>
        <v/>
      </c>
      <c r="K575" s="6">
        <f>_xlfn.MINIFS('DETALLE CRONOLÓGICO'!$K$2:$K$4919,'DETALLE CRONOLÓGICO'!$A$2:$A$4919,$A575)</f>
        <v/>
      </c>
      <c r="L575" s="6">
        <f>_xlfn.MAXIFS('DETALLE CRONOLÓGICO'!$K$2:$K$4919,'DETALLE CRONOLÓGICO'!$A$2:$A$4919,$A575)</f>
        <v/>
      </c>
      <c r="M575" s="6">
        <f>INDEX('DETALLE CRONOLÓGICO'!$K$2:$K$4919,MATCH($A575,'DETALLE CRONOLÓGICO'!$A$2:$A$4919,0)+$E575-1)</f>
        <v/>
      </c>
      <c r="N575" s="7">
        <f>IFERROR($M575/INDEX('DETALLE CRONOLÓGICO'!$K$2:$K$4919,MATCH($A575,'DETALLE CRONOLÓGICO'!$A$2:$A$4919,0))-1,"")</f>
        <v/>
      </c>
      <c r="O575" s="6">
        <f>IFERROR($I575*3,"")</f>
        <v/>
      </c>
      <c r="P575" s="6">
        <f>IFERROR($I575*3.5,"")</f>
        <v/>
      </c>
      <c r="Q575" s="6">
        <f>IFERROR($I575*4,"")</f>
        <v/>
      </c>
      <c r="R575" s="6" t="n">
        <v>0</v>
      </c>
      <c r="S575" s="4" t="n">
        <v>0</v>
      </c>
      <c r="T575" s="1" t="inlineStr">
        <is>
          <t>draft</t>
        </is>
      </c>
      <c r="U575" s="8" t="n"/>
      <c r="V575" s="1" t="inlineStr">
        <is>
          <t>SIN PRECIO</t>
        </is>
      </c>
    </row>
    <row r="576">
      <c r="A576" s="1" t="inlineStr">
        <is>
          <t>35432872862253</t>
        </is>
      </c>
      <c r="B576" s="1" t="inlineStr">
        <is>
          <t>PULSERA CD D-LUCK GOLD WHITE</t>
        </is>
      </c>
      <c r="C576" s="1" t="inlineStr">
        <is>
          <t>Default Title</t>
        </is>
      </c>
      <c r="D576" s="1" t="inlineStr">
        <is>
          <t>HAIFENG</t>
        </is>
      </c>
      <c r="E576" s="4">
        <f>COUNTIF('DETALLE CRONOLÓGICO'!$A$2:$A$4919,$A576)</f>
        <v/>
      </c>
      <c r="F576" s="4">
        <f>SUMIFS('DETALLE CRONOLÓGICO'!$I$2:$I$4919,'DETALLE CRONOLÓGICO'!$A$2:$A$4919,$A576)</f>
        <v/>
      </c>
      <c r="G576" s="1">
        <f>INDEX('DETALLE CRONOLÓGICO'!$D$2:$D$4919,MATCH($A576,'DETALLE CRONOLÓGICO'!$A$2:$A$4919,0))</f>
        <v/>
      </c>
      <c r="H576" s="1">
        <f>INDEX('DETALLE CRONOLÓGICO'!$D$2:$D$4919,MATCH($A576,'DETALLE CRONOLÓGICO'!$A$2:$A$4919,0)+$E576-1)</f>
        <v/>
      </c>
      <c r="I576" s="5">
        <f>IFERROR(SUMIFS('DETALLE CRONOLÓGICO'!$L$2:$L$4919,'DETALLE CRONOLÓGICO'!$A$2:$A$4919,$A576)/$F576,"")</f>
        <v/>
      </c>
      <c r="J576" s="6">
        <f>IFERROR(SUMIFS('DETALLE CRONOLÓGICO'!$K$2:$K$4919,'DETALLE CRONOLÓGICO'!$A$2:$A$4919,$A576)/$E576,"")</f>
        <v/>
      </c>
      <c r="K576" s="6">
        <f>_xlfn.MINIFS('DETALLE CRONOLÓGICO'!$K$2:$K$4919,'DETALLE CRONOLÓGICO'!$A$2:$A$4919,$A576)</f>
        <v/>
      </c>
      <c r="L576" s="6">
        <f>_xlfn.MAXIFS('DETALLE CRONOLÓGICO'!$K$2:$K$4919,'DETALLE CRONOLÓGICO'!$A$2:$A$4919,$A576)</f>
        <v/>
      </c>
      <c r="M576" s="6">
        <f>INDEX('DETALLE CRONOLÓGICO'!$K$2:$K$4919,MATCH($A576,'DETALLE CRONOLÓGICO'!$A$2:$A$4919,0)+$E576-1)</f>
        <v/>
      </c>
      <c r="N576" s="7">
        <f>IFERROR($M576/INDEX('DETALLE CRONOLÓGICO'!$K$2:$K$4919,MATCH($A576,'DETALLE CRONOLÓGICO'!$A$2:$A$4919,0))-1,"")</f>
        <v/>
      </c>
      <c r="O576" s="6">
        <f>IFERROR($I576*3,"")</f>
        <v/>
      </c>
      <c r="P576" s="6">
        <f>IFERROR($I576*3.5,"")</f>
        <v/>
      </c>
      <c r="Q576" s="6">
        <f>IFERROR($I576*4,"")</f>
        <v/>
      </c>
      <c r="R576" s="6" t="n">
        <v>1483</v>
      </c>
      <c r="S576" s="4" t="n">
        <v>1</v>
      </c>
      <c r="T576" s="1" t="inlineStr">
        <is>
          <t>active</t>
        </is>
      </c>
      <c r="U576" s="8" t="n"/>
      <c r="V576" s="1" t="inlineStr">
        <is>
          <t>SIN PRECIO</t>
        </is>
      </c>
    </row>
    <row r="577">
      <c r="A577" s="1" t="inlineStr">
        <is>
          <t>35997321035725</t>
        </is>
      </c>
      <c r="B577" s="1" t="inlineStr">
        <is>
          <t>ANILLO JUSTE UN CLOU SILVER CON ZIRCONIA-6</t>
        </is>
      </c>
      <c r="C577" s="1" t="n">
        <v>6</v>
      </c>
      <c r="D577" s="1" t="inlineStr">
        <is>
          <t>HAIFENG</t>
        </is>
      </c>
      <c r="E577" s="4">
        <f>COUNTIF('DETALLE CRONOLÓGICO'!$A$2:$A$4919,$A577)</f>
        <v/>
      </c>
      <c r="F577" s="4">
        <f>SUMIFS('DETALLE CRONOLÓGICO'!$I$2:$I$4919,'DETALLE CRONOLÓGICO'!$A$2:$A$4919,$A577)</f>
        <v/>
      </c>
      <c r="G577" s="1">
        <f>INDEX('DETALLE CRONOLÓGICO'!$D$2:$D$4919,MATCH($A577,'DETALLE CRONOLÓGICO'!$A$2:$A$4919,0))</f>
        <v/>
      </c>
      <c r="H577" s="1">
        <f>INDEX('DETALLE CRONOLÓGICO'!$D$2:$D$4919,MATCH($A577,'DETALLE CRONOLÓGICO'!$A$2:$A$4919,0)+$E577-1)</f>
        <v/>
      </c>
      <c r="I577" s="5">
        <f>IFERROR(SUMIFS('DETALLE CRONOLÓGICO'!$L$2:$L$4919,'DETALLE CRONOLÓGICO'!$A$2:$A$4919,$A577)/$F577,"")</f>
        <v/>
      </c>
      <c r="J577" s="6">
        <f>IFERROR(SUMIFS('DETALLE CRONOLÓGICO'!$K$2:$K$4919,'DETALLE CRONOLÓGICO'!$A$2:$A$4919,$A577)/$E577,"")</f>
        <v/>
      </c>
      <c r="K577" s="6">
        <f>_xlfn.MINIFS('DETALLE CRONOLÓGICO'!$K$2:$K$4919,'DETALLE CRONOLÓGICO'!$A$2:$A$4919,$A577)</f>
        <v/>
      </c>
      <c r="L577" s="6">
        <f>_xlfn.MAXIFS('DETALLE CRONOLÓGICO'!$K$2:$K$4919,'DETALLE CRONOLÓGICO'!$A$2:$A$4919,$A577)</f>
        <v/>
      </c>
      <c r="M577" s="6">
        <f>INDEX('DETALLE CRONOLÓGICO'!$K$2:$K$4919,MATCH($A577,'DETALLE CRONOLÓGICO'!$A$2:$A$4919,0)+$E577-1)</f>
        <v/>
      </c>
      <c r="N577" s="7">
        <f>IFERROR($M577/INDEX('DETALLE CRONOLÓGICO'!$K$2:$K$4919,MATCH($A577,'DETALLE CRONOLÓGICO'!$A$2:$A$4919,0))-1,"")</f>
        <v/>
      </c>
      <c r="O577" s="6">
        <f>IFERROR($I577*3,"")</f>
        <v/>
      </c>
      <c r="P577" s="6">
        <f>IFERROR($I577*3.5,"")</f>
        <v/>
      </c>
      <c r="Q577" s="6">
        <f>IFERROR($I577*4,"")</f>
        <v/>
      </c>
      <c r="R577" s="6" t="n">
        <v>650</v>
      </c>
      <c r="S577" s="4" t="n">
        <v>2</v>
      </c>
      <c r="T577" s="1" t="inlineStr">
        <is>
          <t>active</t>
        </is>
      </c>
      <c r="U577" s="8" t="n"/>
      <c r="V577" s="1" t="inlineStr">
        <is>
          <t>SIN PRECIO</t>
        </is>
      </c>
    </row>
    <row r="578">
      <c r="A578" s="1" t="inlineStr">
        <is>
          <t>36002950539532</t>
        </is>
      </c>
      <c r="B578" s="1" t="inlineStr">
        <is>
          <t>COLLAR T CORAZÓN</t>
        </is>
      </c>
      <c r="C578" s="1" t="inlineStr">
        <is>
          <t>Default Title</t>
        </is>
      </c>
      <c r="D578" s="1" t="inlineStr">
        <is>
          <t>NANCY</t>
        </is>
      </c>
      <c r="E578" s="4">
        <f>COUNTIF('DETALLE CRONOLÓGICO'!$A$2:$A$4919,$A578)</f>
        <v/>
      </c>
      <c r="F578" s="4">
        <f>SUMIFS('DETALLE CRONOLÓGICO'!$I$2:$I$4919,'DETALLE CRONOLÓGICO'!$A$2:$A$4919,$A578)</f>
        <v/>
      </c>
      <c r="G578" s="1">
        <f>INDEX('DETALLE CRONOLÓGICO'!$D$2:$D$4919,MATCH($A578,'DETALLE CRONOLÓGICO'!$A$2:$A$4919,0))</f>
        <v/>
      </c>
      <c r="H578" s="1">
        <f>INDEX('DETALLE CRONOLÓGICO'!$D$2:$D$4919,MATCH($A578,'DETALLE CRONOLÓGICO'!$A$2:$A$4919,0)+$E578-1)</f>
        <v/>
      </c>
      <c r="I578" s="5">
        <f>IFERROR(SUMIFS('DETALLE CRONOLÓGICO'!$L$2:$L$4919,'DETALLE CRONOLÓGICO'!$A$2:$A$4919,$A578)/$F578,"")</f>
        <v/>
      </c>
      <c r="J578" s="6">
        <f>IFERROR(SUMIFS('DETALLE CRONOLÓGICO'!$K$2:$K$4919,'DETALLE CRONOLÓGICO'!$A$2:$A$4919,$A578)/$E578,"")</f>
        <v/>
      </c>
      <c r="K578" s="6">
        <f>_xlfn.MINIFS('DETALLE CRONOLÓGICO'!$K$2:$K$4919,'DETALLE CRONOLÓGICO'!$A$2:$A$4919,$A578)</f>
        <v/>
      </c>
      <c r="L578" s="6">
        <f>_xlfn.MAXIFS('DETALLE CRONOLÓGICO'!$K$2:$K$4919,'DETALLE CRONOLÓGICO'!$A$2:$A$4919,$A578)</f>
        <v/>
      </c>
      <c r="M578" s="6">
        <f>INDEX('DETALLE CRONOLÓGICO'!$K$2:$K$4919,MATCH($A578,'DETALLE CRONOLÓGICO'!$A$2:$A$4919,0)+$E578-1)</f>
        <v/>
      </c>
      <c r="N578" s="7">
        <f>IFERROR($M578/INDEX('DETALLE CRONOLÓGICO'!$K$2:$K$4919,MATCH($A578,'DETALLE CRONOLÓGICO'!$A$2:$A$4919,0))-1,"")</f>
        <v/>
      </c>
      <c r="O578" s="6">
        <f>IFERROR($I578*3,"")</f>
        <v/>
      </c>
      <c r="P578" s="6">
        <f>IFERROR($I578*3.5,"")</f>
        <v/>
      </c>
      <c r="Q578" s="6">
        <f>IFERROR($I578*4,"")</f>
        <v/>
      </c>
      <c r="R578" s="6" t="n">
        <v>850</v>
      </c>
      <c r="S578" s="4" t="n">
        <v>10</v>
      </c>
      <c r="T578" s="1" t="inlineStr">
        <is>
          <t>active</t>
        </is>
      </c>
      <c r="U578" s="8" t="n"/>
      <c r="V578" s="1" t="inlineStr">
        <is>
          <t>SIN PRECIO</t>
        </is>
      </c>
    </row>
    <row r="579">
      <c r="A579" s="1" t="inlineStr">
        <is>
          <t>36002951405580</t>
        </is>
      </c>
      <c r="B579" s="1" t="inlineStr">
        <is>
          <t>COLLAR CLAVO GOLD CON ZIRCONIA</t>
        </is>
      </c>
      <c r="C579" s="1" t="inlineStr">
        <is>
          <t>40cm de largo x 5cm de extensión</t>
        </is>
      </c>
      <c r="D579" s="1" t="inlineStr">
        <is>
          <t>HAIFENG</t>
        </is>
      </c>
      <c r="E579" s="4">
        <f>COUNTIF('DETALLE CRONOLÓGICO'!$A$2:$A$4919,$A579)</f>
        <v/>
      </c>
      <c r="F579" s="4">
        <f>SUMIFS('DETALLE CRONOLÓGICO'!$I$2:$I$4919,'DETALLE CRONOLÓGICO'!$A$2:$A$4919,$A579)</f>
        <v/>
      </c>
      <c r="G579" s="1">
        <f>INDEX('DETALLE CRONOLÓGICO'!$D$2:$D$4919,MATCH($A579,'DETALLE CRONOLÓGICO'!$A$2:$A$4919,0))</f>
        <v/>
      </c>
      <c r="H579" s="1">
        <f>INDEX('DETALLE CRONOLÓGICO'!$D$2:$D$4919,MATCH($A579,'DETALLE CRONOLÓGICO'!$A$2:$A$4919,0)+$E579-1)</f>
        <v/>
      </c>
      <c r="I579" s="5">
        <f>IFERROR(SUMIFS('DETALLE CRONOLÓGICO'!$L$2:$L$4919,'DETALLE CRONOLÓGICO'!$A$2:$A$4919,$A579)/$F579,"")</f>
        <v/>
      </c>
      <c r="J579" s="6">
        <f>IFERROR(SUMIFS('DETALLE CRONOLÓGICO'!$K$2:$K$4919,'DETALLE CRONOLÓGICO'!$A$2:$A$4919,$A579)/$E579,"")</f>
        <v/>
      </c>
      <c r="K579" s="6">
        <f>_xlfn.MINIFS('DETALLE CRONOLÓGICO'!$K$2:$K$4919,'DETALLE CRONOLÓGICO'!$A$2:$A$4919,$A579)</f>
        <v/>
      </c>
      <c r="L579" s="6">
        <f>_xlfn.MAXIFS('DETALLE CRONOLÓGICO'!$K$2:$K$4919,'DETALLE CRONOLÓGICO'!$A$2:$A$4919,$A579)</f>
        <v/>
      </c>
      <c r="M579" s="6">
        <f>INDEX('DETALLE CRONOLÓGICO'!$K$2:$K$4919,MATCH($A579,'DETALLE CRONOLÓGICO'!$A$2:$A$4919,0)+$E579-1)</f>
        <v/>
      </c>
      <c r="N579" s="7">
        <f>IFERROR($M579/INDEX('DETALLE CRONOLÓGICO'!$K$2:$K$4919,MATCH($A579,'DETALLE CRONOLÓGICO'!$A$2:$A$4919,0))-1,"")</f>
        <v/>
      </c>
      <c r="O579" s="6">
        <f>IFERROR($I579*3,"")</f>
        <v/>
      </c>
      <c r="P579" s="6">
        <f>IFERROR($I579*3.5,"")</f>
        <v/>
      </c>
      <c r="Q579" s="6">
        <f>IFERROR($I579*4,"")</f>
        <v/>
      </c>
      <c r="R579" s="6" t="n">
        <v>618</v>
      </c>
      <c r="S579" s="4" t="n">
        <v>11</v>
      </c>
      <c r="T579" s="1" t="inlineStr">
        <is>
          <t>active</t>
        </is>
      </c>
      <c r="U579" s="8" t="n"/>
      <c r="V579" s="1" t="inlineStr">
        <is>
          <t>SIN PRECIO</t>
        </is>
      </c>
    </row>
    <row r="580">
      <c r="A580" s="1" t="inlineStr">
        <is>
          <t>36002955634060</t>
        </is>
      </c>
      <c r="B580" s="1" t="n"/>
      <c r="C580" s="1" t="inlineStr">
        <is>
          <t>45cm</t>
        </is>
      </c>
      <c r="D580" s="1" t="inlineStr">
        <is>
          <t>CYNTHIA</t>
        </is>
      </c>
      <c r="E580" s="4">
        <f>COUNTIF('DETALLE CRONOLÓGICO'!$A$2:$A$4919,$A580)</f>
        <v/>
      </c>
      <c r="F580" s="4">
        <f>SUMIFS('DETALLE CRONOLÓGICO'!$I$2:$I$4919,'DETALLE CRONOLÓGICO'!$A$2:$A$4919,$A580)</f>
        <v/>
      </c>
      <c r="G580" s="1">
        <f>INDEX('DETALLE CRONOLÓGICO'!$D$2:$D$4919,MATCH($A580,'DETALLE CRONOLÓGICO'!$A$2:$A$4919,0))</f>
        <v/>
      </c>
      <c r="H580" s="1">
        <f>INDEX('DETALLE CRONOLÓGICO'!$D$2:$D$4919,MATCH($A580,'DETALLE CRONOLÓGICO'!$A$2:$A$4919,0)+$E580-1)</f>
        <v/>
      </c>
      <c r="I580" s="5">
        <f>IFERROR(SUMIFS('DETALLE CRONOLÓGICO'!$L$2:$L$4919,'DETALLE CRONOLÓGICO'!$A$2:$A$4919,$A580)/$F580,"")</f>
        <v/>
      </c>
      <c r="J580" s="6">
        <f>IFERROR(SUMIFS('DETALLE CRONOLÓGICO'!$K$2:$K$4919,'DETALLE CRONOLÓGICO'!$A$2:$A$4919,$A580)/$E580,"")</f>
        <v/>
      </c>
      <c r="K580" s="6">
        <f>_xlfn.MINIFS('DETALLE CRONOLÓGICO'!$K$2:$K$4919,'DETALLE CRONOLÓGICO'!$A$2:$A$4919,$A580)</f>
        <v/>
      </c>
      <c r="L580" s="6">
        <f>_xlfn.MAXIFS('DETALLE CRONOLÓGICO'!$K$2:$K$4919,'DETALLE CRONOLÓGICO'!$A$2:$A$4919,$A580)</f>
        <v/>
      </c>
      <c r="M580" s="6">
        <f>INDEX('DETALLE CRONOLÓGICO'!$K$2:$K$4919,MATCH($A580,'DETALLE CRONOLÓGICO'!$A$2:$A$4919,0)+$E580-1)</f>
        <v/>
      </c>
      <c r="N580" s="7">
        <f>IFERROR($M580/INDEX('DETALLE CRONOLÓGICO'!$K$2:$K$4919,MATCH($A580,'DETALLE CRONOLÓGICO'!$A$2:$A$4919,0))-1,"")</f>
        <v/>
      </c>
      <c r="O580" s="6">
        <f>IFERROR($I580*3,"")</f>
        <v/>
      </c>
      <c r="P580" s="6">
        <f>IFERROR($I580*3.5,"")</f>
        <v/>
      </c>
      <c r="Q580" s="6">
        <f>IFERROR($I580*4,"")</f>
        <v/>
      </c>
      <c r="R580" s="6" t="n">
        <v>1099</v>
      </c>
      <c r="S580" s="4" t="n">
        <v>0</v>
      </c>
      <c r="T580" s="1" t="inlineStr">
        <is>
          <t>active</t>
        </is>
      </c>
      <c r="U580" s="8" t="n"/>
      <c r="V580" s="1" t="inlineStr">
        <is>
          <t>SIN PRECIO</t>
        </is>
      </c>
    </row>
    <row r="581">
      <c r="A581" s="1" t="inlineStr">
        <is>
          <t>36002958128780</t>
        </is>
      </c>
      <c r="B581" s="1" t="inlineStr">
        <is>
          <t>COLLAR CLAVO GOLD MZ</t>
        </is>
      </c>
      <c r="C581" s="1" t="inlineStr">
        <is>
          <t>42cm de largo x 3cm de extensión</t>
        </is>
      </c>
      <c r="D581" s="1" t="inlineStr">
        <is>
          <t>HAIFENG</t>
        </is>
      </c>
      <c r="E581" s="4">
        <f>COUNTIF('DETALLE CRONOLÓGICO'!$A$2:$A$4919,$A581)</f>
        <v/>
      </c>
      <c r="F581" s="4">
        <f>SUMIFS('DETALLE CRONOLÓGICO'!$I$2:$I$4919,'DETALLE CRONOLÓGICO'!$A$2:$A$4919,$A581)</f>
        <v/>
      </c>
      <c r="G581" s="1">
        <f>INDEX('DETALLE CRONOLÓGICO'!$D$2:$D$4919,MATCH($A581,'DETALLE CRONOLÓGICO'!$A$2:$A$4919,0))</f>
        <v/>
      </c>
      <c r="H581" s="1">
        <f>INDEX('DETALLE CRONOLÓGICO'!$D$2:$D$4919,MATCH($A581,'DETALLE CRONOLÓGICO'!$A$2:$A$4919,0)+$E581-1)</f>
        <v/>
      </c>
      <c r="I581" s="5">
        <f>IFERROR(SUMIFS('DETALLE CRONOLÓGICO'!$L$2:$L$4919,'DETALLE CRONOLÓGICO'!$A$2:$A$4919,$A581)/$F581,"")</f>
        <v/>
      </c>
      <c r="J581" s="6">
        <f>IFERROR(SUMIFS('DETALLE CRONOLÓGICO'!$K$2:$K$4919,'DETALLE CRONOLÓGICO'!$A$2:$A$4919,$A581)/$E581,"")</f>
        <v/>
      </c>
      <c r="K581" s="6">
        <f>_xlfn.MINIFS('DETALLE CRONOLÓGICO'!$K$2:$K$4919,'DETALLE CRONOLÓGICO'!$A$2:$A$4919,$A581)</f>
        <v/>
      </c>
      <c r="L581" s="6">
        <f>_xlfn.MAXIFS('DETALLE CRONOLÓGICO'!$K$2:$K$4919,'DETALLE CRONOLÓGICO'!$A$2:$A$4919,$A581)</f>
        <v/>
      </c>
      <c r="M581" s="6">
        <f>INDEX('DETALLE CRONOLÓGICO'!$K$2:$K$4919,MATCH($A581,'DETALLE CRONOLÓGICO'!$A$2:$A$4919,0)+$E581-1)</f>
        <v/>
      </c>
      <c r="N581" s="7">
        <f>IFERROR($M581/INDEX('DETALLE CRONOLÓGICO'!$K$2:$K$4919,MATCH($A581,'DETALLE CRONOLÓGICO'!$A$2:$A$4919,0))-1,"")</f>
        <v/>
      </c>
      <c r="O581" s="6">
        <f>IFERROR($I581*3,"")</f>
        <v/>
      </c>
      <c r="P581" s="6">
        <f>IFERROR($I581*3.5,"")</f>
        <v/>
      </c>
      <c r="Q581" s="6">
        <f>IFERROR($I581*4,"")</f>
        <v/>
      </c>
      <c r="R581" s="6" t="n">
        <v>599</v>
      </c>
      <c r="S581" s="4" t="n">
        <v>5</v>
      </c>
      <c r="T581" s="1" t="inlineStr">
        <is>
          <t>active</t>
        </is>
      </c>
      <c r="U581" s="8" t="n"/>
      <c r="V581" s="1" t="inlineStr">
        <is>
          <t>SIN PRECIO</t>
        </is>
      </c>
    </row>
    <row r="582">
      <c r="A582" s="1" t="inlineStr">
        <is>
          <t>36568531067821</t>
        </is>
      </c>
      <c r="B582" s="1" t="inlineStr">
        <is>
          <t>ARETES MM SILVER</t>
        </is>
      </c>
      <c r="C582" s="1" t="inlineStr">
        <is>
          <t>Default Title</t>
        </is>
      </c>
      <c r="D582" s="1" t="inlineStr">
        <is>
          <t>HAIFENG</t>
        </is>
      </c>
      <c r="E582" s="4">
        <f>COUNTIF('DETALLE CRONOLÓGICO'!$A$2:$A$4919,$A582)</f>
        <v/>
      </c>
      <c r="F582" s="4">
        <f>SUMIFS('DETALLE CRONOLÓGICO'!$I$2:$I$4919,'DETALLE CRONOLÓGICO'!$A$2:$A$4919,$A582)</f>
        <v/>
      </c>
      <c r="G582" s="1">
        <f>INDEX('DETALLE CRONOLÓGICO'!$D$2:$D$4919,MATCH($A582,'DETALLE CRONOLÓGICO'!$A$2:$A$4919,0))</f>
        <v/>
      </c>
      <c r="H582" s="1">
        <f>INDEX('DETALLE CRONOLÓGICO'!$D$2:$D$4919,MATCH($A582,'DETALLE CRONOLÓGICO'!$A$2:$A$4919,0)+$E582-1)</f>
        <v/>
      </c>
      <c r="I582" s="5">
        <f>IFERROR(SUMIFS('DETALLE CRONOLÓGICO'!$L$2:$L$4919,'DETALLE CRONOLÓGICO'!$A$2:$A$4919,$A582)/$F582,"")</f>
        <v/>
      </c>
      <c r="J582" s="6">
        <f>IFERROR(SUMIFS('DETALLE CRONOLÓGICO'!$K$2:$K$4919,'DETALLE CRONOLÓGICO'!$A$2:$A$4919,$A582)/$E582,"")</f>
        <v/>
      </c>
      <c r="K582" s="6">
        <f>_xlfn.MINIFS('DETALLE CRONOLÓGICO'!$K$2:$K$4919,'DETALLE CRONOLÓGICO'!$A$2:$A$4919,$A582)</f>
        <v/>
      </c>
      <c r="L582" s="6">
        <f>_xlfn.MAXIFS('DETALLE CRONOLÓGICO'!$K$2:$K$4919,'DETALLE CRONOLÓGICO'!$A$2:$A$4919,$A582)</f>
        <v/>
      </c>
      <c r="M582" s="6">
        <f>INDEX('DETALLE CRONOLÓGICO'!$K$2:$K$4919,MATCH($A582,'DETALLE CRONOLÓGICO'!$A$2:$A$4919,0)+$E582-1)</f>
        <v/>
      </c>
      <c r="N582" s="7">
        <f>IFERROR($M582/INDEX('DETALLE CRONOLÓGICO'!$K$2:$K$4919,MATCH($A582,'DETALLE CRONOLÓGICO'!$A$2:$A$4919,0))-1,"")</f>
        <v/>
      </c>
      <c r="O582" s="6">
        <f>IFERROR($I582*3,"")</f>
        <v/>
      </c>
      <c r="P582" s="6">
        <f>IFERROR($I582*3.5,"")</f>
        <v/>
      </c>
      <c r="Q582" s="6">
        <f>IFERROR($I582*4,"")</f>
        <v/>
      </c>
      <c r="R582" s="6" t="n">
        <v>599</v>
      </c>
      <c r="S582" s="4" t="n">
        <v>3</v>
      </c>
      <c r="T582" s="1" t="inlineStr">
        <is>
          <t>active</t>
        </is>
      </c>
      <c r="U582" s="8" t="n"/>
      <c r="V582" s="1" t="inlineStr">
        <is>
          <t>SIN PRECIO</t>
        </is>
      </c>
    </row>
    <row r="583">
      <c r="A583" s="1" t="inlineStr">
        <is>
          <t>37309581067981</t>
        </is>
      </c>
      <c r="B583" s="1" t="inlineStr">
        <is>
          <t>HOODIE ALLS BLACK</t>
        </is>
      </c>
      <c r="C583" s="1" t="inlineStr">
        <is>
          <t>M</t>
        </is>
      </c>
      <c r="D583" s="1" t="inlineStr">
        <is>
          <t>ZOEY</t>
        </is>
      </c>
      <c r="E583" s="4">
        <f>COUNTIF('DETALLE CRONOLÓGICO'!$A$2:$A$4919,$A583)</f>
        <v/>
      </c>
      <c r="F583" s="4">
        <f>SUMIFS('DETALLE CRONOLÓGICO'!$I$2:$I$4919,'DETALLE CRONOLÓGICO'!$A$2:$A$4919,$A583)</f>
        <v/>
      </c>
      <c r="G583" s="1">
        <f>INDEX('DETALLE CRONOLÓGICO'!$D$2:$D$4919,MATCH($A583,'DETALLE CRONOLÓGICO'!$A$2:$A$4919,0))</f>
        <v/>
      </c>
      <c r="H583" s="1">
        <f>INDEX('DETALLE CRONOLÓGICO'!$D$2:$D$4919,MATCH($A583,'DETALLE CRONOLÓGICO'!$A$2:$A$4919,0)+$E583-1)</f>
        <v/>
      </c>
      <c r="I583" s="5">
        <f>IFERROR(SUMIFS('DETALLE CRONOLÓGICO'!$L$2:$L$4919,'DETALLE CRONOLÓGICO'!$A$2:$A$4919,$A583)/$F583,"")</f>
        <v/>
      </c>
      <c r="J583" s="6">
        <f>IFERROR(SUMIFS('DETALLE CRONOLÓGICO'!$K$2:$K$4919,'DETALLE CRONOLÓGICO'!$A$2:$A$4919,$A583)/$E583,"")</f>
        <v/>
      </c>
      <c r="K583" s="6">
        <f>_xlfn.MINIFS('DETALLE CRONOLÓGICO'!$K$2:$K$4919,'DETALLE CRONOLÓGICO'!$A$2:$A$4919,$A583)</f>
        <v/>
      </c>
      <c r="L583" s="6">
        <f>_xlfn.MAXIFS('DETALLE CRONOLÓGICO'!$K$2:$K$4919,'DETALLE CRONOLÓGICO'!$A$2:$A$4919,$A583)</f>
        <v/>
      </c>
      <c r="M583" s="6">
        <f>INDEX('DETALLE CRONOLÓGICO'!$K$2:$K$4919,MATCH($A583,'DETALLE CRONOLÓGICO'!$A$2:$A$4919,0)+$E583-1)</f>
        <v/>
      </c>
      <c r="N583" s="7">
        <f>IFERROR($M583/INDEX('DETALLE CRONOLÓGICO'!$K$2:$K$4919,MATCH($A583,'DETALLE CRONOLÓGICO'!$A$2:$A$4919,0))-1,"")</f>
        <v/>
      </c>
      <c r="O583" s="6">
        <f>IFERROR($I583*3,"")</f>
        <v/>
      </c>
      <c r="P583" s="6">
        <f>IFERROR($I583*3.5,"")</f>
        <v/>
      </c>
      <c r="Q583" s="6">
        <f>IFERROR($I583*4,"")</f>
        <v/>
      </c>
      <c r="R583" s="6" t="n">
        <v>1449</v>
      </c>
      <c r="S583" s="4" t="n">
        <v>1</v>
      </c>
      <c r="T583" s="1" t="inlineStr">
        <is>
          <t>active</t>
        </is>
      </c>
      <c r="U583" s="8" t="n"/>
      <c r="V583" s="1" t="inlineStr">
        <is>
          <t>SIN PRECIO</t>
        </is>
      </c>
    </row>
    <row r="584">
      <c r="A584" s="1" t="inlineStr">
        <is>
          <t>37319811028493</t>
        </is>
      </c>
      <c r="B584" s="1" t="inlineStr">
        <is>
          <t>BOLSO LADY D NUDE</t>
        </is>
      </c>
      <c r="C584" s="1" t="inlineStr">
        <is>
          <t>15 cm alto x 17.5 cm de largo x 8 cm de ancho</t>
        </is>
      </c>
      <c r="D584" s="1" t="inlineStr">
        <is>
          <t>ZOEY</t>
        </is>
      </c>
      <c r="E584" s="4">
        <f>COUNTIF('DETALLE CRONOLÓGICO'!$A$2:$A$4919,$A584)</f>
        <v/>
      </c>
      <c r="F584" s="4">
        <f>SUMIFS('DETALLE CRONOLÓGICO'!$I$2:$I$4919,'DETALLE CRONOLÓGICO'!$A$2:$A$4919,$A584)</f>
        <v/>
      </c>
      <c r="G584" s="1">
        <f>INDEX('DETALLE CRONOLÓGICO'!$D$2:$D$4919,MATCH($A584,'DETALLE CRONOLÓGICO'!$A$2:$A$4919,0))</f>
        <v/>
      </c>
      <c r="H584" s="1">
        <f>INDEX('DETALLE CRONOLÓGICO'!$D$2:$D$4919,MATCH($A584,'DETALLE CRONOLÓGICO'!$A$2:$A$4919,0)+$E584-1)</f>
        <v/>
      </c>
      <c r="I584" s="5">
        <f>IFERROR(SUMIFS('DETALLE CRONOLÓGICO'!$L$2:$L$4919,'DETALLE CRONOLÓGICO'!$A$2:$A$4919,$A584)/$F584,"")</f>
        <v/>
      </c>
      <c r="J584" s="6">
        <f>IFERROR(SUMIFS('DETALLE CRONOLÓGICO'!$K$2:$K$4919,'DETALLE CRONOLÓGICO'!$A$2:$A$4919,$A584)/$E584,"")</f>
        <v/>
      </c>
      <c r="K584" s="6">
        <f>_xlfn.MINIFS('DETALLE CRONOLÓGICO'!$K$2:$K$4919,'DETALLE CRONOLÓGICO'!$A$2:$A$4919,$A584)</f>
        <v/>
      </c>
      <c r="L584" s="6">
        <f>_xlfn.MAXIFS('DETALLE CRONOLÓGICO'!$K$2:$K$4919,'DETALLE CRONOLÓGICO'!$A$2:$A$4919,$A584)</f>
        <v/>
      </c>
      <c r="M584" s="6">
        <f>INDEX('DETALLE CRONOLÓGICO'!$K$2:$K$4919,MATCH($A584,'DETALLE CRONOLÓGICO'!$A$2:$A$4919,0)+$E584-1)</f>
        <v/>
      </c>
      <c r="N584" s="7">
        <f>IFERROR($M584/INDEX('DETALLE CRONOLÓGICO'!$K$2:$K$4919,MATCH($A584,'DETALLE CRONOLÓGICO'!$A$2:$A$4919,0))-1,"")</f>
        <v/>
      </c>
      <c r="O584" s="6">
        <f>IFERROR($I584*3,"")</f>
        <v/>
      </c>
      <c r="P584" s="6">
        <f>IFERROR($I584*3.5,"")</f>
        <v/>
      </c>
      <c r="Q584" s="6">
        <f>IFERROR($I584*4,"")</f>
        <v/>
      </c>
      <c r="R584" s="6" t="n">
        <v>5739</v>
      </c>
      <c r="S584" s="4" t="n">
        <v>3</v>
      </c>
      <c r="T584" s="1" t="inlineStr">
        <is>
          <t>active</t>
        </is>
      </c>
      <c r="U584" s="8" t="n"/>
      <c r="V584" s="1" t="inlineStr">
        <is>
          <t>SIN PRECIO</t>
        </is>
      </c>
    </row>
    <row r="585">
      <c r="A585" s="1" t="inlineStr">
        <is>
          <t>37491240998540</t>
        </is>
      </c>
      <c r="B585" s="1" t="inlineStr">
        <is>
          <t>PULSERA C D’AMOUR GOLD</t>
        </is>
      </c>
      <c r="C585" s="1" t="inlineStr">
        <is>
          <t>16cm con 3cm de extensión</t>
        </is>
      </c>
      <c r="D585" s="1" t="inlineStr">
        <is>
          <t>HAIFENG</t>
        </is>
      </c>
      <c r="E585" s="4">
        <f>COUNTIF('DETALLE CRONOLÓGICO'!$A$2:$A$4919,$A585)</f>
        <v/>
      </c>
      <c r="F585" s="4">
        <f>SUMIFS('DETALLE CRONOLÓGICO'!$I$2:$I$4919,'DETALLE CRONOLÓGICO'!$A$2:$A$4919,$A585)</f>
        <v/>
      </c>
      <c r="G585" s="1">
        <f>INDEX('DETALLE CRONOLÓGICO'!$D$2:$D$4919,MATCH($A585,'DETALLE CRONOLÓGICO'!$A$2:$A$4919,0))</f>
        <v/>
      </c>
      <c r="H585" s="1">
        <f>INDEX('DETALLE CRONOLÓGICO'!$D$2:$D$4919,MATCH($A585,'DETALLE CRONOLÓGICO'!$A$2:$A$4919,0)+$E585-1)</f>
        <v/>
      </c>
      <c r="I585" s="5">
        <f>IFERROR(SUMIFS('DETALLE CRONOLÓGICO'!$L$2:$L$4919,'DETALLE CRONOLÓGICO'!$A$2:$A$4919,$A585)/$F585,"")</f>
        <v/>
      </c>
      <c r="J585" s="6">
        <f>IFERROR(SUMIFS('DETALLE CRONOLÓGICO'!$K$2:$K$4919,'DETALLE CRONOLÓGICO'!$A$2:$A$4919,$A585)/$E585,"")</f>
        <v/>
      </c>
      <c r="K585" s="6">
        <f>_xlfn.MINIFS('DETALLE CRONOLÓGICO'!$K$2:$K$4919,'DETALLE CRONOLÓGICO'!$A$2:$A$4919,$A585)</f>
        <v/>
      </c>
      <c r="L585" s="6">
        <f>_xlfn.MAXIFS('DETALLE CRONOLÓGICO'!$K$2:$K$4919,'DETALLE CRONOLÓGICO'!$A$2:$A$4919,$A585)</f>
        <v/>
      </c>
      <c r="M585" s="6">
        <f>INDEX('DETALLE CRONOLÓGICO'!$K$2:$K$4919,MATCH($A585,'DETALLE CRONOLÓGICO'!$A$2:$A$4919,0)+$E585-1)</f>
        <v/>
      </c>
      <c r="N585" s="7">
        <f>IFERROR($M585/INDEX('DETALLE CRONOLÓGICO'!$K$2:$K$4919,MATCH($A585,'DETALLE CRONOLÓGICO'!$A$2:$A$4919,0))-1,"")</f>
        <v/>
      </c>
      <c r="O585" s="6">
        <f>IFERROR($I585*3,"")</f>
        <v/>
      </c>
      <c r="P585" s="6">
        <f>IFERROR($I585*3.5,"")</f>
        <v/>
      </c>
      <c r="Q585" s="6">
        <f>IFERROR($I585*4,"")</f>
        <v/>
      </c>
      <c r="R585" s="6" t="n">
        <v>450</v>
      </c>
      <c r="S585" s="4" t="n">
        <v>2</v>
      </c>
      <c r="T585" s="1" t="inlineStr">
        <is>
          <t>active</t>
        </is>
      </c>
      <c r="U585" s="8" t="n"/>
      <c r="V585" s="1" t="inlineStr">
        <is>
          <t>SIN PRECIO</t>
        </is>
      </c>
    </row>
    <row r="586">
      <c r="A586" s="1" t="inlineStr">
        <is>
          <t>37491250366220</t>
        </is>
      </c>
      <c r="B586" s="1" t="inlineStr">
        <is>
          <t>ARETES FLOWER VF</t>
        </is>
      </c>
      <c r="C586" s="1" t="inlineStr">
        <is>
          <t>Default Title</t>
        </is>
      </c>
      <c r="D586" s="1" t="inlineStr">
        <is>
          <t>HAIFENG</t>
        </is>
      </c>
      <c r="E586" s="4">
        <f>COUNTIF('DETALLE CRONOLÓGICO'!$A$2:$A$4919,$A586)</f>
        <v/>
      </c>
      <c r="F586" s="4">
        <f>SUMIFS('DETALLE CRONOLÓGICO'!$I$2:$I$4919,'DETALLE CRONOLÓGICO'!$A$2:$A$4919,$A586)</f>
        <v/>
      </c>
      <c r="G586" s="1">
        <f>INDEX('DETALLE CRONOLÓGICO'!$D$2:$D$4919,MATCH($A586,'DETALLE CRONOLÓGICO'!$A$2:$A$4919,0))</f>
        <v/>
      </c>
      <c r="H586" s="1">
        <f>INDEX('DETALLE CRONOLÓGICO'!$D$2:$D$4919,MATCH($A586,'DETALLE CRONOLÓGICO'!$A$2:$A$4919,0)+$E586-1)</f>
        <v/>
      </c>
      <c r="I586" s="5">
        <f>IFERROR(SUMIFS('DETALLE CRONOLÓGICO'!$L$2:$L$4919,'DETALLE CRONOLÓGICO'!$A$2:$A$4919,$A586)/$F586,"")</f>
        <v/>
      </c>
      <c r="J586" s="6">
        <f>IFERROR(SUMIFS('DETALLE CRONOLÓGICO'!$K$2:$K$4919,'DETALLE CRONOLÓGICO'!$A$2:$A$4919,$A586)/$E586,"")</f>
        <v/>
      </c>
      <c r="K586" s="6">
        <f>_xlfn.MINIFS('DETALLE CRONOLÓGICO'!$K$2:$K$4919,'DETALLE CRONOLÓGICO'!$A$2:$A$4919,$A586)</f>
        <v/>
      </c>
      <c r="L586" s="6">
        <f>_xlfn.MAXIFS('DETALLE CRONOLÓGICO'!$K$2:$K$4919,'DETALLE CRONOLÓGICO'!$A$2:$A$4919,$A586)</f>
        <v/>
      </c>
      <c r="M586" s="6">
        <f>INDEX('DETALLE CRONOLÓGICO'!$K$2:$K$4919,MATCH($A586,'DETALLE CRONOLÓGICO'!$A$2:$A$4919,0)+$E586-1)</f>
        <v/>
      </c>
      <c r="N586" s="7">
        <f>IFERROR($M586/INDEX('DETALLE CRONOLÓGICO'!$K$2:$K$4919,MATCH($A586,'DETALLE CRONOLÓGICO'!$A$2:$A$4919,0))-1,"")</f>
        <v/>
      </c>
      <c r="O586" s="6">
        <f>IFERROR($I586*3,"")</f>
        <v/>
      </c>
      <c r="P586" s="6">
        <f>IFERROR($I586*3.5,"")</f>
        <v/>
      </c>
      <c r="Q586" s="6">
        <f>IFERROR($I586*4,"")</f>
        <v/>
      </c>
      <c r="R586" s="6" t="n">
        <v>699</v>
      </c>
      <c r="S586" s="4" t="n">
        <v>3</v>
      </c>
      <c r="T586" s="1" t="inlineStr">
        <is>
          <t>active</t>
        </is>
      </c>
      <c r="U586" s="8" t="n"/>
      <c r="V586" s="1" t="inlineStr">
        <is>
          <t>SIN PRECIO</t>
        </is>
      </c>
    </row>
    <row r="587">
      <c r="A587" s="1" t="inlineStr">
        <is>
          <t>37491253271052</t>
        </is>
      </c>
      <c r="B587" s="1" t="inlineStr">
        <is>
          <t>PULSERA MARIQUITA VF</t>
        </is>
      </c>
      <c r="C587" s="1" t="inlineStr">
        <is>
          <t>17cm con 2cm de extensión</t>
        </is>
      </c>
      <c r="D587" s="1" t="inlineStr">
        <is>
          <t>HAIFENG</t>
        </is>
      </c>
      <c r="E587" s="4">
        <f>COUNTIF('DETALLE CRONOLÓGICO'!$A$2:$A$4919,$A587)</f>
        <v/>
      </c>
      <c r="F587" s="4">
        <f>SUMIFS('DETALLE CRONOLÓGICO'!$I$2:$I$4919,'DETALLE CRONOLÓGICO'!$A$2:$A$4919,$A587)</f>
        <v/>
      </c>
      <c r="G587" s="1">
        <f>INDEX('DETALLE CRONOLÓGICO'!$D$2:$D$4919,MATCH($A587,'DETALLE CRONOLÓGICO'!$A$2:$A$4919,0))</f>
        <v/>
      </c>
      <c r="H587" s="1">
        <f>INDEX('DETALLE CRONOLÓGICO'!$D$2:$D$4919,MATCH($A587,'DETALLE CRONOLÓGICO'!$A$2:$A$4919,0)+$E587-1)</f>
        <v/>
      </c>
      <c r="I587" s="5">
        <f>IFERROR(SUMIFS('DETALLE CRONOLÓGICO'!$L$2:$L$4919,'DETALLE CRONOLÓGICO'!$A$2:$A$4919,$A587)/$F587,"")</f>
        <v/>
      </c>
      <c r="J587" s="6">
        <f>IFERROR(SUMIFS('DETALLE CRONOLÓGICO'!$K$2:$K$4919,'DETALLE CRONOLÓGICO'!$A$2:$A$4919,$A587)/$E587,"")</f>
        <v/>
      </c>
      <c r="K587" s="6">
        <f>_xlfn.MINIFS('DETALLE CRONOLÓGICO'!$K$2:$K$4919,'DETALLE CRONOLÓGICO'!$A$2:$A$4919,$A587)</f>
        <v/>
      </c>
      <c r="L587" s="6">
        <f>_xlfn.MAXIFS('DETALLE CRONOLÓGICO'!$K$2:$K$4919,'DETALLE CRONOLÓGICO'!$A$2:$A$4919,$A587)</f>
        <v/>
      </c>
      <c r="M587" s="6">
        <f>INDEX('DETALLE CRONOLÓGICO'!$K$2:$K$4919,MATCH($A587,'DETALLE CRONOLÓGICO'!$A$2:$A$4919,0)+$E587-1)</f>
        <v/>
      </c>
      <c r="N587" s="7">
        <f>IFERROR($M587/INDEX('DETALLE CRONOLÓGICO'!$K$2:$K$4919,MATCH($A587,'DETALLE CRONOLÓGICO'!$A$2:$A$4919,0))-1,"")</f>
        <v/>
      </c>
      <c r="O587" s="6">
        <f>IFERROR($I587*3,"")</f>
        <v/>
      </c>
      <c r="P587" s="6">
        <f>IFERROR($I587*3.5,"")</f>
        <v/>
      </c>
      <c r="Q587" s="6">
        <f>IFERROR($I587*4,"")</f>
        <v/>
      </c>
      <c r="R587" s="6" t="n">
        <v>520</v>
      </c>
      <c r="S587" s="4" t="n">
        <v>5</v>
      </c>
      <c r="T587" s="1" t="inlineStr">
        <is>
          <t>active</t>
        </is>
      </c>
      <c r="U587" s="8" t="n"/>
      <c r="V587" s="1" t="inlineStr">
        <is>
          <t>SIN PRECIO</t>
        </is>
      </c>
    </row>
    <row r="588">
      <c r="A588" s="1" t="inlineStr">
        <is>
          <t>37491254947980</t>
        </is>
      </c>
      <c r="B588" s="1" t="inlineStr">
        <is>
          <t>COLLAR MARIQUITA VF</t>
        </is>
      </c>
      <c r="C588" s="1" t="inlineStr">
        <is>
          <t>47cm</t>
        </is>
      </c>
      <c r="D588" s="1" t="inlineStr">
        <is>
          <t>HAIFENG</t>
        </is>
      </c>
      <c r="E588" s="4">
        <f>COUNTIF('DETALLE CRONOLÓGICO'!$A$2:$A$4919,$A588)</f>
        <v/>
      </c>
      <c r="F588" s="4">
        <f>SUMIFS('DETALLE CRONOLÓGICO'!$I$2:$I$4919,'DETALLE CRONOLÓGICO'!$A$2:$A$4919,$A588)</f>
        <v/>
      </c>
      <c r="G588" s="1">
        <f>INDEX('DETALLE CRONOLÓGICO'!$D$2:$D$4919,MATCH($A588,'DETALLE CRONOLÓGICO'!$A$2:$A$4919,0))</f>
        <v/>
      </c>
      <c r="H588" s="1">
        <f>INDEX('DETALLE CRONOLÓGICO'!$D$2:$D$4919,MATCH($A588,'DETALLE CRONOLÓGICO'!$A$2:$A$4919,0)+$E588-1)</f>
        <v/>
      </c>
      <c r="I588" s="5">
        <f>IFERROR(SUMIFS('DETALLE CRONOLÓGICO'!$L$2:$L$4919,'DETALLE CRONOLÓGICO'!$A$2:$A$4919,$A588)/$F588,"")</f>
        <v/>
      </c>
      <c r="J588" s="6">
        <f>IFERROR(SUMIFS('DETALLE CRONOLÓGICO'!$K$2:$K$4919,'DETALLE CRONOLÓGICO'!$A$2:$A$4919,$A588)/$E588,"")</f>
        <v/>
      </c>
      <c r="K588" s="6">
        <f>_xlfn.MINIFS('DETALLE CRONOLÓGICO'!$K$2:$K$4919,'DETALLE CRONOLÓGICO'!$A$2:$A$4919,$A588)</f>
        <v/>
      </c>
      <c r="L588" s="6">
        <f>_xlfn.MAXIFS('DETALLE CRONOLÓGICO'!$K$2:$K$4919,'DETALLE CRONOLÓGICO'!$A$2:$A$4919,$A588)</f>
        <v/>
      </c>
      <c r="M588" s="6">
        <f>INDEX('DETALLE CRONOLÓGICO'!$K$2:$K$4919,MATCH($A588,'DETALLE CRONOLÓGICO'!$A$2:$A$4919,0)+$E588-1)</f>
        <v/>
      </c>
      <c r="N588" s="7">
        <f>IFERROR($M588/INDEX('DETALLE CRONOLÓGICO'!$K$2:$K$4919,MATCH($A588,'DETALLE CRONOLÓGICO'!$A$2:$A$4919,0))-1,"")</f>
        <v/>
      </c>
      <c r="O588" s="6">
        <f>IFERROR($I588*3,"")</f>
        <v/>
      </c>
      <c r="P588" s="6">
        <f>IFERROR($I588*3.5,"")</f>
        <v/>
      </c>
      <c r="Q588" s="6">
        <f>IFERROR($I588*4,"")</f>
        <v/>
      </c>
      <c r="R588" s="6" t="n">
        <v>580</v>
      </c>
      <c r="S588" s="4" t="n">
        <v>4</v>
      </c>
      <c r="T588" s="1" t="inlineStr">
        <is>
          <t>active</t>
        </is>
      </c>
      <c r="U588" s="8" t="n"/>
      <c r="V588" s="1" t="inlineStr">
        <is>
          <t>SIN PRECIO</t>
        </is>
      </c>
    </row>
    <row r="589">
      <c r="A589" s="1" t="inlineStr">
        <is>
          <t>37491258087948</t>
        </is>
      </c>
      <c r="B589" s="1" t="inlineStr">
        <is>
          <t>ARETES TRINITY DIAMOND</t>
        </is>
      </c>
      <c r="C589" s="1" t="inlineStr">
        <is>
          <t>Default Title</t>
        </is>
      </c>
      <c r="D589" s="1" t="inlineStr">
        <is>
          <t>HAIFENG</t>
        </is>
      </c>
      <c r="E589" s="4">
        <f>COUNTIF('DETALLE CRONOLÓGICO'!$A$2:$A$4919,$A589)</f>
        <v/>
      </c>
      <c r="F589" s="4">
        <f>SUMIFS('DETALLE CRONOLÓGICO'!$I$2:$I$4919,'DETALLE CRONOLÓGICO'!$A$2:$A$4919,$A589)</f>
        <v/>
      </c>
      <c r="G589" s="1">
        <f>INDEX('DETALLE CRONOLÓGICO'!$D$2:$D$4919,MATCH($A589,'DETALLE CRONOLÓGICO'!$A$2:$A$4919,0))</f>
        <v/>
      </c>
      <c r="H589" s="1">
        <f>INDEX('DETALLE CRONOLÓGICO'!$D$2:$D$4919,MATCH($A589,'DETALLE CRONOLÓGICO'!$A$2:$A$4919,0)+$E589-1)</f>
        <v/>
      </c>
      <c r="I589" s="5">
        <f>IFERROR(SUMIFS('DETALLE CRONOLÓGICO'!$L$2:$L$4919,'DETALLE CRONOLÓGICO'!$A$2:$A$4919,$A589)/$F589,"")</f>
        <v/>
      </c>
      <c r="J589" s="6">
        <f>IFERROR(SUMIFS('DETALLE CRONOLÓGICO'!$K$2:$K$4919,'DETALLE CRONOLÓGICO'!$A$2:$A$4919,$A589)/$E589,"")</f>
        <v/>
      </c>
      <c r="K589" s="6">
        <f>_xlfn.MINIFS('DETALLE CRONOLÓGICO'!$K$2:$K$4919,'DETALLE CRONOLÓGICO'!$A$2:$A$4919,$A589)</f>
        <v/>
      </c>
      <c r="L589" s="6">
        <f>_xlfn.MAXIFS('DETALLE CRONOLÓGICO'!$K$2:$K$4919,'DETALLE CRONOLÓGICO'!$A$2:$A$4919,$A589)</f>
        <v/>
      </c>
      <c r="M589" s="6">
        <f>INDEX('DETALLE CRONOLÓGICO'!$K$2:$K$4919,MATCH($A589,'DETALLE CRONOLÓGICO'!$A$2:$A$4919,0)+$E589-1)</f>
        <v/>
      </c>
      <c r="N589" s="7">
        <f>IFERROR($M589/INDEX('DETALLE CRONOLÓGICO'!$K$2:$K$4919,MATCH($A589,'DETALLE CRONOLÓGICO'!$A$2:$A$4919,0))-1,"")</f>
        <v/>
      </c>
      <c r="O589" s="6">
        <f>IFERROR($I589*3,"")</f>
        <v/>
      </c>
      <c r="P589" s="6">
        <f>IFERROR($I589*3.5,"")</f>
        <v/>
      </c>
      <c r="Q589" s="6">
        <f>IFERROR($I589*4,"")</f>
        <v/>
      </c>
      <c r="R589" s="6" t="n">
        <v>599</v>
      </c>
      <c r="S589" s="4" t="n">
        <v>10</v>
      </c>
      <c r="T589" s="1" t="inlineStr">
        <is>
          <t>active</t>
        </is>
      </c>
      <c r="U589" s="8" t="n"/>
      <c r="V589" s="1" t="inlineStr">
        <is>
          <t>SIN PRECIO</t>
        </is>
      </c>
    </row>
    <row r="590">
      <c r="A590" s="1" t="inlineStr">
        <is>
          <t>37491258394380</t>
        </is>
      </c>
      <c r="B590" s="1" t="inlineStr">
        <is>
          <t>COLLAR FLOWER VF</t>
        </is>
      </c>
      <c r="C590" s="1" t="inlineStr">
        <is>
          <t>45cm</t>
        </is>
      </c>
      <c r="D590" s="1" t="inlineStr">
        <is>
          <t>HAIFENG</t>
        </is>
      </c>
      <c r="E590" s="4">
        <f>COUNTIF('DETALLE CRONOLÓGICO'!$A$2:$A$4919,$A590)</f>
        <v/>
      </c>
      <c r="F590" s="4">
        <f>SUMIFS('DETALLE CRONOLÓGICO'!$I$2:$I$4919,'DETALLE CRONOLÓGICO'!$A$2:$A$4919,$A590)</f>
        <v/>
      </c>
      <c r="G590" s="1">
        <f>INDEX('DETALLE CRONOLÓGICO'!$D$2:$D$4919,MATCH($A590,'DETALLE CRONOLÓGICO'!$A$2:$A$4919,0))</f>
        <v/>
      </c>
      <c r="H590" s="1">
        <f>INDEX('DETALLE CRONOLÓGICO'!$D$2:$D$4919,MATCH($A590,'DETALLE CRONOLÓGICO'!$A$2:$A$4919,0)+$E590-1)</f>
        <v/>
      </c>
      <c r="I590" s="5">
        <f>IFERROR(SUMIFS('DETALLE CRONOLÓGICO'!$L$2:$L$4919,'DETALLE CRONOLÓGICO'!$A$2:$A$4919,$A590)/$F590,"")</f>
        <v/>
      </c>
      <c r="J590" s="6">
        <f>IFERROR(SUMIFS('DETALLE CRONOLÓGICO'!$K$2:$K$4919,'DETALLE CRONOLÓGICO'!$A$2:$A$4919,$A590)/$E590,"")</f>
        <v/>
      </c>
      <c r="K590" s="6">
        <f>_xlfn.MINIFS('DETALLE CRONOLÓGICO'!$K$2:$K$4919,'DETALLE CRONOLÓGICO'!$A$2:$A$4919,$A590)</f>
        <v/>
      </c>
      <c r="L590" s="6">
        <f>_xlfn.MAXIFS('DETALLE CRONOLÓGICO'!$K$2:$K$4919,'DETALLE CRONOLÓGICO'!$A$2:$A$4919,$A590)</f>
        <v/>
      </c>
      <c r="M590" s="6">
        <f>INDEX('DETALLE CRONOLÓGICO'!$K$2:$K$4919,MATCH($A590,'DETALLE CRONOLÓGICO'!$A$2:$A$4919,0)+$E590-1)</f>
        <v/>
      </c>
      <c r="N590" s="7">
        <f>IFERROR($M590/INDEX('DETALLE CRONOLÓGICO'!$K$2:$K$4919,MATCH($A590,'DETALLE CRONOLÓGICO'!$A$2:$A$4919,0))-1,"")</f>
        <v/>
      </c>
      <c r="O590" s="6">
        <f>IFERROR($I590*3,"")</f>
        <v/>
      </c>
      <c r="P590" s="6">
        <f>IFERROR($I590*3.5,"")</f>
        <v/>
      </c>
      <c r="Q590" s="6">
        <f>IFERROR($I590*4,"")</f>
        <v/>
      </c>
      <c r="R590" s="6" t="n">
        <v>432.6</v>
      </c>
      <c r="S590" s="4" t="n">
        <v>5</v>
      </c>
      <c r="T590" s="1" t="inlineStr">
        <is>
          <t>active</t>
        </is>
      </c>
      <c r="U590" s="8" t="n"/>
      <c r="V590" s="1" t="inlineStr">
        <is>
          <t>SIN PRECIO</t>
        </is>
      </c>
    </row>
    <row r="591">
      <c r="A591" s="1" t="inlineStr">
        <is>
          <t>37635091051341</t>
        </is>
      </c>
      <c r="B591" s="1" t="inlineStr">
        <is>
          <t>LENTES PR EYEWEAR PILOTO</t>
        </is>
      </c>
      <c r="C591" s="1" t="inlineStr">
        <is>
          <t>Default Title</t>
        </is>
      </c>
      <c r="D591" s="1" t="inlineStr">
        <is>
          <t>HAIFENG</t>
        </is>
      </c>
      <c r="E591" s="4">
        <f>COUNTIF('DETALLE CRONOLÓGICO'!$A$2:$A$4919,$A591)</f>
        <v/>
      </c>
      <c r="F591" s="4">
        <f>SUMIFS('DETALLE CRONOLÓGICO'!$I$2:$I$4919,'DETALLE CRONOLÓGICO'!$A$2:$A$4919,$A591)</f>
        <v/>
      </c>
      <c r="G591" s="1">
        <f>INDEX('DETALLE CRONOLÓGICO'!$D$2:$D$4919,MATCH($A591,'DETALLE CRONOLÓGICO'!$A$2:$A$4919,0))</f>
        <v/>
      </c>
      <c r="H591" s="1">
        <f>INDEX('DETALLE CRONOLÓGICO'!$D$2:$D$4919,MATCH($A591,'DETALLE CRONOLÓGICO'!$A$2:$A$4919,0)+$E591-1)</f>
        <v/>
      </c>
      <c r="I591" s="5">
        <f>IFERROR(SUMIFS('DETALLE CRONOLÓGICO'!$L$2:$L$4919,'DETALLE CRONOLÓGICO'!$A$2:$A$4919,$A591)/$F591,"")</f>
        <v/>
      </c>
      <c r="J591" s="6">
        <f>IFERROR(SUMIFS('DETALLE CRONOLÓGICO'!$K$2:$K$4919,'DETALLE CRONOLÓGICO'!$A$2:$A$4919,$A591)/$E591,"")</f>
        <v/>
      </c>
      <c r="K591" s="6">
        <f>_xlfn.MINIFS('DETALLE CRONOLÓGICO'!$K$2:$K$4919,'DETALLE CRONOLÓGICO'!$A$2:$A$4919,$A591)</f>
        <v/>
      </c>
      <c r="L591" s="6">
        <f>_xlfn.MAXIFS('DETALLE CRONOLÓGICO'!$K$2:$K$4919,'DETALLE CRONOLÓGICO'!$A$2:$A$4919,$A591)</f>
        <v/>
      </c>
      <c r="M591" s="6">
        <f>INDEX('DETALLE CRONOLÓGICO'!$K$2:$K$4919,MATCH($A591,'DETALLE CRONOLÓGICO'!$A$2:$A$4919,0)+$E591-1)</f>
        <v/>
      </c>
      <c r="N591" s="7">
        <f>IFERROR($M591/INDEX('DETALLE CRONOLÓGICO'!$K$2:$K$4919,MATCH($A591,'DETALLE CRONOLÓGICO'!$A$2:$A$4919,0))-1,"")</f>
        <v/>
      </c>
      <c r="O591" s="6">
        <f>IFERROR($I591*3,"")</f>
        <v/>
      </c>
      <c r="P591" s="6">
        <f>IFERROR($I591*3.5,"")</f>
        <v/>
      </c>
      <c r="Q591" s="6">
        <f>IFERROR($I591*4,"")</f>
        <v/>
      </c>
      <c r="R591" s="6" t="n">
        <v>2650</v>
      </c>
      <c r="S591" s="4" t="n">
        <v>0</v>
      </c>
      <c r="T591" s="1" t="inlineStr">
        <is>
          <t>active</t>
        </is>
      </c>
      <c r="U591" s="8" t="n"/>
      <c r="V591" s="1" t="inlineStr">
        <is>
          <t>SIN PRECIO</t>
        </is>
      </c>
    </row>
    <row r="592">
      <c r="A592" s="1" t="inlineStr">
        <is>
          <t>38332091054029</t>
        </is>
      </c>
      <c r="B592" s="1" t="inlineStr">
        <is>
          <t>ANILLO T EDGE SILVER</t>
        </is>
      </c>
      <c r="C592" s="1" t="inlineStr">
        <is>
          <t>6</t>
        </is>
      </c>
      <c r="D592" s="1" t="inlineStr">
        <is>
          <t>CYNTHIA</t>
        </is>
      </c>
      <c r="E592" s="4">
        <f>COUNTIF('DETALLE CRONOLÓGICO'!$A$2:$A$4919,$A592)</f>
        <v/>
      </c>
      <c r="F592" s="4">
        <f>SUMIFS('DETALLE CRONOLÓGICO'!$I$2:$I$4919,'DETALLE CRONOLÓGICO'!$A$2:$A$4919,$A592)</f>
        <v/>
      </c>
      <c r="G592" s="1">
        <f>INDEX('DETALLE CRONOLÓGICO'!$D$2:$D$4919,MATCH($A592,'DETALLE CRONOLÓGICO'!$A$2:$A$4919,0))</f>
        <v/>
      </c>
      <c r="H592" s="1">
        <f>INDEX('DETALLE CRONOLÓGICO'!$D$2:$D$4919,MATCH($A592,'DETALLE CRONOLÓGICO'!$A$2:$A$4919,0)+$E592-1)</f>
        <v/>
      </c>
      <c r="I592" s="5">
        <f>IFERROR(SUMIFS('DETALLE CRONOLÓGICO'!$L$2:$L$4919,'DETALLE CRONOLÓGICO'!$A$2:$A$4919,$A592)/$F592,"")</f>
        <v/>
      </c>
      <c r="J592" s="6">
        <f>IFERROR(SUMIFS('DETALLE CRONOLÓGICO'!$K$2:$K$4919,'DETALLE CRONOLÓGICO'!$A$2:$A$4919,$A592)/$E592,"")</f>
        <v/>
      </c>
      <c r="K592" s="6">
        <f>_xlfn.MINIFS('DETALLE CRONOLÓGICO'!$K$2:$K$4919,'DETALLE CRONOLÓGICO'!$A$2:$A$4919,$A592)</f>
        <v/>
      </c>
      <c r="L592" s="6">
        <f>_xlfn.MAXIFS('DETALLE CRONOLÓGICO'!$K$2:$K$4919,'DETALLE CRONOLÓGICO'!$A$2:$A$4919,$A592)</f>
        <v/>
      </c>
      <c r="M592" s="6">
        <f>INDEX('DETALLE CRONOLÓGICO'!$K$2:$K$4919,MATCH($A592,'DETALLE CRONOLÓGICO'!$A$2:$A$4919,0)+$E592-1)</f>
        <v/>
      </c>
      <c r="N592" s="7">
        <f>IFERROR($M592/INDEX('DETALLE CRONOLÓGICO'!$K$2:$K$4919,MATCH($A592,'DETALLE CRONOLÓGICO'!$A$2:$A$4919,0))-1,"")</f>
        <v/>
      </c>
      <c r="O592" s="6">
        <f>IFERROR($I592*3,"")</f>
        <v/>
      </c>
      <c r="P592" s="6">
        <f>IFERROR($I592*3.5,"")</f>
        <v/>
      </c>
      <c r="Q592" s="6">
        <f>IFERROR($I592*4,"")</f>
        <v/>
      </c>
      <c r="R592" s="6" t="n">
        <v>1149</v>
      </c>
      <c r="S592" s="4" t="n">
        <v>2</v>
      </c>
      <c r="T592" s="1" t="inlineStr">
        <is>
          <t>active</t>
        </is>
      </c>
      <c r="U592" s="8" t="n"/>
      <c r="V592" s="1" t="inlineStr">
        <is>
          <t>SIN PRECIO</t>
        </is>
      </c>
    </row>
    <row r="593">
      <c r="A593" s="1" t="inlineStr">
        <is>
          <t>38332091186797</t>
        </is>
      </c>
      <c r="B593" s="1" t="inlineStr">
        <is>
          <t>ANILLO T EDGE SILVER</t>
        </is>
      </c>
      <c r="C593" s="1" t="n">
        <v>7</v>
      </c>
      <c r="D593" s="1" t="inlineStr">
        <is>
          <t>CYNTHIA</t>
        </is>
      </c>
      <c r="E593" s="4">
        <f>COUNTIF('DETALLE CRONOLÓGICO'!$A$2:$A$4919,$A593)</f>
        <v/>
      </c>
      <c r="F593" s="4">
        <f>SUMIFS('DETALLE CRONOLÓGICO'!$I$2:$I$4919,'DETALLE CRONOLÓGICO'!$A$2:$A$4919,$A593)</f>
        <v/>
      </c>
      <c r="G593" s="1">
        <f>INDEX('DETALLE CRONOLÓGICO'!$D$2:$D$4919,MATCH($A593,'DETALLE CRONOLÓGICO'!$A$2:$A$4919,0))</f>
        <v/>
      </c>
      <c r="H593" s="1">
        <f>INDEX('DETALLE CRONOLÓGICO'!$D$2:$D$4919,MATCH($A593,'DETALLE CRONOLÓGICO'!$A$2:$A$4919,0)+$E593-1)</f>
        <v/>
      </c>
      <c r="I593" s="5">
        <f>IFERROR(SUMIFS('DETALLE CRONOLÓGICO'!$L$2:$L$4919,'DETALLE CRONOLÓGICO'!$A$2:$A$4919,$A593)/$F593,"")</f>
        <v/>
      </c>
      <c r="J593" s="6">
        <f>IFERROR(SUMIFS('DETALLE CRONOLÓGICO'!$K$2:$K$4919,'DETALLE CRONOLÓGICO'!$A$2:$A$4919,$A593)/$E593,"")</f>
        <v/>
      </c>
      <c r="K593" s="6">
        <f>_xlfn.MINIFS('DETALLE CRONOLÓGICO'!$K$2:$K$4919,'DETALLE CRONOLÓGICO'!$A$2:$A$4919,$A593)</f>
        <v/>
      </c>
      <c r="L593" s="6">
        <f>_xlfn.MAXIFS('DETALLE CRONOLÓGICO'!$K$2:$K$4919,'DETALLE CRONOLÓGICO'!$A$2:$A$4919,$A593)</f>
        <v/>
      </c>
      <c r="M593" s="6">
        <f>INDEX('DETALLE CRONOLÓGICO'!$K$2:$K$4919,MATCH($A593,'DETALLE CRONOLÓGICO'!$A$2:$A$4919,0)+$E593-1)</f>
        <v/>
      </c>
      <c r="N593" s="7">
        <f>IFERROR($M593/INDEX('DETALLE CRONOLÓGICO'!$K$2:$K$4919,MATCH($A593,'DETALLE CRONOLÓGICO'!$A$2:$A$4919,0))-1,"")</f>
        <v/>
      </c>
      <c r="O593" s="6">
        <f>IFERROR($I593*3,"")</f>
        <v/>
      </c>
      <c r="P593" s="6">
        <f>IFERROR($I593*3.5,"")</f>
        <v/>
      </c>
      <c r="Q593" s="6">
        <f>IFERROR($I593*4,"")</f>
        <v/>
      </c>
      <c r="R593" s="6" t="n">
        <v>1149</v>
      </c>
      <c r="S593" s="4" t="n">
        <v>0</v>
      </c>
      <c r="T593" s="1" t="inlineStr">
        <is>
          <t>active</t>
        </is>
      </c>
      <c r="U593" s="8" t="n"/>
      <c r="V593" s="1" t="inlineStr">
        <is>
          <t>SIN PRECIO</t>
        </is>
      </c>
    </row>
    <row r="594">
      <c r="A594" s="1" t="inlineStr">
        <is>
          <t>38332091487821</t>
        </is>
      </c>
      <c r="B594" s="1" t="inlineStr">
        <is>
          <t>PULSERA LV DOUBLE HEART GOLD-SILVER</t>
        </is>
      </c>
      <c r="C594" s="1" t="inlineStr">
        <is>
          <t>Default Title</t>
        </is>
      </c>
      <c r="D594" s="1" t="inlineStr">
        <is>
          <t>CYNTHIA</t>
        </is>
      </c>
      <c r="E594" s="4">
        <f>COUNTIF('DETALLE CRONOLÓGICO'!$A$2:$A$4919,$A594)</f>
        <v/>
      </c>
      <c r="F594" s="4">
        <f>SUMIFS('DETALLE CRONOLÓGICO'!$I$2:$I$4919,'DETALLE CRONOLÓGICO'!$A$2:$A$4919,$A594)</f>
        <v/>
      </c>
      <c r="G594" s="1">
        <f>INDEX('DETALLE CRONOLÓGICO'!$D$2:$D$4919,MATCH($A594,'DETALLE CRONOLÓGICO'!$A$2:$A$4919,0))</f>
        <v/>
      </c>
      <c r="H594" s="1">
        <f>INDEX('DETALLE CRONOLÓGICO'!$D$2:$D$4919,MATCH($A594,'DETALLE CRONOLÓGICO'!$A$2:$A$4919,0)+$E594-1)</f>
        <v/>
      </c>
      <c r="I594" s="5">
        <f>IFERROR(SUMIFS('DETALLE CRONOLÓGICO'!$L$2:$L$4919,'DETALLE CRONOLÓGICO'!$A$2:$A$4919,$A594)/$F594,"")</f>
        <v/>
      </c>
      <c r="J594" s="6">
        <f>IFERROR(SUMIFS('DETALLE CRONOLÓGICO'!$K$2:$K$4919,'DETALLE CRONOLÓGICO'!$A$2:$A$4919,$A594)/$E594,"")</f>
        <v/>
      </c>
      <c r="K594" s="6">
        <f>_xlfn.MINIFS('DETALLE CRONOLÓGICO'!$K$2:$K$4919,'DETALLE CRONOLÓGICO'!$A$2:$A$4919,$A594)</f>
        <v/>
      </c>
      <c r="L594" s="6">
        <f>_xlfn.MAXIFS('DETALLE CRONOLÓGICO'!$K$2:$K$4919,'DETALLE CRONOLÓGICO'!$A$2:$A$4919,$A594)</f>
        <v/>
      </c>
      <c r="M594" s="6">
        <f>INDEX('DETALLE CRONOLÓGICO'!$K$2:$K$4919,MATCH($A594,'DETALLE CRONOLÓGICO'!$A$2:$A$4919,0)+$E594-1)</f>
        <v/>
      </c>
      <c r="N594" s="7">
        <f>IFERROR($M594/INDEX('DETALLE CRONOLÓGICO'!$K$2:$K$4919,MATCH($A594,'DETALLE CRONOLÓGICO'!$A$2:$A$4919,0))-1,"")</f>
        <v/>
      </c>
      <c r="O594" s="6">
        <f>IFERROR($I594*3,"")</f>
        <v/>
      </c>
      <c r="P594" s="6">
        <f>IFERROR($I594*3.5,"")</f>
        <v/>
      </c>
      <c r="Q594" s="6">
        <f>IFERROR($I594*4,"")</f>
        <v/>
      </c>
      <c r="R594" s="6" t="n">
        <v>479</v>
      </c>
      <c r="S594" s="4" t="n">
        <v>2</v>
      </c>
      <c r="T594" s="1" t="inlineStr">
        <is>
          <t>active</t>
        </is>
      </c>
      <c r="U594" s="8" t="n"/>
      <c r="V594" s="1" t="inlineStr">
        <is>
          <t>SIN PRECIO</t>
        </is>
      </c>
    </row>
    <row r="595">
      <c r="A595" s="1" t="inlineStr">
        <is>
          <t>38332091513773</t>
        </is>
      </c>
      <c r="B595" s="1" t="inlineStr">
        <is>
          <t>ARETES LOGO CC GOLD CON ZIRCONIAS</t>
        </is>
      </c>
      <c r="C595" s="1" t="inlineStr">
        <is>
          <t>Default Title</t>
        </is>
      </c>
      <c r="D595" s="1" t="inlineStr">
        <is>
          <t>CYNTHIA</t>
        </is>
      </c>
      <c r="E595" s="4">
        <f>COUNTIF('DETALLE CRONOLÓGICO'!$A$2:$A$4919,$A595)</f>
        <v/>
      </c>
      <c r="F595" s="4">
        <f>SUMIFS('DETALLE CRONOLÓGICO'!$I$2:$I$4919,'DETALLE CRONOLÓGICO'!$A$2:$A$4919,$A595)</f>
        <v/>
      </c>
      <c r="G595" s="1">
        <f>INDEX('DETALLE CRONOLÓGICO'!$D$2:$D$4919,MATCH($A595,'DETALLE CRONOLÓGICO'!$A$2:$A$4919,0))</f>
        <v/>
      </c>
      <c r="H595" s="1">
        <f>INDEX('DETALLE CRONOLÓGICO'!$D$2:$D$4919,MATCH($A595,'DETALLE CRONOLÓGICO'!$A$2:$A$4919,0)+$E595-1)</f>
        <v/>
      </c>
      <c r="I595" s="5">
        <f>IFERROR(SUMIFS('DETALLE CRONOLÓGICO'!$L$2:$L$4919,'DETALLE CRONOLÓGICO'!$A$2:$A$4919,$A595)/$F595,"")</f>
        <v/>
      </c>
      <c r="J595" s="6">
        <f>IFERROR(SUMIFS('DETALLE CRONOLÓGICO'!$K$2:$K$4919,'DETALLE CRONOLÓGICO'!$A$2:$A$4919,$A595)/$E595,"")</f>
        <v/>
      </c>
      <c r="K595" s="6">
        <f>_xlfn.MINIFS('DETALLE CRONOLÓGICO'!$K$2:$K$4919,'DETALLE CRONOLÓGICO'!$A$2:$A$4919,$A595)</f>
        <v/>
      </c>
      <c r="L595" s="6">
        <f>_xlfn.MAXIFS('DETALLE CRONOLÓGICO'!$K$2:$K$4919,'DETALLE CRONOLÓGICO'!$A$2:$A$4919,$A595)</f>
        <v/>
      </c>
      <c r="M595" s="6">
        <f>INDEX('DETALLE CRONOLÓGICO'!$K$2:$K$4919,MATCH($A595,'DETALLE CRONOLÓGICO'!$A$2:$A$4919,0)+$E595-1)</f>
        <v/>
      </c>
      <c r="N595" s="7">
        <f>IFERROR($M595/INDEX('DETALLE CRONOLÓGICO'!$K$2:$K$4919,MATCH($A595,'DETALLE CRONOLÓGICO'!$A$2:$A$4919,0))-1,"")</f>
        <v/>
      </c>
      <c r="O595" s="6">
        <f>IFERROR($I595*3,"")</f>
        <v/>
      </c>
      <c r="P595" s="6">
        <f>IFERROR($I595*3.5,"")</f>
        <v/>
      </c>
      <c r="Q595" s="6">
        <f>IFERROR($I595*4,"")</f>
        <v/>
      </c>
      <c r="R595" s="6" t="n">
        <v>399</v>
      </c>
      <c r="S595" s="4" t="n">
        <v>0</v>
      </c>
      <c r="T595" s="1" t="inlineStr">
        <is>
          <t>active</t>
        </is>
      </c>
      <c r="U595" s="8" t="n"/>
      <c r="V595" s="1" t="inlineStr">
        <is>
          <t>SIN PRECIO</t>
        </is>
      </c>
    </row>
    <row r="596">
      <c r="A596" s="1" t="inlineStr">
        <is>
          <t>38332091841901</t>
        </is>
      </c>
      <c r="B596" s="1" t="inlineStr">
        <is>
          <t>ARETES LW ANAGRAM GOLD</t>
        </is>
      </c>
      <c r="C596" s="1" t="inlineStr">
        <is>
          <t>Default Title</t>
        </is>
      </c>
      <c r="D596" s="1" t="inlineStr">
        <is>
          <t>CYNTHIA</t>
        </is>
      </c>
      <c r="E596" s="4">
        <f>COUNTIF('DETALLE CRONOLÓGICO'!$A$2:$A$4919,$A596)</f>
        <v/>
      </c>
      <c r="F596" s="4">
        <f>SUMIFS('DETALLE CRONOLÓGICO'!$I$2:$I$4919,'DETALLE CRONOLÓGICO'!$A$2:$A$4919,$A596)</f>
        <v/>
      </c>
      <c r="G596" s="1">
        <f>INDEX('DETALLE CRONOLÓGICO'!$D$2:$D$4919,MATCH($A596,'DETALLE CRONOLÓGICO'!$A$2:$A$4919,0))</f>
        <v/>
      </c>
      <c r="H596" s="1">
        <f>INDEX('DETALLE CRONOLÓGICO'!$D$2:$D$4919,MATCH($A596,'DETALLE CRONOLÓGICO'!$A$2:$A$4919,0)+$E596-1)</f>
        <v/>
      </c>
      <c r="I596" s="5">
        <f>IFERROR(SUMIFS('DETALLE CRONOLÓGICO'!$L$2:$L$4919,'DETALLE CRONOLÓGICO'!$A$2:$A$4919,$A596)/$F596,"")</f>
        <v/>
      </c>
      <c r="J596" s="6">
        <f>IFERROR(SUMIFS('DETALLE CRONOLÓGICO'!$K$2:$K$4919,'DETALLE CRONOLÓGICO'!$A$2:$A$4919,$A596)/$E596,"")</f>
        <v/>
      </c>
      <c r="K596" s="6">
        <f>_xlfn.MINIFS('DETALLE CRONOLÓGICO'!$K$2:$K$4919,'DETALLE CRONOLÓGICO'!$A$2:$A$4919,$A596)</f>
        <v/>
      </c>
      <c r="L596" s="6">
        <f>_xlfn.MAXIFS('DETALLE CRONOLÓGICO'!$K$2:$K$4919,'DETALLE CRONOLÓGICO'!$A$2:$A$4919,$A596)</f>
        <v/>
      </c>
      <c r="M596" s="6">
        <f>INDEX('DETALLE CRONOLÓGICO'!$K$2:$K$4919,MATCH($A596,'DETALLE CRONOLÓGICO'!$A$2:$A$4919,0)+$E596-1)</f>
        <v/>
      </c>
      <c r="N596" s="7">
        <f>IFERROR($M596/INDEX('DETALLE CRONOLÓGICO'!$K$2:$K$4919,MATCH($A596,'DETALLE CRONOLÓGICO'!$A$2:$A$4919,0))-1,"")</f>
        <v/>
      </c>
      <c r="O596" s="6">
        <f>IFERROR($I596*3,"")</f>
        <v/>
      </c>
      <c r="P596" s="6">
        <f>IFERROR($I596*3.5,"")</f>
        <v/>
      </c>
      <c r="Q596" s="6">
        <f>IFERROR($I596*4,"")</f>
        <v/>
      </c>
      <c r="R596" s="6" t="n">
        <v>450</v>
      </c>
      <c r="S596" s="4" t="n">
        <v>6</v>
      </c>
      <c r="T596" s="1" t="inlineStr">
        <is>
          <t>active</t>
        </is>
      </c>
      <c r="U596" s="8" t="n"/>
      <c r="V596" s="1" t="inlineStr">
        <is>
          <t>SIN PRECIO</t>
        </is>
      </c>
    </row>
    <row r="597">
      <c r="A597" s="1" t="inlineStr">
        <is>
          <t>38332091970605</t>
        </is>
      </c>
      <c r="B597" s="1" t="inlineStr">
        <is>
          <t>ARETES DG CON PERLA GOLD</t>
        </is>
      </c>
      <c r="C597" s="1" t="inlineStr">
        <is>
          <t>Default Title</t>
        </is>
      </c>
      <c r="D597" s="1" t="inlineStr">
        <is>
          <t>CYNTHIA</t>
        </is>
      </c>
      <c r="E597" s="4">
        <f>COUNTIF('DETALLE CRONOLÓGICO'!$A$2:$A$4919,$A597)</f>
        <v/>
      </c>
      <c r="F597" s="4">
        <f>SUMIFS('DETALLE CRONOLÓGICO'!$I$2:$I$4919,'DETALLE CRONOLÓGICO'!$A$2:$A$4919,$A597)</f>
        <v/>
      </c>
      <c r="G597" s="1">
        <f>INDEX('DETALLE CRONOLÓGICO'!$D$2:$D$4919,MATCH($A597,'DETALLE CRONOLÓGICO'!$A$2:$A$4919,0))</f>
        <v/>
      </c>
      <c r="H597" s="1">
        <f>INDEX('DETALLE CRONOLÓGICO'!$D$2:$D$4919,MATCH($A597,'DETALLE CRONOLÓGICO'!$A$2:$A$4919,0)+$E597-1)</f>
        <v/>
      </c>
      <c r="I597" s="5">
        <f>IFERROR(SUMIFS('DETALLE CRONOLÓGICO'!$L$2:$L$4919,'DETALLE CRONOLÓGICO'!$A$2:$A$4919,$A597)/$F597,"")</f>
        <v/>
      </c>
      <c r="J597" s="6">
        <f>IFERROR(SUMIFS('DETALLE CRONOLÓGICO'!$K$2:$K$4919,'DETALLE CRONOLÓGICO'!$A$2:$A$4919,$A597)/$E597,"")</f>
        <v/>
      </c>
      <c r="K597" s="6">
        <f>_xlfn.MINIFS('DETALLE CRONOLÓGICO'!$K$2:$K$4919,'DETALLE CRONOLÓGICO'!$A$2:$A$4919,$A597)</f>
        <v/>
      </c>
      <c r="L597" s="6">
        <f>_xlfn.MAXIFS('DETALLE CRONOLÓGICO'!$K$2:$K$4919,'DETALLE CRONOLÓGICO'!$A$2:$A$4919,$A597)</f>
        <v/>
      </c>
      <c r="M597" s="6">
        <f>INDEX('DETALLE CRONOLÓGICO'!$K$2:$K$4919,MATCH($A597,'DETALLE CRONOLÓGICO'!$A$2:$A$4919,0)+$E597-1)</f>
        <v/>
      </c>
      <c r="N597" s="7">
        <f>IFERROR($M597/INDEX('DETALLE CRONOLÓGICO'!$K$2:$K$4919,MATCH($A597,'DETALLE CRONOLÓGICO'!$A$2:$A$4919,0))-1,"")</f>
        <v/>
      </c>
      <c r="O597" s="6">
        <f>IFERROR($I597*3,"")</f>
        <v/>
      </c>
      <c r="P597" s="6">
        <f>IFERROR($I597*3.5,"")</f>
        <v/>
      </c>
      <c r="Q597" s="6">
        <f>IFERROR($I597*4,"")</f>
        <v/>
      </c>
      <c r="R597" s="6" t="n">
        <v>850</v>
      </c>
      <c r="S597" s="4" t="n">
        <v>2</v>
      </c>
      <c r="T597" s="1" t="inlineStr">
        <is>
          <t>active</t>
        </is>
      </c>
      <c r="U597" s="8" t="n"/>
      <c r="V597" s="1" t="inlineStr">
        <is>
          <t>SIN PRECIO</t>
        </is>
      </c>
    </row>
    <row r="598">
      <c r="A598" s="1" t="inlineStr">
        <is>
          <t>38332092017357</t>
        </is>
      </c>
      <c r="B598" s="1" t="inlineStr">
        <is>
          <t>LENTES LV MILIONAIRES SQUARE</t>
        </is>
      </c>
      <c r="C598" s="1" t="inlineStr">
        <is>
          <t>Default Title</t>
        </is>
      </c>
      <c r="D598" s="1" t="inlineStr">
        <is>
          <t>CYNTHIA</t>
        </is>
      </c>
      <c r="E598" s="4">
        <f>COUNTIF('DETALLE CRONOLÓGICO'!$A$2:$A$4919,$A598)</f>
        <v/>
      </c>
      <c r="F598" s="4">
        <f>SUMIFS('DETALLE CRONOLÓGICO'!$I$2:$I$4919,'DETALLE CRONOLÓGICO'!$A$2:$A$4919,$A598)</f>
        <v/>
      </c>
      <c r="G598" s="1">
        <f>INDEX('DETALLE CRONOLÓGICO'!$D$2:$D$4919,MATCH($A598,'DETALLE CRONOLÓGICO'!$A$2:$A$4919,0))</f>
        <v/>
      </c>
      <c r="H598" s="1">
        <f>INDEX('DETALLE CRONOLÓGICO'!$D$2:$D$4919,MATCH($A598,'DETALLE CRONOLÓGICO'!$A$2:$A$4919,0)+$E598-1)</f>
        <v/>
      </c>
      <c r="I598" s="5">
        <f>IFERROR(SUMIFS('DETALLE CRONOLÓGICO'!$L$2:$L$4919,'DETALLE CRONOLÓGICO'!$A$2:$A$4919,$A598)/$F598,"")</f>
        <v/>
      </c>
      <c r="J598" s="6">
        <f>IFERROR(SUMIFS('DETALLE CRONOLÓGICO'!$K$2:$K$4919,'DETALLE CRONOLÓGICO'!$A$2:$A$4919,$A598)/$E598,"")</f>
        <v/>
      </c>
      <c r="K598" s="6">
        <f>_xlfn.MINIFS('DETALLE CRONOLÓGICO'!$K$2:$K$4919,'DETALLE CRONOLÓGICO'!$A$2:$A$4919,$A598)</f>
        <v/>
      </c>
      <c r="L598" s="6">
        <f>_xlfn.MAXIFS('DETALLE CRONOLÓGICO'!$K$2:$K$4919,'DETALLE CRONOLÓGICO'!$A$2:$A$4919,$A598)</f>
        <v/>
      </c>
      <c r="M598" s="6">
        <f>INDEX('DETALLE CRONOLÓGICO'!$K$2:$K$4919,MATCH($A598,'DETALLE CRONOLÓGICO'!$A$2:$A$4919,0)+$E598-1)</f>
        <v/>
      </c>
      <c r="N598" s="7">
        <f>IFERROR($M598/INDEX('DETALLE CRONOLÓGICO'!$K$2:$K$4919,MATCH($A598,'DETALLE CRONOLÓGICO'!$A$2:$A$4919,0))-1,"")</f>
        <v/>
      </c>
      <c r="O598" s="6">
        <f>IFERROR($I598*3,"")</f>
        <v/>
      </c>
      <c r="P598" s="6">
        <f>IFERROR($I598*3.5,"")</f>
        <v/>
      </c>
      <c r="Q598" s="6">
        <f>IFERROR($I598*4,"")</f>
        <v/>
      </c>
      <c r="R598" s="6" t="n">
        <v>3115</v>
      </c>
      <c r="S598" s="4" t="n">
        <v>2</v>
      </c>
      <c r="T598" s="1" t="inlineStr">
        <is>
          <t>active</t>
        </is>
      </c>
      <c r="U598" s="8" t="n"/>
      <c r="V598" s="1" t="inlineStr">
        <is>
          <t>SIN PRECIO</t>
        </is>
      </c>
    </row>
    <row r="599">
      <c r="A599" s="1" t="inlineStr">
        <is>
          <t>38334521007073</t>
        </is>
      </c>
      <c r="B599" s="1" t="inlineStr">
        <is>
          <t>ANILLO TRÉBOL GOLD</t>
        </is>
      </c>
      <c r="C599" s="1" t="inlineStr">
        <is>
          <t>7</t>
        </is>
      </c>
      <c r="D599" s="1" t="inlineStr">
        <is>
          <t>HAIFENG</t>
        </is>
      </c>
      <c r="E599" s="4">
        <f>COUNTIF('DETALLE CRONOLÓGICO'!$A$2:$A$4919,$A599)</f>
        <v/>
      </c>
      <c r="F599" s="4">
        <f>SUMIFS('DETALLE CRONOLÓGICO'!$I$2:$I$4919,'DETALLE CRONOLÓGICO'!$A$2:$A$4919,$A599)</f>
        <v/>
      </c>
      <c r="G599" s="1">
        <f>INDEX('DETALLE CRONOLÓGICO'!$D$2:$D$4919,MATCH($A599,'DETALLE CRONOLÓGICO'!$A$2:$A$4919,0))</f>
        <v/>
      </c>
      <c r="H599" s="1">
        <f>INDEX('DETALLE CRONOLÓGICO'!$D$2:$D$4919,MATCH($A599,'DETALLE CRONOLÓGICO'!$A$2:$A$4919,0)+$E599-1)</f>
        <v/>
      </c>
      <c r="I599" s="5">
        <f>IFERROR(SUMIFS('DETALLE CRONOLÓGICO'!$L$2:$L$4919,'DETALLE CRONOLÓGICO'!$A$2:$A$4919,$A599)/$F599,"")</f>
        <v/>
      </c>
      <c r="J599" s="6">
        <f>IFERROR(SUMIFS('DETALLE CRONOLÓGICO'!$K$2:$K$4919,'DETALLE CRONOLÓGICO'!$A$2:$A$4919,$A599)/$E599,"")</f>
        <v/>
      </c>
      <c r="K599" s="6">
        <f>_xlfn.MINIFS('DETALLE CRONOLÓGICO'!$K$2:$K$4919,'DETALLE CRONOLÓGICO'!$A$2:$A$4919,$A599)</f>
        <v/>
      </c>
      <c r="L599" s="6">
        <f>_xlfn.MAXIFS('DETALLE CRONOLÓGICO'!$K$2:$K$4919,'DETALLE CRONOLÓGICO'!$A$2:$A$4919,$A599)</f>
        <v/>
      </c>
      <c r="M599" s="6">
        <f>INDEX('DETALLE CRONOLÓGICO'!$K$2:$K$4919,MATCH($A599,'DETALLE CRONOLÓGICO'!$A$2:$A$4919,0)+$E599-1)</f>
        <v/>
      </c>
      <c r="N599" s="7">
        <f>IFERROR($M599/INDEX('DETALLE CRONOLÓGICO'!$K$2:$K$4919,MATCH($A599,'DETALLE CRONOLÓGICO'!$A$2:$A$4919,0))-1,"")</f>
        <v/>
      </c>
      <c r="O599" s="6">
        <f>IFERROR($I599*3,"")</f>
        <v/>
      </c>
      <c r="P599" s="6">
        <f>IFERROR($I599*3.5,"")</f>
        <v/>
      </c>
      <c r="Q599" s="6">
        <f>IFERROR($I599*4,"")</f>
        <v/>
      </c>
      <c r="R599" s="6" t="n">
        <v>599</v>
      </c>
      <c r="S599" s="4" t="n">
        <v>5</v>
      </c>
      <c r="T599" s="1" t="inlineStr">
        <is>
          <t>active</t>
        </is>
      </c>
      <c r="U599" s="8" t="n"/>
      <c r="V599" s="1" t="inlineStr">
        <is>
          <t>SIN PRECIO</t>
        </is>
      </c>
    </row>
    <row r="600">
      <c r="A600" s="1" t="inlineStr">
        <is>
          <t>38334521139841</t>
        </is>
      </c>
      <c r="B600" s="1" t="inlineStr">
        <is>
          <t>ANILLO TREBOL GOLD</t>
        </is>
      </c>
      <c r="C600" s="1" t="inlineStr">
        <is>
          <t>6</t>
        </is>
      </c>
      <c r="D600" s="1" t="inlineStr">
        <is>
          <t>HAIFENG</t>
        </is>
      </c>
      <c r="E600" s="4">
        <f>COUNTIF('DETALLE CRONOLÓGICO'!$A$2:$A$4919,$A600)</f>
        <v/>
      </c>
      <c r="F600" s="4">
        <f>SUMIFS('DETALLE CRONOLÓGICO'!$I$2:$I$4919,'DETALLE CRONOLÓGICO'!$A$2:$A$4919,$A600)</f>
        <v/>
      </c>
      <c r="G600" s="1">
        <f>INDEX('DETALLE CRONOLÓGICO'!$D$2:$D$4919,MATCH($A600,'DETALLE CRONOLÓGICO'!$A$2:$A$4919,0))</f>
        <v/>
      </c>
      <c r="H600" s="1">
        <f>INDEX('DETALLE CRONOLÓGICO'!$D$2:$D$4919,MATCH($A600,'DETALLE CRONOLÓGICO'!$A$2:$A$4919,0)+$E600-1)</f>
        <v/>
      </c>
      <c r="I600" s="5">
        <f>IFERROR(SUMIFS('DETALLE CRONOLÓGICO'!$L$2:$L$4919,'DETALLE CRONOLÓGICO'!$A$2:$A$4919,$A600)/$F600,"")</f>
        <v/>
      </c>
      <c r="J600" s="6">
        <f>IFERROR(SUMIFS('DETALLE CRONOLÓGICO'!$K$2:$K$4919,'DETALLE CRONOLÓGICO'!$A$2:$A$4919,$A600)/$E600,"")</f>
        <v/>
      </c>
      <c r="K600" s="6">
        <f>_xlfn.MINIFS('DETALLE CRONOLÓGICO'!$K$2:$K$4919,'DETALLE CRONOLÓGICO'!$A$2:$A$4919,$A600)</f>
        <v/>
      </c>
      <c r="L600" s="6">
        <f>_xlfn.MAXIFS('DETALLE CRONOLÓGICO'!$K$2:$K$4919,'DETALLE CRONOLÓGICO'!$A$2:$A$4919,$A600)</f>
        <v/>
      </c>
      <c r="M600" s="6">
        <f>INDEX('DETALLE CRONOLÓGICO'!$K$2:$K$4919,MATCH($A600,'DETALLE CRONOLÓGICO'!$A$2:$A$4919,0)+$E600-1)</f>
        <v/>
      </c>
      <c r="N600" s="7">
        <f>IFERROR($M600/INDEX('DETALLE CRONOLÓGICO'!$K$2:$K$4919,MATCH($A600,'DETALLE CRONOLÓGICO'!$A$2:$A$4919,0))-1,"")</f>
        <v/>
      </c>
      <c r="O600" s="6">
        <f>IFERROR($I600*3,"")</f>
        <v/>
      </c>
      <c r="P600" s="6">
        <f>IFERROR($I600*3.5,"")</f>
        <v/>
      </c>
      <c r="Q600" s="6">
        <f>IFERROR($I600*4,"")</f>
        <v/>
      </c>
      <c r="R600" s="6" t="n">
        <v>599</v>
      </c>
      <c r="S600" s="4" t="n">
        <v>3</v>
      </c>
      <c r="T600" s="1" t="inlineStr">
        <is>
          <t>active</t>
        </is>
      </c>
      <c r="U600" s="8" t="n"/>
      <c r="V600" s="1" t="inlineStr">
        <is>
          <t>SIN PRECIO</t>
        </is>
      </c>
    </row>
    <row r="601">
      <c r="A601" s="1" t="inlineStr">
        <is>
          <t>38334521369409</t>
        </is>
      </c>
      <c r="B601" s="1" t="inlineStr">
        <is>
          <t>ANILLO TRÉBOL SILVER</t>
        </is>
      </c>
      <c r="C601" s="1" t="inlineStr">
        <is>
          <t>7</t>
        </is>
      </c>
      <c r="D601" s="1" t="inlineStr">
        <is>
          <t>HAIFENG</t>
        </is>
      </c>
      <c r="E601" s="4">
        <f>COUNTIF('DETALLE CRONOLÓGICO'!$A$2:$A$4919,$A601)</f>
        <v/>
      </c>
      <c r="F601" s="4">
        <f>SUMIFS('DETALLE CRONOLÓGICO'!$I$2:$I$4919,'DETALLE CRONOLÓGICO'!$A$2:$A$4919,$A601)</f>
        <v/>
      </c>
      <c r="G601" s="1">
        <f>INDEX('DETALLE CRONOLÓGICO'!$D$2:$D$4919,MATCH($A601,'DETALLE CRONOLÓGICO'!$A$2:$A$4919,0))</f>
        <v/>
      </c>
      <c r="H601" s="1">
        <f>INDEX('DETALLE CRONOLÓGICO'!$D$2:$D$4919,MATCH($A601,'DETALLE CRONOLÓGICO'!$A$2:$A$4919,0)+$E601-1)</f>
        <v/>
      </c>
      <c r="I601" s="5">
        <f>IFERROR(SUMIFS('DETALLE CRONOLÓGICO'!$L$2:$L$4919,'DETALLE CRONOLÓGICO'!$A$2:$A$4919,$A601)/$F601,"")</f>
        <v/>
      </c>
      <c r="J601" s="6">
        <f>IFERROR(SUMIFS('DETALLE CRONOLÓGICO'!$K$2:$K$4919,'DETALLE CRONOLÓGICO'!$A$2:$A$4919,$A601)/$E601,"")</f>
        <v/>
      </c>
      <c r="K601" s="6">
        <f>_xlfn.MINIFS('DETALLE CRONOLÓGICO'!$K$2:$K$4919,'DETALLE CRONOLÓGICO'!$A$2:$A$4919,$A601)</f>
        <v/>
      </c>
      <c r="L601" s="6">
        <f>_xlfn.MAXIFS('DETALLE CRONOLÓGICO'!$K$2:$K$4919,'DETALLE CRONOLÓGICO'!$A$2:$A$4919,$A601)</f>
        <v/>
      </c>
      <c r="M601" s="6">
        <f>INDEX('DETALLE CRONOLÓGICO'!$K$2:$K$4919,MATCH($A601,'DETALLE CRONOLÓGICO'!$A$2:$A$4919,0)+$E601-1)</f>
        <v/>
      </c>
      <c r="N601" s="7">
        <f>IFERROR($M601/INDEX('DETALLE CRONOLÓGICO'!$K$2:$K$4919,MATCH($A601,'DETALLE CRONOLÓGICO'!$A$2:$A$4919,0))-1,"")</f>
        <v/>
      </c>
      <c r="O601" s="6">
        <f>IFERROR($I601*3,"")</f>
        <v/>
      </c>
      <c r="P601" s="6">
        <f>IFERROR($I601*3.5,"")</f>
        <v/>
      </c>
      <c r="Q601" s="6">
        <f>IFERROR($I601*4,"")</f>
        <v/>
      </c>
      <c r="R601" s="6" t="n">
        <v>599</v>
      </c>
      <c r="S601" s="4" t="n">
        <v>2</v>
      </c>
      <c r="T601" s="1" t="inlineStr">
        <is>
          <t>active</t>
        </is>
      </c>
      <c r="U601" s="8" t="n"/>
      <c r="V601" s="1" t="inlineStr">
        <is>
          <t>SIN PRECIO</t>
        </is>
      </c>
    </row>
    <row r="602">
      <c r="A602" s="1" t="inlineStr">
        <is>
          <t>38367871068493</t>
        </is>
      </c>
      <c r="B602" s="1" t="inlineStr">
        <is>
          <t>ANILLO JUSTE UN CLOU SILVER CON ZIRCONIA-7</t>
        </is>
      </c>
      <c r="C602" s="1" t="n">
        <v>7</v>
      </c>
      <c r="D602" s="1" t="inlineStr">
        <is>
          <t>HAIFENG</t>
        </is>
      </c>
      <c r="E602" s="4">
        <f>COUNTIF('DETALLE CRONOLÓGICO'!$A$2:$A$4919,$A602)</f>
        <v/>
      </c>
      <c r="F602" s="4">
        <f>SUMIFS('DETALLE CRONOLÓGICO'!$I$2:$I$4919,'DETALLE CRONOLÓGICO'!$A$2:$A$4919,$A602)</f>
        <v/>
      </c>
      <c r="G602" s="1">
        <f>INDEX('DETALLE CRONOLÓGICO'!$D$2:$D$4919,MATCH($A602,'DETALLE CRONOLÓGICO'!$A$2:$A$4919,0))</f>
        <v/>
      </c>
      <c r="H602" s="1">
        <f>INDEX('DETALLE CRONOLÓGICO'!$D$2:$D$4919,MATCH($A602,'DETALLE CRONOLÓGICO'!$A$2:$A$4919,0)+$E602-1)</f>
        <v/>
      </c>
      <c r="I602" s="5">
        <f>IFERROR(SUMIFS('DETALLE CRONOLÓGICO'!$L$2:$L$4919,'DETALLE CRONOLÓGICO'!$A$2:$A$4919,$A602)/$F602,"")</f>
        <v/>
      </c>
      <c r="J602" s="6">
        <f>IFERROR(SUMIFS('DETALLE CRONOLÓGICO'!$K$2:$K$4919,'DETALLE CRONOLÓGICO'!$A$2:$A$4919,$A602)/$E602,"")</f>
        <v/>
      </c>
      <c r="K602" s="6">
        <f>_xlfn.MINIFS('DETALLE CRONOLÓGICO'!$K$2:$K$4919,'DETALLE CRONOLÓGICO'!$A$2:$A$4919,$A602)</f>
        <v/>
      </c>
      <c r="L602" s="6">
        <f>_xlfn.MAXIFS('DETALLE CRONOLÓGICO'!$K$2:$K$4919,'DETALLE CRONOLÓGICO'!$A$2:$A$4919,$A602)</f>
        <v/>
      </c>
      <c r="M602" s="6">
        <f>INDEX('DETALLE CRONOLÓGICO'!$K$2:$K$4919,MATCH($A602,'DETALLE CRONOLÓGICO'!$A$2:$A$4919,0)+$E602-1)</f>
        <v/>
      </c>
      <c r="N602" s="7">
        <f>IFERROR($M602/INDEX('DETALLE CRONOLÓGICO'!$K$2:$K$4919,MATCH($A602,'DETALLE CRONOLÓGICO'!$A$2:$A$4919,0))-1,"")</f>
        <v/>
      </c>
      <c r="O602" s="6">
        <f>IFERROR($I602*3,"")</f>
        <v/>
      </c>
      <c r="P602" s="6">
        <f>IFERROR($I602*3.5,"")</f>
        <v/>
      </c>
      <c r="Q602" s="6">
        <f>IFERROR($I602*4,"")</f>
        <v/>
      </c>
      <c r="R602" s="6" t="n">
        <v>650</v>
      </c>
      <c r="S602" s="4" t="n">
        <v>2</v>
      </c>
      <c r="T602" s="1" t="inlineStr">
        <is>
          <t>active</t>
        </is>
      </c>
      <c r="U602" s="8" t="n"/>
      <c r="V602" s="1" t="inlineStr">
        <is>
          <t>SIN PRECIO</t>
        </is>
      </c>
    </row>
    <row r="603">
      <c r="A603" s="1" t="inlineStr">
        <is>
          <t>38563859802892</t>
        </is>
      </c>
      <c r="B603" s="1" t="inlineStr">
        <is>
          <t>COLLAR CORAZÓN GOLD</t>
        </is>
      </c>
      <c r="C603" s="1" t="inlineStr">
        <is>
          <t>44 cm / dije 2.5cm</t>
        </is>
      </c>
      <c r="D603" s="1" t="inlineStr">
        <is>
          <t>ZOEY</t>
        </is>
      </c>
      <c r="E603" s="4">
        <f>COUNTIF('DETALLE CRONOLÓGICO'!$A$2:$A$4919,$A603)</f>
        <v/>
      </c>
      <c r="F603" s="4">
        <f>SUMIFS('DETALLE CRONOLÓGICO'!$I$2:$I$4919,'DETALLE CRONOLÓGICO'!$A$2:$A$4919,$A603)</f>
        <v/>
      </c>
      <c r="G603" s="1">
        <f>INDEX('DETALLE CRONOLÓGICO'!$D$2:$D$4919,MATCH($A603,'DETALLE CRONOLÓGICO'!$A$2:$A$4919,0))</f>
        <v/>
      </c>
      <c r="H603" s="1">
        <f>INDEX('DETALLE CRONOLÓGICO'!$D$2:$D$4919,MATCH($A603,'DETALLE CRONOLÓGICO'!$A$2:$A$4919,0)+$E603-1)</f>
        <v/>
      </c>
      <c r="I603" s="5">
        <f>IFERROR(SUMIFS('DETALLE CRONOLÓGICO'!$L$2:$L$4919,'DETALLE CRONOLÓGICO'!$A$2:$A$4919,$A603)/$F603,"")</f>
        <v/>
      </c>
      <c r="J603" s="6">
        <f>IFERROR(SUMIFS('DETALLE CRONOLÓGICO'!$K$2:$K$4919,'DETALLE CRONOLÓGICO'!$A$2:$A$4919,$A603)/$E603,"")</f>
        <v/>
      </c>
      <c r="K603" s="6">
        <f>_xlfn.MINIFS('DETALLE CRONOLÓGICO'!$K$2:$K$4919,'DETALLE CRONOLÓGICO'!$A$2:$A$4919,$A603)</f>
        <v/>
      </c>
      <c r="L603" s="6">
        <f>_xlfn.MAXIFS('DETALLE CRONOLÓGICO'!$K$2:$K$4919,'DETALLE CRONOLÓGICO'!$A$2:$A$4919,$A603)</f>
        <v/>
      </c>
      <c r="M603" s="6">
        <f>INDEX('DETALLE CRONOLÓGICO'!$K$2:$K$4919,MATCH($A603,'DETALLE CRONOLÓGICO'!$A$2:$A$4919,0)+$E603-1)</f>
        <v/>
      </c>
      <c r="N603" s="7">
        <f>IFERROR($M603/INDEX('DETALLE CRONOLÓGICO'!$K$2:$K$4919,MATCH($A603,'DETALLE CRONOLÓGICO'!$A$2:$A$4919,0))-1,"")</f>
        <v/>
      </c>
      <c r="O603" s="6">
        <f>IFERROR($I603*3,"")</f>
        <v/>
      </c>
      <c r="P603" s="6">
        <f>IFERROR($I603*3.5,"")</f>
        <v/>
      </c>
      <c r="Q603" s="6">
        <f>IFERROR($I603*4,"")</f>
        <v/>
      </c>
      <c r="R603" s="6" t="n">
        <v>950</v>
      </c>
      <c r="S603" s="4" t="n">
        <v>0</v>
      </c>
      <c r="T603" s="1" t="inlineStr">
        <is>
          <t>active</t>
        </is>
      </c>
      <c r="U603" s="8" t="n"/>
      <c r="V603" s="1" t="inlineStr">
        <is>
          <t>SIN PRECIO</t>
        </is>
      </c>
    </row>
    <row r="604">
      <c r="A604" s="1" t="inlineStr">
        <is>
          <t>3886385575564</t>
        </is>
      </c>
      <c r="B604" s="1" t="inlineStr">
        <is>
          <t>COLLAR TREBOL SILVER BLACK</t>
        </is>
      </c>
      <c r="C604" s="1" t="inlineStr">
        <is>
          <t>45cm</t>
        </is>
      </c>
      <c r="D604" s="1" t="inlineStr">
        <is>
          <t>HAIFENG</t>
        </is>
      </c>
      <c r="E604" s="4">
        <f>COUNTIF('DETALLE CRONOLÓGICO'!$A$2:$A$4919,$A604)</f>
        <v/>
      </c>
      <c r="F604" s="4">
        <f>SUMIFS('DETALLE CRONOLÓGICO'!$I$2:$I$4919,'DETALLE CRONOLÓGICO'!$A$2:$A$4919,$A604)</f>
        <v/>
      </c>
      <c r="G604" s="1">
        <f>INDEX('DETALLE CRONOLÓGICO'!$D$2:$D$4919,MATCH($A604,'DETALLE CRONOLÓGICO'!$A$2:$A$4919,0))</f>
        <v/>
      </c>
      <c r="H604" s="1">
        <f>INDEX('DETALLE CRONOLÓGICO'!$D$2:$D$4919,MATCH($A604,'DETALLE CRONOLÓGICO'!$A$2:$A$4919,0)+$E604-1)</f>
        <v/>
      </c>
      <c r="I604" s="5">
        <f>IFERROR(SUMIFS('DETALLE CRONOLÓGICO'!$L$2:$L$4919,'DETALLE CRONOLÓGICO'!$A$2:$A$4919,$A604)/$F604,"")</f>
        <v/>
      </c>
      <c r="J604" s="6">
        <f>IFERROR(SUMIFS('DETALLE CRONOLÓGICO'!$K$2:$K$4919,'DETALLE CRONOLÓGICO'!$A$2:$A$4919,$A604)/$E604,"")</f>
        <v/>
      </c>
      <c r="K604" s="6">
        <f>_xlfn.MINIFS('DETALLE CRONOLÓGICO'!$K$2:$K$4919,'DETALLE CRONOLÓGICO'!$A$2:$A$4919,$A604)</f>
        <v/>
      </c>
      <c r="L604" s="6">
        <f>_xlfn.MAXIFS('DETALLE CRONOLÓGICO'!$K$2:$K$4919,'DETALLE CRONOLÓGICO'!$A$2:$A$4919,$A604)</f>
        <v/>
      </c>
      <c r="M604" s="6">
        <f>INDEX('DETALLE CRONOLÓGICO'!$K$2:$K$4919,MATCH($A604,'DETALLE CRONOLÓGICO'!$A$2:$A$4919,0)+$E604-1)</f>
        <v/>
      </c>
      <c r="N604" s="7">
        <f>IFERROR($M604/INDEX('DETALLE CRONOLÓGICO'!$K$2:$K$4919,MATCH($A604,'DETALLE CRONOLÓGICO'!$A$2:$A$4919,0))-1,"")</f>
        <v/>
      </c>
      <c r="O604" s="6">
        <f>IFERROR($I604*3,"")</f>
        <v/>
      </c>
      <c r="P604" s="6">
        <f>IFERROR($I604*3.5,"")</f>
        <v/>
      </c>
      <c r="Q604" s="6">
        <f>IFERROR($I604*4,"")</f>
        <v/>
      </c>
      <c r="R604" s="6" t="n">
        <v>989</v>
      </c>
      <c r="S604" s="4" t="n">
        <v>7</v>
      </c>
      <c r="T604" s="1" t="inlineStr">
        <is>
          <t>active</t>
        </is>
      </c>
      <c r="U604" s="8" t="n"/>
      <c r="V604" s="1" t="inlineStr">
        <is>
          <t>SIN PRECIO</t>
        </is>
      </c>
    </row>
    <row r="605">
      <c r="A605" s="1" t="inlineStr">
        <is>
          <t>38991221063565</t>
        </is>
      </c>
      <c r="B605" s="1" t="inlineStr">
        <is>
          <t>PERFUME JEAN PAUL SCANDAL GAUTTER MEN</t>
        </is>
      </c>
      <c r="C605" s="1" t="inlineStr">
        <is>
          <t>Default Title</t>
        </is>
      </c>
      <c r="D605" s="1" t="inlineStr">
        <is>
          <t>ZOEY</t>
        </is>
      </c>
      <c r="E605" s="4">
        <f>COUNTIF('DETALLE CRONOLÓGICO'!$A$2:$A$4919,$A605)</f>
        <v/>
      </c>
      <c r="F605" s="4">
        <f>SUMIFS('DETALLE CRONOLÓGICO'!$I$2:$I$4919,'DETALLE CRONOLÓGICO'!$A$2:$A$4919,$A605)</f>
        <v/>
      </c>
      <c r="G605" s="1">
        <f>INDEX('DETALLE CRONOLÓGICO'!$D$2:$D$4919,MATCH($A605,'DETALLE CRONOLÓGICO'!$A$2:$A$4919,0))</f>
        <v/>
      </c>
      <c r="H605" s="1">
        <f>INDEX('DETALLE CRONOLÓGICO'!$D$2:$D$4919,MATCH($A605,'DETALLE CRONOLÓGICO'!$A$2:$A$4919,0)+$E605-1)</f>
        <v/>
      </c>
      <c r="I605" s="5">
        <f>IFERROR(SUMIFS('DETALLE CRONOLÓGICO'!$L$2:$L$4919,'DETALLE CRONOLÓGICO'!$A$2:$A$4919,$A605)/$F605,"")</f>
        <v/>
      </c>
      <c r="J605" s="6">
        <f>IFERROR(SUMIFS('DETALLE CRONOLÓGICO'!$K$2:$K$4919,'DETALLE CRONOLÓGICO'!$A$2:$A$4919,$A605)/$E605,"")</f>
        <v/>
      </c>
      <c r="K605" s="6">
        <f>_xlfn.MINIFS('DETALLE CRONOLÓGICO'!$K$2:$K$4919,'DETALLE CRONOLÓGICO'!$A$2:$A$4919,$A605)</f>
        <v/>
      </c>
      <c r="L605" s="6">
        <f>_xlfn.MAXIFS('DETALLE CRONOLÓGICO'!$K$2:$K$4919,'DETALLE CRONOLÓGICO'!$A$2:$A$4919,$A605)</f>
        <v/>
      </c>
      <c r="M605" s="6">
        <f>INDEX('DETALLE CRONOLÓGICO'!$K$2:$K$4919,MATCH($A605,'DETALLE CRONOLÓGICO'!$A$2:$A$4919,0)+$E605-1)</f>
        <v/>
      </c>
      <c r="N605" s="7">
        <f>IFERROR($M605/INDEX('DETALLE CRONOLÓGICO'!$K$2:$K$4919,MATCH($A605,'DETALLE CRONOLÓGICO'!$A$2:$A$4919,0))-1,"")</f>
        <v/>
      </c>
      <c r="O605" s="6">
        <f>IFERROR($I605*3,"")</f>
        <v/>
      </c>
      <c r="P605" s="6">
        <f>IFERROR($I605*3.5,"")</f>
        <v/>
      </c>
      <c r="Q605" s="6">
        <f>IFERROR($I605*4,"")</f>
        <v/>
      </c>
      <c r="R605" s="6" t="n">
        <v>1849</v>
      </c>
      <c r="S605" s="4" t="n">
        <v>2</v>
      </c>
      <c r="T605" s="1" t="inlineStr">
        <is>
          <t>active</t>
        </is>
      </c>
      <c r="U605" s="8" t="n"/>
      <c r="V605" s="1" t="inlineStr">
        <is>
          <t>SIN PRECIO</t>
        </is>
      </c>
    </row>
    <row r="606">
      <c r="A606" s="1" t="inlineStr">
        <is>
          <t>38991221168653</t>
        </is>
      </c>
      <c r="B606" s="1" t="inlineStr">
        <is>
          <t>PERFUME JEAN PAUL LE BELLE</t>
        </is>
      </c>
      <c r="C606" s="1" t="inlineStr">
        <is>
          <t>Default Title</t>
        </is>
      </c>
      <c r="D606" s="1" t="inlineStr">
        <is>
          <t>ZOEY</t>
        </is>
      </c>
      <c r="E606" s="4">
        <f>COUNTIF('DETALLE CRONOLÓGICO'!$A$2:$A$4919,$A606)</f>
        <v/>
      </c>
      <c r="F606" s="4">
        <f>SUMIFS('DETALLE CRONOLÓGICO'!$I$2:$I$4919,'DETALLE CRONOLÓGICO'!$A$2:$A$4919,$A606)</f>
        <v/>
      </c>
      <c r="G606" s="1">
        <f>INDEX('DETALLE CRONOLÓGICO'!$D$2:$D$4919,MATCH($A606,'DETALLE CRONOLÓGICO'!$A$2:$A$4919,0))</f>
        <v/>
      </c>
      <c r="H606" s="1">
        <f>INDEX('DETALLE CRONOLÓGICO'!$D$2:$D$4919,MATCH($A606,'DETALLE CRONOLÓGICO'!$A$2:$A$4919,0)+$E606-1)</f>
        <v/>
      </c>
      <c r="I606" s="5">
        <f>IFERROR(SUMIFS('DETALLE CRONOLÓGICO'!$L$2:$L$4919,'DETALLE CRONOLÓGICO'!$A$2:$A$4919,$A606)/$F606,"")</f>
        <v/>
      </c>
      <c r="J606" s="6">
        <f>IFERROR(SUMIFS('DETALLE CRONOLÓGICO'!$K$2:$K$4919,'DETALLE CRONOLÓGICO'!$A$2:$A$4919,$A606)/$E606,"")</f>
        <v/>
      </c>
      <c r="K606" s="6">
        <f>_xlfn.MINIFS('DETALLE CRONOLÓGICO'!$K$2:$K$4919,'DETALLE CRONOLÓGICO'!$A$2:$A$4919,$A606)</f>
        <v/>
      </c>
      <c r="L606" s="6">
        <f>_xlfn.MAXIFS('DETALLE CRONOLÓGICO'!$K$2:$K$4919,'DETALLE CRONOLÓGICO'!$A$2:$A$4919,$A606)</f>
        <v/>
      </c>
      <c r="M606" s="6">
        <f>INDEX('DETALLE CRONOLÓGICO'!$K$2:$K$4919,MATCH($A606,'DETALLE CRONOLÓGICO'!$A$2:$A$4919,0)+$E606-1)</f>
        <v/>
      </c>
      <c r="N606" s="7">
        <f>IFERROR($M606/INDEX('DETALLE CRONOLÓGICO'!$K$2:$K$4919,MATCH($A606,'DETALLE CRONOLÓGICO'!$A$2:$A$4919,0))-1,"")</f>
        <v/>
      </c>
      <c r="O606" s="6">
        <f>IFERROR($I606*3,"")</f>
        <v/>
      </c>
      <c r="P606" s="6">
        <f>IFERROR($I606*3.5,"")</f>
        <v/>
      </c>
      <c r="Q606" s="6">
        <f>IFERROR($I606*4,"")</f>
        <v/>
      </c>
      <c r="R606" s="6" t="n">
        <v>1849</v>
      </c>
      <c r="S606" s="4" t="n">
        <v>2</v>
      </c>
      <c r="T606" s="1" t="inlineStr">
        <is>
          <t>active</t>
        </is>
      </c>
      <c r="U606" s="8" t="n"/>
      <c r="V606" s="1" t="inlineStr">
        <is>
          <t>SIN PRECIO</t>
        </is>
      </c>
    </row>
    <row r="607">
      <c r="A607" s="1" t="inlineStr">
        <is>
          <t>39129741001261</t>
        </is>
      </c>
      <c r="B607" s="1" t="inlineStr">
        <is>
          <t>ANILLO CLAVO SPIRAL SILVER CON ZIRCONIA</t>
        </is>
      </c>
      <c r="C607" s="1" t="inlineStr">
        <is>
          <t>8</t>
        </is>
      </c>
      <c r="D607" s="1" t="inlineStr">
        <is>
          <t>HAIFENG</t>
        </is>
      </c>
      <c r="E607" s="4">
        <f>COUNTIF('DETALLE CRONOLÓGICO'!$A$2:$A$4919,$A607)</f>
        <v/>
      </c>
      <c r="F607" s="4">
        <f>SUMIFS('DETALLE CRONOLÓGICO'!$I$2:$I$4919,'DETALLE CRONOLÓGICO'!$A$2:$A$4919,$A607)</f>
        <v/>
      </c>
      <c r="G607" s="1">
        <f>INDEX('DETALLE CRONOLÓGICO'!$D$2:$D$4919,MATCH($A607,'DETALLE CRONOLÓGICO'!$A$2:$A$4919,0))</f>
        <v/>
      </c>
      <c r="H607" s="1">
        <f>INDEX('DETALLE CRONOLÓGICO'!$D$2:$D$4919,MATCH($A607,'DETALLE CRONOLÓGICO'!$A$2:$A$4919,0)+$E607-1)</f>
        <v/>
      </c>
      <c r="I607" s="5">
        <f>IFERROR(SUMIFS('DETALLE CRONOLÓGICO'!$L$2:$L$4919,'DETALLE CRONOLÓGICO'!$A$2:$A$4919,$A607)/$F607,"")</f>
        <v/>
      </c>
      <c r="J607" s="6">
        <f>IFERROR(SUMIFS('DETALLE CRONOLÓGICO'!$K$2:$K$4919,'DETALLE CRONOLÓGICO'!$A$2:$A$4919,$A607)/$E607,"")</f>
        <v/>
      </c>
      <c r="K607" s="6">
        <f>_xlfn.MINIFS('DETALLE CRONOLÓGICO'!$K$2:$K$4919,'DETALLE CRONOLÓGICO'!$A$2:$A$4919,$A607)</f>
        <v/>
      </c>
      <c r="L607" s="6">
        <f>_xlfn.MAXIFS('DETALLE CRONOLÓGICO'!$K$2:$K$4919,'DETALLE CRONOLÓGICO'!$A$2:$A$4919,$A607)</f>
        <v/>
      </c>
      <c r="M607" s="6">
        <f>INDEX('DETALLE CRONOLÓGICO'!$K$2:$K$4919,MATCH($A607,'DETALLE CRONOLÓGICO'!$A$2:$A$4919,0)+$E607-1)</f>
        <v/>
      </c>
      <c r="N607" s="7">
        <f>IFERROR($M607/INDEX('DETALLE CRONOLÓGICO'!$K$2:$K$4919,MATCH($A607,'DETALLE CRONOLÓGICO'!$A$2:$A$4919,0))-1,"")</f>
        <v/>
      </c>
      <c r="O607" s="6">
        <f>IFERROR($I607*3,"")</f>
        <v/>
      </c>
      <c r="P607" s="6">
        <f>IFERROR($I607*3.5,"")</f>
        <v/>
      </c>
      <c r="Q607" s="6">
        <f>IFERROR($I607*4,"")</f>
        <v/>
      </c>
      <c r="R607" s="6" t="n">
        <v>650</v>
      </c>
      <c r="S607" s="4" t="n">
        <v>3</v>
      </c>
      <c r="T607" s="1" t="inlineStr">
        <is>
          <t>active</t>
        </is>
      </c>
      <c r="U607" s="8" t="n"/>
      <c r="V607" s="1" t="inlineStr">
        <is>
          <t>SIN PRECIO</t>
        </is>
      </c>
    </row>
    <row r="608">
      <c r="A608" s="1" t="inlineStr">
        <is>
          <t>39252671092621</t>
        </is>
      </c>
      <c r="B608" s="1" t="inlineStr">
        <is>
          <t>ANILLO LV LETTER SILVER</t>
        </is>
      </c>
      <c r="C608" s="1" t="n">
        <v>7</v>
      </c>
      <c r="D608" s="1" t="inlineStr">
        <is>
          <t>CYNTHIA</t>
        </is>
      </c>
      <c r="E608" s="4">
        <f>COUNTIF('DETALLE CRONOLÓGICO'!$A$2:$A$4919,$A608)</f>
        <v/>
      </c>
      <c r="F608" s="4">
        <f>SUMIFS('DETALLE CRONOLÓGICO'!$I$2:$I$4919,'DETALLE CRONOLÓGICO'!$A$2:$A$4919,$A608)</f>
        <v/>
      </c>
      <c r="G608" s="1">
        <f>INDEX('DETALLE CRONOLÓGICO'!$D$2:$D$4919,MATCH($A608,'DETALLE CRONOLÓGICO'!$A$2:$A$4919,0))</f>
        <v/>
      </c>
      <c r="H608" s="1">
        <f>INDEX('DETALLE CRONOLÓGICO'!$D$2:$D$4919,MATCH($A608,'DETALLE CRONOLÓGICO'!$A$2:$A$4919,0)+$E608-1)</f>
        <v/>
      </c>
      <c r="I608" s="5">
        <f>IFERROR(SUMIFS('DETALLE CRONOLÓGICO'!$L$2:$L$4919,'DETALLE CRONOLÓGICO'!$A$2:$A$4919,$A608)/$F608,"")</f>
        <v/>
      </c>
      <c r="J608" s="6">
        <f>IFERROR(SUMIFS('DETALLE CRONOLÓGICO'!$K$2:$K$4919,'DETALLE CRONOLÓGICO'!$A$2:$A$4919,$A608)/$E608,"")</f>
        <v/>
      </c>
      <c r="K608" s="6">
        <f>_xlfn.MINIFS('DETALLE CRONOLÓGICO'!$K$2:$K$4919,'DETALLE CRONOLÓGICO'!$A$2:$A$4919,$A608)</f>
        <v/>
      </c>
      <c r="L608" s="6">
        <f>_xlfn.MAXIFS('DETALLE CRONOLÓGICO'!$K$2:$K$4919,'DETALLE CRONOLÓGICO'!$A$2:$A$4919,$A608)</f>
        <v/>
      </c>
      <c r="M608" s="6">
        <f>INDEX('DETALLE CRONOLÓGICO'!$K$2:$K$4919,MATCH($A608,'DETALLE CRONOLÓGICO'!$A$2:$A$4919,0)+$E608-1)</f>
        <v/>
      </c>
      <c r="N608" s="7">
        <f>IFERROR($M608/INDEX('DETALLE CRONOLÓGICO'!$K$2:$K$4919,MATCH($A608,'DETALLE CRONOLÓGICO'!$A$2:$A$4919,0))-1,"")</f>
        <v/>
      </c>
      <c r="O608" s="6">
        <f>IFERROR($I608*3,"")</f>
        <v/>
      </c>
      <c r="P608" s="6">
        <f>IFERROR($I608*3.5,"")</f>
        <v/>
      </c>
      <c r="Q608" s="6">
        <f>IFERROR($I608*4,"")</f>
        <v/>
      </c>
      <c r="R608" s="6" t="n">
        <v>575</v>
      </c>
      <c r="S608" s="4" t="n">
        <v>2</v>
      </c>
      <c r="T608" s="1" t="inlineStr">
        <is>
          <t>active</t>
        </is>
      </c>
      <c r="U608" s="8" t="n"/>
      <c r="V608" s="1" t="inlineStr">
        <is>
          <t>SIN PRECIO</t>
        </is>
      </c>
    </row>
    <row r="609">
      <c r="A609" s="1" t="inlineStr">
        <is>
          <t>39252671125389</t>
        </is>
      </c>
      <c r="B609" s="1" t="inlineStr">
        <is>
          <t>ANILLO LV LETTER SILVER</t>
        </is>
      </c>
      <c r="C609" s="1" t="n">
        <v>8</v>
      </c>
      <c r="D609" s="1" t="inlineStr">
        <is>
          <t>CYNTHIA</t>
        </is>
      </c>
      <c r="E609" s="4">
        <f>COUNTIF('DETALLE CRONOLÓGICO'!$A$2:$A$4919,$A609)</f>
        <v/>
      </c>
      <c r="F609" s="4">
        <f>SUMIFS('DETALLE CRONOLÓGICO'!$I$2:$I$4919,'DETALLE CRONOLÓGICO'!$A$2:$A$4919,$A609)</f>
        <v/>
      </c>
      <c r="G609" s="1">
        <f>INDEX('DETALLE CRONOLÓGICO'!$D$2:$D$4919,MATCH($A609,'DETALLE CRONOLÓGICO'!$A$2:$A$4919,0))</f>
        <v/>
      </c>
      <c r="H609" s="1">
        <f>INDEX('DETALLE CRONOLÓGICO'!$D$2:$D$4919,MATCH($A609,'DETALLE CRONOLÓGICO'!$A$2:$A$4919,0)+$E609-1)</f>
        <v/>
      </c>
      <c r="I609" s="5">
        <f>IFERROR(SUMIFS('DETALLE CRONOLÓGICO'!$L$2:$L$4919,'DETALLE CRONOLÓGICO'!$A$2:$A$4919,$A609)/$F609,"")</f>
        <v/>
      </c>
      <c r="J609" s="6">
        <f>IFERROR(SUMIFS('DETALLE CRONOLÓGICO'!$K$2:$K$4919,'DETALLE CRONOLÓGICO'!$A$2:$A$4919,$A609)/$E609,"")</f>
        <v/>
      </c>
      <c r="K609" s="6">
        <f>_xlfn.MINIFS('DETALLE CRONOLÓGICO'!$K$2:$K$4919,'DETALLE CRONOLÓGICO'!$A$2:$A$4919,$A609)</f>
        <v/>
      </c>
      <c r="L609" s="6">
        <f>_xlfn.MAXIFS('DETALLE CRONOLÓGICO'!$K$2:$K$4919,'DETALLE CRONOLÓGICO'!$A$2:$A$4919,$A609)</f>
        <v/>
      </c>
      <c r="M609" s="6">
        <f>INDEX('DETALLE CRONOLÓGICO'!$K$2:$K$4919,MATCH($A609,'DETALLE CRONOLÓGICO'!$A$2:$A$4919,0)+$E609-1)</f>
        <v/>
      </c>
      <c r="N609" s="7">
        <f>IFERROR($M609/INDEX('DETALLE CRONOLÓGICO'!$K$2:$K$4919,MATCH($A609,'DETALLE CRONOLÓGICO'!$A$2:$A$4919,0))-1,"")</f>
        <v/>
      </c>
      <c r="O609" s="6">
        <f>IFERROR($I609*3,"")</f>
        <v/>
      </c>
      <c r="P609" s="6">
        <f>IFERROR($I609*3.5,"")</f>
        <v/>
      </c>
      <c r="Q609" s="6">
        <f>IFERROR($I609*4,"")</f>
        <v/>
      </c>
      <c r="R609" s="6" t="n">
        <v>373</v>
      </c>
      <c r="S609" s="4" t="n">
        <v>2</v>
      </c>
      <c r="T609" s="1" t="inlineStr">
        <is>
          <t>active</t>
        </is>
      </c>
      <c r="U609" s="8" t="n"/>
      <c r="V609" s="1" t="inlineStr">
        <is>
          <t>SIN PRECIO</t>
        </is>
      </c>
    </row>
    <row r="610">
      <c r="A610" s="1" t="inlineStr">
        <is>
          <t>39252671264941</t>
        </is>
      </c>
      <c r="B610" s="1" t="inlineStr">
        <is>
          <t>ANILLO LV LETTER GOLD</t>
        </is>
      </c>
      <c r="C610" s="1" t="inlineStr">
        <is>
          <t>7</t>
        </is>
      </c>
      <c r="D610" s="1" t="inlineStr">
        <is>
          <t>CYNTHIA</t>
        </is>
      </c>
      <c r="E610" s="4">
        <f>COUNTIF('DETALLE CRONOLÓGICO'!$A$2:$A$4919,$A610)</f>
        <v/>
      </c>
      <c r="F610" s="4">
        <f>SUMIFS('DETALLE CRONOLÓGICO'!$I$2:$I$4919,'DETALLE CRONOLÓGICO'!$A$2:$A$4919,$A610)</f>
        <v/>
      </c>
      <c r="G610" s="1">
        <f>INDEX('DETALLE CRONOLÓGICO'!$D$2:$D$4919,MATCH($A610,'DETALLE CRONOLÓGICO'!$A$2:$A$4919,0))</f>
        <v/>
      </c>
      <c r="H610" s="1">
        <f>INDEX('DETALLE CRONOLÓGICO'!$D$2:$D$4919,MATCH($A610,'DETALLE CRONOLÓGICO'!$A$2:$A$4919,0)+$E610-1)</f>
        <v/>
      </c>
      <c r="I610" s="5">
        <f>IFERROR(SUMIFS('DETALLE CRONOLÓGICO'!$L$2:$L$4919,'DETALLE CRONOLÓGICO'!$A$2:$A$4919,$A610)/$F610,"")</f>
        <v/>
      </c>
      <c r="J610" s="6">
        <f>IFERROR(SUMIFS('DETALLE CRONOLÓGICO'!$K$2:$K$4919,'DETALLE CRONOLÓGICO'!$A$2:$A$4919,$A610)/$E610,"")</f>
        <v/>
      </c>
      <c r="K610" s="6">
        <f>_xlfn.MINIFS('DETALLE CRONOLÓGICO'!$K$2:$K$4919,'DETALLE CRONOLÓGICO'!$A$2:$A$4919,$A610)</f>
        <v/>
      </c>
      <c r="L610" s="6">
        <f>_xlfn.MAXIFS('DETALLE CRONOLÓGICO'!$K$2:$K$4919,'DETALLE CRONOLÓGICO'!$A$2:$A$4919,$A610)</f>
        <v/>
      </c>
      <c r="M610" s="6">
        <f>INDEX('DETALLE CRONOLÓGICO'!$K$2:$K$4919,MATCH($A610,'DETALLE CRONOLÓGICO'!$A$2:$A$4919,0)+$E610-1)</f>
        <v/>
      </c>
      <c r="N610" s="7">
        <f>IFERROR($M610/INDEX('DETALLE CRONOLÓGICO'!$K$2:$K$4919,MATCH($A610,'DETALLE CRONOLÓGICO'!$A$2:$A$4919,0))-1,"")</f>
        <v/>
      </c>
      <c r="O610" s="6">
        <f>IFERROR($I610*3,"")</f>
        <v/>
      </c>
      <c r="P610" s="6">
        <f>IFERROR($I610*3.5,"")</f>
        <v/>
      </c>
      <c r="Q610" s="6">
        <f>IFERROR($I610*4,"")</f>
        <v/>
      </c>
      <c r="R610" s="6" t="n">
        <v>499</v>
      </c>
      <c r="S610" s="4" t="n">
        <v>3</v>
      </c>
      <c r="T610" s="1" t="inlineStr">
        <is>
          <t>active</t>
        </is>
      </c>
      <c r="U610" s="8" t="n"/>
      <c r="V610" s="1" t="inlineStr">
        <is>
          <t>SIN PRECIO</t>
        </is>
      </c>
    </row>
    <row r="611">
      <c r="A611" s="1" t="inlineStr">
        <is>
          <t>39252671397709</t>
        </is>
      </c>
      <c r="B611" s="1" t="inlineStr">
        <is>
          <t>ANILLO LV LETTER GOLD</t>
        </is>
      </c>
      <c r="C611" s="1" t="inlineStr">
        <is>
          <t>8</t>
        </is>
      </c>
      <c r="D611" s="1" t="inlineStr">
        <is>
          <t>CYNTHIA</t>
        </is>
      </c>
      <c r="E611" s="4">
        <f>COUNTIF('DETALLE CRONOLÓGICO'!$A$2:$A$4919,$A611)</f>
        <v/>
      </c>
      <c r="F611" s="4">
        <f>SUMIFS('DETALLE CRONOLÓGICO'!$I$2:$I$4919,'DETALLE CRONOLÓGICO'!$A$2:$A$4919,$A611)</f>
        <v/>
      </c>
      <c r="G611" s="1">
        <f>INDEX('DETALLE CRONOLÓGICO'!$D$2:$D$4919,MATCH($A611,'DETALLE CRONOLÓGICO'!$A$2:$A$4919,0))</f>
        <v/>
      </c>
      <c r="H611" s="1">
        <f>INDEX('DETALLE CRONOLÓGICO'!$D$2:$D$4919,MATCH($A611,'DETALLE CRONOLÓGICO'!$A$2:$A$4919,0)+$E611-1)</f>
        <v/>
      </c>
      <c r="I611" s="5">
        <f>IFERROR(SUMIFS('DETALLE CRONOLÓGICO'!$L$2:$L$4919,'DETALLE CRONOLÓGICO'!$A$2:$A$4919,$A611)/$F611,"")</f>
        <v/>
      </c>
      <c r="J611" s="6">
        <f>IFERROR(SUMIFS('DETALLE CRONOLÓGICO'!$K$2:$K$4919,'DETALLE CRONOLÓGICO'!$A$2:$A$4919,$A611)/$E611,"")</f>
        <v/>
      </c>
      <c r="K611" s="6">
        <f>_xlfn.MINIFS('DETALLE CRONOLÓGICO'!$K$2:$K$4919,'DETALLE CRONOLÓGICO'!$A$2:$A$4919,$A611)</f>
        <v/>
      </c>
      <c r="L611" s="6">
        <f>_xlfn.MAXIFS('DETALLE CRONOLÓGICO'!$K$2:$K$4919,'DETALLE CRONOLÓGICO'!$A$2:$A$4919,$A611)</f>
        <v/>
      </c>
      <c r="M611" s="6">
        <f>INDEX('DETALLE CRONOLÓGICO'!$K$2:$K$4919,MATCH($A611,'DETALLE CRONOLÓGICO'!$A$2:$A$4919,0)+$E611-1)</f>
        <v/>
      </c>
      <c r="N611" s="7">
        <f>IFERROR($M611/INDEX('DETALLE CRONOLÓGICO'!$K$2:$K$4919,MATCH($A611,'DETALLE CRONOLÓGICO'!$A$2:$A$4919,0))-1,"")</f>
        <v/>
      </c>
      <c r="O611" s="6">
        <f>IFERROR($I611*3,"")</f>
        <v/>
      </c>
      <c r="P611" s="6">
        <f>IFERROR($I611*3.5,"")</f>
        <v/>
      </c>
      <c r="Q611" s="6">
        <f>IFERROR($I611*4,"")</f>
        <v/>
      </c>
      <c r="R611" s="6" t="n">
        <v>499</v>
      </c>
      <c r="S611" s="4" t="n">
        <v>0</v>
      </c>
      <c r="T611" s="1" t="inlineStr">
        <is>
          <t>active</t>
        </is>
      </c>
      <c r="U611" s="8" t="n"/>
      <c r="V611" s="1" t="inlineStr">
        <is>
          <t>SIN PRECIO</t>
        </is>
      </c>
    </row>
    <row r="612">
      <c r="A612" s="1" t="inlineStr">
        <is>
          <t>39252671462093</t>
        </is>
      </c>
      <c r="B612" s="1" t="inlineStr">
        <is>
          <t>LENTES GC 1SN BLACK</t>
        </is>
      </c>
      <c r="C612" s="1" t="inlineStr">
        <is>
          <t>Default Title</t>
        </is>
      </c>
      <c r="D612" s="1" t="inlineStr">
        <is>
          <t>CYNTHIA</t>
        </is>
      </c>
      <c r="E612" s="4">
        <f>COUNTIF('DETALLE CRONOLÓGICO'!$A$2:$A$4919,$A612)</f>
        <v/>
      </c>
      <c r="F612" s="4">
        <f>SUMIFS('DETALLE CRONOLÓGICO'!$I$2:$I$4919,'DETALLE CRONOLÓGICO'!$A$2:$A$4919,$A612)</f>
        <v/>
      </c>
      <c r="G612" s="1">
        <f>INDEX('DETALLE CRONOLÓGICO'!$D$2:$D$4919,MATCH($A612,'DETALLE CRONOLÓGICO'!$A$2:$A$4919,0))</f>
        <v/>
      </c>
      <c r="H612" s="1">
        <f>INDEX('DETALLE CRONOLÓGICO'!$D$2:$D$4919,MATCH($A612,'DETALLE CRONOLÓGICO'!$A$2:$A$4919,0)+$E612-1)</f>
        <v/>
      </c>
      <c r="I612" s="5">
        <f>IFERROR(SUMIFS('DETALLE CRONOLÓGICO'!$L$2:$L$4919,'DETALLE CRONOLÓGICO'!$A$2:$A$4919,$A612)/$F612,"")</f>
        <v/>
      </c>
      <c r="J612" s="6">
        <f>IFERROR(SUMIFS('DETALLE CRONOLÓGICO'!$K$2:$K$4919,'DETALLE CRONOLÓGICO'!$A$2:$A$4919,$A612)/$E612,"")</f>
        <v/>
      </c>
      <c r="K612" s="6">
        <f>_xlfn.MINIFS('DETALLE CRONOLÓGICO'!$K$2:$K$4919,'DETALLE CRONOLÓGICO'!$A$2:$A$4919,$A612)</f>
        <v/>
      </c>
      <c r="L612" s="6">
        <f>_xlfn.MAXIFS('DETALLE CRONOLÓGICO'!$K$2:$K$4919,'DETALLE CRONOLÓGICO'!$A$2:$A$4919,$A612)</f>
        <v/>
      </c>
      <c r="M612" s="6">
        <f>INDEX('DETALLE CRONOLÓGICO'!$K$2:$K$4919,MATCH($A612,'DETALLE CRONOLÓGICO'!$A$2:$A$4919,0)+$E612-1)</f>
        <v/>
      </c>
      <c r="N612" s="7">
        <f>IFERROR($M612/INDEX('DETALLE CRONOLÓGICO'!$K$2:$K$4919,MATCH($A612,'DETALLE CRONOLÓGICO'!$A$2:$A$4919,0))-1,"")</f>
        <v/>
      </c>
      <c r="O612" s="6">
        <f>IFERROR($I612*3,"")</f>
        <v/>
      </c>
      <c r="P612" s="6">
        <f>IFERROR($I612*3.5,"")</f>
        <v/>
      </c>
      <c r="Q612" s="6">
        <f>IFERROR($I612*4,"")</f>
        <v/>
      </c>
      <c r="R612" s="6" t="n">
        <v>2461</v>
      </c>
      <c r="S612" s="4" t="n">
        <v>2</v>
      </c>
      <c r="T612" s="1" t="inlineStr">
        <is>
          <t>active</t>
        </is>
      </c>
      <c r="U612" s="8" t="n"/>
      <c r="V612" s="1" t="inlineStr">
        <is>
          <t>SIN PRECIO</t>
        </is>
      </c>
    </row>
    <row r="613">
      <c r="A613" s="1" t="inlineStr">
        <is>
          <t>39252671591341</t>
        </is>
      </c>
      <c r="B613" s="1" t="inlineStr">
        <is>
          <t>GORRA LULU WHITE</t>
        </is>
      </c>
      <c r="C613" s="1" t="inlineStr">
        <is>
          <t>Default Title</t>
        </is>
      </c>
      <c r="D613" s="1" t="inlineStr">
        <is>
          <t>CYNTHIA</t>
        </is>
      </c>
      <c r="E613" s="4">
        <f>COUNTIF('DETALLE CRONOLÓGICO'!$A$2:$A$4919,$A613)</f>
        <v/>
      </c>
      <c r="F613" s="4">
        <f>SUMIFS('DETALLE CRONOLÓGICO'!$I$2:$I$4919,'DETALLE CRONOLÓGICO'!$A$2:$A$4919,$A613)</f>
        <v/>
      </c>
      <c r="G613" s="1">
        <f>INDEX('DETALLE CRONOLÓGICO'!$D$2:$D$4919,MATCH($A613,'DETALLE CRONOLÓGICO'!$A$2:$A$4919,0))</f>
        <v/>
      </c>
      <c r="H613" s="1">
        <f>INDEX('DETALLE CRONOLÓGICO'!$D$2:$D$4919,MATCH($A613,'DETALLE CRONOLÓGICO'!$A$2:$A$4919,0)+$E613-1)</f>
        <v/>
      </c>
      <c r="I613" s="5">
        <f>IFERROR(SUMIFS('DETALLE CRONOLÓGICO'!$L$2:$L$4919,'DETALLE CRONOLÓGICO'!$A$2:$A$4919,$A613)/$F613,"")</f>
        <v/>
      </c>
      <c r="J613" s="6">
        <f>IFERROR(SUMIFS('DETALLE CRONOLÓGICO'!$K$2:$K$4919,'DETALLE CRONOLÓGICO'!$A$2:$A$4919,$A613)/$E613,"")</f>
        <v/>
      </c>
      <c r="K613" s="6">
        <f>_xlfn.MINIFS('DETALLE CRONOLÓGICO'!$K$2:$K$4919,'DETALLE CRONOLÓGICO'!$A$2:$A$4919,$A613)</f>
        <v/>
      </c>
      <c r="L613" s="6">
        <f>_xlfn.MAXIFS('DETALLE CRONOLÓGICO'!$K$2:$K$4919,'DETALLE CRONOLÓGICO'!$A$2:$A$4919,$A613)</f>
        <v/>
      </c>
      <c r="M613" s="6">
        <f>INDEX('DETALLE CRONOLÓGICO'!$K$2:$K$4919,MATCH($A613,'DETALLE CRONOLÓGICO'!$A$2:$A$4919,0)+$E613-1)</f>
        <v/>
      </c>
      <c r="N613" s="7">
        <f>IFERROR($M613/INDEX('DETALLE CRONOLÓGICO'!$K$2:$K$4919,MATCH($A613,'DETALLE CRONOLÓGICO'!$A$2:$A$4919,0))-1,"")</f>
        <v/>
      </c>
      <c r="O613" s="6">
        <f>IFERROR($I613*3,"")</f>
        <v/>
      </c>
      <c r="P613" s="6">
        <f>IFERROR($I613*3.5,"")</f>
        <v/>
      </c>
      <c r="Q613" s="6">
        <f>IFERROR($I613*4,"")</f>
        <v/>
      </c>
      <c r="R613" s="6" t="n">
        <v>898.67</v>
      </c>
      <c r="S613" s="4" t="n">
        <v>1</v>
      </c>
      <c r="T613" s="1" t="inlineStr">
        <is>
          <t>active</t>
        </is>
      </c>
      <c r="U613" s="8" t="n"/>
      <c r="V613" s="1" t="inlineStr">
        <is>
          <t>SIN PRECIO</t>
        </is>
      </c>
    </row>
    <row r="614">
      <c r="A614" s="1" t="inlineStr">
        <is>
          <t>39252671787533</t>
        </is>
      </c>
      <c r="B614" s="1" t="inlineStr">
        <is>
          <t>ARRACADAS F GOLD</t>
        </is>
      </c>
      <c r="C614" s="1" t="inlineStr">
        <is>
          <t>Default Title</t>
        </is>
      </c>
      <c r="D614" s="1" t="inlineStr">
        <is>
          <t>CYNTHIA</t>
        </is>
      </c>
      <c r="E614" s="4">
        <f>COUNTIF('DETALLE CRONOLÓGICO'!$A$2:$A$4919,$A614)</f>
        <v/>
      </c>
      <c r="F614" s="4">
        <f>SUMIFS('DETALLE CRONOLÓGICO'!$I$2:$I$4919,'DETALLE CRONOLÓGICO'!$A$2:$A$4919,$A614)</f>
        <v/>
      </c>
      <c r="G614" s="1">
        <f>INDEX('DETALLE CRONOLÓGICO'!$D$2:$D$4919,MATCH($A614,'DETALLE CRONOLÓGICO'!$A$2:$A$4919,0))</f>
        <v/>
      </c>
      <c r="H614" s="1">
        <f>INDEX('DETALLE CRONOLÓGICO'!$D$2:$D$4919,MATCH($A614,'DETALLE CRONOLÓGICO'!$A$2:$A$4919,0)+$E614-1)</f>
        <v/>
      </c>
      <c r="I614" s="5">
        <f>IFERROR(SUMIFS('DETALLE CRONOLÓGICO'!$L$2:$L$4919,'DETALLE CRONOLÓGICO'!$A$2:$A$4919,$A614)/$F614,"")</f>
        <v/>
      </c>
      <c r="J614" s="6">
        <f>IFERROR(SUMIFS('DETALLE CRONOLÓGICO'!$K$2:$K$4919,'DETALLE CRONOLÓGICO'!$A$2:$A$4919,$A614)/$E614,"")</f>
        <v/>
      </c>
      <c r="K614" s="6">
        <f>_xlfn.MINIFS('DETALLE CRONOLÓGICO'!$K$2:$K$4919,'DETALLE CRONOLÓGICO'!$A$2:$A$4919,$A614)</f>
        <v/>
      </c>
      <c r="L614" s="6">
        <f>_xlfn.MAXIFS('DETALLE CRONOLÓGICO'!$K$2:$K$4919,'DETALLE CRONOLÓGICO'!$A$2:$A$4919,$A614)</f>
        <v/>
      </c>
      <c r="M614" s="6">
        <f>INDEX('DETALLE CRONOLÓGICO'!$K$2:$K$4919,MATCH($A614,'DETALLE CRONOLÓGICO'!$A$2:$A$4919,0)+$E614-1)</f>
        <v/>
      </c>
      <c r="N614" s="7">
        <f>IFERROR($M614/INDEX('DETALLE CRONOLÓGICO'!$K$2:$K$4919,MATCH($A614,'DETALLE CRONOLÓGICO'!$A$2:$A$4919,0))-1,"")</f>
        <v/>
      </c>
      <c r="O614" s="6">
        <f>IFERROR($I614*3,"")</f>
        <v/>
      </c>
      <c r="P614" s="6">
        <f>IFERROR($I614*3.5,"")</f>
        <v/>
      </c>
      <c r="Q614" s="6">
        <f>IFERROR($I614*4,"")</f>
        <v/>
      </c>
      <c r="R614" s="6" t="n">
        <v>910</v>
      </c>
      <c r="S614" s="4" t="n">
        <v>2</v>
      </c>
      <c r="T614" s="1" t="inlineStr">
        <is>
          <t>active</t>
        </is>
      </c>
      <c r="U614" s="8" t="n"/>
      <c r="V614" s="1" t="inlineStr">
        <is>
          <t>SIN PRECIO</t>
        </is>
      </c>
    </row>
    <row r="615">
      <c r="A615" s="1" t="inlineStr">
        <is>
          <t>39252671833741</t>
        </is>
      </c>
      <c r="B615" s="1" t="inlineStr">
        <is>
          <t>COLLAR F GOLD</t>
        </is>
      </c>
      <c r="C615" s="1" t="inlineStr">
        <is>
          <t>Default Title</t>
        </is>
      </c>
      <c r="D615" s="1" t="inlineStr">
        <is>
          <t>CYNTHIA</t>
        </is>
      </c>
      <c r="E615" s="4">
        <f>COUNTIF('DETALLE CRONOLÓGICO'!$A$2:$A$4919,$A615)</f>
        <v/>
      </c>
      <c r="F615" s="4">
        <f>SUMIFS('DETALLE CRONOLÓGICO'!$I$2:$I$4919,'DETALLE CRONOLÓGICO'!$A$2:$A$4919,$A615)</f>
        <v/>
      </c>
      <c r="G615" s="1">
        <f>INDEX('DETALLE CRONOLÓGICO'!$D$2:$D$4919,MATCH($A615,'DETALLE CRONOLÓGICO'!$A$2:$A$4919,0))</f>
        <v/>
      </c>
      <c r="H615" s="1">
        <f>INDEX('DETALLE CRONOLÓGICO'!$D$2:$D$4919,MATCH($A615,'DETALLE CRONOLÓGICO'!$A$2:$A$4919,0)+$E615-1)</f>
        <v/>
      </c>
      <c r="I615" s="5">
        <f>IFERROR(SUMIFS('DETALLE CRONOLÓGICO'!$L$2:$L$4919,'DETALLE CRONOLÓGICO'!$A$2:$A$4919,$A615)/$F615,"")</f>
        <v/>
      </c>
      <c r="J615" s="6">
        <f>IFERROR(SUMIFS('DETALLE CRONOLÓGICO'!$K$2:$K$4919,'DETALLE CRONOLÓGICO'!$A$2:$A$4919,$A615)/$E615,"")</f>
        <v/>
      </c>
      <c r="K615" s="6">
        <f>_xlfn.MINIFS('DETALLE CRONOLÓGICO'!$K$2:$K$4919,'DETALLE CRONOLÓGICO'!$A$2:$A$4919,$A615)</f>
        <v/>
      </c>
      <c r="L615" s="6">
        <f>_xlfn.MAXIFS('DETALLE CRONOLÓGICO'!$K$2:$K$4919,'DETALLE CRONOLÓGICO'!$A$2:$A$4919,$A615)</f>
        <v/>
      </c>
      <c r="M615" s="6">
        <f>INDEX('DETALLE CRONOLÓGICO'!$K$2:$K$4919,MATCH($A615,'DETALLE CRONOLÓGICO'!$A$2:$A$4919,0)+$E615-1)</f>
        <v/>
      </c>
      <c r="N615" s="7">
        <f>IFERROR($M615/INDEX('DETALLE CRONOLÓGICO'!$K$2:$K$4919,MATCH($A615,'DETALLE CRONOLÓGICO'!$A$2:$A$4919,0))-1,"")</f>
        <v/>
      </c>
      <c r="O615" s="6">
        <f>IFERROR($I615*3,"")</f>
        <v/>
      </c>
      <c r="P615" s="6">
        <f>IFERROR($I615*3.5,"")</f>
        <v/>
      </c>
      <c r="Q615" s="6">
        <f>IFERROR($I615*4,"")</f>
        <v/>
      </c>
      <c r="R615" s="6" t="n">
        <v>750</v>
      </c>
      <c r="S615" s="4" t="n">
        <v>3</v>
      </c>
      <c r="T615" s="1" t="inlineStr">
        <is>
          <t>active</t>
        </is>
      </c>
      <c r="U615" s="8" t="n"/>
      <c r="V615" s="1" t="inlineStr">
        <is>
          <t>SIN PRECIO</t>
        </is>
      </c>
    </row>
    <row r="616">
      <c r="A616" s="1" t="inlineStr">
        <is>
          <t>39252671973293</t>
        </is>
      </c>
      <c r="B616" s="1" t="inlineStr">
        <is>
          <t>BRAZALETE BLOSSOM ROSEGOLD ZIRCONIA</t>
        </is>
      </c>
      <c r="C616" s="1" t="inlineStr">
        <is>
          <t>Default Title</t>
        </is>
      </c>
      <c r="D616" s="1" t="inlineStr">
        <is>
          <t>CYNTHIA</t>
        </is>
      </c>
      <c r="E616" s="4">
        <f>COUNTIF('DETALLE CRONOLÓGICO'!$A$2:$A$4919,$A616)</f>
        <v/>
      </c>
      <c r="F616" s="4">
        <f>SUMIFS('DETALLE CRONOLÓGICO'!$I$2:$I$4919,'DETALLE CRONOLÓGICO'!$A$2:$A$4919,$A616)</f>
        <v/>
      </c>
      <c r="G616" s="1">
        <f>INDEX('DETALLE CRONOLÓGICO'!$D$2:$D$4919,MATCH($A616,'DETALLE CRONOLÓGICO'!$A$2:$A$4919,0))</f>
        <v/>
      </c>
      <c r="H616" s="1">
        <f>INDEX('DETALLE CRONOLÓGICO'!$D$2:$D$4919,MATCH($A616,'DETALLE CRONOLÓGICO'!$A$2:$A$4919,0)+$E616-1)</f>
        <v/>
      </c>
      <c r="I616" s="5">
        <f>IFERROR(SUMIFS('DETALLE CRONOLÓGICO'!$L$2:$L$4919,'DETALLE CRONOLÓGICO'!$A$2:$A$4919,$A616)/$F616,"")</f>
        <v/>
      </c>
      <c r="J616" s="6">
        <f>IFERROR(SUMIFS('DETALLE CRONOLÓGICO'!$K$2:$K$4919,'DETALLE CRONOLÓGICO'!$A$2:$A$4919,$A616)/$E616,"")</f>
        <v/>
      </c>
      <c r="K616" s="6">
        <f>_xlfn.MINIFS('DETALLE CRONOLÓGICO'!$K$2:$K$4919,'DETALLE CRONOLÓGICO'!$A$2:$A$4919,$A616)</f>
        <v/>
      </c>
      <c r="L616" s="6">
        <f>_xlfn.MAXIFS('DETALLE CRONOLÓGICO'!$K$2:$K$4919,'DETALLE CRONOLÓGICO'!$A$2:$A$4919,$A616)</f>
        <v/>
      </c>
      <c r="M616" s="6">
        <f>INDEX('DETALLE CRONOLÓGICO'!$K$2:$K$4919,MATCH($A616,'DETALLE CRONOLÓGICO'!$A$2:$A$4919,0)+$E616-1)</f>
        <v/>
      </c>
      <c r="N616" s="7">
        <f>IFERROR($M616/INDEX('DETALLE CRONOLÓGICO'!$K$2:$K$4919,MATCH($A616,'DETALLE CRONOLÓGICO'!$A$2:$A$4919,0))-1,"")</f>
        <v/>
      </c>
      <c r="O616" s="6">
        <f>IFERROR($I616*3,"")</f>
        <v/>
      </c>
      <c r="P616" s="6">
        <f>IFERROR($I616*3.5,"")</f>
        <v/>
      </c>
      <c r="Q616" s="6">
        <f>IFERROR($I616*4,"")</f>
        <v/>
      </c>
      <c r="R616" s="6" t="n">
        <v>950</v>
      </c>
      <c r="S616" s="4" t="n">
        <v>2</v>
      </c>
      <c r="T616" s="1" t="inlineStr">
        <is>
          <t>active</t>
        </is>
      </c>
      <c r="U616" s="8" t="n"/>
      <c r="V616" s="1" t="inlineStr">
        <is>
          <t>SIN PRECIO</t>
        </is>
      </c>
    </row>
    <row r="617">
      <c r="A617" s="1" t="inlineStr">
        <is>
          <t>39252672009453</t>
        </is>
      </c>
      <c r="B617" s="1" t="inlineStr">
        <is>
          <t>BRAZALETE BLOSSOM GOLD ZIRCONIA</t>
        </is>
      </c>
      <c r="C617" s="1" t="inlineStr">
        <is>
          <t>Default Title</t>
        </is>
      </c>
      <c r="D617" s="1" t="inlineStr">
        <is>
          <t>CYNTHIA</t>
        </is>
      </c>
      <c r="E617" s="4">
        <f>COUNTIF('DETALLE CRONOLÓGICO'!$A$2:$A$4919,$A617)</f>
        <v/>
      </c>
      <c r="F617" s="4">
        <f>SUMIFS('DETALLE CRONOLÓGICO'!$I$2:$I$4919,'DETALLE CRONOLÓGICO'!$A$2:$A$4919,$A617)</f>
        <v/>
      </c>
      <c r="G617" s="1">
        <f>INDEX('DETALLE CRONOLÓGICO'!$D$2:$D$4919,MATCH($A617,'DETALLE CRONOLÓGICO'!$A$2:$A$4919,0))</f>
        <v/>
      </c>
      <c r="H617" s="1">
        <f>INDEX('DETALLE CRONOLÓGICO'!$D$2:$D$4919,MATCH($A617,'DETALLE CRONOLÓGICO'!$A$2:$A$4919,0)+$E617-1)</f>
        <v/>
      </c>
      <c r="I617" s="5">
        <f>IFERROR(SUMIFS('DETALLE CRONOLÓGICO'!$L$2:$L$4919,'DETALLE CRONOLÓGICO'!$A$2:$A$4919,$A617)/$F617,"")</f>
        <v/>
      </c>
      <c r="J617" s="6">
        <f>IFERROR(SUMIFS('DETALLE CRONOLÓGICO'!$K$2:$K$4919,'DETALLE CRONOLÓGICO'!$A$2:$A$4919,$A617)/$E617,"")</f>
        <v/>
      </c>
      <c r="K617" s="6">
        <f>_xlfn.MINIFS('DETALLE CRONOLÓGICO'!$K$2:$K$4919,'DETALLE CRONOLÓGICO'!$A$2:$A$4919,$A617)</f>
        <v/>
      </c>
      <c r="L617" s="6">
        <f>_xlfn.MAXIFS('DETALLE CRONOLÓGICO'!$K$2:$K$4919,'DETALLE CRONOLÓGICO'!$A$2:$A$4919,$A617)</f>
        <v/>
      </c>
      <c r="M617" s="6">
        <f>INDEX('DETALLE CRONOLÓGICO'!$K$2:$K$4919,MATCH($A617,'DETALLE CRONOLÓGICO'!$A$2:$A$4919,0)+$E617-1)</f>
        <v/>
      </c>
      <c r="N617" s="7">
        <f>IFERROR($M617/INDEX('DETALLE CRONOLÓGICO'!$K$2:$K$4919,MATCH($A617,'DETALLE CRONOLÓGICO'!$A$2:$A$4919,0))-1,"")</f>
        <v/>
      </c>
      <c r="O617" s="6">
        <f>IFERROR($I617*3,"")</f>
        <v/>
      </c>
      <c r="P617" s="6">
        <f>IFERROR($I617*3.5,"")</f>
        <v/>
      </c>
      <c r="Q617" s="6">
        <f>IFERROR($I617*4,"")</f>
        <v/>
      </c>
      <c r="R617" s="6" t="n">
        <v>955</v>
      </c>
      <c r="S617" s="4" t="n">
        <v>0</v>
      </c>
      <c r="T617" s="1" t="inlineStr">
        <is>
          <t>active</t>
        </is>
      </c>
      <c r="U617" s="8" t="n"/>
      <c r="V617" s="1" t="inlineStr">
        <is>
          <t>SIN PRECIO</t>
        </is>
      </c>
    </row>
    <row r="618">
      <c r="A618" s="1" t="inlineStr">
        <is>
          <t>39252672178381</t>
        </is>
      </c>
      <c r="B618" s="1" t="inlineStr">
        <is>
          <t>ARRACADAS BLOSSOM GOLD ZIRCONIAS</t>
        </is>
      </c>
      <c r="C618" s="1" t="inlineStr">
        <is>
          <t>Default Title</t>
        </is>
      </c>
      <c r="D618" s="1" t="inlineStr">
        <is>
          <t>CYNTHIA</t>
        </is>
      </c>
      <c r="E618" s="4">
        <f>COUNTIF('DETALLE CRONOLÓGICO'!$A$2:$A$4919,$A618)</f>
        <v/>
      </c>
      <c r="F618" s="4">
        <f>SUMIFS('DETALLE CRONOLÓGICO'!$I$2:$I$4919,'DETALLE CRONOLÓGICO'!$A$2:$A$4919,$A618)</f>
        <v/>
      </c>
      <c r="G618" s="1">
        <f>INDEX('DETALLE CRONOLÓGICO'!$D$2:$D$4919,MATCH($A618,'DETALLE CRONOLÓGICO'!$A$2:$A$4919,0))</f>
        <v/>
      </c>
      <c r="H618" s="1">
        <f>INDEX('DETALLE CRONOLÓGICO'!$D$2:$D$4919,MATCH($A618,'DETALLE CRONOLÓGICO'!$A$2:$A$4919,0)+$E618-1)</f>
        <v/>
      </c>
      <c r="I618" s="5">
        <f>IFERROR(SUMIFS('DETALLE CRONOLÓGICO'!$L$2:$L$4919,'DETALLE CRONOLÓGICO'!$A$2:$A$4919,$A618)/$F618,"")</f>
        <v/>
      </c>
      <c r="J618" s="6">
        <f>IFERROR(SUMIFS('DETALLE CRONOLÓGICO'!$K$2:$K$4919,'DETALLE CRONOLÓGICO'!$A$2:$A$4919,$A618)/$E618,"")</f>
        <v/>
      </c>
      <c r="K618" s="6">
        <f>_xlfn.MINIFS('DETALLE CRONOLÓGICO'!$K$2:$K$4919,'DETALLE CRONOLÓGICO'!$A$2:$A$4919,$A618)</f>
        <v/>
      </c>
      <c r="L618" s="6">
        <f>_xlfn.MAXIFS('DETALLE CRONOLÓGICO'!$K$2:$K$4919,'DETALLE CRONOLÓGICO'!$A$2:$A$4919,$A618)</f>
        <v/>
      </c>
      <c r="M618" s="6">
        <f>INDEX('DETALLE CRONOLÓGICO'!$K$2:$K$4919,MATCH($A618,'DETALLE CRONOLÓGICO'!$A$2:$A$4919,0)+$E618-1)</f>
        <v/>
      </c>
      <c r="N618" s="7">
        <f>IFERROR($M618/INDEX('DETALLE CRONOLÓGICO'!$K$2:$K$4919,MATCH($A618,'DETALLE CRONOLÓGICO'!$A$2:$A$4919,0))-1,"")</f>
        <v/>
      </c>
      <c r="O618" s="6">
        <f>IFERROR($I618*3,"")</f>
        <v/>
      </c>
      <c r="P618" s="6">
        <f>IFERROR($I618*3.5,"")</f>
        <v/>
      </c>
      <c r="Q618" s="6">
        <f>IFERROR($I618*4,"")</f>
        <v/>
      </c>
      <c r="R618" s="6" t="n">
        <v>925</v>
      </c>
      <c r="S618" s="4" t="n">
        <v>2</v>
      </c>
      <c r="T618" s="1" t="inlineStr">
        <is>
          <t>active</t>
        </is>
      </c>
      <c r="U618" s="8" t="n"/>
      <c r="V618" s="1" t="inlineStr">
        <is>
          <t>SIN PRECIO</t>
        </is>
      </c>
    </row>
    <row r="619">
      <c r="A619" s="1" t="inlineStr">
        <is>
          <t>39396101044045</t>
        </is>
      </c>
      <c r="B619" s="1" t="inlineStr">
        <is>
          <t>PULSERA KNOT GOLD CON ZIRCONIA</t>
        </is>
      </c>
      <c r="C619" s="1" t="inlineStr">
        <is>
          <t>Default Title</t>
        </is>
      </c>
      <c r="D619" s="1" t="inlineStr">
        <is>
          <t>HAIFENG</t>
        </is>
      </c>
      <c r="E619" s="4">
        <f>COUNTIF('DETALLE CRONOLÓGICO'!$A$2:$A$4919,$A619)</f>
        <v/>
      </c>
      <c r="F619" s="4">
        <f>SUMIFS('DETALLE CRONOLÓGICO'!$I$2:$I$4919,'DETALLE CRONOLÓGICO'!$A$2:$A$4919,$A619)</f>
        <v/>
      </c>
      <c r="G619" s="1">
        <f>INDEX('DETALLE CRONOLÓGICO'!$D$2:$D$4919,MATCH($A619,'DETALLE CRONOLÓGICO'!$A$2:$A$4919,0))</f>
        <v/>
      </c>
      <c r="H619" s="1">
        <f>INDEX('DETALLE CRONOLÓGICO'!$D$2:$D$4919,MATCH($A619,'DETALLE CRONOLÓGICO'!$A$2:$A$4919,0)+$E619-1)</f>
        <v/>
      </c>
      <c r="I619" s="5">
        <f>IFERROR(SUMIFS('DETALLE CRONOLÓGICO'!$L$2:$L$4919,'DETALLE CRONOLÓGICO'!$A$2:$A$4919,$A619)/$F619,"")</f>
        <v/>
      </c>
      <c r="J619" s="6">
        <f>IFERROR(SUMIFS('DETALLE CRONOLÓGICO'!$K$2:$K$4919,'DETALLE CRONOLÓGICO'!$A$2:$A$4919,$A619)/$E619,"")</f>
        <v/>
      </c>
      <c r="K619" s="6">
        <f>_xlfn.MINIFS('DETALLE CRONOLÓGICO'!$K$2:$K$4919,'DETALLE CRONOLÓGICO'!$A$2:$A$4919,$A619)</f>
        <v/>
      </c>
      <c r="L619" s="6">
        <f>_xlfn.MAXIFS('DETALLE CRONOLÓGICO'!$K$2:$K$4919,'DETALLE CRONOLÓGICO'!$A$2:$A$4919,$A619)</f>
        <v/>
      </c>
      <c r="M619" s="6">
        <f>INDEX('DETALLE CRONOLÓGICO'!$K$2:$K$4919,MATCH($A619,'DETALLE CRONOLÓGICO'!$A$2:$A$4919,0)+$E619-1)</f>
        <v/>
      </c>
      <c r="N619" s="7">
        <f>IFERROR($M619/INDEX('DETALLE CRONOLÓGICO'!$K$2:$K$4919,MATCH($A619,'DETALLE CRONOLÓGICO'!$A$2:$A$4919,0))-1,"")</f>
        <v/>
      </c>
      <c r="O619" s="6">
        <f>IFERROR($I619*3,"")</f>
        <v/>
      </c>
      <c r="P619" s="6">
        <f>IFERROR($I619*3.5,"")</f>
        <v/>
      </c>
      <c r="Q619" s="6">
        <f>IFERROR($I619*4,"")</f>
        <v/>
      </c>
      <c r="R619" s="6" t="n">
        <v>1199</v>
      </c>
      <c r="S619" s="4" t="n">
        <v>2</v>
      </c>
      <c r="T619" s="1" t="inlineStr">
        <is>
          <t>active</t>
        </is>
      </c>
      <c r="U619" s="8" t="n"/>
      <c r="V619" s="1" t="inlineStr">
        <is>
          <t>SIN PRECIO</t>
        </is>
      </c>
    </row>
    <row r="620">
      <c r="A620" s="1" t="inlineStr">
        <is>
          <t>39966871032781</t>
        </is>
      </c>
      <c r="B620" s="1" t="inlineStr">
        <is>
          <t>COLLAR MSS GOLD CON ZIRCONIA</t>
        </is>
      </c>
      <c r="C620" s="1" t="inlineStr">
        <is>
          <t>Default Title</t>
        </is>
      </c>
      <c r="D620" s="1" t="inlineStr">
        <is>
          <t>HAIFENG</t>
        </is>
      </c>
      <c r="E620" s="4">
        <f>COUNTIF('DETALLE CRONOLÓGICO'!$A$2:$A$4919,$A620)</f>
        <v/>
      </c>
      <c r="F620" s="4">
        <f>SUMIFS('DETALLE CRONOLÓGICO'!$I$2:$I$4919,'DETALLE CRONOLÓGICO'!$A$2:$A$4919,$A620)</f>
        <v/>
      </c>
      <c r="G620" s="1">
        <f>INDEX('DETALLE CRONOLÓGICO'!$D$2:$D$4919,MATCH($A620,'DETALLE CRONOLÓGICO'!$A$2:$A$4919,0))</f>
        <v/>
      </c>
      <c r="H620" s="1">
        <f>INDEX('DETALLE CRONOLÓGICO'!$D$2:$D$4919,MATCH($A620,'DETALLE CRONOLÓGICO'!$A$2:$A$4919,0)+$E620-1)</f>
        <v/>
      </c>
      <c r="I620" s="5">
        <f>IFERROR(SUMIFS('DETALLE CRONOLÓGICO'!$L$2:$L$4919,'DETALLE CRONOLÓGICO'!$A$2:$A$4919,$A620)/$F620,"")</f>
        <v/>
      </c>
      <c r="J620" s="6">
        <f>IFERROR(SUMIFS('DETALLE CRONOLÓGICO'!$K$2:$K$4919,'DETALLE CRONOLÓGICO'!$A$2:$A$4919,$A620)/$E620,"")</f>
        <v/>
      </c>
      <c r="K620" s="6">
        <f>_xlfn.MINIFS('DETALLE CRONOLÓGICO'!$K$2:$K$4919,'DETALLE CRONOLÓGICO'!$A$2:$A$4919,$A620)</f>
        <v/>
      </c>
      <c r="L620" s="6">
        <f>_xlfn.MAXIFS('DETALLE CRONOLÓGICO'!$K$2:$K$4919,'DETALLE CRONOLÓGICO'!$A$2:$A$4919,$A620)</f>
        <v/>
      </c>
      <c r="M620" s="6">
        <f>INDEX('DETALLE CRONOLÓGICO'!$K$2:$K$4919,MATCH($A620,'DETALLE CRONOLÓGICO'!$A$2:$A$4919,0)+$E620-1)</f>
        <v/>
      </c>
      <c r="N620" s="7">
        <f>IFERROR($M620/INDEX('DETALLE CRONOLÓGICO'!$K$2:$K$4919,MATCH($A620,'DETALLE CRONOLÓGICO'!$A$2:$A$4919,0))-1,"")</f>
        <v/>
      </c>
      <c r="O620" s="6">
        <f>IFERROR($I620*3,"")</f>
        <v/>
      </c>
      <c r="P620" s="6">
        <f>IFERROR($I620*3.5,"")</f>
        <v/>
      </c>
      <c r="Q620" s="6">
        <f>IFERROR($I620*4,"")</f>
        <v/>
      </c>
      <c r="R620" s="6" t="n">
        <v>660</v>
      </c>
      <c r="S620" s="4" t="n">
        <v>0</v>
      </c>
      <c r="T620" s="1" t="inlineStr">
        <is>
          <t>active</t>
        </is>
      </c>
      <c r="U620" s="8" t="n"/>
      <c r="V620" s="1" t="inlineStr">
        <is>
          <t>SIN PRECIO</t>
        </is>
      </c>
    </row>
    <row r="621">
      <c r="A621" s="1" t="inlineStr">
        <is>
          <t>40049131038989</t>
        </is>
      </c>
      <c r="B621" s="1" t="inlineStr">
        <is>
          <t>TARJETERO CD OBLIQUE BLACK</t>
        </is>
      </c>
      <c r="C621" s="1" t="inlineStr">
        <is>
          <t>Default Title</t>
        </is>
      </c>
      <c r="D621" s="1" t="inlineStr">
        <is>
          <t>NANCY</t>
        </is>
      </c>
      <c r="E621" s="4">
        <f>COUNTIF('DETALLE CRONOLÓGICO'!$A$2:$A$4919,$A621)</f>
        <v/>
      </c>
      <c r="F621" s="4">
        <f>SUMIFS('DETALLE CRONOLÓGICO'!$I$2:$I$4919,'DETALLE CRONOLÓGICO'!$A$2:$A$4919,$A621)</f>
        <v/>
      </c>
      <c r="G621" s="1">
        <f>INDEX('DETALLE CRONOLÓGICO'!$D$2:$D$4919,MATCH($A621,'DETALLE CRONOLÓGICO'!$A$2:$A$4919,0))</f>
        <v/>
      </c>
      <c r="H621" s="1">
        <f>INDEX('DETALLE CRONOLÓGICO'!$D$2:$D$4919,MATCH($A621,'DETALLE CRONOLÓGICO'!$A$2:$A$4919,0)+$E621-1)</f>
        <v/>
      </c>
      <c r="I621" s="5">
        <f>IFERROR(SUMIFS('DETALLE CRONOLÓGICO'!$L$2:$L$4919,'DETALLE CRONOLÓGICO'!$A$2:$A$4919,$A621)/$F621,"")</f>
        <v/>
      </c>
      <c r="J621" s="6">
        <f>IFERROR(SUMIFS('DETALLE CRONOLÓGICO'!$K$2:$K$4919,'DETALLE CRONOLÓGICO'!$A$2:$A$4919,$A621)/$E621,"")</f>
        <v/>
      </c>
      <c r="K621" s="6">
        <f>_xlfn.MINIFS('DETALLE CRONOLÓGICO'!$K$2:$K$4919,'DETALLE CRONOLÓGICO'!$A$2:$A$4919,$A621)</f>
        <v/>
      </c>
      <c r="L621" s="6">
        <f>_xlfn.MAXIFS('DETALLE CRONOLÓGICO'!$K$2:$K$4919,'DETALLE CRONOLÓGICO'!$A$2:$A$4919,$A621)</f>
        <v/>
      </c>
      <c r="M621" s="6">
        <f>INDEX('DETALLE CRONOLÓGICO'!$K$2:$K$4919,MATCH($A621,'DETALLE CRONOLÓGICO'!$A$2:$A$4919,0)+$E621-1)</f>
        <v/>
      </c>
      <c r="N621" s="7">
        <f>IFERROR($M621/INDEX('DETALLE CRONOLÓGICO'!$K$2:$K$4919,MATCH($A621,'DETALLE CRONOLÓGICO'!$A$2:$A$4919,0))-1,"")</f>
        <v/>
      </c>
      <c r="O621" s="6">
        <f>IFERROR($I621*3,"")</f>
        <v/>
      </c>
      <c r="P621" s="6">
        <f>IFERROR($I621*3.5,"")</f>
        <v/>
      </c>
      <c r="Q621" s="6">
        <f>IFERROR($I621*4,"")</f>
        <v/>
      </c>
      <c r="R621" s="6" t="n">
        <v>999</v>
      </c>
      <c r="S621" s="4" t="n">
        <v>2</v>
      </c>
      <c r="T621" s="1" t="inlineStr">
        <is>
          <t>draft</t>
        </is>
      </c>
      <c r="U621" s="8" t="n"/>
      <c r="V621" s="1" t="inlineStr">
        <is>
          <t>SIN PRECIO</t>
        </is>
      </c>
    </row>
    <row r="622">
      <c r="A622" s="1" t="inlineStr">
        <is>
          <t>40049131140685</t>
        </is>
      </c>
      <c r="B622" s="1" t="inlineStr">
        <is>
          <t>CARTERA LV X MURKAMI</t>
        </is>
      </c>
      <c r="C622" s="1" t="inlineStr">
        <is>
          <t>Default Title</t>
        </is>
      </c>
      <c r="D622" s="1" t="inlineStr">
        <is>
          <t>NANCY</t>
        </is>
      </c>
      <c r="E622" s="4">
        <f>COUNTIF('DETALLE CRONOLÓGICO'!$A$2:$A$4919,$A622)</f>
        <v/>
      </c>
      <c r="F622" s="4">
        <f>SUMIFS('DETALLE CRONOLÓGICO'!$I$2:$I$4919,'DETALLE CRONOLÓGICO'!$A$2:$A$4919,$A622)</f>
        <v/>
      </c>
      <c r="G622" s="1">
        <f>INDEX('DETALLE CRONOLÓGICO'!$D$2:$D$4919,MATCH($A622,'DETALLE CRONOLÓGICO'!$A$2:$A$4919,0))</f>
        <v/>
      </c>
      <c r="H622" s="1">
        <f>INDEX('DETALLE CRONOLÓGICO'!$D$2:$D$4919,MATCH($A622,'DETALLE CRONOLÓGICO'!$A$2:$A$4919,0)+$E622-1)</f>
        <v/>
      </c>
      <c r="I622" s="5">
        <f>IFERROR(SUMIFS('DETALLE CRONOLÓGICO'!$L$2:$L$4919,'DETALLE CRONOLÓGICO'!$A$2:$A$4919,$A622)/$F622,"")</f>
        <v/>
      </c>
      <c r="J622" s="6">
        <f>IFERROR(SUMIFS('DETALLE CRONOLÓGICO'!$K$2:$K$4919,'DETALLE CRONOLÓGICO'!$A$2:$A$4919,$A622)/$E622,"")</f>
        <v/>
      </c>
      <c r="K622" s="6">
        <f>_xlfn.MINIFS('DETALLE CRONOLÓGICO'!$K$2:$K$4919,'DETALLE CRONOLÓGICO'!$A$2:$A$4919,$A622)</f>
        <v/>
      </c>
      <c r="L622" s="6">
        <f>_xlfn.MAXIFS('DETALLE CRONOLÓGICO'!$K$2:$K$4919,'DETALLE CRONOLÓGICO'!$A$2:$A$4919,$A622)</f>
        <v/>
      </c>
      <c r="M622" s="6">
        <f>INDEX('DETALLE CRONOLÓGICO'!$K$2:$K$4919,MATCH($A622,'DETALLE CRONOLÓGICO'!$A$2:$A$4919,0)+$E622-1)</f>
        <v/>
      </c>
      <c r="N622" s="7">
        <f>IFERROR($M622/INDEX('DETALLE CRONOLÓGICO'!$K$2:$K$4919,MATCH($A622,'DETALLE CRONOLÓGICO'!$A$2:$A$4919,0))-1,"")</f>
        <v/>
      </c>
      <c r="O622" s="6">
        <f>IFERROR($I622*3,"")</f>
        <v/>
      </c>
      <c r="P622" s="6">
        <f>IFERROR($I622*3.5,"")</f>
        <v/>
      </c>
      <c r="Q622" s="6">
        <f>IFERROR($I622*4,"")</f>
        <v/>
      </c>
      <c r="R622" s="6" t="n">
        <v>1350</v>
      </c>
      <c r="S622" s="4" t="n">
        <v>0</v>
      </c>
      <c r="T622" s="1" t="inlineStr">
        <is>
          <t>active</t>
        </is>
      </c>
      <c r="U622" s="8" t="n"/>
      <c r="V622" s="1" t="inlineStr">
        <is>
          <t>SIN PRECIO</t>
        </is>
      </c>
    </row>
    <row r="623">
      <c r="A623" s="1" t="inlineStr">
        <is>
          <t>40049131275149</t>
        </is>
      </c>
      <c r="B623" s="1" t="inlineStr">
        <is>
          <t>CARTERA LV VICTOIRE BICOLOR</t>
        </is>
      </c>
      <c r="C623" s="1" t="inlineStr">
        <is>
          <t>Default Title</t>
        </is>
      </c>
      <c r="D623" s="1" t="inlineStr">
        <is>
          <t>NANCY</t>
        </is>
      </c>
      <c r="E623" s="4">
        <f>COUNTIF('DETALLE CRONOLÓGICO'!$A$2:$A$4919,$A623)</f>
        <v/>
      </c>
      <c r="F623" s="4">
        <f>SUMIFS('DETALLE CRONOLÓGICO'!$I$2:$I$4919,'DETALLE CRONOLÓGICO'!$A$2:$A$4919,$A623)</f>
        <v/>
      </c>
      <c r="G623" s="1">
        <f>INDEX('DETALLE CRONOLÓGICO'!$D$2:$D$4919,MATCH($A623,'DETALLE CRONOLÓGICO'!$A$2:$A$4919,0))</f>
        <v/>
      </c>
      <c r="H623" s="1">
        <f>INDEX('DETALLE CRONOLÓGICO'!$D$2:$D$4919,MATCH($A623,'DETALLE CRONOLÓGICO'!$A$2:$A$4919,0)+$E623-1)</f>
        <v/>
      </c>
      <c r="I623" s="5">
        <f>IFERROR(SUMIFS('DETALLE CRONOLÓGICO'!$L$2:$L$4919,'DETALLE CRONOLÓGICO'!$A$2:$A$4919,$A623)/$F623,"")</f>
        <v/>
      </c>
      <c r="J623" s="6">
        <f>IFERROR(SUMIFS('DETALLE CRONOLÓGICO'!$K$2:$K$4919,'DETALLE CRONOLÓGICO'!$A$2:$A$4919,$A623)/$E623,"")</f>
        <v/>
      </c>
      <c r="K623" s="6">
        <f>_xlfn.MINIFS('DETALLE CRONOLÓGICO'!$K$2:$K$4919,'DETALLE CRONOLÓGICO'!$A$2:$A$4919,$A623)</f>
        <v/>
      </c>
      <c r="L623" s="6">
        <f>_xlfn.MAXIFS('DETALLE CRONOLÓGICO'!$K$2:$K$4919,'DETALLE CRONOLÓGICO'!$A$2:$A$4919,$A623)</f>
        <v/>
      </c>
      <c r="M623" s="6">
        <f>INDEX('DETALLE CRONOLÓGICO'!$K$2:$K$4919,MATCH($A623,'DETALLE CRONOLÓGICO'!$A$2:$A$4919,0)+$E623-1)</f>
        <v/>
      </c>
      <c r="N623" s="7">
        <f>IFERROR($M623/INDEX('DETALLE CRONOLÓGICO'!$K$2:$K$4919,MATCH($A623,'DETALLE CRONOLÓGICO'!$A$2:$A$4919,0))-1,"")</f>
        <v/>
      </c>
      <c r="O623" s="6">
        <f>IFERROR($I623*3,"")</f>
        <v/>
      </c>
      <c r="P623" s="6">
        <f>IFERROR($I623*3.5,"")</f>
        <v/>
      </c>
      <c r="Q623" s="6">
        <f>IFERROR($I623*4,"")</f>
        <v/>
      </c>
      <c r="R623" s="6" t="n">
        <v>1399</v>
      </c>
      <c r="S623" s="4" t="n">
        <v>0</v>
      </c>
      <c r="T623" s="1" t="inlineStr">
        <is>
          <t>active</t>
        </is>
      </c>
      <c r="U623" s="8" t="n"/>
      <c r="V623" s="1" t="inlineStr">
        <is>
          <t>SIN PRECIO</t>
        </is>
      </c>
    </row>
    <row r="624">
      <c r="A624" s="1" t="inlineStr">
        <is>
          <t>40049131342381</t>
        </is>
      </c>
      <c r="B624" s="1" t="inlineStr">
        <is>
          <t>MONEDERO LV MONOGRAM BLACK</t>
        </is>
      </c>
      <c r="C624" s="1" t="inlineStr">
        <is>
          <t>Default Title</t>
        </is>
      </c>
      <c r="D624" s="1" t="inlineStr">
        <is>
          <t>NANCY</t>
        </is>
      </c>
      <c r="E624" s="4">
        <f>COUNTIF('DETALLE CRONOLÓGICO'!$A$2:$A$4919,$A624)</f>
        <v/>
      </c>
      <c r="F624" s="4">
        <f>SUMIFS('DETALLE CRONOLÓGICO'!$I$2:$I$4919,'DETALLE CRONOLÓGICO'!$A$2:$A$4919,$A624)</f>
        <v/>
      </c>
      <c r="G624" s="1">
        <f>INDEX('DETALLE CRONOLÓGICO'!$D$2:$D$4919,MATCH($A624,'DETALLE CRONOLÓGICO'!$A$2:$A$4919,0))</f>
        <v/>
      </c>
      <c r="H624" s="1">
        <f>INDEX('DETALLE CRONOLÓGICO'!$D$2:$D$4919,MATCH($A624,'DETALLE CRONOLÓGICO'!$A$2:$A$4919,0)+$E624-1)</f>
        <v/>
      </c>
      <c r="I624" s="5">
        <f>IFERROR(SUMIFS('DETALLE CRONOLÓGICO'!$L$2:$L$4919,'DETALLE CRONOLÓGICO'!$A$2:$A$4919,$A624)/$F624,"")</f>
        <v/>
      </c>
      <c r="J624" s="6">
        <f>IFERROR(SUMIFS('DETALLE CRONOLÓGICO'!$K$2:$K$4919,'DETALLE CRONOLÓGICO'!$A$2:$A$4919,$A624)/$E624,"")</f>
        <v/>
      </c>
      <c r="K624" s="6">
        <f>_xlfn.MINIFS('DETALLE CRONOLÓGICO'!$K$2:$K$4919,'DETALLE CRONOLÓGICO'!$A$2:$A$4919,$A624)</f>
        <v/>
      </c>
      <c r="L624" s="6">
        <f>_xlfn.MAXIFS('DETALLE CRONOLÓGICO'!$K$2:$K$4919,'DETALLE CRONOLÓGICO'!$A$2:$A$4919,$A624)</f>
        <v/>
      </c>
      <c r="M624" s="6">
        <f>INDEX('DETALLE CRONOLÓGICO'!$K$2:$K$4919,MATCH($A624,'DETALLE CRONOLÓGICO'!$A$2:$A$4919,0)+$E624-1)</f>
        <v/>
      </c>
      <c r="N624" s="7">
        <f>IFERROR($M624/INDEX('DETALLE CRONOLÓGICO'!$K$2:$K$4919,MATCH($A624,'DETALLE CRONOLÓGICO'!$A$2:$A$4919,0))-1,"")</f>
        <v/>
      </c>
      <c r="O624" s="6">
        <f>IFERROR($I624*3,"")</f>
        <v/>
      </c>
      <c r="P624" s="6">
        <f>IFERROR($I624*3.5,"")</f>
        <v/>
      </c>
      <c r="Q624" s="6">
        <f>IFERROR($I624*4,"")</f>
        <v/>
      </c>
      <c r="R624" s="6" t="n">
        <v>850</v>
      </c>
      <c r="S624" s="4" t="n">
        <v>0</v>
      </c>
      <c r="T624" s="1" t="inlineStr">
        <is>
          <t>active</t>
        </is>
      </c>
      <c r="U624" s="8" t="n"/>
      <c r="V624" s="1" t="inlineStr">
        <is>
          <t>SIN PRECIO</t>
        </is>
      </c>
    </row>
    <row r="625">
      <c r="A625" s="1" t="inlineStr">
        <is>
          <t>40049131409613</t>
        </is>
      </c>
      <c r="B625" s="1" t="inlineStr">
        <is>
          <t>MONEDERO LV ROSALIE DAMIER</t>
        </is>
      </c>
      <c r="C625" s="1" t="inlineStr">
        <is>
          <t>Default Title</t>
        </is>
      </c>
      <c r="D625" s="1" t="inlineStr">
        <is>
          <t>NANCY</t>
        </is>
      </c>
      <c r="E625" s="4">
        <f>COUNTIF('DETALLE CRONOLÓGICO'!$A$2:$A$4919,$A625)</f>
        <v/>
      </c>
      <c r="F625" s="4">
        <f>SUMIFS('DETALLE CRONOLÓGICO'!$I$2:$I$4919,'DETALLE CRONOLÓGICO'!$A$2:$A$4919,$A625)</f>
        <v/>
      </c>
      <c r="G625" s="1">
        <f>INDEX('DETALLE CRONOLÓGICO'!$D$2:$D$4919,MATCH($A625,'DETALLE CRONOLÓGICO'!$A$2:$A$4919,0))</f>
        <v/>
      </c>
      <c r="H625" s="1">
        <f>INDEX('DETALLE CRONOLÓGICO'!$D$2:$D$4919,MATCH($A625,'DETALLE CRONOLÓGICO'!$A$2:$A$4919,0)+$E625-1)</f>
        <v/>
      </c>
      <c r="I625" s="5">
        <f>IFERROR(SUMIFS('DETALLE CRONOLÓGICO'!$L$2:$L$4919,'DETALLE CRONOLÓGICO'!$A$2:$A$4919,$A625)/$F625,"")</f>
        <v/>
      </c>
      <c r="J625" s="6">
        <f>IFERROR(SUMIFS('DETALLE CRONOLÓGICO'!$K$2:$K$4919,'DETALLE CRONOLÓGICO'!$A$2:$A$4919,$A625)/$E625,"")</f>
        <v/>
      </c>
      <c r="K625" s="6">
        <f>_xlfn.MINIFS('DETALLE CRONOLÓGICO'!$K$2:$K$4919,'DETALLE CRONOLÓGICO'!$A$2:$A$4919,$A625)</f>
        <v/>
      </c>
      <c r="L625" s="6">
        <f>_xlfn.MAXIFS('DETALLE CRONOLÓGICO'!$K$2:$K$4919,'DETALLE CRONOLÓGICO'!$A$2:$A$4919,$A625)</f>
        <v/>
      </c>
      <c r="M625" s="6">
        <f>INDEX('DETALLE CRONOLÓGICO'!$K$2:$K$4919,MATCH($A625,'DETALLE CRONOLÓGICO'!$A$2:$A$4919,0)+$E625-1)</f>
        <v/>
      </c>
      <c r="N625" s="7">
        <f>IFERROR($M625/INDEX('DETALLE CRONOLÓGICO'!$K$2:$K$4919,MATCH($A625,'DETALLE CRONOLÓGICO'!$A$2:$A$4919,0))-1,"")</f>
        <v/>
      </c>
      <c r="O625" s="6">
        <f>IFERROR($I625*3,"")</f>
        <v/>
      </c>
      <c r="P625" s="6">
        <f>IFERROR($I625*3.5,"")</f>
        <v/>
      </c>
      <c r="Q625" s="6">
        <f>IFERROR($I625*4,"")</f>
        <v/>
      </c>
      <c r="R625" s="6" t="n">
        <v>850</v>
      </c>
      <c r="S625" s="4" t="n">
        <v>2</v>
      </c>
      <c r="T625" s="1" t="inlineStr">
        <is>
          <t>active</t>
        </is>
      </c>
      <c r="U625" s="8" t="n"/>
      <c r="V625" s="1" t="inlineStr">
        <is>
          <t>SIN PRECIO</t>
        </is>
      </c>
    </row>
    <row r="626">
      <c r="A626" s="1" t="inlineStr">
        <is>
          <t>40049131576845</t>
        </is>
      </c>
      <c r="B626" s="1" t="inlineStr">
        <is>
          <t>MONEDERO LV MONOGRAM</t>
        </is>
      </c>
      <c r="C626" s="1" t="inlineStr">
        <is>
          <t>Default Title</t>
        </is>
      </c>
      <c r="D626" s="1" t="inlineStr">
        <is>
          <t>NANCY</t>
        </is>
      </c>
      <c r="E626" s="4">
        <f>COUNTIF('DETALLE CRONOLÓGICO'!$A$2:$A$4919,$A626)</f>
        <v/>
      </c>
      <c r="F626" s="4">
        <f>SUMIFS('DETALLE CRONOLÓGICO'!$I$2:$I$4919,'DETALLE CRONOLÓGICO'!$A$2:$A$4919,$A626)</f>
        <v/>
      </c>
      <c r="G626" s="1">
        <f>INDEX('DETALLE CRONOLÓGICO'!$D$2:$D$4919,MATCH($A626,'DETALLE CRONOLÓGICO'!$A$2:$A$4919,0))</f>
        <v/>
      </c>
      <c r="H626" s="1">
        <f>INDEX('DETALLE CRONOLÓGICO'!$D$2:$D$4919,MATCH($A626,'DETALLE CRONOLÓGICO'!$A$2:$A$4919,0)+$E626-1)</f>
        <v/>
      </c>
      <c r="I626" s="5">
        <f>IFERROR(SUMIFS('DETALLE CRONOLÓGICO'!$L$2:$L$4919,'DETALLE CRONOLÓGICO'!$A$2:$A$4919,$A626)/$F626,"")</f>
        <v/>
      </c>
      <c r="J626" s="6">
        <f>IFERROR(SUMIFS('DETALLE CRONOLÓGICO'!$K$2:$K$4919,'DETALLE CRONOLÓGICO'!$A$2:$A$4919,$A626)/$E626,"")</f>
        <v/>
      </c>
      <c r="K626" s="6">
        <f>_xlfn.MINIFS('DETALLE CRONOLÓGICO'!$K$2:$K$4919,'DETALLE CRONOLÓGICO'!$A$2:$A$4919,$A626)</f>
        <v/>
      </c>
      <c r="L626" s="6">
        <f>_xlfn.MAXIFS('DETALLE CRONOLÓGICO'!$K$2:$K$4919,'DETALLE CRONOLÓGICO'!$A$2:$A$4919,$A626)</f>
        <v/>
      </c>
      <c r="M626" s="6">
        <f>INDEX('DETALLE CRONOLÓGICO'!$K$2:$K$4919,MATCH($A626,'DETALLE CRONOLÓGICO'!$A$2:$A$4919,0)+$E626-1)</f>
        <v/>
      </c>
      <c r="N626" s="7">
        <f>IFERROR($M626/INDEX('DETALLE CRONOLÓGICO'!$K$2:$K$4919,MATCH($A626,'DETALLE CRONOLÓGICO'!$A$2:$A$4919,0))-1,"")</f>
        <v/>
      </c>
      <c r="O626" s="6">
        <f>IFERROR($I626*3,"")</f>
        <v/>
      </c>
      <c r="P626" s="6">
        <f>IFERROR($I626*3.5,"")</f>
        <v/>
      </c>
      <c r="Q626" s="6">
        <f>IFERROR($I626*4,"")</f>
        <v/>
      </c>
      <c r="R626" s="6" t="n">
        <v>1199</v>
      </c>
      <c r="S626" s="4" t="n">
        <v>2</v>
      </c>
      <c r="T626" s="1" t="inlineStr">
        <is>
          <t>active</t>
        </is>
      </c>
      <c r="U626" s="8" t="n"/>
      <c r="V626" s="1" t="inlineStr">
        <is>
          <t>SIN PRECIO</t>
        </is>
      </c>
    </row>
    <row r="627">
      <c r="A627" s="1" t="inlineStr">
        <is>
          <t>40071861011917</t>
        </is>
      </c>
      <c r="B627" s="1" t="inlineStr">
        <is>
          <t>CONJUNTO DEPORTIVO A NEGRO</t>
        </is>
      </c>
      <c r="C627" s="1" t="inlineStr">
        <is>
          <t>M</t>
        </is>
      </c>
      <c r="D627" s="1" t="inlineStr">
        <is>
          <t>ZOEY</t>
        </is>
      </c>
      <c r="E627" s="4">
        <f>COUNTIF('DETALLE CRONOLÓGICO'!$A$2:$A$4919,$A627)</f>
        <v/>
      </c>
      <c r="F627" s="4">
        <f>SUMIFS('DETALLE CRONOLÓGICO'!$I$2:$I$4919,'DETALLE CRONOLÓGICO'!$A$2:$A$4919,$A627)</f>
        <v/>
      </c>
      <c r="G627" s="1">
        <f>INDEX('DETALLE CRONOLÓGICO'!$D$2:$D$4919,MATCH($A627,'DETALLE CRONOLÓGICO'!$A$2:$A$4919,0))</f>
        <v/>
      </c>
      <c r="H627" s="1">
        <f>INDEX('DETALLE CRONOLÓGICO'!$D$2:$D$4919,MATCH($A627,'DETALLE CRONOLÓGICO'!$A$2:$A$4919,0)+$E627-1)</f>
        <v/>
      </c>
      <c r="I627" s="5">
        <f>IFERROR(SUMIFS('DETALLE CRONOLÓGICO'!$L$2:$L$4919,'DETALLE CRONOLÓGICO'!$A$2:$A$4919,$A627)/$F627,"")</f>
        <v/>
      </c>
      <c r="J627" s="6">
        <f>IFERROR(SUMIFS('DETALLE CRONOLÓGICO'!$K$2:$K$4919,'DETALLE CRONOLÓGICO'!$A$2:$A$4919,$A627)/$E627,"")</f>
        <v/>
      </c>
      <c r="K627" s="6">
        <f>_xlfn.MINIFS('DETALLE CRONOLÓGICO'!$K$2:$K$4919,'DETALLE CRONOLÓGICO'!$A$2:$A$4919,$A627)</f>
        <v/>
      </c>
      <c r="L627" s="6">
        <f>_xlfn.MAXIFS('DETALLE CRONOLÓGICO'!$K$2:$K$4919,'DETALLE CRONOLÓGICO'!$A$2:$A$4919,$A627)</f>
        <v/>
      </c>
      <c r="M627" s="6">
        <f>INDEX('DETALLE CRONOLÓGICO'!$K$2:$K$4919,MATCH($A627,'DETALLE CRONOLÓGICO'!$A$2:$A$4919,0)+$E627-1)</f>
        <v/>
      </c>
      <c r="N627" s="7">
        <f>IFERROR($M627/INDEX('DETALLE CRONOLÓGICO'!$K$2:$K$4919,MATCH($A627,'DETALLE CRONOLÓGICO'!$A$2:$A$4919,0))-1,"")</f>
        <v/>
      </c>
      <c r="O627" s="6">
        <f>IFERROR($I627*3,"")</f>
        <v/>
      </c>
      <c r="P627" s="6">
        <f>IFERROR($I627*3.5,"")</f>
        <v/>
      </c>
      <c r="Q627" s="6">
        <f>IFERROR($I627*4,"")</f>
        <v/>
      </c>
      <c r="R627" s="6" t="n">
        <v>2599</v>
      </c>
      <c r="S627" s="4" t="n">
        <v>2</v>
      </c>
      <c r="T627" s="1" t="inlineStr">
        <is>
          <t>active</t>
        </is>
      </c>
      <c r="U627" s="8" t="n"/>
      <c r="V627" s="1" t="inlineStr">
        <is>
          <t>SIN PRECIO</t>
        </is>
      </c>
    </row>
    <row r="628">
      <c r="A628" s="1" t="inlineStr">
        <is>
          <t>40154171040653</t>
        </is>
      </c>
      <c r="B628" s="1" t="inlineStr">
        <is>
          <t>COLLAR T OPEN HEART PERETTI</t>
        </is>
      </c>
      <c r="C628" s="1" t="inlineStr">
        <is>
          <t>Default Title</t>
        </is>
      </c>
      <c r="D628" s="1" t="inlineStr">
        <is>
          <t>HAIFENG</t>
        </is>
      </c>
      <c r="E628" s="4">
        <f>COUNTIF('DETALLE CRONOLÓGICO'!$A$2:$A$4919,$A628)</f>
        <v/>
      </c>
      <c r="F628" s="4">
        <f>SUMIFS('DETALLE CRONOLÓGICO'!$I$2:$I$4919,'DETALLE CRONOLÓGICO'!$A$2:$A$4919,$A628)</f>
        <v/>
      </c>
      <c r="G628" s="1">
        <f>INDEX('DETALLE CRONOLÓGICO'!$D$2:$D$4919,MATCH($A628,'DETALLE CRONOLÓGICO'!$A$2:$A$4919,0))</f>
        <v/>
      </c>
      <c r="H628" s="1">
        <f>INDEX('DETALLE CRONOLÓGICO'!$D$2:$D$4919,MATCH($A628,'DETALLE CRONOLÓGICO'!$A$2:$A$4919,0)+$E628-1)</f>
        <v/>
      </c>
      <c r="I628" s="5">
        <f>IFERROR(SUMIFS('DETALLE CRONOLÓGICO'!$L$2:$L$4919,'DETALLE CRONOLÓGICO'!$A$2:$A$4919,$A628)/$F628,"")</f>
        <v/>
      </c>
      <c r="J628" s="6">
        <f>IFERROR(SUMIFS('DETALLE CRONOLÓGICO'!$K$2:$K$4919,'DETALLE CRONOLÓGICO'!$A$2:$A$4919,$A628)/$E628,"")</f>
        <v/>
      </c>
      <c r="K628" s="6">
        <f>_xlfn.MINIFS('DETALLE CRONOLÓGICO'!$K$2:$K$4919,'DETALLE CRONOLÓGICO'!$A$2:$A$4919,$A628)</f>
        <v/>
      </c>
      <c r="L628" s="6">
        <f>_xlfn.MAXIFS('DETALLE CRONOLÓGICO'!$K$2:$K$4919,'DETALLE CRONOLÓGICO'!$A$2:$A$4919,$A628)</f>
        <v/>
      </c>
      <c r="M628" s="6">
        <f>INDEX('DETALLE CRONOLÓGICO'!$K$2:$K$4919,MATCH($A628,'DETALLE CRONOLÓGICO'!$A$2:$A$4919,0)+$E628-1)</f>
        <v/>
      </c>
      <c r="N628" s="7">
        <f>IFERROR($M628/INDEX('DETALLE CRONOLÓGICO'!$K$2:$K$4919,MATCH($A628,'DETALLE CRONOLÓGICO'!$A$2:$A$4919,0))-1,"")</f>
        <v/>
      </c>
      <c r="O628" s="6">
        <f>IFERROR($I628*3,"")</f>
        <v/>
      </c>
      <c r="P628" s="6">
        <f>IFERROR($I628*3.5,"")</f>
        <v/>
      </c>
      <c r="Q628" s="6">
        <f>IFERROR($I628*4,"")</f>
        <v/>
      </c>
      <c r="R628" s="6" t="n">
        <v>850</v>
      </c>
      <c r="S628" s="4" t="n">
        <v>2</v>
      </c>
      <c r="T628" s="1" t="inlineStr">
        <is>
          <t>active</t>
        </is>
      </c>
      <c r="U628" s="8" t="n"/>
      <c r="V628" s="1" t="inlineStr">
        <is>
          <t>SIN PRECIO</t>
        </is>
      </c>
    </row>
    <row r="629">
      <c r="A629" s="1" t="inlineStr">
        <is>
          <t>40154171145741</t>
        </is>
      </c>
      <c r="B629" s="1" t="inlineStr">
        <is>
          <t>COLLAR T ESLABONES HARDWEAR</t>
        </is>
      </c>
      <c r="C629" s="1" t="inlineStr">
        <is>
          <t>Default Title</t>
        </is>
      </c>
      <c r="D629" s="1" t="inlineStr">
        <is>
          <t>HAIFENG</t>
        </is>
      </c>
      <c r="E629" s="4">
        <f>COUNTIF('DETALLE CRONOLÓGICO'!$A$2:$A$4919,$A629)</f>
        <v/>
      </c>
      <c r="F629" s="4">
        <f>SUMIFS('DETALLE CRONOLÓGICO'!$I$2:$I$4919,'DETALLE CRONOLÓGICO'!$A$2:$A$4919,$A629)</f>
        <v/>
      </c>
      <c r="G629" s="1">
        <f>INDEX('DETALLE CRONOLÓGICO'!$D$2:$D$4919,MATCH($A629,'DETALLE CRONOLÓGICO'!$A$2:$A$4919,0))</f>
        <v/>
      </c>
      <c r="H629" s="1">
        <f>INDEX('DETALLE CRONOLÓGICO'!$D$2:$D$4919,MATCH($A629,'DETALLE CRONOLÓGICO'!$A$2:$A$4919,0)+$E629-1)</f>
        <v/>
      </c>
      <c r="I629" s="5">
        <f>IFERROR(SUMIFS('DETALLE CRONOLÓGICO'!$L$2:$L$4919,'DETALLE CRONOLÓGICO'!$A$2:$A$4919,$A629)/$F629,"")</f>
        <v/>
      </c>
      <c r="J629" s="6">
        <f>IFERROR(SUMIFS('DETALLE CRONOLÓGICO'!$K$2:$K$4919,'DETALLE CRONOLÓGICO'!$A$2:$A$4919,$A629)/$E629,"")</f>
        <v/>
      </c>
      <c r="K629" s="6">
        <f>_xlfn.MINIFS('DETALLE CRONOLÓGICO'!$K$2:$K$4919,'DETALLE CRONOLÓGICO'!$A$2:$A$4919,$A629)</f>
        <v/>
      </c>
      <c r="L629" s="6">
        <f>_xlfn.MAXIFS('DETALLE CRONOLÓGICO'!$K$2:$K$4919,'DETALLE CRONOLÓGICO'!$A$2:$A$4919,$A629)</f>
        <v/>
      </c>
      <c r="M629" s="6">
        <f>INDEX('DETALLE CRONOLÓGICO'!$K$2:$K$4919,MATCH($A629,'DETALLE CRONOLÓGICO'!$A$2:$A$4919,0)+$E629-1)</f>
        <v/>
      </c>
      <c r="N629" s="7">
        <f>IFERROR($M629/INDEX('DETALLE CRONOLÓGICO'!$K$2:$K$4919,MATCH($A629,'DETALLE CRONOLÓGICO'!$A$2:$A$4919,0))-1,"")</f>
        <v/>
      </c>
      <c r="O629" s="6">
        <f>IFERROR($I629*3,"")</f>
        <v/>
      </c>
      <c r="P629" s="6">
        <f>IFERROR($I629*3.5,"")</f>
        <v/>
      </c>
      <c r="Q629" s="6">
        <f>IFERROR($I629*4,"")</f>
        <v/>
      </c>
      <c r="R629" s="6" t="n">
        <v>599</v>
      </c>
      <c r="S629" s="4" t="n">
        <v>2</v>
      </c>
      <c r="T629" s="1" t="inlineStr">
        <is>
          <t>active</t>
        </is>
      </c>
      <c r="U629" s="8" t="n"/>
      <c r="V629" s="1" t="inlineStr">
        <is>
          <t>SIN PRECIO</t>
        </is>
      </c>
    </row>
    <row r="630">
      <c r="A630" s="1" t="inlineStr">
        <is>
          <t>40154171267789</t>
        </is>
      </c>
      <c r="B630" s="1" t="inlineStr">
        <is>
          <t>BRAZALETE T ELSA PERETTI GOLD</t>
        </is>
      </c>
      <c r="C630" s="1" t="inlineStr">
        <is>
          <t>Default Title</t>
        </is>
      </c>
      <c r="D630" s="1" t="inlineStr">
        <is>
          <t>HAIFENG</t>
        </is>
      </c>
      <c r="E630" s="4">
        <f>COUNTIF('DETALLE CRONOLÓGICO'!$A$2:$A$4919,$A630)</f>
        <v/>
      </c>
      <c r="F630" s="4">
        <f>SUMIFS('DETALLE CRONOLÓGICO'!$I$2:$I$4919,'DETALLE CRONOLÓGICO'!$A$2:$A$4919,$A630)</f>
        <v/>
      </c>
      <c r="G630" s="1">
        <f>INDEX('DETALLE CRONOLÓGICO'!$D$2:$D$4919,MATCH($A630,'DETALLE CRONOLÓGICO'!$A$2:$A$4919,0))</f>
        <v/>
      </c>
      <c r="H630" s="1">
        <f>INDEX('DETALLE CRONOLÓGICO'!$D$2:$D$4919,MATCH($A630,'DETALLE CRONOLÓGICO'!$A$2:$A$4919,0)+$E630-1)</f>
        <v/>
      </c>
      <c r="I630" s="5">
        <f>IFERROR(SUMIFS('DETALLE CRONOLÓGICO'!$L$2:$L$4919,'DETALLE CRONOLÓGICO'!$A$2:$A$4919,$A630)/$F630,"")</f>
        <v/>
      </c>
      <c r="J630" s="6">
        <f>IFERROR(SUMIFS('DETALLE CRONOLÓGICO'!$K$2:$K$4919,'DETALLE CRONOLÓGICO'!$A$2:$A$4919,$A630)/$E630,"")</f>
        <v/>
      </c>
      <c r="K630" s="6">
        <f>_xlfn.MINIFS('DETALLE CRONOLÓGICO'!$K$2:$K$4919,'DETALLE CRONOLÓGICO'!$A$2:$A$4919,$A630)</f>
        <v/>
      </c>
      <c r="L630" s="6">
        <f>_xlfn.MAXIFS('DETALLE CRONOLÓGICO'!$K$2:$K$4919,'DETALLE CRONOLÓGICO'!$A$2:$A$4919,$A630)</f>
        <v/>
      </c>
      <c r="M630" s="6">
        <f>INDEX('DETALLE CRONOLÓGICO'!$K$2:$K$4919,MATCH($A630,'DETALLE CRONOLÓGICO'!$A$2:$A$4919,0)+$E630-1)</f>
        <v/>
      </c>
      <c r="N630" s="7">
        <f>IFERROR($M630/INDEX('DETALLE CRONOLÓGICO'!$K$2:$K$4919,MATCH($A630,'DETALLE CRONOLÓGICO'!$A$2:$A$4919,0))-1,"")</f>
        <v/>
      </c>
      <c r="O630" s="6">
        <f>IFERROR($I630*3,"")</f>
        <v/>
      </c>
      <c r="P630" s="6">
        <f>IFERROR($I630*3.5,"")</f>
        <v/>
      </c>
      <c r="Q630" s="6">
        <f>IFERROR($I630*4,"")</f>
        <v/>
      </c>
      <c r="R630" s="6" t="n">
        <v>650</v>
      </c>
      <c r="S630" s="4" t="n">
        <v>2</v>
      </c>
      <c r="T630" s="1" t="inlineStr">
        <is>
          <t>active</t>
        </is>
      </c>
      <c r="U630" s="8" t="n"/>
      <c r="V630" s="1" t="inlineStr">
        <is>
          <t>SIN PRECIO</t>
        </is>
      </c>
    </row>
    <row r="631">
      <c r="A631" s="1" t="inlineStr">
        <is>
          <t>40154171379661</t>
        </is>
      </c>
      <c r="B631" s="1" t="inlineStr">
        <is>
          <t>BRAZALETE T MULTIPLES PLACAS</t>
        </is>
      </c>
      <c r="C631" s="1" t="inlineStr">
        <is>
          <t>Default Title</t>
        </is>
      </c>
      <c r="D631" s="1" t="inlineStr">
        <is>
          <t>HAIFENG</t>
        </is>
      </c>
      <c r="E631" s="4">
        <f>COUNTIF('DETALLE CRONOLÓGICO'!$A$2:$A$4919,$A631)</f>
        <v/>
      </c>
      <c r="F631" s="4">
        <f>SUMIFS('DETALLE CRONOLÓGICO'!$I$2:$I$4919,'DETALLE CRONOLÓGICO'!$A$2:$A$4919,$A631)</f>
        <v/>
      </c>
      <c r="G631" s="1">
        <f>INDEX('DETALLE CRONOLÓGICO'!$D$2:$D$4919,MATCH($A631,'DETALLE CRONOLÓGICO'!$A$2:$A$4919,0))</f>
        <v/>
      </c>
      <c r="H631" s="1">
        <f>INDEX('DETALLE CRONOLÓGICO'!$D$2:$D$4919,MATCH($A631,'DETALLE CRONOLÓGICO'!$A$2:$A$4919,0)+$E631-1)</f>
        <v/>
      </c>
      <c r="I631" s="5">
        <f>IFERROR(SUMIFS('DETALLE CRONOLÓGICO'!$L$2:$L$4919,'DETALLE CRONOLÓGICO'!$A$2:$A$4919,$A631)/$F631,"")</f>
        <v/>
      </c>
      <c r="J631" s="6">
        <f>IFERROR(SUMIFS('DETALLE CRONOLÓGICO'!$K$2:$K$4919,'DETALLE CRONOLÓGICO'!$A$2:$A$4919,$A631)/$E631,"")</f>
        <v/>
      </c>
      <c r="K631" s="6">
        <f>_xlfn.MINIFS('DETALLE CRONOLÓGICO'!$K$2:$K$4919,'DETALLE CRONOLÓGICO'!$A$2:$A$4919,$A631)</f>
        <v/>
      </c>
      <c r="L631" s="6">
        <f>_xlfn.MAXIFS('DETALLE CRONOLÓGICO'!$K$2:$K$4919,'DETALLE CRONOLÓGICO'!$A$2:$A$4919,$A631)</f>
        <v/>
      </c>
      <c r="M631" s="6">
        <f>INDEX('DETALLE CRONOLÓGICO'!$K$2:$K$4919,MATCH($A631,'DETALLE CRONOLÓGICO'!$A$2:$A$4919,0)+$E631-1)</f>
        <v/>
      </c>
      <c r="N631" s="7">
        <f>IFERROR($M631/INDEX('DETALLE CRONOLÓGICO'!$K$2:$K$4919,MATCH($A631,'DETALLE CRONOLÓGICO'!$A$2:$A$4919,0))-1,"")</f>
        <v/>
      </c>
      <c r="O631" s="6">
        <f>IFERROR($I631*3,"")</f>
        <v/>
      </c>
      <c r="P631" s="6">
        <f>IFERROR($I631*3.5,"")</f>
        <v/>
      </c>
      <c r="Q631" s="6">
        <f>IFERROR($I631*4,"")</f>
        <v/>
      </c>
      <c r="R631" s="6" t="n">
        <v>999</v>
      </c>
      <c r="S631" s="4" t="n">
        <v>6</v>
      </c>
      <c r="T631" s="1" t="inlineStr">
        <is>
          <t>active</t>
        </is>
      </c>
      <c r="U631" s="8" t="n"/>
      <c r="V631" s="1" t="inlineStr">
        <is>
          <t>SIN PRECIO</t>
        </is>
      </c>
    </row>
    <row r="632">
      <c r="A632" s="1" t="inlineStr">
        <is>
          <t>40154171489837</t>
        </is>
      </c>
      <c r="B632" s="1" t="inlineStr">
        <is>
          <t>PULSERA LOVE SILVER LOVE ROSE GOLD</t>
        </is>
      </c>
      <c r="C632" s="1" t="inlineStr">
        <is>
          <t>Default Title</t>
        </is>
      </c>
      <c r="D632" s="1" t="inlineStr">
        <is>
          <t>HAIFENG</t>
        </is>
      </c>
      <c r="E632" s="4">
        <f>COUNTIF('DETALLE CRONOLÓGICO'!$A$2:$A$4919,$A632)</f>
        <v/>
      </c>
      <c r="F632" s="4">
        <f>SUMIFS('DETALLE CRONOLÓGICO'!$I$2:$I$4919,'DETALLE CRONOLÓGICO'!$A$2:$A$4919,$A632)</f>
        <v/>
      </c>
      <c r="G632" s="1">
        <f>INDEX('DETALLE CRONOLÓGICO'!$D$2:$D$4919,MATCH($A632,'DETALLE CRONOLÓGICO'!$A$2:$A$4919,0))</f>
        <v/>
      </c>
      <c r="H632" s="1">
        <f>INDEX('DETALLE CRONOLÓGICO'!$D$2:$D$4919,MATCH($A632,'DETALLE CRONOLÓGICO'!$A$2:$A$4919,0)+$E632-1)</f>
        <v/>
      </c>
      <c r="I632" s="5">
        <f>IFERROR(SUMIFS('DETALLE CRONOLÓGICO'!$L$2:$L$4919,'DETALLE CRONOLÓGICO'!$A$2:$A$4919,$A632)/$F632,"")</f>
        <v/>
      </c>
      <c r="J632" s="6">
        <f>IFERROR(SUMIFS('DETALLE CRONOLÓGICO'!$K$2:$K$4919,'DETALLE CRONOLÓGICO'!$A$2:$A$4919,$A632)/$E632,"")</f>
        <v/>
      </c>
      <c r="K632" s="6">
        <f>_xlfn.MINIFS('DETALLE CRONOLÓGICO'!$K$2:$K$4919,'DETALLE CRONOLÓGICO'!$A$2:$A$4919,$A632)</f>
        <v/>
      </c>
      <c r="L632" s="6">
        <f>_xlfn.MAXIFS('DETALLE CRONOLÓGICO'!$K$2:$K$4919,'DETALLE CRONOLÓGICO'!$A$2:$A$4919,$A632)</f>
        <v/>
      </c>
      <c r="M632" s="6">
        <f>INDEX('DETALLE CRONOLÓGICO'!$K$2:$K$4919,MATCH($A632,'DETALLE CRONOLÓGICO'!$A$2:$A$4919,0)+$E632-1)</f>
        <v/>
      </c>
      <c r="N632" s="7">
        <f>IFERROR($M632/INDEX('DETALLE CRONOLÓGICO'!$K$2:$K$4919,MATCH($A632,'DETALLE CRONOLÓGICO'!$A$2:$A$4919,0))-1,"")</f>
        <v/>
      </c>
      <c r="O632" s="6">
        <f>IFERROR($I632*3,"")</f>
        <v/>
      </c>
      <c r="P632" s="6">
        <f>IFERROR($I632*3.5,"")</f>
        <v/>
      </c>
      <c r="Q632" s="6">
        <f>IFERROR($I632*4,"")</f>
        <v/>
      </c>
      <c r="R632" s="6" t="n">
        <v>990</v>
      </c>
      <c r="S632" s="4" t="n">
        <v>2</v>
      </c>
      <c r="T632" s="1" t="inlineStr">
        <is>
          <t>active</t>
        </is>
      </c>
      <c r="U632" s="8" t="n"/>
      <c r="V632" s="1" t="inlineStr">
        <is>
          <t>SIN PRECIO</t>
        </is>
      </c>
    </row>
    <row r="633">
      <c r="A633" s="1" t="inlineStr">
        <is>
          <t>40154171506797</t>
        </is>
      </c>
      <c r="B633" s="1" t="inlineStr">
        <is>
          <t>BRAZALETE OPEN HEART GOLD</t>
        </is>
      </c>
      <c r="C633" s="1" t="inlineStr">
        <is>
          <t>Default Title</t>
        </is>
      </c>
      <c r="D633" s="1" t="inlineStr">
        <is>
          <t>HAIFENG</t>
        </is>
      </c>
      <c r="E633" s="4">
        <f>COUNTIF('DETALLE CRONOLÓGICO'!$A$2:$A$4919,$A633)</f>
        <v/>
      </c>
      <c r="F633" s="4">
        <f>SUMIFS('DETALLE CRONOLÓGICO'!$I$2:$I$4919,'DETALLE CRONOLÓGICO'!$A$2:$A$4919,$A633)</f>
        <v/>
      </c>
      <c r="G633" s="1">
        <f>INDEX('DETALLE CRONOLÓGICO'!$D$2:$D$4919,MATCH($A633,'DETALLE CRONOLÓGICO'!$A$2:$A$4919,0))</f>
        <v/>
      </c>
      <c r="H633" s="1">
        <f>INDEX('DETALLE CRONOLÓGICO'!$D$2:$D$4919,MATCH($A633,'DETALLE CRONOLÓGICO'!$A$2:$A$4919,0)+$E633-1)</f>
        <v/>
      </c>
      <c r="I633" s="5">
        <f>IFERROR(SUMIFS('DETALLE CRONOLÓGICO'!$L$2:$L$4919,'DETALLE CRONOLÓGICO'!$A$2:$A$4919,$A633)/$F633,"")</f>
        <v/>
      </c>
      <c r="J633" s="6">
        <f>IFERROR(SUMIFS('DETALLE CRONOLÓGICO'!$K$2:$K$4919,'DETALLE CRONOLÓGICO'!$A$2:$A$4919,$A633)/$E633,"")</f>
        <v/>
      </c>
      <c r="K633" s="6">
        <f>_xlfn.MINIFS('DETALLE CRONOLÓGICO'!$K$2:$K$4919,'DETALLE CRONOLÓGICO'!$A$2:$A$4919,$A633)</f>
        <v/>
      </c>
      <c r="L633" s="6">
        <f>_xlfn.MAXIFS('DETALLE CRONOLÓGICO'!$K$2:$K$4919,'DETALLE CRONOLÓGICO'!$A$2:$A$4919,$A633)</f>
        <v/>
      </c>
      <c r="M633" s="6">
        <f>INDEX('DETALLE CRONOLÓGICO'!$K$2:$K$4919,MATCH($A633,'DETALLE CRONOLÓGICO'!$A$2:$A$4919,0)+$E633-1)</f>
        <v/>
      </c>
      <c r="N633" s="7">
        <f>IFERROR($M633/INDEX('DETALLE CRONOLÓGICO'!$K$2:$K$4919,MATCH($A633,'DETALLE CRONOLÓGICO'!$A$2:$A$4919,0))-1,"")</f>
        <v/>
      </c>
      <c r="O633" s="6">
        <f>IFERROR($I633*3,"")</f>
        <v/>
      </c>
      <c r="P633" s="6">
        <f>IFERROR($I633*3.5,"")</f>
        <v/>
      </c>
      <c r="Q633" s="6">
        <f>IFERROR($I633*4,"")</f>
        <v/>
      </c>
      <c r="R633" s="6" t="n">
        <v>620</v>
      </c>
      <c r="S633" s="4" t="n">
        <v>2</v>
      </c>
      <c r="T633" s="1" t="inlineStr">
        <is>
          <t>active</t>
        </is>
      </c>
      <c r="U633" s="8" t="n"/>
      <c r="V633" s="1" t="inlineStr">
        <is>
          <t>SIN PRECIO</t>
        </is>
      </c>
    </row>
    <row r="634">
      <c r="A634" s="1" t="inlineStr">
        <is>
          <t>40154171618669</t>
        </is>
      </c>
      <c r="B634" s="1" t="inlineStr">
        <is>
          <t>PULSERA CLAIRE D LUNE DOBLE SILVER</t>
        </is>
      </c>
      <c r="C634" s="1" t="inlineStr">
        <is>
          <t>Default Title</t>
        </is>
      </c>
      <c r="D634" s="1" t="inlineStr">
        <is>
          <t>HAIFENG</t>
        </is>
      </c>
      <c r="E634" s="4">
        <f>COUNTIF('DETALLE CRONOLÓGICO'!$A$2:$A$4919,$A634)</f>
        <v/>
      </c>
      <c r="F634" s="4">
        <f>SUMIFS('DETALLE CRONOLÓGICO'!$I$2:$I$4919,'DETALLE CRONOLÓGICO'!$A$2:$A$4919,$A634)</f>
        <v/>
      </c>
      <c r="G634" s="1">
        <f>INDEX('DETALLE CRONOLÓGICO'!$D$2:$D$4919,MATCH($A634,'DETALLE CRONOLÓGICO'!$A$2:$A$4919,0))</f>
        <v/>
      </c>
      <c r="H634" s="1">
        <f>INDEX('DETALLE CRONOLÓGICO'!$D$2:$D$4919,MATCH($A634,'DETALLE CRONOLÓGICO'!$A$2:$A$4919,0)+$E634-1)</f>
        <v/>
      </c>
      <c r="I634" s="5">
        <f>IFERROR(SUMIFS('DETALLE CRONOLÓGICO'!$L$2:$L$4919,'DETALLE CRONOLÓGICO'!$A$2:$A$4919,$A634)/$F634,"")</f>
        <v/>
      </c>
      <c r="J634" s="6">
        <f>IFERROR(SUMIFS('DETALLE CRONOLÓGICO'!$K$2:$K$4919,'DETALLE CRONOLÓGICO'!$A$2:$A$4919,$A634)/$E634,"")</f>
        <v/>
      </c>
      <c r="K634" s="6">
        <f>_xlfn.MINIFS('DETALLE CRONOLÓGICO'!$K$2:$K$4919,'DETALLE CRONOLÓGICO'!$A$2:$A$4919,$A634)</f>
        <v/>
      </c>
      <c r="L634" s="6">
        <f>_xlfn.MAXIFS('DETALLE CRONOLÓGICO'!$K$2:$K$4919,'DETALLE CRONOLÓGICO'!$A$2:$A$4919,$A634)</f>
        <v/>
      </c>
      <c r="M634" s="6">
        <f>INDEX('DETALLE CRONOLÓGICO'!$K$2:$K$4919,MATCH($A634,'DETALLE CRONOLÓGICO'!$A$2:$A$4919,0)+$E634-1)</f>
        <v/>
      </c>
      <c r="N634" s="7">
        <f>IFERROR($M634/INDEX('DETALLE CRONOLÓGICO'!$K$2:$K$4919,MATCH($A634,'DETALLE CRONOLÓGICO'!$A$2:$A$4919,0))-1,"")</f>
        <v/>
      </c>
      <c r="O634" s="6">
        <f>IFERROR($I634*3,"")</f>
        <v/>
      </c>
      <c r="P634" s="6">
        <f>IFERROR($I634*3.5,"")</f>
        <v/>
      </c>
      <c r="Q634" s="6">
        <f>IFERROR($I634*4,"")</f>
        <v/>
      </c>
      <c r="R634" s="6" t="n">
        <v>499</v>
      </c>
      <c r="S634" s="4" t="n">
        <v>3</v>
      </c>
      <c r="T634" s="1" t="inlineStr">
        <is>
          <t>active</t>
        </is>
      </c>
      <c r="U634" s="8" t="n"/>
      <c r="V634" s="1" t="inlineStr">
        <is>
          <t>SIN PRECIO</t>
        </is>
      </c>
    </row>
    <row r="635">
      <c r="A635" s="1" t="inlineStr">
        <is>
          <t>40154171763309</t>
        </is>
      </c>
      <c r="B635" s="1" t="inlineStr">
        <is>
          <t>BRAZALETE T ELSA PERETTI SILVER</t>
        </is>
      </c>
      <c r="C635" s="1" t="inlineStr">
        <is>
          <t>Default Title</t>
        </is>
      </c>
      <c r="D635" s="1" t="inlineStr">
        <is>
          <t>HAIFENG</t>
        </is>
      </c>
      <c r="E635" s="4">
        <f>COUNTIF('DETALLE CRONOLÓGICO'!$A$2:$A$4919,$A635)</f>
        <v/>
      </c>
      <c r="F635" s="4">
        <f>SUMIFS('DETALLE CRONOLÓGICO'!$I$2:$I$4919,'DETALLE CRONOLÓGICO'!$A$2:$A$4919,$A635)</f>
        <v/>
      </c>
      <c r="G635" s="1">
        <f>INDEX('DETALLE CRONOLÓGICO'!$D$2:$D$4919,MATCH($A635,'DETALLE CRONOLÓGICO'!$A$2:$A$4919,0))</f>
        <v/>
      </c>
      <c r="H635" s="1">
        <f>INDEX('DETALLE CRONOLÓGICO'!$D$2:$D$4919,MATCH($A635,'DETALLE CRONOLÓGICO'!$A$2:$A$4919,0)+$E635-1)</f>
        <v/>
      </c>
      <c r="I635" s="5">
        <f>IFERROR(SUMIFS('DETALLE CRONOLÓGICO'!$L$2:$L$4919,'DETALLE CRONOLÓGICO'!$A$2:$A$4919,$A635)/$F635,"")</f>
        <v/>
      </c>
      <c r="J635" s="6">
        <f>IFERROR(SUMIFS('DETALLE CRONOLÓGICO'!$K$2:$K$4919,'DETALLE CRONOLÓGICO'!$A$2:$A$4919,$A635)/$E635,"")</f>
        <v/>
      </c>
      <c r="K635" s="6">
        <f>_xlfn.MINIFS('DETALLE CRONOLÓGICO'!$K$2:$K$4919,'DETALLE CRONOLÓGICO'!$A$2:$A$4919,$A635)</f>
        <v/>
      </c>
      <c r="L635" s="6">
        <f>_xlfn.MAXIFS('DETALLE CRONOLÓGICO'!$K$2:$K$4919,'DETALLE CRONOLÓGICO'!$A$2:$A$4919,$A635)</f>
        <v/>
      </c>
      <c r="M635" s="6">
        <f>INDEX('DETALLE CRONOLÓGICO'!$K$2:$K$4919,MATCH($A635,'DETALLE CRONOLÓGICO'!$A$2:$A$4919,0)+$E635-1)</f>
        <v/>
      </c>
      <c r="N635" s="7">
        <f>IFERROR($M635/INDEX('DETALLE CRONOLÓGICO'!$K$2:$K$4919,MATCH($A635,'DETALLE CRONOLÓGICO'!$A$2:$A$4919,0))-1,"")</f>
        <v/>
      </c>
      <c r="O635" s="6">
        <f>IFERROR($I635*3,"")</f>
        <v/>
      </c>
      <c r="P635" s="6">
        <f>IFERROR($I635*3.5,"")</f>
        <v/>
      </c>
      <c r="Q635" s="6">
        <f>IFERROR($I635*4,"")</f>
        <v/>
      </c>
      <c r="R635" s="6" t="n">
        <v>389</v>
      </c>
      <c r="S635" s="4" t="n">
        <v>2</v>
      </c>
      <c r="T635" s="1" t="inlineStr">
        <is>
          <t>active</t>
        </is>
      </c>
      <c r="U635" s="8" t="n"/>
      <c r="V635" s="1" t="inlineStr">
        <is>
          <t>SIN PRECIO</t>
        </is>
      </c>
    </row>
    <row r="636">
      <c r="A636" s="1" t="inlineStr">
        <is>
          <t>40154171869549</t>
        </is>
      </c>
      <c r="B636" s="1" t="inlineStr">
        <is>
          <t>PULSERA KNOT CADENA ROSE GOLD</t>
        </is>
      </c>
      <c r="C636" s="1" t="inlineStr">
        <is>
          <t>Default Title</t>
        </is>
      </c>
      <c r="D636" s="1" t="inlineStr">
        <is>
          <t>HAIFENG</t>
        </is>
      </c>
      <c r="E636" s="4">
        <f>COUNTIF('DETALLE CRONOLÓGICO'!$A$2:$A$4919,$A636)</f>
        <v/>
      </c>
      <c r="F636" s="4">
        <f>SUMIFS('DETALLE CRONOLÓGICO'!$I$2:$I$4919,'DETALLE CRONOLÓGICO'!$A$2:$A$4919,$A636)</f>
        <v/>
      </c>
      <c r="G636" s="1">
        <f>INDEX('DETALLE CRONOLÓGICO'!$D$2:$D$4919,MATCH($A636,'DETALLE CRONOLÓGICO'!$A$2:$A$4919,0))</f>
        <v/>
      </c>
      <c r="H636" s="1">
        <f>INDEX('DETALLE CRONOLÓGICO'!$D$2:$D$4919,MATCH($A636,'DETALLE CRONOLÓGICO'!$A$2:$A$4919,0)+$E636-1)</f>
        <v/>
      </c>
      <c r="I636" s="5">
        <f>IFERROR(SUMIFS('DETALLE CRONOLÓGICO'!$L$2:$L$4919,'DETALLE CRONOLÓGICO'!$A$2:$A$4919,$A636)/$F636,"")</f>
        <v/>
      </c>
      <c r="J636" s="6">
        <f>IFERROR(SUMIFS('DETALLE CRONOLÓGICO'!$K$2:$K$4919,'DETALLE CRONOLÓGICO'!$A$2:$A$4919,$A636)/$E636,"")</f>
        <v/>
      </c>
      <c r="K636" s="6">
        <f>_xlfn.MINIFS('DETALLE CRONOLÓGICO'!$K$2:$K$4919,'DETALLE CRONOLÓGICO'!$A$2:$A$4919,$A636)</f>
        <v/>
      </c>
      <c r="L636" s="6">
        <f>_xlfn.MAXIFS('DETALLE CRONOLÓGICO'!$K$2:$K$4919,'DETALLE CRONOLÓGICO'!$A$2:$A$4919,$A636)</f>
        <v/>
      </c>
      <c r="M636" s="6">
        <f>INDEX('DETALLE CRONOLÓGICO'!$K$2:$K$4919,MATCH($A636,'DETALLE CRONOLÓGICO'!$A$2:$A$4919,0)+$E636-1)</f>
        <v/>
      </c>
      <c r="N636" s="7">
        <f>IFERROR($M636/INDEX('DETALLE CRONOLÓGICO'!$K$2:$K$4919,MATCH($A636,'DETALLE CRONOLÓGICO'!$A$2:$A$4919,0))-1,"")</f>
        <v/>
      </c>
      <c r="O636" s="6">
        <f>IFERROR($I636*3,"")</f>
        <v/>
      </c>
      <c r="P636" s="6">
        <f>IFERROR($I636*3.5,"")</f>
        <v/>
      </c>
      <c r="Q636" s="6">
        <f>IFERROR($I636*4,"")</f>
        <v/>
      </c>
      <c r="R636" s="6" t="n">
        <v>576.8</v>
      </c>
      <c r="S636" s="4" t="n">
        <v>0</v>
      </c>
      <c r="T636" s="1" t="inlineStr">
        <is>
          <t>active</t>
        </is>
      </c>
      <c r="U636" s="8" t="n"/>
      <c r="V636" s="1" t="inlineStr">
        <is>
          <t>SIN PRECIO</t>
        </is>
      </c>
    </row>
    <row r="637">
      <c r="A637" s="1" t="inlineStr">
        <is>
          <t>40154171915885</t>
        </is>
      </c>
      <c r="B637" s="1" t="inlineStr">
        <is>
          <t>BRAZALETE DOBLE ESLABON GOLD</t>
        </is>
      </c>
      <c r="C637" s="1" t="inlineStr">
        <is>
          <t>Default Title</t>
        </is>
      </c>
      <c r="D637" s="1" t="inlineStr">
        <is>
          <t>HAIFENG</t>
        </is>
      </c>
      <c r="E637" s="4">
        <f>COUNTIF('DETALLE CRONOLÓGICO'!$A$2:$A$4919,$A637)</f>
        <v/>
      </c>
      <c r="F637" s="4">
        <f>SUMIFS('DETALLE CRONOLÓGICO'!$I$2:$I$4919,'DETALLE CRONOLÓGICO'!$A$2:$A$4919,$A637)</f>
        <v/>
      </c>
      <c r="G637" s="1">
        <f>INDEX('DETALLE CRONOLÓGICO'!$D$2:$D$4919,MATCH($A637,'DETALLE CRONOLÓGICO'!$A$2:$A$4919,0))</f>
        <v/>
      </c>
      <c r="H637" s="1">
        <f>INDEX('DETALLE CRONOLÓGICO'!$D$2:$D$4919,MATCH($A637,'DETALLE CRONOLÓGICO'!$A$2:$A$4919,0)+$E637-1)</f>
        <v/>
      </c>
      <c r="I637" s="5">
        <f>IFERROR(SUMIFS('DETALLE CRONOLÓGICO'!$L$2:$L$4919,'DETALLE CRONOLÓGICO'!$A$2:$A$4919,$A637)/$F637,"")</f>
        <v/>
      </c>
      <c r="J637" s="6">
        <f>IFERROR(SUMIFS('DETALLE CRONOLÓGICO'!$K$2:$K$4919,'DETALLE CRONOLÓGICO'!$A$2:$A$4919,$A637)/$E637,"")</f>
        <v/>
      </c>
      <c r="K637" s="6">
        <f>_xlfn.MINIFS('DETALLE CRONOLÓGICO'!$K$2:$K$4919,'DETALLE CRONOLÓGICO'!$A$2:$A$4919,$A637)</f>
        <v/>
      </c>
      <c r="L637" s="6">
        <f>_xlfn.MAXIFS('DETALLE CRONOLÓGICO'!$K$2:$K$4919,'DETALLE CRONOLÓGICO'!$A$2:$A$4919,$A637)</f>
        <v/>
      </c>
      <c r="M637" s="6">
        <f>INDEX('DETALLE CRONOLÓGICO'!$K$2:$K$4919,MATCH($A637,'DETALLE CRONOLÓGICO'!$A$2:$A$4919,0)+$E637-1)</f>
        <v/>
      </c>
      <c r="N637" s="7">
        <f>IFERROR($M637/INDEX('DETALLE CRONOLÓGICO'!$K$2:$K$4919,MATCH($A637,'DETALLE CRONOLÓGICO'!$A$2:$A$4919,0))-1,"")</f>
        <v/>
      </c>
      <c r="O637" s="6">
        <f>IFERROR($I637*3,"")</f>
        <v/>
      </c>
      <c r="P637" s="6">
        <f>IFERROR($I637*3.5,"")</f>
        <v/>
      </c>
      <c r="Q637" s="6">
        <f>IFERROR($I637*4,"")</f>
        <v/>
      </c>
      <c r="R637" s="6" t="n">
        <v>599</v>
      </c>
      <c r="S637" s="4" t="n">
        <v>2</v>
      </c>
      <c r="T637" s="1" t="inlineStr">
        <is>
          <t>active</t>
        </is>
      </c>
      <c r="U637" s="8" t="n"/>
      <c r="V637" s="1" t="inlineStr">
        <is>
          <t>SIN PRECIO</t>
        </is>
      </c>
    </row>
    <row r="638">
      <c r="A638" s="1" t="inlineStr">
        <is>
          <t>40154172024365</t>
        </is>
      </c>
      <c r="B638" s="1" t="inlineStr">
        <is>
          <t>BRAZALETE T BONE GOLD</t>
        </is>
      </c>
      <c r="C638" s="1" t="inlineStr">
        <is>
          <t>Default Title</t>
        </is>
      </c>
      <c r="D638" s="1" t="inlineStr">
        <is>
          <t>HAIFENG</t>
        </is>
      </c>
      <c r="E638" s="4">
        <f>COUNTIF('DETALLE CRONOLÓGICO'!$A$2:$A$4919,$A638)</f>
        <v/>
      </c>
      <c r="F638" s="4">
        <f>SUMIFS('DETALLE CRONOLÓGICO'!$I$2:$I$4919,'DETALLE CRONOLÓGICO'!$A$2:$A$4919,$A638)</f>
        <v/>
      </c>
      <c r="G638" s="1">
        <f>INDEX('DETALLE CRONOLÓGICO'!$D$2:$D$4919,MATCH($A638,'DETALLE CRONOLÓGICO'!$A$2:$A$4919,0))</f>
        <v/>
      </c>
      <c r="H638" s="1">
        <f>INDEX('DETALLE CRONOLÓGICO'!$D$2:$D$4919,MATCH($A638,'DETALLE CRONOLÓGICO'!$A$2:$A$4919,0)+$E638-1)</f>
        <v/>
      </c>
      <c r="I638" s="5">
        <f>IFERROR(SUMIFS('DETALLE CRONOLÓGICO'!$L$2:$L$4919,'DETALLE CRONOLÓGICO'!$A$2:$A$4919,$A638)/$F638,"")</f>
        <v/>
      </c>
      <c r="J638" s="6">
        <f>IFERROR(SUMIFS('DETALLE CRONOLÓGICO'!$K$2:$K$4919,'DETALLE CRONOLÓGICO'!$A$2:$A$4919,$A638)/$E638,"")</f>
        <v/>
      </c>
      <c r="K638" s="6">
        <f>_xlfn.MINIFS('DETALLE CRONOLÓGICO'!$K$2:$K$4919,'DETALLE CRONOLÓGICO'!$A$2:$A$4919,$A638)</f>
        <v/>
      </c>
      <c r="L638" s="6">
        <f>_xlfn.MAXIFS('DETALLE CRONOLÓGICO'!$K$2:$K$4919,'DETALLE CRONOLÓGICO'!$A$2:$A$4919,$A638)</f>
        <v/>
      </c>
      <c r="M638" s="6">
        <f>INDEX('DETALLE CRONOLÓGICO'!$K$2:$K$4919,MATCH($A638,'DETALLE CRONOLÓGICO'!$A$2:$A$4919,0)+$E638-1)</f>
        <v/>
      </c>
      <c r="N638" s="7">
        <f>IFERROR($M638/INDEX('DETALLE CRONOLÓGICO'!$K$2:$K$4919,MATCH($A638,'DETALLE CRONOLÓGICO'!$A$2:$A$4919,0))-1,"")</f>
        <v/>
      </c>
      <c r="O638" s="6">
        <f>IFERROR($I638*3,"")</f>
        <v/>
      </c>
      <c r="P638" s="6">
        <f>IFERROR($I638*3.5,"")</f>
        <v/>
      </c>
      <c r="Q638" s="6">
        <f>IFERROR($I638*4,"")</f>
        <v/>
      </c>
      <c r="R638" s="6" t="n">
        <v>2899</v>
      </c>
      <c r="S638" s="4" t="n">
        <v>2</v>
      </c>
      <c r="T638" s="1" t="inlineStr">
        <is>
          <t>active</t>
        </is>
      </c>
      <c r="U638" s="8" t="n"/>
      <c r="V638" s="1" t="inlineStr">
        <is>
          <t>SIN PRECIO</t>
        </is>
      </c>
    </row>
    <row r="639">
      <c r="A639" s="1" t="inlineStr">
        <is>
          <t>40154172105165</t>
        </is>
      </c>
      <c r="B639" s="1" t="inlineStr">
        <is>
          <t>BRAZALETE T ESLABONES PEARL</t>
        </is>
      </c>
      <c r="C639" s="1" t="inlineStr">
        <is>
          <t>Default Title</t>
        </is>
      </c>
      <c r="D639" s="1" t="inlineStr">
        <is>
          <t>HAIFENG</t>
        </is>
      </c>
      <c r="E639" s="4">
        <f>COUNTIF('DETALLE CRONOLÓGICO'!$A$2:$A$4919,$A639)</f>
        <v/>
      </c>
      <c r="F639" s="4">
        <f>SUMIFS('DETALLE CRONOLÓGICO'!$I$2:$I$4919,'DETALLE CRONOLÓGICO'!$A$2:$A$4919,$A639)</f>
        <v/>
      </c>
      <c r="G639" s="1">
        <f>INDEX('DETALLE CRONOLÓGICO'!$D$2:$D$4919,MATCH($A639,'DETALLE CRONOLÓGICO'!$A$2:$A$4919,0))</f>
        <v/>
      </c>
      <c r="H639" s="1">
        <f>INDEX('DETALLE CRONOLÓGICO'!$D$2:$D$4919,MATCH($A639,'DETALLE CRONOLÓGICO'!$A$2:$A$4919,0)+$E639-1)</f>
        <v/>
      </c>
      <c r="I639" s="5">
        <f>IFERROR(SUMIFS('DETALLE CRONOLÓGICO'!$L$2:$L$4919,'DETALLE CRONOLÓGICO'!$A$2:$A$4919,$A639)/$F639,"")</f>
        <v/>
      </c>
      <c r="J639" s="6">
        <f>IFERROR(SUMIFS('DETALLE CRONOLÓGICO'!$K$2:$K$4919,'DETALLE CRONOLÓGICO'!$A$2:$A$4919,$A639)/$E639,"")</f>
        <v/>
      </c>
      <c r="K639" s="6">
        <f>_xlfn.MINIFS('DETALLE CRONOLÓGICO'!$K$2:$K$4919,'DETALLE CRONOLÓGICO'!$A$2:$A$4919,$A639)</f>
        <v/>
      </c>
      <c r="L639" s="6">
        <f>_xlfn.MAXIFS('DETALLE CRONOLÓGICO'!$K$2:$K$4919,'DETALLE CRONOLÓGICO'!$A$2:$A$4919,$A639)</f>
        <v/>
      </c>
      <c r="M639" s="6">
        <f>INDEX('DETALLE CRONOLÓGICO'!$K$2:$K$4919,MATCH($A639,'DETALLE CRONOLÓGICO'!$A$2:$A$4919,0)+$E639-1)</f>
        <v/>
      </c>
      <c r="N639" s="7">
        <f>IFERROR($M639/INDEX('DETALLE CRONOLÓGICO'!$K$2:$K$4919,MATCH($A639,'DETALLE CRONOLÓGICO'!$A$2:$A$4919,0))-1,"")</f>
        <v/>
      </c>
      <c r="O639" s="6">
        <f>IFERROR($I639*3,"")</f>
        <v/>
      </c>
      <c r="P639" s="6">
        <f>IFERROR($I639*3.5,"")</f>
        <v/>
      </c>
      <c r="Q639" s="6">
        <f>IFERROR($I639*4,"")</f>
        <v/>
      </c>
      <c r="R639" s="6" t="n">
        <v>850</v>
      </c>
      <c r="S639" s="4" t="n">
        <v>3</v>
      </c>
      <c r="T639" s="1" t="inlineStr">
        <is>
          <t>active</t>
        </is>
      </c>
      <c r="U639" s="8" t="n"/>
      <c r="V639" s="1" t="inlineStr">
        <is>
          <t>SIN PRECIO</t>
        </is>
      </c>
    </row>
    <row r="640">
      <c r="A640" s="1" t="inlineStr">
        <is>
          <t>40154172246477</t>
        </is>
      </c>
      <c r="B640" s="1" t="inlineStr">
        <is>
          <t>BRAZALETE T BONE SILVER</t>
        </is>
      </c>
      <c r="C640" s="1" t="inlineStr">
        <is>
          <t>Default Title</t>
        </is>
      </c>
      <c r="D640" s="1" t="inlineStr">
        <is>
          <t>HAIFENG</t>
        </is>
      </c>
      <c r="E640" s="4">
        <f>COUNTIF('DETALLE CRONOLÓGICO'!$A$2:$A$4919,$A640)</f>
        <v/>
      </c>
      <c r="F640" s="4">
        <f>SUMIFS('DETALLE CRONOLÓGICO'!$I$2:$I$4919,'DETALLE CRONOLÓGICO'!$A$2:$A$4919,$A640)</f>
        <v/>
      </c>
      <c r="G640" s="1">
        <f>INDEX('DETALLE CRONOLÓGICO'!$D$2:$D$4919,MATCH($A640,'DETALLE CRONOLÓGICO'!$A$2:$A$4919,0))</f>
        <v/>
      </c>
      <c r="H640" s="1">
        <f>INDEX('DETALLE CRONOLÓGICO'!$D$2:$D$4919,MATCH($A640,'DETALLE CRONOLÓGICO'!$A$2:$A$4919,0)+$E640-1)</f>
        <v/>
      </c>
      <c r="I640" s="5">
        <f>IFERROR(SUMIFS('DETALLE CRONOLÓGICO'!$L$2:$L$4919,'DETALLE CRONOLÓGICO'!$A$2:$A$4919,$A640)/$F640,"")</f>
        <v/>
      </c>
      <c r="J640" s="6">
        <f>IFERROR(SUMIFS('DETALLE CRONOLÓGICO'!$K$2:$K$4919,'DETALLE CRONOLÓGICO'!$A$2:$A$4919,$A640)/$E640,"")</f>
        <v/>
      </c>
      <c r="K640" s="6">
        <f>_xlfn.MINIFS('DETALLE CRONOLÓGICO'!$K$2:$K$4919,'DETALLE CRONOLÓGICO'!$A$2:$A$4919,$A640)</f>
        <v/>
      </c>
      <c r="L640" s="6">
        <f>_xlfn.MAXIFS('DETALLE CRONOLÓGICO'!$K$2:$K$4919,'DETALLE CRONOLÓGICO'!$A$2:$A$4919,$A640)</f>
        <v/>
      </c>
      <c r="M640" s="6">
        <f>INDEX('DETALLE CRONOLÓGICO'!$K$2:$K$4919,MATCH($A640,'DETALLE CRONOLÓGICO'!$A$2:$A$4919,0)+$E640-1)</f>
        <v/>
      </c>
      <c r="N640" s="7">
        <f>IFERROR($M640/INDEX('DETALLE CRONOLÓGICO'!$K$2:$K$4919,MATCH($A640,'DETALLE CRONOLÓGICO'!$A$2:$A$4919,0))-1,"")</f>
        <v/>
      </c>
      <c r="O640" s="6">
        <f>IFERROR($I640*3,"")</f>
        <v/>
      </c>
      <c r="P640" s="6">
        <f>IFERROR($I640*3.5,"")</f>
        <v/>
      </c>
      <c r="Q640" s="6">
        <f>IFERROR($I640*4,"")</f>
        <v/>
      </c>
      <c r="R640" s="6" t="n">
        <v>2885</v>
      </c>
      <c r="S640" s="4" t="n">
        <v>0</v>
      </c>
      <c r="T640" s="1" t="inlineStr">
        <is>
          <t>active</t>
        </is>
      </c>
      <c r="U640" s="8" t="n"/>
      <c r="V640" s="1" t="inlineStr">
        <is>
          <t>SIN PRECIO</t>
        </is>
      </c>
    </row>
    <row r="641">
      <c r="A641" s="1" t="inlineStr">
        <is>
          <t>40154172394509</t>
        </is>
      </c>
      <c r="B641" s="1" t="inlineStr">
        <is>
          <t>BRAZALETE T DOBLE PALOMA SILVER</t>
        </is>
      </c>
      <c r="C641" s="1" t="inlineStr">
        <is>
          <t>Default Title</t>
        </is>
      </c>
      <c r="D641" s="1" t="inlineStr">
        <is>
          <t>HAIFENG</t>
        </is>
      </c>
      <c r="E641" s="4">
        <f>COUNTIF('DETALLE CRONOLÓGICO'!$A$2:$A$4919,$A641)</f>
        <v/>
      </c>
      <c r="F641" s="4">
        <f>SUMIFS('DETALLE CRONOLÓGICO'!$I$2:$I$4919,'DETALLE CRONOLÓGICO'!$A$2:$A$4919,$A641)</f>
        <v/>
      </c>
      <c r="G641" s="1">
        <f>INDEX('DETALLE CRONOLÓGICO'!$D$2:$D$4919,MATCH($A641,'DETALLE CRONOLÓGICO'!$A$2:$A$4919,0))</f>
        <v/>
      </c>
      <c r="H641" s="1">
        <f>INDEX('DETALLE CRONOLÓGICO'!$D$2:$D$4919,MATCH($A641,'DETALLE CRONOLÓGICO'!$A$2:$A$4919,0)+$E641-1)</f>
        <v/>
      </c>
      <c r="I641" s="5">
        <f>IFERROR(SUMIFS('DETALLE CRONOLÓGICO'!$L$2:$L$4919,'DETALLE CRONOLÓGICO'!$A$2:$A$4919,$A641)/$F641,"")</f>
        <v/>
      </c>
      <c r="J641" s="6">
        <f>IFERROR(SUMIFS('DETALLE CRONOLÓGICO'!$K$2:$K$4919,'DETALLE CRONOLÓGICO'!$A$2:$A$4919,$A641)/$E641,"")</f>
        <v/>
      </c>
      <c r="K641" s="6">
        <f>_xlfn.MINIFS('DETALLE CRONOLÓGICO'!$K$2:$K$4919,'DETALLE CRONOLÓGICO'!$A$2:$A$4919,$A641)</f>
        <v/>
      </c>
      <c r="L641" s="6">
        <f>_xlfn.MAXIFS('DETALLE CRONOLÓGICO'!$K$2:$K$4919,'DETALLE CRONOLÓGICO'!$A$2:$A$4919,$A641)</f>
        <v/>
      </c>
      <c r="M641" s="6">
        <f>INDEX('DETALLE CRONOLÓGICO'!$K$2:$K$4919,MATCH($A641,'DETALLE CRONOLÓGICO'!$A$2:$A$4919,0)+$E641-1)</f>
        <v/>
      </c>
      <c r="N641" s="7">
        <f>IFERROR($M641/INDEX('DETALLE CRONOLÓGICO'!$K$2:$K$4919,MATCH($A641,'DETALLE CRONOLÓGICO'!$A$2:$A$4919,0))-1,"")</f>
        <v/>
      </c>
      <c r="O641" s="6">
        <f>IFERROR($I641*3,"")</f>
        <v/>
      </c>
      <c r="P641" s="6">
        <f>IFERROR($I641*3.5,"")</f>
        <v/>
      </c>
      <c r="Q641" s="6">
        <f>IFERROR($I641*4,"")</f>
        <v/>
      </c>
      <c r="R641" s="6" t="n">
        <v>659.2</v>
      </c>
      <c r="S641" s="4" t="n">
        <v>2</v>
      </c>
      <c r="T641" s="1" t="inlineStr">
        <is>
          <t>active</t>
        </is>
      </c>
      <c r="U641" s="8" t="n"/>
      <c r="V641" s="1" t="inlineStr">
        <is>
          <t>SIN PRECIO</t>
        </is>
      </c>
    </row>
    <row r="642">
      <c r="A642" s="1" t="inlineStr">
        <is>
          <t>40154172453261</t>
        </is>
      </c>
      <c r="B642" s="1" t="inlineStr">
        <is>
          <t>BRAZALETE T PALOMA SILVER</t>
        </is>
      </c>
      <c r="C642" s="1" t="inlineStr">
        <is>
          <t>Default Title</t>
        </is>
      </c>
      <c r="D642" s="1" t="inlineStr">
        <is>
          <t>HAIFENG</t>
        </is>
      </c>
      <c r="E642" s="4">
        <f>COUNTIF('DETALLE CRONOLÓGICO'!$A$2:$A$4919,$A642)</f>
        <v/>
      </c>
      <c r="F642" s="4">
        <f>SUMIFS('DETALLE CRONOLÓGICO'!$I$2:$I$4919,'DETALLE CRONOLÓGICO'!$A$2:$A$4919,$A642)</f>
        <v/>
      </c>
      <c r="G642" s="1">
        <f>INDEX('DETALLE CRONOLÓGICO'!$D$2:$D$4919,MATCH($A642,'DETALLE CRONOLÓGICO'!$A$2:$A$4919,0))</f>
        <v/>
      </c>
      <c r="H642" s="1">
        <f>INDEX('DETALLE CRONOLÓGICO'!$D$2:$D$4919,MATCH($A642,'DETALLE CRONOLÓGICO'!$A$2:$A$4919,0)+$E642-1)</f>
        <v/>
      </c>
      <c r="I642" s="5">
        <f>IFERROR(SUMIFS('DETALLE CRONOLÓGICO'!$L$2:$L$4919,'DETALLE CRONOLÓGICO'!$A$2:$A$4919,$A642)/$F642,"")</f>
        <v/>
      </c>
      <c r="J642" s="6">
        <f>IFERROR(SUMIFS('DETALLE CRONOLÓGICO'!$K$2:$K$4919,'DETALLE CRONOLÓGICO'!$A$2:$A$4919,$A642)/$E642,"")</f>
        <v/>
      </c>
      <c r="K642" s="6">
        <f>_xlfn.MINIFS('DETALLE CRONOLÓGICO'!$K$2:$K$4919,'DETALLE CRONOLÓGICO'!$A$2:$A$4919,$A642)</f>
        <v/>
      </c>
      <c r="L642" s="6">
        <f>_xlfn.MAXIFS('DETALLE CRONOLÓGICO'!$K$2:$K$4919,'DETALLE CRONOLÓGICO'!$A$2:$A$4919,$A642)</f>
        <v/>
      </c>
      <c r="M642" s="6">
        <f>INDEX('DETALLE CRONOLÓGICO'!$K$2:$K$4919,MATCH($A642,'DETALLE CRONOLÓGICO'!$A$2:$A$4919,0)+$E642-1)</f>
        <v/>
      </c>
      <c r="N642" s="7">
        <f>IFERROR($M642/INDEX('DETALLE CRONOLÓGICO'!$K$2:$K$4919,MATCH($A642,'DETALLE CRONOLÓGICO'!$A$2:$A$4919,0))-1,"")</f>
        <v/>
      </c>
      <c r="O642" s="6">
        <f>IFERROR($I642*3,"")</f>
        <v/>
      </c>
      <c r="P642" s="6">
        <f>IFERROR($I642*3.5,"")</f>
        <v/>
      </c>
      <c r="Q642" s="6">
        <f>IFERROR($I642*4,"")</f>
        <v/>
      </c>
      <c r="R642" s="6" t="n">
        <v>0</v>
      </c>
      <c r="S642" s="4" t="n">
        <v>0</v>
      </c>
      <c r="T642" s="1" t="inlineStr">
        <is>
          <t>draft</t>
        </is>
      </c>
      <c r="U642" s="8" t="n"/>
      <c r="V642" s="1" t="inlineStr">
        <is>
          <t>SIN PRECIO</t>
        </is>
      </c>
    </row>
    <row r="643">
      <c r="A643" s="1" t="inlineStr">
        <is>
          <t>40154172563437</t>
        </is>
      </c>
      <c r="B643" s="1" t="inlineStr">
        <is>
          <t>BRAZALETE T DOBLE PALOMA GOLD</t>
        </is>
      </c>
      <c r="C643" s="1" t="inlineStr">
        <is>
          <t>Default Title</t>
        </is>
      </c>
      <c r="D643" s="1" t="inlineStr">
        <is>
          <t>HAIFENG</t>
        </is>
      </c>
      <c r="E643" s="4">
        <f>COUNTIF('DETALLE CRONOLÓGICO'!$A$2:$A$4919,$A643)</f>
        <v/>
      </c>
      <c r="F643" s="4">
        <f>SUMIFS('DETALLE CRONOLÓGICO'!$I$2:$I$4919,'DETALLE CRONOLÓGICO'!$A$2:$A$4919,$A643)</f>
        <v/>
      </c>
      <c r="G643" s="1">
        <f>INDEX('DETALLE CRONOLÓGICO'!$D$2:$D$4919,MATCH($A643,'DETALLE CRONOLÓGICO'!$A$2:$A$4919,0))</f>
        <v/>
      </c>
      <c r="H643" s="1">
        <f>INDEX('DETALLE CRONOLÓGICO'!$D$2:$D$4919,MATCH($A643,'DETALLE CRONOLÓGICO'!$A$2:$A$4919,0)+$E643-1)</f>
        <v/>
      </c>
      <c r="I643" s="5">
        <f>IFERROR(SUMIFS('DETALLE CRONOLÓGICO'!$L$2:$L$4919,'DETALLE CRONOLÓGICO'!$A$2:$A$4919,$A643)/$F643,"")</f>
        <v/>
      </c>
      <c r="J643" s="6">
        <f>IFERROR(SUMIFS('DETALLE CRONOLÓGICO'!$K$2:$K$4919,'DETALLE CRONOLÓGICO'!$A$2:$A$4919,$A643)/$E643,"")</f>
        <v/>
      </c>
      <c r="K643" s="6">
        <f>_xlfn.MINIFS('DETALLE CRONOLÓGICO'!$K$2:$K$4919,'DETALLE CRONOLÓGICO'!$A$2:$A$4919,$A643)</f>
        <v/>
      </c>
      <c r="L643" s="6">
        <f>_xlfn.MAXIFS('DETALLE CRONOLÓGICO'!$K$2:$K$4919,'DETALLE CRONOLÓGICO'!$A$2:$A$4919,$A643)</f>
        <v/>
      </c>
      <c r="M643" s="6">
        <f>INDEX('DETALLE CRONOLÓGICO'!$K$2:$K$4919,MATCH($A643,'DETALLE CRONOLÓGICO'!$A$2:$A$4919,0)+$E643-1)</f>
        <v/>
      </c>
      <c r="N643" s="7">
        <f>IFERROR($M643/INDEX('DETALLE CRONOLÓGICO'!$K$2:$K$4919,MATCH($A643,'DETALLE CRONOLÓGICO'!$A$2:$A$4919,0))-1,"")</f>
        <v/>
      </c>
      <c r="O643" s="6">
        <f>IFERROR($I643*3,"")</f>
        <v/>
      </c>
      <c r="P643" s="6">
        <f>IFERROR($I643*3.5,"")</f>
        <v/>
      </c>
      <c r="Q643" s="6">
        <f>IFERROR($I643*4,"")</f>
        <v/>
      </c>
      <c r="R643" s="6" t="n">
        <v>428</v>
      </c>
      <c r="S643" s="4" t="n">
        <v>2</v>
      </c>
      <c r="T643" s="1" t="inlineStr">
        <is>
          <t>active</t>
        </is>
      </c>
      <c r="U643" s="8" t="n"/>
      <c r="V643" s="1" t="inlineStr">
        <is>
          <t>SIN PRECIO</t>
        </is>
      </c>
    </row>
    <row r="644">
      <c r="A644" s="1" t="inlineStr">
        <is>
          <t>40154172642541</t>
        </is>
      </c>
      <c r="B644" s="1" t="inlineStr">
        <is>
          <t>PULSERA T ROSE GOLD PEARL ZIRCONIAS</t>
        </is>
      </c>
      <c r="C644" s="1" t="inlineStr">
        <is>
          <t>Default Title</t>
        </is>
      </c>
      <c r="D644" s="1" t="inlineStr">
        <is>
          <t>HAIFENG</t>
        </is>
      </c>
      <c r="E644" s="4">
        <f>COUNTIF('DETALLE CRONOLÓGICO'!$A$2:$A$4919,$A644)</f>
        <v/>
      </c>
      <c r="F644" s="4">
        <f>SUMIFS('DETALLE CRONOLÓGICO'!$I$2:$I$4919,'DETALLE CRONOLÓGICO'!$A$2:$A$4919,$A644)</f>
        <v/>
      </c>
      <c r="G644" s="1">
        <f>INDEX('DETALLE CRONOLÓGICO'!$D$2:$D$4919,MATCH($A644,'DETALLE CRONOLÓGICO'!$A$2:$A$4919,0))</f>
        <v/>
      </c>
      <c r="H644" s="1">
        <f>INDEX('DETALLE CRONOLÓGICO'!$D$2:$D$4919,MATCH($A644,'DETALLE CRONOLÓGICO'!$A$2:$A$4919,0)+$E644-1)</f>
        <v/>
      </c>
      <c r="I644" s="5">
        <f>IFERROR(SUMIFS('DETALLE CRONOLÓGICO'!$L$2:$L$4919,'DETALLE CRONOLÓGICO'!$A$2:$A$4919,$A644)/$F644,"")</f>
        <v/>
      </c>
      <c r="J644" s="6">
        <f>IFERROR(SUMIFS('DETALLE CRONOLÓGICO'!$K$2:$K$4919,'DETALLE CRONOLÓGICO'!$A$2:$A$4919,$A644)/$E644,"")</f>
        <v/>
      </c>
      <c r="K644" s="6">
        <f>_xlfn.MINIFS('DETALLE CRONOLÓGICO'!$K$2:$K$4919,'DETALLE CRONOLÓGICO'!$A$2:$A$4919,$A644)</f>
        <v/>
      </c>
      <c r="L644" s="6">
        <f>_xlfn.MAXIFS('DETALLE CRONOLÓGICO'!$K$2:$K$4919,'DETALLE CRONOLÓGICO'!$A$2:$A$4919,$A644)</f>
        <v/>
      </c>
      <c r="M644" s="6">
        <f>INDEX('DETALLE CRONOLÓGICO'!$K$2:$K$4919,MATCH($A644,'DETALLE CRONOLÓGICO'!$A$2:$A$4919,0)+$E644-1)</f>
        <v/>
      </c>
      <c r="N644" s="7">
        <f>IFERROR($M644/INDEX('DETALLE CRONOLÓGICO'!$K$2:$K$4919,MATCH($A644,'DETALLE CRONOLÓGICO'!$A$2:$A$4919,0))-1,"")</f>
        <v/>
      </c>
      <c r="O644" s="6">
        <f>IFERROR($I644*3,"")</f>
        <v/>
      </c>
      <c r="P644" s="6">
        <f>IFERROR($I644*3.5,"")</f>
        <v/>
      </c>
      <c r="Q644" s="6">
        <f>IFERROR($I644*4,"")</f>
        <v/>
      </c>
      <c r="R644" s="6" t="n">
        <v>500</v>
      </c>
      <c r="S644" s="4" t="n">
        <v>2</v>
      </c>
      <c r="T644" s="1" t="inlineStr">
        <is>
          <t>active</t>
        </is>
      </c>
      <c r="U644" s="8" t="n"/>
      <c r="V644" s="1" t="inlineStr">
        <is>
          <t>SIN PRECIO</t>
        </is>
      </c>
    </row>
    <row r="645">
      <c r="A645" s="1" t="inlineStr">
        <is>
          <t>40154172721645</t>
        </is>
      </c>
      <c r="B645" s="1" t="inlineStr">
        <is>
          <t>COLLAR T ENVOLVENTE</t>
        </is>
      </c>
      <c r="C645" s="1" t="inlineStr">
        <is>
          <t>Default Title</t>
        </is>
      </c>
      <c r="D645" s="1" t="inlineStr">
        <is>
          <t>HAIFENG</t>
        </is>
      </c>
      <c r="E645" s="4">
        <f>COUNTIF('DETALLE CRONOLÓGICO'!$A$2:$A$4919,$A645)</f>
        <v/>
      </c>
      <c r="F645" s="4">
        <f>SUMIFS('DETALLE CRONOLÓGICO'!$I$2:$I$4919,'DETALLE CRONOLÓGICO'!$A$2:$A$4919,$A645)</f>
        <v/>
      </c>
      <c r="G645" s="1">
        <f>INDEX('DETALLE CRONOLÓGICO'!$D$2:$D$4919,MATCH($A645,'DETALLE CRONOLÓGICO'!$A$2:$A$4919,0))</f>
        <v/>
      </c>
      <c r="H645" s="1">
        <f>INDEX('DETALLE CRONOLÓGICO'!$D$2:$D$4919,MATCH($A645,'DETALLE CRONOLÓGICO'!$A$2:$A$4919,0)+$E645-1)</f>
        <v/>
      </c>
      <c r="I645" s="5">
        <f>IFERROR(SUMIFS('DETALLE CRONOLÓGICO'!$L$2:$L$4919,'DETALLE CRONOLÓGICO'!$A$2:$A$4919,$A645)/$F645,"")</f>
        <v/>
      </c>
      <c r="J645" s="6">
        <f>IFERROR(SUMIFS('DETALLE CRONOLÓGICO'!$K$2:$K$4919,'DETALLE CRONOLÓGICO'!$A$2:$A$4919,$A645)/$E645,"")</f>
        <v/>
      </c>
      <c r="K645" s="6">
        <f>_xlfn.MINIFS('DETALLE CRONOLÓGICO'!$K$2:$K$4919,'DETALLE CRONOLÓGICO'!$A$2:$A$4919,$A645)</f>
        <v/>
      </c>
      <c r="L645" s="6">
        <f>_xlfn.MAXIFS('DETALLE CRONOLÓGICO'!$K$2:$K$4919,'DETALLE CRONOLÓGICO'!$A$2:$A$4919,$A645)</f>
        <v/>
      </c>
      <c r="M645" s="6">
        <f>INDEX('DETALLE CRONOLÓGICO'!$K$2:$K$4919,MATCH($A645,'DETALLE CRONOLÓGICO'!$A$2:$A$4919,0)+$E645-1)</f>
        <v/>
      </c>
      <c r="N645" s="7">
        <f>IFERROR($M645/INDEX('DETALLE CRONOLÓGICO'!$K$2:$K$4919,MATCH($A645,'DETALLE CRONOLÓGICO'!$A$2:$A$4919,0))-1,"")</f>
        <v/>
      </c>
      <c r="O645" s="6">
        <f>IFERROR($I645*3,"")</f>
        <v/>
      </c>
      <c r="P645" s="6">
        <f>IFERROR($I645*3.5,"")</f>
        <v/>
      </c>
      <c r="Q645" s="6">
        <f>IFERROR($I645*4,"")</f>
        <v/>
      </c>
      <c r="R645" s="6" t="n">
        <v>999</v>
      </c>
      <c r="S645" s="4" t="n">
        <v>0</v>
      </c>
      <c r="T645" s="1" t="inlineStr">
        <is>
          <t>active</t>
        </is>
      </c>
      <c r="U645" s="8" t="n"/>
      <c r="V645" s="1" t="inlineStr">
        <is>
          <t>SIN PRECIO</t>
        </is>
      </c>
    </row>
    <row r="646">
      <c r="A646" s="1" t="inlineStr">
        <is>
          <t>40154172899053</t>
        </is>
      </c>
      <c r="B646" s="1" t="inlineStr">
        <is>
          <t>ANILLO SERPENTI VIPER SILVER</t>
        </is>
      </c>
      <c r="C646" s="1" t="inlineStr">
        <is>
          <t>6</t>
        </is>
      </c>
      <c r="D646" s="1" t="inlineStr">
        <is>
          <t>HAIFENG</t>
        </is>
      </c>
      <c r="E646" s="4">
        <f>COUNTIF('DETALLE CRONOLÓGICO'!$A$2:$A$4919,$A646)</f>
        <v/>
      </c>
      <c r="F646" s="4">
        <f>SUMIFS('DETALLE CRONOLÓGICO'!$I$2:$I$4919,'DETALLE CRONOLÓGICO'!$A$2:$A$4919,$A646)</f>
        <v/>
      </c>
      <c r="G646" s="1">
        <f>INDEX('DETALLE CRONOLÓGICO'!$D$2:$D$4919,MATCH($A646,'DETALLE CRONOLÓGICO'!$A$2:$A$4919,0))</f>
        <v/>
      </c>
      <c r="H646" s="1">
        <f>INDEX('DETALLE CRONOLÓGICO'!$D$2:$D$4919,MATCH($A646,'DETALLE CRONOLÓGICO'!$A$2:$A$4919,0)+$E646-1)</f>
        <v/>
      </c>
      <c r="I646" s="5">
        <f>IFERROR(SUMIFS('DETALLE CRONOLÓGICO'!$L$2:$L$4919,'DETALLE CRONOLÓGICO'!$A$2:$A$4919,$A646)/$F646,"")</f>
        <v/>
      </c>
      <c r="J646" s="6">
        <f>IFERROR(SUMIFS('DETALLE CRONOLÓGICO'!$K$2:$K$4919,'DETALLE CRONOLÓGICO'!$A$2:$A$4919,$A646)/$E646,"")</f>
        <v/>
      </c>
      <c r="K646" s="6">
        <f>_xlfn.MINIFS('DETALLE CRONOLÓGICO'!$K$2:$K$4919,'DETALLE CRONOLÓGICO'!$A$2:$A$4919,$A646)</f>
        <v/>
      </c>
      <c r="L646" s="6">
        <f>_xlfn.MAXIFS('DETALLE CRONOLÓGICO'!$K$2:$K$4919,'DETALLE CRONOLÓGICO'!$A$2:$A$4919,$A646)</f>
        <v/>
      </c>
      <c r="M646" s="6">
        <f>INDEX('DETALLE CRONOLÓGICO'!$K$2:$K$4919,MATCH($A646,'DETALLE CRONOLÓGICO'!$A$2:$A$4919,0)+$E646-1)</f>
        <v/>
      </c>
      <c r="N646" s="7">
        <f>IFERROR($M646/INDEX('DETALLE CRONOLÓGICO'!$K$2:$K$4919,MATCH($A646,'DETALLE CRONOLÓGICO'!$A$2:$A$4919,0))-1,"")</f>
        <v/>
      </c>
      <c r="O646" s="6">
        <f>IFERROR($I646*3,"")</f>
        <v/>
      </c>
      <c r="P646" s="6">
        <f>IFERROR($I646*3.5,"")</f>
        <v/>
      </c>
      <c r="Q646" s="6">
        <f>IFERROR($I646*4,"")</f>
        <v/>
      </c>
      <c r="R646" s="6" t="n">
        <v>599</v>
      </c>
      <c r="S646" s="4" t="n">
        <v>1</v>
      </c>
      <c r="T646" s="1" t="inlineStr">
        <is>
          <t>active</t>
        </is>
      </c>
      <c r="U646" s="8" t="n"/>
      <c r="V646" s="1" t="inlineStr">
        <is>
          <t>SIN PRECIO</t>
        </is>
      </c>
    </row>
    <row r="647">
      <c r="A647" s="1" t="inlineStr">
        <is>
          <t>40154172931821</t>
        </is>
      </c>
      <c r="B647" s="1" t="inlineStr">
        <is>
          <t>ANILLO SERPENTI VIPER SILVER</t>
        </is>
      </c>
      <c r="C647" s="1" t="inlineStr">
        <is>
          <t>7</t>
        </is>
      </c>
      <c r="D647" s="1" t="inlineStr">
        <is>
          <t>HAIFENG</t>
        </is>
      </c>
      <c r="E647" s="4">
        <f>COUNTIF('DETALLE CRONOLÓGICO'!$A$2:$A$4919,$A647)</f>
        <v/>
      </c>
      <c r="F647" s="4">
        <f>SUMIFS('DETALLE CRONOLÓGICO'!$I$2:$I$4919,'DETALLE CRONOLÓGICO'!$A$2:$A$4919,$A647)</f>
        <v/>
      </c>
      <c r="G647" s="1">
        <f>INDEX('DETALLE CRONOLÓGICO'!$D$2:$D$4919,MATCH($A647,'DETALLE CRONOLÓGICO'!$A$2:$A$4919,0))</f>
        <v/>
      </c>
      <c r="H647" s="1">
        <f>INDEX('DETALLE CRONOLÓGICO'!$D$2:$D$4919,MATCH($A647,'DETALLE CRONOLÓGICO'!$A$2:$A$4919,0)+$E647-1)</f>
        <v/>
      </c>
      <c r="I647" s="5">
        <f>IFERROR(SUMIFS('DETALLE CRONOLÓGICO'!$L$2:$L$4919,'DETALLE CRONOLÓGICO'!$A$2:$A$4919,$A647)/$F647,"")</f>
        <v/>
      </c>
      <c r="J647" s="6">
        <f>IFERROR(SUMIFS('DETALLE CRONOLÓGICO'!$K$2:$K$4919,'DETALLE CRONOLÓGICO'!$A$2:$A$4919,$A647)/$E647,"")</f>
        <v/>
      </c>
      <c r="K647" s="6">
        <f>_xlfn.MINIFS('DETALLE CRONOLÓGICO'!$K$2:$K$4919,'DETALLE CRONOLÓGICO'!$A$2:$A$4919,$A647)</f>
        <v/>
      </c>
      <c r="L647" s="6">
        <f>_xlfn.MAXIFS('DETALLE CRONOLÓGICO'!$K$2:$K$4919,'DETALLE CRONOLÓGICO'!$A$2:$A$4919,$A647)</f>
        <v/>
      </c>
      <c r="M647" s="6">
        <f>INDEX('DETALLE CRONOLÓGICO'!$K$2:$K$4919,MATCH($A647,'DETALLE CRONOLÓGICO'!$A$2:$A$4919,0)+$E647-1)</f>
        <v/>
      </c>
      <c r="N647" s="7">
        <f>IFERROR($M647/INDEX('DETALLE CRONOLÓGICO'!$K$2:$K$4919,MATCH($A647,'DETALLE CRONOLÓGICO'!$A$2:$A$4919,0))-1,"")</f>
        <v/>
      </c>
      <c r="O647" s="6">
        <f>IFERROR($I647*3,"")</f>
        <v/>
      </c>
      <c r="P647" s="6">
        <f>IFERROR($I647*3.5,"")</f>
        <v/>
      </c>
      <c r="Q647" s="6">
        <f>IFERROR($I647*4,"")</f>
        <v/>
      </c>
      <c r="R647" s="6" t="n">
        <v>599</v>
      </c>
      <c r="S647" s="4" t="n">
        <v>3</v>
      </c>
      <c r="T647" s="1" t="inlineStr">
        <is>
          <t>active</t>
        </is>
      </c>
      <c r="U647" s="8" t="n"/>
      <c r="V647" s="1" t="inlineStr">
        <is>
          <t>SIN PRECIO</t>
        </is>
      </c>
    </row>
    <row r="648">
      <c r="A648" s="1" t="inlineStr">
        <is>
          <t>40154173040301</t>
        </is>
      </c>
      <c r="B648" s="1" t="inlineStr">
        <is>
          <t>ANILLO BV B.ZERO1 DELGADO SILVER</t>
        </is>
      </c>
      <c r="C648" s="1" t="inlineStr">
        <is>
          <t>6</t>
        </is>
      </c>
      <c r="D648" s="1" t="inlineStr">
        <is>
          <t>HAIFENG</t>
        </is>
      </c>
      <c r="E648" s="4">
        <f>COUNTIF('DETALLE CRONOLÓGICO'!$A$2:$A$4919,$A648)</f>
        <v/>
      </c>
      <c r="F648" s="4">
        <f>SUMIFS('DETALLE CRONOLÓGICO'!$I$2:$I$4919,'DETALLE CRONOLÓGICO'!$A$2:$A$4919,$A648)</f>
        <v/>
      </c>
      <c r="G648" s="1">
        <f>INDEX('DETALLE CRONOLÓGICO'!$D$2:$D$4919,MATCH($A648,'DETALLE CRONOLÓGICO'!$A$2:$A$4919,0))</f>
        <v/>
      </c>
      <c r="H648" s="1">
        <f>INDEX('DETALLE CRONOLÓGICO'!$D$2:$D$4919,MATCH($A648,'DETALLE CRONOLÓGICO'!$A$2:$A$4919,0)+$E648-1)</f>
        <v/>
      </c>
      <c r="I648" s="5">
        <f>IFERROR(SUMIFS('DETALLE CRONOLÓGICO'!$L$2:$L$4919,'DETALLE CRONOLÓGICO'!$A$2:$A$4919,$A648)/$F648,"")</f>
        <v/>
      </c>
      <c r="J648" s="6">
        <f>IFERROR(SUMIFS('DETALLE CRONOLÓGICO'!$K$2:$K$4919,'DETALLE CRONOLÓGICO'!$A$2:$A$4919,$A648)/$E648,"")</f>
        <v/>
      </c>
      <c r="K648" s="6">
        <f>_xlfn.MINIFS('DETALLE CRONOLÓGICO'!$K$2:$K$4919,'DETALLE CRONOLÓGICO'!$A$2:$A$4919,$A648)</f>
        <v/>
      </c>
      <c r="L648" s="6">
        <f>_xlfn.MAXIFS('DETALLE CRONOLÓGICO'!$K$2:$K$4919,'DETALLE CRONOLÓGICO'!$A$2:$A$4919,$A648)</f>
        <v/>
      </c>
      <c r="M648" s="6">
        <f>INDEX('DETALLE CRONOLÓGICO'!$K$2:$K$4919,MATCH($A648,'DETALLE CRONOLÓGICO'!$A$2:$A$4919,0)+$E648-1)</f>
        <v/>
      </c>
      <c r="N648" s="7">
        <f>IFERROR($M648/INDEX('DETALLE CRONOLÓGICO'!$K$2:$K$4919,MATCH($A648,'DETALLE CRONOLÓGICO'!$A$2:$A$4919,0))-1,"")</f>
        <v/>
      </c>
      <c r="O648" s="6">
        <f>IFERROR($I648*3,"")</f>
        <v/>
      </c>
      <c r="P648" s="6">
        <f>IFERROR($I648*3.5,"")</f>
        <v/>
      </c>
      <c r="Q648" s="6">
        <f>IFERROR($I648*4,"")</f>
        <v/>
      </c>
      <c r="R648" s="6" t="n">
        <v>699</v>
      </c>
      <c r="S648" s="4" t="n">
        <v>1</v>
      </c>
      <c r="T648" s="1" t="inlineStr">
        <is>
          <t>active</t>
        </is>
      </c>
      <c r="U648" s="8" t="n"/>
      <c r="V648" s="1" t="inlineStr">
        <is>
          <t>SIN PRECIO</t>
        </is>
      </c>
    </row>
    <row r="649">
      <c r="A649" s="1" t="inlineStr">
        <is>
          <t>40154173173069</t>
        </is>
      </c>
      <c r="B649" s="1" t="inlineStr">
        <is>
          <t>ANILLO BV B.ZERO1 DELGADO SILVER</t>
        </is>
      </c>
      <c r="C649" s="1" t="inlineStr">
        <is>
          <t>7</t>
        </is>
      </c>
      <c r="D649" s="1" t="inlineStr">
        <is>
          <t>HAIFENG</t>
        </is>
      </c>
      <c r="E649" s="4">
        <f>COUNTIF('DETALLE CRONOLÓGICO'!$A$2:$A$4919,$A649)</f>
        <v/>
      </c>
      <c r="F649" s="4">
        <f>SUMIFS('DETALLE CRONOLÓGICO'!$I$2:$I$4919,'DETALLE CRONOLÓGICO'!$A$2:$A$4919,$A649)</f>
        <v/>
      </c>
      <c r="G649" s="1">
        <f>INDEX('DETALLE CRONOLÓGICO'!$D$2:$D$4919,MATCH($A649,'DETALLE CRONOLÓGICO'!$A$2:$A$4919,0))</f>
        <v/>
      </c>
      <c r="H649" s="1">
        <f>INDEX('DETALLE CRONOLÓGICO'!$D$2:$D$4919,MATCH($A649,'DETALLE CRONOLÓGICO'!$A$2:$A$4919,0)+$E649-1)</f>
        <v/>
      </c>
      <c r="I649" s="5">
        <f>IFERROR(SUMIFS('DETALLE CRONOLÓGICO'!$L$2:$L$4919,'DETALLE CRONOLÓGICO'!$A$2:$A$4919,$A649)/$F649,"")</f>
        <v/>
      </c>
      <c r="J649" s="6">
        <f>IFERROR(SUMIFS('DETALLE CRONOLÓGICO'!$K$2:$K$4919,'DETALLE CRONOLÓGICO'!$A$2:$A$4919,$A649)/$E649,"")</f>
        <v/>
      </c>
      <c r="K649" s="6">
        <f>_xlfn.MINIFS('DETALLE CRONOLÓGICO'!$K$2:$K$4919,'DETALLE CRONOLÓGICO'!$A$2:$A$4919,$A649)</f>
        <v/>
      </c>
      <c r="L649" s="6">
        <f>_xlfn.MAXIFS('DETALLE CRONOLÓGICO'!$K$2:$K$4919,'DETALLE CRONOLÓGICO'!$A$2:$A$4919,$A649)</f>
        <v/>
      </c>
      <c r="M649" s="6">
        <f>INDEX('DETALLE CRONOLÓGICO'!$K$2:$K$4919,MATCH($A649,'DETALLE CRONOLÓGICO'!$A$2:$A$4919,0)+$E649-1)</f>
        <v/>
      </c>
      <c r="N649" s="7">
        <f>IFERROR($M649/INDEX('DETALLE CRONOLÓGICO'!$K$2:$K$4919,MATCH($A649,'DETALLE CRONOLÓGICO'!$A$2:$A$4919,0))-1,"")</f>
        <v/>
      </c>
      <c r="O649" s="6">
        <f>IFERROR($I649*3,"")</f>
        <v/>
      </c>
      <c r="P649" s="6">
        <f>IFERROR($I649*3.5,"")</f>
        <v/>
      </c>
      <c r="Q649" s="6">
        <f>IFERROR($I649*4,"")</f>
        <v/>
      </c>
      <c r="R649" s="6" t="n">
        <v>699</v>
      </c>
      <c r="S649" s="4" t="n">
        <v>1</v>
      </c>
      <c r="T649" s="1" t="inlineStr">
        <is>
          <t>active</t>
        </is>
      </c>
      <c r="U649" s="8" t="n"/>
      <c r="V649" s="1" t="inlineStr">
        <is>
          <t>SIN PRECIO</t>
        </is>
      </c>
    </row>
    <row r="650">
      <c r="A650" s="1" t="inlineStr">
        <is>
          <t>40154173241997</t>
        </is>
      </c>
      <c r="B650" s="1" t="inlineStr">
        <is>
          <t>COLLAR JUSTE UN CLOU ROSE GOLD</t>
        </is>
      </c>
      <c r="C650" s="1" t="inlineStr">
        <is>
          <t>Default Title</t>
        </is>
      </c>
      <c r="D650" s="1" t="inlineStr">
        <is>
          <t>HAIFENG</t>
        </is>
      </c>
      <c r="E650" s="4">
        <f>COUNTIF('DETALLE CRONOLÓGICO'!$A$2:$A$4919,$A650)</f>
        <v/>
      </c>
      <c r="F650" s="4">
        <f>SUMIFS('DETALLE CRONOLÓGICO'!$I$2:$I$4919,'DETALLE CRONOLÓGICO'!$A$2:$A$4919,$A650)</f>
        <v/>
      </c>
      <c r="G650" s="1">
        <f>INDEX('DETALLE CRONOLÓGICO'!$D$2:$D$4919,MATCH($A650,'DETALLE CRONOLÓGICO'!$A$2:$A$4919,0))</f>
        <v/>
      </c>
      <c r="H650" s="1">
        <f>INDEX('DETALLE CRONOLÓGICO'!$D$2:$D$4919,MATCH($A650,'DETALLE CRONOLÓGICO'!$A$2:$A$4919,0)+$E650-1)</f>
        <v/>
      </c>
      <c r="I650" s="5">
        <f>IFERROR(SUMIFS('DETALLE CRONOLÓGICO'!$L$2:$L$4919,'DETALLE CRONOLÓGICO'!$A$2:$A$4919,$A650)/$F650,"")</f>
        <v/>
      </c>
      <c r="J650" s="6">
        <f>IFERROR(SUMIFS('DETALLE CRONOLÓGICO'!$K$2:$K$4919,'DETALLE CRONOLÓGICO'!$A$2:$A$4919,$A650)/$E650,"")</f>
        <v/>
      </c>
      <c r="K650" s="6">
        <f>_xlfn.MINIFS('DETALLE CRONOLÓGICO'!$K$2:$K$4919,'DETALLE CRONOLÓGICO'!$A$2:$A$4919,$A650)</f>
        <v/>
      </c>
      <c r="L650" s="6">
        <f>_xlfn.MAXIFS('DETALLE CRONOLÓGICO'!$K$2:$K$4919,'DETALLE CRONOLÓGICO'!$A$2:$A$4919,$A650)</f>
        <v/>
      </c>
      <c r="M650" s="6">
        <f>INDEX('DETALLE CRONOLÓGICO'!$K$2:$K$4919,MATCH($A650,'DETALLE CRONOLÓGICO'!$A$2:$A$4919,0)+$E650-1)</f>
        <v/>
      </c>
      <c r="N650" s="7">
        <f>IFERROR($M650/INDEX('DETALLE CRONOLÓGICO'!$K$2:$K$4919,MATCH($A650,'DETALLE CRONOLÓGICO'!$A$2:$A$4919,0))-1,"")</f>
        <v/>
      </c>
      <c r="O650" s="6">
        <f>IFERROR($I650*3,"")</f>
        <v/>
      </c>
      <c r="P650" s="6">
        <f>IFERROR($I650*3.5,"")</f>
        <v/>
      </c>
      <c r="Q650" s="6">
        <f>IFERROR($I650*4,"")</f>
        <v/>
      </c>
      <c r="R650" s="6" t="n">
        <v>870</v>
      </c>
      <c r="S650" s="4" t="n">
        <v>2</v>
      </c>
      <c r="T650" s="1" t="inlineStr">
        <is>
          <t>active</t>
        </is>
      </c>
      <c r="U650" s="8" t="n"/>
      <c r="V650" s="1" t="inlineStr">
        <is>
          <t>SIN PRECIO</t>
        </is>
      </c>
    </row>
    <row r="651">
      <c r="A651" s="1" t="inlineStr">
        <is>
          <t>40154173365741</t>
        </is>
      </c>
      <c r="B651" s="1" t="inlineStr">
        <is>
          <t>ANILLO CLAVO DOBLE SILVER ZIRCONIAS</t>
        </is>
      </c>
      <c r="C651" s="1" t="inlineStr">
        <is>
          <t>6</t>
        </is>
      </c>
      <c r="D651" s="1" t="inlineStr">
        <is>
          <t>HAIFENG</t>
        </is>
      </c>
      <c r="E651" s="4">
        <f>COUNTIF('DETALLE CRONOLÓGICO'!$A$2:$A$4919,$A651)</f>
        <v/>
      </c>
      <c r="F651" s="4">
        <f>SUMIFS('DETALLE CRONOLÓGICO'!$I$2:$I$4919,'DETALLE CRONOLÓGICO'!$A$2:$A$4919,$A651)</f>
        <v/>
      </c>
      <c r="G651" s="1">
        <f>INDEX('DETALLE CRONOLÓGICO'!$D$2:$D$4919,MATCH($A651,'DETALLE CRONOLÓGICO'!$A$2:$A$4919,0))</f>
        <v/>
      </c>
      <c r="H651" s="1">
        <f>INDEX('DETALLE CRONOLÓGICO'!$D$2:$D$4919,MATCH($A651,'DETALLE CRONOLÓGICO'!$A$2:$A$4919,0)+$E651-1)</f>
        <v/>
      </c>
      <c r="I651" s="5">
        <f>IFERROR(SUMIFS('DETALLE CRONOLÓGICO'!$L$2:$L$4919,'DETALLE CRONOLÓGICO'!$A$2:$A$4919,$A651)/$F651,"")</f>
        <v/>
      </c>
      <c r="J651" s="6">
        <f>IFERROR(SUMIFS('DETALLE CRONOLÓGICO'!$K$2:$K$4919,'DETALLE CRONOLÓGICO'!$A$2:$A$4919,$A651)/$E651,"")</f>
        <v/>
      </c>
      <c r="K651" s="6">
        <f>_xlfn.MINIFS('DETALLE CRONOLÓGICO'!$K$2:$K$4919,'DETALLE CRONOLÓGICO'!$A$2:$A$4919,$A651)</f>
        <v/>
      </c>
      <c r="L651" s="6">
        <f>_xlfn.MAXIFS('DETALLE CRONOLÓGICO'!$K$2:$K$4919,'DETALLE CRONOLÓGICO'!$A$2:$A$4919,$A651)</f>
        <v/>
      </c>
      <c r="M651" s="6">
        <f>INDEX('DETALLE CRONOLÓGICO'!$K$2:$K$4919,MATCH($A651,'DETALLE CRONOLÓGICO'!$A$2:$A$4919,0)+$E651-1)</f>
        <v/>
      </c>
      <c r="N651" s="7">
        <f>IFERROR($M651/INDEX('DETALLE CRONOLÓGICO'!$K$2:$K$4919,MATCH($A651,'DETALLE CRONOLÓGICO'!$A$2:$A$4919,0))-1,"")</f>
        <v/>
      </c>
      <c r="O651" s="6">
        <f>IFERROR($I651*3,"")</f>
        <v/>
      </c>
      <c r="P651" s="6">
        <f>IFERROR($I651*3.5,"")</f>
        <v/>
      </c>
      <c r="Q651" s="6">
        <f>IFERROR($I651*4,"")</f>
        <v/>
      </c>
      <c r="R651" s="6" t="n">
        <v>455</v>
      </c>
      <c r="S651" s="4" t="n">
        <v>2</v>
      </c>
      <c r="T651" s="1" t="inlineStr">
        <is>
          <t>active</t>
        </is>
      </c>
      <c r="U651" s="8" t="n"/>
      <c r="V651" s="1" t="inlineStr">
        <is>
          <t>SIN PRECIO</t>
        </is>
      </c>
    </row>
    <row r="652">
      <c r="A652" s="1" t="inlineStr">
        <is>
          <t>40154173498509</t>
        </is>
      </c>
      <c r="B652" s="1" t="inlineStr">
        <is>
          <t>ANILLO CLAVO DOBLE SILVER ZIRCONIAS</t>
        </is>
      </c>
      <c r="C652" s="1" t="inlineStr">
        <is>
          <t>7</t>
        </is>
      </c>
      <c r="D652" s="1" t="inlineStr">
        <is>
          <t>HAIFENG</t>
        </is>
      </c>
      <c r="E652" s="4">
        <f>COUNTIF('DETALLE CRONOLÓGICO'!$A$2:$A$4919,$A652)</f>
        <v/>
      </c>
      <c r="F652" s="4">
        <f>SUMIFS('DETALLE CRONOLÓGICO'!$I$2:$I$4919,'DETALLE CRONOLÓGICO'!$A$2:$A$4919,$A652)</f>
        <v/>
      </c>
      <c r="G652" s="1">
        <f>INDEX('DETALLE CRONOLÓGICO'!$D$2:$D$4919,MATCH($A652,'DETALLE CRONOLÓGICO'!$A$2:$A$4919,0))</f>
        <v/>
      </c>
      <c r="H652" s="1">
        <f>INDEX('DETALLE CRONOLÓGICO'!$D$2:$D$4919,MATCH($A652,'DETALLE CRONOLÓGICO'!$A$2:$A$4919,0)+$E652-1)</f>
        <v/>
      </c>
      <c r="I652" s="5">
        <f>IFERROR(SUMIFS('DETALLE CRONOLÓGICO'!$L$2:$L$4919,'DETALLE CRONOLÓGICO'!$A$2:$A$4919,$A652)/$F652,"")</f>
        <v/>
      </c>
      <c r="J652" s="6">
        <f>IFERROR(SUMIFS('DETALLE CRONOLÓGICO'!$K$2:$K$4919,'DETALLE CRONOLÓGICO'!$A$2:$A$4919,$A652)/$E652,"")</f>
        <v/>
      </c>
      <c r="K652" s="6">
        <f>_xlfn.MINIFS('DETALLE CRONOLÓGICO'!$K$2:$K$4919,'DETALLE CRONOLÓGICO'!$A$2:$A$4919,$A652)</f>
        <v/>
      </c>
      <c r="L652" s="6">
        <f>_xlfn.MAXIFS('DETALLE CRONOLÓGICO'!$K$2:$K$4919,'DETALLE CRONOLÓGICO'!$A$2:$A$4919,$A652)</f>
        <v/>
      </c>
      <c r="M652" s="6">
        <f>INDEX('DETALLE CRONOLÓGICO'!$K$2:$K$4919,MATCH($A652,'DETALLE CRONOLÓGICO'!$A$2:$A$4919,0)+$E652-1)</f>
        <v/>
      </c>
      <c r="N652" s="7">
        <f>IFERROR($M652/INDEX('DETALLE CRONOLÓGICO'!$K$2:$K$4919,MATCH($A652,'DETALLE CRONOLÓGICO'!$A$2:$A$4919,0))-1,"")</f>
        <v/>
      </c>
      <c r="O652" s="6">
        <f>IFERROR($I652*3,"")</f>
        <v/>
      </c>
      <c r="P652" s="6">
        <f>IFERROR($I652*3.5,"")</f>
        <v/>
      </c>
      <c r="Q652" s="6">
        <f>IFERROR($I652*4,"")</f>
        <v/>
      </c>
      <c r="R652" s="6" t="n">
        <v>455</v>
      </c>
      <c r="S652" s="4" t="n">
        <v>2</v>
      </c>
      <c r="T652" s="1" t="inlineStr">
        <is>
          <t>active</t>
        </is>
      </c>
      <c r="U652" s="8" t="n"/>
      <c r="V652" s="1" t="inlineStr">
        <is>
          <t>SIN PRECIO</t>
        </is>
      </c>
    </row>
    <row r="653">
      <c r="A653" s="1" t="inlineStr">
        <is>
          <t>40154173560109</t>
        </is>
      </c>
      <c r="B653" s="1" t="inlineStr">
        <is>
          <t>ANILLO CLAVO DOBLE GOLD ZIRCONIAS</t>
        </is>
      </c>
      <c r="C653" s="1" t="inlineStr">
        <is>
          <t>6</t>
        </is>
      </c>
      <c r="D653" s="1" t="inlineStr">
        <is>
          <t>HAIFENG</t>
        </is>
      </c>
      <c r="E653" s="4">
        <f>COUNTIF('DETALLE CRONOLÓGICO'!$A$2:$A$4919,$A653)</f>
        <v/>
      </c>
      <c r="F653" s="4">
        <f>SUMIFS('DETALLE CRONOLÓGICO'!$I$2:$I$4919,'DETALLE CRONOLÓGICO'!$A$2:$A$4919,$A653)</f>
        <v/>
      </c>
      <c r="G653" s="1">
        <f>INDEX('DETALLE CRONOLÓGICO'!$D$2:$D$4919,MATCH($A653,'DETALLE CRONOLÓGICO'!$A$2:$A$4919,0))</f>
        <v/>
      </c>
      <c r="H653" s="1">
        <f>INDEX('DETALLE CRONOLÓGICO'!$D$2:$D$4919,MATCH($A653,'DETALLE CRONOLÓGICO'!$A$2:$A$4919,0)+$E653-1)</f>
        <v/>
      </c>
      <c r="I653" s="5">
        <f>IFERROR(SUMIFS('DETALLE CRONOLÓGICO'!$L$2:$L$4919,'DETALLE CRONOLÓGICO'!$A$2:$A$4919,$A653)/$F653,"")</f>
        <v/>
      </c>
      <c r="J653" s="6">
        <f>IFERROR(SUMIFS('DETALLE CRONOLÓGICO'!$K$2:$K$4919,'DETALLE CRONOLÓGICO'!$A$2:$A$4919,$A653)/$E653,"")</f>
        <v/>
      </c>
      <c r="K653" s="6">
        <f>_xlfn.MINIFS('DETALLE CRONOLÓGICO'!$K$2:$K$4919,'DETALLE CRONOLÓGICO'!$A$2:$A$4919,$A653)</f>
        <v/>
      </c>
      <c r="L653" s="6">
        <f>_xlfn.MAXIFS('DETALLE CRONOLÓGICO'!$K$2:$K$4919,'DETALLE CRONOLÓGICO'!$A$2:$A$4919,$A653)</f>
        <v/>
      </c>
      <c r="M653" s="6">
        <f>INDEX('DETALLE CRONOLÓGICO'!$K$2:$K$4919,MATCH($A653,'DETALLE CRONOLÓGICO'!$A$2:$A$4919,0)+$E653-1)</f>
        <v/>
      </c>
      <c r="N653" s="7">
        <f>IFERROR($M653/INDEX('DETALLE CRONOLÓGICO'!$K$2:$K$4919,MATCH($A653,'DETALLE CRONOLÓGICO'!$A$2:$A$4919,0))-1,"")</f>
        <v/>
      </c>
      <c r="O653" s="6">
        <f>IFERROR($I653*3,"")</f>
        <v/>
      </c>
      <c r="P653" s="6">
        <f>IFERROR($I653*3.5,"")</f>
        <v/>
      </c>
      <c r="Q653" s="6">
        <f>IFERROR($I653*4,"")</f>
        <v/>
      </c>
      <c r="R653" s="6" t="n">
        <v>600</v>
      </c>
      <c r="S653" s="4" t="n">
        <v>0</v>
      </c>
      <c r="T653" s="1" t="inlineStr">
        <is>
          <t>active</t>
        </is>
      </c>
      <c r="U653" s="8" t="n"/>
      <c r="V653" s="1" t="inlineStr">
        <is>
          <t>SIN PRECIO</t>
        </is>
      </c>
    </row>
    <row r="654">
      <c r="A654" s="1" t="inlineStr">
        <is>
          <t>40154173692877</t>
        </is>
      </c>
      <c r="B654" s="1" t="inlineStr">
        <is>
          <t>ANILLO CLAVO DOBLE GOLD ZIRCONIAS</t>
        </is>
      </c>
      <c r="C654" s="1" t="inlineStr">
        <is>
          <t>7</t>
        </is>
      </c>
      <c r="D654" s="1" t="inlineStr">
        <is>
          <t>HAIFENG</t>
        </is>
      </c>
      <c r="E654" s="4">
        <f>COUNTIF('DETALLE CRONOLÓGICO'!$A$2:$A$4919,$A654)</f>
        <v/>
      </c>
      <c r="F654" s="4">
        <f>SUMIFS('DETALLE CRONOLÓGICO'!$I$2:$I$4919,'DETALLE CRONOLÓGICO'!$A$2:$A$4919,$A654)</f>
        <v/>
      </c>
      <c r="G654" s="1">
        <f>INDEX('DETALLE CRONOLÓGICO'!$D$2:$D$4919,MATCH($A654,'DETALLE CRONOLÓGICO'!$A$2:$A$4919,0))</f>
        <v/>
      </c>
      <c r="H654" s="1">
        <f>INDEX('DETALLE CRONOLÓGICO'!$D$2:$D$4919,MATCH($A654,'DETALLE CRONOLÓGICO'!$A$2:$A$4919,0)+$E654-1)</f>
        <v/>
      </c>
      <c r="I654" s="5">
        <f>IFERROR(SUMIFS('DETALLE CRONOLÓGICO'!$L$2:$L$4919,'DETALLE CRONOLÓGICO'!$A$2:$A$4919,$A654)/$F654,"")</f>
        <v/>
      </c>
      <c r="J654" s="6">
        <f>IFERROR(SUMIFS('DETALLE CRONOLÓGICO'!$K$2:$K$4919,'DETALLE CRONOLÓGICO'!$A$2:$A$4919,$A654)/$E654,"")</f>
        <v/>
      </c>
      <c r="K654" s="6">
        <f>_xlfn.MINIFS('DETALLE CRONOLÓGICO'!$K$2:$K$4919,'DETALLE CRONOLÓGICO'!$A$2:$A$4919,$A654)</f>
        <v/>
      </c>
      <c r="L654" s="6">
        <f>_xlfn.MAXIFS('DETALLE CRONOLÓGICO'!$K$2:$K$4919,'DETALLE CRONOLÓGICO'!$A$2:$A$4919,$A654)</f>
        <v/>
      </c>
      <c r="M654" s="6">
        <f>INDEX('DETALLE CRONOLÓGICO'!$K$2:$K$4919,MATCH($A654,'DETALLE CRONOLÓGICO'!$A$2:$A$4919,0)+$E654-1)</f>
        <v/>
      </c>
      <c r="N654" s="7">
        <f>IFERROR($M654/INDEX('DETALLE CRONOLÓGICO'!$K$2:$K$4919,MATCH($A654,'DETALLE CRONOLÓGICO'!$A$2:$A$4919,0))-1,"")</f>
        <v/>
      </c>
      <c r="O654" s="6">
        <f>IFERROR($I654*3,"")</f>
        <v/>
      </c>
      <c r="P654" s="6">
        <f>IFERROR($I654*3.5,"")</f>
        <v/>
      </c>
      <c r="Q654" s="6">
        <f>IFERROR($I654*4,"")</f>
        <v/>
      </c>
      <c r="R654" s="6" t="n">
        <v>600</v>
      </c>
      <c r="S654" s="4" t="n">
        <v>0</v>
      </c>
      <c r="T654" s="1" t="inlineStr">
        <is>
          <t>active</t>
        </is>
      </c>
      <c r="U654" s="8" t="n"/>
      <c r="V654" s="1" t="inlineStr">
        <is>
          <t>SIN PRECIO</t>
        </is>
      </c>
    </row>
    <row r="655">
      <c r="A655" s="1" t="inlineStr">
        <is>
          <t>40154173742605</t>
        </is>
      </c>
      <c r="B655" s="1" t="inlineStr">
        <is>
          <t>ARRACADAS CLAVO JUSTE GOLD</t>
        </is>
      </c>
      <c r="C655" s="1" t="inlineStr">
        <is>
          <t>Default Title</t>
        </is>
      </c>
      <c r="D655" s="1" t="inlineStr">
        <is>
          <t>HAIFENG</t>
        </is>
      </c>
      <c r="E655" s="4">
        <f>COUNTIF('DETALLE CRONOLÓGICO'!$A$2:$A$4919,$A655)</f>
        <v/>
      </c>
      <c r="F655" s="4">
        <f>SUMIFS('DETALLE CRONOLÓGICO'!$I$2:$I$4919,'DETALLE CRONOLÓGICO'!$A$2:$A$4919,$A655)</f>
        <v/>
      </c>
      <c r="G655" s="1">
        <f>INDEX('DETALLE CRONOLÓGICO'!$D$2:$D$4919,MATCH($A655,'DETALLE CRONOLÓGICO'!$A$2:$A$4919,0))</f>
        <v/>
      </c>
      <c r="H655" s="1">
        <f>INDEX('DETALLE CRONOLÓGICO'!$D$2:$D$4919,MATCH($A655,'DETALLE CRONOLÓGICO'!$A$2:$A$4919,0)+$E655-1)</f>
        <v/>
      </c>
      <c r="I655" s="5">
        <f>IFERROR(SUMIFS('DETALLE CRONOLÓGICO'!$L$2:$L$4919,'DETALLE CRONOLÓGICO'!$A$2:$A$4919,$A655)/$F655,"")</f>
        <v/>
      </c>
      <c r="J655" s="6">
        <f>IFERROR(SUMIFS('DETALLE CRONOLÓGICO'!$K$2:$K$4919,'DETALLE CRONOLÓGICO'!$A$2:$A$4919,$A655)/$E655,"")</f>
        <v/>
      </c>
      <c r="K655" s="6">
        <f>_xlfn.MINIFS('DETALLE CRONOLÓGICO'!$K$2:$K$4919,'DETALLE CRONOLÓGICO'!$A$2:$A$4919,$A655)</f>
        <v/>
      </c>
      <c r="L655" s="6">
        <f>_xlfn.MAXIFS('DETALLE CRONOLÓGICO'!$K$2:$K$4919,'DETALLE CRONOLÓGICO'!$A$2:$A$4919,$A655)</f>
        <v/>
      </c>
      <c r="M655" s="6">
        <f>INDEX('DETALLE CRONOLÓGICO'!$K$2:$K$4919,MATCH($A655,'DETALLE CRONOLÓGICO'!$A$2:$A$4919,0)+$E655-1)</f>
        <v/>
      </c>
      <c r="N655" s="7">
        <f>IFERROR($M655/INDEX('DETALLE CRONOLÓGICO'!$K$2:$K$4919,MATCH($A655,'DETALLE CRONOLÓGICO'!$A$2:$A$4919,0))-1,"")</f>
        <v/>
      </c>
      <c r="O655" s="6">
        <f>IFERROR($I655*3,"")</f>
        <v/>
      </c>
      <c r="P655" s="6">
        <f>IFERROR($I655*3.5,"")</f>
        <v/>
      </c>
      <c r="Q655" s="6">
        <f>IFERROR($I655*4,"")</f>
        <v/>
      </c>
      <c r="R655" s="6" t="n">
        <v>850</v>
      </c>
      <c r="S655" s="4" t="n">
        <v>2</v>
      </c>
      <c r="T655" s="1" t="inlineStr">
        <is>
          <t>active</t>
        </is>
      </c>
      <c r="U655" s="8" t="n"/>
      <c r="V655" s="1" t="inlineStr">
        <is>
          <t>SIN PRECIO</t>
        </is>
      </c>
    </row>
    <row r="656">
      <c r="A656" s="1" t="inlineStr">
        <is>
          <t>40154173820013</t>
        </is>
      </c>
      <c r="B656" s="1" t="inlineStr">
        <is>
          <t>ARRACADAS CLAVO JUSTE SILVER</t>
        </is>
      </c>
      <c r="C656" s="1" t="inlineStr">
        <is>
          <t>Default Title</t>
        </is>
      </c>
      <c r="D656" s="1" t="inlineStr">
        <is>
          <t>HAIFENG</t>
        </is>
      </c>
      <c r="E656" s="4">
        <f>COUNTIF('DETALLE CRONOLÓGICO'!$A$2:$A$4919,$A656)</f>
        <v/>
      </c>
      <c r="F656" s="4">
        <f>SUMIFS('DETALLE CRONOLÓGICO'!$I$2:$I$4919,'DETALLE CRONOLÓGICO'!$A$2:$A$4919,$A656)</f>
        <v/>
      </c>
      <c r="G656" s="1">
        <f>INDEX('DETALLE CRONOLÓGICO'!$D$2:$D$4919,MATCH($A656,'DETALLE CRONOLÓGICO'!$A$2:$A$4919,0))</f>
        <v/>
      </c>
      <c r="H656" s="1">
        <f>INDEX('DETALLE CRONOLÓGICO'!$D$2:$D$4919,MATCH($A656,'DETALLE CRONOLÓGICO'!$A$2:$A$4919,0)+$E656-1)</f>
        <v/>
      </c>
      <c r="I656" s="5">
        <f>IFERROR(SUMIFS('DETALLE CRONOLÓGICO'!$L$2:$L$4919,'DETALLE CRONOLÓGICO'!$A$2:$A$4919,$A656)/$F656,"")</f>
        <v/>
      </c>
      <c r="J656" s="6">
        <f>IFERROR(SUMIFS('DETALLE CRONOLÓGICO'!$K$2:$K$4919,'DETALLE CRONOLÓGICO'!$A$2:$A$4919,$A656)/$E656,"")</f>
        <v/>
      </c>
      <c r="K656" s="6">
        <f>_xlfn.MINIFS('DETALLE CRONOLÓGICO'!$K$2:$K$4919,'DETALLE CRONOLÓGICO'!$A$2:$A$4919,$A656)</f>
        <v/>
      </c>
      <c r="L656" s="6">
        <f>_xlfn.MAXIFS('DETALLE CRONOLÓGICO'!$K$2:$K$4919,'DETALLE CRONOLÓGICO'!$A$2:$A$4919,$A656)</f>
        <v/>
      </c>
      <c r="M656" s="6">
        <f>INDEX('DETALLE CRONOLÓGICO'!$K$2:$K$4919,MATCH($A656,'DETALLE CRONOLÓGICO'!$A$2:$A$4919,0)+$E656-1)</f>
        <v/>
      </c>
      <c r="N656" s="7">
        <f>IFERROR($M656/INDEX('DETALLE CRONOLÓGICO'!$K$2:$K$4919,MATCH($A656,'DETALLE CRONOLÓGICO'!$A$2:$A$4919,0))-1,"")</f>
        <v/>
      </c>
      <c r="O656" s="6">
        <f>IFERROR($I656*3,"")</f>
        <v/>
      </c>
      <c r="P656" s="6">
        <f>IFERROR($I656*3.5,"")</f>
        <v/>
      </c>
      <c r="Q656" s="6">
        <f>IFERROR($I656*4,"")</f>
        <v/>
      </c>
      <c r="R656" s="6" t="n">
        <v>850</v>
      </c>
      <c r="S656" s="4" t="n">
        <v>2</v>
      </c>
      <c r="T656" s="1" t="inlineStr">
        <is>
          <t>active</t>
        </is>
      </c>
      <c r="U656" s="8" t="n"/>
      <c r="V656" s="1" t="inlineStr">
        <is>
          <t>SIN PRECIO</t>
        </is>
      </c>
    </row>
    <row r="657">
      <c r="A657" s="1" t="inlineStr">
        <is>
          <t>40495211029965</t>
        </is>
      </c>
      <c r="B657" s="1" t="inlineStr">
        <is>
          <t>PERFUME  BV LE GEMME TYGAR EAU DE PARFUM</t>
        </is>
      </c>
      <c r="C657" s="1" t="inlineStr">
        <is>
          <t>100 ml</t>
        </is>
      </c>
      <c r="D657" s="1" t="inlineStr">
        <is>
          <t>ZOEY</t>
        </is>
      </c>
      <c r="E657" s="4">
        <f>COUNTIF('DETALLE CRONOLÓGICO'!$A$2:$A$4919,$A657)</f>
        <v/>
      </c>
      <c r="F657" s="4">
        <f>SUMIFS('DETALLE CRONOLÓGICO'!$I$2:$I$4919,'DETALLE CRONOLÓGICO'!$A$2:$A$4919,$A657)</f>
        <v/>
      </c>
      <c r="G657" s="1">
        <f>INDEX('DETALLE CRONOLÓGICO'!$D$2:$D$4919,MATCH($A657,'DETALLE CRONOLÓGICO'!$A$2:$A$4919,0))</f>
        <v/>
      </c>
      <c r="H657" s="1">
        <f>INDEX('DETALLE CRONOLÓGICO'!$D$2:$D$4919,MATCH($A657,'DETALLE CRONOLÓGICO'!$A$2:$A$4919,0)+$E657-1)</f>
        <v/>
      </c>
      <c r="I657" s="5">
        <f>IFERROR(SUMIFS('DETALLE CRONOLÓGICO'!$L$2:$L$4919,'DETALLE CRONOLÓGICO'!$A$2:$A$4919,$A657)/$F657,"")</f>
        <v/>
      </c>
      <c r="J657" s="6">
        <f>IFERROR(SUMIFS('DETALLE CRONOLÓGICO'!$K$2:$K$4919,'DETALLE CRONOLÓGICO'!$A$2:$A$4919,$A657)/$E657,"")</f>
        <v/>
      </c>
      <c r="K657" s="6">
        <f>_xlfn.MINIFS('DETALLE CRONOLÓGICO'!$K$2:$K$4919,'DETALLE CRONOLÓGICO'!$A$2:$A$4919,$A657)</f>
        <v/>
      </c>
      <c r="L657" s="6">
        <f>_xlfn.MAXIFS('DETALLE CRONOLÓGICO'!$K$2:$K$4919,'DETALLE CRONOLÓGICO'!$A$2:$A$4919,$A657)</f>
        <v/>
      </c>
      <c r="M657" s="6">
        <f>INDEX('DETALLE CRONOLÓGICO'!$K$2:$K$4919,MATCH($A657,'DETALLE CRONOLÓGICO'!$A$2:$A$4919,0)+$E657-1)</f>
        <v/>
      </c>
      <c r="N657" s="7">
        <f>IFERROR($M657/INDEX('DETALLE CRONOLÓGICO'!$K$2:$K$4919,MATCH($A657,'DETALLE CRONOLÓGICO'!$A$2:$A$4919,0))-1,"")</f>
        <v/>
      </c>
      <c r="O657" s="6">
        <f>IFERROR($I657*3,"")</f>
        <v/>
      </c>
      <c r="P657" s="6">
        <f>IFERROR($I657*3.5,"")</f>
        <v/>
      </c>
      <c r="Q657" s="6">
        <f>IFERROR($I657*4,"")</f>
        <v/>
      </c>
      <c r="R657" s="6" t="n">
        <v>1875</v>
      </c>
      <c r="S657" s="4" t="n">
        <v>0</v>
      </c>
      <c r="T657" s="1" t="inlineStr">
        <is>
          <t>active</t>
        </is>
      </c>
      <c r="U657" s="8" t="n"/>
      <c r="V657" s="1" t="inlineStr">
        <is>
          <t>SIN PRECIO</t>
        </is>
      </c>
    </row>
    <row r="658">
      <c r="A658" s="1" t="inlineStr">
        <is>
          <t>40495211154861</t>
        </is>
      </c>
      <c r="B658" s="1" t="inlineStr">
        <is>
          <t>PERFUME CREED AVENTUS EAU DE PARFUM</t>
        </is>
      </c>
      <c r="C658" s="1" t="inlineStr">
        <is>
          <t>100 ml</t>
        </is>
      </c>
      <c r="D658" s="1" t="inlineStr">
        <is>
          <t>ZOEY</t>
        </is>
      </c>
      <c r="E658" s="4">
        <f>COUNTIF('DETALLE CRONOLÓGICO'!$A$2:$A$4919,$A658)</f>
        <v/>
      </c>
      <c r="F658" s="4">
        <f>SUMIFS('DETALLE CRONOLÓGICO'!$I$2:$I$4919,'DETALLE CRONOLÓGICO'!$A$2:$A$4919,$A658)</f>
        <v/>
      </c>
      <c r="G658" s="1">
        <f>INDEX('DETALLE CRONOLÓGICO'!$D$2:$D$4919,MATCH($A658,'DETALLE CRONOLÓGICO'!$A$2:$A$4919,0))</f>
        <v/>
      </c>
      <c r="H658" s="1">
        <f>INDEX('DETALLE CRONOLÓGICO'!$D$2:$D$4919,MATCH($A658,'DETALLE CRONOLÓGICO'!$A$2:$A$4919,0)+$E658-1)</f>
        <v/>
      </c>
      <c r="I658" s="5">
        <f>IFERROR(SUMIFS('DETALLE CRONOLÓGICO'!$L$2:$L$4919,'DETALLE CRONOLÓGICO'!$A$2:$A$4919,$A658)/$F658,"")</f>
        <v/>
      </c>
      <c r="J658" s="6">
        <f>IFERROR(SUMIFS('DETALLE CRONOLÓGICO'!$K$2:$K$4919,'DETALLE CRONOLÓGICO'!$A$2:$A$4919,$A658)/$E658,"")</f>
        <v/>
      </c>
      <c r="K658" s="6">
        <f>_xlfn.MINIFS('DETALLE CRONOLÓGICO'!$K$2:$K$4919,'DETALLE CRONOLÓGICO'!$A$2:$A$4919,$A658)</f>
        <v/>
      </c>
      <c r="L658" s="6">
        <f>_xlfn.MAXIFS('DETALLE CRONOLÓGICO'!$K$2:$K$4919,'DETALLE CRONOLÓGICO'!$A$2:$A$4919,$A658)</f>
        <v/>
      </c>
      <c r="M658" s="6">
        <f>INDEX('DETALLE CRONOLÓGICO'!$K$2:$K$4919,MATCH($A658,'DETALLE CRONOLÓGICO'!$A$2:$A$4919,0)+$E658-1)</f>
        <v/>
      </c>
      <c r="N658" s="7">
        <f>IFERROR($M658/INDEX('DETALLE CRONOLÓGICO'!$K$2:$K$4919,MATCH($A658,'DETALLE CRONOLÓGICO'!$A$2:$A$4919,0))-1,"")</f>
        <v/>
      </c>
      <c r="O658" s="6">
        <f>IFERROR($I658*3,"")</f>
        <v/>
      </c>
      <c r="P658" s="6">
        <f>IFERROR($I658*3.5,"")</f>
        <v/>
      </c>
      <c r="Q658" s="6">
        <f>IFERROR($I658*4,"")</f>
        <v/>
      </c>
      <c r="R658" s="6" t="n">
        <v>1799</v>
      </c>
      <c r="S658" s="4" t="n">
        <v>2</v>
      </c>
      <c r="T658" s="1" t="inlineStr">
        <is>
          <t>active</t>
        </is>
      </c>
      <c r="U658" s="8" t="n"/>
      <c r="V658" s="1" t="inlineStr">
        <is>
          <t>SIN PRECIO</t>
        </is>
      </c>
    </row>
    <row r="659">
      <c r="A659" s="1" t="inlineStr">
        <is>
          <t>40495211254925</t>
        </is>
      </c>
      <c r="B659" s="1" t="inlineStr">
        <is>
          <t>PERFUME V BORN IN ROMA THE GOLD DONNA</t>
        </is>
      </c>
      <c r="C659" s="1" t="inlineStr">
        <is>
          <t>100 ml</t>
        </is>
      </c>
      <c r="D659" s="1" t="inlineStr">
        <is>
          <t>ZOEY</t>
        </is>
      </c>
      <c r="E659" s="4">
        <f>COUNTIF('DETALLE CRONOLÓGICO'!$A$2:$A$4919,$A659)</f>
        <v/>
      </c>
      <c r="F659" s="4">
        <f>SUMIFS('DETALLE CRONOLÓGICO'!$I$2:$I$4919,'DETALLE CRONOLÓGICO'!$A$2:$A$4919,$A659)</f>
        <v/>
      </c>
      <c r="G659" s="1">
        <f>INDEX('DETALLE CRONOLÓGICO'!$D$2:$D$4919,MATCH($A659,'DETALLE CRONOLÓGICO'!$A$2:$A$4919,0))</f>
        <v/>
      </c>
      <c r="H659" s="1">
        <f>INDEX('DETALLE CRONOLÓGICO'!$D$2:$D$4919,MATCH($A659,'DETALLE CRONOLÓGICO'!$A$2:$A$4919,0)+$E659-1)</f>
        <v/>
      </c>
      <c r="I659" s="5">
        <f>IFERROR(SUMIFS('DETALLE CRONOLÓGICO'!$L$2:$L$4919,'DETALLE CRONOLÓGICO'!$A$2:$A$4919,$A659)/$F659,"")</f>
        <v/>
      </c>
      <c r="J659" s="6">
        <f>IFERROR(SUMIFS('DETALLE CRONOLÓGICO'!$K$2:$K$4919,'DETALLE CRONOLÓGICO'!$A$2:$A$4919,$A659)/$E659,"")</f>
        <v/>
      </c>
      <c r="K659" s="6">
        <f>_xlfn.MINIFS('DETALLE CRONOLÓGICO'!$K$2:$K$4919,'DETALLE CRONOLÓGICO'!$A$2:$A$4919,$A659)</f>
        <v/>
      </c>
      <c r="L659" s="6">
        <f>_xlfn.MAXIFS('DETALLE CRONOLÓGICO'!$K$2:$K$4919,'DETALLE CRONOLÓGICO'!$A$2:$A$4919,$A659)</f>
        <v/>
      </c>
      <c r="M659" s="6">
        <f>INDEX('DETALLE CRONOLÓGICO'!$K$2:$K$4919,MATCH($A659,'DETALLE CRONOLÓGICO'!$A$2:$A$4919,0)+$E659-1)</f>
        <v/>
      </c>
      <c r="N659" s="7">
        <f>IFERROR($M659/INDEX('DETALLE CRONOLÓGICO'!$K$2:$K$4919,MATCH($A659,'DETALLE CRONOLÓGICO'!$A$2:$A$4919,0))-1,"")</f>
        <v/>
      </c>
      <c r="O659" s="6">
        <f>IFERROR($I659*3,"")</f>
        <v/>
      </c>
      <c r="P659" s="6">
        <f>IFERROR($I659*3.5,"")</f>
        <v/>
      </c>
      <c r="Q659" s="6">
        <f>IFERROR($I659*4,"")</f>
        <v/>
      </c>
      <c r="R659" s="6" t="n">
        <v>1910</v>
      </c>
      <c r="S659" s="4" t="n">
        <v>3</v>
      </c>
      <c r="T659" s="1" t="inlineStr">
        <is>
          <t>active</t>
        </is>
      </c>
      <c r="U659" s="8" t="n"/>
      <c r="V659" s="1" t="inlineStr">
        <is>
          <t>SIN PRECIO</t>
        </is>
      </c>
    </row>
    <row r="660">
      <c r="A660" s="1" t="inlineStr">
        <is>
          <t>40495211372301</t>
        </is>
      </c>
      <c r="B660" s="1" t="inlineStr">
        <is>
          <t>PERFUME VC EROS EAU DE PARFUM</t>
        </is>
      </c>
      <c r="C660" s="1" t="inlineStr">
        <is>
          <t>100 ml</t>
        </is>
      </c>
      <c r="D660" s="1" t="inlineStr">
        <is>
          <t>ZOEY</t>
        </is>
      </c>
      <c r="E660" s="4">
        <f>COUNTIF('DETALLE CRONOLÓGICO'!$A$2:$A$4919,$A660)</f>
        <v/>
      </c>
      <c r="F660" s="4">
        <f>SUMIFS('DETALLE CRONOLÓGICO'!$I$2:$I$4919,'DETALLE CRONOLÓGICO'!$A$2:$A$4919,$A660)</f>
        <v/>
      </c>
      <c r="G660" s="1">
        <f>INDEX('DETALLE CRONOLÓGICO'!$D$2:$D$4919,MATCH($A660,'DETALLE CRONOLÓGICO'!$A$2:$A$4919,0))</f>
        <v/>
      </c>
      <c r="H660" s="1">
        <f>INDEX('DETALLE CRONOLÓGICO'!$D$2:$D$4919,MATCH($A660,'DETALLE CRONOLÓGICO'!$A$2:$A$4919,0)+$E660-1)</f>
        <v/>
      </c>
      <c r="I660" s="5">
        <f>IFERROR(SUMIFS('DETALLE CRONOLÓGICO'!$L$2:$L$4919,'DETALLE CRONOLÓGICO'!$A$2:$A$4919,$A660)/$F660,"")</f>
        <v/>
      </c>
      <c r="J660" s="6">
        <f>IFERROR(SUMIFS('DETALLE CRONOLÓGICO'!$K$2:$K$4919,'DETALLE CRONOLÓGICO'!$A$2:$A$4919,$A660)/$E660,"")</f>
        <v/>
      </c>
      <c r="K660" s="6">
        <f>_xlfn.MINIFS('DETALLE CRONOLÓGICO'!$K$2:$K$4919,'DETALLE CRONOLÓGICO'!$A$2:$A$4919,$A660)</f>
        <v/>
      </c>
      <c r="L660" s="6">
        <f>_xlfn.MAXIFS('DETALLE CRONOLÓGICO'!$K$2:$K$4919,'DETALLE CRONOLÓGICO'!$A$2:$A$4919,$A660)</f>
        <v/>
      </c>
      <c r="M660" s="6">
        <f>INDEX('DETALLE CRONOLÓGICO'!$K$2:$K$4919,MATCH($A660,'DETALLE CRONOLÓGICO'!$A$2:$A$4919,0)+$E660-1)</f>
        <v/>
      </c>
      <c r="N660" s="7">
        <f>IFERROR($M660/INDEX('DETALLE CRONOLÓGICO'!$K$2:$K$4919,MATCH($A660,'DETALLE CRONOLÓGICO'!$A$2:$A$4919,0))-1,"")</f>
        <v/>
      </c>
      <c r="O660" s="6">
        <f>IFERROR($I660*3,"")</f>
        <v/>
      </c>
      <c r="P660" s="6">
        <f>IFERROR($I660*3.5,"")</f>
        <v/>
      </c>
      <c r="Q660" s="6">
        <f>IFERROR($I660*4,"")</f>
        <v/>
      </c>
      <c r="R660" s="6" t="n">
        <v>1845</v>
      </c>
      <c r="S660" s="4" t="n">
        <v>1</v>
      </c>
      <c r="T660" s="1" t="inlineStr">
        <is>
          <t>active</t>
        </is>
      </c>
      <c r="U660" s="8" t="n"/>
      <c r="V660" s="1" t="inlineStr">
        <is>
          <t>SIN PRECIO</t>
        </is>
      </c>
    </row>
    <row r="661">
      <c r="A661" s="1" t="inlineStr">
        <is>
          <t>41078751514701</t>
        </is>
      </c>
      <c r="B661" s="1" t="inlineStr">
        <is>
          <t>ANILLO LV GRABADO SILVER</t>
        </is>
      </c>
      <c r="C661" s="1" t="inlineStr">
        <is>
          <t>9</t>
        </is>
      </c>
      <c r="D661" s="1" t="inlineStr">
        <is>
          <t>HAIFENG</t>
        </is>
      </c>
      <c r="E661" s="4">
        <f>COUNTIF('DETALLE CRONOLÓGICO'!$A$2:$A$4919,$A661)</f>
        <v/>
      </c>
      <c r="F661" s="4">
        <f>SUMIFS('DETALLE CRONOLÓGICO'!$I$2:$I$4919,'DETALLE CRONOLÓGICO'!$A$2:$A$4919,$A661)</f>
        <v/>
      </c>
      <c r="G661" s="1">
        <f>INDEX('DETALLE CRONOLÓGICO'!$D$2:$D$4919,MATCH($A661,'DETALLE CRONOLÓGICO'!$A$2:$A$4919,0))</f>
        <v/>
      </c>
      <c r="H661" s="1">
        <f>INDEX('DETALLE CRONOLÓGICO'!$D$2:$D$4919,MATCH($A661,'DETALLE CRONOLÓGICO'!$A$2:$A$4919,0)+$E661-1)</f>
        <v/>
      </c>
      <c r="I661" s="5">
        <f>IFERROR(SUMIFS('DETALLE CRONOLÓGICO'!$L$2:$L$4919,'DETALLE CRONOLÓGICO'!$A$2:$A$4919,$A661)/$F661,"")</f>
        <v/>
      </c>
      <c r="J661" s="6">
        <f>IFERROR(SUMIFS('DETALLE CRONOLÓGICO'!$K$2:$K$4919,'DETALLE CRONOLÓGICO'!$A$2:$A$4919,$A661)/$E661,"")</f>
        <v/>
      </c>
      <c r="K661" s="6">
        <f>_xlfn.MINIFS('DETALLE CRONOLÓGICO'!$K$2:$K$4919,'DETALLE CRONOLÓGICO'!$A$2:$A$4919,$A661)</f>
        <v/>
      </c>
      <c r="L661" s="6">
        <f>_xlfn.MAXIFS('DETALLE CRONOLÓGICO'!$K$2:$K$4919,'DETALLE CRONOLÓGICO'!$A$2:$A$4919,$A661)</f>
        <v/>
      </c>
      <c r="M661" s="6">
        <f>INDEX('DETALLE CRONOLÓGICO'!$K$2:$K$4919,MATCH($A661,'DETALLE CRONOLÓGICO'!$A$2:$A$4919,0)+$E661-1)</f>
        <v/>
      </c>
      <c r="N661" s="7">
        <f>IFERROR($M661/INDEX('DETALLE CRONOLÓGICO'!$K$2:$K$4919,MATCH($A661,'DETALLE CRONOLÓGICO'!$A$2:$A$4919,0))-1,"")</f>
        <v/>
      </c>
      <c r="O661" s="6">
        <f>IFERROR($I661*3,"")</f>
        <v/>
      </c>
      <c r="P661" s="6">
        <f>IFERROR($I661*3.5,"")</f>
        <v/>
      </c>
      <c r="Q661" s="6">
        <f>IFERROR($I661*4,"")</f>
        <v/>
      </c>
      <c r="R661" s="6" t="n">
        <v>599</v>
      </c>
      <c r="S661" s="4" t="n">
        <v>3</v>
      </c>
      <c r="T661" s="1" t="inlineStr">
        <is>
          <t>active</t>
        </is>
      </c>
      <c r="U661" s="8" t="n"/>
      <c r="V661" s="1" t="inlineStr">
        <is>
          <t>SIN PRECIO</t>
        </is>
      </c>
    </row>
    <row r="662">
      <c r="A662" s="1" t="inlineStr">
        <is>
          <t>41078752148077</t>
        </is>
      </c>
      <c r="B662" s="1" t="inlineStr">
        <is>
          <t>BRAZALETE C SILVER</t>
        </is>
      </c>
      <c r="C662" s="1" t="inlineStr">
        <is>
          <t>Default Title</t>
        </is>
      </c>
      <c r="D662" s="1" t="inlineStr">
        <is>
          <t>HAIFENG</t>
        </is>
      </c>
      <c r="E662" s="4">
        <f>COUNTIF('DETALLE CRONOLÓGICO'!$A$2:$A$4919,$A662)</f>
        <v/>
      </c>
      <c r="F662" s="4">
        <f>SUMIFS('DETALLE CRONOLÓGICO'!$I$2:$I$4919,'DETALLE CRONOLÓGICO'!$A$2:$A$4919,$A662)</f>
        <v/>
      </c>
      <c r="G662" s="1">
        <f>INDEX('DETALLE CRONOLÓGICO'!$D$2:$D$4919,MATCH($A662,'DETALLE CRONOLÓGICO'!$A$2:$A$4919,0))</f>
        <v/>
      </c>
      <c r="H662" s="1">
        <f>INDEX('DETALLE CRONOLÓGICO'!$D$2:$D$4919,MATCH($A662,'DETALLE CRONOLÓGICO'!$A$2:$A$4919,0)+$E662-1)</f>
        <v/>
      </c>
      <c r="I662" s="5">
        <f>IFERROR(SUMIFS('DETALLE CRONOLÓGICO'!$L$2:$L$4919,'DETALLE CRONOLÓGICO'!$A$2:$A$4919,$A662)/$F662,"")</f>
        <v/>
      </c>
      <c r="J662" s="6">
        <f>IFERROR(SUMIFS('DETALLE CRONOLÓGICO'!$K$2:$K$4919,'DETALLE CRONOLÓGICO'!$A$2:$A$4919,$A662)/$E662,"")</f>
        <v/>
      </c>
      <c r="K662" s="6">
        <f>_xlfn.MINIFS('DETALLE CRONOLÓGICO'!$K$2:$K$4919,'DETALLE CRONOLÓGICO'!$A$2:$A$4919,$A662)</f>
        <v/>
      </c>
      <c r="L662" s="6">
        <f>_xlfn.MAXIFS('DETALLE CRONOLÓGICO'!$K$2:$K$4919,'DETALLE CRONOLÓGICO'!$A$2:$A$4919,$A662)</f>
        <v/>
      </c>
      <c r="M662" s="6">
        <f>INDEX('DETALLE CRONOLÓGICO'!$K$2:$K$4919,MATCH($A662,'DETALLE CRONOLÓGICO'!$A$2:$A$4919,0)+$E662-1)</f>
        <v/>
      </c>
      <c r="N662" s="7">
        <f>IFERROR($M662/INDEX('DETALLE CRONOLÓGICO'!$K$2:$K$4919,MATCH($A662,'DETALLE CRONOLÓGICO'!$A$2:$A$4919,0))-1,"")</f>
        <v/>
      </c>
      <c r="O662" s="6">
        <f>IFERROR($I662*3,"")</f>
        <v/>
      </c>
      <c r="P662" s="6">
        <f>IFERROR($I662*3.5,"")</f>
        <v/>
      </c>
      <c r="Q662" s="6">
        <f>IFERROR($I662*4,"")</f>
        <v/>
      </c>
      <c r="R662" s="6" t="n">
        <v>576.8</v>
      </c>
      <c r="S662" s="4" t="n">
        <v>3</v>
      </c>
      <c r="T662" s="1" t="inlineStr">
        <is>
          <t>active</t>
        </is>
      </c>
      <c r="U662" s="8" t="n"/>
      <c r="V662" s="1" t="inlineStr">
        <is>
          <t>SIN PRECIO</t>
        </is>
      </c>
    </row>
    <row r="663">
      <c r="A663" s="1" t="inlineStr">
        <is>
          <t>41353991048077</t>
        </is>
      </c>
      <c r="B663" s="1" t="inlineStr">
        <is>
          <t>CINTO C TRIOMPHE BLACK</t>
        </is>
      </c>
      <c r="C663" s="1" t="inlineStr">
        <is>
          <t>Default Title</t>
        </is>
      </c>
      <c r="D663" s="1" t="inlineStr">
        <is>
          <t>CYNTHIA</t>
        </is>
      </c>
      <c r="E663" s="4">
        <f>COUNTIF('DETALLE CRONOLÓGICO'!$A$2:$A$4919,$A663)</f>
        <v/>
      </c>
      <c r="F663" s="4">
        <f>SUMIFS('DETALLE CRONOLÓGICO'!$I$2:$I$4919,'DETALLE CRONOLÓGICO'!$A$2:$A$4919,$A663)</f>
        <v/>
      </c>
      <c r="G663" s="1">
        <f>INDEX('DETALLE CRONOLÓGICO'!$D$2:$D$4919,MATCH($A663,'DETALLE CRONOLÓGICO'!$A$2:$A$4919,0))</f>
        <v/>
      </c>
      <c r="H663" s="1">
        <f>INDEX('DETALLE CRONOLÓGICO'!$D$2:$D$4919,MATCH($A663,'DETALLE CRONOLÓGICO'!$A$2:$A$4919,0)+$E663-1)</f>
        <v/>
      </c>
      <c r="I663" s="5">
        <f>IFERROR(SUMIFS('DETALLE CRONOLÓGICO'!$L$2:$L$4919,'DETALLE CRONOLÓGICO'!$A$2:$A$4919,$A663)/$F663,"")</f>
        <v/>
      </c>
      <c r="J663" s="6">
        <f>IFERROR(SUMIFS('DETALLE CRONOLÓGICO'!$K$2:$K$4919,'DETALLE CRONOLÓGICO'!$A$2:$A$4919,$A663)/$E663,"")</f>
        <v/>
      </c>
      <c r="K663" s="6">
        <f>_xlfn.MINIFS('DETALLE CRONOLÓGICO'!$K$2:$K$4919,'DETALLE CRONOLÓGICO'!$A$2:$A$4919,$A663)</f>
        <v/>
      </c>
      <c r="L663" s="6">
        <f>_xlfn.MAXIFS('DETALLE CRONOLÓGICO'!$K$2:$K$4919,'DETALLE CRONOLÓGICO'!$A$2:$A$4919,$A663)</f>
        <v/>
      </c>
      <c r="M663" s="6">
        <f>INDEX('DETALLE CRONOLÓGICO'!$K$2:$K$4919,MATCH($A663,'DETALLE CRONOLÓGICO'!$A$2:$A$4919,0)+$E663-1)</f>
        <v/>
      </c>
      <c r="N663" s="7">
        <f>IFERROR($M663/INDEX('DETALLE CRONOLÓGICO'!$K$2:$K$4919,MATCH($A663,'DETALLE CRONOLÓGICO'!$A$2:$A$4919,0))-1,"")</f>
        <v/>
      </c>
      <c r="O663" s="6">
        <f>IFERROR($I663*3,"")</f>
        <v/>
      </c>
      <c r="P663" s="6">
        <f>IFERROR($I663*3.5,"")</f>
        <v/>
      </c>
      <c r="Q663" s="6">
        <f>IFERROR($I663*4,"")</f>
        <v/>
      </c>
      <c r="R663" s="6" t="n">
        <v>999</v>
      </c>
      <c r="S663" s="4" t="n">
        <v>1</v>
      </c>
      <c r="T663" s="1" t="inlineStr">
        <is>
          <t>active</t>
        </is>
      </c>
      <c r="U663" s="8" t="n"/>
      <c r="V663" s="1" t="inlineStr">
        <is>
          <t>SIN PRECIO</t>
        </is>
      </c>
    </row>
    <row r="664">
      <c r="A664" s="1" t="inlineStr">
        <is>
          <t>41353991156557</t>
        </is>
      </c>
      <c r="B664" s="1" t="inlineStr">
        <is>
          <t>CINTO C TRIOMPHE BURDEOS</t>
        </is>
      </c>
      <c r="C664" s="1" t="inlineStr">
        <is>
          <t>Default Title</t>
        </is>
      </c>
      <c r="D664" s="1" t="inlineStr">
        <is>
          <t>CYNTHIA</t>
        </is>
      </c>
      <c r="E664" s="4">
        <f>COUNTIF('DETALLE CRONOLÓGICO'!$A$2:$A$4919,$A664)</f>
        <v/>
      </c>
      <c r="F664" s="4">
        <f>SUMIFS('DETALLE CRONOLÓGICO'!$I$2:$I$4919,'DETALLE CRONOLÓGICO'!$A$2:$A$4919,$A664)</f>
        <v/>
      </c>
      <c r="G664" s="1">
        <f>INDEX('DETALLE CRONOLÓGICO'!$D$2:$D$4919,MATCH($A664,'DETALLE CRONOLÓGICO'!$A$2:$A$4919,0))</f>
        <v/>
      </c>
      <c r="H664" s="1">
        <f>INDEX('DETALLE CRONOLÓGICO'!$D$2:$D$4919,MATCH($A664,'DETALLE CRONOLÓGICO'!$A$2:$A$4919,0)+$E664-1)</f>
        <v/>
      </c>
      <c r="I664" s="5">
        <f>IFERROR(SUMIFS('DETALLE CRONOLÓGICO'!$L$2:$L$4919,'DETALLE CRONOLÓGICO'!$A$2:$A$4919,$A664)/$F664,"")</f>
        <v/>
      </c>
      <c r="J664" s="6">
        <f>IFERROR(SUMIFS('DETALLE CRONOLÓGICO'!$K$2:$K$4919,'DETALLE CRONOLÓGICO'!$A$2:$A$4919,$A664)/$E664,"")</f>
        <v/>
      </c>
      <c r="K664" s="6">
        <f>_xlfn.MINIFS('DETALLE CRONOLÓGICO'!$K$2:$K$4919,'DETALLE CRONOLÓGICO'!$A$2:$A$4919,$A664)</f>
        <v/>
      </c>
      <c r="L664" s="6">
        <f>_xlfn.MAXIFS('DETALLE CRONOLÓGICO'!$K$2:$K$4919,'DETALLE CRONOLÓGICO'!$A$2:$A$4919,$A664)</f>
        <v/>
      </c>
      <c r="M664" s="6">
        <f>INDEX('DETALLE CRONOLÓGICO'!$K$2:$K$4919,MATCH($A664,'DETALLE CRONOLÓGICO'!$A$2:$A$4919,0)+$E664-1)</f>
        <v/>
      </c>
      <c r="N664" s="7">
        <f>IFERROR($M664/INDEX('DETALLE CRONOLÓGICO'!$K$2:$K$4919,MATCH($A664,'DETALLE CRONOLÓGICO'!$A$2:$A$4919,0))-1,"")</f>
        <v/>
      </c>
      <c r="O664" s="6">
        <f>IFERROR($I664*3,"")</f>
        <v/>
      </c>
      <c r="P664" s="6">
        <f>IFERROR($I664*3.5,"")</f>
        <v/>
      </c>
      <c r="Q664" s="6">
        <f>IFERROR($I664*4,"")</f>
        <v/>
      </c>
      <c r="R664" s="6" t="n">
        <v>999</v>
      </c>
      <c r="S664" s="4" t="n">
        <v>0</v>
      </c>
      <c r="T664" s="1" t="inlineStr">
        <is>
          <t>active</t>
        </is>
      </c>
      <c r="U664" s="8" t="n"/>
      <c r="V664" s="1" t="inlineStr">
        <is>
          <t>SIN PRECIO</t>
        </is>
      </c>
    </row>
    <row r="665">
      <c r="A665" s="1" t="inlineStr">
        <is>
          <t>41648081090125</t>
        </is>
      </c>
      <c r="B665" s="1" t="inlineStr">
        <is>
          <t>ANILLO T LOVESTRUCK SILVER-ROSE GOLD</t>
        </is>
      </c>
      <c r="C665" s="1" t="n">
        <v>8</v>
      </c>
      <c r="D665" s="1" t="inlineStr">
        <is>
          <t>CYNTHIA</t>
        </is>
      </c>
      <c r="E665" s="4">
        <f>COUNTIF('DETALLE CRONOLÓGICO'!$A$2:$A$4919,$A665)</f>
        <v/>
      </c>
      <c r="F665" s="4">
        <f>SUMIFS('DETALLE CRONOLÓGICO'!$I$2:$I$4919,'DETALLE CRONOLÓGICO'!$A$2:$A$4919,$A665)</f>
        <v/>
      </c>
      <c r="G665" s="1">
        <f>INDEX('DETALLE CRONOLÓGICO'!$D$2:$D$4919,MATCH($A665,'DETALLE CRONOLÓGICO'!$A$2:$A$4919,0))</f>
        <v/>
      </c>
      <c r="H665" s="1">
        <f>INDEX('DETALLE CRONOLÓGICO'!$D$2:$D$4919,MATCH($A665,'DETALLE CRONOLÓGICO'!$A$2:$A$4919,0)+$E665-1)</f>
        <v/>
      </c>
      <c r="I665" s="5">
        <f>IFERROR(SUMIFS('DETALLE CRONOLÓGICO'!$L$2:$L$4919,'DETALLE CRONOLÓGICO'!$A$2:$A$4919,$A665)/$F665,"")</f>
        <v/>
      </c>
      <c r="J665" s="6">
        <f>IFERROR(SUMIFS('DETALLE CRONOLÓGICO'!$K$2:$K$4919,'DETALLE CRONOLÓGICO'!$A$2:$A$4919,$A665)/$E665,"")</f>
        <v/>
      </c>
      <c r="K665" s="6">
        <f>_xlfn.MINIFS('DETALLE CRONOLÓGICO'!$K$2:$K$4919,'DETALLE CRONOLÓGICO'!$A$2:$A$4919,$A665)</f>
        <v/>
      </c>
      <c r="L665" s="6">
        <f>_xlfn.MAXIFS('DETALLE CRONOLÓGICO'!$K$2:$K$4919,'DETALLE CRONOLÓGICO'!$A$2:$A$4919,$A665)</f>
        <v/>
      </c>
      <c r="M665" s="6">
        <f>INDEX('DETALLE CRONOLÓGICO'!$K$2:$K$4919,MATCH($A665,'DETALLE CRONOLÓGICO'!$A$2:$A$4919,0)+$E665-1)</f>
        <v/>
      </c>
      <c r="N665" s="7">
        <f>IFERROR($M665/INDEX('DETALLE CRONOLÓGICO'!$K$2:$K$4919,MATCH($A665,'DETALLE CRONOLÓGICO'!$A$2:$A$4919,0))-1,"")</f>
        <v/>
      </c>
      <c r="O665" s="6">
        <f>IFERROR($I665*3,"")</f>
        <v/>
      </c>
      <c r="P665" s="6">
        <f>IFERROR($I665*3.5,"")</f>
        <v/>
      </c>
      <c r="Q665" s="6">
        <f>IFERROR($I665*4,"")</f>
        <v/>
      </c>
      <c r="R665" s="6" t="n">
        <v>750</v>
      </c>
      <c r="S665" s="4" t="n">
        <v>2</v>
      </c>
      <c r="T665" s="1" t="inlineStr">
        <is>
          <t>active</t>
        </is>
      </c>
      <c r="U665" s="8" t="n"/>
      <c r="V665" s="1" t="inlineStr">
        <is>
          <t>SIN PRECIO</t>
        </is>
      </c>
    </row>
    <row r="666">
      <c r="A666" s="1" t="inlineStr">
        <is>
          <t>41889241004845</t>
        </is>
      </c>
      <c r="B666" s="1" t="inlineStr">
        <is>
          <t>CHOKER KNOT ZIRCONIAS GOLD</t>
        </is>
      </c>
      <c r="C666" s="1" t="inlineStr">
        <is>
          <t>Default Title</t>
        </is>
      </c>
      <c r="D666" s="1" t="inlineStr">
        <is>
          <t>CYNTHIA</t>
        </is>
      </c>
      <c r="E666" s="4">
        <f>COUNTIF('DETALLE CRONOLÓGICO'!$A$2:$A$4919,$A666)</f>
        <v/>
      </c>
      <c r="F666" s="4">
        <f>SUMIFS('DETALLE CRONOLÓGICO'!$I$2:$I$4919,'DETALLE CRONOLÓGICO'!$A$2:$A$4919,$A666)</f>
        <v/>
      </c>
      <c r="G666" s="1">
        <f>INDEX('DETALLE CRONOLÓGICO'!$D$2:$D$4919,MATCH($A666,'DETALLE CRONOLÓGICO'!$A$2:$A$4919,0))</f>
        <v/>
      </c>
      <c r="H666" s="1">
        <f>INDEX('DETALLE CRONOLÓGICO'!$D$2:$D$4919,MATCH($A666,'DETALLE CRONOLÓGICO'!$A$2:$A$4919,0)+$E666-1)</f>
        <v/>
      </c>
      <c r="I666" s="5">
        <f>IFERROR(SUMIFS('DETALLE CRONOLÓGICO'!$L$2:$L$4919,'DETALLE CRONOLÓGICO'!$A$2:$A$4919,$A666)/$F666,"")</f>
        <v/>
      </c>
      <c r="J666" s="6">
        <f>IFERROR(SUMIFS('DETALLE CRONOLÓGICO'!$K$2:$K$4919,'DETALLE CRONOLÓGICO'!$A$2:$A$4919,$A666)/$E666,"")</f>
        <v/>
      </c>
      <c r="K666" s="6">
        <f>_xlfn.MINIFS('DETALLE CRONOLÓGICO'!$K$2:$K$4919,'DETALLE CRONOLÓGICO'!$A$2:$A$4919,$A666)</f>
        <v/>
      </c>
      <c r="L666" s="6">
        <f>_xlfn.MAXIFS('DETALLE CRONOLÓGICO'!$K$2:$K$4919,'DETALLE CRONOLÓGICO'!$A$2:$A$4919,$A666)</f>
        <v/>
      </c>
      <c r="M666" s="6">
        <f>INDEX('DETALLE CRONOLÓGICO'!$K$2:$K$4919,MATCH($A666,'DETALLE CRONOLÓGICO'!$A$2:$A$4919,0)+$E666-1)</f>
        <v/>
      </c>
      <c r="N666" s="7">
        <f>IFERROR($M666/INDEX('DETALLE CRONOLÓGICO'!$K$2:$K$4919,MATCH($A666,'DETALLE CRONOLÓGICO'!$A$2:$A$4919,0))-1,"")</f>
        <v/>
      </c>
      <c r="O666" s="6">
        <f>IFERROR($I666*3,"")</f>
        <v/>
      </c>
      <c r="P666" s="6">
        <f>IFERROR($I666*3.5,"")</f>
        <v/>
      </c>
      <c r="Q666" s="6">
        <f>IFERROR($I666*4,"")</f>
        <v/>
      </c>
      <c r="R666" s="6" t="n">
        <v>866</v>
      </c>
      <c r="S666" s="4" t="n">
        <v>1</v>
      </c>
      <c r="T666" s="1" t="inlineStr">
        <is>
          <t>active</t>
        </is>
      </c>
      <c r="U666" s="8" t="n"/>
      <c r="V666" s="1" t="inlineStr">
        <is>
          <t>SIN PRECIO</t>
        </is>
      </c>
    </row>
    <row r="667">
      <c r="A667" s="1" t="inlineStr">
        <is>
          <t>41889241103149</t>
        </is>
      </c>
      <c r="B667" s="1" t="inlineStr">
        <is>
          <t>BRAZALETE T VICTORIA SILVER</t>
        </is>
      </c>
      <c r="C667" s="1" t="inlineStr">
        <is>
          <t>Default Title</t>
        </is>
      </c>
      <c r="D667" s="1" t="inlineStr">
        <is>
          <t>CYNTHIA</t>
        </is>
      </c>
      <c r="E667" s="4">
        <f>COUNTIF('DETALLE CRONOLÓGICO'!$A$2:$A$4919,$A667)</f>
        <v/>
      </c>
      <c r="F667" s="4">
        <f>SUMIFS('DETALLE CRONOLÓGICO'!$I$2:$I$4919,'DETALLE CRONOLÓGICO'!$A$2:$A$4919,$A667)</f>
        <v/>
      </c>
      <c r="G667" s="1">
        <f>INDEX('DETALLE CRONOLÓGICO'!$D$2:$D$4919,MATCH($A667,'DETALLE CRONOLÓGICO'!$A$2:$A$4919,0))</f>
        <v/>
      </c>
      <c r="H667" s="1">
        <f>INDEX('DETALLE CRONOLÓGICO'!$D$2:$D$4919,MATCH($A667,'DETALLE CRONOLÓGICO'!$A$2:$A$4919,0)+$E667-1)</f>
        <v/>
      </c>
      <c r="I667" s="5">
        <f>IFERROR(SUMIFS('DETALLE CRONOLÓGICO'!$L$2:$L$4919,'DETALLE CRONOLÓGICO'!$A$2:$A$4919,$A667)/$F667,"")</f>
        <v/>
      </c>
      <c r="J667" s="6">
        <f>IFERROR(SUMIFS('DETALLE CRONOLÓGICO'!$K$2:$K$4919,'DETALLE CRONOLÓGICO'!$A$2:$A$4919,$A667)/$E667,"")</f>
        <v/>
      </c>
      <c r="K667" s="6">
        <f>_xlfn.MINIFS('DETALLE CRONOLÓGICO'!$K$2:$K$4919,'DETALLE CRONOLÓGICO'!$A$2:$A$4919,$A667)</f>
        <v/>
      </c>
      <c r="L667" s="6">
        <f>_xlfn.MAXIFS('DETALLE CRONOLÓGICO'!$K$2:$K$4919,'DETALLE CRONOLÓGICO'!$A$2:$A$4919,$A667)</f>
        <v/>
      </c>
      <c r="M667" s="6">
        <f>INDEX('DETALLE CRONOLÓGICO'!$K$2:$K$4919,MATCH($A667,'DETALLE CRONOLÓGICO'!$A$2:$A$4919,0)+$E667-1)</f>
        <v/>
      </c>
      <c r="N667" s="7">
        <f>IFERROR($M667/INDEX('DETALLE CRONOLÓGICO'!$K$2:$K$4919,MATCH($A667,'DETALLE CRONOLÓGICO'!$A$2:$A$4919,0))-1,"")</f>
        <v/>
      </c>
      <c r="O667" s="6">
        <f>IFERROR($I667*3,"")</f>
        <v/>
      </c>
      <c r="P667" s="6">
        <f>IFERROR($I667*3.5,"")</f>
        <v/>
      </c>
      <c r="Q667" s="6">
        <f>IFERROR($I667*4,"")</f>
        <v/>
      </c>
      <c r="R667" s="6" t="n">
        <v>2065</v>
      </c>
      <c r="S667" s="4" t="n">
        <v>2</v>
      </c>
      <c r="T667" s="1" t="inlineStr">
        <is>
          <t>active</t>
        </is>
      </c>
      <c r="U667" s="8" t="n"/>
      <c r="V667" s="1" t="inlineStr">
        <is>
          <t>SIN PRECIO</t>
        </is>
      </c>
    </row>
    <row r="668">
      <c r="A668" s="1" t="inlineStr">
        <is>
          <t>41889241279949</t>
        </is>
      </c>
      <c r="B668" s="1" t="inlineStr">
        <is>
          <t>ANILLO T V SILVER</t>
        </is>
      </c>
      <c r="C668" s="1" t="inlineStr">
        <is>
          <t>7</t>
        </is>
      </c>
      <c r="D668" s="1" t="inlineStr">
        <is>
          <t>CYNTHIA</t>
        </is>
      </c>
      <c r="E668" s="4">
        <f>COUNTIF('DETALLE CRONOLÓGICO'!$A$2:$A$4919,$A668)</f>
        <v/>
      </c>
      <c r="F668" s="4">
        <f>SUMIFS('DETALLE CRONOLÓGICO'!$I$2:$I$4919,'DETALLE CRONOLÓGICO'!$A$2:$A$4919,$A668)</f>
        <v/>
      </c>
      <c r="G668" s="1">
        <f>INDEX('DETALLE CRONOLÓGICO'!$D$2:$D$4919,MATCH($A668,'DETALLE CRONOLÓGICO'!$A$2:$A$4919,0))</f>
        <v/>
      </c>
      <c r="H668" s="1">
        <f>INDEX('DETALLE CRONOLÓGICO'!$D$2:$D$4919,MATCH($A668,'DETALLE CRONOLÓGICO'!$A$2:$A$4919,0)+$E668-1)</f>
        <v/>
      </c>
      <c r="I668" s="5">
        <f>IFERROR(SUMIFS('DETALLE CRONOLÓGICO'!$L$2:$L$4919,'DETALLE CRONOLÓGICO'!$A$2:$A$4919,$A668)/$F668,"")</f>
        <v/>
      </c>
      <c r="J668" s="6">
        <f>IFERROR(SUMIFS('DETALLE CRONOLÓGICO'!$K$2:$K$4919,'DETALLE CRONOLÓGICO'!$A$2:$A$4919,$A668)/$E668,"")</f>
        <v/>
      </c>
      <c r="K668" s="6">
        <f>_xlfn.MINIFS('DETALLE CRONOLÓGICO'!$K$2:$K$4919,'DETALLE CRONOLÓGICO'!$A$2:$A$4919,$A668)</f>
        <v/>
      </c>
      <c r="L668" s="6">
        <f>_xlfn.MAXIFS('DETALLE CRONOLÓGICO'!$K$2:$K$4919,'DETALLE CRONOLÓGICO'!$A$2:$A$4919,$A668)</f>
        <v/>
      </c>
      <c r="M668" s="6">
        <f>INDEX('DETALLE CRONOLÓGICO'!$K$2:$K$4919,MATCH($A668,'DETALLE CRONOLÓGICO'!$A$2:$A$4919,0)+$E668-1)</f>
        <v/>
      </c>
      <c r="N668" s="7">
        <f>IFERROR($M668/INDEX('DETALLE CRONOLÓGICO'!$K$2:$K$4919,MATCH($A668,'DETALLE CRONOLÓGICO'!$A$2:$A$4919,0))-1,"")</f>
        <v/>
      </c>
      <c r="O668" s="6">
        <f>IFERROR($I668*3,"")</f>
        <v/>
      </c>
      <c r="P668" s="6">
        <f>IFERROR($I668*3.5,"")</f>
        <v/>
      </c>
      <c r="Q668" s="6">
        <f>IFERROR($I668*4,"")</f>
        <v/>
      </c>
      <c r="R668" s="6" t="n">
        <v>925</v>
      </c>
      <c r="S668" s="4" t="n">
        <v>0</v>
      </c>
      <c r="T668" s="1" t="inlineStr">
        <is>
          <t>active</t>
        </is>
      </c>
      <c r="U668" s="8" t="n"/>
      <c r="V668" s="1" t="inlineStr">
        <is>
          <t>SIN PRECIO</t>
        </is>
      </c>
    </row>
    <row r="669">
      <c r="A669" s="1" t="inlineStr">
        <is>
          <t>41889241312717</t>
        </is>
      </c>
      <c r="B669" s="1" t="inlineStr">
        <is>
          <t>ANILLO T V SILVER</t>
        </is>
      </c>
      <c r="C669" s="1" t="inlineStr">
        <is>
          <t>8</t>
        </is>
      </c>
      <c r="D669" s="1" t="inlineStr">
        <is>
          <t>CYNTHIA</t>
        </is>
      </c>
      <c r="E669" s="4">
        <f>COUNTIF('DETALLE CRONOLÓGICO'!$A$2:$A$4919,$A669)</f>
        <v/>
      </c>
      <c r="F669" s="4">
        <f>SUMIFS('DETALLE CRONOLÓGICO'!$I$2:$I$4919,'DETALLE CRONOLÓGICO'!$A$2:$A$4919,$A669)</f>
        <v/>
      </c>
      <c r="G669" s="1">
        <f>INDEX('DETALLE CRONOLÓGICO'!$D$2:$D$4919,MATCH($A669,'DETALLE CRONOLÓGICO'!$A$2:$A$4919,0))</f>
        <v/>
      </c>
      <c r="H669" s="1">
        <f>INDEX('DETALLE CRONOLÓGICO'!$D$2:$D$4919,MATCH($A669,'DETALLE CRONOLÓGICO'!$A$2:$A$4919,0)+$E669-1)</f>
        <v/>
      </c>
      <c r="I669" s="5">
        <f>IFERROR(SUMIFS('DETALLE CRONOLÓGICO'!$L$2:$L$4919,'DETALLE CRONOLÓGICO'!$A$2:$A$4919,$A669)/$F669,"")</f>
        <v/>
      </c>
      <c r="J669" s="6">
        <f>IFERROR(SUMIFS('DETALLE CRONOLÓGICO'!$K$2:$K$4919,'DETALLE CRONOLÓGICO'!$A$2:$A$4919,$A669)/$E669,"")</f>
        <v/>
      </c>
      <c r="K669" s="6">
        <f>_xlfn.MINIFS('DETALLE CRONOLÓGICO'!$K$2:$K$4919,'DETALLE CRONOLÓGICO'!$A$2:$A$4919,$A669)</f>
        <v/>
      </c>
      <c r="L669" s="6">
        <f>_xlfn.MAXIFS('DETALLE CRONOLÓGICO'!$K$2:$K$4919,'DETALLE CRONOLÓGICO'!$A$2:$A$4919,$A669)</f>
        <v/>
      </c>
      <c r="M669" s="6">
        <f>INDEX('DETALLE CRONOLÓGICO'!$K$2:$K$4919,MATCH($A669,'DETALLE CRONOLÓGICO'!$A$2:$A$4919,0)+$E669-1)</f>
        <v/>
      </c>
      <c r="N669" s="7">
        <f>IFERROR($M669/INDEX('DETALLE CRONOLÓGICO'!$K$2:$K$4919,MATCH($A669,'DETALLE CRONOLÓGICO'!$A$2:$A$4919,0))-1,"")</f>
        <v/>
      </c>
      <c r="O669" s="6">
        <f>IFERROR($I669*3,"")</f>
        <v/>
      </c>
      <c r="P669" s="6">
        <f>IFERROR($I669*3.5,"")</f>
        <v/>
      </c>
      <c r="Q669" s="6">
        <f>IFERROR($I669*4,"")</f>
        <v/>
      </c>
      <c r="R669" s="6" t="n">
        <v>601</v>
      </c>
      <c r="S669" s="4" t="n">
        <v>3</v>
      </c>
      <c r="T669" s="1" t="inlineStr">
        <is>
          <t>active</t>
        </is>
      </c>
      <c r="U669" s="8" t="n"/>
      <c r="V669" s="1" t="inlineStr">
        <is>
          <t>SIN PRECIO</t>
        </is>
      </c>
    </row>
    <row r="670">
      <c r="A670" s="1" t="inlineStr">
        <is>
          <t>41889241445485</t>
        </is>
      </c>
      <c r="B670" s="1" t="inlineStr">
        <is>
          <t>ANILLO T V SILVER</t>
        </is>
      </c>
      <c r="C670" s="1" t="inlineStr">
        <is>
          <t>9</t>
        </is>
      </c>
      <c r="D670" s="1" t="inlineStr">
        <is>
          <t>CYNTHIA</t>
        </is>
      </c>
      <c r="E670" s="4">
        <f>COUNTIF('DETALLE CRONOLÓGICO'!$A$2:$A$4919,$A670)</f>
        <v/>
      </c>
      <c r="F670" s="4">
        <f>SUMIFS('DETALLE CRONOLÓGICO'!$I$2:$I$4919,'DETALLE CRONOLÓGICO'!$A$2:$A$4919,$A670)</f>
        <v/>
      </c>
      <c r="G670" s="1">
        <f>INDEX('DETALLE CRONOLÓGICO'!$D$2:$D$4919,MATCH($A670,'DETALLE CRONOLÓGICO'!$A$2:$A$4919,0))</f>
        <v/>
      </c>
      <c r="H670" s="1">
        <f>INDEX('DETALLE CRONOLÓGICO'!$D$2:$D$4919,MATCH($A670,'DETALLE CRONOLÓGICO'!$A$2:$A$4919,0)+$E670-1)</f>
        <v/>
      </c>
      <c r="I670" s="5">
        <f>IFERROR(SUMIFS('DETALLE CRONOLÓGICO'!$L$2:$L$4919,'DETALLE CRONOLÓGICO'!$A$2:$A$4919,$A670)/$F670,"")</f>
        <v/>
      </c>
      <c r="J670" s="6">
        <f>IFERROR(SUMIFS('DETALLE CRONOLÓGICO'!$K$2:$K$4919,'DETALLE CRONOLÓGICO'!$A$2:$A$4919,$A670)/$E670,"")</f>
        <v/>
      </c>
      <c r="K670" s="6">
        <f>_xlfn.MINIFS('DETALLE CRONOLÓGICO'!$K$2:$K$4919,'DETALLE CRONOLÓGICO'!$A$2:$A$4919,$A670)</f>
        <v/>
      </c>
      <c r="L670" s="6">
        <f>_xlfn.MAXIFS('DETALLE CRONOLÓGICO'!$K$2:$K$4919,'DETALLE CRONOLÓGICO'!$A$2:$A$4919,$A670)</f>
        <v/>
      </c>
      <c r="M670" s="6">
        <f>INDEX('DETALLE CRONOLÓGICO'!$K$2:$K$4919,MATCH($A670,'DETALLE CRONOLÓGICO'!$A$2:$A$4919,0)+$E670-1)</f>
        <v/>
      </c>
      <c r="N670" s="7">
        <f>IFERROR($M670/INDEX('DETALLE CRONOLÓGICO'!$K$2:$K$4919,MATCH($A670,'DETALLE CRONOLÓGICO'!$A$2:$A$4919,0))-1,"")</f>
        <v/>
      </c>
      <c r="O670" s="6">
        <f>IFERROR($I670*3,"")</f>
        <v/>
      </c>
      <c r="P670" s="6">
        <f>IFERROR($I670*3.5,"")</f>
        <v/>
      </c>
      <c r="Q670" s="6">
        <f>IFERROR($I670*4,"")</f>
        <v/>
      </c>
      <c r="R670" s="6" t="n">
        <v>601</v>
      </c>
      <c r="S670" s="4" t="n">
        <v>3</v>
      </c>
      <c r="T670" s="1" t="inlineStr">
        <is>
          <t>active</t>
        </is>
      </c>
      <c r="U670" s="8" t="n"/>
      <c r="V670" s="1" t="inlineStr">
        <is>
          <t>SIN PRECIO</t>
        </is>
      </c>
    </row>
    <row r="671">
      <c r="A671" s="1" t="inlineStr">
        <is>
          <t>41889241578253</t>
        </is>
      </c>
      <c r="B671" s="1" t="inlineStr">
        <is>
          <t>BRAZALETE CD ZIRCONIAS GOLD-BLACK</t>
        </is>
      </c>
      <c r="C671" s="1" t="inlineStr">
        <is>
          <t>High quality</t>
        </is>
      </c>
      <c r="D671" s="1" t="inlineStr">
        <is>
          <t>CYNTHIA</t>
        </is>
      </c>
      <c r="E671" s="4">
        <f>COUNTIF('DETALLE CRONOLÓGICO'!$A$2:$A$4919,$A671)</f>
        <v/>
      </c>
      <c r="F671" s="4">
        <f>SUMIFS('DETALLE CRONOLÓGICO'!$I$2:$I$4919,'DETALLE CRONOLÓGICO'!$A$2:$A$4919,$A671)</f>
        <v/>
      </c>
      <c r="G671" s="1">
        <f>INDEX('DETALLE CRONOLÓGICO'!$D$2:$D$4919,MATCH($A671,'DETALLE CRONOLÓGICO'!$A$2:$A$4919,0))</f>
        <v/>
      </c>
      <c r="H671" s="1">
        <f>INDEX('DETALLE CRONOLÓGICO'!$D$2:$D$4919,MATCH($A671,'DETALLE CRONOLÓGICO'!$A$2:$A$4919,0)+$E671-1)</f>
        <v/>
      </c>
      <c r="I671" s="5">
        <f>IFERROR(SUMIFS('DETALLE CRONOLÓGICO'!$L$2:$L$4919,'DETALLE CRONOLÓGICO'!$A$2:$A$4919,$A671)/$F671,"")</f>
        <v/>
      </c>
      <c r="J671" s="6">
        <f>IFERROR(SUMIFS('DETALLE CRONOLÓGICO'!$K$2:$K$4919,'DETALLE CRONOLÓGICO'!$A$2:$A$4919,$A671)/$E671,"")</f>
        <v/>
      </c>
      <c r="K671" s="6">
        <f>_xlfn.MINIFS('DETALLE CRONOLÓGICO'!$K$2:$K$4919,'DETALLE CRONOLÓGICO'!$A$2:$A$4919,$A671)</f>
        <v/>
      </c>
      <c r="L671" s="6">
        <f>_xlfn.MAXIFS('DETALLE CRONOLÓGICO'!$K$2:$K$4919,'DETALLE CRONOLÓGICO'!$A$2:$A$4919,$A671)</f>
        <v/>
      </c>
      <c r="M671" s="6">
        <f>INDEX('DETALLE CRONOLÓGICO'!$K$2:$K$4919,MATCH($A671,'DETALLE CRONOLÓGICO'!$A$2:$A$4919,0)+$E671-1)</f>
        <v/>
      </c>
      <c r="N671" s="7">
        <f>IFERROR($M671/INDEX('DETALLE CRONOLÓGICO'!$K$2:$K$4919,MATCH($A671,'DETALLE CRONOLÓGICO'!$A$2:$A$4919,0))-1,"")</f>
        <v/>
      </c>
      <c r="O671" s="6">
        <f>IFERROR($I671*3,"")</f>
        <v/>
      </c>
      <c r="P671" s="6">
        <f>IFERROR($I671*3.5,"")</f>
        <v/>
      </c>
      <c r="Q671" s="6">
        <f>IFERROR($I671*4,"")</f>
        <v/>
      </c>
      <c r="R671" s="6" t="n">
        <v>1025</v>
      </c>
      <c r="S671" s="4" t="n">
        <v>3</v>
      </c>
      <c r="T671" s="1" t="inlineStr">
        <is>
          <t>active</t>
        </is>
      </c>
      <c r="U671" s="8" t="n"/>
      <c r="V671" s="1" t="inlineStr">
        <is>
          <t>SIN PRECIO</t>
        </is>
      </c>
    </row>
    <row r="672">
      <c r="A672" s="1" t="inlineStr">
        <is>
          <t>41889241640397</t>
        </is>
      </c>
      <c r="B672" s="1" t="inlineStr">
        <is>
          <t>ANILLO CD ZIRCONIAS GOLD-BLACK</t>
        </is>
      </c>
      <c r="C672" s="1" t="n">
        <v>8</v>
      </c>
      <c r="D672" s="1" t="inlineStr">
        <is>
          <t>CYNTHIA</t>
        </is>
      </c>
      <c r="E672" s="4">
        <f>COUNTIF('DETALLE CRONOLÓGICO'!$A$2:$A$4919,$A672)</f>
        <v/>
      </c>
      <c r="F672" s="4">
        <f>SUMIFS('DETALLE CRONOLÓGICO'!$I$2:$I$4919,'DETALLE CRONOLÓGICO'!$A$2:$A$4919,$A672)</f>
        <v/>
      </c>
      <c r="G672" s="1">
        <f>INDEX('DETALLE CRONOLÓGICO'!$D$2:$D$4919,MATCH($A672,'DETALLE CRONOLÓGICO'!$A$2:$A$4919,0))</f>
        <v/>
      </c>
      <c r="H672" s="1">
        <f>INDEX('DETALLE CRONOLÓGICO'!$D$2:$D$4919,MATCH($A672,'DETALLE CRONOLÓGICO'!$A$2:$A$4919,0)+$E672-1)</f>
        <v/>
      </c>
      <c r="I672" s="5">
        <f>IFERROR(SUMIFS('DETALLE CRONOLÓGICO'!$L$2:$L$4919,'DETALLE CRONOLÓGICO'!$A$2:$A$4919,$A672)/$F672,"")</f>
        <v/>
      </c>
      <c r="J672" s="6">
        <f>IFERROR(SUMIFS('DETALLE CRONOLÓGICO'!$K$2:$K$4919,'DETALLE CRONOLÓGICO'!$A$2:$A$4919,$A672)/$E672,"")</f>
        <v/>
      </c>
      <c r="K672" s="6">
        <f>_xlfn.MINIFS('DETALLE CRONOLÓGICO'!$K$2:$K$4919,'DETALLE CRONOLÓGICO'!$A$2:$A$4919,$A672)</f>
        <v/>
      </c>
      <c r="L672" s="6">
        <f>_xlfn.MAXIFS('DETALLE CRONOLÓGICO'!$K$2:$K$4919,'DETALLE CRONOLÓGICO'!$A$2:$A$4919,$A672)</f>
        <v/>
      </c>
      <c r="M672" s="6">
        <f>INDEX('DETALLE CRONOLÓGICO'!$K$2:$K$4919,MATCH($A672,'DETALLE CRONOLÓGICO'!$A$2:$A$4919,0)+$E672-1)</f>
        <v/>
      </c>
      <c r="N672" s="7">
        <f>IFERROR($M672/INDEX('DETALLE CRONOLÓGICO'!$K$2:$K$4919,MATCH($A672,'DETALLE CRONOLÓGICO'!$A$2:$A$4919,0))-1,"")</f>
        <v/>
      </c>
      <c r="O672" s="6">
        <f>IFERROR($I672*3,"")</f>
        <v/>
      </c>
      <c r="P672" s="6">
        <f>IFERROR($I672*3.5,"")</f>
        <v/>
      </c>
      <c r="Q672" s="6">
        <f>IFERROR($I672*4,"")</f>
        <v/>
      </c>
      <c r="R672" s="6" t="n">
        <v>790.5</v>
      </c>
      <c r="S672" s="4" t="n">
        <v>0</v>
      </c>
      <c r="T672" s="1" t="inlineStr">
        <is>
          <t>active</t>
        </is>
      </c>
      <c r="U672" s="8" t="n"/>
      <c r="V672" s="1" t="inlineStr">
        <is>
          <t>SIN PRECIO</t>
        </is>
      </c>
    </row>
    <row r="673">
      <c r="A673" s="1" t="inlineStr">
        <is>
          <t>41889241773165</t>
        </is>
      </c>
      <c r="B673" s="1" t="inlineStr">
        <is>
          <t>BRAZALETE CD GOLD-WHITE ZIRCONIAS</t>
        </is>
      </c>
      <c r="C673" s="1" t="inlineStr">
        <is>
          <t>ALL WHITE</t>
        </is>
      </c>
      <c r="D673" s="1" t="inlineStr">
        <is>
          <t>CYNTHIA</t>
        </is>
      </c>
      <c r="E673" s="4">
        <f>COUNTIF('DETALLE CRONOLÓGICO'!$A$2:$A$4919,$A673)</f>
        <v/>
      </c>
      <c r="F673" s="4">
        <f>SUMIFS('DETALLE CRONOLÓGICO'!$I$2:$I$4919,'DETALLE CRONOLÓGICO'!$A$2:$A$4919,$A673)</f>
        <v/>
      </c>
      <c r="G673" s="1">
        <f>INDEX('DETALLE CRONOLÓGICO'!$D$2:$D$4919,MATCH($A673,'DETALLE CRONOLÓGICO'!$A$2:$A$4919,0))</f>
        <v/>
      </c>
      <c r="H673" s="1">
        <f>INDEX('DETALLE CRONOLÓGICO'!$D$2:$D$4919,MATCH($A673,'DETALLE CRONOLÓGICO'!$A$2:$A$4919,0)+$E673-1)</f>
        <v/>
      </c>
      <c r="I673" s="5">
        <f>IFERROR(SUMIFS('DETALLE CRONOLÓGICO'!$L$2:$L$4919,'DETALLE CRONOLÓGICO'!$A$2:$A$4919,$A673)/$F673,"")</f>
        <v/>
      </c>
      <c r="J673" s="6">
        <f>IFERROR(SUMIFS('DETALLE CRONOLÓGICO'!$K$2:$K$4919,'DETALLE CRONOLÓGICO'!$A$2:$A$4919,$A673)/$E673,"")</f>
        <v/>
      </c>
      <c r="K673" s="6">
        <f>_xlfn.MINIFS('DETALLE CRONOLÓGICO'!$K$2:$K$4919,'DETALLE CRONOLÓGICO'!$A$2:$A$4919,$A673)</f>
        <v/>
      </c>
      <c r="L673" s="6">
        <f>_xlfn.MAXIFS('DETALLE CRONOLÓGICO'!$K$2:$K$4919,'DETALLE CRONOLÓGICO'!$A$2:$A$4919,$A673)</f>
        <v/>
      </c>
      <c r="M673" s="6">
        <f>INDEX('DETALLE CRONOLÓGICO'!$K$2:$K$4919,MATCH($A673,'DETALLE CRONOLÓGICO'!$A$2:$A$4919,0)+$E673-1)</f>
        <v/>
      </c>
      <c r="N673" s="7">
        <f>IFERROR($M673/INDEX('DETALLE CRONOLÓGICO'!$K$2:$K$4919,MATCH($A673,'DETALLE CRONOLÓGICO'!$A$2:$A$4919,0))-1,"")</f>
        <v/>
      </c>
      <c r="O673" s="6">
        <f>IFERROR($I673*3,"")</f>
        <v/>
      </c>
      <c r="P673" s="6">
        <f>IFERROR($I673*3.5,"")</f>
        <v/>
      </c>
      <c r="Q673" s="6">
        <f>IFERROR($I673*4,"")</f>
        <v/>
      </c>
      <c r="R673" s="6" t="n">
        <v>1025</v>
      </c>
      <c r="S673" s="4" t="n">
        <v>2</v>
      </c>
      <c r="T673" s="1" t="inlineStr">
        <is>
          <t>active</t>
        </is>
      </c>
      <c r="U673" s="8" t="n"/>
      <c r="V673" s="1" t="inlineStr">
        <is>
          <t>SIN PRECIO</t>
        </is>
      </c>
    </row>
    <row r="674">
      <c r="A674" s="1" t="inlineStr">
        <is>
          <t>41889241805933</t>
        </is>
      </c>
      <c r="B674" s="1" t="inlineStr">
        <is>
          <t>ARRACADAS BV ZIRCONIAS ROSEGOLD</t>
        </is>
      </c>
      <c r="C674" s="1" t="inlineStr">
        <is>
          <t>Default Title</t>
        </is>
      </c>
      <c r="D674" s="1" t="inlineStr">
        <is>
          <t>CYNTHIA</t>
        </is>
      </c>
      <c r="E674" s="4">
        <f>COUNTIF('DETALLE CRONOLÓGICO'!$A$2:$A$4919,$A674)</f>
        <v/>
      </c>
      <c r="F674" s="4">
        <f>SUMIFS('DETALLE CRONOLÓGICO'!$I$2:$I$4919,'DETALLE CRONOLÓGICO'!$A$2:$A$4919,$A674)</f>
        <v/>
      </c>
      <c r="G674" s="1">
        <f>INDEX('DETALLE CRONOLÓGICO'!$D$2:$D$4919,MATCH($A674,'DETALLE CRONOLÓGICO'!$A$2:$A$4919,0))</f>
        <v/>
      </c>
      <c r="H674" s="1">
        <f>INDEX('DETALLE CRONOLÓGICO'!$D$2:$D$4919,MATCH($A674,'DETALLE CRONOLÓGICO'!$A$2:$A$4919,0)+$E674-1)</f>
        <v/>
      </c>
      <c r="I674" s="5">
        <f>IFERROR(SUMIFS('DETALLE CRONOLÓGICO'!$L$2:$L$4919,'DETALLE CRONOLÓGICO'!$A$2:$A$4919,$A674)/$F674,"")</f>
        <v/>
      </c>
      <c r="J674" s="6">
        <f>IFERROR(SUMIFS('DETALLE CRONOLÓGICO'!$K$2:$K$4919,'DETALLE CRONOLÓGICO'!$A$2:$A$4919,$A674)/$E674,"")</f>
        <v/>
      </c>
      <c r="K674" s="6">
        <f>_xlfn.MINIFS('DETALLE CRONOLÓGICO'!$K$2:$K$4919,'DETALLE CRONOLÓGICO'!$A$2:$A$4919,$A674)</f>
        <v/>
      </c>
      <c r="L674" s="6">
        <f>_xlfn.MAXIFS('DETALLE CRONOLÓGICO'!$K$2:$K$4919,'DETALLE CRONOLÓGICO'!$A$2:$A$4919,$A674)</f>
        <v/>
      </c>
      <c r="M674" s="6">
        <f>INDEX('DETALLE CRONOLÓGICO'!$K$2:$K$4919,MATCH($A674,'DETALLE CRONOLÓGICO'!$A$2:$A$4919,0)+$E674-1)</f>
        <v/>
      </c>
      <c r="N674" s="7">
        <f>IFERROR($M674/INDEX('DETALLE CRONOLÓGICO'!$K$2:$K$4919,MATCH($A674,'DETALLE CRONOLÓGICO'!$A$2:$A$4919,0))-1,"")</f>
        <v/>
      </c>
      <c r="O674" s="6">
        <f>IFERROR($I674*3,"")</f>
        <v/>
      </c>
      <c r="P674" s="6">
        <f>IFERROR($I674*3.5,"")</f>
        <v/>
      </c>
      <c r="Q674" s="6">
        <f>IFERROR($I674*4,"")</f>
        <v/>
      </c>
      <c r="R674" s="6" t="n">
        <v>1019.33</v>
      </c>
      <c r="S674" s="4" t="n">
        <v>1</v>
      </c>
      <c r="T674" s="1" t="inlineStr">
        <is>
          <t>active</t>
        </is>
      </c>
      <c r="U674" s="8" t="n"/>
      <c r="V674" s="1" t="inlineStr">
        <is>
          <t>SIN PRECIO</t>
        </is>
      </c>
    </row>
    <row r="675">
      <c r="A675" s="1" t="inlineStr">
        <is>
          <t>42101481043501</t>
        </is>
      </c>
      <c r="B675" s="1" t="inlineStr">
        <is>
          <t>BOLSA CC Nº25</t>
        </is>
      </c>
      <c r="C675" s="1" t="inlineStr">
        <is>
          <t>HIGH QUALITY</t>
        </is>
      </c>
      <c r="D675" s="1" t="inlineStr">
        <is>
          <t>CYNTHIA</t>
        </is>
      </c>
      <c r="E675" s="4">
        <f>COUNTIF('DETALLE CRONOLÓGICO'!$A$2:$A$4919,$A675)</f>
        <v/>
      </c>
      <c r="F675" s="4">
        <f>SUMIFS('DETALLE CRONOLÓGICO'!$I$2:$I$4919,'DETALLE CRONOLÓGICO'!$A$2:$A$4919,$A675)</f>
        <v/>
      </c>
      <c r="G675" s="1">
        <f>INDEX('DETALLE CRONOLÓGICO'!$D$2:$D$4919,MATCH($A675,'DETALLE CRONOLÓGICO'!$A$2:$A$4919,0))</f>
        <v/>
      </c>
      <c r="H675" s="1">
        <f>INDEX('DETALLE CRONOLÓGICO'!$D$2:$D$4919,MATCH($A675,'DETALLE CRONOLÓGICO'!$A$2:$A$4919,0)+$E675-1)</f>
        <v/>
      </c>
      <c r="I675" s="5">
        <f>IFERROR(SUMIFS('DETALLE CRONOLÓGICO'!$L$2:$L$4919,'DETALLE CRONOLÓGICO'!$A$2:$A$4919,$A675)/$F675,"")</f>
        <v/>
      </c>
      <c r="J675" s="6">
        <f>IFERROR(SUMIFS('DETALLE CRONOLÓGICO'!$K$2:$K$4919,'DETALLE CRONOLÓGICO'!$A$2:$A$4919,$A675)/$E675,"")</f>
        <v/>
      </c>
      <c r="K675" s="6">
        <f>_xlfn.MINIFS('DETALLE CRONOLÓGICO'!$K$2:$K$4919,'DETALLE CRONOLÓGICO'!$A$2:$A$4919,$A675)</f>
        <v/>
      </c>
      <c r="L675" s="6">
        <f>_xlfn.MAXIFS('DETALLE CRONOLÓGICO'!$K$2:$K$4919,'DETALLE CRONOLÓGICO'!$A$2:$A$4919,$A675)</f>
        <v/>
      </c>
      <c r="M675" s="6">
        <f>INDEX('DETALLE CRONOLÓGICO'!$K$2:$K$4919,MATCH($A675,'DETALLE CRONOLÓGICO'!$A$2:$A$4919,0)+$E675-1)</f>
        <v/>
      </c>
      <c r="N675" s="7">
        <f>IFERROR($M675/INDEX('DETALLE CRONOLÓGICO'!$K$2:$K$4919,MATCH($A675,'DETALLE CRONOLÓGICO'!$A$2:$A$4919,0))-1,"")</f>
        <v/>
      </c>
      <c r="O675" s="6">
        <f>IFERROR($I675*3,"")</f>
        <v/>
      </c>
      <c r="P675" s="6">
        <f>IFERROR($I675*3.5,"")</f>
        <v/>
      </c>
      <c r="Q675" s="6">
        <f>IFERROR($I675*4,"")</f>
        <v/>
      </c>
      <c r="R675" s="6" t="n">
        <v>5999</v>
      </c>
      <c r="S675" s="4" t="n">
        <v>0</v>
      </c>
      <c r="T675" s="1" t="inlineStr">
        <is>
          <t>active</t>
        </is>
      </c>
      <c r="U675" s="8" t="n"/>
      <c r="V675" s="1" t="inlineStr">
        <is>
          <t>SIN PRECIO</t>
        </is>
      </c>
    </row>
    <row r="676">
      <c r="A676" s="1" t="inlineStr">
        <is>
          <t>42265107366028</t>
        </is>
      </c>
      <c r="B676" s="1" t="inlineStr">
        <is>
          <t>HOODIE C BLACK</t>
        </is>
      </c>
      <c r="C676" s="1" t="inlineStr">
        <is>
          <t>M</t>
        </is>
      </c>
      <c r="D676" s="1" t="inlineStr">
        <is>
          <t>DINA DU</t>
        </is>
      </c>
      <c r="E676" s="4">
        <f>COUNTIF('DETALLE CRONOLÓGICO'!$A$2:$A$4919,$A676)</f>
        <v/>
      </c>
      <c r="F676" s="4">
        <f>SUMIFS('DETALLE CRONOLÓGICO'!$I$2:$I$4919,'DETALLE CRONOLÓGICO'!$A$2:$A$4919,$A676)</f>
        <v/>
      </c>
      <c r="G676" s="1">
        <f>INDEX('DETALLE CRONOLÓGICO'!$D$2:$D$4919,MATCH($A676,'DETALLE CRONOLÓGICO'!$A$2:$A$4919,0))</f>
        <v/>
      </c>
      <c r="H676" s="1">
        <f>INDEX('DETALLE CRONOLÓGICO'!$D$2:$D$4919,MATCH($A676,'DETALLE CRONOLÓGICO'!$A$2:$A$4919,0)+$E676-1)</f>
        <v/>
      </c>
      <c r="I676" s="5">
        <f>IFERROR(SUMIFS('DETALLE CRONOLÓGICO'!$L$2:$L$4919,'DETALLE CRONOLÓGICO'!$A$2:$A$4919,$A676)/$F676,"")</f>
        <v/>
      </c>
      <c r="J676" s="6">
        <f>IFERROR(SUMIFS('DETALLE CRONOLÓGICO'!$K$2:$K$4919,'DETALLE CRONOLÓGICO'!$A$2:$A$4919,$A676)/$E676,"")</f>
        <v/>
      </c>
      <c r="K676" s="6">
        <f>_xlfn.MINIFS('DETALLE CRONOLÓGICO'!$K$2:$K$4919,'DETALLE CRONOLÓGICO'!$A$2:$A$4919,$A676)</f>
        <v/>
      </c>
      <c r="L676" s="6">
        <f>_xlfn.MAXIFS('DETALLE CRONOLÓGICO'!$K$2:$K$4919,'DETALLE CRONOLÓGICO'!$A$2:$A$4919,$A676)</f>
        <v/>
      </c>
      <c r="M676" s="6">
        <f>INDEX('DETALLE CRONOLÓGICO'!$K$2:$K$4919,MATCH($A676,'DETALLE CRONOLÓGICO'!$A$2:$A$4919,0)+$E676-1)</f>
        <v/>
      </c>
      <c r="N676" s="7">
        <f>IFERROR($M676/INDEX('DETALLE CRONOLÓGICO'!$K$2:$K$4919,MATCH($A676,'DETALLE CRONOLÓGICO'!$A$2:$A$4919,0))-1,"")</f>
        <v/>
      </c>
      <c r="O676" s="6">
        <f>IFERROR($I676*3,"")</f>
        <v/>
      </c>
      <c r="P676" s="6">
        <f>IFERROR($I676*3.5,"")</f>
        <v/>
      </c>
      <c r="Q676" s="6">
        <f>IFERROR($I676*4,"")</f>
        <v/>
      </c>
      <c r="R676" s="6" t="n">
        <v>1977</v>
      </c>
      <c r="S676" s="4" t="n">
        <v>3</v>
      </c>
      <c r="T676" s="1" t="inlineStr">
        <is>
          <t>active</t>
        </is>
      </c>
      <c r="U676" s="8" t="n"/>
      <c r="V676" s="1" t="inlineStr">
        <is>
          <t>SIN PRECIO</t>
        </is>
      </c>
    </row>
    <row r="677">
      <c r="A677" s="1" t="inlineStr">
        <is>
          <t>42265109266572</t>
        </is>
      </c>
      <c r="B677" s="1" t="inlineStr">
        <is>
          <t>CINTO CD</t>
        </is>
      </c>
      <c r="C677" s="1" t="inlineStr">
        <is>
          <t>100cm</t>
        </is>
      </c>
      <c r="D677" s="1" t="inlineStr">
        <is>
          <t>DINA DU</t>
        </is>
      </c>
      <c r="E677" s="4">
        <f>COUNTIF('DETALLE CRONOLÓGICO'!$A$2:$A$4919,$A677)</f>
        <v/>
      </c>
      <c r="F677" s="4">
        <f>SUMIFS('DETALLE CRONOLÓGICO'!$I$2:$I$4919,'DETALLE CRONOLÓGICO'!$A$2:$A$4919,$A677)</f>
        <v/>
      </c>
      <c r="G677" s="1">
        <f>INDEX('DETALLE CRONOLÓGICO'!$D$2:$D$4919,MATCH($A677,'DETALLE CRONOLÓGICO'!$A$2:$A$4919,0))</f>
        <v/>
      </c>
      <c r="H677" s="1">
        <f>INDEX('DETALLE CRONOLÓGICO'!$D$2:$D$4919,MATCH($A677,'DETALLE CRONOLÓGICO'!$A$2:$A$4919,0)+$E677-1)</f>
        <v/>
      </c>
      <c r="I677" s="5">
        <f>IFERROR(SUMIFS('DETALLE CRONOLÓGICO'!$L$2:$L$4919,'DETALLE CRONOLÓGICO'!$A$2:$A$4919,$A677)/$F677,"")</f>
        <v/>
      </c>
      <c r="J677" s="6">
        <f>IFERROR(SUMIFS('DETALLE CRONOLÓGICO'!$K$2:$K$4919,'DETALLE CRONOLÓGICO'!$A$2:$A$4919,$A677)/$E677,"")</f>
        <v/>
      </c>
      <c r="K677" s="6">
        <f>_xlfn.MINIFS('DETALLE CRONOLÓGICO'!$K$2:$K$4919,'DETALLE CRONOLÓGICO'!$A$2:$A$4919,$A677)</f>
        <v/>
      </c>
      <c r="L677" s="6">
        <f>_xlfn.MAXIFS('DETALLE CRONOLÓGICO'!$K$2:$K$4919,'DETALLE CRONOLÓGICO'!$A$2:$A$4919,$A677)</f>
        <v/>
      </c>
      <c r="M677" s="6">
        <f>INDEX('DETALLE CRONOLÓGICO'!$K$2:$K$4919,MATCH($A677,'DETALLE CRONOLÓGICO'!$A$2:$A$4919,0)+$E677-1)</f>
        <v/>
      </c>
      <c r="N677" s="7">
        <f>IFERROR($M677/INDEX('DETALLE CRONOLÓGICO'!$K$2:$K$4919,MATCH($A677,'DETALLE CRONOLÓGICO'!$A$2:$A$4919,0))-1,"")</f>
        <v/>
      </c>
      <c r="O677" s="6">
        <f>IFERROR($I677*3,"")</f>
        <v/>
      </c>
      <c r="P677" s="6">
        <f>IFERROR($I677*3.5,"")</f>
        <v/>
      </c>
      <c r="Q677" s="6">
        <f>IFERROR($I677*4,"")</f>
        <v/>
      </c>
      <c r="R677" s="6" t="n">
        <v>1250</v>
      </c>
      <c r="S677" s="4" t="n">
        <v>2</v>
      </c>
      <c r="T677" s="1" t="inlineStr">
        <is>
          <t>active</t>
        </is>
      </c>
      <c r="U677" s="8" t="n"/>
      <c r="V677" s="1" t="inlineStr">
        <is>
          <t>SIN PRECIO</t>
        </is>
      </c>
    </row>
    <row r="678">
      <c r="A678" s="1" t="inlineStr">
        <is>
          <t>42283701061581</t>
        </is>
      </c>
      <c r="B678" s="1" t="inlineStr">
        <is>
          <t>RELOJ TANK CR BLACK GOLD</t>
        </is>
      </c>
      <c r="C678" s="1" t="inlineStr">
        <is>
          <t>Default Title</t>
        </is>
      </c>
      <c r="D678" s="1" t="inlineStr">
        <is>
          <t>ZOEY</t>
        </is>
      </c>
      <c r="E678" s="4">
        <f>COUNTIF('DETALLE CRONOLÓGICO'!$A$2:$A$4919,$A678)</f>
        <v/>
      </c>
      <c r="F678" s="4">
        <f>SUMIFS('DETALLE CRONOLÓGICO'!$I$2:$I$4919,'DETALLE CRONOLÓGICO'!$A$2:$A$4919,$A678)</f>
        <v/>
      </c>
      <c r="G678" s="1">
        <f>INDEX('DETALLE CRONOLÓGICO'!$D$2:$D$4919,MATCH($A678,'DETALLE CRONOLÓGICO'!$A$2:$A$4919,0))</f>
        <v/>
      </c>
      <c r="H678" s="1">
        <f>INDEX('DETALLE CRONOLÓGICO'!$D$2:$D$4919,MATCH($A678,'DETALLE CRONOLÓGICO'!$A$2:$A$4919,0)+$E678-1)</f>
        <v/>
      </c>
      <c r="I678" s="5">
        <f>IFERROR(SUMIFS('DETALLE CRONOLÓGICO'!$L$2:$L$4919,'DETALLE CRONOLÓGICO'!$A$2:$A$4919,$A678)/$F678,"")</f>
        <v/>
      </c>
      <c r="J678" s="6">
        <f>IFERROR(SUMIFS('DETALLE CRONOLÓGICO'!$K$2:$K$4919,'DETALLE CRONOLÓGICO'!$A$2:$A$4919,$A678)/$E678,"")</f>
        <v/>
      </c>
      <c r="K678" s="6">
        <f>_xlfn.MINIFS('DETALLE CRONOLÓGICO'!$K$2:$K$4919,'DETALLE CRONOLÓGICO'!$A$2:$A$4919,$A678)</f>
        <v/>
      </c>
      <c r="L678" s="6">
        <f>_xlfn.MAXIFS('DETALLE CRONOLÓGICO'!$K$2:$K$4919,'DETALLE CRONOLÓGICO'!$A$2:$A$4919,$A678)</f>
        <v/>
      </c>
      <c r="M678" s="6">
        <f>INDEX('DETALLE CRONOLÓGICO'!$K$2:$K$4919,MATCH($A678,'DETALLE CRONOLÓGICO'!$A$2:$A$4919,0)+$E678-1)</f>
        <v/>
      </c>
      <c r="N678" s="7">
        <f>IFERROR($M678/INDEX('DETALLE CRONOLÓGICO'!$K$2:$K$4919,MATCH($A678,'DETALLE CRONOLÓGICO'!$A$2:$A$4919,0))-1,"")</f>
        <v/>
      </c>
      <c r="O678" s="6">
        <f>IFERROR($I678*3,"")</f>
        <v/>
      </c>
      <c r="P678" s="6">
        <f>IFERROR($I678*3.5,"")</f>
        <v/>
      </c>
      <c r="Q678" s="6">
        <f>IFERROR($I678*4,"")</f>
        <v/>
      </c>
      <c r="R678" s="6" t="n">
        <v>3500</v>
      </c>
      <c r="S678" s="4" t="n">
        <v>0</v>
      </c>
      <c r="T678" s="1" t="inlineStr">
        <is>
          <t>active</t>
        </is>
      </c>
      <c r="U678" s="8" t="n"/>
      <c r="V678" s="1" t="inlineStr">
        <is>
          <t>SIN PRECIO</t>
        </is>
      </c>
    </row>
    <row r="679">
      <c r="A679" s="1" t="inlineStr">
        <is>
          <t>42340124661388</t>
        </is>
      </c>
      <c r="B679" s="1" t="inlineStr">
        <is>
          <t>CINTO CD OBLIQUE</t>
        </is>
      </c>
      <c r="C679" s="1" t="inlineStr">
        <is>
          <t>110cm</t>
        </is>
      </c>
      <c r="D679" s="1" t="inlineStr">
        <is>
          <t>ZOEY</t>
        </is>
      </c>
      <c r="E679" s="4">
        <f>COUNTIF('DETALLE CRONOLÓGICO'!$A$2:$A$4919,$A679)</f>
        <v/>
      </c>
      <c r="F679" s="4">
        <f>SUMIFS('DETALLE CRONOLÓGICO'!$I$2:$I$4919,'DETALLE CRONOLÓGICO'!$A$2:$A$4919,$A679)</f>
        <v/>
      </c>
      <c r="G679" s="1">
        <f>INDEX('DETALLE CRONOLÓGICO'!$D$2:$D$4919,MATCH($A679,'DETALLE CRONOLÓGICO'!$A$2:$A$4919,0))</f>
        <v/>
      </c>
      <c r="H679" s="1">
        <f>INDEX('DETALLE CRONOLÓGICO'!$D$2:$D$4919,MATCH($A679,'DETALLE CRONOLÓGICO'!$A$2:$A$4919,0)+$E679-1)</f>
        <v/>
      </c>
      <c r="I679" s="5">
        <f>IFERROR(SUMIFS('DETALLE CRONOLÓGICO'!$L$2:$L$4919,'DETALLE CRONOLÓGICO'!$A$2:$A$4919,$A679)/$F679,"")</f>
        <v/>
      </c>
      <c r="J679" s="6">
        <f>IFERROR(SUMIFS('DETALLE CRONOLÓGICO'!$K$2:$K$4919,'DETALLE CRONOLÓGICO'!$A$2:$A$4919,$A679)/$E679,"")</f>
        <v/>
      </c>
      <c r="K679" s="6">
        <f>_xlfn.MINIFS('DETALLE CRONOLÓGICO'!$K$2:$K$4919,'DETALLE CRONOLÓGICO'!$A$2:$A$4919,$A679)</f>
        <v/>
      </c>
      <c r="L679" s="6">
        <f>_xlfn.MAXIFS('DETALLE CRONOLÓGICO'!$K$2:$K$4919,'DETALLE CRONOLÓGICO'!$A$2:$A$4919,$A679)</f>
        <v/>
      </c>
      <c r="M679" s="6">
        <f>INDEX('DETALLE CRONOLÓGICO'!$K$2:$K$4919,MATCH($A679,'DETALLE CRONOLÓGICO'!$A$2:$A$4919,0)+$E679-1)</f>
        <v/>
      </c>
      <c r="N679" s="7">
        <f>IFERROR($M679/INDEX('DETALLE CRONOLÓGICO'!$K$2:$K$4919,MATCH($A679,'DETALLE CRONOLÓGICO'!$A$2:$A$4919,0))-1,"")</f>
        <v/>
      </c>
      <c r="O679" s="6">
        <f>IFERROR($I679*3,"")</f>
        <v/>
      </c>
      <c r="P679" s="6">
        <f>IFERROR($I679*3.5,"")</f>
        <v/>
      </c>
      <c r="Q679" s="6">
        <f>IFERROR($I679*4,"")</f>
        <v/>
      </c>
      <c r="R679" s="6" t="n">
        <v>4779</v>
      </c>
      <c r="S679" s="4" t="n">
        <v>2</v>
      </c>
      <c r="T679" s="1" t="inlineStr">
        <is>
          <t>active</t>
        </is>
      </c>
      <c r="U679" s="8" t="n"/>
      <c r="V679" s="1" t="inlineStr">
        <is>
          <t>SIN PRECIO</t>
        </is>
      </c>
    </row>
    <row r="680">
      <c r="A680" s="1" t="inlineStr">
        <is>
          <t>42556045426828</t>
        </is>
      </c>
      <c r="B680" s="1" t="inlineStr">
        <is>
          <t>CINTO FR ROSEGOLD</t>
        </is>
      </c>
      <c r="C680" s="1" t="inlineStr">
        <is>
          <t>100cm</t>
        </is>
      </c>
      <c r="D680" s="1" t="inlineStr">
        <is>
          <t>DINA DU</t>
        </is>
      </c>
      <c r="E680" s="4">
        <f>COUNTIF('DETALLE CRONOLÓGICO'!$A$2:$A$4919,$A680)</f>
        <v/>
      </c>
      <c r="F680" s="4">
        <f>SUMIFS('DETALLE CRONOLÓGICO'!$I$2:$I$4919,'DETALLE CRONOLÓGICO'!$A$2:$A$4919,$A680)</f>
        <v/>
      </c>
      <c r="G680" s="1">
        <f>INDEX('DETALLE CRONOLÓGICO'!$D$2:$D$4919,MATCH($A680,'DETALLE CRONOLÓGICO'!$A$2:$A$4919,0))</f>
        <v/>
      </c>
      <c r="H680" s="1">
        <f>INDEX('DETALLE CRONOLÓGICO'!$D$2:$D$4919,MATCH($A680,'DETALLE CRONOLÓGICO'!$A$2:$A$4919,0)+$E680-1)</f>
        <v/>
      </c>
      <c r="I680" s="5">
        <f>IFERROR(SUMIFS('DETALLE CRONOLÓGICO'!$L$2:$L$4919,'DETALLE CRONOLÓGICO'!$A$2:$A$4919,$A680)/$F680,"")</f>
        <v/>
      </c>
      <c r="J680" s="6">
        <f>IFERROR(SUMIFS('DETALLE CRONOLÓGICO'!$K$2:$K$4919,'DETALLE CRONOLÓGICO'!$A$2:$A$4919,$A680)/$E680,"")</f>
        <v/>
      </c>
      <c r="K680" s="6">
        <f>_xlfn.MINIFS('DETALLE CRONOLÓGICO'!$K$2:$K$4919,'DETALLE CRONOLÓGICO'!$A$2:$A$4919,$A680)</f>
        <v/>
      </c>
      <c r="L680" s="6">
        <f>_xlfn.MAXIFS('DETALLE CRONOLÓGICO'!$K$2:$K$4919,'DETALLE CRONOLÓGICO'!$A$2:$A$4919,$A680)</f>
        <v/>
      </c>
      <c r="M680" s="6">
        <f>INDEX('DETALLE CRONOLÓGICO'!$K$2:$K$4919,MATCH($A680,'DETALLE CRONOLÓGICO'!$A$2:$A$4919,0)+$E680-1)</f>
        <v/>
      </c>
      <c r="N680" s="7">
        <f>IFERROR($M680/INDEX('DETALLE CRONOLÓGICO'!$K$2:$K$4919,MATCH($A680,'DETALLE CRONOLÓGICO'!$A$2:$A$4919,0))-1,"")</f>
        <v/>
      </c>
      <c r="O680" s="6">
        <f>IFERROR($I680*3,"")</f>
        <v/>
      </c>
      <c r="P680" s="6">
        <f>IFERROR($I680*3.5,"")</f>
        <v/>
      </c>
      <c r="Q680" s="6">
        <f>IFERROR($I680*4,"")</f>
        <v/>
      </c>
      <c r="R680" s="6" t="n">
        <v>1299</v>
      </c>
      <c r="S680" s="4" t="n">
        <v>0</v>
      </c>
      <c r="T680" s="1" t="inlineStr">
        <is>
          <t>active</t>
        </is>
      </c>
      <c r="U680" s="8" t="n"/>
      <c r="V680" s="1" t="inlineStr">
        <is>
          <t>SIN PRECIO</t>
        </is>
      </c>
    </row>
    <row r="681">
      <c r="A681" s="1" t="inlineStr">
        <is>
          <t>42556129345676</t>
        </is>
      </c>
      <c r="B681" s="1" t="inlineStr">
        <is>
          <t>HOODIE C WHITE</t>
        </is>
      </c>
      <c r="C681" s="1" t="inlineStr">
        <is>
          <t>M</t>
        </is>
      </c>
      <c r="D681" s="1" t="inlineStr">
        <is>
          <t>DINA DU</t>
        </is>
      </c>
      <c r="E681" s="4">
        <f>COUNTIF('DETALLE CRONOLÓGICO'!$A$2:$A$4919,$A681)</f>
        <v/>
      </c>
      <c r="F681" s="4">
        <f>SUMIFS('DETALLE CRONOLÓGICO'!$I$2:$I$4919,'DETALLE CRONOLÓGICO'!$A$2:$A$4919,$A681)</f>
        <v/>
      </c>
      <c r="G681" s="1">
        <f>INDEX('DETALLE CRONOLÓGICO'!$D$2:$D$4919,MATCH($A681,'DETALLE CRONOLÓGICO'!$A$2:$A$4919,0))</f>
        <v/>
      </c>
      <c r="H681" s="1">
        <f>INDEX('DETALLE CRONOLÓGICO'!$D$2:$D$4919,MATCH($A681,'DETALLE CRONOLÓGICO'!$A$2:$A$4919,0)+$E681-1)</f>
        <v/>
      </c>
      <c r="I681" s="5">
        <f>IFERROR(SUMIFS('DETALLE CRONOLÓGICO'!$L$2:$L$4919,'DETALLE CRONOLÓGICO'!$A$2:$A$4919,$A681)/$F681,"")</f>
        <v/>
      </c>
      <c r="J681" s="6">
        <f>IFERROR(SUMIFS('DETALLE CRONOLÓGICO'!$K$2:$K$4919,'DETALLE CRONOLÓGICO'!$A$2:$A$4919,$A681)/$E681,"")</f>
        <v/>
      </c>
      <c r="K681" s="6">
        <f>_xlfn.MINIFS('DETALLE CRONOLÓGICO'!$K$2:$K$4919,'DETALLE CRONOLÓGICO'!$A$2:$A$4919,$A681)</f>
        <v/>
      </c>
      <c r="L681" s="6">
        <f>_xlfn.MAXIFS('DETALLE CRONOLÓGICO'!$K$2:$K$4919,'DETALLE CRONOLÓGICO'!$A$2:$A$4919,$A681)</f>
        <v/>
      </c>
      <c r="M681" s="6">
        <f>INDEX('DETALLE CRONOLÓGICO'!$K$2:$K$4919,MATCH($A681,'DETALLE CRONOLÓGICO'!$A$2:$A$4919,0)+$E681-1)</f>
        <v/>
      </c>
      <c r="N681" s="7">
        <f>IFERROR($M681/INDEX('DETALLE CRONOLÓGICO'!$K$2:$K$4919,MATCH($A681,'DETALLE CRONOLÓGICO'!$A$2:$A$4919,0))-1,"")</f>
        <v/>
      </c>
      <c r="O681" s="6">
        <f>IFERROR($I681*3,"")</f>
        <v/>
      </c>
      <c r="P681" s="6">
        <f>IFERROR($I681*3.5,"")</f>
        <v/>
      </c>
      <c r="Q681" s="6">
        <f>IFERROR($I681*4,"")</f>
        <v/>
      </c>
      <c r="R681" s="6" t="n">
        <v>2920</v>
      </c>
      <c r="S681" s="4" t="n">
        <v>3</v>
      </c>
      <c r="T681" s="1" t="inlineStr">
        <is>
          <t>active</t>
        </is>
      </c>
      <c r="U681" s="8" t="n"/>
      <c r="V681" s="1" t="inlineStr">
        <is>
          <t>SIN PRECIO</t>
        </is>
      </c>
    </row>
    <row r="682">
      <c r="A682" s="1" t="inlineStr">
        <is>
          <t>42833577705612</t>
        </is>
      </c>
      <c r="B682" s="1" t="inlineStr">
        <is>
          <t>COLLAR CLAVO ROUND SILVER</t>
        </is>
      </c>
      <c r="C682" s="1" t="inlineStr">
        <is>
          <t>Stainless steel</t>
        </is>
      </c>
      <c r="D682" s="1" t="inlineStr">
        <is>
          <t>NANCY</t>
        </is>
      </c>
      <c r="E682" s="4">
        <f>COUNTIF('DETALLE CRONOLÓGICO'!$A$2:$A$4919,$A682)</f>
        <v/>
      </c>
      <c r="F682" s="4">
        <f>SUMIFS('DETALLE CRONOLÓGICO'!$I$2:$I$4919,'DETALLE CRONOLÓGICO'!$A$2:$A$4919,$A682)</f>
        <v/>
      </c>
      <c r="G682" s="1">
        <f>INDEX('DETALLE CRONOLÓGICO'!$D$2:$D$4919,MATCH($A682,'DETALLE CRONOLÓGICO'!$A$2:$A$4919,0))</f>
        <v/>
      </c>
      <c r="H682" s="1">
        <f>INDEX('DETALLE CRONOLÓGICO'!$D$2:$D$4919,MATCH($A682,'DETALLE CRONOLÓGICO'!$A$2:$A$4919,0)+$E682-1)</f>
        <v/>
      </c>
      <c r="I682" s="5">
        <f>IFERROR(SUMIFS('DETALLE CRONOLÓGICO'!$L$2:$L$4919,'DETALLE CRONOLÓGICO'!$A$2:$A$4919,$A682)/$F682,"")</f>
        <v/>
      </c>
      <c r="J682" s="6">
        <f>IFERROR(SUMIFS('DETALLE CRONOLÓGICO'!$K$2:$K$4919,'DETALLE CRONOLÓGICO'!$A$2:$A$4919,$A682)/$E682,"")</f>
        <v/>
      </c>
      <c r="K682" s="6">
        <f>_xlfn.MINIFS('DETALLE CRONOLÓGICO'!$K$2:$K$4919,'DETALLE CRONOLÓGICO'!$A$2:$A$4919,$A682)</f>
        <v/>
      </c>
      <c r="L682" s="6">
        <f>_xlfn.MAXIFS('DETALLE CRONOLÓGICO'!$K$2:$K$4919,'DETALLE CRONOLÓGICO'!$A$2:$A$4919,$A682)</f>
        <v/>
      </c>
      <c r="M682" s="6">
        <f>INDEX('DETALLE CRONOLÓGICO'!$K$2:$K$4919,MATCH($A682,'DETALLE CRONOLÓGICO'!$A$2:$A$4919,0)+$E682-1)</f>
        <v/>
      </c>
      <c r="N682" s="7">
        <f>IFERROR($M682/INDEX('DETALLE CRONOLÓGICO'!$K$2:$K$4919,MATCH($A682,'DETALLE CRONOLÓGICO'!$A$2:$A$4919,0))-1,"")</f>
        <v/>
      </c>
      <c r="O682" s="6">
        <f>IFERROR($I682*3,"")</f>
        <v/>
      </c>
      <c r="P682" s="6">
        <f>IFERROR($I682*3.5,"")</f>
        <v/>
      </c>
      <c r="Q682" s="6">
        <f>IFERROR($I682*4,"")</f>
        <v/>
      </c>
      <c r="R682" s="6" t="n">
        <v>650</v>
      </c>
      <c r="S682" s="4" t="n">
        <v>7</v>
      </c>
      <c r="T682" s="1" t="inlineStr">
        <is>
          <t>active</t>
        </is>
      </c>
      <c r="U682" s="8" t="n"/>
      <c r="V682" s="1" t="inlineStr">
        <is>
          <t>SIN PRECIO</t>
        </is>
      </c>
    </row>
    <row r="683">
      <c r="A683" s="1" t="inlineStr">
        <is>
          <t>42834310172300</t>
        </is>
      </c>
      <c r="B683" s="1" t="inlineStr">
        <is>
          <t>SANDALIAS CD MULE</t>
        </is>
      </c>
      <c r="C683" s="1" t="inlineStr">
        <is>
          <t>23cm</t>
        </is>
      </c>
      <c r="D683" s="1" t="inlineStr">
        <is>
          <t>ZOEY</t>
        </is>
      </c>
      <c r="E683" s="4">
        <f>COUNTIF('DETALLE CRONOLÓGICO'!$A$2:$A$4919,$A683)</f>
        <v/>
      </c>
      <c r="F683" s="4">
        <f>SUMIFS('DETALLE CRONOLÓGICO'!$I$2:$I$4919,'DETALLE CRONOLÓGICO'!$A$2:$A$4919,$A683)</f>
        <v/>
      </c>
      <c r="G683" s="1">
        <f>INDEX('DETALLE CRONOLÓGICO'!$D$2:$D$4919,MATCH($A683,'DETALLE CRONOLÓGICO'!$A$2:$A$4919,0))</f>
        <v/>
      </c>
      <c r="H683" s="1">
        <f>INDEX('DETALLE CRONOLÓGICO'!$D$2:$D$4919,MATCH($A683,'DETALLE CRONOLÓGICO'!$A$2:$A$4919,0)+$E683-1)</f>
        <v/>
      </c>
      <c r="I683" s="5">
        <f>IFERROR(SUMIFS('DETALLE CRONOLÓGICO'!$L$2:$L$4919,'DETALLE CRONOLÓGICO'!$A$2:$A$4919,$A683)/$F683,"")</f>
        <v/>
      </c>
      <c r="J683" s="6">
        <f>IFERROR(SUMIFS('DETALLE CRONOLÓGICO'!$K$2:$K$4919,'DETALLE CRONOLÓGICO'!$A$2:$A$4919,$A683)/$E683,"")</f>
        <v/>
      </c>
      <c r="K683" s="6">
        <f>_xlfn.MINIFS('DETALLE CRONOLÓGICO'!$K$2:$K$4919,'DETALLE CRONOLÓGICO'!$A$2:$A$4919,$A683)</f>
        <v/>
      </c>
      <c r="L683" s="6">
        <f>_xlfn.MAXIFS('DETALLE CRONOLÓGICO'!$K$2:$K$4919,'DETALLE CRONOLÓGICO'!$A$2:$A$4919,$A683)</f>
        <v/>
      </c>
      <c r="M683" s="6">
        <f>INDEX('DETALLE CRONOLÓGICO'!$K$2:$K$4919,MATCH($A683,'DETALLE CRONOLÓGICO'!$A$2:$A$4919,0)+$E683-1)</f>
        <v/>
      </c>
      <c r="N683" s="7">
        <f>IFERROR($M683/INDEX('DETALLE CRONOLÓGICO'!$K$2:$K$4919,MATCH($A683,'DETALLE CRONOLÓGICO'!$A$2:$A$4919,0))-1,"")</f>
        <v/>
      </c>
      <c r="O683" s="6">
        <f>IFERROR($I683*3,"")</f>
        <v/>
      </c>
      <c r="P683" s="6">
        <f>IFERROR($I683*3.5,"")</f>
        <v/>
      </c>
      <c r="Q683" s="6">
        <f>IFERROR($I683*4,"")</f>
        <v/>
      </c>
      <c r="R683" s="6" t="n">
        <v>3719</v>
      </c>
      <c r="S683" s="4" t="n">
        <v>7</v>
      </c>
      <c r="T683" s="1" t="inlineStr">
        <is>
          <t>active</t>
        </is>
      </c>
      <c r="U683" s="8" t="n"/>
      <c r="V683" s="1" t="inlineStr">
        <is>
          <t>SIN PRECIO</t>
        </is>
      </c>
    </row>
    <row r="684">
      <c r="A684" s="1" t="inlineStr">
        <is>
          <t>42834310205068</t>
        </is>
      </c>
      <c r="B684" s="1" t="inlineStr">
        <is>
          <t>SANDALIAS CD MULE</t>
        </is>
      </c>
      <c r="C684" s="1" t="inlineStr">
        <is>
          <t>25cm</t>
        </is>
      </c>
      <c r="D684" s="1" t="inlineStr">
        <is>
          <t>ZOEY</t>
        </is>
      </c>
      <c r="E684" s="4">
        <f>COUNTIF('DETALLE CRONOLÓGICO'!$A$2:$A$4919,$A684)</f>
        <v/>
      </c>
      <c r="F684" s="4">
        <f>SUMIFS('DETALLE CRONOLÓGICO'!$I$2:$I$4919,'DETALLE CRONOLÓGICO'!$A$2:$A$4919,$A684)</f>
        <v/>
      </c>
      <c r="G684" s="1">
        <f>INDEX('DETALLE CRONOLÓGICO'!$D$2:$D$4919,MATCH($A684,'DETALLE CRONOLÓGICO'!$A$2:$A$4919,0))</f>
        <v/>
      </c>
      <c r="H684" s="1">
        <f>INDEX('DETALLE CRONOLÓGICO'!$D$2:$D$4919,MATCH($A684,'DETALLE CRONOLÓGICO'!$A$2:$A$4919,0)+$E684-1)</f>
        <v/>
      </c>
      <c r="I684" s="5">
        <f>IFERROR(SUMIFS('DETALLE CRONOLÓGICO'!$L$2:$L$4919,'DETALLE CRONOLÓGICO'!$A$2:$A$4919,$A684)/$F684,"")</f>
        <v/>
      </c>
      <c r="J684" s="6">
        <f>IFERROR(SUMIFS('DETALLE CRONOLÓGICO'!$K$2:$K$4919,'DETALLE CRONOLÓGICO'!$A$2:$A$4919,$A684)/$E684,"")</f>
        <v/>
      </c>
      <c r="K684" s="6">
        <f>_xlfn.MINIFS('DETALLE CRONOLÓGICO'!$K$2:$K$4919,'DETALLE CRONOLÓGICO'!$A$2:$A$4919,$A684)</f>
        <v/>
      </c>
      <c r="L684" s="6">
        <f>_xlfn.MAXIFS('DETALLE CRONOLÓGICO'!$K$2:$K$4919,'DETALLE CRONOLÓGICO'!$A$2:$A$4919,$A684)</f>
        <v/>
      </c>
      <c r="M684" s="6">
        <f>INDEX('DETALLE CRONOLÓGICO'!$K$2:$K$4919,MATCH($A684,'DETALLE CRONOLÓGICO'!$A$2:$A$4919,0)+$E684-1)</f>
        <v/>
      </c>
      <c r="N684" s="7">
        <f>IFERROR($M684/INDEX('DETALLE CRONOLÓGICO'!$K$2:$K$4919,MATCH($A684,'DETALLE CRONOLÓGICO'!$A$2:$A$4919,0))-1,"")</f>
        <v/>
      </c>
      <c r="O684" s="6">
        <f>IFERROR($I684*3,"")</f>
        <v/>
      </c>
      <c r="P684" s="6">
        <f>IFERROR($I684*3.5,"")</f>
        <v/>
      </c>
      <c r="Q684" s="6">
        <f>IFERROR($I684*4,"")</f>
        <v/>
      </c>
      <c r="R684" s="6" t="n">
        <v>3719</v>
      </c>
      <c r="S684" s="4" t="n">
        <v>1</v>
      </c>
      <c r="T684" s="1" t="inlineStr">
        <is>
          <t>active</t>
        </is>
      </c>
      <c r="U684" s="8" t="n"/>
      <c r="V684" s="1" t="inlineStr">
        <is>
          <t>SIN PRECIO</t>
        </is>
      </c>
    </row>
    <row r="685">
      <c r="A685" s="1" t="inlineStr">
        <is>
          <t>42834310237836</t>
        </is>
      </c>
      <c r="B685" s="1" t="inlineStr">
        <is>
          <t>SANDALIAS CD MULE</t>
        </is>
      </c>
      <c r="C685" s="1" t="inlineStr">
        <is>
          <t>25cm</t>
        </is>
      </c>
      <c r="D685" s="1" t="inlineStr">
        <is>
          <t>ZOEY</t>
        </is>
      </c>
      <c r="E685" s="4">
        <f>COUNTIF('DETALLE CRONOLÓGICO'!$A$2:$A$4919,$A685)</f>
        <v/>
      </c>
      <c r="F685" s="4">
        <f>SUMIFS('DETALLE CRONOLÓGICO'!$I$2:$I$4919,'DETALLE CRONOLÓGICO'!$A$2:$A$4919,$A685)</f>
        <v/>
      </c>
      <c r="G685" s="1">
        <f>INDEX('DETALLE CRONOLÓGICO'!$D$2:$D$4919,MATCH($A685,'DETALLE CRONOLÓGICO'!$A$2:$A$4919,0))</f>
        <v/>
      </c>
      <c r="H685" s="1">
        <f>INDEX('DETALLE CRONOLÓGICO'!$D$2:$D$4919,MATCH($A685,'DETALLE CRONOLÓGICO'!$A$2:$A$4919,0)+$E685-1)</f>
        <v/>
      </c>
      <c r="I685" s="5">
        <f>IFERROR(SUMIFS('DETALLE CRONOLÓGICO'!$L$2:$L$4919,'DETALLE CRONOLÓGICO'!$A$2:$A$4919,$A685)/$F685,"")</f>
        <v/>
      </c>
      <c r="J685" s="6">
        <f>IFERROR(SUMIFS('DETALLE CRONOLÓGICO'!$K$2:$K$4919,'DETALLE CRONOLÓGICO'!$A$2:$A$4919,$A685)/$E685,"")</f>
        <v/>
      </c>
      <c r="K685" s="6">
        <f>_xlfn.MINIFS('DETALLE CRONOLÓGICO'!$K$2:$K$4919,'DETALLE CRONOLÓGICO'!$A$2:$A$4919,$A685)</f>
        <v/>
      </c>
      <c r="L685" s="6">
        <f>_xlfn.MAXIFS('DETALLE CRONOLÓGICO'!$K$2:$K$4919,'DETALLE CRONOLÓGICO'!$A$2:$A$4919,$A685)</f>
        <v/>
      </c>
      <c r="M685" s="6">
        <f>INDEX('DETALLE CRONOLÓGICO'!$K$2:$K$4919,MATCH($A685,'DETALLE CRONOLÓGICO'!$A$2:$A$4919,0)+$E685-1)</f>
        <v/>
      </c>
      <c r="N685" s="7">
        <f>IFERROR($M685/INDEX('DETALLE CRONOLÓGICO'!$K$2:$K$4919,MATCH($A685,'DETALLE CRONOLÓGICO'!$A$2:$A$4919,0))-1,"")</f>
        <v/>
      </c>
      <c r="O685" s="6">
        <f>IFERROR($I685*3,"")</f>
        <v/>
      </c>
      <c r="P685" s="6">
        <f>IFERROR($I685*3.5,"")</f>
        <v/>
      </c>
      <c r="Q685" s="6">
        <f>IFERROR($I685*4,"")</f>
        <v/>
      </c>
      <c r="R685" s="6" t="n">
        <v>3719</v>
      </c>
      <c r="S685" s="4" t="n">
        <v>0</v>
      </c>
      <c r="T685" s="1" t="inlineStr">
        <is>
          <t>active</t>
        </is>
      </c>
      <c r="U685" s="8" t="n"/>
      <c r="V685" s="1" t="inlineStr">
        <is>
          <t>SIN PRECIO</t>
        </is>
      </c>
    </row>
    <row r="686">
      <c r="A686" s="1" t="inlineStr">
        <is>
          <t>42834319871628</t>
        </is>
      </c>
      <c r="B686" s="1" t="inlineStr">
        <is>
          <t>SANDALIAS DG</t>
        </is>
      </c>
      <c r="C686" s="1" t="inlineStr">
        <is>
          <t>27cm</t>
        </is>
      </c>
      <c r="D686" s="1" t="inlineStr">
        <is>
          <t>ZOEY</t>
        </is>
      </c>
      <c r="E686" s="4">
        <f>COUNTIF('DETALLE CRONOLÓGICO'!$A$2:$A$4919,$A686)</f>
        <v/>
      </c>
      <c r="F686" s="4">
        <f>SUMIFS('DETALLE CRONOLÓGICO'!$I$2:$I$4919,'DETALLE CRONOLÓGICO'!$A$2:$A$4919,$A686)</f>
        <v/>
      </c>
      <c r="G686" s="1">
        <f>INDEX('DETALLE CRONOLÓGICO'!$D$2:$D$4919,MATCH($A686,'DETALLE CRONOLÓGICO'!$A$2:$A$4919,0))</f>
        <v/>
      </c>
      <c r="H686" s="1">
        <f>INDEX('DETALLE CRONOLÓGICO'!$D$2:$D$4919,MATCH($A686,'DETALLE CRONOLÓGICO'!$A$2:$A$4919,0)+$E686-1)</f>
        <v/>
      </c>
      <c r="I686" s="5">
        <f>IFERROR(SUMIFS('DETALLE CRONOLÓGICO'!$L$2:$L$4919,'DETALLE CRONOLÓGICO'!$A$2:$A$4919,$A686)/$F686,"")</f>
        <v/>
      </c>
      <c r="J686" s="6">
        <f>IFERROR(SUMIFS('DETALLE CRONOLÓGICO'!$K$2:$K$4919,'DETALLE CRONOLÓGICO'!$A$2:$A$4919,$A686)/$E686,"")</f>
        <v/>
      </c>
      <c r="K686" s="6">
        <f>_xlfn.MINIFS('DETALLE CRONOLÓGICO'!$K$2:$K$4919,'DETALLE CRONOLÓGICO'!$A$2:$A$4919,$A686)</f>
        <v/>
      </c>
      <c r="L686" s="6">
        <f>_xlfn.MAXIFS('DETALLE CRONOLÓGICO'!$K$2:$K$4919,'DETALLE CRONOLÓGICO'!$A$2:$A$4919,$A686)</f>
        <v/>
      </c>
      <c r="M686" s="6">
        <f>INDEX('DETALLE CRONOLÓGICO'!$K$2:$K$4919,MATCH($A686,'DETALLE CRONOLÓGICO'!$A$2:$A$4919,0)+$E686-1)</f>
        <v/>
      </c>
      <c r="N686" s="7">
        <f>IFERROR($M686/INDEX('DETALLE CRONOLÓGICO'!$K$2:$K$4919,MATCH($A686,'DETALLE CRONOLÓGICO'!$A$2:$A$4919,0))-1,"")</f>
        <v/>
      </c>
      <c r="O686" s="6">
        <f>IFERROR($I686*3,"")</f>
        <v/>
      </c>
      <c r="P686" s="6">
        <f>IFERROR($I686*3.5,"")</f>
        <v/>
      </c>
      <c r="Q686" s="6">
        <f>IFERROR($I686*4,"")</f>
        <v/>
      </c>
      <c r="R686" s="6" t="n">
        <v>2534</v>
      </c>
      <c r="S686" s="4" t="n">
        <v>1</v>
      </c>
      <c r="T686" s="1" t="inlineStr">
        <is>
          <t>active</t>
        </is>
      </c>
      <c r="U686" s="8" t="n"/>
      <c r="V686" s="1" t="inlineStr">
        <is>
          <t>SIN PRECIO</t>
        </is>
      </c>
    </row>
    <row r="687">
      <c r="A687" s="1" t="inlineStr">
        <is>
          <t>42834319904396</t>
        </is>
      </c>
      <c r="B687" s="1" t="inlineStr">
        <is>
          <t>SANDALIAS DG</t>
        </is>
      </c>
      <c r="C687" s="1" t="inlineStr">
        <is>
          <t>28cm</t>
        </is>
      </c>
      <c r="D687" s="1" t="inlineStr">
        <is>
          <t>ZOEY</t>
        </is>
      </c>
      <c r="E687" s="4">
        <f>COUNTIF('DETALLE CRONOLÓGICO'!$A$2:$A$4919,$A687)</f>
        <v/>
      </c>
      <c r="F687" s="4">
        <f>SUMIFS('DETALLE CRONOLÓGICO'!$I$2:$I$4919,'DETALLE CRONOLÓGICO'!$A$2:$A$4919,$A687)</f>
        <v/>
      </c>
      <c r="G687" s="1">
        <f>INDEX('DETALLE CRONOLÓGICO'!$D$2:$D$4919,MATCH($A687,'DETALLE CRONOLÓGICO'!$A$2:$A$4919,0))</f>
        <v/>
      </c>
      <c r="H687" s="1">
        <f>INDEX('DETALLE CRONOLÓGICO'!$D$2:$D$4919,MATCH($A687,'DETALLE CRONOLÓGICO'!$A$2:$A$4919,0)+$E687-1)</f>
        <v/>
      </c>
      <c r="I687" s="5">
        <f>IFERROR(SUMIFS('DETALLE CRONOLÓGICO'!$L$2:$L$4919,'DETALLE CRONOLÓGICO'!$A$2:$A$4919,$A687)/$F687,"")</f>
        <v/>
      </c>
      <c r="J687" s="6">
        <f>IFERROR(SUMIFS('DETALLE CRONOLÓGICO'!$K$2:$K$4919,'DETALLE CRONOLÓGICO'!$A$2:$A$4919,$A687)/$E687,"")</f>
        <v/>
      </c>
      <c r="K687" s="6">
        <f>_xlfn.MINIFS('DETALLE CRONOLÓGICO'!$K$2:$K$4919,'DETALLE CRONOLÓGICO'!$A$2:$A$4919,$A687)</f>
        <v/>
      </c>
      <c r="L687" s="6">
        <f>_xlfn.MAXIFS('DETALLE CRONOLÓGICO'!$K$2:$K$4919,'DETALLE CRONOLÓGICO'!$A$2:$A$4919,$A687)</f>
        <v/>
      </c>
      <c r="M687" s="6">
        <f>INDEX('DETALLE CRONOLÓGICO'!$K$2:$K$4919,MATCH($A687,'DETALLE CRONOLÓGICO'!$A$2:$A$4919,0)+$E687-1)</f>
        <v/>
      </c>
      <c r="N687" s="7">
        <f>IFERROR($M687/INDEX('DETALLE CRONOLÓGICO'!$K$2:$K$4919,MATCH($A687,'DETALLE CRONOLÓGICO'!$A$2:$A$4919,0))-1,"")</f>
        <v/>
      </c>
      <c r="O687" s="6">
        <f>IFERROR($I687*3,"")</f>
        <v/>
      </c>
      <c r="P687" s="6">
        <f>IFERROR($I687*3.5,"")</f>
        <v/>
      </c>
      <c r="Q687" s="6">
        <f>IFERROR($I687*4,"")</f>
        <v/>
      </c>
      <c r="R687" s="6" t="n">
        <v>3899</v>
      </c>
      <c r="S687" s="4" t="n">
        <v>1</v>
      </c>
      <c r="T687" s="1" t="inlineStr">
        <is>
          <t>active</t>
        </is>
      </c>
      <c r="U687" s="8" t="n"/>
      <c r="V687" s="1" t="inlineStr">
        <is>
          <t>SIN PRECIO</t>
        </is>
      </c>
    </row>
    <row r="688">
      <c r="A688" s="1" t="inlineStr">
        <is>
          <t>42951540310156</t>
        </is>
      </c>
      <c r="B688" s="1" t="inlineStr">
        <is>
          <t>ARRACADAS GC SILVER</t>
        </is>
      </c>
      <c r="C688" s="1" t="inlineStr">
        <is>
          <t>Default Title</t>
        </is>
      </c>
      <c r="D688" s="1" t="inlineStr">
        <is>
          <t>NANCY</t>
        </is>
      </c>
      <c r="E688" s="4">
        <f>COUNTIF('DETALLE CRONOLÓGICO'!$A$2:$A$4919,$A688)</f>
        <v/>
      </c>
      <c r="F688" s="4">
        <f>SUMIFS('DETALLE CRONOLÓGICO'!$I$2:$I$4919,'DETALLE CRONOLÓGICO'!$A$2:$A$4919,$A688)</f>
        <v/>
      </c>
      <c r="G688" s="1">
        <f>INDEX('DETALLE CRONOLÓGICO'!$D$2:$D$4919,MATCH($A688,'DETALLE CRONOLÓGICO'!$A$2:$A$4919,0))</f>
        <v/>
      </c>
      <c r="H688" s="1">
        <f>INDEX('DETALLE CRONOLÓGICO'!$D$2:$D$4919,MATCH($A688,'DETALLE CRONOLÓGICO'!$A$2:$A$4919,0)+$E688-1)</f>
        <v/>
      </c>
      <c r="I688" s="5">
        <f>IFERROR(SUMIFS('DETALLE CRONOLÓGICO'!$L$2:$L$4919,'DETALLE CRONOLÓGICO'!$A$2:$A$4919,$A688)/$F688,"")</f>
        <v/>
      </c>
      <c r="J688" s="6">
        <f>IFERROR(SUMIFS('DETALLE CRONOLÓGICO'!$K$2:$K$4919,'DETALLE CRONOLÓGICO'!$A$2:$A$4919,$A688)/$E688,"")</f>
        <v/>
      </c>
      <c r="K688" s="6">
        <f>_xlfn.MINIFS('DETALLE CRONOLÓGICO'!$K$2:$K$4919,'DETALLE CRONOLÓGICO'!$A$2:$A$4919,$A688)</f>
        <v/>
      </c>
      <c r="L688" s="6">
        <f>_xlfn.MAXIFS('DETALLE CRONOLÓGICO'!$K$2:$K$4919,'DETALLE CRONOLÓGICO'!$A$2:$A$4919,$A688)</f>
        <v/>
      </c>
      <c r="M688" s="6">
        <f>INDEX('DETALLE CRONOLÓGICO'!$K$2:$K$4919,MATCH($A688,'DETALLE CRONOLÓGICO'!$A$2:$A$4919,0)+$E688-1)</f>
        <v/>
      </c>
      <c r="N688" s="7">
        <f>IFERROR($M688/INDEX('DETALLE CRONOLÓGICO'!$K$2:$K$4919,MATCH($A688,'DETALLE CRONOLÓGICO'!$A$2:$A$4919,0))-1,"")</f>
        <v/>
      </c>
      <c r="O688" s="6">
        <f>IFERROR($I688*3,"")</f>
        <v/>
      </c>
      <c r="P688" s="6">
        <f>IFERROR($I688*3.5,"")</f>
        <v/>
      </c>
      <c r="Q688" s="6">
        <f>IFERROR($I688*4,"")</f>
        <v/>
      </c>
      <c r="R688" s="6" t="n">
        <v>699</v>
      </c>
      <c r="S688" s="4" t="n">
        <v>3</v>
      </c>
      <c r="T688" s="1" t="inlineStr">
        <is>
          <t>active</t>
        </is>
      </c>
      <c r="U688" s="8" t="n"/>
      <c r="V688" s="1" t="inlineStr">
        <is>
          <t>SIN PRECIO</t>
        </is>
      </c>
    </row>
    <row r="689">
      <c r="A689" s="1" t="inlineStr">
        <is>
          <t>42951547486348</t>
        </is>
      </c>
      <c r="B689" s="1" t="inlineStr">
        <is>
          <t>ANILLO CD REVOLUTION</t>
        </is>
      </c>
      <c r="C689" s="1" t="n">
        <v>8</v>
      </c>
      <c r="D689" s="1" t="inlineStr">
        <is>
          <t>NANCY</t>
        </is>
      </c>
      <c r="E689" s="4">
        <f>COUNTIF('DETALLE CRONOLÓGICO'!$A$2:$A$4919,$A689)</f>
        <v/>
      </c>
      <c r="F689" s="4">
        <f>SUMIFS('DETALLE CRONOLÓGICO'!$I$2:$I$4919,'DETALLE CRONOLÓGICO'!$A$2:$A$4919,$A689)</f>
        <v/>
      </c>
      <c r="G689" s="1">
        <f>INDEX('DETALLE CRONOLÓGICO'!$D$2:$D$4919,MATCH($A689,'DETALLE CRONOLÓGICO'!$A$2:$A$4919,0))</f>
        <v/>
      </c>
      <c r="H689" s="1">
        <f>INDEX('DETALLE CRONOLÓGICO'!$D$2:$D$4919,MATCH($A689,'DETALLE CRONOLÓGICO'!$A$2:$A$4919,0)+$E689-1)</f>
        <v/>
      </c>
      <c r="I689" s="5">
        <f>IFERROR(SUMIFS('DETALLE CRONOLÓGICO'!$L$2:$L$4919,'DETALLE CRONOLÓGICO'!$A$2:$A$4919,$A689)/$F689,"")</f>
        <v/>
      </c>
      <c r="J689" s="6">
        <f>IFERROR(SUMIFS('DETALLE CRONOLÓGICO'!$K$2:$K$4919,'DETALLE CRONOLÓGICO'!$A$2:$A$4919,$A689)/$E689,"")</f>
        <v/>
      </c>
      <c r="K689" s="6">
        <f>_xlfn.MINIFS('DETALLE CRONOLÓGICO'!$K$2:$K$4919,'DETALLE CRONOLÓGICO'!$A$2:$A$4919,$A689)</f>
        <v/>
      </c>
      <c r="L689" s="6">
        <f>_xlfn.MAXIFS('DETALLE CRONOLÓGICO'!$K$2:$K$4919,'DETALLE CRONOLÓGICO'!$A$2:$A$4919,$A689)</f>
        <v/>
      </c>
      <c r="M689" s="6">
        <f>INDEX('DETALLE CRONOLÓGICO'!$K$2:$K$4919,MATCH($A689,'DETALLE CRONOLÓGICO'!$A$2:$A$4919,0)+$E689-1)</f>
        <v/>
      </c>
      <c r="N689" s="7">
        <f>IFERROR($M689/INDEX('DETALLE CRONOLÓGICO'!$K$2:$K$4919,MATCH($A689,'DETALLE CRONOLÓGICO'!$A$2:$A$4919,0))-1,"")</f>
        <v/>
      </c>
      <c r="O689" s="6">
        <f>IFERROR($I689*3,"")</f>
        <v/>
      </c>
      <c r="P689" s="6">
        <f>IFERROR($I689*3.5,"")</f>
        <v/>
      </c>
      <c r="Q689" s="6">
        <f>IFERROR($I689*4,"")</f>
        <v/>
      </c>
      <c r="R689" s="6" t="n">
        <v>499</v>
      </c>
      <c r="S689" s="4" t="n">
        <v>1</v>
      </c>
      <c r="T689" s="1" t="inlineStr">
        <is>
          <t>active</t>
        </is>
      </c>
      <c r="U689" s="8" t="n"/>
      <c r="V689" s="1" t="inlineStr">
        <is>
          <t>SIN PRECIO</t>
        </is>
      </c>
    </row>
    <row r="690">
      <c r="A690" s="1" t="inlineStr">
        <is>
          <t>42981553012876</t>
        </is>
      </c>
      <c r="B690" s="1" t="inlineStr">
        <is>
          <t>ARETES ESSENTIAL LV GOLD</t>
        </is>
      </c>
      <c r="C690" s="1" t="inlineStr">
        <is>
          <t>Default Title</t>
        </is>
      </c>
      <c r="D690" s="1" t="inlineStr">
        <is>
          <t>NANCY</t>
        </is>
      </c>
      <c r="E690" s="4">
        <f>COUNTIF('DETALLE CRONOLÓGICO'!$A$2:$A$4919,$A690)</f>
        <v/>
      </c>
      <c r="F690" s="4">
        <f>SUMIFS('DETALLE CRONOLÓGICO'!$I$2:$I$4919,'DETALLE CRONOLÓGICO'!$A$2:$A$4919,$A690)</f>
        <v/>
      </c>
      <c r="G690" s="1">
        <f>INDEX('DETALLE CRONOLÓGICO'!$D$2:$D$4919,MATCH($A690,'DETALLE CRONOLÓGICO'!$A$2:$A$4919,0))</f>
        <v/>
      </c>
      <c r="H690" s="1">
        <f>INDEX('DETALLE CRONOLÓGICO'!$D$2:$D$4919,MATCH($A690,'DETALLE CRONOLÓGICO'!$A$2:$A$4919,0)+$E690-1)</f>
        <v/>
      </c>
      <c r="I690" s="5">
        <f>IFERROR(SUMIFS('DETALLE CRONOLÓGICO'!$L$2:$L$4919,'DETALLE CRONOLÓGICO'!$A$2:$A$4919,$A690)/$F690,"")</f>
        <v/>
      </c>
      <c r="J690" s="6">
        <f>IFERROR(SUMIFS('DETALLE CRONOLÓGICO'!$K$2:$K$4919,'DETALLE CRONOLÓGICO'!$A$2:$A$4919,$A690)/$E690,"")</f>
        <v/>
      </c>
      <c r="K690" s="6">
        <f>_xlfn.MINIFS('DETALLE CRONOLÓGICO'!$K$2:$K$4919,'DETALLE CRONOLÓGICO'!$A$2:$A$4919,$A690)</f>
        <v/>
      </c>
      <c r="L690" s="6">
        <f>_xlfn.MAXIFS('DETALLE CRONOLÓGICO'!$K$2:$K$4919,'DETALLE CRONOLÓGICO'!$A$2:$A$4919,$A690)</f>
        <v/>
      </c>
      <c r="M690" s="6">
        <f>INDEX('DETALLE CRONOLÓGICO'!$K$2:$K$4919,MATCH($A690,'DETALLE CRONOLÓGICO'!$A$2:$A$4919,0)+$E690-1)</f>
        <v/>
      </c>
      <c r="N690" s="7">
        <f>IFERROR($M690/INDEX('DETALLE CRONOLÓGICO'!$K$2:$K$4919,MATCH($A690,'DETALLE CRONOLÓGICO'!$A$2:$A$4919,0))-1,"")</f>
        <v/>
      </c>
      <c r="O690" s="6">
        <f>IFERROR($I690*3,"")</f>
        <v/>
      </c>
      <c r="P690" s="6">
        <f>IFERROR($I690*3.5,"")</f>
        <v/>
      </c>
      <c r="Q690" s="6">
        <f>IFERROR($I690*4,"")</f>
        <v/>
      </c>
      <c r="R690" s="6" t="n">
        <v>545</v>
      </c>
      <c r="S690" s="4" t="n">
        <v>3</v>
      </c>
      <c r="T690" s="1" t="inlineStr">
        <is>
          <t>active</t>
        </is>
      </c>
      <c r="U690" s="8" t="n"/>
      <c r="V690" s="1" t="inlineStr">
        <is>
          <t>SIN PRECIO</t>
        </is>
      </c>
    </row>
    <row r="691">
      <c r="A691" s="1" t="inlineStr">
        <is>
          <t>42981569396876</t>
        </is>
      </c>
      <c r="B691" s="1" t="inlineStr">
        <is>
          <t>ARETES ESSENTIAL LV SILVER</t>
        </is>
      </c>
      <c r="C691" s="1" t="inlineStr">
        <is>
          <t>Default Title</t>
        </is>
      </c>
      <c r="D691" s="1" t="inlineStr">
        <is>
          <t>NANCY</t>
        </is>
      </c>
      <c r="E691" s="4">
        <f>COUNTIF('DETALLE CRONOLÓGICO'!$A$2:$A$4919,$A691)</f>
        <v/>
      </c>
      <c r="F691" s="4">
        <f>SUMIFS('DETALLE CRONOLÓGICO'!$I$2:$I$4919,'DETALLE CRONOLÓGICO'!$A$2:$A$4919,$A691)</f>
        <v/>
      </c>
      <c r="G691" s="1">
        <f>INDEX('DETALLE CRONOLÓGICO'!$D$2:$D$4919,MATCH($A691,'DETALLE CRONOLÓGICO'!$A$2:$A$4919,0))</f>
        <v/>
      </c>
      <c r="H691" s="1">
        <f>INDEX('DETALLE CRONOLÓGICO'!$D$2:$D$4919,MATCH($A691,'DETALLE CRONOLÓGICO'!$A$2:$A$4919,0)+$E691-1)</f>
        <v/>
      </c>
      <c r="I691" s="5">
        <f>IFERROR(SUMIFS('DETALLE CRONOLÓGICO'!$L$2:$L$4919,'DETALLE CRONOLÓGICO'!$A$2:$A$4919,$A691)/$F691,"")</f>
        <v/>
      </c>
      <c r="J691" s="6">
        <f>IFERROR(SUMIFS('DETALLE CRONOLÓGICO'!$K$2:$K$4919,'DETALLE CRONOLÓGICO'!$A$2:$A$4919,$A691)/$E691,"")</f>
        <v/>
      </c>
      <c r="K691" s="6">
        <f>_xlfn.MINIFS('DETALLE CRONOLÓGICO'!$K$2:$K$4919,'DETALLE CRONOLÓGICO'!$A$2:$A$4919,$A691)</f>
        <v/>
      </c>
      <c r="L691" s="6">
        <f>_xlfn.MAXIFS('DETALLE CRONOLÓGICO'!$K$2:$K$4919,'DETALLE CRONOLÓGICO'!$A$2:$A$4919,$A691)</f>
        <v/>
      </c>
      <c r="M691" s="6">
        <f>INDEX('DETALLE CRONOLÓGICO'!$K$2:$K$4919,MATCH($A691,'DETALLE CRONOLÓGICO'!$A$2:$A$4919,0)+$E691-1)</f>
        <v/>
      </c>
      <c r="N691" s="7">
        <f>IFERROR($M691/INDEX('DETALLE CRONOLÓGICO'!$K$2:$K$4919,MATCH($A691,'DETALLE CRONOLÓGICO'!$A$2:$A$4919,0))-1,"")</f>
        <v/>
      </c>
      <c r="O691" s="6">
        <f>IFERROR($I691*3,"")</f>
        <v/>
      </c>
      <c r="P691" s="6">
        <f>IFERROR($I691*3.5,"")</f>
        <v/>
      </c>
      <c r="Q691" s="6">
        <f>IFERROR($I691*4,"")</f>
        <v/>
      </c>
      <c r="R691" s="6" t="n">
        <v>499</v>
      </c>
      <c r="S691" s="4" t="n">
        <v>7</v>
      </c>
      <c r="T691" s="1" t="inlineStr">
        <is>
          <t>active</t>
        </is>
      </c>
      <c r="U691" s="8" t="n"/>
      <c r="V691" s="1" t="inlineStr">
        <is>
          <t>SIN PRECIO</t>
        </is>
      </c>
    </row>
    <row r="692">
      <c r="A692" s="1" t="inlineStr">
        <is>
          <t>42981580832908</t>
        </is>
      </c>
      <c r="B692" s="1" t="inlineStr">
        <is>
          <t>ANILLO LV VOLT MULTI</t>
        </is>
      </c>
      <c r="C692" s="1" t="inlineStr">
        <is>
          <t>Default Title</t>
        </is>
      </c>
      <c r="D692" s="1" t="inlineStr">
        <is>
          <t>NANCY</t>
        </is>
      </c>
      <c r="E692" s="4">
        <f>COUNTIF('DETALLE CRONOLÓGICO'!$A$2:$A$4919,$A692)</f>
        <v/>
      </c>
      <c r="F692" s="4">
        <f>SUMIFS('DETALLE CRONOLÓGICO'!$I$2:$I$4919,'DETALLE CRONOLÓGICO'!$A$2:$A$4919,$A692)</f>
        <v/>
      </c>
      <c r="G692" s="1">
        <f>INDEX('DETALLE CRONOLÓGICO'!$D$2:$D$4919,MATCH($A692,'DETALLE CRONOLÓGICO'!$A$2:$A$4919,0))</f>
        <v/>
      </c>
      <c r="H692" s="1">
        <f>INDEX('DETALLE CRONOLÓGICO'!$D$2:$D$4919,MATCH($A692,'DETALLE CRONOLÓGICO'!$A$2:$A$4919,0)+$E692-1)</f>
        <v/>
      </c>
      <c r="I692" s="5">
        <f>IFERROR(SUMIFS('DETALLE CRONOLÓGICO'!$L$2:$L$4919,'DETALLE CRONOLÓGICO'!$A$2:$A$4919,$A692)/$F692,"")</f>
        <v/>
      </c>
      <c r="J692" s="6">
        <f>IFERROR(SUMIFS('DETALLE CRONOLÓGICO'!$K$2:$K$4919,'DETALLE CRONOLÓGICO'!$A$2:$A$4919,$A692)/$E692,"")</f>
        <v/>
      </c>
      <c r="K692" s="6">
        <f>_xlfn.MINIFS('DETALLE CRONOLÓGICO'!$K$2:$K$4919,'DETALLE CRONOLÓGICO'!$A$2:$A$4919,$A692)</f>
        <v/>
      </c>
      <c r="L692" s="6">
        <f>_xlfn.MAXIFS('DETALLE CRONOLÓGICO'!$K$2:$K$4919,'DETALLE CRONOLÓGICO'!$A$2:$A$4919,$A692)</f>
        <v/>
      </c>
      <c r="M692" s="6">
        <f>INDEX('DETALLE CRONOLÓGICO'!$K$2:$K$4919,MATCH($A692,'DETALLE CRONOLÓGICO'!$A$2:$A$4919,0)+$E692-1)</f>
        <v/>
      </c>
      <c r="N692" s="7">
        <f>IFERROR($M692/INDEX('DETALLE CRONOLÓGICO'!$K$2:$K$4919,MATCH($A692,'DETALLE CRONOLÓGICO'!$A$2:$A$4919,0))-1,"")</f>
        <v/>
      </c>
      <c r="O692" s="6">
        <f>IFERROR($I692*3,"")</f>
        <v/>
      </c>
      <c r="P692" s="6">
        <f>IFERROR($I692*3.5,"")</f>
        <v/>
      </c>
      <c r="Q692" s="6">
        <f>IFERROR($I692*4,"")</f>
        <v/>
      </c>
      <c r="R692" s="6" t="n">
        <v>466</v>
      </c>
      <c r="S692" s="4" t="n">
        <v>0</v>
      </c>
      <c r="T692" s="1" t="inlineStr">
        <is>
          <t>active</t>
        </is>
      </c>
      <c r="U692" s="8" t="n"/>
      <c r="V692" s="1" t="inlineStr">
        <is>
          <t>SIN PRECIO</t>
        </is>
      </c>
    </row>
    <row r="693">
      <c r="A693" s="1" t="inlineStr">
        <is>
          <t>42981601575052</t>
        </is>
      </c>
      <c r="B693" s="1" t="inlineStr">
        <is>
          <t>ANILLO ESSENTIAL V PERLE</t>
        </is>
      </c>
      <c r="C693" s="1" t="inlineStr">
        <is>
          <t>Default Title</t>
        </is>
      </c>
      <c r="D693" s="1" t="inlineStr">
        <is>
          <t>NANCY</t>
        </is>
      </c>
      <c r="E693" s="4">
        <f>COUNTIF('DETALLE CRONOLÓGICO'!$A$2:$A$4919,$A693)</f>
        <v/>
      </c>
      <c r="F693" s="4">
        <f>SUMIFS('DETALLE CRONOLÓGICO'!$I$2:$I$4919,'DETALLE CRONOLÓGICO'!$A$2:$A$4919,$A693)</f>
        <v/>
      </c>
      <c r="G693" s="1">
        <f>INDEX('DETALLE CRONOLÓGICO'!$D$2:$D$4919,MATCH($A693,'DETALLE CRONOLÓGICO'!$A$2:$A$4919,0))</f>
        <v/>
      </c>
      <c r="H693" s="1">
        <f>INDEX('DETALLE CRONOLÓGICO'!$D$2:$D$4919,MATCH($A693,'DETALLE CRONOLÓGICO'!$A$2:$A$4919,0)+$E693-1)</f>
        <v/>
      </c>
      <c r="I693" s="5">
        <f>IFERROR(SUMIFS('DETALLE CRONOLÓGICO'!$L$2:$L$4919,'DETALLE CRONOLÓGICO'!$A$2:$A$4919,$A693)/$F693,"")</f>
        <v/>
      </c>
      <c r="J693" s="6">
        <f>IFERROR(SUMIFS('DETALLE CRONOLÓGICO'!$K$2:$K$4919,'DETALLE CRONOLÓGICO'!$A$2:$A$4919,$A693)/$E693,"")</f>
        <v/>
      </c>
      <c r="K693" s="6">
        <f>_xlfn.MINIFS('DETALLE CRONOLÓGICO'!$K$2:$K$4919,'DETALLE CRONOLÓGICO'!$A$2:$A$4919,$A693)</f>
        <v/>
      </c>
      <c r="L693" s="6">
        <f>_xlfn.MAXIFS('DETALLE CRONOLÓGICO'!$K$2:$K$4919,'DETALLE CRONOLÓGICO'!$A$2:$A$4919,$A693)</f>
        <v/>
      </c>
      <c r="M693" s="6">
        <f>INDEX('DETALLE CRONOLÓGICO'!$K$2:$K$4919,MATCH($A693,'DETALLE CRONOLÓGICO'!$A$2:$A$4919,0)+$E693-1)</f>
        <v/>
      </c>
      <c r="N693" s="7">
        <f>IFERROR($M693/INDEX('DETALLE CRONOLÓGICO'!$K$2:$K$4919,MATCH($A693,'DETALLE CRONOLÓGICO'!$A$2:$A$4919,0))-1,"")</f>
        <v/>
      </c>
      <c r="O693" s="6">
        <f>IFERROR($I693*3,"")</f>
        <v/>
      </c>
      <c r="P693" s="6">
        <f>IFERROR($I693*3.5,"")</f>
        <v/>
      </c>
      <c r="Q693" s="6">
        <f>IFERROR($I693*4,"")</f>
        <v/>
      </c>
      <c r="R693" s="6" t="n">
        <v>250</v>
      </c>
      <c r="S693" s="4" t="n">
        <v>0</v>
      </c>
      <c r="T693" s="1" t="inlineStr">
        <is>
          <t>active</t>
        </is>
      </c>
      <c r="U693" s="8" t="n"/>
      <c r="V693" s="1" t="inlineStr">
        <is>
          <t>SIN PRECIO</t>
        </is>
      </c>
    </row>
    <row r="694">
      <c r="A694" s="1" t="inlineStr">
        <is>
          <t>42981628018828</t>
        </is>
      </c>
      <c r="B694" s="1" t="inlineStr">
        <is>
          <t>ANILLO BLOSSOM STAR ROSEGOLD</t>
        </is>
      </c>
      <c r="C694" s="1" t="inlineStr">
        <is>
          <t>Regular</t>
        </is>
      </c>
      <c r="D694" s="1" t="inlineStr">
        <is>
          <t>NANCY</t>
        </is>
      </c>
      <c r="E694" s="4">
        <f>COUNTIF('DETALLE CRONOLÓGICO'!$A$2:$A$4919,$A694)</f>
        <v/>
      </c>
      <c r="F694" s="4">
        <f>SUMIFS('DETALLE CRONOLÓGICO'!$I$2:$I$4919,'DETALLE CRONOLÓGICO'!$A$2:$A$4919,$A694)</f>
        <v/>
      </c>
      <c r="G694" s="1">
        <f>INDEX('DETALLE CRONOLÓGICO'!$D$2:$D$4919,MATCH($A694,'DETALLE CRONOLÓGICO'!$A$2:$A$4919,0))</f>
        <v/>
      </c>
      <c r="H694" s="1">
        <f>INDEX('DETALLE CRONOLÓGICO'!$D$2:$D$4919,MATCH($A694,'DETALLE CRONOLÓGICO'!$A$2:$A$4919,0)+$E694-1)</f>
        <v/>
      </c>
      <c r="I694" s="5">
        <f>IFERROR(SUMIFS('DETALLE CRONOLÓGICO'!$L$2:$L$4919,'DETALLE CRONOLÓGICO'!$A$2:$A$4919,$A694)/$F694,"")</f>
        <v/>
      </c>
      <c r="J694" s="6">
        <f>IFERROR(SUMIFS('DETALLE CRONOLÓGICO'!$K$2:$K$4919,'DETALLE CRONOLÓGICO'!$A$2:$A$4919,$A694)/$E694,"")</f>
        <v/>
      </c>
      <c r="K694" s="6">
        <f>_xlfn.MINIFS('DETALLE CRONOLÓGICO'!$K$2:$K$4919,'DETALLE CRONOLÓGICO'!$A$2:$A$4919,$A694)</f>
        <v/>
      </c>
      <c r="L694" s="6">
        <f>_xlfn.MAXIFS('DETALLE CRONOLÓGICO'!$K$2:$K$4919,'DETALLE CRONOLÓGICO'!$A$2:$A$4919,$A694)</f>
        <v/>
      </c>
      <c r="M694" s="6">
        <f>INDEX('DETALLE CRONOLÓGICO'!$K$2:$K$4919,MATCH($A694,'DETALLE CRONOLÓGICO'!$A$2:$A$4919,0)+$E694-1)</f>
        <v/>
      </c>
      <c r="N694" s="7">
        <f>IFERROR($M694/INDEX('DETALLE CRONOLÓGICO'!$K$2:$K$4919,MATCH($A694,'DETALLE CRONOLÓGICO'!$A$2:$A$4919,0))-1,"")</f>
        <v/>
      </c>
      <c r="O694" s="6">
        <f>IFERROR($I694*3,"")</f>
        <v/>
      </c>
      <c r="P694" s="6">
        <f>IFERROR($I694*3.5,"")</f>
        <v/>
      </c>
      <c r="Q694" s="6">
        <f>IFERROR($I694*4,"")</f>
        <v/>
      </c>
      <c r="R694" s="6" t="n">
        <v>479</v>
      </c>
      <c r="S694" s="4" t="n">
        <v>1</v>
      </c>
      <c r="T694" s="1" t="inlineStr">
        <is>
          <t>active</t>
        </is>
      </c>
      <c r="U694" s="8" t="n"/>
      <c r="V694" s="1" t="inlineStr">
        <is>
          <t>SIN PRECIO</t>
        </is>
      </c>
    </row>
    <row r="695">
      <c r="A695" s="1" t="inlineStr">
        <is>
          <t>42981640208524</t>
        </is>
      </c>
      <c r="B695" s="1" t="inlineStr">
        <is>
          <t>ARETES CD GOLD CON PERLA COLGANTE</t>
        </is>
      </c>
      <c r="C695" s="1" t="inlineStr">
        <is>
          <t>Default Title</t>
        </is>
      </c>
      <c r="D695" s="1" t="inlineStr">
        <is>
          <t>NANCY</t>
        </is>
      </c>
      <c r="E695" s="4">
        <f>COUNTIF('DETALLE CRONOLÓGICO'!$A$2:$A$4919,$A695)</f>
        <v/>
      </c>
      <c r="F695" s="4">
        <f>SUMIFS('DETALLE CRONOLÓGICO'!$I$2:$I$4919,'DETALLE CRONOLÓGICO'!$A$2:$A$4919,$A695)</f>
        <v/>
      </c>
      <c r="G695" s="1">
        <f>INDEX('DETALLE CRONOLÓGICO'!$D$2:$D$4919,MATCH($A695,'DETALLE CRONOLÓGICO'!$A$2:$A$4919,0))</f>
        <v/>
      </c>
      <c r="H695" s="1">
        <f>INDEX('DETALLE CRONOLÓGICO'!$D$2:$D$4919,MATCH($A695,'DETALLE CRONOLÓGICO'!$A$2:$A$4919,0)+$E695-1)</f>
        <v/>
      </c>
      <c r="I695" s="5">
        <f>IFERROR(SUMIFS('DETALLE CRONOLÓGICO'!$L$2:$L$4919,'DETALLE CRONOLÓGICO'!$A$2:$A$4919,$A695)/$F695,"")</f>
        <v/>
      </c>
      <c r="J695" s="6">
        <f>IFERROR(SUMIFS('DETALLE CRONOLÓGICO'!$K$2:$K$4919,'DETALLE CRONOLÓGICO'!$A$2:$A$4919,$A695)/$E695,"")</f>
        <v/>
      </c>
      <c r="K695" s="6">
        <f>_xlfn.MINIFS('DETALLE CRONOLÓGICO'!$K$2:$K$4919,'DETALLE CRONOLÓGICO'!$A$2:$A$4919,$A695)</f>
        <v/>
      </c>
      <c r="L695" s="6">
        <f>_xlfn.MAXIFS('DETALLE CRONOLÓGICO'!$K$2:$K$4919,'DETALLE CRONOLÓGICO'!$A$2:$A$4919,$A695)</f>
        <v/>
      </c>
      <c r="M695" s="6">
        <f>INDEX('DETALLE CRONOLÓGICO'!$K$2:$K$4919,MATCH($A695,'DETALLE CRONOLÓGICO'!$A$2:$A$4919,0)+$E695-1)</f>
        <v/>
      </c>
      <c r="N695" s="7">
        <f>IFERROR($M695/INDEX('DETALLE CRONOLÓGICO'!$K$2:$K$4919,MATCH($A695,'DETALLE CRONOLÓGICO'!$A$2:$A$4919,0))-1,"")</f>
        <v/>
      </c>
      <c r="O695" s="6">
        <f>IFERROR($I695*3,"")</f>
        <v/>
      </c>
      <c r="P695" s="6">
        <f>IFERROR($I695*3.5,"")</f>
        <v/>
      </c>
      <c r="Q695" s="6">
        <f>IFERROR($I695*4,"")</f>
        <v/>
      </c>
      <c r="R695" s="6" t="n">
        <v>450</v>
      </c>
      <c r="S695" s="4" t="n">
        <v>0</v>
      </c>
      <c r="T695" s="1" t="inlineStr">
        <is>
          <t>active</t>
        </is>
      </c>
      <c r="U695" s="8" t="n"/>
      <c r="V695" s="1" t="inlineStr">
        <is>
          <t>SIN PRECIO</t>
        </is>
      </c>
    </row>
    <row r="696">
      <c r="A696" s="1" t="inlineStr">
        <is>
          <t>42981773246604</t>
        </is>
      </c>
      <c r="B696" s="1" t="inlineStr">
        <is>
          <t>ANILLO PANTHERE GOLD</t>
        </is>
      </c>
      <c r="C696" s="1" t="inlineStr">
        <is>
          <t>Regular</t>
        </is>
      </c>
      <c r="D696" s="1" t="inlineStr">
        <is>
          <t>NANCY</t>
        </is>
      </c>
      <c r="E696" s="4">
        <f>COUNTIF('DETALLE CRONOLÓGICO'!$A$2:$A$4919,$A696)</f>
        <v/>
      </c>
      <c r="F696" s="4">
        <f>SUMIFS('DETALLE CRONOLÓGICO'!$I$2:$I$4919,'DETALLE CRONOLÓGICO'!$A$2:$A$4919,$A696)</f>
        <v/>
      </c>
      <c r="G696" s="1">
        <f>INDEX('DETALLE CRONOLÓGICO'!$D$2:$D$4919,MATCH($A696,'DETALLE CRONOLÓGICO'!$A$2:$A$4919,0))</f>
        <v/>
      </c>
      <c r="H696" s="1">
        <f>INDEX('DETALLE CRONOLÓGICO'!$D$2:$D$4919,MATCH($A696,'DETALLE CRONOLÓGICO'!$A$2:$A$4919,0)+$E696-1)</f>
        <v/>
      </c>
      <c r="I696" s="5">
        <f>IFERROR(SUMIFS('DETALLE CRONOLÓGICO'!$L$2:$L$4919,'DETALLE CRONOLÓGICO'!$A$2:$A$4919,$A696)/$F696,"")</f>
        <v/>
      </c>
      <c r="J696" s="6">
        <f>IFERROR(SUMIFS('DETALLE CRONOLÓGICO'!$K$2:$K$4919,'DETALLE CRONOLÓGICO'!$A$2:$A$4919,$A696)/$E696,"")</f>
        <v/>
      </c>
      <c r="K696" s="6">
        <f>_xlfn.MINIFS('DETALLE CRONOLÓGICO'!$K$2:$K$4919,'DETALLE CRONOLÓGICO'!$A$2:$A$4919,$A696)</f>
        <v/>
      </c>
      <c r="L696" s="6">
        <f>_xlfn.MAXIFS('DETALLE CRONOLÓGICO'!$K$2:$K$4919,'DETALLE CRONOLÓGICO'!$A$2:$A$4919,$A696)</f>
        <v/>
      </c>
      <c r="M696" s="6">
        <f>INDEX('DETALLE CRONOLÓGICO'!$K$2:$K$4919,MATCH($A696,'DETALLE CRONOLÓGICO'!$A$2:$A$4919,0)+$E696-1)</f>
        <v/>
      </c>
      <c r="N696" s="7">
        <f>IFERROR($M696/INDEX('DETALLE CRONOLÓGICO'!$K$2:$K$4919,MATCH($A696,'DETALLE CRONOLÓGICO'!$A$2:$A$4919,0))-1,"")</f>
        <v/>
      </c>
      <c r="O696" s="6">
        <f>IFERROR($I696*3,"")</f>
        <v/>
      </c>
      <c r="P696" s="6">
        <f>IFERROR($I696*3.5,"")</f>
        <v/>
      </c>
      <c r="Q696" s="6">
        <f>IFERROR($I696*4,"")</f>
        <v/>
      </c>
      <c r="R696" s="6" t="n">
        <v>545</v>
      </c>
      <c r="S696" s="4" t="n">
        <v>1</v>
      </c>
      <c r="T696" s="1" t="inlineStr">
        <is>
          <t>active</t>
        </is>
      </c>
      <c r="U696" s="8" t="n"/>
      <c r="V696" s="1" t="inlineStr">
        <is>
          <t>SIN PRECIO</t>
        </is>
      </c>
    </row>
    <row r="697">
      <c r="A697" s="1" t="inlineStr">
        <is>
          <t>42981806637196</t>
        </is>
      </c>
      <c r="B697" s="1" t="inlineStr">
        <is>
          <t>ANILLO PANTHERE SILVER</t>
        </is>
      </c>
      <c r="C697" s="1" t="inlineStr">
        <is>
          <t>Default Title</t>
        </is>
      </c>
      <c r="D697" s="1" t="inlineStr">
        <is>
          <t>NANCY</t>
        </is>
      </c>
      <c r="E697" s="4">
        <f>COUNTIF('DETALLE CRONOLÓGICO'!$A$2:$A$4919,$A697)</f>
        <v/>
      </c>
      <c r="F697" s="4">
        <f>SUMIFS('DETALLE CRONOLÓGICO'!$I$2:$I$4919,'DETALLE CRONOLÓGICO'!$A$2:$A$4919,$A697)</f>
        <v/>
      </c>
      <c r="G697" s="1">
        <f>INDEX('DETALLE CRONOLÓGICO'!$D$2:$D$4919,MATCH($A697,'DETALLE CRONOLÓGICO'!$A$2:$A$4919,0))</f>
        <v/>
      </c>
      <c r="H697" s="1">
        <f>INDEX('DETALLE CRONOLÓGICO'!$D$2:$D$4919,MATCH($A697,'DETALLE CRONOLÓGICO'!$A$2:$A$4919,0)+$E697-1)</f>
        <v/>
      </c>
      <c r="I697" s="5">
        <f>IFERROR(SUMIFS('DETALLE CRONOLÓGICO'!$L$2:$L$4919,'DETALLE CRONOLÓGICO'!$A$2:$A$4919,$A697)/$F697,"")</f>
        <v/>
      </c>
      <c r="J697" s="6">
        <f>IFERROR(SUMIFS('DETALLE CRONOLÓGICO'!$K$2:$K$4919,'DETALLE CRONOLÓGICO'!$A$2:$A$4919,$A697)/$E697,"")</f>
        <v/>
      </c>
      <c r="K697" s="6">
        <f>_xlfn.MINIFS('DETALLE CRONOLÓGICO'!$K$2:$K$4919,'DETALLE CRONOLÓGICO'!$A$2:$A$4919,$A697)</f>
        <v/>
      </c>
      <c r="L697" s="6">
        <f>_xlfn.MAXIFS('DETALLE CRONOLÓGICO'!$K$2:$K$4919,'DETALLE CRONOLÓGICO'!$A$2:$A$4919,$A697)</f>
        <v/>
      </c>
      <c r="M697" s="6">
        <f>INDEX('DETALLE CRONOLÓGICO'!$K$2:$K$4919,MATCH($A697,'DETALLE CRONOLÓGICO'!$A$2:$A$4919,0)+$E697-1)</f>
        <v/>
      </c>
      <c r="N697" s="7">
        <f>IFERROR($M697/INDEX('DETALLE CRONOLÓGICO'!$K$2:$K$4919,MATCH($A697,'DETALLE CRONOLÓGICO'!$A$2:$A$4919,0))-1,"")</f>
        <v/>
      </c>
      <c r="O697" s="6">
        <f>IFERROR($I697*3,"")</f>
        <v/>
      </c>
      <c r="P697" s="6">
        <f>IFERROR($I697*3.5,"")</f>
        <v/>
      </c>
      <c r="Q697" s="6">
        <f>IFERROR($I697*4,"")</f>
        <v/>
      </c>
      <c r="R697" s="6" t="n">
        <v>499</v>
      </c>
      <c r="S697" s="4" t="n">
        <v>0</v>
      </c>
      <c r="T697" s="1" t="inlineStr">
        <is>
          <t>active</t>
        </is>
      </c>
      <c r="U697" s="8" t="n"/>
      <c r="V697" s="1" t="inlineStr">
        <is>
          <t>SIN PRECIO</t>
        </is>
      </c>
    </row>
    <row r="698">
      <c r="A698" s="1" t="inlineStr">
        <is>
          <t>42981825511564</t>
        </is>
      </c>
      <c r="B698" s="1" t="inlineStr">
        <is>
          <t>COLLAR LOCK CON ZIRCONIAS GOLD SILVER</t>
        </is>
      </c>
      <c r="C698" s="1" t="inlineStr">
        <is>
          <t>Default Title</t>
        </is>
      </c>
      <c r="D698" s="1" t="inlineStr">
        <is>
          <t>NANCY</t>
        </is>
      </c>
      <c r="E698" s="4">
        <f>COUNTIF('DETALLE CRONOLÓGICO'!$A$2:$A$4919,$A698)</f>
        <v/>
      </c>
      <c r="F698" s="4">
        <f>SUMIFS('DETALLE CRONOLÓGICO'!$I$2:$I$4919,'DETALLE CRONOLÓGICO'!$A$2:$A$4919,$A698)</f>
        <v/>
      </c>
      <c r="G698" s="1">
        <f>INDEX('DETALLE CRONOLÓGICO'!$D$2:$D$4919,MATCH($A698,'DETALLE CRONOLÓGICO'!$A$2:$A$4919,0))</f>
        <v/>
      </c>
      <c r="H698" s="1">
        <f>INDEX('DETALLE CRONOLÓGICO'!$D$2:$D$4919,MATCH($A698,'DETALLE CRONOLÓGICO'!$A$2:$A$4919,0)+$E698-1)</f>
        <v/>
      </c>
      <c r="I698" s="5">
        <f>IFERROR(SUMIFS('DETALLE CRONOLÓGICO'!$L$2:$L$4919,'DETALLE CRONOLÓGICO'!$A$2:$A$4919,$A698)/$F698,"")</f>
        <v/>
      </c>
      <c r="J698" s="6">
        <f>IFERROR(SUMIFS('DETALLE CRONOLÓGICO'!$K$2:$K$4919,'DETALLE CRONOLÓGICO'!$A$2:$A$4919,$A698)/$E698,"")</f>
        <v/>
      </c>
      <c r="K698" s="6">
        <f>_xlfn.MINIFS('DETALLE CRONOLÓGICO'!$K$2:$K$4919,'DETALLE CRONOLÓGICO'!$A$2:$A$4919,$A698)</f>
        <v/>
      </c>
      <c r="L698" s="6">
        <f>_xlfn.MAXIFS('DETALLE CRONOLÓGICO'!$K$2:$K$4919,'DETALLE CRONOLÓGICO'!$A$2:$A$4919,$A698)</f>
        <v/>
      </c>
      <c r="M698" s="6">
        <f>INDEX('DETALLE CRONOLÓGICO'!$K$2:$K$4919,MATCH($A698,'DETALLE CRONOLÓGICO'!$A$2:$A$4919,0)+$E698-1)</f>
        <v/>
      </c>
      <c r="N698" s="7">
        <f>IFERROR($M698/INDEX('DETALLE CRONOLÓGICO'!$K$2:$K$4919,MATCH($A698,'DETALLE CRONOLÓGICO'!$A$2:$A$4919,0))-1,"")</f>
        <v/>
      </c>
      <c r="O698" s="6">
        <f>IFERROR($I698*3,"")</f>
        <v/>
      </c>
      <c r="P698" s="6">
        <f>IFERROR($I698*3.5,"")</f>
        <v/>
      </c>
      <c r="Q698" s="6">
        <f>IFERROR($I698*4,"")</f>
        <v/>
      </c>
      <c r="R698" s="6" t="n">
        <v>750</v>
      </c>
      <c r="S698" s="4" t="n">
        <v>9</v>
      </c>
      <c r="T698" s="1" t="inlineStr">
        <is>
          <t>active</t>
        </is>
      </c>
      <c r="U698" s="8" t="n"/>
      <c r="V698" s="1" t="inlineStr">
        <is>
          <t>SIN PRECIO</t>
        </is>
      </c>
    </row>
    <row r="699">
      <c r="A699" s="1" t="inlineStr">
        <is>
          <t>42981877514380</t>
        </is>
      </c>
      <c r="B699" s="1" t="inlineStr">
        <is>
          <t>COLLAR LOCK CON ZIRCONIAS SILVER</t>
        </is>
      </c>
      <c r="C699" s="1" t="inlineStr">
        <is>
          <t>Default Title</t>
        </is>
      </c>
      <c r="D699" s="1" t="inlineStr">
        <is>
          <t>NANCY</t>
        </is>
      </c>
      <c r="E699" s="4">
        <f>COUNTIF('DETALLE CRONOLÓGICO'!$A$2:$A$4919,$A699)</f>
        <v/>
      </c>
      <c r="F699" s="4">
        <f>SUMIFS('DETALLE CRONOLÓGICO'!$I$2:$I$4919,'DETALLE CRONOLÓGICO'!$A$2:$A$4919,$A699)</f>
        <v/>
      </c>
      <c r="G699" s="1">
        <f>INDEX('DETALLE CRONOLÓGICO'!$D$2:$D$4919,MATCH($A699,'DETALLE CRONOLÓGICO'!$A$2:$A$4919,0))</f>
        <v/>
      </c>
      <c r="H699" s="1">
        <f>INDEX('DETALLE CRONOLÓGICO'!$D$2:$D$4919,MATCH($A699,'DETALLE CRONOLÓGICO'!$A$2:$A$4919,0)+$E699-1)</f>
        <v/>
      </c>
      <c r="I699" s="5">
        <f>IFERROR(SUMIFS('DETALLE CRONOLÓGICO'!$L$2:$L$4919,'DETALLE CRONOLÓGICO'!$A$2:$A$4919,$A699)/$F699,"")</f>
        <v/>
      </c>
      <c r="J699" s="6">
        <f>IFERROR(SUMIFS('DETALLE CRONOLÓGICO'!$K$2:$K$4919,'DETALLE CRONOLÓGICO'!$A$2:$A$4919,$A699)/$E699,"")</f>
        <v/>
      </c>
      <c r="K699" s="6">
        <f>_xlfn.MINIFS('DETALLE CRONOLÓGICO'!$K$2:$K$4919,'DETALLE CRONOLÓGICO'!$A$2:$A$4919,$A699)</f>
        <v/>
      </c>
      <c r="L699" s="6">
        <f>_xlfn.MAXIFS('DETALLE CRONOLÓGICO'!$K$2:$K$4919,'DETALLE CRONOLÓGICO'!$A$2:$A$4919,$A699)</f>
        <v/>
      </c>
      <c r="M699" s="6">
        <f>INDEX('DETALLE CRONOLÓGICO'!$K$2:$K$4919,MATCH($A699,'DETALLE CRONOLÓGICO'!$A$2:$A$4919,0)+$E699-1)</f>
        <v/>
      </c>
      <c r="N699" s="7">
        <f>IFERROR($M699/INDEX('DETALLE CRONOLÓGICO'!$K$2:$K$4919,MATCH($A699,'DETALLE CRONOLÓGICO'!$A$2:$A$4919,0))-1,"")</f>
        <v/>
      </c>
      <c r="O699" s="6">
        <f>IFERROR($I699*3,"")</f>
        <v/>
      </c>
      <c r="P699" s="6">
        <f>IFERROR($I699*3.5,"")</f>
        <v/>
      </c>
      <c r="Q699" s="6">
        <f>IFERROR($I699*4,"")</f>
        <v/>
      </c>
      <c r="R699" s="6" t="n">
        <v>655</v>
      </c>
      <c r="S699" s="4" t="n">
        <v>5</v>
      </c>
      <c r="T699" s="1" t="inlineStr">
        <is>
          <t>active</t>
        </is>
      </c>
      <c r="U699" s="8" t="n"/>
      <c r="V699" s="1" t="inlineStr">
        <is>
          <t>SIN PRECIO</t>
        </is>
      </c>
    </row>
    <row r="700">
      <c r="A700" s="1" t="inlineStr">
        <is>
          <t>42981893177484</t>
        </is>
      </c>
      <c r="B700" s="1" t="inlineStr">
        <is>
          <t>COLLAR LOCK CON ZIRCONIAS ROSEGOLD SILVER</t>
        </is>
      </c>
      <c r="C700" s="1" t="inlineStr">
        <is>
          <t>Default Title</t>
        </is>
      </c>
      <c r="D700" s="1" t="inlineStr">
        <is>
          <t>NANCY</t>
        </is>
      </c>
      <c r="E700" s="4">
        <f>COUNTIF('DETALLE CRONOLÓGICO'!$A$2:$A$4919,$A700)</f>
        <v/>
      </c>
      <c r="F700" s="4">
        <f>SUMIFS('DETALLE CRONOLÓGICO'!$I$2:$I$4919,'DETALLE CRONOLÓGICO'!$A$2:$A$4919,$A700)</f>
        <v/>
      </c>
      <c r="G700" s="1">
        <f>INDEX('DETALLE CRONOLÓGICO'!$D$2:$D$4919,MATCH($A700,'DETALLE CRONOLÓGICO'!$A$2:$A$4919,0))</f>
        <v/>
      </c>
      <c r="H700" s="1">
        <f>INDEX('DETALLE CRONOLÓGICO'!$D$2:$D$4919,MATCH($A700,'DETALLE CRONOLÓGICO'!$A$2:$A$4919,0)+$E700-1)</f>
        <v/>
      </c>
      <c r="I700" s="5">
        <f>IFERROR(SUMIFS('DETALLE CRONOLÓGICO'!$L$2:$L$4919,'DETALLE CRONOLÓGICO'!$A$2:$A$4919,$A700)/$F700,"")</f>
        <v/>
      </c>
      <c r="J700" s="6">
        <f>IFERROR(SUMIFS('DETALLE CRONOLÓGICO'!$K$2:$K$4919,'DETALLE CRONOLÓGICO'!$A$2:$A$4919,$A700)/$E700,"")</f>
        <v/>
      </c>
      <c r="K700" s="6">
        <f>_xlfn.MINIFS('DETALLE CRONOLÓGICO'!$K$2:$K$4919,'DETALLE CRONOLÓGICO'!$A$2:$A$4919,$A700)</f>
        <v/>
      </c>
      <c r="L700" s="6">
        <f>_xlfn.MAXIFS('DETALLE CRONOLÓGICO'!$K$2:$K$4919,'DETALLE CRONOLÓGICO'!$A$2:$A$4919,$A700)</f>
        <v/>
      </c>
      <c r="M700" s="6">
        <f>INDEX('DETALLE CRONOLÓGICO'!$K$2:$K$4919,MATCH($A700,'DETALLE CRONOLÓGICO'!$A$2:$A$4919,0)+$E700-1)</f>
        <v/>
      </c>
      <c r="N700" s="7">
        <f>IFERROR($M700/INDEX('DETALLE CRONOLÓGICO'!$K$2:$K$4919,MATCH($A700,'DETALLE CRONOLÓGICO'!$A$2:$A$4919,0))-1,"")</f>
        <v/>
      </c>
      <c r="O700" s="6">
        <f>IFERROR($I700*3,"")</f>
        <v/>
      </c>
      <c r="P700" s="6">
        <f>IFERROR($I700*3.5,"")</f>
        <v/>
      </c>
      <c r="Q700" s="6">
        <f>IFERROR($I700*4,"")</f>
        <v/>
      </c>
      <c r="R700" s="6" t="n">
        <v>750</v>
      </c>
      <c r="S700" s="4" t="n">
        <v>3</v>
      </c>
      <c r="T700" s="1" t="inlineStr">
        <is>
          <t>active</t>
        </is>
      </c>
      <c r="U700" s="8" t="n"/>
      <c r="V700" s="1" t="inlineStr">
        <is>
          <t>SIN PRECIO</t>
        </is>
      </c>
    </row>
    <row r="701">
      <c r="A701" s="1" t="inlineStr">
        <is>
          <t>42981908742284</t>
        </is>
      </c>
      <c r="B701" s="1" t="inlineStr">
        <is>
          <t>SET DE COLLAR Y PULSERA CORAZÓN (NECKLACE AND BRACALET)</t>
        </is>
      </c>
      <c r="C701" s="1" t="inlineStr">
        <is>
          <t>42 cm / 17 cm</t>
        </is>
      </c>
      <c r="D701" s="1" t="inlineStr">
        <is>
          <t>NANCY</t>
        </is>
      </c>
      <c r="E701" s="4">
        <f>COUNTIF('DETALLE CRONOLÓGICO'!$A$2:$A$4919,$A701)</f>
        <v/>
      </c>
      <c r="F701" s="4">
        <f>SUMIFS('DETALLE CRONOLÓGICO'!$I$2:$I$4919,'DETALLE CRONOLÓGICO'!$A$2:$A$4919,$A701)</f>
        <v/>
      </c>
      <c r="G701" s="1">
        <f>INDEX('DETALLE CRONOLÓGICO'!$D$2:$D$4919,MATCH($A701,'DETALLE CRONOLÓGICO'!$A$2:$A$4919,0))</f>
        <v/>
      </c>
      <c r="H701" s="1">
        <f>INDEX('DETALLE CRONOLÓGICO'!$D$2:$D$4919,MATCH($A701,'DETALLE CRONOLÓGICO'!$A$2:$A$4919,0)+$E701-1)</f>
        <v/>
      </c>
      <c r="I701" s="5">
        <f>IFERROR(SUMIFS('DETALLE CRONOLÓGICO'!$L$2:$L$4919,'DETALLE CRONOLÓGICO'!$A$2:$A$4919,$A701)/$F701,"")</f>
        <v/>
      </c>
      <c r="J701" s="6">
        <f>IFERROR(SUMIFS('DETALLE CRONOLÓGICO'!$K$2:$K$4919,'DETALLE CRONOLÓGICO'!$A$2:$A$4919,$A701)/$E701,"")</f>
        <v/>
      </c>
      <c r="K701" s="6">
        <f>_xlfn.MINIFS('DETALLE CRONOLÓGICO'!$K$2:$K$4919,'DETALLE CRONOLÓGICO'!$A$2:$A$4919,$A701)</f>
        <v/>
      </c>
      <c r="L701" s="6">
        <f>_xlfn.MAXIFS('DETALLE CRONOLÓGICO'!$K$2:$K$4919,'DETALLE CRONOLÓGICO'!$A$2:$A$4919,$A701)</f>
        <v/>
      </c>
      <c r="M701" s="6">
        <f>INDEX('DETALLE CRONOLÓGICO'!$K$2:$K$4919,MATCH($A701,'DETALLE CRONOLÓGICO'!$A$2:$A$4919,0)+$E701-1)</f>
        <v/>
      </c>
      <c r="N701" s="7">
        <f>IFERROR($M701/INDEX('DETALLE CRONOLÓGICO'!$K$2:$K$4919,MATCH($A701,'DETALLE CRONOLÓGICO'!$A$2:$A$4919,0))-1,"")</f>
        <v/>
      </c>
      <c r="O701" s="6">
        <f>IFERROR($I701*3,"")</f>
        <v/>
      </c>
      <c r="P701" s="6">
        <f>IFERROR($I701*3.5,"")</f>
        <v/>
      </c>
      <c r="Q701" s="6">
        <f>IFERROR($I701*4,"")</f>
        <v/>
      </c>
      <c r="R701" s="6" t="n">
        <v>1579</v>
      </c>
      <c r="S701" s="4" t="n">
        <v>4</v>
      </c>
      <c r="T701" s="1" t="inlineStr">
        <is>
          <t>active</t>
        </is>
      </c>
      <c r="U701" s="8" t="n"/>
      <c r="V701" s="1" t="inlineStr">
        <is>
          <t>SIN PRECIO</t>
        </is>
      </c>
    </row>
    <row r="702">
      <c r="A702" s="1" t="inlineStr">
        <is>
          <t>42981908742285</t>
        </is>
      </c>
      <c r="B702" s="1" t="inlineStr">
        <is>
          <t>SET DE COLLAR Y PULSERA CORAZÓN</t>
        </is>
      </c>
      <c r="C702" s="1" t="inlineStr">
        <is>
          <t>47 cm / 15 cm</t>
        </is>
      </c>
      <c r="D702" s="1" t="inlineStr">
        <is>
          <t>NANCY</t>
        </is>
      </c>
      <c r="E702" s="4">
        <f>COUNTIF('DETALLE CRONOLÓGICO'!$A$2:$A$4919,$A702)</f>
        <v/>
      </c>
      <c r="F702" s="4">
        <f>SUMIFS('DETALLE CRONOLÓGICO'!$I$2:$I$4919,'DETALLE CRONOLÓGICO'!$A$2:$A$4919,$A702)</f>
        <v/>
      </c>
      <c r="G702" s="1">
        <f>INDEX('DETALLE CRONOLÓGICO'!$D$2:$D$4919,MATCH($A702,'DETALLE CRONOLÓGICO'!$A$2:$A$4919,0))</f>
        <v/>
      </c>
      <c r="H702" s="1">
        <f>INDEX('DETALLE CRONOLÓGICO'!$D$2:$D$4919,MATCH($A702,'DETALLE CRONOLÓGICO'!$A$2:$A$4919,0)+$E702-1)</f>
        <v/>
      </c>
      <c r="I702" s="5">
        <f>IFERROR(SUMIFS('DETALLE CRONOLÓGICO'!$L$2:$L$4919,'DETALLE CRONOLÓGICO'!$A$2:$A$4919,$A702)/$F702,"")</f>
        <v/>
      </c>
      <c r="J702" s="6">
        <f>IFERROR(SUMIFS('DETALLE CRONOLÓGICO'!$K$2:$K$4919,'DETALLE CRONOLÓGICO'!$A$2:$A$4919,$A702)/$E702,"")</f>
        <v/>
      </c>
      <c r="K702" s="6">
        <f>_xlfn.MINIFS('DETALLE CRONOLÓGICO'!$K$2:$K$4919,'DETALLE CRONOLÓGICO'!$A$2:$A$4919,$A702)</f>
        <v/>
      </c>
      <c r="L702" s="6">
        <f>_xlfn.MAXIFS('DETALLE CRONOLÓGICO'!$K$2:$K$4919,'DETALLE CRONOLÓGICO'!$A$2:$A$4919,$A702)</f>
        <v/>
      </c>
      <c r="M702" s="6">
        <f>INDEX('DETALLE CRONOLÓGICO'!$K$2:$K$4919,MATCH($A702,'DETALLE CRONOLÓGICO'!$A$2:$A$4919,0)+$E702-1)</f>
        <v/>
      </c>
      <c r="N702" s="7">
        <f>IFERROR($M702/INDEX('DETALLE CRONOLÓGICO'!$K$2:$K$4919,MATCH($A702,'DETALLE CRONOLÓGICO'!$A$2:$A$4919,0))-1,"")</f>
        <v/>
      </c>
      <c r="O702" s="6">
        <f>IFERROR($I702*3,"")</f>
        <v/>
      </c>
      <c r="P702" s="6">
        <f>IFERROR($I702*3.5,"")</f>
        <v/>
      </c>
      <c r="Q702" s="6">
        <f>IFERROR($I702*4,"")</f>
        <v/>
      </c>
      <c r="R702" s="6" t="n">
        <v>1579</v>
      </c>
      <c r="S702" s="4" t="n">
        <v>5</v>
      </c>
      <c r="T702" s="1" t="inlineStr">
        <is>
          <t>active</t>
        </is>
      </c>
      <c r="U702" s="8" t="n"/>
      <c r="V702" s="1" t="inlineStr">
        <is>
          <t>SIN PRECIO</t>
        </is>
      </c>
    </row>
    <row r="703">
      <c r="A703" s="1" t="inlineStr">
        <is>
          <t>42981951111308</t>
        </is>
      </c>
      <c r="B703" s="1" t="inlineStr">
        <is>
          <t>ANILLO TB GOLD</t>
        </is>
      </c>
      <c r="C703" s="1" t="n">
        <v>7</v>
      </c>
      <c r="D703" s="1" t="inlineStr">
        <is>
          <t>NANCY</t>
        </is>
      </c>
      <c r="E703" s="4">
        <f>COUNTIF('DETALLE CRONOLÓGICO'!$A$2:$A$4919,$A703)</f>
        <v/>
      </c>
      <c r="F703" s="4">
        <f>SUMIFS('DETALLE CRONOLÓGICO'!$I$2:$I$4919,'DETALLE CRONOLÓGICO'!$A$2:$A$4919,$A703)</f>
        <v/>
      </c>
      <c r="G703" s="1">
        <f>INDEX('DETALLE CRONOLÓGICO'!$D$2:$D$4919,MATCH($A703,'DETALLE CRONOLÓGICO'!$A$2:$A$4919,0))</f>
        <v/>
      </c>
      <c r="H703" s="1">
        <f>INDEX('DETALLE CRONOLÓGICO'!$D$2:$D$4919,MATCH($A703,'DETALLE CRONOLÓGICO'!$A$2:$A$4919,0)+$E703-1)</f>
        <v/>
      </c>
      <c r="I703" s="5">
        <f>IFERROR(SUMIFS('DETALLE CRONOLÓGICO'!$L$2:$L$4919,'DETALLE CRONOLÓGICO'!$A$2:$A$4919,$A703)/$F703,"")</f>
        <v/>
      </c>
      <c r="J703" s="6">
        <f>IFERROR(SUMIFS('DETALLE CRONOLÓGICO'!$K$2:$K$4919,'DETALLE CRONOLÓGICO'!$A$2:$A$4919,$A703)/$E703,"")</f>
        <v/>
      </c>
      <c r="K703" s="6">
        <f>_xlfn.MINIFS('DETALLE CRONOLÓGICO'!$K$2:$K$4919,'DETALLE CRONOLÓGICO'!$A$2:$A$4919,$A703)</f>
        <v/>
      </c>
      <c r="L703" s="6">
        <f>_xlfn.MAXIFS('DETALLE CRONOLÓGICO'!$K$2:$K$4919,'DETALLE CRONOLÓGICO'!$A$2:$A$4919,$A703)</f>
        <v/>
      </c>
      <c r="M703" s="6">
        <f>INDEX('DETALLE CRONOLÓGICO'!$K$2:$K$4919,MATCH($A703,'DETALLE CRONOLÓGICO'!$A$2:$A$4919,0)+$E703-1)</f>
        <v/>
      </c>
      <c r="N703" s="7">
        <f>IFERROR($M703/INDEX('DETALLE CRONOLÓGICO'!$K$2:$K$4919,MATCH($A703,'DETALLE CRONOLÓGICO'!$A$2:$A$4919,0))-1,"")</f>
        <v/>
      </c>
      <c r="O703" s="6">
        <f>IFERROR($I703*3,"")</f>
        <v/>
      </c>
      <c r="P703" s="6">
        <f>IFERROR($I703*3.5,"")</f>
        <v/>
      </c>
      <c r="Q703" s="6">
        <f>IFERROR($I703*4,"")</f>
        <v/>
      </c>
      <c r="R703" s="6" t="n">
        <v>250</v>
      </c>
      <c r="S703" s="4" t="n">
        <v>0</v>
      </c>
      <c r="T703" s="1" t="inlineStr">
        <is>
          <t>active</t>
        </is>
      </c>
      <c r="U703" s="8" t="n"/>
      <c r="V703" s="1" t="inlineStr">
        <is>
          <t>SIN PRECIO</t>
        </is>
      </c>
    </row>
    <row r="704">
      <c r="A704" s="1" t="inlineStr">
        <is>
          <t>42981951144076</t>
        </is>
      </c>
      <c r="B704" s="1" t="inlineStr">
        <is>
          <t>ANILLO TB GOLD</t>
        </is>
      </c>
      <c r="C704" s="1" t="n">
        <v>8</v>
      </c>
      <c r="D704" s="1" t="inlineStr">
        <is>
          <t>NANCY</t>
        </is>
      </c>
      <c r="E704" s="4">
        <f>COUNTIF('DETALLE CRONOLÓGICO'!$A$2:$A$4919,$A704)</f>
        <v/>
      </c>
      <c r="F704" s="4">
        <f>SUMIFS('DETALLE CRONOLÓGICO'!$I$2:$I$4919,'DETALLE CRONOLÓGICO'!$A$2:$A$4919,$A704)</f>
        <v/>
      </c>
      <c r="G704" s="1">
        <f>INDEX('DETALLE CRONOLÓGICO'!$D$2:$D$4919,MATCH($A704,'DETALLE CRONOLÓGICO'!$A$2:$A$4919,0))</f>
        <v/>
      </c>
      <c r="H704" s="1">
        <f>INDEX('DETALLE CRONOLÓGICO'!$D$2:$D$4919,MATCH($A704,'DETALLE CRONOLÓGICO'!$A$2:$A$4919,0)+$E704-1)</f>
        <v/>
      </c>
      <c r="I704" s="5">
        <f>IFERROR(SUMIFS('DETALLE CRONOLÓGICO'!$L$2:$L$4919,'DETALLE CRONOLÓGICO'!$A$2:$A$4919,$A704)/$F704,"")</f>
        <v/>
      </c>
      <c r="J704" s="6">
        <f>IFERROR(SUMIFS('DETALLE CRONOLÓGICO'!$K$2:$K$4919,'DETALLE CRONOLÓGICO'!$A$2:$A$4919,$A704)/$E704,"")</f>
        <v/>
      </c>
      <c r="K704" s="6">
        <f>_xlfn.MINIFS('DETALLE CRONOLÓGICO'!$K$2:$K$4919,'DETALLE CRONOLÓGICO'!$A$2:$A$4919,$A704)</f>
        <v/>
      </c>
      <c r="L704" s="6">
        <f>_xlfn.MAXIFS('DETALLE CRONOLÓGICO'!$K$2:$K$4919,'DETALLE CRONOLÓGICO'!$A$2:$A$4919,$A704)</f>
        <v/>
      </c>
      <c r="M704" s="6">
        <f>INDEX('DETALLE CRONOLÓGICO'!$K$2:$K$4919,MATCH($A704,'DETALLE CRONOLÓGICO'!$A$2:$A$4919,0)+$E704-1)</f>
        <v/>
      </c>
      <c r="N704" s="7">
        <f>IFERROR($M704/INDEX('DETALLE CRONOLÓGICO'!$K$2:$K$4919,MATCH($A704,'DETALLE CRONOLÓGICO'!$A$2:$A$4919,0))-1,"")</f>
        <v/>
      </c>
      <c r="O704" s="6">
        <f>IFERROR($I704*3,"")</f>
        <v/>
      </c>
      <c r="P704" s="6">
        <f>IFERROR($I704*3.5,"")</f>
        <v/>
      </c>
      <c r="Q704" s="6">
        <f>IFERROR($I704*4,"")</f>
        <v/>
      </c>
      <c r="R704" s="6" t="n">
        <v>200</v>
      </c>
      <c r="S704" s="4" t="n">
        <v>1</v>
      </c>
      <c r="T704" s="1" t="inlineStr">
        <is>
          <t>active</t>
        </is>
      </c>
      <c r="U704" s="8" t="n"/>
      <c r="V704" s="1" t="inlineStr">
        <is>
          <t>SIN PRECIO</t>
        </is>
      </c>
    </row>
    <row r="705">
      <c r="A705" s="1" t="inlineStr">
        <is>
          <t>42981955862668</t>
        </is>
      </c>
      <c r="B705" s="1" t="inlineStr">
        <is>
          <t>ANILLO TB SILVER</t>
        </is>
      </c>
      <c r="C705" s="1" t="n">
        <v>6</v>
      </c>
      <c r="D705" s="1" t="inlineStr">
        <is>
          <t>NANCY</t>
        </is>
      </c>
      <c r="E705" s="4">
        <f>COUNTIF('DETALLE CRONOLÓGICO'!$A$2:$A$4919,$A705)</f>
        <v/>
      </c>
      <c r="F705" s="4">
        <f>SUMIFS('DETALLE CRONOLÓGICO'!$I$2:$I$4919,'DETALLE CRONOLÓGICO'!$A$2:$A$4919,$A705)</f>
        <v/>
      </c>
      <c r="G705" s="1">
        <f>INDEX('DETALLE CRONOLÓGICO'!$D$2:$D$4919,MATCH($A705,'DETALLE CRONOLÓGICO'!$A$2:$A$4919,0))</f>
        <v/>
      </c>
      <c r="H705" s="1">
        <f>INDEX('DETALLE CRONOLÓGICO'!$D$2:$D$4919,MATCH($A705,'DETALLE CRONOLÓGICO'!$A$2:$A$4919,0)+$E705-1)</f>
        <v/>
      </c>
      <c r="I705" s="5">
        <f>IFERROR(SUMIFS('DETALLE CRONOLÓGICO'!$L$2:$L$4919,'DETALLE CRONOLÓGICO'!$A$2:$A$4919,$A705)/$F705,"")</f>
        <v/>
      </c>
      <c r="J705" s="6">
        <f>IFERROR(SUMIFS('DETALLE CRONOLÓGICO'!$K$2:$K$4919,'DETALLE CRONOLÓGICO'!$A$2:$A$4919,$A705)/$E705,"")</f>
        <v/>
      </c>
      <c r="K705" s="6">
        <f>_xlfn.MINIFS('DETALLE CRONOLÓGICO'!$K$2:$K$4919,'DETALLE CRONOLÓGICO'!$A$2:$A$4919,$A705)</f>
        <v/>
      </c>
      <c r="L705" s="6">
        <f>_xlfn.MAXIFS('DETALLE CRONOLÓGICO'!$K$2:$K$4919,'DETALLE CRONOLÓGICO'!$A$2:$A$4919,$A705)</f>
        <v/>
      </c>
      <c r="M705" s="6">
        <f>INDEX('DETALLE CRONOLÓGICO'!$K$2:$K$4919,MATCH($A705,'DETALLE CRONOLÓGICO'!$A$2:$A$4919,0)+$E705-1)</f>
        <v/>
      </c>
      <c r="N705" s="7">
        <f>IFERROR($M705/INDEX('DETALLE CRONOLÓGICO'!$K$2:$K$4919,MATCH($A705,'DETALLE CRONOLÓGICO'!$A$2:$A$4919,0))-1,"")</f>
        <v/>
      </c>
      <c r="O705" s="6">
        <f>IFERROR($I705*3,"")</f>
        <v/>
      </c>
      <c r="P705" s="6">
        <f>IFERROR($I705*3.5,"")</f>
        <v/>
      </c>
      <c r="Q705" s="6">
        <f>IFERROR($I705*4,"")</f>
        <v/>
      </c>
      <c r="R705" s="6" t="n">
        <v>450</v>
      </c>
      <c r="S705" s="4" t="n">
        <v>3</v>
      </c>
      <c r="T705" s="1" t="inlineStr">
        <is>
          <t>active</t>
        </is>
      </c>
      <c r="U705" s="8" t="n"/>
      <c r="V705" s="1" t="inlineStr">
        <is>
          <t>SIN PRECIO</t>
        </is>
      </c>
    </row>
    <row r="706">
      <c r="A706" s="1" t="inlineStr">
        <is>
          <t>42981955895436</t>
        </is>
      </c>
      <c r="B706" s="1" t="inlineStr">
        <is>
          <t>ANILLO TB SILVER</t>
        </is>
      </c>
      <c r="C706" s="1" t="n">
        <v>7</v>
      </c>
      <c r="D706" s="1" t="inlineStr">
        <is>
          <t>NANCY</t>
        </is>
      </c>
      <c r="E706" s="4">
        <f>COUNTIF('DETALLE CRONOLÓGICO'!$A$2:$A$4919,$A706)</f>
        <v/>
      </c>
      <c r="F706" s="4">
        <f>SUMIFS('DETALLE CRONOLÓGICO'!$I$2:$I$4919,'DETALLE CRONOLÓGICO'!$A$2:$A$4919,$A706)</f>
        <v/>
      </c>
      <c r="G706" s="1">
        <f>INDEX('DETALLE CRONOLÓGICO'!$D$2:$D$4919,MATCH($A706,'DETALLE CRONOLÓGICO'!$A$2:$A$4919,0))</f>
        <v/>
      </c>
      <c r="H706" s="1">
        <f>INDEX('DETALLE CRONOLÓGICO'!$D$2:$D$4919,MATCH($A706,'DETALLE CRONOLÓGICO'!$A$2:$A$4919,0)+$E706-1)</f>
        <v/>
      </c>
      <c r="I706" s="5">
        <f>IFERROR(SUMIFS('DETALLE CRONOLÓGICO'!$L$2:$L$4919,'DETALLE CRONOLÓGICO'!$A$2:$A$4919,$A706)/$F706,"")</f>
        <v/>
      </c>
      <c r="J706" s="6">
        <f>IFERROR(SUMIFS('DETALLE CRONOLÓGICO'!$K$2:$K$4919,'DETALLE CRONOLÓGICO'!$A$2:$A$4919,$A706)/$E706,"")</f>
        <v/>
      </c>
      <c r="K706" s="6">
        <f>_xlfn.MINIFS('DETALLE CRONOLÓGICO'!$K$2:$K$4919,'DETALLE CRONOLÓGICO'!$A$2:$A$4919,$A706)</f>
        <v/>
      </c>
      <c r="L706" s="6">
        <f>_xlfn.MAXIFS('DETALLE CRONOLÓGICO'!$K$2:$K$4919,'DETALLE CRONOLÓGICO'!$A$2:$A$4919,$A706)</f>
        <v/>
      </c>
      <c r="M706" s="6">
        <f>INDEX('DETALLE CRONOLÓGICO'!$K$2:$K$4919,MATCH($A706,'DETALLE CRONOLÓGICO'!$A$2:$A$4919,0)+$E706-1)</f>
        <v/>
      </c>
      <c r="N706" s="7">
        <f>IFERROR($M706/INDEX('DETALLE CRONOLÓGICO'!$K$2:$K$4919,MATCH($A706,'DETALLE CRONOLÓGICO'!$A$2:$A$4919,0))-1,"")</f>
        <v/>
      </c>
      <c r="O706" s="6">
        <f>IFERROR($I706*3,"")</f>
        <v/>
      </c>
      <c r="P706" s="6">
        <f>IFERROR($I706*3.5,"")</f>
        <v/>
      </c>
      <c r="Q706" s="6">
        <f>IFERROR($I706*4,"")</f>
        <v/>
      </c>
      <c r="R706" s="6" t="n">
        <v>450</v>
      </c>
      <c r="S706" s="4" t="n">
        <v>4</v>
      </c>
      <c r="T706" s="1" t="inlineStr">
        <is>
          <t>active</t>
        </is>
      </c>
      <c r="U706" s="8" t="n"/>
      <c r="V706" s="1" t="inlineStr">
        <is>
          <t>SIN PRECIO</t>
        </is>
      </c>
    </row>
    <row r="707">
      <c r="A707" s="1" t="inlineStr">
        <is>
          <t>42981955928204</t>
        </is>
      </c>
      <c r="B707" s="1" t="inlineStr">
        <is>
          <t>ANILLO TB SILVER</t>
        </is>
      </c>
      <c r="C707" s="1" t="n">
        <v>8</v>
      </c>
      <c r="D707" s="1" t="inlineStr">
        <is>
          <t>NANCY</t>
        </is>
      </c>
      <c r="E707" s="4">
        <f>COUNTIF('DETALLE CRONOLÓGICO'!$A$2:$A$4919,$A707)</f>
        <v/>
      </c>
      <c r="F707" s="4">
        <f>SUMIFS('DETALLE CRONOLÓGICO'!$I$2:$I$4919,'DETALLE CRONOLÓGICO'!$A$2:$A$4919,$A707)</f>
        <v/>
      </c>
      <c r="G707" s="1">
        <f>INDEX('DETALLE CRONOLÓGICO'!$D$2:$D$4919,MATCH($A707,'DETALLE CRONOLÓGICO'!$A$2:$A$4919,0))</f>
        <v/>
      </c>
      <c r="H707" s="1">
        <f>INDEX('DETALLE CRONOLÓGICO'!$D$2:$D$4919,MATCH($A707,'DETALLE CRONOLÓGICO'!$A$2:$A$4919,0)+$E707-1)</f>
        <v/>
      </c>
      <c r="I707" s="5">
        <f>IFERROR(SUMIFS('DETALLE CRONOLÓGICO'!$L$2:$L$4919,'DETALLE CRONOLÓGICO'!$A$2:$A$4919,$A707)/$F707,"")</f>
        <v/>
      </c>
      <c r="J707" s="6">
        <f>IFERROR(SUMIFS('DETALLE CRONOLÓGICO'!$K$2:$K$4919,'DETALLE CRONOLÓGICO'!$A$2:$A$4919,$A707)/$E707,"")</f>
        <v/>
      </c>
      <c r="K707" s="6">
        <f>_xlfn.MINIFS('DETALLE CRONOLÓGICO'!$K$2:$K$4919,'DETALLE CRONOLÓGICO'!$A$2:$A$4919,$A707)</f>
        <v/>
      </c>
      <c r="L707" s="6">
        <f>_xlfn.MAXIFS('DETALLE CRONOLÓGICO'!$K$2:$K$4919,'DETALLE CRONOLÓGICO'!$A$2:$A$4919,$A707)</f>
        <v/>
      </c>
      <c r="M707" s="6">
        <f>INDEX('DETALLE CRONOLÓGICO'!$K$2:$K$4919,MATCH($A707,'DETALLE CRONOLÓGICO'!$A$2:$A$4919,0)+$E707-1)</f>
        <v/>
      </c>
      <c r="N707" s="7">
        <f>IFERROR($M707/INDEX('DETALLE CRONOLÓGICO'!$K$2:$K$4919,MATCH($A707,'DETALLE CRONOLÓGICO'!$A$2:$A$4919,0))-1,"")</f>
        <v/>
      </c>
      <c r="O707" s="6">
        <f>IFERROR($I707*3,"")</f>
        <v/>
      </c>
      <c r="P707" s="6">
        <f>IFERROR($I707*3.5,"")</f>
        <v/>
      </c>
      <c r="Q707" s="6">
        <f>IFERROR($I707*4,"")</f>
        <v/>
      </c>
      <c r="R707" s="6" t="n">
        <v>225</v>
      </c>
      <c r="S707" s="4" t="n">
        <v>4</v>
      </c>
      <c r="T707" s="1" t="inlineStr">
        <is>
          <t>active</t>
        </is>
      </c>
      <c r="U707" s="8" t="n"/>
      <c r="V707" s="1" t="inlineStr">
        <is>
          <t>SIN PRECIO</t>
        </is>
      </c>
    </row>
    <row r="708">
      <c r="A708" s="1" t="inlineStr">
        <is>
          <t>42981964578956</t>
        </is>
      </c>
      <c r="B708" s="1" t="inlineStr">
        <is>
          <t>COLLAR POP H SILVER BLACK</t>
        </is>
      </c>
      <c r="C708" s="1" t="inlineStr">
        <is>
          <t>MEDIUM QUALITY</t>
        </is>
      </c>
      <c r="D708" s="1" t="inlineStr">
        <is>
          <t>NANCY</t>
        </is>
      </c>
      <c r="E708" s="4">
        <f>COUNTIF('DETALLE CRONOLÓGICO'!$A$2:$A$4919,$A708)</f>
        <v/>
      </c>
      <c r="F708" s="4">
        <f>SUMIFS('DETALLE CRONOLÓGICO'!$I$2:$I$4919,'DETALLE CRONOLÓGICO'!$A$2:$A$4919,$A708)</f>
        <v/>
      </c>
      <c r="G708" s="1">
        <f>INDEX('DETALLE CRONOLÓGICO'!$D$2:$D$4919,MATCH($A708,'DETALLE CRONOLÓGICO'!$A$2:$A$4919,0))</f>
        <v/>
      </c>
      <c r="H708" s="1">
        <f>INDEX('DETALLE CRONOLÓGICO'!$D$2:$D$4919,MATCH($A708,'DETALLE CRONOLÓGICO'!$A$2:$A$4919,0)+$E708-1)</f>
        <v/>
      </c>
      <c r="I708" s="5">
        <f>IFERROR(SUMIFS('DETALLE CRONOLÓGICO'!$L$2:$L$4919,'DETALLE CRONOLÓGICO'!$A$2:$A$4919,$A708)/$F708,"")</f>
        <v/>
      </c>
      <c r="J708" s="6">
        <f>IFERROR(SUMIFS('DETALLE CRONOLÓGICO'!$K$2:$K$4919,'DETALLE CRONOLÓGICO'!$A$2:$A$4919,$A708)/$E708,"")</f>
        <v/>
      </c>
      <c r="K708" s="6">
        <f>_xlfn.MINIFS('DETALLE CRONOLÓGICO'!$K$2:$K$4919,'DETALLE CRONOLÓGICO'!$A$2:$A$4919,$A708)</f>
        <v/>
      </c>
      <c r="L708" s="6">
        <f>_xlfn.MAXIFS('DETALLE CRONOLÓGICO'!$K$2:$K$4919,'DETALLE CRONOLÓGICO'!$A$2:$A$4919,$A708)</f>
        <v/>
      </c>
      <c r="M708" s="6">
        <f>INDEX('DETALLE CRONOLÓGICO'!$K$2:$K$4919,MATCH($A708,'DETALLE CRONOLÓGICO'!$A$2:$A$4919,0)+$E708-1)</f>
        <v/>
      </c>
      <c r="N708" s="7">
        <f>IFERROR($M708/INDEX('DETALLE CRONOLÓGICO'!$K$2:$K$4919,MATCH($A708,'DETALLE CRONOLÓGICO'!$A$2:$A$4919,0))-1,"")</f>
        <v/>
      </c>
      <c r="O708" s="6">
        <f>IFERROR($I708*3,"")</f>
        <v/>
      </c>
      <c r="P708" s="6">
        <f>IFERROR($I708*3.5,"")</f>
        <v/>
      </c>
      <c r="Q708" s="6">
        <f>IFERROR($I708*4,"")</f>
        <v/>
      </c>
      <c r="R708" s="6" t="n">
        <v>499</v>
      </c>
      <c r="S708" s="4" t="n">
        <v>7</v>
      </c>
      <c r="T708" s="1" t="inlineStr">
        <is>
          <t>active</t>
        </is>
      </c>
      <c r="U708" s="8" t="n"/>
      <c r="V708" s="1" t="inlineStr">
        <is>
          <t>SIN PRECIO</t>
        </is>
      </c>
    </row>
    <row r="709">
      <c r="A709" s="1" t="inlineStr">
        <is>
          <t>42981966872716</t>
        </is>
      </c>
      <c r="B709" s="1" t="inlineStr">
        <is>
          <t>COLLAR POP H GOLD BLACK</t>
        </is>
      </c>
      <c r="C709" s="1" t="inlineStr">
        <is>
          <t>MEDIUM QUALITY</t>
        </is>
      </c>
      <c r="D709" s="1" t="inlineStr">
        <is>
          <t>NANCY</t>
        </is>
      </c>
      <c r="E709" s="4">
        <f>COUNTIF('DETALLE CRONOLÓGICO'!$A$2:$A$4919,$A709)</f>
        <v/>
      </c>
      <c r="F709" s="4">
        <f>SUMIFS('DETALLE CRONOLÓGICO'!$I$2:$I$4919,'DETALLE CRONOLÓGICO'!$A$2:$A$4919,$A709)</f>
        <v/>
      </c>
      <c r="G709" s="1">
        <f>INDEX('DETALLE CRONOLÓGICO'!$D$2:$D$4919,MATCH($A709,'DETALLE CRONOLÓGICO'!$A$2:$A$4919,0))</f>
        <v/>
      </c>
      <c r="H709" s="1">
        <f>INDEX('DETALLE CRONOLÓGICO'!$D$2:$D$4919,MATCH($A709,'DETALLE CRONOLÓGICO'!$A$2:$A$4919,0)+$E709-1)</f>
        <v/>
      </c>
      <c r="I709" s="5">
        <f>IFERROR(SUMIFS('DETALLE CRONOLÓGICO'!$L$2:$L$4919,'DETALLE CRONOLÓGICO'!$A$2:$A$4919,$A709)/$F709,"")</f>
        <v/>
      </c>
      <c r="J709" s="6">
        <f>IFERROR(SUMIFS('DETALLE CRONOLÓGICO'!$K$2:$K$4919,'DETALLE CRONOLÓGICO'!$A$2:$A$4919,$A709)/$E709,"")</f>
        <v/>
      </c>
      <c r="K709" s="6">
        <f>_xlfn.MINIFS('DETALLE CRONOLÓGICO'!$K$2:$K$4919,'DETALLE CRONOLÓGICO'!$A$2:$A$4919,$A709)</f>
        <v/>
      </c>
      <c r="L709" s="6">
        <f>_xlfn.MAXIFS('DETALLE CRONOLÓGICO'!$K$2:$K$4919,'DETALLE CRONOLÓGICO'!$A$2:$A$4919,$A709)</f>
        <v/>
      </c>
      <c r="M709" s="6">
        <f>INDEX('DETALLE CRONOLÓGICO'!$K$2:$K$4919,MATCH($A709,'DETALLE CRONOLÓGICO'!$A$2:$A$4919,0)+$E709-1)</f>
        <v/>
      </c>
      <c r="N709" s="7">
        <f>IFERROR($M709/INDEX('DETALLE CRONOLÓGICO'!$K$2:$K$4919,MATCH($A709,'DETALLE CRONOLÓGICO'!$A$2:$A$4919,0))-1,"")</f>
        <v/>
      </c>
      <c r="O709" s="6">
        <f>IFERROR($I709*3,"")</f>
        <v/>
      </c>
      <c r="P709" s="6">
        <f>IFERROR($I709*3.5,"")</f>
        <v/>
      </c>
      <c r="Q709" s="6">
        <f>IFERROR($I709*4,"")</f>
        <v/>
      </c>
      <c r="R709" s="6" t="n">
        <v>499</v>
      </c>
      <c r="S709" s="4" t="n">
        <v>2</v>
      </c>
      <c r="T709" s="1" t="inlineStr">
        <is>
          <t>active</t>
        </is>
      </c>
      <c r="U709" s="8" t="n"/>
      <c r="V709" s="1" t="inlineStr">
        <is>
          <t>SIN PRECIO</t>
        </is>
      </c>
    </row>
    <row r="710">
      <c r="A710" s="1" t="inlineStr">
        <is>
          <t>42981971361932</t>
        </is>
      </c>
      <c r="B710" s="1" t="inlineStr">
        <is>
          <t>COLLAR POP H ROSEGOLD WHITE</t>
        </is>
      </c>
      <c r="C710" s="1" t="inlineStr">
        <is>
          <t>largo de Cadena 49cm  1.5cm de dije</t>
        </is>
      </c>
      <c r="D710" s="1" t="inlineStr">
        <is>
          <t>HAIFENG / NANCY</t>
        </is>
      </c>
      <c r="E710" s="4">
        <f>COUNTIF('DETALLE CRONOLÓGICO'!$A$2:$A$4919,$A710)</f>
        <v/>
      </c>
      <c r="F710" s="4">
        <f>SUMIFS('DETALLE CRONOLÓGICO'!$I$2:$I$4919,'DETALLE CRONOLÓGICO'!$A$2:$A$4919,$A710)</f>
        <v/>
      </c>
      <c r="G710" s="1">
        <f>INDEX('DETALLE CRONOLÓGICO'!$D$2:$D$4919,MATCH($A710,'DETALLE CRONOLÓGICO'!$A$2:$A$4919,0))</f>
        <v/>
      </c>
      <c r="H710" s="1">
        <f>INDEX('DETALLE CRONOLÓGICO'!$D$2:$D$4919,MATCH($A710,'DETALLE CRONOLÓGICO'!$A$2:$A$4919,0)+$E710-1)</f>
        <v/>
      </c>
      <c r="I710" s="5">
        <f>IFERROR(SUMIFS('DETALLE CRONOLÓGICO'!$L$2:$L$4919,'DETALLE CRONOLÓGICO'!$A$2:$A$4919,$A710)/$F710,"")</f>
        <v/>
      </c>
      <c r="J710" s="6">
        <f>IFERROR(SUMIFS('DETALLE CRONOLÓGICO'!$K$2:$K$4919,'DETALLE CRONOLÓGICO'!$A$2:$A$4919,$A710)/$E710,"")</f>
        <v/>
      </c>
      <c r="K710" s="6">
        <f>_xlfn.MINIFS('DETALLE CRONOLÓGICO'!$K$2:$K$4919,'DETALLE CRONOLÓGICO'!$A$2:$A$4919,$A710)</f>
        <v/>
      </c>
      <c r="L710" s="6">
        <f>_xlfn.MAXIFS('DETALLE CRONOLÓGICO'!$K$2:$K$4919,'DETALLE CRONOLÓGICO'!$A$2:$A$4919,$A710)</f>
        <v/>
      </c>
      <c r="M710" s="6">
        <f>INDEX('DETALLE CRONOLÓGICO'!$K$2:$K$4919,MATCH($A710,'DETALLE CRONOLÓGICO'!$A$2:$A$4919,0)+$E710-1)</f>
        <v/>
      </c>
      <c r="N710" s="7">
        <f>IFERROR($M710/INDEX('DETALLE CRONOLÓGICO'!$K$2:$K$4919,MATCH($A710,'DETALLE CRONOLÓGICO'!$A$2:$A$4919,0))-1,"")</f>
        <v/>
      </c>
      <c r="O710" s="6">
        <f>IFERROR($I710*3,"")</f>
        <v/>
      </c>
      <c r="P710" s="6">
        <f>IFERROR($I710*3.5,"")</f>
        <v/>
      </c>
      <c r="Q710" s="6">
        <f>IFERROR($I710*4,"")</f>
        <v/>
      </c>
      <c r="R710" s="6" t="n">
        <v>399</v>
      </c>
      <c r="S710" s="4" t="n">
        <v>3</v>
      </c>
      <c r="T710" s="1" t="inlineStr">
        <is>
          <t>active</t>
        </is>
      </c>
      <c r="U710" s="8" t="n"/>
      <c r="V710" s="1" t="inlineStr">
        <is>
          <t>SIN PRECIO</t>
        </is>
      </c>
    </row>
    <row r="711">
      <c r="A711" s="1" t="inlineStr">
        <is>
          <t>42981975064716</t>
        </is>
      </c>
      <c r="B711" s="1" t="inlineStr">
        <is>
          <t>COLLAR POP H GOLD WHITE</t>
        </is>
      </c>
      <c r="C711" s="1" t="inlineStr">
        <is>
          <t>Regular</t>
        </is>
      </c>
      <c r="D711" s="1" t="inlineStr">
        <is>
          <t>NANCY</t>
        </is>
      </c>
      <c r="E711" s="4">
        <f>COUNTIF('DETALLE CRONOLÓGICO'!$A$2:$A$4919,$A711)</f>
        <v/>
      </c>
      <c r="F711" s="4">
        <f>SUMIFS('DETALLE CRONOLÓGICO'!$I$2:$I$4919,'DETALLE CRONOLÓGICO'!$A$2:$A$4919,$A711)</f>
        <v/>
      </c>
      <c r="G711" s="1">
        <f>INDEX('DETALLE CRONOLÓGICO'!$D$2:$D$4919,MATCH($A711,'DETALLE CRONOLÓGICO'!$A$2:$A$4919,0))</f>
        <v/>
      </c>
      <c r="H711" s="1">
        <f>INDEX('DETALLE CRONOLÓGICO'!$D$2:$D$4919,MATCH($A711,'DETALLE CRONOLÓGICO'!$A$2:$A$4919,0)+$E711-1)</f>
        <v/>
      </c>
      <c r="I711" s="5">
        <f>IFERROR(SUMIFS('DETALLE CRONOLÓGICO'!$L$2:$L$4919,'DETALLE CRONOLÓGICO'!$A$2:$A$4919,$A711)/$F711,"")</f>
        <v/>
      </c>
      <c r="J711" s="6">
        <f>IFERROR(SUMIFS('DETALLE CRONOLÓGICO'!$K$2:$K$4919,'DETALLE CRONOLÓGICO'!$A$2:$A$4919,$A711)/$E711,"")</f>
        <v/>
      </c>
      <c r="K711" s="6">
        <f>_xlfn.MINIFS('DETALLE CRONOLÓGICO'!$K$2:$K$4919,'DETALLE CRONOLÓGICO'!$A$2:$A$4919,$A711)</f>
        <v/>
      </c>
      <c r="L711" s="6">
        <f>_xlfn.MAXIFS('DETALLE CRONOLÓGICO'!$K$2:$K$4919,'DETALLE CRONOLÓGICO'!$A$2:$A$4919,$A711)</f>
        <v/>
      </c>
      <c r="M711" s="6">
        <f>INDEX('DETALLE CRONOLÓGICO'!$K$2:$K$4919,MATCH($A711,'DETALLE CRONOLÓGICO'!$A$2:$A$4919,0)+$E711-1)</f>
        <v/>
      </c>
      <c r="N711" s="7">
        <f>IFERROR($M711/INDEX('DETALLE CRONOLÓGICO'!$K$2:$K$4919,MATCH($A711,'DETALLE CRONOLÓGICO'!$A$2:$A$4919,0))-1,"")</f>
        <v/>
      </c>
      <c r="O711" s="6">
        <f>IFERROR($I711*3,"")</f>
        <v/>
      </c>
      <c r="P711" s="6">
        <f>IFERROR($I711*3.5,"")</f>
        <v/>
      </c>
      <c r="Q711" s="6">
        <f>IFERROR($I711*4,"")</f>
        <v/>
      </c>
      <c r="R711" s="6" t="n">
        <v>550</v>
      </c>
      <c r="S711" s="4" t="n">
        <v>2</v>
      </c>
      <c r="T711" s="1" t="inlineStr">
        <is>
          <t>active</t>
        </is>
      </c>
      <c r="U711" s="8" t="n"/>
      <c r="V711" s="1" t="inlineStr">
        <is>
          <t>SIN PRECIO</t>
        </is>
      </c>
    </row>
    <row r="712">
      <c r="A712" s="1" t="inlineStr">
        <is>
          <t>42981986795660</t>
        </is>
      </c>
      <c r="B712" s="1" t="inlineStr">
        <is>
          <t>ARETES V ROUND GOLD</t>
        </is>
      </c>
      <c r="C712" s="1" t="inlineStr">
        <is>
          <t>Regular</t>
        </is>
      </c>
      <c r="D712" s="1" t="inlineStr">
        <is>
          <t>NANCY</t>
        </is>
      </c>
      <c r="E712" s="4">
        <f>COUNTIF('DETALLE CRONOLÓGICO'!$A$2:$A$4919,$A712)</f>
        <v/>
      </c>
      <c r="F712" s="4">
        <f>SUMIFS('DETALLE CRONOLÓGICO'!$I$2:$I$4919,'DETALLE CRONOLÓGICO'!$A$2:$A$4919,$A712)</f>
        <v/>
      </c>
      <c r="G712" s="1">
        <f>INDEX('DETALLE CRONOLÓGICO'!$D$2:$D$4919,MATCH($A712,'DETALLE CRONOLÓGICO'!$A$2:$A$4919,0))</f>
        <v/>
      </c>
      <c r="H712" s="1">
        <f>INDEX('DETALLE CRONOLÓGICO'!$D$2:$D$4919,MATCH($A712,'DETALLE CRONOLÓGICO'!$A$2:$A$4919,0)+$E712-1)</f>
        <v/>
      </c>
      <c r="I712" s="5">
        <f>IFERROR(SUMIFS('DETALLE CRONOLÓGICO'!$L$2:$L$4919,'DETALLE CRONOLÓGICO'!$A$2:$A$4919,$A712)/$F712,"")</f>
        <v/>
      </c>
      <c r="J712" s="6">
        <f>IFERROR(SUMIFS('DETALLE CRONOLÓGICO'!$K$2:$K$4919,'DETALLE CRONOLÓGICO'!$A$2:$A$4919,$A712)/$E712,"")</f>
        <v/>
      </c>
      <c r="K712" s="6">
        <f>_xlfn.MINIFS('DETALLE CRONOLÓGICO'!$K$2:$K$4919,'DETALLE CRONOLÓGICO'!$A$2:$A$4919,$A712)</f>
        <v/>
      </c>
      <c r="L712" s="6">
        <f>_xlfn.MAXIFS('DETALLE CRONOLÓGICO'!$K$2:$K$4919,'DETALLE CRONOLÓGICO'!$A$2:$A$4919,$A712)</f>
        <v/>
      </c>
      <c r="M712" s="6">
        <f>INDEX('DETALLE CRONOLÓGICO'!$K$2:$K$4919,MATCH($A712,'DETALLE CRONOLÓGICO'!$A$2:$A$4919,0)+$E712-1)</f>
        <v/>
      </c>
      <c r="N712" s="7">
        <f>IFERROR($M712/INDEX('DETALLE CRONOLÓGICO'!$K$2:$K$4919,MATCH($A712,'DETALLE CRONOLÓGICO'!$A$2:$A$4919,0))-1,"")</f>
        <v/>
      </c>
      <c r="O712" s="6">
        <f>IFERROR($I712*3,"")</f>
        <v/>
      </c>
      <c r="P712" s="6">
        <f>IFERROR($I712*3.5,"")</f>
        <v/>
      </c>
      <c r="Q712" s="6">
        <f>IFERROR($I712*4,"")</f>
        <v/>
      </c>
      <c r="R712" s="6" t="n">
        <v>550</v>
      </c>
      <c r="S712" s="4" t="n">
        <v>1</v>
      </c>
      <c r="T712" s="1" t="inlineStr">
        <is>
          <t>active</t>
        </is>
      </c>
      <c r="U712" s="8" t="n"/>
      <c r="V712" s="1" t="inlineStr">
        <is>
          <t>SIN PRECIO</t>
        </is>
      </c>
    </row>
    <row r="713">
      <c r="A713" s="1" t="inlineStr">
        <is>
          <t>42981998657676</t>
        </is>
      </c>
      <c r="B713" s="1" t="inlineStr">
        <is>
          <t>ARETES FR GOLD</t>
        </is>
      </c>
      <c r="C713" s="1" t="inlineStr">
        <is>
          <t>Regular</t>
        </is>
      </c>
      <c r="D713" s="1" t="inlineStr">
        <is>
          <t>HAIFENG / NANCY</t>
        </is>
      </c>
      <c r="E713" s="4">
        <f>COUNTIF('DETALLE CRONOLÓGICO'!$A$2:$A$4919,$A713)</f>
        <v/>
      </c>
      <c r="F713" s="4">
        <f>SUMIFS('DETALLE CRONOLÓGICO'!$I$2:$I$4919,'DETALLE CRONOLÓGICO'!$A$2:$A$4919,$A713)</f>
        <v/>
      </c>
      <c r="G713" s="1">
        <f>INDEX('DETALLE CRONOLÓGICO'!$D$2:$D$4919,MATCH($A713,'DETALLE CRONOLÓGICO'!$A$2:$A$4919,0))</f>
        <v/>
      </c>
      <c r="H713" s="1">
        <f>INDEX('DETALLE CRONOLÓGICO'!$D$2:$D$4919,MATCH($A713,'DETALLE CRONOLÓGICO'!$A$2:$A$4919,0)+$E713-1)</f>
        <v/>
      </c>
      <c r="I713" s="5">
        <f>IFERROR(SUMIFS('DETALLE CRONOLÓGICO'!$L$2:$L$4919,'DETALLE CRONOLÓGICO'!$A$2:$A$4919,$A713)/$F713,"")</f>
        <v/>
      </c>
      <c r="J713" s="6">
        <f>IFERROR(SUMIFS('DETALLE CRONOLÓGICO'!$K$2:$K$4919,'DETALLE CRONOLÓGICO'!$A$2:$A$4919,$A713)/$E713,"")</f>
        <v/>
      </c>
      <c r="K713" s="6">
        <f>_xlfn.MINIFS('DETALLE CRONOLÓGICO'!$K$2:$K$4919,'DETALLE CRONOLÓGICO'!$A$2:$A$4919,$A713)</f>
        <v/>
      </c>
      <c r="L713" s="6">
        <f>_xlfn.MAXIFS('DETALLE CRONOLÓGICO'!$K$2:$K$4919,'DETALLE CRONOLÓGICO'!$A$2:$A$4919,$A713)</f>
        <v/>
      </c>
      <c r="M713" s="6">
        <f>INDEX('DETALLE CRONOLÓGICO'!$K$2:$K$4919,MATCH($A713,'DETALLE CRONOLÓGICO'!$A$2:$A$4919,0)+$E713-1)</f>
        <v/>
      </c>
      <c r="N713" s="7">
        <f>IFERROR($M713/INDEX('DETALLE CRONOLÓGICO'!$K$2:$K$4919,MATCH($A713,'DETALLE CRONOLÓGICO'!$A$2:$A$4919,0))-1,"")</f>
        <v/>
      </c>
      <c r="O713" s="6">
        <f>IFERROR($I713*3,"")</f>
        <v/>
      </c>
      <c r="P713" s="6">
        <f>IFERROR($I713*3.5,"")</f>
        <v/>
      </c>
      <c r="Q713" s="6">
        <f>IFERROR($I713*4,"")</f>
        <v/>
      </c>
      <c r="R713" s="6" t="n">
        <v>499</v>
      </c>
      <c r="S713" s="4" t="n">
        <v>18</v>
      </c>
      <c r="T713" s="1" t="inlineStr">
        <is>
          <t>active</t>
        </is>
      </c>
      <c r="U713" s="8" t="n"/>
      <c r="V713" s="1" t="inlineStr">
        <is>
          <t>SIN PRECIO</t>
        </is>
      </c>
    </row>
    <row r="714">
      <c r="A714" s="1" t="inlineStr">
        <is>
          <t>42982006882444</t>
        </is>
      </c>
      <c r="B714" s="1" t="inlineStr">
        <is>
          <t>ARETES FR GOLD CON PERLA</t>
        </is>
      </c>
      <c r="C714" s="1" t="inlineStr">
        <is>
          <t>Default Title</t>
        </is>
      </c>
      <c r="D714" s="1" t="inlineStr">
        <is>
          <t>HAIFENG / NANCY</t>
        </is>
      </c>
      <c r="E714" s="4">
        <f>COUNTIF('DETALLE CRONOLÓGICO'!$A$2:$A$4919,$A714)</f>
        <v/>
      </c>
      <c r="F714" s="4">
        <f>SUMIFS('DETALLE CRONOLÓGICO'!$I$2:$I$4919,'DETALLE CRONOLÓGICO'!$A$2:$A$4919,$A714)</f>
        <v/>
      </c>
      <c r="G714" s="1">
        <f>INDEX('DETALLE CRONOLÓGICO'!$D$2:$D$4919,MATCH($A714,'DETALLE CRONOLÓGICO'!$A$2:$A$4919,0))</f>
        <v/>
      </c>
      <c r="H714" s="1">
        <f>INDEX('DETALLE CRONOLÓGICO'!$D$2:$D$4919,MATCH($A714,'DETALLE CRONOLÓGICO'!$A$2:$A$4919,0)+$E714-1)</f>
        <v/>
      </c>
      <c r="I714" s="5">
        <f>IFERROR(SUMIFS('DETALLE CRONOLÓGICO'!$L$2:$L$4919,'DETALLE CRONOLÓGICO'!$A$2:$A$4919,$A714)/$F714,"")</f>
        <v/>
      </c>
      <c r="J714" s="6">
        <f>IFERROR(SUMIFS('DETALLE CRONOLÓGICO'!$K$2:$K$4919,'DETALLE CRONOLÓGICO'!$A$2:$A$4919,$A714)/$E714,"")</f>
        <v/>
      </c>
      <c r="K714" s="6">
        <f>_xlfn.MINIFS('DETALLE CRONOLÓGICO'!$K$2:$K$4919,'DETALLE CRONOLÓGICO'!$A$2:$A$4919,$A714)</f>
        <v/>
      </c>
      <c r="L714" s="6">
        <f>_xlfn.MAXIFS('DETALLE CRONOLÓGICO'!$K$2:$K$4919,'DETALLE CRONOLÓGICO'!$A$2:$A$4919,$A714)</f>
        <v/>
      </c>
      <c r="M714" s="6">
        <f>INDEX('DETALLE CRONOLÓGICO'!$K$2:$K$4919,MATCH($A714,'DETALLE CRONOLÓGICO'!$A$2:$A$4919,0)+$E714-1)</f>
        <v/>
      </c>
      <c r="N714" s="7">
        <f>IFERROR($M714/INDEX('DETALLE CRONOLÓGICO'!$K$2:$K$4919,MATCH($A714,'DETALLE CRONOLÓGICO'!$A$2:$A$4919,0))-1,"")</f>
        <v/>
      </c>
      <c r="O714" s="6">
        <f>IFERROR($I714*3,"")</f>
        <v/>
      </c>
      <c r="P714" s="6">
        <f>IFERROR($I714*3.5,"")</f>
        <v/>
      </c>
      <c r="Q714" s="6">
        <f>IFERROR($I714*4,"")</f>
        <v/>
      </c>
      <c r="R714" s="6" t="n">
        <v>499</v>
      </c>
      <c r="S714" s="4" t="n">
        <v>0</v>
      </c>
      <c r="T714" s="1" t="inlineStr">
        <is>
          <t>active</t>
        </is>
      </c>
      <c r="U714" s="8" t="n"/>
      <c r="V714" s="1" t="inlineStr">
        <is>
          <t>SIN PRECIO</t>
        </is>
      </c>
    </row>
    <row r="715">
      <c r="A715" s="1" t="inlineStr">
        <is>
          <t>42982026674316</t>
        </is>
      </c>
      <c r="B715" s="1" t="inlineStr">
        <is>
          <t>COLLAR V ROUND GOLD</t>
        </is>
      </c>
      <c r="C715" s="1" t="inlineStr">
        <is>
          <t>51cm de largo</t>
        </is>
      </c>
      <c r="D715" s="1" t="inlineStr">
        <is>
          <t>NANCY</t>
        </is>
      </c>
      <c r="E715" s="4">
        <f>COUNTIF('DETALLE CRONOLÓGICO'!$A$2:$A$4919,$A715)</f>
        <v/>
      </c>
      <c r="F715" s="4">
        <f>SUMIFS('DETALLE CRONOLÓGICO'!$I$2:$I$4919,'DETALLE CRONOLÓGICO'!$A$2:$A$4919,$A715)</f>
        <v/>
      </c>
      <c r="G715" s="1">
        <f>INDEX('DETALLE CRONOLÓGICO'!$D$2:$D$4919,MATCH($A715,'DETALLE CRONOLÓGICO'!$A$2:$A$4919,0))</f>
        <v/>
      </c>
      <c r="H715" s="1">
        <f>INDEX('DETALLE CRONOLÓGICO'!$D$2:$D$4919,MATCH($A715,'DETALLE CRONOLÓGICO'!$A$2:$A$4919,0)+$E715-1)</f>
        <v/>
      </c>
      <c r="I715" s="5">
        <f>IFERROR(SUMIFS('DETALLE CRONOLÓGICO'!$L$2:$L$4919,'DETALLE CRONOLÓGICO'!$A$2:$A$4919,$A715)/$F715,"")</f>
        <v/>
      </c>
      <c r="J715" s="6">
        <f>IFERROR(SUMIFS('DETALLE CRONOLÓGICO'!$K$2:$K$4919,'DETALLE CRONOLÓGICO'!$A$2:$A$4919,$A715)/$E715,"")</f>
        <v/>
      </c>
      <c r="K715" s="6">
        <f>_xlfn.MINIFS('DETALLE CRONOLÓGICO'!$K$2:$K$4919,'DETALLE CRONOLÓGICO'!$A$2:$A$4919,$A715)</f>
        <v/>
      </c>
      <c r="L715" s="6">
        <f>_xlfn.MAXIFS('DETALLE CRONOLÓGICO'!$K$2:$K$4919,'DETALLE CRONOLÓGICO'!$A$2:$A$4919,$A715)</f>
        <v/>
      </c>
      <c r="M715" s="6">
        <f>INDEX('DETALLE CRONOLÓGICO'!$K$2:$K$4919,MATCH($A715,'DETALLE CRONOLÓGICO'!$A$2:$A$4919,0)+$E715-1)</f>
        <v/>
      </c>
      <c r="N715" s="7">
        <f>IFERROR($M715/INDEX('DETALLE CRONOLÓGICO'!$K$2:$K$4919,MATCH($A715,'DETALLE CRONOLÓGICO'!$A$2:$A$4919,0))-1,"")</f>
        <v/>
      </c>
      <c r="O715" s="6">
        <f>IFERROR($I715*3,"")</f>
        <v/>
      </c>
      <c r="P715" s="6">
        <f>IFERROR($I715*3.5,"")</f>
        <v/>
      </c>
      <c r="Q715" s="6">
        <f>IFERROR($I715*4,"")</f>
        <v/>
      </c>
      <c r="R715" s="6" t="n">
        <v>615</v>
      </c>
      <c r="S715" s="4" t="n">
        <v>5</v>
      </c>
      <c r="T715" s="1" t="inlineStr">
        <is>
          <t>active</t>
        </is>
      </c>
      <c r="U715" s="8" t="n"/>
      <c r="V715" s="1" t="inlineStr">
        <is>
          <t>SIN PRECIO</t>
        </is>
      </c>
    </row>
    <row r="716">
      <c r="A716" s="1" t="inlineStr">
        <is>
          <t>43010669576332</t>
        </is>
      </c>
      <c r="B716" s="1" t="inlineStr">
        <is>
          <t>COLLAR TREBOL GREEN-ROSE GOLD</t>
        </is>
      </c>
      <c r="C716" s="1" t="inlineStr">
        <is>
          <t>HIGH QUALITY 45cm</t>
        </is>
      </c>
      <c r="D716" s="1" t="inlineStr">
        <is>
          <t>HAIFENG</t>
        </is>
      </c>
      <c r="E716" s="4">
        <f>COUNTIF('DETALLE CRONOLÓGICO'!$A$2:$A$4919,$A716)</f>
        <v/>
      </c>
      <c r="F716" s="4">
        <f>SUMIFS('DETALLE CRONOLÓGICO'!$I$2:$I$4919,'DETALLE CRONOLÓGICO'!$A$2:$A$4919,$A716)</f>
        <v/>
      </c>
      <c r="G716" s="1">
        <f>INDEX('DETALLE CRONOLÓGICO'!$D$2:$D$4919,MATCH($A716,'DETALLE CRONOLÓGICO'!$A$2:$A$4919,0))</f>
        <v/>
      </c>
      <c r="H716" s="1">
        <f>INDEX('DETALLE CRONOLÓGICO'!$D$2:$D$4919,MATCH($A716,'DETALLE CRONOLÓGICO'!$A$2:$A$4919,0)+$E716-1)</f>
        <v/>
      </c>
      <c r="I716" s="5">
        <f>IFERROR(SUMIFS('DETALLE CRONOLÓGICO'!$L$2:$L$4919,'DETALLE CRONOLÓGICO'!$A$2:$A$4919,$A716)/$F716,"")</f>
        <v/>
      </c>
      <c r="J716" s="6">
        <f>IFERROR(SUMIFS('DETALLE CRONOLÓGICO'!$K$2:$K$4919,'DETALLE CRONOLÓGICO'!$A$2:$A$4919,$A716)/$E716,"")</f>
        <v/>
      </c>
      <c r="K716" s="6">
        <f>_xlfn.MINIFS('DETALLE CRONOLÓGICO'!$K$2:$K$4919,'DETALLE CRONOLÓGICO'!$A$2:$A$4919,$A716)</f>
        <v/>
      </c>
      <c r="L716" s="6">
        <f>_xlfn.MAXIFS('DETALLE CRONOLÓGICO'!$K$2:$K$4919,'DETALLE CRONOLÓGICO'!$A$2:$A$4919,$A716)</f>
        <v/>
      </c>
      <c r="M716" s="6">
        <f>INDEX('DETALLE CRONOLÓGICO'!$K$2:$K$4919,MATCH($A716,'DETALLE CRONOLÓGICO'!$A$2:$A$4919,0)+$E716-1)</f>
        <v/>
      </c>
      <c r="N716" s="7">
        <f>IFERROR($M716/INDEX('DETALLE CRONOLÓGICO'!$K$2:$K$4919,MATCH($A716,'DETALLE CRONOLÓGICO'!$A$2:$A$4919,0))-1,"")</f>
        <v/>
      </c>
      <c r="O716" s="6">
        <f>IFERROR($I716*3,"")</f>
        <v/>
      </c>
      <c r="P716" s="6">
        <f>IFERROR($I716*3.5,"")</f>
        <v/>
      </c>
      <c r="Q716" s="6">
        <f>IFERROR($I716*4,"")</f>
        <v/>
      </c>
      <c r="R716" s="6" t="n">
        <v>899</v>
      </c>
      <c r="S716" s="4" t="n">
        <v>2</v>
      </c>
      <c r="T716" s="1" t="inlineStr">
        <is>
          <t>active</t>
        </is>
      </c>
      <c r="U716" s="8" t="n"/>
      <c r="V716" s="1" t="inlineStr">
        <is>
          <t>SIN PRECIO</t>
        </is>
      </c>
    </row>
    <row r="717">
      <c r="A717" s="1" t="inlineStr">
        <is>
          <t>43016701149324</t>
        </is>
      </c>
      <c r="B717" s="1" t="inlineStr">
        <is>
          <t>COLLAR ROUND T SILVER CON ZIRCONIAS</t>
        </is>
      </c>
      <c r="C717" s="1" t="inlineStr">
        <is>
          <t>47cm de cadena dije: 3cm</t>
        </is>
      </c>
      <c r="D717" s="1" t="inlineStr">
        <is>
          <t>HAIFENG</t>
        </is>
      </c>
      <c r="E717" s="4">
        <f>COUNTIF('DETALLE CRONOLÓGICO'!$A$2:$A$4919,$A717)</f>
        <v/>
      </c>
      <c r="F717" s="4">
        <f>SUMIFS('DETALLE CRONOLÓGICO'!$I$2:$I$4919,'DETALLE CRONOLÓGICO'!$A$2:$A$4919,$A717)</f>
        <v/>
      </c>
      <c r="G717" s="1">
        <f>INDEX('DETALLE CRONOLÓGICO'!$D$2:$D$4919,MATCH($A717,'DETALLE CRONOLÓGICO'!$A$2:$A$4919,0))</f>
        <v/>
      </c>
      <c r="H717" s="1">
        <f>INDEX('DETALLE CRONOLÓGICO'!$D$2:$D$4919,MATCH($A717,'DETALLE CRONOLÓGICO'!$A$2:$A$4919,0)+$E717-1)</f>
        <v/>
      </c>
      <c r="I717" s="5">
        <f>IFERROR(SUMIFS('DETALLE CRONOLÓGICO'!$L$2:$L$4919,'DETALLE CRONOLÓGICO'!$A$2:$A$4919,$A717)/$F717,"")</f>
        <v/>
      </c>
      <c r="J717" s="6">
        <f>IFERROR(SUMIFS('DETALLE CRONOLÓGICO'!$K$2:$K$4919,'DETALLE CRONOLÓGICO'!$A$2:$A$4919,$A717)/$E717,"")</f>
        <v/>
      </c>
      <c r="K717" s="6">
        <f>_xlfn.MINIFS('DETALLE CRONOLÓGICO'!$K$2:$K$4919,'DETALLE CRONOLÓGICO'!$A$2:$A$4919,$A717)</f>
        <v/>
      </c>
      <c r="L717" s="6">
        <f>_xlfn.MAXIFS('DETALLE CRONOLÓGICO'!$K$2:$K$4919,'DETALLE CRONOLÓGICO'!$A$2:$A$4919,$A717)</f>
        <v/>
      </c>
      <c r="M717" s="6">
        <f>INDEX('DETALLE CRONOLÓGICO'!$K$2:$K$4919,MATCH($A717,'DETALLE CRONOLÓGICO'!$A$2:$A$4919,0)+$E717-1)</f>
        <v/>
      </c>
      <c r="N717" s="7">
        <f>IFERROR($M717/INDEX('DETALLE CRONOLÓGICO'!$K$2:$K$4919,MATCH($A717,'DETALLE CRONOLÓGICO'!$A$2:$A$4919,0))-1,"")</f>
        <v/>
      </c>
      <c r="O717" s="6">
        <f>IFERROR($I717*3,"")</f>
        <v/>
      </c>
      <c r="P717" s="6">
        <f>IFERROR($I717*3.5,"")</f>
        <v/>
      </c>
      <c r="Q717" s="6">
        <f>IFERROR($I717*4,"")</f>
        <v/>
      </c>
      <c r="R717" s="6" t="n">
        <v>750</v>
      </c>
      <c r="S717" s="4" t="n">
        <v>2</v>
      </c>
      <c r="T717" s="1" t="inlineStr">
        <is>
          <t>active</t>
        </is>
      </c>
      <c r="U717" s="8" t="n"/>
      <c r="V717" s="1" t="inlineStr">
        <is>
          <t>SIN PRECIO</t>
        </is>
      </c>
    </row>
    <row r="718">
      <c r="A718" s="1" t="inlineStr">
        <is>
          <t>43016706621580</t>
        </is>
      </c>
      <c r="B718" s="1" t="inlineStr">
        <is>
          <t>COLLAR ROUND T ROSEGOLD CON ZIRCONIAS</t>
        </is>
      </c>
      <c r="C718" s="1" t="inlineStr">
        <is>
          <t>42cm de cadena dije: 3cm</t>
        </is>
      </c>
      <c r="D718" s="1" t="inlineStr">
        <is>
          <t>HAIFENG</t>
        </is>
      </c>
      <c r="E718" s="4">
        <f>COUNTIF('DETALLE CRONOLÓGICO'!$A$2:$A$4919,$A718)</f>
        <v/>
      </c>
      <c r="F718" s="4">
        <f>SUMIFS('DETALLE CRONOLÓGICO'!$I$2:$I$4919,'DETALLE CRONOLÓGICO'!$A$2:$A$4919,$A718)</f>
        <v/>
      </c>
      <c r="G718" s="1">
        <f>INDEX('DETALLE CRONOLÓGICO'!$D$2:$D$4919,MATCH($A718,'DETALLE CRONOLÓGICO'!$A$2:$A$4919,0))</f>
        <v/>
      </c>
      <c r="H718" s="1">
        <f>INDEX('DETALLE CRONOLÓGICO'!$D$2:$D$4919,MATCH($A718,'DETALLE CRONOLÓGICO'!$A$2:$A$4919,0)+$E718-1)</f>
        <v/>
      </c>
      <c r="I718" s="5">
        <f>IFERROR(SUMIFS('DETALLE CRONOLÓGICO'!$L$2:$L$4919,'DETALLE CRONOLÓGICO'!$A$2:$A$4919,$A718)/$F718,"")</f>
        <v/>
      </c>
      <c r="J718" s="6">
        <f>IFERROR(SUMIFS('DETALLE CRONOLÓGICO'!$K$2:$K$4919,'DETALLE CRONOLÓGICO'!$A$2:$A$4919,$A718)/$E718,"")</f>
        <v/>
      </c>
      <c r="K718" s="6">
        <f>_xlfn.MINIFS('DETALLE CRONOLÓGICO'!$K$2:$K$4919,'DETALLE CRONOLÓGICO'!$A$2:$A$4919,$A718)</f>
        <v/>
      </c>
      <c r="L718" s="6">
        <f>_xlfn.MAXIFS('DETALLE CRONOLÓGICO'!$K$2:$K$4919,'DETALLE CRONOLÓGICO'!$A$2:$A$4919,$A718)</f>
        <v/>
      </c>
      <c r="M718" s="6">
        <f>INDEX('DETALLE CRONOLÓGICO'!$K$2:$K$4919,MATCH($A718,'DETALLE CRONOLÓGICO'!$A$2:$A$4919,0)+$E718-1)</f>
        <v/>
      </c>
      <c r="N718" s="7">
        <f>IFERROR($M718/INDEX('DETALLE CRONOLÓGICO'!$K$2:$K$4919,MATCH($A718,'DETALLE CRONOLÓGICO'!$A$2:$A$4919,0))-1,"")</f>
        <v/>
      </c>
      <c r="O718" s="6">
        <f>IFERROR($I718*3,"")</f>
        <v/>
      </c>
      <c r="P718" s="6">
        <f>IFERROR($I718*3.5,"")</f>
        <v/>
      </c>
      <c r="Q718" s="6">
        <f>IFERROR($I718*4,"")</f>
        <v/>
      </c>
      <c r="R718" s="6" t="n">
        <v>750</v>
      </c>
      <c r="S718" s="4" t="n">
        <v>5</v>
      </c>
      <c r="T718" s="1" t="inlineStr">
        <is>
          <t>active</t>
        </is>
      </c>
      <c r="U718" s="8" t="n"/>
      <c r="V718" s="1" t="inlineStr">
        <is>
          <t>SIN PRECIO</t>
        </is>
      </c>
    </row>
    <row r="719">
      <c r="A719" s="1" t="inlineStr">
        <is>
          <t>43016717566092</t>
        </is>
      </c>
      <c r="B719" s="1" t="inlineStr">
        <is>
          <t>COLLAR CLASH ROSEGOLD</t>
        </is>
      </c>
      <c r="C719" s="1" t="inlineStr">
        <is>
          <t>50cm</t>
        </is>
      </c>
      <c r="D719" s="1" t="inlineStr">
        <is>
          <t>HAIFENG</t>
        </is>
      </c>
      <c r="E719" s="4">
        <f>COUNTIF('DETALLE CRONOLÓGICO'!$A$2:$A$4919,$A719)</f>
        <v/>
      </c>
      <c r="F719" s="4">
        <f>SUMIFS('DETALLE CRONOLÓGICO'!$I$2:$I$4919,'DETALLE CRONOLÓGICO'!$A$2:$A$4919,$A719)</f>
        <v/>
      </c>
      <c r="G719" s="1">
        <f>INDEX('DETALLE CRONOLÓGICO'!$D$2:$D$4919,MATCH($A719,'DETALLE CRONOLÓGICO'!$A$2:$A$4919,0))</f>
        <v/>
      </c>
      <c r="H719" s="1">
        <f>INDEX('DETALLE CRONOLÓGICO'!$D$2:$D$4919,MATCH($A719,'DETALLE CRONOLÓGICO'!$A$2:$A$4919,0)+$E719-1)</f>
        <v/>
      </c>
      <c r="I719" s="5">
        <f>IFERROR(SUMIFS('DETALLE CRONOLÓGICO'!$L$2:$L$4919,'DETALLE CRONOLÓGICO'!$A$2:$A$4919,$A719)/$F719,"")</f>
        <v/>
      </c>
      <c r="J719" s="6">
        <f>IFERROR(SUMIFS('DETALLE CRONOLÓGICO'!$K$2:$K$4919,'DETALLE CRONOLÓGICO'!$A$2:$A$4919,$A719)/$E719,"")</f>
        <v/>
      </c>
      <c r="K719" s="6">
        <f>_xlfn.MINIFS('DETALLE CRONOLÓGICO'!$K$2:$K$4919,'DETALLE CRONOLÓGICO'!$A$2:$A$4919,$A719)</f>
        <v/>
      </c>
      <c r="L719" s="6">
        <f>_xlfn.MAXIFS('DETALLE CRONOLÓGICO'!$K$2:$K$4919,'DETALLE CRONOLÓGICO'!$A$2:$A$4919,$A719)</f>
        <v/>
      </c>
      <c r="M719" s="6">
        <f>INDEX('DETALLE CRONOLÓGICO'!$K$2:$K$4919,MATCH($A719,'DETALLE CRONOLÓGICO'!$A$2:$A$4919,0)+$E719-1)</f>
        <v/>
      </c>
      <c r="N719" s="7">
        <f>IFERROR($M719/INDEX('DETALLE CRONOLÓGICO'!$K$2:$K$4919,MATCH($A719,'DETALLE CRONOLÓGICO'!$A$2:$A$4919,0))-1,"")</f>
        <v/>
      </c>
      <c r="O719" s="6">
        <f>IFERROR($I719*3,"")</f>
        <v/>
      </c>
      <c r="P719" s="6">
        <f>IFERROR($I719*3.5,"")</f>
        <v/>
      </c>
      <c r="Q719" s="6">
        <f>IFERROR($I719*4,"")</f>
        <v/>
      </c>
      <c r="R719" s="6" t="n">
        <v>700</v>
      </c>
      <c r="S719" s="4" t="n">
        <v>3</v>
      </c>
      <c r="T719" s="1" t="inlineStr">
        <is>
          <t>active</t>
        </is>
      </c>
      <c r="U719" s="8" t="n"/>
      <c r="V719" s="1" t="inlineStr">
        <is>
          <t>SIN PRECIO</t>
        </is>
      </c>
    </row>
    <row r="720">
      <c r="A720" s="1" t="inlineStr">
        <is>
          <t>43020901133964</t>
        </is>
      </c>
      <c r="B720" s="1" t="inlineStr">
        <is>
          <t>BOLSO LV NEVERFULL</t>
        </is>
      </c>
      <c r="C720" s="1" t="inlineStr">
        <is>
          <t>47cm x 29cm</t>
        </is>
      </c>
      <c r="D720" s="1" t="inlineStr">
        <is>
          <t>ZOEY</t>
        </is>
      </c>
      <c r="E720" s="4">
        <f>COUNTIF('DETALLE CRONOLÓGICO'!$A$2:$A$4919,$A720)</f>
        <v/>
      </c>
      <c r="F720" s="4">
        <f>SUMIFS('DETALLE CRONOLÓGICO'!$I$2:$I$4919,'DETALLE CRONOLÓGICO'!$A$2:$A$4919,$A720)</f>
        <v/>
      </c>
      <c r="G720" s="1">
        <f>INDEX('DETALLE CRONOLÓGICO'!$D$2:$D$4919,MATCH($A720,'DETALLE CRONOLÓGICO'!$A$2:$A$4919,0))</f>
        <v/>
      </c>
      <c r="H720" s="1">
        <f>INDEX('DETALLE CRONOLÓGICO'!$D$2:$D$4919,MATCH($A720,'DETALLE CRONOLÓGICO'!$A$2:$A$4919,0)+$E720-1)</f>
        <v/>
      </c>
      <c r="I720" s="5">
        <f>IFERROR(SUMIFS('DETALLE CRONOLÓGICO'!$L$2:$L$4919,'DETALLE CRONOLÓGICO'!$A$2:$A$4919,$A720)/$F720,"")</f>
        <v/>
      </c>
      <c r="J720" s="6">
        <f>IFERROR(SUMIFS('DETALLE CRONOLÓGICO'!$K$2:$K$4919,'DETALLE CRONOLÓGICO'!$A$2:$A$4919,$A720)/$E720,"")</f>
        <v/>
      </c>
      <c r="K720" s="6">
        <f>_xlfn.MINIFS('DETALLE CRONOLÓGICO'!$K$2:$K$4919,'DETALLE CRONOLÓGICO'!$A$2:$A$4919,$A720)</f>
        <v/>
      </c>
      <c r="L720" s="6">
        <f>_xlfn.MAXIFS('DETALLE CRONOLÓGICO'!$K$2:$K$4919,'DETALLE CRONOLÓGICO'!$A$2:$A$4919,$A720)</f>
        <v/>
      </c>
      <c r="M720" s="6">
        <f>INDEX('DETALLE CRONOLÓGICO'!$K$2:$K$4919,MATCH($A720,'DETALLE CRONOLÓGICO'!$A$2:$A$4919,0)+$E720-1)</f>
        <v/>
      </c>
      <c r="N720" s="7">
        <f>IFERROR($M720/INDEX('DETALLE CRONOLÓGICO'!$K$2:$K$4919,MATCH($A720,'DETALLE CRONOLÓGICO'!$A$2:$A$4919,0))-1,"")</f>
        <v/>
      </c>
      <c r="O720" s="6">
        <f>IFERROR($I720*3,"")</f>
        <v/>
      </c>
      <c r="P720" s="6">
        <f>IFERROR($I720*3.5,"")</f>
        <v/>
      </c>
      <c r="Q720" s="6">
        <f>IFERROR($I720*4,"")</f>
        <v/>
      </c>
      <c r="R720" s="6" t="n">
        <v>4200</v>
      </c>
      <c r="S720" s="4" t="n">
        <v>5</v>
      </c>
      <c r="T720" s="1" t="inlineStr">
        <is>
          <t>active</t>
        </is>
      </c>
      <c r="U720" s="8" t="n"/>
      <c r="V720" s="1" t="inlineStr">
        <is>
          <t>SIN PRECIO</t>
        </is>
      </c>
    </row>
    <row r="721">
      <c r="A721" s="1" t="inlineStr">
        <is>
          <t>43026586435724</t>
        </is>
      </c>
      <c r="B721" s="1" t="inlineStr">
        <is>
          <t>LENTES YSL SQUARE</t>
        </is>
      </c>
      <c r="C721" s="1" t="inlineStr">
        <is>
          <t>HIGH QUALITY</t>
        </is>
      </c>
      <c r="D721" s="1" t="inlineStr">
        <is>
          <t>CYNTHIA</t>
        </is>
      </c>
      <c r="E721" s="4">
        <f>COUNTIF('DETALLE CRONOLÓGICO'!$A$2:$A$4919,$A721)</f>
        <v/>
      </c>
      <c r="F721" s="4">
        <f>SUMIFS('DETALLE CRONOLÓGICO'!$I$2:$I$4919,'DETALLE CRONOLÓGICO'!$A$2:$A$4919,$A721)</f>
        <v/>
      </c>
      <c r="G721" s="1">
        <f>INDEX('DETALLE CRONOLÓGICO'!$D$2:$D$4919,MATCH($A721,'DETALLE CRONOLÓGICO'!$A$2:$A$4919,0))</f>
        <v/>
      </c>
      <c r="H721" s="1">
        <f>INDEX('DETALLE CRONOLÓGICO'!$D$2:$D$4919,MATCH($A721,'DETALLE CRONOLÓGICO'!$A$2:$A$4919,0)+$E721-1)</f>
        <v/>
      </c>
      <c r="I721" s="5">
        <f>IFERROR(SUMIFS('DETALLE CRONOLÓGICO'!$L$2:$L$4919,'DETALLE CRONOLÓGICO'!$A$2:$A$4919,$A721)/$F721,"")</f>
        <v/>
      </c>
      <c r="J721" s="6">
        <f>IFERROR(SUMIFS('DETALLE CRONOLÓGICO'!$K$2:$K$4919,'DETALLE CRONOLÓGICO'!$A$2:$A$4919,$A721)/$E721,"")</f>
        <v/>
      </c>
      <c r="K721" s="6">
        <f>_xlfn.MINIFS('DETALLE CRONOLÓGICO'!$K$2:$K$4919,'DETALLE CRONOLÓGICO'!$A$2:$A$4919,$A721)</f>
        <v/>
      </c>
      <c r="L721" s="6">
        <f>_xlfn.MAXIFS('DETALLE CRONOLÓGICO'!$K$2:$K$4919,'DETALLE CRONOLÓGICO'!$A$2:$A$4919,$A721)</f>
        <v/>
      </c>
      <c r="M721" s="6">
        <f>INDEX('DETALLE CRONOLÓGICO'!$K$2:$K$4919,MATCH($A721,'DETALLE CRONOLÓGICO'!$A$2:$A$4919,0)+$E721-1)</f>
        <v/>
      </c>
      <c r="N721" s="7">
        <f>IFERROR($M721/INDEX('DETALLE CRONOLÓGICO'!$K$2:$K$4919,MATCH($A721,'DETALLE CRONOLÓGICO'!$A$2:$A$4919,0))-1,"")</f>
        <v/>
      </c>
      <c r="O721" s="6">
        <f>IFERROR($I721*3,"")</f>
        <v/>
      </c>
      <c r="P721" s="6">
        <f>IFERROR($I721*3.5,"")</f>
        <v/>
      </c>
      <c r="Q721" s="6">
        <f>IFERROR($I721*4,"")</f>
        <v/>
      </c>
      <c r="R721" s="6" t="n">
        <v>850</v>
      </c>
      <c r="S721" s="4" t="n">
        <v>0</v>
      </c>
      <c r="T721" s="1" t="inlineStr">
        <is>
          <t>active</t>
        </is>
      </c>
      <c r="U721" s="8" t="n"/>
      <c r="V721" s="1" t="inlineStr">
        <is>
          <t>SIN PRECIO</t>
        </is>
      </c>
    </row>
    <row r="722">
      <c r="A722" s="1" t="inlineStr">
        <is>
          <t>43026599575692</t>
        </is>
      </c>
      <c r="B722" s="1" t="inlineStr">
        <is>
          <t>LENTES YSL</t>
        </is>
      </c>
      <c r="C722" s="1" t="inlineStr">
        <is>
          <t>Regular</t>
        </is>
      </c>
      <c r="D722" s="1" t="inlineStr">
        <is>
          <t>CYNTHIA</t>
        </is>
      </c>
      <c r="E722" s="4">
        <f>COUNTIF('DETALLE CRONOLÓGICO'!$A$2:$A$4919,$A722)</f>
        <v/>
      </c>
      <c r="F722" s="4">
        <f>SUMIFS('DETALLE CRONOLÓGICO'!$I$2:$I$4919,'DETALLE CRONOLÓGICO'!$A$2:$A$4919,$A722)</f>
        <v/>
      </c>
      <c r="G722" s="1">
        <f>INDEX('DETALLE CRONOLÓGICO'!$D$2:$D$4919,MATCH($A722,'DETALLE CRONOLÓGICO'!$A$2:$A$4919,0))</f>
        <v/>
      </c>
      <c r="H722" s="1">
        <f>INDEX('DETALLE CRONOLÓGICO'!$D$2:$D$4919,MATCH($A722,'DETALLE CRONOLÓGICO'!$A$2:$A$4919,0)+$E722-1)</f>
        <v/>
      </c>
      <c r="I722" s="5">
        <f>IFERROR(SUMIFS('DETALLE CRONOLÓGICO'!$L$2:$L$4919,'DETALLE CRONOLÓGICO'!$A$2:$A$4919,$A722)/$F722,"")</f>
        <v/>
      </c>
      <c r="J722" s="6">
        <f>IFERROR(SUMIFS('DETALLE CRONOLÓGICO'!$K$2:$K$4919,'DETALLE CRONOLÓGICO'!$A$2:$A$4919,$A722)/$E722,"")</f>
        <v/>
      </c>
      <c r="K722" s="6">
        <f>_xlfn.MINIFS('DETALLE CRONOLÓGICO'!$K$2:$K$4919,'DETALLE CRONOLÓGICO'!$A$2:$A$4919,$A722)</f>
        <v/>
      </c>
      <c r="L722" s="6">
        <f>_xlfn.MAXIFS('DETALLE CRONOLÓGICO'!$K$2:$K$4919,'DETALLE CRONOLÓGICO'!$A$2:$A$4919,$A722)</f>
        <v/>
      </c>
      <c r="M722" s="6">
        <f>INDEX('DETALLE CRONOLÓGICO'!$K$2:$K$4919,MATCH($A722,'DETALLE CRONOLÓGICO'!$A$2:$A$4919,0)+$E722-1)</f>
        <v/>
      </c>
      <c r="N722" s="7">
        <f>IFERROR($M722/INDEX('DETALLE CRONOLÓGICO'!$K$2:$K$4919,MATCH($A722,'DETALLE CRONOLÓGICO'!$A$2:$A$4919,0))-1,"")</f>
        <v/>
      </c>
      <c r="O722" s="6">
        <f>IFERROR($I722*3,"")</f>
        <v/>
      </c>
      <c r="P722" s="6">
        <f>IFERROR($I722*3.5,"")</f>
        <v/>
      </c>
      <c r="Q722" s="6">
        <f>IFERROR($I722*4,"")</f>
        <v/>
      </c>
      <c r="R722" s="6" t="n">
        <v>860</v>
      </c>
      <c r="S722" s="4" t="n">
        <v>0</v>
      </c>
      <c r="T722" s="1" t="inlineStr">
        <is>
          <t>active</t>
        </is>
      </c>
      <c r="U722" s="8" t="n"/>
      <c r="V722" s="1" t="inlineStr">
        <is>
          <t>SIN PRECIO</t>
        </is>
      </c>
    </row>
    <row r="723">
      <c r="A723" s="1" t="inlineStr">
        <is>
          <t>43026605146252</t>
        </is>
      </c>
      <c r="B723" s="1" t="inlineStr">
        <is>
          <t>BOLSO G BLACK</t>
        </is>
      </c>
      <c r="C723" s="1" t="inlineStr">
        <is>
          <t>Default Title</t>
        </is>
      </c>
      <c r="D723" s="1" t="inlineStr">
        <is>
          <t>CYNTHIA</t>
        </is>
      </c>
      <c r="E723" s="4">
        <f>COUNTIF('DETALLE CRONOLÓGICO'!$A$2:$A$4919,$A723)</f>
        <v/>
      </c>
      <c r="F723" s="4">
        <f>SUMIFS('DETALLE CRONOLÓGICO'!$I$2:$I$4919,'DETALLE CRONOLÓGICO'!$A$2:$A$4919,$A723)</f>
        <v/>
      </c>
      <c r="G723" s="1">
        <f>INDEX('DETALLE CRONOLÓGICO'!$D$2:$D$4919,MATCH($A723,'DETALLE CRONOLÓGICO'!$A$2:$A$4919,0))</f>
        <v/>
      </c>
      <c r="H723" s="1">
        <f>INDEX('DETALLE CRONOLÓGICO'!$D$2:$D$4919,MATCH($A723,'DETALLE CRONOLÓGICO'!$A$2:$A$4919,0)+$E723-1)</f>
        <v/>
      </c>
      <c r="I723" s="5">
        <f>IFERROR(SUMIFS('DETALLE CRONOLÓGICO'!$L$2:$L$4919,'DETALLE CRONOLÓGICO'!$A$2:$A$4919,$A723)/$F723,"")</f>
        <v/>
      </c>
      <c r="J723" s="6">
        <f>IFERROR(SUMIFS('DETALLE CRONOLÓGICO'!$K$2:$K$4919,'DETALLE CRONOLÓGICO'!$A$2:$A$4919,$A723)/$E723,"")</f>
        <v/>
      </c>
      <c r="K723" s="6">
        <f>_xlfn.MINIFS('DETALLE CRONOLÓGICO'!$K$2:$K$4919,'DETALLE CRONOLÓGICO'!$A$2:$A$4919,$A723)</f>
        <v/>
      </c>
      <c r="L723" s="6">
        <f>_xlfn.MAXIFS('DETALLE CRONOLÓGICO'!$K$2:$K$4919,'DETALLE CRONOLÓGICO'!$A$2:$A$4919,$A723)</f>
        <v/>
      </c>
      <c r="M723" s="6">
        <f>INDEX('DETALLE CRONOLÓGICO'!$K$2:$K$4919,MATCH($A723,'DETALLE CRONOLÓGICO'!$A$2:$A$4919,0)+$E723-1)</f>
        <v/>
      </c>
      <c r="N723" s="7">
        <f>IFERROR($M723/INDEX('DETALLE CRONOLÓGICO'!$K$2:$K$4919,MATCH($A723,'DETALLE CRONOLÓGICO'!$A$2:$A$4919,0))-1,"")</f>
        <v/>
      </c>
      <c r="O723" s="6">
        <f>IFERROR($I723*3,"")</f>
        <v/>
      </c>
      <c r="P723" s="6">
        <f>IFERROR($I723*3.5,"")</f>
        <v/>
      </c>
      <c r="Q723" s="6">
        <f>IFERROR($I723*4,"")</f>
        <v/>
      </c>
      <c r="R723" s="6" t="n">
        <v>5200</v>
      </c>
      <c r="S723" s="4" t="n">
        <v>3</v>
      </c>
      <c r="T723" s="1" t="inlineStr">
        <is>
          <t>active</t>
        </is>
      </c>
      <c r="U723" s="8" t="n"/>
      <c r="V723" s="1" t="inlineStr">
        <is>
          <t>SIN PRECIO</t>
        </is>
      </c>
    </row>
    <row r="724">
      <c r="A724" s="1" t="inlineStr">
        <is>
          <t>43026762793100</t>
        </is>
      </c>
      <c r="B724" s="1" t="inlineStr">
        <is>
          <t>TRAJE DE BAÑO PR BLACK</t>
        </is>
      </c>
      <c r="C724" s="1" t="inlineStr">
        <is>
          <t>M</t>
        </is>
      </c>
      <c r="D724" s="1" t="inlineStr">
        <is>
          <t>CYNTHIA</t>
        </is>
      </c>
      <c r="E724" s="4">
        <f>COUNTIF('DETALLE CRONOLÓGICO'!$A$2:$A$4919,$A724)</f>
        <v/>
      </c>
      <c r="F724" s="4">
        <f>SUMIFS('DETALLE CRONOLÓGICO'!$I$2:$I$4919,'DETALLE CRONOLÓGICO'!$A$2:$A$4919,$A724)</f>
        <v/>
      </c>
      <c r="G724" s="1">
        <f>INDEX('DETALLE CRONOLÓGICO'!$D$2:$D$4919,MATCH($A724,'DETALLE CRONOLÓGICO'!$A$2:$A$4919,0))</f>
        <v/>
      </c>
      <c r="H724" s="1">
        <f>INDEX('DETALLE CRONOLÓGICO'!$D$2:$D$4919,MATCH($A724,'DETALLE CRONOLÓGICO'!$A$2:$A$4919,0)+$E724-1)</f>
        <v/>
      </c>
      <c r="I724" s="5">
        <f>IFERROR(SUMIFS('DETALLE CRONOLÓGICO'!$L$2:$L$4919,'DETALLE CRONOLÓGICO'!$A$2:$A$4919,$A724)/$F724,"")</f>
        <v/>
      </c>
      <c r="J724" s="6">
        <f>IFERROR(SUMIFS('DETALLE CRONOLÓGICO'!$K$2:$K$4919,'DETALLE CRONOLÓGICO'!$A$2:$A$4919,$A724)/$E724,"")</f>
        <v/>
      </c>
      <c r="K724" s="6">
        <f>_xlfn.MINIFS('DETALLE CRONOLÓGICO'!$K$2:$K$4919,'DETALLE CRONOLÓGICO'!$A$2:$A$4919,$A724)</f>
        <v/>
      </c>
      <c r="L724" s="6">
        <f>_xlfn.MAXIFS('DETALLE CRONOLÓGICO'!$K$2:$K$4919,'DETALLE CRONOLÓGICO'!$A$2:$A$4919,$A724)</f>
        <v/>
      </c>
      <c r="M724" s="6">
        <f>INDEX('DETALLE CRONOLÓGICO'!$K$2:$K$4919,MATCH($A724,'DETALLE CRONOLÓGICO'!$A$2:$A$4919,0)+$E724-1)</f>
        <v/>
      </c>
      <c r="N724" s="7">
        <f>IFERROR($M724/INDEX('DETALLE CRONOLÓGICO'!$K$2:$K$4919,MATCH($A724,'DETALLE CRONOLÓGICO'!$A$2:$A$4919,0))-1,"")</f>
        <v/>
      </c>
      <c r="O724" s="6">
        <f>IFERROR($I724*3,"")</f>
        <v/>
      </c>
      <c r="P724" s="6">
        <f>IFERROR($I724*3.5,"")</f>
        <v/>
      </c>
      <c r="Q724" s="6">
        <f>IFERROR($I724*4,"")</f>
        <v/>
      </c>
      <c r="R724" s="6" t="n">
        <v>1199</v>
      </c>
      <c r="S724" s="4" t="n">
        <v>0</v>
      </c>
      <c r="T724" s="1" t="inlineStr">
        <is>
          <t>active</t>
        </is>
      </c>
      <c r="U724" s="8" t="n"/>
      <c r="V724" s="1" t="inlineStr">
        <is>
          <t>SIN PRECIO</t>
        </is>
      </c>
    </row>
    <row r="725">
      <c r="A725" s="1" t="inlineStr">
        <is>
          <t>43026765774988</t>
        </is>
      </c>
      <c r="B725" s="1" t="inlineStr">
        <is>
          <t>TRAJE DE BAÑO COMPLETO VC</t>
        </is>
      </c>
      <c r="C725" s="1" t="inlineStr">
        <is>
          <t>M</t>
        </is>
      </c>
      <c r="D725" s="1" t="inlineStr">
        <is>
          <t>CYNTHIA</t>
        </is>
      </c>
      <c r="E725" s="4">
        <f>COUNTIF('DETALLE CRONOLÓGICO'!$A$2:$A$4919,$A725)</f>
        <v/>
      </c>
      <c r="F725" s="4">
        <f>SUMIFS('DETALLE CRONOLÓGICO'!$I$2:$I$4919,'DETALLE CRONOLÓGICO'!$A$2:$A$4919,$A725)</f>
        <v/>
      </c>
      <c r="G725" s="1">
        <f>INDEX('DETALLE CRONOLÓGICO'!$D$2:$D$4919,MATCH($A725,'DETALLE CRONOLÓGICO'!$A$2:$A$4919,0))</f>
        <v/>
      </c>
      <c r="H725" s="1">
        <f>INDEX('DETALLE CRONOLÓGICO'!$D$2:$D$4919,MATCH($A725,'DETALLE CRONOLÓGICO'!$A$2:$A$4919,0)+$E725-1)</f>
        <v/>
      </c>
      <c r="I725" s="5">
        <f>IFERROR(SUMIFS('DETALLE CRONOLÓGICO'!$L$2:$L$4919,'DETALLE CRONOLÓGICO'!$A$2:$A$4919,$A725)/$F725,"")</f>
        <v/>
      </c>
      <c r="J725" s="6">
        <f>IFERROR(SUMIFS('DETALLE CRONOLÓGICO'!$K$2:$K$4919,'DETALLE CRONOLÓGICO'!$A$2:$A$4919,$A725)/$E725,"")</f>
        <v/>
      </c>
      <c r="K725" s="6">
        <f>_xlfn.MINIFS('DETALLE CRONOLÓGICO'!$K$2:$K$4919,'DETALLE CRONOLÓGICO'!$A$2:$A$4919,$A725)</f>
        <v/>
      </c>
      <c r="L725" s="6">
        <f>_xlfn.MAXIFS('DETALLE CRONOLÓGICO'!$K$2:$K$4919,'DETALLE CRONOLÓGICO'!$A$2:$A$4919,$A725)</f>
        <v/>
      </c>
      <c r="M725" s="6">
        <f>INDEX('DETALLE CRONOLÓGICO'!$K$2:$K$4919,MATCH($A725,'DETALLE CRONOLÓGICO'!$A$2:$A$4919,0)+$E725-1)</f>
        <v/>
      </c>
      <c r="N725" s="7">
        <f>IFERROR($M725/INDEX('DETALLE CRONOLÓGICO'!$K$2:$K$4919,MATCH($A725,'DETALLE CRONOLÓGICO'!$A$2:$A$4919,0))-1,"")</f>
        <v/>
      </c>
      <c r="O725" s="6">
        <f>IFERROR($I725*3,"")</f>
        <v/>
      </c>
      <c r="P725" s="6">
        <f>IFERROR($I725*3.5,"")</f>
        <v/>
      </c>
      <c r="Q725" s="6">
        <f>IFERROR($I725*4,"")</f>
        <v/>
      </c>
      <c r="R725" s="6" t="n">
        <v>1359</v>
      </c>
      <c r="S725" s="4" t="n">
        <v>0</v>
      </c>
      <c r="T725" s="1" t="inlineStr">
        <is>
          <t>active</t>
        </is>
      </c>
      <c r="U725" s="8" t="n"/>
      <c r="V725" s="1" t="inlineStr">
        <is>
          <t>SIN PRECIO</t>
        </is>
      </c>
    </row>
    <row r="726">
      <c r="A726" s="1" t="inlineStr">
        <is>
          <t>43026767806604</t>
        </is>
      </c>
      <c r="B726" s="1" t="inlineStr">
        <is>
          <t>TRAJE DE BAÑO GC</t>
        </is>
      </c>
      <c r="C726" s="1" t="inlineStr">
        <is>
          <t>M</t>
        </is>
      </c>
      <c r="D726" s="1" t="inlineStr">
        <is>
          <t>CYNTHIA</t>
        </is>
      </c>
      <c r="E726" s="4">
        <f>COUNTIF('DETALLE CRONOLÓGICO'!$A$2:$A$4919,$A726)</f>
        <v/>
      </c>
      <c r="F726" s="4">
        <f>SUMIFS('DETALLE CRONOLÓGICO'!$I$2:$I$4919,'DETALLE CRONOLÓGICO'!$A$2:$A$4919,$A726)</f>
        <v/>
      </c>
      <c r="G726" s="1">
        <f>INDEX('DETALLE CRONOLÓGICO'!$D$2:$D$4919,MATCH($A726,'DETALLE CRONOLÓGICO'!$A$2:$A$4919,0))</f>
        <v/>
      </c>
      <c r="H726" s="1">
        <f>INDEX('DETALLE CRONOLÓGICO'!$D$2:$D$4919,MATCH($A726,'DETALLE CRONOLÓGICO'!$A$2:$A$4919,0)+$E726-1)</f>
        <v/>
      </c>
      <c r="I726" s="5">
        <f>IFERROR(SUMIFS('DETALLE CRONOLÓGICO'!$L$2:$L$4919,'DETALLE CRONOLÓGICO'!$A$2:$A$4919,$A726)/$F726,"")</f>
        <v/>
      </c>
      <c r="J726" s="6">
        <f>IFERROR(SUMIFS('DETALLE CRONOLÓGICO'!$K$2:$K$4919,'DETALLE CRONOLÓGICO'!$A$2:$A$4919,$A726)/$E726,"")</f>
        <v/>
      </c>
      <c r="K726" s="6">
        <f>_xlfn.MINIFS('DETALLE CRONOLÓGICO'!$K$2:$K$4919,'DETALLE CRONOLÓGICO'!$A$2:$A$4919,$A726)</f>
        <v/>
      </c>
      <c r="L726" s="6">
        <f>_xlfn.MAXIFS('DETALLE CRONOLÓGICO'!$K$2:$K$4919,'DETALLE CRONOLÓGICO'!$A$2:$A$4919,$A726)</f>
        <v/>
      </c>
      <c r="M726" s="6">
        <f>INDEX('DETALLE CRONOLÓGICO'!$K$2:$K$4919,MATCH($A726,'DETALLE CRONOLÓGICO'!$A$2:$A$4919,0)+$E726-1)</f>
        <v/>
      </c>
      <c r="N726" s="7">
        <f>IFERROR($M726/INDEX('DETALLE CRONOLÓGICO'!$K$2:$K$4919,MATCH($A726,'DETALLE CRONOLÓGICO'!$A$2:$A$4919,0))-1,"")</f>
        <v/>
      </c>
      <c r="O726" s="6">
        <f>IFERROR($I726*3,"")</f>
        <v/>
      </c>
      <c r="P726" s="6">
        <f>IFERROR($I726*3.5,"")</f>
        <v/>
      </c>
      <c r="Q726" s="6">
        <f>IFERROR($I726*4,"")</f>
        <v/>
      </c>
      <c r="R726" s="6" t="n">
        <v>1129</v>
      </c>
      <c r="S726" s="4" t="n">
        <v>0</v>
      </c>
      <c r="T726" s="1" t="inlineStr">
        <is>
          <t>active</t>
        </is>
      </c>
      <c r="U726" s="8" t="n"/>
      <c r="V726" s="1" t="inlineStr">
        <is>
          <t>SIN PRECIO</t>
        </is>
      </c>
    </row>
    <row r="727">
      <c r="A727" s="1" t="inlineStr">
        <is>
          <t>43047194886284</t>
        </is>
      </c>
      <c r="B727" s="1" t="inlineStr">
        <is>
          <t>COLLAR CORAZÓN GOLD</t>
        </is>
      </c>
      <c r="C727" s="1" t="inlineStr">
        <is>
          <t>40cm con 6.5cm de extensión.</t>
        </is>
      </c>
      <c r="D727" s="1" t="inlineStr">
        <is>
          <t>ZOEY</t>
        </is>
      </c>
      <c r="E727" s="4">
        <f>COUNTIF('DETALLE CRONOLÓGICO'!$A$2:$A$4919,$A727)</f>
        <v/>
      </c>
      <c r="F727" s="4">
        <f>SUMIFS('DETALLE CRONOLÓGICO'!$I$2:$I$4919,'DETALLE CRONOLÓGICO'!$A$2:$A$4919,$A727)</f>
        <v/>
      </c>
      <c r="G727" s="1">
        <f>INDEX('DETALLE CRONOLÓGICO'!$D$2:$D$4919,MATCH($A727,'DETALLE CRONOLÓGICO'!$A$2:$A$4919,0))</f>
        <v/>
      </c>
      <c r="H727" s="1">
        <f>INDEX('DETALLE CRONOLÓGICO'!$D$2:$D$4919,MATCH($A727,'DETALLE CRONOLÓGICO'!$A$2:$A$4919,0)+$E727-1)</f>
        <v/>
      </c>
      <c r="I727" s="5">
        <f>IFERROR(SUMIFS('DETALLE CRONOLÓGICO'!$L$2:$L$4919,'DETALLE CRONOLÓGICO'!$A$2:$A$4919,$A727)/$F727,"")</f>
        <v/>
      </c>
      <c r="J727" s="6">
        <f>IFERROR(SUMIFS('DETALLE CRONOLÓGICO'!$K$2:$K$4919,'DETALLE CRONOLÓGICO'!$A$2:$A$4919,$A727)/$E727,"")</f>
        <v/>
      </c>
      <c r="K727" s="6">
        <f>_xlfn.MINIFS('DETALLE CRONOLÓGICO'!$K$2:$K$4919,'DETALLE CRONOLÓGICO'!$A$2:$A$4919,$A727)</f>
        <v/>
      </c>
      <c r="L727" s="6">
        <f>_xlfn.MAXIFS('DETALLE CRONOLÓGICO'!$K$2:$K$4919,'DETALLE CRONOLÓGICO'!$A$2:$A$4919,$A727)</f>
        <v/>
      </c>
      <c r="M727" s="6">
        <f>INDEX('DETALLE CRONOLÓGICO'!$K$2:$K$4919,MATCH($A727,'DETALLE CRONOLÓGICO'!$A$2:$A$4919,0)+$E727-1)</f>
        <v/>
      </c>
      <c r="N727" s="7">
        <f>IFERROR($M727/INDEX('DETALLE CRONOLÓGICO'!$K$2:$K$4919,MATCH($A727,'DETALLE CRONOLÓGICO'!$A$2:$A$4919,0))-1,"")</f>
        <v/>
      </c>
      <c r="O727" s="6">
        <f>IFERROR($I727*3,"")</f>
        <v/>
      </c>
      <c r="P727" s="6">
        <f>IFERROR($I727*3.5,"")</f>
        <v/>
      </c>
      <c r="Q727" s="6">
        <f>IFERROR($I727*4,"")</f>
        <v/>
      </c>
      <c r="R727" s="6" t="n">
        <v>975</v>
      </c>
      <c r="S727" s="4" t="n">
        <v>12</v>
      </c>
      <c r="T727" s="1" t="inlineStr">
        <is>
          <t>active</t>
        </is>
      </c>
      <c r="U727" s="8" t="n"/>
      <c r="V727" s="1" t="inlineStr">
        <is>
          <t>SIN PRECIO</t>
        </is>
      </c>
    </row>
    <row r="728">
      <c r="A728" s="1" t="inlineStr">
        <is>
          <t>43047195574412</t>
        </is>
      </c>
      <c r="B728" s="1" t="inlineStr">
        <is>
          <t>PULSERA ESLABONES ROSE GOLD</t>
        </is>
      </c>
      <c r="C728" s="1" t="inlineStr">
        <is>
          <t>17.5cm</t>
        </is>
      </c>
      <c r="D728" s="1" t="inlineStr">
        <is>
          <t>CYNTHIA</t>
        </is>
      </c>
      <c r="E728" s="4">
        <f>COUNTIF('DETALLE CRONOLÓGICO'!$A$2:$A$4919,$A728)</f>
        <v/>
      </c>
      <c r="F728" s="4">
        <f>SUMIFS('DETALLE CRONOLÓGICO'!$I$2:$I$4919,'DETALLE CRONOLÓGICO'!$A$2:$A$4919,$A728)</f>
        <v/>
      </c>
      <c r="G728" s="1">
        <f>INDEX('DETALLE CRONOLÓGICO'!$D$2:$D$4919,MATCH($A728,'DETALLE CRONOLÓGICO'!$A$2:$A$4919,0))</f>
        <v/>
      </c>
      <c r="H728" s="1">
        <f>INDEX('DETALLE CRONOLÓGICO'!$D$2:$D$4919,MATCH($A728,'DETALLE CRONOLÓGICO'!$A$2:$A$4919,0)+$E728-1)</f>
        <v/>
      </c>
      <c r="I728" s="5">
        <f>IFERROR(SUMIFS('DETALLE CRONOLÓGICO'!$L$2:$L$4919,'DETALLE CRONOLÓGICO'!$A$2:$A$4919,$A728)/$F728,"")</f>
        <v/>
      </c>
      <c r="J728" s="6">
        <f>IFERROR(SUMIFS('DETALLE CRONOLÓGICO'!$K$2:$K$4919,'DETALLE CRONOLÓGICO'!$A$2:$A$4919,$A728)/$E728,"")</f>
        <v/>
      </c>
      <c r="K728" s="6">
        <f>_xlfn.MINIFS('DETALLE CRONOLÓGICO'!$K$2:$K$4919,'DETALLE CRONOLÓGICO'!$A$2:$A$4919,$A728)</f>
        <v/>
      </c>
      <c r="L728" s="6">
        <f>_xlfn.MAXIFS('DETALLE CRONOLÓGICO'!$K$2:$K$4919,'DETALLE CRONOLÓGICO'!$A$2:$A$4919,$A728)</f>
        <v/>
      </c>
      <c r="M728" s="6">
        <f>INDEX('DETALLE CRONOLÓGICO'!$K$2:$K$4919,MATCH($A728,'DETALLE CRONOLÓGICO'!$A$2:$A$4919,0)+$E728-1)</f>
        <v/>
      </c>
      <c r="N728" s="7">
        <f>IFERROR($M728/INDEX('DETALLE CRONOLÓGICO'!$K$2:$K$4919,MATCH($A728,'DETALLE CRONOLÓGICO'!$A$2:$A$4919,0))-1,"")</f>
        <v/>
      </c>
      <c r="O728" s="6">
        <f>IFERROR($I728*3,"")</f>
        <v/>
      </c>
      <c r="P728" s="6">
        <f>IFERROR($I728*3.5,"")</f>
        <v/>
      </c>
      <c r="Q728" s="6">
        <f>IFERROR($I728*4,"")</f>
        <v/>
      </c>
      <c r="R728" s="6" t="n">
        <v>1445</v>
      </c>
      <c r="S728" s="4" t="n">
        <v>1</v>
      </c>
      <c r="T728" s="1" t="inlineStr">
        <is>
          <t>active</t>
        </is>
      </c>
      <c r="U728" s="8" t="n"/>
      <c r="V728" s="1" t="inlineStr">
        <is>
          <t>SIN PRECIO</t>
        </is>
      </c>
    </row>
    <row r="729">
      <c r="A729" s="1" t="inlineStr">
        <is>
          <t>43047195607180</t>
        </is>
      </c>
      <c r="B729" s="1" t="inlineStr">
        <is>
          <t>PULSERA ESLABONES ROSE GOLD</t>
        </is>
      </c>
      <c r="C729" s="1" t="inlineStr">
        <is>
          <t>20.5cm</t>
        </is>
      </c>
      <c r="D729" s="1" t="inlineStr">
        <is>
          <t>CYNTHIA</t>
        </is>
      </c>
      <c r="E729" s="4">
        <f>COUNTIF('DETALLE CRONOLÓGICO'!$A$2:$A$4919,$A729)</f>
        <v/>
      </c>
      <c r="F729" s="4">
        <f>SUMIFS('DETALLE CRONOLÓGICO'!$I$2:$I$4919,'DETALLE CRONOLÓGICO'!$A$2:$A$4919,$A729)</f>
        <v/>
      </c>
      <c r="G729" s="1">
        <f>INDEX('DETALLE CRONOLÓGICO'!$D$2:$D$4919,MATCH($A729,'DETALLE CRONOLÓGICO'!$A$2:$A$4919,0))</f>
        <v/>
      </c>
      <c r="H729" s="1">
        <f>INDEX('DETALLE CRONOLÓGICO'!$D$2:$D$4919,MATCH($A729,'DETALLE CRONOLÓGICO'!$A$2:$A$4919,0)+$E729-1)</f>
        <v/>
      </c>
      <c r="I729" s="5">
        <f>IFERROR(SUMIFS('DETALLE CRONOLÓGICO'!$L$2:$L$4919,'DETALLE CRONOLÓGICO'!$A$2:$A$4919,$A729)/$F729,"")</f>
        <v/>
      </c>
      <c r="J729" s="6">
        <f>IFERROR(SUMIFS('DETALLE CRONOLÓGICO'!$K$2:$K$4919,'DETALLE CRONOLÓGICO'!$A$2:$A$4919,$A729)/$E729,"")</f>
        <v/>
      </c>
      <c r="K729" s="6">
        <f>_xlfn.MINIFS('DETALLE CRONOLÓGICO'!$K$2:$K$4919,'DETALLE CRONOLÓGICO'!$A$2:$A$4919,$A729)</f>
        <v/>
      </c>
      <c r="L729" s="6">
        <f>_xlfn.MAXIFS('DETALLE CRONOLÓGICO'!$K$2:$K$4919,'DETALLE CRONOLÓGICO'!$A$2:$A$4919,$A729)</f>
        <v/>
      </c>
      <c r="M729" s="6">
        <f>INDEX('DETALLE CRONOLÓGICO'!$K$2:$K$4919,MATCH($A729,'DETALLE CRONOLÓGICO'!$A$2:$A$4919,0)+$E729-1)</f>
        <v/>
      </c>
      <c r="N729" s="7">
        <f>IFERROR($M729/INDEX('DETALLE CRONOLÓGICO'!$K$2:$K$4919,MATCH($A729,'DETALLE CRONOLÓGICO'!$A$2:$A$4919,0))-1,"")</f>
        <v/>
      </c>
      <c r="O729" s="6">
        <f>IFERROR($I729*3,"")</f>
        <v/>
      </c>
      <c r="P729" s="6">
        <f>IFERROR($I729*3.5,"")</f>
        <v/>
      </c>
      <c r="Q729" s="6">
        <f>IFERROR($I729*4,"")</f>
        <v/>
      </c>
      <c r="R729" s="6" t="n">
        <v>1320</v>
      </c>
      <c r="S729" s="4" t="n">
        <v>4</v>
      </c>
      <c r="T729" s="1" t="inlineStr">
        <is>
          <t>active</t>
        </is>
      </c>
      <c r="U729" s="8" t="n"/>
      <c r="V729" s="1" t="inlineStr">
        <is>
          <t>SIN PRECIO</t>
        </is>
      </c>
    </row>
    <row r="730">
      <c r="A730" s="1" t="inlineStr">
        <is>
          <t>43047196098700</t>
        </is>
      </c>
      <c r="B730" s="1" t="inlineStr">
        <is>
          <t>PULSERA TRUE GOLD</t>
        </is>
      </c>
      <c r="C730" s="1" t="inlineStr">
        <is>
          <t>20cm</t>
        </is>
      </c>
      <c r="D730" s="1" t="inlineStr">
        <is>
          <t>CYNTHIA</t>
        </is>
      </c>
      <c r="E730" s="4">
        <f>COUNTIF('DETALLE CRONOLÓGICO'!$A$2:$A$4919,$A730)</f>
        <v/>
      </c>
      <c r="F730" s="4">
        <f>SUMIFS('DETALLE CRONOLÓGICO'!$I$2:$I$4919,'DETALLE CRONOLÓGICO'!$A$2:$A$4919,$A730)</f>
        <v/>
      </c>
      <c r="G730" s="1">
        <f>INDEX('DETALLE CRONOLÓGICO'!$D$2:$D$4919,MATCH($A730,'DETALLE CRONOLÓGICO'!$A$2:$A$4919,0))</f>
        <v/>
      </c>
      <c r="H730" s="1">
        <f>INDEX('DETALLE CRONOLÓGICO'!$D$2:$D$4919,MATCH($A730,'DETALLE CRONOLÓGICO'!$A$2:$A$4919,0)+$E730-1)</f>
        <v/>
      </c>
      <c r="I730" s="5">
        <f>IFERROR(SUMIFS('DETALLE CRONOLÓGICO'!$L$2:$L$4919,'DETALLE CRONOLÓGICO'!$A$2:$A$4919,$A730)/$F730,"")</f>
        <v/>
      </c>
      <c r="J730" s="6">
        <f>IFERROR(SUMIFS('DETALLE CRONOLÓGICO'!$K$2:$K$4919,'DETALLE CRONOLÓGICO'!$A$2:$A$4919,$A730)/$E730,"")</f>
        <v/>
      </c>
      <c r="K730" s="6">
        <f>_xlfn.MINIFS('DETALLE CRONOLÓGICO'!$K$2:$K$4919,'DETALLE CRONOLÓGICO'!$A$2:$A$4919,$A730)</f>
        <v/>
      </c>
      <c r="L730" s="6">
        <f>_xlfn.MAXIFS('DETALLE CRONOLÓGICO'!$K$2:$K$4919,'DETALLE CRONOLÓGICO'!$A$2:$A$4919,$A730)</f>
        <v/>
      </c>
      <c r="M730" s="6">
        <f>INDEX('DETALLE CRONOLÓGICO'!$K$2:$K$4919,MATCH($A730,'DETALLE CRONOLÓGICO'!$A$2:$A$4919,0)+$E730-1)</f>
        <v/>
      </c>
      <c r="N730" s="7">
        <f>IFERROR($M730/INDEX('DETALLE CRONOLÓGICO'!$K$2:$K$4919,MATCH($A730,'DETALLE CRONOLÓGICO'!$A$2:$A$4919,0))-1,"")</f>
        <v/>
      </c>
      <c r="O730" s="6">
        <f>IFERROR($I730*3,"")</f>
        <v/>
      </c>
      <c r="P730" s="6">
        <f>IFERROR($I730*3.5,"")</f>
        <v/>
      </c>
      <c r="Q730" s="6">
        <f>IFERROR($I730*4,"")</f>
        <v/>
      </c>
      <c r="R730" s="6" t="n">
        <v>2399</v>
      </c>
      <c r="S730" s="4" t="n">
        <v>3</v>
      </c>
      <c r="T730" s="1" t="inlineStr">
        <is>
          <t>active</t>
        </is>
      </c>
      <c r="U730" s="8" t="n"/>
      <c r="V730" s="1" t="inlineStr">
        <is>
          <t>SIN PRECIO</t>
        </is>
      </c>
    </row>
    <row r="731">
      <c r="A731" s="1" t="inlineStr">
        <is>
          <t>43047196360844</t>
        </is>
      </c>
      <c r="B731" s="1" t="inlineStr">
        <is>
          <t>ARETES CORAZÓN GRABADO SILVER</t>
        </is>
      </c>
      <c r="C731" s="1" t="inlineStr">
        <is>
          <t>Default Title</t>
        </is>
      </c>
      <c r="D731" s="1" t="inlineStr">
        <is>
          <t>CYNTHIA / NANCY</t>
        </is>
      </c>
      <c r="E731" s="4">
        <f>COUNTIF('DETALLE CRONOLÓGICO'!$A$2:$A$4919,$A731)</f>
        <v/>
      </c>
      <c r="F731" s="4">
        <f>SUMIFS('DETALLE CRONOLÓGICO'!$I$2:$I$4919,'DETALLE CRONOLÓGICO'!$A$2:$A$4919,$A731)</f>
        <v/>
      </c>
      <c r="G731" s="1">
        <f>INDEX('DETALLE CRONOLÓGICO'!$D$2:$D$4919,MATCH($A731,'DETALLE CRONOLÓGICO'!$A$2:$A$4919,0))</f>
        <v/>
      </c>
      <c r="H731" s="1">
        <f>INDEX('DETALLE CRONOLÓGICO'!$D$2:$D$4919,MATCH($A731,'DETALLE CRONOLÓGICO'!$A$2:$A$4919,0)+$E731-1)</f>
        <v/>
      </c>
      <c r="I731" s="5">
        <f>IFERROR(SUMIFS('DETALLE CRONOLÓGICO'!$L$2:$L$4919,'DETALLE CRONOLÓGICO'!$A$2:$A$4919,$A731)/$F731,"")</f>
        <v/>
      </c>
      <c r="J731" s="6">
        <f>IFERROR(SUMIFS('DETALLE CRONOLÓGICO'!$K$2:$K$4919,'DETALLE CRONOLÓGICO'!$A$2:$A$4919,$A731)/$E731,"")</f>
        <v/>
      </c>
      <c r="K731" s="6">
        <f>_xlfn.MINIFS('DETALLE CRONOLÓGICO'!$K$2:$K$4919,'DETALLE CRONOLÓGICO'!$A$2:$A$4919,$A731)</f>
        <v/>
      </c>
      <c r="L731" s="6">
        <f>_xlfn.MAXIFS('DETALLE CRONOLÓGICO'!$K$2:$K$4919,'DETALLE CRONOLÓGICO'!$A$2:$A$4919,$A731)</f>
        <v/>
      </c>
      <c r="M731" s="6">
        <f>INDEX('DETALLE CRONOLÓGICO'!$K$2:$K$4919,MATCH($A731,'DETALLE CRONOLÓGICO'!$A$2:$A$4919,0)+$E731-1)</f>
        <v/>
      </c>
      <c r="N731" s="7">
        <f>IFERROR($M731/INDEX('DETALLE CRONOLÓGICO'!$K$2:$K$4919,MATCH($A731,'DETALLE CRONOLÓGICO'!$A$2:$A$4919,0))-1,"")</f>
        <v/>
      </c>
      <c r="O731" s="6">
        <f>IFERROR($I731*3,"")</f>
        <v/>
      </c>
      <c r="P731" s="6">
        <f>IFERROR($I731*3.5,"")</f>
        <v/>
      </c>
      <c r="Q731" s="6">
        <f>IFERROR($I731*4,"")</f>
        <v/>
      </c>
      <c r="R731" s="6" t="n">
        <v>550</v>
      </c>
      <c r="S731" s="4" t="n">
        <v>2</v>
      </c>
      <c r="T731" s="1" t="inlineStr">
        <is>
          <t>active</t>
        </is>
      </c>
      <c r="U731" s="8" t="n"/>
      <c r="V731" s="1" t="inlineStr">
        <is>
          <t>SIN PRECIO</t>
        </is>
      </c>
    </row>
    <row r="732">
      <c r="A732" s="1" t="inlineStr">
        <is>
          <t>43047201243276</t>
        </is>
      </c>
      <c r="B732" s="1" t="inlineStr">
        <is>
          <t>PULSERA LOCK SILVER CON ZIRCONIAS</t>
        </is>
      </c>
      <c r="C732" s="1" t="inlineStr">
        <is>
          <t>17cm</t>
        </is>
      </c>
      <c r="D732" s="1" t="inlineStr">
        <is>
          <t>NANCY</t>
        </is>
      </c>
      <c r="E732" s="4">
        <f>COUNTIF('DETALLE CRONOLÓGICO'!$A$2:$A$4919,$A732)</f>
        <v/>
      </c>
      <c r="F732" s="4">
        <f>SUMIFS('DETALLE CRONOLÓGICO'!$I$2:$I$4919,'DETALLE CRONOLÓGICO'!$A$2:$A$4919,$A732)</f>
        <v/>
      </c>
      <c r="G732" s="1">
        <f>INDEX('DETALLE CRONOLÓGICO'!$D$2:$D$4919,MATCH($A732,'DETALLE CRONOLÓGICO'!$A$2:$A$4919,0))</f>
        <v/>
      </c>
      <c r="H732" s="1">
        <f>INDEX('DETALLE CRONOLÓGICO'!$D$2:$D$4919,MATCH($A732,'DETALLE CRONOLÓGICO'!$A$2:$A$4919,0)+$E732-1)</f>
        <v/>
      </c>
      <c r="I732" s="5">
        <f>IFERROR(SUMIFS('DETALLE CRONOLÓGICO'!$L$2:$L$4919,'DETALLE CRONOLÓGICO'!$A$2:$A$4919,$A732)/$F732,"")</f>
        <v/>
      </c>
      <c r="J732" s="6">
        <f>IFERROR(SUMIFS('DETALLE CRONOLÓGICO'!$K$2:$K$4919,'DETALLE CRONOLÓGICO'!$A$2:$A$4919,$A732)/$E732,"")</f>
        <v/>
      </c>
      <c r="K732" s="6">
        <f>_xlfn.MINIFS('DETALLE CRONOLÓGICO'!$K$2:$K$4919,'DETALLE CRONOLÓGICO'!$A$2:$A$4919,$A732)</f>
        <v/>
      </c>
      <c r="L732" s="6">
        <f>_xlfn.MAXIFS('DETALLE CRONOLÓGICO'!$K$2:$K$4919,'DETALLE CRONOLÓGICO'!$A$2:$A$4919,$A732)</f>
        <v/>
      </c>
      <c r="M732" s="6">
        <f>INDEX('DETALLE CRONOLÓGICO'!$K$2:$K$4919,MATCH($A732,'DETALLE CRONOLÓGICO'!$A$2:$A$4919,0)+$E732-1)</f>
        <v/>
      </c>
      <c r="N732" s="7">
        <f>IFERROR($M732/INDEX('DETALLE CRONOLÓGICO'!$K$2:$K$4919,MATCH($A732,'DETALLE CRONOLÓGICO'!$A$2:$A$4919,0))-1,"")</f>
        <v/>
      </c>
      <c r="O732" s="6">
        <f>IFERROR($I732*3,"")</f>
        <v/>
      </c>
      <c r="P732" s="6">
        <f>IFERROR($I732*3.5,"")</f>
        <v/>
      </c>
      <c r="Q732" s="6">
        <f>IFERROR($I732*4,"")</f>
        <v/>
      </c>
      <c r="R732" s="6" t="n">
        <v>650</v>
      </c>
      <c r="S732" s="4" t="n">
        <v>0</v>
      </c>
      <c r="T732" s="1" t="inlineStr">
        <is>
          <t>active</t>
        </is>
      </c>
      <c r="U732" s="8" t="n"/>
      <c r="V732" s="1" t="inlineStr">
        <is>
          <t>SIN PRECIO</t>
        </is>
      </c>
    </row>
    <row r="733">
      <c r="A733" s="1" t="inlineStr">
        <is>
          <t>43047201472652</t>
        </is>
      </c>
      <c r="B733" s="1" t="inlineStr">
        <is>
          <t>PULSERA KNOT SILVER</t>
        </is>
      </c>
      <c r="C733" s="1" t="inlineStr">
        <is>
          <t>17cm</t>
        </is>
      </c>
      <c r="D733" s="1" t="inlineStr">
        <is>
          <t>NANCY</t>
        </is>
      </c>
      <c r="E733" s="4">
        <f>COUNTIF('DETALLE CRONOLÓGICO'!$A$2:$A$4919,$A733)</f>
        <v/>
      </c>
      <c r="F733" s="4">
        <f>SUMIFS('DETALLE CRONOLÓGICO'!$I$2:$I$4919,'DETALLE CRONOLÓGICO'!$A$2:$A$4919,$A733)</f>
        <v/>
      </c>
      <c r="G733" s="1">
        <f>INDEX('DETALLE CRONOLÓGICO'!$D$2:$D$4919,MATCH($A733,'DETALLE CRONOLÓGICO'!$A$2:$A$4919,0))</f>
        <v/>
      </c>
      <c r="H733" s="1">
        <f>INDEX('DETALLE CRONOLÓGICO'!$D$2:$D$4919,MATCH($A733,'DETALLE CRONOLÓGICO'!$A$2:$A$4919,0)+$E733-1)</f>
        <v/>
      </c>
      <c r="I733" s="5">
        <f>IFERROR(SUMIFS('DETALLE CRONOLÓGICO'!$L$2:$L$4919,'DETALLE CRONOLÓGICO'!$A$2:$A$4919,$A733)/$F733,"")</f>
        <v/>
      </c>
      <c r="J733" s="6">
        <f>IFERROR(SUMIFS('DETALLE CRONOLÓGICO'!$K$2:$K$4919,'DETALLE CRONOLÓGICO'!$A$2:$A$4919,$A733)/$E733,"")</f>
        <v/>
      </c>
      <c r="K733" s="6">
        <f>_xlfn.MINIFS('DETALLE CRONOLÓGICO'!$K$2:$K$4919,'DETALLE CRONOLÓGICO'!$A$2:$A$4919,$A733)</f>
        <v/>
      </c>
      <c r="L733" s="6">
        <f>_xlfn.MAXIFS('DETALLE CRONOLÓGICO'!$K$2:$K$4919,'DETALLE CRONOLÓGICO'!$A$2:$A$4919,$A733)</f>
        <v/>
      </c>
      <c r="M733" s="6">
        <f>INDEX('DETALLE CRONOLÓGICO'!$K$2:$K$4919,MATCH($A733,'DETALLE CRONOLÓGICO'!$A$2:$A$4919,0)+$E733-1)</f>
        <v/>
      </c>
      <c r="N733" s="7">
        <f>IFERROR($M733/INDEX('DETALLE CRONOLÓGICO'!$K$2:$K$4919,MATCH($A733,'DETALLE CRONOLÓGICO'!$A$2:$A$4919,0))-1,"")</f>
        <v/>
      </c>
      <c r="O733" s="6">
        <f>IFERROR($I733*3,"")</f>
        <v/>
      </c>
      <c r="P733" s="6">
        <f>IFERROR($I733*3.5,"")</f>
        <v/>
      </c>
      <c r="Q733" s="6">
        <f>IFERROR($I733*4,"")</f>
        <v/>
      </c>
      <c r="R733" s="6" t="n">
        <v>675</v>
      </c>
      <c r="S733" s="4" t="n">
        <v>0</v>
      </c>
      <c r="T733" s="1" t="inlineStr">
        <is>
          <t>active</t>
        </is>
      </c>
      <c r="U733" s="8" t="n"/>
      <c r="V733" s="1" t="inlineStr">
        <is>
          <t>SIN PRECIO</t>
        </is>
      </c>
    </row>
    <row r="734">
      <c r="A734" s="1" t="inlineStr">
        <is>
          <t>43047203897484</t>
        </is>
      </c>
      <c r="B734" s="1" t="inlineStr">
        <is>
          <t>PULSERA T ANGOSTA ROSE GOLD</t>
        </is>
      </c>
      <c r="C734" s="1" t="inlineStr">
        <is>
          <t>16cm</t>
        </is>
      </c>
      <c r="D734" s="1" t="inlineStr">
        <is>
          <t>CYNTHIA</t>
        </is>
      </c>
      <c r="E734" s="4">
        <f>COUNTIF('DETALLE CRONOLÓGICO'!$A$2:$A$4919,$A734)</f>
        <v/>
      </c>
      <c r="F734" s="4">
        <f>SUMIFS('DETALLE CRONOLÓGICO'!$I$2:$I$4919,'DETALLE CRONOLÓGICO'!$A$2:$A$4919,$A734)</f>
        <v/>
      </c>
      <c r="G734" s="1">
        <f>INDEX('DETALLE CRONOLÓGICO'!$D$2:$D$4919,MATCH($A734,'DETALLE CRONOLÓGICO'!$A$2:$A$4919,0))</f>
        <v/>
      </c>
      <c r="H734" s="1">
        <f>INDEX('DETALLE CRONOLÓGICO'!$D$2:$D$4919,MATCH($A734,'DETALLE CRONOLÓGICO'!$A$2:$A$4919,0)+$E734-1)</f>
        <v/>
      </c>
      <c r="I734" s="5">
        <f>IFERROR(SUMIFS('DETALLE CRONOLÓGICO'!$L$2:$L$4919,'DETALLE CRONOLÓGICO'!$A$2:$A$4919,$A734)/$F734,"")</f>
        <v/>
      </c>
      <c r="J734" s="6">
        <f>IFERROR(SUMIFS('DETALLE CRONOLÓGICO'!$K$2:$K$4919,'DETALLE CRONOLÓGICO'!$A$2:$A$4919,$A734)/$E734,"")</f>
        <v/>
      </c>
      <c r="K734" s="6">
        <f>_xlfn.MINIFS('DETALLE CRONOLÓGICO'!$K$2:$K$4919,'DETALLE CRONOLÓGICO'!$A$2:$A$4919,$A734)</f>
        <v/>
      </c>
      <c r="L734" s="6">
        <f>_xlfn.MAXIFS('DETALLE CRONOLÓGICO'!$K$2:$K$4919,'DETALLE CRONOLÓGICO'!$A$2:$A$4919,$A734)</f>
        <v/>
      </c>
      <c r="M734" s="6">
        <f>INDEX('DETALLE CRONOLÓGICO'!$K$2:$K$4919,MATCH($A734,'DETALLE CRONOLÓGICO'!$A$2:$A$4919,0)+$E734-1)</f>
        <v/>
      </c>
      <c r="N734" s="7">
        <f>IFERROR($M734/INDEX('DETALLE CRONOLÓGICO'!$K$2:$K$4919,MATCH($A734,'DETALLE CRONOLÓGICO'!$A$2:$A$4919,0))-1,"")</f>
        <v/>
      </c>
      <c r="O734" s="6">
        <f>IFERROR($I734*3,"")</f>
        <v/>
      </c>
      <c r="P734" s="6">
        <f>IFERROR($I734*3.5,"")</f>
        <v/>
      </c>
      <c r="Q734" s="6">
        <f>IFERROR($I734*4,"")</f>
        <v/>
      </c>
      <c r="R734" s="6" t="n">
        <v>1305</v>
      </c>
      <c r="S734" s="4" t="n">
        <v>2</v>
      </c>
      <c r="T734" s="1" t="inlineStr">
        <is>
          <t>active</t>
        </is>
      </c>
      <c r="U734" s="8" t="n"/>
      <c r="V734" s="1" t="inlineStr">
        <is>
          <t>SIN PRECIO</t>
        </is>
      </c>
    </row>
    <row r="735">
      <c r="A735" s="1" t="inlineStr">
        <is>
          <t>43047204716684</t>
        </is>
      </c>
      <c r="B735" s="1" t="inlineStr">
        <is>
          <t>ARETES CORAZÓN GRABADO ROSEGOLD</t>
        </is>
      </c>
      <c r="C735" s="1" t="inlineStr">
        <is>
          <t>Default Title</t>
        </is>
      </c>
      <c r="D735" s="1" t="inlineStr">
        <is>
          <t>CYNTHIA</t>
        </is>
      </c>
      <c r="E735" s="4">
        <f>COUNTIF('DETALLE CRONOLÓGICO'!$A$2:$A$4919,$A735)</f>
        <v/>
      </c>
      <c r="F735" s="4">
        <f>SUMIFS('DETALLE CRONOLÓGICO'!$I$2:$I$4919,'DETALLE CRONOLÓGICO'!$A$2:$A$4919,$A735)</f>
        <v/>
      </c>
      <c r="G735" s="1">
        <f>INDEX('DETALLE CRONOLÓGICO'!$D$2:$D$4919,MATCH($A735,'DETALLE CRONOLÓGICO'!$A$2:$A$4919,0))</f>
        <v/>
      </c>
      <c r="H735" s="1">
        <f>INDEX('DETALLE CRONOLÓGICO'!$D$2:$D$4919,MATCH($A735,'DETALLE CRONOLÓGICO'!$A$2:$A$4919,0)+$E735-1)</f>
        <v/>
      </c>
      <c r="I735" s="5">
        <f>IFERROR(SUMIFS('DETALLE CRONOLÓGICO'!$L$2:$L$4919,'DETALLE CRONOLÓGICO'!$A$2:$A$4919,$A735)/$F735,"")</f>
        <v/>
      </c>
      <c r="J735" s="6">
        <f>IFERROR(SUMIFS('DETALLE CRONOLÓGICO'!$K$2:$K$4919,'DETALLE CRONOLÓGICO'!$A$2:$A$4919,$A735)/$E735,"")</f>
        <v/>
      </c>
      <c r="K735" s="6">
        <f>_xlfn.MINIFS('DETALLE CRONOLÓGICO'!$K$2:$K$4919,'DETALLE CRONOLÓGICO'!$A$2:$A$4919,$A735)</f>
        <v/>
      </c>
      <c r="L735" s="6">
        <f>_xlfn.MAXIFS('DETALLE CRONOLÓGICO'!$K$2:$K$4919,'DETALLE CRONOLÓGICO'!$A$2:$A$4919,$A735)</f>
        <v/>
      </c>
      <c r="M735" s="6">
        <f>INDEX('DETALLE CRONOLÓGICO'!$K$2:$K$4919,MATCH($A735,'DETALLE CRONOLÓGICO'!$A$2:$A$4919,0)+$E735-1)</f>
        <v/>
      </c>
      <c r="N735" s="7">
        <f>IFERROR($M735/INDEX('DETALLE CRONOLÓGICO'!$K$2:$K$4919,MATCH($A735,'DETALLE CRONOLÓGICO'!$A$2:$A$4919,0))-1,"")</f>
        <v/>
      </c>
      <c r="O735" s="6">
        <f>IFERROR($I735*3,"")</f>
        <v/>
      </c>
      <c r="P735" s="6">
        <f>IFERROR($I735*3.5,"")</f>
        <v/>
      </c>
      <c r="Q735" s="6">
        <f>IFERROR($I735*4,"")</f>
        <v/>
      </c>
      <c r="R735" s="6" t="n">
        <v>599</v>
      </c>
      <c r="S735" s="4" t="n">
        <v>4</v>
      </c>
      <c r="T735" s="1" t="inlineStr">
        <is>
          <t>active</t>
        </is>
      </c>
      <c r="U735" s="8" t="n"/>
      <c r="V735" s="1" t="inlineStr">
        <is>
          <t>SIN PRECIO</t>
        </is>
      </c>
    </row>
    <row r="736">
      <c r="A736" s="1" t="inlineStr">
        <is>
          <t>43047204749452</t>
        </is>
      </c>
      <c r="B736" s="1" t="inlineStr">
        <is>
          <t>ARRACADAS T CORAZÓN</t>
        </is>
      </c>
      <c r="C736" s="1" t="inlineStr">
        <is>
          <t>Regular</t>
        </is>
      </c>
      <c r="D736" s="1" t="inlineStr">
        <is>
          <t>NANCY</t>
        </is>
      </c>
      <c r="E736" s="4">
        <f>COUNTIF('DETALLE CRONOLÓGICO'!$A$2:$A$4919,$A736)</f>
        <v/>
      </c>
      <c r="F736" s="4">
        <f>SUMIFS('DETALLE CRONOLÓGICO'!$I$2:$I$4919,'DETALLE CRONOLÓGICO'!$A$2:$A$4919,$A736)</f>
        <v/>
      </c>
      <c r="G736" s="1">
        <f>INDEX('DETALLE CRONOLÓGICO'!$D$2:$D$4919,MATCH($A736,'DETALLE CRONOLÓGICO'!$A$2:$A$4919,0))</f>
        <v/>
      </c>
      <c r="H736" s="1">
        <f>INDEX('DETALLE CRONOLÓGICO'!$D$2:$D$4919,MATCH($A736,'DETALLE CRONOLÓGICO'!$A$2:$A$4919,0)+$E736-1)</f>
        <v/>
      </c>
      <c r="I736" s="5">
        <f>IFERROR(SUMIFS('DETALLE CRONOLÓGICO'!$L$2:$L$4919,'DETALLE CRONOLÓGICO'!$A$2:$A$4919,$A736)/$F736,"")</f>
        <v/>
      </c>
      <c r="J736" s="6">
        <f>IFERROR(SUMIFS('DETALLE CRONOLÓGICO'!$K$2:$K$4919,'DETALLE CRONOLÓGICO'!$A$2:$A$4919,$A736)/$E736,"")</f>
        <v/>
      </c>
      <c r="K736" s="6">
        <f>_xlfn.MINIFS('DETALLE CRONOLÓGICO'!$K$2:$K$4919,'DETALLE CRONOLÓGICO'!$A$2:$A$4919,$A736)</f>
        <v/>
      </c>
      <c r="L736" s="6">
        <f>_xlfn.MAXIFS('DETALLE CRONOLÓGICO'!$K$2:$K$4919,'DETALLE CRONOLÓGICO'!$A$2:$A$4919,$A736)</f>
        <v/>
      </c>
      <c r="M736" s="6">
        <f>INDEX('DETALLE CRONOLÓGICO'!$K$2:$K$4919,MATCH($A736,'DETALLE CRONOLÓGICO'!$A$2:$A$4919,0)+$E736-1)</f>
        <v/>
      </c>
      <c r="N736" s="7">
        <f>IFERROR($M736/INDEX('DETALLE CRONOLÓGICO'!$K$2:$K$4919,MATCH($A736,'DETALLE CRONOLÓGICO'!$A$2:$A$4919,0))-1,"")</f>
        <v/>
      </c>
      <c r="O736" s="6">
        <f>IFERROR($I736*3,"")</f>
        <v/>
      </c>
      <c r="P736" s="6">
        <f>IFERROR($I736*3.5,"")</f>
        <v/>
      </c>
      <c r="Q736" s="6">
        <f>IFERROR($I736*4,"")</f>
        <v/>
      </c>
      <c r="R736" s="6" t="n">
        <v>499</v>
      </c>
      <c r="S736" s="4" t="n">
        <v>5</v>
      </c>
      <c r="T736" s="1" t="inlineStr">
        <is>
          <t>active</t>
        </is>
      </c>
      <c r="U736" s="8" t="n"/>
      <c r="V736" s="1" t="inlineStr">
        <is>
          <t>SIN PRECIO</t>
        </is>
      </c>
    </row>
    <row r="737">
      <c r="A737" s="1" t="inlineStr">
        <is>
          <t>43047205109900</t>
        </is>
      </c>
      <c r="B737" s="1" t="inlineStr">
        <is>
          <t>COLLAR KNOT ROSEGOLD</t>
        </is>
      </c>
      <c r="C737" s="1" t="inlineStr">
        <is>
          <t>Tamaño del dije: 4.5cm  40cm con extensión de 4cm</t>
        </is>
      </c>
      <c r="D737" s="1" t="inlineStr">
        <is>
          <t>NANCY</t>
        </is>
      </c>
      <c r="E737" s="4">
        <f>COUNTIF('DETALLE CRONOLÓGICO'!$A$2:$A$4919,$A737)</f>
        <v/>
      </c>
      <c r="F737" s="4">
        <f>SUMIFS('DETALLE CRONOLÓGICO'!$I$2:$I$4919,'DETALLE CRONOLÓGICO'!$A$2:$A$4919,$A737)</f>
        <v/>
      </c>
      <c r="G737" s="1">
        <f>INDEX('DETALLE CRONOLÓGICO'!$D$2:$D$4919,MATCH($A737,'DETALLE CRONOLÓGICO'!$A$2:$A$4919,0))</f>
        <v/>
      </c>
      <c r="H737" s="1">
        <f>INDEX('DETALLE CRONOLÓGICO'!$D$2:$D$4919,MATCH($A737,'DETALLE CRONOLÓGICO'!$A$2:$A$4919,0)+$E737-1)</f>
        <v/>
      </c>
      <c r="I737" s="5">
        <f>IFERROR(SUMIFS('DETALLE CRONOLÓGICO'!$L$2:$L$4919,'DETALLE CRONOLÓGICO'!$A$2:$A$4919,$A737)/$F737,"")</f>
        <v/>
      </c>
      <c r="J737" s="6">
        <f>IFERROR(SUMIFS('DETALLE CRONOLÓGICO'!$K$2:$K$4919,'DETALLE CRONOLÓGICO'!$A$2:$A$4919,$A737)/$E737,"")</f>
        <v/>
      </c>
      <c r="K737" s="6">
        <f>_xlfn.MINIFS('DETALLE CRONOLÓGICO'!$K$2:$K$4919,'DETALLE CRONOLÓGICO'!$A$2:$A$4919,$A737)</f>
        <v/>
      </c>
      <c r="L737" s="6">
        <f>_xlfn.MAXIFS('DETALLE CRONOLÓGICO'!$K$2:$K$4919,'DETALLE CRONOLÓGICO'!$A$2:$A$4919,$A737)</f>
        <v/>
      </c>
      <c r="M737" s="6">
        <f>INDEX('DETALLE CRONOLÓGICO'!$K$2:$K$4919,MATCH($A737,'DETALLE CRONOLÓGICO'!$A$2:$A$4919,0)+$E737-1)</f>
        <v/>
      </c>
      <c r="N737" s="7">
        <f>IFERROR($M737/INDEX('DETALLE CRONOLÓGICO'!$K$2:$K$4919,MATCH($A737,'DETALLE CRONOLÓGICO'!$A$2:$A$4919,0))-1,"")</f>
        <v/>
      </c>
      <c r="O737" s="6">
        <f>IFERROR($I737*3,"")</f>
        <v/>
      </c>
      <c r="P737" s="6">
        <f>IFERROR($I737*3.5,"")</f>
        <v/>
      </c>
      <c r="Q737" s="6">
        <f>IFERROR($I737*4,"")</f>
        <v/>
      </c>
      <c r="R737" s="6" t="n">
        <v>545</v>
      </c>
      <c r="S737" s="4" t="n">
        <v>2</v>
      </c>
      <c r="T737" s="1" t="inlineStr">
        <is>
          <t>active</t>
        </is>
      </c>
      <c r="U737" s="8" t="n"/>
      <c r="V737" s="1" t="inlineStr">
        <is>
          <t>SIN PRECIO</t>
        </is>
      </c>
    </row>
    <row r="738">
      <c r="A738" s="1" t="inlineStr">
        <is>
          <t>43047205240972</t>
        </is>
      </c>
      <c r="B738" s="1" t="inlineStr">
        <is>
          <t>COLLAR KNOT GOLD</t>
        </is>
      </c>
      <c r="C738" s="1" t="inlineStr">
        <is>
          <t>Tamaño del dije: 4.5cm  40cm con extensión de 4cm</t>
        </is>
      </c>
      <c r="D738" s="1" t="inlineStr">
        <is>
          <t>NANCY</t>
        </is>
      </c>
      <c r="E738" s="4">
        <f>COUNTIF('DETALLE CRONOLÓGICO'!$A$2:$A$4919,$A738)</f>
        <v/>
      </c>
      <c r="F738" s="4">
        <f>SUMIFS('DETALLE CRONOLÓGICO'!$I$2:$I$4919,'DETALLE CRONOLÓGICO'!$A$2:$A$4919,$A738)</f>
        <v/>
      </c>
      <c r="G738" s="1">
        <f>INDEX('DETALLE CRONOLÓGICO'!$D$2:$D$4919,MATCH($A738,'DETALLE CRONOLÓGICO'!$A$2:$A$4919,0))</f>
        <v/>
      </c>
      <c r="H738" s="1">
        <f>INDEX('DETALLE CRONOLÓGICO'!$D$2:$D$4919,MATCH($A738,'DETALLE CRONOLÓGICO'!$A$2:$A$4919,0)+$E738-1)</f>
        <v/>
      </c>
      <c r="I738" s="5">
        <f>IFERROR(SUMIFS('DETALLE CRONOLÓGICO'!$L$2:$L$4919,'DETALLE CRONOLÓGICO'!$A$2:$A$4919,$A738)/$F738,"")</f>
        <v/>
      </c>
      <c r="J738" s="6">
        <f>IFERROR(SUMIFS('DETALLE CRONOLÓGICO'!$K$2:$K$4919,'DETALLE CRONOLÓGICO'!$A$2:$A$4919,$A738)/$E738,"")</f>
        <v/>
      </c>
      <c r="K738" s="6">
        <f>_xlfn.MINIFS('DETALLE CRONOLÓGICO'!$K$2:$K$4919,'DETALLE CRONOLÓGICO'!$A$2:$A$4919,$A738)</f>
        <v/>
      </c>
      <c r="L738" s="6">
        <f>_xlfn.MAXIFS('DETALLE CRONOLÓGICO'!$K$2:$K$4919,'DETALLE CRONOLÓGICO'!$A$2:$A$4919,$A738)</f>
        <v/>
      </c>
      <c r="M738" s="6">
        <f>INDEX('DETALLE CRONOLÓGICO'!$K$2:$K$4919,MATCH($A738,'DETALLE CRONOLÓGICO'!$A$2:$A$4919,0)+$E738-1)</f>
        <v/>
      </c>
      <c r="N738" s="7">
        <f>IFERROR($M738/INDEX('DETALLE CRONOLÓGICO'!$K$2:$K$4919,MATCH($A738,'DETALLE CRONOLÓGICO'!$A$2:$A$4919,0))-1,"")</f>
        <v/>
      </c>
      <c r="O738" s="6">
        <f>IFERROR($I738*3,"")</f>
        <v/>
      </c>
      <c r="P738" s="6">
        <f>IFERROR($I738*3.5,"")</f>
        <v/>
      </c>
      <c r="Q738" s="6">
        <f>IFERROR($I738*4,"")</f>
        <v/>
      </c>
      <c r="R738" s="6" t="n">
        <v>550</v>
      </c>
      <c r="S738" s="4" t="n">
        <v>0</v>
      </c>
      <c r="T738" s="1" t="inlineStr">
        <is>
          <t>active</t>
        </is>
      </c>
      <c r="U738" s="8" t="n"/>
      <c r="V738" s="1" t="inlineStr">
        <is>
          <t>SIN PRECIO</t>
        </is>
      </c>
    </row>
    <row r="739">
      <c r="A739" s="1" t="inlineStr">
        <is>
          <t>43047206256780</t>
        </is>
      </c>
      <c r="B739" s="1" t="inlineStr">
        <is>
          <t>ANILLO LOCK GOLD-SILVER CON ZIRCONIAS</t>
        </is>
      </c>
      <c r="C739" s="1" t="n">
        <v>6</v>
      </c>
      <c r="D739" s="1" t="inlineStr">
        <is>
          <t>CYNTHIA</t>
        </is>
      </c>
      <c r="E739" s="4">
        <f>COUNTIF('DETALLE CRONOLÓGICO'!$A$2:$A$4919,$A739)</f>
        <v/>
      </c>
      <c r="F739" s="4">
        <f>SUMIFS('DETALLE CRONOLÓGICO'!$I$2:$I$4919,'DETALLE CRONOLÓGICO'!$A$2:$A$4919,$A739)</f>
        <v/>
      </c>
      <c r="G739" s="1">
        <f>INDEX('DETALLE CRONOLÓGICO'!$D$2:$D$4919,MATCH($A739,'DETALLE CRONOLÓGICO'!$A$2:$A$4919,0))</f>
        <v/>
      </c>
      <c r="H739" s="1">
        <f>INDEX('DETALLE CRONOLÓGICO'!$D$2:$D$4919,MATCH($A739,'DETALLE CRONOLÓGICO'!$A$2:$A$4919,0)+$E739-1)</f>
        <v/>
      </c>
      <c r="I739" s="5">
        <f>IFERROR(SUMIFS('DETALLE CRONOLÓGICO'!$L$2:$L$4919,'DETALLE CRONOLÓGICO'!$A$2:$A$4919,$A739)/$F739,"")</f>
        <v/>
      </c>
      <c r="J739" s="6">
        <f>IFERROR(SUMIFS('DETALLE CRONOLÓGICO'!$K$2:$K$4919,'DETALLE CRONOLÓGICO'!$A$2:$A$4919,$A739)/$E739,"")</f>
        <v/>
      </c>
      <c r="K739" s="6">
        <f>_xlfn.MINIFS('DETALLE CRONOLÓGICO'!$K$2:$K$4919,'DETALLE CRONOLÓGICO'!$A$2:$A$4919,$A739)</f>
        <v/>
      </c>
      <c r="L739" s="6">
        <f>_xlfn.MAXIFS('DETALLE CRONOLÓGICO'!$K$2:$K$4919,'DETALLE CRONOLÓGICO'!$A$2:$A$4919,$A739)</f>
        <v/>
      </c>
      <c r="M739" s="6">
        <f>INDEX('DETALLE CRONOLÓGICO'!$K$2:$K$4919,MATCH($A739,'DETALLE CRONOLÓGICO'!$A$2:$A$4919,0)+$E739-1)</f>
        <v/>
      </c>
      <c r="N739" s="7">
        <f>IFERROR($M739/INDEX('DETALLE CRONOLÓGICO'!$K$2:$K$4919,MATCH($A739,'DETALLE CRONOLÓGICO'!$A$2:$A$4919,0))-1,"")</f>
        <v/>
      </c>
      <c r="O739" s="6">
        <f>IFERROR($I739*3,"")</f>
        <v/>
      </c>
      <c r="P739" s="6">
        <f>IFERROR($I739*3.5,"")</f>
        <v/>
      </c>
      <c r="Q739" s="6">
        <f>IFERROR($I739*4,"")</f>
        <v/>
      </c>
      <c r="R739" s="6" t="n">
        <v>1189</v>
      </c>
      <c r="S739" s="4" t="n">
        <v>3</v>
      </c>
      <c r="T739" s="1" t="inlineStr">
        <is>
          <t>active</t>
        </is>
      </c>
      <c r="U739" s="8" t="n"/>
      <c r="V739" s="1" t="inlineStr">
        <is>
          <t>SIN PRECIO</t>
        </is>
      </c>
    </row>
    <row r="740">
      <c r="A740" s="1" t="inlineStr">
        <is>
          <t>43047206289548</t>
        </is>
      </c>
      <c r="B740" s="1" t="inlineStr">
        <is>
          <t>ANILLO LOCK GOLD-SILVER CON ZIRCONIAS</t>
        </is>
      </c>
      <c r="C740" s="1" t="inlineStr">
        <is>
          <t>7</t>
        </is>
      </c>
      <c r="D740" s="1" t="inlineStr">
        <is>
          <t>CYNTHIA</t>
        </is>
      </c>
      <c r="E740" s="4">
        <f>COUNTIF('DETALLE CRONOLÓGICO'!$A$2:$A$4919,$A740)</f>
        <v/>
      </c>
      <c r="F740" s="4">
        <f>SUMIFS('DETALLE CRONOLÓGICO'!$I$2:$I$4919,'DETALLE CRONOLÓGICO'!$A$2:$A$4919,$A740)</f>
        <v/>
      </c>
      <c r="G740" s="1">
        <f>INDEX('DETALLE CRONOLÓGICO'!$D$2:$D$4919,MATCH($A740,'DETALLE CRONOLÓGICO'!$A$2:$A$4919,0))</f>
        <v/>
      </c>
      <c r="H740" s="1">
        <f>INDEX('DETALLE CRONOLÓGICO'!$D$2:$D$4919,MATCH($A740,'DETALLE CRONOLÓGICO'!$A$2:$A$4919,0)+$E740-1)</f>
        <v/>
      </c>
      <c r="I740" s="5">
        <f>IFERROR(SUMIFS('DETALLE CRONOLÓGICO'!$L$2:$L$4919,'DETALLE CRONOLÓGICO'!$A$2:$A$4919,$A740)/$F740,"")</f>
        <v/>
      </c>
      <c r="J740" s="6">
        <f>IFERROR(SUMIFS('DETALLE CRONOLÓGICO'!$K$2:$K$4919,'DETALLE CRONOLÓGICO'!$A$2:$A$4919,$A740)/$E740,"")</f>
        <v/>
      </c>
      <c r="K740" s="6">
        <f>_xlfn.MINIFS('DETALLE CRONOLÓGICO'!$K$2:$K$4919,'DETALLE CRONOLÓGICO'!$A$2:$A$4919,$A740)</f>
        <v/>
      </c>
      <c r="L740" s="6">
        <f>_xlfn.MAXIFS('DETALLE CRONOLÓGICO'!$K$2:$K$4919,'DETALLE CRONOLÓGICO'!$A$2:$A$4919,$A740)</f>
        <v/>
      </c>
      <c r="M740" s="6">
        <f>INDEX('DETALLE CRONOLÓGICO'!$K$2:$K$4919,MATCH($A740,'DETALLE CRONOLÓGICO'!$A$2:$A$4919,0)+$E740-1)</f>
        <v/>
      </c>
      <c r="N740" s="7">
        <f>IFERROR($M740/INDEX('DETALLE CRONOLÓGICO'!$K$2:$K$4919,MATCH($A740,'DETALLE CRONOLÓGICO'!$A$2:$A$4919,0))-1,"")</f>
        <v/>
      </c>
      <c r="O740" s="6">
        <f>IFERROR($I740*3,"")</f>
        <v/>
      </c>
      <c r="P740" s="6">
        <f>IFERROR($I740*3.5,"")</f>
        <v/>
      </c>
      <c r="Q740" s="6">
        <f>IFERROR($I740*4,"")</f>
        <v/>
      </c>
      <c r="R740" s="6" t="n">
        <v>1189</v>
      </c>
      <c r="S740" s="4" t="n">
        <v>4</v>
      </c>
      <c r="T740" s="1" t="inlineStr">
        <is>
          <t>active</t>
        </is>
      </c>
      <c r="U740" s="8" t="n"/>
      <c r="V740" s="1" t="inlineStr">
        <is>
          <t>SIN PRECIO</t>
        </is>
      </c>
    </row>
    <row r="741">
      <c r="A741" s="1" t="inlineStr">
        <is>
          <t>43047206322316</t>
        </is>
      </c>
      <c r="B741" s="1" t="n"/>
      <c r="C741" s="1" t="n">
        <v>8</v>
      </c>
      <c r="D741" s="1" t="inlineStr">
        <is>
          <t>CYNTHIA</t>
        </is>
      </c>
      <c r="E741" s="4">
        <f>COUNTIF('DETALLE CRONOLÓGICO'!$A$2:$A$4919,$A741)</f>
        <v/>
      </c>
      <c r="F741" s="4">
        <f>SUMIFS('DETALLE CRONOLÓGICO'!$I$2:$I$4919,'DETALLE CRONOLÓGICO'!$A$2:$A$4919,$A741)</f>
        <v/>
      </c>
      <c r="G741" s="1">
        <f>INDEX('DETALLE CRONOLÓGICO'!$D$2:$D$4919,MATCH($A741,'DETALLE CRONOLÓGICO'!$A$2:$A$4919,0))</f>
        <v/>
      </c>
      <c r="H741" s="1">
        <f>INDEX('DETALLE CRONOLÓGICO'!$D$2:$D$4919,MATCH($A741,'DETALLE CRONOLÓGICO'!$A$2:$A$4919,0)+$E741-1)</f>
        <v/>
      </c>
      <c r="I741" s="5">
        <f>IFERROR(SUMIFS('DETALLE CRONOLÓGICO'!$L$2:$L$4919,'DETALLE CRONOLÓGICO'!$A$2:$A$4919,$A741)/$F741,"")</f>
        <v/>
      </c>
      <c r="J741" s="6">
        <f>IFERROR(SUMIFS('DETALLE CRONOLÓGICO'!$K$2:$K$4919,'DETALLE CRONOLÓGICO'!$A$2:$A$4919,$A741)/$E741,"")</f>
        <v/>
      </c>
      <c r="K741" s="6">
        <f>_xlfn.MINIFS('DETALLE CRONOLÓGICO'!$K$2:$K$4919,'DETALLE CRONOLÓGICO'!$A$2:$A$4919,$A741)</f>
        <v/>
      </c>
      <c r="L741" s="6">
        <f>_xlfn.MAXIFS('DETALLE CRONOLÓGICO'!$K$2:$K$4919,'DETALLE CRONOLÓGICO'!$A$2:$A$4919,$A741)</f>
        <v/>
      </c>
      <c r="M741" s="6">
        <f>INDEX('DETALLE CRONOLÓGICO'!$K$2:$K$4919,MATCH($A741,'DETALLE CRONOLÓGICO'!$A$2:$A$4919,0)+$E741-1)</f>
        <v/>
      </c>
      <c r="N741" s="7">
        <f>IFERROR($M741/INDEX('DETALLE CRONOLÓGICO'!$K$2:$K$4919,MATCH($A741,'DETALLE CRONOLÓGICO'!$A$2:$A$4919,0))-1,"")</f>
        <v/>
      </c>
      <c r="O741" s="6">
        <f>IFERROR($I741*3,"")</f>
        <v/>
      </c>
      <c r="P741" s="6">
        <f>IFERROR($I741*3.5,"")</f>
        <v/>
      </c>
      <c r="Q741" s="6">
        <f>IFERROR($I741*4,"")</f>
        <v/>
      </c>
      <c r="R741" s="6" t="n">
        <v>1189</v>
      </c>
      <c r="S741" s="4" t="n">
        <v>4</v>
      </c>
      <c r="T741" s="1" t="inlineStr">
        <is>
          <t>active</t>
        </is>
      </c>
      <c r="U741" s="8" t="n"/>
      <c r="V741" s="1" t="inlineStr">
        <is>
          <t>SIN PRECIO</t>
        </is>
      </c>
    </row>
    <row r="742">
      <c r="A742" s="1" t="inlineStr">
        <is>
          <t>43047206682764</t>
        </is>
      </c>
      <c r="B742" s="1" t="inlineStr">
        <is>
          <t>ANILLO LOCK ROSEGOLD-SILVER CON ZIRCONIAS</t>
        </is>
      </c>
      <c r="C742" s="1" t="n">
        <v>6</v>
      </c>
      <c r="D742" s="1" t="inlineStr">
        <is>
          <t>CYNTHIA</t>
        </is>
      </c>
      <c r="E742" s="4">
        <f>COUNTIF('DETALLE CRONOLÓGICO'!$A$2:$A$4919,$A742)</f>
        <v/>
      </c>
      <c r="F742" s="4">
        <f>SUMIFS('DETALLE CRONOLÓGICO'!$I$2:$I$4919,'DETALLE CRONOLÓGICO'!$A$2:$A$4919,$A742)</f>
        <v/>
      </c>
      <c r="G742" s="1">
        <f>INDEX('DETALLE CRONOLÓGICO'!$D$2:$D$4919,MATCH($A742,'DETALLE CRONOLÓGICO'!$A$2:$A$4919,0))</f>
        <v/>
      </c>
      <c r="H742" s="1">
        <f>INDEX('DETALLE CRONOLÓGICO'!$D$2:$D$4919,MATCH($A742,'DETALLE CRONOLÓGICO'!$A$2:$A$4919,0)+$E742-1)</f>
        <v/>
      </c>
      <c r="I742" s="5">
        <f>IFERROR(SUMIFS('DETALLE CRONOLÓGICO'!$L$2:$L$4919,'DETALLE CRONOLÓGICO'!$A$2:$A$4919,$A742)/$F742,"")</f>
        <v/>
      </c>
      <c r="J742" s="6">
        <f>IFERROR(SUMIFS('DETALLE CRONOLÓGICO'!$K$2:$K$4919,'DETALLE CRONOLÓGICO'!$A$2:$A$4919,$A742)/$E742,"")</f>
        <v/>
      </c>
      <c r="K742" s="6">
        <f>_xlfn.MINIFS('DETALLE CRONOLÓGICO'!$K$2:$K$4919,'DETALLE CRONOLÓGICO'!$A$2:$A$4919,$A742)</f>
        <v/>
      </c>
      <c r="L742" s="6">
        <f>_xlfn.MAXIFS('DETALLE CRONOLÓGICO'!$K$2:$K$4919,'DETALLE CRONOLÓGICO'!$A$2:$A$4919,$A742)</f>
        <v/>
      </c>
      <c r="M742" s="6">
        <f>INDEX('DETALLE CRONOLÓGICO'!$K$2:$K$4919,MATCH($A742,'DETALLE CRONOLÓGICO'!$A$2:$A$4919,0)+$E742-1)</f>
        <v/>
      </c>
      <c r="N742" s="7">
        <f>IFERROR($M742/INDEX('DETALLE CRONOLÓGICO'!$K$2:$K$4919,MATCH($A742,'DETALLE CRONOLÓGICO'!$A$2:$A$4919,0))-1,"")</f>
        <v/>
      </c>
      <c r="O742" s="6">
        <f>IFERROR($I742*3,"")</f>
        <v/>
      </c>
      <c r="P742" s="6">
        <f>IFERROR($I742*3.5,"")</f>
        <v/>
      </c>
      <c r="Q742" s="6">
        <f>IFERROR($I742*4,"")</f>
        <v/>
      </c>
      <c r="R742" s="6" t="n">
        <v>1169</v>
      </c>
      <c r="S742" s="4" t="n">
        <v>2</v>
      </c>
      <c r="T742" s="1" t="inlineStr">
        <is>
          <t>active</t>
        </is>
      </c>
      <c r="U742" s="8" t="n"/>
      <c r="V742" s="1" t="inlineStr">
        <is>
          <t>SIN PRECIO</t>
        </is>
      </c>
    </row>
    <row r="743">
      <c r="A743" s="1" t="inlineStr">
        <is>
          <t>43047206715532</t>
        </is>
      </c>
      <c r="B743" s="1" t="n"/>
      <c r="C743" s="1" t="n">
        <v>7</v>
      </c>
      <c r="D743" s="1" t="inlineStr">
        <is>
          <t>CYNTHIA</t>
        </is>
      </c>
      <c r="E743" s="4">
        <f>COUNTIF('DETALLE CRONOLÓGICO'!$A$2:$A$4919,$A743)</f>
        <v/>
      </c>
      <c r="F743" s="4">
        <f>SUMIFS('DETALLE CRONOLÓGICO'!$I$2:$I$4919,'DETALLE CRONOLÓGICO'!$A$2:$A$4919,$A743)</f>
        <v/>
      </c>
      <c r="G743" s="1">
        <f>INDEX('DETALLE CRONOLÓGICO'!$D$2:$D$4919,MATCH($A743,'DETALLE CRONOLÓGICO'!$A$2:$A$4919,0))</f>
        <v/>
      </c>
      <c r="H743" s="1">
        <f>INDEX('DETALLE CRONOLÓGICO'!$D$2:$D$4919,MATCH($A743,'DETALLE CRONOLÓGICO'!$A$2:$A$4919,0)+$E743-1)</f>
        <v/>
      </c>
      <c r="I743" s="5">
        <f>IFERROR(SUMIFS('DETALLE CRONOLÓGICO'!$L$2:$L$4919,'DETALLE CRONOLÓGICO'!$A$2:$A$4919,$A743)/$F743,"")</f>
        <v/>
      </c>
      <c r="J743" s="6">
        <f>IFERROR(SUMIFS('DETALLE CRONOLÓGICO'!$K$2:$K$4919,'DETALLE CRONOLÓGICO'!$A$2:$A$4919,$A743)/$E743,"")</f>
        <v/>
      </c>
      <c r="K743" s="6">
        <f>_xlfn.MINIFS('DETALLE CRONOLÓGICO'!$K$2:$K$4919,'DETALLE CRONOLÓGICO'!$A$2:$A$4919,$A743)</f>
        <v/>
      </c>
      <c r="L743" s="6">
        <f>_xlfn.MAXIFS('DETALLE CRONOLÓGICO'!$K$2:$K$4919,'DETALLE CRONOLÓGICO'!$A$2:$A$4919,$A743)</f>
        <v/>
      </c>
      <c r="M743" s="6">
        <f>INDEX('DETALLE CRONOLÓGICO'!$K$2:$K$4919,MATCH($A743,'DETALLE CRONOLÓGICO'!$A$2:$A$4919,0)+$E743-1)</f>
        <v/>
      </c>
      <c r="N743" s="7">
        <f>IFERROR($M743/INDEX('DETALLE CRONOLÓGICO'!$K$2:$K$4919,MATCH($A743,'DETALLE CRONOLÓGICO'!$A$2:$A$4919,0))-1,"")</f>
        <v/>
      </c>
      <c r="O743" s="6">
        <f>IFERROR($I743*3,"")</f>
        <v/>
      </c>
      <c r="P743" s="6">
        <f>IFERROR($I743*3.5,"")</f>
        <v/>
      </c>
      <c r="Q743" s="6">
        <f>IFERROR($I743*4,"")</f>
        <v/>
      </c>
      <c r="R743" s="6" t="n">
        <v>1169</v>
      </c>
      <c r="S743" s="4" t="n">
        <v>2</v>
      </c>
      <c r="T743" s="1" t="inlineStr">
        <is>
          <t>active</t>
        </is>
      </c>
      <c r="U743" s="8" t="n"/>
      <c r="V743" s="1" t="inlineStr">
        <is>
          <t>SIN PRECIO</t>
        </is>
      </c>
    </row>
    <row r="744">
      <c r="A744" s="1" t="inlineStr">
        <is>
          <t>43047206748300</t>
        </is>
      </c>
      <c r="B744" s="1" t="inlineStr">
        <is>
          <t>ANILLO LOCK ROSEGOLD-SILVER CON ZIRCONIAS</t>
        </is>
      </c>
      <c r="C744" s="1" t="n">
        <v>8</v>
      </c>
      <c r="D744" s="1" t="inlineStr">
        <is>
          <t>CYNTHIA</t>
        </is>
      </c>
      <c r="E744" s="4">
        <f>COUNTIF('DETALLE CRONOLÓGICO'!$A$2:$A$4919,$A744)</f>
        <v/>
      </c>
      <c r="F744" s="4">
        <f>SUMIFS('DETALLE CRONOLÓGICO'!$I$2:$I$4919,'DETALLE CRONOLÓGICO'!$A$2:$A$4919,$A744)</f>
        <v/>
      </c>
      <c r="G744" s="1">
        <f>INDEX('DETALLE CRONOLÓGICO'!$D$2:$D$4919,MATCH($A744,'DETALLE CRONOLÓGICO'!$A$2:$A$4919,0))</f>
        <v/>
      </c>
      <c r="H744" s="1">
        <f>INDEX('DETALLE CRONOLÓGICO'!$D$2:$D$4919,MATCH($A744,'DETALLE CRONOLÓGICO'!$A$2:$A$4919,0)+$E744-1)</f>
        <v/>
      </c>
      <c r="I744" s="5">
        <f>IFERROR(SUMIFS('DETALLE CRONOLÓGICO'!$L$2:$L$4919,'DETALLE CRONOLÓGICO'!$A$2:$A$4919,$A744)/$F744,"")</f>
        <v/>
      </c>
      <c r="J744" s="6">
        <f>IFERROR(SUMIFS('DETALLE CRONOLÓGICO'!$K$2:$K$4919,'DETALLE CRONOLÓGICO'!$A$2:$A$4919,$A744)/$E744,"")</f>
        <v/>
      </c>
      <c r="K744" s="6">
        <f>_xlfn.MINIFS('DETALLE CRONOLÓGICO'!$K$2:$K$4919,'DETALLE CRONOLÓGICO'!$A$2:$A$4919,$A744)</f>
        <v/>
      </c>
      <c r="L744" s="6">
        <f>_xlfn.MAXIFS('DETALLE CRONOLÓGICO'!$K$2:$K$4919,'DETALLE CRONOLÓGICO'!$A$2:$A$4919,$A744)</f>
        <v/>
      </c>
      <c r="M744" s="6">
        <f>INDEX('DETALLE CRONOLÓGICO'!$K$2:$K$4919,MATCH($A744,'DETALLE CRONOLÓGICO'!$A$2:$A$4919,0)+$E744-1)</f>
        <v/>
      </c>
      <c r="N744" s="7">
        <f>IFERROR($M744/INDEX('DETALLE CRONOLÓGICO'!$K$2:$K$4919,MATCH($A744,'DETALLE CRONOLÓGICO'!$A$2:$A$4919,0))-1,"")</f>
        <v/>
      </c>
      <c r="O744" s="6">
        <f>IFERROR($I744*3,"")</f>
        <v/>
      </c>
      <c r="P744" s="6">
        <f>IFERROR($I744*3.5,"")</f>
        <v/>
      </c>
      <c r="Q744" s="6">
        <f>IFERROR($I744*4,"")</f>
        <v/>
      </c>
      <c r="R744" s="6" t="n">
        <v>1169</v>
      </c>
      <c r="S744" s="4" t="n">
        <v>3</v>
      </c>
      <c r="T744" s="1" t="inlineStr">
        <is>
          <t>active</t>
        </is>
      </c>
      <c r="U744" s="8" t="n"/>
      <c r="V744" s="1" t="inlineStr">
        <is>
          <t>SIN PRECIO</t>
        </is>
      </c>
    </row>
    <row r="745">
      <c r="A745" s="1" t="inlineStr">
        <is>
          <t>43047207010444</t>
        </is>
      </c>
      <c r="B745" s="1" t="inlineStr">
        <is>
          <t>PULSERA T ANGOSTA SILVER</t>
        </is>
      </c>
      <c r="C745" s="1" t="inlineStr">
        <is>
          <t>16cm</t>
        </is>
      </c>
      <c r="D745" s="1" t="inlineStr">
        <is>
          <t>CYNTHIA</t>
        </is>
      </c>
      <c r="E745" s="4">
        <f>COUNTIF('DETALLE CRONOLÓGICO'!$A$2:$A$4919,$A745)</f>
        <v/>
      </c>
      <c r="F745" s="4">
        <f>SUMIFS('DETALLE CRONOLÓGICO'!$I$2:$I$4919,'DETALLE CRONOLÓGICO'!$A$2:$A$4919,$A745)</f>
        <v/>
      </c>
      <c r="G745" s="1">
        <f>INDEX('DETALLE CRONOLÓGICO'!$D$2:$D$4919,MATCH($A745,'DETALLE CRONOLÓGICO'!$A$2:$A$4919,0))</f>
        <v/>
      </c>
      <c r="H745" s="1">
        <f>INDEX('DETALLE CRONOLÓGICO'!$D$2:$D$4919,MATCH($A745,'DETALLE CRONOLÓGICO'!$A$2:$A$4919,0)+$E745-1)</f>
        <v/>
      </c>
      <c r="I745" s="5">
        <f>IFERROR(SUMIFS('DETALLE CRONOLÓGICO'!$L$2:$L$4919,'DETALLE CRONOLÓGICO'!$A$2:$A$4919,$A745)/$F745,"")</f>
        <v/>
      </c>
      <c r="J745" s="6">
        <f>IFERROR(SUMIFS('DETALLE CRONOLÓGICO'!$K$2:$K$4919,'DETALLE CRONOLÓGICO'!$A$2:$A$4919,$A745)/$E745,"")</f>
        <v/>
      </c>
      <c r="K745" s="6">
        <f>_xlfn.MINIFS('DETALLE CRONOLÓGICO'!$K$2:$K$4919,'DETALLE CRONOLÓGICO'!$A$2:$A$4919,$A745)</f>
        <v/>
      </c>
      <c r="L745" s="6">
        <f>_xlfn.MAXIFS('DETALLE CRONOLÓGICO'!$K$2:$K$4919,'DETALLE CRONOLÓGICO'!$A$2:$A$4919,$A745)</f>
        <v/>
      </c>
      <c r="M745" s="6">
        <f>INDEX('DETALLE CRONOLÓGICO'!$K$2:$K$4919,MATCH($A745,'DETALLE CRONOLÓGICO'!$A$2:$A$4919,0)+$E745-1)</f>
        <v/>
      </c>
      <c r="N745" s="7">
        <f>IFERROR($M745/INDEX('DETALLE CRONOLÓGICO'!$K$2:$K$4919,MATCH($A745,'DETALLE CRONOLÓGICO'!$A$2:$A$4919,0))-1,"")</f>
        <v/>
      </c>
      <c r="O745" s="6">
        <f>IFERROR($I745*3,"")</f>
        <v/>
      </c>
      <c r="P745" s="6">
        <f>IFERROR($I745*3.5,"")</f>
        <v/>
      </c>
      <c r="Q745" s="6">
        <f>IFERROR($I745*4,"")</f>
        <v/>
      </c>
      <c r="R745" s="6" t="n">
        <v>1330</v>
      </c>
      <c r="S745" s="4" t="n">
        <v>3</v>
      </c>
      <c r="T745" s="1" t="inlineStr">
        <is>
          <t>active</t>
        </is>
      </c>
      <c r="U745" s="8" t="n"/>
      <c r="V745" s="1" t="inlineStr">
        <is>
          <t>SIN PRECIO</t>
        </is>
      </c>
    </row>
    <row r="746">
      <c r="A746" s="1" t="inlineStr">
        <is>
          <t>43047208517772</t>
        </is>
      </c>
      <c r="B746" s="1" t="inlineStr">
        <is>
          <t>COLLAR ESLABÓN DOBLE CADENA ROSEGOLD</t>
        </is>
      </c>
      <c r="C746" s="1" t="inlineStr">
        <is>
          <t>47cm</t>
        </is>
      </c>
      <c r="D746" s="1" t="inlineStr">
        <is>
          <t>CYNTHIA</t>
        </is>
      </c>
      <c r="E746" s="4">
        <f>COUNTIF('DETALLE CRONOLÓGICO'!$A$2:$A$4919,$A746)</f>
        <v/>
      </c>
      <c r="F746" s="4">
        <f>SUMIFS('DETALLE CRONOLÓGICO'!$I$2:$I$4919,'DETALLE CRONOLÓGICO'!$A$2:$A$4919,$A746)</f>
        <v/>
      </c>
      <c r="G746" s="1">
        <f>INDEX('DETALLE CRONOLÓGICO'!$D$2:$D$4919,MATCH($A746,'DETALLE CRONOLÓGICO'!$A$2:$A$4919,0))</f>
        <v/>
      </c>
      <c r="H746" s="1">
        <f>INDEX('DETALLE CRONOLÓGICO'!$D$2:$D$4919,MATCH($A746,'DETALLE CRONOLÓGICO'!$A$2:$A$4919,0)+$E746-1)</f>
        <v/>
      </c>
      <c r="I746" s="5">
        <f>IFERROR(SUMIFS('DETALLE CRONOLÓGICO'!$L$2:$L$4919,'DETALLE CRONOLÓGICO'!$A$2:$A$4919,$A746)/$F746,"")</f>
        <v/>
      </c>
      <c r="J746" s="6">
        <f>IFERROR(SUMIFS('DETALLE CRONOLÓGICO'!$K$2:$K$4919,'DETALLE CRONOLÓGICO'!$A$2:$A$4919,$A746)/$E746,"")</f>
        <v/>
      </c>
      <c r="K746" s="6">
        <f>_xlfn.MINIFS('DETALLE CRONOLÓGICO'!$K$2:$K$4919,'DETALLE CRONOLÓGICO'!$A$2:$A$4919,$A746)</f>
        <v/>
      </c>
      <c r="L746" s="6">
        <f>_xlfn.MAXIFS('DETALLE CRONOLÓGICO'!$K$2:$K$4919,'DETALLE CRONOLÓGICO'!$A$2:$A$4919,$A746)</f>
        <v/>
      </c>
      <c r="M746" s="6">
        <f>INDEX('DETALLE CRONOLÓGICO'!$K$2:$K$4919,MATCH($A746,'DETALLE CRONOLÓGICO'!$A$2:$A$4919,0)+$E746-1)</f>
        <v/>
      </c>
      <c r="N746" s="7">
        <f>IFERROR($M746/INDEX('DETALLE CRONOLÓGICO'!$K$2:$K$4919,MATCH($A746,'DETALLE CRONOLÓGICO'!$A$2:$A$4919,0))-1,"")</f>
        <v/>
      </c>
      <c r="O746" s="6">
        <f>IFERROR($I746*3,"")</f>
        <v/>
      </c>
      <c r="P746" s="6">
        <f>IFERROR($I746*3.5,"")</f>
        <v/>
      </c>
      <c r="Q746" s="6">
        <f>IFERROR($I746*4,"")</f>
        <v/>
      </c>
      <c r="R746" s="6" t="n">
        <v>1025</v>
      </c>
      <c r="S746" s="4" t="n">
        <v>4</v>
      </c>
      <c r="T746" s="1" t="inlineStr">
        <is>
          <t>active</t>
        </is>
      </c>
      <c r="U746" s="8" t="n"/>
      <c r="V746" s="1" t="inlineStr">
        <is>
          <t>SIN PRECIO</t>
        </is>
      </c>
    </row>
    <row r="747">
      <c r="A747" s="1" t="inlineStr">
        <is>
          <t>43047209828492</t>
        </is>
      </c>
      <c r="B747" s="1" t="inlineStr">
        <is>
          <t>PULSERA DE CUENTAS GOLD CON INSIGNIA DE CORAZÓN BLUE</t>
        </is>
      </c>
      <c r="C747" s="1" t="inlineStr">
        <is>
          <t>16cm</t>
        </is>
      </c>
      <c r="D747" s="1" t="inlineStr">
        <is>
          <t>COCOMA</t>
        </is>
      </c>
      <c r="E747" s="4">
        <f>COUNTIF('DETALLE CRONOLÓGICO'!$A$2:$A$4919,$A747)</f>
        <v/>
      </c>
      <c r="F747" s="4">
        <f>SUMIFS('DETALLE CRONOLÓGICO'!$I$2:$I$4919,'DETALLE CRONOLÓGICO'!$A$2:$A$4919,$A747)</f>
        <v/>
      </c>
      <c r="G747" s="1">
        <f>INDEX('DETALLE CRONOLÓGICO'!$D$2:$D$4919,MATCH($A747,'DETALLE CRONOLÓGICO'!$A$2:$A$4919,0))</f>
        <v/>
      </c>
      <c r="H747" s="1">
        <f>INDEX('DETALLE CRONOLÓGICO'!$D$2:$D$4919,MATCH($A747,'DETALLE CRONOLÓGICO'!$A$2:$A$4919,0)+$E747-1)</f>
        <v/>
      </c>
      <c r="I747" s="5">
        <f>IFERROR(SUMIFS('DETALLE CRONOLÓGICO'!$L$2:$L$4919,'DETALLE CRONOLÓGICO'!$A$2:$A$4919,$A747)/$F747,"")</f>
        <v/>
      </c>
      <c r="J747" s="6">
        <f>IFERROR(SUMIFS('DETALLE CRONOLÓGICO'!$K$2:$K$4919,'DETALLE CRONOLÓGICO'!$A$2:$A$4919,$A747)/$E747,"")</f>
        <v/>
      </c>
      <c r="K747" s="6">
        <f>_xlfn.MINIFS('DETALLE CRONOLÓGICO'!$K$2:$K$4919,'DETALLE CRONOLÓGICO'!$A$2:$A$4919,$A747)</f>
        <v/>
      </c>
      <c r="L747" s="6">
        <f>_xlfn.MAXIFS('DETALLE CRONOLÓGICO'!$K$2:$K$4919,'DETALLE CRONOLÓGICO'!$A$2:$A$4919,$A747)</f>
        <v/>
      </c>
      <c r="M747" s="6">
        <f>INDEX('DETALLE CRONOLÓGICO'!$K$2:$K$4919,MATCH($A747,'DETALLE CRONOLÓGICO'!$A$2:$A$4919,0)+$E747-1)</f>
        <v/>
      </c>
      <c r="N747" s="7">
        <f>IFERROR($M747/INDEX('DETALLE CRONOLÓGICO'!$K$2:$K$4919,MATCH($A747,'DETALLE CRONOLÓGICO'!$A$2:$A$4919,0))-1,"")</f>
        <v/>
      </c>
      <c r="O747" s="6">
        <f>IFERROR($I747*3,"")</f>
        <v/>
      </c>
      <c r="P747" s="6">
        <f>IFERROR($I747*3.5,"")</f>
        <v/>
      </c>
      <c r="Q747" s="6">
        <f>IFERROR($I747*4,"")</f>
        <v/>
      </c>
      <c r="R747" s="6" t="n">
        <v>525</v>
      </c>
      <c r="S747" s="4" t="n">
        <v>0</v>
      </c>
      <c r="T747" s="1" t="inlineStr">
        <is>
          <t>active</t>
        </is>
      </c>
      <c r="U747" s="8" t="n"/>
      <c r="V747" s="1" t="inlineStr">
        <is>
          <t>SIN PRECIO</t>
        </is>
      </c>
    </row>
    <row r="748">
      <c r="A748" s="1" t="inlineStr">
        <is>
          <t>43047210680460</t>
        </is>
      </c>
      <c r="B748" s="1" t="inlineStr">
        <is>
          <t>PULSERA DE CUENTAS GOLD CON INSIGNIA DE CORAZÓN RED</t>
        </is>
      </c>
      <c r="C748" s="1" t="inlineStr">
        <is>
          <t>16cm</t>
        </is>
      </c>
      <c r="D748" s="1" t="inlineStr">
        <is>
          <t>COCOMA</t>
        </is>
      </c>
      <c r="E748" s="4">
        <f>COUNTIF('DETALLE CRONOLÓGICO'!$A$2:$A$4919,$A748)</f>
        <v/>
      </c>
      <c r="F748" s="4">
        <f>SUMIFS('DETALLE CRONOLÓGICO'!$I$2:$I$4919,'DETALLE CRONOLÓGICO'!$A$2:$A$4919,$A748)</f>
        <v/>
      </c>
      <c r="G748" s="1">
        <f>INDEX('DETALLE CRONOLÓGICO'!$D$2:$D$4919,MATCH($A748,'DETALLE CRONOLÓGICO'!$A$2:$A$4919,0))</f>
        <v/>
      </c>
      <c r="H748" s="1">
        <f>INDEX('DETALLE CRONOLÓGICO'!$D$2:$D$4919,MATCH($A748,'DETALLE CRONOLÓGICO'!$A$2:$A$4919,0)+$E748-1)</f>
        <v/>
      </c>
      <c r="I748" s="5">
        <f>IFERROR(SUMIFS('DETALLE CRONOLÓGICO'!$L$2:$L$4919,'DETALLE CRONOLÓGICO'!$A$2:$A$4919,$A748)/$F748,"")</f>
        <v/>
      </c>
      <c r="J748" s="6">
        <f>IFERROR(SUMIFS('DETALLE CRONOLÓGICO'!$K$2:$K$4919,'DETALLE CRONOLÓGICO'!$A$2:$A$4919,$A748)/$E748,"")</f>
        <v/>
      </c>
      <c r="K748" s="6">
        <f>_xlfn.MINIFS('DETALLE CRONOLÓGICO'!$K$2:$K$4919,'DETALLE CRONOLÓGICO'!$A$2:$A$4919,$A748)</f>
        <v/>
      </c>
      <c r="L748" s="6">
        <f>_xlfn.MAXIFS('DETALLE CRONOLÓGICO'!$K$2:$K$4919,'DETALLE CRONOLÓGICO'!$A$2:$A$4919,$A748)</f>
        <v/>
      </c>
      <c r="M748" s="6">
        <f>INDEX('DETALLE CRONOLÓGICO'!$K$2:$K$4919,MATCH($A748,'DETALLE CRONOLÓGICO'!$A$2:$A$4919,0)+$E748-1)</f>
        <v/>
      </c>
      <c r="N748" s="7">
        <f>IFERROR($M748/INDEX('DETALLE CRONOLÓGICO'!$K$2:$K$4919,MATCH($A748,'DETALLE CRONOLÓGICO'!$A$2:$A$4919,0))-1,"")</f>
        <v/>
      </c>
      <c r="O748" s="6">
        <f>IFERROR($I748*3,"")</f>
        <v/>
      </c>
      <c r="P748" s="6">
        <f>IFERROR($I748*3.5,"")</f>
        <v/>
      </c>
      <c r="Q748" s="6">
        <f>IFERROR($I748*4,"")</f>
        <v/>
      </c>
      <c r="R748" s="6" t="n">
        <v>525</v>
      </c>
      <c r="S748" s="4" t="n">
        <v>0</v>
      </c>
      <c r="T748" s="1" t="inlineStr">
        <is>
          <t>active</t>
        </is>
      </c>
      <c r="U748" s="8" t="n"/>
      <c r="V748" s="1" t="inlineStr">
        <is>
          <t>SIN PRECIO</t>
        </is>
      </c>
    </row>
    <row r="749">
      <c r="A749" s="1" t="inlineStr">
        <is>
          <t>43047211597964</t>
        </is>
      </c>
      <c r="B749" s="1" t="inlineStr">
        <is>
          <t>ARETES CORAZÓN PLACA GRABADO GOLD</t>
        </is>
      </c>
      <c r="C749" s="1" t="inlineStr">
        <is>
          <t>Regular</t>
        </is>
      </c>
      <c r="D749" s="1" t="inlineStr">
        <is>
          <t>CYNTHIA</t>
        </is>
      </c>
      <c r="E749" s="4">
        <f>COUNTIF('DETALLE CRONOLÓGICO'!$A$2:$A$4919,$A749)</f>
        <v/>
      </c>
      <c r="F749" s="4">
        <f>SUMIFS('DETALLE CRONOLÓGICO'!$I$2:$I$4919,'DETALLE CRONOLÓGICO'!$A$2:$A$4919,$A749)</f>
        <v/>
      </c>
      <c r="G749" s="1">
        <f>INDEX('DETALLE CRONOLÓGICO'!$D$2:$D$4919,MATCH($A749,'DETALLE CRONOLÓGICO'!$A$2:$A$4919,0))</f>
        <v/>
      </c>
      <c r="H749" s="1">
        <f>INDEX('DETALLE CRONOLÓGICO'!$D$2:$D$4919,MATCH($A749,'DETALLE CRONOLÓGICO'!$A$2:$A$4919,0)+$E749-1)</f>
        <v/>
      </c>
      <c r="I749" s="5">
        <f>IFERROR(SUMIFS('DETALLE CRONOLÓGICO'!$L$2:$L$4919,'DETALLE CRONOLÓGICO'!$A$2:$A$4919,$A749)/$F749,"")</f>
        <v/>
      </c>
      <c r="J749" s="6">
        <f>IFERROR(SUMIFS('DETALLE CRONOLÓGICO'!$K$2:$K$4919,'DETALLE CRONOLÓGICO'!$A$2:$A$4919,$A749)/$E749,"")</f>
        <v/>
      </c>
      <c r="K749" s="6">
        <f>_xlfn.MINIFS('DETALLE CRONOLÓGICO'!$K$2:$K$4919,'DETALLE CRONOLÓGICO'!$A$2:$A$4919,$A749)</f>
        <v/>
      </c>
      <c r="L749" s="6">
        <f>_xlfn.MAXIFS('DETALLE CRONOLÓGICO'!$K$2:$K$4919,'DETALLE CRONOLÓGICO'!$A$2:$A$4919,$A749)</f>
        <v/>
      </c>
      <c r="M749" s="6">
        <f>INDEX('DETALLE CRONOLÓGICO'!$K$2:$K$4919,MATCH($A749,'DETALLE CRONOLÓGICO'!$A$2:$A$4919,0)+$E749-1)</f>
        <v/>
      </c>
      <c r="N749" s="7">
        <f>IFERROR($M749/INDEX('DETALLE CRONOLÓGICO'!$K$2:$K$4919,MATCH($A749,'DETALLE CRONOLÓGICO'!$A$2:$A$4919,0))-1,"")</f>
        <v/>
      </c>
      <c r="O749" s="6">
        <f>IFERROR($I749*3,"")</f>
        <v/>
      </c>
      <c r="P749" s="6">
        <f>IFERROR($I749*3.5,"")</f>
        <v/>
      </c>
      <c r="Q749" s="6">
        <f>IFERROR($I749*4,"")</f>
        <v/>
      </c>
      <c r="R749" s="6" t="n">
        <v>745</v>
      </c>
      <c r="S749" s="4" t="n">
        <v>3</v>
      </c>
      <c r="T749" s="1" t="inlineStr">
        <is>
          <t>active</t>
        </is>
      </c>
      <c r="U749" s="8" t="n"/>
      <c r="V749" s="1" t="inlineStr">
        <is>
          <t>SIN PRECIO</t>
        </is>
      </c>
    </row>
    <row r="750">
      <c r="A750" s="1" t="inlineStr">
        <is>
          <t>43047212384396</t>
        </is>
      </c>
      <c r="B750" s="1" t="inlineStr">
        <is>
          <t>PULSERA LOCK SILVER</t>
        </is>
      </c>
      <c r="C750" s="1" t="inlineStr">
        <is>
          <t>17.5cm</t>
        </is>
      </c>
      <c r="D750" s="1" t="inlineStr">
        <is>
          <t>CYNTHIA</t>
        </is>
      </c>
      <c r="E750" s="4">
        <f>COUNTIF('DETALLE CRONOLÓGICO'!$A$2:$A$4919,$A750)</f>
        <v/>
      </c>
      <c r="F750" s="4">
        <f>SUMIFS('DETALLE CRONOLÓGICO'!$I$2:$I$4919,'DETALLE CRONOLÓGICO'!$A$2:$A$4919,$A750)</f>
        <v/>
      </c>
      <c r="G750" s="1">
        <f>INDEX('DETALLE CRONOLÓGICO'!$D$2:$D$4919,MATCH($A750,'DETALLE CRONOLÓGICO'!$A$2:$A$4919,0))</f>
        <v/>
      </c>
      <c r="H750" s="1">
        <f>INDEX('DETALLE CRONOLÓGICO'!$D$2:$D$4919,MATCH($A750,'DETALLE CRONOLÓGICO'!$A$2:$A$4919,0)+$E750-1)</f>
        <v/>
      </c>
      <c r="I750" s="5">
        <f>IFERROR(SUMIFS('DETALLE CRONOLÓGICO'!$L$2:$L$4919,'DETALLE CRONOLÓGICO'!$A$2:$A$4919,$A750)/$F750,"")</f>
        <v/>
      </c>
      <c r="J750" s="6">
        <f>IFERROR(SUMIFS('DETALLE CRONOLÓGICO'!$K$2:$K$4919,'DETALLE CRONOLÓGICO'!$A$2:$A$4919,$A750)/$E750,"")</f>
        <v/>
      </c>
      <c r="K750" s="6">
        <f>_xlfn.MINIFS('DETALLE CRONOLÓGICO'!$K$2:$K$4919,'DETALLE CRONOLÓGICO'!$A$2:$A$4919,$A750)</f>
        <v/>
      </c>
      <c r="L750" s="6">
        <f>_xlfn.MAXIFS('DETALLE CRONOLÓGICO'!$K$2:$K$4919,'DETALLE CRONOLÓGICO'!$A$2:$A$4919,$A750)</f>
        <v/>
      </c>
      <c r="M750" s="6">
        <f>INDEX('DETALLE CRONOLÓGICO'!$K$2:$K$4919,MATCH($A750,'DETALLE CRONOLÓGICO'!$A$2:$A$4919,0)+$E750-1)</f>
        <v/>
      </c>
      <c r="N750" s="7">
        <f>IFERROR($M750/INDEX('DETALLE CRONOLÓGICO'!$K$2:$K$4919,MATCH($A750,'DETALLE CRONOLÓGICO'!$A$2:$A$4919,0))-1,"")</f>
        <v/>
      </c>
      <c r="O750" s="6">
        <f>IFERROR($I750*3,"")</f>
        <v/>
      </c>
      <c r="P750" s="6">
        <f>IFERROR($I750*3.5,"")</f>
        <v/>
      </c>
      <c r="Q750" s="6">
        <f>IFERROR($I750*4,"")</f>
        <v/>
      </c>
      <c r="R750" s="6" t="n">
        <v>1679</v>
      </c>
      <c r="S750" s="4" t="n">
        <v>3</v>
      </c>
      <c r="T750" s="1" t="inlineStr">
        <is>
          <t>active</t>
        </is>
      </c>
      <c r="U750" s="8" t="n"/>
      <c r="V750" s="1" t="inlineStr">
        <is>
          <t>SIN PRECIO</t>
        </is>
      </c>
    </row>
    <row r="751">
      <c r="A751" s="1" t="inlineStr">
        <is>
          <t>43047213301900</t>
        </is>
      </c>
      <c r="B751" s="1" t="inlineStr">
        <is>
          <t>PULSERA KNOT GOLD</t>
        </is>
      </c>
      <c r="C751" s="1" t="inlineStr">
        <is>
          <t>17cm</t>
        </is>
      </c>
      <c r="D751" s="1" t="inlineStr">
        <is>
          <t>CYNTHIA / ZOEY</t>
        </is>
      </c>
      <c r="E751" s="4">
        <f>COUNTIF('DETALLE CRONOLÓGICO'!$A$2:$A$4919,$A751)</f>
        <v/>
      </c>
      <c r="F751" s="4">
        <f>SUMIFS('DETALLE CRONOLÓGICO'!$I$2:$I$4919,'DETALLE CRONOLÓGICO'!$A$2:$A$4919,$A751)</f>
        <v/>
      </c>
      <c r="G751" s="1">
        <f>INDEX('DETALLE CRONOLÓGICO'!$D$2:$D$4919,MATCH($A751,'DETALLE CRONOLÓGICO'!$A$2:$A$4919,0))</f>
        <v/>
      </c>
      <c r="H751" s="1">
        <f>INDEX('DETALLE CRONOLÓGICO'!$D$2:$D$4919,MATCH($A751,'DETALLE CRONOLÓGICO'!$A$2:$A$4919,0)+$E751-1)</f>
        <v/>
      </c>
      <c r="I751" s="5">
        <f>IFERROR(SUMIFS('DETALLE CRONOLÓGICO'!$L$2:$L$4919,'DETALLE CRONOLÓGICO'!$A$2:$A$4919,$A751)/$F751,"")</f>
        <v/>
      </c>
      <c r="J751" s="6">
        <f>IFERROR(SUMIFS('DETALLE CRONOLÓGICO'!$K$2:$K$4919,'DETALLE CRONOLÓGICO'!$A$2:$A$4919,$A751)/$E751,"")</f>
        <v/>
      </c>
      <c r="K751" s="6">
        <f>_xlfn.MINIFS('DETALLE CRONOLÓGICO'!$K$2:$K$4919,'DETALLE CRONOLÓGICO'!$A$2:$A$4919,$A751)</f>
        <v/>
      </c>
      <c r="L751" s="6">
        <f>_xlfn.MAXIFS('DETALLE CRONOLÓGICO'!$K$2:$K$4919,'DETALLE CRONOLÓGICO'!$A$2:$A$4919,$A751)</f>
        <v/>
      </c>
      <c r="M751" s="6">
        <f>INDEX('DETALLE CRONOLÓGICO'!$K$2:$K$4919,MATCH($A751,'DETALLE CRONOLÓGICO'!$A$2:$A$4919,0)+$E751-1)</f>
        <v/>
      </c>
      <c r="N751" s="7">
        <f>IFERROR($M751/INDEX('DETALLE CRONOLÓGICO'!$K$2:$K$4919,MATCH($A751,'DETALLE CRONOLÓGICO'!$A$2:$A$4919,0))-1,"")</f>
        <v/>
      </c>
      <c r="O751" s="6">
        <f>IFERROR($I751*3,"")</f>
        <v/>
      </c>
      <c r="P751" s="6">
        <f>IFERROR($I751*3.5,"")</f>
        <v/>
      </c>
      <c r="Q751" s="6">
        <f>IFERROR($I751*4,"")</f>
        <v/>
      </c>
      <c r="R751" s="6" t="n">
        <v>1699</v>
      </c>
      <c r="S751" s="4" t="n">
        <v>5</v>
      </c>
      <c r="T751" s="1" t="inlineStr">
        <is>
          <t>active</t>
        </is>
      </c>
      <c r="U751" s="8" t="n"/>
      <c r="V751" s="1" t="inlineStr">
        <is>
          <t>SIN PRECIO</t>
        </is>
      </c>
    </row>
    <row r="752">
      <c r="A752" s="1" t="inlineStr">
        <is>
          <t>43047214612620</t>
        </is>
      </c>
      <c r="B752" s="1" t="inlineStr">
        <is>
          <t>ARETES SIXTEEN STONE</t>
        </is>
      </c>
      <c r="C752" s="1" t="inlineStr">
        <is>
          <t>Default Title</t>
        </is>
      </c>
      <c r="D752" s="1" t="inlineStr">
        <is>
          <t>CYNTHIA</t>
        </is>
      </c>
      <c r="E752" s="4">
        <f>COUNTIF('DETALLE CRONOLÓGICO'!$A$2:$A$4919,$A752)</f>
        <v/>
      </c>
      <c r="F752" s="4">
        <f>SUMIFS('DETALLE CRONOLÓGICO'!$I$2:$I$4919,'DETALLE CRONOLÓGICO'!$A$2:$A$4919,$A752)</f>
        <v/>
      </c>
      <c r="G752" s="1">
        <f>INDEX('DETALLE CRONOLÓGICO'!$D$2:$D$4919,MATCH($A752,'DETALLE CRONOLÓGICO'!$A$2:$A$4919,0))</f>
        <v/>
      </c>
      <c r="H752" s="1">
        <f>INDEX('DETALLE CRONOLÓGICO'!$D$2:$D$4919,MATCH($A752,'DETALLE CRONOLÓGICO'!$A$2:$A$4919,0)+$E752-1)</f>
        <v/>
      </c>
      <c r="I752" s="5">
        <f>IFERROR(SUMIFS('DETALLE CRONOLÓGICO'!$L$2:$L$4919,'DETALLE CRONOLÓGICO'!$A$2:$A$4919,$A752)/$F752,"")</f>
        <v/>
      </c>
      <c r="J752" s="6">
        <f>IFERROR(SUMIFS('DETALLE CRONOLÓGICO'!$K$2:$K$4919,'DETALLE CRONOLÓGICO'!$A$2:$A$4919,$A752)/$E752,"")</f>
        <v/>
      </c>
      <c r="K752" s="6">
        <f>_xlfn.MINIFS('DETALLE CRONOLÓGICO'!$K$2:$K$4919,'DETALLE CRONOLÓGICO'!$A$2:$A$4919,$A752)</f>
        <v/>
      </c>
      <c r="L752" s="6">
        <f>_xlfn.MAXIFS('DETALLE CRONOLÓGICO'!$K$2:$K$4919,'DETALLE CRONOLÓGICO'!$A$2:$A$4919,$A752)</f>
        <v/>
      </c>
      <c r="M752" s="6">
        <f>INDEX('DETALLE CRONOLÓGICO'!$K$2:$K$4919,MATCH($A752,'DETALLE CRONOLÓGICO'!$A$2:$A$4919,0)+$E752-1)</f>
        <v/>
      </c>
      <c r="N752" s="7">
        <f>IFERROR($M752/INDEX('DETALLE CRONOLÓGICO'!$K$2:$K$4919,MATCH($A752,'DETALLE CRONOLÓGICO'!$A$2:$A$4919,0))-1,"")</f>
        <v/>
      </c>
      <c r="O752" s="6">
        <f>IFERROR($I752*3,"")</f>
        <v/>
      </c>
      <c r="P752" s="6">
        <f>IFERROR($I752*3.5,"")</f>
        <v/>
      </c>
      <c r="Q752" s="6">
        <f>IFERROR($I752*4,"")</f>
        <v/>
      </c>
      <c r="R752" s="6" t="n">
        <v>1329</v>
      </c>
      <c r="S752" s="4" t="n">
        <v>6</v>
      </c>
      <c r="T752" s="1" t="inlineStr">
        <is>
          <t>active</t>
        </is>
      </c>
      <c r="U752" s="8" t="n"/>
      <c r="V752" s="1" t="inlineStr">
        <is>
          <t>SIN PRECIO</t>
        </is>
      </c>
    </row>
    <row r="753">
      <c r="A753" s="1" t="inlineStr">
        <is>
          <t>43047214907532</t>
        </is>
      </c>
      <c r="B753" s="1" t="inlineStr">
        <is>
          <t>PULSERA SIXTEEN STONES</t>
        </is>
      </c>
      <c r="C753" s="1" t="inlineStr">
        <is>
          <t>19cm</t>
        </is>
      </c>
      <c r="D753" s="1" t="inlineStr">
        <is>
          <t>CYNTHIA</t>
        </is>
      </c>
      <c r="E753" s="4">
        <f>COUNTIF('DETALLE CRONOLÓGICO'!$A$2:$A$4919,$A753)</f>
        <v/>
      </c>
      <c r="F753" s="4">
        <f>SUMIFS('DETALLE CRONOLÓGICO'!$I$2:$I$4919,'DETALLE CRONOLÓGICO'!$A$2:$A$4919,$A753)</f>
        <v/>
      </c>
      <c r="G753" s="1">
        <f>INDEX('DETALLE CRONOLÓGICO'!$D$2:$D$4919,MATCH($A753,'DETALLE CRONOLÓGICO'!$A$2:$A$4919,0))</f>
        <v/>
      </c>
      <c r="H753" s="1">
        <f>INDEX('DETALLE CRONOLÓGICO'!$D$2:$D$4919,MATCH($A753,'DETALLE CRONOLÓGICO'!$A$2:$A$4919,0)+$E753-1)</f>
        <v/>
      </c>
      <c r="I753" s="5">
        <f>IFERROR(SUMIFS('DETALLE CRONOLÓGICO'!$L$2:$L$4919,'DETALLE CRONOLÓGICO'!$A$2:$A$4919,$A753)/$F753,"")</f>
        <v/>
      </c>
      <c r="J753" s="6">
        <f>IFERROR(SUMIFS('DETALLE CRONOLÓGICO'!$K$2:$K$4919,'DETALLE CRONOLÓGICO'!$A$2:$A$4919,$A753)/$E753,"")</f>
        <v/>
      </c>
      <c r="K753" s="6">
        <f>_xlfn.MINIFS('DETALLE CRONOLÓGICO'!$K$2:$K$4919,'DETALLE CRONOLÓGICO'!$A$2:$A$4919,$A753)</f>
        <v/>
      </c>
      <c r="L753" s="6">
        <f>_xlfn.MAXIFS('DETALLE CRONOLÓGICO'!$K$2:$K$4919,'DETALLE CRONOLÓGICO'!$A$2:$A$4919,$A753)</f>
        <v/>
      </c>
      <c r="M753" s="6">
        <f>INDEX('DETALLE CRONOLÓGICO'!$K$2:$K$4919,MATCH($A753,'DETALLE CRONOLÓGICO'!$A$2:$A$4919,0)+$E753-1)</f>
        <v/>
      </c>
      <c r="N753" s="7">
        <f>IFERROR($M753/INDEX('DETALLE CRONOLÓGICO'!$K$2:$K$4919,MATCH($A753,'DETALLE CRONOLÓGICO'!$A$2:$A$4919,0))-1,"")</f>
        <v/>
      </c>
      <c r="O753" s="6">
        <f>IFERROR($I753*3,"")</f>
        <v/>
      </c>
      <c r="P753" s="6">
        <f>IFERROR($I753*3.5,"")</f>
        <v/>
      </c>
      <c r="Q753" s="6">
        <f>IFERROR($I753*4,"")</f>
        <v/>
      </c>
      <c r="R753" s="6" t="n">
        <v>1816.51</v>
      </c>
      <c r="S753" s="4" t="n">
        <v>1</v>
      </c>
      <c r="T753" s="1" t="inlineStr">
        <is>
          <t>active</t>
        </is>
      </c>
      <c r="U753" s="8" t="n"/>
      <c r="V753" s="1" t="inlineStr">
        <is>
          <t>SIN PRECIO</t>
        </is>
      </c>
    </row>
    <row r="754">
      <c r="A754" s="1" t="inlineStr">
        <is>
          <t>43047215333516</t>
        </is>
      </c>
      <c r="B754" s="1" t="inlineStr">
        <is>
          <t>PULSERA LOCK ROSEGOLD-SILVER</t>
        </is>
      </c>
      <c r="C754" s="1" t="inlineStr">
        <is>
          <t>17.5cm</t>
        </is>
      </c>
      <c r="D754" s="1" t="inlineStr">
        <is>
          <t>CYNTHIA</t>
        </is>
      </c>
      <c r="E754" s="4">
        <f>COUNTIF('DETALLE CRONOLÓGICO'!$A$2:$A$4919,$A754)</f>
        <v/>
      </c>
      <c r="F754" s="4">
        <f>SUMIFS('DETALLE CRONOLÓGICO'!$I$2:$I$4919,'DETALLE CRONOLÓGICO'!$A$2:$A$4919,$A754)</f>
        <v/>
      </c>
      <c r="G754" s="1">
        <f>INDEX('DETALLE CRONOLÓGICO'!$D$2:$D$4919,MATCH($A754,'DETALLE CRONOLÓGICO'!$A$2:$A$4919,0))</f>
        <v/>
      </c>
      <c r="H754" s="1">
        <f>INDEX('DETALLE CRONOLÓGICO'!$D$2:$D$4919,MATCH($A754,'DETALLE CRONOLÓGICO'!$A$2:$A$4919,0)+$E754-1)</f>
        <v/>
      </c>
      <c r="I754" s="5">
        <f>IFERROR(SUMIFS('DETALLE CRONOLÓGICO'!$L$2:$L$4919,'DETALLE CRONOLÓGICO'!$A$2:$A$4919,$A754)/$F754,"")</f>
        <v/>
      </c>
      <c r="J754" s="6">
        <f>IFERROR(SUMIFS('DETALLE CRONOLÓGICO'!$K$2:$K$4919,'DETALLE CRONOLÓGICO'!$A$2:$A$4919,$A754)/$E754,"")</f>
        <v/>
      </c>
      <c r="K754" s="6">
        <f>_xlfn.MINIFS('DETALLE CRONOLÓGICO'!$K$2:$K$4919,'DETALLE CRONOLÓGICO'!$A$2:$A$4919,$A754)</f>
        <v/>
      </c>
      <c r="L754" s="6">
        <f>_xlfn.MAXIFS('DETALLE CRONOLÓGICO'!$K$2:$K$4919,'DETALLE CRONOLÓGICO'!$A$2:$A$4919,$A754)</f>
        <v/>
      </c>
      <c r="M754" s="6">
        <f>INDEX('DETALLE CRONOLÓGICO'!$K$2:$K$4919,MATCH($A754,'DETALLE CRONOLÓGICO'!$A$2:$A$4919,0)+$E754-1)</f>
        <v/>
      </c>
      <c r="N754" s="7">
        <f>IFERROR($M754/INDEX('DETALLE CRONOLÓGICO'!$K$2:$K$4919,MATCH($A754,'DETALLE CRONOLÓGICO'!$A$2:$A$4919,0))-1,"")</f>
        <v/>
      </c>
      <c r="O754" s="6">
        <f>IFERROR($I754*3,"")</f>
        <v/>
      </c>
      <c r="P754" s="6">
        <f>IFERROR($I754*3.5,"")</f>
        <v/>
      </c>
      <c r="Q754" s="6">
        <f>IFERROR($I754*4,"")</f>
        <v/>
      </c>
      <c r="R754" s="6" t="n">
        <v>1775</v>
      </c>
      <c r="S754" s="4" t="n">
        <v>0</v>
      </c>
      <c r="T754" s="1" t="inlineStr">
        <is>
          <t>active</t>
        </is>
      </c>
      <c r="U754" s="8" t="n"/>
      <c r="V754" s="1" t="inlineStr">
        <is>
          <t>SIN PRECIO</t>
        </is>
      </c>
    </row>
    <row r="755">
      <c r="A755" s="1" t="inlineStr">
        <is>
          <t>43047215530124</t>
        </is>
      </c>
      <c r="B755" s="1" t="inlineStr">
        <is>
          <t>PULSERA LOCK GOLD-SILVER</t>
        </is>
      </c>
      <c r="C755" s="1" t="inlineStr">
        <is>
          <t>17.5cm</t>
        </is>
      </c>
      <c r="D755" s="1" t="inlineStr">
        <is>
          <t>CYNTHIA</t>
        </is>
      </c>
      <c r="E755" s="4">
        <f>COUNTIF('DETALLE CRONOLÓGICO'!$A$2:$A$4919,$A755)</f>
        <v/>
      </c>
      <c r="F755" s="4">
        <f>SUMIFS('DETALLE CRONOLÓGICO'!$I$2:$I$4919,'DETALLE CRONOLÓGICO'!$A$2:$A$4919,$A755)</f>
        <v/>
      </c>
      <c r="G755" s="1">
        <f>INDEX('DETALLE CRONOLÓGICO'!$D$2:$D$4919,MATCH($A755,'DETALLE CRONOLÓGICO'!$A$2:$A$4919,0))</f>
        <v/>
      </c>
      <c r="H755" s="1">
        <f>INDEX('DETALLE CRONOLÓGICO'!$D$2:$D$4919,MATCH($A755,'DETALLE CRONOLÓGICO'!$A$2:$A$4919,0)+$E755-1)</f>
        <v/>
      </c>
      <c r="I755" s="5">
        <f>IFERROR(SUMIFS('DETALLE CRONOLÓGICO'!$L$2:$L$4919,'DETALLE CRONOLÓGICO'!$A$2:$A$4919,$A755)/$F755,"")</f>
        <v/>
      </c>
      <c r="J755" s="6">
        <f>IFERROR(SUMIFS('DETALLE CRONOLÓGICO'!$K$2:$K$4919,'DETALLE CRONOLÓGICO'!$A$2:$A$4919,$A755)/$E755,"")</f>
        <v/>
      </c>
      <c r="K755" s="6">
        <f>_xlfn.MINIFS('DETALLE CRONOLÓGICO'!$K$2:$K$4919,'DETALLE CRONOLÓGICO'!$A$2:$A$4919,$A755)</f>
        <v/>
      </c>
      <c r="L755" s="6">
        <f>_xlfn.MAXIFS('DETALLE CRONOLÓGICO'!$K$2:$K$4919,'DETALLE CRONOLÓGICO'!$A$2:$A$4919,$A755)</f>
        <v/>
      </c>
      <c r="M755" s="6">
        <f>INDEX('DETALLE CRONOLÓGICO'!$K$2:$K$4919,MATCH($A755,'DETALLE CRONOLÓGICO'!$A$2:$A$4919,0)+$E755-1)</f>
        <v/>
      </c>
      <c r="N755" s="7">
        <f>IFERROR($M755/INDEX('DETALLE CRONOLÓGICO'!$K$2:$K$4919,MATCH($A755,'DETALLE CRONOLÓGICO'!$A$2:$A$4919,0))-1,"")</f>
        <v/>
      </c>
      <c r="O755" s="6">
        <f>IFERROR($I755*3,"")</f>
        <v/>
      </c>
      <c r="P755" s="6">
        <f>IFERROR($I755*3.5,"")</f>
        <v/>
      </c>
      <c r="Q755" s="6">
        <f>IFERROR($I755*4,"")</f>
        <v/>
      </c>
      <c r="R755" s="6" t="n">
        <v>1750</v>
      </c>
      <c r="S755" s="4" t="n">
        <v>3</v>
      </c>
      <c r="T755" s="1" t="inlineStr">
        <is>
          <t>active</t>
        </is>
      </c>
      <c r="U755" s="8" t="n"/>
      <c r="V755" s="1" t="inlineStr">
        <is>
          <t>SIN PRECIO</t>
        </is>
      </c>
    </row>
    <row r="756">
      <c r="A756" s="1" t="inlineStr">
        <is>
          <t>43047216218252</t>
        </is>
      </c>
      <c r="B756" s="1" t="inlineStr">
        <is>
          <t>PULSERA LOCK GOLD GOLD</t>
        </is>
      </c>
      <c r="C756" s="1" t="inlineStr">
        <is>
          <t>17.5cm</t>
        </is>
      </c>
      <c r="D756" s="1" t="inlineStr">
        <is>
          <t>CYNTHIA</t>
        </is>
      </c>
      <c r="E756" s="4">
        <f>COUNTIF('DETALLE CRONOLÓGICO'!$A$2:$A$4919,$A756)</f>
        <v/>
      </c>
      <c r="F756" s="4">
        <f>SUMIFS('DETALLE CRONOLÓGICO'!$I$2:$I$4919,'DETALLE CRONOLÓGICO'!$A$2:$A$4919,$A756)</f>
        <v/>
      </c>
      <c r="G756" s="1">
        <f>INDEX('DETALLE CRONOLÓGICO'!$D$2:$D$4919,MATCH($A756,'DETALLE CRONOLÓGICO'!$A$2:$A$4919,0))</f>
        <v/>
      </c>
      <c r="H756" s="1">
        <f>INDEX('DETALLE CRONOLÓGICO'!$D$2:$D$4919,MATCH($A756,'DETALLE CRONOLÓGICO'!$A$2:$A$4919,0)+$E756-1)</f>
        <v/>
      </c>
      <c r="I756" s="5">
        <f>IFERROR(SUMIFS('DETALLE CRONOLÓGICO'!$L$2:$L$4919,'DETALLE CRONOLÓGICO'!$A$2:$A$4919,$A756)/$F756,"")</f>
        <v/>
      </c>
      <c r="J756" s="6">
        <f>IFERROR(SUMIFS('DETALLE CRONOLÓGICO'!$K$2:$K$4919,'DETALLE CRONOLÓGICO'!$A$2:$A$4919,$A756)/$E756,"")</f>
        <v/>
      </c>
      <c r="K756" s="6">
        <f>_xlfn.MINIFS('DETALLE CRONOLÓGICO'!$K$2:$K$4919,'DETALLE CRONOLÓGICO'!$A$2:$A$4919,$A756)</f>
        <v/>
      </c>
      <c r="L756" s="6">
        <f>_xlfn.MAXIFS('DETALLE CRONOLÓGICO'!$K$2:$K$4919,'DETALLE CRONOLÓGICO'!$A$2:$A$4919,$A756)</f>
        <v/>
      </c>
      <c r="M756" s="6">
        <f>INDEX('DETALLE CRONOLÓGICO'!$K$2:$K$4919,MATCH($A756,'DETALLE CRONOLÓGICO'!$A$2:$A$4919,0)+$E756-1)</f>
        <v/>
      </c>
      <c r="N756" s="7">
        <f>IFERROR($M756/INDEX('DETALLE CRONOLÓGICO'!$K$2:$K$4919,MATCH($A756,'DETALLE CRONOLÓGICO'!$A$2:$A$4919,0))-1,"")</f>
        <v/>
      </c>
      <c r="O756" s="6">
        <f>IFERROR($I756*3,"")</f>
        <v/>
      </c>
      <c r="P756" s="6">
        <f>IFERROR($I756*3.5,"")</f>
        <v/>
      </c>
      <c r="Q756" s="6">
        <f>IFERROR($I756*4,"")</f>
        <v/>
      </c>
      <c r="R756" s="6" t="n">
        <v>1539</v>
      </c>
      <c r="S756" s="4" t="n">
        <v>0</v>
      </c>
      <c r="T756" s="1" t="inlineStr">
        <is>
          <t>active</t>
        </is>
      </c>
      <c r="U756" s="8" t="n"/>
      <c r="V756" s="1" t="inlineStr">
        <is>
          <t>SIN PRECIO</t>
        </is>
      </c>
    </row>
    <row r="757">
      <c r="A757" s="1" t="inlineStr">
        <is>
          <t>43047216545932</t>
        </is>
      </c>
      <c r="B757" s="1" t="inlineStr">
        <is>
          <t>ARETES ESLABON LISO ROSEGOLD</t>
        </is>
      </c>
      <c r="C757" s="1" t="inlineStr">
        <is>
          <t>Small 3cm</t>
        </is>
      </c>
      <c r="D757" s="1" t="inlineStr">
        <is>
          <t>NANCY</t>
        </is>
      </c>
      <c r="E757" s="4">
        <f>COUNTIF('DETALLE CRONOLÓGICO'!$A$2:$A$4919,$A757)</f>
        <v/>
      </c>
      <c r="F757" s="4">
        <f>SUMIFS('DETALLE CRONOLÓGICO'!$I$2:$I$4919,'DETALLE CRONOLÓGICO'!$A$2:$A$4919,$A757)</f>
        <v/>
      </c>
      <c r="G757" s="1">
        <f>INDEX('DETALLE CRONOLÓGICO'!$D$2:$D$4919,MATCH($A757,'DETALLE CRONOLÓGICO'!$A$2:$A$4919,0))</f>
        <v/>
      </c>
      <c r="H757" s="1">
        <f>INDEX('DETALLE CRONOLÓGICO'!$D$2:$D$4919,MATCH($A757,'DETALLE CRONOLÓGICO'!$A$2:$A$4919,0)+$E757-1)</f>
        <v/>
      </c>
      <c r="I757" s="5">
        <f>IFERROR(SUMIFS('DETALLE CRONOLÓGICO'!$L$2:$L$4919,'DETALLE CRONOLÓGICO'!$A$2:$A$4919,$A757)/$F757,"")</f>
        <v/>
      </c>
      <c r="J757" s="6">
        <f>IFERROR(SUMIFS('DETALLE CRONOLÓGICO'!$K$2:$K$4919,'DETALLE CRONOLÓGICO'!$A$2:$A$4919,$A757)/$E757,"")</f>
        <v/>
      </c>
      <c r="K757" s="6">
        <f>_xlfn.MINIFS('DETALLE CRONOLÓGICO'!$K$2:$K$4919,'DETALLE CRONOLÓGICO'!$A$2:$A$4919,$A757)</f>
        <v/>
      </c>
      <c r="L757" s="6">
        <f>_xlfn.MAXIFS('DETALLE CRONOLÓGICO'!$K$2:$K$4919,'DETALLE CRONOLÓGICO'!$A$2:$A$4919,$A757)</f>
        <v/>
      </c>
      <c r="M757" s="6">
        <f>INDEX('DETALLE CRONOLÓGICO'!$K$2:$K$4919,MATCH($A757,'DETALLE CRONOLÓGICO'!$A$2:$A$4919,0)+$E757-1)</f>
        <v/>
      </c>
      <c r="N757" s="7">
        <f>IFERROR($M757/INDEX('DETALLE CRONOLÓGICO'!$K$2:$K$4919,MATCH($A757,'DETALLE CRONOLÓGICO'!$A$2:$A$4919,0))-1,"")</f>
        <v/>
      </c>
      <c r="O757" s="6">
        <f>IFERROR($I757*3,"")</f>
        <v/>
      </c>
      <c r="P757" s="6">
        <f>IFERROR($I757*3.5,"")</f>
        <v/>
      </c>
      <c r="Q757" s="6">
        <f>IFERROR($I757*4,"")</f>
        <v/>
      </c>
      <c r="R757" s="6" t="n">
        <v>650</v>
      </c>
      <c r="S757" s="4" t="n">
        <v>5</v>
      </c>
      <c r="T757" s="1" t="inlineStr">
        <is>
          <t>active</t>
        </is>
      </c>
      <c r="U757" s="8" t="n"/>
      <c r="V757" s="1" t="inlineStr">
        <is>
          <t>SIN PRECIO</t>
        </is>
      </c>
    </row>
    <row r="758">
      <c r="A758" s="1" t="inlineStr">
        <is>
          <t>43047216775308</t>
        </is>
      </c>
      <c r="B758" s="1" t="inlineStr">
        <is>
          <t>ARETES ESLABON LISO  GOLD</t>
        </is>
      </c>
      <c r="C758" s="1" t="inlineStr">
        <is>
          <t>Default Title</t>
        </is>
      </c>
      <c r="D758" s="1" t="inlineStr">
        <is>
          <t>NANCY</t>
        </is>
      </c>
      <c r="E758" s="4">
        <f>COUNTIF('DETALLE CRONOLÓGICO'!$A$2:$A$4919,$A758)</f>
        <v/>
      </c>
      <c r="F758" s="4">
        <f>SUMIFS('DETALLE CRONOLÓGICO'!$I$2:$I$4919,'DETALLE CRONOLÓGICO'!$A$2:$A$4919,$A758)</f>
        <v/>
      </c>
      <c r="G758" s="1">
        <f>INDEX('DETALLE CRONOLÓGICO'!$D$2:$D$4919,MATCH($A758,'DETALLE CRONOLÓGICO'!$A$2:$A$4919,0))</f>
        <v/>
      </c>
      <c r="H758" s="1">
        <f>INDEX('DETALLE CRONOLÓGICO'!$D$2:$D$4919,MATCH($A758,'DETALLE CRONOLÓGICO'!$A$2:$A$4919,0)+$E758-1)</f>
        <v/>
      </c>
      <c r="I758" s="5">
        <f>IFERROR(SUMIFS('DETALLE CRONOLÓGICO'!$L$2:$L$4919,'DETALLE CRONOLÓGICO'!$A$2:$A$4919,$A758)/$F758,"")</f>
        <v/>
      </c>
      <c r="J758" s="6">
        <f>IFERROR(SUMIFS('DETALLE CRONOLÓGICO'!$K$2:$K$4919,'DETALLE CRONOLÓGICO'!$A$2:$A$4919,$A758)/$E758,"")</f>
        <v/>
      </c>
      <c r="K758" s="6">
        <f>_xlfn.MINIFS('DETALLE CRONOLÓGICO'!$K$2:$K$4919,'DETALLE CRONOLÓGICO'!$A$2:$A$4919,$A758)</f>
        <v/>
      </c>
      <c r="L758" s="6">
        <f>_xlfn.MAXIFS('DETALLE CRONOLÓGICO'!$K$2:$K$4919,'DETALLE CRONOLÓGICO'!$A$2:$A$4919,$A758)</f>
        <v/>
      </c>
      <c r="M758" s="6">
        <f>INDEX('DETALLE CRONOLÓGICO'!$K$2:$K$4919,MATCH($A758,'DETALLE CRONOLÓGICO'!$A$2:$A$4919,0)+$E758-1)</f>
        <v/>
      </c>
      <c r="N758" s="7">
        <f>IFERROR($M758/INDEX('DETALLE CRONOLÓGICO'!$K$2:$K$4919,MATCH($A758,'DETALLE CRONOLÓGICO'!$A$2:$A$4919,0))-1,"")</f>
        <v/>
      </c>
      <c r="O758" s="6">
        <f>IFERROR($I758*3,"")</f>
        <v/>
      </c>
      <c r="P758" s="6">
        <f>IFERROR($I758*3.5,"")</f>
        <v/>
      </c>
      <c r="Q758" s="6">
        <f>IFERROR($I758*4,"")</f>
        <v/>
      </c>
      <c r="R758" s="6" t="n">
        <v>650</v>
      </c>
      <c r="S758" s="4" t="n">
        <v>4</v>
      </c>
      <c r="T758" s="1" t="inlineStr">
        <is>
          <t>active</t>
        </is>
      </c>
      <c r="U758" s="8" t="n"/>
      <c r="V758" s="1" t="inlineStr">
        <is>
          <t>SIN PRECIO</t>
        </is>
      </c>
    </row>
    <row r="759">
      <c r="A759" s="1" t="inlineStr">
        <is>
          <t>43047217758348</t>
        </is>
      </c>
      <c r="B759" s="1" t="inlineStr">
        <is>
          <t>ARETES CORAZÓN GRABADO GOLD</t>
        </is>
      </c>
      <c r="C759" s="1" t="inlineStr">
        <is>
          <t>Default Title</t>
        </is>
      </c>
      <c r="D759" s="1" t="inlineStr">
        <is>
          <t>CYNTHIA</t>
        </is>
      </c>
      <c r="E759" s="4">
        <f>COUNTIF('DETALLE CRONOLÓGICO'!$A$2:$A$4919,$A759)</f>
        <v/>
      </c>
      <c r="F759" s="4">
        <f>SUMIFS('DETALLE CRONOLÓGICO'!$I$2:$I$4919,'DETALLE CRONOLÓGICO'!$A$2:$A$4919,$A759)</f>
        <v/>
      </c>
      <c r="G759" s="1">
        <f>INDEX('DETALLE CRONOLÓGICO'!$D$2:$D$4919,MATCH($A759,'DETALLE CRONOLÓGICO'!$A$2:$A$4919,0))</f>
        <v/>
      </c>
      <c r="H759" s="1">
        <f>INDEX('DETALLE CRONOLÓGICO'!$D$2:$D$4919,MATCH($A759,'DETALLE CRONOLÓGICO'!$A$2:$A$4919,0)+$E759-1)</f>
        <v/>
      </c>
      <c r="I759" s="5">
        <f>IFERROR(SUMIFS('DETALLE CRONOLÓGICO'!$L$2:$L$4919,'DETALLE CRONOLÓGICO'!$A$2:$A$4919,$A759)/$F759,"")</f>
        <v/>
      </c>
      <c r="J759" s="6">
        <f>IFERROR(SUMIFS('DETALLE CRONOLÓGICO'!$K$2:$K$4919,'DETALLE CRONOLÓGICO'!$A$2:$A$4919,$A759)/$E759,"")</f>
        <v/>
      </c>
      <c r="K759" s="6">
        <f>_xlfn.MINIFS('DETALLE CRONOLÓGICO'!$K$2:$K$4919,'DETALLE CRONOLÓGICO'!$A$2:$A$4919,$A759)</f>
        <v/>
      </c>
      <c r="L759" s="6">
        <f>_xlfn.MAXIFS('DETALLE CRONOLÓGICO'!$K$2:$K$4919,'DETALLE CRONOLÓGICO'!$A$2:$A$4919,$A759)</f>
        <v/>
      </c>
      <c r="M759" s="6">
        <f>INDEX('DETALLE CRONOLÓGICO'!$K$2:$K$4919,MATCH($A759,'DETALLE CRONOLÓGICO'!$A$2:$A$4919,0)+$E759-1)</f>
        <v/>
      </c>
      <c r="N759" s="7">
        <f>IFERROR($M759/INDEX('DETALLE CRONOLÓGICO'!$K$2:$K$4919,MATCH($A759,'DETALLE CRONOLÓGICO'!$A$2:$A$4919,0))-1,"")</f>
        <v/>
      </c>
      <c r="O759" s="6">
        <f>IFERROR($I759*3,"")</f>
        <v/>
      </c>
      <c r="P759" s="6">
        <f>IFERROR($I759*3.5,"")</f>
        <v/>
      </c>
      <c r="Q759" s="6">
        <f>IFERROR($I759*4,"")</f>
        <v/>
      </c>
      <c r="R759" s="6" t="n">
        <v>550</v>
      </c>
      <c r="S759" s="4" t="n">
        <v>0</v>
      </c>
      <c r="T759" s="1" t="inlineStr">
        <is>
          <t>active</t>
        </is>
      </c>
      <c r="U759" s="8" t="n"/>
      <c r="V759" s="1" t="inlineStr">
        <is>
          <t>SIN PRECIO</t>
        </is>
      </c>
    </row>
    <row r="760">
      <c r="A760" s="1" t="inlineStr">
        <is>
          <t>43047218282636</t>
        </is>
      </c>
      <c r="B760" s="1" t="inlineStr">
        <is>
          <t>ARETES CORAZÓN TURQUESA</t>
        </is>
      </c>
      <c r="C760" s="1" t="inlineStr">
        <is>
          <t>Regular</t>
        </is>
      </c>
      <c r="D760" s="1" t="inlineStr">
        <is>
          <t>HAIFENG</t>
        </is>
      </c>
      <c r="E760" s="4">
        <f>COUNTIF('DETALLE CRONOLÓGICO'!$A$2:$A$4919,$A760)</f>
        <v/>
      </c>
      <c r="F760" s="4">
        <f>SUMIFS('DETALLE CRONOLÓGICO'!$I$2:$I$4919,'DETALLE CRONOLÓGICO'!$A$2:$A$4919,$A760)</f>
        <v/>
      </c>
      <c r="G760" s="1">
        <f>INDEX('DETALLE CRONOLÓGICO'!$D$2:$D$4919,MATCH($A760,'DETALLE CRONOLÓGICO'!$A$2:$A$4919,0))</f>
        <v/>
      </c>
      <c r="H760" s="1">
        <f>INDEX('DETALLE CRONOLÓGICO'!$D$2:$D$4919,MATCH($A760,'DETALLE CRONOLÓGICO'!$A$2:$A$4919,0)+$E760-1)</f>
        <v/>
      </c>
      <c r="I760" s="5">
        <f>IFERROR(SUMIFS('DETALLE CRONOLÓGICO'!$L$2:$L$4919,'DETALLE CRONOLÓGICO'!$A$2:$A$4919,$A760)/$F760,"")</f>
        <v/>
      </c>
      <c r="J760" s="6">
        <f>IFERROR(SUMIFS('DETALLE CRONOLÓGICO'!$K$2:$K$4919,'DETALLE CRONOLÓGICO'!$A$2:$A$4919,$A760)/$E760,"")</f>
        <v/>
      </c>
      <c r="K760" s="6">
        <f>_xlfn.MINIFS('DETALLE CRONOLÓGICO'!$K$2:$K$4919,'DETALLE CRONOLÓGICO'!$A$2:$A$4919,$A760)</f>
        <v/>
      </c>
      <c r="L760" s="6">
        <f>_xlfn.MAXIFS('DETALLE CRONOLÓGICO'!$K$2:$K$4919,'DETALLE CRONOLÓGICO'!$A$2:$A$4919,$A760)</f>
        <v/>
      </c>
      <c r="M760" s="6">
        <f>INDEX('DETALLE CRONOLÓGICO'!$K$2:$K$4919,MATCH($A760,'DETALLE CRONOLÓGICO'!$A$2:$A$4919,0)+$E760-1)</f>
        <v/>
      </c>
      <c r="N760" s="7">
        <f>IFERROR($M760/INDEX('DETALLE CRONOLÓGICO'!$K$2:$K$4919,MATCH($A760,'DETALLE CRONOLÓGICO'!$A$2:$A$4919,0))-1,"")</f>
        <v/>
      </c>
      <c r="O760" s="6">
        <f>IFERROR($I760*3,"")</f>
        <v/>
      </c>
      <c r="P760" s="6">
        <f>IFERROR($I760*3.5,"")</f>
        <v/>
      </c>
      <c r="Q760" s="6">
        <f>IFERROR($I760*4,"")</f>
        <v/>
      </c>
      <c r="R760" s="6" t="n">
        <v>618</v>
      </c>
      <c r="S760" s="4" t="n">
        <v>2</v>
      </c>
      <c r="T760" s="1" t="inlineStr">
        <is>
          <t>active</t>
        </is>
      </c>
      <c r="U760" s="8" t="n"/>
      <c r="V760" s="1" t="inlineStr">
        <is>
          <t>SIN PRECIO</t>
        </is>
      </c>
    </row>
    <row r="761">
      <c r="A761" s="1" t="inlineStr">
        <is>
          <t>43047219560588</t>
        </is>
      </c>
      <c r="B761" s="1" t="inlineStr">
        <is>
          <t>PULSERA ONE T DOBLE ZIRCONIA ROSE GOLD</t>
        </is>
      </c>
      <c r="C761" s="1" t="inlineStr">
        <is>
          <t>16.58cm</t>
        </is>
      </c>
      <c r="D761" s="1" t="inlineStr">
        <is>
          <t>CYNTHIA</t>
        </is>
      </c>
      <c r="E761" s="4">
        <f>COUNTIF('DETALLE CRONOLÓGICO'!$A$2:$A$4919,$A761)</f>
        <v/>
      </c>
      <c r="F761" s="4">
        <f>SUMIFS('DETALLE CRONOLÓGICO'!$I$2:$I$4919,'DETALLE CRONOLÓGICO'!$A$2:$A$4919,$A761)</f>
        <v/>
      </c>
      <c r="G761" s="1">
        <f>INDEX('DETALLE CRONOLÓGICO'!$D$2:$D$4919,MATCH($A761,'DETALLE CRONOLÓGICO'!$A$2:$A$4919,0))</f>
        <v/>
      </c>
      <c r="H761" s="1">
        <f>INDEX('DETALLE CRONOLÓGICO'!$D$2:$D$4919,MATCH($A761,'DETALLE CRONOLÓGICO'!$A$2:$A$4919,0)+$E761-1)</f>
        <v/>
      </c>
      <c r="I761" s="5">
        <f>IFERROR(SUMIFS('DETALLE CRONOLÓGICO'!$L$2:$L$4919,'DETALLE CRONOLÓGICO'!$A$2:$A$4919,$A761)/$F761,"")</f>
        <v/>
      </c>
      <c r="J761" s="6">
        <f>IFERROR(SUMIFS('DETALLE CRONOLÓGICO'!$K$2:$K$4919,'DETALLE CRONOLÓGICO'!$A$2:$A$4919,$A761)/$E761,"")</f>
        <v/>
      </c>
      <c r="K761" s="6">
        <f>_xlfn.MINIFS('DETALLE CRONOLÓGICO'!$K$2:$K$4919,'DETALLE CRONOLÓGICO'!$A$2:$A$4919,$A761)</f>
        <v/>
      </c>
      <c r="L761" s="6">
        <f>_xlfn.MAXIFS('DETALLE CRONOLÓGICO'!$K$2:$K$4919,'DETALLE CRONOLÓGICO'!$A$2:$A$4919,$A761)</f>
        <v/>
      </c>
      <c r="M761" s="6">
        <f>INDEX('DETALLE CRONOLÓGICO'!$K$2:$K$4919,MATCH($A761,'DETALLE CRONOLÓGICO'!$A$2:$A$4919,0)+$E761-1)</f>
        <v/>
      </c>
      <c r="N761" s="7">
        <f>IFERROR($M761/INDEX('DETALLE CRONOLÓGICO'!$K$2:$K$4919,MATCH($A761,'DETALLE CRONOLÓGICO'!$A$2:$A$4919,0))-1,"")</f>
        <v/>
      </c>
      <c r="O761" s="6">
        <f>IFERROR($I761*3,"")</f>
        <v/>
      </c>
      <c r="P761" s="6">
        <f>IFERROR($I761*3.5,"")</f>
        <v/>
      </c>
      <c r="Q761" s="6">
        <f>IFERROR($I761*4,"")</f>
        <v/>
      </c>
      <c r="R761" s="6" t="n">
        <v>1405</v>
      </c>
      <c r="S761" s="4" t="n">
        <v>1</v>
      </c>
      <c r="T761" s="1" t="inlineStr">
        <is>
          <t>active</t>
        </is>
      </c>
      <c r="U761" s="8" t="n"/>
      <c r="V761" s="1" t="inlineStr">
        <is>
          <t>SIN PRECIO</t>
        </is>
      </c>
    </row>
    <row r="762">
      <c r="A762" s="1" t="inlineStr">
        <is>
          <t>43047219789964</t>
        </is>
      </c>
      <c r="B762" s="1" t="inlineStr">
        <is>
          <t>PULSERA ONE T DOBLE ZIRCONIA SILVER</t>
        </is>
      </c>
      <c r="C762" s="1" t="inlineStr">
        <is>
          <t>16.58cm</t>
        </is>
      </c>
      <c r="D762" s="1" t="inlineStr">
        <is>
          <t>CYNTHIA</t>
        </is>
      </c>
      <c r="E762" s="4">
        <f>COUNTIF('DETALLE CRONOLÓGICO'!$A$2:$A$4919,$A762)</f>
        <v/>
      </c>
      <c r="F762" s="4">
        <f>SUMIFS('DETALLE CRONOLÓGICO'!$I$2:$I$4919,'DETALLE CRONOLÓGICO'!$A$2:$A$4919,$A762)</f>
        <v/>
      </c>
      <c r="G762" s="1">
        <f>INDEX('DETALLE CRONOLÓGICO'!$D$2:$D$4919,MATCH($A762,'DETALLE CRONOLÓGICO'!$A$2:$A$4919,0))</f>
        <v/>
      </c>
      <c r="H762" s="1">
        <f>INDEX('DETALLE CRONOLÓGICO'!$D$2:$D$4919,MATCH($A762,'DETALLE CRONOLÓGICO'!$A$2:$A$4919,0)+$E762-1)</f>
        <v/>
      </c>
      <c r="I762" s="5">
        <f>IFERROR(SUMIFS('DETALLE CRONOLÓGICO'!$L$2:$L$4919,'DETALLE CRONOLÓGICO'!$A$2:$A$4919,$A762)/$F762,"")</f>
        <v/>
      </c>
      <c r="J762" s="6">
        <f>IFERROR(SUMIFS('DETALLE CRONOLÓGICO'!$K$2:$K$4919,'DETALLE CRONOLÓGICO'!$A$2:$A$4919,$A762)/$E762,"")</f>
        <v/>
      </c>
      <c r="K762" s="6">
        <f>_xlfn.MINIFS('DETALLE CRONOLÓGICO'!$K$2:$K$4919,'DETALLE CRONOLÓGICO'!$A$2:$A$4919,$A762)</f>
        <v/>
      </c>
      <c r="L762" s="6">
        <f>_xlfn.MAXIFS('DETALLE CRONOLÓGICO'!$K$2:$K$4919,'DETALLE CRONOLÓGICO'!$A$2:$A$4919,$A762)</f>
        <v/>
      </c>
      <c r="M762" s="6">
        <f>INDEX('DETALLE CRONOLÓGICO'!$K$2:$K$4919,MATCH($A762,'DETALLE CRONOLÓGICO'!$A$2:$A$4919,0)+$E762-1)</f>
        <v/>
      </c>
      <c r="N762" s="7">
        <f>IFERROR($M762/INDEX('DETALLE CRONOLÓGICO'!$K$2:$K$4919,MATCH($A762,'DETALLE CRONOLÓGICO'!$A$2:$A$4919,0))-1,"")</f>
        <v/>
      </c>
      <c r="O762" s="6">
        <f>IFERROR($I762*3,"")</f>
        <v/>
      </c>
      <c r="P762" s="6">
        <f>IFERROR($I762*3.5,"")</f>
        <v/>
      </c>
      <c r="Q762" s="6">
        <f>IFERROR($I762*4,"")</f>
        <v/>
      </c>
      <c r="R762" s="6" t="n">
        <v>1150</v>
      </c>
      <c r="S762" s="4" t="n">
        <v>1</v>
      </c>
      <c r="T762" s="1" t="inlineStr">
        <is>
          <t>active</t>
        </is>
      </c>
      <c r="U762" s="8" t="n"/>
      <c r="V762" s="1" t="inlineStr">
        <is>
          <t>SIN PRECIO</t>
        </is>
      </c>
    </row>
    <row r="763">
      <c r="A763" s="1" t="inlineStr">
        <is>
          <t>43047220412556</t>
        </is>
      </c>
      <c r="B763" s="1" t="inlineStr">
        <is>
          <t>PULSERA ONE T DOBLE ZIRCONIA GOLD</t>
        </is>
      </c>
      <c r="C763" s="1" t="inlineStr">
        <is>
          <t>16.58cm</t>
        </is>
      </c>
      <c r="D763" s="1" t="inlineStr">
        <is>
          <t>CYNTHIA</t>
        </is>
      </c>
      <c r="E763" s="4">
        <f>COUNTIF('DETALLE CRONOLÓGICO'!$A$2:$A$4919,$A763)</f>
        <v/>
      </c>
      <c r="F763" s="4">
        <f>SUMIFS('DETALLE CRONOLÓGICO'!$I$2:$I$4919,'DETALLE CRONOLÓGICO'!$A$2:$A$4919,$A763)</f>
        <v/>
      </c>
      <c r="G763" s="1">
        <f>INDEX('DETALLE CRONOLÓGICO'!$D$2:$D$4919,MATCH($A763,'DETALLE CRONOLÓGICO'!$A$2:$A$4919,0))</f>
        <v/>
      </c>
      <c r="H763" s="1">
        <f>INDEX('DETALLE CRONOLÓGICO'!$D$2:$D$4919,MATCH($A763,'DETALLE CRONOLÓGICO'!$A$2:$A$4919,0)+$E763-1)</f>
        <v/>
      </c>
      <c r="I763" s="5">
        <f>IFERROR(SUMIFS('DETALLE CRONOLÓGICO'!$L$2:$L$4919,'DETALLE CRONOLÓGICO'!$A$2:$A$4919,$A763)/$F763,"")</f>
        <v/>
      </c>
      <c r="J763" s="6">
        <f>IFERROR(SUMIFS('DETALLE CRONOLÓGICO'!$K$2:$K$4919,'DETALLE CRONOLÓGICO'!$A$2:$A$4919,$A763)/$E763,"")</f>
        <v/>
      </c>
      <c r="K763" s="6">
        <f>_xlfn.MINIFS('DETALLE CRONOLÓGICO'!$K$2:$K$4919,'DETALLE CRONOLÓGICO'!$A$2:$A$4919,$A763)</f>
        <v/>
      </c>
      <c r="L763" s="6">
        <f>_xlfn.MAXIFS('DETALLE CRONOLÓGICO'!$K$2:$K$4919,'DETALLE CRONOLÓGICO'!$A$2:$A$4919,$A763)</f>
        <v/>
      </c>
      <c r="M763" s="6">
        <f>INDEX('DETALLE CRONOLÓGICO'!$K$2:$K$4919,MATCH($A763,'DETALLE CRONOLÓGICO'!$A$2:$A$4919,0)+$E763-1)</f>
        <v/>
      </c>
      <c r="N763" s="7">
        <f>IFERROR($M763/INDEX('DETALLE CRONOLÓGICO'!$K$2:$K$4919,MATCH($A763,'DETALLE CRONOLÓGICO'!$A$2:$A$4919,0))-1,"")</f>
        <v/>
      </c>
      <c r="O763" s="6">
        <f>IFERROR($I763*3,"")</f>
        <v/>
      </c>
      <c r="P763" s="6">
        <f>IFERROR($I763*3.5,"")</f>
        <v/>
      </c>
      <c r="Q763" s="6">
        <f>IFERROR($I763*4,"")</f>
        <v/>
      </c>
      <c r="R763" s="6" t="n">
        <v>1405</v>
      </c>
      <c r="S763" s="4" t="n">
        <v>0</v>
      </c>
      <c r="T763" s="1" t="inlineStr">
        <is>
          <t>active</t>
        </is>
      </c>
      <c r="U763" s="8" t="n"/>
      <c r="V763" s="1" t="inlineStr">
        <is>
          <t>SIN PRECIO</t>
        </is>
      </c>
    </row>
    <row r="764">
      <c r="A764" s="1" t="inlineStr">
        <is>
          <t>43047221198988</t>
        </is>
      </c>
      <c r="B764" s="1" t="inlineStr">
        <is>
          <t>PULSERA DE CUENTAS GOLD</t>
        </is>
      </c>
      <c r="C764" s="1" t="inlineStr">
        <is>
          <t>16cm</t>
        </is>
      </c>
      <c r="D764" s="1" t="inlineStr">
        <is>
          <t>COCOMA</t>
        </is>
      </c>
      <c r="E764" s="4">
        <f>COUNTIF('DETALLE CRONOLÓGICO'!$A$2:$A$4919,$A764)</f>
        <v/>
      </c>
      <c r="F764" s="4">
        <f>SUMIFS('DETALLE CRONOLÓGICO'!$I$2:$I$4919,'DETALLE CRONOLÓGICO'!$A$2:$A$4919,$A764)</f>
        <v/>
      </c>
      <c r="G764" s="1">
        <f>INDEX('DETALLE CRONOLÓGICO'!$D$2:$D$4919,MATCH($A764,'DETALLE CRONOLÓGICO'!$A$2:$A$4919,0))</f>
        <v/>
      </c>
      <c r="H764" s="1">
        <f>INDEX('DETALLE CRONOLÓGICO'!$D$2:$D$4919,MATCH($A764,'DETALLE CRONOLÓGICO'!$A$2:$A$4919,0)+$E764-1)</f>
        <v/>
      </c>
      <c r="I764" s="5">
        <f>IFERROR(SUMIFS('DETALLE CRONOLÓGICO'!$L$2:$L$4919,'DETALLE CRONOLÓGICO'!$A$2:$A$4919,$A764)/$F764,"")</f>
        <v/>
      </c>
      <c r="J764" s="6">
        <f>IFERROR(SUMIFS('DETALLE CRONOLÓGICO'!$K$2:$K$4919,'DETALLE CRONOLÓGICO'!$A$2:$A$4919,$A764)/$E764,"")</f>
        <v/>
      </c>
      <c r="K764" s="6">
        <f>_xlfn.MINIFS('DETALLE CRONOLÓGICO'!$K$2:$K$4919,'DETALLE CRONOLÓGICO'!$A$2:$A$4919,$A764)</f>
        <v/>
      </c>
      <c r="L764" s="6">
        <f>_xlfn.MAXIFS('DETALLE CRONOLÓGICO'!$K$2:$K$4919,'DETALLE CRONOLÓGICO'!$A$2:$A$4919,$A764)</f>
        <v/>
      </c>
      <c r="M764" s="6">
        <f>INDEX('DETALLE CRONOLÓGICO'!$K$2:$K$4919,MATCH($A764,'DETALLE CRONOLÓGICO'!$A$2:$A$4919,0)+$E764-1)</f>
        <v/>
      </c>
      <c r="N764" s="7">
        <f>IFERROR($M764/INDEX('DETALLE CRONOLÓGICO'!$K$2:$K$4919,MATCH($A764,'DETALLE CRONOLÓGICO'!$A$2:$A$4919,0))-1,"")</f>
        <v/>
      </c>
      <c r="O764" s="6">
        <f>IFERROR($I764*3,"")</f>
        <v/>
      </c>
      <c r="P764" s="6">
        <f>IFERROR($I764*3.5,"")</f>
        <v/>
      </c>
      <c r="Q764" s="6">
        <f>IFERROR($I764*4,"")</f>
        <v/>
      </c>
      <c r="R764" s="6" t="n">
        <v>525</v>
      </c>
      <c r="S764" s="4" t="n">
        <v>0</v>
      </c>
      <c r="T764" s="1" t="inlineStr">
        <is>
          <t>active</t>
        </is>
      </c>
      <c r="U764" s="8" t="n"/>
      <c r="V764" s="1" t="inlineStr">
        <is>
          <t>SIN PRECIO</t>
        </is>
      </c>
    </row>
    <row r="765">
      <c r="A765" s="1" t="inlineStr">
        <is>
          <t>43047222083724</t>
        </is>
      </c>
      <c r="B765" s="1" t="inlineStr">
        <is>
          <t>COLLAR SMILE ROSE GOLD CON ZIRCONIA</t>
        </is>
      </c>
      <c r="C765" s="1" t="inlineStr">
        <is>
          <t>Ajustable</t>
        </is>
      </c>
      <c r="D765" s="1" t="inlineStr">
        <is>
          <t>CYNTHIA</t>
        </is>
      </c>
      <c r="E765" s="4">
        <f>COUNTIF('DETALLE CRONOLÓGICO'!$A$2:$A$4919,$A765)</f>
        <v/>
      </c>
      <c r="F765" s="4">
        <f>SUMIFS('DETALLE CRONOLÓGICO'!$I$2:$I$4919,'DETALLE CRONOLÓGICO'!$A$2:$A$4919,$A765)</f>
        <v/>
      </c>
      <c r="G765" s="1">
        <f>INDEX('DETALLE CRONOLÓGICO'!$D$2:$D$4919,MATCH($A765,'DETALLE CRONOLÓGICO'!$A$2:$A$4919,0))</f>
        <v/>
      </c>
      <c r="H765" s="1">
        <f>INDEX('DETALLE CRONOLÓGICO'!$D$2:$D$4919,MATCH($A765,'DETALLE CRONOLÓGICO'!$A$2:$A$4919,0)+$E765-1)</f>
        <v/>
      </c>
      <c r="I765" s="5">
        <f>IFERROR(SUMIFS('DETALLE CRONOLÓGICO'!$L$2:$L$4919,'DETALLE CRONOLÓGICO'!$A$2:$A$4919,$A765)/$F765,"")</f>
        <v/>
      </c>
      <c r="J765" s="6">
        <f>IFERROR(SUMIFS('DETALLE CRONOLÓGICO'!$K$2:$K$4919,'DETALLE CRONOLÓGICO'!$A$2:$A$4919,$A765)/$E765,"")</f>
        <v/>
      </c>
      <c r="K765" s="6">
        <f>_xlfn.MINIFS('DETALLE CRONOLÓGICO'!$K$2:$K$4919,'DETALLE CRONOLÓGICO'!$A$2:$A$4919,$A765)</f>
        <v/>
      </c>
      <c r="L765" s="6">
        <f>_xlfn.MAXIFS('DETALLE CRONOLÓGICO'!$K$2:$K$4919,'DETALLE CRONOLÓGICO'!$A$2:$A$4919,$A765)</f>
        <v/>
      </c>
      <c r="M765" s="6">
        <f>INDEX('DETALLE CRONOLÓGICO'!$K$2:$K$4919,MATCH($A765,'DETALLE CRONOLÓGICO'!$A$2:$A$4919,0)+$E765-1)</f>
        <v/>
      </c>
      <c r="N765" s="7">
        <f>IFERROR($M765/INDEX('DETALLE CRONOLÓGICO'!$K$2:$K$4919,MATCH($A765,'DETALLE CRONOLÓGICO'!$A$2:$A$4919,0))-1,"")</f>
        <v/>
      </c>
      <c r="O765" s="6">
        <f>IFERROR($I765*3,"")</f>
        <v/>
      </c>
      <c r="P765" s="6">
        <f>IFERROR($I765*3.5,"")</f>
        <v/>
      </c>
      <c r="Q765" s="6">
        <f>IFERROR($I765*4,"")</f>
        <v/>
      </c>
      <c r="R765" s="6" t="n">
        <v>1485</v>
      </c>
      <c r="S765" s="4" t="n">
        <v>3</v>
      </c>
      <c r="T765" s="1" t="inlineStr">
        <is>
          <t>active</t>
        </is>
      </c>
      <c r="U765" s="8" t="n"/>
      <c r="V765" s="1" t="inlineStr">
        <is>
          <t>SIN PRECIO</t>
        </is>
      </c>
    </row>
    <row r="766">
      <c r="A766" s="1" t="inlineStr">
        <is>
          <t>43047224508556</t>
        </is>
      </c>
      <c r="B766" s="1" t="inlineStr">
        <is>
          <t>PULSERA DE CUENTAS CON INSIGNIA DE CORAZÓN PINK</t>
        </is>
      </c>
      <c r="C766" s="1" t="inlineStr">
        <is>
          <t>16 cm</t>
        </is>
      </c>
      <c r="D766" s="1" t="inlineStr">
        <is>
          <t>HAIFENG</t>
        </is>
      </c>
      <c r="E766" s="4">
        <f>COUNTIF('DETALLE CRONOLÓGICO'!$A$2:$A$4919,$A766)</f>
        <v/>
      </c>
      <c r="F766" s="4">
        <f>SUMIFS('DETALLE CRONOLÓGICO'!$I$2:$I$4919,'DETALLE CRONOLÓGICO'!$A$2:$A$4919,$A766)</f>
        <v/>
      </c>
      <c r="G766" s="1">
        <f>INDEX('DETALLE CRONOLÓGICO'!$D$2:$D$4919,MATCH($A766,'DETALLE CRONOLÓGICO'!$A$2:$A$4919,0))</f>
        <v/>
      </c>
      <c r="H766" s="1">
        <f>INDEX('DETALLE CRONOLÓGICO'!$D$2:$D$4919,MATCH($A766,'DETALLE CRONOLÓGICO'!$A$2:$A$4919,0)+$E766-1)</f>
        <v/>
      </c>
      <c r="I766" s="5">
        <f>IFERROR(SUMIFS('DETALLE CRONOLÓGICO'!$L$2:$L$4919,'DETALLE CRONOLÓGICO'!$A$2:$A$4919,$A766)/$F766,"")</f>
        <v/>
      </c>
      <c r="J766" s="6">
        <f>IFERROR(SUMIFS('DETALLE CRONOLÓGICO'!$K$2:$K$4919,'DETALLE CRONOLÓGICO'!$A$2:$A$4919,$A766)/$E766,"")</f>
        <v/>
      </c>
      <c r="K766" s="6">
        <f>_xlfn.MINIFS('DETALLE CRONOLÓGICO'!$K$2:$K$4919,'DETALLE CRONOLÓGICO'!$A$2:$A$4919,$A766)</f>
        <v/>
      </c>
      <c r="L766" s="6">
        <f>_xlfn.MAXIFS('DETALLE CRONOLÓGICO'!$K$2:$K$4919,'DETALLE CRONOLÓGICO'!$A$2:$A$4919,$A766)</f>
        <v/>
      </c>
      <c r="M766" s="6">
        <f>INDEX('DETALLE CRONOLÓGICO'!$K$2:$K$4919,MATCH($A766,'DETALLE CRONOLÓGICO'!$A$2:$A$4919,0)+$E766-1)</f>
        <v/>
      </c>
      <c r="N766" s="7">
        <f>IFERROR($M766/INDEX('DETALLE CRONOLÓGICO'!$K$2:$K$4919,MATCH($A766,'DETALLE CRONOLÓGICO'!$A$2:$A$4919,0))-1,"")</f>
        <v/>
      </c>
      <c r="O766" s="6">
        <f>IFERROR($I766*3,"")</f>
        <v/>
      </c>
      <c r="P766" s="6">
        <f>IFERROR($I766*3.5,"")</f>
        <v/>
      </c>
      <c r="Q766" s="6">
        <f>IFERROR($I766*4,"")</f>
        <v/>
      </c>
      <c r="R766" s="6" t="n">
        <v>550</v>
      </c>
      <c r="S766" s="4" t="n">
        <v>7</v>
      </c>
      <c r="T766" s="1" t="inlineStr">
        <is>
          <t>active</t>
        </is>
      </c>
      <c r="U766" s="8" t="n"/>
      <c r="V766" s="1" t="inlineStr">
        <is>
          <t>SIN PRECIO</t>
        </is>
      </c>
    </row>
    <row r="767">
      <c r="A767" s="1" t="inlineStr">
        <is>
          <t>43047224541324</t>
        </is>
      </c>
      <c r="B767" s="1" t="inlineStr">
        <is>
          <t>PULSERA DE CUENTAS CON INSIGNIA DE CORAZÓN PINK</t>
        </is>
      </c>
      <c r="C767" s="1" t="inlineStr">
        <is>
          <t>17 cm</t>
        </is>
      </c>
      <c r="D767" s="1" t="inlineStr">
        <is>
          <t>HAIFENG</t>
        </is>
      </c>
      <c r="E767" s="4">
        <f>COUNTIF('DETALLE CRONOLÓGICO'!$A$2:$A$4919,$A767)</f>
        <v/>
      </c>
      <c r="F767" s="4">
        <f>SUMIFS('DETALLE CRONOLÓGICO'!$I$2:$I$4919,'DETALLE CRONOLÓGICO'!$A$2:$A$4919,$A767)</f>
        <v/>
      </c>
      <c r="G767" s="1">
        <f>INDEX('DETALLE CRONOLÓGICO'!$D$2:$D$4919,MATCH($A767,'DETALLE CRONOLÓGICO'!$A$2:$A$4919,0))</f>
        <v/>
      </c>
      <c r="H767" s="1">
        <f>INDEX('DETALLE CRONOLÓGICO'!$D$2:$D$4919,MATCH($A767,'DETALLE CRONOLÓGICO'!$A$2:$A$4919,0)+$E767-1)</f>
        <v/>
      </c>
      <c r="I767" s="5">
        <f>IFERROR(SUMIFS('DETALLE CRONOLÓGICO'!$L$2:$L$4919,'DETALLE CRONOLÓGICO'!$A$2:$A$4919,$A767)/$F767,"")</f>
        <v/>
      </c>
      <c r="J767" s="6">
        <f>IFERROR(SUMIFS('DETALLE CRONOLÓGICO'!$K$2:$K$4919,'DETALLE CRONOLÓGICO'!$A$2:$A$4919,$A767)/$E767,"")</f>
        <v/>
      </c>
      <c r="K767" s="6">
        <f>_xlfn.MINIFS('DETALLE CRONOLÓGICO'!$K$2:$K$4919,'DETALLE CRONOLÓGICO'!$A$2:$A$4919,$A767)</f>
        <v/>
      </c>
      <c r="L767" s="6">
        <f>_xlfn.MAXIFS('DETALLE CRONOLÓGICO'!$K$2:$K$4919,'DETALLE CRONOLÓGICO'!$A$2:$A$4919,$A767)</f>
        <v/>
      </c>
      <c r="M767" s="6">
        <f>INDEX('DETALLE CRONOLÓGICO'!$K$2:$K$4919,MATCH($A767,'DETALLE CRONOLÓGICO'!$A$2:$A$4919,0)+$E767-1)</f>
        <v/>
      </c>
      <c r="N767" s="7">
        <f>IFERROR($M767/INDEX('DETALLE CRONOLÓGICO'!$K$2:$K$4919,MATCH($A767,'DETALLE CRONOLÓGICO'!$A$2:$A$4919,0))-1,"")</f>
        <v/>
      </c>
      <c r="O767" s="6">
        <f>IFERROR($I767*3,"")</f>
        <v/>
      </c>
      <c r="P767" s="6">
        <f>IFERROR($I767*3.5,"")</f>
        <v/>
      </c>
      <c r="Q767" s="6">
        <f>IFERROR($I767*4,"")</f>
        <v/>
      </c>
      <c r="R767" s="6" t="n">
        <v>550</v>
      </c>
      <c r="S767" s="4" t="n">
        <v>1</v>
      </c>
      <c r="T767" s="1" t="inlineStr">
        <is>
          <t>active</t>
        </is>
      </c>
      <c r="U767" s="8" t="n"/>
      <c r="V767" s="1" t="inlineStr">
        <is>
          <t>SIN PRECIO</t>
        </is>
      </c>
    </row>
    <row r="768">
      <c r="A768" s="1" t="inlineStr">
        <is>
          <t>43047224574092</t>
        </is>
      </c>
      <c r="B768" s="1" t="inlineStr">
        <is>
          <t>PULSERA DE CUENTAS CON INSIGNIA DE CORAZÓN PINK</t>
        </is>
      </c>
      <c r="C768" s="1" t="inlineStr">
        <is>
          <t>18 cm</t>
        </is>
      </c>
      <c r="D768" s="1" t="inlineStr">
        <is>
          <t>HAIFENG</t>
        </is>
      </c>
      <c r="E768" s="4">
        <f>COUNTIF('DETALLE CRONOLÓGICO'!$A$2:$A$4919,$A768)</f>
        <v/>
      </c>
      <c r="F768" s="4">
        <f>SUMIFS('DETALLE CRONOLÓGICO'!$I$2:$I$4919,'DETALLE CRONOLÓGICO'!$A$2:$A$4919,$A768)</f>
        <v/>
      </c>
      <c r="G768" s="1">
        <f>INDEX('DETALLE CRONOLÓGICO'!$D$2:$D$4919,MATCH($A768,'DETALLE CRONOLÓGICO'!$A$2:$A$4919,0))</f>
        <v/>
      </c>
      <c r="H768" s="1">
        <f>INDEX('DETALLE CRONOLÓGICO'!$D$2:$D$4919,MATCH($A768,'DETALLE CRONOLÓGICO'!$A$2:$A$4919,0)+$E768-1)</f>
        <v/>
      </c>
      <c r="I768" s="5">
        <f>IFERROR(SUMIFS('DETALLE CRONOLÓGICO'!$L$2:$L$4919,'DETALLE CRONOLÓGICO'!$A$2:$A$4919,$A768)/$F768,"")</f>
        <v/>
      </c>
      <c r="J768" s="6">
        <f>IFERROR(SUMIFS('DETALLE CRONOLÓGICO'!$K$2:$K$4919,'DETALLE CRONOLÓGICO'!$A$2:$A$4919,$A768)/$E768,"")</f>
        <v/>
      </c>
      <c r="K768" s="6">
        <f>_xlfn.MINIFS('DETALLE CRONOLÓGICO'!$K$2:$K$4919,'DETALLE CRONOLÓGICO'!$A$2:$A$4919,$A768)</f>
        <v/>
      </c>
      <c r="L768" s="6">
        <f>_xlfn.MAXIFS('DETALLE CRONOLÓGICO'!$K$2:$K$4919,'DETALLE CRONOLÓGICO'!$A$2:$A$4919,$A768)</f>
        <v/>
      </c>
      <c r="M768" s="6">
        <f>INDEX('DETALLE CRONOLÓGICO'!$K$2:$K$4919,MATCH($A768,'DETALLE CRONOLÓGICO'!$A$2:$A$4919,0)+$E768-1)</f>
        <v/>
      </c>
      <c r="N768" s="7">
        <f>IFERROR($M768/INDEX('DETALLE CRONOLÓGICO'!$K$2:$K$4919,MATCH($A768,'DETALLE CRONOLÓGICO'!$A$2:$A$4919,0))-1,"")</f>
        <v/>
      </c>
      <c r="O768" s="6">
        <f>IFERROR($I768*3,"")</f>
        <v/>
      </c>
      <c r="P768" s="6">
        <f>IFERROR($I768*3.5,"")</f>
        <v/>
      </c>
      <c r="Q768" s="6">
        <f>IFERROR($I768*4,"")</f>
        <v/>
      </c>
      <c r="R768" s="6" t="n">
        <v>550</v>
      </c>
      <c r="S768" s="4" t="n">
        <v>0</v>
      </c>
      <c r="T768" s="1" t="inlineStr">
        <is>
          <t>active</t>
        </is>
      </c>
      <c r="U768" s="8" t="n"/>
      <c r="V768" s="1" t="inlineStr">
        <is>
          <t>SIN PRECIO</t>
        </is>
      </c>
    </row>
    <row r="769">
      <c r="A769" s="1" t="inlineStr">
        <is>
          <t>43047224606860</t>
        </is>
      </c>
      <c r="B769" s="1" t="inlineStr">
        <is>
          <t>PULSERA DE CUENTAS CON INSIGNIA DE CORAZÓN PINK</t>
        </is>
      </c>
      <c r="C769" s="1" t="inlineStr">
        <is>
          <t>19 cm</t>
        </is>
      </c>
      <c r="D769" s="1" t="inlineStr">
        <is>
          <t>HAIFENG</t>
        </is>
      </c>
      <c r="E769" s="4">
        <f>COUNTIF('DETALLE CRONOLÓGICO'!$A$2:$A$4919,$A769)</f>
        <v/>
      </c>
      <c r="F769" s="4">
        <f>SUMIFS('DETALLE CRONOLÓGICO'!$I$2:$I$4919,'DETALLE CRONOLÓGICO'!$A$2:$A$4919,$A769)</f>
        <v/>
      </c>
      <c r="G769" s="1">
        <f>INDEX('DETALLE CRONOLÓGICO'!$D$2:$D$4919,MATCH($A769,'DETALLE CRONOLÓGICO'!$A$2:$A$4919,0))</f>
        <v/>
      </c>
      <c r="H769" s="1">
        <f>INDEX('DETALLE CRONOLÓGICO'!$D$2:$D$4919,MATCH($A769,'DETALLE CRONOLÓGICO'!$A$2:$A$4919,0)+$E769-1)</f>
        <v/>
      </c>
      <c r="I769" s="5">
        <f>IFERROR(SUMIFS('DETALLE CRONOLÓGICO'!$L$2:$L$4919,'DETALLE CRONOLÓGICO'!$A$2:$A$4919,$A769)/$F769,"")</f>
        <v/>
      </c>
      <c r="J769" s="6">
        <f>IFERROR(SUMIFS('DETALLE CRONOLÓGICO'!$K$2:$K$4919,'DETALLE CRONOLÓGICO'!$A$2:$A$4919,$A769)/$E769,"")</f>
        <v/>
      </c>
      <c r="K769" s="6">
        <f>_xlfn.MINIFS('DETALLE CRONOLÓGICO'!$K$2:$K$4919,'DETALLE CRONOLÓGICO'!$A$2:$A$4919,$A769)</f>
        <v/>
      </c>
      <c r="L769" s="6">
        <f>_xlfn.MAXIFS('DETALLE CRONOLÓGICO'!$K$2:$K$4919,'DETALLE CRONOLÓGICO'!$A$2:$A$4919,$A769)</f>
        <v/>
      </c>
      <c r="M769" s="6">
        <f>INDEX('DETALLE CRONOLÓGICO'!$K$2:$K$4919,MATCH($A769,'DETALLE CRONOLÓGICO'!$A$2:$A$4919,0)+$E769-1)</f>
        <v/>
      </c>
      <c r="N769" s="7">
        <f>IFERROR($M769/INDEX('DETALLE CRONOLÓGICO'!$K$2:$K$4919,MATCH($A769,'DETALLE CRONOLÓGICO'!$A$2:$A$4919,0))-1,"")</f>
        <v/>
      </c>
      <c r="O769" s="6">
        <f>IFERROR($I769*3,"")</f>
        <v/>
      </c>
      <c r="P769" s="6">
        <f>IFERROR($I769*3.5,"")</f>
        <v/>
      </c>
      <c r="Q769" s="6">
        <f>IFERROR($I769*4,"")</f>
        <v/>
      </c>
      <c r="R769" s="6" t="n">
        <v>550</v>
      </c>
      <c r="S769" s="4" t="n">
        <v>5</v>
      </c>
      <c r="T769" s="1" t="inlineStr">
        <is>
          <t>active</t>
        </is>
      </c>
      <c r="U769" s="8" t="n"/>
      <c r="V769" s="1" t="inlineStr">
        <is>
          <t>SIN PRECIO</t>
        </is>
      </c>
    </row>
    <row r="770">
      <c r="A770" s="1" t="inlineStr">
        <is>
          <t>43047225884812</t>
        </is>
      </c>
      <c r="B770" s="1" t="inlineStr">
        <is>
          <t>ANILLO ONE T GOLD</t>
        </is>
      </c>
      <c r="C770" s="1" t="inlineStr">
        <is>
          <t>6</t>
        </is>
      </c>
      <c r="D770" s="1" t="inlineStr">
        <is>
          <t>HAIFENG</t>
        </is>
      </c>
      <c r="E770" s="4">
        <f>COUNTIF('DETALLE CRONOLÓGICO'!$A$2:$A$4919,$A770)</f>
        <v/>
      </c>
      <c r="F770" s="4">
        <f>SUMIFS('DETALLE CRONOLÓGICO'!$I$2:$I$4919,'DETALLE CRONOLÓGICO'!$A$2:$A$4919,$A770)</f>
        <v/>
      </c>
      <c r="G770" s="1">
        <f>INDEX('DETALLE CRONOLÓGICO'!$D$2:$D$4919,MATCH($A770,'DETALLE CRONOLÓGICO'!$A$2:$A$4919,0))</f>
        <v/>
      </c>
      <c r="H770" s="1">
        <f>INDEX('DETALLE CRONOLÓGICO'!$D$2:$D$4919,MATCH($A770,'DETALLE CRONOLÓGICO'!$A$2:$A$4919,0)+$E770-1)</f>
        <v/>
      </c>
      <c r="I770" s="5">
        <f>IFERROR(SUMIFS('DETALLE CRONOLÓGICO'!$L$2:$L$4919,'DETALLE CRONOLÓGICO'!$A$2:$A$4919,$A770)/$F770,"")</f>
        <v/>
      </c>
      <c r="J770" s="6">
        <f>IFERROR(SUMIFS('DETALLE CRONOLÓGICO'!$K$2:$K$4919,'DETALLE CRONOLÓGICO'!$A$2:$A$4919,$A770)/$E770,"")</f>
        <v/>
      </c>
      <c r="K770" s="6">
        <f>_xlfn.MINIFS('DETALLE CRONOLÓGICO'!$K$2:$K$4919,'DETALLE CRONOLÓGICO'!$A$2:$A$4919,$A770)</f>
        <v/>
      </c>
      <c r="L770" s="6">
        <f>_xlfn.MAXIFS('DETALLE CRONOLÓGICO'!$K$2:$K$4919,'DETALLE CRONOLÓGICO'!$A$2:$A$4919,$A770)</f>
        <v/>
      </c>
      <c r="M770" s="6">
        <f>INDEX('DETALLE CRONOLÓGICO'!$K$2:$K$4919,MATCH($A770,'DETALLE CRONOLÓGICO'!$A$2:$A$4919,0)+$E770-1)</f>
        <v/>
      </c>
      <c r="N770" s="7">
        <f>IFERROR($M770/INDEX('DETALLE CRONOLÓGICO'!$K$2:$K$4919,MATCH($A770,'DETALLE CRONOLÓGICO'!$A$2:$A$4919,0))-1,"")</f>
        <v/>
      </c>
      <c r="O770" s="6">
        <f>IFERROR($I770*3,"")</f>
        <v/>
      </c>
      <c r="P770" s="6">
        <f>IFERROR($I770*3.5,"")</f>
        <v/>
      </c>
      <c r="Q770" s="6">
        <f>IFERROR($I770*4,"")</f>
        <v/>
      </c>
      <c r="R770" s="6" t="n">
        <v>499</v>
      </c>
      <c r="S770" s="4" t="n">
        <v>8</v>
      </c>
      <c r="T770" s="1" t="inlineStr">
        <is>
          <t>active</t>
        </is>
      </c>
      <c r="U770" s="8" t="n"/>
      <c r="V770" s="1" t="inlineStr">
        <is>
          <t>SIN PRECIO</t>
        </is>
      </c>
    </row>
    <row r="771">
      <c r="A771" s="1" t="inlineStr">
        <is>
          <t>43047225917580</t>
        </is>
      </c>
      <c r="B771" s="1" t="inlineStr">
        <is>
          <t>ANILLO ONE T GOLD</t>
        </is>
      </c>
      <c r="C771" s="1" t="inlineStr">
        <is>
          <t>7</t>
        </is>
      </c>
      <c r="D771" s="1" t="inlineStr">
        <is>
          <t>HAIFENG</t>
        </is>
      </c>
      <c r="E771" s="4">
        <f>COUNTIF('DETALLE CRONOLÓGICO'!$A$2:$A$4919,$A771)</f>
        <v/>
      </c>
      <c r="F771" s="4">
        <f>SUMIFS('DETALLE CRONOLÓGICO'!$I$2:$I$4919,'DETALLE CRONOLÓGICO'!$A$2:$A$4919,$A771)</f>
        <v/>
      </c>
      <c r="G771" s="1">
        <f>INDEX('DETALLE CRONOLÓGICO'!$D$2:$D$4919,MATCH($A771,'DETALLE CRONOLÓGICO'!$A$2:$A$4919,0))</f>
        <v/>
      </c>
      <c r="H771" s="1">
        <f>INDEX('DETALLE CRONOLÓGICO'!$D$2:$D$4919,MATCH($A771,'DETALLE CRONOLÓGICO'!$A$2:$A$4919,0)+$E771-1)</f>
        <v/>
      </c>
      <c r="I771" s="5">
        <f>IFERROR(SUMIFS('DETALLE CRONOLÓGICO'!$L$2:$L$4919,'DETALLE CRONOLÓGICO'!$A$2:$A$4919,$A771)/$F771,"")</f>
        <v/>
      </c>
      <c r="J771" s="6">
        <f>IFERROR(SUMIFS('DETALLE CRONOLÓGICO'!$K$2:$K$4919,'DETALLE CRONOLÓGICO'!$A$2:$A$4919,$A771)/$E771,"")</f>
        <v/>
      </c>
      <c r="K771" s="6">
        <f>_xlfn.MINIFS('DETALLE CRONOLÓGICO'!$K$2:$K$4919,'DETALLE CRONOLÓGICO'!$A$2:$A$4919,$A771)</f>
        <v/>
      </c>
      <c r="L771" s="6">
        <f>_xlfn.MAXIFS('DETALLE CRONOLÓGICO'!$K$2:$K$4919,'DETALLE CRONOLÓGICO'!$A$2:$A$4919,$A771)</f>
        <v/>
      </c>
      <c r="M771" s="6">
        <f>INDEX('DETALLE CRONOLÓGICO'!$K$2:$K$4919,MATCH($A771,'DETALLE CRONOLÓGICO'!$A$2:$A$4919,0)+$E771-1)</f>
        <v/>
      </c>
      <c r="N771" s="7">
        <f>IFERROR($M771/INDEX('DETALLE CRONOLÓGICO'!$K$2:$K$4919,MATCH($A771,'DETALLE CRONOLÓGICO'!$A$2:$A$4919,0))-1,"")</f>
        <v/>
      </c>
      <c r="O771" s="6">
        <f>IFERROR($I771*3,"")</f>
        <v/>
      </c>
      <c r="P771" s="6">
        <f>IFERROR($I771*3.5,"")</f>
        <v/>
      </c>
      <c r="Q771" s="6">
        <f>IFERROR($I771*4,"")</f>
        <v/>
      </c>
      <c r="R771" s="6" t="n">
        <v>499</v>
      </c>
      <c r="S771" s="4" t="n">
        <v>5</v>
      </c>
      <c r="T771" s="1" t="inlineStr">
        <is>
          <t>active</t>
        </is>
      </c>
      <c r="U771" s="8" t="n"/>
      <c r="V771" s="1" t="inlineStr">
        <is>
          <t>SIN PRECIO</t>
        </is>
      </c>
    </row>
    <row r="772">
      <c r="A772" s="1" t="inlineStr">
        <is>
          <t>43047225950348</t>
        </is>
      </c>
      <c r="B772" s="1" t="inlineStr">
        <is>
          <t>ANILLO ONE T GOLD</t>
        </is>
      </c>
      <c r="C772" s="1" t="inlineStr">
        <is>
          <t>8</t>
        </is>
      </c>
      <c r="D772" s="1" t="inlineStr">
        <is>
          <t>HAIFENG</t>
        </is>
      </c>
      <c r="E772" s="4">
        <f>COUNTIF('DETALLE CRONOLÓGICO'!$A$2:$A$4919,$A772)</f>
        <v/>
      </c>
      <c r="F772" s="4">
        <f>SUMIFS('DETALLE CRONOLÓGICO'!$I$2:$I$4919,'DETALLE CRONOLÓGICO'!$A$2:$A$4919,$A772)</f>
        <v/>
      </c>
      <c r="G772" s="1">
        <f>INDEX('DETALLE CRONOLÓGICO'!$D$2:$D$4919,MATCH($A772,'DETALLE CRONOLÓGICO'!$A$2:$A$4919,0))</f>
        <v/>
      </c>
      <c r="H772" s="1">
        <f>INDEX('DETALLE CRONOLÓGICO'!$D$2:$D$4919,MATCH($A772,'DETALLE CRONOLÓGICO'!$A$2:$A$4919,0)+$E772-1)</f>
        <v/>
      </c>
      <c r="I772" s="5">
        <f>IFERROR(SUMIFS('DETALLE CRONOLÓGICO'!$L$2:$L$4919,'DETALLE CRONOLÓGICO'!$A$2:$A$4919,$A772)/$F772,"")</f>
        <v/>
      </c>
      <c r="J772" s="6">
        <f>IFERROR(SUMIFS('DETALLE CRONOLÓGICO'!$K$2:$K$4919,'DETALLE CRONOLÓGICO'!$A$2:$A$4919,$A772)/$E772,"")</f>
        <v/>
      </c>
      <c r="K772" s="6">
        <f>_xlfn.MINIFS('DETALLE CRONOLÓGICO'!$K$2:$K$4919,'DETALLE CRONOLÓGICO'!$A$2:$A$4919,$A772)</f>
        <v/>
      </c>
      <c r="L772" s="6">
        <f>_xlfn.MAXIFS('DETALLE CRONOLÓGICO'!$K$2:$K$4919,'DETALLE CRONOLÓGICO'!$A$2:$A$4919,$A772)</f>
        <v/>
      </c>
      <c r="M772" s="6">
        <f>INDEX('DETALLE CRONOLÓGICO'!$K$2:$K$4919,MATCH($A772,'DETALLE CRONOLÓGICO'!$A$2:$A$4919,0)+$E772-1)</f>
        <v/>
      </c>
      <c r="N772" s="7">
        <f>IFERROR($M772/INDEX('DETALLE CRONOLÓGICO'!$K$2:$K$4919,MATCH($A772,'DETALLE CRONOLÓGICO'!$A$2:$A$4919,0))-1,"")</f>
        <v/>
      </c>
      <c r="O772" s="6">
        <f>IFERROR($I772*3,"")</f>
        <v/>
      </c>
      <c r="P772" s="6">
        <f>IFERROR($I772*3.5,"")</f>
        <v/>
      </c>
      <c r="Q772" s="6">
        <f>IFERROR($I772*4,"")</f>
        <v/>
      </c>
      <c r="R772" s="6" t="n">
        <v>499</v>
      </c>
      <c r="S772" s="4" t="n">
        <v>3</v>
      </c>
      <c r="T772" s="1" t="inlineStr">
        <is>
          <t>active</t>
        </is>
      </c>
      <c r="U772" s="8" t="n"/>
      <c r="V772" s="1" t="inlineStr">
        <is>
          <t>SIN PRECIO</t>
        </is>
      </c>
    </row>
    <row r="773">
      <c r="A773" s="1" t="inlineStr">
        <is>
          <t>43047226540172</t>
        </is>
      </c>
      <c r="B773" s="1" t="inlineStr">
        <is>
          <t>ANILLO SIXTEEN STONE</t>
        </is>
      </c>
      <c r="C773" s="1" t="inlineStr">
        <is>
          <t>HIGH QUALITY 6</t>
        </is>
      </c>
      <c r="D773" s="1" t="inlineStr">
        <is>
          <t>HAIFENG</t>
        </is>
      </c>
      <c r="E773" s="4">
        <f>COUNTIF('DETALLE CRONOLÓGICO'!$A$2:$A$4919,$A773)</f>
        <v/>
      </c>
      <c r="F773" s="4">
        <f>SUMIFS('DETALLE CRONOLÓGICO'!$I$2:$I$4919,'DETALLE CRONOLÓGICO'!$A$2:$A$4919,$A773)</f>
        <v/>
      </c>
      <c r="G773" s="1">
        <f>INDEX('DETALLE CRONOLÓGICO'!$D$2:$D$4919,MATCH($A773,'DETALLE CRONOLÓGICO'!$A$2:$A$4919,0))</f>
        <v/>
      </c>
      <c r="H773" s="1">
        <f>INDEX('DETALLE CRONOLÓGICO'!$D$2:$D$4919,MATCH($A773,'DETALLE CRONOLÓGICO'!$A$2:$A$4919,0)+$E773-1)</f>
        <v/>
      </c>
      <c r="I773" s="5">
        <f>IFERROR(SUMIFS('DETALLE CRONOLÓGICO'!$L$2:$L$4919,'DETALLE CRONOLÓGICO'!$A$2:$A$4919,$A773)/$F773,"")</f>
        <v/>
      </c>
      <c r="J773" s="6">
        <f>IFERROR(SUMIFS('DETALLE CRONOLÓGICO'!$K$2:$K$4919,'DETALLE CRONOLÓGICO'!$A$2:$A$4919,$A773)/$E773,"")</f>
        <v/>
      </c>
      <c r="K773" s="6">
        <f>_xlfn.MINIFS('DETALLE CRONOLÓGICO'!$K$2:$K$4919,'DETALLE CRONOLÓGICO'!$A$2:$A$4919,$A773)</f>
        <v/>
      </c>
      <c r="L773" s="6">
        <f>_xlfn.MAXIFS('DETALLE CRONOLÓGICO'!$K$2:$K$4919,'DETALLE CRONOLÓGICO'!$A$2:$A$4919,$A773)</f>
        <v/>
      </c>
      <c r="M773" s="6">
        <f>INDEX('DETALLE CRONOLÓGICO'!$K$2:$K$4919,MATCH($A773,'DETALLE CRONOLÓGICO'!$A$2:$A$4919,0)+$E773-1)</f>
        <v/>
      </c>
      <c r="N773" s="7">
        <f>IFERROR($M773/INDEX('DETALLE CRONOLÓGICO'!$K$2:$K$4919,MATCH($A773,'DETALLE CRONOLÓGICO'!$A$2:$A$4919,0))-1,"")</f>
        <v/>
      </c>
      <c r="O773" s="6">
        <f>IFERROR($I773*3,"")</f>
        <v/>
      </c>
      <c r="P773" s="6">
        <f>IFERROR($I773*3.5,"")</f>
        <v/>
      </c>
      <c r="Q773" s="6">
        <f>IFERROR($I773*4,"")</f>
        <v/>
      </c>
      <c r="R773" s="6" t="n">
        <v>550</v>
      </c>
      <c r="S773" s="4" t="n">
        <v>1</v>
      </c>
      <c r="T773" s="1" t="inlineStr">
        <is>
          <t>active</t>
        </is>
      </c>
      <c r="U773" s="8" t="n"/>
      <c r="V773" s="1" t="inlineStr">
        <is>
          <t>SIN PRECIO</t>
        </is>
      </c>
    </row>
    <row r="774">
      <c r="A774" s="1" t="inlineStr">
        <is>
          <t>43047226572940</t>
        </is>
      </c>
      <c r="B774" s="1" t="inlineStr">
        <is>
          <t>ANILLO SIXTEEN STONE</t>
        </is>
      </c>
      <c r="C774" s="1" t="inlineStr">
        <is>
          <t>HIGH QUALITY 7</t>
        </is>
      </c>
      <c r="D774" s="1" t="inlineStr">
        <is>
          <t>HAIFENG</t>
        </is>
      </c>
      <c r="E774" s="4">
        <f>COUNTIF('DETALLE CRONOLÓGICO'!$A$2:$A$4919,$A774)</f>
        <v/>
      </c>
      <c r="F774" s="4">
        <f>SUMIFS('DETALLE CRONOLÓGICO'!$I$2:$I$4919,'DETALLE CRONOLÓGICO'!$A$2:$A$4919,$A774)</f>
        <v/>
      </c>
      <c r="G774" s="1">
        <f>INDEX('DETALLE CRONOLÓGICO'!$D$2:$D$4919,MATCH($A774,'DETALLE CRONOLÓGICO'!$A$2:$A$4919,0))</f>
        <v/>
      </c>
      <c r="H774" s="1">
        <f>INDEX('DETALLE CRONOLÓGICO'!$D$2:$D$4919,MATCH($A774,'DETALLE CRONOLÓGICO'!$A$2:$A$4919,0)+$E774-1)</f>
        <v/>
      </c>
      <c r="I774" s="5">
        <f>IFERROR(SUMIFS('DETALLE CRONOLÓGICO'!$L$2:$L$4919,'DETALLE CRONOLÓGICO'!$A$2:$A$4919,$A774)/$F774,"")</f>
        <v/>
      </c>
      <c r="J774" s="6">
        <f>IFERROR(SUMIFS('DETALLE CRONOLÓGICO'!$K$2:$K$4919,'DETALLE CRONOLÓGICO'!$A$2:$A$4919,$A774)/$E774,"")</f>
        <v/>
      </c>
      <c r="K774" s="6">
        <f>_xlfn.MINIFS('DETALLE CRONOLÓGICO'!$K$2:$K$4919,'DETALLE CRONOLÓGICO'!$A$2:$A$4919,$A774)</f>
        <v/>
      </c>
      <c r="L774" s="6">
        <f>_xlfn.MAXIFS('DETALLE CRONOLÓGICO'!$K$2:$K$4919,'DETALLE CRONOLÓGICO'!$A$2:$A$4919,$A774)</f>
        <v/>
      </c>
      <c r="M774" s="6">
        <f>INDEX('DETALLE CRONOLÓGICO'!$K$2:$K$4919,MATCH($A774,'DETALLE CRONOLÓGICO'!$A$2:$A$4919,0)+$E774-1)</f>
        <v/>
      </c>
      <c r="N774" s="7">
        <f>IFERROR($M774/INDEX('DETALLE CRONOLÓGICO'!$K$2:$K$4919,MATCH($A774,'DETALLE CRONOLÓGICO'!$A$2:$A$4919,0))-1,"")</f>
        <v/>
      </c>
      <c r="O774" s="6">
        <f>IFERROR($I774*3,"")</f>
        <v/>
      </c>
      <c r="P774" s="6">
        <f>IFERROR($I774*3.5,"")</f>
        <v/>
      </c>
      <c r="Q774" s="6">
        <f>IFERROR($I774*4,"")</f>
        <v/>
      </c>
      <c r="R774" s="6" t="n">
        <v>550</v>
      </c>
      <c r="S774" s="4" t="n">
        <v>4</v>
      </c>
      <c r="T774" s="1" t="inlineStr">
        <is>
          <t>active</t>
        </is>
      </c>
      <c r="U774" s="8" t="n"/>
      <c r="V774" s="1" t="inlineStr">
        <is>
          <t>SIN PRECIO</t>
        </is>
      </c>
    </row>
    <row r="775">
      <c r="A775" s="1" t="inlineStr">
        <is>
          <t>43047226605708</t>
        </is>
      </c>
      <c r="B775" s="1" t="inlineStr">
        <is>
          <t>ANILLO SIXTEEN STONE</t>
        </is>
      </c>
      <c r="C775" s="1" t="inlineStr">
        <is>
          <t>HIGH QUALITY 8</t>
        </is>
      </c>
      <c r="D775" s="1" t="inlineStr">
        <is>
          <t>HAIFENG</t>
        </is>
      </c>
      <c r="E775" s="4">
        <f>COUNTIF('DETALLE CRONOLÓGICO'!$A$2:$A$4919,$A775)</f>
        <v/>
      </c>
      <c r="F775" s="4">
        <f>SUMIFS('DETALLE CRONOLÓGICO'!$I$2:$I$4919,'DETALLE CRONOLÓGICO'!$A$2:$A$4919,$A775)</f>
        <v/>
      </c>
      <c r="G775" s="1">
        <f>INDEX('DETALLE CRONOLÓGICO'!$D$2:$D$4919,MATCH($A775,'DETALLE CRONOLÓGICO'!$A$2:$A$4919,0))</f>
        <v/>
      </c>
      <c r="H775" s="1">
        <f>INDEX('DETALLE CRONOLÓGICO'!$D$2:$D$4919,MATCH($A775,'DETALLE CRONOLÓGICO'!$A$2:$A$4919,0)+$E775-1)</f>
        <v/>
      </c>
      <c r="I775" s="5">
        <f>IFERROR(SUMIFS('DETALLE CRONOLÓGICO'!$L$2:$L$4919,'DETALLE CRONOLÓGICO'!$A$2:$A$4919,$A775)/$F775,"")</f>
        <v/>
      </c>
      <c r="J775" s="6">
        <f>IFERROR(SUMIFS('DETALLE CRONOLÓGICO'!$K$2:$K$4919,'DETALLE CRONOLÓGICO'!$A$2:$A$4919,$A775)/$E775,"")</f>
        <v/>
      </c>
      <c r="K775" s="6">
        <f>_xlfn.MINIFS('DETALLE CRONOLÓGICO'!$K$2:$K$4919,'DETALLE CRONOLÓGICO'!$A$2:$A$4919,$A775)</f>
        <v/>
      </c>
      <c r="L775" s="6">
        <f>_xlfn.MAXIFS('DETALLE CRONOLÓGICO'!$K$2:$K$4919,'DETALLE CRONOLÓGICO'!$A$2:$A$4919,$A775)</f>
        <v/>
      </c>
      <c r="M775" s="6">
        <f>INDEX('DETALLE CRONOLÓGICO'!$K$2:$K$4919,MATCH($A775,'DETALLE CRONOLÓGICO'!$A$2:$A$4919,0)+$E775-1)</f>
        <v/>
      </c>
      <c r="N775" s="7">
        <f>IFERROR($M775/INDEX('DETALLE CRONOLÓGICO'!$K$2:$K$4919,MATCH($A775,'DETALLE CRONOLÓGICO'!$A$2:$A$4919,0))-1,"")</f>
        <v/>
      </c>
      <c r="O775" s="6">
        <f>IFERROR($I775*3,"")</f>
        <v/>
      </c>
      <c r="P775" s="6">
        <f>IFERROR($I775*3.5,"")</f>
        <v/>
      </c>
      <c r="Q775" s="6">
        <f>IFERROR($I775*4,"")</f>
        <v/>
      </c>
      <c r="R775" s="6" t="n">
        <v>550</v>
      </c>
      <c r="S775" s="4" t="n">
        <v>2</v>
      </c>
      <c r="T775" s="1" t="inlineStr">
        <is>
          <t>active</t>
        </is>
      </c>
      <c r="U775" s="8" t="n"/>
      <c r="V775" s="1" t="inlineStr">
        <is>
          <t>SIN PRECIO</t>
        </is>
      </c>
    </row>
    <row r="776">
      <c r="A776" s="1" t="inlineStr">
        <is>
          <t>43047226638476</t>
        </is>
      </c>
      <c r="B776" s="1" t="inlineStr">
        <is>
          <t>ANILLO SIXTEEN STONE</t>
        </is>
      </c>
      <c r="C776" s="1" t="inlineStr">
        <is>
          <t>HIGH QUALITY 9</t>
        </is>
      </c>
      <c r="D776" s="1" t="inlineStr">
        <is>
          <t>HAIFENG</t>
        </is>
      </c>
      <c r="E776" s="4">
        <f>COUNTIF('DETALLE CRONOLÓGICO'!$A$2:$A$4919,$A776)</f>
        <v/>
      </c>
      <c r="F776" s="4">
        <f>SUMIFS('DETALLE CRONOLÓGICO'!$I$2:$I$4919,'DETALLE CRONOLÓGICO'!$A$2:$A$4919,$A776)</f>
        <v/>
      </c>
      <c r="G776" s="1">
        <f>INDEX('DETALLE CRONOLÓGICO'!$D$2:$D$4919,MATCH($A776,'DETALLE CRONOLÓGICO'!$A$2:$A$4919,0))</f>
        <v/>
      </c>
      <c r="H776" s="1">
        <f>INDEX('DETALLE CRONOLÓGICO'!$D$2:$D$4919,MATCH($A776,'DETALLE CRONOLÓGICO'!$A$2:$A$4919,0)+$E776-1)</f>
        <v/>
      </c>
      <c r="I776" s="5">
        <f>IFERROR(SUMIFS('DETALLE CRONOLÓGICO'!$L$2:$L$4919,'DETALLE CRONOLÓGICO'!$A$2:$A$4919,$A776)/$F776,"")</f>
        <v/>
      </c>
      <c r="J776" s="6">
        <f>IFERROR(SUMIFS('DETALLE CRONOLÓGICO'!$K$2:$K$4919,'DETALLE CRONOLÓGICO'!$A$2:$A$4919,$A776)/$E776,"")</f>
        <v/>
      </c>
      <c r="K776" s="6">
        <f>_xlfn.MINIFS('DETALLE CRONOLÓGICO'!$K$2:$K$4919,'DETALLE CRONOLÓGICO'!$A$2:$A$4919,$A776)</f>
        <v/>
      </c>
      <c r="L776" s="6">
        <f>_xlfn.MAXIFS('DETALLE CRONOLÓGICO'!$K$2:$K$4919,'DETALLE CRONOLÓGICO'!$A$2:$A$4919,$A776)</f>
        <v/>
      </c>
      <c r="M776" s="6">
        <f>INDEX('DETALLE CRONOLÓGICO'!$K$2:$K$4919,MATCH($A776,'DETALLE CRONOLÓGICO'!$A$2:$A$4919,0)+$E776-1)</f>
        <v/>
      </c>
      <c r="N776" s="7">
        <f>IFERROR($M776/INDEX('DETALLE CRONOLÓGICO'!$K$2:$K$4919,MATCH($A776,'DETALLE CRONOLÓGICO'!$A$2:$A$4919,0))-1,"")</f>
        <v/>
      </c>
      <c r="O776" s="6">
        <f>IFERROR($I776*3,"")</f>
        <v/>
      </c>
      <c r="P776" s="6">
        <f>IFERROR($I776*3.5,"")</f>
        <v/>
      </c>
      <c r="Q776" s="6">
        <f>IFERROR($I776*4,"")</f>
        <v/>
      </c>
      <c r="R776" s="6" t="n">
        <v>550</v>
      </c>
      <c r="S776" s="4" t="n">
        <v>1</v>
      </c>
      <c r="T776" s="1" t="inlineStr">
        <is>
          <t>active</t>
        </is>
      </c>
      <c r="U776" s="8" t="n"/>
      <c r="V776" s="1" t="inlineStr">
        <is>
          <t>SIN PRECIO</t>
        </is>
      </c>
    </row>
    <row r="777">
      <c r="A777" s="1" t="inlineStr">
        <is>
          <t>43047227359372</t>
        </is>
      </c>
      <c r="B777" s="1" t="inlineStr">
        <is>
          <t>ANILLO ONE T ROSE GOLD CON ZIRCONIA</t>
        </is>
      </c>
      <c r="C777" s="1" t="inlineStr">
        <is>
          <t>6 HIGH QUALITY</t>
        </is>
      </c>
      <c r="D777" s="1" t="inlineStr">
        <is>
          <t>HAIFENG</t>
        </is>
      </c>
      <c r="E777" s="4">
        <f>COUNTIF('DETALLE CRONOLÓGICO'!$A$2:$A$4919,$A777)</f>
        <v/>
      </c>
      <c r="F777" s="4">
        <f>SUMIFS('DETALLE CRONOLÓGICO'!$I$2:$I$4919,'DETALLE CRONOLÓGICO'!$A$2:$A$4919,$A777)</f>
        <v/>
      </c>
      <c r="G777" s="1">
        <f>INDEX('DETALLE CRONOLÓGICO'!$D$2:$D$4919,MATCH($A777,'DETALLE CRONOLÓGICO'!$A$2:$A$4919,0))</f>
        <v/>
      </c>
      <c r="H777" s="1">
        <f>INDEX('DETALLE CRONOLÓGICO'!$D$2:$D$4919,MATCH($A777,'DETALLE CRONOLÓGICO'!$A$2:$A$4919,0)+$E777-1)</f>
        <v/>
      </c>
      <c r="I777" s="5">
        <f>IFERROR(SUMIFS('DETALLE CRONOLÓGICO'!$L$2:$L$4919,'DETALLE CRONOLÓGICO'!$A$2:$A$4919,$A777)/$F777,"")</f>
        <v/>
      </c>
      <c r="J777" s="6">
        <f>IFERROR(SUMIFS('DETALLE CRONOLÓGICO'!$K$2:$K$4919,'DETALLE CRONOLÓGICO'!$A$2:$A$4919,$A777)/$E777,"")</f>
        <v/>
      </c>
      <c r="K777" s="6">
        <f>_xlfn.MINIFS('DETALLE CRONOLÓGICO'!$K$2:$K$4919,'DETALLE CRONOLÓGICO'!$A$2:$A$4919,$A777)</f>
        <v/>
      </c>
      <c r="L777" s="6">
        <f>_xlfn.MAXIFS('DETALLE CRONOLÓGICO'!$K$2:$K$4919,'DETALLE CRONOLÓGICO'!$A$2:$A$4919,$A777)</f>
        <v/>
      </c>
      <c r="M777" s="6">
        <f>INDEX('DETALLE CRONOLÓGICO'!$K$2:$K$4919,MATCH($A777,'DETALLE CRONOLÓGICO'!$A$2:$A$4919,0)+$E777-1)</f>
        <v/>
      </c>
      <c r="N777" s="7">
        <f>IFERROR($M777/INDEX('DETALLE CRONOLÓGICO'!$K$2:$K$4919,MATCH($A777,'DETALLE CRONOLÓGICO'!$A$2:$A$4919,0))-1,"")</f>
        <v/>
      </c>
      <c r="O777" s="6">
        <f>IFERROR($I777*3,"")</f>
        <v/>
      </c>
      <c r="P777" s="6">
        <f>IFERROR($I777*3.5,"")</f>
        <v/>
      </c>
      <c r="Q777" s="6">
        <f>IFERROR($I777*4,"")</f>
        <v/>
      </c>
      <c r="R777" s="6" t="n">
        <v>599</v>
      </c>
      <c r="S777" s="4" t="n">
        <v>2</v>
      </c>
      <c r="T777" s="1" t="inlineStr">
        <is>
          <t>active</t>
        </is>
      </c>
      <c r="U777" s="8" t="n"/>
      <c r="V777" s="1" t="inlineStr">
        <is>
          <t>SIN PRECIO</t>
        </is>
      </c>
    </row>
    <row r="778">
      <c r="A778" s="1" t="inlineStr">
        <is>
          <t>43047227392140</t>
        </is>
      </c>
      <c r="B778" s="1" t="inlineStr">
        <is>
          <t>ANILLO ONE T ROSE GOLD CON ZIRCONIA</t>
        </is>
      </c>
      <c r="C778" s="1" t="inlineStr">
        <is>
          <t>7 HIGH QUALITY</t>
        </is>
      </c>
      <c r="D778" s="1" t="inlineStr">
        <is>
          <t>HAIFENG</t>
        </is>
      </c>
      <c r="E778" s="4">
        <f>COUNTIF('DETALLE CRONOLÓGICO'!$A$2:$A$4919,$A778)</f>
        <v/>
      </c>
      <c r="F778" s="4">
        <f>SUMIFS('DETALLE CRONOLÓGICO'!$I$2:$I$4919,'DETALLE CRONOLÓGICO'!$A$2:$A$4919,$A778)</f>
        <v/>
      </c>
      <c r="G778" s="1">
        <f>INDEX('DETALLE CRONOLÓGICO'!$D$2:$D$4919,MATCH($A778,'DETALLE CRONOLÓGICO'!$A$2:$A$4919,0))</f>
        <v/>
      </c>
      <c r="H778" s="1">
        <f>INDEX('DETALLE CRONOLÓGICO'!$D$2:$D$4919,MATCH($A778,'DETALLE CRONOLÓGICO'!$A$2:$A$4919,0)+$E778-1)</f>
        <v/>
      </c>
      <c r="I778" s="5">
        <f>IFERROR(SUMIFS('DETALLE CRONOLÓGICO'!$L$2:$L$4919,'DETALLE CRONOLÓGICO'!$A$2:$A$4919,$A778)/$F778,"")</f>
        <v/>
      </c>
      <c r="J778" s="6">
        <f>IFERROR(SUMIFS('DETALLE CRONOLÓGICO'!$K$2:$K$4919,'DETALLE CRONOLÓGICO'!$A$2:$A$4919,$A778)/$E778,"")</f>
        <v/>
      </c>
      <c r="K778" s="6">
        <f>_xlfn.MINIFS('DETALLE CRONOLÓGICO'!$K$2:$K$4919,'DETALLE CRONOLÓGICO'!$A$2:$A$4919,$A778)</f>
        <v/>
      </c>
      <c r="L778" s="6">
        <f>_xlfn.MAXIFS('DETALLE CRONOLÓGICO'!$K$2:$K$4919,'DETALLE CRONOLÓGICO'!$A$2:$A$4919,$A778)</f>
        <v/>
      </c>
      <c r="M778" s="6">
        <f>INDEX('DETALLE CRONOLÓGICO'!$K$2:$K$4919,MATCH($A778,'DETALLE CRONOLÓGICO'!$A$2:$A$4919,0)+$E778-1)</f>
        <v/>
      </c>
      <c r="N778" s="7">
        <f>IFERROR($M778/INDEX('DETALLE CRONOLÓGICO'!$K$2:$K$4919,MATCH($A778,'DETALLE CRONOLÓGICO'!$A$2:$A$4919,0))-1,"")</f>
        <v/>
      </c>
      <c r="O778" s="6">
        <f>IFERROR($I778*3,"")</f>
        <v/>
      </c>
      <c r="P778" s="6">
        <f>IFERROR($I778*3.5,"")</f>
        <v/>
      </c>
      <c r="Q778" s="6">
        <f>IFERROR($I778*4,"")</f>
        <v/>
      </c>
      <c r="R778" s="6" t="n">
        <v>599</v>
      </c>
      <c r="S778" s="4" t="n">
        <v>1</v>
      </c>
      <c r="T778" s="1" t="inlineStr">
        <is>
          <t>active</t>
        </is>
      </c>
      <c r="U778" s="8" t="n"/>
      <c r="V778" s="1" t="inlineStr">
        <is>
          <t>SIN PRECIO</t>
        </is>
      </c>
    </row>
    <row r="779">
      <c r="A779" s="1" t="inlineStr">
        <is>
          <t>43047227424908</t>
        </is>
      </c>
      <c r="B779" s="1" t="inlineStr">
        <is>
          <t>ANILLO ONE T ROSE GOLD CON ZIRCONIA</t>
        </is>
      </c>
      <c r="C779" s="1" t="inlineStr">
        <is>
          <t>8</t>
        </is>
      </c>
      <c r="D779" s="1" t="inlineStr">
        <is>
          <t>HAIFENG</t>
        </is>
      </c>
      <c r="E779" s="4">
        <f>COUNTIF('DETALLE CRONOLÓGICO'!$A$2:$A$4919,$A779)</f>
        <v/>
      </c>
      <c r="F779" s="4">
        <f>SUMIFS('DETALLE CRONOLÓGICO'!$I$2:$I$4919,'DETALLE CRONOLÓGICO'!$A$2:$A$4919,$A779)</f>
        <v/>
      </c>
      <c r="G779" s="1">
        <f>INDEX('DETALLE CRONOLÓGICO'!$D$2:$D$4919,MATCH($A779,'DETALLE CRONOLÓGICO'!$A$2:$A$4919,0))</f>
        <v/>
      </c>
      <c r="H779" s="1">
        <f>INDEX('DETALLE CRONOLÓGICO'!$D$2:$D$4919,MATCH($A779,'DETALLE CRONOLÓGICO'!$A$2:$A$4919,0)+$E779-1)</f>
        <v/>
      </c>
      <c r="I779" s="5">
        <f>IFERROR(SUMIFS('DETALLE CRONOLÓGICO'!$L$2:$L$4919,'DETALLE CRONOLÓGICO'!$A$2:$A$4919,$A779)/$F779,"")</f>
        <v/>
      </c>
      <c r="J779" s="6">
        <f>IFERROR(SUMIFS('DETALLE CRONOLÓGICO'!$K$2:$K$4919,'DETALLE CRONOLÓGICO'!$A$2:$A$4919,$A779)/$E779,"")</f>
        <v/>
      </c>
      <c r="K779" s="6">
        <f>_xlfn.MINIFS('DETALLE CRONOLÓGICO'!$K$2:$K$4919,'DETALLE CRONOLÓGICO'!$A$2:$A$4919,$A779)</f>
        <v/>
      </c>
      <c r="L779" s="6">
        <f>_xlfn.MAXIFS('DETALLE CRONOLÓGICO'!$K$2:$K$4919,'DETALLE CRONOLÓGICO'!$A$2:$A$4919,$A779)</f>
        <v/>
      </c>
      <c r="M779" s="6">
        <f>INDEX('DETALLE CRONOLÓGICO'!$K$2:$K$4919,MATCH($A779,'DETALLE CRONOLÓGICO'!$A$2:$A$4919,0)+$E779-1)</f>
        <v/>
      </c>
      <c r="N779" s="7">
        <f>IFERROR($M779/INDEX('DETALLE CRONOLÓGICO'!$K$2:$K$4919,MATCH($A779,'DETALLE CRONOLÓGICO'!$A$2:$A$4919,0))-1,"")</f>
        <v/>
      </c>
      <c r="O779" s="6">
        <f>IFERROR($I779*3,"")</f>
        <v/>
      </c>
      <c r="P779" s="6">
        <f>IFERROR($I779*3.5,"")</f>
        <v/>
      </c>
      <c r="Q779" s="6">
        <f>IFERROR($I779*4,"")</f>
        <v/>
      </c>
      <c r="R779" s="6" t="n">
        <v>450</v>
      </c>
      <c r="S779" s="4" t="n">
        <v>2</v>
      </c>
      <c r="T779" s="1" t="inlineStr">
        <is>
          <t>active</t>
        </is>
      </c>
      <c r="U779" s="8" t="n"/>
      <c r="V779" s="1" t="inlineStr">
        <is>
          <t>SIN PRECIO</t>
        </is>
      </c>
    </row>
    <row r="780">
      <c r="A780" s="1" t="inlineStr">
        <is>
          <t>43047228014732</t>
        </is>
      </c>
      <c r="B780" s="1" t="inlineStr">
        <is>
          <t>ANILLO ONE T SILVER CON ZIRCONIA</t>
        </is>
      </c>
      <c r="C780" s="1" t="inlineStr">
        <is>
          <t>6</t>
        </is>
      </c>
      <c r="D780" s="1" t="inlineStr">
        <is>
          <t>CYNTHIA</t>
        </is>
      </c>
      <c r="E780" s="4">
        <f>COUNTIF('DETALLE CRONOLÓGICO'!$A$2:$A$4919,$A780)</f>
        <v/>
      </c>
      <c r="F780" s="4">
        <f>SUMIFS('DETALLE CRONOLÓGICO'!$I$2:$I$4919,'DETALLE CRONOLÓGICO'!$A$2:$A$4919,$A780)</f>
        <v/>
      </c>
      <c r="G780" s="1">
        <f>INDEX('DETALLE CRONOLÓGICO'!$D$2:$D$4919,MATCH($A780,'DETALLE CRONOLÓGICO'!$A$2:$A$4919,0))</f>
        <v/>
      </c>
      <c r="H780" s="1">
        <f>INDEX('DETALLE CRONOLÓGICO'!$D$2:$D$4919,MATCH($A780,'DETALLE CRONOLÓGICO'!$A$2:$A$4919,0)+$E780-1)</f>
        <v/>
      </c>
      <c r="I780" s="5">
        <f>IFERROR(SUMIFS('DETALLE CRONOLÓGICO'!$L$2:$L$4919,'DETALLE CRONOLÓGICO'!$A$2:$A$4919,$A780)/$F780,"")</f>
        <v/>
      </c>
      <c r="J780" s="6">
        <f>IFERROR(SUMIFS('DETALLE CRONOLÓGICO'!$K$2:$K$4919,'DETALLE CRONOLÓGICO'!$A$2:$A$4919,$A780)/$E780,"")</f>
        <v/>
      </c>
      <c r="K780" s="6">
        <f>_xlfn.MINIFS('DETALLE CRONOLÓGICO'!$K$2:$K$4919,'DETALLE CRONOLÓGICO'!$A$2:$A$4919,$A780)</f>
        <v/>
      </c>
      <c r="L780" s="6">
        <f>_xlfn.MAXIFS('DETALLE CRONOLÓGICO'!$K$2:$K$4919,'DETALLE CRONOLÓGICO'!$A$2:$A$4919,$A780)</f>
        <v/>
      </c>
      <c r="M780" s="6">
        <f>INDEX('DETALLE CRONOLÓGICO'!$K$2:$K$4919,MATCH($A780,'DETALLE CRONOLÓGICO'!$A$2:$A$4919,0)+$E780-1)</f>
        <v/>
      </c>
      <c r="N780" s="7">
        <f>IFERROR($M780/INDEX('DETALLE CRONOLÓGICO'!$K$2:$K$4919,MATCH($A780,'DETALLE CRONOLÓGICO'!$A$2:$A$4919,0))-1,"")</f>
        <v/>
      </c>
      <c r="O780" s="6">
        <f>IFERROR($I780*3,"")</f>
        <v/>
      </c>
      <c r="P780" s="6">
        <f>IFERROR($I780*3.5,"")</f>
        <v/>
      </c>
      <c r="Q780" s="6">
        <f>IFERROR($I780*4,"")</f>
        <v/>
      </c>
      <c r="R780" s="6" t="n">
        <v>1039.33</v>
      </c>
      <c r="S780" s="4" t="n">
        <v>3</v>
      </c>
      <c r="T780" s="1" t="inlineStr">
        <is>
          <t>active</t>
        </is>
      </c>
      <c r="U780" s="8" t="n"/>
      <c r="V780" s="1" t="inlineStr">
        <is>
          <t>SIN PRECIO</t>
        </is>
      </c>
    </row>
    <row r="781">
      <c r="A781" s="1" t="inlineStr">
        <is>
          <t>43047228047500</t>
        </is>
      </c>
      <c r="B781" s="1" t="inlineStr">
        <is>
          <t>ANILLO ONE T SILVER CON ZIRCONIA</t>
        </is>
      </c>
      <c r="C781" s="1" t="n">
        <v>7</v>
      </c>
      <c r="D781" s="1" t="inlineStr">
        <is>
          <t>CYNTHIA</t>
        </is>
      </c>
      <c r="E781" s="4">
        <f>COUNTIF('DETALLE CRONOLÓGICO'!$A$2:$A$4919,$A781)</f>
        <v/>
      </c>
      <c r="F781" s="4">
        <f>SUMIFS('DETALLE CRONOLÓGICO'!$I$2:$I$4919,'DETALLE CRONOLÓGICO'!$A$2:$A$4919,$A781)</f>
        <v/>
      </c>
      <c r="G781" s="1">
        <f>INDEX('DETALLE CRONOLÓGICO'!$D$2:$D$4919,MATCH($A781,'DETALLE CRONOLÓGICO'!$A$2:$A$4919,0))</f>
        <v/>
      </c>
      <c r="H781" s="1">
        <f>INDEX('DETALLE CRONOLÓGICO'!$D$2:$D$4919,MATCH($A781,'DETALLE CRONOLÓGICO'!$A$2:$A$4919,0)+$E781-1)</f>
        <v/>
      </c>
      <c r="I781" s="5">
        <f>IFERROR(SUMIFS('DETALLE CRONOLÓGICO'!$L$2:$L$4919,'DETALLE CRONOLÓGICO'!$A$2:$A$4919,$A781)/$F781,"")</f>
        <v/>
      </c>
      <c r="J781" s="6">
        <f>IFERROR(SUMIFS('DETALLE CRONOLÓGICO'!$K$2:$K$4919,'DETALLE CRONOLÓGICO'!$A$2:$A$4919,$A781)/$E781,"")</f>
        <v/>
      </c>
      <c r="K781" s="6">
        <f>_xlfn.MINIFS('DETALLE CRONOLÓGICO'!$K$2:$K$4919,'DETALLE CRONOLÓGICO'!$A$2:$A$4919,$A781)</f>
        <v/>
      </c>
      <c r="L781" s="6">
        <f>_xlfn.MAXIFS('DETALLE CRONOLÓGICO'!$K$2:$K$4919,'DETALLE CRONOLÓGICO'!$A$2:$A$4919,$A781)</f>
        <v/>
      </c>
      <c r="M781" s="6">
        <f>INDEX('DETALLE CRONOLÓGICO'!$K$2:$K$4919,MATCH($A781,'DETALLE CRONOLÓGICO'!$A$2:$A$4919,0)+$E781-1)</f>
        <v/>
      </c>
      <c r="N781" s="7">
        <f>IFERROR($M781/INDEX('DETALLE CRONOLÓGICO'!$K$2:$K$4919,MATCH($A781,'DETALLE CRONOLÓGICO'!$A$2:$A$4919,0))-1,"")</f>
        <v/>
      </c>
      <c r="O781" s="6">
        <f>IFERROR($I781*3,"")</f>
        <v/>
      </c>
      <c r="P781" s="6">
        <f>IFERROR($I781*3.5,"")</f>
        <v/>
      </c>
      <c r="Q781" s="6">
        <f>IFERROR($I781*4,"")</f>
        <v/>
      </c>
      <c r="R781" s="6" t="n">
        <v>1039.33</v>
      </c>
      <c r="S781" s="4" t="n">
        <v>5</v>
      </c>
      <c r="T781" s="1" t="inlineStr">
        <is>
          <t>active</t>
        </is>
      </c>
      <c r="U781" s="8" t="n"/>
      <c r="V781" s="1" t="inlineStr">
        <is>
          <t>SIN PRECIO</t>
        </is>
      </c>
    </row>
    <row r="782">
      <c r="A782" s="1" t="inlineStr">
        <is>
          <t>43047228080268</t>
        </is>
      </c>
      <c r="B782" s="1" t="n"/>
      <c r="C782" s="1" t="n">
        <v>8</v>
      </c>
      <c r="D782" s="1" t="inlineStr">
        <is>
          <t>CYNTHIA</t>
        </is>
      </c>
      <c r="E782" s="4">
        <f>COUNTIF('DETALLE CRONOLÓGICO'!$A$2:$A$4919,$A782)</f>
        <v/>
      </c>
      <c r="F782" s="4">
        <f>SUMIFS('DETALLE CRONOLÓGICO'!$I$2:$I$4919,'DETALLE CRONOLÓGICO'!$A$2:$A$4919,$A782)</f>
        <v/>
      </c>
      <c r="G782" s="1">
        <f>INDEX('DETALLE CRONOLÓGICO'!$D$2:$D$4919,MATCH($A782,'DETALLE CRONOLÓGICO'!$A$2:$A$4919,0))</f>
        <v/>
      </c>
      <c r="H782" s="1">
        <f>INDEX('DETALLE CRONOLÓGICO'!$D$2:$D$4919,MATCH($A782,'DETALLE CRONOLÓGICO'!$A$2:$A$4919,0)+$E782-1)</f>
        <v/>
      </c>
      <c r="I782" s="5">
        <f>IFERROR(SUMIFS('DETALLE CRONOLÓGICO'!$L$2:$L$4919,'DETALLE CRONOLÓGICO'!$A$2:$A$4919,$A782)/$F782,"")</f>
        <v/>
      </c>
      <c r="J782" s="6">
        <f>IFERROR(SUMIFS('DETALLE CRONOLÓGICO'!$K$2:$K$4919,'DETALLE CRONOLÓGICO'!$A$2:$A$4919,$A782)/$E782,"")</f>
        <v/>
      </c>
      <c r="K782" s="6">
        <f>_xlfn.MINIFS('DETALLE CRONOLÓGICO'!$K$2:$K$4919,'DETALLE CRONOLÓGICO'!$A$2:$A$4919,$A782)</f>
        <v/>
      </c>
      <c r="L782" s="6">
        <f>_xlfn.MAXIFS('DETALLE CRONOLÓGICO'!$K$2:$K$4919,'DETALLE CRONOLÓGICO'!$A$2:$A$4919,$A782)</f>
        <v/>
      </c>
      <c r="M782" s="6">
        <f>INDEX('DETALLE CRONOLÓGICO'!$K$2:$K$4919,MATCH($A782,'DETALLE CRONOLÓGICO'!$A$2:$A$4919,0)+$E782-1)</f>
        <v/>
      </c>
      <c r="N782" s="7">
        <f>IFERROR($M782/INDEX('DETALLE CRONOLÓGICO'!$K$2:$K$4919,MATCH($A782,'DETALLE CRONOLÓGICO'!$A$2:$A$4919,0))-1,"")</f>
        <v/>
      </c>
      <c r="O782" s="6">
        <f>IFERROR($I782*3,"")</f>
        <v/>
      </c>
      <c r="P782" s="6">
        <f>IFERROR($I782*3.5,"")</f>
        <v/>
      </c>
      <c r="Q782" s="6">
        <f>IFERROR($I782*4,"")</f>
        <v/>
      </c>
      <c r="R782" s="6" t="n">
        <v>1039.33</v>
      </c>
      <c r="S782" s="4" t="n">
        <v>2</v>
      </c>
      <c r="T782" s="1" t="inlineStr">
        <is>
          <t>active</t>
        </is>
      </c>
      <c r="U782" s="8" t="n"/>
      <c r="V782" s="1" t="inlineStr">
        <is>
          <t>SIN PRECIO</t>
        </is>
      </c>
    </row>
    <row r="783">
      <c r="A783" s="1" t="inlineStr">
        <is>
          <t>43047247904908</t>
        </is>
      </c>
      <c r="B783" s="1" t="inlineStr">
        <is>
          <t>COLLAR ESLABON DOBLE CADENA SILVER</t>
        </is>
      </c>
      <c r="C783" s="1" t="inlineStr">
        <is>
          <t>40cm</t>
        </is>
      </c>
      <c r="D783" s="1" t="inlineStr">
        <is>
          <t>CYNTHIA</t>
        </is>
      </c>
      <c r="E783" s="4">
        <f>COUNTIF('DETALLE CRONOLÓGICO'!$A$2:$A$4919,$A783)</f>
        <v/>
      </c>
      <c r="F783" s="4">
        <f>SUMIFS('DETALLE CRONOLÓGICO'!$I$2:$I$4919,'DETALLE CRONOLÓGICO'!$A$2:$A$4919,$A783)</f>
        <v/>
      </c>
      <c r="G783" s="1">
        <f>INDEX('DETALLE CRONOLÓGICO'!$D$2:$D$4919,MATCH($A783,'DETALLE CRONOLÓGICO'!$A$2:$A$4919,0))</f>
        <v/>
      </c>
      <c r="H783" s="1">
        <f>INDEX('DETALLE CRONOLÓGICO'!$D$2:$D$4919,MATCH($A783,'DETALLE CRONOLÓGICO'!$A$2:$A$4919,0)+$E783-1)</f>
        <v/>
      </c>
      <c r="I783" s="5">
        <f>IFERROR(SUMIFS('DETALLE CRONOLÓGICO'!$L$2:$L$4919,'DETALLE CRONOLÓGICO'!$A$2:$A$4919,$A783)/$F783,"")</f>
        <v/>
      </c>
      <c r="J783" s="6">
        <f>IFERROR(SUMIFS('DETALLE CRONOLÓGICO'!$K$2:$K$4919,'DETALLE CRONOLÓGICO'!$A$2:$A$4919,$A783)/$E783,"")</f>
        <v/>
      </c>
      <c r="K783" s="6">
        <f>_xlfn.MINIFS('DETALLE CRONOLÓGICO'!$K$2:$K$4919,'DETALLE CRONOLÓGICO'!$A$2:$A$4919,$A783)</f>
        <v/>
      </c>
      <c r="L783" s="6">
        <f>_xlfn.MAXIFS('DETALLE CRONOLÓGICO'!$K$2:$K$4919,'DETALLE CRONOLÓGICO'!$A$2:$A$4919,$A783)</f>
        <v/>
      </c>
      <c r="M783" s="6">
        <f>INDEX('DETALLE CRONOLÓGICO'!$K$2:$K$4919,MATCH($A783,'DETALLE CRONOLÓGICO'!$A$2:$A$4919,0)+$E783-1)</f>
        <v/>
      </c>
      <c r="N783" s="7">
        <f>IFERROR($M783/INDEX('DETALLE CRONOLÓGICO'!$K$2:$K$4919,MATCH($A783,'DETALLE CRONOLÓGICO'!$A$2:$A$4919,0))-1,"")</f>
        <v/>
      </c>
      <c r="O783" s="6">
        <f>IFERROR($I783*3,"")</f>
        <v/>
      </c>
      <c r="P783" s="6">
        <f>IFERROR($I783*3.5,"")</f>
        <v/>
      </c>
      <c r="Q783" s="6">
        <f>IFERROR($I783*4,"")</f>
        <v/>
      </c>
      <c r="R783" s="6" t="n">
        <v>1025</v>
      </c>
      <c r="S783" s="4" t="n">
        <v>0</v>
      </c>
      <c r="T783" s="1" t="inlineStr">
        <is>
          <t>active</t>
        </is>
      </c>
      <c r="U783" s="8" t="n"/>
      <c r="V783" s="1" t="inlineStr">
        <is>
          <t>SIN PRECIO</t>
        </is>
      </c>
    </row>
    <row r="784">
      <c r="A784" s="1" t="inlineStr">
        <is>
          <t>43047248920716</t>
        </is>
      </c>
      <c r="B784" s="1" t="inlineStr">
        <is>
          <t>PULSERA KNOT ROSE GOLD</t>
        </is>
      </c>
      <c r="C784" s="1" t="inlineStr">
        <is>
          <t>16cm</t>
        </is>
      </c>
      <c r="D784" s="1" t="inlineStr">
        <is>
          <t>CYNTHIA</t>
        </is>
      </c>
      <c r="E784" s="4">
        <f>COUNTIF('DETALLE CRONOLÓGICO'!$A$2:$A$4919,$A784)</f>
        <v/>
      </c>
      <c r="F784" s="4">
        <f>SUMIFS('DETALLE CRONOLÓGICO'!$I$2:$I$4919,'DETALLE CRONOLÓGICO'!$A$2:$A$4919,$A784)</f>
        <v/>
      </c>
      <c r="G784" s="1">
        <f>INDEX('DETALLE CRONOLÓGICO'!$D$2:$D$4919,MATCH($A784,'DETALLE CRONOLÓGICO'!$A$2:$A$4919,0))</f>
        <v/>
      </c>
      <c r="H784" s="1">
        <f>INDEX('DETALLE CRONOLÓGICO'!$D$2:$D$4919,MATCH($A784,'DETALLE CRONOLÓGICO'!$A$2:$A$4919,0)+$E784-1)</f>
        <v/>
      </c>
      <c r="I784" s="5">
        <f>IFERROR(SUMIFS('DETALLE CRONOLÓGICO'!$L$2:$L$4919,'DETALLE CRONOLÓGICO'!$A$2:$A$4919,$A784)/$F784,"")</f>
        <v/>
      </c>
      <c r="J784" s="6">
        <f>IFERROR(SUMIFS('DETALLE CRONOLÓGICO'!$K$2:$K$4919,'DETALLE CRONOLÓGICO'!$A$2:$A$4919,$A784)/$E784,"")</f>
        <v/>
      </c>
      <c r="K784" s="6">
        <f>_xlfn.MINIFS('DETALLE CRONOLÓGICO'!$K$2:$K$4919,'DETALLE CRONOLÓGICO'!$A$2:$A$4919,$A784)</f>
        <v/>
      </c>
      <c r="L784" s="6">
        <f>_xlfn.MAXIFS('DETALLE CRONOLÓGICO'!$K$2:$K$4919,'DETALLE CRONOLÓGICO'!$A$2:$A$4919,$A784)</f>
        <v/>
      </c>
      <c r="M784" s="6">
        <f>INDEX('DETALLE CRONOLÓGICO'!$K$2:$K$4919,MATCH($A784,'DETALLE CRONOLÓGICO'!$A$2:$A$4919,0)+$E784-1)</f>
        <v/>
      </c>
      <c r="N784" s="7">
        <f>IFERROR($M784/INDEX('DETALLE CRONOLÓGICO'!$K$2:$K$4919,MATCH($A784,'DETALLE CRONOLÓGICO'!$A$2:$A$4919,0))-1,"")</f>
        <v/>
      </c>
      <c r="O784" s="6">
        <f>IFERROR($I784*3,"")</f>
        <v/>
      </c>
      <c r="P784" s="6">
        <f>IFERROR($I784*3.5,"")</f>
        <v/>
      </c>
      <c r="Q784" s="6">
        <f>IFERROR($I784*4,"")</f>
        <v/>
      </c>
      <c r="R784" s="6" t="n">
        <v>1720</v>
      </c>
      <c r="S784" s="4" t="n">
        <v>2</v>
      </c>
      <c r="T784" s="1" t="inlineStr">
        <is>
          <t>active</t>
        </is>
      </c>
      <c r="U784" s="8" t="n"/>
      <c r="V784" s="1" t="inlineStr">
        <is>
          <t>SIN PRECIO</t>
        </is>
      </c>
    </row>
    <row r="785">
      <c r="A785" s="1" t="inlineStr">
        <is>
          <t>43071645614220</t>
        </is>
      </c>
      <c r="B785" s="1" t="inlineStr">
        <is>
          <t>ARETES LV CON ZIRCONIA</t>
        </is>
      </c>
      <c r="C785" s="1" t="inlineStr">
        <is>
          <t>Default Title</t>
        </is>
      </c>
      <c r="D785" s="1" t="inlineStr">
        <is>
          <t>CYNTHIA</t>
        </is>
      </c>
      <c r="E785" s="4">
        <f>COUNTIF('DETALLE CRONOLÓGICO'!$A$2:$A$4919,$A785)</f>
        <v/>
      </c>
      <c r="F785" s="4">
        <f>SUMIFS('DETALLE CRONOLÓGICO'!$I$2:$I$4919,'DETALLE CRONOLÓGICO'!$A$2:$A$4919,$A785)</f>
        <v/>
      </c>
      <c r="G785" s="1">
        <f>INDEX('DETALLE CRONOLÓGICO'!$D$2:$D$4919,MATCH($A785,'DETALLE CRONOLÓGICO'!$A$2:$A$4919,0))</f>
        <v/>
      </c>
      <c r="H785" s="1">
        <f>INDEX('DETALLE CRONOLÓGICO'!$D$2:$D$4919,MATCH($A785,'DETALLE CRONOLÓGICO'!$A$2:$A$4919,0)+$E785-1)</f>
        <v/>
      </c>
      <c r="I785" s="5">
        <f>IFERROR(SUMIFS('DETALLE CRONOLÓGICO'!$L$2:$L$4919,'DETALLE CRONOLÓGICO'!$A$2:$A$4919,$A785)/$F785,"")</f>
        <v/>
      </c>
      <c r="J785" s="6">
        <f>IFERROR(SUMIFS('DETALLE CRONOLÓGICO'!$K$2:$K$4919,'DETALLE CRONOLÓGICO'!$A$2:$A$4919,$A785)/$E785,"")</f>
        <v/>
      </c>
      <c r="K785" s="6">
        <f>_xlfn.MINIFS('DETALLE CRONOLÓGICO'!$K$2:$K$4919,'DETALLE CRONOLÓGICO'!$A$2:$A$4919,$A785)</f>
        <v/>
      </c>
      <c r="L785" s="6">
        <f>_xlfn.MAXIFS('DETALLE CRONOLÓGICO'!$K$2:$K$4919,'DETALLE CRONOLÓGICO'!$A$2:$A$4919,$A785)</f>
        <v/>
      </c>
      <c r="M785" s="6">
        <f>INDEX('DETALLE CRONOLÓGICO'!$K$2:$K$4919,MATCH($A785,'DETALLE CRONOLÓGICO'!$A$2:$A$4919,0)+$E785-1)</f>
        <v/>
      </c>
      <c r="N785" s="7">
        <f>IFERROR($M785/INDEX('DETALLE CRONOLÓGICO'!$K$2:$K$4919,MATCH($A785,'DETALLE CRONOLÓGICO'!$A$2:$A$4919,0))-1,"")</f>
        <v/>
      </c>
      <c r="O785" s="6">
        <f>IFERROR($I785*3,"")</f>
        <v/>
      </c>
      <c r="P785" s="6">
        <f>IFERROR($I785*3.5,"")</f>
        <v/>
      </c>
      <c r="Q785" s="6">
        <f>IFERROR($I785*4,"")</f>
        <v/>
      </c>
      <c r="R785" s="6" t="n">
        <v>935</v>
      </c>
      <c r="S785" s="4" t="n">
        <v>1</v>
      </c>
      <c r="T785" s="1" t="inlineStr">
        <is>
          <t>active</t>
        </is>
      </c>
      <c r="U785" s="8" t="n"/>
      <c r="V785" s="1" t="inlineStr">
        <is>
          <t>SIN PRECIO</t>
        </is>
      </c>
    </row>
    <row r="786">
      <c r="A786" s="1" t="inlineStr">
        <is>
          <t>43071661277324</t>
        </is>
      </c>
      <c r="B786" s="1" t="inlineStr">
        <is>
          <t>ARETES LV ROUND CON ZIRCONIA</t>
        </is>
      </c>
      <c r="C786" s="1" t="inlineStr">
        <is>
          <t>Default Title</t>
        </is>
      </c>
      <c r="D786" s="1" t="inlineStr">
        <is>
          <t>CYNTHIA</t>
        </is>
      </c>
      <c r="E786" s="4">
        <f>COUNTIF('DETALLE CRONOLÓGICO'!$A$2:$A$4919,$A786)</f>
        <v/>
      </c>
      <c r="F786" s="4">
        <f>SUMIFS('DETALLE CRONOLÓGICO'!$I$2:$I$4919,'DETALLE CRONOLÓGICO'!$A$2:$A$4919,$A786)</f>
        <v/>
      </c>
      <c r="G786" s="1">
        <f>INDEX('DETALLE CRONOLÓGICO'!$D$2:$D$4919,MATCH($A786,'DETALLE CRONOLÓGICO'!$A$2:$A$4919,0))</f>
        <v/>
      </c>
      <c r="H786" s="1">
        <f>INDEX('DETALLE CRONOLÓGICO'!$D$2:$D$4919,MATCH($A786,'DETALLE CRONOLÓGICO'!$A$2:$A$4919,0)+$E786-1)</f>
        <v/>
      </c>
      <c r="I786" s="5">
        <f>IFERROR(SUMIFS('DETALLE CRONOLÓGICO'!$L$2:$L$4919,'DETALLE CRONOLÓGICO'!$A$2:$A$4919,$A786)/$F786,"")</f>
        <v/>
      </c>
      <c r="J786" s="6">
        <f>IFERROR(SUMIFS('DETALLE CRONOLÓGICO'!$K$2:$K$4919,'DETALLE CRONOLÓGICO'!$A$2:$A$4919,$A786)/$E786,"")</f>
        <v/>
      </c>
      <c r="K786" s="6">
        <f>_xlfn.MINIFS('DETALLE CRONOLÓGICO'!$K$2:$K$4919,'DETALLE CRONOLÓGICO'!$A$2:$A$4919,$A786)</f>
        <v/>
      </c>
      <c r="L786" s="6">
        <f>_xlfn.MAXIFS('DETALLE CRONOLÓGICO'!$K$2:$K$4919,'DETALLE CRONOLÓGICO'!$A$2:$A$4919,$A786)</f>
        <v/>
      </c>
      <c r="M786" s="6">
        <f>INDEX('DETALLE CRONOLÓGICO'!$K$2:$K$4919,MATCH($A786,'DETALLE CRONOLÓGICO'!$A$2:$A$4919,0)+$E786-1)</f>
        <v/>
      </c>
      <c r="N786" s="7">
        <f>IFERROR($M786/INDEX('DETALLE CRONOLÓGICO'!$K$2:$K$4919,MATCH($A786,'DETALLE CRONOLÓGICO'!$A$2:$A$4919,0))-1,"")</f>
        <v/>
      </c>
      <c r="O786" s="6">
        <f>IFERROR($I786*3,"")</f>
        <v/>
      </c>
      <c r="P786" s="6">
        <f>IFERROR($I786*3.5,"")</f>
        <v/>
      </c>
      <c r="Q786" s="6">
        <f>IFERROR($I786*4,"")</f>
        <v/>
      </c>
      <c r="R786" s="6" t="n">
        <v>915</v>
      </c>
      <c r="S786" s="4" t="n">
        <v>3</v>
      </c>
      <c r="T786" s="1" t="inlineStr">
        <is>
          <t>active</t>
        </is>
      </c>
      <c r="U786" s="8" t="n"/>
      <c r="V786" s="1" t="inlineStr">
        <is>
          <t>SIN PRECIO</t>
        </is>
      </c>
    </row>
    <row r="787">
      <c r="A787" s="1" t="inlineStr">
        <is>
          <t>43071749587084</t>
        </is>
      </c>
      <c r="B787" s="1" t="inlineStr">
        <is>
          <t>ARETES V CON PERLA</t>
        </is>
      </c>
      <c r="C787" s="1" t="inlineStr">
        <is>
          <t>Regular</t>
        </is>
      </c>
      <c r="D787" s="1" t="inlineStr">
        <is>
          <t>CYNTHIA</t>
        </is>
      </c>
      <c r="E787" s="4">
        <f>COUNTIF('DETALLE CRONOLÓGICO'!$A$2:$A$4919,$A787)</f>
        <v/>
      </c>
      <c r="F787" s="4">
        <f>SUMIFS('DETALLE CRONOLÓGICO'!$I$2:$I$4919,'DETALLE CRONOLÓGICO'!$A$2:$A$4919,$A787)</f>
        <v/>
      </c>
      <c r="G787" s="1">
        <f>INDEX('DETALLE CRONOLÓGICO'!$D$2:$D$4919,MATCH($A787,'DETALLE CRONOLÓGICO'!$A$2:$A$4919,0))</f>
        <v/>
      </c>
      <c r="H787" s="1">
        <f>INDEX('DETALLE CRONOLÓGICO'!$D$2:$D$4919,MATCH($A787,'DETALLE CRONOLÓGICO'!$A$2:$A$4919,0)+$E787-1)</f>
        <v/>
      </c>
      <c r="I787" s="5">
        <f>IFERROR(SUMIFS('DETALLE CRONOLÓGICO'!$L$2:$L$4919,'DETALLE CRONOLÓGICO'!$A$2:$A$4919,$A787)/$F787,"")</f>
        <v/>
      </c>
      <c r="J787" s="6">
        <f>IFERROR(SUMIFS('DETALLE CRONOLÓGICO'!$K$2:$K$4919,'DETALLE CRONOLÓGICO'!$A$2:$A$4919,$A787)/$E787,"")</f>
        <v/>
      </c>
      <c r="K787" s="6">
        <f>_xlfn.MINIFS('DETALLE CRONOLÓGICO'!$K$2:$K$4919,'DETALLE CRONOLÓGICO'!$A$2:$A$4919,$A787)</f>
        <v/>
      </c>
      <c r="L787" s="6">
        <f>_xlfn.MAXIFS('DETALLE CRONOLÓGICO'!$K$2:$K$4919,'DETALLE CRONOLÓGICO'!$A$2:$A$4919,$A787)</f>
        <v/>
      </c>
      <c r="M787" s="6">
        <f>INDEX('DETALLE CRONOLÓGICO'!$K$2:$K$4919,MATCH($A787,'DETALLE CRONOLÓGICO'!$A$2:$A$4919,0)+$E787-1)</f>
        <v/>
      </c>
      <c r="N787" s="7">
        <f>IFERROR($M787/INDEX('DETALLE CRONOLÓGICO'!$K$2:$K$4919,MATCH($A787,'DETALLE CRONOLÓGICO'!$A$2:$A$4919,0))-1,"")</f>
        <v/>
      </c>
      <c r="O787" s="6">
        <f>IFERROR($I787*3,"")</f>
        <v/>
      </c>
      <c r="P787" s="6">
        <f>IFERROR($I787*3.5,"")</f>
        <v/>
      </c>
      <c r="Q787" s="6">
        <f>IFERROR($I787*4,"")</f>
        <v/>
      </c>
      <c r="R787" s="6" t="n">
        <v>915</v>
      </c>
      <c r="S787" s="4" t="n">
        <v>0</v>
      </c>
      <c r="T787" s="1" t="inlineStr">
        <is>
          <t>active</t>
        </is>
      </c>
      <c r="U787" s="8" t="n"/>
      <c r="V787" s="1" t="inlineStr">
        <is>
          <t>SIN PRECIO</t>
        </is>
      </c>
    </row>
    <row r="788">
      <c r="A788" s="1" t="inlineStr">
        <is>
          <t>43071764562060</t>
        </is>
      </c>
      <c r="B788" s="1" t="inlineStr">
        <is>
          <t>ARRACADAS V GOLD</t>
        </is>
      </c>
      <c r="C788" s="1" t="inlineStr">
        <is>
          <t>Regular</t>
        </is>
      </c>
      <c r="D788" s="1" t="inlineStr">
        <is>
          <t>CYNTHIA</t>
        </is>
      </c>
      <c r="E788" s="4">
        <f>COUNTIF('DETALLE CRONOLÓGICO'!$A$2:$A$4919,$A788)</f>
        <v/>
      </c>
      <c r="F788" s="4">
        <f>SUMIFS('DETALLE CRONOLÓGICO'!$I$2:$I$4919,'DETALLE CRONOLÓGICO'!$A$2:$A$4919,$A788)</f>
        <v/>
      </c>
      <c r="G788" s="1">
        <f>INDEX('DETALLE CRONOLÓGICO'!$D$2:$D$4919,MATCH($A788,'DETALLE CRONOLÓGICO'!$A$2:$A$4919,0))</f>
        <v/>
      </c>
      <c r="H788" s="1">
        <f>INDEX('DETALLE CRONOLÓGICO'!$D$2:$D$4919,MATCH($A788,'DETALLE CRONOLÓGICO'!$A$2:$A$4919,0)+$E788-1)</f>
        <v/>
      </c>
      <c r="I788" s="5">
        <f>IFERROR(SUMIFS('DETALLE CRONOLÓGICO'!$L$2:$L$4919,'DETALLE CRONOLÓGICO'!$A$2:$A$4919,$A788)/$F788,"")</f>
        <v/>
      </c>
      <c r="J788" s="6">
        <f>IFERROR(SUMIFS('DETALLE CRONOLÓGICO'!$K$2:$K$4919,'DETALLE CRONOLÓGICO'!$A$2:$A$4919,$A788)/$E788,"")</f>
        <v/>
      </c>
      <c r="K788" s="6">
        <f>_xlfn.MINIFS('DETALLE CRONOLÓGICO'!$K$2:$K$4919,'DETALLE CRONOLÓGICO'!$A$2:$A$4919,$A788)</f>
        <v/>
      </c>
      <c r="L788" s="6">
        <f>_xlfn.MAXIFS('DETALLE CRONOLÓGICO'!$K$2:$K$4919,'DETALLE CRONOLÓGICO'!$A$2:$A$4919,$A788)</f>
        <v/>
      </c>
      <c r="M788" s="6">
        <f>INDEX('DETALLE CRONOLÓGICO'!$K$2:$K$4919,MATCH($A788,'DETALLE CRONOLÓGICO'!$A$2:$A$4919,0)+$E788-1)</f>
        <v/>
      </c>
      <c r="N788" s="7">
        <f>IFERROR($M788/INDEX('DETALLE CRONOLÓGICO'!$K$2:$K$4919,MATCH($A788,'DETALLE CRONOLÓGICO'!$A$2:$A$4919,0))-1,"")</f>
        <v/>
      </c>
      <c r="O788" s="6">
        <f>IFERROR($I788*3,"")</f>
        <v/>
      </c>
      <c r="P788" s="6">
        <f>IFERROR($I788*3.5,"")</f>
        <v/>
      </c>
      <c r="Q788" s="6">
        <f>IFERROR($I788*4,"")</f>
        <v/>
      </c>
      <c r="R788" s="6" t="n">
        <v>750</v>
      </c>
      <c r="S788" s="4" t="n">
        <v>5</v>
      </c>
      <c r="T788" s="1" t="inlineStr">
        <is>
          <t>active</t>
        </is>
      </c>
      <c r="U788" s="8" t="n"/>
      <c r="V788" s="1" t="inlineStr">
        <is>
          <t>SIN PRECIO</t>
        </is>
      </c>
    </row>
    <row r="789">
      <c r="A789" s="1" t="inlineStr">
        <is>
          <t>43071800901772</t>
        </is>
      </c>
      <c r="B789" s="1" t="inlineStr">
        <is>
          <t>ARETES F GOLD BLACK</t>
        </is>
      </c>
      <c r="C789" s="1" t="inlineStr">
        <is>
          <t>Regular</t>
        </is>
      </c>
      <c r="D789" s="1" t="inlineStr">
        <is>
          <t>CYNTHIA</t>
        </is>
      </c>
      <c r="E789" s="4">
        <f>COUNTIF('DETALLE CRONOLÓGICO'!$A$2:$A$4919,$A789)</f>
        <v/>
      </c>
      <c r="F789" s="4">
        <f>SUMIFS('DETALLE CRONOLÓGICO'!$I$2:$I$4919,'DETALLE CRONOLÓGICO'!$A$2:$A$4919,$A789)</f>
        <v/>
      </c>
      <c r="G789" s="1">
        <f>INDEX('DETALLE CRONOLÓGICO'!$D$2:$D$4919,MATCH($A789,'DETALLE CRONOLÓGICO'!$A$2:$A$4919,0))</f>
        <v/>
      </c>
      <c r="H789" s="1">
        <f>INDEX('DETALLE CRONOLÓGICO'!$D$2:$D$4919,MATCH($A789,'DETALLE CRONOLÓGICO'!$A$2:$A$4919,0)+$E789-1)</f>
        <v/>
      </c>
      <c r="I789" s="5">
        <f>IFERROR(SUMIFS('DETALLE CRONOLÓGICO'!$L$2:$L$4919,'DETALLE CRONOLÓGICO'!$A$2:$A$4919,$A789)/$F789,"")</f>
        <v/>
      </c>
      <c r="J789" s="6">
        <f>IFERROR(SUMIFS('DETALLE CRONOLÓGICO'!$K$2:$K$4919,'DETALLE CRONOLÓGICO'!$A$2:$A$4919,$A789)/$E789,"")</f>
        <v/>
      </c>
      <c r="K789" s="6">
        <f>_xlfn.MINIFS('DETALLE CRONOLÓGICO'!$K$2:$K$4919,'DETALLE CRONOLÓGICO'!$A$2:$A$4919,$A789)</f>
        <v/>
      </c>
      <c r="L789" s="6">
        <f>_xlfn.MAXIFS('DETALLE CRONOLÓGICO'!$K$2:$K$4919,'DETALLE CRONOLÓGICO'!$A$2:$A$4919,$A789)</f>
        <v/>
      </c>
      <c r="M789" s="6">
        <f>INDEX('DETALLE CRONOLÓGICO'!$K$2:$K$4919,MATCH($A789,'DETALLE CRONOLÓGICO'!$A$2:$A$4919,0)+$E789-1)</f>
        <v/>
      </c>
      <c r="N789" s="7">
        <f>IFERROR($M789/INDEX('DETALLE CRONOLÓGICO'!$K$2:$K$4919,MATCH($A789,'DETALLE CRONOLÓGICO'!$A$2:$A$4919,0))-1,"")</f>
        <v/>
      </c>
      <c r="O789" s="6">
        <f>IFERROR($I789*3,"")</f>
        <v/>
      </c>
      <c r="P789" s="6">
        <f>IFERROR($I789*3.5,"")</f>
        <v/>
      </c>
      <c r="Q789" s="6">
        <f>IFERROR($I789*4,"")</f>
        <v/>
      </c>
      <c r="R789" s="6" t="n">
        <v>879</v>
      </c>
      <c r="S789" s="4" t="n">
        <v>4</v>
      </c>
      <c r="T789" s="1" t="inlineStr">
        <is>
          <t>active</t>
        </is>
      </c>
      <c r="U789" s="8" t="n"/>
      <c r="V789" s="1" t="inlineStr">
        <is>
          <t>SIN PRECIO</t>
        </is>
      </c>
    </row>
    <row r="790">
      <c r="A790" s="1" t="inlineStr">
        <is>
          <t>43071835930764</t>
        </is>
      </c>
      <c r="B790" s="1" t="inlineStr">
        <is>
          <t>ANILLO P STARS</t>
        </is>
      </c>
      <c r="C790" s="1" t="inlineStr">
        <is>
          <t>7</t>
        </is>
      </c>
      <c r="D790" s="1" t="inlineStr">
        <is>
          <t>CYNTHIA</t>
        </is>
      </c>
      <c r="E790" s="4">
        <f>COUNTIF('DETALLE CRONOLÓGICO'!$A$2:$A$4919,$A790)</f>
        <v/>
      </c>
      <c r="F790" s="4">
        <f>SUMIFS('DETALLE CRONOLÓGICO'!$I$2:$I$4919,'DETALLE CRONOLÓGICO'!$A$2:$A$4919,$A790)</f>
        <v/>
      </c>
      <c r="G790" s="1">
        <f>INDEX('DETALLE CRONOLÓGICO'!$D$2:$D$4919,MATCH($A790,'DETALLE CRONOLÓGICO'!$A$2:$A$4919,0))</f>
        <v/>
      </c>
      <c r="H790" s="1">
        <f>INDEX('DETALLE CRONOLÓGICO'!$D$2:$D$4919,MATCH($A790,'DETALLE CRONOLÓGICO'!$A$2:$A$4919,0)+$E790-1)</f>
        <v/>
      </c>
      <c r="I790" s="5">
        <f>IFERROR(SUMIFS('DETALLE CRONOLÓGICO'!$L$2:$L$4919,'DETALLE CRONOLÓGICO'!$A$2:$A$4919,$A790)/$F790,"")</f>
        <v/>
      </c>
      <c r="J790" s="6">
        <f>IFERROR(SUMIFS('DETALLE CRONOLÓGICO'!$K$2:$K$4919,'DETALLE CRONOLÓGICO'!$A$2:$A$4919,$A790)/$E790,"")</f>
        <v/>
      </c>
      <c r="K790" s="6">
        <f>_xlfn.MINIFS('DETALLE CRONOLÓGICO'!$K$2:$K$4919,'DETALLE CRONOLÓGICO'!$A$2:$A$4919,$A790)</f>
        <v/>
      </c>
      <c r="L790" s="6">
        <f>_xlfn.MAXIFS('DETALLE CRONOLÓGICO'!$K$2:$K$4919,'DETALLE CRONOLÓGICO'!$A$2:$A$4919,$A790)</f>
        <v/>
      </c>
      <c r="M790" s="6">
        <f>INDEX('DETALLE CRONOLÓGICO'!$K$2:$K$4919,MATCH($A790,'DETALLE CRONOLÓGICO'!$A$2:$A$4919,0)+$E790-1)</f>
        <v/>
      </c>
      <c r="N790" s="7">
        <f>IFERROR($M790/INDEX('DETALLE CRONOLÓGICO'!$K$2:$K$4919,MATCH($A790,'DETALLE CRONOLÓGICO'!$A$2:$A$4919,0))-1,"")</f>
        <v/>
      </c>
      <c r="O790" s="6">
        <f>IFERROR($I790*3,"")</f>
        <v/>
      </c>
      <c r="P790" s="6">
        <f>IFERROR($I790*3.5,"")</f>
        <v/>
      </c>
      <c r="Q790" s="6">
        <f>IFERROR($I790*4,"")</f>
        <v/>
      </c>
      <c r="R790" s="6" t="n">
        <v>250</v>
      </c>
      <c r="S790" s="4" t="n">
        <v>1</v>
      </c>
      <c r="T790" s="1" t="inlineStr">
        <is>
          <t>active</t>
        </is>
      </c>
      <c r="U790" s="8" t="n"/>
      <c r="V790" s="1" t="inlineStr">
        <is>
          <t>SIN PRECIO</t>
        </is>
      </c>
    </row>
    <row r="791">
      <c r="A791" s="1" t="inlineStr">
        <is>
          <t>43071835963532</t>
        </is>
      </c>
      <c r="B791" s="1" t="inlineStr">
        <is>
          <t>ANILLO P STARS</t>
        </is>
      </c>
      <c r="C791" s="1" t="inlineStr">
        <is>
          <t>8</t>
        </is>
      </c>
      <c r="D791" s="1" t="inlineStr">
        <is>
          <t>CYNTHIA</t>
        </is>
      </c>
      <c r="E791" s="4">
        <f>COUNTIF('DETALLE CRONOLÓGICO'!$A$2:$A$4919,$A791)</f>
        <v/>
      </c>
      <c r="F791" s="4">
        <f>SUMIFS('DETALLE CRONOLÓGICO'!$I$2:$I$4919,'DETALLE CRONOLÓGICO'!$A$2:$A$4919,$A791)</f>
        <v/>
      </c>
      <c r="G791" s="1">
        <f>INDEX('DETALLE CRONOLÓGICO'!$D$2:$D$4919,MATCH($A791,'DETALLE CRONOLÓGICO'!$A$2:$A$4919,0))</f>
        <v/>
      </c>
      <c r="H791" s="1">
        <f>INDEX('DETALLE CRONOLÓGICO'!$D$2:$D$4919,MATCH($A791,'DETALLE CRONOLÓGICO'!$A$2:$A$4919,0)+$E791-1)</f>
        <v/>
      </c>
      <c r="I791" s="5">
        <f>IFERROR(SUMIFS('DETALLE CRONOLÓGICO'!$L$2:$L$4919,'DETALLE CRONOLÓGICO'!$A$2:$A$4919,$A791)/$F791,"")</f>
        <v/>
      </c>
      <c r="J791" s="6">
        <f>IFERROR(SUMIFS('DETALLE CRONOLÓGICO'!$K$2:$K$4919,'DETALLE CRONOLÓGICO'!$A$2:$A$4919,$A791)/$E791,"")</f>
        <v/>
      </c>
      <c r="K791" s="6">
        <f>_xlfn.MINIFS('DETALLE CRONOLÓGICO'!$K$2:$K$4919,'DETALLE CRONOLÓGICO'!$A$2:$A$4919,$A791)</f>
        <v/>
      </c>
      <c r="L791" s="6">
        <f>_xlfn.MAXIFS('DETALLE CRONOLÓGICO'!$K$2:$K$4919,'DETALLE CRONOLÓGICO'!$A$2:$A$4919,$A791)</f>
        <v/>
      </c>
      <c r="M791" s="6">
        <f>INDEX('DETALLE CRONOLÓGICO'!$K$2:$K$4919,MATCH($A791,'DETALLE CRONOLÓGICO'!$A$2:$A$4919,0)+$E791-1)</f>
        <v/>
      </c>
      <c r="N791" s="7">
        <f>IFERROR($M791/INDEX('DETALLE CRONOLÓGICO'!$K$2:$K$4919,MATCH($A791,'DETALLE CRONOLÓGICO'!$A$2:$A$4919,0))-1,"")</f>
        <v/>
      </c>
      <c r="O791" s="6">
        <f>IFERROR($I791*3,"")</f>
        <v/>
      </c>
      <c r="P791" s="6">
        <f>IFERROR($I791*3.5,"")</f>
        <v/>
      </c>
      <c r="Q791" s="6">
        <f>IFERROR($I791*4,"")</f>
        <v/>
      </c>
      <c r="R791" s="6" t="n">
        <v>250</v>
      </c>
      <c r="S791" s="4" t="n">
        <v>1</v>
      </c>
      <c r="T791" s="1" t="inlineStr">
        <is>
          <t>active</t>
        </is>
      </c>
      <c r="U791" s="8" t="n"/>
      <c r="V791" s="1" t="inlineStr">
        <is>
          <t>SIN PRECIO</t>
        </is>
      </c>
    </row>
    <row r="792">
      <c r="A792" s="1" t="inlineStr">
        <is>
          <t>43078594756748</t>
        </is>
      </c>
      <c r="B792" s="1" t="inlineStr">
        <is>
          <t>ANILLO P SHINNY FLOWER</t>
        </is>
      </c>
      <c r="C792" s="1" t="n">
        <v>7</v>
      </c>
      <c r="D792" s="1" t="inlineStr">
        <is>
          <t>CYNTHIA</t>
        </is>
      </c>
      <c r="E792" s="4">
        <f>COUNTIF('DETALLE CRONOLÓGICO'!$A$2:$A$4919,$A792)</f>
        <v/>
      </c>
      <c r="F792" s="4">
        <f>SUMIFS('DETALLE CRONOLÓGICO'!$I$2:$I$4919,'DETALLE CRONOLÓGICO'!$A$2:$A$4919,$A792)</f>
        <v/>
      </c>
      <c r="G792" s="1">
        <f>INDEX('DETALLE CRONOLÓGICO'!$D$2:$D$4919,MATCH($A792,'DETALLE CRONOLÓGICO'!$A$2:$A$4919,0))</f>
        <v/>
      </c>
      <c r="H792" s="1">
        <f>INDEX('DETALLE CRONOLÓGICO'!$D$2:$D$4919,MATCH($A792,'DETALLE CRONOLÓGICO'!$A$2:$A$4919,0)+$E792-1)</f>
        <v/>
      </c>
      <c r="I792" s="5">
        <f>IFERROR(SUMIFS('DETALLE CRONOLÓGICO'!$L$2:$L$4919,'DETALLE CRONOLÓGICO'!$A$2:$A$4919,$A792)/$F792,"")</f>
        <v/>
      </c>
      <c r="J792" s="6">
        <f>IFERROR(SUMIFS('DETALLE CRONOLÓGICO'!$K$2:$K$4919,'DETALLE CRONOLÓGICO'!$A$2:$A$4919,$A792)/$E792,"")</f>
        <v/>
      </c>
      <c r="K792" s="6">
        <f>_xlfn.MINIFS('DETALLE CRONOLÓGICO'!$K$2:$K$4919,'DETALLE CRONOLÓGICO'!$A$2:$A$4919,$A792)</f>
        <v/>
      </c>
      <c r="L792" s="6">
        <f>_xlfn.MAXIFS('DETALLE CRONOLÓGICO'!$K$2:$K$4919,'DETALLE CRONOLÓGICO'!$A$2:$A$4919,$A792)</f>
        <v/>
      </c>
      <c r="M792" s="6">
        <f>INDEX('DETALLE CRONOLÓGICO'!$K$2:$K$4919,MATCH($A792,'DETALLE CRONOLÓGICO'!$A$2:$A$4919,0)+$E792-1)</f>
        <v/>
      </c>
      <c r="N792" s="7">
        <f>IFERROR($M792/INDEX('DETALLE CRONOLÓGICO'!$K$2:$K$4919,MATCH($A792,'DETALLE CRONOLÓGICO'!$A$2:$A$4919,0))-1,"")</f>
        <v/>
      </c>
      <c r="O792" s="6">
        <f>IFERROR($I792*3,"")</f>
        <v/>
      </c>
      <c r="P792" s="6">
        <f>IFERROR($I792*3.5,"")</f>
        <v/>
      </c>
      <c r="Q792" s="6">
        <f>IFERROR($I792*4,"")</f>
        <v/>
      </c>
      <c r="R792" s="6" t="n">
        <v>520</v>
      </c>
      <c r="S792" s="4" t="n">
        <v>1</v>
      </c>
      <c r="T792" s="1" t="inlineStr">
        <is>
          <t>active</t>
        </is>
      </c>
      <c r="U792" s="8" t="n"/>
      <c r="V792" s="1" t="inlineStr">
        <is>
          <t>SIN PRECIO</t>
        </is>
      </c>
    </row>
    <row r="793">
      <c r="A793" s="1" t="inlineStr">
        <is>
          <t>43078594789516</t>
        </is>
      </c>
      <c r="B793" s="1" t="inlineStr">
        <is>
          <t>ANILLO P SHINNY FLOWER</t>
        </is>
      </c>
      <c r="C793" s="1" t="inlineStr">
        <is>
          <t>8</t>
        </is>
      </c>
      <c r="D793" s="1" t="inlineStr">
        <is>
          <t>CYNTHIA</t>
        </is>
      </c>
      <c r="E793" s="4">
        <f>COUNTIF('DETALLE CRONOLÓGICO'!$A$2:$A$4919,$A793)</f>
        <v/>
      </c>
      <c r="F793" s="4">
        <f>SUMIFS('DETALLE CRONOLÓGICO'!$I$2:$I$4919,'DETALLE CRONOLÓGICO'!$A$2:$A$4919,$A793)</f>
        <v/>
      </c>
      <c r="G793" s="1">
        <f>INDEX('DETALLE CRONOLÓGICO'!$D$2:$D$4919,MATCH($A793,'DETALLE CRONOLÓGICO'!$A$2:$A$4919,0))</f>
        <v/>
      </c>
      <c r="H793" s="1">
        <f>INDEX('DETALLE CRONOLÓGICO'!$D$2:$D$4919,MATCH($A793,'DETALLE CRONOLÓGICO'!$A$2:$A$4919,0)+$E793-1)</f>
        <v/>
      </c>
      <c r="I793" s="5">
        <f>IFERROR(SUMIFS('DETALLE CRONOLÓGICO'!$L$2:$L$4919,'DETALLE CRONOLÓGICO'!$A$2:$A$4919,$A793)/$F793,"")</f>
        <v/>
      </c>
      <c r="J793" s="6">
        <f>IFERROR(SUMIFS('DETALLE CRONOLÓGICO'!$K$2:$K$4919,'DETALLE CRONOLÓGICO'!$A$2:$A$4919,$A793)/$E793,"")</f>
        <v/>
      </c>
      <c r="K793" s="6">
        <f>_xlfn.MINIFS('DETALLE CRONOLÓGICO'!$K$2:$K$4919,'DETALLE CRONOLÓGICO'!$A$2:$A$4919,$A793)</f>
        <v/>
      </c>
      <c r="L793" s="6">
        <f>_xlfn.MAXIFS('DETALLE CRONOLÓGICO'!$K$2:$K$4919,'DETALLE CRONOLÓGICO'!$A$2:$A$4919,$A793)</f>
        <v/>
      </c>
      <c r="M793" s="6">
        <f>INDEX('DETALLE CRONOLÓGICO'!$K$2:$K$4919,MATCH($A793,'DETALLE CRONOLÓGICO'!$A$2:$A$4919,0)+$E793-1)</f>
        <v/>
      </c>
      <c r="N793" s="7">
        <f>IFERROR($M793/INDEX('DETALLE CRONOLÓGICO'!$K$2:$K$4919,MATCH($A793,'DETALLE CRONOLÓGICO'!$A$2:$A$4919,0))-1,"")</f>
        <v/>
      </c>
      <c r="O793" s="6">
        <f>IFERROR($I793*3,"")</f>
        <v/>
      </c>
      <c r="P793" s="6">
        <f>IFERROR($I793*3.5,"")</f>
        <v/>
      </c>
      <c r="Q793" s="6">
        <f>IFERROR($I793*4,"")</f>
        <v/>
      </c>
      <c r="R793" s="6" t="n">
        <v>520</v>
      </c>
      <c r="S793" s="4" t="n">
        <v>3</v>
      </c>
      <c r="T793" s="1" t="inlineStr">
        <is>
          <t>active</t>
        </is>
      </c>
      <c r="U793" s="8" t="n"/>
      <c r="V793" s="1" t="inlineStr">
        <is>
          <t>SIN PRECIO</t>
        </is>
      </c>
    </row>
    <row r="794">
      <c r="A794" s="1" t="inlineStr">
        <is>
          <t>43124008910988</t>
        </is>
      </c>
      <c r="B794" s="1" t="inlineStr">
        <is>
          <t>BOLSO C CLAUDE</t>
        </is>
      </c>
      <c r="C794" s="1" t="inlineStr">
        <is>
          <t>13.5cm de alto x 22cm de largo x 5cm de ancho</t>
        </is>
      </c>
      <c r="D794" s="1" t="inlineStr">
        <is>
          <t>DINA DU</t>
        </is>
      </c>
      <c r="E794" s="4">
        <f>COUNTIF('DETALLE CRONOLÓGICO'!$A$2:$A$4919,$A794)</f>
        <v/>
      </c>
      <c r="F794" s="4">
        <f>SUMIFS('DETALLE CRONOLÓGICO'!$I$2:$I$4919,'DETALLE CRONOLÓGICO'!$A$2:$A$4919,$A794)</f>
        <v/>
      </c>
      <c r="G794" s="1">
        <f>INDEX('DETALLE CRONOLÓGICO'!$D$2:$D$4919,MATCH($A794,'DETALLE CRONOLÓGICO'!$A$2:$A$4919,0))</f>
        <v/>
      </c>
      <c r="H794" s="1">
        <f>INDEX('DETALLE CRONOLÓGICO'!$D$2:$D$4919,MATCH($A794,'DETALLE CRONOLÓGICO'!$A$2:$A$4919,0)+$E794-1)</f>
        <v/>
      </c>
      <c r="I794" s="5">
        <f>IFERROR(SUMIFS('DETALLE CRONOLÓGICO'!$L$2:$L$4919,'DETALLE CRONOLÓGICO'!$A$2:$A$4919,$A794)/$F794,"")</f>
        <v/>
      </c>
      <c r="J794" s="6">
        <f>IFERROR(SUMIFS('DETALLE CRONOLÓGICO'!$K$2:$K$4919,'DETALLE CRONOLÓGICO'!$A$2:$A$4919,$A794)/$E794,"")</f>
        <v/>
      </c>
      <c r="K794" s="6">
        <f>_xlfn.MINIFS('DETALLE CRONOLÓGICO'!$K$2:$K$4919,'DETALLE CRONOLÓGICO'!$A$2:$A$4919,$A794)</f>
        <v/>
      </c>
      <c r="L794" s="6">
        <f>_xlfn.MAXIFS('DETALLE CRONOLÓGICO'!$K$2:$K$4919,'DETALLE CRONOLÓGICO'!$A$2:$A$4919,$A794)</f>
        <v/>
      </c>
      <c r="M794" s="6">
        <f>INDEX('DETALLE CRONOLÓGICO'!$K$2:$K$4919,MATCH($A794,'DETALLE CRONOLÓGICO'!$A$2:$A$4919,0)+$E794-1)</f>
        <v/>
      </c>
      <c r="N794" s="7">
        <f>IFERROR($M794/INDEX('DETALLE CRONOLÓGICO'!$K$2:$K$4919,MATCH($A794,'DETALLE CRONOLÓGICO'!$A$2:$A$4919,0))-1,"")</f>
        <v/>
      </c>
      <c r="O794" s="6">
        <f>IFERROR($I794*3,"")</f>
        <v/>
      </c>
      <c r="P794" s="6">
        <f>IFERROR($I794*3.5,"")</f>
        <v/>
      </c>
      <c r="Q794" s="6">
        <f>IFERROR($I794*4,"")</f>
        <v/>
      </c>
      <c r="R794" s="6" t="n">
        <v>4810</v>
      </c>
      <c r="S794" s="4" t="n">
        <v>3</v>
      </c>
      <c r="T794" s="1" t="inlineStr">
        <is>
          <t>active</t>
        </is>
      </c>
      <c r="U794" s="8" t="n"/>
      <c r="V794" s="1" t="inlineStr">
        <is>
          <t>SIN PRECIO</t>
        </is>
      </c>
    </row>
    <row r="795">
      <c r="A795" s="1" t="inlineStr">
        <is>
          <t>43124048199820</t>
        </is>
      </c>
      <c r="B795" s="1" t="inlineStr">
        <is>
          <t>BOLSO LADY D JOY WHITE</t>
        </is>
      </c>
      <c r="C795" s="1" t="inlineStr">
        <is>
          <t>10.5cm de alto x 16.4cm de largo x 5.5cm de ancho</t>
        </is>
      </c>
      <c r="D795" s="1" t="inlineStr">
        <is>
          <t>ZOEY</t>
        </is>
      </c>
      <c r="E795" s="4">
        <f>COUNTIF('DETALLE CRONOLÓGICO'!$A$2:$A$4919,$A795)</f>
        <v/>
      </c>
      <c r="F795" s="4">
        <f>SUMIFS('DETALLE CRONOLÓGICO'!$I$2:$I$4919,'DETALLE CRONOLÓGICO'!$A$2:$A$4919,$A795)</f>
        <v/>
      </c>
      <c r="G795" s="1">
        <f>INDEX('DETALLE CRONOLÓGICO'!$D$2:$D$4919,MATCH($A795,'DETALLE CRONOLÓGICO'!$A$2:$A$4919,0))</f>
        <v/>
      </c>
      <c r="H795" s="1">
        <f>INDEX('DETALLE CRONOLÓGICO'!$D$2:$D$4919,MATCH($A795,'DETALLE CRONOLÓGICO'!$A$2:$A$4919,0)+$E795-1)</f>
        <v/>
      </c>
      <c r="I795" s="5">
        <f>IFERROR(SUMIFS('DETALLE CRONOLÓGICO'!$L$2:$L$4919,'DETALLE CRONOLÓGICO'!$A$2:$A$4919,$A795)/$F795,"")</f>
        <v/>
      </c>
      <c r="J795" s="6">
        <f>IFERROR(SUMIFS('DETALLE CRONOLÓGICO'!$K$2:$K$4919,'DETALLE CRONOLÓGICO'!$A$2:$A$4919,$A795)/$E795,"")</f>
        <v/>
      </c>
      <c r="K795" s="6">
        <f>_xlfn.MINIFS('DETALLE CRONOLÓGICO'!$K$2:$K$4919,'DETALLE CRONOLÓGICO'!$A$2:$A$4919,$A795)</f>
        <v/>
      </c>
      <c r="L795" s="6">
        <f>_xlfn.MAXIFS('DETALLE CRONOLÓGICO'!$K$2:$K$4919,'DETALLE CRONOLÓGICO'!$A$2:$A$4919,$A795)</f>
        <v/>
      </c>
      <c r="M795" s="6">
        <f>INDEX('DETALLE CRONOLÓGICO'!$K$2:$K$4919,MATCH($A795,'DETALLE CRONOLÓGICO'!$A$2:$A$4919,0)+$E795-1)</f>
        <v/>
      </c>
      <c r="N795" s="7">
        <f>IFERROR($M795/INDEX('DETALLE CRONOLÓGICO'!$K$2:$K$4919,MATCH($A795,'DETALLE CRONOLÓGICO'!$A$2:$A$4919,0))-1,"")</f>
        <v/>
      </c>
      <c r="O795" s="6">
        <f>IFERROR($I795*3,"")</f>
        <v/>
      </c>
      <c r="P795" s="6">
        <f>IFERROR($I795*3.5,"")</f>
        <v/>
      </c>
      <c r="Q795" s="6">
        <f>IFERROR($I795*4,"")</f>
        <v/>
      </c>
      <c r="R795" s="6" t="n">
        <v>5150.29</v>
      </c>
      <c r="S795" s="4" t="n">
        <v>1</v>
      </c>
      <c r="T795" s="1" t="inlineStr">
        <is>
          <t>active</t>
        </is>
      </c>
      <c r="U795" s="8" t="n"/>
      <c r="V795" s="1" t="inlineStr">
        <is>
          <t>SIN PRECIO</t>
        </is>
      </c>
    </row>
    <row r="796">
      <c r="A796" s="1" t="inlineStr">
        <is>
          <t>43124053803148</t>
        </is>
      </c>
      <c r="B796" s="1" t="inlineStr">
        <is>
          <t>BOLSO LADY D JOY BLACK</t>
        </is>
      </c>
      <c r="C796" s="1" t="inlineStr">
        <is>
          <t>25.5cm de largo x 14cm de alto x 6.8cm de ancho</t>
        </is>
      </c>
      <c r="D796" s="1" t="inlineStr">
        <is>
          <t>ZOEY</t>
        </is>
      </c>
      <c r="E796" s="4">
        <f>COUNTIF('DETALLE CRONOLÓGICO'!$A$2:$A$4919,$A796)</f>
        <v/>
      </c>
      <c r="F796" s="4">
        <f>SUMIFS('DETALLE CRONOLÓGICO'!$I$2:$I$4919,'DETALLE CRONOLÓGICO'!$A$2:$A$4919,$A796)</f>
        <v/>
      </c>
      <c r="G796" s="1">
        <f>INDEX('DETALLE CRONOLÓGICO'!$D$2:$D$4919,MATCH($A796,'DETALLE CRONOLÓGICO'!$A$2:$A$4919,0))</f>
        <v/>
      </c>
      <c r="H796" s="1">
        <f>INDEX('DETALLE CRONOLÓGICO'!$D$2:$D$4919,MATCH($A796,'DETALLE CRONOLÓGICO'!$A$2:$A$4919,0)+$E796-1)</f>
        <v/>
      </c>
      <c r="I796" s="5">
        <f>IFERROR(SUMIFS('DETALLE CRONOLÓGICO'!$L$2:$L$4919,'DETALLE CRONOLÓGICO'!$A$2:$A$4919,$A796)/$F796,"")</f>
        <v/>
      </c>
      <c r="J796" s="6">
        <f>IFERROR(SUMIFS('DETALLE CRONOLÓGICO'!$K$2:$K$4919,'DETALLE CRONOLÓGICO'!$A$2:$A$4919,$A796)/$E796,"")</f>
        <v/>
      </c>
      <c r="K796" s="6">
        <f>_xlfn.MINIFS('DETALLE CRONOLÓGICO'!$K$2:$K$4919,'DETALLE CRONOLÓGICO'!$A$2:$A$4919,$A796)</f>
        <v/>
      </c>
      <c r="L796" s="6">
        <f>_xlfn.MAXIFS('DETALLE CRONOLÓGICO'!$K$2:$K$4919,'DETALLE CRONOLÓGICO'!$A$2:$A$4919,$A796)</f>
        <v/>
      </c>
      <c r="M796" s="6">
        <f>INDEX('DETALLE CRONOLÓGICO'!$K$2:$K$4919,MATCH($A796,'DETALLE CRONOLÓGICO'!$A$2:$A$4919,0)+$E796-1)</f>
        <v/>
      </c>
      <c r="N796" s="7">
        <f>IFERROR($M796/INDEX('DETALLE CRONOLÓGICO'!$K$2:$K$4919,MATCH($A796,'DETALLE CRONOLÓGICO'!$A$2:$A$4919,0))-1,"")</f>
        <v/>
      </c>
      <c r="O796" s="6">
        <f>IFERROR($I796*3,"")</f>
        <v/>
      </c>
      <c r="P796" s="6">
        <f>IFERROR($I796*3.5,"")</f>
        <v/>
      </c>
      <c r="Q796" s="6">
        <f>IFERROR($I796*4,"")</f>
        <v/>
      </c>
      <c r="R796" s="6" t="n">
        <v>3392</v>
      </c>
      <c r="S796" s="4" t="n">
        <v>1</v>
      </c>
      <c r="T796" s="1" t="inlineStr">
        <is>
          <t>active</t>
        </is>
      </c>
      <c r="U796" s="8" t="n"/>
      <c r="V796" s="1" t="inlineStr">
        <is>
          <t>SIN PRECIO</t>
        </is>
      </c>
    </row>
    <row r="797">
      <c r="A797" s="1" t="inlineStr">
        <is>
          <t>43267331015245</t>
        </is>
      </c>
      <c r="B797" s="1" t="inlineStr">
        <is>
          <t>PULSERA KNOT GOLD</t>
        </is>
      </c>
      <c r="C797" s="1" t="inlineStr">
        <is>
          <t>16CM</t>
        </is>
      </c>
      <c r="D797" s="1" t="inlineStr">
        <is>
          <t>CYNTHIA</t>
        </is>
      </c>
      <c r="E797" s="4">
        <f>COUNTIF('DETALLE CRONOLÓGICO'!$A$2:$A$4919,$A797)</f>
        <v/>
      </c>
      <c r="F797" s="4">
        <f>SUMIFS('DETALLE CRONOLÓGICO'!$I$2:$I$4919,'DETALLE CRONOLÓGICO'!$A$2:$A$4919,$A797)</f>
        <v/>
      </c>
      <c r="G797" s="1">
        <f>INDEX('DETALLE CRONOLÓGICO'!$D$2:$D$4919,MATCH($A797,'DETALLE CRONOLÓGICO'!$A$2:$A$4919,0))</f>
        <v/>
      </c>
      <c r="H797" s="1">
        <f>INDEX('DETALLE CRONOLÓGICO'!$D$2:$D$4919,MATCH($A797,'DETALLE CRONOLÓGICO'!$A$2:$A$4919,0)+$E797-1)</f>
        <v/>
      </c>
      <c r="I797" s="5">
        <f>IFERROR(SUMIFS('DETALLE CRONOLÓGICO'!$L$2:$L$4919,'DETALLE CRONOLÓGICO'!$A$2:$A$4919,$A797)/$F797,"")</f>
        <v/>
      </c>
      <c r="J797" s="6">
        <f>IFERROR(SUMIFS('DETALLE CRONOLÓGICO'!$K$2:$K$4919,'DETALLE CRONOLÓGICO'!$A$2:$A$4919,$A797)/$E797,"")</f>
        <v/>
      </c>
      <c r="K797" s="6">
        <f>_xlfn.MINIFS('DETALLE CRONOLÓGICO'!$K$2:$K$4919,'DETALLE CRONOLÓGICO'!$A$2:$A$4919,$A797)</f>
        <v/>
      </c>
      <c r="L797" s="6">
        <f>_xlfn.MAXIFS('DETALLE CRONOLÓGICO'!$K$2:$K$4919,'DETALLE CRONOLÓGICO'!$A$2:$A$4919,$A797)</f>
        <v/>
      </c>
      <c r="M797" s="6">
        <f>INDEX('DETALLE CRONOLÓGICO'!$K$2:$K$4919,MATCH($A797,'DETALLE CRONOLÓGICO'!$A$2:$A$4919,0)+$E797-1)</f>
        <v/>
      </c>
      <c r="N797" s="7">
        <f>IFERROR($M797/INDEX('DETALLE CRONOLÓGICO'!$K$2:$K$4919,MATCH($A797,'DETALLE CRONOLÓGICO'!$A$2:$A$4919,0))-1,"")</f>
        <v/>
      </c>
      <c r="O797" s="6">
        <f>IFERROR($I797*3,"")</f>
        <v/>
      </c>
      <c r="P797" s="6">
        <f>IFERROR($I797*3.5,"")</f>
        <v/>
      </c>
      <c r="Q797" s="6">
        <f>IFERROR($I797*4,"")</f>
        <v/>
      </c>
      <c r="R797" s="6" t="n">
        <v>1350</v>
      </c>
      <c r="S797" s="4" t="n">
        <v>2</v>
      </c>
      <c r="T797" s="1" t="inlineStr">
        <is>
          <t>active</t>
        </is>
      </c>
      <c r="U797" s="8" t="n"/>
      <c r="V797" s="1" t="inlineStr">
        <is>
          <t>SIN PRECIO</t>
        </is>
      </c>
    </row>
    <row r="798">
      <c r="A798" s="1" t="inlineStr">
        <is>
          <t>43409491041677</t>
        </is>
      </c>
      <c r="B798" s="1" t="inlineStr">
        <is>
          <t>BOLSO YSL CON CADENA NUDE</t>
        </is>
      </c>
      <c r="C798" s="1" t="inlineStr">
        <is>
          <t>REGULAR</t>
        </is>
      </c>
      <c r="D798" s="1" t="inlineStr">
        <is>
          <t>DINA DU</t>
        </is>
      </c>
      <c r="E798" s="4">
        <f>COUNTIF('DETALLE CRONOLÓGICO'!$A$2:$A$4919,$A798)</f>
        <v/>
      </c>
      <c r="F798" s="4">
        <f>SUMIFS('DETALLE CRONOLÓGICO'!$I$2:$I$4919,'DETALLE CRONOLÓGICO'!$A$2:$A$4919,$A798)</f>
        <v/>
      </c>
      <c r="G798" s="1">
        <f>INDEX('DETALLE CRONOLÓGICO'!$D$2:$D$4919,MATCH($A798,'DETALLE CRONOLÓGICO'!$A$2:$A$4919,0))</f>
        <v/>
      </c>
      <c r="H798" s="1">
        <f>INDEX('DETALLE CRONOLÓGICO'!$D$2:$D$4919,MATCH($A798,'DETALLE CRONOLÓGICO'!$A$2:$A$4919,0)+$E798-1)</f>
        <v/>
      </c>
      <c r="I798" s="5">
        <f>IFERROR(SUMIFS('DETALLE CRONOLÓGICO'!$L$2:$L$4919,'DETALLE CRONOLÓGICO'!$A$2:$A$4919,$A798)/$F798,"")</f>
        <v/>
      </c>
      <c r="J798" s="6">
        <f>IFERROR(SUMIFS('DETALLE CRONOLÓGICO'!$K$2:$K$4919,'DETALLE CRONOLÓGICO'!$A$2:$A$4919,$A798)/$E798,"")</f>
        <v/>
      </c>
      <c r="K798" s="6">
        <f>_xlfn.MINIFS('DETALLE CRONOLÓGICO'!$K$2:$K$4919,'DETALLE CRONOLÓGICO'!$A$2:$A$4919,$A798)</f>
        <v/>
      </c>
      <c r="L798" s="6">
        <f>_xlfn.MAXIFS('DETALLE CRONOLÓGICO'!$K$2:$K$4919,'DETALLE CRONOLÓGICO'!$A$2:$A$4919,$A798)</f>
        <v/>
      </c>
      <c r="M798" s="6">
        <f>INDEX('DETALLE CRONOLÓGICO'!$K$2:$K$4919,MATCH($A798,'DETALLE CRONOLÓGICO'!$A$2:$A$4919,0)+$E798-1)</f>
        <v/>
      </c>
      <c r="N798" s="7">
        <f>IFERROR($M798/INDEX('DETALLE CRONOLÓGICO'!$K$2:$K$4919,MATCH($A798,'DETALLE CRONOLÓGICO'!$A$2:$A$4919,0))-1,"")</f>
        <v/>
      </c>
      <c r="O798" s="6">
        <f>IFERROR($I798*3,"")</f>
        <v/>
      </c>
      <c r="P798" s="6">
        <f>IFERROR($I798*3.5,"")</f>
        <v/>
      </c>
      <c r="Q798" s="6">
        <f>IFERROR($I798*4,"")</f>
        <v/>
      </c>
      <c r="R798" s="6" t="n">
        <v>4354.13</v>
      </c>
      <c r="S798" s="4" t="n">
        <v>2</v>
      </c>
      <c r="T798" s="1" t="inlineStr">
        <is>
          <t>active</t>
        </is>
      </c>
      <c r="U798" s="8" t="n"/>
      <c r="V798" s="1" t="inlineStr">
        <is>
          <t>SIN PRECIO</t>
        </is>
      </c>
    </row>
    <row r="799">
      <c r="A799" s="1" t="inlineStr">
        <is>
          <t>43728071088236</t>
        </is>
      </c>
      <c r="B799" s="1" t="inlineStr">
        <is>
          <t>ARRACADAS BV SERPENTI</t>
        </is>
      </c>
      <c r="C799" s="1" t="inlineStr">
        <is>
          <t>Default Title</t>
        </is>
      </c>
      <c r="D799" s="1" t="inlineStr">
        <is>
          <t>CYNTHIA</t>
        </is>
      </c>
      <c r="E799" s="4">
        <f>COUNTIF('DETALLE CRONOLÓGICO'!$A$2:$A$4919,$A799)</f>
        <v/>
      </c>
      <c r="F799" s="4">
        <f>SUMIFS('DETALLE CRONOLÓGICO'!$I$2:$I$4919,'DETALLE CRONOLÓGICO'!$A$2:$A$4919,$A799)</f>
        <v/>
      </c>
      <c r="G799" s="1">
        <f>INDEX('DETALLE CRONOLÓGICO'!$D$2:$D$4919,MATCH($A799,'DETALLE CRONOLÓGICO'!$A$2:$A$4919,0))</f>
        <v/>
      </c>
      <c r="H799" s="1">
        <f>INDEX('DETALLE CRONOLÓGICO'!$D$2:$D$4919,MATCH($A799,'DETALLE CRONOLÓGICO'!$A$2:$A$4919,0)+$E799-1)</f>
        <v/>
      </c>
      <c r="I799" s="5">
        <f>IFERROR(SUMIFS('DETALLE CRONOLÓGICO'!$L$2:$L$4919,'DETALLE CRONOLÓGICO'!$A$2:$A$4919,$A799)/$F799,"")</f>
        <v/>
      </c>
      <c r="J799" s="6">
        <f>IFERROR(SUMIFS('DETALLE CRONOLÓGICO'!$K$2:$K$4919,'DETALLE CRONOLÓGICO'!$A$2:$A$4919,$A799)/$E799,"")</f>
        <v/>
      </c>
      <c r="K799" s="6">
        <f>_xlfn.MINIFS('DETALLE CRONOLÓGICO'!$K$2:$K$4919,'DETALLE CRONOLÓGICO'!$A$2:$A$4919,$A799)</f>
        <v/>
      </c>
      <c r="L799" s="6">
        <f>_xlfn.MAXIFS('DETALLE CRONOLÓGICO'!$K$2:$K$4919,'DETALLE CRONOLÓGICO'!$A$2:$A$4919,$A799)</f>
        <v/>
      </c>
      <c r="M799" s="6">
        <f>INDEX('DETALLE CRONOLÓGICO'!$K$2:$K$4919,MATCH($A799,'DETALLE CRONOLÓGICO'!$A$2:$A$4919,0)+$E799-1)</f>
        <v/>
      </c>
      <c r="N799" s="7">
        <f>IFERROR($M799/INDEX('DETALLE CRONOLÓGICO'!$K$2:$K$4919,MATCH($A799,'DETALLE CRONOLÓGICO'!$A$2:$A$4919,0))-1,"")</f>
        <v/>
      </c>
      <c r="O799" s="6">
        <f>IFERROR($I799*3,"")</f>
        <v/>
      </c>
      <c r="P799" s="6">
        <f>IFERROR($I799*3.5,"")</f>
        <v/>
      </c>
      <c r="Q799" s="6">
        <f>IFERROR($I799*4,"")</f>
        <v/>
      </c>
      <c r="R799" s="6" t="n">
        <v>915</v>
      </c>
      <c r="S799" s="4" t="n">
        <v>0</v>
      </c>
      <c r="T799" s="1" t="inlineStr">
        <is>
          <t>active</t>
        </is>
      </c>
      <c r="U799" s="8" t="n"/>
      <c r="V799" s="1" t="inlineStr">
        <is>
          <t>SIN PRECIO</t>
        </is>
      </c>
    </row>
    <row r="800">
      <c r="A800" s="1" t="inlineStr">
        <is>
          <t>43728071182284</t>
        </is>
      </c>
      <c r="B800" s="1" t="inlineStr">
        <is>
          <t>ANILLO SERPENTI LISO SILVER</t>
        </is>
      </c>
      <c r="C800" s="1" t="inlineStr">
        <is>
          <t>AJUSTABLE</t>
        </is>
      </c>
      <c r="D800" s="1" t="inlineStr">
        <is>
          <t>CYNTHIA</t>
        </is>
      </c>
      <c r="E800" s="4">
        <f>COUNTIF('DETALLE CRONOLÓGICO'!$A$2:$A$4919,$A800)</f>
        <v/>
      </c>
      <c r="F800" s="4">
        <f>SUMIFS('DETALLE CRONOLÓGICO'!$I$2:$I$4919,'DETALLE CRONOLÓGICO'!$A$2:$A$4919,$A800)</f>
        <v/>
      </c>
      <c r="G800" s="1">
        <f>INDEX('DETALLE CRONOLÓGICO'!$D$2:$D$4919,MATCH($A800,'DETALLE CRONOLÓGICO'!$A$2:$A$4919,0))</f>
        <v/>
      </c>
      <c r="H800" s="1">
        <f>INDEX('DETALLE CRONOLÓGICO'!$D$2:$D$4919,MATCH($A800,'DETALLE CRONOLÓGICO'!$A$2:$A$4919,0)+$E800-1)</f>
        <v/>
      </c>
      <c r="I800" s="5">
        <f>IFERROR(SUMIFS('DETALLE CRONOLÓGICO'!$L$2:$L$4919,'DETALLE CRONOLÓGICO'!$A$2:$A$4919,$A800)/$F800,"")</f>
        <v/>
      </c>
      <c r="J800" s="6">
        <f>IFERROR(SUMIFS('DETALLE CRONOLÓGICO'!$K$2:$K$4919,'DETALLE CRONOLÓGICO'!$A$2:$A$4919,$A800)/$E800,"")</f>
        <v/>
      </c>
      <c r="K800" s="6">
        <f>_xlfn.MINIFS('DETALLE CRONOLÓGICO'!$K$2:$K$4919,'DETALLE CRONOLÓGICO'!$A$2:$A$4919,$A800)</f>
        <v/>
      </c>
      <c r="L800" s="6">
        <f>_xlfn.MAXIFS('DETALLE CRONOLÓGICO'!$K$2:$K$4919,'DETALLE CRONOLÓGICO'!$A$2:$A$4919,$A800)</f>
        <v/>
      </c>
      <c r="M800" s="6">
        <f>INDEX('DETALLE CRONOLÓGICO'!$K$2:$K$4919,MATCH($A800,'DETALLE CRONOLÓGICO'!$A$2:$A$4919,0)+$E800-1)</f>
        <v/>
      </c>
      <c r="N800" s="7">
        <f>IFERROR($M800/INDEX('DETALLE CRONOLÓGICO'!$K$2:$K$4919,MATCH($A800,'DETALLE CRONOLÓGICO'!$A$2:$A$4919,0))-1,"")</f>
        <v/>
      </c>
      <c r="O800" s="6">
        <f>IFERROR($I800*3,"")</f>
        <v/>
      </c>
      <c r="P800" s="6">
        <f>IFERROR($I800*3.5,"")</f>
        <v/>
      </c>
      <c r="Q800" s="6">
        <f>IFERROR($I800*4,"")</f>
        <v/>
      </c>
      <c r="R800" s="6" t="n">
        <v>729</v>
      </c>
      <c r="S800" s="4" t="n">
        <v>2</v>
      </c>
      <c r="T800" s="1" t="inlineStr">
        <is>
          <t>active</t>
        </is>
      </c>
      <c r="U800" s="8" t="n"/>
      <c r="V800" s="1" t="inlineStr">
        <is>
          <t>SIN PRECIO</t>
        </is>
      </c>
    </row>
    <row r="801">
      <c r="A801" s="1" t="inlineStr">
        <is>
          <t>43728071296588</t>
        </is>
      </c>
      <c r="B801" s="1" t="inlineStr">
        <is>
          <t>ANILLO SERPENTI LISO GOLD</t>
        </is>
      </c>
      <c r="C801" s="1" t="inlineStr">
        <is>
          <t>AJUSTABLE</t>
        </is>
      </c>
      <c r="D801" s="1" t="inlineStr">
        <is>
          <t>CYNTHIA</t>
        </is>
      </c>
      <c r="E801" s="4">
        <f>COUNTIF('DETALLE CRONOLÓGICO'!$A$2:$A$4919,$A801)</f>
        <v/>
      </c>
      <c r="F801" s="4">
        <f>SUMIFS('DETALLE CRONOLÓGICO'!$I$2:$I$4919,'DETALLE CRONOLÓGICO'!$A$2:$A$4919,$A801)</f>
        <v/>
      </c>
      <c r="G801" s="1">
        <f>INDEX('DETALLE CRONOLÓGICO'!$D$2:$D$4919,MATCH($A801,'DETALLE CRONOLÓGICO'!$A$2:$A$4919,0))</f>
        <v/>
      </c>
      <c r="H801" s="1">
        <f>INDEX('DETALLE CRONOLÓGICO'!$D$2:$D$4919,MATCH($A801,'DETALLE CRONOLÓGICO'!$A$2:$A$4919,0)+$E801-1)</f>
        <v/>
      </c>
      <c r="I801" s="5">
        <f>IFERROR(SUMIFS('DETALLE CRONOLÓGICO'!$L$2:$L$4919,'DETALLE CRONOLÓGICO'!$A$2:$A$4919,$A801)/$F801,"")</f>
        <v/>
      </c>
      <c r="J801" s="6">
        <f>IFERROR(SUMIFS('DETALLE CRONOLÓGICO'!$K$2:$K$4919,'DETALLE CRONOLÓGICO'!$A$2:$A$4919,$A801)/$E801,"")</f>
        <v/>
      </c>
      <c r="K801" s="6">
        <f>_xlfn.MINIFS('DETALLE CRONOLÓGICO'!$K$2:$K$4919,'DETALLE CRONOLÓGICO'!$A$2:$A$4919,$A801)</f>
        <v/>
      </c>
      <c r="L801" s="6">
        <f>_xlfn.MAXIFS('DETALLE CRONOLÓGICO'!$K$2:$K$4919,'DETALLE CRONOLÓGICO'!$A$2:$A$4919,$A801)</f>
        <v/>
      </c>
      <c r="M801" s="6">
        <f>INDEX('DETALLE CRONOLÓGICO'!$K$2:$K$4919,MATCH($A801,'DETALLE CRONOLÓGICO'!$A$2:$A$4919,0)+$E801-1)</f>
        <v/>
      </c>
      <c r="N801" s="7">
        <f>IFERROR($M801/INDEX('DETALLE CRONOLÓGICO'!$K$2:$K$4919,MATCH($A801,'DETALLE CRONOLÓGICO'!$A$2:$A$4919,0))-1,"")</f>
        <v/>
      </c>
      <c r="O801" s="6">
        <f>IFERROR($I801*3,"")</f>
        <v/>
      </c>
      <c r="P801" s="6">
        <f>IFERROR($I801*3.5,"")</f>
        <v/>
      </c>
      <c r="Q801" s="6">
        <f>IFERROR($I801*4,"")</f>
        <v/>
      </c>
      <c r="R801" s="6" t="n">
        <v>709</v>
      </c>
      <c r="S801" s="4" t="n">
        <v>0</v>
      </c>
      <c r="T801" s="1" t="inlineStr">
        <is>
          <t>active</t>
        </is>
      </c>
      <c r="U801" s="8" t="n"/>
      <c r="V801" s="1" t="inlineStr">
        <is>
          <t>SIN PRECIO</t>
        </is>
      </c>
    </row>
    <row r="802">
      <c r="A802" s="1" t="inlineStr">
        <is>
          <t>43728071397708</t>
        </is>
      </c>
      <c r="B802" s="1" t="inlineStr">
        <is>
          <t>TARJETERO YSL RED</t>
        </is>
      </c>
      <c r="C802" s="1" t="inlineStr">
        <is>
          <t>10.5cmx7.5cm</t>
        </is>
      </c>
      <c r="D802" s="1" t="inlineStr">
        <is>
          <t>CYNTHIA</t>
        </is>
      </c>
      <c r="E802" s="4">
        <f>COUNTIF('DETALLE CRONOLÓGICO'!$A$2:$A$4919,$A802)</f>
        <v/>
      </c>
      <c r="F802" s="4">
        <f>SUMIFS('DETALLE CRONOLÓGICO'!$I$2:$I$4919,'DETALLE CRONOLÓGICO'!$A$2:$A$4919,$A802)</f>
        <v/>
      </c>
      <c r="G802" s="1">
        <f>INDEX('DETALLE CRONOLÓGICO'!$D$2:$D$4919,MATCH($A802,'DETALLE CRONOLÓGICO'!$A$2:$A$4919,0))</f>
        <v/>
      </c>
      <c r="H802" s="1">
        <f>INDEX('DETALLE CRONOLÓGICO'!$D$2:$D$4919,MATCH($A802,'DETALLE CRONOLÓGICO'!$A$2:$A$4919,0)+$E802-1)</f>
        <v/>
      </c>
      <c r="I802" s="5">
        <f>IFERROR(SUMIFS('DETALLE CRONOLÓGICO'!$L$2:$L$4919,'DETALLE CRONOLÓGICO'!$A$2:$A$4919,$A802)/$F802,"")</f>
        <v/>
      </c>
      <c r="J802" s="6">
        <f>IFERROR(SUMIFS('DETALLE CRONOLÓGICO'!$K$2:$K$4919,'DETALLE CRONOLÓGICO'!$A$2:$A$4919,$A802)/$E802,"")</f>
        <v/>
      </c>
      <c r="K802" s="6">
        <f>_xlfn.MINIFS('DETALLE CRONOLÓGICO'!$K$2:$K$4919,'DETALLE CRONOLÓGICO'!$A$2:$A$4919,$A802)</f>
        <v/>
      </c>
      <c r="L802" s="6">
        <f>_xlfn.MAXIFS('DETALLE CRONOLÓGICO'!$K$2:$K$4919,'DETALLE CRONOLÓGICO'!$A$2:$A$4919,$A802)</f>
        <v/>
      </c>
      <c r="M802" s="6">
        <f>INDEX('DETALLE CRONOLÓGICO'!$K$2:$K$4919,MATCH($A802,'DETALLE CRONOLÓGICO'!$A$2:$A$4919,0)+$E802-1)</f>
        <v/>
      </c>
      <c r="N802" s="7">
        <f>IFERROR($M802/INDEX('DETALLE CRONOLÓGICO'!$K$2:$K$4919,MATCH($A802,'DETALLE CRONOLÓGICO'!$A$2:$A$4919,0))-1,"")</f>
        <v/>
      </c>
      <c r="O802" s="6">
        <f>IFERROR($I802*3,"")</f>
        <v/>
      </c>
      <c r="P802" s="6">
        <f>IFERROR($I802*3.5,"")</f>
        <v/>
      </c>
      <c r="Q802" s="6">
        <f>IFERROR($I802*4,"")</f>
        <v/>
      </c>
      <c r="R802" s="6" t="n">
        <v>2079</v>
      </c>
      <c r="S802" s="4" t="n">
        <v>3</v>
      </c>
      <c r="T802" s="1" t="inlineStr">
        <is>
          <t>active</t>
        </is>
      </c>
      <c r="U802" s="8" t="n"/>
      <c r="V802" s="1" t="inlineStr">
        <is>
          <t>SIN PRECIO</t>
        </is>
      </c>
    </row>
    <row r="803">
      <c r="A803" s="1" t="inlineStr">
        <is>
          <t>43728071530988</t>
        </is>
      </c>
      <c r="B803" s="1" t="inlineStr">
        <is>
          <t>BOLSO YSL CHAROL BLACK</t>
        </is>
      </c>
      <c r="C803" s="1" t="inlineStr">
        <is>
          <t>24cmx15cm</t>
        </is>
      </c>
      <c r="D803" s="1" t="inlineStr">
        <is>
          <t>CYNTHIA</t>
        </is>
      </c>
      <c r="E803" s="4">
        <f>COUNTIF('DETALLE CRONOLÓGICO'!$A$2:$A$4919,$A803)</f>
        <v/>
      </c>
      <c r="F803" s="4">
        <f>SUMIFS('DETALLE CRONOLÓGICO'!$I$2:$I$4919,'DETALLE CRONOLÓGICO'!$A$2:$A$4919,$A803)</f>
        <v/>
      </c>
      <c r="G803" s="1">
        <f>INDEX('DETALLE CRONOLÓGICO'!$D$2:$D$4919,MATCH($A803,'DETALLE CRONOLÓGICO'!$A$2:$A$4919,0))</f>
        <v/>
      </c>
      <c r="H803" s="1">
        <f>INDEX('DETALLE CRONOLÓGICO'!$D$2:$D$4919,MATCH($A803,'DETALLE CRONOLÓGICO'!$A$2:$A$4919,0)+$E803-1)</f>
        <v/>
      </c>
      <c r="I803" s="5">
        <f>IFERROR(SUMIFS('DETALLE CRONOLÓGICO'!$L$2:$L$4919,'DETALLE CRONOLÓGICO'!$A$2:$A$4919,$A803)/$F803,"")</f>
        <v/>
      </c>
      <c r="J803" s="6">
        <f>IFERROR(SUMIFS('DETALLE CRONOLÓGICO'!$K$2:$K$4919,'DETALLE CRONOLÓGICO'!$A$2:$A$4919,$A803)/$E803,"")</f>
        <v/>
      </c>
      <c r="K803" s="6">
        <f>_xlfn.MINIFS('DETALLE CRONOLÓGICO'!$K$2:$K$4919,'DETALLE CRONOLÓGICO'!$A$2:$A$4919,$A803)</f>
        <v/>
      </c>
      <c r="L803" s="6">
        <f>_xlfn.MAXIFS('DETALLE CRONOLÓGICO'!$K$2:$K$4919,'DETALLE CRONOLÓGICO'!$A$2:$A$4919,$A803)</f>
        <v/>
      </c>
      <c r="M803" s="6">
        <f>INDEX('DETALLE CRONOLÓGICO'!$K$2:$K$4919,MATCH($A803,'DETALLE CRONOLÓGICO'!$A$2:$A$4919,0)+$E803-1)</f>
        <v/>
      </c>
      <c r="N803" s="7">
        <f>IFERROR($M803/INDEX('DETALLE CRONOLÓGICO'!$K$2:$K$4919,MATCH($A803,'DETALLE CRONOLÓGICO'!$A$2:$A$4919,0))-1,"")</f>
        <v/>
      </c>
      <c r="O803" s="6">
        <f>IFERROR($I803*3,"")</f>
        <v/>
      </c>
      <c r="P803" s="6">
        <f>IFERROR($I803*3.5,"")</f>
        <v/>
      </c>
      <c r="Q803" s="6">
        <f>IFERROR($I803*4,"")</f>
        <v/>
      </c>
      <c r="R803" s="6" t="n">
        <v>5850</v>
      </c>
      <c r="S803" s="4" t="n">
        <v>3</v>
      </c>
      <c r="T803" s="1" t="inlineStr">
        <is>
          <t>active</t>
        </is>
      </c>
      <c r="U803" s="8" t="n"/>
      <c r="V803" s="1" t="inlineStr">
        <is>
          <t>SIN PRECIO</t>
        </is>
      </c>
    </row>
    <row r="804">
      <c r="A804" s="1" t="inlineStr">
        <is>
          <t>43728071667212</t>
        </is>
      </c>
      <c r="B804" s="1" t="inlineStr">
        <is>
          <t>CINTO H KELLY BLACK</t>
        </is>
      </c>
      <c r="C804" s="1" t="inlineStr">
        <is>
          <t>AJUSTABLE</t>
        </is>
      </c>
      <c r="D804" s="1" t="inlineStr">
        <is>
          <t>CYNTHIA</t>
        </is>
      </c>
      <c r="E804" s="4">
        <f>COUNTIF('DETALLE CRONOLÓGICO'!$A$2:$A$4919,$A804)</f>
        <v/>
      </c>
      <c r="F804" s="4">
        <f>SUMIFS('DETALLE CRONOLÓGICO'!$I$2:$I$4919,'DETALLE CRONOLÓGICO'!$A$2:$A$4919,$A804)</f>
        <v/>
      </c>
      <c r="G804" s="1">
        <f>INDEX('DETALLE CRONOLÓGICO'!$D$2:$D$4919,MATCH($A804,'DETALLE CRONOLÓGICO'!$A$2:$A$4919,0))</f>
        <v/>
      </c>
      <c r="H804" s="1">
        <f>INDEX('DETALLE CRONOLÓGICO'!$D$2:$D$4919,MATCH($A804,'DETALLE CRONOLÓGICO'!$A$2:$A$4919,0)+$E804-1)</f>
        <v/>
      </c>
      <c r="I804" s="5">
        <f>IFERROR(SUMIFS('DETALLE CRONOLÓGICO'!$L$2:$L$4919,'DETALLE CRONOLÓGICO'!$A$2:$A$4919,$A804)/$F804,"")</f>
        <v/>
      </c>
      <c r="J804" s="6">
        <f>IFERROR(SUMIFS('DETALLE CRONOLÓGICO'!$K$2:$K$4919,'DETALLE CRONOLÓGICO'!$A$2:$A$4919,$A804)/$E804,"")</f>
        <v/>
      </c>
      <c r="K804" s="6">
        <f>_xlfn.MINIFS('DETALLE CRONOLÓGICO'!$K$2:$K$4919,'DETALLE CRONOLÓGICO'!$A$2:$A$4919,$A804)</f>
        <v/>
      </c>
      <c r="L804" s="6">
        <f>_xlfn.MAXIFS('DETALLE CRONOLÓGICO'!$K$2:$K$4919,'DETALLE CRONOLÓGICO'!$A$2:$A$4919,$A804)</f>
        <v/>
      </c>
      <c r="M804" s="6">
        <f>INDEX('DETALLE CRONOLÓGICO'!$K$2:$K$4919,MATCH($A804,'DETALLE CRONOLÓGICO'!$A$2:$A$4919,0)+$E804-1)</f>
        <v/>
      </c>
      <c r="N804" s="7">
        <f>IFERROR($M804/INDEX('DETALLE CRONOLÓGICO'!$K$2:$K$4919,MATCH($A804,'DETALLE CRONOLÓGICO'!$A$2:$A$4919,0))-1,"")</f>
        <v/>
      </c>
      <c r="O804" s="6">
        <f>IFERROR($I804*3,"")</f>
        <v/>
      </c>
      <c r="P804" s="6">
        <f>IFERROR($I804*3.5,"")</f>
        <v/>
      </c>
      <c r="Q804" s="6">
        <f>IFERROR($I804*4,"")</f>
        <v/>
      </c>
      <c r="R804" s="6" t="n">
        <v>899</v>
      </c>
      <c r="S804" s="4" t="n">
        <v>0</v>
      </c>
      <c r="T804" s="1" t="inlineStr">
        <is>
          <t>active</t>
        </is>
      </c>
      <c r="U804" s="8" t="n"/>
      <c r="V804" s="1" t="inlineStr">
        <is>
          <t>SIN PRECIO</t>
        </is>
      </c>
    </row>
    <row r="805">
      <c r="A805" s="1" t="inlineStr">
        <is>
          <t>43728071764972</t>
        </is>
      </c>
      <c r="B805" s="1" t="inlineStr">
        <is>
          <t>CINTO H KELLY BROWN</t>
        </is>
      </c>
      <c r="C805" s="1" t="inlineStr">
        <is>
          <t>AJUSTABLE</t>
        </is>
      </c>
      <c r="D805" s="1" t="inlineStr">
        <is>
          <t>CYNTHIA</t>
        </is>
      </c>
      <c r="E805" s="4">
        <f>COUNTIF('DETALLE CRONOLÓGICO'!$A$2:$A$4919,$A805)</f>
        <v/>
      </c>
      <c r="F805" s="4">
        <f>SUMIFS('DETALLE CRONOLÓGICO'!$I$2:$I$4919,'DETALLE CRONOLÓGICO'!$A$2:$A$4919,$A805)</f>
        <v/>
      </c>
      <c r="G805" s="1">
        <f>INDEX('DETALLE CRONOLÓGICO'!$D$2:$D$4919,MATCH($A805,'DETALLE CRONOLÓGICO'!$A$2:$A$4919,0))</f>
        <v/>
      </c>
      <c r="H805" s="1">
        <f>INDEX('DETALLE CRONOLÓGICO'!$D$2:$D$4919,MATCH($A805,'DETALLE CRONOLÓGICO'!$A$2:$A$4919,0)+$E805-1)</f>
        <v/>
      </c>
      <c r="I805" s="5">
        <f>IFERROR(SUMIFS('DETALLE CRONOLÓGICO'!$L$2:$L$4919,'DETALLE CRONOLÓGICO'!$A$2:$A$4919,$A805)/$F805,"")</f>
        <v/>
      </c>
      <c r="J805" s="6">
        <f>IFERROR(SUMIFS('DETALLE CRONOLÓGICO'!$K$2:$K$4919,'DETALLE CRONOLÓGICO'!$A$2:$A$4919,$A805)/$E805,"")</f>
        <v/>
      </c>
      <c r="K805" s="6">
        <f>_xlfn.MINIFS('DETALLE CRONOLÓGICO'!$K$2:$K$4919,'DETALLE CRONOLÓGICO'!$A$2:$A$4919,$A805)</f>
        <v/>
      </c>
      <c r="L805" s="6">
        <f>_xlfn.MAXIFS('DETALLE CRONOLÓGICO'!$K$2:$K$4919,'DETALLE CRONOLÓGICO'!$A$2:$A$4919,$A805)</f>
        <v/>
      </c>
      <c r="M805" s="6">
        <f>INDEX('DETALLE CRONOLÓGICO'!$K$2:$K$4919,MATCH($A805,'DETALLE CRONOLÓGICO'!$A$2:$A$4919,0)+$E805-1)</f>
        <v/>
      </c>
      <c r="N805" s="7">
        <f>IFERROR($M805/INDEX('DETALLE CRONOLÓGICO'!$K$2:$K$4919,MATCH($A805,'DETALLE CRONOLÓGICO'!$A$2:$A$4919,0))-1,"")</f>
        <v/>
      </c>
      <c r="O805" s="6">
        <f>IFERROR($I805*3,"")</f>
        <v/>
      </c>
      <c r="P805" s="6">
        <f>IFERROR($I805*3.5,"")</f>
        <v/>
      </c>
      <c r="Q805" s="6">
        <f>IFERROR($I805*4,"")</f>
        <v/>
      </c>
      <c r="R805" s="6" t="n">
        <v>899</v>
      </c>
      <c r="S805" s="4" t="n">
        <v>4</v>
      </c>
      <c r="T805" s="1" t="inlineStr">
        <is>
          <t>active</t>
        </is>
      </c>
      <c r="U805" s="8" t="n"/>
      <c r="V805" s="1" t="inlineStr">
        <is>
          <t>SIN PRECIO</t>
        </is>
      </c>
    </row>
    <row r="806">
      <c r="A806" s="1" t="inlineStr">
        <is>
          <t>43728071845836</t>
        </is>
      </c>
      <c r="B806" s="1" t="inlineStr">
        <is>
          <t>BOLSO C AVA TRIOMPHE BROWN</t>
        </is>
      </c>
      <c r="C806" s="1" t="inlineStr">
        <is>
          <t>22cm de largo x 12cm de alto x 6cm de ancho</t>
        </is>
      </c>
      <c r="D806" s="1" t="inlineStr">
        <is>
          <t>CYNTHIA</t>
        </is>
      </c>
      <c r="E806" s="4">
        <f>COUNTIF('DETALLE CRONOLÓGICO'!$A$2:$A$4919,$A806)</f>
        <v/>
      </c>
      <c r="F806" s="4">
        <f>SUMIFS('DETALLE CRONOLÓGICO'!$I$2:$I$4919,'DETALLE CRONOLÓGICO'!$A$2:$A$4919,$A806)</f>
        <v/>
      </c>
      <c r="G806" s="1">
        <f>INDEX('DETALLE CRONOLÓGICO'!$D$2:$D$4919,MATCH($A806,'DETALLE CRONOLÓGICO'!$A$2:$A$4919,0))</f>
        <v/>
      </c>
      <c r="H806" s="1">
        <f>INDEX('DETALLE CRONOLÓGICO'!$D$2:$D$4919,MATCH($A806,'DETALLE CRONOLÓGICO'!$A$2:$A$4919,0)+$E806-1)</f>
        <v/>
      </c>
      <c r="I806" s="5">
        <f>IFERROR(SUMIFS('DETALLE CRONOLÓGICO'!$L$2:$L$4919,'DETALLE CRONOLÓGICO'!$A$2:$A$4919,$A806)/$F806,"")</f>
        <v/>
      </c>
      <c r="J806" s="6">
        <f>IFERROR(SUMIFS('DETALLE CRONOLÓGICO'!$K$2:$K$4919,'DETALLE CRONOLÓGICO'!$A$2:$A$4919,$A806)/$E806,"")</f>
        <v/>
      </c>
      <c r="K806" s="6">
        <f>_xlfn.MINIFS('DETALLE CRONOLÓGICO'!$K$2:$K$4919,'DETALLE CRONOLÓGICO'!$A$2:$A$4919,$A806)</f>
        <v/>
      </c>
      <c r="L806" s="6">
        <f>_xlfn.MAXIFS('DETALLE CRONOLÓGICO'!$K$2:$K$4919,'DETALLE CRONOLÓGICO'!$A$2:$A$4919,$A806)</f>
        <v/>
      </c>
      <c r="M806" s="6">
        <f>INDEX('DETALLE CRONOLÓGICO'!$K$2:$K$4919,MATCH($A806,'DETALLE CRONOLÓGICO'!$A$2:$A$4919,0)+$E806-1)</f>
        <v/>
      </c>
      <c r="N806" s="7">
        <f>IFERROR($M806/INDEX('DETALLE CRONOLÓGICO'!$K$2:$K$4919,MATCH($A806,'DETALLE CRONOLÓGICO'!$A$2:$A$4919,0))-1,"")</f>
        <v/>
      </c>
      <c r="O806" s="6">
        <f>IFERROR($I806*3,"")</f>
        <v/>
      </c>
      <c r="P806" s="6">
        <f>IFERROR($I806*3.5,"")</f>
        <v/>
      </c>
      <c r="Q806" s="6">
        <f>IFERROR($I806*4,"")</f>
        <v/>
      </c>
      <c r="R806" s="6" t="n">
        <v>4325</v>
      </c>
      <c r="S806" s="4" t="n">
        <v>4</v>
      </c>
      <c r="T806" s="1" t="inlineStr">
        <is>
          <t>active</t>
        </is>
      </c>
      <c r="U806" s="8" t="n"/>
      <c r="V806" s="1" t="inlineStr">
        <is>
          <t>SIN PRECIO</t>
        </is>
      </c>
    </row>
    <row r="807">
      <c r="A807" s="1" t="inlineStr">
        <is>
          <t>43728071990540</t>
        </is>
      </c>
      <c r="B807" s="1" t="inlineStr">
        <is>
          <t>BOLSO LW BLACK</t>
        </is>
      </c>
      <c r="C807" s="1" t="inlineStr">
        <is>
          <t>28cm x 20cm</t>
        </is>
      </c>
      <c r="D807" s="1" t="inlineStr">
        <is>
          <t>CYNTHIA</t>
        </is>
      </c>
      <c r="E807" s="4">
        <f>COUNTIF('DETALLE CRONOLÓGICO'!$A$2:$A$4919,$A807)</f>
        <v/>
      </c>
      <c r="F807" s="4">
        <f>SUMIFS('DETALLE CRONOLÓGICO'!$I$2:$I$4919,'DETALLE CRONOLÓGICO'!$A$2:$A$4919,$A807)</f>
        <v/>
      </c>
      <c r="G807" s="1">
        <f>INDEX('DETALLE CRONOLÓGICO'!$D$2:$D$4919,MATCH($A807,'DETALLE CRONOLÓGICO'!$A$2:$A$4919,0))</f>
        <v/>
      </c>
      <c r="H807" s="1">
        <f>INDEX('DETALLE CRONOLÓGICO'!$D$2:$D$4919,MATCH($A807,'DETALLE CRONOLÓGICO'!$A$2:$A$4919,0)+$E807-1)</f>
        <v/>
      </c>
      <c r="I807" s="5">
        <f>IFERROR(SUMIFS('DETALLE CRONOLÓGICO'!$L$2:$L$4919,'DETALLE CRONOLÓGICO'!$A$2:$A$4919,$A807)/$F807,"")</f>
        <v/>
      </c>
      <c r="J807" s="6">
        <f>IFERROR(SUMIFS('DETALLE CRONOLÓGICO'!$K$2:$K$4919,'DETALLE CRONOLÓGICO'!$A$2:$A$4919,$A807)/$E807,"")</f>
        <v/>
      </c>
      <c r="K807" s="6">
        <f>_xlfn.MINIFS('DETALLE CRONOLÓGICO'!$K$2:$K$4919,'DETALLE CRONOLÓGICO'!$A$2:$A$4919,$A807)</f>
        <v/>
      </c>
      <c r="L807" s="6">
        <f>_xlfn.MAXIFS('DETALLE CRONOLÓGICO'!$K$2:$K$4919,'DETALLE CRONOLÓGICO'!$A$2:$A$4919,$A807)</f>
        <v/>
      </c>
      <c r="M807" s="6">
        <f>INDEX('DETALLE CRONOLÓGICO'!$K$2:$K$4919,MATCH($A807,'DETALLE CRONOLÓGICO'!$A$2:$A$4919,0)+$E807-1)</f>
        <v/>
      </c>
      <c r="N807" s="7">
        <f>IFERROR($M807/INDEX('DETALLE CRONOLÓGICO'!$K$2:$K$4919,MATCH($A807,'DETALLE CRONOLÓGICO'!$A$2:$A$4919,0))-1,"")</f>
        <v/>
      </c>
      <c r="O807" s="6">
        <f>IFERROR($I807*3,"")</f>
        <v/>
      </c>
      <c r="P807" s="6">
        <f>IFERROR($I807*3.5,"")</f>
        <v/>
      </c>
      <c r="Q807" s="6">
        <f>IFERROR($I807*4,"")</f>
        <v/>
      </c>
      <c r="R807" s="6" t="n">
        <v>6999</v>
      </c>
      <c r="S807" s="4" t="n">
        <v>4</v>
      </c>
      <c r="T807" s="1" t="inlineStr">
        <is>
          <t>active</t>
        </is>
      </c>
      <c r="U807" s="8" t="n"/>
      <c r="V807" s="1" t="inlineStr">
        <is>
          <t>SIN PRECIO</t>
        </is>
      </c>
    </row>
    <row r="808">
      <c r="A808" s="1" t="inlineStr">
        <is>
          <t>43728081992652</t>
        </is>
      </c>
      <c r="B808" s="1" t="inlineStr">
        <is>
          <t>PULSERA CON PASADOR Y PLACA ESTILO CORAZON SILVER</t>
        </is>
      </c>
      <c r="C808" s="1" t="inlineStr">
        <is>
          <t>17cm</t>
        </is>
      </c>
      <c r="D808" s="1" t="inlineStr">
        <is>
          <t>HAIFENG</t>
        </is>
      </c>
      <c r="E808" s="4">
        <f>COUNTIF('DETALLE CRONOLÓGICO'!$A$2:$A$4919,$A808)</f>
        <v/>
      </c>
      <c r="F808" s="4">
        <f>SUMIFS('DETALLE CRONOLÓGICO'!$I$2:$I$4919,'DETALLE CRONOLÓGICO'!$A$2:$A$4919,$A808)</f>
        <v/>
      </c>
      <c r="G808" s="1">
        <f>INDEX('DETALLE CRONOLÓGICO'!$D$2:$D$4919,MATCH($A808,'DETALLE CRONOLÓGICO'!$A$2:$A$4919,0))</f>
        <v/>
      </c>
      <c r="H808" s="1">
        <f>INDEX('DETALLE CRONOLÓGICO'!$D$2:$D$4919,MATCH($A808,'DETALLE CRONOLÓGICO'!$A$2:$A$4919,0)+$E808-1)</f>
        <v/>
      </c>
      <c r="I808" s="5">
        <f>IFERROR(SUMIFS('DETALLE CRONOLÓGICO'!$L$2:$L$4919,'DETALLE CRONOLÓGICO'!$A$2:$A$4919,$A808)/$F808,"")</f>
        <v/>
      </c>
      <c r="J808" s="6">
        <f>IFERROR(SUMIFS('DETALLE CRONOLÓGICO'!$K$2:$K$4919,'DETALLE CRONOLÓGICO'!$A$2:$A$4919,$A808)/$E808,"")</f>
        <v/>
      </c>
      <c r="K808" s="6">
        <f>_xlfn.MINIFS('DETALLE CRONOLÓGICO'!$K$2:$K$4919,'DETALLE CRONOLÓGICO'!$A$2:$A$4919,$A808)</f>
        <v/>
      </c>
      <c r="L808" s="6">
        <f>_xlfn.MAXIFS('DETALLE CRONOLÓGICO'!$K$2:$K$4919,'DETALLE CRONOLÓGICO'!$A$2:$A$4919,$A808)</f>
        <v/>
      </c>
      <c r="M808" s="6">
        <f>INDEX('DETALLE CRONOLÓGICO'!$K$2:$K$4919,MATCH($A808,'DETALLE CRONOLÓGICO'!$A$2:$A$4919,0)+$E808-1)</f>
        <v/>
      </c>
      <c r="N808" s="7">
        <f>IFERROR($M808/INDEX('DETALLE CRONOLÓGICO'!$K$2:$K$4919,MATCH($A808,'DETALLE CRONOLÓGICO'!$A$2:$A$4919,0))-1,"")</f>
        <v/>
      </c>
      <c r="O808" s="6">
        <f>IFERROR($I808*3,"")</f>
        <v/>
      </c>
      <c r="P808" s="6">
        <f>IFERROR($I808*3.5,"")</f>
        <v/>
      </c>
      <c r="Q808" s="6">
        <f>IFERROR($I808*4,"")</f>
        <v/>
      </c>
      <c r="R808" s="6" t="n">
        <v>699</v>
      </c>
      <c r="S808" s="4" t="n">
        <v>0</v>
      </c>
      <c r="T808" s="1" t="inlineStr">
        <is>
          <t>active</t>
        </is>
      </c>
      <c r="U808" s="8" t="n"/>
      <c r="V808" s="1" t="inlineStr">
        <is>
          <t>SIN PRECIO</t>
        </is>
      </c>
    </row>
    <row r="809">
      <c r="A809" s="1" t="inlineStr">
        <is>
          <t>43728082064620</t>
        </is>
      </c>
      <c r="B809" s="1" t="inlineStr">
        <is>
          <t>BOLSO LW CHERRY</t>
        </is>
      </c>
      <c r="C809" s="1" t="inlineStr">
        <is>
          <t>28cmx20cm</t>
        </is>
      </c>
      <c r="D809" s="1" t="inlineStr">
        <is>
          <t>CYNTHIA</t>
        </is>
      </c>
      <c r="E809" s="4">
        <f>COUNTIF('DETALLE CRONOLÓGICO'!$A$2:$A$4919,$A809)</f>
        <v/>
      </c>
      <c r="F809" s="4">
        <f>SUMIFS('DETALLE CRONOLÓGICO'!$I$2:$I$4919,'DETALLE CRONOLÓGICO'!$A$2:$A$4919,$A809)</f>
        <v/>
      </c>
      <c r="G809" s="1">
        <f>INDEX('DETALLE CRONOLÓGICO'!$D$2:$D$4919,MATCH($A809,'DETALLE CRONOLÓGICO'!$A$2:$A$4919,0))</f>
        <v/>
      </c>
      <c r="H809" s="1">
        <f>INDEX('DETALLE CRONOLÓGICO'!$D$2:$D$4919,MATCH($A809,'DETALLE CRONOLÓGICO'!$A$2:$A$4919,0)+$E809-1)</f>
        <v/>
      </c>
      <c r="I809" s="5">
        <f>IFERROR(SUMIFS('DETALLE CRONOLÓGICO'!$L$2:$L$4919,'DETALLE CRONOLÓGICO'!$A$2:$A$4919,$A809)/$F809,"")</f>
        <v/>
      </c>
      <c r="J809" s="6">
        <f>IFERROR(SUMIFS('DETALLE CRONOLÓGICO'!$K$2:$K$4919,'DETALLE CRONOLÓGICO'!$A$2:$A$4919,$A809)/$E809,"")</f>
        <v/>
      </c>
      <c r="K809" s="6">
        <f>_xlfn.MINIFS('DETALLE CRONOLÓGICO'!$K$2:$K$4919,'DETALLE CRONOLÓGICO'!$A$2:$A$4919,$A809)</f>
        <v/>
      </c>
      <c r="L809" s="6">
        <f>_xlfn.MAXIFS('DETALLE CRONOLÓGICO'!$K$2:$K$4919,'DETALLE CRONOLÓGICO'!$A$2:$A$4919,$A809)</f>
        <v/>
      </c>
      <c r="M809" s="6">
        <f>INDEX('DETALLE CRONOLÓGICO'!$K$2:$K$4919,MATCH($A809,'DETALLE CRONOLÓGICO'!$A$2:$A$4919,0)+$E809-1)</f>
        <v/>
      </c>
      <c r="N809" s="7">
        <f>IFERROR($M809/INDEX('DETALLE CRONOLÓGICO'!$K$2:$K$4919,MATCH($A809,'DETALLE CRONOLÓGICO'!$A$2:$A$4919,0))-1,"")</f>
        <v/>
      </c>
      <c r="O809" s="6">
        <f>IFERROR($I809*3,"")</f>
        <v/>
      </c>
      <c r="P809" s="6">
        <f>IFERROR($I809*3.5,"")</f>
        <v/>
      </c>
      <c r="Q809" s="6">
        <f>IFERROR($I809*4,"")</f>
        <v/>
      </c>
      <c r="R809" s="6" t="n">
        <v>6999</v>
      </c>
      <c r="S809" s="4" t="n">
        <v>4</v>
      </c>
      <c r="T809" s="1" t="inlineStr">
        <is>
          <t>active</t>
        </is>
      </c>
      <c r="U809" s="8" t="n"/>
      <c r="V809" s="1" t="inlineStr">
        <is>
          <t>SIN PRECIO</t>
        </is>
      </c>
    </row>
    <row r="810">
      <c r="A810" s="1" t="inlineStr">
        <is>
          <t>43728082231852</t>
        </is>
      </c>
      <c r="B810" s="1" t="inlineStr">
        <is>
          <t>COLLAR C D’AMOUR SILVER</t>
        </is>
      </c>
      <c r="C810" s="1" t="inlineStr">
        <is>
          <t>44cm con 5cm de extensión</t>
        </is>
      </c>
      <c r="D810" s="1" t="inlineStr">
        <is>
          <t>HAIFENG</t>
        </is>
      </c>
      <c r="E810" s="4">
        <f>COUNTIF('DETALLE CRONOLÓGICO'!$A$2:$A$4919,$A810)</f>
        <v/>
      </c>
      <c r="F810" s="4">
        <f>SUMIFS('DETALLE CRONOLÓGICO'!$I$2:$I$4919,'DETALLE CRONOLÓGICO'!$A$2:$A$4919,$A810)</f>
        <v/>
      </c>
      <c r="G810" s="1">
        <f>INDEX('DETALLE CRONOLÓGICO'!$D$2:$D$4919,MATCH($A810,'DETALLE CRONOLÓGICO'!$A$2:$A$4919,0))</f>
        <v/>
      </c>
      <c r="H810" s="1">
        <f>INDEX('DETALLE CRONOLÓGICO'!$D$2:$D$4919,MATCH($A810,'DETALLE CRONOLÓGICO'!$A$2:$A$4919,0)+$E810-1)</f>
        <v/>
      </c>
      <c r="I810" s="5">
        <f>IFERROR(SUMIFS('DETALLE CRONOLÓGICO'!$L$2:$L$4919,'DETALLE CRONOLÓGICO'!$A$2:$A$4919,$A810)/$F810,"")</f>
        <v/>
      </c>
      <c r="J810" s="6">
        <f>IFERROR(SUMIFS('DETALLE CRONOLÓGICO'!$K$2:$K$4919,'DETALLE CRONOLÓGICO'!$A$2:$A$4919,$A810)/$E810,"")</f>
        <v/>
      </c>
      <c r="K810" s="6">
        <f>_xlfn.MINIFS('DETALLE CRONOLÓGICO'!$K$2:$K$4919,'DETALLE CRONOLÓGICO'!$A$2:$A$4919,$A810)</f>
        <v/>
      </c>
      <c r="L810" s="6">
        <f>_xlfn.MAXIFS('DETALLE CRONOLÓGICO'!$K$2:$K$4919,'DETALLE CRONOLÓGICO'!$A$2:$A$4919,$A810)</f>
        <v/>
      </c>
      <c r="M810" s="6">
        <f>INDEX('DETALLE CRONOLÓGICO'!$K$2:$K$4919,MATCH($A810,'DETALLE CRONOLÓGICO'!$A$2:$A$4919,0)+$E810-1)</f>
        <v/>
      </c>
      <c r="N810" s="7">
        <f>IFERROR($M810/INDEX('DETALLE CRONOLÓGICO'!$K$2:$K$4919,MATCH($A810,'DETALLE CRONOLÓGICO'!$A$2:$A$4919,0))-1,"")</f>
        <v/>
      </c>
      <c r="O810" s="6">
        <f>IFERROR($I810*3,"")</f>
        <v/>
      </c>
      <c r="P810" s="6">
        <f>IFERROR($I810*3.5,"")</f>
        <v/>
      </c>
      <c r="Q810" s="6">
        <f>IFERROR($I810*4,"")</f>
        <v/>
      </c>
      <c r="R810" s="6" t="n">
        <v>399</v>
      </c>
      <c r="S810" s="4" t="n">
        <v>0</v>
      </c>
      <c r="T810" s="1" t="inlineStr">
        <is>
          <t>active</t>
        </is>
      </c>
      <c r="U810" s="8" t="n"/>
      <c r="V810" s="1" t="inlineStr">
        <is>
          <t>SIN PRECIO</t>
        </is>
      </c>
    </row>
    <row r="811">
      <c r="A811" s="1" t="inlineStr">
        <is>
          <t>43728082327916</t>
        </is>
      </c>
      <c r="B811" s="1" t="inlineStr">
        <is>
          <t>COLLAR C D’AMOUR GOLD</t>
        </is>
      </c>
      <c r="C811" s="1" t="inlineStr">
        <is>
          <t>44cm con 5cm de extensión</t>
        </is>
      </c>
      <c r="D811" s="1" t="inlineStr">
        <is>
          <t>HAIFENG</t>
        </is>
      </c>
      <c r="E811" s="4">
        <f>COUNTIF('DETALLE CRONOLÓGICO'!$A$2:$A$4919,$A811)</f>
        <v/>
      </c>
      <c r="F811" s="4">
        <f>SUMIFS('DETALLE CRONOLÓGICO'!$I$2:$I$4919,'DETALLE CRONOLÓGICO'!$A$2:$A$4919,$A811)</f>
        <v/>
      </c>
      <c r="G811" s="1">
        <f>INDEX('DETALLE CRONOLÓGICO'!$D$2:$D$4919,MATCH($A811,'DETALLE CRONOLÓGICO'!$A$2:$A$4919,0))</f>
        <v/>
      </c>
      <c r="H811" s="1">
        <f>INDEX('DETALLE CRONOLÓGICO'!$D$2:$D$4919,MATCH($A811,'DETALLE CRONOLÓGICO'!$A$2:$A$4919,0)+$E811-1)</f>
        <v/>
      </c>
      <c r="I811" s="5">
        <f>IFERROR(SUMIFS('DETALLE CRONOLÓGICO'!$L$2:$L$4919,'DETALLE CRONOLÓGICO'!$A$2:$A$4919,$A811)/$F811,"")</f>
        <v/>
      </c>
      <c r="J811" s="6">
        <f>IFERROR(SUMIFS('DETALLE CRONOLÓGICO'!$K$2:$K$4919,'DETALLE CRONOLÓGICO'!$A$2:$A$4919,$A811)/$E811,"")</f>
        <v/>
      </c>
      <c r="K811" s="6">
        <f>_xlfn.MINIFS('DETALLE CRONOLÓGICO'!$K$2:$K$4919,'DETALLE CRONOLÓGICO'!$A$2:$A$4919,$A811)</f>
        <v/>
      </c>
      <c r="L811" s="6">
        <f>_xlfn.MAXIFS('DETALLE CRONOLÓGICO'!$K$2:$K$4919,'DETALLE CRONOLÓGICO'!$A$2:$A$4919,$A811)</f>
        <v/>
      </c>
      <c r="M811" s="6">
        <f>INDEX('DETALLE CRONOLÓGICO'!$K$2:$K$4919,MATCH($A811,'DETALLE CRONOLÓGICO'!$A$2:$A$4919,0)+$E811-1)</f>
        <v/>
      </c>
      <c r="N811" s="7">
        <f>IFERROR($M811/INDEX('DETALLE CRONOLÓGICO'!$K$2:$K$4919,MATCH($A811,'DETALLE CRONOLÓGICO'!$A$2:$A$4919,0))-1,"")</f>
        <v/>
      </c>
      <c r="O811" s="6">
        <f>IFERROR($I811*3,"")</f>
        <v/>
      </c>
      <c r="P811" s="6">
        <f>IFERROR($I811*3.5,"")</f>
        <v/>
      </c>
      <c r="Q811" s="6">
        <f>IFERROR($I811*4,"")</f>
        <v/>
      </c>
      <c r="R811" s="6" t="n">
        <v>525</v>
      </c>
      <c r="S811" s="4" t="n">
        <v>5</v>
      </c>
      <c r="T811" s="1" t="inlineStr">
        <is>
          <t>active</t>
        </is>
      </c>
      <c r="U811" s="8" t="n"/>
      <c r="V811" s="1" t="inlineStr">
        <is>
          <t>SIN PRECIO</t>
        </is>
      </c>
    </row>
    <row r="812">
      <c r="A812" s="1" t="inlineStr">
        <is>
          <t>43728082412172</t>
        </is>
      </c>
      <c r="B812" s="1" t="inlineStr">
        <is>
          <t>COLLAR C D’AMOUR ROSE GOLD</t>
        </is>
      </c>
      <c r="C812" s="1" t="inlineStr">
        <is>
          <t>44cm con 5cm de extensión</t>
        </is>
      </c>
      <c r="D812" s="1" t="inlineStr">
        <is>
          <t>HAIFENG</t>
        </is>
      </c>
      <c r="E812" s="4">
        <f>COUNTIF('DETALLE CRONOLÓGICO'!$A$2:$A$4919,$A812)</f>
        <v/>
      </c>
      <c r="F812" s="4">
        <f>SUMIFS('DETALLE CRONOLÓGICO'!$I$2:$I$4919,'DETALLE CRONOLÓGICO'!$A$2:$A$4919,$A812)</f>
        <v/>
      </c>
      <c r="G812" s="1">
        <f>INDEX('DETALLE CRONOLÓGICO'!$D$2:$D$4919,MATCH($A812,'DETALLE CRONOLÓGICO'!$A$2:$A$4919,0))</f>
        <v/>
      </c>
      <c r="H812" s="1">
        <f>INDEX('DETALLE CRONOLÓGICO'!$D$2:$D$4919,MATCH($A812,'DETALLE CRONOLÓGICO'!$A$2:$A$4919,0)+$E812-1)</f>
        <v/>
      </c>
      <c r="I812" s="5">
        <f>IFERROR(SUMIFS('DETALLE CRONOLÓGICO'!$L$2:$L$4919,'DETALLE CRONOLÓGICO'!$A$2:$A$4919,$A812)/$F812,"")</f>
        <v/>
      </c>
      <c r="J812" s="6">
        <f>IFERROR(SUMIFS('DETALLE CRONOLÓGICO'!$K$2:$K$4919,'DETALLE CRONOLÓGICO'!$A$2:$A$4919,$A812)/$E812,"")</f>
        <v/>
      </c>
      <c r="K812" s="6">
        <f>_xlfn.MINIFS('DETALLE CRONOLÓGICO'!$K$2:$K$4919,'DETALLE CRONOLÓGICO'!$A$2:$A$4919,$A812)</f>
        <v/>
      </c>
      <c r="L812" s="6">
        <f>_xlfn.MAXIFS('DETALLE CRONOLÓGICO'!$K$2:$K$4919,'DETALLE CRONOLÓGICO'!$A$2:$A$4919,$A812)</f>
        <v/>
      </c>
      <c r="M812" s="6">
        <f>INDEX('DETALLE CRONOLÓGICO'!$K$2:$K$4919,MATCH($A812,'DETALLE CRONOLÓGICO'!$A$2:$A$4919,0)+$E812-1)</f>
        <v/>
      </c>
      <c r="N812" s="7">
        <f>IFERROR($M812/INDEX('DETALLE CRONOLÓGICO'!$K$2:$K$4919,MATCH($A812,'DETALLE CRONOLÓGICO'!$A$2:$A$4919,0))-1,"")</f>
        <v/>
      </c>
      <c r="O812" s="6">
        <f>IFERROR($I812*3,"")</f>
        <v/>
      </c>
      <c r="P812" s="6">
        <f>IFERROR($I812*3.5,"")</f>
        <v/>
      </c>
      <c r="Q812" s="6">
        <f>IFERROR($I812*4,"")</f>
        <v/>
      </c>
      <c r="R812" s="6" t="n">
        <v>525</v>
      </c>
      <c r="S812" s="4" t="n">
        <v>2</v>
      </c>
      <c r="T812" s="1" t="inlineStr">
        <is>
          <t>active</t>
        </is>
      </c>
      <c r="U812" s="8" t="n"/>
      <c r="V812" s="1" t="inlineStr">
        <is>
          <t>SIN PRECIO</t>
        </is>
      </c>
    </row>
    <row r="813">
      <c r="A813" s="1" t="inlineStr">
        <is>
          <t>43728083210732</t>
        </is>
      </c>
      <c r="B813" s="1" t="inlineStr">
        <is>
          <t>BOLSO CC 22</t>
        </is>
      </c>
      <c r="C813" s="1" t="inlineStr">
        <is>
          <t>19cm de alto x 23.5cm de ancho</t>
        </is>
      </c>
      <c r="D813" s="1" t="inlineStr">
        <is>
          <t>ZOEY</t>
        </is>
      </c>
      <c r="E813" s="4">
        <f>COUNTIF('DETALLE CRONOLÓGICO'!$A$2:$A$4919,$A813)</f>
        <v/>
      </c>
      <c r="F813" s="4">
        <f>SUMIFS('DETALLE CRONOLÓGICO'!$I$2:$I$4919,'DETALLE CRONOLÓGICO'!$A$2:$A$4919,$A813)</f>
        <v/>
      </c>
      <c r="G813" s="1">
        <f>INDEX('DETALLE CRONOLÓGICO'!$D$2:$D$4919,MATCH($A813,'DETALLE CRONOLÓGICO'!$A$2:$A$4919,0))</f>
        <v/>
      </c>
      <c r="H813" s="1">
        <f>INDEX('DETALLE CRONOLÓGICO'!$D$2:$D$4919,MATCH($A813,'DETALLE CRONOLÓGICO'!$A$2:$A$4919,0)+$E813-1)</f>
        <v/>
      </c>
      <c r="I813" s="5">
        <f>IFERROR(SUMIFS('DETALLE CRONOLÓGICO'!$L$2:$L$4919,'DETALLE CRONOLÓGICO'!$A$2:$A$4919,$A813)/$F813,"")</f>
        <v/>
      </c>
      <c r="J813" s="6">
        <f>IFERROR(SUMIFS('DETALLE CRONOLÓGICO'!$K$2:$K$4919,'DETALLE CRONOLÓGICO'!$A$2:$A$4919,$A813)/$E813,"")</f>
        <v/>
      </c>
      <c r="K813" s="6">
        <f>_xlfn.MINIFS('DETALLE CRONOLÓGICO'!$K$2:$K$4919,'DETALLE CRONOLÓGICO'!$A$2:$A$4919,$A813)</f>
        <v/>
      </c>
      <c r="L813" s="6">
        <f>_xlfn.MAXIFS('DETALLE CRONOLÓGICO'!$K$2:$K$4919,'DETALLE CRONOLÓGICO'!$A$2:$A$4919,$A813)</f>
        <v/>
      </c>
      <c r="M813" s="6">
        <f>INDEX('DETALLE CRONOLÓGICO'!$K$2:$K$4919,MATCH($A813,'DETALLE CRONOLÓGICO'!$A$2:$A$4919,0)+$E813-1)</f>
        <v/>
      </c>
      <c r="N813" s="7">
        <f>IFERROR($M813/INDEX('DETALLE CRONOLÓGICO'!$K$2:$K$4919,MATCH($A813,'DETALLE CRONOLÓGICO'!$A$2:$A$4919,0))-1,"")</f>
        <v/>
      </c>
      <c r="O813" s="6">
        <f>IFERROR($I813*3,"")</f>
        <v/>
      </c>
      <c r="P813" s="6">
        <f>IFERROR($I813*3.5,"")</f>
        <v/>
      </c>
      <c r="Q813" s="6">
        <f>IFERROR($I813*4,"")</f>
        <v/>
      </c>
      <c r="R813" s="6" t="n">
        <v>4519</v>
      </c>
      <c r="S813" s="4" t="n">
        <v>3</v>
      </c>
      <c r="T813" s="1" t="inlineStr">
        <is>
          <t>active</t>
        </is>
      </c>
      <c r="U813" s="8" t="n"/>
      <c r="V813" s="1" t="inlineStr">
        <is>
          <t>SIN PRECIO</t>
        </is>
      </c>
    </row>
    <row r="814">
      <c r="A814" s="1" t="inlineStr">
        <is>
          <t>43728083428428</t>
        </is>
      </c>
      <c r="B814" s="1" t="inlineStr">
        <is>
          <t>BOLSO CD GROOVE 20</t>
        </is>
      </c>
      <c r="C814" s="1" t="inlineStr">
        <is>
          <t>25.5cm de largo x 21cm de alto x 15.5cm de ancho</t>
        </is>
      </c>
      <c r="D814" s="1" t="inlineStr">
        <is>
          <t>ZOEY</t>
        </is>
      </c>
      <c r="E814" s="4">
        <f>COUNTIF('DETALLE CRONOLÓGICO'!$A$2:$A$4919,$A814)</f>
        <v/>
      </c>
      <c r="F814" s="4">
        <f>SUMIFS('DETALLE CRONOLÓGICO'!$I$2:$I$4919,'DETALLE CRONOLÓGICO'!$A$2:$A$4919,$A814)</f>
        <v/>
      </c>
      <c r="G814" s="1">
        <f>INDEX('DETALLE CRONOLÓGICO'!$D$2:$D$4919,MATCH($A814,'DETALLE CRONOLÓGICO'!$A$2:$A$4919,0))</f>
        <v/>
      </c>
      <c r="H814" s="1">
        <f>INDEX('DETALLE CRONOLÓGICO'!$D$2:$D$4919,MATCH($A814,'DETALLE CRONOLÓGICO'!$A$2:$A$4919,0)+$E814-1)</f>
        <v/>
      </c>
      <c r="I814" s="5">
        <f>IFERROR(SUMIFS('DETALLE CRONOLÓGICO'!$L$2:$L$4919,'DETALLE CRONOLÓGICO'!$A$2:$A$4919,$A814)/$F814,"")</f>
        <v/>
      </c>
      <c r="J814" s="6">
        <f>IFERROR(SUMIFS('DETALLE CRONOLÓGICO'!$K$2:$K$4919,'DETALLE CRONOLÓGICO'!$A$2:$A$4919,$A814)/$E814,"")</f>
        <v/>
      </c>
      <c r="K814" s="6">
        <f>_xlfn.MINIFS('DETALLE CRONOLÓGICO'!$K$2:$K$4919,'DETALLE CRONOLÓGICO'!$A$2:$A$4919,$A814)</f>
        <v/>
      </c>
      <c r="L814" s="6">
        <f>_xlfn.MAXIFS('DETALLE CRONOLÓGICO'!$K$2:$K$4919,'DETALLE CRONOLÓGICO'!$A$2:$A$4919,$A814)</f>
        <v/>
      </c>
      <c r="M814" s="6">
        <f>INDEX('DETALLE CRONOLÓGICO'!$K$2:$K$4919,MATCH($A814,'DETALLE CRONOLÓGICO'!$A$2:$A$4919,0)+$E814-1)</f>
        <v/>
      </c>
      <c r="N814" s="7">
        <f>IFERROR($M814/INDEX('DETALLE CRONOLÓGICO'!$K$2:$K$4919,MATCH($A814,'DETALLE CRONOLÓGICO'!$A$2:$A$4919,0))-1,"")</f>
        <v/>
      </c>
      <c r="O814" s="6">
        <f>IFERROR($I814*3,"")</f>
        <v/>
      </c>
      <c r="P814" s="6">
        <f>IFERROR($I814*3.5,"")</f>
        <v/>
      </c>
      <c r="Q814" s="6">
        <f>IFERROR($I814*4,"")</f>
        <v/>
      </c>
      <c r="R814" s="6" t="n">
        <v>5058.32</v>
      </c>
      <c r="S814" s="4" t="n">
        <v>1</v>
      </c>
      <c r="T814" s="1" t="inlineStr">
        <is>
          <t>active</t>
        </is>
      </c>
      <c r="U814" s="8" t="n"/>
      <c r="V814" s="1" t="inlineStr">
        <is>
          <t>SIN PRECIO</t>
        </is>
      </c>
    </row>
    <row r="815">
      <c r="A815" s="1" t="inlineStr">
        <is>
          <t>43728083615436</t>
        </is>
      </c>
      <c r="B815" s="1" t="inlineStr">
        <is>
          <t>LENTES CD SIGNATURE SI21</t>
        </is>
      </c>
      <c r="C815" s="1" t="inlineStr">
        <is>
          <t>Default Title</t>
        </is>
      </c>
      <c r="D815" s="1" t="inlineStr">
        <is>
          <t>ZOEY</t>
        </is>
      </c>
      <c r="E815" s="4">
        <f>COUNTIF('DETALLE CRONOLÓGICO'!$A$2:$A$4919,$A815)</f>
        <v/>
      </c>
      <c r="F815" s="4">
        <f>SUMIFS('DETALLE CRONOLÓGICO'!$I$2:$I$4919,'DETALLE CRONOLÓGICO'!$A$2:$A$4919,$A815)</f>
        <v/>
      </c>
      <c r="G815" s="1">
        <f>INDEX('DETALLE CRONOLÓGICO'!$D$2:$D$4919,MATCH($A815,'DETALLE CRONOLÓGICO'!$A$2:$A$4919,0))</f>
        <v/>
      </c>
      <c r="H815" s="1">
        <f>INDEX('DETALLE CRONOLÓGICO'!$D$2:$D$4919,MATCH($A815,'DETALLE CRONOLÓGICO'!$A$2:$A$4919,0)+$E815-1)</f>
        <v/>
      </c>
      <c r="I815" s="5">
        <f>IFERROR(SUMIFS('DETALLE CRONOLÓGICO'!$L$2:$L$4919,'DETALLE CRONOLÓGICO'!$A$2:$A$4919,$A815)/$F815,"")</f>
        <v/>
      </c>
      <c r="J815" s="6">
        <f>IFERROR(SUMIFS('DETALLE CRONOLÓGICO'!$K$2:$K$4919,'DETALLE CRONOLÓGICO'!$A$2:$A$4919,$A815)/$E815,"")</f>
        <v/>
      </c>
      <c r="K815" s="6">
        <f>_xlfn.MINIFS('DETALLE CRONOLÓGICO'!$K$2:$K$4919,'DETALLE CRONOLÓGICO'!$A$2:$A$4919,$A815)</f>
        <v/>
      </c>
      <c r="L815" s="6">
        <f>_xlfn.MAXIFS('DETALLE CRONOLÓGICO'!$K$2:$K$4919,'DETALLE CRONOLÓGICO'!$A$2:$A$4919,$A815)</f>
        <v/>
      </c>
      <c r="M815" s="6">
        <f>INDEX('DETALLE CRONOLÓGICO'!$K$2:$K$4919,MATCH($A815,'DETALLE CRONOLÓGICO'!$A$2:$A$4919,0)+$E815-1)</f>
        <v/>
      </c>
      <c r="N815" s="7">
        <f>IFERROR($M815/INDEX('DETALLE CRONOLÓGICO'!$K$2:$K$4919,MATCH($A815,'DETALLE CRONOLÓGICO'!$A$2:$A$4919,0))-1,"")</f>
        <v/>
      </c>
      <c r="O815" s="6">
        <f>IFERROR($I815*3,"")</f>
        <v/>
      </c>
      <c r="P815" s="6">
        <f>IFERROR($I815*3.5,"")</f>
        <v/>
      </c>
      <c r="Q815" s="6">
        <f>IFERROR($I815*4,"")</f>
        <v/>
      </c>
      <c r="R815" s="6" t="n">
        <v>3530</v>
      </c>
      <c r="S815" s="4" t="n">
        <v>3</v>
      </c>
      <c r="T815" s="1" t="inlineStr">
        <is>
          <t>active</t>
        </is>
      </c>
      <c r="U815" s="8" t="n"/>
      <c r="V815" s="1" t="inlineStr">
        <is>
          <t>SIN PRECIO</t>
        </is>
      </c>
    </row>
    <row r="816">
      <c r="A816" s="1" t="inlineStr">
        <is>
          <t>43728083774252</t>
        </is>
      </c>
      <c r="B816" s="1" t="inlineStr">
        <is>
          <t>BOLSO DE VIAJE  LV KEEPALL 45</t>
        </is>
      </c>
      <c r="C816" s="1" t="inlineStr">
        <is>
          <t>44cm de largo x 25cm de alto x 20cm de ancho</t>
        </is>
      </c>
      <c r="D816" s="1" t="inlineStr">
        <is>
          <t>ZOEY</t>
        </is>
      </c>
      <c r="E816" s="4">
        <f>COUNTIF('DETALLE CRONOLÓGICO'!$A$2:$A$4919,$A816)</f>
        <v/>
      </c>
      <c r="F816" s="4">
        <f>SUMIFS('DETALLE CRONOLÓGICO'!$I$2:$I$4919,'DETALLE CRONOLÓGICO'!$A$2:$A$4919,$A816)</f>
        <v/>
      </c>
      <c r="G816" s="1">
        <f>INDEX('DETALLE CRONOLÓGICO'!$D$2:$D$4919,MATCH($A816,'DETALLE CRONOLÓGICO'!$A$2:$A$4919,0))</f>
        <v/>
      </c>
      <c r="H816" s="1">
        <f>INDEX('DETALLE CRONOLÓGICO'!$D$2:$D$4919,MATCH($A816,'DETALLE CRONOLÓGICO'!$A$2:$A$4919,0)+$E816-1)</f>
        <v/>
      </c>
      <c r="I816" s="5">
        <f>IFERROR(SUMIFS('DETALLE CRONOLÓGICO'!$L$2:$L$4919,'DETALLE CRONOLÓGICO'!$A$2:$A$4919,$A816)/$F816,"")</f>
        <v/>
      </c>
      <c r="J816" s="6">
        <f>IFERROR(SUMIFS('DETALLE CRONOLÓGICO'!$K$2:$K$4919,'DETALLE CRONOLÓGICO'!$A$2:$A$4919,$A816)/$E816,"")</f>
        <v/>
      </c>
      <c r="K816" s="6">
        <f>_xlfn.MINIFS('DETALLE CRONOLÓGICO'!$K$2:$K$4919,'DETALLE CRONOLÓGICO'!$A$2:$A$4919,$A816)</f>
        <v/>
      </c>
      <c r="L816" s="6">
        <f>_xlfn.MAXIFS('DETALLE CRONOLÓGICO'!$K$2:$K$4919,'DETALLE CRONOLÓGICO'!$A$2:$A$4919,$A816)</f>
        <v/>
      </c>
      <c r="M816" s="6">
        <f>INDEX('DETALLE CRONOLÓGICO'!$K$2:$K$4919,MATCH($A816,'DETALLE CRONOLÓGICO'!$A$2:$A$4919,0)+$E816-1)</f>
        <v/>
      </c>
      <c r="N816" s="7">
        <f>IFERROR($M816/INDEX('DETALLE CRONOLÓGICO'!$K$2:$K$4919,MATCH($A816,'DETALLE CRONOLÓGICO'!$A$2:$A$4919,0))-1,"")</f>
        <v/>
      </c>
      <c r="O816" s="6">
        <f>IFERROR($I816*3,"")</f>
        <v/>
      </c>
      <c r="P816" s="6">
        <f>IFERROR($I816*3.5,"")</f>
        <v/>
      </c>
      <c r="Q816" s="6">
        <f>IFERROR($I816*4,"")</f>
        <v/>
      </c>
      <c r="R816" s="6" t="n">
        <v>3522</v>
      </c>
      <c r="S816" s="4" t="n">
        <v>0</v>
      </c>
      <c r="T816" s="1" t="inlineStr">
        <is>
          <t>active</t>
        </is>
      </c>
      <c r="U816" s="8" t="n"/>
      <c r="V816" s="1" t="inlineStr">
        <is>
          <t>SIN PRECIO</t>
        </is>
      </c>
    </row>
    <row r="817">
      <c r="A817" s="1" t="inlineStr">
        <is>
          <t>43728083875724</t>
        </is>
      </c>
      <c r="B817" s="1" t="inlineStr">
        <is>
          <t>BOLSO MISS D BLACK</t>
        </is>
      </c>
      <c r="C817" s="1" t="inlineStr">
        <is>
          <t>21.6cm de largo x 12cm de alto x 6.7cm de ancho (REMATE)</t>
        </is>
      </c>
      <c r="D817" s="1" t="inlineStr">
        <is>
          <t>ZOEY</t>
        </is>
      </c>
      <c r="E817" s="4">
        <f>COUNTIF('DETALLE CRONOLÓGICO'!$A$2:$A$4919,$A817)</f>
        <v/>
      </c>
      <c r="F817" s="4">
        <f>SUMIFS('DETALLE CRONOLÓGICO'!$I$2:$I$4919,'DETALLE CRONOLÓGICO'!$A$2:$A$4919,$A817)</f>
        <v/>
      </c>
      <c r="G817" s="1">
        <f>INDEX('DETALLE CRONOLÓGICO'!$D$2:$D$4919,MATCH($A817,'DETALLE CRONOLÓGICO'!$A$2:$A$4919,0))</f>
        <v/>
      </c>
      <c r="H817" s="1">
        <f>INDEX('DETALLE CRONOLÓGICO'!$D$2:$D$4919,MATCH($A817,'DETALLE CRONOLÓGICO'!$A$2:$A$4919,0)+$E817-1)</f>
        <v/>
      </c>
      <c r="I817" s="5">
        <f>IFERROR(SUMIFS('DETALLE CRONOLÓGICO'!$L$2:$L$4919,'DETALLE CRONOLÓGICO'!$A$2:$A$4919,$A817)/$F817,"")</f>
        <v/>
      </c>
      <c r="J817" s="6">
        <f>IFERROR(SUMIFS('DETALLE CRONOLÓGICO'!$K$2:$K$4919,'DETALLE CRONOLÓGICO'!$A$2:$A$4919,$A817)/$E817,"")</f>
        <v/>
      </c>
      <c r="K817" s="6">
        <f>_xlfn.MINIFS('DETALLE CRONOLÓGICO'!$K$2:$K$4919,'DETALLE CRONOLÓGICO'!$A$2:$A$4919,$A817)</f>
        <v/>
      </c>
      <c r="L817" s="6">
        <f>_xlfn.MAXIFS('DETALLE CRONOLÓGICO'!$K$2:$K$4919,'DETALLE CRONOLÓGICO'!$A$2:$A$4919,$A817)</f>
        <v/>
      </c>
      <c r="M817" s="6">
        <f>INDEX('DETALLE CRONOLÓGICO'!$K$2:$K$4919,MATCH($A817,'DETALLE CRONOLÓGICO'!$A$2:$A$4919,0)+$E817-1)</f>
        <v/>
      </c>
      <c r="N817" s="7">
        <f>IFERROR($M817/INDEX('DETALLE CRONOLÓGICO'!$K$2:$K$4919,MATCH($A817,'DETALLE CRONOLÓGICO'!$A$2:$A$4919,0))-1,"")</f>
        <v/>
      </c>
      <c r="O817" s="6">
        <f>IFERROR($I817*3,"")</f>
        <v/>
      </c>
      <c r="P817" s="6">
        <f>IFERROR($I817*3.5,"")</f>
        <v/>
      </c>
      <c r="Q817" s="6">
        <f>IFERROR($I817*4,"")</f>
        <v/>
      </c>
      <c r="R817" s="6" t="n">
        <v>5239</v>
      </c>
      <c r="S817" s="4" t="n">
        <v>1</v>
      </c>
      <c r="T817" s="1" t="inlineStr">
        <is>
          <t>active</t>
        </is>
      </c>
      <c r="U817" s="8" t="n"/>
      <c r="V817" s="1" t="inlineStr">
        <is>
          <t>SIN PRECIO</t>
        </is>
      </c>
    </row>
    <row r="818">
      <c r="A818" s="1" t="inlineStr">
        <is>
          <t>43728084018412</t>
        </is>
      </c>
      <c r="B818" s="1" t="inlineStr">
        <is>
          <t>LENTES MM</t>
        </is>
      </c>
      <c r="C818" s="1" t="inlineStr">
        <is>
          <t>Negro</t>
        </is>
      </c>
      <c r="D818" s="1" t="inlineStr">
        <is>
          <t>CYNTHIA</t>
        </is>
      </c>
      <c r="E818" s="4">
        <f>COUNTIF('DETALLE CRONOLÓGICO'!$A$2:$A$4919,$A818)</f>
        <v/>
      </c>
      <c r="F818" s="4">
        <f>SUMIFS('DETALLE CRONOLÓGICO'!$I$2:$I$4919,'DETALLE CRONOLÓGICO'!$A$2:$A$4919,$A818)</f>
        <v/>
      </c>
      <c r="G818" s="1">
        <f>INDEX('DETALLE CRONOLÓGICO'!$D$2:$D$4919,MATCH($A818,'DETALLE CRONOLÓGICO'!$A$2:$A$4919,0))</f>
        <v/>
      </c>
      <c r="H818" s="1">
        <f>INDEX('DETALLE CRONOLÓGICO'!$D$2:$D$4919,MATCH($A818,'DETALLE CRONOLÓGICO'!$A$2:$A$4919,0)+$E818-1)</f>
        <v/>
      </c>
      <c r="I818" s="5">
        <f>IFERROR(SUMIFS('DETALLE CRONOLÓGICO'!$L$2:$L$4919,'DETALLE CRONOLÓGICO'!$A$2:$A$4919,$A818)/$F818,"")</f>
        <v/>
      </c>
      <c r="J818" s="6">
        <f>IFERROR(SUMIFS('DETALLE CRONOLÓGICO'!$K$2:$K$4919,'DETALLE CRONOLÓGICO'!$A$2:$A$4919,$A818)/$E818,"")</f>
        <v/>
      </c>
      <c r="K818" s="6">
        <f>_xlfn.MINIFS('DETALLE CRONOLÓGICO'!$K$2:$K$4919,'DETALLE CRONOLÓGICO'!$A$2:$A$4919,$A818)</f>
        <v/>
      </c>
      <c r="L818" s="6">
        <f>_xlfn.MAXIFS('DETALLE CRONOLÓGICO'!$K$2:$K$4919,'DETALLE CRONOLÓGICO'!$A$2:$A$4919,$A818)</f>
        <v/>
      </c>
      <c r="M818" s="6">
        <f>INDEX('DETALLE CRONOLÓGICO'!$K$2:$K$4919,MATCH($A818,'DETALLE CRONOLÓGICO'!$A$2:$A$4919,0)+$E818-1)</f>
        <v/>
      </c>
      <c r="N818" s="7">
        <f>IFERROR($M818/INDEX('DETALLE CRONOLÓGICO'!$K$2:$K$4919,MATCH($A818,'DETALLE CRONOLÓGICO'!$A$2:$A$4919,0))-1,"")</f>
        <v/>
      </c>
      <c r="O818" s="6">
        <f>IFERROR($I818*3,"")</f>
        <v/>
      </c>
      <c r="P818" s="6">
        <f>IFERROR($I818*3.5,"")</f>
        <v/>
      </c>
      <c r="Q818" s="6">
        <f>IFERROR($I818*4,"")</f>
        <v/>
      </c>
      <c r="R818" s="6" t="n">
        <v>3999</v>
      </c>
      <c r="S818" s="4" t="n">
        <v>3</v>
      </c>
      <c r="T818" s="1" t="inlineStr">
        <is>
          <t>active</t>
        </is>
      </c>
      <c r="U818" s="8" t="n"/>
      <c r="V818" s="1" t="inlineStr">
        <is>
          <t>SIN PRECIO</t>
        </is>
      </c>
    </row>
    <row r="819">
      <c r="A819" s="1" t="inlineStr">
        <is>
          <t>43728084218572</t>
        </is>
      </c>
      <c r="B819" s="1" t="inlineStr">
        <is>
          <t>BOLSO LV DISTRICT BLACK</t>
        </is>
      </c>
      <c r="C819" s="1" t="inlineStr">
        <is>
          <t>25cm de largo x 23cm de alto x 6.5cm de ancho (REMATE)</t>
        </is>
      </c>
      <c r="D819" s="1" t="inlineStr">
        <is>
          <t>DINA DU</t>
        </is>
      </c>
      <c r="E819" s="4">
        <f>COUNTIF('DETALLE CRONOLÓGICO'!$A$2:$A$4919,$A819)</f>
        <v/>
      </c>
      <c r="F819" s="4">
        <f>SUMIFS('DETALLE CRONOLÓGICO'!$I$2:$I$4919,'DETALLE CRONOLÓGICO'!$A$2:$A$4919,$A819)</f>
        <v/>
      </c>
      <c r="G819" s="1">
        <f>INDEX('DETALLE CRONOLÓGICO'!$D$2:$D$4919,MATCH($A819,'DETALLE CRONOLÓGICO'!$A$2:$A$4919,0))</f>
        <v/>
      </c>
      <c r="H819" s="1">
        <f>INDEX('DETALLE CRONOLÓGICO'!$D$2:$D$4919,MATCH($A819,'DETALLE CRONOLÓGICO'!$A$2:$A$4919,0)+$E819-1)</f>
        <v/>
      </c>
      <c r="I819" s="5">
        <f>IFERROR(SUMIFS('DETALLE CRONOLÓGICO'!$L$2:$L$4919,'DETALLE CRONOLÓGICO'!$A$2:$A$4919,$A819)/$F819,"")</f>
        <v/>
      </c>
      <c r="J819" s="6">
        <f>IFERROR(SUMIFS('DETALLE CRONOLÓGICO'!$K$2:$K$4919,'DETALLE CRONOLÓGICO'!$A$2:$A$4919,$A819)/$E819,"")</f>
        <v/>
      </c>
      <c r="K819" s="6">
        <f>_xlfn.MINIFS('DETALLE CRONOLÓGICO'!$K$2:$K$4919,'DETALLE CRONOLÓGICO'!$A$2:$A$4919,$A819)</f>
        <v/>
      </c>
      <c r="L819" s="6">
        <f>_xlfn.MAXIFS('DETALLE CRONOLÓGICO'!$K$2:$K$4919,'DETALLE CRONOLÓGICO'!$A$2:$A$4919,$A819)</f>
        <v/>
      </c>
      <c r="M819" s="6">
        <f>INDEX('DETALLE CRONOLÓGICO'!$K$2:$K$4919,MATCH($A819,'DETALLE CRONOLÓGICO'!$A$2:$A$4919,0)+$E819-1)</f>
        <v/>
      </c>
      <c r="N819" s="7">
        <f>IFERROR($M819/INDEX('DETALLE CRONOLÓGICO'!$K$2:$K$4919,MATCH($A819,'DETALLE CRONOLÓGICO'!$A$2:$A$4919,0))-1,"")</f>
        <v/>
      </c>
      <c r="O819" s="6">
        <f>IFERROR($I819*3,"")</f>
        <v/>
      </c>
      <c r="P819" s="6">
        <f>IFERROR($I819*3.5,"")</f>
        <v/>
      </c>
      <c r="Q819" s="6">
        <f>IFERROR($I819*4,"")</f>
        <v/>
      </c>
      <c r="R819" s="6" t="n">
        <v>1758</v>
      </c>
      <c r="S819" s="4" t="n">
        <v>2</v>
      </c>
      <c r="T819" s="1" t="inlineStr">
        <is>
          <t>active</t>
        </is>
      </c>
      <c r="U819" s="8" t="n"/>
      <c r="V819" s="1" t="inlineStr">
        <is>
          <t>SIN PRECIO</t>
        </is>
      </c>
    </row>
    <row r="820">
      <c r="A820" s="1" t="inlineStr">
        <is>
          <t>43728084530892</t>
        </is>
      </c>
      <c r="B820" s="1" t="inlineStr">
        <is>
          <t>SUÉTER PR MILANO WHITE</t>
        </is>
      </c>
      <c r="C820" s="1" t="inlineStr">
        <is>
          <t>M</t>
        </is>
      </c>
      <c r="D820" s="1" t="inlineStr">
        <is>
          <t>ZOEY</t>
        </is>
      </c>
      <c r="E820" s="4">
        <f>COUNTIF('DETALLE CRONOLÓGICO'!$A$2:$A$4919,$A820)</f>
        <v/>
      </c>
      <c r="F820" s="4">
        <f>SUMIFS('DETALLE CRONOLÓGICO'!$I$2:$I$4919,'DETALLE CRONOLÓGICO'!$A$2:$A$4919,$A820)</f>
        <v/>
      </c>
      <c r="G820" s="1">
        <f>INDEX('DETALLE CRONOLÓGICO'!$D$2:$D$4919,MATCH($A820,'DETALLE CRONOLÓGICO'!$A$2:$A$4919,0))</f>
        <v/>
      </c>
      <c r="H820" s="1">
        <f>INDEX('DETALLE CRONOLÓGICO'!$D$2:$D$4919,MATCH($A820,'DETALLE CRONOLÓGICO'!$A$2:$A$4919,0)+$E820-1)</f>
        <v/>
      </c>
      <c r="I820" s="5">
        <f>IFERROR(SUMIFS('DETALLE CRONOLÓGICO'!$L$2:$L$4919,'DETALLE CRONOLÓGICO'!$A$2:$A$4919,$A820)/$F820,"")</f>
        <v/>
      </c>
      <c r="J820" s="6">
        <f>IFERROR(SUMIFS('DETALLE CRONOLÓGICO'!$K$2:$K$4919,'DETALLE CRONOLÓGICO'!$A$2:$A$4919,$A820)/$E820,"")</f>
        <v/>
      </c>
      <c r="K820" s="6">
        <f>_xlfn.MINIFS('DETALLE CRONOLÓGICO'!$K$2:$K$4919,'DETALLE CRONOLÓGICO'!$A$2:$A$4919,$A820)</f>
        <v/>
      </c>
      <c r="L820" s="6">
        <f>_xlfn.MAXIFS('DETALLE CRONOLÓGICO'!$K$2:$K$4919,'DETALLE CRONOLÓGICO'!$A$2:$A$4919,$A820)</f>
        <v/>
      </c>
      <c r="M820" s="6">
        <f>INDEX('DETALLE CRONOLÓGICO'!$K$2:$K$4919,MATCH($A820,'DETALLE CRONOLÓGICO'!$A$2:$A$4919,0)+$E820-1)</f>
        <v/>
      </c>
      <c r="N820" s="7">
        <f>IFERROR($M820/INDEX('DETALLE CRONOLÓGICO'!$K$2:$K$4919,MATCH($A820,'DETALLE CRONOLÓGICO'!$A$2:$A$4919,0))-1,"")</f>
        <v/>
      </c>
      <c r="O820" s="6">
        <f>IFERROR($I820*3,"")</f>
        <v/>
      </c>
      <c r="P820" s="6">
        <f>IFERROR($I820*3.5,"")</f>
        <v/>
      </c>
      <c r="Q820" s="6">
        <f>IFERROR($I820*4,"")</f>
        <v/>
      </c>
      <c r="R820" s="6" t="n">
        <v>3260</v>
      </c>
      <c r="S820" s="4" t="n">
        <v>0</v>
      </c>
      <c r="T820" s="1" t="inlineStr">
        <is>
          <t>active</t>
        </is>
      </c>
      <c r="U820" s="8" t="n"/>
      <c r="V820" s="1" t="inlineStr">
        <is>
          <t>SIN PRECIO</t>
        </is>
      </c>
    </row>
    <row r="821">
      <c r="A821" s="1" t="inlineStr">
        <is>
          <t>43728084634892</t>
        </is>
      </c>
      <c r="B821" s="1" t="inlineStr">
        <is>
          <t>SUETER PR MILANO BLACK</t>
        </is>
      </c>
      <c r="C821" s="1" t="inlineStr">
        <is>
          <t>M</t>
        </is>
      </c>
      <c r="D821" s="1" t="inlineStr">
        <is>
          <t>CYNTHIA / ZOEY</t>
        </is>
      </c>
      <c r="E821" s="4">
        <f>COUNTIF('DETALLE CRONOLÓGICO'!$A$2:$A$4919,$A821)</f>
        <v/>
      </c>
      <c r="F821" s="4">
        <f>SUMIFS('DETALLE CRONOLÓGICO'!$I$2:$I$4919,'DETALLE CRONOLÓGICO'!$A$2:$A$4919,$A821)</f>
        <v/>
      </c>
      <c r="G821" s="1">
        <f>INDEX('DETALLE CRONOLÓGICO'!$D$2:$D$4919,MATCH($A821,'DETALLE CRONOLÓGICO'!$A$2:$A$4919,0))</f>
        <v/>
      </c>
      <c r="H821" s="1">
        <f>INDEX('DETALLE CRONOLÓGICO'!$D$2:$D$4919,MATCH($A821,'DETALLE CRONOLÓGICO'!$A$2:$A$4919,0)+$E821-1)</f>
        <v/>
      </c>
      <c r="I821" s="5">
        <f>IFERROR(SUMIFS('DETALLE CRONOLÓGICO'!$L$2:$L$4919,'DETALLE CRONOLÓGICO'!$A$2:$A$4919,$A821)/$F821,"")</f>
        <v/>
      </c>
      <c r="J821" s="6">
        <f>IFERROR(SUMIFS('DETALLE CRONOLÓGICO'!$K$2:$K$4919,'DETALLE CRONOLÓGICO'!$A$2:$A$4919,$A821)/$E821,"")</f>
        <v/>
      </c>
      <c r="K821" s="6">
        <f>_xlfn.MINIFS('DETALLE CRONOLÓGICO'!$K$2:$K$4919,'DETALLE CRONOLÓGICO'!$A$2:$A$4919,$A821)</f>
        <v/>
      </c>
      <c r="L821" s="6">
        <f>_xlfn.MAXIFS('DETALLE CRONOLÓGICO'!$K$2:$K$4919,'DETALLE CRONOLÓGICO'!$A$2:$A$4919,$A821)</f>
        <v/>
      </c>
      <c r="M821" s="6">
        <f>INDEX('DETALLE CRONOLÓGICO'!$K$2:$K$4919,MATCH($A821,'DETALLE CRONOLÓGICO'!$A$2:$A$4919,0)+$E821-1)</f>
        <v/>
      </c>
      <c r="N821" s="7">
        <f>IFERROR($M821/INDEX('DETALLE CRONOLÓGICO'!$K$2:$K$4919,MATCH($A821,'DETALLE CRONOLÓGICO'!$A$2:$A$4919,0))-1,"")</f>
        <v/>
      </c>
      <c r="O821" s="6">
        <f>IFERROR($I821*3,"")</f>
        <v/>
      </c>
      <c r="P821" s="6">
        <f>IFERROR($I821*3.5,"")</f>
        <v/>
      </c>
      <c r="Q821" s="6">
        <f>IFERROR($I821*4,"")</f>
        <v/>
      </c>
      <c r="R821" s="6" t="n">
        <v>2832</v>
      </c>
      <c r="S821" s="4" t="n">
        <v>0</v>
      </c>
      <c r="T821" s="1" t="inlineStr">
        <is>
          <t>active</t>
        </is>
      </c>
      <c r="U821" s="8" t="n"/>
      <c r="V821" s="1" t="inlineStr">
        <is>
          <t>SIN PRECIO</t>
        </is>
      </c>
    </row>
    <row r="822">
      <c r="A822" s="1" t="inlineStr">
        <is>
          <t>43728084854796</t>
        </is>
      </c>
      <c r="B822" s="1" t="inlineStr">
        <is>
          <t>SUETER YSL</t>
        </is>
      </c>
      <c r="C822" s="1" t="inlineStr">
        <is>
          <t>M</t>
        </is>
      </c>
      <c r="D822" s="1" t="inlineStr">
        <is>
          <t>ZOEY</t>
        </is>
      </c>
      <c r="E822" s="4">
        <f>COUNTIF('DETALLE CRONOLÓGICO'!$A$2:$A$4919,$A822)</f>
        <v/>
      </c>
      <c r="F822" s="4">
        <f>SUMIFS('DETALLE CRONOLÓGICO'!$I$2:$I$4919,'DETALLE CRONOLÓGICO'!$A$2:$A$4919,$A822)</f>
        <v/>
      </c>
      <c r="G822" s="1">
        <f>INDEX('DETALLE CRONOLÓGICO'!$D$2:$D$4919,MATCH($A822,'DETALLE CRONOLÓGICO'!$A$2:$A$4919,0))</f>
        <v/>
      </c>
      <c r="H822" s="1">
        <f>INDEX('DETALLE CRONOLÓGICO'!$D$2:$D$4919,MATCH($A822,'DETALLE CRONOLÓGICO'!$A$2:$A$4919,0)+$E822-1)</f>
        <v/>
      </c>
      <c r="I822" s="5">
        <f>IFERROR(SUMIFS('DETALLE CRONOLÓGICO'!$L$2:$L$4919,'DETALLE CRONOLÓGICO'!$A$2:$A$4919,$A822)/$F822,"")</f>
        <v/>
      </c>
      <c r="J822" s="6">
        <f>IFERROR(SUMIFS('DETALLE CRONOLÓGICO'!$K$2:$K$4919,'DETALLE CRONOLÓGICO'!$A$2:$A$4919,$A822)/$E822,"")</f>
        <v/>
      </c>
      <c r="K822" s="6">
        <f>_xlfn.MINIFS('DETALLE CRONOLÓGICO'!$K$2:$K$4919,'DETALLE CRONOLÓGICO'!$A$2:$A$4919,$A822)</f>
        <v/>
      </c>
      <c r="L822" s="6">
        <f>_xlfn.MAXIFS('DETALLE CRONOLÓGICO'!$K$2:$K$4919,'DETALLE CRONOLÓGICO'!$A$2:$A$4919,$A822)</f>
        <v/>
      </c>
      <c r="M822" s="6">
        <f>INDEX('DETALLE CRONOLÓGICO'!$K$2:$K$4919,MATCH($A822,'DETALLE CRONOLÓGICO'!$A$2:$A$4919,0)+$E822-1)</f>
        <v/>
      </c>
      <c r="N822" s="7">
        <f>IFERROR($M822/INDEX('DETALLE CRONOLÓGICO'!$K$2:$K$4919,MATCH($A822,'DETALLE CRONOLÓGICO'!$A$2:$A$4919,0))-1,"")</f>
        <v/>
      </c>
      <c r="O822" s="6">
        <f>IFERROR($I822*3,"")</f>
        <v/>
      </c>
      <c r="P822" s="6">
        <f>IFERROR($I822*3.5,"")</f>
        <v/>
      </c>
      <c r="Q822" s="6">
        <f>IFERROR($I822*4,"")</f>
        <v/>
      </c>
      <c r="R822" s="6" t="n">
        <v>2832</v>
      </c>
      <c r="S822" s="4" t="n">
        <v>0</v>
      </c>
      <c r="T822" s="1" t="inlineStr">
        <is>
          <t>active</t>
        </is>
      </c>
      <c r="U822" s="8" t="n"/>
      <c r="V822" s="1" t="inlineStr">
        <is>
          <t>SIN PRECIO</t>
        </is>
      </c>
    </row>
    <row r="823">
      <c r="A823" s="1" t="inlineStr">
        <is>
          <t>43728085170668</t>
        </is>
      </c>
      <c r="B823" s="1" t="inlineStr">
        <is>
          <t>COLLAR ESLABON DOBLE CADENA GOLD</t>
        </is>
      </c>
      <c r="C823" s="1" t="inlineStr">
        <is>
          <t>47cm HIGH QUALITY</t>
        </is>
      </c>
      <c r="D823" s="1" t="inlineStr">
        <is>
          <t>CYNTHIA</t>
        </is>
      </c>
      <c r="E823" s="4">
        <f>COUNTIF('DETALLE CRONOLÓGICO'!$A$2:$A$4919,$A823)</f>
        <v/>
      </c>
      <c r="F823" s="4">
        <f>SUMIFS('DETALLE CRONOLÓGICO'!$I$2:$I$4919,'DETALLE CRONOLÓGICO'!$A$2:$A$4919,$A823)</f>
        <v/>
      </c>
      <c r="G823" s="1">
        <f>INDEX('DETALLE CRONOLÓGICO'!$D$2:$D$4919,MATCH($A823,'DETALLE CRONOLÓGICO'!$A$2:$A$4919,0))</f>
        <v/>
      </c>
      <c r="H823" s="1">
        <f>INDEX('DETALLE CRONOLÓGICO'!$D$2:$D$4919,MATCH($A823,'DETALLE CRONOLÓGICO'!$A$2:$A$4919,0)+$E823-1)</f>
        <v/>
      </c>
      <c r="I823" s="5">
        <f>IFERROR(SUMIFS('DETALLE CRONOLÓGICO'!$L$2:$L$4919,'DETALLE CRONOLÓGICO'!$A$2:$A$4919,$A823)/$F823,"")</f>
        <v/>
      </c>
      <c r="J823" s="6">
        <f>IFERROR(SUMIFS('DETALLE CRONOLÓGICO'!$K$2:$K$4919,'DETALLE CRONOLÓGICO'!$A$2:$A$4919,$A823)/$E823,"")</f>
        <v/>
      </c>
      <c r="K823" s="6">
        <f>_xlfn.MINIFS('DETALLE CRONOLÓGICO'!$K$2:$K$4919,'DETALLE CRONOLÓGICO'!$A$2:$A$4919,$A823)</f>
        <v/>
      </c>
      <c r="L823" s="6">
        <f>_xlfn.MAXIFS('DETALLE CRONOLÓGICO'!$K$2:$K$4919,'DETALLE CRONOLÓGICO'!$A$2:$A$4919,$A823)</f>
        <v/>
      </c>
      <c r="M823" s="6">
        <f>INDEX('DETALLE CRONOLÓGICO'!$K$2:$K$4919,MATCH($A823,'DETALLE CRONOLÓGICO'!$A$2:$A$4919,0)+$E823-1)</f>
        <v/>
      </c>
      <c r="N823" s="7">
        <f>IFERROR($M823/INDEX('DETALLE CRONOLÓGICO'!$K$2:$K$4919,MATCH($A823,'DETALLE CRONOLÓGICO'!$A$2:$A$4919,0))-1,"")</f>
        <v/>
      </c>
      <c r="O823" s="6">
        <f>IFERROR($I823*3,"")</f>
        <v/>
      </c>
      <c r="P823" s="6">
        <f>IFERROR($I823*3.5,"")</f>
        <v/>
      </c>
      <c r="Q823" s="6">
        <f>IFERROR($I823*4,"")</f>
        <v/>
      </c>
      <c r="R823" s="6" t="n">
        <v>1149</v>
      </c>
      <c r="S823" s="4" t="n">
        <v>4</v>
      </c>
      <c r="T823" s="1" t="inlineStr">
        <is>
          <t>active</t>
        </is>
      </c>
      <c r="U823" s="8" t="n"/>
      <c r="V823" s="1" t="inlineStr">
        <is>
          <t>SIN PRECIO</t>
        </is>
      </c>
    </row>
    <row r="824">
      <c r="A824" s="1" t="inlineStr">
        <is>
          <t>43728085695276</t>
        </is>
      </c>
      <c r="B824" s="1" t="inlineStr">
        <is>
          <t>BOLSO F FENDIGRAPHY BLACK</t>
        </is>
      </c>
      <c r="C824" s="1" t="inlineStr">
        <is>
          <t>14cm de largo x 11cm de alto x 4cm de ancho</t>
        </is>
      </c>
      <c r="D824" s="1" t="inlineStr">
        <is>
          <t>ZOEY</t>
        </is>
      </c>
      <c r="E824" s="4">
        <f>COUNTIF('DETALLE CRONOLÓGICO'!$A$2:$A$4919,$A824)</f>
        <v/>
      </c>
      <c r="F824" s="4">
        <f>SUMIFS('DETALLE CRONOLÓGICO'!$I$2:$I$4919,'DETALLE CRONOLÓGICO'!$A$2:$A$4919,$A824)</f>
        <v/>
      </c>
      <c r="G824" s="1">
        <f>INDEX('DETALLE CRONOLÓGICO'!$D$2:$D$4919,MATCH($A824,'DETALLE CRONOLÓGICO'!$A$2:$A$4919,0))</f>
        <v/>
      </c>
      <c r="H824" s="1">
        <f>INDEX('DETALLE CRONOLÓGICO'!$D$2:$D$4919,MATCH($A824,'DETALLE CRONOLÓGICO'!$A$2:$A$4919,0)+$E824-1)</f>
        <v/>
      </c>
      <c r="I824" s="5">
        <f>IFERROR(SUMIFS('DETALLE CRONOLÓGICO'!$L$2:$L$4919,'DETALLE CRONOLÓGICO'!$A$2:$A$4919,$A824)/$F824,"")</f>
        <v/>
      </c>
      <c r="J824" s="6">
        <f>IFERROR(SUMIFS('DETALLE CRONOLÓGICO'!$K$2:$K$4919,'DETALLE CRONOLÓGICO'!$A$2:$A$4919,$A824)/$E824,"")</f>
        <v/>
      </c>
      <c r="K824" s="6">
        <f>_xlfn.MINIFS('DETALLE CRONOLÓGICO'!$K$2:$K$4919,'DETALLE CRONOLÓGICO'!$A$2:$A$4919,$A824)</f>
        <v/>
      </c>
      <c r="L824" s="6">
        <f>_xlfn.MAXIFS('DETALLE CRONOLÓGICO'!$K$2:$K$4919,'DETALLE CRONOLÓGICO'!$A$2:$A$4919,$A824)</f>
        <v/>
      </c>
      <c r="M824" s="6">
        <f>INDEX('DETALLE CRONOLÓGICO'!$K$2:$K$4919,MATCH($A824,'DETALLE CRONOLÓGICO'!$A$2:$A$4919,0)+$E824-1)</f>
        <v/>
      </c>
      <c r="N824" s="7">
        <f>IFERROR($M824/INDEX('DETALLE CRONOLÓGICO'!$K$2:$K$4919,MATCH($A824,'DETALLE CRONOLÓGICO'!$A$2:$A$4919,0))-1,"")</f>
        <v/>
      </c>
      <c r="O824" s="6">
        <f>IFERROR($I824*3,"")</f>
        <v/>
      </c>
      <c r="P824" s="6">
        <f>IFERROR($I824*3.5,"")</f>
        <v/>
      </c>
      <c r="Q824" s="6">
        <f>IFERROR($I824*4,"")</f>
        <v/>
      </c>
      <c r="R824" s="6" t="n">
        <v>2050</v>
      </c>
      <c r="S824" s="4" t="n">
        <v>0</v>
      </c>
      <c r="T824" s="1" t="inlineStr">
        <is>
          <t>active</t>
        </is>
      </c>
      <c r="U824" s="8" t="n"/>
      <c r="V824" s="1" t="inlineStr">
        <is>
          <t>SIN PRECIO</t>
        </is>
      </c>
    </row>
    <row r="825">
      <c r="A825" s="1" t="inlineStr">
        <is>
          <t>43728085758636</t>
        </is>
      </c>
      <c r="B825" s="1" t="inlineStr">
        <is>
          <t>BOLSO DE VIAJE GC LOGO</t>
        </is>
      </c>
      <c r="C825" s="1" t="inlineStr">
        <is>
          <t>42cm de largo x 29cm de alto x 21cm de ancho</t>
        </is>
      </c>
      <c r="D825" s="1" t="inlineStr">
        <is>
          <t>ZOEY</t>
        </is>
      </c>
      <c r="E825" s="4">
        <f>COUNTIF('DETALLE CRONOLÓGICO'!$A$2:$A$4919,$A825)</f>
        <v/>
      </c>
      <c r="F825" s="4">
        <f>SUMIFS('DETALLE CRONOLÓGICO'!$I$2:$I$4919,'DETALLE CRONOLÓGICO'!$A$2:$A$4919,$A825)</f>
        <v/>
      </c>
      <c r="G825" s="1">
        <f>INDEX('DETALLE CRONOLÓGICO'!$D$2:$D$4919,MATCH($A825,'DETALLE CRONOLÓGICO'!$A$2:$A$4919,0))</f>
        <v/>
      </c>
      <c r="H825" s="1">
        <f>INDEX('DETALLE CRONOLÓGICO'!$D$2:$D$4919,MATCH($A825,'DETALLE CRONOLÓGICO'!$A$2:$A$4919,0)+$E825-1)</f>
        <v/>
      </c>
      <c r="I825" s="5">
        <f>IFERROR(SUMIFS('DETALLE CRONOLÓGICO'!$L$2:$L$4919,'DETALLE CRONOLÓGICO'!$A$2:$A$4919,$A825)/$F825,"")</f>
        <v/>
      </c>
      <c r="J825" s="6">
        <f>IFERROR(SUMIFS('DETALLE CRONOLÓGICO'!$K$2:$K$4919,'DETALLE CRONOLÓGICO'!$A$2:$A$4919,$A825)/$E825,"")</f>
        <v/>
      </c>
      <c r="K825" s="6">
        <f>_xlfn.MINIFS('DETALLE CRONOLÓGICO'!$K$2:$K$4919,'DETALLE CRONOLÓGICO'!$A$2:$A$4919,$A825)</f>
        <v/>
      </c>
      <c r="L825" s="6">
        <f>_xlfn.MAXIFS('DETALLE CRONOLÓGICO'!$K$2:$K$4919,'DETALLE CRONOLÓGICO'!$A$2:$A$4919,$A825)</f>
        <v/>
      </c>
      <c r="M825" s="6">
        <f>INDEX('DETALLE CRONOLÓGICO'!$K$2:$K$4919,MATCH($A825,'DETALLE CRONOLÓGICO'!$A$2:$A$4919,0)+$E825-1)</f>
        <v/>
      </c>
      <c r="N825" s="7">
        <f>IFERROR($M825/INDEX('DETALLE CRONOLÓGICO'!$K$2:$K$4919,MATCH($A825,'DETALLE CRONOLÓGICO'!$A$2:$A$4919,0))-1,"")</f>
        <v/>
      </c>
      <c r="O825" s="6">
        <f>IFERROR($I825*3,"")</f>
        <v/>
      </c>
      <c r="P825" s="6">
        <f>IFERROR($I825*3.5,"")</f>
        <v/>
      </c>
      <c r="Q825" s="6">
        <f>IFERROR($I825*4,"")</f>
        <v/>
      </c>
      <c r="R825" s="6" t="n">
        <v>6235.4</v>
      </c>
      <c r="S825" s="4" t="n">
        <v>0</v>
      </c>
      <c r="T825" s="1" t="inlineStr">
        <is>
          <t>active</t>
        </is>
      </c>
      <c r="U825" s="8" t="n"/>
      <c r="V825" s="1" t="inlineStr">
        <is>
          <t>SIN PRECIO</t>
        </is>
      </c>
    </row>
    <row r="826">
      <c r="A826" s="1" t="inlineStr">
        <is>
          <t>43728085897228</t>
        </is>
      </c>
      <c r="B826" s="1" t="inlineStr">
        <is>
          <t>CARTERA GC OPHIDIA</t>
        </is>
      </c>
      <c r="C826" s="1" t="inlineStr">
        <is>
          <t>12cm de largo x 10cm de alto</t>
        </is>
      </c>
      <c r="D826" s="1" t="inlineStr">
        <is>
          <t>ZOEY</t>
        </is>
      </c>
      <c r="E826" s="4">
        <f>COUNTIF('DETALLE CRONOLÓGICO'!$A$2:$A$4919,$A826)</f>
        <v/>
      </c>
      <c r="F826" s="4">
        <f>SUMIFS('DETALLE CRONOLÓGICO'!$I$2:$I$4919,'DETALLE CRONOLÓGICO'!$A$2:$A$4919,$A826)</f>
        <v/>
      </c>
      <c r="G826" s="1">
        <f>INDEX('DETALLE CRONOLÓGICO'!$D$2:$D$4919,MATCH($A826,'DETALLE CRONOLÓGICO'!$A$2:$A$4919,0))</f>
        <v/>
      </c>
      <c r="H826" s="1">
        <f>INDEX('DETALLE CRONOLÓGICO'!$D$2:$D$4919,MATCH($A826,'DETALLE CRONOLÓGICO'!$A$2:$A$4919,0)+$E826-1)</f>
        <v/>
      </c>
      <c r="I826" s="5">
        <f>IFERROR(SUMIFS('DETALLE CRONOLÓGICO'!$L$2:$L$4919,'DETALLE CRONOLÓGICO'!$A$2:$A$4919,$A826)/$F826,"")</f>
        <v/>
      </c>
      <c r="J826" s="6">
        <f>IFERROR(SUMIFS('DETALLE CRONOLÓGICO'!$K$2:$K$4919,'DETALLE CRONOLÓGICO'!$A$2:$A$4919,$A826)/$E826,"")</f>
        <v/>
      </c>
      <c r="K826" s="6">
        <f>_xlfn.MINIFS('DETALLE CRONOLÓGICO'!$K$2:$K$4919,'DETALLE CRONOLÓGICO'!$A$2:$A$4919,$A826)</f>
        <v/>
      </c>
      <c r="L826" s="6">
        <f>_xlfn.MAXIFS('DETALLE CRONOLÓGICO'!$K$2:$K$4919,'DETALLE CRONOLÓGICO'!$A$2:$A$4919,$A826)</f>
        <v/>
      </c>
      <c r="M826" s="6">
        <f>INDEX('DETALLE CRONOLÓGICO'!$K$2:$K$4919,MATCH($A826,'DETALLE CRONOLÓGICO'!$A$2:$A$4919,0)+$E826-1)</f>
        <v/>
      </c>
      <c r="N826" s="7">
        <f>IFERROR($M826/INDEX('DETALLE CRONOLÓGICO'!$K$2:$K$4919,MATCH($A826,'DETALLE CRONOLÓGICO'!$A$2:$A$4919,0))-1,"")</f>
        <v/>
      </c>
      <c r="O826" s="6">
        <f>IFERROR($I826*3,"")</f>
        <v/>
      </c>
      <c r="P826" s="6">
        <f>IFERROR($I826*3.5,"")</f>
        <v/>
      </c>
      <c r="Q826" s="6">
        <f>IFERROR($I826*4,"")</f>
        <v/>
      </c>
      <c r="R826" s="6" t="n">
        <v>1849</v>
      </c>
      <c r="S826" s="4" t="n">
        <v>3</v>
      </c>
      <c r="T826" s="1" t="inlineStr">
        <is>
          <t>active</t>
        </is>
      </c>
      <c r="U826" s="8" t="n"/>
      <c r="V826" s="1" t="inlineStr">
        <is>
          <t>SIN PRECIO</t>
        </is>
      </c>
    </row>
    <row r="827">
      <c r="A827" s="1" t="inlineStr">
        <is>
          <t>43728086200460</t>
        </is>
      </c>
      <c r="B827" s="1" t="inlineStr">
        <is>
          <t>CINTO GC MILANO</t>
        </is>
      </c>
      <c r="C827" s="1" t="inlineStr">
        <is>
          <t>100cm</t>
        </is>
      </c>
      <c r="D827" s="1" t="inlineStr">
        <is>
          <t>ZOEY</t>
        </is>
      </c>
      <c r="E827" s="4">
        <f>COUNTIF('DETALLE CRONOLÓGICO'!$A$2:$A$4919,$A827)</f>
        <v/>
      </c>
      <c r="F827" s="4">
        <f>SUMIFS('DETALLE CRONOLÓGICO'!$I$2:$I$4919,'DETALLE CRONOLÓGICO'!$A$2:$A$4919,$A827)</f>
        <v/>
      </c>
      <c r="G827" s="1">
        <f>INDEX('DETALLE CRONOLÓGICO'!$D$2:$D$4919,MATCH($A827,'DETALLE CRONOLÓGICO'!$A$2:$A$4919,0))</f>
        <v/>
      </c>
      <c r="H827" s="1">
        <f>INDEX('DETALLE CRONOLÓGICO'!$D$2:$D$4919,MATCH($A827,'DETALLE CRONOLÓGICO'!$A$2:$A$4919,0)+$E827-1)</f>
        <v/>
      </c>
      <c r="I827" s="5">
        <f>IFERROR(SUMIFS('DETALLE CRONOLÓGICO'!$L$2:$L$4919,'DETALLE CRONOLÓGICO'!$A$2:$A$4919,$A827)/$F827,"")</f>
        <v/>
      </c>
      <c r="J827" s="6">
        <f>IFERROR(SUMIFS('DETALLE CRONOLÓGICO'!$K$2:$K$4919,'DETALLE CRONOLÓGICO'!$A$2:$A$4919,$A827)/$E827,"")</f>
        <v/>
      </c>
      <c r="K827" s="6">
        <f>_xlfn.MINIFS('DETALLE CRONOLÓGICO'!$K$2:$K$4919,'DETALLE CRONOLÓGICO'!$A$2:$A$4919,$A827)</f>
        <v/>
      </c>
      <c r="L827" s="6">
        <f>_xlfn.MAXIFS('DETALLE CRONOLÓGICO'!$K$2:$K$4919,'DETALLE CRONOLÓGICO'!$A$2:$A$4919,$A827)</f>
        <v/>
      </c>
      <c r="M827" s="6">
        <f>INDEX('DETALLE CRONOLÓGICO'!$K$2:$K$4919,MATCH($A827,'DETALLE CRONOLÓGICO'!$A$2:$A$4919,0)+$E827-1)</f>
        <v/>
      </c>
      <c r="N827" s="7">
        <f>IFERROR($M827/INDEX('DETALLE CRONOLÓGICO'!$K$2:$K$4919,MATCH($A827,'DETALLE CRONOLÓGICO'!$A$2:$A$4919,0))-1,"")</f>
        <v/>
      </c>
      <c r="O827" s="6">
        <f>IFERROR($I827*3,"")</f>
        <v/>
      </c>
      <c r="P827" s="6">
        <f>IFERROR($I827*3.5,"")</f>
        <v/>
      </c>
      <c r="Q827" s="6">
        <f>IFERROR($I827*4,"")</f>
        <v/>
      </c>
      <c r="R827" s="6" t="n">
        <v>4039</v>
      </c>
      <c r="S827" s="4" t="n">
        <v>3</v>
      </c>
      <c r="T827" s="1" t="inlineStr">
        <is>
          <t>active</t>
        </is>
      </c>
      <c r="U827" s="8" t="n"/>
      <c r="V827" s="1" t="inlineStr">
        <is>
          <t>SIN PRECIO</t>
        </is>
      </c>
    </row>
    <row r="828">
      <c r="A828" s="1" t="inlineStr">
        <is>
          <t>43728086581452</t>
        </is>
      </c>
      <c r="B828" s="1" t="inlineStr">
        <is>
          <t>BOLSO LV LOCKIT BB</t>
        </is>
      </c>
      <c r="C828" s="1" t="inlineStr">
        <is>
          <t>19cm de largo x 19cm de alto x 7cm de ancho</t>
        </is>
      </c>
      <c r="D828" s="1" t="inlineStr">
        <is>
          <t>ZOEY</t>
        </is>
      </c>
      <c r="E828" s="4">
        <f>COUNTIF('DETALLE CRONOLÓGICO'!$A$2:$A$4919,$A828)</f>
        <v/>
      </c>
      <c r="F828" s="4">
        <f>SUMIFS('DETALLE CRONOLÓGICO'!$I$2:$I$4919,'DETALLE CRONOLÓGICO'!$A$2:$A$4919,$A828)</f>
        <v/>
      </c>
      <c r="G828" s="1">
        <f>INDEX('DETALLE CRONOLÓGICO'!$D$2:$D$4919,MATCH($A828,'DETALLE CRONOLÓGICO'!$A$2:$A$4919,0))</f>
        <v/>
      </c>
      <c r="H828" s="1">
        <f>INDEX('DETALLE CRONOLÓGICO'!$D$2:$D$4919,MATCH($A828,'DETALLE CRONOLÓGICO'!$A$2:$A$4919,0)+$E828-1)</f>
        <v/>
      </c>
      <c r="I828" s="5">
        <f>IFERROR(SUMIFS('DETALLE CRONOLÓGICO'!$L$2:$L$4919,'DETALLE CRONOLÓGICO'!$A$2:$A$4919,$A828)/$F828,"")</f>
        <v/>
      </c>
      <c r="J828" s="6">
        <f>IFERROR(SUMIFS('DETALLE CRONOLÓGICO'!$K$2:$K$4919,'DETALLE CRONOLÓGICO'!$A$2:$A$4919,$A828)/$E828,"")</f>
        <v/>
      </c>
      <c r="K828" s="6">
        <f>_xlfn.MINIFS('DETALLE CRONOLÓGICO'!$K$2:$K$4919,'DETALLE CRONOLÓGICO'!$A$2:$A$4919,$A828)</f>
        <v/>
      </c>
      <c r="L828" s="6">
        <f>_xlfn.MAXIFS('DETALLE CRONOLÓGICO'!$K$2:$K$4919,'DETALLE CRONOLÓGICO'!$A$2:$A$4919,$A828)</f>
        <v/>
      </c>
      <c r="M828" s="6">
        <f>INDEX('DETALLE CRONOLÓGICO'!$K$2:$K$4919,MATCH($A828,'DETALLE CRONOLÓGICO'!$A$2:$A$4919,0)+$E828-1)</f>
        <v/>
      </c>
      <c r="N828" s="7">
        <f>IFERROR($M828/INDEX('DETALLE CRONOLÓGICO'!$K$2:$K$4919,MATCH($A828,'DETALLE CRONOLÓGICO'!$A$2:$A$4919,0))-1,"")</f>
        <v/>
      </c>
      <c r="O828" s="6">
        <f>IFERROR($I828*3,"")</f>
        <v/>
      </c>
      <c r="P828" s="6">
        <f>IFERROR($I828*3.5,"")</f>
        <v/>
      </c>
      <c r="Q828" s="6">
        <f>IFERROR($I828*4,"")</f>
        <v/>
      </c>
      <c r="R828" s="6" t="n">
        <v>4479</v>
      </c>
      <c r="S828" s="4" t="n">
        <v>1</v>
      </c>
      <c r="T828" s="1" t="inlineStr">
        <is>
          <t>active</t>
        </is>
      </c>
      <c r="U828" s="8" t="n"/>
      <c r="V828" s="1" t="inlineStr">
        <is>
          <t>SIN PRECIO</t>
        </is>
      </c>
    </row>
    <row r="829">
      <c r="A829" s="1" t="inlineStr">
        <is>
          <t>43728086795884</t>
        </is>
      </c>
      <c r="B829" s="1" t="inlineStr">
        <is>
          <t>BOLSO GC CHERRY</t>
        </is>
      </c>
      <c r="C829" s="1" t="inlineStr">
        <is>
          <t>25cm de largo x 16cm de alto x 7.5cm de ancho</t>
        </is>
      </c>
      <c r="D829" s="1" t="inlineStr">
        <is>
          <t>ZOEY</t>
        </is>
      </c>
      <c r="E829" s="4">
        <f>COUNTIF('DETALLE CRONOLÓGICO'!$A$2:$A$4919,$A829)</f>
        <v/>
      </c>
      <c r="F829" s="4">
        <f>SUMIFS('DETALLE CRONOLÓGICO'!$I$2:$I$4919,'DETALLE CRONOLÓGICO'!$A$2:$A$4919,$A829)</f>
        <v/>
      </c>
      <c r="G829" s="1">
        <f>INDEX('DETALLE CRONOLÓGICO'!$D$2:$D$4919,MATCH($A829,'DETALLE CRONOLÓGICO'!$A$2:$A$4919,0))</f>
        <v/>
      </c>
      <c r="H829" s="1">
        <f>INDEX('DETALLE CRONOLÓGICO'!$D$2:$D$4919,MATCH($A829,'DETALLE CRONOLÓGICO'!$A$2:$A$4919,0)+$E829-1)</f>
        <v/>
      </c>
      <c r="I829" s="5">
        <f>IFERROR(SUMIFS('DETALLE CRONOLÓGICO'!$L$2:$L$4919,'DETALLE CRONOLÓGICO'!$A$2:$A$4919,$A829)/$F829,"")</f>
        <v/>
      </c>
      <c r="J829" s="6">
        <f>IFERROR(SUMIFS('DETALLE CRONOLÓGICO'!$K$2:$K$4919,'DETALLE CRONOLÓGICO'!$A$2:$A$4919,$A829)/$E829,"")</f>
        <v/>
      </c>
      <c r="K829" s="6">
        <f>_xlfn.MINIFS('DETALLE CRONOLÓGICO'!$K$2:$K$4919,'DETALLE CRONOLÓGICO'!$A$2:$A$4919,$A829)</f>
        <v/>
      </c>
      <c r="L829" s="6">
        <f>_xlfn.MAXIFS('DETALLE CRONOLÓGICO'!$K$2:$K$4919,'DETALLE CRONOLÓGICO'!$A$2:$A$4919,$A829)</f>
        <v/>
      </c>
      <c r="M829" s="6">
        <f>INDEX('DETALLE CRONOLÓGICO'!$K$2:$K$4919,MATCH($A829,'DETALLE CRONOLÓGICO'!$A$2:$A$4919,0)+$E829-1)</f>
        <v/>
      </c>
      <c r="N829" s="7">
        <f>IFERROR($M829/INDEX('DETALLE CRONOLÓGICO'!$K$2:$K$4919,MATCH($A829,'DETALLE CRONOLÓGICO'!$A$2:$A$4919,0))-1,"")</f>
        <v/>
      </c>
      <c r="O829" s="6">
        <f>IFERROR($I829*3,"")</f>
        <v/>
      </c>
      <c r="P829" s="6">
        <f>IFERROR($I829*3.5,"")</f>
        <v/>
      </c>
      <c r="Q829" s="6">
        <f>IFERROR($I829*4,"")</f>
        <v/>
      </c>
      <c r="R829" s="6" t="n">
        <v>5775</v>
      </c>
      <c r="S829" s="4" t="n">
        <v>5</v>
      </c>
      <c r="T829" s="1" t="inlineStr">
        <is>
          <t>active</t>
        </is>
      </c>
      <c r="U829" s="8" t="n"/>
      <c r="V829" s="1" t="inlineStr">
        <is>
          <t>SIN PRECIO</t>
        </is>
      </c>
    </row>
    <row r="830">
      <c r="A830" s="1" t="inlineStr">
        <is>
          <t>43728086947500</t>
        </is>
      </c>
      <c r="B830" s="1" t="inlineStr">
        <is>
          <t>COLLAR SIXTEEN STONE SILVER</t>
        </is>
      </c>
      <c r="C830" s="1" t="inlineStr">
        <is>
          <t>44.5cm de largo con extensión de 4cm</t>
        </is>
      </c>
      <c r="D830" s="1" t="inlineStr">
        <is>
          <t>HAIFENG</t>
        </is>
      </c>
      <c r="E830" s="4">
        <f>COUNTIF('DETALLE CRONOLÓGICO'!$A$2:$A$4919,$A830)</f>
        <v/>
      </c>
      <c r="F830" s="4">
        <f>SUMIFS('DETALLE CRONOLÓGICO'!$I$2:$I$4919,'DETALLE CRONOLÓGICO'!$A$2:$A$4919,$A830)</f>
        <v/>
      </c>
      <c r="G830" s="1">
        <f>INDEX('DETALLE CRONOLÓGICO'!$D$2:$D$4919,MATCH($A830,'DETALLE CRONOLÓGICO'!$A$2:$A$4919,0))</f>
        <v/>
      </c>
      <c r="H830" s="1">
        <f>INDEX('DETALLE CRONOLÓGICO'!$D$2:$D$4919,MATCH($A830,'DETALLE CRONOLÓGICO'!$A$2:$A$4919,0)+$E830-1)</f>
        <v/>
      </c>
      <c r="I830" s="5">
        <f>IFERROR(SUMIFS('DETALLE CRONOLÓGICO'!$L$2:$L$4919,'DETALLE CRONOLÓGICO'!$A$2:$A$4919,$A830)/$F830,"")</f>
        <v/>
      </c>
      <c r="J830" s="6">
        <f>IFERROR(SUMIFS('DETALLE CRONOLÓGICO'!$K$2:$K$4919,'DETALLE CRONOLÓGICO'!$A$2:$A$4919,$A830)/$E830,"")</f>
        <v/>
      </c>
      <c r="K830" s="6">
        <f>_xlfn.MINIFS('DETALLE CRONOLÓGICO'!$K$2:$K$4919,'DETALLE CRONOLÓGICO'!$A$2:$A$4919,$A830)</f>
        <v/>
      </c>
      <c r="L830" s="6">
        <f>_xlfn.MAXIFS('DETALLE CRONOLÓGICO'!$K$2:$K$4919,'DETALLE CRONOLÓGICO'!$A$2:$A$4919,$A830)</f>
        <v/>
      </c>
      <c r="M830" s="6">
        <f>INDEX('DETALLE CRONOLÓGICO'!$K$2:$K$4919,MATCH($A830,'DETALLE CRONOLÓGICO'!$A$2:$A$4919,0)+$E830-1)</f>
        <v/>
      </c>
      <c r="N830" s="7">
        <f>IFERROR($M830/INDEX('DETALLE CRONOLÓGICO'!$K$2:$K$4919,MATCH($A830,'DETALLE CRONOLÓGICO'!$A$2:$A$4919,0))-1,"")</f>
        <v/>
      </c>
      <c r="O830" s="6">
        <f>IFERROR($I830*3,"")</f>
        <v/>
      </c>
      <c r="P830" s="6">
        <f>IFERROR($I830*3.5,"")</f>
        <v/>
      </c>
      <c r="Q830" s="6">
        <f>IFERROR($I830*4,"")</f>
        <v/>
      </c>
      <c r="R830" s="6" t="n">
        <v>499</v>
      </c>
      <c r="S830" s="4" t="n">
        <v>3</v>
      </c>
      <c r="T830" s="1" t="inlineStr">
        <is>
          <t>active</t>
        </is>
      </c>
      <c r="U830" s="8" t="n"/>
      <c r="V830" s="1" t="inlineStr">
        <is>
          <t>SIN PRECIO</t>
        </is>
      </c>
    </row>
    <row r="831">
      <c r="A831" s="1" t="inlineStr">
        <is>
          <t>43728087914796</t>
        </is>
      </c>
      <c r="B831" s="1" t="inlineStr">
        <is>
          <t>BOLSO CD 30 MONTAIGNE BLACK</t>
        </is>
      </c>
      <c r="C831" s="1" t="inlineStr">
        <is>
          <t>12cm de alto x 20cm de largo x 4cm de ancho</t>
        </is>
      </c>
      <c r="D831" s="1" t="inlineStr">
        <is>
          <t>ZOEY</t>
        </is>
      </c>
      <c r="E831" s="4">
        <f>COUNTIF('DETALLE CRONOLÓGICO'!$A$2:$A$4919,$A831)</f>
        <v/>
      </c>
      <c r="F831" s="4">
        <f>SUMIFS('DETALLE CRONOLÓGICO'!$I$2:$I$4919,'DETALLE CRONOLÓGICO'!$A$2:$A$4919,$A831)</f>
        <v/>
      </c>
      <c r="G831" s="1">
        <f>INDEX('DETALLE CRONOLÓGICO'!$D$2:$D$4919,MATCH($A831,'DETALLE CRONOLÓGICO'!$A$2:$A$4919,0))</f>
        <v/>
      </c>
      <c r="H831" s="1">
        <f>INDEX('DETALLE CRONOLÓGICO'!$D$2:$D$4919,MATCH($A831,'DETALLE CRONOLÓGICO'!$A$2:$A$4919,0)+$E831-1)</f>
        <v/>
      </c>
      <c r="I831" s="5">
        <f>IFERROR(SUMIFS('DETALLE CRONOLÓGICO'!$L$2:$L$4919,'DETALLE CRONOLÓGICO'!$A$2:$A$4919,$A831)/$F831,"")</f>
        <v/>
      </c>
      <c r="J831" s="6">
        <f>IFERROR(SUMIFS('DETALLE CRONOLÓGICO'!$K$2:$K$4919,'DETALLE CRONOLÓGICO'!$A$2:$A$4919,$A831)/$E831,"")</f>
        <v/>
      </c>
      <c r="K831" s="6">
        <f>_xlfn.MINIFS('DETALLE CRONOLÓGICO'!$K$2:$K$4919,'DETALLE CRONOLÓGICO'!$A$2:$A$4919,$A831)</f>
        <v/>
      </c>
      <c r="L831" s="6">
        <f>_xlfn.MAXIFS('DETALLE CRONOLÓGICO'!$K$2:$K$4919,'DETALLE CRONOLÓGICO'!$A$2:$A$4919,$A831)</f>
        <v/>
      </c>
      <c r="M831" s="6">
        <f>INDEX('DETALLE CRONOLÓGICO'!$K$2:$K$4919,MATCH($A831,'DETALLE CRONOLÓGICO'!$A$2:$A$4919,0)+$E831-1)</f>
        <v/>
      </c>
      <c r="N831" s="7">
        <f>IFERROR($M831/INDEX('DETALLE CRONOLÓGICO'!$K$2:$K$4919,MATCH($A831,'DETALLE CRONOLÓGICO'!$A$2:$A$4919,0))-1,"")</f>
        <v/>
      </c>
      <c r="O831" s="6">
        <f>IFERROR($I831*3,"")</f>
        <v/>
      </c>
      <c r="P831" s="6">
        <f>IFERROR($I831*3.5,"")</f>
        <v/>
      </c>
      <c r="Q831" s="6">
        <f>IFERROR($I831*4,"")</f>
        <v/>
      </c>
      <c r="R831" s="6" t="n">
        <v>5520</v>
      </c>
      <c r="S831" s="4" t="n">
        <v>3</v>
      </c>
      <c r="T831" s="1" t="inlineStr">
        <is>
          <t>active</t>
        </is>
      </c>
      <c r="U831" s="8" t="n"/>
      <c r="V831" s="1" t="inlineStr">
        <is>
          <t>SIN PRECIO</t>
        </is>
      </c>
    </row>
    <row r="832">
      <c r="A832" s="1" t="inlineStr">
        <is>
          <t>43728088191436</t>
        </is>
      </c>
      <c r="B832" s="1" t="inlineStr">
        <is>
          <t>BOLSO LADY D CHAROL RED</t>
        </is>
      </c>
      <c r="C832" s="1" t="inlineStr">
        <is>
          <t>23.5cm de largo x 21cm de alto x 12cm de ancho</t>
        </is>
      </c>
      <c r="D832" s="1" t="inlineStr">
        <is>
          <t>ZOEY</t>
        </is>
      </c>
      <c r="E832" s="4">
        <f>COUNTIF('DETALLE CRONOLÓGICO'!$A$2:$A$4919,$A832)</f>
        <v/>
      </c>
      <c r="F832" s="4">
        <f>SUMIFS('DETALLE CRONOLÓGICO'!$I$2:$I$4919,'DETALLE CRONOLÓGICO'!$A$2:$A$4919,$A832)</f>
        <v/>
      </c>
      <c r="G832" s="1">
        <f>INDEX('DETALLE CRONOLÓGICO'!$D$2:$D$4919,MATCH($A832,'DETALLE CRONOLÓGICO'!$A$2:$A$4919,0))</f>
        <v/>
      </c>
      <c r="H832" s="1">
        <f>INDEX('DETALLE CRONOLÓGICO'!$D$2:$D$4919,MATCH($A832,'DETALLE CRONOLÓGICO'!$A$2:$A$4919,0)+$E832-1)</f>
        <v/>
      </c>
      <c r="I832" s="5">
        <f>IFERROR(SUMIFS('DETALLE CRONOLÓGICO'!$L$2:$L$4919,'DETALLE CRONOLÓGICO'!$A$2:$A$4919,$A832)/$F832,"")</f>
        <v/>
      </c>
      <c r="J832" s="6">
        <f>IFERROR(SUMIFS('DETALLE CRONOLÓGICO'!$K$2:$K$4919,'DETALLE CRONOLÓGICO'!$A$2:$A$4919,$A832)/$E832,"")</f>
        <v/>
      </c>
      <c r="K832" s="6">
        <f>_xlfn.MINIFS('DETALLE CRONOLÓGICO'!$K$2:$K$4919,'DETALLE CRONOLÓGICO'!$A$2:$A$4919,$A832)</f>
        <v/>
      </c>
      <c r="L832" s="6">
        <f>_xlfn.MAXIFS('DETALLE CRONOLÓGICO'!$K$2:$K$4919,'DETALLE CRONOLÓGICO'!$A$2:$A$4919,$A832)</f>
        <v/>
      </c>
      <c r="M832" s="6">
        <f>INDEX('DETALLE CRONOLÓGICO'!$K$2:$K$4919,MATCH($A832,'DETALLE CRONOLÓGICO'!$A$2:$A$4919,0)+$E832-1)</f>
        <v/>
      </c>
      <c r="N832" s="7">
        <f>IFERROR($M832/INDEX('DETALLE CRONOLÓGICO'!$K$2:$K$4919,MATCH($A832,'DETALLE CRONOLÓGICO'!$A$2:$A$4919,0))-1,"")</f>
        <v/>
      </c>
      <c r="O832" s="6">
        <f>IFERROR($I832*3,"")</f>
        <v/>
      </c>
      <c r="P832" s="6">
        <f>IFERROR($I832*3.5,"")</f>
        <v/>
      </c>
      <c r="Q832" s="6">
        <f>IFERROR($I832*4,"")</f>
        <v/>
      </c>
      <c r="R832" s="6" t="n">
        <v>5775</v>
      </c>
      <c r="S832" s="4" t="n">
        <v>0</v>
      </c>
      <c r="T832" s="1" t="inlineStr">
        <is>
          <t>active</t>
        </is>
      </c>
      <c r="U832" s="8" t="n"/>
      <c r="V832" s="1" t="inlineStr">
        <is>
          <t>SIN PRECIO</t>
        </is>
      </c>
    </row>
    <row r="833">
      <c r="A833" s="1" t="inlineStr">
        <is>
          <t>43728090185228</t>
        </is>
      </c>
      <c r="B833" s="1" t="inlineStr">
        <is>
          <t>LENTES DE SOL MM GLIMPSE BLACK</t>
        </is>
      </c>
      <c r="C833" s="1" t="inlineStr">
        <is>
          <t>REGULAR</t>
        </is>
      </c>
      <c r="D833" s="1" t="inlineStr">
        <is>
          <t>CYNTHIA</t>
        </is>
      </c>
      <c r="E833" s="4">
        <f>COUNTIF('DETALLE CRONOLÓGICO'!$A$2:$A$4919,$A833)</f>
        <v/>
      </c>
      <c r="F833" s="4">
        <f>SUMIFS('DETALLE CRONOLÓGICO'!$I$2:$I$4919,'DETALLE CRONOLÓGICO'!$A$2:$A$4919,$A833)</f>
        <v/>
      </c>
      <c r="G833" s="1">
        <f>INDEX('DETALLE CRONOLÓGICO'!$D$2:$D$4919,MATCH($A833,'DETALLE CRONOLÓGICO'!$A$2:$A$4919,0))</f>
        <v/>
      </c>
      <c r="H833" s="1">
        <f>INDEX('DETALLE CRONOLÓGICO'!$D$2:$D$4919,MATCH($A833,'DETALLE CRONOLÓGICO'!$A$2:$A$4919,0)+$E833-1)</f>
        <v/>
      </c>
      <c r="I833" s="5">
        <f>IFERROR(SUMIFS('DETALLE CRONOLÓGICO'!$L$2:$L$4919,'DETALLE CRONOLÓGICO'!$A$2:$A$4919,$A833)/$F833,"")</f>
        <v/>
      </c>
      <c r="J833" s="6">
        <f>IFERROR(SUMIFS('DETALLE CRONOLÓGICO'!$K$2:$K$4919,'DETALLE CRONOLÓGICO'!$A$2:$A$4919,$A833)/$E833,"")</f>
        <v/>
      </c>
      <c r="K833" s="6">
        <f>_xlfn.MINIFS('DETALLE CRONOLÓGICO'!$K$2:$K$4919,'DETALLE CRONOLÓGICO'!$A$2:$A$4919,$A833)</f>
        <v/>
      </c>
      <c r="L833" s="6">
        <f>_xlfn.MAXIFS('DETALLE CRONOLÓGICO'!$K$2:$K$4919,'DETALLE CRONOLÓGICO'!$A$2:$A$4919,$A833)</f>
        <v/>
      </c>
      <c r="M833" s="6">
        <f>INDEX('DETALLE CRONOLÓGICO'!$K$2:$K$4919,MATCH($A833,'DETALLE CRONOLÓGICO'!$A$2:$A$4919,0)+$E833-1)</f>
        <v/>
      </c>
      <c r="N833" s="7">
        <f>IFERROR($M833/INDEX('DETALLE CRONOLÓGICO'!$K$2:$K$4919,MATCH($A833,'DETALLE CRONOLÓGICO'!$A$2:$A$4919,0))-1,"")</f>
        <v/>
      </c>
      <c r="O833" s="6">
        <f>IFERROR($I833*3,"")</f>
        <v/>
      </c>
      <c r="P833" s="6">
        <f>IFERROR($I833*3.5,"")</f>
        <v/>
      </c>
      <c r="Q833" s="6">
        <f>IFERROR($I833*4,"")</f>
        <v/>
      </c>
      <c r="R833" s="6" t="n">
        <v>3399</v>
      </c>
      <c r="S833" s="4" t="n">
        <v>1</v>
      </c>
      <c r="T833" s="1" t="inlineStr">
        <is>
          <t>active</t>
        </is>
      </c>
      <c r="U833" s="8" t="n"/>
      <c r="V833" s="1" t="inlineStr">
        <is>
          <t>SIN PRECIO</t>
        </is>
      </c>
    </row>
    <row r="834">
      <c r="A834" s="1" t="inlineStr">
        <is>
          <t>43728090715788</t>
        </is>
      </c>
      <c r="B834" s="1" t="inlineStr">
        <is>
          <t>PULSERA LOVE SILVER</t>
        </is>
      </c>
      <c r="C834" s="1" t="inlineStr">
        <is>
          <t>16cm</t>
        </is>
      </c>
      <c r="D834" s="1" t="inlineStr">
        <is>
          <t>HAIFENG</t>
        </is>
      </c>
      <c r="E834" s="4">
        <f>COUNTIF('DETALLE CRONOLÓGICO'!$A$2:$A$4919,$A834)</f>
        <v/>
      </c>
      <c r="F834" s="4">
        <f>SUMIFS('DETALLE CRONOLÓGICO'!$I$2:$I$4919,'DETALLE CRONOLÓGICO'!$A$2:$A$4919,$A834)</f>
        <v/>
      </c>
      <c r="G834" s="1">
        <f>INDEX('DETALLE CRONOLÓGICO'!$D$2:$D$4919,MATCH($A834,'DETALLE CRONOLÓGICO'!$A$2:$A$4919,0))</f>
        <v/>
      </c>
      <c r="H834" s="1">
        <f>INDEX('DETALLE CRONOLÓGICO'!$D$2:$D$4919,MATCH($A834,'DETALLE CRONOLÓGICO'!$A$2:$A$4919,0)+$E834-1)</f>
        <v/>
      </c>
      <c r="I834" s="5">
        <f>IFERROR(SUMIFS('DETALLE CRONOLÓGICO'!$L$2:$L$4919,'DETALLE CRONOLÓGICO'!$A$2:$A$4919,$A834)/$F834,"")</f>
        <v/>
      </c>
      <c r="J834" s="6">
        <f>IFERROR(SUMIFS('DETALLE CRONOLÓGICO'!$K$2:$K$4919,'DETALLE CRONOLÓGICO'!$A$2:$A$4919,$A834)/$E834,"")</f>
        <v/>
      </c>
      <c r="K834" s="6">
        <f>_xlfn.MINIFS('DETALLE CRONOLÓGICO'!$K$2:$K$4919,'DETALLE CRONOLÓGICO'!$A$2:$A$4919,$A834)</f>
        <v/>
      </c>
      <c r="L834" s="6">
        <f>_xlfn.MAXIFS('DETALLE CRONOLÓGICO'!$K$2:$K$4919,'DETALLE CRONOLÓGICO'!$A$2:$A$4919,$A834)</f>
        <v/>
      </c>
      <c r="M834" s="6">
        <f>INDEX('DETALLE CRONOLÓGICO'!$K$2:$K$4919,MATCH($A834,'DETALLE CRONOLÓGICO'!$A$2:$A$4919,0)+$E834-1)</f>
        <v/>
      </c>
      <c r="N834" s="7">
        <f>IFERROR($M834/INDEX('DETALLE CRONOLÓGICO'!$K$2:$K$4919,MATCH($A834,'DETALLE CRONOLÓGICO'!$A$2:$A$4919,0))-1,"")</f>
        <v/>
      </c>
      <c r="O834" s="6">
        <f>IFERROR($I834*3,"")</f>
        <v/>
      </c>
      <c r="P834" s="6">
        <f>IFERROR($I834*3.5,"")</f>
        <v/>
      </c>
      <c r="Q834" s="6">
        <f>IFERROR($I834*4,"")</f>
        <v/>
      </c>
      <c r="R834" s="6" t="n">
        <v>499</v>
      </c>
      <c r="S834" s="4" t="n">
        <v>0</v>
      </c>
      <c r="T834" s="1" t="inlineStr">
        <is>
          <t>active</t>
        </is>
      </c>
      <c r="U834" s="8" t="n"/>
      <c r="V834" s="1" t="inlineStr">
        <is>
          <t>SIN PRECIO</t>
        </is>
      </c>
    </row>
    <row r="835">
      <c r="A835" s="1" t="inlineStr">
        <is>
          <t>43728090848556</t>
        </is>
      </c>
      <c r="B835" s="1" t="inlineStr">
        <is>
          <t>PULSERA LOVE SILVER</t>
        </is>
      </c>
      <c r="C835" s="1" t="inlineStr">
        <is>
          <t>17cm</t>
        </is>
      </c>
      <c r="D835" s="1" t="inlineStr">
        <is>
          <t>HAIFENG</t>
        </is>
      </c>
      <c r="E835" s="4">
        <f>COUNTIF('DETALLE CRONOLÓGICO'!$A$2:$A$4919,$A835)</f>
        <v/>
      </c>
      <c r="F835" s="4">
        <f>SUMIFS('DETALLE CRONOLÓGICO'!$I$2:$I$4919,'DETALLE CRONOLÓGICO'!$A$2:$A$4919,$A835)</f>
        <v/>
      </c>
      <c r="G835" s="1">
        <f>INDEX('DETALLE CRONOLÓGICO'!$D$2:$D$4919,MATCH($A835,'DETALLE CRONOLÓGICO'!$A$2:$A$4919,0))</f>
        <v/>
      </c>
      <c r="H835" s="1">
        <f>INDEX('DETALLE CRONOLÓGICO'!$D$2:$D$4919,MATCH($A835,'DETALLE CRONOLÓGICO'!$A$2:$A$4919,0)+$E835-1)</f>
        <v/>
      </c>
      <c r="I835" s="5">
        <f>IFERROR(SUMIFS('DETALLE CRONOLÓGICO'!$L$2:$L$4919,'DETALLE CRONOLÓGICO'!$A$2:$A$4919,$A835)/$F835,"")</f>
        <v/>
      </c>
      <c r="J835" s="6">
        <f>IFERROR(SUMIFS('DETALLE CRONOLÓGICO'!$K$2:$K$4919,'DETALLE CRONOLÓGICO'!$A$2:$A$4919,$A835)/$E835,"")</f>
        <v/>
      </c>
      <c r="K835" s="6">
        <f>_xlfn.MINIFS('DETALLE CRONOLÓGICO'!$K$2:$K$4919,'DETALLE CRONOLÓGICO'!$A$2:$A$4919,$A835)</f>
        <v/>
      </c>
      <c r="L835" s="6">
        <f>_xlfn.MAXIFS('DETALLE CRONOLÓGICO'!$K$2:$K$4919,'DETALLE CRONOLÓGICO'!$A$2:$A$4919,$A835)</f>
        <v/>
      </c>
      <c r="M835" s="6">
        <f>INDEX('DETALLE CRONOLÓGICO'!$K$2:$K$4919,MATCH($A835,'DETALLE CRONOLÓGICO'!$A$2:$A$4919,0)+$E835-1)</f>
        <v/>
      </c>
      <c r="N835" s="7">
        <f>IFERROR($M835/INDEX('DETALLE CRONOLÓGICO'!$K$2:$K$4919,MATCH($A835,'DETALLE CRONOLÓGICO'!$A$2:$A$4919,0))-1,"")</f>
        <v/>
      </c>
      <c r="O835" s="6">
        <f>IFERROR($I835*3,"")</f>
        <v/>
      </c>
      <c r="P835" s="6">
        <f>IFERROR($I835*3.5,"")</f>
        <v/>
      </c>
      <c r="Q835" s="6">
        <f>IFERROR($I835*4,"")</f>
        <v/>
      </c>
      <c r="R835" s="6" t="n">
        <v>499</v>
      </c>
      <c r="S835" s="4" t="n">
        <v>13</v>
      </c>
      <c r="T835" s="1" t="inlineStr">
        <is>
          <t>active</t>
        </is>
      </c>
      <c r="U835" s="8" t="n"/>
      <c r="V835" s="1" t="inlineStr">
        <is>
          <t>SIN PRECIO</t>
        </is>
      </c>
    </row>
    <row r="836">
      <c r="A836" s="1" t="inlineStr">
        <is>
          <t>43728090981324</t>
        </is>
      </c>
      <c r="B836" s="1" t="inlineStr">
        <is>
          <t>PULSERA LOVE SILVER</t>
        </is>
      </c>
      <c r="C836" s="1" t="inlineStr">
        <is>
          <t>18cm</t>
        </is>
      </c>
      <c r="D836" s="1" t="inlineStr">
        <is>
          <t>HAIFENG</t>
        </is>
      </c>
      <c r="E836" s="4">
        <f>COUNTIF('DETALLE CRONOLÓGICO'!$A$2:$A$4919,$A836)</f>
        <v/>
      </c>
      <c r="F836" s="4">
        <f>SUMIFS('DETALLE CRONOLÓGICO'!$I$2:$I$4919,'DETALLE CRONOLÓGICO'!$A$2:$A$4919,$A836)</f>
        <v/>
      </c>
      <c r="G836" s="1">
        <f>INDEX('DETALLE CRONOLÓGICO'!$D$2:$D$4919,MATCH($A836,'DETALLE CRONOLÓGICO'!$A$2:$A$4919,0))</f>
        <v/>
      </c>
      <c r="H836" s="1">
        <f>INDEX('DETALLE CRONOLÓGICO'!$D$2:$D$4919,MATCH($A836,'DETALLE CRONOLÓGICO'!$A$2:$A$4919,0)+$E836-1)</f>
        <v/>
      </c>
      <c r="I836" s="5">
        <f>IFERROR(SUMIFS('DETALLE CRONOLÓGICO'!$L$2:$L$4919,'DETALLE CRONOLÓGICO'!$A$2:$A$4919,$A836)/$F836,"")</f>
        <v/>
      </c>
      <c r="J836" s="6">
        <f>IFERROR(SUMIFS('DETALLE CRONOLÓGICO'!$K$2:$K$4919,'DETALLE CRONOLÓGICO'!$A$2:$A$4919,$A836)/$E836,"")</f>
        <v/>
      </c>
      <c r="K836" s="6">
        <f>_xlfn.MINIFS('DETALLE CRONOLÓGICO'!$K$2:$K$4919,'DETALLE CRONOLÓGICO'!$A$2:$A$4919,$A836)</f>
        <v/>
      </c>
      <c r="L836" s="6">
        <f>_xlfn.MAXIFS('DETALLE CRONOLÓGICO'!$K$2:$K$4919,'DETALLE CRONOLÓGICO'!$A$2:$A$4919,$A836)</f>
        <v/>
      </c>
      <c r="M836" s="6">
        <f>INDEX('DETALLE CRONOLÓGICO'!$K$2:$K$4919,MATCH($A836,'DETALLE CRONOLÓGICO'!$A$2:$A$4919,0)+$E836-1)</f>
        <v/>
      </c>
      <c r="N836" s="7">
        <f>IFERROR($M836/INDEX('DETALLE CRONOLÓGICO'!$K$2:$K$4919,MATCH($A836,'DETALLE CRONOLÓGICO'!$A$2:$A$4919,0))-1,"")</f>
        <v/>
      </c>
      <c r="O836" s="6">
        <f>IFERROR($I836*3,"")</f>
        <v/>
      </c>
      <c r="P836" s="6">
        <f>IFERROR($I836*3.5,"")</f>
        <v/>
      </c>
      <c r="Q836" s="6">
        <f>IFERROR($I836*4,"")</f>
        <v/>
      </c>
      <c r="R836" s="6" t="n">
        <v>499</v>
      </c>
      <c r="S836" s="4" t="n">
        <v>6</v>
      </c>
      <c r="T836" s="1" t="inlineStr">
        <is>
          <t>active</t>
        </is>
      </c>
      <c r="U836" s="8" t="n"/>
      <c r="V836" s="1" t="inlineStr">
        <is>
          <t>SIN PRECIO</t>
        </is>
      </c>
    </row>
    <row r="837">
      <c r="A837" s="1" t="inlineStr">
        <is>
          <t>43728091014092</t>
        </is>
      </c>
      <c r="B837" s="1" t="inlineStr">
        <is>
          <t>PULSERA LOVE SILVER</t>
        </is>
      </c>
      <c r="C837" s="1" t="inlineStr">
        <is>
          <t>19cm</t>
        </is>
      </c>
      <c r="D837" s="1" t="inlineStr">
        <is>
          <t>HAIFENG</t>
        </is>
      </c>
      <c r="E837" s="4">
        <f>COUNTIF('DETALLE CRONOLÓGICO'!$A$2:$A$4919,$A837)</f>
        <v/>
      </c>
      <c r="F837" s="4">
        <f>SUMIFS('DETALLE CRONOLÓGICO'!$I$2:$I$4919,'DETALLE CRONOLÓGICO'!$A$2:$A$4919,$A837)</f>
        <v/>
      </c>
      <c r="G837" s="1">
        <f>INDEX('DETALLE CRONOLÓGICO'!$D$2:$D$4919,MATCH($A837,'DETALLE CRONOLÓGICO'!$A$2:$A$4919,0))</f>
        <v/>
      </c>
      <c r="H837" s="1">
        <f>INDEX('DETALLE CRONOLÓGICO'!$D$2:$D$4919,MATCH($A837,'DETALLE CRONOLÓGICO'!$A$2:$A$4919,0)+$E837-1)</f>
        <v/>
      </c>
      <c r="I837" s="5">
        <f>IFERROR(SUMIFS('DETALLE CRONOLÓGICO'!$L$2:$L$4919,'DETALLE CRONOLÓGICO'!$A$2:$A$4919,$A837)/$F837,"")</f>
        <v/>
      </c>
      <c r="J837" s="6">
        <f>IFERROR(SUMIFS('DETALLE CRONOLÓGICO'!$K$2:$K$4919,'DETALLE CRONOLÓGICO'!$A$2:$A$4919,$A837)/$E837,"")</f>
        <v/>
      </c>
      <c r="K837" s="6">
        <f>_xlfn.MINIFS('DETALLE CRONOLÓGICO'!$K$2:$K$4919,'DETALLE CRONOLÓGICO'!$A$2:$A$4919,$A837)</f>
        <v/>
      </c>
      <c r="L837" s="6">
        <f>_xlfn.MAXIFS('DETALLE CRONOLÓGICO'!$K$2:$K$4919,'DETALLE CRONOLÓGICO'!$A$2:$A$4919,$A837)</f>
        <v/>
      </c>
      <c r="M837" s="6">
        <f>INDEX('DETALLE CRONOLÓGICO'!$K$2:$K$4919,MATCH($A837,'DETALLE CRONOLÓGICO'!$A$2:$A$4919,0)+$E837-1)</f>
        <v/>
      </c>
      <c r="N837" s="7">
        <f>IFERROR($M837/INDEX('DETALLE CRONOLÓGICO'!$K$2:$K$4919,MATCH($A837,'DETALLE CRONOLÓGICO'!$A$2:$A$4919,0))-1,"")</f>
        <v/>
      </c>
      <c r="O837" s="6">
        <f>IFERROR($I837*3,"")</f>
        <v/>
      </c>
      <c r="P837" s="6">
        <f>IFERROR($I837*3.5,"")</f>
        <v/>
      </c>
      <c r="Q837" s="6">
        <f>IFERROR($I837*4,"")</f>
        <v/>
      </c>
      <c r="R837" s="6" t="n">
        <v>499</v>
      </c>
      <c r="S837" s="4" t="n">
        <v>6</v>
      </c>
      <c r="T837" s="1" t="inlineStr">
        <is>
          <t>active</t>
        </is>
      </c>
      <c r="U837" s="8" t="n"/>
      <c r="V837" s="1" t="inlineStr">
        <is>
          <t>SIN PRECIO</t>
        </is>
      </c>
    </row>
    <row r="838">
      <c r="A838" s="1" t="inlineStr">
        <is>
          <t>43728091146860</t>
        </is>
      </c>
      <c r="B838" s="1" t="inlineStr">
        <is>
          <t>PULSERA LOVE SILVER</t>
        </is>
      </c>
      <c r="C838" s="1" t="inlineStr">
        <is>
          <t>20cm</t>
        </is>
      </c>
      <c r="D838" s="1" t="inlineStr">
        <is>
          <t>HAIFENG</t>
        </is>
      </c>
      <c r="E838" s="4">
        <f>COUNTIF('DETALLE CRONOLÓGICO'!$A$2:$A$4919,$A838)</f>
        <v/>
      </c>
      <c r="F838" s="4">
        <f>SUMIFS('DETALLE CRONOLÓGICO'!$I$2:$I$4919,'DETALLE CRONOLÓGICO'!$A$2:$A$4919,$A838)</f>
        <v/>
      </c>
      <c r="G838" s="1">
        <f>INDEX('DETALLE CRONOLÓGICO'!$D$2:$D$4919,MATCH($A838,'DETALLE CRONOLÓGICO'!$A$2:$A$4919,0))</f>
        <v/>
      </c>
      <c r="H838" s="1">
        <f>INDEX('DETALLE CRONOLÓGICO'!$D$2:$D$4919,MATCH($A838,'DETALLE CRONOLÓGICO'!$A$2:$A$4919,0)+$E838-1)</f>
        <v/>
      </c>
      <c r="I838" s="5">
        <f>IFERROR(SUMIFS('DETALLE CRONOLÓGICO'!$L$2:$L$4919,'DETALLE CRONOLÓGICO'!$A$2:$A$4919,$A838)/$F838,"")</f>
        <v/>
      </c>
      <c r="J838" s="6">
        <f>IFERROR(SUMIFS('DETALLE CRONOLÓGICO'!$K$2:$K$4919,'DETALLE CRONOLÓGICO'!$A$2:$A$4919,$A838)/$E838,"")</f>
        <v/>
      </c>
      <c r="K838" s="6">
        <f>_xlfn.MINIFS('DETALLE CRONOLÓGICO'!$K$2:$K$4919,'DETALLE CRONOLÓGICO'!$A$2:$A$4919,$A838)</f>
        <v/>
      </c>
      <c r="L838" s="6">
        <f>_xlfn.MAXIFS('DETALLE CRONOLÓGICO'!$K$2:$K$4919,'DETALLE CRONOLÓGICO'!$A$2:$A$4919,$A838)</f>
        <v/>
      </c>
      <c r="M838" s="6">
        <f>INDEX('DETALLE CRONOLÓGICO'!$K$2:$K$4919,MATCH($A838,'DETALLE CRONOLÓGICO'!$A$2:$A$4919,0)+$E838-1)</f>
        <v/>
      </c>
      <c r="N838" s="7">
        <f>IFERROR($M838/INDEX('DETALLE CRONOLÓGICO'!$K$2:$K$4919,MATCH($A838,'DETALLE CRONOLÓGICO'!$A$2:$A$4919,0))-1,"")</f>
        <v/>
      </c>
      <c r="O838" s="6">
        <f>IFERROR($I838*3,"")</f>
        <v/>
      </c>
      <c r="P838" s="6">
        <f>IFERROR($I838*3.5,"")</f>
        <v/>
      </c>
      <c r="Q838" s="6">
        <f>IFERROR($I838*4,"")</f>
        <v/>
      </c>
      <c r="R838" s="6" t="n">
        <v>499</v>
      </c>
      <c r="S838" s="4" t="n">
        <v>0</v>
      </c>
      <c r="T838" s="1" t="inlineStr">
        <is>
          <t>active</t>
        </is>
      </c>
      <c r="U838" s="8" t="n"/>
      <c r="V838" s="1" t="inlineStr">
        <is>
          <t>SIN PRECIO</t>
        </is>
      </c>
    </row>
    <row r="839">
      <c r="A839" s="1" t="inlineStr">
        <is>
          <t>43728091279628</t>
        </is>
      </c>
      <c r="B839" s="1" t="inlineStr">
        <is>
          <t>PULSERA LOVE SILVER</t>
        </is>
      </c>
      <c r="C839" s="1" t="inlineStr">
        <is>
          <t>21cm</t>
        </is>
      </c>
      <c r="D839" s="1" t="inlineStr">
        <is>
          <t>HAIFENG</t>
        </is>
      </c>
      <c r="E839" s="4">
        <f>COUNTIF('DETALLE CRONOLÓGICO'!$A$2:$A$4919,$A839)</f>
        <v/>
      </c>
      <c r="F839" s="4">
        <f>SUMIFS('DETALLE CRONOLÓGICO'!$I$2:$I$4919,'DETALLE CRONOLÓGICO'!$A$2:$A$4919,$A839)</f>
        <v/>
      </c>
      <c r="G839" s="1">
        <f>INDEX('DETALLE CRONOLÓGICO'!$D$2:$D$4919,MATCH($A839,'DETALLE CRONOLÓGICO'!$A$2:$A$4919,0))</f>
        <v/>
      </c>
      <c r="H839" s="1">
        <f>INDEX('DETALLE CRONOLÓGICO'!$D$2:$D$4919,MATCH($A839,'DETALLE CRONOLÓGICO'!$A$2:$A$4919,0)+$E839-1)</f>
        <v/>
      </c>
      <c r="I839" s="5">
        <f>IFERROR(SUMIFS('DETALLE CRONOLÓGICO'!$L$2:$L$4919,'DETALLE CRONOLÓGICO'!$A$2:$A$4919,$A839)/$F839,"")</f>
        <v/>
      </c>
      <c r="J839" s="6">
        <f>IFERROR(SUMIFS('DETALLE CRONOLÓGICO'!$K$2:$K$4919,'DETALLE CRONOLÓGICO'!$A$2:$A$4919,$A839)/$E839,"")</f>
        <v/>
      </c>
      <c r="K839" s="6">
        <f>_xlfn.MINIFS('DETALLE CRONOLÓGICO'!$K$2:$K$4919,'DETALLE CRONOLÓGICO'!$A$2:$A$4919,$A839)</f>
        <v/>
      </c>
      <c r="L839" s="6">
        <f>_xlfn.MAXIFS('DETALLE CRONOLÓGICO'!$K$2:$K$4919,'DETALLE CRONOLÓGICO'!$A$2:$A$4919,$A839)</f>
        <v/>
      </c>
      <c r="M839" s="6">
        <f>INDEX('DETALLE CRONOLÓGICO'!$K$2:$K$4919,MATCH($A839,'DETALLE CRONOLÓGICO'!$A$2:$A$4919,0)+$E839-1)</f>
        <v/>
      </c>
      <c r="N839" s="7">
        <f>IFERROR($M839/INDEX('DETALLE CRONOLÓGICO'!$K$2:$K$4919,MATCH($A839,'DETALLE CRONOLÓGICO'!$A$2:$A$4919,0))-1,"")</f>
        <v/>
      </c>
      <c r="O839" s="6">
        <f>IFERROR($I839*3,"")</f>
        <v/>
      </c>
      <c r="P839" s="6">
        <f>IFERROR($I839*3.5,"")</f>
        <v/>
      </c>
      <c r="Q839" s="6">
        <f>IFERROR($I839*4,"")</f>
        <v/>
      </c>
      <c r="R839" s="6" t="n">
        <v>499</v>
      </c>
      <c r="S839" s="4" t="n">
        <v>3</v>
      </c>
      <c r="T839" s="1" t="inlineStr">
        <is>
          <t>active</t>
        </is>
      </c>
      <c r="U839" s="8" t="n"/>
      <c r="V839" s="1" t="inlineStr">
        <is>
          <t>SIN PRECIO</t>
        </is>
      </c>
    </row>
    <row r="840">
      <c r="A840" s="1" t="inlineStr">
        <is>
          <t>43728091372908</t>
        </is>
      </c>
      <c r="B840" s="1" t="inlineStr">
        <is>
          <t>PULSERA TRÉBOL ROSEGOLD RED VF</t>
        </is>
      </c>
      <c r="C840" s="1" t="inlineStr">
        <is>
          <t>18cm</t>
        </is>
      </c>
      <c r="D840" s="1" t="inlineStr">
        <is>
          <t>HAIFENG</t>
        </is>
      </c>
      <c r="E840" s="4">
        <f>COUNTIF('DETALLE CRONOLÓGICO'!$A$2:$A$4919,$A840)</f>
        <v/>
      </c>
      <c r="F840" s="4">
        <f>SUMIFS('DETALLE CRONOLÓGICO'!$I$2:$I$4919,'DETALLE CRONOLÓGICO'!$A$2:$A$4919,$A840)</f>
        <v/>
      </c>
      <c r="G840" s="1">
        <f>INDEX('DETALLE CRONOLÓGICO'!$D$2:$D$4919,MATCH($A840,'DETALLE CRONOLÓGICO'!$A$2:$A$4919,0))</f>
        <v/>
      </c>
      <c r="H840" s="1">
        <f>INDEX('DETALLE CRONOLÓGICO'!$D$2:$D$4919,MATCH($A840,'DETALLE CRONOLÓGICO'!$A$2:$A$4919,0)+$E840-1)</f>
        <v/>
      </c>
      <c r="I840" s="5">
        <f>IFERROR(SUMIFS('DETALLE CRONOLÓGICO'!$L$2:$L$4919,'DETALLE CRONOLÓGICO'!$A$2:$A$4919,$A840)/$F840,"")</f>
        <v/>
      </c>
      <c r="J840" s="6">
        <f>IFERROR(SUMIFS('DETALLE CRONOLÓGICO'!$K$2:$K$4919,'DETALLE CRONOLÓGICO'!$A$2:$A$4919,$A840)/$E840,"")</f>
        <v/>
      </c>
      <c r="K840" s="6">
        <f>_xlfn.MINIFS('DETALLE CRONOLÓGICO'!$K$2:$K$4919,'DETALLE CRONOLÓGICO'!$A$2:$A$4919,$A840)</f>
        <v/>
      </c>
      <c r="L840" s="6">
        <f>_xlfn.MAXIFS('DETALLE CRONOLÓGICO'!$K$2:$K$4919,'DETALLE CRONOLÓGICO'!$A$2:$A$4919,$A840)</f>
        <v/>
      </c>
      <c r="M840" s="6">
        <f>INDEX('DETALLE CRONOLÓGICO'!$K$2:$K$4919,MATCH($A840,'DETALLE CRONOLÓGICO'!$A$2:$A$4919,0)+$E840-1)</f>
        <v/>
      </c>
      <c r="N840" s="7">
        <f>IFERROR($M840/INDEX('DETALLE CRONOLÓGICO'!$K$2:$K$4919,MATCH($A840,'DETALLE CRONOLÓGICO'!$A$2:$A$4919,0))-1,"")</f>
        <v/>
      </c>
      <c r="O840" s="6">
        <f>IFERROR($I840*3,"")</f>
        <v/>
      </c>
      <c r="P840" s="6">
        <f>IFERROR($I840*3.5,"")</f>
        <v/>
      </c>
      <c r="Q840" s="6">
        <f>IFERROR($I840*4,"")</f>
        <v/>
      </c>
      <c r="R840" s="6" t="n">
        <v>1286</v>
      </c>
      <c r="S840" s="4" t="n">
        <v>3</v>
      </c>
      <c r="T840" s="1" t="inlineStr">
        <is>
          <t>active</t>
        </is>
      </c>
      <c r="U840" s="8" t="n"/>
      <c r="V840" s="1" t="inlineStr">
        <is>
          <t>SIN PRECIO</t>
        </is>
      </c>
    </row>
    <row r="841">
      <c r="A841" s="1" t="inlineStr">
        <is>
          <t>43728091639180</t>
        </is>
      </c>
      <c r="B841" s="1" t="inlineStr">
        <is>
          <t>CARTERA LV BLUE</t>
        </is>
      </c>
      <c r="C841" s="1" t="inlineStr">
        <is>
          <t>12cmx9cm</t>
        </is>
      </c>
      <c r="D841" s="1" t="inlineStr">
        <is>
          <t>DINA DU</t>
        </is>
      </c>
      <c r="E841" s="4">
        <f>COUNTIF('DETALLE CRONOLÓGICO'!$A$2:$A$4919,$A841)</f>
        <v/>
      </c>
      <c r="F841" s="4">
        <f>SUMIFS('DETALLE CRONOLÓGICO'!$I$2:$I$4919,'DETALLE CRONOLÓGICO'!$A$2:$A$4919,$A841)</f>
        <v/>
      </c>
      <c r="G841" s="1">
        <f>INDEX('DETALLE CRONOLÓGICO'!$D$2:$D$4919,MATCH($A841,'DETALLE CRONOLÓGICO'!$A$2:$A$4919,0))</f>
        <v/>
      </c>
      <c r="H841" s="1">
        <f>INDEX('DETALLE CRONOLÓGICO'!$D$2:$D$4919,MATCH($A841,'DETALLE CRONOLÓGICO'!$A$2:$A$4919,0)+$E841-1)</f>
        <v/>
      </c>
      <c r="I841" s="5">
        <f>IFERROR(SUMIFS('DETALLE CRONOLÓGICO'!$L$2:$L$4919,'DETALLE CRONOLÓGICO'!$A$2:$A$4919,$A841)/$F841,"")</f>
        <v/>
      </c>
      <c r="J841" s="6">
        <f>IFERROR(SUMIFS('DETALLE CRONOLÓGICO'!$K$2:$K$4919,'DETALLE CRONOLÓGICO'!$A$2:$A$4919,$A841)/$E841,"")</f>
        <v/>
      </c>
      <c r="K841" s="6">
        <f>_xlfn.MINIFS('DETALLE CRONOLÓGICO'!$K$2:$K$4919,'DETALLE CRONOLÓGICO'!$A$2:$A$4919,$A841)</f>
        <v/>
      </c>
      <c r="L841" s="6">
        <f>_xlfn.MAXIFS('DETALLE CRONOLÓGICO'!$K$2:$K$4919,'DETALLE CRONOLÓGICO'!$A$2:$A$4919,$A841)</f>
        <v/>
      </c>
      <c r="M841" s="6">
        <f>INDEX('DETALLE CRONOLÓGICO'!$K$2:$K$4919,MATCH($A841,'DETALLE CRONOLÓGICO'!$A$2:$A$4919,0)+$E841-1)</f>
        <v/>
      </c>
      <c r="N841" s="7">
        <f>IFERROR($M841/INDEX('DETALLE CRONOLÓGICO'!$K$2:$K$4919,MATCH($A841,'DETALLE CRONOLÓGICO'!$A$2:$A$4919,0))-1,"")</f>
        <v/>
      </c>
      <c r="O841" s="6">
        <f>IFERROR($I841*3,"")</f>
        <v/>
      </c>
      <c r="P841" s="6">
        <f>IFERROR($I841*3.5,"")</f>
        <v/>
      </c>
      <c r="Q841" s="6">
        <f>IFERROR($I841*4,"")</f>
        <v/>
      </c>
      <c r="R841" s="6" t="n">
        <v>1410</v>
      </c>
      <c r="S841" s="4" t="n">
        <v>3</v>
      </c>
      <c r="T841" s="1" t="inlineStr">
        <is>
          <t>active</t>
        </is>
      </c>
      <c r="U841" s="8" t="n"/>
      <c r="V841" s="1" t="inlineStr">
        <is>
          <t>SIN PRECIO</t>
        </is>
      </c>
    </row>
    <row r="842">
      <c r="A842" s="1" t="inlineStr">
        <is>
          <t>43728091877228</t>
        </is>
      </c>
      <c r="B842" s="1" t="inlineStr">
        <is>
          <t>CARTERA CC BLACK</t>
        </is>
      </c>
      <c r="C842" s="1" t="inlineStr">
        <is>
          <t>13cmx13cm</t>
        </is>
      </c>
      <c r="D842" s="1" t="inlineStr">
        <is>
          <t>DINA DU</t>
        </is>
      </c>
      <c r="E842" s="4">
        <f>COUNTIF('DETALLE CRONOLÓGICO'!$A$2:$A$4919,$A842)</f>
        <v/>
      </c>
      <c r="F842" s="4">
        <f>SUMIFS('DETALLE CRONOLÓGICO'!$I$2:$I$4919,'DETALLE CRONOLÓGICO'!$A$2:$A$4919,$A842)</f>
        <v/>
      </c>
      <c r="G842" s="1">
        <f>INDEX('DETALLE CRONOLÓGICO'!$D$2:$D$4919,MATCH($A842,'DETALLE CRONOLÓGICO'!$A$2:$A$4919,0))</f>
        <v/>
      </c>
      <c r="H842" s="1">
        <f>INDEX('DETALLE CRONOLÓGICO'!$D$2:$D$4919,MATCH($A842,'DETALLE CRONOLÓGICO'!$A$2:$A$4919,0)+$E842-1)</f>
        <v/>
      </c>
      <c r="I842" s="5">
        <f>IFERROR(SUMIFS('DETALLE CRONOLÓGICO'!$L$2:$L$4919,'DETALLE CRONOLÓGICO'!$A$2:$A$4919,$A842)/$F842,"")</f>
        <v/>
      </c>
      <c r="J842" s="6">
        <f>IFERROR(SUMIFS('DETALLE CRONOLÓGICO'!$K$2:$K$4919,'DETALLE CRONOLÓGICO'!$A$2:$A$4919,$A842)/$E842,"")</f>
        <v/>
      </c>
      <c r="K842" s="6">
        <f>_xlfn.MINIFS('DETALLE CRONOLÓGICO'!$K$2:$K$4919,'DETALLE CRONOLÓGICO'!$A$2:$A$4919,$A842)</f>
        <v/>
      </c>
      <c r="L842" s="6">
        <f>_xlfn.MAXIFS('DETALLE CRONOLÓGICO'!$K$2:$K$4919,'DETALLE CRONOLÓGICO'!$A$2:$A$4919,$A842)</f>
        <v/>
      </c>
      <c r="M842" s="6">
        <f>INDEX('DETALLE CRONOLÓGICO'!$K$2:$K$4919,MATCH($A842,'DETALLE CRONOLÓGICO'!$A$2:$A$4919,0)+$E842-1)</f>
        <v/>
      </c>
      <c r="N842" s="7">
        <f>IFERROR($M842/INDEX('DETALLE CRONOLÓGICO'!$K$2:$K$4919,MATCH($A842,'DETALLE CRONOLÓGICO'!$A$2:$A$4919,0))-1,"")</f>
        <v/>
      </c>
      <c r="O842" s="6">
        <f>IFERROR($I842*3,"")</f>
        <v/>
      </c>
      <c r="P842" s="6">
        <f>IFERROR($I842*3.5,"")</f>
        <v/>
      </c>
      <c r="Q842" s="6">
        <f>IFERROR($I842*4,"")</f>
        <v/>
      </c>
      <c r="R842" s="6" t="n">
        <v>2599</v>
      </c>
      <c r="S842" s="4" t="n">
        <v>14</v>
      </c>
      <c r="T842" s="1" t="inlineStr">
        <is>
          <t>active</t>
        </is>
      </c>
      <c r="U842" s="8" t="n"/>
      <c r="V842" s="1" t="inlineStr">
        <is>
          <t>SIN PRECIO</t>
        </is>
      </c>
    </row>
    <row r="843">
      <c r="A843" s="1" t="inlineStr">
        <is>
          <t>43728095967788</t>
        </is>
      </c>
      <c r="B843" s="1" t="inlineStr">
        <is>
          <t>PULSERA DOBLE STAR CD</t>
        </is>
      </c>
      <c r="C843" s="1" t="inlineStr">
        <is>
          <t>16cm con extensión de 5cm</t>
        </is>
      </c>
      <c r="D843" s="1" t="inlineStr">
        <is>
          <t>COCOMA</t>
        </is>
      </c>
      <c r="E843" s="4">
        <f>COUNTIF('DETALLE CRONOLÓGICO'!$A$2:$A$4919,$A843)</f>
        <v/>
      </c>
      <c r="F843" s="4">
        <f>SUMIFS('DETALLE CRONOLÓGICO'!$I$2:$I$4919,'DETALLE CRONOLÓGICO'!$A$2:$A$4919,$A843)</f>
        <v/>
      </c>
      <c r="G843" s="1">
        <f>INDEX('DETALLE CRONOLÓGICO'!$D$2:$D$4919,MATCH($A843,'DETALLE CRONOLÓGICO'!$A$2:$A$4919,0))</f>
        <v/>
      </c>
      <c r="H843" s="1">
        <f>INDEX('DETALLE CRONOLÓGICO'!$D$2:$D$4919,MATCH($A843,'DETALLE CRONOLÓGICO'!$A$2:$A$4919,0)+$E843-1)</f>
        <v/>
      </c>
      <c r="I843" s="5">
        <f>IFERROR(SUMIFS('DETALLE CRONOLÓGICO'!$L$2:$L$4919,'DETALLE CRONOLÓGICO'!$A$2:$A$4919,$A843)/$F843,"")</f>
        <v/>
      </c>
      <c r="J843" s="6">
        <f>IFERROR(SUMIFS('DETALLE CRONOLÓGICO'!$K$2:$K$4919,'DETALLE CRONOLÓGICO'!$A$2:$A$4919,$A843)/$E843,"")</f>
        <v/>
      </c>
      <c r="K843" s="6">
        <f>_xlfn.MINIFS('DETALLE CRONOLÓGICO'!$K$2:$K$4919,'DETALLE CRONOLÓGICO'!$A$2:$A$4919,$A843)</f>
        <v/>
      </c>
      <c r="L843" s="6">
        <f>_xlfn.MAXIFS('DETALLE CRONOLÓGICO'!$K$2:$K$4919,'DETALLE CRONOLÓGICO'!$A$2:$A$4919,$A843)</f>
        <v/>
      </c>
      <c r="M843" s="6">
        <f>INDEX('DETALLE CRONOLÓGICO'!$K$2:$K$4919,MATCH($A843,'DETALLE CRONOLÓGICO'!$A$2:$A$4919,0)+$E843-1)</f>
        <v/>
      </c>
      <c r="N843" s="7">
        <f>IFERROR($M843/INDEX('DETALLE CRONOLÓGICO'!$K$2:$K$4919,MATCH($A843,'DETALLE CRONOLÓGICO'!$A$2:$A$4919,0))-1,"")</f>
        <v/>
      </c>
      <c r="O843" s="6">
        <f>IFERROR($I843*3,"")</f>
        <v/>
      </c>
      <c r="P843" s="6">
        <f>IFERROR($I843*3.5,"")</f>
        <v/>
      </c>
      <c r="Q843" s="6">
        <f>IFERROR($I843*4,"")</f>
        <v/>
      </c>
      <c r="R843" s="6" t="n">
        <v>455</v>
      </c>
      <c r="S843" s="4" t="n">
        <v>0</v>
      </c>
      <c r="T843" s="1" t="inlineStr">
        <is>
          <t>active</t>
        </is>
      </c>
      <c r="U843" s="8" t="n"/>
      <c r="V843" s="1" t="inlineStr">
        <is>
          <t>SIN PRECIO</t>
        </is>
      </c>
    </row>
    <row r="844">
      <c r="A844" s="1" t="inlineStr">
        <is>
          <t>43728096383020</t>
        </is>
      </c>
      <c r="B844" s="1" t="inlineStr">
        <is>
          <t>COLLAR FR GOLD</t>
        </is>
      </c>
      <c r="C844" s="1" t="inlineStr">
        <is>
          <t>46cm de largo con 5 cm de Extension</t>
        </is>
      </c>
      <c r="D844" s="1" t="inlineStr">
        <is>
          <t>HAIFENG / NANCY</t>
        </is>
      </c>
      <c r="E844" s="4">
        <f>COUNTIF('DETALLE CRONOLÓGICO'!$A$2:$A$4919,$A844)</f>
        <v/>
      </c>
      <c r="F844" s="4">
        <f>SUMIFS('DETALLE CRONOLÓGICO'!$I$2:$I$4919,'DETALLE CRONOLÓGICO'!$A$2:$A$4919,$A844)</f>
        <v/>
      </c>
      <c r="G844" s="1">
        <f>INDEX('DETALLE CRONOLÓGICO'!$D$2:$D$4919,MATCH($A844,'DETALLE CRONOLÓGICO'!$A$2:$A$4919,0))</f>
        <v/>
      </c>
      <c r="H844" s="1">
        <f>INDEX('DETALLE CRONOLÓGICO'!$D$2:$D$4919,MATCH($A844,'DETALLE CRONOLÓGICO'!$A$2:$A$4919,0)+$E844-1)</f>
        <v/>
      </c>
      <c r="I844" s="5">
        <f>IFERROR(SUMIFS('DETALLE CRONOLÓGICO'!$L$2:$L$4919,'DETALLE CRONOLÓGICO'!$A$2:$A$4919,$A844)/$F844,"")</f>
        <v/>
      </c>
      <c r="J844" s="6">
        <f>IFERROR(SUMIFS('DETALLE CRONOLÓGICO'!$K$2:$K$4919,'DETALLE CRONOLÓGICO'!$A$2:$A$4919,$A844)/$E844,"")</f>
        <v/>
      </c>
      <c r="K844" s="6">
        <f>_xlfn.MINIFS('DETALLE CRONOLÓGICO'!$K$2:$K$4919,'DETALLE CRONOLÓGICO'!$A$2:$A$4919,$A844)</f>
        <v/>
      </c>
      <c r="L844" s="6">
        <f>_xlfn.MAXIFS('DETALLE CRONOLÓGICO'!$K$2:$K$4919,'DETALLE CRONOLÓGICO'!$A$2:$A$4919,$A844)</f>
        <v/>
      </c>
      <c r="M844" s="6">
        <f>INDEX('DETALLE CRONOLÓGICO'!$K$2:$K$4919,MATCH($A844,'DETALLE CRONOLÓGICO'!$A$2:$A$4919,0)+$E844-1)</f>
        <v/>
      </c>
      <c r="N844" s="7">
        <f>IFERROR($M844/INDEX('DETALLE CRONOLÓGICO'!$K$2:$K$4919,MATCH($A844,'DETALLE CRONOLÓGICO'!$A$2:$A$4919,0))-1,"")</f>
        <v/>
      </c>
      <c r="O844" s="6">
        <f>IFERROR($I844*3,"")</f>
        <v/>
      </c>
      <c r="P844" s="6">
        <f>IFERROR($I844*3.5,"")</f>
        <v/>
      </c>
      <c r="Q844" s="6">
        <f>IFERROR($I844*4,"")</f>
        <v/>
      </c>
      <c r="R844" s="6" t="n">
        <v>640</v>
      </c>
      <c r="S844" s="4" t="n">
        <v>12</v>
      </c>
      <c r="T844" s="1" t="inlineStr">
        <is>
          <t>active</t>
        </is>
      </c>
      <c r="U844" s="8" t="n"/>
      <c r="V844" s="1" t="inlineStr">
        <is>
          <t>SIN PRECIO</t>
        </is>
      </c>
    </row>
    <row r="845">
      <c r="A845" s="1" t="inlineStr">
        <is>
          <t>43728096469580</t>
        </is>
      </c>
      <c r="B845" s="1" t="inlineStr">
        <is>
          <t>COLLAR FR SILVER</t>
        </is>
      </c>
      <c r="C845" s="1" t="inlineStr">
        <is>
          <t>46cm de largo con 5 cm de Extension</t>
        </is>
      </c>
      <c r="D845" s="1" t="inlineStr">
        <is>
          <t>HAIFENG / NANCY</t>
        </is>
      </c>
      <c r="E845" s="4">
        <f>COUNTIF('DETALLE CRONOLÓGICO'!$A$2:$A$4919,$A845)</f>
        <v/>
      </c>
      <c r="F845" s="4">
        <f>SUMIFS('DETALLE CRONOLÓGICO'!$I$2:$I$4919,'DETALLE CRONOLÓGICO'!$A$2:$A$4919,$A845)</f>
        <v/>
      </c>
      <c r="G845" s="1">
        <f>INDEX('DETALLE CRONOLÓGICO'!$D$2:$D$4919,MATCH($A845,'DETALLE CRONOLÓGICO'!$A$2:$A$4919,0))</f>
        <v/>
      </c>
      <c r="H845" s="1">
        <f>INDEX('DETALLE CRONOLÓGICO'!$D$2:$D$4919,MATCH($A845,'DETALLE CRONOLÓGICO'!$A$2:$A$4919,0)+$E845-1)</f>
        <v/>
      </c>
      <c r="I845" s="5">
        <f>IFERROR(SUMIFS('DETALLE CRONOLÓGICO'!$L$2:$L$4919,'DETALLE CRONOLÓGICO'!$A$2:$A$4919,$A845)/$F845,"")</f>
        <v/>
      </c>
      <c r="J845" s="6">
        <f>IFERROR(SUMIFS('DETALLE CRONOLÓGICO'!$K$2:$K$4919,'DETALLE CRONOLÓGICO'!$A$2:$A$4919,$A845)/$E845,"")</f>
        <v/>
      </c>
      <c r="K845" s="6">
        <f>_xlfn.MINIFS('DETALLE CRONOLÓGICO'!$K$2:$K$4919,'DETALLE CRONOLÓGICO'!$A$2:$A$4919,$A845)</f>
        <v/>
      </c>
      <c r="L845" s="6">
        <f>_xlfn.MAXIFS('DETALLE CRONOLÓGICO'!$K$2:$K$4919,'DETALLE CRONOLÓGICO'!$A$2:$A$4919,$A845)</f>
        <v/>
      </c>
      <c r="M845" s="6">
        <f>INDEX('DETALLE CRONOLÓGICO'!$K$2:$K$4919,MATCH($A845,'DETALLE CRONOLÓGICO'!$A$2:$A$4919,0)+$E845-1)</f>
        <v/>
      </c>
      <c r="N845" s="7">
        <f>IFERROR($M845/INDEX('DETALLE CRONOLÓGICO'!$K$2:$K$4919,MATCH($A845,'DETALLE CRONOLÓGICO'!$A$2:$A$4919,0))-1,"")</f>
        <v/>
      </c>
      <c r="O845" s="6">
        <f>IFERROR($I845*3,"")</f>
        <v/>
      </c>
      <c r="P845" s="6">
        <f>IFERROR($I845*3.5,"")</f>
        <v/>
      </c>
      <c r="Q845" s="6">
        <f>IFERROR($I845*4,"")</f>
        <v/>
      </c>
      <c r="R845" s="6" t="n">
        <v>580</v>
      </c>
      <c r="S845" s="4" t="n">
        <v>14</v>
      </c>
      <c r="T845" s="1" t="inlineStr">
        <is>
          <t>active</t>
        </is>
      </c>
      <c r="U845" s="8" t="n"/>
      <c r="V845" s="1" t="inlineStr">
        <is>
          <t>SIN PRECIO</t>
        </is>
      </c>
    </row>
    <row r="846">
      <c r="A846" s="1" t="inlineStr">
        <is>
          <t>43728099701932</t>
        </is>
      </c>
      <c r="B846" s="1" t="inlineStr">
        <is>
          <t>BOLSO JM WHITE</t>
        </is>
      </c>
      <c r="C846" s="1" t="inlineStr">
        <is>
          <t>16cm de alto x 19.5cm de largo x 7cm de ancho 15cm de alto de correa</t>
        </is>
      </c>
      <c r="D846" s="1" t="inlineStr">
        <is>
          <t>ZOEY</t>
        </is>
      </c>
      <c r="E846" s="4">
        <f>COUNTIF('DETALLE CRONOLÓGICO'!$A$2:$A$4919,$A846)</f>
        <v/>
      </c>
      <c r="F846" s="4">
        <f>SUMIFS('DETALLE CRONOLÓGICO'!$I$2:$I$4919,'DETALLE CRONOLÓGICO'!$A$2:$A$4919,$A846)</f>
        <v/>
      </c>
      <c r="G846" s="1">
        <f>INDEX('DETALLE CRONOLÓGICO'!$D$2:$D$4919,MATCH($A846,'DETALLE CRONOLÓGICO'!$A$2:$A$4919,0))</f>
        <v/>
      </c>
      <c r="H846" s="1">
        <f>INDEX('DETALLE CRONOLÓGICO'!$D$2:$D$4919,MATCH($A846,'DETALLE CRONOLÓGICO'!$A$2:$A$4919,0)+$E846-1)</f>
        <v/>
      </c>
      <c r="I846" s="5">
        <f>IFERROR(SUMIFS('DETALLE CRONOLÓGICO'!$L$2:$L$4919,'DETALLE CRONOLÓGICO'!$A$2:$A$4919,$A846)/$F846,"")</f>
        <v/>
      </c>
      <c r="J846" s="6">
        <f>IFERROR(SUMIFS('DETALLE CRONOLÓGICO'!$K$2:$K$4919,'DETALLE CRONOLÓGICO'!$A$2:$A$4919,$A846)/$E846,"")</f>
        <v/>
      </c>
      <c r="K846" s="6">
        <f>_xlfn.MINIFS('DETALLE CRONOLÓGICO'!$K$2:$K$4919,'DETALLE CRONOLÓGICO'!$A$2:$A$4919,$A846)</f>
        <v/>
      </c>
      <c r="L846" s="6">
        <f>_xlfn.MAXIFS('DETALLE CRONOLÓGICO'!$K$2:$K$4919,'DETALLE CRONOLÓGICO'!$A$2:$A$4919,$A846)</f>
        <v/>
      </c>
      <c r="M846" s="6">
        <f>INDEX('DETALLE CRONOLÓGICO'!$K$2:$K$4919,MATCH($A846,'DETALLE CRONOLÓGICO'!$A$2:$A$4919,0)+$E846-1)</f>
        <v/>
      </c>
      <c r="N846" s="7">
        <f>IFERROR($M846/INDEX('DETALLE CRONOLÓGICO'!$K$2:$K$4919,MATCH($A846,'DETALLE CRONOLÓGICO'!$A$2:$A$4919,0))-1,"")</f>
        <v/>
      </c>
      <c r="O846" s="6">
        <f>IFERROR($I846*3,"")</f>
        <v/>
      </c>
      <c r="P846" s="6">
        <f>IFERROR($I846*3.5,"")</f>
        <v/>
      </c>
      <c r="Q846" s="6">
        <f>IFERROR($I846*4,"")</f>
        <v/>
      </c>
      <c r="R846" s="6" t="n">
        <v>5150.29</v>
      </c>
      <c r="S846" s="4" t="n">
        <v>2</v>
      </c>
      <c r="T846" s="1" t="inlineStr">
        <is>
          <t>active</t>
        </is>
      </c>
      <c r="U846" s="8" t="n"/>
      <c r="V846" s="1" t="inlineStr">
        <is>
          <t>SIN PRECIO</t>
        </is>
      </c>
    </row>
    <row r="847">
      <c r="A847" s="1" t="inlineStr">
        <is>
          <t>43728112129132</t>
        </is>
      </c>
      <c r="B847" s="1" t="inlineStr">
        <is>
          <t>ANILLO P SHINNY FLOWER</t>
        </is>
      </c>
      <c r="C847" s="1" t="inlineStr">
        <is>
          <t>6</t>
        </is>
      </c>
      <c r="D847" s="1" t="inlineStr">
        <is>
          <t>CYNTHIA</t>
        </is>
      </c>
      <c r="E847" s="4">
        <f>COUNTIF('DETALLE CRONOLÓGICO'!$A$2:$A$4919,$A847)</f>
        <v/>
      </c>
      <c r="F847" s="4">
        <f>SUMIFS('DETALLE CRONOLÓGICO'!$I$2:$I$4919,'DETALLE CRONOLÓGICO'!$A$2:$A$4919,$A847)</f>
        <v/>
      </c>
      <c r="G847" s="1">
        <f>INDEX('DETALLE CRONOLÓGICO'!$D$2:$D$4919,MATCH($A847,'DETALLE CRONOLÓGICO'!$A$2:$A$4919,0))</f>
        <v/>
      </c>
      <c r="H847" s="1">
        <f>INDEX('DETALLE CRONOLÓGICO'!$D$2:$D$4919,MATCH($A847,'DETALLE CRONOLÓGICO'!$A$2:$A$4919,0)+$E847-1)</f>
        <v/>
      </c>
      <c r="I847" s="5">
        <f>IFERROR(SUMIFS('DETALLE CRONOLÓGICO'!$L$2:$L$4919,'DETALLE CRONOLÓGICO'!$A$2:$A$4919,$A847)/$F847,"")</f>
        <v/>
      </c>
      <c r="J847" s="6">
        <f>IFERROR(SUMIFS('DETALLE CRONOLÓGICO'!$K$2:$K$4919,'DETALLE CRONOLÓGICO'!$A$2:$A$4919,$A847)/$E847,"")</f>
        <v/>
      </c>
      <c r="K847" s="6">
        <f>_xlfn.MINIFS('DETALLE CRONOLÓGICO'!$K$2:$K$4919,'DETALLE CRONOLÓGICO'!$A$2:$A$4919,$A847)</f>
        <v/>
      </c>
      <c r="L847" s="6">
        <f>_xlfn.MAXIFS('DETALLE CRONOLÓGICO'!$K$2:$K$4919,'DETALLE CRONOLÓGICO'!$A$2:$A$4919,$A847)</f>
        <v/>
      </c>
      <c r="M847" s="6">
        <f>INDEX('DETALLE CRONOLÓGICO'!$K$2:$K$4919,MATCH($A847,'DETALLE CRONOLÓGICO'!$A$2:$A$4919,0)+$E847-1)</f>
        <v/>
      </c>
      <c r="N847" s="7">
        <f>IFERROR($M847/INDEX('DETALLE CRONOLÓGICO'!$K$2:$K$4919,MATCH($A847,'DETALLE CRONOLÓGICO'!$A$2:$A$4919,0))-1,"")</f>
        <v/>
      </c>
      <c r="O847" s="6">
        <f>IFERROR($I847*3,"")</f>
        <v/>
      </c>
      <c r="P847" s="6">
        <f>IFERROR($I847*3.5,"")</f>
        <v/>
      </c>
      <c r="Q847" s="6">
        <f>IFERROR($I847*4,"")</f>
        <v/>
      </c>
      <c r="R847" s="6" t="n">
        <v>520</v>
      </c>
      <c r="S847" s="4" t="n">
        <v>2</v>
      </c>
      <c r="T847" s="1" t="inlineStr">
        <is>
          <t>active</t>
        </is>
      </c>
      <c r="U847" s="8" t="n"/>
      <c r="V847" s="1" t="inlineStr">
        <is>
          <t>SIN PRECIO</t>
        </is>
      </c>
    </row>
    <row r="848">
      <c r="A848" s="1" t="inlineStr">
        <is>
          <t>43728112856684</t>
        </is>
      </c>
      <c r="B848" s="1" t="inlineStr">
        <is>
          <t>ANILLO P STARS</t>
        </is>
      </c>
      <c r="C848" s="1" t="inlineStr">
        <is>
          <t>6</t>
        </is>
      </c>
      <c r="D848" s="1" t="inlineStr">
        <is>
          <t>CYNTHIA</t>
        </is>
      </c>
      <c r="E848" s="4">
        <f>COUNTIF('DETALLE CRONOLÓGICO'!$A$2:$A$4919,$A848)</f>
        <v/>
      </c>
      <c r="F848" s="4">
        <f>SUMIFS('DETALLE CRONOLÓGICO'!$I$2:$I$4919,'DETALLE CRONOLÓGICO'!$A$2:$A$4919,$A848)</f>
        <v/>
      </c>
      <c r="G848" s="1">
        <f>INDEX('DETALLE CRONOLÓGICO'!$D$2:$D$4919,MATCH($A848,'DETALLE CRONOLÓGICO'!$A$2:$A$4919,0))</f>
        <v/>
      </c>
      <c r="H848" s="1">
        <f>INDEX('DETALLE CRONOLÓGICO'!$D$2:$D$4919,MATCH($A848,'DETALLE CRONOLÓGICO'!$A$2:$A$4919,0)+$E848-1)</f>
        <v/>
      </c>
      <c r="I848" s="5">
        <f>IFERROR(SUMIFS('DETALLE CRONOLÓGICO'!$L$2:$L$4919,'DETALLE CRONOLÓGICO'!$A$2:$A$4919,$A848)/$F848,"")</f>
        <v/>
      </c>
      <c r="J848" s="6">
        <f>IFERROR(SUMIFS('DETALLE CRONOLÓGICO'!$K$2:$K$4919,'DETALLE CRONOLÓGICO'!$A$2:$A$4919,$A848)/$E848,"")</f>
        <v/>
      </c>
      <c r="K848" s="6">
        <f>_xlfn.MINIFS('DETALLE CRONOLÓGICO'!$K$2:$K$4919,'DETALLE CRONOLÓGICO'!$A$2:$A$4919,$A848)</f>
        <v/>
      </c>
      <c r="L848" s="6">
        <f>_xlfn.MAXIFS('DETALLE CRONOLÓGICO'!$K$2:$K$4919,'DETALLE CRONOLÓGICO'!$A$2:$A$4919,$A848)</f>
        <v/>
      </c>
      <c r="M848" s="6">
        <f>INDEX('DETALLE CRONOLÓGICO'!$K$2:$K$4919,MATCH($A848,'DETALLE CRONOLÓGICO'!$A$2:$A$4919,0)+$E848-1)</f>
        <v/>
      </c>
      <c r="N848" s="7">
        <f>IFERROR($M848/INDEX('DETALLE CRONOLÓGICO'!$K$2:$K$4919,MATCH($A848,'DETALLE CRONOLÓGICO'!$A$2:$A$4919,0))-1,"")</f>
        <v/>
      </c>
      <c r="O848" s="6">
        <f>IFERROR($I848*3,"")</f>
        <v/>
      </c>
      <c r="P848" s="6">
        <f>IFERROR($I848*3.5,"")</f>
        <v/>
      </c>
      <c r="Q848" s="6">
        <f>IFERROR($I848*4,"")</f>
        <v/>
      </c>
      <c r="R848" s="6" t="n">
        <v>250</v>
      </c>
      <c r="S848" s="4" t="n">
        <v>1</v>
      </c>
      <c r="T848" s="1" t="inlineStr">
        <is>
          <t>active</t>
        </is>
      </c>
      <c r="U848" s="8" t="n"/>
      <c r="V848" s="1" t="inlineStr">
        <is>
          <t>SIN PRECIO</t>
        </is>
      </c>
    </row>
    <row r="849">
      <c r="A849" s="1" t="inlineStr">
        <is>
          <t>43728113631628</t>
        </is>
      </c>
      <c r="B849" s="1" t="inlineStr">
        <is>
          <t>ARETES LV LOGO ROUND GOLD</t>
        </is>
      </c>
      <c r="C849" s="1" t="inlineStr">
        <is>
          <t>Regular</t>
        </is>
      </c>
      <c r="D849" s="1" t="inlineStr">
        <is>
          <t>CYNTHIA</t>
        </is>
      </c>
      <c r="E849" s="4">
        <f>COUNTIF('DETALLE CRONOLÓGICO'!$A$2:$A$4919,$A849)</f>
        <v/>
      </c>
      <c r="F849" s="4">
        <f>SUMIFS('DETALLE CRONOLÓGICO'!$I$2:$I$4919,'DETALLE CRONOLÓGICO'!$A$2:$A$4919,$A849)</f>
        <v/>
      </c>
      <c r="G849" s="1">
        <f>INDEX('DETALLE CRONOLÓGICO'!$D$2:$D$4919,MATCH($A849,'DETALLE CRONOLÓGICO'!$A$2:$A$4919,0))</f>
        <v/>
      </c>
      <c r="H849" s="1">
        <f>INDEX('DETALLE CRONOLÓGICO'!$D$2:$D$4919,MATCH($A849,'DETALLE CRONOLÓGICO'!$A$2:$A$4919,0)+$E849-1)</f>
        <v/>
      </c>
      <c r="I849" s="5">
        <f>IFERROR(SUMIFS('DETALLE CRONOLÓGICO'!$L$2:$L$4919,'DETALLE CRONOLÓGICO'!$A$2:$A$4919,$A849)/$F849,"")</f>
        <v/>
      </c>
      <c r="J849" s="6">
        <f>IFERROR(SUMIFS('DETALLE CRONOLÓGICO'!$K$2:$K$4919,'DETALLE CRONOLÓGICO'!$A$2:$A$4919,$A849)/$E849,"")</f>
        <v/>
      </c>
      <c r="K849" s="6">
        <f>_xlfn.MINIFS('DETALLE CRONOLÓGICO'!$K$2:$K$4919,'DETALLE CRONOLÓGICO'!$A$2:$A$4919,$A849)</f>
        <v/>
      </c>
      <c r="L849" s="6">
        <f>_xlfn.MAXIFS('DETALLE CRONOLÓGICO'!$K$2:$K$4919,'DETALLE CRONOLÓGICO'!$A$2:$A$4919,$A849)</f>
        <v/>
      </c>
      <c r="M849" s="6">
        <f>INDEX('DETALLE CRONOLÓGICO'!$K$2:$K$4919,MATCH($A849,'DETALLE CRONOLÓGICO'!$A$2:$A$4919,0)+$E849-1)</f>
        <v/>
      </c>
      <c r="N849" s="7">
        <f>IFERROR($M849/INDEX('DETALLE CRONOLÓGICO'!$K$2:$K$4919,MATCH($A849,'DETALLE CRONOLÓGICO'!$A$2:$A$4919,0))-1,"")</f>
        <v/>
      </c>
      <c r="O849" s="6">
        <f>IFERROR($I849*3,"")</f>
        <v/>
      </c>
      <c r="P849" s="6">
        <f>IFERROR($I849*3.5,"")</f>
        <v/>
      </c>
      <c r="Q849" s="6">
        <f>IFERROR($I849*4,"")</f>
        <v/>
      </c>
      <c r="R849" s="6" t="n">
        <v>599</v>
      </c>
      <c r="S849" s="4" t="n">
        <v>0</v>
      </c>
      <c r="T849" s="1" t="inlineStr">
        <is>
          <t>draft</t>
        </is>
      </c>
      <c r="U849" s="8" t="n"/>
      <c r="V849" s="1" t="inlineStr">
        <is>
          <t>SIN PRECIO</t>
        </is>
      </c>
    </row>
    <row r="850">
      <c r="A850" s="1" t="inlineStr">
        <is>
          <t>43728116060268</t>
        </is>
      </c>
      <c r="B850" s="1" t="inlineStr">
        <is>
          <t>ANILLO SIXTEEN STONE SILVER</t>
        </is>
      </c>
      <c r="C850" s="1" t="inlineStr">
        <is>
          <t>REGULAR 7</t>
        </is>
      </c>
      <c r="D850" s="1" t="inlineStr">
        <is>
          <t>HAIFENG</t>
        </is>
      </c>
      <c r="E850" s="4">
        <f>COUNTIF('DETALLE CRONOLÓGICO'!$A$2:$A$4919,$A850)</f>
        <v/>
      </c>
      <c r="F850" s="4">
        <f>SUMIFS('DETALLE CRONOLÓGICO'!$I$2:$I$4919,'DETALLE CRONOLÓGICO'!$A$2:$A$4919,$A850)</f>
        <v/>
      </c>
      <c r="G850" s="1">
        <f>INDEX('DETALLE CRONOLÓGICO'!$D$2:$D$4919,MATCH($A850,'DETALLE CRONOLÓGICO'!$A$2:$A$4919,0))</f>
        <v/>
      </c>
      <c r="H850" s="1">
        <f>INDEX('DETALLE CRONOLÓGICO'!$D$2:$D$4919,MATCH($A850,'DETALLE CRONOLÓGICO'!$A$2:$A$4919,0)+$E850-1)</f>
        <v/>
      </c>
      <c r="I850" s="5">
        <f>IFERROR(SUMIFS('DETALLE CRONOLÓGICO'!$L$2:$L$4919,'DETALLE CRONOLÓGICO'!$A$2:$A$4919,$A850)/$F850,"")</f>
        <v/>
      </c>
      <c r="J850" s="6">
        <f>IFERROR(SUMIFS('DETALLE CRONOLÓGICO'!$K$2:$K$4919,'DETALLE CRONOLÓGICO'!$A$2:$A$4919,$A850)/$E850,"")</f>
        <v/>
      </c>
      <c r="K850" s="6">
        <f>_xlfn.MINIFS('DETALLE CRONOLÓGICO'!$K$2:$K$4919,'DETALLE CRONOLÓGICO'!$A$2:$A$4919,$A850)</f>
        <v/>
      </c>
      <c r="L850" s="6">
        <f>_xlfn.MAXIFS('DETALLE CRONOLÓGICO'!$K$2:$K$4919,'DETALLE CRONOLÓGICO'!$A$2:$A$4919,$A850)</f>
        <v/>
      </c>
      <c r="M850" s="6">
        <f>INDEX('DETALLE CRONOLÓGICO'!$K$2:$K$4919,MATCH($A850,'DETALLE CRONOLÓGICO'!$A$2:$A$4919,0)+$E850-1)</f>
        <v/>
      </c>
      <c r="N850" s="7">
        <f>IFERROR($M850/INDEX('DETALLE CRONOLÓGICO'!$K$2:$K$4919,MATCH($A850,'DETALLE CRONOLÓGICO'!$A$2:$A$4919,0))-1,"")</f>
        <v/>
      </c>
      <c r="O850" s="6">
        <f>IFERROR($I850*3,"")</f>
        <v/>
      </c>
      <c r="P850" s="6">
        <f>IFERROR($I850*3.5,"")</f>
        <v/>
      </c>
      <c r="Q850" s="6">
        <f>IFERROR($I850*4,"")</f>
        <v/>
      </c>
      <c r="R850" s="6" t="n">
        <v>700</v>
      </c>
      <c r="S850" s="4" t="n">
        <v>2</v>
      </c>
      <c r="T850" s="1" t="inlineStr">
        <is>
          <t>active</t>
        </is>
      </c>
      <c r="U850" s="8" t="n"/>
      <c r="V850" s="1" t="inlineStr">
        <is>
          <t>SIN PRECIO</t>
        </is>
      </c>
    </row>
    <row r="851">
      <c r="A851" s="1" t="inlineStr">
        <is>
          <t>43728116293036</t>
        </is>
      </c>
      <c r="B851" s="1" t="inlineStr">
        <is>
          <t>ANILLO SIXTEEN STONE SILVER</t>
        </is>
      </c>
      <c r="C851" s="1" t="inlineStr">
        <is>
          <t>REGULAR 8</t>
        </is>
      </c>
      <c r="D851" s="1" t="inlineStr">
        <is>
          <t>HAIFENG</t>
        </is>
      </c>
      <c r="E851" s="4">
        <f>COUNTIF('DETALLE CRONOLÓGICO'!$A$2:$A$4919,$A851)</f>
        <v/>
      </c>
      <c r="F851" s="4">
        <f>SUMIFS('DETALLE CRONOLÓGICO'!$I$2:$I$4919,'DETALLE CRONOLÓGICO'!$A$2:$A$4919,$A851)</f>
        <v/>
      </c>
      <c r="G851" s="1">
        <f>INDEX('DETALLE CRONOLÓGICO'!$D$2:$D$4919,MATCH($A851,'DETALLE CRONOLÓGICO'!$A$2:$A$4919,0))</f>
        <v/>
      </c>
      <c r="H851" s="1">
        <f>INDEX('DETALLE CRONOLÓGICO'!$D$2:$D$4919,MATCH($A851,'DETALLE CRONOLÓGICO'!$A$2:$A$4919,0)+$E851-1)</f>
        <v/>
      </c>
      <c r="I851" s="5">
        <f>IFERROR(SUMIFS('DETALLE CRONOLÓGICO'!$L$2:$L$4919,'DETALLE CRONOLÓGICO'!$A$2:$A$4919,$A851)/$F851,"")</f>
        <v/>
      </c>
      <c r="J851" s="6">
        <f>IFERROR(SUMIFS('DETALLE CRONOLÓGICO'!$K$2:$K$4919,'DETALLE CRONOLÓGICO'!$A$2:$A$4919,$A851)/$E851,"")</f>
        <v/>
      </c>
      <c r="K851" s="6">
        <f>_xlfn.MINIFS('DETALLE CRONOLÓGICO'!$K$2:$K$4919,'DETALLE CRONOLÓGICO'!$A$2:$A$4919,$A851)</f>
        <v/>
      </c>
      <c r="L851" s="6">
        <f>_xlfn.MAXIFS('DETALLE CRONOLÓGICO'!$K$2:$K$4919,'DETALLE CRONOLÓGICO'!$A$2:$A$4919,$A851)</f>
        <v/>
      </c>
      <c r="M851" s="6">
        <f>INDEX('DETALLE CRONOLÓGICO'!$K$2:$K$4919,MATCH($A851,'DETALLE CRONOLÓGICO'!$A$2:$A$4919,0)+$E851-1)</f>
        <v/>
      </c>
      <c r="N851" s="7">
        <f>IFERROR($M851/INDEX('DETALLE CRONOLÓGICO'!$K$2:$K$4919,MATCH($A851,'DETALLE CRONOLÓGICO'!$A$2:$A$4919,0))-1,"")</f>
        <v/>
      </c>
      <c r="O851" s="6">
        <f>IFERROR($I851*3,"")</f>
        <v/>
      </c>
      <c r="P851" s="6">
        <f>IFERROR($I851*3.5,"")</f>
        <v/>
      </c>
      <c r="Q851" s="6">
        <f>IFERROR($I851*4,"")</f>
        <v/>
      </c>
      <c r="R851" s="6" t="n">
        <v>742</v>
      </c>
      <c r="S851" s="4" t="n">
        <v>2</v>
      </c>
      <c r="T851" s="1" t="inlineStr">
        <is>
          <t>active</t>
        </is>
      </c>
      <c r="U851" s="8" t="n"/>
      <c r="V851" s="1" t="inlineStr">
        <is>
          <t>SIN PRECIO</t>
        </is>
      </c>
    </row>
    <row r="852">
      <c r="A852" s="1" t="inlineStr">
        <is>
          <t>43728117034540</t>
        </is>
      </c>
      <c r="B852" s="1" t="inlineStr">
        <is>
          <t>TARJETERO YSL GOLD</t>
        </is>
      </c>
      <c r="C852" s="1" t="inlineStr">
        <is>
          <t>HIGH QUALITY</t>
        </is>
      </c>
      <c r="D852" s="1" t="inlineStr">
        <is>
          <t>ZOEY</t>
        </is>
      </c>
      <c r="E852" s="4">
        <f>COUNTIF('DETALLE CRONOLÓGICO'!$A$2:$A$4919,$A852)</f>
        <v/>
      </c>
      <c r="F852" s="4">
        <f>SUMIFS('DETALLE CRONOLÓGICO'!$I$2:$I$4919,'DETALLE CRONOLÓGICO'!$A$2:$A$4919,$A852)</f>
        <v/>
      </c>
      <c r="G852" s="1">
        <f>INDEX('DETALLE CRONOLÓGICO'!$D$2:$D$4919,MATCH($A852,'DETALLE CRONOLÓGICO'!$A$2:$A$4919,0))</f>
        <v/>
      </c>
      <c r="H852" s="1">
        <f>INDEX('DETALLE CRONOLÓGICO'!$D$2:$D$4919,MATCH($A852,'DETALLE CRONOLÓGICO'!$A$2:$A$4919,0)+$E852-1)</f>
        <v/>
      </c>
      <c r="I852" s="5">
        <f>IFERROR(SUMIFS('DETALLE CRONOLÓGICO'!$L$2:$L$4919,'DETALLE CRONOLÓGICO'!$A$2:$A$4919,$A852)/$F852,"")</f>
        <v/>
      </c>
      <c r="J852" s="6">
        <f>IFERROR(SUMIFS('DETALLE CRONOLÓGICO'!$K$2:$K$4919,'DETALLE CRONOLÓGICO'!$A$2:$A$4919,$A852)/$E852,"")</f>
        <v/>
      </c>
      <c r="K852" s="6">
        <f>_xlfn.MINIFS('DETALLE CRONOLÓGICO'!$K$2:$K$4919,'DETALLE CRONOLÓGICO'!$A$2:$A$4919,$A852)</f>
        <v/>
      </c>
      <c r="L852" s="6">
        <f>_xlfn.MAXIFS('DETALLE CRONOLÓGICO'!$K$2:$K$4919,'DETALLE CRONOLÓGICO'!$A$2:$A$4919,$A852)</f>
        <v/>
      </c>
      <c r="M852" s="6">
        <f>INDEX('DETALLE CRONOLÓGICO'!$K$2:$K$4919,MATCH($A852,'DETALLE CRONOLÓGICO'!$A$2:$A$4919,0)+$E852-1)</f>
        <v/>
      </c>
      <c r="N852" s="7">
        <f>IFERROR($M852/INDEX('DETALLE CRONOLÓGICO'!$K$2:$K$4919,MATCH($A852,'DETALLE CRONOLÓGICO'!$A$2:$A$4919,0))-1,"")</f>
        <v/>
      </c>
      <c r="O852" s="6">
        <f>IFERROR($I852*3,"")</f>
        <v/>
      </c>
      <c r="P852" s="6">
        <f>IFERROR($I852*3.5,"")</f>
        <v/>
      </c>
      <c r="Q852" s="6">
        <f>IFERROR($I852*4,"")</f>
        <v/>
      </c>
      <c r="R852" s="6" t="n">
        <v>1399</v>
      </c>
      <c r="S852" s="4" t="n">
        <v>1</v>
      </c>
      <c r="T852" s="1" t="inlineStr">
        <is>
          <t>active</t>
        </is>
      </c>
      <c r="U852" s="8" t="n"/>
      <c r="V852" s="1" t="inlineStr">
        <is>
          <t>SIN PRECIO</t>
        </is>
      </c>
    </row>
    <row r="853">
      <c r="A853" s="1" t="inlineStr">
        <is>
          <t>43728133191212</t>
        </is>
      </c>
      <c r="B853" s="1" t="inlineStr">
        <is>
          <t>COLLAR TREBOL SILVER</t>
        </is>
      </c>
      <c r="C853" s="1" t="inlineStr">
        <is>
          <t>plata esterlina 925</t>
        </is>
      </c>
      <c r="D853" s="1" t="inlineStr">
        <is>
          <t>HAIFENG</t>
        </is>
      </c>
      <c r="E853" s="4">
        <f>COUNTIF('DETALLE CRONOLÓGICO'!$A$2:$A$4919,$A853)</f>
        <v/>
      </c>
      <c r="F853" s="4">
        <f>SUMIFS('DETALLE CRONOLÓGICO'!$I$2:$I$4919,'DETALLE CRONOLÓGICO'!$A$2:$A$4919,$A853)</f>
        <v/>
      </c>
      <c r="G853" s="1">
        <f>INDEX('DETALLE CRONOLÓGICO'!$D$2:$D$4919,MATCH($A853,'DETALLE CRONOLÓGICO'!$A$2:$A$4919,0))</f>
        <v/>
      </c>
      <c r="H853" s="1">
        <f>INDEX('DETALLE CRONOLÓGICO'!$D$2:$D$4919,MATCH($A853,'DETALLE CRONOLÓGICO'!$A$2:$A$4919,0)+$E853-1)</f>
        <v/>
      </c>
      <c r="I853" s="5">
        <f>IFERROR(SUMIFS('DETALLE CRONOLÓGICO'!$L$2:$L$4919,'DETALLE CRONOLÓGICO'!$A$2:$A$4919,$A853)/$F853,"")</f>
        <v/>
      </c>
      <c r="J853" s="6">
        <f>IFERROR(SUMIFS('DETALLE CRONOLÓGICO'!$K$2:$K$4919,'DETALLE CRONOLÓGICO'!$A$2:$A$4919,$A853)/$E853,"")</f>
        <v/>
      </c>
      <c r="K853" s="6">
        <f>_xlfn.MINIFS('DETALLE CRONOLÓGICO'!$K$2:$K$4919,'DETALLE CRONOLÓGICO'!$A$2:$A$4919,$A853)</f>
        <v/>
      </c>
      <c r="L853" s="6">
        <f>_xlfn.MAXIFS('DETALLE CRONOLÓGICO'!$K$2:$K$4919,'DETALLE CRONOLÓGICO'!$A$2:$A$4919,$A853)</f>
        <v/>
      </c>
      <c r="M853" s="6">
        <f>INDEX('DETALLE CRONOLÓGICO'!$K$2:$K$4919,MATCH($A853,'DETALLE CRONOLÓGICO'!$A$2:$A$4919,0)+$E853-1)</f>
        <v/>
      </c>
      <c r="N853" s="7">
        <f>IFERROR($M853/INDEX('DETALLE CRONOLÓGICO'!$K$2:$K$4919,MATCH($A853,'DETALLE CRONOLÓGICO'!$A$2:$A$4919,0))-1,"")</f>
        <v/>
      </c>
      <c r="O853" s="6">
        <f>IFERROR($I853*3,"")</f>
        <v/>
      </c>
      <c r="P853" s="6">
        <f>IFERROR($I853*3.5,"")</f>
        <v/>
      </c>
      <c r="Q853" s="6">
        <f>IFERROR($I853*4,"")</f>
        <v/>
      </c>
      <c r="R853" s="6" t="n">
        <v>899</v>
      </c>
      <c r="S853" s="4" t="n">
        <v>3</v>
      </c>
      <c r="T853" s="1" t="inlineStr">
        <is>
          <t>active</t>
        </is>
      </c>
      <c r="U853" s="8" t="n"/>
      <c r="V853" s="1" t="inlineStr">
        <is>
          <t>SIN PRECIO</t>
        </is>
      </c>
    </row>
    <row r="854">
      <c r="A854" s="1" t="inlineStr">
        <is>
          <t>43728135084716</t>
        </is>
      </c>
      <c r="B854" s="1" t="inlineStr">
        <is>
          <t>COLLAR YSL GOLD (NECKLACE)</t>
        </is>
      </c>
      <c r="C854" s="1" t="inlineStr">
        <is>
          <t>REGULAR</t>
        </is>
      </c>
      <c r="D854" s="1" t="inlineStr">
        <is>
          <t>NANCY</t>
        </is>
      </c>
      <c r="E854" s="4">
        <f>COUNTIF('DETALLE CRONOLÓGICO'!$A$2:$A$4919,$A854)</f>
        <v/>
      </c>
      <c r="F854" s="4">
        <f>SUMIFS('DETALLE CRONOLÓGICO'!$I$2:$I$4919,'DETALLE CRONOLÓGICO'!$A$2:$A$4919,$A854)</f>
        <v/>
      </c>
      <c r="G854" s="1">
        <f>INDEX('DETALLE CRONOLÓGICO'!$D$2:$D$4919,MATCH($A854,'DETALLE CRONOLÓGICO'!$A$2:$A$4919,0))</f>
        <v/>
      </c>
      <c r="H854" s="1">
        <f>INDEX('DETALLE CRONOLÓGICO'!$D$2:$D$4919,MATCH($A854,'DETALLE CRONOLÓGICO'!$A$2:$A$4919,0)+$E854-1)</f>
        <v/>
      </c>
      <c r="I854" s="5">
        <f>IFERROR(SUMIFS('DETALLE CRONOLÓGICO'!$L$2:$L$4919,'DETALLE CRONOLÓGICO'!$A$2:$A$4919,$A854)/$F854,"")</f>
        <v/>
      </c>
      <c r="J854" s="6">
        <f>IFERROR(SUMIFS('DETALLE CRONOLÓGICO'!$K$2:$K$4919,'DETALLE CRONOLÓGICO'!$A$2:$A$4919,$A854)/$E854,"")</f>
        <v/>
      </c>
      <c r="K854" s="6">
        <f>_xlfn.MINIFS('DETALLE CRONOLÓGICO'!$K$2:$K$4919,'DETALLE CRONOLÓGICO'!$A$2:$A$4919,$A854)</f>
        <v/>
      </c>
      <c r="L854" s="6">
        <f>_xlfn.MAXIFS('DETALLE CRONOLÓGICO'!$K$2:$K$4919,'DETALLE CRONOLÓGICO'!$A$2:$A$4919,$A854)</f>
        <v/>
      </c>
      <c r="M854" s="6">
        <f>INDEX('DETALLE CRONOLÓGICO'!$K$2:$K$4919,MATCH($A854,'DETALLE CRONOLÓGICO'!$A$2:$A$4919,0)+$E854-1)</f>
        <v/>
      </c>
      <c r="N854" s="7">
        <f>IFERROR($M854/INDEX('DETALLE CRONOLÓGICO'!$K$2:$K$4919,MATCH($A854,'DETALLE CRONOLÓGICO'!$A$2:$A$4919,0))-1,"")</f>
        <v/>
      </c>
      <c r="O854" s="6">
        <f>IFERROR($I854*3,"")</f>
        <v/>
      </c>
      <c r="P854" s="6">
        <f>IFERROR($I854*3.5,"")</f>
        <v/>
      </c>
      <c r="Q854" s="6">
        <f>IFERROR($I854*4,"")</f>
        <v/>
      </c>
      <c r="R854" s="6" t="n">
        <v>535</v>
      </c>
      <c r="S854" s="4" t="n">
        <v>4</v>
      </c>
      <c r="T854" s="1" t="inlineStr">
        <is>
          <t>active</t>
        </is>
      </c>
      <c r="U854" s="8" t="n"/>
      <c r="V854" s="1" t="inlineStr">
        <is>
          <t>SIN PRECIO</t>
        </is>
      </c>
    </row>
    <row r="855">
      <c r="A855" s="1" t="inlineStr">
        <is>
          <t>43728135385740</t>
        </is>
      </c>
      <c r="B855" s="1" t="inlineStr">
        <is>
          <t>PULSERA TRÉBOL GOLD-GREEN VF</t>
        </is>
      </c>
      <c r="C855" s="1" t="inlineStr">
        <is>
          <t>18cm</t>
        </is>
      </c>
      <c r="D855" s="1" t="inlineStr">
        <is>
          <t>HAIFENG</t>
        </is>
      </c>
      <c r="E855" s="4">
        <f>COUNTIF('DETALLE CRONOLÓGICO'!$A$2:$A$4919,$A855)</f>
        <v/>
      </c>
      <c r="F855" s="4">
        <f>SUMIFS('DETALLE CRONOLÓGICO'!$I$2:$I$4919,'DETALLE CRONOLÓGICO'!$A$2:$A$4919,$A855)</f>
        <v/>
      </c>
      <c r="G855" s="1">
        <f>INDEX('DETALLE CRONOLÓGICO'!$D$2:$D$4919,MATCH($A855,'DETALLE CRONOLÓGICO'!$A$2:$A$4919,0))</f>
        <v/>
      </c>
      <c r="H855" s="1">
        <f>INDEX('DETALLE CRONOLÓGICO'!$D$2:$D$4919,MATCH($A855,'DETALLE CRONOLÓGICO'!$A$2:$A$4919,0)+$E855-1)</f>
        <v/>
      </c>
      <c r="I855" s="5">
        <f>IFERROR(SUMIFS('DETALLE CRONOLÓGICO'!$L$2:$L$4919,'DETALLE CRONOLÓGICO'!$A$2:$A$4919,$A855)/$F855,"")</f>
        <v/>
      </c>
      <c r="J855" s="6">
        <f>IFERROR(SUMIFS('DETALLE CRONOLÓGICO'!$K$2:$K$4919,'DETALLE CRONOLÓGICO'!$A$2:$A$4919,$A855)/$E855,"")</f>
        <v/>
      </c>
      <c r="K855" s="6">
        <f>_xlfn.MINIFS('DETALLE CRONOLÓGICO'!$K$2:$K$4919,'DETALLE CRONOLÓGICO'!$A$2:$A$4919,$A855)</f>
        <v/>
      </c>
      <c r="L855" s="6">
        <f>_xlfn.MAXIFS('DETALLE CRONOLÓGICO'!$K$2:$K$4919,'DETALLE CRONOLÓGICO'!$A$2:$A$4919,$A855)</f>
        <v/>
      </c>
      <c r="M855" s="6">
        <f>INDEX('DETALLE CRONOLÓGICO'!$K$2:$K$4919,MATCH($A855,'DETALLE CRONOLÓGICO'!$A$2:$A$4919,0)+$E855-1)</f>
        <v/>
      </c>
      <c r="N855" s="7">
        <f>IFERROR($M855/INDEX('DETALLE CRONOLÓGICO'!$K$2:$K$4919,MATCH($A855,'DETALLE CRONOLÓGICO'!$A$2:$A$4919,0))-1,"")</f>
        <v/>
      </c>
      <c r="O855" s="6">
        <f>IFERROR($I855*3,"")</f>
        <v/>
      </c>
      <c r="P855" s="6">
        <f>IFERROR($I855*3.5,"")</f>
        <v/>
      </c>
      <c r="Q855" s="6">
        <f>IFERROR($I855*4,"")</f>
        <v/>
      </c>
      <c r="R855" s="6" t="n">
        <v>599</v>
      </c>
      <c r="S855" s="4" t="n">
        <v>6</v>
      </c>
      <c r="T855" s="1" t="inlineStr">
        <is>
          <t>active</t>
        </is>
      </c>
      <c r="U855" s="8" t="n"/>
      <c r="V855" s="1" t="inlineStr">
        <is>
          <t>SIN PRECIO</t>
        </is>
      </c>
    </row>
    <row r="856">
      <c r="A856" s="1" t="inlineStr">
        <is>
          <t>43728135714860</t>
        </is>
      </c>
      <c r="B856" s="1" t="inlineStr">
        <is>
          <t>BOLSO YSL CHAROL CROCODILE</t>
        </is>
      </c>
      <c r="C856" s="1" t="inlineStr">
        <is>
          <t>20 cm de largo x 13 cm de alto x 6 de ancho</t>
        </is>
      </c>
      <c r="D856" s="1" t="inlineStr">
        <is>
          <t>CYNTHIA</t>
        </is>
      </c>
      <c r="E856" s="4">
        <f>COUNTIF('DETALLE CRONOLÓGICO'!$A$2:$A$4919,$A856)</f>
        <v/>
      </c>
      <c r="F856" s="4">
        <f>SUMIFS('DETALLE CRONOLÓGICO'!$I$2:$I$4919,'DETALLE CRONOLÓGICO'!$A$2:$A$4919,$A856)</f>
        <v/>
      </c>
      <c r="G856" s="1">
        <f>INDEX('DETALLE CRONOLÓGICO'!$D$2:$D$4919,MATCH($A856,'DETALLE CRONOLÓGICO'!$A$2:$A$4919,0))</f>
        <v/>
      </c>
      <c r="H856" s="1">
        <f>INDEX('DETALLE CRONOLÓGICO'!$D$2:$D$4919,MATCH($A856,'DETALLE CRONOLÓGICO'!$A$2:$A$4919,0)+$E856-1)</f>
        <v/>
      </c>
      <c r="I856" s="5">
        <f>IFERROR(SUMIFS('DETALLE CRONOLÓGICO'!$L$2:$L$4919,'DETALLE CRONOLÓGICO'!$A$2:$A$4919,$A856)/$F856,"")</f>
        <v/>
      </c>
      <c r="J856" s="6">
        <f>IFERROR(SUMIFS('DETALLE CRONOLÓGICO'!$K$2:$K$4919,'DETALLE CRONOLÓGICO'!$A$2:$A$4919,$A856)/$E856,"")</f>
        <v/>
      </c>
      <c r="K856" s="6">
        <f>_xlfn.MINIFS('DETALLE CRONOLÓGICO'!$K$2:$K$4919,'DETALLE CRONOLÓGICO'!$A$2:$A$4919,$A856)</f>
        <v/>
      </c>
      <c r="L856" s="6">
        <f>_xlfn.MAXIFS('DETALLE CRONOLÓGICO'!$K$2:$K$4919,'DETALLE CRONOLÓGICO'!$A$2:$A$4919,$A856)</f>
        <v/>
      </c>
      <c r="M856" s="6">
        <f>INDEX('DETALLE CRONOLÓGICO'!$K$2:$K$4919,MATCH($A856,'DETALLE CRONOLÓGICO'!$A$2:$A$4919,0)+$E856-1)</f>
        <v/>
      </c>
      <c r="N856" s="7">
        <f>IFERROR($M856/INDEX('DETALLE CRONOLÓGICO'!$K$2:$K$4919,MATCH($A856,'DETALLE CRONOLÓGICO'!$A$2:$A$4919,0))-1,"")</f>
        <v/>
      </c>
      <c r="O856" s="6">
        <f>IFERROR($I856*3,"")</f>
        <v/>
      </c>
      <c r="P856" s="6">
        <f>IFERROR($I856*3.5,"")</f>
        <v/>
      </c>
      <c r="Q856" s="6">
        <f>IFERROR($I856*4,"")</f>
        <v/>
      </c>
      <c r="R856" s="6" t="n">
        <v>4500</v>
      </c>
      <c r="S856" s="4" t="n">
        <v>4</v>
      </c>
      <c r="T856" s="1" t="inlineStr">
        <is>
          <t>active</t>
        </is>
      </c>
      <c r="U856" s="8" t="n"/>
      <c r="V856" s="1" t="inlineStr">
        <is>
          <t>SIN PRECIO</t>
        </is>
      </c>
    </row>
    <row r="857">
      <c r="A857" s="1" t="inlineStr">
        <is>
          <t>43728136587308</t>
        </is>
      </c>
      <c r="B857" s="1" t="inlineStr">
        <is>
          <t>BOLSO DE VIAJE LV BLACK</t>
        </is>
      </c>
      <c r="C857" s="1" t="inlineStr">
        <is>
          <t>HIGH QUALITY</t>
        </is>
      </c>
      <c r="D857" s="1" t="inlineStr">
        <is>
          <t>ZOEY</t>
        </is>
      </c>
      <c r="E857" s="4">
        <f>COUNTIF('DETALLE CRONOLÓGICO'!$A$2:$A$4919,$A857)</f>
        <v/>
      </c>
      <c r="F857" s="4">
        <f>SUMIFS('DETALLE CRONOLÓGICO'!$I$2:$I$4919,'DETALLE CRONOLÓGICO'!$A$2:$A$4919,$A857)</f>
        <v/>
      </c>
      <c r="G857" s="1">
        <f>INDEX('DETALLE CRONOLÓGICO'!$D$2:$D$4919,MATCH($A857,'DETALLE CRONOLÓGICO'!$A$2:$A$4919,0))</f>
        <v/>
      </c>
      <c r="H857" s="1">
        <f>INDEX('DETALLE CRONOLÓGICO'!$D$2:$D$4919,MATCH($A857,'DETALLE CRONOLÓGICO'!$A$2:$A$4919,0)+$E857-1)</f>
        <v/>
      </c>
      <c r="I857" s="5">
        <f>IFERROR(SUMIFS('DETALLE CRONOLÓGICO'!$L$2:$L$4919,'DETALLE CRONOLÓGICO'!$A$2:$A$4919,$A857)/$F857,"")</f>
        <v/>
      </c>
      <c r="J857" s="6">
        <f>IFERROR(SUMIFS('DETALLE CRONOLÓGICO'!$K$2:$K$4919,'DETALLE CRONOLÓGICO'!$A$2:$A$4919,$A857)/$E857,"")</f>
        <v/>
      </c>
      <c r="K857" s="6">
        <f>_xlfn.MINIFS('DETALLE CRONOLÓGICO'!$K$2:$K$4919,'DETALLE CRONOLÓGICO'!$A$2:$A$4919,$A857)</f>
        <v/>
      </c>
      <c r="L857" s="6">
        <f>_xlfn.MAXIFS('DETALLE CRONOLÓGICO'!$K$2:$K$4919,'DETALLE CRONOLÓGICO'!$A$2:$A$4919,$A857)</f>
        <v/>
      </c>
      <c r="M857" s="6">
        <f>INDEX('DETALLE CRONOLÓGICO'!$K$2:$K$4919,MATCH($A857,'DETALLE CRONOLÓGICO'!$A$2:$A$4919,0)+$E857-1)</f>
        <v/>
      </c>
      <c r="N857" s="7">
        <f>IFERROR($M857/INDEX('DETALLE CRONOLÓGICO'!$K$2:$K$4919,MATCH($A857,'DETALLE CRONOLÓGICO'!$A$2:$A$4919,0))-1,"")</f>
        <v/>
      </c>
      <c r="O857" s="6">
        <f>IFERROR($I857*3,"")</f>
        <v/>
      </c>
      <c r="P857" s="6">
        <f>IFERROR($I857*3.5,"")</f>
        <v/>
      </c>
      <c r="Q857" s="6">
        <f>IFERROR($I857*4,"")</f>
        <v/>
      </c>
      <c r="R857" s="6" t="n">
        <v>5679</v>
      </c>
      <c r="S857" s="4" t="n">
        <v>1</v>
      </c>
      <c r="T857" s="1" t="inlineStr">
        <is>
          <t>active</t>
        </is>
      </c>
      <c r="U857" s="8" t="n"/>
      <c r="V857" s="1" t="inlineStr">
        <is>
          <t>SIN PRECIO</t>
        </is>
      </c>
    </row>
    <row r="858">
      <c r="A858" s="1" t="inlineStr">
        <is>
          <t>43792107834124</t>
        </is>
      </c>
      <c r="B858" s="1" t="inlineStr">
        <is>
          <t>CINTO CD REVOLUTION</t>
        </is>
      </c>
      <c r="C858" s="1" t="inlineStr">
        <is>
          <t>110cm</t>
        </is>
      </c>
      <c r="D858" s="1" t="inlineStr">
        <is>
          <t>ZOEY</t>
        </is>
      </c>
      <c r="E858" s="4">
        <f>COUNTIF('DETALLE CRONOLÓGICO'!$A$2:$A$4919,$A858)</f>
        <v/>
      </c>
      <c r="F858" s="4">
        <f>SUMIFS('DETALLE CRONOLÓGICO'!$I$2:$I$4919,'DETALLE CRONOLÓGICO'!$A$2:$A$4919,$A858)</f>
        <v/>
      </c>
      <c r="G858" s="1">
        <f>INDEX('DETALLE CRONOLÓGICO'!$D$2:$D$4919,MATCH($A858,'DETALLE CRONOLÓGICO'!$A$2:$A$4919,0))</f>
        <v/>
      </c>
      <c r="H858" s="1">
        <f>INDEX('DETALLE CRONOLÓGICO'!$D$2:$D$4919,MATCH($A858,'DETALLE CRONOLÓGICO'!$A$2:$A$4919,0)+$E858-1)</f>
        <v/>
      </c>
      <c r="I858" s="5">
        <f>IFERROR(SUMIFS('DETALLE CRONOLÓGICO'!$L$2:$L$4919,'DETALLE CRONOLÓGICO'!$A$2:$A$4919,$A858)/$F858,"")</f>
        <v/>
      </c>
      <c r="J858" s="6">
        <f>IFERROR(SUMIFS('DETALLE CRONOLÓGICO'!$K$2:$K$4919,'DETALLE CRONOLÓGICO'!$A$2:$A$4919,$A858)/$E858,"")</f>
        <v/>
      </c>
      <c r="K858" s="6">
        <f>_xlfn.MINIFS('DETALLE CRONOLÓGICO'!$K$2:$K$4919,'DETALLE CRONOLÓGICO'!$A$2:$A$4919,$A858)</f>
        <v/>
      </c>
      <c r="L858" s="6">
        <f>_xlfn.MAXIFS('DETALLE CRONOLÓGICO'!$K$2:$K$4919,'DETALLE CRONOLÓGICO'!$A$2:$A$4919,$A858)</f>
        <v/>
      </c>
      <c r="M858" s="6">
        <f>INDEX('DETALLE CRONOLÓGICO'!$K$2:$K$4919,MATCH($A858,'DETALLE CRONOLÓGICO'!$A$2:$A$4919,0)+$E858-1)</f>
        <v/>
      </c>
      <c r="N858" s="7">
        <f>IFERROR($M858/INDEX('DETALLE CRONOLÓGICO'!$K$2:$K$4919,MATCH($A858,'DETALLE CRONOLÓGICO'!$A$2:$A$4919,0))-1,"")</f>
        <v/>
      </c>
      <c r="O858" s="6">
        <f>IFERROR($I858*3,"")</f>
        <v/>
      </c>
      <c r="P858" s="6">
        <f>IFERROR($I858*3.5,"")</f>
        <v/>
      </c>
      <c r="Q858" s="6">
        <f>IFERROR($I858*4,"")</f>
        <v/>
      </c>
      <c r="R858" s="6" t="n">
        <v>4415</v>
      </c>
      <c r="S858" s="4" t="n">
        <v>3</v>
      </c>
      <c r="T858" s="1" t="inlineStr">
        <is>
          <t>active</t>
        </is>
      </c>
      <c r="U858" s="8" t="n"/>
      <c r="V858" s="1" t="inlineStr">
        <is>
          <t>SIN PRECIO</t>
        </is>
      </c>
    </row>
    <row r="859">
      <c r="A859" s="1" t="inlineStr">
        <is>
          <t>43794531550861</t>
        </is>
      </c>
      <c r="B859" s="1" t="inlineStr">
        <is>
          <t>LENTES CD PACIFIC R1</t>
        </is>
      </c>
      <c r="C859" s="1" t="inlineStr">
        <is>
          <t>Default Title</t>
        </is>
      </c>
      <c r="D859" s="1" t="inlineStr">
        <is>
          <t>ZOEY</t>
        </is>
      </c>
      <c r="E859" s="4">
        <f>COUNTIF('DETALLE CRONOLÓGICO'!$A$2:$A$4919,$A859)</f>
        <v/>
      </c>
      <c r="F859" s="4">
        <f>SUMIFS('DETALLE CRONOLÓGICO'!$I$2:$I$4919,'DETALLE CRONOLÓGICO'!$A$2:$A$4919,$A859)</f>
        <v/>
      </c>
      <c r="G859" s="1">
        <f>INDEX('DETALLE CRONOLÓGICO'!$D$2:$D$4919,MATCH($A859,'DETALLE CRONOLÓGICO'!$A$2:$A$4919,0))</f>
        <v/>
      </c>
      <c r="H859" s="1">
        <f>INDEX('DETALLE CRONOLÓGICO'!$D$2:$D$4919,MATCH($A859,'DETALLE CRONOLÓGICO'!$A$2:$A$4919,0)+$E859-1)</f>
        <v/>
      </c>
      <c r="I859" s="5">
        <f>IFERROR(SUMIFS('DETALLE CRONOLÓGICO'!$L$2:$L$4919,'DETALLE CRONOLÓGICO'!$A$2:$A$4919,$A859)/$F859,"")</f>
        <v/>
      </c>
      <c r="J859" s="6">
        <f>IFERROR(SUMIFS('DETALLE CRONOLÓGICO'!$K$2:$K$4919,'DETALLE CRONOLÓGICO'!$A$2:$A$4919,$A859)/$E859,"")</f>
        <v/>
      </c>
      <c r="K859" s="6">
        <f>_xlfn.MINIFS('DETALLE CRONOLÓGICO'!$K$2:$K$4919,'DETALLE CRONOLÓGICO'!$A$2:$A$4919,$A859)</f>
        <v/>
      </c>
      <c r="L859" s="6">
        <f>_xlfn.MAXIFS('DETALLE CRONOLÓGICO'!$K$2:$K$4919,'DETALLE CRONOLÓGICO'!$A$2:$A$4919,$A859)</f>
        <v/>
      </c>
      <c r="M859" s="6">
        <f>INDEX('DETALLE CRONOLÓGICO'!$K$2:$K$4919,MATCH($A859,'DETALLE CRONOLÓGICO'!$A$2:$A$4919,0)+$E859-1)</f>
        <v/>
      </c>
      <c r="N859" s="7">
        <f>IFERROR($M859/INDEX('DETALLE CRONOLÓGICO'!$K$2:$K$4919,MATCH($A859,'DETALLE CRONOLÓGICO'!$A$2:$A$4919,0))-1,"")</f>
        <v/>
      </c>
      <c r="O859" s="6">
        <f>IFERROR($I859*3,"")</f>
        <v/>
      </c>
      <c r="P859" s="6">
        <f>IFERROR($I859*3.5,"")</f>
        <v/>
      </c>
      <c r="Q859" s="6">
        <f>IFERROR($I859*4,"")</f>
        <v/>
      </c>
      <c r="R859" s="6" t="n">
        <v>3199</v>
      </c>
      <c r="S859" s="4" t="n">
        <v>1</v>
      </c>
      <c r="T859" s="1" t="inlineStr">
        <is>
          <t>active</t>
        </is>
      </c>
      <c r="U859" s="8" t="n"/>
      <c r="V859" s="1" t="inlineStr">
        <is>
          <t>SIN PRECIO</t>
        </is>
      </c>
    </row>
    <row r="860">
      <c r="A860" s="1" t="inlineStr">
        <is>
          <t>43794531982605</t>
        </is>
      </c>
      <c r="B860" s="1" t="inlineStr">
        <is>
          <t>CARTERA PR LOGO TRIANGULAR</t>
        </is>
      </c>
      <c r="C860" s="1" t="inlineStr">
        <is>
          <t>Default Title</t>
        </is>
      </c>
      <c r="D860" s="1" t="inlineStr">
        <is>
          <t>ZOEY</t>
        </is>
      </c>
      <c r="E860" s="4">
        <f>COUNTIF('DETALLE CRONOLÓGICO'!$A$2:$A$4919,$A860)</f>
        <v/>
      </c>
      <c r="F860" s="4">
        <f>SUMIFS('DETALLE CRONOLÓGICO'!$I$2:$I$4919,'DETALLE CRONOLÓGICO'!$A$2:$A$4919,$A860)</f>
        <v/>
      </c>
      <c r="G860" s="1">
        <f>INDEX('DETALLE CRONOLÓGICO'!$D$2:$D$4919,MATCH($A860,'DETALLE CRONOLÓGICO'!$A$2:$A$4919,0))</f>
        <v/>
      </c>
      <c r="H860" s="1">
        <f>INDEX('DETALLE CRONOLÓGICO'!$D$2:$D$4919,MATCH($A860,'DETALLE CRONOLÓGICO'!$A$2:$A$4919,0)+$E860-1)</f>
        <v/>
      </c>
      <c r="I860" s="5">
        <f>IFERROR(SUMIFS('DETALLE CRONOLÓGICO'!$L$2:$L$4919,'DETALLE CRONOLÓGICO'!$A$2:$A$4919,$A860)/$F860,"")</f>
        <v/>
      </c>
      <c r="J860" s="6">
        <f>IFERROR(SUMIFS('DETALLE CRONOLÓGICO'!$K$2:$K$4919,'DETALLE CRONOLÓGICO'!$A$2:$A$4919,$A860)/$E860,"")</f>
        <v/>
      </c>
      <c r="K860" s="6">
        <f>_xlfn.MINIFS('DETALLE CRONOLÓGICO'!$K$2:$K$4919,'DETALLE CRONOLÓGICO'!$A$2:$A$4919,$A860)</f>
        <v/>
      </c>
      <c r="L860" s="6">
        <f>_xlfn.MAXIFS('DETALLE CRONOLÓGICO'!$K$2:$K$4919,'DETALLE CRONOLÓGICO'!$A$2:$A$4919,$A860)</f>
        <v/>
      </c>
      <c r="M860" s="6">
        <f>INDEX('DETALLE CRONOLÓGICO'!$K$2:$K$4919,MATCH($A860,'DETALLE CRONOLÓGICO'!$A$2:$A$4919,0)+$E860-1)</f>
        <v/>
      </c>
      <c r="N860" s="7">
        <f>IFERROR($M860/INDEX('DETALLE CRONOLÓGICO'!$K$2:$K$4919,MATCH($A860,'DETALLE CRONOLÓGICO'!$A$2:$A$4919,0))-1,"")</f>
        <v/>
      </c>
      <c r="O860" s="6">
        <f>IFERROR($I860*3,"")</f>
        <v/>
      </c>
      <c r="P860" s="6">
        <f>IFERROR($I860*3.5,"")</f>
        <v/>
      </c>
      <c r="Q860" s="6">
        <f>IFERROR($I860*4,"")</f>
        <v/>
      </c>
      <c r="R860" s="6" t="n">
        <v>2440</v>
      </c>
      <c r="S860" s="4" t="n">
        <v>0</v>
      </c>
      <c r="T860" s="1" t="inlineStr">
        <is>
          <t>active</t>
        </is>
      </c>
      <c r="U860" s="8" t="n"/>
      <c r="V860" s="1" t="inlineStr">
        <is>
          <t>SIN PRECIO</t>
        </is>
      </c>
    </row>
    <row r="861">
      <c r="A861" s="1" t="inlineStr">
        <is>
          <t>43794532275885</t>
        </is>
      </c>
      <c r="B861" s="1" t="inlineStr">
        <is>
          <t>CARTERA MM NAPA BLACK</t>
        </is>
      </c>
      <c r="C861" s="1" t="inlineStr">
        <is>
          <t>Default Title</t>
        </is>
      </c>
      <c r="D861" s="1" t="inlineStr">
        <is>
          <t>ZOEY</t>
        </is>
      </c>
      <c r="E861" s="4">
        <f>COUNTIF('DETALLE CRONOLÓGICO'!$A$2:$A$4919,$A861)</f>
        <v/>
      </c>
      <c r="F861" s="4">
        <f>SUMIFS('DETALLE CRONOLÓGICO'!$I$2:$I$4919,'DETALLE CRONOLÓGICO'!$A$2:$A$4919,$A861)</f>
        <v/>
      </c>
      <c r="G861" s="1">
        <f>INDEX('DETALLE CRONOLÓGICO'!$D$2:$D$4919,MATCH($A861,'DETALLE CRONOLÓGICO'!$A$2:$A$4919,0))</f>
        <v/>
      </c>
      <c r="H861" s="1">
        <f>INDEX('DETALLE CRONOLÓGICO'!$D$2:$D$4919,MATCH($A861,'DETALLE CRONOLÓGICO'!$A$2:$A$4919,0)+$E861-1)</f>
        <v/>
      </c>
      <c r="I861" s="5">
        <f>IFERROR(SUMIFS('DETALLE CRONOLÓGICO'!$L$2:$L$4919,'DETALLE CRONOLÓGICO'!$A$2:$A$4919,$A861)/$F861,"")</f>
        <v/>
      </c>
      <c r="J861" s="6">
        <f>IFERROR(SUMIFS('DETALLE CRONOLÓGICO'!$K$2:$K$4919,'DETALLE CRONOLÓGICO'!$A$2:$A$4919,$A861)/$E861,"")</f>
        <v/>
      </c>
      <c r="K861" s="6">
        <f>_xlfn.MINIFS('DETALLE CRONOLÓGICO'!$K$2:$K$4919,'DETALLE CRONOLÓGICO'!$A$2:$A$4919,$A861)</f>
        <v/>
      </c>
      <c r="L861" s="6">
        <f>_xlfn.MAXIFS('DETALLE CRONOLÓGICO'!$K$2:$K$4919,'DETALLE CRONOLÓGICO'!$A$2:$A$4919,$A861)</f>
        <v/>
      </c>
      <c r="M861" s="6">
        <f>INDEX('DETALLE CRONOLÓGICO'!$K$2:$K$4919,MATCH($A861,'DETALLE CRONOLÓGICO'!$A$2:$A$4919,0)+$E861-1)</f>
        <v/>
      </c>
      <c r="N861" s="7">
        <f>IFERROR($M861/INDEX('DETALLE CRONOLÓGICO'!$K$2:$K$4919,MATCH($A861,'DETALLE CRONOLÓGICO'!$A$2:$A$4919,0))-1,"")</f>
        <v/>
      </c>
      <c r="O861" s="6">
        <f>IFERROR($I861*3,"")</f>
        <v/>
      </c>
      <c r="P861" s="6">
        <f>IFERROR($I861*3.5,"")</f>
        <v/>
      </c>
      <c r="Q861" s="6">
        <f>IFERROR($I861*4,"")</f>
        <v/>
      </c>
      <c r="R861" s="6" t="n">
        <v>2440</v>
      </c>
      <c r="S861" s="4" t="n">
        <v>2</v>
      </c>
      <c r="T861" s="1" t="inlineStr">
        <is>
          <t>active</t>
        </is>
      </c>
      <c r="U861" s="8" t="n"/>
      <c r="V861" s="1" t="inlineStr">
        <is>
          <t>SIN PRECIO</t>
        </is>
      </c>
    </row>
    <row r="862">
      <c r="A862" s="1" t="inlineStr">
        <is>
          <t>438973010904</t>
        </is>
      </c>
      <c r="B862" s="1" t="inlineStr">
        <is>
          <t>BOLSA CC Nº25 YELLOW</t>
        </is>
      </c>
      <c r="C862" s="1" t="n"/>
      <c r="D862" s="1" t="inlineStr">
        <is>
          <t>CYNTHIA</t>
        </is>
      </c>
      <c r="E862" s="4">
        <f>COUNTIF('DETALLE CRONOLÓGICO'!$A$2:$A$4919,$A862)</f>
        <v/>
      </c>
      <c r="F862" s="4">
        <f>SUMIFS('DETALLE CRONOLÓGICO'!$I$2:$I$4919,'DETALLE CRONOLÓGICO'!$A$2:$A$4919,$A862)</f>
        <v/>
      </c>
      <c r="G862" s="1">
        <f>INDEX('DETALLE CRONOLÓGICO'!$D$2:$D$4919,MATCH($A862,'DETALLE CRONOLÓGICO'!$A$2:$A$4919,0))</f>
        <v/>
      </c>
      <c r="H862" s="1">
        <f>INDEX('DETALLE CRONOLÓGICO'!$D$2:$D$4919,MATCH($A862,'DETALLE CRONOLÓGICO'!$A$2:$A$4919,0)+$E862-1)</f>
        <v/>
      </c>
      <c r="I862" s="5">
        <f>IFERROR(SUMIFS('DETALLE CRONOLÓGICO'!$L$2:$L$4919,'DETALLE CRONOLÓGICO'!$A$2:$A$4919,$A862)/$F862,"")</f>
        <v/>
      </c>
      <c r="J862" s="6">
        <f>IFERROR(SUMIFS('DETALLE CRONOLÓGICO'!$K$2:$K$4919,'DETALLE CRONOLÓGICO'!$A$2:$A$4919,$A862)/$E862,"")</f>
        <v/>
      </c>
      <c r="K862" s="6">
        <f>_xlfn.MINIFS('DETALLE CRONOLÓGICO'!$K$2:$K$4919,'DETALLE CRONOLÓGICO'!$A$2:$A$4919,$A862)</f>
        <v/>
      </c>
      <c r="L862" s="6">
        <f>_xlfn.MAXIFS('DETALLE CRONOLÓGICO'!$K$2:$K$4919,'DETALLE CRONOLÓGICO'!$A$2:$A$4919,$A862)</f>
        <v/>
      </c>
      <c r="M862" s="6">
        <f>INDEX('DETALLE CRONOLÓGICO'!$K$2:$K$4919,MATCH($A862,'DETALLE CRONOLÓGICO'!$A$2:$A$4919,0)+$E862-1)</f>
        <v/>
      </c>
      <c r="N862" s="7">
        <f>IFERROR($M862/INDEX('DETALLE CRONOLÓGICO'!$K$2:$K$4919,MATCH($A862,'DETALLE CRONOLÓGICO'!$A$2:$A$4919,0))-1,"")</f>
        <v/>
      </c>
      <c r="O862" s="6">
        <f>IFERROR($I862*3,"")</f>
        <v/>
      </c>
      <c r="P862" s="6">
        <f>IFERROR($I862*3.5,"")</f>
        <v/>
      </c>
      <c r="Q862" s="6">
        <f>IFERROR($I862*4,"")</f>
        <v/>
      </c>
      <c r="R862" s="6" t="n"/>
      <c r="S862" s="4" t="n"/>
      <c r="T862" s="1" t="inlineStr">
        <is>
          <t>YA NO EXISTE EN SHOPIFY</t>
        </is>
      </c>
      <c r="U862" s="8" t="n"/>
      <c r="V862" s="1" t="inlineStr">
        <is>
          <t>SIN PRECIO</t>
        </is>
      </c>
    </row>
    <row r="863">
      <c r="A863" s="1" t="inlineStr">
        <is>
          <t>43897301090413</t>
        </is>
      </c>
      <c r="B863" s="1" t="inlineStr">
        <is>
          <t>BOLSA CC Nº25 YELLOW</t>
        </is>
      </c>
      <c r="C863" s="1" t="inlineStr">
        <is>
          <t>Default Title</t>
        </is>
      </c>
      <c r="D863" s="1" t="inlineStr">
        <is>
          <t>CYNTHIA</t>
        </is>
      </c>
      <c r="E863" s="4">
        <f>COUNTIF('DETALLE CRONOLÓGICO'!$A$2:$A$4919,$A863)</f>
        <v/>
      </c>
      <c r="F863" s="4">
        <f>SUMIFS('DETALLE CRONOLÓGICO'!$I$2:$I$4919,'DETALLE CRONOLÓGICO'!$A$2:$A$4919,$A863)</f>
        <v/>
      </c>
      <c r="G863" s="1">
        <f>INDEX('DETALLE CRONOLÓGICO'!$D$2:$D$4919,MATCH($A863,'DETALLE CRONOLÓGICO'!$A$2:$A$4919,0))</f>
        <v/>
      </c>
      <c r="H863" s="1">
        <f>INDEX('DETALLE CRONOLÓGICO'!$D$2:$D$4919,MATCH($A863,'DETALLE CRONOLÓGICO'!$A$2:$A$4919,0)+$E863-1)</f>
        <v/>
      </c>
      <c r="I863" s="5">
        <f>IFERROR(SUMIFS('DETALLE CRONOLÓGICO'!$L$2:$L$4919,'DETALLE CRONOLÓGICO'!$A$2:$A$4919,$A863)/$F863,"")</f>
        <v/>
      </c>
      <c r="J863" s="6">
        <f>IFERROR(SUMIFS('DETALLE CRONOLÓGICO'!$K$2:$K$4919,'DETALLE CRONOLÓGICO'!$A$2:$A$4919,$A863)/$E863,"")</f>
        <v/>
      </c>
      <c r="K863" s="6">
        <f>_xlfn.MINIFS('DETALLE CRONOLÓGICO'!$K$2:$K$4919,'DETALLE CRONOLÓGICO'!$A$2:$A$4919,$A863)</f>
        <v/>
      </c>
      <c r="L863" s="6">
        <f>_xlfn.MAXIFS('DETALLE CRONOLÓGICO'!$K$2:$K$4919,'DETALLE CRONOLÓGICO'!$A$2:$A$4919,$A863)</f>
        <v/>
      </c>
      <c r="M863" s="6">
        <f>INDEX('DETALLE CRONOLÓGICO'!$K$2:$K$4919,MATCH($A863,'DETALLE CRONOLÓGICO'!$A$2:$A$4919,0)+$E863-1)</f>
        <v/>
      </c>
      <c r="N863" s="7">
        <f>IFERROR($M863/INDEX('DETALLE CRONOLÓGICO'!$K$2:$K$4919,MATCH($A863,'DETALLE CRONOLÓGICO'!$A$2:$A$4919,0))-1,"")</f>
        <v/>
      </c>
      <c r="O863" s="6">
        <f>IFERROR($I863*3,"")</f>
        <v/>
      </c>
      <c r="P863" s="6">
        <f>IFERROR($I863*3.5,"")</f>
        <v/>
      </c>
      <c r="Q863" s="6">
        <f>IFERROR($I863*4,"")</f>
        <v/>
      </c>
      <c r="R863" s="6" t="n">
        <v>6899</v>
      </c>
      <c r="S863" s="4" t="n">
        <v>1</v>
      </c>
      <c r="T863" s="1" t="inlineStr">
        <is>
          <t>active</t>
        </is>
      </c>
      <c r="U863" s="8" t="n"/>
      <c r="V863" s="1" t="inlineStr">
        <is>
          <t>SIN PRECIO</t>
        </is>
      </c>
    </row>
    <row r="864">
      <c r="A864" s="1" t="inlineStr">
        <is>
          <t>43897301164429</t>
        </is>
      </c>
      <c r="B864" s="1" t="inlineStr">
        <is>
          <t>BOLSA CC Nº25 BABY BLUE</t>
        </is>
      </c>
      <c r="C864" s="1" t="inlineStr">
        <is>
          <t>Default Title</t>
        </is>
      </c>
      <c r="D864" s="1" t="inlineStr">
        <is>
          <t>CYNTHIA</t>
        </is>
      </c>
      <c r="E864" s="4">
        <f>COUNTIF('DETALLE CRONOLÓGICO'!$A$2:$A$4919,$A864)</f>
        <v/>
      </c>
      <c r="F864" s="4">
        <f>SUMIFS('DETALLE CRONOLÓGICO'!$I$2:$I$4919,'DETALLE CRONOLÓGICO'!$A$2:$A$4919,$A864)</f>
        <v/>
      </c>
      <c r="G864" s="1">
        <f>INDEX('DETALLE CRONOLÓGICO'!$D$2:$D$4919,MATCH($A864,'DETALLE CRONOLÓGICO'!$A$2:$A$4919,0))</f>
        <v/>
      </c>
      <c r="H864" s="1">
        <f>INDEX('DETALLE CRONOLÓGICO'!$D$2:$D$4919,MATCH($A864,'DETALLE CRONOLÓGICO'!$A$2:$A$4919,0)+$E864-1)</f>
        <v/>
      </c>
      <c r="I864" s="5">
        <f>IFERROR(SUMIFS('DETALLE CRONOLÓGICO'!$L$2:$L$4919,'DETALLE CRONOLÓGICO'!$A$2:$A$4919,$A864)/$F864,"")</f>
        <v/>
      </c>
      <c r="J864" s="6">
        <f>IFERROR(SUMIFS('DETALLE CRONOLÓGICO'!$K$2:$K$4919,'DETALLE CRONOLÓGICO'!$A$2:$A$4919,$A864)/$E864,"")</f>
        <v/>
      </c>
      <c r="K864" s="6">
        <f>_xlfn.MINIFS('DETALLE CRONOLÓGICO'!$K$2:$K$4919,'DETALLE CRONOLÓGICO'!$A$2:$A$4919,$A864)</f>
        <v/>
      </c>
      <c r="L864" s="6">
        <f>_xlfn.MAXIFS('DETALLE CRONOLÓGICO'!$K$2:$K$4919,'DETALLE CRONOLÓGICO'!$A$2:$A$4919,$A864)</f>
        <v/>
      </c>
      <c r="M864" s="6">
        <f>INDEX('DETALLE CRONOLÓGICO'!$K$2:$K$4919,MATCH($A864,'DETALLE CRONOLÓGICO'!$A$2:$A$4919,0)+$E864-1)</f>
        <v/>
      </c>
      <c r="N864" s="7">
        <f>IFERROR($M864/INDEX('DETALLE CRONOLÓGICO'!$K$2:$K$4919,MATCH($A864,'DETALLE CRONOLÓGICO'!$A$2:$A$4919,0))-1,"")</f>
        <v/>
      </c>
      <c r="O864" s="6">
        <f>IFERROR($I864*3,"")</f>
        <v/>
      </c>
      <c r="P864" s="6">
        <f>IFERROR($I864*3.5,"")</f>
        <v/>
      </c>
      <c r="Q864" s="6">
        <f>IFERROR($I864*4,"")</f>
        <v/>
      </c>
      <c r="R864" s="6" t="n">
        <v>5999</v>
      </c>
      <c r="S864" s="4" t="n">
        <v>0</v>
      </c>
      <c r="T864" s="1" t="inlineStr">
        <is>
          <t>active</t>
        </is>
      </c>
      <c r="U864" s="8" t="n"/>
      <c r="V864" s="1" t="inlineStr">
        <is>
          <t>SIN PRECIO</t>
        </is>
      </c>
    </row>
    <row r="865">
      <c r="A865" s="1" t="inlineStr">
        <is>
          <t>43897301288173</t>
        </is>
      </c>
      <c r="B865" s="1" t="inlineStr">
        <is>
          <t>BOLSA CC Nº25 WHITE</t>
        </is>
      </c>
      <c r="C865" s="1" t="inlineStr">
        <is>
          <t>Default Title</t>
        </is>
      </c>
      <c r="D865" s="1" t="inlineStr">
        <is>
          <t>CYNTHIA</t>
        </is>
      </c>
      <c r="E865" s="4">
        <f>COUNTIF('DETALLE CRONOLÓGICO'!$A$2:$A$4919,$A865)</f>
        <v/>
      </c>
      <c r="F865" s="4">
        <f>SUMIFS('DETALLE CRONOLÓGICO'!$I$2:$I$4919,'DETALLE CRONOLÓGICO'!$A$2:$A$4919,$A865)</f>
        <v/>
      </c>
      <c r="G865" s="1">
        <f>INDEX('DETALLE CRONOLÓGICO'!$D$2:$D$4919,MATCH($A865,'DETALLE CRONOLÓGICO'!$A$2:$A$4919,0))</f>
        <v/>
      </c>
      <c r="H865" s="1">
        <f>INDEX('DETALLE CRONOLÓGICO'!$D$2:$D$4919,MATCH($A865,'DETALLE CRONOLÓGICO'!$A$2:$A$4919,0)+$E865-1)</f>
        <v/>
      </c>
      <c r="I865" s="5">
        <f>IFERROR(SUMIFS('DETALLE CRONOLÓGICO'!$L$2:$L$4919,'DETALLE CRONOLÓGICO'!$A$2:$A$4919,$A865)/$F865,"")</f>
        <v/>
      </c>
      <c r="J865" s="6">
        <f>IFERROR(SUMIFS('DETALLE CRONOLÓGICO'!$K$2:$K$4919,'DETALLE CRONOLÓGICO'!$A$2:$A$4919,$A865)/$E865,"")</f>
        <v/>
      </c>
      <c r="K865" s="6">
        <f>_xlfn.MINIFS('DETALLE CRONOLÓGICO'!$K$2:$K$4919,'DETALLE CRONOLÓGICO'!$A$2:$A$4919,$A865)</f>
        <v/>
      </c>
      <c r="L865" s="6">
        <f>_xlfn.MAXIFS('DETALLE CRONOLÓGICO'!$K$2:$K$4919,'DETALLE CRONOLÓGICO'!$A$2:$A$4919,$A865)</f>
        <v/>
      </c>
      <c r="M865" s="6">
        <f>INDEX('DETALLE CRONOLÓGICO'!$K$2:$K$4919,MATCH($A865,'DETALLE CRONOLÓGICO'!$A$2:$A$4919,0)+$E865-1)</f>
        <v/>
      </c>
      <c r="N865" s="7">
        <f>IFERROR($M865/INDEX('DETALLE CRONOLÓGICO'!$K$2:$K$4919,MATCH($A865,'DETALLE CRONOLÓGICO'!$A$2:$A$4919,0))-1,"")</f>
        <v/>
      </c>
      <c r="O865" s="6">
        <f>IFERROR($I865*3,"")</f>
        <v/>
      </c>
      <c r="P865" s="6">
        <f>IFERROR($I865*3.5,"")</f>
        <v/>
      </c>
      <c r="Q865" s="6">
        <f>IFERROR($I865*4,"")</f>
        <v/>
      </c>
      <c r="R865" s="6" t="n">
        <v>5999</v>
      </c>
      <c r="S865" s="4" t="n">
        <v>2</v>
      </c>
      <c r="T865" s="1" t="inlineStr">
        <is>
          <t>active</t>
        </is>
      </c>
      <c r="U865" s="8" t="n"/>
      <c r="V865" s="1" t="inlineStr">
        <is>
          <t>SIN PRECIO</t>
        </is>
      </c>
    </row>
    <row r="866">
      <c r="A866" s="1" t="inlineStr">
        <is>
          <t>43986811051937</t>
        </is>
      </c>
      <c r="B866" s="1" t="inlineStr">
        <is>
          <t>COLLAR CORAZÓN GOLD</t>
        </is>
      </c>
      <c r="C866" s="1" t="inlineStr">
        <is>
          <t>Titanio 45cm / dije 1cm</t>
        </is>
      </c>
      <c r="D866" s="1" t="inlineStr">
        <is>
          <t>ZOEY</t>
        </is>
      </c>
      <c r="E866" s="4">
        <f>COUNTIF('DETALLE CRONOLÓGICO'!$A$2:$A$4919,$A866)</f>
        <v/>
      </c>
      <c r="F866" s="4">
        <f>SUMIFS('DETALLE CRONOLÓGICO'!$I$2:$I$4919,'DETALLE CRONOLÓGICO'!$A$2:$A$4919,$A866)</f>
        <v/>
      </c>
      <c r="G866" s="1">
        <f>INDEX('DETALLE CRONOLÓGICO'!$D$2:$D$4919,MATCH($A866,'DETALLE CRONOLÓGICO'!$A$2:$A$4919,0))</f>
        <v/>
      </c>
      <c r="H866" s="1">
        <f>INDEX('DETALLE CRONOLÓGICO'!$D$2:$D$4919,MATCH($A866,'DETALLE CRONOLÓGICO'!$A$2:$A$4919,0)+$E866-1)</f>
        <v/>
      </c>
      <c r="I866" s="5">
        <f>IFERROR(SUMIFS('DETALLE CRONOLÓGICO'!$L$2:$L$4919,'DETALLE CRONOLÓGICO'!$A$2:$A$4919,$A866)/$F866,"")</f>
        <v/>
      </c>
      <c r="J866" s="6">
        <f>IFERROR(SUMIFS('DETALLE CRONOLÓGICO'!$K$2:$K$4919,'DETALLE CRONOLÓGICO'!$A$2:$A$4919,$A866)/$E866,"")</f>
        <v/>
      </c>
      <c r="K866" s="6">
        <f>_xlfn.MINIFS('DETALLE CRONOLÓGICO'!$K$2:$K$4919,'DETALLE CRONOLÓGICO'!$A$2:$A$4919,$A866)</f>
        <v/>
      </c>
      <c r="L866" s="6">
        <f>_xlfn.MAXIFS('DETALLE CRONOLÓGICO'!$K$2:$K$4919,'DETALLE CRONOLÓGICO'!$A$2:$A$4919,$A866)</f>
        <v/>
      </c>
      <c r="M866" s="6">
        <f>INDEX('DETALLE CRONOLÓGICO'!$K$2:$K$4919,MATCH($A866,'DETALLE CRONOLÓGICO'!$A$2:$A$4919,0)+$E866-1)</f>
        <v/>
      </c>
      <c r="N866" s="7">
        <f>IFERROR($M866/INDEX('DETALLE CRONOLÓGICO'!$K$2:$K$4919,MATCH($A866,'DETALLE CRONOLÓGICO'!$A$2:$A$4919,0))-1,"")</f>
        <v/>
      </c>
      <c r="O866" s="6">
        <f>IFERROR($I866*3,"")</f>
        <v/>
      </c>
      <c r="P866" s="6">
        <f>IFERROR($I866*3.5,"")</f>
        <v/>
      </c>
      <c r="Q866" s="6">
        <f>IFERROR($I866*4,"")</f>
        <v/>
      </c>
      <c r="R866" s="6" t="n"/>
      <c r="S866" s="4" t="n"/>
      <c r="T866" s="1" t="inlineStr">
        <is>
          <t>YA NO EXISTE EN SHOPIFY</t>
        </is>
      </c>
      <c r="U866" s="8" t="n"/>
      <c r="V866" s="1" t="inlineStr">
        <is>
          <t>SIN PRECIO</t>
        </is>
      </c>
    </row>
    <row r="867">
      <c r="A867" s="1" t="inlineStr">
        <is>
          <t>44504631084621</t>
        </is>
      </c>
      <c r="B867" s="1" t="inlineStr">
        <is>
          <t>BOLSO C TILLY BROWN</t>
        </is>
      </c>
      <c r="C867" s="1" t="inlineStr">
        <is>
          <t>15cm de alto x 19.5cm de largo x 7.5cm de ancho</t>
        </is>
      </c>
      <c r="D867" s="1" t="inlineStr">
        <is>
          <t>DINA DU</t>
        </is>
      </c>
      <c r="E867" s="4">
        <f>COUNTIF('DETALLE CRONOLÓGICO'!$A$2:$A$4919,$A867)</f>
        <v/>
      </c>
      <c r="F867" s="4">
        <f>SUMIFS('DETALLE CRONOLÓGICO'!$I$2:$I$4919,'DETALLE CRONOLÓGICO'!$A$2:$A$4919,$A867)</f>
        <v/>
      </c>
      <c r="G867" s="1">
        <f>INDEX('DETALLE CRONOLÓGICO'!$D$2:$D$4919,MATCH($A867,'DETALLE CRONOLÓGICO'!$A$2:$A$4919,0))</f>
        <v/>
      </c>
      <c r="H867" s="1">
        <f>INDEX('DETALLE CRONOLÓGICO'!$D$2:$D$4919,MATCH($A867,'DETALLE CRONOLÓGICO'!$A$2:$A$4919,0)+$E867-1)</f>
        <v/>
      </c>
      <c r="I867" s="5">
        <f>IFERROR(SUMIFS('DETALLE CRONOLÓGICO'!$L$2:$L$4919,'DETALLE CRONOLÓGICO'!$A$2:$A$4919,$A867)/$F867,"")</f>
        <v/>
      </c>
      <c r="J867" s="6">
        <f>IFERROR(SUMIFS('DETALLE CRONOLÓGICO'!$K$2:$K$4919,'DETALLE CRONOLÓGICO'!$A$2:$A$4919,$A867)/$E867,"")</f>
        <v/>
      </c>
      <c r="K867" s="6">
        <f>_xlfn.MINIFS('DETALLE CRONOLÓGICO'!$K$2:$K$4919,'DETALLE CRONOLÓGICO'!$A$2:$A$4919,$A867)</f>
        <v/>
      </c>
      <c r="L867" s="6">
        <f>_xlfn.MAXIFS('DETALLE CRONOLÓGICO'!$K$2:$K$4919,'DETALLE CRONOLÓGICO'!$A$2:$A$4919,$A867)</f>
        <v/>
      </c>
      <c r="M867" s="6">
        <f>INDEX('DETALLE CRONOLÓGICO'!$K$2:$K$4919,MATCH($A867,'DETALLE CRONOLÓGICO'!$A$2:$A$4919,0)+$E867-1)</f>
        <v/>
      </c>
      <c r="N867" s="7">
        <f>IFERROR($M867/INDEX('DETALLE CRONOLÓGICO'!$K$2:$K$4919,MATCH($A867,'DETALLE CRONOLÓGICO'!$A$2:$A$4919,0))-1,"")</f>
        <v/>
      </c>
      <c r="O867" s="6">
        <f>IFERROR($I867*3,"")</f>
        <v/>
      </c>
      <c r="P867" s="6">
        <f>IFERROR($I867*3.5,"")</f>
        <v/>
      </c>
      <c r="Q867" s="6">
        <f>IFERROR($I867*4,"")</f>
        <v/>
      </c>
      <c r="R867" s="6" t="n">
        <v>3076.23</v>
      </c>
      <c r="S867" s="4" t="n">
        <v>1</v>
      </c>
      <c r="T867" s="1" t="inlineStr">
        <is>
          <t>active</t>
        </is>
      </c>
      <c r="U867" s="8" t="n"/>
      <c r="V867" s="1" t="inlineStr">
        <is>
          <t>SIN PRECIO</t>
        </is>
      </c>
    </row>
    <row r="868">
      <c r="A868" s="1" t="inlineStr">
        <is>
          <t>45043621046701</t>
        </is>
      </c>
      <c r="B868" s="1" t="inlineStr">
        <is>
          <t>ARETES T GOLD CON ZIRCONIA</t>
        </is>
      </c>
      <c r="C868" s="1" t="inlineStr">
        <is>
          <t>Default Title</t>
        </is>
      </c>
      <c r="D868" s="1" t="inlineStr">
        <is>
          <t>HAIFENG</t>
        </is>
      </c>
      <c r="E868" s="4">
        <f>COUNTIF('DETALLE CRONOLÓGICO'!$A$2:$A$4919,$A868)</f>
        <v/>
      </c>
      <c r="F868" s="4">
        <f>SUMIFS('DETALLE CRONOLÓGICO'!$I$2:$I$4919,'DETALLE CRONOLÓGICO'!$A$2:$A$4919,$A868)</f>
        <v/>
      </c>
      <c r="G868" s="1">
        <f>INDEX('DETALLE CRONOLÓGICO'!$D$2:$D$4919,MATCH($A868,'DETALLE CRONOLÓGICO'!$A$2:$A$4919,0))</f>
        <v/>
      </c>
      <c r="H868" s="1">
        <f>INDEX('DETALLE CRONOLÓGICO'!$D$2:$D$4919,MATCH($A868,'DETALLE CRONOLÓGICO'!$A$2:$A$4919,0)+$E868-1)</f>
        <v/>
      </c>
      <c r="I868" s="5">
        <f>IFERROR(SUMIFS('DETALLE CRONOLÓGICO'!$L$2:$L$4919,'DETALLE CRONOLÓGICO'!$A$2:$A$4919,$A868)/$F868,"")</f>
        <v/>
      </c>
      <c r="J868" s="6">
        <f>IFERROR(SUMIFS('DETALLE CRONOLÓGICO'!$K$2:$K$4919,'DETALLE CRONOLÓGICO'!$A$2:$A$4919,$A868)/$E868,"")</f>
        <v/>
      </c>
      <c r="K868" s="6">
        <f>_xlfn.MINIFS('DETALLE CRONOLÓGICO'!$K$2:$K$4919,'DETALLE CRONOLÓGICO'!$A$2:$A$4919,$A868)</f>
        <v/>
      </c>
      <c r="L868" s="6">
        <f>_xlfn.MAXIFS('DETALLE CRONOLÓGICO'!$K$2:$K$4919,'DETALLE CRONOLÓGICO'!$A$2:$A$4919,$A868)</f>
        <v/>
      </c>
      <c r="M868" s="6">
        <f>INDEX('DETALLE CRONOLÓGICO'!$K$2:$K$4919,MATCH($A868,'DETALLE CRONOLÓGICO'!$A$2:$A$4919,0)+$E868-1)</f>
        <v/>
      </c>
      <c r="N868" s="7">
        <f>IFERROR($M868/INDEX('DETALLE CRONOLÓGICO'!$K$2:$K$4919,MATCH($A868,'DETALLE CRONOLÓGICO'!$A$2:$A$4919,0))-1,"")</f>
        <v/>
      </c>
      <c r="O868" s="6">
        <f>IFERROR($I868*3,"")</f>
        <v/>
      </c>
      <c r="P868" s="6">
        <f>IFERROR($I868*3.5,"")</f>
        <v/>
      </c>
      <c r="Q868" s="6">
        <f>IFERROR($I868*4,"")</f>
        <v/>
      </c>
      <c r="R868" s="6" t="n">
        <v>749</v>
      </c>
      <c r="S868" s="4" t="n">
        <v>5</v>
      </c>
      <c r="T868" s="1" t="inlineStr">
        <is>
          <t>active</t>
        </is>
      </c>
      <c r="U868" s="8" t="n"/>
      <c r="V868" s="1" t="inlineStr">
        <is>
          <t>SIN PRECIO</t>
        </is>
      </c>
    </row>
    <row r="869">
      <c r="A869" s="1" t="inlineStr">
        <is>
          <t>46022281088705</t>
        </is>
      </c>
      <c r="B869" s="1" t="inlineStr">
        <is>
          <t>COLLAR CORAZÓN SILVER</t>
        </is>
      </c>
      <c r="C869" s="1" t="inlineStr">
        <is>
          <t>titanio 45cm / dije 1cm</t>
        </is>
      </c>
      <c r="D869" s="1" t="inlineStr">
        <is>
          <t>ZOEY</t>
        </is>
      </c>
      <c r="E869" s="4">
        <f>COUNTIF('DETALLE CRONOLÓGICO'!$A$2:$A$4919,$A869)</f>
        <v/>
      </c>
      <c r="F869" s="4">
        <f>SUMIFS('DETALLE CRONOLÓGICO'!$I$2:$I$4919,'DETALLE CRONOLÓGICO'!$A$2:$A$4919,$A869)</f>
        <v/>
      </c>
      <c r="G869" s="1">
        <f>INDEX('DETALLE CRONOLÓGICO'!$D$2:$D$4919,MATCH($A869,'DETALLE CRONOLÓGICO'!$A$2:$A$4919,0))</f>
        <v/>
      </c>
      <c r="H869" s="1">
        <f>INDEX('DETALLE CRONOLÓGICO'!$D$2:$D$4919,MATCH($A869,'DETALLE CRONOLÓGICO'!$A$2:$A$4919,0)+$E869-1)</f>
        <v/>
      </c>
      <c r="I869" s="5">
        <f>IFERROR(SUMIFS('DETALLE CRONOLÓGICO'!$L$2:$L$4919,'DETALLE CRONOLÓGICO'!$A$2:$A$4919,$A869)/$F869,"")</f>
        <v/>
      </c>
      <c r="J869" s="6">
        <f>IFERROR(SUMIFS('DETALLE CRONOLÓGICO'!$K$2:$K$4919,'DETALLE CRONOLÓGICO'!$A$2:$A$4919,$A869)/$E869,"")</f>
        <v/>
      </c>
      <c r="K869" s="6">
        <f>_xlfn.MINIFS('DETALLE CRONOLÓGICO'!$K$2:$K$4919,'DETALLE CRONOLÓGICO'!$A$2:$A$4919,$A869)</f>
        <v/>
      </c>
      <c r="L869" s="6">
        <f>_xlfn.MAXIFS('DETALLE CRONOLÓGICO'!$K$2:$K$4919,'DETALLE CRONOLÓGICO'!$A$2:$A$4919,$A869)</f>
        <v/>
      </c>
      <c r="M869" s="6">
        <f>INDEX('DETALLE CRONOLÓGICO'!$K$2:$K$4919,MATCH($A869,'DETALLE CRONOLÓGICO'!$A$2:$A$4919,0)+$E869-1)</f>
        <v/>
      </c>
      <c r="N869" s="7">
        <f>IFERROR($M869/INDEX('DETALLE CRONOLÓGICO'!$K$2:$K$4919,MATCH($A869,'DETALLE CRONOLÓGICO'!$A$2:$A$4919,0))-1,"")</f>
        <v/>
      </c>
      <c r="O869" s="6">
        <f>IFERROR($I869*3,"")</f>
        <v/>
      </c>
      <c r="P869" s="6">
        <f>IFERROR($I869*3.5,"")</f>
        <v/>
      </c>
      <c r="Q869" s="6">
        <f>IFERROR($I869*4,"")</f>
        <v/>
      </c>
      <c r="R869" s="6" t="n"/>
      <c r="S869" s="4" t="n"/>
      <c r="T869" s="1" t="inlineStr">
        <is>
          <t>YA NO EXISTE EN SHOPIFY</t>
        </is>
      </c>
      <c r="U869" s="8" t="n"/>
      <c r="V869" s="1" t="inlineStr">
        <is>
          <t>SIN PRECIO</t>
        </is>
      </c>
    </row>
    <row r="870">
      <c r="A870" s="1" t="inlineStr">
        <is>
          <t>46281181071009</t>
        </is>
      </c>
      <c r="B870" s="1" t="inlineStr">
        <is>
          <t>BOLSA YSL WHITE</t>
        </is>
      </c>
      <c r="C870" s="1" t="inlineStr">
        <is>
          <t>NUDE 24cm x 15cm</t>
        </is>
      </c>
      <c r="D870" s="1" t="inlineStr">
        <is>
          <t>ZOEY</t>
        </is>
      </c>
      <c r="E870" s="4">
        <f>COUNTIF('DETALLE CRONOLÓGICO'!$A$2:$A$4919,$A870)</f>
        <v/>
      </c>
      <c r="F870" s="4">
        <f>SUMIFS('DETALLE CRONOLÓGICO'!$I$2:$I$4919,'DETALLE CRONOLÓGICO'!$A$2:$A$4919,$A870)</f>
        <v/>
      </c>
      <c r="G870" s="1">
        <f>INDEX('DETALLE CRONOLÓGICO'!$D$2:$D$4919,MATCH($A870,'DETALLE CRONOLÓGICO'!$A$2:$A$4919,0))</f>
        <v/>
      </c>
      <c r="H870" s="1">
        <f>INDEX('DETALLE CRONOLÓGICO'!$D$2:$D$4919,MATCH($A870,'DETALLE CRONOLÓGICO'!$A$2:$A$4919,0)+$E870-1)</f>
        <v/>
      </c>
      <c r="I870" s="5">
        <f>IFERROR(SUMIFS('DETALLE CRONOLÓGICO'!$L$2:$L$4919,'DETALLE CRONOLÓGICO'!$A$2:$A$4919,$A870)/$F870,"")</f>
        <v/>
      </c>
      <c r="J870" s="6">
        <f>IFERROR(SUMIFS('DETALLE CRONOLÓGICO'!$K$2:$K$4919,'DETALLE CRONOLÓGICO'!$A$2:$A$4919,$A870)/$E870,"")</f>
        <v/>
      </c>
      <c r="K870" s="6">
        <f>_xlfn.MINIFS('DETALLE CRONOLÓGICO'!$K$2:$K$4919,'DETALLE CRONOLÓGICO'!$A$2:$A$4919,$A870)</f>
        <v/>
      </c>
      <c r="L870" s="6">
        <f>_xlfn.MAXIFS('DETALLE CRONOLÓGICO'!$K$2:$K$4919,'DETALLE CRONOLÓGICO'!$A$2:$A$4919,$A870)</f>
        <v/>
      </c>
      <c r="M870" s="6">
        <f>INDEX('DETALLE CRONOLÓGICO'!$K$2:$K$4919,MATCH($A870,'DETALLE CRONOLÓGICO'!$A$2:$A$4919,0)+$E870-1)</f>
        <v/>
      </c>
      <c r="N870" s="7">
        <f>IFERROR($M870/INDEX('DETALLE CRONOLÓGICO'!$K$2:$K$4919,MATCH($A870,'DETALLE CRONOLÓGICO'!$A$2:$A$4919,0))-1,"")</f>
        <v/>
      </c>
      <c r="O870" s="6">
        <f>IFERROR($I870*3,"")</f>
        <v/>
      </c>
      <c r="P870" s="6">
        <f>IFERROR($I870*3.5,"")</f>
        <v/>
      </c>
      <c r="Q870" s="6">
        <f>IFERROR($I870*4,"")</f>
        <v/>
      </c>
      <c r="R870" s="6" t="n">
        <v>4350</v>
      </c>
      <c r="S870" s="4" t="n">
        <v>0</v>
      </c>
      <c r="T870" s="1" t="inlineStr">
        <is>
          <t>active</t>
        </is>
      </c>
      <c r="U870" s="8" t="n"/>
      <c r="V870" s="1" t="inlineStr">
        <is>
          <t>SIN PRECIO</t>
        </is>
      </c>
    </row>
    <row r="871">
      <c r="A871" s="1" t="inlineStr">
        <is>
          <t>46509631089741</t>
        </is>
      </c>
      <c r="B871" s="1" t="inlineStr">
        <is>
          <t>ANILLO CLAVO SPIRAL GOLD CON ZIRCONIA</t>
        </is>
      </c>
      <c r="C871" s="1" t="inlineStr">
        <is>
          <t>6</t>
        </is>
      </c>
      <c r="D871" s="1" t="inlineStr">
        <is>
          <t>HAIFENG</t>
        </is>
      </c>
      <c r="E871" s="4">
        <f>COUNTIF('DETALLE CRONOLÓGICO'!$A$2:$A$4919,$A871)</f>
        <v/>
      </c>
      <c r="F871" s="4">
        <f>SUMIFS('DETALLE CRONOLÓGICO'!$I$2:$I$4919,'DETALLE CRONOLÓGICO'!$A$2:$A$4919,$A871)</f>
        <v/>
      </c>
      <c r="G871" s="1">
        <f>INDEX('DETALLE CRONOLÓGICO'!$D$2:$D$4919,MATCH($A871,'DETALLE CRONOLÓGICO'!$A$2:$A$4919,0))</f>
        <v/>
      </c>
      <c r="H871" s="1">
        <f>INDEX('DETALLE CRONOLÓGICO'!$D$2:$D$4919,MATCH($A871,'DETALLE CRONOLÓGICO'!$A$2:$A$4919,0)+$E871-1)</f>
        <v/>
      </c>
      <c r="I871" s="5">
        <f>IFERROR(SUMIFS('DETALLE CRONOLÓGICO'!$L$2:$L$4919,'DETALLE CRONOLÓGICO'!$A$2:$A$4919,$A871)/$F871,"")</f>
        <v/>
      </c>
      <c r="J871" s="6">
        <f>IFERROR(SUMIFS('DETALLE CRONOLÓGICO'!$K$2:$K$4919,'DETALLE CRONOLÓGICO'!$A$2:$A$4919,$A871)/$E871,"")</f>
        <v/>
      </c>
      <c r="K871" s="6">
        <f>_xlfn.MINIFS('DETALLE CRONOLÓGICO'!$K$2:$K$4919,'DETALLE CRONOLÓGICO'!$A$2:$A$4919,$A871)</f>
        <v/>
      </c>
      <c r="L871" s="6">
        <f>_xlfn.MAXIFS('DETALLE CRONOLÓGICO'!$K$2:$K$4919,'DETALLE CRONOLÓGICO'!$A$2:$A$4919,$A871)</f>
        <v/>
      </c>
      <c r="M871" s="6">
        <f>INDEX('DETALLE CRONOLÓGICO'!$K$2:$K$4919,MATCH($A871,'DETALLE CRONOLÓGICO'!$A$2:$A$4919,0)+$E871-1)</f>
        <v/>
      </c>
      <c r="N871" s="7">
        <f>IFERROR($M871/INDEX('DETALLE CRONOLÓGICO'!$K$2:$K$4919,MATCH($A871,'DETALLE CRONOLÓGICO'!$A$2:$A$4919,0))-1,"")</f>
        <v/>
      </c>
      <c r="O871" s="6">
        <f>IFERROR($I871*3,"")</f>
        <v/>
      </c>
      <c r="P871" s="6">
        <f>IFERROR($I871*3.5,"")</f>
        <v/>
      </c>
      <c r="Q871" s="6">
        <f>IFERROR($I871*4,"")</f>
        <v/>
      </c>
      <c r="R871" s="6" t="n">
        <v>650</v>
      </c>
      <c r="S871" s="4" t="n">
        <v>4</v>
      </c>
      <c r="T871" s="1" t="inlineStr">
        <is>
          <t>active</t>
        </is>
      </c>
      <c r="U871" s="8" t="n"/>
      <c r="V871" s="1" t="inlineStr">
        <is>
          <t>SIN PRECIO</t>
        </is>
      </c>
    </row>
    <row r="872">
      <c r="A872" s="1" t="inlineStr">
        <is>
          <t>46636991009581</t>
        </is>
      </c>
      <c r="B872" s="1" t="inlineStr">
        <is>
          <t>ARETES T SILVER CON ZIRCONIA</t>
        </is>
      </c>
      <c r="C872" s="1" t="inlineStr">
        <is>
          <t>Default Title</t>
        </is>
      </c>
      <c r="D872" s="1" t="inlineStr">
        <is>
          <t>HAIFENG</t>
        </is>
      </c>
      <c r="E872" s="4">
        <f>COUNTIF('DETALLE CRONOLÓGICO'!$A$2:$A$4919,$A872)</f>
        <v/>
      </c>
      <c r="F872" s="4">
        <f>SUMIFS('DETALLE CRONOLÓGICO'!$I$2:$I$4919,'DETALLE CRONOLÓGICO'!$A$2:$A$4919,$A872)</f>
        <v/>
      </c>
      <c r="G872" s="1">
        <f>INDEX('DETALLE CRONOLÓGICO'!$D$2:$D$4919,MATCH($A872,'DETALLE CRONOLÓGICO'!$A$2:$A$4919,0))</f>
        <v/>
      </c>
      <c r="H872" s="1">
        <f>INDEX('DETALLE CRONOLÓGICO'!$D$2:$D$4919,MATCH($A872,'DETALLE CRONOLÓGICO'!$A$2:$A$4919,0)+$E872-1)</f>
        <v/>
      </c>
      <c r="I872" s="5">
        <f>IFERROR(SUMIFS('DETALLE CRONOLÓGICO'!$L$2:$L$4919,'DETALLE CRONOLÓGICO'!$A$2:$A$4919,$A872)/$F872,"")</f>
        <v/>
      </c>
      <c r="J872" s="6">
        <f>IFERROR(SUMIFS('DETALLE CRONOLÓGICO'!$K$2:$K$4919,'DETALLE CRONOLÓGICO'!$A$2:$A$4919,$A872)/$E872,"")</f>
        <v/>
      </c>
      <c r="K872" s="6">
        <f>_xlfn.MINIFS('DETALLE CRONOLÓGICO'!$K$2:$K$4919,'DETALLE CRONOLÓGICO'!$A$2:$A$4919,$A872)</f>
        <v/>
      </c>
      <c r="L872" s="6">
        <f>_xlfn.MAXIFS('DETALLE CRONOLÓGICO'!$K$2:$K$4919,'DETALLE CRONOLÓGICO'!$A$2:$A$4919,$A872)</f>
        <v/>
      </c>
      <c r="M872" s="6">
        <f>INDEX('DETALLE CRONOLÓGICO'!$K$2:$K$4919,MATCH($A872,'DETALLE CRONOLÓGICO'!$A$2:$A$4919,0)+$E872-1)</f>
        <v/>
      </c>
      <c r="N872" s="7">
        <f>IFERROR($M872/INDEX('DETALLE CRONOLÓGICO'!$K$2:$K$4919,MATCH($A872,'DETALLE CRONOLÓGICO'!$A$2:$A$4919,0))-1,"")</f>
        <v/>
      </c>
      <c r="O872" s="6">
        <f>IFERROR($I872*3,"")</f>
        <v/>
      </c>
      <c r="P872" s="6">
        <f>IFERROR($I872*3.5,"")</f>
        <v/>
      </c>
      <c r="Q872" s="6">
        <f>IFERROR($I872*4,"")</f>
        <v/>
      </c>
      <c r="R872" s="6" t="n">
        <v>749</v>
      </c>
      <c r="S872" s="4" t="n">
        <v>5</v>
      </c>
      <c r="T872" s="1" t="inlineStr">
        <is>
          <t>active</t>
        </is>
      </c>
      <c r="U872" s="8" t="n"/>
      <c r="V872" s="1" t="inlineStr">
        <is>
          <t>SIN PRECIO</t>
        </is>
      </c>
    </row>
    <row r="873">
      <c r="A873" s="1" t="inlineStr">
        <is>
          <t>46740671064493</t>
        </is>
      </c>
      <c r="B873" s="1" t="inlineStr">
        <is>
          <t>BOLSA DE DEPORTE BLACK</t>
        </is>
      </c>
      <c r="C873" s="1" t="inlineStr">
        <is>
          <t>Default Title</t>
        </is>
      </c>
      <c r="D873" s="1" t="inlineStr">
        <is>
          <t>ZOEY</t>
        </is>
      </c>
      <c r="E873" s="4">
        <f>COUNTIF('DETALLE CRONOLÓGICO'!$A$2:$A$4919,$A873)</f>
        <v/>
      </c>
      <c r="F873" s="4">
        <f>SUMIFS('DETALLE CRONOLÓGICO'!$I$2:$I$4919,'DETALLE CRONOLÓGICO'!$A$2:$A$4919,$A873)</f>
        <v/>
      </c>
      <c r="G873" s="1">
        <f>INDEX('DETALLE CRONOLÓGICO'!$D$2:$D$4919,MATCH($A873,'DETALLE CRONOLÓGICO'!$A$2:$A$4919,0))</f>
        <v/>
      </c>
      <c r="H873" s="1">
        <f>INDEX('DETALLE CRONOLÓGICO'!$D$2:$D$4919,MATCH($A873,'DETALLE CRONOLÓGICO'!$A$2:$A$4919,0)+$E873-1)</f>
        <v/>
      </c>
      <c r="I873" s="5">
        <f>IFERROR(SUMIFS('DETALLE CRONOLÓGICO'!$L$2:$L$4919,'DETALLE CRONOLÓGICO'!$A$2:$A$4919,$A873)/$F873,"")</f>
        <v/>
      </c>
      <c r="J873" s="6">
        <f>IFERROR(SUMIFS('DETALLE CRONOLÓGICO'!$K$2:$K$4919,'DETALLE CRONOLÓGICO'!$A$2:$A$4919,$A873)/$E873,"")</f>
        <v/>
      </c>
      <c r="K873" s="6">
        <f>_xlfn.MINIFS('DETALLE CRONOLÓGICO'!$K$2:$K$4919,'DETALLE CRONOLÓGICO'!$A$2:$A$4919,$A873)</f>
        <v/>
      </c>
      <c r="L873" s="6">
        <f>_xlfn.MAXIFS('DETALLE CRONOLÓGICO'!$K$2:$K$4919,'DETALLE CRONOLÓGICO'!$A$2:$A$4919,$A873)</f>
        <v/>
      </c>
      <c r="M873" s="6">
        <f>INDEX('DETALLE CRONOLÓGICO'!$K$2:$K$4919,MATCH($A873,'DETALLE CRONOLÓGICO'!$A$2:$A$4919,0)+$E873-1)</f>
        <v/>
      </c>
      <c r="N873" s="7">
        <f>IFERROR($M873/INDEX('DETALLE CRONOLÓGICO'!$K$2:$K$4919,MATCH($A873,'DETALLE CRONOLÓGICO'!$A$2:$A$4919,0))-1,"")</f>
        <v/>
      </c>
      <c r="O873" s="6">
        <f>IFERROR($I873*3,"")</f>
        <v/>
      </c>
      <c r="P873" s="6">
        <f>IFERROR($I873*3.5,"")</f>
        <v/>
      </c>
      <c r="Q873" s="6">
        <f>IFERROR($I873*4,"")</f>
        <v/>
      </c>
      <c r="R873" s="6" t="n">
        <v>4169</v>
      </c>
      <c r="S873" s="4" t="n">
        <v>2</v>
      </c>
      <c r="T873" s="1" t="inlineStr">
        <is>
          <t>active</t>
        </is>
      </c>
      <c r="U873" s="8" t="n"/>
      <c r="V873" s="1" t="inlineStr">
        <is>
          <t>SIN PRECIO</t>
        </is>
      </c>
    </row>
    <row r="874">
      <c r="A874" s="1" t="inlineStr">
        <is>
          <t>46912391017229</t>
        </is>
      </c>
      <c r="B874" s="1" t="inlineStr">
        <is>
          <t>COLLAR LOVELOVE ROSE GOLD</t>
        </is>
      </c>
      <c r="C874" s="1" t="inlineStr">
        <is>
          <t>Default Title</t>
        </is>
      </c>
      <c r="D874" s="1" t="inlineStr">
        <is>
          <t>HAIFENG</t>
        </is>
      </c>
      <c r="E874" s="4">
        <f>COUNTIF('DETALLE CRONOLÓGICO'!$A$2:$A$4919,$A874)</f>
        <v/>
      </c>
      <c r="F874" s="4">
        <f>SUMIFS('DETALLE CRONOLÓGICO'!$I$2:$I$4919,'DETALLE CRONOLÓGICO'!$A$2:$A$4919,$A874)</f>
        <v/>
      </c>
      <c r="G874" s="1">
        <f>INDEX('DETALLE CRONOLÓGICO'!$D$2:$D$4919,MATCH($A874,'DETALLE CRONOLÓGICO'!$A$2:$A$4919,0))</f>
        <v/>
      </c>
      <c r="H874" s="1">
        <f>INDEX('DETALLE CRONOLÓGICO'!$D$2:$D$4919,MATCH($A874,'DETALLE CRONOLÓGICO'!$A$2:$A$4919,0)+$E874-1)</f>
        <v/>
      </c>
      <c r="I874" s="5">
        <f>IFERROR(SUMIFS('DETALLE CRONOLÓGICO'!$L$2:$L$4919,'DETALLE CRONOLÓGICO'!$A$2:$A$4919,$A874)/$F874,"")</f>
        <v/>
      </c>
      <c r="J874" s="6">
        <f>IFERROR(SUMIFS('DETALLE CRONOLÓGICO'!$K$2:$K$4919,'DETALLE CRONOLÓGICO'!$A$2:$A$4919,$A874)/$E874,"")</f>
        <v/>
      </c>
      <c r="K874" s="6">
        <f>_xlfn.MINIFS('DETALLE CRONOLÓGICO'!$K$2:$K$4919,'DETALLE CRONOLÓGICO'!$A$2:$A$4919,$A874)</f>
        <v/>
      </c>
      <c r="L874" s="6">
        <f>_xlfn.MAXIFS('DETALLE CRONOLÓGICO'!$K$2:$K$4919,'DETALLE CRONOLÓGICO'!$A$2:$A$4919,$A874)</f>
        <v/>
      </c>
      <c r="M874" s="6">
        <f>INDEX('DETALLE CRONOLÓGICO'!$K$2:$K$4919,MATCH($A874,'DETALLE CRONOLÓGICO'!$A$2:$A$4919,0)+$E874-1)</f>
        <v/>
      </c>
      <c r="N874" s="7">
        <f>IFERROR($M874/INDEX('DETALLE CRONOLÓGICO'!$K$2:$K$4919,MATCH($A874,'DETALLE CRONOLÓGICO'!$A$2:$A$4919,0))-1,"")</f>
        <v/>
      </c>
      <c r="O874" s="6">
        <f>IFERROR($I874*3,"")</f>
        <v/>
      </c>
      <c r="P874" s="6">
        <f>IFERROR($I874*3.5,"")</f>
        <v/>
      </c>
      <c r="Q874" s="6">
        <f>IFERROR($I874*4,"")</f>
        <v/>
      </c>
      <c r="R874" s="6" t="n">
        <v>550</v>
      </c>
      <c r="S874" s="4" t="n">
        <v>4</v>
      </c>
      <c r="T874" s="1" t="inlineStr">
        <is>
          <t>draft</t>
        </is>
      </c>
      <c r="U874" s="8" t="n"/>
      <c r="V874" s="1" t="inlineStr">
        <is>
          <t>SIN PRECIO</t>
        </is>
      </c>
    </row>
    <row r="875">
      <c r="A875" s="1" t="inlineStr">
        <is>
          <t>47030519289356</t>
        </is>
      </c>
      <c r="B875" s="1" t="inlineStr">
        <is>
          <t>RELOJ RX OYSTER PERPETUAL GREEN</t>
        </is>
      </c>
      <c r="C875" s="1" t="inlineStr">
        <is>
          <t>RELOJ SIN CAJA</t>
        </is>
      </c>
      <c r="D875" s="1" t="inlineStr">
        <is>
          <t>ZOEY</t>
        </is>
      </c>
      <c r="E875" s="4">
        <f>COUNTIF('DETALLE CRONOLÓGICO'!$A$2:$A$4919,$A875)</f>
        <v/>
      </c>
      <c r="F875" s="4">
        <f>SUMIFS('DETALLE CRONOLÓGICO'!$I$2:$I$4919,'DETALLE CRONOLÓGICO'!$A$2:$A$4919,$A875)</f>
        <v/>
      </c>
      <c r="G875" s="1">
        <f>INDEX('DETALLE CRONOLÓGICO'!$D$2:$D$4919,MATCH($A875,'DETALLE CRONOLÓGICO'!$A$2:$A$4919,0))</f>
        <v/>
      </c>
      <c r="H875" s="1">
        <f>INDEX('DETALLE CRONOLÓGICO'!$D$2:$D$4919,MATCH($A875,'DETALLE CRONOLÓGICO'!$A$2:$A$4919,0)+$E875-1)</f>
        <v/>
      </c>
      <c r="I875" s="5">
        <f>IFERROR(SUMIFS('DETALLE CRONOLÓGICO'!$L$2:$L$4919,'DETALLE CRONOLÓGICO'!$A$2:$A$4919,$A875)/$F875,"")</f>
        <v/>
      </c>
      <c r="J875" s="6">
        <f>IFERROR(SUMIFS('DETALLE CRONOLÓGICO'!$K$2:$K$4919,'DETALLE CRONOLÓGICO'!$A$2:$A$4919,$A875)/$E875,"")</f>
        <v/>
      </c>
      <c r="K875" s="6">
        <f>_xlfn.MINIFS('DETALLE CRONOLÓGICO'!$K$2:$K$4919,'DETALLE CRONOLÓGICO'!$A$2:$A$4919,$A875)</f>
        <v/>
      </c>
      <c r="L875" s="6">
        <f>_xlfn.MAXIFS('DETALLE CRONOLÓGICO'!$K$2:$K$4919,'DETALLE CRONOLÓGICO'!$A$2:$A$4919,$A875)</f>
        <v/>
      </c>
      <c r="M875" s="6">
        <f>INDEX('DETALLE CRONOLÓGICO'!$K$2:$K$4919,MATCH($A875,'DETALLE CRONOLÓGICO'!$A$2:$A$4919,0)+$E875-1)</f>
        <v/>
      </c>
      <c r="N875" s="7">
        <f>IFERROR($M875/INDEX('DETALLE CRONOLÓGICO'!$K$2:$K$4919,MATCH($A875,'DETALLE CRONOLÓGICO'!$A$2:$A$4919,0))-1,"")</f>
        <v/>
      </c>
      <c r="O875" s="6">
        <f>IFERROR($I875*3,"")</f>
        <v/>
      </c>
      <c r="P875" s="6">
        <f>IFERROR($I875*3.5,"")</f>
        <v/>
      </c>
      <c r="Q875" s="6">
        <f>IFERROR($I875*4,"")</f>
        <v/>
      </c>
      <c r="R875" s="6" t="n">
        <v>4309</v>
      </c>
      <c r="S875" s="4" t="n">
        <v>6</v>
      </c>
      <c r="T875" s="1" t="inlineStr">
        <is>
          <t>active</t>
        </is>
      </c>
      <c r="U875" s="8" t="n"/>
      <c r="V875" s="1" t="inlineStr">
        <is>
          <t>SIN PRECIO</t>
        </is>
      </c>
    </row>
    <row r="876">
      <c r="A876" s="1" t="inlineStr">
        <is>
          <t>47076841081421</t>
        </is>
      </c>
      <c r="B876" s="1" t="inlineStr">
        <is>
          <t>ARRACADAS T SILVER CON ZIRCONIA</t>
        </is>
      </c>
      <c r="C876" s="1" t="inlineStr">
        <is>
          <t>Default Title</t>
        </is>
      </c>
      <c r="D876" s="1" t="inlineStr">
        <is>
          <t>HAIFENG</t>
        </is>
      </c>
      <c r="E876" s="4">
        <f>COUNTIF('DETALLE CRONOLÓGICO'!$A$2:$A$4919,$A876)</f>
        <v/>
      </c>
      <c r="F876" s="4">
        <f>SUMIFS('DETALLE CRONOLÓGICO'!$I$2:$I$4919,'DETALLE CRONOLÓGICO'!$A$2:$A$4919,$A876)</f>
        <v/>
      </c>
      <c r="G876" s="1">
        <f>INDEX('DETALLE CRONOLÓGICO'!$D$2:$D$4919,MATCH($A876,'DETALLE CRONOLÓGICO'!$A$2:$A$4919,0))</f>
        <v/>
      </c>
      <c r="H876" s="1">
        <f>INDEX('DETALLE CRONOLÓGICO'!$D$2:$D$4919,MATCH($A876,'DETALLE CRONOLÓGICO'!$A$2:$A$4919,0)+$E876-1)</f>
        <v/>
      </c>
      <c r="I876" s="5">
        <f>IFERROR(SUMIFS('DETALLE CRONOLÓGICO'!$L$2:$L$4919,'DETALLE CRONOLÓGICO'!$A$2:$A$4919,$A876)/$F876,"")</f>
        <v/>
      </c>
      <c r="J876" s="6">
        <f>IFERROR(SUMIFS('DETALLE CRONOLÓGICO'!$K$2:$K$4919,'DETALLE CRONOLÓGICO'!$A$2:$A$4919,$A876)/$E876,"")</f>
        <v/>
      </c>
      <c r="K876" s="6">
        <f>_xlfn.MINIFS('DETALLE CRONOLÓGICO'!$K$2:$K$4919,'DETALLE CRONOLÓGICO'!$A$2:$A$4919,$A876)</f>
        <v/>
      </c>
      <c r="L876" s="6">
        <f>_xlfn.MAXIFS('DETALLE CRONOLÓGICO'!$K$2:$K$4919,'DETALLE CRONOLÓGICO'!$A$2:$A$4919,$A876)</f>
        <v/>
      </c>
      <c r="M876" s="6">
        <f>INDEX('DETALLE CRONOLÓGICO'!$K$2:$K$4919,MATCH($A876,'DETALLE CRONOLÓGICO'!$A$2:$A$4919,0)+$E876-1)</f>
        <v/>
      </c>
      <c r="N876" s="7">
        <f>IFERROR($M876/INDEX('DETALLE CRONOLÓGICO'!$K$2:$K$4919,MATCH($A876,'DETALLE CRONOLÓGICO'!$A$2:$A$4919,0))-1,"")</f>
        <v/>
      </c>
      <c r="O876" s="6">
        <f>IFERROR($I876*3,"")</f>
        <v/>
      </c>
      <c r="P876" s="6">
        <f>IFERROR($I876*3.5,"")</f>
        <v/>
      </c>
      <c r="Q876" s="6">
        <f>IFERROR($I876*4,"")</f>
        <v/>
      </c>
      <c r="R876" s="6" t="n">
        <v>599</v>
      </c>
      <c r="S876" s="4" t="n">
        <v>2</v>
      </c>
      <c r="T876" s="1" t="inlineStr">
        <is>
          <t>active</t>
        </is>
      </c>
      <c r="U876" s="8" t="n"/>
      <c r="V876" s="1" t="inlineStr">
        <is>
          <t>SIN PRECIO</t>
        </is>
      </c>
    </row>
    <row r="877">
      <c r="A877" s="1" t="inlineStr">
        <is>
          <t>47076841105709</t>
        </is>
      </c>
      <c r="B877" s="1" t="inlineStr">
        <is>
          <t>ARRACADAS T ROSEGOLD CON ZIRCONIA</t>
        </is>
      </c>
      <c r="C877" s="1" t="inlineStr">
        <is>
          <t>Default Title</t>
        </is>
      </c>
      <c r="D877" s="1" t="inlineStr">
        <is>
          <t>HAIFENG</t>
        </is>
      </c>
      <c r="E877" s="4">
        <f>COUNTIF('DETALLE CRONOLÓGICO'!$A$2:$A$4919,$A877)</f>
        <v/>
      </c>
      <c r="F877" s="4">
        <f>SUMIFS('DETALLE CRONOLÓGICO'!$I$2:$I$4919,'DETALLE CRONOLÓGICO'!$A$2:$A$4919,$A877)</f>
        <v/>
      </c>
      <c r="G877" s="1">
        <f>INDEX('DETALLE CRONOLÓGICO'!$D$2:$D$4919,MATCH($A877,'DETALLE CRONOLÓGICO'!$A$2:$A$4919,0))</f>
        <v/>
      </c>
      <c r="H877" s="1">
        <f>INDEX('DETALLE CRONOLÓGICO'!$D$2:$D$4919,MATCH($A877,'DETALLE CRONOLÓGICO'!$A$2:$A$4919,0)+$E877-1)</f>
        <v/>
      </c>
      <c r="I877" s="5">
        <f>IFERROR(SUMIFS('DETALLE CRONOLÓGICO'!$L$2:$L$4919,'DETALLE CRONOLÓGICO'!$A$2:$A$4919,$A877)/$F877,"")</f>
        <v/>
      </c>
      <c r="J877" s="6">
        <f>IFERROR(SUMIFS('DETALLE CRONOLÓGICO'!$K$2:$K$4919,'DETALLE CRONOLÓGICO'!$A$2:$A$4919,$A877)/$E877,"")</f>
        <v/>
      </c>
      <c r="K877" s="6">
        <f>_xlfn.MINIFS('DETALLE CRONOLÓGICO'!$K$2:$K$4919,'DETALLE CRONOLÓGICO'!$A$2:$A$4919,$A877)</f>
        <v/>
      </c>
      <c r="L877" s="6">
        <f>_xlfn.MAXIFS('DETALLE CRONOLÓGICO'!$K$2:$K$4919,'DETALLE CRONOLÓGICO'!$A$2:$A$4919,$A877)</f>
        <v/>
      </c>
      <c r="M877" s="6">
        <f>INDEX('DETALLE CRONOLÓGICO'!$K$2:$K$4919,MATCH($A877,'DETALLE CRONOLÓGICO'!$A$2:$A$4919,0)+$E877-1)</f>
        <v/>
      </c>
      <c r="N877" s="7">
        <f>IFERROR($M877/INDEX('DETALLE CRONOLÓGICO'!$K$2:$K$4919,MATCH($A877,'DETALLE CRONOLÓGICO'!$A$2:$A$4919,0))-1,"")</f>
        <v/>
      </c>
      <c r="O877" s="6">
        <f>IFERROR($I877*3,"")</f>
        <v/>
      </c>
      <c r="P877" s="6">
        <f>IFERROR($I877*3.5,"")</f>
        <v/>
      </c>
      <c r="Q877" s="6">
        <f>IFERROR($I877*4,"")</f>
        <v/>
      </c>
      <c r="R877" s="6" t="n">
        <v>579</v>
      </c>
      <c r="S877" s="4" t="n">
        <v>2</v>
      </c>
      <c r="T877" s="1" t="inlineStr">
        <is>
          <t>active</t>
        </is>
      </c>
      <c r="U877" s="8" t="n"/>
      <c r="V877" s="1" t="inlineStr">
        <is>
          <t>SIN PRECIO</t>
        </is>
      </c>
    </row>
    <row r="878">
      <c r="A878" s="1" t="inlineStr">
        <is>
          <t>47076841262765</t>
        </is>
      </c>
      <c r="B878" s="1" t="inlineStr">
        <is>
          <t>ARRACADAS T GOLD CON ZIRCONIA</t>
        </is>
      </c>
      <c r="C878" s="1" t="inlineStr">
        <is>
          <t>Default Title</t>
        </is>
      </c>
      <c r="D878" s="1" t="inlineStr">
        <is>
          <t>HAIFENG</t>
        </is>
      </c>
      <c r="E878" s="4">
        <f>COUNTIF('DETALLE CRONOLÓGICO'!$A$2:$A$4919,$A878)</f>
        <v/>
      </c>
      <c r="F878" s="4">
        <f>SUMIFS('DETALLE CRONOLÓGICO'!$I$2:$I$4919,'DETALLE CRONOLÓGICO'!$A$2:$A$4919,$A878)</f>
        <v/>
      </c>
      <c r="G878" s="1">
        <f>INDEX('DETALLE CRONOLÓGICO'!$D$2:$D$4919,MATCH($A878,'DETALLE CRONOLÓGICO'!$A$2:$A$4919,0))</f>
        <v/>
      </c>
      <c r="H878" s="1">
        <f>INDEX('DETALLE CRONOLÓGICO'!$D$2:$D$4919,MATCH($A878,'DETALLE CRONOLÓGICO'!$A$2:$A$4919,0)+$E878-1)</f>
        <v/>
      </c>
      <c r="I878" s="5">
        <f>IFERROR(SUMIFS('DETALLE CRONOLÓGICO'!$L$2:$L$4919,'DETALLE CRONOLÓGICO'!$A$2:$A$4919,$A878)/$F878,"")</f>
        <v/>
      </c>
      <c r="J878" s="6">
        <f>IFERROR(SUMIFS('DETALLE CRONOLÓGICO'!$K$2:$K$4919,'DETALLE CRONOLÓGICO'!$A$2:$A$4919,$A878)/$E878,"")</f>
        <v/>
      </c>
      <c r="K878" s="6">
        <f>_xlfn.MINIFS('DETALLE CRONOLÓGICO'!$K$2:$K$4919,'DETALLE CRONOLÓGICO'!$A$2:$A$4919,$A878)</f>
        <v/>
      </c>
      <c r="L878" s="6">
        <f>_xlfn.MAXIFS('DETALLE CRONOLÓGICO'!$K$2:$K$4919,'DETALLE CRONOLÓGICO'!$A$2:$A$4919,$A878)</f>
        <v/>
      </c>
      <c r="M878" s="6">
        <f>INDEX('DETALLE CRONOLÓGICO'!$K$2:$K$4919,MATCH($A878,'DETALLE CRONOLÓGICO'!$A$2:$A$4919,0)+$E878-1)</f>
        <v/>
      </c>
      <c r="N878" s="7">
        <f>IFERROR($M878/INDEX('DETALLE CRONOLÓGICO'!$K$2:$K$4919,MATCH($A878,'DETALLE CRONOLÓGICO'!$A$2:$A$4919,0))-1,"")</f>
        <v/>
      </c>
      <c r="O878" s="6">
        <f>IFERROR($I878*3,"")</f>
        <v/>
      </c>
      <c r="P878" s="6">
        <f>IFERROR($I878*3.5,"")</f>
        <v/>
      </c>
      <c r="Q878" s="6">
        <f>IFERROR($I878*4,"")</f>
        <v/>
      </c>
      <c r="R878" s="6" t="n">
        <v>580</v>
      </c>
      <c r="S878" s="4" t="n">
        <v>4</v>
      </c>
      <c r="T878" s="1" t="inlineStr">
        <is>
          <t>active</t>
        </is>
      </c>
      <c r="U878" s="8" t="n"/>
      <c r="V878" s="1" t="inlineStr">
        <is>
          <t>SIN PRECIO</t>
        </is>
      </c>
    </row>
    <row r="879">
      <c r="A879" s="1" t="inlineStr">
        <is>
          <t>47179791074049</t>
        </is>
      </c>
      <c r="B879" s="1" t="inlineStr">
        <is>
          <t>PULSERA LOVE LOVE GOLD</t>
        </is>
      </c>
      <c r="C879" s="1" t="inlineStr">
        <is>
          <t>16cm con 5cm de extensión</t>
        </is>
      </c>
      <c r="D879" s="1" t="inlineStr">
        <is>
          <t>HAIFENG</t>
        </is>
      </c>
      <c r="E879" s="4">
        <f>COUNTIF('DETALLE CRONOLÓGICO'!$A$2:$A$4919,$A879)</f>
        <v/>
      </c>
      <c r="F879" s="4">
        <f>SUMIFS('DETALLE CRONOLÓGICO'!$I$2:$I$4919,'DETALLE CRONOLÓGICO'!$A$2:$A$4919,$A879)</f>
        <v/>
      </c>
      <c r="G879" s="1">
        <f>INDEX('DETALLE CRONOLÓGICO'!$D$2:$D$4919,MATCH($A879,'DETALLE CRONOLÓGICO'!$A$2:$A$4919,0))</f>
        <v/>
      </c>
      <c r="H879" s="1">
        <f>INDEX('DETALLE CRONOLÓGICO'!$D$2:$D$4919,MATCH($A879,'DETALLE CRONOLÓGICO'!$A$2:$A$4919,0)+$E879-1)</f>
        <v/>
      </c>
      <c r="I879" s="5">
        <f>IFERROR(SUMIFS('DETALLE CRONOLÓGICO'!$L$2:$L$4919,'DETALLE CRONOLÓGICO'!$A$2:$A$4919,$A879)/$F879,"")</f>
        <v/>
      </c>
      <c r="J879" s="6">
        <f>IFERROR(SUMIFS('DETALLE CRONOLÓGICO'!$K$2:$K$4919,'DETALLE CRONOLÓGICO'!$A$2:$A$4919,$A879)/$E879,"")</f>
        <v/>
      </c>
      <c r="K879" s="6">
        <f>_xlfn.MINIFS('DETALLE CRONOLÓGICO'!$K$2:$K$4919,'DETALLE CRONOLÓGICO'!$A$2:$A$4919,$A879)</f>
        <v/>
      </c>
      <c r="L879" s="6">
        <f>_xlfn.MAXIFS('DETALLE CRONOLÓGICO'!$K$2:$K$4919,'DETALLE CRONOLÓGICO'!$A$2:$A$4919,$A879)</f>
        <v/>
      </c>
      <c r="M879" s="6">
        <f>INDEX('DETALLE CRONOLÓGICO'!$K$2:$K$4919,MATCH($A879,'DETALLE CRONOLÓGICO'!$A$2:$A$4919,0)+$E879-1)</f>
        <v/>
      </c>
      <c r="N879" s="7">
        <f>IFERROR($M879/INDEX('DETALLE CRONOLÓGICO'!$K$2:$K$4919,MATCH($A879,'DETALLE CRONOLÓGICO'!$A$2:$A$4919,0))-1,"")</f>
        <v/>
      </c>
      <c r="O879" s="6">
        <f>IFERROR($I879*3,"")</f>
        <v/>
      </c>
      <c r="P879" s="6">
        <f>IFERROR($I879*3.5,"")</f>
        <v/>
      </c>
      <c r="Q879" s="6">
        <f>IFERROR($I879*4,"")</f>
        <v/>
      </c>
      <c r="R879" s="6" t="n">
        <v>499</v>
      </c>
      <c r="S879" s="4" t="n">
        <v>7</v>
      </c>
      <c r="T879" s="1" t="inlineStr">
        <is>
          <t>active</t>
        </is>
      </c>
      <c r="U879" s="8" t="n"/>
      <c r="V879" s="1" t="inlineStr">
        <is>
          <t>SIN PRECIO</t>
        </is>
      </c>
    </row>
    <row r="880">
      <c r="A880" s="1" t="inlineStr">
        <is>
          <t>47396161022509</t>
        </is>
      </c>
      <c r="B880" s="1" t="inlineStr">
        <is>
          <t>ANILLO CLAVO SPIRAL GOLD CON ZIRCONIA</t>
        </is>
      </c>
      <c r="C880" s="1" t="inlineStr">
        <is>
          <t>7</t>
        </is>
      </c>
      <c r="D880" s="1" t="inlineStr">
        <is>
          <t>HAIFENG</t>
        </is>
      </c>
      <c r="E880" s="4">
        <f>COUNTIF('DETALLE CRONOLÓGICO'!$A$2:$A$4919,$A880)</f>
        <v/>
      </c>
      <c r="F880" s="4">
        <f>SUMIFS('DETALLE CRONOLÓGICO'!$I$2:$I$4919,'DETALLE CRONOLÓGICO'!$A$2:$A$4919,$A880)</f>
        <v/>
      </c>
      <c r="G880" s="1">
        <f>INDEX('DETALLE CRONOLÓGICO'!$D$2:$D$4919,MATCH($A880,'DETALLE CRONOLÓGICO'!$A$2:$A$4919,0))</f>
        <v/>
      </c>
      <c r="H880" s="1">
        <f>INDEX('DETALLE CRONOLÓGICO'!$D$2:$D$4919,MATCH($A880,'DETALLE CRONOLÓGICO'!$A$2:$A$4919,0)+$E880-1)</f>
        <v/>
      </c>
      <c r="I880" s="5">
        <f>IFERROR(SUMIFS('DETALLE CRONOLÓGICO'!$L$2:$L$4919,'DETALLE CRONOLÓGICO'!$A$2:$A$4919,$A880)/$F880,"")</f>
        <v/>
      </c>
      <c r="J880" s="6">
        <f>IFERROR(SUMIFS('DETALLE CRONOLÓGICO'!$K$2:$K$4919,'DETALLE CRONOLÓGICO'!$A$2:$A$4919,$A880)/$E880,"")</f>
        <v/>
      </c>
      <c r="K880" s="6">
        <f>_xlfn.MINIFS('DETALLE CRONOLÓGICO'!$K$2:$K$4919,'DETALLE CRONOLÓGICO'!$A$2:$A$4919,$A880)</f>
        <v/>
      </c>
      <c r="L880" s="6">
        <f>_xlfn.MAXIFS('DETALLE CRONOLÓGICO'!$K$2:$K$4919,'DETALLE CRONOLÓGICO'!$A$2:$A$4919,$A880)</f>
        <v/>
      </c>
      <c r="M880" s="6">
        <f>INDEX('DETALLE CRONOLÓGICO'!$K$2:$K$4919,MATCH($A880,'DETALLE CRONOLÓGICO'!$A$2:$A$4919,0)+$E880-1)</f>
        <v/>
      </c>
      <c r="N880" s="7">
        <f>IFERROR($M880/INDEX('DETALLE CRONOLÓGICO'!$K$2:$K$4919,MATCH($A880,'DETALLE CRONOLÓGICO'!$A$2:$A$4919,0))-1,"")</f>
        <v/>
      </c>
      <c r="O880" s="6">
        <f>IFERROR($I880*3,"")</f>
        <v/>
      </c>
      <c r="P880" s="6">
        <f>IFERROR($I880*3.5,"")</f>
        <v/>
      </c>
      <c r="Q880" s="6">
        <f>IFERROR($I880*4,"")</f>
        <v/>
      </c>
      <c r="R880" s="6" t="n">
        <v>650</v>
      </c>
      <c r="S880" s="4" t="n">
        <v>3</v>
      </c>
      <c r="T880" s="1" t="inlineStr">
        <is>
          <t>active</t>
        </is>
      </c>
      <c r="U880" s="8" t="n"/>
      <c r="V880" s="1" t="inlineStr">
        <is>
          <t>SIN PRECIO</t>
        </is>
      </c>
    </row>
    <row r="881">
      <c r="A881" s="1" t="inlineStr">
        <is>
          <t>47685114092812</t>
        </is>
      </c>
      <c r="B881" s="1" t="inlineStr">
        <is>
          <t>TRAJE DE BAÑO CD</t>
        </is>
      </c>
      <c r="C881" s="1" t="inlineStr">
        <is>
          <t>S</t>
        </is>
      </c>
      <c r="D881" s="1" t="inlineStr">
        <is>
          <t>ZOEY</t>
        </is>
      </c>
      <c r="E881" s="4">
        <f>COUNTIF('DETALLE CRONOLÓGICO'!$A$2:$A$4919,$A881)</f>
        <v/>
      </c>
      <c r="F881" s="4">
        <f>SUMIFS('DETALLE CRONOLÓGICO'!$I$2:$I$4919,'DETALLE CRONOLÓGICO'!$A$2:$A$4919,$A881)</f>
        <v/>
      </c>
      <c r="G881" s="1">
        <f>INDEX('DETALLE CRONOLÓGICO'!$D$2:$D$4919,MATCH($A881,'DETALLE CRONOLÓGICO'!$A$2:$A$4919,0))</f>
        <v/>
      </c>
      <c r="H881" s="1">
        <f>INDEX('DETALLE CRONOLÓGICO'!$D$2:$D$4919,MATCH($A881,'DETALLE CRONOLÓGICO'!$A$2:$A$4919,0)+$E881-1)</f>
        <v/>
      </c>
      <c r="I881" s="5">
        <f>IFERROR(SUMIFS('DETALLE CRONOLÓGICO'!$L$2:$L$4919,'DETALLE CRONOLÓGICO'!$A$2:$A$4919,$A881)/$F881,"")</f>
        <v/>
      </c>
      <c r="J881" s="6">
        <f>IFERROR(SUMIFS('DETALLE CRONOLÓGICO'!$K$2:$K$4919,'DETALLE CRONOLÓGICO'!$A$2:$A$4919,$A881)/$E881,"")</f>
        <v/>
      </c>
      <c r="K881" s="6">
        <f>_xlfn.MINIFS('DETALLE CRONOLÓGICO'!$K$2:$K$4919,'DETALLE CRONOLÓGICO'!$A$2:$A$4919,$A881)</f>
        <v/>
      </c>
      <c r="L881" s="6">
        <f>_xlfn.MAXIFS('DETALLE CRONOLÓGICO'!$K$2:$K$4919,'DETALLE CRONOLÓGICO'!$A$2:$A$4919,$A881)</f>
        <v/>
      </c>
      <c r="M881" s="6">
        <f>INDEX('DETALLE CRONOLÓGICO'!$K$2:$K$4919,MATCH($A881,'DETALLE CRONOLÓGICO'!$A$2:$A$4919,0)+$E881-1)</f>
        <v/>
      </c>
      <c r="N881" s="7">
        <f>IFERROR($M881/INDEX('DETALLE CRONOLÓGICO'!$K$2:$K$4919,MATCH($A881,'DETALLE CRONOLÓGICO'!$A$2:$A$4919,0))-1,"")</f>
        <v/>
      </c>
      <c r="O881" s="6">
        <f>IFERROR($I881*3,"")</f>
        <v/>
      </c>
      <c r="P881" s="6">
        <f>IFERROR($I881*3.5,"")</f>
        <v/>
      </c>
      <c r="Q881" s="6">
        <f>IFERROR($I881*4,"")</f>
        <v/>
      </c>
      <c r="R881" s="6" t="n">
        <v>2659</v>
      </c>
      <c r="S881" s="4" t="n">
        <v>0</v>
      </c>
      <c r="T881" s="1" t="inlineStr">
        <is>
          <t>active</t>
        </is>
      </c>
      <c r="U881" s="8" t="n"/>
      <c r="V881" s="1" t="inlineStr">
        <is>
          <t>SIN PRECIO</t>
        </is>
      </c>
    </row>
    <row r="882">
      <c r="A882" s="1" t="inlineStr">
        <is>
          <t>47685124125580</t>
        </is>
      </c>
      <c r="B882" s="1" t="inlineStr">
        <is>
          <t>TRAJE DE BAÑO CD</t>
        </is>
      </c>
      <c r="C882" s="1" t="inlineStr">
        <is>
          <t>M</t>
        </is>
      </c>
      <c r="D882" s="1" t="inlineStr">
        <is>
          <t>ZOEY</t>
        </is>
      </c>
      <c r="E882" s="4">
        <f>COUNTIF('DETALLE CRONOLÓGICO'!$A$2:$A$4919,$A882)</f>
        <v/>
      </c>
      <c r="F882" s="4">
        <f>SUMIFS('DETALLE CRONOLÓGICO'!$I$2:$I$4919,'DETALLE CRONOLÓGICO'!$A$2:$A$4919,$A882)</f>
        <v/>
      </c>
      <c r="G882" s="1">
        <f>INDEX('DETALLE CRONOLÓGICO'!$D$2:$D$4919,MATCH($A882,'DETALLE CRONOLÓGICO'!$A$2:$A$4919,0))</f>
        <v/>
      </c>
      <c r="H882" s="1">
        <f>INDEX('DETALLE CRONOLÓGICO'!$D$2:$D$4919,MATCH($A882,'DETALLE CRONOLÓGICO'!$A$2:$A$4919,0)+$E882-1)</f>
        <v/>
      </c>
      <c r="I882" s="5">
        <f>IFERROR(SUMIFS('DETALLE CRONOLÓGICO'!$L$2:$L$4919,'DETALLE CRONOLÓGICO'!$A$2:$A$4919,$A882)/$F882,"")</f>
        <v/>
      </c>
      <c r="J882" s="6">
        <f>IFERROR(SUMIFS('DETALLE CRONOLÓGICO'!$K$2:$K$4919,'DETALLE CRONOLÓGICO'!$A$2:$A$4919,$A882)/$E882,"")</f>
        <v/>
      </c>
      <c r="K882" s="6">
        <f>_xlfn.MINIFS('DETALLE CRONOLÓGICO'!$K$2:$K$4919,'DETALLE CRONOLÓGICO'!$A$2:$A$4919,$A882)</f>
        <v/>
      </c>
      <c r="L882" s="6">
        <f>_xlfn.MAXIFS('DETALLE CRONOLÓGICO'!$K$2:$K$4919,'DETALLE CRONOLÓGICO'!$A$2:$A$4919,$A882)</f>
        <v/>
      </c>
      <c r="M882" s="6">
        <f>INDEX('DETALLE CRONOLÓGICO'!$K$2:$K$4919,MATCH($A882,'DETALLE CRONOLÓGICO'!$A$2:$A$4919,0)+$E882-1)</f>
        <v/>
      </c>
      <c r="N882" s="7">
        <f>IFERROR($M882/INDEX('DETALLE CRONOLÓGICO'!$K$2:$K$4919,MATCH($A882,'DETALLE CRONOLÓGICO'!$A$2:$A$4919,0))-1,"")</f>
        <v/>
      </c>
      <c r="O882" s="6">
        <f>IFERROR($I882*3,"")</f>
        <v/>
      </c>
      <c r="P882" s="6">
        <f>IFERROR($I882*3.5,"")</f>
        <v/>
      </c>
      <c r="Q882" s="6">
        <f>IFERROR($I882*4,"")</f>
        <v/>
      </c>
      <c r="R882" s="6" t="n">
        <v>2499</v>
      </c>
      <c r="S882" s="4" t="n">
        <v>1</v>
      </c>
      <c r="T882" s="1" t="inlineStr">
        <is>
          <t>active</t>
        </is>
      </c>
      <c r="U882" s="8" t="n"/>
      <c r="V882" s="1" t="inlineStr">
        <is>
          <t>SIN PRECIO</t>
        </is>
      </c>
    </row>
    <row r="883">
      <c r="A883" s="1" t="inlineStr">
        <is>
          <t>47754352942988</t>
        </is>
      </c>
      <c r="B883" s="1" t="inlineStr">
        <is>
          <t>TARJETERO CD FREESIA</t>
        </is>
      </c>
      <c r="C883" s="1" t="inlineStr">
        <is>
          <t>10cm x 7.5cm</t>
        </is>
      </c>
      <c r="D883" s="1" t="inlineStr">
        <is>
          <t>ZOEY</t>
        </is>
      </c>
      <c r="E883" s="4">
        <f>COUNTIF('DETALLE CRONOLÓGICO'!$A$2:$A$4919,$A883)</f>
        <v/>
      </c>
      <c r="F883" s="4">
        <f>SUMIFS('DETALLE CRONOLÓGICO'!$I$2:$I$4919,'DETALLE CRONOLÓGICO'!$A$2:$A$4919,$A883)</f>
        <v/>
      </c>
      <c r="G883" s="1">
        <f>INDEX('DETALLE CRONOLÓGICO'!$D$2:$D$4919,MATCH($A883,'DETALLE CRONOLÓGICO'!$A$2:$A$4919,0))</f>
        <v/>
      </c>
      <c r="H883" s="1">
        <f>INDEX('DETALLE CRONOLÓGICO'!$D$2:$D$4919,MATCH($A883,'DETALLE CRONOLÓGICO'!$A$2:$A$4919,0)+$E883-1)</f>
        <v/>
      </c>
      <c r="I883" s="5">
        <f>IFERROR(SUMIFS('DETALLE CRONOLÓGICO'!$L$2:$L$4919,'DETALLE CRONOLÓGICO'!$A$2:$A$4919,$A883)/$F883,"")</f>
        <v/>
      </c>
      <c r="J883" s="6">
        <f>IFERROR(SUMIFS('DETALLE CRONOLÓGICO'!$K$2:$K$4919,'DETALLE CRONOLÓGICO'!$A$2:$A$4919,$A883)/$E883,"")</f>
        <v/>
      </c>
      <c r="K883" s="6">
        <f>_xlfn.MINIFS('DETALLE CRONOLÓGICO'!$K$2:$K$4919,'DETALLE CRONOLÓGICO'!$A$2:$A$4919,$A883)</f>
        <v/>
      </c>
      <c r="L883" s="6">
        <f>_xlfn.MAXIFS('DETALLE CRONOLÓGICO'!$K$2:$K$4919,'DETALLE CRONOLÓGICO'!$A$2:$A$4919,$A883)</f>
        <v/>
      </c>
      <c r="M883" s="6">
        <f>INDEX('DETALLE CRONOLÓGICO'!$K$2:$K$4919,MATCH($A883,'DETALLE CRONOLÓGICO'!$A$2:$A$4919,0)+$E883-1)</f>
        <v/>
      </c>
      <c r="N883" s="7">
        <f>IFERROR($M883/INDEX('DETALLE CRONOLÓGICO'!$K$2:$K$4919,MATCH($A883,'DETALLE CRONOLÓGICO'!$A$2:$A$4919,0))-1,"")</f>
        <v/>
      </c>
      <c r="O883" s="6">
        <f>IFERROR($I883*3,"")</f>
        <v/>
      </c>
      <c r="P883" s="6">
        <f>IFERROR($I883*3.5,"")</f>
        <v/>
      </c>
      <c r="Q883" s="6">
        <f>IFERROR($I883*4,"")</f>
        <v/>
      </c>
      <c r="R883" s="6" t="n">
        <v>1199</v>
      </c>
      <c r="S883" s="4" t="n">
        <v>1</v>
      </c>
      <c r="T883" s="1" t="inlineStr">
        <is>
          <t>active</t>
        </is>
      </c>
      <c r="U883" s="8" t="n"/>
      <c r="V883" s="1" t="inlineStr">
        <is>
          <t>SIN PRECIO</t>
        </is>
      </c>
    </row>
    <row r="884">
      <c r="A884" s="1" t="inlineStr">
        <is>
          <t>47861321014669</t>
        </is>
      </c>
      <c r="B884" s="1" t="inlineStr">
        <is>
          <t>ANILLO PANTHERE BIG GOLD C</t>
        </is>
      </c>
      <c r="C884" s="1" t="inlineStr">
        <is>
          <t>8</t>
        </is>
      </c>
      <c r="D884" s="1" t="inlineStr">
        <is>
          <t>HAIFENG</t>
        </is>
      </c>
      <c r="E884" s="4">
        <f>COUNTIF('DETALLE CRONOLÓGICO'!$A$2:$A$4919,$A884)</f>
        <v/>
      </c>
      <c r="F884" s="4">
        <f>SUMIFS('DETALLE CRONOLÓGICO'!$I$2:$I$4919,'DETALLE CRONOLÓGICO'!$A$2:$A$4919,$A884)</f>
        <v/>
      </c>
      <c r="G884" s="1">
        <f>INDEX('DETALLE CRONOLÓGICO'!$D$2:$D$4919,MATCH($A884,'DETALLE CRONOLÓGICO'!$A$2:$A$4919,0))</f>
        <v/>
      </c>
      <c r="H884" s="1">
        <f>INDEX('DETALLE CRONOLÓGICO'!$D$2:$D$4919,MATCH($A884,'DETALLE CRONOLÓGICO'!$A$2:$A$4919,0)+$E884-1)</f>
        <v/>
      </c>
      <c r="I884" s="5">
        <f>IFERROR(SUMIFS('DETALLE CRONOLÓGICO'!$L$2:$L$4919,'DETALLE CRONOLÓGICO'!$A$2:$A$4919,$A884)/$F884,"")</f>
        <v/>
      </c>
      <c r="J884" s="6">
        <f>IFERROR(SUMIFS('DETALLE CRONOLÓGICO'!$K$2:$K$4919,'DETALLE CRONOLÓGICO'!$A$2:$A$4919,$A884)/$E884,"")</f>
        <v/>
      </c>
      <c r="K884" s="6">
        <f>_xlfn.MINIFS('DETALLE CRONOLÓGICO'!$K$2:$K$4919,'DETALLE CRONOLÓGICO'!$A$2:$A$4919,$A884)</f>
        <v/>
      </c>
      <c r="L884" s="6">
        <f>_xlfn.MAXIFS('DETALLE CRONOLÓGICO'!$K$2:$K$4919,'DETALLE CRONOLÓGICO'!$A$2:$A$4919,$A884)</f>
        <v/>
      </c>
      <c r="M884" s="6">
        <f>INDEX('DETALLE CRONOLÓGICO'!$K$2:$K$4919,MATCH($A884,'DETALLE CRONOLÓGICO'!$A$2:$A$4919,0)+$E884-1)</f>
        <v/>
      </c>
      <c r="N884" s="7">
        <f>IFERROR($M884/INDEX('DETALLE CRONOLÓGICO'!$K$2:$K$4919,MATCH($A884,'DETALLE CRONOLÓGICO'!$A$2:$A$4919,0))-1,"")</f>
        <v/>
      </c>
      <c r="O884" s="6">
        <f>IFERROR($I884*3,"")</f>
        <v/>
      </c>
      <c r="P884" s="6">
        <f>IFERROR($I884*3.5,"")</f>
        <v/>
      </c>
      <c r="Q884" s="6">
        <f>IFERROR($I884*4,"")</f>
        <v/>
      </c>
      <c r="R884" s="6" t="n">
        <v>750</v>
      </c>
      <c r="S884" s="4" t="n">
        <v>4</v>
      </c>
      <c r="T884" s="1" t="inlineStr">
        <is>
          <t>active</t>
        </is>
      </c>
      <c r="U884" s="8" t="n"/>
      <c r="V884" s="1" t="inlineStr">
        <is>
          <t>SIN PRECIO</t>
        </is>
      </c>
    </row>
    <row r="885">
      <c r="A885" s="1" t="inlineStr">
        <is>
          <t>48321436441740</t>
        </is>
      </c>
      <c r="B885" s="1" t="inlineStr">
        <is>
          <t>PERFUME CC No 5</t>
        </is>
      </c>
      <c r="C885" s="1" t="inlineStr">
        <is>
          <t>100ml</t>
        </is>
      </c>
      <c r="D885" s="1" t="inlineStr">
        <is>
          <t>ZOEY</t>
        </is>
      </c>
      <c r="E885" s="4">
        <f>COUNTIF('DETALLE CRONOLÓGICO'!$A$2:$A$4919,$A885)</f>
        <v/>
      </c>
      <c r="F885" s="4">
        <f>SUMIFS('DETALLE CRONOLÓGICO'!$I$2:$I$4919,'DETALLE CRONOLÓGICO'!$A$2:$A$4919,$A885)</f>
        <v/>
      </c>
      <c r="G885" s="1">
        <f>INDEX('DETALLE CRONOLÓGICO'!$D$2:$D$4919,MATCH($A885,'DETALLE CRONOLÓGICO'!$A$2:$A$4919,0))</f>
        <v/>
      </c>
      <c r="H885" s="1">
        <f>INDEX('DETALLE CRONOLÓGICO'!$D$2:$D$4919,MATCH($A885,'DETALLE CRONOLÓGICO'!$A$2:$A$4919,0)+$E885-1)</f>
        <v/>
      </c>
      <c r="I885" s="5">
        <f>IFERROR(SUMIFS('DETALLE CRONOLÓGICO'!$L$2:$L$4919,'DETALLE CRONOLÓGICO'!$A$2:$A$4919,$A885)/$F885,"")</f>
        <v/>
      </c>
      <c r="J885" s="6">
        <f>IFERROR(SUMIFS('DETALLE CRONOLÓGICO'!$K$2:$K$4919,'DETALLE CRONOLÓGICO'!$A$2:$A$4919,$A885)/$E885,"")</f>
        <v/>
      </c>
      <c r="K885" s="6">
        <f>_xlfn.MINIFS('DETALLE CRONOLÓGICO'!$K$2:$K$4919,'DETALLE CRONOLÓGICO'!$A$2:$A$4919,$A885)</f>
        <v/>
      </c>
      <c r="L885" s="6">
        <f>_xlfn.MAXIFS('DETALLE CRONOLÓGICO'!$K$2:$K$4919,'DETALLE CRONOLÓGICO'!$A$2:$A$4919,$A885)</f>
        <v/>
      </c>
      <c r="M885" s="6">
        <f>INDEX('DETALLE CRONOLÓGICO'!$K$2:$K$4919,MATCH($A885,'DETALLE CRONOLÓGICO'!$A$2:$A$4919,0)+$E885-1)</f>
        <v/>
      </c>
      <c r="N885" s="7">
        <f>IFERROR($M885/INDEX('DETALLE CRONOLÓGICO'!$K$2:$K$4919,MATCH($A885,'DETALLE CRONOLÓGICO'!$A$2:$A$4919,0))-1,"")</f>
        <v/>
      </c>
      <c r="O885" s="6">
        <f>IFERROR($I885*3,"")</f>
        <v/>
      </c>
      <c r="P885" s="6">
        <f>IFERROR($I885*3.5,"")</f>
        <v/>
      </c>
      <c r="Q885" s="6">
        <f>IFERROR($I885*4,"")</f>
        <v/>
      </c>
      <c r="R885" s="6" t="n">
        <v>1899</v>
      </c>
      <c r="S885" s="4" t="n">
        <v>1</v>
      </c>
      <c r="T885" s="1" t="inlineStr">
        <is>
          <t>active</t>
        </is>
      </c>
      <c r="U885" s="8" t="n"/>
      <c r="V885" s="1" t="inlineStr">
        <is>
          <t>SIN PRECIO</t>
        </is>
      </c>
    </row>
    <row r="886">
      <c r="A886" s="1" t="inlineStr">
        <is>
          <t>48321437841036</t>
        </is>
      </c>
      <c r="B886" s="1" t="inlineStr">
        <is>
          <t>PERFUME SAUVAGE</t>
        </is>
      </c>
      <c r="C886" s="1" t="inlineStr">
        <is>
          <t>100ml</t>
        </is>
      </c>
      <c r="D886" s="1" t="inlineStr">
        <is>
          <t>ZOEY</t>
        </is>
      </c>
      <c r="E886" s="4">
        <f>COUNTIF('DETALLE CRONOLÓGICO'!$A$2:$A$4919,$A886)</f>
        <v/>
      </c>
      <c r="F886" s="4">
        <f>SUMIFS('DETALLE CRONOLÓGICO'!$I$2:$I$4919,'DETALLE CRONOLÓGICO'!$A$2:$A$4919,$A886)</f>
        <v/>
      </c>
      <c r="G886" s="1">
        <f>INDEX('DETALLE CRONOLÓGICO'!$D$2:$D$4919,MATCH($A886,'DETALLE CRONOLÓGICO'!$A$2:$A$4919,0))</f>
        <v/>
      </c>
      <c r="H886" s="1">
        <f>INDEX('DETALLE CRONOLÓGICO'!$D$2:$D$4919,MATCH($A886,'DETALLE CRONOLÓGICO'!$A$2:$A$4919,0)+$E886-1)</f>
        <v/>
      </c>
      <c r="I886" s="5">
        <f>IFERROR(SUMIFS('DETALLE CRONOLÓGICO'!$L$2:$L$4919,'DETALLE CRONOLÓGICO'!$A$2:$A$4919,$A886)/$F886,"")</f>
        <v/>
      </c>
      <c r="J886" s="6">
        <f>IFERROR(SUMIFS('DETALLE CRONOLÓGICO'!$K$2:$K$4919,'DETALLE CRONOLÓGICO'!$A$2:$A$4919,$A886)/$E886,"")</f>
        <v/>
      </c>
      <c r="K886" s="6">
        <f>_xlfn.MINIFS('DETALLE CRONOLÓGICO'!$K$2:$K$4919,'DETALLE CRONOLÓGICO'!$A$2:$A$4919,$A886)</f>
        <v/>
      </c>
      <c r="L886" s="6">
        <f>_xlfn.MAXIFS('DETALLE CRONOLÓGICO'!$K$2:$K$4919,'DETALLE CRONOLÓGICO'!$A$2:$A$4919,$A886)</f>
        <v/>
      </c>
      <c r="M886" s="6">
        <f>INDEX('DETALLE CRONOLÓGICO'!$K$2:$K$4919,MATCH($A886,'DETALLE CRONOLÓGICO'!$A$2:$A$4919,0)+$E886-1)</f>
        <v/>
      </c>
      <c r="N886" s="7">
        <f>IFERROR($M886/INDEX('DETALLE CRONOLÓGICO'!$K$2:$K$4919,MATCH($A886,'DETALLE CRONOLÓGICO'!$A$2:$A$4919,0))-1,"")</f>
        <v/>
      </c>
      <c r="O886" s="6">
        <f>IFERROR($I886*3,"")</f>
        <v/>
      </c>
      <c r="P886" s="6">
        <f>IFERROR($I886*3.5,"")</f>
        <v/>
      </c>
      <c r="Q886" s="6">
        <f>IFERROR($I886*4,"")</f>
        <v/>
      </c>
      <c r="R886" s="6" t="n">
        <v>1910</v>
      </c>
      <c r="S886" s="4" t="n">
        <v>0</v>
      </c>
      <c r="T886" s="1" t="inlineStr">
        <is>
          <t>active</t>
        </is>
      </c>
      <c r="U886" s="8" t="n"/>
      <c r="V886" s="1" t="inlineStr">
        <is>
          <t>SIN PRECIO</t>
        </is>
      </c>
    </row>
    <row r="887">
      <c r="A887" s="1" t="inlineStr">
        <is>
          <t>48321439631756</t>
        </is>
      </c>
      <c r="B887" s="1" t="inlineStr">
        <is>
          <t>PERFUME TF LOST CHERRY</t>
        </is>
      </c>
      <c r="C887" s="1" t="inlineStr">
        <is>
          <t>Default Title</t>
        </is>
      </c>
      <c r="D887" s="1" t="inlineStr">
        <is>
          <t>ZOEY</t>
        </is>
      </c>
      <c r="E887" s="4">
        <f>COUNTIF('DETALLE CRONOLÓGICO'!$A$2:$A$4919,$A887)</f>
        <v/>
      </c>
      <c r="F887" s="4">
        <f>SUMIFS('DETALLE CRONOLÓGICO'!$I$2:$I$4919,'DETALLE CRONOLÓGICO'!$A$2:$A$4919,$A887)</f>
        <v/>
      </c>
      <c r="G887" s="1">
        <f>INDEX('DETALLE CRONOLÓGICO'!$D$2:$D$4919,MATCH($A887,'DETALLE CRONOLÓGICO'!$A$2:$A$4919,0))</f>
        <v/>
      </c>
      <c r="H887" s="1">
        <f>INDEX('DETALLE CRONOLÓGICO'!$D$2:$D$4919,MATCH($A887,'DETALLE CRONOLÓGICO'!$A$2:$A$4919,0)+$E887-1)</f>
        <v/>
      </c>
      <c r="I887" s="5">
        <f>IFERROR(SUMIFS('DETALLE CRONOLÓGICO'!$L$2:$L$4919,'DETALLE CRONOLÓGICO'!$A$2:$A$4919,$A887)/$F887,"")</f>
        <v/>
      </c>
      <c r="J887" s="6">
        <f>IFERROR(SUMIFS('DETALLE CRONOLÓGICO'!$K$2:$K$4919,'DETALLE CRONOLÓGICO'!$A$2:$A$4919,$A887)/$E887,"")</f>
        <v/>
      </c>
      <c r="K887" s="6">
        <f>_xlfn.MINIFS('DETALLE CRONOLÓGICO'!$K$2:$K$4919,'DETALLE CRONOLÓGICO'!$A$2:$A$4919,$A887)</f>
        <v/>
      </c>
      <c r="L887" s="6">
        <f>_xlfn.MAXIFS('DETALLE CRONOLÓGICO'!$K$2:$K$4919,'DETALLE CRONOLÓGICO'!$A$2:$A$4919,$A887)</f>
        <v/>
      </c>
      <c r="M887" s="6">
        <f>INDEX('DETALLE CRONOLÓGICO'!$K$2:$K$4919,MATCH($A887,'DETALLE CRONOLÓGICO'!$A$2:$A$4919,0)+$E887-1)</f>
        <v/>
      </c>
      <c r="N887" s="7">
        <f>IFERROR($M887/INDEX('DETALLE CRONOLÓGICO'!$K$2:$K$4919,MATCH($A887,'DETALLE CRONOLÓGICO'!$A$2:$A$4919,0))-1,"")</f>
        <v/>
      </c>
      <c r="O887" s="6">
        <f>IFERROR($I887*3,"")</f>
        <v/>
      </c>
      <c r="P887" s="6">
        <f>IFERROR($I887*3.5,"")</f>
        <v/>
      </c>
      <c r="Q887" s="6">
        <f>IFERROR($I887*4,"")</f>
        <v/>
      </c>
      <c r="R887" s="6" t="n">
        <v>1910</v>
      </c>
      <c r="S887" s="4" t="n">
        <v>1</v>
      </c>
      <c r="T887" s="1" t="inlineStr">
        <is>
          <t>active</t>
        </is>
      </c>
      <c r="U887" s="8" t="n"/>
      <c r="V887" s="1" t="inlineStr">
        <is>
          <t>SIN PRECIO</t>
        </is>
      </c>
    </row>
    <row r="888">
      <c r="A888" s="1" t="inlineStr">
        <is>
          <t>48915671011501</t>
        </is>
      </c>
      <c r="B888" s="1" t="inlineStr">
        <is>
          <t>CAMISETA CD OBLIQUE BLACK</t>
        </is>
      </c>
      <c r="C888" s="1" t="inlineStr">
        <is>
          <t>L OVERSIZE</t>
        </is>
      </c>
      <c r="D888" s="1" t="inlineStr">
        <is>
          <t>ZOEY</t>
        </is>
      </c>
      <c r="E888" s="4">
        <f>COUNTIF('DETALLE CRONOLÓGICO'!$A$2:$A$4919,$A888)</f>
        <v/>
      </c>
      <c r="F888" s="4">
        <f>SUMIFS('DETALLE CRONOLÓGICO'!$I$2:$I$4919,'DETALLE CRONOLÓGICO'!$A$2:$A$4919,$A888)</f>
        <v/>
      </c>
      <c r="G888" s="1">
        <f>INDEX('DETALLE CRONOLÓGICO'!$D$2:$D$4919,MATCH($A888,'DETALLE CRONOLÓGICO'!$A$2:$A$4919,0))</f>
        <v/>
      </c>
      <c r="H888" s="1">
        <f>INDEX('DETALLE CRONOLÓGICO'!$D$2:$D$4919,MATCH($A888,'DETALLE CRONOLÓGICO'!$A$2:$A$4919,0)+$E888-1)</f>
        <v/>
      </c>
      <c r="I888" s="5">
        <f>IFERROR(SUMIFS('DETALLE CRONOLÓGICO'!$L$2:$L$4919,'DETALLE CRONOLÓGICO'!$A$2:$A$4919,$A888)/$F888,"")</f>
        <v/>
      </c>
      <c r="J888" s="6">
        <f>IFERROR(SUMIFS('DETALLE CRONOLÓGICO'!$K$2:$K$4919,'DETALLE CRONOLÓGICO'!$A$2:$A$4919,$A888)/$E888,"")</f>
        <v/>
      </c>
      <c r="K888" s="6">
        <f>_xlfn.MINIFS('DETALLE CRONOLÓGICO'!$K$2:$K$4919,'DETALLE CRONOLÓGICO'!$A$2:$A$4919,$A888)</f>
        <v/>
      </c>
      <c r="L888" s="6">
        <f>_xlfn.MAXIFS('DETALLE CRONOLÓGICO'!$K$2:$K$4919,'DETALLE CRONOLÓGICO'!$A$2:$A$4919,$A888)</f>
        <v/>
      </c>
      <c r="M888" s="6">
        <f>INDEX('DETALLE CRONOLÓGICO'!$K$2:$K$4919,MATCH($A888,'DETALLE CRONOLÓGICO'!$A$2:$A$4919,0)+$E888-1)</f>
        <v/>
      </c>
      <c r="N888" s="7">
        <f>IFERROR($M888/INDEX('DETALLE CRONOLÓGICO'!$K$2:$K$4919,MATCH($A888,'DETALLE CRONOLÓGICO'!$A$2:$A$4919,0))-1,"")</f>
        <v/>
      </c>
      <c r="O888" s="6">
        <f>IFERROR($I888*3,"")</f>
        <v/>
      </c>
      <c r="P888" s="6">
        <f>IFERROR($I888*3.5,"")</f>
        <v/>
      </c>
      <c r="Q888" s="6">
        <f>IFERROR($I888*4,"")</f>
        <v/>
      </c>
      <c r="R888" s="6" t="n">
        <v>1799</v>
      </c>
      <c r="S888" s="4" t="n">
        <v>1</v>
      </c>
      <c r="T888" s="1" t="inlineStr">
        <is>
          <t>active</t>
        </is>
      </c>
      <c r="U888" s="8" t="n"/>
      <c r="V888" s="1" t="inlineStr">
        <is>
          <t>SIN PRECIO</t>
        </is>
      </c>
    </row>
    <row r="889">
      <c r="A889" s="1" t="inlineStr">
        <is>
          <t>48915671144269</t>
        </is>
      </c>
      <c r="B889" s="1" t="inlineStr">
        <is>
          <t>CAMISETA CD OBLIQUE BLACK</t>
        </is>
      </c>
      <c r="C889" s="1" t="inlineStr">
        <is>
          <t>M OVERSIZE</t>
        </is>
      </c>
      <c r="D889" s="1" t="inlineStr">
        <is>
          <t>ZOEY</t>
        </is>
      </c>
      <c r="E889" s="4">
        <f>COUNTIF('DETALLE CRONOLÓGICO'!$A$2:$A$4919,$A889)</f>
        <v/>
      </c>
      <c r="F889" s="4">
        <f>SUMIFS('DETALLE CRONOLÓGICO'!$I$2:$I$4919,'DETALLE CRONOLÓGICO'!$A$2:$A$4919,$A889)</f>
        <v/>
      </c>
      <c r="G889" s="1">
        <f>INDEX('DETALLE CRONOLÓGICO'!$D$2:$D$4919,MATCH($A889,'DETALLE CRONOLÓGICO'!$A$2:$A$4919,0))</f>
        <v/>
      </c>
      <c r="H889" s="1">
        <f>INDEX('DETALLE CRONOLÓGICO'!$D$2:$D$4919,MATCH($A889,'DETALLE CRONOLÓGICO'!$A$2:$A$4919,0)+$E889-1)</f>
        <v/>
      </c>
      <c r="I889" s="5">
        <f>IFERROR(SUMIFS('DETALLE CRONOLÓGICO'!$L$2:$L$4919,'DETALLE CRONOLÓGICO'!$A$2:$A$4919,$A889)/$F889,"")</f>
        <v/>
      </c>
      <c r="J889" s="6">
        <f>IFERROR(SUMIFS('DETALLE CRONOLÓGICO'!$K$2:$K$4919,'DETALLE CRONOLÓGICO'!$A$2:$A$4919,$A889)/$E889,"")</f>
        <v/>
      </c>
      <c r="K889" s="6">
        <f>_xlfn.MINIFS('DETALLE CRONOLÓGICO'!$K$2:$K$4919,'DETALLE CRONOLÓGICO'!$A$2:$A$4919,$A889)</f>
        <v/>
      </c>
      <c r="L889" s="6">
        <f>_xlfn.MAXIFS('DETALLE CRONOLÓGICO'!$K$2:$K$4919,'DETALLE CRONOLÓGICO'!$A$2:$A$4919,$A889)</f>
        <v/>
      </c>
      <c r="M889" s="6">
        <f>INDEX('DETALLE CRONOLÓGICO'!$K$2:$K$4919,MATCH($A889,'DETALLE CRONOLÓGICO'!$A$2:$A$4919,0)+$E889-1)</f>
        <v/>
      </c>
      <c r="N889" s="7">
        <f>IFERROR($M889/INDEX('DETALLE CRONOLÓGICO'!$K$2:$K$4919,MATCH($A889,'DETALLE CRONOLÓGICO'!$A$2:$A$4919,0))-1,"")</f>
        <v/>
      </c>
      <c r="O889" s="6">
        <f>IFERROR($I889*3,"")</f>
        <v/>
      </c>
      <c r="P889" s="6">
        <f>IFERROR($I889*3.5,"")</f>
        <v/>
      </c>
      <c r="Q889" s="6">
        <f>IFERROR($I889*4,"")</f>
        <v/>
      </c>
      <c r="R889" s="6" t="n">
        <v>1799</v>
      </c>
      <c r="S889" s="4" t="n">
        <v>2</v>
      </c>
      <c r="T889" s="1" t="inlineStr">
        <is>
          <t>active</t>
        </is>
      </c>
      <c r="U889" s="8" t="n"/>
      <c r="V889" s="1" t="inlineStr">
        <is>
          <t>SIN PRECIO</t>
        </is>
      </c>
    </row>
    <row r="890">
      <c r="A890" s="1" t="inlineStr">
        <is>
          <t>49680571041677</t>
        </is>
      </c>
      <c r="B890" s="1" t="inlineStr">
        <is>
          <t>ARETES BV ROUND SILVER CON ZIRCONIA</t>
        </is>
      </c>
      <c r="C890" s="1" t="inlineStr">
        <is>
          <t>Default Title</t>
        </is>
      </c>
      <c r="D890" s="1" t="inlineStr">
        <is>
          <t>HAIFENG</t>
        </is>
      </c>
      <c r="E890" s="4">
        <f>COUNTIF('DETALLE CRONOLÓGICO'!$A$2:$A$4919,$A890)</f>
        <v/>
      </c>
      <c r="F890" s="4">
        <f>SUMIFS('DETALLE CRONOLÓGICO'!$I$2:$I$4919,'DETALLE CRONOLÓGICO'!$A$2:$A$4919,$A890)</f>
        <v/>
      </c>
      <c r="G890" s="1">
        <f>INDEX('DETALLE CRONOLÓGICO'!$D$2:$D$4919,MATCH($A890,'DETALLE CRONOLÓGICO'!$A$2:$A$4919,0))</f>
        <v/>
      </c>
      <c r="H890" s="1">
        <f>INDEX('DETALLE CRONOLÓGICO'!$D$2:$D$4919,MATCH($A890,'DETALLE CRONOLÓGICO'!$A$2:$A$4919,0)+$E890-1)</f>
        <v/>
      </c>
      <c r="I890" s="5">
        <f>IFERROR(SUMIFS('DETALLE CRONOLÓGICO'!$L$2:$L$4919,'DETALLE CRONOLÓGICO'!$A$2:$A$4919,$A890)/$F890,"")</f>
        <v/>
      </c>
      <c r="J890" s="6">
        <f>IFERROR(SUMIFS('DETALLE CRONOLÓGICO'!$K$2:$K$4919,'DETALLE CRONOLÓGICO'!$A$2:$A$4919,$A890)/$E890,"")</f>
        <v/>
      </c>
      <c r="K890" s="6">
        <f>_xlfn.MINIFS('DETALLE CRONOLÓGICO'!$K$2:$K$4919,'DETALLE CRONOLÓGICO'!$A$2:$A$4919,$A890)</f>
        <v/>
      </c>
      <c r="L890" s="6">
        <f>_xlfn.MAXIFS('DETALLE CRONOLÓGICO'!$K$2:$K$4919,'DETALLE CRONOLÓGICO'!$A$2:$A$4919,$A890)</f>
        <v/>
      </c>
      <c r="M890" s="6">
        <f>INDEX('DETALLE CRONOLÓGICO'!$K$2:$K$4919,MATCH($A890,'DETALLE CRONOLÓGICO'!$A$2:$A$4919,0)+$E890-1)</f>
        <v/>
      </c>
      <c r="N890" s="7">
        <f>IFERROR($M890/INDEX('DETALLE CRONOLÓGICO'!$K$2:$K$4919,MATCH($A890,'DETALLE CRONOLÓGICO'!$A$2:$A$4919,0))-1,"")</f>
        <v/>
      </c>
      <c r="O890" s="6">
        <f>IFERROR($I890*3,"")</f>
        <v/>
      </c>
      <c r="P890" s="6">
        <f>IFERROR($I890*3.5,"")</f>
        <v/>
      </c>
      <c r="Q890" s="6">
        <f>IFERROR($I890*4,"")</f>
        <v/>
      </c>
      <c r="R890" s="6" t="n">
        <v>576.8</v>
      </c>
      <c r="S890" s="4" t="n">
        <v>2</v>
      </c>
      <c r="T890" s="1" t="inlineStr">
        <is>
          <t>active</t>
        </is>
      </c>
      <c r="U890" s="8" t="n"/>
      <c r="V890" s="1" t="inlineStr">
        <is>
          <t>SIN PRECIO</t>
        </is>
      </c>
    </row>
    <row r="891">
      <c r="A891" s="1" t="inlineStr">
        <is>
          <t>49975331055277</t>
        </is>
      </c>
      <c r="B891" s="1" t="inlineStr">
        <is>
          <t>ANILLO CLAVO SPIRAL GOLD CON ZIRCONIA</t>
        </is>
      </c>
      <c r="C891" s="1" t="inlineStr">
        <is>
          <t>8</t>
        </is>
      </c>
      <c r="D891" s="1" t="inlineStr">
        <is>
          <t>HAIFENG</t>
        </is>
      </c>
      <c r="E891" s="4">
        <f>COUNTIF('DETALLE CRONOLÓGICO'!$A$2:$A$4919,$A891)</f>
        <v/>
      </c>
      <c r="F891" s="4">
        <f>SUMIFS('DETALLE CRONOLÓGICO'!$I$2:$I$4919,'DETALLE CRONOLÓGICO'!$A$2:$A$4919,$A891)</f>
        <v/>
      </c>
      <c r="G891" s="1">
        <f>INDEX('DETALLE CRONOLÓGICO'!$D$2:$D$4919,MATCH($A891,'DETALLE CRONOLÓGICO'!$A$2:$A$4919,0))</f>
        <v/>
      </c>
      <c r="H891" s="1">
        <f>INDEX('DETALLE CRONOLÓGICO'!$D$2:$D$4919,MATCH($A891,'DETALLE CRONOLÓGICO'!$A$2:$A$4919,0)+$E891-1)</f>
        <v/>
      </c>
      <c r="I891" s="5">
        <f>IFERROR(SUMIFS('DETALLE CRONOLÓGICO'!$L$2:$L$4919,'DETALLE CRONOLÓGICO'!$A$2:$A$4919,$A891)/$F891,"")</f>
        <v/>
      </c>
      <c r="J891" s="6">
        <f>IFERROR(SUMIFS('DETALLE CRONOLÓGICO'!$K$2:$K$4919,'DETALLE CRONOLÓGICO'!$A$2:$A$4919,$A891)/$E891,"")</f>
        <v/>
      </c>
      <c r="K891" s="6">
        <f>_xlfn.MINIFS('DETALLE CRONOLÓGICO'!$K$2:$K$4919,'DETALLE CRONOLÓGICO'!$A$2:$A$4919,$A891)</f>
        <v/>
      </c>
      <c r="L891" s="6">
        <f>_xlfn.MAXIFS('DETALLE CRONOLÓGICO'!$K$2:$K$4919,'DETALLE CRONOLÓGICO'!$A$2:$A$4919,$A891)</f>
        <v/>
      </c>
      <c r="M891" s="6">
        <f>INDEX('DETALLE CRONOLÓGICO'!$K$2:$K$4919,MATCH($A891,'DETALLE CRONOLÓGICO'!$A$2:$A$4919,0)+$E891-1)</f>
        <v/>
      </c>
      <c r="N891" s="7">
        <f>IFERROR($M891/INDEX('DETALLE CRONOLÓGICO'!$K$2:$K$4919,MATCH($A891,'DETALLE CRONOLÓGICO'!$A$2:$A$4919,0))-1,"")</f>
        <v/>
      </c>
      <c r="O891" s="6">
        <f>IFERROR($I891*3,"")</f>
        <v/>
      </c>
      <c r="P891" s="6">
        <f>IFERROR($I891*3.5,"")</f>
        <v/>
      </c>
      <c r="Q891" s="6">
        <f>IFERROR($I891*4,"")</f>
        <v/>
      </c>
      <c r="R891" s="6" t="n">
        <v>650</v>
      </c>
      <c r="S891" s="4" t="n">
        <v>2</v>
      </c>
      <c r="T891" s="1" t="inlineStr">
        <is>
          <t>active</t>
        </is>
      </c>
      <c r="U891" s="8" t="n"/>
      <c r="V891" s="1" t="inlineStr">
        <is>
          <t>SIN PRECIO</t>
        </is>
      </c>
    </row>
    <row r="892">
      <c r="A892" s="1" t="inlineStr">
        <is>
          <t>50016841020461</t>
        </is>
      </c>
      <c r="B892" s="1" t="inlineStr">
        <is>
          <t>COLLAR MSS MOVE UNO SILVER</t>
        </is>
      </c>
      <c r="C892" s="1" t="inlineStr">
        <is>
          <t>Default Title</t>
        </is>
      </c>
      <c r="D892" s="1" t="inlineStr">
        <is>
          <t>HAIFENG</t>
        </is>
      </c>
      <c r="E892" s="4">
        <f>COUNTIF('DETALLE CRONOLÓGICO'!$A$2:$A$4919,$A892)</f>
        <v/>
      </c>
      <c r="F892" s="4">
        <f>SUMIFS('DETALLE CRONOLÓGICO'!$I$2:$I$4919,'DETALLE CRONOLÓGICO'!$A$2:$A$4919,$A892)</f>
        <v/>
      </c>
      <c r="G892" s="1">
        <f>INDEX('DETALLE CRONOLÓGICO'!$D$2:$D$4919,MATCH($A892,'DETALLE CRONOLÓGICO'!$A$2:$A$4919,0))</f>
        <v/>
      </c>
      <c r="H892" s="1">
        <f>INDEX('DETALLE CRONOLÓGICO'!$D$2:$D$4919,MATCH($A892,'DETALLE CRONOLÓGICO'!$A$2:$A$4919,0)+$E892-1)</f>
        <v/>
      </c>
      <c r="I892" s="5">
        <f>IFERROR(SUMIFS('DETALLE CRONOLÓGICO'!$L$2:$L$4919,'DETALLE CRONOLÓGICO'!$A$2:$A$4919,$A892)/$F892,"")</f>
        <v/>
      </c>
      <c r="J892" s="6">
        <f>IFERROR(SUMIFS('DETALLE CRONOLÓGICO'!$K$2:$K$4919,'DETALLE CRONOLÓGICO'!$A$2:$A$4919,$A892)/$E892,"")</f>
        <v/>
      </c>
      <c r="K892" s="6">
        <f>_xlfn.MINIFS('DETALLE CRONOLÓGICO'!$K$2:$K$4919,'DETALLE CRONOLÓGICO'!$A$2:$A$4919,$A892)</f>
        <v/>
      </c>
      <c r="L892" s="6">
        <f>_xlfn.MAXIFS('DETALLE CRONOLÓGICO'!$K$2:$K$4919,'DETALLE CRONOLÓGICO'!$A$2:$A$4919,$A892)</f>
        <v/>
      </c>
      <c r="M892" s="6">
        <f>INDEX('DETALLE CRONOLÓGICO'!$K$2:$K$4919,MATCH($A892,'DETALLE CRONOLÓGICO'!$A$2:$A$4919,0)+$E892-1)</f>
        <v/>
      </c>
      <c r="N892" s="7">
        <f>IFERROR($M892/INDEX('DETALLE CRONOLÓGICO'!$K$2:$K$4919,MATCH($A892,'DETALLE CRONOLÓGICO'!$A$2:$A$4919,0))-1,"")</f>
        <v/>
      </c>
      <c r="O892" s="6">
        <f>IFERROR($I892*3,"")</f>
        <v/>
      </c>
      <c r="P892" s="6">
        <f>IFERROR($I892*3.5,"")</f>
        <v/>
      </c>
      <c r="Q892" s="6">
        <f>IFERROR($I892*4,"")</f>
        <v/>
      </c>
      <c r="R892" s="6" t="n">
        <v>659.2</v>
      </c>
      <c r="S892" s="4" t="n">
        <v>0</v>
      </c>
      <c r="T892" s="1" t="inlineStr">
        <is>
          <t>active</t>
        </is>
      </c>
      <c r="U892" s="8" t="n"/>
      <c r="V892" s="1" t="inlineStr">
        <is>
          <t>SIN PRECIO</t>
        </is>
      </c>
    </row>
    <row r="893">
      <c r="A893" s="1" t="inlineStr">
        <is>
          <t>50328871088397</t>
        </is>
      </c>
      <c r="B893" s="1" t="inlineStr">
        <is>
          <t>ANILLO PERLEE SILVER</t>
        </is>
      </c>
      <c r="C893" s="1" t="n">
        <v>9</v>
      </c>
      <c r="D893" s="1" t="inlineStr">
        <is>
          <t>NANCY</t>
        </is>
      </c>
      <c r="E893" s="4">
        <f>COUNTIF('DETALLE CRONOLÓGICO'!$A$2:$A$4919,$A893)</f>
        <v/>
      </c>
      <c r="F893" s="4">
        <f>SUMIFS('DETALLE CRONOLÓGICO'!$I$2:$I$4919,'DETALLE CRONOLÓGICO'!$A$2:$A$4919,$A893)</f>
        <v/>
      </c>
      <c r="G893" s="1">
        <f>INDEX('DETALLE CRONOLÓGICO'!$D$2:$D$4919,MATCH($A893,'DETALLE CRONOLÓGICO'!$A$2:$A$4919,0))</f>
        <v/>
      </c>
      <c r="H893" s="1">
        <f>INDEX('DETALLE CRONOLÓGICO'!$D$2:$D$4919,MATCH($A893,'DETALLE CRONOLÓGICO'!$A$2:$A$4919,0)+$E893-1)</f>
        <v/>
      </c>
      <c r="I893" s="5">
        <f>IFERROR(SUMIFS('DETALLE CRONOLÓGICO'!$L$2:$L$4919,'DETALLE CRONOLÓGICO'!$A$2:$A$4919,$A893)/$F893,"")</f>
        <v/>
      </c>
      <c r="J893" s="6">
        <f>IFERROR(SUMIFS('DETALLE CRONOLÓGICO'!$K$2:$K$4919,'DETALLE CRONOLÓGICO'!$A$2:$A$4919,$A893)/$E893,"")</f>
        <v/>
      </c>
      <c r="K893" s="6">
        <f>_xlfn.MINIFS('DETALLE CRONOLÓGICO'!$K$2:$K$4919,'DETALLE CRONOLÓGICO'!$A$2:$A$4919,$A893)</f>
        <v/>
      </c>
      <c r="L893" s="6">
        <f>_xlfn.MAXIFS('DETALLE CRONOLÓGICO'!$K$2:$K$4919,'DETALLE CRONOLÓGICO'!$A$2:$A$4919,$A893)</f>
        <v/>
      </c>
      <c r="M893" s="6">
        <f>INDEX('DETALLE CRONOLÓGICO'!$K$2:$K$4919,MATCH($A893,'DETALLE CRONOLÓGICO'!$A$2:$A$4919,0)+$E893-1)</f>
        <v/>
      </c>
      <c r="N893" s="7">
        <f>IFERROR($M893/INDEX('DETALLE CRONOLÓGICO'!$K$2:$K$4919,MATCH($A893,'DETALLE CRONOLÓGICO'!$A$2:$A$4919,0))-1,"")</f>
        <v/>
      </c>
      <c r="O893" s="6">
        <f>IFERROR($I893*3,"")</f>
        <v/>
      </c>
      <c r="P893" s="6">
        <f>IFERROR($I893*3.5,"")</f>
        <v/>
      </c>
      <c r="Q893" s="6">
        <f>IFERROR($I893*4,"")</f>
        <v/>
      </c>
      <c r="R893" s="6" t="n">
        <v>499</v>
      </c>
      <c r="S893" s="4" t="n">
        <v>0</v>
      </c>
      <c r="T893" s="1" t="inlineStr">
        <is>
          <t>active</t>
        </is>
      </c>
      <c r="U893" s="8" t="n"/>
      <c r="V893" s="1" t="inlineStr">
        <is>
          <t>SIN PRECIO</t>
        </is>
      </c>
    </row>
    <row r="894">
      <c r="A894" s="1" t="inlineStr">
        <is>
          <t>50498801106509</t>
        </is>
      </c>
      <c r="B894" s="1" t="inlineStr">
        <is>
          <t>ANILLO TRÉBOL CON ZIRCONIA SILVER VF</t>
        </is>
      </c>
      <c r="C894" s="1" t="inlineStr">
        <is>
          <t>7</t>
        </is>
      </c>
      <c r="D894" s="1" t="inlineStr">
        <is>
          <t>HAIFENG</t>
        </is>
      </c>
      <c r="E894" s="4">
        <f>COUNTIF('DETALLE CRONOLÓGICO'!$A$2:$A$4919,$A894)</f>
        <v/>
      </c>
      <c r="F894" s="4">
        <f>SUMIFS('DETALLE CRONOLÓGICO'!$I$2:$I$4919,'DETALLE CRONOLÓGICO'!$A$2:$A$4919,$A894)</f>
        <v/>
      </c>
      <c r="G894" s="1">
        <f>INDEX('DETALLE CRONOLÓGICO'!$D$2:$D$4919,MATCH($A894,'DETALLE CRONOLÓGICO'!$A$2:$A$4919,0))</f>
        <v/>
      </c>
      <c r="H894" s="1">
        <f>INDEX('DETALLE CRONOLÓGICO'!$D$2:$D$4919,MATCH($A894,'DETALLE CRONOLÓGICO'!$A$2:$A$4919,0)+$E894-1)</f>
        <v/>
      </c>
      <c r="I894" s="5">
        <f>IFERROR(SUMIFS('DETALLE CRONOLÓGICO'!$L$2:$L$4919,'DETALLE CRONOLÓGICO'!$A$2:$A$4919,$A894)/$F894,"")</f>
        <v/>
      </c>
      <c r="J894" s="6">
        <f>IFERROR(SUMIFS('DETALLE CRONOLÓGICO'!$K$2:$K$4919,'DETALLE CRONOLÓGICO'!$A$2:$A$4919,$A894)/$E894,"")</f>
        <v/>
      </c>
      <c r="K894" s="6">
        <f>_xlfn.MINIFS('DETALLE CRONOLÓGICO'!$K$2:$K$4919,'DETALLE CRONOLÓGICO'!$A$2:$A$4919,$A894)</f>
        <v/>
      </c>
      <c r="L894" s="6">
        <f>_xlfn.MAXIFS('DETALLE CRONOLÓGICO'!$K$2:$K$4919,'DETALLE CRONOLÓGICO'!$A$2:$A$4919,$A894)</f>
        <v/>
      </c>
      <c r="M894" s="6">
        <f>INDEX('DETALLE CRONOLÓGICO'!$K$2:$K$4919,MATCH($A894,'DETALLE CRONOLÓGICO'!$A$2:$A$4919,0)+$E894-1)</f>
        <v/>
      </c>
      <c r="N894" s="7">
        <f>IFERROR($M894/INDEX('DETALLE CRONOLÓGICO'!$K$2:$K$4919,MATCH($A894,'DETALLE CRONOLÓGICO'!$A$2:$A$4919,0))-1,"")</f>
        <v/>
      </c>
      <c r="O894" s="6">
        <f>IFERROR($I894*3,"")</f>
        <v/>
      </c>
      <c r="P894" s="6">
        <f>IFERROR($I894*3.5,"")</f>
        <v/>
      </c>
      <c r="Q894" s="6">
        <f>IFERROR($I894*4,"")</f>
        <v/>
      </c>
      <c r="R894" s="6" t="n">
        <v>510</v>
      </c>
      <c r="S894" s="4" t="n">
        <v>2</v>
      </c>
      <c r="T894" s="1" t="inlineStr">
        <is>
          <t>active</t>
        </is>
      </c>
      <c r="U894" s="8" t="n"/>
      <c r="V894" s="1" t="inlineStr">
        <is>
          <t>SIN PRECIO</t>
        </is>
      </c>
    </row>
    <row r="895">
      <c r="A895" s="1" t="inlineStr">
        <is>
          <t>50869451078413</t>
        </is>
      </c>
      <c r="B895" s="1" t="inlineStr">
        <is>
          <t>COLLAR MSS ROSEGOLD CON ZIRCONIA</t>
        </is>
      </c>
      <c r="C895" s="1" t="inlineStr">
        <is>
          <t>Default Title</t>
        </is>
      </c>
      <c r="D895" s="1" t="inlineStr">
        <is>
          <t>HAIFENG</t>
        </is>
      </c>
      <c r="E895" s="4">
        <f>COUNTIF('DETALLE CRONOLÓGICO'!$A$2:$A$4919,$A895)</f>
        <v/>
      </c>
      <c r="F895" s="4">
        <f>SUMIFS('DETALLE CRONOLÓGICO'!$I$2:$I$4919,'DETALLE CRONOLÓGICO'!$A$2:$A$4919,$A895)</f>
        <v/>
      </c>
      <c r="G895" s="1">
        <f>INDEX('DETALLE CRONOLÓGICO'!$D$2:$D$4919,MATCH($A895,'DETALLE CRONOLÓGICO'!$A$2:$A$4919,0))</f>
        <v/>
      </c>
      <c r="H895" s="1">
        <f>INDEX('DETALLE CRONOLÓGICO'!$D$2:$D$4919,MATCH($A895,'DETALLE CRONOLÓGICO'!$A$2:$A$4919,0)+$E895-1)</f>
        <v/>
      </c>
      <c r="I895" s="5">
        <f>IFERROR(SUMIFS('DETALLE CRONOLÓGICO'!$L$2:$L$4919,'DETALLE CRONOLÓGICO'!$A$2:$A$4919,$A895)/$F895,"")</f>
        <v/>
      </c>
      <c r="J895" s="6">
        <f>IFERROR(SUMIFS('DETALLE CRONOLÓGICO'!$K$2:$K$4919,'DETALLE CRONOLÓGICO'!$A$2:$A$4919,$A895)/$E895,"")</f>
        <v/>
      </c>
      <c r="K895" s="6">
        <f>_xlfn.MINIFS('DETALLE CRONOLÓGICO'!$K$2:$K$4919,'DETALLE CRONOLÓGICO'!$A$2:$A$4919,$A895)</f>
        <v/>
      </c>
      <c r="L895" s="6">
        <f>_xlfn.MAXIFS('DETALLE CRONOLÓGICO'!$K$2:$K$4919,'DETALLE CRONOLÓGICO'!$A$2:$A$4919,$A895)</f>
        <v/>
      </c>
      <c r="M895" s="6">
        <f>INDEX('DETALLE CRONOLÓGICO'!$K$2:$K$4919,MATCH($A895,'DETALLE CRONOLÓGICO'!$A$2:$A$4919,0)+$E895-1)</f>
        <v/>
      </c>
      <c r="N895" s="7">
        <f>IFERROR($M895/INDEX('DETALLE CRONOLÓGICO'!$K$2:$K$4919,MATCH($A895,'DETALLE CRONOLÓGICO'!$A$2:$A$4919,0))-1,"")</f>
        <v/>
      </c>
      <c r="O895" s="6">
        <f>IFERROR($I895*3,"")</f>
        <v/>
      </c>
      <c r="P895" s="6">
        <f>IFERROR($I895*3.5,"")</f>
        <v/>
      </c>
      <c r="Q895" s="6">
        <f>IFERROR($I895*4,"")</f>
        <v/>
      </c>
      <c r="R895" s="6" t="n">
        <v>660</v>
      </c>
      <c r="S895" s="4" t="n">
        <v>5</v>
      </c>
      <c r="T895" s="1" t="inlineStr">
        <is>
          <t>active</t>
        </is>
      </c>
      <c r="U895" s="8" t="n"/>
      <c r="V895" s="1" t="inlineStr">
        <is>
          <t>SIN PRECIO</t>
        </is>
      </c>
    </row>
    <row r="896">
      <c r="A896" s="1" t="inlineStr">
        <is>
          <t>51078752492301</t>
        </is>
      </c>
      <c r="B896" s="1" t="inlineStr">
        <is>
          <t>ARETES C GOLD</t>
        </is>
      </c>
      <c r="C896" s="1" t="inlineStr">
        <is>
          <t>Default Title</t>
        </is>
      </c>
      <c r="D896" s="1" t="inlineStr">
        <is>
          <t>HAIFENG</t>
        </is>
      </c>
      <c r="E896" s="4">
        <f>COUNTIF('DETALLE CRONOLÓGICO'!$A$2:$A$4919,$A896)</f>
        <v/>
      </c>
      <c r="F896" s="4">
        <f>SUMIFS('DETALLE CRONOLÓGICO'!$I$2:$I$4919,'DETALLE CRONOLÓGICO'!$A$2:$A$4919,$A896)</f>
        <v/>
      </c>
      <c r="G896" s="1">
        <f>INDEX('DETALLE CRONOLÓGICO'!$D$2:$D$4919,MATCH($A896,'DETALLE CRONOLÓGICO'!$A$2:$A$4919,0))</f>
        <v/>
      </c>
      <c r="H896" s="1">
        <f>INDEX('DETALLE CRONOLÓGICO'!$D$2:$D$4919,MATCH($A896,'DETALLE CRONOLÓGICO'!$A$2:$A$4919,0)+$E896-1)</f>
        <v/>
      </c>
      <c r="I896" s="5">
        <f>IFERROR(SUMIFS('DETALLE CRONOLÓGICO'!$L$2:$L$4919,'DETALLE CRONOLÓGICO'!$A$2:$A$4919,$A896)/$F896,"")</f>
        <v/>
      </c>
      <c r="J896" s="6">
        <f>IFERROR(SUMIFS('DETALLE CRONOLÓGICO'!$K$2:$K$4919,'DETALLE CRONOLÓGICO'!$A$2:$A$4919,$A896)/$E896,"")</f>
        <v/>
      </c>
      <c r="K896" s="6">
        <f>_xlfn.MINIFS('DETALLE CRONOLÓGICO'!$K$2:$K$4919,'DETALLE CRONOLÓGICO'!$A$2:$A$4919,$A896)</f>
        <v/>
      </c>
      <c r="L896" s="6">
        <f>_xlfn.MAXIFS('DETALLE CRONOLÓGICO'!$K$2:$K$4919,'DETALLE CRONOLÓGICO'!$A$2:$A$4919,$A896)</f>
        <v/>
      </c>
      <c r="M896" s="6">
        <f>INDEX('DETALLE CRONOLÓGICO'!$K$2:$K$4919,MATCH($A896,'DETALLE CRONOLÓGICO'!$A$2:$A$4919,0)+$E896-1)</f>
        <v/>
      </c>
      <c r="N896" s="7">
        <f>IFERROR($M896/INDEX('DETALLE CRONOLÓGICO'!$K$2:$K$4919,MATCH($A896,'DETALLE CRONOLÓGICO'!$A$2:$A$4919,0))-1,"")</f>
        <v/>
      </c>
      <c r="O896" s="6">
        <f>IFERROR($I896*3,"")</f>
        <v/>
      </c>
      <c r="P896" s="6">
        <f>IFERROR($I896*3.5,"")</f>
        <v/>
      </c>
      <c r="Q896" s="6">
        <f>IFERROR($I896*4,"")</f>
        <v/>
      </c>
      <c r="R896" s="6" t="n">
        <v>575</v>
      </c>
      <c r="S896" s="4" t="n">
        <v>0</v>
      </c>
      <c r="T896" s="1" t="inlineStr">
        <is>
          <t>active</t>
        </is>
      </c>
      <c r="U896" s="8" t="n"/>
      <c r="V896" s="1" t="inlineStr">
        <is>
          <t>SIN PRECIO</t>
        </is>
      </c>
    </row>
    <row r="897">
      <c r="A897" s="1" t="inlineStr">
        <is>
          <t>52064791097837</t>
        </is>
      </c>
      <c r="B897" s="1" t="inlineStr">
        <is>
          <t>ARETES BV GOLD-WHITE</t>
        </is>
      </c>
      <c r="C897" s="1" t="inlineStr">
        <is>
          <t>Default Title</t>
        </is>
      </c>
      <c r="D897" s="1" t="inlineStr">
        <is>
          <t>NANCY</t>
        </is>
      </c>
      <c r="E897" s="4">
        <f>COUNTIF('DETALLE CRONOLÓGICO'!$A$2:$A$4919,$A897)</f>
        <v/>
      </c>
      <c r="F897" s="4">
        <f>SUMIFS('DETALLE CRONOLÓGICO'!$I$2:$I$4919,'DETALLE CRONOLÓGICO'!$A$2:$A$4919,$A897)</f>
        <v/>
      </c>
      <c r="G897" s="1">
        <f>INDEX('DETALLE CRONOLÓGICO'!$D$2:$D$4919,MATCH($A897,'DETALLE CRONOLÓGICO'!$A$2:$A$4919,0))</f>
        <v/>
      </c>
      <c r="H897" s="1">
        <f>INDEX('DETALLE CRONOLÓGICO'!$D$2:$D$4919,MATCH($A897,'DETALLE CRONOLÓGICO'!$A$2:$A$4919,0)+$E897-1)</f>
        <v/>
      </c>
      <c r="I897" s="5">
        <f>IFERROR(SUMIFS('DETALLE CRONOLÓGICO'!$L$2:$L$4919,'DETALLE CRONOLÓGICO'!$A$2:$A$4919,$A897)/$F897,"")</f>
        <v/>
      </c>
      <c r="J897" s="6">
        <f>IFERROR(SUMIFS('DETALLE CRONOLÓGICO'!$K$2:$K$4919,'DETALLE CRONOLÓGICO'!$A$2:$A$4919,$A897)/$E897,"")</f>
        <v/>
      </c>
      <c r="K897" s="6">
        <f>_xlfn.MINIFS('DETALLE CRONOLÓGICO'!$K$2:$K$4919,'DETALLE CRONOLÓGICO'!$A$2:$A$4919,$A897)</f>
        <v/>
      </c>
      <c r="L897" s="6">
        <f>_xlfn.MAXIFS('DETALLE CRONOLÓGICO'!$K$2:$K$4919,'DETALLE CRONOLÓGICO'!$A$2:$A$4919,$A897)</f>
        <v/>
      </c>
      <c r="M897" s="6">
        <f>INDEX('DETALLE CRONOLÓGICO'!$K$2:$K$4919,MATCH($A897,'DETALLE CRONOLÓGICO'!$A$2:$A$4919,0)+$E897-1)</f>
        <v/>
      </c>
      <c r="N897" s="7">
        <f>IFERROR($M897/INDEX('DETALLE CRONOLÓGICO'!$K$2:$K$4919,MATCH($A897,'DETALLE CRONOLÓGICO'!$A$2:$A$4919,0))-1,"")</f>
        <v/>
      </c>
      <c r="O897" s="6">
        <f>IFERROR($I897*3,"")</f>
        <v/>
      </c>
      <c r="P897" s="6">
        <f>IFERROR($I897*3.5,"")</f>
        <v/>
      </c>
      <c r="Q897" s="6">
        <f>IFERROR($I897*4,"")</f>
        <v/>
      </c>
      <c r="R897" s="6" t="n">
        <v>450</v>
      </c>
      <c r="S897" s="4" t="n">
        <v>0</v>
      </c>
      <c r="T897" s="1" t="inlineStr">
        <is>
          <t>active</t>
        </is>
      </c>
      <c r="U897" s="8" t="n"/>
      <c r="V897" s="1" t="inlineStr">
        <is>
          <t>SIN PRECIO</t>
        </is>
      </c>
    </row>
    <row r="898">
      <c r="A898" s="1" t="inlineStr">
        <is>
          <t>52306841075693</t>
        </is>
      </c>
      <c r="B898" s="1" t="inlineStr">
        <is>
          <t>COLLAR BV ROSEGOLD SERPIENTE</t>
        </is>
      </c>
      <c r="C898" s="1" t="inlineStr">
        <is>
          <t>Default Title</t>
        </is>
      </c>
      <c r="D898" s="1" t="inlineStr">
        <is>
          <t>HAIFENG</t>
        </is>
      </c>
      <c r="E898" s="4">
        <f>COUNTIF('DETALLE CRONOLÓGICO'!$A$2:$A$4919,$A898)</f>
        <v/>
      </c>
      <c r="F898" s="4">
        <f>SUMIFS('DETALLE CRONOLÓGICO'!$I$2:$I$4919,'DETALLE CRONOLÓGICO'!$A$2:$A$4919,$A898)</f>
        <v/>
      </c>
      <c r="G898" s="1">
        <f>INDEX('DETALLE CRONOLÓGICO'!$D$2:$D$4919,MATCH($A898,'DETALLE CRONOLÓGICO'!$A$2:$A$4919,0))</f>
        <v/>
      </c>
      <c r="H898" s="1">
        <f>INDEX('DETALLE CRONOLÓGICO'!$D$2:$D$4919,MATCH($A898,'DETALLE CRONOLÓGICO'!$A$2:$A$4919,0)+$E898-1)</f>
        <v/>
      </c>
      <c r="I898" s="5">
        <f>IFERROR(SUMIFS('DETALLE CRONOLÓGICO'!$L$2:$L$4919,'DETALLE CRONOLÓGICO'!$A$2:$A$4919,$A898)/$F898,"")</f>
        <v/>
      </c>
      <c r="J898" s="6">
        <f>IFERROR(SUMIFS('DETALLE CRONOLÓGICO'!$K$2:$K$4919,'DETALLE CRONOLÓGICO'!$A$2:$A$4919,$A898)/$E898,"")</f>
        <v/>
      </c>
      <c r="K898" s="6">
        <f>_xlfn.MINIFS('DETALLE CRONOLÓGICO'!$K$2:$K$4919,'DETALLE CRONOLÓGICO'!$A$2:$A$4919,$A898)</f>
        <v/>
      </c>
      <c r="L898" s="6">
        <f>_xlfn.MAXIFS('DETALLE CRONOLÓGICO'!$K$2:$K$4919,'DETALLE CRONOLÓGICO'!$A$2:$A$4919,$A898)</f>
        <v/>
      </c>
      <c r="M898" s="6">
        <f>INDEX('DETALLE CRONOLÓGICO'!$K$2:$K$4919,MATCH($A898,'DETALLE CRONOLÓGICO'!$A$2:$A$4919,0)+$E898-1)</f>
        <v/>
      </c>
      <c r="N898" s="7">
        <f>IFERROR($M898/INDEX('DETALLE CRONOLÓGICO'!$K$2:$K$4919,MATCH($A898,'DETALLE CRONOLÓGICO'!$A$2:$A$4919,0))-1,"")</f>
        <v/>
      </c>
      <c r="O898" s="6">
        <f>IFERROR($I898*3,"")</f>
        <v/>
      </c>
      <c r="P898" s="6">
        <f>IFERROR($I898*3.5,"")</f>
        <v/>
      </c>
      <c r="Q898" s="6">
        <f>IFERROR($I898*4,"")</f>
        <v/>
      </c>
      <c r="R898" s="6" t="n">
        <v>576.8</v>
      </c>
      <c r="S898" s="4" t="n">
        <v>0</v>
      </c>
      <c r="T898" s="1" t="inlineStr">
        <is>
          <t>active</t>
        </is>
      </c>
      <c r="U898" s="8" t="n"/>
      <c r="V898" s="1" t="inlineStr">
        <is>
          <t>SIN PRECIO</t>
        </is>
      </c>
    </row>
    <row r="899">
      <c r="A899" s="1" t="inlineStr">
        <is>
          <t>52394691046605</t>
        </is>
      </c>
      <c r="B899" s="1" t="inlineStr">
        <is>
          <t>BOLSA NANO NOÉ LV BROWN</t>
        </is>
      </c>
      <c r="C899" s="1" t="inlineStr">
        <is>
          <t>13 cm de largo x 16 cm de alto x 10cm de ancho</t>
        </is>
      </c>
      <c r="D899" s="1" t="inlineStr">
        <is>
          <t>ZOEY</t>
        </is>
      </c>
      <c r="E899" s="4">
        <f>COUNTIF('DETALLE CRONOLÓGICO'!$A$2:$A$4919,$A899)</f>
        <v/>
      </c>
      <c r="F899" s="4">
        <f>SUMIFS('DETALLE CRONOLÓGICO'!$I$2:$I$4919,'DETALLE CRONOLÓGICO'!$A$2:$A$4919,$A899)</f>
        <v/>
      </c>
      <c r="G899" s="1">
        <f>INDEX('DETALLE CRONOLÓGICO'!$D$2:$D$4919,MATCH($A899,'DETALLE CRONOLÓGICO'!$A$2:$A$4919,0))</f>
        <v/>
      </c>
      <c r="H899" s="1">
        <f>INDEX('DETALLE CRONOLÓGICO'!$D$2:$D$4919,MATCH($A899,'DETALLE CRONOLÓGICO'!$A$2:$A$4919,0)+$E899-1)</f>
        <v/>
      </c>
      <c r="I899" s="5">
        <f>IFERROR(SUMIFS('DETALLE CRONOLÓGICO'!$L$2:$L$4919,'DETALLE CRONOLÓGICO'!$A$2:$A$4919,$A899)/$F899,"")</f>
        <v/>
      </c>
      <c r="J899" s="6">
        <f>IFERROR(SUMIFS('DETALLE CRONOLÓGICO'!$K$2:$K$4919,'DETALLE CRONOLÓGICO'!$A$2:$A$4919,$A899)/$E899,"")</f>
        <v/>
      </c>
      <c r="K899" s="6">
        <f>_xlfn.MINIFS('DETALLE CRONOLÓGICO'!$K$2:$K$4919,'DETALLE CRONOLÓGICO'!$A$2:$A$4919,$A899)</f>
        <v/>
      </c>
      <c r="L899" s="6">
        <f>_xlfn.MAXIFS('DETALLE CRONOLÓGICO'!$K$2:$K$4919,'DETALLE CRONOLÓGICO'!$A$2:$A$4919,$A899)</f>
        <v/>
      </c>
      <c r="M899" s="6">
        <f>INDEX('DETALLE CRONOLÓGICO'!$K$2:$K$4919,MATCH($A899,'DETALLE CRONOLÓGICO'!$A$2:$A$4919,0)+$E899-1)</f>
        <v/>
      </c>
      <c r="N899" s="7">
        <f>IFERROR($M899/INDEX('DETALLE CRONOLÓGICO'!$K$2:$K$4919,MATCH($A899,'DETALLE CRONOLÓGICO'!$A$2:$A$4919,0))-1,"")</f>
        <v/>
      </c>
      <c r="O899" s="6">
        <f>IFERROR($I899*3,"")</f>
        <v/>
      </c>
      <c r="P899" s="6">
        <f>IFERROR($I899*3.5,"")</f>
        <v/>
      </c>
      <c r="Q899" s="6">
        <f>IFERROR($I899*4,"")</f>
        <v/>
      </c>
      <c r="R899" s="6" t="n">
        <v>2049</v>
      </c>
      <c r="S899" s="4" t="n">
        <v>4</v>
      </c>
      <c r="T899" s="1" t="inlineStr">
        <is>
          <t>active</t>
        </is>
      </c>
      <c r="U899" s="8" t="n"/>
      <c r="V899" s="1" t="inlineStr">
        <is>
          <t>SIN PRECIO</t>
        </is>
      </c>
    </row>
    <row r="900">
      <c r="A900" s="1" t="inlineStr">
        <is>
          <t>52394691183085</t>
        </is>
      </c>
      <c r="B900" s="1" t="inlineStr">
        <is>
          <t>CARTERA ZIPPY LV BROWN</t>
        </is>
      </c>
      <c r="C900" s="1" t="inlineStr">
        <is>
          <t>Default Title</t>
        </is>
      </c>
      <c r="D900" s="1" t="inlineStr">
        <is>
          <t>ZOEY</t>
        </is>
      </c>
      <c r="E900" s="4">
        <f>COUNTIF('DETALLE CRONOLÓGICO'!$A$2:$A$4919,$A900)</f>
        <v/>
      </c>
      <c r="F900" s="4">
        <f>SUMIFS('DETALLE CRONOLÓGICO'!$I$2:$I$4919,'DETALLE CRONOLÓGICO'!$A$2:$A$4919,$A900)</f>
        <v/>
      </c>
      <c r="G900" s="1">
        <f>INDEX('DETALLE CRONOLÓGICO'!$D$2:$D$4919,MATCH($A900,'DETALLE CRONOLÓGICO'!$A$2:$A$4919,0))</f>
        <v/>
      </c>
      <c r="H900" s="1">
        <f>INDEX('DETALLE CRONOLÓGICO'!$D$2:$D$4919,MATCH($A900,'DETALLE CRONOLÓGICO'!$A$2:$A$4919,0)+$E900-1)</f>
        <v/>
      </c>
      <c r="I900" s="5">
        <f>IFERROR(SUMIFS('DETALLE CRONOLÓGICO'!$L$2:$L$4919,'DETALLE CRONOLÓGICO'!$A$2:$A$4919,$A900)/$F900,"")</f>
        <v/>
      </c>
      <c r="J900" s="6">
        <f>IFERROR(SUMIFS('DETALLE CRONOLÓGICO'!$K$2:$K$4919,'DETALLE CRONOLÓGICO'!$A$2:$A$4919,$A900)/$E900,"")</f>
        <v/>
      </c>
      <c r="K900" s="6">
        <f>_xlfn.MINIFS('DETALLE CRONOLÓGICO'!$K$2:$K$4919,'DETALLE CRONOLÓGICO'!$A$2:$A$4919,$A900)</f>
        <v/>
      </c>
      <c r="L900" s="6">
        <f>_xlfn.MAXIFS('DETALLE CRONOLÓGICO'!$K$2:$K$4919,'DETALLE CRONOLÓGICO'!$A$2:$A$4919,$A900)</f>
        <v/>
      </c>
      <c r="M900" s="6">
        <f>INDEX('DETALLE CRONOLÓGICO'!$K$2:$K$4919,MATCH($A900,'DETALLE CRONOLÓGICO'!$A$2:$A$4919,0)+$E900-1)</f>
        <v/>
      </c>
      <c r="N900" s="7">
        <f>IFERROR($M900/INDEX('DETALLE CRONOLÓGICO'!$K$2:$K$4919,MATCH($A900,'DETALLE CRONOLÓGICO'!$A$2:$A$4919,0))-1,"")</f>
        <v/>
      </c>
      <c r="O900" s="6">
        <f>IFERROR($I900*3,"")</f>
        <v/>
      </c>
      <c r="P900" s="6">
        <f>IFERROR($I900*3.5,"")</f>
        <v/>
      </c>
      <c r="Q900" s="6">
        <f>IFERROR($I900*4,"")</f>
        <v/>
      </c>
      <c r="R900" s="6" t="n">
        <v>1366.66</v>
      </c>
      <c r="S900" s="4" t="n">
        <v>5</v>
      </c>
      <c r="T900" s="1" t="inlineStr">
        <is>
          <t>active</t>
        </is>
      </c>
      <c r="U900" s="8" t="n"/>
      <c r="V900" s="1" t="inlineStr">
        <is>
          <t>SIN PRECIO</t>
        </is>
      </c>
    </row>
    <row r="901">
      <c r="A901" s="1" t="inlineStr">
        <is>
          <t>52394691183086</t>
        </is>
      </c>
      <c r="B901" s="1" t="inlineStr">
        <is>
          <t>CARTERA ZIPPY LV BROWN</t>
        </is>
      </c>
      <c r="C901" s="1" t="inlineStr">
        <is>
          <t>HIGH QUALITY</t>
        </is>
      </c>
      <c r="D901" s="1" t="inlineStr">
        <is>
          <t>ZOEY</t>
        </is>
      </c>
      <c r="E901" s="4">
        <f>COUNTIF('DETALLE CRONOLÓGICO'!$A$2:$A$4919,$A901)</f>
        <v/>
      </c>
      <c r="F901" s="4">
        <f>SUMIFS('DETALLE CRONOLÓGICO'!$I$2:$I$4919,'DETALLE CRONOLÓGICO'!$A$2:$A$4919,$A901)</f>
        <v/>
      </c>
      <c r="G901" s="1">
        <f>INDEX('DETALLE CRONOLÓGICO'!$D$2:$D$4919,MATCH($A901,'DETALLE CRONOLÓGICO'!$A$2:$A$4919,0))</f>
        <v/>
      </c>
      <c r="H901" s="1">
        <f>INDEX('DETALLE CRONOLÓGICO'!$D$2:$D$4919,MATCH($A901,'DETALLE CRONOLÓGICO'!$A$2:$A$4919,0)+$E901-1)</f>
        <v/>
      </c>
      <c r="I901" s="5">
        <f>IFERROR(SUMIFS('DETALLE CRONOLÓGICO'!$L$2:$L$4919,'DETALLE CRONOLÓGICO'!$A$2:$A$4919,$A901)/$F901,"")</f>
        <v/>
      </c>
      <c r="J901" s="6">
        <f>IFERROR(SUMIFS('DETALLE CRONOLÓGICO'!$K$2:$K$4919,'DETALLE CRONOLÓGICO'!$A$2:$A$4919,$A901)/$E901,"")</f>
        <v/>
      </c>
      <c r="K901" s="6">
        <f>_xlfn.MINIFS('DETALLE CRONOLÓGICO'!$K$2:$K$4919,'DETALLE CRONOLÓGICO'!$A$2:$A$4919,$A901)</f>
        <v/>
      </c>
      <c r="L901" s="6">
        <f>_xlfn.MAXIFS('DETALLE CRONOLÓGICO'!$K$2:$K$4919,'DETALLE CRONOLÓGICO'!$A$2:$A$4919,$A901)</f>
        <v/>
      </c>
      <c r="M901" s="6">
        <f>INDEX('DETALLE CRONOLÓGICO'!$K$2:$K$4919,MATCH($A901,'DETALLE CRONOLÓGICO'!$A$2:$A$4919,0)+$E901-1)</f>
        <v/>
      </c>
      <c r="N901" s="7">
        <f>IFERROR($M901/INDEX('DETALLE CRONOLÓGICO'!$K$2:$K$4919,MATCH($A901,'DETALLE CRONOLÓGICO'!$A$2:$A$4919,0))-1,"")</f>
        <v/>
      </c>
      <c r="O901" s="6">
        <f>IFERROR($I901*3,"")</f>
        <v/>
      </c>
      <c r="P901" s="6">
        <f>IFERROR($I901*3.5,"")</f>
        <v/>
      </c>
      <c r="Q901" s="6">
        <f>IFERROR($I901*4,"")</f>
        <v/>
      </c>
      <c r="R901" s="6" t="n">
        <v>1500</v>
      </c>
      <c r="S901" s="4" t="n">
        <v>1</v>
      </c>
      <c r="T901" s="1" t="inlineStr">
        <is>
          <t>active</t>
        </is>
      </c>
      <c r="U901" s="8" t="n"/>
      <c r="V901" s="1" t="inlineStr">
        <is>
          <t>SIN PRECIO</t>
        </is>
      </c>
    </row>
    <row r="902">
      <c r="A902" s="1" t="inlineStr">
        <is>
          <t>52477061035757</t>
        </is>
      </c>
      <c r="B902" s="1" t="inlineStr">
        <is>
          <t>PULSERA CLAVO GOLD</t>
        </is>
      </c>
      <c r="C902" s="1" t="inlineStr">
        <is>
          <t>16 cm</t>
        </is>
      </c>
      <c r="D902" s="1" t="inlineStr">
        <is>
          <t>NANCY</t>
        </is>
      </c>
      <c r="E902" s="4">
        <f>COUNTIF('DETALLE CRONOLÓGICO'!$A$2:$A$4919,$A902)</f>
        <v/>
      </c>
      <c r="F902" s="4">
        <f>SUMIFS('DETALLE CRONOLÓGICO'!$I$2:$I$4919,'DETALLE CRONOLÓGICO'!$A$2:$A$4919,$A902)</f>
        <v/>
      </c>
      <c r="G902" s="1">
        <f>INDEX('DETALLE CRONOLÓGICO'!$D$2:$D$4919,MATCH($A902,'DETALLE CRONOLÓGICO'!$A$2:$A$4919,0))</f>
        <v/>
      </c>
      <c r="H902" s="1">
        <f>INDEX('DETALLE CRONOLÓGICO'!$D$2:$D$4919,MATCH($A902,'DETALLE CRONOLÓGICO'!$A$2:$A$4919,0)+$E902-1)</f>
        <v/>
      </c>
      <c r="I902" s="5">
        <f>IFERROR(SUMIFS('DETALLE CRONOLÓGICO'!$L$2:$L$4919,'DETALLE CRONOLÓGICO'!$A$2:$A$4919,$A902)/$F902,"")</f>
        <v/>
      </c>
      <c r="J902" s="6">
        <f>IFERROR(SUMIFS('DETALLE CRONOLÓGICO'!$K$2:$K$4919,'DETALLE CRONOLÓGICO'!$A$2:$A$4919,$A902)/$E902,"")</f>
        <v/>
      </c>
      <c r="K902" s="6">
        <f>_xlfn.MINIFS('DETALLE CRONOLÓGICO'!$K$2:$K$4919,'DETALLE CRONOLÓGICO'!$A$2:$A$4919,$A902)</f>
        <v/>
      </c>
      <c r="L902" s="6">
        <f>_xlfn.MAXIFS('DETALLE CRONOLÓGICO'!$K$2:$K$4919,'DETALLE CRONOLÓGICO'!$A$2:$A$4919,$A902)</f>
        <v/>
      </c>
      <c r="M902" s="6">
        <f>INDEX('DETALLE CRONOLÓGICO'!$K$2:$K$4919,MATCH($A902,'DETALLE CRONOLÓGICO'!$A$2:$A$4919,0)+$E902-1)</f>
        <v/>
      </c>
      <c r="N902" s="7">
        <f>IFERROR($M902/INDEX('DETALLE CRONOLÓGICO'!$K$2:$K$4919,MATCH($A902,'DETALLE CRONOLÓGICO'!$A$2:$A$4919,0))-1,"")</f>
        <v/>
      </c>
      <c r="O902" s="6">
        <f>IFERROR($I902*3,"")</f>
        <v/>
      </c>
      <c r="P902" s="6">
        <f>IFERROR($I902*3.5,"")</f>
        <v/>
      </c>
      <c r="Q902" s="6">
        <f>IFERROR($I902*4,"")</f>
        <v/>
      </c>
      <c r="R902" s="6" t="n">
        <v>450</v>
      </c>
      <c r="S902" s="4" t="n">
        <v>0</v>
      </c>
      <c r="T902" s="1" t="inlineStr">
        <is>
          <t>active</t>
        </is>
      </c>
      <c r="U902" s="8" t="n"/>
      <c r="V902" s="1" t="inlineStr">
        <is>
          <t>SIN PRECIO</t>
        </is>
      </c>
    </row>
    <row r="903">
      <c r="A903" s="1" t="inlineStr">
        <is>
          <t>53073321001165</t>
        </is>
      </c>
      <c r="B903" s="1" t="inlineStr">
        <is>
          <t>ANILLO LV SELLO GOLD-8</t>
        </is>
      </c>
      <c r="C903" s="1" t="n">
        <v>8</v>
      </c>
      <c r="D903" s="1" t="inlineStr">
        <is>
          <t>HAIFENG</t>
        </is>
      </c>
      <c r="E903" s="4">
        <f>COUNTIF('DETALLE CRONOLÓGICO'!$A$2:$A$4919,$A903)</f>
        <v/>
      </c>
      <c r="F903" s="4">
        <f>SUMIFS('DETALLE CRONOLÓGICO'!$I$2:$I$4919,'DETALLE CRONOLÓGICO'!$A$2:$A$4919,$A903)</f>
        <v/>
      </c>
      <c r="G903" s="1">
        <f>INDEX('DETALLE CRONOLÓGICO'!$D$2:$D$4919,MATCH($A903,'DETALLE CRONOLÓGICO'!$A$2:$A$4919,0))</f>
        <v/>
      </c>
      <c r="H903" s="1">
        <f>INDEX('DETALLE CRONOLÓGICO'!$D$2:$D$4919,MATCH($A903,'DETALLE CRONOLÓGICO'!$A$2:$A$4919,0)+$E903-1)</f>
        <v/>
      </c>
      <c r="I903" s="5">
        <f>IFERROR(SUMIFS('DETALLE CRONOLÓGICO'!$L$2:$L$4919,'DETALLE CRONOLÓGICO'!$A$2:$A$4919,$A903)/$F903,"")</f>
        <v/>
      </c>
      <c r="J903" s="6">
        <f>IFERROR(SUMIFS('DETALLE CRONOLÓGICO'!$K$2:$K$4919,'DETALLE CRONOLÓGICO'!$A$2:$A$4919,$A903)/$E903,"")</f>
        <v/>
      </c>
      <c r="K903" s="6">
        <f>_xlfn.MINIFS('DETALLE CRONOLÓGICO'!$K$2:$K$4919,'DETALLE CRONOLÓGICO'!$A$2:$A$4919,$A903)</f>
        <v/>
      </c>
      <c r="L903" s="6">
        <f>_xlfn.MAXIFS('DETALLE CRONOLÓGICO'!$K$2:$K$4919,'DETALLE CRONOLÓGICO'!$A$2:$A$4919,$A903)</f>
        <v/>
      </c>
      <c r="M903" s="6">
        <f>INDEX('DETALLE CRONOLÓGICO'!$K$2:$K$4919,MATCH($A903,'DETALLE CRONOLÓGICO'!$A$2:$A$4919,0)+$E903-1)</f>
        <v/>
      </c>
      <c r="N903" s="7">
        <f>IFERROR($M903/INDEX('DETALLE CRONOLÓGICO'!$K$2:$K$4919,MATCH($A903,'DETALLE CRONOLÓGICO'!$A$2:$A$4919,0))-1,"")</f>
        <v/>
      </c>
      <c r="O903" s="6">
        <f>IFERROR($I903*3,"")</f>
        <v/>
      </c>
      <c r="P903" s="6">
        <f>IFERROR($I903*3.5,"")</f>
        <v/>
      </c>
      <c r="Q903" s="6">
        <f>IFERROR($I903*4,"")</f>
        <v/>
      </c>
      <c r="R903" s="6" t="n">
        <v>750</v>
      </c>
      <c r="S903" s="4" t="n">
        <v>0</v>
      </c>
      <c r="T903" s="1" t="inlineStr">
        <is>
          <t>active</t>
        </is>
      </c>
      <c r="U903" s="8" t="n"/>
      <c r="V903" s="1" t="inlineStr">
        <is>
          <t>SIN PRECIO</t>
        </is>
      </c>
    </row>
    <row r="904">
      <c r="A904" s="1" t="inlineStr">
        <is>
          <t>53283371020909</t>
        </is>
      </c>
      <c r="B904" s="1" t="inlineStr">
        <is>
          <t>PULSERA ONE TRÉBOL GOLD RED</t>
        </is>
      </c>
      <c r="C904" s="1" t="inlineStr">
        <is>
          <t>Default Title</t>
        </is>
      </c>
      <c r="D904" s="1" t="inlineStr">
        <is>
          <t>HAIFENG</t>
        </is>
      </c>
      <c r="E904" s="4">
        <f>COUNTIF('DETALLE CRONOLÓGICO'!$A$2:$A$4919,$A904)</f>
        <v/>
      </c>
      <c r="F904" s="4">
        <f>SUMIFS('DETALLE CRONOLÓGICO'!$I$2:$I$4919,'DETALLE CRONOLÓGICO'!$A$2:$A$4919,$A904)</f>
        <v/>
      </c>
      <c r="G904" s="1">
        <f>INDEX('DETALLE CRONOLÓGICO'!$D$2:$D$4919,MATCH($A904,'DETALLE CRONOLÓGICO'!$A$2:$A$4919,0))</f>
        <v/>
      </c>
      <c r="H904" s="1">
        <f>INDEX('DETALLE CRONOLÓGICO'!$D$2:$D$4919,MATCH($A904,'DETALLE CRONOLÓGICO'!$A$2:$A$4919,0)+$E904-1)</f>
        <v/>
      </c>
      <c r="I904" s="5">
        <f>IFERROR(SUMIFS('DETALLE CRONOLÓGICO'!$L$2:$L$4919,'DETALLE CRONOLÓGICO'!$A$2:$A$4919,$A904)/$F904,"")</f>
        <v/>
      </c>
      <c r="J904" s="6">
        <f>IFERROR(SUMIFS('DETALLE CRONOLÓGICO'!$K$2:$K$4919,'DETALLE CRONOLÓGICO'!$A$2:$A$4919,$A904)/$E904,"")</f>
        <v/>
      </c>
      <c r="K904" s="6">
        <f>_xlfn.MINIFS('DETALLE CRONOLÓGICO'!$K$2:$K$4919,'DETALLE CRONOLÓGICO'!$A$2:$A$4919,$A904)</f>
        <v/>
      </c>
      <c r="L904" s="6">
        <f>_xlfn.MAXIFS('DETALLE CRONOLÓGICO'!$K$2:$K$4919,'DETALLE CRONOLÓGICO'!$A$2:$A$4919,$A904)</f>
        <v/>
      </c>
      <c r="M904" s="6">
        <f>INDEX('DETALLE CRONOLÓGICO'!$K$2:$K$4919,MATCH($A904,'DETALLE CRONOLÓGICO'!$A$2:$A$4919,0)+$E904-1)</f>
        <v/>
      </c>
      <c r="N904" s="7">
        <f>IFERROR($M904/INDEX('DETALLE CRONOLÓGICO'!$K$2:$K$4919,MATCH($A904,'DETALLE CRONOLÓGICO'!$A$2:$A$4919,0))-1,"")</f>
        <v/>
      </c>
      <c r="O904" s="6">
        <f>IFERROR($I904*3,"")</f>
        <v/>
      </c>
      <c r="P904" s="6">
        <f>IFERROR($I904*3.5,"")</f>
        <v/>
      </c>
      <c r="Q904" s="6">
        <f>IFERROR($I904*4,"")</f>
        <v/>
      </c>
      <c r="R904" s="6" t="n">
        <v>500</v>
      </c>
      <c r="S904" s="4" t="n">
        <v>2</v>
      </c>
      <c r="T904" s="1" t="inlineStr">
        <is>
          <t>active</t>
        </is>
      </c>
      <c r="U904" s="8" t="n"/>
      <c r="V904" s="1" t="inlineStr">
        <is>
          <t>SIN PRECIO</t>
        </is>
      </c>
    </row>
    <row r="905">
      <c r="A905" s="1" t="inlineStr">
        <is>
          <t>53794531101133</t>
        </is>
      </c>
      <c r="B905" s="1" t="inlineStr">
        <is>
          <t>LENTES CD CANNAGE S2U</t>
        </is>
      </c>
      <c r="C905" s="1" t="inlineStr">
        <is>
          <t>Default Title</t>
        </is>
      </c>
      <c r="D905" s="1" t="inlineStr">
        <is>
          <t>ZOEY</t>
        </is>
      </c>
      <c r="E905" s="4">
        <f>COUNTIF('DETALLE CRONOLÓGICO'!$A$2:$A$4919,$A905)</f>
        <v/>
      </c>
      <c r="F905" s="4">
        <f>SUMIFS('DETALLE CRONOLÓGICO'!$I$2:$I$4919,'DETALLE CRONOLÓGICO'!$A$2:$A$4919,$A905)</f>
        <v/>
      </c>
      <c r="G905" s="1">
        <f>INDEX('DETALLE CRONOLÓGICO'!$D$2:$D$4919,MATCH($A905,'DETALLE CRONOLÓGICO'!$A$2:$A$4919,0))</f>
        <v/>
      </c>
      <c r="H905" s="1">
        <f>INDEX('DETALLE CRONOLÓGICO'!$D$2:$D$4919,MATCH($A905,'DETALLE CRONOLÓGICO'!$A$2:$A$4919,0)+$E905-1)</f>
        <v/>
      </c>
      <c r="I905" s="5">
        <f>IFERROR(SUMIFS('DETALLE CRONOLÓGICO'!$L$2:$L$4919,'DETALLE CRONOLÓGICO'!$A$2:$A$4919,$A905)/$F905,"")</f>
        <v/>
      </c>
      <c r="J905" s="6">
        <f>IFERROR(SUMIFS('DETALLE CRONOLÓGICO'!$K$2:$K$4919,'DETALLE CRONOLÓGICO'!$A$2:$A$4919,$A905)/$E905,"")</f>
        <v/>
      </c>
      <c r="K905" s="6">
        <f>_xlfn.MINIFS('DETALLE CRONOLÓGICO'!$K$2:$K$4919,'DETALLE CRONOLÓGICO'!$A$2:$A$4919,$A905)</f>
        <v/>
      </c>
      <c r="L905" s="6">
        <f>_xlfn.MAXIFS('DETALLE CRONOLÓGICO'!$K$2:$K$4919,'DETALLE CRONOLÓGICO'!$A$2:$A$4919,$A905)</f>
        <v/>
      </c>
      <c r="M905" s="6">
        <f>INDEX('DETALLE CRONOLÓGICO'!$K$2:$K$4919,MATCH($A905,'DETALLE CRONOLÓGICO'!$A$2:$A$4919,0)+$E905-1)</f>
        <v/>
      </c>
      <c r="N905" s="7">
        <f>IFERROR($M905/INDEX('DETALLE CRONOLÓGICO'!$K$2:$K$4919,MATCH($A905,'DETALLE CRONOLÓGICO'!$A$2:$A$4919,0))-1,"")</f>
        <v/>
      </c>
      <c r="O905" s="6">
        <f>IFERROR($I905*3,"")</f>
        <v/>
      </c>
      <c r="P905" s="6">
        <f>IFERROR($I905*3.5,"")</f>
        <v/>
      </c>
      <c r="Q905" s="6">
        <f>IFERROR($I905*4,"")</f>
        <v/>
      </c>
      <c r="R905" s="6" t="n">
        <v>3500</v>
      </c>
      <c r="S905" s="4" t="n">
        <v>2</v>
      </c>
      <c r="T905" s="1" t="inlineStr">
        <is>
          <t>active</t>
        </is>
      </c>
      <c r="U905" s="8" t="n"/>
      <c r="V905" s="1" t="inlineStr">
        <is>
          <t>SIN PRECIO</t>
        </is>
      </c>
    </row>
    <row r="906">
      <c r="A906" s="1" t="inlineStr">
        <is>
          <t>53794531481933</t>
        </is>
      </c>
      <c r="B906" s="1" t="inlineStr">
        <is>
          <t>LENTES CD TREASURE R1</t>
        </is>
      </c>
      <c r="C906" s="1" t="inlineStr">
        <is>
          <t>Default Title</t>
        </is>
      </c>
      <c r="D906" s="1" t="inlineStr">
        <is>
          <t>ZOEY</t>
        </is>
      </c>
      <c r="E906" s="4">
        <f>COUNTIF('DETALLE CRONOLÓGICO'!$A$2:$A$4919,$A906)</f>
        <v/>
      </c>
      <c r="F906" s="4">
        <f>SUMIFS('DETALLE CRONOLÓGICO'!$I$2:$I$4919,'DETALLE CRONOLÓGICO'!$A$2:$A$4919,$A906)</f>
        <v/>
      </c>
      <c r="G906" s="1">
        <f>INDEX('DETALLE CRONOLÓGICO'!$D$2:$D$4919,MATCH($A906,'DETALLE CRONOLÓGICO'!$A$2:$A$4919,0))</f>
        <v/>
      </c>
      <c r="H906" s="1">
        <f>INDEX('DETALLE CRONOLÓGICO'!$D$2:$D$4919,MATCH($A906,'DETALLE CRONOLÓGICO'!$A$2:$A$4919,0)+$E906-1)</f>
        <v/>
      </c>
      <c r="I906" s="5">
        <f>IFERROR(SUMIFS('DETALLE CRONOLÓGICO'!$L$2:$L$4919,'DETALLE CRONOLÓGICO'!$A$2:$A$4919,$A906)/$F906,"")</f>
        <v/>
      </c>
      <c r="J906" s="6">
        <f>IFERROR(SUMIFS('DETALLE CRONOLÓGICO'!$K$2:$K$4919,'DETALLE CRONOLÓGICO'!$A$2:$A$4919,$A906)/$E906,"")</f>
        <v/>
      </c>
      <c r="K906" s="6">
        <f>_xlfn.MINIFS('DETALLE CRONOLÓGICO'!$K$2:$K$4919,'DETALLE CRONOLÓGICO'!$A$2:$A$4919,$A906)</f>
        <v/>
      </c>
      <c r="L906" s="6">
        <f>_xlfn.MAXIFS('DETALLE CRONOLÓGICO'!$K$2:$K$4919,'DETALLE CRONOLÓGICO'!$A$2:$A$4919,$A906)</f>
        <v/>
      </c>
      <c r="M906" s="6">
        <f>INDEX('DETALLE CRONOLÓGICO'!$K$2:$K$4919,MATCH($A906,'DETALLE CRONOLÓGICO'!$A$2:$A$4919,0)+$E906-1)</f>
        <v/>
      </c>
      <c r="N906" s="7">
        <f>IFERROR($M906/INDEX('DETALLE CRONOLÓGICO'!$K$2:$K$4919,MATCH($A906,'DETALLE CRONOLÓGICO'!$A$2:$A$4919,0))-1,"")</f>
        <v/>
      </c>
      <c r="O906" s="6">
        <f>IFERROR($I906*3,"")</f>
        <v/>
      </c>
      <c r="P906" s="6">
        <f>IFERROR($I906*3.5,"")</f>
        <v/>
      </c>
      <c r="Q906" s="6">
        <f>IFERROR($I906*4,"")</f>
        <v/>
      </c>
      <c r="R906" s="6" t="n">
        <v>3279</v>
      </c>
      <c r="S906" s="4" t="n">
        <v>3</v>
      </c>
      <c r="T906" s="1" t="inlineStr">
        <is>
          <t>active</t>
        </is>
      </c>
      <c r="U906" s="8" t="n"/>
      <c r="V906" s="1" t="inlineStr">
        <is>
          <t>SIN PRECIO</t>
        </is>
      </c>
    </row>
    <row r="907">
      <c r="A907" s="1" t="inlineStr">
        <is>
          <t>53864631024909</t>
        </is>
      </c>
      <c r="B907" s="1" t="inlineStr">
        <is>
          <t>COLLAR CON PASADOR Y PLACA ESTILO CORAZÓN SILVER</t>
        </is>
      </c>
      <c r="C907" s="1" t="inlineStr">
        <is>
          <t>44 cm</t>
        </is>
      </c>
      <c r="D907" s="1" t="inlineStr">
        <is>
          <t>HAIFENG</t>
        </is>
      </c>
      <c r="E907" s="4">
        <f>COUNTIF('DETALLE CRONOLÓGICO'!$A$2:$A$4919,$A907)</f>
        <v/>
      </c>
      <c r="F907" s="4">
        <f>SUMIFS('DETALLE CRONOLÓGICO'!$I$2:$I$4919,'DETALLE CRONOLÓGICO'!$A$2:$A$4919,$A907)</f>
        <v/>
      </c>
      <c r="G907" s="1">
        <f>INDEX('DETALLE CRONOLÓGICO'!$D$2:$D$4919,MATCH($A907,'DETALLE CRONOLÓGICO'!$A$2:$A$4919,0))</f>
        <v/>
      </c>
      <c r="H907" s="1">
        <f>INDEX('DETALLE CRONOLÓGICO'!$D$2:$D$4919,MATCH($A907,'DETALLE CRONOLÓGICO'!$A$2:$A$4919,0)+$E907-1)</f>
        <v/>
      </c>
      <c r="I907" s="5">
        <f>IFERROR(SUMIFS('DETALLE CRONOLÓGICO'!$L$2:$L$4919,'DETALLE CRONOLÓGICO'!$A$2:$A$4919,$A907)/$F907,"")</f>
        <v/>
      </c>
      <c r="J907" s="6">
        <f>IFERROR(SUMIFS('DETALLE CRONOLÓGICO'!$K$2:$K$4919,'DETALLE CRONOLÓGICO'!$A$2:$A$4919,$A907)/$E907,"")</f>
        <v/>
      </c>
      <c r="K907" s="6">
        <f>_xlfn.MINIFS('DETALLE CRONOLÓGICO'!$K$2:$K$4919,'DETALLE CRONOLÓGICO'!$A$2:$A$4919,$A907)</f>
        <v/>
      </c>
      <c r="L907" s="6">
        <f>_xlfn.MAXIFS('DETALLE CRONOLÓGICO'!$K$2:$K$4919,'DETALLE CRONOLÓGICO'!$A$2:$A$4919,$A907)</f>
        <v/>
      </c>
      <c r="M907" s="6">
        <f>INDEX('DETALLE CRONOLÓGICO'!$K$2:$K$4919,MATCH($A907,'DETALLE CRONOLÓGICO'!$A$2:$A$4919,0)+$E907-1)</f>
        <v/>
      </c>
      <c r="N907" s="7">
        <f>IFERROR($M907/INDEX('DETALLE CRONOLÓGICO'!$K$2:$K$4919,MATCH($A907,'DETALLE CRONOLÓGICO'!$A$2:$A$4919,0))-1,"")</f>
        <v/>
      </c>
      <c r="O907" s="6">
        <f>IFERROR($I907*3,"")</f>
        <v/>
      </c>
      <c r="P907" s="6">
        <f>IFERROR($I907*3.5,"")</f>
        <v/>
      </c>
      <c r="Q907" s="6">
        <f>IFERROR($I907*4,"")</f>
        <v/>
      </c>
      <c r="R907" s="6" t="n">
        <v>989</v>
      </c>
      <c r="S907" s="4" t="n">
        <v>2</v>
      </c>
      <c r="T907" s="1" t="inlineStr">
        <is>
          <t>active</t>
        </is>
      </c>
      <c r="U907" s="8" t="n"/>
      <c r="V907" s="1" t="inlineStr">
        <is>
          <t>SIN PRECIO</t>
        </is>
      </c>
    </row>
    <row r="908">
      <c r="A908" s="1" t="inlineStr">
        <is>
          <t>53890267165196</t>
        </is>
      </c>
      <c r="B908" s="1" t="inlineStr">
        <is>
          <t>RELOJ PANTHERE GOLD</t>
        </is>
      </c>
      <c r="C908" s="1" t="inlineStr">
        <is>
          <t>RELOJ SIN CAJA</t>
        </is>
      </c>
      <c r="D908" s="1" t="inlineStr">
        <is>
          <t>ZOEY</t>
        </is>
      </c>
      <c r="E908" s="4">
        <f>COUNTIF('DETALLE CRONOLÓGICO'!$A$2:$A$4919,$A908)</f>
        <v/>
      </c>
      <c r="F908" s="4">
        <f>SUMIFS('DETALLE CRONOLÓGICO'!$I$2:$I$4919,'DETALLE CRONOLÓGICO'!$A$2:$A$4919,$A908)</f>
        <v/>
      </c>
      <c r="G908" s="1">
        <f>INDEX('DETALLE CRONOLÓGICO'!$D$2:$D$4919,MATCH($A908,'DETALLE CRONOLÓGICO'!$A$2:$A$4919,0))</f>
        <v/>
      </c>
      <c r="H908" s="1">
        <f>INDEX('DETALLE CRONOLÓGICO'!$D$2:$D$4919,MATCH($A908,'DETALLE CRONOLÓGICO'!$A$2:$A$4919,0)+$E908-1)</f>
        <v/>
      </c>
      <c r="I908" s="5">
        <f>IFERROR(SUMIFS('DETALLE CRONOLÓGICO'!$L$2:$L$4919,'DETALLE CRONOLÓGICO'!$A$2:$A$4919,$A908)/$F908,"")</f>
        <v/>
      </c>
      <c r="J908" s="6">
        <f>IFERROR(SUMIFS('DETALLE CRONOLÓGICO'!$K$2:$K$4919,'DETALLE CRONOLÓGICO'!$A$2:$A$4919,$A908)/$E908,"")</f>
        <v/>
      </c>
      <c r="K908" s="6">
        <f>_xlfn.MINIFS('DETALLE CRONOLÓGICO'!$K$2:$K$4919,'DETALLE CRONOLÓGICO'!$A$2:$A$4919,$A908)</f>
        <v/>
      </c>
      <c r="L908" s="6">
        <f>_xlfn.MAXIFS('DETALLE CRONOLÓGICO'!$K$2:$K$4919,'DETALLE CRONOLÓGICO'!$A$2:$A$4919,$A908)</f>
        <v/>
      </c>
      <c r="M908" s="6">
        <f>INDEX('DETALLE CRONOLÓGICO'!$K$2:$K$4919,MATCH($A908,'DETALLE CRONOLÓGICO'!$A$2:$A$4919,0)+$E908-1)</f>
        <v/>
      </c>
      <c r="N908" s="7">
        <f>IFERROR($M908/INDEX('DETALLE CRONOLÓGICO'!$K$2:$K$4919,MATCH($A908,'DETALLE CRONOLÓGICO'!$A$2:$A$4919,0))-1,"")</f>
        <v/>
      </c>
      <c r="O908" s="6">
        <f>IFERROR($I908*3,"")</f>
        <v/>
      </c>
      <c r="P908" s="6">
        <f>IFERROR($I908*3.5,"")</f>
        <v/>
      </c>
      <c r="Q908" s="6">
        <f>IFERROR($I908*4,"")</f>
        <v/>
      </c>
      <c r="R908" s="6" t="n">
        <v>5379</v>
      </c>
      <c r="S908" s="4" t="n">
        <v>5</v>
      </c>
      <c r="T908" s="1" t="inlineStr">
        <is>
          <t>active</t>
        </is>
      </c>
      <c r="U908" s="8" t="n"/>
      <c r="V908" s="1" t="inlineStr">
        <is>
          <t>SIN PRECIO</t>
        </is>
      </c>
    </row>
    <row r="909">
      <c r="A909" s="1" t="inlineStr">
        <is>
          <t>54361211302573</t>
        </is>
      </c>
      <c r="B909" s="1" t="inlineStr">
        <is>
          <t>BRAZALETE BV SILVER WHITE</t>
        </is>
      </c>
      <c r="C909" s="1" t="n">
        <v>19</v>
      </c>
      <c r="D909" s="1" t="inlineStr">
        <is>
          <t>HAIFENG</t>
        </is>
      </c>
      <c r="E909" s="4">
        <f>COUNTIF('DETALLE CRONOLÓGICO'!$A$2:$A$4919,$A909)</f>
        <v/>
      </c>
      <c r="F909" s="4">
        <f>SUMIFS('DETALLE CRONOLÓGICO'!$I$2:$I$4919,'DETALLE CRONOLÓGICO'!$A$2:$A$4919,$A909)</f>
        <v/>
      </c>
      <c r="G909" s="1">
        <f>INDEX('DETALLE CRONOLÓGICO'!$D$2:$D$4919,MATCH($A909,'DETALLE CRONOLÓGICO'!$A$2:$A$4919,0))</f>
        <v/>
      </c>
      <c r="H909" s="1">
        <f>INDEX('DETALLE CRONOLÓGICO'!$D$2:$D$4919,MATCH($A909,'DETALLE CRONOLÓGICO'!$A$2:$A$4919,0)+$E909-1)</f>
        <v/>
      </c>
      <c r="I909" s="5">
        <f>IFERROR(SUMIFS('DETALLE CRONOLÓGICO'!$L$2:$L$4919,'DETALLE CRONOLÓGICO'!$A$2:$A$4919,$A909)/$F909,"")</f>
        <v/>
      </c>
      <c r="J909" s="6">
        <f>IFERROR(SUMIFS('DETALLE CRONOLÓGICO'!$K$2:$K$4919,'DETALLE CRONOLÓGICO'!$A$2:$A$4919,$A909)/$E909,"")</f>
        <v/>
      </c>
      <c r="K909" s="6">
        <f>_xlfn.MINIFS('DETALLE CRONOLÓGICO'!$K$2:$K$4919,'DETALLE CRONOLÓGICO'!$A$2:$A$4919,$A909)</f>
        <v/>
      </c>
      <c r="L909" s="6">
        <f>_xlfn.MAXIFS('DETALLE CRONOLÓGICO'!$K$2:$K$4919,'DETALLE CRONOLÓGICO'!$A$2:$A$4919,$A909)</f>
        <v/>
      </c>
      <c r="M909" s="6">
        <f>INDEX('DETALLE CRONOLÓGICO'!$K$2:$K$4919,MATCH($A909,'DETALLE CRONOLÓGICO'!$A$2:$A$4919,0)+$E909-1)</f>
        <v/>
      </c>
      <c r="N909" s="7">
        <f>IFERROR($M909/INDEX('DETALLE CRONOLÓGICO'!$K$2:$K$4919,MATCH($A909,'DETALLE CRONOLÓGICO'!$A$2:$A$4919,0))-1,"")</f>
        <v/>
      </c>
      <c r="O909" s="6">
        <f>IFERROR($I909*3,"")</f>
        <v/>
      </c>
      <c r="P909" s="6">
        <f>IFERROR($I909*3.5,"")</f>
        <v/>
      </c>
      <c r="Q909" s="6">
        <f>IFERROR($I909*4,"")</f>
        <v/>
      </c>
      <c r="R909" s="6" t="n">
        <v>850</v>
      </c>
      <c r="S909" s="4" t="n">
        <v>1</v>
      </c>
      <c r="T909" s="1" t="inlineStr">
        <is>
          <t>active</t>
        </is>
      </c>
      <c r="U909" s="8" t="n"/>
      <c r="V909" s="1" t="inlineStr">
        <is>
          <t>SIN PRECIO</t>
        </is>
      </c>
    </row>
    <row r="910">
      <c r="A910" s="1" t="inlineStr">
        <is>
          <t>54479961098957</t>
        </is>
      </c>
      <c r="B910" s="1" t="inlineStr">
        <is>
          <t>COLLAR MSS SILVER CON ZIRCONIA</t>
        </is>
      </c>
      <c r="C910" s="1" t="inlineStr">
        <is>
          <t>Default Title</t>
        </is>
      </c>
      <c r="D910" s="1" t="inlineStr">
        <is>
          <t>HAIFENG</t>
        </is>
      </c>
      <c r="E910" s="4">
        <f>COUNTIF('DETALLE CRONOLÓGICO'!$A$2:$A$4919,$A910)</f>
        <v/>
      </c>
      <c r="F910" s="4">
        <f>SUMIFS('DETALLE CRONOLÓGICO'!$I$2:$I$4919,'DETALLE CRONOLÓGICO'!$A$2:$A$4919,$A910)</f>
        <v/>
      </c>
      <c r="G910" s="1">
        <f>INDEX('DETALLE CRONOLÓGICO'!$D$2:$D$4919,MATCH($A910,'DETALLE CRONOLÓGICO'!$A$2:$A$4919,0))</f>
        <v/>
      </c>
      <c r="H910" s="1">
        <f>INDEX('DETALLE CRONOLÓGICO'!$D$2:$D$4919,MATCH($A910,'DETALLE CRONOLÓGICO'!$A$2:$A$4919,0)+$E910-1)</f>
        <v/>
      </c>
      <c r="I910" s="5">
        <f>IFERROR(SUMIFS('DETALLE CRONOLÓGICO'!$L$2:$L$4919,'DETALLE CRONOLÓGICO'!$A$2:$A$4919,$A910)/$F910,"")</f>
        <v/>
      </c>
      <c r="J910" s="6">
        <f>IFERROR(SUMIFS('DETALLE CRONOLÓGICO'!$K$2:$K$4919,'DETALLE CRONOLÓGICO'!$A$2:$A$4919,$A910)/$E910,"")</f>
        <v/>
      </c>
      <c r="K910" s="6">
        <f>_xlfn.MINIFS('DETALLE CRONOLÓGICO'!$K$2:$K$4919,'DETALLE CRONOLÓGICO'!$A$2:$A$4919,$A910)</f>
        <v/>
      </c>
      <c r="L910" s="6">
        <f>_xlfn.MAXIFS('DETALLE CRONOLÓGICO'!$K$2:$K$4919,'DETALLE CRONOLÓGICO'!$A$2:$A$4919,$A910)</f>
        <v/>
      </c>
      <c r="M910" s="6">
        <f>INDEX('DETALLE CRONOLÓGICO'!$K$2:$K$4919,MATCH($A910,'DETALLE CRONOLÓGICO'!$A$2:$A$4919,0)+$E910-1)</f>
        <v/>
      </c>
      <c r="N910" s="7">
        <f>IFERROR($M910/INDEX('DETALLE CRONOLÓGICO'!$K$2:$K$4919,MATCH($A910,'DETALLE CRONOLÓGICO'!$A$2:$A$4919,0))-1,"")</f>
        <v/>
      </c>
      <c r="O910" s="6">
        <f>IFERROR($I910*3,"")</f>
        <v/>
      </c>
      <c r="P910" s="6">
        <f>IFERROR($I910*3.5,"")</f>
        <v/>
      </c>
      <c r="Q910" s="6">
        <f>IFERROR($I910*4,"")</f>
        <v/>
      </c>
      <c r="R910" s="6" t="n">
        <v>699</v>
      </c>
      <c r="S910" s="4" t="n">
        <v>9</v>
      </c>
      <c r="T910" s="1" t="inlineStr">
        <is>
          <t>active</t>
        </is>
      </c>
      <c r="U910" s="8" t="n"/>
      <c r="V910" s="1" t="inlineStr">
        <is>
          <t>SIN PRECIO</t>
        </is>
      </c>
    </row>
    <row r="911">
      <c r="A911" s="1" t="inlineStr">
        <is>
          <t>54804110299361</t>
        </is>
      </c>
      <c r="B911" s="1" t="inlineStr">
        <is>
          <t>COLLAR DOBLE PLACA CORAZÓN ROJO-PLATA</t>
        </is>
      </c>
      <c r="C911" s="1" t="inlineStr">
        <is>
          <t>Con diamante</t>
        </is>
      </c>
      <c r="D911" s="1" t="inlineStr">
        <is>
          <t>HAIFENG</t>
        </is>
      </c>
      <c r="E911" s="4">
        <f>COUNTIF('DETALLE CRONOLÓGICO'!$A$2:$A$4919,$A911)</f>
        <v/>
      </c>
      <c r="F911" s="4">
        <f>SUMIFS('DETALLE CRONOLÓGICO'!$I$2:$I$4919,'DETALLE CRONOLÓGICO'!$A$2:$A$4919,$A911)</f>
        <v/>
      </c>
      <c r="G911" s="1">
        <f>INDEX('DETALLE CRONOLÓGICO'!$D$2:$D$4919,MATCH($A911,'DETALLE CRONOLÓGICO'!$A$2:$A$4919,0))</f>
        <v/>
      </c>
      <c r="H911" s="1">
        <f>INDEX('DETALLE CRONOLÓGICO'!$D$2:$D$4919,MATCH($A911,'DETALLE CRONOLÓGICO'!$A$2:$A$4919,0)+$E911-1)</f>
        <v/>
      </c>
      <c r="I911" s="5">
        <f>IFERROR(SUMIFS('DETALLE CRONOLÓGICO'!$L$2:$L$4919,'DETALLE CRONOLÓGICO'!$A$2:$A$4919,$A911)/$F911,"")</f>
        <v/>
      </c>
      <c r="J911" s="6">
        <f>IFERROR(SUMIFS('DETALLE CRONOLÓGICO'!$K$2:$K$4919,'DETALLE CRONOLÓGICO'!$A$2:$A$4919,$A911)/$E911,"")</f>
        <v/>
      </c>
      <c r="K911" s="6">
        <f>_xlfn.MINIFS('DETALLE CRONOLÓGICO'!$K$2:$K$4919,'DETALLE CRONOLÓGICO'!$A$2:$A$4919,$A911)</f>
        <v/>
      </c>
      <c r="L911" s="6">
        <f>_xlfn.MAXIFS('DETALLE CRONOLÓGICO'!$K$2:$K$4919,'DETALLE CRONOLÓGICO'!$A$2:$A$4919,$A911)</f>
        <v/>
      </c>
      <c r="M911" s="6">
        <f>INDEX('DETALLE CRONOLÓGICO'!$K$2:$K$4919,MATCH($A911,'DETALLE CRONOLÓGICO'!$A$2:$A$4919,0)+$E911-1)</f>
        <v/>
      </c>
      <c r="N911" s="7">
        <f>IFERROR($M911/INDEX('DETALLE CRONOLÓGICO'!$K$2:$K$4919,MATCH($A911,'DETALLE CRONOLÓGICO'!$A$2:$A$4919,0))-1,"")</f>
        <v/>
      </c>
      <c r="O911" s="6">
        <f>IFERROR($I911*3,"")</f>
        <v/>
      </c>
      <c r="P911" s="6">
        <f>IFERROR($I911*3.5,"")</f>
        <v/>
      </c>
      <c r="Q911" s="6">
        <f>IFERROR($I911*4,"")</f>
        <v/>
      </c>
      <c r="R911" s="6" t="n">
        <v>770</v>
      </c>
      <c r="S911" s="4" t="n">
        <v>0</v>
      </c>
      <c r="T911" s="1" t="inlineStr">
        <is>
          <t>active</t>
        </is>
      </c>
      <c r="U911" s="8" t="n"/>
      <c r="V911" s="1" t="inlineStr">
        <is>
          <t>SIN PRECIO</t>
        </is>
      </c>
    </row>
    <row r="912">
      <c r="A912" s="1" t="inlineStr">
        <is>
          <t>56072001110541</t>
        </is>
      </c>
      <c r="B912" s="1" t="inlineStr">
        <is>
          <t>PULSERA F FOREVER BLACK GOLD</t>
        </is>
      </c>
      <c r="C912" s="1" t="n"/>
      <c r="D912" s="1" t="inlineStr">
        <is>
          <t>NANCY</t>
        </is>
      </c>
      <c r="E912" s="4">
        <f>COUNTIF('DETALLE CRONOLÓGICO'!$A$2:$A$4919,$A912)</f>
        <v/>
      </c>
      <c r="F912" s="4">
        <f>SUMIFS('DETALLE CRONOLÓGICO'!$I$2:$I$4919,'DETALLE CRONOLÓGICO'!$A$2:$A$4919,$A912)</f>
        <v/>
      </c>
      <c r="G912" s="1">
        <f>INDEX('DETALLE CRONOLÓGICO'!$D$2:$D$4919,MATCH($A912,'DETALLE CRONOLÓGICO'!$A$2:$A$4919,0))</f>
        <v/>
      </c>
      <c r="H912" s="1">
        <f>INDEX('DETALLE CRONOLÓGICO'!$D$2:$D$4919,MATCH($A912,'DETALLE CRONOLÓGICO'!$A$2:$A$4919,0)+$E912-1)</f>
        <v/>
      </c>
      <c r="I912" s="5">
        <f>IFERROR(SUMIFS('DETALLE CRONOLÓGICO'!$L$2:$L$4919,'DETALLE CRONOLÓGICO'!$A$2:$A$4919,$A912)/$F912,"")</f>
        <v/>
      </c>
      <c r="J912" s="6">
        <f>IFERROR(SUMIFS('DETALLE CRONOLÓGICO'!$K$2:$K$4919,'DETALLE CRONOLÓGICO'!$A$2:$A$4919,$A912)/$E912,"")</f>
        <v/>
      </c>
      <c r="K912" s="6">
        <f>_xlfn.MINIFS('DETALLE CRONOLÓGICO'!$K$2:$K$4919,'DETALLE CRONOLÓGICO'!$A$2:$A$4919,$A912)</f>
        <v/>
      </c>
      <c r="L912" s="6">
        <f>_xlfn.MAXIFS('DETALLE CRONOLÓGICO'!$K$2:$K$4919,'DETALLE CRONOLÓGICO'!$A$2:$A$4919,$A912)</f>
        <v/>
      </c>
      <c r="M912" s="6">
        <f>INDEX('DETALLE CRONOLÓGICO'!$K$2:$K$4919,MATCH($A912,'DETALLE CRONOLÓGICO'!$A$2:$A$4919,0)+$E912-1)</f>
        <v/>
      </c>
      <c r="N912" s="7">
        <f>IFERROR($M912/INDEX('DETALLE CRONOLÓGICO'!$K$2:$K$4919,MATCH($A912,'DETALLE CRONOLÓGICO'!$A$2:$A$4919,0))-1,"")</f>
        <v/>
      </c>
      <c r="O912" s="6">
        <f>IFERROR($I912*3,"")</f>
        <v/>
      </c>
      <c r="P912" s="6">
        <f>IFERROR($I912*3.5,"")</f>
        <v/>
      </c>
      <c r="Q912" s="6">
        <f>IFERROR($I912*4,"")</f>
        <v/>
      </c>
      <c r="R912" s="6" t="n">
        <v>0</v>
      </c>
      <c r="S912" s="4" t="n">
        <v>0</v>
      </c>
      <c r="T912" s="1" t="inlineStr">
        <is>
          <t>draft</t>
        </is>
      </c>
      <c r="U912" s="8" t="n"/>
      <c r="V912" s="1" t="inlineStr">
        <is>
          <t>SIN PRECIO</t>
        </is>
      </c>
    </row>
    <row r="913">
      <c r="A913" s="1" t="inlineStr">
        <is>
          <t>56481450498956</t>
        </is>
      </c>
      <c r="B913" s="1" t="inlineStr">
        <is>
          <t>ANILLO CORAZÓN GRABADO</t>
        </is>
      </c>
      <c r="C913" s="1" t="inlineStr">
        <is>
          <t>6</t>
        </is>
      </c>
      <c r="D913" s="1" t="inlineStr">
        <is>
          <t>HAIFENG</t>
        </is>
      </c>
      <c r="E913" s="4">
        <f>COUNTIF('DETALLE CRONOLÓGICO'!$A$2:$A$4919,$A913)</f>
        <v/>
      </c>
      <c r="F913" s="4">
        <f>SUMIFS('DETALLE CRONOLÓGICO'!$I$2:$I$4919,'DETALLE CRONOLÓGICO'!$A$2:$A$4919,$A913)</f>
        <v/>
      </c>
      <c r="G913" s="1">
        <f>INDEX('DETALLE CRONOLÓGICO'!$D$2:$D$4919,MATCH($A913,'DETALLE CRONOLÓGICO'!$A$2:$A$4919,0))</f>
        <v/>
      </c>
      <c r="H913" s="1">
        <f>INDEX('DETALLE CRONOLÓGICO'!$D$2:$D$4919,MATCH($A913,'DETALLE CRONOLÓGICO'!$A$2:$A$4919,0)+$E913-1)</f>
        <v/>
      </c>
      <c r="I913" s="5">
        <f>IFERROR(SUMIFS('DETALLE CRONOLÓGICO'!$L$2:$L$4919,'DETALLE CRONOLÓGICO'!$A$2:$A$4919,$A913)/$F913,"")</f>
        <v/>
      </c>
      <c r="J913" s="6">
        <f>IFERROR(SUMIFS('DETALLE CRONOLÓGICO'!$K$2:$K$4919,'DETALLE CRONOLÓGICO'!$A$2:$A$4919,$A913)/$E913,"")</f>
        <v/>
      </c>
      <c r="K913" s="6">
        <f>_xlfn.MINIFS('DETALLE CRONOLÓGICO'!$K$2:$K$4919,'DETALLE CRONOLÓGICO'!$A$2:$A$4919,$A913)</f>
        <v/>
      </c>
      <c r="L913" s="6">
        <f>_xlfn.MAXIFS('DETALLE CRONOLÓGICO'!$K$2:$K$4919,'DETALLE CRONOLÓGICO'!$A$2:$A$4919,$A913)</f>
        <v/>
      </c>
      <c r="M913" s="6">
        <f>INDEX('DETALLE CRONOLÓGICO'!$K$2:$K$4919,MATCH($A913,'DETALLE CRONOLÓGICO'!$A$2:$A$4919,0)+$E913-1)</f>
        <v/>
      </c>
      <c r="N913" s="7">
        <f>IFERROR($M913/INDEX('DETALLE CRONOLÓGICO'!$K$2:$K$4919,MATCH($A913,'DETALLE CRONOLÓGICO'!$A$2:$A$4919,0))-1,"")</f>
        <v/>
      </c>
      <c r="O913" s="6">
        <f>IFERROR($I913*3,"")</f>
        <v/>
      </c>
      <c r="P913" s="6">
        <f>IFERROR($I913*3.5,"")</f>
        <v/>
      </c>
      <c r="Q913" s="6">
        <f>IFERROR($I913*4,"")</f>
        <v/>
      </c>
      <c r="R913" s="6" t="n">
        <v>450</v>
      </c>
      <c r="S913" s="4" t="n">
        <v>4</v>
      </c>
      <c r="T913" s="1" t="inlineStr">
        <is>
          <t>active</t>
        </is>
      </c>
      <c r="U913" s="8" t="n"/>
      <c r="V913" s="1" t="inlineStr">
        <is>
          <t>SIN PRECIO</t>
        </is>
      </c>
    </row>
    <row r="914">
      <c r="A914" s="1" t="inlineStr">
        <is>
          <t>56481450531724</t>
        </is>
      </c>
      <c r="B914" s="1" t="inlineStr">
        <is>
          <t>ANILLO CORAZÓN GRABADO</t>
        </is>
      </c>
      <c r="C914" s="1" t="inlineStr">
        <is>
          <t>7</t>
        </is>
      </c>
      <c r="D914" s="1" t="inlineStr">
        <is>
          <t>HAIFENG</t>
        </is>
      </c>
      <c r="E914" s="4">
        <f>COUNTIF('DETALLE CRONOLÓGICO'!$A$2:$A$4919,$A914)</f>
        <v/>
      </c>
      <c r="F914" s="4">
        <f>SUMIFS('DETALLE CRONOLÓGICO'!$I$2:$I$4919,'DETALLE CRONOLÓGICO'!$A$2:$A$4919,$A914)</f>
        <v/>
      </c>
      <c r="G914" s="1">
        <f>INDEX('DETALLE CRONOLÓGICO'!$D$2:$D$4919,MATCH($A914,'DETALLE CRONOLÓGICO'!$A$2:$A$4919,0))</f>
        <v/>
      </c>
      <c r="H914" s="1">
        <f>INDEX('DETALLE CRONOLÓGICO'!$D$2:$D$4919,MATCH($A914,'DETALLE CRONOLÓGICO'!$A$2:$A$4919,0)+$E914-1)</f>
        <v/>
      </c>
      <c r="I914" s="5">
        <f>IFERROR(SUMIFS('DETALLE CRONOLÓGICO'!$L$2:$L$4919,'DETALLE CRONOLÓGICO'!$A$2:$A$4919,$A914)/$F914,"")</f>
        <v/>
      </c>
      <c r="J914" s="6">
        <f>IFERROR(SUMIFS('DETALLE CRONOLÓGICO'!$K$2:$K$4919,'DETALLE CRONOLÓGICO'!$A$2:$A$4919,$A914)/$E914,"")</f>
        <v/>
      </c>
      <c r="K914" s="6">
        <f>_xlfn.MINIFS('DETALLE CRONOLÓGICO'!$K$2:$K$4919,'DETALLE CRONOLÓGICO'!$A$2:$A$4919,$A914)</f>
        <v/>
      </c>
      <c r="L914" s="6">
        <f>_xlfn.MAXIFS('DETALLE CRONOLÓGICO'!$K$2:$K$4919,'DETALLE CRONOLÓGICO'!$A$2:$A$4919,$A914)</f>
        <v/>
      </c>
      <c r="M914" s="6">
        <f>INDEX('DETALLE CRONOLÓGICO'!$K$2:$K$4919,MATCH($A914,'DETALLE CRONOLÓGICO'!$A$2:$A$4919,0)+$E914-1)</f>
        <v/>
      </c>
      <c r="N914" s="7">
        <f>IFERROR($M914/INDEX('DETALLE CRONOLÓGICO'!$K$2:$K$4919,MATCH($A914,'DETALLE CRONOLÓGICO'!$A$2:$A$4919,0))-1,"")</f>
        <v/>
      </c>
      <c r="O914" s="6">
        <f>IFERROR($I914*3,"")</f>
        <v/>
      </c>
      <c r="P914" s="6">
        <f>IFERROR($I914*3.5,"")</f>
        <v/>
      </c>
      <c r="Q914" s="6">
        <f>IFERROR($I914*4,"")</f>
        <v/>
      </c>
      <c r="R914" s="6" t="n">
        <v>450</v>
      </c>
      <c r="S914" s="4" t="n">
        <v>3</v>
      </c>
      <c r="T914" s="1" t="inlineStr">
        <is>
          <t>active</t>
        </is>
      </c>
      <c r="U914" s="8" t="n"/>
      <c r="V914" s="1" t="inlineStr">
        <is>
          <t>SIN PRECIO</t>
        </is>
      </c>
    </row>
    <row r="915">
      <c r="A915" s="1" t="inlineStr">
        <is>
          <t>56481450564492</t>
        </is>
      </c>
      <c r="B915" s="1" t="inlineStr">
        <is>
          <t>ANILLO CORAZÓN GRABADO</t>
        </is>
      </c>
      <c r="C915" s="1" t="inlineStr">
        <is>
          <t>8</t>
        </is>
      </c>
      <c r="D915" s="1" t="inlineStr">
        <is>
          <t>HAIFENG</t>
        </is>
      </c>
      <c r="E915" s="4">
        <f>COUNTIF('DETALLE CRONOLÓGICO'!$A$2:$A$4919,$A915)</f>
        <v/>
      </c>
      <c r="F915" s="4">
        <f>SUMIFS('DETALLE CRONOLÓGICO'!$I$2:$I$4919,'DETALLE CRONOLÓGICO'!$A$2:$A$4919,$A915)</f>
        <v/>
      </c>
      <c r="G915" s="1">
        <f>INDEX('DETALLE CRONOLÓGICO'!$D$2:$D$4919,MATCH($A915,'DETALLE CRONOLÓGICO'!$A$2:$A$4919,0))</f>
        <v/>
      </c>
      <c r="H915" s="1">
        <f>INDEX('DETALLE CRONOLÓGICO'!$D$2:$D$4919,MATCH($A915,'DETALLE CRONOLÓGICO'!$A$2:$A$4919,0)+$E915-1)</f>
        <v/>
      </c>
      <c r="I915" s="5">
        <f>IFERROR(SUMIFS('DETALLE CRONOLÓGICO'!$L$2:$L$4919,'DETALLE CRONOLÓGICO'!$A$2:$A$4919,$A915)/$F915,"")</f>
        <v/>
      </c>
      <c r="J915" s="6">
        <f>IFERROR(SUMIFS('DETALLE CRONOLÓGICO'!$K$2:$K$4919,'DETALLE CRONOLÓGICO'!$A$2:$A$4919,$A915)/$E915,"")</f>
        <v/>
      </c>
      <c r="K915" s="6">
        <f>_xlfn.MINIFS('DETALLE CRONOLÓGICO'!$K$2:$K$4919,'DETALLE CRONOLÓGICO'!$A$2:$A$4919,$A915)</f>
        <v/>
      </c>
      <c r="L915" s="6">
        <f>_xlfn.MAXIFS('DETALLE CRONOLÓGICO'!$K$2:$K$4919,'DETALLE CRONOLÓGICO'!$A$2:$A$4919,$A915)</f>
        <v/>
      </c>
      <c r="M915" s="6">
        <f>INDEX('DETALLE CRONOLÓGICO'!$K$2:$K$4919,MATCH($A915,'DETALLE CRONOLÓGICO'!$A$2:$A$4919,0)+$E915-1)</f>
        <v/>
      </c>
      <c r="N915" s="7">
        <f>IFERROR($M915/INDEX('DETALLE CRONOLÓGICO'!$K$2:$K$4919,MATCH($A915,'DETALLE CRONOLÓGICO'!$A$2:$A$4919,0))-1,"")</f>
        <v/>
      </c>
      <c r="O915" s="6">
        <f>IFERROR($I915*3,"")</f>
        <v/>
      </c>
      <c r="P915" s="6">
        <f>IFERROR($I915*3.5,"")</f>
        <v/>
      </c>
      <c r="Q915" s="6">
        <f>IFERROR($I915*4,"")</f>
        <v/>
      </c>
      <c r="R915" s="6" t="n">
        <v>450</v>
      </c>
      <c r="S915" s="4" t="n">
        <v>5</v>
      </c>
      <c r="T915" s="1" t="inlineStr">
        <is>
          <t>active</t>
        </is>
      </c>
      <c r="U915" s="8" t="n"/>
      <c r="V915" s="1" t="inlineStr">
        <is>
          <t>SIN PRECIO</t>
        </is>
      </c>
    </row>
    <row r="916">
      <c r="A916" s="1" t="inlineStr">
        <is>
          <t>56481462558348</t>
        </is>
      </c>
      <c r="B916" s="1" t="inlineStr">
        <is>
          <t>ANILLO ECROU SILVER</t>
        </is>
      </c>
      <c r="C916" s="1" t="n">
        <v>6</v>
      </c>
      <c r="D916" s="1" t="inlineStr">
        <is>
          <t>NANCY</t>
        </is>
      </c>
      <c r="E916" s="4">
        <f>COUNTIF('DETALLE CRONOLÓGICO'!$A$2:$A$4919,$A916)</f>
        <v/>
      </c>
      <c r="F916" s="4">
        <f>SUMIFS('DETALLE CRONOLÓGICO'!$I$2:$I$4919,'DETALLE CRONOLÓGICO'!$A$2:$A$4919,$A916)</f>
        <v/>
      </c>
      <c r="G916" s="1">
        <f>INDEX('DETALLE CRONOLÓGICO'!$D$2:$D$4919,MATCH($A916,'DETALLE CRONOLÓGICO'!$A$2:$A$4919,0))</f>
        <v/>
      </c>
      <c r="H916" s="1">
        <f>INDEX('DETALLE CRONOLÓGICO'!$D$2:$D$4919,MATCH($A916,'DETALLE CRONOLÓGICO'!$A$2:$A$4919,0)+$E916-1)</f>
        <v/>
      </c>
      <c r="I916" s="5">
        <f>IFERROR(SUMIFS('DETALLE CRONOLÓGICO'!$L$2:$L$4919,'DETALLE CRONOLÓGICO'!$A$2:$A$4919,$A916)/$F916,"")</f>
        <v/>
      </c>
      <c r="J916" s="6">
        <f>IFERROR(SUMIFS('DETALLE CRONOLÓGICO'!$K$2:$K$4919,'DETALLE CRONOLÓGICO'!$A$2:$A$4919,$A916)/$E916,"")</f>
        <v/>
      </c>
      <c r="K916" s="6">
        <f>_xlfn.MINIFS('DETALLE CRONOLÓGICO'!$K$2:$K$4919,'DETALLE CRONOLÓGICO'!$A$2:$A$4919,$A916)</f>
        <v/>
      </c>
      <c r="L916" s="6">
        <f>_xlfn.MAXIFS('DETALLE CRONOLÓGICO'!$K$2:$K$4919,'DETALLE CRONOLÓGICO'!$A$2:$A$4919,$A916)</f>
        <v/>
      </c>
      <c r="M916" s="6">
        <f>INDEX('DETALLE CRONOLÓGICO'!$K$2:$K$4919,MATCH($A916,'DETALLE CRONOLÓGICO'!$A$2:$A$4919,0)+$E916-1)</f>
        <v/>
      </c>
      <c r="N916" s="7">
        <f>IFERROR($M916/INDEX('DETALLE CRONOLÓGICO'!$K$2:$K$4919,MATCH($A916,'DETALLE CRONOLÓGICO'!$A$2:$A$4919,0))-1,"")</f>
        <v/>
      </c>
      <c r="O916" s="6">
        <f>IFERROR($I916*3,"")</f>
        <v/>
      </c>
      <c r="P916" s="6">
        <f>IFERROR($I916*3.5,"")</f>
        <v/>
      </c>
      <c r="Q916" s="6">
        <f>IFERROR($I916*4,"")</f>
        <v/>
      </c>
      <c r="R916" s="6" t="n">
        <v>560</v>
      </c>
      <c r="S916" s="4" t="n">
        <v>2</v>
      </c>
      <c r="T916" s="1" t="inlineStr">
        <is>
          <t>active</t>
        </is>
      </c>
      <c r="U916" s="8" t="n"/>
      <c r="V916" s="1" t="inlineStr">
        <is>
          <t>SIN PRECIO</t>
        </is>
      </c>
    </row>
    <row r="917">
      <c r="A917" s="1" t="inlineStr">
        <is>
          <t>56481462591116</t>
        </is>
      </c>
      <c r="B917" s="1" t="inlineStr">
        <is>
          <t>ANILLO ECROU SILVER</t>
        </is>
      </c>
      <c r="C917" s="1" t="n">
        <v>7</v>
      </c>
      <c r="D917" s="1" t="inlineStr">
        <is>
          <t>NANCY</t>
        </is>
      </c>
      <c r="E917" s="4">
        <f>COUNTIF('DETALLE CRONOLÓGICO'!$A$2:$A$4919,$A917)</f>
        <v/>
      </c>
      <c r="F917" s="4">
        <f>SUMIFS('DETALLE CRONOLÓGICO'!$I$2:$I$4919,'DETALLE CRONOLÓGICO'!$A$2:$A$4919,$A917)</f>
        <v/>
      </c>
      <c r="G917" s="1">
        <f>INDEX('DETALLE CRONOLÓGICO'!$D$2:$D$4919,MATCH($A917,'DETALLE CRONOLÓGICO'!$A$2:$A$4919,0))</f>
        <v/>
      </c>
      <c r="H917" s="1">
        <f>INDEX('DETALLE CRONOLÓGICO'!$D$2:$D$4919,MATCH($A917,'DETALLE CRONOLÓGICO'!$A$2:$A$4919,0)+$E917-1)</f>
        <v/>
      </c>
      <c r="I917" s="5">
        <f>IFERROR(SUMIFS('DETALLE CRONOLÓGICO'!$L$2:$L$4919,'DETALLE CRONOLÓGICO'!$A$2:$A$4919,$A917)/$F917,"")</f>
        <v/>
      </c>
      <c r="J917" s="6">
        <f>IFERROR(SUMIFS('DETALLE CRONOLÓGICO'!$K$2:$K$4919,'DETALLE CRONOLÓGICO'!$A$2:$A$4919,$A917)/$E917,"")</f>
        <v/>
      </c>
      <c r="K917" s="6">
        <f>_xlfn.MINIFS('DETALLE CRONOLÓGICO'!$K$2:$K$4919,'DETALLE CRONOLÓGICO'!$A$2:$A$4919,$A917)</f>
        <v/>
      </c>
      <c r="L917" s="6">
        <f>_xlfn.MAXIFS('DETALLE CRONOLÓGICO'!$K$2:$K$4919,'DETALLE CRONOLÓGICO'!$A$2:$A$4919,$A917)</f>
        <v/>
      </c>
      <c r="M917" s="6">
        <f>INDEX('DETALLE CRONOLÓGICO'!$K$2:$K$4919,MATCH($A917,'DETALLE CRONOLÓGICO'!$A$2:$A$4919,0)+$E917-1)</f>
        <v/>
      </c>
      <c r="N917" s="7">
        <f>IFERROR($M917/INDEX('DETALLE CRONOLÓGICO'!$K$2:$K$4919,MATCH($A917,'DETALLE CRONOLÓGICO'!$A$2:$A$4919,0))-1,"")</f>
        <v/>
      </c>
      <c r="O917" s="6">
        <f>IFERROR($I917*3,"")</f>
        <v/>
      </c>
      <c r="P917" s="6">
        <f>IFERROR($I917*3.5,"")</f>
        <v/>
      </c>
      <c r="Q917" s="6">
        <f>IFERROR($I917*4,"")</f>
        <v/>
      </c>
      <c r="R917" s="6" t="n">
        <v>560</v>
      </c>
      <c r="S917" s="4" t="n">
        <v>2</v>
      </c>
      <c r="T917" s="1" t="inlineStr">
        <is>
          <t>active</t>
        </is>
      </c>
      <c r="U917" s="8" t="n"/>
      <c r="V917" s="1" t="inlineStr">
        <is>
          <t>SIN PRECIO</t>
        </is>
      </c>
    </row>
    <row r="918">
      <c r="A918" s="1" t="inlineStr">
        <is>
          <t>56481462623884</t>
        </is>
      </c>
      <c r="B918" s="1" t="inlineStr">
        <is>
          <t>ANILLO ECROU SILVER</t>
        </is>
      </c>
      <c r="C918" s="1" t="n">
        <v>8</v>
      </c>
      <c r="D918" s="1" t="inlineStr">
        <is>
          <t>NANCY</t>
        </is>
      </c>
      <c r="E918" s="4">
        <f>COUNTIF('DETALLE CRONOLÓGICO'!$A$2:$A$4919,$A918)</f>
        <v/>
      </c>
      <c r="F918" s="4">
        <f>SUMIFS('DETALLE CRONOLÓGICO'!$I$2:$I$4919,'DETALLE CRONOLÓGICO'!$A$2:$A$4919,$A918)</f>
        <v/>
      </c>
      <c r="G918" s="1">
        <f>INDEX('DETALLE CRONOLÓGICO'!$D$2:$D$4919,MATCH($A918,'DETALLE CRONOLÓGICO'!$A$2:$A$4919,0))</f>
        <v/>
      </c>
      <c r="H918" s="1">
        <f>INDEX('DETALLE CRONOLÓGICO'!$D$2:$D$4919,MATCH($A918,'DETALLE CRONOLÓGICO'!$A$2:$A$4919,0)+$E918-1)</f>
        <v/>
      </c>
      <c r="I918" s="5">
        <f>IFERROR(SUMIFS('DETALLE CRONOLÓGICO'!$L$2:$L$4919,'DETALLE CRONOLÓGICO'!$A$2:$A$4919,$A918)/$F918,"")</f>
        <v/>
      </c>
      <c r="J918" s="6">
        <f>IFERROR(SUMIFS('DETALLE CRONOLÓGICO'!$K$2:$K$4919,'DETALLE CRONOLÓGICO'!$A$2:$A$4919,$A918)/$E918,"")</f>
        <v/>
      </c>
      <c r="K918" s="6">
        <f>_xlfn.MINIFS('DETALLE CRONOLÓGICO'!$K$2:$K$4919,'DETALLE CRONOLÓGICO'!$A$2:$A$4919,$A918)</f>
        <v/>
      </c>
      <c r="L918" s="6">
        <f>_xlfn.MAXIFS('DETALLE CRONOLÓGICO'!$K$2:$K$4919,'DETALLE CRONOLÓGICO'!$A$2:$A$4919,$A918)</f>
        <v/>
      </c>
      <c r="M918" s="6">
        <f>INDEX('DETALLE CRONOLÓGICO'!$K$2:$K$4919,MATCH($A918,'DETALLE CRONOLÓGICO'!$A$2:$A$4919,0)+$E918-1)</f>
        <v/>
      </c>
      <c r="N918" s="7">
        <f>IFERROR($M918/INDEX('DETALLE CRONOLÓGICO'!$K$2:$K$4919,MATCH($A918,'DETALLE CRONOLÓGICO'!$A$2:$A$4919,0))-1,"")</f>
        <v/>
      </c>
      <c r="O918" s="6">
        <f>IFERROR($I918*3,"")</f>
        <v/>
      </c>
      <c r="P918" s="6">
        <f>IFERROR($I918*3.5,"")</f>
        <v/>
      </c>
      <c r="Q918" s="6">
        <f>IFERROR($I918*4,"")</f>
        <v/>
      </c>
      <c r="R918" s="6" t="n">
        <v>560</v>
      </c>
      <c r="S918" s="4" t="n">
        <v>4</v>
      </c>
      <c r="T918" s="1" t="inlineStr">
        <is>
          <t>active</t>
        </is>
      </c>
      <c r="U918" s="8" t="n"/>
      <c r="V918" s="1" t="inlineStr">
        <is>
          <t>SIN PRECIO</t>
        </is>
      </c>
    </row>
    <row r="919">
      <c r="A919" s="1" t="inlineStr">
        <is>
          <t>56481463199244</t>
        </is>
      </c>
      <c r="B919" s="1" t="inlineStr">
        <is>
          <t>ANILLO ESLABÓN GOLD</t>
        </is>
      </c>
      <c r="C919" s="1" t="inlineStr">
        <is>
          <t>6</t>
        </is>
      </c>
      <c r="D919" s="1" t="inlineStr">
        <is>
          <t>HAIFENG</t>
        </is>
      </c>
      <c r="E919" s="4">
        <f>COUNTIF('DETALLE CRONOLÓGICO'!$A$2:$A$4919,$A919)</f>
        <v/>
      </c>
      <c r="F919" s="4">
        <f>SUMIFS('DETALLE CRONOLÓGICO'!$I$2:$I$4919,'DETALLE CRONOLÓGICO'!$A$2:$A$4919,$A919)</f>
        <v/>
      </c>
      <c r="G919" s="1">
        <f>INDEX('DETALLE CRONOLÓGICO'!$D$2:$D$4919,MATCH($A919,'DETALLE CRONOLÓGICO'!$A$2:$A$4919,0))</f>
        <v/>
      </c>
      <c r="H919" s="1">
        <f>INDEX('DETALLE CRONOLÓGICO'!$D$2:$D$4919,MATCH($A919,'DETALLE CRONOLÓGICO'!$A$2:$A$4919,0)+$E919-1)</f>
        <v/>
      </c>
      <c r="I919" s="5">
        <f>IFERROR(SUMIFS('DETALLE CRONOLÓGICO'!$L$2:$L$4919,'DETALLE CRONOLÓGICO'!$A$2:$A$4919,$A919)/$F919,"")</f>
        <v/>
      </c>
      <c r="J919" s="6">
        <f>IFERROR(SUMIFS('DETALLE CRONOLÓGICO'!$K$2:$K$4919,'DETALLE CRONOLÓGICO'!$A$2:$A$4919,$A919)/$E919,"")</f>
        <v/>
      </c>
      <c r="K919" s="6">
        <f>_xlfn.MINIFS('DETALLE CRONOLÓGICO'!$K$2:$K$4919,'DETALLE CRONOLÓGICO'!$A$2:$A$4919,$A919)</f>
        <v/>
      </c>
      <c r="L919" s="6">
        <f>_xlfn.MAXIFS('DETALLE CRONOLÓGICO'!$K$2:$K$4919,'DETALLE CRONOLÓGICO'!$A$2:$A$4919,$A919)</f>
        <v/>
      </c>
      <c r="M919" s="6">
        <f>INDEX('DETALLE CRONOLÓGICO'!$K$2:$K$4919,MATCH($A919,'DETALLE CRONOLÓGICO'!$A$2:$A$4919,0)+$E919-1)</f>
        <v/>
      </c>
      <c r="N919" s="7">
        <f>IFERROR($M919/INDEX('DETALLE CRONOLÓGICO'!$K$2:$K$4919,MATCH($A919,'DETALLE CRONOLÓGICO'!$A$2:$A$4919,0))-1,"")</f>
        <v/>
      </c>
      <c r="O919" s="6">
        <f>IFERROR($I919*3,"")</f>
        <v/>
      </c>
      <c r="P919" s="6">
        <f>IFERROR($I919*3.5,"")</f>
        <v/>
      </c>
      <c r="Q919" s="6">
        <f>IFERROR($I919*4,"")</f>
        <v/>
      </c>
      <c r="R919" s="6" t="n">
        <v>520</v>
      </c>
      <c r="S919" s="4" t="n">
        <v>5</v>
      </c>
      <c r="T919" s="1" t="inlineStr">
        <is>
          <t>active</t>
        </is>
      </c>
      <c r="U919" s="8" t="n"/>
      <c r="V919" s="1" t="inlineStr">
        <is>
          <t>SIN PRECIO</t>
        </is>
      </c>
    </row>
    <row r="920">
      <c r="A920" s="1" t="inlineStr">
        <is>
          <t>56481463232012</t>
        </is>
      </c>
      <c r="B920" s="1" t="inlineStr">
        <is>
          <t>ANILLO ESLABÓN GOLD</t>
        </is>
      </c>
      <c r="C920" s="1" t="inlineStr">
        <is>
          <t>7</t>
        </is>
      </c>
      <c r="D920" s="1" t="inlineStr">
        <is>
          <t>HAIFENG</t>
        </is>
      </c>
      <c r="E920" s="4">
        <f>COUNTIF('DETALLE CRONOLÓGICO'!$A$2:$A$4919,$A920)</f>
        <v/>
      </c>
      <c r="F920" s="4">
        <f>SUMIFS('DETALLE CRONOLÓGICO'!$I$2:$I$4919,'DETALLE CRONOLÓGICO'!$A$2:$A$4919,$A920)</f>
        <v/>
      </c>
      <c r="G920" s="1">
        <f>INDEX('DETALLE CRONOLÓGICO'!$D$2:$D$4919,MATCH($A920,'DETALLE CRONOLÓGICO'!$A$2:$A$4919,0))</f>
        <v/>
      </c>
      <c r="H920" s="1">
        <f>INDEX('DETALLE CRONOLÓGICO'!$D$2:$D$4919,MATCH($A920,'DETALLE CRONOLÓGICO'!$A$2:$A$4919,0)+$E920-1)</f>
        <v/>
      </c>
      <c r="I920" s="5">
        <f>IFERROR(SUMIFS('DETALLE CRONOLÓGICO'!$L$2:$L$4919,'DETALLE CRONOLÓGICO'!$A$2:$A$4919,$A920)/$F920,"")</f>
        <v/>
      </c>
      <c r="J920" s="6">
        <f>IFERROR(SUMIFS('DETALLE CRONOLÓGICO'!$K$2:$K$4919,'DETALLE CRONOLÓGICO'!$A$2:$A$4919,$A920)/$E920,"")</f>
        <v/>
      </c>
      <c r="K920" s="6">
        <f>_xlfn.MINIFS('DETALLE CRONOLÓGICO'!$K$2:$K$4919,'DETALLE CRONOLÓGICO'!$A$2:$A$4919,$A920)</f>
        <v/>
      </c>
      <c r="L920" s="6">
        <f>_xlfn.MAXIFS('DETALLE CRONOLÓGICO'!$K$2:$K$4919,'DETALLE CRONOLÓGICO'!$A$2:$A$4919,$A920)</f>
        <v/>
      </c>
      <c r="M920" s="6">
        <f>INDEX('DETALLE CRONOLÓGICO'!$K$2:$K$4919,MATCH($A920,'DETALLE CRONOLÓGICO'!$A$2:$A$4919,0)+$E920-1)</f>
        <v/>
      </c>
      <c r="N920" s="7">
        <f>IFERROR($M920/INDEX('DETALLE CRONOLÓGICO'!$K$2:$K$4919,MATCH($A920,'DETALLE CRONOLÓGICO'!$A$2:$A$4919,0))-1,"")</f>
        <v/>
      </c>
      <c r="O920" s="6">
        <f>IFERROR($I920*3,"")</f>
        <v/>
      </c>
      <c r="P920" s="6">
        <f>IFERROR($I920*3.5,"")</f>
        <v/>
      </c>
      <c r="Q920" s="6">
        <f>IFERROR($I920*4,"")</f>
        <v/>
      </c>
      <c r="R920" s="6" t="n">
        <v>520</v>
      </c>
      <c r="S920" s="4" t="n">
        <v>4</v>
      </c>
      <c r="T920" s="1" t="inlineStr">
        <is>
          <t>active</t>
        </is>
      </c>
      <c r="U920" s="8" t="n"/>
      <c r="V920" s="1" t="inlineStr">
        <is>
          <t>SIN PRECIO</t>
        </is>
      </c>
    </row>
    <row r="921">
      <c r="A921" s="1" t="inlineStr">
        <is>
          <t>56481470225932</t>
        </is>
      </c>
      <c r="B921" s="1" t="inlineStr">
        <is>
          <t>ARETES T LOVE</t>
        </is>
      </c>
      <c r="C921" s="1" t="inlineStr">
        <is>
          <t>Default Title</t>
        </is>
      </c>
      <c r="D921" s="1" t="inlineStr">
        <is>
          <t>HAIFENG</t>
        </is>
      </c>
      <c r="E921" s="4">
        <f>COUNTIF('DETALLE CRONOLÓGICO'!$A$2:$A$4919,$A921)</f>
        <v/>
      </c>
      <c r="F921" s="4">
        <f>SUMIFS('DETALLE CRONOLÓGICO'!$I$2:$I$4919,'DETALLE CRONOLÓGICO'!$A$2:$A$4919,$A921)</f>
        <v/>
      </c>
      <c r="G921" s="1">
        <f>INDEX('DETALLE CRONOLÓGICO'!$D$2:$D$4919,MATCH($A921,'DETALLE CRONOLÓGICO'!$A$2:$A$4919,0))</f>
        <v/>
      </c>
      <c r="H921" s="1">
        <f>INDEX('DETALLE CRONOLÓGICO'!$D$2:$D$4919,MATCH($A921,'DETALLE CRONOLÓGICO'!$A$2:$A$4919,0)+$E921-1)</f>
        <v/>
      </c>
      <c r="I921" s="5">
        <f>IFERROR(SUMIFS('DETALLE CRONOLÓGICO'!$L$2:$L$4919,'DETALLE CRONOLÓGICO'!$A$2:$A$4919,$A921)/$F921,"")</f>
        <v/>
      </c>
      <c r="J921" s="6">
        <f>IFERROR(SUMIFS('DETALLE CRONOLÓGICO'!$K$2:$K$4919,'DETALLE CRONOLÓGICO'!$A$2:$A$4919,$A921)/$E921,"")</f>
        <v/>
      </c>
      <c r="K921" s="6">
        <f>_xlfn.MINIFS('DETALLE CRONOLÓGICO'!$K$2:$K$4919,'DETALLE CRONOLÓGICO'!$A$2:$A$4919,$A921)</f>
        <v/>
      </c>
      <c r="L921" s="6">
        <f>_xlfn.MAXIFS('DETALLE CRONOLÓGICO'!$K$2:$K$4919,'DETALLE CRONOLÓGICO'!$A$2:$A$4919,$A921)</f>
        <v/>
      </c>
      <c r="M921" s="6">
        <f>INDEX('DETALLE CRONOLÓGICO'!$K$2:$K$4919,MATCH($A921,'DETALLE CRONOLÓGICO'!$A$2:$A$4919,0)+$E921-1)</f>
        <v/>
      </c>
      <c r="N921" s="7">
        <f>IFERROR($M921/INDEX('DETALLE CRONOLÓGICO'!$K$2:$K$4919,MATCH($A921,'DETALLE CRONOLÓGICO'!$A$2:$A$4919,0))-1,"")</f>
        <v/>
      </c>
      <c r="O921" s="6">
        <f>IFERROR($I921*3,"")</f>
        <v/>
      </c>
      <c r="P921" s="6">
        <f>IFERROR($I921*3.5,"")</f>
        <v/>
      </c>
      <c r="Q921" s="6">
        <f>IFERROR($I921*4,"")</f>
        <v/>
      </c>
      <c r="R921" s="6" t="n">
        <v>650</v>
      </c>
      <c r="S921" s="4" t="n">
        <v>2</v>
      </c>
      <c r="T921" s="1" t="inlineStr">
        <is>
          <t>active</t>
        </is>
      </c>
      <c r="U921" s="8" t="n"/>
      <c r="V921" s="1" t="inlineStr">
        <is>
          <t>SIN PRECIO</t>
        </is>
      </c>
    </row>
    <row r="922">
      <c r="A922" s="1" t="inlineStr">
        <is>
          <t>56481470598284</t>
        </is>
      </c>
      <c r="B922" s="1" t="inlineStr">
        <is>
          <t>PULSERA BEAN SILVER</t>
        </is>
      </c>
      <c r="C922" s="1" t="inlineStr">
        <is>
          <t>17cm</t>
        </is>
      </c>
      <c r="D922" s="1" t="inlineStr">
        <is>
          <t>HAIFENG</t>
        </is>
      </c>
      <c r="E922" s="4">
        <f>COUNTIF('DETALLE CRONOLÓGICO'!$A$2:$A$4919,$A922)</f>
        <v/>
      </c>
      <c r="F922" s="4">
        <f>SUMIFS('DETALLE CRONOLÓGICO'!$I$2:$I$4919,'DETALLE CRONOLÓGICO'!$A$2:$A$4919,$A922)</f>
        <v/>
      </c>
      <c r="G922" s="1">
        <f>INDEX('DETALLE CRONOLÓGICO'!$D$2:$D$4919,MATCH($A922,'DETALLE CRONOLÓGICO'!$A$2:$A$4919,0))</f>
        <v/>
      </c>
      <c r="H922" s="1">
        <f>INDEX('DETALLE CRONOLÓGICO'!$D$2:$D$4919,MATCH($A922,'DETALLE CRONOLÓGICO'!$A$2:$A$4919,0)+$E922-1)</f>
        <v/>
      </c>
      <c r="I922" s="5">
        <f>IFERROR(SUMIFS('DETALLE CRONOLÓGICO'!$L$2:$L$4919,'DETALLE CRONOLÓGICO'!$A$2:$A$4919,$A922)/$F922,"")</f>
        <v/>
      </c>
      <c r="J922" s="6">
        <f>IFERROR(SUMIFS('DETALLE CRONOLÓGICO'!$K$2:$K$4919,'DETALLE CRONOLÓGICO'!$A$2:$A$4919,$A922)/$E922,"")</f>
        <v/>
      </c>
      <c r="K922" s="6">
        <f>_xlfn.MINIFS('DETALLE CRONOLÓGICO'!$K$2:$K$4919,'DETALLE CRONOLÓGICO'!$A$2:$A$4919,$A922)</f>
        <v/>
      </c>
      <c r="L922" s="6">
        <f>_xlfn.MAXIFS('DETALLE CRONOLÓGICO'!$K$2:$K$4919,'DETALLE CRONOLÓGICO'!$A$2:$A$4919,$A922)</f>
        <v/>
      </c>
      <c r="M922" s="6">
        <f>INDEX('DETALLE CRONOLÓGICO'!$K$2:$K$4919,MATCH($A922,'DETALLE CRONOLÓGICO'!$A$2:$A$4919,0)+$E922-1)</f>
        <v/>
      </c>
      <c r="N922" s="7">
        <f>IFERROR($M922/INDEX('DETALLE CRONOLÓGICO'!$K$2:$K$4919,MATCH($A922,'DETALLE CRONOLÓGICO'!$A$2:$A$4919,0))-1,"")</f>
        <v/>
      </c>
      <c r="O922" s="6">
        <f>IFERROR($I922*3,"")</f>
        <v/>
      </c>
      <c r="P922" s="6">
        <f>IFERROR($I922*3.5,"")</f>
        <v/>
      </c>
      <c r="Q922" s="6">
        <f>IFERROR($I922*4,"")</f>
        <v/>
      </c>
      <c r="R922" s="6" t="n">
        <v>618</v>
      </c>
      <c r="S922" s="4" t="n">
        <v>2</v>
      </c>
      <c r="T922" s="1" t="inlineStr">
        <is>
          <t>active</t>
        </is>
      </c>
      <c r="U922" s="8" t="n"/>
      <c r="V922" s="1" t="inlineStr">
        <is>
          <t>SIN PRECIO</t>
        </is>
      </c>
    </row>
    <row r="923">
      <c r="A923" s="1" t="inlineStr">
        <is>
          <t>56481471411340</t>
        </is>
      </c>
      <c r="B923" s="1" t="inlineStr">
        <is>
          <t>ARETES FULL HEART ROSE GOLD</t>
        </is>
      </c>
      <c r="C923" s="1" t="inlineStr">
        <is>
          <t>Default Title</t>
        </is>
      </c>
      <c r="D923" s="1" t="inlineStr">
        <is>
          <t>HAIFENG</t>
        </is>
      </c>
      <c r="E923" s="4">
        <f>COUNTIF('DETALLE CRONOLÓGICO'!$A$2:$A$4919,$A923)</f>
        <v/>
      </c>
      <c r="F923" s="4">
        <f>SUMIFS('DETALLE CRONOLÓGICO'!$I$2:$I$4919,'DETALLE CRONOLÓGICO'!$A$2:$A$4919,$A923)</f>
        <v/>
      </c>
      <c r="G923" s="1">
        <f>INDEX('DETALLE CRONOLÓGICO'!$D$2:$D$4919,MATCH($A923,'DETALLE CRONOLÓGICO'!$A$2:$A$4919,0))</f>
        <v/>
      </c>
      <c r="H923" s="1">
        <f>INDEX('DETALLE CRONOLÓGICO'!$D$2:$D$4919,MATCH($A923,'DETALLE CRONOLÓGICO'!$A$2:$A$4919,0)+$E923-1)</f>
        <v/>
      </c>
      <c r="I923" s="5">
        <f>IFERROR(SUMIFS('DETALLE CRONOLÓGICO'!$L$2:$L$4919,'DETALLE CRONOLÓGICO'!$A$2:$A$4919,$A923)/$F923,"")</f>
        <v/>
      </c>
      <c r="J923" s="6">
        <f>IFERROR(SUMIFS('DETALLE CRONOLÓGICO'!$K$2:$K$4919,'DETALLE CRONOLÓGICO'!$A$2:$A$4919,$A923)/$E923,"")</f>
        <v/>
      </c>
      <c r="K923" s="6">
        <f>_xlfn.MINIFS('DETALLE CRONOLÓGICO'!$K$2:$K$4919,'DETALLE CRONOLÓGICO'!$A$2:$A$4919,$A923)</f>
        <v/>
      </c>
      <c r="L923" s="6">
        <f>_xlfn.MAXIFS('DETALLE CRONOLÓGICO'!$K$2:$K$4919,'DETALLE CRONOLÓGICO'!$A$2:$A$4919,$A923)</f>
        <v/>
      </c>
      <c r="M923" s="6">
        <f>INDEX('DETALLE CRONOLÓGICO'!$K$2:$K$4919,MATCH($A923,'DETALLE CRONOLÓGICO'!$A$2:$A$4919,0)+$E923-1)</f>
        <v/>
      </c>
      <c r="N923" s="7">
        <f>IFERROR($M923/INDEX('DETALLE CRONOLÓGICO'!$K$2:$K$4919,MATCH($A923,'DETALLE CRONOLÓGICO'!$A$2:$A$4919,0))-1,"")</f>
        <v/>
      </c>
      <c r="O923" s="6">
        <f>IFERROR($I923*3,"")</f>
        <v/>
      </c>
      <c r="P923" s="6">
        <f>IFERROR($I923*3.5,"")</f>
        <v/>
      </c>
      <c r="Q923" s="6">
        <f>IFERROR($I923*4,"")</f>
        <v/>
      </c>
      <c r="R923" s="6" t="n">
        <v>450</v>
      </c>
      <c r="S923" s="4" t="n">
        <v>4</v>
      </c>
      <c r="T923" s="1" t="inlineStr">
        <is>
          <t>active</t>
        </is>
      </c>
      <c r="U923" s="8" t="n"/>
      <c r="V923" s="1" t="inlineStr">
        <is>
          <t>SIN PRECIO</t>
        </is>
      </c>
    </row>
    <row r="924">
      <c r="A924" s="1" t="inlineStr">
        <is>
          <t>56481472890252</t>
        </is>
      </c>
      <c r="B924" s="1" t="inlineStr">
        <is>
          <t>PULSERA ARO LOVE GOLD</t>
        </is>
      </c>
      <c r="C924" s="1" t="inlineStr">
        <is>
          <t>18cm con extensión de 3.5cm</t>
        </is>
      </c>
      <c r="D924" s="1" t="inlineStr">
        <is>
          <t>HAIFENG</t>
        </is>
      </c>
      <c r="E924" s="4">
        <f>COUNTIF('DETALLE CRONOLÓGICO'!$A$2:$A$4919,$A924)</f>
        <v/>
      </c>
      <c r="F924" s="4">
        <f>SUMIFS('DETALLE CRONOLÓGICO'!$I$2:$I$4919,'DETALLE CRONOLÓGICO'!$A$2:$A$4919,$A924)</f>
        <v/>
      </c>
      <c r="G924" s="1">
        <f>INDEX('DETALLE CRONOLÓGICO'!$D$2:$D$4919,MATCH($A924,'DETALLE CRONOLÓGICO'!$A$2:$A$4919,0))</f>
        <v/>
      </c>
      <c r="H924" s="1">
        <f>INDEX('DETALLE CRONOLÓGICO'!$D$2:$D$4919,MATCH($A924,'DETALLE CRONOLÓGICO'!$A$2:$A$4919,0)+$E924-1)</f>
        <v/>
      </c>
      <c r="I924" s="5">
        <f>IFERROR(SUMIFS('DETALLE CRONOLÓGICO'!$L$2:$L$4919,'DETALLE CRONOLÓGICO'!$A$2:$A$4919,$A924)/$F924,"")</f>
        <v/>
      </c>
      <c r="J924" s="6">
        <f>IFERROR(SUMIFS('DETALLE CRONOLÓGICO'!$K$2:$K$4919,'DETALLE CRONOLÓGICO'!$A$2:$A$4919,$A924)/$E924,"")</f>
        <v/>
      </c>
      <c r="K924" s="6">
        <f>_xlfn.MINIFS('DETALLE CRONOLÓGICO'!$K$2:$K$4919,'DETALLE CRONOLÓGICO'!$A$2:$A$4919,$A924)</f>
        <v/>
      </c>
      <c r="L924" s="6">
        <f>_xlfn.MAXIFS('DETALLE CRONOLÓGICO'!$K$2:$K$4919,'DETALLE CRONOLÓGICO'!$A$2:$A$4919,$A924)</f>
        <v/>
      </c>
      <c r="M924" s="6">
        <f>INDEX('DETALLE CRONOLÓGICO'!$K$2:$K$4919,MATCH($A924,'DETALLE CRONOLÓGICO'!$A$2:$A$4919,0)+$E924-1)</f>
        <v/>
      </c>
      <c r="N924" s="7">
        <f>IFERROR($M924/INDEX('DETALLE CRONOLÓGICO'!$K$2:$K$4919,MATCH($A924,'DETALLE CRONOLÓGICO'!$A$2:$A$4919,0))-1,"")</f>
        <v/>
      </c>
      <c r="O924" s="6">
        <f>IFERROR($I924*3,"")</f>
        <v/>
      </c>
      <c r="P924" s="6">
        <f>IFERROR($I924*3.5,"")</f>
        <v/>
      </c>
      <c r="Q924" s="6">
        <f>IFERROR($I924*4,"")</f>
        <v/>
      </c>
      <c r="R924" s="6" t="n">
        <v>420</v>
      </c>
      <c r="S924" s="4" t="n">
        <v>4</v>
      </c>
      <c r="T924" s="1" t="inlineStr">
        <is>
          <t>active</t>
        </is>
      </c>
      <c r="U924" s="8" t="n"/>
      <c r="V924" s="1" t="inlineStr">
        <is>
          <t>SIN PRECIO</t>
        </is>
      </c>
    </row>
    <row r="925">
      <c r="A925" s="1" t="inlineStr">
        <is>
          <t>56481473264780</t>
        </is>
      </c>
      <c r="B925" s="1" t="inlineStr">
        <is>
          <t>ANILLO ESLABÓN GOLD</t>
        </is>
      </c>
      <c r="C925" s="1" t="inlineStr">
        <is>
          <t>8</t>
        </is>
      </c>
      <c r="D925" s="1" t="inlineStr">
        <is>
          <t>HAIFENG</t>
        </is>
      </c>
      <c r="E925" s="4">
        <f>COUNTIF('DETALLE CRONOLÓGICO'!$A$2:$A$4919,$A925)</f>
        <v/>
      </c>
      <c r="F925" s="4">
        <f>SUMIFS('DETALLE CRONOLÓGICO'!$I$2:$I$4919,'DETALLE CRONOLÓGICO'!$A$2:$A$4919,$A925)</f>
        <v/>
      </c>
      <c r="G925" s="1">
        <f>INDEX('DETALLE CRONOLÓGICO'!$D$2:$D$4919,MATCH($A925,'DETALLE CRONOLÓGICO'!$A$2:$A$4919,0))</f>
        <v/>
      </c>
      <c r="H925" s="1">
        <f>INDEX('DETALLE CRONOLÓGICO'!$D$2:$D$4919,MATCH($A925,'DETALLE CRONOLÓGICO'!$A$2:$A$4919,0)+$E925-1)</f>
        <v/>
      </c>
      <c r="I925" s="5">
        <f>IFERROR(SUMIFS('DETALLE CRONOLÓGICO'!$L$2:$L$4919,'DETALLE CRONOLÓGICO'!$A$2:$A$4919,$A925)/$F925,"")</f>
        <v/>
      </c>
      <c r="J925" s="6">
        <f>IFERROR(SUMIFS('DETALLE CRONOLÓGICO'!$K$2:$K$4919,'DETALLE CRONOLÓGICO'!$A$2:$A$4919,$A925)/$E925,"")</f>
        <v/>
      </c>
      <c r="K925" s="6">
        <f>_xlfn.MINIFS('DETALLE CRONOLÓGICO'!$K$2:$K$4919,'DETALLE CRONOLÓGICO'!$A$2:$A$4919,$A925)</f>
        <v/>
      </c>
      <c r="L925" s="6">
        <f>_xlfn.MAXIFS('DETALLE CRONOLÓGICO'!$K$2:$K$4919,'DETALLE CRONOLÓGICO'!$A$2:$A$4919,$A925)</f>
        <v/>
      </c>
      <c r="M925" s="6">
        <f>INDEX('DETALLE CRONOLÓGICO'!$K$2:$K$4919,MATCH($A925,'DETALLE CRONOLÓGICO'!$A$2:$A$4919,0)+$E925-1)</f>
        <v/>
      </c>
      <c r="N925" s="7">
        <f>IFERROR($M925/INDEX('DETALLE CRONOLÓGICO'!$K$2:$K$4919,MATCH($A925,'DETALLE CRONOLÓGICO'!$A$2:$A$4919,0))-1,"")</f>
        <v/>
      </c>
      <c r="O925" s="6">
        <f>IFERROR($I925*3,"")</f>
        <v/>
      </c>
      <c r="P925" s="6">
        <f>IFERROR($I925*3.5,"")</f>
        <v/>
      </c>
      <c r="Q925" s="6">
        <f>IFERROR($I925*4,"")</f>
        <v/>
      </c>
      <c r="R925" s="6" t="n">
        <v>520</v>
      </c>
      <c r="S925" s="4" t="n">
        <v>4</v>
      </c>
      <c r="T925" s="1" t="inlineStr">
        <is>
          <t>active</t>
        </is>
      </c>
      <c r="U925" s="8" t="n"/>
      <c r="V925" s="1" t="inlineStr">
        <is>
          <t>SIN PRECIO</t>
        </is>
      </c>
    </row>
    <row r="926">
      <c r="A926" s="1" t="inlineStr">
        <is>
          <t>56481473329548</t>
        </is>
      </c>
      <c r="B926" s="1" t="inlineStr">
        <is>
          <t>PULSERA T DE CUENTAS LOVE</t>
        </is>
      </c>
      <c r="C926" s="1" t="inlineStr">
        <is>
          <t>17cm</t>
        </is>
      </c>
      <c r="D926" s="1" t="inlineStr">
        <is>
          <t>HAIFENG</t>
        </is>
      </c>
      <c r="E926" s="4">
        <f>COUNTIF('DETALLE CRONOLÓGICO'!$A$2:$A$4919,$A926)</f>
        <v/>
      </c>
      <c r="F926" s="4">
        <f>SUMIFS('DETALLE CRONOLÓGICO'!$I$2:$I$4919,'DETALLE CRONOLÓGICO'!$A$2:$A$4919,$A926)</f>
        <v/>
      </c>
      <c r="G926" s="1">
        <f>INDEX('DETALLE CRONOLÓGICO'!$D$2:$D$4919,MATCH($A926,'DETALLE CRONOLÓGICO'!$A$2:$A$4919,0))</f>
        <v/>
      </c>
      <c r="H926" s="1">
        <f>INDEX('DETALLE CRONOLÓGICO'!$D$2:$D$4919,MATCH($A926,'DETALLE CRONOLÓGICO'!$A$2:$A$4919,0)+$E926-1)</f>
        <v/>
      </c>
      <c r="I926" s="5">
        <f>IFERROR(SUMIFS('DETALLE CRONOLÓGICO'!$L$2:$L$4919,'DETALLE CRONOLÓGICO'!$A$2:$A$4919,$A926)/$F926,"")</f>
        <v/>
      </c>
      <c r="J926" s="6">
        <f>IFERROR(SUMIFS('DETALLE CRONOLÓGICO'!$K$2:$K$4919,'DETALLE CRONOLÓGICO'!$A$2:$A$4919,$A926)/$E926,"")</f>
        <v/>
      </c>
      <c r="K926" s="6">
        <f>_xlfn.MINIFS('DETALLE CRONOLÓGICO'!$K$2:$K$4919,'DETALLE CRONOLÓGICO'!$A$2:$A$4919,$A926)</f>
        <v/>
      </c>
      <c r="L926" s="6">
        <f>_xlfn.MAXIFS('DETALLE CRONOLÓGICO'!$K$2:$K$4919,'DETALLE CRONOLÓGICO'!$A$2:$A$4919,$A926)</f>
        <v/>
      </c>
      <c r="M926" s="6">
        <f>INDEX('DETALLE CRONOLÓGICO'!$K$2:$K$4919,MATCH($A926,'DETALLE CRONOLÓGICO'!$A$2:$A$4919,0)+$E926-1)</f>
        <v/>
      </c>
      <c r="N926" s="7">
        <f>IFERROR($M926/INDEX('DETALLE CRONOLÓGICO'!$K$2:$K$4919,MATCH($A926,'DETALLE CRONOLÓGICO'!$A$2:$A$4919,0))-1,"")</f>
        <v/>
      </c>
      <c r="O926" s="6">
        <f>IFERROR($I926*3,"")</f>
        <v/>
      </c>
      <c r="P926" s="6">
        <f>IFERROR($I926*3.5,"")</f>
        <v/>
      </c>
      <c r="Q926" s="6">
        <f>IFERROR($I926*4,"")</f>
        <v/>
      </c>
      <c r="R926" s="6" t="n">
        <v>692</v>
      </c>
      <c r="S926" s="4" t="n">
        <v>2</v>
      </c>
      <c r="T926" s="1" t="inlineStr">
        <is>
          <t>active</t>
        </is>
      </c>
      <c r="U926" s="8" t="n"/>
      <c r="V926" s="1" t="inlineStr">
        <is>
          <t>SIN PRECIO</t>
        </is>
      </c>
    </row>
    <row r="927">
      <c r="A927" s="1" t="inlineStr">
        <is>
          <t>56481474339212</t>
        </is>
      </c>
      <c r="B927" s="1" t="inlineStr">
        <is>
          <t>ARETES FULL HEART GOLD</t>
        </is>
      </c>
      <c r="C927" s="1" t="inlineStr">
        <is>
          <t>Default Title</t>
        </is>
      </c>
      <c r="D927" s="1" t="inlineStr">
        <is>
          <t>HAIFENG</t>
        </is>
      </c>
      <c r="E927" s="4">
        <f>COUNTIF('DETALLE CRONOLÓGICO'!$A$2:$A$4919,$A927)</f>
        <v/>
      </c>
      <c r="F927" s="4">
        <f>SUMIFS('DETALLE CRONOLÓGICO'!$I$2:$I$4919,'DETALLE CRONOLÓGICO'!$A$2:$A$4919,$A927)</f>
        <v/>
      </c>
      <c r="G927" s="1">
        <f>INDEX('DETALLE CRONOLÓGICO'!$D$2:$D$4919,MATCH($A927,'DETALLE CRONOLÓGICO'!$A$2:$A$4919,0))</f>
        <v/>
      </c>
      <c r="H927" s="1">
        <f>INDEX('DETALLE CRONOLÓGICO'!$D$2:$D$4919,MATCH($A927,'DETALLE CRONOLÓGICO'!$A$2:$A$4919,0)+$E927-1)</f>
        <v/>
      </c>
      <c r="I927" s="5">
        <f>IFERROR(SUMIFS('DETALLE CRONOLÓGICO'!$L$2:$L$4919,'DETALLE CRONOLÓGICO'!$A$2:$A$4919,$A927)/$F927,"")</f>
        <v/>
      </c>
      <c r="J927" s="6">
        <f>IFERROR(SUMIFS('DETALLE CRONOLÓGICO'!$K$2:$K$4919,'DETALLE CRONOLÓGICO'!$A$2:$A$4919,$A927)/$E927,"")</f>
        <v/>
      </c>
      <c r="K927" s="6">
        <f>_xlfn.MINIFS('DETALLE CRONOLÓGICO'!$K$2:$K$4919,'DETALLE CRONOLÓGICO'!$A$2:$A$4919,$A927)</f>
        <v/>
      </c>
      <c r="L927" s="6">
        <f>_xlfn.MAXIFS('DETALLE CRONOLÓGICO'!$K$2:$K$4919,'DETALLE CRONOLÓGICO'!$A$2:$A$4919,$A927)</f>
        <v/>
      </c>
      <c r="M927" s="6">
        <f>INDEX('DETALLE CRONOLÓGICO'!$K$2:$K$4919,MATCH($A927,'DETALLE CRONOLÓGICO'!$A$2:$A$4919,0)+$E927-1)</f>
        <v/>
      </c>
      <c r="N927" s="7">
        <f>IFERROR($M927/INDEX('DETALLE CRONOLÓGICO'!$K$2:$K$4919,MATCH($A927,'DETALLE CRONOLÓGICO'!$A$2:$A$4919,0))-1,"")</f>
        <v/>
      </c>
      <c r="O927" s="6">
        <f>IFERROR($I927*3,"")</f>
        <v/>
      </c>
      <c r="P927" s="6">
        <f>IFERROR($I927*3.5,"")</f>
        <v/>
      </c>
      <c r="Q927" s="6">
        <f>IFERROR($I927*4,"")</f>
        <v/>
      </c>
      <c r="R927" s="6" t="n">
        <v>450</v>
      </c>
      <c r="S927" s="4" t="n">
        <v>6</v>
      </c>
      <c r="T927" s="1" t="inlineStr">
        <is>
          <t>active</t>
        </is>
      </c>
      <c r="U927" s="8" t="n"/>
      <c r="V927" s="1" t="inlineStr">
        <is>
          <t>SIN PRECIO</t>
        </is>
      </c>
    </row>
    <row r="928">
      <c r="A928" s="1" t="inlineStr">
        <is>
          <t>56481477937932</t>
        </is>
      </c>
      <c r="B928" s="1" t="inlineStr">
        <is>
          <t>ARETES FULL HEART SILVER</t>
        </is>
      </c>
      <c r="C928" s="1" t="inlineStr">
        <is>
          <t>Default Title</t>
        </is>
      </c>
      <c r="D928" s="1" t="inlineStr">
        <is>
          <t>HAIFENG</t>
        </is>
      </c>
      <c r="E928" s="4">
        <f>COUNTIF('DETALLE CRONOLÓGICO'!$A$2:$A$4919,$A928)</f>
        <v/>
      </c>
      <c r="F928" s="4">
        <f>SUMIFS('DETALLE CRONOLÓGICO'!$I$2:$I$4919,'DETALLE CRONOLÓGICO'!$A$2:$A$4919,$A928)</f>
        <v/>
      </c>
      <c r="G928" s="1">
        <f>INDEX('DETALLE CRONOLÓGICO'!$D$2:$D$4919,MATCH($A928,'DETALLE CRONOLÓGICO'!$A$2:$A$4919,0))</f>
        <v/>
      </c>
      <c r="H928" s="1">
        <f>INDEX('DETALLE CRONOLÓGICO'!$D$2:$D$4919,MATCH($A928,'DETALLE CRONOLÓGICO'!$A$2:$A$4919,0)+$E928-1)</f>
        <v/>
      </c>
      <c r="I928" s="5">
        <f>IFERROR(SUMIFS('DETALLE CRONOLÓGICO'!$L$2:$L$4919,'DETALLE CRONOLÓGICO'!$A$2:$A$4919,$A928)/$F928,"")</f>
        <v/>
      </c>
      <c r="J928" s="6">
        <f>IFERROR(SUMIFS('DETALLE CRONOLÓGICO'!$K$2:$K$4919,'DETALLE CRONOLÓGICO'!$A$2:$A$4919,$A928)/$E928,"")</f>
        <v/>
      </c>
      <c r="K928" s="6">
        <f>_xlfn.MINIFS('DETALLE CRONOLÓGICO'!$K$2:$K$4919,'DETALLE CRONOLÓGICO'!$A$2:$A$4919,$A928)</f>
        <v/>
      </c>
      <c r="L928" s="6">
        <f>_xlfn.MAXIFS('DETALLE CRONOLÓGICO'!$K$2:$K$4919,'DETALLE CRONOLÓGICO'!$A$2:$A$4919,$A928)</f>
        <v/>
      </c>
      <c r="M928" s="6">
        <f>INDEX('DETALLE CRONOLÓGICO'!$K$2:$K$4919,MATCH($A928,'DETALLE CRONOLÓGICO'!$A$2:$A$4919,0)+$E928-1)</f>
        <v/>
      </c>
      <c r="N928" s="7">
        <f>IFERROR($M928/INDEX('DETALLE CRONOLÓGICO'!$K$2:$K$4919,MATCH($A928,'DETALLE CRONOLÓGICO'!$A$2:$A$4919,0))-1,"")</f>
        <v/>
      </c>
      <c r="O928" s="6">
        <f>IFERROR($I928*3,"")</f>
        <v/>
      </c>
      <c r="P928" s="6">
        <f>IFERROR($I928*3.5,"")</f>
        <v/>
      </c>
      <c r="Q928" s="6">
        <f>IFERROR($I928*4,"")</f>
        <v/>
      </c>
      <c r="R928" s="6" t="n">
        <v>450</v>
      </c>
      <c r="S928" s="4" t="n">
        <v>2</v>
      </c>
      <c r="T928" s="1" t="inlineStr">
        <is>
          <t>active</t>
        </is>
      </c>
      <c r="U928" s="8" t="n"/>
      <c r="V928" s="1" t="inlineStr">
        <is>
          <t>SIN PRECIO</t>
        </is>
      </c>
    </row>
    <row r="929">
      <c r="A929" s="1" t="inlineStr">
        <is>
          <t>56481478255884</t>
        </is>
      </c>
      <c r="B929" s="1" t="inlineStr">
        <is>
          <t>ARETES KNOT GOLD CON ZIRCONIA</t>
        </is>
      </c>
      <c r="C929" s="1" t="inlineStr">
        <is>
          <t>Default Title</t>
        </is>
      </c>
      <c r="D929" s="1" t="inlineStr">
        <is>
          <t>HAIFENG</t>
        </is>
      </c>
      <c r="E929" s="4">
        <f>COUNTIF('DETALLE CRONOLÓGICO'!$A$2:$A$4919,$A929)</f>
        <v/>
      </c>
      <c r="F929" s="4">
        <f>SUMIFS('DETALLE CRONOLÓGICO'!$I$2:$I$4919,'DETALLE CRONOLÓGICO'!$A$2:$A$4919,$A929)</f>
        <v/>
      </c>
      <c r="G929" s="1">
        <f>INDEX('DETALLE CRONOLÓGICO'!$D$2:$D$4919,MATCH($A929,'DETALLE CRONOLÓGICO'!$A$2:$A$4919,0))</f>
        <v/>
      </c>
      <c r="H929" s="1">
        <f>INDEX('DETALLE CRONOLÓGICO'!$D$2:$D$4919,MATCH($A929,'DETALLE CRONOLÓGICO'!$A$2:$A$4919,0)+$E929-1)</f>
        <v/>
      </c>
      <c r="I929" s="5">
        <f>IFERROR(SUMIFS('DETALLE CRONOLÓGICO'!$L$2:$L$4919,'DETALLE CRONOLÓGICO'!$A$2:$A$4919,$A929)/$F929,"")</f>
        <v/>
      </c>
      <c r="J929" s="6">
        <f>IFERROR(SUMIFS('DETALLE CRONOLÓGICO'!$K$2:$K$4919,'DETALLE CRONOLÓGICO'!$A$2:$A$4919,$A929)/$E929,"")</f>
        <v/>
      </c>
      <c r="K929" s="6">
        <f>_xlfn.MINIFS('DETALLE CRONOLÓGICO'!$K$2:$K$4919,'DETALLE CRONOLÓGICO'!$A$2:$A$4919,$A929)</f>
        <v/>
      </c>
      <c r="L929" s="6">
        <f>_xlfn.MAXIFS('DETALLE CRONOLÓGICO'!$K$2:$K$4919,'DETALLE CRONOLÓGICO'!$A$2:$A$4919,$A929)</f>
        <v/>
      </c>
      <c r="M929" s="6">
        <f>INDEX('DETALLE CRONOLÓGICO'!$K$2:$K$4919,MATCH($A929,'DETALLE CRONOLÓGICO'!$A$2:$A$4919,0)+$E929-1)</f>
        <v/>
      </c>
      <c r="N929" s="7">
        <f>IFERROR($M929/INDEX('DETALLE CRONOLÓGICO'!$K$2:$K$4919,MATCH($A929,'DETALLE CRONOLÓGICO'!$A$2:$A$4919,0))-1,"")</f>
        <v/>
      </c>
      <c r="O929" s="6">
        <f>IFERROR($I929*3,"")</f>
        <v/>
      </c>
      <c r="P929" s="6">
        <f>IFERROR($I929*3.5,"")</f>
        <v/>
      </c>
      <c r="Q929" s="6">
        <f>IFERROR($I929*4,"")</f>
        <v/>
      </c>
      <c r="R929" s="6" t="n">
        <v>780</v>
      </c>
      <c r="S929" s="4" t="n">
        <v>0</v>
      </c>
      <c r="T929" s="1" t="inlineStr">
        <is>
          <t>active</t>
        </is>
      </c>
      <c r="U929" s="8" t="n"/>
      <c r="V929" s="1" t="inlineStr">
        <is>
          <t>SIN PRECIO</t>
        </is>
      </c>
    </row>
    <row r="930">
      <c r="A930" s="1" t="inlineStr">
        <is>
          <t>56481480610956</t>
        </is>
      </c>
      <c r="B930" s="1" t="inlineStr">
        <is>
          <t>ANILLO LOVE LOVE ROSEGOLD-SILVER ZIRCONIAS</t>
        </is>
      </c>
      <c r="C930" s="1" t="inlineStr">
        <is>
          <t>6</t>
        </is>
      </c>
      <c r="D930" s="1" t="inlineStr">
        <is>
          <t>HAIFENG</t>
        </is>
      </c>
      <c r="E930" s="4">
        <f>COUNTIF('DETALLE CRONOLÓGICO'!$A$2:$A$4919,$A930)</f>
        <v/>
      </c>
      <c r="F930" s="4">
        <f>SUMIFS('DETALLE CRONOLÓGICO'!$I$2:$I$4919,'DETALLE CRONOLÓGICO'!$A$2:$A$4919,$A930)</f>
        <v/>
      </c>
      <c r="G930" s="1">
        <f>INDEX('DETALLE CRONOLÓGICO'!$D$2:$D$4919,MATCH($A930,'DETALLE CRONOLÓGICO'!$A$2:$A$4919,0))</f>
        <v/>
      </c>
      <c r="H930" s="1">
        <f>INDEX('DETALLE CRONOLÓGICO'!$D$2:$D$4919,MATCH($A930,'DETALLE CRONOLÓGICO'!$A$2:$A$4919,0)+$E930-1)</f>
        <v/>
      </c>
      <c r="I930" s="5">
        <f>IFERROR(SUMIFS('DETALLE CRONOLÓGICO'!$L$2:$L$4919,'DETALLE CRONOLÓGICO'!$A$2:$A$4919,$A930)/$F930,"")</f>
        <v/>
      </c>
      <c r="J930" s="6">
        <f>IFERROR(SUMIFS('DETALLE CRONOLÓGICO'!$K$2:$K$4919,'DETALLE CRONOLÓGICO'!$A$2:$A$4919,$A930)/$E930,"")</f>
        <v/>
      </c>
      <c r="K930" s="6">
        <f>_xlfn.MINIFS('DETALLE CRONOLÓGICO'!$K$2:$K$4919,'DETALLE CRONOLÓGICO'!$A$2:$A$4919,$A930)</f>
        <v/>
      </c>
      <c r="L930" s="6">
        <f>_xlfn.MAXIFS('DETALLE CRONOLÓGICO'!$K$2:$K$4919,'DETALLE CRONOLÓGICO'!$A$2:$A$4919,$A930)</f>
        <v/>
      </c>
      <c r="M930" s="6">
        <f>INDEX('DETALLE CRONOLÓGICO'!$K$2:$K$4919,MATCH($A930,'DETALLE CRONOLÓGICO'!$A$2:$A$4919,0)+$E930-1)</f>
        <v/>
      </c>
      <c r="N930" s="7">
        <f>IFERROR($M930/INDEX('DETALLE CRONOLÓGICO'!$K$2:$K$4919,MATCH($A930,'DETALLE CRONOLÓGICO'!$A$2:$A$4919,0))-1,"")</f>
        <v/>
      </c>
      <c r="O930" s="6">
        <f>IFERROR($I930*3,"")</f>
        <v/>
      </c>
      <c r="P930" s="6">
        <f>IFERROR($I930*3.5,"")</f>
        <v/>
      </c>
      <c r="Q930" s="6">
        <f>IFERROR($I930*4,"")</f>
        <v/>
      </c>
      <c r="R930" s="6" t="n">
        <v>620</v>
      </c>
      <c r="S930" s="4" t="n">
        <v>4</v>
      </c>
      <c r="T930" s="1" t="inlineStr">
        <is>
          <t>active</t>
        </is>
      </c>
      <c r="U930" s="8" t="n"/>
      <c r="V930" s="1" t="inlineStr">
        <is>
          <t>SIN PRECIO</t>
        </is>
      </c>
    </row>
    <row r="931">
      <c r="A931" s="1" t="inlineStr">
        <is>
          <t>56481480643724</t>
        </is>
      </c>
      <c r="B931" s="1" t="inlineStr">
        <is>
          <t>ANILLO LOVE LOVE ROSEGOLD-SILVER ZIRCONIAS</t>
        </is>
      </c>
      <c r="C931" s="1" t="inlineStr">
        <is>
          <t>7</t>
        </is>
      </c>
      <c r="D931" s="1" t="inlineStr">
        <is>
          <t>HAIFENG</t>
        </is>
      </c>
      <c r="E931" s="4">
        <f>COUNTIF('DETALLE CRONOLÓGICO'!$A$2:$A$4919,$A931)</f>
        <v/>
      </c>
      <c r="F931" s="4">
        <f>SUMIFS('DETALLE CRONOLÓGICO'!$I$2:$I$4919,'DETALLE CRONOLÓGICO'!$A$2:$A$4919,$A931)</f>
        <v/>
      </c>
      <c r="G931" s="1">
        <f>INDEX('DETALLE CRONOLÓGICO'!$D$2:$D$4919,MATCH($A931,'DETALLE CRONOLÓGICO'!$A$2:$A$4919,0))</f>
        <v/>
      </c>
      <c r="H931" s="1">
        <f>INDEX('DETALLE CRONOLÓGICO'!$D$2:$D$4919,MATCH($A931,'DETALLE CRONOLÓGICO'!$A$2:$A$4919,0)+$E931-1)</f>
        <v/>
      </c>
      <c r="I931" s="5">
        <f>IFERROR(SUMIFS('DETALLE CRONOLÓGICO'!$L$2:$L$4919,'DETALLE CRONOLÓGICO'!$A$2:$A$4919,$A931)/$F931,"")</f>
        <v/>
      </c>
      <c r="J931" s="6">
        <f>IFERROR(SUMIFS('DETALLE CRONOLÓGICO'!$K$2:$K$4919,'DETALLE CRONOLÓGICO'!$A$2:$A$4919,$A931)/$E931,"")</f>
        <v/>
      </c>
      <c r="K931" s="6">
        <f>_xlfn.MINIFS('DETALLE CRONOLÓGICO'!$K$2:$K$4919,'DETALLE CRONOLÓGICO'!$A$2:$A$4919,$A931)</f>
        <v/>
      </c>
      <c r="L931" s="6">
        <f>_xlfn.MAXIFS('DETALLE CRONOLÓGICO'!$K$2:$K$4919,'DETALLE CRONOLÓGICO'!$A$2:$A$4919,$A931)</f>
        <v/>
      </c>
      <c r="M931" s="6">
        <f>INDEX('DETALLE CRONOLÓGICO'!$K$2:$K$4919,MATCH($A931,'DETALLE CRONOLÓGICO'!$A$2:$A$4919,0)+$E931-1)</f>
        <v/>
      </c>
      <c r="N931" s="7">
        <f>IFERROR($M931/INDEX('DETALLE CRONOLÓGICO'!$K$2:$K$4919,MATCH($A931,'DETALLE CRONOLÓGICO'!$A$2:$A$4919,0))-1,"")</f>
        <v/>
      </c>
      <c r="O931" s="6">
        <f>IFERROR($I931*3,"")</f>
        <v/>
      </c>
      <c r="P931" s="6">
        <f>IFERROR($I931*3.5,"")</f>
        <v/>
      </c>
      <c r="Q931" s="6">
        <f>IFERROR($I931*4,"")</f>
        <v/>
      </c>
      <c r="R931" s="6" t="n">
        <v>620</v>
      </c>
      <c r="S931" s="4" t="n">
        <v>3</v>
      </c>
      <c r="T931" s="1" t="inlineStr">
        <is>
          <t>active</t>
        </is>
      </c>
      <c r="U931" s="8" t="n"/>
      <c r="V931" s="1" t="inlineStr">
        <is>
          <t>SIN PRECIO</t>
        </is>
      </c>
    </row>
    <row r="932">
      <c r="A932" s="1" t="inlineStr">
        <is>
          <t>56481480676492</t>
        </is>
      </c>
      <c r="B932" s="1" t="inlineStr">
        <is>
          <t>ANILLO LOVE LOVE ROSEGOLD-SILVER ZIRCONIAS</t>
        </is>
      </c>
      <c r="C932" s="1" t="inlineStr">
        <is>
          <t>8</t>
        </is>
      </c>
      <c r="D932" s="1" t="inlineStr">
        <is>
          <t>HAIFENG</t>
        </is>
      </c>
      <c r="E932" s="4">
        <f>COUNTIF('DETALLE CRONOLÓGICO'!$A$2:$A$4919,$A932)</f>
        <v/>
      </c>
      <c r="F932" s="4">
        <f>SUMIFS('DETALLE CRONOLÓGICO'!$I$2:$I$4919,'DETALLE CRONOLÓGICO'!$A$2:$A$4919,$A932)</f>
        <v/>
      </c>
      <c r="G932" s="1">
        <f>INDEX('DETALLE CRONOLÓGICO'!$D$2:$D$4919,MATCH($A932,'DETALLE CRONOLÓGICO'!$A$2:$A$4919,0))</f>
        <v/>
      </c>
      <c r="H932" s="1">
        <f>INDEX('DETALLE CRONOLÓGICO'!$D$2:$D$4919,MATCH($A932,'DETALLE CRONOLÓGICO'!$A$2:$A$4919,0)+$E932-1)</f>
        <v/>
      </c>
      <c r="I932" s="5">
        <f>IFERROR(SUMIFS('DETALLE CRONOLÓGICO'!$L$2:$L$4919,'DETALLE CRONOLÓGICO'!$A$2:$A$4919,$A932)/$F932,"")</f>
        <v/>
      </c>
      <c r="J932" s="6">
        <f>IFERROR(SUMIFS('DETALLE CRONOLÓGICO'!$K$2:$K$4919,'DETALLE CRONOLÓGICO'!$A$2:$A$4919,$A932)/$E932,"")</f>
        <v/>
      </c>
      <c r="K932" s="6">
        <f>_xlfn.MINIFS('DETALLE CRONOLÓGICO'!$K$2:$K$4919,'DETALLE CRONOLÓGICO'!$A$2:$A$4919,$A932)</f>
        <v/>
      </c>
      <c r="L932" s="6">
        <f>_xlfn.MAXIFS('DETALLE CRONOLÓGICO'!$K$2:$K$4919,'DETALLE CRONOLÓGICO'!$A$2:$A$4919,$A932)</f>
        <v/>
      </c>
      <c r="M932" s="6">
        <f>INDEX('DETALLE CRONOLÓGICO'!$K$2:$K$4919,MATCH($A932,'DETALLE CRONOLÓGICO'!$A$2:$A$4919,0)+$E932-1)</f>
        <v/>
      </c>
      <c r="N932" s="7">
        <f>IFERROR($M932/INDEX('DETALLE CRONOLÓGICO'!$K$2:$K$4919,MATCH($A932,'DETALLE CRONOLÓGICO'!$A$2:$A$4919,0))-1,"")</f>
        <v/>
      </c>
      <c r="O932" s="6">
        <f>IFERROR($I932*3,"")</f>
        <v/>
      </c>
      <c r="P932" s="6">
        <f>IFERROR($I932*3.5,"")</f>
        <v/>
      </c>
      <c r="Q932" s="6">
        <f>IFERROR($I932*4,"")</f>
        <v/>
      </c>
      <c r="R932" s="6" t="n">
        <v>620</v>
      </c>
      <c r="S932" s="4" t="n">
        <v>2</v>
      </c>
      <c r="T932" s="1" t="inlineStr">
        <is>
          <t>active</t>
        </is>
      </c>
      <c r="U932" s="8" t="n"/>
      <c r="V932" s="1" t="inlineStr">
        <is>
          <t>SIN PRECIO</t>
        </is>
      </c>
    </row>
    <row r="933">
      <c r="A933" s="1" t="inlineStr">
        <is>
          <t>56481482264076</t>
        </is>
      </c>
      <c r="B933" s="1" t="inlineStr">
        <is>
          <t>COLLAR BEAN SILVER</t>
        </is>
      </c>
      <c r="C933" s="1" t="inlineStr">
        <is>
          <t>41cm con 5cm de extensión</t>
        </is>
      </c>
      <c r="D933" s="1" t="inlineStr">
        <is>
          <t>HAIFENG</t>
        </is>
      </c>
      <c r="E933" s="4">
        <f>COUNTIF('DETALLE CRONOLÓGICO'!$A$2:$A$4919,$A933)</f>
        <v/>
      </c>
      <c r="F933" s="4">
        <f>SUMIFS('DETALLE CRONOLÓGICO'!$I$2:$I$4919,'DETALLE CRONOLÓGICO'!$A$2:$A$4919,$A933)</f>
        <v/>
      </c>
      <c r="G933" s="1">
        <f>INDEX('DETALLE CRONOLÓGICO'!$D$2:$D$4919,MATCH($A933,'DETALLE CRONOLÓGICO'!$A$2:$A$4919,0))</f>
        <v/>
      </c>
      <c r="H933" s="1">
        <f>INDEX('DETALLE CRONOLÓGICO'!$D$2:$D$4919,MATCH($A933,'DETALLE CRONOLÓGICO'!$A$2:$A$4919,0)+$E933-1)</f>
        <v/>
      </c>
      <c r="I933" s="5">
        <f>IFERROR(SUMIFS('DETALLE CRONOLÓGICO'!$L$2:$L$4919,'DETALLE CRONOLÓGICO'!$A$2:$A$4919,$A933)/$F933,"")</f>
        <v/>
      </c>
      <c r="J933" s="6">
        <f>IFERROR(SUMIFS('DETALLE CRONOLÓGICO'!$K$2:$K$4919,'DETALLE CRONOLÓGICO'!$A$2:$A$4919,$A933)/$E933,"")</f>
        <v/>
      </c>
      <c r="K933" s="6">
        <f>_xlfn.MINIFS('DETALLE CRONOLÓGICO'!$K$2:$K$4919,'DETALLE CRONOLÓGICO'!$A$2:$A$4919,$A933)</f>
        <v/>
      </c>
      <c r="L933" s="6">
        <f>_xlfn.MAXIFS('DETALLE CRONOLÓGICO'!$K$2:$K$4919,'DETALLE CRONOLÓGICO'!$A$2:$A$4919,$A933)</f>
        <v/>
      </c>
      <c r="M933" s="6">
        <f>INDEX('DETALLE CRONOLÓGICO'!$K$2:$K$4919,MATCH($A933,'DETALLE CRONOLÓGICO'!$A$2:$A$4919,0)+$E933-1)</f>
        <v/>
      </c>
      <c r="N933" s="7">
        <f>IFERROR($M933/INDEX('DETALLE CRONOLÓGICO'!$K$2:$K$4919,MATCH($A933,'DETALLE CRONOLÓGICO'!$A$2:$A$4919,0))-1,"")</f>
        <v/>
      </c>
      <c r="O933" s="6">
        <f>IFERROR($I933*3,"")</f>
        <v/>
      </c>
      <c r="P933" s="6">
        <f>IFERROR($I933*3.5,"")</f>
        <v/>
      </c>
      <c r="Q933" s="6">
        <f>IFERROR($I933*4,"")</f>
        <v/>
      </c>
      <c r="R933" s="6" t="n">
        <v>520</v>
      </c>
      <c r="S933" s="4" t="n">
        <v>7</v>
      </c>
      <c r="T933" s="1" t="inlineStr">
        <is>
          <t>active</t>
        </is>
      </c>
      <c r="U933" s="8" t="n"/>
      <c r="V933" s="1" t="inlineStr">
        <is>
          <t>SIN PRECIO</t>
        </is>
      </c>
    </row>
    <row r="934">
      <c r="A934" s="1" t="inlineStr">
        <is>
          <t>56481484246028</t>
        </is>
      </c>
      <c r="B934" s="1" t="inlineStr">
        <is>
          <t>ANILLO SIXTEEN STONE GOLD/RED</t>
        </is>
      </c>
      <c r="C934" s="1" t="inlineStr">
        <is>
          <t>6</t>
        </is>
      </c>
      <c r="D934" s="1" t="inlineStr">
        <is>
          <t>HAIFENG</t>
        </is>
      </c>
      <c r="E934" s="4">
        <f>COUNTIF('DETALLE CRONOLÓGICO'!$A$2:$A$4919,$A934)</f>
        <v/>
      </c>
      <c r="F934" s="4">
        <f>SUMIFS('DETALLE CRONOLÓGICO'!$I$2:$I$4919,'DETALLE CRONOLÓGICO'!$A$2:$A$4919,$A934)</f>
        <v/>
      </c>
      <c r="G934" s="1">
        <f>INDEX('DETALLE CRONOLÓGICO'!$D$2:$D$4919,MATCH($A934,'DETALLE CRONOLÓGICO'!$A$2:$A$4919,0))</f>
        <v/>
      </c>
      <c r="H934" s="1">
        <f>INDEX('DETALLE CRONOLÓGICO'!$D$2:$D$4919,MATCH($A934,'DETALLE CRONOLÓGICO'!$A$2:$A$4919,0)+$E934-1)</f>
        <v/>
      </c>
      <c r="I934" s="5">
        <f>IFERROR(SUMIFS('DETALLE CRONOLÓGICO'!$L$2:$L$4919,'DETALLE CRONOLÓGICO'!$A$2:$A$4919,$A934)/$F934,"")</f>
        <v/>
      </c>
      <c r="J934" s="6">
        <f>IFERROR(SUMIFS('DETALLE CRONOLÓGICO'!$K$2:$K$4919,'DETALLE CRONOLÓGICO'!$A$2:$A$4919,$A934)/$E934,"")</f>
        <v/>
      </c>
      <c r="K934" s="6">
        <f>_xlfn.MINIFS('DETALLE CRONOLÓGICO'!$K$2:$K$4919,'DETALLE CRONOLÓGICO'!$A$2:$A$4919,$A934)</f>
        <v/>
      </c>
      <c r="L934" s="6">
        <f>_xlfn.MAXIFS('DETALLE CRONOLÓGICO'!$K$2:$K$4919,'DETALLE CRONOLÓGICO'!$A$2:$A$4919,$A934)</f>
        <v/>
      </c>
      <c r="M934" s="6">
        <f>INDEX('DETALLE CRONOLÓGICO'!$K$2:$K$4919,MATCH($A934,'DETALLE CRONOLÓGICO'!$A$2:$A$4919,0)+$E934-1)</f>
        <v/>
      </c>
      <c r="N934" s="7">
        <f>IFERROR($M934/INDEX('DETALLE CRONOLÓGICO'!$K$2:$K$4919,MATCH($A934,'DETALLE CRONOLÓGICO'!$A$2:$A$4919,0))-1,"")</f>
        <v/>
      </c>
      <c r="O934" s="6">
        <f>IFERROR($I934*3,"")</f>
        <v/>
      </c>
      <c r="P934" s="6">
        <f>IFERROR($I934*3.5,"")</f>
        <v/>
      </c>
      <c r="Q934" s="6">
        <f>IFERROR($I934*4,"")</f>
        <v/>
      </c>
      <c r="R934" s="6" t="n">
        <v>550</v>
      </c>
      <c r="S934" s="4" t="n">
        <v>1</v>
      </c>
      <c r="T934" s="1" t="inlineStr">
        <is>
          <t>active</t>
        </is>
      </c>
      <c r="U934" s="8" t="n"/>
      <c r="V934" s="1" t="inlineStr">
        <is>
          <t>SIN PRECIO</t>
        </is>
      </c>
    </row>
    <row r="935">
      <c r="A935" s="1" t="inlineStr">
        <is>
          <t>56481484278796</t>
        </is>
      </c>
      <c r="B935" s="1" t="inlineStr">
        <is>
          <t>ANILLO SIXTEEN STONE GOLD/RED</t>
        </is>
      </c>
      <c r="C935" s="1" t="inlineStr">
        <is>
          <t>7</t>
        </is>
      </c>
      <c r="D935" s="1" t="inlineStr">
        <is>
          <t>HAIFENG</t>
        </is>
      </c>
      <c r="E935" s="4">
        <f>COUNTIF('DETALLE CRONOLÓGICO'!$A$2:$A$4919,$A935)</f>
        <v/>
      </c>
      <c r="F935" s="4">
        <f>SUMIFS('DETALLE CRONOLÓGICO'!$I$2:$I$4919,'DETALLE CRONOLÓGICO'!$A$2:$A$4919,$A935)</f>
        <v/>
      </c>
      <c r="G935" s="1">
        <f>INDEX('DETALLE CRONOLÓGICO'!$D$2:$D$4919,MATCH($A935,'DETALLE CRONOLÓGICO'!$A$2:$A$4919,0))</f>
        <v/>
      </c>
      <c r="H935" s="1">
        <f>INDEX('DETALLE CRONOLÓGICO'!$D$2:$D$4919,MATCH($A935,'DETALLE CRONOLÓGICO'!$A$2:$A$4919,0)+$E935-1)</f>
        <v/>
      </c>
      <c r="I935" s="5">
        <f>IFERROR(SUMIFS('DETALLE CRONOLÓGICO'!$L$2:$L$4919,'DETALLE CRONOLÓGICO'!$A$2:$A$4919,$A935)/$F935,"")</f>
        <v/>
      </c>
      <c r="J935" s="6">
        <f>IFERROR(SUMIFS('DETALLE CRONOLÓGICO'!$K$2:$K$4919,'DETALLE CRONOLÓGICO'!$A$2:$A$4919,$A935)/$E935,"")</f>
        <v/>
      </c>
      <c r="K935" s="6">
        <f>_xlfn.MINIFS('DETALLE CRONOLÓGICO'!$K$2:$K$4919,'DETALLE CRONOLÓGICO'!$A$2:$A$4919,$A935)</f>
        <v/>
      </c>
      <c r="L935" s="6">
        <f>_xlfn.MAXIFS('DETALLE CRONOLÓGICO'!$K$2:$K$4919,'DETALLE CRONOLÓGICO'!$A$2:$A$4919,$A935)</f>
        <v/>
      </c>
      <c r="M935" s="6">
        <f>INDEX('DETALLE CRONOLÓGICO'!$K$2:$K$4919,MATCH($A935,'DETALLE CRONOLÓGICO'!$A$2:$A$4919,0)+$E935-1)</f>
        <v/>
      </c>
      <c r="N935" s="7">
        <f>IFERROR($M935/INDEX('DETALLE CRONOLÓGICO'!$K$2:$K$4919,MATCH($A935,'DETALLE CRONOLÓGICO'!$A$2:$A$4919,0))-1,"")</f>
        <v/>
      </c>
      <c r="O935" s="6">
        <f>IFERROR($I935*3,"")</f>
        <v/>
      </c>
      <c r="P935" s="6">
        <f>IFERROR($I935*3.5,"")</f>
        <v/>
      </c>
      <c r="Q935" s="6">
        <f>IFERROR($I935*4,"")</f>
        <v/>
      </c>
      <c r="R935" s="6" t="n">
        <v>550</v>
      </c>
      <c r="S935" s="4" t="n">
        <v>7</v>
      </c>
      <c r="T935" s="1" t="inlineStr">
        <is>
          <t>active</t>
        </is>
      </c>
      <c r="U935" s="8" t="n"/>
      <c r="V935" s="1" t="inlineStr">
        <is>
          <t>SIN PRECIO</t>
        </is>
      </c>
    </row>
    <row r="936">
      <c r="A936" s="1" t="inlineStr">
        <is>
          <t>56481484311564</t>
        </is>
      </c>
      <c r="B936" s="1" t="inlineStr">
        <is>
          <t>ANILLO SIXTEEN STONE GOLD/RED</t>
        </is>
      </c>
      <c r="C936" s="1" t="inlineStr">
        <is>
          <t>8</t>
        </is>
      </c>
      <c r="D936" s="1" t="inlineStr">
        <is>
          <t>HAIFENG</t>
        </is>
      </c>
      <c r="E936" s="4">
        <f>COUNTIF('DETALLE CRONOLÓGICO'!$A$2:$A$4919,$A936)</f>
        <v/>
      </c>
      <c r="F936" s="4">
        <f>SUMIFS('DETALLE CRONOLÓGICO'!$I$2:$I$4919,'DETALLE CRONOLÓGICO'!$A$2:$A$4919,$A936)</f>
        <v/>
      </c>
      <c r="G936" s="1">
        <f>INDEX('DETALLE CRONOLÓGICO'!$D$2:$D$4919,MATCH($A936,'DETALLE CRONOLÓGICO'!$A$2:$A$4919,0))</f>
        <v/>
      </c>
      <c r="H936" s="1">
        <f>INDEX('DETALLE CRONOLÓGICO'!$D$2:$D$4919,MATCH($A936,'DETALLE CRONOLÓGICO'!$A$2:$A$4919,0)+$E936-1)</f>
        <v/>
      </c>
      <c r="I936" s="5">
        <f>IFERROR(SUMIFS('DETALLE CRONOLÓGICO'!$L$2:$L$4919,'DETALLE CRONOLÓGICO'!$A$2:$A$4919,$A936)/$F936,"")</f>
        <v/>
      </c>
      <c r="J936" s="6">
        <f>IFERROR(SUMIFS('DETALLE CRONOLÓGICO'!$K$2:$K$4919,'DETALLE CRONOLÓGICO'!$A$2:$A$4919,$A936)/$E936,"")</f>
        <v/>
      </c>
      <c r="K936" s="6">
        <f>_xlfn.MINIFS('DETALLE CRONOLÓGICO'!$K$2:$K$4919,'DETALLE CRONOLÓGICO'!$A$2:$A$4919,$A936)</f>
        <v/>
      </c>
      <c r="L936" s="6">
        <f>_xlfn.MAXIFS('DETALLE CRONOLÓGICO'!$K$2:$K$4919,'DETALLE CRONOLÓGICO'!$A$2:$A$4919,$A936)</f>
        <v/>
      </c>
      <c r="M936" s="6">
        <f>INDEX('DETALLE CRONOLÓGICO'!$K$2:$K$4919,MATCH($A936,'DETALLE CRONOLÓGICO'!$A$2:$A$4919,0)+$E936-1)</f>
        <v/>
      </c>
      <c r="N936" s="7">
        <f>IFERROR($M936/INDEX('DETALLE CRONOLÓGICO'!$K$2:$K$4919,MATCH($A936,'DETALLE CRONOLÓGICO'!$A$2:$A$4919,0))-1,"")</f>
        <v/>
      </c>
      <c r="O936" s="6">
        <f>IFERROR($I936*3,"")</f>
        <v/>
      </c>
      <c r="P936" s="6">
        <f>IFERROR($I936*3.5,"")</f>
        <v/>
      </c>
      <c r="Q936" s="6">
        <f>IFERROR($I936*4,"")</f>
        <v/>
      </c>
      <c r="R936" s="6" t="n">
        <v>550</v>
      </c>
      <c r="S936" s="4" t="n">
        <v>1</v>
      </c>
      <c r="T936" s="1" t="inlineStr">
        <is>
          <t>active</t>
        </is>
      </c>
      <c r="U936" s="8" t="n"/>
      <c r="V936" s="1" t="inlineStr">
        <is>
          <t>SIN PRECIO</t>
        </is>
      </c>
    </row>
    <row r="937">
      <c r="A937" s="1" t="inlineStr">
        <is>
          <t>56481484584844</t>
        </is>
      </c>
      <c r="B937" s="1" t="inlineStr">
        <is>
          <t>COLLAR BEAN GOLD</t>
        </is>
      </c>
      <c r="C937" s="1" t="inlineStr">
        <is>
          <t>41cm con 5cm de extensión</t>
        </is>
      </c>
      <c r="D937" s="1" t="inlineStr">
        <is>
          <t>HAIFENG</t>
        </is>
      </c>
      <c r="E937" s="4">
        <f>COUNTIF('DETALLE CRONOLÓGICO'!$A$2:$A$4919,$A937)</f>
        <v/>
      </c>
      <c r="F937" s="4">
        <f>SUMIFS('DETALLE CRONOLÓGICO'!$I$2:$I$4919,'DETALLE CRONOLÓGICO'!$A$2:$A$4919,$A937)</f>
        <v/>
      </c>
      <c r="G937" s="1">
        <f>INDEX('DETALLE CRONOLÓGICO'!$D$2:$D$4919,MATCH($A937,'DETALLE CRONOLÓGICO'!$A$2:$A$4919,0))</f>
        <v/>
      </c>
      <c r="H937" s="1">
        <f>INDEX('DETALLE CRONOLÓGICO'!$D$2:$D$4919,MATCH($A937,'DETALLE CRONOLÓGICO'!$A$2:$A$4919,0)+$E937-1)</f>
        <v/>
      </c>
      <c r="I937" s="5">
        <f>IFERROR(SUMIFS('DETALLE CRONOLÓGICO'!$L$2:$L$4919,'DETALLE CRONOLÓGICO'!$A$2:$A$4919,$A937)/$F937,"")</f>
        <v/>
      </c>
      <c r="J937" s="6">
        <f>IFERROR(SUMIFS('DETALLE CRONOLÓGICO'!$K$2:$K$4919,'DETALLE CRONOLÓGICO'!$A$2:$A$4919,$A937)/$E937,"")</f>
        <v/>
      </c>
      <c r="K937" s="6">
        <f>_xlfn.MINIFS('DETALLE CRONOLÓGICO'!$K$2:$K$4919,'DETALLE CRONOLÓGICO'!$A$2:$A$4919,$A937)</f>
        <v/>
      </c>
      <c r="L937" s="6">
        <f>_xlfn.MAXIFS('DETALLE CRONOLÓGICO'!$K$2:$K$4919,'DETALLE CRONOLÓGICO'!$A$2:$A$4919,$A937)</f>
        <v/>
      </c>
      <c r="M937" s="6">
        <f>INDEX('DETALLE CRONOLÓGICO'!$K$2:$K$4919,MATCH($A937,'DETALLE CRONOLÓGICO'!$A$2:$A$4919,0)+$E937-1)</f>
        <v/>
      </c>
      <c r="N937" s="7">
        <f>IFERROR($M937/INDEX('DETALLE CRONOLÓGICO'!$K$2:$K$4919,MATCH($A937,'DETALLE CRONOLÓGICO'!$A$2:$A$4919,0))-1,"")</f>
        <v/>
      </c>
      <c r="O937" s="6">
        <f>IFERROR($I937*3,"")</f>
        <v/>
      </c>
      <c r="P937" s="6">
        <f>IFERROR($I937*3.5,"")</f>
        <v/>
      </c>
      <c r="Q937" s="6">
        <f>IFERROR($I937*4,"")</f>
        <v/>
      </c>
      <c r="R937" s="6" t="n">
        <v>520</v>
      </c>
      <c r="S937" s="4" t="n">
        <v>11</v>
      </c>
      <c r="T937" s="1" t="inlineStr">
        <is>
          <t>active</t>
        </is>
      </c>
      <c r="U937" s="8" t="n"/>
      <c r="V937" s="1" t="inlineStr">
        <is>
          <t>SIN PRECIO</t>
        </is>
      </c>
    </row>
    <row r="938">
      <c r="A938" s="1" t="inlineStr">
        <is>
          <t>56481485030668</t>
        </is>
      </c>
      <c r="B938" s="1" t="inlineStr">
        <is>
          <t>ANILLO TRES AROS SILVER/BLACK</t>
        </is>
      </c>
      <c r="C938" s="1" t="inlineStr">
        <is>
          <t>8</t>
        </is>
      </c>
      <c r="D938" s="1" t="inlineStr">
        <is>
          <t>HAIFENG / ZOEY</t>
        </is>
      </c>
      <c r="E938" s="4">
        <f>COUNTIF('DETALLE CRONOLÓGICO'!$A$2:$A$4919,$A938)</f>
        <v/>
      </c>
      <c r="F938" s="4">
        <f>SUMIFS('DETALLE CRONOLÓGICO'!$I$2:$I$4919,'DETALLE CRONOLÓGICO'!$A$2:$A$4919,$A938)</f>
        <v/>
      </c>
      <c r="G938" s="1">
        <f>INDEX('DETALLE CRONOLÓGICO'!$D$2:$D$4919,MATCH($A938,'DETALLE CRONOLÓGICO'!$A$2:$A$4919,0))</f>
        <v/>
      </c>
      <c r="H938" s="1">
        <f>INDEX('DETALLE CRONOLÓGICO'!$D$2:$D$4919,MATCH($A938,'DETALLE CRONOLÓGICO'!$A$2:$A$4919,0)+$E938-1)</f>
        <v/>
      </c>
      <c r="I938" s="5">
        <f>IFERROR(SUMIFS('DETALLE CRONOLÓGICO'!$L$2:$L$4919,'DETALLE CRONOLÓGICO'!$A$2:$A$4919,$A938)/$F938,"")</f>
        <v/>
      </c>
      <c r="J938" s="6">
        <f>IFERROR(SUMIFS('DETALLE CRONOLÓGICO'!$K$2:$K$4919,'DETALLE CRONOLÓGICO'!$A$2:$A$4919,$A938)/$E938,"")</f>
        <v/>
      </c>
      <c r="K938" s="6">
        <f>_xlfn.MINIFS('DETALLE CRONOLÓGICO'!$K$2:$K$4919,'DETALLE CRONOLÓGICO'!$A$2:$A$4919,$A938)</f>
        <v/>
      </c>
      <c r="L938" s="6">
        <f>_xlfn.MAXIFS('DETALLE CRONOLÓGICO'!$K$2:$K$4919,'DETALLE CRONOLÓGICO'!$A$2:$A$4919,$A938)</f>
        <v/>
      </c>
      <c r="M938" s="6">
        <f>INDEX('DETALLE CRONOLÓGICO'!$K$2:$K$4919,MATCH($A938,'DETALLE CRONOLÓGICO'!$A$2:$A$4919,0)+$E938-1)</f>
        <v/>
      </c>
      <c r="N938" s="7">
        <f>IFERROR($M938/INDEX('DETALLE CRONOLÓGICO'!$K$2:$K$4919,MATCH($A938,'DETALLE CRONOLÓGICO'!$A$2:$A$4919,0))-1,"")</f>
        <v/>
      </c>
      <c r="O938" s="6">
        <f>IFERROR($I938*3,"")</f>
        <v/>
      </c>
      <c r="P938" s="6">
        <f>IFERROR($I938*3.5,"")</f>
        <v/>
      </c>
      <c r="Q938" s="6">
        <f>IFERROR($I938*4,"")</f>
        <v/>
      </c>
      <c r="R938" s="6" t="n">
        <v>639</v>
      </c>
      <c r="S938" s="4" t="n">
        <v>6</v>
      </c>
      <c r="T938" s="1" t="inlineStr">
        <is>
          <t>active</t>
        </is>
      </c>
      <c r="U938" s="8" t="n"/>
      <c r="V938" s="1" t="inlineStr">
        <is>
          <t>SIN PRECIO</t>
        </is>
      </c>
    </row>
    <row r="939">
      <c r="A939" s="1" t="inlineStr">
        <is>
          <t>56481485063436</t>
        </is>
      </c>
      <c r="B939" s="1" t="inlineStr">
        <is>
          <t>ANILLO TRES AROS SILVER/BLACK</t>
        </is>
      </c>
      <c r="C939" s="1" t="inlineStr">
        <is>
          <t>9</t>
        </is>
      </c>
      <c r="D939" s="1" t="inlineStr">
        <is>
          <t>HAIFENG</t>
        </is>
      </c>
      <c r="E939" s="4">
        <f>COUNTIF('DETALLE CRONOLÓGICO'!$A$2:$A$4919,$A939)</f>
        <v/>
      </c>
      <c r="F939" s="4">
        <f>SUMIFS('DETALLE CRONOLÓGICO'!$I$2:$I$4919,'DETALLE CRONOLÓGICO'!$A$2:$A$4919,$A939)</f>
        <v/>
      </c>
      <c r="G939" s="1">
        <f>INDEX('DETALLE CRONOLÓGICO'!$D$2:$D$4919,MATCH($A939,'DETALLE CRONOLÓGICO'!$A$2:$A$4919,0))</f>
        <v/>
      </c>
      <c r="H939" s="1">
        <f>INDEX('DETALLE CRONOLÓGICO'!$D$2:$D$4919,MATCH($A939,'DETALLE CRONOLÓGICO'!$A$2:$A$4919,0)+$E939-1)</f>
        <v/>
      </c>
      <c r="I939" s="5">
        <f>IFERROR(SUMIFS('DETALLE CRONOLÓGICO'!$L$2:$L$4919,'DETALLE CRONOLÓGICO'!$A$2:$A$4919,$A939)/$F939,"")</f>
        <v/>
      </c>
      <c r="J939" s="6">
        <f>IFERROR(SUMIFS('DETALLE CRONOLÓGICO'!$K$2:$K$4919,'DETALLE CRONOLÓGICO'!$A$2:$A$4919,$A939)/$E939,"")</f>
        <v/>
      </c>
      <c r="K939" s="6">
        <f>_xlfn.MINIFS('DETALLE CRONOLÓGICO'!$K$2:$K$4919,'DETALLE CRONOLÓGICO'!$A$2:$A$4919,$A939)</f>
        <v/>
      </c>
      <c r="L939" s="6">
        <f>_xlfn.MAXIFS('DETALLE CRONOLÓGICO'!$K$2:$K$4919,'DETALLE CRONOLÓGICO'!$A$2:$A$4919,$A939)</f>
        <v/>
      </c>
      <c r="M939" s="6">
        <f>INDEX('DETALLE CRONOLÓGICO'!$K$2:$K$4919,MATCH($A939,'DETALLE CRONOLÓGICO'!$A$2:$A$4919,0)+$E939-1)</f>
        <v/>
      </c>
      <c r="N939" s="7">
        <f>IFERROR($M939/INDEX('DETALLE CRONOLÓGICO'!$K$2:$K$4919,MATCH($A939,'DETALLE CRONOLÓGICO'!$A$2:$A$4919,0))-1,"")</f>
        <v/>
      </c>
      <c r="O939" s="6">
        <f>IFERROR($I939*3,"")</f>
        <v/>
      </c>
      <c r="P939" s="6">
        <f>IFERROR($I939*3.5,"")</f>
        <v/>
      </c>
      <c r="Q939" s="6">
        <f>IFERROR($I939*4,"")</f>
        <v/>
      </c>
      <c r="R939" s="6" t="n">
        <v>500</v>
      </c>
      <c r="S939" s="4" t="n">
        <v>5</v>
      </c>
      <c r="T939" s="1" t="inlineStr">
        <is>
          <t>active</t>
        </is>
      </c>
      <c r="U939" s="8" t="n"/>
      <c r="V939" s="1" t="inlineStr">
        <is>
          <t>SIN PRECIO</t>
        </is>
      </c>
    </row>
    <row r="940">
      <c r="A940" s="1" t="inlineStr">
        <is>
          <t>56481485096204</t>
        </is>
      </c>
      <c r="B940" s="1" t="inlineStr">
        <is>
          <t>ANILLO TRES AROS SILVER/BLACK</t>
        </is>
      </c>
      <c r="C940" s="1" t="inlineStr">
        <is>
          <t>10</t>
        </is>
      </c>
      <c r="D940" s="1" t="inlineStr">
        <is>
          <t>HAIFENG</t>
        </is>
      </c>
      <c r="E940" s="4">
        <f>COUNTIF('DETALLE CRONOLÓGICO'!$A$2:$A$4919,$A940)</f>
        <v/>
      </c>
      <c r="F940" s="4">
        <f>SUMIFS('DETALLE CRONOLÓGICO'!$I$2:$I$4919,'DETALLE CRONOLÓGICO'!$A$2:$A$4919,$A940)</f>
        <v/>
      </c>
      <c r="G940" s="1">
        <f>INDEX('DETALLE CRONOLÓGICO'!$D$2:$D$4919,MATCH($A940,'DETALLE CRONOLÓGICO'!$A$2:$A$4919,0))</f>
        <v/>
      </c>
      <c r="H940" s="1">
        <f>INDEX('DETALLE CRONOLÓGICO'!$D$2:$D$4919,MATCH($A940,'DETALLE CRONOLÓGICO'!$A$2:$A$4919,0)+$E940-1)</f>
        <v/>
      </c>
      <c r="I940" s="5">
        <f>IFERROR(SUMIFS('DETALLE CRONOLÓGICO'!$L$2:$L$4919,'DETALLE CRONOLÓGICO'!$A$2:$A$4919,$A940)/$F940,"")</f>
        <v/>
      </c>
      <c r="J940" s="6">
        <f>IFERROR(SUMIFS('DETALLE CRONOLÓGICO'!$K$2:$K$4919,'DETALLE CRONOLÓGICO'!$A$2:$A$4919,$A940)/$E940,"")</f>
        <v/>
      </c>
      <c r="K940" s="6">
        <f>_xlfn.MINIFS('DETALLE CRONOLÓGICO'!$K$2:$K$4919,'DETALLE CRONOLÓGICO'!$A$2:$A$4919,$A940)</f>
        <v/>
      </c>
      <c r="L940" s="6">
        <f>_xlfn.MAXIFS('DETALLE CRONOLÓGICO'!$K$2:$K$4919,'DETALLE CRONOLÓGICO'!$A$2:$A$4919,$A940)</f>
        <v/>
      </c>
      <c r="M940" s="6">
        <f>INDEX('DETALLE CRONOLÓGICO'!$K$2:$K$4919,MATCH($A940,'DETALLE CRONOLÓGICO'!$A$2:$A$4919,0)+$E940-1)</f>
        <v/>
      </c>
      <c r="N940" s="7">
        <f>IFERROR($M940/INDEX('DETALLE CRONOLÓGICO'!$K$2:$K$4919,MATCH($A940,'DETALLE CRONOLÓGICO'!$A$2:$A$4919,0))-1,"")</f>
        <v/>
      </c>
      <c r="O940" s="6">
        <f>IFERROR($I940*3,"")</f>
        <v/>
      </c>
      <c r="P940" s="6">
        <f>IFERROR($I940*3.5,"")</f>
        <v/>
      </c>
      <c r="Q940" s="6">
        <f>IFERROR($I940*4,"")</f>
        <v/>
      </c>
      <c r="R940" s="6" t="n">
        <v>500</v>
      </c>
      <c r="S940" s="4" t="n">
        <v>4</v>
      </c>
      <c r="T940" s="1" t="inlineStr">
        <is>
          <t>active</t>
        </is>
      </c>
      <c r="U940" s="8" t="n"/>
      <c r="V940" s="1" t="inlineStr">
        <is>
          <t>SIN PRECIO</t>
        </is>
      </c>
    </row>
    <row r="941">
      <c r="A941" s="1" t="inlineStr">
        <is>
          <t>56481485321228</t>
        </is>
      </c>
      <c r="B941" s="1" t="inlineStr">
        <is>
          <t>COLLAR OPEN HEART</t>
        </is>
      </c>
      <c r="C941" s="1" t="inlineStr">
        <is>
          <t>45cm</t>
        </is>
      </c>
      <c r="D941" s="1" t="inlineStr">
        <is>
          <t>HAIFENG</t>
        </is>
      </c>
      <c r="E941" s="4">
        <f>COUNTIF('DETALLE CRONOLÓGICO'!$A$2:$A$4919,$A941)</f>
        <v/>
      </c>
      <c r="F941" s="4">
        <f>SUMIFS('DETALLE CRONOLÓGICO'!$I$2:$I$4919,'DETALLE CRONOLÓGICO'!$A$2:$A$4919,$A941)</f>
        <v/>
      </c>
      <c r="G941" s="1">
        <f>INDEX('DETALLE CRONOLÓGICO'!$D$2:$D$4919,MATCH($A941,'DETALLE CRONOLÓGICO'!$A$2:$A$4919,0))</f>
        <v/>
      </c>
      <c r="H941" s="1">
        <f>INDEX('DETALLE CRONOLÓGICO'!$D$2:$D$4919,MATCH($A941,'DETALLE CRONOLÓGICO'!$A$2:$A$4919,0)+$E941-1)</f>
        <v/>
      </c>
      <c r="I941" s="5">
        <f>IFERROR(SUMIFS('DETALLE CRONOLÓGICO'!$L$2:$L$4919,'DETALLE CRONOLÓGICO'!$A$2:$A$4919,$A941)/$F941,"")</f>
        <v/>
      </c>
      <c r="J941" s="6">
        <f>IFERROR(SUMIFS('DETALLE CRONOLÓGICO'!$K$2:$K$4919,'DETALLE CRONOLÓGICO'!$A$2:$A$4919,$A941)/$E941,"")</f>
        <v/>
      </c>
      <c r="K941" s="6">
        <f>_xlfn.MINIFS('DETALLE CRONOLÓGICO'!$K$2:$K$4919,'DETALLE CRONOLÓGICO'!$A$2:$A$4919,$A941)</f>
        <v/>
      </c>
      <c r="L941" s="6">
        <f>_xlfn.MAXIFS('DETALLE CRONOLÓGICO'!$K$2:$K$4919,'DETALLE CRONOLÓGICO'!$A$2:$A$4919,$A941)</f>
        <v/>
      </c>
      <c r="M941" s="6">
        <f>INDEX('DETALLE CRONOLÓGICO'!$K$2:$K$4919,MATCH($A941,'DETALLE CRONOLÓGICO'!$A$2:$A$4919,0)+$E941-1)</f>
        <v/>
      </c>
      <c r="N941" s="7">
        <f>IFERROR($M941/INDEX('DETALLE CRONOLÓGICO'!$K$2:$K$4919,MATCH($A941,'DETALLE CRONOLÓGICO'!$A$2:$A$4919,0))-1,"")</f>
        <v/>
      </c>
      <c r="O941" s="6">
        <f>IFERROR($I941*3,"")</f>
        <v/>
      </c>
      <c r="P941" s="6">
        <f>IFERROR($I941*3.5,"")</f>
        <v/>
      </c>
      <c r="Q941" s="6">
        <f>IFERROR($I941*4,"")</f>
        <v/>
      </c>
      <c r="R941" s="6" t="n">
        <v>599</v>
      </c>
      <c r="S941" s="4" t="n">
        <v>3</v>
      </c>
      <c r="T941" s="1" t="inlineStr">
        <is>
          <t>active</t>
        </is>
      </c>
      <c r="U941" s="8" t="n"/>
      <c r="V941" s="1" t="inlineStr">
        <is>
          <t>SIN PRECIO</t>
        </is>
      </c>
    </row>
    <row r="942">
      <c r="A942" s="1" t="inlineStr">
        <is>
          <t>56481488272140</t>
        </is>
      </c>
      <c r="B942" s="1" t="inlineStr">
        <is>
          <t>COLLAR PASADOR FULL HEART</t>
        </is>
      </c>
      <c r="C942" s="1" t="inlineStr">
        <is>
          <t>45cm</t>
        </is>
      </c>
      <c r="D942" s="1" t="inlineStr">
        <is>
          <t>HAIFENG</t>
        </is>
      </c>
      <c r="E942" s="4">
        <f>COUNTIF('DETALLE CRONOLÓGICO'!$A$2:$A$4919,$A942)</f>
        <v/>
      </c>
      <c r="F942" s="4">
        <f>SUMIFS('DETALLE CRONOLÓGICO'!$I$2:$I$4919,'DETALLE CRONOLÓGICO'!$A$2:$A$4919,$A942)</f>
        <v/>
      </c>
      <c r="G942" s="1">
        <f>INDEX('DETALLE CRONOLÓGICO'!$D$2:$D$4919,MATCH($A942,'DETALLE CRONOLÓGICO'!$A$2:$A$4919,0))</f>
        <v/>
      </c>
      <c r="H942" s="1">
        <f>INDEX('DETALLE CRONOLÓGICO'!$D$2:$D$4919,MATCH($A942,'DETALLE CRONOLÓGICO'!$A$2:$A$4919,0)+$E942-1)</f>
        <v/>
      </c>
      <c r="I942" s="5">
        <f>IFERROR(SUMIFS('DETALLE CRONOLÓGICO'!$L$2:$L$4919,'DETALLE CRONOLÓGICO'!$A$2:$A$4919,$A942)/$F942,"")</f>
        <v/>
      </c>
      <c r="J942" s="6">
        <f>IFERROR(SUMIFS('DETALLE CRONOLÓGICO'!$K$2:$K$4919,'DETALLE CRONOLÓGICO'!$A$2:$A$4919,$A942)/$E942,"")</f>
        <v/>
      </c>
      <c r="K942" s="6">
        <f>_xlfn.MINIFS('DETALLE CRONOLÓGICO'!$K$2:$K$4919,'DETALLE CRONOLÓGICO'!$A$2:$A$4919,$A942)</f>
        <v/>
      </c>
      <c r="L942" s="6">
        <f>_xlfn.MAXIFS('DETALLE CRONOLÓGICO'!$K$2:$K$4919,'DETALLE CRONOLÓGICO'!$A$2:$A$4919,$A942)</f>
        <v/>
      </c>
      <c r="M942" s="6">
        <f>INDEX('DETALLE CRONOLÓGICO'!$K$2:$K$4919,MATCH($A942,'DETALLE CRONOLÓGICO'!$A$2:$A$4919,0)+$E942-1)</f>
        <v/>
      </c>
      <c r="N942" s="7">
        <f>IFERROR($M942/INDEX('DETALLE CRONOLÓGICO'!$K$2:$K$4919,MATCH($A942,'DETALLE CRONOLÓGICO'!$A$2:$A$4919,0))-1,"")</f>
        <v/>
      </c>
      <c r="O942" s="6">
        <f>IFERROR($I942*3,"")</f>
        <v/>
      </c>
      <c r="P942" s="6">
        <f>IFERROR($I942*3.5,"")</f>
        <v/>
      </c>
      <c r="Q942" s="6">
        <f>IFERROR($I942*4,"")</f>
        <v/>
      </c>
      <c r="R942" s="6" t="n">
        <v>989</v>
      </c>
      <c r="S942" s="4" t="n">
        <v>1</v>
      </c>
      <c r="T942" s="1" t="inlineStr">
        <is>
          <t>active</t>
        </is>
      </c>
      <c r="U942" s="8" t="n"/>
      <c r="V942" s="1" t="inlineStr">
        <is>
          <t>SIN PRECIO</t>
        </is>
      </c>
    </row>
    <row r="943">
      <c r="A943" s="1" t="inlineStr">
        <is>
          <t>56481488554124</t>
        </is>
      </c>
      <c r="B943" s="1" t="inlineStr">
        <is>
          <t>ANILLO TRES AROS CON ZIRCONIA</t>
        </is>
      </c>
      <c r="C943" s="1" t="inlineStr">
        <is>
          <t>6</t>
        </is>
      </c>
      <c r="D943" s="1" t="inlineStr">
        <is>
          <t>HAIFENG / ZOEY</t>
        </is>
      </c>
      <c r="E943" s="4">
        <f>COUNTIF('DETALLE CRONOLÓGICO'!$A$2:$A$4919,$A943)</f>
        <v/>
      </c>
      <c r="F943" s="4">
        <f>SUMIFS('DETALLE CRONOLÓGICO'!$I$2:$I$4919,'DETALLE CRONOLÓGICO'!$A$2:$A$4919,$A943)</f>
        <v/>
      </c>
      <c r="G943" s="1">
        <f>INDEX('DETALLE CRONOLÓGICO'!$D$2:$D$4919,MATCH($A943,'DETALLE CRONOLÓGICO'!$A$2:$A$4919,0))</f>
        <v/>
      </c>
      <c r="H943" s="1">
        <f>INDEX('DETALLE CRONOLÓGICO'!$D$2:$D$4919,MATCH($A943,'DETALLE CRONOLÓGICO'!$A$2:$A$4919,0)+$E943-1)</f>
        <v/>
      </c>
      <c r="I943" s="5">
        <f>IFERROR(SUMIFS('DETALLE CRONOLÓGICO'!$L$2:$L$4919,'DETALLE CRONOLÓGICO'!$A$2:$A$4919,$A943)/$F943,"")</f>
        <v/>
      </c>
      <c r="J943" s="6">
        <f>IFERROR(SUMIFS('DETALLE CRONOLÓGICO'!$K$2:$K$4919,'DETALLE CRONOLÓGICO'!$A$2:$A$4919,$A943)/$E943,"")</f>
        <v/>
      </c>
      <c r="K943" s="6">
        <f>_xlfn.MINIFS('DETALLE CRONOLÓGICO'!$K$2:$K$4919,'DETALLE CRONOLÓGICO'!$A$2:$A$4919,$A943)</f>
        <v/>
      </c>
      <c r="L943" s="6">
        <f>_xlfn.MAXIFS('DETALLE CRONOLÓGICO'!$K$2:$K$4919,'DETALLE CRONOLÓGICO'!$A$2:$A$4919,$A943)</f>
        <v/>
      </c>
      <c r="M943" s="6">
        <f>INDEX('DETALLE CRONOLÓGICO'!$K$2:$K$4919,MATCH($A943,'DETALLE CRONOLÓGICO'!$A$2:$A$4919,0)+$E943-1)</f>
        <v/>
      </c>
      <c r="N943" s="7">
        <f>IFERROR($M943/INDEX('DETALLE CRONOLÓGICO'!$K$2:$K$4919,MATCH($A943,'DETALLE CRONOLÓGICO'!$A$2:$A$4919,0))-1,"")</f>
        <v/>
      </c>
      <c r="O943" s="6">
        <f>IFERROR($I943*3,"")</f>
        <v/>
      </c>
      <c r="P943" s="6">
        <f>IFERROR($I943*3.5,"")</f>
        <v/>
      </c>
      <c r="Q943" s="6">
        <f>IFERROR($I943*4,"")</f>
        <v/>
      </c>
      <c r="R943" s="6" t="n">
        <v>1405</v>
      </c>
      <c r="S943" s="4" t="n">
        <v>9</v>
      </c>
      <c r="T943" s="1" t="inlineStr">
        <is>
          <t>active</t>
        </is>
      </c>
      <c r="U943" s="8" t="n"/>
      <c r="V943" s="1" t="inlineStr">
        <is>
          <t>SIN PRECIO</t>
        </is>
      </c>
    </row>
    <row r="944">
      <c r="A944" s="1" t="inlineStr">
        <is>
          <t>56481488586892</t>
        </is>
      </c>
      <c r="B944" s="1" t="inlineStr">
        <is>
          <t>ANILLO TRES AROS CON ZIRCONIA</t>
        </is>
      </c>
      <c r="C944" s="1" t="inlineStr">
        <is>
          <t>7</t>
        </is>
      </c>
      <c r="D944" s="1" t="inlineStr">
        <is>
          <t>HAIFENG</t>
        </is>
      </c>
      <c r="E944" s="4">
        <f>COUNTIF('DETALLE CRONOLÓGICO'!$A$2:$A$4919,$A944)</f>
        <v/>
      </c>
      <c r="F944" s="4">
        <f>SUMIFS('DETALLE CRONOLÓGICO'!$I$2:$I$4919,'DETALLE CRONOLÓGICO'!$A$2:$A$4919,$A944)</f>
        <v/>
      </c>
      <c r="G944" s="1">
        <f>INDEX('DETALLE CRONOLÓGICO'!$D$2:$D$4919,MATCH($A944,'DETALLE CRONOLÓGICO'!$A$2:$A$4919,0))</f>
        <v/>
      </c>
      <c r="H944" s="1">
        <f>INDEX('DETALLE CRONOLÓGICO'!$D$2:$D$4919,MATCH($A944,'DETALLE CRONOLÓGICO'!$A$2:$A$4919,0)+$E944-1)</f>
        <v/>
      </c>
      <c r="I944" s="5">
        <f>IFERROR(SUMIFS('DETALLE CRONOLÓGICO'!$L$2:$L$4919,'DETALLE CRONOLÓGICO'!$A$2:$A$4919,$A944)/$F944,"")</f>
        <v/>
      </c>
      <c r="J944" s="6">
        <f>IFERROR(SUMIFS('DETALLE CRONOLÓGICO'!$K$2:$K$4919,'DETALLE CRONOLÓGICO'!$A$2:$A$4919,$A944)/$E944,"")</f>
        <v/>
      </c>
      <c r="K944" s="6">
        <f>_xlfn.MINIFS('DETALLE CRONOLÓGICO'!$K$2:$K$4919,'DETALLE CRONOLÓGICO'!$A$2:$A$4919,$A944)</f>
        <v/>
      </c>
      <c r="L944" s="6">
        <f>_xlfn.MAXIFS('DETALLE CRONOLÓGICO'!$K$2:$K$4919,'DETALLE CRONOLÓGICO'!$A$2:$A$4919,$A944)</f>
        <v/>
      </c>
      <c r="M944" s="6">
        <f>INDEX('DETALLE CRONOLÓGICO'!$K$2:$K$4919,MATCH($A944,'DETALLE CRONOLÓGICO'!$A$2:$A$4919,0)+$E944-1)</f>
        <v/>
      </c>
      <c r="N944" s="7">
        <f>IFERROR($M944/INDEX('DETALLE CRONOLÓGICO'!$K$2:$K$4919,MATCH($A944,'DETALLE CRONOLÓGICO'!$A$2:$A$4919,0))-1,"")</f>
        <v/>
      </c>
      <c r="O944" s="6">
        <f>IFERROR($I944*3,"")</f>
        <v/>
      </c>
      <c r="P944" s="6">
        <f>IFERROR($I944*3.5,"")</f>
        <v/>
      </c>
      <c r="Q944" s="6">
        <f>IFERROR($I944*4,"")</f>
        <v/>
      </c>
      <c r="R944" s="6" t="n">
        <v>850</v>
      </c>
      <c r="S944" s="4" t="n">
        <v>9</v>
      </c>
      <c r="T944" s="1" t="inlineStr">
        <is>
          <t>active</t>
        </is>
      </c>
      <c r="U944" s="8" t="n"/>
      <c r="V944" s="1" t="inlineStr">
        <is>
          <t>SIN PRECIO</t>
        </is>
      </c>
    </row>
    <row r="945">
      <c r="A945" s="1" t="inlineStr">
        <is>
          <t>56481488619660</t>
        </is>
      </c>
      <c r="B945" s="1" t="inlineStr">
        <is>
          <t>ANILLO TRES AROS CON ZIRCONIA</t>
        </is>
      </c>
      <c r="C945" s="1" t="inlineStr">
        <is>
          <t>8</t>
        </is>
      </c>
      <c r="D945" s="1" t="inlineStr">
        <is>
          <t>HAIFENG</t>
        </is>
      </c>
      <c r="E945" s="4">
        <f>COUNTIF('DETALLE CRONOLÓGICO'!$A$2:$A$4919,$A945)</f>
        <v/>
      </c>
      <c r="F945" s="4">
        <f>SUMIFS('DETALLE CRONOLÓGICO'!$I$2:$I$4919,'DETALLE CRONOLÓGICO'!$A$2:$A$4919,$A945)</f>
        <v/>
      </c>
      <c r="G945" s="1">
        <f>INDEX('DETALLE CRONOLÓGICO'!$D$2:$D$4919,MATCH($A945,'DETALLE CRONOLÓGICO'!$A$2:$A$4919,0))</f>
        <v/>
      </c>
      <c r="H945" s="1">
        <f>INDEX('DETALLE CRONOLÓGICO'!$D$2:$D$4919,MATCH($A945,'DETALLE CRONOLÓGICO'!$A$2:$A$4919,0)+$E945-1)</f>
        <v/>
      </c>
      <c r="I945" s="5">
        <f>IFERROR(SUMIFS('DETALLE CRONOLÓGICO'!$L$2:$L$4919,'DETALLE CRONOLÓGICO'!$A$2:$A$4919,$A945)/$F945,"")</f>
        <v/>
      </c>
      <c r="J945" s="6">
        <f>IFERROR(SUMIFS('DETALLE CRONOLÓGICO'!$K$2:$K$4919,'DETALLE CRONOLÓGICO'!$A$2:$A$4919,$A945)/$E945,"")</f>
        <v/>
      </c>
      <c r="K945" s="6">
        <f>_xlfn.MINIFS('DETALLE CRONOLÓGICO'!$K$2:$K$4919,'DETALLE CRONOLÓGICO'!$A$2:$A$4919,$A945)</f>
        <v/>
      </c>
      <c r="L945" s="6">
        <f>_xlfn.MAXIFS('DETALLE CRONOLÓGICO'!$K$2:$K$4919,'DETALLE CRONOLÓGICO'!$A$2:$A$4919,$A945)</f>
        <v/>
      </c>
      <c r="M945" s="6">
        <f>INDEX('DETALLE CRONOLÓGICO'!$K$2:$K$4919,MATCH($A945,'DETALLE CRONOLÓGICO'!$A$2:$A$4919,0)+$E945-1)</f>
        <v/>
      </c>
      <c r="N945" s="7">
        <f>IFERROR($M945/INDEX('DETALLE CRONOLÓGICO'!$K$2:$K$4919,MATCH($A945,'DETALLE CRONOLÓGICO'!$A$2:$A$4919,0))-1,"")</f>
        <v/>
      </c>
      <c r="O945" s="6">
        <f>IFERROR($I945*3,"")</f>
        <v/>
      </c>
      <c r="P945" s="6">
        <f>IFERROR($I945*3.5,"")</f>
        <v/>
      </c>
      <c r="Q945" s="6">
        <f>IFERROR($I945*4,"")</f>
        <v/>
      </c>
      <c r="R945" s="6" t="n">
        <v>850</v>
      </c>
      <c r="S945" s="4" t="n">
        <v>3</v>
      </c>
      <c r="T945" s="1" t="inlineStr">
        <is>
          <t>active</t>
        </is>
      </c>
      <c r="U945" s="8" t="n"/>
      <c r="V945" s="1" t="inlineStr">
        <is>
          <t>SIN PRECIO</t>
        </is>
      </c>
    </row>
    <row r="946">
      <c r="A946" s="1" t="inlineStr">
        <is>
          <t>56481489561612</t>
        </is>
      </c>
      <c r="B946" s="1" t="inlineStr">
        <is>
          <t>COLLAR DOBLE PLACA ROSEGOLD</t>
        </is>
      </c>
      <c r="C946" s="1" t="inlineStr">
        <is>
          <t>39cm con 5cm de extensión</t>
        </is>
      </c>
      <c r="D946" s="1" t="inlineStr">
        <is>
          <t>HAIFENG</t>
        </is>
      </c>
      <c r="E946" s="4">
        <f>COUNTIF('DETALLE CRONOLÓGICO'!$A$2:$A$4919,$A946)</f>
        <v/>
      </c>
      <c r="F946" s="4">
        <f>SUMIFS('DETALLE CRONOLÓGICO'!$I$2:$I$4919,'DETALLE CRONOLÓGICO'!$A$2:$A$4919,$A946)</f>
        <v/>
      </c>
      <c r="G946" s="1">
        <f>INDEX('DETALLE CRONOLÓGICO'!$D$2:$D$4919,MATCH($A946,'DETALLE CRONOLÓGICO'!$A$2:$A$4919,0))</f>
        <v/>
      </c>
      <c r="H946" s="1">
        <f>INDEX('DETALLE CRONOLÓGICO'!$D$2:$D$4919,MATCH($A946,'DETALLE CRONOLÓGICO'!$A$2:$A$4919,0)+$E946-1)</f>
        <v/>
      </c>
      <c r="I946" s="5">
        <f>IFERROR(SUMIFS('DETALLE CRONOLÓGICO'!$L$2:$L$4919,'DETALLE CRONOLÓGICO'!$A$2:$A$4919,$A946)/$F946,"")</f>
        <v/>
      </c>
      <c r="J946" s="6">
        <f>IFERROR(SUMIFS('DETALLE CRONOLÓGICO'!$K$2:$K$4919,'DETALLE CRONOLÓGICO'!$A$2:$A$4919,$A946)/$E946,"")</f>
        <v/>
      </c>
      <c r="K946" s="6">
        <f>_xlfn.MINIFS('DETALLE CRONOLÓGICO'!$K$2:$K$4919,'DETALLE CRONOLÓGICO'!$A$2:$A$4919,$A946)</f>
        <v/>
      </c>
      <c r="L946" s="6">
        <f>_xlfn.MAXIFS('DETALLE CRONOLÓGICO'!$K$2:$K$4919,'DETALLE CRONOLÓGICO'!$A$2:$A$4919,$A946)</f>
        <v/>
      </c>
      <c r="M946" s="6">
        <f>INDEX('DETALLE CRONOLÓGICO'!$K$2:$K$4919,MATCH($A946,'DETALLE CRONOLÓGICO'!$A$2:$A$4919,0)+$E946-1)</f>
        <v/>
      </c>
      <c r="N946" s="7">
        <f>IFERROR($M946/INDEX('DETALLE CRONOLÓGICO'!$K$2:$K$4919,MATCH($A946,'DETALLE CRONOLÓGICO'!$A$2:$A$4919,0))-1,"")</f>
        <v/>
      </c>
      <c r="O946" s="6">
        <f>IFERROR($I946*3,"")</f>
        <v/>
      </c>
      <c r="P946" s="6">
        <f>IFERROR($I946*3.5,"")</f>
        <v/>
      </c>
      <c r="Q946" s="6">
        <f>IFERROR($I946*4,"")</f>
        <v/>
      </c>
      <c r="R946" s="6" t="n">
        <v>550</v>
      </c>
      <c r="S946" s="4" t="n">
        <v>8</v>
      </c>
      <c r="T946" s="1" t="inlineStr">
        <is>
          <t>active</t>
        </is>
      </c>
      <c r="U946" s="8" t="n"/>
      <c r="V946" s="1" t="inlineStr">
        <is>
          <t>SIN PRECIO</t>
        </is>
      </c>
    </row>
    <row r="947">
      <c r="A947" s="1" t="inlineStr">
        <is>
          <t>56481494507404</t>
        </is>
      </c>
      <c r="B947" s="1" t="inlineStr">
        <is>
          <t>PULSERA PASADOR FULL HEART</t>
        </is>
      </c>
      <c r="C947" s="1" t="inlineStr">
        <is>
          <t>17cm</t>
        </is>
      </c>
      <c r="D947" s="1" t="inlineStr">
        <is>
          <t>HAIFENG</t>
        </is>
      </c>
      <c r="E947" s="4">
        <f>COUNTIF('DETALLE CRONOLÓGICO'!$A$2:$A$4919,$A947)</f>
        <v/>
      </c>
      <c r="F947" s="4">
        <f>SUMIFS('DETALLE CRONOLÓGICO'!$I$2:$I$4919,'DETALLE CRONOLÓGICO'!$A$2:$A$4919,$A947)</f>
        <v/>
      </c>
      <c r="G947" s="1">
        <f>INDEX('DETALLE CRONOLÓGICO'!$D$2:$D$4919,MATCH($A947,'DETALLE CRONOLÓGICO'!$A$2:$A$4919,0))</f>
        <v/>
      </c>
      <c r="H947" s="1">
        <f>INDEX('DETALLE CRONOLÓGICO'!$D$2:$D$4919,MATCH($A947,'DETALLE CRONOLÓGICO'!$A$2:$A$4919,0)+$E947-1)</f>
        <v/>
      </c>
      <c r="I947" s="5">
        <f>IFERROR(SUMIFS('DETALLE CRONOLÓGICO'!$L$2:$L$4919,'DETALLE CRONOLÓGICO'!$A$2:$A$4919,$A947)/$F947,"")</f>
        <v/>
      </c>
      <c r="J947" s="6">
        <f>IFERROR(SUMIFS('DETALLE CRONOLÓGICO'!$K$2:$K$4919,'DETALLE CRONOLÓGICO'!$A$2:$A$4919,$A947)/$E947,"")</f>
        <v/>
      </c>
      <c r="K947" s="6">
        <f>_xlfn.MINIFS('DETALLE CRONOLÓGICO'!$K$2:$K$4919,'DETALLE CRONOLÓGICO'!$A$2:$A$4919,$A947)</f>
        <v/>
      </c>
      <c r="L947" s="6">
        <f>_xlfn.MAXIFS('DETALLE CRONOLÓGICO'!$K$2:$K$4919,'DETALLE CRONOLÓGICO'!$A$2:$A$4919,$A947)</f>
        <v/>
      </c>
      <c r="M947" s="6">
        <f>INDEX('DETALLE CRONOLÓGICO'!$K$2:$K$4919,MATCH($A947,'DETALLE CRONOLÓGICO'!$A$2:$A$4919,0)+$E947-1)</f>
        <v/>
      </c>
      <c r="N947" s="7">
        <f>IFERROR($M947/INDEX('DETALLE CRONOLÓGICO'!$K$2:$K$4919,MATCH($A947,'DETALLE CRONOLÓGICO'!$A$2:$A$4919,0))-1,"")</f>
        <v/>
      </c>
      <c r="O947" s="6">
        <f>IFERROR($I947*3,"")</f>
        <v/>
      </c>
      <c r="P947" s="6">
        <f>IFERROR($I947*3.5,"")</f>
        <v/>
      </c>
      <c r="Q947" s="6">
        <f>IFERROR($I947*4,"")</f>
        <v/>
      </c>
      <c r="R947" s="6" t="n">
        <v>560</v>
      </c>
      <c r="S947" s="4" t="n">
        <v>0</v>
      </c>
      <c r="T947" s="1" t="inlineStr">
        <is>
          <t>active</t>
        </is>
      </c>
      <c r="U947" s="8" t="n"/>
      <c r="V947" s="1" t="inlineStr">
        <is>
          <t>SIN PRECIO</t>
        </is>
      </c>
    </row>
    <row r="948">
      <c r="A948" s="1" t="inlineStr">
        <is>
          <t>56481495914636</t>
        </is>
      </c>
      <c r="B948" s="1" t="inlineStr">
        <is>
          <t>PULSERA LOVE LOVE GOLD</t>
        </is>
      </c>
      <c r="C948" s="1" t="inlineStr">
        <is>
          <t>17cm con 5cm de Extension</t>
        </is>
      </c>
      <c r="D948" s="1" t="inlineStr">
        <is>
          <t>HAIFENG</t>
        </is>
      </c>
      <c r="E948" s="4">
        <f>COUNTIF('DETALLE CRONOLÓGICO'!$A$2:$A$4919,$A948)</f>
        <v/>
      </c>
      <c r="F948" s="4">
        <f>SUMIFS('DETALLE CRONOLÓGICO'!$I$2:$I$4919,'DETALLE CRONOLÓGICO'!$A$2:$A$4919,$A948)</f>
        <v/>
      </c>
      <c r="G948" s="1">
        <f>INDEX('DETALLE CRONOLÓGICO'!$D$2:$D$4919,MATCH($A948,'DETALLE CRONOLÓGICO'!$A$2:$A$4919,0))</f>
        <v/>
      </c>
      <c r="H948" s="1">
        <f>INDEX('DETALLE CRONOLÓGICO'!$D$2:$D$4919,MATCH($A948,'DETALLE CRONOLÓGICO'!$A$2:$A$4919,0)+$E948-1)</f>
        <v/>
      </c>
      <c r="I948" s="5">
        <f>IFERROR(SUMIFS('DETALLE CRONOLÓGICO'!$L$2:$L$4919,'DETALLE CRONOLÓGICO'!$A$2:$A$4919,$A948)/$F948,"")</f>
        <v/>
      </c>
      <c r="J948" s="6">
        <f>IFERROR(SUMIFS('DETALLE CRONOLÓGICO'!$K$2:$K$4919,'DETALLE CRONOLÓGICO'!$A$2:$A$4919,$A948)/$E948,"")</f>
        <v/>
      </c>
      <c r="K948" s="6">
        <f>_xlfn.MINIFS('DETALLE CRONOLÓGICO'!$K$2:$K$4919,'DETALLE CRONOLÓGICO'!$A$2:$A$4919,$A948)</f>
        <v/>
      </c>
      <c r="L948" s="6">
        <f>_xlfn.MAXIFS('DETALLE CRONOLÓGICO'!$K$2:$K$4919,'DETALLE CRONOLÓGICO'!$A$2:$A$4919,$A948)</f>
        <v/>
      </c>
      <c r="M948" s="6">
        <f>INDEX('DETALLE CRONOLÓGICO'!$K$2:$K$4919,MATCH($A948,'DETALLE CRONOLÓGICO'!$A$2:$A$4919,0)+$E948-1)</f>
        <v/>
      </c>
      <c r="N948" s="7">
        <f>IFERROR($M948/INDEX('DETALLE CRONOLÓGICO'!$K$2:$K$4919,MATCH($A948,'DETALLE CRONOLÓGICO'!$A$2:$A$4919,0))-1,"")</f>
        <v/>
      </c>
      <c r="O948" s="6">
        <f>IFERROR($I948*3,"")</f>
        <v/>
      </c>
      <c r="P948" s="6">
        <f>IFERROR($I948*3.5,"")</f>
        <v/>
      </c>
      <c r="Q948" s="6">
        <f>IFERROR($I948*4,"")</f>
        <v/>
      </c>
      <c r="R948" s="6" t="n">
        <v>412</v>
      </c>
      <c r="S948" s="4" t="n">
        <v>0</v>
      </c>
      <c r="T948" s="1" t="inlineStr">
        <is>
          <t>active</t>
        </is>
      </c>
      <c r="U948" s="8" t="n"/>
      <c r="V948" s="1" t="inlineStr">
        <is>
          <t>SIN PRECIO</t>
        </is>
      </c>
    </row>
    <row r="949">
      <c r="A949" s="1" t="inlineStr">
        <is>
          <t>56481497298188</t>
        </is>
      </c>
      <c r="B949" s="1" t="inlineStr">
        <is>
          <t>COLLAR LV OMBRE</t>
        </is>
      </c>
      <c r="C949" s="1" t="inlineStr">
        <is>
          <t>39cm con extensión de 5cm</t>
        </is>
      </c>
      <c r="D949" s="1" t="inlineStr">
        <is>
          <t>NANCY</t>
        </is>
      </c>
      <c r="E949" s="4">
        <f>COUNTIF('DETALLE CRONOLÓGICO'!$A$2:$A$4919,$A949)</f>
        <v/>
      </c>
      <c r="F949" s="4">
        <f>SUMIFS('DETALLE CRONOLÓGICO'!$I$2:$I$4919,'DETALLE CRONOLÓGICO'!$A$2:$A$4919,$A949)</f>
        <v/>
      </c>
      <c r="G949" s="1">
        <f>INDEX('DETALLE CRONOLÓGICO'!$D$2:$D$4919,MATCH($A949,'DETALLE CRONOLÓGICO'!$A$2:$A$4919,0))</f>
        <v/>
      </c>
      <c r="H949" s="1">
        <f>INDEX('DETALLE CRONOLÓGICO'!$D$2:$D$4919,MATCH($A949,'DETALLE CRONOLÓGICO'!$A$2:$A$4919,0)+$E949-1)</f>
        <v/>
      </c>
      <c r="I949" s="5">
        <f>IFERROR(SUMIFS('DETALLE CRONOLÓGICO'!$L$2:$L$4919,'DETALLE CRONOLÓGICO'!$A$2:$A$4919,$A949)/$F949,"")</f>
        <v/>
      </c>
      <c r="J949" s="6">
        <f>IFERROR(SUMIFS('DETALLE CRONOLÓGICO'!$K$2:$K$4919,'DETALLE CRONOLÓGICO'!$A$2:$A$4919,$A949)/$E949,"")</f>
        <v/>
      </c>
      <c r="K949" s="6">
        <f>_xlfn.MINIFS('DETALLE CRONOLÓGICO'!$K$2:$K$4919,'DETALLE CRONOLÓGICO'!$A$2:$A$4919,$A949)</f>
        <v/>
      </c>
      <c r="L949" s="6">
        <f>_xlfn.MAXIFS('DETALLE CRONOLÓGICO'!$K$2:$K$4919,'DETALLE CRONOLÓGICO'!$A$2:$A$4919,$A949)</f>
        <v/>
      </c>
      <c r="M949" s="6">
        <f>INDEX('DETALLE CRONOLÓGICO'!$K$2:$K$4919,MATCH($A949,'DETALLE CRONOLÓGICO'!$A$2:$A$4919,0)+$E949-1)</f>
        <v/>
      </c>
      <c r="N949" s="7">
        <f>IFERROR($M949/INDEX('DETALLE CRONOLÓGICO'!$K$2:$K$4919,MATCH($A949,'DETALLE CRONOLÓGICO'!$A$2:$A$4919,0))-1,"")</f>
        <v/>
      </c>
      <c r="O949" s="6">
        <f>IFERROR($I949*3,"")</f>
        <v/>
      </c>
      <c r="P949" s="6">
        <f>IFERROR($I949*3.5,"")</f>
        <v/>
      </c>
      <c r="Q949" s="6">
        <f>IFERROR($I949*4,"")</f>
        <v/>
      </c>
      <c r="R949" s="6" t="n">
        <v>357</v>
      </c>
      <c r="S949" s="4" t="n">
        <v>3</v>
      </c>
      <c r="T949" s="1" t="inlineStr">
        <is>
          <t>active</t>
        </is>
      </c>
      <c r="U949" s="8" t="n"/>
      <c r="V949" s="1" t="inlineStr">
        <is>
          <t>SIN PRECIO</t>
        </is>
      </c>
    </row>
    <row r="950">
      <c r="A950" s="1" t="inlineStr">
        <is>
          <t>56481497508748</t>
        </is>
      </c>
      <c r="B950" s="1" t="inlineStr">
        <is>
          <t>COLLAR DOBLE PLACA ROSEGOLD PLATA</t>
        </is>
      </c>
      <c r="C950" s="1" t="inlineStr">
        <is>
          <t>40cm con 5cm de extensión</t>
        </is>
      </c>
      <c r="D950" s="1" t="inlineStr">
        <is>
          <t>HAIFENG</t>
        </is>
      </c>
      <c r="E950" s="4">
        <f>COUNTIF('DETALLE CRONOLÓGICO'!$A$2:$A$4919,$A950)</f>
        <v/>
      </c>
      <c r="F950" s="4">
        <f>SUMIFS('DETALLE CRONOLÓGICO'!$I$2:$I$4919,'DETALLE CRONOLÓGICO'!$A$2:$A$4919,$A950)</f>
        <v/>
      </c>
      <c r="G950" s="1">
        <f>INDEX('DETALLE CRONOLÓGICO'!$D$2:$D$4919,MATCH($A950,'DETALLE CRONOLÓGICO'!$A$2:$A$4919,0))</f>
        <v/>
      </c>
      <c r="H950" s="1">
        <f>INDEX('DETALLE CRONOLÓGICO'!$D$2:$D$4919,MATCH($A950,'DETALLE CRONOLÓGICO'!$A$2:$A$4919,0)+$E950-1)</f>
        <v/>
      </c>
      <c r="I950" s="5">
        <f>IFERROR(SUMIFS('DETALLE CRONOLÓGICO'!$L$2:$L$4919,'DETALLE CRONOLÓGICO'!$A$2:$A$4919,$A950)/$F950,"")</f>
        <v/>
      </c>
      <c r="J950" s="6">
        <f>IFERROR(SUMIFS('DETALLE CRONOLÓGICO'!$K$2:$K$4919,'DETALLE CRONOLÓGICO'!$A$2:$A$4919,$A950)/$E950,"")</f>
        <v/>
      </c>
      <c r="K950" s="6">
        <f>_xlfn.MINIFS('DETALLE CRONOLÓGICO'!$K$2:$K$4919,'DETALLE CRONOLÓGICO'!$A$2:$A$4919,$A950)</f>
        <v/>
      </c>
      <c r="L950" s="6">
        <f>_xlfn.MAXIFS('DETALLE CRONOLÓGICO'!$K$2:$K$4919,'DETALLE CRONOLÓGICO'!$A$2:$A$4919,$A950)</f>
        <v/>
      </c>
      <c r="M950" s="6">
        <f>INDEX('DETALLE CRONOLÓGICO'!$K$2:$K$4919,MATCH($A950,'DETALLE CRONOLÓGICO'!$A$2:$A$4919,0)+$E950-1)</f>
        <v/>
      </c>
      <c r="N950" s="7">
        <f>IFERROR($M950/INDEX('DETALLE CRONOLÓGICO'!$K$2:$K$4919,MATCH($A950,'DETALLE CRONOLÓGICO'!$A$2:$A$4919,0))-1,"")</f>
        <v/>
      </c>
      <c r="O950" s="6">
        <f>IFERROR($I950*3,"")</f>
        <v/>
      </c>
      <c r="P950" s="6">
        <f>IFERROR($I950*3.5,"")</f>
        <v/>
      </c>
      <c r="Q950" s="6">
        <f>IFERROR($I950*4,"")</f>
        <v/>
      </c>
      <c r="R950" s="6" t="n">
        <v>550</v>
      </c>
      <c r="S950" s="4" t="n">
        <v>0</v>
      </c>
      <c r="T950" s="1" t="inlineStr">
        <is>
          <t>active</t>
        </is>
      </c>
      <c r="U950" s="8" t="n"/>
      <c r="V950" s="1" t="inlineStr">
        <is>
          <t>SIN PRECIO</t>
        </is>
      </c>
    </row>
    <row r="951">
      <c r="A951" s="1" t="inlineStr">
        <is>
          <t>57465711014125</t>
        </is>
      </c>
      <c r="B951" s="1" t="inlineStr">
        <is>
          <t>SET DEPORTIVO LLM CON ESCOTE V PINK</t>
        </is>
      </c>
      <c r="C951" s="1" t="inlineStr">
        <is>
          <t>S</t>
        </is>
      </c>
      <c r="D951" s="1" t="inlineStr">
        <is>
          <t>ZOEY</t>
        </is>
      </c>
      <c r="E951" s="4">
        <f>COUNTIF('DETALLE CRONOLÓGICO'!$A$2:$A$4919,$A951)</f>
        <v/>
      </c>
      <c r="F951" s="4">
        <f>SUMIFS('DETALLE CRONOLÓGICO'!$I$2:$I$4919,'DETALLE CRONOLÓGICO'!$A$2:$A$4919,$A951)</f>
        <v/>
      </c>
      <c r="G951" s="1">
        <f>INDEX('DETALLE CRONOLÓGICO'!$D$2:$D$4919,MATCH($A951,'DETALLE CRONOLÓGICO'!$A$2:$A$4919,0))</f>
        <v/>
      </c>
      <c r="H951" s="1">
        <f>INDEX('DETALLE CRONOLÓGICO'!$D$2:$D$4919,MATCH($A951,'DETALLE CRONOLÓGICO'!$A$2:$A$4919,0)+$E951-1)</f>
        <v/>
      </c>
      <c r="I951" s="5">
        <f>IFERROR(SUMIFS('DETALLE CRONOLÓGICO'!$L$2:$L$4919,'DETALLE CRONOLÓGICO'!$A$2:$A$4919,$A951)/$F951,"")</f>
        <v/>
      </c>
      <c r="J951" s="6">
        <f>IFERROR(SUMIFS('DETALLE CRONOLÓGICO'!$K$2:$K$4919,'DETALLE CRONOLÓGICO'!$A$2:$A$4919,$A951)/$E951,"")</f>
        <v/>
      </c>
      <c r="K951" s="6">
        <f>_xlfn.MINIFS('DETALLE CRONOLÓGICO'!$K$2:$K$4919,'DETALLE CRONOLÓGICO'!$A$2:$A$4919,$A951)</f>
        <v/>
      </c>
      <c r="L951" s="6">
        <f>_xlfn.MAXIFS('DETALLE CRONOLÓGICO'!$K$2:$K$4919,'DETALLE CRONOLÓGICO'!$A$2:$A$4919,$A951)</f>
        <v/>
      </c>
      <c r="M951" s="6">
        <f>INDEX('DETALLE CRONOLÓGICO'!$K$2:$K$4919,MATCH($A951,'DETALLE CRONOLÓGICO'!$A$2:$A$4919,0)+$E951-1)</f>
        <v/>
      </c>
      <c r="N951" s="7">
        <f>IFERROR($M951/INDEX('DETALLE CRONOLÓGICO'!$K$2:$K$4919,MATCH($A951,'DETALLE CRONOLÓGICO'!$A$2:$A$4919,0))-1,"")</f>
        <v/>
      </c>
      <c r="O951" s="6">
        <f>IFERROR($I951*3,"")</f>
        <v/>
      </c>
      <c r="P951" s="6">
        <f>IFERROR($I951*3.5,"")</f>
        <v/>
      </c>
      <c r="Q951" s="6">
        <f>IFERROR($I951*4,"")</f>
        <v/>
      </c>
      <c r="R951" s="6" t="n">
        <v>2579</v>
      </c>
      <c r="S951" s="4" t="n">
        <v>1</v>
      </c>
      <c r="T951" s="1" t="inlineStr">
        <is>
          <t>active</t>
        </is>
      </c>
      <c r="U951" s="8" t="n"/>
      <c r="V951" s="1" t="inlineStr">
        <is>
          <t>SIN PRECIO</t>
        </is>
      </c>
    </row>
    <row r="952">
      <c r="A952" s="1" t="inlineStr">
        <is>
          <t>57529861058989</t>
        </is>
      </c>
      <c r="B952" s="1" t="inlineStr">
        <is>
          <t>PULSERA MM GOLD-BLACK</t>
        </is>
      </c>
      <c r="C952" s="1" t="inlineStr">
        <is>
          <t>Default Title</t>
        </is>
      </c>
      <c r="D952" s="1" t="inlineStr">
        <is>
          <t>HAIFENG</t>
        </is>
      </c>
      <c r="E952" s="4">
        <f>COUNTIF('DETALLE CRONOLÓGICO'!$A$2:$A$4919,$A952)</f>
        <v/>
      </c>
      <c r="F952" s="4">
        <f>SUMIFS('DETALLE CRONOLÓGICO'!$I$2:$I$4919,'DETALLE CRONOLÓGICO'!$A$2:$A$4919,$A952)</f>
        <v/>
      </c>
      <c r="G952" s="1">
        <f>INDEX('DETALLE CRONOLÓGICO'!$D$2:$D$4919,MATCH($A952,'DETALLE CRONOLÓGICO'!$A$2:$A$4919,0))</f>
        <v/>
      </c>
      <c r="H952" s="1">
        <f>INDEX('DETALLE CRONOLÓGICO'!$D$2:$D$4919,MATCH($A952,'DETALLE CRONOLÓGICO'!$A$2:$A$4919,0)+$E952-1)</f>
        <v/>
      </c>
      <c r="I952" s="5">
        <f>IFERROR(SUMIFS('DETALLE CRONOLÓGICO'!$L$2:$L$4919,'DETALLE CRONOLÓGICO'!$A$2:$A$4919,$A952)/$F952,"")</f>
        <v/>
      </c>
      <c r="J952" s="6">
        <f>IFERROR(SUMIFS('DETALLE CRONOLÓGICO'!$K$2:$K$4919,'DETALLE CRONOLÓGICO'!$A$2:$A$4919,$A952)/$E952,"")</f>
        <v/>
      </c>
      <c r="K952" s="6">
        <f>_xlfn.MINIFS('DETALLE CRONOLÓGICO'!$K$2:$K$4919,'DETALLE CRONOLÓGICO'!$A$2:$A$4919,$A952)</f>
        <v/>
      </c>
      <c r="L952" s="6">
        <f>_xlfn.MAXIFS('DETALLE CRONOLÓGICO'!$K$2:$K$4919,'DETALLE CRONOLÓGICO'!$A$2:$A$4919,$A952)</f>
        <v/>
      </c>
      <c r="M952" s="6">
        <f>INDEX('DETALLE CRONOLÓGICO'!$K$2:$K$4919,MATCH($A952,'DETALLE CRONOLÓGICO'!$A$2:$A$4919,0)+$E952-1)</f>
        <v/>
      </c>
      <c r="N952" s="7">
        <f>IFERROR($M952/INDEX('DETALLE CRONOLÓGICO'!$K$2:$K$4919,MATCH($A952,'DETALLE CRONOLÓGICO'!$A$2:$A$4919,0))-1,"")</f>
        <v/>
      </c>
      <c r="O952" s="6">
        <f>IFERROR($I952*3,"")</f>
        <v/>
      </c>
      <c r="P952" s="6">
        <f>IFERROR($I952*3.5,"")</f>
        <v/>
      </c>
      <c r="Q952" s="6">
        <f>IFERROR($I952*4,"")</f>
        <v/>
      </c>
      <c r="R952" s="6" t="n">
        <v>699</v>
      </c>
      <c r="S952" s="4" t="n">
        <v>4</v>
      </c>
      <c r="T952" s="1" t="inlineStr">
        <is>
          <t>active</t>
        </is>
      </c>
      <c r="U952" s="8" t="n"/>
      <c r="V952" s="1" t="inlineStr">
        <is>
          <t>SIN PRECIO</t>
        </is>
      </c>
    </row>
    <row r="953">
      <c r="A953" s="1" t="inlineStr">
        <is>
          <t>57913391088461</t>
        </is>
      </c>
      <c r="B953" s="1" t="inlineStr">
        <is>
          <t>COLLAR T ESLABONES GOLD CON PEARL</t>
        </is>
      </c>
      <c r="C953" s="1" t="inlineStr">
        <is>
          <t>Default Title</t>
        </is>
      </c>
      <c r="D953" s="1" t="inlineStr">
        <is>
          <t>ZOEY</t>
        </is>
      </c>
      <c r="E953" s="4">
        <f>COUNTIF('DETALLE CRONOLÓGICO'!$A$2:$A$4919,$A953)</f>
        <v/>
      </c>
      <c r="F953" s="4">
        <f>SUMIFS('DETALLE CRONOLÓGICO'!$I$2:$I$4919,'DETALLE CRONOLÓGICO'!$A$2:$A$4919,$A953)</f>
        <v/>
      </c>
      <c r="G953" s="1">
        <f>INDEX('DETALLE CRONOLÓGICO'!$D$2:$D$4919,MATCH($A953,'DETALLE CRONOLÓGICO'!$A$2:$A$4919,0))</f>
        <v/>
      </c>
      <c r="H953" s="1">
        <f>INDEX('DETALLE CRONOLÓGICO'!$D$2:$D$4919,MATCH($A953,'DETALLE CRONOLÓGICO'!$A$2:$A$4919,0)+$E953-1)</f>
        <v/>
      </c>
      <c r="I953" s="5">
        <f>IFERROR(SUMIFS('DETALLE CRONOLÓGICO'!$L$2:$L$4919,'DETALLE CRONOLÓGICO'!$A$2:$A$4919,$A953)/$F953,"")</f>
        <v/>
      </c>
      <c r="J953" s="6">
        <f>IFERROR(SUMIFS('DETALLE CRONOLÓGICO'!$K$2:$K$4919,'DETALLE CRONOLÓGICO'!$A$2:$A$4919,$A953)/$E953,"")</f>
        <v/>
      </c>
      <c r="K953" s="6">
        <f>_xlfn.MINIFS('DETALLE CRONOLÓGICO'!$K$2:$K$4919,'DETALLE CRONOLÓGICO'!$A$2:$A$4919,$A953)</f>
        <v/>
      </c>
      <c r="L953" s="6">
        <f>_xlfn.MAXIFS('DETALLE CRONOLÓGICO'!$K$2:$K$4919,'DETALLE CRONOLÓGICO'!$A$2:$A$4919,$A953)</f>
        <v/>
      </c>
      <c r="M953" s="6">
        <f>INDEX('DETALLE CRONOLÓGICO'!$K$2:$K$4919,MATCH($A953,'DETALLE CRONOLÓGICO'!$A$2:$A$4919,0)+$E953-1)</f>
        <v/>
      </c>
      <c r="N953" s="7">
        <f>IFERROR($M953/INDEX('DETALLE CRONOLÓGICO'!$K$2:$K$4919,MATCH($A953,'DETALLE CRONOLÓGICO'!$A$2:$A$4919,0))-1,"")</f>
        <v/>
      </c>
      <c r="O953" s="6">
        <f>IFERROR($I953*3,"")</f>
        <v/>
      </c>
      <c r="P953" s="6">
        <f>IFERROR($I953*3.5,"")</f>
        <v/>
      </c>
      <c r="Q953" s="6">
        <f>IFERROR($I953*4,"")</f>
        <v/>
      </c>
      <c r="R953" s="6" t="n">
        <v>1450</v>
      </c>
      <c r="S953" s="4" t="n">
        <v>0</v>
      </c>
      <c r="T953" s="1" t="inlineStr">
        <is>
          <t>active</t>
        </is>
      </c>
      <c r="U953" s="8" t="n"/>
      <c r="V953" s="1" t="inlineStr">
        <is>
          <t>SIN PRECIO</t>
        </is>
      </c>
    </row>
    <row r="954">
      <c r="A954" s="1" t="inlineStr">
        <is>
          <t>58071991054829</t>
        </is>
      </c>
      <c r="B954" s="1" t="inlineStr">
        <is>
          <t>BOLSO YSL CON CADENA BURDEOS</t>
        </is>
      </c>
      <c r="C954" s="1" t="inlineStr">
        <is>
          <t>24cm de largo x 18cm de alto x 8cm de ancho.</t>
        </is>
      </c>
      <c r="D954" s="1" t="inlineStr">
        <is>
          <t>DINA DU</t>
        </is>
      </c>
      <c r="E954" s="4">
        <f>COUNTIF('DETALLE CRONOLÓGICO'!$A$2:$A$4919,$A954)</f>
        <v/>
      </c>
      <c r="F954" s="4">
        <f>SUMIFS('DETALLE CRONOLÓGICO'!$I$2:$I$4919,'DETALLE CRONOLÓGICO'!$A$2:$A$4919,$A954)</f>
        <v/>
      </c>
      <c r="G954" s="1">
        <f>INDEX('DETALLE CRONOLÓGICO'!$D$2:$D$4919,MATCH($A954,'DETALLE CRONOLÓGICO'!$A$2:$A$4919,0))</f>
        <v/>
      </c>
      <c r="H954" s="1">
        <f>INDEX('DETALLE CRONOLÓGICO'!$D$2:$D$4919,MATCH($A954,'DETALLE CRONOLÓGICO'!$A$2:$A$4919,0)+$E954-1)</f>
        <v/>
      </c>
      <c r="I954" s="5">
        <f>IFERROR(SUMIFS('DETALLE CRONOLÓGICO'!$L$2:$L$4919,'DETALLE CRONOLÓGICO'!$A$2:$A$4919,$A954)/$F954,"")</f>
        <v/>
      </c>
      <c r="J954" s="6">
        <f>IFERROR(SUMIFS('DETALLE CRONOLÓGICO'!$K$2:$K$4919,'DETALLE CRONOLÓGICO'!$A$2:$A$4919,$A954)/$E954,"")</f>
        <v/>
      </c>
      <c r="K954" s="6">
        <f>_xlfn.MINIFS('DETALLE CRONOLÓGICO'!$K$2:$K$4919,'DETALLE CRONOLÓGICO'!$A$2:$A$4919,$A954)</f>
        <v/>
      </c>
      <c r="L954" s="6">
        <f>_xlfn.MAXIFS('DETALLE CRONOLÓGICO'!$K$2:$K$4919,'DETALLE CRONOLÓGICO'!$A$2:$A$4919,$A954)</f>
        <v/>
      </c>
      <c r="M954" s="6">
        <f>INDEX('DETALLE CRONOLÓGICO'!$K$2:$K$4919,MATCH($A954,'DETALLE CRONOLÓGICO'!$A$2:$A$4919,0)+$E954-1)</f>
        <v/>
      </c>
      <c r="N954" s="7">
        <f>IFERROR($M954/INDEX('DETALLE CRONOLÓGICO'!$K$2:$K$4919,MATCH($A954,'DETALLE CRONOLÓGICO'!$A$2:$A$4919,0))-1,"")</f>
        <v/>
      </c>
      <c r="O954" s="6">
        <f>IFERROR($I954*3,"")</f>
        <v/>
      </c>
      <c r="P954" s="6">
        <f>IFERROR($I954*3.5,"")</f>
        <v/>
      </c>
      <c r="Q954" s="6">
        <f>IFERROR($I954*4,"")</f>
        <v/>
      </c>
      <c r="R954" s="6" t="n">
        <v>4354.13</v>
      </c>
      <c r="S954" s="4" t="n">
        <v>0</v>
      </c>
      <c r="T954" s="1" t="inlineStr">
        <is>
          <t>active</t>
        </is>
      </c>
      <c r="U954" s="8" t="n"/>
      <c r="V954" s="1" t="inlineStr">
        <is>
          <t>SIN PRECIO</t>
        </is>
      </c>
    </row>
    <row r="955">
      <c r="A955" s="1" t="inlineStr">
        <is>
          <t>58120951042445</t>
        </is>
      </c>
      <c r="B955" s="1" t="inlineStr">
        <is>
          <t>BOLSO SADDLE CD BLACK</t>
        </is>
      </c>
      <c r="C955" s="1" t="inlineStr">
        <is>
          <t>18cm de largo x 15cm de alto x 6cm de ancho</t>
        </is>
      </c>
      <c r="D955" s="1" t="inlineStr">
        <is>
          <t>CYNTHIA</t>
        </is>
      </c>
      <c r="E955" s="4">
        <f>COUNTIF('DETALLE CRONOLÓGICO'!$A$2:$A$4919,$A955)</f>
        <v/>
      </c>
      <c r="F955" s="4">
        <f>SUMIFS('DETALLE CRONOLÓGICO'!$I$2:$I$4919,'DETALLE CRONOLÓGICO'!$A$2:$A$4919,$A955)</f>
        <v/>
      </c>
      <c r="G955" s="1">
        <f>INDEX('DETALLE CRONOLÓGICO'!$D$2:$D$4919,MATCH($A955,'DETALLE CRONOLÓGICO'!$A$2:$A$4919,0))</f>
        <v/>
      </c>
      <c r="H955" s="1">
        <f>INDEX('DETALLE CRONOLÓGICO'!$D$2:$D$4919,MATCH($A955,'DETALLE CRONOLÓGICO'!$A$2:$A$4919,0)+$E955-1)</f>
        <v/>
      </c>
      <c r="I955" s="5">
        <f>IFERROR(SUMIFS('DETALLE CRONOLÓGICO'!$L$2:$L$4919,'DETALLE CRONOLÓGICO'!$A$2:$A$4919,$A955)/$F955,"")</f>
        <v/>
      </c>
      <c r="J955" s="6">
        <f>IFERROR(SUMIFS('DETALLE CRONOLÓGICO'!$K$2:$K$4919,'DETALLE CRONOLÓGICO'!$A$2:$A$4919,$A955)/$E955,"")</f>
        <v/>
      </c>
      <c r="K955" s="6">
        <f>_xlfn.MINIFS('DETALLE CRONOLÓGICO'!$K$2:$K$4919,'DETALLE CRONOLÓGICO'!$A$2:$A$4919,$A955)</f>
        <v/>
      </c>
      <c r="L955" s="6">
        <f>_xlfn.MAXIFS('DETALLE CRONOLÓGICO'!$K$2:$K$4919,'DETALLE CRONOLÓGICO'!$A$2:$A$4919,$A955)</f>
        <v/>
      </c>
      <c r="M955" s="6">
        <f>INDEX('DETALLE CRONOLÓGICO'!$K$2:$K$4919,MATCH($A955,'DETALLE CRONOLÓGICO'!$A$2:$A$4919,0)+$E955-1)</f>
        <v/>
      </c>
      <c r="N955" s="7">
        <f>IFERROR($M955/INDEX('DETALLE CRONOLÓGICO'!$K$2:$K$4919,MATCH($A955,'DETALLE CRONOLÓGICO'!$A$2:$A$4919,0))-1,"")</f>
        <v/>
      </c>
      <c r="O955" s="6">
        <f>IFERROR($I955*3,"")</f>
        <v/>
      </c>
      <c r="P955" s="6">
        <f>IFERROR($I955*3.5,"")</f>
        <v/>
      </c>
      <c r="Q955" s="6">
        <f>IFERROR($I955*4,"")</f>
        <v/>
      </c>
      <c r="R955" s="6" t="n">
        <v>5305</v>
      </c>
      <c r="S955" s="4" t="n">
        <v>9</v>
      </c>
      <c r="T955" s="1" t="inlineStr">
        <is>
          <t>active</t>
        </is>
      </c>
      <c r="U955" s="8" t="n"/>
      <c r="V955" s="1" t="inlineStr">
        <is>
          <t>SIN PRECIO</t>
        </is>
      </c>
    </row>
    <row r="956">
      <c r="A956" s="1" t="inlineStr">
        <is>
          <t>58431441010509</t>
        </is>
      </c>
      <c r="B956" s="1" t="inlineStr">
        <is>
          <t>ANILLO T SILVER ZIRCONIAS</t>
        </is>
      </c>
      <c r="C956" s="1" t="inlineStr">
        <is>
          <t>AJUSTABLE</t>
        </is>
      </c>
      <c r="D956" s="1" t="inlineStr">
        <is>
          <t>HAIFENG</t>
        </is>
      </c>
      <c r="E956" s="4">
        <f>COUNTIF('DETALLE CRONOLÓGICO'!$A$2:$A$4919,$A956)</f>
        <v/>
      </c>
      <c r="F956" s="4">
        <f>SUMIFS('DETALLE CRONOLÓGICO'!$I$2:$I$4919,'DETALLE CRONOLÓGICO'!$A$2:$A$4919,$A956)</f>
        <v/>
      </c>
      <c r="G956" s="1">
        <f>INDEX('DETALLE CRONOLÓGICO'!$D$2:$D$4919,MATCH($A956,'DETALLE CRONOLÓGICO'!$A$2:$A$4919,0))</f>
        <v/>
      </c>
      <c r="H956" s="1">
        <f>INDEX('DETALLE CRONOLÓGICO'!$D$2:$D$4919,MATCH($A956,'DETALLE CRONOLÓGICO'!$A$2:$A$4919,0)+$E956-1)</f>
        <v/>
      </c>
      <c r="I956" s="5">
        <f>IFERROR(SUMIFS('DETALLE CRONOLÓGICO'!$L$2:$L$4919,'DETALLE CRONOLÓGICO'!$A$2:$A$4919,$A956)/$F956,"")</f>
        <v/>
      </c>
      <c r="J956" s="6">
        <f>IFERROR(SUMIFS('DETALLE CRONOLÓGICO'!$K$2:$K$4919,'DETALLE CRONOLÓGICO'!$A$2:$A$4919,$A956)/$E956,"")</f>
        <v/>
      </c>
      <c r="K956" s="6">
        <f>_xlfn.MINIFS('DETALLE CRONOLÓGICO'!$K$2:$K$4919,'DETALLE CRONOLÓGICO'!$A$2:$A$4919,$A956)</f>
        <v/>
      </c>
      <c r="L956" s="6">
        <f>_xlfn.MAXIFS('DETALLE CRONOLÓGICO'!$K$2:$K$4919,'DETALLE CRONOLÓGICO'!$A$2:$A$4919,$A956)</f>
        <v/>
      </c>
      <c r="M956" s="6">
        <f>INDEX('DETALLE CRONOLÓGICO'!$K$2:$K$4919,MATCH($A956,'DETALLE CRONOLÓGICO'!$A$2:$A$4919,0)+$E956-1)</f>
        <v/>
      </c>
      <c r="N956" s="7">
        <f>IFERROR($M956/INDEX('DETALLE CRONOLÓGICO'!$K$2:$K$4919,MATCH($A956,'DETALLE CRONOLÓGICO'!$A$2:$A$4919,0))-1,"")</f>
        <v/>
      </c>
      <c r="O956" s="6">
        <f>IFERROR($I956*3,"")</f>
        <v/>
      </c>
      <c r="P956" s="6">
        <f>IFERROR($I956*3.5,"")</f>
        <v/>
      </c>
      <c r="Q956" s="6">
        <f>IFERROR($I956*4,"")</f>
        <v/>
      </c>
      <c r="R956" s="6" t="n">
        <v>650</v>
      </c>
      <c r="S956" s="4" t="n">
        <v>6</v>
      </c>
      <c r="T956" s="1" t="inlineStr">
        <is>
          <t>active</t>
        </is>
      </c>
      <c r="U956" s="8" t="n"/>
      <c r="V956" s="1" t="inlineStr">
        <is>
          <t>SIN PRECIO</t>
        </is>
      </c>
    </row>
    <row r="957">
      <c r="A957" s="1" t="inlineStr">
        <is>
          <t>58450831080173</t>
        </is>
      </c>
      <c r="B957" s="1" t="inlineStr">
        <is>
          <t>BOLSA DE RAQUETA LLM CREAM</t>
        </is>
      </c>
      <c r="C957" s="1" t="inlineStr">
        <is>
          <t>Default Title</t>
        </is>
      </c>
      <c r="D957" s="1" t="inlineStr">
        <is>
          <t>ZOEY</t>
        </is>
      </c>
      <c r="E957" s="4">
        <f>COUNTIF('DETALLE CRONOLÓGICO'!$A$2:$A$4919,$A957)</f>
        <v/>
      </c>
      <c r="F957" s="4">
        <f>SUMIFS('DETALLE CRONOLÓGICO'!$I$2:$I$4919,'DETALLE CRONOLÓGICO'!$A$2:$A$4919,$A957)</f>
        <v/>
      </c>
      <c r="G957" s="1">
        <f>INDEX('DETALLE CRONOLÓGICO'!$D$2:$D$4919,MATCH($A957,'DETALLE CRONOLÓGICO'!$A$2:$A$4919,0))</f>
        <v/>
      </c>
      <c r="H957" s="1">
        <f>INDEX('DETALLE CRONOLÓGICO'!$D$2:$D$4919,MATCH($A957,'DETALLE CRONOLÓGICO'!$A$2:$A$4919,0)+$E957-1)</f>
        <v/>
      </c>
      <c r="I957" s="5">
        <f>IFERROR(SUMIFS('DETALLE CRONOLÓGICO'!$L$2:$L$4919,'DETALLE CRONOLÓGICO'!$A$2:$A$4919,$A957)/$F957,"")</f>
        <v/>
      </c>
      <c r="J957" s="6">
        <f>IFERROR(SUMIFS('DETALLE CRONOLÓGICO'!$K$2:$K$4919,'DETALLE CRONOLÓGICO'!$A$2:$A$4919,$A957)/$E957,"")</f>
        <v/>
      </c>
      <c r="K957" s="6">
        <f>_xlfn.MINIFS('DETALLE CRONOLÓGICO'!$K$2:$K$4919,'DETALLE CRONOLÓGICO'!$A$2:$A$4919,$A957)</f>
        <v/>
      </c>
      <c r="L957" s="6">
        <f>_xlfn.MAXIFS('DETALLE CRONOLÓGICO'!$K$2:$K$4919,'DETALLE CRONOLÓGICO'!$A$2:$A$4919,$A957)</f>
        <v/>
      </c>
      <c r="M957" s="6">
        <f>INDEX('DETALLE CRONOLÓGICO'!$K$2:$K$4919,MATCH($A957,'DETALLE CRONOLÓGICO'!$A$2:$A$4919,0)+$E957-1)</f>
        <v/>
      </c>
      <c r="N957" s="7">
        <f>IFERROR($M957/INDEX('DETALLE CRONOLÓGICO'!$K$2:$K$4919,MATCH($A957,'DETALLE CRONOLÓGICO'!$A$2:$A$4919,0))-1,"")</f>
        <v/>
      </c>
      <c r="O957" s="6">
        <f>IFERROR($I957*3,"")</f>
        <v/>
      </c>
      <c r="P957" s="6">
        <f>IFERROR($I957*3.5,"")</f>
        <v/>
      </c>
      <c r="Q957" s="6">
        <f>IFERROR($I957*4,"")</f>
        <v/>
      </c>
      <c r="R957" s="6" t="n">
        <v>3079</v>
      </c>
      <c r="S957" s="4" t="n">
        <v>4</v>
      </c>
      <c r="T957" s="1" t="inlineStr">
        <is>
          <t>active</t>
        </is>
      </c>
      <c r="U957" s="8" t="n"/>
      <c r="V957" s="1" t="inlineStr">
        <is>
          <t>SIN PRECIO</t>
        </is>
      </c>
    </row>
    <row r="958">
      <c r="A958" s="1" t="inlineStr">
        <is>
          <t>58501868312588</t>
        </is>
      </c>
      <c r="B958" s="1" t="inlineStr">
        <is>
          <t>PULSERA PERLEÉ ROSEGOLD ANCHA</t>
        </is>
      </c>
      <c r="C958" s="1" t="inlineStr">
        <is>
          <t>16cm</t>
        </is>
      </c>
      <c r="D958" s="1" t="inlineStr">
        <is>
          <t>NANCY</t>
        </is>
      </c>
      <c r="E958" s="4">
        <f>COUNTIF('DETALLE CRONOLÓGICO'!$A$2:$A$4919,$A958)</f>
        <v/>
      </c>
      <c r="F958" s="4">
        <f>SUMIFS('DETALLE CRONOLÓGICO'!$I$2:$I$4919,'DETALLE CRONOLÓGICO'!$A$2:$A$4919,$A958)</f>
        <v/>
      </c>
      <c r="G958" s="1">
        <f>INDEX('DETALLE CRONOLÓGICO'!$D$2:$D$4919,MATCH($A958,'DETALLE CRONOLÓGICO'!$A$2:$A$4919,0))</f>
        <v/>
      </c>
      <c r="H958" s="1">
        <f>INDEX('DETALLE CRONOLÓGICO'!$D$2:$D$4919,MATCH($A958,'DETALLE CRONOLÓGICO'!$A$2:$A$4919,0)+$E958-1)</f>
        <v/>
      </c>
      <c r="I958" s="5">
        <f>IFERROR(SUMIFS('DETALLE CRONOLÓGICO'!$L$2:$L$4919,'DETALLE CRONOLÓGICO'!$A$2:$A$4919,$A958)/$F958,"")</f>
        <v/>
      </c>
      <c r="J958" s="6">
        <f>IFERROR(SUMIFS('DETALLE CRONOLÓGICO'!$K$2:$K$4919,'DETALLE CRONOLÓGICO'!$A$2:$A$4919,$A958)/$E958,"")</f>
        <v/>
      </c>
      <c r="K958" s="6">
        <f>_xlfn.MINIFS('DETALLE CRONOLÓGICO'!$K$2:$K$4919,'DETALLE CRONOLÓGICO'!$A$2:$A$4919,$A958)</f>
        <v/>
      </c>
      <c r="L958" s="6">
        <f>_xlfn.MAXIFS('DETALLE CRONOLÓGICO'!$K$2:$K$4919,'DETALLE CRONOLÓGICO'!$A$2:$A$4919,$A958)</f>
        <v/>
      </c>
      <c r="M958" s="6">
        <f>INDEX('DETALLE CRONOLÓGICO'!$K$2:$K$4919,MATCH($A958,'DETALLE CRONOLÓGICO'!$A$2:$A$4919,0)+$E958-1)</f>
        <v/>
      </c>
      <c r="N958" s="7">
        <f>IFERROR($M958/INDEX('DETALLE CRONOLÓGICO'!$K$2:$K$4919,MATCH($A958,'DETALLE CRONOLÓGICO'!$A$2:$A$4919,0))-1,"")</f>
        <v/>
      </c>
      <c r="O958" s="6">
        <f>IFERROR($I958*3,"")</f>
        <v/>
      </c>
      <c r="P958" s="6">
        <f>IFERROR($I958*3.5,"")</f>
        <v/>
      </c>
      <c r="Q958" s="6">
        <f>IFERROR($I958*4,"")</f>
        <v/>
      </c>
      <c r="R958" s="6" t="n">
        <v>1465</v>
      </c>
      <c r="S958" s="4" t="n">
        <v>1</v>
      </c>
      <c r="T958" s="1" t="inlineStr">
        <is>
          <t>active</t>
        </is>
      </c>
      <c r="U958" s="8" t="n"/>
      <c r="V958" s="1" t="inlineStr">
        <is>
          <t>SIN PRECIO</t>
        </is>
      </c>
    </row>
    <row r="959">
      <c r="A959" s="1" t="inlineStr">
        <is>
          <t>58825512266892</t>
        </is>
      </c>
      <c r="B959" s="1" t="inlineStr">
        <is>
          <t>TARJETERO G BROWN</t>
        </is>
      </c>
      <c r="C959" s="1" t="inlineStr">
        <is>
          <t>10.5cm de largo x 7.6cm de alto</t>
        </is>
      </c>
      <c r="D959" s="1" t="inlineStr">
        <is>
          <t>CYNTHIA</t>
        </is>
      </c>
      <c r="E959" s="4">
        <f>COUNTIF('DETALLE CRONOLÓGICO'!$A$2:$A$4919,$A959)</f>
        <v/>
      </c>
      <c r="F959" s="4">
        <f>SUMIFS('DETALLE CRONOLÓGICO'!$I$2:$I$4919,'DETALLE CRONOLÓGICO'!$A$2:$A$4919,$A959)</f>
        <v/>
      </c>
      <c r="G959" s="1">
        <f>INDEX('DETALLE CRONOLÓGICO'!$D$2:$D$4919,MATCH($A959,'DETALLE CRONOLÓGICO'!$A$2:$A$4919,0))</f>
        <v/>
      </c>
      <c r="H959" s="1">
        <f>INDEX('DETALLE CRONOLÓGICO'!$D$2:$D$4919,MATCH($A959,'DETALLE CRONOLÓGICO'!$A$2:$A$4919,0)+$E959-1)</f>
        <v/>
      </c>
      <c r="I959" s="5">
        <f>IFERROR(SUMIFS('DETALLE CRONOLÓGICO'!$L$2:$L$4919,'DETALLE CRONOLÓGICO'!$A$2:$A$4919,$A959)/$F959,"")</f>
        <v/>
      </c>
      <c r="J959" s="6">
        <f>IFERROR(SUMIFS('DETALLE CRONOLÓGICO'!$K$2:$K$4919,'DETALLE CRONOLÓGICO'!$A$2:$A$4919,$A959)/$E959,"")</f>
        <v/>
      </c>
      <c r="K959" s="6">
        <f>_xlfn.MINIFS('DETALLE CRONOLÓGICO'!$K$2:$K$4919,'DETALLE CRONOLÓGICO'!$A$2:$A$4919,$A959)</f>
        <v/>
      </c>
      <c r="L959" s="6">
        <f>_xlfn.MAXIFS('DETALLE CRONOLÓGICO'!$K$2:$K$4919,'DETALLE CRONOLÓGICO'!$A$2:$A$4919,$A959)</f>
        <v/>
      </c>
      <c r="M959" s="6">
        <f>INDEX('DETALLE CRONOLÓGICO'!$K$2:$K$4919,MATCH($A959,'DETALLE CRONOLÓGICO'!$A$2:$A$4919,0)+$E959-1)</f>
        <v/>
      </c>
      <c r="N959" s="7">
        <f>IFERROR($M959/INDEX('DETALLE CRONOLÓGICO'!$K$2:$K$4919,MATCH($A959,'DETALLE CRONOLÓGICO'!$A$2:$A$4919,0))-1,"")</f>
        <v/>
      </c>
      <c r="O959" s="6">
        <f>IFERROR($I959*3,"")</f>
        <v/>
      </c>
      <c r="P959" s="6">
        <f>IFERROR($I959*3.5,"")</f>
        <v/>
      </c>
      <c r="Q959" s="6">
        <f>IFERROR($I959*4,"")</f>
        <v/>
      </c>
      <c r="R959" s="6" t="n">
        <v>1999</v>
      </c>
      <c r="S959" s="4" t="n">
        <v>3</v>
      </c>
      <c r="T959" s="1" t="inlineStr">
        <is>
          <t>active</t>
        </is>
      </c>
      <c r="U959" s="8" t="n"/>
      <c r="V959" s="1" t="inlineStr">
        <is>
          <t>SIN PRECIO</t>
        </is>
      </c>
    </row>
    <row r="960">
      <c r="A960" s="1" t="inlineStr">
        <is>
          <t>58980701022381</t>
        </is>
      </c>
      <c r="B960" s="1" t="inlineStr">
        <is>
          <t>TARJETERO LV ENVELOPE</t>
        </is>
      </c>
      <c r="C960" s="1" t="inlineStr">
        <is>
          <t>Default Title</t>
        </is>
      </c>
      <c r="D960" s="1" t="inlineStr">
        <is>
          <t>NANCY</t>
        </is>
      </c>
      <c r="E960" s="4">
        <f>COUNTIF('DETALLE CRONOLÓGICO'!$A$2:$A$4919,$A960)</f>
        <v/>
      </c>
      <c r="F960" s="4">
        <f>SUMIFS('DETALLE CRONOLÓGICO'!$I$2:$I$4919,'DETALLE CRONOLÓGICO'!$A$2:$A$4919,$A960)</f>
        <v/>
      </c>
      <c r="G960" s="1">
        <f>INDEX('DETALLE CRONOLÓGICO'!$D$2:$D$4919,MATCH($A960,'DETALLE CRONOLÓGICO'!$A$2:$A$4919,0))</f>
        <v/>
      </c>
      <c r="H960" s="1">
        <f>INDEX('DETALLE CRONOLÓGICO'!$D$2:$D$4919,MATCH($A960,'DETALLE CRONOLÓGICO'!$A$2:$A$4919,0)+$E960-1)</f>
        <v/>
      </c>
      <c r="I960" s="5">
        <f>IFERROR(SUMIFS('DETALLE CRONOLÓGICO'!$L$2:$L$4919,'DETALLE CRONOLÓGICO'!$A$2:$A$4919,$A960)/$F960,"")</f>
        <v/>
      </c>
      <c r="J960" s="6">
        <f>IFERROR(SUMIFS('DETALLE CRONOLÓGICO'!$K$2:$K$4919,'DETALLE CRONOLÓGICO'!$A$2:$A$4919,$A960)/$E960,"")</f>
        <v/>
      </c>
      <c r="K960" s="6">
        <f>_xlfn.MINIFS('DETALLE CRONOLÓGICO'!$K$2:$K$4919,'DETALLE CRONOLÓGICO'!$A$2:$A$4919,$A960)</f>
        <v/>
      </c>
      <c r="L960" s="6">
        <f>_xlfn.MAXIFS('DETALLE CRONOLÓGICO'!$K$2:$K$4919,'DETALLE CRONOLÓGICO'!$A$2:$A$4919,$A960)</f>
        <v/>
      </c>
      <c r="M960" s="6">
        <f>INDEX('DETALLE CRONOLÓGICO'!$K$2:$K$4919,MATCH($A960,'DETALLE CRONOLÓGICO'!$A$2:$A$4919,0)+$E960-1)</f>
        <v/>
      </c>
      <c r="N960" s="7">
        <f>IFERROR($M960/INDEX('DETALLE CRONOLÓGICO'!$K$2:$K$4919,MATCH($A960,'DETALLE CRONOLÓGICO'!$A$2:$A$4919,0))-1,"")</f>
        <v/>
      </c>
      <c r="O960" s="6">
        <f>IFERROR($I960*3,"")</f>
        <v/>
      </c>
      <c r="P960" s="6">
        <f>IFERROR($I960*3.5,"")</f>
        <v/>
      </c>
      <c r="Q960" s="6">
        <f>IFERROR($I960*4,"")</f>
        <v/>
      </c>
      <c r="R960" s="6" t="n">
        <v>1399</v>
      </c>
      <c r="S960" s="4" t="n">
        <v>2</v>
      </c>
      <c r="T960" s="1" t="inlineStr">
        <is>
          <t>active</t>
        </is>
      </c>
      <c r="U960" s="8" t="n"/>
      <c r="V960" s="1" t="inlineStr">
        <is>
          <t>SIN PRECIO</t>
        </is>
      </c>
    </row>
    <row r="961">
      <c r="A961" s="1" t="inlineStr">
        <is>
          <t>58980701120685</t>
        </is>
      </c>
      <c r="B961" s="1" t="inlineStr">
        <is>
          <t>TARJETERO LV CHARMS PINK</t>
        </is>
      </c>
      <c r="C961" s="1" t="inlineStr">
        <is>
          <t>Default Title</t>
        </is>
      </c>
      <c r="D961" s="1" t="inlineStr">
        <is>
          <t>NANCY</t>
        </is>
      </c>
      <c r="E961" s="4">
        <f>COUNTIF('DETALLE CRONOLÓGICO'!$A$2:$A$4919,$A961)</f>
        <v/>
      </c>
      <c r="F961" s="4">
        <f>SUMIFS('DETALLE CRONOLÓGICO'!$I$2:$I$4919,'DETALLE CRONOLÓGICO'!$A$2:$A$4919,$A961)</f>
        <v/>
      </c>
      <c r="G961" s="1">
        <f>INDEX('DETALLE CRONOLÓGICO'!$D$2:$D$4919,MATCH($A961,'DETALLE CRONOLÓGICO'!$A$2:$A$4919,0))</f>
        <v/>
      </c>
      <c r="H961" s="1">
        <f>INDEX('DETALLE CRONOLÓGICO'!$D$2:$D$4919,MATCH($A961,'DETALLE CRONOLÓGICO'!$A$2:$A$4919,0)+$E961-1)</f>
        <v/>
      </c>
      <c r="I961" s="5">
        <f>IFERROR(SUMIFS('DETALLE CRONOLÓGICO'!$L$2:$L$4919,'DETALLE CRONOLÓGICO'!$A$2:$A$4919,$A961)/$F961,"")</f>
        <v/>
      </c>
      <c r="J961" s="6">
        <f>IFERROR(SUMIFS('DETALLE CRONOLÓGICO'!$K$2:$K$4919,'DETALLE CRONOLÓGICO'!$A$2:$A$4919,$A961)/$E961,"")</f>
        <v/>
      </c>
      <c r="K961" s="6">
        <f>_xlfn.MINIFS('DETALLE CRONOLÓGICO'!$K$2:$K$4919,'DETALLE CRONOLÓGICO'!$A$2:$A$4919,$A961)</f>
        <v/>
      </c>
      <c r="L961" s="6">
        <f>_xlfn.MAXIFS('DETALLE CRONOLÓGICO'!$K$2:$K$4919,'DETALLE CRONOLÓGICO'!$A$2:$A$4919,$A961)</f>
        <v/>
      </c>
      <c r="M961" s="6">
        <f>INDEX('DETALLE CRONOLÓGICO'!$K$2:$K$4919,MATCH($A961,'DETALLE CRONOLÓGICO'!$A$2:$A$4919,0)+$E961-1)</f>
        <v/>
      </c>
      <c r="N961" s="7">
        <f>IFERROR($M961/INDEX('DETALLE CRONOLÓGICO'!$K$2:$K$4919,MATCH($A961,'DETALLE CRONOLÓGICO'!$A$2:$A$4919,0))-1,"")</f>
        <v/>
      </c>
      <c r="O961" s="6">
        <f>IFERROR($I961*3,"")</f>
        <v/>
      </c>
      <c r="P961" s="6">
        <f>IFERROR($I961*3.5,"")</f>
        <v/>
      </c>
      <c r="Q961" s="6">
        <f>IFERROR($I961*4,"")</f>
        <v/>
      </c>
      <c r="R961" s="6" t="n">
        <v>1250</v>
      </c>
      <c r="S961" s="4" t="n">
        <v>1</v>
      </c>
      <c r="T961" s="1" t="inlineStr">
        <is>
          <t>active</t>
        </is>
      </c>
      <c r="U961" s="8" t="n"/>
      <c r="V961" s="1" t="inlineStr">
        <is>
          <t>SIN PRECIO</t>
        </is>
      </c>
    </row>
    <row r="962">
      <c r="A962" s="1" t="inlineStr">
        <is>
          <t>58980701284525</t>
        </is>
      </c>
      <c r="B962" s="1" t="inlineStr">
        <is>
          <t>TARJETERO LV SLIM G69</t>
        </is>
      </c>
      <c r="C962" s="1" t="inlineStr">
        <is>
          <t>Default Title</t>
        </is>
      </c>
      <c r="D962" s="1" t="inlineStr">
        <is>
          <t>NANCY</t>
        </is>
      </c>
      <c r="E962" s="4">
        <f>COUNTIF('DETALLE CRONOLÓGICO'!$A$2:$A$4919,$A962)</f>
        <v/>
      </c>
      <c r="F962" s="4">
        <f>SUMIFS('DETALLE CRONOLÓGICO'!$I$2:$I$4919,'DETALLE CRONOLÓGICO'!$A$2:$A$4919,$A962)</f>
        <v/>
      </c>
      <c r="G962" s="1">
        <f>INDEX('DETALLE CRONOLÓGICO'!$D$2:$D$4919,MATCH($A962,'DETALLE CRONOLÓGICO'!$A$2:$A$4919,0))</f>
        <v/>
      </c>
      <c r="H962" s="1">
        <f>INDEX('DETALLE CRONOLÓGICO'!$D$2:$D$4919,MATCH($A962,'DETALLE CRONOLÓGICO'!$A$2:$A$4919,0)+$E962-1)</f>
        <v/>
      </c>
      <c r="I962" s="5">
        <f>IFERROR(SUMIFS('DETALLE CRONOLÓGICO'!$L$2:$L$4919,'DETALLE CRONOLÓGICO'!$A$2:$A$4919,$A962)/$F962,"")</f>
        <v/>
      </c>
      <c r="J962" s="6">
        <f>IFERROR(SUMIFS('DETALLE CRONOLÓGICO'!$K$2:$K$4919,'DETALLE CRONOLÓGICO'!$A$2:$A$4919,$A962)/$E962,"")</f>
        <v/>
      </c>
      <c r="K962" s="6">
        <f>_xlfn.MINIFS('DETALLE CRONOLÓGICO'!$K$2:$K$4919,'DETALLE CRONOLÓGICO'!$A$2:$A$4919,$A962)</f>
        <v/>
      </c>
      <c r="L962" s="6">
        <f>_xlfn.MAXIFS('DETALLE CRONOLÓGICO'!$K$2:$K$4919,'DETALLE CRONOLÓGICO'!$A$2:$A$4919,$A962)</f>
        <v/>
      </c>
      <c r="M962" s="6">
        <f>INDEX('DETALLE CRONOLÓGICO'!$K$2:$K$4919,MATCH($A962,'DETALLE CRONOLÓGICO'!$A$2:$A$4919,0)+$E962-1)</f>
        <v/>
      </c>
      <c r="N962" s="7">
        <f>IFERROR($M962/INDEX('DETALLE CRONOLÓGICO'!$K$2:$K$4919,MATCH($A962,'DETALLE CRONOLÓGICO'!$A$2:$A$4919,0))-1,"")</f>
        <v/>
      </c>
      <c r="O962" s="6">
        <f>IFERROR($I962*3,"")</f>
        <v/>
      </c>
      <c r="P962" s="6">
        <f>IFERROR($I962*3.5,"")</f>
        <v/>
      </c>
      <c r="Q962" s="6">
        <f>IFERROR($I962*4,"")</f>
        <v/>
      </c>
      <c r="R962" s="6" t="n">
        <v>0</v>
      </c>
      <c r="S962" s="4" t="n">
        <v>0</v>
      </c>
      <c r="T962" s="1" t="inlineStr">
        <is>
          <t>draft</t>
        </is>
      </c>
      <c r="U962" s="8" t="n"/>
      <c r="V962" s="1" t="inlineStr">
        <is>
          <t>SIN PRECIO</t>
        </is>
      </c>
    </row>
    <row r="963">
      <c r="A963" s="1" t="inlineStr">
        <is>
          <t>58980701348365</t>
        </is>
      </c>
      <c r="B963" s="1" t="inlineStr">
        <is>
          <t>TARJETERO CC CLASSIC CON CREMALLERA</t>
        </is>
      </c>
      <c r="C963" s="1" t="inlineStr">
        <is>
          <t>Default Title</t>
        </is>
      </c>
      <c r="D963" s="1" t="inlineStr">
        <is>
          <t>NANCY</t>
        </is>
      </c>
      <c r="E963" s="4">
        <f>COUNTIF('DETALLE CRONOLÓGICO'!$A$2:$A$4919,$A963)</f>
        <v/>
      </c>
      <c r="F963" s="4">
        <f>SUMIFS('DETALLE CRONOLÓGICO'!$I$2:$I$4919,'DETALLE CRONOLÓGICO'!$A$2:$A$4919,$A963)</f>
        <v/>
      </c>
      <c r="G963" s="1">
        <f>INDEX('DETALLE CRONOLÓGICO'!$D$2:$D$4919,MATCH($A963,'DETALLE CRONOLÓGICO'!$A$2:$A$4919,0))</f>
        <v/>
      </c>
      <c r="H963" s="1">
        <f>INDEX('DETALLE CRONOLÓGICO'!$D$2:$D$4919,MATCH($A963,'DETALLE CRONOLÓGICO'!$A$2:$A$4919,0)+$E963-1)</f>
        <v/>
      </c>
      <c r="I963" s="5">
        <f>IFERROR(SUMIFS('DETALLE CRONOLÓGICO'!$L$2:$L$4919,'DETALLE CRONOLÓGICO'!$A$2:$A$4919,$A963)/$F963,"")</f>
        <v/>
      </c>
      <c r="J963" s="6">
        <f>IFERROR(SUMIFS('DETALLE CRONOLÓGICO'!$K$2:$K$4919,'DETALLE CRONOLÓGICO'!$A$2:$A$4919,$A963)/$E963,"")</f>
        <v/>
      </c>
      <c r="K963" s="6">
        <f>_xlfn.MINIFS('DETALLE CRONOLÓGICO'!$K$2:$K$4919,'DETALLE CRONOLÓGICO'!$A$2:$A$4919,$A963)</f>
        <v/>
      </c>
      <c r="L963" s="6">
        <f>_xlfn.MAXIFS('DETALLE CRONOLÓGICO'!$K$2:$K$4919,'DETALLE CRONOLÓGICO'!$A$2:$A$4919,$A963)</f>
        <v/>
      </c>
      <c r="M963" s="6">
        <f>INDEX('DETALLE CRONOLÓGICO'!$K$2:$K$4919,MATCH($A963,'DETALLE CRONOLÓGICO'!$A$2:$A$4919,0)+$E963-1)</f>
        <v/>
      </c>
      <c r="N963" s="7">
        <f>IFERROR($M963/INDEX('DETALLE CRONOLÓGICO'!$K$2:$K$4919,MATCH($A963,'DETALLE CRONOLÓGICO'!$A$2:$A$4919,0))-1,"")</f>
        <v/>
      </c>
      <c r="O963" s="6">
        <f>IFERROR($I963*3,"")</f>
        <v/>
      </c>
      <c r="P963" s="6">
        <f>IFERROR($I963*3.5,"")</f>
        <v/>
      </c>
      <c r="Q963" s="6">
        <f>IFERROR($I963*4,"")</f>
        <v/>
      </c>
      <c r="R963" s="6" t="n">
        <v>0</v>
      </c>
      <c r="S963" s="4" t="n">
        <v>0</v>
      </c>
      <c r="T963" s="1" t="inlineStr">
        <is>
          <t>draft</t>
        </is>
      </c>
      <c r="U963" s="8" t="n"/>
      <c r="V963" s="1" t="inlineStr">
        <is>
          <t>SIN PRECIO</t>
        </is>
      </c>
    </row>
    <row r="964">
      <c r="A964" s="1" t="inlineStr">
        <is>
          <t>58980701413901</t>
        </is>
      </c>
      <c r="B964" s="1" t="inlineStr">
        <is>
          <t>BROCHE CC PEARLS BLACK</t>
        </is>
      </c>
      <c r="C964" s="1" t="inlineStr">
        <is>
          <t>Default Title</t>
        </is>
      </c>
      <c r="D964" s="1" t="inlineStr">
        <is>
          <t>NANCY</t>
        </is>
      </c>
      <c r="E964" s="4">
        <f>COUNTIF('DETALLE CRONOLÓGICO'!$A$2:$A$4919,$A964)</f>
        <v/>
      </c>
      <c r="F964" s="4">
        <f>SUMIFS('DETALLE CRONOLÓGICO'!$I$2:$I$4919,'DETALLE CRONOLÓGICO'!$A$2:$A$4919,$A964)</f>
        <v/>
      </c>
      <c r="G964" s="1">
        <f>INDEX('DETALLE CRONOLÓGICO'!$D$2:$D$4919,MATCH($A964,'DETALLE CRONOLÓGICO'!$A$2:$A$4919,0))</f>
        <v/>
      </c>
      <c r="H964" s="1">
        <f>INDEX('DETALLE CRONOLÓGICO'!$D$2:$D$4919,MATCH($A964,'DETALLE CRONOLÓGICO'!$A$2:$A$4919,0)+$E964-1)</f>
        <v/>
      </c>
      <c r="I964" s="5">
        <f>IFERROR(SUMIFS('DETALLE CRONOLÓGICO'!$L$2:$L$4919,'DETALLE CRONOLÓGICO'!$A$2:$A$4919,$A964)/$F964,"")</f>
        <v/>
      </c>
      <c r="J964" s="6">
        <f>IFERROR(SUMIFS('DETALLE CRONOLÓGICO'!$K$2:$K$4919,'DETALLE CRONOLÓGICO'!$A$2:$A$4919,$A964)/$E964,"")</f>
        <v/>
      </c>
      <c r="K964" s="6">
        <f>_xlfn.MINIFS('DETALLE CRONOLÓGICO'!$K$2:$K$4919,'DETALLE CRONOLÓGICO'!$A$2:$A$4919,$A964)</f>
        <v/>
      </c>
      <c r="L964" s="6">
        <f>_xlfn.MAXIFS('DETALLE CRONOLÓGICO'!$K$2:$K$4919,'DETALLE CRONOLÓGICO'!$A$2:$A$4919,$A964)</f>
        <v/>
      </c>
      <c r="M964" s="6">
        <f>INDEX('DETALLE CRONOLÓGICO'!$K$2:$K$4919,MATCH($A964,'DETALLE CRONOLÓGICO'!$A$2:$A$4919,0)+$E964-1)</f>
        <v/>
      </c>
      <c r="N964" s="7">
        <f>IFERROR($M964/INDEX('DETALLE CRONOLÓGICO'!$K$2:$K$4919,MATCH($A964,'DETALLE CRONOLÓGICO'!$A$2:$A$4919,0))-1,"")</f>
        <v/>
      </c>
      <c r="O964" s="6">
        <f>IFERROR($I964*3,"")</f>
        <v/>
      </c>
      <c r="P964" s="6">
        <f>IFERROR($I964*3.5,"")</f>
        <v/>
      </c>
      <c r="Q964" s="6">
        <f>IFERROR($I964*4,"")</f>
        <v/>
      </c>
      <c r="R964" s="6" t="n">
        <v>0</v>
      </c>
      <c r="S964" s="4" t="n">
        <v>2</v>
      </c>
      <c r="T964" s="1" t="inlineStr">
        <is>
          <t>draft</t>
        </is>
      </c>
      <c r="U964" s="8" t="n"/>
      <c r="V964" s="1" t="inlineStr">
        <is>
          <t>SIN PRECIO</t>
        </is>
      </c>
    </row>
    <row r="965">
      <c r="A965" s="1" t="inlineStr">
        <is>
          <t>58980701543277</t>
        </is>
      </c>
      <c r="B965" s="1" t="inlineStr">
        <is>
          <t>ANILLO CC COCO ZIRCONIA ROSE GOLD</t>
        </is>
      </c>
      <c r="C965" s="1" t="inlineStr">
        <is>
          <t>Default Title</t>
        </is>
      </c>
      <c r="D965" s="1" t="inlineStr">
        <is>
          <t>NANCY</t>
        </is>
      </c>
      <c r="E965" s="4">
        <f>COUNTIF('DETALLE CRONOLÓGICO'!$A$2:$A$4919,$A965)</f>
        <v/>
      </c>
      <c r="F965" s="4">
        <f>SUMIFS('DETALLE CRONOLÓGICO'!$I$2:$I$4919,'DETALLE CRONOLÓGICO'!$A$2:$A$4919,$A965)</f>
        <v/>
      </c>
      <c r="G965" s="1">
        <f>INDEX('DETALLE CRONOLÓGICO'!$D$2:$D$4919,MATCH($A965,'DETALLE CRONOLÓGICO'!$A$2:$A$4919,0))</f>
        <v/>
      </c>
      <c r="H965" s="1">
        <f>INDEX('DETALLE CRONOLÓGICO'!$D$2:$D$4919,MATCH($A965,'DETALLE CRONOLÓGICO'!$A$2:$A$4919,0)+$E965-1)</f>
        <v/>
      </c>
      <c r="I965" s="5">
        <f>IFERROR(SUMIFS('DETALLE CRONOLÓGICO'!$L$2:$L$4919,'DETALLE CRONOLÓGICO'!$A$2:$A$4919,$A965)/$F965,"")</f>
        <v/>
      </c>
      <c r="J965" s="6">
        <f>IFERROR(SUMIFS('DETALLE CRONOLÓGICO'!$K$2:$K$4919,'DETALLE CRONOLÓGICO'!$A$2:$A$4919,$A965)/$E965,"")</f>
        <v/>
      </c>
      <c r="K965" s="6">
        <f>_xlfn.MINIFS('DETALLE CRONOLÓGICO'!$K$2:$K$4919,'DETALLE CRONOLÓGICO'!$A$2:$A$4919,$A965)</f>
        <v/>
      </c>
      <c r="L965" s="6">
        <f>_xlfn.MAXIFS('DETALLE CRONOLÓGICO'!$K$2:$K$4919,'DETALLE CRONOLÓGICO'!$A$2:$A$4919,$A965)</f>
        <v/>
      </c>
      <c r="M965" s="6">
        <f>INDEX('DETALLE CRONOLÓGICO'!$K$2:$K$4919,MATCH($A965,'DETALLE CRONOLÓGICO'!$A$2:$A$4919,0)+$E965-1)</f>
        <v/>
      </c>
      <c r="N965" s="7">
        <f>IFERROR($M965/INDEX('DETALLE CRONOLÓGICO'!$K$2:$K$4919,MATCH($A965,'DETALLE CRONOLÓGICO'!$A$2:$A$4919,0))-1,"")</f>
        <v/>
      </c>
      <c r="O965" s="6">
        <f>IFERROR($I965*3,"")</f>
        <v/>
      </c>
      <c r="P965" s="6">
        <f>IFERROR($I965*3.5,"")</f>
        <v/>
      </c>
      <c r="Q965" s="6">
        <f>IFERROR($I965*4,"")</f>
        <v/>
      </c>
      <c r="R965" s="6" t="n">
        <v>0</v>
      </c>
      <c r="S965" s="4" t="n">
        <v>2</v>
      </c>
      <c r="T965" s="1" t="inlineStr">
        <is>
          <t>draft</t>
        </is>
      </c>
      <c r="U965" s="8" t="n"/>
      <c r="V965" s="1" t="inlineStr">
        <is>
          <t>SIN PRECIO</t>
        </is>
      </c>
    </row>
    <row r="966">
      <c r="A966" s="1" t="inlineStr">
        <is>
          <t>58980701641581</t>
        </is>
      </c>
      <c r="B966" s="1" t="inlineStr">
        <is>
          <t>ANILLO CC COCO ZIRCONIA GOLD</t>
        </is>
      </c>
      <c r="C966" s="1" t="inlineStr">
        <is>
          <t>Default Title</t>
        </is>
      </c>
      <c r="D966" s="1" t="inlineStr">
        <is>
          <t>NANCY</t>
        </is>
      </c>
      <c r="E966" s="4">
        <f>COUNTIF('DETALLE CRONOLÓGICO'!$A$2:$A$4919,$A966)</f>
        <v/>
      </c>
      <c r="F966" s="4">
        <f>SUMIFS('DETALLE CRONOLÓGICO'!$I$2:$I$4919,'DETALLE CRONOLÓGICO'!$A$2:$A$4919,$A966)</f>
        <v/>
      </c>
      <c r="G966" s="1">
        <f>INDEX('DETALLE CRONOLÓGICO'!$D$2:$D$4919,MATCH($A966,'DETALLE CRONOLÓGICO'!$A$2:$A$4919,0))</f>
        <v/>
      </c>
      <c r="H966" s="1">
        <f>INDEX('DETALLE CRONOLÓGICO'!$D$2:$D$4919,MATCH($A966,'DETALLE CRONOLÓGICO'!$A$2:$A$4919,0)+$E966-1)</f>
        <v/>
      </c>
      <c r="I966" s="5">
        <f>IFERROR(SUMIFS('DETALLE CRONOLÓGICO'!$L$2:$L$4919,'DETALLE CRONOLÓGICO'!$A$2:$A$4919,$A966)/$F966,"")</f>
        <v/>
      </c>
      <c r="J966" s="6">
        <f>IFERROR(SUMIFS('DETALLE CRONOLÓGICO'!$K$2:$K$4919,'DETALLE CRONOLÓGICO'!$A$2:$A$4919,$A966)/$E966,"")</f>
        <v/>
      </c>
      <c r="K966" s="6">
        <f>_xlfn.MINIFS('DETALLE CRONOLÓGICO'!$K$2:$K$4919,'DETALLE CRONOLÓGICO'!$A$2:$A$4919,$A966)</f>
        <v/>
      </c>
      <c r="L966" s="6">
        <f>_xlfn.MAXIFS('DETALLE CRONOLÓGICO'!$K$2:$K$4919,'DETALLE CRONOLÓGICO'!$A$2:$A$4919,$A966)</f>
        <v/>
      </c>
      <c r="M966" s="6">
        <f>INDEX('DETALLE CRONOLÓGICO'!$K$2:$K$4919,MATCH($A966,'DETALLE CRONOLÓGICO'!$A$2:$A$4919,0)+$E966-1)</f>
        <v/>
      </c>
      <c r="N966" s="7">
        <f>IFERROR($M966/INDEX('DETALLE CRONOLÓGICO'!$K$2:$K$4919,MATCH($A966,'DETALLE CRONOLÓGICO'!$A$2:$A$4919,0))-1,"")</f>
        <v/>
      </c>
      <c r="O966" s="6">
        <f>IFERROR($I966*3,"")</f>
        <v/>
      </c>
      <c r="P966" s="6">
        <f>IFERROR($I966*3.5,"")</f>
        <v/>
      </c>
      <c r="Q966" s="6">
        <f>IFERROR($I966*4,"")</f>
        <v/>
      </c>
      <c r="R966" s="6" t="n">
        <v>0</v>
      </c>
      <c r="S966" s="4" t="n">
        <v>2</v>
      </c>
      <c r="T966" s="1" t="inlineStr">
        <is>
          <t>draft</t>
        </is>
      </c>
      <c r="U966" s="8" t="n"/>
      <c r="V966" s="1" t="inlineStr">
        <is>
          <t>SIN PRECIO</t>
        </is>
      </c>
    </row>
    <row r="967">
      <c r="A967" s="1" t="inlineStr">
        <is>
          <t>58980701738189</t>
        </is>
      </c>
      <c r="B967" s="1" t="inlineStr">
        <is>
          <t>ANILLO CC COCO ZIRCONIA SILVER</t>
        </is>
      </c>
      <c r="C967" s="1" t="inlineStr">
        <is>
          <t>Default Title</t>
        </is>
      </c>
      <c r="D967" s="1" t="inlineStr">
        <is>
          <t>NANCY</t>
        </is>
      </c>
      <c r="E967" s="4">
        <f>COUNTIF('DETALLE CRONOLÓGICO'!$A$2:$A$4919,$A967)</f>
        <v/>
      </c>
      <c r="F967" s="4">
        <f>SUMIFS('DETALLE CRONOLÓGICO'!$I$2:$I$4919,'DETALLE CRONOLÓGICO'!$A$2:$A$4919,$A967)</f>
        <v/>
      </c>
      <c r="G967" s="1">
        <f>INDEX('DETALLE CRONOLÓGICO'!$D$2:$D$4919,MATCH($A967,'DETALLE CRONOLÓGICO'!$A$2:$A$4919,0))</f>
        <v/>
      </c>
      <c r="H967" s="1">
        <f>INDEX('DETALLE CRONOLÓGICO'!$D$2:$D$4919,MATCH($A967,'DETALLE CRONOLÓGICO'!$A$2:$A$4919,0)+$E967-1)</f>
        <v/>
      </c>
      <c r="I967" s="5">
        <f>IFERROR(SUMIFS('DETALLE CRONOLÓGICO'!$L$2:$L$4919,'DETALLE CRONOLÓGICO'!$A$2:$A$4919,$A967)/$F967,"")</f>
        <v/>
      </c>
      <c r="J967" s="6">
        <f>IFERROR(SUMIFS('DETALLE CRONOLÓGICO'!$K$2:$K$4919,'DETALLE CRONOLÓGICO'!$A$2:$A$4919,$A967)/$E967,"")</f>
        <v/>
      </c>
      <c r="K967" s="6">
        <f>_xlfn.MINIFS('DETALLE CRONOLÓGICO'!$K$2:$K$4919,'DETALLE CRONOLÓGICO'!$A$2:$A$4919,$A967)</f>
        <v/>
      </c>
      <c r="L967" s="6">
        <f>_xlfn.MAXIFS('DETALLE CRONOLÓGICO'!$K$2:$K$4919,'DETALLE CRONOLÓGICO'!$A$2:$A$4919,$A967)</f>
        <v/>
      </c>
      <c r="M967" s="6">
        <f>INDEX('DETALLE CRONOLÓGICO'!$K$2:$K$4919,MATCH($A967,'DETALLE CRONOLÓGICO'!$A$2:$A$4919,0)+$E967-1)</f>
        <v/>
      </c>
      <c r="N967" s="7">
        <f>IFERROR($M967/INDEX('DETALLE CRONOLÓGICO'!$K$2:$K$4919,MATCH($A967,'DETALLE CRONOLÓGICO'!$A$2:$A$4919,0))-1,"")</f>
        <v/>
      </c>
      <c r="O967" s="6">
        <f>IFERROR($I967*3,"")</f>
        <v/>
      </c>
      <c r="P967" s="6">
        <f>IFERROR($I967*3.5,"")</f>
        <v/>
      </c>
      <c r="Q967" s="6">
        <f>IFERROR($I967*4,"")</f>
        <v/>
      </c>
      <c r="R967" s="6" t="n">
        <v>0</v>
      </c>
      <c r="S967" s="4" t="n">
        <v>2</v>
      </c>
      <c r="T967" s="1" t="inlineStr">
        <is>
          <t>draft</t>
        </is>
      </c>
      <c r="U967" s="8" t="n"/>
      <c r="V967" s="1" t="inlineStr">
        <is>
          <t>SIN PRECIO</t>
        </is>
      </c>
    </row>
    <row r="968">
      <c r="A968" s="1" t="inlineStr">
        <is>
          <t>58980701834797</t>
        </is>
      </c>
      <c r="B968" s="1" t="inlineStr">
        <is>
          <t>ANILLO CC COCO SLIM SILVER</t>
        </is>
      </c>
      <c r="C968" s="1" t="n">
        <v>6</v>
      </c>
      <c r="D968" s="1" t="inlineStr">
        <is>
          <t>NANCY</t>
        </is>
      </c>
      <c r="E968" s="4">
        <f>COUNTIF('DETALLE CRONOLÓGICO'!$A$2:$A$4919,$A968)</f>
        <v/>
      </c>
      <c r="F968" s="4">
        <f>SUMIFS('DETALLE CRONOLÓGICO'!$I$2:$I$4919,'DETALLE CRONOLÓGICO'!$A$2:$A$4919,$A968)</f>
        <v/>
      </c>
      <c r="G968" s="1">
        <f>INDEX('DETALLE CRONOLÓGICO'!$D$2:$D$4919,MATCH($A968,'DETALLE CRONOLÓGICO'!$A$2:$A$4919,0))</f>
        <v/>
      </c>
      <c r="H968" s="1">
        <f>INDEX('DETALLE CRONOLÓGICO'!$D$2:$D$4919,MATCH($A968,'DETALLE CRONOLÓGICO'!$A$2:$A$4919,0)+$E968-1)</f>
        <v/>
      </c>
      <c r="I968" s="5">
        <f>IFERROR(SUMIFS('DETALLE CRONOLÓGICO'!$L$2:$L$4919,'DETALLE CRONOLÓGICO'!$A$2:$A$4919,$A968)/$F968,"")</f>
        <v/>
      </c>
      <c r="J968" s="6">
        <f>IFERROR(SUMIFS('DETALLE CRONOLÓGICO'!$K$2:$K$4919,'DETALLE CRONOLÓGICO'!$A$2:$A$4919,$A968)/$E968,"")</f>
        <v/>
      </c>
      <c r="K968" s="6">
        <f>_xlfn.MINIFS('DETALLE CRONOLÓGICO'!$K$2:$K$4919,'DETALLE CRONOLÓGICO'!$A$2:$A$4919,$A968)</f>
        <v/>
      </c>
      <c r="L968" s="6">
        <f>_xlfn.MAXIFS('DETALLE CRONOLÓGICO'!$K$2:$K$4919,'DETALLE CRONOLÓGICO'!$A$2:$A$4919,$A968)</f>
        <v/>
      </c>
      <c r="M968" s="6">
        <f>INDEX('DETALLE CRONOLÓGICO'!$K$2:$K$4919,MATCH($A968,'DETALLE CRONOLÓGICO'!$A$2:$A$4919,0)+$E968-1)</f>
        <v/>
      </c>
      <c r="N968" s="7">
        <f>IFERROR($M968/INDEX('DETALLE CRONOLÓGICO'!$K$2:$K$4919,MATCH($A968,'DETALLE CRONOLÓGICO'!$A$2:$A$4919,0))-1,"")</f>
        <v/>
      </c>
      <c r="O968" s="6">
        <f>IFERROR($I968*3,"")</f>
        <v/>
      </c>
      <c r="P968" s="6">
        <f>IFERROR($I968*3.5,"")</f>
        <v/>
      </c>
      <c r="Q968" s="6">
        <f>IFERROR($I968*4,"")</f>
        <v/>
      </c>
      <c r="R968" s="6" t="n">
        <v>0</v>
      </c>
      <c r="S968" s="4" t="n">
        <v>2</v>
      </c>
      <c r="T968" s="1" t="inlineStr">
        <is>
          <t>draft</t>
        </is>
      </c>
      <c r="U968" s="8" t="n"/>
      <c r="V968" s="1" t="inlineStr">
        <is>
          <t>SIN PRECIO</t>
        </is>
      </c>
    </row>
    <row r="969">
      <c r="A969" s="1" t="inlineStr">
        <is>
          <t>58980701967565</t>
        </is>
      </c>
      <c r="B969" s="1" t="inlineStr">
        <is>
          <t>ANILLO CC COCO SLIM SILVER</t>
        </is>
      </c>
      <c r="C969" s="1" t="n">
        <v>7</v>
      </c>
      <c r="D969" s="1" t="inlineStr">
        <is>
          <t>NANCY</t>
        </is>
      </c>
      <c r="E969" s="4">
        <f>COUNTIF('DETALLE CRONOLÓGICO'!$A$2:$A$4919,$A969)</f>
        <v/>
      </c>
      <c r="F969" s="4">
        <f>SUMIFS('DETALLE CRONOLÓGICO'!$I$2:$I$4919,'DETALLE CRONOLÓGICO'!$A$2:$A$4919,$A969)</f>
        <v/>
      </c>
      <c r="G969" s="1">
        <f>INDEX('DETALLE CRONOLÓGICO'!$D$2:$D$4919,MATCH($A969,'DETALLE CRONOLÓGICO'!$A$2:$A$4919,0))</f>
        <v/>
      </c>
      <c r="H969" s="1">
        <f>INDEX('DETALLE CRONOLÓGICO'!$D$2:$D$4919,MATCH($A969,'DETALLE CRONOLÓGICO'!$A$2:$A$4919,0)+$E969-1)</f>
        <v/>
      </c>
      <c r="I969" s="5">
        <f>IFERROR(SUMIFS('DETALLE CRONOLÓGICO'!$L$2:$L$4919,'DETALLE CRONOLÓGICO'!$A$2:$A$4919,$A969)/$F969,"")</f>
        <v/>
      </c>
      <c r="J969" s="6">
        <f>IFERROR(SUMIFS('DETALLE CRONOLÓGICO'!$K$2:$K$4919,'DETALLE CRONOLÓGICO'!$A$2:$A$4919,$A969)/$E969,"")</f>
        <v/>
      </c>
      <c r="K969" s="6">
        <f>_xlfn.MINIFS('DETALLE CRONOLÓGICO'!$K$2:$K$4919,'DETALLE CRONOLÓGICO'!$A$2:$A$4919,$A969)</f>
        <v/>
      </c>
      <c r="L969" s="6">
        <f>_xlfn.MAXIFS('DETALLE CRONOLÓGICO'!$K$2:$K$4919,'DETALLE CRONOLÓGICO'!$A$2:$A$4919,$A969)</f>
        <v/>
      </c>
      <c r="M969" s="6">
        <f>INDEX('DETALLE CRONOLÓGICO'!$K$2:$K$4919,MATCH($A969,'DETALLE CRONOLÓGICO'!$A$2:$A$4919,0)+$E969-1)</f>
        <v/>
      </c>
      <c r="N969" s="7">
        <f>IFERROR($M969/INDEX('DETALLE CRONOLÓGICO'!$K$2:$K$4919,MATCH($A969,'DETALLE CRONOLÓGICO'!$A$2:$A$4919,0))-1,"")</f>
        <v/>
      </c>
      <c r="O969" s="6">
        <f>IFERROR($I969*3,"")</f>
        <v/>
      </c>
      <c r="P969" s="6">
        <f>IFERROR($I969*3.5,"")</f>
        <v/>
      </c>
      <c r="Q969" s="6">
        <f>IFERROR($I969*4,"")</f>
        <v/>
      </c>
      <c r="R969" s="6" t="n">
        <v>0</v>
      </c>
      <c r="S969" s="4" t="n">
        <v>2</v>
      </c>
      <c r="T969" s="1" t="inlineStr">
        <is>
          <t>draft</t>
        </is>
      </c>
      <c r="U969" s="8" t="n"/>
      <c r="V969" s="1" t="inlineStr">
        <is>
          <t>SIN PRECIO</t>
        </is>
      </c>
    </row>
    <row r="970">
      <c r="A970" s="1" t="inlineStr">
        <is>
          <t>58980702033101</t>
        </is>
      </c>
      <c r="B970" s="1" t="inlineStr">
        <is>
          <t>ANILLO CC CAMELIA ROSE GOLD</t>
        </is>
      </c>
      <c r="C970" s="1" t="n">
        <v>6</v>
      </c>
      <c r="D970" s="1" t="inlineStr">
        <is>
          <t>NANCY</t>
        </is>
      </c>
      <c r="E970" s="4">
        <f>COUNTIF('DETALLE CRONOLÓGICO'!$A$2:$A$4919,$A970)</f>
        <v/>
      </c>
      <c r="F970" s="4">
        <f>SUMIFS('DETALLE CRONOLÓGICO'!$I$2:$I$4919,'DETALLE CRONOLÓGICO'!$A$2:$A$4919,$A970)</f>
        <v/>
      </c>
      <c r="G970" s="1">
        <f>INDEX('DETALLE CRONOLÓGICO'!$D$2:$D$4919,MATCH($A970,'DETALLE CRONOLÓGICO'!$A$2:$A$4919,0))</f>
        <v/>
      </c>
      <c r="H970" s="1">
        <f>INDEX('DETALLE CRONOLÓGICO'!$D$2:$D$4919,MATCH($A970,'DETALLE CRONOLÓGICO'!$A$2:$A$4919,0)+$E970-1)</f>
        <v/>
      </c>
      <c r="I970" s="5">
        <f>IFERROR(SUMIFS('DETALLE CRONOLÓGICO'!$L$2:$L$4919,'DETALLE CRONOLÓGICO'!$A$2:$A$4919,$A970)/$F970,"")</f>
        <v/>
      </c>
      <c r="J970" s="6">
        <f>IFERROR(SUMIFS('DETALLE CRONOLÓGICO'!$K$2:$K$4919,'DETALLE CRONOLÓGICO'!$A$2:$A$4919,$A970)/$E970,"")</f>
        <v/>
      </c>
      <c r="K970" s="6">
        <f>_xlfn.MINIFS('DETALLE CRONOLÓGICO'!$K$2:$K$4919,'DETALLE CRONOLÓGICO'!$A$2:$A$4919,$A970)</f>
        <v/>
      </c>
      <c r="L970" s="6">
        <f>_xlfn.MAXIFS('DETALLE CRONOLÓGICO'!$K$2:$K$4919,'DETALLE CRONOLÓGICO'!$A$2:$A$4919,$A970)</f>
        <v/>
      </c>
      <c r="M970" s="6">
        <f>INDEX('DETALLE CRONOLÓGICO'!$K$2:$K$4919,MATCH($A970,'DETALLE CRONOLÓGICO'!$A$2:$A$4919,0)+$E970-1)</f>
        <v/>
      </c>
      <c r="N970" s="7">
        <f>IFERROR($M970/INDEX('DETALLE CRONOLÓGICO'!$K$2:$K$4919,MATCH($A970,'DETALLE CRONOLÓGICO'!$A$2:$A$4919,0))-1,"")</f>
        <v/>
      </c>
      <c r="O970" s="6">
        <f>IFERROR($I970*3,"")</f>
        <v/>
      </c>
      <c r="P970" s="6">
        <f>IFERROR($I970*3.5,"")</f>
        <v/>
      </c>
      <c r="Q970" s="6">
        <f>IFERROR($I970*4,"")</f>
        <v/>
      </c>
      <c r="R970" s="6" t="n">
        <v>0</v>
      </c>
      <c r="S970" s="4" t="n">
        <v>0</v>
      </c>
      <c r="T970" s="1" t="inlineStr">
        <is>
          <t>draft</t>
        </is>
      </c>
      <c r="U970" s="8" t="n"/>
      <c r="V970" s="1" t="inlineStr">
        <is>
          <t>SIN PRECIO</t>
        </is>
      </c>
    </row>
    <row r="971">
      <c r="A971" s="1" t="inlineStr">
        <is>
          <t>58980702165869</t>
        </is>
      </c>
      <c r="B971" s="1" t="inlineStr">
        <is>
          <t>ANILLO CC CAMELIA ROSE GOLD</t>
        </is>
      </c>
      <c r="C971" s="1" t="n">
        <v>7</v>
      </c>
      <c r="D971" s="1" t="inlineStr">
        <is>
          <t>NANCY</t>
        </is>
      </c>
      <c r="E971" s="4">
        <f>COUNTIF('DETALLE CRONOLÓGICO'!$A$2:$A$4919,$A971)</f>
        <v/>
      </c>
      <c r="F971" s="4">
        <f>SUMIFS('DETALLE CRONOLÓGICO'!$I$2:$I$4919,'DETALLE CRONOLÓGICO'!$A$2:$A$4919,$A971)</f>
        <v/>
      </c>
      <c r="G971" s="1">
        <f>INDEX('DETALLE CRONOLÓGICO'!$D$2:$D$4919,MATCH($A971,'DETALLE CRONOLÓGICO'!$A$2:$A$4919,0))</f>
        <v/>
      </c>
      <c r="H971" s="1">
        <f>INDEX('DETALLE CRONOLÓGICO'!$D$2:$D$4919,MATCH($A971,'DETALLE CRONOLÓGICO'!$A$2:$A$4919,0)+$E971-1)</f>
        <v/>
      </c>
      <c r="I971" s="5">
        <f>IFERROR(SUMIFS('DETALLE CRONOLÓGICO'!$L$2:$L$4919,'DETALLE CRONOLÓGICO'!$A$2:$A$4919,$A971)/$F971,"")</f>
        <v/>
      </c>
      <c r="J971" s="6">
        <f>IFERROR(SUMIFS('DETALLE CRONOLÓGICO'!$K$2:$K$4919,'DETALLE CRONOLÓGICO'!$A$2:$A$4919,$A971)/$E971,"")</f>
        <v/>
      </c>
      <c r="K971" s="6">
        <f>_xlfn.MINIFS('DETALLE CRONOLÓGICO'!$K$2:$K$4919,'DETALLE CRONOLÓGICO'!$A$2:$A$4919,$A971)</f>
        <v/>
      </c>
      <c r="L971" s="6">
        <f>_xlfn.MAXIFS('DETALLE CRONOLÓGICO'!$K$2:$K$4919,'DETALLE CRONOLÓGICO'!$A$2:$A$4919,$A971)</f>
        <v/>
      </c>
      <c r="M971" s="6">
        <f>INDEX('DETALLE CRONOLÓGICO'!$K$2:$K$4919,MATCH($A971,'DETALLE CRONOLÓGICO'!$A$2:$A$4919,0)+$E971-1)</f>
        <v/>
      </c>
      <c r="N971" s="7">
        <f>IFERROR($M971/INDEX('DETALLE CRONOLÓGICO'!$K$2:$K$4919,MATCH($A971,'DETALLE CRONOLÓGICO'!$A$2:$A$4919,0))-1,"")</f>
        <v/>
      </c>
      <c r="O971" s="6">
        <f>IFERROR($I971*3,"")</f>
        <v/>
      </c>
      <c r="P971" s="6">
        <f>IFERROR($I971*3.5,"")</f>
        <v/>
      </c>
      <c r="Q971" s="6">
        <f>IFERROR($I971*4,"")</f>
        <v/>
      </c>
      <c r="R971" s="6" t="n">
        <v>0</v>
      </c>
      <c r="S971" s="4" t="n">
        <v>0</v>
      </c>
      <c r="T971" s="1" t="inlineStr">
        <is>
          <t>draft</t>
        </is>
      </c>
      <c r="U971" s="8" t="n"/>
      <c r="V971" s="1" t="inlineStr">
        <is>
          <t>SIN PRECIO</t>
        </is>
      </c>
    </row>
    <row r="972">
      <c r="A972" s="1" t="inlineStr">
        <is>
          <t>58980702231405</t>
        </is>
      </c>
      <c r="B972" s="1" t="inlineStr">
        <is>
          <t>ANILLO CC ETERNAL N5</t>
        </is>
      </c>
      <c r="C972" s="1" t="n">
        <v>6</v>
      </c>
      <c r="D972" s="1" t="inlineStr">
        <is>
          <t>NANCY</t>
        </is>
      </c>
      <c r="E972" s="4">
        <f>COUNTIF('DETALLE CRONOLÓGICO'!$A$2:$A$4919,$A972)</f>
        <v/>
      </c>
      <c r="F972" s="4">
        <f>SUMIFS('DETALLE CRONOLÓGICO'!$I$2:$I$4919,'DETALLE CRONOLÓGICO'!$A$2:$A$4919,$A972)</f>
        <v/>
      </c>
      <c r="G972" s="1">
        <f>INDEX('DETALLE CRONOLÓGICO'!$D$2:$D$4919,MATCH($A972,'DETALLE CRONOLÓGICO'!$A$2:$A$4919,0))</f>
        <v/>
      </c>
      <c r="H972" s="1">
        <f>INDEX('DETALLE CRONOLÓGICO'!$D$2:$D$4919,MATCH($A972,'DETALLE CRONOLÓGICO'!$A$2:$A$4919,0)+$E972-1)</f>
        <v/>
      </c>
      <c r="I972" s="5">
        <f>IFERROR(SUMIFS('DETALLE CRONOLÓGICO'!$L$2:$L$4919,'DETALLE CRONOLÓGICO'!$A$2:$A$4919,$A972)/$F972,"")</f>
        <v/>
      </c>
      <c r="J972" s="6">
        <f>IFERROR(SUMIFS('DETALLE CRONOLÓGICO'!$K$2:$K$4919,'DETALLE CRONOLÓGICO'!$A$2:$A$4919,$A972)/$E972,"")</f>
        <v/>
      </c>
      <c r="K972" s="6">
        <f>_xlfn.MINIFS('DETALLE CRONOLÓGICO'!$K$2:$K$4919,'DETALLE CRONOLÓGICO'!$A$2:$A$4919,$A972)</f>
        <v/>
      </c>
      <c r="L972" s="6">
        <f>_xlfn.MAXIFS('DETALLE CRONOLÓGICO'!$K$2:$K$4919,'DETALLE CRONOLÓGICO'!$A$2:$A$4919,$A972)</f>
        <v/>
      </c>
      <c r="M972" s="6">
        <f>INDEX('DETALLE CRONOLÓGICO'!$K$2:$K$4919,MATCH($A972,'DETALLE CRONOLÓGICO'!$A$2:$A$4919,0)+$E972-1)</f>
        <v/>
      </c>
      <c r="N972" s="7">
        <f>IFERROR($M972/INDEX('DETALLE CRONOLÓGICO'!$K$2:$K$4919,MATCH($A972,'DETALLE CRONOLÓGICO'!$A$2:$A$4919,0))-1,"")</f>
        <v/>
      </c>
      <c r="O972" s="6">
        <f>IFERROR($I972*3,"")</f>
        <v/>
      </c>
      <c r="P972" s="6">
        <f>IFERROR($I972*3.5,"")</f>
        <v/>
      </c>
      <c r="Q972" s="6">
        <f>IFERROR($I972*4,"")</f>
        <v/>
      </c>
      <c r="R972" s="6" t="n">
        <v>0</v>
      </c>
      <c r="S972" s="4" t="n">
        <v>2</v>
      </c>
      <c r="T972" s="1" t="inlineStr">
        <is>
          <t>draft</t>
        </is>
      </c>
      <c r="U972" s="8" t="n"/>
      <c r="V972" s="1" t="inlineStr">
        <is>
          <t>SIN PRECIO</t>
        </is>
      </c>
    </row>
    <row r="973">
      <c r="A973" s="1" t="inlineStr">
        <is>
          <t>58980702364173</t>
        </is>
      </c>
      <c r="B973" s="1" t="inlineStr">
        <is>
          <t>ANILLO CC ETERNAL N5</t>
        </is>
      </c>
      <c r="C973" s="1" t="n">
        <v>7</v>
      </c>
      <c r="D973" s="1" t="inlineStr">
        <is>
          <t>NANCY</t>
        </is>
      </c>
      <c r="E973" s="4">
        <f>COUNTIF('DETALLE CRONOLÓGICO'!$A$2:$A$4919,$A973)</f>
        <v/>
      </c>
      <c r="F973" s="4">
        <f>SUMIFS('DETALLE CRONOLÓGICO'!$I$2:$I$4919,'DETALLE CRONOLÓGICO'!$A$2:$A$4919,$A973)</f>
        <v/>
      </c>
      <c r="G973" s="1">
        <f>INDEX('DETALLE CRONOLÓGICO'!$D$2:$D$4919,MATCH($A973,'DETALLE CRONOLÓGICO'!$A$2:$A$4919,0))</f>
        <v/>
      </c>
      <c r="H973" s="1">
        <f>INDEX('DETALLE CRONOLÓGICO'!$D$2:$D$4919,MATCH($A973,'DETALLE CRONOLÓGICO'!$A$2:$A$4919,0)+$E973-1)</f>
        <v/>
      </c>
      <c r="I973" s="5">
        <f>IFERROR(SUMIFS('DETALLE CRONOLÓGICO'!$L$2:$L$4919,'DETALLE CRONOLÓGICO'!$A$2:$A$4919,$A973)/$F973,"")</f>
        <v/>
      </c>
      <c r="J973" s="6">
        <f>IFERROR(SUMIFS('DETALLE CRONOLÓGICO'!$K$2:$K$4919,'DETALLE CRONOLÓGICO'!$A$2:$A$4919,$A973)/$E973,"")</f>
        <v/>
      </c>
      <c r="K973" s="6">
        <f>_xlfn.MINIFS('DETALLE CRONOLÓGICO'!$K$2:$K$4919,'DETALLE CRONOLÓGICO'!$A$2:$A$4919,$A973)</f>
        <v/>
      </c>
      <c r="L973" s="6">
        <f>_xlfn.MAXIFS('DETALLE CRONOLÓGICO'!$K$2:$K$4919,'DETALLE CRONOLÓGICO'!$A$2:$A$4919,$A973)</f>
        <v/>
      </c>
      <c r="M973" s="6">
        <f>INDEX('DETALLE CRONOLÓGICO'!$K$2:$K$4919,MATCH($A973,'DETALLE CRONOLÓGICO'!$A$2:$A$4919,0)+$E973-1)</f>
        <v/>
      </c>
      <c r="N973" s="7">
        <f>IFERROR($M973/INDEX('DETALLE CRONOLÓGICO'!$K$2:$K$4919,MATCH($A973,'DETALLE CRONOLÓGICO'!$A$2:$A$4919,0))-1,"")</f>
        <v/>
      </c>
      <c r="O973" s="6">
        <f>IFERROR($I973*3,"")</f>
        <v/>
      </c>
      <c r="P973" s="6">
        <f>IFERROR($I973*3.5,"")</f>
        <v/>
      </c>
      <c r="Q973" s="6">
        <f>IFERROR($I973*4,"")</f>
        <v/>
      </c>
      <c r="R973" s="6" t="n">
        <v>0</v>
      </c>
      <c r="S973" s="4" t="n">
        <v>2</v>
      </c>
      <c r="T973" s="1" t="inlineStr">
        <is>
          <t>draft</t>
        </is>
      </c>
      <c r="U973" s="8" t="n"/>
      <c r="V973" s="1" t="inlineStr">
        <is>
          <t>SIN PRECIO</t>
        </is>
      </c>
    </row>
    <row r="974">
      <c r="A974" s="1" t="inlineStr">
        <is>
          <t>58980702491853</t>
        </is>
      </c>
      <c r="B974" s="1" t="inlineStr">
        <is>
          <t>PULSERA CC COCO C ROSEGOLD</t>
        </is>
      </c>
      <c r="C974" s="1" t="inlineStr">
        <is>
          <t>Default Title</t>
        </is>
      </c>
      <c r="D974" s="1" t="inlineStr">
        <is>
          <t>NANCY</t>
        </is>
      </c>
      <c r="E974" s="4">
        <f>COUNTIF('DETALLE CRONOLÓGICO'!$A$2:$A$4919,$A974)</f>
        <v/>
      </c>
      <c r="F974" s="4">
        <f>SUMIFS('DETALLE CRONOLÓGICO'!$I$2:$I$4919,'DETALLE CRONOLÓGICO'!$A$2:$A$4919,$A974)</f>
        <v/>
      </c>
      <c r="G974" s="1">
        <f>INDEX('DETALLE CRONOLÓGICO'!$D$2:$D$4919,MATCH($A974,'DETALLE CRONOLÓGICO'!$A$2:$A$4919,0))</f>
        <v/>
      </c>
      <c r="H974" s="1">
        <f>INDEX('DETALLE CRONOLÓGICO'!$D$2:$D$4919,MATCH($A974,'DETALLE CRONOLÓGICO'!$A$2:$A$4919,0)+$E974-1)</f>
        <v/>
      </c>
      <c r="I974" s="5">
        <f>IFERROR(SUMIFS('DETALLE CRONOLÓGICO'!$L$2:$L$4919,'DETALLE CRONOLÓGICO'!$A$2:$A$4919,$A974)/$F974,"")</f>
        <v/>
      </c>
      <c r="J974" s="6">
        <f>IFERROR(SUMIFS('DETALLE CRONOLÓGICO'!$K$2:$K$4919,'DETALLE CRONOLÓGICO'!$A$2:$A$4919,$A974)/$E974,"")</f>
        <v/>
      </c>
      <c r="K974" s="6">
        <f>_xlfn.MINIFS('DETALLE CRONOLÓGICO'!$K$2:$K$4919,'DETALLE CRONOLÓGICO'!$A$2:$A$4919,$A974)</f>
        <v/>
      </c>
      <c r="L974" s="6">
        <f>_xlfn.MAXIFS('DETALLE CRONOLÓGICO'!$K$2:$K$4919,'DETALLE CRONOLÓGICO'!$A$2:$A$4919,$A974)</f>
        <v/>
      </c>
      <c r="M974" s="6">
        <f>INDEX('DETALLE CRONOLÓGICO'!$K$2:$K$4919,MATCH($A974,'DETALLE CRONOLÓGICO'!$A$2:$A$4919,0)+$E974-1)</f>
        <v/>
      </c>
      <c r="N974" s="7">
        <f>IFERROR($M974/INDEX('DETALLE CRONOLÓGICO'!$K$2:$K$4919,MATCH($A974,'DETALLE CRONOLÓGICO'!$A$2:$A$4919,0))-1,"")</f>
        <v/>
      </c>
      <c r="O974" s="6">
        <f>IFERROR($I974*3,"")</f>
        <v/>
      </c>
      <c r="P974" s="6">
        <f>IFERROR($I974*3.5,"")</f>
        <v/>
      </c>
      <c r="Q974" s="6">
        <f>IFERROR($I974*4,"")</f>
        <v/>
      </c>
      <c r="R974" s="6" t="n">
        <v>0</v>
      </c>
      <c r="S974" s="4" t="n">
        <v>2</v>
      </c>
      <c r="T974" s="1" t="inlineStr">
        <is>
          <t>draft</t>
        </is>
      </c>
      <c r="U974" s="8" t="n"/>
      <c r="V974" s="1" t="inlineStr">
        <is>
          <t>SIN PRECIO</t>
        </is>
      </c>
    </row>
    <row r="975">
      <c r="A975" s="1" t="inlineStr">
        <is>
          <t>58980702524621</t>
        </is>
      </c>
      <c r="B975" s="1" t="inlineStr">
        <is>
          <t>PULSERA CC EXTRAIT CAMELIA</t>
        </is>
      </c>
      <c r="C975" s="1" t="inlineStr">
        <is>
          <t>Default Title</t>
        </is>
      </c>
      <c r="D975" s="1" t="inlineStr">
        <is>
          <t>NANCY</t>
        </is>
      </c>
      <c r="E975" s="4">
        <f>COUNTIF('DETALLE CRONOLÓGICO'!$A$2:$A$4919,$A975)</f>
        <v/>
      </c>
      <c r="F975" s="4">
        <f>SUMIFS('DETALLE CRONOLÓGICO'!$I$2:$I$4919,'DETALLE CRONOLÓGICO'!$A$2:$A$4919,$A975)</f>
        <v/>
      </c>
      <c r="G975" s="1">
        <f>INDEX('DETALLE CRONOLÓGICO'!$D$2:$D$4919,MATCH($A975,'DETALLE CRONOLÓGICO'!$A$2:$A$4919,0))</f>
        <v/>
      </c>
      <c r="H975" s="1">
        <f>INDEX('DETALLE CRONOLÓGICO'!$D$2:$D$4919,MATCH($A975,'DETALLE CRONOLÓGICO'!$A$2:$A$4919,0)+$E975-1)</f>
        <v/>
      </c>
      <c r="I975" s="5">
        <f>IFERROR(SUMIFS('DETALLE CRONOLÓGICO'!$L$2:$L$4919,'DETALLE CRONOLÓGICO'!$A$2:$A$4919,$A975)/$F975,"")</f>
        <v/>
      </c>
      <c r="J975" s="6">
        <f>IFERROR(SUMIFS('DETALLE CRONOLÓGICO'!$K$2:$K$4919,'DETALLE CRONOLÓGICO'!$A$2:$A$4919,$A975)/$E975,"")</f>
        <v/>
      </c>
      <c r="K975" s="6">
        <f>_xlfn.MINIFS('DETALLE CRONOLÓGICO'!$K$2:$K$4919,'DETALLE CRONOLÓGICO'!$A$2:$A$4919,$A975)</f>
        <v/>
      </c>
      <c r="L975" s="6">
        <f>_xlfn.MAXIFS('DETALLE CRONOLÓGICO'!$K$2:$K$4919,'DETALLE CRONOLÓGICO'!$A$2:$A$4919,$A975)</f>
        <v/>
      </c>
      <c r="M975" s="6">
        <f>INDEX('DETALLE CRONOLÓGICO'!$K$2:$K$4919,MATCH($A975,'DETALLE CRONOLÓGICO'!$A$2:$A$4919,0)+$E975-1)</f>
        <v/>
      </c>
      <c r="N975" s="7">
        <f>IFERROR($M975/INDEX('DETALLE CRONOLÓGICO'!$K$2:$K$4919,MATCH($A975,'DETALLE CRONOLÓGICO'!$A$2:$A$4919,0))-1,"")</f>
        <v/>
      </c>
      <c r="O975" s="6">
        <f>IFERROR($I975*3,"")</f>
        <v/>
      </c>
      <c r="P975" s="6">
        <f>IFERROR($I975*3.5,"")</f>
        <v/>
      </c>
      <c r="Q975" s="6">
        <f>IFERROR($I975*4,"")</f>
        <v/>
      </c>
      <c r="R975" s="6" t="n">
        <v>0</v>
      </c>
      <c r="S975" s="4" t="n">
        <v>2</v>
      </c>
      <c r="T975" s="1" t="inlineStr">
        <is>
          <t>draft</t>
        </is>
      </c>
      <c r="U975" s="8" t="n"/>
      <c r="V975" s="1" t="inlineStr">
        <is>
          <t>SIN PRECIO</t>
        </is>
      </c>
    </row>
    <row r="976">
      <c r="A976" s="1" t="inlineStr">
        <is>
          <t>58980702657389</t>
        </is>
      </c>
      <c r="B976" s="1" t="inlineStr">
        <is>
          <t>BRAZALETE CC COCO CRUSH SILVER</t>
        </is>
      </c>
      <c r="C976" s="1" t="inlineStr">
        <is>
          <t>Default Title</t>
        </is>
      </c>
      <c r="D976" s="1" t="inlineStr">
        <is>
          <t>NANCY</t>
        </is>
      </c>
      <c r="E976" s="4">
        <f>COUNTIF('DETALLE CRONOLÓGICO'!$A$2:$A$4919,$A976)</f>
        <v/>
      </c>
      <c r="F976" s="4">
        <f>SUMIFS('DETALLE CRONOLÓGICO'!$I$2:$I$4919,'DETALLE CRONOLÓGICO'!$A$2:$A$4919,$A976)</f>
        <v/>
      </c>
      <c r="G976" s="1">
        <f>INDEX('DETALLE CRONOLÓGICO'!$D$2:$D$4919,MATCH($A976,'DETALLE CRONOLÓGICO'!$A$2:$A$4919,0))</f>
        <v/>
      </c>
      <c r="H976" s="1">
        <f>INDEX('DETALLE CRONOLÓGICO'!$D$2:$D$4919,MATCH($A976,'DETALLE CRONOLÓGICO'!$A$2:$A$4919,0)+$E976-1)</f>
        <v/>
      </c>
      <c r="I976" s="5">
        <f>IFERROR(SUMIFS('DETALLE CRONOLÓGICO'!$L$2:$L$4919,'DETALLE CRONOLÓGICO'!$A$2:$A$4919,$A976)/$F976,"")</f>
        <v/>
      </c>
      <c r="J976" s="6">
        <f>IFERROR(SUMIFS('DETALLE CRONOLÓGICO'!$K$2:$K$4919,'DETALLE CRONOLÓGICO'!$A$2:$A$4919,$A976)/$E976,"")</f>
        <v/>
      </c>
      <c r="K976" s="6">
        <f>_xlfn.MINIFS('DETALLE CRONOLÓGICO'!$K$2:$K$4919,'DETALLE CRONOLÓGICO'!$A$2:$A$4919,$A976)</f>
        <v/>
      </c>
      <c r="L976" s="6">
        <f>_xlfn.MAXIFS('DETALLE CRONOLÓGICO'!$K$2:$K$4919,'DETALLE CRONOLÓGICO'!$A$2:$A$4919,$A976)</f>
        <v/>
      </c>
      <c r="M976" s="6">
        <f>INDEX('DETALLE CRONOLÓGICO'!$K$2:$K$4919,MATCH($A976,'DETALLE CRONOLÓGICO'!$A$2:$A$4919,0)+$E976-1)</f>
        <v/>
      </c>
      <c r="N976" s="7">
        <f>IFERROR($M976/INDEX('DETALLE CRONOLÓGICO'!$K$2:$K$4919,MATCH($A976,'DETALLE CRONOLÓGICO'!$A$2:$A$4919,0))-1,"")</f>
        <v/>
      </c>
      <c r="O976" s="6">
        <f>IFERROR($I976*3,"")</f>
        <v/>
      </c>
      <c r="P976" s="6">
        <f>IFERROR($I976*3.5,"")</f>
        <v/>
      </c>
      <c r="Q976" s="6">
        <f>IFERROR($I976*4,"")</f>
        <v/>
      </c>
      <c r="R976" s="6" t="n">
        <v>0</v>
      </c>
      <c r="S976" s="4" t="n">
        <v>2</v>
      </c>
      <c r="T976" s="1" t="inlineStr">
        <is>
          <t>draft</t>
        </is>
      </c>
      <c r="U976" s="8" t="n"/>
      <c r="V976" s="1" t="inlineStr">
        <is>
          <t>SIN PRECIO</t>
        </is>
      </c>
    </row>
    <row r="977">
      <c r="A977" s="1" t="inlineStr">
        <is>
          <t>58980702753997</t>
        </is>
      </c>
      <c r="B977" s="1" t="inlineStr">
        <is>
          <t>BRAZALETE CC COCO CRUSH GOLD ZIRCONIAS</t>
        </is>
      </c>
      <c r="C977" s="1" t="inlineStr">
        <is>
          <t>Default Title</t>
        </is>
      </c>
      <c r="D977" s="1" t="inlineStr">
        <is>
          <t>NANCY</t>
        </is>
      </c>
      <c r="E977" s="4">
        <f>COUNTIF('DETALLE CRONOLÓGICO'!$A$2:$A$4919,$A977)</f>
        <v/>
      </c>
      <c r="F977" s="4">
        <f>SUMIFS('DETALLE CRONOLÓGICO'!$I$2:$I$4919,'DETALLE CRONOLÓGICO'!$A$2:$A$4919,$A977)</f>
        <v/>
      </c>
      <c r="G977" s="1">
        <f>INDEX('DETALLE CRONOLÓGICO'!$D$2:$D$4919,MATCH($A977,'DETALLE CRONOLÓGICO'!$A$2:$A$4919,0))</f>
        <v/>
      </c>
      <c r="H977" s="1">
        <f>INDEX('DETALLE CRONOLÓGICO'!$D$2:$D$4919,MATCH($A977,'DETALLE CRONOLÓGICO'!$A$2:$A$4919,0)+$E977-1)</f>
        <v/>
      </c>
      <c r="I977" s="5">
        <f>IFERROR(SUMIFS('DETALLE CRONOLÓGICO'!$L$2:$L$4919,'DETALLE CRONOLÓGICO'!$A$2:$A$4919,$A977)/$F977,"")</f>
        <v/>
      </c>
      <c r="J977" s="6">
        <f>IFERROR(SUMIFS('DETALLE CRONOLÓGICO'!$K$2:$K$4919,'DETALLE CRONOLÓGICO'!$A$2:$A$4919,$A977)/$E977,"")</f>
        <v/>
      </c>
      <c r="K977" s="6">
        <f>_xlfn.MINIFS('DETALLE CRONOLÓGICO'!$K$2:$K$4919,'DETALLE CRONOLÓGICO'!$A$2:$A$4919,$A977)</f>
        <v/>
      </c>
      <c r="L977" s="6">
        <f>_xlfn.MAXIFS('DETALLE CRONOLÓGICO'!$K$2:$K$4919,'DETALLE CRONOLÓGICO'!$A$2:$A$4919,$A977)</f>
        <v/>
      </c>
      <c r="M977" s="6">
        <f>INDEX('DETALLE CRONOLÓGICO'!$K$2:$K$4919,MATCH($A977,'DETALLE CRONOLÓGICO'!$A$2:$A$4919,0)+$E977-1)</f>
        <v/>
      </c>
      <c r="N977" s="7">
        <f>IFERROR($M977/INDEX('DETALLE CRONOLÓGICO'!$K$2:$K$4919,MATCH($A977,'DETALLE CRONOLÓGICO'!$A$2:$A$4919,0))-1,"")</f>
        <v/>
      </c>
      <c r="O977" s="6">
        <f>IFERROR($I977*3,"")</f>
        <v/>
      </c>
      <c r="P977" s="6">
        <f>IFERROR($I977*3.5,"")</f>
        <v/>
      </c>
      <c r="Q977" s="6">
        <f>IFERROR($I977*4,"")</f>
        <v/>
      </c>
      <c r="R977" s="6" t="n">
        <v>0</v>
      </c>
      <c r="S977" s="4" t="n">
        <v>2</v>
      </c>
      <c r="T977" s="1" t="inlineStr">
        <is>
          <t>draft</t>
        </is>
      </c>
      <c r="U977" s="8" t="n"/>
      <c r="V977" s="1" t="inlineStr">
        <is>
          <t>SIN PRECIO</t>
        </is>
      </c>
    </row>
    <row r="978">
      <c r="A978" s="1" t="inlineStr">
        <is>
          <t>58980702817837</t>
        </is>
      </c>
      <c r="B978" s="1" t="inlineStr">
        <is>
          <t>ARETES CC ETOILE FILANTE SILVER</t>
        </is>
      </c>
      <c r="C978" s="1" t="inlineStr">
        <is>
          <t>Default Title</t>
        </is>
      </c>
      <c r="D978" s="1" t="inlineStr">
        <is>
          <t>NANCY</t>
        </is>
      </c>
      <c r="E978" s="4">
        <f>COUNTIF('DETALLE CRONOLÓGICO'!$A$2:$A$4919,$A978)</f>
        <v/>
      </c>
      <c r="F978" s="4">
        <f>SUMIFS('DETALLE CRONOLÓGICO'!$I$2:$I$4919,'DETALLE CRONOLÓGICO'!$A$2:$A$4919,$A978)</f>
        <v/>
      </c>
      <c r="G978" s="1">
        <f>INDEX('DETALLE CRONOLÓGICO'!$D$2:$D$4919,MATCH($A978,'DETALLE CRONOLÓGICO'!$A$2:$A$4919,0))</f>
        <v/>
      </c>
      <c r="H978" s="1">
        <f>INDEX('DETALLE CRONOLÓGICO'!$D$2:$D$4919,MATCH($A978,'DETALLE CRONOLÓGICO'!$A$2:$A$4919,0)+$E978-1)</f>
        <v/>
      </c>
      <c r="I978" s="5">
        <f>IFERROR(SUMIFS('DETALLE CRONOLÓGICO'!$L$2:$L$4919,'DETALLE CRONOLÓGICO'!$A$2:$A$4919,$A978)/$F978,"")</f>
        <v/>
      </c>
      <c r="J978" s="6">
        <f>IFERROR(SUMIFS('DETALLE CRONOLÓGICO'!$K$2:$K$4919,'DETALLE CRONOLÓGICO'!$A$2:$A$4919,$A978)/$E978,"")</f>
        <v/>
      </c>
      <c r="K978" s="6">
        <f>_xlfn.MINIFS('DETALLE CRONOLÓGICO'!$K$2:$K$4919,'DETALLE CRONOLÓGICO'!$A$2:$A$4919,$A978)</f>
        <v/>
      </c>
      <c r="L978" s="6">
        <f>_xlfn.MAXIFS('DETALLE CRONOLÓGICO'!$K$2:$K$4919,'DETALLE CRONOLÓGICO'!$A$2:$A$4919,$A978)</f>
        <v/>
      </c>
      <c r="M978" s="6">
        <f>INDEX('DETALLE CRONOLÓGICO'!$K$2:$K$4919,MATCH($A978,'DETALLE CRONOLÓGICO'!$A$2:$A$4919,0)+$E978-1)</f>
        <v/>
      </c>
      <c r="N978" s="7">
        <f>IFERROR($M978/INDEX('DETALLE CRONOLÓGICO'!$K$2:$K$4919,MATCH($A978,'DETALLE CRONOLÓGICO'!$A$2:$A$4919,0))-1,"")</f>
        <v/>
      </c>
      <c r="O978" s="6">
        <f>IFERROR($I978*3,"")</f>
        <v/>
      </c>
      <c r="P978" s="6">
        <f>IFERROR($I978*3.5,"")</f>
        <v/>
      </c>
      <c r="Q978" s="6">
        <f>IFERROR($I978*4,"")</f>
        <v/>
      </c>
      <c r="R978" s="6" t="n">
        <v>0</v>
      </c>
      <c r="S978" s="4" t="n">
        <v>2</v>
      </c>
      <c r="T978" s="1" t="inlineStr">
        <is>
          <t>draft</t>
        </is>
      </c>
      <c r="U978" s="8" t="n"/>
      <c r="V978" s="1" t="inlineStr">
        <is>
          <t>SIN PRECIO</t>
        </is>
      </c>
    </row>
    <row r="979">
      <c r="A979" s="1" t="inlineStr">
        <is>
          <t>58980702950605</t>
        </is>
      </c>
      <c r="B979" s="1" t="inlineStr">
        <is>
          <t>ARRACADAS CC COCO HOOPS</t>
        </is>
      </c>
      <c r="C979" s="1" t="inlineStr">
        <is>
          <t>Default Title</t>
        </is>
      </c>
      <c r="D979" s="1" t="inlineStr">
        <is>
          <t>NANCY</t>
        </is>
      </c>
      <c r="E979" s="4">
        <f>COUNTIF('DETALLE CRONOLÓGICO'!$A$2:$A$4919,$A979)</f>
        <v/>
      </c>
      <c r="F979" s="4">
        <f>SUMIFS('DETALLE CRONOLÓGICO'!$I$2:$I$4919,'DETALLE CRONOLÓGICO'!$A$2:$A$4919,$A979)</f>
        <v/>
      </c>
      <c r="G979" s="1">
        <f>INDEX('DETALLE CRONOLÓGICO'!$D$2:$D$4919,MATCH($A979,'DETALLE CRONOLÓGICO'!$A$2:$A$4919,0))</f>
        <v/>
      </c>
      <c r="H979" s="1">
        <f>INDEX('DETALLE CRONOLÓGICO'!$D$2:$D$4919,MATCH($A979,'DETALLE CRONOLÓGICO'!$A$2:$A$4919,0)+$E979-1)</f>
        <v/>
      </c>
      <c r="I979" s="5">
        <f>IFERROR(SUMIFS('DETALLE CRONOLÓGICO'!$L$2:$L$4919,'DETALLE CRONOLÓGICO'!$A$2:$A$4919,$A979)/$F979,"")</f>
        <v/>
      </c>
      <c r="J979" s="6">
        <f>IFERROR(SUMIFS('DETALLE CRONOLÓGICO'!$K$2:$K$4919,'DETALLE CRONOLÓGICO'!$A$2:$A$4919,$A979)/$E979,"")</f>
        <v/>
      </c>
      <c r="K979" s="6">
        <f>_xlfn.MINIFS('DETALLE CRONOLÓGICO'!$K$2:$K$4919,'DETALLE CRONOLÓGICO'!$A$2:$A$4919,$A979)</f>
        <v/>
      </c>
      <c r="L979" s="6">
        <f>_xlfn.MAXIFS('DETALLE CRONOLÓGICO'!$K$2:$K$4919,'DETALLE CRONOLÓGICO'!$A$2:$A$4919,$A979)</f>
        <v/>
      </c>
      <c r="M979" s="6">
        <f>INDEX('DETALLE CRONOLÓGICO'!$K$2:$K$4919,MATCH($A979,'DETALLE CRONOLÓGICO'!$A$2:$A$4919,0)+$E979-1)</f>
        <v/>
      </c>
      <c r="N979" s="7">
        <f>IFERROR($M979/INDEX('DETALLE CRONOLÓGICO'!$K$2:$K$4919,MATCH($A979,'DETALLE CRONOLÓGICO'!$A$2:$A$4919,0))-1,"")</f>
        <v/>
      </c>
      <c r="O979" s="6">
        <f>IFERROR($I979*3,"")</f>
        <v/>
      </c>
      <c r="P979" s="6">
        <f>IFERROR($I979*3.5,"")</f>
        <v/>
      </c>
      <c r="Q979" s="6">
        <f>IFERROR($I979*4,"")</f>
        <v/>
      </c>
      <c r="R979" s="6" t="n">
        <v>0</v>
      </c>
      <c r="S979" s="4" t="n">
        <v>2</v>
      </c>
      <c r="T979" s="1" t="inlineStr">
        <is>
          <t>draft</t>
        </is>
      </c>
      <c r="U979" s="8" t="n"/>
      <c r="V979" s="1" t="inlineStr">
        <is>
          <t>SIN PRECIO</t>
        </is>
      </c>
    </row>
    <row r="980">
      <c r="A980" s="1" t="inlineStr">
        <is>
          <t>58980703081677</t>
        </is>
      </c>
      <c r="B980" s="1" t="inlineStr">
        <is>
          <t>ARETES CC BOUTON CAMELIA</t>
        </is>
      </c>
      <c r="C980" s="1" t="inlineStr">
        <is>
          <t>Default Title</t>
        </is>
      </c>
      <c r="D980" s="1" t="inlineStr">
        <is>
          <t>NANCY</t>
        </is>
      </c>
      <c r="E980" s="4">
        <f>COUNTIF('DETALLE CRONOLÓGICO'!$A$2:$A$4919,$A980)</f>
        <v/>
      </c>
      <c r="F980" s="4">
        <f>SUMIFS('DETALLE CRONOLÓGICO'!$I$2:$I$4919,'DETALLE CRONOLÓGICO'!$A$2:$A$4919,$A980)</f>
        <v/>
      </c>
      <c r="G980" s="1">
        <f>INDEX('DETALLE CRONOLÓGICO'!$D$2:$D$4919,MATCH($A980,'DETALLE CRONOLÓGICO'!$A$2:$A$4919,0))</f>
        <v/>
      </c>
      <c r="H980" s="1">
        <f>INDEX('DETALLE CRONOLÓGICO'!$D$2:$D$4919,MATCH($A980,'DETALLE CRONOLÓGICO'!$A$2:$A$4919,0)+$E980-1)</f>
        <v/>
      </c>
      <c r="I980" s="5">
        <f>IFERROR(SUMIFS('DETALLE CRONOLÓGICO'!$L$2:$L$4919,'DETALLE CRONOLÓGICO'!$A$2:$A$4919,$A980)/$F980,"")</f>
        <v/>
      </c>
      <c r="J980" s="6">
        <f>IFERROR(SUMIFS('DETALLE CRONOLÓGICO'!$K$2:$K$4919,'DETALLE CRONOLÓGICO'!$A$2:$A$4919,$A980)/$E980,"")</f>
        <v/>
      </c>
      <c r="K980" s="6">
        <f>_xlfn.MINIFS('DETALLE CRONOLÓGICO'!$K$2:$K$4919,'DETALLE CRONOLÓGICO'!$A$2:$A$4919,$A980)</f>
        <v/>
      </c>
      <c r="L980" s="6">
        <f>_xlfn.MAXIFS('DETALLE CRONOLÓGICO'!$K$2:$K$4919,'DETALLE CRONOLÓGICO'!$A$2:$A$4919,$A980)</f>
        <v/>
      </c>
      <c r="M980" s="6">
        <f>INDEX('DETALLE CRONOLÓGICO'!$K$2:$K$4919,MATCH($A980,'DETALLE CRONOLÓGICO'!$A$2:$A$4919,0)+$E980-1)</f>
        <v/>
      </c>
      <c r="N980" s="7">
        <f>IFERROR($M980/INDEX('DETALLE CRONOLÓGICO'!$K$2:$K$4919,MATCH($A980,'DETALLE CRONOLÓGICO'!$A$2:$A$4919,0))-1,"")</f>
        <v/>
      </c>
      <c r="O980" s="6">
        <f>IFERROR($I980*3,"")</f>
        <v/>
      </c>
      <c r="P980" s="6">
        <f>IFERROR($I980*3.5,"")</f>
        <v/>
      </c>
      <c r="Q980" s="6">
        <f>IFERROR($I980*4,"")</f>
        <v/>
      </c>
      <c r="R980" s="6" t="n">
        <v>0</v>
      </c>
      <c r="S980" s="4" t="n">
        <v>2</v>
      </c>
      <c r="T980" s="1" t="inlineStr">
        <is>
          <t>draft</t>
        </is>
      </c>
      <c r="U980" s="8" t="n"/>
      <c r="V980" s="1" t="inlineStr">
        <is>
          <t>SIN PRECIO</t>
        </is>
      </c>
    </row>
    <row r="981">
      <c r="A981" s="1" t="inlineStr">
        <is>
          <t>58980703240429</t>
        </is>
      </c>
      <c r="B981" s="1" t="inlineStr">
        <is>
          <t>COLLAR CC ETOILE FILANTE</t>
        </is>
      </c>
      <c r="C981" s="1" t="inlineStr">
        <is>
          <t>Default Title</t>
        </is>
      </c>
      <c r="D981" s="1" t="inlineStr">
        <is>
          <t>NANCY</t>
        </is>
      </c>
      <c r="E981" s="4">
        <f>COUNTIF('DETALLE CRONOLÓGICO'!$A$2:$A$4919,$A981)</f>
        <v/>
      </c>
      <c r="F981" s="4">
        <f>SUMIFS('DETALLE CRONOLÓGICO'!$I$2:$I$4919,'DETALLE CRONOLÓGICO'!$A$2:$A$4919,$A981)</f>
        <v/>
      </c>
      <c r="G981" s="1">
        <f>INDEX('DETALLE CRONOLÓGICO'!$D$2:$D$4919,MATCH($A981,'DETALLE CRONOLÓGICO'!$A$2:$A$4919,0))</f>
        <v/>
      </c>
      <c r="H981" s="1">
        <f>INDEX('DETALLE CRONOLÓGICO'!$D$2:$D$4919,MATCH($A981,'DETALLE CRONOLÓGICO'!$A$2:$A$4919,0)+$E981-1)</f>
        <v/>
      </c>
      <c r="I981" s="5">
        <f>IFERROR(SUMIFS('DETALLE CRONOLÓGICO'!$L$2:$L$4919,'DETALLE CRONOLÓGICO'!$A$2:$A$4919,$A981)/$F981,"")</f>
        <v/>
      </c>
      <c r="J981" s="6">
        <f>IFERROR(SUMIFS('DETALLE CRONOLÓGICO'!$K$2:$K$4919,'DETALLE CRONOLÓGICO'!$A$2:$A$4919,$A981)/$E981,"")</f>
        <v/>
      </c>
      <c r="K981" s="6">
        <f>_xlfn.MINIFS('DETALLE CRONOLÓGICO'!$K$2:$K$4919,'DETALLE CRONOLÓGICO'!$A$2:$A$4919,$A981)</f>
        <v/>
      </c>
      <c r="L981" s="6">
        <f>_xlfn.MAXIFS('DETALLE CRONOLÓGICO'!$K$2:$K$4919,'DETALLE CRONOLÓGICO'!$A$2:$A$4919,$A981)</f>
        <v/>
      </c>
      <c r="M981" s="6">
        <f>INDEX('DETALLE CRONOLÓGICO'!$K$2:$K$4919,MATCH($A981,'DETALLE CRONOLÓGICO'!$A$2:$A$4919,0)+$E981-1)</f>
        <v/>
      </c>
      <c r="N981" s="7">
        <f>IFERROR($M981/INDEX('DETALLE CRONOLÓGICO'!$K$2:$K$4919,MATCH($A981,'DETALLE CRONOLÓGICO'!$A$2:$A$4919,0))-1,"")</f>
        <v/>
      </c>
      <c r="O981" s="6">
        <f>IFERROR($I981*3,"")</f>
        <v/>
      </c>
      <c r="P981" s="6">
        <f>IFERROR($I981*3.5,"")</f>
        <v/>
      </c>
      <c r="Q981" s="6">
        <f>IFERROR($I981*4,"")</f>
        <v/>
      </c>
      <c r="R981" s="6" t="n">
        <v>0</v>
      </c>
      <c r="S981" s="4" t="n">
        <v>2</v>
      </c>
      <c r="T981" s="1" t="inlineStr">
        <is>
          <t>draft</t>
        </is>
      </c>
      <c r="U981" s="8" t="n"/>
      <c r="V981" s="1" t="inlineStr">
        <is>
          <t>SIN PRECIO</t>
        </is>
      </c>
    </row>
    <row r="982">
      <c r="A982" s="1" t="inlineStr">
        <is>
          <t>58980703373197</t>
        </is>
      </c>
      <c r="B982" s="1" t="inlineStr">
        <is>
          <t>CARTERA CD ALARGADA GRAVITY</t>
        </is>
      </c>
      <c r="C982" s="1" t="inlineStr">
        <is>
          <t>Default Title</t>
        </is>
      </c>
      <c r="D982" s="1" t="inlineStr">
        <is>
          <t>NANCY</t>
        </is>
      </c>
      <c r="E982" s="4">
        <f>COUNTIF('DETALLE CRONOLÓGICO'!$A$2:$A$4919,$A982)</f>
        <v/>
      </c>
      <c r="F982" s="4">
        <f>SUMIFS('DETALLE CRONOLÓGICO'!$I$2:$I$4919,'DETALLE CRONOLÓGICO'!$A$2:$A$4919,$A982)</f>
        <v/>
      </c>
      <c r="G982" s="1">
        <f>INDEX('DETALLE CRONOLÓGICO'!$D$2:$D$4919,MATCH($A982,'DETALLE CRONOLÓGICO'!$A$2:$A$4919,0))</f>
        <v/>
      </c>
      <c r="H982" s="1">
        <f>INDEX('DETALLE CRONOLÓGICO'!$D$2:$D$4919,MATCH($A982,'DETALLE CRONOLÓGICO'!$A$2:$A$4919,0)+$E982-1)</f>
        <v/>
      </c>
      <c r="I982" s="5">
        <f>IFERROR(SUMIFS('DETALLE CRONOLÓGICO'!$L$2:$L$4919,'DETALLE CRONOLÓGICO'!$A$2:$A$4919,$A982)/$F982,"")</f>
        <v/>
      </c>
      <c r="J982" s="6">
        <f>IFERROR(SUMIFS('DETALLE CRONOLÓGICO'!$K$2:$K$4919,'DETALLE CRONOLÓGICO'!$A$2:$A$4919,$A982)/$E982,"")</f>
        <v/>
      </c>
      <c r="K982" s="6">
        <f>_xlfn.MINIFS('DETALLE CRONOLÓGICO'!$K$2:$K$4919,'DETALLE CRONOLÓGICO'!$A$2:$A$4919,$A982)</f>
        <v/>
      </c>
      <c r="L982" s="6">
        <f>_xlfn.MAXIFS('DETALLE CRONOLÓGICO'!$K$2:$K$4919,'DETALLE CRONOLÓGICO'!$A$2:$A$4919,$A982)</f>
        <v/>
      </c>
      <c r="M982" s="6">
        <f>INDEX('DETALLE CRONOLÓGICO'!$K$2:$K$4919,MATCH($A982,'DETALLE CRONOLÓGICO'!$A$2:$A$4919,0)+$E982-1)</f>
        <v/>
      </c>
      <c r="N982" s="7">
        <f>IFERROR($M982/INDEX('DETALLE CRONOLÓGICO'!$K$2:$K$4919,MATCH($A982,'DETALLE CRONOLÓGICO'!$A$2:$A$4919,0))-1,"")</f>
        <v/>
      </c>
      <c r="O982" s="6">
        <f>IFERROR($I982*3,"")</f>
        <v/>
      </c>
      <c r="P982" s="6">
        <f>IFERROR($I982*3.5,"")</f>
        <v/>
      </c>
      <c r="Q982" s="6">
        <f>IFERROR($I982*4,"")</f>
        <v/>
      </c>
      <c r="R982" s="6" t="n">
        <v>0</v>
      </c>
      <c r="S982" s="4" t="n">
        <v>0</v>
      </c>
      <c r="T982" s="1" t="inlineStr">
        <is>
          <t>draft</t>
        </is>
      </c>
      <c r="U982" s="8" t="n"/>
      <c r="V982" s="1" t="inlineStr">
        <is>
          <t>SIN PRECIO</t>
        </is>
      </c>
    </row>
    <row r="983">
      <c r="A983" s="1" t="inlineStr">
        <is>
          <t>58980703437037</t>
        </is>
      </c>
      <c r="B983" s="1" t="inlineStr">
        <is>
          <t>CARTERA CD LONG BIFOLD</t>
        </is>
      </c>
      <c r="C983" s="1" t="inlineStr">
        <is>
          <t>Default Title</t>
        </is>
      </c>
      <c r="D983" s="1" t="inlineStr">
        <is>
          <t>NANCY</t>
        </is>
      </c>
      <c r="E983" s="4">
        <f>COUNTIF('DETALLE CRONOLÓGICO'!$A$2:$A$4919,$A983)</f>
        <v/>
      </c>
      <c r="F983" s="4">
        <f>SUMIFS('DETALLE CRONOLÓGICO'!$I$2:$I$4919,'DETALLE CRONOLÓGICO'!$A$2:$A$4919,$A983)</f>
        <v/>
      </c>
      <c r="G983" s="1">
        <f>INDEX('DETALLE CRONOLÓGICO'!$D$2:$D$4919,MATCH($A983,'DETALLE CRONOLÓGICO'!$A$2:$A$4919,0))</f>
        <v/>
      </c>
      <c r="H983" s="1">
        <f>INDEX('DETALLE CRONOLÓGICO'!$D$2:$D$4919,MATCH($A983,'DETALLE CRONOLÓGICO'!$A$2:$A$4919,0)+$E983-1)</f>
        <v/>
      </c>
      <c r="I983" s="5">
        <f>IFERROR(SUMIFS('DETALLE CRONOLÓGICO'!$L$2:$L$4919,'DETALLE CRONOLÓGICO'!$A$2:$A$4919,$A983)/$F983,"")</f>
        <v/>
      </c>
      <c r="J983" s="6">
        <f>IFERROR(SUMIFS('DETALLE CRONOLÓGICO'!$K$2:$K$4919,'DETALLE CRONOLÓGICO'!$A$2:$A$4919,$A983)/$E983,"")</f>
        <v/>
      </c>
      <c r="K983" s="6">
        <f>_xlfn.MINIFS('DETALLE CRONOLÓGICO'!$K$2:$K$4919,'DETALLE CRONOLÓGICO'!$A$2:$A$4919,$A983)</f>
        <v/>
      </c>
      <c r="L983" s="6">
        <f>_xlfn.MAXIFS('DETALLE CRONOLÓGICO'!$K$2:$K$4919,'DETALLE CRONOLÓGICO'!$A$2:$A$4919,$A983)</f>
        <v/>
      </c>
      <c r="M983" s="6">
        <f>INDEX('DETALLE CRONOLÓGICO'!$K$2:$K$4919,MATCH($A983,'DETALLE CRONOLÓGICO'!$A$2:$A$4919,0)+$E983-1)</f>
        <v/>
      </c>
      <c r="N983" s="7">
        <f>IFERROR($M983/INDEX('DETALLE CRONOLÓGICO'!$K$2:$K$4919,MATCH($A983,'DETALLE CRONOLÓGICO'!$A$2:$A$4919,0))-1,"")</f>
        <v/>
      </c>
      <c r="O983" s="6">
        <f>IFERROR($I983*3,"")</f>
        <v/>
      </c>
      <c r="P983" s="6">
        <f>IFERROR($I983*3.5,"")</f>
        <v/>
      </c>
      <c r="Q983" s="6">
        <f>IFERROR($I983*4,"")</f>
        <v/>
      </c>
      <c r="R983" s="6" t="n">
        <v>2085</v>
      </c>
      <c r="S983" s="4" t="n">
        <v>1</v>
      </c>
      <c r="T983" s="1" t="inlineStr">
        <is>
          <t>active</t>
        </is>
      </c>
      <c r="U983" s="8" t="n"/>
      <c r="V983" s="1" t="inlineStr">
        <is>
          <t>SIN PRECIO</t>
        </is>
      </c>
    </row>
    <row r="984">
      <c r="A984" s="1" t="inlineStr">
        <is>
          <t>58980703502573</t>
        </is>
      </c>
      <c r="B984" s="1" t="inlineStr">
        <is>
          <t>CARTERA CD GRAVITY</t>
        </is>
      </c>
      <c r="C984" s="1" t="inlineStr">
        <is>
          <t>Default Title</t>
        </is>
      </c>
      <c r="D984" s="1" t="inlineStr">
        <is>
          <t>NANCY</t>
        </is>
      </c>
      <c r="E984" s="4">
        <f>COUNTIF('DETALLE CRONOLÓGICO'!$A$2:$A$4919,$A984)</f>
        <v/>
      </c>
      <c r="F984" s="4">
        <f>SUMIFS('DETALLE CRONOLÓGICO'!$I$2:$I$4919,'DETALLE CRONOLÓGICO'!$A$2:$A$4919,$A984)</f>
        <v/>
      </c>
      <c r="G984" s="1">
        <f>INDEX('DETALLE CRONOLÓGICO'!$D$2:$D$4919,MATCH($A984,'DETALLE CRONOLÓGICO'!$A$2:$A$4919,0))</f>
        <v/>
      </c>
      <c r="H984" s="1">
        <f>INDEX('DETALLE CRONOLÓGICO'!$D$2:$D$4919,MATCH($A984,'DETALLE CRONOLÓGICO'!$A$2:$A$4919,0)+$E984-1)</f>
        <v/>
      </c>
      <c r="I984" s="5">
        <f>IFERROR(SUMIFS('DETALLE CRONOLÓGICO'!$L$2:$L$4919,'DETALLE CRONOLÓGICO'!$A$2:$A$4919,$A984)/$F984,"")</f>
        <v/>
      </c>
      <c r="J984" s="6">
        <f>IFERROR(SUMIFS('DETALLE CRONOLÓGICO'!$K$2:$K$4919,'DETALLE CRONOLÓGICO'!$A$2:$A$4919,$A984)/$E984,"")</f>
        <v/>
      </c>
      <c r="K984" s="6">
        <f>_xlfn.MINIFS('DETALLE CRONOLÓGICO'!$K$2:$K$4919,'DETALLE CRONOLÓGICO'!$A$2:$A$4919,$A984)</f>
        <v/>
      </c>
      <c r="L984" s="6">
        <f>_xlfn.MAXIFS('DETALLE CRONOLÓGICO'!$K$2:$K$4919,'DETALLE CRONOLÓGICO'!$A$2:$A$4919,$A984)</f>
        <v/>
      </c>
      <c r="M984" s="6">
        <f>INDEX('DETALLE CRONOLÓGICO'!$K$2:$K$4919,MATCH($A984,'DETALLE CRONOLÓGICO'!$A$2:$A$4919,0)+$E984-1)</f>
        <v/>
      </c>
      <c r="N984" s="7">
        <f>IFERROR($M984/INDEX('DETALLE CRONOLÓGICO'!$K$2:$K$4919,MATCH($A984,'DETALLE CRONOLÓGICO'!$A$2:$A$4919,0))-1,"")</f>
        <v/>
      </c>
      <c r="O984" s="6">
        <f>IFERROR($I984*3,"")</f>
        <v/>
      </c>
      <c r="P984" s="6">
        <f>IFERROR($I984*3.5,"")</f>
        <v/>
      </c>
      <c r="Q984" s="6">
        <f>IFERROR($I984*4,"")</f>
        <v/>
      </c>
      <c r="R984" s="6" t="n">
        <v>0</v>
      </c>
      <c r="S984" s="4" t="n">
        <v>0</v>
      </c>
      <c r="T984" s="1" t="inlineStr">
        <is>
          <t>draft</t>
        </is>
      </c>
      <c r="U984" s="8" t="n"/>
      <c r="V984" s="1" t="inlineStr">
        <is>
          <t>SIN PRECIO</t>
        </is>
      </c>
    </row>
    <row r="985">
      <c r="A985" s="1" t="inlineStr">
        <is>
          <t>58980703623469</t>
        </is>
      </c>
      <c r="B985" s="1" t="inlineStr">
        <is>
          <t>CARTERA CD SADDLE BLACK</t>
        </is>
      </c>
      <c r="C985" s="1" t="inlineStr">
        <is>
          <t>Default Title</t>
        </is>
      </c>
      <c r="D985" s="1" t="inlineStr">
        <is>
          <t>NANCY</t>
        </is>
      </c>
      <c r="E985" s="4">
        <f>COUNTIF('DETALLE CRONOLÓGICO'!$A$2:$A$4919,$A985)</f>
        <v/>
      </c>
      <c r="F985" s="4">
        <f>SUMIFS('DETALLE CRONOLÓGICO'!$I$2:$I$4919,'DETALLE CRONOLÓGICO'!$A$2:$A$4919,$A985)</f>
        <v/>
      </c>
      <c r="G985" s="1">
        <f>INDEX('DETALLE CRONOLÓGICO'!$D$2:$D$4919,MATCH($A985,'DETALLE CRONOLÓGICO'!$A$2:$A$4919,0))</f>
        <v/>
      </c>
      <c r="H985" s="1">
        <f>INDEX('DETALLE CRONOLÓGICO'!$D$2:$D$4919,MATCH($A985,'DETALLE CRONOLÓGICO'!$A$2:$A$4919,0)+$E985-1)</f>
        <v/>
      </c>
      <c r="I985" s="5">
        <f>IFERROR(SUMIFS('DETALLE CRONOLÓGICO'!$L$2:$L$4919,'DETALLE CRONOLÓGICO'!$A$2:$A$4919,$A985)/$F985,"")</f>
        <v/>
      </c>
      <c r="J985" s="6">
        <f>IFERROR(SUMIFS('DETALLE CRONOLÓGICO'!$K$2:$K$4919,'DETALLE CRONOLÓGICO'!$A$2:$A$4919,$A985)/$E985,"")</f>
        <v/>
      </c>
      <c r="K985" s="6">
        <f>_xlfn.MINIFS('DETALLE CRONOLÓGICO'!$K$2:$K$4919,'DETALLE CRONOLÓGICO'!$A$2:$A$4919,$A985)</f>
        <v/>
      </c>
      <c r="L985" s="6">
        <f>_xlfn.MAXIFS('DETALLE CRONOLÓGICO'!$K$2:$K$4919,'DETALLE CRONOLÓGICO'!$A$2:$A$4919,$A985)</f>
        <v/>
      </c>
      <c r="M985" s="6">
        <f>INDEX('DETALLE CRONOLÓGICO'!$K$2:$K$4919,MATCH($A985,'DETALLE CRONOLÓGICO'!$A$2:$A$4919,0)+$E985-1)</f>
        <v/>
      </c>
      <c r="N985" s="7">
        <f>IFERROR($M985/INDEX('DETALLE CRONOLÓGICO'!$K$2:$K$4919,MATCH($A985,'DETALLE CRONOLÓGICO'!$A$2:$A$4919,0))-1,"")</f>
        <v/>
      </c>
      <c r="O985" s="6">
        <f>IFERROR($I985*3,"")</f>
        <v/>
      </c>
      <c r="P985" s="6">
        <f>IFERROR($I985*3.5,"")</f>
        <v/>
      </c>
      <c r="Q985" s="6">
        <f>IFERROR($I985*4,"")</f>
        <v/>
      </c>
      <c r="R985" s="6" t="n">
        <v>1899</v>
      </c>
      <c r="S985" s="4" t="n">
        <v>1</v>
      </c>
      <c r="T985" s="1" t="inlineStr">
        <is>
          <t>active</t>
        </is>
      </c>
      <c r="U985" s="8" t="n"/>
      <c r="V985" s="1" t="inlineStr">
        <is>
          <t>SIN PRECIO</t>
        </is>
      </c>
    </row>
    <row r="986">
      <c r="A986" s="1" t="inlineStr">
        <is>
          <t>58980703754541</t>
        </is>
      </c>
      <c r="B986" s="1" t="inlineStr">
        <is>
          <t>CARTERA CD SADDLE</t>
        </is>
      </c>
      <c r="C986" s="1" t="inlineStr">
        <is>
          <t>Default Title</t>
        </is>
      </c>
      <c r="D986" s="1" t="inlineStr">
        <is>
          <t>NANCY</t>
        </is>
      </c>
      <c r="E986" s="4">
        <f>COUNTIF('DETALLE CRONOLÓGICO'!$A$2:$A$4919,$A986)</f>
        <v/>
      </c>
      <c r="F986" s="4">
        <f>SUMIFS('DETALLE CRONOLÓGICO'!$I$2:$I$4919,'DETALLE CRONOLÓGICO'!$A$2:$A$4919,$A986)</f>
        <v/>
      </c>
      <c r="G986" s="1">
        <f>INDEX('DETALLE CRONOLÓGICO'!$D$2:$D$4919,MATCH($A986,'DETALLE CRONOLÓGICO'!$A$2:$A$4919,0))</f>
        <v/>
      </c>
      <c r="H986" s="1">
        <f>INDEX('DETALLE CRONOLÓGICO'!$D$2:$D$4919,MATCH($A986,'DETALLE CRONOLÓGICO'!$A$2:$A$4919,0)+$E986-1)</f>
        <v/>
      </c>
      <c r="I986" s="5">
        <f>IFERROR(SUMIFS('DETALLE CRONOLÓGICO'!$L$2:$L$4919,'DETALLE CRONOLÓGICO'!$A$2:$A$4919,$A986)/$F986,"")</f>
        <v/>
      </c>
      <c r="J986" s="6">
        <f>IFERROR(SUMIFS('DETALLE CRONOLÓGICO'!$K$2:$K$4919,'DETALLE CRONOLÓGICO'!$A$2:$A$4919,$A986)/$E986,"")</f>
        <v/>
      </c>
      <c r="K986" s="6">
        <f>_xlfn.MINIFS('DETALLE CRONOLÓGICO'!$K$2:$K$4919,'DETALLE CRONOLÓGICO'!$A$2:$A$4919,$A986)</f>
        <v/>
      </c>
      <c r="L986" s="6">
        <f>_xlfn.MAXIFS('DETALLE CRONOLÓGICO'!$K$2:$K$4919,'DETALLE CRONOLÓGICO'!$A$2:$A$4919,$A986)</f>
        <v/>
      </c>
      <c r="M986" s="6">
        <f>INDEX('DETALLE CRONOLÓGICO'!$K$2:$K$4919,MATCH($A986,'DETALLE CRONOLÓGICO'!$A$2:$A$4919,0)+$E986-1)</f>
        <v/>
      </c>
      <c r="N986" s="7">
        <f>IFERROR($M986/INDEX('DETALLE CRONOLÓGICO'!$K$2:$K$4919,MATCH($A986,'DETALLE CRONOLÓGICO'!$A$2:$A$4919,0))-1,"")</f>
        <v/>
      </c>
      <c r="O986" s="6">
        <f>IFERROR($I986*3,"")</f>
        <v/>
      </c>
      <c r="P986" s="6">
        <f>IFERROR($I986*3.5,"")</f>
        <v/>
      </c>
      <c r="Q986" s="6">
        <f>IFERROR($I986*4,"")</f>
        <v/>
      </c>
      <c r="R986" s="6" t="n">
        <v>1899</v>
      </c>
      <c r="S986" s="4" t="n">
        <v>2</v>
      </c>
      <c r="T986" s="1" t="inlineStr">
        <is>
          <t>active</t>
        </is>
      </c>
      <c r="U986" s="8" t="n"/>
      <c r="V986" s="1" t="inlineStr">
        <is>
          <t>SIN PRECIO</t>
        </is>
      </c>
    </row>
    <row r="987">
      <c r="A987" s="1" t="inlineStr">
        <is>
          <t>59002381085069</t>
        </is>
      </c>
      <c r="B987" s="1" t="inlineStr">
        <is>
          <t>ANILLO T ZIRCONIAS GOLD</t>
        </is>
      </c>
      <c r="C987" s="1" t="inlineStr">
        <is>
          <t>AJUSTABLE</t>
        </is>
      </c>
      <c r="D987" s="1" t="inlineStr">
        <is>
          <t>HAIFENG</t>
        </is>
      </c>
      <c r="E987" s="4">
        <f>COUNTIF('DETALLE CRONOLÓGICO'!$A$2:$A$4919,$A987)</f>
        <v/>
      </c>
      <c r="F987" s="4">
        <f>SUMIFS('DETALLE CRONOLÓGICO'!$I$2:$I$4919,'DETALLE CRONOLÓGICO'!$A$2:$A$4919,$A987)</f>
        <v/>
      </c>
      <c r="G987" s="1">
        <f>INDEX('DETALLE CRONOLÓGICO'!$D$2:$D$4919,MATCH($A987,'DETALLE CRONOLÓGICO'!$A$2:$A$4919,0))</f>
        <v/>
      </c>
      <c r="H987" s="1">
        <f>INDEX('DETALLE CRONOLÓGICO'!$D$2:$D$4919,MATCH($A987,'DETALLE CRONOLÓGICO'!$A$2:$A$4919,0)+$E987-1)</f>
        <v/>
      </c>
      <c r="I987" s="5">
        <f>IFERROR(SUMIFS('DETALLE CRONOLÓGICO'!$L$2:$L$4919,'DETALLE CRONOLÓGICO'!$A$2:$A$4919,$A987)/$F987,"")</f>
        <v/>
      </c>
      <c r="J987" s="6">
        <f>IFERROR(SUMIFS('DETALLE CRONOLÓGICO'!$K$2:$K$4919,'DETALLE CRONOLÓGICO'!$A$2:$A$4919,$A987)/$E987,"")</f>
        <v/>
      </c>
      <c r="K987" s="6">
        <f>_xlfn.MINIFS('DETALLE CRONOLÓGICO'!$K$2:$K$4919,'DETALLE CRONOLÓGICO'!$A$2:$A$4919,$A987)</f>
        <v/>
      </c>
      <c r="L987" s="6">
        <f>_xlfn.MAXIFS('DETALLE CRONOLÓGICO'!$K$2:$K$4919,'DETALLE CRONOLÓGICO'!$A$2:$A$4919,$A987)</f>
        <v/>
      </c>
      <c r="M987" s="6">
        <f>INDEX('DETALLE CRONOLÓGICO'!$K$2:$K$4919,MATCH($A987,'DETALLE CRONOLÓGICO'!$A$2:$A$4919,0)+$E987-1)</f>
        <v/>
      </c>
      <c r="N987" s="7">
        <f>IFERROR($M987/INDEX('DETALLE CRONOLÓGICO'!$K$2:$K$4919,MATCH($A987,'DETALLE CRONOLÓGICO'!$A$2:$A$4919,0))-1,"")</f>
        <v/>
      </c>
      <c r="O987" s="6">
        <f>IFERROR($I987*3,"")</f>
        <v/>
      </c>
      <c r="P987" s="6">
        <f>IFERROR($I987*3.5,"")</f>
        <v/>
      </c>
      <c r="Q987" s="6">
        <f>IFERROR($I987*4,"")</f>
        <v/>
      </c>
      <c r="R987" s="6" t="n">
        <v>499</v>
      </c>
      <c r="S987" s="4" t="n">
        <v>3</v>
      </c>
      <c r="T987" s="1" t="inlineStr">
        <is>
          <t>active</t>
        </is>
      </c>
      <c r="U987" s="8" t="n"/>
      <c r="V987" s="1" t="inlineStr">
        <is>
          <t>SIN PRECIO</t>
        </is>
      </c>
    </row>
    <row r="988">
      <c r="A988" s="1" t="inlineStr">
        <is>
          <t>59109721071085</t>
        </is>
      </c>
      <c r="B988" s="1" t="inlineStr">
        <is>
          <t>GORRA CD BEIS BLACK</t>
        </is>
      </c>
      <c r="C988" s="1" t="inlineStr">
        <is>
          <t>Default Title</t>
        </is>
      </c>
      <c r="D988" s="1" t="inlineStr">
        <is>
          <t>HAIFENG</t>
        </is>
      </c>
      <c r="E988" s="4">
        <f>COUNTIF('DETALLE CRONOLÓGICO'!$A$2:$A$4919,$A988)</f>
        <v/>
      </c>
      <c r="F988" s="4">
        <f>SUMIFS('DETALLE CRONOLÓGICO'!$I$2:$I$4919,'DETALLE CRONOLÓGICO'!$A$2:$A$4919,$A988)</f>
        <v/>
      </c>
      <c r="G988" s="1">
        <f>INDEX('DETALLE CRONOLÓGICO'!$D$2:$D$4919,MATCH($A988,'DETALLE CRONOLÓGICO'!$A$2:$A$4919,0))</f>
        <v/>
      </c>
      <c r="H988" s="1">
        <f>INDEX('DETALLE CRONOLÓGICO'!$D$2:$D$4919,MATCH($A988,'DETALLE CRONOLÓGICO'!$A$2:$A$4919,0)+$E988-1)</f>
        <v/>
      </c>
      <c r="I988" s="5">
        <f>IFERROR(SUMIFS('DETALLE CRONOLÓGICO'!$L$2:$L$4919,'DETALLE CRONOLÓGICO'!$A$2:$A$4919,$A988)/$F988,"")</f>
        <v/>
      </c>
      <c r="J988" s="6">
        <f>IFERROR(SUMIFS('DETALLE CRONOLÓGICO'!$K$2:$K$4919,'DETALLE CRONOLÓGICO'!$A$2:$A$4919,$A988)/$E988,"")</f>
        <v/>
      </c>
      <c r="K988" s="6">
        <f>_xlfn.MINIFS('DETALLE CRONOLÓGICO'!$K$2:$K$4919,'DETALLE CRONOLÓGICO'!$A$2:$A$4919,$A988)</f>
        <v/>
      </c>
      <c r="L988" s="6">
        <f>_xlfn.MAXIFS('DETALLE CRONOLÓGICO'!$K$2:$K$4919,'DETALLE CRONOLÓGICO'!$A$2:$A$4919,$A988)</f>
        <v/>
      </c>
      <c r="M988" s="6">
        <f>INDEX('DETALLE CRONOLÓGICO'!$K$2:$K$4919,MATCH($A988,'DETALLE CRONOLÓGICO'!$A$2:$A$4919,0)+$E988-1)</f>
        <v/>
      </c>
      <c r="N988" s="7">
        <f>IFERROR($M988/INDEX('DETALLE CRONOLÓGICO'!$K$2:$K$4919,MATCH($A988,'DETALLE CRONOLÓGICO'!$A$2:$A$4919,0))-1,"")</f>
        <v/>
      </c>
      <c r="O988" s="6">
        <f>IFERROR($I988*3,"")</f>
        <v/>
      </c>
      <c r="P988" s="6">
        <f>IFERROR($I988*3.5,"")</f>
        <v/>
      </c>
      <c r="Q988" s="6">
        <f>IFERROR($I988*4,"")</f>
        <v/>
      </c>
      <c r="R988" s="6" t="n">
        <v>2350</v>
      </c>
      <c r="S988" s="4" t="n">
        <v>2</v>
      </c>
      <c r="T988" s="1" t="inlineStr">
        <is>
          <t>active</t>
        </is>
      </c>
      <c r="U988" s="8" t="n"/>
      <c r="V988" s="1" t="inlineStr">
        <is>
          <t>SIN PRECIO</t>
        </is>
      </c>
    </row>
    <row r="989">
      <c r="A989" s="1" t="inlineStr">
        <is>
          <t>59109721136621</t>
        </is>
      </c>
      <c r="B989" s="1" t="inlineStr">
        <is>
          <t>VISERA CD V1U</t>
        </is>
      </c>
      <c r="C989" s="1" t="inlineStr">
        <is>
          <t>Default Title</t>
        </is>
      </c>
      <c r="D989" s="1" t="inlineStr">
        <is>
          <t>HAIFENG</t>
        </is>
      </c>
      <c r="E989" s="4">
        <f>COUNTIF('DETALLE CRONOLÓGICO'!$A$2:$A$4919,$A989)</f>
        <v/>
      </c>
      <c r="F989" s="4">
        <f>SUMIFS('DETALLE CRONOLÓGICO'!$I$2:$I$4919,'DETALLE CRONOLÓGICO'!$A$2:$A$4919,$A989)</f>
        <v/>
      </c>
      <c r="G989" s="1">
        <f>INDEX('DETALLE CRONOLÓGICO'!$D$2:$D$4919,MATCH($A989,'DETALLE CRONOLÓGICO'!$A$2:$A$4919,0))</f>
        <v/>
      </c>
      <c r="H989" s="1">
        <f>INDEX('DETALLE CRONOLÓGICO'!$D$2:$D$4919,MATCH($A989,'DETALLE CRONOLÓGICO'!$A$2:$A$4919,0)+$E989-1)</f>
        <v/>
      </c>
      <c r="I989" s="5">
        <f>IFERROR(SUMIFS('DETALLE CRONOLÓGICO'!$L$2:$L$4919,'DETALLE CRONOLÓGICO'!$A$2:$A$4919,$A989)/$F989,"")</f>
        <v/>
      </c>
      <c r="J989" s="6">
        <f>IFERROR(SUMIFS('DETALLE CRONOLÓGICO'!$K$2:$K$4919,'DETALLE CRONOLÓGICO'!$A$2:$A$4919,$A989)/$E989,"")</f>
        <v/>
      </c>
      <c r="K989" s="6">
        <f>_xlfn.MINIFS('DETALLE CRONOLÓGICO'!$K$2:$K$4919,'DETALLE CRONOLÓGICO'!$A$2:$A$4919,$A989)</f>
        <v/>
      </c>
      <c r="L989" s="6">
        <f>_xlfn.MAXIFS('DETALLE CRONOLÓGICO'!$K$2:$K$4919,'DETALLE CRONOLÓGICO'!$A$2:$A$4919,$A989)</f>
        <v/>
      </c>
      <c r="M989" s="6">
        <f>INDEX('DETALLE CRONOLÓGICO'!$K$2:$K$4919,MATCH($A989,'DETALLE CRONOLÓGICO'!$A$2:$A$4919,0)+$E989-1)</f>
        <v/>
      </c>
      <c r="N989" s="7">
        <f>IFERROR($M989/INDEX('DETALLE CRONOLÓGICO'!$K$2:$K$4919,MATCH($A989,'DETALLE CRONOLÓGICO'!$A$2:$A$4919,0))-1,"")</f>
        <v/>
      </c>
      <c r="O989" s="6">
        <f>IFERROR($I989*3,"")</f>
        <v/>
      </c>
      <c r="P989" s="6">
        <f>IFERROR($I989*3.5,"")</f>
        <v/>
      </c>
      <c r="Q989" s="6">
        <f>IFERROR($I989*4,"")</f>
        <v/>
      </c>
      <c r="R989" s="6" t="n">
        <v>2499</v>
      </c>
      <c r="S989" s="4" t="n">
        <v>0</v>
      </c>
      <c r="T989" s="1" t="inlineStr">
        <is>
          <t>active</t>
        </is>
      </c>
      <c r="U989" s="8" t="n"/>
      <c r="V989" s="1" t="inlineStr">
        <is>
          <t>SIN PRECIO</t>
        </is>
      </c>
    </row>
    <row r="990">
      <c r="A990" s="1" t="inlineStr">
        <is>
          <t>59109721202157</t>
        </is>
      </c>
      <c r="B990" s="1" t="inlineStr">
        <is>
          <t>GARGANTILLA F O'LOCK GOLD</t>
        </is>
      </c>
      <c r="C990" s="1" t="inlineStr">
        <is>
          <t>Default Title</t>
        </is>
      </c>
      <c r="D990" s="1" t="inlineStr">
        <is>
          <t>HAIFENG</t>
        </is>
      </c>
      <c r="E990" s="4">
        <f>COUNTIF('DETALLE CRONOLÓGICO'!$A$2:$A$4919,$A990)</f>
        <v/>
      </c>
      <c r="F990" s="4">
        <f>SUMIFS('DETALLE CRONOLÓGICO'!$I$2:$I$4919,'DETALLE CRONOLÓGICO'!$A$2:$A$4919,$A990)</f>
        <v/>
      </c>
      <c r="G990" s="1">
        <f>INDEX('DETALLE CRONOLÓGICO'!$D$2:$D$4919,MATCH($A990,'DETALLE CRONOLÓGICO'!$A$2:$A$4919,0))</f>
        <v/>
      </c>
      <c r="H990" s="1">
        <f>INDEX('DETALLE CRONOLÓGICO'!$D$2:$D$4919,MATCH($A990,'DETALLE CRONOLÓGICO'!$A$2:$A$4919,0)+$E990-1)</f>
        <v/>
      </c>
      <c r="I990" s="5">
        <f>IFERROR(SUMIFS('DETALLE CRONOLÓGICO'!$L$2:$L$4919,'DETALLE CRONOLÓGICO'!$A$2:$A$4919,$A990)/$F990,"")</f>
        <v/>
      </c>
      <c r="J990" s="6">
        <f>IFERROR(SUMIFS('DETALLE CRONOLÓGICO'!$K$2:$K$4919,'DETALLE CRONOLÓGICO'!$A$2:$A$4919,$A990)/$E990,"")</f>
        <v/>
      </c>
      <c r="K990" s="6">
        <f>_xlfn.MINIFS('DETALLE CRONOLÓGICO'!$K$2:$K$4919,'DETALLE CRONOLÓGICO'!$A$2:$A$4919,$A990)</f>
        <v/>
      </c>
      <c r="L990" s="6">
        <f>_xlfn.MAXIFS('DETALLE CRONOLÓGICO'!$K$2:$K$4919,'DETALLE CRONOLÓGICO'!$A$2:$A$4919,$A990)</f>
        <v/>
      </c>
      <c r="M990" s="6">
        <f>INDEX('DETALLE CRONOLÓGICO'!$K$2:$K$4919,MATCH($A990,'DETALLE CRONOLÓGICO'!$A$2:$A$4919,0)+$E990-1)</f>
        <v/>
      </c>
      <c r="N990" s="7">
        <f>IFERROR($M990/INDEX('DETALLE CRONOLÓGICO'!$K$2:$K$4919,MATCH($A990,'DETALLE CRONOLÓGICO'!$A$2:$A$4919,0))-1,"")</f>
        <v/>
      </c>
      <c r="O990" s="6">
        <f>IFERROR($I990*3,"")</f>
        <v/>
      </c>
      <c r="P990" s="6">
        <f>IFERROR($I990*3.5,"")</f>
        <v/>
      </c>
      <c r="Q990" s="6">
        <f>IFERROR($I990*4,"")</f>
        <v/>
      </c>
      <c r="R990" s="6" t="n">
        <v>1199</v>
      </c>
      <c r="S990" s="4" t="n">
        <v>2</v>
      </c>
      <c r="T990" s="1" t="inlineStr">
        <is>
          <t>draft</t>
        </is>
      </c>
      <c r="U990" s="8" t="n"/>
      <c r="V990" s="1" t="inlineStr">
        <is>
          <t>SIN PRECIO</t>
        </is>
      </c>
    </row>
    <row r="991">
      <c r="A991" s="1" t="inlineStr">
        <is>
          <t>59109721331533</t>
        </is>
      </c>
      <c r="B991" s="1" t="inlineStr">
        <is>
          <t>COLLAR F O'LOCK TRIPLE GOLD</t>
        </is>
      </c>
      <c r="C991" s="1" t="inlineStr">
        <is>
          <t>Default Title</t>
        </is>
      </c>
      <c r="D991" s="1" t="inlineStr">
        <is>
          <t>HAIFENG</t>
        </is>
      </c>
      <c r="E991" s="4">
        <f>COUNTIF('DETALLE CRONOLÓGICO'!$A$2:$A$4919,$A991)</f>
        <v/>
      </c>
      <c r="F991" s="4">
        <f>SUMIFS('DETALLE CRONOLÓGICO'!$I$2:$I$4919,'DETALLE CRONOLÓGICO'!$A$2:$A$4919,$A991)</f>
        <v/>
      </c>
      <c r="G991" s="1">
        <f>INDEX('DETALLE CRONOLÓGICO'!$D$2:$D$4919,MATCH($A991,'DETALLE CRONOLÓGICO'!$A$2:$A$4919,0))</f>
        <v/>
      </c>
      <c r="H991" s="1">
        <f>INDEX('DETALLE CRONOLÓGICO'!$D$2:$D$4919,MATCH($A991,'DETALLE CRONOLÓGICO'!$A$2:$A$4919,0)+$E991-1)</f>
        <v/>
      </c>
      <c r="I991" s="5">
        <f>IFERROR(SUMIFS('DETALLE CRONOLÓGICO'!$L$2:$L$4919,'DETALLE CRONOLÓGICO'!$A$2:$A$4919,$A991)/$F991,"")</f>
        <v/>
      </c>
      <c r="J991" s="6">
        <f>IFERROR(SUMIFS('DETALLE CRONOLÓGICO'!$K$2:$K$4919,'DETALLE CRONOLÓGICO'!$A$2:$A$4919,$A991)/$E991,"")</f>
        <v/>
      </c>
      <c r="K991" s="6">
        <f>_xlfn.MINIFS('DETALLE CRONOLÓGICO'!$K$2:$K$4919,'DETALLE CRONOLÓGICO'!$A$2:$A$4919,$A991)</f>
        <v/>
      </c>
      <c r="L991" s="6">
        <f>_xlfn.MAXIFS('DETALLE CRONOLÓGICO'!$K$2:$K$4919,'DETALLE CRONOLÓGICO'!$A$2:$A$4919,$A991)</f>
        <v/>
      </c>
      <c r="M991" s="6">
        <f>INDEX('DETALLE CRONOLÓGICO'!$K$2:$K$4919,MATCH($A991,'DETALLE CRONOLÓGICO'!$A$2:$A$4919,0)+$E991-1)</f>
        <v/>
      </c>
      <c r="N991" s="7">
        <f>IFERROR($M991/INDEX('DETALLE CRONOLÓGICO'!$K$2:$K$4919,MATCH($A991,'DETALLE CRONOLÓGICO'!$A$2:$A$4919,0))-1,"")</f>
        <v/>
      </c>
      <c r="O991" s="6">
        <f>IFERROR($I991*3,"")</f>
        <v/>
      </c>
      <c r="P991" s="6">
        <f>IFERROR($I991*3.5,"")</f>
        <v/>
      </c>
      <c r="Q991" s="6">
        <f>IFERROR($I991*4,"")</f>
        <v/>
      </c>
      <c r="R991" s="6" t="n">
        <v>750</v>
      </c>
      <c r="S991" s="4" t="n">
        <v>2</v>
      </c>
      <c r="T991" s="1" t="inlineStr">
        <is>
          <t>draft</t>
        </is>
      </c>
      <c r="U991" s="8" t="n"/>
      <c r="V991" s="1" t="inlineStr">
        <is>
          <t>SIN PRECIO</t>
        </is>
      </c>
    </row>
    <row r="992">
      <c r="A992" s="1" t="inlineStr">
        <is>
          <t>59109721417965</t>
        </is>
      </c>
      <c r="B992" s="1" t="inlineStr">
        <is>
          <t>COLLAR F TRIPLE GOLD</t>
        </is>
      </c>
      <c r="C992" s="1" t="inlineStr">
        <is>
          <t>Default Title</t>
        </is>
      </c>
      <c r="D992" s="1" t="inlineStr">
        <is>
          <t>HAIFENG</t>
        </is>
      </c>
      <c r="E992" s="4">
        <f>COUNTIF('DETALLE CRONOLÓGICO'!$A$2:$A$4919,$A992)</f>
        <v/>
      </c>
      <c r="F992" s="4">
        <f>SUMIFS('DETALLE CRONOLÓGICO'!$I$2:$I$4919,'DETALLE CRONOLÓGICO'!$A$2:$A$4919,$A992)</f>
        <v/>
      </c>
      <c r="G992" s="1">
        <f>INDEX('DETALLE CRONOLÓGICO'!$D$2:$D$4919,MATCH($A992,'DETALLE CRONOLÓGICO'!$A$2:$A$4919,0))</f>
        <v/>
      </c>
      <c r="H992" s="1">
        <f>INDEX('DETALLE CRONOLÓGICO'!$D$2:$D$4919,MATCH($A992,'DETALLE CRONOLÓGICO'!$A$2:$A$4919,0)+$E992-1)</f>
        <v/>
      </c>
      <c r="I992" s="5">
        <f>IFERROR(SUMIFS('DETALLE CRONOLÓGICO'!$L$2:$L$4919,'DETALLE CRONOLÓGICO'!$A$2:$A$4919,$A992)/$F992,"")</f>
        <v/>
      </c>
      <c r="J992" s="6">
        <f>IFERROR(SUMIFS('DETALLE CRONOLÓGICO'!$K$2:$K$4919,'DETALLE CRONOLÓGICO'!$A$2:$A$4919,$A992)/$E992,"")</f>
        <v/>
      </c>
      <c r="K992" s="6">
        <f>_xlfn.MINIFS('DETALLE CRONOLÓGICO'!$K$2:$K$4919,'DETALLE CRONOLÓGICO'!$A$2:$A$4919,$A992)</f>
        <v/>
      </c>
      <c r="L992" s="6">
        <f>_xlfn.MAXIFS('DETALLE CRONOLÓGICO'!$K$2:$K$4919,'DETALLE CRONOLÓGICO'!$A$2:$A$4919,$A992)</f>
        <v/>
      </c>
      <c r="M992" s="6">
        <f>INDEX('DETALLE CRONOLÓGICO'!$K$2:$K$4919,MATCH($A992,'DETALLE CRONOLÓGICO'!$A$2:$A$4919,0)+$E992-1)</f>
        <v/>
      </c>
      <c r="N992" s="7">
        <f>IFERROR($M992/INDEX('DETALLE CRONOLÓGICO'!$K$2:$K$4919,MATCH($A992,'DETALLE CRONOLÓGICO'!$A$2:$A$4919,0))-1,"")</f>
        <v/>
      </c>
      <c r="O992" s="6">
        <f>IFERROR($I992*3,"")</f>
        <v/>
      </c>
      <c r="P992" s="6">
        <f>IFERROR($I992*3.5,"")</f>
        <v/>
      </c>
      <c r="Q992" s="6">
        <f>IFERROR($I992*4,"")</f>
        <v/>
      </c>
      <c r="R992" s="6" t="n">
        <v>750</v>
      </c>
      <c r="S992" s="4" t="n">
        <v>2</v>
      </c>
      <c r="T992" s="1" t="inlineStr">
        <is>
          <t>draft</t>
        </is>
      </c>
      <c r="U992" s="8" t="n"/>
      <c r="V992" s="1" t="inlineStr">
        <is>
          <t>SIN PRECIO</t>
        </is>
      </c>
    </row>
    <row r="993">
      <c r="A993" s="1" t="inlineStr">
        <is>
          <t>59109721516269</t>
        </is>
      </c>
      <c r="B993" s="1" t="inlineStr">
        <is>
          <t>COLLAR F O'LOCK CRYSTALS</t>
        </is>
      </c>
      <c r="C993" s="1" t="inlineStr">
        <is>
          <t>Default Title</t>
        </is>
      </c>
      <c r="D993" s="1" t="inlineStr">
        <is>
          <t>HAIFENG</t>
        </is>
      </c>
      <c r="E993" s="4">
        <f>COUNTIF('DETALLE CRONOLÓGICO'!$A$2:$A$4919,$A993)</f>
        <v/>
      </c>
      <c r="F993" s="4">
        <f>SUMIFS('DETALLE CRONOLÓGICO'!$I$2:$I$4919,'DETALLE CRONOLÓGICO'!$A$2:$A$4919,$A993)</f>
        <v/>
      </c>
      <c r="G993" s="1">
        <f>INDEX('DETALLE CRONOLÓGICO'!$D$2:$D$4919,MATCH($A993,'DETALLE CRONOLÓGICO'!$A$2:$A$4919,0))</f>
        <v/>
      </c>
      <c r="H993" s="1">
        <f>INDEX('DETALLE CRONOLÓGICO'!$D$2:$D$4919,MATCH($A993,'DETALLE CRONOLÓGICO'!$A$2:$A$4919,0)+$E993-1)</f>
        <v/>
      </c>
      <c r="I993" s="5">
        <f>IFERROR(SUMIFS('DETALLE CRONOLÓGICO'!$L$2:$L$4919,'DETALLE CRONOLÓGICO'!$A$2:$A$4919,$A993)/$F993,"")</f>
        <v/>
      </c>
      <c r="J993" s="6">
        <f>IFERROR(SUMIFS('DETALLE CRONOLÓGICO'!$K$2:$K$4919,'DETALLE CRONOLÓGICO'!$A$2:$A$4919,$A993)/$E993,"")</f>
        <v/>
      </c>
      <c r="K993" s="6">
        <f>_xlfn.MINIFS('DETALLE CRONOLÓGICO'!$K$2:$K$4919,'DETALLE CRONOLÓGICO'!$A$2:$A$4919,$A993)</f>
        <v/>
      </c>
      <c r="L993" s="6">
        <f>_xlfn.MAXIFS('DETALLE CRONOLÓGICO'!$K$2:$K$4919,'DETALLE CRONOLÓGICO'!$A$2:$A$4919,$A993)</f>
        <v/>
      </c>
      <c r="M993" s="6">
        <f>INDEX('DETALLE CRONOLÓGICO'!$K$2:$K$4919,MATCH($A993,'DETALLE CRONOLÓGICO'!$A$2:$A$4919,0)+$E993-1)</f>
        <v/>
      </c>
      <c r="N993" s="7">
        <f>IFERROR($M993/INDEX('DETALLE CRONOLÓGICO'!$K$2:$K$4919,MATCH($A993,'DETALLE CRONOLÓGICO'!$A$2:$A$4919,0))-1,"")</f>
        <v/>
      </c>
      <c r="O993" s="6">
        <f>IFERROR($I993*3,"")</f>
        <v/>
      </c>
      <c r="P993" s="6">
        <f>IFERROR($I993*3.5,"")</f>
        <v/>
      </c>
      <c r="Q993" s="6">
        <f>IFERROR($I993*4,"")</f>
        <v/>
      </c>
      <c r="R993" s="6" t="n">
        <v>750</v>
      </c>
      <c r="S993" s="4" t="n">
        <v>2</v>
      </c>
      <c r="T993" s="1" t="inlineStr">
        <is>
          <t>draft</t>
        </is>
      </c>
      <c r="U993" s="8" t="n"/>
      <c r="V993" s="1" t="inlineStr">
        <is>
          <t>SIN PRECIO</t>
        </is>
      </c>
    </row>
    <row r="994">
      <c r="A994" s="1" t="inlineStr">
        <is>
          <t>59109721657165</t>
        </is>
      </c>
      <c r="B994" s="1" t="inlineStr">
        <is>
          <t>BRAZALETE LOVE GOLD</t>
        </is>
      </c>
      <c r="C994" s="1" t="inlineStr">
        <is>
          <t>19CM</t>
        </is>
      </c>
      <c r="D994" s="1" t="inlineStr">
        <is>
          <t>HAIFENG</t>
        </is>
      </c>
      <c r="E994" s="4">
        <f>COUNTIF('DETALLE CRONOLÓGICO'!$A$2:$A$4919,$A994)</f>
        <v/>
      </c>
      <c r="F994" s="4">
        <f>SUMIFS('DETALLE CRONOLÓGICO'!$I$2:$I$4919,'DETALLE CRONOLÓGICO'!$A$2:$A$4919,$A994)</f>
        <v/>
      </c>
      <c r="G994" s="1">
        <f>INDEX('DETALLE CRONOLÓGICO'!$D$2:$D$4919,MATCH($A994,'DETALLE CRONOLÓGICO'!$A$2:$A$4919,0))</f>
        <v/>
      </c>
      <c r="H994" s="1">
        <f>INDEX('DETALLE CRONOLÓGICO'!$D$2:$D$4919,MATCH($A994,'DETALLE CRONOLÓGICO'!$A$2:$A$4919,0)+$E994-1)</f>
        <v/>
      </c>
      <c r="I994" s="5">
        <f>IFERROR(SUMIFS('DETALLE CRONOLÓGICO'!$L$2:$L$4919,'DETALLE CRONOLÓGICO'!$A$2:$A$4919,$A994)/$F994,"")</f>
        <v/>
      </c>
      <c r="J994" s="6">
        <f>IFERROR(SUMIFS('DETALLE CRONOLÓGICO'!$K$2:$K$4919,'DETALLE CRONOLÓGICO'!$A$2:$A$4919,$A994)/$E994,"")</f>
        <v/>
      </c>
      <c r="K994" s="6">
        <f>_xlfn.MINIFS('DETALLE CRONOLÓGICO'!$K$2:$K$4919,'DETALLE CRONOLÓGICO'!$A$2:$A$4919,$A994)</f>
        <v/>
      </c>
      <c r="L994" s="6">
        <f>_xlfn.MAXIFS('DETALLE CRONOLÓGICO'!$K$2:$K$4919,'DETALLE CRONOLÓGICO'!$A$2:$A$4919,$A994)</f>
        <v/>
      </c>
      <c r="M994" s="6">
        <f>INDEX('DETALLE CRONOLÓGICO'!$K$2:$K$4919,MATCH($A994,'DETALLE CRONOLÓGICO'!$A$2:$A$4919,0)+$E994-1)</f>
        <v/>
      </c>
      <c r="N994" s="7">
        <f>IFERROR($M994/INDEX('DETALLE CRONOLÓGICO'!$K$2:$K$4919,MATCH($A994,'DETALLE CRONOLÓGICO'!$A$2:$A$4919,0))-1,"")</f>
        <v/>
      </c>
      <c r="O994" s="6">
        <f>IFERROR($I994*3,"")</f>
        <v/>
      </c>
      <c r="P994" s="6">
        <f>IFERROR($I994*3.5,"")</f>
        <v/>
      </c>
      <c r="Q994" s="6">
        <f>IFERROR($I994*4,"")</f>
        <v/>
      </c>
      <c r="R994" s="6" t="n">
        <v>450</v>
      </c>
      <c r="S994" s="4" t="n">
        <v>0</v>
      </c>
      <c r="T994" s="1" t="inlineStr">
        <is>
          <t>active</t>
        </is>
      </c>
      <c r="U994" s="8" t="n"/>
      <c r="V994" s="1" t="inlineStr">
        <is>
          <t>SIN PRECIO</t>
        </is>
      </c>
    </row>
    <row r="995">
      <c r="A995" s="1" t="inlineStr">
        <is>
          <t>59109721776717</t>
        </is>
      </c>
      <c r="B995" s="1" t="inlineStr">
        <is>
          <t>ARETES LV X TM CERISE</t>
        </is>
      </c>
      <c r="C995" s="1" t="inlineStr">
        <is>
          <t>Default Title</t>
        </is>
      </c>
      <c r="D995" s="1" t="inlineStr">
        <is>
          <t>HAIFENG</t>
        </is>
      </c>
      <c r="E995" s="4">
        <f>COUNTIF('DETALLE CRONOLÓGICO'!$A$2:$A$4919,$A995)</f>
        <v/>
      </c>
      <c r="F995" s="4">
        <f>SUMIFS('DETALLE CRONOLÓGICO'!$I$2:$I$4919,'DETALLE CRONOLÓGICO'!$A$2:$A$4919,$A995)</f>
        <v/>
      </c>
      <c r="G995" s="1">
        <f>INDEX('DETALLE CRONOLÓGICO'!$D$2:$D$4919,MATCH($A995,'DETALLE CRONOLÓGICO'!$A$2:$A$4919,0))</f>
        <v/>
      </c>
      <c r="H995" s="1">
        <f>INDEX('DETALLE CRONOLÓGICO'!$D$2:$D$4919,MATCH($A995,'DETALLE CRONOLÓGICO'!$A$2:$A$4919,0)+$E995-1)</f>
        <v/>
      </c>
      <c r="I995" s="5">
        <f>IFERROR(SUMIFS('DETALLE CRONOLÓGICO'!$L$2:$L$4919,'DETALLE CRONOLÓGICO'!$A$2:$A$4919,$A995)/$F995,"")</f>
        <v/>
      </c>
      <c r="J995" s="6">
        <f>IFERROR(SUMIFS('DETALLE CRONOLÓGICO'!$K$2:$K$4919,'DETALLE CRONOLÓGICO'!$A$2:$A$4919,$A995)/$E995,"")</f>
        <v/>
      </c>
      <c r="K995" s="6">
        <f>_xlfn.MINIFS('DETALLE CRONOLÓGICO'!$K$2:$K$4919,'DETALLE CRONOLÓGICO'!$A$2:$A$4919,$A995)</f>
        <v/>
      </c>
      <c r="L995" s="6">
        <f>_xlfn.MAXIFS('DETALLE CRONOLÓGICO'!$K$2:$K$4919,'DETALLE CRONOLÓGICO'!$A$2:$A$4919,$A995)</f>
        <v/>
      </c>
      <c r="M995" s="6">
        <f>INDEX('DETALLE CRONOLÓGICO'!$K$2:$K$4919,MATCH($A995,'DETALLE CRONOLÓGICO'!$A$2:$A$4919,0)+$E995-1)</f>
        <v/>
      </c>
      <c r="N995" s="7">
        <f>IFERROR($M995/INDEX('DETALLE CRONOLÓGICO'!$K$2:$K$4919,MATCH($A995,'DETALLE CRONOLÓGICO'!$A$2:$A$4919,0))-1,"")</f>
        <v/>
      </c>
      <c r="O995" s="6">
        <f>IFERROR($I995*3,"")</f>
        <v/>
      </c>
      <c r="P995" s="6">
        <f>IFERROR($I995*3.5,"")</f>
        <v/>
      </c>
      <c r="Q995" s="6">
        <f>IFERROR($I995*4,"")</f>
        <v/>
      </c>
      <c r="R995" s="6" t="n">
        <v>699</v>
      </c>
      <c r="S995" s="4" t="n">
        <v>1</v>
      </c>
      <c r="T995" s="1" t="inlineStr">
        <is>
          <t>active</t>
        </is>
      </c>
      <c r="U995" s="8" t="n"/>
      <c r="V995" s="1" t="inlineStr">
        <is>
          <t>SIN PRECIO</t>
        </is>
      </c>
    </row>
    <row r="996">
      <c r="A996" s="1" t="inlineStr">
        <is>
          <t>59109721807789</t>
        </is>
      </c>
      <c r="B996" s="1" t="inlineStr">
        <is>
          <t>COLLAR BV PARENTESI SILVER</t>
        </is>
      </c>
      <c r="C996" s="1" t="inlineStr">
        <is>
          <t>Default Title</t>
        </is>
      </c>
      <c r="D996" s="1" t="inlineStr">
        <is>
          <t>HAIFENG</t>
        </is>
      </c>
      <c r="E996" s="4">
        <f>COUNTIF('DETALLE CRONOLÓGICO'!$A$2:$A$4919,$A996)</f>
        <v/>
      </c>
      <c r="F996" s="4">
        <f>SUMIFS('DETALLE CRONOLÓGICO'!$I$2:$I$4919,'DETALLE CRONOLÓGICO'!$A$2:$A$4919,$A996)</f>
        <v/>
      </c>
      <c r="G996" s="1">
        <f>INDEX('DETALLE CRONOLÓGICO'!$D$2:$D$4919,MATCH($A996,'DETALLE CRONOLÓGICO'!$A$2:$A$4919,0))</f>
        <v/>
      </c>
      <c r="H996" s="1">
        <f>INDEX('DETALLE CRONOLÓGICO'!$D$2:$D$4919,MATCH($A996,'DETALLE CRONOLÓGICO'!$A$2:$A$4919,0)+$E996-1)</f>
        <v/>
      </c>
      <c r="I996" s="5">
        <f>IFERROR(SUMIFS('DETALLE CRONOLÓGICO'!$L$2:$L$4919,'DETALLE CRONOLÓGICO'!$A$2:$A$4919,$A996)/$F996,"")</f>
        <v/>
      </c>
      <c r="J996" s="6">
        <f>IFERROR(SUMIFS('DETALLE CRONOLÓGICO'!$K$2:$K$4919,'DETALLE CRONOLÓGICO'!$A$2:$A$4919,$A996)/$E996,"")</f>
        <v/>
      </c>
      <c r="K996" s="6">
        <f>_xlfn.MINIFS('DETALLE CRONOLÓGICO'!$K$2:$K$4919,'DETALLE CRONOLÓGICO'!$A$2:$A$4919,$A996)</f>
        <v/>
      </c>
      <c r="L996" s="6">
        <f>_xlfn.MAXIFS('DETALLE CRONOLÓGICO'!$K$2:$K$4919,'DETALLE CRONOLÓGICO'!$A$2:$A$4919,$A996)</f>
        <v/>
      </c>
      <c r="M996" s="6">
        <f>INDEX('DETALLE CRONOLÓGICO'!$K$2:$K$4919,MATCH($A996,'DETALLE CRONOLÓGICO'!$A$2:$A$4919,0)+$E996-1)</f>
        <v/>
      </c>
      <c r="N996" s="7">
        <f>IFERROR($M996/INDEX('DETALLE CRONOLÓGICO'!$K$2:$K$4919,MATCH($A996,'DETALLE CRONOLÓGICO'!$A$2:$A$4919,0))-1,"")</f>
        <v/>
      </c>
      <c r="O996" s="6">
        <f>IFERROR($I996*3,"")</f>
        <v/>
      </c>
      <c r="P996" s="6">
        <f>IFERROR($I996*3.5,"")</f>
        <v/>
      </c>
      <c r="Q996" s="6">
        <f>IFERROR($I996*4,"")</f>
        <v/>
      </c>
      <c r="R996" s="6" t="n">
        <v>750</v>
      </c>
      <c r="S996" s="4" t="n">
        <v>2</v>
      </c>
      <c r="T996" s="1" t="inlineStr">
        <is>
          <t>draft</t>
        </is>
      </c>
      <c r="U996" s="8" t="n"/>
      <c r="V996" s="1" t="inlineStr">
        <is>
          <t>SIN PRECIO</t>
        </is>
      </c>
    </row>
    <row r="997">
      <c r="A997" s="1" t="inlineStr">
        <is>
          <t>59109721938861</t>
        </is>
      </c>
      <c r="B997" s="1" t="inlineStr">
        <is>
          <t>ARETES MM HEART PINK</t>
        </is>
      </c>
      <c r="C997" s="1" t="inlineStr">
        <is>
          <t>Default Title</t>
        </is>
      </c>
      <c r="D997" s="1" t="inlineStr">
        <is>
          <t>HAIFENG</t>
        </is>
      </c>
      <c r="E997" s="4">
        <f>COUNTIF('DETALLE CRONOLÓGICO'!$A$2:$A$4919,$A997)</f>
        <v/>
      </c>
      <c r="F997" s="4">
        <f>SUMIFS('DETALLE CRONOLÓGICO'!$I$2:$I$4919,'DETALLE CRONOLÓGICO'!$A$2:$A$4919,$A997)</f>
        <v/>
      </c>
      <c r="G997" s="1">
        <f>INDEX('DETALLE CRONOLÓGICO'!$D$2:$D$4919,MATCH($A997,'DETALLE CRONOLÓGICO'!$A$2:$A$4919,0))</f>
        <v/>
      </c>
      <c r="H997" s="1">
        <f>INDEX('DETALLE CRONOLÓGICO'!$D$2:$D$4919,MATCH($A997,'DETALLE CRONOLÓGICO'!$A$2:$A$4919,0)+$E997-1)</f>
        <v/>
      </c>
      <c r="I997" s="5">
        <f>IFERROR(SUMIFS('DETALLE CRONOLÓGICO'!$L$2:$L$4919,'DETALLE CRONOLÓGICO'!$A$2:$A$4919,$A997)/$F997,"")</f>
        <v/>
      </c>
      <c r="J997" s="6">
        <f>IFERROR(SUMIFS('DETALLE CRONOLÓGICO'!$K$2:$K$4919,'DETALLE CRONOLÓGICO'!$A$2:$A$4919,$A997)/$E997,"")</f>
        <v/>
      </c>
      <c r="K997" s="6">
        <f>_xlfn.MINIFS('DETALLE CRONOLÓGICO'!$K$2:$K$4919,'DETALLE CRONOLÓGICO'!$A$2:$A$4919,$A997)</f>
        <v/>
      </c>
      <c r="L997" s="6">
        <f>_xlfn.MAXIFS('DETALLE CRONOLÓGICO'!$K$2:$K$4919,'DETALLE CRONOLÓGICO'!$A$2:$A$4919,$A997)</f>
        <v/>
      </c>
      <c r="M997" s="6">
        <f>INDEX('DETALLE CRONOLÓGICO'!$K$2:$K$4919,MATCH($A997,'DETALLE CRONOLÓGICO'!$A$2:$A$4919,0)+$E997-1)</f>
        <v/>
      </c>
      <c r="N997" s="7">
        <f>IFERROR($M997/INDEX('DETALLE CRONOLÓGICO'!$K$2:$K$4919,MATCH($A997,'DETALLE CRONOLÓGICO'!$A$2:$A$4919,0))-1,"")</f>
        <v/>
      </c>
      <c r="O997" s="6">
        <f>IFERROR($I997*3,"")</f>
        <v/>
      </c>
      <c r="P997" s="6">
        <f>IFERROR($I997*3.5,"")</f>
        <v/>
      </c>
      <c r="Q997" s="6">
        <f>IFERROR($I997*4,"")</f>
        <v/>
      </c>
      <c r="R997" s="6" t="n">
        <v>750</v>
      </c>
      <c r="S997" s="4" t="n">
        <v>3</v>
      </c>
      <c r="T997" s="1" t="inlineStr">
        <is>
          <t>active</t>
        </is>
      </c>
      <c r="U997" s="8" t="n"/>
      <c r="V997" s="1" t="inlineStr">
        <is>
          <t>SIN PRECIO</t>
        </is>
      </c>
    </row>
    <row r="998">
      <c r="A998" s="1" t="inlineStr">
        <is>
          <t>59109722069933</t>
        </is>
      </c>
      <c r="B998" s="1" t="inlineStr">
        <is>
          <t>COLLAR MM GOLD-PINK</t>
        </is>
      </c>
      <c r="C998" s="1" t="inlineStr">
        <is>
          <t>Default Title</t>
        </is>
      </c>
      <c r="D998" s="1" t="inlineStr">
        <is>
          <t>HAIFENG</t>
        </is>
      </c>
      <c r="E998" s="4">
        <f>COUNTIF('DETALLE CRONOLÓGICO'!$A$2:$A$4919,$A998)</f>
        <v/>
      </c>
      <c r="F998" s="4">
        <f>SUMIFS('DETALLE CRONOLÓGICO'!$I$2:$I$4919,'DETALLE CRONOLÓGICO'!$A$2:$A$4919,$A998)</f>
        <v/>
      </c>
      <c r="G998" s="1">
        <f>INDEX('DETALLE CRONOLÓGICO'!$D$2:$D$4919,MATCH($A998,'DETALLE CRONOLÓGICO'!$A$2:$A$4919,0))</f>
        <v/>
      </c>
      <c r="H998" s="1">
        <f>INDEX('DETALLE CRONOLÓGICO'!$D$2:$D$4919,MATCH($A998,'DETALLE CRONOLÓGICO'!$A$2:$A$4919,0)+$E998-1)</f>
        <v/>
      </c>
      <c r="I998" s="5">
        <f>IFERROR(SUMIFS('DETALLE CRONOLÓGICO'!$L$2:$L$4919,'DETALLE CRONOLÓGICO'!$A$2:$A$4919,$A998)/$F998,"")</f>
        <v/>
      </c>
      <c r="J998" s="6">
        <f>IFERROR(SUMIFS('DETALLE CRONOLÓGICO'!$K$2:$K$4919,'DETALLE CRONOLÓGICO'!$A$2:$A$4919,$A998)/$E998,"")</f>
        <v/>
      </c>
      <c r="K998" s="6">
        <f>_xlfn.MINIFS('DETALLE CRONOLÓGICO'!$K$2:$K$4919,'DETALLE CRONOLÓGICO'!$A$2:$A$4919,$A998)</f>
        <v/>
      </c>
      <c r="L998" s="6">
        <f>_xlfn.MAXIFS('DETALLE CRONOLÓGICO'!$K$2:$K$4919,'DETALLE CRONOLÓGICO'!$A$2:$A$4919,$A998)</f>
        <v/>
      </c>
      <c r="M998" s="6">
        <f>INDEX('DETALLE CRONOLÓGICO'!$K$2:$K$4919,MATCH($A998,'DETALLE CRONOLÓGICO'!$A$2:$A$4919,0)+$E998-1)</f>
        <v/>
      </c>
      <c r="N998" s="7">
        <f>IFERROR($M998/INDEX('DETALLE CRONOLÓGICO'!$K$2:$K$4919,MATCH($A998,'DETALLE CRONOLÓGICO'!$A$2:$A$4919,0))-1,"")</f>
        <v/>
      </c>
      <c r="O998" s="6">
        <f>IFERROR($I998*3,"")</f>
        <v/>
      </c>
      <c r="P998" s="6">
        <f>IFERROR($I998*3.5,"")</f>
        <v/>
      </c>
      <c r="Q998" s="6">
        <f>IFERROR($I998*4,"")</f>
        <v/>
      </c>
      <c r="R998" s="6" t="n">
        <v>750</v>
      </c>
      <c r="S998" s="4" t="n">
        <v>3</v>
      </c>
      <c r="T998" s="1" t="inlineStr">
        <is>
          <t>active</t>
        </is>
      </c>
      <c r="U998" s="8" t="n"/>
      <c r="V998" s="1" t="inlineStr">
        <is>
          <t>SIN PRECIO</t>
        </is>
      </c>
    </row>
    <row r="999">
      <c r="A999" s="1" t="inlineStr">
        <is>
          <t>59109722102701</t>
        </is>
      </c>
      <c r="B999" s="1" t="inlineStr">
        <is>
          <t>COLLAR MM GOLD-WHITE</t>
        </is>
      </c>
      <c r="C999" s="1" t="inlineStr">
        <is>
          <t>Default Title</t>
        </is>
      </c>
      <c r="D999" s="1" t="inlineStr">
        <is>
          <t>HAIFENG</t>
        </is>
      </c>
      <c r="E999" s="4">
        <f>COUNTIF('DETALLE CRONOLÓGICO'!$A$2:$A$4919,$A999)</f>
        <v/>
      </c>
      <c r="F999" s="4">
        <f>SUMIFS('DETALLE CRONOLÓGICO'!$I$2:$I$4919,'DETALLE CRONOLÓGICO'!$A$2:$A$4919,$A999)</f>
        <v/>
      </c>
      <c r="G999" s="1">
        <f>INDEX('DETALLE CRONOLÓGICO'!$D$2:$D$4919,MATCH($A999,'DETALLE CRONOLÓGICO'!$A$2:$A$4919,0))</f>
        <v/>
      </c>
      <c r="H999" s="1">
        <f>INDEX('DETALLE CRONOLÓGICO'!$D$2:$D$4919,MATCH($A999,'DETALLE CRONOLÓGICO'!$A$2:$A$4919,0)+$E999-1)</f>
        <v/>
      </c>
      <c r="I999" s="5">
        <f>IFERROR(SUMIFS('DETALLE CRONOLÓGICO'!$L$2:$L$4919,'DETALLE CRONOLÓGICO'!$A$2:$A$4919,$A999)/$F999,"")</f>
        <v/>
      </c>
      <c r="J999" s="6">
        <f>IFERROR(SUMIFS('DETALLE CRONOLÓGICO'!$K$2:$K$4919,'DETALLE CRONOLÓGICO'!$A$2:$A$4919,$A999)/$E999,"")</f>
        <v/>
      </c>
      <c r="K999" s="6">
        <f>_xlfn.MINIFS('DETALLE CRONOLÓGICO'!$K$2:$K$4919,'DETALLE CRONOLÓGICO'!$A$2:$A$4919,$A999)</f>
        <v/>
      </c>
      <c r="L999" s="6">
        <f>_xlfn.MAXIFS('DETALLE CRONOLÓGICO'!$K$2:$K$4919,'DETALLE CRONOLÓGICO'!$A$2:$A$4919,$A999)</f>
        <v/>
      </c>
      <c r="M999" s="6">
        <f>INDEX('DETALLE CRONOLÓGICO'!$K$2:$K$4919,MATCH($A999,'DETALLE CRONOLÓGICO'!$A$2:$A$4919,0)+$E999-1)</f>
        <v/>
      </c>
      <c r="N999" s="7">
        <f>IFERROR($M999/INDEX('DETALLE CRONOLÓGICO'!$K$2:$K$4919,MATCH($A999,'DETALLE CRONOLÓGICO'!$A$2:$A$4919,0))-1,"")</f>
        <v/>
      </c>
      <c r="O999" s="6">
        <f>IFERROR($I999*3,"")</f>
        <v/>
      </c>
      <c r="P999" s="6">
        <f>IFERROR($I999*3.5,"")</f>
        <v/>
      </c>
      <c r="Q999" s="6">
        <f>IFERROR($I999*4,"")</f>
        <v/>
      </c>
      <c r="R999" s="6" t="n">
        <v>750</v>
      </c>
      <c r="S999" s="4" t="n">
        <v>1</v>
      </c>
      <c r="T999" s="1" t="inlineStr">
        <is>
          <t>draft</t>
        </is>
      </c>
      <c r="U999" s="8" t="n"/>
      <c r="V999" s="1" t="inlineStr">
        <is>
          <t>SIN PRECIO</t>
        </is>
      </c>
    </row>
    <row r="1000">
      <c r="A1000" s="1" t="inlineStr">
        <is>
          <t>59109722266541</t>
        </is>
      </c>
      <c r="B1000" s="1" t="inlineStr">
        <is>
          <t>ANILLO T PADLOCK SILVER</t>
        </is>
      </c>
      <c r="C1000" s="1" t="inlineStr">
        <is>
          <t>7</t>
        </is>
      </c>
      <c r="D1000" s="1" t="inlineStr">
        <is>
          <t>HAIFENG</t>
        </is>
      </c>
      <c r="E1000" s="4">
        <f>COUNTIF('DETALLE CRONOLÓGICO'!$A$2:$A$4919,$A1000)</f>
        <v/>
      </c>
      <c r="F1000" s="4">
        <f>SUMIFS('DETALLE CRONOLÓGICO'!$I$2:$I$4919,'DETALLE CRONOLÓGICO'!$A$2:$A$4919,$A1000)</f>
        <v/>
      </c>
      <c r="G1000" s="1">
        <f>INDEX('DETALLE CRONOLÓGICO'!$D$2:$D$4919,MATCH($A1000,'DETALLE CRONOLÓGICO'!$A$2:$A$4919,0))</f>
        <v/>
      </c>
      <c r="H1000" s="1">
        <f>INDEX('DETALLE CRONOLÓGICO'!$D$2:$D$4919,MATCH($A1000,'DETALLE CRONOLÓGICO'!$A$2:$A$4919,0)+$E1000-1)</f>
        <v/>
      </c>
      <c r="I1000" s="5">
        <f>IFERROR(SUMIFS('DETALLE CRONOLÓGICO'!$L$2:$L$4919,'DETALLE CRONOLÓGICO'!$A$2:$A$4919,$A1000)/$F1000,"")</f>
        <v/>
      </c>
      <c r="J1000" s="6">
        <f>IFERROR(SUMIFS('DETALLE CRONOLÓGICO'!$K$2:$K$4919,'DETALLE CRONOLÓGICO'!$A$2:$A$4919,$A1000)/$E1000,"")</f>
        <v/>
      </c>
      <c r="K1000" s="6">
        <f>_xlfn.MINIFS('DETALLE CRONOLÓGICO'!$K$2:$K$4919,'DETALLE CRONOLÓGICO'!$A$2:$A$4919,$A1000)</f>
        <v/>
      </c>
      <c r="L1000" s="6">
        <f>_xlfn.MAXIFS('DETALLE CRONOLÓGICO'!$K$2:$K$4919,'DETALLE CRONOLÓGICO'!$A$2:$A$4919,$A1000)</f>
        <v/>
      </c>
      <c r="M1000" s="6">
        <f>INDEX('DETALLE CRONOLÓGICO'!$K$2:$K$4919,MATCH($A1000,'DETALLE CRONOLÓGICO'!$A$2:$A$4919,0)+$E1000-1)</f>
        <v/>
      </c>
      <c r="N1000" s="7">
        <f>IFERROR($M1000/INDEX('DETALLE CRONOLÓGICO'!$K$2:$K$4919,MATCH($A1000,'DETALLE CRONOLÓGICO'!$A$2:$A$4919,0))-1,"")</f>
        <v/>
      </c>
      <c r="O1000" s="6">
        <f>IFERROR($I1000*3,"")</f>
        <v/>
      </c>
      <c r="P1000" s="6">
        <f>IFERROR($I1000*3.5,"")</f>
        <v/>
      </c>
      <c r="Q1000" s="6">
        <f>IFERROR($I1000*4,"")</f>
        <v/>
      </c>
      <c r="R1000" s="6" t="n">
        <v>450</v>
      </c>
      <c r="S1000" s="4" t="n">
        <v>2</v>
      </c>
      <c r="T1000" s="1" t="inlineStr">
        <is>
          <t>draft</t>
        </is>
      </c>
      <c r="U1000" s="8" t="n"/>
      <c r="V1000" s="1" t="inlineStr">
        <is>
          <t>SIN PRECIO</t>
        </is>
      </c>
    </row>
    <row r="1001">
      <c r="A1001" s="1" t="inlineStr">
        <is>
          <t>59109722399309</t>
        </is>
      </c>
      <c r="B1001" s="1" t="inlineStr">
        <is>
          <t>ANILLO T PADLOCK SILVER</t>
        </is>
      </c>
      <c r="C1001" s="1" t="inlineStr">
        <is>
          <t>8</t>
        </is>
      </c>
      <c r="D1001" s="1" t="inlineStr">
        <is>
          <t>HAIFENG</t>
        </is>
      </c>
      <c r="E1001" s="4">
        <f>COUNTIF('DETALLE CRONOLÓGICO'!$A$2:$A$4919,$A1001)</f>
        <v/>
      </c>
      <c r="F1001" s="4">
        <f>SUMIFS('DETALLE CRONOLÓGICO'!$I$2:$I$4919,'DETALLE CRONOLÓGICO'!$A$2:$A$4919,$A1001)</f>
        <v/>
      </c>
      <c r="G1001" s="1">
        <f>INDEX('DETALLE CRONOLÓGICO'!$D$2:$D$4919,MATCH($A1001,'DETALLE CRONOLÓGICO'!$A$2:$A$4919,0))</f>
        <v/>
      </c>
      <c r="H1001" s="1">
        <f>INDEX('DETALLE CRONOLÓGICO'!$D$2:$D$4919,MATCH($A1001,'DETALLE CRONOLÓGICO'!$A$2:$A$4919,0)+$E1001-1)</f>
        <v/>
      </c>
      <c r="I1001" s="5">
        <f>IFERROR(SUMIFS('DETALLE CRONOLÓGICO'!$L$2:$L$4919,'DETALLE CRONOLÓGICO'!$A$2:$A$4919,$A1001)/$F1001,"")</f>
        <v/>
      </c>
      <c r="J1001" s="6">
        <f>IFERROR(SUMIFS('DETALLE CRONOLÓGICO'!$K$2:$K$4919,'DETALLE CRONOLÓGICO'!$A$2:$A$4919,$A1001)/$E1001,"")</f>
        <v/>
      </c>
      <c r="K1001" s="6">
        <f>_xlfn.MINIFS('DETALLE CRONOLÓGICO'!$K$2:$K$4919,'DETALLE CRONOLÓGICO'!$A$2:$A$4919,$A1001)</f>
        <v/>
      </c>
      <c r="L1001" s="6">
        <f>_xlfn.MAXIFS('DETALLE CRONOLÓGICO'!$K$2:$K$4919,'DETALLE CRONOLÓGICO'!$A$2:$A$4919,$A1001)</f>
        <v/>
      </c>
      <c r="M1001" s="6">
        <f>INDEX('DETALLE CRONOLÓGICO'!$K$2:$K$4919,MATCH($A1001,'DETALLE CRONOLÓGICO'!$A$2:$A$4919,0)+$E1001-1)</f>
        <v/>
      </c>
      <c r="N1001" s="7">
        <f>IFERROR($M1001/INDEX('DETALLE CRONOLÓGICO'!$K$2:$K$4919,MATCH($A1001,'DETALLE CRONOLÓGICO'!$A$2:$A$4919,0))-1,"")</f>
        <v/>
      </c>
      <c r="O1001" s="6">
        <f>IFERROR($I1001*3,"")</f>
        <v/>
      </c>
      <c r="P1001" s="6">
        <f>IFERROR($I1001*3.5,"")</f>
        <v/>
      </c>
      <c r="Q1001" s="6">
        <f>IFERROR($I1001*4,"")</f>
        <v/>
      </c>
      <c r="R1001" s="6" t="n">
        <v>450</v>
      </c>
      <c r="S1001" s="4" t="n">
        <v>2</v>
      </c>
      <c r="T1001" s="1" t="inlineStr">
        <is>
          <t>draft</t>
        </is>
      </c>
      <c r="U1001" s="8" t="n"/>
      <c r="V1001" s="1" t="inlineStr">
        <is>
          <t>SIN PRECIO</t>
        </is>
      </c>
    </row>
    <row r="1002">
      <c r="A1002" s="1" t="inlineStr">
        <is>
          <t>59109722426989</t>
        </is>
      </c>
      <c r="B1002" s="1" t="inlineStr">
        <is>
          <t>ANILLO T LOVE HEART</t>
        </is>
      </c>
      <c r="C1002" s="1" t="inlineStr">
        <is>
          <t>6</t>
        </is>
      </c>
      <c r="D1002" s="1" t="inlineStr">
        <is>
          <t>HAIFENG</t>
        </is>
      </c>
      <c r="E1002" s="4">
        <f>COUNTIF('DETALLE CRONOLÓGICO'!$A$2:$A$4919,$A1002)</f>
        <v/>
      </c>
      <c r="F1002" s="4">
        <f>SUMIFS('DETALLE CRONOLÓGICO'!$I$2:$I$4919,'DETALLE CRONOLÓGICO'!$A$2:$A$4919,$A1002)</f>
        <v/>
      </c>
      <c r="G1002" s="1">
        <f>INDEX('DETALLE CRONOLÓGICO'!$D$2:$D$4919,MATCH($A1002,'DETALLE CRONOLÓGICO'!$A$2:$A$4919,0))</f>
        <v/>
      </c>
      <c r="H1002" s="1">
        <f>INDEX('DETALLE CRONOLÓGICO'!$D$2:$D$4919,MATCH($A1002,'DETALLE CRONOLÓGICO'!$A$2:$A$4919,0)+$E1002-1)</f>
        <v/>
      </c>
      <c r="I1002" s="5">
        <f>IFERROR(SUMIFS('DETALLE CRONOLÓGICO'!$L$2:$L$4919,'DETALLE CRONOLÓGICO'!$A$2:$A$4919,$A1002)/$F1002,"")</f>
        <v/>
      </c>
      <c r="J1002" s="6">
        <f>IFERROR(SUMIFS('DETALLE CRONOLÓGICO'!$K$2:$K$4919,'DETALLE CRONOLÓGICO'!$A$2:$A$4919,$A1002)/$E1002,"")</f>
        <v/>
      </c>
      <c r="K1002" s="6">
        <f>_xlfn.MINIFS('DETALLE CRONOLÓGICO'!$K$2:$K$4919,'DETALLE CRONOLÓGICO'!$A$2:$A$4919,$A1002)</f>
        <v/>
      </c>
      <c r="L1002" s="6">
        <f>_xlfn.MAXIFS('DETALLE CRONOLÓGICO'!$K$2:$K$4919,'DETALLE CRONOLÓGICO'!$A$2:$A$4919,$A1002)</f>
        <v/>
      </c>
      <c r="M1002" s="6">
        <f>INDEX('DETALLE CRONOLÓGICO'!$K$2:$K$4919,MATCH($A1002,'DETALLE CRONOLÓGICO'!$A$2:$A$4919,0)+$E1002-1)</f>
        <v/>
      </c>
      <c r="N1002" s="7">
        <f>IFERROR($M1002/INDEX('DETALLE CRONOLÓGICO'!$K$2:$K$4919,MATCH($A1002,'DETALLE CRONOLÓGICO'!$A$2:$A$4919,0))-1,"")</f>
        <v/>
      </c>
      <c r="O1002" s="6">
        <f>IFERROR($I1002*3,"")</f>
        <v/>
      </c>
      <c r="P1002" s="6">
        <f>IFERROR($I1002*3.5,"")</f>
        <v/>
      </c>
      <c r="Q1002" s="6">
        <f>IFERROR($I1002*4,"")</f>
        <v/>
      </c>
      <c r="R1002" s="6" t="n">
        <v>500</v>
      </c>
      <c r="S1002" s="4" t="n">
        <v>2</v>
      </c>
      <c r="T1002" s="1" t="inlineStr">
        <is>
          <t>draft</t>
        </is>
      </c>
      <c r="U1002" s="8" t="n"/>
      <c r="V1002" s="1" t="inlineStr">
        <is>
          <t>SIN PRECIO</t>
        </is>
      </c>
    </row>
    <row r="1003">
      <c r="A1003" s="1" t="inlineStr">
        <is>
          <t>59109722559757</t>
        </is>
      </c>
      <c r="B1003" s="1" t="inlineStr">
        <is>
          <t>ANILLO T LOVE HEART</t>
        </is>
      </c>
      <c r="C1003" s="1" t="inlineStr">
        <is>
          <t>7</t>
        </is>
      </c>
      <c r="D1003" s="1" t="inlineStr">
        <is>
          <t>HAIFENG</t>
        </is>
      </c>
      <c r="E1003" s="4">
        <f>COUNTIF('DETALLE CRONOLÓGICO'!$A$2:$A$4919,$A1003)</f>
        <v/>
      </c>
      <c r="F1003" s="4">
        <f>SUMIFS('DETALLE CRONOLÓGICO'!$I$2:$I$4919,'DETALLE CRONOLÓGICO'!$A$2:$A$4919,$A1003)</f>
        <v/>
      </c>
      <c r="G1003" s="1">
        <f>INDEX('DETALLE CRONOLÓGICO'!$D$2:$D$4919,MATCH($A1003,'DETALLE CRONOLÓGICO'!$A$2:$A$4919,0))</f>
        <v/>
      </c>
      <c r="H1003" s="1">
        <f>INDEX('DETALLE CRONOLÓGICO'!$D$2:$D$4919,MATCH($A1003,'DETALLE CRONOLÓGICO'!$A$2:$A$4919,0)+$E1003-1)</f>
        <v/>
      </c>
      <c r="I1003" s="5">
        <f>IFERROR(SUMIFS('DETALLE CRONOLÓGICO'!$L$2:$L$4919,'DETALLE CRONOLÓGICO'!$A$2:$A$4919,$A1003)/$F1003,"")</f>
        <v/>
      </c>
      <c r="J1003" s="6">
        <f>IFERROR(SUMIFS('DETALLE CRONOLÓGICO'!$K$2:$K$4919,'DETALLE CRONOLÓGICO'!$A$2:$A$4919,$A1003)/$E1003,"")</f>
        <v/>
      </c>
      <c r="K1003" s="6">
        <f>_xlfn.MINIFS('DETALLE CRONOLÓGICO'!$K$2:$K$4919,'DETALLE CRONOLÓGICO'!$A$2:$A$4919,$A1003)</f>
        <v/>
      </c>
      <c r="L1003" s="6">
        <f>_xlfn.MAXIFS('DETALLE CRONOLÓGICO'!$K$2:$K$4919,'DETALLE CRONOLÓGICO'!$A$2:$A$4919,$A1003)</f>
        <v/>
      </c>
      <c r="M1003" s="6">
        <f>INDEX('DETALLE CRONOLÓGICO'!$K$2:$K$4919,MATCH($A1003,'DETALLE CRONOLÓGICO'!$A$2:$A$4919,0)+$E1003-1)</f>
        <v/>
      </c>
      <c r="N1003" s="7">
        <f>IFERROR($M1003/INDEX('DETALLE CRONOLÓGICO'!$K$2:$K$4919,MATCH($A1003,'DETALLE CRONOLÓGICO'!$A$2:$A$4919,0))-1,"")</f>
        <v/>
      </c>
      <c r="O1003" s="6">
        <f>IFERROR($I1003*3,"")</f>
        <v/>
      </c>
      <c r="P1003" s="6">
        <f>IFERROR($I1003*3.5,"")</f>
        <v/>
      </c>
      <c r="Q1003" s="6">
        <f>IFERROR($I1003*4,"")</f>
        <v/>
      </c>
      <c r="R1003" s="6" t="n">
        <v>500</v>
      </c>
      <c r="S1003" s="4" t="n">
        <v>2</v>
      </c>
      <c r="T1003" s="1" t="inlineStr">
        <is>
          <t>draft</t>
        </is>
      </c>
      <c r="U1003" s="8" t="n"/>
      <c r="V1003" s="1" t="inlineStr">
        <is>
          <t>SIN PRECIO</t>
        </is>
      </c>
    </row>
    <row r="1004">
      <c r="A1004" s="1" t="inlineStr">
        <is>
          <t>59109722620205</t>
        </is>
      </c>
      <c r="B1004" s="1" t="inlineStr">
        <is>
          <t>ANILLO T BUGS BUTTERFLY</t>
        </is>
      </c>
      <c r="C1004" s="1" t="inlineStr">
        <is>
          <t>6</t>
        </is>
      </c>
      <c r="D1004" s="1" t="inlineStr">
        <is>
          <t>HAIFENG</t>
        </is>
      </c>
      <c r="E1004" s="4">
        <f>COUNTIF('DETALLE CRONOLÓGICO'!$A$2:$A$4919,$A1004)</f>
        <v/>
      </c>
      <c r="F1004" s="4">
        <f>SUMIFS('DETALLE CRONOLÓGICO'!$I$2:$I$4919,'DETALLE CRONOLÓGICO'!$A$2:$A$4919,$A1004)</f>
        <v/>
      </c>
      <c r="G1004" s="1">
        <f>INDEX('DETALLE CRONOLÓGICO'!$D$2:$D$4919,MATCH($A1004,'DETALLE CRONOLÓGICO'!$A$2:$A$4919,0))</f>
        <v/>
      </c>
      <c r="H1004" s="1">
        <f>INDEX('DETALLE CRONOLÓGICO'!$D$2:$D$4919,MATCH($A1004,'DETALLE CRONOLÓGICO'!$A$2:$A$4919,0)+$E1004-1)</f>
        <v/>
      </c>
      <c r="I1004" s="5">
        <f>IFERROR(SUMIFS('DETALLE CRONOLÓGICO'!$L$2:$L$4919,'DETALLE CRONOLÓGICO'!$A$2:$A$4919,$A1004)/$F1004,"")</f>
        <v/>
      </c>
      <c r="J1004" s="6">
        <f>IFERROR(SUMIFS('DETALLE CRONOLÓGICO'!$K$2:$K$4919,'DETALLE CRONOLÓGICO'!$A$2:$A$4919,$A1004)/$E1004,"")</f>
        <v/>
      </c>
      <c r="K1004" s="6">
        <f>_xlfn.MINIFS('DETALLE CRONOLÓGICO'!$K$2:$K$4919,'DETALLE CRONOLÓGICO'!$A$2:$A$4919,$A1004)</f>
        <v/>
      </c>
      <c r="L1004" s="6">
        <f>_xlfn.MAXIFS('DETALLE CRONOLÓGICO'!$K$2:$K$4919,'DETALLE CRONOLÓGICO'!$A$2:$A$4919,$A1004)</f>
        <v/>
      </c>
      <c r="M1004" s="6">
        <f>INDEX('DETALLE CRONOLÓGICO'!$K$2:$K$4919,MATCH($A1004,'DETALLE CRONOLÓGICO'!$A$2:$A$4919,0)+$E1004-1)</f>
        <v/>
      </c>
      <c r="N1004" s="7">
        <f>IFERROR($M1004/INDEX('DETALLE CRONOLÓGICO'!$K$2:$K$4919,MATCH($A1004,'DETALLE CRONOLÓGICO'!$A$2:$A$4919,0))-1,"")</f>
        <v/>
      </c>
      <c r="O1004" s="6">
        <f>IFERROR($I1004*3,"")</f>
        <v/>
      </c>
      <c r="P1004" s="6">
        <f>IFERROR($I1004*3.5,"")</f>
        <v/>
      </c>
      <c r="Q1004" s="6">
        <f>IFERROR($I1004*4,"")</f>
        <v/>
      </c>
      <c r="R1004" s="6" t="n">
        <v>450</v>
      </c>
      <c r="S1004" s="4" t="n">
        <v>2</v>
      </c>
      <c r="T1004" s="1" t="inlineStr">
        <is>
          <t>draft</t>
        </is>
      </c>
      <c r="U1004" s="8" t="n"/>
      <c r="V1004" s="1" t="inlineStr">
        <is>
          <t>SIN PRECIO</t>
        </is>
      </c>
    </row>
    <row r="1005">
      <c r="A1005" s="1" t="inlineStr">
        <is>
          <t>59109722752973</t>
        </is>
      </c>
      <c r="B1005" s="1" t="inlineStr">
        <is>
          <t>ANILLO T BUGS BUTTERFLY</t>
        </is>
      </c>
      <c r="C1005" s="1" t="inlineStr">
        <is>
          <t>7</t>
        </is>
      </c>
      <c r="D1005" s="1" t="inlineStr">
        <is>
          <t>HAIFENG</t>
        </is>
      </c>
      <c r="E1005" s="4">
        <f>COUNTIF('DETALLE CRONOLÓGICO'!$A$2:$A$4919,$A1005)</f>
        <v/>
      </c>
      <c r="F1005" s="4">
        <f>SUMIFS('DETALLE CRONOLÓGICO'!$I$2:$I$4919,'DETALLE CRONOLÓGICO'!$A$2:$A$4919,$A1005)</f>
        <v/>
      </c>
      <c r="G1005" s="1">
        <f>INDEX('DETALLE CRONOLÓGICO'!$D$2:$D$4919,MATCH($A1005,'DETALLE CRONOLÓGICO'!$A$2:$A$4919,0))</f>
        <v/>
      </c>
      <c r="H1005" s="1">
        <f>INDEX('DETALLE CRONOLÓGICO'!$D$2:$D$4919,MATCH($A1005,'DETALLE CRONOLÓGICO'!$A$2:$A$4919,0)+$E1005-1)</f>
        <v/>
      </c>
      <c r="I1005" s="5">
        <f>IFERROR(SUMIFS('DETALLE CRONOLÓGICO'!$L$2:$L$4919,'DETALLE CRONOLÓGICO'!$A$2:$A$4919,$A1005)/$F1005,"")</f>
        <v/>
      </c>
      <c r="J1005" s="6">
        <f>IFERROR(SUMIFS('DETALLE CRONOLÓGICO'!$K$2:$K$4919,'DETALLE CRONOLÓGICO'!$A$2:$A$4919,$A1005)/$E1005,"")</f>
        <v/>
      </c>
      <c r="K1005" s="6">
        <f>_xlfn.MINIFS('DETALLE CRONOLÓGICO'!$K$2:$K$4919,'DETALLE CRONOLÓGICO'!$A$2:$A$4919,$A1005)</f>
        <v/>
      </c>
      <c r="L1005" s="6">
        <f>_xlfn.MAXIFS('DETALLE CRONOLÓGICO'!$K$2:$K$4919,'DETALLE CRONOLÓGICO'!$A$2:$A$4919,$A1005)</f>
        <v/>
      </c>
      <c r="M1005" s="6">
        <f>INDEX('DETALLE CRONOLÓGICO'!$K$2:$K$4919,MATCH($A1005,'DETALLE CRONOLÓGICO'!$A$2:$A$4919,0)+$E1005-1)</f>
        <v/>
      </c>
      <c r="N1005" s="7">
        <f>IFERROR($M1005/INDEX('DETALLE CRONOLÓGICO'!$K$2:$K$4919,MATCH($A1005,'DETALLE CRONOLÓGICO'!$A$2:$A$4919,0))-1,"")</f>
        <v/>
      </c>
      <c r="O1005" s="6">
        <f>IFERROR($I1005*3,"")</f>
        <v/>
      </c>
      <c r="P1005" s="6">
        <f>IFERROR($I1005*3.5,"")</f>
        <v/>
      </c>
      <c r="Q1005" s="6">
        <f>IFERROR($I1005*4,"")</f>
        <v/>
      </c>
      <c r="R1005" s="6" t="n">
        <v>450</v>
      </c>
      <c r="S1005" s="4" t="n">
        <v>2</v>
      </c>
      <c r="T1005" s="1" t="inlineStr">
        <is>
          <t>draft</t>
        </is>
      </c>
      <c r="U1005" s="8" t="n"/>
      <c r="V1005" s="1" t="inlineStr">
        <is>
          <t>SIN PRECIO</t>
        </is>
      </c>
    </row>
    <row r="1006">
      <c r="A1006" s="1" t="inlineStr">
        <is>
          <t>59109722815117</t>
        </is>
      </c>
      <c r="B1006" s="1" t="inlineStr">
        <is>
          <t>ANILLO T LADY BUG</t>
        </is>
      </c>
      <c r="C1006" s="1" t="inlineStr">
        <is>
          <t>6</t>
        </is>
      </c>
      <c r="D1006" s="1" t="inlineStr">
        <is>
          <t>HAIFENG</t>
        </is>
      </c>
      <c r="E1006" s="4">
        <f>COUNTIF('DETALLE CRONOLÓGICO'!$A$2:$A$4919,$A1006)</f>
        <v/>
      </c>
      <c r="F1006" s="4">
        <f>SUMIFS('DETALLE CRONOLÓGICO'!$I$2:$I$4919,'DETALLE CRONOLÓGICO'!$A$2:$A$4919,$A1006)</f>
        <v/>
      </c>
      <c r="G1006" s="1">
        <f>INDEX('DETALLE CRONOLÓGICO'!$D$2:$D$4919,MATCH($A1006,'DETALLE CRONOLÓGICO'!$A$2:$A$4919,0))</f>
        <v/>
      </c>
      <c r="H1006" s="1">
        <f>INDEX('DETALLE CRONOLÓGICO'!$D$2:$D$4919,MATCH($A1006,'DETALLE CRONOLÓGICO'!$A$2:$A$4919,0)+$E1006-1)</f>
        <v/>
      </c>
      <c r="I1006" s="5">
        <f>IFERROR(SUMIFS('DETALLE CRONOLÓGICO'!$L$2:$L$4919,'DETALLE CRONOLÓGICO'!$A$2:$A$4919,$A1006)/$F1006,"")</f>
        <v/>
      </c>
      <c r="J1006" s="6">
        <f>IFERROR(SUMIFS('DETALLE CRONOLÓGICO'!$K$2:$K$4919,'DETALLE CRONOLÓGICO'!$A$2:$A$4919,$A1006)/$E1006,"")</f>
        <v/>
      </c>
      <c r="K1006" s="6">
        <f>_xlfn.MINIFS('DETALLE CRONOLÓGICO'!$K$2:$K$4919,'DETALLE CRONOLÓGICO'!$A$2:$A$4919,$A1006)</f>
        <v/>
      </c>
      <c r="L1006" s="6">
        <f>_xlfn.MAXIFS('DETALLE CRONOLÓGICO'!$K$2:$K$4919,'DETALLE CRONOLÓGICO'!$A$2:$A$4919,$A1006)</f>
        <v/>
      </c>
      <c r="M1006" s="6">
        <f>INDEX('DETALLE CRONOLÓGICO'!$K$2:$K$4919,MATCH($A1006,'DETALLE CRONOLÓGICO'!$A$2:$A$4919,0)+$E1006-1)</f>
        <v/>
      </c>
      <c r="N1006" s="7">
        <f>IFERROR($M1006/INDEX('DETALLE CRONOLÓGICO'!$K$2:$K$4919,MATCH($A1006,'DETALLE CRONOLÓGICO'!$A$2:$A$4919,0))-1,"")</f>
        <v/>
      </c>
      <c r="O1006" s="6">
        <f>IFERROR($I1006*3,"")</f>
        <v/>
      </c>
      <c r="P1006" s="6">
        <f>IFERROR($I1006*3.5,"")</f>
        <v/>
      </c>
      <c r="Q1006" s="6">
        <f>IFERROR($I1006*4,"")</f>
        <v/>
      </c>
      <c r="R1006" s="6" t="n">
        <v>450</v>
      </c>
      <c r="S1006" s="4" t="n">
        <v>2</v>
      </c>
      <c r="T1006" s="1" t="inlineStr">
        <is>
          <t>draft</t>
        </is>
      </c>
      <c r="U1006" s="8" t="n"/>
      <c r="V1006" s="1" t="inlineStr">
        <is>
          <t>SIN PRECIO</t>
        </is>
      </c>
    </row>
    <row r="1007">
      <c r="A1007" s="1" t="inlineStr">
        <is>
          <t>59109722947885</t>
        </is>
      </c>
      <c r="B1007" s="1" t="inlineStr">
        <is>
          <t>ANILLO T LADY BUG</t>
        </is>
      </c>
      <c r="C1007" s="1" t="inlineStr">
        <is>
          <t>7</t>
        </is>
      </c>
      <c r="D1007" s="1" t="inlineStr">
        <is>
          <t>HAIFENG</t>
        </is>
      </c>
      <c r="E1007" s="4">
        <f>COUNTIF('DETALLE CRONOLÓGICO'!$A$2:$A$4919,$A1007)</f>
        <v/>
      </c>
      <c r="F1007" s="4">
        <f>SUMIFS('DETALLE CRONOLÓGICO'!$I$2:$I$4919,'DETALLE CRONOLÓGICO'!$A$2:$A$4919,$A1007)</f>
        <v/>
      </c>
      <c r="G1007" s="1">
        <f>INDEX('DETALLE CRONOLÓGICO'!$D$2:$D$4919,MATCH($A1007,'DETALLE CRONOLÓGICO'!$A$2:$A$4919,0))</f>
        <v/>
      </c>
      <c r="H1007" s="1">
        <f>INDEX('DETALLE CRONOLÓGICO'!$D$2:$D$4919,MATCH($A1007,'DETALLE CRONOLÓGICO'!$A$2:$A$4919,0)+$E1007-1)</f>
        <v/>
      </c>
      <c r="I1007" s="5">
        <f>IFERROR(SUMIFS('DETALLE CRONOLÓGICO'!$L$2:$L$4919,'DETALLE CRONOLÓGICO'!$A$2:$A$4919,$A1007)/$F1007,"")</f>
        <v/>
      </c>
      <c r="J1007" s="6">
        <f>IFERROR(SUMIFS('DETALLE CRONOLÓGICO'!$K$2:$K$4919,'DETALLE CRONOLÓGICO'!$A$2:$A$4919,$A1007)/$E1007,"")</f>
        <v/>
      </c>
      <c r="K1007" s="6">
        <f>_xlfn.MINIFS('DETALLE CRONOLÓGICO'!$K$2:$K$4919,'DETALLE CRONOLÓGICO'!$A$2:$A$4919,$A1007)</f>
        <v/>
      </c>
      <c r="L1007" s="6">
        <f>_xlfn.MAXIFS('DETALLE CRONOLÓGICO'!$K$2:$K$4919,'DETALLE CRONOLÓGICO'!$A$2:$A$4919,$A1007)</f>
        <v/>
      </c>
      <c r="M1007" s="6">
        <f>INDEX('DETALLE CRONOLÓGICO'!$K$2:$K$4919,MATCH($A1007,'DETALLE CRONOLÓGICO'!$A$2:$A$4919,0)+$E1007-1)</f>
        <v/>
      </c>
      <c r="N1007" s="7">
        <f>IFERROR($M1007/INDEX('DETALLE CRONOLÓGICO'!$K$2:$K$4919,MATCH($A1007,'DETALLE CRONOLÓGICO'!$A$2:$A$4919,0))-1,"")</f>
        <v/>
      </c>
      <c r="O1007" s="6">
        <f>IFERROR($I1007*3,"")</f>
        <v/>
      </c>
      <c r="P1007" s="6">
        <f>IFERROR($I1007*3.5,"")</f>
        <v/>
      </c>
      <c r="Q1007" s="6">
        <f>IFERROR($I1007*4,"")</f>
        <v/>
      </c>
      <c r="R1007" s="6" t="n">
        <v>450</v>
      </c>
      <c r="S1007" s="4" t="n">
        <v>2</v>
      </c>
      <c r="T1007" s="1" t="inlineStr">
        <is>
          <t>draft</t>
        </is>
      </c>
      <c r="U1007" s="8" t="n"/>
      <c r="V1007" s="1" t="inlineStr">
        <is>
          <t>SIN PRECIO</t>
        </is>
      </c>
    </row>
    <row r="1008">
      <c r="A1008" s="1" t="inlineStr">
        <is>
          <t>59109723011725</t>
        </is>
      </c>
      <c r="B1008" s="1" t="inlineStr">
        <is>
          <t>ANILLO SIXTEEN STONE SCHLUM</t>
        </is>
      </c>
      <c r="C1008" s="1" t="inlineStr">
        <is>
          <t>6</t>
        </is>
      </c>
      <c r="D1008" s="1" t="inlineStr">
        <is>
          <t>HAIFENG</t>
        </is>
      </c>
      <c r="E1008" s="4">
        <f>COUNTIF('DETALLE CRONOLÓGICO'!$A$2:$A$4919,$A1008)</f>
        <v/>
      </c>
      <c r="F1008" s="4">
        <f>SUMIFS('DETALLE CRONOLÓGICO'!$I$2:$I$4919,'DETALLE CRONOLÓGICO'!$A$2:$A$4919,$A1008)</f>
        <v/>
      </c>
      <c r="G1008" s="1">
        <f>INDEX('DETALLE CRONOLÓGICO'!$D$2:$D$4919,MATCH($A1008,'DETALLE CRONOLÓGICO'!$A$2:$A$4919,0))</f>
        <v/>
      </c>
      <c r="H1008" s="1">
        <f>INDEX('DETALLE CRONOLÓGICO'!$D$2:$D$4919,MATCH($A1008,'DETALLE CRONOLÓGICO'!$A$2:$A$4919,0)+$E1008-1)</f>
        <v/>
      </c>
      <c r="I1008" s="5">
        <f>IFERROR(SUMIFS('DETALLE CRONOLÓGICO'!$L$2:$L$4919,'DETALLE CRONOLÓGICO'!$A$2:$A$4919,$A1008)/$F1008,"")</f>
        <v/>
      </c>
      <c r="J1008" s="6">
        <f>IFERROR(SUMIFS('DETALLE CRONOLÓGICO'!$K$2:$K$4919,'DETALLE CRONOLÓGICO'!$A$2:$A$4919,$A1008)/$E1008,"")</f>
        <v/>
      </c>
      <c r="K1008" s="6">
        <f>_xlfn.MINIFS('DETALLE CRONOLÓGICO'!$K$2:$K$4919,'DETALLE CRONOLÓGICO'!$A$2:$A$4919,$A1008)</f>
        <v/>
      </c>
      <c r="L1008" s="6">
        <f>_xlfn.MAXIFS('DETALLE CRONOLÓGICO'!$K$2:$K$4919,'DETALLE CRONOLÓGICO'!$A$2:$A$4919,$A1008)</f>
        <v/>
      </c>
      <c r="M1008" s="6">
        <f>INDEX('DETALLE CRONOLÓGICO'!$K$2:$K$4919,MATCH($A1008,'DETALLE CRONOLÓGICO'!$A$2:$A$4919,0)+$E1008-1)</f>
        <v/>
      </c>
      <c r="N1008" s="7">
        <f>IFERROR($M1008/INDEX('DETALLE CRONOLÓGICO'!$K$2:$K$4919,MATCH($A1008,'DETALLE CRONOLÓGICO'!$A$2:$A$4919,0))-1,"")</f>
        <v/>
      </c>
      <c r="O1008" s="6">
        <f>IFERROR($I1008*3,"")</f>
        <v/>
      </c>
      <c r="P1008" s="6">
        <f>IFERROR($I1008*3.5,"")</f>
        <v/>
      </c>
      <c r="Q1008" s="6">
        <f>IFERROR($I1008*4,"")</f>
        <v/>
      </c>
      <c r="R1008" s="6" t="n">
        <v>460</v>
      </c>
      <c r="S1008" s="4" t="n">
        <v>2</v>
      </c>
      <c r="T1008" s="1" t="inlineStr">
        <is>
          <t>active</t>
        </is>
      </c>
      <c r="U1008" s="8" t="n"/>
      <c r="V1008" s="1" t="inlineStr">
        <is>
          <t>SIN PRECIO</t>
        </is>
      </c>
    </row>
    <row r="1009">
      <c r="A1009" s="1" t="inlineStr">
        <is>
          <t>59109723144493</t>
        </is>
      </c>
      <c r="B1009" s="1" t="inlineStr">
        <is>
          <t>ANILLO SIXTEEN STONE SCHLUM</t>
        </is>
      </c>
      <c r="C1009" s="1" t="inlineStr">
        <is>
          <t>7</t>
        </is>
      </c>
      <c r="D1009" s="1" t="inlineStr">
        <is>
          <t>HAIFENG</t>
        </is>
      </c>
      <c r="E1009" s="4">
        <f>COUNTIF('DETALLE CRONOLÓGICO'!$A$2:$A$4919,$A1009)</f>
        <v/>
      </c>
      <c r="F1009" s="4">
        <f>SUMIFS('DETALLE CRONOLÓGICO'!$I$2:$I$4919,'DETALLE CRONOLÓGICO'!$A$2:$A$4919,$A1009)</f>
        <v/>
      </c>
      <c r="G1009" s="1">
        <f>INDEX('DETALLE CRONOLÓGICO'!$D$2:$D$4919,MATCH($A1009,'DETALLE CRONOLÓGICO'!$A$2:$A$4919,0))</f>
        <v/>
      </c>
      <c r="H1009" s="1">
        <f>INDEX('DETALLE CRONOLÓGICO'!$D$2:$D$4919,MATCH($A1009,'DETALLE CRONOLÓGICO'!$A$2:$A$4919,0)+$E1009-1)</f>
        <v/>
      </c>
      <c r="I1009" s="5">
        <f>IFERROR(SUMIFS('DETALLE CRONOLÓGICO'!$L$2:$L$4919,'DETALLE CRONOLÓGICO'!$A$2:$A$4919,$A1009)/$F1009,"")</f>
        <v/>
      </c>
      <c r="J1009" s="6">
        <f>IFERROR(SUMIFS('DETALLE CRONOLÓGICO'!$K$2:$K$4919,'DETALLE CRONOLÓGICO'!$A$2:$A$4919,$A1009)/$E1009,"")</f>
        <v/>
      </c>
      <c r="K1009" s="6">
        <f>_xlfn.MINIFS('DETALLE CRONOLÓGICO'!$K$2:$K$4919,'DETALLE CRONOLÓGICO'!$A$2:$A$4919,$A1009)</f>
        <v/>
      </c>
      <c r="L1009" s="6">
        <f>_xlfn.MAXIFS('DETALLE CRONOLÓGICO'!$K$2:$K$4919,'DETALLE CRONOLÓGICO'!$A$2:$A$4919,$A1009)</f>
        <v/>
      </c>
      <c r="M1009" s="6">
        <f>INDEX('DETALLE CRONOLÓGICO'!$K$2:$K$4919,MATCH($A1009,'DETALLE CRONOLÓGICO'!$A$2:$A$4919,0)+$E1009-1)</f>
        <v/>
      </c>
      <c r="N1009" s="7">
        <f>IFERROR($M1009/INDEX('DETALLE CRONOLÓGICO'!$K$2:$K$4919,MATCH($A1009,'DETALLE CRONOLÓGICO'!$A$2:$A$4919,0))-1,"")</f>
        <v/>
      </c>
      <c r="O1009" s="6">
        <f>IFERROR($I1009*3,"")</f>
        <v/>
      </c>
      <c r="P1009" s="6">
        <f>IFERROR($I1009*3.5,"")</f>
        <v/>
      </c>
      <c r="Q1009" s="6">
        <f>IFERROR($I1009*4,"")</f>
        <v/>
      </c>
      <c r="R1009" s="6" t="n">
        <v>460</v>
      </c>
      <c r="S1009" s="4" t="n">
        <v>2</v>
      </c>
      <c r="T1009" s="1" t="inlineStr">
        <is>
          <t>active</t>
        </is>
      </c>
      <c r="U1009" s="8" t="n"/>
      <c r="V1009" s="1" t="inlineStr">
        <is>
          <t>SIN PRECIO</t>
        </is>
      </c>
    </row>
    <row r="1010">
      <c r="A1010" s="1" t="inlineStr">
        <is>
          <t>59109723277261</t>
        </is>
      </c>
      <c r="B1010" s="1" t="inlineStr">
        <is>
          <t>ANILLO SIXTEEN STONE SCHLUM</t>
        </is>
      </c>
      <c r="C1010" s="1" t="inlineStr">
        <is>
          <t>8</t>
        </is>
      </c>
      <c r="D1010" s="1" t="inlineStr">
        <is>
          <t>HAIFENG</t>
        </is>
      </c>
      <c r="E1010" s="4">
        <f>COUNTIF('DETALLE CRONOLÓGICO'!$A$2:$A$4919,$A1010)</f>
        <v/>
      </c>
      <c r="F1010" s="4">
        <f>SUMIFS('DETALLE CRONOLÓGICO'!$I$2:$I$4919,'DETALLE CRONOLÓGICO'!$A$2:$A$4919,$A1010)</f>
        <v/>
      </c>
      <c r="G1010" s="1">
        <f>INDEX('DETALLE CRONOLÓGICO'!$D$2:$D$4919,MATCH($A1010,'DETALLE CRONOLÓGICO'!$A$2:$A$4919,0))</f>
        <v/>
      </c>
      <c r="H1010" s="1">
        <f>INDEX('DETALLE CRONOLÓGICO'!$D$2:$D$4919,MATCH($A1010,'DETALLE CRONOLÓGICO'!$A$2:$A$4919,0)+$E1010-1)</f>
        <v/>
      </c>
      <c r="I1010" s="5">
        <f>IFERROR(SUMIFS('DETALLE CRONOLÓGICO'!$L$2:$L$4919,'DETALLE CRONOLÓGICO'!$A$2:$A$4919,$A1010)/$F1010,"")</f>
        <v/>
      </c>
      <c r="J1010" s="6">
        <f>IFERROR(SUMIFS('DETALLE CRONOLÓGICO'!$K$2:$K$4919,'DETALLE CRONOLÓGICO'!$A$2:$A$4919,$A1010)/$E1010,"")</f>
        <v/>
      </c>
      <c r="K1010" s="6">
        <f>_xlfn.MINIFS('DETALLE CRONOLÓGICO'!$K$2:$K$4919,'DETALLE CRONOLÓGICO'!$A$2:$A$4919,$A1010)</f>
        <v/>
      </c>
      <c r="L1010" s="6">
        <f>_xlfn.MAXIFS('DETALLE CRONOLÓGICO'!$K$2:$K$4919,'DETALLE CRONOLÓGICO'!$A$2:$A$4919,$A1010)</f>
        <v/>
      </c>
      <c r="M1010" s="6">
        <f>INDEX('DETALLE CRONOLÓGICO'!$K$2:$K$4919,MATCH($A1010,'DETALLE CRONOLÓGICO'!$A$2:$A$4919,0)+$E1010-1)</f>
        <v/>
      </c>
      <c r="N1010" s="7">
        <f>IFERROR($M1010/INDEX('DETALLE CRONOLÓGICO'!$K$2:$K$4919,MATCH($A1010,'DETALLE CRONOLÓGICO'!$A$2:$A$4919,0))-1,"")</f>
        <v/>
      </c>
      <c r="O1010" s="6">
        <f>IFERROR($I1010*3,"")</f>
        <v/>
      </c>
      <c r="P1010" s="6">
        <f>IFERROR($I1010*3.5,"")</f>
        <v/>
      </c>
      <c r="Q1010" s="6">
        <f>IFERROR($I1010*4,"")</f>
        <v/>
      </c>
      <c r="R1010" s="6" t="n">
        <v>460</v>
      </c>
      <c r="S1010" s="4" t="n">
        <v>2</v>
      </c>
      <c r="T1010" s="1" t="inlineStr">
        <is>
          <t>active</t>
        </is>
      </c>
      <c r="U1010" s="8" t="n"/>
      <c r="V1010" s="1" t="inlineStr">
        <is>
          <t>SIN PRECIO</t>
        </is>
      </c>
    </row>
    <row r="1011">
      <c r="A1011" s="1" t="inlineStr">
        <is>
          <t>59109723341101</t>
        </is>
      </c>
      <c r="B1011" s="1" t="inlineStr">
        <is>
          <t>ANILLO T VICTORIA VINE</t>
        </is>
      </c>
      <c r="C1011" s="1" t="inlineStr">
        <is>
          <t>6</t>
        </is>
      </c>
      <c r="D1011" s="1" t="inlineStr">
        <is>
          <t>HAIFENG</t>
        </is>
      </c>
      <c r="E1011" s="4">
        <f>COUNTIF('DETALLE CRONOLÓGICO'!$A$2:$A$4919,$A1011)</f>
        <v/>
      </c>
      <c r="F1011" s="4">
        <f>SUMIFS('DETALLE CRONOLÓGICO'!$I$2:$I$4919,'DETALLE CRONOLÓGICO'!$A$2:$A$4919,$A1011)</f>
        <v/>
      </c>
      <c r="G1011" s="1">
        <f>INDEX('DETALLE CRONOLÓGICO'!$D$2:$D$4919,MATCH($A1011,'DETALLE CRONOLÓGICO'!$A$2:$A$4919,0))</f>
        <v/>
      </c>
      <c r="H1011" s="1">
        <f>INDEX('DETALLE CRONOLÓGICO'!$D$2:$D$4919,MATCH($A1011,'DETALLE CRONOLÓGICO'!$A$2:$A$4919,0)+$E1011-1)</f>
        <v/>
      </c>
      <c r="I1011" s="5">
        <f>IFERROR(SUMIFS('DETALLE CRONOLÓGICO'!$L$2:$L$4919,'DETALLE CRONOLÓGICO'!$A$2:$A$4919,$A1011)/$F1011,"")</f>
        <v/>
      </c>
      <c r="J1011" s="6">
        <f>IFERROR(SUMIFS('DETALLE CRONOLÓGICO'!$K$2:$K$4919,'DETALLE CRONOLÓGICO'!$A$2:$A$4919,$A1011)/$E1011,"")</f>
        <v/>
      </c>
      <c r="K1011" s="6">
        <f>_xlfn.MINIFS('DETALLE CRONOLÓGICO'!$K$2:$K$4919,'DETALLE CRONOLÓGICO'!$A$2:$A$4919,$A1011)</f>
        <v/>
      </c>
      <c r="L1011" s="6">
        <f>_xlfn.MAXIFS('DETALLE CRONOLÓGICO'!$K$2:$K$4919,'DETALLE CRONOLÓGICO'!$A$2:$A$4919,$A1011)</f>
        <v/>
      </c>
      <c r="M1011" s="6">
        <f>INDEX('DETALLE CRONOLÓGICO'!$K$2:$K$4919,MATCH($A1011,'DETALLE CRONOLÓGICO'!$A$2:$A$4919,0)+$E1011-1)</f>
        <v/>
      </c>
      <c r="N1011" s="7">
        <f>IFERROR($M1011/INDEX('DETALLE CRONOLÓGICO'!$K$2:$K$4919,MATCH($A1011,'DETALLE CRONOLÓGICO'!$A$2:$A$4919,0))-1,"")</f>
        <v/>
      </c>
      <c r="O1011" s="6">
        <f>IFERROR($I1011*3,"")</f>
        <v/>
      </c>
      <c r="P1011" s="6">
        <f>IFERROR($I1011*3.5,"")</f>
        <v/>
      </c>
      <c r="Q1011" s="6">
        <f>IFERROR($I1011*4,"")</f>
        <v/>
      </c>
      <c r="R1011" s="6" t="n">
        <v>550</v>
      </c>
      <c r="S1011" s="4" t="n">
        <v>1</v>
      </c>
      <c r="T1011" s="1" t="inlineStr">
        <is>
          <t>active</t>
        </is>
      </c>
      <c r="U1011" s="8" t="n"/>
      <c r="V1011" s="1" t="inlineStr">
        <is>
          <t>SIN PRECIO</t>
        </is>
      </c>
    </row>
    <row r="1012">
      <c r="A1012" s="1" t="inlineStr">
        <is>
          <t>59109723473869</t>
        </is>
      </c>
      <c r="B1012" s="1" t="inlineStr">
        <is>
          <t>ANILLO T VICTORIA VINE</t>
        </is>
      </c>
      <c r="C1012" s="1" t="inlineStr">
        <is>
          <t>7</t>
        </is>
      </c>
      <c r="D1012" s="1" t="inlineStr">
        <is>
          <t>HAIFENG</t>
        </is>
      </c>
      <c r="E1012" s="4">
        <f>COUNTIF('DETALLE CRONOLÓGICO'!$A$2:$A$4919,$A1012)</f>
        <v/>
      </c>
      <c r="F1012" s="4">
        <f>SUMIFS('DETALLE CRONOLÓGICO'!$I$2:$I$4919,'DETALLE CRONOLÓGICO'!$A$2:$A$4919,$A1012)</f>
        <v/>
      </c>
      <c r="G1012" s="1">
        <f>INDEX('DETALLE CRONOLÓGICO'!$D$2:$D$4919,MATCH($A1012,'DETALLE CRONOLÓGICO'!$A$2:$A$4919,0))</f>
        <v/>
      </c>
      <c r="H1012" s="1">
        <f>INDEX('DETALLE CRONOLÓGICO'!$D$2:$D$4919,MATCH($A1012,'DETALLE CRONOLÓGICO'!$A$2:$A$4919,0)+$E1012-1)</f>
        <v/>
      </c>
      <c r="I1012" s="5">
        <f>IFERROR(SUMIFS('DETALLE CRONOLÓGICO'!$L$2:$L$4919,'DETALLE CRONOLÓGICO'!$A$2:$A$4919,$A1012)/$F1012,"")</f>
        <v/>
      </c>
      <c r="J1012" s="6">
        <f>IFERROR(SUMIFS('DETALLE CRONOLÓGICO'!$K$2:$K$4919,'DETALLE CRONOLÓGICO'!$A$2:$A$4919,$A1012)/$E1012,"")</f>
        <v/>
      </c>
      <c r="K1012" s="6">
        <f>_xlfn.MINIFS('DETALLE CRONOLÓGICO'!$K$2:$K$4919,'DETALLE CRONOLÓGICO'!$A$2:$A$4919,$A1012)</f>
        <v/>
      </c>
      <c r="L1012" s="6">
        <f>_xlfn.MAXIFS('DETALLE CRONOLÓGICO'!$K$2:$K$4919,'DETALLE CRONOLÓGICO'!$A$2:$A$4919,$A1012)</f>
        <v/>
      </c>
      <c r="M1012" s="6">
        <f>INDEX('DETALLE CRONOLÓGICO'!$K$2:$K$4919,MATCH($A1012,'DETALLE CRONOLÓGICO'!$A$2:$A$4919,0)+$E1012-1)</f>
        <v/>
      </c>
      <c r="N1012" s="7">
        <f>IFERROR($M1012/INDEX('DETALLE CRONOLÓGICO'!$K$2:$K$4919,MATCH($A1012,'DETALLE CRONOLÓGICO'!$A$2:$A$4919,0))-1,"")</f>
        <v/>
      </c>
      <c r="O1012" s="6">
        <f>IFERROR($I1012*3,"")</f>
        <v/>
      </c>
      <c r="P1012" s="6">
        <f>IFERROR($I1012*3.5,"")</f>
        <v/>
      </c>
      <c r="Q1012" s="6">
        <f>IFERROR($I1012*4,"")</f>
        <v/>
      </c>
      <c r="R1012" s="6" t="n">
        <v>550</v>
      </c>
      <c r="S1012" s="4" t="n">
        <v>2</v>
      </c>
      <c r="T1012" s="1" t="inlineStr">
        <is>
          <t>active</t>
        </is>
      </c>
      <c r="U1012" s="8" t="n"/>
      <c r="V1012" s="1" t="inlineStr">
        <is>
          <t>SIN PRECIO</t>
        </is>
      </c>
    </row>
    <row r="1013">
      <c r="A1013" s="1" t="inlineStr">
        <is>
          <t>59109723572173</t>
        </is>
      </c>
      <c r="B1013" s="1" t="inlineStr">
        <is>
          <t>ANILLO T STERLING SILVER</t>
        </is>
      </c>
      <c r="C1013" s="1" t="inlineStr">
        <is>
          <t>8</t>
        </is>
      </c>
      <c r="D1013" s="1" t="inlineStr">
        <is>
          <t>HAIFENG</t>
        </is>
      </c>
      <c r="E1013" s="4">
        <f>COUNTIF('DETALLE CRONOLÓGICO'!$A$2:$A$4919,$A1013)</f>
        <v/>
      </c>
      <c r="F1013" s="4">
        <f>SUMIFS('DETALLE CRONOLÓGICO'!$I$2:$I$4919,'DETALLE CRONOLÓGICO'!$A$2:$A$4919,$A1013)</f>
        <v/>
      </c>
      <c r="G1013" s="1">
        <f>INDEX('DETALLE CRONOLÓGICO'!$D$2:$D$4919,MATCH($A1013,'DETALLE CRONOLÓGICO'!$A$2:$A$4919,0))</f>
        <v/>
      </c>
      <c r="H1013" s="1">
        <f>INDEX('DETALLE CRONOLÓGICO'!$D$2:$D$4919,MATCH($A1013,'DETALLE CRONOLÓGICO'!$A$2:$A$4919,0)+$E1013-1)</f>
        <v/>
      </c>
      <c r="I1013" s="5">
        <f>IFERROR(SUMIFS('DETALLE CRONOLÓGICO'!$L$2:$L$4919,'DETALLE CRONOLÓGICO'!$A$2:$A$4919,$A1013)/$F1013,"")</f>
        <v/>
      </c>
      <c r="J1013" s="6">
        <f>IFERROR(SUMIFS('DETALLE CRONOLÓGICO'!$K$2:$K$4919,'DETALLE CRONOLÓGICO'!$A$2:$A$4919,$A1013)/$E1013,"")</f>
        <v/>
      </c>
      <c r="K1013" s="6">
        <f>_xlfn.MINIFS('DETALLE CRONOLÓGICO'!$K$2:$K$4919,'DETALLE CRONOLÓGICO'!$A$2:$A$4919,$A1013)</f>
        <v/>
      </c>
      <c r="L1013" s="6">
        <f>_xlfn.MAXIFS('DETALLE CRONOLÓGICO'!$K$2:$K$4919,'DETALLE CRONOLÓGICO'!$A$2:$A$4919,$A1013)</f>
        <v/>
      </c>
      <c r="M1013" s="6">
        <f>INDEX('DETALLE CRONOLÓGICO'!$K$2:$K$4919,MATCH($A1013,'DETALLE CRONOLÓGICO'!$A$2:$A$4919,0)+$E1013-1)</f>
        <v/>
      </c>
      <c r="N1013" s="7">
        <f>IFERROR($M1013/INDEX('DETALLE CRONOLÓGICO'!$K$2:$K$4919,MATCH($A1013,'DETALLE CRONOLÓGICO'!$A$2:$A$4919,0))-1,"")</f>
        <v/>
      </c>
      <c r="O1013" s="6">
        <f>IFERROR($I1013*3,"")</f>
        <v/>
      </c>
      <c r="P1013" s="6">
        <f>IFERROR($I1013*3.5,"")</f>
        <v/>
      </c>
      <c r="Q1013" s="6">
        <f>IFERROR($I1013*4,"")</f>
        <v/>
      </c>
      <c r="R1013" s="6" t="n">
        <v>0</v>
      </c>
      <c r="S1013" s="4" t="n">
        <v>2</v>
      </c>
      <c r="T1013" s="1" t="inlineStr">
        <is>
          <t>draft</t>
        </is>
      </c>
      <c r="U1013" s="8" t="n"/>
      <c r="V1013" s="1" t="inlineStr">
        <is>
          <t>SIN PRECIO</t>
        </is>
      </c>
    </row>
    <row r="1014">
      <c r="A1014" s="1" t="inlineStr">
        <is>
          <t>59109723604941</t>
        </is>
      </c>
      <c r="B1014" s="1" t="inlineStr">
        <is>
          <t>ANILLO T STERLING SILVER</t>
        </is>
      </c>
      <c r="C1014" s="1" t="inlineStr">
        <is>
          <t>9</t>
        </is>
      </c>
      <c r="D1014" s="1" t="inlineStr">
        <is>
          <t>HAIFENG</t>
        </is>
      </c>
      <c r="E1014" s="4">
        <f>COUNTIF('DETALLE CRONOLÓGICO'!$A$2:$A$4919,$A1014)</f>
        <v/>
      </c>
      <c r="F1014" s="4">
        <f>SUMIFS('DETALLE CRONOLÓGICO'!$I$2:$I$4919,'DETALLE CRONOLÓGICO'!$A$2:$A$4919,$A1014)</f>
        <v/>
      </c>
      <c r="G1014" s="1">
        <f>INDEX('DETALLE CRONOLÓGICO'!$D$2:$D$4919,MATCH($A1014,'DETALLE CRONOLÓGICO'!$A$2:$A$4919,0))</f>
        <v/>
      </c>
      <c r="H1014" s="1">
        <f>INDEX('DETALLE CRONOLÓGICO'!$D$2:$D$4919,MATCH($A1014,'DETALLE CRONOLÓGICO'!$A$2:$A$4919,0)+$E1014-1)</f>
        <v/>
      </c>
      <c r="I1014" s="5">
        <f>IFERROR(SUMIFS('DETALLE CRONOLÓGICO'!$L$2:$L$4919,'DETALLE CRONOLÓGICO'!$A$2:$A$4919,$A1014)/$F1014,"")</f>
        <v/>
      </c>
      <c r="J1014" s="6">
        <f>IFERROR(SUMIFS('DETALLE CRONOLÓGICO'!$K$2:$K$4919,'DETALLE CRONOLÓGICO'!$A$2:$A$4919,$A1014)/$E1014,"")</f>
        <v/>
      </c>
      <c r="K1014" s="6">
        <f>_xlfn.MINIFS('DETALLE CRONOLÓGICO'!$K$2:$K$4919,'DETALLE CRONOLÓGICO'!$A$2:$A$4919,$A1014)</f>
        <v/>
      </c>
      <c r="L1014" s="6">
        <f>_xlfn.MAXIFS('DETALLE CRONOLÓGICO'!$K$2:$K$4919,'DETALLE CRONOLÓGICO'!$A$2:$A$4919,$A1014)</f>
        <v/>
      </c>
      <c r="M1014" s="6">
        <f>INDEX('DETALLE CRONOLÓGICO'!$K$2:$K$4919,MATCH($A1014,'DETALLE CRONOLÓGICO'!$A$2:$A$4919,0)+$E1014-1)</f>
        <v/>
      </c>
      <c r="N1014" s="7">
        <f>IFERROR($M1014/INDEX('DETALLE CRONOLÓGICO'!$K$2:$K$4919,MATCH($A1014,'DETALLE CRONOLÓGICO'!$A$2:$A$4919,0))-1,"")</f>
        <v/>
      </c>
      <c r="O1014" s="6">
        <f>IFERROR($I1014*3,"")</f>
        <v/>
      </c>
      <c r="P1014" s="6">
        <f>IFERROR($I1014*3.5,"")</f>
        <v/>
      </c>
      <c r="Q1014" s="6">
        <f>IFERROR($I1014*4,"")</f>
        <v/>
      </c>
      <c r="R1014" s="6" t="n">
        <v>0</v>
      </c>
      <c r="S1014" s="4" t="n">
        <v>1</v>
      </c>
      <c r="T1014" s="1" t="inlineStr">
        <is>
          <t>draft</t>
        </is>
      </c>
      <c r="U1014" s="8" t="n"/>
      <c r="V1014" s="1" t="inlineStr">
        <is>
          <t>SIN PRECIO</t>
        </is>
      </c>
    </row>
    <row r="1015">
      <c r="A1015" s="1" t="inlineStr">
        <is>
          <t>59109723736013</t>
        </is>
      </c>
      <c r="B1015" s="1" t="inlineStr">
        <is>
          <t>PULSERA T DOUBLE CHAIN SILVER</t>
        </is>
      </c>
      <c r="C1015" s="1" t="inlineStr">
        <is>
          <t>Default Title</t>
        </is>
      </c>
      <c r="D1015" s="1" t="inlineStr">
        <is>
          <t>HAIFENG</t>
        </is>
      </c>
      <c r="E1015" s="4">
        <f>COUNTIF('DETALLE CRONOLÓGICO'!$A$2:$A$4919,$A1015)</f>
        <v/>
      </c>
      <c r="F1015" s="4">
        <f>SUMIFS('DETALLE CRONOLÓGICO'!$I$2:$I$4919,'DETALLE CRONOLÓGICO'!$A$2:$A$4919,$A1015)</f>
        <v/>
      </c>
      <c r="G1015" s="1">
        <f>INDEX('DETALLE CRONOLÓGICO'!$D$2:$D$4919,MATCH($A1015,'DETALLE CRONOLÓGICO'!$A$2:$A$4919,0))</f>
        <v/>
      </c>
      <c r="H1015" s="1">
        <f>INDEX('DETALLE CRONOLÓGICO'!$D$2:$D$4919,MATCH($A1015,'DETALLE CRONOLÓGICO'!$A$2:$A$4919,0)+$E1015-1)</f>
        <v/>
      </c>
      <c r="I1015" s="5">
        <f>IFERROR(SUMIFS('DETALLE CRONOLÓGICO'!$L$2:$L$4919,'DETALLE CRONOLÓGICO'!$A$2:$A$4919,$A1015)/$F1015,"")</f>
        <v/>
      </c>
      <c r="J1015" s="6">
        <f>IFERROR(SUMIFS('DETALLE CRONOLÓGICO'!$K$2:$K$4919,'DETALLE CRONOLÓGICO'!$A$2:$A$4919,$A1015)/$E1015,"")</f>
        <v/>
      </c>
      <c r="K1015" s="6">
        <f>_xlfn.MINIFS('DETALLE CRONOLÓGICO'!$K$2:$K$4919,'DETALLE CRONOLÓGICO'!$A$2:$A$4919,$A1015)</f>
        <v/>
      </c>
      <c r="L1015" s="6">
        <f>_xlfn.MAXIFS('DETALLE CRONOLÓGICO'!$K$2:$K$4919,'DETALLE CRONOLÓGICO'!$A$2:$A$4919,$A1015)</f>
        <v/>
      </c>
      <c r="M1015" s="6">
        <f>INDEX('DETALLE CRONOLÓGICO'!$K$2:$K$4919,MATCH($A1015,'DETALLE CRONOLÓGICO'!$A$2:$A$4919,0)+$E1015-1)</f>
        <v/>
      </c>
      <c r="N1015" s="7">
        <f>IFERROR($M1015/INDEX('DETALLE CRONOLÓGICO'!$K$2:$K$4919,MATCH($A1015,'DETALLE CRONOLÓGICO'!$A$2:$A$4919,0))-1,"")</f>
        <v/>
      </c>
      <c r="O1015" s="6">
        <f>IFERROR($I1015*3,"")</f>
        <v/>
      </c>
      <c r="P1015" s="6">
        <f>IFERROR($I1015*3.5,"")</f>
        <v/>
      </c>
      <c r="Q1015" s="6">
        <f>IFERROR($I1015*4,"")</f>
        <v/>
      </c>
      <c r="R1015" s="6" t="n">
        <v>0</v>
      </c>
      <c r="S1015" s="4" t="n">
        <v>2</v>
      </c>
      <c r="T1015" s="1" t="inlineStr">
        <is>
          <t>draft</t>
        </is>
      </c>
      <c r="U1015" s="8" t="n"/>
      <c r="V1015" s="1" t="inlineStr">
        <is>
          <t>SIN PRECIO</t>
        </is>
      </c>
    </row>
    <row r="1016">
      <c r="A1016" s="1" t="inlineStr">
        <is>
          <t>59109723868781</t>
        </is>
      </c>
      <c r="B1016" s="1" t="inlineStr">
        <is>
          <t>COLLAR T LOVE ENTRELAZADOS</t>
        </is>
      </c>
      <c r="C1016" s="1" t="inlineStr">
        <is>
          <t>Default Title</t>
        </is>
      </c>
      <c r="D1016" s="1" t="inlineStr">
        <is>
          <t>HAIFENG</t>
        </is>
      </c>
      <c r="E1016" s="4">
        <f>COUNTIF('DETALLE CRONOLÓGICO'!$A$2:$A$4919,$A1016)</f>
        <v/>
      </c>
      <c r="F1016" s="4">
        <f>SUMIFS('DETALLE CRONOLÓGICO'!$I$2:$I$4919,'DETALLE CRONOLÓGICO'!$A$2:$A$4919,$A1016)</f>
        <v/>
      </c>
      <c r="G1016" s="1">
        <f>INDEX('DETALLE CRONOLÓGICO'!$D$2:$D$4919,MATCH($A1016,'DETALLE CRONOLÓGICO'!$A$2:$A$4919,0))</f>
        <v/>
      </c>
      <c r="H1016" s="1">
        <f>INDEX('DETALLE CRONOLÓGICO'!$D$2:$D$4919,MATCH($A1016,'DETALLE CRONOLÓGICO'!$A$2:$A$4919,0)+$E1016-1)</f>
        <v/>
      </c>
      <c r="I1016" s="5">
        <f>IFERROR(SUMIFS('DETALLE CRONOLÓGICO'!$L$2:$L$4919,'DETALLE CRONOLÓGICO'!$A$2:$A$4919,$A1016)/$F1016,"")</f>
        <v/>
      </c>
      <c r="J1016" s="6">
        <f>IFERROR(SUMIFS('DETALLE CRONOLÓGICO'!$K$2:$K$4919,'DETALLE CRONOLÓGICO'!$A$2:$A$4919,$A1016)/$E1016,"")</f>
        <v/>
      </c>
      <c r="K1016" s="6">
        <f>_xlfn.MINIFS('DETALLE CRONOLÓGICO'!$K$2:$K$4919,'DETALLE CRONOLÓGICO'!$A$2:$A$4919,$A1016)</f>
        <v/>
      </c>
      <c r="L1016" s="6">
        <f>_xlfn.MAXIFS('DETALLE CRONOLÓGICO'!$K$2:$K$4919,'DETALLE CRONOLÓGICO'!$A$2:$A$4919,$A1016)</f>
        <v/>
      </c>
      <c r="M1016" s="6">
        <f>INDEX('DETALLE CRONOLÓGICO'!$K$2:$K$4919,MATCH($A1016,'DETALLE CRONOLÓGICO'!$A$2:$A$4919,0)+$E1016-1)</f>
        <v/>
      </c>
      <c r="N1016" s="7">
        <f>IFERROR($M1016/INDEX('DETALLE CRONOLÓGICO'!$K$2:$K$4919,MATCH($A1016,'DETALLE CRONOLÓGICO'!$A$2:$A$4919,0))-1,"")</f>
        <v/>
      </c>
      <c r="O1016" s="6">
        <f>IFERROR($I1016*3,"")</f>
        <v/>
      </c>
      <c r="P1016" s="6">
        <f>IFERROR($I1016*3.5,"")</f>
        <v/>
      </c>
      <c r="Q1016" s="6">
        <f>IFERROR($I1016*4,"")</f>
        <v/>
      </c>
      <c r="R1016" s="6" t="n">
        <v>0</v>
      </c>
      <c r="S1016" s="4" t="n">
        <v>1</v>
      </c>
      <c r="T1016" s="1" t="inlineStr">
        <is>
          <t>draft</t>
        </is>
      </c>
      <c r="U1016" s="8" t="n"/>
      <c r="V1016" s="1" t="inlineStr">
        <is>
          <t>SIN PRECIO</t>
        </is>
      </c>
    </row>
    <row r="1017">
      <c r="A1017" s="1" t="inlineStr">
        <is>
          <t>59109723934317</t>
        </is>
      </c>
      <c r="B1017" s="1" t="inlineStr">
        <is>
          <t>COLLAR T FLOWER SILVER</t>
        </is>
      </c>
      <c r="C1017" s="1" t="inlineStr">
        <is>
          <t>Default Title</t>
        </is>
      </c>
      <c r="D1017" s="1" t="inlineStr">
        <is>
          <t>HAIFENG</t>
        </is>
      </c>
      <c r="E1017" s="4">
        <f>COUNTIF('DETALLE CRONOLÓGICO'!$A$2:$A$4919,$A1017)</f>
        <v/>
      </c>
      <c r="F1017" s="4">
        <f>SUMIFS('DETALLE CRONOLÓGICO'!$I$2:$I$4919,'DETALLE CRONOLÓGICO'!$A$2:$A$4919,$A1017)</f>
        <v/>
      </c>
      <c r="G1017" s="1">
        <f>INDEX('DETALLE CRONOLÓGICO'!$D$2:$D$4919,MATCH($A1017,'DETALLE CRONOLÓGICO'!$A$2:$A$4919,0))</f>
        <v/>
      </c>
      <c r="H1017" s="1">
        <f>INDEX('DETALLE CRONOLÓGICO'!$D$2:$D$4919,MATCH($A1017,'DETALLE CRONOLÓGICO'!$A$2:$A$4919,0)+$E1017-1)</f>
        <v/>
      </c>
      <c r="I1017" s="5">
        <f>IFERROR(SUMIFS('DETALLE CRONOLÓGICO'!$L$2:$L$4919,'DETALLE CRONOLÓGICO'!$A$2:$A$4919,$A1017)/$F1017,"")</f>
        <v/>
      </c>
      <c r="J1017" s="6">
        <f>IFERROR(SUMIFS('DETALLE CRONOLÓGICO'!$K$2:$K$4919,'DETALLE CRONOLÓGICO'!$A$2:$A$4919,$A1017)/$E1017,"")</f>
        <v/>
      </c>
      <c r="K1017" s="6">
        <f>_xlfn.MINIFS('DETALLE CRONOLÓGICO'!$K$2:$K$4919,'DETALLE CRONOLÓGICO'!$A$2:$A$4919,$A1017)</f>
        <v/>
      </c>
      <c r="L1017" s="6">
        <f>_xlfn.MAXIFS('DETALLE CRONOLÓGICO'!$K$2:$K$4919,'DETALLE CRONOLÓGICO'!$A$2:$A$4919,$A1017)</f>
        <v/>
      </c>
      <c r="M1017" s="6">
        <f>INDEX('DETALLE CRONOLÓGICO'!$K$2:$K$4919,MATCH($A1017,'DETALLE CRONOLÓGICO'!$A$2:$A$4919,0)+$E1017-1)</f>
        <v/>
      </c>
      <c r="N1017" s="7">
        <f>IFERROR($M1017/INDEX('DETALLE CRONOLÓGICO'!$K$2:$K$4919,MATCH($A1017,'DETALLE CRONOLÓGICO'!$A$2:$A$4919,0))-1,"")</f>
        <v/>
      </c>
      <c r="O1017" s="6">
        <f>IFERROR($I1017*3,"")</f>
        <v/>
      </c>
      <c r="P1017" s="6">
        <f>IFERROR($I1017*3.5,"")</f>
        <v/>
      </c>
      <c r="Q1017" s="6">
        <f>IFERROR($I1017*4,"")</f>
        <v/>
      </c>
      <c r="R1017" s="6" t="n">
        <v>0</v>
      </c>
      <c r="S1017" s="4" t="n">
        <v>2</v>
      </c>
      <c r="T1017" s="1" t="inlineStr">
        <is>
          <t>draft</t>
        </is>
      </c>
      <c r="U1017" s="8" t="n"/>
      <c r="V1017" s="1" t="inlineStr">
        <is>
          <t>SIN PRECIO</t>
        </is>
      </c>
    </row>
    <row r="1018">
      <c r="A1018" s="1" t="inlineStr">
        <is>
          <t>59109724067085</t>
        </is>
      </c>
      <c r="B1018" s="1" t="inlineStr">
        <is>
          <t>COLLAR T BUGS BUTTERFLY ROSE GOLD</t>
        </is>
      </c>
      <c r="C1018" s="1" t="inlineStr">
        <is>
          <t>Default Title</t>
        </is>
      </c>
      <c r="D1018" s="1" t="inlineStr">
        <is>
          <t>HAIFENG</t>
        </is>
      </c>
      <c r="E1018" s="4">
        <f>COUNTIF('DETALLE CRONOLÓGICO'!$A$2:$A$4919,$A1018)</f>
        <v/>
      </c>
      <c r="F1018" s="4">
        <f>SUMIFS('DETALLE CRONOLÓGICO'!$I$2:$I$4919,'DETALLE CRONOLÓGICO'!$A$2:$A$4919,$A1018)</f>
        <v/>
      </c>
      <c r="G1018" s="1">
        <f>INDEX('DETALLE CRONOLÓGICO'!$D$2:$D$4919,MATCH($A1018,'DETALLE CRONOLÓGICO'!$A$2:$A$4919,0))</f>
        <v/>
      </c>
      <c r="H1018" s="1">
        <f>INDEX('DETALLE CRONOLÓGICO'!$D$2:$D$4919,MATCH($A1018,'DETALLE CRONOLÓGICO'!$A$2:$A$4919,0)+$E1018-1)</f>
        <v/>
      </c>
      <c r="I1018" s="5">
        <f>IFERROR(SUMIFS('DETALLE CRONOLÓGICO'!$L$2:$L$4919,'DETALLE CRONOLÓGICO'!$A$2:$A$4919,$A1018)/$F1018,"")</f>
        <v/>
      </c>
      <c r="J1018" s="6">
        <f>IFERROR(SUMIFS('DETALLE CRONOLÓGICO'!$K$2:$K$4919,'DETALLE CRONOLÓGICO'!$A$2:$A$4919,$A1018)/$E1018,"")</f>
        <v/>
      </c>
      <c r="K1018" s="6">
        <f>_xlfn.MINIFS('DETALLE CRONOLÓGICO'!$K$2:$K$4919,'DETALLE CRONOLÓGICO'!$A$2:$A$4919,$A1018)</f>
        <v/>
      </c>
      <c r="L1018" s="6">
        <f>_xlfn.MAXIFS('DETALLE CRONOLÓGICO'!$K$2:$K$4919,'DETALLE CRONOLÓGICO'!$A$2:$A$4919,$A1018)</f>
        <v/>
      </c>
      <c r="M1018" s="6">
        <f>INDEX('DETALLE CRONOLÓGICO'!$K$2:$K$4919,MATCH($A1018,'DETALLE CRONOLÓGICO'!$A$2:$A$4919,0)+$E1018-1)</f>
        <v/>
      </c>
      <c r="N1018" s="7">
        <f>IFERROR($M1018/INDEX('DETALLE CRONOLÓGICO'!$K$2:$K$4919,MATCH($A1018,'DETALLE CRONOLÓGICO'!$A$2:$A$4919,0))-1,"")</f>
        <v/>
      </c>
      <c r="O1018" s="6">
        <f>IFERROR($I1018*3,"")</f>
        <v/>
      </c>
      <c r="P1018" s="6">
        <f>IFERROR($I1018*3.5,"")</f>
        <v/>
      </c>
      <c r="Q1018" s="6">
        <f>IFERROR($I1018*4,"")</f>
        <v/>
      </c>
      <c r="R1018" s="6" t="n">
        <v>0</v>
      </c>
      <c r="S1018" s="4" t="n">
        <v>2</v>
      </c>
      <c r="T1018" s="1" t="inlineStr">
        <is>
          <t>draft</t>
        </is>
      </c>
      <c r="U1018" s="8" t="n"/>
      <c r="V1018" s="1" t="inlineStr">
        <is>
          <t>SIN PRECIO</t>
        </is>
      </c>
    </row>
    <row r="1019">
      <c r="A1019" s="1" t="inlineStr">
        <is>
          <t>59109724194765</t>
        </is>
      </c>
      <c r="B1019" s="1" t="inlineStr">
        <is>
          <t>COLLAR T ENAMEL LADYBUG</t>
        </is>
      </c>
      <c r="C1019" s="1" t="inlineStr">
        <is>
          <t>Default Title</t>
        </is>
      </c>
      <c r="D1019" s="1" t="inlineStr">
        <is>
          <t>HAIFENG</t>
        </is>
      </c>
      <c r="E1019" s="4">
        <f>COUNTIF('DETALLE CRONOLÓGICO'!$A$2:$A$4919,$A1019)</f>
        <v/>
      </c>
      <c r="F1019" s="4">
        <f>SUMIFS('DETALLE CRONOLÓGICO'!$I$2:$I$4919,'DETALLE CRONOLÓGICO'!$A$2:$A$4919,$A1019)</f>
        <v/>
      </c>
      <c r="G1019" s="1">
        <f>INDEX('DETALLE CRONOLÓGICO'!$D$2:$D$4919,MATCH($A1019,'DETALLE CRONOLÓGICO'!$A$2:$A$4919,0))</f>
        <v/>
      </c>
      <c r="H1019" s="1">
        <f>INDEX('DETALLE CRONOLÓGICO'!$D$2:$D$4919,MATCH($A1019,'DETALLE CRONOLÓGICO'!$A$2:$A$4919,0)+$E1019-1)</f>
        <v/>
      </c>
      <c r="I1019" s="5">
        <f>IFERROR(SUMIFS('DETALLE CRONOLÓGICO'!$L$2:$L$4919,'DETALLE CRONOLÓGICO'!$A$2:$A$4919,$A1019)/$F1019,"")</f>
        <v/>
      </c>
      <c r="J1019" s="6">
        <f>IFERROR(SUMIFS('DETALLE CRONOLÓGICO'!$K$2:$K$4919,'DETALLE CRONOLÓGICO'!$A$2:$A$4919,$A1019)/$E1019,"")</f>
        <v/>
      </c>
      <c r="K1019" s="6">
        <f>_xlfn.MINIFS('DETALLE CRONOLÓGICO'!$K$2:$K$4919,'DETALLE CRONOLÓGICO'!$A$2:$A$4919,$A1019)</f>
        <v/>
      </c>
      <c r="L1019" s="6">
        <f>_xlfn.MAXIFS('DETALLE CRONOLÓGICO'!$K$2:$K$4919,'DETALLE CRONOLÓGICO'!$A$2:$A$4919,$A1019)</f>
        <v/>
      </c>
      <c r="M1019" s="6">
        <f>INDEX('DETALLE CRONOLÓGICO'!$K$2:$K$4919,MATCH($A1019,'DETALLE CRONOLÓGICO'!$A$2:$A$4919,0)+$E1019-1)</f>
        <v/>
      </c>
      <c r="N1019" s="7">
        <f>IFERROR($M1019/INDEX('DETALLE CRONOLÓGICO'!$K$2:$K$4919,MATCH($A1019,'DETALLE CRONOLÓGICO'!$A$2:$A$4919,0))-1,"")</f>
        <v/>
      </c>
      <c r="O1019" s="6">
        <f>IFERROR($I1019*3,"")</f>
        <v/>
      </c>
      <c r="P1019" s="6">
        <f>IFERROR($I1019*3.5,"")</f>
        <v/>
      </c>
      <c r="Q1019" s="6">
        <f>IFERROR($I1019*4,"")</f>
        <v/>
      </c>
      <c r="R1019" s="6" t="n">
        <v>550</v>
      </c>
      <c r="S1019" s="4" t="n">
        <v>2</v>
      </c>
      <c r="T1019" s="1" t="inlineStr">
        <is>
          <t>active</t>
        </is>
      </c>
      <c r="U1019" s="8" t="n"/>
      <c r="V1019" s="1" t="inlineStr">
        <is>
          <t>SIN PRECIO</t>
        </is>
      </c>
    </row>
    <row r="1020">
      <c r="A1020" s="1" t="inlineStr">
        <is>
          <t>59416971022989</t>
        </is>
      </c>
      <c r="B1020" s="1" t="n"/>
      <c r="C1020" s="1" t="inlineStr">
        <is>
          <t>26cmX21cmX6cm</t>
        </is>
      </c>
      <c r="D1020" s="1" t="inlineStr">
        <is>
          <t>CYNTHIA</t>
        </is>
      </c>
      <c r="E1020" s="4">
        <f>COUNTIF('DETALLE CRONOLÓGICO'!$A$2:$A$4919,$A1020)</f>
        <v/>
      </c>
      <c r="F1020" s="4">
        <f>SUMIFS('DETALLE CRONOLÓGICO'!$I$2:$I$4919,'DETALLE CRONOLÓGICO'!$A$2:$A$4919,$A1020)</f>
        <v/>
      </c>
      <c r="G1020" s="1">
        <f>INDEX('DETALLE CRONOLÓGICO'!$D$2:$D$4919,MATCH($A1020,'DETALLE CRONOLÓGICO'!$A$2:$A$4919,0))</f>
        <v/>
      </c>
      <c r="H1020" s="1">
        <f>INDEX('DETALLE CRONOLÓGICO'!$D$2:$D$4919,MATCH($A1020,'DETALLE CRONOLÓGICO'!$A$2:$A$4919,0)+$E1020-1)</f>
        <v/>
      </c>
      <c r="I1020" s="5">
        <f>IFERROR(SUMIFS('DETALLE CRONOLÓGICO'!$L$2:$L$4919,'DETALLE CRONOLÓGICO'!$A$2:$A$4919,$A1020)/$F1020,"")</f>
        <v/>
      </c>
      <c r="J1020" s="6">
        <f>IFERROR(SUMIFS('DETALLE CRONOLÓGICO'!$K$2:$K$4919,'DETALLE CRONOLÓGICO'!$A$2:$A$4919,$A1020)/$E1020,"")</f>
        <v/>
      </c>
      <c r="K1020" s="6">
        <f>_xlfn.MINIFS('DETALLE CRONOLÓGICO'!$K$2:$K$4919,'DETALLE CRONOLÓGICO'!$A$2:$A$4919,$A1020)</f>
        <v/>
      </c>
      <c r="L1020" s="6">
        <f>_xlfn.MAXIFS('DETALLE CRONOLÓGICO'!$K$2:$K$4919,'DETALLE CRONOLÓGICO'!$A$2:$A$4919,$A1020)</f>
        <v/>
      </c>
      <c r="M1020" s="6">
        <f>INDEX('DETALLE CRONOLÓGICO'!$K$2:$K$4919,MATCH($A1020,'DETALLE CRONOLÓGICO'!$A$2:$A$4919,0)+$E1020-1)</f>
        <v/>
      </c>
      <c r="N1020" s="7">
        <f>IFERROR($M1020/INDEX('DETALLE CRONOLÓGICO'!$K$2:$K$4919,MATCH($A1020,'DETALLE CRONOLÓGICO'!$A$2:$A$4919,0))-1,"")</f>
        <v/>
      </c>
      <c r="O1020" s="6">
        <f>IFERROR($I1020*3,"")</f>
        <v/>
      </c>
      <c r="P1020" s="6">
        <f>IFERROR($I1020*3.5,"")</f>
        <v/>
      </c>
      <c r="Q1020" s="6">
        <f>IFERROR($I1020*4,"")</f>
        <v/>
      </c>
      <c r="R1020" s="6" t="n">
        <v>5519</v>
      </c>
      <c r="S1020" s="4" t="n">
        <v>0</v>
      </c>
      <c r="T1020" s="1" t="inlineStr">
        <is>
          <t>active</t>
        </is>
      </c>
      <c r="U1020" s="8" t="n"/>
      <c r="V1020" s="1" t="inlineStr">
        <is>
          <t>SIN PRECIO</t>
        </is>
      </c>
    </row>
    <row r="1021">
      <c r="A1021" s="1" t="inlineStr">
        <is>
          <t>59436481029869</t>
        </is>
      </c>
      <c r="B1021" s="1" t="inlineStr">
        <is>
          <t>ANILLO LOVE CON ZIRCONIA SILVER</t>
        </is>
      </c>
      <c r="C1021" s="1" t="inlineStr">
        <is>
          <t>5</t>
        </is>
      </c>
      <c r="D1021" s="1" t="inlineStr">
        <is>
          <t>HAIFENG</t>
        </is>
      </c>
      <c r="E1021" s="4">
        <f>COUNTIF('DETALLE CRONOLÓGICO'!$A$2:$A$4919,$A1021)</f>
        <v/>
      </c>
      <c r="F1021" s="4">
        <f>SUMIFS('DETALLE CRONOLÓGICO'!$I$2:$I$4919,'DETALLE CRONOLÓGICO'!$A$2:$A$4919,$A1021)</f>
        <v/>
      </c>
      <c r="G1021" s="1">
        <f>INDEX('DETALLE CRONOLÓGICO'!$D$2:$D$4919,MATCH($A1021,'DETALLE CRONOLÓGICO'!$A$2:$A$4919,0))</f>
        <v/>
      </c>
      <c r="H1021" s="1">
        <f>INDEX('DETALLE CRONOLÓGICO'!$D$2:$D$4919,MATCH($A1021,'DETALLE CRONOLÓGICO'!$A$2:$A$4919,0)+$E1021-1)</f>
        <v/>
      </c>
      <c r="I1021" s="5">
        <f>IFERROR(SUMIFS('DETALLE CRONOLÓGICO'!$L$2:$L$4919,'DETALLE CRONOLÓGICO'!$A$2:$A$4919,$A1021)/$F1021,"")</f>
        <v/>
      </c>
      <c r="J1021" s="6">
        <f>IFERROR(SUMIFS('DETALLE CRONOLÓGICO'!$K$2:$K$4919,'DETALLE CRONOLÓGICO'!$A$2:$A$4919,$A1021)/$E1021,"")</f>
        <v/>
      </c>
      <c r="K1021" s="6">
        <f>_xlfn.MINIFS('DETALLE CRONOLÓGICO'!$K$2:$K$4919,'DETALLE CRONOLÓGICO'!$A$2:$A$4919,$A1021)</f>
        <v/>
      </c>
      <c r="L1021" s="6">
        <f>_xlfn.MAXIFS('DETALLE CRONOLÓGICO'!$K$2:$K$4919,'DETALLE CRONOLÓGICO'!$A$2:$A$4919,$A1021)</f>
        <v/>
      </c>
      <c r="M1021" s="6">
        <f>INDEX('DETALLE CRONOLÓGICO'!$K$2:$K$4919,MATCH($A1021,'DETALLE CRONOLÓGICO'!$A$2:$A$4919,0)+$E1021-1)</f>
        <v/>
      </c>
      <c r="N1021" s="7">
        <f>IFERROR($M1021/INDEX('DETALLE CRONOLÓGICO'!$K$2:$K$4919,MATCH($A1021,'DETALLE CRONOLÓGICO'!$A$2:$A$4919,0))-1,"")</f>
        <v/>
      </c>
      <c r="O1021" s="6">
        <f>IFERROR($I1021*3,"")</f>
        <v/>
      </c>
      <c r="P1021" s="6">
        <f>IFERROR($I1021*3.5,"")</f>
        <v/>
      </c>
      <c r="Q1021" s="6">
        <f>IFERROR($I1021*4,"")</f>
        <v/>
      </c>
      <c r="R1021" s="6" t="n">
        <v>450</v>
      </c>
      <c r="S1021" s="4" t="n">
        <v>7</v>
      </c>
      <c r="T1021" s="1" t="inlineStr">
        <is>
          <t>active</t>
        </is>
      </c>
      <c r="U1021" s="8" t="n"/>
      <c r="V1021" s="1" t="inlineStr">
        <is>
          <t>SIN PRECIO</t>
        </is>
      </c>
    </row>
    <row r="1022">
      <c r="A1022" s="1" t="inlineStr">
        <is>
          <t>59436481162637</t>
        </is>
      </c>
      <c r="B1022" s="1" t="inlineStr">
        <is>
          <t>ANILLO LOVE CON ZIRCONIA SILVER</t>
        </is>
      </c>
      <c r="C1022" s="1" t="inlineStr">
        <is>
          <t>6</t>
        </is>
      </c>
      <c r="D1022" s="1" t="inlineStr">
        <is>
          <t>HAIFENG</t>
        </is>
      </c>
      <c r="E1022" s="4">
        <f>COUNTIF('DETALLE CRONOLÓGICO'!$A$2:$A$4919,$A1022)</f>
        <v/>
      </c>
      <c r="F1022" s="4">
        <f>SUMIFS('DETALLE CRONOLÓGICO'!$I$2:$I$4919,'DETALLE CRONOLÓGICO'!$A$2:$A$4919,$A1022)</f>
        <v/>
      </c>
      <c r="G1022" s="1">
        <f>INDEX('DETALLE CRONOLÓGICO'!$D$2:$D$4919,MATCH($A1022,'DETALLE CRONOLÓGICO'!$A$2:$A$4919,0))</f>
        <v/>
      </c>
      <c r="H1022" s="1">
        <f>INDEX('DETALLE CRONOLÓGICO'!$D$2:$D$4919,MATCH($A1022,'DETALLE CRONOLÓGICO'!$A$2:$A$4919,0)+$E1022-1)</f>
        <v/>
      </c>
      <c r="I1022" s="5">
        <f>IFERROR(SUMIFS('DETALLE CRONOLÓGICO'!$L$2:$L$4919,'DETALLE CRONOLÓGICO'!$A$2:$A$4919,$A1022)/$F1022,"")</f>
        <v/>
      </c>
      <c r="J1022" s="6">
        <f>IFERROR(SUMIFS('DETALLE CRONOLÓGICO'!$K$2:$K$4919,'DETALLE CRONOLÓGICO'!$A$2:$A$4919,$A1022)/$E1022,"")</f>
        <v/>
      </c>
      <c r="K1022" s="6">
        <f>_xlfn.MINIFS('DETALLE CRONOLÓGICO'!$K$2:$K$4919,'DETALLE CRONOLÓGICO'!$A$2:$A$4919,$A1022)</f>
        <v/>
      </c>
      <c r="L1022" s="6">
        <f>_xlfn.MAXIFS('DETALLE CRONOLÓGICO'!$K$2:$K$4919,'DETALLE CRONOLÓGICO'!$A$2:$A$4919,$A1022)</f>
        <v/>
      </c>
      <c r="M1022" s="6">
        <f>INDEX('DETALLE CRONOLÓGICO'!$K$2:$K$4919,MATCH($A1022,'DETALLE CRONOLÓGICO'!$A$2:$A$4919,0)+$E1022-1)</f>
        <v/>
      </c>
      <c r="N1022" s="7">
        <f>IFERROR($M1022/INDEX('DETALLE CRONOLÓGICO'!$K$2:$K$4919,MATCH($A1022,'DETALLE CRONOLÓGICO'!$A$2:$A$4919,0))-1,"")</f>
        <v/>
      </c>
      <c r="O1022" s="6">
        <f>IFERROR($I1022*3,"")</f>
        <v/>
      </c>
      <c r="P1022" s="6">
        <f>IFERROR($I1022*3.5,"")</f>
        <v/>
      </c>
      <c r="Q1022" s="6">
        <f>IFERROR($I1022*4,"")</f>
        <v/>
      </c>
      <c r="R1022" s="6" t="n">
        <v>450</v>
      </c>
      <c r="S1022" s="4" t="n">
        <v>3</v>
      </c>
      <c r="T1022" s="1" t="inlineStr">
        <is>
          <t>active</t>
        </is>
      </c>
      <c r="U1022" s="8" t="n"/>
      <c r="V1022" s="1" t="inlineStr">
        <is>
          <t>SIN PRECIO</t>
        </is>
      </c>
    </row>
    <row r="1023">
      <c r="A1023" s="1" t="inlineStr">
        <is>
          <t>59436481295405</t>
        </is>
      </c>
      <c r="B1023" s="1" t="inlineStr">
        <is>
          <t>ANILLO LOVE CON ZIRCONIA SILVER</t>
        </is>
      </c>
      <c r="C1023" s="1" t="inlineStr">
        <is>
          <t>7</t>
        </is>
      </c>
      <c r="D1023" s="1" t="inlineStr">
        <is>
          <t>HAIFENG</t>
        </is>
      </c>
      <c r="E1023" s="4">
        <f>COUNTIF('DETALLE CRONOLÓGICO'!$A$2:$A$4919,$A1023)</f>
        <v/>
      </c>
      <c r="F1023" s="4">
        <f>SUMIFS('DETALLE CRONOLÓGICO'!$I$2:$I$4919,'DETALLE CRONOLÓGICO'!$A$2:$A$4919,$A1023)</f>
        <v/>
      </c>
      <c r="G1023" s="1">
        <f>INDEX('DETALLE CRONOLÓGICO'!$D$2:$D$4919,MATCH($A1023,'DETALLE CRONOLÓGICO'!$A$2:$A$4919,0))</f>
        <v/>
      </c>
      <c r="H1023" s="1">
        <f>INDEX('DETALLE CRONOLÓGICO'!$D$2:$D$4919,MATCH($A1023,'DETALLE CRONOLÓGICO'!$A$2:$A$4919,0)+$E1023-1)</f>
        <v/>
      </c>
      <c r="I1023" s="5">
        <f>IFERROR(SUMIFS('DETALLE CRONOLÓGICO'!$L$2:$L$4919,'DETALLE CRONOLÓGICO'!$A$2:$A$4919,$A1023)/$F1023,"")</f>
        <v/>
      </c>
      <c r="J1023" s="6">
        <f>IFERROR(SUMIFS('DETALLE CRONOLÓGICO'!$K$2:$K$4919,'DETALLE CRONOLÓGICO'!$A$2:$A$4919,$A1023)/$E1023,"")</f>
        <v/>
      </c>
      <c r="K1023" s="6">
        <f>_xlfn.MINIFS('DETALLE CRONOLÓGICO'!$K$2:$K$4919,'DETALLE CRONOLÓGICO'!$A$2:$A$4919,$A1023)</f>
        <v/>
      </c>
      <c r="L1023" s="6">
        <f>_xlfn.MAXIFS('DETALLE CRONOLÓGICO'!$K$2:$K$4919,'DETALLE CRONOLÓGICO'!$A$2:$A$4919,$A1023)</f>
        <v/>
      </c>
      <c r="M1023" s="6">
        <f>INDEX('DETALLE CRONOLÓGICO'!$K$2:$K$4919,MATCH($A1023,'DETALLE CRONOLÓGICO'!$A$2:$A$4919,0)+$E1023-1)</f>
        <v/>
      </c>
      <c r="N1023" s="7">
        <f>IFERROR($M1023/INDEX('DETALLE CRONOLÓGICO'!$K$2:$K$4919,MATCH($A1023,'DETALLE CRONOLÓGICO'!$A$2:$A$4919,0))-1,"")</f>
        <v/>
      </c>
      <c r="O1023" s="6">
        <f>IFERROR($I1023*3,"")</f>
        <v/>
      </c>
      <c r="P1023" s="6">
        <f>IFERROR($I1023*3.5,"")</f>
        <v/>
      </c>
      <c r="Q1023" s="6">
        <f>IFERROR($I1023*4,"")</f>
        <v/>
      </c>
      <c r="R1023" s="6" t="n">
        <v>450</v>
      </c>
      <c r="S1023" s="4" t="n">
        <v>7</v>
      </c>
      <c r="T1023" s="1" t="inlineStr">
        <is>
          <t>active</t>
        </is>
      </c>
      <c r="U1023" s="8" t="n"/>
      <c r="V1023" s="1" t="inlineStr">
        <is>
          <t>SIN PRECIO</t>
        </is>
      </c>
    </row>
    <row r="1024">
      <c r="A1024" s="1" t="inlineStr">
        <is>
          <t>59436481328173</t>
        </is>
      </c>
      <c r="B1024" s="1" t="inlineStr">
        <is>
          <t>ANILLO LOVE CON ZIRCONIA SILVER</t>
        </is>
      </c>
      <c r="C1024" s="1" t="inlineStr">
        <is>
          <t>8</t>
        </is>
      </c>
      <c r="D1024" s="1" t="inlineStr">
        <is>
          <t>HAIFENG</t>
        </is>
      </c>
      <c r="E1024" s="4">
        <f>COUNTIF('DETALLE CRONOLÓGICO'!$A$2:$A$4919,$A1024)</f>
        <v/>
      </c>
      <c r="F1024" s="4">
        <f>SUMIFS('DETALLE CRONOLÓGICO'!$I$2:$I$4919,'DETALLE CRONOLÓGICO'!$A$2:$A$4919,$A1024)</f>
        <v/>
      </c>
      <c r="G1024" s="1">
        <f>INDEX('DETALLE CRONOLÓGICO'!$D$2:$D$4919,MATCH($A1024,'DETALLE CRONOLÓGICO'!$A$2:$A$4919,0))</f>
        <v/>
      </c>
      <c r="H1024" s="1">
        <f>INDEX('DETALLE CRONOLÓGICO'!$D$2:$D$4919,MATCH($A1024,'DETALLE CRONOLÓGICO'!$A$2:$A$4919,0)+$E1024-1)</f>
        <v/>
      </c>
      <c r="I1024" s="5">
        <f>IFERROR(SUMIFS('DETALLE CRONOLÓGICO'!$L$2:$L$4919,'DETALLE CRONOLÓGICO'!$A$2:$A$4919,$A1024)/$F1024,"")</f>
        <v/>
      </c>
      <c r="J1024" s="6">
        <f>IFERROR(SUMIFS('DETALLE CRONOLÓGICO'!$K$2:$K$4919,'DETALLE CRONOLÓGICO'!$A$2:$A$4919,$A1024)/$E1024,"")</f>
        <v/>
      </c>
      <c r="K1024" s="6">
        <f>_xlfn.MINIFS('DETALLE CRONOLÓGICO'!$K$2:$K$4919,'DETALLE CRONOLÓGICO'!$A$2:$A$4919,$A1024)</f>
        <v/>
      </c>
      <c r="L1024" s="6">
        <f>_xlfn.MAXIFS('DETALLE CRONOLÓGICO'!$K$2:$K$4919,'DETALLE CRONOLÓGICO'!$A$2:$A$4919,$A1024)</f>
        <v/>
      </c>
      <c r="M1024" s="6">
        <f>INDEX('DETALLE CRONOLÓGICO'!$K$2:$K$4919,MATCH($A1024,'DETALLE CRONOLÓGICO'!$A$2:$A$4919,0)+$E1024-1)</f>
        <v/>
      </c>
      <c r="N1024" s="7">
        <f>IFERROR($M1024/INDEX('DETALLE CRONOLÓGICO'!$K$2:$K$4919,MATCH($A1024,'DETALLE CRONOLÓGICO'!$A$2:$A$4919,0))-1,"")</f>
        <v/>
      </c>
      <c r="O1024" s="6">
        <f>IFERROR($I1024*3,"")</f>
        <v/>
      </c>
      <c r="P1024" s="6">
        <f>IFERROR($I1024*3.5,"")</f>
        <v/>
      </c>
      <c r="Q1024" s="6">
        <f>IFERROR($I1024*4,"")</f>
        <v/>
      </c>
      <c r="R1024" s="6" t="n">
        <v>450</v>
      </c>
      <c r="S1024" s="4" t="n">
        <v>2</v>
      </c>
      <c r="T1024" s="1" t="inlineStr">
        <is>
          <t>active</t>
        </is>
      </c>
      <c r="U1024" s="8" t="n"/>
      <c r="V1024" s="1" t="inlineStr">
        <is>
          <t>SIN PRECIO</t>
        </is>
      </c>
    </row>
    <row r="1025">
      <c r="A1025" s="1" t="inlineStr">
        <is>
          <t>59436481460941</t>
        </is>
      </c>
      <c r="B1025" s="1" t="inlineStr">
        <is>
          <t>ANILLO LOVE CON ZIRCONIA SILVER</t>
        </is>
      </c>
      <c r="C1025" s="1" t="inlineStr">
        <is>
          <t>9</t>
        </is>
      </c>
      <c r="D1025" s="1" t="inlineStr">
        <is>
          <t>HAIFENG</t>
        </is>
      </c>
      <c r="E1025" s="4">
        <f>COUNTIF('DETALLE CRONOLÓGICO'!$A$2:$A$4919,$A1025)</f>
        <v/>
      </c>
      <c r="F1025" s="4">
        <f>SUMIFS('DETALLE CRONOLÓGICO'!$I$2:$I$4919,'DETALLE CRONOLÓGICO'!$A$2:$A$4919,$A1025)</f>
        <v/>
      </c>
      <c r="G1025" s="1">
        <f>INDEX('DETALLE CRONOLÓGICO'!$D$2:$D$4919,MATCH($A1025,'DETALLE CRONOLÓGICO'!$A$2:$A$4919,0))</f>
        <v/>
      </c>
      <c r="H1025" s="1">
        <f>INDEX('DETALLE CRONOLÓGICO'!$D$2:$D$4919,MATCH($A1025,'DETALLE CRONOLÓGICO'!$A$2:$A$4919,0)+$E1025-1)</f>
        <v/>
      </c>
      <c r="I1025" s="5">
        <f>IFERROR(SUMIFS('DETALLE CRONOLÓGICO'!$L$2:$L$4919,'DETALLE CRONOLÓGICO'!$A$2:$A$4919,$A1025)/$F1025,"")</f>
        <v/>
      </c>
      <c r="J1025" s="6">
        <f>IFERROR(SUMIFS('DETALLE CRONOLÓGICO'!$K$2:$K$4919,'DETALLE CRONOLÓGICO'!$A$2:$A$4919,$A1025)/$E1025,"")</f>
        <v/>
      </c>
      <c r="K1025" s="6">
        <f>_xlfn.MINIFS('DETALLE CRONOLÓGICO'!$K$2:$K$4919,'DETALLE CRONOLÓGICO'!$A$2:$A$4919,$A1025)</f>
        <v/>
      </c>
      <c r="L1025" s="6">
        <f>_xlfn.MAXIFS('DETALLE CRONOLÓGICO'!$K$2:$K$4919,'DETALLE CRONOLÓGICO'!$A$2:$A$4919,$A1025)</f>
        <v/>
      </c>
      <c r="M1025" s="6">
        <f>INDEX('DETALLE CRONOLÓGICO'!$K$2:$K$4919,MATCH($A1025,'DETALLE CRONOLÓGICO'!$A$2:$A$4919,0)+$E1025-1)</f>
        <v/>
      </c>
      <c r="N1025" s="7">
        <f>IFERROR($M1025/INDEX('DETALLE CRONOLÓGICO'!$K$2:$K$4919,MATCH($A1025,'DETALLE CRONOLÓGICO'!$A$2:$A$4919,0))-1,"")</f>
        <v/>
      </c>
      <c r="O1025" s="6">
        <f>IFERROR($I1025*3,"")</f>
        <v/>
      </c>
      <c r="P1025" s="6">
        <f>IFERROR($I1025*3.5,"")</f>
        <v/>
      </c>
      <c r="Q1025" s="6">
        <f>IFERROR($I1025*4,"")</f>
        <v/>
      </c>
      <c r="R1025" s="6" t="n">
        <v>450</v>
      </c>
      <c r="S1025" s="4" t="n">
        <v>3</v>
      </c>
      <c r="T1025" s="1" t="inlineStr">
        <is>
          <t>active</t>
        </is>
      </c>
      <c r="U1025" s="8" t="n"/>
      <c r="V1025" s="1" t="inlineStr">
        <is>
          <t>SIN PRECIO</t>
        </is>
      </c>
    </row>
    <row r="1026">
      <c r="A1026" s="1" t="inlineStr">
        <is>
          <t>59436481593709</t>
        </is>
      </c>
      <c r="B1026" s="1" t="inlineStr">
        <is>
          <t>ANILLO LOVE CON ZIRCONIA SILVER</t>
        </is>
      </c>
      <c r="C1026" s="1" t="inlineStr">
        <is>
          <t>10</t>
        </is>
      </c>
      <c r="D1026" s="1" t="inlineStr">
        <is>
          <t>HAIFENG</t>
        </is>
      </c>
      <c r="E1026" s="4">
        <f>COUNTIF('DETALLE CRONOLÓGICO'!$A$2:$A$4919,$A1026)</f>
        <v/>
      </c>
      <c r="F1026" s="4">
        <f>SUMIFS('DETALLE CRONOLÓGICO'!$I$2:$I$4919,'DETALLE CRONOLÓGICO'!$A$2:$A$4919,$A1026)</f>
        <v/>
      </c>
      <c r="G1026" s="1">
        <f>INDEX('DETALLE CRONOLÓGICO'!$D$2:$D$4919,MATCH($A1026,'DETALLE CRONOLÓGICO'!$A$2:$A$4919,0))</f>
        <v/>
      </c>
      <c r="H1026" s="1">
        <f>INDEX('DETALLE CRONOLÓGICO'!$D$2:$D$4919,MATCH($A1026,'DETALLE CRONOLÓGICO'!$A$2:$A$4919,0)+$E1026-1)</f>
        <v/>
      </c>
      <c r="I1026" s="5">
        <f>IFERROR(SUMIFS('DETALLE CRONOLÓGICO'!$L$2:$L$4919,'DETALLE CRONOLÓGICO'!$A$2:$A$4919,$A1026)/$F1026,"")</f>
        <v/>
      </c>
      <c r="J1026" s="6">
        <f>IFERROR(SUMIFS('DETALLE CRONOLÓGICO'!$K$2:$K$4919,'DETALLE CRONOLÓGICO'!$A$2:$A$4919,$A1026)/$E1026,"")</f>
        <v/>
      </c>
      <c r="K1026" s="6">
        <f>_xlfn.MINIFS('DETALLE CRONOLÓGICO'!$K$2:$K$4919,'DETALLE CRONOLÓGICO'!$A$2:$A$4919,$A1026)</f>
        <v/>
      </c>
      <c r="L1026" s="6">
        <f>_xlfn.MAXIFS('DETALLE CRONOLÓGICO'!$K$2:$K$4919,'DETALLE CRONOLÓGICO'!$A$2:$A$4919,$A1026)</f>
        <v/>
      </c>
      <c r="M1026" s="6">
        <f>INDEX('DETALLE CRONOLÓGICO'!$K$2:$K$4919,MATCH($A1026,'DETALLE CRONOLÓGICO'!$A$2:$A$4919,0)+$E1026-1)</f>
        <v/>
      </c>
      <c r="N1026" s="7">
        <f>IFERROR($M1026/INDEX('DETALLE CRONOLÓGICO'!$K$2:$K$4919,MATCH($A1026,'DETALLE CRONOLÓGICO'!$A$2:$A$4919,0))-1,"")</f>
        <v/>
      </c>
      <c r="O1026" s="6">
        <f>IFERROR($I1026*3,"")</f>
        <v/>
      </c>
      <c r="P1026" s="6">
        <f>IFERROR($I1026*3.5,"")</f>
        <v/>
      </c>
      <c r="Q1026" s="6">
        <f>IFERROR($I1026*4,"")</f>
        <v/>
      </c>
      <c r="R1026" s="6" t="n">
        <v>450</v>
      </c>
      <c r="S1026" s="4" t="n">
        <v>1</v>
      </c>
      <c r="T1026" s="1" t="inlineStr">
        <is>
          <t>active</t>
        </is>
      </c>
      <c r="U1026" s="8" t="n"/>
      <c r="V1026" s="1" t="inlineStr">
        <is>
          <t>SIN PRECIO</t>
        </is>
      </c>
    </row>
    <row r="1027">
      <c r="A1027" s="1" t="inlineStr">
        <is>
          <t>59950731067117</t>
        </is>
      </c>
      <c r="B1027" s="1" t="inlineStr">
        <is>
          <t>BRAZALETE LOVE GOLD</t>
        </is>
      </c>
      <c r="C1027" s="1" t="inlineStr">
        <is>
          <t>17CM</t>
        </is>
      </c>
      <c r="D1027" s="1" t="inlineStr">
        <is>
          <t>HAIFENG</t>
        </is>
      </c>
      <c r="E1027" s="4">
        <f>COUNTIF('DETALLE CRONOLÓGICO'!$A$2:$A$4919,$A1027)</f>
        <v/>
      </c>
      <c r="F1027" s="4">
        <f>SUMIFS('DETALLE CRONOLÓGICO'!$I$2:$I$4919,'DETALLE CRONOLÓGICO'!$A$2:$A$4919,$A1027)</f>
        <v/>
      </c>
      <c r="G1027" s="1">
        <f>INDEX('DETALLE CRONOLÓGICO'!$D$2:$D$4919,MATCH($A1027,'DETALLE CRONOLÓGICO'!$A$2:$A$4919,0))</f>
        <v/>
      </c>
      <c r="H1027" s="1">
        <f>INDEX('DETALLE CRONOLÓGICO'!$D$2:$D$4919,MATCH($A1027,'DETALLE CRONOLÓGICO'!$A$2:$A$4919,0)+$E1027-1)</f>
        <v/>
      </c>
      <c r="I1027" s="5">
        <f>IFERROR(SUMIFS('DETALLE CRONOLÓGICO'!$L$2:$L$4919,'DETALLE CRONOLÓGICO'!$A$2:$A$4919,$A1027)/$F1027,"")</f>
        <v/>
      </c>
      <c r="J1027" s="6">
        <f>IFERROR(SUMIFS('DETALLE CRONOLÓGICO'!$K$2:$K$4919,'DETALLE CRONOLÓGICO'!$A$2:$A$4919,$A1027)/$E1027,"")</f>
        <v/>
      </c>
      <c r="K1027" s="6">
        <f>_xlfn.MINIFS('DETALLE CRONOLÓGICO'!$K$2:$K$4919,'DETALLE CRONOLÓGICO'!$A$2:$A$4919,$A1027)</f>
        <v/>
      </c>
      <c r="L1027" s="6">
        <f>_xlfn.MAXIFS('DETALLE CRONOLÓGICO'!$K$2:$K$4919,'DETALLE CRONOLÓGICO'!$A$2:$A$4919,$A1027)</f>
        <v/>
      </c>
      <c r="M1027" s="6">
        <f>INDEX('DETALLE CRONOLÓGICO'!$K$2:$K$4919,MATCH($A1027,'DETALLE CRONOLÓGICO'!$A$2:$A$4919,0)+$E1027-1)</f>
        <v/>
      </c>
      <c r="N1027" s="7">
        <f>IFERROR($M1027/INDEX('DETALLE CRONOLÓGICO'!$K$2:$K$4919,MATCH($A1027,'DETALLE CRONOLÓGICO'!$A$2:$A$4919,0))-1,"")</f>
        <v/>
      </c>
      <c r="O1027" s="6">
        <f>IFERROR($I1027*3,"")</f>
        <v/>
      </c>
      <c r="P1027" s="6">
        <f>IFERROR($I1027*3.5,"")</f>
        <v/>
      </c>
      <c r="Q1027" s="6">
        <f>IFERROR($I1027*4,"")</f>
        <v/>
      </c>
      <c r="R1027" s="6" t="n">
        <v>450</v>
      </c>
      <c r="S1027" s="4" t="n">
        <v>3</v>
      </c>
      <c r="T1027" s="1" t="inlineStr">
        <is>
          <t>active</t>
        </is>
      </c>
      <c r="U1027" s="8" t="n"/>
      <c r="V1027" s="1" t="inlineStr">
        <is>
          <t>SIN PRECIO</t>
        </is>
      </c>
    </row>
    <row r="1028">
      <c r="A1028" s="1" t="inlineStr">
        <is>
          <t>60255941038093</t>
        </is>
      </c>
      <c r="B1028" s="1" t="inlineStr">
        <is>
          <t>ARETES BV ROUND ROSEGOLD CON ZIRCONIA</t>
        </is>
      </c>
      <c r="C1028" s="1" t="inlineStr">
        <is>
          <t>Default Title</t>
        </is>
      </c>
      <c r="D1028" s="1" t="inlineStr">
        <is>
          <t>HAIFENG</t>
        </is>
      </c>
      <c r="E1028" s="4">
        <f>COUNTIF('DETALLE CRONOLÓGICO'!$A$2:$A$4919,$A1028)</f>
        <v/>
      </c>
      <c r="F1028" s="4">
        <f>SUMIFS('DETALLE CRONOLÓGICO'!$I$2:$I$4919,'DETALLE CRONOLÓGICO'!$A$2:$A$4919,$A1028)</f>
        <v/>
      </c>
      <c r="G1028" s="1">
        <f>INDEX('DETALLE CRONOLÓGICO'!$D$2:$D$4919,MATCH($A1028,'DETALLE CRONOLÓGICO'!$A$2:$A$4919,0))</f>
        <v/>
      </c>
      <c r="H1028" s="1">
        <f>INDEX('DETALLE CRONOLÓGICO'!$D$2:$D$4919,MATCH($A1028,'DETALLE CRONOLÓGICO'!$A$2:$A$4919,0)+$E1028-1)</f>
        <v/>
      </c>
      <c r="I1028" s="5">
        <f>IFERROR(SUMIFS('DETALLE CRONOLÓGICO'!$L$2:$L$4919,'DETALLE CRONOLÓGICO'!$A$2:$A$4919,$A1028)/$F1028,"")</f>
        <v/>
      </c>
      <c r="J1028" s="6">
        <f>IFERROR(SUMIFS('DETALLE CRONOLÓGICO'!$K$2:$K$4919,'DETALLE CRONOLÓGICO'!$A$2:$A$4919,$A1028)/$E1028,"")</f>
        <v/>
      </c>
      <c r="K1028" s="6">
        <f>_xlfn.MINIFS('DETALLE CRONOLÓGICO'!$K$2:$K$4919,'DETALLE CRONOLÓGICO'!$A$2:$A$4919,$A1028)</f>
        <v/>
      </c>
      <c r="L1028" s="6">
        <f>_xlfn.MAXIFS('DETALLE CRONOLÓGICO'!$K$2:$K$4919,'DETALLE CRONOLÓGICO'!$A$2:$A$4919,$A1028)</f>
        <v/>
      </c>
      <c r="M1028" s="6">
        <f>INDEX('DETALLE CRONOLÓGICO'!$K$2:$K$4919,MATCH($A1028,'DETALLE CRONOLÓGICO'!$A$2:$A$4919,0)+$E1028-1)</f>
        <v/>
      </c>
      <c r="N1028" s="7">
        <f>IFERROR($M1028/INDEX('DETALLE CRONOLÓGICO'!$K$2:$K$4919,MATCH($A1028,'DETALLE CRONOLÓGICO'!$A$2:$A$4919,0))-1,"")</f>
        <v/>
      </c>
      <c r="O1028" s="6">
        <f>IFERROR($I1028*3,"")</f>
        <v/>
      </c>
      <c r="P1028" s="6">
        <f>IFERROR($I1028*3.5,"")</f>
        <v/>
      </c>
      <c r="Q1028" s="6">
        <f>IFERROR($I1028*4,"")</f>
        <v/>
      </c>
      <c r="R1028" s="6" t="n">
        <v>576.8</v>
      </c>
      <c r="S1028" s="4" t="n">
        <v>1</v>
      </c>
      <c r="T1028" s="1" t="inlineStr">
        <is>
          <t>active</t>
        </is>
      </c>
      <c r="U1028" s="8" t="n"/>
      <c r="V1028" s="1" t="inlineStr">
        <is>
          <t>SIN PRECIO</t>
        </is>
      </c>
    </row>
    <row r="1029">
      <c r="A1029" s="1" t="inlineStr">
        <is>
          <t>60411861009357</t>
        </is>
      </c>
      <c r="B1029" s="1" t="inlineStr">
        <is>
          <t>PULSERA CLAIR DE LUNE SILVER CON ZIRCONIA</t>
        </is>
      </c>
      <c r="C1029" s="1" t="inlineStr">
        <is>
          <t>Default Title</t>
        </is>
      </c>
      <c r="D1029" s="1" t="inlineStr">
        <is>
          <t>ZOEY</t>
        </is>
      </c>
      <c r="E1029" s="4">
        <f>COUNTIF('DETALLE CRONOLÓGICO'!$A$2:$A$4919,$A1029)</f>
        <v/>
      </c>
      <c r="F1029" s="4">
        <f>SUMIFS('DETALLE CRONOLÓGICO'!$I$2:$I$4919,'DETALLE CRONOLÓGICO'!$A$2:$A$4919,$A1029)</f>
        <v/>
      </c>
      <c r="G1029" s="1">
        <f>INDEX('DETALLE CRONOLÓGICO'!$D$2:$D$4919,MATCH($A1029,'DETALLE CRONOLÓGICO'!$A$2:$A$4919,0))</f>
        <v/>
      </c>
      <c r="H1029" s="1">
        <f>INDEX('DETALLE CRONOLÓGICO'!$D$2:$D$4919,MATCH($A1029,'DETALLE CRONOLÓGICO'!$A$2:$A$4919,0)+$E1029-1)</f>
        <v/>
      </c>
      <c r="I1029" s="5">
        <f>IFERROR(SUMIFS('DETALLE CRONOLÓGICO'!$L$2:$L$4919,'DETALLE CRONOLÓGICO'!$A$2:$A$4919,$A1029)/$F1029,"")</f>
        <v/>
      </c>
      <c r="J1029" s="6">
        <f>IFERROR(SUMIFS('DETALLE CRONOLÓGICO'!$K$2:$K$4919,'DETALLE CRONOLÓGICO'!$A$2:$A$4919,$A1029)/$E1029,"")</f>
        <v/>
      </c>
      <c r="K1029" s="6">
        <f>_xlfn.MINIFS('DETALLE CRONOLÓGICO'!$K$2:$K$4919,'DETALLE CRONOLÓGICO'!$A$2:$A$4919,$A1029)</f>
        <v/>
      </c>
      <c r="L1029" s="6">
        <f>_xlfn.MAXIFS('DETALLE CRONOLÓGICO'!$K$2:$K$4919,'DETALLE CRONOLÓGICO'!$A$2:$A$4919,$A1029)</f>
        <v/>
      </c>
      <c r="M1029" s="6">
        <f>INDEX('DETALLE CRONOLÓGICO'!$K$2:$K$4919,MATCH($A1029,'DETALLE CRONOLÓGICO'!$A$2:$A$4919,0)+$E1029-1)</f>
        <v/>
      </c>
      <c r="N1029" s="7">
        <f>IFERROR($M1029/INDEX('DETALLE CRONOLÓGICO'!$K$2:$K$4919,MATCH($A1029,'DETALLE CRONOLÓGICO'!$A$2:$A$4919,0))-1,"")</f>
        <v/>
      </c>
      <c r="O1029" s="6">
        <f>IFERROR($I1029*3,"")</f>
        <v/>
      </c>
      <c r="P1029" s="6">
        <f>IFERROR($I1029*3.5,"")</f>
        <v/>
      </c>
      <c r="Q1029" s="6">
        <f>IFERROR($I1029*4,"")</f>
        <v/>
      </c>
      <c r="R1029" s="6" t="n">
        <v>580</v>
      </c>
      <c r="S1029" s="4" t="n">
        <v>0</v>
      </c>
      <c r="T1029" s="1" t="inlineStr">
        <is>
          <t>active</t>
        </is>
      </c>
      <c r="U1029" s="8" t="n"/>
      <c r="V1029" s="1" t="inlineStr">
        <is>
          <t>SIN PRECIO</t>
        </is>
      </c>
    </row>
    <row r="1030">
      <c r="A1030" s="1" t="inlineStr">
        <is>
          <t>60477551054605</t>
        </is>
      </c>
      <c r="B1030" s="1" t="inlineStr">
        <is>
          <t>CAMISETA ALLS WHITE</t>
        </is>
      </c>
      <c r="C1030" s="1" t="inlineStr">
        <is>
          <t>M</t>
        </is>
      </c>
      <c r="D1030" s="1" t="inlineStr">
        <is>
          <t>ZOEY</t>
        </is>
      </c>
      <c r="E1030" s="4">
        <f>COUNTIF('DETALLE CRONOLÓGICO'!$A$2:$A$4919,$A1030)</f>
        <v/>
      </c>
      <c r="F1030" s="4">
        <f>SUMIFS('DETALLE CRONOLÓGICO'!$I$2:$I$4919,'DETALLE CRONOLÓGICO'!$A$2:$A$4919,$A1030)</f>
        <v/>
      </c>
      <c r="G1030" s="1">
        <f>INDEX('DETALLE CRONOLÓGICO'!$D$2:$D$4919,MATCH($A1030,'DETALLE CRONOLÓGICO'!$A$2:$A$4919,0))</f>
        <v/>
      </c>
      <c r="H1030" s="1">
        <f>INDEX('DETALLE CRONOLÓGICO'!$D$2:$D$4919,MATCH($A1030,'DETALLE CRONOLÓGICO'!$A$2:$A$4919,0)+$E1030-1)</f>
        <v/>
      </c>
      <c r="I1030" s="5">
        <f>IFERROR(SUMIFS('DETALLE CRONOLÓGICO'!$L$2:$L$4919,'DETALLE CRONOLÓGICO'!$A$2:$A$4919,$A1030)/$F1030,"")</f>
        <v/>
      </c>
      <c r="J1030" s="6">
        <f>IFERROR(SUMIFS('DETALLE CRONOLÓGICO'!$K$2:$K$4919,'DETALLE CRONOLÓGICO'!$A$2:$A$4919,$A1030)/$E1030,"")</f>
        <v/>
      </c>
      <c r="K1030" s="6">
        <f>_xlfn.MINIFS('DETALLE CRONOLÓGICO'!$K$2:$K$4919,'DETALLE CRONOLÓGICO'!$A$2:$A$4919,$A1030)</f>
        <v/>
      </c>
      <c r="L1030" s="6">
        <f>_xlfn.MAXIFS('DETALLE CRONOLÓGICO'!$K$2:$K$4919,'DETALLE CRONOLÓGICO'!$A$2:$A$4919,$A1030)</f>
        <v/>
      </c>
      <c r="M1030" s="6">
        <f>INDEX('DETALLE CRONOLÓGICO'!$K$2:$K$4919,MATCH($A1030,'DETALLE CRONOLÓGICO'!$A$2:$A$4919,0)+$E1030-1)</f>
        <v/>
      </c>
      <c r="N1030" s="7">
        <f>IFERROR($M1030/INDEX('DETALLE CRONOLÓGICO'!$K$2:$K$4919,MATCH($A1030,'DETALLE CRONOLÓGICO'!$A$2:$A$4919,0))-1,"")</f>
        <v/>
      </c>
      <c r="O1030" s="6">
        <f>IFERROR($I1030*3,"")</f>
        <v/>
      </c>
      <c r="P1030" s="6">
        <f>IFERROR($I1030*3.5,"")</f>
        <v/>
      </c>
      <c r="Q1030" s="6">
        <f>IFERROR($I1030*4,"")</f>
        <v/>
      </c>
      <c r="R1030" s="6" t="n">
        <v>1957</v>
      </c>
      <c r="S1030" s="4" t="n">
        <v>2</v>
      </c>
      <c r="T1030" s="1" t="inlineStr">
        <is>
          <t>active</t>
        </is>
      </c>
      <c r="U1030" s="8" t="n"/>
      <c r="V1030" s="1" t="inlineStr">
        <is>
          <t>SIN PRECIO</t>
        </is>
      </c>
    </row>
    <row r="1031">
      <c r="A1031" s="1" t="inlineStr">
        <is>
          <t>60477551054606</t>
        </is>
      </c>
      <c r="B1031" s="1" t="n"/>
      <c r="C1031" s="1" t="inlineStr">
        <is>
          <t>L</t>
        </is>
      </c>
      <c r="D1031" s="1" t="inlineStr">
        <is>
          <t>ZOEY</t>
        </is>
      </c>
      <c r="E1031" s="4">
        <f>COUNTIF('DETALLE CRONOLÓGICO'!$A$2:$A$4919,$A1031)</f>
        <v/>
      </c>
      <c r="F1031" s="4">
        <f>SUMIFS('DETALLE CRONOLÓGICO'!$I$2:$I$4919,'DETALLE CRONOLÓGICO'!$A$2:$A$4919,$A1031)</f>
        <v/>
      </c>
      <c r="G1031" s="1">
        <f>INDEX('DETALLE CRONOLÓGICO'!$D$2:$D$4919,MATCH($A1031,'DETALLE CRONOLÓGICO'!$A$2:$A$4919,0))</f>
        <v/>
      </c>
      <c r="H1031" s="1">
        <f>INDEX('DETALLE CRONOLÓGICO'!$D$2:$D$4919,MATCH($A1031,'DETALLE CRONOLÓGICO'!$A$2:$A$4919,0)+$E1031-1)</f>
        <v/>
      </c>
      <c r="I1031" s="5">
        <f>IFERROR(SUMIFS('DETALLE CRONOLÓGICO'!$L$2:$L$4919,'DETALLE CRONOLÓGICO'!$A$2:$A$4919,$A1031)/$F1031,"")</f>
        <v/>
      </c>
      <c r="J1031" s="6">
        <f>IFERROR(SUMIFS('DETALLE CRONOLÓGICO'!$K$2:$K$4919,'DETALLE CRONOLÓGICO'!$A$2:$A$4919,$A1031)/$E1031,"")</f>
        <v/>
      </c>
      <c r="K1031" s="6">
        <f>_xlfn.MINIFS('DETALLE CRONOLÓGICO'!$K$2:$K$4919,'DETALLE CRONOLÓGICO'!$A$2:$A$4919,$A1031)</f>
        <v/>
      </c>
      <c r="L1031" s="6">
        <f>_xlfn.MAXIFS('DETALLE CRONOLÓGICO'!$K$2:$K$4919,'DETALLE CRONOLÓGICO'!$A$2:$A$4919,$A1031)</f>
        <v/>
      </c>
      <c r="M1031" s="6">
        <f>INDEX('DETALLE CRONOLÓGICO'!$K$2:$K$4919,MATCH($A1031,'DETALLE CRONOLÓGICO'!$A$2:$A$4919,0)+$E1031-1)</f>
        <v/>
      </c>
      <c r="N1031" s="7">
        <f>IFERROR($M1031/INDEX('DETALLE CRONOLÓGICO'!$K$2:$K$4919,MATCH($A1031,'DETALLE CRONOLÓGICO'!$A$2:$A$4919,0))-1,"")</f>
        <v/>
      </c>
      <c r="O1031" s="6">
        <f>IFERROR($I1031*3,"")</f>
        <v/>
      </c>
      <c r="P1031" s="6">
        <f>IFERROR($I1031*3.5,"")</f>
        <v/>
      </c>
      <c r="Q1031" s="6">
        <f>IFERROR($I1031*4,"")</f>
        <v/>
      </c>
      <c r="R1031" s="6" t="n">
        <v>1957</v>
      </c>
      <c r="S1031" s="4" t="n">
        <v>2</v>
      </c>
      <c r="T1031" s="1" t="inlineStr">
        <is>
          <t>active</t>
        </is>
      </c>
      <c r="U1031" s="8" t="n"/>
      <c r="V1031" s="1" t="inlineStr">
        <is>
          <t>SIN PRECIO</t>
        </is>
      </c>
    </row>
    <row r="1032">
      <c r="A1032" s="1" t="inlineStr">
        <is>
          <t>60739441017133</t>
        </is>
      </c>
      <c r="B1032" s="1" t="inlineStr">
        <is>
          <t>SHORT DEPORTIVO ALLS BLACK</t>
        </is>
      </c>
      <c r="C1032" s="1" t="inlineStr">
        <is>
          <t>L</t>
        </is>
      </c>
      <c r="D1032" s="1" t="inlineStr">
        <is>
          <t>ZOEY</t>
        </is>
      </c>
      <c r="E1032" s="4">
        <f>COUNTIF('DETALLE CRONOLÓGICO'!$A$2:$A$4919,$A1032)</f>
        <v/>
      </c>
      <c r="F1032" s="4">
        <f>SUMIFS('DETALLE CRONOLÓGICO'!$I$2:$I$4919,'DETALLE CRONOLÓGICO'!$A$2:$A$4919,$A1032)</f>
        <v/>
      </c>
      <c r="G1032" s="1">
        <f>INDEX('DETALLE CRONOLÓGICO'!$D$2:$D$4919,MATCH($A1032,'DETALLE CRONOLÓGICO'!$A$2:$A$4919,0))</f>
        <v/>
      </c>
      <c r="H1032" s="1">
        <f>INDEX('DETALLE CRONOLÓGICO'!$D$2:$D$4919,MATCH($A1032,'DETALLE CRONOLÓGICO'!$A$2:$A$4919,0)+$E1032-1)</f>
        <v/>
      </c>
      <c r="I1032" s="5">
        <f>IFERROR(SUMIFS('DETALLE CRONOLÓGICO'!$L$2:$L$4919,'DETALLE CRONOLÓGICO'!$A$2:$A$4919,$A1032)/$F1032,"")</f>
        <v/>
      </c>
      <c r="J1032" s="6">
        <f>IFERROR(SUMIFS('DETALLE CRONOLÓGICO'!$K$2:$K$4919,'DETALLE CRONOLÓGICO'!$A$2:$A$4919,$A1032)/$E1032,"")</f>
        <v/>
      </c>
      <c r="K1032" s="6">
        <f>_xlfn.MINIFS('DETALLE CRONOLÓGICO'!$K$2:$K$4919,'DETALLE CRONOLÓGICO'!$A$2:$A$4919,$A1032)</f>
        <v/>
      </c>
      <c r="L1032" s="6">
        <f>_xlfn.MAXIFS('DETALLE CRONOLÓGICO'!$K$2:$K$4919,'DETALLE CRONOLÓGICO'!$A$2:$A$4919,$A1032)</f>
        <v/>
      </c>
      <c r="M1032" s="6">
        <f>INDEX('DETALLE CRONOLÓGICO'!$K$2:$K$4919,MATCH($A1032,'DETALLE CRONOLÓGICO'!$A$2:$A$4919,0)+$E1032-1)</f>
        <v/>
      </c>
      <c r="N1032" s="7">
        <f>IFERROR($M1032/INDEX('DETALLE CRONOLÓGICO'!$K$2:$K$4919,MATCH($A1032,'DETALLE CRONOLÓGICO'!$A$2:$A$4919,0))-1,"")</f>
        <v/>
      </c>
      <c r="O1032" s="6">
        <f>IFERROR($I1032*3,"")</f>
        <v/>
      </c>
      <c r="P1032" s="6">
        <f>IFERROR($I1032*3.5,"")</f>
        <v/>
      </c>
      <c r="Q1032" s="6">
        <f>IFERROR($I1032*4,"")</f>
        <v/>
      </c>
      <c r="R1032" s="6" t="n">
        <v>2318.94</v>
      </c>
      <c r="S1032" s="4" t="n">
        <v>2</v>
      </c>
      <c r="T1032" s="1" t="inlineStr">
        <is>
          <t>active</t>
        </is>
      </c>
      <c r="U1032" s="8" t="n"/>
      <c r="V1032" s="1" t="inlineStr">
        <is>
          <t>SIN PRECIO</t>
        </is>
      </c>
    </row>
    <row r="1033">
      <c r="A1033" s="1" t="inlineStr">
        <is>
          <t>61050601014957</t>
        </is>
      </c>
      <c r="B1033" s="1" t="inlineStr">
        <is>
          <t>LEGGINGS LLM BLACK</t>
        </is>
      </c>
      <c r="C1033" s="1" t="inlineStr">
        <is>
          <t>2M ,1L</t>
        </is>
      </c>
      <c r="D1033" s="1" t="inlineStr">
        <is>
          <t>ZOEY</t>
        </is>
      </c>
      <c r="E1033" s="4">
        <f>COUNTIF('DETALLE CRONOLÓGICO'!$A$2:$A$4919,$A1033)</f>
        <v/>
      </c>
      <c r="F1033" s="4">
        <f>SUMIFS('DETALLE CRONOLÓGICO'!$I$2:$I$4919,'DETALLE CRONOLÓGICO'!$A$2:$A$4919,$A1033)</f>
        <v/>
      </c>
      <c r="G1033" s="1">
        <f>INDEX('DETALLE CRONOLÓGICO'!$D$2:$D$4919,MATCH($A1033,'DETALLE CRONOLÓGICO'!$A$2:$A$4919,0))</f>
        <v/>
      </c>
      <c r="H1033" s="1">
        <f>INDEX('DETALLE CRONOLÓGICO'!$D$2:$D$4919,MATCH($A1033,'DETALLE CRONOLÓGICO'!$A$2:$A$4919,0)+$E1033-1)</f>
        <v/>
      </c>
      <c r="I1033" s="5">
        <f>IFERROR(SUMIFS('DETALLE CRONOLÓGICO'!$L$2:$L$4919,'DETALLE CRONOLÓGICO'!$A$2:$A$4919,$A1033)/$F1033,"")</f>
        <v/>
      </c>
      <c r="J1033" s="6">
        <f>IFERROR(SUMIFS('DETALLE CRONOLÓGICO'!$K$2:$K$4919,'DETALLE CRONOLÓGICO'!$A$2:$A$4919,$A1033)/$E1033,"")</f>
        <v/>
      </c>
      <c r="K1033" s="6">
        <f>_xlfn.MINIFS('DETALLE CRONOLÓGICO'!$K$2:$K$4919,'DETALLE CRONOLÓGICO'!$A$2:$A$4919,$A1033)</f>
        <v/>
      </c>
      <c r="L1033" s="6">
        <f>_xlfn.MAXIFS('DETALLE CRONOLÓGICO'!$K$2:$K$4919,'DETALLE CRONOLÓGICO'!$A$2:$A$4919,$A1033)</f>
        <v/>
      </c>
      <c r="M1033" s="6">
        <f>INDEX('DETALLE CRONOLÓGICO'!$K$2:$K$4919,MATCH($A1033,'DETALLE CRONOLÓGICO'!$A$2:$A$4919,0)+$E1033-1)</f>
        <v/>
      </c>
      <c r="N1033" s="7">
        <f>IFERROR($M1033/INDEX('DETALLE CRONOLÓGICO'!$K$2:$K$4919,MATCH($A1033,'DETALLE CRONOLÓGICO'!$A$2:$A$4919,0))-1,"")</f>
        <v/>
      </c>
      <c r="O1033" s="6">
        <f>IFERROR($I1033*3,"")</f>
        <v/>
      </c>
      <c r="P1033" s="6">
        <f>IFERROR($I1033*3.5,"")</f>
        <v/>
      </c>
      <c r="Q1033" s="6">
        <f>IFERROR($I1033*4,"")</f>
        <v/>
      </c>
      <c r="R1033" s="6" t="n">
        <v>1729</v>
      </c>
      <c r="S1033" s="4" t="n">
        <v>4</v>
      </c>
      <c r="T1033" s="1" t="inlineStr">
        <is>
          <t>active</t>
        </is>
      </c>
      <c r="U1033" s="8" t="n"/>
      <c r="V1033" s="1" t="inlineStr">
        <is>
          <t>SIN PRECIO</t>
        </is>
      </c>
    </row>
    <row r="1034">
      <c r="A1034" s="1" t="inlineStr">
        <is>
          <t>61222821052141</t>
        </is>
      </c>
      <c r="B1034" s="1" t="inlineStr">
        <is>
          <t>ANILLO CD GRABADO GOLD BLACK ZIRCONIAS</t>
        </is>
      </c>
      <c r="C1034" s="1" t="inlineStr">
        <is>
          <t>6</t>
        </is>
      </c>
      <c r="D1034" s="1" t="inlineStr">
        <is>
          <t>HAIFENG</t>
        </is>
      </c>
      <c r="E1034" s="4">
        <f>COUNTIF('DETALLE CRONOLÓGICO'!$A$2:$A$4919,$A1034)</f>
        <v/>
      </c>
      <c r="F1034" s="4">
        <f>SUMIFS('DETALLE CRONOLÓGICO'!$I$2:$I$4919,'DETALLE CRONOLÓGICO'!$A$2:$A$4919,$A1034)</f>
        <v/>
      </c>
      <c r="G1034" s="1">
        <f>INDEX('DETALLE CRONOLÓGICO'!$D$2:$D$4919,MATCH($A1034,'DETALLE CRONOLÓGICO'!$A$2:$A$4919,0))</f>
        <v/>
      </c>
      <c r="H1034" s="1">
        <f>INDEX('DETALLE CRONOLÓGICO'!$D$2:$D$4919,MATCH($A1034,'DETALLE CRONOLÓGICO'!$A$2:$A$4919,0)+$E1034-1)</f>
        <v/>
      </c>
      <c r="I1034" s="5">
        <f>IFERROR(SUMIFS('DETALLE CRONOLÓGICO'!$L$2:$L$4919,'DETALLE CRONOLÓGICO'!$A$2:$A$4919,$A1034)/$F1034,"")</f>
        <v/>
      </c>
      <c r="J1034" s="6">
        <f>IFERROR(SUMIFS('DETALLE CRONOLÓGICO'!$K$2:$K$4919,'DETALLE CRONOLÓGICO'!$A$2:$A$4919,$A1034)/$E1034,"")</f>
        <v/>
      </c>
      <c r="K1034" s="6">
        <f>_xlfn.MINIFS('DETALLE CRONOLÓGICO'!$K$2:$K$4919,'DETALLE CRONOLÓGICO'!$A$2:$A$4919,$A1034)</f>
        <v/>
      </c>
      <c r="L1034" s="6">
        <f>_xlfn.MAXIFS('DETALLE CRONOLÓGICO'!$K$2:$K$4919,'DETALLE CRONOLÓGICO'!$A$2:$A$4919,$A1034)</f>
        <v/>
      </c>
      <c r="M1034" s="6">
        <f>INDEX('DETALLE CRONOLÓGICO'!$K$2:$K$4919,MATCH($A1034,'DETALLE CRONOLÓGICO'!$A$2:$A$4919,0)+$E1034-1)</f>
        <v/>
      </c>
      <c r="N1034" s="7">
        <f>IFERROR($M1034/INDEX('DETALLE CRONOLÓGICO'!$K$2:$K$4919,MATCH($A1034,'DETALLE CRONOLÓGICO'!$A$2:$A$4919,0))-1,"")</f>
        <v/>
      </c>
      <c r="O1034" s="6">
        <f>IFERROR($I1034*3,"")</f>
        <v/>
      </c>
      <c r="P1034" s="6">
        <f>IFERROR($I1034*3.5,"")</f>
        <v/>
      </c>
      <c r="Q1034" s="6">
        <f>IFERROR($I1034*4,"")</f>
        <v/>
      </c>
      <c r="R1034" s="6" t="n">
        <v>660</v>
      </c>
      <c r="S1034" s="4" t="n">
        <v>1</v>
      </c>
      <c r="T1034" s="1" t="inlineStr">
        <is>
          <t>active</t>
        </is>
      </c>
      <c r="U1034" s="8" t="n"/>
      <c r="V1034" s="1" t="inlineStr">
        <is>
          <t>SIN PRECIO</t>
        </is>
      </c>
    </row>
    <row r="1035">
      <c r="A1035" s="1" t="inlineStr">
        <is>
          <t>61222821166797</t>
        </is>
      </c>
      <c r="B1035" s="1" t="inlineStr">
        <is>
          <t>ANILLO CD GRABADO GOLD BLACK ZIRCONIAS</t>
        </is>
      </c>
      <c r="C1035" s="1" t="inlineStr">
        <is>
          <t>8</t>
        </is>
      </c>
      <c r="D1035" s="1" t="inlineStr">
        <is>
          <t>HAIFENG</t>
        </is>
      </c>
      <c r="E1035" s="4">
        <f>COUNTIF('DETALLE CRONOLÓGICO'!$A$2:$A$4919,$A1035)</f>
        <v/>
      </c>
      <c r="F1035" s="4">
        <f>SUMIFS('DETALLE CRONOLÓGICO'!$I$2:$I$4919,'DETALLE CRONOLÓGICO'!$A$2:$A$4919,$A1035)</f>
        <v/>
      </c>
      <c r="G1035" s="1">
        <f>INDEX('DETALLE CRONOLÓGICO'!$D$2:$D$4919,MATCH($A1035,'DETALLE CRONOLÓGICO'!$A$2:$A$4919,0))</f>
        <v/>
      </c>
      <c r="H1035" s="1">
        <f>INDEX('DETALLE CRONOLÓGICO'!$D$2:$D$4919,MATCH($A1035,'DETALLE CRONOLÓGICO'!$A$2:$A$4919,0)+$E1035-1)</f>
        <v/>
      </c>
      <c r="I1035" s="5">
        <f>IFERROR(SUMIFS('DETALLE CRONOLÓGICO'!$L$2:$L$4919,'DETALLE CRONOLÓGICO'!$A$2:$A$4919,$A1035)/$F1035,"")</f>
        <v/>
      </c>
      <c r="J1035" s="6">
        <f>IFERROR(SUMIFS('DETALLE CRONOLÓGICO'!$K$2:$K$4919,'DETALLE CRONOLÓGICO'!$A$2:$A$4919,$A1035)/$E1035,"")</f>
        <v/>
      </c>
      <c r="K1035" s="6">
        <f>_xlfn.MINIFS('DETALLE CRONOLÓGICO'!$K$2:$K$4919,'DETALLE CRONOLÓGICO'!$A$2:$A$4919,$A1035)</f>
        <v/>
      </c>
      <c r="L1035" s="6">
        <f>_xlfn.MAXIFS('DETALLE CRONOLÓGICO'!$K$2:$K$4919,'DETALLE CRONOLÓGICO'!$A$2:$A$4919,$A1035)</f>
        <v/>
      </c>
      <c r="M1035" s="6">
        <f>INDEX('DETALLE CRONOLÓGICO'!$K$2:$K$4919,MATCH($A1035,'DETALLE CRONOLÓGICO'!$A$2:$A$4919,0)+$E1035-1)</f>
        <v/>
      </c>
      <c r="N1035" s="7">
        <f>IFERROR($M1035/INDEX('DETALLE CRONOLÓGICO'!$K$2:$K$4919,MATCH($A1035,'DETALLE CRONOLÓGICO'!$A$2:$A$4919,0))-1,"")</f>
        <v/>
      </c>
      <c r="O1035" s="6">
        <f>IFERROR($I1035*3,"")</f>
        <v/>
      </c>
      <c r="P1035" s="6">
        <f>IFERROR($I1035*3.5,"")</f>
        <v/>
      </c>
      <c r="Q1035" s="6">
        <f>IFERROR($I1035*4,"")</f>
        <v/>
      </c>
      <c r="R1035" s="6" t="n">
        <v>660</v>
      </c>
      <c r="S1035" s="4" t="n">
        <v>3</v>
      </c>
      <c r="T1035" s="1" t="inlineStr">
        <is>
          <t>active</t>
        </is>
      </c>
      <c r="U1035" s="8" t="n"/>
      <c r="V1035" s="1" t="inlineStr">
        <is>
          <t>SIN PRECIO</t>
        </is>
      </c>
    </row>
    <row r="1036">
      <c r="A1036" s="1" t="inlineStr">
        <is>
          <t>61453671212141</t>
        </is>
      </c>
      <c r="B1036" s="1" t="inlineStr">
        <is>
          <t>COLLAR FR SILVER PEARL</t>
        </is>
      </c>
      <c r="C1036" s="1" t="n"/>
      <c r="D1036" s="1" t="inlineStr">
        <is>
          <t>HAIFENG</t>
        </is>
      </c>
      <c r="E1036" s="4">
        <f>COUNTIF('DETALLE CRONOLÓGICO'!$A$2:$A$4919,$A1036)</f>
        <v/>
      </c>
      <c r="F1036" s="4">
        <f>SUMIFS('DETALLE CRONOLÓGICO'!$I$2:$I$4919,'DETALLE CRONOLÓGICO'!$A$2:$A$4919,$A1036)</f>
        <v/>
      </c>
      <c r="G1036" s="1">
        <f>INDEX('DETALLE CRONOLÓGICO'!$D$2:$D$4919,MATCH($A1036,'DETALLE CRONOLÓGICO'!$A$2:$A$4919,0))</f>
        <v/>
      </c>
      <c r="H1036" s="1">
        <f>INDEX('DETALLE CRONOLÓGICO'!$D$2:$D$4919,MATCH($A1036,'DETALLE CRONOLÓGICO'!$A$2:$A$4919,0)+$E1036-1)</f>
        <v/>
      </c>
      <c r="I1036" s="5">
        <f>IFERROR(SUMIFS('DETALLE CRONOLÓGICO'!$L$2:$L$4919,'DETALLE CRONOLÓGICO'!$A$2:$A$4919,$A1036)/$F1036,"")</f>
        <v/>
      </c>
      <c r="J1036" s="6">
        <f>IFERROR(SUMIFS('DETALLE CRONOLÓGICO'!$K$2:$K$4919,'DETALLE CRONOLÓGICO'!$A$2:$A$4919,$A1036)/$E1036,"")</f>
        <v/>
      </c>
      <c r="K1036" s="6">
        <f>_xlfn.MINIFS('DETALLE CRONOLÓGICO'!$K$2:$K$4919,'DETALLE CRONOLÓGICO'!$A$2:$A$4919,$A1036)</f>
        <v/>
      </c>
      <c r="L1036" s="6">
        <f>_xlfn.MAXIFS('DETALLE CRONOLÓGICO'!$K$2:$K$4919,'DETALLE CRONOLÓGICO'!$A$2:$A$4919,$A1036)</f>
        <v/>
      </c>
      <c r="M1036" s="6">
        <f>INDEX('DETALLE CRONOLÓGICO'!$K$2:$K$4919,MATCH($A1036,'DETALLE CRONOLÓGICO'!$A$2:$A$4919,0)+$E1036-1)</f>
        <v/>
      </c>
      <c r="N1036" s="7">
        <f>IFERROR($M1036/INDEX('DETALLE CRONOLÓGICO'!$K$2:$K$4919,MATCH($A1036,'DETALLE CRONOLÓGICO'!$A$2:$A$4919,0))-1,"")</f>
        <v/>
      </c>
      <c r="O1036" s="6">
        <f>IFERROR($I1036*3,"")</f>
        <v/>
      </c>
      <c r="P1036" s="6">
        <f>IFERROR($I1036*3.5,"")</f>
        <v/>
      </c>
      <c r="Q1036" s="6">
        <f>IFERROR($I1036*4,"")</f>
        <v/>
      </c>
      <c r="R1036" s="6" t="n">
        <v>580</v>
      </c>
      <c r="S1036" s="4" t="n">
        <v>0</v>
      </c>
      <c r="T1036" s="1" t="inlineStr">
        <is>
          <t>draft</t>
        </is>
      </c>
      <c r="U1036" s="8" t="n"/>
      <c r="V1036" s="1" t="inlineStr">
        <is>
          <t>SIN PRECIO</t>
        </is>
      </c>
    </row>
    <row r="1037">
      <c r="A1037" s="1" t="inlineStr">
        <is>
          <t>61744051068109</t>
        </is>
      </c>
      <c r="B1037" s="1" t="inlineStr">
        <is>
          <t>PULSERA CD GOLD CON ZIRCONIA</t>
        </is>
      </c>
      <c r="C1037" s="1" t="inlineStr">
        <is>
          <t>Default Title</t>
        </is>
      </c>
      <c r="D1037" s="1" t="inlineStr">
        <is>
          <t>ZOEY</t>
        </is>
      </c>
      <c r="E1037" s="4">
        <f>COUNTIF('DETALLE CRONOLÓGICO'!$A$2:$A$4919,$A1037)</f>
        <v/>
      </c>
      <c r="F1037" s="4">
        <f>SUMIFS('DETALLE CRONOLÓGICO'!$I$2:$I$4919,'DETALLE CRONOLÓGICO'!$A$2:$A$4919,$A1037)</f>
        <v/>
      </c>
      <c r="G1037" s="1">
        <f>INDEX('DETALLE CRONOLÓGICO'!$D$2:$D$4919,MATCH($A1037,'DETALLE CRONOLÓGICO'!$A$2:$A$4919,0))</f>
        <v/>
      </c>
      <c r="H1037" s="1">
        <f>INDEX('DETALLE CRONOLÓGICO'!$D$2:$D$4919,MATCH($A1037,'DETALLE CRONOLÓGICO'!$A$2:$A$4919,0)+$E1037-1)</f>
        <v/>
      </c>
      <c r="I1037" s="5">
        <f>IFERROR(SUMIFS('DETALLE CRONOLÓGICO'!$L$2:$L$4919,'DETALLE CRONOLÓGICO'!$A$2:$A$4919,$A1037)/$F1037,"")</f>
        <v/>
      </c>
      <c r="J1037" s="6">
        <f>IFERROR(SUMIFS('DETALLE CRONOLÓGICO'!$K$2:$K$4919,'DETALLE CRONOLÓGICO'!$A$2:$A$4919,$A1037)/$E1037,"")</f>
        <v/>
      </c>
      <c r="K1037" s="6">
        <f>_xlfn.MINIFS('DETALLE CRONOLÓGICO'!$K$2:$K$4919,'DETALLE CRONOLÓGICO'!$A$2:$A$4919,$A1037)</f>
        <v/>
      </c>
      <c r="L1037" s="6">
        <f>_xlfn.MAXIFS('DETALLE CRONOLÓGICO'!$K$2:$K$4919,'DETALLE CRONOLÓGICO'!$A$2:$A$4919,$A1037)</f>
        <v/>
      </c>
      <c r="M1037" s="6">
        <f>INDEX('DETALLE CRONOLÓGICO'!$K$2:$K$4919,MATCH($A1037,'DETALLE CRONOLÓGICO'!$A$2:$A$4919,0)+$E1037-1)</f>
        <v/>
      </c>
      <c r="N1037" s="7">
        <f>IFERROR($M1037/INDEX('DETALLE CRONOLÓGICO'!$K$2:$K$4919,MATCH($A1037,'DETALLE CRONOLÓGICO'!$A$2:$A$4919,0))-1,"")</f>
        <v/>
      </c>
      <c r="O1037" s="6">
        <f>IFERROR($I1037*3,"")</f>
        <v/>
      </c>
      <c r="P1037" s="6">
        <f>IFERROR($I1037*3.5,"")</f>
        <v/>
      </c>
      <c r="Q1037" s="6">
        <f>IFERROR($I1037*4,"")</f>
        <v/>
      </c>
      <c r="R1037" s="6" t="n">
        <v>1218</v>
      </c>
      <c r="S1037" s="4" t="n">
        <v>6</v>
      </c>
      <c r="T1037" s="1" t="inlineStr">
        <is>
          <t>active</t>
        </is>
      </c>
      <c r="U1037" s="8" t="n"/>
      <c r="V1037" s="1" t="inlineStr">
        <is>
          <t>SIN PRECIO</t>
        </is>
      </c>
    </row>
    <row r="1038">
      <c r="A1038" s="1" t="inlineStr">
        <is>
          <t>62101481140653</t>
        </is>
      </c>
      <c r="B1038" s="1" t="inlineStr">
        <is>
          <t>ARETES BEAN SILVER T</t>
        </is>
      </c>
      <c r="C1038" s="1" t="inlineStr">
        <is>
          <t>Default Title</t>
        </is>
      </c>
      <c r="D1038" s="1" t="inlineStr">
        <is>
          <t>CYNTHIA</t>
        </is>
      </c>
      <c r="E1038" s="4">
        <f>COUNTIF('DETALLE CRONOLÓGICO'!$A$2:$A$4919,$A1038)</f>
        <v/>
      </c>
      <c r="F1038" s="4">
        <f>SUMIFS('DETALLE CRONOLÓGICO'!$I$2:$I$4919,'DETALLE CRONOLÓGICO'!$A$2:$A$4919,$A1038)</f>
        <v/>
      </c>
      <c r="G1038" s="1">
        <f>INDEX('DETALLE CRONOLÓGICO'!$D$2:$D$4919,MATCH($A1038,'DETALLE CRONOLÓGICO'!$A$2:$A$4919,0))</f>
        <v/>
      </c>
      <c r="H1038" s="1">
        <f>INDEX('DETALLE CRONOLÓGICO'!$D$2:$D$4919,MATCH($A1038,'DETALLE CRONOLÓGICO'!$A$2:$A$4919,0)+$E1038-1)</f>
        <v/>
      </c>
      <c r="I1038" s="5">
        <f>IFERROR(SUMIFS('DETALLE CRONOLÓGICO'!$L$2:$L$4919,'DETALLE CRONOLÓGICO'!$A$2:$A$4919,$A1038)/$F1038,"")</f>
        <v/>
      </c>
      <c r="J1038" s="6">
        <f>IFERROR(SUMIFS('DETALLE CRONOLÓGICO'!$K$2:$K$4919,'DETALLE CRONOLÓGICO'!$A$2:$A$4919,$A1038)/$E1038,"")</f>
        <v/>
      </c>
      <c r="K1038" s="6">
        <f>_xlfn.MINIFS('DETALLE CRONOLÓGICO'!$K$2:$K$4919,'DETALLE CRONOLÓGICO'!$A$2:$A$4919,$A1038)</f>
        <v/>
      </c>
      <c r="L1038" s="6">
        <f>_xlfn.MAXIFS('DETALLE CRONOLÓGICO'!$K$2:$K$4919,'DETALLE CRONOLÓGICO'!$A$2:$A$4919,$A1038)</f>
        <v/>
      </c>
      <c r="M1038" s="6">
        <f>INDEX('DETALLE CRONOLÓGICO'!$K$2:$K$4919,MATCH($A1038,'DETALLE CRONOLÓGICO'!$A$2:$A$4919,0)+$E1038-1)</f>
        <v/>
      </c>
      <c r="N1038" s="7">
        <f>IFERROR($M1038/INDEX('DETALLE CRONOLÓGICO'!$K$2:$K$4919,MATCH($A1038,'DETALLE CRONOLÓGICO'!$A$2:$A$4919,0))-1,"")</f>
        <v/>
      </c>
      <c r="O1038" s="6">
        <f>IFERROR($I1038*3,"")</f>
        <v/>
      </c>
      <c r="P1038" s="6">
        <f>IFERROR($I1038*3.5,"")</f>
        <v/>
      </c>
      <c r="Q1038" s="6">
        <f>IFERROR($I1038*4,"")</f>
        <v/>
      </c>
      <c r="R1038" s="6" t="n">
        <v>849</v>
      </c>
      <c r="S1038" s="4" t="n">
        <v>4</v>
      </c>
      <c r="T1038" s="1" t="inlineStr">
        <is>
          <t>active</t>
        </is>
      </c>
      <c r="U1038" s="8" t="n"/>
      <c r="V1038" s="1" t="inlineStr">
        <is>
          <t>SIN PRECIO</t>
        </is>
      </c>
    </row>
    <row r="1039">
      <c r="A1039" s="1" t="inlineStr">
        <is>
          <t>62328733504652</t>
        </is>
      </c>
      <c r="B1039" s="1" t="inlineStr">
        <is>
          <t>PULSERA CD PETIT</t>
        </is>
      </c>
      <c r="C1039" s="1" t="inlineStr">
        <is>
          <t>16cm con 5cm de extensión</t>
        </is>
      </c>
      <c r="D1039" s="1" t="inlineStr">
        <is>
          <t>ZOEY</t>
        </is>
      </c>
      <c r="E1039" s="4">
        <f>COUNTIF('DETALLE CRONOLÓGICO'!$A$2:$A$4919,$A1039)</f>
        <v/>
      </c>
      <c r="F1039" s="4">
        <f>SUMIFS('DETALLE CRONOLÓGICO'!$I$2:$I$4919,'DETALLE CRONOLÓGICO'!$A$2:$A$4919,$A1039)</f>
        <v/>
      </c>
      <c r="G1039" s="1">
        <f>INDEX('DETALLE CRONOLÓGICO'!$D$2:$D$4919,MATCH($A1039,'DETALLE CRONOLÓGICO'!$A$2:$A$4919,0))</f>
        <v/>
      </c>
      <c r="H1039" s="1">
        <f>INDEX('DETALLE CRONOLÓGICO'!$D$2:$D$4919,MATCH($A1039,'DETALLE CRONOLÓGICO'!$A$2:$A$4919,0)+$E1039-1)</f>
        <v/>
      </c>
      <c r="I1039" s="5">
        <f>IFERROR(SUMIFS('DETALLE CRONOLÓGICO'!$L$2:$L$4919,'DETALLE CRONOLÓGICO'!$A$2:$A$4919,$A1039)/$F1039,"")</f>
        <v/>
      </c>
      <c r="J1039" s="6">
        <f>IFERROR(SUMIFS('DETALLE CRONOLÓGICO'!$K$2:$K$4919,'DETALLE CRONOLÓGICO'!$A$2:$A$4919,$A1039)/$E1039,"")</f>
        <v/>
      </c>
      <c r="K1039" s="6">
        <f>_xlfn.MINIFS('DETALLE CRONOLÓGICO'!$K$2:$K$4919,'DETALLE CRONOLÓGICO'!$A$2:$A$4919,$A1039)</f>
        <v/>
      </c>
      <c r="L1039" s="6">
        <f>_xlfn.MAXIFS('DETALLE CRONOLÓGICO'!$K$2:$K$4919,'DETALLE CRONOLÓGICO'!$A$2:$A$4919,$A1039)</f>
        <v/>
      </c>
      <c r="M1039" s="6">
        <f>INDEX('DETALLE CRONOLÓGICO'!$K$2:$K$4919,MATCH($A1039,'DETALLE CRONOLÓGICO'!$A$2:$A$4919,0)+$E1039-1)</f>
        <v/>
      </c>
      <c r="N1039" s="7">
        <f>IFERROR($M1039/INDEX('DETALLE CRONOLÓGICO'!$K$2:$K$4919,MATCH($A1039,'DETALLE CRONOLÓGICO'!$A$2:$A$4919,0))-1,"")</f>
        <v/>
      </c>
      <c r="O1039" s="6">
        <f>IFERROR($I1039*3,"")</f>
        <v/>
      </c>
      <c r="P1039" s="6">
        <f>IFERROR($I1039*3.5,"")</f>
        <v/>
      </c>
      <c r="Q1039" s="6">
        <f>IFERROR($I1039*4,"")</f>
        <v/>
      </c>
      <c r="R1039" s="6" t="n">
        <v>760</v>
      </c>
      <c r="S1039" s="4" t="n">
        <v>0</v>
      </c>
      <c r="T1039" s="1" t="inlineStr">
        <is>
          <t>active</t>
        </is>
      </c>
      <c r="U1039" s="8" t="n"/>
      <c r="V1039" s="1" t="inlineStr">
        <is>
          <t>SIN PRECIO</t>
        </is>
      </c>
    </row>
    <row r="1040">
      <c r="A1040" s="1" t="inlineStr">
        <is>
          <t>62571331097101</t>
        </is>
      </c>
      <c r="B1040" s="1" t="inlineStr">
        <is>
          <t>BOLSA LLM BLACK</t>
        </is>
      </c>
      <c r="C1040" s="1" t="inlineStr">
        <is>
          <t>Default Title</t>
        </is>
      </c>
      <c r="D1040" s="1" t="inlineStr">
        <is>
          <t>ZOEY</t>
        </is>
      </c>
      <c r="E1040" s="4">
        <f>COUNTIF('DETALLE CRONOLÓGICO'!$A$2:$A$4919,$A1040)</f>
        <v/>
      </c>
      <c r="F1040" s="4">
        <f>SUMIFS('DETALLE CRONOLÓGICO'!$I$2:$I$4919,'DETALLE CRONOLÓGICO'!$A$2:$A$4919,$A1040)</f>
        <v/>
      </c>
      <c r="G1040" s="1">
        <f>INDEX('DETALLE CRONOLÓGICO'!$D$2:$D$4919,MATCH($A1040,'DETALLE CRONOLÓGICO'!$A$2:$A$4919,0))</f>
        <v/>
      </c>
      <c r="H1040" s="1">
        <f>INDEX('DETALLE CRONOLÓGICO'!$D$2:$D$4919,MATCH($A1040,'DETALLE CRONOLÓGICO'!$A$2:$A$4919,0)+$E1040-1)</f>
        <v/>
      </c>
      <c r="I1040" s="5">
        <f>IFERROR(SUMIFS('DETALLE CRONOLÓGICO'!$L$2:$L$4919,'DETALLE CRONOLÓGICO'!$A$2:$A$4919,$A1040)/$F1040,"")</f>
        <v/>
      </c>
      <c r="J1040" s="6">
        <f>IFERROR(SUMIFS('DETALLE CRONOLÓGICO'!$K$2:$K$4919,'DETALLE CRONOLÓGICO'!$A$2:$A$4919,$A1040)/$E1040,"")</f>
        <v/>
      </c>
      <c r="K1040" s="6">
        <f>_xlfn.MINIFS('DETALLE CRONOLÓGICO'!$K$2:$K$4919,'DETALLE CRONOLÓGICO'!$A$2:$A$4919,$A1040)</f>
        <v/>
      </c>
      <c r="L1040" s="6">
        <f>_xlfn.MAXIFS('DETALLE CRONOLÓGICO'!$K$2:$K$4919,'DETALLE CRONOLÓGICO'!$A$2:$A$4919,$A1040)</f>
        <v/>
      </c>
      <c r="M1040" s="6">
        <f>INDEX('DETALLE CRONOLÓGICO'!$K$2:$K$4919,MATCH($A1040,'DETALLE CRONOLÓGICO'!$A$2:$A$4919,0)+$E1040-1)</f>
        <v/>
      </c>
      <c r="N1040" s="7">
        <f>IFERROR($M1040/INDEX('DETALLE CRONOLÓGICO'!$K$2:$K$4919,MATCH($A1040,'DETALLE CRONOLÓGICO'!$A$2:$A$4919,0))-1,"")</f>
        <v/>
      </c>
      <c r="O1040" s="6">
        <f>IFERROR($I1040*3,"")</f>
        <v/>
      </c>
      <c r="P1040" s="6">
        <f>IFERROR($I1040*3.5,"")</f>
        <v/>
      </c>
      <c r="Q1040" s="6">
        <f>IFERROR($I1040*4,"")</f>
        <v/>
      </c>
      <c r="R1040" s="6" t="n">
        <v>785</v>
      </c>
      <c r="S1040" s="4" t="n">
        <v>2</v>
      </c>
      <c r="T1040" s="1" t="inlineStr">
        <is>
          <t>active</t>
        </is>
      </c>
      <c r="U1040" s="8" t="n"/>
      <c r="V1040" s="1" t="inlineStr">
        <is>
          <t>SIN PRECIO</t>
        </is>
      </c>
    </row>
    <row r="1041">
      <c r="A1041" s="1" t="inlineStr">
        <is>
          <t>62745761085613</t>
        </is>
      </c>
      <c r="B1041" s="1" t="inlineStr">
        <is>
          <t>MONEDERO G PM BLACK</t>
        </is>
      </c>
      <c r="C1041" s="1" t="inlineStr">
        <is>
          <t>Default Title</t>
        </is>
      </c>
      <c r="D1041" s="1" t="inlineStr">
        <is>
          <t>NANCY</t>
        </is>
      </c>
      <c r="E1041" s="4">
        <f>COUNTIF('DETALLE CRONOLÓGICO'!$A$2:$A$4919,$A1041)</f>
        <v/>
      </c>
      <c r="F1041" s="4">
        <f>SUMIFS('DETALLE CRONOLÓGICO'!$I$2:$I$4919,'DETALLE CRONOLÓGICO'!$A$2:$A$4919,$A1041)</f>
        <v/>
      </c>
      <c r="G1041" s="1">
        <f>INDEX('DETALLE CRONOLÓGICO'!$D$2:$D$4919,MATCH($A1041,'DETALLE CRONOLÓGICO'!$A$2:$A$4919,0))</f>
        <v/>
      </c>
      <c r="H1041" s="1">
        <f>INDEX('DETALLE CRONOLÓGICO'!$D$2:$D$4919,MATCH($A1041,'DETALLE CRONOLÓGICO'!$A$2:$A$4919,0)+$E1041-1)</f>
        <v/>
      </c>
      <c r="I1041" s="5">
        <f>IFERROR(SUMIFS('DETALLE CRONOLÓGICO'!$L$2:$L$4919,'DETALLE CRONOLÓGICO'!$A$2:$A$4919,$A1041)/$F1041,"")</f>
        <v/>
      </c>
      <c r="J1041" s="6">
        <f>IFERROR(SUMIFS('DETALLE CRONOLÓGICO'!$K$2:$K$4919,'DETALLE CRONOLÓGICO'!$A$2:$A$4919,$A1041)/$E1041,"")</f>
        <v/>
      </c>
      <c r="K1041" s="6">
        <f>_xlfn.MINIFS('DETALLE CRONOLÓGICO'!$K$2:$K$4919,'DETALLE CRONOLÓGICO'!$A$2:$A$4919,$A1041)</f>
        <v/>
      </c>
      <c r="L1041" s="6">
        <f>_xlfn.MAXIFS('DETALLE CRONOLÓGICO'!$K$2:$K$4919,'DETALLE CRONOLÓGICO'!$A$2:$A$4919,$A1041)</f>
        <v/>
      </c>
      <c r="M1041" s="6">
        <f>INDEX('DETALLE CRONOLÓGICO'!$K$2:$K$4919,MATCH($A1041,'DETALLE CRONOLÓGICO'!$A$2:$A$4919,0)+$E1041-1)</f>
        <v/>
      </c>
      <c r="N1041" s="7">
        <f>IFERROR($M1041/INDEX('DETALLE CRONOLÓGICO'!$K$2:$K$4919,MATCH($A1041,'DETALLE CRONOLÓGICO'!$A$2:$A$4919,0))-1,"")</f>
        <v/>
      </c>
      <c r="O1041" s="6">
        <f>IFERROR($I1041*3,"")</f>
        <v/>
      </c>
      <c r="P1041" s="6">
        <f>IFERROR($I1041*3.5,"")</f>
        <v/>
      </c>
      <c r="Q1041" s="6">
        <f>IFERROR($I1041*4,"")</f>
        <v/>
      </c>
      <c r="R1041" s="6" t="n">
        <v>1279</v>
      </c>
      <c r="S1041" s="4" t="n">
        <v>2</v>
      </c>
      <c r="T1041" s="1" t="inlineStr">
        <is>
          <t>active</t>
        </is>
      </c>
      <c r="U1041" s="8" t="n"/>
      <c r="V1041" s="1" t="inlineStr">
        <is>
          <t>SIN PRECIO</t>
        </is>
      </c>
    </row>
    <row r="1042">
      <c r="A1042" s="1" t="inlineStr">
        <is>
          <t>62745761151149</t>
        </is>
      </c>
      <c r="B1042" s="1" t="inlineStr">
        <is>
          <t>MONEDERO G PM WHITE</t>
        </is>
      </c>
      <c r="C1042" s="1" t="inlineStr">
        <is>
          <t>Default Title</t>
        </is>
      </c>
      <c r="D1042" s="1" t="inlineStr">
        <is>
          <t>NANCY</t>
        </is>
      </c>
      <c r="E1042" s="4">
        <f>COUNTIF('DETALLE CRONOLÓGICO'!$A$2:$A$4919,$A1042)</f>
        <v/>
      </c>
      <c r="F1042" s="4">
        <f>SUMIFS('DETALLE CRONOLÓGICO'!$I$2:$I$4919,'DETALLE CRONOLÓGICO'!$A$2:$A$4919,$A1042)</f>
        <v/>
      </c>
      <c r="G1042" s="1">
        <f>INDEX('DETALLE CRONOLÓGICO'!$D$2:$D$4919,MATCH($A1042,'DETALLE CRONOLÓGICO'!$A$2:$A$4919,0))</f>
        <v/>
      </c>
      <c r="H1042" s="1">
        <f>INDEX('DETALLE CRONOLÓGICO'!$D$2:$D$4919,MATCH($A1042,'DETALLE CRONOLÓGICO'!$A$2:$A$4919,0)+$E1042-1)</f>
        <v/>
      </c>
      <c r="I1042" s="5">
        <f>IFERROR(SUMIFS('DETALLE CRONOLÓGICO'!$L$2:$L$4919,'DETALLE CRONOLÓGICO'!$A$2:$A$4919,$A1042)/$F1042,"")</f>
        <v/>
      </c>
      <c r="J1042" s="6">
        <f>IFERROR(SUMIFS('DETALLE CRONOLÓGICO'!$K$2:$K$4919,'DETALLE CRONOLÓGICO'!$A$2:$A$4919,$A1042)/$E1042,"")</f>
        <v/>
      </c>
      <c r="K1042" s="6">
        <f>_xlfn.MINIFS('DETALLE CRONOLÓGICO'!$K$2:$K$4919,'DETALLE CRONOLÓGICO'!$A$2:$A$4919,$A1042)</f>
        <v/>
      </c>
      <c r="L1042" s="6">
        <f>_xlfn.MAXIFS('DETALLE CRONOLÓGICO'!$K$2:$K$4919,'DETALLE CRONOLÓGICO'!$A$2:$A$4919,$A1042)</f>
        <v/>
      </c>
      <c r="M1042" s="6">
        <f>INDEX('DETALLE CRONOLÓGICO'!$K$2:$K$4919,MATCH($A1042,'DETALLE CRONOLÓGICO'!$A$2:$A$4919,0)+$E1042-1)</f>
        <v/>
      </c>
      <c r="N1042" s="7">
        <f>IFERROR($M1042/INDEX('DETALLE CRONOLÓGICO'!$K$2:$K$4919,MATCH($A1042,'DETALLE CRONOLÓGICO'!$A$2:$A$4919,0))-1,"")</f>
        <v/>
      </c>
      <c r="O1042" s="6">
        <f>IFERROR($I1042*3,"")</f>
        <v/>
      </c>
      <c r="P1042" s="6">
        <f>IFERROR($I1042*3.5,"")</f>
        <v/>
      </c>
      <c r="Q1042" s="6">
        <f>IFERROR($I1042*4,"")</f>
        <v/>
      </c>
      <c r="R1042" s="6" t="n">
        <v>1300</v>
      </c>
      <c r="S1042" s="4" t="n">
        <v>2</v>
      </c>
      <c r="T1042" s="1" t="inlineStr">
        <is>
          <t>active</t>
        </is>
      </c>
      <c r="U1042" s="8" t="n"/>
      <c r="V1042" s="1" t="inlineStr">
        <is>
          <t>SIN PRECIO</t>
        </is>
      </c>
    </row>
    <row r="1043">
      <c r="A1043" s="1" t="inlineStr">
        <is>
          <t>62745761283917</t>
        </is>
      </c>
      <c r="B1043" s="1" t="inlineStr">
        <is>
          <t>CARTERA G GABRIEL</t>
        </is>
      </c>
      <c r="C1043" s="1" t="inlineStr">
        <is>
          <t>Default Title</t>
        </is>
      </c>
      <c r="D1043" s="1" t="inlineStr">
        <is>
          <t>NANCY</t>
        </is>
      </c>
      <c r="E1043" s="4">
        <f>COUNTIF('DETALLE CRONOLÓGICO'!$A$2:$A$4919,$A1043)</f>
        <v/>
      </c>
      <c r="F1043" s="4">
        <f>SUMIFS('DETALLE CRONOLÓGICO'!$I$2:$I$4919,'DETALLE CRONOLÓGICO'!$A$2:$A$4919,$A1043)</f>
        <v/>
      </c>
      <c r="G1043" s="1">
        <f>INDEX('DETALLE CRONOLÓGICO'!$D$2:$D$4919,MATCH($A1043,'DETALLE CRONOLÓGICO'!$A$2:$A$4919,0))</f>
        <v/>
      </c>
      <c r="H1043" s="1">
        <f>INDEX('DETALLE CRONOLÓGICO'!$D$2:$D$4919,MATCH($A1043,'DETALLE CRONOLÓGICO'!$A$2:$A$4919,0)+$E1043-1)</f>
        <v/>
      </c>
      <c r="I1043" s="5">
        <f>IFERROR(SUMIFS('DETALLE CRONOLÓGICO'!$L$2:$L$4919,'DETALLE CRONOLÓGICO'!$A$2:$A$4919,$A1043)/$F1043,"")</f>
        <v/>
      </c>
      <c r="J1043" s="6">
        <f>IFERROR(SUMIFS('DETALLE CRONOLÓGICO'!$K$2:$K$4919,'DETALLE CRONOLÓGICO'!$A$2:$A$4919,$A1043)/$E1043,"")</f>
        <v/>
      </c>
      <c r="K1043" s="6">
        <f>_xlfn.MINIFS('DETALLE CRONOLÓGICO'!$K$2:$K$4919,'DETALLE CRONOLÓGICO'!$A$2:$A$4919,$A1043)</f>
        <v/>
      </c>
      <c r="L1043" s="6">
        <f>_xlfn.MAXIFS('DETALLE CRONOLÓGICO'!$K$2:$K$4919,'DETALLE CRONOLÓGICO'!$A$2:$A$4919,$A1043)</f>
        <v/>
      </c>
      <c r="M1043" s="6">
        <f>INDEX('DETALLE CRONOLÓGICO'!$K$2:$K$4919,MATCH($A1043,'DETALLE CRONOLÓGICO'!$A$2:$A$4919,0)+$E1043-1)</f>
        <v/>
      </c>
      <c r="N1043" s="7">
        <f>IFERROR($M1043/INDEX('DETALLE CRONOLÓGICO'!$K$2:$K$4919,MATCH($A1043,'DETALLE CRONOLÓGICO'!$A$2:$A$4919,0))-1,"")</f>
        <v/>
      </c>
      <c r="O1043" s="6">
        <f>IFERROR($I1043*3,"")</f>
        <v/>
      </c>
      <c r="P1043" s="6">
        <f>IFERROR($I1043*3.5,"")</f>
        <v/>
      </c>
      <c r="Q1043" s="6">
        <f>IFERROR($I1043*4,"")</f>
        <v/>
      </c>
      <c r="R1043" s="6" t="n">
        <v>1300</v>
      </c>
      <c r="S1043" s="4" t="n">
        <v>1</v>
      </c>
      <c r="T1043" s="1" t="inlineStr">
        <is>
          <t>active</t>
        </is>
      </c>
      <c r="U1043" s="8" t="n"/>
      <c r="V1043" s="1" t="inlineStr">
        <is>
          <t>SIN PRECIO</t>
        </is>
      </c>
    </row>
    <row r="1044">
      <c r="A1044" s="1" t="inlineStr">
        <is>
          <t>62745761377133</t>
        </is>
      </c>
      <c r="B1044" s="1" t="inlineStr">
        <is>
          <t>CARTERA G GABRIEL GREEN</t>
        </is>
      </c>
      <c r="C1044" s="1" t="inlineStr">
        <is>
          <t>Default Title</t>
        </is>
      </c>
      <c r="D1044" s="1" t="inlineStr">
        <is>
          <t>NANCY</t>
        </is>
      </c>
      <c r="E1044" s="4">
        <f>COUNTIF('DETALLE CRONOLÓGICO'!$A$2:$A$4919,$A1044)</f>
        <v/>
      </c>
      <c r="F1044" s="4">
        <f>SUMIFS('DETALLE CRONOLÓGICO'!$I$2:$I$4919,'DETALLE CRONOLÓGICO'!$A$2:$A$4919,$A1044)</f>
        <v/>
      </c>
      <c r="G1044" s="1">
        <f>INDEX('DETALLE CRONOLÓGICO'!$D$2:$D$4919,MATCH($A1044,'DETALLE CRONOLÓGICO'!$A$2:$A$4919,0))</f>
        <v/>
      </c>
      <c r="H1044" s="1">
        <f>INDEX('DETALLE CRONOLÓGICO'!$D$2:$D$4919,MATCH($A1044,'DETALLE CRONOLÓGICO'!$A$2:$A$4919,0)+$E1044-1)</f>
        <v/>
      </c>
      <c r="I1044" s="5">
        <f>IFERROR(SUMIFS('DETALLE CRONOLÓGICO'!$L$2:$L$4919,'DETALLE CRONOLÓGICO'!$A$2:$A$4919,$A1044)/$F1044,"")</f>
        <v/>
      </c>
      <c r="J1044" s="6">
        <f>IFERROR(SUMIFS('DETALLE CRONOLÓGICO'!$K$2:$K$4919,'DETALLE CRONOLÓGICO'!$A$2:$A$4919,$A1044)/$E1044,"")</f>
        <v/>
      </c>
      <c r="K1044" s="6">
        <f>_xlfn.MINIFS('DETALLE CRONOLÓGICO'!$K$2:$K$4919,'DETALLE CRONOLÓGICO'!$A$2:$A$4919,$A1044)</f>
        <v/>
      </c>
      <c r="L1044" s="6">
        <f>_xlfn.MAXIFS('DETALLE CRONOLÓGICO'!$K$2:$K$4919,'DETALLE CRONOLÓGICO'!$A$2:$A$4919,$A1044)</f>
        <v/>
      </c>
      <c r="M1044" s="6">
        <f>INDEX('DETALLE CRONOLÓGICO'!$K$2:$K$4919,MATCH($A1044,'DETALLE CRONOLÓGICO'!$A$2:$A$4919,0)+$E1044-1)</f>
        <v/>
      </c>
      <c r="N1044" s="7">
        <f>IFERROR($M1044/INDEX('DETALLE CRONOLÓGICO'!$K$2:$K$4919,MATCH($A1044,'DETALLE CRONOLÓGICO'!$A$2:$A$4919,0))-1,"")</f>
        <v/>
      </c>
      <c r="O1044" s="6">
        <f>IFERROR($I1044*3,"")</f>
        <v/>
      </c>
      <c r="P1044" s="6">
        <f>IFERROR($I1044*3.5,"")</f>
        <v/>
      </c>
      <c r="Q1044" s="6">
        <f>IFERROR($I1044*4,"")</f>
        <v/>
      </c>
      <c r="R1044" s="6" t="n">
        <v>1279</v>
      </c>
      <c r="S1044" s="4" t="n">
        <v>0</v>
      </c>
      <c r="T1044" s="1" t="inlineStr">
        <is>
          <t>active</t>
        </is>
      </c>
      <c r="U1044" s="8" t="n"/>
      <c r="V1044" s="1" t="inlineStr">
        <is>
          <t>SIN PRECIO</t>
        </is>
      </c>
    </row>
    <row r="1045">
      <c r="A1045" s="1" t="inlineStr">
        <is>
          <t>62745761409901</t>
        </is>
      </c>
      <c r="B1045" s="1" t="inlineStr">
        <is>
          <t>CARTERA G GABRIEL GREY</t>
        </is>
      </c>
      <c r="C1045" s="1" t="inlineStr">
        <is>
          <t>Default Title</t>
        </is>
      </c>
      <c r="D1045" s="1" t="inlineStr">
        <is>
          <t>NANCY</t>
        </is>
      </c>
      <c r="E1045" s="4">
        <f>COUNTIF('DETALLE CRONOLÓGICO'!$A$2:$A$4919,$A1045)</f>
        <v/>
      </c>
      <c r="F1045" s="4">
        <f>SUMIFS('DETALLE CRONOLÓGICO'!$I$2:$I$4919,'DETALLE CRONOLÓGICO'!$A$2:$A$4919,$A1045)</f>
        <v/>
      </c>
      <c r="G1045" s="1">
        <f>INDEX('DETALLE CRONOLÓGICO'!$D$2:$D$4919,MATCH($A1045,'DETALLE CRONOLÓGICO'!$A$2:$A$4919,0))</f>
        <v/>
      </c>
      <c r="H1045" s="1">
        <f>INDEX('DETALLE CRONOLÓGICO'!$D$2:$D$4919,MATCH($A1045,'DETALLE CRONOLÓGICO'!$A$2:$A$4919,0)+$E1045-1)</f>
        <v/>
      </c>
      <c r="I1045" s="5">
        <f>IFERROR(SUMIFS('DETALLE CRONOLÓGICO'!$L$2:$L$4919,'DETALLE CRONOLÓGICO'!$A$2:$A$4919,$A1045)/$F1045,"")</f>
        <v/>
      </c>
      <c r="J1045" s="6">
        <f>IFERROR(SUMIFS('DETALLE CRONOLÓGICO'!$K$2:$K$4919,'DETALLE CRONOLÓGICO'!$A$2:$A$4919,$A1045)/$E1045,"")</f>
        <v/>
      </c>
      <c r="K1045" s="6">
        <f>_xlfn.MINIFS('DETALLE CRONOLÓGICO'!$K$2:$K$4919,'DETALLE CRONOLÓGICO'!$A$2:$A$4919,$A1045)</f>
        <v/>
      </c>
      <c r="L1045" s="6">
        <f>_xlfn.MAXIFS('DETALLE CRONOLÓGICO'!$K$2:$K$4919,'DETALLE CRONOLÓGICO'!$A$2:$A$4919,$A1045)</f>
        <v/>
      </c>
      <c r="M1045" s="6">
        <f>INDEX('DETALLE CRONOLÓGICO'!$K$2:$K$4919,MATCH($A1045,'DETALLE CRONOLÓGICO'!$A$2:$A$4919,0)+$E1045-1)</f>
        <v/>
      </c>
      <c r="N1045" s="7">
        <f>IFERROR($M1045/INDEX('DETALLE CRONOLÓGICO'!$K$2:$K$4919,MATCH($A1045,'DETALLE CRONOLÓGICO'!$A$2:$A$4919,0))-1,"")</f>
        <v/>
      </c>
      <c r="O1045" s="6">
        <f>IFERROR($I1045*3,"")</f>
        <v/>
      </c>
      <c r="P1045" s="6">
        <f>IFERROR($I1045*3.5,"")</f>
        <v/>
      </c>
      <c r="Q1045" s="6">
        <f>IFERROR($I1045*4,"")</f>
        <v/>
      </c>
      <c r="R1045" s="6" t="n">
        <v>1279</v>
      </c>
      <c r="S1045" s="4" t="n">
        <v>0</v>
      </c>
      <c r="T1045" s="1" t="inlineStr">
        <is>
          <t>active</t>
        </is>
      </c>
      <c r="U1045" s="8" t="n"/>
      <c r="V1045" s="1" t="inlineStr">
        <is>
          <t>SIN PRECIO</t>
        </is>
      </c>
    </row>
    <row r="1046">
      <c r="A1046" s="1" t="inlineStr">
        <is>
          <t>62745761513293</t>
        </is>
      </c>
      <c r="B1046" s="1" t="inlineStr">
        <is>
          <t>CARTERA G GABRIEL WHITE</t>
        </is>
      </c>
      <c r="C1046" s="1" t="inlineStr">
        <is>
          <t>Default Title</t>
        </is>
      </c>
      <c r="D1046" s="1" t="inlineStr">
        <is>
          <t>NANCY</t>
        </is>
      </c>
      <c r="E1046" s="4">
        <f>COUNTIF('DETALLE CRONOLÓGICO'!$A$2:$A$4919,$A1046)</f>
        <v/>
      </c>
      <c r="F1046" s="4">
        <f>SUMIFS('DETALLE CRONOLÓGICO'!$I$2:$I$4919,'DETALLE CRONOLÓGICO'!$A$2:$A$4919,$A1046)</f>
        <v/>
      </c>
      <c r="G1046" s="1">
        <f>INDEX('DETALLE CRONOLÓGICO'!$D$2:$D$4919,MATCH($A1046,'DETALLE CRONOLÓGICO'!$A$2:$A$4919,0))</f>
        <v/>
      </c>
      <c r="H1046" s="1">
        <f>INDEX('DETALLE CRONOLÓGICO'!$D$2:$D$4919,MATCH($A1046,'DETALLE CRONOLÓGICO'!$A$2:$A$4919,0)+$E1046-1)</f>
        <v/>
      </c>
      <c r="I1046" s="5">
        <f>IFERROR(SUMIFS('DETALLE CRONOLÓGICO'!$L$2:$L$4919,'DETALLE CRONOLÓGICO'!$A$2:$A$4919,$A1046)/$F1046,"")</f>
        <v/>
      </c>
      <c r="J1046" s="6">
        <f>IFERROR(SUMIFS('DETALLE CRONOLÓGICO'!$K$2:$K$4919,'DETALLE CRONOLÓGICO'!$A$2:$A$4919,$A1046)/$E1046,"")</f>
        <v/>
      </c>
      <c r="K1046" s="6">
        <f>_xlfn.MINIFS('DETALLE CRONOLÓGICO'!$K$2:$K$4919,'DETALLE CRONOLÓGICO'!$A$2:$A$4919,$A1046)</f>
        <v/>
      </c>
      <c r="L1046" s="6">
        <f>_xlfn.MAXIFS('DETALLE CRONOLÓGICO'!$K$2:$K$4919,'DETALLE CRONOLÓGICO'!$A$2:$A$4919,$A1046)</f>
        <v/>
      </c>
      <c r="M1046" s="6">
        <f>INDEX('DETALLE CRONOLÓGICO'!$K$2:$K$4919,MATCH($A1046,'DETALLE CRONOLÓGICO'!$A$2:$A$4919,0)+$E1046-1)</f>
        <v/>
      </c>
      <c r="N1046" s="7">
        <f>IFERROR($M1046/INDEX('DETALLE CRONOLÓGICO'!$K$2:$K$4919,MATCH($A1046,'DETALLE CRONOLÓGICO'!$A$2:$A$4919,0))-1,"")</f>
        <v/>
      </c>
      <c r="O1046" s="6">
        <f>IFERROR($I1046*3,"")</f>
        <v/>
      </c>
      <c r="P1046" s="6">
        <f>IFERROR($I1046*3.5,"")</f>
        <v/>
      </c>
      <c r="Q1046" s="6">
        <f>IFERROR($I1046*4,"")</f>
        <v/>
      </c>
      <c r="R1046" s="6" t="n">
        <v>1279</v>
      </c>
      <c r="S1046" s="4" t="n">
        <v>0</v>
      </c>
      <c r="T1046" s="1" t="inlineStr">
        <is>
          <t>active</t>
        </is>
      </c>
      <c r="U1046" s="8" t="n"/>
      <c r="V1046" s="1" t="inlineStr">
        <is>
          <t>SIN PRECIO</t>
        </is>
      </c>
    </row>
    <row r="1047">
      <c r="A1047" s="1" t="inlineStr">
        <is>
          <t>62745761639277</t>
        </is>
      </c>
      <c r="B1047" s="1" t="inlineStr">
        <is>
          <t>CARTERA G MATIGNON</t>
        </is>
      </c>
      <c r="C1047" s="1" t="inlineStr">
        <is>
          <t>Default Title</t>
        </is>
      </c>
      <c r="D1047" s="1" t="inlineStr">
        <is>
          <t>NANCY</t>
        </is>
      </c>
      <c r="E1047" s="4">
        <f>COUNTIF('DETALLE CRONOLÓGICO'!$A$2:$A$4919,$A1047)</f>
        <v/>
      </c>
      <c r="F1047" s="4">
        <f>SUMIFS('DETALLE CRONOLÓGICO'!$I$2:$I$4919,'DETALLE CRONOLÓGICO'!$A$2:$A$4919,$A1047)</f>
        <v/>
      </c>
      <c r="G1047" s="1">
        <f>INDEX('DETALLE CRONOLÓGICO'!$D$2:$D$4919,MATCH($A1047,'DETALLE CRONOLÓGICO'!$A$2:$A$4919,0))</f>
        <v/>
      </c>
      <c r="H1047" s="1">
        <f>INDEX('DETALLE CRONOLÓGICO'!$D$2:$D$4919,MATCH($A1047,'DETALLE CRONOLÓGICO'!$A$2:$A$4919,0)+$E1047-1)</f>
        <v/>
      </c>
      <c r="I1047" s="5">
        <f>IFERROR(SUMIFS('DETALLE CRONOLÓGICO'!$L$2:$L$4919,'DETALLE CRONOLÓGICO'!$A$2:$A$4919,$A1047)/$F1047,"")</f>
        <v/>
      </c>
      <c r="J1047" s="6">
        <f>IFERROR(SUMIFS('DETALLE CRONOLÓGICO'!$K$2:$K$4919,'DETALLE CRONOLÓGICO'!$A$2:$A$4919,$A1047)/$E1047,"")</f>
        <v/>
      </c>
      <c r="K1047" s="6">
        <f>_xlfn.MINIFS('DETALLE CRONOLÓGICO'!$K$2:$K$4919,'DETALLE CRONOLÓGICO'!$A$2:$A$4919,$A1047)</f>
        <v/>
      </c>
      <c r="L1047" s="6">
        <f>_xlfn.MAXIFS('DETALLE CRONOLÓGICO'!$K$2:$K$4919,'DETALLE CRONOLÓGICO'!$A$2:$A$4919,$A1047)</f>
        <v/>
      </c>
      <c r="M1047" s="6">
        <f>INDEX('DETALLE CRONOLÓGICO'!$K$2:$K$4919,MATCH($A1047,'DETALLE CRONOLÓGICO'!$A$2:$A$4919,0)+$E1047-1)</f>
        <v/>
      </c>
      <c r="N1047" s="7">
        <f>IFERROR($M1047/INDEX('DETALLE CRONOLÓGICO'!$K$2:$K$4919,MATCH($A1047,'DETALLE CRONOLÓGICO'!$A$2:$A$4919,0))-1,"")</f>
        <v/>
      </c>
      <c r="O1047" s="6">
        <f>IFERROR($I1047*3,"")</f>
        <v/>
      </c>
      <c r="P1047" s="6">
        <f>IFERROR($I1047*3.5,"")</f>
        <v/>
      </c>
      <c r="Q1047" s="6">
        <f>IFERROR($I1047*4,"")</f>
        <v/>
      </c>
      <c r="R1047" s="6" t="n">
        <v>2180</v>
      </c>
      <c r="S1047" s="4" t="n">
        <v>1</v>
      </c>
      <c r="T1047" s="1" t="inlineStr">
        <is>
          <t>active</t>
        </is>
      </c>
      <c r="U1047" s="8" t="n"/>
      <c r="V1047" s="1" t="inlineStr">
        <is>
          <t>SIN PRECIO</t>
        </is>
      </c>
    </row>
    <row r="1048">
      <c r="A1048" s="1" t="inlineStr">
        <is>
          <t>62745761737581</t>
        </is>
      </c>
      <c r="B1048" s="1" t="inlineStr">
        <is>
          <t>CARTERA G MATIGNON GREEN</t>
        </is>
      </c>
      <c r="C1048" s="1" t="inlineStr">
        <is>
          <t>Default Title</t>
        </is>
      </c>
      <c r="D1048" s="1" t="inlineStr">
        <is>
          <t>NANCY</t>
        </is>
      </c>
      <c r="E1048" s="4">
        <f>COUNTIF('DETALLE CRONOLÓGICO'!$A$2:$A$4919,$A1048)</f>
        <v/>
      </c>
      <c r="F1048" s="4">
        <f>SUMIFS('DETALLE CRONOLÓGICO'!$I$2:$I$4919,'DETALLE CRONOLÓGICO'!$A$2:$A$4919,$A1048)</f>
        <v/>
      </c>
      <c r="G1048" s="1">
        <f>INDEX('DETALLE CRONOLÓGICO'!$D$2:$D$4919,MATCH($A1048,'DETALLE CRONOLÓGICO'!$A$2:$A$4919,0))</f>
        <v/>
      </c>
      <c r="H1048" s="1">
        <f>INDEX('DETALLE CRONOLÓGICO'!$D$2:$D$4919,MATCH($A1048,'DETALLE CRONOLÓGICO'!$A$2:$A$4919,0)+$E1048-1)</f>
        <v/>
      </c>
      <c r="I1048" s="5">
        <f>IFERROR(SUMIFS('DETALLE CRONOLÓGICO'!$L$2:$L$4919,'DETALLE CRONOLÓGICO'!$A$2:$A$4919,$A1048)/$F1048,"")</f>
        <v/>
      </c>
      <c r="J1048" s="6">
        <f>IFERROR(SUMIFS('DETALLE CRONOLÓGICO'!$K$2:$K$4919,'DETALLE CRONOLÓGICO'!$A$2:$A$4919,$A1048)/$E1048,"")</f>
        <v/>
      </c>
      <c r="K1048" s="6">
        <f>_xlfn.MINIFS('DETALLE CRONOLÓGICO'!$K$2:$K$4919,'DETALLE CRONOLÓGICO'!$A$2:$A$4919,$A1048)</f>
        <v/>
      </c>
      <c r="L1048" s="6">
        <f>_xlfn.MAXIFS('DETALLE CRONOLÓGICO'!$K$2:$K$4919,'DETALLE CRONOLÓGICO'!$A$2:$A$4919,$A1048)</f>
        <v/>
      </c>
      <c r="M1048" s="6">
        <f>INDEX('DETALLE CRONOLÓGICO'!$K$2:$K$4919,MATCH($A1048,'DETALLE CRONOLÓGICO'!$A$2:$A$4919,0)+$E1048-1)</f>
        <v/>
      </c>
      <c r="N1048" s="7">
        <f>IFERROR($M1048/INDEX('DETALLE CRONOLÓGICO'!$K$2:$K$4919,MATCH($A1048,'DETALLE CRONOLÓGICO'!$A$2:$A$4919,0))-1,"")</f>
        <v/>
      </c>
      <c r="O1048" s="6">
        <f>IFERROR($I1048*3,"")</f>
        <v/>
      </c>
      <c r="P1048" s="6">
        <f>IFERROR($I1048*3.5,"")</f>
        <v/>
      </c>
      <c r="Q1048" s="6">
        <f>IFERROR($I1048*4,"")</f>
        <v/>
      </c>
      <c r="R1048" s="6" t="n">
        <v>2180</v>
      </c>
      <c r="S1048" s="4" t="n">
        <v>0</v>
      </c>
      <c r="T1048" s="1" t="inlineStr">
        <is>
          <t>active</t>
        </is>
      </c>
      <c r="U1048" s="8" t="n"/>
      <c r="V1048" s="1" t="inlineStr">
        <is>
          <t>SIN PRECIO</t>
        </is>
      </c>
    </row>
    <row r="1049">
      <c r="A1049" s="1" t="inlineStr">
        <is>
          <t>62745761872045</t>
        </is>
      </c>
      <c r="B1049" s="1" t="inlineStr">
        <is>
          <t>CARTERA G MATIGNON WHITE</t>
        </is>
      </c>
      <c r="C1049" s="1" t="inlineStr">
        <is>
          <t>Default Title</t>
        </is>
      </c>
      <c r="D1049" s="1" t="inlineStr">
        <is>
          <t>NANCY</t>
        </is>
      </c>
      <c r="E1049" s="4">
        <f>COUNTIF('DETALLE CRONOLÓGICO'!$A$2:$A$4919,$A1049)</f>
        <v/>
      </c>
      <c r="F1049" s="4">
        <f>SUMIFS('DETALLE CRONOLÓGICO'!$I$2:$I$4919,'DETALLE CRONOLÓGICO'!$A$2:$A$4919,$A1049)</f>
        <v/>
      </c>
      <c r="G1049" s="1">
        <f>INDEX('DETALLE CRONOLÓGICO'!$D$2:$D$4919,MATCH($A1049,'DETALLE CRONOLÓGICO'!$A$2:$A$4919,0))</f>
        <v/>
      </c>
      <c r="H1049" s="1">
        <f>INDEX('DETALLE CRONOLÓGICO'!$D$2:$D$4919,MATCH($A1049,'DETALLE CRONOLÓGICO'!$A$2:$A$4919,0)+$E1049-1)</f>
        <v/>
      </c>
      <c r="I1049" s="5">
        <f>IFERROR(SUMIFS('DETALLE CRONOLÓGICO'!$L$2:$L$4919,'DETALLE CRONOLÓGICO'!$A$2:$A$4919,$A1049)/$F1049,"")</f>
        <v/>
      </c>
      <c r="J1049" s="6">
        <f>IFERROR(SUMIFS('DETALLE CRONOLÓGICO'!$K$2:$K$4919,'DETALLE CRONOLÓGICO'!$A$2:$A$4919,$A1049)/$E1049,"")</f>
        <v/>
      </c>
      <c r="K1049" s="6">
        <f>_xlfn.MINIFS('DETALLE CRONOLÓGICO'!$K$2:$K$4919,'DETALLE CRONOLÓGICO'!$A$2:$A$4919,$A1049)</f>
        <v/>
      </c>
      <c r="L1049" s="6">
        <f>_xlfn.MAXIFS('DETALLE CRONOLÓGICO'!$K$2:$K$4919,'DETALLE CRONOLÓGICO'!$A$2:$A$4919,$A1049)</f>
        <v/>
      </c>
      <c r="M1049" s="6">
        <f>INDEX('DETALLE CRONOLÓGICO'!$K$2:$K$4919,MATCH($A1049,'DETALLE CRONOLÓGICO'!$A$2:$A$4919,0)+$E1049-1)</f>
        <v/>
      </c>
      <c r="N1049" s="7">
        <f>IFERROR($M1049/INDEX('DETALLE CRONOLÓGICO'!$K$2:$K$4919,MATCH($A1049,'DETALLE CRONOLÓGICO'!$A$2:$A$4919,0))-1,"")</f>
        <v/>
      </c>
      <c r="O1049" s="6">
        <f>IFERROR($I1049*3,"")</f>
        <v/>
      </c>
      <c r="P1049" s="6">
        <f>IFERROR($I1049*3.5,"")</f>
        <v/>
      </c>
      <c r="Q1049" s="6">
        <f>IFERROR($I1049*4,"")</f>
        <v/>
      </c>
      <c r="R1049" s="6" t="n">
        <v>2180</v>
      </c>
      <c r="S1049" s="4" t="n">
        <v>2</v>
      </c>
      <c r="T1049" s="1" t="inlineStr">
        <is>
          <t>active</t>
        </is>
      </c>
      <c r="U1049" s="8" t="n"/>
      <c r="V1049" s="1" t="inlineStr">
        <is>
          <t>SIN PRECIO</t>
        </is>
      </c>
    </row>
    <row r="1050">
      <c r="A1050" s="1" t="inlineStr">
        <is>
          <t>62745761965261</t>
        </is>
      </c>
      <c r="B1050" s="1" t="inlineStr">
        <is>
          <t>ANILLO LOVE GOLD CON MICROZIRCONIAS Y ZIRCONIAS</t>
        </is>
      </c>
      <c r="C1050" s="1" t="n">
        <v>6</v>
      </c>
      <c r="D1050" s="1" t="inlineStr">
        <is>
          <t>NANCY</t>
        </is>
      </c>
      <c r="E1050" s="4">
        <f>COUNTIF('DETALLE CRONOLÓGICO'!$A$2:$A$4919,$A1050)</f>
        <v/>
      </c>
      <c r="F1050" s="4">
        <f>SUMIFS('DETALLE CRONOLÓGICO'!$I$2:$I$4919,'DETALLE CRONOLÓGICO'!$A$2:$A$4919,$A1050)</f>
        <v/>
      </c>
      <c r="G1050" s="1">
        <f>INDEX('DETALLE CRONOLÓGICO'!$D$2:$D$4919,MATCH($A1050,'DETALLE CRONOLÓGICO'!$A$2:$A$4919,0))</f>
        <v/>
      </c>
      <c r="H1050" s="1">
        <f>INDEX('DETALLE CRONOLÓGICO'!$D$2:$D$4919,MATCH($A1050,'DETALLE CRONOLÓGICO'!$A$2:$A$4919,0)+$E1050-1)</f>
        <v/>
      </c>
      <c r="I1050" s="5">
        <f>IFERROR(SUMIFS('DETALLE CRONOLÓGICO'!$L$2:$L$4919,'DETALLE CRONOLÓGICO'!$A$2:$A$4919,$A1050)/$F1050,"")</f>
        <v/>
      </c>
      <c r="J1050" s="6">
        <f>IFERROR(SUMIFS('DETALLE CRONOLÓGICO'!$K$2:$K$4919,'DETALLE CRONOLÓGICO'!$A$2:$A$4919,$A1050)/$E1050,"")</f>
        <v/>
      </c>
      <c r="K1050" s="6">
        <f>_xlfn.MINIFS('DETALLE CRONOLÓGICO'!$K$2:$K$4919,'DETALLE CRONOLÓGICO'!$A$2:$A$4919,$A1050)</f>
        <v/>
      </c>
      <c r="L1050" s="6">
        <f>_xlfn.MAXIFS('DETALLE CRONOLÓGICO'!$K$2:$K$4919,'DETALLE CRONOLÓGICO'!$A$2:$A$4919,$A1050)</f>
        <v/>
      </c>
      <c r="M1050" s="6">
        <f>INDEX('DETALLE CRONOLÓGICO'!$K$2:$K$4919,MATCH($A1050,'DETALLE CRONOLÓGICO'!$A$2:$A$4919,0)+$E1050-1)</f>
        <v/>
      </c>
      <c r="N1050" s="7">
        <f>IFERROR($M1050/INDEX('DETALLE CRONOLÓGICO'!$K$2:$K$4919,MATCH($A1050,'DETALLE CRONOLÓGICO'!$A$2:$A$4919,0))-1,"")</f>
        <v/>
      </c>
      <c r="O1050" s="6">
        <f>IFERROR($I1050*3,"")</f>
        <v/>
      </c>
      <c r="P1050" s="6">
        <f>IFERROR($I1050*3.5,"")</f>
        <v/>
      </c>
      <c r="Q1050" s="6">
        <f>IFERROR($I1050*4,"")</f>
        <v/>
      </c>
      <c r="R1050" s="6" t="n">
        <v>0</v>
      </c>
      <c r="S1050" s="4" t="n">
        <v>3</v>
      </c>
      <c r="T1050" s="1" t="inlineStr">
        <is>
          <t>draft</t>
        </is>
      </c>
      <c r="U1050" s="8" t="n"/>
      <c r="V1050" s="1" t="inlineStr">
        <is>
          <t>SIN PRECIO</t>
        </is>
      </c>
    </row>
    <row r="1051">
      <c r="A1051" s="1" t="inlineStr">
        <is>
          <t>62745762098029</t>
        </is>
      </c>
      <c r="B1051" s="1" t="inlineStr">
        <is>
          <t>ANILLO LOVE GOLD CON MICROZIRCONIAS Y ZIRCONIAS</t>
        </is>
      </c>
      <c r="C1051" s="1" t="n">
        <v>7</v>
      </c>
      <c r="D1051" s="1" t="inlineStr">
        <is>
          <t>NANCY</t>
        </is>
      </c>
      <c r="E1051" s="4">
        <f>COUNTIF('DETALLE CRONOLÓGICO'!$A$2:$A$4919,$A1051)</f>
        <v/>
      </c>
      <c r="F1051" s="4">
        <f>SUMIFS('DETALLE CRONOLÓGICO'!$I$2:$I$4919,'DETALLE CRONOLÓGICO'!$A$2:$A$4919,$A1051)</f>
        <v/>
      </c>
      <c r="G1051" s="1">
        <f>INDEX('DETALLE CRONOLÓGICO'!$D$2:$D$4919,MATCH($A1051,'DETALLE CRONOLÓGICO'!$A$2:$A$4919,0))</f>
        <v/>
      </c>
      <c r="H1051" s="1">
        <f>INDEX('DETALLE CRONOLÓGICO'!$D$2:$D$4919,MATCH($A1051,'DETALLE CRONOLÓGICO'!$A$2:$A$4919,0)+$E1051-1)</f>
        <v/>
      </c>
      <c r="I1051" s="5">
        <f>IFERROR(SUMIFS('DETALLE CRONOLÓGICO'!$L$2:$L$4919,'DETALLE CRONOLÓGICO'!$A$2:$A$4919,$A1051)/$F1051,"")</f>
        <v/>
      </c>
      <c r="J1051" s="6">
        <f>IFERROR(SUMIFS('DETALLE CRONOLÓGICO'!$K$2:$K$4919,'DETALLE CRONOLÓGICO'!$A$2:$A$4919,$A1051)/$E1051,"")</f>
        <v/>
      </c>
      <c r="K1051" s="6">
        <f>_xlfn.MINIFS('DETALLE CRONOLÓGICO'!$K$2:$K$4919,'DETALLE CRONOLÓGICO'!$A$2:$A$4919,$A1051)</f>
        <v/>
      </c>
      <c r="L1051" s="6">
        <f>_xlfn.MAXIFS('DETALLE CRONOLÓGICO'!$K$2:$K$4919,'DETALLE CRONOLÓGICO'!$A$2:$A$4919,$A1051)</f>
        <v/>
      </c>
      <c r="M1051" s="6">
        <f>INDEX('DETALLE CRONOLÓGICO'!$K$2:$K$4919,MATCH($A1051,'DETALLE CRONOLÓGICO'!$A$2:$A$4919,0)+$E1051-1)</f>
        <v/>
      </c>
      <c r="N1051" s="7">
        <f>IFERROR($M1051/INDEX('DETALLE CRONOLÓGICO'!$K$2:$K$4919,MATCH($A1051,'DETALLE CRONOLÓGICO'!$A$2:$A$4919,0))-1,"")</f>
        <v/>
      </c>
      <c r="O1051" s="6">
        <f>IFERROR($I1051*3,"")</f>
        <v/>
      </c>
      <c r="P1051" s="6">
        <f>IFERROR($I1051*3.5,"")</f>
        <v/>
      </c>
      <c r="Q1051" s="6">
        <f>IFERROR($I1051*4,"")</f>
        <v/>
      </c>
      <c r="R1051" s="6" t="n">
        <v>0</v>
      </c>
      <c r="S1051" s="4" t="n">
        <v>3</v>
      </c>
      <c r="T1051" s="1" t="inlineStr">
        <is>
          <t>draft</t>
        </is>
      </c>
      <c r="U1051" s="8" t="n"/>
      <c r="V1051" s="1" t="inlineStr">
        <is>
          <t>SIN PRECIO</t>
        </is>
      </c>
    </row>
    <row r="1052">
      <c r="A1052" s="1" t="inlineStr">
        <is>
          <t>62745762125709</t>
        </is>
      </c>
      <c r="B1052" s="1" t="inlineStr">
        <is>
          <t>ANILLO LOVE ROSE GOLD CON MICROZIRCONIAS Y ZIRCONIAS</t>
        </is>
      </c>
      <c r="C1052" s="1" t="n">
        <v>6</v>
      </c>
      <c r="D1052" s="1" t="inlineStr">
        <is>
          <t>NANCY</t>
        </is>
      </c>
      <c r="E1052" s="4">
        <f>COUNTIF('DETALLE CRONOLÓGICO'!$A$2:$A$4919,$A1052)</f>
        <v/>
      </c>
      <c r="F1052" s="4">
        <f>SUMIFS('DETALLE CRONOLÓGICO'!$I$2:$I$4919,'DETALLE CRONOLÓGICO'!$A$2:$A$4919,$A1052)</f>
        <v/>
      </c>
      <c r="G1052" s="1">
        <f>INDEX('DETALLE CRONOLÓGICO'!$D$2:$D$4919,MATCH($A1052,'DETALLE CRONOLÓGICO'!$A$2:$A$4919,0))</f>
        <v/>
      </c>
      <c r="H1052" s="1">
        <f>INDEX('DETALLE CRONOLÓGICO'!$D$2:$D$4919,MATCH($A1052,'DETALLE CRONOLÓGICO'!$A$2:$A$4919,0)+$E1052-1)</f>
        <v/>
      </c>
      <c r="I1052" s="5">
        <f>IFERROR(SUMIFS('DETALLE CRONOLÓGICO'!$L$2:$L$4919,'DETALLE CRONOLÓGICO'!$A$2:$A$4919,$A1052)/$F1052,"")</f>
        <v/>
      </c>
      <c r="J1052" s="6">
        <f>IFERROR(SUMIFS('DETALLE CRONOLÓGICO'!$K$2:$K$4919,'DETALLE CRONOLÓGICO'!$A$2:$A$4919,$A1052)/$E1052,"")</f>
        <v/>
      </c>
      <c r="K1052" s="6">
        <f>_xlfn.MINIFS('DETALLE CRONOLÓGICO'!$K$2:$K$4919,'DETALLE CRONOLÓGICO'!$A$2:$A$4919,$A1052)</f>
        <v/>
      </c>
      <c r="L1052" s="6">
        <f>_xlfn.MAXIFS('DETALLE CRONOLÓGICO'!$K$2:$K$4919,'DETALLE CRONOLÓGICO'!$A$2:$A$4919,$A1052)</f>
        <v/>
      </c>
      <c r="M1052" s="6">
        <f>INDEX('DETALLE CRONOLÓGICO'!$K$2:$K$4919,MATCH($A1052,'DETALLE CRONOLÓGICO'!$A$2:$A$4919,0)+$E1052-1)</f>
        <v/>
      </c>
      <c r="N1052" s="7">
        <f>IFERROR($M1052/INDEX('DETALLE CRONOLÓGICO'!$K$2:$K$4919,MATCH($A1052,'DETALLE CRONOLÓGICO'!$A$2:$A$4919,0))-1,"")</f>
        <v/>
      </c>
      <c r="O1052" s="6">
        <f>IFERROR($I1052*3,"")</f>
        <v/>
      </c>
      <c r="P1052" s="6">
        <f>IFERROR($I1052*3.5,"")</f>
        <v/>
      </c>
      <c r="Q1052" s="6">
        <f>IFERROR($I1052*4,"")</f>
        <v/>
      </c>
      <c r="R1052" s="6" t="n">
        <v>0</v>
      </c>
      <c r="S1052" s="4" t="n">
        <v>3</v>
      </c>
      <c r="T1052" s="1" t="inlineStr">
        <is>
          <t>draft</t>
        </is>
      </c>
      <c r="U1052" s="8" t="n"/>
      <c r="V1052" s="1" t="inlineStr">
        <is>
          <t>SIN PRECIO</t>
        </is>
      </c>
    </row>
    <row r="1053">
      <c r="A1053" s="1" t="inlineStr">
        <is>
          <t>62745762258477</t>
        </is>
      </c>
      <c r="B1053" s="1" t="inlineStr">
        <is>
          <t>ANILLO LOVE ROSE GOLD CON MICROZIRCONIAS Y ZIRCONIAS</t>
        </is>
      </c>
      <c r="C1053" s="1" t="n">
        <v>7</v>
      </c>
      <c r="D1053" s="1" t="inlineStr">
        <is>
          <t>NANCY</t>
        </is>
      </c>
      <c r="E1053" s="4">
        <f>COUNTIF('DETALLE CRONOLÓGICO'!$A$2:$A$4919,$A1053)</f>
        <v/>
      </c>
      <c r="F1053" s="4">
        <f>SUMIFS('DETALLE CRONOLÓGICO'!$I$2:$I$4919,'DETALLE CRONOLÓGICO'!$A$2:$A$4919,$A1053)</f>
        <v/>
      </c>
      <c r="G1053" s="1">
        <f>INDEX('DETALLE CRONOLÓGICO'!$D$2:$D$4919,MATCH($A1053,'DETALLE CRONOLÓGICO'!$A$2:$A$4919,0))</f>
        <v/>
      </c>
      <c r="H1053" s="1">
        <f>INDEX('DETALLE CRONOLÓGICO'!$D$2:$D$4919,MATCH($A1053,'DETALLE CRONOLÓGICO'!$A$2:$A$4919,0)+$E1053-1)</f>
        <v/>
      </c>
      <c r="I1053" s="5">
        <f>IFERROR(SUMIFS('DETALLE CRONOLÓGICO'!$L$2:$L$4919,'DETALLE CRONOLÓGICO'!$A$2:$A$4919,$A1053)/$F1053,"")</f>
        <v/>
      </c>
      <c r="J1053" s="6">
        <f>IFERROR(SUMIFS('DETALLE CRONOLÓGICO'!$K$2:$K$4919,'DETALLE CRONOLÓGICO'!$A$2:$A$4919,$A1053)/$E1053,"")</f>
        <v/>
      </c>
      <c r="K1053" s="6">
        <f>_xlfn.MINIFS('DETALLE CRONOLÓGICO'!$K$2:$K$4919,'DETALLE CRONOLÓGICO'!$A$2:$A$4919,$A1053)</f>
        <v/>
      </c>
      <c r="L1053" s="6">
        <f>_xlfn.MAXIFS('DETALLE CRONOLÓGICO'!$K$2:$K$4919,'DETALLE CRONOLÓGICO'!$A$2:$A$4919,$A1053)</f>
        <v/>
      </c>
      <c r="M1053" s="6">
        <f>INDEX('DETALLE CRONOLÓGICO'!$K$2:$K$4919,MATCH($A1053,'DETALLE CRONOLÓGICO'!$A$2:$A$4919,0)+$E1053-1)</f>
        <v/>
      </c>
      <c r="N1053" s="7">
        <f>IFERROR($M1053/INDEX('DETALLE CRONOLÓGICO'!$K$2:$K$4919,MATCH($A1053,'DETALLE CRONOLÓGICO'!$A$2:$A$4919,0))-1,"")</f>
        <v/>
      </c>
      <c r="O1053" s="6">
        <f>IFERROR($I1053*3,"")</f>
        <v/>
      </c>
      <c r="P1053" s="6">
        <f>IFERROR($I1053*3.5,"")</f>
        <v/>
      </c>
      <c r="Q1053" s="6">
        <f>IFERROR($I1053*4,"")</f>
        <v/>
      </c>
      <c r="R1053" s="6" t="n">
        <v>0</v>
      </c>
      <c r="S1053" s="4" t="n">
        <v>3</v>
      </c>
      <c r="T1053" s="1" t="inlineStr">
        <is>
          <t>draft</t>
        </is>
      </c>
      <c r="U1053" s="8" t="n"/>
      <c r="V1053" s="1" t="inlineStr">
        <is>
          <t>SIN PRECIO</t>
        </is>
      </c>
    </row>
    <row r="1054">
      <c r="A1054" s="1" t="inlineStr">
        <is>
          <t>62745762329101</t>
        </is>
      </c>
      <c r="B1054" s="1" t="inlineStr">
        <is>
          <t>ANILLO LOVE SILVER CON MICROZIRCONIAS Y ZIRCONIAS</t>
        </is>
      </c>
      <c r="C1054" s="1" t="n">
        <v>6</v>
      </c>
      <c r="D1054" s="1" t="inlineStr">
        <is>
          <t>NANCY</t>
        </is>
      </c>
      <c r="E1054" s="4">
        <f>COUNTIF('DETALLE CRONOLÓGICO'!$A$2:$A$4919,$A1054)</f>
        <v/>
      </c>
      <c r="F1054" s="4">
        <f>SUMIFS('DETALLE CRONOLÓGICO'!$I$2:$I$4919,'DETALLE CRONOLÓGICO'!$A$2:$A$4919,$A1054)</f>
        <v/>
      </c>
      <c r="G1054" s="1">
        <f>INDEX('DETALLE CRONOLÓGICO'!$D$2:$D$4919,MATCH($A1054,'DETALLE CRONOLÓGICO'!$A$2:$A$4919,0))</f>
        <v/>
      </c>
      <c r="H1054" s="1">
        <f>INDEX('DETALLE CRONOLÓGICO'!$D$2:$D$4919,MATCH($A1054,'DETALLE CRONOLÓGICO'!$A$2:$A$4919,0)+$E1054-1)</f>
        <v/>
      </c>
      <c r="I1054" s="5">
        <f>IFERROR(SUMIFS('DETALLE CRONOLÓGICO'!$L$2:$L$4919,'DETALLE CRONOLÓGICO'!$A$2:$A$4919,$A1054)/$F1054,"")</f>
        <v/>
      </c>
      <c r="J1054" s="6">
        <f>IFERROR(SUMIFS('DETALLE CRONOLÓGICO'!$K$2:$K$4919,'DETALLE CRONOLÓGICO'!$A$2:$A$4919,$A1054)/$E1054,"")</f>
        <v/>
      </c>
      <c r="K1054" s="6">
        <f>_xlfn.MINIFS('DETALLE CRONOLÓGICO'!$K$2:$K$4919,'DETALLE CRONOLÓGICO'!$A$2:$A$4919,$A1054)</f>
        <v/>
      </c>
      <c r="L1054" s="6">
        <f>_xlfn.MAXIFS('DETALLE CRONOLÓGICO'!$K$2:$K$4919,'DETALLE CRONOLÓGICO'!$A$2:$A$4919,$A1054)</f>
        <v/>
      </c>
      <c r="M1054" s="6">
        <f>INDEX('DETALLE CRONOLÓGICO'!$K$2:$K$4919,MATCH($A1054,'DETALLE CRONOLÓGICO'!$A$2:$A$4919,0)+$E1054-1)</f>
        <v/>
      </c>
      <c r="N1054" s="7">
        <f>IFERROR($M1054/INDEX('DETALLE CRONOLÓGICO'!$K$2:$K$4919,MATCH($A1054,'DETALLE CRONOLÓGICO'!$A$2:$A$4919,0))-1,"")</f>
        <v/>
      </c>
      <c r="O1054" s="6">
        <f>IFERROR($I1054*3,"")</f>
        <v/>
      </c>
      <c r="P1054" s="6">
        <f>IFERROR($I1054*3.5,"")</f>
        <v/>
      </c>
      <c r="Q1054" s="6">
        <f>IFERROR($I1054*4,"")</f>
        <v/>
      </c>
      <c r="R1054" s="6" t="n">
        <v>0</v>
      </c>
      <c r="S1054" s="4" t="n">
        <v>3</v>
      </c>
      <c r="T1054" s="1" t="inlineStr">
        <is>
          <t>draft</t>
        </is>
      </c>
      <c r="U1054" s="8" t="n"/>
      <c r="V1054" s="1" t="inlineStr">
        <is>
          <t>SIN PRECIO</t>
        </is>
      </c>
    </row>
    <row r="1055">
      <c r="A1055" s="1" t="inlineStr">
        <is>
          <t>62745762461869</t>
        </is>
      </c>
      <c r="B1055" s="1" t="inlineStr">
        <is>
          <t>ANILLO LOVE SILVER CON MICROZIRCONIAS Y ZIRCONIAS</t>
        </is>
      </c>
      <c r="C1055" s="1" t="n">
        <v>7</v>
      </c>
      <c r="D1055" s="1" t="inlineStr">
        <is>
          <t>NANCY</t>
        </is>
      </c>
      <c r="E1055" s="4">
        <f>COUNTIF('DETALLE CRONOLÓGICO'!$A$2:$A$4919,$A1055)</f>
        <v/>
      </c>
      <c r="F1055" s="4">
        <f>SUMIFS('DETALLE CRONOLÓGICO'!$I$2:$I$4919,'DETALLE CRONOLÓGICO'!$A$2:$A$4919,$A1055)</f>
        <v/>
      </c>
      <c r="G1055" s="1">
        <f>INDEX('DETALLE CRONOLÓGICO'!$D$2:$D$4919,MATCH($A1055,'DETALLE CRONOLÓGICO'!$A$2:$A$4919,0))</f>
        <v/>
      </c>
      <c r="H1055" s="1">
        <f>INDEX('DETALLE CRONOLÓGICO'!$D$2:$D$4919,MATCH($A1055,'DETALLE CRONOLÓGICO'!$A$2:$A$4919,0)+$E1055-1)</f>
        <v/>
      </c>
      <c r="I1055" s="5">
        <f>IFERROR(SUMIFS('DETALLE CRONOLÓGICO'!$L$2:$L$4919,'DETALLE CRONOLÓGICO'!$A$2:$A$4919,$A1055)/$F1055,"")</f>
        <v/>
      </c>
      <c r="J1055" s="6">
        <f>IFERROR(SUMIFS('DETALLE CRONOLÓGICO'!$K$2:$K$4919,'DETALLE CRONOLÓGICO'!$A$2:$A$4919,$A1055)/$E1055,"")</f>
        <v/>
      </c>
      <c r="K1055" s="6">
        <f>_xlfn.MINIFS('DETALLE CRONOLÓGICO'!$K$2:$K$4919,'DETALLE CRONOLÓGICO'!$A$2:$A$4919,$A1055)</f>
        <v/>
      </c>
      <c r="L1055" s="6">
        <f>_xlfn.MAXIFS('DETALLE CRONOLÓGICO'!$K$2:$K$4919,'DETALLE CRONOLÓGICO'!$A$2:$A$4919,$A1055)</f>
        <v/>
      </c>
      <c r="M1055" s="6">
        <f>INDEX('DETALLE CRONOLÓGICO'!$K$2:$K$4919,MATCH($A1055,'DETALLE CRONOLÓGICO'!$A$2:$A$4919,0)+$E1055-1)</f>
        <v/>
      </c>
      <c r="N1055" s="7">
        <f>IFERROR($M1055/INDEX('DETALLE CRONOLÓGICO'!$K$2:$K$4919,MATCH($A1055,'DETALLE CRONOLÓGICO'!$A$2:$A$4919,0))-1,"")</f>
        <v/>
      </c>
      <c r="O1055" s="6">
        <f>IFERROR($I1055*3,"")</f>
        <v/>
      </c>
      <c r="P1055" s="6">
        <f>IFERROR($I1055*3.5,"")</f>
        <v/>
      </c>
      <c r="Q1055" s="6">
        <f>IFERROR($I1055*4,"")</f>
        <v/>
      </c>
      <c r="R1055" s="6" t="n">
        <v>0</v>
      </c>
      <c r="S1055" s="4" t="n">
        <v>3</v>
      </c>
      <c r="T1055" s="1" t="inlineStr">
        <is>
          <t>draft</t>
        </is>
      </c>
      <c r="U1055" s="8" t="n"/>
      <c r="V1055" s="1" t="inlineStr">
        <is>
          <t>SIN PRECIO</t>
        </is>
      </c>
    </row>
    <row r="1056">
      <c r="A1056" s="1" t="inlineStr">
        <is>
          <t>62745762555085</t>
        </is>
      </c>
      <c r="B1056" s="1" t="inlineStr">
        <is>
          <t>ANILLO LOVE ROSE GOLD CON MICROZIRCONIAS</t>
        </is>
      </c>
      <c r="C1056" s="1" t="n">
        <v>6</v>
      </c>
      <c r="D1056" s="1" t="inlineStr">
        <is>
          <t>NANCY</t>
        </is>
      </c>
      <c r="E1056" s="4">
        <f>COUNTIF('DETALLE CRONOLÓGICO'!$A$2:$A$4919,$A1056)</f>
        <v/>
      </c>
      <c r="F1056" s="4">
        <f>SUMIFS('DETALLE CRONOLÓGICO'!$I$2:$I$4919,'DETALLE CRONOLÓGICO'!$A$2:$A$4919,$A1056)</f>
        <v/>
      </c>
      <c r="G1056" s="1">
        <f>INDEX('DETALLE CRONOLÓGICO'!$D$2:$D$4919,MATCH($A1056,'DETALLE CRONOLÓGICO'!$A$2:$A$4919,0))</f>
        <v/>
      </c>
      <c r="H1056" s="1">
        <f>INDEX('DETALLE CRONOLÓGICO'!$D$2:$D$4919,MATCH($A1056,'DETALLE CRONOLÓGICO'!$A$2:$A$4919,0)+$E1056-1)</f>
        <v/>
      </c>
      <c r="I1056" s="5">
        <f>IFERROR(SUMIFS('DETALLE CRONOLÓGICO'!$L$2:$L$4919,'DETALLE CRONOLÓGICO'!$A$2:$A$4919,$A1056)/$F1056,"")</f>
        <v/>
      </c>
      <c r="J1056" s="6">
        <f>IFERROR(SUMIFS('DETALLE CRONOLÓGICO'!$K$2:$K$4919,'DETALLE CRONOLÓGICO'!$A$2:$A$4919,$A1056)/$E1056,"")</f>
        <v/>
      </c>
      <c r="K1056" s="6">
        <f>_xlfn.MINIFS('DETALLE CRONOLÓGICO'!$K$2:$K$4919,'DETALLE CRONOLÓGICO'!$A$2:$A$4919,$A1056)</f>
        <v/>
      </c>
      <c r="L1056" s="6">
        <f>_xlfn.MAXIFS('DETALLE CRONOLÓGICO'!$K$2:$K$4919,'DETALLE CRONOLÓGICO'!$A$2:$A$4919,$A1056)</f>
        <v/>
      </c>
      <c r="M1056" s="6">
        <f>INDEX('DETALLE CRONOLÓGICO'!$K$2:$K$4919,MATCH($A1056,'DETALLE CRONOLÓGICO'!$A$2:$A$4919,0)+$E1056-1)</f>
        <v/>
      </c>
      <c r="N1056" s="7">
        <f>IFERROR($M1056/INDEX('DETALLE CRONOLÓGICO'!$K$2:$K$4919,MATCH($A1056,'DETALLE CRONOLÓGICO'!$A$2:$A$4919,0))-1,"")</f>
        <v/>
      </c>
      <c r="O1056" s="6">
        <f>IFERROR($I1056*3,"")</f>
        <v/>
      </c>
      <c r="P1056" s="6">
        <f>IFERROR($I1056*3.5,"")</f>
        <v/>
      </c>
      <c r="Q1056" s="6">
        <f>IFERROR($I1056*4,"")</f>
        <v/>
      </c>
      <c r="R1056" s="6" t="n">
        <v>0</v>
      </c>
      <c r="S1056" s="4" t="n">
        <v>3</v>
      </c>
      <c r="T1056" s="1" t="inlineStr">
        <is>
          <t>draft</t>
        </is>
      </c>
      <c r="U1056" s="8" t="n"/>
      <c r="V1056" s="1" t="inlineStr">
        <is>
          <t>SIN PRECIO</t>
        </is>
      </c>
    </row>
    <row r="1057">
      <c r="A1057" s="1" t="inlineStr">
        <is>
          <t>62745762687853</t>
        </is>
      </c>
      <c r="B1057" s="1" t="inlineStr">
        <is>
          <t>ANILLO LOVE ROSE GOLD CON MICROZIRCONIAS</t>
        </is>
      </c>
      <c r="C1057" s="1" t="n">
        <v>7</v>
      </c>
      <c r="D1057" s="1" t="inlineStr">
        <is>
          <t>NANCY</t>
        </is>
      </c>
      <c r="E1057" s="4">
        <f>COUNTIF('DETALLE CRONOLÓGICO'!$A$2:$A$4919,$A1057)</f>
        <v/>
      </c>
      <c r="F1057" s="4">
        <f>SUMIFS('DETALLE CRONOLÓGICO'!$I$2:$I$4919,'DETALLE CRONOLÓGICO'!$A$2:$A$4919,$A1057)</f>
        <v/>
      </c>
      <c r="G1057" s="1">
        <f>INDEX('DETALLE CRONOLÓGICO'!$D$2:$D$4919,MATCH($A1057,'DETALLE CRONOLÓGICO'!$A$2:$A$4919,0))</f>
        <v/>
      </c>
      <c r="H1057" s="1">
        <f>INDEX('DETALLE CRONOLÓGICO'!$D$2:$D$4919,MATCH($A1057,'DETALLE CRONOLÓGICO'!$A$2:$A$4919,0)+$E1057-1)</f>
        <v/>
      </c>
      <c r="I1057" s="5">
        <f>IFERROR(SUMIFS('DETALLE CRONOLÓGICO'!$L$2:$L$4919,'DETALLE CRONOLÓGICO'!$A$2:$A$4919,$A1057)/$F1057,"")</f>
        <v/>
      </c>
      <c r="J1057" s="6">
        <f>IFERROR(SUMIFS('DETALLE CRONOLÓGICO'!$K$2:$K$4919,'DETALLE CRONOLÓGICO'!$A$2:$A$4919,$A1057)/$E1057,"")</f>
        <v/>
      </c>
      <c r="K1057" s="6">
        <f>_xlfn.MINIFS('DETALLE CRONOLÓGICO'!$K$2:$K$4919,'DETALLE CRONOLÓGICO'!$A$2:$A$4919,$A1057)</f>
        <v/>
      </c>
      <c r="L1057" s="6">
        <f>_xlfn.MAXIFS('DETALLE CRONOLÓGICO'!$K$2:$K$4919,'DETALLE CRONOLÓGICO'!$A$2:$A$4919,$A1057)</f>
        <v/>
      </c>
      <c r="M1057" s="6">
        <f>INDEX('DETALLE CRONOLÓGICO'!$K$2:$K$4919,MATCH($A1057,'DETALLE CRONOLÓGICO'!$A$2:$A$4919,0)+$E1057-1)</f>
        <v/>
      </c>
      <c r="N1057" s="7">
        <f>IFERROR($M1057/INDEX('DETALLE CRONOLÓGICO'!$K$2:$K$4919,MATCH($A1057,'DETALLE CRONOLÓGICO'!$A$2:$A$4919,0))-1,"")</f>
        <v/>
      </c>
      <c r="O1057" s="6">
        <f>IFERROR($I1057*3,"")</f>
        <v/>
      </c>
      <c r="P1057" s="6">
        <f>IFERROR($I1057*3.5,"")</f>
        <v/>
      </c>
      <c r="Q1057" s="6">
        <f>IFERROR($I1057*4,"")</f>
        <v/>
      </c>
      <c r="R1057" s="6" t="n">
        <v>0</v>
      </c>
      <c r="S1057" s="4" t="n">
        <v>3</v>
      </c>
      <c r="T1057" s="1" t="inlineStr">
        <is>
          <t>draft</t>
        </is>
      </c>
      <c r="U1057" s="8" t="n"/>
      <c r="V1057" s="1" t="inlineStr">
        <is>
          <t>SIN PRECIO</t>
        </is>
      </c>
    </row>
    <row r="1058">
      <c r="A1058" s="1" t="inlineStr">
        <is>
          <t>62745762751693</t>
        </is>
      </c>
      <c r="B1058" s="1" t="inlineStr">
        <is>
          <t>PULSERA LOVE GOLD CON MICROZIRCONIAS Y ZIRCONIAS</t>
        </is>
      </c>
      <c r="C1058" s="1" t="inlineStr">
        <is>
          <t>17CM</t>
        </is>
      </c>
      <c r="D1058" s="1" t="inlineStr">
        <is>
          <t>NANCY</t>
        </is>
      </c>
      <c r="E1058" s="4">
        <f>COUNTIF('DETALLE CRONOLÓGICO'!$A$2:$A$4919,$A1058)</f>
        <v/>
      </c>
      <c r="F1058" s="4">
        <f>SUMIFS('DETALLE CRONOLÓGICO'!$I$2:$I$4919,'DETALLE CRONOLÓGICO'!$A$2:$A$4919,$A1058)</f>
        <v/>
      </c>
      <c r="G1058" s="1">
        <f>INDEX('DETALLE CRONOLÓGICO'!$D$2:$D$4919,MATCH($A1058,'DETALLE CRONOLÓGICO'!$A$2:$A$4919,0))</f>
        <v/>
      </c>
      <c r="H1058" s="1">
        <f>INDEX('DETALLE CRONOLÓGICO'!$D$2:$D$4919,MATCH($A1058,'DETALLE CRONOLÓGICO'!$A$2:$A$4919,0)+$E1058-1)</f>
        <v/>
      </c>
      <c r="I1058" s="5">
        <f>IFERROR(SUMIFS('DETALLE CRONOLÓGICO'!$L$2:$L$4919,'DETALLE CRONOLÓGICO'!$A$2:$A$4919,$A1058)/$F1058,"")</f>
        <v/>
      </c>
      <c r="J1058" s="6">
        <f>IFERROR(SUMIFS('DETALLE CRONOLÓGICO'!$K$2:$K$4919,'DETALLE CRONOLÓGICO'!$A$2:$A$4919,$A1058)/$E1058,"")</f>
        <v/>
      </c>
      <c r="K1058" s="6">
        <f>_xlfn.MINIFS('DETALLE CRONOLÓGICO'!$K$2:$K$4919,'DETALLE CRONOLÓGICO'!$A$2:$A$4919,$A1058)</f>
        <v/>
      </c>
      <c r="L1058" s="6">
        <f>_xlfn.MAXIFS('DETALLE CRONOLÓGICO'!$K$2:$K$4919,'DETALLE CRONOLÓGICO'!$A$2:$A$4919,$A1058)</f>
        <v/>
      </c>
      <c r="M1058" s="6">
        <f>INDEX('DETALLE CRONOLÓGICO'!$K$2:$K$4919,MATCH($A1058,'DETALLE CRONOLÓGICO'!$A$2:$A$4919,0)+$E1058-1)</f>
        <v/>
      </c>
      <c r="N1058" s="7">
        <f>IFERROR($M1058/INDEX('DETALLE CRONOLÓGICO'!$K$2:$K$4919,MATCH($A1058,'DETALLE CRONOLÓGICO'!$A$2:$A$4919,0))-1,"")</f>
        <v/>
      </c>
      <c r="O1058" s="6">
        <f>IFERROR($I1058*3,"")</f>
        <v/>
      </c>
      <c r="P1058" s="6">
        <f>IFERROR($I1058*3.5,"")</f>
        <v/>
      </c>
      <c r="Q1058" s="6">
        <f>IFERROR($I1058*4,"")</f>
        <v/>
      </c>
      <c r="R1058" s="6" t="n">
        <v>0</v>
      </c>
      <c r="S1058" s="4" t="n">
        <v>3</v>
      </c>
      <c r="T1058" s="1" t="inlineStr">
        <is>
          <t>draft</t>
        </is>
      </c>
      <c r="U1058" s="8" t="n"/>
      <c r="V1058" s="1" t="inlineStr">
        <is>
          <t>SIN PRECIO</t>
        </is>
      </c>
    </row>
    <row r="1059">
      <c r="A1059" s="1" t="inlineStr">
        <is>
          <t>62745762884461</t>
        </is>
      </c>
      <c r="B1059" s="1" t="inlineStr">
        <is>
          <t>PULSERA LOVE GOLD CON MICROZIRCONIAS Y ZIRCONIAS</t>
        </is>
      </c>
      <c r="C1059" s="1" t="inlineStr">
        <is>
          <t>19CM</t>
        </is>
      </c>
      <c r="D1059" s="1" t="inlineStr">
        <is>
          <t>NANCY</t>
        </is>
      </c>
      <c r="E1059" s="4">
        <f>COUNTIF('DETALLE CRONOLÓGICO'!$A$2:$A$4919,$A1059)</f>
        <v/>
      </c>
      <c r="F1059" s="4">
        <f>SUMIFS('DETALLE CRONOLÓGICO'!$I$2:$I$4919,'DETALLE CRONOLÓGICO'!$A$2:$A$4919,$A1059)</f>
        <v/>
      </c>
      <c r="G1059" s="1">
        <f>INDEX('DETALLE CRONOLÓGICO'!$D$2:$D$4919,MATCH($A1059,'DETALLE CRONOLÓGICO'!$A$2:$A$4919,0))</f>
        <v/>
      </c>
      <c r="H1059" s="1">
        <f>INDEX('DETALLE CRONOLÓGICO'!$D$2:$D$4919,MATCH($A1059,'DETALLE CRONOLÓGICO'!$A$2:$A$4919,0)+$E1059-1)</f>
        <v/>
      </c>
      <c r="I1059" s="5">
        <f>IFERROR(SUMIFS('DETALLE CRONOLÓGICO'!$L$2:$L$4919,'DETALLE CRONOLÓGICO'!$A$2:$A$4919,$A1059)/$F1059,"")</f>
        <v/>
      </c>
      <c r="J1059" s="6">
        <f>IFERROR(SUMIFS('DETALLE CRONOLÓGICO'!$K$2:$K$4919,'DETALLE CRONOLÓGICO'!$A$2:$A$4919,$A1059)/$E1059,"")</f>
        <v/>
      </c>
      <c r="K1059" s="6">
        <f>_xlfn.MINIFS('DETALLE CRONOLÓGICO'!$K$2:$K$4919,'DETALLE CRONOLÓGICO'!$A$2:$A$4919,$A1059)</f>
        <v/>
      </c>
      <c r="L1059" s="6">
        <f>_xlfn.MAXIFS('DETALLE CRONOLÓGICO'!$K$2:$K$4919,'DETALLE CRONOLÓGICO'!$A$2:$A$4919,$A1059)</f>
        <v/>
      </c>
      <c r="M1059" s="6">
        <f>INDEX('DETALLE CRONOLÓGICO'!$K$2:$K$4919,MATCH($A1059,'DETALLE CRONOLÓGICO'!$A$2:$A$4919,0)+$E1059-1)</f>
        <v/>
      </c>
      <c r="N1059" s="7">
        <f>IFERROR($M1059/INDEX('DETALLE CRONOLÓGICO'!$K$2:$K$4919,MATCH($A1059,'DETALLE CRONOLÓGICO'!$A$2:$A$4919,0))-1,"")</f>
        <v/>
      </c>
      <c r="O1059" s="6">
        <f>IFERROR($I1059*3,"")</f>
        <v/>
      </c>
      <c r="P1059" s="6">
        <f>IFERROR($I1059*3.5,"")</f>
        <v/>
      </c>
      <c r="Q1059" s="6">
        <f>IFERROR($I1059*4,"")</f>
        <v/>
      </c>
      <c r="R1059" s="6" t="n">
        <v>0</v>
      </c>
      <c r="S1059" s="4" t="n">
        <v>3</v>
      </c>
      <c r="T1059" s="1" t="inlineStr">
        <is>
          <t>draft</t>
        </is>
      </c>
      <c r="U1059" s="8" t="n"/>
      <c r="V1059" s="1" t="inlineStr">
        <is>
          <t>SIN PRECIO</t>
        </is>
      </c>
    </row>
    <row r="1060">
      <c r="A1060" s="1" t="inlineStr">
        <is>
          <t>62745762948301</t>
        </is>
      </c>
      <c r="B1060" s="1" t="inlineStr">
        <is>
          <t>PULSERA LOVE SILVER CON MICROZIRCONIAS Y ZIRCONIAS</t>
        </is>
      </c>
      <c r="C1060" s="1" t="inlineStr">
        <is>
          <t>17CM</t>
        </is>
      </c>
      <c r="D1060" s="1" t="inlineStr">
        <is>
          <t>NANCY</t>
        </is>
      </c>
      <c r="E1060" s="4">
        <f>COUNTIF('DETALLE CRONOLÓGICO'!$A$2:$A$4919,$A1060)</f>
        <v/>
      </c>
      <c r="F1060" s="4">
        <f>SUMIFS('DETALLE CRONOLÓGICO'!$I$2:$I$4919,'DETALLE CRONOLÓGICO'!$A$2:$A$4919,$A1060)</f>
        <v/>
      </c>
      <c r="G1060" s="1">
        <f>INDEX('DETALLE CRONOLÓGICO'!$D$2:$D$4919,MATCH($A1060,'DETALLE CRONOLÓGICO'!$A$2:$A$4919,0))</f>
        <v/>
      </c>
      <c r="H1060" s="1">
        <f>INDEX('DETALLE CRONOLÓGICO'!$D$2:$D$4919,MATCH($A1060,'DETALLE CRONOLÓGICO'!$A$2:$A$4919,0)+$E1060-1)</f>
        <v/>
      </c>
      <c r="I1060" s="5">
        <f>IFERROR(SUMIFS('DETALLE CRONOLÓGICO'!$L$2:$L$4919,'DETALLE CRONOLÓGICO'!$A$2:$A$4919,$A1060)/$F1060,"")</f>
        <v/>
      </c>
      <c r="J1060" s="6">
        <f>IFERROR(SUMIFS('DETALLE CRONOLÓGICO'!$K$2:$K$4919,'DETALLE CRONOLÓGICO'!$A$2:$A$4919,$A1060)/$E1060,"")</f>
        <v/>
      </c>
      <c r="K1060" s="6">
        <f>_xlfn.MINIFS('DETALLE CRONOLÓGICO'!$K$2:$K$4919,'DETALLE CRONOLÓGICO'!$A$2:$A$4919,$A1060)</f>
        <v/>
      </c>
      <c r="L1060" s="6">
        <f>_xlfn.MAXIFS('DETALLE CRONOLÓGICO'!$K$2:$K$4919,'DETALLE CRONOLÓGICO'!$A$2:$A$4919,$A1060)</f>
        <v/>
      </c>
      <c r="M1060" s="6">
        <f>INDEX('DETALLE CRONOLÓGICO'!$K$2:$K$4919,MATCH($A1060,'DETALLE CRONOLÓGICO'!$A$2:$A$4919,0)+$E1060-1)</f>
        <v/>
      </c>
      <c r="N1060" s="7">
        <f>IFERROR($M1060/INDEX('DETALLE CRONOLÓGICO'!$K$2:$K$4919,MATCH($A1060,'DETALLE CRONOLÓGICO'!$A$2:$A$4919,0))-1,"")</f>
        <v/>
      </c>
      <c r="O1060" s="6">
        <f>IFERROR($I1060*3,"")</f>
        <v/>
      </c>
      <c r="P1060" s="6">
        <f>IFERROR($I1060*3.5,"")</f>
        <v/>
      </c>
      <c r="Q1060" s="6">
        <f>IFERROR($I1060*4,"")</f>
        <v/>
      </c>
      <c r="R1060" s="6" t="n">
        <v>0</v>
      </c>
      <c r="S1060" s="4" t="n">
        <v>3</v>
      </c>
      <c r="T1060" s="1" t="inlineStr">
        <is>
          <t>draft</t>
        </is>
      </c>
      <c r="U1060" s="8" t="n"/>
      <c r="V1060" s="1" t="inlineStr">
        <is>
          <t>SIN PRECIO</t>
        </is>
      </c>
    </row>
    <row r="1061">
      <c r="A1061" s="1" t="inlineStr">
        <is>
          <t>62745763081069</t>
        </is>
      </c>
      <c r="B1061" s="1" t="inlineStr">
        <is>
          <t>PULSERA LOVE SILVER CON MICROZIRCONIAS Y ZIRCONIAS</t>
        </is>
      </c>
      <c r="C1061" s="1" t="inlineStr">
        <is>
          <t>19CM</t>
        </is>
      </c>
      <c r="D1061" s="1" t="inlineStr">
        <is>
          <t>NANCY</t>
        </is>
      </c>
      <c r="E1061" s="4">
        <f>COUNTIF('DETALLE CRONOLÓGICO'!$A$2:$A$4919,$A1061)</f>
        <v/>
      </c>
      <c r="F1061" s="4">
        <f>SUMIFS('DETALLE CRONOLÓGICO'!$I$2:$I$4919,'DETALLE CRONOLÓGICO'!$A$2:$A$4919,$A1061)</f>
        <v/>
      </c>
      <c r="G1061" s="1">
        <f>INDEX('DETALLE CRONOLÓGICO'!$D$2:$D$4919,MATCH($A1061,'DETALLE CRONOLÓGICO'!$A$2:$A$4919,0))</f>
        <v/>
      </c>
      <c r="H1061" s="1">
        <f>INDEX('DETALLE CRONOLÓGICO'!$D$2:$D$4919,MATCH($A1061,'DETALLE CRONOLÓGICO'!$A$2:$A$4919,0)+$E1061-1)</f>
        <v/>
      </c>
      <c r="I1061" s="5">
        <f>IFERROR(SUMIFS('DETALLE CRONOLÓGICO'!$L$2:$L$4919,'DETALLE CRONOLÓGICO'!$A$2:$A$4919,$A1061)/$F1061,"")</f>
        <v/>
      </c>
      <c r="J1061" s="6">
        <f>IFERROR(SUMIFS('DETALLE CRONOLÓGICO'!$K$2:$K$4919,'DETALLE CRONOLÓGICO'!$A$2:$A$4919,$A1061)/$E1061,"")</f>
        <v/>
      </c>
      <c r="K1061" s="6">
        <f>_xlfn.MINIFS('DETALLE CRONOLÓGICO'!$K$2:$K$4919,'DETALLE CRONOLÓGICO'!$A$2:$A$4919,$A1061)</f>
        <v/>
      </c>
      <c r="L1061" s="6">
        <f>_xlfn.MAXIFS('DETALLE CRONOLÓGICO'!$K$2:$K$4919,'DETALLE CRONOLÓGICO'!$A$2:$A$4919,$A1061)</f>
        <v/>
      </c>
      <c r="M1061" s="6">
        <f>INDEX('DETALLE CRONOLÓGICO'!$K$2:$K$4919,MATCH($A1061,'DETALLE CRONOLÓGICO'!$A$2:$A$4919,0)+$E1061-1)</f>
        <v/>
      </c>
      <c r="N1061" s="7">
        <f>IFERROR($M1061/INDEX('DETALLE CRONOLÓGICO'!$K$2:$K$4919,MATCH($A1061,'DETALLE CRONOLÓGICO'!$A$2:$A$4919,0))-1,"")</f>
        <v/>
      </c>
      <c r="O1061" s="6">
        <f>IFERROR($I1061*3,"")</f>
        <v/>
      </c>
      <c r="P1061" s="6">
        <f>IFERROR($I1061*3.5,"")</f>
        <v/>
      </c>
      <c r="Q1061" s="6">
        <f>IFERROR($I1061*4,"")</f>
        <v/>
      </c>
      <c r="R1061" s="6" t="n">
        <v>0</v>
      </c>
      <c r="S1061" s="4" t="n">
        <v>3</v>
      </c>
      <c r="T1061" s="1" t="inlineStr">
        <is>
          <t>draft</t>
        </is>
      </c>
      <c r="U1061" s="8" t="n"/>
      <c r="V1061" s="1" t="inlineStr">
        <is>
          <t>SIN PRECIO</t>
        </is>
      </c>
    </row>
    <row r="1062">
      <c r="A1062" s="1" t="inlineStr">
        <is>
          <t>62745763146605</t>
        </is>
      </c>
      <c r="B1062" s="1" t="inlineStr">
        <is>
          <t>PULSERA C CLAVO SILVER FULL DIAMOND</t>
        </is>
      </c>
      <c r="C1062" s="1" t="inlineStr">
        <is>
          <t>Default Title</t>
        </is>
      </c>
      <c r="D1062" s="1" t="inlineStr">
        <is>
          <t>NANCY</t>
        </is>
      </c>
      <c r="E1062" s="4">
        <f>COUNTIF('DETALLE CRONOLÓGICO'!$A$2:$A$4919,$A1062)</f>
        <v/>
      </c>
      <c r="F1062" s="4">
        <f>SUMIFS('DETALLE CRONOLÓGICO'!$I$2:$I$4919,'DETALLE CRONOLÓGICO'!$A$2:$A$4919,$A1062)</f>
        <v/>
      </c>
      <c r="G1062" s="1">
        <f>INDEX('DETALLE CRONOLÓGICO'!$D$2:$D$4919,MATCH($A1062,'DETALLE CRONOLÓGICO'!$A$2:$A$4919,0))</f>
        <v/>
      </c>
      <c r="H1062" s="1">
        <f>INDEX('DETALLE CRONOLÓGICO'!$D$2:$D$4919,MATCH($A1062,'DETALLE CRONOLÓGICO'!$A$2:$A$4919,0)+$E1062-1)</f>
        <v/>
      </c>
      <c r="I1062" s="5">
        <f>IFERROR(SUMIFS('DETALLE CRONOLÓGICO'!$L$2:$L$4919,'DETALLE CRONOLÓGICO'!$A$2:$A$4919,$A1062)/$F1062,"")</f>
        <v/>
      </c>
      <c r="J1062" s="6">
        <f>IFERROR(SUMIFS('DETALLE CRONOLÓGICO'!$K$2:$K$4919,'DETALLE CRONOLÓGICO'!$A$2:$A$4919,$A1062)/$E1062,"")</f>
        <v/>
      </c>
      <c r="K1062" s="6">
        <f>_xlfn.MINIFS('DETALLE CRONOLÓGICO'!$K$2:$K$4919,'DETALLE CRONOLÓGICO'!$A$2:$A$4919,$A1062)</f>
        <v/>
      </c>
      <c r="L1062" s="6">
        <f>_xlfn.MAXIFS('DETALLE CRONOLÓGICO'!$K$2:$K$4919,'DETALLE CRONOLÓGICO'!$A$2:$A$4919,$A1062)</f>
        <v/>
      </c>
      <c r="M1062" s="6">
        <f>INDEX('DETALLE CRONOLÓGICO'!$K$2:$K$4919,MATCH($A1062,'DETALLE CRONOLÓGICO'!$A$2:$A$4919,0)+$E1062-1)</f>
        <v/>
      </c>
      <c r="N1062" s="7">
        <f>IFERROR($M1062/INDEX('DETALLE CRONOLÓGICO'!$K$2:$K$4919,MATCH($A1062,'DETALLE CRONOLÓGICO'!$A$2:$A$4919,0))-1,"")</f>
        <v/>
      </c>
      <c r="O1062" s="6">
        <f>IFERROR($I1062*3,"")</f>
        <v/>
      </c>
      <c r="P1062" s="6">
        <f>IFERROR($I1062*3.5,"")</f>
        <v/>
      </c>
      <c r="Q1062" s="6">
        <f>IFERROR($I1062*4,"")</f>
        <v/>
      </c>
      <c r="R1062" s="6" t="n">
        <v>0</v>
      </c>
      <c r="S1062" s="4" t="n">
        <v>0</v>
      </c>
      <c r="T1062" s="1" t="inlineStr">
        <is>
          <t>draft</t>
        </is>
      </c>
      <c r="U1062" s="8" t="n"/>
      <c r="V1062" s="1" t="inlineStr">
        <is>
          <t>SIN PRECIO</t>
        </is>
      </c>
    </row>
    <row r="1063">
      <c r="A1063" s="1" t="inlineStr">
        <is>
          <t>62745763277677</t>
        </is>
      </c>
      <c r="B1063" s="1" t="inlineStr">
        <is>
          <t>ANILLO C CLASH ONYX</t>
        </is>
      </c>
      <c r="C1063" s="1" t="n">
        <v>6</v>
      </c>
      <c r="D1063" s="1" t="inlineStr">
        <is>
          <t>NANCY</t>
        </is>
      </c>
      <c r="E1063" s="4">
        <f>COUNTIF('DETALLE CRONOLÓGICO'!$A$2:$A$4919,$A1063)</f>
        <v/>
      </c>
      <c r="F1063" s="4">
        <f>SUMIFS('DETALLE CRONOLÓGICO'!$I$2:$I$4919,'DETALLE CRONOLÓGICO'!$A$2:$A$4919,$A1063)</f>
        <v/>
      </c>
      <c r="G1063" s="1">
        <f>INDEX('DETALLE CRONOLÓGICO'!$D$2:$D$4919,MATCH($A1063,'DETALLE CRONOLÓGICO'!$A$2:$A$4919,0))</f>
        <v/>
      </c>
      <c r="H1063" s="1">
        <f>INDEX('DETALLE CRONOLÓGICO'!$D$2:$D$4919,MATCH($A1063,'DETALLE CRONOLÓGICO'!$A$2:$A$4919,0)+$E1063-1)</f>
        <v/>
      </c>
      <c r="I1063" s="5">
        <f>IFERROR(SUMIFS('DETALLE CRONOLÓGICO'!$L$2:$L$4919,'DETALLE CRONOLÓGICO'!$A$2:$A$4919,$A1063)/$F1063,"")</f>
        <v/>
      </c>
      <c r="J1063" s="6">
        <f>IFERROR(SUMIFS('DETALLE CRONOLÓGICO'!$K$2:$K$4919,'DETALLE CRONOLÓGICO'!$A$2:$A$4919,$A1063)/$E1063,"")</f>
        <v/>
      </c>
      <c r="K1063" s="6">
        <f>_xlfn.MINIFS('DETALLE CRONOLÓGICO'!$K$2:$K$4919,'DETALLE CRONOLÓGICO'!$A$2:$A$4919,$A1063)</f>
        <v/>
      </c>
      <c r="L1063" s="6">
        <f>_xlfn.MAXIFS('DETALLE CRONOLÓGICO'!$K$2:$K$4919,'DETALLE CRONOLÓGICO'!$A$2:$A$4919,$A1063)</f>
        <v/>
      </c>
      <c r="M1063" s="6">
        <f>INDEX('DETALLE CRONOLÓGICO'!$K$2:$K$4919,MATCH($A1063,'DETALLE CRONOLÓGICO'!$A$2:$A$4919,0)+$E1063-1)</f>
        <v/>
      </c>
      <c r="N1063" s="7">
        <f>IFERROR($M1063/INDEX('DETALLE CRONOLÓGICO'!$K$2:$K$4919,MATCH($A1063,'DETALLE CRONOLÓGICO'!$A$2:$A$4919,0))-1,"")</f>
        <v/>
      </c>
      <c r="O1063" s="6">
        <f>IFERROR($I1063*3,"")</f>
        <v/>
      </c>
      <c r="P1063" s="6">
        <f>IFERROR($I1063*3.5,"")</f>
        <v/>
      </c>
      <c r="Q1063" s="6">
        <f>IFERROR($I1063*4,"")</f>
        <v/>
      </c>
      <c r="R1063" s="6" t="n">
        <v>0</v>
      </c>
      <c r="S1063" s="4" t="n">
        <v>2</v>
      </c>
      <c r="T1063" s="1" t="inlineStr">
        <is>
          <t>draft</t>
        </is>
      </c>
      <c r="U1063" s="8" t="n"/>
      <c r="V1063" s="1" t="inlineStr">
        <is>
          <t>SIN PRECIO</t>
        </is>
      </c>
    </row>
    <row r="1064">
      <c r="A1064" s="1" t="inlineStr">
        <is>
          <t>62745763310445</t>
        </is>
      </c>
      <c r="B1064" s="1" t="inlineStr">
        <is>
          <t>ANILLO C CLASH ONYX</t>
        </is>
      </c>
      <c r="C1064" s="1" t="n">
        <v>7</v>
      </c>
      <c r="D1064" s="1" t="inlineStr">
        <is>
          <t>NANCY</t>
        </is>
      </c>
      <c r="E1064" s="4">
        <f>COUNTIF('DETALLE CRONOLÓGICO'!$A$2:$A$4919,$A1064)</f>
        <v/>
      </c>
      <c r="F1064" s="4">
        <f>SUMIFS('DETALLE CRONOLÓGICO'!$I$2:$I$4919,'DETALLE CRONOLÓGICO'!$A$2:$A$4919,$A1064)</f>
        <v/>
      </c>
      <c r="G1064" s="1">
        <f>INDEX('DETALLE CRONOLÓGICO'!$D$2:$D$4919,MATCH($A1064,'DETALLE CRONOLÓGICO'!$A$2:$A$4919,0))</f>
        <v/>
      </c>
      <c r="H1064" s="1">
        <f>INDEX('DETALLE CRONOLÓGICO'!$D$2:$D$4919,MATCH($A1064,'DETALLE CRONOLÓGICO'!$A$2:$A$4919,0)+$E1064-1)</f>
        <v/>
      </c>
      <c r="I1064" s="5">
        <f>IFERROR(SUMIFS('DETALLE CRONOLÓGICO'!$L$2:$L$4919,'DETALLE CRONOLÓGICO'!$A$2:$A$4919,$A1064)/$F1064,"")</f>
        <v/>
      </c>
      <c r="J1064" s="6">
        <f>IFERROR(SUMIFS('DETALLE CRONOLÓGICO'!$K$2:$K$4919,'DETALLE CRONOLÓGICO'!$A$2:$A$4919,$A1064)/$E1064,"")</f>
        <v/>
      </c>
      <c r="K1064" s="6">
        <f>_xlfn.MINIFS('DETALLE CRONOLÓGICO'!$K$2:$K$4919,'DETALLE CRONOLÓGICO'!$A$2:$A$4919,$A1064)</f>
        <v/>
      </c>
      <c r="L1064" s="6">
        <f>_xlfn.MAXIFS('DETALLE CRONOLÓGICO'!$K$2:$K$4919,'DETALLE CRONOLÓGICO'!$A$2:$A$4919,$A1064)</f>
        <v/>
      </c>
      <c r="M1064" s="6">
        <f>INDEX('DETALLE CRONOLÓGICO'!$K$2:$K$4919,MATCH($A1064,'DETALLE CRONOLÓGICO'!$A$2:$A$4919,0)+$E1064-1)</f>
        <v/>
      </c>
      <c r="N1064" s="7">
        <f>IFERROR($M1064/INDEX('DETALLE CRONOLÓGICO'!$K$2:$K$4919,MATCH($A1064,'DETALLE CRONOLÓGICO'!$A$2:$A$4919,0))-1,"")</f>
        <v/>
      </c>
      <c r="O1064" s="6">
        <f>IFERROR($I1064*3,"")</f>
        <v/>
      </c>
      <c r="P1064" s="6">
        <f>IFERROR($I1064*3.5,"")</f>
        <v/>
      </c>
      <c r="Q1064" s="6">
        <f>IFERROR($I1064*4,"")</f>
        <v/>
      </c>
      <c r="R1064" s="6" t="n">
        <v>0</v>
      </c>
      <c r="S1064" s="4" t="n">
        <v>2</v>
      </c>
      <c r="T1064" s="1" t="inlineStr">
        <is>
          <t>draft</t>
        </is>
      </c>
      <c r="U1064" s="8" t="n"/>
      <c r="V1064" s="1" t="inlineStr">
        <is>
          <t>SIN PRECIO</t>
        </is>
      </c>
    </row>
    <row r="1065">
      <c r="A1065" s="1" t="inlineStr">
        <is>
          <t>62745763441517</t>
        </is>
      </c>
      <c r="B1065" s="1" t="inlineStr">
        <is>
          <t>ARETES C CLASH ONYX</t>
        </is>
      </c>
      <c r="C1065" s="1" t="inlineStr">
        <is>
          <t>Default Title</t>
        </is>
      </c>
      <c r="D1065" s="1" t="inlineStr">
        <is>
          <t>NANCY</t>
        </is>
      </c>
      <c r="E1065" s="4">
        <f>COUNTIF('DETALLE CRONOLÓGICO'!$A$2:$A$4919,$A1065)</f>
        <v/>
      </c>
      <c r="F1065" s="4">
        <f>SUMIFS('DETALLE CRONOLÓGICO'!$I$2:$I$4919,'DETALLE CRONOLÓGICO'!$A$2:$A$4919,$A1065)</f>
        <v/>
      </c>
      <c r="G1065" s="1">
        <f>INDEX('DETALLE CRONOLÓGICO'!$D$2:$D$4919,MATCH($A1065,'DETALLE CRONOLÓGICO'!$A$2:$A$4919,0))</f>
        <v/>
      </c>
      <c r="H1065" s="1">
        <f>INDEX('DETALLE CRONOLÓGICO'!$D$2:$D$4919,MATCH($A1065,'DETALLE CRONOLÓGICO'!$A$2:$A$4919,0)+$E1065-1)</f>
        <v/>
      </c>
      <c r="I1065" s="5">
        <f>IFERROR(SUMIFS('DETALLE CRONOLÓGICO'!$L$2:$L$4919,'DETALLE CRONOLÓGICO'!$A$2:$A$4919,$A1065)/$F1065,"")</f>
        <v/>
      </c>
      <c r="J1065" s="6">
        <f>IFERROR(SUMIFS('DETALLE CRONOLÓGICO'!$K$2:$K$4919,'DETALLE CRONOLÓGICO'!$A$2:$A$4919,$A1065)/$E1065,"")</f>
        <v/>
      </c>
      <c r="K1065" s="6">
        <f>_xlfn.MINIFS('DETALLE CRONOLÓGICO'!$K$2:$K$4919,'DETALLE CRONOLÓGICO'!$A$2:$A$4919,$A1065)</f>
        <v/>
      </c>
      <c r="L1065" s="6">
        <f>_xlfn.MAXIFS('DETALLE CRONOLÓGICO'!$K$2:$K$4919,'DETALLE CRONOLÓGICO'!$A$2:$A$4919,$A1065)</f>
        <v/>
      </c>
      <c r="M1065" s="6">
        <f>INDEX('DETALLE CRONOLÓGICO'!$K$2:$K$4919,MATCH($A1065,'DETALLE CRONOLÓGICO'!$A$2:$A$4919,0)+$E1065-1)</f>
        <v/>
      </c>
      <c r="N1065" s="7">
        <f>IFERROR($M1065/INDEX('DETALLE CRONOLÓGICO'!$K$2:$K$4919,MATCH($A1065,'DETALLE CRONOLÓGICO'!$A$2:$A$4919,0))-1,"")</f>
        <v/>
      </c>
      <c r="O1065" s="6">
        <f>IFERROR($I1065*3,"")</f>
        <v/>
      </c>
      <c r="P1065" s="6">
        <f>IFERROR($I1065*3.5,"")</f>
        <v/>
      </c>
      <c r="Q1065" s="6">
        <f>IFERROR($I1065*4,"")</f>
        <v/>
      </c>
      <c r="R1065" s="6" t="n">
        <v>0</v>
      </c>
      <c r="S1065" s="4" t="n">
        <v>2</v>
      </c>
      <c r="T1065" s="1" t="inlineStr">
        <is>
          <t>draft</t>
        </is>
      </c>
      <c r="U1065" s="8" t="n"/>
      <c r="V1065" s="1" t="inlineStr">
        <is>
          <t>SIN PRECIO</t>
        </is>
      </c>
    </row>
    <row r="1066">
      <c r="A1066" s="1" t="inlineStr">
        <is>
          <t>62745763507053</t>
        </is>
      </c>
      <c r="B1066" s="1" t="inlineStr">
        <is>
          <t>ARETES C CLASH ROSEGOLD TRIPLE</t>
        </is>
      </c>
      <c r="C1066" s="1" t="inlineStr">
        <is>
          <t>Default Title</t>
        </is>
      </c>
      <c r="D1066" s="1" t="inlineStr">
        <is>
          <t>NANCY</t>
        </is>
      </c>
      <c r="E1066" s="4">
        <f>COUNTIF('DETALLE CRONOLÓGICO'!$A$2:$A$4919,$A1066)</f>
        <v/>
      </c>
      <c r="F1066" s="4">
        <f>SUMIFS('DETALLE CRONOLÓGICO'!$I$2:$I$4919,'DETALLE CRONOLÓGICO'!$A$2:$A$4919,$A1066)</f>
        <v/>
      </c>
      <c r="G1066" s="1">
        <f>INDEX('DETALLE CRONOLÓGICO'!$D$2:$D$4919,MATCH($A1066,'DETALLE CRONOLÓGICO'!$A$2:$A$4919,0))</f>
        <v/>
      </c>
      <c r="H1066" s="1">
        <f>INDEX('DETALLE CRONOLÓGICO'!$D$2:$D$4919,MATCH($A1066,'DETALLE CRONOLÓGICO'!$A$2:$A$4919,0)+$E1066-1)</f>
        <v/>
      </c>
      <c r="I1066" s="5">
        <f>IFERROR(SUMIFS('DETALLE CRONOLÓGICO'!$L$2:$L$4919,'DETALLE CRONOLÓGICO'!$A$2:$A$4919,$A1066)/$F1066,"")</f>
        <v/>
      </c>
      <c r="J1066" s="6">
        <f>IFERROR(SUMIFS('DETALLE CRONOLÓGICO'!$K$2:$K$4919,'DETALLE CRONOLÓGICO'!$A$2:$A$4919,$A1066)/$E1066,"")</f>
        <v/>
      </c>
      <c r="K1066" s="6">
        <f>_xlfn.MINIFS('DETALLE CRONOLÓGICO'!$K$2:$K$4919,'DETALLE CRONOLÓGICO'!$A$2:$A$4919,$A1066)</f>
        <v/>
      </c>
      <c r="L1066" s="6">
        <f>_xlfn.MAXIFS('DETALLE CRONOLÓGICO'!$K$2:$K$4919,'DETALLE CRONOLÓGICO'!$A$2:$A$4919,$A1066)</f>
        <v/>
      </c>
      <c r="M1066" s="6">
        <f>INDEX('DETALLE CRONOLÓGICO'!$K$2:$K$4919,MATCH($A1066,'DETALLE CRONOLÓGICO'!$A$2:$A$4919,0)+$E1066-1)</f>
        <v/>
      </c>
      <c r="N1066" s="7">
        <f>IFERROR($M1066/INDEX('DETALLE CRONOLÓGICO'!$K$2:$K$4919,MATCH($A1066,'DETALLE CRONOLÓGICO'!$A$2:$A$4919,0))-1,"")</f>
        <v/>
      </c>
      <c r="O1066" s="6">
        <f>IFERROR($I1066*3,"")</f>
        <v/>
      </c>
      <c r="P1066" s="6">
        <f>IFERROR($I1066*3.5,"")</f>
        <v/>
      </c>
      <c r="Q1066" s="6">
        <f>IFERROR($I1066*4,"")</f>
        <v/>
      </c>
      <c r="R1066" s="6" t="n">
        <v>0</v>
      </c>
      <c r="S1066" s="4" t="n">
        <v>2</v>
      </c>
      <c r="T1066" s="1" t="inlineStr">
        <is>
          <t>draft</t>
        </is>
      </c>
      <c r="U1066" s="8" t="n"/>
      <c r="V1066" s="1" t="inlineStr">
        <is>
          <t>SIN PRECIO</t>
        </is>
      </c>
    </row>
    <row r="1067">
      <c r="A1067" s="1" t="inlineStr">
        <is>
          <t>62745763603661</t>
        </is>
      </c>
      <c r="B1067" s="1" t="inlineStr">
        <is>
          <t>COLLAR T LOCK ALL ZIRCONIAS GOLD</t>
        </is>
      </c>
      <c r="C1067" s="1" t="inlineStr">
        <is>
          <t>Default Title</t>
        </is>
      </c>
      <c r="D1067" s="1" t="inlineStr">
        <is>
          <t>NANCY</t>
        </is>
      </c>
      <c r="E1067" s="4">
        <f>COUNTIF('DETALLE CRONOLÓGICO'!$A$2:$A$4919,$A1067)</f>
        <v/>
      </c>
      <c r="F1067" s="4">
        <f>SUMIFS('DETALLE CRONOLÓGICO'!$I$2:$I$4919,'DETALLE CRONOLÓGICO'!$A$2:$A$4919,$A1067)</f>
        <v/>
      </c>
      <c r="G1067" s="1">
        <f>INDEX('DETALLE CRONOLÓGICO'!$D$2:$D$4919,MATCH($A1067,'DETALLE CRONOLÓGICO'!$A$2:$A$4919,0))</f>
        <v/>
      </c>
      <c r="H1067" s="1">
        <f>INDEX('DETALLE CRONOLÓGICO'!$D$2:$D$4919,MATCH($A1067,'DETALLE CRONOLÓGICO'!$A$2:$A$4919,0)+$E1067-1)</f>
        <v/>
      </c>
      <c r="I1067" s="5">
        <f>IFERROR(SUMIFS('DETALLE CRONOLÓGICO'!$L$2:$L$4919,'DETALLE CRONOLÓGICO'!$A$2:$A$4919,$A1067)/$F1067,"")</f>
        <v/>
      </c>
      <c r="J1067" s="6">
        <f>IFERROR(SUMIFS('DETALLE CRONOLÓGICO'!$K$2:$K$4919,'DETALLE CRONOLÓGICO'!$A$2:$A$4919,$A1067)/$E1067,"")</f>
        <v/>
      </c>
      <c r="K1067" s="6">
        <f>_xlfn.MINIFS('DETALLE CRONOLÓGICO'!$K$2:$K$4919,'DETALLE CRONOLÓGICO'!$A$2:$A$4919,$A1067)</f>
        <v/>
      </c>
      <c r="L1067" s="6">
        <f>_xlfn.MAXIFS('DETALLE CRONOLÓGICO'!$K$2:$K$4919,'DETALLE CRONOLÓGICO'!$A$2:$A$4919,$A1067)</f>
        <v/>
      </c>
      <c r="M1067" s="6">
        <f>INDEX('DETALLE CRONOLÓGICO'!$K$2:$K$4919,MATCH($A1067,'DETALLE CRONOLÓGICO'!$A$2:$A$4919,0)+$E1067-1)</f>
        <v/>
      </c>
      <c r="N1067" s="7">
        <f>IFERROR($M1067/INDEX('DETALLE CRONOLÓGICO'!$K$2:$K$4919,MATCH($A1067,'DETALLE CRONOLÓGICO'!$A$2:$A$4919,0))-1,"")</f>
        <v/>
      </c>
      <c r="O1067" s="6">
        <f>IFERROR($I1067*3,"")</f>
        <v/>
      </c>
      <c r="P1067" s="6">
        <f>IFERROR($I1067*3.5,"")</f>
        <v/>
      </c>
      <c r="Q1067" s="6">
        <f>IFERROR($I1067*4,"")</f>
        <v/>
      </c>
      <c r="R1067" s="6" t="n">
        <v>0</v>
      </c>
      <c r="S1067" s="4" t="n">
        <v>2</v>
      </c>
      <c r="T1067" s="1" t="inlineStr">
        <is>
          <t>draft</t>
        </is>
      </c>
      <c r="U1067" s="8" t="n"/>
      <c r="V1067" s="1" t="inlineStr">
        <is>
          <t>SIN PRECIO</t>
        </is>
      </c>
    </row>
    <row r="1068">
      <c r="A1068" s="1" t="inlineStr">
        <is>
          <t>62745763733037</t>
        </is>
      </c>
      <c r="B1068" s="1" t="inlineStr">
        <is>
          <t>COLLAR T LOCK GOLD</t>
        </is>
      </c>
      <c r="C1068" s="1" t="inlineStr">
        <is>
          <t>Default Title</t>
        </is>
      </c>
      <c r="D1068" s="1" t="inlineStr">
        <is>
          <t>NANCY</t>
        </is>
      </c>
      <c r="E1068" s="4">
        <f>COUNTIF('DETALLE CRONOLÓGICO'!$A$2:$A$4919,$A1068)</f>
        <v/>
      </c>
      <c r="F1068" s="4">
        <f>SUMIFS('DETALLE CRONOLÓGICO'!$I$2:$I$4919,'DETALLE CRONOLÓGICO'!$A$2:$A$4919,$A1068)</f>
        <v/>
      </c>
      <c r="G1068" s="1">
        <f>INDEX('DETALLE CRONOLÓGICO'!$D$2:$D$4919,MATCH($A1068,'DETALLE CRONOLÓGICO'!$A$2:$A$4919,0))</f>
        <v/>
      </c>
      <c r="H1068" s="1">
        <f>INDEX('DETALLE CRONOLÓGICO'!$D$2:$D$4919,MATCH($A1068,'DETALLE CRONOLÓGICO'!$A$2:$A$4919,0)+$E1068-1)</f>
        <v/>
      </c>
      <c r="I1068" s="5">
        <f>IFERROR(SUMIFS('DETALLE CRONOLÓGICO'!$L$2:$L$4919,'DETALLE CRONOLÓGICO'!$A$2:$A$4919,$A1068)/$F1068,"")</f>
        <v/>
      </c>
      <c r="J1068" s="6">
        <f>IFERROR(SUMIFS('DETALLE CRONOLÓGICO'!$K$2:$K$4919,'DETALLE CRONOLÓGICO'!$A$2:$A$4919,$A1068)/$E1068,"")</f>
        <v/>
      </c>
      <c r="K1068" s="6">
        <f>_xlfn.MINIFS('DETALLE CRONOLÓGICO'!$K$2:$K$4919,'DETALLE CRONOLÓGICO'!$A$2:$A$4919,$A1068)</f>
        <v/>
      </c>
      <c r="L1068" s="6">
        <f>_xlfn.MAXIFS('DETALLE CRONOLÓGICO'!$K$2:$K$4919,'DETALLE CRONOLÓGICO'!$A$2:$A$4919,$A1068)</f>
        <v/>
      </c>
      <c r="M1068" s="6">
        <f>INDEX('DETALLE CRONOLÓGICO'!$K$2:$K$4919,MATCH($A1068,'DETALLE CRONOLÓGICO'!$A$2:$A$4919,0)+$E1068-1)</f>
        <v/>
      </c>
      <c r="N1068" s="7">
        <f>IFERROR($M1068/INDEX('DETALLE CRONOLÓGICO'!$K$2:$K$4919,MATCH($A1068,'DETALLE CRONOLÓGICO'!$A$2:$A$4919,0))-1,"")</f>
        <v/>
      </c>
      <c r="O1068" s="6">
        <f>IFERROR($I1068*3,"")</f>
        <v/>
      </c>
      <c r="P1068" s="6">
        <f>IFERROR($I1068*3.5,"")</f>
        <v/>
      </c>
      <c r="Q1068" s="6">
        <f>IFERROR($I1068*4,"")</f>
        <v/>
      </c>
      <c r="R1068" s="6" t="n">
        <v>0</v>
      </c>
      <c r="S1068" s="4" t="n">
        <v>2</v>
      </c>
      <c r="T1068" s="1" t="inlineStr">
        <is>
          <t>draft</t>
        </is>
      </c>
      <c r="U1068" s="8" t="n"/>
      <c r="V1068" s="1" t="inlineStr">
        <is>
          <t>SIN PRECIO</t>
        </is>
      </c>
    </row>
    <row r="1069">
      <c r="A1069" s="1" t="inlineStr">
        <is>
          <t>62745763822861</t>
        </is>
      </c>
      <c r="B1069" s="1" t="inlineStr">
        <is>
          <t>COLLAR T LOCK ROSE GOLD</t>
        </is>
      </c>
      <c r="C1069" s="1" t="inlineStr">
        <is>
          <t>Default Title</t>
        </is>
      </c>
      <c r="D1069" s="1" t="inlineStr">
        <is>
          <t>NANCY</t>
        </is>
      </c>
      <c r="E1069" s="4">
        <f>COUNTIF('DETALLE CRONOLÓGICO'!$A$2:$A$4919,$A1069)</f>
        <v/>
      </c>
      <c r="F1069" s="4">
        <f>SUMIFS('DETALLE CRONOLÓGICO'!$I$2:$I$4919,'DETALLE CRONOLÓGICO'!$A$2:$A$4919,$A1069)</f>
        <v/>
      </c>
      <c r="G1069" s="1">
        <f>INDEX('DETALLE CRONOLÓGICO'!$D$2:$D$4919,MATCH($A1069,'DETALLE CRONOLÓGICO'!$A$2:$A$4919,0))</f>
        <v/>
      </c>
      <c r="H1069" s="1">
        <f>INDEX('DETALLE CRONOLÓGICO'!$D$2:$D$4919,MATCH($A1069,'DETALLE CRONOLÓGICO'!$A$2:$A$4919,0)+$E1069-1)</f>
        <v/>
      </c>
      <c r="I1069" s="5">
        <f>IFERROR(SUMIFS('DETALLE CRONOLÓGICO'!$L$2:$L$4919,'DETALLE CRONOLÓGICO'!$A$2:$A$4919,$A1069)/$F1069,"")</f>
        <v/>
      </c>
      <c r="J1069" s="6">
        <f>IFERROR(SUMIFS('DETALLE CRONOLÓGICO'!$K$2:$K$4919,'DETALLE CRONOLÓGICO'!$A$2:$A$4919,$A1069)/$E1069,"")</f>
        <v/>
      </c>
      <c r="K1069" s="6">
        <f>_xlfn.MINIFS('DETALLE CRONOLÓGICO'!$K$2:$K$4919,'DETALLE CRONOLÓGICO'!$A$2:$A$4919,$A1069)</f>
        <v/>
      </c>
      <c r="L1069" s="6">
        <f>_xlfn.MAXIFS('DETALLE CRONOLÓGICO'!$K$2:$K$4919,'DETALLE CRONOLÓGICO'!$A$2:$A$4919,$A1069)</f>
        <v/>
      </c>
      <c r="M1069" s="6">
        <f>INDEX('DETALLE CRONOLÓGICO'!$K$2:$K$4919,MATCH($A1069,'DETALLE CRONOLÓGICO'!$A$2:$A$4919,0)+$E1069-1)</f>
        <v/>
      </c>
      <c r="N1069" s="7">
        <f>IFERROR($M1069/INDEX('DETALLE CRONOLÓGICO'!$K$2:$K$4919,MATCH($A1069,'DETALLE CRONOLÓGICO'!$A$2:$A$4919,0))-1,"")</f>
        <v/>
      </c>
      <c r="O1069" s="6">
        <f>IFERROR($I1069*3,"")</f>
        <v/>
      </c>
      <c r="P1069" s="6">
        <f>IFERROR($I1069*3.5,"")</f>
        <v/>
      </c>
      <c r="Q1069" s="6">
        <f>IFERROR($I1069*4,"")</f>
        <v/>
      </c>
      <c r="R1069" s="6" t="n">
        <v>0</v>
      </c>
      <c r="S1069" s="4" t="n">
        <v>2</v>
      </c>
      <c r="T1069" s="1" t="inlineStr">
        <is>
          <t>draft</t>
        </is>
      </c>
      <c r="U1069" s="8" t="n"/>
      <c r="V1069" s="1" t="inlineStr">
        <is>
          <t>SIN PRECIO</t>
        </is>
      </c>
    </row>
    <row r="1070">
      <c r="A1070" s="1" t="inlineStr">
        <is>
          <t>62745763998573</t>
        </is>
      </c>
      <c r="B1070" s="1" t="inlineStr">
        <is>
          <t>COLLAR T SMILE ZIRCONIAS GOLD</t>
        </is>
      </c>
      <c r="C1070" s="1" t="inlineStr">
        <is>
          <t>Default Title</t>
        </is>
      </c>
      <c r="D1070" s="1" t="inlineStr">
        <is>
          <t>NANCY</t>
        </is>
      </c>
      <c r="E1070" s="4">
        <f>COUNTIF('DETALLE CRONOLÓGICO'!$A$2:$A$4919,$A1070)</f>
        <v/>
      </c>
      <c r="F1070" s="4">
        <f>SUMIFS('DETALLE CRONOLÓGICO'!$I$2:$I$4919,'DETALLE CRONOLÓGICO'!$A$2:$A$4919,$A1070)</f>
        <v/>
      </c>
      <c r="G1070" s="1">
        <f>INDEX('DETALLE CRONOLÓGICO'!$D$2:$D$4919,MATCH($A1070,'DETALLE CRONOLÓGICO'!$A$2:$A$4919,0))</f>
        <v/>
      </c>
      <c r="H1070" s="1">
        <f>INDEX('DETALLE CRONOLÓGICO'!$D$2:$D$4919,MATCH($A1070,'DETALLE CRONOLÓGICO'!$A$2:$A$4919,0)+$E1070-1)</f>
        <v/>
      </c>
      <c r="I1070" s="5">
        <f>IFERROR(SUMIFS('DETALLE CRONOLÓGICO'!$L$2:$L$4919,'DETALLE CRONOLÓGICO'!$A$2:$A$4919,$A1070)/$F1070,"")</f>
        <v/>
      </c>
      <c r="J1070" s="6">
        <f>IFERROR(SUMIFS('DETALLE CRONOLÓGICO'!$K$2:$K$4919,'DETALLE CRONOLÓGICO'!$A$2:$A$4919,$A1070)/$E1070,"")</f>
        <v/>
      </c>
      <c r="K1070" s="6">
        <f>_xlfn.MINIFS('DETALLE CRONOLÓGICO'!$K$2:$K$4919,'DETALLE CRONOLÓGICO'!$A$2:$A$4919,$A1070)</f>
        <v/>
      </c>
      <c r="L1070" s="6">
        <f>_xlfn.MAXIFS('DETALLE CRONOLÓGICO'!$K$2:$K$4919,'DETALLE CRONOLÓGICO'!$A$2:$A$4919,$A1070)</f>
        <v/>
      </c>
      <c r="M1070" s="6">
        <f>INDEX('DETALLE CRONOLÓGICO'!$K$2:$K$4919,MATCH($A1070,'DETALLE CRONOLÓGICO'!$A$2:$A$4919,0)+$E1070-1)</f>
        <v/>
      </c>
      <c r="N1070" s="7">
        <f>IFERROR($M1070/INDEX('DETALLE CRONOLÓGICO'!$K$2:$K$4919,MATCH($A1070,'DETALLE CRONOLÓGICO'!$A$2:$A$4919,0))-1,"")</f>
        <v/>
      </c>
      <c r="O1070" s="6">
        <f>IFERROR($I1070*3,"")</f>
        <v/>
      </c>
      <c r="P1070" s="6">
        <f>IFERROR($I1070*3.5,"")</f>
        <v/>
      </c>
      <c r="Q1070" s="6">
        <f>IFERROR($I1070*4,"")</f>
        <v/>
      </c>
      <c r="R1070" s="6" t="n">
        <v>0</v>
      </c>
      <c r="S1070" s="4" t="n">
        <v>2</v>
      </c>
      <c r="T1070" s="1" t="inlineStr">
        <is>
          <t>draft</t>
        </is>
      </c>
      <c r="U1070" s="8" t="n"/>
      <c r="V1070" s="1" t="inlineStr">
        <is>
          <t>SIN PRECIO</t>
        </is>
      </c>
    </row>
    <row r="1071">
      <c r="A1071" s="1" t="inlineStr">
        <is>
          <t>62745764027949</t>
        </is>
      </c>
      <c r="B1071" s="1" t="inlineStr">
        <is>
          <t>COLLAR T SMILE ZIRCONIAS ROSE GOLD</t>
        </is>
      </c>
      <c r="C1071" s="1" t="inlineStr">
        <is>
          <t>Default Title</t>
        </is>
      </c>
      <c r="D1071" s="1" t="inlineStr">
        <is>
          <t>NANCY</t>
        </is>
      </c>
      <c r="E1071" s="4">
        <f>COUNTIF('DETALLE CRONOLÓGICO'!$A$2:$A$4919,$A1071)</f>
        <v/>
      </c>
      <c r="F1071" s="4">
        <f>SUMIFS('DETALLE CRONOLÓGICO'!$I$2:$I$4919,'DETALLE CRONOLÓGICO'!$A$2:$A$4919,$A1071)</f>
        <v/>
      </c>
      <c r="G1071" s="1">
        <f>INDEX('DETALLE CRONOLÓGICO'!$D$2:$D$4919,MATCH($A1071,'DETALLE CRONOLÓGICO'!$A$2:$A$4919,0))</f>
        <v/>
      </c>
      <c r="H1071" s="1">
        <f>INDEX('DETALLE CRONOLÓGICO'!$D$2:$D$4919,MATCH($A1071,'DETALLE CRONOLÓGICO'!$A$2:$A$4919,0)+$E1071-1)</f>
        <v/>
      </c>
      <c r="I1071" s="5">
        <f>IFERROR(SUMIFS('DETALLE CRONOLÓGICO'!$L$2:$L$4919,'DETALLE CRONOLÓGICO'!$A$2:$A$4919,$A1071)/$F1071,"")</f>
        <v/>
      </c>
      <c r="J1071" s="6">
        <f>IFERROR(SUMIFS('DETALLE CRONOLÓGICO'!$K$2:$K$4919,'DETALLE CRONOLÓGICO'!$A$2:$A$4919,$A1071)/$E1071,"")</f>
        <v/>
      </c>
      <c r="K1071" s="6">
        <f>_xlfn.MINIFS('DETALLE CRONOLÓGICO'!$K$2:$K$4919,'DETALLE CRONOLÓGICO'!$A$2:$A$4919,$A1071)</f>
        <v/>
      </c>
      <c r="L1071" s="6">
        <f>_xlfn.MAXIFS('DETALLE CRONOLÓGICO'!$K$2:$K$4919,'DETALLE CRONOLÓGICO'!$A$2:$A$4919,$A1071)</f>
        <v/>
      </c>
      <c r="M1071" s="6">
        <f>INDEX('DETALLE CRONOLÓGICO'!$K$2:$K$4919,MATCH($A1071,'DETALLE CRONOLÓGICO'!$A$2:$A$4919,0)+$E1071-1)</f>
        <v/>
      </c>
      <c r="N1071" s="7">
        <f>IFERROR($M1071/INDEX('DETALLE CRONOLÓGICO'!$K$2:$K$4919,MATCH($A1071,'DETALLE CRONOLÓGICO'!$A$2:$A$4919,0))-1,"")</f>
        <v/>
      </c>
      <c r="O1071" s="6">
        <f>IFERROR($I1071*3,"")</f>
        <v/>
      </c>
      <c r="P1071" s="6">
        <f>IFERROR($I1071*3.5,"")</f>
        <v/>
      </c>
      <c r="Q1071" s="6">
        <f>IFERROR($I1071*4,"")</f>
        <v/>
      </c>
      <c r="R1071" s="6" t="n">
        <v>0</v>
      </c>
      <c r="S1071" s="4" t="n">
        <v>2</v>
      </c>
      <c r="T1071" s="1" t="inlineStr">
        <is>
          <t>draft</t>
        </is>
      </c>
      <c r="U1071" s="8" t="n"/>
      <c r="V1071" s="1" t="inlineStr">
        <is>
          <t>SIN PRECIO</t>
        </is>
      </c>
    </row>
    <row r="1072">
      <c r="A1072" s="1" t="inlineStr">
        <is>
          <t>62745764129645</t>
        </is>
      </c>
      <c r="B1072" s="1" t="inlineStr">
        <is>
          <t>COLLAR T SIXTEEN STONE</t>
        </is>
      </c>
      <c r="C1072" s="1" t="inlineStr">
        <is>
          <t>Default Title</t>
        </is>
      </c>
      <c r="D1072" s="1" t="inlineStr">
        <is>
          <t>NANCY</t>
        </is>
      </c>
      <c r="E1072" s="4">
        <f>COUNTIF('DETALLE CRONOLÓGICO'!$A$2:$A$4919,$A1072)</f>
        <v/>
      </c>
      <c r="F1072" s="4">
        <f>SUMIFS('DETALLE CRONOLÓGICO'!$I$2:$I$4919,'DETALLE CRONOLÓGICO'!$A$2:$A$4919,$A1072)</f>
        <v/>
      </c>
      <c r="G1072" s="1">
        <f>INDEX('DETALLE CRONOLÓGICO'!$D$2:$D$4919,MATCH($A1072,'DETALLE CRONOLÓGICO'!$A$2:$A$4919,0))</f>
        <v/>
      </c>
      <c r="H1072" s="1">
        <f>INDEX('DETALLE CRONOLÓGICO'!$D$2:$D$4919,MATCH($A1072,'DETALLE CRONOLÓGICO'!$A$2:$A$4919,0)+$E1072-1)</f>
        <v/>
      </c>
      <c r="I1072" s="5">
        <f>IFERROR(SUMIFS('DETALLE CRONOLÓGICO'!$L$2:$L$4919,'DETALLE CRONOLÓGICO'!$A$2:$A$4919,$A1072)/$F1072,"")</f>
        <v/>
      </c>
      <c r="J1072" s="6">
        <f>IFERROR(SUMIFS('DETALLE CRONOLÓGICO'!$K$2:$K$4919,'DETALLE CRONOLÓGICO'!$A$2:$A$4919,$A1072)/$E1072,"")</f>
        <v/>
      </c>
      <c r="K1072" s="6">
        <f>_xlfn.MINIFS('DETALLE CRONOLÓGICO'!$K$2:$K$4919,'DETALLE CRONOLÓGICO'!$A$2:$A$4919,$A1072)</f>
        <v/>
      </c>
      <c r="L1072" s="6">
        <f>_xlfn.MAXIFS('DETALLE CRONOLÓGICO'!$K$2:$K$4919,'DETALLE CRONOLÓGICO'!$A$2:$A$4919,$A1072)</f>
        <v/>
      </c>
      <c r="M1072" s="6">
        <f>INDEX('DETALLE CRONOLÓGICO'!$K$2:$K$4919,MATCH($A1072,'DETALLE CRONOLÓGICO'!$A$2:$A$4919,0)+$E1072-1)</f>
        <v/>
      </c>
      <c r="N1072" s="7">
        <f>IFERROR($M1072/INDEX('DETALLE CRONOLÓGICO'!$K$2:$K$4919,MATCH($A1072,'DETALLE CRONOLÓGICO'!$A$2:$A$4919,0))-1,"")</f>
        <v/>
      </c>
      <c r="O1072" s="6">
        <f>IFERROR($I1072*3,"")</f>
        <v/>
      </c>
      <c r="P1072" s="6">
        <f>IFERROR($I1072*3.5,"")</f>
        <v/>
      </c>
      <c r="Q1072" s="6">
        <f>IFERROR($I1072*4,"")</f>
        <v/>
      </c>
      <c r="R1072" s="6" t="n">
        <v>0</v>
      </c>
      <c r="S1072" s="4" t="n">
        <v>2</v>
      </c>
      <c r="T1072" s="1" t="inlineStr">
        <is>
          <t>draft</t>
        </is>
      </c>
      <c r="U1072" s="8" t="n"/>
      <c r="V1072" s="1" t="inlineStr">
        <is>
          <t>SIN PRECIO</t>
        </is>
      </c>
    </row>
    <row r="1073">
      <c r="A1073" s="1" t="inlineStr">
        <is>
          <t>62809482933772</t>
        </is>
      </c>
      <c r="B1073" s="1" t="inlineStr">
        <is>
          <t>BOLSO CD MESSENGER SADDLE BLUE</t>
        </is>
      </c>
      <c r="C1073" s="1" t="inlineStr">
        <is>
          <t>20cm de largo x 14cm de alto x 5cm de ancho</t>
        </is>
      </c>
      <c r="D1073" s="1" t="inlineStr">
        <is>
          <t>CYNTHIA</t>
        </is>
      </c>
      <c r="E1073" s="4">
        <f>COUNTIF('DETALLE CRONOLÓGICO'!$A$2:$A$4919,$A1073)</f>
        <v/>
      </c>
      <c r="F1073" s="4">
        <f>SUMIFS('DETALLE CRONOLÓGICO'!$I$2:$I$4919,'DETALLE CRONOLÓGICO'!$A$2:$A$4919,$A1073)</f>
        <v/>
      </c>
      <c r="G1073" s="1">
        <f>INDEX('DETALLE CRONOLÓGICO'!$D$2:$D$4919,MATCH($A1073,'DETALLE CRONOLÓGICO'!$A$2:$A$4919,0))</f>
        <v/>
      </c>
      <c r="H1073" s="1">
        <f>INDEX('DETALLE CRONOLÓGICO'!$D$2:$D$4919,MATCH($A1073,'DETALLE CRONOLÓGICO'!$A$2:$A$4919,0)+$E1073-1)</f>
        <v/>
      </c>
      <c r="I1073" s="5">
        <f>IFERROR(SUMIFS('DETALLE CRONOLÓGICO'!$L$2:$L$4919,'DETALLE CRONOLÓGICO'!$A$2:$A$4919,$A1073)/$F1073,"")</f>
        <v/>
      </c>
      <c r="J1073" s="6">
        <f>IFERROR(SUMIFS('DETALLE CRONOLÓGICO'!$K$2:$K$4919,'DETALLE CRONOLÓGICO'!$A$2:$A$4919,$A1073)/$E1073,"")</f>
        <v/>
      </c>
      <c r="K1073" s="6">
        <f>_xlfn.MINIFS('DETALLE CRONOLÓGICO'!$K$2:$K$4919,'DETALLE CRONOLÓGICO'!$A$2:$A$4919,$A1073)</f>
        <v/>
      </c>
      <c r="L1073" s="6">
        <f>_xlfn.MAXIFS('DETALLE CRONOLÓGICO'!$K$2:$K$4919,'DETALLE CRONOLÓGICO'!$A$2:$A$4919,$A1073)</f>
        <v/>
      </c>
      <c r="M1073" s="6">
        <f>INDEX('DETALLE CRONOLÓGICO'!$K$2:$K$4919,MATCH($A1073,'DETALLE CRONOLÓGICO'!$A$2:$A$4919,0)+$E1073-1)</f>
        <v/>
      </c>
      <c r="N1073" s="7">
        <f>IFERROR($M1073/INDEX('DETALLE CRONOLÓGICO'!$K$2:$K$4919,MATCH($A1073,'DETALLE CRONOLÓGICO'!$A$2:$A$4919,0))-1,"")</f>
        <v/>
      </c>
      <c r="O1073" s="6">
        <f>IFERROR($I1073*3,"")</f>
        <v/>
      </c>
      <c r="P1073" s="6">
        <f>IFERROR($I1073*3.5,"")</f>
        <v/>
      </c>
      <c r="Q1073" s="6">
        <f>IFERROR($I1073*4,"")</f>
        <v/>
      </c>
      <c r="R1073" s="6" t="n">
        <v>4700</v>
      </c>
      <c r="S1073" s="4" t="n">
        <v>2</v>
      </c>
      <c r="T1073" s="1" t="inlineStr">
        <is>
          <t>active</t>
        </is>
      </c>
      <c r="U1073" s="8" t="n"/>
      <c r="V1073" s="1" t="inlineStr">
        <is>
          <t>SIN PRECIO</t>
        </is>
      </c>
    </row>
    <row r="1074">
      <c r="A1074" s="1" t="inlineStr">
        <is>
          <t>63220631032173</t>
        </is>
      </c>
      <c r="B1074" s="1" t="inlineStr">
        <is>
          <t>ANILLO LV SELLO GOLD-9</t>
        </is>
      </c>
      <c r="C1074" s="1" t="inlineStr">
        <is>
          <t>9</t>
        </is>
      </c>
      <c r="D1074" s="1" t="inlineStr">
        <is>
          <t>HAIFENG</t>
        </is>
      </c>
      <c r="E1074" s="4">
        <f>COUNTIF('DETALLE CRONOLÓGICO'!$A$2:$A$4919,$A1074)</f>
        <v/>
      </c>
      <c r="F1074" s="4">
        <f>SUMIFS('DETALLE CRONOLÓGICO'!$I$2:$I$4919,'DETALLE CRONOLÓGICO'!$A$2:$A$4919,$A1074)</f>
        <v/>
      </c>
      <c r="G1074" s="1">
        <f>INDEX('DETALLE CRONOLÓGICO'!$D$2:$D$4919,MATCH($A1074,'DETALLE CRONOLÓGICO'!$A$2:$A$4919,0))</f>
        <v/>
      </c>
      <c r="H1074" s="1">
        <f>INDEX('DETALLE CRONOLÓGICO'!$D$2:$D$4919,MATCH($A1074,'DETALLE CRONOLÓGICO'!$A$2:$A$4919,0)+$E1074-1)</f>
        <v/>
      </c>
      <c r="I1074" s="5">
        <f>IFERROR(SUMIFS('DETALLE CRONOLÓGICO'!$L$2:$L$4919,'DETALLE CRONOLÓGICO'!$A$2:$A$4919,$A1074)/$F1074,"")</f>
        <v/>
      </c>
      <c r="J1074" s="6">
        <f>IFERROR(SUMIFS('DETALLE CRONOLÓGICO'!$K$2:$K$4919,'DETALLE CRONOLÓGICO'!$A$2:$A$4919,$A1074)/$E1074,"")</f>
        <v/>
      </c>
      <c r="K1074" s="6">
        <f>_xlfn.MINIFS('DETALLE CRONOLÓGICO'!$K$2:$K$4919,'DETALLE CRONOLÓGICO'!$A$2:$A$4919,$A1074)</f>
        <v/>
      </c>
      <c r="L1074" s="6">
        <f>_xlfn.MAXIFS('DETALLE CRONOLÓGICO'!$K$2:$K$4919,'DETALLE CRONOLÓGICO'!$A$2:$A$4919,$A1074)</f>
        <v/>
      </c>
      <c r="M1074" s="6">
        <f>INDEX('DETALLE CRONOLÓGICO'!$K$2:$K$4919,MATCH($A1074,'DETALLE CRONOLÓGICO'!$A$2:$A$4919,0)+$E1074-1)</f>
        <v/>
      </c>
      <c r="N1074" s="7">
        <f>IFERROR($M1074/INDEX('DETALLE CRONOLÓGICO'!$K$2:$K$4919,MATCH($A1074,'DETALLE CRONOLÓGICO'!$A$2:$A$4919,0))-1,"")</f>
        <v/>
      </c>
      <c r="O1074" s="6">
        <f>IFERROR($I1074*3,"")</f>
        <v/>
      </c>
      <c r="P1074" s="6">
        <f>IFERROR($I1074*3.5,"")</f>
        <v/>
      </c>
      <c r="Q1074" s="6">
        <f>IFERROR($I1074*4,"")</f>
        <v/>
      </c>
      <c r="R1074" s="6" t="n">
        <v>750</v>
      </c>
      <c r="S1074" s="4" t="n">
        <v>3</v>
      </c>
      <c r="T1074" s="1" t="inlineStr">
        <is>
          <t>active</t>
        </is>
      </c>
      <c r="U1074" s="8" t="n"/>
      <c r="V1074" s="1" t="inlineStr">
        <is>
          <t>SIN PRECIO</t>
        </is>
      </c>
    </row>
    <row r="1075">
      <c r="A1075" s="1" t="inlineStr">
        <is>
          <t>63264441047757</t>
        </is>
      </c>
      <c r="B1075" s="1" t="inlineStr">
        <is>
          <t>COLLAR CD GOLD CON PERLAS</t>
        </is>
      </c>
      <c r="C1075" s="1" t="inlineStr">
        <is>
          <t>Default Title</t>
        </is>
      </c>
      <c r="D1075" s="1" t="inlineStr">
        <is>
          <t>ZOEY</t>
        </is>
      </c>
      <c r="E1075" s="4">
        <f>COUNTIF('DETALLE CRONOLÓGICO'!$A$2:$A$4919,$A1075)</f>
        <v/>
      </c>
      <c r="F1075" s="4">
        <f>SUMIFS('DETALLE CRONOLÓGICO'!$I$2:$I$4919,'DETALLE CRONOLÓGICO'!$A$2:$A$4919,$A1075)</f>
        <v/>
      </c>
      <c r="G1075" s="1">
        <f>INDEX('DETALLE CRONOLÓGICO'!$D$2:$D$4919,MATCH($A1075,'DETALLE CRONOLÓGICO'!$A$2:$A$4919,0))</f>
        <v/>
      </c>
      <c r="H1075" s="1">
        <f>INDEX('DETALLE CRONOLÓGICO'!$D$2:$D$4919,MATCH($A1075,'DETALLE CRONOLÓGICO'!$A$2:$A$4919,0)+$E1075-1)</f>
        <v/>
      </c>
      <c r="I1075" s="5">
        <f>IFERROR(SUMIFS('DETALLE CRONOLÓGICO'!$L$2:$L$4919,'DETALLE CRONOLÓGICO'!$A$2:$A$4919,$A1075)/$F1075,"")</f>
        <v/>
      </c>
      <c r="J1075" s="6">
        <f>IFERROR(SUMIFS('DETALLE CRONOLÓGICO'!$K$2:$K$4919,'DETALLE CRONOLÓGICO'!$A$2:$A$4919,$A1075)/$E1075,"")</f>
        <v/>
      </c>
      <c r="K1075" s="6">
        <f>_xlfn.MINIFS('DETALLE CRONOLÓGICO'!$K$2:$K$4919,'DETALLE CRONOLÓGICO'!$A$2:$A$4919,$A1075)</f>
        <v/>
      </c>
      <c r="L1075" s="6">
        <f>_xlfn.MAXIFS('DETALLE CRONOLÓGICO'!$K$2:$K$4919,'DETALLE CRONOLÓGICO'!$A$2:$A$4919,$A1075)</f>
        <v/>
      </c>
      <c r="M1075" s="6">
        <f>INDEX('DETALLE CRONOLÓGICO'!$K$2:$K$4919,MATCH($A1075,'DETALLE CRONOLÓGICO'!$A$2:$A$4919,0)+$E1075-1)</f>
        <v/>
      </c>
      <c r="N1075" s="7">
        <f>IFERROR($M1075/INDEX('DETALLE CRONOLÓGICO'!$K$2:$K$4919,MATCH($A1075,'DETALLE CRONOLÓGICO'!$A$2:$A$4919,0))-1,"")</f>
        <v/>
      </c>
      <c r="O1075" s="6">
        <f>IFERROR($I1075*3,"")</f>
        <v/>
      </c>
      <c r="P1075" s="6">
        <f>IFERROR($I1075*3.5,"")</f>
        <v/>
      </c>
      <c r="Q1075" s="6">
        <f>IFERROR($I1075*4,"")</f>
        <v/>
      </c>
      <c r="R1075" s="6" t="n">
        <v>959</v>
      </c>
      <c r="S1075" s="4" t="n">
        <v>4</v>
      </c>
      <c r="T1075" s="1" t="inlineStr">
        <is>
          <t>active</t>
        </is>
      </c>
      <c r="U1075" s="8" t="n"/>
      <c r="V1075" s="1" t="inlineStr">
        <is>
          <t>SIN PRECIO</t>
        </is>
      </c>
    </row>
    <row r="1076">
      <c r="A1076" s="1" t="inlineStr">
        <is>
          <t>63529311036333</t>
        </is>
      </c>
      <c r="B1076" s="1" t="inlineStr">
        <is>
          <t>ARETES T-SMILE GOLD CON ZIRCONIAS</t>
        </is>
      </c>
      <c r="C1076" s="1" t="inlineStr">
        <is>
          <t>Default Title</t>
        </is>
      </c>
      <c r="D1076" s="1" t="inlineStr">
        <is>
          <t>CYNTHIA</t>
        </is>
      </c>
      <c r="E1076" s="4">
        <f>COUNTIF('DETALLE CRONOLÓGICO'!$A$2:$A$4919,$A1076)</f>
        <v/>
      </c>
      <c r="F1076" s="4">
        <f>SUMIFS('DETALLE CRONOLÓGICO'!$I$2:$I$4919,'DETALLE CRONOLÓGICO'!$A$2:$A$4919,$A1076)</f>
        <v/>
      </c>
      <c r="G1076" s="1">
        <f>INDEX('DETALLE CRONOLÓGICO'!$D$2:$D$4919,MATCH($A1076,'DETALLE CRONOLÓGICO'!$A$2:$A$4919,0))</f>
        <v/>
      </c>
      <c r="H1076" s="1">
        <f>INDEX('DETALLE CRONOLÓGICO'!$D$2:$D$4919,MATCH($A1076,'DETALLE CRONOLÓGICO'!$A$2:$A$4919,0)+$E1076-1)</f>
        <v/>
      </c>
      <c r="I1076" s="5">
        <f>IFERROR(SUMIFS('DETALLE CRONOLÓGICO'!$L$2:$L$4919,'DETALLE CRONOLÓGICO'!$A$2:$A$4919,$A1076)/$F1076,"")</f>
        <v/>
      </c>
      <c r="J1076" s="6">
        <f>IFERROR(SUMIFS('DETALLE CRONOLÓGICO'!$K$2:$K$4919,'DETALLE CRONOLÓGICO'!$A$2:$A$4919,$A1076)/$E1076,"")</f>
        <v/>
      </c>
      <c r="K1076" s="6">
        <f>_xlfn.MINIFS('DETALLE CRONOLÓGICO'!$K$2:$K$4919,'DETALLE CRONOLÓGICO'!$A$2:$A$4919,$A1076)</f>
        <v/>
      </c>
      <c r="L1076" s="6">
        <f>_xlfn.MAXIFS('DETALLE CRONOLÓGICO'!$K$2:$K$4919,'DETALLE CRONOLÓGICO'!$A$2:$A$4919,$A1076)</f>
        <v/>
      </c>
      <c r="M1076" s="6">
        <f>INDEX('DETALLE CRONOLÓGICO'!$K$2:$K$4919,MATCH($A1076,'DETALLE CRONOLÓGICO'!$A$2:$A$4919,0)+$E1076-1)</f>
        <v/>
      </c>
      <c r="N1076" s="7">
        <f>IFERROR($M1076/INDEX('DETALLE CRONOLÓGICO'!$K$2:$K$4919,MATCH($A1076,'DETALLE CRONOLÓGICO'!$A$2:$A$4919,0))-1,"")</f>
        <v/>
      </c>
      <c r="O1076" s="6">
        <f>IFERROR($I1076*3,"")</f>
        <v/>
      </c>
      <c r="P1076" s="6">
        <f>IFERROR($I1076*3.5,"")</f>
        <v/>
      </c>
      <c r="Q1076" s="6">
        <f>IFERROR($I1076*4,"")</f>
        <v/>
      </c>
      <c r="R1076" s="6" t="n">
        <v>739</v>
      </c>
      <c r="S1076" s="4" t="n">
        <v>0</v>
      </c>
      <c r="T1076" s="1" t="inlineStr">
        <is>
          <t>active</t>
        </is>
      </c>
      <c r="U1076" s="8" t="n"/>
      <c r="V1076" s="1" t="inlineStr">
        <is>
          <t>SIN PRECIO</t>
        </is>
      </c>
    </row>
    <row r="1077">
      <c r="A1077" s="1" t="inlineStr">
        <is>
          <t>63666799441676</t>
        </is>
      </c>
      <c r="B1077" s="1" t="inlineStr">
        <is>
          <t>BOLSO C TOTE</t>
        </is>
      </c>
      <c r="C1077" s="1" t="inlineStr">
        <is>
          <t>20cm de largo x 21 cm de alto x 11cm de ancho</t>
        </is>
      </c>
      <c r="D1077" s="1" t="inlineStr">
        <is>
          <t>ZOEY</t>
        </is>
      </c>
      <c r="E1077" s="4">
        <f>COUNTIF('DETALLE CRONOLÓGICO'!$A$2:$A$4919,$A1077)</f>
        <v/>
      </c>
      <c r="F1077" s="4">
        <f>SUMIFS('DETALLE CRONOLÓGICO'!$I$2:$I$4919,'DETALLE CRONOLÓGICO'!$A$2:$A$4919,$A1077)</f>
        <v/>
      </c>
      <c r="G1077" s="1">
        <f>INDEX('DETALLE CRONOLÓGICO'!$D$2:$D$4919,MATCH($A1077,'DETALLE CRONOLÓGICO'!$A$2:$A$4919,0))</f>
        <v/>
      </c>
      <c r="H1077" s="1">
        <f>INDEX('DETALLE CRONOLÓGICO'!$D$2:$D$4919,MATCH($A1077,'DETALLE CRONOLÓGICO'!$A$2:$A$4919,0)+$E1077-1)</f>
        <v/>
      </c>
      <c r="I1077" s="5">
        <f>IFERROR(SUMIFS('DETALLE CRONOLÓGICO'!$L$2:$L$4919,'DETALLE CRONOLÓGICO'!$A$2:$A$4919,$A1077)/$F1077,"")</f>
        <v/>
      </c>
      <c r="J1077" s="6">
        <f>IFERROR(SUMIFS('DETALLE CRONOLÓGICO'!$K$2:$K$4919,'DETALLE CRONOLÓGICO'!$A$2:$A$4919,$A1077)/$E1077,"")</f>
        <v/>
      </c>
      <c r="K1077" s="6">
        <f>_xlfn.MINIFS('DETALLE CRONOLÓGICO'!$K$2:$K$4919,'DETALLE CRONOLÓGICO'!$A$2:$A$4919,$A1077)</f>
        <v/>
      </c>
      <c r="L1077" s="6">
        <f>_xlfn.MAXIFS('DETALLE CRONOLÓGICO'!$K$2:$K$4919,'DETALLE CRONOLÓGICO'!$A$2:$A$4919,$A1077)</f>
        <v/>
      </c>
      <c r="M1077" s="6">
        <f>INDEX('DETALLE CRONOLÓGICO'!$K$2:$K$4919,MATCH($A1077,'DETALLE CRONOLÓGICO'!$A$2:$A$4919,0)+$E1077-1)</f>
        <v/>
      </c>
      <c r="N1077" s="7">
        <f>IFERROR($M1077/INDEX('DETALLE CRONOLÓGICO'!$K$2:$K$4919,MATCH($A1077,'DETALLE CRONOLÓGICO'!$A$2:$A$4919,0))-1,"")</f>
        <v/>
      </c>
      <c r="O1077" s="6">
        <f>IFERROR($I1077*3,"")</f>
        <v/>
      </c>
      <c r="P1077" s="6">
        <f>IFERROR($I1077*3.5,"")</f>
        <v/>
      </c>
      <c r="Q1077" s="6">
        <f>IFERROR($I1077*4,"")</f>
        <v/>
      </c>
      <c r="R1077" s="6" t="n">
        <v>6621.8</v>
      </c>
      <c r="S1077" s="4" t="n">
        <v>0</v>
      </c>
      <c r="T1077" s="1" t="inlineStr">
        <is>
          <t>active</t>
        </is>
      </c>
      <c r="U1077" s="8" t="n"/>
      <c r="V1077" s="1" t="inlineStr">
        <is>
          <t>SIN PRECIO</t>
        </is>
      </c>
    </row>
    <row r="1078">
      <c r="A1078" s="1" t="inlineStr">
        <is>
          <t>63794531345773</t>
        </is>
      </c>
      <c r="B1078" s="1" t="inlineStr">
        <is>
          <t>LENTES CD SIGNATURE B8U</t>
        </is>
      </c>
      <c r="C1078" s="1" t="n"/>
      <c r="D1078" s="1" t="inlineStr">
        <is>
          <t>ZOEY</t>
        </is>
      </c>
      <c r="E1078" s="4">
        <f>COUNTIF('DETALLE CRONOLÓGICO'!$A$2:$A$4919,$A1078)</f>
        <v/>
      </c>
      <c r="F1078" s="4">
        <f>SUMIFS('DETALLE CRONOLÓGICO'!$I$2:$I$4919,'DETALLE CRONOLÓGICO'!$A$2:$A$4919,$A1078)</f>
        <v/>
      </c>
      <c r="G1078" s="1">
        <f>INDEX('DETALLE CRONOLÓGICO'!$D$2:$D$4919,MATCH($A1078,'DETALLE CRONOLÓGICO'!$A$2:$A$4919,0))</f>
        <v/>
      </c>
      <c r="H1078" s="1">
        <f>INDEX('DETALLE CRONOLÓGICO'!$D$2:$D$4919,MATCH($A1078,'DETALLE CRONOLÓGICO'!$A$2:$A$4919,0)+$E1078-1)</f>
        <v/>
      </c>
      <c r="I1078" s="5">
        <f>IFERROR(SUMIFS('DETALLE CRONOLÓGICO'!$L$2:$L$4919,'DETALLE CRONOLÓGICO'!$A$2:$A$4919,$A1078)/$F1078,"")</f>
        <v/>
      </c>
      <c r="J1078" s="6">
        <f>IFERROR(SUMIFS('DETALLE CRONOLÓGICO'!$K$2:$K$4919,'DETALLE CRONOLÓGICO'!$A$2:$A$4919,$A1078)/$E1078,"")</f>
        <v/>
      </c>
      <c r="K1078" s="6">
        <f>_xlfn.MINIFS('DETALLE CRONOLÓGICO'!$K$2:$K$4919,'DETALLE CRONOLÓGICO'!$A$2:$A$4919,$A1078)</f>
        <v/>
      </c>
      <c r="L1078" s="6">
        <f>_xlfn.MAXIFS('DETALLE CRONOLÓGICO'!$K$2:$K$4919,'DETALLE CRONOLÓGICO'!$A$2:$A$4919,$A1078)</f>
        <v/>
      </c>
      <c r="M1078" s="6">
        <f>INDEX('DETALLE CRONOLÓGICO'!$K$2:$K$4919,MATCH($A1078,'DETALLE CRONOLÓGICO'!$A$2:$A$4919,0)+$E1078-1)</f>
        <v/>
      </c>
      <c r="N1078" s="7">
        <f>IFERROR($M1078/INDEX('DETALLE CRONOLÓGICO'!$K$2:$K$4919,MATCH($A1078,'DETALLE CRONOLÓGICO'!$A$2:$A$4919,0))-1,"")</f>
        <v/>
      </c>
      <c r="O1078" s="6">
        <f>IFERROR($I1078*3,"")</f>
        <v/>
      </c>
      <c r="P1078" s="6">
        <f>IFERROR($I1078*3.5,"")</f>
        <v/>
      </c>
      <c r="Q1078" s="6">
        <f>IFERROR($I1078*4,"")</f>
        <v/>
      </c>
      <c r="R1078" s="6" t="n">
        <v>2187</v>
      </c>
      <c r="S1078" s="4" t="n">
        <v>1</v>
      </c>
      <c r="T1078" s="1" t="inlineStr">
        <is>
          <t>active</t>
        </is>
      </c>
      <c r="U1078" s="8" t="n"/>
      <c r="V1078" s="1" t="inlineStr">
        <is>
          <t>SIN PRECIO</t>
        </is>
      </c>
    </row>
    <row r="1079">
      <c r="A1079" s="1" t="inlineStr">
        <is>
          <t>63e0b1e29450b</t>
        </is>
      </c>
      <c r="B1079" s="1" t="inlineStr">
        <is>
          <t>ANILLO BV ROSE GOLD</t>
        </is>
      </c>
      <c r="C1079" s="1" t="inlineStr">
        <is>
          <t>5</t>
        </is>
      </c>
      <c r="D1079" s="1" t="inlineStr">
        <is>
          <t>COCOMA</t>
        </is>
      </c>
      <c r="E1079" s="4">
        <f>COUNTIF('DETALLE CRONOLÓGICO'!$A$2:$A$4919,$A1079)</f>
        <v/>
      </c>
      <c r="F1079" s="4">
        <f>SUMIFS('DETALLE CRONOLÓGICO'!$I$2:$I$4919,'DETALLE CRONOLÓGICO'!$A$2:$A$4919,$A1079)</f>
        <v/>
      </c>
      <c r="G1079" s="1">
        <f>INDEX('DETALLE CRONOLÓGICO'!$D$2:$D$4919,MATCH($A1079,'DETALLE CRONOLÓGICO'!$A$2:$A$4919,0))</f>
        <v/>
      </c>
      <c r="H1079" s="1">
        <f>INDEX('DETALLE CRONOLÓGICO'!$D$2:$D$4919,MATCH($A1079,'DETALLE CRONOLÓGICO'!$A$2:$A$4919,0)+$E1079-1)</f>
        <v/>
      </c>
      <c r="I1079" s="5">
        <f>IFERROR(SUMIFS('DETALLE CRONOLÓGICO'!$L$2:$L$4919,'DETALLE CRONOLÓGICO'!$A$2:$A$4919,$A1079)/$F1079,"")</f>
        <v/>
      </c>
      <c r="J1079" s="6">
        <f>IFERROR(SUMIFS('DETALLE CRONOLÓGICO'!$K$2:$K$4919,'DETALLE CRONOLÓGICO'!$A$2:$A$4919,$A1079)/$E1079,"")</f>
        <v/>
      </c>
      <c r="K1079" s="6">
        <f>_xlfn.MINIFS('DETALLE CRONOLÓGICO'!$K$2:$K$4919,'DETALLE CRONOLÓGICO'!$A$2:$A$4919,$A1079)</f>
        <v/>
      </c>
      <c r="L1079" s="6">
        <f>_xlfn.MAXIFS('DETALLE CRONOLÓGICO'!$K$2:$K$4919,'DETALLE CRONOLÓGICO'!$A$2:$A$4919,$A1079)</f>
        <v/>
      </c>
      <c r="M1079" s="6">
        <f>INDEX('DETALLE CRONOLÓGICO'!$K$2:$K$4919,MATCH($A1079,'DETALLE CRONOLÓGICO'!$A$2:$A$4919,0)+$E1079-1)</f>
        <v/>
      </c>
      <c r="N1079" s="7">
        <f>IFERROR($M1079/INDEX('DETALLE CRONOLÓGICO'!$K$2:$K$4919,MATCH($A1079,'DETALLE CRONOLÓGICO'!$A$2:$A$4919,0))-1,"")</f>
        <v/>
      </c>
      <c r="O1079" s="6">
        <f>IFERROR($I1079*3,"")</f>
        <v/>
      </c>
      <c r="P1079" s="6">
        <f>IFERROR($I1079*3.5,"")</f>
        <v/>
      </c>
      <c r="Q1079" s="6">
        <f>IFERROR($I1079*4,"")</f>
        <v/>
      </c>
      <c r="R1079" s="6" t="n">
        <v>620</v>
      </c>
      <c r="S1079" s="4" t="n">
        <v>1</v>
      </c>
      <c r="T1079" s="1" t="inlineStr">
        <is>
          <t>active</t>
        </is>
      </c>
      <c r="U1079" s="8" t="n"/>
      <c r="V1079" s="1" t="inlineStr">
        <is>
          <t>SIN PRECIO</t>
        </is>
      </c>
    </row>
    <row r="1080">
      <c r="A1080" s="1" t="inlineStr">
        <is>
          <t>63e0b1e2d5f1e</t>
        </is>
      </c>
      <c r="B1080" s="1" t="inlineStr">
        <is>
          <t>ANILLO BV ROSE GOLD DELGADO</t>
        </is>
      </c>
      <c r="C1080" s="1" t="inlineStr">
        <is>
          <t>5</t>
        </is>
      </c>
      <c r="D1080" s="1" t="inlineStr">
        <is>
          <t>COCOMA</t>
        </is>
      </c>
      <c r="E1080" s="4">
        <f>COUNTIF('DETALLE CRONOLÓGICO'!$A$2:$A$4919,$A1080)</f>
        <v/>
      </c>
      <c r="F1080" s="4">
        <f>SUMIFS('DETALLE CRONOLÓGICO'!$I$2:$I$4919,'DETALLE CRONOLÓGICO'!$A$2:$A$4919,$A1080)</f>
        <v/>
      </c>
      <c r="G1080" s="1">
        <f>INDEX('DETALLE CRONOLÓGICO'!$D$2:$D$4919,MATCH($A1080,'DETALLE CRONOLÓGICO'!$A$2:$A$4919,0))</f>
        <v/>
      </c>
      <c r="H1080" s="1">
        <f>INDEX('DETALLE CRONOLÓGICO'!$D$2:$D$4919,MATCH($A1080,'DETALLE CRONOLÓGICO'!$A$2:$A$4919,0)+$E1080-1)</f>
        <v/>
      </c>
      <c r="I1080" s="5">
        <f>IFERROR(SUMIFS('DETALLE CRONOLÓGICO'!$L$2:$L$4919,'DETALLE CRONOLÓGICO'!$A$2:$A$4919,$A1080)/$F1080,"")</f>
        <v/>
      </c>
      <c r="J1080" s="6">
        <f>IFERROR(SUMIFS('DETALLE CRONOLÓGICO'!$K$2:$K$4919,'DETALLE CRONOLÓGICO'!$A$2:$A$4919,$A1080)/$E1080,"")</f>
        <v/>
      </c>
      <c r="K1080" s="6">
        <f>_xlfn.MINIFS('DETALLE CRONOLÓGICO'!$K$2:$K$4919,'DETALLE CRONOLÓGICO'!$A$2:$A$4919,$A1080)</f>
        <v/>
      </c>
      <c r="L1080" s="6">
        <f>_xlfn.MAXIFS('DETALLE CRONOLÓGICO'!$K$2:$K$4919,'DETALLE CRONOLÓGICO'!$A$2:$A$4919,$A1080)</f>
        <v/>
      </c>
      <c r="M1080" s="6">
        <f>INDEX('DETALLE CRONOLÓGICO'!$K$2:$K$4919,MATCH($A1080,'DETALLE CRONOLÓGICO'!$A$2:$A$4919,0)+$E1080-1)</f>
        <v/>
      </c>
      <c r="N1080" s="7">
        <f>IFERROR($M1080/INDEX('DETALLE CRONOLÓGICO'!$K$2:$K$4919,MATCH($A1080,'DETALLE CRONOLÓGICO'!$A$2:$A$4919,0))-1,"")</f>
        <v/>
      </c>
      <c r="O1080" s="6">
        <f>IFERROR($I1080*3,"")</f>
        <v/>
      </c>
      <c r="P1080" s="6">
        <f>IFERROR($I1080*3.5,"")</f>
        <v/>
      </c>
      <c r="Q1080" s="6">
        <f>IFERROR($I1080*4,"")</f>
        <v/>
      </c>
      <c r="R1080" s="6" t="n">
        <v>450</v>
      </c>
      <c r="S1080" s="4" t="n">
        <v>0</v>
      </c>
      <c r="T1080" s="1" t="inlineStr">
        <is>
          <t>active</t>
        </is>
      </c>
      <c r="U1080" s="8" t="n"/>
      <c r="V1080" s="1" t="inlineStr">
        <is>
          <t>SIN PRECIO</t>
        </is>
      </c>
    </row>
    <row r="1081">
      <c r="A1081" s="1" t="inlineStr">
        <is>
          <t>63e0b1e3636a9</t>
        </is>
      </c>
      <c r="B1081" s="1" t="inlineStr">
        <is>
          <t>ANILLO BV GOLD DELGADO</t>
        </is>
      </c>
      <c r="C1081" s="1" t="inlineStr">
        <is>
          <t>6</t>
        </is>
      </c>
      <c r="D1081" s="1" t="inlineStr">
        <is>
          <t>COCOMA</t>
        </is>
      </c>
      <c r="E1081" s="4">
        <f>COUNTIF('DETALLE CRONOLÓGICO'!$A$2:$A$4919,$A1081)</f>
        <v/>
      </c>
      <c r="F1081" s="4">
        <f>SUMIFS('DETALLE CRONOLÓGICO'!$I$2:$I$4919,'DETALLE CRONOLÓGICO'!$A$2:$A$4919,$A1081)</f>
        <v/>
      </c>
      <c r="G1081" s="1">
        <f>INDEX('DETALLE CRONOLÓGICO'!$D$2:$D$4919,MATCH($A1081,'DETALLE CRONOLÓGICO'!$A$2:$A$4919,0))</f>
        <v/>
      </c>
      <c r="H1081" s="1">
        <f>INDEX('DETALLE CRONOLÓGICO'!$D$2:$D$4919,MATCH($A1081,'DETALLE CRONOLÓGICO'!$A$2:$A$4919,0)+$E1081-1)</f>
        <v/>
      </c>
      <c r="I1081" s="5">
        <f>IFERROR(SUMIFS('DETALLE CRONOLÓGICO'!$L$2:$L$4919,'DETALLE CRONOLÓGICO'!$A$2:$A$4919,$A1081)/$F1081,"")</f>
        <v/>
      </c>
      <c r="J1081" s="6">
        <f>IFERROR(SUMIFS('DETALLE CRONOLÓGICO'!$K$2:$K$4919,'DETALLE CRONOLÓGICO'!$A$2:$A$4919,$A1081)/$E1081,"")</f>
        <v/>
      </c>
      <c r="K1081" s="6">
        <f>_xlfn.MINIFS('DETALLE CRONOLÓGICO'!$K$2:$K$4919,'DETALLE CRONOLÓGICO'!$A$2:$A$4919,$A1081)</f>
        <v/>
      </c>
      <c r="L1081" s="6">
        <f>_xlfn.MAXIFS('DETALLE CRONOLÓGICO'!$K$2:$K$4919,'DETALLE CRONOLÓGICO'!$A$2:$A$4919,$A1081)</f>
        <v/>
      </c>
      <c r="M1081" s="6">
        <f>INDEX('DETALLE CRONOLÓGICO'!$K$2:$K$4919,MATCH($A1081,'DETALLE CRONOLÓGICO'!$A$2:$A$4919,0)+$E1081-1)</f>
        <v/>
      </c>
      <c r="N1081" s="7">
        <f>IFERROR($M1081/INDEX('DETALLE CRONOLÓGICO'!$K$2:$K$4919,MATCH($A1081,'DETALLE CRONOLÓGICO'!$A$2:$A$4919,0))-1,"")</f>
        <v/>
      </c>
      <c r="O1081" s="6">
        <f>IFERROR($I1081*3,"")</f>
        <v/>
      </c>
      <c r="P1081" s="6">
        <f>IFERROR($I1081*3.5,"")</f>
        <v/>
      </c>
      <c r="Q1081" s="6">
        <f>IFERROR($I1081*4,"")</f>
        <v/>
      </c>
      <c r="R1081" s="6" t="n">
        <v>678</v>
      </c>
      <c r="S1081" s="4" t="n">
        <v>0</v>
      </c>
      <c r="T1081" s="1" t="inlineStr">
        <is>
          <t>active</t>
        </is>
      </c>
      <c r="U1081" s="8" t="n"/>
      <c r="V1081" s="1" t="inlineStr">
        <is>
          <t>SIN PRECIO</t>
        </is>
      </c>
    </row>
    <row r="1082">
      <c r="A1082" s="1" t="inlineStr">
        <is>
          <t>63e0b1e36f7c6</t>
        </is>
      </c>
      <c r="B1082" s="1" t="inlineStr">
        <is>
          <t>ANILLO BV ROSE GOLD</t>
        </is>
      </c>
      <c r="C1082" s="1" t="inlineStr">
        <is>
          <t>6</t>
        </is>
      </c>
      <c r="D1082" s="1" t="inlineStr">
        <is>
          <t>COCOMA</t>
        </is>
      </c>
      <c r="E1082" s="4">
        <f>COUNTIF('DETALLE CRONOLÓGICO'!$A$2:$A$4919,$A1082)</f>
        <v/>
      </c>
      <c r="F1082" s="4">
        <f>SUMIFS('DETALLE CRONOLÓGICO'!$I$2:$I$4919,'DETALLE CRONOLÓGICO'!$A$2:$A$4919,$A1082)</f>
        <v/>
      </c>
      <c r="G1082" s="1">
        <f>INDEX('DETALLE CRONOLÓGICO'!$D$2:$D$4919,MATCH($A1082,'DETALLE CRONOLÓGICO'!$A$2:$A$4919,0))</f>
        <v/>
      </c>
      <c r="H1082" s="1">
        <f>INDEX('DETALLE CRONOLÓGICO'!$D$2:$D$4919,MATCH($A1082,'DETALLE CRONOLÓGICO'!$A$2:$A$4919,0)+$E1082-1)</f>
        <v/>
      </c>
      <c r="I1082" s="5">
        <f>IFERROR(SUMIFS('DETALLE CRONOLÓGICO'!$L$2:$L$4919,'DETALLE CRONOLÓGICO'!$A$2:$A$4919,$A1082)/$F1082,"")</f>
        <v/>
      </c>
      <c r="J1082" s="6">
        <f>IFERROR(SUMIFS('DETALLE CRONOLÓGICO'!$K$2:$K$4919,'DETALLE CRONOLÓGICO'!$A$2:$A$4919,$A1082)/$E1082,"")</f>
        <v/>
      </c>
      <c r="K1082" s="6">
        <f>_xlfn.MINIFS('DETALLE CRONOLÓGICO'!$K$2:$K$4919,'DETALLE CRONOLÓGICO'!$A$2:$A$4919,$A1082)</f>
        <v/>
      </c>
      <c r="L1082" s="6">
        <f>_xlfn.MAXIFS('DETALLE CRONOLÓGICO'!$K$2:$K$4919,'DETALLE CRONOLÓGICO'!$A$2:$A$4919,$A1082)</f>
        <v/>
      </c>
      <c r="M1082" s="6">
        <f>INDEX('DETALLE CRONOLÓGICO'!$K$2:$K$4919,MATCH($A1082,'DETALLE CRONOLÓGICO'!$A$2:$A$4919,0)+$E1082-1)</f>
        <v/>
      </c>
      <c r="N1082" s="7">
        <f>IFERROR($M1082/INDEX('DETALLE CRONOLÓGICO'!$K$2:$K$4919,MATCH($A1082,'DETALLE CRONOLÓGICO'!$A$2:$A$4919,0))-1,"")</f>
        <v/>
      </c>
      <c r="O1082" s="6">
        <f>IFERROR($I1082*3,"")</f>
        <v/>
      </c>
      <c r="P1082" s="6">
        <f>IFERROR($I1082*3.5,"")</f>
        <v/>
      </c>
      <c r="Q1082" s="6">
        <f>IFERROR($I1082*4,"")</f>
        <v/>
      </c>
      <c r="R1082" s="6" t="n">
        <v>310</v>
      </c>
      <c r="S1082" s="4" t="n">
        <v>0</v>
      </c>
      <c r="T1082" s="1" t="inlineStr">
        <is>
          <t>active</t>
        </is>
      </c>
      <c r="U1082" s="8" t="n"/>
      <c r="V1082" s="1" t="inlineStr">
        <is>
          <t>SIN PRECIO</t>
        </is>
      </c>
    </row>
    <row r="1083">
      <c r="A1083" s="1" t="inlineStr">
        <is>
          <t>63e0b1e3b4fa0</t>
        </is>
      </c>
      <c r="B1083" s="1" t="inlineStr">
        <is>
          <t>ANILLO BV ROSE GOLD DELGADO</t>
        </is>
      </c>
      <c r="C1083" s="1" t="inlineStr">
        <is>
          <t>6</t>
        </is>
      </c>
      <c r="D1083" s="1" t="inlineStr">
        <is>
          <t>COCOMA</t>
        </is>
      </c>
      <c r="E1083" s="4">
        <f>COUNTIF('DETALLE CRONOLÓGICO'!$A$2:$A$4919,$A1083)</f>
        <v/>
      </c>
      <c r="F1083" s="4">
        <f>SUMIFS('DETALLE CRONOLÓGICO'!$I$2:$I$4919,'DETALLE CRONOLÓGICO'!$A$2:$A$4919,$A1083)</f>
        <v/>
      </c>
      <c r="G1083" s="1">
        <f>INDEX('DETALLE CRONOLÓGICO'!$D$2:$D$4919,MATCH($A1083,'DETALLE CRONOLÓGICO'!$A$2:$A$4919,0))</f>
        <v/>
      </c>
      <c r="H1083" s="1">
        <f>INDEX('DETALLE CRONOLÓGICO'!$D$2:$D$4919,MATCH($A1083,'DETALLE CRONOLÓGICO'!$A$2:$A$4919,0)+$E1083-1)</f>
        <v/>
      </c>
      <c r="I1083" s="5">
        <f>IFERROR(SUMIFS('DETALLE CRONOLÓGICO'!$L$2:$L$4919,'DETALLE CRONOLÓGICO'!$A$2:$A$4919,$A1083)/$F1083,"")</f>
        <v/>
      </c>
      <c r="J1083" s="6">
        <f>IFERROR(SUMIFS('DETALLE CRONOLÓGICO'!$K$2:$K$4919,'DETALLE CRONOLÓGICO'!$A$2:$A$4919,$A1083)/$E1083,"")</f>
        <v/>
      </c>
      <c r="K1083" s="6">
        <f>_xlfn.MINIFS('DETALLE CRONOLÓGICO'!$K$2:$K$4919,'DETALLE CRONOLÓGICO'!$A$2:$A$4919,$A1083)</f>
        <v/>
      </c>
      <c r="L1083" s="6">
        <f>_xlfn.MAXIFS('DETALLE CRONOLÓGICO'!$K$2:$K$4919,'DETALLE CRONOLÓGICO'!$A$2:$A$4919,$A1083)</f>
        <v/>
      </c>
      <c r="M1083" s="6">
        <f>INDEX('DETALLE CRONOLÓGICO'!$K$2:$K$4919,MATCH($A1083,'DETALLE CRONOLÓGICO'!$A$2:$A$4919,0)+$E1083-1)</f>
        <v/>
      </c>
      <c r="N1083" s="7">
        <f>IFERROR($M1083/INDEX('DETALLE CRONOLÓGICO'!$K$2:$K$4919,MATCH($A1083,'DETALLE CRONOLÓGICO'!$A$2:$A$4919,0))-1,"")</f>
        <v/>
      </c>
      <c r="O1083" s="6">
        <f>IFERROR($I1083*3,"")</f>
        <v/>
      </c>
      <c r="P1083" s="6">
        <f>IFERROR($I1083*3.5,"")</f>
        <v/>
      </c>
      <c r="Q1083" s="6">
        <f>IFERROR($I1083*4,"")</f>
        <v/>
      </c>
      <c r="R1083" s="6" t="n">
        <v>678</v>
      </c>
      <c r="S1083" s="4" t="n">
        <v>0</v>
      </c>
      <c r="T1083" s="1" t="inlineStr">
        <is>
          <t>active</t>
        </is>
      </c>
      <c r="U1083" s="8" t="n"/>
      <c r="V1083" s="1" t="inlineStr">
        <is>
          <t>SIN PRECIO</t>
        </is>
      </c>
    </row>
    <row r="1084">
      <c r="A1084" s="1" t="inlineStr">
        <is>
          <t>63e0b1e44c6d7</t>
        </is>
      </c>
      <c r="B1084" s="1" t="inlineStr">
        <is>
          <t>ANILLO BV ROSE GOLD</t>
        </is>
      </c>
      <c r="C1084" s="1" t="inlineStr">
        <is>
          <t>7</t>
        </is>
      </c>
      <c r="D1084" s="1" t="inlineStr">
        <is>
          <t>COCOMA</t>
        </is>
      </c>
      <c r="E1084" s="4">
        <f>COUNTIF('DETALLE CRONOLÓGICO'!$A$2:$A$4919,$A1084)</f>
        <v/>
      </c>
      <c r="F1084" s="4">
        <f>SUMIFS('DETALLE CRONOLÓGICO'!$I$2:$I$4919,'DETALLE CRONOLÓGICO'!$A$2:$A$4919,$A1084)</f>
        <v/>
      </c>
      <c r="G1084" s="1">
        <f>INDEX('DETALLE CRONOLÓGICO'!$D$2:$D$4919,MATCH($A1084,'DETALLE CRONOLÓGICO'!$A$2:$A$4919,0))</f>
        <v/>
      </c>
      <c r="H1084" s="1">
        <f>INDEX('DETALLE CRONOLÓGICO'!$D$2:$D$4919,MATCH($A1084,'DETALLE CRONOLÓGICO'!$A$2:$A$4919,0)+$E1084-1)</f>
        <v/>
      </c>
      <c r="I1084" s="5">
        <f>IFERROR(SUMIFS('DETALLE CRONOLÓGICO'!$L$2:$L$4919,'DETALLE CRONOLÓGICO'!$A$2:$A$4919,$A1084)/$F1084,"")</f>
        <v/>
      </c>
      <c r="J1084" s="6">
        <f>IFERROR(SUMIFS('DETALLE CRONOLÓGICO'!$K$2:$K$4919,'DETALLE CRONOLÓGICO'!$A$2:$A$4919,$A1084)/$E1084,"")</f>
        <v/>
      </c>
      <c r="K1084" s="6">
        <f>_xlfn.MINIFS('DETALLE CRONOLÓGICO'!$K$2:$K$4919,'DETALLE CRONOLÓGICO'!$A$2:$A$4919,$A1084)</f>
        <v/>
      </c>
      <c r="L1084" s="6">
        <f>_xlfn.MAXIFS('DETALLE CRONOLÓGICO'!$K$2:$K$4919,'DETALLE CRONOLÓGICO'!$A$2:$A$4919,$A1084)</f>
        <v/>
      </c>
      <c r="M1084" s="6">
        <f>INDEX('DETALLE CRONOLÓGICO'!$K$2:$K$4919,MATCH($A1084,'DETALLE CRONOLÓGICO'!$A$2:$A$4919,0)+$E1084-1)</f>
        <v/>
      </c>
      <c r="N1084" s="7">
        <f>IFERROR($M1084/INDEX('DETALLE CRONOLÓGICO'!$K$2:$K$4919,MATCH($A1084,'DETALLE CRONOLÓGICO'!$A$2:$A$4919,0))-1,"")</f>
        <v/>
      </c>
      <c r="O1084" s="6">
        <f>IFERROR($I1084*3,"")</f>
        <v/>
      </c>
      <c r="P1084" s="6">
        <f>IFERROR($I1084*3.5,"")</f>
        <v/>
      </c>
      <c r="Q1084" s="6">
        <f>IFERROR($I1084*4,"")</f>
        <v/>
      </c>
      <c r="R1084" s="6" t="n">
        <v>620</v>
      </c>
      <c r="S1084" s="4" t="n">
        <v>1</v>
      </c>
      <c r="T1084" s="1" t="inlineStr">
        <is>
          <t>active</t>
        </is>
      </c>
      <c r="U1084" s="8" t="n"/>
      <c r="V1084" s="1" t="inlineStr">
        <is>
          <t>SIN PRECIO</t>
        </is>
      </c>
    </row>
    <row r="1085">
      <c r="A1085" s="1" t="inlineStr">
        <is>
          <t>63e0b1e45372f</t>
        </is>
      </c>
      <c r="B1085" s="1" t="inlineStr">
        <is>
          <t>ANILLO BV GOLD DELGADO</t>
        </is>
      </c>
      <c r="C1085" s="1" t="inlineStr">
        <is>
          <t>7 HIGH QUALITY</t>
        </is>
      </c>
      <c r="D1085" s="1" t="inlineStr">
        <is>
          <t>COCOMA</t>
        </is>
      </c>
      <c r="E1085" s="4">
        <f>COUNTIF('DETALLE CRONOLÓGICO'!$A$2:$A$4919,$A1085)</f>
        <v/>
      </c>
      <c r="F1085" s="4">
        <f>SUMIFS('DETALLE CRONOLÓGICO'!$I$2:$I$4919,'DETALLE CRONOLÓGICO'!$A$2:$A$4919,$A1085)</f>
        <v/>
      </c>
      <c r="G1085" s="1">
        <f>INDEX('DETALLE CRONOLÓGICO'!$D$2:$D$4919,MATCH($A1085,'DETALLE CRONOLÓGICO'!$A$2:$A$4919,0))</f>
        <v/>
      </c>
      <c r="H1085" s="1">
        <f>INDEX('DETALLE CRONOLÓGICO'!$D$2:$D$4919,MATCH($A1085,'DETALLE CRONOLÓGICO'!$A$2:$A$4919,0)+$E1085-1)</f>
        <v/>
      </c>
      <c r="I1085" s="5">
        <f>IFERROR(SUMIFS('DETALLE CRONOLÓGICO'!$L$2:$L$4919,'DETALLE CRONOLÓGICO'!$A$2:$A$4919,$A1085)/$F1085,"")</f>
        <v/>
      </c>
      <c r="J1085" s="6">
        <f>IFERROR(SUMIFS('DETALLE CRONOLÓGICO'!$K$2:$K$4919,'DETALLE CRONOLÓGICO'!$A$2:$A$4919,$A1085)/$E1085,"")</f>
        <v/>
      </c>
      <c r="K1085" s="6">
        <f>_xlfn.MINIFS('DETALLE CRONOLÓGICO'!$K$2:$K$4919,'DETALLE CRONOLÓGICO'!$A$2:$A$4919,$A1085)</f>
        <v/>
      </c>
      <c r="L1085" s="6">
        <f>_xlfn.MAXIFS('DETALLE CRONOLÓGICO'!$K$2:$K$4919,'DETALLE CRONOLÓGICO'!$A$2:$A$4919,$A1085)</f>
        <v/>
      </c>
      <c r="M1085" s="6">
        <f>INDEX('DETALLE CRONOLÓGICO'!$K$2:$K$4919,MATCH($A1085,'DETALLE CRONOLÓGICO'!$A$2:$A$4919,0)+$E1085-1)</f>
        <v/>
      </c>
      <c r="N1085" s="7">
        <f>IFERROR($M1085/INDEX('DETALLE CRONOLÓGICO'!$K$2:$K$4919,MATCH($A1085,'DETALLE CRONOLÓGICO'!$A$2:$A$4919,0))-1,"")</f>
        <v/>
      </c>
      <c r="O1085" s="6">
        <f>IFERROR($I1085*3,"")</f>
        <v/>
      </c>
      <c r="P1085" s="6">
        <f>IFERROR($I1085*3.5,"")</f>
        <v/>
      </c>
      <c r="Q1085" s="6">
        <f>IFERROR($I1085*4,"")</f>
        <v/>
      </c>
      <c r="R1085" s="6" t="n">
        <v>678</v>
      </c>
      <c r="S1085" s="4" t="n">
        <v>0</v>
      </c>
      <c r="T1085" s="1" t="inlineStr">
        <is>
          <t>active</t>
        </is>
      </c>
      <c r="U1085" s="8" t="n"/>
      <c r="V1085" s="1" t="inlineStr">
        <is>
          <t>SIN PRECIO</t>
        </is>
      </c>
    </row>
    <row r="1086">
      <c r="A1086" s="1" t="inlineStr">
        <is>
          <t>63e0b1e49258e</t>
        </is>
      </c>
      <c r="B1086" s="1" t="inlineStr">
        <is>
          <t>ANILLO BV ROSE GOLD DELGADO</t>
        </is>
      </c>
      <c r="C1086" s="1" t="inlineStr">
        <is>
          <t>7</t>
        </is>
      </c>
      <c r="D1086" s="1" t="inlineStr">
        <is>
          <t>COCOMA</t>
        </is>
      </c>
      <c r="E1086" s="4">
        <f>COUNTIF('DETALLE CRONOLÓGICO'!$A$2:$A$4919,$A1086)</f>
        <v/>
      </c>
      <c r="F1086" s="4">
        <f>SUMIFS('DETALLE CRONOLÓGICO'!$I$2:$I$4919,'DETALLE CRONOLÓGICO'!$A$2:$A$4919,$A1086)</f>
        <v/>
      </c>
      <c r="G1086" s="1">
        <f>INDEX('DETALLE CRONOLÓGICO'!$D$2:$D$4919,MATCH($A1086,'DETALLE CRONOLÓGICO'!$A$2:$A$4919,0))</f>
        <v/>
      </c>
      <c r="H1086" s="1">
        <f>INDEX('DETALLE CRONOLÓGICO'!$D$2:$D$4919,MATCH($A1086,'DETALLE CRONOLÓGICO'!$A$2:$A$4919,0)+$E1086-1)</f>
        <v/>
      </c>
      <c r="I1086" s="5">
        <f>IFERROR(SUMIFS('DETALLE CRONOLÓGICO'!$L$2:$L$4919,'DETALLE CRONOLÓGICO'!$A$2:$A$4919,$A1086)/$F1086,"")</f>
        <v/>
      </c>
      <c r="J1086" s="6">
        <f>IFERROR(SUMIFS('DETALLE CRONOLÓGICO'!$K$2:$K$4919,'DETALLE CRONOLÓGICO'!$A$2:$A$4919,$A1086)/$E1086,"")</f>
        <v/>
      </c>
      <c r="K1086" s="6">
        <f>_xlfn.MINIFS('DETALLE CRONOLÓGICO'!$K$2:$K$4919,'DETALLE CRONOLÓGICO'!$A$2:$A$4919,$A1086)</f>
        <v/>
      </c>
      <c r="L1086" s="6">
        <f>_xlfn.MAXIFS('DETALLE CRONOLÓGICO'!$K$2:$K$4919,'DETALLE CRONOLÓGICO'!$A$2:$A$4919,$A1086)</f>
        <v/>
      </c>
      <c r="M1086" s="6">
        <f>INDEX('DETALLE CRONOLÓGICO'!$K$2:$K$4919,MATCH($A1086,'DETALLE CRONOLÓGICO'!$A$2:$A$4919,0)+$E1086-1)</f>
        <v/>
      </c>
      <c r="N1086" s="7">
        <f>IFERROR($M1086/INDEX('DETALLE CRONOLÓGICO'!$K$2:$K$4919,MATCH($A1086,'DETALLE CRONOLÓGICO'!$A$2:$A$4919,0))-1,"")</f>
        <v/>
      </c>
      <c r="O1086" s="6">
        <f>IFERROR($I1086*3,"")</f>
        <v/>
      </c>
      <c r="P1086" s="6">
        <f>IFERROR($I1086*3.5,"")</f>
        <v/>
      </c>
      <c r="Q1086" s="6">
        <f>IFERROR($I1086*4,"")</f>
        <v/>
      </c>
      <c r="R1086" s="6" t="n">
        <v>678</v>
      </c>
      <c r="S1086" s="4" t="n">
        <v>0</v>
      </c>
      <c r="T1086" s="1" t="inlineStr">
        <is>
          <t>active</t>
        </is>
      </c>
      <c r="U1086" s="8" t="n"/>
      <c r="V1086" s="1" t="inlineStr">
        <is>
          <t>SIN PRECIO</t>
        </is>
      </c>
    </row>
    <row r="1087">
      <c r="A1087" s="1" t="inlineStr">
        <is>
          <t>63e0b1e52d057</t>
        </is>
      </c>
      <c r="B1087" s="1" t="inlineStr">
        <is>
          <t>ANILLO BV GOLD DELGADO</t>
        </is>
      </c>
      <c r="C1087" s="1" t="inlineStr">
        <is>
          <t>8 HIGH QUALITY</t>
        </is>
      </c>
      <c r="D1087" s="1" t="inlineStr">
        <is>
          <t>COCOMA</t>
        </is>
      </c>
      <c r="E1087" s="4">
        <f>COUNTIF('DETALLE CRONOLÓGICO'!$A$2:$A$4919,$A1087)</f>
        <v/>
      </c>
      <c r="F1087" s="4">
        <f>SUMIFS('DETALLE CRONOLÓGICO'!$I$2:$I$4919,'DETALLE CRONOLÓGICO'!$A$2:$A$4919,$A1087)</f>
        <v/>
      </c>
      <c r="G1087" s="1">
        <f>INDEX('DETALLE CRONOLÓGICO'!$D$2:$D$4919,MATCH($A1087,'DETALLE CRONOLÓGICO'!$A$2:$A$4919,0))</f>
        <v/>
      </c>
      <c r="H1087" s="1">
        <f>INDEX('DETALLE CRONOLÓGICO'!$D$2:$D$4919,MATCH($A1087,'DETALLE CRONOLÓGICO'!$A$2:$A$4919,0)+$E1087-1)</f>
        <v/>
      </c>
      <c r="I1087" s="5">
        <f>IFERROR(SUMIFS('DETALLE CRONOLÓGICO'!$L$2:$L$4919,'DETALLE CRONOLÓGICO'!$A$2:$A$4919,$A1087)/$F1087,"")</f>
        <v/>
      </c>
      <c r="J1087" s="6">
        <f>IFERROR(SUMIFS('DETALLE CRONOLÓGICO'!$K$2:$K$4919,'DETALLE CRONOLÓGICO'!$A$2:$A$4919,$A1087)/$E1087,"")</f>
        <v/>
      </c>
      <c r="K1087" s="6">
        <f>_xlfn.MINIFS('DETALLE CRONOLÓGICO'!$K$2:$K$4919,'DETALLE CRONOLÓGICO'!$A$2:$A$4919,$A1087)</f>
        <v/>
      </c>
      <c r="L1087" s="6">
        <f>_xlfn.MAXIFS('DETALLE CRONOLÓGICO'!$K$2:$K$4919,'DETALLE CRONOLÓGICO'!$A$2:$A$4919,$A1087)</f>
        <v/>
      </c>
      <c r="M1087" s="6">
        <f>INDEX('DETALLE CRONOLÓGICO'!$K$2:$K$4919,MATCH($A1087,'DETALLE CRONOLÓGICO'!$A$2:$A$4919,0)+$E1087-1)</f>
        <v/>
      </c>
      <c r="N1087" s="7">
        <f>IFERROR($M1087/INDEX('DETALLE CRONOLÓGICO'!$K$2:$K$4919,MATCH($A1087,'DETALLE CRONOLÓGICO'!$A$2:$A$4919,0))-1,"")</f>
        <v/>
      </c>
      <c r="O1087" s="6">
        <f>IFERROR($I1087*3,"")</f>
        <v/>
      </c>
      <c r="P1087" s="6">
        <f>IFERROR($I1087*3.5,"")</f>
        <v/>
      </c>
      <c r="Q1087" s="6">
        <f>IFERROR($I1087*4,"")</f>
        <v/>
      </c>
      <c r="R1087" s="6" t="n">
        <v>678</v>
      </c>
      <c r="S1087" s="4" t="n">
        <v>1</v>
      </c>
      <c r="T1087" s="1" t="inlineStr">
        <is>
          <t>active</t>
        </is>
      </c>
      <c r="U1087" s="8" t="n"/>
      <c r="V1087" s="1" t="inlineStr">
        <is>
          <t>SIN PRECIO</t>
        </is>
      </c>
    </row>
    <row r="1088">
      <c r="A1088" s="1" t="inlineStr">
        <is>
          <t>63e0b1e537df8</t>
        </is>
      </c>
      <c r="B1088" s="1" t="inlineStr">
        <is>
          <t>ANILLO BV ROSE GOLD</t>
        </is>
      </c>
      <c r="C1088" s="1" t="inlineStr">
        <is>
          <t>8</t>
        </is>
      </c>
      <c r="D1088" s="1" t="inlineStr">
        <is>
          <t>COCOMA</t>
        </is>
      </c>
      <c r="E1088" s="4">
        <f>COUNTIF('DETALLE CRONOLÓGICO'!$A$2:$A$4919,$A1088)</f>
        <v/>
      </c>
      <c r="F1088" s="4">
        <f>SUMIFS('DETALLE CRONOLÓGICO'!$I$2:$I$4919,'DETALLE CRONOLÓGICO'!$A$2:$A$4919,$A1088)</f>
        <v/>
      </c>
      <c r="G1088" s="1">
        <f>INDEX('DETALLE CRONOLÓGICO'!$D$2:$D$4919,MATCH($A1088,'DETALLE CRONOLÓGICO'!$A$2:$A$4919,0))</f>
        <v/>
      </c>
      <c r="H1088" s="1">
        <f>INDEX('DETALLE CRONOLÓGICO'!$D$2:$D$4919,MATCH($A1088,'DETALLE CRONOLÓGICO'!$A$2:$A$4919,0)+$E1088-1)</f>
        <v/>
      </c>
      <c r="I1088" s="5">
        <f>IFERROR(SUMIFS('DETALLE CRONOLÓGICO'!$L$2:$L$4919,'DETALLE CRONOLÓGICO'!$A$2:$A$4919,$A1088)/$F1088,"")</f>
        <v/>
      </c>
      <c r="J1088" s="6">
        <f>IFERROR(SUMIFS('DETALLE CRONOLÓGICO'!$K$2:$K$4919,'DETALLE CRONOLÓGICO'!$A$2:$A$4919,$A1088)/$E1088,"")</f>
        <v/>
      </c>
      <c r="K1088" s="6">
        <f>_xlfn.MINIFS('DETALLE CRONOLÓGICO'!$K$2:$K$4919,'DETALLE CRONOLÓGICO'!$A$2:$A$4919,$A1088)</f>
        <v/>
      </c>
      <c r="L1088" s="6">
        <f>_xlfn.MAXIFS('DETALLE CRONOLÓGICO'!$K$2:$K$4919,'DETALLE CRONOLÓGICO'!$A$2:$A$4919,$A1088)</f>
        <v/>
      </c>
      <c r="M1088" s="6">
        <f>INDEX('DETALLE CRONOLÓGICO'!$K$2:$K$4919,MATCH($A1088,'DETALLE CRONOLÓGICO'!$A$2:$A$4919,0)+$E1088-1)</f>
        <v/>
      </c>
      <c r="N1088" s="7">
        <f>IFERROR($M1088/INDEX('DETALLE CRONOLÓGICO'!$K$2:$K$4919,MATCH($A1088,'DETALLE CRONOLÓGICO'!$A$2:$A$4919,0))-1,"")</f>
        <v/>
      </c>
      <c r="O1088" s="6">
        <f>IFERROR($I1088*3,"")</f>
        <v/>
      </c>
      <c r="P1088" s="6">
        <f>IFERROR($I1088*3.5,"")</f>
        <v/>
      </c>
      <c r="Q1088" s="6">
        <f>IFERROR($I1088*4,"")</f>
        <v/>
      </c>
      <c r="R1088" s="6" t="n">
        <v>620</v>
      </c>
      <c r="S1088" s="4" t="n">
        <v>0</v>
      </c>
      <c r="T1088" s="1" t="inlineStr">
        <is>
          <t>active</t>
        </is>
      </c>
      <c r="U1088" s="8" t="n"/>
      <c r="V1088" s="1" t="inlineStr">
        <is>
          <t>SIN PRECIO</t>
        </is>
      </c>
    </row>
    <row r="1089">
      <c r="A1089" s="1" t="inlineStr">
        <is>
          <t>63e0b1e577108</t>
        </is>
      </c>
      <c r="B1089" s="1" t="inlineStr">
        <is>
          <t>ANILLO BV ROSE GOLD DELGADO</t>
        </is>
      </c>
      <c r="C1089" s="1" t="inlineStr">
        <is>
          <t>8</t>
        </is>
      </c>
      <c r="D1089" s="1" t="inlineStr">
        <is>
          <t>COCOMA</t>
        </is>
      </c>
      <c r="E1089" s="4">
        <f>COUNTIF('DETALLE CRONOLÓGICO'!$A$2:$A$4919,$A1089)</f>
        <v/>
      </c>
      <c r="F1089" s="4">
        <f>SUMIFS('DETALLE CRONOLÓGICO'!$I$2:$I$4919,'DETALLE CRONOLÓGICO'!$A$2:$A$4919,$A1089)</f>
        <v/>
      </c>
      <c r="G1089" s="1">
        <f>INDEX('DETALLE CRONOLÓGICO'!$D$2:$D$4919,MATCH($A1089,'DETALLE CRONOLÓGICO'!$A$2:$A$4919,0))</f>
        <v/>
      </c>
      <c r="H1089" s="1">
        <f>INDEX('DETALLE CRONOLÓGICO'!$D$2:$D$4919,MATCH($A1089,'DETALLE CRONOLÓGICO'!$A$2:$A$4919,0)+$E1089-1)</f>
        <v/>
      </c>
      <c r="I1089" s="5">
        <f>IFERROR(SUMIFS('DETALLE CRONOLÓGICO'!$L$2:$L$4919,'DETALLE CRONOLÓGICO'!$A$2:$A$4919,$A1089)/$F1089,"")</f>
        <v/>
      </c>
      <c r="J1089" s="6">
        <f>IFERROR(SUMIFS('DETALLE CRONOLÓGICO'!$K$2:$K$4919,'DETALLE CRONOLÓGICO'!$A$2:$A$4919,$A1089)/$E1089,"")</f>
        <v/>
      </c>
      <c r="K1089" s="6">
        <f>_xlfn.MINIFS('DETALLE CRONOLÓGICO'!$K$2:$K$4919,'DETALLE CRONOLÓGICO'!$A$2:$A$4919,$A1089)</f>
        <v/>
      </c>
      <c r="L1089" s="6">
        <f>_xlfn.MAXIFS('DETALLE CRONOLÓGICO'!$K$2:$K$4919,'DETALLE CRONOLÓGICO'!$A$2:$A$4919,$A1089)</f>
        <v/>
      </c>
      <c r="M1089" s="6">
        <f>INDEX('DETALLE CRONOLÓGICO'!$K$2:$K$4919,MATCH($A1089,'DETALLE CRONOLÓGICO'!$A$2:$A$4919,0)+$E1089-1)</f>
        <v/>
      </c>
      <c r="N1089" s="7">
        <f>IFERROR($M1089/INDEX('DETALLE CRONOLÓGICO'!$K$2:$K$4919,MATCH($A1089,'DETALLE CRONOLÓGICO'!$A$2:$A$4919,0))-1,"")</f>
        <v/>
      </c>
      <c r="O1089" s="6">
        <f>IFERROR($I1089*3,"")</f>
        <v/>
      </c>
      <c r="P1089" s="6">
        <f>IFERROR($I1089*3.5,"")</f>
        <v/>
      </c>
      <c r="Q1089" s="6">
        <f>IFERROR($I1089*4,"")</f>
        <v/>
      </c>
      <c r="R1089" s="6" t="n">
        <v>678</v>
      </c>
      <c r="S1089" s="4" t="n">
        <v>0</v>
      </c>
      <c r="T1089" s="1" t="inlineStr">
        <is>
          <t>active</t>
        </is>
      </c>
      <c r="U1089" s="8" t="n"/>
      <c r="V1089" s="1" t="inlineStr">
        <is>
          <t>SIN PRECIO</t>
        </is>
      </c>
    </row>
    <row r="1090">
      <c r="A1090" s="1" t="inlineStr">
        <is>
          <t>63e0b1e628eb5</t>
        </is>
      </c>
      <c r="B1090" s="1" t="inlineStr">
        <is>
          <t>ANILLO BV ROSE GOLD</t>
        </is>
      </c>
      <c r="C1090" s="1" t="inlineStr">
        <is>
          <t>9</t>
        </is>
      </c>
      <c r="D1090" s="1" t="inlineStr">
        <is>
          <t>COCOMA</t>
        </is>
      </c>
      <c r="E1090" s="4">
        <f>COUNTIF('DETALLE CRONOLÓGICO'!$A$2:$A$4919,$A1090)</f>
        <v/>
      </c>
      <c r="F1090" s="4">
        <f>SUMIFS('DETALLE CRONOLÓGICO'!$I$2:$I$4919,'DETALLE CRONOLÓGICO'!$A$2:$A$4919,$A1090)</f>
        <v/>
      </c>
      <c r="G1090" s="1">
        <f>INDEX('DETALLE CRONOLÓGICO'!$D$2:$D$4919,MATCH($A1090,'DETALLE CRONOLÓGICO'!$A$2:$A$4919,0))</f>
        <v/>
      </c>
      <c r="H1090" s="1">
        <f>INDEX('DETALLE CRONOLÓGICO'!$D$2:$D$4919,MATCH($A1090,'DETALLE CRONOLÓGICO'!$A$2:$A$4919,0)+$E1090-1)</f>
        <v/>
      </c>
      <c r="I1090" s="5">
        <f>IFERROR(SUMIFS('DETALLE CRONOLÓGICO'!$L$2:$L$4919,'DETALLE CRONOLÓGICO'!$A$2:$A$4919,$A1090)/$F1090,"")</f>
        <v/>
      </c>
      <c r="J1090" s="6">
        <f>IFERROR(SUMIFS('DETALLE CRONOLÓGICO'!$K$2:$K$4919,'DETALLE CRONOLÓGICO'!$A$2:$A$4919,$A1090)/$E1090,"")</f>
        <v/>
      </c>
      <c r="K1090" s="6">
        <f>_xlfn.MINIFS('DETALLE CRONOLÓGICO'!$K$2:$K$4919,'DETALLE CRONOLÓGICO'!$A$2:$A$4919,$A1090)</f>
        <v/>
      </c>
      <c r="L1090" s="6">
        <f>_xlfn.MAXIFS('DETALLE CRONOLÓGICO'!$K$2:$K$4919,'DETALLE CRONOLÓGICO'!$A$2:$A$4919,$A1090)</f>
        <v/>
      </c>
      <c r="M1090" s="6">
        <f>INDEX('DETALLE CRONOLÓGICO'!$K$2:$K$4919,MATCH($A1090,'DETALLE CRONOLÓGICO'!$A$2:$A$4919,0)+$E1090-1)</f>
        <v/>
      </c>
      <c r="N1090" s="7">
        <f>IFERROR($M1090/INDEX('DETALLE CRONOLÓGICO'!$K$2:$K$4919,MATCH($A1090,'DETALLE CRONOLÓGICO'!$A$2:$A$4919,0))-1,"")</f>
        <v/>
      </c>
      <c r="O1090" s="6">
        <f>IFERROR($I1090*3,"")</f>
        <v/>
      </c>
      <c r="P1090" s="6">
        <f>IFERROR($I1090*3.5,"")</f>
        <v/>
      </c>
      <c r="Q1090" s="6">
        <f>IFERROR($I1090*4,"")</f>
        <v/>
      </c>
      <c r="R1090" s="6" t="n">
        <v>620</v>
      </c>
      <c r="S1090" s="4" t="n">
        <v>0</v>
      </c>
      <c r="T1090" s="1" t="inlineStr">
        <is>
          <t>active</t>
        </is>
      </c>
      <c r="U1090" s="8" t="n"/>
      <c r="V1090" s="1" t="inlineStr">
        <is>
          <t>SIN PRECIO</t>
        </is>
      </c>
    </row>
    <row r="1091">
      <c r="A1091" s="1" t="inlineStr">
        <is>
          <t>63e0b1e659918</t>
        </is>
      </c>
      <c r="B1091" s="1" t="inlineStr">
        <is>
          <t>ANILLO BV ROSE GOLD DELGADO</t>
        </is>
      </c>
      <c r="C1091" s="1" t="inlineStr">
        <is>
          <t>9</t>
        </is>
      </c>
      <c r="D1091" s="1" t="inlineStr">
        <is>
          <t>COCOMA</t>
        </is>
      </c>
      <c r="E1091" s="4">
        <f>COUNTIF('DETALLE CRONOLÓGICO'!$A$2:$A$4919,$A1091)</f>
        <v/>
      </c>
      <c r="F1091" s="4">
        <f>SUMIFS('DETALLE CRONOLÓGICO'!$I$2:$I$4919,'DETALLE CRONOLÓGICO'!$A$2:$A$4919,$A1091)</f>
        <v/>
      </c>
      <c r="G1091" s="1">
        <f>INDEX('DETALLE CRONOLÓGICO'!$D$2:$D$4919,MATCH($A1091,'DETALLE CRONOLÓGICO'!$A$2:$A$4919,0))</f>
        <v/>
      </c>
      <c r="H1091" s="1">
        <f>INDEX('DETALLE CRONOLÓGICO'!$D$2:$D$4919,MATCH($A1091,'DETALLE CRONOLÓGICO'!$A$2:$A$4919,0)+$E1091-1)</f>
        <v/>
      </c>
      <c r="I1091" s="5">
        <f>IFERROR(SUMIFS('DETALLE CRONOLÓGICO'!$L$2:$L$4919,'DETALLE CRONOLÓGICO'!$A$2:$A$4919,$A1091)/$F1091,"")</f>
        <v/>
      </c>
      <c r="J1091" s="6">
        <f>IFERROR(SUMIFS('DETALLE CRONOLÓGICO'!$K$2:$K$4919,'DETALLE CRONOLÓGICO'!$A$2:$A$4919,$A1091)/$E1091,"")</f>
        <v/>
      </c>
      <c r="K1091" s="6">
        <f>_xlfn.MINIFS('DETALLE CRONOLÓGICO'!$K$2:$K$4919,'DETALLE CRONOLÓGICO'!$A$2:$A$4919,$A1091)</f>
        <v/>
      </c>
      <c r="L1091" s="6">
        <f>_xlfn.MAXIFS('DETALLE CRONOLÓGICO'!$K$2:$K$4919,'DETALLE CRONOLÓGICO'!$A$2:$A$4919,$A1091)</f>
        <v/>
      </c>
      <c r="M1091" s="6">
        <f>INDEX('DETALLE CRONOLÓGICO'!$K$2:$K$4919,MATCH($A1091,'DETALLE CRONOLÓGICO'!$A$2:$A$4919,0)+$E1091-1)</f>
        <v/>
      </c>
      <c r="N1091" s="7">
        <f>IFERROR($M1091/INDEX('DETALLE CRONOLÓGICO'!$K$2:$K$4919,MATCH($A1091,'DETALLE CRONOLÓGICO'!$A$2:$A$4919,0))-1,"")</f>
        <v/>
      </c>
      <c r="O1091" s="6">
        <f>IFERROR($I1091*3,"")</f>
        <v/>
      </c>
      <c r="P1091" s="6">
        <f>IFERROR($I1091*3.5,"")</f>
        <v/>
      </c>
      <c r="Q1091" s="6">
        <f>IFERROR($I1091*4,"")</f>
        <v/>
      </c>
      <c r="R1091" s="6" t="n">
        <v>678</v>
      </c>
      <c r="S1091" s="4" t="n">
        <v>0</v>
      </c>
      <c r="T1091" s="1" t="inlineStr">
        <is>
          <t>active</t>
        </is>
      </c>
      <c r="U1091" s="8" t="n"/>
      <c r="V1091" s="1" t="inlineStr">
        <is>
          <t>SIN PRECIO</t>
        </is>
      </c>
    </row>
    <row r="1092">
      <c r="A1092" s="1" t="inlineStr">
        <is>
          <t>63e0b1e6f022f</t>
        </is>
      </c>
      <c r="B1092" s="1" t="inlineStr">
        <is>
          <t>ANILLO BV GOLD DELGADO</t>
        </is>
      </c>
      <c r="C1092" s="1" t="inlineStr">
        <is>
          <t>10</t>
        </is>
      </c>
      <c r="D1092" s="1" t="inlineStr">
        <is>
          <t>COCOMA</t>
        </is>
      </c>
      <c r="E1092" s="4">
        <f>COUNTIF('DETALLE CRONOLÓGICO'!$A$2:$A$4919,$A1092)</f>
        <v/>
      </c>
      <c r="F1092" s="4">
        <f>SUMIFS('DETALLE CRONOLÓGICO'!$I$2:$I$4919,'DETALLE CRONOLÓGICO'!$A$2:$A$4919,$A1092)</f>
        <v/>
      </c>
      <c r="G1092" s="1">
        <f>INDEX('DETALLE CRONOLÓGICO'!$D$2:$D$4919,MATCH($A1092,'DETALLE CRONOLÓGICO'!$A$2:$A$4919,0))</f>
        <v/>
      </c>
      <c r="H1092" s="1">
        <f>INDEX('DETALLE CRONOLÓGICO'!$D$2:$D$4919,MATCH($A1092,'DETALLE CRONOLÓGICO'!$A$2:$A$4919,0)+$E1092-1)</f>
        <v/>
      </c>
      <c r="I1092" s="5">
        <f>IFERROR(SUMIFS('DETALLE CRONOLÓGICO'!$L$2:$L$4919,'DETALLE CRONOLÓGICO'!$A$2:$A$4919,$A1092)/$F1092,"")</f>
        <v/>
      </c>
      <c r="J1092" s="6">
        <f>IFERROR(SUMIFS('DETALLE CRONOLÓGICO'!$K$2:$K$4919,'DETALLE CRONOLÓGICO'!$A$2:$A$4919,$A1092)/$E1092,"")</f>
        <v/>
      </c>
      <c r="K1092" s="6">
        <f>_xlfn.MINIFS('DETALLE CRONOLÓGICO'!$K$2:$K$4919,'DETALLE CRONOLÓGICO'!$A$2:$A$4919,$A1092)</f>
        <v/>
      </c>
      <c r="L1092" s="6">
        <f>_xlfn.MAXIFS('DETALLE CRONOLÓGICO'!$K$2:$K$4919,'DETALLE CRONOLÓGICO'!$A$2:$A$4919,$A1092)</f>
        <v/>
      </c>
      <c r="M1092" s="6">
        <f>INDEX('DETALLE CRONOLÓGICO'!$K$2:$K$4919,MATCH($A1092,'DETALLE CRONOLÓGICO'!$A$2:$A$4919,0)+$E1092-1)</f>
        <v/>
      </c>
      <c r="N1092" s="7">
        <f>IFERROR($M1092/INDEX('DETALLE CRONOLÓGICO'!$K$2:$K$4919,MATCH($A1092,'DETALLE CRONOLÓGICO'!$A$2:$A$4919,0))-1,"")</f>
        <v/>
      </c>
      <c r="O1092" s="6">
        <f>IFERROR($I1092*3,"")</f>
        <v/>
      </c>
      <c r="P1092" s="6">
        <f>IFERROR($I1092*3.5,"")</f>
        <v/>
      </c>
      <c r="Q1092" s="6">
        <f>IFERROR($I1092*4,"")</f>
        <v/>
      </c>
      <c r="R1092" s="6" t="n">
        <v>678</v>
      </c>
      <c r="S1092" s="4" t="n">
        <v>0</v>
      </c>
      <c r="T1092" s="1" t="inlineStr">
        <is>
          <t>active</t>
        </is>
      </c>
      <c r="U1092" s="8" t="n"/>
      <c r="V1092" s="1" t="inlineStr">
        <is>
          <t>SIN PRECIO</t>
        </is>
      </c>
    </row>
    <row r="1093">
      <c r="A1093" s="1" t="inlineStr">
        <is>
          <t>63e0b1e70453e</t>
        </is>
      </c>
      <c r="B1093" s="1" t="inlineStr">
        <is>
          <t>ANILLO BV ROSE GOLD</t>
        </is>
      </c>
      <c r="C1093" s="1" t="inlineStr">
        <is>
          <t>10</t>
        </is>
      </c>
      <c r="D1093" s="1" t="inlineStr">
        <is>
          <t>COCOMA</t>
        </is>
      </c>
      <c r="E1093" s="4">
        <f>COUNTIF('DETALLE CRONOLÓGICO'!$A$2:$A$4919,$A1093)</f>
        <v/>
      </c>
      <c r="F1093" s="4">
        <f>SUMIFS('DETALLE CRONOLÓGICO'!$I$2:$I$4919,'DETALLE CRONOLÓGICO'!$A$2:$A$4919,$A1093)</f>
        <v/>
      </c>
      <c r="G1093" s="1">
        <f>INDEX('DETALLE CRONOLÓGICO'!$D$2:$D$4919,MATCH($A1093,'DETALLE CRONOLÓGICO'!$A$2:$A$4919,0))</f>
        <v/>
      </c>
      <c r="H1093" s="1">
        <f>INDEX('DETALLE CRONOLÓGICO'!$D$2:$D$4919,MATCH($A1093,'DETALLE CRONOLÓGICO'!$A$2:$A$4919,0)+$E1093-1)</f>
        <v/>
      </c>
      <c r="I1093" s="5">
        <f>IFERROR(SUMIFS('DETALLE CRONOLÓGICO'!$L$2:$L$4919,'DETALLE CRONOLÓGICO'!$A$2:$A$4919,$A1093)/$F1093,"")</f>
        <v/>
      </c>
      <c r="J1093" s="6">
        <f>IFERROR(SUMIFS('DETALLE CRONOLÓGICO'!$K$2:$K$4919,'DETALLE CRONOLÓGICO'!$A$2:$A$4919,$A1093)/$E1093,"")</f>
        <v/>
      </c>
      <c r="K1093" s="6">
        <f>_xlfn.MINIFS('DETALLE CRONOLÓGICO'!$K$2:$K$4919,'DETALLE CRONOLÓGICO'!$A$2:$A$4919,$A1093)</f>
        <v/>
      </c>
      <c r="L1093" s="6">
        <f>_xlfn.MAXIFS('DETALLE CRONOLÓGICO'!$K$2:$K$4919,'DETALLE CRONOLÓGICO'!$A$2:$A$4919,$A1093)</f>
        <v/>
      </c>
      <c r="M1093" s="6">
        <f>INDEX('DETALLE CRONOLÓGICO'!$K$2:$K$4919,MATCH($A1093,'DETALLE CRONOLÓGICO'!$A$2:$A$4919,0)+$E1093-1)</f>
        <v/>
      </c>
      <c r="N1093" s="7">
        <f>IFERROR($M1093/INDEX('DETALLE CRONOLÓGICO'!$K$2:$K$4919,MATCH($A1093,'DETALLE CRONOLÓGICO'!$A$2:$A$4919,0))-1,"")</f>
        <v/>
      </c>
      <c r="O1093" s="6">
        <f>IFERROR($I1093*3,"")</f>
        <v/>
      </c>
      <c r="P1093" s="6">
        <f>IFERROR($I1093*3.5,"")</f>
        <v/>
      </c>
      <c r="Q1093" s="6">
        <f>IFERROR($I1093*4,"")</f>
        <v/>
      </c>
      <c r="R1093" s="6" t="n">
        <v>300</v>
      </c>
      <c r="S1093" s="4" t="n">
        <v>0</v>
      </c>
      <c r="T1093" s="1" t="inlineStr">
        <is>
          <t>active</t>
        </is>
      </c>
      <c r="U1093" s="8" t="n"/>
      <c r="V1093" s="1" t="inlineStr">
        <is>
          <t>SIN PRECIO</t>
        </is>
      </c>
    </row>
    <row r="1094">
      <c r="A1094" s="1" t="inlineStr">
        <is>
          <t>63e0b1f7d50b1</t>
        </is>
      </c>
      <c r="B1094" s="1" t="inlineStr">
        <is>
          <t>ANILLO BV SILVER</t>
        </is>
      </c>
      <c r="C1094" s="1" t="inlineStr">
        <is>
          <t>6</t>
        </is>
      </c>
      <c r="D1094" s="1" t="inlineStr">
        <is>
          <t>COCOMA</t>
        </is>
      </c>
      <c r="E1094" s="4">
        <f>COUNTIF('DETALLE CRONOLÓGICO'!$A$2:$A$4919,$A1094)</f>
        <v/>
      </c>
      <c r="F1094" s="4">
        <f>SUMIFS('DETALLE CRONOLÓGICO'!$I$2:$I$4919,'DETALLE CRONOLÓGICO'!$A$2:$A$4919,$A1094)</f>
        <v/>
      </c>
      <c r="G1094" s="1">
        <f>INDEX('DETALLE CRONOLÓGICO'!$D$2:$D$4919,MATCH($A1094,'DETALLE CRONOLÓGICO'!$A$2:$A$4919,0))</f>
        <v/>
      </c>
      <c r="H1094" s="1">
        <f>INDEX('DETALLE CRONOLÓGICO'!$D$2:$D$4919,MATCH($A1094,'DETALLE CRONOLÓGICO'!$A$2:$A$4919,0)+$E1094-1)</f>
        <v/>
      </c>
      <c r="I1094" s="5">
        <f>IFERROR(SUMIFS('DETALLE CRONOLÓGICO'!$L$2:$L$4919,'DETALLE CRONOLÓGICO'!$A$2:$A$4919,$A1094)/$F1094,"")</f>
        <v/>
      </c>
      <c r="J1094" s="6">
        <f>IFERROR(SUMIFS('DETALLE CRONOLÓGICO'!$K$2:$K$4919,'DETALLE CRONOLÓGICO'!$A$2:$A$4919,$A1094)/$E1094,"")</f>
        <v/>
      </c>
      <c r="K1094" s="6">
        <f>_xlfn.MINIFS('DETALLE CRONOLÓGICO'!$K$2:$K$4919,'DETALLE CRONOLÓGICO'!$A$2:$A$4919,$A1094)</f>
        <v/>
      </c>
      <c r="L1094" s="6">
        <f>_xlfn.MAXIFS('DETALLE CRONOLÓGICO'!$K$2:$K$4919,'DETALLE CRONOLÓGICO'!$A$2:$A$4919,$A1094)</f>
        <v/>
      </c>
      <c r="M1094" s="6">
        <f>INDEX('DETALLE CRONOLÓGICO'!$K$2:$K$4919,MATCH($A1094,'DETALLE CRONOLÓGICO'!$A$2:$A$4919,0)+$E1094-1)</f>
        <v/>
      </c>
      <c r="N1094" s="7">
        <f>IFERROR($M1094/INDEX('DETALLE CRONOLÓGICO'!$K$2:$K$4919,MATCH($A1094,'DETALLE CRONOLÓGICO'!$A$2:$A$4919,0))-1,"")</f>
        <v/>
      </c>
      <c r="O1094" s="6">
        <f>IFERROR($I1094*3,"")</f>
        <v/>
      </c>
      <c r="P1094" s="6">
        <f>IFERROR($I1094*3.5,"")</f>
        <v/>
      </c>
      <c r="Q1094" s="6">
        <f>IFERROR($I1094*4,"")</f>
        <v/>
      </c>
      <c r="R1094" s="6" t="n">
        <v>520</v>
      </c>
      <c r="S1094" s="4" t="n">
        <v>0</v>
      </c>
      <c r="T1094" s="1" t="inlineStr">
        <is>
          <t>active</t>
        </is>
      </c>
      <c r="U1094" s="8" t="n"/>
      <c r="V1094" s="1" t="inlineStr">
        <is>
          <t>SIN PRECIO</t>
        </is>
      </c>
    </row>
    <row r="1095">
      <c r="A1095" s="1" t="inlineStr">
        <is>
          <t>63e0b1f8bb7d5</t>
        </is>
      </c>
      <c r="B1095" s="1" t="inlineStr">
        <is>
          <t>ANILLO BV SILVER</t>
        </is>
      </c>
      <c r="C1095" s="1" t="inlineStr">
        <is>
          <t>7</t>
        </is>
      </c>
      <c r="D1095" s="1" t="inlineStr">
        <is>
          <t>COCOMA</t>
        </is>
      </c>
      <c r="E1095" s="4">
        <f>COUNTIF('DETALLE CRONOLÓGICO'!$A$2:$A$4919,$A1095)</f>
        <v/>
      </c>
      <c r="F1095" s="4">
        <f>SUMIFS('DETALLE CRONOLÓGICO'!$I$2:$I$4919,'DETALLE CRONOLÓGICO'!$A$2:$A$4919,$A1095)</f>
        <v/>
      </c>
      <c r="G1095" s="1">
        <f>INDEX('DETALLE CRONOLÓGICO'!$D$2:$D$4919,MATCH($A1095,'DETALLE CRONOLÓGICO'!$A$2:$A$4919,0))</f>
        <v/>
      </c>
      <c r="H1095" s="1">
        <f>INDEX('DETALLE CRONOLÓGICO'!$D$2:$D$4919,MATCH($A1095,'DETALLE CRONOLÓGICO'!$A$2:$A$4919,0)+$E1095-1)</f>
        <v/>
      </c>
      <c r="I1095" s="5">
        <f>IFERROR(SUMIFS('DETALLE CRONOLÓGICO'!$L$2:$L$4919,'DETALLE CRONOLÓGICO'!$A$2:$A$4919,$A1095)/$F1095,"")</f>
        <v/>
      </c>
      <c r="J1095" s="6">
        <f>IFERROR(SUMIFS('DETALLE CRONOLÓGICO'!$K$2:$K$4919,'DETALLE CRONOLÓGICO'!$A$2:$A$4919,$A1095)/$E1095,"")</f>
        <v/>
      </c>
      <c r="K1095" s="6">
        <f>_xlfn.MINIFS('DETALLE CRONOLÓGICO'!$K$2:$K$4919,'DETALLE CRONOLÓGICO'!$A$2:$A$4919,$A1095)</f>
        <v/>
      </c>
      <c r="L1095" s="6">
        <f>_xlfn.MAXIFS('DETALLE CRONOLÓGICO'!$K$2:$K$4919,'DETALLE CRONOLÓGICO'!$A$2:$A$4919,$A1095)</f>
        <v/>
      </c>
      <c r="M1095" s="6">
        <f>INDEX('DETALLE CRONOLÓGICO'!$K$2:$K$4919,MATCH($A1095,'DETALLE CRONOLÓGICO'!$A$2:$A$4919,0)+$E1095-1)</f>
        <v/>
      </c>
      <c r="N1095" s="7">
        <f>IFERROR($M1095/INDEX('DETALLE CRONOLÓGICO'!$K$2:$K$4919,MATCH($A1095,'DETALLE CRONOLÓGICO'!$A$2:$A$4919,0))-1,"")</f>
        <v/>
      </c>
      <c r="O1095" s="6">
        <f>IFERROR($I1095*3,"")</f>
        <v/>
      </c>
      <c r="P1095" s="6">
        <f>IFERROR($I1095*3.5,"")</f>
        <v/>
      </c>
      <c r="Q1095" s="6">
        <f>IFERROR($I1095*4,"")</f>
        <v/>
      </c>
      <c r="R1095" s="6" t="n">
        <v>520</v>
      </c>
      <c r="S1095" s="4" t="n">
        <v>0</v>
      </c>
      <c r="T1095" s="1" t="inlineStr">
        <is>
          <t>active</t>
        </is>
      </c>
      <c r="U1095" s="8" t="n"/>
      <c r="V1095" s="1" t="inlineStr">
        <is>
          <t>SIN PRECIO</t>
        </is>
      </c>
    </row>
    <row r="1096">
      <c r="A1096" s="1" t="inlineStr">
        <is>
          <t>63e0b1f91d20d</t>
        </is>
      </c>
      <c r="B1096" s="1" t="inlineStr">
        <is>
          <t>ANILLO BV SILVER DELGADO</t>
        </is>
      </c>
      <c r="C1096" s="1" t="inlineStr">
        <is>
          <t>6</t>
        </is>
      </c>
      <c r="D1096" s="1" t="inlineStr">
        <is>
          <t>COCOMA</t>
        </is>
      </c>
      <c r="E1096" s="4">
        <f>COUNTIF('DETALLE CRONOLÓGICO'!$A$2:$A$4919,$A1096)</f>
        <v/>
      </c>
      <c r="F1096" s="4">
        <f>SUMIFS('DETALLE CRONOLÓGICO'!$I$2:$I$4919,'DETALLE CRONOLÓGICO'!$A$2:$A$4919,$A1096)</f>
        <v/>
      </c>
      <c r="G1096" s="1">
        <f>INDEX('DETALLE CRONOLÓGICO'!$D$2:$D$4919,MATCH($A1096,'DETALLE CRONOLÓGICO'!$A$2:$A$4919,0))</f>
        <v/>
      </c>
      <c r="H1096" s="1">
        <f>INDEX('DETALLE CRONOLÓGICO'!$D$2:$D$4919,MATCH($A1096,'DETALLE CRONOLÓGICO'!$A$2:$A$4919,0)+$E1096-1)</f>
        <v/>
      </c>
      <c r="I1096" s="5">
        <f>IFERROR(SUMIFS('DETALLE CRONOLÓGICO'!$L$2:$L$4919,'DETALLE CRONOLÓGICO'!$A$2:$A$4919,$A1096)/$F1096,"")</f>
        <v/>
      </c>
      <c r="J1096" s="6">
        <f>IFERROR(SUMIFS('DETALLE CRONOLÓGICO'!$K$2:$K$4919,'DETALLE CRONOLÓGICO'!$A$2:$A$4919,$A1096)/$E1096,"")</f>
        <v/>
      </c>
      <c r="K1096" s="6">
        <f>_xlfn.MINIFS('DETALLE CRONOLÓGICO'!$K$2:$K$4919,'DETALLE CRONOLÓGICO'!$A$2:$A$4919,$A1096)</f>
        <v/>
      </c>
      <c r="L1096" s="6">
        <f>_xlfn.MAXIFS('DETALLE CRONOLÓGICO'!$K$2:$K$4919,'DETALLE CRONOLÓGICO'!$A$2:$A$4919,$A1096)</f>
        <v/>
      </c>
      <c r="M1096" s="6">
        <f>INDEX('DETALLE CRONOLÓGICO'!$K$2:$K$4919,MATCH($A1096,'DETALLE CRONOLÓGICO'!$A$2:$A$4919,0)+$E1096-1)</f>
        <v/>
      </c>
      <c r="N1096" s="7">
        <f>IFERROR($M1096/INDEX('DETALLE CRONOLÓGICO'!$K$2:$K$4919,MATCH($A1096,'DETALLE CRONOLÓGICO'!$A$2:$A$4919,0))-1,"")</f>
        <v/>
      </c>
      <c r="O1096" s="6">
        <f>IFERROR($I1096*3,"")</f>
        <v/>
      </c>
      <c r="P1096" s="6">
        <f>IFERROR($I1096*3.5,"")</f>
        <v/>
      </c>
      <c r="Q1096" s="6">
        <f>IFERROR($I1096*4,"")</f>
        <v/>
      </c>
      <c r="R1096" s="6" t="n">
        <v>678</v>
      </c>
      <c r="S1096" s="4" t="n">
        <v>0</v>
      </c>
      <c r="T1096" s="1" t="inlineStr">
        <is>
          <t>active</t>
        </is>
      </c>
      <c r="U1096" s="8" t="n"/>
      <c r="V1096" s="1" t="inlineStr">
        <is>
          <t>SIN PRECIO</t>
        </is>
      </c>
    </row>
    <row r="1097">
      <c r="A1097" s="1" t="inlineStr">
        <is>
          <t>63e0b1f9a5ac2</t>
        </is>
      </c>
      <c r="B1097" s="1" t="inlineStr">
        <is>
          <t>ANILLO BV SILVER</t>
        </is>
      </c>
      <c r="C1097" s="1" t="inlineStr">
        <is>
          <t>8</t>
        </is>
      </c>
      <c r="D1097" s="1" t="inlineStr">
        <is>
          <t>COCOMA</t>
        </is>
      </c>
      <c r="E1097" s="4">
        <f>COUNTIF('DETALLE CRONOLÓGICO'!$A$2:$A$4919,$A1097)</f>
        <v/>
      </c>
      <c r="F1097" s="4">
        <f>SUMIFS('DETALLE CRONOLÓGICO'!$I$2:$I$4919,'DETALLE CRONOLÓGICO'!$A$2:$A$4919,$A1097)</f>
        <v/>
      </c>
      <c r="G1097" s="1">
        <f>INDEX('DETALLE CRONOLÓGICO'!$D$2:$D$4919,MATCH($A1097,'DETALLE CRONOLÓGICO'!$A$2:$A$4919,0))</f>
        <v/>
      </c>
      <c r="H1097" s="1">
        <f>INDEX('DETALLE CRONOLÓGICO'!$D$2:$D$4919,MATCH($A1097,'DETALLE CRONOLÓGICO'!$A$2:$A$4919,0)+$E1097-1)</f>
        <v/>
      </c>
      <c r="I1097" s="5">
        <f>IFERROR(SUMIFS('DETALLE CRONOLÓGICO'!$L$2:$L$4919,'DETALLE CRONOLÓGICO'!$A$2:$A$4919,$A1097)/$F1097,"")</f>
        <v/>
      </c>
      <c r="J1097" s="6">
        <f>IFERROR(SUMIFS('DETALLE CRONOLÓGICO'!$K$2:$K$4919,'DETALLE CRONOLÓGICO'!$A$2:$A$4919,$A1097)/$E1097,"")</f>
        <v/>
      </c>
      <c r="K1097" s="6">
        <f>_xlfn.MINIFS('DETALLE CRONOLÓGICO'!$K$2:$K$4919,'DETALLE CRONOLÓGICO'!$A$2:$A$4919,$A1097)</f>
        <v/>
      </c>
      <c r="L1097" s="6">
        <f>_xlfn.MAXIFS('DETALLE CRONOLÓGICO'!$K$2:$K$4919,'DETALLE CRONOLÓGICO'!$A$2:$A$4919,$A1097)</f>
        <v/>
      </c>
      <c r="M1097" s="6">
        <f>INDEX('DETALLE CRONOLÓGICO'!$K$2:$K$4919,MATCH($A1097,'DETALLE CRONOLÓGICO'!$A$2:$A$4919,0)+$E1097-1)</f>
        <v/>
      </c>
      <c r="N1097" s="7">
        <f>IFERROR($M1097/INDEX('DETALLE CRONOLÓGICO'!$K$2:$K$4919,MATCH($A1097,'DETALLE CRONOLÓGICO'!$A$2:$A$4919,0))-1,"")</f>
        <v/>
      </c>
      <c r="O1097" s="6">
        <f>IFERROR($I1097*3,"")</f>
        <v/>
      </c>
      <c r="P1097" s="6">
        <f>IFERROR($I1097*3.5,"")</f>
        <v/>
      </c>
      <c r="Q1097" s="6">
        <f>IFERROR($I1097*4,"")</f>
        <v/>
      </c>
      <c r="R1097" s="6" t="n">
        <v>520</v>
      </c>
      <c r="S1097" s="4" t="n">
        <v>3</v>
      </c>
      <c r="T1097" s="1" t="inlineStr">
        <is>
          <t>active</t>
        </is>
      </c>
      <c r="U1097" s="8" t="n"/>
      <c r="V1097" s="1" t="inlineStr">
        <is>
          <t>SIN PRECIO</t>
        </is>
      </c>
    </row>
    <row r="1098">
      <c r="A1098" s="1" t="inlineStr">
        <is>
          <t>63e0b1fa23537</t>
        </is>
      </c>
      <c r="B1098" s="1" t="inlineStr">
        <is>
          <t>ANILLO BV SILVER DELGADO</t>
        </is>
      </c>
      <c r="C1098" s="1" t="inlineStr">
        <is>
          <t>7</t>
        </is>
      </c>
      <c r="D1098" s="1" t="inlineStr">
        <is>
          <t>COCOMA</t>
        </is>
      </c>
      <c r="E1098" s="4">
        <f>COUNTIF('DETALLE CRONOLÓGICO'!$A$2:$A$4919,$A1098)</f>
        <v/>
      </c>
      <c r="F1098" s="4">
        <f>SUMIFS('DETALLE CRONOLÓGICO'!$I$2:$I$4919,'DETALLE CRONOLÓGICO'!$A$2:$A$4919,$A1098)</f>
        <v/>
      </c>
      <c r="G1098" s="1">
        <f>INDEX('DETALLE CRONOLÓGICO'!$D$2:$D$4919,MATCH($A1098,'DETALLE CRONOLÓGICO'!$A$2:$A$4919,0))</f>
        <v/>
      </c>
      <c r="H1098" s="1">
        <f>INDEX('DETALLE CRONOLÓGICO'!$D$2:$D$4919,MATCH($A1098,'DETALLE CRONOLÓGICO'!$A$2:$A$4919,0)+$E1098-1)</f>
        <v/>
      </c>
      <c r="I1098" s="5">
        <f>IFERROR(SUMIFS('DETALLE CRONOLÓGICO'!$L$2:$L$4919,'DETALLE CRONOLÓGICO'!$A$2:$A$4919,$A1098)/$F1098,"")</f>
        <v/>
      </c>
      <c r="J1098" s="6">
        <f>IFERROR(SUMIFS('DETALLE CRONOLÓGICO'!$K$2:$K$4919,'DETALLE CRONOLÓGICO'!$A$2:$A$4919,$A1098)/$E1098,"")</f>
        <v/>
      </c>
      <c r="K1098" s="6">
        <f>_xlfn.MINIFS('DETALLE CRONOLÓGICO'!$K$2:$K$4919,'DETALLE CRONOLÓGICO'!$A$2:$A$4919,$A1098)</f>
        <v/>
      </c>
      <c r="L1098" s="6">
        <f>_xlfn.MAXIFS('DETALLE CRONOLÓGICO'!$K$2:$K$4919,'DETALLE CRONOLÓGICO'!$A$2:$A$4919,$A1098)</f>
        <v/>
      </c>
      <c r="M1098" s="6">
        <f>INDEX('DETALLE CRONOLÓGICO'!$K$2:$K$4919,MATCH($A1098,'DETALLE CRONOLÓGICO'!$A$2:$A$4919,0)+$E1098-1)</f>
        <v/>
      </c>
      <c r="N1098" s="7">
        <f>IFERROR($M1098/INDEX('DETALLE CRONOLÓGICO'!$K$2:$K$4919,MATCH($A1098,'DETALLE CRONOLÓGICO'!$A$2:$A$4919,0))-1,"")</f>
        <v/>
      </c>
      <c r="O1098" s="6">
        <f>IFERROR($I1098*3,"")</f>
        <v/>
      </c>
      <c r="P1098" s="6">
        <f>IFERROR($I1098*3.5,"")</f>
        <v/>
      </c>
      <c r="Q1098" s="6">
        <f>IFERROR($I1098*4,"")</f>
        <v/>
      </c>
      <c r="R1098" s="6" t="n">
        <v>678</v>
      </c>
      <c r="S1098" s="4" t="n">
        <v>0</v>
      </c>
      <c r="T1098" s="1" t="inlineStr">
        <is>
          <t>active</t>
        </is>
      </c>
      <c r="U1098" s="8" t="n"/>
      <c r="V1098" s="1" t="inlineStr">
        <is>
          <t>SIN PRECIO</t>
        </is>
      </c>
    </row>
    <row r="1099">
      <c r="A1099" s="1" t="inlineStr">
        <is>
          <t>63e0b1fa92d45</t>
        </is>
      </c>
      <c r="B1099" s="1" t="inlineStr">
        <is>
          <t>ANILLO BV SILVER</t>
        </is>
      </c>
      <c r="C1099" s="1" t="inlineStr">
        <is>
          <t>9</t>
        </is>
      </c>
      <c r="D1099" s="1" t="inlineStr">
        <is>
          <t>COCOMA</t>
        </is>
      </c>
      <c r="E1099" s="4">
        <f>COUNTIF('DETALLE CRONOLÓGICO'!$A$2:$A$4919,$A1099)</f>
        <v/>
      </c>
      <c r="F1099" s="4">
        <f>SUMIFS('DETALLE CRONOLÓGICO'!$I$2:$I$4919,'DETALLE CRONOLÓGICO'!$A$2:$A$4919,$A1099)</f>
        <v/>
      </c>
      <c r="G1099" s="1">
        <f>INDEX('DETALLE CRONOLÓGICO'!$D$2:$D$4919,MATCH($A1099,'DETALLE CRONOLÓGICO'!$A$2:$A$4919,0))</f>
        <v/>
      </c>
      <c r="H1099" s="1">
        <f>INDEX('DETALLE CRONOLÓGICO'!$D$2:$D$4919,MATCH($A1099,'DETALLE CRONOLÓGICO'!$A$2:$A$4919,0)+$E1099-1)</f>
        <v/>
      </c>
      <c r="I1099" s="5">
        <f>IFERROR(SUMIFS('DETALLE CRONOLÓGICO'!$L$2:$L$4919,'DETALLE CRONOLÓGICO'!$A$2:$A$4919,$A1099)/$F1099,"")</f>
        <v/>
      </c>
      <c r="J1099" s="6">
        <f>IFERROR(SUMIFS('DETALLE CRONOLÓGICO'!$K$2:$K$4919,'DETALLE CRONOLÓGICO'!$A$2:$A$4919,$A1099)/$E1099,"")</f>
        <v/>
      </c>
      <c r="K1099" s="6">
        <f>_xlfn.MINIFS('DETALLE CRONOLÓGICO'!$K$2:$K$4919,'DETALLE CRONOLÓGICO'!$A$2:$A$4919,$A1099)</f>
        <v/>
      </c>
      <c r="L1099" s="6">
        <f>_xlfn.MAXIFS('DETALLE CRONOLÓGICO'!$K$2:$K$4919,'DETALLE CRONOLÓGICO'!$A$2:$A$4919,$A1099)</f>
        <v/>
      </c>
      <c r="M1099" s="6">
        <f>INDEX('DETALLE CRONOLÓGICO'!$K$2:$K$4919,MATCH($A1099,'DETALLE CRONOLÓGICO'!$A$2:$A$4919,0)+$E1099-1)</f>
        <v/>
      </c>
      <c r="N1099" s="7">
        <f>IFERROR($M1099/INDEX('DETALLE CRONOLÓGICO'!$K$2:$K$4919,MATCH($A1099,'DETALLE CRONOLÓGICO'!$A$2:$A$4919,0))-1,"")</f>
        <v/>
      </c>
      <c r="O1099" s="6">
        <f>IFERROR($I1099*3,"")</f>
        <v/>
      </c>
      <c r="P1099" s="6">
        <f>IFERROR($I1099*3.5,"")</f>
        <v/>
      </c>
      <c r="Q1099" s="6">
        <f>IFERROR($I1099*4,"")</f>
        <v/>
      </c>
      <c r="R1099" s="6" t="n">
        <v>520</v>
      </c>
      <c r="S1099" s="4" t="n">
        <v>0</v>
      </c>
      <c r="T1099" s="1" t="inlineStr">
        <is>
          <t>active</t>
        </is>
      </c>
      <c r="U1099" s="8" t="n"/>
      <c r="V1099" s="1" t="inlineStr">
        <is>
          <t>SIN PRECIO</t>
        </is>
      </c>
    </row>
    <row r="1100">
      <c r="A1100" s="1" t="inlineStr">
        <is>
          <t>63e0b1fb11aa3</t>
        </is>
      </c>
      <c r="B1100" s="1" t="inlineStr">
        <is>
          <t>ANILLO BV SILVER DELGADO</t>
        </is>
      </c>
      <c r="C1100" s="1" t="inlineStr">
        <is>
          <t>8</t>
        </is>
      </c>
      <c r="D1100" s="1" t="inlineStr">
        <is>
          <t>COCOMA</t>
        </is>
      </c>
      <c r="E1100" s="4">
        <f>COUNTIF('DETALLE CRONOLÓGICO'!$A$2:$A$4919,$A1100)</f>
        <v/>
      </c>
      <c r="F1100" s="4">
        <f>SUMIFS('DETALLE CRONOLÓGICO'!$I$2:$I$4919,'DETALLE CRONOLÓGICO'!$A$2:$A$4919,$A1100)</f>
        <v/>
      </c>
      <c r="G1100" s="1">
        <f>INDEX('DETALLE CRONOLÓGICO'!$D$2:$D$4919,MATCH($A1100,'DETALLE CRONOLÓGICO'!$A$2:$A$4919,0))</f>
        <v/>
      </c>
      <c r="H1100" s="1">
        <f>INDEX('DETALLE CRONOLÓGICO'!$D$2:$D$4919,MATCH($A1100,'DETALLE CRONOLÓGICO'!$A$2:$A$4919,0)+$E1100-1)</f>
        <v/>
      </c>
      <c r="I1100" s="5">
        <f>IFERROR(SUMIFS('DETALLE CRONOLÓGICO'!$L$2:$L$4919,'DETALLE CRONOLÓGICO'!$A$2:$A$4919,$A1100)/$F1100,"")</f>
        <v/>
      </c>
      <c r="J1100" s="6">
        <f>IFERROR(SUMIFS('DETALLE CRONOLÓGICO'!$K$2:$K$4919,'DETALLE CRONOLÓGICO'!$A$2:$A$4919,$A1100)/$E1100,"")</f>
        <v/>
      </c>
      <c r="K1100" s="6">
        <f>_xlfn.MINIFS('DETALLE CRONOLÓGICO'!$K$2:$K$4919,'DETALLE CRONOLÓGICO'!$A$2:$A$4919,$A1100)</f>
        <v/>
      </c>
      <c r="L1100" s="6">
        <f>_xlfn.MAXIFS('DETALLE CRONOLÓGICO'!$K$2:$K$4919,'DETALLE CRONOLÓGICO'!$A$2:$A$4919,$A1100)</f>
        <v/>
      </c>
      <c r="M1100" s="6">
        <f>INDEX('DETALLE CRONOLÓGICO'!$K$2:$K$4919,MATCH($A1100,'DETALLE CRONOLÓGICO'!$A$2:$A$4919,0)+$E1100-1)</f>
        <v/>
      </c>
      <c r="N1100" s="7">
        <f>IFERROR($M1100/INDEX('DETALLE CRONOLÓGICO'!$K$2:$K$4919,MATCH($A1100,'DETALLE CRONOLÓGICO'!$A$2:$A$4919,0))-1,"")</f>
        <v/>
      </c>
      <c r="O1100" s="6">
        <f>IFERROR($I1100*3,"")</f>
        <v/>
      </c>
      <c r="P1100" s="6">
        <f>IFERROR($I1100*3.5,"")</f>
        <v/>
      </c>
      <c r="Q1100" s="6">
        <f>IFERROR($I1100*4,"")</f>
        <v/>
      </c>
      <c r="R1100" s="6" t="n">
        <v>678</v>
      </c>
      <c r="S1100" s="4" t="n">
        <v>0</v>
      </c>
      <c r="T1100" s="1" t="inlineStr">
        <is>
          <t>active</t>
        </is>
      </c>
      <c r="U1100" s="8" t="n"/>
      <c r="V1100" s="1" t="inlineStr">
        <is>
          <t>SIN PRECIO</t>
        </is>
      </c>
    </row>
    <row r="1101">
      <c r="A1101" s="1" t="inlineStr">
        <is>
          <t>63e0b1fbdf1a6</t>
        </is>
      </c>
      <c r="B1101" s="1" t="inlineStr">
        <is>
          <t>ANILLO BV SILVER</t>
        </is>
      </c>
      <c r="C1101" s="1" t="inlineStr">
        <is>
          <t>10</t>
        </is>
      </c>
      <c r="D1101" s="1" t="inlineStr">
        <is>
          <t>COCOMA</t>
        </is>
      </c>
      <c r="E1101" s="4">
        <f>COUNTIF('DETALLE CRONOLÓGICO'!$A$2:$A$4919,$A1101)</f>
        <v/>
      </c>
      <c r="F1101" s="4">
        <f>SUMIFS('DETALLE CRONOLÓGICO'!$I$2:$I$4919,'DETALLE CRONOLÓGICO'!$A$2:$A$4919,$A1101)</f>
        <v/>
      </c>
      <c r="G1101" s="1">
        <f>INDEX('DETALLE CRONOLÓGICO'!$D$2:$D$4919,MATCH($A1101,'DETALLE CRONOLÓGICO'!$A$2:$A$4919,0))</f>
        <v/>
      </c>
      <c r="H1101" s="1">
        <f>INDEX('DETALLE CRONOLÓGICO'!$D$2:$D$4919,MATCH($A1101,'DETALLE CRONOLÓGICO'!$A$2:$A$4919,0)+$E1101-1)</f>
        <v/>
      </c>
      <c r="I1101" s="5">
        <f>IFERROR(SUMIFS('DETALLE CRONOLÓGICO'!$L$2:$L$4919,'DETALLE CRONOLÓGICO'!$A$2:$A$4919,$A1101)/$F1101,"")</f>
        <v/>
      </c>
      <c r="J1101" s="6">
        <f>IFERROR(SUMIFS('DETALLE CRONOLÓGICO'!$K$2:$K$4919,'DETALLE CRONOLÓGICO'!$A$2:$A$4919,$A1101)/$E1101,"")</f>
        <v/>
      </c>
      <c r="K1101" s="6">
        <f>_xlfn.MINIFS('DETALLE CRONOLÓGICO'!$K$2:$K$4919,'DETALLE CRONOLÓGICO'!$A$2:$A$4919,$A1101)</f>
        <v/>
      </c>
      <c r="L1101" s="6">
        <f>_xlfn.MAXIFS('DETALLE CRONOLÓGICO'!$K$2:$K$4919,'DETALLE CRONOLÓGICO'!$A$2:$A$4919,$A1101)</f>
        <v/>
      </c>
      <c r="M1101" s="6">
        <f>INDEX('DETALLE CRONOLÓGICO'!$K$2:$K$4919,MATCH($A1101,'DETALLE CRONOLÓGICO'!$A$2:$A$4919,0)+$E1101-1)</f>
        <v/>
      </c>
      <c r="N1101" s="7">
        <f>IFERROR($M1101/INDEX('DETALLE CRONOLÓGICO'!$K$2:$K$4919,MATCH($A1101,'DETALLE CRONOLÓGICO'!$A$2:$A$4919,0))-1,"")</f>
        <v/>
      </c>
      <c r="O1101" s="6">
        <f>IFERROR($I1101*3,"")</f>
        <v/>
      </c>
      <c r="P1101" s="6">
        <f>IFERROR($I1101*3.5,"")</f>
        <v/>
      </c>
      <c r="Q1101" s="6">
        <f>IFERROR($I1101*4,"")</f>
        <v/>
      </c>
      <c r="R1101" s="6" t="n">
        <v>520</v>
      </c>
      <c r="S1101" s="4" t="n">
        <v>2</v>
      </c>
      <c r="T1101" s="1" t="inlineStr">
        <is>
          <t>active</t>
        </is>
      </c>
      <c r="U1101" s="8" t="n"/>
      <c r="V1101" s="1" t="inlineStr">
        <is>
          <t>SIN PRECIO</t>
        </is>
      </c>
    </row>
    <row r="1102">
      <c r="A1102" s="1" t="inlineStr">
        <is>
          <t>63e0b1fc15c01</t>
        </is>
      </c>
      <c r="B1102" s="1" t="inlineStr">
        <is>
          <t>ANILLO BV SILVER DELGADO</t>
        </is>
      </c>
      <c r="C1102" s="1" t="inlineStr">
        <is>
          <t>9</t>
        </is>
      </c>
      <c r="D1102" s="1" t="inlineStr">
        <is>
          <t>COCOMA</t>
        </is>
      </c>
      <c r="E1102" s="4">
        <f>COUNTIF('DETALLE CRONOLÓGICO'!$A$2:$A$4919,$A1102)</f>
        <v/>
      </c>
      <c r="F1102" s="4">
        <f>SUMIFS('DETALLE CRONOLÓGICO'!$I$2:$I$4919,'DETALLE CRONOLÓGICO'!$A$2:$A$4919,$A1102)</f>
        <v/>
      </c>
      <c r="G1102" s="1">
        <f>INDEX('DETALLE CRONOLÓGICO'!$D$2:$D$4919,MATCH($A1102,'DETALLE CRONOLÓGICO'!$A$2:$A$4919,0))</f>
        <v/>
      </c>
      <c r="H1102" s="1">
        <f>INDEX('DETALLE CRONOLÓGICO'!$D$2:$D$4919,MATCH($A1102,'DETALLE CRONOLÓGICO'!$A$2:$A$4919,0)+$E1102-1)</f>
        <v/>
      </c>
      <c r="I1102" s="5">
        <f>IFERROR(SUMIFS('DETALLE CRONOLÓGICO'!$L$2:$L$4919,'DETALLE CRONOLÓGICO'!$A$2:$A$4919,$A1102)/$F1102,"")</f>
        <v/>
      </c>
      <c r="J1102" s="6">
        <f>IFERROR(SUMIFS('DETALLE CRONOLÓGICO'!$K$2:$K$4919,'DETALLE CRONOLÓGICO'!$A$2:$A$4919,$A1102)/$E1102,"")</f>
        <v/>
      </c>
      <c r="K1102" s="6">
        <f>_xlfn.MINIFS('DETALLE CRONOLÓGICO'!$K$2:$K$4919,'DETALLE CRONOLÓGICO'!$A$2:$A$4919,$A1102)</f>
        <v/>
      </c>
      <c r="L1102" s="6">
        <f>_xlfn.MAXIFS('DETALLE CRONOLÓGICO'!$K$2:$K$4919,'DETALLE CRONOLÓGICO'!$A$2:$A$4919,$A1102)</f>
        <v/>
      </c>
      <c r="M1102" s="6">
        <f>INDEX('DETALLE CRONOLÓGICO'!$K$2:$K$4919,MATCH($A1102,'DETALLE CRONOLÓGICO'!$A$2:$A$4919,0)+$E1102-1)</f>
        <v/>
      </c>
      <c r="N1102" s="7">
        <f>IFERROR($M1102/INDEX('DETALLE CRONOLÓGICO'!$K$2:$K$4919,MATCH($A1102,'DETALLE CRONOLÓGICO'!$A$2:$A$4919,0))-1,"")</f>
        <v/>
      </c>
      <c r="O1102" s="6">
        <f>IFERROR($I1102*3,"")</f>
        <v/>
      </c>
      <c r="P1102" s="6">
        <f>IFERROR($I1102*3.5,"")</f>
        <v/>
      </c>
      <c r="Q1102" s="6">
        <f>IFERROR($I1102*4,"")</f>
        <v/>
      </c>
      <c r="R1102" s="6" t="n">
        <v>678</v>
      </c>
      <c r="S1102" s="4" t="n">
        <v>0</v>
      </c>
      <c r="T1102" s="1" t="inlineStr">
        <is>
          <t>active</t>
        </is>
      </c>
      <c r="U1102" s="8" t="n"/>
      <c r="V1102" s="1" t="inlineStr">
        <is>
          <t>SIN PRECIO</t>
        </is>
      </c>
    </row>
    <row r="1103">
      <c r="A1103" s="1" t="inlineStr">
        <is>
          <t>63e0b1fcc7359</t>
        </is>
      </c>
      <c r="B1103" s="1" t="inlineStr">
        <is>
          <t>ANILLO BV SILVER</t>
        </is>
      </c>
      <c r="C1103" s="1" t="inlineStr">
        <is>
          <t>11</t>
        </is>
      </c>
      <c r="D1103" s="1" t="inlineStr">
        <is>
          <t>COCOMA</t>
        </is>
      </c>
      <c r="E1103" s="4">
        <f>COUNTIF('DETALLE CRONOLÓGICO'!$A$2:$A$4919,$A1103)</f>
        <v/>
      </c>
      <c r="F1103" s="4">
        <f>SUMIFS('DETALLE CRONOLÓGICO'!$I$2:$I$4919,'DETALLE CRONOLÓGICO'!$A$2:$A$4919,$A1103)</f>
        <v/>
      </c>
      <c r="G1103" s="1">
        <f>INDEX('DETALLE CRONOLÓGICO'!$D$2:$D$4919,MATCH($A1103,'DETALLE CRONOLÓGICO'!$A$2:$A$4919,0))</f>
        <v/>
      </c>
      <c r="H1103" s="1">
        <f>INDEX('DETALLE CRONOLÓGICO'!$D$2:$D$4919,MATCH($A1103,'DETALLE CRONOLÓGICO'!$A$2:$A$4919,0)+$E1103-1)</f>
        <v/>
      </c>
      <c r="I1103" s="5">
        <f>IFERROR(SUMIFS('DETALLE CRONOLÓGICO'!$L$2:$L$4919,'DETALLE CRONOLÓGICO'!$A$2:$A$4919,$A1103)/$F1103,"")</f>
        <v/>
      </c>
      <c r="J1103" s="6">
        <f>IFERROR(SUMIFS('DETALLE CRONOLÓGICO'!$K$2:$K$4919,'DETALLE CRONOLÓGICO'!$A$2:$A$4919,$A1103)/$E1103,"")</f>
        <v/>
      </c>
      <c r="K1103" s="6">
        <f>_xlfn.MINIFS('DETALLE CRONOLÓGICO'!$K$2:$K$4919,'DETALLE CRONOLÓGICO'!$A$2:$A$4919,$A1103)</f>
        <v/>
      </c>
      <c r="L1103" s="6">
        <f>_xlfn.MAXIFS('DETALLE CRONOLÓGICO'!$K$2:$K$4919,'DETALLE CRONOLÓGICO'!$A$2:$A$4919,$A1103)</f>
        <v/>
      </c>
      <c r="M1103" s="6">
        <f>INDEX('DETALLE CRONOLÓGICO'!$K$2:$K$4919,MATCH($A1103,'DETALLE CRONOLÓGICO'!$A$2:$A$4919,0)+$E1103-1)</f>
        <v/>
      </c>
      <c r="N1103" s="7">
        <f>IFERROR($M1103/INDEX('DETALLE CRONOLÓGICO'!$K$2:$K$4919,MATCH($A1103,'DETALLE CRONOLÓGICO'!$A$2:$A$4919,0))-1,"")</f>
        <v/>
      </c>
      <c r="O1103" s="6">
        <f>IFERROR($I1103*3,"")</f>
        <v/>
      </c>
      <c r="P1103" s="6">
        <f>IFERROR($I1103*3.5,"")</f>
        <v/>
      </c>
      <c r="Q1103" s="6">
        <f>IFERROR($I1103*4,"")</f>
        <v/>
      </c>
      <c r="R1103" s="6" t="n">
        <v>520</v>
      </c>
      <c r="S1103" s="4" t="n">
        <v>0</v>
      </c>
      <c r="T1103" s="1" t="inlineStr">
        <is>
          <t>active</t>
        </is>
      </c>
      <c r="U1103" s="8" t="n"/>
      <c r="V1103" s="1" t="inlineStr">
        <is>
          <t>SIN PRECIO</t>
        </is>
      </c>
    </row>
    <row r="1104">
      <c r="A1104" s="1" t="inlineStr">
        <is>
          <t>63e0b1fd046c4</t>
        </is>
      </c>
      <c r="B1104" s="1" t="inlineStr">
        <is>
          <t>ANILLO BV SILVER DELGADO</t>
        </is>
      </c>
      <c r="C1104" s="1" t="inlineStr">
        <is>
          <t>10</t>
        </is>
      </c>
      <c r="D1104" s="1" t="inlineStr">
        <is>
          <t>COCOMA</t>
        </is>
      </c>
      <c r="E1104" s="4">
        <f>COUNTIF('DETALLE CRONOLÓGICO'!$A$2:$A$4919,$A1104)</f>
        <v/>
      </c>
      <c r="F1104" s="4">
        <f>SUMIFS('DETALLE CRONOLÓGICO'!$I$2:$I$4919,'DETALLE CRONOLÓGICO'!$A$2:$A$4919,$A1104)</f>
        <v/>
      </c>
      <c r="G1104" s="1">
        <f>INDEX('DETALLE CRONOLÓGICO'!$D$2:$D$4919,MATCH($A1104,'DETALLE CRONOLÓGICO'!$A$2:$A$4919,0))</f>
        <v/>
      </c>
      <c r="H1104" s="1">
        <f>INDEX('DETALLE CRONOLÓGICO'!$D$2:$D$4919,MATCH($A1104,'DETALLE CRONOLÓGICO'!$A$2:$A$4919,0)+$E1104-1)</f>
        <v/>
      </c>
      <c r="I1104" s="5">
        <f>IFERROR(SUMIFS('DETALLE CRONOLÓGICO'!$L$2:$L$4919,'DETALLE CRONOLÓGICO'!$A$2:$A$4919,$A1104)/$F1104,"")</f>
        <v/>
      </c>
      <c r="J1104" s="6">
        <f>IFERROR(SUMIFS('DETALLE CRONOLÓGICO'!$K$2:$K$4919,'DETALLE CRONOLÓGICO'!$A$2:$A$4919,$A1104)/$E1104,"")</f>
        <v/>
      </c>
      <c r="K1104" s="6">
        <f>_xlfn.MINIFS('DETALLE CRONOLÓGICO'!$K$2:$K$4919,'DETALLE CRONOLÓGICO'!$A$2:$A$4919,$A1104)</f>
        <v/>
      </c>
      <c r="L1104" s="6">
        <f>_xlfn.MAXIFS('DETALLE CRONOLÓGICO'!$K$2:$K$4919,'DETALLE CRONOLÓGICO'!$A$2:$A$4919,$A1104)</f>
        <v/>
      </c>
      <c r="M1104" s="6">
        <f>INDEX('DETALLE CRONOLÓGICO'!$K$2:$K$4919,MATCH($A1104,'DETALLE CRONOLÓGICO'!$A$2:$A$4919,0)+$E1104-1)</f>
        <v/>
      </c>
      <c r="N1104" s="7">
        <f>IFERROR($M1104/INDEX('DETALLE CRONOLÓGICO'!$K$2:$K$4919,MATCH($A1104,'DETALLE CRONOLÓGICO'!$A$2:$A$4919,0))-1,"")</f>
        <v/>
      </c>
      <c r="O1104" s="6">
        <f>IFERROR($I1104*3,"")</f>
        <v/>
      </c>
      <c r="P1104" s="6">
        <f>IFERROR($I1104*3.5,"")</f>
        <v/>
      </c>
      <c r="Q1104" s="6">
        <f>IFERROR($I1104*4,"")</f>
        <v/>
      </c>
      <c r="R1104" s="6" t="n">
        <v>678</v>
      </c>
      <c r="S1104" s="4" t="n">
        <v>0</v>
      </c>
      <c r="T1104" s="1" t="inlineStr">
        <is>
          <t>active</t>
        </is>
      </c>
      <c r="U1104" s="8" t="n"/>
      <c r="V1104" s="1" t="inlineStr">
        <is>
          <t>SIN PRECIO</t>
        </is>
      </c>
    </row>
    <row r="1105">
      <c r="A1105" s="1" t="inlineStr">
        <is>
          <t>63e0b1fde9905</t>
        </is>
      </c>
      <c r="B1105" s="1" t="inlineStr">
        <is>
          <t>ANILLO BV SILVER</t>
        </is>
      </c>
      <c r="C1105" s="1" t="inlineStr">
        <is>
          <t>12</t>
        </is>
      </c>
      <c r="D1105" s="1" t="inlineStr">
        <is>
          <t>COCOMA</t>
        </is>
      </c>
      <c r="E1105" s="4">
        <f>COUNTIF('DETALLE CRONOLÓGICO'!$A$2:$A$4919,$A1105)</f>
        <v/>
      </c>
      <c r="F1105" s="4">
        <f>SUMIFS('DETALLE CRONOLÓGICO'!$I$2:$I$4919,'DETALLE CRONOLÓGICO'!$A$2:$A$4919,$A1105)</f>
        <v/>
      </c>
      <c r="G1105" s="1">
        <f>INDEX('DETALLE CRONOLÓGICO'!$D$2:$D$4919,MATCH($A1105,'DETALLE CRONOLÓGICO'!$A$2:$A$4919,0))</f>
        <v/>
      </c>
      <c r="H1105" s="1">
        <f>INDEX('DETALLE CRONOLÓGICO'!$D$2:$D$4919,MATCH($A1105,'DETALLE CRONOLÓGICO'!$A$2:$A$4919,0)+$E1105-1)</f>
        <v/>
      </c>
      <c r="I1105" s="5">
        <f>IFERROR(SUMIFS('DETALLE CRONOLÓGICO'!$L$2:$L$4919,'DETALLE CRONOLÓGICO'!$A$2:$A$4919,$A1105)/$F1105,"")</f>
        <v/>
      </c>
      <c r="J1105" s="6">
        <f>IFERROR(SUMIFS('DETALLE CRONOLÓGICO'!$K$2:$K$4919,'DETALLE CRONOLÓGICO'!$A$2:$A$4919,$A1105)/$E1105,"")</f>
        <v/>
      </c>
      <c r="K1105" s="6">
        <f>_xlfn.MINIFS('DETALLE CRONOLÓGICO'!$K$2:$K$4919,'DETALLE CRONOLÓGICO'!$A$2:$A$4919,$A1105)</f>
        <v/>
      </c>
      <c r="L1105" s="6">
        <f>_xlfn.MAXIFS('DETALLE CRONOLÓGICO'!$K$2:$K$4919,'DETALLE CRONOLÓGICO'!$A$2:$A$4919,$A1105)</f>
        <v/>
      </c>
      <c r="M1105" s="6">
        <f>INDEX('DETALLE CRONOLÓGICO'!$K$2:$K$4919,MATCH($A1105,'DETALLE CRONOLÓGICO'!$A$2:$A$4919,0)+$E1105-1)</f>
        <v/>
      </c>
      <c r="N1105" s="7">
        <f>IFERROR($M1105/INDEX('DETALLE CRONOLÓGICO'!$K$2:$K$4919,MATCH($A1105,'DETALLE CRONOLÓGICO'!$A$2:$A$4919,0))-1,"")</f>
        <v/>
      </c>
      <c r="O1105" s="6">
        <f>IFERROR($I1105*3,"")</f>
        <v/>
      </c>
      <c r="P1105" s="6">
        <f>IFERROR($I1105*3.5,"")</f>
        <v/>
      </c>
      <c r="Q1105" s="6">
        <f>IFERROR($I1105*4,"")</f>
        <v/>
      </c>
      <c r="R1105" s="6" t="n">
        <v>520</v>
      </c>
      <c r="S1105" s="4" t="n">
        <v>0</v>
      </c>
      <c r="T1105" s="1" t="inlineStr">
        <is>
          <t>active</t>
        </is>
      </c>
      <c r="U1105" s="8" t="n"/>
      <c r="V1105" s="1" t="inlineStr">
        <is>
          <t>SIN PRECIO</t>
        </is>
      </c>
    </row>
    <row r="1106">
      <c r="A1106" s="1" t="inlineStr">
        <is>
          <t>63e0b72a8a859</t>
        </is>
      </c>
      <c r="B1106" s="1" t="inlineStr">
        <is>
          <t>ANILLO COCO GOLD</t>
        </is>
      </c>
      <c r="C1106" s="1" t="inlineStr">
        <is>
          <t>5</t>
        </is>
      </c>
      <c r="D1106" s="1" t="inlineStr">
        <is>
          <t>HAIFENG</t>
        </is>
      </c>
      <c r="E1106" s="4">
        <f>COUNTIF('DETALLE CRONOLÓGICO'!$A$2:$A$4919,$A1106)</f>
        <v/>
      </c>
      <c r="F1106" s="4">
        <f>SUMIFS('DETALLE CRONOLÓGICO'!$I$2:$I$4919,'DETALLE CRONOLÓGICO'!$A$2:$A$4919,$A1106)</f>
        <v/>
      </c>
      <c r="G1106" s="1">
        <f>INDEX('DETALLE CRONOLÓGICO'!$D$2:$D$4919,MATCH($A1106,'DETALLE CRONOLÓGICO'!$A$2:$A$4919,0))</f>
        <v/>
      </c>
      <c r="H1106" s="1">
        <f>INDEX('DETALLE CRONOLÓGICO'!$D$2:$D$4919,MATCH($A1106,'DETALLE CRONOLÓGICO'!$A$2:$A$4919,0)+$E1106-1)</f>
        <v/>
      </c>
      <c r="I1106" s="5">
        <f>IFERROR(SUMIFS('DETALLE CRONOLÓGICO'!$L$2:$L$4919,'DETALLE CRONOLÓGICO'!$A$2:$A$4919,$A1106)/$F1106,"")</f>
        <v/>
      </c>
      <c r="J1106" s="6">
        <f>IFERROR(SUMIFS('DETALLE CRONOLÓGICO'!$K$2:$K$4919,'DETALLE CRONOLÓGICO'!$A$2:$A$4919,$A1106)/$E1106,"")</f>
        <v/>
      </c>
      <c r="K1106" s="6">
        <f>_xlfn.MINIFS('DETALLE CRONOLÓGICO'!$K$2:$K$4919,'DETALLE CRONOLÓGICO'!$A$2:$A$4919,$A1106)</f>
        <v/>
      </c>
      <c r="L1106" s="6">
        <f>_xlfn.MAXIFS('DETALLE CRONOLÓGICO'!$K$2:$K$4919,'DETALLE CRONOLÓGICO'!$A$2:$A$4919,$A1106)</f>
        <v/>
      </c>
      <c r="M1106" s="6">
        <f>INDEX('DETALLE CRONOLÓGICO'!$K$2:$K$4919,MATCH($A1106,'DETALLE CRONOLÓGICO'!$A$2:$A$4919,0)+$E1106-1)</f>
        <v/>
      </c>
      <c r="N1106" s="7">
        <f>IFERROR($M1106/INDEX('DETALLE CRONOLÓGICO'!$K$2:$K$4919,MATCH($A1106,'DETALLE CRONOLÓGICO'!$A$2:$A$4919,0))-1,"")</f>
        <v/>
      </c>
      <c r="O1106" s="6">
        <f>IFERROR($I1106*3,"")</f>
        <v/>
      </c>
      <c r="P1106" s="6">
        <f>IFERROR($I1106*3.5,"")</f>
        <v/>
      </c>
      <c r="Q1106" s="6">
        <f>IFERROR($I1106*4,"")</f>
        <v/>
      </c>
      <c r="R1106" s="6" t="n">
        <v>400</v>
      </c>
      <c r="S1106" s="4" t="n">
        <v>5</v>
      </c>
      <c r="T1106" s="1" t="inlineStr">
        <is>
          <t>active</t>
        </is>
      </c>
      <c r="U1106" s="8" t="n"/>
      <c r="V1106" s="1" t="inlineStr">
        <is>
          <t>SIN PRECIO</t>
        </is>
      </c>
    </row>
    <row r="1107">
      <c r="A1107" s="1" t="inlineStr">
        <is>
          <t>63e0b72b646a2</t>
        </is>
      </c>
      <c r="B1107" s="1" t="inlineStr">
        <is>
          <t>ANILLO COCO GOLD</t>
        </is>
      </c>
      <c r="C1107" s="1" t="inlineStr">
        <is>
          <t>6</t>
        </is>
      </c>
      <c r="D1107" s="1" t="inlineStr">
        <is>
          <t>HAIFENG</t>
        </is>
      </c>
      <c r="E1107" s="4">
        <f>COUNTIF('DETALLE CRONOLÓGICO'!$A$2:$A$4919,$A1107)</f>
        <v/>
      </c>
      <c r="F1107" s="4">
        <f>SUMIFS('DETALLE CRONOLÓGICO'!$I$2:$I$4919,'DETALLE CRONOLÓGICO'!$A$2:$A$4919,$A1107)</f>
        <v/>
      </c>
      <c r="G1107" s="1">
        <f>INDEX('DETALLE CRONOLÓGICO'!$D$2:$D$4919,MATCH($A1107,'DETALLE CRONOLÓGICO'!$A$2:$A$4919,0))</f>
        <v/>
      </c>
      <c r="H1107" s="1">
        <f>INDEX('DETALLE CRONOLÓGICO'!$D$2:$D$4919,MATCH($A1107,'DETALLE CRONOLÓGICO'!$A$2:$A$4919,0)+$E1107-1)</f>
        <v/>
      </c>
      <c r="I1107" s="5">
        <f>IFERROR(SUMIFS('DETALLE CRONOLÓGICO'!$L$2:$L$4919,'DETALLE CRONOLÓGICO'!$A$2:$A$4919,$A1107)/$F1107,"")</f>
        <v/>
      </c>
      <c r="J1107" s="6">
        <f>IFERROR(SUMIFS('DETALLE CRONOLÓGICO'!$K$2:$K$4919,'DETALLE CRONOLÓGICO'!$A$2:$A$4919,$A1107)/$E1107,"")</f>
        <v/>
      </c>
      <c r="K1107" s="6">
        <f>_xlfn.MINIFS('DETALLE CRONOLÓGICO'!$K$2:$K$4919,'DETALLE CRONOLÓGICO'!$A$2:$A$4919,$A1107)</f>
        <v/>
      </c>
      <c r="L1107" s="6">
        <f>_xlfn.MAXIFS('DETALLE CRONOLÓGICO'!$K$2:$K$4919,'DETALLE CRONOLÓGICO'!$A$2:$A$4919,$A1107)</f>
        <v/>
      </c>
      <c r="M1107" s="6">
        <f>INDEX('DETALLE CRONOLÓGICO'!$K$2:$K$4919,MATCH($A1107,'DETALLE CRONOLÓGICO'!$A$2:$A$4919,0)+$E1107-1)</f>
        <v/>
      </c>
      <c r="N1107" s="7">
        <f>IFERROR($M1107/INDEX('DETALLE CRONOLÓGICO'!$K$2:$K$4919,MATCH($A1107,'DETALLE CRONOLÓGICO'!$A$2:$A$4919,0))-1,"")</f>
        <v/>
      </c>
      <c r="O1107" s="6">
        <f>IFERROR($I1107*3,"")</f>
        <v/>
      </c>
      <c r="P1107" s="6">
        <f>IFERROR($I1107*3.5,"")</f>
        <v/>
      </c>
      <c r="Q1107" s="6">
        <f>IFERROR($I1107*4,"")</f>
        <v/>
      </c>
      <c r="R1107" s="6" t="n">
        <v>400</v>
      </c>
      <c r="S1107" s="4" t="n">
        <v>6</v>
      </c>
      <c r="T1107" s="1" t="inlineStr">
        <is>
          <t>active</t>
        </is>
      </c>
      <c r="U1107" s="8" t="n"/>
      <c r="V1107" s="1" t="inlineStr">
        <is>
          <t>SIN PRECIO</t>
        </is>
      </c>
    </row>
    <row r="1108">
      <c r="A1108" s="1" t="inlineStr">
        <is>
          <t>63e0b72c4613b</t>
        </is>
      </c>
      <c r="B1108" s="1" t="inlineStr">
        <is>
          <t>ANILLO COCO GOLD</t>
        </is>
      </c>
      <c r="C1108" s="1" t="inlineStr">
        <is>
          <t>7</t>
        </is>
      </c>
      <c r="D1108" s="1" t="inlineStr">
        <is>
          <t>HAIFENG</t>
        </is>
      </c>
      <c r="E1108" s="4">
        <f>COUNTIF('DETALLE CRONOLÓGICO'!$A$2:$A$4919,$A1108)</f>
        <v/>
      </c>
      <c r="F1108" s="4">
        <f>SUMIFS('DETALLE CRONOLÓGICO'!$I$2:$I$4919,'DETALLE CRONOLÓGICO'!$A$2:$A$4919,$A1108)</f>
        <v/>
      </c>
      <c r="G1108" s="1">
        <f>INDEX('DETALLE CRONOLÓGICO'!$D$2:$D$4919,MATCH($A1108,'DETALLE CRONOLÓGICO'!$A$2:$A$4919,0))</f>
        <v/>
      </c>
      <c r="H1108" s="1">
        <f>INDEX('DETALLE CRONOLÓGICO'!$D$2:$D$4919,MATCH($A1108,'DETALLE CRONOLÓGICO'!$A$2:$A$4919,0)+$E1108-1)</f>
        <v/>
      </c>
      <c r="I1108" s="5">
        <f>IFERROR(SUMIFS('DETALLE CRONOLÓGICO'!$L$2:$L$4919,'DETALLE CRONOLÓGICO'!$A$2:$A$4919,$A1108)/$F1108,"")</f>
        <v/>
      </c>
      <c r="J1108" s="6">
        <f>IFERROR(SUMIFS('DETALLE CRONOLÓGICO'!$K$2:$K$4919,'DETALLE CRONOLÓGICO'!$A$2:$A$4919,$A1108)/$E1108,"")</f>
        <v/>
      </c>
      <c r="K1108" s="6">
        <f>_xlfn.MINIFS('DETALLE CRONOLÓGICO'!$K$2:$K$4919,'DETALLE CRONOLÓGICO'!$A$2:$A$4919,$A1108)</f>
        <v/>
      </c>
      <c r="L1108" s="6">
        <f>_xlfn.MAXIFS('DETALLE CRONOLÓGICO'!$K$2:$K$4919,'DETALLE CRONOLÓGICO'!$A$2:$A$4919,$A1108)</f>
        <v/>
      </c>
      <c r="M1108" s="6">
        <f>INDEX('DETALLE CRONOLÓGICO'!$K$2:$K$4919,MATCH($A1108,'DETALLE CRONOLÓGICO'!$A$2:$A$4919,0)+$E1108-1)</f>
        <v/>
      </c>
      <c r="N1108" s="7">
        <f>IFERROR($M1108/INDEX('DETALLE CRONOLÓGICO'!$K$2:$K$4919,MATCH($A1108,'DETALLE CRONOLÓGICO'!$A$2:$A$4919,0))-1,"")</f>
        <v/>
      </c>
      <c r="O1108" s="6">
        <f>IFERROR($I1108*3,"")</f>
        <v/>
      </c>
      <c r="P1108" s="6">
        <f>IFERROR($I1108*3.5,"")</f>
        <v/>
      </c>
      <c r="Q1108" s="6">
        <f>IFERROR($I1108*4,"")</f>
        <v/>
      </c>
      <c r="R1108" s="6" t="n">
        <v>400</v>
      </c>
      <c r="S1108" s="4" t="n">
        <v>4</v>
      </c>
      <c r="T1108" s="1" t="inlineStr">
        <is>
          <t>active</t>
        </is>
      </c>
      <c r="U1108" s="8" t="n"/>
      <c r="V1108" s="1" t="inlineStr">
        <is>
          <t>SIN PRECIO</t>
        </is>
      </c>
    </row>
    <row r="1109">
      <c r="A1109" s="1" t="inlineStr">
        <is>
          <t>63e0b72d387b2</t>
        </is>
      </c>
      <c r="B1109" s="1" t="inlineStr">
        <is>
          <t>ANILLO COCO GOLD</t>
        </is>
      </c>
      <c r="C1109" s="1" t="inlineStr">
        <is>
          <t>8</t>
        </is>
      </c>
      <c r="D1109" s="1" t="inlineStr">
        <is>
          <t>HAIFENG</t>
        </is>
      </c>
      <c r="E1109" s="4">
        <f>COUNTIF('DETALLE CRONOLÓGICO'!$A$2:$A$4919,$A1109)</f>
        <v/>
      </c>
      <c r="F1109" s="4">
        <f>SUMIFS('DETALLE CRONOLÓGICO'!$I$2:$I$4919,'DETALLE CRONOLÓGICO'!$A$2:$A$4919,$A1109)</f>
        <v/>
      </c>
      <c r="G1109" s="1">
        <f>INDEX('DETALLE CRONOLÓGICO'!$D$2:$D$4919,MATCH($A1109,'DETALLE CRONOLÓGICO'!$A$2:$A$4919,0))</f>
        <v/>
      </c>
      <c r="H1109" s="1">
        <f>INDEX('DETALLE CRONOLÓGICO'!$D$2:$D$4919,MATCH($A1109,'DETALLE CRONOLÓGICO'!$A$2:$A$4919,0)+$E1109-1)</f>
        <v/>
      </c>
      <c r="I1109" s="5">
        <f>IFERROR(SUMIFS('DETALLE CRONOLÓGICO'!$L$2:$L$4919,'DETALLE CRONOLÓGICO'!$A$2:$A$4919,$A1109)/$F1109,"")</f>
        <v/>
      </c>
      <c r="J1109" s="6">
        <f>IFERROR(SUMIFS('DETALLE CRONOLÓGICO'!$K$2:$K$4919,'DETALLE CRONOLÓGICO'!$A$2:$A$4919,$A1109)/$E1109,"")</f>
        <v/>
      </c>
      <c r="K1109" s="6">
        <f>_xlfn.MINIFS('DETALLE CRONOLÓGICO'!$K$2:$K$4919,'DETALLE CRONOLÓGICO'!$A$2:$A$4919,$A1109)</f>
        <v/>
      </c>
      <c r="L1109" s="6">
        <f>_xlfn.MAXIFS('DETALLE CRONOLÓGICO'!$K$2:$K$4919,'DETALLE CRONOLÓGICO'!$A$2:$A$4919,$A1109)</f>
        <v/>
      </c>
      <c r="M1109" s="6">
        <f>INDEX('DETALLE CRONOLÓGICO'!$K$2:$K$4919,MATCH($A1109,'DETALLE CRONOLÓGICO'!$A$2:$A$4919,0)+$E1109-1)</f>
        <v/>
      </c>
      <c r="N1109" s="7">
        <f>IFERROR($M1109/INDEX('DETALLE CRONOLÓGICO'!$K$2:$K$4919,MATCH($A1109,'DETALLE CRONOLÓGICO'!$A$2:$A$4919,0))-1,"")</f>
        <v/>
      </c>
      <c r="O1109" s="6">
        <f>IFERROR($I1109*3,"")</f>
        <v/>
      </c>
      <c r="P1109" s="6">
        <f>IFERROR($I1109*3.5,"")</f>
        <v/>
      </c>
      <c r="Q1109" s="6">
        <f>IFERROR($I1109*4,"")</f>
        <v/>
      </c>
      <c r="R1109" s="6" t="n">
        <v>400</v>
      </c>
      <c r="S1109" s="4" t="n">
        <v>4</v>
      </c>
      <c r="T1109" s="1" t="inlineStr">
        <is>
          <t>active</t>
        </is>
      </c>
      <c r="U1109" s="8" t="n"/>
      <c r="V1109" s="1" t="inlineStr">
        <is>
          <t>SIN PRECIO</t>
        </is>
      </c>
    </row>
    <row r="1110">
      <c r="A1110" s="1" t="inlineStr">
        <is>
          <t>63e0b72d92a68</t>
        </is>
      </c>
      <c r="B1110" s="1" t="inlineStr">
        <is>
          <t>ANILLO COCO ROSE GOLD</t>
        </is>
      </c>
      <c r="C1110" s="1" t="inlineStr">
        <is>
          <t>5</t>
        </is>
      </c>
      <c r="D1110" s="1" t="inlineStr">
        <is>
          <t>HAIFENG</t>
        </is>
      </c>
      <c r="E1110" s="4">
        <f>COUNTIF('DETALLE CRONOLÓGICO'!$A$2:$A$4919,$A1110)</f>
        <v/>
      </c>
      <c r="F1110" s="4">
        <f>SUMIFS('DETALLE CRONOLÓGICO'!$I$2:$I$4919,'DETALLE CRONOLÓGICO'!$A$2:$A$4919,$A1110)</f>
        <v/>
      </c>
      <c r="G1110" s="1">
        <f>INDEX('DETALLE CRONOLÓGICO'!$D$2:$D$4919,MATCH($A1110,'DETALLE CRONOLÓGICO'!$A$2:$A$4919,0))</f>
        <v/>
      </c>
      <c r="H1110" s="1">
        <f>INDEX('DETALLE CRONOLÓGICO'!$D$2:$D$4919,MATCH($A1110,'DETALLE CRONOLÓGICO'!$A$2:$A$4919,0)+$E1110-1)</f>
        <v/>
      </c>
      <c r="I1110" s="5">
        <f>IFERROR(SUMIFS('DETALLE CRONOLÓGICO'!$L$2:$L$4919,'DETALLE CRONOLÓGICO'!$A$2:$A$4919,$A1110)/$F1110,"")</f>
        <v/>
      </c>
      <c r="J1110" s="6">
        <f>IFERROR(SUMIFS('DETALLE CRONOLÓGICO'!$K$2:$K$4919,'DETALLE CRONOLÓGICO'!$A$2:$A$4919,$A1110)/$E1110,"")</f>
        <v/>
      </c>
      <c r="K1110" s="6">
        <f>_xlfn.MINIFS('DETALLE CRONOLÓGICO'!$K$2:$K$4919,'DETALLE CRONOLÓGICO'!$A$2:$A$4919,$A1110)</f>
        <v/>
      </c>
      <c r="L1110" s="6">
        <f>_xlfn.MAXIFS('DETALLE CRONOLÓGICO'!$K$2:$K$4919,'DETALLE CRONOLÓGICO'!$A$2:$A$4919,$A1110)</f>
        <v/>
      </c>
      <c r="M1110" s="6">
        <f>INDEX('DETALLE CRONOLÓGICO'!$K$2:$K$4919,MATCH($A1110,'DETALLE CRONOLÓGICO'!$A$2:$A$4919,0)+$E1110-1)</f>
        <v/>
      </c>
      <c r="N1110" s="7">
        <f>IFERROR($M1110/INDEX('DETALLE CRONOLÓGICO'!$K$2:$K$4919,MATCH($A1110,'DETALLE CRONOLÓGICO'!$A$2:$A$4919,0))-1,"")</f>
        <v/>
      </c>
      <c r="O1110" s="6">
        <f>IFERROR($I1110*3,"")</f>
        <v/>
      </c>
      <c r="P1110" s="6">
        <f>IFERROR($I1110*3.5,"")</f>
        <v/>
      </c>
      <c r="Q1110" s="6">
        <f>IFERROR($I1110*4,"")</f>
        <v/>
      </c>
      <c r="R1110" s="6" t="n">
        <v>400</v>
      </c>
      <c r="S1110" s="4" t="n">
        <v>4</v>
      </c>
      <c r="T1110" s="1" t="inlineStr">
        <is>
          <t>active</t>
        </is>
      </c>
      <c r="U1110" s="8" t="n"/>
      <c r="V1110" s="1" t="inlineStr">
        <is>
          <t>SIN PRECIO</t>
        </is>
      </c>
    </row>
    <row r="1111">
      <c r="A1111" s="1" t="inlineStr">
        <is>
          <t>63e0b72e8ae97</t>
        </is>
      </c>
      <c r="B1111" s="1" t="inlineStr">
        <is>
          <t>ANILLO COCO GOLD</t>
        </is>
      </c>
      <c r="C1111" s="1" t="inlineStr">
        <is>
          <t>9</t>
        </is>
      </c>
      <c r="D1111" s="1" t="inlineStr">
        <is>
          <t>HAIFENG</t>
        </is>
      </c>
      <c r="E1111" s="4">
        <f>COUNTIF('DETALLE CRONOLÓGICO'!$A$2:$A$4919,$A1111)</f>
        <v/>
      </c>
      <c r="F1111" s="4">
        <f>SUMIFS('DETALLE CRONOLÓGICO'!$I$2:$I$4919,'DETALLE CRONOLÓGICO'!$A$2:$A$4919,$A1111)</f>
        <v/>
      </c>
      <c r="G1111" s="1">
        <f>INDEX('DETALLE CRONOLÓGICO'!$D$2:$D$4919,MATCH($A1111,'DETALLE CRONOLÓGICO'!$A$2:$A$4919,0))</f>
        <v/>
      </c>
      <c r="H1111" s="1">
        <f>INDEX('DETALLE CRONOLÓGICO'!$D$2:$D$4919,MATCH($A1111,'DETALLE CRONOLÓGICO'!$A$2:$A$4919,0)+$E1111-1)</f>
        <v/>
      </c>
      <c r="I1111" s="5">
        <f>IFERROR(SUMIFS('DETALLE CRONOLÓGICO'!$L$2:$L$4919,'DETALLE CRONOLÓGICO'!$A$2:$A$4919,$A1111)/$F1111,"")</f>
        <v/>
      </c>
      <c r="J1111" s="6">
        <f>IFERROR(SUMIFS('DETALLE CRONOLÓGICO'!$K$2:$K$4919,'DETALLE CRONOLÓGICO'!$A$2:$A$4919,$A1111)/$E1111,"")</f>
        <v/>
      </c>
      <c r="K1111" s="6">
        <f>_xlfn.MINIFS('DETALLE CRONOLÓGICO'!$K$2:$K$4919,'DETALLE CRONOLÓGICO'!$A$2:$A$4919,$A1111)</f>
        <v/>
      </c>
      <c r="L1111" s="6">
        <f>_xlfn.MAXIFS('DETALLE CRONOLÓGICO'!$K$2:$K$4919,'DETALLE CRONOLÓGICO'!$A$2:$A$4919,$A1111)</f>
        <v/>
      </c>
      <c r="M1111" s="6">
        <f>INDEX('DETALLE CRONOLÓGICO'!$K$2:$K$4919,MATCH($A1111,'DETALLE CRONOLÓGICO'!$A$2:$A$4919,0)+$E1111-1)</f>
        <v/>
      </c>
      <c r="N1111" s="7">
        <f>IFERROR($M1111/INDEX('DETALLE CRONOLÓGICO'!$K$2:$K$4919,MATCH($A1111,'DETALLE CRONOLÓGICO'!$A$2:$A$4919,0))-1,"")</f>
        <v/>
      </c>
      <c r="O1111" s="6">
        <f>IFERROR($I1111*3,"")</f>
        <v/>
      </c>
      <c r="P1111" s="6">
        <f>IFERROR($I1111*3.5,"")</f>
        <v/>
      </c>
      <c r="Q1111" s="6">
        <f>IFERROR($I1111*4,"")</f>
        <v/>
      </c>
      <c r="R1111" s="6" t="n">
        <v>400</v>
      </c>
      <c r="S1111" s="4" t="n">
        <v>2</v>
      </c>
      <c r="T1111" s="1" t="inlineStr">
        <is>
          <t>active</t>
        </is>
      </c>
      <c r="U1111" s="8" t="n"/>
      <c r="V1111" s="1" t="inlineStr">
        <is>
          <t>SIN PRECIO</t>
        </is>
      </c>
    </row>
    <row r="1112">
      <c r="A1112" s="1" t="inlineStr">
        <is>
          <t>63e0b72e8ceb1</t>
        </is>
      </c>
      <c r="B1112" s="1" t="inlineStr">
        <is>
          <t>ANILLO COCO ROSE GOLD</t>
        </is>
      </c>
      <c r="C1112" s="1" t="inlineStr">
        <is>
          <t>6</t>
        </is>
      </c>
      <c r="D1112" s="1" t="inlineStr">
        <is>
          <t>HAIFENG</t>
        </is>
      </c>
      <c r="E1112" s="4">
        <f>COUNTIF('DETALLE CRONOLÓGICO'!$A$2:$A$4919,$A1112)</f>
        <v/>
      </c>
      <c r="F1112" s="4">
        <f>SUMIFS('DETALLE CRONOLÓGICO'!$I$2:$I$4919,'DETALLE CRONOLÓGICO'!$A$2:$A$4919,$A1112)</f>
        <v/>
      </c>
      <c r="G1112" s="1">
        <f>INDEX('DETALLE CRONOLÓGICO'!$D$2:$D$4919,MATCH($A1112,'DETALLE CRONOLÓGICO'!$A$2:$A$4919,0))</f>
        <v/>
      </c>
      <c r="H1112" s="1">
        <f>INDEX('DETALLE CRONOLÓGICO'!$D$2:$D$4919,MATCH($A1112,'DETALLE CRONOLÓGICO'!$A$2:$A$4919,0)+$E1112-1)</f>
        <v/>
      </c>
      <c r="I1112" s="5">
        <f>IFERROR(SUMIFS('DETALLE CRONOLÓGICO'!$L$2:$L$4919,'DETALLE CRONOLÓGICO'!$A$2:$A$4919,$A1112)/$F1112,"")</f>
        <v/>
      </c>
      <c r="J1112" s="6">
        <f>IFERROR(SUMIFS('DETALLE CRONOLÓGICO'!$K$2:$K$4919,'DETALLE CRONOLÓGICO'!$A$2:$A$4919,$A1112)/$E1112,"")</f>
        <v/>
      </c>
      <c r="K1112" s="6">
        <f>_xlfn.MINIFS('DETALLE CRONOLÓGICO'!$K$2:$K$4919,'DETALLE CRONOLÓGICO'!$A$2:$A$4919,$A1112)</f>
        <v/>
      </c>
      <c r="L1112" s="6">
        <f>_xlfn.MAXIFS('DETALLE CRONOLÓGICO'!$K$2:$K$4919,'DETALLE CRONOLÓGICO'!$A$2:$A$4919,$A1112)</f>
        <v/>
      </c>
      <c r="M1112" s="6">
        <f>INDEX('DETALLE CRONOLÓGICO'!$K$2:$K$4919,MATCH($A1112,'DETALLE CRONOLÓGICO'!$A$2:$A$4919,0)+$E1112-1)</f>
        <v/>
      </c>
      <c r="N1112" s="7">
        <f>IFERROR($M1112/INDEX('DETALLE CRONOLÓGICO'!$K$2:$K$4919,MATCH($A1112,'DETALLE CRONOLÓGICO'!$A$2:$A$4919,0))-1,"")</f>
        <v/>
      </c>
      <c r="O1112" s="6">
        <f>IFERROR($I1112*3,"")</f>
        <v/>
      </c>
      <c r="P1112" s="6">
        <f>IFERROR($I1112*3.5,"")</f>
        <v/>
      </c>
      <c r="Q1112" s="6">
        <f>IFERROR($I1112*4,"")</f>
        <v/>
      </c>
      <c r="R1112" s="6" t="n">
        <v>400</v>
      </c>
      <c r="S1112" s="4" t="n">
        <v>1</v>
      </c>
      <c r="T1112" s="1" t="inlineStr">
        <is>
          <t>active</t>
        </is>
      </c>
      <c r="U1112" s="8" t="n"/>
      <c r="V1112" s="1" t="inlineStr">
        <is>
          <t>SIN PRECIO</t>
        </is>
      </c>
    </row>
    <row r="1113">
      <c r="A1113" s="1" t="inlineStr">
        <is>
          <t>63e0b72f8b602</t>
        </is>
      </c>
      <c r="B1113" s="1" t="inlineStr">
        <is>
          <t>ANILLO COCO SILVER</t>
        </is>
      </c>
      <c r="C1113" s="1" t="inlineStr">
        <is>
          <t>5</t>
        </is>
      </c>
      <c r="D1113" s="1" t="inlineStr">
        <is>
          <t>HAIFENG</t>
        </is>
      </c>
      <c r="E1113" s="4">
        <f>COUNTIF('DETALLE CRONOLÓGICO'!$A$2:$A$4919,$A1113)</f>
        <v/>
      </c>
      <c r="F1113" s="4">
        <f>SUMIFS('DETALLE CRONOLÓGICO'!$I$2:$I$4919,'DETALLE CRONOLÓGICO'!$A$2:$A$4919,$A1113)</f>
        <v/>
      </c>
      <c r="G1113" s="1">
        <f>INDEX('DETALLE CRONOLÓGICO'!$D$2:$D$4919,MATCH($A1113,'DETALLE CRONOLÓGICO'!$A$2:$A$4919,0))</f>
        <v/>
      </c>
      <c r="H1113" s="1">
        <f>INDEX('DETALLE CRONOLÓGICO'!$D$2:$D$4919,MATCH($A1113,'DETALLE CRONOLÓGICO'!$A$2:$A$4919,0)+$E1113-1)</f>
        <v/>
      </c>
      <c r="I1113" s="5">
        <f>IFERROR(SUMIFS('DETALLE CRONOLÓGICO'!$L$2:$L$4919,'DETALLE CRONOLÓGICO'!$A$2:$A$4919,$A1113)/$F1113,"")</f>
        <v/>
      </c>
      <c r="J1113" s="6">
        <f>IFERROR(SUMIFS('DETALLE CRONOLÓGICO'!$K$2:$K$4919,'DETALLE CRONOLÓGICO'!$A$2:$A$4919,$A1113)/$E1113,"")</f>
        <v/>
      </c>
      <c r="K1113" s="6">
        <f>_xlfn.MINIFS('DETALLE CRONOLÓGICO'!$K$2:$K$4919,'DETALLE CRONOLÓGICO'!$A$2:$A$4919,$A1113)</f>
        <v/>
      </c>
      <c r="L1113" s="6">
        <f>_xlfn.MAXIFS('DETALLE CRONOLÓGICO'!$K$2:$K$4919,'DETALLE CRONOLÓGICO'!$A$2:$A$4919,$A1113)</f>
        <v/>
      </c>
      <c r="M1113" s="6">
        <f>INDEX('DETALLE CRONOLÓGICO'!$K$2:$K$4919,MATCH($A1113,'DETALLE CRONOLÓGICO'!$A$2:$A$4919,0)+$E1113-1)</f>
        <v/>
      </c>
      <c r="N1113" s="7">
        <f>IFERROR($M1113/INDEX('DETALLE CRONOLÓGICO'!$K$2:$K$4919,MATCH($A1113,'DETALLE CRONOLÓGICO'!$A$2:$A$4919,0))-1,"")</f>
        <v/>
      </c>
      <c r="O1113" s="6">
        <f>IFERROR($I1113*3,"")</f>
        <v/>
      </c>
      <c r="P1113" s="6">
        <f>IFERROR($I1113*3.5,"")</f>
        <v/>
      </c>
      <c r="Q1113" s="6">
        <f>IFERROR($I1113*4,"")</f>
        <v/>
      </c>
      <c r="R1113" s="6" t="n">
        <v>400</v>
      </c>
      <c r="S1113" s="4" t="n">
        <v>4</v>
      </c>
      <c r="T1113" s="1" t="inlineStr">
        <is>
          <t>active</t>
        </is>
      </c>
      <c r="U1113" s="8" t="n"/>
      <c r="V1113" s="1" t="inlineStr">
        <is>
          <t>SIN PRECIO</t>
        </is>
      </c>
    </row>
    <row r="1114">
      <c r="A1114" s="1" t="inlineStr">
        <is>
          <t>63e0b73078446</t>
        </is>
      </c>
      <c r="B1114" s="1" t="inlineStr">
        <is>
          <t>ANILLO COCO SILVER</t>
        </is>
      </c>
      <c r="C1114" s="1" t="inlineStr">
        <is>
          <t>6</t>
        </is>
      </c>
      <c r="D1114" s="1" t="inlineStr">
        <is>
          <t>HAIFENG</t>
        </is>
      </c>
      <c r="E1114" s="4">
        <f>COUNTIF('DETALLE CRONOLÓGICO'!$A$2:$A$4919,$A1114)</f>
        <v/>
      </c>
      <c r="F1114" s="4">
        <f>SUMIFS('DETALLE CRONOLÓGICO'!$I$2:$I$4919,'DETALLE CRONOLÓGICO'!$A$2:$A$4919,$A1114)</f>
        <v/>
      </c>
      <c r="G1114" s="1">
        <f>INDEX('DETALLE CRONOLÓGICO'!$D$2:$D$4919,MATCH($A1114,'DETALLE CRONOLÓGICO'!$A$2:$A$4919,0))</f>
        <v/>
      </c>
      <c r="H1114" s="1">
        <f>INDEX('DETALLE CRONOLÓGICO'!$D$2:$D$4919,MATCH($A1114,'DETALLE CRONOLÓGICO'!$A$2:$A$4919,0)+$E1114-1)</f>
        <v/>
      </c>
      <c r="I1114" s="5">
        <f>IFERROR(SUMIFS('DETALLE CRONOLÓGICO'!$L$2:$L$4919,'DETALLE CRONOLÓGICO'!$A$2:$A$4919,$A1114)/$F1114,"")</f>
        <v/>
      </c>
      <c r="J1114" s="6">
        <f>IFERROR(SUMIFS('DETALLE CRONOLÓGICO'!$K$2:$K$4919,'DETALLE CRONOLÓGICO'!$A$2:$A$4919,$A1114)/$E1114,"")</f>
        <v/>
      </c>
      <c r="K1114" s="6">
        <f>_xlfn.MINIFS('DETALLE CRONOLÓGICO'!$K$2:$K$4919,'DETALLE CRONOLÓGICO'!$A$2:$A$4919,$A1114)</f>
        <v/>
      </c>
      <c r="L1114" s="6">
        <f>_xlfn.MAXIFS('DETALLE CRONOLÓGICO'!$K$2:$K$4919,'DETALLE CRONOLÓGICO'!$A$2:$A$4919,$A1114)</f>
        <v/>
      </c>
      <c r="M1114" s="6">
        <f>INDEX('DETALLE CRONOLÓGICO'!$K$2:$K$4919,MATCH($A1114,'DETALLE CRONOLÓGICO'!$A$2:$A$4919,0)+$E1114-1)</f>
        <v/>
      </c>
      <c r="N1114" s="7">
        <f>IFERROR($M1114/INDEX('DETALLE CRONOLÓGICO'!$K$2:$K$4919,MATCH($A1114,'DETALLE CRONOLÓGICO'!$A$2:$A$4919,0))-1,"")</f>
        <v/>
      </c>
      <c r="O1114" s="6">
        <f>IFERROR($I1114*3,"")</f>
        <v/>
      </c>
      <c r="P1114" s="6">
        <f>IFERROR($I1114*3.5,"")</f>
        <v/>
      </c>
      <c r="Q1114" s="6">
        <f>IFERROR($I1114*4,"")</f>
        <v/>
      </c>
      <c r="R1114" s="6" t="n">
        <v>400</v>
      </c>
      <c r="S1114" s="4" t="n">
        <v>2</v>
      </c>
      <c r="T1114" s="1" t="inlineStr">
        <is>
          <t>active</t>
        </is>
      </c>
      <c r="U1114" s="8" t="n"/>
      <c r="V1114" s="1" t="inlineStr">
        <is>
          <t>SIN PRECIO</t>
        </is>
      </c>
    </row>
    <row r="1115">
      <c r="A1115" s="1" t="inlineStr">
        <is>
          <t>63e0b7307c4b5</t>
        </is>
      </c>
      <c r="B1115" s="1" t="inlineStr">
        <is>
          <t>ANILLO COCO ROSE GOLD</t>
        </is>
      </c>
      <c r="C1115" s="1" t="inlineStr">
        <is>
          <t>7</t>
        </is>
      </c>
      <c r="D1115" s="1" t="inlineStr">
        <is>
          <t>HAIFENG</t>
        </is>
      </c>
      <c r="E1115" s="4">
        <f>COUNTIF('DETALLE CRONOLÓGICO'!$A$2:$A$4919,$A1115)</f>
        <v/>
      </c>
      <c r="F1115" s="4">
        <f>SUMIFS('DETALLE CRONOLÓGICO'!$I$2:$I$4919,'DETALLE CRONOLÓGICO'!$A$2:$A$4919,$A1115)</f>
        <v/>
      </c>
      <c r="G1115" s="1">
        <f>INDEX('DETALLE CRONOLÓGICO'!$D$2:$D$4919,MATCH($A1115,'DETALLE CRONOLÓGICO'!$A$2:$A$4919,0))</f>
        <v/>
      </c>
      <c r="H1115" s="1">
        <f>INDEX('DETALLE CRONOLÓGICO'!$D$2:$D$4919,MATCH($A1115,'DETALLE CRONOLÓGICO'!$A$2:$A$4919,0)+$E1115-1)</f>
        <v/>
      </c>
      <c r="I1115" s="5">
        <f>IFERROR(SUMIFS('DETALLE CRONOLÓGICO'!$L$2:$L$4919,'DETALLE CRONOLÓGICO'!$A$2:$A$4919,$A1115)/$F1115,"")</f>
        <v/>
      </c>
      <c r="J1115" s="6">
        <f>IFERROR(SUMIFS('DETALLE CRONOLÓGICO'!$K$2:$K$4919,'DETALLE CRONOLÓGICO'!$A$2:$A$4919,$A1115)/$E1115,"")</f>
        <v/>
      </c>
      <c r="K1115" s="6">
        <f>_xlfn.MINIFS('DETALLE CRONOLÓGICO'!$K$2:$K$4919,'DETALLE CRONOLÓGICO'!$A$2:$A$4919,$A1115)</f>
        <v/>
      </c>
      <c r="L1115" s="6">
        <f>_xlfn.MAXIFS('DETALLE CRONOLÓGICO'!$K$2:$K$4919,'DETALLE CRONOLÓGICO'!$A$2:$A$4919,$A1115)</f>
        <v/>
      </c>
      <c r="M1115" s="6">
        <f>INDEX('DETALLE CRONOLÓGICO'!$K$2:$K$4919,MATCH($A1115,'DETALLE CRONOLÓGICO'!$A$2:$A$4919,0)+$E1115-1)</f>
        <v/>
      </c>
      <c r="N1115" s="7">
        <f>IFERROR($M1115/INDEX('DETALLE CRONOLÓGICO'!$K$2:$K$4919,MATCH($A1115,'DETALLE CRONOLÓGICO'!$A$2:$A$4919,0))-1,"")</f>
        <v/>
      </c>
      <c r="O1115" s="6">
        <f>IFERROR($I1115*3,"")</f>
        <v/>
      </c>
      <c r="P1115" s="6">
        <f>IFERROR($I1115*3.5,"")</f>
        <v/>
      </c>
      <c r="Q1115" s="6">
        <f>IFERROR($I1115*4,"")</f>
        <v/>
      </c>
      <c r="R1115" s="6" t="n">
        <v>400</v>
      </c>
      <c r="S1115" s="4" t="n">
        <v>0</v>
      </c>
      <c r="T1115" s="1" t="inlineStr">
        <is>
          <t>active</t>
        </is>
      </c>
      <c r="U1115" s="8" t="n"/>
      <c r="V1115" s="1" t="inlineStr">
        <is>
          <t>SIN PRECIO</t>
        </is>
      </c>
    </row>
    <row r="1116">
      <c r="A1116" s="1" t="inlineStr">
        <is>
          <t>63e0b7315fccc</t>
        </is>
      </c>
      <c r="B1116" s="1" t="inlineStr">
        <is>
          <t>ANILLO COCO ROSE GOLD</t>
        </is>
      </c>
      <c r="C1116" s="1" t="inlineStr">
        <is>
          <t>8</t>
        </is>
      </c>
      <c r="D1116" s="1" t="inlineStr">
        <is>
          <t>HAIFENG</t>
        </is>
      </c>
      <c r="E1116" s="4">
        <f>COUNTIF('DETALLE CRONOLÓGICO'!$A$2:$A$4919,$A1116)</f>
        <v/>
      </c>
      <c r="F1116" s="4">
        <f>SUMIFS('DETALLE CRONOLÓGICO'!$I$2:$I$4919,'DETALLE CRONOLÓGICO'!$A$2:$A$4919,$A1116)</f>
        <v/>
      </c>
      <c r="G1116" s="1">
        <f>INDEX('DETALLE CRONOLÓGICO'!$D$2:$D$4919,MATCH($A1116,'DETALLE CRONOLÓGICO'!$A$2:$A$4919,0))</f>
        <v/>
      </c>
      <c r="H1116" s="1">
        <f>INDEX('DETALLE CRONOLÓGICO'!$D$2:$D$4919,MATCH($A1116,'DETALLE CRONOLÓGICO'!$A$2:$A$4919,0)+$E1116-1)</f>
        <v/>
      </c>
      <c r="I1116" s="5">
        <f>IFERROR(SUMIFS('DETALLE CRONOLÓGICO'!$L$2:$L$4919,'DETALLE CRONOLÓGICO'!$A$2:$A$4919,$A1116)/$F1116,"")</f>
        <v/>
      </c>
      <c r="J1116" s="6">
        <f>IFERROR(SUMIFS('DETALLE CRONOLÓGICO'!$K$2:$K$4919,'DETALLE CRONOLÓGICO'!$A$2:$A$4919,$A1116)/$E1116,"")</f>
        <v/>
      </c>
      <c r="K1116" s="6">
        <f>_xlfn.MINIFS('DETALLE CRONOLÓGICO'!$K$2:$K$4919,'DETALLE CRONOLÓGICO'!$A$2:$A$4919,$A1116)</f>
        <v/>
      </c>
      <c r="L1116" s="6">
        <f>_xlfn.MAXIFS('DETALLE CRONOLÓGICO'!$K$2:$K$4919,'DETALLE CRONOLÓGICO'!$A$2:$A$4919,$A1116)</f>
        <v/>
      </c>
      <c r="M1116" s="6">
        <f>INDEX('DETALLE CRONOLÓGICO'!$K$2:$K$4919,MATCH($A1116,'DETALLE CRONOLÓGICO'!$A$2:$A$4919,0)+$E1116-1)</f>
        <v/>
      </c>
      <c r="N1116" s="7">
        <f>IFERROR($M1116/INDEX('DETALLE CRONOLÓGICO'!$K$2:$K$4919,MATCH($A1116,'DETALLE CRONOLÓGICO'!$A$2:$A$4919,0))-1,"")</f>
        <v/>
      </c>
      <c r="O1116" s="6">
        <f>IFERROR($I1116*3,"")</f>
        <v/>
      </c>
      <c r="P1116" s="6">
        <f>IFERROR($I1116*3.5,"")</f>
        <v/>
      </c>
      <c r="Q1116" s="6">
        <f>IFERROR($I1116*4,"")</f>
        <v/>
      </c>
      <c r="R1116" s="6" t="n">
        <v>400</v>
      </c>
      <c r="S1116" s="4" t="n">
        <v>1</v>
      </c>
      <c r="T1116" s="1" t="inlineStr">
        <is>
          <t>active</t>
        </is>
      </c>
      <c r="U1116" s="8" t="n"/>
      <c r="V1116" s="1" t="inlineStr">
        <is>
          <t>SIN PRECIO</t>
        </is>
      </c>
    </row>
    <row r="1117">
      <c r="A1117" s="1" t="inlineStr">
        <is>
          <t>63e0b731a865e</t>
        </is>
      </c>
      <c r="B1117" s="1" t="inlineStr">
        <is>
          <t>ANILLO COCO SILVER</t>
        </is>
      </c>
      <c r="C1117" s="1" t="inlineStr">
        <is>
          <t>7</t>
        </is>
      </c>
      <c r="D1117" s="1" t="inlineStr">
        <is>
          <t>HAIFENG</t>
        </is>
      </c>
      <c r="E1117" s="4">
        <f>COUNTIF('DETALLE CRONOLÓGICO'!$A$2:$A$4919,$A1117)</f>
        <v/>
      </c>
      <c r="F1117" s="4">
        <f>SUMIFS('DETALLE CRONOLÓGICO'!$I$2:$I$4919,'DETALLE CRONOLÓGICO'!$A$2:$A$4919,$A1117)</f>
        <v/>
      </c>
      <c r="G1117" s="1">
        <f>INDEX('DETALLE CRONOLÓGICO'!$D$2:$D$4919,MATCH($A1117,'DETALLE CRONOLÓGICO'!$A$2:$A$4919,0))</f>
        <v/>
      </c>
      <c r="H1117" s="1">
        <f>INDEX('DETALLE CRONOLÓGICO'!$D$2:$D$4919,MATCH($A1117,'DETALLE CRONOLÓGICO'!$A$2:$A$4919,0)+$E1117-1)</f>
        <v/>
      </c>
      <c r="I1117" s="5">
        <f>IFERROR(SUMIFS('DETALLE CRONOLÓGICO'!$L$2:$L$4919,'DETALLE CRONOLÓGICO'!$A$2:$A$4919,$A1117)/$F1117,"")</f>
        <v/>
      </c>
      <c r="J1117" s="6">
        <f>IFERROR(SUMIFS('DETALLE CRONOLÓGICO'!$K$2:$K$4919,'DETALLE CRONOLÓGICO'!$A$2:$A$4919,$A1117)/$E1117,"")</f>
        <v/>
      </c>
      <c r="K1117" s="6">
        <f>_xlfn.MINIFS('DETALLE CRONOLÓGICO'!$K$2:$K$4919,'DETALLE CRONOLÓGICO'!$A$2:$A$4919,$A1117)</f>
        <v/>
      </c>
      <c r="L1117" s="6">
        <f>_xlfn.MAXIFS('DETALLE CRONOLÓGICO'!$K$2:$K$4919,'DETALLE CRONOLÓGICO'!$A$2:$A$4919,$A1117)</f>
        <v/>
      </c>
      <c r="M1117" s="6">
        <f>INDEX('DETALLE CRONOLÓGICO'!$K$2:$K$4919,MATCH($A1117,'DETALLE CRONOLÓGICO'!$A$2:$A$4919,0)+$E1117-1)</f>
        <v/>
      </c>
      <c r="N1117" s="7">
        <f>IFERROR($M1117/INDEX('DETALLE CRONOLÓGICO'!$K$2:$K$4919,MATCH($A1117,'DETALLE CRONOLÓGICO'!$A$2:$A$4919,0))-1,"")</f>
        <v/>
      </c>
      <c r="O1117" s="6">
        <f>IFERROR($I1117*3,"")</f>
        <v/>
      </c>
      <c r="P1117" s="6">
        <f>IFERROR($I1117*3.5,"")</f>
        <v/>
      </c>
      <c r="Q1117" s="6">
        <f>IFERROR($I1117*4,"")</f>
        <v/>
      </c>
      <c r="R1117" s="6" t="n">
        <v>400</v>
      </c>
      <c r="S1117" s="4" t="n">
        <v>7</v>
      </c>
      <c r="T1117" s="1" t="inlineStr">
        <is>
          <t>active</t>
        </is>
      </c>
      <c r="U1117" s="8" t="n"/>
      <c r="V1117" s="1" t="inlineStr">
        <is>
          <t>SIN PRECIO</t>
        </is>
      </c>
    </row>
    <row r="1118">
      <c r="A1118" s="1" t="inlineStr">
        <is>
          <t>63e0b7329703a</t>
        </is>
      </c>
      <c r="B1118" s="1" t="inlineStr">
        <is>
          <t>ANILLO COCO SILVER</t>
        </is>
      </c>
      <c r="C1118" s="1" t="inlineStr">
        <is>
          <t>8</t>
        </is>
      </c>
      <c r="D1118" s="1" t="inlineStr">
        <is>
          <t>HAIFENG</t>
        </is>
      </c>
      <c r="E1118" s="4">
        <f>COUNTIF('DETALLE CRONOLÓGICO'!$A$2:$A$4919,$A1118)</f>
        <v/>
      </c>
      <c r="F1118" s="4">
        <f>SUMIFS('DETALLE CRONOLÓGICO'!$I$2:$I$4919,'DETALLE CRONOLÓGICO'!$A$2:$A$4919,$A1118)</f>
        <v/>
      </c>
      <c r="G1118" s="1">
        <f>INDEX('DETALLE CRONOLÓGICO'!$D$2:$D$4919,MATCH($A1118,'DETALLE CRONOLÓGICO'!$A$2:$A$4919,0))</f>
        <v/>
      </c>
      <c r="H1118" s="1">
        <f>INDEX('DETALLE CRONOLÓGICO'!$D$2:$D$4919,MATCH($A1118,'DETALLE CRONOLÓGICO'!$A$2:$A$4919,0)+$E1118-1)</f>
        <v/>
      </c>
      <c r="I1118" s="5">
        <f>IFERROR(SUMIFS('DETALLE CRONOLÓGICO'!$L$2:$L$4919,'DETALLE CRONOLÓGICO'!$A$2:$A$4919,$A1118)/$F1118,"")</f>
        <v/>
      </c>
      <c r="J1118" s="6">
        <f>IFERROR(SUMIFS('DETALLE CRONOLÓGICO'!$K$2:$K$4919,'DETALLE CRONOLÓGICO'!$A$2:$A$4919,$A1118)/$E1118,"")</f>
        <v/>
      </c>
      <c r="K1118" s="6">
        <f>_xlfn.MINIFS('DETALLE CRONOLÓGICO'!$K$2:$K$4919,'DETALLE CRONOLÓGICO'!$A$2:$A$4919,$A1118)</f>
        <v/>
      </c>
      <c r="L1118" s="6">
        <f>_xlfn.MAXIFS('DETALLE CRONOLÓGICO'!$K$2:$K$4919,'DETALLE CRONOLÓGICO'!$A$2:$A$4919,$A1118)</f>
        <v/>
      </c>
      <c r="M1118" s="6">
        <f>INDEX('DETALLE CRONOLÓGICO'!$K$2:$K$4919,MATCH($A1118,'DETALLE CRONOLÓGICO'!$A$2:$A$4919,0)+$E1118-1)</f>
        <v/>
      </c>
      <c r="N1118" s="7">
        <f>IFERROR($M1118/INDEX('DETALLE CRONOLÓGICO'!$K$2:$K$4919,MATCH($A1118,'DETALLE CRONOLÓGICO'!$A$2:$A$4919,0))-1,"")</f>
        <v/>
      </c>
      <c r="O1118" s="6">
        <f>IFERROR($I1118*3,"")</f>
        <v/>
      </c>
      <c r="P1118" s="6">
        <f>IFERROR($I1118*3.5,"")</f>
        <v/>
      </c>
      <c r="Q1118" s="6">
        <f>IFERROR($I1118*4,"")</f>
        <v/>
      </c>
      <c r="R1118" s="6" t="n">
        <v>400</v>
      </c>
      <c r="S1118" s="4" t="n">
        <v>3</v>
      </c>
      <c r="T1118" s="1" t="inlineStr">
        <is>
          <t>active</t>
        </is>
      </c>
      <c r="U1118" s="8" t="n"/>
      <c r="V1118" s="1" t="inlineStr">
        <is>
          <t>SIN PRECIO</t>
        </is>
      </c>
    </row>
    <row r="1119">
      <c r="A1119" s="1" t="inlineStr">
        <is>
          <t>63e0b7337fc65</t>
        </is>
      </c>
      <c r="B1119" s="1" t="inlineStr">
        <is>
          <t>ANILLO COCO SILVER</t>
        </is>
      </c>
      <c r="C1119" s="1" t="inlineStr">
        <is>
          <t>9</t>
        </is>
      </c>
      <c r="D1119" s="1" t="inlineStr">
        <is>
          <t>HAIFENG</t>
        </is>
      </c>
      <c r="E1119" s="4">
        <f>COUNTIF('DETALLE CRONOLÓGICO'!$A$2:$A$4919,$A1119)</f>
        <v/>
      </c>
      <c r="F1119" s="4">
        <f>SUMIFS('DETALLE CRONOLÓGICO'!$I$2:$I$4919,'DETALLE CRONOLÓGICO'!$A$2:$A$4919,$A1119)</f>
        <v/>
      </c>
      <c r="G1119" s="1">
        <f>INDEX('DETALLE CRONOLÓGICO'!$D$2:$D$4919,MATCH($A1119,'DETALLE CRONOLÓGICO'!$A$2:$A$4919,0))</f>
        <v/>
      </c>
      <c r="H1119" s="1">
        <f>INDEX('DETALLE CRONOLÓGICO'!$D$2:$D$4919,MATCH($A1119,'DETALLE CRONOLÓGICO'!$A$2:$A$4919,0)+$E1119-1)</f>
        <v/>
      </c>
      <c r="I1119" s="5">
        <f>IFERROR(SUMIFS('DETALLE CRONOLÓGICO'!$L$2:$L$4919,'DETALLE CRONOLÓGICO'!$A$2:$A$4919,$A1119)/$F1119,"")</f>
        <v/>
      </c>
      <c r="J1119" s="6">
        <f>IFERROR(SUMIFS('DETALLE CRONOLÓGICO'!$K$2:$K$4919,'DETALLE CRONOLÓGICO'!$A$2:$A$4919,$A1119)/$E1119,"")</f>
        <v/>
      </c>
      <c r="K1119" s="6">
        <f>_xlfn.MINIFS('DETALLE CRONOLÓGICO'!$K$2:$K$4919,'DETALLE CRONOLÓGICO'!$A$2:$A$4919,$A1119)</f>
        <v/>
      </c>
      <c r="L1119" s="6">
        <f>_xlfn.MAXIFS('DETALLE CRONOLÓGICO'!$K$2:$K$4919,'DETALLE CRONOLÓGICO'!$A$2:$A$4919,$A1119)</f>
        <v/>
      </c>
      <c r="M1119" s="6">
        <f>INDEX('DETALLE CRONOLÓGICO'!$K$2:$K$4919,MATCH($A1119,'DETALLE CRONOLÓGICO'!$A$2:$A$4919,0)+$E1119-1)</f>
        <v/>
      </c>
      <c r="N1119" s="7">
        <f>IFERROR($M1119/INDEX('DETALLE CRONOLÓGICO'!$K$2:$K$4919,MATCH($A1119,'DETALLE CRONOLÓGICO'!$A$2:$A$4919,0))-1,"")</f>
        <v/>
      </c>
      <c r="O1119" s="6">
        <f>IFERROR($I1119*3,"")</f>
        <v/>
      </c>
      <c r="P1119" s="6">
        <f>IFERROR($I1119*3.5,"")</f>
        <v/>
      </c>
      <c r="Q1119" s="6">
        <f>IFERROR($I1119*4,"")</f>
        <v/>
      </c>
      <c r="R1119" s="6" t="n">
        <v>400</v>
      </c>
      <c r="S1119" s="4" t="n">
        <v>1</v>
      </c>
      <c r="T1119" s="1" t="inlineStr">
        <is>
          <t>active</t>
        </is>
      </c>
      <c r="U1119" s="8" t="n"/>
      <c r="V1119" s="1" t="inlineStr">
        <is>
          <t>SIN PRECIO</t>
        </is>
      </c>
    </row>
    <row r="1120">
      <c r="A1120" s="1" t="inlineStr">
        <is>
          <t>63e0bb0816c62</t>
        </is>
      </c>
      <c r="B1120" s="1" t="inlineStr">
        <is>
          <t>ARETES CC SILVER</t>
        </is>
      </c>
      <c r="C1120" s="1" t="inlineStr">
        <is>
          <t>Default Title</t>
        </is>
      </c>
      <c r="D1120" s="1" t="inlineStr">
        <is>
          <t>CYNTHIA</t>
        </is>
      </c>
      <c r="E1120" s="4">
        <f>COUNTIF('DETALLE CRONOLÓGICO'!$A$2:$A$4919,$A1120)</f>
        <v/>
      </c>
      <c r="F1120" s="4">
        <f>SUMIFS('DETALLE CRONOLÓGICO'!$I$2:$I$4919,'DETALLE CRONOLÓGICO'!$A$2:$A$4919,$A1120)</f>
        <v/>
      </c>
      <c r="G1120" s="1">
        <f>INDEX('DETALLE CRONOLÓGICO'!$D$2:$D$4919,MATCH($A1120,'DETALLE CRONOLÓGICO'!$A$2:$A$4919,0))</f>
        <v/>
      </c>
      <c r="H1120" s="1">
        <f>INDEX('DETALLE CRONOLÓGICO'!$D$2:$D$4919,MATCH($A1120,'DETALLE CRONOLÓGICO'!$A$2:$A$4919,0)+$E1120-1)</f>
        <v/>
      </c>
      <c r="I1120" s="5">
        <f>IFERROR(SUMIFS('DETALLE CRONOLÓGICO'!$L$2:$L$4919,'DETALLE CRONOLÓGICO'!$A$2:$A$4919,$A1120)/$F1120,"")</f>
        <v/>
      </c>
      <c r="J1120" s="6">
        <f>IFERROR(SUMIFS('DETALLE CRONOLÓGICO'!$K$2:$K$4919,'DETALLE CRONOLÓGICO'!$A$2:$A$4919,$A1120)/$E1120,"")</f>
        <v/>
      </c>
      <c r="K1120" s="6">
        <f>_xlfn.MINIFS('DETALLE CRONOLÓGICO'!$K$2:$K$4919,'DETALLE CRONOLÓGICO'!$A$2:$A$4919,$A1120)</f>
        <v/>
      </c>
      <c r="L1120" s="6">
        <f>_xlfn.MAXIFS('DETALLE CRONOLÓGICO'!$K$2:$K$4919,'DETALLE CRONOLÓGICO'!$A$2:$A$4919,$A1120)</f>
        <v/>
      </c>
      <c r="M1120" s="6">
        <f>INDEX('DETALLE CRONOLÓGICO'!$K$2:$K$4919,MATCH($A1120,'DETALLE CRONOLÓGICO'!$A$2:$A$4919,0)+$E1120-1)</f>
        <v/>
      </c>
      <c r="N1120" s="7">
        <f>IFERROR($M1120/INDEX('DETALLE CRONOLÓGICO'!$K$2:$K$4919,MATCH($A1120,'DETALLE CRONOLÓGICO'!$A$2:$A$4919,0))-1,"")</f>
        <v/>
      </c>
      <c r="O1120" s="6">
        <f>IFERROR($I1120*3,"")</f>
        <v/>
      </c>
      <c r="P1120" s="6">
        <f>IFERROR($I1120*3.5,"")</f>
        <v/>
      </c>
      <c r="Q1120" s="6">
        <f>IFERROR($I1120*4,"")</f>
        <v/>
      </c>
      <c r="R1120" s="6" t="n">
        <v>220</v>
      </c>
      <c r="S1120" s="4" t="n">
        <v>0</v>
      </c>
      <c r="T1120" s="1" t="inlineStr">
        <is>
          <t>active</t>
        </is>
      </c>
      <c r="U1120" s="8" t="n"/>
      <c r="V1120" s="1" t="inlineStr">
        <is>
          <t>SIN PRECIO</t>
        </is>
      </c>
    </row>
    <row r="1121">
      <c r="A1121" s="1" t="inlineStr">
        <is>
          <t>63e0bb0b18c6d</t>
        </is>
      </c>
      <c r="B1121" s="1" t="inlineStr">
        <is>
          <t>ARETES GC ZIRCONIA</t>
        </is>
      </c>
      <c r="C1121" s="1" t="inlineStr">
        <is>
          <t>Default Title</t>
        </is>
      </c>
      <c r="D1121" s="1" t="inlineStr">
        <is>
          <t>COCOMA</t>
        </is>
      </c>
      <c r="E1121" s="4">
        <f>COUNTIF('DETALLE CRONOLÓGICO'!$A$2:$A$4919,$A1121)</f>
        <v/>
      </c>
      <c r="F1121" s="4">
        <f>SUMIFS('DETALLE CRONOLÓGICO'!$I$2:$I$4919,'DETALLE CRONOLÓGICO'!$A$2:$A$4919,$A1121)</f>
        <v/>
      </c>
      <c r="G1121" s="1">
        <f>INDEX('DETALLE CRONOLÓGICO'!$D$2:$D$4919,MATCH($A1121,'DETALLE CRONOLÓGICO'!$A$2:$A$4919,0))</f>
        <v/>
      </c>
      <c r="H1121" s="1">
        <f>INDEX('DETALLE CRONOLÓGICO'!$D$2:$D$4919,MATCH($A1121,'DETALLE CRONOLÓGICO'!$A$2:$A$4919,0)+$E1121-1)</f>
        <v/>
      </c>
      <c r="I1121" s="5">
        <f>IFERROR(SUMIFS('DETALLE CRONOLÓGICO'!$L$2:$L$4919,'DETALLE CRONOLÓGICO'!$A$2:$A$4919,$A1121)/$F1121,"")</f>
        <v/>
      </c>
      <c r="J1121" s="6">
        <f>IFERROR(SUMIFS('DETALLE CRONOLÓGICO'!$K$2:$K$4919,'DETALLE CRONOLÓGICO'!$A$2:$A$4919,$A1121)/$E1121,"")</f>
        <v/>
      </c>
      <c r="K1121" s="6">
        <f>_xlfn.MINIFS('DETALLE CRONOLÓGICO'!$K$2:$K$4919,'DETALLE CRONOLÓGICO'!$A$2:$A$4919,$A1121)</f>
        <v/>
      </c>
      <c r="L1121" s="6">
        <f>_xlfn.MAXIFS('DETALLE CRONOLÓGICO'!$K$2:$K$4919,'DETALLE CRONOLÓGICO'!$A$2:$A$4919,$A1121)</f>
        <v/>
      </c>
      <c r="M1121" s="6">
        <f>INDEX('DETALLE CRONOLÓGICO'!$K$2:$K$4919,MATCH($A1121,'DETALLE CRONOLÓGICO'!$A$2:$A$4919,0)+$E1121-1)</f>
        <v/>
      </c>
      <c r="N1121" s="7">
        <f>IFERROR($M1121/INDEX('DETALLE CRONOLÓGICO'!$K$2:$K$4919,MATCH($A1121,'DETALLE CRONOLÓGICO'!$A$2:$A$4919,0))-1,"")</f>
        <v/>
      </c>
      <c r="O1121" s="6">
        <f>IFERROR($I1121*3,"")</f>
        <v/>
      </c>
      <c r="P1121" s="6">
        <f>IFERROR($I1121*3.5,"")</f>
        <v/>
      </c>
      <c r="Q1121" s="6">
        <f>IFERROR($I1121*4,"")</f>
        <v/>
      </c>
      <c r="R1121" s="6" t="n">
        <v>405</v>
      </c>
      <c r="S1121" s="4" t="n">
        <v>0</v>
      </c>
      <c r="T1121" s="1" t="inlineStr">
        <is>
          <t>active</t>
        </is>
      </c>
      <c r="U1121" s="8" t="n"/>
      <c r="V1121" s="1" t="inlineStr">
        <is>
          <t>SIN PRECIO</t>
        </is>
      </c>
    </row>
    <row r="1122">
      <c r="A1122" s="1" t="inlineStr">
        <is>
          <t>63e0bd172995f-1</t>
        </is>
      </c>
      <c r="B1122" s="1" t="inlineStr">
        <is>
          <t>ARETES LV GOLD</t>
        </is>
      </c>
      <c r="C1122" s="1" t="inlineStr">
        <is>
          <t>Regular</t>
        </is>
      </c>
      <c r="D1122" s="1" t="inlineStr">
        <is>
          <t>CYNTHIA</t>
        </is>
      </c>
      <c r="E1122" s="4">
        <f>COUNTIF('DETALLE CRONOLÓGICO'!$A$2:$A$4919,$A1122)</f>
        <v/>
      </c>
      <c r="F1122" s="4">
        <f>SUMIFS('DETALLE CRONOLÓGICO'!$I$2:$I$4919,'DETALLE CRONOLÓGICO'!$A$2:$A$4919,$A1122)</f>
        <v/>
      </c>
      <c r="G1122" s="1">
        <f>INDEX('DETALLE CRONOLÓGICO'!$D$2:$D$4919,MATCH($A1122,'DETALLE CRONOLÓGICO'!$A$2:$A$4919,0))</f>
        <v/>
      </c>
      <c r="H1122" s="1">
        <f>INDEX('DETALLE CRONOLÓGICO'!$D$2:$D$4919,MATCH($A1122,'DETALLE CRONOLÓGICO'!$A$2:$A$4919,0)+$E1122-1)</f>
        <v/>
      </c>
      <c r="I1122" s="5">
        <f>IFERROR(SUMIFS('DETALLE CRONOLÓGICO'!$L$2:$L$4919,'DETALLE CRONOLÓGICO'!$A$2:$A$4919,$A1122)/$F1122,"")</f>
        <v/>
      </c>
      <c r="J1122" s="6">
        <f>IFERROR(SUMIFS('DETALLE CRONOLÓGICO'!$K$2:$K$4919,'DETALLE CRONOLÓGICO'!$A$2:$A$4919,$A1122)/$E1122,"")</f>
        <v/>
      </c>
      <c r="K1122" s="6">
        <f>_xlfn.MINIFS('DETALLE CRONOLÓGICO'!$K$2:$K$4919,'DETALLE CRONOLÓGICO'!$A$2:$A$4919,$A1122)</f>
        <v/>
      </c>
      <c r="L1122" s="6">
        <f>_xlfn.MAXIFS('DETALLE CRONOLÓGICO'!$K$2:$K$4919,'DETALLE CRONOLÓGICO'!$A$2:$A$4919,$A1122)</f>
        <v/>
      </c>
      <c r="M1122" s="6">
        <f>INDEX('DETALLE CRONOLÓGICO'!$K$2:$K$4919,MATCH($A1122,'DETALLE CRONOLÓGICO'!$A$2:$A$4919,0)+$E1122-1)</f>
        <v/>
      </c>
      <c r="N1122" s="7">
        <f>IFERROR($M1122/INDEX('DETALLE CRONOLÓGICO'!$K$2:$K$4919,MATCH($A1122,'DETALLE CRONOLÓGICO'!$A$2:$A$4919,0))-1,"")</f>
        <v/>
      </c>
      <c r="O1122" s="6">
        <f>IFERROR($I1122*3,"")</f>
        <v/>
      </c>
      <c r="P1122" s="6">
        <f>IFERROR($I1122*3.5,"")</f>
        <v/>
      </c>
      <c r="Q1122" s="6">
        <f>IFERROR($I1122*4,"")</f>
        <v/>
      </c>
      <c r="R1122" s="6" t="n">
        <v>559</v>
      </c>
      <c r="S1122" s="4" t="n">
        <v>1</v>
      </c>
      <c r="T1122" s="1" t="inlineStr">
        <is>
          <t>active</t>
        </is>
      </c>
      <c r="U1122" s="8" t="n"/>
      <c r="V1122" s="1" t="inlineStr">
        <is>
          <t>SIN PRECIO</t>
        </is>
      </c>
    </row>
    <row r="1123">
      <c r="A1123" s="1" t="inlineStr">
        <is>
          <t>63e0bd1a27e4e</t>
        </is>
      </c>
      <c r="B1123" s="1" t="inlineStr">
        <is>
          <t>ARETES LV SILVER</t>
        </is>
      </c>
      <c r="C1123" s="1" t="inlineStr">
        <is>
          <t>Default Title</t>
        </is>
      </c>
      <c r="D1123" s="1" t="inlineStr">
        <is>
          <t>CYNTHIA</t>
        </is>
      </c>
      <c r="E1123" s="4">
        <f>COUNTIF('DETALLE CRONOLÓGICO'!$A$2:$A$4919,$A1123)</f>
        <v/>
      </c>
      <c r="F1123" s="4">
        <f>SUMIFS('DETALLE CRONOLÓGICO'!$I$2:$I$4919,'DETALLE CRONOLÓGICO'!$A$2:$A$4919,$A1123)</f>
        <v/>
      </c>
      <c r="G1123" s="1">
        <f>INDEX('DETALLE CRONOLÓGICO'!$D$2:$D$4919,MATCH($A1123,'DETALLE CRONOLÓGICO'!$A$2:$A$4919,0))</f>
        <v/>
      </c>
      <c r="H1123" s="1">
        <f>INDEX('DETALLE CRONOLÓGICO'!$D$2:$D$4919,MATCH($A1123,'DETALLE CRONOLÓGICO'!$A$2:$A$4919,0)+$E1123-1)</f>
        <v/>
      </c>
      <c r="I1123" s="5">
        <f>IFERROR(SUMIFS('DETALLE CRONOLÓGICO'!$L$2:$L$4919,'DETALLE CRONOLÓGICO'!$A$2:$A$4919,$A1123)/$F1123,"")</f>
        <v/>
      </c>
      <c r="J1123" s="6">
        <f>IFERROR(SUMIFS('DETALLE CRONOLÓGICO'!$K$2:$K$4919,'DETALLE CRONOLÓGICO'!$A$2:$A$4919,$A1123)/$E1123,"")</f>
        <v/>
      </c>
      <c r="K1123" s="6">
        <f>_xlfn.MINIFS('DETALLE CRONOLÓGICO'!$K$2:$K$4919,'DETALLE CRONOLÓGICO'!$A$2:$A$4919,$A1123)</f>
        <v/>
      </c>
      <c r="L1123" s="6">
        <f>_xlfn.MAXIFS('DETALLE CRONOLÓGICO'!$K$2:$K$4919,'DETALLE CRONOLÓGICO'!$A$2:$A$4919,$A1123)</f>
        <v/>
      </c>
      <c r="M1123" s="6">
        <f>INDEX('DETALLE CRONOLÓGICO'!$K$2:$K$4919,MATCH($A1123,'DETALLE CRONOLÓGICO'!$A$2:$A$4919,0)+$E1123-1)</f>
        <v/>
      </c>
      <c r="N1123" s="7">
        <f>IFERROR($M1123/INDEX('DETALLE CRONOLÓGICO'!$K$2:$K$4919,MATCH($A1123,'DETALLE CRONOLÓGICO'!$A$2:$A$4919,0))-1,"")</f>
        <v/>
      </c>
      <c r="O1123" s="6">
        <f>IFERROR($I1123*3,"")</f>
        <v/>
      </c>
      <c r="P1123" s="6">
        <f>IFERROR($I1123*3.5,"")</f>
        <v/>
      </c>
      <c r="Q1123" s="6">
        <f>IFERROR($I1123*4,"")</f>
        <v/>
      </c>
      <c r="R1123" s="6" t="n">
        <v>565</v>
      </c>
      <c r="S1123" s="4" t="n">
        <v>0</v>
      </c>
      <c r="T1123" s="1" t="inlineStr">
        <is>
          <t>active</t>
        </is>
      </c>
      <c r="U1123" s="8" t="n"/>
      <c r="V1123" s="1" t="inlineStr">
        <is>
          <t>SIN PRECIO</t>
        </is>
      </c>
    </row>
    <row r="1124">
      <c r="A1124" s="1" t="inlineStr">
        <is>
          <t>63e0bd204f826</t>
        </is>
      </c>
      <c r="B1124" s="1" t="inlineStr">
        <is>
          <t>ARETES T-SMILE GOLD</t>
        </is>
      </c>
      <c r="C1124" s="1" t="inlineStr">
        <is>
          <t>Default Title</t>
        </is>
      </c>
      <c r="D1124" s="1" t="inlineStr">
        <is>
          <t>CYNTHIA</t>
        </is>
      </c>
      <c r="E1124" s="4">
        <f>COUNTIF('DETALLE CRONOLÓGICO'!$A$2:$A$4919,$A1124)</f>
        <v/>
      </c>
      <c r="F1124" s="4">
        <f>SUMIFS('DETALLE CRONOLÓGICO'!$I$2:$I$4919,'DETALLE CRONOLÓGICO'!$A$2:$A$4919,$A1124)</f>
        <v/>
      </c>
      <c r="G1124" s="1">
        <f>INDEX('DETALLE CRONOLÓGICO'!$D$2:$D$4919,MATCH($A1124,'DETALLE CRONOLÓGICO'!$A$2:$A$4919,0))</f>
        <v/>
      </c>
      <c r="H1124" s="1">
        <f>INDEX('DETALLE CRONOLÓGICO'!$D$2:$D$4919,MATCH($A1124,'DETALLE CRONOLÓGICO'!$A$2:$A$4919,0)+$E1124-1)</f>
        <v/>
      </c>
      <c r="I1124" s="5">
        <f>IFERROR(SUMIFS('DETALLE CRONOLÓGICO'!$L$2:$L$4919,'DETALLE CRONOLÓGICO'!$A$2:$A$4919,$A1124)/$F1124,"")</f>
        <v/>
      </c>
      <c r="J1124" s="6">
        <f>IFERROR(SUMIFS('DETALLE CRONOLÓGICO'!$K$2:$K$4919,'DETALLE CRONOLÓGICO'!$A$2:$A$4919,$A1124)/$E1124,"")</f>
        <v/>
      </c>
      <c r="K1124" s="6">
        <f>_xlfn.MINIFS('DETALLE CRONOLÓGICO'!$K$2:$K$4919,'DETALLE CRONOLÓGICO'!$A$2:$A$4919,$A1124)</f>
        <v/>
      </c>
      <c r="L1124" s="6">
        <f>_xlfn.MAXIFS('DETALLE CRONOLÓGICO'!$K$2:$K$4919,'DETALLE CRONOLÓGICO'!$A$2:$A$4919,$A1124)</f>
        <v/>
      </c>
      <c r="M1124" s="6">
        <f>INDEX('DETALLE CRONOLÓGICO'!$K$2:$K$4919,MATCH($A1124,'DETALLE CRONOLÓGICO'!$A$2:$A$4919,0)+$E1124-1)</f>
        <v/>
      </c>
      <c r="N1124" s="7">
        <f>IFERROR($M1124/INDEX('DETALLE CRONOLÓGICO'!$K$2:$K$4919,MATCH($A1124,'DETALLE CRONOLÓGICO'!$A$2:$A$4919,0))-1,"")</f>
        <v/>
      </c>
      <c r="O1124" s="6">
        <f>IFERROR($I1124*3,"")</f>
        <v/>
      </c>
      <c r="P1124" s="6">
        <f>IFERROR($I1124*3.5,"")</f>
        <v/>
      </c>
      <c r="Q1124" s="6">
        <f>IFERROR($I1124*4,"")</f>
        <v/>
      </c>
      <c r="R1124" s="6" t="n">
        <v>573</v>
      </c>
      <c r="S1124" s="4" t="n">
        <v>0</v>
      </c>
      <c r="T1124" s="1" t="inlineStr">
        <is>
          <t>active</t>
        </is>
      </c>
      <c r="U1124" s="8" t="n"/>
      <c r="V1124" s="1" t="inlineStr">
        <is>
          <t>SIN PRECIO</t>
        </is>
      </c>
    </row>
    <row r="1125">
      <c r="A1125" s="1" t="inlineStr">
        <is>
          <t>63e0bd2165d38</t>
        </is>
      </c>
      <c r="B1125" s="1" t="n"/>
      <c r="C1125" s="1" t="inlineStr">
        <is>
          <t>1cm</t>
        </is>
      </c>
      <c r="D1125" s="1" t="inlineStr">
        <is>
          <t>CYNTHIA</t>
        </is>
      </c>
      <c r="E1125" s="4">
        <f>COUNTIF('DETALLE CRONOLÓGICO'!$A$2:$A$4919,$A1125)</f>
        <v/>
      </c>
      <c r="F1125" s="4">
        <f>SUMIFS('DETALLE CRONOLÓGICO'!$I$2:$I$4919,'DETALLE CRONOLÓGICO'!$A$2:$A$4919,$A1125)</f>
        <v/>
      </c>
      <c r="G1125" s="1">
        <f>INDEX('DETALLE CRONOLÓGICO'!$D$2:$D$4919,MATCH($A1125,'DETALLE CRONOLÓGICO'!$A$2:$A$4919,0))</f>
        <v/>
      </c>
      <c r="H1125" s="1">
        <f>INDEX('DETALLE CRONOLÓGICO'!$D$2:$D$4919,MATCH($A1125,'DETALLE CRONOLÓGICO'!$A$2:$A$4919,0)+$E1125-1)</f>
        <v/>
      </c>
      <c r="I1125" s="5">
        <f>IFERROR(SUMIFS('DETALLE CRONOLÓGICO'!$L$2:$L$4919,'DETALLE CRONOLÓGICO'!$A$2:$A$4919,$A1125)/$F1125,"")</f>
        <v/>
      </c>
      <c r="J1125" s="6">
        <f>IFERROR(SUMIFS('DETALLE CRONOLÓGICO'!$K$2:$K$4919,'DETALLE CRONOLÓGICO'!$A$2:$A$4919,$A1125)/$E1125,"")</f>
        <v/>
      </c>
      <c r="K1125" s="6">
        <f>_xlfn.MINIFS('DETALLE CRONOLÓGICO'!$K$2:$K$4919,'DETALLE CRONOLÓGICO'!$A$2:$A$4919,$A1125)</f>
        <v/>
      </c>
      <c r="L1125" s="6">
        <f>_xlfn.MAXIFS('DETALLE CRONOLÓGICO'!$K$2:$K$4919,'DETALLE CRONOLÓGICO'!$A$2:$A$4919,$A1125)</f>
        <v/>
      </c>
      <c r="M1125" s="6">
        <f>INDEX('DETALLE CRONOLÓGICO'!$K$2:$K$4919,MATCH($A1125,'DETALLE CRONOLÓGICO'!$A$2:$A$4919,0)+$E1125-1)</f>
        <v/>
      </c>
      <c r="N1125" s="7">
        <f>IFERROR($M1125/INDEX('DETALLE CRONOLÓGICO'!$K$2:$K$4919,MATCH($A1125,'DETALLE CRONOLÓGICO'!$A$2:$A$4919,0))-1,"")</f>
        <v/>
      </c>
      <c r="O1125" s="6">
        <f>IFERROR($I1125*3,"")</f>
        <v/>
      </c>
      <c r="P1125" s="6">
        <f>IFERROR($I1125*3.5,"")</f>
        <v/>
      </c>
      <c r="Q1125" s="6">
        <f>IFERROR($I1125*4,"")</f>
        <v/>
      </c>
      <c r="R1125" s="6" t="n">
        <v>570</v>
      </c>
      <c r="S1125" s="4" t="n">
        <v>0</v>
      </c>
      <c r="T1125" s="1" t="inlineStr">
        <is>
          <t>active</t>
        </is>
      </c>
      <c r="U1125" s="8" t="n"/>
      <c r="V1125" s="1" t="inlineStr">
        <is>
          <t>SIN PRECIO</t>
        </is>
      </c>
    </row>
    <row r="1126">
      <c r="A1126" s="1" t="inlineStr">
        <is>
          <t>63e0bd216689b-1</t>
        </is>
      </c>
      <c r="B1126" s="1" t="inlineStr">
        <is>
          <t>ARETES T-SMILE SILVER</t>
        </is>
      </c>
      <c r="C1126" s="1" t="inlineStr">
        <is>
          <t>1.5cm</t>
        </is>
      </c>
      <c r="D1126" s="1" t="inlineStr">
        <is>
          <t>CYNTHIA</t>
        </is>
      </c>
      <c r="E1126" s="4">
        <f>COUNTIF('DETALLE CRONOLÓGICO'!$A$2:$A$4919,$A1126)</f>
        <v/>
      </c>
      <c r="F1126" s="4">
        <f>SUMIFS('DETALLE CRONOLÓGICO'!$I$2:$I$4919,'DETALLE CRONOLÓGICO'!$A$2:$A$4919,$A1126)</f>
        <v/>
      </c>
      <c r="G1126" s="1">
        <f>INDEX('DETALLE CRONOLÓGICO'!$D$2:$D$4919,MATCH($A1126,'DETALLE CRONOLÓGICO'!$A$2:$A$4919,0))</f>
        <v/>
      </c>
      <c r="H1126" s="1">
        <f>INDEX('DETALLE CRONOLÓGICO'!$D$2:$D$4919,MATCH($A1126,'DETALLE CRONOLÓGICO'!$A$2:$A$4919,0)+$E1126-1)</f>
        <v/>
      </c>
      <c r="I1126" s="5">
        <f>IFERROR(SUMIFS('DETALLE CRONOLÓGICO'!$L$2:$L$4919,'DETALLE CRONOLÓGICO'!$A$2:$A$4919,$A1126)/$F1126,"")</f>
        <v/>
      </c>
      <c r="J1126" s="6">
        <f>IFERROR(SUMIFS('DETALLE CRONOLÓGICO'!$K$2:$K$4919,'DETALLE CRONOLÓGICO'!$A$2:$A$4919,$A1126)/$E1126,"")</f>
        <v/>
      </c>
      <c r="K1126" s="6">
        <f>_xlfn.MINIFS('DETALLE CRONOLÓGICO'!$K$2:$K$4919,'DETALLE CRONOLÓGICO'!$A$2:$A$4919,$A1126)</f>
        <v/>
      </c>
      <c r="L1126" s="6">
        <f>_xlfn.MAXIFS('DETALLE CRONOLÓGICO'!$K$2:$K$4919,'DETALLE CRONOLÓGICO'!$A$2:$A$4919,$A1126)</f>
        <v/>
      </c>
      <c r="M1126" s="6">
        <f>INDEX('DETALLE CRONOLÓGICO'!$K$2:$K$4919,MATCH($A1126,'DETALLE CRONOLÓGICO'!$A$2:$A$4919,0)+$E1126-1)</f>
        <v/>
      </c>
      <c r="N1126" s="7">
        <f>IFERROR($M1126/INDEX('DETALLE CRONOLÓGICO'!$K$2:$K$4919,MATCH($A1126,'DETALLE CRONOLÓGICO'!$A$2:$A$4919,0))-1,"")</f>
        <v/>
      </c>
      <c r="O1126" s="6">
        <f>IFERROR($I1126*3,"")</f>
        <v/>
      </c>
      <c r="P1126" s="6">
        <f>IFERROR($I1126*3.5,"")</f>
        <v/>
      </c>
      <c r="Q1126" s="6">
        <f>IFERROR($I1126*4,"")</f>
        <v/>
      </c>
      <c r="R1126" s="6" t="n">
        <v>420</v>
      </c>
      <c r="S1126" s="4" t="n">
        <v>0</v>
      </c>
      <c r="T1126" s="1" t="inlineStr">
        <is>
          <t>active</t>
        </is>
      </c>
      <c r="U1126" s="8" t="n"/>
      <c r="V1126" s="1" t="inlineStr">
        <is>
          <t>SIN PRECIO</t>
        </is>
      </c>
    </row>
    <row r="1127">
      <c r="A1127" s="1" t="inlineStr">
        <is>
          <t>63e0bd216689b-2</t>
        </is>
      </c>
      <c r="B1127" s="1" t="inlineStr">
        <is>
          <t>ARETES T-SMILE SILVER</t>
        </is>
      </c>
      <c r="C1127" s="1" t="inlineStr">
        <is>
          <t>1cm</t>
        </is>
      </c>
      <c r="D1127" s="1" t="inlineStr">
        <is>
          <t>CYNTHIA</t>
        </is>
      </c>
      <c r="E1127" s="4">
        <f>COUNTIF('DETALLE CRONOLÓGICO'!$A$2:$A$4919,$A1127)</f>
        <v/>
      </c>
      <c r="F1127" s="4">
        <f>SUMIFS('DETALLE CRONOLÓGICO'!$I$2:$I$4919,'DETALLE CRONOLÓGICO'!$A$2:$A$4919,$A1127)</f>
        <v/>
      </c>
      <c r="G1127" s="1">
        <f>INDEX('DETALLE CRONOLÓGICO'!$D$2:$D$4919,MATCH($A1127,'DETALLE CRONOLÓGICO'!$A$2:$A$4919,0))</f>
        <v/>
      </c>
      <c r="H1127" s="1">
        <f>INDEX('DETALLE CRONOLÓGICO'!$D$2:$D$4919,MATCH($A1127,'DETALLE CRONOLÓGICO'!$A$2:$A$4919,0)+$E1127-1)</f>
        <v/>
      </c>
      <c r="I1127" s="5">
        <f>IFERROR(SUMIFS('DETALLE CRONOLÓGICO'!$L$2:$L$4919,'DETALLE CRONOLÓGICO'!$A$2:$A$4919,$A1127)/$F1127,"")</f>
        <v/>
      </c>
      <c r="J1127" s="6">
        <f>IFERROR(SUMIFS('DETALLE CRONOLÓGICO'!$K$2:$K$4919,'DETALLE CRONOLÓGICO'!$A$2:$A$4919,$A1127)/$E1127,"")</f>
        <v/>
      </c>
      <c r="K1127" s="6">
        <f>_xlfn.MINIFS('DETALLE CRONOLÓGICO'!$K$2:$K$4919,'DETALLE CRONOLÓGICO'!$A$2:$A$4919,$A1127)</f>
        <v/>
      </c>
      <c r="L1127" s="6">
        <f>_xlfn.MAXIFS('DETALLE CRONOLÓGICO'!$K$2:$K$4919,'DETALLE CRONOLÓGICO'!$A$2:$A$4919,$A1127)</f>
        <v/>
      </c>
      <c r="M1127" s="6">
        <f>INDEX('DETALLE CRONOLÓGICO'!$K$2:$K$4919,MATCH($A1127,'DETALLE CRONOLÓGICO'!$A$2:$A$4919,0)+$E1127-1)</f>
        <v/>
      </c>
      <c r="N1127" s="7">
        <f>IFERROR($M1127/INDEX('DETALLE CRONOLÓGICO'!$K$2:$K$4919,MATCH($A1127,'DETALLE CRONOLÓGICO'!$A$2:$A$4919,0))-1,"")</f>
        <v/>
      </c>
      <c r="O1127" s="6">
        <f>IFERROR($I1127*3,"")</f>
        <v/>
      </c>
      <c r="P1127" s="6">
        <f>IFERROR($I1127*3.5,"")</f>
        <v/>
      </c>
      <c r="Q1127" s="6">
        <f>IFERROR($I1127*4,"")</f>
        <v/>
      </c>
      <c r="R1127" s="6" t="n">
        <v>573</v>
      </c>
      <c r="S1127" s="4" t="n">
        <v>4</v>
      </c>
      <c r="T1127" s="1" t="inlineStr">
        <is>
          <t>active</t>
        </is>
      </c>
      <c r="U1127" s="8" t="n"/>
      <c r="V1127" s="1" t="inlineStr">
        <is>
          <t>SIN PRECIO</t>
        </is>
      </c>
    </row>
    <row r="1128">
      <c r="A1128" s="1" t="inlineStr">
        <is>
          <t>63e0bdd7637c5</t>
        </is>
      </c>
      <c r="B1128" s="1" t="inlineStr">
        <is>
          <t>COLLAR ARO LOVE GOLD</t>
        </is>
      </c>
      <c r="C1128" s="1" t="inlineStr">
        <is>
          <t>42cm</t>
        </is>
      </c>
      <c r="D1128" s="1" t="inlineStr">
        <is>
          <t>HAIFENG</t>
        </is>
      </c>
      <c r="E1128" s="4">
        <f>COUNTIF('DETALLE CRONOLÓGICO'!$A$2:$A$4919,$A1128)</f>
        <v/>
      </c>
      <c r="F1128" s="4">
        <f>SUMIFS('DETALLE CRONOLÓGICO'!$I$2:$I$4919,'DETALLE CRONOLÓGICO'!$A$2:$A$4919,$A1128)</f>
        <v/>
      </c>
      <c r="G1128" s="1">
        <f>INDEX('DETALLE CRONOLÓGICO'!$D$2:$D$4919,MATCH($A1128,'DETALLE CRONOLÓGICO'!$A$2:$A$4919,0))</f>
        <v/>
      </c>
      <c r="H1128" s="1">
        <f>INDEX('DETALLE CRONOLÓGICO'!$D$2:$D$4919,MATCH($A1128,'DETALLE CRONOLÓGICO'!$A$2:$A$4919,0)+$E1128-1)</f>
        <v/>
      </c>
      <c r="I1128" s="5">
        <f>IFERROR(SUMIFS('DETALLE CRONOLÓGICO'!$L$2:$L$4919,'DETALLE CRONOLÓGICO'!$A$2:$A$4919,$A1128)/$F1128,"")</f>
        <v/>
      </c>
      <c r="J1128" s="6">
        <f>IFERROR(SUMIFS('DETALLE CRONOLÓGICO'!$K$2:$K$4919,'DETALLE CRONOLÓGICO'!$A$2:$A$4919,$A1128)/$E1128,"")</f>
        <v/>
      </c>
      <c r="K1128" s="6">
        <f>_xlfn.MINIFS('DETALLE CRONOLÓGICO'!$K$2:$K$4919,'DETALLE CRONOLÓGICO'!$A$2:$A$4919,$A1128)</f>
        <v/>
      </c>
      <c r="L1128" s="6">
        <f>_xlfn.MAXIFS('DETALLE CRONOLÓGICO'!$K$2:$K$4919,'DETALLE CRONOLÓGICO'!$A$2:$A$4919,$A1128)</f>
        <v/>
      </c>
      <c r="M1128" s="6">
        <f>INDEX('DETALLE CRONOLÓGICO'!$K$2:$K$4919,MATCH($A1128,'DETALLE CRONOLÓGICO'!$A$2:$A$4919,0)+$E1128-1)</f>
        <v/>
      </c>
      <c r="N1128" s="7">
        <f>IFERROR($M1128/INDEX('DETALLE CRONOLÓGICO'!$K$2:$K$4919,MATCH($A1128,'DETALLE CRONOLÓGICO'!$A$2:$A$4919,0))-1,"")</f>
        <v/>
      </c>
      <c r="O1128" s="6">
        <f>IFERROR($I1128*3,"")</f>
        <v/>
      </c>
      <c r="P1128" s="6">
        <f>IFERROR($I1128*3.5,"")</f>
        <v/>
      </c>
      <c r="Q1128" s="6">
        <f>IFERROR($I1128*4,"")</f>
        <v/>
      </c>
      <c r="R1128" s="6" t="n">
        <v>460</v>
      </c>
      <c r="S1128" s="4" t="n">
        <v>7</v>
      </c>
      <c r="T1128" s="1" t="inlineStr">
        <is>
          <t>active</t>
        </is>
      </c>
      <c r="U1128" s="8" t="n"/>
      <c r="V1128" s="1" t="inlineStr">
        <is>
          <t>SIN PRECIO</t>
        </is>
      </c>
    </row>
    <row r="1129">
      <c r="A1129" s="1" t="inlineStr">
        <is>
          <t>63e0bdd7a5137</t>
        </is>
      </c>
      <c r="B1129" s="1" t="inlineStr">
        <is>
          <t>COLLAR ARO LOVE ROSE GOLD</t>
        </is>
      </c>
      <c r="C1129" s="1" t="inlineStr">
        <is>
          <t>46cm</t>
        </is>
      </c>
      <c r="D1129" s="1" t="inlineStr">
        <is>
          <t>HAIFENG</t>
        </is>
      </c>
      <c r="E1129" s="4">
        <f>COUNTIF('DETALLE CRONOLÓGICO'!$A$2:$A$4919,$A1129)</f>
        <v/>
      </c>
      <c r="F1129" s="4">
        <f>SUMIFS('DETALLE CRONOLÓGICO'!$I$2:$I$4919,'DETALLE CRONOLÓGICO'!$A$2:$A$4919,$A1129)</f>
        <v/>
      </c>
      <c r="G1129" s="1">
        <f>INDEX('DETALLE CRONOLÓGICO'!$D$2:$D$4919,MATCH($A1129,'DETALLE CRONOLÓGICO'!$A$2:$A$4919,0))</f>
        <v/>
      </c>
      <c r="H1129" s="1">
        <f>INDEX('DETALLE CRONOLÓGICO'!$D$2:$D$4919,MATCH($A1129,'DETALLE CRONOLÓGICO'!$A$2:$A$4919,0)+$E1129-1)</f>
        <v/>
      </c>
      <c r="I1129" s="5">
        <f>IFERROR(SUMIFS('DETALLE CRONOLÓGICO'!$L$2:$L$4919,'DETALLE CRONOLÓGICO'!$A$2:$A$4919,$A1129)/$F1129,"")</f>
        <v/>
      </c>
      <c r="J1129" s="6">
        <f>IFERROR(SUMIFS('DETALLE CRONOLÓGICO'!$K$2:$K$4919,'DETALLE CRONOLÓGICO'!$A$2:$A$4919,$A1129)/$E1129,"")</f>
        <v/>
      </c>
      <c r="K1129" s="6">
        <f>_xlfn.MINIFS('DETALLE CRONOLÓGICO'!$K$2:$K$4919,'DETALLE CRONOLÓGICO'!$A$2:$A$4919,$A1129)</f>
        <v/>
      </c>
      <c r="L1129" s="6">
        <f>_xlfn.MAXIFS('DETALLE CRONOLÓGICO'!$K$2:$K$4919,'DETALLE CRONOLÓGICO'!$A$2:$A$4919,$A1129)</f>
        <v/>
      </c>
      <c r="M1129" s="6">
        <f>INDEX('DETALLE CRONOLÓGICO'!$K$2:$K$4919,MATCH($A1129,'DETALLE CRONOLÓGICO'!$A$2:$A$4919,0)+$E1129-1)</f>
        <v/>
      </c>
      <c r="N1129" s="7">
        <f>IFERROR($M1129/INDEX('DETALLE CRONOLÓGICO'!$K$2:$K$4919,MATCH($A1129,'DETALLE CRONOLÓGICO'!$A$2:$A$4919,0))-1,"")</f>
        <v/>
      </c>
      <c r="O1129" s="6">
        <f>IFERROR($I1129*3,"")</f>
        <v/>
      </c>
      <c r="P1129" s="6">
        <f>IFERROR($I1129*3.5,"")</f>
        <v/>
      </c>
      <c r="Q1129" s="6">
        <f>IFERROR($I1129*4,"")</f>
        <v/>
      </c>
      <c r="R1129" s="6" t="n">
        <v>460</v>
      </c>
      <c r="S1129" s="4" t="n">
        <v>3</v>
      </c>
      <c r="T1129" s="1" t="inlineStr">
        <is>
          <t>active</t>
        </is>
      </c>
      <c r="U1129" s="8" t="n"/>
      <c r="V1129" s="1" t="inlineStr">
        <is>
          <t>SIN PRECIO</t>
        </is>
      </c>
    </row>
    <row r="1130">
      <c r="A1130" s="1" t="inlineStr">
        <is>
          <t>63e0bddac5dbe</t>
        </is>
      </c>
      <c r="B1130" s="1" t="inlineStr">
        <is>
          <t>COLLAR ARO LOVE SILVER</t>
        </is>
      </c>
      <c r="C1130" s="1" t="inlineStr">
        <is>
          <t>42cm</t>
        </is>
      </c>
      <c r="D1130" s="1" t="inlineStr">
        <is>
          <t>HAIFENG</t>
        </is>
      </c>
      <c r="E1130" s="4">
        <f>COUNTIF('DETALLE CRONOLÓGICO'!$A$2:$A$4919,$A1130)</f>
        <v/>
      </c>
      <c r="F1130" s="4">
        <f>SUMIFS('DETALLE CRONOLÓGICO'!$I$2:$I$4919,'DETALLE CRONOLÓGICO'!$A$2:$A$4919,$A1130)</f>
        <v/>
      </c>
      <c r="G1130" s="1">
        <f>INDEX('DETALLE CRONOLÓGICO'!$D$2:$D$4919,MATCH($A1130,'DETALLE CRONOLÓGICO'!$A$2:$A$4919,0))</f>
        <v/>
      </c>
      <c r="H1130" s="1">
        <f>INDEX('DETALLE CRONOLÓGICO'!$D$2:$D$4919,MATCH($A1130,'DETALLE CRONOLÓGICO'!$A$2:$A$4919,0)+$E1130-1)</f>
        <v/>
      </c>
      <c r="I1130" s="5">
        <f>IFERROR(SUMIFS('DETALLE CRONOLÓGICO'!$L$2:$L$4919,'DETALLE CRONOLÓGICO'!$A$2:$A$4919,$A1130)/$F1130,"")</f>
        <v/>
      </c>
      <c r="J1130" s="6">
        <f>IFERROR(SUMIFS('DETALLE CRONOLÓGICO'!$K$2:$K$4919,'DETALLE CRONOLÓGICO'!$A$2:$A$4919,$A1130)/$E1130,"")</f>
        <v/>
      </c>
      <c r="K1130" s="6">
        <f>_xlfn.MINIFS('DETALLE CRONOLÓGICO'!$K$2:$K$4919,'DETALLE CRONOLÓGICO'!$A$2:$A$4919,$A1130)</f>
        <v/>
      </c>
      <c r="L1130" s="6">
        <f>_xlfn.MAXIFS('DETALLE CRONOLÓGICO'!$K$2:$K$4919,'DETALLE CRONOLÓGICO'!$A$2:$A$4919,$A1130)</f>
        <v/>
      </c>
      <c r="M1130" s="6">
        <f>INDEX('DETALLE CRONOLÓGICO'!$K$2:$K$4919,MATCH($A1130,'DETALLE CRONOLÓGICO'!$A$2:$A$4919,0)+$E1130-1)</f>
        <v/>
      </c>
      <c r="N1130" s="7">
        <f>IFERROR($M1130/INDEX('DETALLE CRONOLÓGICO'!$K$2:$K$4919,MATCH($A1130,'DETALLE CRONOLÓGICO'!$A$2:$A$4919,0))-1,"")</f>
        <v/>
      </c>
      <c r="O1130" s="6">
        <f>IFERROR($I1130*3,"")</f>
        <v/>
      </c>
      <c r="P1130" s="6">
        <f>IFERROR($I1130*3.5,"")</f>
        <v/>
      </c>
      <c r="Q1130" s="6">
        <f>IFERROR($I1130*4,"")</f>
        <v/>
      </c>
      <c r="R1130" s="6" t="n">
        <v>460</v>
      </c>
      <c r="S1130" s="4" t="n">
        <v>5</v>
      </c>
      <c r="T1130" s="1" t="inlineStr">
        <is>
          <t>active</t>
        </is>
      </c>
      <c r="U1130" s="8" t="n"/>
      <c r="V1130" s="1" t="inlineStr">
        <is>
          <t>SIN PRECIO</t>
        </is>
      </c>
    </row>
    <row r="1131">
      <c r="A1131" s="1" t="inlineStr">
        <is>
          <t>63e0beee6c617</t>
        </is>
      </c>
      <c r="B1131" s="1" t="inlineStr">
        <is>
          <t>COLLAR LOVE GOLD</t>
        </is>
      </c>
      <c r="C1131" s="1" t="inlineStr">
        <is>
          <t>45cm</t>
        </is>
      </c>
      <c r="D1131" s="1" t="inlineStr">
        <is>
          <t>HAIFENG</t>
        </is>
      </c>
      <c r="E1131" s="4">
        <f>COUNTIF('DETALLE CRONOLÓGICO'!$A$2:$A$4919,$A1131)</f>
        <v/>
      </c>
      <c r="F1131" s="4">
        <f>SUMIFS('DETALLE CRONOLÓGICO'!$I$2:$I$4919,'DETALLE CRONOLÓGICO'!$A$2:$A$4919,$A1131)</f>
        <v/>
      </c>
      <c r="G1131" s="1">
        <f>INDEX('DETALLE CRONOLÓGICO'!$D$2:$D$4919,MATCH($A1131,'DETALLE CRONOLÓGICO'!$A$2:$A$4919,0))</f>
        <v/>
      </c>
      <c r="H1131" s="1">
        <f>INDEX('DETALLE CRONOLÓGICO'!$D$2:$D$4919,MATCH($A1131,'DETALLE CRONOLÓGICO'!$A$2:$A$4919,0)+$E1131-1)</f>
        <v/>
      </c>
      <c r="I1131" s="5">
        <f>IFERROR(SUMIFS('DETALLE CRONOLÓGICO'!$L$2:$L$4919,'DETALLE CRONOLÓGICO'!$A$2:$A$4919,$A1131)/$F1131,"")</f>
        <v/>
      </c>
      <c r="J1131" s="6">
        <f>IFERROR(SUMIFS('DETALLE CRONOLÓGICO'!$K$2:$K$4919,'DETALLE CRONOLÓGICO'!$A$2:$A$4919,$A1131)/$E1131,"")</f>
        <v/>
      </c>
      <c r="K1131" s="6">
        <f>_xlfn.MINIFS('DETALLE CRONOLÓGICO'!$K$2:$K$4919,'DETALLE CRONOLÓGICO'!$A$2:$A$4919,$A1131)</f>
        <v/>
      </c>
      <c r="L1131" s="6">
        <f>_xlfn.MAXIFS('DETALLE CRONOLÓGICO'!$K$2:$K$4919,'DETALLE CRONOLÓGICO'!$A$2:$A$4919,$A1131)</f>
        <v/>
      </c>
      <c r="M1131" s="6">
        <f>INDEX('DETALLE CRONOLÓGICO'!$K$2:$K$4919,MATCH($A1131,'DETALLE CRONOLÓGICO'!$A$2:$A$4919,0)+$E1131-1)</f>
        <v/>
      </c>
      <c r="N1131" s="7">
        <f>IFERROR($M1131/INDEX('DETALLE CRONOLÓGICO'!$K$2:$K$4919,MATCH($A1131,'DETALLE CRONOLÓGICO'!$A$2:$A$4919,0))-1,"")</f>
        <v/>
      </c>
      <c r="O1131" s="6">
        <f>IFERROR($I1131*3,"")</f>
        <v/>
      </c>
      <c r="P1131" s="6">
        <f>IFERROR($I1131*3.5,"")</f>
        <v/>
      </c>
      <c r="Q1131" s="6">
        <f>IFERROR($I1131*4,"")</f>
        <v/>
      </c>
      <c r="R1131" s="6" t="n">
        <v>550</v>
      </c>
      <c r="S1131" s="4" t="n">
        <v>8</v>
      </c>
      <c r="T1131" s="1" t="inlineStr">
        <is>
          <t>active</t>
        </is>
      </c>
      <c r="U1131" s="8" t="n"/>
      <c r="V1131" s="1" t="inlineStr">
        <is>
          <t>SIN PRECIO</t>
        </is>
      </c>
    </row>
    <row r="1132">
      <c r="A1132" s="1" t="inlineStr">
        <is>
          <t>63e0bef7903cb</t>
        </is>
      </c>
      <c r="B1132" s="1" t="inlineStr">
        <is>
          <t>COLLAR LOVE-LOVE SILVER</t>
        </is>
      </c>
      <c r="C1132" s="1" t="inlineStr">
        <is>
          <t>46cm con extensión de 5cm</t>
        </is>
      </c>
      <c r="D1132" s="1" t="inlineStr">
        <is>
          <t>HAIFENG</t>
        </is>
      </c>
      <c r="E1132" s="4">
        <f>COUNTIF('DETALLE CRONOLÓGICO'!$A$2:$A$4919,$A1132)</f>
        <v/>
      </c>
      <c r="F1132" s="4">
        <f>SUMIFS('DETALLE CRONOLÓGICO'!$I$2:$I$4919,'DETALLE CRONOLÓGICO'!$A$2:$A$4919,$A1132)</f>
        <v/>
      </c>
      <c r="G1132" s="1">
        <f>INDEX('DETALLE CRONOLÓGICO'!$D$2:$D$4919,MATCH($A1132,'DETALLE CRONOLÓGICO'!$A$2:$A$4919,0))</f>
        <v/>
      </c>
      <c r="H1132" s="1">
        <f>INDEX('DETALLE CRONOLÓGICO'!$D$2:$D$4919,MATCH($A1132,'DETALLE CRONOLÓGICO'!$A$2:$A$4919,0)+$E1132-1)</f>
        <v/>
      </c>
      <c r="I1132" s="5">
        <f>IFERROR(SUMIFS('DETALLE CRONOLÓGICO'!$L$2:$L$4919,'DETALLE CRONOLÓGICO'!$A$2:$A$4919,$A1132)/$F1132,"")</f>
        <v/>
      </c>
      <c r="J1132" s="6">
        <f>IFERROR(SUMIFS('DETALLE CRONOLÓGICO'!$K$2:$K$4919,'DETALLE CRONOLÓGICO'!$A$2:$A$4919,$A1132)/$E1132,"")</f>
        <v/>
      </c>
      <c r="K1132" s="6">
        <f>_xlfn.MINIFS('DETALLE CRONOLÓGICO'!$K$2:$K$4919,'DETALLE CRONOLÓGICO'!$A$2:$A$4919,$A1132)</f>
        <v/>
      </c>
      <c r="L1132" s="6">
        <f>_xlfn.MAXIFS('DETALLE CRONOLÓGICO'!$K$2:$K$4919,'DETALLE CRONOLÓGICO'!$A$2:$A$4919,$A1132)</f>
        <v/>
      </c>
      <c r="M1132" s="6">
        <f>INDEX('DETALLE CRONOLÓGICO'!$K$2:$K$4919,MATCH($A1132,'DETALLE CRONOLÓGICO'!$A$2:$A$4919,0)+$E1132-1)</f>
        <v/>
      </c>
      <c r="N1132" s="7">
        <f>IFERROR($M1132/INDEX('DETALLE CRONOLÓGICO'!$K$2:$K$4919,MATCH($A1132,'DETALLE CRONOLÓGICO'!$A$2:$A$4919,0))-1,"")</f>
        <v/>
      </c>
      <c r="O1132" s="6">
        <f>IFERROR($I1132*3,"")</f>
        <v/>
      </c>
      <c r="P1132" s="6">
        <f>IFERROR($I1132*3.5,"")</f>
        <v/>
      </c>
      <c r="Q1132" s="6">
        <f>IFERROR($I1132*4,"")</f>
        <v/>
      </c>
      <c r="R1132" s="6" t="n">
        <v>440</v>
      </c>
      <c r="S1132" s="4" t="n">
        <v>3</v>
      </c>
      <c r="T1132" s="1" t="inlineStr">
        <is>
          <t>active</t>
        </is>
      </c>
      <c r="U1132" s="8" t="n"/>
      <c r="V1132" s="1" t="inlineStr">
        <is>
          <t>SIN PRECIO</t>
        </is>
      </c>
    </row>
    <row r="1133">
      <c r="A1133" s="1" t="inlineStr">
        <is>
          <t>63e0bf8dbe95e</t>
        </is>
      </c>
      <c r="B1133" s="1" t="inlineStr">
        <is>
          <t>COLLAR SMILE DORADO</t>
        </is>
      </c>
      <c r="C1133" s="1" t="inlineStr">
        <is>
          <t>MEDIUM</t>
        </is>
      </c>
      <c r="D1133" s="1" t="inlineStr">
        <is>
          <t>HAIFENG</t>
        </is>
      </c>
      <c r="E1133" s="4">
        <f>COUNTIF('DETALLE CRONOLÓGICO'!$A$2:$A$4919,$A1133)</f>
        <v/>
      </c>
      <c r="F1133" s="4">
        <f>SUMIFS('DETALLE CRONOLÓGICO'!$I$2:$I$4919,'DETALLE CRONOLÓGICO'!$A$2:$A$4919,$A1133)</f>
        <v/>
      </c>
      <c r="G1133" s="1">
        <f>INDEX('DETALLE CRONOLÓGICO'!$D$2:$D$4919,MATCH($A1133,'DETALLE CRONOLÓGICO'!$A$2:$A$4919,0))</f>
        <v/>
      </c>
      <c r="H1133" s="1">
        <f>INDEX('DETALLE CRONOLÓGICO'!$D$2:$D$4919,MATCH($A1133,'DETALLE CRONOLÓGICO'!$A$2:$A$4919,0)+$E1133-1)</f>
        <v/>
      </c>
      <c r="I1133" s="5">
        <f>IFERROR(SUMIFS('DETALLE CRONOLÓGICO'!$L$2:$L$4919,'DETALLE CRONOLÓGICO'!$A$2:$A$4919,$A1133)/$F1133,"")</f>
        <v/>
      </c>
      <c r="J1133" s="6">
        <f>IFERROR(SUMIFS('DETALLE CRONOLÓGICO'!$K$2:$K$4919,'DETALLE CRONOLÓGICO'!$A$2:$A$4919,$A1133)/$E1133,"")</f>
        <v/>
      </c>
      <c r="K1133" s="6">
        <f>_xlfn.MINIFS('DETALLE CRONOLÓGICO'!$K$2:$K$4919,'DETALLE CRONOLÓGICO'!$A$2:$A$4919,$A1133)</f>
        <v/>
      </c>
      <c r="L1133" s="6">
        <f>_xlfn.MAXIFS('DETALLE CRONOLÓGICO'!$K$2:$K$4919,'DETALLE CRONOLÓGICO'!$A$2:$A$4919,$A1133)</f>
        <v/>
      </c>
      <c r="M1133" s="6">
        <f>INDEX('DETALLE CRONOLÓGICO'!$K$2:$K$4919,MATCH($A1133,'DETALLE CRONOLÓGICO'!$A$2:$A$4919,0)+$E1133-1)</f>
        <v/>
      </c>
      <c r="N1133" s="7">
        <f>IFERROR($M1133/INDEX('DETALLE CRONOLÓGICO'!$K$2:$K$4919,MATCH($A1133,'DETALLE CRONOLÓGICO'!$A$2:$A$4919,0))-1,"")</f>
        <v/>
      </c>
      <c r="O1133" s="6">
        <f>IFERROR($I1133*3,"")</f>
        <v/>
      </c>
      <c r="P1133" s="6">
        <f>IFERROR($I1133*3.5,"")</f>
        <v/>
      </c>
      <c r="Q1133" s="6">
        <f>IFERROR($I1133*4,"")</f>
        <v/>
      </c>
      <c r="R1133" s="6" t="n">
        <v>460</v>
      </c>
      <c r="S1133" s="4" t="n">
        <v>7</v>
      </c>
      <c r="T1133" s="1" t="inlineStr">
        <is>
          <t>active</t>
        </is>
      </c>
      <c r="U1133" s="8" t="n"/>
      <c r="V1133" s="1" t="inlineStr">
        <is>
          <t>SIN PRECIO</t>
        </is>
      </c>
    </row>
    <row r="1134">
      <c r="A1134" s="1" t="inlineStr">
        <is>
          <t>63e0c0e63c828</t>
        </is>
      </c>
      <c r="B1134" s="1" t="inlineStr">
        <is>
          <t>PULSERA CLAVO DELGADA ROSE GOLD CON ZIRCONIA</t>
        </is>
      </c>
      <c r="C1134" s="1" t="inlineStr">
        <is>
          <t>17cm</t>
        </is>
      </c>
      <c r="D1134" s="1" t="inlineStr">
        <is>
          <t>NANCY</t>
        </is>
      </c>
      <c r="E1134" s="4">
        <f>COUNTIF('DETALLE CRONOLÓGICO'!$A$2:$A$4919,$A1134)</f>
        <v/>
      </c>
      <c r="F1134" s="4">
        <f>SUMIFS('DETALLE CRONOLÓGICO'!$I$2:$I$4919,'DETALLE CRONOLÓGICO'!$A$2:$A$4919,$A1134)</f>
        <v/>
      </c>
      <c r="G1134" s="1">
        <f>INDEX('DETALLE CRONOLÓGICO'!$D$2:$D$4919,MATCH($A1134,'DETALLE CRONOLÓGICO'!$A$2:$A$4919,0))</f>
        <v/>
      </c>
      <c r="H1134" s="1">
        <f>INDEX('DETALLE CRONOLÓGICO'!$D$2:$D$4919,MATCH($A1134,'DETALLE CRONOLÓGICO'!$A$2:$A$4919,0)+$E1134-1)</f>
        <v/>
      </c>
      <c r="I1134" s="5">
        <f>IFERROR(SUMIFS('DETALLE CRONOLÓGICO'!$L$2:$L$4919,'DETALLE CRONOLÓGICO'!$A$2:$A$4919,$A1134)/$F1134,"")</f>
        <v/>
      </c>
      <c r="J1134" s="6">
        <f>IFERROR(SUMIFS('DETALLE CRONOLÓGICO'!$K$2:$K$4919,'DETALLE CRONOLÓGICO'!$A$2:$A$4919,$A1134)/$E1134,"")</f>
        <v/>
      </c>
      <c r="K1134" s="6">
        <f>_xlfn.MINIFS('DETALLE CRONOLÓGICO'!$K$2:$K$4919,'DETALLE CRONOLÓGICO'!$A$2:$A$4919,$A1134)</f>
        <v/>
      </c>
      <c r="L1134" s="6">
        <f>_xlfn.MAXIFS('DETALLE CRONOLÓGICO'!$K$2:$K$4919,'DETALLE CRONOLÓGICO'!$A$2:$A$4919,$A1134)</f>
        <v/>
      </c>
      <c r="M1134" s="6">
        <f>INDEX('DETALLE CRONOLÓGICO'!$K$2:$K$4919,MATCH($A1134,'DETALLE CRONOLÓGICO'!$A$2:$A$4919,0)+$E1134-1)</f>
        <v/>
      </c>
      <c r="N1134" s="7">
        <f>IFERROR($M1134/INDEX('DETALLE CRONOLÓGICO'!$K$2:$K$4919,MATCH($A1134,'DETALLE CRONOLÓGICO'!$A$2:$A$4919,0))-1,"")</f>
        <v/>
      </c>
      <c r="O1134" s="6">
        <f>IFERROR($I1134*3,"")</f>
        <v/>
      </c>
      <c r="P1134" s="6">
        <f>IFERROR($I1134*3.5,"")</f>
        <v/>
      </c>
      <c r="Q1134" s="6">
        <f>IFERROR($I1134*4,"")</f>
        <v/>
      </c>
      <c r="R1134" s="6" t="n">
        <v>480</v>
      </c>
      <c r="S1134" s="4" t="n">
        <v>11</v>
      </c>
      <c r="T1134" s="1" t="inlineStr">
        <is>
          <t>active</t>
        </is>
      </c>
      <c r="U1134" s="8" t="n"/>
      <c r="V1134" s="1" t="inlineStr">
        <is>
          <t>SIN PRECIO</t>
        </is>
      </c>
    </row>
    <row r="1135">
      <c r="A1135" s="1" t="inlineStr">
        <is>
          <t>63e0c0e97703d</t>
        </is>
      </c>
      <c r="B1135" s="1" t="inlineStr">
        <is>
          <t>PULSERA CLAVO GOLD DELGADA</t>
        </is>
      </c>
      <c r="C1135" s="1" t="inlineStr">
        <is>
          <t>16cm</t>
        </is>
      </c>
      <c r="D1135" s="1" t="inlineStr">
        <is>
          <t>NANCY</t>
        </is>
      </c>
      <c r="E1135" s="4">
        <f>COUNTIF('DETALLE CRONOLÓGICO'!$A$2:$A$4919,$A1135)</f>
        <v/>
      </c>
      <c r="F1135" s="4">
        <f>SUMIFS('DETALLE CRONOLÓGICO'!$I$2:$I$4919,'DETALLE CRONOLÓGICO'!$A$2:$A$4919,$A1135)</f>
        <v/>
      </c>
      <c r="G1135" s="1">
        <f>INDEX('DETALLE CRONOLÓGICO'!$D$2:$D$4919,MATCH($A1135,'DETALLE CRONOLÓGICO'!$A$2:$A$4919,0))</f>
        <v/>
      </c>
      <c r="H1135" s="1">
        <f>INDEX('DETALLE CRONOLÓGICO'!$D$2:$D$4919,MATCH($A1135,'DETALLE CRONOLÓGICO'!$A$2:$A$4919,0)+$E1135-1)</f>
        <v/>
      </c>
      <c r="I1135" s="5">
        <f>IFERROR(SUMIFS('DETALLE CRONOLÓGICO'!$L$2:$L$4919,'DETALLE CRONOLÓGICO'!$A$2:$A$4919,$A1135)/$F1135,"")</f>
        <v/>
      </c>
      <c r="J1135" s="6">
        <f>IFERROR(SUMIFS('DETALLE CRONOLÓGICO'!$K$2:$K$4919,'DETALLE CRONOLÓGICO'!$A$2:$A$4919,$A1135)/$E1135,"")</f>
        <v/>
      </c>
      <c r="K1135" s="6">
        <f>_xlfn.MINIFS('DETALLE CRONOLÓGICO'!$K$2:$K$4919,'DETALLE CRONOLÓGICO'!$A$2:$A$4919,$A1135)</f>
        <v/>
      </c>
      <c r="L1135" s="6">
        <f>_xlfn.MAXIFS('DETALLE CRONOLÓGICO'!$K$2:$K$4919,'DETALLE CRONOLÓGICO'!$A$2:$A$4919,$A1135)</f>
        <v/>
      </c>
      <c r="M1135" s="6">
        <f>INDEX('DETALLE CRONOLÓGICO'!$K$2:$K$4919,MATCH($A1135,'DETALLE CRONOLÓGICO'!$A$2:$A$4919,0)+$E1135-1)</f>
        <v/>
      </c>
      <c r="N1135" s="7">
        <f>IFERROR($M1135/INDEX('DETALLE CRONOLÓGICO'!$K$2:$K$4919,MATCH($A1135,'DETALLE CRONOLÓGICO'!$A$2:$A$4919,0))-1,"")</f>
        <v/>
      </c>
      <c r="O1135" s="6">
        <f>IFERROR($I1135*3,"")</f>
        <v/>
      </c>
      <c r="P1135" s="6">
        <f>IFERROR($I1135*3.5,"")</f>
        <v/>
      </c>
      <c r="Q1135" s="6">
        <f>IFERROR($I1135*4,"")</f>
        <v/>
      </c>
      <c r="R1135" s="6" t="n">
        <v>550</v>
      </c>
      <c r="S1135" s="4" t="n">
        <v>7</v>
      </c>
      <c r="T1135" s="1" t="inlineStr">
        <is>
          <t>active</t>
        </is>
      </c>
      <c r="U1135" s="8" t="n"/>
      <c r="V1135" s="1" t="inlineStr">
        <is>
          <t>SIN PRECIO</t>
        </is>
      </c>
    </row>
    <row r="1136">
      <c r="A1136" s="1" t="inlineStr">
        <is>
          <t>63e0c0ea219d0</t>
        </is>
      </c>
      <c r="B1136" s="1" t="inlineStr">
        <is>
          <t>PULSERA CLAVO GOLD DELGADA CON ZIRCONIA</t>
        </is>
      </c>
      <c r="C1136" s="1" t="inlineStr">
        <is>
          <t>17cm</t>
        </is>
      </c>
      <c r="D1136" s="1" t="inlineStr">
        <is>
          <t>NANCY</t>
        </is>
      </c>
      <c r="E1136" s="4">
        <f>COUNTIF('DETALLE CRONOLÓGICO'!$A$2:$A$4919,$A1136)</f>
        <v/>
      </c>
      <c r="F1136" s="4">
        <f>SUMIFS('DETALLE CRONOLÓGICO'!$I$2:$I$4919,'DETALLE CRONOLÓGICO'!$A$2:$A$4919,$A1136)</f>
        <v/>
      </c>
      <c r="G1136" s="1">
        <f>INDEX('DETALLE CRONOLÓGICO'!$D$2:$D$4919,MATCH($A1136,'DETALLE CRONOLÓGICO'!$A$2:$A$4919,0))</f>
        <v/>
      </c>
      <c r="H1136" s="1">
        <f>INDEX('DETALLE CRONOLÓGICO'!$D$2:$D$4919,MATCH($A1136,'DETALLE CRONOLÓGICO'!$A$2:$A$4919,0)+$E1136-1)</f>
        <v/>
      </c>
      <c r="I1136" s="5">
        <f>IFERROR(SUMIFS('DETALLE CRONOLÓGICO'!$L$2:$L$4919,'DETALLE CRONOLÓGICO'!$A$2:$A$4919,$A1136)/$F1136,"")</f>
        <v/>
      </c>
      <c r="J1136" s="6">
        <f>IFERROR(SUMIFS('DETALLE CRONOLÓGICO'!$K$2:$K$4919,'DETALLE CRONOLÓGICO'!$A$2:$A$4919,$A1136)/$E1136,"")</f>
        <v/>
      </c>
      <c r="K1136" s="6">
        <f>_xlfn.MINIFS('DETALLE CRONOLÓGICO'!$K$2:$K$4919,'DETALLE CRONOLÓGICO'!$A$2:$A$4919,$A1136)</f>
        <v/>
      </c>
      <c r="L1136" s="6">
        <f>_xlfn.MAXIFS('DETALLE CRONOLÓGICO'!$K$2:$K$4919,'DETALLE CRONOLÓGICO'!$A$2:$A$4919,$A1136)</f>
        <v/>
      </c>
      <c r="M1136" s="6">
        <f>INDEX('DETALLE CRONOLÓGICO'!$K$2:$K$4919,MATCH($A1136,'DETALLE CRONOLÓGICO'!$A$2:$A$4919,0)+$E1136-1)</f>
        <v/>
      </c>
      <c r="N1136" s="7">
        <f>IFERROR($M1136/INDEX('DETALLE CRONOLÓGICO'!$K$2:$K$4919,MATCH($A1136,'DETALLE CRONOLÓGICO'!$A$2:$A$4919,0))-1,"")</f>
        <v/>
      </c>
      <c r="O1136" s="6">
        <f>IFERROR($I1136*3,"")</f>
        <v/>
      </c>
      <c r="P1136" s="6">
        <f>IFERROR($I1136*3.5,"")</f>
        <v/>
      </c>
      <c r="Q1136" s="6">
        <f>IFERROR($I1136*4,"")</f>
        <v/>
      </c>
      <c r="R1136" s="6" t="n">
        <v>480</v>
      </c>
      <c r="S1136" s="4" t="n">
        <v>4</v>
      </c>
      <c r="T1136" s="1" t="inlineStr">
        <is>
          <t>active</t>
        </is>
      </c>
      <c r="U1136" s="8" t="n"/>
      <c r="V1136" s="1" t="inlineStr">
        <is>
          <t>SIN PRECIO</t>
        </is>
      </c>
    </row>
    <row r="1137">
      <c r="A1137" s="1" t="inlineStr">
        <is>
          <t>63e0c0ed991c0</t>
        </is>
      </c>
      <c r="B1137" s="1" t="inlineStr">
        <is>
          <t>PULSERA CLAVO GOLD</t>
        </is>
      </c>
      <c r="C1137" s="1" t="inlineStr">
        <is>
          <t>17 cm</t>
        </is>
      </c>
      <c r="D1137" s="1" t="inlineStr">
        <is>
          <t>NANCY</t>
        </is>
      </c>
      <c r="E1137" s="4">
        <f>COUNTIF('DETALLE CRONOLÓGICO'!$A$2:$A$4919,$A1137)</f>
        <v/>
      </c>
      <c r="F1137" s="4">
        <f>SUMIFS('DETALLE CRONOLÓGICO'!$I$2:$I$4919,'DETALLE CRONOLÓGICO'!$A$2:$A$4919,$A1137)</f>
        <v/>
      </c>
      <c r="G1137" s="1">
        <f>INDEX('DETALLE CRONOLÓGICO'!$D$2:$D$4919,MATCH($A1137,'DETALLE CRONOLÓGICO'!$A$2:$A$4919,0))</f>
        <v/>
      </c>
      <c r="H1137" s="1">
        <f>INDEX('DETALLE CRONOLÓGICO'!$D$2:$D$4919,MATCH($A1137,'DETALLE CRONOLÓGICO'!$A$2:$A$4919,0)+$E1137-1)</f>
        <v/>
      </c>
      <c r="I1137" s="5">
        <f>IFERROR(SUMIFS('DETALLE CRONOLÓGICO'!$L$2:$L$4919,'DETALLE CRONOLÓGICO'!$A$2:$A$4919,$A1137)/$F1137,"")</f>
        <v/>
      </c>
      <c r="J1137" s="6">
        <f>IFERROR(SUMIFS('DETALLE CRONOLÓGICO'!$K$2:$K$4919,'DETALLE CRONOLÓGICO'!$A$2:$A$4919,$A1137)/$E1137,"")</f>
        <v/>
      </c>
      <c r="K1137" s="6">
        <f>_xlfn.MINIFS('DETALLE CRONOLÓGICO'!$K$2:$K$4919,'DETALLE CRONOLÓGICO'!$A$2:$A$4919,$A1137)</f>
        <v/>
      </c>
      <c r="L1137" s="6">
        <f>_xlfn.MAXIFS('DETALLE CRONOLÓGICO'!$K$2:$K$4919,'DETALLE CRONOLÓGICO'!$A$2:$A$4919,$A1137)</f>
        <v/>
      </c>
      <c r="M1137" s="6">
        <f>INDEX('DETALLE CRONOLÓGICO'!$K$2:$K$4919,MATCH($A1137,'DETALLE CRONOLÓGICO'!$A$2:$A$4919,0)+$E1137-1)</f>
        <v/>
      </c>
      <c r="N1137" s="7">
        <f>IFERROR($M1137/INDEX('DETALLE CRONOLÓGICO'!$K$2:$K$4919,MATCH($A1137,'DETALLE CRONOLÓGICO'!$A$2:$A$4919,0))-1,"")</f>
        <v/>
      </c>
      <c r="O1137" s="6">
        <f>IFERROR($I1137*3,"")</f>
        <v/>
      </c>
      <c r="P1137" s="6">
        <f>IFERROR($I1137*3.5,"")</f>
        <v/>
      </c>
      <c r="Q1137" s="6">
        <f>IFERROR($I1137*4,"")</f>
        <v/>
      </c>
      <c r="R1137" s="6" t="n">
        <v>450</v>
      </c>
      <c r="S1137" s="4" t="n">
        <v>30</v>
      </c>
      <c r="T1137" s="1" t="inlineStr">
        <is>
          <t>active</t>
        </is>
      </c>
      <c r="U1137" s="8" t="n"/>
      <c r="V1137" s="1" t="inlineStr">
        <is>
          <t>SIN PRECIO</t>
        </is>
      </c>
    </row>
    <row r="1138">
      <c r="A1138" s="1" t="inlineStr">
        <is>
          <t>63e0c0ee76103</t>
        </is>
      </c>
      <c r="B1138" s="1" t="inlineStr">
        <is>
          <t>PULSERA CLAVO GOLD</t>
        </is>
      </c>
      <c r="C1138" s="1" t="inlineStr">
        <is>
          <t>19 cm</t>
        </is>
      </c>
      <c r="D1138" s="1" t="inlineStr">
        <is>
          <t>NANCY</t>
        </is>
      </c>
      <c r="E1138" s="4">
        <f>COUNTIF('DETALLE CRONOLÓGICO'!$A$2:$A$4919,$A1138)</f>
        <v/>
      </c>
      <c r="F1138" s="4">
        <f>SUMIFS('DETALLE CRONOLÓGICO'!$I$2:$I$4919,'DETALLE CRONOLÓGICO'!$A$2:$A$4919,$A1138)</f>
        <v/>
      </c>
      <c r="G1138" s="1">
        <f>INDEX('DETALLE CRONOLÓGICO'!$D$2:$D$4919,MATCH($A1138,'DETALLE CRONOLÓGICO'!$A$2:$A$4919,0))</f>
        <v/>
      </c>
      <c r="H1138" s="1">
        <f>INDEX('DETALLE CRONOLÓGICO'!$D$2:$D$4919,MATCH($A1138,'DETALLE CRONOLÓGICO'!$A$2:$A$4919,0)+$E1138-1)</f>
        <v/>
      </c>
      <c r="I1138" s="5">
        <f>IFERROR(SUMIFS('DETALLE CRONOLÓGICO'!$L$2:$L$4919,'DETALLE CRONOLÓGICO'!$A$2:$A$4919,$A1138)/$F1138,"")</f>
        <v/>
      </c>
      <c r="J1138" s="6">
        <f>IFERROR(SUMIFS('DETALLE CRONOLÓGICO'!$K$2:$K$4919,'DETALLE CRONOLÓGICO'!$A$2:$A$4919,$A1138)/$E1138,"")</f>
        <v/>
      </c>
      <c r="K1138" s="6">
        <f>_xlfn.MINIFS('DETALLE CRONOLÓGICO'!$K$2:$K$4919,'DETALLE CRONOLÓGICO'!$A$2:$A$4919,$A1138)</f>
        <v/>
      </c>
      <c r="L1138" s="6">
        <f>_xlfn.MAXIFS('DETALLE CRONOLÓGICO'!$K$2:$K$4919,'DETALLE CRONOLÓGICO'!$A$2:$A$4919,$A1138)</f>
        <v/>
      </c>
      <c r="M1138" s="6">
        <f>INDEX('DETALLE CRONOLÓGICO'!$K$2:$K$4919,MATCH($A1138,'DETALLE CRONOLÓGICO'!$A$2:$A$4919,0)+$E1138-1)</f>
        <v/>
      </c>
      <c r="N1138" s="7">
        <f>IFERROR($M1138/INDEX('DETALLE CRONOLÓGICO'!$K$2:$K$4919,MATCH($A1138,'DETALLE CRONOLÓGICO'!$A$2:$A$4919,0))-1,"")</f>
        <v/>
      </c>
      <c r="O1138" s="6">
        <f>IFERROR($I1138*3,"")</f>
        <v/>
      </c>
      <c r="P1138" s="6">
        <f>IFERROR($I1138*3.5,"")</f>
        <v/>
      </c>
      <c r="Q1138" s="6">
        <f>IFERROR($I1138*4,"")</f>
        <v/>
      </c>
      <c r="R1138" s="6" t="n">
        <v>450</v>
      </c>
      <c r="S1138" s="4" t="n">
        <v>7</v>
      </c>
      <c r="T1138" s="1" t="inlineStr">
        <is>
          <t>active</t>
        </is>
      </c>
      <c r="U1138" s="8" t="n"/>
      <c r="V1138" s="1" t="inlineStr">
        <is>
          <t>SIN PRECIO</t>
        </is>
      </c>
    </row>
    <row r="1139">
      <c r="A1139" s="1" t="inlineStr">
        <is>
          <t>63e0c0f1b69e8</t>
        </is>
      </c>
      <c r="B1139" s="1" t="inlineStr">
        <is>
          <t>PULSERA CLAVO GOLD CON ZIRCONIA</t>
        </is>
      </c>
      <c r="C1139" s="1" t="inlineStr">
        <is>
          <t>17cm</t>
        </is>
      </c>
      <c r="D1139" s="1" t="inlineStr">
        <is>
          <t>NANCY</t>
        </is>
      </c>
      <c r="E1139" s="4">
        <f>COUNTIF('DETALLE CRONOLÓGICO'!$A$2:$A$4919,$A1139)</f>
        <v/>
      </c>
      <c r="F1139" s="4">
        <f>SUMIFS('DETALLE CRONOLÓGICO'!$I$2:$I$4919,'DETALLE CRONOLÓGICO'!$A$2:$A$4919,$A1139)</f>
        <v/>
      </c>
      <c r="G1139" s="1">
        <f>INDEX('DETALLE CRONOLÓGICO'!$D$2:$D$4919,MATCH($A1139,'DETALLE CRONOLÓGICO'!$A$2:$A$4919,0))</f>
        <v/>
      </c>
      <c r="H1139" s="1">
        <f>INDEX('DETALLE CRONOLÓGICO'!$D$2:$D$4919,MATCH($A1139,'DETALLE CRONOLÓGICO'!$A$2:$A$4919,0)+$E1139-1)</f>
        <v/>
      </c>
      <c r="I1139" s="5">
        <f>IFERROR(SUMIFS('DETALLE CRONOLÓGICO'!$L$2:$L$4919,'DETALLE CRONOLÓGICO'!$A$2:$A$4919,$A1139)/$F1139,"")</f>
        <v/>
      </c>
      <c r="J1139" s="6">
        <f>IFERROR(SUMIFS('DETALLE CRONOLÓGICO'!$K$2:$K$4919,'DETALLE CRONOLÓGICO'!$A$2:$A$4919,$A1139)/$E1139,"")</f>
        <v/>
      </c>
      <c r="K1139" s="6">
        <f>_xlfn.MINIFS('DETALLE CRONOLÓGICO'!$K$2:$K$4919,'DETALLE CRONOLÓGICO'!$A$2:$A$4919,$A1139)</f>
        <v/>
      </c>
      <c r="L1139" s="6">
        <f>_xlfn.MAXIFS('DETALLE CRONOLÓGICO'!$K$2:$K$4919,'DETALLE CRONOLÓGICO'!$A$2:$A$4919,$A1139)</f>
        <v/>
      </c>
      <c r="M1139" s="6">
        <f>INDEX('DETALLE CRONOLÓGICO'!$K$2:$K$4919,MATCH($A1139,'DETALLE CRONOLÓGICO'!$A$2:$A$4919,0)+$E1139-1)</f>
        <v/>
      </c>
      <c r="N1139" s="7">
        <f>IFERROR($M1139/INDEX('DETALLE CRONOLÓGICO'!$K$2:$K$4919,MATCH($A1139,'DETALLE CRONOLÓGICO'!$A$2:$A$4919,0))-1,"")</f>
        <v/>
      </c>
      <c r="O1139" s="6">
        <f>IFERROR($I1139*3,"")</f>
        <v/>
      </c>
      <c r="P1139" s="6">
        <f>IFERROR($I1139*3.5,"")</f>
        <v/>
      </c>
      <c r="Q1139" s="6">
        <f>IFERROR($I1139*4,"")</f>
        <v/>
      </c>
      <c r="R1139" s="6" t="n">
        <v>450</v>
      </c>
      <c r="S1139" s="4" t="n">
        <v>1</v>
      </c>
      <c r="T1139" s="1" t="inlineStr">
        <is>
          <t>active</t>
        </is>
      </c>
      <c r="U1139" s="8" t="n"/>
      <c r="V1139" s="1" t="inlineStr">
        <is>
          <t>SIN PRECIO</t>
        </is>
      </c>
    </row>
    <row r="1140">
      <c r="A1140" s="1" t="inlineStr">
        <is>
          <t>63e0c0f2996bf</t>
        </is>
      </c>
      <c r="B1140" s="1" t="inlineStr">
        <is>
          <t>PULSERA CLAVO GOLD CON ZIRCONIA</t>
        </is>
      </c>
      <c r="C1140" s="1" t="inlineStr">
        <is>
          <t>19 cm</t>
        </is>
      </c>
      <c r="D1140" s="1" t="inlineStr">
        <is>
          <t>NANCY</t>
        </is>
      </c>
      <c r="E1140" s="4">
        <f>COUNTIF('DETALLE CRONOLÓGICO'!$A$2:$A$4919,$A1140)</f>
        <v/>
      </c>
      <c r="F1140" s="4">
        <f>SUMIFS('DETALLE CRONOLÓGICO'!$I$2:$I$4919,'DETALLE CRONOLÓGICO'!$A$2:$A$4919,$A1140)</f>
        <v/>
      </c>
      <c r="G1140" s="1">
        <f>INDEX('DETALLE CRONOLÓGICO'!$D$2:$D$4919,MATCH($A1140,'DETALLE CRONOLÓGICO'!$A$2:$A$4919,0))</f>
        <v/>
      </c>
      <c r="H1140" s="1">
        <f>INDEX('DETALLE CRONOLÓGICO'!$D$2:$D$4919,MATCH($A1140,'DETALLE CRONOLÓGICO'!$A$2:$A$4919,0)+$E1140-1)</f>
        <v/>
      </c>
      <c r="I1140" s="5">
        <f>IFERROR(SUMIFS('DETALLE CRONOLÓGICO'!$L$2:$L$4919,'DETALLE CRONOLÓGICO'!$A$2:$A$4919,$A1140)/$F1140,"")</f>
        <v/>
      </c>
      <c r="J1140" s="6">
        <f>IFERROR(SUMIFS('DETALLE CRONOLÓGICO'!$K$2:$K$4919,'DETALLE CRONOLÓGICO'!$A$2:$A$4919,$A1140)/$E1140,"")</f>
        <v/>
      </c>
      <c r="K1140" s="6">
        <f>_xlfn.MINIFS('DETALLE CRONOLÓGICO'!$K$2:$K$4919,'DETALLE CRONOLÓGICO'!$A$2:$A$4919,$A1140)</f>
        <v/>
      </c>
      <c r="L1140" s="6">
        <f>_xlfn.MAXIFS('DETALLE CRONOLÓGICO'!$K$2:$K$4919,'DETALLE CRONOLÓGICO'!$A$2:$A$4919,$A1140)</f>
        <v/>
      </c>
      <c r="M1140" s="6">
        <f>INDEX('DETALLE CRONOLÓGICO'!$K$2:$K$4919,MATCH($A1140,'DETALLE CRONOLÓGICO'!$A$2:$A$4919,0)+$E1140-1)</f>
        <v/>
      </c>
      <c r="N1140" s="7">
        <f>IFERROR($M1140/INDEX('DETALLE CRONOLÓGICO'!$K$2:$K$4919,MATCH($A1140,'DETALLE CRONOLÓGICO'!$A$2:$A$4919,0))-1,"")</f>
        <v/>
      </c>
      <c r="O1140" s="6">
        <f>IFERROR($I1140*3,"")</f>
        <v/>
      </c>
      <c r="P1140" s="6">
        <f>IFERROR($I1140*3.5,"")</f>
        <v/>
      </c>
      <c r="Q1140" s="6">
        <f>IFERROR($I1140*4,"")</f>
        <v/>
      </c>
      <c r="R1140" s="6" t="n">
        <v>450</v>
      </c>
      <c r="S1140" s="4" t="n">
        <v>6</v>
      </c>
      <c r="T1140" s="1" t="inlineStr">
        <is>
          <t>active</t>
        </is>
      </c>
      <c r="U1140" s="8" t="n"/>
      <c r="V1140" s="1" t="inlineStr">
        <is>
          <t>SIN PRECIO</t>
        </is>
      </c>
    </row>
    <row r="1141">
      <c r="A1141" s="1" t="inlineStr">
        <is>
          <t>63e0c2284930d</t>
        </is>
      </c>
      <c r="B1141" s="1" t="inlineStr">
        <is>
          <t>PULSERA CLAVO ROSE GOLD DELGADA</t>
        </is>
      </c>
      <c r="C1141" s="1" t="inlineStr">
        <is>
          <t>17cm</t>
        </is>
      </c>
      <c r="D1141" s="1" t="inlineStr">
        <is>
          <t>NANCY</t>
        </is>
      </c>
      <c r="E1141" s="4">
        <f>COUNTIF('DETALLE CRONOLÓGICO'!$A$2:$A$4919,$A1141)</f>
        <v/>
      </c>
      <c r="F1141" s="4">
        <f>SUMIFS('DETALLE CRONOLÓGICO'!$I$2:$I$4919,'DETALLE CRONOLÓGICO'!$A$2:$A$4919,$A1141)</f>
        <v/>
      </c>
      <c r="G1141" s="1">
        <f>INDEX('DETALLE CRONOLÓGICO'!$D$2:$D$4919,MATCH($A1141,'DETALLE CRONOLÓGICO'!$A$2:$A$4919,0))</f>
        <v/>
      </c>
      <c r="H1141" s="1">
        <f>INDEX('DETALLE CRONOLÓGICO'!$D$2:$D$4919,MATCH($A1141,'DETALLE CRONOLÓGICO'!$A$2:$A$4919,0)+$E1141-1)</f>
        <v/>
      </c>
      <c r="I1141" s="5">
        <f>IFERROR(SUMIFS('DETALLE CRONOLÓGICO'!$L$2:$L$4919,'DETALLE CRONOLÓGICO'!$A$2:$A$4919,$A1141)/$F1141,"")</f>
        <v/>
      </c>
      <c r="J1141" s="6">
        <f>IFERROR(SUMIFS('DETALLE CRONOLÓGICO'!$K$2:$K$4919,'DETALLE CRONOLÓGICO'!$A$2:$A$4919,$A1141)/$E1141,"")</f>
        <v/>
      </c>
      <c r="K1141" s="6">
        <f>_xlfn.MINIFS('DETALLE CRONOLÓGICO'!$K$2:$K$4919,'DETALLE CRONOLÓGICO'!$A$2:$A$4919,$A1141)</f>
        <v/>
      </c>
      <c r="L1141" s="6">
        <f>_xlfn.MAXIFS('DETALLE CRONOLÓGICO'!$K$2:$K$4919,'DETALLE CRONOLÓGICO'!$A$2:$A$4919,$A1141)</f>
        <v/>
      </c>
      <c r="M1141" s="6">
        <f>INDEX('DETALLE CRONOLÓGICO'!$K$2:$K$4919,MATCH($A1141,'DETALLE CRONOLÓGICO'!$A$2:$A$4919,0)+$E1141-1)</f>
        <v/>
      </c>
      <c r="N1141" s="7">
        <f>IFERROR($M1141/INDEX('DETALLE CRONOLÓGICO'!$K$2:$K$4919,MATCH($A1141,'DETALLE CRONOLÓGICO'!$A$2:$A$4919,0))-1,"")</f>
        <v/>
      </c>
      <c r="O1141" s="6">
        <f>IFERROR($I1141*3,"")</f>
        <v/>
      </c>
      <c r="P1141" s="6">
        <f>IFERROR($I1141*3.5,"")</f>
        <v/>
      </c>
      <c r="Q1141" s="6">
        <f>IFERROR($I1141*4,"")</f>
        <v/>
      </c>
      <c r="R1141" s="6" t="n">
        <v>480</v>
      </c>
      <c r="S1141" s="4" t="n">
        <v>9</v>
      </c>
      <c r="T1141" s="1" t="inlineStr">
        <is>
          <t>active</t>
        </is>
      </c>
      <c r="U1141" s="8" t="n"/>
      <c r="V1141" s="1" t="inlineStr">
        <is>
          <t>SIN PRECIO</t>
        </is>
      </c>
    </row>
    <row r="1142">
      <c r="A1142" s="1" t="inlineStr">
        <is>
          <t>63e0c22875cb9</t>
        </is>
      </c>
      <c r="B1142" s="1" t="inlineStr">
        <is>
          <t>PULSERA CLAVO SILVER DELGADA</t>
        </is>
      </c>
      <c r="C1142" s="1" t="inlineStr">
        <is>
          <t>17cm</t>
        </is>
      </c>
      <c r="D1142" s="1" t="inlineStr">
        <is>
          <t>NANCY</t>
        </is>
      </c>
      <c r="E1142" s="4">
        <f>COUNTIF('DETALLE CRONOLÓGICO'!$A$2:$A$4919,$A1142)</f>
        <v/>
      </c>
      <c r="F1142" s="4">
        <f>SUMIFS('DETALLE CRONOLÓGICO'!$I$2:$I$4919,'DETALLE CRONOLÓGICO'!$A$2:$A$4919,$A1142)</f>
        <v/>
      </c>
      <c r="G1142" s="1">
        <f>INDEX('DETALLE CRONOLÓGICO'!$D$2:$D$4919,MATCH($A1142,'DETALLE CRONOLÓGICO'!$A$2:$A$4919,0))</f>
        <v/>
      </c>
      <c r="H1142" s="1">
        <f>INDEX('DETALLE CRONOLÓGICO'!$D$2:$D$4919,MATCH($A1142,'DETALLE CRONOLÓGICO'!$A$2:$A$4919,0)+$E1142-1)</f>
        <v/>
      </c>
      <c r="I1142" s="5">
        <f>IFERROR(SUMIFS('DETALLE CRONOLÓGICO'!$L$2:$L$4919,'DETALLE CRONOLÓGICO'!$A$2:$A$4919,$A1142)/$F1142,"")</f>
        <v/>
      </c>
      <c r="J1142" s="6">
        <f>IFERROR(SUMIFS('DETALLE CRONOLÓGICO'!$K$2:$K$4919,'DETALLE CRONOLÓGICO'!$A$2:$A$4919,$A1142)/$E1142,"")</f>
        <v/>
      </c>
      <c r="K1142" s="6">
        <f>_xlfn.MINIFS('DETALLE CRONOLÓGICO'!$K$2:$K$4919,'DETALLE CRONOLÓGICO'!$A$2:$A$4919,$A1142)</f>
        <v/>
      </c>
      <c r="L1142" s="6">
        <f>_xlfn.MAXIFS('DETALLE CRONOLÓGICO'!$K$2:$K$4919,'DETALLE CRONOLÓGICO'!$A$2:$A$4919,$A1142)</f>
        <v/>
      </c>
      <c r="M1142" s="6">
        <f>INDEX('DETALLE CRONOLÓGICO'!$K$2:$K$4919,MATCH($A1142,'DETALLE CRONOLÓGICO'!$A$2:$A$4919,0)+$E1142-1)</f>
        <v/>
      </c>
      <c r="N1142" s="7">
        <f>IFERROR($M1142/INDEX('DETALLE CRONOLÓGICO'!$K$2:$K$4919,MATCH($A1142,'DETALLE CRONOLÓGICO'!$A$2:$A$4919,0))-1,"")</f>
        <v/>
      </c>
      <c r="O1142" s="6">
        <f>IFERROR($I1142*3,"")</f>
        <v/>
      </c>
      <c r="P1142" s="6">
        <f>IFERROR($I1142*3.5,"")</f>
        <v/>
      </c>
      <c r="Q1142" s="6">
        <f>IFERROR($I1142*4,"")</f>
        <v/>
      </c>
      <c r="R1142" s="6" t="n">
        <v>525</v>
      </c>
      <c r="S1142" s="4" t="n">
        <v>6</v>
      </c>
      <c r="T1142" s="1" t="inlineStr">
        <is>
          <t>active</t>
        </is>
      </c>
      <c r="U1142" s="8" t="n"/>
      <c r="V1142" s="1" t="inlineStr">
        <is>
          <t>SIN PRECIO</t>
        </is>
      </c>
    </row>
    <row r="1143">
      <c r="A1143" s="1" t="inlineStr">
        <is>
          <t>63e0c22967d6a</t>
        </is>
      </c>
      <c r="B1143" s="1" t="inlineStr">
        <is>
          <t>PULSERA CLAVO JUSTE UN CLOU ZIRCONIA SILVER</t>
        </is>
      </c>
      <c r="C1143" s="1" t="inlineStr">
        <is>
          <t>19CM</t>
        </is>
      </c>
      <c r="D1143" s="1" t="inlineStr">
        <is>
          <t>NANCY</t>
        </is>
      </c>
      <c r="E1143" s="4">
        <f>COUNTIF('DETALLE CRONOLÓGICO'!$A$2:$A$4919,$A1143)</f>
        <v/>
      </c>
      <c r="F1143" s="4">
        <f>SUMIFS('DETALLE CRONOLÓGICO'!$I$2:$I$4919,'DETALLE CRONOLÓGICO'!$A$2:$A$4919,$A1143)</f>
        <v/>
      </c>
      <c r="G1143" s="1">
        <f>INDEX('DETALLE CRONOLÓGICO'!$D$2:$D$4919,MATCH($A1143,'DETALLE CRONOLÓGICO'!$A$2:$A$4919,0))</f>
        <v/>
      </c>
      <c r="H1143" s="1">
        <f>INDEX('DETALLE CRONOLÓGICO'!$D$2:$D$4919,MATCH($A1143,'DETALLE CRONOLÓGICO'!$A$2:$A$4919,0)+$E1143-1)</f>
        <v/>
      </c>
      <c r="I1143" s="5">
        <f>IFERROR(SUMIFS('DETALLE CRONOLÓGICO'!$L$2:$L$4919,'DETALLE CRONOLÓGICO'!$A$2:$A$4919,$A1143)/$F1143,"")</f>
        <v/>
      </c>
      <c r="J1143" s="6">
        <f>IFERROR(SUMIFS('DETALLE CRONOLÓGICO'!$K$2:$K$4919,'DETALLE CRONOLÓGICO'!$A$2:$A$4919,$A1143)/$E1143,"")</f>
        <v/>
      </c>
      <c r="K1143" s="6">
        <f>_xlfn.MINIFS('DETALLE CRONOLÓGICO'!$K$2:$K$4919,'DETALLE CRONOLÓGICO'!$A$2:$A$4919,$A1143)</f>
        <v/>
      </c>
      <c r="L1143" s="6">
        <f>_xlfn.MAXIFS('DETALLE CRONOLÓGICO'!$K$2:$K$4919,'DETALLE CRONOLÓGICO'!$A$2:$A$4919,$A1143)</f>
        <v/>
      </c>
      <c r="M1143" s="6">
        <f>INDEX('DETALLE CRONOLÓGICO'!$K$2:$K$4919,MATCH($A1143,'DETALLE CRONOLÓGICO'!$A$2:$A$4919,0)+$E1143-1)</f>
        <v/>
      </c>
      <c r="N1143" s="7">
        <f>IFERROR($M1143/INDEX('DETALLE CRONOLÓGICO'!$K$2:$K$4919,MATCH($A1143,'DETALLE CRONOLÓGICO'!$A$2:$A$4919,0))-1,"")</f>
        <v/>
      </c>
      <c r="O1143" s="6">
        <f>IFERROR($I1143*3,"")</f>
        <v/>
      </c>
      <c r="P1143" s="6">
        <f>IFERROR($I1143*3.5,"")</f>
        <v/>
      </c>
      <c r="Q1143" s="6">
        <f>IFERROR($I1143*4,"")</f>
        <v/>
      </c>
      <c r="R1143" s="6" t="n">
        <v>480</v>
      </c>
      <c r="S1143" s="4" t="n">
        <v>1</v>
      </c>
      <c r="T1143" s="1" t="inlineStr">
        <is>
          <t>active</t>
        </is>
      </c>
      <c r="U1143" s="8" t="n"/>
      <c r="V1143" s="1" t="inlineStr">
        <is>
          <t>SIN PRECIO</t>
        </is>
      </c>
    </row>
    <row r="1144">
      <c r="A1144" s="1" t="inlineStr">
        <is>
          <t>63e0c2310d7f4</t>
        </is>
      </c>
      <c r="B1144" s="1" t="inlineStr">
        <is>
          <t>PULSERA CLIC H SILVER WHITE</t>
        </is>
      </c>
      <c r="C1144" s="1" t="inlineStr">
        <is>
          <t>16.8 cm</t>
        </is>
      </c>
      <c r="D1144" s="1" t="inlineStr">
        <is>
          <t>HAIFENG</t>
        </is>
      </c>
      <c r="E1144" s="4">
        <f>COUNTIF('DETALLE CRONOLÓGICO'!$A$2:$A$4919,$A1144)</f>
        <v/>
      </c>
      <c r="F1144" s="4">
        <f>SUMIFS('DETALLE CRONOLÓGICO'!$I$2:$I$4919,'DETALLE CRONOLÓGICO'!$A$2:$A$4919,$A1144)</f>
        <v/>
      </c>
      <c r="G1144" s="1">
        <f>INDEX('DETALLE CRONOLÓGICO'!$D$2:$D$4919,MATCH($A1144,'DETALLE CRONOLÓGICO'!$A$2:$A$4919,0))</f>
        <v/>
      </c>
      <c r="H1144" s="1">
        <f>INDEX('DETALLE CRONOLÓGICO'!$D$2:$D$4919,MATCH($A1144,'DETALLE CRONOLÓGICO'!$A$2:$A$4919,0)+$E1144-1)</f>
        <v/>
      </c>
      <c r="I1144" s="5">
        <f>IFERROR(SUMIFS('DETALLE CRONOLÓGICO'!$L$2:$L$4919,'DETALLE CRONOLÓGICO'!$A$2:$A$4919,$A1144)/$F1144,"")</f>
        <v/>
      </c>
      <c r="J1144" s="6">
        <f>IFERROR(SUMIFS('DETALLE CRONOLÓGICO'!$K$2:$K$4919,'DETALLE CRONOLÓGICO'!$A$2:$A$4919,$A1144)/$E1144,"")</f>
        <v/>
      </c>
      <c r="K1144" s="6">
        <f>_xlfn.MINIFS('DETALLE CRONOLÓGICO'!$K$2:$K$4919,'DETALLE CRONOLÓGICO'!$A$2:$A$4919,$A1144)</f>
        <v/>
      </c>
      <c r="L1144" s="6">
        <f>_xlfn.MAXIFS('DETALLE CRONOLÓGICO'!$K$2:$K$4919,'DETALLE CRONOLÓGICO'!$A$2:$A$4919,$A1144)</f>
        <v/>
      </c>
      <c r="M1144" s="6">
        <f>INDEX('DETALLE CRONOLÓGICO'!$K$2:$K$4919,MATCH($A1144,'DETALLE CRONOLÓGICO'!$A$2:$A$4919,0)+$E1144-1)</f>
        <v/>
      </c>
      <c r="N1144" s="7">
        <f>IFERROR($M1144/INDEX('DETALLE CRONOLÓGICO'!$K$2:$K$4919,MATCH($A1144,'DETALLE CRONOLÓGICO'!$A$2:$A$4919,0))-1,"")</f>
        <v/>
      </c>
      <c r="O1144" s="6">
        <f>IFERROR($I1144*3,"")</f>
        <v/>
      </c>
      <c r="P1144" s="6">
        <f>IFERROR($I1144*3.5,"")</f>
        <v/>
      </c>
      <c r="Q1144" s="6">
        <f>IFERROR($I1144*4,"")</f>
        <v/>
      </c>
      <c r="R1144" s="6" t="n">
        <v>569</v>
      </c>
      <c r="S1144" s="4" t="n">
        <v>9</v>
      </c>
      <c r="T1144" s="1" t="inlineStr">
        <is>
          <t>active</t>
        </is>
      </c>
      <c r="U1144" s="8" t="n"/>
      <c r="V1144" s="1" t="inlineStr">
        <is>
          <t>SIN PRECIO</t>
        </is>
      </c>
    </row>
    <row r="1145">
      <c r="A1145" s="1" t="inlineStr">
        <is>
          <t>63e0c23142764</t>
        </is>
      </c>
      <c r="B1145" s="1" t="inlineStr">
        <is>
          <t>PULSERA CLIC H GOLD PINK</t>
        </is>
      </c>
      <c r="C1145" s="1" t="inlineStr">
        <is>
          <t>16.8 cm</t>
        </is>
      </c>
      <c r="D1145" s="1" t="inlineStr">
        <is>
          <t>HAIFENG</t>
        </is>
      </c>
      <c r="E1145" s="4">
        <f>COUNTIF('DETALLE CRONOLÓGICO'!$A$2:$A$4919,$A1145)</f>
        <v/>
      </c>
      <c r="F1145" s="4">
        <f>SUMIFS('DETALLE CRONOLÓGICO'!$I$2:$I$4919,'DETALLE CRONOLÓGICO'!$A$2:$A$4919,$A1145)</f>
        <v/>
      </c>
      <c r="G1145" s="1">
        <f>INDEX('DETALLE CRONOLÓGICO'!$D$2:$D$4919,MATCH($A1145,'DETALLE CRONOLÓGICO'!$A$2:$A$4919,0))</f>
        <v/>
      </c>
      <c r="H1145" s="1">
        <f>INDEX('DETALLE CRONOLÓGICO'!$D$2:$D$4919,MATCH($A1145,'DETALLE CRONOLÓGICO'!$A$2:$A$4919,0)+$E1145-1)</f>
        <v/>
      </c>
      <c r="I1145" s="5">
        <f>IFERROR(SUMIFS('DETALLE CRONOLÓGICO'!$L$2:$L$4919,'DETALLE CRONOLÓGICO'!$A$2:$A$4919,$A1145)/$F1145,"")</f>
        <v/>
      </c>
      <c r="J1145" s="6">
        <f>IFERROR(SUMIFS('DETALLE CRONOLÓGICO'!$K$2:$K$4919,'DETALLE CRONOLÓGICO'!$A$2:$A$4919,$A1145)/$E1145,"")</f>
        <v/>
      </c>
      <c r="K1145" s="6">
        <f>_xlfn.MINIFS('DETALLE CRONOLÓGICO'!$K$2:$K$4919,'DETALLE CRONOLÓGICO'!$A$2:$A$4919,$A1145)</f>
        <v/>
      </c>
      <c r="L1145" s="6">
        <f>_xlfn.MAXIFS('DETALLE CRONOLÓGICO'!$K$2:$K$4919,'DETALLE CRONOLÓGICO'!$A$2:$A$4919,$A1145)</f>
        <v/>
      </c>
      <c r="M1145" s="6">
        <f>INDEX('DETALLE CRONOLÓGICO'!$K$2:$K$4919,MATCH($A1145,'DETALLE CRONOLÓGICO'!$A$2:$A$4919,0)+$E1145-1)</f>
        <v/>
      </c>
      <c r="N1145" s="7">
        <f>IFERROR($M1145/INDEX('DETALLE CRONOLÓGICO'!$K$2:$K$4919,MATCH($A1145,'DETALLE CRONOLÓGICO'!$A$2:$A$4919,0))-1,"")</f>
        <v/>
      </c>
      <c r="O1145" s="6">
        <f>IFERROR($I1145*3,"")</f>
        <v/>
      </c>
      <c r="P1145" s="6">
        <f>IFERROR($I1145*3.5,"")</f>
        <v/>
      </c>
      <c r="Q1145" s="6">
        <f>IFERROR($I1145*4,"")</f>
        <v/>
      </c>
      <c r="R1145" s="6" t="n">
        <v>550</v>
      </c>
      <c r="S1145" s="4" t="n">
        <v>4</v>
      </c>
      <c r="T1145" s="1" t="inlineStr">
        <is>
          <t>active</t>
        </is>
      </c>
      <c r="U1145" s="8" t="n"/>
      <c r="V1145" s="1" t="inlineStr">
        <is>
          <t>SIN PRECIO</t>
        </is>
      </c>
    </row>
    <row r="1146">
      <c r="A1146" s="1" t="inlineStr">
        <is>
          <t>63e0c23442e74</t>
        </is>
      </c>
      <c r="B1146" s="1" t="inlineStr">
        <is>
          <t>PULSERA CLIC H GOLD BLACK</t>
        </is>
      </c>
      <c r="C1146" s="1" t="inlineStr">
        <is>
          <t>16.8 cm</t>
        </is>
      </c>
      <c r="D1146" s="1" t="inlineStr">
        <is>
          <t>HAIFENG</t>
        </is>
      </c>
      <c r="E1146" s="4">
        <f>COUNTIF('DETALLE CRONOLÓGICO'!$A$2:$A$4919,$A1146)</f>
        <v/>
      </c>
      <c r="F1146" s="4">
        <f>SUMIFS('DETALLE CRONOLÓGICO'!$I$2:$I$4919,'DETALLE CRONOLÓGICO'!$A$2:$A$4919,$A1146)</f>
        <v/>
      </c>
      <c r="G1146" s="1">
        <f>INDEX('DETALLE CRONOLÓGICO'!$D$2:$D$4919,MATCH($A1146,'DETALLE CRONOLÓGICO'!$A$2:$A$4919,0))</f>
        <v/>
      </c>
      <c r="H1146" s="1">
        <f>INDEX('DETALLE CRONOLÓGICO'!$D$2:$D$4919,MATCH($A1146,'DETALLE CRONOLÓGICO'!$A$2:$A$4919,0)+$E1146-1)</f>
        <v/>
      </c>
      <c r="I1146" s="5">
        <f>IFERROR(SUMIFS('DETALLE CRONOLÓGICO'!$L$2:$L$4919,'DETALLE CRONOLÓGICO'!$A$2:$A$4919,$A1146)/$F1146,"")</f>
        <v/>
      </c>
      <c r="J1146" s="6">
        <f>IFERROR(SUMIFS('DETALLE CRONOLÓGICO'!$K$2:$K$4919,'DETALLE CRONOLÓGICO'!$A$2:$A$4919,$A1146)/$E1146,"")</f>
        <v/>
      </c>
      <c r="K1146" s="6">
        <f>_xlfn.MINIFS('DETALLE CRONOLÓGICO'!$K$2:$K$4919,'DETALLE CRONOLÓGICO'!$A$2:$A$4919,$A1146)</f>
        <v/>
      </c>
      <c r="L1146" s="6">
        <f>_xlfn.MAXIFS('DETALLE CRONOLÓGICO'!$K$2:$K$4919,'DETALLE CRONOLÓGICO'!$A$2:$A$4919,$A1146)</f>
        <v/>
      </c>
      <c r="M1146" s="6">
        <f>INDEX('DETALLE CRONOLÓGICO'!$K$2:$K$4919,MATCH($A1146,'DETALLE CRONOLÓGICO'!$A$2:$A$4919,0)+$E1146-1)</f>
        <v/>
      </c>
      <c r="N1146" s="7">
        <f>IFERROR($M1146/INDEX('DETALLE CRONOLÓGICO'!$K$2:$K$4919,MATCH($A1146,'DETALLE CRONOLÓGICO'!$A$2:$A$4919,0))-1,"")</f>
        <v/>
      </c>
      <c r="O1146" s="6">
        <f>IFERROR($I1146*3,"")</f>
        <v/>
      </c>
      <c r="P1146" s="6">
        <f>IFERROR($I1146*3.5,"")</f>
        <v/>
      </c>
      <c r="Q1146" s="6">
        <f>IFERROR($I1146*4,"")</f>
        <v/>
      </c>
      <c r="R1146" s="6" t="n">
        <v>569</v>
      </c>
      <c r="S1146" s="4" t="n">
        <v>2</v>
      </c>
      <c r="T1146" s="1" t="inlineStr">
        <is>
          <t>active</t>
        </is>
      </c>
      <c r="U1146" s="8" t="n"/>
      <c r="V1146" s="1" t="inlineStr">
        <is>
          <t>SIN PRECIO</t>
        </is>
      </c>
    </row>
    <row r="1147">
      <c r="A1147" s="1" t="inlineStr">
        <is>
          <t>63e0c234b0e65</t>
        </is>
      </c>
      <c r="B1147" s="1" t="inlineStr">
        <is>
          <t>PULSERA CLIC H SILVER BLACK</t>
        </is>
      </c>
      <c r="C1147" s="1" t="inlineStr">
        <is>
          <t>16.8 cm</t>
        </is>
      </c>
      <c r="D1147" s="1" t="inlineStr">
        <is>
          <t>HAIFENG</t>
        </is>
      </c>
      <c r="E1147" s="4">
        <f>COUNTIF('DETALLE CRONOLÓGICO'!$A$2:$A$4919,$A1147)</f>
        <v/>
      </c>
      <c r="F1147" s="4">
        <f>SUMIFS('DETALLE CRONOLÓGICO'!$I$2:$I$4919,'DETALLE CRONOLÓGICO'!$A$2:$A$4919,$A1147)</f>
        <v/>
      </c>
      <c r="G1147" s="1">
        <f>INDEX('DETALLE CRONOLÓGICO'!$D$2:$D$4919,MATCH($A1147,'DETALLE CRONOLÓGICO'!$A$2:$A$4919,0))</f>
        <v/>
      </c>
      <c r="H1147" s="1">
        <f>INDEX('DETALLE CRONOLÓGICO'!$D$2:$D$4919,MATCH($A1147,'DETALLE CRONOLÓGICO'!$A$2:$A$4919,0)+$E1147-1)</f>
        <v/>
      </c>
      <c r="I1147" s="5">
        <f>IFERROR(SUMIFS('DETALLE CRONOLÓGICO'!$L$2:$L$4919,'DETALLE CRONOLÓGICO'!$A$2:$A$4919,$A1147)/$F1147,"")</f>
        <v/>
      </c>
      <c r="J1147" s="6">
        <f>IFERROR(SUMIFS('DETALLE CRONOLÓGICO'!$K$2:$K$4919,'DETALLE CRONOLÓGICO'!$A$2:$A$4919,$A1147)/$E1147,"")</f>
        <v/>
      </c>
      <c r="K1147" s="6">
        <f>_xlfn.MINIFS('DETALLE CRONOLÓGICO'!$K$2:$K$4919,'DETALLE CRONOLÓGICO'!$A$2:$A$4919,$A1147)</f>
        <v/>
      </c>
      <c r="L1147" s="6">
        <f>_xlfn.MAXIFS('DETALLE CRONOLÓGICO'!$K$2:$K$4919,'DETALLE CRONOLÓGICO'!$A$2:$A$4919,$A1147)</f>
        <v/>
      </c>
      <c r="M1147" s="6">
        <f>INDEX('DETALLE CRONOLÓGICO'!$K$2:$K$4919,MATCH($A1147,'DETALLE CRONOLÓGICO'!$A$2:$A$4919,0)+$E1147-1)</f>
        <v/>
      </c>
      <c r="N1147" s="7">
        <f>IFERROR($M1147/INDEX('DETALLE CRONOLÓGICO'!$K$2:$K$4919,MATCH($A1147,'DETALLE CRONOLÓGICO'!$A$2:$A$4919,0))-1,"")</f>
        <v/>
      </c>
      <c r="O1147" s="6">
        <f>IFERROR($I1147*3,"")</f>
        <v/>
      </c>
      <c r="P1147" s="6">
        <f>IFERROR($I1147*3.5,"")</f>
        <v/>
      </c>
      <c r="Q1147" s="6">
        <f>IFERROR($I1147*4,"")</f>
        <v/>
      </c>
      <c r="R1147" s="6" t="n">
        <v>550</v>
      </c>
      <c r="S1147" s="4" t="n">
        <v>3</v>
      </c>
      <c r="T1147" s="1" t="inlineStr">
        <is>
          <t>active</t>
        </is>
      </c>
      <c r="U1147" s="8" t="n"/>
      <c r="V1147" s="1" t="inlineStr">
        <is>
          <t>SIN PRECIO</t>
        </is>
      </c>
    </row>
    <row r="1148">
      <c r="A1148" s="1" t="inlineStr">
        <is>
          <t>63e0c23519a54</t>
        </is>
      </c>
      <c r="B1148" s="1" t="inlineStr">
        <is>
          <t>PULSERA CLIC H SILVER PINK</t>
        </is>
      </c>
      <c r="C1148" s="1" t="inlineStr">
        <is>
          <t>16.8 cm</t>
        </is>
      </c>
      <c r="D1148" s="1" t="inlineStr">
        <is>
          <t>HAIFENG</t>
        </is>
      </c>
      <c r="E1148" s="4">
        <f>COUNTIF('DETALLE CRONOLÓGICO'!$A$2:$A$4919,$A1148)</f>
        <v/>
      </c>
      <c r="F1148" s="4">
        <f>SUMIFS('DETALLE CRONOLÓGICO'!$I$2:$I$4919,'DETALLE CRONOLÓGICO'!$A$2:$A$4919,$A1148)</f>
        <v/>
      </c>
      <c r="G1148" s="1">
        <f>INDEX('DETALLE CRONOLÓGICO'!$D$2:$D$4919,MATCH($A1148,'DETALLE CRONOLÓGICO'!$A$2:$A$4919,0))</f>
        <v/>
      </c>
      <c r="H1148" s="1">
        <f>INDEX('DETALLE CRONOLÓGICO'!$D$2:$D$4919,MATCH($A1148,'DETALLE CRONOLÓGICO'!$A$2:$A$4919,0)+$E1148-1)</f>
        <v/>
      </c>
      <c r="I1148" s="5">
        <f>IFERROR(SUMIFS('DETALLE CRONOLÓGICO'!$L$2:$L$4919,'DETALLE CRONOLÓGICO'!$A$2:$A$4919,$A1148)/$F1148,"")</f>
        <v/>
      </c>
      <c r="J1148" s="6">
        <f>IFERROR(SUMIFS('DETALLE CRONOLÓGICO'!$K$2:$K$4919,'DETALLE CRONOLÓGICO'!$A$2:$A$4919,$A1148)/$E1148,"")</f>
        <v/>
      </c>
      <c r="K1148" s="6">
        <f>_xlfn.MINIFS('DETALLE CRONOLÓGICO'!$K$2:$K$4919,'DETALLE CRONOLÓGICO'!$A$2:$A$4919,$A1148)</f>
        <v/>
      </c>
      <c r="L1148" s="6">
        <f>_xlfn.MAXIFS('DETALLE CRONOLÓGICO'!$K$2:$K$4919,'DETALLE CRONOLÓGICO'!$A$2:$A$4919,$A1148)</f>
        <v/>
      </c>
      <c r="M1148" s="6">
        <f>INDEX('DETALLE CRONOLÓGICO'!$K$2:$K$4919,MATCH($A1148,'DETALLE CRONOLÓGICO'!$A$2:$A$4919,0)+$E1148-1)</f>
        <v/>
      </c>
      <c r="N1148" s="7">
        <f>IFERROR($M1148/INDEX('DETALLE CRONOLÓGICO'!$K$2:$K$4919,MATCH($A1148,'DETALLE CRONOLÓGICO'!$A$2:$A$4919,0))-1,"")</f>
        <v/>
      </c>
      <c r="O1148" s="6">
        <f>IFERROR($I1148*3,"")</f>
        <v/>
      </c>
      <c r="P1148" s="6">
        <f>IFERROR($I1148*3.5,"")</f>
        <v/>
      </c>
      <c r="Q1148" s="6">
        <f>IFERROR($I1148*4,"")</f>
        <v/>
      </c>
      <c r="R1148" s="6" t="n">
        <v>550</v>
      </c>
      <c r="S1148" s="4" t="n">
        <v>2</v>
      </c>
      <c r="T1148" s="1" t="inlineStr">
        <is>
          <t>active</t>
        </is>
      </c>
      <c r="U1148" s="8" t="n"/>
      <c r="V1148" s="1" t="inlineStr">
        <is>
          <t>SIN PRECIO</t>
        </is>
      </c>
    </row>
    <row r="1149">
      <c r="A1149" s="1" t="inlineStr">
        <is>
          <t>63e0c53833f26</t>
        </is>
      </c>
      <c r="B1149" s="1" t="inlineStr">
        <is>
          <t>PULSERA LOVE CON ZIRCONIA GOLD</t>
        </is>
      </c>
      <c r="C1149" s="1" t="inlineStr">
        <is>
          <t>16 cm</t>
        </is>
      </c>
      <c r="D1149" s="1" t="inlineStr">
        <is>
          <t>HAIFENG</t>
        </is>
      </c>
      <c r="E1149" s="4">
        <f>COUNTIF('DETALLE CRONOLÓGICO'!$A$2:$A$4919,$A1149)</f>
        <v/>
      </c>
      <c r="F1149" s="4">
        <f>SUMIFS('DETALLE CRONOLÓGICO'!$I$2:$I$4919,'DETALLE CRONOLÓGICO'!$A$2:$A$4919,$A1149)</f>
        <v/>
      </c>
      <c r="G1149" s="1">
        <f>INDEX('DETALLE CRONOLÓGICO'!$D$2:$D$4919,MATCH($A1149,'DETALLE CRONOLÓGICO'!$A$2:$A$4919,0))</f>
        <v/>
      </c>
      <c r="H1149" s="1">
        <f>INDEX('DETALLE CRONOLÓGICO'!$D$2:$D$4919,MATCH($A1149,'DETALLE CRONOLÓGICO'!$A$2:$A$4919,0)+$E1149-1)</f>
        <v/>
      </c>
      <c r="I1149" s="5">
        <f>IFERROR(SUMIFS('DETALLE CRONOLÓGICO'!$L$2:$L$4919,'DETALLE CRONOLÓGICO'!$A$2:$A$4919,$A1149)/$F1149,"")</f>
        <v/>
      </c>
      <c r="J1149" s="6">
        <f>IFERROR(SUMIFS('DETALLE CRONOLÓGICO'!$K$2:$K$4919,'DETALLE CRONOLÓGICO'!$A$2:$A$4919,$A1149)/$E1149,"")</f>
        <v/>
      </c>
      <c r="K1149" s="6">
        <f>_xlfn.MINIFS('DETALLE CRONOLÓGICO'!$K$2:$K$4919,'DETALLE CRONOLÓGICO'!$A$2:$A$4919,$A1149)</f>
        <v/>
      </c>
      <c r="L1149" s="6">
        <f>_xlfn.MAXIFS('DETALLE CRONOLÓGICO'!$K$2:$K$4919,'DETALLE CRONOLÓGICO'!$A$2:$A$4919,$A1149)</f>
        <v/>
      </c>
      <c r="M1149" s="6">
        <f>INDEX('DETALLE CRONOLÓGICO'!$K$2:$K$4919,MATCH($A1149,'DETALLE CRONOLÓGICO'!$A$2:$A$4919,0)+$E1149-1)</f>
        <v/>
      </c>
      <c r="N1149" s="7">
        <f>IFERROR($M1149/INDEX('DETALLE CRONOLÓGICO'!$K$2:$K$4919,MATCH($A1149,'DETALLE CRONOLÓGICO'!$A$2:$A$4919,0))-1,"")</f>
        <v/>
      </c>
      <c r="O1149" s="6">
        <f>IFERROR($I1149*3,"")</f>
        <v/>
      </c>
      <c r="P1149" s="6">
        <f>IFERROR($I1149*3.5,"")</f>
        <v/>
      </c>
      <c r="Q1149" s="6">
        <f>IFERROR($I1149*4,"")</f>
        <v/>
      </c>
      <c r="R1149" s="6" t="n">
        <v>499</v>
      </c>
      <c r="S1149" s="4" t="n">
        <v>7</v>
      </c>
      <c r="T1149" s="1" t="inlineStr">
        <is>
          <t>active</t>
        </is>
      </c>
      <c r="U1149" s="8" t="n"/>
      <c r="V1149" s="1" t="inlineStr">
        <is>
          <t>SIN PRECIO</t>
        </is>
      </c>
    </row>
    <row r="1150">
      <c r="A1150" s="1" t="inlineStr">
        <is>
          <t>63e0c5387bab1</t>
        </is>
      </c>
      <c r="B1150" s="1" t="inlineStr">
        <is>
          <t>PULSERA LOVE CON ZIRCONIA ROSE GOLD</t>
        </is>
      </c>
      <c r="C1150" s="1" t="inlineStr">
        <is>
          <t>16 cm</t>
        </is>
      </c>
      <c r="D1150" s="1" t="inlineStr">
        <is>
          <t>HAIFENG</t>
        </is>
      </c>
      <c r="E1150" s="4">
        <f>COUNTIF('DETALLE CRONOLÓGICO'!$A$2:$A$4919,$A1150)</f>
        <v/>
      </c>
      <c r="F1150" s="4">
        <f>SUMIFS('DETALLE CRONOLÓGICO'!$I$2:$I$4919,'DETALLE CRONOLÓGICO'!$A$2:$A$4919,$A1150)</f>
        <v/>
      </c>
      <c r="G1150" s="1">
        <f>INDEX('DETALLE CRONOLÓGICO'!$D$2:$D$4919,MATCH($A1150,'DETALLE CRONOLÓGICO'!$A$2:$A$4919,0))</f>
        <v/>
      </c>
      <c r="H1150" s="1">
        <f>INDEX('DETALLE CRONOLÓGICO'!$D$2:$D$4919,MATCH($A1150,'DETALLE CRONOLÓGICO'!$A$2:$A$4919,0)+$E1150-1)</f>
        <v/>
      </c>
      <c r="I1150" s="5">
        <f>IFERROR(SUMIFS('DETALLE CRONOLÓGICO'!$L$2:$L$4919,'DETALLE CRONOLÓGICO'!$A$2:$A$4919,$A1150)/$F1150,"")</f>
        <v/>
      </c>
      <c r="J1150" s="6">
        <f>IFERROR(SUMIFS('DETALLE CRONOLÓGICO'!$K$2:$K$4919,'DETALLE CRONOLÓGICO'!$A$2:$A$4919,$A1150)/$E1150,"")</f>
        <v/>
      </c>
      <c r="K1150" s="6">
        <f>_xlfn.MINIFS('DETALLE CRONOLÓGICO'!$K$2:$K$4919,'DETALLE CRONOLÓGICO'!$A$2:$A$4919,$A1150)</f>
        <v/>
      </c>
      <c r="L1150" s="6">
        <f>_xlfn.MAXIFS('DETALLE CRONOLÓGICO'!$K$2:$K$4919,'DETALLE CRONOLÓGICO'!$A$2:$A$4919,$A1150)</f>
        <v/>
      </c>
      <c r="M1150" s="6">
        <f>INDEX('DETALLE CRONOLÓGICO'!$K$2:$K$4919,MATCH($A1150,'DETALLE CRONOLÓGICO'!$A$2:$A$4919,0)+$E1150-1)</f>
        <v/>
      </c>
      <c r="N1150" s="7">
        <f>IFERROR($M1150/INDEX('DETALLE CRONOLÓGICO'!$K$2:$K$4919,MATCH($A1150,'DETALLE CRONOLÓGICO'!$A$2:$A$4919,0))-1,"")</f>
        <v/>
      </c>
      <c r="O1150" s="6">
        <f>IFERROR($I1150*3,"")</f>
        <v/>
      </c>
      <c r="P1150" s="6">
        <f>IFERROR($I1150*3.5,"")</f>
        <v/>
      </c>
      <c r="Q1150" s="6">
        <f>IFERROR($I1150*4,"")</f>
        <v/>
      </c>
      <c r="R1150" s="6" t="n">
        <v>499</v>
      </c>
      <c r="S1150" s="4" t="n">
        <v>2</v>
      </c>
      <c r="T1150" s="1" t="inlineStr">
        <is>
          <t>active</t>
        </is>
      </c>
      <c r="U1150" s="8" t="n"/>
      <c r="V1150" s="1" t="inlineStr">
        <is>
          <t>SIN PRECIO</t>
        </is>
      </c>
    </row>
    <row r="1151">
      <c r="A1151" s="1" t="inlineStr">
        <is>
          <t>63e0c53946490</t>
        </is>
      </c>
      <c r="B1151" s="1" t="inlineStr">
        <is>
          <t>PULSERA LOVE CON ZIRCONIA GOLD</t>
        </is>
      </c>
      <c r="C1151" s="1" t="inlineStr">
        <is>
          <t>17cm</t>
        </is>
      </c>
      <c r="D1151" s="1" t="inlineStr">
        <is>
          <t>HAIFENG</t>
        </is>
      </c>
      <c r="E1151" s="4">
        <f>COUNTIF('DETALLE CRONOLÓGICO'!$A$2:$A$4919,$A1151)</f>
        <v/>
      </c>
      <c r="F1151" s="4">
        <f>SUMIFS('DETALLE CRONOLÓGICO'!$I$2:$I$4919,'DETALLE CRONOLÓGICO'!$A$2:$A$4919,$A1151)</f>
        <v/>
      </c>
      <c r="G1151" s="1">
        <f>INDEX('DETALLE CRONOLÓGICO'!$D$2:$D$4919,MATCH($A1151,'DETALLE CRONOLÓGICO'!$A$2:$A$4919,0))</f>
        <v/>
      </c>
      <c r="H1151" s="1">
        <f>INDEX('DETALLE CRONOLÓGICO'!$D$2:$D$4919,MATCH($A1151,'DETALLE CRONOLÓGICO'!$A$2:$A$4919,0)+$E1151-1)</f>
        <v/>
      </c>
      <c r="I1151" s="5">
        <f>IFERROR(SUMIFS('DETALLE CRONOLÓGICO'!$L$2:$L$4919,'DETALLE CRONOLÓGICO'!$A$2:$A$4919,$A1151)/$F1151,"")</f>
        <v/>
      </c>
      <c r="J1151" s="6">
        <f>IFERROR(SUMIFS('DETALLE CRONOLÓGICO'!$K$2:$K$4919,'DETALLE CRONOLÓGICO'!$A$2:$A$4919,$A1151)/$E1151,"")</f>
        <v/>
      </c>
      <c r="K1151" s="6">
        <f>_xlfn.MINIFS('DETALLE CRONOLÓGICO'!$K$2:$K$4919,'DETALLE CRONOLÓGICO'!$A$2:$A$4919,$A1151)</f>
        <v/>
      </c>
      <c r="L1151" s="6">
        <f>_xlfn.MAXIFS('DETALLE CRONOLÓGICO'!$K$2:$K$4919,'DETALLE CRONOLÓGICO'!$A$2:$A$4919,$A1151)</f>
        <v/>
      </c>
      <c r="M1151" s="6">
        <f>INDEX('DETALLE CRONOLÓGICO'!$K$2:$K$4919,MATCH($A1151,'DETALLE CRONOLÓGICO'!$A$2:$A$4919,0)+$E1151-1)</f>
        <v/>
      </c>
      <c r="N1151" s="7">
        <f>IFERROR($M1151/INDEX('DETALLE CRONOLÓGICO'!$K$2:$K$4919,MATCH($A1151,'DETALLE CRONOLÓGICO'!$A$2:$A$4919,0))-1,"")</f>
        <v/>
      </c>
      <c r="O1151" s="6">
        <f>IFERROR($I1151*3,"")</f>
        <v/>
      </c>
      <c r="P1151" s="6">
        <f>IFERROR($I1151*3.5,"")</f>
        <v/>
      </c>
      <c r="Q1151" s="6">
        <f>IFERROR($I1151*4,"")</f>
        <v/>
      </c>
      <c r="R1151" s="6" t="n">
        <v>499</v>
      </c>
      <c r="S1151" s="4" t="n">
        <v>6</v>
      </c>
      <c r="T1151" s="1" t="inlineStr">
        <is>
          <t>active</t>
        </is>
      </c>
      <c r="U1151" s="8" t="n"/>
      <c r="V1151" s="1" t="inlineStr">
        <is>
          <t>SIN PRECIO</t>
        </is>
      </c>
    </row>
    <row r="1152">
      <c r="A1152" s="1" t="inlineStr">
        <is>
          <t>63e0c5395cc64</t>
        </is>
      </c>
      <c r="B1152" s="1" t="inlineStr">
        <is>
          <t>PULSERA LOVE CON ZIRCONIA ROSE GOLD</t>
        </is>
      </c>
      <c r="C1152" s="1" t="inlineStr">
        <is>
          <t>17 cm</t>
        </is>
      </c>
      <c r="D1152" s="1" t="inlineStr">
        <is>
          <t>HAIFENG</t>
        </is>
      </c>
      <c r="E1152" s="4">
        <f>COUNTIF('DETALLE CRONOLÓGICO'!$A$2:$A$4919,$A1152)</f>
        <v/>
      </c>
      <c r="F1152" s="4">
        <f>SUMIFS('DETALLE CRONOLÓGICO'!$I$2:$I$4919,'DETALLE CRONOLÓGICO'!$A$2:$A$4919,$A1152)</f>
        <v/>
      </c>
      <c r="G1152" s="1">
        <f>INDEX('DETALLE CRONOLÓGICO'!$D$2:$D$4919,MATCH($A1152,'DETALLE CRONOLÓGICO'!$A$2:$A$4919,0))</f>
        <v/>
      </c>
      <c r="H1152" s="1">
        <f>INDEX('DETALLE CRONOLÓGICO'!$D$2:$D$4919,MATCH($A1152,'DETALLE CRONOLÓGICO'!$A$2:$A$4919,0)+$E1152-1)</f>
        <v/>
      </c>
      <c r="I1152" s="5">
        <f>IFERROR(SUMIFS('DETALLE CRONOLÓGICO'!$L$2:$L$4919,'DETALLE CRONOLÓGICO'!$A$2:$A$4919,$A1152)/$F1152,"")</f>
        <v/>
      </c>
      <c r="J1152" s="6">
        <f>IFERROR(SUMIFS('DETALLE CRONOLÓGICO'!$K$2:$K$4919,'DETALLE CRONOLÓGICO'!$A$2:$A$4919,$A1152)/$E1152,"")</f>
        <v/>
      </c>
      <c r="K1152" s="6">
        <f>_xlfn.MINIFS('DETALLE CRONOLÓGICO'!$K$2:$K$4919,'DETALLE CRONOLÓGICO'!$A$2:$A$4919,$A1152)</f>
        <v/>
      </c>
      <c r="L1152" s="6">
        <f>_xlfn.MAXIFS('DETALLE CRONOLÓGICO'!$K$2:$K$4919,'DETALLE CRONOLÓGICO'!$A$2:$A$4919,$A1152)</f>
        <v/>
      </c>
      <c r="M1152" s="6">
        <f>INDEX('DETALLE CRONOLÓGICO'!$K$2:$K$4919,MATCH($A1152,'DETALLE CRONOLÓGICO'!$A$2:$A$4919,0)+$E1152-1)</f>
        <v/>
      </c>
      <c r="N1152" s="7">
        <f>IFERROR($M1152/INDEX('DETALLE CRONOLÓGICO'!$K$2:$K$4919,MATCH($A1152,'DETALLE CRONOLÓGICO'!$A$2:$A$4919,0))-1,"")</f>
        <v/>
      </c>
      <c r="O1152" s="6">
        <f>IFERROR($I1152*3,"")</f>
        <v/>
      </c>
      <c r="P1152" s="6">
        <f>IFERROR($I1152*3.5,"")</f>
        <v/>
      </c>
      <c r="Q1152" s="6">
        <f>IFERROR($I1152*4,"")</f>
        <v/>
      </c>
      <c r="R1152" s="6" t="n">
        <v>499</v>
      </c>
      <c r="S1152" s="4" t="n">
        <v>2</v>
      </c>
      <c r="T1152" s="1" t="inlineStr">
        <is>
          <t>active</t>
        </is>
      </c>
      <c r="U1152" s="8" t="n"/>
      <c r="V1152" s="1" t="inlineStr">
        <is>
          <t>SIN PRECIO</t>
        </is>
      </c>
    </row>
    <row r="1153">
      <c r="A1153" s="1" t="inlineStr">
        <is>
          <t>63e0c53a2b722</t>
        </is>
      </c>
      <c r="B1153" s="1" t="inlineStr">
        <is>
          <t>PULSERA LOVE CON ZIRCONIA GOLD</t>
        </is>
      </c>
      <c r="C1153" s="1" t="inlineStr">
        <is>
          <t>18 cm</t>
        </is>
      </c>
      <c r="D1153" s="1" t="inlineStr">
        <is>
          <t>HAIFENG</t>
        </is>
      </c>
      <c r="E1153" s="4">
        <f>COUNTIF('DETALLE CRONOLÓGICO'!$A$2:$A$4919,$A1153)</f>
        <v/>
      </c>
      <c r="F1153" s="4">
        <f>SUMIFS('DETALLE CRONOLÓGICO'!$I$2:$I$4919,'DETALLE CRONOLÓGICO'!$A$2:$A$4919,$A1153)</f>
        <v/>
      </c>
      <c r="G1153" s="1">
        <f>INDEX('DETALLE CRONOLÓGICO'!$D$2:$D$4919,MATCH($A1153,'DETALLE CRONOLÓGICO'!$A$2:$A$4919,0))</f>
        <v/>
      </c>
      <c r="H1153" s="1">
        <f>INDEX('DETALLE CRONOLÓGICO'!$D$2:$D$4919,MATCH($A1153,'DETALLE CRONOLÓGICO'!$A$2:$A$4919,0)+$E1153-1)</f>
        <v/>
      </c>
      <c r="I1153" s="5">
        <f>IFERROR(SUMIFS('DETALLE CRONOLÓGICO'!$L$2:$L$4919,'DETALLE CRONOLÓGICO'!$A$2:$A$4919,$A1153)/$F1153,"")</f>
        <v/>
      </c>
      <c r="J1153" s="6">
        <f>IFERROR(SUMIFS('DETALLE CRONOLÓGICO'!$K$2:$K$4919,'DETALLE CRONOLÓGICO'!$A$2:$A$4919,$A1153)/$E1153,"")</f>
        <v/>
      </c>
      <c r="K1153" s="6">
        <f>_xlfn.MINIFS('DETALLE CRONOLÓGICO'!$K$2:$K$4919,'DETALLE CRONOLÓGICO'!$A$2:$A$4919,$A1153)</f>
        <v/>
      </c>
      <c r="L1153" s="6">
        <f>_xlfn.MAXIFS('DETALLE CRONOLÓGICO'!$K$2:$K$4919,'DETALLE CRONOLÓGICO'!$A$2:$A$4919,$A1153)</f>
        <v/>
      </c>
      <c r="M1153" s="6">
        <f>INDEX('DETALLE CRONOLÓGICO'!$K$2:$K$4919,MATCH($A1153,'DETALLE CRONOLÓGICO'!$A$2:$A$4919,0)+$E1153-1)</f>
        <v/>
      </c>
      <c r="N1153" s="7">
        <f>IFERROR($M1153/INDEX('DETALLE CRONOLÓGICO'!$K$2:$K$4919,MATCH($A1153,'DETALLE CRONOLÓGICO'!$A$2:$A$4919,0))-1,"")</f>
        <v/>
      </c>
      <c r="O1153" s="6">
        <f>IFERROR($I1153*3,"")</f>
        <v/>
      </c>
      <c r="P1153" s="6">
        <f>IFERROR($I1153*3.5,"")</f>
        <v/>
      </c>
      <c r="Q1153" s="6">
        <f>IFERROR($I1153*4,"")</f>
        <v/>
      </c>
      <c r="R1153" s="6" t="n">
        <v>499</v>
      </c>
      <c r="S1153" s="4" t="n">
        <v>8</v>
      </c>
      <c r="T1153" s="1" t="inlineStr">
        <is>
          <t>active</t>
        </is>
      </c>
      <c r="U1153" s="8" t="n"/>
      <c r="V1153" s="1" t="inlineStr">
        <is>
          <t>SIN PRECIO</t>
        </is>
      </c>
    </row>
    <row r="1154">
      <c r="A1154" s="1" t="inlineStr">
        <is>
          <t>63e0c53be61bd</t>
        </is>
      </c>
      <c r="B1154" s="1" t="inlineStr">
        <is>
          <t>PULSERA LOVE CON ZIRCONIA GOLD</t>
        </is>
      </c>
      <c r="C1154" s="1" t="inlineStr">
        <is>
          <t>20 cm</t>
        </is>
      </c>
      <c r="D1154" s="1" t="inlineStr">
        <is>
          <t>HAIFENG</t>
        </is>
      </c>
      <c r="E1154" s="4">
        <f>COUNTIF('DETALLE CRONOLÓGICO'!$A$2:$A$4919,$A1154)</f>
        <v/>
      </c>
      <c r="F1154" s="4">
        <f>SUMIFS('DETALLE CRONOLÓGICO'!$I$2:$I$4919,'DETALLE CRONOLÓGICO'!$A$2:$A$4919,$A1154)</f>
        <v/>
      </c>
      <c r="G1154" s="1">
        <f>INDEX('DETALLE CRONOLÓGICO'!$D$2:$D$4919,MATCH($A1154,'DETALLE CRONOLÓGICO'!$A$2:$A$4919,0))</f>
        <v/>
      </c>
      <c r="H1154" s="1">
        <f>INDEX('DETALLE CRONOLÓGICO'!$D$2:$D$4919,MATCH($A1154,'DETALLE CRONOLÓGICO'!$A$2:$A$4919,0)+$E1154-1)</f>
        <v/>
      </c>
      <c r="I1154" s="5">
        <f>IFERROR(SUMIFS('DETALLE CRONOLÓGICO'!$L$2:$L$4919,'DETALLE CRONOLÓGICO'!$A$2:$A$4919,$A1154)/$F1154,"")</f>
        <v/>
      </c>
      <c r="J1154" s="6">
        <f>IFERROR(SUMIFS('DETALLE CRONOLÓGICO'!$K$2:$K$4919,'DETALLE CRONOLÓGICO'!$A$2:$A$4919,$A1154)/$E1154,"")</f>
        <v/>
      </c>
      <c r="K1154" s="6">
        <f>_xlfn.MINIFS('DETALLE CRONOLÓGICO'!$K$2:$K$4919,'DETALLE CRONOLÓGICO'!$A$2:$A$4919,$A1154)</f>
        <v/>
      </c>
      <c r="L1154" s="6">
        <f>_xlfn.MAXIFS('DETALLE CRONOLÓGICO'!$K$2:$K$4919,'DETALLE CRONOLÓGICO'!$A$2:$A$4919,$A1154)</f>
        <v/>
      </c>
      <c r="M1154" s="6">
        <f>INDEX('DETALLE CRONOLÓGICO'!$K$2:$K$4919,MATCH($A1154,'DETALLE CRONOLÓGICO'!$A$2:$A$4919,0)+$E1154-1)</f>
        <v/>
      </c>
      <c r="N1154" s="7">
        <f>IFERROR($M1154/INDEX('DETALLE CRONOLÓGICO'!$K$2:$K$4919,MATCH($A1154,'DETALLE CRONOLÓGICO'!$A$2:$A$4919,0))-1,"")</f>
        <v/>
      </c>
      <c r="O1154" s="6">
        <f>IFERROR($I1154*3,"")</f>
        <v/>
      </c>
      <c r="P1154" s="6">
        <f>IFERROR($I1154*3.5,"")</f>
        <v/>
      </c>
      <c r="Q1154" s="6">
        <f>IFERROR($I1154*4,"")</f>
        <v/>
      </c>
      <c r="R1154" s="6" t="n">
        <v>499</v>
      </c>
      <c r="S1154" s="4" t="n">
        <v>8</v>
      </c>
      <c r="T1154" s="1" t="inlineStr">
        <is>
          <t>active</t>
        </is>
      </c>
      <c r="U1154" s="8" t="n"/>
      <c r="V1154" s="1" t="inlineStr">
        <is>
          <t>SIN PRECIO</t>
        </is>
      </c>
    </row>
    <row r="1155">
      <c r="A1155" s="1" t="inlineStr">
        <is>
          <t>63e0c53cbec21</t>
        </is>
      </c>
      <c r="B1155" s="1" t="inlineStr">
        <is>
          <t>PULSERA LOVE CON ZIRCONIA GOLD</t>
        </is>
      </c>
      <c r="C1155" s="1" t="inlineStr">
        <is>
          <t>21 cm</t>
        </is>
      </c>
      <c r="D1155" s="1" t="inlineStr">
        <is>
          <t>HAIFENG</t>
        </is>
      </c>
      <c r="E1155" s="4">
        <f>COUNTIF('DETALLE CRONOLÓGICO'!$A$2:$A$4919,$A1155)</f>
        <v/>
      </c>
      <c r="F1155" s="4">
        <f>SUMIFS('DETALLE CRONOLÓGICO'!$I$2:$I$4919,'DETALLE CRONOLÓGICO'!$A$2:$A$4919,$A1155)</f>
        <v/>
      </c>
      <c r="G1155" s="1">
        <f>INDEX('DETALLE CRONOLÓGICO'!$D$2:$D$4919,MATCH($A1155,'DETALLE CRONOLÓGICO'!$A$2:$A$4919,0))</f>
        <v/>
      </c>
      <c r="H1155" s="1">
        <f>INDEX('DETALLE CRONOLÓGICO'!$D$2:$D$4919,MATCH($A1155,'DETALLE CRONOLÓGICO'!$A$2:$A$4919,0)+$E1155-1)</f>
        <v/>
      </c>
      <c r="I1155" s="5">
        <f>IFERROR(SUMIFS('DETALLE CRONOLÓGICO'!$L$2:$L$4919,'DETALLE CRONOLÓGICO'!$A$2:$A$4919,$A1155)/$F1155,"")</f>
        <v/>
      </c>
      <c r="J1155" s="6">
        <f>IFERROR(SUMIFS('DETALLE CRONOLÓGICO'!$K$2:$K$4919,'DETALLE CRONOLÓGICO'!$A$2:$A$4919,$A1155)/$E1155,"")</f>
        <v/>
      </c>
      <c r="K1155" s="6">
        <f>_xlfn.MINIFS('DETALLE CRONOLÓGICO'!$K$2:$K$4919,'DETALLE CRONOLÓGICO'!$A$2:$A$4919,$A1155)</f>
        <v/>
      </c>
      <c r="L1155" s="6">
        <f>_xlfn.MAXIFS('DETALLE CRONOLÓGICO'!$K$2:$K$4919,'DETALLE CRONOLÓGICO'!$A$2:$A$4919,$A1155)</f>
        <v/>
      </c>
      <c r="M1155" s="6">
        <f>INDEX('DETALLE CRONOLÓGICO'!$K$2:$K$4919,MATCH($A1155,'DETALLE CRONOLÓGICO'!$A$2:$A$4919,0)+$E1155-1)</f>
        <v/>
      </c>
      <c r="N1155" s="7">
        <f>IFERROR($M1155/INDEX('DETALLE CRONOLÓGICO'!$K$2:$K$4919,MATCH($A1155,'DETALLE CRONOLÓGICO'!$A$2:$A$4919,0))-1,"")</f>
        <v/>
      </c>
      <c r="O1155" s="6">
        <f>IFERROR($I1155*3,"")</f>
        <v/>
      </c>
      <c r="P1155" s="6">
        <f>IFERROR($I1155*3.5,"")</f>
        <v/>
      </c>
      <c r="Q1155" s="6">
        <f>IFERROR($I1155*4,"")</f>
        <v/>
      </c>
      <c r="R1155" s="6" t="n">
        <v>499</v>
      </c>
      <c r="S1155" s="4" t="n">
        <v>0</v>
      </c>
      <c r="T1155" s="1" t="inlineStr">
        <is>
          <t>active</t>
        </is>
      </c>
      <c r="U1155" s="8" t="n"/>
      <c r="V1155" s="1" t="inlineStr">
        <is>
          <t>SIN PRECIO</t>
        </is>
      </c>
    </row>
    <row r="1156">
      <c r="A1156" s="1" t="inlineStr">
        <is>
          <t>63e0c53f88fe1</t>
        </is>
      </c>
      <c r="B1156" s="1" t="inlineStr">
        <is>
          <t>PULSERA LOVE CON ZIRCONIA SILVER</t>
        </is>
      </c>
      <c r="C1156" s="1" t="inlineStr">
        <is>
          <t>19 cm</t>
        </is>
      </c>
      <c r="D1156" s="1" t="inlineStr">
        <is>
          <t>HAIFENG</t>
        </is>
      </c>
      <c r="E1156" s="4">
        <f>COUNTIF('DETALLE CRONOLÓGICO'!$A$2:$A$4919,$A1156)</f>
        <v/>
      </c>
      <c r="F1156" s="4">
        <f>SUMIFS('DETALLE CRONOLÓGICO'!$I$2:$I$4919,'DETALLE CRONOLÓGICO'!$A$2:$A$4919,$A1156)</f>
        <v/>
      </c>
      <c r="G1156" s="1">
        <f>INDEX('DETALLE CRONOLÓGICO'!$D$2:$D$4919,MATCH($A1156,'DETALLE CRONOLÓGICO'!$A$2:$A$4919,0))</f>
        <v/>
      </c>
      <c r="H1156" s="1">
        <f>INDEX('DETALLE CRONOLÓGICO'!$D$2:$D$4919,MATCH($A1156,'DETALLE CRONOLÓGICO'!$A$2:$A$4919,0)+$E1156-1)</f>
        <v/>
      </c>
      <c r="I1156" s="5">
        <f>IFERROR(SUMIFS('DETALLE CRONOLÓGICO'!$L$2:$L$4919,'DETALLE CRONOLÓGICO'!$A$2:$A$4919,$A1156)/$F1156,"")</f>
        <v/>
      </c>
      <c r="J1156" s="6">
        <f>IFERROR(SUMIFS('DETALLE CRONOLÓGICO'!$K$2:$K$4919,'DETALLE CRONOLÓGICO'!$A$2:$A$4919,$A1156)/$E1156,"")</f>
        <v/>
      </c>
      <c r="K1156" s="6">
        <f>_xlfn.MINIFS('DETALLE CRONOLÓGICO'!$K$2:$K$4919,'DETALLE CRONOLÓGICO'!$A$2:$A$4919,$A1156)</f>
        <v/>
      </c>
      <c r="L1156" s="6">
        <f>_xlfn.MAXIFS('DETALLE CRONOLÓGICO'!$K$2:$K$4919,'DETALLE CRONOLÓGICO'!$A$2:$A$4919,$A1156)</f>
        <v/>
      </c>
      <c r="M1156" s="6">
        <f>INDEX('DETALLE CRONOLÓGICO'!$K$2:$K$4919,MATCH($A1156,'DETALLE CRONOLÓGICO'!$A$2:$A$4919,0)+$E1156-1)</f>
        <v/>
      </c>
      <c r="N1156" s="7">
        <f>IFERROR($M1156/INDEX('DETALLE CRONOLÓGICO'!$K$2:$K$4919,MATCH($A1156,'DETALLE CRONOLÓGICO'!$A$2:$A$4919,0))-1,"")</f>
        <v/>
      </c>
      <c r="O1156" s="6">
        <f>IFERROR($I1156*3,"")</f>
        <v/>
      </c>
      <c r="P1156" s="6">
        <f>IFERROR($I1156*3.5,"")</f>
        <v/>
      </c>
      <c r="Q1156" s="6">
        <f>IFERROR($I1156*4,"")</f>
        <v/>
      </c>
      <c r="R1156" s="6" t="n">
        <v>499</v>
      </c>
      <c r="S1156" s="4" t="n">
        <v>5</v>
      </c>
      <c r="T1156" s="1" t="inlineStr">
        <is>
          <t>active</t>
        </is>
      </c>
      <c r="U1156" s="8" t="n"/>
      <c r="V1156" s="1" t="inlineStr">
        <is>
          <t>SIN PRECIO</t>
        </is>
      </c>
    </row>
    <row r="1157">
      <c r="A1157" s="1" t="inlineStr">
        <is>
          <t>63e0c54172948</t>
        </is>
      </c>
      <c r="B1157" s="1" t="inlineStr">
        <is>
          <t>PULSERA LOVE CON ZIRCONIA SILVER</t>
        </is>
      </c>
      <c r="C1157" s="1" t="inlineStr">
        <is>
          <t>21 cm</t>
        </is>
      </c>
      <c r="D1157" s="1" t="inlineStr">
        <is>
          <t>HAIFENG</t>
        </is>
      </c>
      <c r="E1157" s="4">
        <f>COUNTIF('DETALLE CRONOLÓGICO'!$A$2:$A$4919,$A1157)</f>
        <v/>
      </c>
      <c r="F1157" s="4">
        <f>SUMIFS('DETALLE CRONOLÓGICO'!$I$2:$I$4919,'DETALLE CRONOLÓGICO'!$A$2:$A$4919,$A1157)</f>
        <v/>
      </c>
      <c r="G1157" s="1">
        <f>INDEX('DETALLE CRONOLÓGICO'!$D$2:$D$4919,MATCH($A1157,'DETALLE CRONOLÓGICO'!$A$2:$A$4919,0))</f>
        <v/>
      </c>
      <c r="H1157" s="1">
        <f>INDEX('DETALLE CRONOLÓGICO'!$D$2:$D$4919,MATCH($A1157,'DETALLE CRONOLÓGICO'!$A$2:$A$4919,0)+$E1157-1)</f>
        <v/>
      </c>
      <c r="I1157" s="5">
        <f>IFERROR(SUMIFS('DETALLE CRONOLÓGICO'!$L$2:$L$4919,'DETALLE CRONOLÓGICO'!$A$2:$A$4919,$A1157)/$F1157,"")</f>
        <v/>
      </c>
      <c r="J1157" s="6">
        <f>IFERROR(SUMIFS('DETALLE CRONOLÓGICO'!$K$2:$K$4919,'DETALLE CRONOLÓGICO'!$A$2:$A$4919,$A1157)/$E1157,"")</f>
        <v/>
      </c>
      <c r="K1157" s="6">
        <f>_xlfn.MINIFS('DETALLE CRONOLÓGICO'!$K$2:$K$4919,'DETALLE CRONOLÓGICO'!$A$2:$A$4919,$A1157)</f>
        <v/>
      </c>
      <c r="L1157" s="6">
        <f>_xlfn.MAXIFS('DETALLE CRONOLÓGICO'!$K$2:$K$4919,'DETALLE CRONOLÓGICO'!$A$2:$A$4919,$A1157)</f>
        <v/>
      </c>
      <c r="M1157" s="6">
        <f>INDEX('DETALLE CRONOLÓGICO'!$K$2:$K$4919,MATCH($A1157,'DETALLE CRONOLÓGICO'!$A$2:$A$4919,0)+$E1157-1)</f>
        <v/>
      </c>
      <c r="N1157" s="7">
        <f>IFERROR($M1157/INDEX('DETALLE CRONOLÓGICO'!$K$2:$K$4919,MATCH($A1157,'DETALLE CRONOLÓGICO'!$A$2:$A$4919,0))-1,"")</f>
        <v/>
      </c>
      <c r="O1157" s="6">
        <f>IFERROR($I1157*3,"")</f>
        <v/>
      </c>
      <c r="P1157" s="6">
        <f>IFERROR($I1157*3.5,"")</f>
        <v/>
      </c>
      <c r="Q1157" s="6">
        <f>IFERROR($I1157*4,"")</f>
        <v/>
      </c>
      <c r="R1157" s="6" t="n">
        <v>499</v>
      </c>
      <c r="S1157" s="4" t="n">
        <v>5</v>
      </c>
      <c r="T1157" s="1" t="inlineStr">
        <is>
          <t>active</t>
        </is>
      </c>
      <c r="U1157" s="8" t="n"/>
      <c r="V1157" s="1" t="inlineStr">
        <is>
          <t>SIN PRECIO</t>
        </is>
      </c>
    </row>
    <row r="1158">
      <c r="A1158" s="1" t="inlineStr">
        <is>
          <t>63e0c58ca26ac</t>
        </is>
      </c>
      <c r="B1158" s="1" t="inlineStr">
        <is>
          <t>PULSERA LOVE DELGADA ROSE GOLD</t>
        </is>
      </c>
      <c r="C1158" s="1" t="inlineStr">
        <is>
          <t>16 cm</t>
        </is>
      </c>
      <c r="D1158" s="1" t="inlineStr">
        <is>
          <t>HAIFENG</t>
        </is>
      </c>
      <c r="E1158" s="4">
        <f>COUNTIF('DETALLE CRONOLÓGICO'!$A$2:$A$4919,$A1158)</f>
        <v/>
      </c>
      <c r="F1158" s="4">
        <f>SUMIFS('DETALLE CRONOLÓGICO'!$I$2:$I$4919,'DETALLE CRONOLÓGICO'!$A$2:$A$4919,$A1158)</f>
        <v/>
      </c>
      <c r="G1158" s="1">
        <f>INDEX('DETALLE CRONOLÓGICO'!$D$2:$D$4919,MATCH($A1158,'DETALLE CRONOLÓGICO'!$A$2:$A$4919,0))</f>
        <v/>
      </c>
      <c r="H1158" s="1">
        <f>INDEX('DETALLE CRONOLÓGICO'!$D$2:$D$4919,MATCH($A1158,'DETALLE CRONOLÓGICO'!$A$2:$A$4919,0)+$E1158-1)</f>
        <v/>
      </c>
      <c r="I1158" s="5">
        <f>IFERROR(SUMIFS('DETALLE CRONOLÓGICO'!$L$2:$L$4919,'DETALLE CRONOLÓGICO'!$A$2:$A$4919,$A1158)/$F1158,"")</f>
        <v/>
      </c>
      <c r="J1158" s="6">
        <f>IFERROR(SUMIFS('DETALLE CRONOLÓGICO'!$K$2:$K$4919,'DETALLE CRONOLÓGICO'!$A$2:$A$4919,$A1158)/$E1158,"")</f>
        <v/>
      </c>
      <c r="K1158" s="6">
        <f>_xlfn.MINIFS('DETALLE CRONOLÓGICO'!$K$2:$K$4919,'DETALLE CRONOLÓGICO'!$A$2:$A$4919,$A1158)</f>
        <v/>
      </c>
      <c r="L1158" s="6">
        <f>_xlfn.MAXIFS('DETALLE CRONOLÓGICO'!$K$2:$K$4919,'DETALLE CRONOLÓGICO'!$A$2:$A$4919,$A1158)</f>
        <v/>
      </c>
      <c r="M1158" s="6">
        <f>INDEX('DETALLE CRONOLÓGICO'!$K$2:$K$4919,MATCH($A1158,'DETALLE CRONOLÓGICO'!$A$2:$A$4919,0)+$E1158-1)</f>
        <v/>
      </c>
      <c r="N1158" s="7">
        <f>IFERROR($M1158/INDEX('DETALLE CRONOLÓGICO'!$K$2:$K$4919,MATCH($A1158,'DETALLE CRONOLÓGICO'!$A$2:$A$4919,0))-1,"")</f>
        <v/>
      </c>
      <c r="O1158" s="6">
        <f>IFERROR($I1158*3,"")</f>
        <v/>
      </c>
      <c r="P1158" s="6">
        <f>IFERROR($I1158*3.5,"")</f>
        <v/>
      </c>
      <c r="Q1158" s="6">
        <f>IFERROR($I1158*4,"")</f>
        <v/>
      </c>
      <c r="R1158" s="6" t="n">
        <v>499</v>
      </c>
      <c r="S1158" s="4" t="n">
        <v>4</v>
      </c>
      <c r="T1158" s="1" t="inlineStr">
        <is>
          <t>active</t>
        </is>
      </c>
      <c r="U1158" s="8" t="n"/>
      <c r="V1158" s="1" t="inlineStr">
        <is>
          <t>SIN PRECIO</t>
        </is>
      </c>
    </row>
    <row r="1159">
      <c r="A1159" s="1" t="inlineStr">
        <is>
          <t>63e0c58da8cda</t>
        </is>
      </c>
      <c r="B1159" s="1" t="inlineStr">
        <is>
          <t>PULSERA LOVE DELGADA ROSE GOLD</t>
        </is>
      </c>
      <c r="C1159" s="1" t="inlineStr">
        <is>
          <t>17cm</t>
        </is>
      </c>
      <c r="D1159" s="1" t="inlineStr">
        <is>
          <t>HAIFENG</t>
        </is>
      </c>
      <c r="E1159" s="4">
        <f>COUNTIF('DETALLE CRONOLÓGICO'!$A$2:$A$4919,$A1159)</f>
        <v/>
      </c>
      <c r="F1159" s="4">
        <f>SUMIFS('DETALLE CRONOLÓGICO'!$I$2:$I$4919,'DETALLE CRONOLÓGICO'!$A$2:$A$4919,$A1159)</f>
        <v/>
      </c>
      <c r="G1159" s="1">
        <f>INDEX('DETALLE CRONOLÓGICO'!$D$2:$D$4919,MATCH($A1159,'DETALLE CRONOLÓGICO'!$A$2:$A$4919,0))</f>
        <v/>
      </c>
      <c r="H1159" s="1">
        <f>INDEX('DETALLE CRONOLÓGICO'!$D$2:$D$4919,MATCH($A1159,'DETALLE CRONOLÓGICO'!$A$2:$A$4919,0)+$E1159-1)</f>
        <v/>
      </c>
      <c r="I1159" s="5">
        <f>IFERROR(SUMIFS('DETALLE CRONOLÓGICO'!$L$2:$L$4919,'DETALLE CRONOLÓGICO'!$A$2:$A$4919,$A1159)/$F1159,"")</f>
        <v/>
      </c>
      <c r="J1159" s="6">
        <f>IFERROR(SUMIFS('DETALLE CRONOLÓGICO'!$K$2:$K$4919,'DETALLE CRONOLÓGICO'!$A$2:$A$4919,$A1159)/$E1159,"")</f>
        <v/>
      </c>
      <c r="K1159" s="6">
        <f>_xlfn.MINIFS('DETALLE CRONOLÓGICO'!$K$2:$K$4919,'DETALLE CRONOLÓGICO'!$A$2:$A$4919,$A1159)</f>
        <v/>
      </c>
      <c r="L1159" s="6">
        <f>_xlfn.MAXIFS('DETALLE CRONOLÓGICO'!$K$2:$K$4919,'DETALLE CRONOLÓGICO'!$A$2:$A$4919,$A1159)</f>
        <v/>
      </c>
      <c r="M1159" s="6">
        <f>INDEX('DETALLE CRONOLÓGICO'!$K$2:$K$4919,MATCH($A1159,'DETALLE CRONOLÓGICO'!$A$2:$A$4919,0)+$E1159-1)</f>
        <v/>
      </c>
      <c r="N1159" s="7">
        <f>IFERROR($M1159/INDEX('DETALLE CRONOLÓGICO'!$K$2:$K$4919,MATCH($A1159,'DETALLE CRONOLÓGICO'!$A$2:$A$4919,0))-1,"")</f>
        <v/>
      </c>
      <c r="O1159" s="6">
        <f>IFERROR($I1159*3,"")</f>
        <v/>
      </c>
      <c r="P1159" s="6">
        <f>IFERROR($I1159*3.5,"")</f>
        <v/>
      </c>
      <c r="Q1159" s="6">
        <f>IFERROR($I1159*4,"")</f>
        <v/>
      </c>
      <c r="R1159" s="6" t="n">
        <v>499</v>
      </c>
      <c r="S1159" s="4" t="n">
        <v>6</v>
      </c>
      <c r="T1159" s="1" t="inlineStr">
        <is>
          <t>active</t>
        </is>
      </c>
      <c r="U1159" s="8" t="n"/>
      <c r="V1159" s="1" t="inlineStr">
        <is>
          <t>SIN PRECIO</t>
        </is>
      </c>
    </row>
    <row r="1160">
      <c r="A1160" s="1" t="inlineStr">
        <is>
          <t>63e0c58e84d6e</t>
        </is>
      </c>
      <c r="B1160" s="1" t="inlineStr">
        <is>
          <t>PULSERA LOVE DELGADA ROSE GOLD</t>
        </is>
      </c>
      <c r="C1160" s="1" t="inlineStr">
        <is>
          <t>18 cm</t>
        </is>
      </c>
      <c r="D1160" s="1" t="inlineStr">
        <is>
          <t>HAIFENG</t>
        </is>
      </c>
      <c r="E1160" s="4">
        <f>COUNTIF('DETALLE CRONOLÓGICO'!$A$2:$A$4919,$A1160)</f>
        <v/>
      </c>
      <c r="F1160" s="4">
        <f>SUMIFS('DETALLE CRONOLÓGICO'!$I$2:$I$4919,'DETALLE CRONOLÓGICO'!$A$2:$A$4919,$A1160)</f>
        <v/>
      </c>
      <c r="G1160" s="1">
        <f>INDEX('DETALLE CRONOLÓGICO'!$D$2:$D$4919,MATCH($A1160,'DETALLE CRONOLÓGICO'!$A$2:$A$4919,0))</f>
        <v/>
      </c>
      <c r="H1160" s="1">
        <f>INDEX('DETALLE CRONOLÓGICO'!$D$2:$D$4919,MATCH($A1160,'DETALLE CRONOLÓGICO'!$A$2:$A$4919,0)+$E1160-1)</f>
        <v/>
      </c>
      <c r="I1160" s="5">
        <f>IFERROR(SUMIFS('DETALLE CRONOLÓGICO'!$L$2:$L$4919,'DETALLE CRONOLÓGICO'!$A$2:$A$4919,$A1160)/$F1160,"")</f>
        <v/>
      </c>
      <c r="J1160" s="6">
        <f>IFERROR(SUMIFS('DETALLE CRONOLÓGICO'!$K$2:$K$4919,'DETALLE CRONOLÓGICO'!$A$2:$A$4919,$A1160)/$E1160,"")</f>
        <v/>
      </c>
      <c r="K1160" s="6">
        <f>_xlfn.MINIFS('DETALLE CRONOLÓGICO'!$K$2:$K$4919,'DETALLE CRONOLÓGICO'!$A$2:$A$4919,$A1160)</f>
        <v/>
      </c>
      <c r="L1160" s="6">
        <f>_xlfn.MAXIFS('DETALLE CRONOLÓGICO'!$K$2:$K$4919,'DETALLE CRONOLÓGICO'!$A$2:$A$4919,$A1160)</f>
        <v/>
      </c>
      <c r="M1160" s="6">
        <f>INDEX('DETALLE CRONOLÓGICO'!$K$2:$K$4919,MATCH($A1160,'DETALLE CRONOLÓGICO'!$A$2:$A$4919,0)+$E1160-1)</f>
        <v/>
      </c>
      <c r="N1160" s="7">
        <f>IFERROR($M1160/INDEX('DETALLE CRONOLÓGICO'!$K$2:$K$4919,MATCH($A1160,'DETALLE CRONOLÓGICO'!$A$2:$A$4919,0))-1,"")</f>
        <v/>
      </c>
      <c r="O1160" s="6">
        <f>IFERROR($I1160*3,"")</f>
        <v/>
      </c>
      <c r="P1160" s="6">
        <f>IFERROR($I1160*3.5,"")</f>
        <v/>
      </c>
      <c r="Q1160" s="6">
        <f>IFERROR($I1160*4,"")</f>
        <v/>
      </c>
      <c r="R1160" s="6" t="n">
        <v>499</v>
      </c>
      <c r="S1160" s="4" t="n">
        <v>5</v>
      </c>
      <c r="T1160" s="1" t="inlineStr">
        <is>
          <t>active</t>
        </is>
      </c>
      <c r="U1160" s="8" t="n"/>
      <c r="V1160" s="1" t="inlineStr">
        <is>
          <t>SIN PRECIO</t>
        </is>
      </c>
    </row>
    <row r="1161">
      <c r="A1161" s="1" t="inlineStr">
        <is>
          <t>63e0c58f999f5</t>
        </is>
      </c>
      <c r="B1161" s="1" t="inlineStr">
        <is>
          <t>PULSERA LOVE DELGADA ROSE GOLD</t>
        </is>
      </c>
      <c r="C1161" s="1" t="inlineStr">
        <is>
          <t>19 cm</t>
        </is>
      </c>
      <c r="D1161" s="1" t="inlineStr">
        <is>
          <t>HAIFENG</t>
        </is>
      </c>
      <c r="E1161" s="4">
        <f>COUNTIF('DETALLE CRONOLÓGICO'!$A$2:$A$4919,$A1161)</f>
        <v/>
      </c>
      <c r="F1161" s="4">
        <f>SUMIFS('DETALLE CRONOLÓGICO'!$I$2:$I$4919,'DETALLE CRONOLÓGICO'!$A$2:$A$4919,$A1161)</f>
        <v/>
      </c>
      <c r="G1161" s="1">
        <f>INDEX('DETALLE CRONOLÓGICO'!$D$2:$D$4919,MATCH($A1161,'DETALLE CRONOLÓGICO'!$A$2:$A$4919,0))</f>
        <v/>
      </c>
      <c r="H1161" s="1">
        <f>INDEX('DETALLE CRONOLÓGICO'!$D$2:$D$4919,MATCH($A1161,'DETALLE CRONOLÓGICO'!$A$2:$A$4919,0)+$E1161-1)</f>
        <v/>
      </c>
      <c r="I1161" s="5">
        <f>IFERROR(SUMIFS('DETALLE CRONOLÓGICO'!$L$2:$L$4919,'DETALLE CRONOLÓGICO'!$A$2:$A$4919,$A1161)/$F1161,"")</f>
        <v/>
      </c>
      <c r="J1161" s="6">
        <f>IFERROR(SUMIFS('DETALLE CRONOLÓGICO'!$K$2:$K$4919,'DETALLE CRONOLÓGICO'!$A$2:$A$4919,$A1161)/$E1161,"")</f>
        <v/>
      </c>
      <c r="K1161" s="6">
        <f>_xlfn.MINIFS('DETALLE CRONOLÓGICO'!$K$2:$K$4919,'DETALLE CRONOLÓGICO'!$A$2:$A$4919,$A1161)</f>
        <v/>
      </c>
      <c r="L1161" s="6">
        <f>_xlfn.MAXIFS('DETALLE CRONOLÓGICO'!$K$2:$K$4919,'DETALLE CRONOLÓGICO'!$A$2:$A$4919,$A1161)</f>
        <v/>
      </c>
      <c r="M1161" s="6">
        <f>INDEX('DETALLE CRONOLÓGICO'!$K$2:$K$4919,MATCH($A1161,'DETALLE CRONOLÓGICO'!$A$2:$A$4919,0)+$E1161-1)</f>
        <v/>
      </c>
      <c r="N1161" s="7">
        <f>IFERROR($M1161/INDEX('DETALLE CRONOLÓGICO'!$K$2:$K$4919,MATCH($A1161,'DETALLE CRONOLÓGICO'!$A$2:$A$4919,0))-1,"")</f>
        <v/>
      </c>
      <c r="O1161" s="6">
        <f>IFERROR($I1161*3,"")</f>
        <v/>
      </c>
      <c r="P1161" s="6">
        <f>IFERROR($I1161*3.5,"")</f>
        <v/>
      </c>
      <c r="Q1161" s="6">
        <f>IFERROR($I1161*4,"")</f>
        <v/>
      </c>
      <c r="R1161" s="6" t="n">
        <v>499</v>
      </c>
      <c r="S1161" s="4" t="n">
        <v>0</v>
      </c>
      <c r="T1161" s="1" t="inlineStr">
        <is>
          <t>active</t>
        </is>
      </c>
      <c r="U1161" s="8" t="n"/>
      <c r="V1161" s="1" t="inlineStr">
        <is>
          <t>SIN PRECIO</t>
        </is>
      </c>
    </row>
    <row r="1162">
      <c r="A1162" s="1" t="inlineStr">
        <is>
          <t>63e0c59590d66</t>
        </is>
      </c>
      <c r="B1162" s="1" t="inlineStr">
        <is>
          <t>PULSERA LOVE ROSE GOLD</t>
        </is>
      </c>
      <c r="C1162" s="1" t="inlineStr">
        <is>
          <t>16 cm</t>
        </is>
      </c>
      <c r="D1162" s="1" t="inlineStr">
        <is>
          <t>HAIFENG</t>
        </is>
      </c>
      <c r="E1162" s="4">
        <f>COUNTIF('DETALLE CRONOLÓGICO'!$A$2:$A$4919,$A1162)</f>
        <v/>
      </c>
      <c r="F1162" s="4">
        <f>SUMIFS('DETALLE CRONOLÓGICO'!$I$2:$I$4919,'DETALLE CRONOLÓGICO'!$A$2:$A$4919,$A1162)</f>
        <v/>
      </c>
      <c r="G1162" s="1">
        <f>INDEX('DETALLE CRONOLÓGICO'!$D$2:$D$4919,MATCH($A1162,'DETALLE CRONOLÓGICO'!$A$2:$A$4919,0))</f>
        <v/>
      </c>
      <c r="H1162" s="1">
        <f>INDEX('DETALLE CRONOLÓGICO'!$D$2:$D$4919,MATCH($A1162,'DETALLE CRONOLÓGICO'!$A$2:$A$4919,0)+$E1162-1)</f>
        <v/>
      </c>
      <c r="I1162" s="5">
        <f>IFERROR(SUMIFS('DETALLE CRONOLÓGICO'!$L$2:$L$4919,'DETALLE CRONOLÓGICO'!$A$2:$A$4919,$A1162)/$F1162,"")</f>
        <v/>
      </c>
      <c r="J1162" s="6">
        <f>IFERROR(SUMIFS('DETALLE CRONOLÓGICO'!$K$2:$K$4919,'DETALLE CRONOLÓGICO'!$A$2:$A$4919,$A1162)/$E1162,"")</f>
        <v/>
      </c>
      <c r="K1162" s="6">
        <f>_xlfn.MINIFS('DETALLE CRONOLÓGICO'!$K$2:$K$4919,'DETALLE CRONOLÓGICO'!$A$2:$A$4919,$A1162)</f>
        <v/>
      </c>
      <c r="L1162" s="6">
        <f>_xlfn.MAXIFS('DETALLE CRONOLÓGICO'!$K$2:$K$4919,'DETALLE CRONOLÓGICO'!$A$2:$A$4919,$A1162)</f>
        <v/>
      </c>
      <c r="M1162" s="6">
        <f>INDEX('DETALLE CRONOLÓGICO'!$K$2:$K$4919,MATCH($A1162,'DETALLE CRONOLÓGICO'!$A$2:$A$4919,0)+$E1162-1)</f>
        <v/>
      </c>
      <c r="N1162" s="7">
        <f>IFERROR($M1162/INDEX('DETALLE CRONOLÓGICO'!$K$2:$K$4919,MATCH($A1162,'DETALLE CRONOLÓGICO'!$A$2:$A$4919,0))-1,"")</f>
        <v/>
      </c>
      <c r="O1162" s="6">
        <f>IFERROR($I1162*3,"")</f>
        <v/>
      </c>
      <c r="P1162" s="6">
        <f>IFERROR($I1162*3.5,"")</f>
        <v/>
      </c>
      <c r="Q1162" s="6">
        <f>IFERROR($I1162*4,"")</f>
        <v/>
      </c>
      <c r="R1162" s="6" t="n">
        <v>499</v>
      </c>
      <c r="S1162" s="4" t="n">
        <v>5</v>
      </c>
      <c r="T1162" s="1" t="inlineStr">
        <is>
          <t>active</t>
        </is>
      </c>
      <c r="U1162" s="8" t="n"/>
      <c r="V1162" s="1" t="inlineStr">
        <is>
          <t>SIN PRECIO</t>
        </is>
      </c>
    </row>
    <row r="1163">
      <c r="A1163" s="1" t="inlineStr">
        <is>
          <t>63e0c596835bb</t>
        </is>
      </c>
      <c r="B1163" s="1" t="inlineStr">
        <is>
          <t>PULSERA LOVE ROSE GOLD</t>
        </is>
      </c>
      <c r="C1163" s="1" t="inlineStr">
        <is>
          <t>17 cm</t>
        </is>
      </c>
      <c r="D1163" s="1" t="inlineStr">
        <is>
          <t>HAIFENG</t>
        </is>
      </c>
      <c r="E1163" s="4">
        <f>COUNTIF('DETALLE CRONOLÓGICO'!$A$2:$A$4919,$A1163)</f>
        <v/>
      </c>
      <c r="F1163" s="4">
        <f>SUMIFS('DETALLE CRONOLÓGICO'!$I$2:$I$4919,'DETALLE CRONOLÓGICO'!$A$2:$A$4919,$A1163)</f>
        <v/>
      </c>
      <c r="G1163" s="1">
        <f>INDEX('DETALLE CRONOLÓGICO'!$D$2:$D$4919,MATCH($A1163,'DETALLE CRONOLÓGICO'!$A$2:$A$4919,0))</f>
        <v/>
      </c>
      <c r="H1163" s="1">
        <f>INDEX('DETALLE CRONOLÓGICO'!$D$2:$D$4919,MATCH($A1163,'DETALLE CRONOLÓGICO'!$A$2:$A$4919,0)+$E1163-1)</f>
        <v/>
      </c>
      <c r="I1163" s="5">
        <f>IFERROR(SUMIFS('DETALLE CRONOLÓGICO'!$L$2:$L$4919,'DETALLE CRONOLÓGICO'!$A$2:$A$4919,$A1163)/$F1163,"")</f>
        <v/>
      </c>
      <c r="J1163" s="6">
        <f>IFERROR(SUMIFS('DETALLE CRONOLÓGICO'!$K$2:$K$4919,'DETALLE CRONOLÓGICO'!$A$2:$A$4919,$A1163)/$E1163,"")</f>
        <v/>
      </c>
      <c r="K1163" s="6">
        <f>_xlfn.MINIFS('DETALLE CRONOLÓGICO'!$K$2:$K$4919,'DETALLE CRONOLÓGICO'!$A$2:$A$4919,$A1163)</f>
        <v/>
      </c>
      <c r="L1163" s="6">
        <f>_xlfn.MAXIFS('DETALLE CRONOLÓGICO'!$K$2:$K$4919,'DETALLE CRONOLÓGICO'!$A$2:$A$4919,$A1163)</f>
        <v/>
      </c>
      <c r="M1163" s="6">
        <f>INDEX('DETALLE CRONOLÓGICO'!$K$2:$K$4919,MATCH($A1163,'DETALLE CRONOLÓGICO'!$A$2:$A$4919,0)+$E1163-1)</f>
        <v/>
      </c>
      <c r="N1163" s="7">
        <f>IFERROR($M1163/INDEX('DETALLE CRONOLÓGICO'!$K$2:$K$4919,MATCH($A1163,'DETALLE CRONOLÓGICO'!$A$2:$A$4919,0))-1,"")</f>
        <v/>
      </c>
      <c r="O1163" s="6">
        <f>IFERROR($I1163*3,"")</f>
        <v/>
      </c>
      <c r="P1163" s="6">
        <f>IFERROR($I1163*3.5,"")</f>
        <v/>
      </c>
      <c r="Q1163" s="6">
        <f>IFERROR($I1163*4,"")</f>
        <v/>
      </c>
      <c r="R1163" s="6" t="n">
        <v>499</v>
      </c>
      <c r="S1163" s="4" t="n">
        <v>5</v>
      </c>
      <c r="T1163" s="1" t="inlineStr">
        <is>
          <t>active</t>
        </is>
      </c>
      <c r="U1163" s="8" t="n"/>
      <c r="V1163" s="1" t="inlineStr">
        <is>
          <t>SIN PRECIO</t>
        </is>
      </c>
    </row>
    <row r="1164">
      <c r="A1164" s="1" t="inlineStr">
        <is>
          <t>63e0c59aab12a</t>
        </is>
      </c>
      <c r="B1164" s="1" t="inlineStr">
        <is>
          <t>PULSERA LOVE ROSE GOLD</t>
        </is>
      </c>
      <c r="C1164" s="1" t="inlineStr">
        <is>
          <t>21 cm</t>
        </is>
      </c>
      <c r="D1164" s="1" t="inlineStr">
        <is>
          <t>HAIFENG</t>
        </is>
      </c>
      <c r="E1164" s="4">
        <f>COUNTIF('DETALLE CRONOLÓGICO'!$A$2:$A$4919,$A1164)</f>
        <v/>
      </c>
      <c r="F1164" s="4">
        <f>SUMIFS('DETALLE CRONOLÓGICO'!$I$2:$I$4919,'DETALLE CRONOLÓGICO'!$A$2:$A$4919,$A1164)</f>
        <v/>
      </c>
      <c r="G1164" s="1">
        <f>INDEX('DETALLE CRONOLÓGICO'!$D$2:$D$4919,MATCH($A1164,'DETALLE CRONOLÓGICO'!$A$2:$A$4919,0))</f>
        <v/>
      </c>
      <c r="H1164" s="1">
        <f>INDEX('DETALLE CRONOLÓGICO'!$D$2:$D$4919,MATCH($A1164,'DETALLE CRONOLÓGICO'!$A$2:$A$4919,0)+$E1164-1)</f>
        <v/>
      </c>
      <c r="I1164" s="5">
        <f>IFERROR(SUMIFS('DETALLE CRONOLÓGICO'!$L$2:$L$4919,'DETALLE CRONOLÓGICO'!$A$2:$A$4919,$A1164)/$F1164,"")</f>
        <v/>
      </c>
      <c r="J1164" s="6">
        <f>IFERROR(SUMIFS('DETALLE CRONOLÓGICO'!$K$2:$K$4919,'DETALLE CRONOLÓGICO'!$A$2:$A$4919,$A1164)/$E1164,"")</f>
        <v/>
      </c>
      <c r="K1164" s="6">
        <f>_xlfn.MINIFS('DETALLE CRONOLÓGICO'!$K$2:$K$4919,'DETALLE CRONOLÓGICO'!$A$2:$A$4919,$A1164)</f>
        <v/>
      </c>
      <c r="L1164" s="6">
        <f>_xlfn.MAXIFS('DETALLE CRONOLÓGICO'!$K$2:$K$4919,'DETALLE CRONOLÓGICO'!$A$2:$A$4919,$A1164)</f>
        <v/>
      </c>
      <c r="M1164" s="6">
        <f>INDEX('DETALLE CRONOLÓGICO'!$K$2:$K$4919,MATCH($A1164,'DETALLE CRONOLÓGICO'!$A$2:$A$4919,0)+$E1164-1)</f>
        <v/>
      </c>
      <c r="N1164" s="7">
        <f>IFERROR($M1164/INDEX('DETALLE CRONOLÓGICO'!$K$2:$K$4919,MATCH($A1164,'DETALLE CRONOLÓGICO'!$A$2:$A$4919,0))-1,"")</f>
        <v/>
      </c>
      <c r="O1164" s="6">
        <f>IFERROR($I1164*3,"")</f>
        <v/>
      </c>
      <c r="P1164" s="6">
        <f>IFERROR($I1164*3.5,"")</f>
        <v/>
      </c>
      <c r="Q1164" s="6">
        <f>IFERROR($I1164*4,"")</f>
        <v/>
      </c>
      <c r="R1164" s="6" t="n">
        <v>499</v>
      </c>
      <c r="S1164" s="4" t="n">
        <v>1</v>
      </c>
      <c r="T1164" s="1" t="inlineStr">
        <is>
          <t>active</t>
        </is>
      </c>
      <c r="U1164" s="8" t="n"/>
      <c r="V1164" s="1" t="inlineStr">
        <is>
          <t>SIN PRECIO</t>
        </is>
      </c>
    </row>
    <row r="1165">
      <c r="A1165" s="1" t="inlineStr">
        <is>
          <t>63e0c5f8a96a2</t>
        </is>
      </c>
      <c r="B1165" s="1" t="inlineStr">
        <is>
          <t>PULSERA TRÉBOL ROSEGOLD BLACK VF</t>
        </is>
      </c>
      <c r="C1165" s="1" t="inlineStr">
        <is>
          <t>18cm</t>
        </is>
      </c>
      <c r="D1165" s="1" t="inlineStr">
        <is>
          <t>HAIFENG</t>
        </is>
      </c>
      <c r="E1165" s="4">
        <f>COUNTIF('DETALLE CRONOLÓGICO'!$A$2:$A$4919,$A1165)</f>
        <v/>
      </c>
      <c r="F1165" s="4">
        <f>SUMIFS('DETALLE CRONOLÓGICO'!$I$2:$I$4919,'DETALLE CRONOLÓGICO'!$A$2:$A$4919,$A1165)</f>
        <v/>
      </c>
      <c r="G1165" s="1">
        <f>INDEX('DETALLE CRONOLÓGICO'!$D$2:$D$4919,MATCH($A1165,'DETALLE CRONOLÓGICO'!$A$2:$A$4919,0))</f>
        <v/>
      </c>
      <c r="H1165" s="1">
        <f>INDEX('DETALLE CRONOLÓGICO'!$D$2:$D$4919,MATCH($A1165,'DETALLE CRONOLÓGICO'!$A$2:$A$4919,0)+$E1165-1)</f>
        <v/>
      </c>
      <c r="I1165" s="5">
        <f>IFERROR(SUMIFS('DETALLE CRONOLÓGICO'!$L$2:$L$4919,'DETALLE CRONOLÓGICO'!$A$2:$A$4919,$A1165)/$F1165,"")</f>
        <v/>
      </c>
      <c r="J1165" s="6">
        <f>IFERROR(SUMIFS('DETALLE CRONOLÓGICO'!$K$2:$K$4919,'DETALLE CRONOLÓGICO'!$A$2:$A$4919,$A1165)/$E1165,"")</f>
        <v/>
      </c>
      <c r="K1165" s="6">
        <f>_xlfn.MINIFS('DETALLE CRONOLÓGICO'!$K$2:$K$4919,'DETALLE CRONOLÓGICO'!$A$2:$A$4919,$A1165)</f>
        <v/>
      </c>
      <c r="L1165" s="6">
        <f>_xlfn.MAXIFS('DETALLE CRONOLÓGICO'!$K$2:$K$4919,'DETALLE CRONOLÓGICO'!$A$2:$A$4919,$A1165)</f>
        <v/>
      </c>
      <c r="M1165" s="6">
        <f>INDEX('DETALLE CRONOLÓGICO'!$K$2:$K$4919,MATCH($A1165,'DETALLE CRONOLÓGICO'!$A$2:$A$4919,0)+$E1165-1)</f>
        <v/>
      </c>
      <c r="N1165" s="7">
        <f>IFERROR($M1165/INDEX('DETALLE CRONOLÓGICO'!$K$2:$K$4919,MATCH($A1165,'DETALLE CRONOLÓGICO'!$A$2:$A$4919,0))-1,"")</f>
        <v/>
      </c>
      <c r="O1165" s="6">
        <f>IFERROR($I1165*3,"")</f>
        <v/>
      </c>
      <c r="P1165" s="6">
        <f>IFERROR($I1165*3.5,"")</f>
        <v/>
      </c>
      <c r="Q1165" s="6">
        <f>IFERROR($I1165*4,"")</f>
        <v/>
      </c>
      <c r="R1165" s="6" t="n">
        <v>900</v>
      </c>
      <c r="S1165" s="4" t="n">
        <v>2</v>
      </c>
      <c r="T1165" s="1" t="inlineStr">
        <is>
          <t>active</t>
        </is>
      </c>
      <c r="U1165" s="8" t="n"/>
      <c r="V1165" s="1" t="inlineStr">
        <is>
          <t>SIN PRECIO</t>
        </is>
      </c>
    </row>
    <row r="1166">
      <c r="A1166" s="1" t="inlineStr">
        <is>
          <t>63ebd3f136b3c</t>
        </is>
      </c>
      <c r="B1166" s="1" t="inlineStr">
        <is>
          <t>ANILLO CLASH SILVER</t>
        </is>
      </c>
      <c r="C1166" s="1" t="inlineStr">
        <is>
          <t>5</t>
        </is>
      </c>
      <c r="D1166" s="1" t="inlineStr">
        <is>
          <t>HAIFENG</t>
        </is>
      </c>
      <c r="E1166" s="4">
        <f>COUNTIF('DETALLE CRONOLÓGICO'!$A$2:$A$4919,$A1166)</f>
        <v/>
      </c>
      <c r="F1166" s="4">
        <f>SUMIFS('DETALLE CRONOLÓGICO'!$I$2:$I$4919,'DETALLE CRONOLÓGICO'!$A$2:$A$4919,$A1166)</f>
        <v/>
      </c>
      <c r="G1166" s="1">
        <f>INDEX('DETALLE CRONOLÓGICO'!$D$2:$D$4919,MATCH($A1166,'DETALLE CRONOLÓGICO'!$A$2:$A$4919,0))</f>
        <v/>
      </c>
      <c r="H1166" s="1">
        <f>INDEX('DETALLE CRONOLÓGICO'!$D$2:$D$4919,MATCH($A1166,'DETALLE CRONOLÓGICO'!$A$2:$A$4919,0)+$E1166-1)</f>
        <v/>
      </c>
      <c r="I1166" s="5">
        <f>IFERROR(SUMIFS('DETALLE CRONOLÓGICO'!$L$2:$L$4919,'DETALLE CRONOLÓGICO'!$A$2:$A$4919,$A1166)/$F1166,"")</f>
        <v/>
      </c>
      <c r="J1166" s="6">
        <f>IFERROR(SUMIFS('DETALLE CRONOLÓGICO'!$K$2:$K$4919,'DETALLE CRONOLÓGICO'!$A$2:$A$4919,$A1166)/$E1166,"")</f>
        <v/>
      </c>
      <c r="K1166" s="6">
        <f>_xlfn.MINIFS('DETALLE CRONOLÓGICO'!$K$2:$K$4919,'DETALLE CRONOLÓGICO'!$A$2:$A$4919,$A1166)</f>
        <v/>
      </c>
      <c r="L1166" s="6">
        <f>_xlfn.MAXIFS('DETALLE CRONOLÓGICO'!$K$2:$K$4919,'DETALLE CRONOLÓGICO'!$A$2:$A$4919,$A1166)</f>
        <v/>
      </c>
      <c r="M1166" s="6">
        <f>INDEX('DETALLE CRONOLÓGICO'!$K$2:$K$4919,MATCH($A1166,'DETALLE CRONOLÓGICO'!$A$2:$A$4919,0)+$E1166-1)</f>
        <v/>
      </c>
      <c r="N1166" s="7">
        <f>IFERROR($M1166/INDEX('DETALLE CRONOLÓGICO'!$K$2:$K$4919,MATCH($A1166,'DETALLE CRONOLÓGICO'!$A$2:$A$4919,0))-1,"")</f>
        <v/>
      </c>
      <c r="O1166" s="6">
        <f>IFERROR($I1166*3,"")</f>
        <v/>
      </c>
      <c r="P1166" s="6">
        <f>IFERROR($I1166*3.5,"")</f>
        <v/>
      </c>
      <c r="Q1166" s="6">
        <f>IFERROR($I1166*4,"")</f>
        <v/>
      </c>
      <c r="R1166" s="6" t="n">
        <v>850</v>
      </c>
      <c r="S1166" s="4" t="n">
        <v>3</v>
      </c>
      <c r="T1166" s="1" t="inlineStr">
        <is>
          <t>active</t>
        </is>
      </c>
      <c r="U1166" s="8" t="n"/>
      <c r="V1166" s="1" t="inlineStr">
        <is>
          <t>SIN PRECIO</t>
        </is>
      </c>
    </row>
    <row r="1167">
      <c r="A1167" s="1" t="inlineStr">
        <is>
          <t>63ebd3f2335dc</t>
        </is>
      </c>
      <c r="B1167" s="1" t="inlineStr">
        <is>
          <t>ANILLO CLASH SILVER</t>
        </is>
      </c>
      <c r="C1167" s="1" t="inlineStr">
        <is>
          <t>6</t>
        </is>
      </c>
      <c r="D1167" s="1" t="inlineStr">
        <is>
          <t>HAIFENG</t>
        </is>
      </c>
      <c r="E1167" s="4">
        <f>COUNTIF('DETALLE CRONOLÓGICO'!$A$2:$A$4919,$A1167)</f>
        <v/>
      </c>
      <c r="F1167" s="4">
        <f>SUMIFS('DETALLE CRONOLÓGICO'!$I$2:$I$4919,'DETALLE CRONOLÓGICO'!$A$2:$A$4919,$A1167)</f>
        <v/>
      </c>
      <c r="G1167" s="1">
        <f>INDEX('DETALLE CRONOLÓGICO'!$D$2:$D$4919,MATCH($A1167,'DETALLE CRONOLÓGICO'!$A$2:$A$4919,0))</f>
        <v/>
      </c>
      <c r="H1167" s="1">
        <f>INDEX('DETALLE CRONOLÓGICO'!$D$2:$D$4919,MATCH($A1167,'DETALLE CRONOLÓGICO'!$A$2:$A$4919,0)+$E1167-1)</f>
        <v/>
      </c>
      <c r="I1167" s="5">
        <f>IFERROR(SUMIFS('DETALLE CRONOLÓGICO'!$L$2:$L$4919,'DETALLE CRONOLÓGICO'!$A$2:$A$4919,$A1167)/$F1167,"")</f>
        <v/>
      </c>
      <c r="J1167" s="6">
        <f>IFERROR(SUMIFS('DETALLE CRONOLÓGICO'!$K$2:$K$4919,'DETALLE CRONOLÓGICO'!$A$2:$A$4919,$A1167)/$E1167,"")</f>
        <v/>
      </c>
      <c r="K1167" s="6">
        <f>_xlfn.MINIFS('DETALLE CRONOLÓGICO'!$K$2:$K$4919,'DETALLE CRONOLÓGICO'!$A$2:$A$4919,$A1167)</f>
        <v/>
      </c>
      <c r="L1167" s="6">
        <f>_xlfn.MAXIFS('DETALLE CRONOLÓGICO'!$K$2:$K$4919,'DETALLE CRONOLÓGICO'!$A$2:$A$4919,$A1167)</f>
        <v/>
      </c>
      <c r="M1167" s="6">
        <f>INDEX('DETALLE CRONOLÓGICO'!$K$2:$K$4919,MATCH($A1167,'DETALLE CRONOLÓGICO'!$A$2:$A$4919,0)+$E1167-1)</f>
        <v/>
      </c>
      <c r="N1167" s="7">
        <f>IFERROR($M1167/INDEX('DETALLE CRONOLÓGICO'!$K$2:$K$4919,MATCH($A1167,'DETALLE CRONOLÓGICO'!$A$2:$A$4919,0))-1,"")</f>
        <v/>
      </c>
      <c r="O1167" s="6">
        <f>IFERROR($I1167*3,"")</f>
        <v/>
      </c>
      <c r="P1167" s="6">
        <f>IFERROR($I1167*3.5,"")</f>
        <v/>
      </c>
      <c r="Q1167" s="6">
        <f>IFERROR($I1167*4,"")</f>
        <v/>
      </c>
      <c r="R1167" s="6" t="n">
        <v>850</v>
      </c>
      <c r="S1167" s="4" t="n">
        <v>4</v>
      </c>
      <c r="T1167" s="1" t="inlineStr">
        <is>
          <t>active</t>
        </is>
      </c>
      <c r="U1167" s="8" t="n"/>
      <c r="V1167" s="1" t="inlineStr">
        <is>
          <t>SIN PRECIO</t>
        </is>
      </c>
    </row>
    <row r="1168">
      <c r="A1168" s="1" t="inlineStr">
        <is>
          <t>63ebd3f32bfc9</t>
        </is>
      </c>
      <c r="B1168" s="1" t="inlineStr">
        <is>
          <t>ANILLO CLASH SILVER</t>
        </is>
      </c>
      <c r="C1168" s="1" t="inlineStr">
        <is>
          <t>7</t>
        </is>
      </c>
      <c r="D1168" s="1" t="inlineStr">
        <is>
          <t>HAIFENG</t>
        </is>
      </c>
      <c r="E1168" s="4">
        <f>COUNTIF('DETALLE CRONOLÓGICO'!$A$2:$A$4919,$A1168)</f>
        <v/>
      </c>
      <c r="F1168" s="4">
        <f>SUMIFS('DETALLE CRONOLÓGICO'!$I$2:$I$4919,'DETALLE CRONOLÓGICO'!$A$2:$A$4919,$A1168)</f>
        <v/>
      </c>
      <c r="G1168" s="1">
        <f>INDEX('DETALLE CRONOLÓGICO'!$D$2:$D$4919,MATCH($A1168,'DETALLE CRONOLÓGICO'!$A$2:$A$4919,0))</f>
        <v/>
      </c>
      <c r="H1168" s="1">
        <f>INDEX('DETALLE CRONOLÓGICO'!$D$2:$D$4919,MATCH($A1168,'DETALLE CRONOLÓGICO'!$A$2:$A$4919,0)+$E1168-1)</f>
        <v/>
      </c>
      <c r="I1168" s="5">
        <f>IFERROR(SUMIFS('DETALLE CRONOLÓGICO'!$L$2:$L$4919,'DETALLE CRONOLÓGICO'!$A$2:$A$4919,$A1168)/$F1168,"")</f>
        <v/>
      </c>
      <c r="J1168" s="6">
        <f>IFERROR(SUMIFS('DETALLE CRONOLÓGICO'!$K$2:$K$4919,'DETALLE CRONOLÓGICO'!$A$2:$A$4919,$A1168)/$E1168,"")</f>
        <v/>
      </c>
      <c r="K1168" s="6">
        <f>_xlfn.MINIFS('DETALLE CRONOLÓGICO'!$K$2:$K$4919,'DETALLE CRONOLÓGICO'!$A$2:$A$4919,$A1168)</f>
        <v/>
      </c>
      <c r="L1168" s="6">
        <f>_xlfn.MAXIFS('DETALLE CRONOLÓGICO'!$K$2:$K$4919,'DETALLE CRONOLÓGICO'!$A$2:$A$4919,$A1168)</f>
        <v/>
      </c>
      <c r="M1168" s="6">
        <f>INDEX('DETALLE CRONOLÓGICO'!$K$2:$K$4919,MATCH($A1168,'DETALLE CRONOLÓGICO'!$A$2:$A$4919,0)+$E1168-1)</f>
        <v/>
      </c>
      <c r="N1168" s="7">
        <f>IFERROR($M1168/INDEX('DETALLE CRONOLÓGICO'!$K$2:$K$4919,MATCH($A1168,'DETALLE CRONOLÓGICO'!$A$2:$A$4919,0))-1,"")</f>
        <v/>
      </c>
      <c r="O1168" s="6">
        <f>IFERROR($I1168*3,"")</f>
        <v/>
      </c>
      <c r="P1168" s="6">
        <f>IFERROR($I1168*3.5,"")</f>
        <v/>
      </c>
      <c r="Q1168" s="6">
        <f>IFERROR($I1168*4,"")</f>
        <v/>
      </c>
      <c r="R1168" s="6" t="n">
        <v>850</v>
      </c>
      <c r="S1168" s="4" t="n">
        <v>0</v>
      </c>
      <c r="T1168" s="1" t="inlineStr">
        <is>
          <t>active</t>
        </is>
      </c>
      <c r="U1168" s="8" t="n"/>
      <c r="V1168" s="1" t="inlineStr">
        <is>
          <t>SIN PRECIO</t>
        </is>
      </c>
    </row>
    <row r="1169">
      <c r="A1169" s="1" t="inlineStr">
        <is>
          <t>63ebd3f42d4db</t>
        </is>
      </c>
      <c r="B1169" s="1" t="inlineStr">
        <is>
          <t>ANILLO CLASH SILVER</t>
        </is>
      </c>
      <c r="C1169" s="1" t="inlineStr">
        <is>
          <t>8</t>
        </is>
      </c>
      <c r="D1169" s="1" t="inlineStr">
        <is>
          <t>HAIFENG</t>
        </is>
      </c>
      <c r="E1169" s="4">
        <f>COUNTIF('DETALLE CRONOLÓGICO'!$A$2:$A$4919,$A1169)</f>
        <v/>
      </c>
      <c r="F1169" s="4">
        <f>SUMIFS('DETALLE CRONOLÓGICO'!$I$2:$I$4919,'DETALLE CRONOLÓGICO'!$A$2:$A$4919,$A1169)</f>
        <v/>
      </c>
      <c r="G1169" s="1">
        <f>INDEX('DETALLE CRONOLÓGICO'!$D$2:$D$4919,MATCH($A1169,'DETALLE CRONOLÓGICO'!$A$2:$A$4919,0))</f>
        <v/>
      </c>
      <c r="H1169" s="1">
        <f>INDEX('DETALLE CRONOLÓGICO'!$D$2:$D$4919,MATCH($A1169,'DETALLE CRONOLÓGICO'!$A$2:$A$4919,0)+$E1169-1)</f>
        <v/>
      </c>
      <c r="I1169" s="5">
        <f>IFERROR(SUMIFS('DETALLE CRONOLÓGICO'!$L$2:$L$4919,'DETALLE CRONOLÓGICO'!$A$2:$A$4919,$A1169)/$F1169,"")</f>
        <v/>
      </c>
      <c r="J1169" s="6">
        <f>IFERROR(SUMIFS('DETALLE CRONOLÓGICO'!$K$2:$K$4919,'DETALLE CRONOLÓGICO'!$A$2:$A$4919,$A1169)/$E1169,"")</f>
        <v/>
      </c>
      <c r="K1169" s="6">
        <f>_xlfn.MINIFS('DETALLE CRONOLÓGICO'!$K$2:$K$4919,'DETALLE CRONOLÓGICO'!$A$2:$A$4919,$A1169)</f>
        <v/>
      </c>
      <c r="L1169" s="6">
        <f>_xlfn.MAXIFS('DETALLE CRONOLÓGICO'!$K$2:$K$4919,'DETALLE CRONOLÓGICO'!$A$2:$A$4919,$A1169)</f>
        <v/>
      </c>
      <c r="M1169" s="6">
        <f>INDEX('DETALLE CRONOLÓGICO'!$K$2:$K$4919,MATCH($A1169,'DETALLE CRONOLÓGICO'!$A$2:$A$4919,0)+$E1169-1)</f>
        <v/>
      </c>
      <c r="N1169" s="7">
        <f>IFERROR($M1169/INDEX('DETALLE CRONOLÓGICO'!$K$2:$K$4919,MATCH($A1169,'DETALLE CRONOLÓGICO'!$A$2:$A$4919,0))-1,"")</f>
        <v/>
      </c>
      <c r="O1169" s="6">
        <f>IFERROR($I1169*3,"")</f>
        <v/>
      </c>
      <c r="P1169" s="6">
        <f>IFERROR($I1169*3.5,"")</f>
        <v/>
      </c>
      <c r="Q1169" s="6">
        <f>IFERROR($I1169*4,"")</f>
        <v/>
      </c>
      <c r="R1169" s="6" t="n">
        <v>850</v>
      </c>
      <c r="S1169" s="4" t="n">
        <v>4</v>
      </c>
      <c r="T1169" s="1" t="inlineStr">
        <is>
          <t>active</t>
        </is>
      </c>
      <c r="U1169" s="8" t="n"/>
      <c r="V1169" s="1" t="inlineStr">
        <is>
          <t>SIN PRECIO</t>
        </is>
      </c>
    </row>
    <row r="1170">
      <c r="A1170" s="1" t="inlineStr">
        <is>
          <t>63ebd3f53c553</t>
        </is>
      </c>
      <c r="B1170" s="1" t="inlineStr">
        <is>
          <t>ANILLO CLASH SILVER</t>
        </is>
      </c>
      <c r="C1170" s="1" t="inlineStr">
        <is>
          <t>9</t>
        </is>
      </c>
      <c r="D1170" s="1" t="inlineStr">
        <is>
          <t>HAIFENG</t>
        </is>
      </c>
      <c r="E1170" s="4">
        <f>COUNTIF('DETALLE CRONOLÓGICO'!$A$2:$A$4919,$A1170)</f>
        <v/>
      </c>
      <c r="F1170" s="4">
        <f>SUMIFS('DETALLE CRONOLÓGICO'!$I$2:$I$4919,'DETALLE CRONOLÓGICO'!$A$2:$A$4919,$A1170)</f>
        <v/>
      </c>
      <c r="G1170" s="1">
        <f>INDEX('DETALLE CRONOLÓGICO'!$D$2:$D$4919,MATCH($A1170,'DETALLE CRONOLÓGICO'!$A$2:$A$4919,0))</f>
        <v/>
      </c>
      <c r="H1170" s="1">
        <f>INDEX('DETALLE CRONOLÓGICO'!$D$2:$D$4919,MATCH($A1170,'DETALLE CRONOLÓGICO'!$A$2:$A$4919,0)+$E1170-1)</f>
        <v/>
      </c>
      <c r="I1170" s="5">
        <f>IFERROR(SUMIFS('DETALLE CRONOLÓGICO'!$L$2:$L$4919,'DETALLE CRONOLÓGICO'!$A$2:$A$4919,$A1170)/$F1170,"")</f>
        <v/>
      </c>
      <c r="J1170" s="6">
        <f>IFERROR(SUMIFS('DETALLE CRONOLÓGICO'!$K$2:$K$4919,'DETALLE CRONOLÓGICO'!$A$2:$A$4919,$A1170)/$E1170,"")</f>
        <v/>
      </c>
      <c r="K1170" s="6">
        <f>_xlfn.MINIFS('DETALLE CRONOLÓGICO'!$K$2:$K$4919,'DETALLE CRONOLÓGICO'!$A$2:$A$4919,$A1170)</f>
        <v/>
      </c>
      <c r="L1170" s="6">
        <f>_xlfn.MAXIFS('DETALLE CRONOLÓGICO'!$K$2:$K$4919,'DETALLE CRONOLÓGICO'!$A$2:$A$4919,$A1170)</f>
        <v/>
      </c>
      <c r="M1170" s="6">
        <f>INDEX('DETALLE CRONOLÓGICO'!$K$2:$K$4919,MATCH($A1170,'DETALLE CRONOLÓGICO'!$A$2:$A$4919,0)+$E1170-1)</f>
        <v/>
      </c>
      <c r="N1170" s="7">
        <f>IFERROR($M1170/INDEX('DETALLE CRONOLÓGICO'!$K$2:$K$4919,MATCH($A1170,'DETALLE CRONOLÓGICO'!$A$2:$A$4919,0))-1,"")</f>
        <v/>
      </c>
      <c r="O1170" s="6">
        <f>IFERROR($I1170*3,"")</f>
        <v/>
      </c>
      <c r="P1170" s="6">
        <f>IFERROR($I1170*3.5,"")</f>
        <v/>
      </c>
      <c r="Q1170" s="6">
        <f>IFERROR($I1170*4,"")</f>
        <v/>
      </c>
      <c r="R1170" s="6" t="n">
        <v>850</v>
      </c>
      <c r="S1170" s="4" t="n">
        <v>3</v>
      </c>
      <c r="T1170" s="1" t="inlineStr">
        <is>
          <t>active</t>
        </is>
      </c>
      <c r="U1170" s="8" t="n"/>
      <c r="V1170" s="1" t="inlineStr">
        <is>
          <t>SIN PRECIO</t>
        </is>
      </c>
    </row>
    <row r="1171">
      <c r="A1171" s="1" t="inlineStr">
        <is>
          <t>63ebd3f635fb6</t>
        </is>
      </c>
      <c r="B1171" s="1" t="inlineStr">
        <is>
          <t>ANILLO CLASH SILVER</t>
        </is>
      </c>
      <c r="C1171" s="1" t="inlineStr">
        <is>
          <t>10</t>
        </is>
      </c>
      <c r="D1171" s="1" t="inlineStr">
        <is>
          <t>HAIFENG</t>
        </is>
      </c>
      <c r="E1171" s="4">
        <f>COUNTIF('DETALLE CRONOLÓGICO'!$A$2:$A$4919,$A1171)</f>
        <v/>
      </c>
      <c r="F1171" s="4">
        <f>SUMIFS('DETALLE CRONOLÓGICO'!$I$2:$I$4919,'DETALLE CRONOLÓGICO'!$A$2:$A$4919,$A1171)</f>
        <v/>
      </c>
      <c r="G1171" s="1">
        <f>INDEX('DETALLE CRONOLÓGICO'!$D$2:$D$4919,MATCH($A1171,'DETALLE CRONOLÓGICO'!$A$2:$A$4919,0))</f>
        <v/>
      </c>
      <c r="H1171" s="1">
        <f>INDEX('DETALLE CRONOLÓGICO'!$D$2:$D$4919,MATCH($A1171,'DETALLE CRONOLÓGICO'!$A$2:$A$4919,0)+$E1171-1)</f>
        <v/>
      </c>
      <c r="I1171" s="5">
        <f>IFERROR(SUMIFS('DETALLE CRONOLÓGICO'!$L$2:$L$4919,'DETALLE CRONOLÓGICO'!$A$2:$A$4919,$A1171)/$F1171,"")</f>
        <v/>
      </c>
      <c r="J1171" s="6">
        <f>IFERROR(SUMIFS('DETALLE CRONOLÓGICO'!$K$2:$K$4919,'DETALLE CRONOLÓGICO'!$A$2:$A$4919,$A1171)/$E1171,"")</f>
        <v/>
      </c>
      <c r="K1171" s="6">
        <f>_xlfn.MINIFS('DETALLE CRONOLÓGICO'!$K$2:$K$4919,'DETALLE CRONOLÓGICO'!$A$2:$A$4919,$A1171)</f>
        <v/>
      </c>
      <c r="L1171" s="6">
        <f>_xlfn.MAXIFS('DETALLE CRONOLÓGICO'!$K$2:$K$4919,'DETALLE CRONOLÓGICO'!$A$2:$A$4919,$A1171)</f>
        <v/>
      </c>
      <c r="M1171" s="6">
        <f>INDEX('DETALLE CRONOLÓGICO'!$K$2:$K$4919,MATCH($A1171,'DETALLE CRONOLÓGICO'!$A$2:$A$4919,0)+$E1171-1)</f>
        <v/>
      </c>
      <c r="N1171" s="7">
        <f>IFERROR($M1171/INDEX('DETALLE CRONOLÓGICO'!$K$2:$K$4919,MATCH($A1171,'DETALLE CRONOLÓGICO'!$A$2:$A$4919,0))-1,"")</f>
        <v/>
      </c>
      <c r="O1171" s="6">
        <f>IFERROR($I1171*3,"")</f>
        <v/>
      </c>
      <c r="P1171" s="6">
        <f>IFERROR($I1171*3.5,"")</f>
        <v/>
      </c>
      <c r="Q1171" s="6">
        <f>IFERROR($I1171*4,"")</f>
        <v/>
      </c>
      <c r="R1171" s="6" t="n">
        <v>850</v>
      </c>
      <c r="S1171" s="4" t="n">
        <v>2</v>
      </c>
      <c r="T1171" s="1" t="inlineStr">
        <is>
          <t>active</t>
        </is>
      </c>
      <c r="U1171" s="8" t="n"/>
      <c r="V1171" s="1" t="inlineStr">
        <is>
          <t>SIN PRECIO</t>
        </is>
      </c>
    </row>
    <row r="1172">
      <c r="A1172" s="1" t="inlineStr">
        <is>
          <t>63ebd3f721f2e</t>
        </is>
      </c>
      <c r="B1172" s="1" t="inlineStr">
        <is>
          <t>ANILLO CLASH SILVER</t>
        </is>
      </c>
      <c r="C1172" s="1" t="inlineStr">
        <is>
          <t>11</t>
        </is>
      </c>
      <c r="D1172" s="1" t="inlineStr">
        <is>
          <t>HAIFENG</t>
        </is>
      </c>
      <c r="E1172" s="4">
        <f>COUNTIF('DETALLE CRONOLÓGICO'!$A$2:$A$4919,$A1172)</f>
        <v/>
      </c>
      <c r="F1172" s="4">
        <f>SUMIFS('DETALLE CRONOLÓGICO'!$I$2:$I$4919,'DETALLE CRONOLÓGICO'!$A$2:$A$4919,$A1172)</f>
        <v/>
      </c>
      <c r="G1172" s="1">
        <f>INDEX('DETALLE CRONOLÓGICO'!$D$2:$D$4919,MATCH($A1172,'DETALLE CRONOLÓGICO'!$A$2:$A$4919,0))</f>
        <v/>
      </c>
      <c r="H1172" s="1">
        <f>INDEX('DETALLE CRONOLÓGICO'!$D$2:$D$4919,MATCH($A1172,'DETALLE CRONOLÓGICO'!$A$2:$A$4919,0)+$E1172-1)</f>
        <v/>
      </c>
      <c r="I1172" s="5">
        <f>IFERROR(SUMIFS('DETALLE CRONOLÓGICO'!$L$2:$L$4919,'DETALLE CRONOLÓGICO'!$A$2:$A$4919,$A1172)/$F1172,"")</f>
        <v/>
      </c>
      <c r="J1172" s="6">
        <f>IFERROR(SUMIFS('DETALLE CRONOLÓGICO'!$K$2:$K$4919,'DETALLE CRONOLÓGICO'!$A$2:$A$4919,$A1172)/$E1172,"")</f>
        <v/>
      </c>
      <c r="K1172" s="6">
        <f>_xlfn.MINIFS('DETALLE CRONOLÓGICO'!$K$2:$K$4919,'DETALLE CRONOLÓGICO'!$A$2:$A$4919,$A1172)</f>
        <v/>
      </c>
      <c r="L1172" s="6">
        <f>_xlfn.MAXIFS('DETALLE CRONOLÓGICO'!$K$2:$K$4919,'DETALLE CRONOLÓGICO'!$A$2:$A$4919,$A1172)</f>
        <v/>
      </c>
      <c r="M1172" s="6">
        <f>INDEX('DETALLE CRONOLÓGICO'!$K$2:$K$4919,MATCH($A1172,'DETALLE CRONOLÓGICO'!$A$2:$A$4919,0)+$E1172-1)</f>
        <v/>
      </c>
      <c r="N1172" s="7">
        <f>IFERROR($M1172/INDEX('DETALLE CRONOLÓGICO'!$K$2:$K$4919,MATCH($A1172,'DETALLE CRONOLÓGICO'!$A$2:$A$4919,0))-1,"")</f>
        <v/>
      </c>
      <c r="O1172" s="6">
        <f>IFERROR($I1172*3,"")</f>
        <v/>
      </c>
      <c r="P1172" s="6">
        <f>IFERROR($I1172*3.5,"")</f>
        <v/>
      </c>
      <c r="Q1172" s="6">
        <f>IFERROR($I1172*4,"")</f>
        <v/>
      </c>
      <c r="R1172" s="6" t="n">
        <v>850</v>
      </c>
      <c r="S1172" s="4" t="n">
        <v>3</v>
      </c>
      <c r="T1172" s="1" t="inlineStr">
        <is>
          <t>active</t>
        </is>
      </c>
      <c r="U1172" s="8" t="n"/>
      <c r="V1172" s="1" t="inlineStr">
        <is>
          <t>SIN PRECIO</t>
        </is>
      </c>
    </row>
    <row r="1173">
      <c r="A1173" s="1" t="inlineStr">
        <is>
          <t>63ebd619250f6</t>
        </is>
      </c>
      <c r="B1173" s="1" t="inlineStr">
        <is>
          <t>ARETES BV ROSE GOLD CON ZIRCONIA</t>
        </is>
      </c>
      <c r="C1173" s="1" t="inlineStr">
        <is>
          <t>Default Title</t>
        </is>
      </c>
      <c r="D1173" s="1" t="inlineStr">
        <is>
          <t>NANCY</t>
        </is>
      </c>
      <c r="E1173" s="4">
        <f>COUNTIF('DETALLE CRONOLÓGICO'!$A$2:$A$4919,$A1173)</f>
        <v/>
      </c>
      <c r="F1173" s="4">
        <f>SUMIFS('DETALLE CRONOLÓGICO'!$I$2:$I$4919,'DETALLE CRONOLÓGICO'!$A$2:$A$4919,$A1173)</f>
        <v/>
      </c>
      <c r="G1173" s="1">
        <f>INDEX('DETALLE CRONOLÓGICO'!$D$2:$D$4919,MATCH($A1173,'DETALLE CRONOLÓGICO'!$A$2:$A$4919,0))</f>
        <v/>
      </c>
      <c r="H1173" s="1">
        <f>INDEX('DETALLE CRONOLÓGICO'!$D$2:$D$4919,MATCH($A1173,'DETALLE CRONOLÓGICO'!$A$2:$A$4919,0)+$E1173-1)</f>
        <v/>
      </c>
      <c r="I1173" s="5">
        <f>IFERROR(SUMIFS('DETALLE CRONOLÓGICO'!$L$2:$L$4919,'DETALLE CRONOLÓGICO'!$A$2:$A$4919,$A1173)/$F1173,"")</f>
        <v/>
      </c>
      <c r="J1173" s="6">
        <f>IFERROR(SUMIFS('DETALLE CRONOLÓGICO'!$K$2:$K$4919,'DETALLE CRONOLÓGICO'!$A$2:$A$4919,$A1173)/$E1173,"")</f>
        <v/>
      </c>
      <c r="K1173" s="6">
        <f>_xlfn.MINIFS('DETALLE CRONOLÓGICO'!$K$2:$K$4919,'DETALLE CRONOLÓGICO'!$A$2:$A$4919,$A1173)</f>
        <v/>
      </c>
      <c r="L1173" s="6">
        <f>_xlfn.MAXIFS('DETALLE CRONOLÓGICO'!$K$2:$K$4919,'DETALLE CRONOLÓGICO'!$A$2:$A$4919,$A1173)</f>
        <v/>
      </c>
      <c r="M1173" s="6">
        <f>INDEX('DETALLE CRONOLÓGICO'!$K$2:$K$4919,MATCH($A1173,'DETALLE CRONOLÓGICO'!$A$2:$A$4919,0)+$E1173-1)</f>
        <v/>
      </c>
      <c r="N1173" s="7">
        <f>IFERROR($M1173/INDEX('DETALLE CRONOLÓGICO'!$K$2:$K$4919,MATCH($A1173,'DETALLE CRONOLÓGICO'!$A$2:$A$4919,0))-1,"")</f>
        <v/>
      </c>
      <c r="O1173" s="6">
        <f>IFERROR($I1173*3,"")</f>
        <v/>
      </c>
      <c r="P1173" s="6">
        <f>IFERROR($I1173*3.5,"")</f>
        <v/>
      </c>
      <c r="Q1173" s="6">
        <f>IFERROR($I1173*4,"")</f>
        <v/>
      </c>
      <c r="R1173" s="6" t="n">
        <v>545</v>
      </c>
      <c r="S1173" s="4" t="n">
        <v>6</v>
      </c>
      <c r="T1173" s="1" t="inlineStr">
        <is>
          <t>active</t>
        </is>
      </c>
      <c r="U1173" s="8" t="n"/>
      <c r="V1173" s="1" t="inlineStr">
        <is>
          <t>SIN PRECIO</t>
        </is>
      </c>
    </row>
    <row r="1174">
      <c r="A1174" s="1" t="inlineStr">
        <is>
          <t>63ebd61958890</t>
        </is>
      </c>
      <c r="B1174" s="1" t="inlineStr">
        <is>
          <t>ARETES BV ROSE GOLD-BLACK</t>
        </is>
      </c>
      <c r="C1174" s="1" t="inlineStr">
        <is>
          <t>1cm</t>
        </is>
      </c>
      <c r="D1174" s="1" t="inlineStr">
        <is>
          <t>NANCY</t>
        </is>
      </c>
      <c r="E1174" s="4">
        <f>COUNTIF('DETALLE CRONOLÓGICO'!$A$2:$A$4919,$A1174)</f>
        <v/>
      </c>
      <c r="F1174" s="4">
        <f>SUMIFS('DETALLE CRONOLÓGICO'!$I$2:$I$4919,'DETALLE CRONOLÓGICO'!$A$2:$A$4919,$A1174)</f>
        <v/>
      </c>
      <c r="G1174" s="1">
        <f>INDEX('DETALLE CRONOLÓGICO'!$D$2:$D$4919,MATCH($A1174,'DETALLE CRONOLÓGICO'!$A$2:$A$4919,0))</f>
        <v/>
      </c>
      <c r="H1174" s="1">
        <f>INDEX('DETALLE CRONOLÓGICO'!$D$2:$D$4919,MATCH($A1174,'DETALLE CRONOLÓGICO'!$A$2:$A$4919,0)+$E1174-1)</f>
        <v/>
      </c>
      <c r="I1174" s="5">
        <f>IFERROR(SUMIFS('DETALLE CRONOLÓGICO'!$L$2:$L$4919,'DETALLE CRONOLÓGICO'!$A$2:$A$4919,$A1174)/$F1174,"")</f>
        <v/>
      </c>
      <c r="J1174" s="6">
        <f>IFERROR(SUMIFS('DETALLE CRONOLÓGICO'!$K$2:$K$4919,'DETALLE CRONOLÓGICO'!$A$2:$A$4919,$A1174)/$E1174,"")</f>
        <v/>
      </c>
      <c r="K1174" s="6">
        <f>_xlfn.MINIFS('DETALLE CRONOLÓGICO'!$K$2:$K$4919,'DETALLE CRONOLÓGICO'!$A$2:$A$4919,$A1174)</f>
        <v/>
      </c>
      <c r="L1174" s="6">
        <f>_xlfn.MAXIFS('DETALLE CRONOLÓGICO'!$K$2:$K$4919,'DETALLE CRONOLÓGICO'!$A$2:$A$4919,$A1174)</f>
        <v/>
      </c>
      <c r="M1174" s="6">
        <f>INDEX('DETALLE CRONOLÓGICO'!$K$2:$K$4919,MATCH($A1174,'DETALLE CRONOLÓGICO'!$A$2:$A$4919,0)+$E1174-1)</f>
        <v/>
      </c>
      <c r="N1174" s="7">
        <f>IFERROR($M1174/INDEX('DETALLE CRONOLÓGICO'!$K$2:$K$4919,MATCH($A1174,'DETALLE CRONOLÓGICO'!$A$2:$A$4919,0))-1,"")</f>
        <v/>
      </c>
      <c r="O1174" s="6">
        <f>IFERROR($I1174*3,"")</f>
        <v/>
      </c>
      <c r="P1174" s="6">
        <f>IFERROR($I1174*3.5,"")</f>
        <v/>
      </c>
      <c r="Q1174" s="6">
        <f>IFERROR($I1174*4,"")</f>
        <v/>
      </c>
      <c r="R1174" s="6" t="n">
        <v>499</v>
      </c>
      <c r="S1174" s="4" t="n">
        <v>2</v>
      </c>
      <c r="T1174" s="1" t="inlineStr">
        <is>
          <t>active</t>
        </is>
      </c>
      <c r="U1174" s="8" t="n"/>
      <c r="V1174" s="1" t="inlineStr">
        <is>
          <t>SIN PRECIO</t>
        </is>
      </c>
    </row>
    <row r="1175">
      <c r="A1175" s="1" t="inlineStr">
        <is>
          <t>63ebd72976d60</t>
        </is>
      </c>
      <c r="B1175" s="1" t="inlineStr">
        <is>
          <t>ARETES CC ROSE GOLD</t>
        </is>
      </c>
      <c r="C1175" s="1" t="inlineStr">
        <is>
          <t>HIGH QUALITY</t>
        </is>
      </c>
      <c r="D1175" s="1" t="inlineStr">
        <is>
          <t>CYNTHIA</t>
        </is>
      </c>
      <c r="E1175" s="4">
        <f>COUNTIF('DETALLE CRONOLÓGICO'!$A$2:$A$4919,$A1175)</f>
        <v/>
      </c>
      <c r="F1175" s="4">
        <f>SUMIFS('DETALLE CRONOLÓGICO'!$I$2:$I$4919,'DETALLE CRONOLÓGICO'!$A$2:$A$4919,$A1175)</f>
        <v/>
      </c>
      <c r="G1175" s="1">
        <f>INDEX('DETALLE CRONOLÓGICO'!$D$2:$D$4919,MATCH($A1175,'DETALLE CRONOLÓGICO'!$A$2:$A$4919,0))</f>
        <v/>
      </c>
      <c r="H1175" s="1">
        <f>INDEX('DETALLE CRONOLÓGICO'!$D$2:$D$4919,MATCH($A1175,'DETALLE CRONOLÓGICO'!$A$2:$A$4919,0)+$E1175-1)</f>
        <v/>
      </c>
      <c r="I1175" s="5">
        <f>IFERROR(SUMIFS('DETALLE CRONOLÓGICO'!$L$2:$L$4919,'DETALLE CRONOLÓGICO'!$A$2:$A$4919,$A1175)/$F1175,"")</f>
        <v/>
      </c>
      <c r="J1175" s="6">
        <f>IFERROR(SUMIFS('DETALLE CRONOLÓGICO'!$K$2:$K$4919,'DETALLE CRONOLÓGICO'!$A$2:$A$4919,$A1175)/$E1175,"")</f>
        <v/>
      </c>
      <c r="K1175" s="6">
        <f>_xlfn.MINIFS('DETALLE CRONOLÓGICO'!$K$2:$K$4919,'DETALLE CRONOLÓGICO'!$A$2:$A$4919,$A1175)</f>
        <v/>
      </c>
      <c r="L1175" s="6">
        <f>_xlfn.MAXIFS('DETALLE CRONOLÓGICO'!$K$2:$K$4919,'DETALLE CRONOLÓGICO'!$A$2:$A$4919,$A1175)</f>
        <v/>
      </c>
      <c r="M1175" s="6">
        <f>INDEX('DETALLE CRONOLÓGICO'!$K$2:$K$4919,MATCH($A1175,'DETALLE CRONOLÓGICO'!$A$2:$A$4919,0)+$E1175-1)</f>
        <v/>
      </c>
      <c r="N1175" s="7">
        <f>IFERROR($M1175/INDEX('DETALLE CRONOLÓGICO'!$K$2:$K$4919,MATCH($A1175,'DETALLE CRONOLÓGICO'!$A$2:$A$4919,0))-1,"")</f>
        <v/>
      </c>
      <c r="O1175" s="6">
        <f>IFERROR($I1175*3,"")</f>
        <v/>
      </c>
      <c r="P1175" s="6">
        <f>IFERROR($I1175*3.5,"")</f>
        <v/>
      </c>
      <c r="Q1175" s="6">
        <f>IFERROR($I1175*4,"")</f>
        <v/>
      </c>
      <c r="R1175" s="6" t="n">
        <v>220</v>
      </c>
      <c r="S1175" s="4" t="n">
        <v>0</v>
      </c>
      <c r="T1175" s="1" t="inlineStr">
        <is>
          <t>active</t>
        </is>
      </c>
      <c r="U1175" s="8" t="n"/>
      <c r="V1175" s="1" t="inlineStr">
        <is>
          <t>SIN PRECIO</t>
        </is>
      </c>
    </row>
    <row r="1176">
      <c r="A1176" s="1" t="inlineStr">
        <is>
          <t>63ebd81634b8a</t>
        </is>
      </c>
      <c r="B1176" s="1" t="inlineStr">
        <is>
          <t>ARETES CC GOLD CON ZIRCONIA</t>
        </is>
      </c>
      <c r="C1176" s="1" t="inlineStr">
        <is>
          <t>Default Title</t>
        </is>
      </c>
      <c r="D1176" s="1" t="inlineStr">
        <is>
          <t>COCOMA</t>
        </is>
      </c>
      <c r="E1176" s="4">
        <f>COUNTIF('DETALLE CRONOLÓGICO'!$A$2:$A$4919,$A1176)</f>
        <v/>
      </c>
      <c r="F1176" s="4">
        <f>SUMIFS('DETALLE CRONOLÓGICO'!$I$2:$I$4919,'DETALLE CRONOLÓGICO'!$A$2:$A$4919,$A1176)</f>
        <v/>
      </c>
      <c r="G1176" s="1">
        <f>INDEX('DETALLE CRONOLÓGICO'!$D$2:$D$4919,MATCH($A1176,'DETALLE CRONOLÓGICO'!$A$2:$A$4919,0))</f>
        <v/>
      </c>
      <c r="H1176" s="1">
        <f>INDEX('DETALLE CRONOLÓGICO'!$D$2:$D$4919,MATCH($A1176,'DETALLE CRONOLÓGICO'!$A$2:$A$4919,0)+$E1176-1)</f>
        <v/>
      </c>
      <c r="I1176" s="5">
        <f>IFERROR(SUMIFS('DETALLE CRONOLÓGICO'!$L$2:$L$4919,'DETALLE CRONOLÓGICO'!$A$2:$A$4919,$A1176)/$F1176,"")</f>
        <v/>
      </c>
      <c r="J1176" s="6">
        <f>IFERROR(SUMIFS('DETALLE CRONOLÓGICO'!$K$2:$K$4919,'DETALLE CRONOLÓGICO'!$A$2:$A$4919,$A1176)/$E1176,"")</f>
        <v/>
      </c>
      <c r="K1176" s="6">
        <f>_xlfn.MINIFS('DETALLE CRONOLÓGICO'!$K$2:$K$4919,'DETALLE CRONOLÓGICO'!$A$2:$A$4919,$A1176)</f>
        <v/>
      </c>
      <c r="L1176" s="6">
        <f>_xlfn.MAXIFS('DETALLE CRONOLÓGICO'!$K$2:$K$4919,'DETALLE CRONOLÓGICO'!$A$2:$A$4919,$A1176)</f>
        <v/>
      </c>
      <c r="M1176" s="6">
        <f>INDEX('DETALLE CRONOLÓGICO'!$K$2:$K$4919,MATCH($A1176,'DETALLE CRONOLÓGICO'!$A$2:$A$4919,0)+$E1176-1)</f>
        <v/>
      </c>
      <c r="N1176" s="7">
        <f>IFERROR($M1176/INDEX('DETALLE CRONOLÓGICO'!$K$2:$K$4919,MATCH($A1176,'DETALLE CRONOLÓGICO'!$A$2:$A$4919,0))-1,"")</f>
        <v/>
      </c>
      <c r="O1176" s="6">
        <f>IFERROR($I1176*3,"")</f>
        <v/>
      </c>
      <c r="P1176" s="6">
        <f>IFERROR($I1176*3.5,"")</f>
        <v/>
      </c>
      <c r="Q1176" s="6">
        <f>IFERROR($I1176*4,"")</f>
        <v/>
      </c>
      <c r="R1176" s="6" t="n">
        <v>250</v>
      </c>
      <c r="S1176" s="4" t="n">
        <v>0</v>
      </c>
      <c r="T1176" s="1" t="inlineStr">
        <is>
          <t>active</t>
        </is>
      </c>
      <c r="U1176" s="8" t="n"/>
      <c r="V1176" s="1" t="inlineStr">
        <is>
          <t>SIN PRECIO</t>
        </is>
      </c>
    </row>
    <row r="1177">
      <c r="A1177" s="1" t="inlineStr">
        <is>
          <t>63ebd921017f7</t>
        </is>
      </c>
      <c r="B1177" s="1" t="inlineStr">
        <is>
          <t>ARETES T-SMILE SILVER CON ZIRCONIA</t>
        </is>
      </c>
      <c r="C1177" s="1" t="inlineStr">
        <is>
          <t>Default Title</t>
        </is>
      </c>
      <c r="D1177" s="1" t="inlineStr">
        <is>
          <t>CYNTHIA</t>
        </is>
      </c>
      <c r="E1177" s="4">
        <f>COUNTIF('DETALLE CRONOLÓGICO'!$A$2:$A$4919,$A1177)</f>
        <v/>
      </c>
      <c r="F1177" s="4">
        <f>SUMIFS('DETALLE CRONOLÓGICO'!$I$2:$I$4919,'DETALLE CRONOLÓGICO'!$A$2:$A$4919,$A1177)</f>
        <v/>
      </c>
      <c r="G1177" s="1">
        <f>INDEX('DETALLE CRONOLÓGICO'!$D$2:$D$4919,MATCH($A1177,'DETALLE CRONOLÓGICO'!$A$2:$A$4919,0))</f>
        <v/>
      </c>
      <c r="H1177" s="1">
        <f>INDEX('DETALLE CRONOLÓGICO'!$D$2:$D$4919,MATCH($A1177,'DETALLE CRONOLÓGICO'!$A$2:$A$4919,0)+$E1177-1)</f>
        <v/>
      </c>
      <c r="I1177" s="5">
        <f>IFERROR(SUMIFS('DETALLE CRONOLÓGICO'!$L$2:$L$4919,'DETALLE CRONOLÓGICO'!$A$2:$A$4919,$A1177)/$F1177,"")</f>
        <v/>
      </c>
      <c r="J1177" s="6">
        <f>IFERROR(SUMIFS('DETALLE CRONOLÓGICO'!$K$2:$K$4919,'DETALLE CRONOLÓGICO'!$A$2:$A$4919,$A1177)/$E1177,"")</f>
        <v/>
      </c>
      <c r="K1177" s="6">
        <f>_xlfn.MINIFS('DETALLE CRONOLÓGICO'!$K$2:$K$4919,'DETALLE CRONOLÓGICO'!$A$2:$A$4919,$A1177)</f>
        <v/>
      </c>
      <c r="L1177" s="6">
        <f>_xlfn.MAXIFS('DETALLE CRONOLÓGICO'!$K$2:$K$4919,'DETALLE CRONOLÓGICO'!$A$2:$A$4919,$A1177)</f>
        <v/>
      </c>
      <c r="M1177" s="6">
        <f>INDEX('DETALLE CRONOLÓGICO'!$K$2:$K$4919,MATCH($A1177,'DETALLE CRONOLÓGICO'!$A$2:$A$4919,0)+$E1177-1)</f>
        <v/>
      </c>
      <c r="N1177" s="7">
        <f>IFERROR($M1177/INDEX('DETALLE CRONOLÓGICO'!$K$2:$K$4919,MATCH($A1177,'DETALLE CRONOLÓGICO'!$A$2:$A$4919,0))-1,"")</f>
        <v/>
      </c>
      <c r="O1177" s="6">
        <f>IFERROR($I1177*3,"")</f>
        <v/>
      </c>
      <c r="P1177" s="6">
        <f>IFERROR($I1177*3.5,"")</f>
        <v/>
      </c>
      <c r="Q1177" s="6">
        <f>IFERROR($I1177*4,"")</f>
        <v/>
      </c>
      <c r="R1177" s="6" t="n">
        <v>722</v>
      </c>
      <c r="S1177" s="4" t="n">
        <v>2</v>
      </c>
      <c r="T1177" s="1" t="inlineStr">
        <is>
          <t>active</t>
        </is>
      </c>
      <c r="U1177" s="8" t="n"/>
      <c r="V1177" s="1" t="inlineStr">
        <is>
          <t>SIN PRECIO</t>
        </is>
      </c>
    </row>
    <row r="1178">
      <c r="A1178" s="1" t="inlineStr">
        <is>
          <t>63ebdb90c5a7d</t>
        </is>
      </c>
      <c r="B1178" s="1" t="inlineStr">
        <is>
          <t>COLLAR TREBOL BLACK-ROSE GOLD</t>
        </is>
      </c>
      <c r="C1178" s="1" t="inlineStr">
        <is>
          <t>High Quality 45cm</t>
        </is>
      </c>
      <c r="D1178" s="1" t="inlineStr">
        <is>
          <t>HAIFENG</t>
        </is>
      </c>
      <c r="E1178" s="4">
        <f>COUNTIF('DETALLE CRONOLÓGICO'!$A$2:$A$4919,$A1178)</f>
        <v/>
      </c>
      <c r="F1178" s="4">
        <f>SUMIFS('DETALLE CRONOLÓGICO'!$I$2:$I$4919,'DETALLE CRONOLÓGICO'!$A$2:$A$4919,$A1178)</f>
        <v/>
      </c>
      <c r="G1178" s="1">
        <f>INDEX('DETALLE CRONOLÓGICO'!$D$2:$D$4919,MATCH($A1178,'DETALLE CRONOLÓGICO'!$A$2:$A$4919,0))</f>
        <v/>
      </c>
      <c r="H1178" s="1">
        <f>INDEX('DETALLE CRONOLÓGICO'!$D$2:$D$4919,MATCH($A1178,'DETALLE CRONOLÓGICO'!$A$2:$A$4919,0)+$E1178-1)</f>
        <v/>
      </c>
      <c r="I1178" s="5">
        <f>IFERROR(SUMIFS('DETALLE CRONOLÓGICO'!$L$2:$L$4919,'DETALLE CRONOLÓGICO'!$A$2:$A$4919,$A1178)/$F1178,"")</f>
        <v/>
      </c>
      <c r="J1178" s="6">
        <f>IFERROR(SUMIFS('DETALLE CRONOLÓGICO'!$K$2:$K$4919,'DETALLE CRONOLÓGICO'!$A$2:$A$4919,$A1178)/$E1178,"")</f>
        <v/>
      </c>
      <c r="K1178" s="6">
        <f>_xlfn.MINIFS('DETALLE CRONOLÓGICO'!$K$2:$K$4919,'DETALLE CRONOLÓGICO'!$A$2:$A$4919,$A1178)</f>
        <v/>
      </c>
      <c r="L1178" s="6">
        <f>_xlfn.MAXIFS('DETALLE CRONOLÓGICO'!$K$2:$K$4919,'DETALLE CRONOLÓGICO'!$A$2:$A$4919,$A1178)</f>
        <v/>
      </c>
      <c r="M1178" s="6">
        <f>INDEX('DETALLE CRONOLÓGICO'!$K$2:$K$4919,MATCH($A1178,'DETALLE CRONOLÓGICO'!$A$2:$A$4919,0)+$E1178-1)</f>
        <v/>
      </c>
      <c r="N1178" s="7">
        <f>IFERROR($M1178/INDEX('DETALLE CRONOLÓGICO'!$K$2:$K$4919,MATCH($A1178,'DETALLE CRONOLÓGICO'!$A$2:$A$4919,0))-1,"")</f>
        <v/>
      </c>
      <c r="O1178" s="6">
        <f>IFERROR($I1178*3,"")</f>
        <v/>
      </c>
      <c r="P1178" s="6">
        <f>IFERROR($I1178*3.5,"")</f>
        <v/>
      </c>
      <c r="Q1178" s="6">
        <f>IFERROR($I1178*4,"")</f>
        <v/>
      </c>
      <c r="R1178" s="6" t="n">
        <v>899</v>
      </c>
      <c r="S1178" s="4" t="n">
        <v>5</v>
      </c>
      <c r="T1178" s="1" t="inlineStr">
        <is>
          <t>active</t>
        </is>
      </c>
      <c r="U1178" s="8" t="n"/>
      <c r="V1178" s="1" t="inlineStr">
        <is>
          <t>SIN PRECIO</t>
        </is>
      </c>
    </row>
    <row r="1179">
      <c r="A1179" s="1" t="inlineStr">
        <is>
          <t>63ebdbffe0b2d</t>
        </is>
      </c>
      <c r="B1179" s="1" t="inlineStr">
        <is>
          <t>GARGANTILLA CD PERLAS</t>
        </is>
      </c>
      <c r="C1179" s="1" t="inlineStr">
        <is>
          <t>Largo 43 cm  Más Extensión 5 cm</t>
        </is>
      </c>
      <c r="D1179" s="1" t="inlineStr">
        <is>
          <t>HAIFENG</t>
        </is>
      </c>
      <c r="E1179" s="4">
        <f>COUNTIF('DETALLE CRONOLÓGICO'!$A$2:$A$4919,$A1179)</f>
        <v/>
      </c>
      <c r="F1179" s="4">
        <f>SUMIFS('DETALLE CRONOLÓGICO'!$I$2:$I$4919,'DETALLE CRONOLÓGICO'!$A$2:$A$4919,$A1179)</f>
        <v/>
      </c>
      <c r="G1179" s="1">
        <f>INDEX('DETALLE CRONOLÓGICO'!$D$2:$D$4919,MATCH($A1179,'DETALLE CRONOLÓGICO'!$A$2:$A$4919,0))</f>
        <v/>
      </c>
      <c r="H1179" s="1">
        <f>INDEX('DETALLE CRONOLÓGICO'!$D$2:$D$4919,MATCH($A1179,'DETALLE CRONOLÓGICO'!$A$2:$A$4919,0)+$E1179-1)</f>
        <v/>
      </c>
      <c r="I1179" s="5">
        <f>IFERROR(SUMIFS('DETALLE CRONOLÓGICO'!$L$2:$L$4919,'DETALLE CRONOLÓGICO'!$A$2:$A$4919,$A1179)/$F1179,"")</f>
        <v/>
      </c>
      <c r="J1179" s="6">
        <f>IFERROR(SUMIFS('DETALLE CRONOLÓGICO'!$K$2:$K$4919,'DETALLE CRONOLÓGICO'!$A$2:$A$4919,$A1179)/$E1179,"")</f>
        <v/>
      </c>
      <c r="K1179" s="6">
        <f>_xlfn.MINIFS('DETALLE CRONOLÓGICO'!$K$2:$K$4919,'DETALLE CRONOLÓGICO'!$A$2:$A$4919,$A1179)</f>
        <v/>
      </c>
      <c r="L1179" s="6">
        <f>_xlfn.MAXIFS('DETALLE CRONOLÓGICO'!$K$2:$K$4919,'DETALLE CRONOLÓGICO'!$A$2:$A$4919,$A1179)</f>
        <v/>
      </c>
      <c r="M1179" s="6">
        <f>INDEX('DETALLE CRONOLÓGICO'!$K$2:$K$4919,MATCH($A1179,'DETALLE CRONOLÓGICO'!$A$2:$A$4919,0)+$E1179-1)</f>
        <v/>
      </c>
      <c r="N1179" s="7">
        <f>IFERROR($M1179/INDEX('DETALLE CRONOLÓGICO'!$K$2:$K$4919,MATCH($A1179,'DETALLE CRONOLÓGICO'!$A$2:$A$4919,0))-1,"")</f>
        <v/>
      </c>
      <c r="O1179" s="6">
        <f>IFERROR($I1179*3,"")</f>
        <v/>
      </c>
      <c r="P1179" s="6">
        <f>IFERROR($I1179*3.5,"")</f>
        <v/>
      </c>
      <c r="Q1179" s="6">
        <f>IFERROR($I1179*4,"")</f>
        <v/>
      </c>
      <c r="R1179" s="6" t="n">
        <v>1062</v>
      </c>
      <c r="S1179" s="4" t="n">
        <v>0</v>
      </c>
      <c r="T1179" s="1" t="inlineStr">
        <is>
          <t>active</t>
        </is>
      </c>
      <c r="U1179" s="8" t="n"/>
      <c r="V1179" s="1" t="inlineStr">
        <is>
          <t>SIN PRECIO</t>
        </is>
      </c>
    </row>
    <row r="1180">
      <c r="A1180" s="1" t="inlineStr">
        <is>
          <t>63ebdc0092a53</t>
        </is>
      </c>
      <c r="B1180" s="1" t="inlineStr">
        <is>
          <t>GARGANTILLA TRÉBOL GOLD</t>
        </is>
      </c>
      <c r="C1180" s="1" t="inlineStr">
        <is>
          <t>47cm</t>
        </is>
      </c>
      <c r="D1180" s="1" t="inlineStr">
        <is>
          <t>NANCY</t>
        </is>
      </c>
      <c r="E1180" s="4">
        <f>COUNTIF('DETALLE CRONOLÓGICO'!$A$2:$A$4919,$A1180)</f>
        <v/>
      </c>
      <c r="F1180" s="4">
        <f>SUMIFS('DETALLE CRONOLÓGICO'!$I$2:$I$4919,'DETALLE CRONOLÓGICO'!$A$2:$A$4919,$A1180)</f>
        <v/>
      </c>
      <c r="G1180" s="1">
        <f>INDEX('DETALLE CRONOLÓGICO'!$D$2:$D$4919,MATCH($A1180,'DETALLE CRONOLÓGICO'!$A$2:$A$4919,0))</f>
        <v/>
      </c>
      <c r="H1180" s="1">
        <f>INDEX('DETALLE CRONOLÓGICO'!$D$2:$D$4919,MATCH($A1180,'DETALLE CRONOLÓGICO'!$A$2:$A$4919,0)+$E1180-1)</f>
        <v/>
      </c>
      <c r="I1180" s="5">
        <f>IFERROR(SUMIFS('DETALLE CRONOLÓGICO'!$L$2:$L$4919,'DETALLE CRONOLÓGICO'!$A$2:$A$4919,$A1180)/$F1180,"")</f>
        <v/>
      </c>
      <c r="J1180" s="6">
        <f>IFERROR(SUMIFS('DETALLE CRONOLÓGICO'!$K$2:$K$4919,'DETALLE CRONOLÓGICO'!$A$2:$A$4919,$A1180)/$E1180,"")</f>
        <v/>
      </c>
      <c r="K1180" s="6">
        <f>_xlfn.MINIFS('DETALLE CRONOLÓGICO'!$K$2:$K$4919,'DETALLE CRONOLÓGICO'!$A$2:$A$4919,$A1180)</f>
        <v/>
      </c>
      <c r="L1180" s="6">
        <f>_xlfn.MAXIFS('DETALLE CRONOLÓGICO'!$K$2:$K$4919,'DETALLE CRONOLÓGICO'!$A$2:$A$4919,$A1180)</f>
        <v/>
      </c>
      <c r="M1180" s="6">
        <f>INDEX('DETALLE CRONOLÓGICO'!$K$2:$K$4919,MATCH($A1180,'DETALLE CRONOLÓGICO'!$A$2:$A$4919,0)+$E1180-1)</f>
        <v/>
      </c>
      <c r="N1180" s="7">
        <f>IFERROR($M1180/INDEX('DETALLE CRONOLÓGICO'!$K$2:$K$4919,MATCH($A1180,'DETALLE CRONOLÓGICO'!$A$2:$A$4919,0))-1,"")</f>
        <v/>
      </c>
      <c r="O1180" s="6">
        <f>IFERROR($I1180*3,"")</f>
        <v/>
      </c>
      <c r="P1180" s="6">
        <f>IFERROR($I1180*3.5,"")</f>
        <v/>
      </c>
      <c r="Q1180" s="6">
        <f>IFERROR($I1180*4,"")</f>
        <v/>
      </c>
      <c r="R1180" s="6" t="n">
        <v>1850</v>
      </c>
      <c r="S1180" s="4" t="n">
        <v>3</v>
      </c>
      <c r="T1180" s="1" t="inlineStr">
        <is>
          <t>active</t>
        </is>
      </c>
      <c r="U1180" s="8" t="n"/>
      <c r="V1180" s="1" t="inlineStr">
        <is>
          <t>SIN PRECIO</t>
        </is>
      </c>
    </row>
    <row r="1181">
      <c r="A1181" s="1" t="inlineStr">
        <is>
          <t>63ebddd057ca2</t>
        </is>
      </c>
      <c r="B1181" s="1" t="inlineStr">
        <is>
          <t>PULSERA CLAVO SILVER DELGADA CON ZIRCONIA</t>
        </is>
      </c>
      <c r="C1181" s="1" t="inlineStr">
        <is>
          <t>17cm</t>
        </is>
      </c>
      <c r="D1181" s="1" t="inlineStr">
        <is>
          <t>NANCY</t>
        </is>
      </c>
      <c r="E1181" s="4">
        <f>COUNTIF('DETALLE CRONOLÓGICO'!$A$2:$A$4919,$A1181)</f>
        <v/>
      </c>
      <c r="F1181" s="4">
        <f>SUMIFS('DETALLE CRONOLÓGICO'!$I$2:$I$4919,'DETALLE CRONOLÓGICO'!$A$2:$A$4919,$A1181)</f>
        <v/>
      </c>
      <c r="G1181" s="1">
        <f>INDEX('DETALLE CRONOLÓGICO'!$D$2:$D$4919,MATCH($A1181,'DETALLE CRONOLÓGICO'!$A$2:$A$4919,0))</f>
        <v/>
      </c>
      <c r="H1181" s="1">
        <f>INDEX('DETALLE CRONOLÓGICO'!$D$2:$D$4919,MATCH($A1181,'DETALLE CRONOLÓGICO'!$A$2:$A$4919,0)+$E1181-1)</f>
        <v/>
      </c>
      <c r="I1181" s="5">
        <f>IFERROR(SUMIFS('DETALLE CRONOLÓGICO'!$L$2:$L$4919,'DETALLE CRONOLÓGICO'!$A$2:$A$4919,$A1181)/$F1181,"")</f>
        <v/>
      </c>
      <c r="J1181" s="6">
        <f>IFERROR(SUMIFS('DETALLE CRONOLÓGICO'!$K$2:$K$4919,'DETALLE CRONOLÓGICO'!$A$2:$A$4919,$A1181)/$E1181,"")</f>
        <v/>
      </c>
      <c r="K1181" s="6">
        <f>_xlfn.MINIFS('DETALLE CRONOLÓGICO'!$K$2:$K$4919,'DETALLE CRONOLÓGICO'!$A$2:$A$4919,$A1181)</f>
        <v/>
      </c>
      <c r="L1181" s="6">
        <f>_xlfn.MAXIFS('DETALLE CRONOLÓGICO'!$K$2:$K$4919,'DETALLE CRONOLÓGICO'!$A$2:$A$4919,$A1181)</f>
        <v/>
      </c>
      <c r="M1181" s="6">
        <f>INDEX('DETALLE CRONOLÓGICO'!$K$2:$K$4919,MATCH($A1181,'DETALLE CRONOLÓGICO'!$A$2:$A$4919,0)+$E1181-1)</f>
        <v/>
      </c>
      <c r="N1181" s="7">
        <f>IFERROR($M1181/INDEX('DETALLE CRONOLÓGICO'!$K$2:$K$4919,MATCH($A1181,'DETALLE CRONOLÓGICO'!$A$2:$A$4919,0))-1,"")</f>
        <v/>
      </c>
      <c r="O1181" s="6">
        <f>IFERROR($I1181*3,"")</f>
        <v/>
      </c>
      <c r="P1181" s="6">
        <f>IFERROR($I1181*3.5,"")</f>
        <v/>
      </c>
      <c r="Q1181" s="6">
        <f>IFERROR($I1181*4,"")</f>
        <v/>
      </c>
      <c r="R1181" s="6" t="n">
        <v>312</v>
      </c>
      <c r="S1181" s="4" t="n">
        <v>12</v>
      </c>
      <c r="T1181" s="1" t="inlineStr">
        <is>
          <t>active</t>
        </is>
      </c>
      <c r="U1181" s="8" t="n"/>
      <c r="V1181" s="1" t="inlineStr">
        <is>
          <t>SIN PRECIO</t>
        </is>
      </c>
    </row>
    <row r="1182">
      <c r="A1182" s="1" t="inlineStr">
        <is>
          <t>63ebddddb879a</t>
        </is>
      </c>
      <c r="B1182" s="1" t="inlineStr">
        <is>
          <t>PULSERA CLIC H GOLD WHITE</t>
        </is>
      </c>
      <c r="C1182" s="1" t="inlineStr">
        <is>
          <t>16.8 cm</t>
        </is>
      </c>
      <c r="D1182" s="1" t="inlineStr">
        <is>
          <t>HAIFENG</t>
        </is>
      </c>
      <c r="E1182" s="4">
        <f>COUNTIF('DETALLE CRONOLÓGICO'!$A$2:$A$4919,$A1182)</f>
        <v/>
      </c>
      <c r="F1182" s="4">
        <f>SUMIFS('DETALLE CRONOLÓGICO'!$I$2:$I$4919,'DETALLE CRONOLÓGICO'!$A$2:$A$4919,$A1182)</f>
        <v/>
      </c>
      <c r="G1182" s="1">
        <f>INDEX('DETALLE CRONOLÓGICO'!$D$2:$D$4919,MATCH($A1182,'DETALLE CRONOLÓGICO'!$A$2:$A$4919,0))</f>
        <v/>
      </c>
      <c r="H1182" s="1">
        <f>INDEX('DETALLE CRONOLÓGICO'!$D$2:$D$4919,MATCH($A1182,'DETALLE CRONOLÓGICO'!$A$2:$A$4919,0)+$E1182-1)</f>
        <v/>
      </c>
      <c r="I1182" s="5">
        <f>IFERROR(SUMIFS('DETALLE CRONOLÓGICO'!$L$2:$L$4919,'DETALLE CRONOLÓGICO'!$A$2:$A$4919,$A1182)/$F1182,"")</f>
        <v/>
      </c>
      <c r="J1182" s="6">
        <f>IFERROR(SUMIFS('DETALLE CRONOLÓGICO'!$K$2:$K$4919,'DETALLE CRONOLÓGICO'!$A$2:$A$4919,$A1182)/$E1182,"")</f>
        <v/>
      </c>
      <c r="K1182" s="6">
        <f>_xlfn.MINIFS('DETALLE CRONOLÓGICO'!$K$2:$K$4919,'DETALLE CRONOLÓGICO'!$A$2:$A$4919,$A1182)</f>
        <v/>
      </c>
      <c r="L1182" s="6">
        <f>_xlfn.MAXIFS('DETALLE CRONOLÓGICO'!$K$2:$K$4919,'DETALLE CRONOLÓGICO'!$A$2:$A$4919,$A1182)</f>
        <v/>
      </c>
      <c r="M1182" s="6">
        <f>INDEX('DETALLE CRONOLÓGICO'!$K$2:$K$4919,MATCH($A1182,'DETALLE CRONOLÓGICO'!$A$2:$A$4919,0)+$E1182-1)</f>
        <v/>
      </c>
      <c r="N1182" s="7">
        <f>IFERROR($M1182/INDEX('DETALLE CRONOLÓGICO'!$K$2:$K$4919,MATCH($A1182,'DETALLE CRONOLÓGICO'!$A$2:$A$4919,0))-1,"")</f>
        <v/>
      </c>
      <c r="O1182" s="6">
        <f>IFERROR($I1182*3,"")</f>
        <v/>
      </c>
      <c r="P1182" s="6">
        <f>IFERROR($I1182*3.5,"")</f>
        <v/>
      </c>
      <c r="Q1182" s="6">
        <f>IFERROR($I1182*4,"")</f>
        <v/>
      </c>
      <c r="R1182" s="6" t="n">
        <v>569</v>
      </c>
      <c r="S1182" s="4" t="n">
        <v>0</v>
      </c>
      <c r="T1182" s="1" t="inlineStr">
        <is>
          <t>active</t>
        </is>
      </c>
      <c r="U1182" s="8" t="n"/>
      <c r="V1182" s="1" t="inlineStr">
        <is>
          <t>SIN PRECIO</t>
        </is>
      </c>
    </row>
    <row r="1183">
      <c r="A1183" s="1" t="inlineStr">
        <is>
          <t>63ebde48917bc</t>
        </is>
      </c>
      <c r="B1183" s="1" t="inlineStr">
        <is>
          <t>PULSERA CLIC H GOLD BLUE</t>
        </is>
      </c>
      <c r="C1183" s="1" t="inlineStr">
        <is>
          <t>16.8 cm</t>
        </is>
      </c>
      <c r="D1183" s="1" t="inlineStr">
        <is>
          <t>HAIFENG</t>
        </is>
      </c>
      <c r="E1183" s="4">
        <f>COUNTIF('DETALLE CRONOLÓGICO'!$A$2:$A$4919,$A1183)</f>
        <v/>
      </c>
      <c r="F1183" s="4">
        <f>SUMIFS('DETALLE CRONOLÓGICO'!$I$2:$I$4919,'DETALLE CRONOLÓGICO'!$A$2:$A$4919,$A1183)</f>
        <v/>
      </c>
      <c r="G1183" s="1">
        <f>INDEX('DETALLE CRONOLÓGICO'!$D$2:$D$4919,MATCH($A1183,'DETALLE CRONOLÓGICO'!$A$2:$A$4919,0))</f>
        <v/>
      </c>
      <c r="H1183" s="1">
        <f>INDEX('DETALLE CRONOLÓGICO'!$D$2:$D$4919,MATCH($A1183,'DETALLE CRONOLÓGICO'!$A$2:$A$4919,0)+$E1183-1)</f>
        <v/>
      </c>
      <c r="I1183" s="5">
        <f>IFERROR(SUMIFS('DETALLE CRONOLÓGICO'!$L$2:$L$4919,'DETALLE CRONOLÓGICO'!$A$2:$A$4919,$A1183)/$F1183,"")</f>
        <v/>
      </c>
      <c r="J1183" s="6">
        <f>IFERROR(SUMIFS('DETALLE CRONOLÓGICO'!$K$2:$K$4919,'DETALLE CRONOLÓGICO'!$A$2:$A$4919,$A1183)/$E1183,"")</f>
        <v/>
      </c>
      <c r="K1183" s="6">
        <f>_xlfn.MINIFS('DETALLE CRONOLÓGICO'!$K$2:$K$4919,'DETALLE CRONOLÓGICO'!$A$2:$A$4919,$A1183)</f>
        <v/>
      </c>
      <c r="L1183" s="6">
        <f>_xlfn.MAXIFS('DETALLE CRONOLÓGICO'!$K$2:$K$4919,'DETALLE CRONOLÓGICO'!$A$2:$A$4919,$A1183)</f>
        <v/>
      </c>
      <c r="M1183" s="6">
        <f>INDEX('DETALLE CRONOLÓGICO'!$K$2:$K$4919,MATCH($A1183,'DETALLE CRONOLÓGICO'!$A$2:$A$4919,0)+$E1183-1)</f>
        <v/>
      </c>
      <c r="N1183" s="7">
        <f>IFERROR($M1183/INDEX('DETALLE CRONOLÓGICO'!$K$2:$K$4919,MATCH($A1183,'DETALLE CRONOLÓGICO'!$A$2:$A$4919,0))-1,"")</f>
        <v/>
      </c>
      <c r="O1183" s="6">
        <f>IFERROR($I1183*3,"")</f>
        <v/>
      </c>
      <c r="P1183" s="6">
        <f>IFERROR($I1183*3.5,"")</f>
        <v/>
      </c>
      <c r="Q1183" s="6">
        <f>IFERROR($I1183*4,"")</f>
        <v/>
      </c>
      <c r="R1183" s="6" t="n">
        <v>550</v>
      </c>
      <c r="S1183" s="4" t="n">
        <v>3</v>
      </c>
      <c r="T1183" s="1" t="inlineStr">
        <is>
          <t>active</t>
        </is>
      </c>
      <c r="U1183" s="8" t="n"/>
      <c r="V1183" s="1" t="inlineStr">
        <is>
          <t>SIN PRECIO</t>
        </is>
      </c>
    </row>
    <row r="1184">
      <c r="A1184" s="1" t="inlineStr">
        <is>
          <t>63ebdf168b8f4</t>
        </is>
      </c>
      <c r="B1184" s="1" t="inlineStr">
        <is>
          <t>PULSERA CON INSIGNIA DE MOÑO SILVER</t>
        </is>
      </c>
      <c r="C1184" s="1" t="inlineStr">
        <is>
          <t>16 cm</t>
        </is>
      </c>
      <c r="D1184" s="1" t="inlineStr">
        <is>
          <t>HAIFENG</t>
        </is>
      </c>
      <c r="E1184" s="4">
        <f>COUNTIF('DETALLE CRONOLÓGICO'!$A$2:$A$4919,$A1184)</f>
        <v/>
      </c>
      <c r="F1184" s="4">
        <f>SUMIFS('DETALLE CRONOLÓGICO'!$I$2:$I$4919,'DETALLE CRONOLÓGICO'!$A$2:$A$4919,$A1184)</f>
        <v/>
      </c>
      <c r="G1184" s="1">
        <f>INDEX('DETALLE CRONOLÓGICO'!$D$2:$D$4919,MATCH($A1184,'DETALLE CRONOLÓGICO'!$A$2:$A$4919,0))</f>
        <v/>
      </c>
      <c r="H1184" s="1">
        <f>INDEX('DETALLE CRONOLÓGICO'!$D$2:$D$4919,MATCH($A1184,'DETALLE CRONOLÓGICO'!$A$2:$A$4919,0)+$E1184-1)</f>
        <v/>
      </c>
      <c r="I1184" s="5">
        <f>IFERROR(SUMIFS('DETALLE CRONOLÓGICO'!$L$2:$L$4919,'DETALLE CRONOLÓGICO'!$A$2:$A$4919,$A1184)/$F1184,"")</f>
        <v/>
      </c>
      <c r="J1184" s="6">
        <f>IFERROR(SUMIFS('DETALLE CRONOLÓGICO'!$K$2:$K$4919,'DETALLE CRONOLÓGICO'!$A$2:$A$4919,$A1184)/$E1184,"")</f>
        <v/>
      </c>
      <c r="K1184" s="6">
        <f>_xlfn.MINIFS('DETALLE CRONOLÓGICO'!$K$2:$K$4919,'DETALLE CRONOLÓGICO'!$A$2:$A$4919,$A1184)</f>
        <v/>
      </c>
      <c r="L1184" s="6">
        <f>_xlfn.MAXIFS('DETALLE CRONOLÓGICO'!$K$2:$K$4919,'DETALLE CRONOLÓGICO'!$A$2:$A$4919,$A1184)</f>
        <v/>
      </c>
      <c r="M1184" s="6">
        <f>INDEX('DETALLE CRONOLÓGICO'!$K$2:$K$4919,MATCH($A1184,'DETALLE CRONOLÓGICO'!$A$2:$A$4919,0)+$E1184-1)</f>
        <v/>
      </c>
      <c r="N1184" s="7">
        <f>IFERROR($M1184/INDEX('DETALLE CRONOLÓGICO'!$K$2:$K$4919,MATCH($A1184,'DETALLE CRONOLÓGICO'!$A$2:$A$4919,0))-1,"")</f>
        <v/>
      </c>
      <c r="O1184" s="6">
        <f>IFERROR($I1184*3,"")</f>
        <v/>
      </c>
      <c r="P1184" s="6">
        <f>IFERROR($I1184*3.5,"")</f>
        <v/>
      </c>
      <c r="Q1184" s="6">
        <f>IFERROR($I1184*4,"")</f>
        <v/>
      </c>
      <c r="R1184" s="6" t="n">
        <v>525</v>
      </c>
      <c r="S1184" s="4" t="n">
        <v>2</v>
      </c>
      <c r="T1184" s="1" t="inlineStr">
        <is>
          <t>active</t>
        </is>
      </c>
      <c r="U1184" s="8" t="n"/>
      <c r="V1184" s="1" t="inlineStr">
        <is>
          <t>SIN PRECIO</t>
        </is>
      </c>
    </row>
    <row r="1185">
      <c r="A1185" s="1" t="inlineStr">
        <is>
          <t>63ebdf24125c5</t>
        </is>
      </c>
      <c r="B1185" s="1" t="inlineStr">
        <is>
          <t>PULSERA LOVE DELGADA SILVER CON MICRO ZIRCONIAS</t>
        </is>
      </c>
      <c r="C1185" s="1" t="inlineStr">
        <is>
          <t>16 cm</t>
        </is>
      </c>
      <c r="D1185" s="1" t="inlineStr">
        <is>
          <t>HAIFENG</t>
        </is>
      </c>
      <c r="E1185" s="4">
        <f>COUNTIF('DETALLE CRONOLÓGICO'!$A$2:$A$4919,$A1185)</f>
        <v/>
      </c>
      <c r="F1185" s="4">
        <f>SUMIFS('DETALLE CRONOLÓGICO'!$I$2:$I$4919,'DETALLE CRONOLÓGICO'!$A$2:$A$4919,$A1185)</f>
        <v/>
      </c>
      <c r="G1185" s="1">
        <f>INDEX('DETALLE CRONOLÓGICO'!$D$2:$D$4919,MATCH($A1185,'DETALLE CRONOLÓGICO'!$A$2:$A$4919,0))</f>
        <v/>
      </c>
      <c r="H1185" s="1">
        <f>INDEX('DETALLE CRONOLÓGICO'!$D$2:$D$4919,MATCH($A1185,'DETALLE CRONOLÓGICO'!$A$2:$A$4919,0)+$E1185-1)</f>
        <v/>
      </c>
      <c r="I1185" s="5">
        <f>IFERROR(SUMIFS('DETALLE CRONOLÓGICO'!$L$2:$L$4919,'DETALLE CRONOLÓGICO'!$A$2:$A$4919,$A1185)/$F1185,"")</f>
        <v/>
      </c>
      <c r="J1185" s="6">
        <f>IFERROR(SUMIFS('DETALLE CRONOLÓGICO'!$K$2:$K$4919,'DETALLE CRONOLÓGICO'!$A$2:$A$4919,$A1185)/$E1185,"")</f>
        <v/>
      </c>
      <c r="K1185" s="6">
        <f>_xlfn.MINIFS('DETALLE CRONOLÓGICO'!$K$2:$K$4919,'DETALLE CRONOLÓGICO'!$A$2:$A$4919,$A1185)</f>
        <v/>
      </c>
      <c r="L1185" s="6">
        <f>_xlfn.MAXIFS('DETALLE CRONOLÓGICO'!$K$2:$K$4919,'DETALLE CRONOLÓGICO'!$A$2:$A$4919,$A1185)</f>
        <v/>
      </c>
      <c r="M1185" s="6">
        <f>INDEX('DETALLE CRONOLÓGICO'!$K$2:$K$4919,MATCH($A1185,'DETALLE CRONOLÓGICO'!$A$2:$A$4919,0)+$E1185-1)</f>
        <v/>
      </c>
      <c r="N1185" s="7">
        <f>IFERROR($M1185/INDEX('DETALLE CRONOLÓGICO'!$K$2:$K$4919,MATCH($A1185,'DETALLE CRONOLÓGICO'!$A$2:$A$4919,0))-1,"")</f>
        <v/>
      </c>
      <c r="O1185" s="6">
        <f>IFERROR($I1185*3,"")</f>
        <v/>
      </c>
      <c r="P1185" s="6">
        <f>IFERROR($I1185*3.5,"")</f>
        <v/>
      </c>
      <c r="Q1185" s="6">
        <f>IFERROR($I1185*4,"")</f>
        <v/>
      </c>
      <c r="R1185" s="6" t="n">
        <v>1099</v>
      </c>
      <c r="S1185" s="4" t="n">
        <v>0</v>
      </c>
      <c r="T1185" s="1" t="inlineStr">
        <is>
          <t>active</t>
        </is>
      </c>
      <c r="U1185" s="8" t="n"/>
      <c r="V1185" s="1" t="inlineStr">
        <is>
          <t>SIN PRECIO</t>
        </is>
      </c>
    </row>
    <row r="1186">
      <c r="A1186" s="1" t="inlineStr">
        <is>
          <t>63ebdf2503ebb</t>
        </is>
      </c>
      <c r="B1186" s="1" t="inlineStr">
        <is>
          <t>PULSERA LOVE DELGADA SILVER CON MICRO ZIRCONIAS</t>
        </is>
      </c>
      <c r="C1186" s="1" t="inlineStr">
        <is>
          <t>18 cm</t>
        </is>
      </c>
      <c r="D1186" s="1" t="inlineStr">
        <is>
          <t>HAIFENG</t>
        </is>
      </c>
      <c r="E1186" s="4">
        <f>COUNTIF('DETALLE CRONOLÓGICO'!$A$2:$A$4919,$A1186)</f>
        <v/>
      </c>
      <c r="F1186" s="4">
        <f>SUMIFS('DETALLE CRONOLÓGICO'!$I$2:$I$4919,'DETALLE CRONOLÓGICO'!$A$2:$A$4919,$A1186)</f>
        <v/>
      </c>
      <c r="G1186" s="1">
        <f>INDEX('DETALLE CRONOLÓGICO'!$D$2:$D$4919,MATCH($A1186,'DETALLE CRONOLÓGICO'!$A$2:$A$4919,0))</f>
        <v/>
      </c>
      <c r="H1186" s="1">
        <f>INDEX('DETALLE CRONOLÓGICO'!$D$2:$D$4919,MATCH($A1186,'DETALLE CRONOLÓGICO'!$A$2:$A$4919,0)+$E1186-1)</f>
        <v/>
      </c>
      <c r="I1186" s="5">
        <f>IFERROR(SUMIFS('DETALLE CRONOLÓGICO'!$L$2:$L$4919,'DETALLE CRONOLÓGICO'!$A$2:$A$4919,$A1186)/$F1186,"")</f>
        <v/>
      </c>
      <c r="J1186" s="6">
        <f>IFERROR(SUMIFS('DETALLE CRONOLÓGICO'!$K$2:$K$4919,'DETALLE CRONOLÓGICO'!$A$2:$A$4919,$A1186)/$E1186,"")</f>
        <v/>
      </c>
      <c r="K1186" s="6">
        <f>_xlfn.MINIFS('DETALLE CRONOLÓGICO'!$K$2:$K$4919,'DETALLE CRONOLÓGICO'!$A$2:$A$4919,$A1186)</f>
        <v/>
      </c>
      <c r="L1186" s="6">
        <f>_xlfn.MAXIFS('DETALLE CRONOLÓGICO'!$K$2:$K$4919,'DETALLE CRONOLÓGICO'!$A$2:$A$4919,$A1186)</f>
        <v/>
      </c>
      <c r="M1186" s="6">
        <f>INDEX('DETALLE CRONOLÓGICO'!$K$2:$K$4919,MATCH($A1186,'DETALLE CRONOLÓGICO'!$A$2:$A$4919,0)+$E1186-1)</f>
        <v/>
      </c>
      <c r="N1186" s="7">
        <f>IFERROR($M1186/INDEX('DETALLE CRONOLÓGICO'!$K$2:$K$4919,MATCH($A1186,'DETALLE CRONOLÓGICO'!$A$2:$A$4919,0))-1,"")</f>
        <v/>
      </c>
      <c r="O1186" s="6">
        <f>IFERROR($I1186*3,"")</f>
        <v/>
      </c>
      <c r="P1186" s="6">
        <f>IFERROR($I1186*3.5,"")</f>
        <v/>
      </c>
      <c r="Q1186" s="6">
        <f>IFERROR($I1186*4,"")</f>
        <v/>
      </c>
      <c r="R1186" s="6" t="n">
        <v>1099</v>
      </c>
      <c r="S1186" s="4" t="n">
        <v>6</v>
      </c>
      <c r="T1186" s="1" t="inlineStr">
        <is>
          <t>active</t>
        </is>
      </c>
      <c r="U1186" s="8" t="n"/>
      <c r="V1186" s="1" t="inlineStr">
        <is>
          <t>SIN PRECIO</t>
        </is>
      </c>
    </row>
    <row r="1187">
      <c r="A1187" s="1" t="inlineStr">
        <is>
          <t>63ebdf25cba1e</t>
        </is>
      </c>
      <c r="B1187" s="1" t="inlineStr">
        <is>
          <t>PULSERA LOVE DELGADA SILVER CON MICRO ZIRCONIAS</t>
        </is>
      </c>
      <c r="C1187" s="1" t="inlineStr">
        <is>
          <t>19 cm</t>
        </is>
      </c>
      <c r="D1187" s="1" t="inlineStr">
        <is>
          <t>HAIFENG</t>
        </is>
      </c>
      <c r="E1187" s="4">
        <f>COUNTIF('DETALLE CRONOLÓGICO'!$A$2:$A$4919,$A1187)</f>
        <v/>
      </c>
      <c r="F1187" s="4">
        <f>SUMIFS('DETALLE CRONOLÓGICO'!$I$2:$I$4919,'DETALLE CRONOLÓGICO'!$A$2:$A$4919,$A1187)</f>
        <v/>
      </c>
      <c r="G1187" s="1">
        <f>INDEX('DETALLE CRONOLÓGICO'!$D$2:$D$4919,MATCH($A1187,'DETALLE CRONOLÓGICO'!$A$2:$A$4919,0))</f>
        <v/>
      </c>
      <c r="H1187" s="1">
        <f>INDEX('DETALLE CRONOLÓGICO'!$D$2:$D$4919,MATCH($A1187,'DETALLE CRONOLÓGICO'!$A$2:$A$4919,0)+$E1187-1)</f>
        <v/>
      </c>
      <c r="I1187" s="5">
        <f>IFERROR(SUMIFS('DETALLE CRONOLÓGICO'!$L$2:$L$4919,'DETALLE CRONOLÓGICO'!$A$2:$A$4919,$A1187)/$F1187,"")</f>
        <v/>
      </c>
      <c r="J1187" s="6">
        <f>IFERROR(SUMIFS('DETALLE CRONOLÓGICO'!$K$2:$K$4919,'DETALLE CRONOLÓGICO'!$A$2:$A$4919,$A1187)/$E1187,"")</f>
        <v/>
      </c>
      <c r="K1187" s="6">
        <f>_xlfn.MINIFS('DETALLE CRONOLÓGICO'!$K$2:$K$4919,'DETALLE CRONOLÓGICO'!$A$2:$A$4919,$A1187)</f>
        <v/>
      </c>
      <c r="L1187" s="6">
        <f>_xlfn.MAXIFS('DETALLE CRONOLÓGICO'!$K$2:$K$4919,'DETALLE CRONOLÓGICO'!$A$2:$A$4919,$A1187)</f>
        <v/>
      </c>
      <c r="M1187" s="6">
        <f>INDEX('DETALLE CRONOLÓGICO'!$K$2:$K$4919,MATCH($A1187,'DETALLE CRONOLÓGICO'!$A$2:$A$4919,0)+$E1187-1)</f>
        <v/>
      </c>
      <c r="N1187" s="7">
        <f>IFERROR($M1187/INDEX('DETALLE CRONOLÓGICO'!$K$2:$K$4919,MATCH($A1187,'DETALLE CRONOLÓGICO'!$A$2:$A$4919,0))-1,"")</f>
        <v/>
      </c>
      <c r="O1187" s="6">
        <f>IFERROR($I1187*3,"")</f>
        <v/>
      </c>
      <c r="P1187" s="6">
        <f>IFERROR($I1187*3.5,"")</f>
        <v/>
      </c>
      <c r="Q1187" s="6">
        <f>IFERROR($I1187*4,"")</f>
        <v/>
      </c>
      <c r="R1187" s="6" t="n">
        <v>1099</v>
      </c>
      <c r="S1187" s="4" t="n">
        <v>1</v>
      </c>
      <c r="T1187" s="1" t="inlineStr">
        <is>
          <t>active</t>
        </is>
      </c>
      <c r="U1187" s="8" t="n"/>
      <c r="V1187" s="1" t="inlineStr">
        <is>
          <t>SIN PRECIO</t>
        </is>
      </c>
    </row>
    <row r="1188">
      <c r="A1188" s="1" t="inlineStr">
        <is>
          <t>63ebdf98523b4</t>
        </is>
      </c>
      <c r="B1188" s="1" t="inlineStr">
        <is>
          <t>PULSERA LOVE DELGADA GOLD CON MICRO ZIRCONIAS</t>
        </is>
      </c>
      <c r="C1188" s="1" t="inlineStr">
        <is>
          <t>16 cm</t>
        </is>
      </c>
      <c r="D1188" s="1" t="inlineStr">
        <is>
          <t>HAIFENG</t>
        </is>
      </c>
      <c r="E1188" s="4">
        <f>COUNTIF('DETALLE CRONOLÓGICO'!$A$2:$A$4919,$A1188)</f>
        <v/>
      </c>
      <c r="F1188" s="4">
        <f>SUMIFS('DETALLE CRONOLÓGICO'!$I$2:$I$4919,'DETALLE CRONOLÓGICO'!$A$2:$A$4919,$A1188)</f>
        <v/>
      </c>
      <c r="G1188" s="1">
        <f>INDEX('DETALLE CRONOLÓGICO'!$D$2:$D$4919,MATCH($A1188,'DETALLE CRONOLÓGICO'!$A$2:$A$4919,0))</f>
        <v/>
      </c>
      <c r="H1188" s="1">
        <f>INDEX('DETALLE CRONOLÓGICO'!$D$2:$D$4919,MATCH($A1188,'DETALLE CRONOLÓGICO'!$A$2:$A$4919,0)+$E1188-1)</f>
        <v/>
      </c>
      <c r="I1188" s="5">
        <f>IFERROR(SUMIFS('DETALLE CRONOLÓGICO'!$L$2:$L$4919,'DETALLE CRONOLÓGICO'!$A$2:$A$4919,$A1188)/$F1188,"")</f>
        <v/>
      </c>
      <c r="J1188" s="6">
        <f>IFERROR(SUMIFS('DETALLE CRONOLÓGICO'!$K$2:$K$4919,'DETALLE CRONOLÓGICO'!$A$2:$A$4919,$A1188)/$E1188,"")</f>
        <v/>
      </c>
      <c r="K1188" s="6">
        <f>_xlfn.MINIFS('DETALLE CRONOLÓGICO'!$K$2:$K$4919,'DETALLE CRONOLÓGICO'!$A$2:$A$4919,$A1188)</f>
        <v/>
      </c>
      <c r="L1188" s="6">
        <f>_xlfn.MAXIFS('DETALLE CRONOLÓGICO'!$K$2:$K$4919,'DETALLE CRONOLÓGICO'!$A$2:$A$4919,$A1188)</f>
        <v/>
      </c>
      <c r="M1188" s="6">
        <f>INDEX('DETALLE CRONOLÓGICO'!$K$2:$K$4919,MATCH($A1188,'DETALLE CRONOLÓGICO'!$A$2:$A$4919,0)+$E1188-1)</f>
        <v/>
      </c>
      <c r="N1188" s="7">
        <f>IFERROR($M1188/INDEX('DETALLE CRONOLÓGICO'!$K$2:$K$4919,MATCH($A1188,'DETALLE CRONOLÓGICO'!$A$2:$A$4919,0))-1,"")</f>
        <v/>
      </c>
      <c r="O1188" s="6">
        <f>IFERROR($I1188*3,"")</f>
        <v/>
      </c>
      <c r="P1188" s="6">
        <f>IFERROR($I1188*3.5,"")</f>
        <v/>
      </c>
      <c r="Q1188" s="6">
        <f>IFERROR($I1188*4,"")</f>
        <v/>
      </c>
      <c r="R1188" s="6" t="n">
        <v>1099</v>
      </c>
      <c r="S1188" s="4" t="n">
        <v>2</v>
      </c>
      <c r="T1188" s="1" t="inlineStr">
        <is>
          <t>active</t>
        </is>
      </c>
      <c r="U1188" s="8" t="n"/>
      <c r="V1188" s="1" t="inlineStr">
        <is>
          <t>SIN PRECIO</t>
        </is>
      </c>
    </row>
    <row r="1189">
      <c r="A1189" s="1" t="inlineStr">
        <is>
          <t>63ebdf992a2c6</t>
        </is>
      </c>
      <c r="B1189" s="1" t="inlineStr">
        <is>
          <t>PULSERA LOVE DELGADA GOLD CON MICRO ZIRCONIAS</t>
        </is>
      </c>
      <c r="C1189" s="1" t="inlineStr">
        <is>
          <t>17cm</t>
        </is>
      </c>
      <c r="D1189" s="1" t="inlineStr">
        <is>
          <t>HAIFENG</t>
        </is>
      </c>
      <c r="E1189" s="4">
        <f>COUNTIF('DETALLE CRONOLÓGICO'!$A$2:$A$4919,$A1189)</f>
        <v/>
      </c>
      <c r="F1189" s="4">
        <f>SUMIFS('DETALLE CRONOLÓGICO'!$I$2:$I$4919,'DETALLE CRONOLÓGICO'!$A$2:$A$4919,$A1189)</f>
        <v/>
      </c>
      <c r="G1189" s="1">
        <f>INDEX('DETALLE CRONOLÓGICO'!$D$2:$D$4919,MATCH($A1189,'DETALLE CRONOLÓGICO'!$A$2:$A$4919,0))</f>
        <v/>
      </c>
      <c r="H1189" s="1">
        <f>INDEX('DETALLE CRONOLÓGICO'!$D$2:$D$4919,MATCH($A1189,'DETALLE CRONOLÓGICO'!$A$2:$A$4919,0)+$E1189-1)</f>
        <v/>
      </c>
      <c r="I1189" s="5">
        <f>IFERROR(SUMIFS('DETALLE CRONOLÓGICO'!$L$2:$L$4919,'DETALLE CRONOLÓGICO'!$A$2:$A$4919,$A1189)/$F1189,"")</f>
        <v/>
      </c>
      <c r="J1189" s="6">
        <f>IFERROR(SUMIFS('DETALLE CRONOLÓGICO'!$K$2:$K$4919,'DETALLE CRONOLÓGICO'!$A$2:$A$4919,$A1189)/$E1189,"")</f>
        <v/>
      </c>
      <c r="K1189" s="6">
        <f>_xlfn.MINIFS('DETALLE CRONOLÓGICO'!$K$2:$K$4919,'DETALLE CRONOLÓGICO'!$A$2:$A$4919,$A1189)</f>
        <v/>
      </c>
      <c r="L1189" s="6">
        <f>_xlfn.MAXIFS('DETALLE CRONOLÓGICO'!$K$2:$K$4919,'DETALLE CRONOLÓGICO'!$A$2:$A$4919,$A1189)</f>
        <v/>
      </c>
      <c r="M1189" s="6">
        <f>INDEX('DETALLE CRONOLÓGICO'!$K$2:$K$4919,MATCH($A1189,'DETALLE CRONOLÓGICO'!$A$2:$A$4919,0)+$E1189-1)</f>
        <v/>
      </c>
      <c r="N1189" s="7">
        <f>IFERROR($M1189/INDEX('DETALLE CRONOLÓGICO'!$K$2:$K$4919,MATCH($A1189,'DETALLE CRONOLÓGICO'!$A$2:$A$4919,0))-1,"")</f>
        <v/>
      </c>
      <c r="O1189" s="6">
        <f>IFERROR($I1189*3,"")</f>
        <v/>
      </c>
      <c r="P1189" s="6">
        <f>IFERROR($I1189*3.5,"")</f>
        <v/>
      </c>
      <c r="Q1189" s="6">
        <f>IFERROR($I1189*4,"")</f>
        <v/>
      </c>
      <c r="R1189" s="6" t="n">
        <v>1099</v>
      </c>
      <c r="S1189" s="4" t="n">
        <v>5</v>
      </c>
      <c r="T1189" s="1" t="inlineStr">
        <is>
          <t>active</t>
        </is>
      </c>
      <c r="U1189" s="8" t="n"/>
      <c r="V1189" s="1" t="inlineStr">
        <is>
          <t>SIN PRECIO</t>
        </is>
      </c>
    </row>
    <row r="1190">
      <c r="A1190" s="1" t="inlineStr">
        <is>
          <t>63ebdf99e880b</t>
        </is>
      </c>
      <c r="B1190" s="1" t="inlineStr">
        <is>
          <t>PULSERA LOVE DELGADA GOLD CON MICRO ZIRCONIAS</t>
        </is>
      </c>
      <c r="C1190" s="1" t="inlineStr">
        <is>
          <t>18 cm</t>
        </is>
      </c>
      <c r="D1190" s="1" t="inlineStr">
        <is>
          <t>HAIFENG</t>
        </is>
      </c>
      <c r="E1190" s="4">
        <f>COUNTIF('DETALLE CRONOLÓGICO'!$A$2:$A$4919,$A1190)</f>
        <v/>
      </c>
      <c r="F1190" s="4">
        <f>SUMIFS('DETALLE CRONOLÓGICO'!$I$2:$I$4919,'DETALLE CRONOLÓGICO'!$A$2:$A$4919,$A1190)</f>
        <v/>
      </c>
      <c r="G1190" s="1">
        <f>INDEX('DETALLE CRONOLÓGICO'!$D$2:$D$4919,MATCH($A1190,'DETALLE CRONOLÓGICO'!$A$2:$A$4919,0))</f>
        <v/>
      </c>
      <c r="H1190" s="1">
        <f>INDEX('DETALLE CRONOLÓGICO'!$D$2:$D$4919,MATCH($A1190,'DETALLE CRONOLÓGICO'!$A$2:$A$4919,0)+$E1190-1)</f>
        <v/>
      </c>
      <c r="I1190" s="5">
        <f>IFERROR(SUMIFS('DETALLE CRONOLÓGICO'!$L$2:$L$4919,'DETALLE CRONOLÓGICO'!$A$2:$A$4919,$A1190)/$F1190,"")</f>
        <v/>
      </c>
      <c r="J1190" s="6">
        <f>IFERROR(SUMIFS('DETALLE CRONOLÓGICO'!$K$2:$K$4919,'DETALLE CRONOLÓGICO'!$A$2:$A$4919,$A1190)/$E1190,"")</f>
        <v/>
      </c>
      <c r="K1190" s="6">
        <f>_xlfn.MINIFS('DETALLE CRONOLÓGICO'!$K$2:$K$4919,'DETALLE CRONOLÓGICO'!$A$2:$A$4919,$A1190)</f>
        <v/>
      </c>
      <c r="L1190" s="6">
        <f>_xlfn.MAXIFS('DETALLE CRONOLÓGICO'!$K$2:$K$4919,'DETALLE CRONOLÓGICO'!$A$2:$A$4919,$A1190)</f>
        <v/>
      </c>
      <c r="M1190" s="6">
        <f>INDEX('DETALLE CRONOLÓGICO'!$K$2:$K$4919,MATCH($A1190,'DETALLE CRONOLÓGICO'!$A$2:$A$4919,0)+$E1190-1)</f>
        <v/>
      </c>
      <c r="N1190" s="7">
        <f>IFERROR($M1190/INDEX('DETALLE CRONOLÓGICO'!$K$2:$K$4919,MATCH($A1190,'DETALLE CRONOLÓGICO'!$A$2:$A$4919,0))-1,"")</f>
        <v/>
      </c>
      <c r="O1190" s="6">
        <f>IFERROR($I1190*3,"")</f>
        <v/>
      </c>
      <c r="P1190" s="6">
        <f>IFERROR($I1190*3.5,"")</f>
        <v/>
      </c>
      <c r="Q1190" s="6">
        <f>IFERROR($I1190*4,"")</f>
        <v/>
      </c>
      <c r="R1190" s="6" t="n">
        <v>1099</v>
      </c>
      <c r="S1190" s="4" t="n">
        <v>0</v>
      </c>
      <c r="T1190" s="1" t="inlineStr">
        <is>
          <t>active</t>
        </is>
      </c>
      <c r="U1190" s="8" t="n"/>
      <c r="V1190" s="1" t="inlineStr">
        <is>
          <t>SIN PRECIO</t>
        </is>
      </c>
    </row>
    <row r="1191">
      <c r="A1191" s="1" t="inlineStr">
        <is>
          <t>63ebdf9ac3082</t>
        </is>
      </c>
      <c r="B1191" s="1" t="inlineStr">
        <is>
          <t>PULSERA LOVE DELGADA GOLD CON MICRO ZIRCONIAS</t>
        </is>
      </c>
      <c r="C1191" s="1" t="inlineStr">
        <is>
          <t>19 cm</t>
        </is>
      </c>
      <c r="D1191" s="1" t="inlineStr">
        <is>
          <t>HAIFENG</t>
        </is>
      </c>
      <c r="E1191" s="4">
        <f>COUNTIF('DETALLE CRONOLÓGICO'!$A$2:$A$4919,$A1191)</f>
        <v/>
      </c>
      <c r="F1191" s="4">
        <f>SUMIFS('DETALLE CRONOLÓGICO'!$I$2:$I$4919,'DETALLE CRONOLÓGICO'!$A$2:$A$4919,$A1191)</f>
        <v/>
      </c>
      <c r="G1191" s="1">
        <f>INDEX('DETALLE CRONOLÓGICO'!$D$2:$D$4919,MATCH($A1191,'DETALLE CRONOLÓGICO'!$A$2:$A$4919,0))</f>
        <v/>
      </c>
      <c r="H1191" s="1">
        <f>INDEX('DETALLE CRONOLÓGICO'!$D$2:$D$4919,MATCH($A1191,'DETALLE CRONOLÓGICO'!$A$2:$A$4919,0)+$E1191-1)</f>
        <v/>
      </c>
      <c r="I1191" s="5">
        <f>IFERROR(SUMIFS('DETALLE CRONOLÓGICO'!$L$2:$L$4919,'DETALLE CRONOLÓGICO'!$A$2:$A$4919,$A1191)/$F1191,"")</f>
        <v/>
      </c>
      <c r="J1191" s="6">
        <f>IFERROR(SUMIFS('DETALLE CRONOLÓGICO'!$K$2:$K$4919,'DETALLE CRONOLÓGICO'!$A$2:$A$4919,$A1191)/$E1191,"")</f>
        <v/>
      </c>
      <c r="K1191" s="6">
        <f>_xlfn.MINIFS('DETALLE CRONOLÓGICO'!$K$2:$K$4919,'DETALLE CRONOLÓGICO'!$A$2:$A$4919,$A1191)</f>
        <v/>
      </c>
      <c r="L1191" s="6">
        <f>_xlfn.MAXIFS('DETALLE CRONOLÓGICO'!$K$2:$K$4919,'DETALLE CRONOLÓGICO'!$A$2:$A$4919,$A1191)</f>
        <v/>
      </c>
      <c r="M1191" s="6">
        <f>INDEX('DETALLE CRONOLÓGICO'!$K$2:$K$4919,MATCH($A1191,'DETALLE CRONOLÓGICO'!$A$2:$A$4919,0)+$E1191-1)</f>
        <v/>
      </c>
      <c r="N1191" s="7">
        <f>IFERROR($M1191/INDEX('DETALLE CRONOLÓGICO'!$K$2:$K$4919,MATCH($A1191,'DETALLE CRONOLÓGICO'!$A$2:$A$4919,0))-1,"")</f>
        <v/>
      </c>
      <c r="O1191" s="6">
        <f>IFERROR($I1191*3,"")</f>
        <v/>
      </c>
      <c r="P1191" s="6">
        <f>IFERROR($I1191*3.5,"")</f>
        <v/>
      </c>
      <c r="Q1191" s="6">
        <f>IFERROR($I1191*4,"")</f>
        <v/>
      </c>
      <c r="R1191" s="6" t="n">
        <v>1099</v>
      </c>
      <c r="S1191" s="4" t="n">
        <v>4</v>
      </c>
      <c r="T1191" s="1" t="inlineStr">
        <is>
          <t>active</t>
        </is>
      </c>
      <c r="U1191" s="8" t="n"/>
      <c r="V1191" s="1" t="inlineStr">
        <is>
          <t>SIN PRECIO</t>
        </is>
      </c>
    </row>
    <row r="1192">
      <c r="A1192" s="1" t="inlineStr">
        <is>
          <t>63ebdf9b7c339</t>
        </is>
      </c>
      <c r="B1192" s="1" t="inlineStr">
        <is>
          <t>PULSERA LOVE DELGADA GOLD CON MICRO ZIRCONIAS</t>
        </is>
      </c>
      <c r="C1192" s="1" t="inlineStr">
        <is>
          <t>20 cm</t>
        </is>
      </c>
      <c r="D1192" s="1" t="inlineStr">
        <is>
          <t>HAIFENG</t>
        </is>
      </c>
      <c r="E1192" s="4">
        <f>COUNTIF('DETALLE CRONOLÓGICO'!$A$2:$A$4919,$A1192)</f>
        <v/>
      </c>
      <c r="F1192" s="4">
        <f>SUMIFS('DETALLE CRONOLÓGICO'!$I$2:$I$4919,'DETALLE CRONOLÓGICO'!$A$2:$A$4919,$A1192)</f>
        <v/>
      </c>
      <c r="G1192" s="1">
        <f>INDEX('DETALLE CRONOLÓGICO'!$D$2:$D$4919,MATCH($A1192,'DETALLE CRONOLÓGICO'!$A$2:$A$4919,0))</f>
        <v/>
      </c>
      <c r="H1192" s="1">
        <f>INDEX('DETALLE CRONOLÓGICO'!$D$2:$D$4919,MATCH($A1192,'DETALLE CRONOLÓGICO'!$A$2:$A$4919,0)+$E1192-1)</f>
        <v/>
      </c>
      <c r="I1192" s="5">
        <f>IFERROR(SUMIFS('DETALLE CRONOLÓGICO'!$L$2:$L$4919,'DETALLE CRONOLÓGICO'!$A$2:$A$4919,$A1192)/$F1192,"")</f>
        <v/>
      </c>
      <c r="J1192" s="6">
        <f>IFERROR(SUMIFS('DETALLE CRONOLÓGICO'!$K$2:$K$4919,'DETALLE CRONOLÓGICO'!$A$2:$A$4919,$A1192)/$E1192,"")</f>
        <v/>
      </c>
      <c r="K1192" s="6">
        <f>_xlfn.MINIFS('DETALLE CRONOLÓGICO'!$K$2:$K$4919,'DETALLE CRONOLÓGICO'!$A$2:$A$4919,$A1192)</f>
        <v/>
      </c>
      <c r="L1192" s="6">
        <f>_xlfn.MAXIFS('DETALLE CRONOLÓGICO'!$K$2:$K$4919,'DETALLE CRONOLÓGICO'!$A$2:$A$4919,$A1192)</f>
        <v/>
      </c>
      <c r="M1192" s="6">
        <f>INDEX('DETALLE CRONOLÓGICO'!$K$2:$K$4919,MATCH($A1192,'DETALLE CRONOLÓGICO'!$A$2:$A$4919,0)+$E1192-1)</f>
        <v/>
      </c>
      <c r="N1192" s="7">
        <f>IFERROR($M1192/INDEX('DETALLE CRONOLÓGICO'!$K$2:$K$4919,MATCH($A1192,'DETALLE CRONOLÓGICO'!$A$2:$A$4919,0))-1,"")</f>
        <v/>
      </c>
      <c r="O1192" s="6">
        <f>IFERROR($I1192*3,"")</f>
        <v/>
      </c>
      <c r="P1192" s="6">
        <f>IFERROR($I1192*3.5,"")</f>
        <v/>
      </c>
      <c r="Q1192" s="6">
        <f>IFERROR($I1192*4,"")</f>
        <v/>
      </c>
      <c r="R1192" s="6" t="n">
        <v>1099</v>
      </c>
      <c r="S1192" s="4" t="n">
        <v>0</v>
      </c>
      <c r="T1192" s="1" t="inlineStr">
        <is>
          <t>active</t>
        </is>
      </c>
      <c r="U1192" s="8" t="n"/>
      <c r="V1192" s="1" t="inlineStr">
        <is>
          <t>SIN PRECIO</t>
        </is>
      </c>
    </row>
    <row r="1193">
      <c r="A1193" s="1" t="inlineStr">
        <is>
          <t>63ebe022e73ea</t>
        </is>
      </c>
      <c r="B1193" s="1" t="inlineStr">
        <is>
          <t>PULSERA SERPENTI ROSE GOLD CON ZIRCONIA</t>
        </is>
      </c>
      <c r="C1193" s="1" t="inlineStr">
        <is>
          <t>18 cm</t>
        </is>
      </c>
      <c r="D1193" s="1" t="inlineStr">
        <is>
          <t>CYNTHIA</t>
        </is>
      </c>
      <c r="E1193" s="4">
        <f>COUNTIF('DETALLE CRONOLÓGICO'!$A$2:$A$4919,$A1193)</f>
        <v/>
      </c>
      <c r="F1193" s="4">
        <f>SUMIFS('DETALLE CRONOLÓGICO'!$I$2:$I$4919,'DETALLE CRONOLÓGICO'!$A$2:$A$4919,$A1193)</f>
        <v/>
      </c>
      <c r="G1193" s="1">
        <f>INDEX('DETALLE CRONOLÓGICO'!$D$2:$D$4919,MATCH($A1193,'DETALLE CRONOLÓGICO'!$A$2:$A$4919,0))</f>
        <v/>
      </c>
      <c r="H1193" s="1">
        <f>INDEX('DETALLE CRONOLÓGICO'!$D$2:$D$4919,MATCH($A1193,'DETALLE CRONOLÓGICO'!$A$2:$A$4919,0)+$E1193-1)</f>
        <v/>
      </c>
      <c r="I1193" s="5">
        <f>IFERROR(SUMIFS('DETALLE CRONOLÓGICO'!$L$2:$L$4919,'DETALLE CRONOLÓGICO'!$A$2:$A$4919,$A1193)/$F1193,"")</f>
        <v/>
      </c>
      <c r="J1193" s="6">
        <f>IFERROR(SUMIFS('DETALLE CRONOLÓGICO'!$K$2:$K$4919,'DETALLE CRONOLÓGICO'!$A$2:$A$4919,$A1193)/$E1193,"")</f>
        <v/>
      </c>
      <c r="K1193" s="6">
        <f>_xlfn.MINIFS('DETALLE CRONOLÓGICO'!$K$2:$K$4919,'DETALLE CRONOLÓGICO'!$A$2:$A$4919,$A1193)</f>
        <v/>
      </c>
      <c r="L1193" s="6">
        <f>_xlfn.MAXIFS('DETALLE CRONOLÓGICO'!$K$2:$K$4919,'DETALLE CRONOLÓGICO'!$A$2:$A$4919,$A1193)</f>
        <v/>
      </c>
      <c r="M1193" s="6">
        <f>INDEX('DETALLE CRONOLÓGICO'!$K$2:$K$4919,MATCH($A1193,'DETALLE CRONOLÓGICO'!$A$2:$A$4919,0)+$E1193-1)</f>
        <v/>
      </c>
      <c r="N1193" s="7">
        <f>IFERROR($M1193/INDEX('DETALLE CRONOLÓGICO'!$K$2:$K$4919,MATCH($A1193,'DETALLE CRONOLÓGICO'!$A$2:$A$4919,0))-1,"")</f>
        <v/>
      </c>
      <c r="O1193" s="6">
        <f>IFERROR($I1193*3,"")</f>
        <v/>
      </c>
      <c r="P1193" s="6">
        <f>IFERROR($I1193*3.5,"")</f>
        <v/>
      </c>
      <c r="Q1193" s="6">
        <f>IFERROR($I1193*4,"")</f>
        <v/>
      </c>
      <c r="R1193" s="6" t="n">
        <v>1499</v>
      </c>
      <c r="S1193" s="4" t="n">
        <v>1</v>
      </c>
      <c r="T1193" s="1" t="inlineStr">
        <is>
          <t>active</t>
        </is>
      </c>
      <c r="U1193" s="8" t="n"/>
      <c r="V1193" s="1" t="inlineStr">
        <is>
          <t>SIN PRECIO</t>
        </is>
      </c>
    </row>
    <row r="1194">
      <c r="A1194" s="1" t="inlineStr">
        <is>
          <t>63ebe0260e034</t>
        </is>
      </c>
      <c r="B1194" s="1" t="inlineStr">
        <is>
          <t>PULSERA SERPENTI SILVER CON ZIRCONIA</t>
        </is>
      </c>
      <c r="C1194" s="1" t="inlineStr">
        <is>
          <t>18 cm</t>
        </is>
      </c>
      <c r="D1194" s="1" t="inlineStr">
        <is>
          <t>CYNTHIA</t>
        </is>
      </c>
      <c r="E1194" s="4">
        <f>COUNTIF('DETALLE CRONOLÓGICO'!$A$2:$A$4919,$A1194)</f>
        <v/>
      </c>
      <c r="F1194" s="4">
        <f>SUMIFS('DETALLE CRONOLÓGICO'!$I$2:$I$4919,'DETALLE CRONOLÓGICO'!$A$2:$A$4919,$A1194)</f>
        <v/>
      </c>
      <c r="G1194" s="1">
        <f>INDEX('DETALLE CRONOLÓGICO'!$D$2:$D$4919,MATCH($A1194,'DETALLE CRONOLÓGICO'!$A$2:$A$4919,0))</f>
        <v/>
      </c>
      <c r="H1194" s="1">
        <f>INDEX('DETALLE CRONOLÓGICO'!$D$2:$D$4919,MATCH($A1194,'DETALLE CRONOLÓGICO'!$A$2:$A$4919,0)+$E1194-1)</f>
        <v/>
      </c>
      <c r="I1194" s="5">
        <f>IFERROR(SUMIFS('DETALLE CRONOLÓGICO'!$L$2:$L$4919,'DETALLE CRONOLÓGICO'!$A$2:$A$4919,$A1194)/$F1194,"")</f>
        <v/>
      </c>
      <c r="J1194" s="6">
        <f>IFERROR(SUMIFS('DETALLE CRONOLÓGICO'!$K$2:$K$4919,'DETALLE CRONOLÓGICO'!$A$2:$A$4919,$A1194)/$E1194,"")</f>
        <v/>
      </c>
      <c r="K1194" s="6">
        <f>_xlfn.MINIFS('DETALLE CRONOLÓGICO'!$K$2:$K$4919,'DETALLE CRONOLÓGICO'!$A$2:$A$4919,$A1194)</f>
        <v/>
      </c>
      <c r="L1194" s="6">
        <f>_xlfn.MAXIFS('DETALLE CRONOLÓGICO'!$K$2:$K$4919,'DETALLE CRONOLÓGICO'!$A$2:$A$4919,$A1194)</f>
        <v/>
      </c>
      <c r="M1194" s="6">
        <f>INDEX('DETALLE CRONOLÓGICO'!$K$2:$K$4919,MATCH($A1194,'DETALLE CRONOLÓGICO'!$A$2:$A$4919,0)+$E1194-1)</f>
        <v/>
      </c>
      <c r="N1194" s="7">
        <f>IFERROR($M1194/INDEX('DETALLE CRONOLÓGICO'!$K$2:$K$4919,MATCH($A1194,'DETALLE CRONOLÓGICO'!$A$2:$A$4919,0))-1,"")</f>
        <v/>
      </c>
      <c r="O1194" s="6">
        <f>IFERROR($I1194*3,"")</f>
        <v/>
      </c>
      <c r="P1194" s="6">
        <f>IFERROR($I1194*3.5,"")</f>
        <v/>
      </c>
      <c r="Q1194" s="6">
        <f>IFERROR($I1194*4,"")</f>
        <v/>
      </c>
      <c r="R1194" s="6" t="n">
        <v>1435</v>
      </c>
      <c r="S1194" s="4" t="n">
        <v>0</v>
      </c>
      <c r="T1194" s="1" t="inlineStr">
        <is>
          <t>active</t>
        </is>
      </c>
      <c r="U1194" s="8" t="n"/>
      <c r="V1194" s="1" t="inlineStr">
        <is>
          <t>SIN PRECIO</t>
        </is>
      </c>
    </row>
    <row r="1195">
      <c r="A1195" s="1" t="inlineStr">
        <is>
          <t>63ebe03ea2adc</t>
        </is>
      </c>
      <c r="B1195" s="1" t="inlineStr">
        <is>
          <t>PULSERA V GOLD CON ZIRCONIA</t>
        </is>
      </c>
      <c r="C1195" s="1" t="inlineStr">
        <is>
          <t>18cm</t>
        </is>
      </c>
      <c r="D1195" s="1" t="inlineStr">
        <is>
          <t>NANCY</t>
        </is>
      </c>
      <c r="E1195" s="4">
        <f>COUNTIF('DETALLE CRONOLÓGICO'!$A$2:$A$4919,$A1195)</f>
        <v/>
      </c>
      <c r="F1195" s="4">
        <f>SUMIFS('DETALLE CRONOLÓGICO'!$I$2:$I$4919,'DETALLE CRONOLÓGICO'!$A$2:$A$4919,$A1195)</f>
        <v/>
      </c>
      <c r="G1195" s="1">
        <f>INDEX('DETALLE CRONOLÓGICO'!$D$2:$D$4919,MATCH($A1195,'DETALLE CRONOLÓGICO'!$A$2:$A$4919,0))</f>
        <v/>
      </c>
      <c r="H1195" s="1">
        <f>INDEX('DETALLE CRONOLÓGICO'!$D$2:$D$4919,MATCH($A1195,'DETALLE CRONOLÓGICO'!$A$2:$A$4919,0)+$E1195-1)</f>
        <v/>
      </c>
      <c r="I1195" s="5">
        <f>IFERROR(SUMIFS('DETALLE CRONOLÓGICO'!$L$2:$L$4919,'DETALLE CRONOLÓGICO'!$A$2:$A$4919,$A1195)/$F1195,"")</f>
        <v/>
      </c>
      <c r="J1195" s="6">
        <f>IFERROR(SUMIFS('DETALLE CRONOLÓGICO'!$K$2:$K$4919,'DETALLE CRONOLÓGICO'!$A$2:$A$4919,$A1195)/$E1195,"")</f>
        <v/>
      </c>
      <c r="K1195" s="6">
        <f>_xlfn.MINIFS('DETALLE CRONOLÓGICO'!$K$2:$K$4919,'DETALLE CRONOLÓGICO'!$A$2:$A$4919,$A1195)</f>
        <v/>
      </c>
      <c r="L1195" s="6">
        <f>_xlfn.MAXIFS('DETALLE CRONOLÓGICO'!$K$2:$K$4919,'DETALLE CRONOLÓGICO'!$A$2:$A$4919,$A1195)</f>
        <v/>
      </c>
      <c r="M1195" s="6">
        <f>INDEX('DETALLE CRONOLÓGICO'!$K$2:$K$4919,MATCH($A1195,'DETALLE CRONOLÓGICO'!$A$2:$A$4919,0)+$E1195-1)</f>
        <v/>
      </c>
      <c r="N1195" s="7">
        <f>IFERROR($M1195/INDEX('DETALLE CRONOLÓGICO'!$K$2:$K$4919,MATCH($A1195,'DETALLE CRONOLÓGICO'!$A$2:$A$4919,0))-1,"")</f>
        <v/>
      </c>
      <c r="O1195" s="6">
        <f>IFERROR($I1195*3,"")</f>
        <v/>
      </c>
      <c r="P1195" s="6">
        <f>IFERROR($I1195*3.5,"")</f>
        <v/>
      </c>
      <c r="Q1195" s="6">
        <f>IFERROR($I1195*4,"")</f>
        <v/>
      </c>
      <c r="R1195" s="6" t="n">
        <v>599</v>
      </c>
      <c r="S1195" s="4" t="n">
        <v>6</v>
      </c>
      <c r="T1195" s="1" t="inlineStr">
        <is>
          <t>active</t>
        </is>
      </c>
      <c r="U1195" s="8" t="n"/>
      <c r="V1195" s="1" t="inlineStr">
        <is>
          <t>SIN PRECIO</t>
        </is>
      </c>
    </row>
    <row r="1196">
      <c r="A1196" s="1" t="inlineStr">
        <is>
          <t>64085721001581</t>
        </is>
      </c>
      <c r="B1196" s="1" t="inlineStr">
        <is>
          <t>ARETES D’AMOUR XS GOLD C</t>
        </is>
      </c>
      <c r="C1196" s="1" t="inlineStr">
        <is>
          <t>Default Title</t>
        </is>
      </c>
      <c r="D1196" s="1" t="inlineStr">
        <is>
          <t>HAIFENG</t>
        </is>
      </c>
      <c r="E1196" s="4">
        <f>COUNTIF('DETALLE CRONOLÓGICO'!$A$2:$A$4919,$A1196)</f>
        <v/>
      </c>
      <c r="F1196" s="4">
        <f>SUMIFS('DETALLE CRONOLÓGICO'!$I$2:$I$4919,'DETALLE CRONOLÓGICO'!$A$2:$A$4919,$A1196)</f>
        <v/>
      </c>
      <c r="G1196" s="1">
        <f>INDEX('DETALLE CRONOLÓGICO'!$D$2:$D$4919,MATCH($A1196,'DETALLE CRONOLÓGICO'!$A$2:$A$4919,0))</f>
        <v/>
      </c>
      <c r="H1196" s="1">
        <f>INDEX('DETALLE CRONOLÓGICO'!$D$2:$D$4919,MATCH($A1196,'DETALLE CRONOLÓGICO'!$A$2:$A$4919,0)+$E1196-1)</f>
        <v/>
      </c>
      <c r="I1196" s="5">
        <f>IFERROR(SUMIFS('DETALLE CRONOLÓGICO'!$L$2:$L$4919,'DETALLE CRONOLÓGICO'!$A$2:$A$4919,$A1196)/$F1196,"")</f>
        <v/>
      </c>
      <c r="J1196" s="6">
        <f>IFERROR(SUMIFS('DETALLE CRONOLÓGICO'!$K$2:$K$4919,'DETALLE CRONOLÓGICO'!$A$2:$A$4919,$A1196)/$E1196,"")</f>
        <v/>
      </c>
      <c r="K1196" s="6">
        <f>_xlfn.MINIFS('DETALLE CRONOLÓGICO'!$K$2:$K$4919,'DETALLE CRONOLÓGICO'!$A$2:$A$4919,$A1196)</f>
        <v/>
      </c>
      <c r="L1196" s="6">
        <f>_xlfn.MAXIFS('DETALLE CRONOLÓGICO'!$K$2:$K$4919,'DETALLE CRONOLÓGICO'!$A$2:$A$4919,$A1196)</f>
        <v/>
      </c>
      <c r="M1196" s="6">
        <f>INDEX('DETALLE CRONOLÓGICO'!$K$2:$K$4919,MATCH($A1196,'DETALLE CRONOLÓGICO'!$A$2:$A$4919,0)+$E1196-1)</f>
        <v/>
      </c>
      <c r="N1196" s="7">
        <f>IFERROR($M1196/INDEX('DETALLE CRONOLÓGICO'!$K$2:$K$4919,MATCH($A1196,'DETALLE CRONOLÓGICO'!$A$2:$A$4919,0))-1,"")</f>
        <v/>
      </c>
      <c r="O1196" s="6">
        <f>IFERROR($I1196*3,"")</f>
        <v/>
      </c>
      <c r="P1196" s="6">
        <f>IFERROR($I1196*3.5,"")</f>
        <v/>
      </c>
      <c r="Q1196" s="6">
        <f>IFERROR($I1196*4,"")</f>
        <v/>
      </c>
      <c r="R1196" s="6" t="n">
        <v>500</v>
      </c>
      <c r="S1196" s="4" t="n">
        <v>2</v>
      </c>
      <c r="T1196" s="1" t="inlineStr">
        <is>
          <t>active</t>
        </is>
      </c>
      <c r="U1196" s="8" t="n"/>
      <c r="V1196" s="1" t="inlineStr">
        <is>
          <t>SIN PRECIO</t>
        </is>
      </c>
    </row>
    <row r="1197">
      <c r="A1197" s="1" t="inlineStr">
        <is>
          <t>64085741126029</t>
        </is>
      </c>
      <c r="B1197" s="1" t="inlineStr">
        <is>
          <t>ARETES PANTHERE GOLD C</t>
        </is>
      </c>
      <c r="C1197" s="1" t="inlineStr">
        <is>
          <t>Default Title</t>
        </is>
      </c>
      <c r="D1197" s="1" t="inlineStr">
        <is>
          <t>HAIFENG</t>
        </is>
      </c>
      <c r="E1197" s="4">
        <f>COUNTIF('DETALLE CRONOLÓGICO'!$A$2:$A$4919,$A1197)</f>
        <v/>
      </c>
      <c r="F1197" s="4">
        <f>SUMIFS('DETALLE CRONOLÓGICO'!$I$2:$I$4919,'DETALLE CRONOLÓGICO'!$A$2:$A$4919,$A1197)</f>
        <v/>
      </c>
      <c r="G1197" s="1">
        <f>INDEX('DETALLE CRONOLÓGICO'!$D$2:$D$4919,MATCH($A1197,'DETALLE CRONOLÓGICO'!$A$2:$A$4919,0))</f>
        <v/>
      </c>
      <c r="H1197" s="1">
        <f>INDEX('DETALLE CRONOLÓGICO'!$D$2:$D$4919,MATCH($A1197,'DETALLE CRONOLÓGICO'!$A$2:$A$4919,0)+$E1197-1)</f>
        <v/>
      </c>
      <c r="I1197" s="5">
        <f>IFERROR(SUMIFS('DETALLE CRONOLÓGICO'!$L$2:$L$4919,'DETALLE CRONOLÓGICO'!$A$2:$A$4919,$A1197)/$F1197,"")</f>
        <v/>
      </c>
      <c r="J1197" s="6">
        <f>IFERROR(SUMIFS('DETALLE CRONOLÓGICO'!$K$2:$K$4919,'DETALLE CRONOLÓGICO'!$A$2:$A$4919,$A1197)/$E1197,"")</f>
        <v/>
      </c>
      <c r="K1197" s="6">
        <f>_xlfn.MINIFS('DETALLE CRONOLÓGICO'!$K$2:$K$4919,'DETALLE CRONOLÓGICO'!$A$2:$A$4919,$A1197)</f>
        <v/>
      </c>
      <c r="L1197" s="6">
        <f>_xlfn.MAXIFS('DETALLE CRONOLÓGICO'!$K$2:$K$4919,'DETALLE CRONOLÓGICO'!$A$2:$A$4919,$A1197)</f>
        <v/>
      </c>
      <c r="M1197" s="6">
        <f>INDEX('DETALLE CRONOLÓGICO'!$K$2:$K$4919,MATCH($A1197,'DETALLE CRONOLÓGICO'!$A$2:$A$4919,0)+$E1197-1)</f>
        <v/>
      </c>
      <c r="N1197" s="7">
        <f>IFERROR($M1197/INDEX('DETALLE CRONOLÓGICO'!$K$2:$K$4919,MATCH($A1197,'DETALLE CRONOLÓGICO'!$A$2:$A$4919,0))-1,"")</f>
        <v/>
      </c>
      <c r="O1197" s="6">
        <f>IFERROR($I1197*3,"")</f>
        <v/>
      </c>
      <c r="P1197" s="6">
        <f>IFERROR($I1197*3.5,"")</f>
        <v/>
      </c>
      <c r="Q1197" s="6">
        <f>IFERROR($I1197*4,"")</f>
        <v/>
      </c>
      <c r="R1197" s="6" t="n">
        <v>499</v>
      </c>
      <c r="S1197" s="4" t="n">
        <v>3</v>
      </c>
      <c r="T1197" s="1" t="inlineStr">
        <is>
          <t>active</t>
        </is>
      </c>
      <c r="U1197" s="8" t="n"/>
      <c r="V1197" s="1" t="inlineStr">
        <is>
          <t>SIN PRECIO</t>
        </is>
      </c>
    </row>
    <row r="1198">
      <c r="A1198" s="1" t="inlineStr">
        <is>
          <t>64085741294285</t>
        </is>
      </c>
      <c r="B1198" s="1" t="inlineStr">
        <is>
          <t>ARETES CLASH GOLD C</t>
        </is>
      </c>
      <c r="C1198" s="1" t="inlineStr">
        <is>
          <t>Default Title</t>
        </is>
      </c>
      <c r="D1198" s="1" t="inlineStr">
        <is>
          <t>HAIFENG</t>
        </is>
      </c>
      <c r="E1198" s="4">
        <f>COUNTIF('DETALLE CRONOLÓGICO'!$A$2:$A$4919,$A1198)</f>
        <v/>
      </c>
      <c r="F1198" s="4">
        <f>SUMIFS('DETALLE CRONOLÓGICO'!$I$2:$I$4919,'DETALLE CRONOLÓGICO'!$A$2:$A$4919,$A1198)</f>
        <v/>
      </c>
      <c r="G1198" s="1">
        <f>INDEX('DETALLE CRONOLÓGICO'!$D$2:$D$4919,MATCH($A1198,'DETALLE CRONOLÓGICO'!$A$2:$A$4919,0))</f>
        <v/>
      </c>
      <c r="H1198" s="1">
        <f>INDEX('DETALLE CRONOLÓGICO'!$D$2:$D$4919,MATCH($A1198,'DETALLE CRONOLÓGICO'!$A$2:$A$4919,0)+$E1198-1)</f>
        <v/>
      </c>
      <c r="I1198" s="5">
        <f>IFERROR(SUMIFS('DETALLE CRONOLÓGICO'!$L$2:$L$4919,'DETALLE CRONOLÓGICO'!$A$2:$A$4919,$A1198)/$F1198,"")</f>
        <v/>
      </c>
      <c r="J1198" s="6">
        <f>IFERROR(SUMIFS('DETALLE CRONOLÓGICO'!$K$2:$K$4919,'DETALLE CRONOLÓGICO'!$A$2:$A$4919,$A1198)/$E1198,"")</f>
        <v/>
      </c>
      <c r="K1198" s="6">
        <f>_xlfn.MINIFS('DETALLE CRONOLÓGICO'!$K$2:$K$4919,'DETALLE CRONOLÓGICO'!$A$2:$A$4919,$A1198)</f>
        <v/>
      </c>
      <c r="L1198" s="6">
        <f>_xlfn.MAXIFS('DETALLE CRONOLÓGICO'!$K$2:$K$4919,'DETALLE CRONOLÓGICO'!$A$2:$A$4919,$A1198)</f>
        <v/>
      </c>
      <c r="M1198" s="6">
        <f>INDEX('DETALLE CRONOLÓGICO'!$K$2:$K$4919,MATCH($A1198,'DETALLE CRONOLÓGICO'!$A$2:$A$4919,0)+$E1198-1)</f>
        <v/>
      </c>
      <c r="N1198" s="7">
        <f>IFERROR($M1198/INDEX('DETALLE CRONOLÓGICO'!$K$2:$K$4919,MATCH($A1198,'DETALLE CRONOLÓGICO'!$A$2:$A$4919,0))-1,"")</f>
        <v/>
      </c>
      <c r="O1198" s="6">
        <f>IFERROR($I1198*3,"")</f>
        <v/>
      </c>
      <c r="P1198" s="6">
        <f>IFERROR($I1198*3.5,"")</f>
        <v/>
      </c>
      <c r="Q1198" s="6">
        <f>IFERROR($I1198*4,"")</f>
        <v/>
      </c>
      <c r="R1198" s="6" t="n">
        <v>750</v>
      </c>
      <c r="S1198" s="4" t="n">
        <v>6</v>
      </c>
      <c r="T1198" s="1" t="inlineStr">
        <is>
          <t>active</t>
        </is>
      </c>
      <c r="U1198" s="8" t="n"/>
      <c r="V1198" s="1" t="inlineStr">
        <is>
          <t>SIN PRECIO</t>
        </is>
      </c>
    </row>
    <row r="1199">
      <c r="A1199" s="1" t="inlineStr">
        <is>
          <t>64085741359693</t>
        </is>
      </c>
      <c r="B1199" s="1" t="inlineStr">
        <is>
          <t>ARETES CLASH ROSE GOLD C</t>
        </is>
      </c>
      <c r="C1199" s="1" t="inlineStr">
        <is>
          <t>Default Title</t>
        </is>
      </c>
      <c r="D1199" s="1" t="inlineStr">
        <is>
          <t>HAIFENG</t>
        </is>
      </c>
      <c r="E1199" s="4">
        <f>COUNTIF('DETALLE CRONOLÓGICO'!$A$2:$A$4919,$A1199)</f>
        <v/>
      </c>
      <c r="F1199" s="4">
        <f>SUMIFS('DETALLE CRONOLÓGICO'!$I$2:$I$4919,'DETALLE CRONOLÓGICO'!$A$2:$A$4919,$A1199)</f>
        <v/>
      </c>
      <c r="G1199" s="1">
        <f>INDEX('DETALLE CRONOLÓGICO'!$D$2:$D$4919,MATCH($A1199,'DETALLE CRONOLÓGICO'!$A$2:$A$4919,0))</f>
        <v/>
      </c>
      <c r="H1199" s="1">
        <f>INDEX('DETALLE CRONOLÓGICO'!$D$2:$D$4919,MATCH($A1199,'DETALLE CRONOLÓGICO'!$A$2:$A$4919,0)+$E1199-1)</f>
        <v/>
      </c>
      <c r="I1199" s="5">
        <f>IFERROR(SUMIFS('DETALLE CRONOLÓGICO'!$L$2:$L$4919,'DETALLE CRONOLÓGICO'!$A$2:$A$4919,$A1199)/$F1199,"")</f>
        <v/>
      </c>
      <c r="J1199" s="6">
        <f>IFERROR(SUMIFS('DETALLE CRONOLÓGICO'!$K$2:$K$4919,'DETALLE CRONOLÓGICO'!$A$2:$A$4919,$A1199)/$E1199,"")</f>
        <v/>
      </c>
      <c r="K1199" s="6">
        <f>_xlfn.MINIFS('DETALLE CRONOLÓGICO'!$K$2:$K$4919,'DETALLE CRONOLÓGICO'!$A$2:$A$4919,$A1199)</f>
        <v/>
      </c>
      <c r="L1199" s="6">
        <f>_xlfn.MAXIFS('DETALLE CRONOLÓGICO'!$K$2:$K$4919,'DETALLE CRONOLÓGICO'!$A$2:$A$4919,$A1199)</f>
        <v/>
      </c>
      <c r="M1199" s="6">
        <f>INDEX('DETALLE CRONOLÓGICO'!$K$2:$K$4919,MATCH($A1199,'DETALLE CRONOLÓGICO'!$A$2:$A$4919,0)+$E1199-1)</f>
        <v/>
      </c>
      <c r="N1199" s="7">
        <f>IFERROR($M1199/INDEX('DETALLE CRONOLÓGICO'!$K$2:$K$4919,MATCH($A1199,'DETALLE CRONOLÓGICO'!$A$2:$A$4919,0))-1,"")</f>
        <v/>
      </c>
      <c r="O1199" s="6">
        <f>IFERROR($I1199*3,"")</f>
        <v/>
      </c>
      <c r="P1199" s="6">
        <f>IFERROR($I1199*3.5,"")</f>
        <v/>
      </c>
      <c r="Q1199" s="6">
        <f>IFERROR($I1199*4,"")</f>
        <v/>
      </c>
      <c r="R1199" s="6" t="n">
        <v>742</v>
      </c>
      <c r="S1199" s="4" t="n">
        <v>5</v>
      </c>
      <c r="T1199" s="1" t="inlineStr">
        <is>
          <t>active</t>
        </is>
      </c>
      <c r="U1199" s="8" t="n"/>
      <c r="V1199" s="1" t="inlineStr">
        <is>
          <t>SIN PRECIO</t>
        </is>
      </c>
    </row>
    <row r="1200">
      <c r="A1200" s="1" t="inlineStr">
        <is>
          <t>64085741420077</t>
        </is>
      </c>
      <c r="B1200" s="1" t="inlineStr">
        <is>
          <t>ARETES CLASH SILVER C</t>
        </is>
      </c>
      <c r="C1200" s="1" t="inlineStr">
        <is>
          <t>Default Title</t>
        </is>
      </c>
      <c r="D1200" s="1" t="inlineStr">
        <is>
          <t>HAIFENG</t>
        </is>
      </c>
      <c r="E1200" s="4">
        <f>COUNTIF('DETALLE CRONOLÓGICO'!$A$2:$A$4919,$A1200)</f>
        <v/>
      </c>
      <c r="F1200" s="4">
        <f>SUMIFS('DETALLE CRONOLÓGICO'!$I$2:$I$4919,'DETALLE CRONOLÓGICO'!$A$2:$A$4919,$A1200)</f>
        <v/>
      </c>
      <c r="G1200" s="1">
        <f>INDEX('DETALLE CRONOLÓGICO'!$D$2:$D$4919,MATCH($A1200,'DETALLE CRONOLÓGICO'!$A$2:$A$4919,0))</f>
        <v/>
      </c>
      <c r="H1200" s="1">
        <f>INDEX('DETALLE CRONOLÓGICO'!$D$2:$D$4919,MATCH($A1200,'DETALLE CRONOLÓGICO'!$A$2:$A$4919,0)+$E1200-1)</f>
        <v/>
      </c>
      <c r="I1200" s="5">
        <f>IFERROR(SUMIFS('DETALLE CRONOLÓGICO'!$L$2:$L$4919,'DETALLE CRONOLÓGICO'!$A$2:$A$4919,$A1200)/$F1200,"")</f>
        <v/>
      </c>
      <c r="J1200" s="6">
        <f>IFERROR(SUMIFS('DETALLE CRONOLÓGICO'!$K$2:$K$4919,'DETALLE CRONOLÓGICO'!$A$2:$A$4919,$A1200)/$E1200,"")</f>
        <v/>
      </c>
      <c r="K1200" s="6">
        <f>_xlfn.MINIFS('DETALLE CRONOLÓGICO'!$K$2:$K$4919,'DETALLE CRONOLÓGICO'!$A$2:$A$4919,$A1200)</f>
        <v/>
      </c>
      <c r="L1200" s="6">
        <f>_xlfn.MAXIFS('DETALLE CRONOLÓGICO'!$K$2:$K$4919,'DETALLE CRONOLÓGICO'!$A$2:$A$4919,$A1200)</f>
        <v/>
      </c>
      <c r="M1200" s="6">
        <f>INDEX('DETALLE CRONOLÓGICO'!$K$2:$K$4919,MATCH($A1200,'DETALLE CRONOLÓGICO'!$A$2:$A$4919,0)+$E1200-1)</f>
        <v/>
      </c>
      <c r="N1200" s="7">
        <f>IFERROR($M1200/INDEX('DETALLE CRONOLÓGICO'!$K$2:$K$4919,MATCH($A1200,'DETALLE CRONOLÓGICO'!$A$2:$A$4919,0))-1,"")</f>
        <v/>
      </c>
      <c r="O1200" s="6">
        <f>IFERROR($I1200*3,"")</f>
        <v/>
      </c>
      <c r="P1200" s="6">
        <f>IFERROR($I1200*3.5,"")</f>
        <v/>
      </c>
      <c r="Q1200" s="6">
        <f>IFERROR($I1200*4,"")</f>
        <v/>
      </c>
      <c r="R1200" s="6" t="n">
        <v>750</v>
      </c>
      <c r="S1200" s="4" t="n">
        <v>4</v>
      </c>
      <c r="T1200" s="1" t="inlineStr">
        <is>
          <t>active</t>
        </is>
      </c>
      <c r="U1200" s="8" t="n"/>
      <c r="V1200" s="1" t="inlineStr">
        <is>
          <t>SIN PRECIO</t>
        </is>
      </c>
    </row>
    <row r="1201">
      <c r="A1201" s="1" t="inlineStr">
        <is>
          <t>64085741543021</t>
        </is>
      </c>
      <c r="B1201" s="1" t="inlineStr">
        <is>
          <t>ARETES LOVE CON MICRO ZIRCONIAS GOLD C</t>
        </is>
      </c>
      <c r="C1201" s="1" t="inlineStr">
        <is>
          <t>Default Title</t>
        </is>
      </c>
      <c r="D1201" s="1" t="inlineStr">
        <is>
          <t>HAIFENG</t>
        </is>
      </c>
      <c r="E1201" s="4">
        <f>COUNTIF('DETALLE CRONOLÓGICO'!$A$2:$A$4919,$A1201)</f>
        <v/>
      </c>
      <c r="F1201" s="4">
        <f>SUMIFS('DETALLE CRONOLÓGICO'!$I$2:$I$4919,'DETALLE CRONOLÓGICO'!$A$2:$A$4919,$A1201)</f>
        <v/>
      </c>
      <c r="G1201" s="1">
        <f>INDEX('DETALLE CRONOLÓGICO'!$D$2:$D$4919,MATCH($A1201,'DETALLE CRONOLÓGICO'!$A$2:$A$4919,0))</f>
        <v/>
      </c>
      <c r="H1201" s="1">
        <f>INDEX('DETALLE CRONOLÓGICO'!$D$2:$D$4919,MATCH($A1201,'DETALLE CRONOLÓGICO'!$A$2:$A$4919,0)+$E1201-1)</f>
        <v/>
      </c>
      <c r="I1201" s="5">
        <f>IFERROR(SUMIFS('DETALLE CRONOLÓGICO'!$L$2:$L$4919,'DETALLE CRONOLÓGICO'!$A$2:$A$4919,$A1201)/$F1201,"")</f>
        <v/>
      </c>
      <c r="J1201" s="6">
        <f>IFERROR(SUMIFS('DETALLE CRONOLÓGICO'!$K$2:$K$4919,'DETALLE CRONOLÓGICO'!$A$2:$A$4919,$A1201)/$E1201,"")</f>
        <v/>
      </c>
      <c r="K1201" s="6">
        <f>_xlfn.MINIFS('DETALLE CRONOLÓGICO'!$K$2:$K$4919,'DETALLE CRONOLÓGICO'!$A$2:$A$4919,$A1201)</f>
        <v/>
      </c>
      <c r="L1201" s="6">
        <f>_xlfn.MAXIFS('DETALLE CRONOLÓGICO'!$K$2:$K$4919,'DETALLE CRONOLÓGICO'!$A$2:$A$4919,$A1201)</f>
        <v/>
      </c>
      <c r="M1201" s="6">
        <f>INDEX('DETALLE CRONOLÓGICO'!$K$2:$K$4919,MATCH($A1201,'DETALLE CRONOLÓGICO'!$A$2:$A$4919,0)+$E1201-1)</f>
        <v/>
      </c>
      <c r="N1201" s="7">
        <f>IFERROR($M1201/INDEX('DETALLE CRONOLÓGICO'!$K$2:$K$4919,MATCH($A1201,'DETALLE CRONOLÓGICO'!$A$2:$A$4919,0))-1,"")</f>
        <v/>
      </c>
      <c r="O1201" s="6">
        <f>IFERROR($I1201*3,"")</f>
        <v/>
      </c>
      <c r="P1201" s="6">
        <f>IFERROR($I1201*3.5,"")</f>
        <v/>
      </c>
      <c r="Q1201" s="6">
        <f>IFERROR($I1201*4,"")</f>
        <v/>
      </c>
      <c r="R1201" s="6" t="n">
        <v>742</v>
      </c>
      <c r="S1201" s="4" t="n">
        <v>3</v>
      </c>
      <c r="T1201" s="1" t="inlineStr">
        <is>
          <t>active</t>
        </is>
      </c>
      <c r="U1201" s="8" t="n"/>
      <c r="V1201" s="1" t="inlineStr">
        <is>
          <t>SIN PRECIO</t>
        </is>
      </c>
    </row>
    <row r="1202">
      <c r="A1202" s="1" t="inlineStr">
        <is>
          <t>64085741631661</t>
        </is>
      </c>
      <c r="B1202" s="1" t="inlineStr">
        <is>
          <t>COLLAR SILVER BLACK C</t>
        </is>
      </c>
      <c r="C1202" s="1" t="inlineStr">
        <is>
          <t>Default Title</t>
        </is>
      </c>
      <c r="D1202" s="1" t="inlineStr">
        <is>
          <t>HAIFENG</t>
        </is>
      </c>
      <c r="E1202" s="4">
        <f>COUNTIF('DETALLE CRONOLÓGICO'!$A$2:$A$4919,$A1202)</f>
        <v/>
      </c>
      <c r="F1202" s="4">
        <f>SUMIFS('DETALLE CRONOLÓGICO'!$I$2:$I$4919,'DETALLE CRONOLÓGICO'!$A$2:$A$4919,$A1202)</f>
        <v/>
      </c>
      <c r="G1202" s="1">
        <f>INDEX('DETALLE CRONOLÓGICO'!$D$2:$D$4919,MATCH($A1202,'DETALLE CRONOLÓGICO'!$A$2:$A$4919,0))</f>
        <v/>
      </c>
      <c r="H1202" s="1">
        <f>INDEX('DETALLE CRONOLÓGICO'!$D$2:$D$4919,MATCH($A1202,'DETALLE CRONOLÓGICO'!$A$2:$A$4919,0)+$E1202-1)</f>
        <v/>
      </c>
      <c r="I1202" s="5">
        <f>IFERROR(SUMIFS('DETALLE CRONOLÓGICO'!$L$2:$L$4919,'DETALLE CRONOLÓGICO'!$A$2:$A$4919,$A1202)/$F1202,"")</f>
        <v/>
      </c>
      <c r="J1202" s="6">
        <f>IFERROR(SUMIFS('DETALLE CRONOLÓGICO'!$K$2:$K$4919,'DETALLE CRONOLÓGICO'!$A$2:$A$4919,$A1202)/$E1202,"")</f>
        <v/>
      </c>
      <c r="K1202" s="6">
        <f>_xlfn.MINIFS('DETALLE CRONOLÓGICO'!$K$2:$K$4919,'DETALLE CRONOLÓGICO'!$A$2:$A$4919,$A1202)</f>
        <v/>
      </c>
      <c r="L1202" s="6">
        <f>_xlfn.MAXIFS('DETALLE CRONOLÓGICO'!$K$2:$K$4919,'DETALLE CRONOLÓGICO'!$A$2:$A$4919,$A1202)</f>
        <v/>
      </c>
      <c r="M1202" s="6">
        <f>INDEX('DETALLE CRONOLÓGICO'!$K$2:$K$4919,MATCH($A1202,'DETALLE CRONOLÓGICO'!$A$2:$A$4919,0)+$E1202-1)</f>
        <v/>
      </c>
      <c r="N1202" s="7">
        <f>IFERROR($M1202/INDEX('DETALLE CRONOLÓGICO'!$K$2:$K$4919,MATCH($A1202,'DETALLE CRONOLÓGICO'!$A$2:$A$4919,0))-1,"")</f>
        <v/>
      </c>
      <c r="O1202" s="6">
        <f>IFERROR($I1202*3,"")</f>
        <v/>
      </c>
      <c r="P1202" s="6">
        <f>IFERROR($I1202*3.5,"")</f>
        <v/>
      </c>
      <c r="Q1202" s="6">
        <f>IFERROR($I1202*4,"")</f>
        <v/>
      </c>
      <c r="R1202" s="6" t="n">
        <v>577</v>
      </c>
      <c r="S1202" s="4" t="n">
        <v>3</v>
      </c>
      <c r="T1202" s="1" t="inlineStr">
        <is>
          <t>active</t>
        </is>
      </c>
      <c r="U1202" s="8" t="n"/>
      <c r="V1202" s="1" t="inlineStr">
        <is>
          <t>SIN PRECIO</t>
        </is>
      </c>
    </row>
    <row r="1203">
      <c r="A1203" s="1" t="inlineStr">
        <is>
          <t>64085741817357</t>
        </is>
      </c>
      <c r="B1203" s="1" t="inlineStr">
        <is>
          <t>COLLAR LOVE 3 AROS CON ZIRCONIA</t>
        </is>
      </c>
      <c r="C1203" s="1" t="inlineStr">
        <is>
          <t>Default Title</t>
        </is>
      </c>
      <c r="D1203" s="1" t="inlineStr">
        <is>
          <t>HAIFENG</t>
        </is>
      </c>
      <c r="E1203" s="4">
        <f>COUNTIF('DETALLE CRONOLÓGICO'!$A$2:$A$4919,$A1203)</f>
        <v/>
      </c>
      <c r="F1203" s="4">
        <f>SUMIFS('DETALLE CRONOLÓGICO'!$I$2:$I$4919,'DETALLE CRONOLÓGICO'!$A$2:$A$4919,$A1203)</f>
        <v/>
      </c>
      <c r="G1203" s="1">
        <f>INDEX('DETALLE CRONOLÓGICO'!$D$2:$D$4919,MATCH($A1203,'DETALLE CRONOLÓGICO'!$A$2:$A$4919,0))</f>
        <v/>
      </c>
      <c r="H1203" s="1">
        <f>INDEX('DETALLE CRONOLÓGICO'!$D$2:$D$4919,MATCH($A1203,'DETALLE CRONOLÓGICO'!$A$2:$A$4919,0)+$E1203-1)</f>
        <v/>
      </c>
      <c r="I1203" s="5">
        <f>IFERROR(SUMIFS('DETALLE CRONOLÓGICO'!$L$2:$L$4919,'DETALLE CRONOLÓGICO'!$A$2:$A$4919,$A1203)/$F1203,"")</f>
        <v/>
      </c>
      <c r="J1203" s="6">
        <f>IFERROR(SUMIFS('DETALLE CRONOLÓGICO'!$K$2:$K$4919,'DETALLE CRONOLÓGICO'!$A$2:$A$4919,$A1203)/$E1203,"")</f>
        <v/>
      </c>
      <c r="K1203" s="6">
        <f>_xlfn.MINIFS('DETALLE CRONOLÓGICO'!$K$2:$K$4919,'DETALLE CRONOLÓGICO'!$A$2:$A$4919,$A1203)</f>
        <v/>
      </c>
      <c r="L1203" s="6">
        <f>_xlfn.MAXIFS('DETALLE CRONOLÓGICO'!$K$2:$K$4919,'DETALLE CRONOLÓGICO'!$A$2:$A$4919,$A1203)</f>
        <v/>
      </c>
      <c r="M1203" s="6">
        <f>INDEX('DETALLE CRONOLÓGICO'!$K$2:$K$4919,MATCH($A1203,'DETALLE CRONOLÓGICO'!$A$2:$A$4919,0)+$E1203-1)</f>
        <v/>
      </c>
      <c r="N1203" s="7">
        <f>IFERROR($M1203/INDEX('DETALLE CRONOLÓGICO'!$K$2:$K$4919,MATCH($A1203,'DETALLE CRONOLÓGICO'!$A$2:$A$4919,0))-1,"")</f>
        <v/>
      </c>
      <c r="O1203" s="6">
        <f>IFERROR($I1203*3,"")</f>
        <v/>
      </c>
      <c r="P1203" s="6">
        <f>IFERROR($I1203*3.5,"")</f>
        <v/>
      </c>
      <c r="Q1203" s="6">
        <f>IFERROR($I1203*4,"")</f>
        <v/>
      </c>
      <c r="R1203" s="6" t="n">
        <v>577</v>
      </c>
      <c r="S1203" s="4" t="n">
        <v>5</v>
      </c>
      <c r="T1203" s="1" t="inlineStr">
        <is>
          <t>active</t>
        </is>
      </c>
      <c r="U1203" s="8" t="n"/>
      <c r="V1203" s="1" t="inlineStr">
        <is>
          <t>SIN PRECIO</t>
        </is>
      </c>
    </row>
    <row r="1204">
      <c r="A1204" s="1" t="inlineStr">
        <is>
          <t>64085741986765</t>
        </is>
      </c>
      <c r="B1204" s="1" t="inlineStr">
        <is>
          <t>COLLAR PANTHERE GOLD C</t>
        </is>
      </c>
      <c r="C1204" s="1" t="inlineStr">
        <is>
          <t>Default Title</t>
        </is>
      </c>
      <c r="D1204" s="1" t="inlineStr">
        <is>
          <t>HAIFENG</t>
        </is>
      </c>
      <c r="E1204" s="4">
        <f>COUNTIF('DETALLE CRONOLÓGICO'!$A$2:$A$4919,$A1204)</f>
        <v/>
      </c>
      <c r="F1204" s="4">
        <f>SUMIFS('DETALLE CRONOLÓGICO'!$I$2:$I$4919,'DETALLE CRONOLÓGICO'!$A$2:$A$4919,$A1204)</f>
        <v/>
      </c>
      <c r="G1204" s="1">
        <f>INDEX('DETALLE CRONOLÓGICO'!$D$2:$D$4919,MATCH($A1204,'DETALLE CRONOLÓGICO'!$A$2:$A$4919,0))</f>
        <v/>
      </c>
      <c r="H1204" s="1">
        <f>INDEX('DETALLE CRONOLÓGICO'!$D$2:$D$4919,MATCH($A1204,'DETALLE CRONOLÓGICO'!$A$2:$A$4919,0)+$E1204-1)</f>
        <v/>
      </c>
      <c r="I1204" s="5">
        <f>IFERROR(SUMIFS('DETALLE CRONOLÓGICO'!$L$2:$L$4919,'DETALLE CRONOLÓGICO'!$A$2:$A$4919,$A1204)/$F1204,"")</f>
        <v/>
      </c>
      <c r="J1204" s="6">
        <f>IFERROR(SUMIFS('DETALLE CRONOLÓGICO'!$K$2:$K$4919,'DETALLE CRONOLÓGICO'!$A$2:$A$4919,$A1204)/$E1204,"")</f>
        <v/>
      </c>
      <c r="K1204" s="6">
        <f>_xlfn.MINIFS('DETALLE CRONOLÓGICO'!$K$2:$K$4919,'DETALLE CRONOLÓGICO'!$A$2:$A$4919,$A1204)</f>
        <v/>
      </c>
      <c r="L1204" s="6">
        <f>_xlfn.MAXIFS('DETALLE CRONOLÓGICO'!$K$2:$K$4919,'DETALLE CRONOLÓGICO'!$A$2:$A$4919,$A1204)</f>
        <v/>
      </c>
      <c r="M1204" s="6">
        <f>INDEX('DETALLE CRONOLÓGICO'!$K$2:$K$4919,MATCH($A1204,'DETALLE CRONOLÓGICO'!$A$2:$A$4919,0)+$E1204-1)</f>
        <v/>
      </c>
      <c r="N1204" s="7">
        <f>IFERROR($M1204/INDEX('DETALLE CRONOLÓGICO'!$K$2:$K$4919,MATCH($A1204,'DETALLE CRONOLÓGICO'!$A$2:$A$4919,0))-1,"")</f>
        <v/>
      </c>
      <c r="O1204" s="6">
        <f>IFERROR($I1204*3,"")</f>
        <v/>
      </c>
      <c r="P1204" s="6">
        <f>IFERROR($I1204*3.5,"")</f>
        <v/>
      </c>
      <c r="Q1204" s="6">
        <f>IFERROR($I1204*4,"")</f>
        <v/>
      </c>
      <c r="R1204" s="6" t="n">
        <v>577</v>
      </c>
      <c r="S1204" s="4" t="n">
        <v>1</v>
      </c>
      <c r="T1204" s="1" t="inlineStr">
        <is>
          <t>active</t>
        </is>
      </c>
      <c r="U1204" s="8" t="n"/>
      <c r="V1204" s="1" t="inlineStr">
        <is>
          <t>SIN PRECIO</t>
        </is>
      </c>
    </row>
    <row r="1205">
      <c r="A1205" s="1" t="inlineStr">
        <is>
          <t>64085742023341</t>
        </is>
      </c>
      <c r="B1205" s="1" t="inlineStr">
        <is>
          <t>ANILLO VENDOME TRICOLOR C</t>
        </is>
      </c>
      <c r="C1205" s="1" t="inlineStr">
        <is>
          <t>5</t>
        </is>
      </c>
      <c r="D1205" s="1" t="inlineStr">
        <is>
          <t>HAIFENG</t>
        </is>
      </c>
      <c r="E1205" s="4">
        <f>COUNTIF('DETALLE CRONOLÓGICO'!$A$2:$A$4919,$A1205)</f>
        <v/>
      </c>
      <c r="F1205" s="4">
        <f>SUMIFS('DETALLE CRONOLÓGICO'!$I$2:$I$4919,'DETALLE CRONOLÓGICO'!$A$2:$A$4919,$A1205)</f>
        <v/>
      </c>
      <c r="G1205" s="1">
        <f>INDEX('DETALLE CRONOLÓGICO'!$D$2:$D$4919,MATCH($A1205,'DETALLE CRONOLÓGICO'!$A$2:$A$4919,0))</f>
        <v/>
      </c>
      <c r="H1205" s="1">
        <f>INDEX('DETALLE CRONOLÓGICO'!$D$2:$D$4919,MATCH($A1205,'DETALLE CRONOLÓGICO'!$A$2:$A$4919,0)+$E1205-1)</f>
        <v/>
      </c>
      <c r="I1205" s="5">
        <f>IFERROR(SUMIFS('DETALLE CRONOLÓGICO'!$L$2:$L$4919,'DETALLE CRONOLÓGICO'!$A$2:$A$4919,$A1205)/$F1205,"")</f>
        <v/>
      </c>
      <c r="J1205" s="6">
        <f>IFERROR(SUMIFS('DETALLE CRONOLÓGICO'!$K$2:$K$4919,'DETALLE CRONOLÓGICO'!$A$2:$A$4919,$A1205)/$E1205,"")</f>
        <v/>
      </c>
      <c r="K1205" s="6">
        <f>_xlfn.MINIFS('DETALLE CRONOLÓGICO'!$K$2:$K$4919,'DETALLE CRONOLÓGICO'!$A$2:$A$4919,$A1205)</f>
        <v/>
      </c>
      <c r="L1205" s="6">
        <f>_xlfn.MAXIFS('DETALLE CRONOLÓGICO'!$K$2:$K$4919,'DETALLE CRONOLÓGICO'!$A$2:$A$4919,$A1205)</f>
        <v/>
      </c>
      <c r="M1205" s="6">
        <f>INDEX('DETALLE CRONOLÓGICO'!$K$2:$K$4919,MATCH($A1205,'DETALLE CRONOLÓGICO'!$A$2:$A$4919,0)+$E1205-1)</f>
        <v/>
      </c>
      <c r="N1205" s="7">
        <f>IFERROR($M1205/INDEX('DETALLE CRONOLÓGICO'!$K$2:$K$4919,MATCH($A1205,'DETALLE CRONOLÓGICO'!$A$2:$A$4919,0))-1,"")</f>
        <v/>
      </c>
      <c r="O1205" s="6">
        <f>IFERROR($I1205*3,"")</f>
        <v/>
      </c>
      <c r="P1205" s="6">
        <f>IFERROR($I1205*3.5,"")</f>
        <v/>
      </c>
      <c r="Q1205" s="6">
        <f>IFERROR($I1205*4,"")</f>
        <v/>
      </c>
      <c r="R1205" s="6" t="n">
        <v>499</v>
      </c>
      <c r="S1205" s="4" t="n">
        <v>6</v>
      </c>
      <c r="T1205" s="1" t="inlineStr">
        <is>
          <t>active</t>
        </is>
      </c>
      <c r="U1205" s="8" t="n"/>
      <c r="V1205" s="1" t="inlineStr">
        <is>
          <t>SIN PRECIO</t>
        </is>
      </c>
    </row>
    <row r="1206">
      <c r="A1206" s="1" t="inlineStr">
        <is>
          <t>64085742114861</t>
        </is>
      </c>
      <c r="B1206" s="1" t="inlineStr">
        <is>
          <t>ANILLO VENDOME TRICOLOR C</t>
        </is>
      </c>
      <c r="C1206" s="1" t="inlineStr">
        <is>
          <t>6</t>
        </is>
      </c>
      <c r="D1206" s="1" t="inlineStr">
        <is>
          <t>HAIFENG</t>
        </is>
      </c>
      <c r="E1206" s="4">
        <f>COUNTIF('DETALLE CRONOLÓGICO'!$A$2:$A$4919,$A1206)</f>
        <v/>
      </c>
      <c r="F1206" s="4">
        <f>SUMIFS('DETALLE CRONOLÓGICO'!$I$2:$I$4919,'DETALLE CRONOLÓGICO'!$A$2:$A$4919,$A1206)</f>
        <v/>
      </c>
      <c r="G1206" s="1">
        <f>INDEX('DETALLE CRONOLÓGICO'!$D$2:$D$4919,MATCH($A1206,'DETALLE CRONOLÓGICO'!$A$2:$A$4919,0))</f>
        <v/>
      </c>
      <c r="H1206" s="1">
        <f>INDEX('DETALLE CRONOLÓGICO'!$D$2:$D$4919,MATCH($A1206,'DETALLE CRONOLÓGICO'!$A$2:$A$4919,0)+$E1206-1)</f>
        <v/>
      </c>
      <c r="I1206" s="5">
        <f>IFERROR(SUMIFS('DETALLE CRONOLÓGICO'!$L$2:$L$4919,'DETALLE CRONOLÓGICO'!$A$2:$A$4919,$A1206)/$F1206,"")</f>
        <v/>
      </c>
      <c r="J1206" s="6">
        <f>IFERROR(SUMIFS('DETALLE CRONOLÓGICO'!$K$2:$K$4919,'DETALLE CRONOLÓGICO'!$A$2:$A$4919,$A1206)/$E1206,"")</f>
        <v/>
      </c>
      <c r="K1206" s="6">
        <f>_xlfn.MINIFS('DETALLE CRONOLÓGICO'!$K$2:$K$4919,'DETALLE CRONOLÓGICO'!$A$2:$A$4919,$A1206)</f>
        <v/>
      </c>
      <c r="L1206" s="6">
        <f>_xlfn.MAXIFS('DETALLE CRONOLÓGICO'!$K$2:$K$4919,'DETALLE CRONOLÓGICO'!$A$2:$A$4919,$A1206)</f>
        <v/>
      </c>
      <c r="M1206" s="6">
        <f>INDEX('DETALLE CRONOLÓGICO'!$K$2:$K$4919,MATCH($A1206,'DETALLE CRONOLÓGICO'!$A$2:$A$4919,0)+$E1206-1)</f>
        <v/>
      </c>
      <c r="N1206" s="7">
        <f>IFERROR($M1206/INDEX('DETALLE CRONOLÓGICO'!$K$2:$K$4919,MATCH($A1206,'DETALLE CRONOLÓGICO'!$A$2:$A$4919,0))-1,"")</f>
        <v/>
      </c>
      <c r="O1206" s="6">
        <f>IFERROR($I1206*3,"")</f>
        <v/>
      </c>
      <c r="P1206" s="6">
        <f>IFERROR($I1206*3.5,"")</f>
        <v/>
      </c>
      <c r="Q1206" s="6">
        <f>IFERROR($I1206*4,"")</f>
        <v/>
      </c>
      <c r="R1206" s="6" t="n">
        <v>499</v>
      </c>
      <c r="S1206" s="4" t="n">
        <v>2</v>
      </c>
      <c r="T1206" s="1" t="inlineStr">
        <is>
          <t>active</t>
        </is>
      </c>
      <c r="U1206" s="8" t="n"/>
      <c r="V1206" s="1" t="inlineStr">
        <is>
          <t>SIN PRECIO</t>
        </is>
      </c>
    </row>
    <row r="1207">
      <c r="A1207" s="1" t="inlineStr">
        <is>
          <t>64085742247629</t>
        </is>
      </c>
      <c r="B1207" s="1" t="inlineStr">
        <is>
          <t>ANILLO VENDOME TRICOLOR C</t>
        </is>
      </c>
      <c r="C1207" s="1" t="inlineStr">
        <is>
          <t>7</t>
        </is>
      </c>
      <c r="D1207" s="1" t="inlineStr">
        <is>
          <t>HAIFENG</t>
        </is>
      </c>
      <c r="E1207" s="4">
        <f>COUNTIF('DETALLE CRONOLÓGICO'!$A$2:$A$4919,$A1207)</f>
        <v/>
      </c>
      <c r="F1207" s="4">
        <f>SUMIFS('DETALLE CRONOLÓGICO'!$I$2:$I$4919,'DETALLE CRONOLÓGICO'!$A$2:$A$4919,$A1207)</f>
        <v/>
      </c>
      <c r="G1207" s="1">
        <f>INDEX('DETALLE CRONOLÓGICO'!$D$2:$D$4919,MATCH($A1207,'DETALLE CRONOLÓGICO'!$A$2:$A$4919,0))</f>
        <v/>
      </c>
      <c r="H1207" s="1">
        <f>INDEX('DETALLE CRONOLÓGICO'!$D$2:$D$4919,MATCH($A1207,'DETALLE CRONOLÓGICO'!$A$2:$A$4919,0)+$E1207-1)</f>
        <v/>
      </c>
      <c r="I1207" s="5">
        <f>IFERROR(SUMIFS('DETALLE CRONOLÓGICO'!$L$2:$L$4919,'DETALLE CRONOLÓGICO'!$A$2:$A$4919,$A1207)/$F1207,"")</f>
        <v/>
      </c>
      <c r="J1207" s="6">
        <f>IFERROR(SUMIFS('DETALLE CRONOLÓGICO'!$K$2:$K$4919,'DETALLE CRONOLÓGICO'!$A$2:$A$4919,$A1207)/$E1207,"")</f>
        <v/>
      </c>
      <c r="K1207" s="6">
        <f>_xlfn.MINIFS('DETALLE CRONOLÓGICO'!$K$2:$K$4919,'DETALLE CRONOLÓGICO'!$A$2:$A$4919,$A1207)</f>
        <v/>
      </c>
      <c r="L1207" s="6">
        <f>_xlfn.MAXIFS('DETALLE CRONOLÓGICO'!$K$2:$K$4919,'DETALLE CRONOLÓGICO'!$A$2:$A$4919,$A1207)</f>
        <v/>
      </c>
      <c r="M1207" s="6">
        <f>INDEX('DETALLE CRONOLÓGICO'!$K$2:$K$4919,MATCH($A1207,'DETALLE CRONOLÓGICO'!$A$2:$A$4919,0)+$E1207-1)</f>
        <v/>
      </c>
      <c r="N1207" s="7">
        <f>IFERROR($M1207/INDEX('DETALLE CRONOLÓGICO'!$K$2:$K$4919,MATCH($A1207,'DETALLE CRONOLÓGICO'!$A$2:$A$4919,0))-1,"")</f>
        <v/>
      </c>
      <c r="O1207" s="6">
        <f>IFERROR($I1207*3,"")</f>
        <v/>
      </c>
      <c r="P1207" s="6">
        <f>IFERROR($I1207*3.5,"")</f>
        <v/>
      </c>
      <c r="Q1207" s="6">
        <f>IFERROR($I1207*4,"")</f>
        <v/>
      </c>
      <c r="R1207" s="6" t="n">
        <v>499</v>
      </c>
      <c r="S1207" s="4" t="n">
        <v>6</v>
      </c>
      <c r="T1207" s="1" t="inlineStr">
        <is>
          <t>active</t>
        </is>
      </c>
      <c r="U1207" s="8" t="n"/>
      <c r="V1207" s="1" t="inlineStr">
        <is>
          <t>SIN PRECIO</t>
        </is>
      </c>
    </row>
    <row r="1208">
      <c r="A1208" s="1" t="inlineStr">
        <is>
          <t>64085742311277</t>
        </is>
      </c>
      <c r="B1208" s="1" t="inlineStr">
        <is>
          <t>ANILLO ALLIANCE CON ZIRCONIA C</t>
        </is>
      </c>
      <c r="C1208" s="1" t="inlineStr">
        <is>
          <t>5</t>
        </is>
      </c>
      <c r="D1208" s="1" t="inlineStr">
        <is>
          <t>HAIFENG</t>
        </is>
      </c>
      <c r="E1208" s="4">
        <f>COUNTIF('DETALLE CRONOLÓGICO'!$A$2:$A$4919,$A1208)</f>
        <v/>
      </c>
      <c r="F1208" s="4">
        <f>SUMIFS('DETALLE CRONOLÓGICO'!$I$2:$I$4919,'DETALLE CRONOLÓGICO'!$A$2:$A$4919,$A1208)</f>
        <v/>
      </c>
      <c r="G1208" s="1">
        <f>INDEX('DETALLE CRONOLÓGICO'!$D$2:$D$4919,MATCH($A1208,'DETALLE CRONOLÓGICO'!$A$2:$A$4919,0))</f>
        <v/>
      </c>
      <c r="H1208" s="1">
        <f>INDEX('DETALLE CRONOLÓGICO'!$D$2:$D$4919,MATCH($A1208,'DETALLE CRONOLÓGICO'!$A$2:$A$4919,0)+$E1208-1)</f>
        <v/>
      </c>
      <c r="I1208" s="5">
        <f>IFERROR(SUMIFS('DETALLE CRONOLÓGICO'!$L$2:$L$4919,'DETALLE CRONOLÓGICO'!$A$2:$A$4919,$A1208)/$F1208,"")</f>
        <v/>
      </c>
      <c r="J1208" s="6">
        <f>IFERROR(SUMIFS('DETALLE CRONOLÓGICO'!$K$2:$K$4919,'DETALLE CRONOLÓGICO'!$A$2:$A$4919,$A1208)/$E1208,"")</f>
        <v/>
      </c>
      <c r="K1208" s="6">
        <f>_xlfn.MINIFS('DETALLE CRONOLÓGICO'!$K$2:$K$4919,'DETALLE CRONOLÓGICO'!$A$2:$A$4919,$A1208)</f>
        <v/>
      </c>
      <c r="L1208" s="6">
        <f>_xlfn.MAXIFS('DETALLE CRONOLÓGICO'!$K$2:$K$4919,'DETALLE CRONOLÓGICO'!$A$2:$A$4919,$A1208)</f>
        <v/>
      </c>
      <c r="M1208" s="6">
        <f>INDEX('DETALLE CRONOLÓGICO'!$K$2:$K$4919,MATCH($A1208,'DETALLE CRONOLÓGICO'!$A$2:$A$4919,0)+$E1208-1)</f>
        <v/>
      </c>
      <c r="N1208" s="7">
        <f>IFERROR($M1208/INDEX('DETALLE CRONOLÓGICO'!$K$2:$K$4919,MATCH($A1208,'DETALLE CRONOLÓGICO'!$A$2:$A$4919,0))-1,"")</f>
        <v/>
      </c>
      <c r="O1208" s="6">
        <f>IFERROR($I1208*3,"")</f>
        <v/>
      </c>
      <c r="P1208" s="6">
        <f>IFERROR($I1208*3.5,"")</f>
        <v/>
      </c>
      <c r="Q1208" s="6">
        <f>IFERROR($I1208*4,"")</f>
        <v/>
      </c>
      <c r="R1208" s="6" t="n">
        <v>292</v>
      </c>
      <c r="S1208" s="4" t="n">
        <v>4</v>
      </c>
      <c r="T1208" s="1" t="inlineStr">
        <is>
          <t>active</t>
        </is>
      </c>
      <c r="U1208" s="8" t="n"/>
      <c r="V1208" s="1" t="inlineStr">
        <is>
          <t>SIN PRECIO</t>
        </is>
      </c>
    </row>
    <row r="1209">
      <c r="A1209" s="1" t="inlineStr">
        <is>
          <t>64085742444045</t>
        </is>
      </c>
      <c r="B1209" s="1" t="inlineStr">
        <is>
          <t>ANILLO ALLIANCE CON ZIRCONIA C</t>
        </is>
      </c>
      <c r="C1209" s="1" t="inlineStr">
        <is>
          <t>6</t>
        </is>
      </c>
      <c r="D1209" s="1" t="inlineStr">
        <is>
          <t>HAIFENG</t>
        </is>
      </c>
      <c r="E1209" s="4">
        <f>COUNTIF('DETALLE CRONOLÓGICO'!$A$2:$A$4919,$A1209)</f>
        <v/>
      </c>
      <c r="F1209" s="4">
        <f>SUMIFS('DETALLE CRONOLÓGICO'!$I$2:$I$4919,'DETALLE CRONOLÓGICO'!$A$2:$A$4919,$A1209)</f>
        <v/>
      </c>
      <c r="G1209" s="1">
        <f>INDEX('DETALLE CRONOLÓGICO'!$D$2:$D$4919,MATCH($A1209,'DETALLE CRONOLÓGICO'!$A$2:$A$4919,0))</f>
        <v/>
      </c>
      <c r="H1209" s="1">
        <f>INDEX('DETALLE CRONOLÓGICO'!$D$2:$D$4919,MATCH($A1209,'DETALLE CRONOLÓGICO'!$A$2:$A$4919,0)+$E1209-1)</f>
        <v/>
      </c>
      <c r="I1209" s="5">
        <f>IFERROR(SUMIFS('DETALLE CRONOLÓGICO'!$L$2:$L$4919,'DETALLE CRONOLÓGICO'!$A$2:$A$4919,$A1209)/$F1209,"")</f>
        <v/>
      </c>
      <c r="J1209" s="6">
        <f>IFERROR(SUMIFS('DETALLE CRONOLÓGICO'!$K$2:$K$4919,'DETALLE CRONOLÓGICO'!$A$2:$A$4919,$A1209)/$E1209,"")</f>
        <v/>
      </c>
      <c r="K1209" s="6">
        <f>_xlfn.MINIFS('DETALLE CRONOLÓGICO'!$K$2:$K$4919,'DETALLE CRONOLÓGICO'!$A$2:$A$4919,$A1209)</f>
        <v/>
      </c>
      <c r="L1209" s="6">
        <f>_xlfn.MAXIFS('DETALLE CRONOLÓGICO'!$K$2:$K$4919,'DETALLE CRONOLÓGICO'!$A$2:$A$4919,$A1209)</f>
        <v/>
      </c>
      <c r="M1209" s="6">
        <f>INDEX('DETALLE CRONOLÓGICO'!$K$2:$K$4919,MATCH($A1209,'DETALLE CRONOLÓGICO'!$A$2:$A$4919,0)+$E1209-1)</f>
        <v/>
      </c>
      <c r="N1209" s="7">
        <f>IFERROR($M1209/INDEX('DETALLE CRONOLÓGICO'!$K$2:$K$4919,MATCH($A1209,'DETALLE CRONOLÓGICO'!$A$2:$A$4919,0))-1,"")</f>
        <v/>
      </c>
      <c r="O1209" s="6">
        <f>IFERROR($I1209*3,"")</f>
        <v/>
      </c>
      <c r="P1209" s="6">
        <f>IFERROR($I1209*3.5,"")</f>
        <v/>
      </c>
      <c r="Q1209" s="6">
        <f>IFERROR($I1209*4,"")</f>
        <v/>
      </c>
      <c r="R1209" s="6" t="n">
        <v>450</v>
      </c>
      <c r="S1209" s="4" t="n">
        <v>3</v>
      </c>
      <c r="T1209" s="1" t="inlineStr">
        <is>
          <t>active</t>
        </is>
      </c>
      <c r="U1209" s="8" t="n"/>
      <c r="V1209" s="1" t="inlineStr">
        <is>
          <t>SIN PRECIO</t>
        </is>
      </c>
    </row>
    <row r="1210">
      <c r="A1210" s="1" t="inlineStr">
        <is>
          <t>64085742576813</t>
        </is>
      </c>
      <c r="B1210" s="1" t="inlineStr">
        <is>
          <t>ANILLO ALLIANCE CON ZIRCONIA ROSE GOLD C</t>
        </is>
      </c>
      <c r="C1210" s="1" t="inlineStr">
        <is>
          <t>7</t>
        </is>
      </c>
      <c r="D1210" s="1" t="inlineStr">
        <is>
          <t>HAIFENG</t>
        </is>
      </c>
      <c r="E1210" s="4">
        <f>COUNTIF('DETALLE CRONOLÓGICO'!$A$2:$A$4919,$A1210)</f>
        <v/>
      </c>
      <c r="F1210" s="4">
        <f>SUMIFS('DETALLE CRONOLÓGICO'!$I$2:$I$4919,'DETALLE CRONOLÓGICO'!$A$2:$A$4919,$A1210)</f>
        <v/>
      </c>
      <c r="G1210" s="1">
        <f>INDEX('DETALLE CRONOLÓGICO'!$D$2:$D$4919,MATCH($A1210,'DETALLE CRONOLÓGICO'!$A$2:$A$4919,0))</f>
        <v/>
      </c>
      <c r="H1210" s="1">
        <f>INDEX('DETALLE CRONOLÓGICO'!$D$2:$D$4919,MATCH($A1210,'DETALLE CRONOLÓGICO'!$A$2:$A$4919,0)+$E1210-1)</f>
        <v/>
      </c>
      <c r="I1210" s="5">
        <f>IFERROR(SUMIFS('DETALLE CRONOLÓGICO'!$L$2:$L$4919,'DETALLE CRONOLÓGICO'!$A$2:$A$4919,$A1210)/$F1210,"")</f>
        <v/>
      </c>
      <c r="J1210" s="6">
        <f>IFERROR(SUMIFS('DETALLE CRONOLÓGICO'!$K$2:$K$4919,'DETALLE CRONOLÓGICO'!$A$2:$A$4919,$A1210)/$E1210,"")</f>
        <v/>
      </c>
      <c r="K1210" s="6">
        <f>_xlfn.MINIFS('DETALLE CRONOLÓGICO'!$K$2:$K$4919,'DETALLE CRONOLÓGICO'!$A$2:$A$4919,$A1210)</f>
        <v/>
      </c>
      <c r="L1210" s="6">
        <f>_xlfn.MAXIFS('DETALLE CRONOLÓGICO'!$K$2:$K$4919,'DETALLE CRONOLÓGICO'!$A$2:$A$4919,$A1210)</f>
        <v/>
      </c>
      <c r="M1210" s="6">
        <f>INDEX('DETALLE CRONOLÓGICO'!$K$2:$K$4919,MATCH($A1210,'DETALLE CRONOLÓGICO'!$A$2:$A$4919,0)+$E1210-1)</f>
        <v/>
      </c>
      <c r="N1210" s="7">
        <f>IFERROR($M1210/INDEX('DETALLE CRONOLÓGICO'!$K$2:$K$4919,MATCH($A1210,'DETALLE CRONOLÓGICO'!$A$2:$A$4919,0))-1,"")</f>
        <v/>
      </c>
      <c r="O1210" s="6">
        <f>IFERROR($I1210*3,"")</f>
        <v/>
      </c>
      <c r="P1210" s="6">
        <f>IFERROR($I1210*3.5,"")</f>
        <v/>
      </c>
      <c r="Q1210" s="6">
        <f>IFERROR($I1210*4,"")</f>
        <v/>
      </c>
      <c r="R1210" s="6" t="n">
        <v>450</v>
      </c>
      <c r="S1210" s="4" t="n">
        <v>1</v>
      </c>
      <c r="T1210" s="1" t="inlineStr">
        <is>
          <t>active</t>
        </is>
      </c>
      <c r="U1210" s="8" t="n"/>
      <c r="V1210" s="1" t="inlineStr">
        <is>
          <t>SIN PRECIO</t>
        </is>
      </c>
    </row>
    <row r="1211">
      <c r="A1211" s="1" t="inlineStr">
        <is>
          <t>64085742794061</t>
        </is>
      </c>
      <c r="B1211" s="1" t="inlineStr">
        <is>
          <t>ANILLO ALLIANCE ROSE GOLD C</t>
        </is>
      </c>
      <c r="C1211" s="1" t="inlineStr">
        <is>
          <t>6</t>
        </is>
      </c>
      <c r="D1211" s="1" t="inlineStr">
        <is>
          <t>HAIFENG</t>
        </is>
      </c>
      <c r="E1211" s="4">
        <f>COUNTIF('DETALLE CRONOLÓGICO'!$A$2:$A$4919,$A1211)</f>
        <v/>
      </c>
      <c r="F1211" s="4">
        <f>SUMIFS('DETALLE CRONOLÓGICO'!$I$2:$I$4919,'DETALLE CRONOLÓGICO'!$A$2:$A$4919,$A1211)</f>
        <v/>
      </c>
      <c r="G1211" s="1">
        <f>INDEX('DETALLE CRONOLÓGICO'!$D$2:$D$4919,MATCH($A1211,'DETALLE CRONOLÓGICO'!$A$2:$A$4919,0))</f>
        <v/>
      </c>
      <c r="H1211" s="1">
        <f>INDEX('DETALLE CRONOLÓGICO'!$D$2:$D$4919,MATCH($A1211,'DETALLE CRONOLÓGICO'!$A$2:$A$4919,0)+$E1211-1)</f>
        <v/>
      </c>
      <c r="I1211" s="5">
        <f>IFERROR(SUMIFS('DETALLE CRONOLÓGICO'!$L$2:$L$4919,'DETALLE CRONOLÓGICO'!$A$2:$A$4919,$A1211)/$F1211,"")</f>
        <v/>
      </c>
      <c r="J1211" s="6">
        <f>IFERROR(SUMIFS('DETALLE CRONOLÓGICO'!$K$2:$K$4919,'DETALLE CRONOLÓGICO'!$A$2:$A$4919,$A1211)/$E1211,"")</f>
        <v/>
      </c>
      <c r="K1211" s="6">
        <f>_xlfn.MINIFS('DETALLE CRONOLÓGICO'!$K$2:$K$4919,'DETALLE CRONOLÓGICO'!$A$2:$A$4919,$A1211)</f>
        <v/>
      </c>
      <c r="L1211" s="6">
        <f>_xlfn.MAXIFS('DETALLE CRONOLÓGICO'!$K$2:$K$4919,'DETALLE CRONOLÓGICO'!$A$2:$A$4919,$A1211)</f>
        <v/>
      </c>
      <c r="M1211" s="6">
        <f>INDEX('DETALLE CRONOLÓGICO'!$K$2:$K$4919,MATCH($A1211,'DETALLE CRONOLÓGICO'!$A$2:$A$4919,0)+$E1211-1)</f>
        <v/>
      </c>
      <c r="N1211" s="7">
        <f>IFERROR($M1211/INDEX('DETALLE CRONOLÓGICO'!$K$2:$K$4919,MATCH($A1211,'DETALLE CRONOLÓGICO'!$A$2:$A$4919,0))-1,"")</f>
        <v/>
      </c>
      <c r="O1211" s="6">
        <f>IFERROR($I1211*3,"")</f>
        <v/>
      </c>
      <c r="P1211" s="6">
        <f>IFERROR($I1211*3.5,"")</f>
        <v/>
      </c>
      <c r="Q1211" s="6">
        <f>IFERROR($I1211*4,"")</f>
        <v/>
      </c>
      <c r="R1211" s="6" t="n">
        <v>400</v>
      </c>
      <c r="S1211" s="4" t="n">
        <v>2</v>
      </c>
      <c r="T1211" s="1" t="inlineStr">
        <is>
          <t>active</t>
        </is>
      </c>
      <c r="U1211" s="8" t="n"/>
      <c r="V1211" s="1" t="inlineStr">
        <is>
          <t>SIN PRECIO</t>
        </is>
      </c>
    </row>
    <row r="1212">
      <c r="A1212" s="1" t="inlineStr">
        <is>
          <t>64085742826829</t>
        </is>
      </c>
      <c r="B1212" s="1" t="inlineStr">
        <is>
          <t>ANILLO ALLIANCE ROSE GOLD C</t>
        </is>
      </c>
      <c r="C1212" s="1" t="inlineStr">
        <is>
          <t>7</t>
        </is>
      </c>
      <c r="D1212" s="1" t="inlineStr">
        <is>
          <t>HAIFENG</t>
        </is>
      </c>
      <c r="E1212" s="4">
        <f>COUNTIF('DETALLE CRONOLÓGICO'!$A$2:$A$4919,$A1212)</f>
        <v/>
      </c>
      <c r="F1212" s="4">
        <f>SUMIFS('DETALLE CRONOLÓGICO'!$I$2:$I$4919,'DETALLE CRONOLÓGICO'!$A$2:$A$4919,$A1212)</f>
        <v/>
      </c>
      <c r="G1212" s="1">
        <f>INDEX('DETALLE CRONOLÓGICO'!$D$2:$D$4919,MATCH($A1212,'DETALLE CRONOLÓGICO'!$A$2:$A$4919,0))</f>
        <v/>
      </c>
      <c r="H1212" s="1">
        <f>INDEX('DETALLE CRONOLÓGICO'!$D$2:$D$4919,MATCH($A1212,'DETALLE CRONOLÓGICO'!$A$2:$A$4919,0)+$E1212-1)</f>
        <v/>
      </c>
      <c r="I1212" s="5">
        <f>IFERROR(SUMIFS('DETALLE CRONOLÓGICO'!$L$2:$L$4919,'DETALLE CRONOLÓGICO'!$A$2:$A$4919,$A1212)/$F1212,"")</f>
        <v/>
      </c>
      <c r="J1212" s="6">
        <f>IFERROR(SUMIFS('DETALLE CRONOLÓGICO'!$K$2:$K$4919,'DETALLE CRONOLÓGICO'!$A$2:$A$4919,$A1212)/$E1212,"")</f>
        <v/>
      </c>
      <c r="K1212" s="6">
        <f>_xlfn.MINIFS('DETALLE CRONOLÓGICO'!$K$2:$K$4919,'DETALLE CRONOLÓGICO'!$A$2:$A$4919,$A1212)</f>
        <v/>
      </c>
      <c r="L1212" s="6">
        <f>_xlfn.MAXIFS('DETALLE CRONOLÓGICO'!$K$2:$K$4919,'DETALLE CRONOLÓGICO'!$A$2:$A$4919,$A1212)</f>
        <v/>
      </c>
      <c r="M1212" s="6">
        <f>INDEX('DETALLE CRONOLÓGICO'!$K$2:$K$4919,MATCH($A1212,'DETALLE CRONOLÓGICO'!$A$2:$A$4919,0)+$E1212-1)</f>
        <v/>
      </c>
      <c r="N1212" s="7">
        <f>IFERROR($M1212/INDEX('DETALLE CRONOLÓGICO'!$K$2:$K$4919,MATCH($A1212,'DETALLE CRONOLÓGICO'!$A$2:$A$4919,0))-1,"")</f>
        <v/>
      </c>
      <c r="O1212" s="6">
        <f>IFERROR($I1212*3,"")</f>
        <v/>
      </c>
      <c r="P1212" s="6">
        <f>IFERROR($I1212*3.5,"")</f>
        <v/>
      </c>
      <c r="Q1212" s="6">
        <f>IFERROR($I1212*4,"")</f>
        <v/>
      </c>
      <c r="R1212" s="6" t="n">
        <v>400</v>
      </c>
      <c r="S1212" s="4" t="n">
        <v>3</v>
      </c>
      <c r="T1212" s="1" t="inlineStr">
        <is>
          <t>active</t>
        </is>
      </c>
      <c r="U1212" s="8" t="n"/>
      <c r="V1212" s="1" t="inlineStr">
        <is>
          <t>SIN PRECIO</t>
        </is>
      </c>
    </row>
    <row r="1213">
      <c r="A1213" s="1" t="inlineStr">
        <is>
          <t>64155891097709</t>
        </is>
      </c>
      <c r="B1213" s="1" t="inlineStr">
        <is>
          <t>ANILLO LV SELLO SILVER</t>
        </is>
      </c>
      <c r="C1213" s="1" t="inlineStr">
        <is>
          <t>8</t>
        </is>
      </c>
      <c r="D1213" s="1" t="inlineStr">
        <is>
          <t>HAIFENG</t>
        </is>
      </c>
      <c r="E1213" s="4">
        <f>COUNTIF('DETALLE CRONOLÓGICO'!$A$2:$A$4919,$A1213)</f>
        <v/>
      </c>
      <c r="F1213" s="4">
        <f>SUMIFS('DETALLE CRONOLÓGICO'!$I$2:$I$4919,'DETALLE CRONOLÓGICO'!$A$2:$A$4919,$A1213)</f>
        <v/>
      </c>
      <c r="G1213" s="1">
        <f>INDEX('DETALLE CRONOLÓGICO'!$D$2:$D$4919,MATCH($A1213,'DETALLE CRONOLÓGICO'!$A$2:$A$4919,0))</f>
        <v/>
      </c>
      <c r="H1213" s="1">
        <f>INDEX('DETALLE CRONOLÓGICO'!$D$2:$D$4919,MATCH($A1213,'DETALLE CRONOLÓGICO'!$A$2:$A$4919,0)+$E1213-1)</f>
        <v/>
      </c>
      <c r="I1213" s="5">
        <f>IFERROR(SUMIFS('DETALLE CRONOLÓGICO'!$L$2:$L$4919,'DETALLE CRONOLÓGICO'!$A$2:$A$4919,$A1213)/$F1213,"")</f>
        <v/>
      </c>
      <c r="J1213" s="6">
        <f>IFERROR(SUMIFS('DETALLE CRONOLÓGICO'!$K$2:$K$4919,'DETALLE CRONOLÓGICO'!$A$2:$A$4919,$A1213)/$E1213,"")</f>
        <v/>
      </c>
      <c r="K1213" s="6">
        <f>_xlfn.MINIFS('DETALLE CRONOLÓGICO'!$K$2:$K$4919,'DETALLE CRONOLÓGICO'!$A$2:$A$4919,$A1213)</f>
        <v/>
      </c>
      <c r="L1213" s="6">
        <f>_xlfn.MAXIFS('DETALLE CRONOLÓGICO'!$K$2:$K$4919,'DETALLE CRONOLÓGICO'!$A$2:$A$4919,$A1213)</f>
        <v/>
      </c>
      <c r="M1213" s="6">
        <f>INDEX('DETALLE CRONOLÓGICO'!$K$2:$K$4919,MATCH($A1213,'DETALLE CRONOLÓGICO'!$A$2:$A$4919,0)+$E1213-1)</f>
        <v/>
      </c>
      <c r="N1213" s="7">
        <f>IFERROR($M1213/INDEX('DETALLE CRONOLÓGICO'!$K$2:$K$4919,MATCH($A1213,'DETALLE CRONOLÓGICO'!$A$2:$A$4919,0))-1,"")</f>
        <v/>
      </c>
      <c r="O1213" s="6">
        <f>IFERROR($I1213*3,"")</f>
        <v/>
      </c>
      <c r="P1213" s="6">
        <f>IFERROR($I1213*3.5,"")</f>
        <v/>
      </c>
      <c r="Q1213" s="6">
        <f>IFERROR($I1213*4,"")</f>
        <v/>
      </c>
      <c r="R1213" s="6" t="n">
        <v>750</v>
      </c>
      <c r="S1213" s="4" t="n">
        <v>2</v>
      </c>
      <c r="T1213" s="1" t="inlineStr">
        <is>
          <t>active</t>
        </is>
      </c>
      <c r="U1213" s="8" t="n"/>
      <c r="V1213" s="1" t="inlineStr">
        <is>
          <t>SIN PRECIO</t>
        </is>
      </c>
    </row>
    <row r="1214">
      <c r="A1214" s="1" t="inlineStr">
        <is>
          <t>641887036d043</t>
        </is>
      </c>
      <c r="B1214" s="1" t="inlineStr">
        <is>
          <t>COLLAR TRÉBOL GOLD-RED</t>
        </is>
      </c>
      <c r="C1214" s="1" t="inlineStr">
        <is>
          <t>40cm con extensión de 5cm</t>
        </is>
      </c>
      <c r="D1214" s="1" t="inlineStr">
        <is>
          <t>HAIFENG</t>
        </is>
      </c>
      <c r="E1214" s="4">
        <f>COUNTIF('DETALLE CRONOLÓGICO'!$A$2:$A$4919,$A1214)</f>
        <v/>
      </c>
      <c r="F1214" s="4">
        <f>SUMIFS('DETALLE CRONOLÓGICO'!$I$2:$I$4919,'DETALLE CRONOLÓGICO'!$A$2:$A$4919,$A1214)</f>
        <v/>
      </c>
      <c r="G1214" s="1">
        <f>INDEX('DETALLE CRONOLÓGICO'!$D$2:$D$4919,MATCH($A1214,'DETALLE CRONOLÓGICO'!$A$2:$A$4919,0))</f>
        <v/>
      </c>
      <c r="H1214" s="1">
        <f>INDEX('DETALLE CRONOLÓGICO'!$D$2:$D$4919,MATCH($A1214,'DETALLE CRONOLÓGICO'!$A$2:$A$4919,0)+$E1214-1)</f>
        <v/>
      </c>
      <c r="I1214" s="5">
        <f>IFERROR(SUMIFS('DETALLE CRONOLÓGICO'!$L$2:$L$4919,'DETALLE CRONOLÓGICO'!$A$2:$A$4919,$A1214)/$F1214,"")</f>
        <v/>
      </c>
      <c r="J1214" s="6">
        <f>IFERROR(SUMIFS('DETALLE CRONOLÓGICO'!$K$2:$K$4919,'DETALLE CRONOLÓGICO'!$A$2:$A$4919,$A1214)/$E1214,"")</f>
        <v/>
      </c>
      <c r="K1214" s="6">
        <f>_xlfn.MINIFS('DETALLE CRONOLÓGICO'!$K$2:$K$4919,'DETALLE CRONOLÓGICO'!$A$2:$A$4919,$A1214)</f>
        <v/>
      </c>
      <c r="L1214" s="6">
        <f>_xlfn.MAXIFS('DETALLE CRONOLÓGICO'!$K$2:$K$4919,'DETALLE CRONOLÓGICO'!$A$2:$A$4919,$A1214)</f>
        <v/>
      </c>
      <c r="M1214" s="6">
        <f>INDEX('DETALLE CRONOLÓGICO'!$K$2:$K$4919,MATCH($A1214,'DETALLE CRONOLÓGICO'!$A$2:$A$4919,0)+$E1214-1)</f>
        <v/>
      </c>
      <c r="N1214" s="7">
        <f>IFERROR($M1214/INDEX('DETALLE CRONOLÓGICO'!$K$2:$K$4919,MATCH($A1214,'DETALLE CRONOLÓGICO'!$A$2:$A$4919,0))-1,"")</f>
        <v/>
      </c>
      <c r="O1214" s="6">
        <f>IFERROR($I1214*3,"")</f>
        <v/>
      </c>
      <c r="P1214" s="6">
        <f>IFERROR($I1214*3.5,"")</f>
        <v/>
      </c>
      <c r="Q1214" s="6">
        <f>IFERROR($I1214*4,"")</f>
        <v/>
      </c>
      <c r="R1214" s="6" t="n">
        <v>699</v>
      </c>
      <c r="S1214" s="4" t="n">
        <v>0</v>
      </c>
      <c r="T1214" s="1" t="inlineStr">
        <is>
          <t>active</t>
        </is>
      </c>
      <c r="U1214" s="8" t="n"/>
      <c r="V1214" s="1" t="inlineStr">
        <is>
          <t>SIN PRECIO</t>
        </is>
      </c>
    </row>
    <row r="1215">
      <c r="A1215" s="1" t="inlineStr">
        <is>
          <t>641b376c85b37</t>
        </is>
      </c>
      <c r="B1215" s="1" t="inlineStr">
        <is>
          <t>ARETES T-SMILE ROSE GOLD CON ZIRCONIA</t>
        </is>
      </c>
      <c r="C1215" s="1" t="inlineStr">
        <is>
          <t>Default Title</t>
        </is>
      </c>
      <c r="D1215" s="1" t="inlineStr">
        <is>
          <t>CYNTHIA</t>
        </is>
      </c>
      <c r="E1215" s="4">
        <f>COUNTIF('DETALLE CRONOLÓGICO'!$A$2:$A$4919,$A1215)</f>
        <v/>
      </c>
      <c r="F1215" s="4">
        <f>SUMIFS('DETALLE CRONOLÓGICO'!$I$2:$I$4919,'DETALLE CRONOLÓGICO'!$A$2:$A$4919,$A1215)</f>
        <v/>
      </c>
      <c r="G1215" s="1">
        <f>INDEX('DETALLE CRONOLÓGICO'!$D$2:$D$4919,MATCH($A1215,'DETALLE CRONOLÓGICO'!$A$2:$A$4919,0))</f>
        <v/>
      </c>
      <c r="H1215" s="1">
        <f>INDEX('DETALLE CRONOLÓGICO'!$D$2:$D$4919,MATCH($A1215,'DETALLE CRONOLÓGICO'!$A$2:$A$4919,0)+$E1215-1)</f>
        <v/>
      </c>
      <c r="I1215" s="5">
        <f>IFERROR(SUMIFS('DETALLE CRONOLÓGICO'!$L$2:$L$4919,'DETALLE CRONOLÓGICO'!$A$2:$A$4919,$A1215)/$F1215,"")</f>
        <v/>
      </c>
      <c r="J1215" s="6">
        <f>IFERROR(SUMIFS('DETALLE CRONOLÓGICO'!$K$2:$K$4919,'DETALLE CRONOLÓGICO'!$A$2:$A$4919,$A1215)/$E1215,"")</f>
        <v/>
      </c>
      <c r="K1215" s="6">
        <f>_xlfn.MINIFS('DETALLE CRONOLÓGICO'!$K$2:$K$4919,'DETALLE CRONOLÓGICO'!$A$2:$A$4919,$A1215)</f>
        <v/>
      </c>
      <c r="L1215" s="6">
        <f>_xlfn.MAXIFS('DETALLE CRONOLÓGICO'!$K$2:$K$4919,'DETALLE CRONOLÓGICO'!$A$2:$A$4919,$A1215)</f>
        <v/>
      </c>
      <c r="M1215" s="6">
        <f>INDEX('DETALLE CRONOLÓGICO'!$K$2:$K$4919,MATCH($A1215,'DETALLE CRONOLÓGICO'!$A$2:$A$4919,0)+$E1215-1)</f>
        <v/>
      </c>
      <c r="N1215" s="7">
        <f>IFERROR($M1215/INDEX('DETALLE CRONOLÓGICO'!$K$2:$K$4919,MATCH($A1215,'DETALLE CRONOLÓGICO'!$A$2:$A$4919,0))-1,"")</f>
        <v/>
      </c>
      <c r="O1215" s="6">
        <f>IFERROR($I1215*3,"")</f>
        <v/>
      </c>
      <c r="P1215" s="6">
        <f>IFERROR($I1215*3.5,"")</f>
        <v/>
      </c>
      <c r="Q1215" s="6">
        <f>IFERROR($I1215*4,"")</f>
        <v/>
      </c>
      <c r="R1215" s="6" t="n">
        <v>735</v>
      </c>
      <c r="S1215" s="4" t="n">
        <v>0</v>
      </c>
      <c r="T1215" s="1" t="inlineStr">
        <is>
          <t>active</t>
        </is>
      </c>
      <c r="U1215" s="8" t="n"/>
      <c r="V1215" s="1" t="inlineStr">
        <is>
          <t>SIN PRECIO</t>
        </is>
      </c>
    </row>
    <row r="1216">
      <c r="A1216" s="1" t="inlineStr">
        <is>
          <t>64361211113837</t>
        </is>
      </c>
      <c r="B1216" s="1" t="inlineStr">
        <is>
          <t>PULSERA BV ROSEGOLD BLACK-WHITE</t>
        </is>
      </c>
      <c r="C1216" s="1" t="inlineStr">
        <is>
          <t>Default Title</t>
        </is>
      </c>
      <c r="D1216" s="1" t="inlineStr">
        <is>
          <t>HAIFENG</t>
        </is>
      </c>
      <c r="E1216" s="4">
        <f>COUNTIF('DETALLE CRONOLÓGICO'!$A$2:$A$4919,$A1216)</f>
        <v/>
      </c>
      <c r="F1216" s="4">
        <f>SUMIFS('DETALLE CRONOLÓGICO'!$I$2:$I$4919,'DETALLE CRONOLÓGICO'!$A$2:$A$4919,$A1216)</f>
        <v/>
      </c>
      <c r="G1216" s="1">
        <f>INDEX('DETALLE CRONOLÓGICO'!$D$2:$D$4919,MATCH($A1216,'DETALLE CRONOLÓGICO'!$A$2:$A$4919,0))</f>
        <v/>
      </c>
      <c r="H1216" s="1">
        <f>INDEX('DETALLE CRONOLÓGICO'!$D$2:$D$4919,MATCH($A1216,'DETALLE CRONOLÓGICO'!$A$2:$A$4919,0)+$E1216-1)</f>
        <v/>
      </c>
      <c r="I1216" s="5">
        <f>IFERROR(SUMIFS('DETALLE CRONOLÓGICO'!$L$2:$L$4919,'DETALLE CRONOLÓGICO'!$A$2:$A$4919,$A1216)/$F1216,"")</f>
        <v/>
      </c>
      <c r="J1216" s="6">
        <f>IFERROR(SUMIFS('DETALLE CRONOLÓGICO'!$K$2:$K$4919,'DETALLE CRONOLÓGICO'!$A$2:$A$4919,$A1216)/$E1216,"")</f>
        <v/>
      </c>
      <c r="K1216" s="6">
        <f>_xlfn.MINIFS('DETALLE CRONOLÓGICO'!$K$2:$K$4919,'DETALLE CRONOLÓGICO'!$A$2:$A$4919,$A1216)</f>
        <v/>
      </c>
      <c r="L1216" s="6">
        <f>_xlfn.MAXIFS('DETALLE CRONOLÓGICO'!$K$2:$K$4919,'DETALLE CRONOLÓGICO'!$A$2:$A$4919,$A1216)</f>
        <v/>
      </c>
      <c r="M1216" s="6">
        <f>INDEX('DETALLE CRONOLÓGICO'!$K$2:$K$4919,MATCH($A1216,'DETALLE CRONOLÓGICO'!$A$2:$A$4919,0)+$E1216-1)</f>
        <v/>
      </c>
      <c r="N1216" s="7">
        <f>IFERROR($M1216/INDEX('DETALLE CRONOLÓGICO'!$K$2:$K$4919,MATCH($A1216,'DETALLE CRONOLÓGICO'!$A$2:$A$4919,0))-1,"")</f>
        <v/>
      </c>
      <c r="O1216" s="6">
        <f>IFERROR($I1216*3,"")</f>
        <v/>
      </c>
      <c r="P1216" s="6">
        <f>IFERROR($I1216*3.5,"")</f>
        <v/>
      </c>
      <c r="Q1216" s="6">
        <f>IFERROR($I1216*4,"")</f>
        <v/>
      </c>
      <c r="R1216" s="6" t="n">
        <v>650</v>
      </c>
      <c r="S1216" s="4" t="n">
        <v>6</v>
      </c>
      <c r="T1216" s="1" t="inlineStr">
        <is>
          <t>active</t>
        </is>
      </c>
      <c r="U1216" s="8" t="n"/>
      <c r="V1216" s="1" t="inlineStr">
        <is>
          <t>SIN PRECIO</t>
        </is>
      </c>
    </row>
    <row r="1217">
      <c r="A1217" s="1" t="inlineStr">
        <is>
          <t>64361211541581</t>
        </is>
      </c>
      <c r="B1217" s="1" t="inlineStr">
        <is>
          <t>BRAZALETE BV ROSEGOLD WHITE</t>
        </is>
      </c>
      <c r="C1217" s="1" t="n">
        <v>19</v>
      </c>
      <c r="D1217" s="1" t="inlineStr">
        <is>
          <t>HAIFENG</t>
        </is>
      </c>
      <c r="E1217" s="4">
        <f>COUNTIF('DETALLE CRONOLÓGICO'!$A$2:$A$4919,$A1217)</f>
        <v/>
      </c>
      <c r="F1217" s="4">
        <f>SUMIFS('DETALLE CRONOLÓGICO'!$I$2:$I$4919,'DETALLE CRONOLÓGICO'!$A$2:$A$4919,$A1217)</f>
        <v/>
      </c>
      <c r="G1217" s="1">
        <f>INDEX('DETALLE CRONOLÓGICO'!$D$2:$D$4919,MATCH($A1217,'DETALLE CRONOLÓGICO'!$A$2:$A$4919,0))</f>
        <v/>
      </c>
      <c r="H1217" s="1">
        <f>INDEX('DETALLE CRONOLÓGICO'!$D$2:$D$4919,MATCH($A1217,'DETALLE CRONOLÓGICO'!$A$2:$A$4919,0)+$E1217-1)</f>
        <v/>
      </c>
      <c r="I1217" s="5">
        <f>IFERROR(SUMIFS('DETALLE CRONOLÓGICO'!$L$2:$L$4919,'DETALLE CRONOLÓGICO'!$A$2:$A$4919,$A1217)/$F1217,"")</f>
        <v/>
      </c>
      <c r="J1217" s="6">
        <f>IFERROR(SUMIFS('DETALLE CRONOLÓGICO'!$K$2:$K$4919,'DETALLE CRONOLÓGICO'!$A$2:$A$4919,$A1217)/$E1217,"")</f>
        <v/>
      </c>
      <c r="K1217" s="6">
        <f>_xlfn.MINIFS('DETALLE CRONOLÓGICO'!$K$2:$K$4919,'DETALLE CRONOLÓGICO'!$A$2:$A$4919,$A1217)</f>
        <v/>
      </c>
      <c r="L1217" s="6">
        <f>_xlfn.MAXIFS('DETALLE CRONOLÓGICO'!$K$2:$K$4919,'DETALLE CRONOLÓGICO'!$A$2:$A$4919,$A1217)</f>
        <v/>
      </c>
      <c r="M1217" s="6">
        <f>INDEX('DETALLE CRONOLÓGICO'!$K$2:$K$4919,MATCH($A1217,'DETALLE CRONOLÓGICO'!$A$2:$A$4919,0)+$E1217-1)</f>
        <v/>
      </c>
      <c r="N1217" s="7">
        <f>IFERROR($M1217/INDEX('DETALLE CRONOLÓGICO'!$K$2:$K$4919,MATCH($A1217,'DETALLE CRONOLÓGICO'!$A$2:$A$4919,0))-1,"")</f>
        <v/>
      </c>
      <c r="O1217" s="6">
        <f>IFERROR($I1217*3,"")</f>
        <v/>
      </c>
      <c r="P1217" s="6">
        <f>IFERROR($I1217*3.5,"")</f>
        <v/>
      </c>
      <c r="Q1217" s="6">
        <f>IFERROR($I1217*4,"")</f>
        <v/>
      </c>
      <c r="R1217" s="6" t="n">
        <v>850</v>
      </c>
      <c r="S1217" s="4" t="n">
        <v>2</v>
      </c>
      <c r="T1217" s="1" t="inlineStr">
        <is>
          <t>active</t>
        </is>
      </c>
      <c r="U1217" s="8" t="n"/>
      <c r="V1217" s="1" t="inlineStr">
        <is>
          <t>SIN PRECIO</t>
        </is>
      </c>
    </row>
    <row r="1218">
      <c r="A1218" s="1" t="inlineStr">
        <is>
          <t>64385161101d4</t>
        </is>
      </c>
      <c r="B1218" s="1" t="inlineStr">
        <is>
          <t>PULSERA TRÉBOL ROSEGOLD WHITE VF</t>
        </is>
      </c>
      <c r="C1218" s="1" t="inlineStr">
        <is>
          <t>18cm</t>
        </is>
      </c>
      <c r="D1218" s="1" t="inlineStr">
        <is>
          <t>HAIFENG</t>
        </is>
      </c>
      <c r="E1218" s="4">
        <f>COUNTIF('DETALLE CRONOLÓGICO'!$A$2:$A$4919,$A1218)</f>
        <v/>
      </c>
      <c r="F1218" s="4">
        <f>SUMIFS('DETALLE CRONOLÓGICO'!$I$2:$I$4919,'DETALLE CRONOLÓGICO'!$A$2:$A$4919,$A1218)</f>
        <v/>
      </c>
      <c r="G1218" s="1">
        <f>INDEX('DETALLE CRONOLÓGICO'!$D$2:$D$4919,MATCH($A1218,'DETALLE CRONOLÓGICO'!$A$2:$A$4919,0))</f>
        <v/>
      </c>
      <c r="H1218" s="1">
        <f>INDEX('DETALLE CRONOLÓGICO'!$D$2:$D$4919,MATCH($A1218,'DETALLE CRONOLÓGICO'!$A$2:$A$4919,0)+$E1218-1)</f>
        <v/>
      </c>
      <c r="I1218" s="5">
        <f>IFERROR(SUMIFS('DETALLE CRONOLÓGICO'!$L$2:$L$4919,'DETALLE CRONOLÓGICO'!$A$2:$A$4919,$A1218)/$F1218,"")</f>
        <v/>
      </c>
      <c r="J1218" s="6">
        <f>IFERROR(SUMIFS('DETALLE CRONOLÓGICO'!$K$2:$K$4919,'DETALLE CRONOLÓGICO'!$A$2:$A$4919,$A1218)/$E1218,"")</f>
        <v/>
      </c>
      <c r="K1218" s="6">
        <f>_xlfn.MINIFS('DETALLE CRONOLÓGICO'!$K$2:$K$4919,'DETALLE CRONOLÓGICO'!$A$2:$A$4919,$A1218)</f>
        <v/>
      </c>
      <c r="L1218" s="6">
        <f>_xlfn.MAXIFS('DETALLE CRONOLÓGICO'!$K$2:$K$4919,'DETALLE CRONOLÓGICO'!$A$2:$A$4919,$A1218)</f>
        <v/>
      </c>
      <c r="M1218" s="6">
        <f>INDEX('DETALLE CRONOLÓGICO'!$K$2:$K$4919,MATCH($A1218,'DETALLE CRONOLÓGICO'!$A$2:$A$4919,0)+$E1218-1)</f>
        <v/>
      </c>
      <c r="N1218" s="7">
        <f>IFERROR($M1218/INDEX('DETALLE CRONOLÓGICO'!$K$2:$K$4919,MATCH($A1218,'DETALLE CRONOLÓGICO'!$A$2:$A$4919,0))-1,"")</f>
        <v/>
      </c>
      <c r="O1218" s="6">
        <f>IFERROR($I1218*3,"")</f>
        <v/>
      </c>
      <c r="P1218" s="6">
        <f>IFERROR($I1218*3.5,"")</f>
        <v/>
      </c>
      <c r="Q1218" s="6">
        <f>IFERROR($I1218*4,"")</f>
        <v/>
      </c>
      <c r="R1218" s="6" t="n">
        <v>1286</v>
      </c>
      <c r="S1218" s="4" t="n">
        <v>1</v>
      </c>
      <c r="T1218" s="1" t="inlineStr">
        <is>
          <t>active</t>
        </is>
      </c>
      <c r="U1218" s="8" t="n"/>
      <c r="V1218" s="1" t="inlineStr">
        <is>
          <t>SIN PRECIO</t>
        </is>
      </c>
    </row>
    <row r="1219">
      <c r="A1219" s="1" t="inlineStr">
        <is>
          <t>643ec108c3efe</t>
        </is>
      </c>
      <c r="B1219" s="1" t="inlineStr">
        <is>
          <t>COLLAR BV GOLD</t>
        </is>
      </c>
      <c r="C1219" s="1" t="inlineStr">
        <is>
          <t>Largo de cadena total 40cm  Extensión 8 cm  Dije 1 cm</t>
        </is>
      </c>
      <c r="D1219" s="1" t="inlineStr">
        <is>
          <t>HAIFENG</t>
        </is>
      </c>
      <c r="E1219" s="4">
        <f>COUNTIF('DETALLE CRONOLÓGICO'!$A$2:$A$4919,$A1219)</f>
        <v/>
      </c>
      <c r="F1219" s="4">
        <f>SUMIFS('DETALLE CRONOLÓGICO'!$I$2:$I$4919,'DETALLE CRONOLÓGICO'!$A$2:$A$4919,$A1219)</f>
        <v/>
      </c>
      <c r="G1219" s="1">
        <f>INDEX('DETALLE CRONOLÓGICO'!$D$2:$D$4919,MATCH($A1219,'DETALLE CRONOLÓGICO'!$A$2:$A$4919,0))</f>
        <v/>
      </c>
      <c r="H1219" s="1">
        <f>INDEX('DETALLE CRONOLÓGICO'!$D$2:$D$4919,MATCH($A1219,'DETALLE CRONOLÓGICO'!$A$2:$A$4919,0)+$E1219-1)</f>
        <v/>
      </c>
      <c r="I1219" s="5">
        <f>IFERROR(SUMIFS('DETALLE CRONOLÓGICO'!$L$2:$L$4919,'DETALLE CRONOLÓGICO'!$A$2:$A$4919,$A1219)/$F1219,"")</f>
        <v/>
      </c>
      <c r="J1219" s="6">
        <f>IFERROR(SUMIFS('DETALLE CRONOLÓGICO'!$K$2:$K$4919,'DETALLE CRONOLÓGICO'!$A$2:$A$4919,$A1219)/$E1219,"")</f>
        <v/>
      </c>
      <c r="K1219" s="6">
        <f>_xlfn.MINIFS('DETALLE CRONOLÓGICO'!$K$2:$K$4919,'DETALLE CRONOLÓGICO'!$A$2:$A$4919,$A1219)</f>
        <v/>
      </c>
      <c r="L1219" s="6">
        <f>_xlfn.MAXIFS('DETALLE CRONOLÓGICO'!$K$2:$K$4919,'DETALLE CRONOLÓGICO'!$A$2:$A$4919,$A1219)</f>
        <v/>
      </c>
      <c r="M1219" s="6">
        <f>INDEX('DETALLE CRONOLÓGICO'!$K$2:$K$4919,MATCH($A1219,'DETALLE CRONOLÓGICO'!$A$2:$A$4919,0)+$E1219-1)</f>
        <v/>
      </c>
      <c r="N1219" s="7">
        <f>IFERROR($M1219/INDEX('DETALLE CRONOLÓGICO'!$K$2:$K$4919,MATCH($A1219,'DETALLE CRONOLÓGICO'!$A$2:$A$4919,0))-1,"")</f>
        <v/>
      </c>
      <c r="O1219" s="6">
        <f>IFERROR($I1219*3,"")</f>
        <v/>
      </c>
      <c r="P1219" s="6">
        <f>IFERROR($I1219*3.5,"")</f>
        <v/>
      </c>
      <c r="Q1219" s="6">
        <f>IFERROR($I1219*4,"")</f>
        <v/>
      </c>
      <c r="R1219" s="6" t="n">
        <v>499</v>
      </c>
      <c r="S1219" s="4" t="n">
        <v>4</v>
      </c>
      <c r="T1219" s="1" t="inlineStr">
        <is>
          <t>active</t>
        </is>
      </c>
      <c r="U1219" s="8" t="n"/>
      <c r="V1219" s="1" t="inlineStr">
        <is>
          <t>SIN PRECIO</t>
        </is>
      </c>
    </row>
    <row r="1220">
      <c r="A1220" s="1" t="inlineStr">
        <is>
          <t>643ec10bc63f5</t>
        </is>
      </c>
      <c r="B1220" s="1" t="inlineStr">
        <is>
          <t>COLLAR BV SILVER</t>
        </is>
      </c>
      <c r="C1220" s="1" t="inlineStr">
        <is>
          <t>Largo de cadena total 40cm  Extensión 8 cm  Dije 1 cm</t>
        </is>
      </c>
      <c r="D1220" s="1" t="inlineStr">
        <is>
          <t>HAIFENG</t>
        </is>
      </c>
      <c r="E1220" s="4">
        <f>COUNTIF('DETALLE CRONOLÓGICO'!$A$2:$A$4919,$A1220)</f>
        <v/>
      </c>
      <c r="F1220" s="4">
        <f>SUMIFS('DETALLE CRONOLÓGICO'!$I$2:$I$4919,'DETALLE CRONOLÓGICO'!$A$2:$A$4919,$A1220)</f>
        <v/>
      </c>
      <c r="G1220" s="1">
        <f>INDEX('DETALLE CRONOLÓGICO'!$D$2:$D$4919,MATCH($A1220,'DETALLE CRONOLÓGICO'!$A$2:$A$4919,0))</f>
        <v/>
      </c>
      <c r="H1220" s="1">
        <f>INDEX('DETALLE CRONOLÓGICO'!$D$2:$D$4919,MATCH($A1220,'DETALLE CRONOLÓGICO'!$A$2:$A$4919,0)+$E1220-1)</f>
        <v/>
      </c>
      <c r="I1220" s="5">
        <f>IFERROR(SUMIFS('DETALLE CRONOLÓGICO'!$L$2:$L$4919,'DETALLE CRONOLÓGICO'!$A$2:$A$4919,$A1220)/$F1220,"")</f>
        <v/>
      </c>
      <c r="J1220" s="6">
        <f>IFERROR(SUMIFS('DETALLE CRONOLÓGICO'!$K$2:$K$4919,'DETALLE CRONOLÓGICO'!$A$2:$A$4919,$A1220)/$E1220,"")</f>
        <v/>
      </c>
      <c r="K1220" s="6">
        <f>_xlfn.MINIFS('DETALLE CRONOLÓGICO'!$K$2:$K$4919,'DETALLE CRONOLÓGICO'!$A$2:$A$4919,$A1220)</f>
        <v/>
      </c>
      <c r="L1220" s="6">
        <f>_xlfn.MAXIFS('DETALLE CRONOLÓGICO'!$K$2:$K$4919,'DETALLE CRONOLÓGICO'!$A$2:$A$4919,$A1220)</f>
        <v/>
      </c>
      <c r="M1220" s="6">
        <f>INDEX('DETALLE CRONOLÓGICO'!$K$2:$K$4919,MATCH($A1220,'DETALLE CRONOLÓGICO'!$A$2:$A$4919,0)+$E1220-1)</f>
        <v/>
      </c>
      <c r="N1220" s="7">
        <f>IFERROR($M1220/INDEX('DETALLE CRONOLÓGICO'!$K$2:$K$4919,MATCH($A1220,'DETALLE CRONOLÓGICO'!$A$2:$A$4919,0))-1,"")</f>
        <v/>
      </c>
      <c r="O1220" s="6">
        <f>IFERROR($I1220*3,"")</f>
        <v/>
      </c>
      <c r="P1220" s="6">
        <f>IFERROR($I1220*3.5,"")</f>
        <v/>
      </c>
      <c r="Q1220" s="6">
        <f>IFERROR($I1220*4,"")</f>
        <v/>
      </c>
      <c r="R1220" s="6" t="n">
        <v>450</v>
      </c>
      <c r="S1220" s="4" t="n">
        <v>3</v>
      </c>
      <c r="T1220" s="1" t="inlineStr">
        <is>
          <t>active</t>
        </is>
      </c>
      <c r="U1220" s="8" t="n"/>
      <c r="V1220" s="1" t="inlineStr">
        <is>
          <t>SIN PRECIO</t>
        </is>
      </c>
    </row>
    <row r="1221">
      <c r="A1221" s="1" t="inlineStr">
        <is>
          <t>6453fd2f11ef1</t>
        </is>
      </c>
      <c r="B1221" s="1" t="inlineStr">
        <is>
          <t>PULSERA TREBOL GOLD BLACK VF</t>
        </is>
      </c>
      <c r="C1221" s="1" t="inlineStr">
        <is>
          <t>20cm</t>
        </is>
      </c>
      <c r="D1221" s="1" t="inlineStr">
        <is>
          <t>HAIFENG</t>
        </is>
      </c>
      <c r="E1221" s="4">
        <f>COUNTIF('DETALLE CRONOLÓGICO'!$A$2:$A$4919,$A1221)</f>
        <v/>
      </c>
      <c r="F1221" s="4">
        <f>SUMIFS('DETALLE CRONOLÓGICO'!$I$2:$I$4919,'DETALLE CRONOLÓGICO'!$A$2:$A$4919,$A1221)</f>
        <v/>
      </c>
      <c r="G1221" s="1">
        <f>INDEX('DETALLE CRONOLÓGICO'!$D$2:$D$4919,MATCH($A1221,'DETALLE CRONOLÓGICO'!$A$2:$A$4919,0))</f>
        <v/>
      </c>
      <c r="H1221" s="1">
        <f>INDEX('DETALLE CRONOLÓGICO'!$D$2:$D$4919,MATCH($A1221,'DETALLE CRONOLÓGICO'!$A$2:$A$4919,0)+$E1221-1)</f>
        <v/>
      </c>
      <c r="I1221" s="5">
        <f>IFERROR(SUMIFS('DETALLE CRONOLÓGICO'!$L$2:$L$4919,'DETALLE CRONOLÓGICO'!$A$2:$A$4919,$A1221)/$F1221,"")</f>
        <v/>
      </c>
      <c r="J1221" s="6">
        <f>IFERROR(SUMIFS('DETALLE CRONOLÓGICO'!$K$2:$K$4919,'DETALLE CRONOLÓGICO'!$A$2:$A$4919,$A1221)/$E1221,"")</f>
        <v/>
      </c>
      <c r="K1221" s="6">
        <f>_xlfn.MINIFS('DETALLE CRONOLÓGICO'!$K$2:$K$4919,'DETALLE CRONOLÓGICO'!$A$2:$A$4919,$A1221)</f>
        <v/>
      </c>
      <c r="L1221" s="6">
        <f>_xlfn.MAXIFS('DETALLE CRONOLÓGICO'!$K$2:$K$4919,'DETALLE CRONOLÓGICO'!$A$2:$A$4919,$A1221)</f>
        <v/>
      </c>
      <c r="M1221" s="6">
        <f>INDEX('DETALLE CRONOLÓGICO'!$K$2:$K$4919,MATCH($A1221,'DETALLE CRONOLÓGICO'!$A$2:$A$4919,0)+$E1221-1)</f>
        <v/>
      </c>
      <c r="N1221" s="7">
        <f>IFERROR($M1221/INDEX('DETALLE CRONOLÓGICO'!$K$2:$K$4919,MATCH($A1221,'DETALLE CRONOLÓGICO'!$A$2:$A$4919,0))-1,"")</f>
        <v/>
      </c>
      <c r="O1221" s="6">
        <f>IFERROR($I1221*3,"")</f>
        <v/>
      </c>
      <c r="P1221" s="6">
        <f>IFERROR($I1221*3.5,"")</f>
        <v/>
      </c>
      <c r="Q1221" s="6">
        <f>IFERROR($I1221*4,"")</f>
        <v/>
      </c>
      <c r="R1221" s="6" t="n">
        <v>599</v>
      </c>
      <c r="S1221" s="4" t="n">
        <v>5</v>
      </c>
      <c r="T1221" s="1" t="inlineStr">
        <is>
          <t>active</t>
        </is>
      </c>
      <c r="U1221" s="8" t="n"/>
      <c r="V1221" s="1" t="inlineStr">
        <is>
          <t>SIN PRECIO</t>
        </is>
      </c>
    </row>
    <row r="1222">
      <c r="A1222" s="1" t="inlineStr">
        <is>
          <t>64571791072897</t>
        </is>
      </c>
      <c r="B1222" s="1" t="inlineStr">
        <is>
          <t>BOLSO CC BLACK</t>
        </is>
      </c>
      <c r="C1222" s="1" t="inlineStr">
        <is>
          <t>25cm de largo x 17cm de alto x 6cm de ancho</t>
        </is>
      </c>
      <c r="D1222" s="1" t="inlineStr">
        <is>
          <t>ZOEY</t>
        </is>
      </c>
      <c r="E1222" s="4">
        <f>COUNTIF('DETALLE CRONOLÓGICO'!$A$2:$A$4919,$A1222)</f>
        <v/>
      </c>
      <c r="F1222" s="4">
        <f>SUMIFS('DETALLE CRONOLÓGICO'!$I$2:$I$4919,'DETALLE CRONOLÓGICO'!$A$2:$A$4919,$A1222)</f>
        <v/>
      </c>
      <c r="G1222" s="1">
        <f>INDEX('DETALLE CRONOLÓGICO'!$D$2:$D$4919,MATCH($A1222,'DETALLE CRONOLÓGICO'!$A$2:$A$4919,0))</f>
        <v/>
      </c>
      <c r="H1222" s="1">
        <f>INDEX('DETALLE CRONOLÓGICO'!$D$2:$D$4919,MATCH($A1222,'DETALLE CRONOLÓGICO'!$A$2:$A$4919,0)+$E1222-1)</f>
        <v/>
      </c>
      <c r="I1222" s="5">
        <f>IFERROR(SUMIFS('DETALLE CRONOLÓGICO'!$L$2:$L$4919,'DETALLE CRONOLÓGICO'!$A$2:$A$4919,$A1222)/$F1222,"")</f>
        <v/>
      </c>
      <c r="J1222" s="6">
        <f>IFERROR(SUMIFS('DETALLE CRONOLÓGICO'!$K$2:$K$4919,'DETALLE CRONOLÓGICO'!$A$2:$A$4919,$A1222)/$E1222,"")</f>
        <v/>
      </c>
      <c r="K1222" s="6">
        <f>_xlfn.MINIFS('DETALLE CRONOLÓGICO'!$K$2:$K$4919,'DETALLE CRONOLÓGICO'!$A$2:$A$4919,$A1222)</f>
        <v/>
      </c>
      <c r="L1222" s="6">
        <f>_xlfn.MAXIFS('DETALLE CRONOLÓGICO'!$K$2:$K$4919,'DETALLE CRONOLÓGICO'!$A$2:$A$4919,$A1222)</f>
        <v/>
      </c>
      <c r="M1222" s="6">
        <f>INDEX('DETALLE CRONOLÓGICO'!$K$2:$K$4919,MATCH($A1222,'DETALLE CRONOLÓGICO'!$A$2:$A$4919,0)+$E1222-1)</f>
        <v/>
      </c>
      <c r="N1222" s="7">
        <f>IFERROR($M1222/INDEX('DETALLE CRONOLÓGICO'!$K$2:$K$4919,MATCH($A1222,'DETALLE CRONOLÓGICO'!$A$2:$A$4919,0))-1,"")</f>
        <v/>
      </c>
      <c r="O1222" s="6">
        <f>IFERROR($I1222*3,"")</f>
        <v/>
      </c>
      <c r="P1222" s="6">
        <f>IFERROR($I1222*3.5,"")</f>
        <v/>
      </c>
      <c r="Q1222" s="6">
        <f>IFERROR($I1222*4,"")</f>
        <v/>
      </c>
      <c r="R1222" s="6" t="n">
        <v>5089</v>
      </c>
      <c r="S1222" s="4" t="n">
        <v>0</v>
      </c>
      <c r="T1222" s="1" t="inlineStr">
        <is>
          <t>active</t>
        </is>
      </c>
      <c r="U1222" s="8" t="n"/>
      <c r="V1222" s="1" t="inlineStr">
        <is>
          <t>SIN PRECIO</t>
        </is>
      </c>
    </row>
    <row r="1223">
      <c r="A1223" s="1" t="inlineStr">
        <is>
          <t>646f846abc38f</t>
        </is>
      </c>
      <c r="B1223" s="1" t="inlineStr">
        <is>
          <t>PULSERA COCO ROSEGOLD</t>
        </is>
      </c>
      <c r="C1223" s="1" t="inlineStr">
        <is>
          <t>17cm</t>
        </is>
      </c>
      <c r="D1223" s="1" t="inlineStr">
        <is>
          <t>CYNTHIA</t>
        </is>
      </c>
      <c r="E1223" s="4">
        <f>COUNTIF('DETALLE CRONOLÓGICO'!$A$2:$A$4919,$A1223)</f>
        <v/>
      </c>
      <c r="F1223" s="4">
        <f>SUMIFS('DETALLE CRONOLÓGICO'!$I$2:$I$4919,'DETALLE CRONOLÓGICO'!$A$2:$A$4919,$A1223)</f>
        <v/>
      </c>
      <c r="G1223" s="1">
        <f>INDEX('DETALLE CRONOLÓGICO'!$D$2:$D$4919,MATCH($A1223,'DETALLE CRONOLÓGICO'!$A$2:$A$4919,0))</f>
        <v/>
      </c>
      <c r="H1223" s="1">
        <f>INDEX('DETALLE CRONOLÓGICO'!$D$2:$D$4919,MATCH($A1223,'DETALLE CRONOLÓGICO'!$A$2:$A$4919,0)+$E1223-1)</f>
        <v/>
      </c>
      <c r="I1223" s="5">
        <f>IFERROR(SUMIFS('DETALLE CRONOLÓGICO'!$L$2:$L$4919,'DETALLE CRONOLÓGICO'!$A$2:$A$4919,$A1223)/$F1223,"")</f>
        <v/>
      </c>
      <c r="J1223" s="6">
        <f>IFERROR(SUMIFS('DETALLE CRONOLÓGICO'!$K$2:$K$4919,'DETALLE CRONOLÓGICO'!$A$2:$A$4919,$A1223)/$E1223,"")</f>
        <v/>
      </c>
      <c r="K1223" s="6">
        <f>_xlfn.MINIFS('DETALLE CRONOLÓGICO'!$K$2:$K$4919,'DETALLE CRONOLÓGICO'!$A$2:$A$4919,$A1223)</f>
        <v/>
      </c>
      <c r="L1223" s="6">
        <f>_xlfn.MAXIFS('DETALLE CRONOLÓGICO'!$K$2:$K$4919,'DETALLE CRONOLÓGICO'!$A$2:$A$4919,$A1223)</f>
        <v/>
      </c>
      <c r="M1223" s="6">
        <f>INDEX('DETALLE CRONOLÓGICO'!$K$2:$K$4919,MATCH($A1223,'DETALLE CRONOLÓGICO'!$A$2:$A$4919,0)+$E1223-1)</f>
        <v/>
      </c>
      <c r="N1223" s="7">
        <f>IFERROR($M1223/INDEX('DETALLE CRONOLÓGICO'!$K$2:$K$4919,MATCH($A1223,'DETALLE CRONOLÓGICO'!$A$2:$A$4919,0))-1,"")</f>
        <v/>
      </c>
      <c r="O1223" s="6">
        <f>IFERROR($I1223*3,"")</f>
        <v/>
      </c>
      <c r="P1223" s="6">
        <f>IFERROR($I1223*3.5,"")</f>
        <v/>
      </c>
      <c r="Q1223" s="6">
        <f>IFERROR($I1223*4,"")</f>
        <v/>
      </c>
      <c r="R1223" s="6" t="n">
        <v>1499</v>
      </c>
      <c r="S1223" s="4" t="n">
        <v>2</v>
      </c>
      <c r="T1223" s="1" t="inlineStr">
        <is>
          <t>active</t>
        </is>
      </c>
      <c r="U1223" s="8" t="n"/>
      <c r="V1223" s="1" t="inlineStr">
        <is>
          <t>SIN PRECIO</t>
        </is>
      </c>
    </row>
    <row r="1224">
      <c r="A1224" s="1" t="inlineStr">
        <is>
          <t>646f84740b09f</t>
        </is>
      </c>
      <c r="B1224" s="1" t="inlineStr">
        <is>
          <t>PULSERA COCO GOLD</t>
        </is>
      </c>
      <c r="C1224" s="1" t="inlineStr">
        <is>
          <t>17cm</t>
        </is>
      </c>
      <c r="D1224" s="1" t="inlineStr">
        <is>
          <t>CYNTHIA</t>
        </is>
      </c>
      <c r="E1224" s="4">
        <f>COUNTIF('DETALLE CRONOLÓGICO'!$A$2:$A$4919,$A1224)</f>
        <v/>
      </c>
      <c r="F1224" s="4">
        <f>SUMIFS('DETALLE CRONOLÓGICO'!$I$2:$I$4919,'DETALLE CRONOLÓGICO'!$A$2:$A$4919,$A1224)</f>
        <v/>
      </c>
      <c r="G1224" s="1">
        <f>INDEX('DETALLE CRONOLÓGICO'!$D$2:$D$4919,MATCH($A1224,'DETALLE CRONOLÓGICO'!$A$2:$A$4919,0))</f>
        <v/>
      </c>
      <c r="H1224" s="1">
        <f>INDEX('DETALLE CRONOLÓGICO'!$D$2:$D$4919,MATCH($A1224,'DETALLE CRONOLÓGICO'!$A$2:$A$4919,0)+$E1224-1)</f>
        <v/>
      </c>
      <c r="I1224" s="5">
        <f>IFERROR(SUMIFS('DETALLE CRONOLÓGICO'!$L$2:$L$4919,'DETALLE CRONOLÓGICO'!$A$2:$A$4919,$A1224)/$F1224,"")</f>
        <v/>
      </c>
      <c r="J1224" s="6">
        <f>IFERROR(SUMIFS('DETALLE CRONOLÓGICO'!$K$2:$K$4919,'DETALLE CRONOLÓGICO'!$A$2:$A$4919,$A1224)/$E1224,"")</f>
        <v/>
      </c>
      <c r="K1224" s="6">
        <f>_xlfn.MINIFS('DETALLE CRONOLÓGICO'!$K$2:$K$4919,'DETALLE CRONOLÓGICO'!$A$2:$A$4919,$A1224)</f>
        <v/>
      </c>
      <c r="L1224" s="6">
        <f>_xlfn.MAXIFS('DETALLE CRONOLÓGICO'!$K$2:$K$4919,'DETALLE CRONOLÓGICO'!$A$2:$A$4919,$A1224)</f>
        <v/>
      </c>
      <c r="M1224" s="6">
        <f>INDEX('DETALLE CRONOLÓGICO'!$K$2:$K$4919,MATCH($A1224,'DETALLE CRONOLÓGICO'!$A$2:$A$4919,0)+$E1224-1)</f>
        <v/>
      </c>
      <c r="N1224" s="7">
        <f>IFERROR($M1224/INDEX('DETALLE CRONOLÓGICO'!$K$2:$K$4919,MATCH($A1224,'DETALLE CRONOLÓGICO'!$A$2:$A$4919,0))-1,"")</f>
        <v/>
      </c>
      <c r="O1224" s="6">
        <f>IFERROR($I1224*3,"")</f>
        <v/>
      </c>
      <c r="P1224" s="6">
        <f>IFERROR($I1224*3.5,"")</f>
        <v/>
      </c>
      <c r="Q1224" s="6">
        <f>IFERROR($I1224*4,"")</f>
        <v/>
      </c>
      <c r="R1224" s="6" t="n">
        <v>1499</v>
      </c>
      <c r="S1224" s="4" t="n">
        <v>5</v>
      </c>
      <c r="T1224" s="1" t="inlineStr">
        <is>
          <t>active</t>
        </is>
      </c>
      <c r="U1224" s="8" t="n"/>
      <c r="V1224" s="1" t="inlineStr">
        <is>
          <t>SIN PRECIO</t>
        </is>
      </c>
    </row>
    <row r="1225">
      <c r="A1225" s="1" t="inlineStr">
        <is>
          <t>646f84b99a256</t>
        </is>
      </c>
      <c r="B1225" s="1" t="inlineStr">
        <is>
          <t>ARETES T SILVER</t>
        </is>
      </c>
      <c r="C1225" s="1" t="inlineStr">
        <is>
          <t>Default Title</t>
        </is>
      </c>
      <c r="D1225" s="1" t="inlineStr">
        <is>
          <t>COCOMA</t>
        </is>
      </c>
      <c r="E1225" s="4">
        <f>COUNTIF('DETALLE CRONOLÓGICO'!$A$2:$A$4919,$A1225)</f>
        <v/>
      </c>
      <c r="F1225" s="4">
        <f>SUMIFS('DETALLE CRONOLÓGICO'!$I$2:$I$4919,'DETALLE CRONOLÓGICO'!$A$2:$A$4919,$A1225)</f>
        <v/>
      </c>
      <c r="G1225" s="1">
        <f>INDEX('DETALLE CRONOLÓGICO'!$D$2:$D$4919,MATCH($A1225,'DETALLE CRONOLÓGICO'!$A$2:$A$4919,0))</f>
        <v/>
      </c>
      <c r="H1225" s="1">
        <f>INDEX('DETALLE CRONOLÓGICO'!$D$2:$D$4919,MATCH($A1225,'DETALLE CRONOLÓGICO'!$A$2:$A$4919,0)+$E1225-1)</f>
        <v/>
      </c>
      <c r="I1225" s="5">
        <f>IFERROR(SUMIFS('DETALLE CRONOLÓGICO'!$L$2:$L$4919,'DETALLE CRONOLÓGICO'!$A$2:$A$4919,$A1225)/$F1225,"")</f>
        <v/>
      </c>
      <c r="J1225" s="6">
        <f>IFERROR(SUMIFS('DETALLE CRONOLÓGICO'!$K$2:$K$4919,'DETALLE CRONOLÓGICO'!$A$2:$A$4919,$A1225)/$E1225,"")</f>
        <v/>
      </c>
      <c r="K1225" s="6">
        <f>_xlfn.MINIFS('DETALLE CRONOLÓGICO'!$K$2:$K$4919,'DETALLE CRONOLÓGICO'!$A$2:$A$4919,$A1225)</f>
        <v/>
      </c>
      <c r="L1225" s="6">
        <f>_xlfn.MAXIFS('DETALLE CRONOLÓGICO'!$K$2:$K$4919,'DETALLE CRONOLÓGICO'!$A$2:$A$4919,$A1225)</f>
        <v/>
      </c>
      <c r="M1225" s="6">
        <f>INDEX('DETALLE CRONOLÓGICO'!$K$2:$K$4919,MATCH($A1225,'DETALLE CRONOLÓGICO'!$A$2:$A$4919,0)+$E1225-1)</f>
        <v/>
      </c>
      <c r="N1225" s="7">
        <f>IFERROR($M1225/INDEX('DETALLE CRONOLÓGICO'!$K$2:$K$4919,MATCH($A1225,'DETALLE CRONOLÓGICO'!$A$2:$A$4919,0))-1,"")</f>
        <v/>
      </c>
      <c r="O1225" s="6">
        <f>IFERROR($I1225*3,"")</f>
        <v/>
      </c>
      <c r="P1225" s="6">
        <f>IFERROR($I1225*3.5,"")</f>
        <v/>
      </c>
      <c r="Q1225" s="6">
        <f>IFERROR($I1225*4,"")</f>
        <v/>
      </c>
      <c r="R1225" s="6" t="n">
        <v>420</v>
      </c>
      <c r="S1225" s="4" t="n">
        <v>0</v>
      </c>
      <c r="T1225" s="1" t="inlineStr">
        <is>
          <t>active</t>
        </is>
      </c>
      <c r="U1225" s="8" t="n"/>
      <c r="V1225" s="1" t="inlineStr">
        <is>
          <t>SIN PRECIO</t>
        </is>
      </c>
    </row>
    <row r="1226">
      <c r="A1226" s="1" t="inlineStr">
        <is>
          <t>646f84b9b65ea</t>
        </is>
      </c>
      <c r="B1226" s="1" t="inlineStr">
        <is>
          <t>ARETES T ROSE GOLD</t>
        </is>
      </c>
      <c r="C1226" s="1" t="inlineStr">
        <is>
          <t>Default Title</t>
        </is>
      </c>
      <c r="D1226" s="1" t="inlineStr">
        <is>
          <t>COCOMA</t>
        </is>
      </c>
      <c r="E1226" s="4">
        <f>COUNTIF('DETALLE CRONOLÓGICO'!$A$2:$A$4919,$A1226)</f>
        <v/>
      </c>
      <c r="F1226" s="4">
        <f>SUMIFS('DETALLE CRONOLÓGICO'!$I$2:$I$4919,'DETALLE CRONOLÓGICO'!$A$2:$A$4919,$A1226)</f>
        <v/>
      </c>
      <c r="G1226" s="1">
        <f>INDEX('DETALLE CRONOLÓGICO'!$D$2:$D$4919,MATCH($A1226,'DETALLE CRONOLÓGICO'!$A$2:$A$4919,0))</f>
        <v/>
      </c>
      <c r="H1226" s="1">
        <f>INDEX('DETALLE CRONOLÓGICO'!$D$2:$D$4919,MATCH($A1226,'DETALLE CRONOLÓGICO'!$A$2:$A$4919,0)+$E1226-1)</f>
        <v/>
      </c>
      <c r="I1226" s="5">
        <f>IFERROR(SUMIFS('DETALLE CRONOLÓGICO'!$L$2:$L$4919,'DETALLE CRONOLÓGICO'!$A$2:$A$4919,$A1226)/$F1226,"")</f>
        <v/>
      </c>
      <c r="J1226" s="6">
        <f>IFERROR(SUMIFS('DETALLE CRONOLÓGICO'!$K$2:$K$4919,'DETALLE CRONOLÓGICO'!$A$2:$A$4919,$A1226)/$E1226,"")</f>
        <v/>
      </c>
      <c r="K1226" s="6">
        <f>_xlfn.MINIFS('DETALLE CRONOLÓGICO'!$K$2:$K$4919,'DETALLE CRONOLÓGICO'!$A$2:$A$4919,$A1226)</f>
        <v/>
      </c>
      <c r="L1226" s="6">
        <f>_xlfn.MAXIFS('DETALLE CRONOLÓGICO'!$K$2:$K$4919,'DETALLE CRONOLÓGICO'!$A$2:$A$4919,$A1226)</f>
        <v/>
      </c>
      <c r="M1226" s="6">
        <f>INDEX('DETALLE CRONOLÓGICO'!$K$2:$K$4919,MATCH($A1226,'DETALLE CRONOLÓGICO'!$A$2:$A$4919,0)+$E1226-1)</f>
        <v/>
      </c>
      <c r="N1226" s="7">
        <f>IFERROR($M1226/INDEX('DETALLE CRONOLÓGICO'!$K$2:$K$4919,MATCH($A1226,'DETALLE CRONOLÓGICO'!$A$2:$A$4919,0))-1,"")</f>
        <v/>
      </c>
      <c r="O1226" s="6">
        <f>IFERROR($I1226*3,"")</f>
        <v/>
      </c>
      <c r="P1226" s="6">
        <f>IFERROR($I1226*3.5,"")</f>
        <v/>
      </c>
      <c r="Q1226" s="6">
        <f>IFERROR($I1226*4,"")</f>
        <v/>
      </c>
      <c r="R1226" s="6" t="n">
        <v>210</v>
      </c>
      <c r="S1226" s="4" t="n">
        <v>0</v>
      </c>
      <c r="T1226" s="1" t="inlineStr">
        <is>
          <t>active</t>
        </is>
      </c>
      <c r="U1226" s="8" t="n"/>
      <c r="V1226" s="1" t="inlineStr">
        <is>
          <t>SIN PRECIO</t>
        </is>
      </c>
    </row>
    <row r="1227">
      <c r="A1227" s="1" t="inlineStr">
        <is>
          <t>646f84bcb068f</t>
        </is>
      </c>
      <c r="B1227" s="1" t="inlineStr">
        <is>
          <t>ARETES T GOLD</t>
        </is>
      </c>
      <c r="C1227" s="1" t="inlineStr">
        <is>
          <t>Default Title</t>
        </is>
      </c>
      <c r="D1227" s="1" t="inlineStr">
        <is>
          <t>COCOMA</t>
        </is>
      </c>
      <c r="E1227" s="4">
        <f>COUNTIF('DETALLE CRONOLÓGICO'!$A$2:$A$4919,$A1227)</f>
        <v/>
      </c>
      <c r="F1227" s="4">
        <f>SUMIFS('DETALLE CRONOLÓGICO'!$I$2:$I$4919,'DETALLE CRONOLÓGICO'!$A$2:$A$4919,$A1227)</f>
        <v/>
      </c>
      <c r="G1227" s="1">
        <f>INDEX('DETALLE CRONOLÓGICO'!$D$2:$D$4919,MATCH($A1227,'DETALLE CRONOLÓGICO'!$A$2:$A$4919,0))</f>
        <v/>
      </c>
      <c r="H1227" s="1">
        <f>INDEX('DETALLE CRONOLÓGICO'!$D$2:$D$4919,MATCH($A1227,'DETALLE CRONOLÓGICO'!$A$2:$A$4919,0)+$E1227-1)</f>
        <v/>
      </c>
      <c r="I1227" s="5">
        <f>IFERROR(SUMIFS('DETALLE CRONOLÓGICO'!$L$2:$L$4919,'DETALLE CRONOLÓGICO'!$A$2:$A$4919,$A1227)/$F1227,"")</f>
        <v/>
      </c>
      <c r="J1227" s="6">
        <f>IFERROR(SUMIFS('DETALLE CRONOLÓGICO'!$K$2:$K$4919,'DETALLE CRONOLÓGICO'!$A$2:$A$4919,$A1227)/$E1227,"")</f>
        <v/>
      </c>
      <c r="K1227" s="6">
        <f>_xlfn.MINIFS('DETALLE CRONOLÓGICO'!$K$2:$K$4919,'DETALLE CRONOLÓGICO'!$A$2:$A$4919,$A1227)</f>
        <v/>
      </c>
      <c r="L1227" s="6">
        <f>_xlfn.MAXIFS('DETALLE CRONOLÓGICO'!$K$2:$K$4919,'DETALLE CRONOLÓGICO'!$A$2:$A$4919,$A1227)</f>
        <v/>
      </c>
      <c r="M1227" s="6">
        <f>INDEX('DETALLE CRONOLÓGICO'!$K$2:$K$4919,MATCH($A1227,'DETALLE CRONOLÓGICO'!$A$2:$A$4919,0)+$E1227-1)</f>
        <v/>
      </c>
      <c r="N1227" s="7">
        <f>IFERROR($M1227/INDEX('DETALLE CRONOLÓGICO'!$K$2:$K$4919,MATCH($A1227,'DETALLE CRONOLÓGICO'!$A$2:$A$4919,0))-1,"")</f>
        <v/>
      </c>
      <c r="O1227" s="6">
        <f>IFERROR($I1227*3,"")</f>
        <v/>
      </c>
      <c r="P1227" s="6">
        <f>IFERROR($I1227*3.5,"")</f>
        <v/>
      </c>
      <c r="Q1227" s="6">
        <f>IFERROR($I1227*4,"")</f>
        <v/>
      </c>
      <c r="R1227" s="6" t="n">
        <v>420</v>
      </c>
      <c r="S1227" s="4" t="n">
        <v>0</v>
      </c>
      <c r="T1227" s="1" t="inlineStr">
        <is>
          <t>active</t>
        </is>
      </c>
      <c r="U1227" s="8" t="n"/>
      <c r="V1227" s="1" t="inlineStr">
        <is>
          <t>SIN PRECIO</t>
        </is>
      </c>
    </row>
    <row r="1228">
      <c r="A1228" s="1" t="inlineStr">
        <is>
          <t>646f84bdcd369</t>
        </is>
      </c>
      <c r="B1228" s="1" t="inlineStr">
        <is>
          <t>COLLAR SMILE CON ZIRCONIA SILVER</t>
        </is>
      </c>
      <c r="C1228" s="1" t="inlineStr">
        <is>
          <t>GISEL</t>
        </is>
      </c>
      <c r="D1228" s="1" t="inlineStr">
        <is>
          <t>CYNTHIA</t>
        </is>
      </c>
      <c r="E1228" s="4">
        <f>COUNTIF('DETALLE CRONOLÓGICO'!$A$2:$A$4919,$A1228)</f>
        <v/>
      </c>
      <c r="F1228" s="4">
        <f>SUMIFS('DETALLE CRONOLÓGICO'!$I$2:$I$4919,'DETALLE CRONOLÓGICO'!$A$2:$A$4919,$A1228)</f>
        <v/>
      </c>
      <c r="G1228" s="1">
        <f>INDEX('DETALLE CRONOLÓGICO'!$D$2:$D$4919,MATCH($A1228,'DETALLE CRONOLÓGICO'!$A$2:$A$4919,0))</f>
        <v/>
      </c>
      <c r="H1228" s="1">
        <f>INDEX('DETALLE CRONOLÓGICO'!$D$2:$D$4919,MATCH($A1228,'DETALLE CRONOLÓGICO'!$A$2:$A$4919,0)+$E1228-1)</f>
        <v/>
      </c>
      <c r="I1228" s="5">
        <f>IFERROR(SUMIFS('DETALLE CRONOLÓGICO'!$L$2:$L$4919,'DETALLE CRONOLÓGICO'!$A$2:$A$4919,$A1228)/$F1228,"")</f>
        <v/>
      </c>
      <c r="J1228" s="6">
        <f>IFERROR(SUMIFS('DETALLE CRONOLÓGICO'!$K$2:$K$4919,'DETALLE CRONOLÓGICO'!$A$2:$A$4919,$A1228)/$E1228,"")</f>
        <v/>
      </c>
      <c r="K1228" s="6">
        <f>_xlfn.MINIFS('DETALLE CRONOLÓGICO'!$K$2:$K$4919,'DETALLE CRONOLÓGICO'!$A$2:$A$4919,$A1228)</f>
        <v/>
      </c>
      <c r="L1228" s="6">
        <f>_xlfn.MAXIFS('DETALLE CRONOLÓGICO'!$K$2:$K$4919,'DETALLE CRONOLÓGICO'!$A$2:$A$4919,$A1228)</f>
        <v/>
      </c>
      <c r="M1228" s="6">
        <f>INDEX('DETALLE CRONOLÓGICO'!$K$2:$K$4919,MATCH($A1228,'DETALLE CRONOLÓGICO'!$A$2:$A$4919,0)+$E1228-1)</f>
        <v/>
      </c>
      <c r="N1228" s="7">
        <f>IFERROR($M1228/INDEX('DETALLE CRONOLÓGICO'!$K$2:$K$4919,MATCH($A1228,'DETALLE CRONOLÓGICO'!$A$2:$A$4919,0))-1,"")</f>
        <v/>
      </c>
      <c r="O1228" s="6">
        <f>IFERROR($I1228*3,"")</f>
        <v/>
      </c>
      <c r="P1228" s="6">
        <f>IFERROR($I1228*3.5,"")</f>
        <v/>
      </c>
      <c r="Q1228" s="6">
        <f>IFERROR($I1228*4,"")</f>
        <v/>
      </c>
      <c r="R1228" s="6" t="n">
        <v>1099</v>
      </c>
      <c r="S1228" s="4" t="n">
        <v>4</v>
      </c>
      <c r="T1228" s="1" t="inlineStr">
        <is>
          <t>active</t>
        </is>
      </c>
      <c r="U1228" s="8" t="n"/>
      <c r="V1228" s="1" t="inlineStr">
        <is>
          <t>SIN PRECIO</t>
        </is>
      </c>
    </row>
    <row r="1229">
      <c r="A1229" s="1" t="inlineStr">
        <is>
          <t>646f84c070459</t>
        </is>
      </c>
      <c r="B1229" s="1" t="inlineStr">
        <is>
          <t>ARETES LV COLGANTE</t>
        </is>
      </c>
      <c r="C1229" s="1" t="inlineStr">
        <is>
          <t>Regular</t>
        </is>
      </c>
      <c r="D1229" s="1" t="inlineStr">
        <is>
          <t>COCOMA</t>
        </is>
      </c>
      <c r="E1229" s="4">
        <f>COUNTIF('DETALLE CRONOLÓGICO'!$A$2:$A$4919,$A1229)</f>
        <v/>
      </c>
      <c r="F1229" s="4">
        <f>SUMIFS('DETALLE CRONOLÓGICO'!$I$2:$I$4919,'DETALLE CRONOLÓGICO'!$A$2:$A$4919,$A1229)</f>
        <v/>
      </c>
      <c r="G1229" s="1">
        <f>INDEX('DETALLE CRONOLÓGICO'!$D$2:$D$4919,MATCH($A1229,'DETALLE CRONOLÓGICO'!$A$2:$A$4919,0))</f>
        <v/>
      </c>
      <c r="H1229" s="1">
        <f>INDEX('DETALLE CRONOLÓGICO'!$D$2:$D$4919,MATCH($A1229,'DETALLE CRONOLÓGICO'!$A$2:$A$4919,0)+$E1229-1)</f>
        <v/>
      </c>
      <c r="I1229" s="5">
        <f>IFERROR(SUMIFS('DETALLE CRONOLÓGICO'!$L$2:$L$4919,'DETALLE CRONOLÓGICO'!$A$2:$A$4919,$A1229)/$F1229,"")</f>
        <v/>
      </c>
      <c r="J1229" s="6">
        <f>IFERROR(SUMIFS('DETALLE CRONOLÓGICO'!$K$2:$K$4919,'DETALLE CRONOLÓGICO'!$A$2:$A$4919,$A1229)/$E1229,"")</f>
        <v/>
      </c>
      <c r="K1229" s="6">
        <f>_xlfn.MINIFS('DETALLE CRONOLÓGICO'!$K$2:$K$4919,'DETALLE CRONOLÓGICO'!$A$2:$A$4919,$A1229)</f>
        <v/>
      </c>
      <c r="L1229" s="6">
        <f>_xlfn.MAXIFS('DETALLE CRONOLÓGICO'!$K$2:$K$4919,'DETALLE CRONOLÓGICO'!$A$2:$A$4919,$A1229)</f>
        <v/>
      </c>
      <c r="M1229" s="6">
        <f>INDEX('DETALLE CRONOLÓGICO'!$K$2:$K$4919,MATCH($A1229,'DETALLE CRONOLÓGICO'!$A$2:$A$4919,0)+$E1229-1)</f>
        <v/>
      </c>
      <c r="N1229" s="7">
        <f>IFERROR($M1229/INDEX('DETALLE CRONOLÓGICO'!$K$2:$K$4919,MATCH($A1229,'DETALLE CRONOLÓGICO'!$A$2:$A$4919,0))-1,"")</f>
        <v/>
      </c>
      <c r="O1229" s="6">
        <f>IFERROR($I1229*3,"")</f>
        <v/>
      </c>
      <c r="P1229" s="6">
        <f>IFERROR($I1229*3.5,"")</f>
        <v/>
      </c>
      <c r="Q1229" s="6">
        <f>IFERROR($I1229*4,"")</f>
        <v/>
      </c>
      <c r="R1229" s="6" t="n">
        <v>480</v>
      </c>
      <c r="S1229" s="4" t="n">
        <v>0</v>
      </c>
      <c r="T1229" s="1" t="inlineStr">
        <is>
          <t>active</t>
        </is>
      </c>
      <c r="U1229" s="8" t="n"/>
      <c r="V1229" s="1" t="inlineStr">
        <is>
          <t>SIN PRECIO</t>
        </is>
      </c>
    </row>
    <row r="1230">
      <c r="A1230" s="1" t="inlineStr">
        <is>
          <t>646f84c300fa5</t>
        </is>
      </c>
      <c r="B1230" s="1" t="inlineStr">
        <is>
          <t>ARETES BV GOLD-BLACK</t>
        </is>
      </c>
      <c r="C1230" s="1" t="inlineStr">
        <is>
          <t>0.7cm</t>
        </is>
      </c>
      <c r="D1230" s="1" t="inlineStr">
        <is>
          <t>NANCY</t>
        </is>
      </c>
      <c r="E1230" s="4">
        <f>COUNTIF('DETALLE CRONOLÓGICO'!$A$2:$A$4919,$A1230)</f>
        <v/>
      </c>
      <c r="F1230" s="4">
        <f>SUMIFS('DETALLE CRONOLÓGICO'!$I$2:$I$4919,'DETALLE CRONOLÓGICO'!$A$2:$A$4919,$A1230)</f>
        <v/>
      </c>
      <c r="G1230" s="1">
        <f>INDEX('DETALLE CRONOLÓGICO'!$D$2:$D$4919,MATCH($A1230,'DETALLE CRONOLÓGICO'!$A$2:$A$4919,0))</f>
        <v/>
      </c>
      <c r="H1230" s="1">
        <f>INDEX('DETALLE CRONOLÓGICO'!$D$2:$D$4919,MATCH($A1230,'DETALLE CRONOLÓGICO'!$A$2:$A$4919,0)+$E1230-1)</f>
        <v/>
      </c>
      <c r="I1230" s="5">
        <f>IFERROR(SUMIFS('DETALLE CRONOLÓGICO'!$L$2:$L$4919,'DETALLE CRONOLÓGICO'!$A$2:$A$4919,$A1230)/$F1230,"")</f>
        <v/>
      </c>
      <c r="J1230" s="6">
        <f>IFERROR(SUMIFS('DETALLE CRONOLÓGICO'!$K$2:$K$4919,'DETALLE CRONOLÓGICO'!$A$2:$A$4919,$A1230)/$E1230,"")</f>
        <v/>
      </c>
      <c r="K1230" s="6">
        <f>_xlfn.MINIFS('DETALLE CRONOLÓGICO'!$K$2:$K$4919,'DETALLE CRONOLÓGICO'!$A$2:$A$4919,$A1230)</f>
        <v/>
      </c>
      <c r="L1230" s="6">
        <f>_xlfn.MAXIFS('DETALLE CRONOLÓGICO'!$K$2:$K$4919,'DETALLE CRONOLÓGICO'!$A$2:$A$4919,$A1230)</f>
        <v/>
      </c>
      <c r="M1230" s="6">
        <f>INDEX('DETALLE CRONOLÓGICO'!$K$2:$K$4919,MATCH($A1230,'DETALLE CRONOLÓGICO'!$A$2:$A$4919,0)+$E1230-1)</f>
        <v/>
      </c>
      <c r="N1230" s="7">
        <f>IFERROR($M1230/INDEX('DETALLE CRONOLÓGICO'!$K$2:$K$4919,MATCH($A1230,'DETALLE CRONOLÓGICO'!$A$2:$A$4919,0))-1,"")</f>
        <v/>
      </c>
      <c r="O1230" s="6">
        <f>IFERROR($I1230*3,"")</f>
        <v/>
      </c>
      <c r="P1230" s="6">
        <f>IFERROR($I1230*3.5,"")</f>
        <v/>
      </c>
      <c r="Q1230" s="6">
        <f>IFERROR($I1230*4,"")</f>
        <v/>
      </c>
      <c r="R1230" s="6" t="n">
        <v>450</v>
      </c>
      <c r="S1230" s="4" t="n">
        <v>1</v>
      </c>
      <c r="T1230" s="1" t="inlineStr">
        <is>
          <t>active</t>
        </is>
      </c>
      <c r="U1230" s="8" t="n"/>
      <c r="V1230" s="1" t="inlineStr">
        <is>
          <t>SIN PRECIO</t>
        </is>
      </c>
    </row>
    <row r="1231">
      <c r="A1231" s="1" t="inlineStr">
        <is>
          <t>646f850714a60</t>
        </is>
      </c>
      <c r="B1231" s="1" t="inlineStr">
        <is>
          <t>PULSERA COCO SILVER</t>
        </is>
      </c>
      <c r="C1231" s="1" t="inlineStr">
        <is>
          <t>17cm</t>
        </is>
      </c>
      <c r="D1231" s="1" t="inlineStr">
        <is>
          <t>CYNTHIA</t>
        </is>
      </c>
      <c r="E1231" s="4">
        <f>COUNTIF('DETALLE CRONOLÓGICO'!$A$2:$A$4919,$A1231)</f>
        <v/>
      </c>
      <c r="F1231" s="4">
        <f>SUMIFS('DETALLE CRONOLÓGICO'!$I$2:$I$4919,'DETALLE CRONOLÓGICO'!$A$2:$A$4919,$A1231)</f>
        <v/>
      </c>
      <c r="G1231" s="1">
        <f>INDEX('DETALLE CRONOLÓGICO'!$D$2:$D$4919,MATCH($A1231,'DETALLE CRONOLÓGICO'!$A$2:$A$4919,0))</f>
        <v/>
      </c>
      <c r="H1231" s="1">
        <f>INDEX('DETALLE CRONOLÓGICO'!$D$2:$D$4919,MATCH($A1231,'DETALLE CRONOLÓGICO'!$A$2:$A$4919,0)+$E1231-1)</f>
        <v/>
      </c>
      <c r="I1231" s="5">
        <f>IFERROR(SUMIFS('DETALLE CRONOLÓGICO'!$L$2:$L$4919,'DETALLE CRONOLÓGICO'!$A$2:$A$4919,$A1231)/$F1231,"")</f>
        <v/>
      </c>
      <c r="J1231" s="6">
        <f>IFERROR(SUMIFS('DETALLE CRONOLÓGICO'!$K$2:$K$4919,'DETALLE CRONOLÓGICO'!$A$2:$A$4919,$A1231)/$E1231,"")</f>
        <v/>
      </c>
      <c r="K1231" s="6">
        <f>_xlfn.MINIFS('DETALLE CRONOLÓGICO'!$K$2:$K$4919,'DETALLE CRONOLÓGICO'!$A$2:$A$4919,$A1231)</f>
        <v/>
      </c>
      <c r="L1231" s="6">
        <f>_xlfn.MAXIFS('DETALLE CRONOLÓGICO'!$K$2:$K$4919,'DETALLE CRONOLÓGICO'!$A$2:$A$4919,$A1231)</f>
        <v/>
      </c>
      <c r="M1231" s="6">
        <f>INDEX('DETALLE CRONOLÓGICO'!$K$2:$K$4919,MATCH($A1231,'DETALLE CRONOLÓGICO'!$A$2:$A$4919,0)+$E1231-1)</f>
        <v/>
      </c>
      <c r="N1231" s="7">
        <f>IFERROR($M1231/INDEX('DETALLE CRONOLÓGICO'!$K$2:$K$4919,MATCH($A1231,'DETALLE CRONOLÓGICO'!$A$2:$A$4919,0))-1,"")</f>
        <v/>
      </c>
      <c r="O1231" s="6">
        <f>IFERROR($I1231*3,"")</f>
        <v/>
      </c>
      <c r="P1231" s="6">
        <f>IFERROR($I1231*3.5,"")</f>
        <v/>
      </c>
      <c r="Q1231" s="6">
        <f>IFERROR($I1231*4,"")</f>
        <v/>
      </c>
      <c r="R1231" s="6" t="n">
        <v>1489</v>
      </c>
      <c r="S1231" s="4" t="n">
        <v>0</v>
      </c>
      <c r="T1231" s="1" t="inlineStr">
        <is>
          <t>active</t>
        </is>
      </c>
      <c r="U1231" s="8" t="n"/>
      <c r="V1231" s="1" t="inlineStr">
        <is>
          <t>SIN PRECIO</t>
        </is>
      </c>
    </row>
    <row r="1232">
      <c r="A1232" s="1" t="inlineStr">
        <is>
          <t>6478f28defde2</t>
        </is>
      </c>
      <c r="B1232" s="1" t="inlineStr">
        <is>
          <t>COLLAR BV BICOLOR ROSEGOLD</t>
        </is>
      </c>
      <c r="C1232" s="1" t="inlineStr">
        <is>
          <t>39cm con 8cm de extensión</t>
        </is>
      </c>
      <c r="D1232" s="1" t="inlineStr">
        <is>
          <t>HAIFENG</t>
        </is>
      </c>
      <c r="E1232" s="4">
        <f>COUNTIF('DETALLE CRONOLÓGICO'!$A$2:$A$4919,$A1232)</f>
        <v/>
      </c>
      <c r="F1232" s="4">
        <f>SUMIFS('DETALLE CRONOLÓGICO'!$I$2:$I$4919,'DETALLE CRONOLÓGICO'!$A$2:$A$4919,$A1232)</f>
        <v/>
      </c>
      <c r="G1232" s="1">
        <f>INDEX('DETALLE CRONOLÓGICO'!$D$2:$D$4919,MATCH($A1232,'DETALLE CRONOLÓGICO'!$A$2:$A$4919,0))</f>
        <v/>
      </c>
      <c r="H1232" s="1">
        <f>INDEX('DETALLE CRONOLÓGICO'!$D$2:$D$4919,MATCH($A1232,'DETALLE CRONOLÓGICO'!$A$2:$A$4919,0)+$E1232-1)</f>
        <v/>
      </c>
      <c r="I1232" s="5">
        <f>IFERROR(SUMIFS('DETALLE CRONOLÓGICO'!$L$2:$L$4919,'DETALLE CRONOLÓGICO'!$A$2:$A$4919,$A1232)/$F1232,"")</f>
        <v/>
      </c>
      <c r="J1232" s="6">
        <f>IFERROR(SUMIFS('DETALLE CRONOLÓGICO'!$K$2:$K$4919,'DETALLE CRONOLÓGICO'!$A$2:$A$4919,$A1232)/$E1232,"")</f>
        <v/>
      </c>
      <c r="K1232" s="6">
        <f>_xlfn.MINIFS('DETALLE CRONOLÓGICO'!$K$2:$K$4919,'DETALLE CRONOLÓGICO'!$A$2:$A$4919,$A1232)</f>
        <v/>
      </c>
      <c r="L1232" s="6">
        <f>_xlfn.MAXIFS('DETALLE CRONOLÓGICO'!$K$2:$K$4919,'DETALLE CRONOLÓGICO'!$A$2:$A$4919,$A1232)</f>
        <v/>
      </c>
      <c r="M1232" s="6">
        <f>INDEX('DETALLE CRONOLÓGICO'!$K$2:$K$4919,MATCH($A1232,'DETALLE CRONOLÓGICO'!$A$2:$A$4919,0)+$E1232-1)</f>
        <v/>
      </c>
      <c r="N1232" s="7">
        <f>IFERROR($M1232/INDEX('DETALLE CRONOLÓGICO'!$K$2:$K$4919,MATCH($A1232,'DETALLE CRONOLÓGICO'!$A$2:$A$4919,0))-1,"")</f>
        <v/>
      </c>
      <c r="O1232" s="6">
        <f>IFERROR($I1232*3,"")</f>
        <v/>
      </c>
      <c r="P1232" s="6">
        <f>IFERROR($I1232*3.5,"")</f>
        <v/>
      </c>
      <c r="Q1232" s="6">
        <f>IFERROR($I1232*4,"")</f>
        <v/>
      </c>
      <c r="R1232" s="6" t="n">
        <v>536</v>
      </c>
      <c r="S1232" s="4" t="n">
        <v>0</v>
      </c>
      <c r="T1232" s="1" t="inlineStr">
        <is>
          <t>active</t>
        </is>
      </c>
      <c r="U1232" s="8" t="n"/>
      <c r="V1232" s="1" t="inlineStr">
        <is>
          <t>SIN PRECIO</t>
        </is>
      </c>
    </row>
    <row r="1233">
      <c r="A1233" s="1" t="inlineStr">
        <is>
          <t>6478f2edc6631</t>
        </is>
      </c>
      <c r="B1233" s="1" t="inlineStr">
        <is>
          <t>PULSERA V LISA GOLD</t>
        </is>
      </c>
      <c r="C1233" s="1" t="inlineStr">
        <is>
          <t>16cm</t>
        </is>
      </c>
      <c r="D1233" s="1" t="inlineStr">
        <is>
          <t>CYNTHIA</t>
        </is>
      </c>
      <c r="E1233" s="4">
        <f>COUNTIF('DETALLE CRONOLÓGICO'!$A$2:$A$4919,$A1233)</f>
        <v/>
      </c>
      <c r="F1233" s="4">
        <f>SUMIFS('DETALLE CRONOLÓGICO'!$I$2:$I$4919,'DETALLE CRONOLÓGICO'!$A$2:$A$4919,$A1233)</f>
        <v/>
      </c>
      <c r="G1233" s="1">
        <f>INDEX('DETALLE CRONOLÓGICO'!$D$2:$D$4919,MATCH($A1233,'DETALLE CRONOLÓGICO'!$A$2:$A$4919,0))</f>
        <v/>
      </c>
      <c r="H1233" s="1">
        <f>INDEX('DETALLE CRONOLÓGICO'!$D$2:$D$4919,MATCH($A1233,'DETALLE CRONOLÓGICO'!$A$2:$A$4919,0)+$E1233-1)</f>
        <v/>
      </c>
      <c r="I1233" s="5">
        <f>IFERROR(SUMIFS('DETALLE CRONOLÓGICO'!$L$2:$L$4919,'DETALLE CRONOLÓGICO'!$A$2:$A$4919,$A1233)/$F1233,"")</f>
        <v/>
      </c>
      <c r="J1233" s="6">
        <f>IFERROR(SUMIFS('DETALLE CRONOLÓGICO'!$K$2:$K$4919,'DETALLE CRONOLÓGICO'!$A$2:$A$4919,$A1233)/$E1233,"")</f>
        <v/>
      </c>
      <c r="K1233" s="6">
        <f>_xlfn.MINIFS('DETALLE CRONOLÓGICO'!$K$2:$K$4919,'DETALLE CRONOLÓGICO'!$A$2:$A$4919,$A1233)</f>
        <v/>
      </c>
      <c r="L1233" s="6">
        <f>_xlfn.MAXIFS('DETALLE CRONOLÓGICO'!$K$2:$K$4919,'DETALLE CRONOLÓGICO'!$A$2:$A$4919,$A1233)</f>
        <v/>
      </c>
      <c r="M1233" s="6">
        <f>INDEX('DETALLE CRONOLÓGICO'!$K$2:$K$4919,MATCH($A1233,'DETALLE CRONOLÓGICO'!$A$2:$A$4919,0)+$E1233-1)</f>
        <v/>
      </c>
      <c r="N1233" s="7">
        <f>IFERROR($M1233/INDEX('DETALLE CRONOLÓGICO'!$K$2:$K$4919,MATCH($A1233,'DETALLE CRONOLÓGICO'!$A$2:$A$4919,0))-1,"")</f>
        <v/>
      </c>
      <c r="O1233" s="6">
        <f>IFERROR($I1233*3,"")</f>
        <v/>
      </c>
      <c r="P1233" s="6">
        <f>IFERROR($I1233*3.5,"")</f>
        <v/>
      </c>
      <c r="Q1233" s="6">
        <f>IFERROR($I1233*4,"")</f>
        <v/>
      </c>
      <c r="R1233" s="6" t="n">
        <v>935</v>
      </c>
      <c r="S1233" s="4" t="n">
        <v>3</v>
      </c>
      <c r="T1233" s="1" t="inlineStr">
        <is>
          <t>active</t>
        </is>
      </c>
      <c r="U1233" s="8" t="n"/>
      <c r="V1233" s="1" t="inlineStr">
        <is>
          <t>SIN PRECIO</t>
        </is>
      </c>
    </row>
    <row r="1234">
      <c r="A1234" s="1" t="inlineStr">
        <is>
          <t>648cc31f234b1</t>
        </is>
      </c>
      <c r="B1234" s="1" t="inlineStr">
        <is>
          <t>COLLAR BV ROSE GOLD</t>
        </is>
      </c>
      <c r="C1234" s="1" t="inlineStr">
        <is>
          <t>Largo de cadena total 40cm  Extensión 8 cm  Dije 1 cm</t>
        </is>
      </c>
      <c r="D1234" s="1" t="inlineStr">
        <is>
          <t>HAIFENG</t>
        </is>
      </c>
      <c r="E1234" s="4">
        <f>COUNTIF('DETALLE CRONOLÓGICO'!$A$2:$A$4919,$A1234)</f>
        <v/>
      </c>
      <c r="F1234" s="4">
        <f>SUMIFS('DETALLE CRONOLÓGICO'!$I$2:$I$4919,'DETALLE CRONOLÓGICO'!$A$2:$A$4919,$A1234)</f>
        <v/>
      </c>
      <c r="G1234" s="1">
        <f>INDEX('DETALLE CRONOLÓGICO'!$D$2:$D$4919,MATCH($A1234,'DETALLE CRONOLÓGICO'!$A$2:$A$4919,0))</f>
        <v/>
      </c>
      <c r="H1234" s="1">
        <f>INDEX('DETALLE CRONOLÓGICO'!$D$2:$D$4919,MATCH($A1234,'DETALLE CRONOLÓGICO'!$A$2:$A$4919,0)+$E1234-1)</f>
        <v/>
      </c>
      <c r="I1234" s="5">
        <f>IFERROR(SUMIFS('DETALLE CRONOLÓGICO'!$L$2:$L$4919,'DETALLE CRONOLÓGICO'!$A$2:$A$4919,$A1234)/$F1234,"")</f>
        <v/>
      </c>
      <c r="J1234" s="6">
        <f>IFERROR(SUMIFS('DETALLE CRONOLÓGICO'!$K$2:$K$4919,'DETALLE CRONOLÓGICO'!$A$2:$A$4919,$A1234)/$E1234,"")</f>
        <v/>
      </c>
      <c r="K1234" s="6">
        <f>_xlfn.MINIFS('DETALLE CRONOLÓGICO'!$K$2:$K$4919,'DETALLE CRONOLÓGICO'!$A$2:$A$4919,$A1234)</f>
        <v/>
      </c>
      <c r="L1234" s="6">
        <f>_xlfn.MAXIFS('DETALLE CRONOLÓGICO'!$K$2:$K$4919,'DETALLE CRONOLÓGICO'!$A$2:$A$4919,$A1234)</f>
        <v/>
      </c>
      <c r="M1234" s="6">
        <f>INDEX('DETALLE CRONOLÓGICO'!$K$2:$K$4919,MATCH($A1234,'DETALLE CRONOLÓGICO'!$A$2:$A$4919,0)+$E1234-1)</f>
        <v/>
      </c>
      <c r="N1234" s="7">
        <f>IFERROR($M1234/INDEX('DETALLE CRONOLÓGICO'!$K$2:$K$4919,MATCH($A1234,'DETALLE CRONOLÓGICO'!$A$2:$A$4919,0))-1,"")</f>
        <v/>
      </c>
      <c r="O1234" s="6">
        <f>IFERROR($I1234*3,"")</f>
        <v/>
      </c>
      <c r="P1234" s="6">
        <f>IFERROR($I1234*3.5,"")</f>
        <v/>
      </c>
      <c r="Q1234" s="6">
        <f>IFERROR($I1234*4,"")</f>
        <v/>
      </c>
      <c r="R1234" s="6" t="n">
        <v>499</v>
      </c>
      <c r="S1234" s="4" t="n">
        <v>0</v>
      </c>
      <c r="T1234" s="1" t="inlineStr">
        <is>
          <t>active</t>
        </is>
      </c>
      <c r="U1234" s="8" t="n"/>
      <c r="V1234" s="1" t="inlineStr">
        <is>
          <t>SIN PRECIO</t>
        </is>
      </c>
    </row>
    <row r="1235">
      <c r="A1235" s="1" t="inlineStr">
        <is>
          <t>648cc32b9ef2d</t>
        </is>
      </c>
      <c r="B1235" s="1" t="inlineStr">
        <is>
          <t>COLLAR CC DORADO</t>
        </is>
      </c>
      <c r="C1235" s="1" t="inlineStr">
        <is>
          <t>Largo de cadena 41.5 cm  Extensión 6 cm  Dije 1.5 cm</t>
        </is>
      </c>
      <c r="D1235" s="1" t="inlineStr">
        <is>
          <t>CYNTHIA</t>
        </is>
      </c>
      <c r="E1235" s="4">
        <f>COUNTIF('DETALLE CRONOLÓGICO'!$A$2:$A$4919,$A1235)</f>
        <v/>
      </c>
      <c r="F1235" s="4">
        <f>SUMIFS('DETALLE CRONOLÓGICO'!$I$2:$I$4919,'DETALLE CRONOLÓGICO'!$A$2:$A$4919,$A1235)</f>
        <v/>
      </c>
      <c r="G1235" s="1">
        <f>INDEX('DETALLE CRONOLÓGICO'!$D$2:$D$4919,MATCH($A1235,'DETALLE CRONOLÓGICO'!$A$2:$A$4919,0))</f>
        <v/>
      </c>
      <c r="H1235" s="1">
        <f>INDEX('DETALLE CRONOLÓGICO'!$D$2:$D$4919,MATCH($A1235,'DETALLE CRONOLÓGICO'!$A$2:$A$4919,0)+$E1235-1)</f>
        <v/>
      </c>
      <c r="I1235" s="5">
        <f>IFERROR(SUMIFS('DETALLE CRONOLÓGICO'!$L$2:$L$4919,'DETALLE CRONOLÓGICO'!$A$2:$A$4919,$A1235)/$F1235,"")</f>
        <v/>
      </c>
      <c r="J1235" s="6">
        <f>IFERROR(SUMIFS('DETALLE CRONOLÓGICO'!$K$2:$K$4919,'DETALLE CRONOLÓGICO'!$A$2:$A$4919,$A1235)/$E1235,"")</f>
        <v/>
      </c>
      <c r="K1235" s="6">
        <f>_xlfn.MINIFS('DETALLE CRONOLÓGICO'!$K$2:$K$4919,'DETALLE CRONOLÓGICO'!$A$2:$A$4919,$A1235)</f>
        <v/>
      </c>
      <c r="L1235" s="6">
        <f>_xlfn.MAXIFS('DETALLE CRONOLÓGICO'!$K$2:$K$4919,'DETALLE CRONOLÓGICO'!$A$2:$A$4919,$A1235)</f>
        <v/>
      </c>
      <c r="M1235" s="6">
        <f>INDEX('DETALLE CRONOLÓGICO'!$K$2:$K$4919,MATCH($A1235,'DETALLE CRONOLÓGICO'!$A$2:$A$4919,0)+$E1235-1)</f>
        <v/>
      </c>
      <c r="N1235" s="7">
        <f>IFERROR($M1235/INDEX('DETALLE CRONOLÓGICO'!$K$2:$K$4919,MATCH($A1235,'DETALLE CRONOLÓGICO'!$A$2:$A$4919,0))-1,"")</f>
        <v/>
      </c>
      <c r="O1235" s="6">
        <f>IFERROR($I1235*3,"")</f>
        <v/>
      </c>
      <c r="P1235" s="6">
        <f>IFERROR($I1235*3.5,"")</f>
        <v/>
      </c>
      <c r="Q1235" s="6">
        <f>IFERROR($I1235*4,"")</f>
        <v/>
      </c>
      <c r="R1235" s="6" t="n">
        <v>350</v>
      </c>
      <c r="S1235" s="4" t="n">
        <v>4</v>
      </c>
      <c r="T1235" s="1" t="inlineStr">
        <is>
          <t>active</t>
        </is>
      </c>
      <c r="U1235" s="8" t="n"/>
      <c r="V1235" s="1" t="inlineStr">
        <is>
          <t>SIN PRECIO</t>
        </is>
      </c>
    </row>
    <row r="1236">
      <c r="A1236" s="1" t="inlineStr">
        <is>
          <t>648cc38968e97</t>
        </is>
      </c>
      <c r="B1236" s="1" t="inlineStr">
        <is>
          <t>LENTES DE SOL PR BLANCO</t>
        </is>
      </c>
      <c r="C1236" s="1" t="inlineStr">
        <is>
          <t>Regular</t>
        </is>
      </c>
      <c r="D1236" s="1" t="inlineStr">
        <is>
          <t>HAIFENG</t>
        </is>
      </c>
      <c r="E1236" s="4">
        <f>COUNTIF('DETALLE CRONOLÓGICO'!$A$2:$A$4919,$A1236)</f>
        <v/>
      </c>
      <c r="F1236" s="4">
        <f>SUMIFS('DETALLE CRONOLÓGICO'!$I$2:$I$4919,'DETALLE CRONOLÓGICO'!$A$2:$A$4919,$A1236)</f>
        <v/>
      </c>
      <c r="G1236" s="1">
        <f>INDEX('DETALLE CRONOLÓGICO'!$D$2:$D$4919,MATCH($A1236,'DETALLE CRONOLÓGICO'!$A$2:$A$4919,0))</f>
        <v/>
      </c>
      <c r="H1236" s="1">
        <f>INDEX('DETALLE CRONOLÓGICO'!$D$2:$D$4919,MATCH($A1236,'DETALLE CRONOLÓGICO'!$A$2:$A$4919,0)+$E1236-1)</f>
        <v/>
      </c>
      <c r="I1236" s="5">
        <f>IFERROR(SUMIFS('DETALLE CRONOLÓGICO'!$L$2:$L$4919,'DETALLE CRONOLÓGICO'!$A$2:$A$4919,$A1236)/$F1236,"")</f>
        <v/>
      </c>
      <c r="J1236" s="6">
        <f>IFERROR(SUMIFS('DETALLE CRONOLÓGICO'!$K$2:$K$4919,'DETALLE CRONOLÓGICO'!$A$2:$A$4919,$A1236)/$E1236,"")</f>
        <v/>
      </c>
      <c r="K1236" s="6">
        <f>_xlfn.MINIFS('DETALLE CRONOLÓGICO'!$K$2:$K$4919,'DETALLE CRONOLÓGICO'!$A$2:$A$4919,$A1236)</f>
        <v/>
      </c>
      <c r="L1236" s="6">
        <f>_xlfn.MAXIFS('DETALLE CRONOLÓGICO'!$K$2:$K$4919,'DETALLE CRONOLÓGICO'!$A$2:$A$4919,$A1236)</f>
        <v/>
      </c>
      <c r="M1236" s="6">
        <f>INDEX('DETALLE CRONOLÓGICO'!$K$2:$K$4919,MATCH($A1236,'DETALLE CRONOLÓGICO'!$A$2:$A$4919,0)+$E1236-1)</f>
        <v/>
      </c>
      <c r="N1236" s="7">
        <f>IFERROR($M1236/INDEX('DETALLE CRONOLÓGICO'!$K$2:$K$4919,MATCH($A1236,'DETALLE CRONOLÓGICO'!$A$2:$A$4919,0))-1,"")</f>
        <v/>
      </c>
      <c r="O1236" s="6">
        <f>IFERROR($I1236*3,"")</f>
        <v/>
      </c>
      <c r="P1236" s="6">
        <f>IFERROR($I1236*3.5,"")</f>
        <v/>
      </c>
      <c r="Q1236" s="6">
        <f>IFERROR($I1236*4,"")</f>
        <v/>
      </c>
      <c r="R1236" s="6" t="n">
        <v>2309</v>
      </c>
      <c r="S1236" s="4" t="n">
        <v>4</v>
      </c>
      <c r="T1236" s="1" t="inlineStr">
        <is>
          <t>active</t>
        </is>
      </c>
      <c r="U1236" s="8" t="n"/>
      <c r="V1236" s="1" t="inlineStr">
        <is>
          <t>SIN PRECIO</t>
        </is>
      </c>
    </row>
    <row r="1237">
      <c r="A1237" s="1" t="inlineStr">
        <is>
          <t>648cc5b33a8a2</t>
        </is>
      </c>
      <c r="B1237" s="1" t="inlineStr">
        <is>
          <t>ARETES SQUARE V GOLD</t>
        </is>
      </c>
      <c r="C1237" s="1" t="inlineStr">
        <is>
          <t>Small 4cm</t>
        </is>
      </c>
      <c r="D1237" s="1" t="inlineStr">
        <is>
          <t>NANCY</t>
        </is>
      </c>
      <c r="E1237" s="4">
        <f>COUNTIF('DETALLE CRONOLÓGICO'!$A$2:$A$4919,$A1237)</f>
        <v/>
      </c>
      <c r="F1237" s="4">
        <f>SUMIFS('DETALLE CRONOLÓGICO'!$I$2:$I$4919,'DETALLE CRONOLÓGICO'!$A$2:$A$4919,$A1237)</f>
        <v/>
      </c>
      <c r="G1237" s="1">
        <f>INDEX('DETALLE CRONOLÓGICO'!$D$2:$D$4919,MATCH($A1237,'DETALLE CRONOLÓGICO'!$A$2:$A$4919,0))</f>
        <v/>
      </c>
      <c r="H1237" s="1">
        <f>INDEX('DETALLE CRONOLÓGICO'!$D$2:$D$4919,MATCH($A1237,'DETALLE CRONOLÓGICO'!$A$2:$A$4919,0)+$E1237-1)</f>
        <v/>
      </c>
      <c r="I1237" s="5">
        <f>IFERROR(SUMIFS('DETALLE CRONOLÓGICO'!$L$2:$L$4919,'DETALLE CRONOLÓGICO'!$A$2:$A$4919,$A1237)/$F1237,"")</f>
        <v/>
      </c>
      <c r="J1237" s="6">
        <f>IFERROR(SUMIFS('DETALLE CRONOLÓGICO'!$K$2:$K$4919,'DETALLE CRONOLÓGICO'!$A$2:$A$4919,$A1237)/$E1237,"")</f>
        <v/>
      </c>
      <c r="K1237" s="6">
        <f>_xlfn.MINIFS('DETALLE CRONOLÓGICO'!$K$2:$K$4919,'DETALLE CRONOLÓGICO'!$A$2:$A$4919,$A1237)</f>
        <v/>
      </c>
      <c r="L1237" s="6">
        <f>_xlfn.MAXIFS('DETALLE CRONOLÓGICO'!$K$2:$K$4919,'DETALLE CRONOLÓGICO'!$A$2:$A$4919,$A1237)</f>
        <v/>
      </c>
      <c r="M1237" s="6">
        <f>INDEX('DETALLE CRONOLÓGICO'!$K$2:$K$4919,MATCH($A1237,'DETALLE CRONOLÓGICO'!$A$2:$A$4919,0)+$E1237-1)</f>
        <v/>
      </c>
      <c r="N1237" s="7">
        <f>IFERROR($M1237/INDEX('DETALLE CRONOLÓGICO'!$K$2:$K$4919,MATCH($A1237,'DETALLE CRONOLÓGICO'!$A$2:$A$4919,0))-1,"")</f>
        <v/>
      </c>
      <c r="O1237" s="6">
        <f>IFERROR($I1237*3,"")</f>
        <v/>
      </c>
      <c r="P1237" s="6">
        <f>IFERROR($I1237*3.5,"")</f>
        <v/>
      </c>
      <c r="Q1237" s="6">
        <f>IFERROR($I1237*4,"")</f>
        <v/>
      </c>
      <c r="R1237" s="6" t="n">
        <v>550</v>
      </c>
      <c r="S1237" s="4" t="n">
        <v>0</v>
      </c>
      <c r="T1237" s="1" t="inlineStr">
        <is>
          <t>active</t>
        </is>
      </c>
      <c r="U1237" s="8" t="n"/>
      <c r="V1237" s="1" t="inlineStr">
        <is>
          <t>SIN PRECIO</t>
        </is>
      </c>
    </row>
    <row r="1238">
      <c r="A1238" s="1" t="inlineStr">
        <is>
          <t>648cc5b58feaa</t>
        </is>
      </c>
      <c r="B1238" s="1" t="inlineStr">
        <is>
          <t>ARETES MM COLGANTE</t>
        </is>
      </c>
      <c r="C1238" s="1" t="inlineStr">
        <is>
          <t>Default Title</t>
        </is>
      </c>
      <c r="D1238" s="1" t="inlineStr">
        <is>
          <t>DINA DU</t>
        </is>
      </c>
      <c r="E1238" s="4">
        <f>COUNTIF('DETALLE CRONOLÓGICO'!$A$2:$A$4919,$A1238)</f>
        <v/>
      </c>
      <c r="F1238" s="4">
        <f>SUMIFS('DETALLE CRONOLÓGICO'!$I$2:$I$4919,'DETALLE CRONOLÓGICO'!$A$2:$A$4919,$A1238)</f>
        <v/>
      </c>
      <c r="G1238" s="1">
        <f>INDEX('DETALLE CRONOLÓGICO'!$D$2:$D$4919,MATCH($A1238,'DETALLE CRONOLÓGICO'!$A$2:$A$4919,0))</f>
        <v/>
      </c>
      <c r="H1238" s="1">
        <f>INDEX('DETALLE CRONOLÓGICO'!$D$2:$D$4919,MATCH($A1238,'DETALLE CRONOLÓGICO'!$A$2:$A$4919,0)+$E1238-1)</f>
        <v/>
      </c>
      <c r="I1238" s="5">
        <f>IFERROR(SUMIFS('DETALLE CRONOLÓGICO'!$L$2:$L$4919,'DETALLE CRONOLÓGICO'!$A$2:$A$4919,$A1238)/$F1238,"")</f>
        <v/>
      </c>
      <c r="J1238" s="6">
        <f>IFERROR(SUMIFS('DETALLE CRONOLÓGICO'!$K$2:$K$4919,'DETALLE CRONOLÓGICO'!$A$2:$A$4919,$A1238)/$E1238,"")</f>
        <v/>
      </c>
      <c r="K1238" s="6">
        <f>_xlfn.MINIFS('DETALLE CRONOLÓGICO'!$K$2:$K$4919,'DETALLE CRONOLÓGICO'!$A$2:$A$4919,$A1238)</f>
        <v/>
      </c>
      <c r="L1238" s="6">
        <f>_xlfn.MAXIFS('DETALLE CRONOLÓGICO'!$K$2:$K$4919,'DETALLE CRONOLÓGICO'!$A$2:$A$4919,$A1238)</f>
        <v/>
      </c>
      <c r="M1238" s="6">
        <f>INDEX('DETALLE CRONOLÓGICO'!$K$2:$K$4919,MATCH($A1238,'DETALLE CRONOLÓGICO'!$A$2:$A$4919,0)+$E1238-1)</f>
        <v/>
      </c>
      <c r="N1238" s="7">
        <f>IFERROR($M1238/INDEX('DETALLE CRONOLÓGICO'!$K$2:$K$4919,MATCH($A1238,'DETALLE CRONOLÓGICO'!$A$2:$A$4919,0))-1,"")</f>
        <v/>
      </c>
      <c r="O1238" s="6">
        <f>IFERROR($I1238*3,"")</f>
        <v/>
      </c>
      <c r="P1238" s="6">
        <f>IFERROR($I1238*3.5,"")</f>
        <v/>
      </c>
      <c r="Q1238" s="6">
        <f>IFERROR($I1238*4,"")</f>
        <v/>
      </c>
      <c r="R1238" s="6" t="n">
        <v>499</v>
      </c>
      <c r="S1238" s="4" t="n">
        <v>0</v>
      </c>
      <c r="T1238" s="1" t="inlineStr">
        <is>
          <t>active</t>
        </is>
      </c>
      <c r="U1238" s="8" t="n"/>
      <c r="V1238" s="1" t="inlineStr">
        <is>
          <t>SIN PRECIO</t>
        </is>
      </c>
    </row>
    <row r="1239">
      <c r="A1239" s="1" t="inlineStr">
        <is>
          <t>648cc5bf129eb</t>
        </is>
      </c>
      <c r="B1239" s="1" t="inlineStr">
        <is>
          <t>COLLAR TRÉBOL GOLD</t>
        </is>
      </c>
      <c r="C1239" s="1" t="inlineStr">
        <is>
          <t>41cm con extension de 3cm</t>
        </is>
      </c>
      <c r="D1239" s="1" t="inlineStr">
        <is>
          <t>HAIFENG</t>
        </is>
      </c>
      <c r="E1239" s="4">
        <f>COUNTIF('DETALLE CRONOLÓGICO'!$A$2:$A$4919,$A1239)</f>
        <v/>
      </c>
      <c r="F1239" s="4">
        <f>SUMIFS('DETALLE CRONOLÓGICO'!$I$2:$I$4919,'DETALLE CRONOLÓGICO'!$A$2:$A$4919,$A1239)</f>
        <v/>
      </c>
      <c r="G1239" s="1">
        <f>INDEX('DETALLE CRONOLÓGICO'!$D$2:$D$4919,MATCH($A1239,'DETALLE CRONOLÓGICO'!$A$2:$A$4919,0))</f>
        <v/>
      </c>
      <c r="H1239" s="1">
        <f>INDEX('DETALLE CRONOLÓGICO'!$D$2:$D$4919,MATCH($A1239,'DETALLE CRONOLÓGICO'!$A$2:$A$4919,0)+$E1239-1)</f>
        <v/>
      </c>
      <c r="I1239" s="5">
        <f>IFERROR(SUMIFS('DETALLE CRONOLÓGICO'!$L$2:$L$4919,'DETALLE CRONOLÓGICO'!$A$2:$A$4919,$A1239)/$F1239,"")</f>
        <v/>
      </c>
      <c r="J1239" s="6">
        <f>IFERROR(SUMIFS('DETALLE CRONOLÓGICO'!$K$2:$K$4919,'DETALLE CRONOLÓGICO'!$A$2:$A$4919,$A1239)/$E1239,"")</f>
        <v/>
      </c>
      <c r="K1239" s="6">
        <f>_xlfn.MINIFS('DETALLE CRONOLÓGICO'!$K$2:$K$4919,'DETALLE CRONOLÓGICO'!$A$2:$A$4919,$A1239)</f>
        <v/>
      </c>
      <c r="L1239" s="6">
        <f>_xlfn.MAXIFS('DETALLE CRONOLÓGICO'!$K$2:$K$4919,'DETALLE CRONOLÓGICO'!$A$2:$A$4919,$A1239)</f>
        <v/>
      </c>
      <c r="M1239" s="6">
        <f>INDEX('DETALLE CRONOLÓGICO'!$K$2:$K$4919,MATCH($A1239,'DETALLE CRONOLÓGICO'!$A$2:$A$4919,0)+$E1239-1)</f>
        <v/>
      </c>
      <c r="N1239" s="7">
        <f>IFERROR($M1239/INDEX('DETALLE CRONOLÓGICO'!$K$2:$K$4919,MATCH($A1239,'DETALLE CRONOLÓGICO'!$A$2:$A$4919,0))-1,"")</f>
        <v/>
      </c>
      <c r="O1239" s="6">
        <f>IFERROR($I1239*3,"")</f>
        <v/>
      </c>
      <c r="P1239" s="6">
        <f>IFERROR($I1239*3.5,"")</f>
        <v/>
      </c>
      <c r="Q1239" s="6">
        <f>IFERROR($I1239*4,"")</f>
        <v/>
      </c>
      <c r="R1239" s="6" t="n">
        <v>550</v>
      </c>
      <c r="S1239" s="4" t="n">
        <v>7</v>
      </c>
      <c r="T1239" s="1" t="inlineStr">
        <is>
          <t>active</t>
        </is>
      </c>
      <c r="U1239" s="8" t="n"/>
      <c r="V1239" s="1" t="inlineStr">
        <is>
          <t>SIN PRECIO</t>
        </is>
      </c>
    </row>
    <row r="1240">
      <c r="A1240" s="1" t="inlineStr">
        <is>
          <t>648cc5c03c2b5</t>
        </is>
      </c>
      <c r="B1240" s="1" t="inlineStr">
        <is>
          <t>CHOKER MM ZIRCONIAS</t>
        </is>
      </c>
      <c r="C1240" s="1" t="inlineStr">
        <is>
          <t>41cm</t>
        </is>
      </c>
      <c r="D1240" s="1" t="inlineStr">
        <is>
          <t>DINA DU</t>
        </is>
      </c>
      <c r="E1240" s="4">
        <f>COUNTIF('DETALLE CRONOLÓGICO'!$A$2:$A$4919,$A1240)</f>
        <v/>
      </c>
      <c r="F1240" s="4">
        <f>SUMIFS('DETALLE CRONOLÓGICO'!$I$2:$I$4919,'DETALLE CRONOLÓGICO'!$A$2:$A$4919,$A1240)</f>
        <v/>
      </c>
      <c r="G1240" s="1">
        <f>INDEX('DETALLE CRONOLÓGICO'!$D$2:$D$4919,MATCH($A1240,'DETALLE CRONOLÓGICO'!$A$2:$A$4919,0))</f>
        <v/>
      </c>
      <c r="H1240" s="1">
        <f>INDEX('DETALLE CRONOLÓGICO'!$D$2:$D$4919,MATCH($A1240,'DETALLE CRONOLÓGICO'!$A$2:$A$4919,0)+$E1240-1)</f>
        <v/>
      </c>
      <c r="I1240" s="5">
        <f>IFERROR(SUMIFS('DETALLE CRONOLÓGICO'!$L$2:$L$4919,'DETALLE CRONOLÓGICO'!$A$2:$A$4919,$A1240)/$F1240,"")</f>
        <v/>
      </c>
      <c r="J1240" s="6">
        <f>IFERROR(SUMIFS('DETALLE CRONOLÓGICO'!$K$2:$K$4919,'DETALLE CRONOLÓGICO'!$A$2:$A$4919,$A1240)/$E1240,"")</f>
        <v/>
      </c>
      <c r="K1240" s="6">
        <f>_xlfn.MINIFS('DETALLE CRONOLÓGICO'!$K$2:$K$4919,'DETALLE CRONOLÓGICO'!$A$2:$A$4919,$A1240)</f>
        <v/>
      </c>
      <c r="L1240" s="6">
        <f>_xlfn.MAXIFS('DETALLE CRONOLÓGICO'!$K$2:$K$4919,'DETALLE CRONOLÓGICO'!$A$2:$A$4919,$A1240)</f>
        <v/>
      </c>
      <c r="M1240" s="6">
        <f>INDEX('DETALLE CRONOLÓGICO'!$K$2:$K$4919,MATCH($A1240,'DETALLE CRONOLÓGICO'!$A$2:$A$4919,0)+$E1240-1)</f>
        <v/>
      </c>
      <c r="N1240" s="7">
        <f>IFERROR($M1240/INDEX('DETALLE CRONOLÓGICO'!$K$2:$K$4919,MATCH($A1240,'DETALLE CRONOLÓGICO'!$A$2:$A$4919,0))-1,"")</f>
        <v/>
      </c>
      <c r="O1240" s="6">
        <f>IFERROR($I1240*3,"")</f>
        <v/>
      </c>
      <c r="P1240" s="6">
        <f>IFERROR($I1240*3.5,"")</f>
        <v/>
      </c>
      <c r="Q1240" s="6">
        <f>IFERROR($I1240*4,"")</f>
        <v/>
      </c>
      <c r="R1240" s="6" t="n">
        <v>450</v>
      </c>
      <c r="S1240" s="4" t="n">
        <v>0</v>
      </c>
      <c r="T1240" s="1" t="inlineStr">
        <is>
          <t>active</t>
        </is>
      </c>
      <c r="U1240" s="8" t="n"/>
      <c r="V1240" s="1" t="inlineStr">
        <is>
          <t>SIN PRECIO</t>
        </is>
      </c>
    </row>
    <row r="1241">
      <c r="A1241" s="1" t="inlineStr">
        <is>
          <t>648cc5c47664a</t>
        </is>
      </c>
      <c r="B1241" s="1" t="inlineStr">
        <is>
          <t>PULSERA CD DE TELA BEIGE</t>
        </is>
      </c>
      <c r="C1241" s="1" t="inlineStr">
        <is>
          <t>15cm con extensión de 5cm</t>
        </is>
      </c>
      <c r="D1241" s="1" t="inlineStr">
        <is>
          <t>DINA DU</t>
        </is>
      </c>
      <c r="E1241" s="4">
        <f>COUNTIF('DETALLE CRONOLÓGICO'!$A$2:$A$4919,$A1241)</f>
        <v/>
      </c>
      <c r="F1241" s="4">
        <f>SUMIFS('DETALLE CRONOLÓGICO'!$I$2:$I$4919,'DETALLE CRONOLÓGICO'!$A$2:$A$4919,$A1241)</f>
        <v/>
      </c>
      <c r="G1241" s="1">
        <f>INDEX('DETALLE CRONOLÓGICO'!$D$2:$D$4919,MATCH($A1241,'DETALLE CRONOLÓGICO'!$A$2:$A$4919,0))</f>
        <v/>
      </c>
      <c r="H1241" s="1">
        <f>INDEX('DETALLE CRONOLÓGICO'!$D$2:$D$4919,MATCH($A1241,'DETALLE CRONOLÓGICO'!$A$2:$A$4919,0)+$E1241-1)</f>
        <v/>
      </c>
      <c r="I1241" s="5">
        <f>IFERROR(SUMIFS('DETALLE CRONOLÓGICO'!$L$2:$L$4919,'DETALLE CRONOLÓGICO'!$A$2:$A$4919,$A1241)/$F1241,"")</f>
        <v/>
      </c>
      <c r="J1241" s="6">
        <f>IFERROR(SUMIFS('DETALLE CRONOLÓGICO'!$K$2:$K$4919,'DETALLE CRONOLÓGICO'!$A$2:$A$4919,$A1241)/$E1241,"")</f>
        <v/>
      </c>
      <c r="K1241" s="6">
        <f>_xlfn.MINIFS('DETALLE CRONOLÓGICO'!$K$2:$K$4919,'DETALLE CRONOLÓGICO'!$A$2:$A$4919,$A1241)</f>
        <v/>
      </c>
      <c r="L1241" s="6">
        <f>_xlfn.MAXIFS('DETALLE CRONOLÓGICO'!$K$2:$K$4919,'DETALLE CRONOLÓGICO'!$A$2:$A$4919,$A1241)</f>
        <v/>
      </c>
      <c r="M1241" s="6">
        <f>INDEX('DETALLE CRONOLÓGICO'!$K$2:$K$4919,MATCH($A1241,'DETALLE CRONOLÓGICO'!$A$2:$A$4919,0)+$E1241-1)</f>
        <v/>
      </c>
      <c r="N1241" s="7">
        <f>IFERROR($M1241/INDEX('DETALLE CRONOLÓGICO'!$K$2:$K$4919,MATCH($A1241,'DETALLE CRONOLÓGICO'!$A$2:$A$4919,0))-1,"")</f>
        <v/>
      </c>
      <c r="O1241" s="6">
        <f>IFERROR($I1241*3,"")</f>
        <v/>
      </c>
      <c r="P1241" s="6">
        <f>IFERROR($I1241*3.5,"")</f>
        <v/>
      </c>
      <c r="Q1241" s="6">
        <f>IFERROR($I1241*4,"")</f>
        <v/>
      </c>
      <c r="R1241" s="6" t="n">
        <v>499</v>
      </c>
      <c r="S1241" s="4" t="n">
        <v>0</v>
      </c>
      <c r="T1241" s="1" t="inlineStr">
        <is>
          <t>active</t>
        </is>
      </c>
      <c r="U1241" s="8" t="n"/>
      <c r="V1241" s="1" t="inlineStr">
        <is>
          <t>SIN PRECIO</t>
        </is>
      </c>
    </row>
    <row r="1242">
      <c r="A1242" s="1" t="inlineStr">
        <is>
          <t>648cc5c57f64d</t>
        </is>
      </c>
      <c r="B1242" s="1" t="inlineStr">
        <is>
          <t>PULSERA CD DE TELA DARK BLUE</t>
        </is>
      </c>
      <c r="C1242" s="1" t="inlineStr">
        <is>
          <t>15cm con extensión de 5cm</t>
        </is>
      </c>
      <c r="D1242" s="1" t="inlineStr">
        <is>
          <t>DINA DU</t>
        </is>
      </c>
      <c r="E1242" s="4">
        <f>COUNTIF('DETALLE CRONOLÓGICO'!$A$2:$A$4919,$A1242)</f>
        <v/>
      </c>
      <c r="F1242" s="4">
        <f>SUMIFS('DETALLE CRONOLÓGICO'!$I$2:$I$4919,'DETALLE CRONOLÓGICO'!$A$2:$A$4919,$A1242)</f>
        <v/>
      </c>
      <c r="G1242" s="1">
        <f>INDEX('DETALLE CRONOLÓGICO'!$D$2:$D$4919,MATCH($A1242,'DETALLE CRONOLÓGICO'!$A$2:$A$4919,0))</f>
        <v/>
      </c>
      <c r="H1242" s="1">
        <f>INDEX('DETALLE CRONOLÓGICO'!$D$2:$D$4919,MATCH($A1242,'DETALLE CRONOLÓGICO'!$A$2:$A$4919,0)+$E1242-1)</f>
        <v/>
      </c>
      <c r="I1242" s="5">
        <f>IFERROR(SUMIFS('DETALLE CRONOLÓGICO'!$L$2:$L$4919,'DETALLE CRONOLÓGICO'!$A$2:$A$4919,$A1242)/$F1242,"")</f>
        <v/>
      </c>
      <c r="J1242" s="6">
        <f>IFERROR(SUMIFS('DETALLE CRONOLÓGICO'!$K$2:$K$4919,'DETALLE CRONOLÓGICO'!$A$2:$A$4919,$A1242)/$E1242,"")</f>
        <v/>
      </c>
      <c r="K1242" s="6">
        <f>_xlfn.MINIFS('DETALLE CRONOLÓGICO'!$K$2:$K$4919,'DETALLE CRONOLÓGICO'!$A$2:$A$4919,$A1242)</f>
        <v/>
      </c>
      <c r="L1242" s="6">
        <f>_xlfn.MAXIFS('DETALLE CRONOLÓGICO'!$K$2:$K$4919,'DETALLE CRONOLÓGICO'!$A$2:$A$4919,$A1242)</f>
        <v/>
      </c>
      <c r="M1242" s="6">
        <f>INDEX('DETALLE CRONOLÓGICO'!$K$2:$K$4919,MATCH($A1242,'DETALLE CRONOLÓGICO'!$A$2:$A$4919,0)+$E1242-1)</f>
        <v/>
      </c>
      <c r="N1242" s="7">
        <f>IFERROR($M1242/INDEX('DETALLE CRONOLÓGICO'!$K$2:$K$4919,MATCH($A1242,'DETALLE CRONOLÓGICO'!$A$2:$A$4919,0))-1,"")</f>
        <v/>
      </c>
      <c r="O1242" s="6">
        <f>IFERROR($I1242*3,"")</f>
        <v/>
      </c>
      <c r="P1242" s="6">
        <f>IFERROR($I1242*3.5,"")</f>
        <v/>
      </c>
      <c r="Q1242" s="6">
        <f>IFERROR($I1242*4,"")</f>
        <v/>
      </c>
      <c r="R1242" s="6" t="n">
        <v>549</v>
      </c>
      <c r="S1242" s="4" t="n">
        <v>0</v>
      </c>
      <c r="T1242" s="1" t="inlineStr">
        <is>
          <t>active</t>
        </is>
      </c>
      <c r="U1242" s="8" t="n"/>
      <c r="V1242" s="1" t="inlineStr">
        <is>
          <t>SIN PRECIO</t>
        </is>
      </c>
    </row>
    <row r="1243">
      <c r="A1243" s="1" t="inlineStr">
        <is>
          <t>648cc5f7495e2</t>
        </is>
      </c>
      <c r="B1243" s="1" t="inlineStr">
        <is>
          <t>PULSERA CD DE TELA PINK</t>
        </is>
      </c>
      <c r="C1243" s="1" t="inlineStr">
        <is>
          <t>15cm con extensión de 5cm</t>
        </is>
      </c>
      <c r="D1243" s="1" t="inlineStr">
        <is>
          <t>DINA DU</t>
        </is>
      </c>
      <c r="E1243" s="4">
        <f>COUNTIF('DETALLE CRONOLÓGICO'!$A$2:$A$4919,$A1243)</f>
        <v/>
      </c>
      <c r="F1243" s="4">
        <f>SUMIFS('DETALLE CRONOLÓGICO'!$I$2:$I$4919,'DETALLE CRONOLÓGICO'!$A$2:$A$4919,$A1243)</f>
        <v/>
      </c>
      <c r="G1243" s="1">
        <f>INDEX('DETALLE CRONOLÓGICO'!$D$2:$D$4919,MATCH($A1243,'DETALLE CRONOLÓGICO'!$A$2:$A$4919,0))</f>
        <v/>
      </c>
      <c r="H1243" s="1">
        <f>INDEX('DETALLE CRONOLÓGICO'!$D$2:$D$4919,MATCH($A1243,'DETALLE CRONOLÓGICO'!$A$2:$A$4919,0)+$E1243-1)</f>
        <v/>
      </c>
      <c r="I1243" s="5">
        <f>IFERROR(SUMIFS('DETALLE CRONOLÓGICO'!$L$2:$L$4919,'DETALLE CRONOLÓGICO'!$A$2:$A$4919,$A1243)/$F1243,"")</f>
        <v/>
      </c>
      <c r="J1243" s="6">
        <f>IFERROR(SUMIFS('DETALLE CRONOLÓGICO'!$K$2:$K$4919,'DETALLE CRONOLÓGICO'!$A$2:$A$4919,$A1243)/$E1243,"")</f>
        <v/>
      </c>
      <c r="K1243" s="6">
        <f>_xlfn.MINIFS('DETALLE CRONOLÓGICO'!$K$2:$K$4919,'DETALLE CRONOLÓGICO'!$A$2:$A$4919,$A1243)</f>
        <v/>
      </c>
      <c r="L1243" s="6">
        <f>_xlfn.MAXIFS('DETALLE CRONOLÓGICO'!$K$2:$K$4919,'DETALLE CRONOLÓGICO'!$A$2:$A$4919,$A1243)</f>
        <v/>
      </c>
      <c r="M1243" s="6">
        <f>INDEX('DETALLE CRONOLÓGICO'!$K$2:$K$4919,MATCH($A1243,'DETALLE CRONOLÓGICO'!$A$2:$A$4919,0)+$E1243-1)</f>
        <v/>
      </c>
      <c r="N1243" s="7">
        <f>IFERROR($M1243/INDEX('DETALLE CRONOLÓGICO'!$K$2:$K$4919,MATCH($A1243,'DETALLE CRONOLÓGICO'!$A$2:$A$4919,0))-1,"")</f>
        <v/>
      </c>
      <c r="O1243" s="6">
        <f>IFERROR($I1243*3,"")</f>
        <v/>
      </c>
      <c r="P1243" s="6">
        <f>IFERROR($I1243*3.5,"")</f>
        <v/>
      </c>
      <c r="Q1243" s="6">
        <f>IFERROR($I1243*4,"")</f>
        <v/>
      </c>
      <c r="R1243" s="6" t="n">
        <v>499</v>
      </c>
      <c r="S1243" s="4" t="n">
        <v>5</v>
      </c>
      <c r="T1243" s="1" t="inlineStr">
        <is>
          <t>active</t>
        </is>
      </c>
      <c r="U1243" s="8" t="n"/>
      <c r="V1243" s="1" t="inlineStr">
        <is>
          <t>SIN PRECIO</t>
        </is>
      </c>
    </row>
    <row r="1244">
      <c r="A1244" s="1" t="inlineStr">
        <is>
          <t>648cc5ff73cd7</t>
        </is>
      </c>
      <c r="B1244" s="1" t="inlineStr">
        <is>
          <t>COLLAR YSL GOLD (NECKLACE)</t>
        </is>
      </c>
      <c r="C1244" s="1" t="inlineStr">
        <is>
          <t>20cm HIGH QUALITY</t>
        </is>
      </c>
      <c r="D1244" s="1" t="inlineStr">
        <is>
          <t>NANCY</t>
        </is>
      </c>
      <c r="E1244" s="4">
        <f>COUNTIF('DETALLE CRONOLÓGICO'!$A$2:$A$4919,$A1244)</f>
        <v/>
      </c>
      <c r="F1244" s="4">
        <f>SUMIFS('DETALLE CRONOLÓGICO'!$I$2:$I$4919,'DETALLE CRONOLÓGICO'!$A$2:$A$4919,$A1244)</f>
        <v/>
      </c>
      <c r="G1244" s="1">
        <f>INDEX('DETALLE CRONOLÓGICO'!$D$2:$D$4919,MATCH($A1244,'DETALLE CRONOLÓGICO'!$A$2:$A$4919,0))</f>
        <v/>
      </c>
      <c r="H1244" s="1">
        <f>INDEX('DETALLE CRONOLÓGICO'!$D$2:$D$4919,MATCH($A1244,'DETALLE CRONOLÓGICO'!$A$2:$A$4919,0)+$E1244-1)</f>
        <v/>
      </c>
      <c r="I1244" s="5">
        <f>IFERROR(SUMIFS('DETALLE CRONOLÓGICO'!$L$2:$L$4919,'DETALLE CRONOLÓGICO'!$A$2:$A$4919,$A1244)/$F1244,"")</f>
        <v/>
      </c>
      <c r="J1244" s="6">
        <f>IFERROR(SUMIFS('DETALLE CRONOLÓGICO'!$K$2:$K$4919,'DETALLE CRONOLÓGICO'!$A$2:$A$4919,$A1244)/$E1244,"")</f>
        <v/>
      </c>
      <c r="K1244" s="6">
        <f>_xlfn.MINIFS('DETALLE CRONOLÓGICO'!$K$2:$K$4919,'DETALLE CRONOLÓGICO'!$A$2:$A$4919,$A1244)</f>
        <v/>
      </c>
      <c r="L1244" s="6">
        <f>_xlfn.MAXIFS('DETALLE CRONOLÓGICO'!$K$2:$K$4919,'DETALLE CRONOLÓGICO'!$A$2:$A$4919,$A1244)</f>
        <v/>
      </c>
      <c r="M1244" s="6">
        <f>INDEX('DETALLE CRONOLÓGICO'!$K$2:$K$4919,MATCH($A1244,'DETALLE CRONOLÓGICO'!$A$2:$A$4919,0)+$E1244-1)</f>
        <v/>
      </c>
      <c r="N1244" s="7">
        <f>IFERROR($M1244/INDEX('DETALLE CRONOLÓGICO'!$K$2:$K$4919,MATCH($A1244,'DETALLE CRONOLÓGICO'!$A$2:$A$4919,0))-1,"")</f>
        <v/>
      </c>
      <c r="O1244" s="6">
        <f>IFERROR($I1244*3,"")</f>
        <v/>
      </c>
      <c r="P1244" s="6">
        <f>IFERROR($I1244*3.5,"")</f>
        <v/>
      </c>
      <c r="Q1244" s="6">
        <f>IFERROR($I1244*4,"")</f>
        <v/>
      </c>
      <c r="R1244" s="6" t="n">
        <v>615</v>
      </c>
      <c r="S1244" s="4" t="n">
        <v>2</v>
      </c>
      <c r="T1244" s="1" t="inlineStr">
        <is>
          <t>active</t>
        </is>
      </c>
      <c r="U1244" s="8" t="n"/>
      <c r="V1244" s="1" t="inlineStr">
        <is>
          <t>SIN PRECIO</t>
        </is>
      </c>
    </row>
    <row r="1245">
      <c r="A1245" s="1" t="inlineStr">
        <is>
          <t>648cc600a2ec5</t>
        </is>
      </c>
      <c r="B1245" s="1" t="inlineStr">
        <is>
          <t>GORRO PR BLACK</t>
        </is>
      </c>
      <c r="C1245" s="1" t="inlineStr">
        <is>
          <t>M</t>
        </is>
      </c>
      <c r="D1245" s="1" t="inlineStr">
        <is>
          <t>DINA DU</t>
        </is>
      </c>
      <c r="E1245" s="4">
        <f>COUNTIF('DETALLE CRONOLÓGICO'!$A$2:$A$4919,$A1245)</f>
        <v/>
      </c>
      <c r="F1245" s="4">
        <f>SUMIFS('DETALLE CRONOLÓGICO'!$I$2:$I$4919,'DETALLE CRONOLÓGICO'!$A$2:$A$4919,$A1245)</f>
        <v/>
      </c>
      <c r="G1245" s="1">
        <f>INDEX('DETALLE CRONOLÓGICO'!$D$2:$D$4919,MATCH($A1245,'DETALLE CRONOLÓGICO'!$A$2:$A$4919,0))</f>
        <v/>
      </c>
      <c r="H1245" s="1">
        <f>INDEX('DETALLE CRONOLÓGICO'!$D$2:$D$4919,MATCH($A1245,'DETALLE CRONOLÓGICO'!$A$2:$A$4919,0)+$E1245-1)</f>
        <v/>
      </c>
      <c r="I1245" s="5">
        <f>IFERROR(SUMIFS('DETALLE CRONOLÓGICO'!$L$2:$L$4919,'DETALLE CRONOLÓGICO'!$A$2:$A$4919,$A1245)/$F1245,"")</f>
        <v/>
      </c>
      <c r="J1245" s="6">
        <f>IFERROR(SUMIFS('DETALLE CRONOLÓGICO'!$K$2:$K$4919,'DETALLE CRONOLÓGICO'!$A$2:$A$4919,$A1245)/$E1245,"")</f>
        <v/>
      </c>
      <c r="K1245" s="6">
        <f>_xlfn.MINIFS('DETALLE CRONOLÓGICO'!$K$2:$K$4919,'DETALLE CRONOLÓGICO'!$A$2:$A$4919,$A1245)</f>
        <v/>
      </c>
      <c r="L1245" s="6">
        <f>_xlfn.MAXIFS('DETALLE CRONOLÓGICO'!$K$2:$K$4919,'DETALLE CRONOLÓGICO'!$A$2:$A$4919,$A1245)</f>
        <v/>
      </c>
      <c r="M1245" s="6">
        <f>INDEX('DETALLE CRONOLÓGICO'!$K$2:$K$4919,MATCH($A1245,'DETALLE CRONOLÓGICO'!$A$2:$A$4919,0)+$E1245-1)</f>
        <v/>
      </c>
      <c r="N1245" s="7">
        <f>IFERROR($M1245/INDEX('DETALLE CRONOLÓGICO'!$K$2:$K$4919,MATCH($A1245,'DETALLE CRONOLÓGICO'!$A$2:$A$4919,0))-1,"")</f>
        <v/>
      </c>
      <c r="O1245" s="6">
        <f>IFERROR($I1245*3,"")</f>
        <v/>
      </c>
      <c r="P1245" s="6">
        <f>IFERROR($I1245*3.5,"")</f>
        <v/>
      </c>
      <c r="Q1245" s="6">
        <f>IFERROR($I1245*4,"")</f>
        <v/>
      </c>
      <c r="R1245" s="6" t="n">
        <v>1190</v>
      </c>
      <c r="S1245" s="4" t="n">
        <v>0</v>
      </c>
      <c r="T1245" s="1" t="inlineStr">
        <is>
          <t>active</t>
        </is>
      </c>
      <c r="U1245" s="8" t="n"/>
      <c r="V1245" s="1" t="inlineStr">
        <is>
          <t>SIN PRECIO</t>
        </is>
      </c>
    </row>
    <row r="1246">
      <c r="A1246" s="1" t="inlineStr">
        <is>
          <t>648cc60ce32b1</t>
        </is>
      </c>
      <c r="B1246" s="1" t="inlineStr">
        <is>
          <t>CARTERA LV BROWN</t>
        </is>
      </c>
      <c r="C1246" s="1" t="inlineStr">
        <is>
          <t>12cmx9cm</t>
        </is>
      </c>
      <c r="D1246" s="1" t="inlineStr">
        <is>
          <t>DINA DU</t>
        </is>
      </c>
      <c r="E1246" s="4">
        <f>COUNTIF('DETALLE CRONOLÓGICO'!$A$2:$A$4919,$A1246)</f>
        <v/>
      </c>
      <c r="F1246" s="4">
        <f>SUMIFS('DETALLE CRONOLÓGICO'!$I$2:$I$4919,'DETALLE CRONOLÓGICO'!$A$2:$A$4919,$A1246)</f>
        <v/>
      </c>
      <c r="G1246" s="1">
        <f>INDEX('DETALLE CRONOLÓGICO'!$D$2:$D$4919,MATCH($A1246,'DETALLE CRONOLÓGICO'!$A$2:$A$4919,0))</f>
        <v/>
      </c>
      <c r="H1246" s="1">
        <f>INDEX('DETALLE CRONOLÓGICO'!$D$2:$D$4919,MATCH($A1246,'DETALLE CRONOLÓGICO'!$A$2:$A$4919,0)+$E1246-1)</f>
        <v/>
      </c>
      <c r="I1246" s="5">
        <f>IFERROR(SUMIFS('DETALLE CRONOLÓGICO'!$L$2:$L$4919,'DETALLE CRONOLÓGICO'!$A$2:$A$4919,$A1246)/$F1246,"")</f>
        <v/>
      </c>
      <c r="J1246" s="6">
        <f>IFERROR(SUMIFS('DETALLE CRONOLÓGICO'!$K$2:$K$4919,'DETALLE CRONOLÓGICO'!$A$2:$A$4919,$A1246)/$E1246,"")</f>
        <v/>
      </c>
      <c r="K1246" s="6">
        <f>_xlfn.MINIFS('DETALLE CRONOLÓGICO'!$K$2:$K$4919,'DETALLE CRONOLÓGICO'!$A$2:$A$4919,$A1246)</f>
        <v/>
      </c>
      <c r="L1246" s="6">
        <f>_xlfn.MAXIFS('DETALLE CRONOLÓGICO'!$K$2:$K$4919,'DETALLE CRONOLÓGICO'!$A$2:$A$4919,$A1246)</f>
        <v/>
      </c>
      <c r="M1246" s="6">
        <f>INDEX('DETALLE CRONOLÓGICO'!$K$2:$K$4919,MATCH($A1246,'DETALLE CRONOLÓGICO'!$A$2:$A$4919,0)+$E1246-1)</f>
        <v/>
      </c>
      <c r="N1246" s="7">
        <f>IFERROR($M1246/INDEX('DETALLE CRONOLÓGICO'!$K$2:$K$4919,MATCH($A1246,'DETALLE CRONOLÓGICO'!$A$2:$A$4919,0))-1,"")</f>
        <v/>
      </c>
      <c r="O1246" s="6">
        <f>IFERROR($I1246*3,"")</f>
        <v/>
      </c>
      <c r="P1246" s="6">
        <f>IFERROR($I1246*3.5,"")</f>
        <v/>
      </c>
      <c r="Q1246" s="6">
        <f>IFERROR($I1246*4,"")</f>
        <v/>
      </c>
      <c r="R1246" s="6" t="n">
        <v>916</v>
      </c>
      <c r="S1246" s="4" t="n">
        <v>2</v>
      </c>
      <c r="T1246" s="1" t="inlineStr">
        <is>
          <t>active</t>
        </is>
      </c>
      <c r="U1246" s="8" t="n"/>
      <c r="V1246" s="1" t="inlineStr">
        <is>
          <t>SIN PRECIO</t>
        </is>
      </c>
    </row>
    <row r="1247">
      <c r="A1247" s="1" t="inlineStr">
        <is>
          <t>648cc60e5d7a4</t>
        </is>
      </c>
      <c r="B1247" s="1" t="inlineStr">
        <is>
          <t>CINTO GC BLACK</t>
        </is>
      </c>
      <c r="C1247" s="1" t="inlineStr">
        <is>
          <t>100cm</t>
        </is>
      </c>
      <c r="D1247" s="1" t="inlineStr">
        <is>
          <t>DINA DU</t>
        </is>
      </c>
      <c r="E1247" s="4">
        <f>COUNTIF('DETALLE CRONOLÓGICO'!$A$2:$A$4919,$A1247)</f>
        <v/>
      </c>
      <c r="F1247" s="4">
        <f>SUMIFS('DETALLE CRONOLÓGICO'!$I$2:$I$4919,'DETALLE CRONOLÓGICO'!$A$2:$A$4919,$A1247)</f>
        <v/>
      </c>
      <c r="G1247" s="1">
        <f>INDEX('DETALLE CRONOLÓGICO'!$D$2:$D$4919,MATCH($A1247,'DETALLE CRONOLÓGICO'!$A$2:$A$4919,0))</f>
        <v/>
      </c>
      <c r="H1247" s="1">
        <f>INDEX('DETALLE CRONOLÓGICO'!$D$2:$D$4919,MATCH($A1247,'DETALLE CRONOLÓGICO'!$A$2:$A$4919,0)+$E1247-1)</f>
        <v/>
      </c>
      <c r="I1247" s="5">
        <f>IFERROR(SUMIFS('DETALLE CRONOLÓGICO'!$L$2:$L$4919,'DETALLE CRONOLÓGICO'!$A$2:$A$4919,$A1247)/$F1247,"")</f>
        <v/>
      </c>
      <c r="J1247" s="6">
        <f>IFERROR(SUMIFS('DETALLE CRONOLÓGICO'!$K$2:$K$4919,'DETALLE CRONOLÓGICO'!$A$2:$A$4919,$A1247)/$E1247,"")</f>
        <v/>
      </c>
      <c r="K1247" s="6">
        <f>_xlfn.MINIFS('DETALLE CRONOLÓGICO'!$K$2:$K$4919,'DETALLE CRONOLÓGICO'!$A$2:$A$4919,$A1247)</f>
        <v/>
      </c>
      <c r="L1247" s="6">
        <f>_xlfn.MAXIFS('DETALLE CRONOLÓGICO'!$K$2:$K$4919,'DETALLE CRONOLÓGICO'!$A$2:$A$4919,$A1247)</f>
        <v/>
      </c>
      <c r="M1247" s="6">
        <f>INDEX('DETALLE CRONOLÓGICO'!$K$2:$K$4919,MATCH($A1247,'DETALLE CRONOLÓGICO'!$A$2:$A$4919,0)+$E1247-1)</f>
        <v/>
      </c>
      <c r="N1247" s="7">
        <f>IFERROR($M1247/INDEX('DETALLE CRONOLÓGICO'!$K$2:$K$4919,MATCH($A1247,'DETALLE CRONOLÓGICO'!$A$2:$A$4919,0))-1,"")</f>
        <v/>
      </c>
      <c r="O1247" s="6">
        <f>IFERROR($I1247*3,"")</f>
        <v/>
      </c>
      <c r="P1247" s="6">
        <f>IFERROR($I1247*3.5,"")</f>
        <v/>
      </c>
      <c r="Q1247" s="6">
        <f>IFERROR($I1247*4,"")</f>
        <v/>
      </c>
      <c r="R1247" s="6" t="n">
        <v>1495</v>
      </c>
      <c r="S1247" s="4" t="n">
        <v>5</v>
      </c>
      <c r="T1247" s="1" t="inlineStr">
        <is>
          <t>active</t>
        </is>
      </c>
      <c r="U1247" s="8" t="n"/>
      <c r="V1247" s="1" t="inlineStr">
        <is>
          <t>SIN PRECIO</t>
        </is>
      </c>
    </row>
    <row r="1248">
      <c r="A1248" s="1" t="inlineStr">
        <is>
          <t>648cc614da168</t>
        </is>
      </c>
      <c r="B1248" s="1" t="inlineStr">
        <is>
          <t>BOLSO YSL BLACK</t>
        </is>
      </c>
      <c r="C1248" s="1" t="inlineStr">
        <is>
          <t>24cm x 15cm</t>
        </is>
      </c>
      <c r="D1248" s="1" t="inlineStr">
        <is>
          <t>CYNTHIA / ZOEY</t>
        </is>
      </c>
      <c r="E1248" s="4">
        <f>COUNTIF('DETALLE CRONOLÓGICO'!$A$2:$A$4919,$A1248)</f>
        <v/>
      </c>
      <c r="F1248" s="4">
        <f>SUMIFS('DETALLE CRONOLÓGICO'!$I$2:$I$4919,'DETALLE CRONOLÓGICO'!$A$2:$A$4919,$A1248)</f>
        <v/>
      </c>
      <c r="G1248" s="1">
        <f>INDEX('DETALLE CRONOLÓGICO'!$D$2:$D$4919,MATCH($A1248,'DETALLE CRONOLÓGICO'!$A$2:$A$4919,0))</f>
        <v/>
      </c>
      <c r="H1248" s="1">
        <f>INDEX('DETALLE CRONOLÓGICO'!$D$2:$D$4919,MATCH($A1248,'DETALLE CRONOLÓGICO'!$A$2:$A$4919,0)+$E1248-1)</f>
        <v/>
      </c>
      <c r="I1248" s="5">
        <f>IFERROR(SUMIFS('DETALLE CRONOLÓGICO'!$L$2:$L$4919,'DETALLE CRONOLÓGICO'!$A$2:$A$4919,$A1248)/$F1248,"")</f>
        <v/>
      </c>
      <c r="J1248" s="6">
        <f>IFERROR(SUMIFS('DETALLE CRONOLÓGICO'!$K$2:$K$4919,'DETALLE CRONOLÓGICO'!$A$2:$A$4919,$A1248)/$E1248,"")</f>
        <v/>
      </c>
      <c r="K1248" s="6">
        <f>_xlfn.MINIFS('DETALLE CRONOLÓGICO'!$K$2:$K$4919,'DETALLE CRONOLÓGICO'!$A$2:$A$4919,$A1248)</f>
        <v/>
      </c>
      <c r="L1248" s="6">
        <f>_xlfn.MAXIFS('DETALLE CRONOLÓGICO'!$K$2:$K$4919,'DETALLE CRONOLÓGICO'!$A$2:$A$4919,$A1248)</f>
        <v/>
      </c>
      <c r="M1248" s="6">
        <f>INDEX('DETALLE CRONOLÓGICO'!$K$2:$K$4919,MATCH($A1248,'DETALLE CRONOLÓGICO'!$A$2:$A$4919,0)+$E1248-1)</f>
        <v/>
      </c>
      <c r="N1248" s="7">
        <f>IFERROR($M1248/INDEX('DETALLE CRONOLÓGICO'!$K$2:$K$4919,MATCH($A1248,'DETALLE CRONOLÓGICO'!$A$2:$A$4919,0))-1,"")</f>
        <v/>
      </c>
      <c r="O1248" s="6">
        <f>IFERROR($I1248*3,"")</f>
        <v/>
      </c>
      <c r="P1248" s="6">
        <f>IFERROR($I1248*3.5,"")</f>
        <v/>
      </c>
      <c r="Q1248" s="6">
        <f>IFERROR($I1248*4,"")</f>
        <v/>
      </c>
      <c r="R1248" s="6" t="n">
        <v>4332</v>
      </c>
      <c r="S1248" s="4" t="n">
        <v>0</v>
      </c>
      <c r="T1248" s="1" t="inlineStr">
        <is>
          <t>active</t>
        </is>
      </c>
      <c r="U1248" s="8" t="n"/>
      <c r="V1248" s="1" t="inlineStr">
        <is>
          <t>SIN PRECIO</t>
        </is>
      </c>
    </row>
    <row r="1249">
      <c r="A1249" s="1" t="inlineStr">
        <is>
          <t>64e78c9c19fe7</t>
        </is>
      </c>
      <c r="B1249" s="1" t="inlineStr">
        <is>
          <t>ARETES V CON PERLA COLGANTE</t>
        </is>
      </c>
      <c r="C1249" s="1" t="inlineStr">
        <is>
          <t>Regular</t>
        </is>
      </c>
      <c r="D1249" s="1" t="inlineStr">
        <is>
          <t>NANCY</t>
        </is>
      </c>
      <c r="E1249" s="4">
        <f>COUNTIF('DETALLE CRONOLÓGICO'!$A$2:$A$4919,$A1249)</f>
        <v/>
      </c>
      <c r="F1249" s="4">
        <f>SUMIFS('DETALLE CRONOLÓGICO'!$I$2:$I$4919,'DETALLE CRONOLÓGICO'!$A$2:$A$4919,$A1249)</f>
        <v/>
      </c>
      <c r="G1249" s="1">
        <f>INDEX('DETALLE CRONOLÓGICO'!$D$2:$D$4919,MATCH($A1249,'DETALLE CRONOLÓGICO'!$A$2:$A$4919,0))</f>
        <v/>
      </c>
      <c r="H1249" s="1">
        <f>INDEX('DETALLE CRONOLÓGICO'!$D$2:$D$4919,MATCH($A1249,'DETALLE CRONOLÓGICO'!$A$2:$A$4919,0)+$E1249-1)</f>
        <v/>
      </c>
      <c r="I1249" s="5">
        <f>IFERROR(SUMIFS('DETALLE CRONOLÓGICO'!$L$2:$L$4919,'DETALLE CRONOLÓGICO'!$A$2:$A$4919,$A1249)/$F1249,"")</f>
        <v/>
      </c>
      <c r="J1249" s="6">
        <f>IFERROR(SUMIFS('DETALLE CRONOLÓGICO'!$K$2:$K$4919,'DETALLE CRONOLÓGICO'!$A$2:$A$4919,$A1249)/$E1249,"")</f>
        <v/>
      </c>
      <c r="K1249" s="6">
        <f>_xlfn.MINIFS('DETALLE CRONOLÓGICO'!$K$2:$K$4919,'DETALLE CRONOLÓGICO'!$A$2:$A$4919,$A1249)</f>
        <v/>
      </c>
      <c r="L1249" s="6">
        <f>_xlfn.MAXIFS('DETALLE CRONOLÓGICO'!$K$2:$K$4919,'DETALLE CRONOLÓGICO'!$A$2:$A$4919,$A1249)</f>
        <v/>
      </c>
      <c r="M1249" s="6">
        <f>INDEX('DETALLE CRONOLÓGICO'!$K$2:$K$4919,MATCH($A1249,'DETALLE CRONOLÓGICO'!$A$2:$A$4919,0)+$E1249-1)</f>
        <v/>
      </c>
      <c r="N1249" s="7">
        <f>IFERROR($M1249/INDEX('DETALLE CRONOLÓGICO'!$K$2:$K$4919,MATCH($A1249,'DETALLE CRONOLÓGICO'!$A$2:$A$4919,0))-1,"")</f>
        <v/>
      </c>
      <c r="O1249" s="6">
        <f>IFERROR($I1249*3,"")</f>
        <v/>
      </c>
      <c r="P1249" s="6">
        <f>IFERROR($I1249*3.5,"")</f>
        <v/>
      </c>
      <c r="Q1249" s="6">
        <f>IFERROR($I1249*4,"")</f>
        <v/>
      </c>
      <c r="R1249" s="6" t="n">
        <v>599</v>
      </c>
      <c r="S1249" s="4" t="n">
        <v>0</v>
      </c>
      <c r="T1249" s="1" t="inlineStr">
        <is>
          <t>active</t>
        </is>
      </c>
      <c r="U1249" s="8" t="n"/>
      <c r="V1249" s="1" t="inlineStr">
        <is>
          <t>SIN PRECIO</t>
        </is>
      </c>
    </row>
    <row r="1250">
      <c r="A1250" s="1" t="inlineStr">
        <is>
          <t>64e78ca1ee3ac</t>
        </is>
      </c>
      <c r="B1250" s="1" t="inlineStr">
        <is>
          <t>BRAZALETE CD WHITE</t>
        </is>
      </c>
      <c r="C1250" s="1" t="inlineStr">
        <is>
          <t>AJUSTABLE</t>
        </is>
      </c>
      <c r="D1250" s="1" t="inlineStr">
        <is>
          <t>NANCY</t>
        </is>
      </c>
      <c r="E1250" s="4">
        <f>COUNTIF('DETALLE CRONOLÓGICO'!$A$2:$A$4919,$A1250)</f>
        <v/>
      </c>
      <c r="F1250" s="4">
        <f>SUMIFS('DETALLE CRONOLÓGICO'!$I$2:$I$4919,'DETALLE CRONOLÓGICO'!$A$2:$A$4919,$A1250)</f>
        <v/>
      </c>
      <c r="G1250" s="1">
        <f>INDEX('DETALLE CRONOLÓGICO'!$D$2:$D$4919,MATCH($A1250,'DETALLE CRONOLÓGICO'!$A$2:$A$4919,0))</f>
        <v/>
      </c>
      <c r="H1250" s="1">
        <f>INDEX('DETALLE CRONOLÓGICO'!$D$2:$D$4919,MATCH($A1250,'DETALLE CRONOLÓGICO'!$A$2:$A$4919,0)+$E1250-1)</f>
        <v/>
      </c>
      <c r="I1250" s="5">
        <f>IFERROR(SUMIFS('DETALLE CRONOLÓGICO'!$L$2:$L$4919,'DETALLE CRONOLÓGICO'!$A$2:$A$4919,$A1250)/$F1250,"")</f>
        <v/>
      </c>
      <c r="J1250" s="6">
        <f>IFERROR(SUMIFS('DETALLE CRONOLÓGICO'!$K$2:$K$4919,'DETALLE CRONOLÓGICO'!$A$2:$A$4919,$A1250)/$E1250,"")</f>
        <v/>
      </c>
      <c r="K1250" s="6">
        <f>_xlfn.MINIFS('DETALLE CRONOLÓGICO'!$K$2:$K$4919,'DETALLE CRONOLÓGICO'!$A$2:$A$4919,$A1250)</f>
        <v/>
      </c>
      <c r="L1250" s="6">
        <f>_xlfn.MAXIFS('DETALLE CRONOLÓGICO'!$K$2:$K$4919,'DETALLE CRONOLÓGICO'!$A$2:$A$4919,$A1250)</f>
        <v/>
      </c>
      <c r="M1250" s="6">
        <f>INDEX('DETALLE CRONOLÓGICO'!$K$2:$K$4919,MATCH($A1250,'DETALLE CRONOLÓGICO'!$A$2:$A$4919,0)+$E1250-1)</f>
        <v/>
      </c>
      <c r="N1250" s="7">
        <f>IFERROR($M1250/INDEX('DETALLE CRONOLÓGICO'!$K$2:$K$4919,MATCH($A1250,'DETALLE CRONOLÓGICO'!$A$2:$A$4919,0))-1,"")</f>
        <v/>
      </c>
      <c r="O1250" s="6">
        <f>IFERROR($I1250*3,"")</f>
        <v/>
      </c>
      <c r="P1250" s="6">
        <f>IFERROR($I1250*3.5,"")</f>
        <v/>
      </c>
      <c r="Q1250" s="6">
        <f>IFERROR($I1250*4,"")</f>
        <v/>
      </c>
      <c r="R1250" s="6" t="n">
        <v>640</v>
      </c>
      <c r="S1250" s="4" t="n">
        <v>1</v>
      </c>
      <c r="T1250" s="1" t="inlineStr">
        <is>
          <t>active</t>
        </is>
      </c>
      <c r="U1250" s="8" t="n"/>
      <c r="V1250" s="1" t="inlineStr">
        <is>
          <t>SIN PRECIO</t>
        </is>
      </c>
    </row>
    <row r="1251">
      <c r="A1251" s="1" t="inlineStr">
        <is>
          <t>64e78ca4a13f0</t>
        </is>
      </c>
      <c r="B1251" s="1" t="inlineStr">
        <is>
          <t>BRAZALETE CD BLACK</t>
        </is>
      </c>
      <c r="C1251" s="1" t="inlineStr">
        <is>
          <t>AJUSTABLE</t>
        </is>
      </c>
      <c r="D1251" s="1" t="inlineStr">
        <is>
          <t>HAIFENG</t>
        </is>
      </c>
      <c r="E1251" s="4">
        <f>COUNTIF('DETALLE CRONOLÓGICO'!$A$2:$A$4919,$A1251)</f>
        <v/>
      </c>
      <c r="F1251" s="4">
        <f>SUMIFS('DETALLE CRONOLÓGICO'!$I$2:$I$4919,'DETALLE CRONOLÓGICO'!$A$2:$A$4919,$A1251)</f>
        <v/>
      </c>
      <c r="G1251" s="1">
        <f>INDEX('DETALLE CRONOLÓGICO'!$D$2:$D$4919,MATCH($A1251,'DETALLE CRONOLÓGICO'!$A$2:$A$4919,0))</f>
        <v/>
      </c>
      <c r="H1251" s="1">
        <f>INDEX('DETALLE CRONOLÓGICO'!$D$2:$D$4919,MATCH($A1251,'DETALLE CRONOLÓGICO'!$A$2:$A$4919,0)+$E1251-1)</f>
        <v/>
      </c>
      <c r="I1251" s="5">
        <f>IFERROR(SUMIFS('DETALLE CRONOLÓGICO'!$L$2:$L$4919,'DETALLE CRONOLÓGICO'!$A$2:$A$4919,$A1251)/$F1251,"")</f>
        <v/>
      </c>
      <c r="J1251" s="6">
        <f>IFERROR(SUMIFS('DETALLE CRONOLÓGICO'!$K$2:$K$4919,'DETALLE CRONOLÓGICO'!$A$2:$A$4919,$A1251)/$E1251,"")</f>
        <v/>
      </c>
      <c r="K1251" s="6">
        <f>_xlfn.MINIFS('DETALLE CRONOLÓGICO'!$K$2:$K$4919,'DETALLE CRONOLÓGICO'!$A$2:$A$4919,$A1251)</f>
        <v/>
      </c>
      <c r="L1251" s="6">
        <f>_xlfn.MAXIFS('DETALLE CRONOLÓGICO'!$K$2:$K$4919,'DETALLE CRONOLÓGICO'!$A$2:$A$4919,$A1251)</f>
        <v/>
      </c>
      <c r="M1251" s="6">
        <f>INDEX('DETALLE CRONOLÓGICO'!$K$2:$K$4919,MATCH($A1251,'DETALLE CRONOLÓGICO'!$A$2:$A$4919,0)+$E1251-1)</f>
        <v/>
      </c>
      <c r="N1251" s="7">
        <f>IFERROR($M1251/INDEX('DETALLE CRONOLÓGICO'!$K$2:$K$4919,MATCH($A1251,'DETALLE CRONOLÓGICO'!$A$2:$A$4919,0))-1,"")</f>
        <v/>
      </c>
      <c r="O1251" s="6">
        <f>IFERROR($I1251*3,"")</f>
        <v/>
      </c>
      <c r="P1251" s="6">
        <f>IFERROR($I1251*3.5,"")</f>
        <v/>
      </c>
      <c r="Q1251" s="6">
        <f>IFERROR($I1251*4,"")</f>
        <v/>
      </c>
      <c r="R1251" s="6" t="n">
        <v>720</v>
      </c>
      <c r="S1251" s="4" t="n">
        <v>1</v>
      </c>
      <c r="T1251" s="1" t="inlineStr">
        <is>
          <t>active</t>
        </is>
      </c>
      <c r="U1251" s="8" t="n"/>
      <c r="V1251" s="1" t="inlineStr">
        <is>
          <t>SIN PRECIO</t>
        </is>
      </c>
    </row>
    <row r="1252">
      <c r="A1252" s="1" t="inlineStr">
        <is>
          <t>64e78ca690d8e</t>
        </is>
      </c>
      <c r="B1252" s="1" t="inlineStr">
        <is>
          <t>ARETES BV SILVER-BLACK</t>
        </is>
      </c>
      <c r="C1252" s="1" t="inlineStr">
        <is>
          <t>0.7 cm</t>
        </is>
      </c>
      <c r="D1252" s="1" t="inlineStr">
        <is>
          <t>HAIFENG / NANCY</t>
        </is>
      </c>
      <c r="E1252" s="4">
        <f>COUNTIF('DETALLE CRONOLÓGICO'!$A$2:$A$4919,$A1252)</f>
        <v/>
      </c>
      <c r="F1252" s="4">
        <f>SUMIFS('DETALLE CRONOLÓGICO'!$I$2:$I$4919,'DETALLE CRONOLÓGICO'!$A$2:$A$4919,$A1252)</f>
        <v/>
      </c>
      <c r="G1252" s="1">
        <f>INDEX('DETALLE CRONOLÓGICO'!$D$2:$D$4919,MATCH($A1252,'DETALLE CRONOLÓGICO'!$A$2:$A$4919,0))</f>
        <v/>
      </c>
      <c r="H1252" s="1">
        <f>INDEX('DETALLE CRONOLÓGICO'!$D$2:$D$4919,MATCH($A1252,'DETALLE CRONOLÓGICO'!$A$2:$A$4919,0)+$E1252-1)</f>
        <v/>
      </c>
      <c r="I1252" s="5">
        <f>IFERROR(SUMIFS('DETALLE CRONOLÓGICO'!$L$2:$L$4919,'DETALLE CRONOLÓGICO'!$A$2:$A$4919,$A1252)/$F1252,"")</f>
        <v/>
      </c>
      <c r="J1252" s="6">
        <f>IFERROR(SUMIFS('DETALLE CRONOLÓGICO'!$K$2:$K$4919,'DETALLE CRONOLÓGICO'!$A$2:$A$4919,$A1252)/$E1252,"")</f>
        <v/>
      </c>
      <c r="K1252" s="6">
        <f>_xlfn.MINIFS('DETALLE CRONOLÓGICO'!$K$2:$K$4919,'DETALLE CRONOLÓGICO'!$A$2:$A$4919,$A1252)</f>
        <v/>
      </c>
      <c r="L1252" s="6">
        <f>_xlfn.MAXIFS('DETALLE CRONOLÓGICO'!$K$2:$K$4919,'DETALLE CRONOLÓGICO'!$A$2:$A$4919,$A1252)</f>
        <v/>
      </c>
      <c r="M1252" s="6">
        <f>INDEX('DETALLE CRONOLÓGICO'!$K$2:$K$4919,MATCH($A1252,'DETALLE CRONOLÓGICO'!$A$2:$A$4919,0)+$E1252-1)</f>
        <v/>
      </c>
      <c r="N1252" s="7">
        <f>IFERROR($M1252/INDEX('DETALLE CRONOLÓGICO'!$K$2:$K$4919,MATCH($A1252,'DETALLE CRONOLÓGICO'!$A$2:$A$4919,0))-1,"")</f>
        <v/>
      </c>
      <c r="O1252" s="6">
        <f>IFERROR($I1252*3,"")</f>
        <v/>
      </c>
      <c r="P1252" s="6">
        <f>IFERROR($I1252*3.5,"")</f>
        <v/>
      </c>
      <c r="Q1252" s="6">
        <f>IFERROR($I1252*4,"")</f>
        <v/>
      </c>
      <c r="R1252" s="6" t="n">
        <v>450</v>
      </c>
      <c r="S1252" s="4" t="n">
        <v>0</v>
      </c>
      <c r="T1252" s="1" t="inlineStr">
        <is>
          <t>active</t>
        </is>
      </c>
      <c r="U1252" s="8" t="n"/>
      <c r="V1252" s="1" t="inlineStr">
        <is>
          <t>SIN PRECIO</t>
        </is>
      </c>
    </row>
    <row r="1253">
      <c r="A1253" s="1" t="inlineStr">
        <is>
          <t>64e78ca71edc7</t>
        </is>
      </c>
      <c r="B1253" s="1" t="inlineStr">
        <is>
          <t>ARETES BV SILVER- WHITE</t>
        </is>
      </c>
      <c r="C1253" s="1" t="inlineStr">
        <is>
          <t>Regular</t>
        </is>
      </c>
      <c r="D1253" s="1" t="inlineStr">
        <is>
          <t>NANCY</t>
        </is>
      </c>
      <c r="E1253" s="4">
        <f>COUNTIF('DETALLE CRONOLÓGICO'!$A$2:$A$4919,$A1253)</f>
        <v/>
      </c>
      <c r="F1253" s="4">
        <f>SUMIFS('DETALLE CRONOLÓGICO'!$I$2:$I$4919,'DETALLE CRONOLÓGICO'!$A$2:$A$4919,$A1253)</f>
        <v/>
      </c>
      <c r="G1253" s="1">
        <f>INDEX('DETALLE CRONOLÓGICO'!$D$2:$D$4919,MATCH($A1253,'DETALLE CRONOLÓGICO'!$A$2:$A$4919,0))</f>
        <v/>
      </c>
      <c r="H1253" s="1">
        <f>INDEX('DETALLE CRONOLÓGICO'!$D$2:$D$4919,MATCH($A1253,'DETALLE CRONOLÓGICO'!$A$2:$A$4919,0)+$E1253-1)</f>
        <v/>
      </c>
      <c r="I1253" s="5">
        <f>IFERROR(SUMIFS('DETALLE CRONOLÓGICO'!$L$2:$L$4919,'DETALLE CRONOLÓGICO'!$A$2:$A$4919,$A1253)/$F1253,"")</f>
        <v/>
      </c>
      <c r="J1253" s="6">
        <f>IFERROR(SUMIFS('DETALLE CRONOLÓGICO'!$K$2:$K$4919,'DETALLE CRONOLÓGICO'!$A$2:$A$4919,$A1253)/$E1253,"")</f>
        <v/>
      </c>
      <c r="K1253" s="6">
        <f>_xlfn.MINIFS('DETALLE CRONOLÓGICO'!$K$2:$K$4919,'DETALLE CRONOLÓGICO'!$A$2:$A$4919,$A1253)</f>
        <v/>
      </c>
      <c r="L1253" s="6">
        <f>_xlfn.MAXIFS('DETALLE CRONOLÓGICO'!$K$2:$K$4919,'DETALLE CRONOLÓGICO'!$A$2:$A$4919,$A1253)</f>
        <v/>
      </c>
      <c r="M1253" s="6">
        <f>INDEX('DETALLE CRONOLÓGICO'!$K$2:$K$4919,MATCH($A1253,'DETALLE CRONOLÓGICO'!$A$2:$A$4919,0)+$E1253-1)</f>
        <v/>
      </c>
      <c r="N1253" s="7">
        <f>IFERROR($M1253/INDEX('DETALLE CRONOLÓGICO'!$K$2:$K$4919,MATCH($A1253,'DETALLE CRONOLÓGICO'!$A$2:$A$4919,0))-1,"")</f>
        <v/>
      </c>
      <c r="O1253" s="6">
        <f>IFERROR($I1253*3,"")</f>
        <v/>
      </c>
      <c r="P1253" s="6">
        <f>IFERROR($I1253*3.5,"")</f>
        <v/>
      </c>
      <c r="Q1253" s="6">
        <f>IFERROR($I1253*4,"")</f>
        <v/>
      </c>
      <c r="R1253" s="6" t="n">
        <v>450</v>
      </c>
      <c r="S1253" s="4" t="n">
        <v>5</v>
      </c>
      <c r="T1253" s="1" t="inlineStr">
        <is>
          <t>active</t>
        </is>
      </c>
      <c r="U1253" s="8" t="n"/>
      <c r="V1253" s="1" t="inlineStr">
        <is>
          <t>SIN PRECIO</t>
        </is>
      </c>
    </row>
    <row r="1254">
      <c r="A1254" s="1" t="inlineStr">
        <is>
          <t>64e78ca83b5da-1</t>
        </is>
      </c>
      <c r="B1254" s="1" t="inlineStr">
        <is>
          <t>ARETES GC GOLD</t>
        </is>
      </c>
      <c r="C1254" s="1" t="inlineStr">
        <is>
          <t>Regular</t>
        </is>
      </c>
      <c r="D1254" s="1" t="inlineStr">
        <is>
          <t>NANCY</t>
        </is>
      </c>
      <c r="E1254" s="4">
        <f>COUNTIF('DETALLE CRONOLÓGICO'!$A$2:$A$4919,$A1254)</f>
        <v/>
      </c>
      <c r="F1254" s="4">
        <f>SUMIFS('DETALLE CRONOLÓGICO'!$I$2:$I$4919,'DETALLE CRONOLÓGICO'!$A$2:$A$4919,$A1254)</f>
        <v/>
      </c>
      <c r="G1254" s="1">
        <f>INDEX('DETALLE CRONOLÓGICO'!$D$2:$D$4919,MATCH($A1254,'DETALLE CRONOLÓGICO'!$A$2:$A$4919,0))</f>
        <v/>
      </c>
      <c r="H1254" s="1">
        <f>INDEX('DETALLE CRONOLÓGICO'!$D$2:$D$4919,MATCH($A1254,'DETALLE CRONOLÓGICO'!$A$2:$A$4919,0)+$E1254-1)</f>
        <v/>
      </c>
      <c r="I1254" s="5">
        <f>IFERROR(SUMIFS('DETALLE CRONOLÓGICO'!$L$2:$L$4919,'DETALLE CRONOLÓGICO'!$A$2:$A$4919,$A1254)/$F1254,"")</f>
        <v/>
      </c>
      <c r="J1254" s="6">
        <f>IFERROR(SUMIFS('DETALLE CRONOLÓGICO'!$K$2:$K$4919,'DETALLE CRONOLÓGICO'!$A$2:$A$4919,$A1254)/$E1254,"")</f>
        <v/>
      </c>
      <c r="K1254" s="6">
        <f>_xlfn.MINIFS('DETALLE CRONOLÓGICO'!$K$2:$K$4919,'DETALLE CRONOLÓGICO'!$A$2:$A$4919,$A1254)</f>
        <v/>
      </c>
      <c r="L1254" s="6">
        <f>_xlfn.MAXIFS('DETALLE CRONOLÓGICO'!$K$2:$K$4919,'DETALLE CRONOLÓGICO'!$A$2:$A$4919,$A1254)</f>
        <v/>
      </c>
      <c r="M1254" s="6">
        <f>INDEX('DETALLE CRONOLÓGICO'!$K$2:$K$4919,MATCH($A1254,'DETALLE CRONOLÓGICO'!$A$2:$A$4919,0)+$E1254-1)</f>
        <v/>
      </c>
      <c r="N1254" s="7">
        <f>IFERROR($M1254/INDEX('DETALLE CRONOLÓGICO'!$K$2:$K$4919,MATCH($A1254,'DETALLE CRONOLÓGICO'!$A$2:$A$4919,0))-1,"")</f>
        <v/>
      </c>
      <c r="O1254" s="6">
        <f>IFERROR($I1254*3,"")</f>
        <v/>
      </c>
      <c r="P1254" s="6">
        <f>IFERROR($I1254*3.5,"")</f>
        <v/>
      </c>
      <c r="Q1254" s="6">
        <f>IFERROR($I1254*4,"")</f>
        <v/>
      </c>
      <c r="R1254" s="6" t="n">
        <v>499</v>
      </c>
      <c r="S1254" s="4" t="n">
        <v>0</v>
      </c>
      <c r="T1254" s="1" t="inlineStr">
        <is>
          <t>active</t>
        </is>
      </c>
      <c r="U1254" s="8" t="n"/>
      <c r="V1254" s="1" t="inlineStr">
        <is>
          <t>SIN PRECIO</t>
        </is>
      </c>
    </row>
    <row r="1255">
      <c r="A1255" s="1" t="inlineStr">
        <is>
          <t>64e78caddd20d</t>
        </is>
      </c>
      <c r="B1255" s="1" t="inlineStr">
        <is>
          <t>COLLAR LV FLOWER SILVER</t>
        </is>
      </c>
      <c r="C1255" s="1" t="inlineStr">
        <is>
          <t>Default Title</t>
        </is>
      </c>
      <c r="D1255" s="1" t="inlineStr">
        <is>
          <t>NANCY</t>
        </is>
      </c>
      <c r="E1255" s="4">
        <f>COUNTIF('DETALLE CRONOLÓGICO'!$A$2:$A$4919,$A1255)</f>
        <v/>
      </c>
      <c r="F1255" s="4">
        <f>SUMIFS('DETALLE CRONOLÓGICO'!$I$2:$I$4919,'DETALLE CRONOLÓGICO'!$A$2:$A$4919,$A1255)</f>
        <v/>
      </c>
      <c r="G1255" s="1">
        <f>INDEX('DETALLE CRONOLÓGICO'!$D$2:$D$4919,MATCH($A1255,'DETALLE CRONOLÓGICO'!$A$2:$A$4919,0))</f>
        <v/>
      </c>
      <c r="H1255" s="1">
        <f>INDEX('DETALLE CRONOLÓGICO'!$D$2:$D$4919,MATCH($A1255,'DETALLE CRONOLÓGICO'!$A$2:$A$4919,0)+$E1255-1)</f>
        <v/>
      </c>
      <c r="I1255" s="5">
        <f>IFERROR(SUMIFS('DETALLE CRONOLÓGICO'!$L$2:$L$4919,'DETALLE CRONOLÓGICO'!$A$2:$A$4919,$A1255)/$F1255,"")</f>
        <v/>
      </c>
      <c r="J1255" s="6">
        <f>IFERROR(SUMIFS('DETALLE CRONOLÓGICO'!$K$2:$K$4919,'DETALLE CRONOLÓGICO'!$A$2:$A$4919,$A1255)/$E1255,"")</f>
        <v/>
      </c>
      <c r="K1255" s="6">
        <f>_xlfn.MINIFS('DETALLE CRONOLÓGICO'!$K$2:$K$4919,'DETALLE CRONOLÓGICO'!$A$2:$A$4919,$A1255)</f>
        <v/>
      </c>
      <c r="L1255" s="6">
        <f>_xlfn.MAXIFS('DETALLE CRONOLÓGICO'!$K$2:$K$4919,'DETALLE CRONOLÓGICO'!$A$2:$A$4919,$A1255)</f>
        <v/>
      </c>
      <c r="M1255" s="6">
        <f>INDEX('DETALLE CRONOLÓGICO'!$K$2:$K$4919,MATCH($A1255,'DETALLE CRONOLÓGICO'!$A$2:$A$4919,0)+$E1255-1)</f>
        <v/>
      </c>
      <c r="N1255" s="7">
        <f>IFERROR($M1255/INDEX('DETALLE CRONOLÓGICO'!$K$2:$K$4919,MATCH($A1255,'DETALLE CRONOLÓGICO'!$A$2:$A$4919,0))-1,"")</f>
        <v/>
      </c>
      <c r="O1255" s="6">
        <f>IFERROR($I1255*3,"")</f>
        <v/>
      </c>
      <c r="P1255" s="6">
        <f>IFERROR($I1255*3.5,"")</f>
        <v/>
      </c>
      <c r="Q1255" s="6">
        <f>IFERROR($I1255*4,"")</f>
        <v/>
      </c>
      <c r="R1255" s="6" t="n">
        <v>650</v>
      </c>
      <c r="S1255" s="4" t="n">
        <v>6</v>
      </c>
      <c r="T1255" s="1" t="inlineStr">
        <is>
          <t>active</t>
        </is>
      </c>
      <c r="U1255" s="8" t="n"/>
      <c r="V1255" s="1" t="inlineStr">
        <is>
          <t>SIN PRECIO</t>
        </is>
      </c>
    </row>
    <row r="1256">
      <c r="A1256" s="1" t="inlineStr">
        <is>
          <t>64e78caddd8f1</t>
        </is>
      </c>
      <c r="B1256" s="1" t="inlineStr">
        <is>
          <t>ARETES LV CORAZÓN GOLD</t>
        </is>
      </c>
      <c r="C1256" s="1" t="inlineStr">
        <is>
          <t>Regular</t>
        </is>
      </c>
      <c r="D1256" s="1" t="inlineStr">
        <is>
          <t>NANCY</t>
        </is>
      </c>
      <c r="E1256" s="4">
        <f>COUNTIF('DETALLE CRONOLÓGICO'!$A$2:$A$4919,$A1256)</f>
        <v/>
      </c>
      <c r="F1256" s="4">
        <f>SUMIFS('DETALLE CRONOLÓGICO'!$I$2:$I$4919,'DETALLE CRONOLÓGICO'!$A$2:$A$4919,$A1256)</f>
        <v/>
      </c>
      <c r="G1256" s="1">
        <f>INDEX('DETALLE CRONOLÓGICO'!$D$2:$D$4919,MATCH($A1256,'DETALLE CRONOLÓGICO'!$A$2:$A$4919,0))</f>
        <v/>
      </c>
      <c r="H1256" s="1">
        <f>INDEX('DETALLE CRONOLÓGICO'!$D$2:$D$4919,MATCH($A1256,'DETALLE CRONOLÓGICO'!$A$2:$A$4919,0)+$E1256-1)</f>
        <v/>
      </c>
      <c r="I1256" s="5">
        <f>IFERROR(SUMIFS('DETALLE CRONOLÓGICO'!$L$2:$L$4919,'DETALLE CRONOLÓGICO'!$A$2:$A$4919,$A1256)/$F1256,"")</f>
        <v/>
      </c>
      <c r="J1256" s="6">
        <f>IFERROR(SUMIFS('DETALLE CRONOLÓGICO'!$K$2:$K$4919,'DETALLE CRONOLÓGICO'!$A$2:$A$4919,$A1256)/$E1256,"")</f>
        <v/>
      </c>
      <c r="K1256" s="6">
        <f>_xlfn.MINIFS('DETALLE CRONOLÓGICO'!$K$2:$K$4919,'DETALLE CRONOLÓGICO'!$A$2:$A$4919,$A1256)</f>
        <v/>
      </c>
      <c r="L1256" s="6">
        <f>_xlfn.MAXIFS('DETALLE CRONOLÓGICO'!$K$2:$K$4919,'DETALLE CRONOLÓGICO'!$A$2:$A$4919,$A1256)</f>
        <v/>
      </c>
      <c r="M1256" s="6">
        <f>INDEX('DETALLE CRONOLÓGICO'!$K$2:$K$4919,MATCH($A1256,'DETALLE CRONOLÓGICO'!$A$2:$A$4919,0)+$E1256-1)</f>
        <v/>
      </c>
      <c r="N1256" s="7">
        <f>IFERROR($M1256/INDEX('DETALLE CRONOLÓGICO'!$K$2:$K$4919,MATCH($A1256,'DETALLE CRONOLÓGICO'!$A$2:$A$4919,0))-1,"")</f>
        <v/>
      </c>
      <c r="O1256" s="6">
        <f>IFERROR($I1256*3,"")</f>
        <v/>
      </c>
      <c r="P1256" s="6">
        <f>IFERROR($I1256*3.5,"")</f>
        <v/>
      </c>
      <c r="Q1256" s="6">
        <f>IFERROR($I1256*4,"")</f>
        <v/>
      </c>
      <c r="R1256" s="6" t="n">
        <v>499</v>
      </c>
      <c r="S1256" s="4" t="n">
        <v>1</v>
      </c>
      <c r="T1256" s="1" t="inlineStr">
        <is>
          <t>active</t>
        </is>
      </c>
      <c r="U1256" s="8" t="n"/>
      <c r="V1256" s="1" t="inlineStr">
        <is>
          <t>SIN PRECIO</t>
        </is>
      </c>
    </row>
    <row r="1257">
      <c r="A1257" s="1" t="inlineStr">
        <is>
          <t>64e78caeba151</t>
        </is>
      </c>
      <c r="B1257" s="1" t="inlineStr">
        <is>
          <t>COLLAR LV FLOWER ROSE-GOLD</t>
        </is>
      </c>
      <c r="C1257" s="1" t="inlineStr">
        <is>
          <t>Default Title</t>
        </is>
      </c>
      <c r="D1257" s="1" t="inlineStr">
        <is>
          <t>NANCY</t>
        </is>
      </c>
      <c r="E1257" s="4">
        <f>COUNTIF('DETALLE CRONOLÓGICO'!$A$2:$A$4919,$A1257)</f>
        <v/>
      </c>
      <c r="F1257" s="4">
        <f>SUMIFS('DETALLE CRONOLÓGICO'!$I$2:$I$4919,'DETALLE CRONOLÓGICO'!$A$2:$A$4919,$A1257)</f>
        <v/>
      </c>
      <c r="G1257" s="1">
        <f>INDEX('DETALLE CRONOLÓGICO'!$D$2:$D$4919,MATCH($A1257,'DETALLE CRONOLÓGICO'!$A$2:$A$4919,0))</f>
        <v/>
      </c>
      <c r="H1257" s="1">
        <f>INDEX('DETALLE CRONOLÓGICO'!$D$2:$D$4919,MATCH($A1257,'DETALLE CRONOLÓGICO'!$A$2:$A$4919,0)+$E1257-1)</f>
        <v/>
      </c>
      <c r="I1257" s="5">
        <f>IFERROR(SUMIFS('DETALLE CRONOLÓGICO'!$L$2:$L$4919,'DETALLE CRONOLÓGICO'!$A$2:$A$4919,$A1257)/$F1257,"")</f>
        <v/>
      </c>
      <c r="J1257" s="6">
        <f>IFERROR(SUMIFS('DETALLE CRONOLÓGICO'!$K$2:$K$4919,'DETALLE CRONOLÓGICO'!$A$2:$A$4919,$A1257)/$E1257,"")</f>
        <v/>
      </c>
      <c r="K1257" s="6">
        <f>_xlfn.MINIFS('DETALLE CRONOLÓGICO'!$K$2:$K$4919,'DETALLE CRONOLÓGICO'!$A$2:$A$4919,$A1257)</f>
        <v/>
      </c>
      <c r="L1257" s="6">
        <f>_xlfn.MAXIFS('DETALLE CRONOLÓGICO'!$K$2:$K$4919,'DETALLE CRONOLÓGICO'!$A$2:$A$4919,$A1257)</f>
        <v/>
      </c>
      <c r="M1257" s="6">
        <f>INDEX('DETALLE CRONOLÓGICO'!$K$2:$K$4919,MATCH($A1257,'DETALLE CRONOLÓGICO'!$A$2:$A$4919,0)+$E1257-1)</f>
        <v/>
      </c>
      <c r="N1257" s="7">
        <f>IFERROR($M1257/INDEX('DETALLE CRONOLÓGICO'!$K$2:$K$4919,MATCH($A1257,'DETALLE CRONOLÓGICO'!$A$2:$A$4919,0))-1,"")</f>
        <v/>
      </c>
      <c r="O1257" s="6">
        <f>IFERROR($I1257*3,"")</f>
        <v/>
      </c>
      <c r="P1257" s="6">
        <f>IFERROR($I1257*3.5,"")</f>
        <v/>
      </c>
      <c r="Q1257" s="6">
        <f>IFERROR($I1257*4,"")</f>
        <v/>
      </c>
      <c r="R1257" s="6" t="n">
        <v>650</v>
      </c>
      <c r="S1257" s="4" t="n">
        <v>2</v>
      </c>
      <c r="T1257" s="1" t="inlineStr">
        <is>
          <t>active</t>
        </is>
      </c>
      <c r="U1257" s="8" t="n"/>
      <c r="V1257" s="1" t="inlineStr">
        <is>
          <t>SIN PRECIO</t>
        </is>
      </c>
    </row>
    <row r="1258">
      <c r="A1258" s="1" t="inlineStr">
        <is>
          <t>64e78caf2dfa6</t>
        </is>
      </c>
      <c r="B1258" s="1" t="inlineStr">
        <is>
          <t>COLLAR LV FLOWER GOLD</t>
        </is>
      </c>
      <c r="C1258" s="1" t="inlineStr">
        <is>
          <t>Default Title</t>
        </is>
      </c>
      <c r="D1258" s="1" t="inlineStr">
        <is>
          <t>NANCY</t>
        </is>
      </c>
      <c r="E1258" s="4">
        <f>COUNTIF('DETALLE CRONOLÓGICO'!$A$2:$A$4919,$A1258)</f>
        <v/>
      </c>
      <c r="F1258" s="4">
        <f>SUMIFS('DETALLE CRONOLÓGICO'!$I$2:$I$4919,'DETALLE CRONOLÓGICO'!$A$2:$A$4919,$A1258)</f>
        <v/>
      </c>
      <c r="G1258" s="1">
        <f>INDEX('DETALLE CRONOLÓGICO'!$D$2:$D$4919,MATCH($A1258,'DETALLE CRONOLÓGICO'!$A$2:$A$4919,0))</f>
        <v/>
      </c>
      <c r="H1258" s="1">
        <f>INDEX('DETALLE CRONOLÓGICO'!$D$2:$D$4919,MATCH($A1258,'DETALLE CRONOLÓGICO'!$A$2:$A$4919,0)+$E1258-1)</f>
        <v/>
      </c>
      <c r="I1258" s="5">
        <f>IFERROR(SUMIFS('DETALLE CRONOLÓGICO'!$L$2:$L$4919,'DETALLE CRONOLÓGICO'!$A$2:$A$4919,$A1258)/$F1258,"")</f>
        <v/>
      </c>
      <c r="J1258" s="6">
        <f>IFERROR(SUMIFS('DETALLE CRONOLÓGICO'!$K$2:$K$4919,'DETALLE CRONOLÓGICO'!$A$2:$A$4919,$A1258)/$E1258,"")</f>
        <v/>
      </c>
      <c r="K1258" s="6">
        <f>_xlfn.MINIFS('DETALLE CRONOLÓGICO'!$K$2:$K$4919,'DETALLE CRONOLÓGICO'!$A$2:$A$4919,$A1258)</f>
        <v/>
      </c>
      <c r="L1258" s="6">
        <f>_xlfn.MAXIFS('DETALLE CRONOLÓGICO'!$K$2:$K$4919,'DETALLE CRONOLÓGICO'!$A$2:$A$4919,$A1258)</f>
        <v/>
      </c>
      <c r="M1258" s="6">
        <f>INDEX('DETALLE CRONOLÓGICO'!$K$2:$K$4919,MATCH($A1258,'DETALLE CRONOLÓGICO'!$A$2:$A$4919,0)+$E1258-1)</f>
        <v/>
      </c>
      <c r="N1258" s="7">
        <f>IFERROR($M1258/INDEX('DETALLE CRONOLÓGICO'!$K$2:$K$4919,MATCH($A1258,'DETALLE CRONOLÓGICO'!$A$2:$A$4919,0))-1,"")</f>
        <v/>
      </c>
      <c r="O1258" s="6">
        <f>IFERROR($I1258*3,"")</f>
        <v/>
      </c>
      <c r="P1258" s="6">
        <f>IFERROR($I1258*3.5,"")</f>
        <v/>
      </c>
      <c r="Q1258" s="6">
        <f>IFERROR($I1258*4,"")</f>
        <v/>
      </c>
      <c r="R1258" s="6" t="n">
        <v>650</v>
      </c>
      <c r="S1258" s="4" t="n">
        <v>2</v>
      </c>
      <c r="T1258" s="1" t="inlineStr">
        <is>
          <t>active</t>
        </is>
      </c>
      <c r="U1258" s="8" t="n"/>
      <c r="V1258" s="1" t="inlineStr">
        <is>
          <t>SIN PRECIO</t>
        </is>
      </c>
    </row>
    <row r="1259">
      <c r="A1259" s="1" t="inlineStr">
        <is>
          <t>64e78d3baafe7</t>
        </is>
      </c>
      <c r="B1259" s="1" t="inlineStr">
        <is>
          <t>ARETES BLOSSOM STAR ROSE GOLD</t>
        </is>
      </c>
      <c r="C1259" s="1" t="inlineStr">
        <is>
          <t>Default Title</t>
        </is>
      </c>
      <c r="D1259" s="1" t="inlineStr">
        <is>
          <t>CYNTHIA</t>
        </is>
      </c>
      <c r="E1259" s="4">
        <f>COUNTIF('DETALLE CRONOLÓGICO'!$A$2:$A$4919,$A1259)</f>
        <v/>
      </c>
      <c r="F1259" s="4">
        <f>SUMIFS('DETALLE CRONOLÓGICO'!$I$2:$I$4919,'DETALLE CRONOLÓGICO'!$A$2:$A$4919,$A1259)</f>
        <v/>
      </c>
      <c r="G1259" s="1">
        <f>INDEX('DETALLE CRONOLÓGICO'!$D$2:$D$4919,MATCH($A1259,'DETALLE CRONOLÓGICO'!$A$2:$A$4919,0))</f>
        <v/>
      </c>
      <c r="H1259" s="1">
        <f>INDEX('DETALLE CRONOLÓGICO'!$D$2:$D$4919,MATCH($A1259,'DETALLE CRONOLÓGICO'!$A$2:$A$4919,0)+$E1259-1)</f>
        <v/>
      </c>
      <c r="I1259" s="5">
        <f>IFERROR(SUMIFS('DETALLE CRONOLÓGICO'!$L$2:$L$4919,'DETALLE CRONOLÓGICO'!$A$2:$A$4919,$A1259)/$F1259,"")</f>
        <v/>
      </c>
      <c r="J1259" s="6">
        <f>IFERROR(SUMIFS('DETALLE CRONOLÓGICO'!$K$2:$K$4919,'DETALLE CRONOLÓGICO'!$A$2:$A$4919,$A1259)/$E1259,"")</f>
        <v/>
      </c>
      <c r="K1259" s="6">
        <f>_xlfn.MINIFS('DETALLE CRONOLÓGICO'!$K$2:$K$4919,'DETALLE CRONOLÓGICO'!$A$2:$A$4919,$A1259)</f>
        <v/>
      </c>
      <c r="L1259" s="6">
        <f>_xlfn.MAXIFS('DETALLE CRONOLÓGICO'!$K$2:$K$4919,'DETALLE CRONOLÓGICO'!$A$2:$A$4919,$A1259)</f>
        <v/>
      </c>
      <c r="M1259" s="6">
        <f>INDEX('DETALLE CRONOLÓGICO'!$K$2:$K$4919,MATCH($A1259,'DETALLE CRONOLÓGICO'!$A$2:$A$4919,0)+$E1259-1)</f>
        <v/>
      </c>
      <c r="N1259" s="7">
        <f>IFERROR($M1259/INDEX('DETALLE CRONOLÓGICO'!$K$2:$K$4919,MATCH($A1259,'DETALLE CRONOLÓGICO'!$A$2:$A$4919,0))-1,"")</f>
        <v/>
      </c>
      <c r="O1259" s="6">
        <f>IFERROR($I1259*3,"")</f>
        <v/>
      </c>
      <c r="P1259" s="6">
        <f>IFERROR($I1259*3.5,"")</f>
        <v/>
      </c>
      <c r="Q1259" s="6">
        <f>IFERROR($I1259*4,"")</f>
        <v/>
      </c>
      <c r="R1259" s="6" t="n">
        <v>709</v>
      </c>
      <c r="S1259" s="4" t="n">
        <v>3</v>
      </c>
      <c r="T1259" s="1" t="inlineStr">
        <is>
          <t>active</t>
        </is>
      </c>
      <c r="U1259" s="8" t="n"/>
      <c r="V1259" s="1" t="inlineStr">
        <is>
          <t>SIN PRECIO</t>
        </is>
      </c>
    </row>
    <row r="1260">
      <c r="A1260" s="1" t="inlineStr">
        <is>
          <t>64e78d3bae5c1</t>
        </is>
      </c>
      <c r="B1260" s="1" t="inlineStr">
        <is>
          <t>ARETES BLOSSOM STAR GOLD</t>
        </is>
      </c>
      <c r="C1260" s="1" t="n"/>
      <c r="D1260" s="1" t="inlineStr">
        <is>
          <t>CYNTHIA</t>
        </is>
      </c>
      <c r="E1260" s="4">
        <f>COUNTIF('DETALLE CRONOLÓGICO'!$A$2:$A$4919,$A1260)</f>
        <v/>
      </c>
      <c r="F1260" s="4">
        <f>SUMIFS('DETALLE CRONOLÓGICO'!$I$2:$I$4919,'DETALLE CRONOLÓGICO'!$A$2:$A$4919,$A1260)</f>
        <v/>
      </c>
      <c r="G1260" s="1">
        <f>INDEX('DETALLE CRONOLÓGICO'!$D$2:$D$4919,MATCH($A1260,'DETALLE CRONOLÓGICO'!$A$2:$A$4919,0))</f>
        <v/>
      </c>
      <c r="H1260" s="1">
        <f>INDEX('DETALLE CRONOLÓGICO'!$D$2:$D$4919,MATCH($A1260,'DETALLE CRONOLÓGICO'!$A$2:$A$4919,0)+$E1260-1)</f>
        <v/>
      </c>
      <c r="I1260" s="5">
        <f>IFERROR(SUMIFS('DETALLE CRONOLÓGICO'!$L$2:$L$4919,'DETALLE CRONOLÓGICO'!$A$2:$A$4919,$A1260)/$F1260,"")</f>
        <v/>
      </c>
      <c r="J1260" s="6">
        <f>IFERROR(SUMIFS('DETALLE CRONOLÓGICO'!$K$2:$K$4919,'DETALLE CRONOLÓGICO'!$A$2:$A$4919,$A1260)/$E1260,"")</f>
        <v/>
      </c>
      <c r="K1260" s="6">
        <f>_xlfn.MINIFS('DETALLE CRONOLÓGICO'!$K$2:$K$4919,'DETALLE CRONOLÓGICO'!$A$2:$A$4919,$A1260)</f>
        <v/>
      </c>
      <c r="L1260" s="6">
        <f>_xlfn.MAXIFS('DETALLE CRONOLÓGICO'!$K$2:$K$4919,'DETALLE CRONOLÓGICO'!$A$2:$A$4919,$A1260)</f>
        <v/>
      </c>
      <c r="M1260" s="6">
        <f>INDEX('DETALLE CRONOLÓGICO'!$K$2:$K$4919,MATCH($A1260,'DETALLE CRONOLÓGICO'!$A$2:$A$4919,0)+$E1260-1)</f>
        <v/>
      </c>
      <c r="N1260" s="7">
        <f>IFERROR($M1260/INDEX('DETALLE CRONOLÓGICO'!$K$2:$K$4919,MATCH($A1260,'DETALLE CRONOLÓGICO'!$A$2:$A$4919,0))-1,"")</f>
        <v/>
      </c>
      <c r="O1260" s="6">
        <f>IFERROR($I1260*3,"")</f>
        <v/>
      </c>
      <c r="P1260" s="6">
        <f>IFERROR($I1260*3.5,"")</f>
        <v/>
      </c>
      <c r="Q1260" s="6">
        <f>IFERROR($I1260*4,"")</f>
        <v/>
      </c>
      <c r="R1260" s="6" t="n"/>
      <c r="S1260" s="4" t="n"/>
      <c r="T1260" s="1" t="inlineStr">
        <is>
          <t>YA NO EXISTE EN SHOPIFY</t>
        </is>
      </c>
      <c r="U1260" s="8" t="n"/>
      <c r="V1260" s="1" t="inlineStr">
        <is>
          <t>SIN PRECIO</t>
        </is>
      </c>
    </row>
    <row r="1261">
      <c r="A1261" s="1" t="inlineStr">
        <is>
          <t>64e78d3c1c538</t>
        </is>
      </c>
      <c r="B1261" s="1" t="inlineStr">
        <is>
          <t>ARETES BLOSSOM STAR SILVER</t>
        </is>
      </c>
      <c r="C1261" s="1" t="inlineStr">
        <is>
          <t>Default Title</t>
        </is>
      </c>
      <c r="D1261" s="1" t="inlineStr">
        <is>
          <t>CYNTHIA</t>
        </is>
      </c>
      <c r="E1261" s="4">
        <f>COUNTIF('DETALLE CRONOLÓGICO'!$A$2:$A$4919,$A1261)</f>
        <v/>
      </c>
      <c r="F1261" s="4">
        <f>SUMIFS('DETALLE CRONOLÓGICO'!$I$2:$I$4919,'DETALLE CRONOLÓGICO'!$A$2:$A$4919,$A1261)</f>
        <v/>
      </c>
      <c r="G1261" s="1">
        <f>INDEX('DETALLE CRONOLÓGICO'!$D$2:$D$4919,MATCH($A1261,'DETALLE CRONOLÓGICO'!$A$2:$A$4919,0))</f>
        <v/>
      </c>
      <c r="H1261" s="1">
        <f>INDEX('DETALLE CRONOLÓGICO'!$D$2:$D$4919,MATCH($A1261,'DETALLE CRONOLÓGICO'!$A$2:$A$4919,0)+$E1261-1)</f>
        <v/>
      </c>
      <c r="I1261" s="5">
        <f>IFERROR(SUMIFS('DETALLE CRONOLÓGICO'!$L$2:$L$4919,'DETALLE CRONOLÓGICO'!$A$2:$A$4919,$A1261)/$F1261,"")</f>
        <v/>
      </c>
      <c r="J1261" s="6">
        <f>IFERROR(SUMIFS('DETALLE CRONOLÓGICO'!$K$2:$K$4919,'DETALLE CRONOLÓGICO'!$A$2:$A$4919,$A1261)/$E1261,"")</f>
        <v/>
      </c>
      <c r="K1261" s="6">
        <f>_xlfn.MINIFS('DETALLE CRONOLÓGICO'!$K$2:$K$4919,'DETALLE CRONOLÓGICO'!$A$2:$A$4919,$A1261)</f>
        <v/>
      </c>
      <c r="L1261" s="6">
        <f>_xlfn.MAXIFS('DETALLE CRONOLÓGICO'!$K$2:$K$4919,'DETALLE CRONOLÓGICO'!$A$2:$A$4919,$A1261)</f>
        <v/>
      </c>
      <c r="M1261" s="6">
        <f>INDEX('DETALLE CRONOLÓGICO'!$K$2:$K$4919,MATCH($A1261,'DETALLE CRONOLÓGICO'!$A$2:$A$4919,0)+$E1261-1)</f>
        <v/>
      </c>
      <c r="N1261" s="7">
        <f>IFERROR($M1261/INDEX('DETALLE CRONOLÓGICO'!$K$2:$K$4919,MATCH($A1261,'DETALLE CRONOLÓGICO'!$A$2:$A$4919,0))-1,"")</f>
        <v/>
      </c>
      <c r="O1261" s="6">
        <f>IFERROR($I1261*3,"")</f>
        <v/>
      </c>
      <c r="P1261" s="6">
        <f>IFERROR($I1261*3.5,"")</f>
        <v/>
      </c>
      <c r="Q1261" s="6">
        <f>IFERROR($I1261*4,"")</f>
        <v/>
      </c>
      <c r="R1261" s="6" t="n">
        <v>709</v>
      </c>
      <c r="S1261" s="4" t="n">
        <v>7</v>
      </c>
      <c r="T1261" s="1" t="inlineStr">
        <is>
          <t>active</t>
        </is>
      </c>
      <c r="U1261" s="8" t="n"/>
      <c r="V1261" s="1" t="inlineStr">
        <is>
          <t>SIN PRECIO</t>
        </is>
      </c>
    </row>
    <row r="1262">
      <c r="A1262" s="1" t="inlineStr">
        <is>
          <t>64e78d44e18fa</t>
        </is>
      </c>
      <c r="B1262" s="1" t="inlineStr">
        <is>
          <t>COLLAR LV CON ZIRCONIA GOLD</t>
        </is>
      </c>
      <c r="C1262" s="1" t="inlineStr">
        <is>
          <t>42cm</t>
        </is>
      </c>
      <c r="D1262" s="1" t="inlineStr">
        <is>
          <t>NANCY</t>
        </is>
      </c>
      <c r="E1262" s="4">
        <f>COUNTIF('DETALLE CRONOLÓGICO'!$A$2:$A$4919,$A1262)</f>
        <v/>
      </c>
      <c r="F1262" s="4">
        <f>SUMIFS('DETALLE CRONOLÓGICO'!$I$2:$I$4919,'DETALLE CRONOLÓGICO'!$A$2:$A$4919,$A1262)</f>
        <v/>
      </c>
      <c r="G1262" s="1">
        <f>INDEX('DETALLE CRONOLÓGICO'!$D$2:$D$4919,MATCH($A1262,'DETALLE CRONOLÓGICO'!$A$2:$A$4919,0))</f>
        <v/>
      </c>
      <c r="H1262" s="1">
        <f>INDEX('DETALLE CRONOLÓGICO'!$D$2:$D$4919,MATCH($A1262,'DETALLE CRONOLÓGICO'!$A$2:$A$4919,0)+$E1262-1)</f>
        <v/>
      </c>
      <c r="I1262" s="5">
        <f>IFERROR(SUMIFS('DETALLE CRONOLÓGICO'!$L$2:$L$4919,'DETALLE CRONOLÓGICO'!$A$2:$A$4919,$A1262)/$F1262,"")</f>
        <v/>
      </c>
      <c r="J1262" s="6">
        <f>IFERROR(SUMIFS('DETALLE CRONOLÓGICO'!$K$2:$K$4919,'DETALLE CRONOLÓGICO'!$A$2:$A$4919,$A1262)/$E1262,"")</f>
        <v/>
      </c>
      <c r="K1262" s="6">
        <f>_xlfn.MINIFS('DETALLE CRONOLÓGICO'!$K$2:$K$4919,'DETALLE CRONOLÓGICO'!$A$2:$A$4919,$A1262)</f>
        <v/>
      </c>
      <c r="L1262" s="6">
        <f>_xlfn.MAXIFS('DETALLE CRONOLÓGICO'!$K$2:$K$4919,'DETALLE CRONOLÓGICO'!$A$2:$A$4919,$A1262)</f>
        <v/>
      </c>
      <c r="M1262" s="6">
        <f>INDEX('DETALLE CRONOLÓGICO'!$K$2:$K$4919,MATCH($A1262,'DETALLE CRONOLÓGICO'!$A$2:$A$4919,0)+$E1262-1)</f>
        <v/>
      </c>
      <c r="N1262" s="7">
        <f>IFERROR($M1262/INDEX('DETALLE CRONOLÓGICO'!$K$2:$K$4919,MATCH($A1262,'DETALLE CRONOLÓGICO'!$A$2:$A$4919,0))-1,"")</f>
        <v/>
      </c>
      <c r="O1262" s="6">
        <f>IFERROR($I1262*3,"")</f>
        <v/>
      </c>
      <c r="P1262" s="6">
        <f>IFERROR($I1262*3.5,"")</f>
        <v/>
      </c>
      <c r="Q1262" s="6">
        <f>IFERROR($I1262*4,"")</f>
        <v/>
      </c>
      <c r="R1262" s="6" t="n">
        <v>669</v>
      </c>
      <c r="S1262" s="4" t="n">
        <v>6</v>
      </c>
      <c r="T1262" s="1" t="inlineStr">
        <is>
          <t>active</t>
        </is>
      </c>
      <c r="U1262" s="8" t="n"/>
      <c r="V1262" s="1" t="inlineStr">
        <is>
          <t>SIN PRECIO</t>
        </is>
      </c>
    </row>
    <row r="1263">
      <c r="A1263" s="1" t="inlineStr">
        <is>
          <t>64e78dfc1baee</t>
        </is>
      </c>
      <c r="B1263" s="1" t="inlineStr">
        <is>
          <t>LENTES PR MEN</t>
        </is>
      </c>
      <c r="C1263" s="1" t="inlineStr">
        <is>
          <t>Default Title</t>
        </is>
      </c>
      <c r="D1263" s="1" t="inlineStr">
        <is>
          <t>CYNTHIA</t>
        </is>
      </c>
      <c r="E1263" s="4">
        <f>COUNTIF('DETALLE CRONOLÓGICO'!$A$2:$A$4919,$A1263)</f>
        <v/>
      </c>
      <c r="F1263" s="4">
        <f>SUMIFS('DETALLE CRONOLÓGICO'!$I$2:$I$4919,'DETALLE CRONOLÓGICO'!$A$2:$A$4919,$A1263)</f>
        <v/>
      </c>
      <c r="G1263" s="1">
        <f>INDEX('DETALLE CRONOLÓGICO'!$D$2:$D$4919,MATCH($A1263,'DETALLE CRONOLÓGICO'!$A$2:$A$4919,0))</f>
        <v/>
      </c>
      <c r="H1263" s="1">
        <f>INDEX('DETALLE CRONOLÓGICO'!$D$2:$D$4919,MATCH($A1263,'DETALLE CRONOLÓGICO'!$A$2:$A$4919,0)+$E1263-1)</f>
        <v/>
      </c>
      <c r="I1263" s="5">
        <f>IFERROR(SUMIFS('DETALLE CRONOLÓGICO'!$L$2:$L$4919,'DETALLE CRONOLÓGICO'!$A$2:$A$4919,$A1263)/$F1263,"")</f>
        <v/>
      </c>
      <c r="J1263" s="6">
        <f>IFERROR(SUMIFS('DETALLE CRONOLÓGICO'!$K$2:$K$4919,'DETALLE CRONOLÓGICO'!$A$2:$A$4919,$A1263)/$E1263,"")</f>
        <v/>
      </c>
      <c r="K1263" s="6">
        <f>_xlfn.MINIFS('DETALLE CRONOLÓGICO'!$K$2:$K$4919,'DETALLE CRONOLÓGICO'!$A$2:$A$4919,$A1263)</f>
        <v/>
      </c>
      <c r="L1263" s="6">
        <f>_xlfn.MAXIFS('DETALLE CRONOLÓGICO'!$K$2:$K$4919,'DETALLE CRONOLÓGICO'!$A$2:$A$4919,$A1263)</f>
        <v/>
      </c>
      <c r="M1263" s="6">
        <f>INDEX('DETALLE CRONOLÓGICO'!$K$2:$K$4919,MATCH($A1263,'DETALLE CRONOLÓGICO'!$A$2:$A$4919,0)+$E1263-1)</f>
        <v/>
      </c>
      <c r="N1263" s="7">
        <f>IFERROR($M1263/INDEX('DETALLE CRONOLÓGICO'!$K$2:$K$4919,MATCH($A1263,'DETALLE CRONOLÓGICO'!$A$2:$A$4919,0))-1,"")</f>
        <v/>
      </c>
      <c r="O1263" s="6">
        <f>IFERROR($I1263*3,"")</f>
        <v/>
      </c>
      <c r="P1263" s="6">
        <f>IFERROR($I1263*3.5,"")</f>
        <v/>
      </c>
      <c r="Q1263" s="6">
        <f>IFERROR($I1263*4,"")</f>
        <v/>
      </c>
      <c r="R1263" s="6" t="n"/>
      <c r="S1263" s="4" t="n"/>
      <c r="T1263" s="1" t="inlineStr">
        <is>
          <t>YA NO EXISTE EN SHOPIFY</t>
        </is>
      </c>
      <c r="U1263" s="8" t="n"/>
      <c r="V1263" s="1" t="inlineStr">
        <is>
          <t>SIN PRECIO</t>
        </is>
      </c>
    </row>
    <row r="1264">
      <c r="A1264" s="1" t="inlineStr">
        <is>
          <t>64e78e112a71e</t>
        </is>
      </c>
      <c r="B1264" s="1" t="inlineStr">
        <is>
          <t>PULSERA DY SILVER</t>
        </is>
      </c>
      <c r="C1264" s="1" t="inlineStr">
        <is>
          <t>18cm</t>
        </is>
      </c>
      <c r="D1264" s="1" t="inlineStr">
        <is>
          <t>CYNTHIA</t>
        </is>
      </c>
      <c r="E1264" s="4">
        <f>COUNTIF('DETALLE CRONOLÓGICO'!$A$2:$A$4919,$A1264)</f>
        <v/>
      </c>
      <c r="F1264" s="4">
        <f>SUMIFS('DETALLE CRONOLÓGICO'!$I$2:$I$4919,'DETALLE CRONOLÓGICO'!$A$2:$A$4919,$A1264)</f>
        <v/>
      </c>
      <c r="G1264" s="1">
        <f>INDEX('DETALLE CRONOLÓGICO'!$D$2:$D$4919,MATCH($A1264,'DETALLE CRONOLÓGICO'!$A$2:$A$4919,0))</f>
        <v/>
      </c>
      <c r="H1264" s="1">
        <f>INDEX('DETALLE CRONOLÓGICO'!$D$2:$D$4919,MATCH($A1264,'DETALLE CRONOLÓGICO'!$A$2:$A$4919,0)+$E1264-1)</f>
        <v/>
      </c>
      <c r="I1264" s="5">
        <f>IFERROR(SUMIFS('DETALLE CRONOLÓGICO'!$L$2:$L$4919,'DETALLE CRONOLÓGICO'!$A$2:$A$4919,$A1264)/$F1264,"")</f>
        <v/>
      </c>
      <c r="J1264" s="6">
        <f>IFERROR(SUMIFS('DETALLE CRONOLÓGICO'!$K$2:$K$4919,'DETALLE CRONOLÓGICO'!$A$2:$A$4919,$A1264)/$E1264,"")</f>
        <v/>
      </c>
      <c r="K1264" s="6">
        <f>_xlfn.MINIFS('DETALLE CRONOLÓGICO'!$K$2:$K$4919,'DETALLE CRONOLÓGICO'!$A$2:$A$4919,$A1264)</f>
        <v/>
      </c>
      <c r="L1264" s="6">
        <f>_xlfn.MAXIFS('DETALLE CRONOLÓGICO'!$K$2:$K$4919,'DETALLE CRONOLÓGICO'!$A$2:$A$4919,$A1264)</f>
        <v/>
      </c>
      <c r="M1264" s="6">
        <f>INDEX('DETALLE CRONOLÓGICO'!$K$2:$K$4919,MATCH($A1264,'DETALLE CRONOLÓGICO'!$A$2:$A$4919,0)+$E1264-1)</f>
        <v/>
      </c>
      <c r="N1264" s="7">
        <f>IFERROR($M1264/INDEX('DETALLE CRONOLÓGICO'!$K$2:$K$4919,MATCH($A1264,'DETALLE CRONOLÓGICO'!$A$2:$A$4919,0))-1,"")</f>
        <v/>
      </c>
      <c r="O1264" s="6">
        <f>IFERROR($I1264*3,"")</f>
        <v/>
      </c>
      <c r="P1264" s="6">
        <f>IFERROR($I1264*3.5,"")</f>
        <v/>
      </c>
      <c r="Q1264" s="6">
        <f>IFERROR($I1264*4,"")</f>
        <v/>
      </c>
      <c r="R1264" s="6" t="n">
        <v>1239</v>
      </c>
      <c r="S1264" s="4" t="n">
        <v>3</v>
      </c>
      <c r="T1264" s="1" t="inlineStr">
        <is>
          <t>active</t>
        </is>
      </c>
      <c r="U1264" s="8" t="n"/>
      <c r="V1264" s="1" t="inlineStr">
        <is>
          <t>SIN PRECIO</t>
        </is>
      </c>
    </row>
    <row r="1265">
      <c r="A1265" s="1" t="inlineStr">
        <is>
          <t>64e78e722fe81</t>
        </is>
      </c>
      <c r="B1265" s="1" t="inlineStr">
        <is>
          <t>BROCHE CD GOLD CON PERLA</t>
        </is>
      </c>
      <c r="C1265" s="1" t="inlineStr">
        <is>
          <t>2.5cmx4cm</t>
        </is>
      </c>
      <c r="D1265" s="1" t="inlineStr">
        <is>
          <t>CYNTHIA</t>
        </is>
      </c>
      <c r="E1265" s="4">
        <f>COUNTIF('DETALLE CRONOLÓGICO'!$A$2:$A$4919,$A1265)</f>
        <v/>
      </c>
      <c r="F1265" s="4">
        <f>SUMIFS('DETALLE CRONOLÓGICO'!$I$2:$I$4919,'DETALLE CRONOLÓGICO'!$A$2:$A$4919,$A1265)</f>
        <v/>
      </c>
      <c r="G1265" s="1">
        <f>INDEX('DETALLE CRONOLÓGICO'!$D$2:$D$4919,MATCH($A1265,'DETALLE CRONOLÓGICO'!$A$2:$A$4919,0))</f>
        <v/>
      </c>
      <c r="H1265" s="1">
        <f>INDEX('DETALLE CRONOLÓGICO'!$D$2:$D$4919,MATCH($A1265,'DETALLE CRONOLÓGICO'!$A$2:$A$4919,0)+$E1265-1)</f>
        <v/>
      </c>
      <c r="I1265" s="5">
        <f>IFERROR(SUMIFS('DETALLE CRONOLÓGICO'!$L$2:$L$4919,'DETALLE CRONOLÓGICO'!$A$2:$A$4919,$A1265)/$F1265,"")</f>
        <v/>
      </c>
      <c r="J1265" s="6">
        <f>IFERROR(SUMIFS('DETALLE CRONOLÓGICO'!$K$2:$K$4919,'DETALLE CRONOLÓGICO'!$A$2:$A$4919,$A1265)/$E1265,"")</f>
        <v/>
      </c>
      <c r="K1265" s="6">
        <f>_xlfn.MINIFS('DETALLE CRONOLÓGICO'!$K$2:$K$4919,'DETALLE CRONOLÓGICO'!$A$2:$A$4919,$A1265)</f>
        <v/>
      </c>
      <c r="L1265" s="6">
        <f>_xlfn.MAXIFS('DETALLE CRONOLÓGICO'!$K$2:$K$4919,'DETALLE CRONOLÓGICO'!$A$2:$A$4919,$A1265)</f>
        <v/>
      </c>
      <c r="M1265" s="6">
        <f>INDEX('DETALLE CRONOLÓGICO'!$K$2:$K$4919,MATCH($A1265,'DETALLE CRONOLÓGICO'!$A$2:$A$4919,0)+$E1265-1)</f>
        <v/>
      </c>
      <c r="N1265" s="7">
        <f>IFERROR($M1265/INDEX('DETALLE CRONOLÓGICO'!$K$2:$K$4919,MATCH($A1265,'DETALLE CRONOLÓGICO'!$A$2:$A$4919,0))-1,"")</f>
        <v/>
      </c>
      <c r="O1265" s="6">
        <f>IFERROR($I1265*3,"")</f>
        <v/>
      </c>
      <c r="P1265" s="6">
        <f>IFERROR($I1265*3.5,"")</f>
        <v/>
      </c>
      <c r="Q1265" s="6">
        <f>IFERROR($I1265*4,"")</f>
        <v/>
      </c>
      <c r="R1265" s="6" t="n">
        <v>915</v>
      </c>
      <c r="S1265" s="4" t="n">
        <v>2</v>
      </c>
      <c r="T1265" s="1" t="inlineStr">
        <is>
          <t>active</t>
        </is>
      </c>
      <c r="U1265" s="8" t="n"/>
      <c r="V1265" s="1" t="inlineStr">
        <is>
          <t>SIN PRECIO</t>
        </is>
      </c>
    </row>
    <row r="1266">
      <c r="A1266" s="1" t="inlineStr">
        <is>
          <t>64e78e725d8db</t>
        </is>
      </c>
      <c r="B1266" s="1" t="inlineStr">
        <is>
          <t>ARETES CD CON PERLA GOLD DR</t>
        </is>
      </c>
      <c r="C1266" s="1" t="inlineStr">
        <is>
          <t>Default Title</t>
        </is>
      </c>
      <c r="D1266" s="1" t="inlineStr">
        <is>
          <t>CYNTHIA</t>
        </is>
      </c>
      <c r="E1266" s="4">
        <f>COUNTIF('DETALLE CRONOLÓGICO'!$A$2:$A$4919,$A1266)</f>
        <v/>
      </c>
      <c r="F1266" s="4">
        <f>SUMIFS('DETALLE CRONOLÓGICO'!$I$2:$I$4919,'DETALLE CRONOLÓGICO'!$A$2:$A$4919,$A1266)</f>
        <v/>
      </c>
      <c r="G1266" s="1">
        <f>INDEX('DETALLE CRONOLÓGICO'!$D$2:$D$4919,MATCH($A1266,'DETALLE CRONOLÓGICO'!$A$2:$A$4919,0))</f>
        <v/>
      </c>
      <c r="H1266" s="1">
        <f>INDEX('DETALLE CRONOLÓGICO'!$D$2:$D$4919,MATCH($A1266,'DETALLE CRONOLÓGICO'!$A$2:$A$4919,0)+$E1266-1)</f>
        <v/>
      </c>
      <c r="I1266" s="5">
        <f>IFERROR(SUMIFS('DETALLE CRONOLÓGICO'!$L$2:$L$4919,'DETALLE CRONOLÓGICO'!$A$2:$A$4919,$A1266)/$F1266,"")</f>
        <v/>
      </c>
      <c r="J1266" s="6">
        <f>IFERROR(SUMIFS('DETALLE CRONOLÓGICO'!$K$2:$K$4919,'DETALLE CRONOLÓGICO'!$A$2:$A$4919,$A1266)/$E1266,"")</f>
        <v/>
      </c>
      <c r="K1266" s="6">
        <f>_xlfn.MINIFS('DETALLE CRONOLÓGICO'!$K$2:$K$4919,'DETALLE CRONOLÓGICO'!$A$2:$A$4919,$A1266)</f>
        <v/>
      </c>
      <c r="L1266" s="6">
        <f>_xlfn.MAXIFS('DETALLE CRONOLÓGICO'!$K$2:$K$4919,'DETALLE CRONOLÓGICO'!$A$2:$A$4919,$A1266)</f>
        <v/>
      </c>
      <c r="M1266" s="6">
        <f>INDEX('DETALLE CRONOLÓGICO'!$K$2:$K$4919,MATCH($A1266,'DETALLE CRONOLÓGICO'!$A$2:$A$4919,0)+$E1266-1)</f>
        <v/>
      </c>
      <c r="N1266" s="7">
        <f>IFERROR($M1266/INDEX('DETALLE CRONOLÓGICO'!$K$2:$K$4919,MATCH($A1266,'DETALLE CRONOLÓGICO'!$A$2:$A$4919,0))-1,"")</f>
        <v/>
      </c>
      <c r="O1266" s="6">
        <f>IFERROR($I1266*3,"")</f>
        <v/>
      </c>
      <c r="P1266" s="6">
        <f>IFERROR($I1266*3.5,"")</f>
        <v/>
      </c>
      <c r="Q1266" s="6">
        <f>IFERROR($I1266*4,"")</f>
        <v/>
      </c>
      <c r="R1266" s="6" t="n">
        <v>650</v>
      </c>
      <c r="S1266" s="4" t="n">
        <v>0</v>
      </c>
      <c r="T1266" s="1" t="inlineStr">
        <is>
          <t>active</t>
        </is>
      </c>
      <c r="U1266" s="8" t="n"/>
      <c r="V1266" s="1" t="inlineStr">
        <is>
          <t>SIN PRECIO</t>
        </is>
      </c>
    </row>
    <row r="1267">
      <c r="A1267" s="1" t="inlineStr">
        <is>
          <t>64e78e740ecaf-1</t>
        </is>
      </c>
      <c r="B1267" s="1" t="inlineStr">
        <is>
          <t>ARETES LV LOGO GOLD</t>
        </is>
      </c>
      <c r="C1267" s="1" t="inlineStr">
        <is>
          <t>Stainless steel</t>
        </is>
      </c>
      <c r="D1267" s="1" t="inlineStr">
        <is>
          <t>CYNTHIA</t>
        </is>
      </c>
      <c r="E1267" s="4">
        <f>COUNTIF('DETALLE CRONOLÓGICO'!$A$2:$A$4919,$A1267)</f>
        <v/>
      </c>
      <c r="F1267" s="4">
        <f>SUMIFS('DETALLE CRONOLÓGICO'!$I$2:$I$4919,'DETALLE CRONOLÓGICO'!$A$2:$A$4919,$A1267)</f>
        <v/>
      </c>
      <c r="G1267" s="1">
        <f>INDEX('DETALLE CRONOLÓGICO'!$D$2:$D$4919,MATCH($A1267,'DETALLE CRONOLÓGICO'!$A$2:$A$4919,0))</f>
        <v/>
      </c>
      <c r="H1267" s="1">
        <f>INDEX('DETALLE CRONOLÓGICO'!$D$2:$D$4919,MATCH($A1267,'DETALLE CRONOLÓGICO'!$A$2:$A$4919,0)+$E1267-1)</f>
        <v/>
      </c>
      <c r="I1267" s="5">
        <f>IFERROR(SUMIFS('DETALLE CRONOLÓGICO'!$L$2:$L$4919,'DETALLE CRONOLÓGICO'!$A$2:$A$4919,$A1267)/$F1267,"")</f>
        <v/>
      </c>
      <c r="J1267" s="6">
        <f>IFERROR(SUMIFS('DETALLE CRONOLÓGICO'!$K$2:$K$4919,'DETALLE CRONOLÓGICO'!$A$2:$A$4919,$A1267)/$E1267,"")</f>
        <v/>
      </c>
      <c r="K1267" s="6">
        <f>_xlfn.MINIFS('DETALLE CRONOLÓGICO'!$K$2:$K$4919,'DETALLE CRONOLÓGICO'!$A$2:$A$4919,$A1267)</f>
        <v/>
      </c>
      <c r="L1267" s="6">
        <f>_xlfn.MAXIFS('DETALLE CRONOLÓGICO'!$K$2:$K$4919,'DETALLE CRONOLÓGICO'!$A$2:$A$4919,$A1267)</f>
        <v/>
      </c>
      <c r="M1267" s="6">
        <f>INDEX('DETALLE CRONOLÓGICO'!$K$2:$K$4919,MATCH($A1267,'DETALLE CRONOLÓGICO'!$A$2:$A$4919,0)+$E1267-1)</f>
        <v/>
      </c>
      <c r="N1267" s="7">
        <f>IFERROR($M1267/INDEX('DETALLE CRONOLÓGICO'!$K$2:$K$4919,MATCH($A1267,'DETALLE CRONOLÓGICO'!$A$2:$A$4919,0))-1,"")</f>
        <v/>
      </c>
      <c r="O1267" s="6">
        <f>IFERROR($I1267*3,"")</f>
        <v/>
      </c>
      <c r="P1267" s="6">
        <f>IFERROR($I1267*3.5,"")</f>
        <v/>
      </c>
      <c r="Q1267" s="6">
        <f>IFERROR($I1267*4,"")</f>
        <v/>
      </c>
      <c r="R1267" s="6" t="n">
        <v>722</v>
      </c>
      <c r="S1267" s="4" t="n">
        <v>5</v>
      </c>
      <c r="T1267" s="1" t="inlineStr">
        <is>
          <t>active</t>
        </is>
      </c>
      <c r="U1267" s="8" t="n"/>
      <c r="V1267" s="1" t="inlineStr">
        <is>
          <t>SIN PRECIO</t>
        </is>
      </c>
    </row>
    <row r="1268">
      <c r="A1268" s="1" t="inlineStr">
        <is>
          <t>64e78e797f140</t>
        </is>
      </c>
      <c r="B1268" s="1" t="inlineStr">
        <is>
          <t>ANILLO BV 3 OROS</t>
        </is>
      </c>
      <c r="C1268" s="1" t="inlineStr">
        <is>
          <t>6</t>
        </is>
      </c>
      <c r="D1268" s="1" t="inlineStr">
        <is>
          <t>COCOMA</t>
        </is>
      </c>
      <c r="E1268" s="4">
        <f>COUNTIF('DETALLE CRONOLÓGICO'!$A$2:$A$4919,$A1268)</f>
        <v/>
      </c>
      <c r="F1268" s="4">
        <f>SUMIFS('DETALLE CRONOLÓGICO'!$I$2:$I$4919,'DETALLE CRONOLÓGICO'!$A$2:$A$4919,$A1268)</f>
        <v/>
      </c>
      <c r="G1268" s="1">
        <f>INDEX('DETALLE CRONOLÓGICO'!$D$2:$D$4919,MATCH($A1268,'DETALLE CRONOLÓGICO'!$A$2:$A$4919,0))</f>
        <v/>
      </c>
      <c r="H1268" s="1">
        <f>INDEX('DETALLE CRONOLÓGICO'!$D$2:$D$4919,MATCH($A1268,'DETALLE CRONOLÓGICO'!$A$2:$A$4919,0)+$E1268-1)</f>
        <v/>
      </c>
      <c r="I1268" s="5">
        <f>IFERROR(SUMIFS('DETALLE CRONOLÓGICO'!$L$2:$L$4919,'DETALLE CRONOLÓGICO'!$A$2:$A$4919,$A1268)/$F1268,"")</f>
        <v/>
      </c>
      <c r="J1268" s="6">
        <f>IFERROR(SUMIFS('DETALLE CRONOLÓGICO'!$K$2:$K$4919,'DETALLE CRONOLÓGICO'!$A$2:$A$4919,$A1268)/$E1268,"")</f>
        <v/>
      </c>
      <c r="K1268" s="6">
        <f>_xlfn.MINIFS('DETALLE CRONOLÓGICO'!$K$2:$K$4919,'DETALLE CRONOLÓGICO'!$A$2:$A$4919,$A1268)</f>
        <v/>
      </c>
      <c r="L1268" s="6">
        <f>_xlfn.MAXIFS('DETALLE CRONOLÓGICO'!$K$2:$K$4919,'DETALLE CRONOLÓGICO'!$A$2:$A$4919,$A1268)</f>
        <v/>
      </c>
      <c r="M1268" s="6">
        <f>INDEX('DETALLE CRONOLÓGICO'!$K$2:$K$4919,MATCH($A1268,'DETALLE CRONOLÓGICO'!$A$2:$A$4919,0)+$E1268-1)</f>
        <v/>
      </c>
      <c r="N1268" s="7">
        <f>IFERROR($M1268/INDEX('DETALLE CRONOLÓGICO'!$K$2:$K$4919,MATCH($A1268,'DETALLE CRONOLÓGICO'!$A$2:$A$4919,0))-1,"")</f>
        <v/>
      </c>
      <c r="O1268" s="6">
        <f>IFERROR($I1268*3,"")</f>
        <v/>
      </c>
      <c r="P1268" s="6">
        <f>IFERROR($I1268*3.5,"")</f>
        <v/>
      </c>
      <c r="Q1268" s="6">
        <f>IFERROR($I1268*4,"")</f>
        <v/>
      </c>
      <c r="R1268" s="6" t="n">
        <v>520</v>
      </c>
      <c r="S1268" s="4" t="n">
        <v>0</v>
      </c>
      <c r="T1268" s="1" t="inlineStr">
        <is>
          <t>active</t>
        </is>
      </c>
      <c r="U1268" s="8" t="n"/>
      <c r="V1268" s="1" t="inlineStr">
        <is>
          <t>SIN PRECIO</t>
        </is>
      </c>
    </row>
    <row r="1269">
      <c r="A1269" s="1" t="inlineStr">
        <is>
          <t>64e78e7a486d9</t>
        </is>
      </c>
      <c r="B1269" s="1" t="inlineStr">
        <is>
          <t>ANILLO BV 3 OROS</t>
        </is>
      </c>
      <c r="C1269" s="1" t="inlineStr">
        <is>
          <t>7</t>
        </is>
      </c>
      <c r="D1269" s="1" t="inlineStr">
        <is>
          <t>COCOMA</t>
        </is>
      </c>
      <c r="E1269" s="4">
        <f>COUNTIF('DETALLE CRONOLÓGICO'!$A$2:$A$4919,$A1269)</f>
        <v/>
      </c>
      <c r="F1269" s="4">
        <f>SUMIFS('DETALLE CRONOLÓGICO'!$I$2:$I$4919,'DETALLE CRONOLÓGICO'!$A$2:$A$4919,$A1269)</f>
        <v/>
      </c>
      <c r="G1269" s="1">
        <f>INDEX('DETALLE CRONOLÓGICO'!$D$2:$D$4919,MATCH($A1269,'DETALLE CRONOLÓGICO'!$A$2:$A$4919,0))</f>
        <v/>
      </c>
      <c r="H1269" s="1">
        <f>INDEX('DETALLE CRONOLÓGICO'!$D$2:$D$4919,MATCH($A1269,'DETALLE CRONOLÓGICO'!$A$2:$A$4919,0)+$E1269-1)</f>
        <v/>
      </c>
      <c r="I1269" s="5">
        <f>IFERROR(SUMIFS('DETALLE CRONOLÓGICO'!$L$2:$L$4919,'DETALLE CRONOLÓGICO'!$A$2:$A$4919,$A1269)/$F1269,"")</f>
        <v/>
      </c>
      <c r="J1269" s="6">
        <f>IFERROR(SUMIFS('DETALLE CRONOLÓGICO'!$K$2:$K$4919,'DETALLE CRONOLÓGICO'!$A$2:$A$4919,$A1269)/$E1269,"")</f>
        <v/>
      </c>
      <c r="K1269" s="6">
        <f>_xlfn.MINIFS('DETALLE CRONOLÓGICO'!$K$2:$K$4919,'DETALLE CRONOLÓGICO'!$A$2:$A$4919,$A1269)</f>
        <v/>
      </c>
      <c r="L1269" s="6">
        <f>_xlfn.MAXIFS('DETALLE CRONOLÓGICO'!$K$2:$K$4919,'DETALLE CRONOLÓGICO'!$A$2:$A$4919,$A1269)</f>
        <v/>
      </c>
      <c r="M1269" s="6">
        <f>INDEX('DETALLE CRONOLÓGICO'!$K$2:$K$4919,MATCH($A1269,'DETALLE CRONOLÓGICO'!$A$2:$A$4919,0)+$E1269-1)</f>
        <v/>
      </c>
      <c r="N1269" s="7">
        <f>IFERROR($M1269/INDEX('DETALLE CRONOLÓGICO'!$K$2:$K$4919,MATCH($A1269,'DETALLE CRONOLÓGICO'!$A$2:$A$4919,0))-1,"")</f>
        <v/>
      </c>
      <c r="O1269" s="6">
        <f>IFERROR($I1269*3,"")</f>
        <v/>
      </c>
      <c r="P1269" s="6">
        <f>IFERROR($I1269*3.5,"")</f>
        <v/>
      </c>
      <c r="Q1269" s="6">
        <f>IFERROR($I1269*4,"")</f>
        <v/>
      </c>
      <c r="R1269" s="6" t="n">
        <v>520</v>
      </c>
      <c r="S1269" s="4" t="n">
        <v>0</v>
      </c>
      <c r="T1269" s="1" t="inlineStr">
        <is>
          <t>active</t>
        </is>
      </c>
      <c r="U1269" s="8" t="n"/>
      <c r="V1269" s="1" t="inlineStr">
        <is>
          <t>SIN PRECIO</t>
        </is>
      </c>
    </row>
    <row r="1270">
      <c r="A1270" s="1" t="inlineStr">
        <is>
          <t>64e78e7b03ab1</t>
        </is>
      </c>
      <c r="B1270" s="1" t="inlineStr">
        <is>
          <t>ANILLO BV 3 OROS</t>
        </is>
      </c>
      <c r="C1270" s="1" t="inlineStr">
        <is>
          <t>8</t>
        </is>
      </c>
      <c r="D1270" s="1" t="inlineStr">
        <is>
          <t>COCOMA / HAIFENG</t>
        </is>
      </c>
      <c r="E1270" s="4">
        <f>COUNTIF('DETALLE CRONOLÓGICO'!$A$2:$A$4919,$A1270)</f>
        <v/>
      </c>
      <c r="F1270" s="4">
        <f>SUMIFS('DETALLE CRONOLÓGICO'!$I$2:$I$4919,'DETALLE CRONOLÓGICO'!$A$2:$A$4919,$A1270)</f>
        <v/>
      </c>
      <c r="G1270" s="1">
        <f>INDEX('DETALLE CRONOLÓGICO'!$D$2:$D$4919,MATCH($A1270,'DETALLE CRONOLÓGICO'!$A$2:$A$4919,0))</f>
        <v/>
      </c>
      <c r="H1270" s="1">
        <f>INDEX('DETALLE CRONOLÓGICO'!$D$2:$D$4919,MATCH($A1270,'DETALLE CRONOLÓGICO'!$A$2:$A$4919,0)+$E1270-1)</f>
        <v/>
      </c>
      <c r="I1270" s="5">
        <f>IFERROR(SUMIFS('DETALLE CRONOLÓGICO'!$L$2:$L$4919,'DETALLE CRONOLÓGICO'!$A$2:$A$4919,$A1270)/$F1270,"")</f>
        <v/>
      </c>
      <c r="J1270" s="6">
        <f>IFERROR(SUMIFS('DETALLE CRONOLÓGICO'!$K$2:$K$4919,'DETALLE CRONOLÓGICO'!$A$2:$A$4919,$A1270)/$E1270,"")</f>
        <v/>
      </c>
      <c r="K1270" s="6">
        <f>_xlfn.MINIFS('DETALLE CRONOLÓGICO'!$K$2:$K$4919,'DETALLE CRONOLÓGICO'!$A$2:$A$4919,$A1270)</f>
        <v/>
      </c>
      <c r="L1270" s="6">
        <f>_xlfn.MAXIFS('DETALLE CRONOLÓGICO'!$K$2:$K$4919,'DETALLE CRONOLÓGICO'!$A$2:$A$4919,$A1270)</f>
        <v/>
      </c>
      <c r="M1270" s="6">
        <f>INDEX('DETALLE CRONOLÓGICO'!$K$2:$K$4919,MATCH($A1270,'DETALLE CRONOLÓGICO'!$A$2:$A$4919,0)+$E1270-1)</f>
        <v/>
      </c>
      <c r="N1270" s="7">
        <f>IFERROR($M1270/INDEX('DETALLE CRONOLÓGICO'!$K$2:$K$4919,MATCH($A1270,'DETALLE CRONOLÓGICO'!$A$2:$A$4919,0))-1,"")</f>
        <v/>
      </c>
      <c r="O1270" s="6">
        <f>IFERROR($I1270*3,"")</f>
        <v/>
      </c>
      <c r="P1270" s="6">
        <f>IFERROR($I1270*3.5,"")</f>
        <v/>
      </c>
      <c r="Q1270" s="6">
        <f>IFERROR($I1270*4,"")</f>
        <v/>
      </c>
      <c r="R1270" s="6" t="n">
        <v>520</v>
      </c>
      <c r="S1270" s="4" t="n">
        <v>0</v>
      </c>
      <c r="T1270" s="1" t="inlineStr">
        <is>
          <t>active</t>
        </is>
      </c>
      <c r="U1270" s="8" t="n"/>
      <c r="V1270" s="1" t="inlineStr">
        <is>
          <t>SIN PRECIO</t>
        </is>
      </c>
    </row>
    <row r="1271">
      <c r="A1271" s="1" t="inlineStr">
        <is>
          <t>64e78e7bb52a6</t>
        </is>
      </c>
      <c r="B1271" s="1" t="inlineStr">
        <is>
          <t>ANILLO BV 3 OROS</t>
        </is>
      </c>
      <c r="C1271" s="1" t="inlineStr">
        <is>
          <t>9</t>
        </is>
      </c>
      <c r="D1271" s="1" t="inlineStr">
        <is>
          <t>COCOMA / HAIFENG</t>
        </is>
      </c>
      <c r="E1271" s="4">
        <f>COUNTIF('DETALLE CRONOLÓGICO'!$A$2:$A$4919,$A1271)</f>
        <v/>
      </c>
      <c r="F1271" s="4">
        <f>SUMIFS('DETALLE CRONOLÓGICO'!$I$2:$I$4919,'DETALLE CRONOLÓGICO'!$A$2:$A$4919,$A1271)</f>
        <v/>
      </c>
      <c r="G1271" s="1">
        <f>INDEX('DETALLE CRONOLÓGICO'!$D$2:$D$4919,MATCH($A1271,'DETALLE CRONOLÓGICO'!$A$2:$A$4919,0))</f>
        <v/>
      </c>
      <c r="H1271" s="1">
        <f>INDEX('DETALLE CRONOLÓGICO'!$D$2:$D$4919,MATCH($A1271,'DETALLE CRONOLÓGICO'!$A$2:$A$4919,0)+$E1271-1)</f>
        <v/>
      </c>
      <c r="I1271" s="5">
        <f>IFERROR(SUMIFS('DETALLE CRONOLÓGICO'!$L$2:$L$4919,'DETALLE CRONOLÓGICO'!$A$2:$A$4919,$A1271)/$F1271,"")</f>
        <v/>
      </c>
      <c r="J1271" s="6">
        <f>IFERROR(SUMIFS('DETALLE CRONOLÓGICO'!$K$2:$K$4919,'DETALLE CRONOLÓGICO'!$A$2:$A$4919,$A1271)/$E1271,"")</f>
        <v/>
      </c>
      <c r="K1271" s="6">
        <f>_xlfn.MINIFS('DETALLE CRONOLÓGICO'!$K$2:$K$4919,'DETALLE CRONOLÓGICO'!$A$2:$A$4919,$A1271)</f>
        <v/>
      </c>
      <c r="L1271" s="6">
        <f>_xlfn.MAXIFS('DETALLE CRONOLÓGICO'!$K$2:$K$4919,'DETALLE CRONOLÓGICO'!$A$2:$A$4919,$A1271)</f>
        <v/>
      </c>
      <c r="M1271" s="6">
        <f>INDEX('DETALLE CRONOLÓGICO'!$K$2:$K$4919,MATCH($A1271,'DETALLE CRONOLÓGICO'!$A$2:$A$4919,0)+$E1271-1)</f>
        <v/>
      </c>
      <c r="N1271" s="7">
        <f>IFERROR($M1271/INDEX('DETALLE CRONOLÓGICO'!$K$2:$K$4919,MATCH($A1271,'DETALLE CRONOLÓGICO'!$A$2:$A$4919,0))-1,"")</f>
        <v/>
      </c>
      <c r="O1271" s="6">
        <f>IFERROR($I1271*3,"")</f>
        <v/>
      </c>
      <c r="P1271" s="6">
        <f>IFERROR($I1271*3.5,"")</f>
        <v/>
      </c>
      <c r="Q1271" s="6">
        <f>IFERROR($I1271*4,"")</f>
        <v/>
      </c>
      <c r="R1271" s="6" t="n">
        <v>364</v>
      </c>
      <c r="S1271" s="4" t="n">
        <v>0</v>
      </c>
      <c r="T1271" s="1" t="inlineStr">
        <is>
          <t>active</t>
        </is>
      </c>
      <c r="U1271" s="8" t="n"/>
      <c r="V1271" s="1" t="inlineStr">
        <is>
          <t>SIN PRECIO</t>
        </is>
      </c>
    </row>
    <row r="1272">
      <c r="A1272" s="1" t="inlineStr">
        <is>
          <t>64e78e7d211b8</t>
        </is>
      </c>
      <c r="B1272" s="1" t="inlineStr">
        <is>
          <t>PULSERA ONE TRÉBOL GOLD</t>
        </is>
      </c>
      <c r="C1272" s="1" t="inlineStr">
        <is>
          <t>17cm Con extension 2.5m</t>
        </is>
      </c>
      <c r="D1272" s="1" t="inlineStr">
        <is>
          <t>NANCY</t>
        </is>
      </c>
      <c r="E1272" s="4">
        <f>COUNTIF('DETALLE CRONOLÓGICO'!$A$2:$A$4919,$A1272)</f>
        <v/>
      </c>
      <c r="F1272" s="4">
        <f>SUMIFS('DETALLE CRONOLÓGICO'!$I$2:$I$4919,'DETALLE CRONOLÓGICO'!$A$2:$A$4919,$A1272)</f>
        <v/>
      </c>
      <c r="G1272" s="1">
        <f>INDEX('DETALLE CRONOLÓGICO'!$D$2:$D$4919,MATCH($A1272,'DETALLE CRONOLÓGICO'!$A$2:$A$4919,0))</f>
        <v/>
      </c>
      <c r="H1272" s="1">
        <f>INDEX('DETALLE CRONOLÓGICO'!$D$2:$D$4919,MATCH($A1272,'DETALLE CRONOLÓGICO'!$A$2:$A$4919,0)+$E1272-1)</f>
        <v/>
      </c>
      <c r="I1272" s="5">
        <f>IFERROR(SUMIFS('DETALLE CRONOLÓGICO'!$L$2:$L$4919,'DETALLE CRONOLÓGICO'!$A$2:$A$4919,$A1272)/$F1272,"")</f>
        <v/>
      </c>
      <c r="J1272" s="6">
        <f>IFERROR(SUMIFS('DETALLE CRONOLÓGICO'!$K$2:$K$4919,'DETALLE CRONOLÓGICO'!$A$2:$A$4919,$A1272)/$E1272,"")</f>
        <v/>
      </c>
      <c r="K1272" s="6">
        <f>_xlfn.MINIFS('DETALLE CRONOLÓGICO'!$K$2:$K$4919,'DETALLE CRONOLÓGICO'!$A$2:$A$4919,$A1272)</f>
        <v/>
      </c>
      <c r="L1272" s="6">
        <f>_xlfn.MAXIFS('DETALLE CRONOLÓGICO'!$K$2:$K$4919,'DETALLE CRONOLÓGICO'!$A$2:$A$4919,$A1272)</f>
        <v/>
      </c>
      <c r="M1272" s="6">
        <f>INDEX('DETALLE CRONOLÓGICO'!$K$2:$K$4919,MATCH($A1272,'DETALLE CRONOLÓGICO'!$A$2:$A$4919,0)+$E1272-1)</f>
        <v/>
      </c>
      <c r="N1272" s="7">
        <f>IFERROR($M1272/INDEX('DETALLE CRONOLÓGICO'!$K$2:$K$4919,MATCH($A1272,'DETALLE CRONOLÓGICO'!$A$2:$A$4919,0))-1,"")</f>
        <v/>
      </c>
      <c r="O1272" s="6">
        <f>IFERROR($I1272*3,"")</f>
        <v/>
      </c>
      <c r="P1272" s="6">
        <f>IFERROR($I1272*3.5,"")</f>
        <v/>
      </c>
      <c r="Q1272" s="6">
        <f>IFERROR($I1272*4,"")</f>
        <v/>
      </c>
      <c r="R1272" s="6" t="n">
        <v>780</v>
      </c>
      <c r="S1272" s="4" t="n">
        <v>0</v>
      </c>
      <c r="T1272" s="1" t="inlineStr">
        <is>
          <t>active</t>
        </is>
      </c>
      <c r="U1272" s="8" t="n"/>
      <c r="V1272" s="1" t="inlineStr">
        <is>
          <t>SIN PRECIO</t>
        </is>
      </c>
    </row>
    <row r="1273">
      <c r="A1273" s="1" t="inlineStr">
        <is>
          <t>64e78ed3b6948</t>
        </is>
      </c>
      <c r="B1273" s="1" t="inlineStr">
        <is>
          <t>ARETES YSL</t>
        </is>
      </c>
      <c r="C1273" s="1" t="inlineStr">
        <is>
          <t>Default Title</t>
        </is>
      </c>
      <c r="D1273" s="1" t="inlineStr">
        <is>
          <t>CYNTHIA</t>
        </is>
      </c>
      <c r="E1273" s="4">
        <f>COUNTIF('DETALLE CRONOLÓGICO'!$A$2:$A$4919,$A1273)</f>
        <v/>
      </c>
      <c r="F1273" s="4">
        <f>SUMIFS('DETALLE CRONOLÓGICO'!$I$2:$I$4919,'DETALLE CRONOLÓGICO'!$A$2:$A$4919,$A1273)</f>
        <v/>
      </c>
      <c r="G1273" s="1">
        <f>INDEX('DETALLE CRONOLÓGICO'!$D$2:$D$4919,MATCH($A1273,'DETALLE CRONOLÓGICO'!$A$2:$A$4919,0))</f>
        <v/>
      </c>
      <c r="H1273" s="1">
        <f>INDEX('DETALLE CRONOLÓGICO'!$D$2:$D$4919,MATCH($A1273,'DETALLE CRONOLÓGICO'!$A$2:$A$4919,0)+$E1273-1)</f>
        <v/>
      </c>
      <c r="I1273" s="5">
        <f>IFERROR(SUMIFS('DETALLE CRONOLÓGICO'!$L$2:$L$4919,'DETALLE CRONOLÓGICO'!$A$2:$A$4919,$A1273)/$F1273,"")</f>
        <v/>
      </c>
      <c r="J1273" s="6">
        <f>IFERROR(SUMIFS('DETALLE CRONOLÓGICO'!$K$2:$K$4919,'DETALLE CRONOLÓGICO'!$A$2:$A$4919,$A1273)/$E1273,"")</f>
        <v/>
      </c>
      <c r="K1273" s="6">
        <f>_xlfn.MINIFS('DETALLE CRONOLÓGICO'!$K$2:$K$4919,'DETALLE CRONOLÓGICO'!$A$2:$A$4919,$A1273)</f>
        <v/>
      </c>
      <c r="L1273" s="6">
        <f>_xlfn.MAXIFS('DETALLE CRONOLÓGICO'!$K$2:$K$4919,'DETALLE CRONOLÓGICO'!$A$2:$A$4919,$A1273)</f>
        <v/>
      </c>
      <c r="M1273" s="6">
        <f>INDEX('DETALLE CRONOLÓGICO'!$K$2:$K$4919,MATCH($A1273,'DETALLE CRONOLÓGICO'!$A$2:$A$4919,0)+$E1273-1)</f>
        <v/>
      </c>
      <c r="N1273" s="7">
        <f>IFERROR($M1273/INDEX('DETALLE CRONOLÓGICO'!$K$2:$K$4919,MATCH($A1273,'DETALLE CRONOLÓGICO'!$A$2:$A$4919,0))-1,"")</f>
        <v/>
      </c>
      <c r="O1273" s="6">
        <f>IFERROR($I1273*3,"")</f>
        <v/>
      </c>
      <c r="P1273" s="6">
        <f>IFERROR($I1273*3.5,"")</f>
        <v/>
      </c>
      <c r="Q1273" s="6">
        <f>IFERROR($I1273*4,"")</f>
        <v/>
      </c>
      <c r="R1273" s="6" t="n">
        <v>1049</v>
      </c>
      <c r="S1273" s="4" t="n">
        <v>6</v>
      </c>
      <c r="T1273" s="1" t="inlineStr">
        <is>
          <t>active</t>
        </is>
      </c>
      <c r="U1273" s="8" t="n"/>
      <c r="V1273" s="1" t="inlineStr">
        <is>
          <t>SIN PRECIO</t>
        </is>
      </c>
    </row>
    <row r="1274">
      <c r="A1274" s="1" t="inlineStr">
        <is>
          <t>64e78ed47e099</t>
        </is>
      </c>
      <c r="B1274" s="1" t="inlineStr">
        <is>
          <t>PULSERA BLOSSOM STAR ROSEGOLD</t>
        </is>
      </c>
      <c r="C1274" s="1" t="inlineStr">
        <is>
          <t>16cm con extension 5cm</t>
        </is>
      </c>
      <c r="D1274" s="1" t="inlineStr">
        <is>
          <t>CYNTHIA</t>
        </is>
      </c>
      <c r="E1274" s="4">
        <f>COUNTIF('DETALLE CRONOLÓGICO'!$A$2:$A$4919,$A1274)</f>
        <v/>
      </c>
      <c r="F1274" s="4">
        <f>SUMIFS('DETALLE CRONOLÓGICO'!$I$2:$I$4919,'DETALLE CRONOLÓGICO'!$A$2:$A$4919,$A1274)</f>
        <v/>
      </c>
      <c r="G1274" s="1">
        <f>INDEX('DETALLE CRONOLÓGICO'!$D$2:$D$4919,MATCH($A1274,'DETALLE CRONOLÓGICO'!$A$2:$A$4919,0))</f>
        <v/>
      </c>
      <c r="H1274" s="1">
        <f>INDEX('DETALLE CRONOLÓGICO'!$D$2:$D$4919,MATCH($A1274,'DETALLE CRONOLÓGICO'!$A$2:$A$4919,0)+$E1274-1)</f>
        <v/>
      </c>
      <c r="I1274" s="5">
        <f>IFERROR(SUMIFS('DETALLE CRONOLÓGICO'!$L$2:$L$4919,'DETALLE CRONOLÓGICO'!$A$2:$A$4919,$A1274)/$F1274,"")</f>
        <v/>
      </c>
      <c r="J1274" s="6">
        <f>IFERROR(SUMIFS('DETALLE CRONOLÓGICO'!$K$2:$K$4919,'DETALLE CRONOLÓGICO'!$A$2:$A$4919,$A1274)/$E1274,"")</f>
        <v/>
      </c>
      <c r="K1274" s="6">
        <f>_xlfn.MINIFS('DETALLE CRONOLÓGICO'!$K$2:$K$4919,'DETALLE CRONOLÓGICO'!$A$2:$A$4919,$A1274)</f>
        <v/>
      </c>
      <c r="L1274" s="6">
        <f>_xlfn.MAXIFS('DETALLE CRONOLÓGICO'!$K$2:$K$4919,'DETALLE CRONOLÓGICO'!$A$2:$A$4919,$A1274)</f>
        <v/>
      </c>
      <c r="M1274" s="6">
        <f>INDEX('DETALLE CRONOLÓGICO'!$K$2:$K$4919,MATCH($A1274,'DETALLE CRONOLÓGICO'!$A$2:$A$4919,0)+$E1274-1)</f>
        <v/>
      </c>
      <c r="N1274" s="7">
        <f>IFERROR($M1274/INDEX('DETALLE CRONOLÓGICO'!$K$2:$K$4919,MATCH($A1274,'DETALLE CRONOLÓGICO'!$A$2:$A$4919,0))-1,"")</f>
        <v/>
      </c>
      <c r="O1274" s="6">
        <f>IFERROR($I1274*3,"")</f>
        <v/>
      </c>
      <c r="P1274" s="6">
        <f>IFERROR($I1274*3.5,"")</f>
        <v/>
      </c>
      <c r="Q1274" s="6">
        <f>IFERROR($I1274*4,"")</f>
        <v/>
      </c>
      <c r="R1274" s="6" t="n">
        <v>435</v>
      </c>
      <c r="S1274" s="4" t="n">
        <v>0</v>
      </c>
      <c r="T1274" s="1" t="inlineStr">
        <is>
          <t>active</t>
        </is>
      </c>
      <c r="U1274" s="8" t="n"/>
      <c r="V1274" s="1" t="inlineStr">
        <is>
          <t>SIN PRECIO</t>
        </is>
      </c>
    </row>
    <row r="1275">
      <c r="A1275" s="1" t="inlineStr">
        <is>
          <t>64e78f24a8521</t>
        </is>
      </c>
      <c r="B1275" s="1" t="inlineStr">
        <is>
          <t>COLLAR DE INSIGNIAS LV GOLD</t>
        </is>
      </c>
      <c r="C1275" s="1" t="inlineStr">
        <is>
          <t>41cm con extension de 6cm</t>
        </is>
      </c>
      <c r="D1275" s="1" t="inlineStr">
        <is>
          <t>CYNTHIA</t>
        </is>
      </c>
      <c r="E1275" s="4">
        <f>COUNTIF('DETALLE CRONOLÓGICO'!$A$2:$A$4919,$A1275)</f>
        <v/>
      </c>
      <c r="F1275" s="4">
        <f>SUMIFS('DETALLE CRONOLÓGICO'!$I$2:$I$4919,'DETALLE CRONOLÓGICO'!$A$2:$A$4919,$A1275)</f>
        <v/>
      </c>
      <c r="G1275" s="1">
        <f>INDEX('DETALLE CRONOLÓGICO'!$D$2:$D$4919,MATCH($A1275,'DETALLE CRONOLÓGICO'!$A$2:$A$4919,0))</f>
        <v/>
      </c>
      <c r="H1275" s="1">
        <f>INDEX('DETALLE CRONOLÓGICO'!$D$2:$D$4919,MATCH($A1275,'DETALLE CRONOLÓGICO'!$A$2:$A$4919,0)+$E1275-1)</f>
        <v/>
      </c>
      <c r="I1275" s="5">
        <f>IFERROR(SUMIFS('DETALLE CRONOLÓGICO'!$L$2:$L$4919,'DETALLE CRONOLÓGICO'!$A$2:$A$4919,$A1275)/$F1275,"")</f>
        <v/>
      </c>
      <c r="J1275" s="6">
        <f>IFERROR(SUMIFS('DETALLE CRONOLÓGICO'!$K$2:$K$4919,'DETALLE CRONOLÓGICO'!$A$2:$A$4919,$A1275)/$E1275,"")</f>
        <v/>
      </c>
      <c r="K1275" s="6">
        <f>_xlfn.MINIFS('DETALLE CRONOLÓGICO'!$K$2:$K$4919,'DETALLE CRONOLÓGICO'!$A$2:$A$4919,$A1275)</f>
        <v/>
      </c>
      <c r="L1275" s="6">
        <f>_xlfn.MAXIFS('DETALLE CRONOLÓGICO'!$K$2:$K$4919,'DETALLE CRONOLÓGICO'!$A$2:$A$4919,$A1275)</f>
        <v/>
      </c>
      <c r="M1275" s="6">
        <f>INDEX('DETALLE CRONOLÓGICO'!$K$2:$K$4919,MATCH($A1275,'DETALLE CRONOLÓGICO'!$A$2:$A$4919,0)+$E1275-1)</f>
        <v/>
      </c>
      <c r="N1275" s="7">
        <f>IFERROR($M1275/INDEX('DETALLE CRONOLÓGICO'!$K$2:$K$4919,MATCH($A1275,'DETALLE CRONOLÓGICO'!$A$2:$A$4919,0))-1,"")</f>
        <v/>
      </c>
      <c r="O1275" s="6">
        <f>IFERROR($I1275*3,"")</f>
        <v/>
      </c>
      <c r="P1275" s="6">
        <f>IFERROR($I1275*3.5,"")</f>
        <v/>
      </c>
      <c r="Q1275" s="6">
        <f>IFERROR($I1275*4,"")</f>
        <v/>
      </c>
      <c r="R1275" s="6" t="n">
        <v>1149</v>
      </c>
      <c r="S1275" s="4" t="n">
        <v>4</v>
      </c>
      <c r="T1275" s="1" t="inlineStr">
        <is>
          <t>active</t>
        </is>
      </c>
      <c r="U1275" s="8" t="n"/>
      <c r="V1275" s="1" t="inlineStr">
        <is>
          <t>SIN PRECIO</t>
        </is>
      </c>
    </row>
    <row r="1276">
      <c r="A1276" s="1" t="inlineStr">
        <is>
          <t>64e78f2d04b05</t>
        </is>
      </c>
      <c r="B1276" s="1" t="inlineStr">
        <is>
          <t>COLLAR SMILE GOLD CON ZIRCONIA SMALL</t>
        </is>
      </c>
      <c r="C1276" s="1" t="inlineStr">
        <is>
          <t>Largo 44.5cm con extension de 5cm</t>
        </is>
      </c>
      <c r="D1276" s="1" t="inlineStr">
        <is>
          <t>CYNTHIA</t>
        </is>
      </c>
      <c r="E1276" s="4">
        <f>COUNTIF('DETALLE CRONOLÓGICO'!$A$2:$A$4919,$A1276)</f>
        <v/>
      </c>
      <c r="F1276" s="4">
        <f>SUMIFS('DETALLE CRONOLÓGICO'!$I$2:$I$4919,'DETALLE CRONOLÓGICO'!$A$2:$A$4919,$A1276)</f>
        <v/>
      </c>
      <c r="G1276" s="1">
        <f>INDEX('DETALLE CRONOLÓGICO'!$D$2:$D$4919,MATCH($A1276,'DETALLE CRONOLÓGICO'!$A$2:$A$4919,0))</f>
        <v/>
      </c>
      <c r="H1276" s="1">
        <f>INDEX('DETALLE CRONOLÓGICO'!$D$2:$D$4919,MATCH($A1276,'DETALLE CRONOLÓGICO'!$A$2:$A$4919,0)+$E1276-1)</f>
        <v/>
      </c>
      <c r="I1276" s="5">
        <f>IFERROR(SUMIFS('DETALLE CRONOLÓGICO'!$L$2:$L$4919,'DETALLE CRONOLÓGICO'!$A$2:$A$4919,$A1276)/$F1276,"")</f>
        <v/>
      </c>
      <c r="J1276" s="6">
        <f>IFERROR(SUMIFS('DETALLE CRONOLÓGICO'!$K$2:$K$4919,'DETALLE CRONOLÓGICO'!$A$2:$A$4919,$A1276)/$E1276,"")</f>
        <v/>
      </c>
      <c r="K1276" s="6">
        <f>_xlfn.MINIFS('DETALLE CRONOLÓGICO'!$K$2:$K$4919,'DETALLE CRONOLÓGICO'!$A$2:$A$4919,$A1276)</f>
        <v/>
      </c>
      <c r="L1276" s="6">
        <f>_xlfn.MAXIFS('DETALLE CRONOLÓGICO'!$K$2:$K$4919,'DETALLE CRONOLÓGICO'!$A$2:$A$4919,$A1276)</f>
        <v/>
      </c>
      <c r="M1276" s="6">
        <f>INDEX('DETALLE CRONOLÓGICO'!$K$2:$K$4919,MATCH($A1276,'DETALLE CRONOLÓGICO'!$A$2:$A$4919,0)+$E1276-1)</f>
        <v/>
      </c>
      <c r="N1276" s="7">
        <f>IFERROR($M1276/INDEX('DETALLE CRONOLÓGICO'!$K$2:$K$4919,MATCH($A1276,'DETALLE CRONOLÓGICO'!$A$2:$A$4919,0))-1,"")</f>
        <v/>
      </c>
      <c r="O1276" s="6">
        <f>IFERROR($I1276*3,"")</f>
        <v/>
      </c>
      <c r="P1276" s="6">
        <f>IFERROR($I1276*3.5,"")</f>
        <v/>
      </c>
      <c r="Q1276" s="6">
        <f>IFERROR($I1276*4,"")</f>
        <v/>
      </c>
      <c r="R1276" s="6" t="n">
        <v>1019</v>
      </c>
      <c r="S1276" s="4" t="n">
        <v>0</v>
      </c>
      <c r="T1276" s="1" t="inlineStr">
        <is>
          <t>active</t>
        </is>
      </c>
      <c r="U1276" s="8" t="n"/>
      <c r="V1276" s="1" t="inlineStr">
        <is>
          <t>SIN PRECIO</t>
        </is>
      </c>
    </row>
    <row r="1277">
      <c r="A1277" s="1" t="inlineStr">
        <is>
          <t>64e78f8a50e61</t>
        </is>
      </c>
      <c r="B1277" s="1" t="inlineStr">
        <is>
          <t>BOLSO GC BLACK</t>
        </is>
      </c>
      <c r="C1277" s="1" t="inlineStr">
        <is>
          <t>22.5.cmx15cm</t>
        </is>
      </c>
      <c r="D1277" s="1" t="inlineStr">
        <is>
          <t>ZOEY</t>
        </is>
      </c>
      <c r="E1277" s="4">
        <f>COUNTIF('DETALLE CRONOLÓGICO'!$A$2:$A$4919,$A1277)</f>
        <v/>
      </c>
      <c r="F1277" s="4">
        <f>SUMIFS('DETALLE CRONOLÓGICO'!$I$2:$I$4919,'DETALLE CRONOLÓGICO'!$A$2:$A$4919,$A1277)</f>
        <v/>
      </c>
      <c r="G1277" s="1">
        <f>INDEX('DETALLE CRONOLÓGICO'!$D$2:$D$4919,MATCH($A1277,'DETALLE CRONOLÓGICO'!$A$2:$A$4919,0))</f>
        <v/>
      </c>
      <c r="H1277" s="1">
        <f>INDEX('DETALLE CRONOLÓGICO'!$D$2:$D$4919,MATCH($A1277,'DETALLE CRONOLÓGICO'!$A$2:$A$4919,0)+$E1277-1)</f>
        <v/>
      </c>
      <c r="I1277" s="5">
        <f>IFERROR(SUMIFS('DETALLE CRONOLÓGICO'!$L$2:$L$4919,'DETALLE CRONOLÓGICO'!$A$2:$A$4919,$A1277)/$F1277,"")</f>
        <v/>
      </c>
      <c r="J1277" s="6">
        <f>IFERROR(SUMIFS('DETALLE CRONOLÓGICO'!$K$2:$K$4919,'DETALLE CRONOLÓGICO'!$A$2:$A$4919,$A1277)/$E1277,"")</f>
        <v/>
      </c>
      <c r="K1277" s="6">
        <f>_xlfn.MINIFS('DETALLE CRONOLÓGICO'!$K$2:$K$4919,'DETALLE CRONOLÓGICO'!$A$2:$A$4919,$A1277)</f>
        <v/>
      </c>
      <c r="L1277" s="6">
        <f>_xlfn.MAXIFS('DETALLE CRONOLÓGICO'!$K$2:$K$4919,'DETALLE CRONOLÓGICO'!$A$2:$A$4919,$A1277)</f>
        <v/>
      </c>
      <c r="M1277" s="6">
        <f>INDEX('DETALLE CRONOLÓGICO'!$K$2:$K$4919,MATCH($A1277,'DETALLE CRONOLÓGICO'!$A$2:$A$4919,0)+$E1277-1)</f>
        <v/>
      </c>
      <c r="N1277" s="7">
        <f>IFERROR($M1277/INDEX('DETALLE CRONOLÓGICO'!$K$2:$K$4919,MATCH($A1277,'DETALLE CRONOLÓGICO'!$A$2:$A$4919,0))-1,"")</f>
        <v/>
      </c>
      <c r="O1277" s="6">
        <f>IFERROR($I1277*3,"")</f>
        <v/>
      </c>
      <c r="P1277" s="6">
        <f>IFERROR($I1277*3.5,"")</f>
        <v/>
      </c>
      <c r="Q1277" s="6">
        <f>IFERROR($I1277*4,"")</f>
        <v/>
      </c>
      <c r="R1277" s="6" t="n">
        <v>5102.19</v>
      </c>
      <c r="S1277" s="4" t="n">
        <v>1</v>
      </c>
      <c r="T1277" s="1" t="inlineStr">
        <is>
          <t>active</t>
        </is>
      </c>
      <c r="U1277" s="8" t="n"/>
      <c r="V1277" s="1" t="inlineStr">
        <is>
          <t>SIN PRECIO</t>
        </is>
      </c>
    </row>
    <row r="1278">
      <c r="A1278" s="1" t="inlineStr">
        <is>
          <t>64e78f8c69235</t>
        </is>
      </c>
      <c r="B1278" s="1" t="inlineStr">
        <is>
          <t>BOLSA GC WHITE</t>
        </is>
      </c>
      <c r="C1278" s="1" t="inlineStr">
        <is>
          <t>22.5.cmx15cm</t>
        </is>
      </c>
      <c r="D1278" s="1" t="inlineStr">
        <is>
          <t>ZOEY</t>
        </is>
      </c>
      <c r="E1278" s="4">
        <f>COUNTIF('DETALLE CRONOLÓGICO'!$A$2:$A$4919,$A1278)</f>
        <v/>
      </c>
      <c r="F1278" s="4">
        <f>SUMIFS('DETALLE CRONOLÓGICO'!$I$2:$I$4919,'DETALLE CRONOLÓGICO'!$A$2:$A$4919,$A1278)</f>
        <v/>
      </c>
      <c r="G1278" s="1">
        <f>INDEX('DETALLE CRONOLÓGICO'!$D$2:$D$4919,MATCH($A1278,'DETALLE CRONOLÓGICO'!$A$2:$A$4919,0))</f>
        <v/>
      </c>
      <c r="H1278" s="1">
        <f>INDEX('DETALLE CRONOLÓGICO'!$D$2:$D$4919,MATCH($A1278,'DETALLE CRONOLÓGICO'!$A$2:$A$4919,0)+$E1278-1)</f>
        <v/>
      </c>
      <c r="I1278" s="5">
        <f>IFERROR(SUMIFS('DETALLE CRONOLÓGICO'!$L$2:$L$4919,'DETALLE CRONOLÓGICO'!$A$2:$A$4919,$A1278)/$F1278,"")</f>
        <v/>
      </c>
      <c r="J1278" s="6">
        <f>IFERROR(SUMIFS('DETALLE CRONOLÓGICO'!$K$2:$K$4919,'DETALLE CRONOLÓGICO'!$A$2:$A$4919,$A1278)/$E1278,"")</f>
        <v/>
      </c>
      <c r="K1278" s="6">
        <f>_xlfn.MINIFS('DETALLE CRONOLÓGICO'!$K$2:$K$4919,'DETALLE CRONOLÓGICO'!$A$2:$A$4919,$A1278)</f>
        <v/>
      </c>
      <c r="L1278" s="6">
        <f>_xlfn.MAXIFS('DETALLE CRONOLÓGICO'!$K$2:$K$4919,'DETALLE CRONOLÓGICO'!$A$2:$A$4919,$A1278)</f>
        <v/>
      </c>
      <c r="M1278" s="6">
        <f>INDEX('DETALLE CRONOLÓGICO'!$K$2:$K$4919,MATCH($A1278,'DETALLE CRONOLÓGICO'!$A$2:$A$4919,0)+$E1278-1)</f>
        <v/>
      </c>
      <c r="N1278" s="7">
        <f>IFERROR($M1278/INDEX('DETALLE CRONOLÓGICO'!$K$2:$K$4919,MATCH($A1278,'DETALLE CRONOLÓGICO'!$A$2:$A$4919,0))-1,"")</f>
        <v/>
      </c>
      <c r="O1278" s="6">
        <f>IFERROR($I1278*3,"")</f>
        <v/>
      </c>
      <c r="P1278" s="6">
        <f>IFERROR($I1278*3.5,"")</f>
        <v/>
      </c>
      <c r="Q1278" s="6">
        <f>IFERROR($I1278*4,"")</f>
        <v/>
      </c>
      <c r="R1278" s="6" t="n">
        <v>5739</v>
      </c>
      <c r="S1278" s="4" t="n">
        <v>5</v>
      </c>
      <c r="T1278" s="1" t="inlineStr">
        <is>
          <t>active</t>
        </is>
      </c>
      <c r="U1278" s="8" t="n"/>
      <c r="V1278" s="1" t="inlineStr">
        <is>
          <t>SIN PRECIO</t>
        </is>
      </c>
    </row>
    <row r="1279">
      <c r="A1279" s="1" t="inlineStr">
        <is>
          <t>64e78f8d3897d</t>
        </is>
      </c>
      <c r="B1279" s="1" t="inlineStr">
        <is>
          <t>BOLSO GC BROWN</t>
        </is>
      </c>
      <c r="C1279" s="1" t="inlineStr">
        <is>
          <t>22.5.cmx15cm</t>
        </is>
      </c>
      <c r="D1279" s="1" t="inlineStr">
        <is>
          <t>ZOEY</t>
        </is>
      </c>
      <c r="E1279" s="4">
        <f>COUNTIF('DETALLE CRONOLÓGICO'!$A$2:$A$4919,$A1279)</f>
        <v/>
      </c>
      <c r="F1279" s="4">
        <f>SUMIFS('DETALLE CRONOLÓGICO'!$I$2:$I$4919,'DETALLE CRONOLÓGICO'!$A$2:$A$4919,$A1279)</f>
        <v/>
      </c>
      <c r="G1279" s="1">
        <f>INDEX('DETALLE CRONOLÓGICO'!$D$2:$D$4919,MATCH($A1279,'DETALLE CRONOLÓGICO'!$A$2:$A$4919,0))</f>
        <v/>
      </c>
      <c r="H1279" s="1">
        <f>INDEX('DETALLE CRONOLÓGICO'!$D$2:$D$4919,MATCH($A1279,'DETALLE CRONOLÓGICO'!$A$2:$A$4919,0)+$E1279-1)</f>
        <v/>
      </c>
      <c r="I1279" s="5">
        <f>IFERROR(SUMIFS('DETALLE CRONOLÓGICO'!$L$2:$L$4919,'DETALLE CRONOLÓGICO'!$A$2:$A$4919,$A1279)/$F1279,"")</f>
        <v/>
      </c>
      <c r="J1279" s="6">
        <f>IFERROR(SUMIFS('DETALLE CRONOLÓGICO'!$K$2:$K$4919,'DETALLE CRONOLÓGICO'!$A$2:$A$4919,$A1279)/$E1279,"")</f>
        <v/>
      </c>
      <c r="K1279" s="6">
        <f>_xlfn.MINIFS('DETALLE CRONOLÓGICO'!$K$2:$K$4919,'DETALLE CRONOLÓGICO'!$A$2:$A$4919,$A1279)</f>
        <v/>
      </c>
      <c r="L1279" s="6">
        <f>_xlfn.MAXIFS('DETALLE CRONOLÓGICO'!$K$2:$K$4919,'DETALLE CRONOLÓGICO'!$A$2:$A$4919,$A1279)</f>
        <v/>
      </c>
      <c r="M1279" s="6">
        <f>INDEX('DETALLE CRONOLÓGICO'!$K$2:$K$4919,MATCH($A1279,'DETALLE CRONOLÓGICO'!$A$2:$A$4919,0)+$E1279-1)</f>
        <v/>
      </c>
      <c r="N1279" s="7">
        <f>IFERROR($M1279/INDEX('DETALLE CRONOLÓGICO'!$K$2:$K$4919,MATCH($A1279,'DETALLE CRONOLÓGICO'!$A$2:$A$4919,0))-1,"")</f>
        <v/>
      </c>
      <c r="O1279" s="6">
        <f>IFERROR($I1279*3,"")</f>
        <v/>
      </c>
      <c r="P1279" s="6">
        <f>IFERROR($I1279*3.5,"")</f>
        <v/>
      </c>
      <c r="Q1279" s="6">
        <f>IFERROR($I1279*4,"")</f>
        <v/>
      </c>
      <c r="R1279" s="6" t="n">
        <v>5019</v>
      </c>
      <c r="S1279" s="4" t="n">
        <v>3</v>
      </c>
      <c r="T1279" s="1" t="inlineStr">
        <is>
          <t>active</t>
        </is>
      </c>
      <c r="U1279" s="8" t="n"/>
      <c r="V1279" s="1" t="inlineStr">
        <is>
          <t>SIN PRECIO</t>
        </is>
      </c>
    </row>
    <row r="1280">
      <c r="A1280" s="1" t="inlineStr">
        <is>
          <t>64e78f9336406</t>
        </is>
      </c>
      <c r="B1280" s="1" t="inlineStr">
        <is>
          <t>BOLSO V BLACK</t>
        </is>
      </c>
      <c r="C1280" s="1" t="inlineStr">
        <is>
          <t>20.5cmx14cm</t>
        </is>
      </c>
      <c r="D1280" s="1" t="inlineStr">
        <is>
          <t>DINA DU</t>
        </is>
      </c>
      <c r="E1280" s="4">
        <f>COUNTIF('DETALLE CRONOLÓGICO'!$A$2:$A$4919,$A1280)</f>
        <v/>
      </c>
      <c r="F1280" s="4">
        <f>SUMIFS('DETALLE CRONOLÓGICO'!$I$2:$I$4919,'DETALLE CRONOLÓGICO'!$A$2:$A$4919,$A1280)</f>
        <v/>
      </c>
      <c r="G1280" s="1">
        <f>INDEX('DETALLE CRONOLÓGICO'!$D$2:$D$4919,MATCH($A1280,'DETALLE CRONOLÓGICO'!$A$2:$A$4919,0))</f>
        <v/>
      </c>
      <c r="H1280" s="1">
        <f>INDEX('DETALLE CRONOLÓGICO'!$D$2:$D$4919,MATCH($A1280,'DETALLE CRONOLÓGICO'!$A$2:$A$4919,0)+$E1280-1)</f>
        <v/>
      </c>
      <c r="I1280" s="5">
        <f>IFERROR(SUMIFS('DETALLE CRONOLÓGICO'!$L$2:$L$4919,'DETALLE CRONOLÓGICO'!$A$2:$A$4919,$A1280)/$F1280,"")</f>
        <v/>
      </c>
      <c r="J1280" s="6">
        <f>IFERROR(SUMIFS('DETALLE CRONOLÓGICO'!$K$2:$K$4919,'DETALLE CRONOLÓGICO'!$A$2:$A$4919,$A1280)/$E1280,"")</f>
        <v/>
      </c>
      <c r="K1280" s="6">
        <f>_xlfn.MINIFS('DETALLE CRONOLÓGICO'!$K$2:$K$4919,'DETALLE CRONOLÓGICO'!$A$2:$A$4919,$A1280)</f>
        <v/>
      </c>
      <c r="L1280" s="6">
        <f>_xlfn.MAXIFS('DETALLE CRONOLÓGICO'!$K$2:$K$4919,'DETALLE CRONOLÓGICO'!$A$2:$A$4919,$A1280)</f>
        <v/>
      </c>
      <c r="M1280" s="6">
        <f>INDEX('DETALLE CRONOLÓGICO'!$K$2:$K$4919,MATCH($A1280,'DETALLE CRONOLÓGICO'!$A$2:$A$4919,0)+$E1280-1)</f>
        <v/>
      </c>
      <c r="N1280" s="7">
        <f>IFERROR($M1280/INDEX('DETALLE CRONOLÓGICO'!$K$2:$K$4919,MATCH($A1280,'DETALLE CRONOLÓGICO'!$A$2:$A$4919,0))-1,"")</f>
        <v/>
      </c>
      <c r="O1280" s="6">
        <f>IFERROR($I1280*3,"")</f>
        <v/>
      </c>
      <c r="P1280" s="6">
        <f>IFERROR($I1280*3.5,"")</f>
        <v/>
      </c>
      <c r="Q1280" s="6">
        <f>IFERROR($I1280*4,"")</f>
        <v/>
      </c>
      <c r="R1280" s="6" t="n">
        <v>4302.14</v>
      </c>
      <c r="S1280" s="4" t="n">
        <v>2</v>
      </c>
      <c r="T1280" s="1" t="inlineStr">
        <is>
          <t>active</t>
        </is>
      </c>
      <c r="U1280" s="8" t="n"/>
      <c r="V1280" s="1" t="inlineStr">
        <is>
          <t>SIN PRECIO</t>
        </is>
      </c>
    </row>
    <row r="1281">
      <c r="A1281" s="1" t="inlineStr">
        <is>
          <t>64e78f941b012</t>
        </is>
      </c>
      <c r="B1281" s="1" t="inlineStr">
        <is>
          <t>BOLSO V WHITE</t>
        </is>
      </c>
      <c r="C1281" s="1" t="inlineStr">
        <is>
          <t>20.5cmx14cm</t>
        </is>
      </c>
      <c r="D1281" s="1" t="inlineStr">
        <is>
          <t>DINA DU</t>
        </is>
      </c>
      <c r="E1281" s="4">
        <f>COUNTIF('DETALLE CRONOLÓGICO'!$A$2:$A$4919,$A1281)</f>
        <v/>
      </c>
      <c r="F1281" s="4">
        <f>SUMIFS('DETALLE CRONOLÓGICO'!$I$2:$I$4919,'DETALLE CRONOLÓGICO'!$A$2:$A$4919,$A1281)</f>
        <v/>
      </c>
      <c r="G1281" s="1">
        <f>INDEX('DETALLE CRONOLÓGICO'!$D$2:$D$4919,MATCH($A1281,'DETALLE CRONOLÓGICO'!$A$2:$A$4919,0))</f>
        <v/>
      </c>
      <c r="H1281" s="1">
        <f>INDEX('DETALLE CRONOLÓGICO'!$D$2:$D$4919,MATCH($A1281,'DETALLE CRONOLÓGICO'!$A$2:$A$4919,0)+$E1281-1)</f>
        <v/>
      </c>
      <c r="I1281" s="5">
        <f>IFERROR(SUMIFS('DETALLE CRONOLÓGICO'!$L$2:$L$4919,'DETALLE CRONOLÓGICO'!$A$2:$A$4919,$A1281)/$F1281,"")</f>
        <v/>
      </c>
      <c r="J1281" s="6">
        <f>IFERROR(SUMIFS('DETALLE CRONOLÓGICO'!$K$2:$K$4919,'DETALLE CRONOLÓGICO'!$A$2:$A$4919,$A1281)/$E1281,"")</f>
        <v/>
      </c>
      <c r="K1281" s="6">
        <f>_xlfn.MINIFS('DETALLE CRONOLÓGICO'!$K$2:$K$4919,'DETALLE CRONOLÓGICO'!$A$2:$A$4919,$A1281)</f>
        <v/>
      </c>
      <c r="L1281" s="6">
        <f>_xlfn.MAXIFS('DETALLE CRONOLÓGICO'!$K$2:$K$4919,'DETALLE CRONOLÓGICO'!$A$2:$A$4919,$A1281)</f>
        <v/>
      </c>
      <c r="M1281" s="6">
        <f>INDEX('DETALLE CRONOLÓGICO'!$K$2:$K$4919,MATCH($A1281,'DETALLE CRONOLÓGICO'!$A$2:$A$4919,0)+$E1281-1)</f>
        <v/>
      </c>
      <c r="N1281" s="7">
        <f>IFERROR($M1281/INDEX('DETALLE CRONOLÓGICO'!$K$2:$K$4919,MATCH($A1281,'DETALLE CRONOLÓGICO'!$A$2:$A$4919,0))-1,"")</f>
        <v/>
      </c>
      <c r="O1281" s="6">
        <f>IFERROR($I1281*3,"")</f>
        <v/>
      </c>
      <c r="P1281" s="6">
        <f>IFERROR($I1281*3.5,"")</f>
        <v/>
      </c>
      <c r="Q1281" s="6">
        <f>IFERROR($I1281*4,"")</f>
        <v/>
      </c>
      <c r="R1281" s="6" t="n">
        <v>3369</v>
      </c>
      <c r="S1281" s="4" t="n">
        <v>0</v>
      </c>
      <c r="T1281" s="1" t="inlineStr">
        <is>
          <t>active</t>
        </is>
      </c>
      <c r="U1281" s="8" t="n"/>
      <c r="V1281" s="1" t="inlineStr">
        <is>
          <t>SIN PRECIO</t>
        </is>
      </c>
    </row>
    <row r="1282">
      <c r="A1282" s="1" t="inlineStr">
        <is>
          <t>64e78f9c9c153</t>
        </is>
      </c>
      <c r="B1282" s="1" t="inlineStr">
        <is>
          <t>GORRO PR MEZCLILLA BLACK</t>
        </is>
      </c>
      <c r="C1282" s="1" t="inlineStr">
        <is>
          <t>S</t>
        </is>
      </c>
      <c r="D1282" s="1" t="inlineStr">
        <is>
          <t>DINA DU</t>
        </is>
      </c>
      <c r="E1282" s="4">
        <f>COUNTIF('DETALLE CRONOLÓGICO'!$A$2:$A$4919,$A1282)</f>
        <v/>
      </c>
      <c r="F1282" s="4">
        <f>SUMIFS('DETALLE CRONOLÓGICO'!$I$2:$I$4919,'DETALLE CRONOLÓGICO'!$A$2:$A$4919,$A1282)</f>
        <v/>
      </c>
      <c r="G1282" s="1">
        <f>INDEX('DETALLE CRONOLÓGICO'!$D$2:$D$4919,MATCH($A1282,'DETALLE CRONOLÓGICO'!$A$2:$A$4919,0))</f>
        <v/>
      </c>
      <c r="H1282" s="1">
        <f>INDEX('DETALLE CRONOLÓGICO'!$D$2:$D$4919,MATCH($A1282,'DETALLE CRONOLÓGICO'!$A$2:$A$4919,0)+$E1282-1)</f>
        <v/>
      </c>
      <c r="I1282" s="5">
        <f>IFERROR(SUMIFS('DETALLE CRONOLÓGICO'!$L$2:$L$4919,'DETALLE CRONOLÓGICO'!$A$2:$A$4919,$A1282)/$F1282,"")</f>
        <v/>
      </c>
      <c r="J1282" s="6">
        <f>IFERROR(SUMIFS('DETALLE CRONOLÓGICO'!$K$2:$K$4919,'DETALLE CRONOLÓGICO'!$A$2:$A$4919,$A1282)/$E1282,"")</f>
        <v/>
      </c>
      <c r="K1282" s="6">
        <f>_xlfn.MINIFS('DETALLE CRONOLÓGICO'!$K$2:$K$4919,'DETALLE CRONOLÓGICO'!$A$2:$A$4919,$A1282)</f>
        <v/>
      </c>
      <c r="L1282" s="6">
        <f>_xlfn.MAXIFS('DETALLE CRONOLÓGICO'!$K$2:$K$4919,'DETALLE CRONOLÓGICO'!$A$2:$A$4919,$A1282)</f>
        <v/>
      </c>
      <c r="M1282" s="6">
        <f>INDEX('DETALLE CRONOLÓGICO'!$K$2:$K$4919,MATCH($A1282,'DETALLE CRONOLÓGICO'!$A$2:$A$4919,0)+$E1282-1)</f>
        <v/>
      </c>
      <c r="N1282" s="7">
        <f>IFERROR($M1282/INDEX('DETALLE CRONOLÓGICO'!$K$2:$K$4919,MATCH($A1282,'DETALLE CRONOLÓGICO'!$A$2:$A$4919,0))-1,"")</f>
        <v/>
      </c>
      <c r="O1282" s="6">
        <f>IFERROR($I1282*3,"")</f>
        <v/>
      </c>
      <c r="P1282" s="6">
        <f>IFERROR($I1282*3.5,"")</f>
        <v/>
      </c>
      <c r="Q1282" s="6">
        <f>IFERROR($I1282*4,"")</f>
        <v/>
      </c>
      <c r="R1282" s="6" t="n">
        <v>1190</v>
      </c>
      <c r="S1282" s="4" t="n">
        <v>1</v>
      </c>
      <c r="T1282" s="1" t="inlineStr">
        <is>
          <t>active</t>
        </is>
      </c>
      <c r="U1282" s="8" t="n"/>
      <c r="V1282" s="1" t="inlineStr">
        <is>
          <t>SIN PRECIO</t>
        </is>
      </c>
    </row>
    <row r="1283">
      <c r="A1283" s="1" t="inlineStr">
        <is>
          <t>65332801087437</t>
        </is>
      </c>
      <c r="B1283" s="1" t="inlineStr">
        <is>
          <t>RELOJ PANTHERE GOLD ZIRCONIA</t>
        </is>
      </c>
      <c r="C1283" s="1" t="inlineStr">
        <is>
          <t>HIGH QUALITY CON CAJA</t>
        </is>
      </c>
      <c r="D1283" s="1" t="inlineStr">
        <is>
          <t>ZOEY</t>
        </is>
      </c>
      <c r="E1283" s="4">
        <f>COUNTIF('DETALLE CRONOLÓGICO'!$A$2:$A$4919,$A1283)</f>
        <v/>
      </c>
      <c r="F1283" s="4">
        <f>SUMIFS('DETALLE CRONOLÓGICO'!$I$2:$I$4919,'DETALLE CRONOLÓGICO'!$A$2:$A$4919,$A1283)</f>
        <v/>
      </c>
      <c r="G1283" s="1">
        <f>INDEX('DETALLE CRONOLÓGICO'!$D$2:$D$4919,MATCH($A1283,'DETALLE CRONOLÓGICO'!$A$2:$A$4919,0))</f>
        <v/>
      </c>
      <c r="H1283" s="1">
        <f>INDEX('DETALLE CRONOLÓGICO'!$D$2:$D$4919,MATCH($A1283,'DETALLE CRONOLÓGICO'!$A$2:$A$4919,0)+$E1283-1)</f>
        <v/>
      </c>
      <c r="I1283" s="5">
        <f>IFERROR(SUMIFS('DETALLE CRONOLÓGICO'!$L$2:$L$4919,'DETALLE CRONOLÓGICO'!$A$2:$A$4919,$A1283)/$F1283,"")</f>
        <v/>
      </c>
      <c r="J1283" s="6">
        <f>IFERROR(SUMIFS('DETALLE CRONOLÓGICO'!$K$2:$K$4919,'DETALLE CRONOLÓGICO'!$A$2:$A$4919,$A1283)/$E1283,"")</f>
        <v/>
      </c>
      <c r="K1283" s="6">
        <f>_xlfn.MINIFS('DETALLE CRONOLÓGICO'!$K$2:$K$4919,'DETALLE CRONOLÓGICO'!$A$2:$A$4919,$A1283)</f>
        <v/>
      </c>
      <c r="L1283" s="6">
        <f>_xlfn.MAXIFS('DETALLE CRONOLÓGICO'!$K$2:$K$4919,'DETALLE CRONOLÓGICO'!$A$2:$A$4919,$A1283)</f>
        <v/>
      </c>
      <c r="M1283" s="6">
        <f>INDEX('DETALLE CRONOLÓGICO'!$K$2:$K$4919,MATCH($A1283,'DETALLE CRONOLÓGICO'!$A$2:$A$4919,0)+$E1283-1)</f>
        <v/>
      </c>
      <c r="N1283" s="7">
        <f>IFERROR($M1283/INDEX('DETALLE CRONOLÓGICO'!$K$2:$K$4919,MATCH($A1283,'DETALLE CRONOLÓGICO'!$A$2:$A$4919,0))-1,"")</f>
        <v/>
      </c>
      <c r="O1283" s="6">
        <f>IFERROR($I1283*3,"")</f>
        <v/>
      </c>
      <c r="P1283" s="6">
        <f>IFERROR($I1283*3.5,"")</f>
        <v/>
      </c>
      <c r="Q1283" s="6">
        <f>IFERROR($I1283*4,"")</f>
        <v/>
      </c>
      <c r="R1283" s="6" t="n">
        <v>6369</v>
      </c>
      <c r="S1283" s="4" t="n">
        <v>3</v>
      </c>
      <c r="T1283" s="1" t="inlineStr">
        <is>
          <t>active</t>
        </is>
      </c>
      <c r="U1283" s="8" t="n"/>
      <c r="V1283" s="1" t="inlineStr">
        <is>
          <t>SIN PRECIO</t>
        </is>
      </c>
    </row>
    <row r="1284">
      <c r="A1284" s="1" t="inlineStr">
        <is>
          <t>654bd7ac2dee3</t>
        </is>
      </c>
      <c r="B1284" s="1" t="inlineStr">
        <is>
          <t>ANILLO BV 3 OROS</t>
        </is>
      </c>
      <c r="C1284" s="1" t="inlineStr">
        <is>
          <t>5</t>
        </is>
      </c>
      <c r="D1284" s="1" t="inlineStr">
        <is>
          <t>COCOMA / HAIFENG</t>
        </is>
      </c>
      <c r="E1284" s="4">
        <f>COUNTIF('DETALLE CRONOLÓGICO'!$A$2:$A$4919,$A1284)</f>
        <v/>
      </c>
      <c r="F1284" s="4">
        <f>SUMIFS('DETALLE CRONOLÓGICO'!$I$2:$I$4919,'DETALLE CRONOLÓGICO'!$A$2:$A$4919,$A1284)</f>
        <v/>
      </c>
      <c r="G1284" s="1">
        <f>INDEX('DETALLE CRONOLÓGICO'!$D$2:$D$4919,MATCH($A1284,'DETALLE CRONOLÓGICO'!$A$2:$A$4919,0))</f>
        <v/>
      </c>
      <c r="H1284" s="1">
        <f>INDEX('DETALLE CRONOLÓGICO'!$D$2:$D$4919,MATCH($A1284,'DETALLE CRONOLÓGICO'!$A$2:$A$4919,0)+$E1284-1)</f>
        <v/>
      </c>
      <c r="I1284" s="5">
        <f>IFERROR(SUMIFS('DETALLE CRONOLÓGICO'!$L$2:$L$4919,'DETALLE CRONOLÓGICO'!$A$2:$A$4919,$A1284)/$F1284,"")</f>
        <v/>
      </c>
      <c r="J1284" s="6">
        <f>IFERROR(SUMIFS('DETALLE CRONOLÓGICO'!$K$2:$K$4919,'DETALLE CRONOLÓGICO'!$A$2:$A$4919,$A1284)/$E1284,"")</f>
        <v/>
      </c>
      <c r="K1284" s="6">
        <f>_xlfn.MINIFS('DETALLE CRONOLÓGICO'!$K$2:$K$4919,'DETALLE CRONOLÓGICO'!$A$2:$A$4919,$A1284)</f>
        <v/>
      </c>
      <c r="L1284" s="6">
        <f>_xlfn.MAXIFS('DETALLE CRONOLÓGICO'!$K$2:$K$4919,'DETALLE CRONOLÓGICO'!$A$2:$A$4919,$A1284)</f>
        <v/>
      </c>
      <c r="M1284" s="6">
        <f>INDEX('DETALLE CRONOLÓGICO'!$K$2:$K$4919,MATCH($A1284,'DETALLE CRONOLÓGICO'!$A$2:$A$4919,0)+$E1284-1)</f>
        <v/>
      </c>
      <c r="N1284" s="7">
        <f>IFERROR($M1284/INDEX('DETALLE CRONOLÓGICO'!$K$2:$K$4919,MATCH($A1284,'DETALLE CRONOLÓGICO'!$A$2:$A$4919,0))-1,"")</f>
        <v/>
      </c>
      <c r="O1284" s="6">
        <f>IFERROR($I1284*3,"")</f>
        <v/>
      </c>
      <c r="P1284" s="6">
        <f>IFERROR($I1284*3.5,"")</f>
        <v/>
      </c>
      <c r="Q1284" s="6">
        <f>IFERROR($I1284*4,"")</f>
        <v/>
      </c>
      <c r="R1284" s="6" t="n">
        <v>520</v>
      </c>
      <c r="S1284" s="4" t="n">
        <v>0</v>
      </c>
      <c r="T1284" s="1" t="inlineStr">
        <is>
          <t>active</t>
        </is>
      </c>
      <c r="U1284" s="8" t="n"/>
      <c r="V1284" s="1" t="inlineStr">
        <is>
          <t>SIN PRECIO</t>
        </is>
      </c>
    </row>
    <row r="1285">
      <c r="A1285" s="1" t="inlineStr">
        <is>
          <t>654bdadbcb222</t>
        </is>
      </c>
      <c r="B1285" s="1" t="inlineStr">
        <is>
          <t>PULSERA CD DE TELA BABY PINK</t>
        </is>
      </c>
      <c r="C1285" s="1" t="inlineStr">
        <is>
          <t>15cm con extensión de 5cm</t>
        </is>
      </c>
      <c r="D1285" s="1" t="inlineStr">
        <is>
          <t>DINA DU</t>
        </is>
      </c>
      <c r="E1285" s="4">
        <f>COUNTIF('DETALLE CRONOLÓGICO'!$A$2:$A$4919,$A1285)</f>
        <v/>
      </c>
      <c r="F1285" s="4">
        <f>SUMIFS('DETALLE CRONOLÓGICO'!$I$2:$I$4919,'DETALLE CRONOLÓGICO'!$A$2:$A$4919,$A1285)</f>
        <v/>
      </c>
      <c r="G1285" s="1">
        <f>INDEX('DETALLE CRONOLÓGICO'!$D$2:$D$4919,MATCH($A1285,'DETALLE CRONOLÓGICO'!$A$2:$A$4919,0))</f>
        <v/>
      </c>
      <c r="H1285" s="1">
        <f>INDEX('DETALLE CRONOLÓGICO'!$D$2:$D$4919,MATCH($A1285,'DETALLE CRONOLÓGICO'!$A$2:$A$4919,0)+$E1285-1)</f>
        <v/>
      </c>
      <c r="I1285" s="5">
        <f>IFERROR(SUMIFS('DETALLE CRONOLÓGICO'!$L$2:$L$4919,'DETALLE CRONOLÓGICO'!$A$2:$A$4919,$A1285)/$F1285,"")</f>
        <v/>
      </c>
      <c r="J1285" s="6">
        <f>IFERROR(SUMIFS('DETALLE CRONOLÓGICO'!$K$2:$K$4919,'DETALLE CRONOLÓGICO'!$A$2:$A$4919,$A1285)/$E1285,"")</f>
        <v/>
      </c>
      <c r="K1285" s="6">
        <f>_xlfn.MINIFS('DETALLE CRONOLÓGICO'!$K$2:$K$4919,'DETALLE CRONOLÓGICO'!$A$2:$A$4919,$A1285)</f>
        <v/>
      </c>
      <c r="L1285" s="6">
        <f>_xlfn.MAXIFS('DETALLE CRONOLÓGICO'!$K$2:$K$4919,'DETALLE CRONOLÓGICO'!$A$2:$A$4919,$A1285)</f>
        <v/>
      </c>
      <c r="M1285" s="6">
        <f>INDEX('DETALLE CRONOLÓGICO'!$K$2:$K$4919,MATCH($A1285,'DETALLE CRONOLÓGICO'!$A$2:$A$4919,0)+$E1285-1)</f>
        <v/>
      </c>
      <c r="N1285" s="7">
        <f>IFERROR($M1285/INDEX('DETALLE CRONOLÓGICO'!$K$2:$K$4919,MATCH($A1285,'DETALLE CRONOLÓGICO'!$A$2:$A$4919,0))-1,"")</f>
        <v/>
      </c>
      <c r="O1285" s="6">
        <f>IFERROR($I1285*3,"")</f>
        <v/>
      </c>
      <c r="P1285" s="6">
        <f>IFERROR($I1285*3.5,"")</f>
        <v/>
      </c>
      <c r="Q1285" s="6">
        <f>IFERROR($I1285*4,"")</f>
        <v/>
      </c>
      <c r="R1285" s="6" t="n">
        <v>499</v>
      </c>
      <c r="S1285" s="4" t="n">
        <v>0</v>
      </c>
      <c r="T1285" s="1" t="inlineStr">
        <is>
          <t>active</t>
        </is>
      </c>
      <c r="U1285" s="8" t="n"/>
      <c r="V1285" s="1" t="inlineStr">
        <is>
          <t>SIN PRECIO</t>
        </is>
      </c>
    </row>
    <row r="1286">
      <c r="A1286" s="1" t="inlineStr">
        <is>
          <t>654bdb2332905</t>
        </is>
      </c>
      <c r="B1286" s="1" t="inlineStr">
        <is>
          <t>ARETES V GOLD</t>
        </is>
      </c>
      <c r="C1286" s="1" t="inlineStr">
        <is>
          <t>Regular</t>
        </is>
      </c>
      <c r="D1286" s="1" t="inlineStr">
        <is>
          <t>NANCY</t>
        </is>
      </c>
      <c r="E1286" s="4">
        <f>COUNTIF('DETALLE CRONOLÓGICO'!$A$2:$A$4919,$A1286)</f>
        <v/>
      </c>
      <c r="F1286" s="4">
        <f>SUMIFS('DETALLE CRONOLÓGICO'!$I$2:$I$4919,'DETALLE CRONOLÓGICO'!$A$2:$A$4919,$A1286)</f>
        <v/>
      </c>
      <c r="G1286" s="1">
        <f>INDEX('DETALLE CRONOLÓGICO'!$D$2:$D$4919,MATCH($A1286,'DETALLE CRONOLÓGICO'!$A$2:$A$4919,0))</f>
        <v/>
      </c>
      <c r="H1286" s="1">
        <f>INDEX('DETALLE CRONOLÓGICO'!$D$2:$D$4919,MATCH($A1286,'DETALLE CRONOLÓGICO'!$A$2:$A$4919,0)+$E1286-1)</f>
        <v/>
      </c>
      <c r="I1286" s="5">
        <f>IFERROR(SUMIFS('DETALLE CRONOLÓGICO'!$L$2:$L$4919,'DETALLE CRONOLÓGICO'!$A$2:$A$4919,$A1286)/$F1286,"")</f>
        <v/>
      </c>
      <c r="J1286" s="6">
        <f>IFERROR(SUMIFS('DETALLE CRONOLÓGICO'!$K$2:$K$4919,'DETALLE CRONOLÓGICO'!$A$2:$A$4919,$A1286)/$E1286,"")</f>
        <v/>
      </c>
      <c r="K1286" s="6">
        <f>_xlfn.MINIFS('DETALLE CRONOLÓGICO'!$K$2:$K$4919,'DETALLE CRONOLÓGICO'!$A$2:$A$4919,$A1286)</f>
        <v/>
      </c>
      <c r="L1286" s="6">
        <f>_xlfn.MAXIFS('DETALLE CRONOLÓGICO'!$K$2:$K$4919,'DETALLE CRONOLÓGICO'!$A$2:$A$4919,$A1286)</f>
        <v/>
      </c>
      <c r="M1286" s="6">
        <f>INDEX('DETALLE CRONOLÓGICO'!$K$2:$K$4919,MATCH($A1286,'DETALLE CRONOLÓGICO'!$A$2:$A$4919,0)+$E1286-1)</f>
        <v/>
      </c>
      <c r="N1286" s="7">
        <f>IFERROR($M1286/INDEX('DETALLE CRONOLÓGICO'!$K$2:$K$4919,MATCH($A1286,'DETALLE CRONOLÓGICO'!$A$2:$A$4919,0))-1,"")</f>
        <v/>
      </c>
      <c r="O1286" s="6">
        <f>IFERROR($I1286*3,"")</f>
        <v/>
      </c>
      <c r="P1286" s="6">
        <f>IFERROR($I1286*3.5,"")</f>
        <v/>
      </c>
      <c r="Q1286" s="6">
        <f>IFERROR($I1286*4,"")</f>
        <v/>
      </c>
      <c r="R1286" s="6" t="n">
        <v>550</v>
      </c>
      <c r="S1286" s="4" t="n">
        <v>9</v>
      </c>
      <c r="T1286" s="1" t="inlineStr">
        <is>
          <t>active</t>
        </is>
      </c>
      <c r="U1286" s="8" t="n"/>
      <c r="V1286" s="1" t="inlineStr">
        <is>
          <t>SIN PRECIO</t>
        </is>
      </c>
    </row>
    <row r="1287">
      <c r="A1287" s="1" t="inlineStr">
        <is>
          <t>654bdb23ce5c1</t>
        </is>
      </c>
      <c r="B1287" s="1" t="inlineStr">
        <is>
          <t>ARETES GC ICE CREAM</t>
        </is>
      </c>
      <c r="C1287" s="1" t="inlineStr">
        <is>
          <t>Regular</t>
        </is>
      </c>
      <c r="D1287" s="1" t="inlineStr">
        <is>
          <t>NANCY</t>
        </is>
      </c>
      <c r="E1287" s="4">
        <f>COUNTIF('DETALLE CRONOLÓGICO'!$A$2:$A$4919,$A1287)</f>
        <v/>
      </c>
      <c r="F1287" s="4">
        <f>SUMIFS('DETALLE CRONOLÓGICO'!$I$2:$I$4919,'DETALLE CRONOLÓGICO'!$A$2:$A$4919,$A1287)</f>
        <v/>
      </c>
      <c r="G1287" s="1">
        <f>INDEX('DETALLE CRONOLÓGICO'!$D$2:$D$4919,MATCH($A1287,'DETALLE CRONOLÓGICO'!$A$2:$A$4919,0))</f>
        <v/>
      </c>
      <c r="H1287" s="1">
        <f>INDEX('DETALLE CRONOLÓGICO'!$D$2:$D$4919,MATCH($A1287,'DETALLE CRONOLÓGICO'!$A$2:$A$4919,0)+$E1287-1)</f>
        <v/>
      </c>
      <c r="I1287" s="5">
        <f>IFERROR(SUMIFS('DETALLE CRONOLÓGICO'!$L$2:$L$4919,'DETALLE CRONOLÓGICO'!$A$2:$A$4919,$A1287)/$F1287,"")</f>
        <v/>
      </c>
      <c r="J1287" s="6">
        <f>IFERROR(SUMIFS('DETALLE CRONOLÓGICO'!$K$2:$K$4919,'DETALLE CRONOLÓGICO'!$A$2:$A$4919,$A1287)/$E1287,"")</f>
        <v/>
      </c>
      <c r="K1287" s="6">
        <f>_xlfn.MINIFS('DETALLE CRONOLÓGICO'!$K$2:$K$4919,'DETALLE CRONOLÓGICO'!$A$2:$A$4919,$A1287)</f>
        <v/>
      </c>
      <c r="L1287" s="6">
        <f>_xlfn.MAXIFS('DETALLE CRONOLÓGICO'!$K$2:$K$4919,'DETALLE CRONOLÓGICO'!$A$2:$A$4919,$A1287)</f>
        <v/>
      </c>
      <c r="M1287" s="6">
        <f>INDEX('DETALLE CRONOLÓGICO'!$K$2:$K$4919,MATCH($A1287,'DETALLE CRONOLÓGICO'!$A$2:$A$4919,0)+$E1287-1)</f>
        <v/>
      </c>
      <c r="N1287" s="7">
        <f>IFERROR($M1287/INDEX('DETALLE CRONOLÓGICO'!$K$2:$K$4919,MATCH($A1287,'DETALLE CRONOLÓGICO'!$A$2:$A$4919,0))-1,"")</f>
        <v/>
      </c>
      <c r="O1287" s="6">
        <f>IFERROR($I1287*3,"")</f>
        <v/>
      </c>
      <c r="P1287" s="6">
        <f>IFERROR($I1287*3.5,"")</f>
        <v/>
      </c>
      <c r="Q1287" s="6">
        <f>IFERROR($I1287*4,"")</f>
        <v/>
      </c>
      <c r="R1287" s="6" t="n">
        <v>610</v>
      </c>
      <c r="S1287" s="4" t="n">
        <v>1</v>
      </c>
      <c r="T1287" s="1" t="inlineStr">
        <is>
          <t>active</t>
        </is>
      </c>
      <c r="U1287" s="8" t="n"/>
      <c r="V1287" s="1" t="inlineStr">
        <is>
          <t>SIN PRECIO</t>
        </is>
      </c>
    </row>
    <row r="1288">
      <c r="A1288" s="1" t="inlineStr">
        <is>
          <t>654bdb241005f</t>
        </is>
      </c>
      <c r="B1288" s="1" t="inlineStr">
        <is>
          <t>ARRACADAS GC GOLD</t>
        </is>
      </c>
      <c r="C1288" s="1" t="inlineStr">
        <is>
          <t>Default Title</t>
        </is>
      </c>
      <c r="D1288" s="1" t="inlineStr">
        <is>
          <t>NANCY</t>
        </is>
      </c>
      <c r="E1288" s="4">
        <f>COUNTIF('DETALLE CRONOLÓGICO'!$A$2:$A$4919,$A1288)</f>
        <v/>
      </c>
      <c r="F1288" s="4">
        <f>SUMIFS('DETALLE CRONOLÓGICO'!$I$2:$I$4919,'DETALLE CRONOLÓGICO'!$A$2:$A$4919,$A1288)</f>
        <v/>
      </c>
      <c r="G1288" s="1">
        <f>INDEX('DETALLE CRONOLÓGICO'!$D$2:$D$4919,MATCH($A1288,'DETALLE CRONOLÓGICO'!$A$2:$A$4919,0))</f>
        <v/>
      </c>
      <c r="H1288" s="1">
        <f>INDEX('DETALLE CRONOLÓGICO'!$D$2:$D$4919,MATCH($A1288,'DETALLE CRONOLÓGICO'!$A$2:$A$4919,0)+$E1288-1)</f>
        <v/>
      </c>
      <c r="I1288" s="5">
        <f>IFERROR(SUMIFS('DETALLE CRONOLÓGICO'!$L$2:$L$4919,'DETALLE CRONOLÓGICO'!$A$2:$A$4919,$A1288)/$F1288,"")</f>
        <v/>
      </c>
      <c r="J1288" s="6">
        <f>IFERROR(SUMIFS('DETALLE CRONOLÓGICO'!$K$2:$K$4919,'DETALLE CRONOLÓGICO'!$A$2:$A$4919,$A1288)/$E1288,"")</f>
        <v/>
      </c>
      <c r="K1288" s="6">
        <f>_xlfn.MINIFS('DETALLE CRONOLÓGICO'!$K$2:$K$4919,'DETALLE CRONOLÓGICO'!$A$2:$A$4919,$A1288)</f>
        <v/>
      </c>
      <c r="L1288" s="6">
        <f>_xlfn.MAXIFS('DETALLE CRONOLÓGICO'!$K$2:$K$4919,'DETALLE CRONOLÓGICO'!$A$2:$A$4919,$A1288)</f>
        <v/>
      </c>
      <c r="M1288" s="6">
        <f>INDEX('DETALLE CRONOLÓGICO'!$K$2:$K$4919,MATCH($A1288,'DETALLE CRONOLÓGICO'!$A$2:$A$4919,0)+$E1288-1)</f>
        <v/>
      </c>
      <c r="N1288" s="7">
        <f>IFERROR($M1288/INDEX('DETALLE CRONOLÓGICO'!$K$2:$K$4919,MATCH($A1288,'DETALLE CRONOLÓGICO'!$A$2:$A$4919,0))-1,"")</f>
        <v/>
      </c>
      <c r="O1288" s="6">
        <f>IFERROR($I1288*3,"")</f>
        <v/>
      </c>
      <c r="P1288" s="6">
        <f>IFERROR($I1288*3.5,"")</f>
        <v/>
      </c>
      <c r="Q1288" s="6">
        <f>IFERROR($I1288*4,"")</f>
        <v/>
      </c>
      <c r="R1288" s="6" t="n">
        <v>550</v>
      </c>
      <c r="S1288" s="4" t="n">
        <v>2</v>
      </c>
      <c r="T1288" s="1" t="inlineStr">
        <is>
          <t>active</t>
        </is>
      </c>
      <c r="U1288" s="8" t="n"/>
      <c r="V1288" s="1" t="inlineStr">
        <is>
          <t>SIN PRECIO</t>
        </is>
      </c>
    </row>
    <row r="1289">
      <c r="A1289" s="1" t="inlineStr">
        <is>
          <t>654bdb24c007a</t>
        </is>
      </c>
      <c r="B1289" s="1" t="inlineStr">
        <is>
          <t>BOLSO LADY D BLACK</t>
        </is>
      </c>
      <c r="C1289" s="1" t="inlineStr">
        <is>
          <t>23.5cm de largo x 20.5cm largo x 12.5cm de ancho</t>
        </is>
      </c>
      <c r="D1289" s="1" t="inlineStr">
        <is>
          <t>ZOEY</t>
        </is>
      </c>
      <c r="E1289" s="4">
        <f>COUNTIF('DETALLE CRONOLÓGICO'!$A$2:$A$4919,$A1289)</f>
        <v/>
      </c>
      <c r="F1289" s="4">
        <f>SUMIFS('DETALLE CRONOLÓGICO'!$I$2:$I$4919,'DETALLE CRONOLÓGICO'!$A$2:$A$4919,$A1289)</f>
        <v/>
      </c>
      <c r="G1289" s="1">
        <f>INDEX('DETALLE CRONOLÓGICO'!$D$2:$D$4919,MATCH($A1289,'DETALLE CRONOLÓGICO'!$A$2:$A$4919,0))</f>
        <v/>
      </c>
      <c r="H1289" s="1">
        <f>INDEX('DETALLE CRONOLÓGICO'!$D$2:$D$4919,MATCH($A1289,'DETALLE CRONOLÓGICO'!$A$2:$A$4919,0)+$E1289-1)</f>
        <v/>
      </c>
      <c r="I1289" s="5">
        <f>IFERROR(SUMIFS('DETALLE CRONOLÓGICO'!$L$2:$L$4919,'DETALLE CRONOLÓGICO'!$A$2:$A$4919,$A1289)/$F1289,"")</f>
        <v/>
      </c>
      <c r="J1289" s="6">
        <f>IFERROR(SUMIFS('DETALLE CRONOLÓGICO'!$K$2:$K$4919,'DETALLE CRONOLÓGICO'!$A$2:$A$4919,$A1289)/$E1289,"")</f>
        <v/>
      </c>
      <c r="K1289" s="6">
        <f>_xlfn.MINIFS('DETALLE CRONOLÓGICO'!$K$2:$K$4919,'DETALLE CRONOLÓGICO'!$A$2:$A$4919,$A1289)</f>
        <v/>
      </c>
      <c r="L1289" s="6">
        <f>_xlfn.MAXIFS('DETALLE CRONOLÓGICO'!$K$2:$K$4919,'DETALLE CRONOLÓGICO'!$A$2:$A$4919,$A1289)</f>
        <v/>
      </c>
      <c r="M1289" s="6">
        <f>INDEX('DETALLE CRONOLÓGICO'!$K$2:$K$4919,MATCH($A1289,'DETALLE CRONOLÓGICO'!$A$2:$A$4919,0)+$E1289-1)</f>
        <v/>
      </c>
      <c r="N1289" s="7">
        <f>IFERROR($M1289/INDEX('DETALLE CRONOLÓGICO'!$K$2:$K$4919,MATCH($A1289,'DETALLE CRONOLÓGICO'!$A$2:$A$4919,0))-1,"")</f>
        <v/>
      </c>
      <c r="O1289" s="6">
        <f>IFERROR($I1289*3,"")</f>
        <v/>
      </c>
      <c r="P1289" s="6">
        <f>IFERROR($I1289*3.5,"")</f>
        <v/>
      </c>
      <c r="Q1289" s="6">
        <f>IFERROR($I1289*4,"")</f>
        <v/>
      </c>
      <c r="R1289" s="6" t="n">
        <v>4800</v>
      </c>
      <c r="S1289" s="4" t="n">
        <v>6</v>
      </c>
      <c r="T1289" s="1" t="inlineStr">
        <is>
          <t>active</t>
        </is>
      </c>
      <c r="U1289" s="8" t="n"/>
      <c r="V1289" s="1" t="inlineStr">
        <is>
          <t>SIN PRECIO</t>
        </is>
      </c>
    </row>
    <row r="1290">
      <c r="A1290" s="1" t="inlineStr">
        <is>
          <t>654bdb2a8966e</t>
        </is>
      </c>
      <c r="B1290" s="1" t="inlineStr">
        <is>
          <t>BOLSO LADY D WHITE</t>
        </is>
      </c>
      <c r="C1290" s="1" t="inlineStr">
        <is>
          <t>23.5cm de largo x 20.5cm largo x 12.5cm de ancho</t>
        </is>
      </c>
      <c r="D1290" s="1" t="inlineStr">
        <is>
          <t>ZOEY</t>
        </is>
      </c>
      <c r="E1290" s="4">
        <f>COUNTIF('DETALLE CRONOLÓGICO'!$A$2:$A$4919,$A1290)</f>
        <v/>
      </c>
      <c r="F1290" s="4">
        <f>SUMIFS('DETALLE CRONOLÓGICO'!$I$2:$I$4919,'DETALLE CRONOLÓGICO'!$A$2:$A$4919,$A1290)</f>
        <v/>
      </c>
      <c r="G1290" s="1">
        <f>INDEX('DETALLE CRONOLÓGICO'!$D$2:$D$4919,MATCH($A1290,'DETALLE CRONOLÓGICO'!$A$2:$A$4919,0))</f>
        <v/>
      </c>
      <c r="H1290" s="1">
        <f>INDEX('DETALLE CRONOLÓGICO'!$D$2:$D$4919,MATCH($A1290,'DETALLE CRONOLÓGICO'!$A$2:$A$4919,0)+$E1290-1)</f>
        <v/>
      </c>
      <c r="I1290" s="5">
        <f>IFERROR(SUMIFS('DETALLE CRONOLÓGICO'!$L$2:$L$4919,'DETALLE CRONOLÓGICO'!$A$2:$A$4919,$A1290)/$F1290,"")</f>
        <v/>
      </c>
      <c r="J1290" s="6">
        <f>IFERROR(SUMIFS('DETALLE CRONOLÓGICO'!$K$2:$K$4919,'DETALLE CRONOLÓGICO'!$A$2:$A$4919,$A1290)/$E1290,"")</f>
        <v/>
      </c>
      <c r="K1290" s="6">
        <f>_xlfn.MINIFS('DETALLE CRONOLÓGICO'!$K$2:$K$4919,'DETALLE CRONOLÓGICO'!$A$2:$A$4919,$A1290)</f>
        <v/>
      </c>
      <c r="L1290" s="6">
        <f>_xlfn.MAXIFS('DETALLE CRONOLÓGICO'!$K$2:$K$4919,'DETALLE CRONOLÓGICO'!$A$2:$A$4919,$A1290)</f>
        <v/>
      </c>
      <c r="M1290" s="6">
        <f>INDEX('DETALLE CRONOLÓGICO'!$K$2:$K$4919,MATCH($A1290,'DETALLE CRONOLÓGICO'!$A$2:$A$4919,0)+$E1290-1)</f>
        <v/>
      </c>
      <c r="N1290" s="7">
        <f>IFERROR($M1290/INDEX('DETALLE CRONOLÓGICO'!$K$2:$K$4919,MATCH($A1290,'DETALLE CRONOLÓGICO'!$A$2:$A$4919,0))-1,"")</f>
        <v/>
      </c>
      <c r="O1290" s="6">
        <f>IFERROR($I1290*3,"")</f>
        <v/>
      </c>
      <c r="P1290" s="6">
        <f>IFERROR($I1290*3.5,"")</f>
        <v/>
      </c>
      <c r="Q1290" s="6">
        <f>IFERROR($I1290*4,"")</f>
        <v/>
      </c>
      <c r="R1290" s="6" t="n">
        <v>5739</v>
      </c>
      <c r="S1290" s="4" t="n">
        <v>2</v>
      </c>
      <c r="T1290" s="1" t="inlineStr">
        <is>
          <t>active</t>
        </is>
      </c>
      <c r="U1290" s="8" t="n"/>
      <c r="V1290" s="1" t="inlineStr">
        <is>
          <t>SIN PRECIO</t>
        </is>
      </c>
    </row>
    <row r="1291">
      <c r="A1291" s="1" t="inlineStr">
        <is>
          <t>654bdb8083165</t>
        </is>
      </c>
      <c r="B1291" s="1" t="inlineStr">
        <is>
          <t>PULSERA TRÉBOL SILVER VF</t>
        </is>
      </c>
      <c r="C1291" s="1" t="inlineStr">
        <is>
          <t>20cm</t>
        </is>
      </c>
      <c r="D1291" s="1" t="inlineStr">
        <is>
          <t>HAIFENG</t>
        </is>
      </c>
      <c r="E1291" s="4">
        <f>COUNTIF('DETALLE CRONOLÓGICO'!$A$2:$A$4919,$A1291)</f>
        <v/>
      </c>
      <c r="F1291" s="4">
        <f>SUMIFS('DETALLE CRONOLÓGICO'!$I$2:$I$4919,'DETALLE CRONOLÓGICO'!$A$2:$A$4919,$A1291)</f>
        <v/>
      </c>
      <c r="G1291" s="1">
        <f>INDEX('DETALLE CRONOLÓGICO'!$D$2:$D$4919,MATCH($A1291,'DETALLE CRONOLÓGICO'!$A$2:$A$4919,0))</f>
        <v/>
      </c>
      <c r="H1291" s="1">
        <f>INDEX('DETALLE CRONOLÓGICO'!$D$2:$D$4919,MATCH($A1291,'DETALLE CRONOLÓGICO'!$A$2:$A$4919,0)+$E1291-1)</f>
        <v/>
      </c>
      <c r="I1291" s="5">
        <f>IFERROR(SUMIFS('DETALLE CRONOLÓGICO'!$L$2:$L$4919,'DETALLE CRONOLÓGICO'!$A$2:$A$4919,$A1291)/$F1291,"")</f>
        <v/>
      </c>
      <c r="J1291" s="6">
        <f>IFERROR(SUMIFS('DETALLE CRONOLÓGICO'!$K$2:$K$4919,'DETALLE CRONOLÓGICO'!$A$2:$A$4919,$A1291)/$E1291,"")</f>
        <v/>
      </c>
      <c r="K1291" s="6">
        <f>_xlfn.MINIFS('DETALLE CRONOLÓGICO'!$K$2:$K$4919,'DETALLE CRONOLÓGICO'!$A$2:$A$4919,$A1291)</f>
        <v/>
      </c>
      <c r="L1291" s="6">
        <f>_xlfn.MAXIFS('DETALLE CRONOLÓGICO'!$K$2:$K$4919,'DETALLE CRONOLÓGICO'!$A$2:$A$4919,$A1291)</f>
        <v/>
      </c>
      <c r="M1291" s="6">
        <f>INDEX('DETALLE CRONOLÓGICO'!$K$2:$K$4919,MATCH($A1291,'DETALLE CRONOLÓGICO'!$A$2:$A$4919,0)+$E1291-1)</f>
        <v/>
      </c>
      <c r="N1291" s="7">
        <f>IFERROR($M1291/INDEX('DETALLE CRONOLÓGICO'!$K$2:$K$4919,MATCH($A1291,'DETALLE CRONOLÓGICO'!$A$2:$A$4919,0))-1,"")</f>
        <v/>
      </c>
      <c r="O1291" s="6">
        <f>IFERROR($I1291*3,"")</f>
        <v/>
      </c>
      <c r="P1291" s="6">
        <f>IFERROR($I1291*3.5,"")</f>
        <v/>
      </c>
      <c r="Q1291" s="6">
        <f>IFERROR($I1291*4,"")</f>
        <v/>
      </c>
      <c r="R1291" s="6" t="n">
        <v>1286</v>
      </c>
      <c r="S1291" s="4" t="n">
        <v>8</v>
      </c>
      <c r="T1291" s="1" t="inlineStr">
        <is>
          <t>active</t>
        </is>
      </c>
      <c r="U1291" s="8" t="n"/>
      <c r="V1291" s="1" t="inlineStr">
        <is>
          <t>SIN PRECIO</t>
        </is>
      </c>
    </row>
    <row r="1292">
      <c r="A1292" s="1" t="inlineStr">
        <is>
          <t>654bdb81039f7</t>
        </is>
      </c>
      <c r="B1292" s="1" t="inlineStr">
        <is>
          <t>ARETES LV LOGO SILVER</t>
        </is>
      </c>
      <c r="C1292" s="1" t="inlineStr">
        <is>
          <t>Stainless steel</t>
        </is>
      </c>
      <c r="D1292" s="1" t="inlineStr">
        <is>
          <t>CYNTHIA</t>
        </is>
      </c>
      <c r="E1292" s="4">
        <f>COUNTIF('DETALLE CRONOLÓGICO'!$A$2:$A$4919,$A1292)</f>
        <v/>
      </c>
      <c r="F1292" s="4">
        <f>SUMIFS('DETALLE CRONOLÓGICO'!$I$2:$I$4919,'DETALLE CRONOLÓGICO'!$A$2:$A$4919,$A1292)</f>
        <v/>
      </c>
      <c r="G1292" s="1">
        <f>INDEX('DETALLE CRONOLÓGICO'!$D$2:$D$4919,MATCH($A1292,'DETALLE CRONOLÓGICO'!$A$2:$A$4919,0))</f>
        <v/>
      </c>
      <c r="H1292" s="1">
        <f>INDEX('DETALLE CRONOLÓGICO'!$D$2:$D$4919,MATCH($A1292,'DETALLE CRONOLÓGICO'!$A$2:$A$4919,0)+$E1292-1)</f>
        <v/>
      </c>
      <c r="I1292" s="5">
        <f>IFERROR(SUMIFS('DETALLE CRONOLÓGICO'!$L$2:$L$4919,'DETALLE CRONOLÓGICO'!$A$2:$A$4919,$A1292)/$F1292,"")</f>
        <v/>
      </c>
      <c r="J1292" s="6">
        <f>IFERROR(SUMIFS('DETALLE CRONOLÓGICO'!$K$2:$K$4919,'DETALLE CRONOLÓGICO'!$A$2:$A$4919,$A1292)/$E1292,"")</f>
        <v/>
      </c>
      <c r="K1292" s="6">
        <f>_xlfn.MINIFS('DETALLE CRONOLÓGICO'!$K$2:$K$4919,'DETALLE CRONOLÓGICO'!$A$2:$A$4919,$A1292)</f>
        <v/>
      </c>
      <c r="L1292" s="6">
        <f>_xlfn.MAXIFS('DETALLE CRONOLÓGICO'!$K$2:$K$4919,'DETALLE CRONOLÓGICO'!$A$2:$A$4919,$A1292)</f>
        <v/>
      </c>
      <c r="M1292" s="6">
        <f>INDEX('DETALLE CRONOLÓGICO'!$K$2:$K$4919,MATCH($A1292,'DETALLE CRONOLÓGICO'!$A$2:$A$4919,0)+$E1292-1)</f>
        <v/>
      </c>
      <c r="N1292" s="7">
        <f>IFERROR($M1292/INDEX('DETALLE CRONOLÓGICO'!$K$2:$K$4919,MATCH($A1292,'DETALLE CRONOLÓGICO'!$A$2:$A$4919,0))-1,"")</f>
        <v/>
      </c>
      <c r="O1292" s="6">
        <f>IFERROR($I1292*3,"")</f>
        <v/>
      </c>
      <c r="P1292" s="6">
        <f>IFERROR($I1292*3.5,"")</f>
        <v/>
      </c>
      <c r="Q1292" s="6">
        <f>IFERROR($I1292*4,"")</f>
        <v/>
      </c>
      <c r="R1292" s="6" t="n">
        <v>722</v>
      </c>
      <c r="S1292" s="4" t="n">
        <v>13</v>
      </c>
      <c r="T1292" s="1" t="inlineStr">
        <is>
          <t>active</t>
        </is>
      </c>
      <c r="U1292" s="8" t="n"/>
      <c r="V1292" s="1" t="inlineStr">
        <is>
          <t>SIN PRECIO</t>
        </is>
      </c>
    </row>
    <row r="1293">
      <c r="A1293" s="1" t="inlineStr">
        <is>
          <t>654bdbcf948ed</t>
        </is>
      </c>
      <c r="B1293" s="1" t="inlineStr">
        <is>
          <t>CINTO FR GOLD BLACK</t>
        </is>
      </c>
      <c r="C1293" s="1" t="inlineStr">
        <is>
          <t>115cm</t>
        </is>
      </c>
      <c r="D1293" s="1" t="inlineStr">
        <is>
          <t>DINA DU</t>
        </is>
      </c>
      <c r="E1293" s="4">
        <f>COUNTIF('DETALLE CRONOLÓGICO'!$A$2:$A$4919,$A1293)</f>
        <v/>
      </c>
      <c r="F1293" s="4">
        <f>SUMIFS('DETALLE CRONOLÓGICO'!$I$2:$I$4919,'DETALLE CRONOLÓGICO'!$A$2:$A$4919,$A1293)</f>
        <v/>
      </c>
      <c r="G1293" s="1">
        <f>INDEX('DETALLE CRONOLÓGICO'!$D$2:$D$4919,MATCH($A1293,'DETALLE CRONOLÓGICO'!$A$2:$A$4919,0))</f>
        <v/>
      </c>
      <c r="H1293" s="1">
        <f>INDEX('DETALLE CRONOLÓGICO'!$D$2:$D$4919,MATCH($A1293,'DETALLE CRONOLÓGICO'!$A$2:$A$4919,0)+$E1293-1)</f>
        <v/>
      </c>
      <c r="I1293" s="5">
        <f>IFERROR(SUMIFS('DETALLE CRONOLÓGICO'!$L$2:$L$4919,'DETALLE CRONOLÓGICO'!$A$2:$A$4919,$A1293)/$F1293,"")</f>
        <v/>
      </c>
      <c r="J1293" s="6">
        <f>IFERROR(SUMIFS('DETALLE CRONOLÓGICO'!$K$2:$K$4919,'DETALLE CRONOLÓGICO'!$A$2:$A$4919,$A1293)/$E1293,"")</f>
        <v/>
      </c>
      <c r="K1293" s="6">
        <f>_xlfn.MINIFS('DETALLE CRONOLÓGICO'!$K$2:$K$4919,'DETALLE CRONOLÓGICO'!$A$2:$A$4919,$A1293)</f>
        <v/>
      </c>
      <c r="L1293" s="6">
        <f>_xlfn.MAXIFS('DETALLE CRONOLÓGICO'!$K$2:$K$4919,'DETALLE CRONOLÓGICO'!$A$2:$A$4919,$A1293)</f>
        <v/>
      </c>
      <c r="M1293" s="6">
        <f>INDEX('DETALLE CRONOLÓGICO'!$K$2:$K$4919,MATCH($A1293,'DETALLE CRONOLÓGICO'!$A$2:$A$4919,0)+$E1293-1)</f>
        <v/>
      </c>
      <c r="N1293" s="7">
        <f>IFERROR($M1293/INDEX('DETALLE CRONOLÓGICO'!$K$2:$K$4919,MATCH($A1293,'DETALLE CRONOLÓGICO'!$A$2:$A$4919,0))-1,"")</f>
        <v/>
      </c>
      <c r="O1293" s="6">
        <f>IFERROR($I1293*3,"")</f>
        <v/>
      </c>
      <c r="P1293" s="6">
        <f>IFERROR($I1293*3.5,"")</f>
        <v/>
      </c>
      <c r="Q1293" s="6">
        <f>IFERROR($I1293*4,"")</f>
        <v/>
      </c>
      <c r="R1293" s="6" t="n">
        <v>1495</v>
      </c>
      <c r="S1293" s="4" t="n">
        <v>0</v>
      </c>
      <c r="T1293" s="1" t="inlineStr">
        <is>
          <t>active</t>
        </is>
      </c>
      <c r="U1293" s="8" t="n"/>
      <c r="V1293" s="1" t="inlineStr">
        <is>
          <t>SIN PRECIO</t>
        </is>
      </c>
    </row>
    <row r="1294">
      <c r="A1294" s="1" t="inlineStr">
        <is>
          <t>654bdbcfbb016</t>
        </is>
      </c>
      <c r="B1294" s="1" t="inlineStr">
        <is>
          <t>CINTO H SILVER BLACK</t>
        </is>
      </c>
      <c r="C1294" s="1" t="inlineStr">
        <is>
          <t>115cm con extension</t>
        </is>
      </c>
      <c r="D1294" s="1" t="inlineStr">
        <is>
          <t>DINA DU</t>
        </is>
      </c>
      <c r="E1294" s="4">
        <f>COUNTIF('DETALLE CRONOLÓGICO'!$A$2:$A$4919,$A1294)</f>
        <v/>
      </c>
      <c r="F1294" s="4">
        <f>SUMIFS('DETALLE CRONOLÓGICO'!$I$2:$I$4919,'DETALLE CRONOLÓGICO'!$A$2:$A$4919,$A1294)</f>
        <v/>
      </c>
      <c r="G1294" s="1">
        <f>INDEX('DETALLE CRONOLÓGICO'!$D$2:$D$4919,MATCH($A1294,'DETALLE CRONOLÓGICO'!$A$2:$A$4919,0))</f>
        <v/>
      </c>
      <c r="H1294" s="1">
        <f>INDEX('DETALLE CRONOLÓGICO'!$D$2:$D$4919,MATCH($A1294,'DETALLE CRONOLÓGICO'!$A$2:$A$4919,0)+$E1294-1)</f>
        <v/>
      </c>
      <c r="I1294" s="5">
        <f>IFERROR(SUMIFS('DETALLE CRONOLÓGICO'!$L$2:$L$4919,'DETALLE CRONOLÓGICO'!$A$2:$A$4919,$A1294)/$F1294,"")</f>
        <v/>
      </c>
      <c r="J1294" s="6">
        <f>IFERROR(SUMIFS('DETALLE CRONOLÓGICO'!$K$2:$K$4919,'DETALLE CRONOLÓGICO'!$A$2:$A$4919,$A1294)/$E1294,"")</f>
        <v/>
      </c>
      <c r="K1294" s="6">
        <f>_xlfn.MINIFS('DETALLE CRONOLÓGICO'!$K$2:$K$4919,'DETALLE CRONOLÓGICO'!$A$2:$A$4919,$A1294)</f>
        <v/>
      </c>
      <c r="L1294" s="6">
        <f>_xlfn.MAXIFS('DETALLE CRONOLÓGICO'!$K$2:$K$4919,'DETALLE CRONOLÓGICO'!$A$2:$A$4919,$A1294)</f>
        <v/>
      </c>
      <c r="M1294" s="6">
        <f>INDEX('DETALLE CRONOLÓGICO'!$K$2:$K$4919,MATCH($A1294,'DETALLE CRONOLÓGICO'!$A$2:$A$4919,0)+$E1294-1)</f>
        <v/>
      </c>
      <c r="N1294" s="7">
        <f>IFERROR($M1294/INDEX('DETALLE CRONOLÓGICO'!$K$2:$K$4919,MATCH($A1294,'DETALLE CRONOLÓGICO'!$A$2:$A$4919,0))-1,"")</f>
        <v/>
      </c>
      <c r="O1294" s="6">
        <f>IFERROR($I1294*3,"")</f>
        <v/>
      </c>
      <c r="P1294" s="6">
        <f>IFERROR($I1294*3.5,"")</f>
        <v/>
      </c>
      <c r="Q1294" s="6">
        <f>IFERROR($I1294*4,"")</f>
        <v/>
      </c>
      <c r="R1294" s="6" t="n">
        <v>1625</v>
      </c>
      <c r="S1294" s="4" t="n">
        <v>3</v>
      </c>
      <c r="T1294" s="1" t="inlineStr">
        <is>
          <t>active</t>
        </is>
      </c>
      <c r="U1294" s="8" t="n"/>
      <c r="V1294" s="1" t="inlineStr">
        <is>
          <t>SIN PRECIO</t>
        </is>
      </c>
    </row>
    <row r="1295">
      <c r="A1295" s="1" t="inlineStr">
        <is>
          <t>654bdbcfcfee3</t>
        </is>
      </c>
      <c r="B1295" s="1" t="inlineStr">
        <is>
          <t>CINTO C GOLD BLACK</t>
        </is>
      </c>
      <c r="C1295" s="1" t="inlineStr">
        <is>
          <t>100cm</t>
        </is>
      </c>
      <c r="D1295" s="1" t="inlineStr">
        <is>
          <t>DINA DU</t>
        </is>
      </c>
      <c r="E1295" s="4">
        <f>COUNTIF('DETALLE CRONOLÓGICO'!$A$2:$A$4919,$A1295)</f>
        <v/>
      </c>
      <c r="F1295" s="4">
        <f>SUMIFS('DETALLE CRONOLÓGICO'!$I$2:$I$4919,'DETALLE CRONOLÓGICO'!$A$2:$A$4919,$A1295)</f>
        <v/>
      </c>
      <c r="G1295" s="1">
        <f>INDEX('DETALLE CRONOLÓGICO'!$D$2:$D$4919,MATCH($A1295,'DETALLE CRONOLÓGICO'!$A$2:$A$4919,0))</f>
        <v/>
      </c>
      <c r="H1295" s="1">
        <f>INDEX('DETALLE CRONOLÓGICO'!$D$2:$D$4919,MATCH($A1295,'DETALLE CRONOLÓGICO'!$A$2:$A$4919,0)+$E1295-1)</f>
        <v/>
      </c>
      <c r="I1295" s="5">
        <f>IFERROR(SUMIFS('DETALLE CRONOLÓGICO'!$L$2:$L$4919,'DETALLE CRONOLÓGICO'!$A$2:$A$4919,$A1295)/$F1295,"")</f>
        <v/>
      </c>
      <c r="J1295" s="6">
        <f>IFERROR(SUMIFS('DETALLE CRONOLÓGICO'!$K$2:$K$4919,'DETALLE CRONOLÓGICO'!$A$2:$A$4919,$A1295)/$E1295,"")</f>
        <v/>
      </c>
      <c r="K1295" s="6">
        <f>_xlfn.MINIFS('DETALLE CRONOLÓGICO'!$K$2:$K$4919,'DETALLE CRONOLÓGICO'!$A$2:$A$4919,$A1295)</f>
        <v/>
      </c>
      <c r="L1295" s="6">
        <f>_xlfn.MAXIFS('DETALLE CRONOLÓGICO'!$K$2:$K$4919,'DETALLE CRONOLÓGICO'!$A$2:$A$4919,$A1295)</f>
        <v/>
      </c>
      <c r="M1295" s="6">
        <f>INDEX('DETALLE CRONOLÓGICO'!$K$2:$K$4919,MATCH($A1295,'DETALLE CRONOLÓGICO'!$A$2:$A$4919,0)+$E1295-1)</f>
        <v/>
      </c>
      <c r="N1295" s="7">
        <f>IFERROR($M1295/INDEX('DETALLE CRONOLÓGICO'!$K$2:$K$4919,MATCH($A1295,'DETALLE CRONOLÓGICO'!$A$2:$A$4919,0))-1,"")</f>
        <v/>
      </c>
      <c r="O1295" s="6">
        <f>IFERROR($I1295*3,"")</f>
        <v/>
      </c>
      <c r="P1295" s="6">
        <f>IFERROR($I1295*3.5,"")</f>
        <v/>
      </c>
      <c r="Q1295" s="6">
        <f>IFERROR($I1295*4,"")</f>
        <v/>
      </c>
      <c r="R1295" s="6" t="n">
        <v>1609</v>
      </c>
      <c r="S1295" s="4" t="n">
        <v>0</v>
      </c>
      <c r="T1295" s="1" t="inlineStr">
        <is>
          <t>draft</t>
        </is>
      </c>
      <c r="U1295" s="8" t="n"/>
      <c r="V1295" s="1" t="inlineStr">
        <is>
          <t>SIN PRECIO</t>
        </is>
      </c>
    </row>
    <row r="1296">
      <c r="A1296" s="1" t="inlineStr">
        <is>
          <t>654bdbcfd9269</t>
        </is>
      </c>
      <c r="B1296" s="1" t="inlineStr">
        <is>
          <t>CINTO H BLACK</t>
        </is>
      </c>
      <c r="C1296" s="1" t="inlineStr">
        <is>
          <t>100cm con extension</t>
        </is>
      </c>
      <c r="D1296" s="1" t="inlineStr">
        <is>
          <t>DINA DU</t>
        </is>
      </c>
      <c r="E1296" s="4">
        <f>COUNTIF('DETALLE CRONOLÓGICO'!$A$2:$A$4919,$A1296)</f>
        <v/>
      </c>
      <c r="F1296" s="4">
        <f>SUMIFS('DETALLE CRONOLÓGICO'!$I$2:$I$4919,'DETALLE CRONOLÓGICO'!$A$2:$A$4919,$A1296)</f>
        <v/>
      </c>
      <c r="G1296" s="1">
        <f>INDEX('DETALLE CRONOLÓGICO'!$D$2:$D$4919,MATCH($A1296,'DETALLE CRONOLÓGICO'!$A$2:$A$4919,0))</f>
        <v/>
      </c>
      <c r="H1296" s="1">
        <f>INDEX('DETALLE CRONOLÓGICO'!$D$2:$D$4919,MATCH($A1296,'DETALLE CRONOLÓGICO'!$A$2:$A$4919,0)+$E1296-1)</f>
        <v/>
      </c>
      <c r="I1296" s="5">
        <f>IFERROR(SUMIFS('DETALLE CRONOLÓGICO'!$L$2:$L$4919,'DETALLE CRONOLÓGICO'!$A$2:$A$4919,$A1296)/$F1296,"")</f>
        <v/>
      </c>
      <c r="J1296" s="6">
        <f>IFERROR(SUMIFS('DETALLE CRONOLÓGICO'!$K$2:$K$4919,'DETALLE CRONOLÓGICO'!$A$2:$A$4919,$A1296)/$E1296,"")</f>
        <v/>
      </c>
      <c r="K1296" s="6">
        <f>_xlfn.MINIFS('DETALLE CRONOLÓGICO'!$K$2:$K$4919,'DETALLE CRONOLÓGICO'!$A$2:$A$4919,$A1296)</f>
        <v/>
      </c>
      <c r="L1296" s="6">
        <f>_xlfn.MAXIFS('DETALLE CRONOLÓGICO'!$K$2:$K$4919,'DETALLE CRONOLÓGICO'!$A$2:$A$4919,$A1296)</f>
        <v/>
      </c>
      <c r="M1296" s="6">
        <f>INDEX('DETALLE CRONOLÓGICO'!$K$2:$K$4919,MATCH($A1296,'DETALLE CRONOLÓGICO'!$A$2:$A$4919,0)+$E1296-1)</f>
        <v/>
      </c>
      <c r="N1296" s="7">
        <f>IFERROR($M1296/INDEX('DETALLE CRONOLÓGICO'!$K$2:$K$4919,MATCH($A1296,'DETALLE CRONOLÓGICO'!$A$2:$A$4919,0))-1,"")</f>
        <v/>
      </c>
      <c r="O1296" s="6">
        <f>IFERROR($I1296*3,"")</f>
        <v/>
      </c>
      <c r="P1296" s="6">
        <f>IFERROR($I1296*3.5,"")</f>
        <v/>
      </c>
      <c r="Q1296" s="6">
        <f>IFERROR($I1296*4,"")</f>
        <v/>
      </c>
      <c r="R1296" s="6" t="n">
        <v>1609</v>
      </c>
      <c r="S1296" s="4" t="n">
        <v>5</v>
      </c>
      <c r="T1296" s="1" t="inlineStr">
        <is>
          <t>active</t>
        </is>
      </c>
      <c r="U1296" s="8" t="n"/>
      <c r="V1296" s="1" t="inlineStr">
        <is>
          <t>SIN PRECIO</t>
        </is>
      </c>
    </row>
    <row r="1297">
      <c r="A1297" s="1" t="inlineStr">
        <is>
          <t>654bdbcfddee8</t>
        </is>
      </c>
      <c r="B1297" s="1" t="inlineStr">
        <is>
          <t>BOLSO B BLACK LISA</t>
        </is>
      </c>
      <c r="C1297" s="1" t="inlineStr">
        <is>
          <t>17cm de largo x 11cm de alto x 8.3cm de ancho</t>
        </is>
      </c>
      <c r="D1297" s="1" t="inlineStr">
        <is>
          <t>ZOEY</t>
        </is>
      </c>
      <c r="E1297" s="4">
        <f>COUNTIF('DETALLE CRONOLÓGICO'!$A$2:$A$4919,$A1297)</f>
        <v/>
      </c>
      <c r="F1297" s="4">
        <f>SUMIFS('DETALLE CRONOLÓGICO'!$I$2:$I$4919,'DETALLE CRONOLÓGICO'!$A$2:$A$4919,$A1297)</f>
        <v/>
      </c>
      <c r="G1297" s="1">
        <f>INDEX('DETALLE CRONOLÓGICO'!$D$2:$D$4919,MATCH($A1297,'DETALLE CRONOLÓGICO'!$A$2:$A$4919,0))</f>
        <v/>
      </c>
      <c r="H1297" s="1">
        <f>INDEX('DETALLE CRONOLÓGICO'!$D$2:$D$4919,MATCH($A1297,'DETALLE CRONOLÓGICO'!$A$2:$A$4919,0)+$E1297-1)</f>
        <v/>
      </c>
      <c r="I1297" s="5">
        <f>IFERROR(SUMIFS('DETALLE CRONOLÓGICO'!$L$2:$L$4919,'DETALLE CRONOLÓGICO'!$A$2:$A$4919,$A1297)/$F1297,"")</f>
        <v/>
      </c>
      <c r="J1297" s="6">
        <f>IFERROR(SUMIFS('DETALLE CRONOLÓGICO'!$K$2:$K$4919,'DETALLE CRONOLÓGICO'!$A$2:$A$4919,$A1297)/$E1297,"")</f>
        <v/>
      </c>
      <c r="K1297" s="6">
        <f>_xlfn.MINIFS('DETALLE CRONOLÓGICO'!$K$2:$K$4919,'DETALLE CRONOLÓGICO'!$A$2:$A$4919,$A1297)</f>
        <v/>
      </c>
      <c r="L1297" s="6">
        <f>_xlfn.MAXIFS('DETALLE CRONOLÓGICO'!$K$2:$K$4919,'DETALLE CRONOLÓGICO'!$A$2:$A$4919,$A1297)</f>
        <v/>
      </c>
      <c r="M1297" s="6">
        <f>INDEX('DETALLE CRONOLÓGICO'!$K$2:$K$4919,MATCH($A1297,'DETALLE CRONOLÓGICO'!$A$2:$A$4919,0)+$E1297-1)</f>
        <v/>
      </c>
      <c r="N1297" s="7">
        <f>IFERROR($M1297/INDEX('DETALLE CRONOLÓGICO'!$K$2:$K$4919,MATCH($A1297,'DETALLE CRONOLÓGICO'!$A$2:$A$4919,0))-1,"")</f>
        <v/>
      </c>
      <c r="O1297" s="6">
        <f>IFERROR($I1297*3,"")</f>
        <v/>
      </c>
      <c r="P1297" s="6">
        <f>IFERROR($I1297*3.5,"")</f>
        <v/>
      </c>
      <c r="Q1297" s="6">
        <f>IFERROR($I1297*4,"")</f>
        <v/>
      </c>
      <c r="R1297" s="6" t="n">
        <v>4039</v>
      </c>
      <c r="S1297" s="4" t="n">
        <v>0</v>
      </c>
      <c r="T1297" s="1" t="inlineStr">
        <is>
          <t>active</t>
        </is>
      </c>
      <c r="U1297" s="8" t="n"/>
      <c r="V1297" s="1" t="inlineStr">
        <is>
          <t>SIN PRECIO</t>
        </is>
      </c>
    </row>
    <row r="1298">
      <c r="A1298" s="1" t="inlineStr">
        <is>
          <t>654bdbcfde867</t>
        </is>
      </c>
      <c r="B1298" s="1" t="inlineStr">
        <is>
          <t>CINTO YSL GOLD BLACK</t>
        </is>
      </c>
      <c r="C1298" s="1" t="inlineStr">
        <is>
          <t>100cm</t>
        </is>
      </c>
      <c r="D1298" s="1" t="inlineStr">
        <is>
          <t>DINA DU</t>
        </is>
      </c>
      <c r="E1298" s="4">
        <f>COUNTIF('DETALLE CRONOLÓGICO'!$A$2:$A$4919,$A1298)</f>
        <v/>
      </c>
      <c r="F1298" s="4">
        <f>SUMIFS('DETALLE CRONOLÓGICO'!$I$2:$I$4919,'DETALLE CRONOLÓGICO'!$A$2:$A$4919,$A1298)</f>
        <v/>
      </c>
      <c r="G1298" s="1">
        <f>INDEX('DETALLE CRONOLÓGICO'!$D$2:$D$4919,MATCH($A1298,'DETALLE CRONOLÓGICO'!$A$2:$A$4919,0))</f>
        <v/>
      </c>
      <c r="H1298" s="1">
        <f>INDEX('DETALLE CRONOLÓGICO'!$D$2:$D$4919,MATCH($A1298,'DETALLE CRONOLÓGICO'!$A$2:$A$4919,0)+$E1298-1)</f>
        <v/>
      </c>
      <c r="I1298" s="5">
        <f>IFERROR(SUMIFS('DETALLE CRONOLÓGICO'!$L$2:$L$4919,'DETALLE CRONOLÓGICO'!$A$2:$A$4919,$A1298)/$F1298,"")</f>
        <v/>
      </c>
      <c r="J1298" s="6">
        <f>IFERROR(SUMIFS('DETALLE CRONOLÓGICO'!$K$2:$K$4919,'DETALLE CRONOLÓGICO'!$A$2:$A$4919,$A1298)/$E1298,"")</f>
        <v/>
      </c>
      <c r="K1298" s="6">
        <f>_xlfn.MINIFS('DETALLE CRONOLÓGICO'!$K$2:$K$4919,'DETALLE CRONOLÓGICO'!$A$2:$A$4919,$A1298)</f>
        <v/>
      </c>
      <c r="L1298" s="6">
        <f>_xlfn.MAXIFS('DETALLE CRONOLÓGICO'!$K$2:$K$4919,'DETALLE CRONOLÓGICO'!$A$2:$A$4919,$A1298)</f>
        <v/>
      </c>
      <c r="M1298" s="6">
        <f>INDEX('DETALLE CRONOLÓGICO'!$K$2:$K$4919,MATCH($A1298,'DETALLE CRONOLÓGICO'!$A$2:$A$4919,0)+$E1298-1)</f>
        <v/>
      </c>
      <c r="N1298" s="7">
        <f>IFERROR($M1298/INDEX('DETALLE CRONOLÓGICO'!$K$2:$K$4919,MATCH($A1298,'DETALLE CRONOLÓGICO'!$A$2:$A$4919,0))-1,"")</f>
        <v/>
      </c>
      <c r="O1298" s="6">
        <f>IFERROR($I1298*3,"")</f>
        <v/>
      </c>
      <c r="P1298" s="6">
        <f>IFERROR($I1298*3.5,"")</f>
        <v/>
      </c>
      <c r="Q1298" s="6">
        <f>IFERROR($I1298*4,"")</f>
        <v/>
      </c>
      <c r="R1298" s="6" t="n">
        <v>1289</v>
      </c>
      <c r="S1298" s="4" t="n">
        <v>0</v>
      </c>
      <c r="T1298" s="1" t="inlineStr">
        <is>
          <t>active</t>
        </is>
      </c>
      <c r="U1298" s="8" t="n"/>
      <c r="V1298" s="1" t="inlineStr">
        <is>
          <t>SIN PRECIO</t>
        </is>
      </c>
    </row>
    <row r="1299">
      <c r="A1299" s="1" t="inlineStr">
        <is>
          <t>654bdbd00f373</t>
        </is>
      </c>
      <c r="B1299" s="1" t="inlineStr">
        <is>
          <t>BOLSO B WHITE</t>
        </is>
      </c>
      <c r="C1299" s="1" t="inlineStr">
        <is>
          <t>17cm de largo x 11cm de alto x 8.3cm de ancho</t>
        </is>
      </c>
      <c r="D1299" s="1" t="inlineStr">
        <is>
          <t>ZOEY</t>
        </is>
      </c>
      <c r="E1299" s="4">
        <f>COUNTIF('DETALLE CRONOLÓGICO'!$A$2:$A$4919,$A1299)</f>
        <v/>
      </c>
      <c r="F1299" s="4">
        <f>SUMIFS('DETALLE CRONOLÓGICO'!$I$2:$I$4919,'DETALLE CRONOLÓGICO'!$A$2:$A$4919,$A1299)</f>
        <v/>
      </c>
      <c r="G1299" s="1">
        <f>INDEX('DETALLE CRONOLÓGICO'!$D$2:$D$4919,MATCH($A1299,'DETALLE CRONOLÓGICO'!$A$2:$A$4919,0))</f>
        <v/>
      </c>
      <c r="H1299" s="1">
        <f>INDEX('DETALLE CRONOLÓGICO'!$D$2:$D$4919,MATCH($A1299,'DETALLE CRONOLÓGICO'!$A$2:$A$4919,0)+$E1299-1)</f>
        <v/>
      </c>
      <c r="I1299" s="5">
        <f>IFERROR(SUMIFS('DETALLE CRONOLÓGICO'!$L$2:$L$4919,'DETALLE CRONOLÓGICO'!$A$2:$A$4919,$A1299)/$F1299,"")</f>
        <v/>
      </c>
      <c r="J1299" s="6">
        <f>IFERROR(SUMIFS('DETALLE CRONOLÓGICO'!$K$2:$K$4919,'DETALLE CRONOLÓGICO'!$A$2:$A$4919,$A1299)/$E1299,"")</f>
        <v/>
      </c>
      <c r="K1299" s="6">
        <f>_xlfn.MINIFS('DETALLE CRONOLÓGICO'!$K$2:$K$4919,'DETALLE CRONOLÓGICO'!$A$2:$A$4919,$A1299)</f>
        <v/>
      </c>
      <c r="L1299" s="6">
        <f>_xlfn.MAXIFS('DETALLE CRONOLÓGICO'!$K$2:$K$4919,'DETALLE CRONOLÓGICO'!$A$2:$A$4919,$A1299)</f>
        <v/>
      </c>
      <c r="M1299" s="6">
        <f>INDEX('DETALLE CRONOLÓGICO'!$K$2:$K$4919,MATCH($A1299,'DETALLE CRONOLÓGICO'!$A$2:$A$4919,0)+$E1299-1)</f>
        <v/>
      </c>
      <c r="N1299" s="7">
        <f>IFERROR($M1299/INDEX('DETALLE CRONOLÓGICO'!$K$2:$K$4919,MATCH($A1299,'DETALLE CRONOLÓGICO'!$A$2:$A$4919,0))-1,"")</f>
        <v/>
      </c>
      <c r="O1299" s="6">
        <f>IFERROR($I1299*3,"")</f>
        <v/>
      </c>
      <c r="P1299" s="6">
        <f>IFERROR($I1299*3.5,"")</f>
        <v/>
      </c>
      <c r="Q1299" s="6">
        <f>IFERROR($I1299*4,"")</f>
        <v/>
      </c>
      <c r="R1299" s="6" t="n">
        <v>4099.98</v>
      </c>
      <c r="S1299" s="4" t="n">
        <v>2</v>
      </c>
      <c r="T1299" s="1" t="inlineStr">
        <is>
          <t>active</t>
        </is>
      </c>
      <c r="U1299" s="8" t="n"/>
      <c r="V1299" s="1" t="inlineStr">
        <is>
          <t>SIN PRECIO</t>
        </is>
      </c>
    </row>
    <row r="1300">
      <c r="A1300" s="1" t="inlineStr">
        <is>
          <t>654bdbd026f64</t>
        </is>
      </c>
      <c r="B1300" s="1" t="inlineStr">
        <is>
          <t>CINTO H GOLD BLACK</t>
        </is>
      </c>
      <c r="C1300" s="1" t="inlineStr">
        <is>
          <t>100cm con extension</t>
        </is>
      </c>
      <c r="D1300" s="1" t="inlineStr">
        <is>
          <t>DINA DU</t>
        </is>
      </c>
      <c r="E1300" s="4">
        <f>COUNTIF('DETALLE CRONOLÓGICO'!$A$2:$A$4919,$A1300)</f>
        <v/>
      </c>
      <c r="F1300" s="4">
        <f>SUMIFS('DETALLE CRONOLÓGICO'!$I$2:$I$4919,'DETALLE CRONOLÓGICO'!$A$2:$A$4919,$A1300)</f>
        <v/>
      </c>
      <c r="G1300" s="1">
        <f>INDEX('DETALLE CRONOLÓGICO'!$D$2:$D$4919,MATCH($A1300,'DETALLE CRONOLÓGICO'!$A$2:$A$4919,0))</f>
        <v/>
      </c>
      <c r="H1300" s="1">
        <f>INDEX('DETALLE CRONOLÓGICO'!$D$2:$D$4919,MATCH($A1300,'DETALLE CRONOLÓGICO'!$A$2:$A$4919,0)+$E1300-1)</f>
        <v/>
      </c>
      <c r="I1300" s="5">
        <f>IFERROR(SUMIFS('DETALLE CRONOLÓGICO'!$L$2:$L$4919,'DETALLE CRONOLÓGICO'!$A$2:$A$4919,$A1300)/$F1300,"")</f>
        <v/>
      </c>
      <c r="J1300" s="6">
        <f>IFERROR(SUMIFS('DETALLE CRONOLÓGICO'!$K$2:$K$4919,'DETALLE CRONOLÓGICO'!$A$2:$A$4919,$A1300)/$E1300,"")</f>
        <v/>
      </c>
      <c r="K1300" s="6">
        <f>_xlfn.MINIFS('DETALLE CRONOLÓGICO'!$K$2:$K$4919,'DETALLE CRONOLÓGICO'!$A$2:$A$4919,$A1300)</f>
        <v/>
      </c>
      <c r="L1300" s="6">
        <f>_xlfn.MAXIFS('DETALLE CRONOLÓGICO'!$K$2:$K$4919,'DETALLE CRONOLÓGICO'!$A$2:$A$4919,$A1300)</f>
        <v/>
      </c>
      <c r="M1300" s="6">
        <f>INDEX('DETALLE CRONOLÓGICO'!$K$2:$K$4919,MATCH($A1300,'DETALLE CRONOLÓGICO'!$A$2:$A$4919,0)+$E1300-1)</f>
        <v/>
      </c>
      <c r="N1300" s="7">
        <f>IFERROR($M1300/INDEX('DETALLE CRONOLÓGICO'!$K$2:$K$4919,MATCH($A1300,'DETALLE CRONOLÓGICO'!$A$2:$A$4919,0))-1,"")</f>
        <v/>
      </c>
      <c r="O1300" s="6">
        <f>IFERROR($I1300*3,"")</f>
        <v/>
      </c>
      <c r="P1300" s="6">
        <f>IFERROR($I1300*3.5,"")</f>
        <v/>
      </c>
      <c r="Q1300" s="6">
        <f>IFERROR($I1300*4,"")</f>
        <v/>
      </c>
      <c r="R1300" s="6" t="n">
        <v>1625</v>
      </c>
      <c r="S1300" s="4" t="n">
        <v>4</v>
      </c>
      <c r="T1300" s="1" t="inlineStr">
        <is>
          <t>active</t>
        </is>
      </c>
      <c r="U1300" s="8" t="n"/>
      <c r="V1300" s="1" t="inlineStr">
        <is>
          <t>SIN PRECIO</t>
        </is>
      </c>
    </row>
    <row r="1301">
      <c r="A1301" s="1" t="inlineStr">
        <is>
          <t>654bdbd5ab77d</t>
        </is>
      </c>
      <c r="B1301" s="1" t="inlineStr">
        <is>
          <t>BOLSO CC BOY MINI BLACK</t>
        </is>
      </c>
      <c r="C1301" s="1" t="inlineStr">
        <is>
          <t>24.8cm de largo x 16cm de alto x 7.5cm de ancho</t>
        </is>
      </c>
      <c r="D1301" s="1" t="inlineStr">
        <is>
          <t>DINA DU</t>
        </is>
      </c>
      <c r="E1301" s="4">
        <f>COUNTIF('DETALLE CRONOLÓGICO'!$A$2:$A$4919,$A1301)</f>
        <v/>
      </c>
      <c r="F1301" s="4">
        <f>SUMIFS('DETALLE CRONOLÓGICO'!$I$2:$I$4919,'DETALLE CRONOLÓGICO'!$A$2:$A$4919,$A1301)</f>
        <v/>
      </c>
      <c r="G1301" s="1">
        <f>INDEX('DETALLE CRONOLÓGICO'!$D$2:$D$4919,MATCH($A1301,'DETALLE CRONOLÓGICO'!$A$2:$A$4919,0))</f>
        <v/>
      </c>
      <c r="H1301" s="1">
        <f>INDEX('DETALLE CRONOLÓGICO'!$D$2:$D$4919,MATCH($A1301,'DETALLE CRONOLÓGICO'!$A$2:$A$4919,0)+$E1301-1)</f>
        <v/>
      </c>
      <c r="I1301" s="5">
        <f>IFERROR(SUMIFS('DETALLE CRONOLÓGICO'!$L$2:$L$4919,'DETALLE CRONOLÓGICO'!$A$2:$A$4919,$A1301)/$F1301,"")</f>
        <v/>
      </c>
      <c r="J1301" s="6">
        <f>IFERROR(SUMIFS('DETALLE CRONOLÓGICO'!$K$2:$K$4919,'DETALLE CRONOLÓGICO'!$A$2:$A$4919,$A1301)/$E1301,"")</f>
        <v/>
      </c>
      <c r="K1301" s="6">
        <f>_xlfn.MINIFS('DETALLE CRONOLÓGICO'!$K$2:$K$4919,'DETALLE CRONOLÓGICO'!$A$2:$A$4919,$A1301)</f>
        <v/>
      </c>
      <c r="L1301" s="6">
        <f>_xlfn.MAXIFS('DETALLE CRONOLÓGICO'!$K$2:$K$4919,'DETALLE CRONOLÓGICO'!$A$2:$A$4919,$A1301)</f>
        <v/>
      </c>
      <c r="M1301" s="6">
        <f>INDEX('DETALLE CRONOLÓGICO'!$K$2:$K$4919,MATCH($A1301,'DETALLE CRONOLÓGICO'!$A$2:$A$4919,0)+$E1301-1)</f>
        <v/>
      </c>
      <c r="N1301" s="7">
        <f>IFERROR($M1301/INDEX('DETALLE CRONOLÓGICO'!$K$2:$K$4919,MATCH($A1301,'DETALLE CRONOLÓGICO'!$A$2:$A$4919,0))-1,"")</f>
        <v/>
      </c>
      <c r="O1301" s="6">
        <f>IFERROR($I1301*3,"")</f>
        <v/>
      </c>
      <c r="P1301" s="6">
        <f>IFERROR($I1301*3.5,"")</f>
        <v/>
      </c>
      <c r="Q1301" s="6">
        <f>IFERROR($I1301*4,"")</f>
        <v/>
      </c>
      <c r="R1301" s="6" t="n">
        <v>1625</v>
      </c>
      <c r="S1301" s="4" t="n">
        <v>0</v>
      </c>
      <c r="T1301" s="1" t="inlineStr">
        <is>
          <t>active</t>
        </is>
      </c>
      <c r="U1301" s="8" t="n"/>
      <c r="V1301" s="1" t="inlineStr">
        <is>
          <t>SIN PRECIO</t>
        </is>
      </c>
    </row>
    <row r="1302">
      <c r="A1302" s="1" t="inlineStr">
        <is>
          <t>654bdbd8c9587</t>
        </is>
      </c>
      <c r="B1302" s="1" t="inlineStr">
        <is>
          <t>GORRA C WHITE</t>
        </is>
      </c>
      <c r="C1302" s="1" t="inlineStr">
        <is>
          <t>M (AJUSTABLE)</t>
        </is>
      </c>
      <c r="D1302" s="1" t="inlineStr">
        <is>
          <t>ZOEY</t>
        </is>
      </c>
      <c r="E1302" s="4">
        <f>COUNTIF('DETALLE CRONOLÓGICO'!$A$2:$A$4919,$A1302)</f>
        <v/>
      </c>
      <c r="F1302" s="4">
        <f>SUMIFS('DETALLE CRONOLÓGICO'!$I$2:$I$4919,'DETALLE CRONOLÓGICO'!$A$2:$A$4919,$A1302)</f>
        <v/>
      </c>
      <c r="G1302" s="1">
        <f>INDEX('DETALLE CRONOLÓGICO'!$D$2:$D$4919,MATCH($A1302,'DETALLE CRONOLÓGICO'!$A$2:$A$4919,0))</f>
        <v/>
      </c>
      <c r="H1302" s="1">
        <f>INDEX('DETALLE CRONOLÓGICO'!$D$2:$D$4919,MATCH($A1302,'DETALLE CRONOLÓGICO'!$A$2:$A$4919,0)+$E1302-1)</f>
        <v/>
      </c>
      <c r="I1302" s="5">
        <f>IFERROR(SUMIFS('DETALLE CRONOLÓGICO'!$L$2:$L$4919,'DETALLE CRONOLÓGICO'!$A$2:$A$4919,$A1302)/$F1302,"")</f>
        <v/>
      </c>
      <c r="J1302" s="6">
        <f>IFERROR(SUMIFS('DETALLE CRONOLÓGICO'!$K$2:$K$4919,'DETALLE CRONOLÓGICO'!$A$2:$A$4919,$A1302)/$E1302,"")</f>
        <v/>
      </c>
      <c r="K1302" s="6">
        <f>_xlfn.MINIFS('DETALLE CRONOLÓGICO'!$K$2:$K$4919,'DETALLE CRONOLÓGICO'!$A$2:$A$4919,$A1302)</f>
        <v/>
      </c>
      <c r="L1302" s="6">
        <f>_xlfn.MAXIFS('DETALLE CRONOLÓGICO'!$K$2:$K$4919,'DETALLE CRONOLÓGICO'!$A$2:$A$4919,$A1302)</f>
        <v/>
      </c>
      <c r="M1302" s="6">
        <f>INDEX('DETALLE CRONOLÓGICO'!$K$2:$K$4919,MATCH($A1302,'DETALLE CRONOLÓGICO'!$A$2:$A$4919,0)+$E1302-1)</f>
        <v/>
      </c>
      <c r="N1302" s="7">
        <f>IFERROR($M1302/INDEX('DETALLE CRONOLÓGICO'!$K$2:$K$4919,MATCH($A1302,'DETALLE CRONOLÓGICO'!$A$2:$A$4919,0))-1,"")</f>
        <v/>
      </c>
      <c r="O1302" s="6">
        <f>IFERROR($I1302*3,"")</f>
        <v/>
      </c>
      <c r="P1302" s="6">
        <f>IFERROR($I1302*3.5,"")</f>
        <v/>
      </c>
      <c r="Q1302" s="6">
        <f>IFERROR($I1302*4,"")</f>
        <v/>
      </c>
      <c r="R1302" s="6" t="n">
        <v>1859</v>
      </c>
      <c r="S1302" s="4" t="n">
        <v>5</v>
      </c>
      <c r="T1302" s="1" t="inlineStr">
        <is>
          <t>active</t>
        </is>
      </c>
      <c r="U1302" s="8" t="n"/>
      <c r="V1302" s="1" t="inlineStr">
        <is>
          <t>SIN PRECIO</t>
        </is>
      </c>
    </row>
    <row r="1303">
      <c r="A1303" s="1" t="inlineStr">
        <is>
          <t>654bdbdb26372</t>
        </is>
      </c>
      <c r="B1303" s="1" t="inlineStr">
        <is>
          <t>BOLSA CC WHITE</t>
        </is>
      </c>
      <c r="C1303" s="1" t="inlineStr">
        <is>
          <t>17cmx24cm</t>
        </is>
      </c>
      <c r="D1303" s="1" t="inlineStr">
        <is>
          <t>DINA DU</t>
        </is>
      </c>
      <c r="E1303" s="4">
        <f>COUNTIF('DETALLE CRONOLÓGICO'!$A$2:$A$4919,$A1303)</f>
        <v/>
      </c>
      <c r="F1303" s="4">
        <f>SUMIFS('DETALLE CRONOLÓGICO'!$I$2:$I$4919,'DETALLE CRONOLÓGICO'!$A$2:$A$4919,$A1303)</f>
        <v/>
      </c>
      <c r="G1303" s="1">
        <f>INDEX('DETALLE CRONOLÓGICO'!$D$2:$D$4919,MATCH($A1303,'DETALLE CRONOLÓGICO'!$A$2:$A$4919,0))</f>
        <v/>
      </c>
      <c r="H1303" s="1">
        <f>INDEX('DETALLE CRONOLÓGICO'!$D$2:$D$4919,MATCH($A1303,'DETALLE CRONOLÓGICO'!$A$2:$A$4919,0)+$E1303-1)</f>
        <v/>
      </c>
      <c r="I1303" s="5">
        <f>IFERROR(SUMIFS('DETALLE CRONOLÓGICO'!$L$2:$L$4919,'DETALLE CRONOLÓGICO'!$A$2:$A$4919,$A1303)/$F1303,"")</f>
        <v/>
      </c>
      <c r="J1303" s="6">
        <f>IFERROR(SUMIFS('DETALLE CRONOLÓGICO'!$K$2:$K$4919,'DETALLE CRONOLÓGICO'!$A$2:$A$4919,$A1303)/$E1303,"")</f>
        <v/>
      </c>
      <c r="K1303" s="6">
        <f>_xlfn.MINIFS('DETALLE CRONOLÓGICO'!$K$2:$K$4919,'DETALLE CRONOLÓGICO'!$A$2:$A$4919,$A1303)</f>
        <v/>
      </c>
      <c r="L1303" s="6">
        <f>_xlfn.MAXIFS('DETALLE CRONOLÓGICO'!$K$2:$K$4919,'DETALLE CRONOLÓGICO'!$A$2:$A$4919,$A1303)</f>
        <v/>
      </c>
      <c r="M1303" s="6">
        <f>INDEX('DETALLE CRONOLÓGICO'!$K$2:$K$4919,MATCH($A1303,'DETALLE CRONOLÓGICO'!$A$2:$A$4919,0)+$E1303-1)</f>
        <v/>
      </c>
      <c r="N1303" s="7">
        <f>IFERROR($M1303/INDEX('DETALLE CRONOLÓGICO'!$K$2:$K$4919,MATCH($A1303,'DETALLE CRONOLÓGICO'!$A$2:$A$4919,0))-1,"")</f>
        <v/>
      </c>
      <c r="O1303" s="6">
        <f>IFERROR($I1303*3,"")</f>
        <v/>
      </c>
      <c r="P1303" s="6">
        <f>IFERROR($I1303*3.5,"")</f>
        <v/>
      </c>
      <c r="Q1303" s="6">
        <f>IFERROR($I1303*4,"")</f>
        <v/>
      </c>
      <c r="R1303" s="6" t="n">
        <v>1950</v>
      </c>
      <c r="S1303" s="4" t="n">
        <v>0</v>
      </c>
      <c r="T1303" s="1" t="inlineStr">
        <is>
          <t>active</t>
        </is>
      </c>
      <c r="U1303" s="8" t="n"/>
      <c r="V1303" s="1" t="inlineStr">
        <is>
          <t>SIN PRECIO</t>
        </is>
      </c>
    </row>
    <row r="1304">
      <c r="A1304" s="1" t="inlineStr">
        <is>
          <t>654bdc38b0ca9</t>
        </is>
      </c>
      <c r="B1304" s="1" t="inlineStr">
        <is>
          <t>BOLSO YSL CON CADENA RED</t>
        </is>
      </c>
      <c r="C1304" s="1" t="inlineStr">
        <is>
          <t>17.5cm de alto x 23.5cm de largo x 6cm de ancho</t>
        </is>
      </c>
      <c r="D1304" s="1" t="inlineStr">
        <is>
          <t>DINA DU</t>
        </is>
      </c>
      <c r="E1304" s="4">
        <f>COUNTIF('DETALLE CRONOLÓGICO'!$A$2:$A$4919,$A1304)</f>
        <v/>
      </c>
      <c r="F1304" s="4">
        <f>SUMIFS('DETALLE CRONOLÓGICO'!$I$2:$I$4919,'DETALLE CRONOLÓGICO'!$A$2:$A$4919,$A1304)</f>
        <v/>
      </c>
      <c r="G1304" s="1">
        <f>INDEX('DETALLE CRONOLÓGICO'!$D$2:$D$4919,MATCH($A1304,'DETALLE CRONOLÓGICO'!$A$2:$A$4919,0))</f>
        <v/>
      </c>
      <c r="H1304" s="1">
        <f>INDEX('DETALLE CRONOLÓGICO'!$D$2:$D$4919,MATCH($A1304,'DETALLE CRONOLÓGICO'!$A$2:$A$4919,0)+$E1304-1)</f>
        <v/>
      </c>
      <c r="I1304" s="5">
        <f>IFERROR(SUMIFS('DETALLE CRONOLÓGICO'!$L$2:$L$4919,'DETALLE CRONOLÓGICO'!$A$2:$A$4919,$A1304)/$F1304,"")</f>
        <v/>
      </c>
      <c r="J1304" s="6">
        <f>IFERROR(SUMIFS('DETALLE CRONOLÓGICO'!$K$2:$K$4919,'DETALLE CRONOLÓGICO'!$A$2:$A$4919,$A1304)/$E1304,"")</f>
        <v/>
      </c>
      <c r="K1304" s="6">
        <f>_xlfn.MINIFS('DETALLE CRONOLÓGICO'!$K$2:$K$4919,'DETALLE CRONOLÓGICO'!$A$2:$A$4919,$A1304)</f>
        <v/>
      </c>
      <c r="L1304" s="6">
        <f>_xlfn.MAXIFS('DETALLE CRONOLÓGICO'!$K$2:$K$4919,'DETALLE CRONOLÓGICO'!$A$2:$A$4919,$A1304)</f>
        <v/>
      </c>
      <c r="M1304" s="6">
        <f>INDEX('DETALLE CRONOLÓGICO'!$K$2:$K$4919,MATCH($A1304,'DETALLE CRONOLÓGICO'!$A$2:$A$4919,0)+$E1304-1)</f>
        <v/>
      </c>
      <c r="N1304" s="7">
        <f>IFERROR($M1304/INDEX('DETALLE CRONOLÓGICO'!$K$2:$K$4919,MATCH($A1304,'DETALLE CRONOLÓGICO'!$A$2:$A$4919,0))-1,"")</f>
        <v/>
      </c>
      <c r="O1304" s="6">
        <f>IFERROR($I1304*3,"")</f>
        <v/>
      </c>
      <c r="P1304" s="6">
        <f>IFERROR($I1304*3.5,"")</f>
        <v/>
      </c>
      <c r="Q1304" s="6">
        <f>IFERROR($I1304*4,"")</f>
        <v/>
      </c>
      <c r="R1304" s="6" t="n">
        <v>3899</v>
      </c>
      <c r="S1304" s="4" t="n">
        <v>0</v>
      </c>
      <c r="T1304" s="1" t="inlineStr">
        <is>
          <t>draft</t>
        </is>
      </c>
      <c r="U1304" s="8" t="n"/>
      <c r="V1304" s="1" t="inlineStr">
        <is>
          <t>SIN PRECIO</t>
        </is>
      </c>
    </row>
    <row r="1305">
      <c r="A1305" s="1" t="inlineStr">
        <is>
          <t>654bdc4220c7b</t>
        </is>
      </c>
      <c r="B1305" s="1" t="inlineStr">
        <is>
          <t>BOLSO DE VIAJE BLACK PÉGASE LV</t>
        </is>
      </c>
      <c r="C1305" s="1" t="inlineStr">
        <is>
          <t>54cm de largo x 37cm de alto x 26cm de ancho</t>
        </is>
      </c>
      <c r="D1305" s="1" t="inlineStr">
        <is>
          <t>CYNTHIA</t>
        </is>
      </c>
      <c r="E1305" s="4">
        <f>COUNTIF('DETALLE CRONOLÓGICO'!$A$2:$A$4919,$A1305)</f>
        <v/>
      </c>
      <c r="F1305" s="4">
        <f>SUMIFS('DETALLE CRONOLÓGICO'!$I$2:$I$4919,'DETALLE CRONOLÓGICO'!$A$2:$A$4919,$A1305)</f>
        <v/>
      </c>
      <c r="G1305" s="1">
        <f>INDEX('DETALLE CRONOLÓGICO'!$D$2:$D$4919,MATCH($A1305,'DETALLE CRONOLÓGICO'!$A$2:$A$4919,0))</f>
        <v/>
      </c>
      <c r="H1305" s="1">
        <f>INDEX('DETALLE CRONOLÓGICO'!$D$2:$D$4919,MATCH($A1305,'DETALLE CRONOLÓGICO'!$A$2:$A$4919,0)+$E1305-1)</f>
        <v/>
      </c>
      <c r="I1305" s="5">
        <f>IFERROR(SUMIFS('DETALLE CRONOLÓGICO'!$L$2:$L$4919,'DETALLE CRONOLÓGICO'!$A$2:$A$4919,$A1305)/$F1305,"")</f>
        <v/>
      </c>
      <c r="J1305" s="6">
        <f>IFERROR(SUMIFS('DETALLE CRONOLÓGICO'!$K$2:$K$4919,'DETALLE CRONOLÓGICO'!$A$2:$A$4919,$A1305)/$E1305,"")</f>
        <v/>
      </c>
      <c r="K1305" s="6">
        <f>_xlfn.MINIFS('DETALLE CRONOLÓGICO'!$K$2:$K$4919,'DETALLE CRONOLÓGICO'!$A$2:$A$4919,$A1305)</f>
        <v/>
      </c>
      <c r="L1305" s="6">
        <f>_xlfn.MAXIFS('DETALLE CRONOLÓGICO'!$K$2:$K$4919,'DETALLE CRONOLÓGICO'!$A$2:$A$4919,$A1305)</f>
        <v/>
      </c>
      <c r="M1305" s="6">
        <f>INDEX('DETALLE CRONOLÓGICO'!$K$2:$K$4919,MATCH($A1305,'DETALLE CRONOLÓGICO'!$A$2:$A$4919,0)+$E1305-1)</f>
        <v/>
      </c>
      <c r="N1305" s="7">
        <f>IFERROR($M1305/INDEX('DETALLE CRONOLÓGICO'!$K$2:$K$4919,MATCH($A1305,'DETALLE CRONOLÓGICO'!$A$2:$A$4919,0))-1,"")</f>
        <v/>
      </c>
      <c r="O1305" s="6">
        <f>IFERROR($I1305*3,"")</f>
        <v/>
      </c>
      <c r="P1305" s="6">
        <f>IFERROR($I1305*3.5,"")</f>
        <v/>
      </c>
      <c r="Q1305" s="6">
        <f>IFERROR($I1305*4,"")</f>
        <v/>
      </c>
      <c r="R1305" s="6" t="n">
        <v>6000</v>
      </c>
      <c r="S1305" s="4" t="n">
        <v>0</v>
      </c>
      <c r="T1305" s="1" t="inlineStr">
        <is>
          <t>active</t>
        </is>
      </c>
      <c r="U1305" s="8" t="n"/>
      <c r="V1305" s="1" t="inlineStr">
        <is>
          <t>SIN PRECIO</t>
        </is>
      </c>
    </row>
    <row r="1306">
      <c r="A1306" s="1" t="inlineStr">
        <is>
          <t>654bdc44be732</t>
        </is>
      </c>
      <c r="B1306" s="1" t="inlineStr">
        <is>
          <t>BOLSO LV PÉGASE BLACK</t>
        </is>
      </c>
      <c r="C1306" s="1" t="inlineStr">
        <is>
          <t>25.5cm de largo x 26cm de alto x 6.cm de ancho</t>
        </is>
      </c>
      <c r="D1306" s="1" t="inlineStr">
        <is>
          <t>DINA DU</t>
        </is>
      </c>
      <c r="E1306" s="4">
        <f>COUNTIF('DETALLE CRONOLÓGICO'!$A$2:$A$4919,$A1306)</f>
        <v/>
      </c>
      <c r="F1306" s="4">
        <f>SUMIFS('DETALLE CRONOLÓGICO'!$I$2:$I$4919,'DETALLE CRONOLÓGICO'!$A$2:$A$4919,$A1306)</f>
        <v/>
      </c>
      <c r="G1306" s="1">
        <f>INDEX('DETALLE CRONOLÓGICO'!$D$2:$D$4919,MATCH($A1306,'DETALLE CRONOLÓGICO'!$A$2:$A$4919,0))</f>
        <v/>
      </c>
      <c r="H1306" s="1">
        <f>INDEX('DETALLE CRONOLÓGICO'!$D$2:$D$4919,MATCH($A1306,'DETALLE CRONOLÓGICO'!$A$2:$A$4919,0)+$E1306-1)</f>
        <v/>
      </c>
      <c r="I1306" s="5">
        <f>IFERROR(SUMIFS('DETALLE CRONOLÓGICO'!$L$2:$L$4919,'DETALLE CRONOLÓGICO'!$A$2:$A$4919,$A1306)/$F1306,"")</f>
        <v/>
      </c>
      <c r="J1306" s="6">
        <f>IFERROR(SUMIFS('DETALLE CRONOLÓGICO'!$K$2:$K$4919,'DETALLE CRONOLÓGICO'!$A$2:$A$4919,$A1306)/$E1306,"")</f>
        <v/>
      </c>
      <c r="K1306" s="6">
        <f>_xlfn.MINIFS('DETALLE CRONOLÓGICO'!$K$2:$K$4919,'DETALLE CRONOLÓGICO'!$A$2:$A$4919,$A1306)</f>
        <v/>
      </c>
      <c r="L1306" s="6">
        <f>_xlfn.MAXIFS('DETALLE CRONOLÓGICO'!$K$2:$K$4919,'DETALLE CRONOLÓGICO'!$A$2:$A$4919,$A1306)</f>
        <v/>
      </c>
      <c r="M1306" s="6">
        <f>INDEX('DETALLE CRONOLÓGICO'!$K$2:$K$4919,MATCH($A1306,'DETALLE CRONOLÓGICO'!$A$2:$A$4919,0)+$E1306-1)</f>
        <v/>
      </c>
      <c r="N1306" s="7">
        <f>IFERROR($M1306/INDEX('DETALLE CRONOLÓGICO'!$K$2:$K$4919,MATCH($A1306,'DETALLE CRONOLÓGICO'!$A$2:$A$4919,0))-1,"")</f>
        <v/>
      </c>
      <c r="O1306" s="6">
        <f>IFERROR($I1306*3,"")</f>
        <v/>
      </c>
      <c r="P1306" s="6">
        <f>IFERROR($I1306*3.5,"")</f>
        <v/>
      </c>
      <c r="Q1306" s="6">
        <f>IFERROR($I1306*4,"")</f>
        <v/>
      </c>
      <c r="R1306" s="6" t="n">
        <v>1299</v>
      </c>
      <c r="S1306" s="4" t="n">
        <v>1</v>
      </c>
      <c r="T1306" s="1" t="inlineStr">
        <is>
          <t>active</t>
        </is>
      </c>
      <c r="U1306" s="8" t="n"/>
      <c r="V1306" s="1" t="inlineStr">
        <is>
          <t>SIN PRECIO</t>
        </is>
      </c>
    </row>
    <row r="1307">
      <c r="A1307" s="1" t="inlineStr">
        <is>
          <t>654bdc4810167</t>
        </is>
      </c>
      <c r="B1307" s="1" t="inlineStr">
        <is>
          <t>BOLSO CC BLACK SILVER</t>
        </is>
      </c>
      <c r="C1307" s="1" t="inlineStr">
        <is>
          <t>16cm de alto x 25cm de largo x 7cm de ancho</t>
        </is>
      </c>
      <c r="D1307" s="1" t="inlineStr">
        <is>
          <t>CYNTHIA</t>
        </is>
      </c>
      <c r="E1307" s="4">
        <f>COUNTIF('DETALLE CRONOLÓGICO'!$A$2:$A$4919,$A1307)</f>
        <v/>
      </c>
      <c r="F1307" s="4">
        <f>SUMIFS('DETALLE CRONOLÓGICO'!$I$2:$I$4919,'DETALLE CRONOLÓGICO'!$A$2:$A$4919,$A1307)</f>
        <v/>
      </c>
      <c r="G1307" s="1">
        <f>INDEX('DETALLE CRONOLÓGICO'!$D$2:$D$4919,MATCH($A1307,'DETALLE CRONOLÓGICO'!$A$2:$A$4919,0))</f>
        <v/>
      </c>
      <c r="H1307" s="1">
        <f>INDEX('DETALLE CRONOLÓGICO'!$D$2:$D$4919,MATCH($A1307,'DETALLE CRONOLÓGICO'!$A$2:$A$4919,0)+$E1307-1)</f>
        <v/>
      </c>
      <c r="I1307" s="5">
        <f>IFERROR(SUMIFS('DETALLE CRONOLÓGICO'!$L$2:$L$4919,'DETALLE CRONOLÓGICO'!$A$2:$A$4919,$A1307)/$F1307,"")</f>
        <v/>
      </c>
      <c r="J1307" s="6">
        <f>IFERROR(SUMIFS('DETALLE CRONOLÓGICO'!$K$2:$K$4919,'DETALLE CRONOLÓGICO'!$A$2:$A$4919,$A1307)/$E1307,"")</f>
        <v/>
      </c>
      <c r="K1307" s="6">
        <f>_xlfn.MINIFS('DETALLE CRONOLÓGICO'!$K$2:$K$4919,'DETALLE CRONOLÓGICO'!$A$2:$A$4919,$A1307)</f>
        <v/>
      </c>
      <c r="L1307" s="6">
        <f>_xlfn.MAXIFS('DETALLE CRONOLÓGICO'!$K$2:$K$4919,'DETALLE CRONOLÓGICO'!$A$2:$A$4919,$A1307)</f>
        <v/>
      </c>
      <c r="M1307" s="6">
        <f>INDEX('DETALLE CRONOLÓGICO'!$K$2:$K$4919,MATCH($A1307,'DETALLE CRONOLÓGICO'!$A$2:$A$4919,0)+$E1307-1)</f>
        <v/>
      </c>
      <c r="N1307" s="7">
        <f>IFERROR($M1307/INDEX('DETALLE CRONOLÓGICO'!$K$2:$K$4919,MATCH($A1307,'DETALLE CRONOLÓGICO'!$A$2:$A$4919,0))-1,"")</f>
        <v/>
      </c>
      <c r="O1307" s="6">
        <f>IFERROR($I1307*3,"")</f>
        <v/>
      </c>
      <c r="P1307" s="6">
        <f>IFERROR($I1307*3.5,"")</f>
        <v/>
      </c>
      <c r="Q1307" s="6">
        <f>IFERROR($I1307*4,"")</f>
        <v/>
      </c>
      <c r="R1307" s="6" t="n">
        <v>5730</v>
      </c>
      <c r="S1307" s="4" t="n">
        <v>0</v>
      </c>
      <c r="T1307" s="1" t="inlineStr">
        <is>
          <t>active</t>
        </is>
      </c>
      <c r="U1307" s="8" t="n"/>
      <c r="V1307" s="1" t="inlineStr">
        <is>
          <t>SIN PRECIO</t>
        </is>
      </c>
    </row>
    <row r="1308">
      <c r="A1308" s="1" t="inlineStr">
        <is>
          <t>65654871016909</t>
        </is>
      </c>
      <c r="B1308" s="1" t="inlineStr">
        <is>
          <t>ANILLO LV SELLO SILVER-9</t>
        </is>
      </c>
      <c r="C1308" s="1" t="n">
        <v>9</v>
      </c>
      <c r="D1308" s="1" t="inlineStr">
        <is>
          <t>HAIFENG</t>
        </is>
      </c>
      <c r="E1308" s="4">
        <f>COUNTIF('DETALLE CRONOLÓGICO'!$A$2:$A$4919,$A1308)</f>
        <v/>
      </c>
      <c r="F1308" s="4">
        <f>SUMIFS('DETALLE CRONOLÓGICO'!$I$2:$I$4919,'DETALLE CRONOLÓGICO'!$A$2:$A$4919,$A1308)</f>
        <v/>
      </c>
      <c r="G1308" s="1">
        <f>INDEX('DETALLE CRONOLÓGICO'!$D$2:$D$4919,MATCH($A1308,'DETALLE CRONOLÓGICO'!$A$2:$A$4919,0))</f>
        <v/>
      </c>
      <c r="H1308" s="1">
        <f>INDEX('DETALLE CRONOLÓGICO'!$D$2:$D$4919,MATCH($A1308,'DETALLE CRONOLÓGICO'!$A$2:$A$4919,0)+$E1308-1)</f>
        <v/>
      </c>
      <c r="I1308" s="5">
        <f>IFERROR(SUMIFS('DETALLE CRONOLÓGICO'!$L$2:$L$4919,'DETALLE CRONOLÓGICO'!$A$2:$A$4919,$A1308)/$F1308,"")</f>
        <v/>
      </c>
      <c r="J1308" s="6">
        <f>IFERROR(SUMIFS('DETALLE CRONOLÓGICO'!$K$2:$K$4919,'DETALLE CRONOLÓGICO'!$A$2:$A$4919,$A1308)/$E1308,"")</f>
        <v/>
      </c>
      <c r="K1308" s="6">
        <f>_xlfn.MINIFS('DETALLE CRONOLÓGICO'!$K$2:$K$4919,'DETALLE CRONOLÓGICO'!$A$2:$A$4919,$A1308)</f>
        <v/>
      </c>
      <c r="L1308" s="6">
        <f>_xlfn.MAXIFS('DETALLE CRONOLÓGICO'!$K$2:$K$4919,'DETALLE CRONOLÓGICO'!$A$2:$A$4919,$A1308)</f>
        <v/>
      </c>
      <c r="M1308" s="6">
        <f>INDEX('DETALLE CRONOLÓGICO'!$K$2:$K$4919,MATCH($A1308,'DETALLE CRONOLÓGICO'!$A$2:$A$4919,0)+$E1308-1)</f>
        <v/>
      </c>
      <c r="N1308" s="7">
        <f>IFERROR($M1308/INDEX('DETALLE CRONOLÓGICO'!$K$2:$K$4919,MATCH($A1308,'DETALLE CRONOLÓGICO'!$A$2:$A$4919,0))-1,"")</f>
        <v/>
      </c>
      <c r="O1308" s="6">
        <f>IFERROR($I1308*3,"")</f>
        <v/>
      </c>
      <c r="P1308" s="6">
        <f>IFERROR($I1308*3.5,"")</f>
        <v/>
      </c>
      <c r="Q1308" s="6">
        <f>IFERROR($I1308*4,"")</f>
        <v/>
      </c>
      <c r="R1308" s="6" t="n">
        <v>525</v>
      </c>
      <c r="S1308" s="4" t="n">
        <v>0</v>
      </c>
      <c r="T1308" s="1" t="inlineStr">
        <is>
          <t>active</t>
        </is>
      </c>
      <c r="U1308" s="8" t="n"/>
      <c r="V1308" s="1" t="inlineStr">
        <is>
          <t>SIN PRECIO</t>
        </is>
      </c>
    </row>
    <row r="1309">
      <c r="A1309" s="1" t="inlineStr">
        <is>
          <t>65786751076141</t>
        </is>
      </c>
      <c r="B1309" s="1" t="inlineStr">
        <is>
          <t>COLLAR POP H SILVER WHITE</t>
        </is>
      </c>
      <c r="C1309" s="1" t="inlineStr">
        <is>
          <t>MEDIUM QUALITY</t>
        </is>
      </c>
      <c r="D1309" s="1" t="inlineStr">
        <is>
          <t>NANCY</t>
        </is>
      </c>
      <c r="E1309" s="4">
        <f>COUNTIF('DETALLE CRONOLÓGICO'!$A$2:$A$4919,$A1309)</f>
        <v/>
      </c>
      <c r="F1309" s="4">
        <f>SUMIFS('DETALLE CRONOLÓGICO'!$I$2:$I$4919,'DETALLE CRONOLÓGICO'!$A$2:$A$4919,$A1309)</f>
        <v/>
      </c>
      <c r="G1309" s="1">
        <f>INDEX('DETALLE CRONOLÓGICO'!$D$2:$D$4919,MATCH($A1309,'DETALLE CRONOLÓGICO'!$A$2:$A$4919,0))</f>
        <v/>
      </c>
      <c r="H1309" s="1">
        <f>INDEX('DETALLE CRONOLÓGICO'!$D$2:$D$4919,MATCH($A1309,'DETALLE CRONOLÓGICO'!$A$2:$A$4919,0)+$E1309-1)</f>
        <v/>
      </c>
      <c r="I1309" s="5">
        <f>IFERROR(SUMIFS('DETALLE CRONOLÓGICO'!$L$2:$L$4919,'DETALLE CRONOLÓGICO'!$A$2:$A$4919,$A1309)/$F1309,"")</f>
        <v/>
      </c>
      <c r="J1309" s="6">
        <f>IFERROR(SUMIFS('DETALLE CRONOLÓGICO'!$K$2:$K$4919,'DETALLE CRONOLÓGICO'!$A$2:$A$4919,$A1309)/$E1309,"")</f>
        <v/>
      </c>
      <c r="K1309" s="6">
        <f>_xlfn.MINIFS('DETALLE CRONOLÓGICO'!$K$2:$K$4919,'DETALLE CRONOLÓGICO'!$A$2:$A$4919,$A1309)</f>
        <v/>
      </c>
      <c r="L1309" s="6">
        <f>_xlfn.MAXIFS('DETALLE CRONOLÓGICO'!$K$2:$K$4919,'DETALLE CRONOLÓGICO'!$A$2:$A$4919,$A1309)</f>
        <v/>
      </c>
      <c r="M1309" s="6">
        <f>INDEX('DETALLE CRONOLÓGICO'!$K$2:$K$4919,MATCH($A1309,'DETALLE CRONOLÓGICO'!$A$2:$A$4919,0)+$E1309-1)</f>
        <v/>
      </c>
      <c r="N1309" s="7">
        <f>IFERROR($M1309/INDEX('DETALLE CRONOLÓGICO'!$K$2:$K$4919,MATCH($A1309,'DETALLE CRONOLÓGICO'!$A$2:$A$4919,0))-1,"")</f>
        <v/>
      </c>
      <c r="O1309" s="6">
        <f>IFERROR($I1309*3,"")</f>
        <v/>
      </c>
      <c r="P1309" s="6">
        <f>IFERROR($I1309*3.5,"")</f>
        <v/>
      </c>
      <c r="Q1309" s="6">
        <f>IFERROR($I1309*4,"")</f>
        <v/>
      </c>
      <c r="R1309" s="6" t="n">
        <v>499</v>
      </c>
      <c r="S1309" s="4" t="n">
        <v>2</v>
      </c>
      <c r="T1309" s="1" t="inlineStr">
        <is>
          <t>active</t>
        </is>
      </c>
      <c r="U1309" s="8" t="n"/>
      <c r="V1309" s="1" t="inlineStr">
        <is>
          <t>SIN PRECIO</t>
        </is>
      </c>
    </row>
    <row r="1310">
      <c r="A1310" s="1" t="inlineStr">
        <is>
          <t>66009451058221</t>
        </is>
      </c>
      <c r="B1310" s="1" t="inlineStr">
        <is>
          <t>ANILLO BV BROWN</t>
        </is>
      </c>
      <c r="C1310" s="1" t="inlineStr">
        <is>
          <t>6</t>
        </is>
      </c>
      <c r="D1310" s="1" t="inlineStr">
        <is>
          <t>HAIFENG</t>
        </is>
      </c>
      <c r="E1310" s="4">
        <f>COUNTIF('DETALLE CRONOLÓGICO'!$A$2:$A$4919,$A1310)</f>
        <v/>
      </c>
      <c r="F1310" s="4">
        <f>SUMIFS('DETALLE CRONOLÓGICO'!$I$2:$I$4919,'DETALLE CRONOLÓGICO'!$A$2:$A$4919,$A1310)</f>
        <v/>
      </c>
      <c r="G1310" s="1">
        <f>INDEX('DETALLE CRONOLÓGICO'!$D$2:$D$4919,MATCH($A1310,'DETALLE CRONOLÓGICO'!$A$2:$A$4919,0))</f>
        <v/>
      </c>
      <c r="H1310" s="1">
        <f>INDEX('DETALLE CRONOLÓGICO'!$D$2:$D$4919,MATCH($A1310,'DETALLE CRONOLÓGICO'!$A$2:$A$4919,0)+$E1310-1)</f>
        <v/>
      </c>
      <c r="I1310" s="5">
        <f>IFERROR(SUMIFS('DETALLE CRONOLÓGICO'!$L$2:$L$4919,'DETALLE CRONOLÓGICO'!$A$2:$A$4919,$A1310)/$F1310,"")</f>
        <v/>
      </c>
      <c r="J1310" s="6">
        <f>IFERROR(SUMIFS('DETALLE CRONOLÓGICO'!$K$2:$K$4919,'DETALLE CRONOLÓGICO'!$A$2:$A$4919,$A1310)/$E1310,"")</f>
        <v/>
      </c>
      <c r="K1310" s="6">
        <f>_xlfn.MINIFS('DETALLE CRONOLÓGICO'!$K$2:$K$4919,'DETALLE CRONOLÓGICO'!$A$2:$A$4919,$A1310)</f>
        <v/>
      </c>
      <c r="L1310" s="6">
        <f>_xlfn.MAXIFS('DETALLE CRONOLÓGICO'!$K$2:$K$4919,'DETALLE CRONOLÓGICO'!$A$2:$A$4919,$A1310)</f>
        <v/>
      </c>
      <c r="M1310" s="6">
        <f>INDEX('DETALLE CRONOLÓGICO'!$K$2:$K$4919,MATCH($A1310,'DETALLE CRONOLÓGICO'!$A$2:$A$4919,0)+$E1310-1)</f>
        <v/>
      </c>
      <c r="N1310" s="7">
        <f>IFERROR($M1310/INDEX('DETALLE CRONOLÓGICO'!$K$2:$K$4919,MATCH($A1310,'DETALLE CRONOLÓGICO'!$A$2:$A$4919,0))-1,"")</f>
        <v/>
      </c>
      <c r="O1310" s="6">
        <f>IFERROR($I1310*3,"")</f>
        <v/>
      </c>
      <c r="P1310" s="6">
        <f>IFERROR($I1310*3.5,"")</f>
        <v/>
      </c>
      <c r="Q1310" s="6">
        <f>IFERROR($I1310*4,"")</f>
        <v/>
      </c>
      <c r="R1310" s="6" t="n">
        <v>580</v>
      </c>
      <c r="S1310" s="4" t="n">
        <v>0</v>
      </c>
      <c r="T1310" s="1" t="inlineStr">
        <is>
          <t>active</t>
        </is>
      </c>
      <c r="U1310" s="8" t="n"/>
      <c r="V1310" s="1" t="inlineStr">
        <is>
          <t>SIN PRECIO</t>
        </is>
      </c>
    </row>
    <row r="1311">
      <c r="A1311" s="1" t="inlineStr">
        <is>
          <t>66009451058222</t>
        </is>
      </c>
      <c r="B1311" s="1" t="inlineStr">
        <is>
          <t>ANILLO BV BROWN</t>
        </is>
      </c>
      <c r="C1311" s="1" t="inlineStr">
        <is>
          <t>7</t>
        </is>
      </c>
      <c r="D1311" s="1" t="inlineStr">
        <is>
          <t>HAIFENG</t>
        </is>
      </c>
      <c r="E1311" s="4">
        <f>COUNTIF('DETALLE CRONOLÓGICO'!$A$2:$A$4919,$A1311)</f>
        <v/>
      </c>
      <c r="F1311" s="4">
        <f>SUMIFS('DETALLE CRONOLÓGICO'!$I$2:$I$4919,'DETALLE CRONOLÓGICO'!$A$2:$A$4919,$A1311)</f>
        <v/>
      </c>
      <c r="G1311" s="1">
        <f>INDEX('DETALLE CRONOLÓGICO'!$D$2:$D$4919,MATCH($A1311,'DETALLE CRONOLÓGICO'!$A$2:$A$4919,0))</f>
        <v/>
      </c>
      <c r="H1311" s="1">
        <f>INDEX('DETALLE CRONOLÓGICO'!$D$2:$D$4919,MATCH($A1311,'DETALLE CRONOLÓGICO'!$A$2:$A$4919,0)+$E1311-1)</f>
        <v/>
      </c>
      <c r="I1311" s="5">
        <f>IFERROR(SUMIFS('DETALLE CRONOLÓGICO'!$L$2:$L$4919,'DETALLE CRONOLÓGICO'!$A$2:$A$4919,$A1311)/$F1311,"")</f>
        <v/>
      </c>
      <c r="J1311" s="6">
        <f>IFERROR(SUMIFS('DETALLE CRONOLÓGICO'!$K$2:$K$4919,'DETALLE CRONOLÓGICO'!$A$2:$A$4919,$A1311)/$E1311,"")</f>
        <v/>
      </c>
      <c r="K1311" s="6">
        <f>_xlfn.MINIFS('DETALLE CRONOLÓGICO'!$K$2:$K$4919,'DETALLE CRONOLÓGICO'!$A$2:$A$4919,$A1311)</f>
        <v/>
      </c>
      <c r="L1311" s="6">
        <f>_xlfn.MAXIFS('DETALLE CRONOLÓGICO'!$K$2:$K$4919,'DETALLE CRONOLÓGICO'!$A$2:$A$4919,$A1311)</f>
        <v/>
      </c>
      <c r="M1311" s="6">
        <f>INDEX('DETALLE CRONOLÓGICO'!$K$2:$K$4919,MATCH($A1311,'DETALLE CRONOLÓGICO'!$A$2:$A$4919,0)+$E1311-1)</f>
        <v/>
      </c>
      <c r="N1311" s="7">
        <f>IFERROR($M1311/INDEX('DETALLE CRONOLÓGICO'!$K$2:$K$4919,MATCH($A1311,'DETALLE CRONOLÓGICO'!$A$2:$A$4919,0))-1,"")</f>
        <v/>
      </c>
      <c r="O1311" s="6">
        <f>IFERROR($I1311*3,"")</f>
        <v/>
      </c>
      <c r="P1311" s="6">
        <f>IFERROR($I1311*3.5,"")</f>
        <v/>
      </c>
      <c r="Q1311" s="6">
        <f>IFERROR($I1311*4,"")</f>
        <v/>
      </c>
      <c r="R1311" s="6" t="n">
        <v>593</v>
      </c>
      <c r="S1311" s="4" t="n">
        <v>0</v>
      </c>
      <c r="T1311" s="1" t="inlineStr">
        <is>
          <t>active</t>
        </is>
      </c>
      <c r="U1311" s="8" t="n"/>
      <c r="V1311" s="1" t="inlineStr">
        <is>
          <t>SIN PRECIO</t>
        </is>
      </c>
    </row>
    <row r="1312">
      <c r="A1312" s="1" t="inlineStr">
        <is>
          <t>66009451058223</t>
        </is>
      </c>
      <c r="B1312" s="1" t="inlineStr">
        <is>
          <t>ANILLO BV BROWN</t>
        </is>
      </c>
      <c r="C1312" s="1" t="inlineStr">
        <is>
          <t>8</t>
        </is>
      </c>
      <c r="D1312" s="1" t="inlineStr">
        <is>
          <t>HAIFENG</t>
        </is>
      </c>
      <c r="E1312" s="4">
        <f>COUNTIF('DETALLE CRONOLÓGICO'!$A$2:$A$4919,$A1312)</f>
        <v/>
      </c>
      <c r="F1312" s="4">
        <f>SUMIFS('DETALLE CRONOLÓGICO'!$I$2:$I$4919,'DETALLE CRONOLÓGICO'!$A$2:$A$4919,$A1312)</f>
        <v/>
      </c>
      <c r="G1312" s="1">
        <f>INDEX('DETALLE CRONOLÓGICO'!$D$2:$D$4919,MATCH($A1312,'DETALLE CRONOLÓGICO'!$A$2:$A$4919,0))</f>
        <v/>
      </c>
      <c r="H1312" s="1">
        <f>INDEX('DETALLE CRONOLÓGICO'!$D$2:$D$4919,MATCH($A1312,'DETALLE CRONOLÓGICO'!$A$2:$A$4919,0)+$E1312-1)</f>
        <v/>
      </c>
      <c r="I1312" s="5">
        <f>IFERROR(SUMIFS('DETALLE CRONOLÓGICO'!$L$2:$L$4919,'DETALLE CRONOLÓGICO'!$A$2:$A$4919,$A1312)/$F1312,"")</f>
        <v/>
      </c>
      <c r="J1312" s="6">
        <f>IFERROR(SUMIFS('DETALLE CRONOLÓGICO'!$K$2:$K$4919,'DETALLE CRONOLÓGICO'!$A$2:$A$4919,$A1312)/$E1312,"")</f>
        <v/>
      </c>
      <c r="K1312" s="6">
        <f>_xlfn.MINIFS('DETALLE CRONOLÓGICO'!$K$2:$K$4919,'DETALLE CRONOLÓGICO'!$A$2:$A$4919,$A1312)</f>
        <v/>
      </c>
      <c r="L1312" s="6">
        <f>_xlfn.MAXIFS('DETALLE CRONOLÓGICO'!$K$2:$K$4919,'DETALLE CRONOLÓGICO'!$A$2:$A$4919,$A1312)</f>
        <v/>
      </c>
      <c r="M1312" s="6">
        <f>INDEX('DETALLE CRONOLÓGICO'!$K$2:$K$4919,MATCH($A1312,'DETALLE CRONOLÓGICO'!$A$2:$A$4919,0)+$E1312-1)</f>
        <v/>
      </c>
      <c r="N1312" s="7">
        <f>IFERROR($M1312/INDEX('DETALLE CRONOLÓGICO'!$K$2:$K$4919,MATCH($A1312,'DETALLE CRONOLÓGICO'!$A$2:$A$4919,0))-1,"")</f>
        <v/>
      </c>
      <c r="O1312" s="6">
        <f>IFERROR($I1312*3,"")</f>
        <v/>
      </c>
      <c r="P1312" s="6">
        <f>IFERROR($I1312*3.5,"")</f>
        <v/>
      </c>
      <c r="Q1312" s="6">
        <f>IFERROR($I1312*4,"")</f>
        <v/>
      </c>
      <c r="R1312" s="6" t="n">
        <v>580</v>
      </c>
      <c r="S1312" s="4" t="n">
        <v>3</v>
      </c>
      <c r="T1312" s="1" t="inlineStr">
        <is>
          <t>active</t>
        </is>
      </c>
      <c r="U1312" s="8" t="n"/>
      <c r="V1312" s="1" t="inlineStr">
        <is>
          <t>SIN PRECIO</t>
        </is>
      </c>
    </row>
    <row r="1313">
      <c r="A1313" s="1" t="inlineStr">
        <is>
          <t>66075791007693</t>
        </is>
      </c>
      <c r="B1313" s="1" t="inlineStr">
        <is>
          <t>ANILLO ALLIANCE SILVER C</t>
        </is>
      </c>
      <c r="C1313" s="1" t="inlineStr">
        <is>
          <t>7</t>
        </is>
      </c>
      <c r="D1313" s="1" t="inlineStr">
        <is>
          <t>HAIFENG</t>
        </is>
      </c>
      <c r="E1313" s="4">
        <f>COUNTIF('DETALLE CRONOLÓGICO'!$A$2:$A$4919,$A1313)</f>
        <v/>
      </c>
      <c r="F1313" s="4">
        <f>SUMIFS('DETALLE CRONOLÓGICO'!$I$2:$I$4919,'DETALLE CRONOLÓGICO'!$A$2:$A$4919,$A1313)</f>
        <v/>
      </c>
      <c r="G1313" s="1">
        <f>INDEX('DETALLE CRONOLÓGICO'!$D$2:$D$4919,MATCH($A1313,'DETALLE CRONOLÓGICO'!$A$2:$A$4919,0))</f>
        <v/>
      </c>
      <c r="H1313" s="1">
        <f>INDEX('DETALLE CRONOLÓGICO'!$D$2:$D$4919,MATCH($A1313,'DETALLE CRONOLÓGICO'!$A$2:$A$4919,0)+$E1313-1)</f>
        <v/>
      </c>
      <c r="I1313" s="5">
        <f>IFERROR(SUMIFS('DETALLE CRONOLÓGICO'!$L$2:$L$4919,'DETALLE CRONOLÓGICO'!$A$2:$A$4919,$A1313)/$F1313,"")</f>
        <v/>
      </c>
      <c r="J1313" s="6">
        <f>IFERROR(SUMIFS('DETALLE CRONOLÓGICO'!$K$2:$K$4919,'DETALLE CRONOLÓGICO'!$A$2:$A$4919,$A1313)/$E1313,"")</f>
        <v/>
      </c>
      <c r="K1313" s="6">
        <f>_xlfn.MINIFS('DETALLE CRONOLÓGICO'!$K$2:$K$4919,'DETALLE CRONOLÓGICO'!$A$2:$A$4919,$A1313)</f>
        <v/>
      </c>
      <c r="L1313" s="6">
        <f>_xlfn.MAXIFS('DETALLE CRONOLÓGICO'!$K$2:$K$4919,'DETALLE CRONOLÓGICO'!$A$2:$A$4919,$A1313)</f>
        <v/>
      </c>
      <c r="M1313" s="6">
        <f>INDEX('DETALLE CRONOLÓGICO'!$K$2:$K$4919,MATCH($A1313,'DETALLE CRONOLÓGICO'!$A$2:$A$4919,0)+$E1313-1)</f>
        <v/>
      </c>
      <c r="N1313" s="7">
        <f>IFERROR($M1313/INDEX('DETALLE CRONOLÓGICO'!$K$2:$K$4919,MATCH($A1313,'DETALLE CRONOLÓGICO'!$A$2:$A$4919,0))-1,"")</f>
        <v/>
      </c>
      <c r="O1313" s="6">
        <f>IFERROR($I1313*3,"")</f>
        <v/>
      </c>
      <c r="P1313" s="6">
        <f>IFERROR($I1313*3.5,"")</f>
        <v/>
      </c>
      <c r="Q1313" s="6">
        <f>IFERROR($I1313*4,"")</f>
        <v/>
      </c>
      <c r="R1313" s="6" t="n">
        <v>400</v>
      </c>
      <c r="S1313" s="4" t="n">
        <v>9</v>
      </c>
      <c r="T1313" s="1" t="inlineStr">
        <is>
          <t>active</t>
        </is>
      </c>
      <c r="U1313" s="8" t="n"/>
      <c r="V1313" s="1" t="inlineStr">
        <is>
          <t>SIN PRECIO</t>
        </is>
      </c>
    </row>
    <row r="1314">
      <c r="A1314" s="1" t="inlineStr">
        <is>
          <t>66075801140461</t>
        </is>
      </c>
      <c r="B1314" s="1" t="inlineStr">
        <is>
          <t>ANILLO ALLIANCE SILVER C</t>
        </is>
      </c>
      <c r="C1314" s="1" t="inlineStr">
        <is>
          <t>8</t>
        </is>
      </c>
      <c r="D1314" s="1" t="inlineStr">
        <is>
          <t>HAIFENG</t>
        </is>
      </c>
      <c r="E1314" s="4">
        <f>COUNTIF('DETALLE CRONOLÓGICO'!$A$2:$A$4919,$A1314)</f>
        <v/>
      </c>
      <c r="F1314" s="4">
        <f>SUMIFS('DETALLE CRONOLÓGICO'!$I$2:$I$4919,'DETALLE CRONOLÓGICO'!$A$2:$A$4919,$A1314)</f>
        <v/>
      </c>
      <c r="G1314" s="1">
        <f>INDEX('DETALLE CRONOLÓGICO'!$D$2:$D$4919,MATCH($A1314,'DETALLE CRONOLÓGICO'!$A$2:$A$4919,0))</f>
        <v/>
      </c>
      <c r="H1314" s="1">
        <f>INDEX('DETALLE CRONOLÓGICO'!$D$2:$D$4919,MATCH($A1314,'DETALLE CRONOLÓGICO'!$A$2:$A$4919,0)+$E1314-1)</f>
        <v/>
      </c>
      <c r="I1314" s="5">
        <f>IFERROR(SUMIFS('DETALLE CRONOLÓGICO'!$L$2:$L$4919,'DETALLE CRONOLÓGICO'!$A$2:$A$4919,$A1314)/$F1314,"")</f>
        <v/>
      </c>
      <c r="J1314" s="6">
        <f>IFERROR(SUMIFS('DETALLE CRONOLÓGICO'!$K$2:$K$4919,'DETALLE CRONOLÓGICO'!$A$2:$A$4919,$A1314)/$E1314,"")</f>
        <v/>
      </c>
      <c r="K1314" s="6">
        <f>_xlfn.MINIFS('DETALLE CRONOLÓGICO'!$K$2:$K$4919,'DETALLE CRONOLÓGICO'!$A$2:$A$4919,$A1314)</f>
        <v/>
      </c>
      <c r="L1314" s="6">
        <f>_xlfn.MAXIFS('DETALLE CRONOLÓGICO'!$K$2:$K$4919,'DETALLE CRONOLÓGICO'!$A$2:$A$4919,$A1314)</f>
        <v/>
      </c>
      <c r="M1314" s="6">
        <f>INDEX('DETALLE CRONOLÓGICO'!$K$2:$K$4919,MATCH($A1314,'DETALLE CRONOLÓGICO'!$A$2:$A$4919,0)+$E1314-1)</f>
        <v/>
      </c>
      <c r="N1314" s="7">
        <f>IFERROR($M1314/INDEX('DETALLE CRONOLÓGICO'!$K$2:$K$4919,MATCH($A1314,'DETALLE CRONOLÓGICO'!$A$2:$A$4919,0))-1,"")</f>
        <v/>
      </c>
      <c r="O1314" s="6">
        <f>IFERROR($I1314*3,"")</f>
        <v/>
      </c>
      <c r="P1314" s="6">
        <f>IFERROR($I1314*3.5,"")</f>
        <v/>
      </c>
      <c r="Q1314" s="6">
        <f>IFERROR($I1314*4,"")</f>
        <v/>
      </c>
      <c r="R1314" s="6" t="n">
        <v>400</v>
      </c>
      <c r="S1314" s="4" t="n">
        <v>3</v>
      </c>
      <c r="T1314" s="1" t="inlineStr">
        <is>
          <t>active</t>
        </is>
      </c>
      <c r="U1314" s="8" t="n"/>
      <c r="V1314" s="1" t="inlineStr">
        <is>
          <t>SIN PRECIO</t>
        </is>
      </c>
    </row>
    <row r="1315">
      <c r="A1315" s="1" t="inlineStr">
        <is>
          <t>66075801273229</t>
        </is>
      </c>
      <c r="B1315" s="1" t="inlineStr">
        <is>
          <t>ANILLO ALLIANCE SILVER C</t>
        </is>
      </c>
      <c r="C1315" s="1" t="inlineStr">
        <is>
          <t>9</t>
        </is>
      </c>
      <c r="D1315" s="1" t="inlineStr">
        <is>
          <t>HAIFENG</t>
        </is>
      </c>
      <c r="E1315" s="4">
        <f>COUNTIF('DETALLE CRONOLÓGICO'!$A$2:$A$4919,$A1315)</f>
        <v/>
      </c>
      <c r="F1315" s="4">
        <f>SUMIFS('DETALLE CRONOLÓGICO'!$I$2:$I$4919,'DETALLE CRONOLÓGICO'!$A$2:$A$4919,$A1315)</f>
        <v/>
      </c>
      <c r="G1315" s="1">
        <f>INDEX('DETALLE CRONOLÓGICO'!$D$2:$D$4919,MATCH($A1315,'DETALLE CRONOLÓGICO'!$A$2:$A$4919,0))</f>
        <v/>
      </c>
      <c r="H1315" s="1">
        <f>INDEX('DETALLE CRONOLÓGICO'!$D$2:$D$4919,MATCH($A1315,'DETALLE CRONOLÓGICO'!$A$2:$A$4919,0)+$E1315-1)</f>
        <v/>
      </c>
      <c r="I1315" s="5">
        <f>IFERROR(SUMIFS('DETALLE CRONOLÓGICO'!$L$2:$L$4919,'DETALLE CRONOLÓGICO'!$A$2:$A$4919,$A1315)/$F1315,"")</f>
        <v/>
      </c>
      <c r="J1315" s="6">
        <f>IFERROR(SUMIFS('DETALLE CRONOLÓGICO'!$K$2:$K$4919,'DETALLE CRONOLÓGICO'!$A$2:$A$4919,$A1315)/$E1315,"")</f>
        <v/>
      </c>
      <c r="K1315" s="6">
        <f>_xlfn.MINIFS('DETALLE CRONOLÓGICO'!$K$2:$K$4919,'DETALLE CRONOLÓGICO'!$A$2:$A$4919,$A1315)</f>
        <v/>
      </c>
      <c r="L1315" s="6">
        <f>_xlfn.MAXIFS('DETALLE CRONOLÓGICO'!$K$2:$K$4919,'DETALLE CRONOLÓGICO'!$A$2:$A$4919,$A1315)</f>
        <v/>
      </c>
      <c r="M1315" s="6">
        <f>INDEX('DETALLE CRONOLÓGICO'!$K$2:$K$4919,MATCH($A1315,'DETALLE CRONOLÓGICO'!$A$2:$A$4919,0)+$E1315-1)</f>
        <v/>
      </c>
      <c r="N1315" s="7">
        <f>IFERROR($M1315/INDEX('DETALLE CRONOLÓGICO'!$K$2:$K$4919,MATCH($A1315,'DETALLE CRONOLÓGICO'!$A$2:$A$4919,0))-1,"")</f>
        <v/>
      </c>
      <c r="O1315" s="6">
        <f>IFERROR($I1315*3,"")</f>
        <v/>
      </c>
      <c r="P1315" s="6">
        <f>IFERROR($I1315*3.5,"")</f>
        <v/>
      </c>
      <c r="Q1315" s="6">
        <f>IFERROR($I1315*4,"")</f>
        <v/>
      </c>
      <c r="R1315" s="6" t="n">
        <v>400</v>
      </c>
      <c r="S1315" s="4" t="n">
        <v>2</v>
      </c>
      <c r="T1315" s="1" t="inlineStr">
        <is>
          <t>active</t>
        </is>
      </c>
      <c r="U1315" s="8" t="n"/>
      <c r="V1315" s="1" t="inlineStr">
        <is>
          <t>SIN PRECIO</t>
        </is>
      </c>
    </row>
    <row r="1316">
      <c r="A1316" s="1" t="inlineStr">
        <is>
          <t>66075801474733</t>
        </is>
      </c>
      <c r="B1316" s="1" t="inlineStr">
        <is>
          <t>ANILLO LOVE SOLITAIRE ROSE GOLD C</t>
        </is>
      </c>
      <c r="C1316" s="1" t="inlineStr">
        <is>
          <t>6</t>
        </is>
      </c>
      <c r="D1316" s="1" t="inlineStr">
        <is>
          <t>HAIFENG</t>
        </is>
      </c>
      <c r="E1316" s="4">
        <f>COUNTIF('DETALLE CRONOLÓGICO'!$A$2:$A$4919,$A1316)</f>
        <v/>
      </c>
      <c r="F1316" s="4">
        <f>SUMIFS('DETALLE CRONOLÓGICO'!$I$2:$I$4919,'DETALLE CRONOLÓGICO'!$A$2:$A$4919,$A1316)</f>
        <v/>
      </c>
      <c r="G1316" s="1">
        <f>INDEX('DETALLE CRONOLÓGICO'!$D$2:$D$4919,MATCH($A1316,'DETALLE CRONOLÓGICO'!$A$2:$A$4919,0))</f>
        <v/>
      </c>
      <c r="H1316" s="1">
        <f>INDEX('DETALLE CRONOLÓGICO'!$D$2:$D$4919,MATCH($A1316,'DETALLE CRONOLÓGICO'!$A$2:$A$4919,0)+$E1316-1)</f>
        <v/>
      </c>
      <c r="I1316" s="5">
        <f>IFERROR(SUMIFS('DETALLE CRONOLÓGICO'!$L$2:$L$4919,'DETALLE CRONOLÓGICO'!$A$2:$A$4919,$A1316)/$F1316,"")</f>
        <v/>
      </c>
      <c r="J1316" s="6">
        <f>IFERROR(SUMIFS('DETALLE CRONOLÓGICO'!$K$2:$K$4919,'DETALLE CRONOLÓGICO'!$A$2:$A$4919,$A1316)/$E1316,"")</f>
        <v/>
      </c>
      <c r="K1316" s="6">
        <f>_xlfn.MINIFS('DETALLE CRONOLÓGICO'!$K$2:$K$4919,'DETALLE CRONOLÓGICO'!$A$2:$A$4919,$A1316)</f>
        <v/>
      </c>
      <c r="L1316" s="6">
        <f>_xlfn.MAXIFS('DETALLE CRONOLÓGICO'!$K$2:$K$4919,'DETALLE CRONOLÓGICO'!$A$2:$A$4919,$A1316)</f>
        <v/>
      </c>
      <c r="M1316" s="6">
        <f>INDEX('DETALLE CRONOLÓGICO'!$K$2:$K$4919,MATCH($A1316,'DETALLE CRONOLÓGICO'!$A$2:$A$4919,0)+$E1316-1)</f>
        <v/>
      </c>
      <c r="N1316" s="7">
        <f>IFERROR($M1316/INDEX('DETALLE CRONOLÓGICO'!$K$2:$K$4919,MATCH($A1316,'DETALLE CRONOLÓGICO'!$A$2:$A$4919,0))-1,"")</f>
        <v/>
      </c>
      <c r="O1316" s="6">
        <f>IFERROR($I1316*3,"")</f>
        <v/>
      </c>
      <c r="P1316" s="6">
        <f>IFERROR($I1316*3.5,"")</f>
        <v/>
      </c>
      <c r="Q1316" s="6">
        <f>IFERROR($I1316*4,"")</f>
        <v/>
      </c>
      <c r="R1316" s="6" t="n">
        <v>577</v>
      </c>
      <c r="S1316" s="4" t="n">
        <v>3</v>
      </c>
      <c r="T1316" s="1" t="inlineStr">
        <is>
          <t>active</t>
        </is>
      </c>
      <c r="U1316" s="8" t="n"/>
      <c r="V1316" s="1" t="inlineStr">
        <is>
          <t>SIN PRECIO</t>
        </is>
      </c>
    </row>
    <row r="1317">
      <c r="A1317" s="1" t="inlineStr">
        <is>
          <t>66075801507501</t>
        </is>
      </c>
      <c r="B1317" s="1" t="n"/>
      <c r="C1317" s="1" t="inlineStr">
        <is>
          <t>7</t>
        </is>
      </c>
      <c r="D1317" s="1" t="inlineStr">
        <is>
          <t>HAIFENG</t>
        </is>
      </c>
      <c r="E1317" s="4">
        <f>COUNTIF('DETALLE CRONOLÓGICO'!$A$2:$A$4919,$A1317)</f>
        <v/>
      </c>
      <c r="F1317" s="4">
        <f>SUMIFS('DETALLE CRONOLÓGICO'!$I$2:$I$4919,'DETALLE CRONOLÓGICO'!$A$2:$A$4919,$A1317)</f>
        <v/>
      </c>
      <c r="G1317" s="1">
        <f>INDEX('DETALLE CRONOLÓGICO'!$D$2:$D$4919,MATCH($A1317,'DETALLE CRONOLÓGICO'!$A$2:$A$4919,0))</f>
        <v/>
      </c>
      <c r="H1317" s="1">
        <f>INDEX('DETALLE CRONOLÓGICO'!$D$2:$D$4919,MATCH($A1317,'DETALLE CRONOLÓGICO'!$A$2:$A$4919,0)+$E1317-1)</f>
        <v/>
      </c>
      <c r="I1317" s="5">
        <f>IFERROR(SUMIFS('DETALLE CRONOLÓGICO'!$L$2:$L$4919,'DETALLE CRONOLÓGICO'!$A$2:$A$4919,$A1317)/$F1317,"")</f>
        <v/>
      </c>
      <c r="J1317" s="6">
        <f>IFERROR(SUMIFS('DETALLE CRONOLÓGICO'!$K$2:$K$4919,'DETALLE CRONOLÓGICO'!$A$2:$A$4919,$A1317)/$E1317,"")</f>
        <v/>
      </c>
      <c r="K1317" s="6">
        <f>_xlfn.MINIFS('DETALLE CRONOLÓGICO'!$K$2:$K$4919,'DETALLE CRONOLÓGICO'!$A$2:$A$4919,$A1317)</f>
        <v/>
      </c>
      <c r="L1317" s="6">
        <f>_xlfn.MAXIFS('DETALLE CRONOLÓGICO'!$K$2:$K$4919,'DETALLE CRONOLÓGICO'!$A$2:$A$4919,$A1317)</f>
        <v/>
      </c>
      <c r="M1317" s="6">
        <f>INDEX('DETALLE CRONOLÓGICO'!$K$2:$K$4919,MATCH($A1317,'DETALLE CRONOLÓGICO'!$A$2:$A$4919,0)+$E1317-1)</f>
        <v/>
      </c>
      <c r="N1317" s="7">
        <f>IFERROR($M1317/INDEX('DETALLE CRONOLÓGICO'!$K$2:$K$4919,MATCH($A1317,'DETALLE CRONOLÓGICO'!$A$2:$A$4919,0))-1,"")</f>
        <v/>
      </c>
      <c r="O1317" s="6">
        <f>IFERROR($I1317*3,"")</f>
        <v/>
      </c>
      <c r="P1317" s="6">
        <f>IFERROR($I1317*3.5,"")</f>
        <v/>
      </c>
      <c r="Q1317" s="6">
        <f>IFERROR($I1317*4,"")</f>
        <v/>
      </c>
      <c r="R1317" s="6" t="n">
        <v>577</v>
      </c>
      <c r="S1317" s="4" t="n">
        <v>2</v>
      </c>
      <c r="T1317" s="1" t="inlineStr">
        <is>
          <t>active</t>
        </is>
      </c>
      <c r="U1317" s="8" t="n"/>
      <c r="V1317" s="1" t="inlineStr">
        <is>
          <t>SIN PRECIO</t>
        </is>
      </c>
    </row>
    <row r="1318">
      <c r="A1318" s="1" t="inlineStr">
        <is>
          <t>66075801735181</t>
        </is>
      </c>
      <c r="B1318" s="1" t="inlineStr">
        <is>
          <t>PULSERA PANTHERE SILVER C</t>
        </is>
      </c>
      <c r="C1318" s="1" t="inlineStr">
        <is>
          <t>Default Title</t>
        </is>
      </c>
      <c r="D1318" s="1" t="inlineStr">
        <is>
          <t>HAIFENG</t>
        </is>
      </c>
      <c r="E1318" s="4">
        <f>COUNTIF('DETALLE CRONOLÓGICO'!$A$2:$A$4919,$A1318)</f>
        <v/>
      </c>
      <c r="F1318" s="4">
        <f>SUMIFS('DETALLE CRONOLÓGICO'!$I$2:$I$4919,'DETALLE CRONOLÓGICO'!$A$2:$A$4919,$A1318)</f>
        <v/>
      </c>
      <c r="G1318" s="1">
        <f>INDEX('DETALLE CRONOLÓGICO'!$D$2:$D$4919,MATCH($A1318,'DETALLE CRONOLÓGICO'!$A$2:$A$4919,0))</f>
        <v/>
      </c>
      <c r="H1318" s="1">
        <f>INDEX('DETALLE CRONOLÓGICO'!$D$2:$D$4919,MATCH($A1318,'DETALLE CRONOLÓGICO'!$A$2:$A$4919,0)+$E1318-1)</f>
        <v/>
      </c>
      <c r="I1318" s="5">
        <f>IFERROR(SUMIFS('DETALLE CRONOLÓGICO'!$L$2:$L$4919,'DETALLE CRONOLÓGICO'!$A$2:$A$4919,$A1318)/$F1318,"")</f>
        <v/>
      </c>
      <c r="J1318" s="6">
        <f>IFERROR(SUMIFS('DETALLE CRONOLÓGICO'!$K$2:$K$4919,'DETALLE CRONOLÓGICO'!$A$2:$A$4919,$A1318)/$E1318,"")</f>
        <v/>
      </c>
      <c r="K1318" s="6">
        <f>_xlfn.MINIFS('DETALLE CRONOLÓGICO'!$K$2:$K$4919,'DETALLE CRONOLÓGICO'!$A$2:$A$4919,$A1318)</f>
        <v/>
      </c>
      <c r="L1318" s="6">
        <f>_xlfn.MAXIFS('DETALLE CRONOLÓGICO'!$K$2:$K$4919,'DETALLE CRONOLÓGICO'!$A$2:$A$4919,$A1318)</f>
        <v/>
      </c>
      <c r="M1318" s="6">
        <f>INDEX('DETALLE CRONOLÓGICO'!$K$2:$K$4919,MATCH($A1318,'DETALLE CRONOLÓGICO'!$A$2:$A$4919,0)+$E1318-1)</f>
        <v/>
      </c>
      <c r="N1318" s="7">
        <f>IFERROR($M1318/INDEX('DETALLE CRONOLÓGICO'!$K$2:$K$4919,MATCH($A1318,'DETALLE CRONOLÓGICO'!$A$2:$A$4919,0))-1,"")</f>
        <v/>
      </c>
      <c r="O1318" s="6">
        <f>IFERROR($I1318*3,"")</f>
        <v/>
      </c>
      <c r="P1318" s="6">
        <f>IFERROR($I1318*3.5,"")</f>
        <v/>
      </c>
      <c r="Q1318" s="6">
        <f>IFERROR($I1318*4,"")</f>
        <v/>
      </c>
      <c r="R1318" s="6" t="n">
        <v>659</v>
      </c>
      <c r="S1318" s="4" t="n">
        <v>4</v>
      </c>
      <c r="T1318" s="1" t="inlineStr">
        <is>
          <t>active</t>
        </is>
      </c>
      <c r="U1318" s="8" t="n"/>
      <c r="V1318" s="1" t="inlineStr">
        <is>
          <t>SIN PRECIO</t>
        </is>
      </c>
    </row>
    <row r="1319">
      <c r="A1319" s="1" t="inlineStr">
        <is>
          <t>66075801824557</t>
        </is>
      </c>
      <c r="B1319" s="1" t="inlineStr">
        <is>
          <t>PULSERA TRES AROS</t>
        </is>
      </c>
      <c r="C1319" s="1" t="inlineStr">
        <is>
          <t>Default Title</t>
        </is>
      </c>
      <c r="D1319" s="1" t="inlineStr">
        <is>
          <t>HAIFENG</t>
        </is>
      </c>
      <c r="E1319" s="4">
        <f>COUNTIF('DETALLE CRONOLÓGICO'!$A$2:$A$4919,$A1319)</f>
        <v/>
      </c>
      <c r="F1319" s="4">
        <f>SUMIFS('DETALLE CRONOLÓGICO'!$I$2:$I$4919,'DETALLE CRONOLÓGICO'!$A$2:$A$4919,$A1319)</f>
        <v/>
      </c>
      <c r="G1319" s="1">
        <f>INDEX('DETALLE CRONOLÓGICO'!$D$2:$D$4919,MATCH($A1319,'DETALLE CRONOLÓGICO'!$A$2:$A$4919,0))</f>
        <v/>
      </c>
      <c r="H1319" s="1">
        <f>INDEX('DETALLE CRONOLÓGICO'!$D$2:$D$4919,MATCH($A1319,'DETALLE CRONOLÓGICO'!$A$2:$A$4919,0)+$E1319-1)</f>
        <v/>
      </c>
      <c r="I1319" s="5">
        <f>IFERROR(SUMIFS('DETALLE CRONOLÓGICO'!$L$2:$L$4919,'DETALLE CRONOLÓGICO'!$A$2:$A$4919,$A1319)/$F1319,"")</f>
        <v/>
      </c>
      <c r="J1319" s="6">
        <f>IFERROR(SUMIFS('DETALLE CRONOLÓGICO'!$K$2:$K$4919,'DETALLE CRONOLÓGICO'!$A$2:$A$4919,$A1319)/$E1319,"")</f>
        <v/>
      </c>
      <c r="K1319" s="6">
        <f>_xlfn.MINIFS('DETALLE CRONOLÓGICO'!$K$2:$K$4919,'DETALLE CRONOLÓGICO'!$A$2:$A$4919,$A1319)</f>
        <v/>
      </c>
      <c r="L1319" s="6">
        <f>_xlfn.MAXIFS('DETALLE CRONOLÓGICO'!$K$2:$K$4919,'DETALLE CRONOLÓGICO'!$A$2:$A$4919,$A1319)</f>
        <v/>
      </c>
      <c r="M1319" s="6">
        <f>INDEX('DETALLE CRONOLÓGICO'!$K$2:$K$4919,MATCH($A1319,'DETALLE CRONOLÓGICO'!$A$2:$A$4919,0)+$E1319-1)</f>
        <v/>
      </c>
      <c r="N1319" s="7">
        <f>IFERROR($M1319/INDEX('DETALLE CRONOLÓGICO'!$K$2:$K$4919,MATCH($A1319,'DETALLE CRONOLÓGICO'!$A$2:$A$4919,0))-1,"")</f>
        <v/>
      </c>
      <c r="O1319" s="6">
        <f>IFERROR($I1319*3,"")</f>
        <v/>
      </c>
      <c r="P1319" s="6">
        <f>IFERROR($I1319*3.5,"")</f>
        <v/>
      </c>
      <c r="Q1319" s="6">
        <f>IFERROR($I1319*4,"")</f>
        <v/>
      </c>
      <c r="R1319" s="6" t="n">
        <v>650</v>
      </c>
      <c r="S1319" s="4" t="n">
        <v>7</v>
      </c>
      <c r="T1319" s="1" t="inlineStr">
        <is>
          <t>active</t>
        </is>
      </c>
      <c r="U1319" s="8" t="n"/>
      <c r="V1319" s="1" t="inlineStr">
        <is>
          <t>SIN PRECIO</t>
        </is>
      </c>
    </row>
    <row r="1320">
      <c r="A1320" s="1" t="inlineStr">
        <is>
          <t>66075801971917</t>
        </is>
      </c>
      <c r="B1320" s="1" t="inlineStr">
        <is>
          <t>ARETES CD PETIT GOLD</t>
        </is>
      </c>
      <c r="C1320" s="1" t="inlineStr">
        <is>
          <t>Default Title</t>
        </is>
      </c>
      <c r="D1320" s="1" t="inlineStr">
        <is>
          <t>HAIFENG</t>
        </is>
      </c>
      <c r="E1320" s="4">
        <f>COUNTIF('DETALLE CRONOLÓGICO'!$A$2:$A$4919,$A1320)</f>
        <v/>
      </c>
      <c r="F1320" s="4">
        <f>SUMIFS('DETALLE CRONOLÓGICO'!$I$2:$I$4919,'DETALLE CRONOLÓGICO'!$A$2:$A$4919,$A1320)</f>
        <v/>
      </c>
      <c r="G1320" s="1">
        <f>INDEX('DETALLE CRONOLÓGICO'!$D$2:$D$4919,MATCH($A1320,'DETALLE CRONOLÓGICO'!$A$2:$A$4919,0))</f>
        <v/>
      </c>
      <c r="H1320" s="1">
        <f>INDEX('DETALLE CRONOLÓGICO'!$D$2:$D$4919,MATCH($A1320,'DETALLE CRONOLÓGICO'!$A$2:$A$4919,0)+$E1320-1)</f>
        <v/>
      </c>
      <c r="I1320" s="5">
        <f>IFERROR(SUMIFS('DETALLE CRONOLÓGICO'!$L$2:$L$4919,'DETALLE CRONOLÓGICO'!$A$2:$A$4919,$A1320)/$F1320,"")</f>
        <v/>
      </c>
      <c r="J1320" s="6">
        <f>IFERROR(SUMIFS('DETALLE CRONOLÓGICO'!$K$2:$K$4919,'DETALLE CRONOLÓGICO'!$A$2:$A$4919,$A1320)/$E1320,"")</f>
        <v/>
      </c>
      <c r="K1320" s="6">
        <f>_xlfn.MINIFS('DETALLE CRONOLÓGICO'!$K$2:$K$4919,'DETALLE CRONOLÓGICO'!$A$2:$A$4919,$A1320)</f>
        <v/>
      </c>
      <c r="L1320" s="6">
        <f>_xlfn.MAXIFS('DETALLE CRONOLÓGICO'!$K$2:$K$4919,'DETALLE CRONOLÓGICO'!$A$2:$A$4919,$A1320)</f>
        <v/>
      </c>
      <c r="M1320" s="6">
        <f>INDEX('DETALLE CRONOLÓGICO'!$K$2:$K$4919,MATCH($A1320,'DETALLE CRONOLÓGICO'!$A$2:$A$4919,0)+$E1320-1)</f>
        <v/>
      </c>
      <c r="N1320" s="7">
        <f>IFERROR($M1320/INDEX('DETALLE CRONOLÓGICO'!$K$2:$K$4919,MATCH($A1320,'DETALLE CRONOLÓGICO'!$A$2:$A$4919,0))-1,"")</f>
        <v/>
      </c>
      <c r="O1320" s="6">
        <f>IFERROR($I1320*3,"")</f>
        <v/>
      </c>
      <c r="P1320" s="6">
        <f>IFERROR($I1320*3.5,"")</f>
        <v/>
      </c>
      <c r="Q1320" s="6">
        <f>IFERROR($I1320*4,"")</f>
        <v/>
      </c>
      <c r="R1320" s="6" t="n">
        <v>350</v>
      </c>
      <c r="S1320" s="4" t="n">
        <v>0</v>
      </c>
      <c r="T1320" s="1" t="inlineStr">
        <is>
          <t>active</t>
        </is>
      </c>
      <c r="U1320" s="8" t="n"/>
      <c r="V1320" s="1" t="inlineStr">
        <is>
          <t>SIN PRECIO</t>
        </is>
      </c>
    </row>
    <row r="1321">
      <c r="A1321" s="1" t="inlineStr">
        <is>
          <t>66075802035149</t>
        </is>
      </c>
      <c r="B1321" s="1" t="inlineStr">
        <is>
          <t>ARETES CLAIR D LUNE GOLD CD</t>
        </is>
      </c>
      <c r="C1321" s="1" t="inlineStr">
        <is>
          <t>Default Title</t>
        </is>
      </c>
      <c r="D1321" s="1" t="inlineStr">
        <is>
          <t>HAIFENG</t>
        </is>
      </c>
      <c r="E1321" s="4">
        <f>COUNTIF('DETALLE CRONOLÓGICO'!$A$2:$A$4919,$A1321)</f>
        <v/>
      </c>
      <c r="F1321" s="4">
        <f>SUMIFS('DETALLE CRONOLÓGICO'!$I$2:$I$4919,'DETALLE CRONOLÓGICO'!$A$2:$A$4919,$A1321)</f>
        <v/>
      </c>
      <c r="G1321" s="1">
        <f>INDEX('DETALLE CRONOLÓGICO'!$D$2:$D$4919,MATCH($A1321,'DETALLE CRONOLÓGICO'!$A$2:$A$4919,0))</f>
        <v/>
      </c>
      <c r="H1321" s="1">
        <f>INDEX('DETALLE CRONOLÓGICO'!$D$2:$D$4919,MATCH($A1321,'DETALLE CRONOLÓGICO'!$A$2:$A$4919,0)+$E1321-1)</f>
        <v/>
      </c>
      <c r="I1321" s="5">
        <f>IFERROR(SUMIFS('DETALLE CRONOLÓGICO'!$L$2:$L$4919,'DETALLE CRONOLÓGICO'!$A$2:$A$4919,$A1321)/$F1321,"")</f>
        <v/>
      </c>
      <c r="J1321" s="6">
        <f>IFERROR(SUMIFS('DETALLE CRONOLÓGICO'!$K$2:$K$4919,'DETALLE CRONOLÓGICO'!$A$2:$A$4919,$A1321)/$E1321,"")</f>
        <v/>
      </c>
      <c r="K1321" s="6">
        <f>_xlfn.MINIFS('DETALLE CRONOLÓGICO'!$K$2:$K$4919,'DETALLE CRONOLÓGICO'!$A$2:$A$4919,$A1321)</f>
        <v/>
      </c>
      <c r="L1321" s="6">
        <f>_xlfn.MAXIFS('DETALLE CRONOLÓGICO'!$K$2:$K$4919,'DETALLE CRONOLÓGICO'!$A$2:$A$4919,$A1321)</f>
        <v/>
      </c>
      <c r="M1321" s="6">
        <f>INDEX('DETALLE CRONOLÓGICO'!$K$2:$K$4919,MATCH($A1321,'DETALLE CRONOLÓGICO'!$A$2:$A$4919,0)+$E1321-1)</f>
        <v/>
      </c>
      <c r="N1321" s="7">
        <f>IFERROR($M1321/INDEX('DETALLE CRONOLÓGICO'!$K$2:$K$4919,MATCH($A1321,'DETALLE CRONOLÓGICO'!$A$2:$A$4919,0))-1,"")</f>
        <v/>
      </c>
      <c r="O1321" s="6">
        <f>IFERROR($I1321*3,"")</f>
        <v/>
      </c>
      <c r="P1321" s="6">
        <f>IFERROR($I1321*3.5,"")</f>
        <v/>
      </c>
      <c r="Q1321" s="6">
        <f>IFERROR($I1321*4,"")</f>
        <v/>
      </c>
      <c r="R1321" s="6" t="n">
        <v>450</v>
      </c>
      <c r="S1321" s="4" t="n">
        <v>5</v>
      </c>
      <c r="T1321" s="1" t="inlineStr">
        <is>
          <t>active</t>
        </is>
      </c>
      <c r="U1321" s="8" t="n"/>
      <c r="V1321" s="1" t="inlineStr">
        <is>
          <t>SIN PRECIO</t>
        </is>
      </c>
    </row>
    <row r="1322">
      <c r="A1322" s="1" t="inlineStr">
        <is>
          <t>66075802259373</t>
        </is>
      </c>
      <c r="B1322" s="1" t="inlineStr">
        <is>
          <t>PULSERA MONTAIGNE GOLD CD</t>
        </is>
      </c>
      <c r="C1322" s="1" t="inlineStr">
        <is>
          <t>20 CM</t>
        </is>
      </c>
      <c r="D1322" s="1" t="inlineStr">
        <is>
          <t>HAIFENG</t>
        </is>
      </c>
      <c r="E1322" s="4">
        <f>COUNTIF('DETALLE CRONOLÓGICO'!$A$2:$A$4919,$A1322)</f>
        <v/>
      </c>
      <c r="F1322" s="4">
        <f>SUMIFS('DETALLE CRONOLÓGICO'!$I$2:$I$4919,'DETALLE CRONOLÓGICO'!$A$2:$A$4919,$A1322)</f>
        <v/>
      </c>
      <c r="G1322" s="1">
        <f>INDEX('DETALLE CRONOLÓGICO'!$D$2:$D$4919,MATCH($A1322,'DETALLE CRONOLÓGICO'!$A$2:$A$4919,0))</f>
        <v/>
      </c>
      <c r="H1322" s="1">
        <f>INDEX('DETALLE CRONOLÓGICO'!$D$2:$D$4919,MATCH($A1322,'DETALLE CRONOLÓGICO'!$A$2:$A$4919,0)+$E1322-1)</f>
        <v/>
      </c>
      <c r="I1322" s="5">
        <f>IFERROR(SUMIFS('DETALLE CRONOLÓGICO'!$L$2:$L$4919,'DETALLE CRONOLÓGICO'!$A$2:$A$4919,$A1322)/$F1322,"")</f>
        <v/>
      </c>
      <c r="J1322" s="6">
        <f>IFERROR(SUMIFS('DETALLE CRONOLÓGICO'!$K$2:$K$4919,'DETALLE CRONOLÓGICO'!$A$2:$A$4919,$A1322)/$E1322,"")</f>
        <v/>
      </c>
      <c r="K1322" s="6">
        <f>_xlfn.MINIFS('DETALLE CRONOLÓGICO'!$K$2:$K$4919,'DETALLE CRONOLÓGICO'!$A$2:$A$4919,$A1322)</f>
        <v/>
      </c>
      <c r="L1322" s="6">
        <f>_xlfn.MAXIFS('DETALLE CRONOLÓGICO'!$K$2:$K$4919,'DETALLE CRONOLÓGICO'!$A$2:$A$4919,$A1322)</f>
        <v/>
      </c>
      <c r="M1322" s="6">
        <f>INDEX('DETALLE CRONOLÓGICO'!$K$2:$K$4919,MATCH($A1322,'DETALLE CRONOLÓGICO'!$A$2:$A$4919,0)+$E1322-1)</f>
        <v/>
      </c>
      <c r="N1322" s="7">
        <f>IFERROR($M1322/INDEX('DETALLE CRONOLÓGICO'!$K$2:$K$4919,MATCH($A1322,'DETALLE CRONOLÓGICO'!$A$2:$A$4919,0))-1,"")</f>
        <v/>
      </c>
      <c r="O1322" s="6">
        <f>IFERROR($I1322*3,"")</f>
        <v/>
      </c>
      <c r="P1322" s="6">
        <f>IFERROR($I1322*3.5,"")</f>
        <v/>
      </c>
      <c r="Q1322" s="6">
        <f>IFERROR($I1322*4,"")</f>
        <v/>
      </c>
      <c r="R1322" s="6" t="n">
        <v>599</v>
      </c>
      <c r="S1322" s="4" t="n">
        <v>1</v>
      </c>
      <c r="T1322" s="1" t="inlineStr">
        <is>
          <t>active</t>
        </is>
      </c>
      <c r="U1322" s="8" t="n"/>
      <c r="V1322" s="1" t="inlineStr">
        <is>
          <t>SIN PRECIO</t>
        </is>
      </c>
    </row>
    <row r="1323">
      <c r="A1323" s="1" t="inlineStr">
        <is>
          <t>66075802307341</t>
        </is>
      </c>
      <c r="B1323" s="1" t="inlineStr">
        <is>
          <t>PULSERA CLAIR D LUNE SILVER CD</t>
        </is>
      </c>
      <c r="C1323" s="1" t="inlineStr">
        <is>
          <t>13cm largo con 5cm de extensión dije 1cm</t>
        </is>
      </c>
      <c r="D1323" s="1" t="inlineStr">
        <is>
          <t>HAIFENG</t>
        </is>
      </c>
      <c r="E1323" s="4">
        <f>COUNTIF('DETALLE CRONOLÓGICO'!$A$2:$A$4919,$A1323)</f>
        <v/>
      </c>
      <c r="F1323" s="4">
        <f>SUMIFS('DETALLE CRONOLÓGICO'!$I$2:$I$4919,'DETALLE CRONOLÓGICO'!$A$2:$A$4919,$A1323)</f>
        <v/>
      </c>
      <c r="G1323" s="1">
        <f>INDEX('DETALLE CRONOLÓGICO'!$D$2:$D$4919,MATCH($A1323,'DETALLE CRONOLÓGICO'!$A$2:$A$4919,0))</f>
        <v/>
      </c>
      <c r="H1323" s="1">
        <f>INDEX('DETALLE CRONOLÓGICO'!$D$2:$D$4919,MATCH($A1323,'DETALLE CRONOLÓGICO'!$A$2:$A$4919,0)+$E1323-1)</f>
        <v/>
      </c>
      <c r="I1323" s="5">
        <f>IFERROR(SUMIFS('DETALLE CRONOLÓGICO'!$L$2:$L$4919,'DETALLE CRONOLÓGICO'!$A$2:$A$4919,$A1323)/$F1323,"")</f>
        <v/>
      </c>
      <c r="J1323" s="6">
        <f>IFERROR(SUMIFS('DETALLE CRONOLÓGICO'!$K$2:$K$4919,'DETALLE CRONOLÓGICO'!$A$2:$A$4919,$A1323)/$E1323,"")</f>
        <v/>
      </c>
      <c r="K1323" s="6">
        <f>_xlfn.MINIFS('DETALLE CRONOLÓGICO'!$K$2:$K$4919,'DETALLE CRONOLÓGICO'!$A$2:$A$4919,$A1323)</f>
        <v/>
      </c>
      <c r="L1323" s="6">
        <f>_xlfn.MAXIFS('DETALLE CRONOLÓGICO'!$K$2:$K$4919,'DETALLE CRONOLÓGICO'!$A$2:$A$4919,$A1323)</f>
        <v/>
      </c>
      <c r="M1323" s="6">
        <f>INDEX('DETALLE CRONOLÓGICO'!$K$2:$K$4919,MATCH($A1323,'DETALLE CRONOLÓGICO'!$A$2:$A$4919,0)+$E1323-1)</f>
        <v/>
      </c>
      <c r="N1323" s="7">
        <f>IFERROR($M1323/INDEX('DETALLE CRONOLÓGICO'!$K$2:$K$4919,MATCH($A1323,'DETALLE CRONOLÓGICO'!$A$2:$A$4919,0))-1,"")</f>
        <v/>
      </c>
      <c r="O1323" s="6">
        <f>IFERROR($I1323*3,"")</f>
        <v/>
      </c>
      <c r="P1323" s="6">
        <f>IFERROR($I1323*3.5,"")</f>
        <v/>
      </c>
      <c r="Q1323" s="6">
        <f>IFERROR($I1323*4,"")</f>
        <v/>
      </c>
      <c r="R1323" s="6" t="n">
        <v>412</v>
      </c>
      <c r="S1323" s="4" t="n">
        <v>1</v>
      </c>
      <c r="T1323" s="1" t="inlineStr">
        <is>
          <t>active</t>
        </is>
      </c>
      <c r="U1323" s="8" t="n"/>
      <c r="V1323" s="1" t="inlineStr">
        <is>
          <t>SIN PRECIO</t>
        </is>
      </c>
    </row>
    <row r="1324">
      <c r="A1324" s="1" t="inlineStr">
        <is>
          <t>66075802428173</t>
        </is>
      </c>
      <c r="B1324" s="1" t="inlineStr">
        <is>
          <t>PULSERA CHAIN GOLD CD</t>
        </is>
      </c>
      <c r="C1324" s="1" t="inlineStr">
        <is>
          <t>Default Title</t>
        </is>
      </c>
      <c r="D1324" s="1" t="inlineStr">
        <is>
          <t>HAIFENG</t>
        </is>
      </c>
      <c r="E1324" s="4">
        <f>COUNTIF('DETALLE CRONOLÓGICO'!$A$2:$A$4919,$A1324)</f>
        <v/>
      </c>
      <c r="F1324" s="4">
        <f>SUMIFS('DETALLE CRONOLÓGICO'!$I$2:$I$4919,'DETALLE CRONOLÓGICO'!$A$2:$A$4919,$A1324)</f>
        <v/>
      </c>
      <c r="G1324" s="1">
        <f>INDEX('DETALLE CRONOLÓGICO'!$D$2:$D$4919,MATCH($A1324,'DETALLE CRONOLÓGICO'!$A$2:$A$4919,0))</f>
        <v/>
      </c>
      <c r="H1324" s="1">
        <f>INDEX('DETALLE CRONOLÓGICO'!$D$2:$D$4919,MATCH($A1324,'DETALLE CRONOLÓGICO'!$A$2:$A$4919,0)+$E1324-1)</f>
        <v/>
      </c>
      <c r="I1324" s="5">
        <f>IFERROR(SUMIFS('DETALLE CRONOLÓGICO'!$L$2:$L$4919,'DETALLE CRONOLÓGICO'!$A$2:$A$4919,$A1324)/$F1324,"")</f>
        <v/>
      </c>
      <c r="J1324" s="6">
        <f>IFERROR(SUMIFS('DETALLE CRONOLÓGICO'!$K$2:$K$4919,'DETALLE CRONOLÓGICO'!$A$2:$A$4919,$A1324)/$E1324,"")</f>
        <v/>
      </c>
      <c r="K1324" s="6">
        <f>_xlfn.MINIFS('DETALLE CRONOLÓGICO'!$K$2:$K$4919,'DETALLE CRONOLÓGICO'!$A$2:$A$4919,$A1324)</f>
        <v/>
      </c>
      <c r="L1324" s="6">
        <f>_xlfn.MAXIFS('DETALLE CRONOLÓGICO'!$K$2:$K$4919,'DETALLE CRONOLÓGICO'!$A$2:$A$4919,$A1324)</f>
        <v/>
      </c>
      <c r="M1324" s="6">
        <f>INDEX('DETALLE CRONOLÓGICO'!$K$2:$K$4919,MATCH($A1324,'DETALLE CRONOLÓGICO'!$A$2:$A$4919,0)+$E1324-1)</f>
        <v/>
      </c>
      <c r="N1324" s="7">
        <f>IFERROR($M1324/INDEX('DETALLE CRONOLÓGICO'!$K$2:$K$4919,MATCH($A1324,'DETALLE CRONOLÓGICO'!$A$2:$A$4919,0))-1,"")</f>
        <v/>
      </c>
      <c r="O1324" s="6">
        <f>IFERROR($I1324*3,"")</f>
        <v/>
      </c>
      <c r="P1324" s="6">
        <f>IFERROR($I1324*3.5,"")</f>
        <v/>
      </c>
      <c r="Q1324" s="6">
        <f>IFERROR($I1324*4,"")</f>
        <v/>
      </c>
      <c r="R1324" s="6" t="n">
        <v>651</v>
      </c>
      <c r="S1324" s="4" t="n">
        <v>2</v>
      </c>
      <c r="T1324" s="1" t="inlineStr">
        <is>
          <t>active</t>
        </is>
      </c>
      <c r="U1324" s="8" t="n"/>
      <c r="V1324" s="1" t="inlineStr">
        <is>
          <t>SIN PRECIO</t>
        </is>
      </c>
    </row>
    <row r="1325">
      <c r="A1325" s="1" t="inlineStr">
        <is>
          <t>66148671022797</t>
        </is>
      </c>
      <c r="B1325" s="1" t="inlineStr">
        <is>
          <t>ARETES CD GOLD BLACK CON ZIRCONIA</t>
        </is>
      </c>
      <c r="C1325" s="1" t="inlineStr">
        <is>
          <t>Default Title</t>
        </is>
      </c>
      <c r="D1325" s="1" t="inlineStr">
        <is>
          <t>ZOEY</t>
        </is>
      </c>
      <c r="E1325" s="4">
        <f>COUNTIF('DETALLE CRONOLÓGICO'!$A$2:$A$4919,$A1325)</f>
        <v/>
      </c>
      <c r="F1325" s="4">
        <f>SUMIFS('DETALLE CRONOLÓGICO'!$I$2:$I$4919,'DETALLE CRONOLÓGICO'!$A$2:$A$4919,$A1325)</f>
        <v/>
      </c>
      <c r="G1325" s="1">
        <f>INDEX('DETALLE CRONOLÓGICO'!$D$2:$D$4919,MATCH($A1325,'DETALLE CRONOLÓGICO'!$A$2:$A$4919,0))</f>
        <v/>
      </c>
      <c r="H1325" s="1">
        <f>INDEX('DETALLE CRONOLÓGICO'!$D$2:$D$4919,MATCH($A1325,'DETALLE CRONOLÓGICO'!$A$2:$A$4919,0)+$E1325-1)</f>
        <v/>
      </c>
      <c r="I1325" s="5">
        <f>IFERROR(SUMIFS('DETALLE CRONOLÓGICO'!$L$2:$L$4919,'DETALLE CRONOLÓGICO'!$A$2:$A$4919,$A1325)/$F1325,"")</f>
        <v/>
      </c>
      <c r="J1325" s="6">
        <f>IFERROR(SUMIFS('DETALLE CRONOLÓGICO'!$K$2:$K$4919,'DETALLE CRONOLÓGICO'!$A$2:$A$4919,$A1325)/$E1325,"")</f>
        <v/>
      </c>
      <c r="K1325" s="6">
        <f>_xlfn.MINIFS('DETALLE CRONOLÓGICO'!$K$2:$K$4919,'DETALLE CRONOLÓGICO'!$A$2:$A$4919,$A1325)</f>
        <v/>
      </c>
      <c r="L1325" s="6">
        <f>_xlfn.MAXIFS('DETALLE CRONOLÓGICO'!$K$2:$K$4919,'DETALLE CRONOLÓGICO'!$A$2:$A$4919,$A1325)</f>
        <v/>
      </c>
      <c r="M1325" s="6">
        <f>INDEX('DETALLE CRONOLÓGICO'!$K$2:$K$4919,MATCH($A1325,'DETALLE CRONOLÓGICO'!$A$2:$A$4919,0)+$E1325-1)</f>
        <v/>
      </c>
      <c r="N1325" s="7">
        <f>IFERROR($M1325/INDEX('DETALLE CRONOLÓGICO'!$K$2:$K$4919,MATCH($A1325,'DETALLE CRONOLÓGICO'!$A$2:$A$4919,0))-1,"")</f>
        <v/>
      </c>
      <c r="O1325" s="6">
        <f>IFERROR($I1325*3,"")</f>
        <v/>
      </c>
      <c r="P1325" s="6">
        <f>IFERROR($I1325*3.5,"")</f>
        <v/>
      </c>
      <c r="Q1325" s="6">
        <f>IFERROR($I1325*4,"")</f>
        <v/>
      </c>
      <c r="R1325" s="6" t="n">
        <v>925</v>
      </c>
      <c r="S1325" s="4" t="n">
        <v>0</v>
      </c>
      <c r="T1325" s="1" t="inlineStr">
        <is>
          <t>active</t>
        </is>
      </c>
      <c r="U1325" s="8" t="n"/>
      <c r="V1325" s="1" t="inlineStr">
        <is>
          <t>SIN PRECIO</t>
        </is>
      </c>
    </row>
    <row r="1326">
      <c r="A1326" s="1" t="inlineStr">
        <is>
          <t>66176a393a025</t>
        </is>
      </c>
      <c r="B1326" s="1" t="inlineStr">
        <is>
          <t>ANILLO LOVE GOLD</t>
        </is>
      </c>
      <c r="C1326" s="1" t="inlineStr">
        <is>
          <t>5</t>
        </is>
      </c>
      <c r="D1326" s="1" t="inlineStr">
        <is>
          <t>HAIFENG</t>
        </is>
      </c>
      <c r="E1326" s="4">
        <f>COUNTIF('DETALLE CRONOLÓGICO'!$A$2:$A$4919,$A1326)</f>
        <v/>
      </c>
      <c r="F1326" s="4">
        <f>SUMIFS('DETALLE CRONOLÓGICO'!$I$2:$I$4919,'DETALLE CRONOLÓGICO'!$A$2:$A$4919,$A1326)</f>
        <v/>
      </c>
      <c r="G1326" s="1">
        <f>INDEX('DETALLE CRONOLÓGICO'!$D$2:$D$4919,MATCH($A1326,'DETALLE CRONOLÓGICO'!$A$2:$A$4919,0))</f>
        <v/>
      </c>
      <c r="H1326" s="1">
        <f>INDEX('DETALLE CRONOLÓGICO'!$D$2:$D$4919,MATCH($A1326,'DETALLE CRONOLÓGICO'!$A$2:$A$4919,0)+$E1326-1)</f>
        <v/>
      </c>
      <c r="I1326" s="5">
        <f>IFERROR(SUMIFS('DETALLE CRONOLÓGICO'!$L$2:$L$4919,'DETALLE CRONOLÓGICO'!$A$2:$A$4919,$A1326)/$F1326,"")</f>
        <v/>
      </c>
      <c r="J1326" s="6">
        <f>IFERROR(SUMIFS('DETALLE CRONOLÓGICO'!$K$2:$K$4919,'DETALLE CRONOLÓGICO'!$A$2:$A$4919,$A1326)/$E1326,"")</f>
        <v/>
      </c>
      <c r="K1326" s="6">
        <f>_xlfn.MINIFS('DETALLE CRONOLÓGICO'!$K$2:$K$4919,'DETALLE CRONOLÓGICO'!$A$2:$A$4919,$A1326)</f>
        <v/>
      </c>
      <c r="L1326" s="6">
        <f>_xlfn.MAXIFS('DETALLE CRONOLÓGICO'!$K$2:$K$4919,'DETALLE CRONOLÓGICO'!$A$2:$A$4919,$A1326)</f>
        <v/>
      </c>
      <c r="M1326" s="6">
        <f>INDEX('DETALLE CRONOLÓGICO'!$K$2:$K$4919,MATCH($A1326,'DETALLE CRONOLÓGICO'!$A$2:$A$4919,0)+$E1326-1)</f>
        <v/>
      </c>
      <c r="N1326" s="7">
        <f>IFERROR($M1326/INDEX('DETALLE CRONOLÓGICO'!$K$2:$K$4919,MATCH($A1326,'DETALLE CRONOLÓGICO'!$A$2:$A$4919,0))-1,"")</f>
        <v/>
      </c>
      <c r="O1326" s="6">
        <f>IFERROR($I1326*3,"")</f>
        <v/>
      </c>
      <c r="P1326" s="6">
        <f>IFERROR($I1326*3.5,"")</f>
        <v/>
      </c>
      <c r="Q1326" s="6">
        <f>IFERROR($I1326*4,"")</f>
        <v/>
      </c>
      <c r="R1326" s="6" t="n">
        <v>400</v>
      </c>
      <c r="S1326" s="4" t="n">
        <v>3</v>
      </c>
      <c r="T1326" s="1" t="inlineStr">
        <is>
          <t>active</t>
        </is>
      </c>
      <c r="U1326" s="8" t="n"/>
      <c r="V1326" s="1" t="inlineStr">
        <is>
          <t>SIN PRECIO</t>
        </is>
      </c>
    </row>
    <row r="1327">
      <c r="A1327" s="1" t="inlineStr">
        <is>
          <t>66176a39da1f0</t>
        </is>
      </c>
      <c r="B1327" s="1" t="inlineStr">
        <is>
          <t>ANILLO LOVE GOLD</t>
        </is>
      </c>
      <c r="C1327" s="1" t="inlineStr">
        <is>
          <t>6</t>
        </is>
      </c>
      <c r="D1327" s="1" t="inlineStr">
        <is>
          <t>HAIFENG</t>
        </is>
      </c>
      <c r="E1327" s="4">
        <f>COUNTIF('DETALLE CRONOLÓGICO'!$A$2:$A$4919,$A1327)</f>
        <v/>
      </c>
      <c r="F1327" s="4">
        <f>SUMIFS('DETALLE CRONOLÓGICO'!$I$2:$I$4919,'DETALLE CRONOLÓGICO'!$A$2:$A$4919,$A1327)</f>
        <v/>
      </c>
      <c r="G1327" s="1">
        <f>INDEX('DETALLE CRONOLÓGICO'!$D$2:$D$4919,MATCH($A1327,'DETALLE CRONOLÓGICO'!$A$2:$A$4919,0))</f>
        <v/>
      </c>
      <c r="H1327" s="1">
        <f>INDEX('DETALLE CRONOLÓGICO'!$D$2:$D$4919,MATCH($A1327,'DETALLE CRONOLÓGICO'!$A$2:$A$4919,0)+$E1327-1)</f>
        <v/>
      </c>
      <c r="I1327" s="5">
        <f>IFERROR(SUMIFS('DETALLE CRONOLÓGICO'!$L$2:$L$4919,'DETALLE CRONOLÓGICO'!$A$2:$A$4919,$A1327)/$F1327,"")</f>
        <v/>
      </c>
      <c r="J1327" s="6">
        <f>IFERROR(SUMIFS('DETALLE CRONOLÓGICO'!$K$2:$K$4919,'DETALLE CRONOLÓGICO'!$A$2:$A$4919,$A1327)/$E1327,"")</f>
        <v/>
      </c>
      <c r="K1327" s="6">
        <f>_xlfn.MINIFS('DETALLE CRONOLÓGICO'!$K$2:$K$4919,'DETALLE CRONOLÓGICO'!$A$2:$A$4919,$A1327)</f>
        <v/>
      </c>
      <c r="L1327" s="6">
        <f>_xlfn.MAXIFS('DETALLE CRONOLÓGICO'!$K$2:$K$4919,'DETALLE CRONOLÓGICO'!$A$2:$A$4919,$A1327)</f>
        <v/>
      </c>
      <c r="M1327" s="6">
        <f>INDEX('DETALLE CRONOLÓGICO'!$K$2:$K$4919,MATCH($A1327,'DETALLE CRONOLÓGICO'!$A$2:$A$4919,0)+$E1327-1)</f>
        <v/>
      </c>
      <c r="N1327" s="7">
        <f>IFERROR($M1327/INDEX('DETALLE CRONOLÓGICO'!$K$2:$K$4919,MATCH($A1327,'DETALLE CRONOLÓGICO'!$A$2:$A$4919,0))-1,"")</f>
        <v/>
      </c>
      <c r="O1327" s="6">
        <f>IFERROR($I1327*3,"")</f>
        <v/>
      </c>
      <c r="P1327" s="6">
        <f>IFERROR($I1327*3.5,"")</f>
        <v/>
      </c>
      <c r="Q1327" s="6">
        <f>IFERROR($I1327*4,"")</f>
        <v/>
      </c>
      <c r="R1327" s="6" t="n">
        <v>400</v>
      </c>
      <c r="S1327" s="4" t="n">
        <v>6</v>
      </c>
      <c r="T1327" s="1" t="inlineStr">
        <is>
          <t>active</t>
        </is>
      </c>
      <c r="U1327" s="8" t="n"/>
      <c r="V1327" s="1" t="inlineStr">
        <is>
          <t>SIN PRECIO</t>
        </is>
      </c>
    </row>
    <row r="1328">
      <c r="A1328" s="1" t="inlineStr">
        <is>
          <t>66176a3a6e732</t>
        </is>
      </c>
      <c r="B1328" s="1" t="inlineStr">
        <is>
          <t>ANILLO LOVE GOLD</t>
        </is>
      </c>
      <c r="C1328" s="1" t="inlineStr">
        <is>
          <t>7</t>
        </is>
      </c>
      <c r="D1328" s="1" t="inlineStr">
        <is>
          <t>HAIFENG</t>
        </is>
      </c>
      <c r="E1328" s="4">
        <f>COUNTIF('DETALLE CRONOLÓGICO'!$A$2:$A$4919,$A1328)</f>
        <v/>
      </c>
      <c r="F1328" s="4">
        <f>SUMIFS('DETALLE CRONOLÓGICO'!$I$2:$I$4919,'DETALLE CRONOLÓGICO'!$A$2:$A$4919,$A1328)</f>
        <v/>
      </c>
      <c r="G1328" s="1">
        <f>INDEX('DETALLE CRONOLÓGICO'!$D$2:$D$4919,MATCH($A1328,'DETALLE CRONOLÓGICO'!$A$2:$A$4919,0))</f>
        <v/>
      </c>
      <c r="H1328" s="1">
        <f>INDEX('DETALLE CRONOLÓGICO'!$D$2:$D$4919,MATCH($A1328,'DETALLE CRONOLÓGICO'!$A$2:$A$4919,0)+$E1328-1)</f>
        <v/>
      </c>
      <c r="I1328" s="5">
        <f>IFERROR(SUMIFS('DETALLE CRONOLÓGICO'!$L$2:$L$4919,'DETALLE CRONOLÓGICO'!$A$2:$A$4919,$A1328)/$F1328,"")</f>
        <v/>
      </c>
      <c r="J1328" s="6">
        <f>IFERROR(SUMIFS('DETALLE CRONOLÓGICO'!$K$2:$K$4919,'DETALLE CRONOLÓGICO'!$A$2:$A$4919,$A1328)/$E1328,"")</f>
        <v/>
      </c>
      <c r="K1328" s="6">
        <f>_xlfn.MINIFS('DETALLE CRONOLÓGICO'!$K$2:$K$4919,'DETALLE CRONOLÓGICO'!$A$2:$A$4919,$A1328)</f>
        <v/>
      </c>
      <c r="L1328" s="6">
        <f>_xlfn.MAXIFS('DETALLE CRONOLÓGICO'!$K$2:$K$4919,'DETALLE CRONOLÓGICO'!$A$2:$A$4919,$A1328)</f>
        <v/>
      </c>
      <c r="M1328" s="6">
        <f>INDEX('DETALLE CRONOLÓGICO'!$K$2:$K$4919,MATCH($A1328,'DETALLE CRONOLÓGICO'!$A$2:$A$4919,0)+$E1328-1)</f>
        <v/>
      </c>
      <c r="N1328" s="7">
        <f>IFERROR($M1328/INDEX('DETALLE CRONOLÓGICO'!$K$2:$K$4919,MATCH($A1328,'DETALLE CRONOLÓGICO'!$A$2:$A$4919,0))-1,"")</f>
        <v/>
      </c>
      <c r="O1328" s="6">
        <f>IFERROR($I1328*3,"")</f>
        <v/>
      </c>
      <c r="P1328" s="6">
        <f>IFERROR($I1328*3.5,"")</f>
        <v/>
      </c>
      <c r="Q1328" s="6">
        <f>IFERROR($I1328*4,"")</f>
        <v/>
      </c>
      <c r="R1328" s="6" t="n">
        <v>400</v>
      </c>
      <c r="S1328" s="4" t="n">
        <v>13</v>
      </c>
      <c r="T1328" s="1" t="inlineStr">
        <is>
          <t>active</t>
        </is>
      </c>
      <c r="U1328" s="8" t="n"/>
      <c r="V1328" s="1" t="inlineStr">
        <is>
          <t>SIN PRECIO</t>
        </is>
      </c>
    </row>
    <row r="1329">
      <c r="A1329" s="1" t="inlineStr">
        <is>
          <t>66176a3b07b47</t>
        </is>
      </c>
      <c r="B1329" s="1" t="inlineStr">
        <is>
          <t>ANILLO LOVE GOLD</t>
        </is>
      </c>
      <c r="C1329" s="1" t="inlineStr">
        <is>
          <t>8</t>
        </is>
      </c>
      <c r="D1329" s="1" t="inlineStr">
        <is>
          <t>HAIFENG</t>
        </is>
      </c>
      <c r="E1329" s="4">
        <f>COUNTIF('DETALLE CRONOLÓGICO'!$A$2:$A$4919,$A1329)</f>
        <v/>
      </c>
      <c r="F1329" s="4">
        <f>SUMIFS('DETALLE CRONOLÓGICO'!$I$2:$I$4919,'DETALLE CRONOLÓGICO'!$A$2:$A$4919,$A1329)</f>
        <v/>
      </c>
      <c r="G1329" s="1">
        <f>INDEX('DETALLE CRONOLÓGICO'!$D$2:$D$4919,MATCH($A1329,'DETALLE CRONOLÓGICO'!$A$2:$A$4919,0))</f>
        <v/>
      </c>
      <c r="H1329" s="1">
        <f>INDEX('DETALLE CRONOLÓGICO'!$D$2:$D$4919,MATCH($A1329,'DETALLE CRONOLÓGICO'!$A$2:$A$4919,0)+$E1329-1)</f>
        <v/>
      </c>
      <c r="I1329" s="5">
        <f>IFERROR(SUMIFS('DETALLE CRONOLÓGICO'!$L$2:$L$4919,'DETALLE CRONOLÓGICO'!$A$2:$A$4919,$A1329)/$F1329,"")</f>
        <v/>
      </c>
      <c r="J1329" s="6">
        <f>IFERROR(SUMIFS('DETALLE CRONOLÓGICO'!$K$2:$K$4919,'DETALLE CRONOLÓGICO'!$A$2:$A$4919,$A1329)/$E1329,"")</f>
        <v/>
      </c>
      <c r="K1329" s="6">
        <f>_xlfn.MINIFS('DETALLE CRONOLÓGICO'!$K$2:$K$4919,'DETALLE CRONOLÓGICO'!$A$2:$A$4919,$A1329)</f>
        <v/>
      </c>
      <c r="L1329" s="6">
        <f>_xlfn.MAXIFS('DETALLE CRONOLÓGICO'!$K$2:$K$4919,'DETALLE CRONOLÓGICO'!$A$2:$A$4919,$A1329)</f>
        <v/>
      </c>
      <c r="M1329" s="6">
        <f>INDEX('DETALLE CRONOLÓGICO'!$K$2:$K$4919,MATCH($A1329,'DETALLE CRONOLÓGICO'!$A$2:$A$4919,0)+$E1329-1)</f>
        <v/>
      </c>
      <c r="N1329" s="7">
        <f>IFERROR($M1329/INDEX('DETALLE CRONOLÓGICO'!$K$2:$K$4919,MATCH($A1329,'DETALLE CRONOLÓGICO'!$A$2:$A$4919,0))-1,"")</f>
        <v/>
      </c>
      <c r="O1329" s="6">
        <f>IFERROR($I1329*3,"")</f>
        <v/>
      </c>
      <c r="P1329" s="6">
        <f>IFERROR($I1329*3.5,"")</f>
        <v/>
      </c>
      <c r="Q1329" s="6">
        <f>IFERROR($I1329*4,"")</f>
        <v/>
      </c>
      <c r="R1329" s="6" t="n">
        <v>400</v>
      </c>
      <c r="S1329" s="4" t="n">
        <v>2</v>
      </c>
      <c r="T1329" s="1" t="inlineStr">
        <is>
          <t>active</t>
        </is>
      </c>
      <c r="U1329" s="8" t="n"/>
      <c r="V1329" s="1" t="inlineStr">
        <is>
          <t>SIN PRECIO</t>
        </is>
      </c>
    </row>
    <row r="1330">
      <c r="A1330" s="1" t="inlineStr">
        <is>
          <t>66176a3b97be5</t>
        </is>
      </c>
      <c r="B1330" s="1" t="inlineStr">
        <is>
          <t>ANILLO LOVE GOLD</t>
        </is>
      </c>
      <c r="C1330" s="1" t="inlineStr">
        <is>
          <t>9</t>
        </is>
      </c>
      <c r="D1330" s="1" t="inlineStr">
        <is>
          <t>HAIFENG</t>
        </is>
      </c>
      <c r="E1330" s="4">
        <f>COUNTIF('DETALLE CRONOLÓGICO'!$A$2:$A$4919,$A1330)</f>
        <v/>
      </c>
      <c r="F1330" s="4">
        <f>SUMIFS('DETALLE CRONOLÓGICO'!$I$2:$I$4919,'DETALLE CRONOLÓGICO'!$A$2:$A$4919,$A1330)</f>
        <v/>
      </c>
      <c r="G1330" s="1">
        <f>INDEX('DETALLE CRONOLÓGICO'!$D$2:$D$4919,MATCH($A1330,'DETALLE CRONOLÓGICO'!$A$2:$A$4919,0))</f>
        <v/>
      </c>
      <c r="H1330" s="1">
        <f>INDEX('DETALLE CRONOLÓGICO'!$D$2:$D$4919,MATCH($A1330,'DETALLE CRONOLÓGICO'!$A$2:$A$4919,0)+$E1330-1)</f>
        <v/>
      </c>
      <c r="I1330" s="5">
        <f>IFERROR(SUMIFS('DETALLE CRONOLÓGICO'!$L$2:$L$4919,'DETALLE CRONOLÓGICO'!$A$2:$A$4919,$A1330)/$F1330,"")</f>
        <v/>
      </c>
      <c r="J1330" s="6">
        <f>IFERROR(SUMIFS('DETALLE CRONOLÓGICO'!$K$2:$K$4919,'DETALLE CRONOLÓGICO'!$A$2:$A$4919,$A1330)/$E1330,"")</f>
        <v/>
      </c>
      <c r="K1330" s="6">
        <f>_xlfn.MINIFS('DETALLE CRONOLÓGICO'!$K$2:$K$4919,'DETALLE CRONOLÓGICO'!$A$2:$A$4919,$A1330)</f>
        <v/>
      </c>
      <c r="L1330" s="6">
        <f>_xlfn.MAXIFS('DETALLE CRONOLÓGICO'!$K$2:$K$4919,'DETALLE CRONOLÓGICO'!$A$2:$A$4919,$A1330)</f>
        <v/>
      </c>
      <c r="M1330" s="6">
        <f>INDEX('DETALLE CRONOLÓGICO'!$K$2:$K$4919,MATCH($A1330,'DETALLE CRONOLÓGICO'!$A$2:$A$4919,0)+$E1330-1)</f>
        <v/>
      </c>
      <c r="N1330" s="7">
        <f>IFERROR($M1330/INDEX('DETALLE CRONOLÓGICO'!$K$2:$K$4919,MATCH($A1330,'DETALLE CRONOLÓGICO'!$A$2:$A$4919,0))-1,"")</f>
        <v/>
      </c>
      <c r="O1330" s="6">
        <f>IFERROR($I1330*3,"")</f>
        <v/>
      </c>
      <c r="P1330" s="6">
        <f>IFERROR($I1330*3.5,"")</f>
        <v/>
      </c>
      <c r="Q1330" s="6">
        <f>IFERROR($I1330*4,"")</f>
        <v/>
      </c>
      <c r="R1330" s="6" t="n">
        <v>400</v>
      </c>
      <c r="S1330" s="4" t="n">
        <v>0</v>
      </c>
      <c r="T1330" s="1" t="inlineStr">
        <is>
          <t>active</t>
        </is>
      </c>
      <c r="U1330" s="8" t="n"/>
      <c r="V1330" s="1" t="inlineStr">
        <is>
          <t>SIN PRECIO</t>
        </is>
      </c>
    </row>
    <row r="1331">
      <c r="A1331" s="1" t="inlineStr">
        <is>
          <t>66176a3c25a91</t>
        </is>
      </c>
      <c r="B1331" s="1" t="inlineStr">
        <is>
          <t>ANILLO LOVE GOLD</t>
        </is>
      </c>
      <c r="C1331" s="1" t="inlineStr">
        <is>
          <t>10</t>
        </is>
      </c>
      <c r="D1331" s="1" t="inlineStr">
        <is>
          <t>HAIFENG</t>
        </is>
      </c>
      <c r="E1331" s="4">
        <f>COUNTIF('DETALLE CRONOLÓGICO'!$A$2:$A$4919,$A1331)</f>
        <v/>
      </c>
      <c r="F1331" s="4">
        <f>SUMIFS('DETALLE CRONOLÓGICO'!$I$2:$I$4919,'DETALLE CRONOLÓGICO'!$A$2:$A$4919,$A1331)</f>
        <v/>
      </c>
      <c r="G1331" s="1">
        <f>INDEX('DETALLE CRONOLÓGICO'!$D$2:$D$4919,MATCH($A1331,'DETALLE CRONOLÓGICO'!$A$2:$A$4919,0))</f>
        <v/>
      </c>
      <c r="H1331" s="1">
        <f>INDEX('DETALLE CRONOLÓGICO'!$D$2:$D$4919,MATCH($A1331,'DETALLE CRONOLÓGICO'!$A$2:$A$4919,0)+$E1331-1)</f>
        <v/>
      </c>
      <c r="I1331" s="5">
        <f>IFERROR(SUMIFS('DETALLE CRONOLÓGICO'!$L$2:$L$4919,'DETALLE CRONOLÓGICO'!$A$2:$A$4919,$A1331)/$F1331,"")</f>
        <v/>
      </c>
      <c r="J1331" s="6">
        <f>IFERROR(SUMIFS('DETALLE CRONOLÓGICO'!$K$2:$K$4919,'DETALLE CRONOLÓGICO'!$A$2:$A$4919,$A1331)/$E1331,"")</f>
        <v/>
      </c>
      <c r="K1331" s="6">
        <f>_xlfn.MINIFS('DETALLE CRONOLÓGICO'!$K$2:$K$4919,'DETALLE CRONOLÓGICO'!$A$2:$A$4919,$A1331)</f>
        <v/>
      </c>
      <c r="L1331" s="6">
        <f>_xlfn.MAXIFS('DETALLE CRONOLÓGICO'!$K$2:$K$4919,'DETALLE CRONOLÓGICO'!$A$2:$A$4919,$A1331)</f>
        <v/>
      </c>
      <c r="M1331" s="6">
        <f>INDEX('DETALLE CRONOLÓGICO'!$K$2:$K$4919,MATCH($A1331,'DETALLE CRONOLÓGICO'!$A$2:$A$4919,0)+$E1331-1)</f>
        <v/>
      </c>
      <c r="N1331" s="7">
        <f>IFERROR($M1331/INDEX('DETALLE CRONOLÓGICO'!$K$2:$K$4919,MATCH($A1331,'DETALLE CRONOLÓGICO'!$A$2:$A$4919,0))-1,"")</f>
        <v/>
      </c>
      <c r="O1331" s="6">
        <f>IFERROR($I1331*3,"")</f>
        <v/>
      </c>
      <c r="P1331" s="6">
        <f>IFERROR($I1331*3.5,"")</f>
        <v/>
      </c>
      <c r="Q1331" s="6">
        <f>IFERROR($I1331*4,"")</f>
        <v/>
      </c>
      <c r="R1331" s="6" t="n">
        <v>400</v>
      </c>
      <c r="S1331" s="4" t="n">
        <v>3</v>
      </c>
      <c r="T1331" s="1" t="inlineStr">
        <is>
          <t>active</t>
        </is>
      </c>
      <c r="U1331" s="8" t="n"/>
      <c r="V1331" s="1" t="inlineStr">
        <is>
          <t>SIN PRECIO</t>
        </is>
      </c>
    </row>
    <row r="1332">
      <c r="A1332" s="1" t="inlineStr">
        <is>
          <t>66176a3cab809</t>
        </is>
      </c>
      <c r="B1332" s="1" t="inlineStr">
        <is>
          <t>ANILLO LOVE GOLD</t>
        </is>
      </c>
      <c r="C1332" s="1" t="inlineStr">
        <is>
          <t>11</t>
        </is>
      </c>
      <c r="D1332" s="1" t="inlineStr">
        <is>
          <t>HAIFENG</t>
        </is>
      </c>
      <c r="E1332" s="4">
        <f>COUNTIF('DETALLE CRONOLÓGICO'!$A$2:$A$4919,$A1332)</f>
        <v/>
      </c>
      <c r="F1332" s="4">
        <f>SUMIFS('DETALLE CRONOLÓGICO'!$I$2:$I$4919,'DETALLE CRONOLÓGICO'!$A$2:$A$4919,$A1332)</f>
        <v/>
      </c>
      <c r="G1332" s="1">
        <f>INDEX('DETALLE CRONOLÓGICO'!$D$2:$D$4919,MATCH($A1332,'DETALLE CRONOLÓGICO'!$A$2:$A$4919,0))</f>
        <v/>
      </c>
      <c r="H1332" s="1">
        <f>INDEX('DETALLE CRONOLÓGICO'!$D$2:$D$4919,MATCH($A1332,'DETALLE CRONOLÓGICO'!$A$2:$A$4919,0)+$E1332-1)</f>
        <v/>
      </c>
      <c r="I1332" s="5">
        <f>IFERROR(SUMIFS('DETALLE CRONOLÓGICO'!$L$2:$L$4919,'DETALLE CRONOLÓGICO'!$A$2:$A$4919,$A1332)/$F1332,"")</f>
        <v/>
      </c>
      <c r="J1332" s="6">
        <f>IFERROR(SUMIFS('DETALLE CRONOLÓGICO'!$K$2:$K$4919,'DETALLE CRONOLÓGICO'!$A$2:$A$4919,$A1332)/$E1332,"")</f>
        <v/>
      </c>
      <c r="K1332" s="6">
        <f>_xlfn.MINIFS('DETALLE CRONOLÓGICO'!$K$2:$K$4919,'DETALLE CRONOLÓGICO'!$A$2:$A$4919,$A1332)</f>
        <v/>
      </c>
      <c r="L1332" s="6">
        <f>_xlfn.MAXIFS('DETALLE CRONOLÓGICO'!$K$2:$K$4919,'DETALLE CRONOLÓGICO'!$A$2:$A$4919,$A1332)</f>
        <v/>
      </c>
      <c r="M1332" s="6">
        <f>INDEX('DETALLE CRONOLÓGICO'!$K$2:$K$4919,MATCH($A1332,'DETALLE CRONOLÓGICO'!$A$2:$A$4919,0)+$E1332-1)</f>
        <v/>
      </c>
      <c r="N1332" s="7">
        <f>IFERROR($M1332/INDEX('DETALLE CRONOLÓGICO'!$K$2:$K$4919,MATCH($A1332,'DETALLE CRONOLÓGICO'!$A$2:$A$4919,0))-1,"")</f>
        <v/>
      </c>
      <c r="O1332" s="6">
        <f>IFERROR($I1332*3,"")</f>
        <v/>
      </c>
      <c r="P1332" s="6">
        <f>IFERROR($I1332*3.5,"")</f>
        <v/>
      </c>
      <c r="Q1332" s="6">
        <f>IFERROR($I1332*4,"")</f>
        <v/>
      </c>
      <c r="R1332" s="6" t="n">
        <v>400</v>
      </c>
      <c r="S1332" s="4" t="n">
        <v>3</v>
      </c>
      <c r="T1332" s="1" t="inlineStr">
        <is>
          <t>active</t>
        </is>
      </c>
      <c r="U1332" s="8" t="n"/>
      <c r="V1332" s="1" t="inlineStr">
        <is>
          <t>SIN PRECIO</t>
        </is>
      </c>
    </row>
    <row r="1333">
      <c r="A1333" s="1" t="inlineStr">
        <is>
          <t>66176c83f3f50</t>
        </is>
      </c>
      <c r="B1333" s="1" t="inlineStr">
        <is>
          <t>ANILLO LOVE SILVER</t>
        </is>
      </c>
      <c r="C1333" s="1" t="inlineStr">
        <is>
          <t>5</t>
        </is>
      </c>
      <c r="D1333" s="1" t="inlineStr">
        <is>
          <t>HAIFENG</t>
        </is>
      </c>
      <c r="E1333" s="4">
        <f>COUNTIF('DETALLE CRONOLÓGICO'!$A$2:$A$4919,$A1333)</f>
        <v/>
      </c>
      <c r="F1333" s="4">
        <f>SUMIFS('DETALLE CRONOLÓGICO'!$I$2:$I$4919,'DETALLE CRONOLÓGICO'!$A$2:$A$4919,$A1333)</f>
        <v/>
      </c>
      <c r="G1333" s="1">
        <f>INDEX('DETALLE CRONOLÓGICO'!$D$2:$D$4919,MATCH($A1333,'DETALLE CRONOLÓGICO'!$A$2:$A$4919,0))</f>
        <v/>
      </c>
      <c r="H1333" s="1">
        <f>INDEX('DETALLE CRONOLÓGICO'!$D$2:$D$4919,MATCH($A1333,'DETALLE CRONOLÓGICO'!$A$2:$A$4919,0)+$E1333-1)</f>
        <v/>
      </c>
      <c r="I1333" s="5">
        <f>IFERROR(SUMIFS('DETALLE CRONOLÓGICO'!$L$2:$L$4919,'DETALLE CRONOLÓGICO'!$A$2:$A$4919,$A1333)/$F1333,"")</f>
        <v/>
      </c>
      <c r="J1333" s="6">
        <f>IFERROR(SUMIFS('DETALLE CRONOLÓGICO'!$K$2:$K$4919,'DETALLE CRONOLÓGICO'!$A$2:$A$4919,$A1333)/$E1333,"")</f>
        <v/>
      </c>
      <c r="K1333" s="6">
        <f>_xlfn.MINIFS('DETALLE CRONOLÓGICO'!$K$2:$K$4919,'DETALLE CRONOLÓGICO'!$A$2:$A$4919,$A1333)</f>
        <v/>
      </c>
      <c r="L1333" s="6">
        <f>_xlfn.MAXIFS('DETALLE CRONOLÓGICO'!$K$2:$K$4919,'DETALLE CRONOLÓGICO'!$A$2:$A$4919,$A1333)</f>
        <v/>
      </c>
      <c r="M1333" s="6">
        <f>INDEX('DETALLE CRONOLÓGICO'!$K$2:$K$4919,MATCH($A1333,'DETALLE CRONOLÓGICO'!$A$2:$A$4919,0)+$E1333-1)</f>
        <v/>
      </c>
      <c r="N1333" s="7">
        <f>IFERROR($M1333/INDEX('DETALLE CRONOLÓGICO'!$K$2:$K$4919,MATCH($A1333,'DETALLE CRONOLÓGICO'!$A$2:$A$4919,0))-1,"")</f>
        <v/>
      </c>
      <c r="O1333" s="6">
        <f>IFERROR($I1333*3,"")</f>
        <v/>
      </c>
      <c r="P1333" s="6">
        <f>IFERROR($I1333*3.5,"")</f>
        <v/>
      </c>
      <c r="Q1333" s="6">
        <f>IFERROR($I1333*4,"")</f>
        <v/>
      </c>
      <c r="R1333" s="6" t="n">
        <v>400</v>
      </c>
      <c r="S1333" s="4" t="n">
        <v>5</v>
      </c>
      <c r="T1333" s="1" t="inlineStr">
        <is>
          <t>active</t>
        </is>
      </c>
      <c r="U1333" s="8" t="n"/>
      <c r="V1333" s="1" t="inlineStr">
        <is>
          <t>SIN PRECIO</t>
        </is>
      </c>
    </row>
    <row r="1334">
      <c r="A1334" s="1" t="inlineStr">
        <is>
          <t>66176c8482af4</t>
        </is>
      </c>
      <c r="B1334" s="1" t="inlineStr">
        <is>
          <t>ANILLO LOVE SILVER</t>
        </is>
      </c>
      <c r="C1334" s="1" t="inlineStr">
        <is>
          <t>6</t>
        </is>
      </c>
      <c r="D1334" s="1" t="inlineStr">
        <is>
          <t>HAIFENG</t>
        </is>
      </c>
      <c r="E1334" s="4">
        <f>COUNTIF('DETALLE CRONOLÓGICO'!$A$2:$A$4919,$A1334)</f>
        <v/>
      </c>
      <c r="F1334" s="4">
        <f>SUMIFS('DETALLE CRONOLÓGICO'!$I$2:$I$4919,'DETALLE CRONOLÓGICO'!$A$2:$A$4919,$A1334)</f>
        <v/>
      </c>
      <c r="G1334" s="1">
        <f>INDEX('DETALLE CRONOLÓGICO'!$D$2:$D$4919,MATCH($A1334,'DETALLE CRONOLÓGICO'!$A$2:$A$4919,0))</f>
        <v/>
      </c>
      <c r="H1334" s="1">
        <f>INDEX('DETALLE CRONOLÓGICO'!$D$2:$D$4919,MATCH($A1334,'DETALLE CRONOLÓGICO'!$A$2:$A$4919,0)+$E1334-1)</f>
        <v/>
      </c>
      <c r="I1334" s="5">
        <f>IFERROR(SUMIFS('DETALLE CRONOLÓGICO'!$L$2:$L$4919,'DETALLE CRONOLÓGICO'!$A$2:$A$4919,$A1334)/$F1334,"")</f>
        <v/>
      </c>
      <c r="J1334" s="6">
        <f>IFERROR(SUMIFS('DETALLE CRONOLÓGICO'!$K$2:$K$4919,'DETALLE CRONOLÓGICO'!$A$2:$A$4919,$A1334)/$E1334,"")</f>
        <v/>
      </c>
      <c r="K1334" s="6">
        <f>_xlfn.MINIFS('DETALLE CRONOLÓGICO'!$K$2:$K$4919,'DETALLE CRONOLÓGICO'!$A$2:$A$4919,$A1334)</f>
        <v/>
      </c>
      <c r="L1334" s="6">
        <f>_xlfn.MAXIFS('DETALLE CRONOLÓGICO'!$K$2:$K$4919,'DETALLE CRONOLÓGICO'!$A$2:$A$4919,$A1334)</f>
        <v/>
      </c>
      <c r="M1334" s="6">
        <f>INDEX('DETALLE CRONOLÓGICO'!$K$2:$K$4919,MATCH($A1334,'DETALLE CRONOLÓGICO'!$A$2:$A$4919,0)+$E1334-1)</f>
        <v/>
      </c>
      <c r="N1334" s="7">
        <f>IFERROR($M1334/INDEX('DETALLE CRONOLÓGICO'!$K$2:$K$4919,MATCH($A1334,'DETALLE CRONOLÓGICO'!$A$2:$A$4919,0))-1,"")</f>
        <v/>
      </c>
      <c r="O1334" s="6">
        <f>IFERROR($I1334*3,"")</f>
        <v/>
      </c>
      <c r="P1334" s="6">
        <f>IFERROR($I1334*3.5,"")</f>
        <v/>
      </c>
      <c r="Q1334" s="6">
        <f>IFERROR($I1334*4,"")</f>
        <v/>
      </c>
      <c r="R1334" s="6" t="n">
        <v>400</v>
      </c>
      <c r="S1334" s="4" t="n">
        <v>2</v>
      </c>
      <c r="T1334" s="1" t="inlineStr">
        <is>
          <t>active</t>
        </is>
      </c>
      <c r="U1334" s="8" t="n"/>
      <c r="V1334" s="1" t="inlineStr">
        <is>
          <t>SIN PRECIO</t>
        </is>
      </c>
    </row>
    <row r="1335">
      <c r="A1335" s="1" t="inlineStr">
        <is>
          <t>66176c850b76a</t>
        </is>
      </c>
      <c r="B1335" s="1" t="inlineStr">
        <is>
          <t>ANILLO LOVE SILVER (THIN WITHOUT ZIRCONIAS)</t>
        </is>
      </c>
      <c r="C1335" s="1" t="inlineStr">
        <is>
          <t>7</t>
        </is>
      </c>
      <c r="D1335" s="1" t="inlineStr">
        <is>
          <t>HAIFENG</t>
        </is>
      </c>
      <c r="E1335" s="4">
        <f>COUNTIF('DETALLE CRONOLÓGICO'!$A$2:$A$4919,$A1335)</f>
        <v/>
      </c>
      <c r="F1335" s="4">
        <f>SUMIFS('DETALLE CRONOLÓGICO'!$I$2:$I$4919,'DETALLE CRONOLÓGICO'!$A$2:$A$4919,$A1335)</f>
        <v/>
      </c>
      <c r="G1335" s="1">
        <f>INDEX('DETALLE CRONOLÓGICO'!$D$2:$D$4919,MATCH($A1335,'DETALLE CRONOLÓGICO'!$A$2:$A$4919,0))</f>
        <v/>
      </c>
      <c r="H1335" s="1">
        <f>INDEX('DETALLE CRONOLÓGICO'!$D$2:$D$4919,MATCH($A1335,'DETALLE CRONOLÓGICO'!$A$2:$A$4919,0)+$E1335-1)</f>
        <v/>
      </c>
      <c r="I1335" s="5">
        <f>IFERROR(SUMIFS('DETALLE CRONOLÓGICO'!$L$2:$L$4919,'DETALLE CRONOLÓGICO'!$A$2:$A$4919,$A1335)/$F1335,"")</f>
        <v/>
      </c>
      <c r="J1335" s="6">
        <f>IFERROR(SUMIFS('DETALLE CRONOLÓGICO'!$K$2:$K$4919,'DETALLE CRONOLÓGICO'!$A$2:$A$4919,$A1335)/$E1335,"")</f>
        <v/>
      </c>
      <c r="K1335" s="6">
        <f>_xlfn.MINIFS('DETALLE CRONOLÓGICO'!$K$2:$K$4919,'DETALLE CRONOLÓGICO'!$A$2:$A$4919,$A1335)</f>
        <v/>
      </c>
      <c r="L1335" s="6">
        <f>_xlfn.MAXIFS('DETALLE CRONOLÓGICO'!$K$2:$K$4919,'DETALLE CRONOLÓGICO'!$A$2:$A$4919,$A1335)</f>
        <v/>
      </c>
      <c r="M1335" s="6">
        <f>INDEX('DETALLE CRONOLÓGICO'!$K$2:$K$4919,MATCH($A1335,'DETALLE CRONOLÓGICO'!$A$2:$A$4919,0)+$E1335-1)</f>
        <v/>
      </c>
      <c r="N1335" s="7">
        <f>IFERROR($M1335/INDEX('DETALLE CRONOLÓGICO'!$K$2:$K$4919,MATCH($A1335,'DETALLE CRONOLÓGICO'!$A$2:$A$4919,0))-1,"")</f>
        <v/>
      </c>
      <c r="O1335" s="6">
        <f>IFERROR($I1335*3,"")</f>
        <v/>
      </c>
      <c r="P1335" s="6">
        <f>IFERROR($I1335*3.5,"")</f>
        <v/>
      </c>
      <c r="Q1335" s="6">
        <f>IFERROR($I1335*4,"")</f>
        <v/>
      </c>
      <c r="R1335" s="6" t="n">
        <v>400</v>
      </c>
      <c r="S1335" s="4" t="n">
        <v>3</v>
      </c>
      <c r="T1335" s="1" t="inlineStr">
        <is>
          <t>active</t>
        </is>
      </c>
      <c r="U1335" s="8" t="n"/>
      <c r="V1335" s="1" t="inlineStr">
        <is>
          <t>SIN PRECIO</t>
        </is>
      </c>
    </row>
    <row r="1336">
      <c r="A1336" s="1" t="inlineStr">
        <is>
          <t>66176c8589787</t>
        </is>
      </c>
      <c r="B1336" s="1" t="inlineStr">
        <is>
          <t>ANILLO LOVE SILVER (THIN WITHOUT ZIRCONIAS)</t>
        </is>
      </c>
      <c r="C1336" s="1" t="inlineStr">
        <is>
          <t>8</t>
        </is>
      </c>
      <c r="D1336" s="1" t="inlineStr">
        <is>
          <t>HAIFENG</t>
        </is>
      </c>
      <c r="E1336" s="4">
        <f>COUNTIF('DETALLE CRONOLÓGICO'!$A$2:$A$4919,$A1336)</f>
        <v/>
      </c>
      <c r="F1336" s="4">
        <f>SUMIFS('DETALLE CRONOLÓGICO'!$I$2:$I$4919,'DETALLE CRONOLÓGICO'!$A$2:$A$4919,$A1336)</f>
        <v/>
      </c>
      <c r="G1336" s="1">
        <f>INDEX('DETALLE CRONOLÓGICO'!$D$2:$D$4919,MATCH($A1336,'DETALLE CRONOLÓGICO'!$A$2:$A$4919,0))</f>
        <v/>
      </c>
      <c r="H1336" s="1">
        <f>INDEX('DETALLE CRONOLÓGICO'!$D$2:$D$4919,MATCH($A1336,'DETALLE CRONOLÓGICO'!$A$2:$A$4919,0)+$E1336-1)</f>
        <v/>
      </c>
      <c r="I1336" s="5">
        <f>IFERROR(SUMIFS('DETALLE CRONOLÓGICO'!$L$2:$L$4919,'DETALLE CRONOLÓGICO'!$A$2:$A$4919,$A1336)/$F1336,"")</f>
        <v/>
      </c>
      <c r="J1336" s="6">
        <f>IFERROR(SUMIFS('DETALLE CRONOLÓGICO'!$K$2:$K$4919,'DETALLE CRONOLÓGICO'!$A$2:$A$4919,$A1336)/$E1336,"")</f>
        <v/>
      </c>
      <c r="K1336" s="6">
        <f>_xlfn.MINIFS('DETALLE CRONOLÓGICO'!$K$2:$K$4919,'DETALLE CRONOLÓGICO'!$A$2:$A$4919,$A1336)</f>
        <v/>
      </c>
      <c r="L1336" s="6">
        <f>_xlfn.MAXIFS('DETALLE CRONOLÓGICO'!$K$2:$K$4919,'DETALLE CRONOLÓGICO'!$A$2:$A$4919,$A1336)</f>
        <v/>
      </c>
      <c r="M1336" s="6">
        <f>INDEX('DETALLE CRONOLÓGICO'!$K$2:$K$4919,MATCH($A1336,'DETALLE CRONOLÓGICO'!$A$2:$A$4919,0)+$E1336-1)</f>
        <v/>
      </c>
      <c r="N1336" s="7">
        <f>IFERROR($M1336/INDEX('DETALLE CRONOLÓGICO'!$K$2:$K$4919,MATCH($A1336,'DETALLE CRONOLÓGICO'!$A$2:$A$4919,0))-1,"")</f>
        <v/>
      </c>
      <c r="O1336" s="6">
        <f>IFERROR($I1336*3,"")</f>
        <v/>
      </c>
      <c r="P1336" s="6">
        <f>IFERROR($I1336*3.5,"")</f>
        <v/>
      </c>
      <c r="Q1336" s="6">
        <f>IFERROR($I1336*4,"")</f>
        <v/>
      </c>
      <c r="R1336" s="6" t="n">
        <v>400</v>
      </c>
      <c r="S1336" s="4" t="n">
        <v>3</v>
      </c>
      <c r="T1336" s="1" t="inlineStr">
        <is>
          <t>active</t>
        </is>
      </c>
      <c r="U1336" s="8" t="n"/>
      <c r="V1336" s="1" t="inlineStr">
        <is>
          <t>SIN PRECIO</t>
        </is>
      </c>
    </row>
    <row r="1337">
      <c r="A1337" s="1" t="inlineStr">
        <is>
          <t>66176c8628af3</t>
        </is>
      </c>
      <c r="B1337" s="1" t="inlineStr">
        <is>
          <t>ANILLO LOVE SILVER</t>
        </is>
      </c>
      <c r="C1337" s="1" t="inlineStr">
        <is>
          <t>9</t>
        </is>
      </c>
      <c r="D1337" s="1" t="inlineStr">
        <is>
          <t>HAIFENG</t>
        </is>
      </c>
      <c r="E1337" s="4">
        <f>COUNTIF('DETALLE CRONOLÓGICO'!$A$2:$A$4919,$A1337)</f>
        <v/>
      </c>
      <c r="F1337" s="4">
        <f>SUMIFS('DETALLE CRONOLÓGICO'!$I$2:$I$4919,'DETALLE CRONOLÓGICO'!$A$2:$A$4919,$A1337)</f>
        <v/>
      </c>
      <c r="G1337" s="1">
        <f>INDEX('DETALLE CRONOLÓGICO'!$D$2:$D$4919,MATCH($A1337,'DETALLE CRONOLÓGICO'!$A$2:$A$4919,0))</f>
        <v/>
      </c>
      <c r="H1337" s="1">
        <f>INDEX('DETALLE CRONOLÓGICO'!$D$2:$D$4919,MATCH($A1337,'DETALLE CRONOLÓGICO'!$A$2:$A$4919,0)+$E1337-1)</f>
        <v/>
      </c>
      <c r="I1337" s="5">
        <f>IFERROR(SUMIFS('DETALLE CRONOLÓGICO'!$L$2:$L$4919,'DETALLE CRONOLÓGICO'!$A$2:$A$4919,$A1337)/$F1337,"")</f>
        <v/>
      </c>
      <c r="J1337" s="6">
        <f>IFERROR(SUMIFS('DETALLE CRONOLÓGICO'!$K$2:$K$4919,'DETALLE CRONOLÓGICO'!$A$2:$A$4919,$A1337)/$E1337,"")</f>
        <v/>
      </c>
      <c r="K1337" s="6">
        <f>_xlfn.MINIFS('DETALLE CRONOLÓGICO'!$K$2:$K$4919,'DETALLE CRONOLÓGICO'!$A$2:$A$4919,$A1337)</f>
        <v/>
      </c>
      <c r="L1337" s="6">
        <f>_xlfn.MAXIFS('DETALLE CRONOLÓGICO'!$K$2:$K$4919,'DETALLE CRONOLÓGICO'!$A$2:$A$4919,$A1337)</f>
        <v/>
      </c>
      <c r="M1337" s="6">
        <f>INDEX('DETALLE CRONOLÓGICO'!$K$2:$K$4919,MATCH($A1337,'DETALLE CRONOLÓGICO'!$A$2:$A$4919,0)+$E1337-1)</f>
        <v/>
      </c>
      <c r="N1337" s="7">
        <f>IFERROR($M1337/INDEX('DETALLE CRONOLÓGICO'!$K$2:$K$4919,MATCH($A1337,'DETALLE CRONOLÓGICO'!$A$2:$A$4919,0))-1,"")</f>
        <v/>
      </c>
      <c r="O1337" s="6">
        <f>IFERROR($I1337*3,"")</f>
        <v/>
      </c>
      <c r="P1337" s="6">
        <f>IFERROR($I1337*3.5,"")</f>
        <v/>
      </c>
      <c r="Q1337" s="6">
        <f>IFERROR($I1337*4,"")</f>
        <v/>
      </c>
      <c r="R1337" s="6" t="n">
        <v>400</v>
      </c>
      <c r="S1337" s="4" t="n">
        <v>4</v>
      </c>
      <c r="T1337" s="1" t="inlineStr">
        <is>
          <t>active</t>
        </is>
      </c>
      <c r="U1337" s="8" t="n"/>
      <c r="V1337" s="1" t="inlineStr">
        <is>
          <t>SIN PRECIO</t>
        </is>
      </c>
    </row>
    <row r="1338">
      <c r="A1338" s="1" t="inlineStr">
        <is>
          <t>66176c86bbe5a</t>
        </is>
      </c>
      <c r="B1338" s="1" t="inlineStr">
        <is>
          <t>ANILLO LOVE SILVER</t>
        </is>
      </c>
      <c r="C1338" s="1" t="inlineStr">
        <is>
          <t>10</t>
        </is>
      </c>
      <c r="D1338" s="1" t="inlineStr">
        <is>
          <t>HAIFENG</t>
        </is>
      </c>
      <c r="E1338" s="4">
        <f>COUNTIF('DETALLE CRONOLÓGICO'!$A$2:$A$4919,$A1338)</f>
        <v/>
      </c>
      <c r="F1338" s="4">
        <f>SUMIFS('DETALLE CRONOLÓGICO'!$I$2:$I$4919,'DETALLE CRONOLÓGICO'!$A$2:$A$4919,$A1338)</f>
        <v/>
      </c>
      <c r="G1338" s="1">
        <f>INDEX('DETALLE CRONOLÓGICO'!$D$2:$D$4919,MATCH($A1338,'DETALLE CRONOLÓGICO'!$A$2:$A$4919,0))</f>
        <v/>
      </c>
      <c r="H1338" s="1">
        <f>INDEX('DETALLE CRONOLÓGICO'!$D$2:$D$4919,MATCH($A1338,'DETALLE CRONOLÓGICO'!$A$2:$A$4919,0)+$E1338-1)</f>
        <v/>
      </c>
      <c r="I1338" s="5">
        <f>IFERROR(SUMIFS('DETALLE CRONOLÓGICO'!$L$2:$L$4919,'DETALLE CRONOLÓGICO'!$A$2:$A$4919,$A1338)/$F1338,"")</f>
        <v/>
      </c>
      <c r="J1338" s="6">
        <f>IFERROR(SUMIFS('DETALLE CRONOLÓGICO'!$K$2:$K$4919,'DETALLE CRONOLÓGICO'!$A$2:$A$4919,$A1338)/$E1338,"")</f>
        <v/>
      </c>
      <c r="K1338" s="6">
        <f>_xlfn.MINIFS('DETALLE CRONOLÓGICO'!$K$2:$K$4919,'DETALLE CRONOLÓGICO'!$A$2:$A$4919,$A1338)</f>
        <v/>
      </c>
      <c r="L1338" s="6">
        <f>_xlfn.MAXIFS('DETALLE CRONOLÓGICO'!$K$2:$K$4919,'DETALLE CRONOLÓGICO'!$A$2:$A$4919,$A1338)</f>
        <v/>
      </c>
      <c r="M1338" s="6">
        <f>INDEX('DETALLE CRONOLÓGICO'!$K$2:$K$4919,MATCH($A1338,'DETALLE CRONOLÓGICO'!$A$2:$A$4919,0)+$E1338-1)</f>
        <v/>
      </c>
      <c r="N1338" s="7">
        <f>IFERROR($M1338/INDEX('DETALLE CRONOLÓGICO'!$K$2:$K$4919,MATCH($A1338,'DETALLE CRONOLÓGICO'!$A$2:$A$4919,0))-1,"")</f>
        <v/>
      </c>
      <c r="O1338" s="6">
        <f>IFERROR($I1338*3,"")</f>
        <v/>
      </c>
      <c r="P1338" s="6">
        <f>IFERROR($I1338*3.5,"")</f>
        <v/>
      </c>
      <c r="Q1338" s="6">
        <f>IFERROR($I1338*4,"")</f>
        <v/>
      </c>
      <c r="R1338" s="6" t="n">
        <v>400</v>
      </c>
      <c r="S1338" s="4" t="n">
        <v>2</v>
      </c>
      <c r="T1338" s="1" t="inlineStr">
        <is>
          <t>active</t>
        </is>
      </c>
      <c r="U1338" s="8" t="n"/>
      <c r="V1338" s="1" t="inlineStr">
        <is>
          <t>SIN PRECIO</t>
        </is>
      </c>
    </row>
    <row r="1339">
      <c r="A1339" s="1" t="inlineStr">
        <is>
          <t>66176c87347f1</t>
        </is>
      </c>
      <c r="B1339" s="1" t="inlineStr">
        <is>
          <t>ANILLO LOVE ROSE GOLD</t>
        </is>
      </c>
      <c r="C1339" s="1" t="inlineStr">
        <is>
          <t>5</t>
        </is>
      </c>
      <c r="D1339" s="1" t="inlineStr">
        <is>
          <t>HAIFENG</t>
        </is>
      </c>
      <c r="E1339" s="4">
        <f>COUNTIF('DETALLE CRONOLÓGICO'!$A$2:$A$4919,$A1339)</f>
        <v/>
      </c>
      <c r="F1339" s="4">
        <f>SUMIFS('DETALLE CRONOLÓGICO'!$I$2:$I$4919,'DETALLE CRONOLÓGICO'!$A$2:$A$4919,$A1339)</f>
        <v/>
      </c>
      <c r="G1339" s="1">
        <f>INDEX('DETALLE CRONOLÓGICO'!$D$2:$D$4919,MATCH($A1339,'DETALLE CRONOLÓGICO'!$A$2:$A$4919,0))</f>
        <v/>
      </c>
      <c r="H1339" s="1">
        <f>INDEX('DETALLE CRONOLÓGICO'!$D$2:$D$4919,MATCH($A1339,'DETALLE CRONOLÓGICO'!$A$2:$A$4919,0)+$E1339-1)</f>
        <v/>
      </c>
      <c r="I1339" s="5">
        <f>IFERROR(SUMIFS('DETALLE CRONOLÓGICO'!$L$2:$L$4919,'DETALLE CRONOLÓGICO'!$A$2:$A$4919,$A1339)/$F1339,"")</f>
        <v/>
      </c>
      <c r="J1339" s="6">
        <f>IFERROR(SUMIFS('DETALLE CRONOLÓGICO'!$K$2:$K$4919,'DETALLE CRONOLÓGICO'!$A$2:$A$4919,$A1339)/$E1339,"")</f>
        <v/>
      </c>
      <c r="K1339" s="6">
        <f>_xlfn.MINIFS('DETALLE CRONOLÓGICO'!$K$2:$K$4919,'DETALLE CRONOLÓGICO'!$A$2:$A$4919,$A1339)</f>
        <v/>
      </c>
      <c r="L1339" s="6">
        <f>_xlfn.MAXIFS('DETALLE CRONOLÓGICO'!$K$2:$K$4919,'DETALLE CRONOLÓGICO'!$A$2:$A$4919,$A1339)</f>
        <v/>
      </c>
      <c r="M1339" s="6">
        <f>INDEX('DETALLE CRONOLÓGICO'!$K$2:$K$4919,MATCH($A1339,'DETALLE CRONOLÓGICO'!$A$2:$A$4919,0)+$E1339-1)</f>
        <v/>
      </c>
      <c r="N1339" s="7">
        <f>IFERROR($M1339/INDEX('DETALLE CRONOLÓGICO'!$K$2:$K$4919,MATCH($A1339,'DETALLE CRONOLÓGICO'!$A$2:$A$4919,0))-1,"")</f>
        <v/>
      </c>
      <c r="O1339" s="6">
        <f>IFERROR($I1339*3,"")</f>
        <v/>
      </c>
      <c r="P1339" s="6">
        <f>IFERROR($I1339*3.5,"")</f>
        <v/>
      </c>
      <c r="Q1339" s="6">
        <f>IFERROR($I1339*4,"")</f>
        <v/>
      </c>
      <c r="R1339" s="6" t="n">
        <v>400</v>
      </c>
      <c r="S1339" s="4" t="n">
        <v>2</v>
      </c>
      <c r="T1339" s="1" t="inlineStr">
        <is>
          <t>active</t>
        </is>
      </c>
      <c r="U1339" s="8" t="n"/>
      <c r="V1339" s="1" t="inlineStr">
        <is>
          <t>SIN PRECIO</t>
        </is>
      </c>
    </row>
    <row r="1340">
      <c r="A1340" s="1" t="inlineStr">
        <is>
          <t>66176c87490bf</t>
        </is>
      </c>
      <c r="B1340" s="1" t="n"/>
      <c r="C1340" s="1" t="inlineStr">
        <is>
          <t>11</t>
        </is>
      </c>
      <c r="D1340" s="1" t="inlineStr">
        <is>
          <t>HAIFENG</t>
        </is>
      </c>
      <c r="E1340" s="4">
        <f>COUNTIF('DETALLE CRONOLÓGICO'!$A$2:$A$4919,$A1340)</f>
        <v/>
      </c>
      <c r="F1340" s="4">
        <f>SUMIFS('DETALLE CRONOLÓGICO'!$I$2:$I$4919,'DETALLE CRONOLÓGICO'!$A$2:$A$4919,$A1340)</f>
        <v/>
      </c>
      <c r="G1340" s="1">
        <f>INDEX('DETALLE CRONOLÓGICO'!$D$2:$D$4919,MATCH($A1340,'DETALLE CRONOLÓGICO'!$A$2:$A$4919,0))</f>
        <v/>
      </c>
      <c r="H1340" s="1">
        <f>INDEX('DETALLE CRONOLÓGICO'!$D$2:$D$4919,MATCH($A1340,'DETALLE CRONOLÓGICO'!$A$2:$A$4919,0)+$E1340-1)</f>
        <v/>
      </c>
      <c r="I1340" s="5">
        <f>IFERROR(SUMIFS('DETALLE CRONOLÓGICO'!$L$2:$L$4919,'DETALLE CRONOLÓGICO'!$A$2:$A$4919,$A1340)/$F1340,"")</f>
        <v/>
      </c>
      <c r="J1340" s="6">
        <f>IFERROR(SUMIFS('DETALLE CRONOLÓGICO'!$K$2:$K$4919,'DETALLE CRONOLÓGICO'!$A$2:$A$4919,$A1340)/$E1340,"")</f>
        <v/>
      </c>
      <c r="K1340" s="6">
        <f>_xlfn.MINIFS('DETALLE CRONOLÓGICO'!$K$2:$K$4919,'DETALLE CRONOLÓGICO'!$A$2:$A$4919,$A1340)</f>
        <v/>
      </c>
      <c r="L1340" s="6">
        <f>_xlfn.MAXIFS('DETALLE CRONOLÓGICO'!$K$2:$K$4919,'DETALLE CRONOLÓGICO'!$A$2:$A$4919,$A1340)</f>
        <v/>
      </c>
      <c r="M1340" s="6">
        <f>INDEX('DETALLE CRONOLÓGICO'!$K$2:$K$4919,MATCH($A1340,'DETALLE CRONOLÓGICO'!$A$2:$A$4919,0)+$E1340-1)</f>
        <v/>
      </c>
      <c r="N1340" s="7">
        <f>IFERROR($M1340/INDEX('DETALLE CRONOLÓGICO'!$K$2:$K$4919,MATCH($A1340,'DETALLE CRONOLÓGICO'!$A$2:$A$4919,0))-1,"")</f>
        <v/>
      </c>
      <c r="O1340" s="6">
        <f>IFERROR($I1340*3,"")</f>
        <v/>
      </c>
      <c r="P1340" s="6">
        <f>IFERROR($I1340*3.5,"")</f>
        <v/>
      </c>
      <c r="Q1340" s="6">
        <f>IFERROR($I1340*4,"")</f>
        <v/>
      </c>
      <c r="R1340" s="6" t="n">
        <v>400</v>
      </c>
      <c r="S1340" s="4" t="n">
        <v>2</v>
      </c>
      <c r="T1340" s="1" t="inlineStr">
        <is>
          <t>active</t>
        </is>
      </c>
      <c r="U1340" s="8" t="n"/>
      <c r="V1340" s="1" t="inlineStr">
        <is>
          <t>SIN PRECIO</t>
        </is>
      </c>
    </row>
    <row r="1341">
      <c r="A1341" s="1" t="inlineStr">
        <is>
          <t>66176c87bb2e1</t>
        </is>
      </c>
      <c r="B1341" s="1" t="inlineStr">
        <is>
          <t>ANILLO LOVE ROSE GOLD</t>
        </is>
      </c>
      <c r="C1341" s="1" t="inlineStr">
        <is>
          <t>6</t>
        </is>
      </c>
      <c r="D1341" s="1" t="inlineStr">
        <is>
          <t>HAIFENG</t>
        </is>
      </c>
      <c r="E1341" s="4">
        <f>COUNTIF('DETALLE CRONOLÓGICO'!$A$2:$A$4919,$A1341)</f>
        <v/>
      </c>
      <c r="F1341" s="4">
        <f>SUMIFS('DETALLE CRONOLÓGICO'!$I$2:$I$4919,'DETALLE CRONOLÓGICO'!$A$2:$A$4919,$A1341)</f>
        <v/>
      </c>
      <c r="G1341" s="1">
        <f>INDEX('DETALLE CRONOLÓGICO'!$D$2:$D$4919,MATCH($A1341,'DETALLE CRONOLÓGICO'!$A$2:$A$4919,0))</f>
        <v/>
      </c>
      <c r="H1341" s="1">
        <f>INDEX('DETALLE CRONOLÓGICO'!$D$2:$D$4919,MATCH($A1341,'DETALLE CRONOLÓGICO'!$A$2:$A$4919,0)+$E1341-1)</f>
        <v/>
      </c>
      <c r="I1341" s="5">
        <f>IFERROR(SUMIFS('DETALLE CRONOLÓGICO'!$L$2:$L$4919,'DETALLE CRONOLÓGICO'!$A$2:$A$4919,$A1341)/$F1341,"")</f>
        <v/>
      </c>
      <c r="J1341" s="6">
        <f>IFERROR(SUMIFS('DETALLE CRONOLÓGICO'!$K$2:$K$4919,'DETALLE CRONOLÓGICO'!$A$2:$A$4919,$A1341)/$E1341,"")</f>
        <v/>
      </c>
      <c r="K1341" s="6">
        <f>_xlfn.MINIFS('DETALLE CRONOLÓGICO'!$K$2:$K$4919,'DETALLE CRONOLÓGICO'!$A$2:$A$4919,$A1341)</f>
        <v/>
      </c>
      <c r="L1341" s="6">
        <f>_xlfn.MAXIFS('DETALLE CRONOLÓGICO'!$K$2:$K$4919,'DETALLE CRONOLÓGICO'!$A$2:$A$4919,$A1341)</f>
        <v/>
      </c>
      <c r="M1341" s="6">
        <f>INDEX('DETALLE CRONOLÓGICO'!$K$2:$K$4919,MATCH($A1341,'DETALLE CRONOLÓGICO'!$A$2:$A$4919,0)+$E1341-1)</f>
        <v/>
      </c>
      <c r="N1341" s="7">
        <f>IFERROR($M1341/INDEX('DETALLE CRONOLÓGICO'!$K$2:$K$4919,MATCH($A1341,'DETALLE CRONOLÓGICO'!$A$2:$A$4919,0))-1,"")</f>
        <v/>
      </c>
      <c r="O1341" s="6">
        <f>IFERROR($I1341*3,"")</f>
        <v/>
      </c>
      <c r="P1341" s="6">
        <f>IFERROR($I1341*3.5,"")</f>
        <v/>
      </c>
      <c r="Q1341" s="6">
        <f>IFERROR($I1341*4,"")</f>
        <v/>
      </c>
      <c r="R1341" s="6" t="n">
        <v>400</v>
      </c>
      <c r="S1341" s="4" t="n">
        <v>4</v>
      </c>
      <c r="T1341" s="1" t="inlineStr">
        <is>
          <t>active</t>
        </is>
      </c>
      <c r="U1341" s="8" t="n"/>
      <c r="V1341" s="1" t="inlineStr">
        <is>
          <t>SIN PRECIO</t>
        </is>
      </c>
    </row>
    <row r="1342">
      <c r="A1342" s="1" t="inlineStr">
        <is>
          <t>66176c8851d40</t>
        </is>
      </c>
      <c r="B1342" s="1" t="inlineStr">
        <is>
          <t>ANILLO LOVE ROSE GOLD</t>
        </is>
      </c>
      <c r="C1342" s="1" t="inlineStr">
        <is>
          <t>7</t>
        </is>
      </c>
      <c r="D1342" s="1" t="inlineStr">
        <is>
          <t>HAIFENG</t>
        </is>
      </c>
      <c r="E1342" s="4">
        <f>COUNTIF('DETALLE CRONOLÓGICO'!$A$2:$A$4919,$A1342)</f>
        <v/>
      </c>
      <c r="F1342" s="4">
        <f>SUMIFS('DETALLE CRONOLÓGICO'!$I$2:$I$4919,'DETALLE CRONOLÓGICO'!$A$2:$A$4919,$A1342)</f>
        <v/>
      </c>
      <c r="G1342" s="1">
        <f>INDEX('DETALLE CRONOLÓGICO'!$D$2:$D$4919,MATCH($A1342,'DETALLE CRONOLÓGICO'!$A$2:$A$4919,0))</f>
        <v/>
      </c>
      <c r="H1342" s="1">
        <f>INDEX('DETALLE CRONOLÓGICO'!$D$2:$D$4919,MATCH($A1342,'DETALLE CRONOLÓGICO'!$A$2:$A$4919,0)+$E1342-1)</f>
        <v/>
      </c>
      <c r="I1342" s="5">
        <f>IFERROR(SUMIFS('DETALLE CRONOLÓGICO'!$L$2:$L$4919,'DETALLE CRONOLÓGICO'!$A$2:$A$4919,$A1342)/$F1342,"")</f>
        <v/>
      </c>
      <c r="J1342" s="6">
        <f>IFERROR(SUMIFS('DETALLE CRONOLÓGICO'!$K$2:$K$4919,'DETALLE CRONOLÓGICO'!$A$2:$A$4919,$A1342)/$E1342,"")</f>
        <v/>
      </c>
      <c r="K1342" s="6">
        <f>_xlfn.MINIFS('DETALLE CRONOLÓGICO'!$K$2:$K$4919,'DETALLE CRONOLÓGICO'!$A$2:$A$4919,$A1342)</f>
        <v/>
      </c>
      <c r="L1342" s="6">
        <f>_xlfn.MAXIFS('DETALLE CRONOLÓGICO'!$K$2:$K$4919,'DETALLE CRONOLÓGICO'!$A$2:$A$4919,$A1342)</f>
        <v/>
      </c>
      <c r="M1342" s="6">
        <f>INDEX('DETALLE CRONOLÓGICO'!$K$2:$K$4919,MATCH($A1342,'DETALLE CRONOLÓGICO'!$A$2:$A$4919,0)+$E1342-1)</f>
        <v/>
      </c>
      <c r="N1342" s="7">
        <f>IFERROR($M1342/INDEX('DETALLE CRONOLÓGICO'!$K$2:$K$4919,MATCH($A1342,'DETALLE CRONOLÓGICO'!$A$2:$A$4919,0))-1,"")</f>
        <v/>
      </c>
      <c r="O1342" s="6">
        <f>IFERROR($I1342*3,"")</f>
        <v/>
      </c>
      <c r="P1342" s="6">
        <f>IFERROR($I1342*3.5,"")</f>
        <v/>
      </c>
      <c r="Q1342" s="6">
        <f>IFERROR($I1342*4,"")</f>
        <v/>
      </c>
      <c r="R1342" s="6" t="n">
        <v>400</v>
      </c>
      <c r="S1342" s="4" t="n">
        <v>5</v>
      </c>
      <c r="T1342" s="1" t="inlineStr">
        <is>
          <t>active</t>
        </is>
      </c>
      <c r="U1342" s="8" t="n"/>
      <c r="V1342" s="1" t="inlineStr">
        <is>
          <t>SIN PRECIO</t>
        </is>
      </c>
    </row>
    <row r="1343">
      <c r="A1343" s="1" t="inlineStr">
        <is>
          <t>66176c88cd9cc</t>
        </is>
      </c>
      <c r="B1343" s="1" t="n"/>
      <c r="C1343" s="1" t="inlineStr">
        <is>
          <t>8</t>
        </is>
      </c>
      <c r="D1343" s="1" t="inlineStr">
        <is>
          <t>HAIFENG</t>
        </is>
      </c>
      <c r="E1343" s="4">
        <f>COUNTIF('DETALLE CRONOLÓGICO'!$A$2:$A$4919,$A1343)</f>
        <v/>
      </c>
      <c r="F1343" s="4">
        <f>SUMIFS('DETALLE CRONOLÓGICO'!$I$2:$I$4919,'DETALLE CRONOLÓGICO'!$A$2:$A$4919,$A1343)</f>
        <v/>
      </c>
      <c r="G1343" s="1">
        <f>INDEX('DETALLE CRONOLÓGICO'!$D$2:$D$4919,MATCH($A1343,'DETALLE CRONOLÓGICO'!$A$2:$A$4919,0))</f>
        <v/>
      </c>
      <c r="H1343" s="1">
        <f>INDEX('DETALLE CRONOLÓGICO'!$D$2:$D$4919,MATCH($A1343,'DETALLE CRONOLÓGICO'!$A$2:$A$4919,0)+$E1343-1)</f>
        <v/>
      </c>
      <c r="I1343" s="5">
        <f>IFERROR(SUMIFS('DETALLE CRONOLÓGICO'!$L$2:$L$4919,'DETALLE CRONOLÓGICO'!$A$2:$A$4919,$A1343)/$F1343,"")</f>
        <v/>
      </c>
      <c r="J1343" s="6">
        <f>IFERROR(SUMIFS('DETALLE CRONOLÓGICO'!$K$2:$K$4919,'DETALLE CRONOLÓGICO'!$A$2:$A$4919,$A1343)/$E1343,"")</f>
        <v/>
      </c>
      <c r="K1343" s="6">
        <f>_xlfn.MINIFS('DETALLE CRONOLÓGICO'!$K$2:$K$4919,'DETALLE CRONOLÓGICO'!$A$2:$A$4919,$A1343)</f>
        <v/>
      </c>
      <c r="L1343" s="6">
        <f>_xlfn.MAXIFS('DETALLE CRONOLÓGICO'!$K$2:$K$4919,'DETALLE CRONOLÓGICO'!$A$2:$A$4919,$A1343)</f>
        <v/>
      </c>
      <c r="M1343" s="6">
        <f>INDEX('DETALLE CRONOLÓGICO'!$K$2:$K$4919,MATCH($A1343,'DETALLE CRONOLÓGICO'!$A$2:$A$4919,0)+$E1343-1)</f>
        <v/>
      </c>
      <c r="N1343" s="7">
        <f>IFERROR($M1343/INDEX('DETALLE CRONOLÓGICO'!$K$2:$K$4919,MATCH($A1343,'DETALLE CRONOLÓGICO'!$A$2:$A$4919,0))-1,"")</f>
        <v/>
      </c>
      <c r="O1343" s="6">
        <f>IFERROR($I1343*3,"")</f>
        <v/>
      </c>
      <c r="P1343" s="6">
        <f>IFERROR($I1343*3.5,"")</f>
        <v/>
      </c>
      <c r="Q1343" s="6">
        <f>IFERROR($I1343*4,"")</f>
        <v/>
      </c>
      <c r="R1343" s="6" t="n">
        <v>400</v>
      </c>
      <c r="S1343" s="4" t="n">
        <v>0</v>
      </c>
      <c r="T1343" s="1" t="inlineStr">
        <is>
          <t>active</t>
        </is>
      </c>
      <c r="U1343" s="8" t="n"/>
      <c r="V1343" s="1" t="inlineStr">
        <is>
          <t>SIN PRECIO</t>
        </is>
      </c>
    </row>
    <row r="1344">
      <c r="A1344" s="1" t="inlineStr">
        <is>
          <t>66176c895cc2a</t>
        </is>
      </c>
      <c r="B1344" s="1" t="inlineStr">
        <is>
          <t>ANILLO LOVE ROSE GOLD</t>
        </is>
      </c>
      <c r="C1344" s="1" t="inlineStr">
        <is>
          <t>9</t>
        </is>
      </c>
      <c r="D1344" s="1" t="inlineStr">
        <is>
          <t>HAIFENG</t>
        </is>
      </c>
      <c r="E1344" s="4">
        <f>COUNTIF('DETALLE CRONOLÓGICO'!$A$2:$A$4919,$A1344)</f>
        <v/>
      </c>
      <c r="F1344" s="4">
        <f>SUMIFS('DETALLE CRONOLÓGICO'!$I$2:$I$4919,'DETALLE CRONOLÓGICO'!$A$2:$A$4919,$A1344)</f>
        <v/>
      </c>
      <c r="G1344" s="1">
        <f>INDEX('DETALLE CRONOLÓGICO'!$D$2:$D$4919,MATCH($A1344,'DETALLE CRONOLÓGICO'!$A$2:$A$4919,0))</f>
        <v/>
      </c>
      <c r="H1344" s="1">
        <f>INDEX('DETALLE CRONOLÓGICO'!$D$2:$D$4919,MATCH($A1344,'DETALLE CRONOLÓGICO'!$A$2:$A$4919,0)+$E1344-1)</f>
        <v/>
      </c>
      <c r="I1344" s="5">
        <f>IFERROR(SUMIFS('DETALLE CRONOLÓGICO'!$L$2:$L$4919,'DETALLE CRONOLÓGICO'!$A$2:$A$4919,$A1344)/$F1344,"")</f>
        <v/>
      </c>
      <c r="J1344" s="6">
        <f>IFERROR(SUMIFS('DETALLE CRONOLÓGICO'!$K$2:$K$4919,'DETALLE CRONOLÓGICO'!$A$2:$A$4919,$A1344)/$E1344,"")</f>
        <v/>
      </c>
      <c r="K1344" s="6">
        <f>_xlfn.MINIFS('DETALLE CRONOLÓGICO'!$K$2:$K$4919,'DETALLE CRONOLÓGICO'!$A$2:$A$4919,$A1344)</f>
        <v/>
      </c>
      <c r="L1344" s="6">
        <f>_xlfn.MAXIFS('DETALLE CRONOLÓGICO'!$K$2:$K$4919,'DETALLE CRONOLÓGICO'!$A$2:$A$4919,$A1344)</f>
        <v/>
      </c>
      <c r="M1344" s="6">
        <f>INDEX('DETALLE CRONOLÓGICO'!$K$2:$K$4919,MATCH($A1344,'DETALLE CRONOLÓGICO'!$A$2:$A$4919,0)+$E1344-1)</f>
        <v/>
      </c>
      <c r="N1344" s="7">
        <f>IFERROR($M1344/INDEX('DETALLE CRONOLÓGICO'!$K$2:$K$4919,MATCH($A1344,'DETALLE CRONOLÓGICO'!$A$2:$A$4919,0))-1,"")</f>
        <v/>
      </c>
      <c r="O1344" s="6">
        <f>IFERROR($I1344*3,"")</f>
        <v/>
      </c>
      <c r="P1344" s="6">
        <f>IFERROR($I1344*3.5,"")</f>
        <v/>
      </c>
      <c r="Q1344" s="6">
        <f>IFERROR($I1344*4,"")</f>
        <v/>
      </c>
      <c r="R1344" s="6" t="n">
        <v>400</v>
      </c>
      <c r="S1344" s="4" t="n">
        <v>6</v>
      </c>
      <c r="T1344" s="1" t="inlineStr">
        <is>
          <t>active</t>
        </is>
      </c>
      <c r="U1344" s="8" t="n"/>
      <c r="V1344" s="1" t="inlineStr">
        <is>
          <t>SIN PRECIO</t>
        </is>
      </c>
    </row>
    <row r="1345">
      <c r="A1345" s="1" t="inlineStr">
        <is>
          <t>66176c8a6cba6</t>
        </is>
      </c>
      <c r="B1345" s="1" t="n"/>
      <c r="C1345" s="1" t="inlineStr">
        <is>
          <t>11</t>
        </is>
      </c>
      <c r="D1345" s="1" t="inlineStr">
        <is>
          <t>HAIFENG</t>
        </is>
      </c>
      <c r="E1345" s="4">
        <f>COUNTIF('DETALLE CRONOLÓGICO'!$A$2:$A$4919,$A1345)</f>
        <v/>
      </c>
      <c r="F1345" s="4">
        <f>SUMIFS('DETALLE CRONOLÓGICO'!$I$2:$I$4919,'DETALLE CRONOLÓGICO'!$A$2:$A$4919,$A1345)</f>
        <v/>
      </c>
      <c r="G1345" s="1">
        <f>INDEX('DETALLE CRONOLÓGICO'!$D$2:$D$4919,MATCH($A1345,'DETALLE CRONOLÓGICO'!$A$2:$A$4919,0))</f>
        <v/>
      </c>
      <c r="H1345" s="1">
        <f>INDEX('DETALLE CRONOLÓGICO'!$D$2:$D$4919,MATCH($A1345,'DETALLE CRONOLÓGICO'!$A$2:$A$4919,0)+$E1345-1)</f>
        <v/>
      </c>
      <c r="I1345" s="5">
        <f>IFERROR(SUMIFS('DETALLE CRONOLÓGICO'!$L$2:$L$4919,'DETALLE CRONOLÓGICO'!$A$2:$A$4919,$A1345)/$F1345,"")</f>
        <v/>
      </c>
      <c r="J1345" s="6">
        <f>IFERROR(SUMIFS('DETALLE CRONOLÓGICO'!$K$2:$K$4919,'DETALLE CRONOLÓGICO'!$A$2:$A$4919,$A1345)/$E1345,"")</f>
        <v/>
      </c>
      <c r="K1345" s="6">
        <f>_xlfn.MINIFS('DETALLE CRONOLÓGICO'!$K$2:$K$4919,'DETALLE CRONOLÓGICO'!$A$2:$A$4919,$A1345)</f>
        <v/>
      </c>
      <c r="L1345" s="6">
        <f>_xlfn.MAXIFS('DETALLE CRONOLÓGICO'!$K$2:$K$4919,'DETALLE CRONOLÓGICO'!$A$2:$A$4919,$A1345)</f>
        <v/>
      </c>
      <c r="M1345" s="6">
        <f>INDEX('DETALLE CRONOLÓGICO'!$K$2:$K$4919,MATCH($A1345,'DETALLE CRONOLÓGICO'!$A$2:$A$4919,0)+$E1345-1)</f>
        <v/>
      </c>
      <c r="N1345" s="7">
        <f>IFERROR($M1345/INDEX('DETALLE CRONOLÓGICO'!$K$2:$K$4919,MATCH($A1345,'DETALLE CRONOLÓGICO'!$A$2:$A$4919,0))-1,"")</f>
        <v/>
      </c>
      <c r="O1345" s="6">
        <f>IFERROR($I1345*3,"")</f>
        <v/>
      </c>
      <c r="P1345" s="6">
        <f>IFERROR($I1345*3.5,"")</f>
        <v/>
      </c>
      <c r="Q1345" s="6">
        <f>IFERROR($I1345*4,"")</f>
        <v/>
      </c>
      <c r="R1345" s="6" t="n">
        <v>400</v>
      </c>
      <c r="S1345" s="4" t="n">
        <v>5</v>
      </c>
      <c r="T1345" s="1" t="inlineStr">
        <is>
          <t>active</t>
        </is>
      </c>
      <c r="U1345" s="8" t="n"/>
      <c r="V1345" s="1" t="inlineStr">
        <is>
          <t>SIN PRECIO</t>
        </is>
      </c>
    </row>
    <row r="1346">
      <c r="A1346" s="1" t="inlineStr">
        <is>
          <t>66176c8ac28e0</t>
        </is>
      </c>
      <c r="B1346" s="1" t="inlineStr">
        <is>
          <t>ANILLO LOVE ROSE GOLD ANCHO</t>
        </is>
      </c>
      <c r="C1346" s="1" t="inlineStr">
        <is>
          <t>6</t>
        </is>
      </c>
      <c r="D1346" s="1" t="inlineStr">
        <is>
          <t>HAIFENG</t>
        </is>
      </c>
      <c r="E1346" s="4">
        <f>COUNTIF('DETALLE CRONOLÓGICO'!$A$2:$A$4919,$A1346)</f>
        <v/>
      </c>
      <c r="F1346" s="4">
        <f>SUMIFS('DETALLE CRONOLÓGICO'!$I$2:$I$4919,'DETALLE CRONOLÓGICO'!$A$2:$A$4919,$A1346)</f>
        <v/>
      </c>
      <c r="G1346" s="1">
        <f>INDEX('DETALLE CRONOLÓGICO'!$D$2:$D$4919,MATCH($A1346,'DETALLE CRONOLÓGICO'!$A$2:$A$4919,0))</f>
        <v/>
      </c>
      <c r="H1346" s="1">
        <f>INDEX('DETALLE CRONOLÓGICO'!$D$2:$D$4919,MATCH($A1346,'DETALLE CRONOLÓGICO'!$A$2:$A$4919,0)+$E1346-1)</f>
        <v/>
      </c>
      <c r="I1346" s="5">
        <f>IFERROR(SUMIFS('DETALLE CRONOLÓGICO'!$L$2:$L$4919,'DETALLE CRONOLÓGICO'!$A$2:$A$4919,$A1346)/$F1346,"")</f>
        <v/>
      </c>
      <c r="J1346" s="6">
        <f>IFERROR(SUMIFS('DETALLE CRONOLÓGICO'!$K$2:$K$4919,'DETALLE CRONOLÓGICO'!$A$2:$A$4919,$A1346)/$E1346,"")</f>
        <v/>
      </c>
      <c r="K1346" s="6">
        <f>_xlfn.MINIFS('DETALLE CRONOLÓGICO'!$K$2:$K$4919,'DETALLE CRONOLÓGICO'!$A$2:$A$4919,$A1346)</f>
        <v/>
      </c>
      <c r="L1346" s="6">
        <f>_xlfn.MAXIFS('DETALLE CRONOLÓGICO'!$K$2:$K$4919,'DETALLE CRONOLÓGICO'!$A$2:$A$4919,$A1346)</f>
        <v/>
      </c>
      <c r="M1346" s="6">
        <f>INDEX('DETALLE CRONOLÓGICO'!$K$2:$K$4919,MATCH($A1346,'DETALLE CRONOLÓGICO'!$A$2:$A$4919,0)+$E1346-1)</f>
        <v/>
      </c>
      <c r="N1346" s="7">
        <f>IFERROR($M1346/INDEX('DETALLE CRONOLÓGICO'!$K$2:$K$4919,MATCH($A1346,'DETALLE CRONOLÓGICO'!$A$2:$A$4919,0))-1,"")</f>
        <v/>
      </c>
      <c r="O1346" s="6">
        <f>IFERROR($I1346*3,"")</f>
        <v/>
      </c>
      <c r="P1346" s="6">
        <f>IFERROR($I1346*3.5,"")</f>
        <v/>
      </c>
      <c r="Q1346" s="6">
        <f>IFERROR($I1346*4,"")</f>
        <v/>
      </c>
      <c r="R1346" s="6" t="n">
        <v>400</v>
      </c>
      <c r="S1346" s="4" t="n">
        <v>3</v>
      </c>
      <c r="T1346" s="1" t="inlineStr">
        <is>
          <t>active</t>
        </is>
      </c>
      <c r="U1346" s="8" t="n"/>
      <c r="V1346" s="1" t="inlineStr">
        <is>
          <t>SIN PRECIO</t>
        </is>
      </c>
    </row>
    <row r="1347">
      <c r="A1347" s="1" t="inlineStr">
        <is>
          <t>66176c8b55e0c</t>
        </is>
      </c>
      <c r="B1347" s="1" t="inlineStr">
        <is>
          <t>ANILLO LOVE ROSE GOLD ANCHO</t>
        </is>
      </c>
      <c r="C1347" s="1" t="inlineStr">
        <is>
          <t>7</t>
        </is>
      </c>
      <c r="D1347" s="1" t="inlineStr">
        <is>
          <t>HAIFENG</t>
        </is>
      </c>
      <c r="E1347" s="4">
        <f>COUNTIF('DETALLE CRONOLÓGICO'!$A$2:$A$4919,$A1347)</f>
        <v/>
      </c>
      <c r="F1347" s="4">
        <f>SUMIFS('DETALLE CRONOLÓGICO'!$I$2:$I$4919,'DETALLE CRONOLÓGICO'!$A$2:$A$4919,$A1347)</f>
        <v/>
      </c>
      <c r="G1347" s="1">
        <f>INDEX('DETALLE CRONOLÓGICO'!$D$2:$D$4919,MATCH($A1347,'DETALLE CRONOLÓGICO'!$A$2:$A$4919,0))</f>
        <v/>
      </c>
      <c r="H1347" s="1">
        <f>INDEX('DETALLE CRONOLÓGICO'!$D$2:$D$4919,MATCH($A1347,'DETALLE CRONOLÓGICO'!$A$2:$A$4919,0)+$E1347-1)</f>
        <v/>
      </c>
      <c r="I1347" s="5">
        <f>IFERROR(SUMIFS('DETALLE CRONOLÓGICO'!$L$2:$L$4919,'DETALLE CRONOLÓGICO'!$A$2:$A$4919,$A1347)/$F1347,"")</f>
        <v/>
      </c>
      <c r="J1347" s="6">
        <f>IFERROR(SUMIFS('DETALLE CRONOLÓGICO'!$K$2:$K$4919,'DETALLE CRONOLÓGICO'!$A$2:$A$4919,$A1347)/$E1347,"")</f>
        <v/>
      </c>
      <c r="K1347" s="6">
        <f>_xlfn.MINIFS('DETALLE CRONOLÓGICO'!$K$2:$K$4919,'DETALLE CRONOLÓGICO'!$A$2:$A$4919,$A1347)</f>
        <v/>
      </c>
      <c r="L1347" s="6">
        <f>_xlfn.MAXIFS('DETALLE CRONOLÓGICO'!$K$2:$K$4919,'DETALLE CRONOLÓGICO'!$A$2:$A$4919,$A1347)</f>
        <v/>
      </c>
      <c r="M1347" s="6">
        <f>INDEX('DETALLE CRONOLÓGICO'!$K$2:$K$4919,MATCH($A1347,'DETALLE CRONOLÓGICO'!$A$2:$A$4919,0)+$E1347-1)</f>
        <v/>
      </c>
      <c r="N1347" s="7">
        <f>IFERROR($M1347/INDEX('DETALLE CRONOLÓGICO'!$K$2:$K$4919,MATCH($A1347,'DETALLE CRONOLÓGICO'!$A$2:$A$4919,0))-1,"")</f>
        <v/>
      </c>
      <c r="O1347" s="6">
        <f>IFERROR($I1347*3,"")</f>
        <v/>
      </c>
      <c r="P1347" s="6">
        <f>IFERROR($I1347*3.5,"")</f>
        <v/>
      </c>
      <c r="Q1347" s="6">
        <f>IFERROR($I1347*4,"")</f>
        <v/>
      </c>
      <c r="R1347" s="6" t="n">
        <v>400</v>
      </c>
      <c r="S1347" s="4" t="n">
        <v>0</v>
      </c>
      <c r="T1347" s="1" t="inlineStr">
        <is>
          <t>active</t>
        </is>
      </c>
      <c r="U1347" s="8" t="n"/>
      <c r="V1347" s="1" t="inlineStr">
        <is>
          <t>SIN PRECIO</t>
        </is>
      </c>
    </row>
    <row r="1348">
      <c r="A1348" s="1" t="inlineStr">
        <is>
          <t>66176c8bd1187</t>
        </is>
      </c>
      <c r="B1348" s="1" t="inlineStr">
        <is>
          <t>ANILLO LOVE ROSE GOLD ANCHO (WIDE)</t>
        </is>
      </c>
      <c r="C1348" s="1" t="inlineStr">
        <is>
          <t>8</t>
        </is>
      </c>
      <c r="D1348" s="1" t="inlineStr">
        <is>
          <t>HAIFENG</t>
        </is>
      </c>
      <c r="E1348" s="4">
        <f>COUNTIF('DETALLE CRONOLÓGICO'!$A$2:$A$4919,$A1348)</f>
        <v/>
      </c>
      <c r="F1348" s="4">
        <f>SUMIFS('DETALLE CRONOLÓGICO'!$I$2:$I$4919,'DETALLE CRONOLÓGICO'!$A$2:$A$4919,$A1348)</f>
        <v/>
      </c>
      <c r="G1348" s="1">
        <f>INDEX('DETALLE CRONOLÓGICO'!$D$2:$D$4919,MATCH($A1348,'DETALLE CRONOLÓGICO'!$A$2:$A$4919,0))</f>
        <v/>
      </c>
      <c r="H1348" s="1">
        <f>INDEX('DETALLE CRONOLÓGICO'!$D$2:$D$4919,MATCH($A1348,'DETALLE CRONOLÓGICO'!$A$2:$A$4919,0)+$E1348-1)</f>
        <v/>
      </c>
      <c r="I1348" s="5">
        <f>IFERROR(SUMIFS('DETALLE CRONOLÓGICO'!$L$2:$L$4919,'DETALLE CRONOLÓGICO'!$A$2:$A$4919,$A1348)/$F1348,"")</f>
        <v/>
      </c>
      <c r="J1348" s="6">
        <f>IFERROR(SUMIFS('DETALLE CRONOLÓGICO'!$K$2:$K$4919,'DETALLE CRONOLÓGICO'!$A$2:$A$4919,$A1348)/$E1348,"")</f>
        <v/>
      </c>
      <c r="K1348" s="6">
        <f>_xlfn.MINIFS('DETALLE CRONOLÓGICO'!$K$2:$K$4919,'DETALLE CRONOLÓGICO'!$A$2:$A$4919,$A1348)</f>
        <v/>
      </c>
      <c r="L1348" s="6">
        <f>_xlfn.MAXIFS('DETALLE CRONOLÓGICO'!$K$2:$K$4919,'DETALLE CRONOLÓGICO'!$A$2:$A$4919,$A1348)</f>
        <v/>
      </c>
      <c r="M1348" s="6">
        <f>INDEX('DETALLE CRONOLÓGICO'!$K$2:$K$4919,MATCH($A1348,'DETALLE CRONOLÓGICO'!$A$2:$A$4919,0)+$E1348-1)</f>
        <v/>
      </c>
      <c r="N1348" s="7">
        <f>IFERROR($M1348/INDEX('DETALLE CRONOLÓGICO'!$K$2:$K$4919,MATCH($A1348,'DETALLE CRONOLÓGICO'!$A$2:$A$4919,0))-1,"")</f>
        <v/>
      </c>
      <c r="O1348" s="6">
        <f>IFERROR($I1348*3,"")</f>
        <v/>
      </c>
      <c r="P1348" s="6">
        <f>IFERROR($I1348*3.5,"")</f>
        <v/>
      </c>
      <c r="Q1348" s="6">
        <f>IFERROR($I1348*4,"")</f>
        <v/>
      </c>
      <c r="R1348" s="6" t="n">
        <v>400</v>
      </c>
      <c r="S1348" s="4" t="n">
        <v>3</v>
      </c>
      <c r="T1348" s="1" t="inlineStr">
        <is>
          <t>active</t>
        </is>
      </c>
      <c r="U1348" s="8" t="n"/>
      <c r="V1348" s="1" t="inlineStr">
        <is>
          <t>SIN PRECIO</t>
        </is>
      </c>
    </row>
    <row r="1349">
      <c r="A1349" s="1" t="inlineStr">
        <is>
          <t>66176c8c6241e</t>
        </is>
      </c>
      <c r="B1349" s="1" t="inlineStr">
        <is>
          <t>ANILLO LOVE ROSE GOLD ANCHO</t>
        </is>
      </c>
      <c r="C1349" s="1" t="inlineStr">
        <is>
          <t>9</t>
        </is>
      </c>
      <c r="D1349" s="1" t="inlineStr">
        <is>
          <t>HAIFENG</t>
        </is>
      </c>
      <c r="E1349" s="4">
        <f>COUNTIF('DETALLE CRONOLÓGICO'!$A$2:$A$4919,$A1349)</f>
        <v/>
      </c>
      <c r="F1349" s="4">
        <f>SUMIFS('DETALLE CRONOLÓGICO'!$I$2:$I$4919,'DETALLE CRONOLÓGICO'!$A$2:$A$4919,$A1349)</f>
        <v/>
      </c>
      <c r="G1349" s="1">
        <f>INDEX('DETALLE CRONOLÓGICO'!$D$2:$D$4919,MATCH($A1349,'DETALLE CRONOLÓGICO'!$A$2:$A$4919,0))</f>
        <v/>
      </c>
      <c r="H1349" s="1">
        <f>INDEX('DETALLE CRONOLÓGICO'!$D$2:$D$4919,MATCH($A1349,'DETALLE CRONOLÓGICO'!$A$2:$A$4919,0)+$E1349-1)</f>
        <v/>
      </c>
      <c r="I1349" s="5">
        <f>IFERROR(SUMIFS('DETALLE CRONOLÓGICO'!$L$2:$L$4919,'DETALLE CRONOLÓGICO'!$A$2:$A$4919,$A1349)/$F1349,"")</f>
        <v/>
      </c>
      <c r="J1349" s="6">
        <f>IFERROR(SUMIFS('DETALLE CRONOLÓGICO'!$K$2:$K$4919,'DETALLE CRONOLÓGICO'!$A$2:$A$4919,$A1349)/$E1349,"")</f>
        <v/>
      </c>
      <c r="K1349" s="6">
        <f>_xlfn.MINIFS('DETALLE CRONOLÓGICO'!$K$2:$K$4919,'DETALLE CRONOLÓGICO'!$A$2:$A$4919,$A1349)</f>
        <v/>
      </c>
      <c r="L1349" s="6">
        <f>_xlfn.MAXIFS('DETALLE CRONOLÓGICO'!$K$2:$K$4919,'DETALLE CRONOLÓGICO'!$A$2:$A$4919,$A1349)</f>
        <v/>
      </c>
      <c r="M1349" s="6">
        <f>INDEX('DETALLE CRONOLÓGICO'!$K$2:$K$4919,MATCH($A1349,'DETALLE CRONOLÓGICO'!$A$2:$A$4919,0)+$E1349-1)</f>
        <v/>
      </c>
      <c r="N1349" s="7">
        <f>IFERROR($M1349/INDEX('DETALLE CRONOLÓGICO'!$K$2:$K$4919,MATCH($A1349,'DETALLE CRONOLÓGICO'!$A$2:$A$4919,0))-1,"")</f>
        <v/>
      </c>
      <c r="O1349" s="6">
        <f>IFERROR($I1349*3,"")</f>
        <v/>
      </c>
      <c r="P1349" s="6">
        <f>IFERROR($I1349*3.5,"")</f>
        <v/>
      </c>
      <c r="Q1349" s="6">
        <f>IFERROR($I1349*4,"")</f>
        <v/>
      </c>
      <c r="R1349" s="6" t="n">
        <v>400</v>
      </c>
      <c r="S1349" s="4" t="n">
        <v>1</v>
      </c>
      <c r="T1349" s="1" t="inlineStr">
        <is>
          <t>active</t>
        </is>
      </c>
      <c r="U1349" s="8" t="n"/>
      <c r="V1349" s="1" t="inlineStr">
        <is>
          <t>SIN PRECIO</t>
        </is>
      </c>
    </row>
    <row r="1350">
      <c r="A1350" s="1" t="inlineStr">
        <is>
          <t>66176c8d6ed4d</t>
        </is>
      </c>
      <c r="B1350" s="1" t="inlineStr">
        <is>
          <t>ANILLO LOVE ROSE GOLD ANCHO</t>
        </is>
      </c>
      <c r="C1350" s="1" t="inlineStr">
        <is>
          <t>11</t>
        </is>
      </c>
      <c r="D1350" s="1" t="inlineStr">
        <is>
          <t>HAIFENG</t>
        </is>
      </c>
      <c r="E1350" s="4">
        <f>COUNTIF('DETALLE CRONOLÓGICO'!$A$2:$A$4919,$A1350)</f>
        <v/>
      </c>
      <c r="F1350" s="4">
        <f>SUMIFS('DETALLE CRONOLÓGICO'!$I$2:$I$4919,'DETALLE CRONOLÓGICO'!$A$2:$A$4919,$A1350)</f>
        <v/>
      </c>
      <c r="G1350" s="1">
        <f>INDEX('DETALLE CRONOLÓGICO'!$D$2:$D$4919,MATCH($A1350,'DETALLE CRONOLÓGICO'!$A$2:$A$4919,0))</f>
        <v/>
      </c>
      <c r="H1350" s="1">
        <f>INDEX('DETALLE CRONOLÓGICO'!$D$2:$D$4919,MATCH($A1350,'DETALLE CRONOLÓGICO'!$A$2:$A$4919,0)+$E1350-1)</f>
        <v/>
      </c>
      <c r="I1350" s="5">
        <f>IFERROR(SUMIFS('DETALLE CRONOLÓGICO'!$L$2:$L$4919,'DETALLE CRONOLÓGICO'!$A$2:$A$4919,$A1350)/$F1350,"")</f>
        <v/>
      </c>
      <c r="J1350" s="6">
        <f>IFERROR(SUMIFS('DETALLE CRONOLÓGICO'!$K$2:$K$4919,'DETALLE CRONOLÓGICO'!$A$2:$A$4919,$A1350)/$E1350,"")</f>
        <v/>
      </c>
      <c r="K1350" s="6">
        <f>_xlfn.MINIFS('DETALLE CRONOLÓGICO'!$K$2:$K$4919,'DETALLE CRONOLÓGICO'!$A$2:$A$4919,$A1350)</f>
        <v/>
      </c>
      <c r="L1350" s="6">
        <f>_xlfn.MAXIFS('DETALLE CRONOLÓGICO'!$K$2:$K$4919,'DETALLE CRONOLÓGICO'!$A$2:$A$4919,$A1350)</f>
        <v/>
      </c>
      <c r="M1350" s="6">
        <f>INDEX('DETALLE CRONOLÓGICO'!$K$2:$K$4919,MATCH($A1350,'DETALLE CRONOLÓGICO'!$A$2:$A$4919,0)+$E1350-1)</f>
        <v/>
      </c>
      <c r="N1350" s="7">
        <f>IFERROR($M1350/INDEX('DETALLE CRONOLÓGICO'!$K$2:$K$4919,MATCH($A1350,'DETALLE CRONOLÓGICO'!$A$2:$A$4919,0))-1,"")</f>
        <v/>
      </c>
      <c r="O1350" s="6">
        <f>IFERROR($I1350*3,"")</f>
        <v/>
      </c>
      <c r="P1350" s="6">
        <f>IFERROR($I1350*3.5,"")</f>
        <v/>
      </c>
      <c r="Q1350" s="6">
        <f>IFERROR($I1350*4,"")</f>
        <v/>
      </c>
      <c r="R1350" s="6" t="n">
        <v>400</v>
      </c>
      <c r="S1350" s="4" t="n">
        <v>0</v>
      </c>
      <c r="T1350" s="1" t="inlineStr">
        <is>
          <t>active</t>
        </is>
      </c>
      <c r="U1350" s="8" t="n"/>
      <c r="V1350" s="1" t="inlineStr">
        <is>
          <t>SIN PRECIO</t>
        </is>
      </c>
    </row>
    <row r="1351">
      <c r="A1351" s="1" t="inlineStr">
        <is>
          <t>66176c908bd7d</t>
        </is>
      </c>
      <c r="B1351" s="1" t="inlineStr">
        <is>
          <t>ANILLO LOVE GOLD ANCHO (WIDHT WITh ZIRCONIAS)</t>
        </is>
      </c>
      <c r="C1351" s="1" t="inlineStr">
        <is>
          <t>5</t>
        </is>
      </c>
      <c r="D1351" s="1" t="inlineStr">
        <is>
          <t>HAIFENG</t>
        </is>
      </c>
      <c r="E1351" s="4">
        <f>COUNTIF('DETALLE CRONOLÓGICO'!$A$2:$A$4919,$A1351)</f>
        <v/>
      </c>
      <c r="F1351" s="4">
        <f>SUMIFS('DETALLE CRONOLÓGICO'!$I$2:$I$4919,'DETALLE CRONOLÓGICO'!$A$2:$A$4919,$A1351)</f>
        <v/>
      </c>
      <c r="G1351" s="1">
        <f>INDEX('DETALLE CRONOLÓGICO'!$D$2:$D$4919,MATCH($A1351,'DETALLE CRONOLÓGICO'!$A$2:$A$4919,0))</f>
        <v/>
      </c>
      <c r="H1351" s="1">
        <f>INDEX('DETALLE CRONOLÓGICO'!$D$2:$D$4919,MATCH($A1351,'DETALLE CRONOLÓGICO'!$A$2:$A$4919,0)+$E1351-1)</f>
        <v/>
      </c>
      <c r="I1351" s="5">
        <f>IFERROR(SUMIFS('DETALLE CRONOLÓGICO'!$L$2:$L$4919,'DETALLE CRONOLÓGICO'!$A$2:$A$4919,$A1351)/$F1351,"")</f>
        <v/>
      </c>
      <c r="J1351" s="6">
        <f>IFERROR(SUMIFS('DETALLE CRONOLÓGICO'!$K$2:$K$4919,'DETALLE CRONOLÓGICO'!$A$2:$A$4919,$A1351)/$E1351,"")</f>
        <v/>
      </c>
      <c r="K1351" s="6">
        <f>_xlfn.MINIFS('DETALLE CRONOLÓGICO'!$K$2:$K$4919,'DETALLE CRONOLÓGICO'!$A$2:$A$4919,$A1351)</f>
        <v/>
      </c>
      <c r="L1351" s="6">
        <f>_xlfn.MAXIFS('DETALLE CRONOLÓGICO'!$K$2:$K$4919,'DETALLE CRONOLÓGICO'!$A$2:$A$4919,$A1351)</f>
        <v/>
      </c>
      <c r="M1351" s="6">
        <f>INDEX('DETALLE CRONOLÓGICO'!$K$2:$K$4919,MATCH($A1351,'DETALLE CRONOLÓGICO'!$A$2:$A$4919,0)+$E1351-1)</f>
        <v/>
      </c>
      <c r="N1351" s="7">
        <f>IFERROR($M1351/INDEX('DETALLE CRONOLÓGICO'!$K$2:$K$4919,MATCH($A1351,'DETALLE CRONOLÓGICO'!$A$2:$A$4919,0))-1,"")</f>
        <v/>
      </c>
      <c r="O1351" s="6">
        <f>IFERROR($I1351*3,"")</f>
        <v/>
      </c>
      <c r="P1351" s="6">
        <f>IFERROR($I1351*3.5,"")</f>
        <v/>
      </c>
      <c r="Q1351" s="6">
        <f>IFERROR($I1351*4,"")</f>
        <v/>
      </c>
      <c r="R1351" s="6" t="n">
        <v>450</v>
      </c>
      <c r="S1351" s="4" t="n">
        <v>3</v>
      </c>
      <c r="T1351" s="1" t="inlineStr">
        <is>
          <t>active</t>
        </is>
      </c>
      <c r="U1351" s="8" t="n"/>
      <c r="V1351" s="1" t="inlineStr">
        <is>
          <t>SIN PRECIO</t>
        </is>
      </c>
    </row>
    <row r="1352">
      <c r="A1352" s="1" t="inlineStr">
        <is>
          <t>66176c9121303</t>
        </is>
      </c>
      <c r="B1352" s="1" t="inlineStr">
        <is>
          <t>ANILLO LOVE GOLD ANCHO CON ZIRCONIA</t>
        </is>
      </c>
      <c r="C1352" s="1" t="inlineStr">
        <is>
          <t>6</t>
        </is>
      </c>
      <c r="D1352" s="1" t="inlineStr">
        <is>
          <t>HAIFENG</t>
        </is>
      </c>
      <c r="E1352" s="4">
        <f>COUNTIF('DETALLE CRONOLÓGICO'!$A$2:$A$4919,$A1352)</f>
        <v/>
      </c>
      <c r="F1352" s="4">
        <f>SUMIFS('DETALLE CRONOLÓGICO'!$I$2:$I$4919,'DETALLE CRONOLÓGICO'!$A$2:$A$4919,$A1352)</f>
        <v/>
      </c>
      <c r="G1352" s="1">
        <f>INDEX('DETALLE CRONOLÓGICO'!$D$2:$D$4919,MATCH($A1352,'DETALLE CRONOLÓGICO'!$A$2:$A$4919,0))</f>
        <v/>
      </c>
      <c r="H1352" s="1">
        <f>INDEX('DETALLE CRONOLÓGICO'!$D$2:$D$4919,MATCH($A1352,'DETALLE CRONOLÓGICO'!$A$2:$A$4919,0)+$E1352-1)</f>
        <v/>
      </c>
      <c r="I1352" s="5">
        <f>IFERROR(SUMIFS('DETALLE CRONOLÓGICO'!$L$2:$L$4919,'DETALLE CRONOLÓGICO'!$A$2:$A$4919,$A1352)/$F1352,"")</f>
        <v/>
      </c>
      <c r="J1352" s="6">
        <f>IFERROR(SUMIFS('DETALLE CRONOLÓGICO'!$K$2:$K$4919,'DETALLE CRONOLÓGICO'!$A$2:$A$4919,$A1352)/$E1352,"")</f>
        <v/>
      </c>
      <c r="K1352" s="6">
        <f>_xlfn.MINIFS('DETALLE CRONOLÓGICO'!$K$2:$K$4919,'DETALLE CRONOLÓGICO'!$A$2:$A$4919,$A1352)</f>
        <v/>
      </c>
      <c r="L1352" s="6">
        <f>_xlfn.MAXIFS('DETALLE CRONOLÓGICO'!$K$2:$K$4919,'DETALLE CRONOLÓGICO'!$A$2:$A$4919,$A1352)</f>
        <v/>
      </c>
      <c r="M1352" s="6">
        <f>INDEX('DETALLE CRONOLÓGICO'!$K$2:$K$4919,MATCH($A1352,'DETALLE CRONOLÓGICO'!$A$2:$A$4919,0)+$E1352-1)</f>
        <v/>
      </c>
      <c r="N1352" s="7">
        <f>IFERROR($M1352/INDEX('DETALLE CRONOLÓGICO'!$K$2:$K$4919,MATCH($A1352,'DETALLE CRONOLÓGICO'!$A$2:$A$4919,0))-1,"")</f>
        <v/>
      </c>
      <c r="O1352" s="6">
        <f>IFERROR($I1352*3,"")</f>
        <v/>
      </c>
      <c r="P1352" s="6">
        <f>IFERROR($I1352*3.5,"")</f>
        <v/>
      </c>
      <c r="Q1352" s="6">
        <f>IFERROR($I1352*4,"")</f>
        <v/>
      </c>
      <c r="R1352" s="6" t="n">
        <v>450</v>
      </c>
      <c r="S1352" s="4" t="n">
        <v>6</v>
      </c>
      <c r="T1352" s="1" t="inlineStr">
        <is>
          <t>active</t>
        </is>
      </c>
      <c r="U1352" s="8" t="n"/>
      <c r="V1352" s="1" t="inlineStr">
        <is>
          <t>SIN PRECIO</t>
        </is>
      </c>
    </row>
    <row r="1353">
      <c r="A1353" s="1" t="inlineStr">
        <is>
          <t>66176c91b3d77</t>
        </is>
      </c>
      <c r="B1353" s="1" t="inlineStr">
        <is>
          <t>ANILLO LOVE GOLD ANCHO CON ZIRCONIA</t>
        </is>
      </c>
      <c r="C1353" s="1" t="inlineStr">
        <is>
          <t>7</t>
        </is>
      </c>
      <c r="D1353" s="1" t="inlineStr">
        <is>
          <t>HAIFENG</t>
        </is>
      </c>
      <c r="E1353" s="4">
        <f>COUNTIF('DETALLE CRONOLÓGICO'!$A$2:$A$4919,$A1353)</f>
        <v/>
      </c>
      <c r="F1353" s="4">
        <f>SUMIFS('DETALLE CRONOLÓGICO'!$I$2:$I$4919,'DETALLE CRONOLÓGICO'!$A$2:$A$4919,$A1353)</f>
        <v/>
      </c>
      <c r="G1353" s="1">
        <f>INDEX('DETALLE CRONOLÓGICO'!$D$2:$D$4919,MATCH($A1353,'DETALLE CRONOLÓGICO'!$A$2:$A$4919,0))</f>
        <v/>
      </c>
      <c r="H1353" s="1">
        <f>INDEX('DETALLE CRONOLÓGICO'!$D$2:$D$4919,MATCH($A1353,'DETALLE CRONOLÓGICO'!$A$2:$A$4919,0)+$E1353-1)</f>
        <v/>
      </c>
      <c r="I1353" s="5">
        <f>IFERROR(SUMIFS('DETALLE CRONOLÓGICO'!$L$2:$L$4919,'DETALLE CRONOLÓGICO'!$A$2:$A$4919,$A1353)/$F1353,"")</f>
        <v/>
      </c>
      <c r="J1353" s="6">
        <f>IFERROR(SUMIFS('DETALLE CRONOLÓGICO'!$K$2:$K$4919,'DETALLE CRONOLÓGICO'!$A$2:$A$4919,$A1353)/$E1353,"")</f>
        <v/>
      </c>
      <c r="K1353" s="6">
        <f>_xlfn.MINIFS('DETALLE CRONOLÓGICO'!$K$2:$K$4919,'DETALLE CRONOLÓGICO'!$A$2:$A$4919,$A1353)</f>
        <v/>
      </c>
      <c r="L1353" s="6">
        <f>_xlfn.MAXIFS('DETALLE CRONOLÓGICO'!$K$2:$K$4919,'DETALLE CRONOLÓGICO'!$A$2:$A$4919,$A1353)</f>
        <v/>
      </c>
      <c r="M1353" s="6">
        <f>INDEX('DETALLE CRONOLÓGICO'!$K$2:$K$4919,MATCH($A1353,'DETALLE CRONOLÓGICO'!$A$2:$A$4919,0)+$E1353-1)</f>
        <v/>
      </c>
      <c r="N1353" s="7">
        <f>IFERROR($M1353/INDEX('DETALLE CRONOLÓGICO'!$K$2:$K$4919,MATCH($A1353,'DETALLE CRONOLÓGICO'!$A$2:$A$4919,0))-1,"")</f>
        <v/>
      </c>
      <c r="O1353" s="6">
        <f>IFERROR($I1353*3,"")</f>
        <v/>
      </c>
      <c r="P1353" s="6">
        <f>IFERROR($I1353*3.5,"")</f>
        <v/>
      </c>
      <c r="Q1353" s="6">
        <f>IFERROR($I1353*4,"")</f>
        <v/>
      </c>
      <c r="R1353" s="6" t="n">
        <v>450</v>
      </c>
      <c r="S1353" s="4" t="n">
        <v>6</v>
      </c>
      <c r="T1353" s="1" t="inlineStr">
        <is>
          <t>active</t>
        </is>
      </c>
      <c r="U1353" s="8" t="n"/>
      <c r="V1353" s="1" t="inlineStr">
        <is>
          <t>SIN PRECIO</t>
        </is>
      </c>
    </row>
    <row r="1354">
      <c r="A1354" s="1" t="inlineStr">
        <is>
          <t>66176c924830f</t>
        </is>
      </c>
      <c r="B1354" s="1" t="inlineStr">
        <is>
          <t>ANILLO LOVE GOLD ANCHO CON ZIRCONIA(WIDE)</t>
        </is>
      </c>
      <c r="C1354" s="1" t="inlineStr">
        <is>
          <t>8</t>
        </is>
      </c>
      <c r="D1354" s="1" t="inlineStr">
        <is>
          <t>HAIFENG</t>
        </is>
      </c>
      <c r="E1354" s="4">
        <f>COUNTIF('DETALLE CRONOLÓGICO'!$A$2:$A$4919,$A1354)</f>
        <v/>
      </c>
      <c r="F1354" s="4">
        <f>SUMIFS('DETALLE CRONOLÓGICO'!$I$2:$I$4919,'DETALLE CRONOLÓGICO'!$A$2:$A$4919,$A1354)</f>
        <v/>
      </c>
      <c r="G1354" s="1">
        <f>INDEX('DETALLE CRONOLÓGICO'!$D$2:$D$4919,MATCH($A1354,'DETALLE CRONOLÓGICO'!$A$2:$A$4919,0))</f>
        <v/>
      </c>
      <c r="H1354" s="1">
        <f>INDEX('DETALLE CRONOLÓGICO'!$D$2:$D$4919,MATCH($A1354,'DETALLE CRONOLÓGICO'!$A$2:$A$4919,0)+$E1354-1)</f>
        <v/>
      </c>
      <c r="I1354" s="5">
        <f>IFERROR(SUMIFS('DETALLE CRONOLÓGICO'!$L$2:$L$4919,'DETALLE CRONOLÓGICO'!$A$2:$A$4919,$A1354)/$F1354,"")</f>
        <v/>
      </c>
      <c r="J1354" s="6">
        <f>IFERROR(SUMIFS('DETALLE CRONOLÓGICO'!$K$2:$K$4919,'DETALLE CRONOLÓGICO'!$A$2:$A$4919,$A1354)/$E1354,"")</f>
        <v/>
      </c>
      <c r="K1354" s="6">
        <f>_xlfn.MINIFS('DETALLE CRONOLÓGICO'!$K$2:$K$4919,'DETALLE CRONOLÓGICO'!$A$2:$A$4919,$A1354)</f>
        <v/>
      </c>
      <c r="L1354" s="6">
        <f>_xlfn.MAXIFS('DETALLE CRONOLÓGICO'!$K$2:$K$4919,'DETALLE CRONOLÓGICO'!$A$2:$A$4919,$A1354)</f>
        <v/>
      </c>
      <c r="M1354" s="6">
        <f>INDEX('DETALLE CRONOLÓGICO'!$K$2:$K$4919,MATCH($A1354,'DETALLE CRONOLÓGICO'!$A$2:$A$4919,0)+$E1354-1)</f>
        <v/>
      </c>
      <c r="N1354" s="7">
        <f>IFERROR($M1354/INDEX('DETALLE CRONOLÓGICO'!$K$2:$K$4919,MATCH($A1354,'DETALLE CRONOLÓGICO'!$A$2:$A$4919,0))-1,"")</f>
        <v/>
      </c>
      <c r="O1354" s="6">
        <f>IFERROR($I1354*3,"")</f>
        <v/>
      </c>
      <c r="P1354" s="6">
        <f>IFERROR($I1354*3.5,"")</f>
        <v/>
      </c>
      <c r="Q1354" s="6">
        <f>IFERROR($I1354*4,"")</f>
        <v/>
      </c>
      <c r="R1354" s="6" t="n">
        <v>450</v>
      </c>
      <c r="S1354" s="4" t="n">
        <v>3</v>
      </c>
      <c r="T1354" s="1" t="inlineStr">
        <is>
          <t>active</t>
        </is>
      </c>
      <c r="U1354" s="8" t="n"/>
      <c r="V1354" s="1" t="inlineStr">
        <is>
          <t>SIN PRECIO</t>
        </is>
      </c>
    </row>
    <row r="1355">
      <c r="A1355" s="1" t="inlineStr">
        <is>
          <t>66176c92ddb57</t>
        </is>
      </c>
      <c r="B1355" s="1" t="inlineStr">
        <is>
          <t>ANILLO LOVE GOLD ANCHO CON ZIRCONIA</t>
        </is>
      </c>
      <c r="C1355" s="1" t="inlineStr">
        <is>
          <t>9</t>
        </is>
      </c>
      <c r="D1355" s="1" t="inlineStr">
        <is>
          <t>HAIFENG</t>
        </is>
      </c>
      <c r="E1355" s="4">
        <f>COUNTIF('DETALLE CRONOLÓGICO'!$A$2:$A$4919,$A1355)</f>
        <v/>
      </c>
      <c r="F1355" s="4">
        <f>SUMIFS('DETALLE CRONOLÓGICO'!$I$2:$I$4919,'DETALLE CRONOLÓGICO'!$A$2:$A$4919,$A1355)</f>
        <v/>
      </c>
      <c r="G1355" s="1">
        <f>INDEX('DETALLE CRONOLÓGICO'!$D$2:$D$4919,MATCH($A1355,'DETALLE CRONOLÓGICO'!$A$2:$A$4919,0))</f>
        <v/>
      </c>
      <c r="H1355" s="1">
        <f>INDEX('DETALLE CRONOLÓGICO'!$D$2:$D$4919,MATCH($A1355,'DETALLE CRONOLÓGICO'!$A$2:$A$4919,0)+$E1355-1)</f>
        <v/>
      </c>
      <c r="I1355" s="5">
        <f>IFERROR(SUMIFS('DETALLE CRONOLÓGICO'!$L$2:$L$4919,'DETALLE CRONOLÓGICO'!$A$2:$A$4919,$A1355)/$F1355,"")</f>
        <v/>
      </c>
      <c r="J1355" s="6">
        <f>IFERROR(SUMIFS('DETALLE CRONOLÓGICO'!$K$2:$K$4919,'DETALLE CRONOLÓGICO'!$A$2:$A$4919,$A1355)/$E1355,"")</f>
        <v/>
      </c>
      <c r="K1355" s="6">
        <f>_xlfn.MINIFS('DETALLE CRONOLÓGICO'!$K$2:$K$4919,'DETALLE CRONOLÓGICO'!$A$2:$A$4919,$A1355)</f>
        <v/>
      </c>
      <c r="L1355" s="6">
        <f>_xlfn.MAXIFS('DETALLE CRONOLÓGICO'!$K$2:$K$4919,'DETALLE CRONOLÓGICO'!$A$2:$A$4919,$A1355)</f>
        <v/>
      </c>
      <c r="M1355" s="6">
        <f>INDEX('DETALLE CRONOLÓGICO'!$K$2:$K$4919,MATCH($A1355,'DETALLE CRONOLÓGICO'!$A$2:$A$4919,0)+$E1355-1)</f>
        <v/>
      </c>
      <c r="N1355" s="7">
        <f>IFERROR($M1355/INDEX('DETALLE CRONOLÓGICO'!$K$2:$K$4919,MATCH($A1355,'DETALLE CRONOLÓGICO'!$A$2:$A$4919,0))-1,"")</f>
        <v/>
      </c>
      <c r="O1355" s="6">
        <f>IFERROR($I1355*3,"")</f>
        <v/>
      </c>
      <c r="P1355" s="6">
        <f>IFERROR($I1355*3.5,"")</f>
        <v/>
      </c>
      <c r="Q1355" s="6">
        <f>IFERROR($I1355*4,"")</f>
        <v/>
      </c>
      <c r="R1355" s="6" t="n">
        <v>450</v>
      </c>
      <c r="S1355" s="4" t="n">
        <v>5</v>
      </c>
      <c r="T1355" s="1" t="inlineStr">
        <is>
          <t>active</t>
        </is>
      </c>
      <c r="U1355" s="8" t="n"/>
      <c r="V1355" s="1" t="inlineStr">
        <is>
          <t>SIN PRECIO</t>
        </is>
      </c>
    </row>
    <row r="1356">
      <c r="A1356" s="1" t="inlineStr">
        <is>
          <t>66176c93808a4</t>
        </is>
      </c>
      <c r="B1356" s="1" t="inlineStr">
        <is>
          <t>ANILLO LOVE GOLD ANCHO CON ZIRCONIA</t>
        </is>
      </c>
      <c r="C1356" s="1" t="inlineStr">
        <is>
          <t>10</t>
        </is>
      </c>
      <c r="D1356" s="1" t="inlineStr">
        <is>
          <t>HAIFENG</t>
        </is>
      </c>
      <c r="E1356" s="4">
        <f>COUNTIF('DETALLE CRONOLÓGICO'!$A$2:$A$4919,$A1356)</f>
        <v/>
      </c>
      <c r="F1356" s="4">
        <f>SUMIFS('DETALLE CRONOLÓGICO'!$I$2:$I$4919,'DETALLE CRONOLÓGICO'!$A$2:$A$4919,$A1356)</f>
        <v/>
      </c>
      <c r="G1356" s="1">
        <f>INDEX('DETALLE CRONOLÓGICO'!$D$2:$D$4919,MATCH($A1356,'DETALLE CRONOLÓGICO'!$A$2:$A$4919,0))</f>
        <v/>
      </c>
      <c r="H1356" s="1">
        <f>INDEX('DETALLE CRONOLÓGICO'!$D$2:$D$4919,MATCH($A1356,'DETALLE CRONOLÓGICO'!$A$2:$A$4919,0)+$E1356-1)</f>
        <v/>
      </c>
      <c r="I1356" s="5">
        <f>IFERROR(SUMIFS('DETALLE CRONOLÓGICO'!$L$2:$L$4919,'DETALLE CRONOLÓGICO'!$A$2:$A$4919,$A1356)/$F1356,"")</f>
        <v/>
      </c>
      <c r="J1356" s="6">
        <f>IFERROR(SUMIFS('DETALLE CRONOLÓGICO'!$K$2:$K$4919,'DETALLE CRONOLÓGICO'!$A$2:$A$4919,$A1356)/$E1356,"")</f>
        <v/>
      </c>
      <c r="K1356" s="6">
        <f>_xlfn.MINIFS('DETALLE CRONOLÓGICO'!$K$2:$K$4919,'DETALLE CRONOLÓGICO'!$A$2:$A$4919,$A1356)</f>
        <v/>
      </c>
      <c r="L1356" s="6">
        <f>_xlfn.MAXIFS('DETALLE CRONOLÓGICO'!$K$2:$K$4919,'DETALLE CRONOLÓGICO'!$A$2:$A$4919,$A1356)</f>
        <v/>
      </c>
      <c r="M1356" s="6">
        <f>INDEX('DETALLE CRONOLÓGICO'!$K$2:$K$4919,MATCH($A1356,'DETALLE CRONOLÓGICO'!$A$2:$A$4919,0)+$E1356-1)</f>
        <v/>
      </c>
      <c r="N1356" s="7">
        <f>IFERROR($M1356/INDEX('DETALLE CRONOLÓGICO'!$K$2:$K$4919,MATCH($A1356,'DETALLE CRONOLÓGICO'!$A$2:$A$4919,0))-1,"")</f>
        <v/>
      </c>
      <c r="O1356" s="6">
        <f>IFERROR($I1356*3,"")</f>
        <v/>
      </c>
      <c r="P1356" s="6">
        <f>IFERROR($I1356*3.5,"")</f>
        <v/>
      </c>
      <c r="Q1356" s="6">
        <f>IFERROR($I1356*4,"")</f>
        <v/>
      </c>
      <c r="R1356" s="6" t="n">
        <v>450</v>
      </c>
      <c r="S1356" s="4" t="n">
        <v>2</v>
      </c>
      <c r="T1356" s="1" t="inlineStr">
        <is>
          <t>active</t>
        </is>
      </c>
      <c r="U1356" s="8" t="n"/>
      <c r="V1356" s="1" t="inlineStr">
        <is>
          <t>SIN PRECIO</t>
        </is>
      </c>
    </row>
    <row r="1357">
      <c r="A1357" s="1" t="inlineStr">
        <is>
          <t>66176cdacbf36</t>
        </is>
      </c>
      <c r="B1357" s="1" t="inlineStr">
        <is>
          <t>ANILLO CLAVO ZIRCONIA GOLD</t>
        </is>
      </c>
      <c r="C1357" s="1" t="inlineStr">
        <is>
          <t>5</t>
        </is>
      </c>
      <c r="D1357" s="1" t="inlineStr">
        <is>
          <t>HAIFENG</t>
        </is>
      </c>
      <c r="E1357" s="4">
        <f>COUNTIF('DETALLE CRONOLÓGICO'!$A$2:$A$4919,$A1357)</f>
        <v/>
      </c>
      <c r="F1357" s="4">
        <f>SUMIFS('DETALLE CRONOLÓGICO'!$I$2:$I$4919,'DETALLE CRONOLÓGICO'!$A$2:$A$4919,$A1357)</f>
        <v/>
      </c>
      <c r="G1357" s="1">
        <f>INDEX('DETALLE CRONOLÓGICO'!$D$2:$D$4919,MATCH($A1357,'DETALLE CRONOLÓGICO'!$A$2:$A$4919,0))</f>
        <v/>
      </c>
      <c r="H1357" s="1">
        <f>INDEX('DETALLE CRONOLÓGICO'!$D$2:$D$4919,MATCH($A1357,'DETALLE CRONOLÓGICO'!$A$2:$A$4919,0)+$E1357-1)</f>
        <v/>
      </c>
      <c r="I1357" s="5">
        <f>IFERROR(SUMIFS('DETALLE CRONOLÓGICO'!$L$2:$L$4919,'DETALLE CRONOLÓGICO'!$A$2:$A$4919,$A1357)/$F1357,"")</f>
        <v/>
      </c>
      <c r="J1357" s="6">
        <f>IFERROR(SUMIFS('DETALLE CRONOLÓGICO'!$K$2:$K$4919,'DETALLE CRONOLÓGICO'!$A$2:$A$4919,$A1357)/$E1357,"")</f>
        <v/>
      </c>
      <c r="K1357" s="6">
        <f>_xlfn.MINIFS('DETALLE CRONOLÓGICO'!$K$2:$K$4919,'DETALLE CRONOLÓGICO'!$A$2:$A$4919,$A1357)</f>
        <v/>
      </c>
      <c r="L1357" s="6">
        <f>_xlfn.MAXIFS('DETALLE CRONOLÓGICO'!$K$2:$K$4919,'DETALLE CRONOLÓGICO'!$A$2:$A$4919,$A1357)</f>
        <v/>
      </c>
      <c r="M1357" s="6">
        <f>INDEX('DETALLE CRONOLÓGICO'!$K$2:$K$4919,MATCH($A1357,'DETALLE CRONOLÓGICO'!$A$2:$A$4919,0)+$E1357-1)</f>
        <v/>
      </c>
      <c r="N1357" s="7">
        <f>IFERROR($M1357/INDEX('DETALLE CRONOLÓGICO'!$K$2:$K$4919,MATCH($A1357,'DETALLE CRONOLÓGICO'!$A$2:$A$4919,0))-1,"")</f>
        <v/>
      </c>
      <c r="O1357" s="6">
        <f>IFERROR($I1357*3,"")</f>
        <v/>
      </c>
      <c r="P1357" s="6">
        <f>IFERROR($I1357*3.5,"")</f>
        <v/>
      </c>
      <c r="Q1357" s="6">
        <f>IFERROR($I1357*4,"")</f>
        <v/>
      </c>
      <c r="R1357" s="6" t="n">
        <v>450</v>
      </c>
      <c r="S1357" s="4" t="n">
        <v>1</v>
      </c>
      <c r="T1357" s="1" t="inlineStr">
        <is>
          <t>active</t>
        </is>
      </c>
      <c r="U1357" s="8" t="n"/>
      <c r="V1357" s="1" t="inlineStr">
        <is>
          <t>SIN PRECIO</t>
        </is>
      </c>
    </row>
    <row r="1358">
      <c r="A1358" s="1" t="inlineStr">
        <is>
          <t>66176cdae92c1</t>
        </is>
      </c>
      <c r="B1358" s="1" t="inlineStr">
        <is>
          <t>ANILLO CLAVO GOLD</t>
        </is>
      </c>
      <c r="C1358" s="1" t="inlineStr">
        <is>
          <t>5 HIGH QUALITY</t>
        </is>
      </c>
      <c r="D1358" s="1" t="inlineStr">
        <is>
          <t>HAIFENG</t>
        </is>
      </c>
      <c r="E1358" s="4">
        <f>COUNTIF('DETALLE CRONOLÓGICO'!$A$2:$A$4919,$A1358)</f>
        <v/>
      </c>
      <c r="F1358" s="4">
        <f>SUMIFS('DETALLE CRONOLÓGICO'!$I$2:$I$4919,'DETALLE CRONOLÓGICO'!$A$2:$A$4919,$A1358)</f>
        <v/>
      </c>
      <c r="G1358" s="1">
        <f>INDEX('DETALLE CRONOLÓGICO'!$D$2:$D$4919,MATCH($A1358,'DETALLE CRONOLÓGICO'!$A$2:$A$4919,0))</f>
        <v/>
      </c>
      <c r="H1358" s="1">
        <f>INDEX('DETALLE CRONOLÓGICO'!$D$2:$D$4919,MATCH($A1358,'DETALLE CRONOLÓGICO'!$A$2:$A$4919,0)+$E1358-1)</f>
        <v/>
      </c>
      <c r="I1358" s="5">
        <f>IFERROR(SUMIFS('DETALLE CRONOLÓGICO'!$L$2:$L$4919,'DETALLE CRONOLÓGICO'!$A$2:$A$4919,$A1358)/$F1358,"")</f>
        <v/>
      </c>
      <c r="J1358" s="6">
        <f>IFERROR(SUMIFS('DETALLE CRONOLÓGICO'!$K$2:$K$4919,'DETALLE CRONOLÓGICO'!$A$2:$A$4919,$A1358)/$E1358,"")</f>
        <v/>
      </c>
      <c r="K1358" s="6">
        <f>_xlfn.MINIFS('DETALLE CRONOLÓGICO'!$K$2:$K$4919,'DETALLE CRONOLÓGICO'!$A$2:$A$4919,$A1358)</f>
        <v/>
      </c>
      <c r="L1358" s="6">
        <f>_xlfn.MAXIFS('DETALLE CRONOLÓGICO'!$K$2:$K$4919,'DETALLE CRONOLÓGICO'!$A$2:$A$4919,$A1358)</f>
        <v/>
      </c>
      <c r="M1358" s="6">
        <f>INDEX('DETALLE CRONOLÓGICO'!$K$2:$K$4919,MATCH($A1358,'DETALLE CRONOLÓGICO'!$A$2:$A$4919,0)+$E1358-1)</f>
        <v/>
      </c>
      <c r="N1358" s="7">
        <f>IFERROR($M1358/INDEX('DETALLE CRONOLÓGICO'!$K$2:$K$4919,MATCH($A1358,'DETALLE CRONOLÓGICO'!$A$2:$A$4919,0))-1,"")</f>
        <v/>
      </c>
      <c r="O1358" s="6">
        <f>IFERROR($I1358*3,"")</f>
        <v/>
      </c>
      <c r="P1358" s="6">
        <f>IFERROR($I1358*3.5,"")</f>
        <v/>
      </c>
      <c r="Q1358" s="6">
        <f>IFERROR($I1358*4,"")</f>
        <v/>
      </c>
      <c r="R1358" s="6" t="n">
        <v>400</v>
      </c>
      <c r="S1358" s="4" t="n">
        <v>6</v>
      </c>
      <c r="T1358" s="1" t="inlineStr">
        <is>
          <t>active</t>
        </is>
      </c>
      <c r="U1358" s="8" t="n"/>
      <c r="V1358" s="1" t="inlineStr">
        <is>
          <t>SIN PRECIO</t>
        </is>
      </c>
    </row>
    <row r="1359">
      <c r="A1359" s="1" t="inlineStr">
        <is>
          <t>66176cdaf1735</t>
        </is>
      </c>
      <c r="B1359" s="1" t="inlineStr">
        <is>
          <t>ANILLO CLAVO SILVER (WITHOUT ZIRCONIAS)</t>
        </is>
      </c>
      <c r="C1359" s="1" t="inlineStr">
        <is>
          <t>5 HIGH QUALITY</t>
        </is>
      </c>
      <c r="D1359" s="1" t="inlineStr">
        <is>
          <t>HAIFENG</t>
        </is>
      </c>
      <c r="E1359" s="4">
        <f>COUNTIF('DETALLE CRONOLÓGICO'!$A$2:$A$4919,$A1359)</f>
        <v/>
      </c>
      <c r="F1359" s="4">
        <f>SUMIFS('DETALLE CRONOLÓGICO'!$I$2:$I$4919,'DETALLE CRONOLÓGICO'!$A$2:$A$4919,$A1359)</f>
        <v/>
      </c>
      <c r="G1359" s="1">
        <f>INDEX('DETALLE CRONOLÓGICO'!$D$2:$D$4919,MATCH($A1359,'DETALLE CRONOLÓGICO'!$A$2:$A$4919,0))</f>
        <v/>
      </c>
      <c r="H1359" s="1">
        <f>INDEX('DETALLE CRONOLÓGICO'!$D$2:$D$4919,MATCH($A1359,'DETALLE CRONOLÓGICO'!$A$2:$A$4919,0)+$E1359-1)</f>
        <v/>
      </c>
      <c r="I1359" s="5">
        <f>IFERROR(SUMIFS('DETALLE CRONOLÓGICO'!$L$2:$L$4919,'DETALLE CRONOLÓGICO'!$A$2:$A$4919,$A1359)/$F1359,"")</f>
        <v/>
      </c>
      <c r="J1359" s="6">
        <f>IFERROR(SUMIFS('DETALLE CRONOLÓGICO'!$K$2:$K$4919,'DETALLE CRONOLÓGICO'!$A$2:$A$4919,$A1359)/$E1359,"")</f>
        <v/>
      </c>
      <c r="K1359" s="6">
        <f>_xlfn.MINIFS('DETALLE CRONOLÓGICO'!$K$2:$K$4919,'DETALLE CRONOLÓGICO'!$A$2:$A$4919,$A1359)</f>
        <v/>
      </c>
      <c r="L1359" s="6">
        <f>_xlfn.MAXIFS('DETALLE CRONOLÓGICO'!$K$2:$K$4919,'DETALLE CRONOLÓGICO'!$A$2:$A$4919,$A1359)</f>
        <v/>
      </c>
      <c r="M1359" s="6">
        <f>INDEX('DETALLE CRONOLÓGICO'!$K$2:$K$4919,MATCH($A1359,'DETALLE CRONOLÓGICO'!$A$2:$A$4919,0)+$E1359-1)</f>
        <v/>
      </c>
      <c r="N1359" s="7">
        <f>IFERROR($M1359/INDEX('DETALLE CRONOLÓGICO'!$K$2:$K$4919,MATCH($A1359,'DETALLE CRONOLÓGICO'!$A$2:$A$4919,0))-1,"")</f>
        <v/>
      </c>
      <c r="O1359" s="6">
        <f>IFERROR($I1359*3,"")</f>
        <v/>
      </c>
      <c r="P1359" s="6">
        <f>IFERROR($I1359*3.5,"")</f>
        <v/>
      </c>
      <c r="Q1359" s="6">
        <f>IFERROR($I1359*4,"")</f>
        <v/>
      </c>
      <c r="R1359" s="6" t="n">
        <v>400</v>
      </c>
      <c r="S1359" s="4" t="n">
        <v>5</v>
      </c>
      <c r="T1359" s="1" t="inlineStr">
        <is>
          <t>active</t>
        </is>
      </c>
      <c r="U1359" s="8" t="n"/>
      <c r="V1359" s="1" t="inlineStr">
        <is>
          <t>SIN PRECIO</t>
        </is>
      </c>
    </row>
    <row r="1360">
      <c r="A1360" s="1" t="inlineStr">
        <is>
          <t>66176cdb6225d</t>
        </is>
      </c>
      <c r="B1360" s="1" t="inlineStr">
        <is>
          <t>ANILLO CLAVO ZIRCONIA GOLD</t>
        </is>
      </c>
      <c r="C1360" s="1" t="inlineStr">
        <is>
          <t>6</t>
        </is>
      </c>
      <c r="D1360" s="1" t="inlineStr">
        <is>
          <t>HAIFENG</t>
        </is>
      </c>
      <c r="E1360" s="4">
        <f>COUNTIF('DETALLE CRONOLÓGICO'!$A$2:$A$4919,$A1360)</f>
        <v/>
      </c>
      <c r="F1360" s="4">
        <f>SUMIFS('DETALLE CRONOLÓGICO'!$I$2:$I$4919,'DETALLE CRONOLÓGICO'!$A$2:$A$4919,$A1360)</f>
        <v/>
      </c>
      <c r="G1360" s="1">
        <f>INDEX('DETALLE CRONOLÓGICO'!$D$2:$D$4919,MATCH($A1360,'DETALLE CRONOLÓGICO'!$A$2:$A$4919,0))</f>
        <v/>
      </c>
      <c r="H1360" s="1">
        <f>INDEX('DETALLE CRONOLÓGICO'!$D$2:$D$4919,MATCH($A1360,'DETALLE CRONOLÓGICO'!$A$2:$A$4919,0)+$E1360-1)</f>
        <v/>
      </c>
      <c r="I1360" s="5">
        <f>IFERROR(SUMIFS('DETALLE CRONOLÓGICO'!$L$2:$L$4919,'DETALLE CRONOLÓGICO'!$A$2:$A$4919,$A1360)/$F1360,"")</f>
        <v/>
      </c>
      <c r="J1360" s="6">
        <f>IFERROR(SUMIFS('DETALLE CRONOLÓGICO'!$K$2:$K$4919,'DETALLE CRONOLÓGICO'!$A$2:$A$4919,$A1360)/$E1360,"")</f>
        <v/>
      </c>
      <c r="K1360" s="6">
        <f>_xlfn.MINIFS('DETALLE CRONOLÓGICO'!$K$2:$K$4919,'DETALLE CRONOLÓGICO'!$A$2:$A$4919,$A1360)</f>
        <v/>
      </c>
      <c r="L1360" s="6">
        <f>_xlfn.MAXIFS('DETALLE CRONOLÓGICO'!$K$2:$K$4919,'DETALLE CRONOLÓGICO'!$A$2:$A$4919,$A1360)</f>
        <v/>
      </c>
      <c r="M1360" s="6">
        <f>INDEX('DETALLE CRONOLÓGICO'!$K$2:$K$4919,MATCH($A1360,'DETALLE CRONOLÓGICO'!$A$2:$A$4919,0)+$E1360-1)</f>
        <v/>
      </c>
      <c r="N1360" s="7">
        <f>IFERROR($M1360/INDEX('DETALLE CRONOLÓGICO'!$K$2:$K$4919,MATCH($A1360,'DETALLE CRONOLÓGICO'!$A$2:$A$4919,0))-1,"")</f>
        <v/>
      </c>
      <c r="O1360" s="6">
        <f>IFERROR($I1360*3,"")</f>
        <v/>
      </c>
      <c r="P1360" s="6">
        <f>IFERROR($I1360*3.5,"")</f>
        <v/>
      </c>
      <c r="Q1360" s="6">
        <f>IFERROR($I1360*4,"")</f>
        <v/>
      </c>
      <c r="R1360" s="6" t="n">
        <v>450</v>
      </c>
      <c r="S1360" s="4" t="n">
        <v>2</v>
      </c>
      <c r="T1360" s="1" t="inlineStr">
        <is>
          <t>active</t>
        </is>
      </c>
      <c r="U1360" s="8" t="n"/>
      <c r="V1360" s="1" t="inlineStr">
        <is>
          <t>SIN PRECIO</t>
        </is>
      </c>
    </row>
    <row r="1361">
      <c r="A1361" s="1" t="inlineStr">
        <is>
          <t>66176cdb7d238</t>
        </is>
      </c>
      <c r="B1361" s="1" t="inlineStr">
        <is>
          <t>ANILLO CLAVO SILVER (WITHOUT ZIRCONIAS)</t>
        </is>
      </c>
      <c r="C1361" s="1" t="inlineStr">
        <is>
          <t>6 HIGH QUALITY</t>
        </is>
      </c>
      <c r="D1361" s="1" t="inlineStr">
        <is>
          <t>HAIFENG</t>
        </is>
      </c>
      <c r="E1361" s="4">
        <f>COUNTIF('DETALLE CRONOLÓGICO'!$A$2:$A$4919,$A1361)</f>
        <v/>
      </c>
      <c r="F1361" s="4">
        <f>SUMIFS('DETALLE CRONOLÓGICO'!$I$2:$I$4919,'DETALLE CRONOLÓGICO'!$A$2:$A$4919,$A1361)</f>
        <v/>
      </c>
      <c r="G1361" s="1">
        <f>INDEX('DETALLE CRONOLÓGICO'!$D$2:$D$4919,MATCH($A1361,'DETALLE CRONOLÓGICO'!$A$2:$A$4919,0))</f>
        <v/>
      </c>
      <c r="H1361" s="1">
        <f>INDEX('DETALLE CRONOLÓGICO'!$D$2:$D$4919,MATCH($A1361,'DETALLE CRONOLÓGICO'!$A$2:$A$4919,0)+$E1361-1)</f>
        <v/>
      </c>
      <c r="I1361" s="5">
        <f>IFERROR(SUMIFS('DETALLE CRONOLÓGICO'!$L$2:$L$4919,'DETALLE CRONOLÓGICO'!$A$2:$A$4919,$A1361)/$F1361,"")</f>
        <v/>
      </c>
      <c r="J1361" s="6">
        <f>IFERROR(SUMIFS('DETALLE CRONOLÓGICO'!$K$2:$K$4919,'DETALLE CRONOLÓGICO'!$A$2:$A$4919,$A1361)/$E1361,"")</f>
        <v/>
      </c>
      <c r="K1361" s="6">
        <f>_xlfn.MINIFS('DETALLE CRONOLÓGICO'!$K$2:$K$4919,'DETALLE CRONOLÓGICO'!$A$2:$A$4919,$A1361)</f>
        <v/>
      </c>
      <c r="L1361" s="6">
        <f>_xlfn.MAXIFS('DETALLE CRONOLÓGICO'!$K$2:$K$4919,'DETALLE CRONOLÓGICO'!$A$2:$A$4919,$A1361)</f>
        <v/>
      </c>
      <c r="M1361" s="6">
        <f>INDEX('DETALLE CRONOLÓGICO'!$K$2:$K$4919,MATCH($A1361,'DETALLE CRONOLÓGICO'!$A$2:$A$4919,0)+$E1361-1)</f>
        <v/>
      </c>
      <c r="N1361" s="7">
        <f>IFERROR($M1361/INDEX('DETALLE CRONOLÓGICO'!$K$2:$K$4919,MATCH($A1361,'DETALLE CRONOLÓGICO'!$A$2:$A$4919,0))-1,"")</f>
        <v/>
      </c>
      <c r="O1361" s="6">
        <f>IFERROR($I1361*3,"")</f>
        <v/>
      </c>
      <c r="P1361" s="6">
        <f>IFERROR($I1361*3.5,"")</f>
        <v/>
      </c>
      <c r="Q1361" s="6">
        <f>IFERROR($I1361*4,"")</f>
        <v/>
      </c>
      <c r="R1361" s="6" t="n">
        <v>400</v>
      </c>
      <c r="S1361" s="4" t="n">
        <v>4</v>
      </c>
      <c r="T1361" s="1" t="inlineStr">
        <is>
          <t>active</t>
        </is>
      </c>
      <c r="U1361" s="8" t="n"/>
      <c r="V1361" s="1" t="inlineStr">
        <is>
          <t>SIN PRECIO</t>
        </is>
      </c>
    </row>
    <row r="1362">
      <c r="A1362" s="1" t="inlineStr">
        <is>
          <t>66176cdb9f129</t>
        </is>
      </c>
      <c r="B1362" s="1" t="inlineStr">
        <is>
          <t>ANILLO CLAVO GOLD</t>
        </is>
      </c>
      <c r="C1362" s="1" t="inlineStr">
        <is>
          <t>6 HIGH QUALITY</t>
        </is>
      </c>
      <c r="D1362" s="1" t="inlineStr">
        <is>
          <t>HAIFENG</t>
        </is>
      </c>
      <c r="E1362" s="4">
        <f>COUNTIF('DETALLE CRONOLÓGICO'!$A$2:$A$4919,$A1362)</f>
        <v/>
      </c>
      <c r="F1362" s="4">
        <f>SUMIFS('DETALLE CRONOLÓGICO'!$I$2:$I$4919,'DETALLE CRONOLÓGICO'!$A$2:$A$4919,$A1362)</f>
        <v/>
      </c>
      <c r="G1362" s="1">
        <f>INDEX('DETALLE CRONOLÓGICO'!$D$2:$D$4919,MATCH($A1362,'DETALLE CRONOLÓGICO'!$A$2:$A$4919,0))</f>
        <v/>
      </c>
      <c r="H1362" s="1">
        <f>INDEX('DETALLE CRONOLÓGICO'!$D$2:$D$4919,MATCH($A1362,'DETALLE CRONOLÓGICO'!$A$2:$A$4919,0)+$E1362-1)</f>
        <v/>
      </c>
      <c r="I1362" s="5">
        <f>IFERROR(SUMIFS('DETALLE CRONOLÓGICO'!$L$2:$L$4919,'DETALLE CRONOLÓGICO'!$A$2:$A$4919,$A1362)/$F1362,"")</f>
        <v/>
      </c>
      <c r="J1362" s="6">
        <f>IFERROR(SUMIFS('DETALLE CRONOLÓGICO'!$K$2:$K$4919,'DETALLE CRONOLÓGICO'!$A$2:$A$4919,$A1362)/$E1362,"")</f>
        <v/>
      </c>
      <c r="K1362" s="6">
        <f>_xlfn.MINIFS('DETALLE CRONOLÓGICO'!$K$2:$K$4919,'DETALLE CRONOLÓGICO'!$A$2:$A$4919,$A1362)</f>
        <v/>
      </c>
      <c r="L1362" s="6">
        <f>_xlfn.MAXIFS('DETALLE CRONOLÓGICO'!$K$2:$K$4919,'DETALLE CRONOLÓGICO'!$A$2:$A$4919,$A1362)</f>
        <v/>
      </c>
      <c r="M1362" s="6">
        <f>INDEX('DETALLE CRONOLÓGICO'!$K$2:$K$4919,MATCH($A1362,'DETALLE CRONOLÓGICO'!$A$2:$A$4919,0)+$E1362-1)</f>
        <v/>
      </c>
      <c r="N1362" s="7">
        <f>IFERROR($M1362/INDEX('DETALLE CRONOLÓGICO'!$K$2:$K$4919,MATCH($A1362,'DETALLE CRONOLÓGICO'!$A$2:$A$4919,0))-1,"")</f>
        <v/>
      </c>
      <c r="O1362" s="6">
        <f>IFERROR($I1362*3,"")</f>
        <v/>
      </c>
      <c r="P1362" s="6">
        <f>IFERROR($I1362*3.5,"")</f>
        <v/>
      </c>
      <c r="Q1362" s="6">
        <f>IFERROR($I1362*4,"")</f>
        <v/>
      </c>
      <c r="R1362" s="6" t="n">
        <v>400</v>
      </c>
      <c r="S1362" s="4" t="n">
        <v>3</v>
      </c>
      <c r="T1362" s="1" t="inlineStr">
        <is>
          <t>active</t>
        </is>
      </c>
      <c r="U1362" s="8" t="n"/>
      <c r="V1362" s="1" t="inlineStr">
        <is>
          <t>SIN PRECIO</t>
        </is>
      </c>
    </row>
    <row r="1363">
      <c r="A1363" s="1" t="inlineStr">
        <is>
          <t>66176cdbe0e8a</t>
        </is>
      </c>
      <c r="B1363" s="1" t="inlineStr">
        <is>
          <t>ANILLO CLAVO ZIRCONIA GOLD</t>
        </is>
      </c>
      <c r="C1363" s="1" t="inlineStr">
        <is>
          <t>7</t>
        </is>
      </c>
      <c r="D1363" s="1" t="inlineStr">
        <is>
          <t>HAIFENG</t>
        </is>
      </c>
      <c r="E1363" s="4">
        <f>COUNTIF('DETALLE CRONOLÓGICO'!$A$2:$A$4919,$A1363)</f>
        <v/>
      </c>
      <c r="F1363" s="4">
        <f>SUMIFS('DETALLE CRONOLÓGICO'!$I$2:$I$4919,'DETALLE CRONOLÓGICO'!$A$2:$A$4919,$A1363)</f>
        <v/>
      </c>
      <c r="G1363" s="1">
        <f>INDEX('DETALLE CRONOLÓGICO'!$D$2:$D$4919,MATCH($A1363,'DETALLE CRONOLÓGICO'!$A$2:$A$4919,0))</f>
        <v/>
      </c>
      <c r="H1363" s="1">
        <f>INDEX('DETALLE CRONOLÓGICO'!$D$2:$D$4919,MATCH($A1363,'DETALLE CRONOLÓGICO'!$A$2:$A$4919,0)+$E1363-1)</f>
        <v/>
      </c>
      <c r="I1363" s="5">
        <f>IFERROR(SUMIFS('DETALLE CRONOLÓGICO'!$L$2:$L$4919,'DETALLE CRONOLÓGICO'!$A$2:$A$4919,$A1363)/$F1363,"")</f>
        <v/>
      </c>
      <c r="J1363" s="6">
        <f>IFERROR(SUMIFS('DETALLE CRONOLÓGICO'!$K$2:$K$4919,'DETALLE CRONOLÓGICO'!$A$2:$A$4919,$A1363)/$E1363,"")</f>
        <v/>
      </c>
      <c r="K1363" s="6">
        <f>_xlfn.MINIFS('DETALLE CRONOLÓGICO'!$K$2:$K$4919,'DETALLE CRONOLÓGICO'!$A$2:$A$4919,$A1363)</f>
        <v/>
      </c>
      <c r="L1363" s="6">
        <f>_xlfn.MAXIFS('DETALLE CRONOLÓGICO'!$K$2:$K$4919,'DETALLE CRONOLÓGICO'!$A$2:$A$4919,$A1363)</f>
        <v/>
      </c>
      <c r="M1363" s="6">
        <f>INDEX('DETALLE CRONOLÓGICO'!$K$2:$K$4919,MATCH($A1363,'DETALLE CRONOLÓGICO'!$A$2:$A$4919,0)+$E1363-1)</f>
        <v/>
      </c>
      <c r="N1363" s="7">
        <f>IFERROR($M1363/INDEX('DETALLE CRONOLÓGICO'!$K$2:$K$4919,MATCH($A1363,'DETALLE CRONOLÓGICO'!$A$2:$A$4919,0))-1,"")</f>
        <v/>
      </c>
      <c r="O1363" s="6">
        <f>IFERROR($I1363*3,"")</f>
        <v/>
      </c>
      <c r="P1363" s="6">
        <f>IFERROR($I1363*3.5,"")</f>
        <v/>
      </c>
      <c r="Q1363" s="6">
        <f>IFERROR($I1363*4,"")</f>
        <v/>
      </c>
      <c r="R1363" s="6" t="n">
        <v>450</v>
      </c>
      <c r="S1363" s="4" t="n">
        <v>3</v>
      </c>
      <c r="T1363" s="1" t="inlineStr">
        <is>
          <t>active</t>
        </is>
      </c>
      <c r="U1363" s="8" t="n"/>
      <c r="V1363" s="1" t="inlineStr">
        <is>
          <t>SIN PRECIO</t>
        </is>
      </c>
    </row>
    <row r="1364">
      <c r="A1364" s="1" t="inlineStr">
        <is>
          <t>66176cdc142e2</t>
        </is>
      </c>
      <c r="B1364" s="1" t="inlineStr">
        <is>
          <t>ANILLO CLAVO SILVER</t>
        </is>
      </c>
      <c r="C1364" s="1" t="inlineStr">
        <is>
          <t>7 HIGH QUALITY</t>
        </is>
      </c>
      <c r="D1364" s="1" t="inlineStr">
        <is>
          <t>HAIFENG</t>
        </is>
      </c>
      <c r="E1364" s="4">
        <f>COUNTIF('DETALLE CRONOLÓGICO'!$A$2:$A$4919,$A1364)</f>
        <v/>
      </c>
      <c r="F1364" s="4">
        <f>SUMIFS('DETALLE CRONOLÓGICO'!$I$2:$I$4919,'DETALLE CRONOLÓGICO'!$A$2:$A$4919,$A1364)</f>
        <v/>
      </c>
      <c r="G1364" s="1">
        <f>INDEX('DETALLE CRONOLÓGICO'!$D$2:$D$4919,MATCH($A1364,'DETALLE CRONOLÓGICO'!$A$2:$A$4919,0))</f>
        <v/>
      </c>
      <c r="H1364" s="1">
        <f>INDEX('DETALLE CRONOLÓGICO'!$D$2:$D$4919,MATCH($A1364,'DETALLE CRONOLÓGICO'!$A$2:$A$4919,0)+$E1364-1)</f>
        <v/>
      </c>
      <c r="I1364" s="5">
        <f>IFERROR(SUMIFS('DETALLE CRONOLÓGICO'!$L$2:$L$4919,'DETALLE CRONOLÓGICO'!$A$2:$A$4919,$A1364)/$F1364,"")</f>
        <v/>
      </c>
      <c r="J1364" s="6">
        <f>IFERROR(SUMIFS('DETALLE CRONOLÓGICO'!$K$2:$K$4919,'DETALLE CRONOLÓGICO'!$A$2:$A$4919,$A1364)/$E1364,"")</f>
        <v/>
      </c>
      <c r="K1364" s="6">
        <f>_xlfn.MINIFS('DETALLE CRONOLÓGICO'!$K$2:$K$4919,'DETALLE CRONOLÓGICO'!$A$2:$A$4919,$A1364)</f>
        <v/>
      </c>
      <c r="L1364" s="6">
        <f>_xlfn.MAXIFS('DETALLE CRONOLÓGICO'!$K$2:$K$4919,'DETALLE CRONOLÓGICO'!$A$2:$A$4919,$A1364)</f>
        <v/>
      </c>
      <c r="M1364" s="6">
        <f>INDEX('DETALLE CRONOLÓGICO'!$K$2:$K$4919,MATCH($A1364,'DETALLE CRONOLÓGICO'!$A$2:$A$4919,0)+$E1364-1)</f>
        <v/>
      </c>
      <c r="N1364" s="7">
        <f>IFERROR($M1364/INDEX('DETALLE CRONOLÓGICO'!$K$2:$K$4919,MATCH($A1364,'DETALLE CRONOLÓGICO'!$A$2:$A$4919,0))-1,"")</f>
        <v/>
      </c>
      <c r="O1364" s="6">
        <f>IFERROR($I1364*3,"")</f>
        <v/>
      </c>
      <c r="P1364" s="6">
        <f>IFERROR($I1364*3.5,"")</f>
        <v/>
      </c>
      <c r="Q1364" s="6">
        <f>IFERROR($I1364*4,"")</f>
        <v/>
      </c>
      <c r="R1364" s="6" t="n">
        <v>400</v>
      </c>
      <c r="S1364" s="4" t="n">
        <v>3</v>
      </c>
      <c r="T1364" s="1" t="inlineStr">
        <is>
          <t>active</t>
        </is>
      </c>
      <c r="U1364" s="8" t="n"/>
      <c r="V1364" s="1" t="inlineStr">
        <is>
          <t>SIN PRECIO</t>
        </is>
      </c>
    </row>
    <row r="1365">
      <c r="A1365" s="1" t="inlineStr">
        <is>
          <t>66176cdc59c57</t>
        </is>
      </c>
      <c r="B1365" s="1" t="inlineStr">
        <is>
          <t>ANILLO CLAVO GOLD (WITHOUT ZIRCONIAS)</t>
        </is>
      </c>
      <c r="C1365" s="1" t="inlineStr">
        <is>
          <t>7 HIGH QUALITY</t>
        </is>
      </c>
      <c r="D1365" s="1" t="inlineStr">
        <is>
          <t>HAIFENG</t>
        </is>
      </c>
      <c r="E1365" s="4">
        <f>COUNTIF('DETALLE CRONOLÓGICO'!$A$2:$A$4919,$A1365)</f>
        <v/>
      </c>
      <c r="F1365" s="4">
        <f>SUMIFS('DETALLE CRONOLÓGICO'!$I$2:$I$4919,'DETALLE CRONOLÓGICO'!$A$2:$A$4919,$A1365)</f>
        <v/>
      </c>
      <c r="G1365" s="1">
        <f>INDEX('DETALLE CRONOLÓGICO'!$D$2:$D$4919,MATCH($A1365,'DETALLE CRONOLÓGICO'!$A$2:$A$4919,0))</f>
        <v/>
      </c>
      <c r="H1365" s="1">
        <f>INDEX('DETALLE CRONOLÓGICO'!$D$2:$D$4919,MATCH($A1365,'DETALLE CRONOLÓGICO'!$A$2:$A$4919,0)+$E1365-1)</f>
        <v/>
      </c>
      <c r="I1365" s="5">
        <f>IFERROR(SUMIFS('DETALLE CRONOLÓGICO'!$L$2:$L$4919,'DETALLE CRONOLÓGICO'!$A$2:$A$4919,$A1365)/$F1365,"")</f>
        <v/>
      </c>
      <c r="J1365" s="6">
        <f>IFERROR(SUMIFS('DETALLE CRONOLÓGICO'!$K$2:$K$4919,'DETALLE CRONOLÓGICO'!$A$2:$A$4919,$A1365)/$E1365,"")</f>
        <v/>
      </c>
      <c r="K1365" s="6">
        <f>_xlfn.MINIFS('DETALLE CRONOLÓGICO'!$K$2:$K$4919,'DETALLE CRONOLÓGICO'!$A$2:$A$4919,$A1365)</f>
        <v/>
      </c>
      <c r="L1365" s="6">
        <f>_xlfn.MAXIFS('DETALLE CRONOLÓGICO'!$K$2:$K$4919,'DETALLE CRONOLÓGICO'!$A$2:$A$4919,$A1365)</f>
        <v/>
      </c>
      <c r="M1365" s="6">
        <f>INDEX('DETALLE CRONOLÓGICO'!$K$2:$K$4919,MATCH($A1365,'DETALLE CRONOLÓGICO'!$A$2:$A$4919,0)+$E1365-1)</f>
        <v/>
      </c>
      <c r="N1365" s="7">
        <f>IFERROR($M1365/INDEX('DETALLE CRONOLÓGICO'!$K$2:$K$4919,MATCH($A1365,'DETALLE CRONOLÓGICO'!$A$2:$A$4919,0))-1,"")</f>
        <v/>
      </c>
      <c r="O1365" s="6">
        <f>IFERROR($I1365*3,"")</f>
        <v/>
      </c>
      <c r="P1365" s="6">
        <f>IFERROR($I1365*3.5,"")</f>
        <v/>
      </c>
      <c r="Q1365" s="6">
        <f>IFERROR($I1365*4,"")</f>
        <v/>
      </c>
      <c r="R1365" s="6" t="n">
        <v>400</v>
      </c>
      <c r="S1365" s="4" t="n">
        <v>7</v>
      </c>
      <c r="T1365" s="1" t="inlineStr">
        <is>
          <t>active</t>
        </is>
      </c>
      <c r="U1365" s="8" t="n"/>
      <c r="V1365" s="1" t="inlineStr">
        <is>
          <t>SIN PRECIO</t>
        </is>
      </c>
    </row>
    <row r="1366">
      <c r="A1366" s="1" t="inlineStr">
        <is>
          <t>66176cdc74210</t>
        </is>
      </c>
      <c r="B1366" s="1" t="inlineStr">
        <is>
          <t>ANILLO CLAVO ZIRCONIA GOLD</t>
        </is>
      </c>
      <c r="C1366" s="1" t="inlineStr">
        <is>
          <t>8</t>
        </is>
      </c>
      <c r="D1366" s="1" t="inlineStr">
        <is>
          <t>HAIFENG</t>
        </is>
      </c>
      <c r="E1366" s="4">
        <f>COUNTIF('DETALLE CRONOLÓGICO'!$A$2:$A$4919,$A1366)</f>
        <v/>
      </c>
      <c r="F1366" s="4">
        <f>SUMIFS('DETALLE CRONOLÓGICO'!$I$2:$I$4919,'DETALLE CRONOLÓGICO'!$A$2:$A$4919,$A1366)</f>
        <v/>
      </c>
      <c r="G1366" s="1">
        <f>INDEX('DETALLE CRONOLÓGICO'!$D$2:$D$4919,MATCH($A1366,'DETALLE CRONOLÓGICO'!$A$2:$A$4919,0))</f>
        <v/>
      </c>
      <c r="H1366" s="1">
        <f>INDEX('DETALLE CRONOLÓGICO'!$D$2:$D$4919,MATCH($A1366,'DETALLE CRONOLÓGICO'!$A$2:$A$4919,0)+$E1366-1)</f>
        <v/>
      </c>
      <c r="I1366" s="5">
        <f>IFERROR(SUMIFS('DETALLE CRONOLÓGICO'!$L$2:$L$4919,'DETALLE CRONOLÓGICO'!$A$2:$A$4919,$A1366)/$F1366,"")</f>
        <v/>
      </c>
      <c r="J1366" s="6">
        <f>IFERROR(SUMIFS('DETALLE CRONOLÓGICO'!$K$2:$K$4919,'DETALLE CRONOLÓGICO'!$A$2:$A$4919,$A1366)/$E1366,"")</f>
        <v/>
      </c>
      <c r="K1366" s="6">
        <f>_xlfn.MINIFS('DETALLE CRONOLÓGICO'!$K$2:$K$4919,'DETALLE CRONOLÓGICO'!$A$2:$A$4919,$A1366)</f>
        <v/>
      </c>
      <c r="L1366" s="6">
        <f>_xlfn.MAXIFS('DETALLE CRONOLÓGICO'!$K$2:$K$4919,'DETALLE CRONOLÓGICO'!$A$2:$A$4919,$A1366)</f>
        <v/>
      </c>
      <c r="M1366" s="6">
        <f>INDEX('DETALLE CRONOLÓGICO'!$K$2:$K$4919,MATCH($A1366,'DETALLE CRONOLÓGICO'!$A$2:$A$4919,0)+$E1366-1)</f>
        <v/>
      </c>
      <c r="N1366" s="7">
        <f>IFERROR($M1366/INDEX('DETALLE CRONOLÓGICO'!$K$2:$K$4919,MATCH($A1366,'DETALLE CRONOLÓGICO'!$A$2:$A$4919,0))-1,"")</f>
        <v/>
      </c>
      <c r="O1366" s="6">
        <f>IFERROR($I1366*3,"")</f>
        <v/>
      </c>
      <c r="P1366" s="6">
        <f>IFERROR($I1366*3.5,"")</f>
        <v/>
      </c>
      <c r="Q1366" s="6">
        <f>IFERROR($I1366*4,"")</f>
        <v/>
      </c>
      <c r="R1366" s="6" t="n">
        <v>450</v>
      </c>
      <c r="S1366" s="4" t="n">
        <v>4</v>
      </c>
      <c r="T1366" s="1" t="inlineStr">
        <is>
          <t>active</t>
        </is>
      </c>
      <c r="U1366" s="8" t="n"/>
      <c r="V1366" s="1" t="inlineStr">
        <is>
          <t>SIN PRECIO</t>
        </is>
      </c>
    </row>
    <row r="1367">
      <c r="A1367" s="1" t="inlineStr">
        <is>
          <t>66176cdcae75a</t>
        </is>
      </c>
      <c r="B1367" s="1" t="inlineStr">
        <is>
          <t>ANILLO CLAVO SILVER</t>
        </is>
      </c>
      <c r="C1367" s="1" t="inlineStr">
        <is>
          <t>8 HIGH QUALITY</t>
        </is>
      </c>
      <c r="D1367" s="1" t="inlineStr">
        <is>
          <t>HAIFENG</t>
        </is>
      </c>
      <c r="E1367" s="4">
        <f>COUNTIF('DETALLE CRONOLÓGICO'!$A$2:$A$4919,$A1367)</f>
        <v/>
      </c>
      <c r="F1367" s="4">
        <f>SUMIFS('DETALLE CRONOLÓGICO'!$I$2:$I$4919,'DETALLE CRONOLÓGICO'!$A$2:$A$4919,$A1367)</f>
        <v/>
      </c>
      <c r="G1367" s="1">
        <f>INDEX('DETALLE CRONOLÓGICO'!$D$2:$D$4919,MATCH($A1367,'DETALLE CRONOLÓGICO'!$A$2:$A$4919,0))</f>
        <v/>
      </c>
      <c r="H1367" s="1">
        <f>INDEX('DETALLE CRONOLÓGICO'!$D$2:$D$4919,MATCH($A1367,'DETALLE CRONOLÓGICO'!$A$2:$A$4919,0)+$E1367-1)</f>
        <v/>
      </c>
      <c r="I1367" s="5">
        <f>IFERROR(SUMIFS('DETALLE CRONOLÓGICO'!$L$2:$L$4919,'DETALLE CRONOLÓGICO'!$A$2:$A$4919,$A1367)/$F1367,"")</f>
        <v/>
      </c>
      <c r="J1367" s="6">
        <f>IFERROR(SUMIFS('DETALLE CRONOLÓGICO'!$K$2:$K$4919,'DETALLE CRONOLÓGICO'!$A$2:$A$4919,$A1367)/$E1367,"")</f>
        <v/>
      </c>
      <c r="K1367" s="6">
        <f>_xlfn.MINIFS('DETALLE CRONOLÓGICO'!$K$2:$K$4919,'DETALLE CRONOLÓGICO'!$A$2:$A$4919,$A1367)</f>
        <v/>
      </c>
      <c r="L1367" s="6">
        <f>_xlfn.MAXIFS('DETALLE CRONOLÓGICO'!$K$2:$K$4919,'DETALLE CRONOLÓGICO'!$A$2:$A$4919,$A1367)</f>
        <v/>
      </c>
      <c r="M1367" s="6">
        <f>INDEX('DETALLE CRONOLÓGICO'!$K$2:$K$4919,MATCH($A1367,'DETALLE CRONOLÓGICO'!$A$2:$A$4919,0)+$E1367-1)</f>
        <v/>
      </c>
      <c r="N1367" s="7">
        <f>IFERROR($M1367/INDEX('DETALLE CRONOLÓGICO'!$K$2:$K$4919,MATCH($A1367,'DETALLE CRONOLÓGICO'!$A$2:$A$4919,0))-1,"")</f>
        <v/>
      </c>
      <c r="O1367" s="6">
        <f>IFERROR($I1367*3,"")</f>
        <v/>
      </c>
      <c r="P1367" s="6">
        <f>IFERROR($I1367*3.5,"")</f>
        <v/>
      </c>
      <c r="Q1367" s="6">
        <f>IFERROR($I1367*4,"")</f>
        <v/>
      </c>
      <c r="R1367" s="6" t="n">
        <v>400</v>
      </c>
      <c r="S1367" s="4" t="n">
        <v>3</v>
      </c>
      <c r="T1367" s="1" t="inlineStr">
        <is>
          <t>active</t>
        </is>
      </c>
      <c r="U1367" s="8" t="n"/>
      <c r="V1367" s="1" t="inlineStr">
        <is>
          <t>SIN PRECIO</t>
        </is>
      </c>
    </row>
    <row r="1368">
      <c r="A1368" s="1" t="inlineStr">
        <is>
          <t>66176cdce18ea</t>
        </is>
      </c>
      <c r="B1368" s="1" t="inlineStr">
        <is>
          <t>ANILLO CLAVO GOLD</t>
        </is>
      </c>
      <c r="C1368" s="1" t="inlineStr">
        <is>
          <t>8 HIGH QUALITY</t>
        </is>
      </c>
      <c r="D1368" s="1" t="inlineStr">
        <is>
          <t>HAIFENG</t>
        </is>
      </c>
      <c r="E1368" s="4">
        <f>COUNTIF('DETALLE CRONOLÓGICO'!$A$2:$A$4919,$A1368)</f>
        <v/>
      </c>
      <c r="F1368" s="4">
        <f>SUMIFS('DETALLE CRONOLÓGICO'!$I$2:$I$4919,'DETALLE CRONOLÓGICO'!$A$2:$A$4919,$A1368)</f>
        <v/>
      </c>
      <c r="G1368" s="1">
        <f>INDEX('DETALLE CRONOLÓGICO'!$D$2:$D$4919,MATCH($A1368,'DETALLE CRONOLÓGICO'!$A$2:$A$4919,0))</f>
        <v/>
      </c>
      <c r="H1368" s="1">
        <f>INDEX('DETALLE CRONOLÓGICO'!$D$2:$D$4919,MATCH($A1368,'DETALLE CRONOLÓGICO'!$A$2:$A$4919,0)+$E1368-1)</f>
        <v/>
      </c>
      <c r="I1368" s="5">
        <f>IFERROR(SUMIFS('DETALLE CRONOLÓGICO'!$L$2:$L$4919,'DETALLE CRONOLÓGICO'!$A$2:$A$4919,$A1368)/$F1368,"")</f>
        <v/>
      </c>
      <c r="J1368" s="6">
        <f>IFERROR(SUMIFS('DETALLE CRONOLÓGICO'!$K$2:$K$4919,'DETALLE CRONOLÓGICO'!$A$2:$A$4919,$A1368)/$E1368,"")</f>
        <v/>
      </c>
      <c r="K1368" s="6">
        <f>_xlfn.MINIFS('DETALLE CRONOLÓGICO'!$K$2:$K$4919,'DETALLE CRONOLÓGICO'!$A$2:$A$4919,$A1368)</f>
        <v/>
      </c>
      <c r="L1368" s="6">
        <f>_xlfn.MAXIFS('DETALLE CRONOLÓGICO'!$K$2:$K$4919,'DETALLE CRONOLÓGICO'!$A$2:$A$4919,$A1368)</f>
        <v/>
      </c>
      <c r="M1368" s="6">
        <f>INDEX('DETALLE CRONOLÓGICO'!$K$2:$K$4919,MATCH($A1368,'DETALLE CRONOLÓGICO'!$A$2:$A$4919,0)+$E1368-1)</f>
        <v/>
      </c>
      <c r="N1368" s="7">
        <f>IFERROR($M1368/INDEX('DETALLE CRONOLÓGICO'!$K$2:$K$4919,MATCH($A1368,'DETALLE CRONOLÓGICO'!$A$2:$A$4919,0))-1,"")</f>
        <v/>
      </c>
      <c r="O1368" s="6">
        <f>IFERROR($I1368*3,"")</f>
        <v/>
      </c>
      <c r="P1368" s="6">
        <f>IFERROR($I1368*3.5,"")</f>
        <v/>
      </c>
      <c r="Q1368" s="6">
        <f>IFERROR($I1368*4,"")</f>
        <v/>
      </c>
      <c r="R1368" s="6" t="n">
        <v>400</v>
      </c>
      <c r="S1368" s="4" t="n">
        <v>2</v>
      </c>
      <c r="T1368" s="1" t="inlineStr">
        <is>
          <t>active</t>
        </is>
      </c>
      <c r="U1368" s="8" t="n"/>
      <c r="V1368" s="1" t="inlineStr">
        <is>
          <t>SIN PRECIO</t>
        </is>
      </c>
    </row>
    <row r="1369">
      <c r="A1369" s="1" t="inlineStr">
        <is>
          <t>66176cdd1243a</t>
        </is>
      </c>
      <c r="B1369" s="1" t="inlineStr">
        <is>
          <t>ANILLO CLAVO ZIRCONIA GOLD</t>
        </is>
      </c>
      <c r="C1369" s="1" t="inlineStr">
        <is>
          <t>9</t>
        </is>
      </c>
      <c r="D1369" s="1" t="inlineStr">
        <is>
          <t>HAIFENG</t>
        </is>
      </c>
      <c r="E1369" s="4">
        <f>COUNTIF('DETALLE CRONOLÓGICO'!$A$2:$A$4919,$A1369)</f>
        <v/>
      </c>
      <c r="F1369" s="4">
        <f>SUMIFS('DETALLE CRONOLÓGICO'!$I$2:$I$4919,'DETALLE CRONOLÓGICO'!$A$2:$A$4919,$A1369)</f>
        <v/>
      </c>
      <c r="G1369" s="1">
        <f>INDEX('DETALLE CRONOLÓGICO'!$D$2:$D$4919,MATCH($A1369,'DETALLE CRONOLÓGICO'!$A$2:$A$4919,0))</f>
        <v/>
      </c>
      <c r="H1369" s="1">
        <f>INDEX('DETALLE CRONOLÓGICO'!$D$2:$D$4919,MATCH($A1369,'DETALLE CRONOLÓGICO'!$A$2:$A$4919,0)+$E1369-1)</f>
        <v/>
      </c>
      <c r="I1369" s="5">
        <f>IFERROR(SUMIFS('DETALLE CRONOLÓGICO'!$L$2:$L$4919,'DETALLE CRONOLÓGICO'!$A$2:$A$4919,$A1369)/$F1369,"")</f>
        <v/>
      </c>
      <c r="J1369" s="6">
        <f>IFERROR(SUMIFS('DETALLE CRONOLÓGICO'!$K$2:$K$4919,'DETALLE CRONOLÓGICO'!$A$2:$A$4919,$A1369)/$E1369,"")</f>
        <v/>
      </c>
      <c r="K1369" s="6">
        <f>_xlfn.MINIFS('DETALLE CRONOLÓGICO'!$K$2:$K$4919,'DETALLE CRONOLÓGICO'!$A$2:$A$4919,$A1369)</f>
        <v/>
      </c>
      <c r="L1369" s="6">
        <f>_xlfn.MAXIFS('DETALLE CRONOLÓGICO'!$K$2:$K$4919,'DETALLE CRONOLÓGICO'!$A$2:$A$4919,$A1369)</f>
        <v/>
      </c>
      <c r="M1369" s="6">
        <f>INDEX('DETALLE CRONOLÓGICO'!$K$2:$K$4919,MATCH($A1369,'DETALLE CRONOLÓGICO'!$A$2:$A$4919,0)+$E1369-1)</f>
        <v/>
      </c>
      <c r="N1369" s="7">
        <f>IFERROR($M1369/INDEX('DETALLE CRONOLÓGICO'!$K$2:$K$4919,MATCH($A1369,'DETALLE CRONOLÓGICO'!$A$2:$A$4919,0))-1,"")</f>
        <v/>
      </c>
      <c r="O1369" s="6">
        <f>IFERROR($I1369*3,"")</f>
        <v/>
      </c>
      <c r="P1369" s="6">
        <f>IFERROR($I1369*3.5,"")</f>
        <v/>
      </c>
      <c r="Q1369" s="6">
        <f>IFERROR($I1369*4,"")</f>
        <v/>
      </c>
      <c r="R1369" s="6" t="n">
        <v>450</v>
      </c>
      <c r="S1369" s="4" t="n">
        <v>4</v>
      </c>
      <c r="T1369" s="1" t="inlineStr">
        <is>
          <t>active</t>
        </is>
      </c>
      <c r="U1369" s="8" t="n"/>
      <c r="V1369" s="1" t="inlineStr">
        <is>
          <t>SIN PRECIO</t>
        </is>
      </c>
    </row>
    <row r="1370">
      <c r="A1370" s="1" t="inlineStr">
        <is>
          <t>66176cdd461aa</t>
        </is>
      </c>
      <c r="B1370" s="1" t="inlineStr">
        <is>
          <t>ANILLO CLAVO SILVER</t>
        </is>
      </c>
      <c r="C1370" s="1" t="inlineStr">
        <is>
          <t>9 HIGH QUALITY</t>
        </is>
      </c>
      <c r="D1370" s="1" t="inlineStr">
        <is>
          <t>HAIFENG</t>
        </is>
      </c>
      <c r="E1370" s="4">
        <f>COUNTIF('DETALLE CRONOLÓGICO'!$A$2:$A$4919,$A1370)</f>
        <v/>
      </c>
      <c r="F1370" s="4">
        <f>SUMIFS('DETALLE CRONOLÓGICO'!$I$2:$I$4919,'DETALLE CRONOLÓGICO'!$A$2:$A$4919,$A1370)</f>
        <v/>
      </c>
      <c r="G1370" s="1">
        <f>INDEX('DETALLE CRONOLÓGICO'!$D$2:$D$4919,MATCH($A1370,'DETALLE CRONOLÓGICO'!$A$2:$A$4919,0))</f>
        <v/>
      </c>
      <c r="H1370" s="1">
        <f>INDEX('DETALLE CRONOLÓGICO'!$D$2:$D$4919,MATCH($A1370,'DETALLE CRONOLÓGICO'!$A$2:$A$4919,0)+$E1370-1)</f>
        <v/>
      </c>
      <c r="I1370" s="5">
        <f>IFERROR(SUMIFS('DETALLE CRONOLÓGICO'!$L$2:$L$4919,'DETALLE CRONOLÓGICO'!$A$2:$A$4919,$A1370)/$F1370,"")</f>
        <v/>
      </c>
      <c r="J1370" s="6">
        <f>IFERROR(SUMIFS('DETALLE CRONOLÓGICO'!$K$2:$K$4919,'DETALLE CRONOLÓGICO'!$A$2:$A$4919,$A1370)/$E1370,"")</f>
        <v/>
      </c>
      <c r="K1370" s="6">
        <f>_xlfn.MINIFS('DETALLE CRONOLÓGICO'!$K$2:$K$4919,'DETALLE CRONOLÓGICO'!$A$2:$A$4919,$A1370)</f>
        <v/>
      </c>
      <c r="L1370" s="6">
        <f>_xlfn.MAXIFS('DETALLE CRONOLÓGICO'!$K$2:$K$4919,'DETALLE CRONOLÓGICO'!$A$2:$A$4919,$A1370)</f>
        <v/>
      </c>
      <c r="M1370" s="6">
        <f>INDEX('DETALLE CRONOLÓGICO'!$K$2:$K$4919,MATCH($A1370,'DETALLE CRONOLÓGICO'!$A$2:$A$4919,0)+$E1370-1)</f>
        <v/>
      </c>
      <c r="N1370" s="7">
        <f>IFERROR($M1370/INDEX('DETALLE CRONOLÓGICO'!$K$2:$K$4919,MATCH($A1370,'DETALLE CRONOLÓGICO'!$A$2:$A$4919,0))-1,"")</f>
        <v/>
      </c>
      <c r="O1370" s="6">
        <f>IFERROR($I1370*3,"")</f>
        <v/>
      </c>
      <c r="P1370" s="6">
        <f>IFERROR($I1370*3.5,"")</f>
        <v/>
      </c>
      <c r="Q1370" s="6">
        <f>IFERROR($I1370*4,"")</f>
        <v/>
      </c>
      <c r="R1370" s="6" t="n">
        <v>400</v>
      </c>
      <c r="S1370" s="4" t="n">
        <v>0</v>
      </c>
      <c r="T1370" s="1" t="inlineStr">
        <is>
          <t>active</t>
        </is>
      </c>
      <c r="U1370" s="8" t="n"/>
      <c r="V1370" s="1" t="inlineStr">
        <is>
          <t>SIN PRECIO</t>
        </is>
      </c>
    </row>
    <row r="1371">
      <c r="A1371" s="1" t="inlineStr">
        <is>
          <t>66176cdd7cc61</t>
        </is>
      </c>
      <c r="B1371" s="1" t="inlineStr">
        <is>
          <t>ANILLO CLAVO GOLD</t>
        </is>
      </c>
      <c r="C1371" s="1" t="inlineStr">
        <is>
          <t>9 HIGH QUALITY</t>
        </is>
      </c>
      <c r="D1371" s="1" t="inlineStr">
        <is>
          <t>HAIFENG</t>
        </is>
      </c>
      <c r="E1371" s="4">
        <f>COUNTIF('DETALLE CRONOLÓGICO'!$A$2:$A$4919,$A1371)</f>
        <v/>
      </c>
      <c r="F1371" s="4">
        <f>SUMIFS('DETALLE CRONOLÓGICO'!$I$2:$I$4919,'DETALLE CRONOLÓGICO'!$A$2:$A$4919,$A1371)</f>
        <v/>
      </c>
      <c r="G1371" s="1">
        <f>INDEX('DETALLE CRONOLÓGICO'!$D$2:$D$4919,MATCH($A1371,'DETALLE CRONOLÓGICO'!$A$2:$A$4919,0))</f>
        <v/>
      </c>
      <c r="H1371" s="1">
        <f>INDEX('DETALLE CRONOLÓGICO'!$D$2:$D$4919,MATCH($A1371,'DETALLE CRONOLÓGICO'!$A$2:$A$4919,0)+$E1371-1)</f>
        <v/>
      </c>
      <c r="I1371" s="5">
        <f>IFERROR(SUMIFS('DETALLE CRONOLÓGICO'!$L$2:$L$4919,'DETALLE CRONOLÓGICO'!$A$2:$A$4919,$A1371)/$F1371,"")</f>
        <v/>
      </c>
      <c r="J1371" s="6">
        <f>IFERROR(SUMIFS('DETALLE CRONOLÓGICO'!$K$2:$K$4919,'DETALLE CRONOLÓGICO'!$A$2:$A$4919,$A1371)/$E1371,"")</f>
        <v/>
      </c>
      <c r="K1371" s="6">
        <f>_xlfn.MINIFS('DETALLE CRONOLÓGICO'!$K$2:$K$4919,'DETALLE CRONOLÓGICO'!$A$2:$A$4919,$A1371)</f>
        <v/>
      </c>
      <c r="L1371" s="6">
        <f>_xlfn.MAXIFS('DETALLE CRONOLÓGICO'!$K$2:$K$4919,'DETALLE CRONOLÓGICO'!$A$2:$A$4919,$A1371)</f>
        <v/>
      </c>
      <c r="M1371" s="6">
        <f>INDEX('DETALLE CRONOLÓGICO'!$K$2:$K$4919,MATCH($A1371,'DETALLE CRONOLÓGICO'!$A$2:$A$4919,0)+$E1371-1)</f>
        <v/>
      </c>
      <c r="N1371" s="7">
        <f>IFERROR($M1371/INDEX('DETALLE CRONOLÓGICO'!$K$2:$K$4919,MATCH($A1371,'DETALLE CRONOLÓGICO'!$A$2:$A$4919,0))-1,"")</f>
        <v/>
      </c>
      <c r="O1371" s="6">
        <f>IFERROR($I1371*3,"")</f>
        <v/>
      </c>
      <c r="P1371" s="6">
        <f>IFERROR($I1371*3.5,"")</f>
        <v/>
      </c>
      <c r="Q1371" s="6">
        <f>IFERROR($I1371*4,"")</f>
        <v/>
      </c>
      <c r="R1371" s="6" t="n">
        <v>400</v>
      </c>
      <c r="S1371" s="4" t="n">
        <v>3</v>
      </c>
      <c r="T1371" s="1" t="inlineStr">
        <is>
          <t>active</t>
        </is>
      </c>
      <c r="U1371" s="8" t="n"/>
      <c r="V1371" s="1" t="inlineStr">
        <is>
          <t>SIN PRECIO</t>
        </is>
      </c>
    </row>
    <row r="1372">
      <c r="A1372" s="1" t="inlineStr">
        <is>
          <t>66176cde0d667</t>
        </is>
      </c>
      <c r="B1372" s="1" t="inlineStr">
        <is>
          <t>ANILLO CLAVO ZIRCONIA ROSE GOLD (WITH ZIRCONIAS)</t>
        </is>
      </c>
      <c r="C1372" s="1" t="inlineStr">
        <is>
          <t>5</t>
        </is>
      </c>
      <c r="D1372" s="1" t="inlineStr">
        <is>
          <t>HAIFENG</t>
        </is>
      </c>
      <c r="E1372" s="4">
        <f>COUNTIF('DETALLE CRONOLÓGICO'!$A$2:$A$4919,$A1372)</f>
        <v/>
      </c>
      <c r="F1372" s="4">
        <f>SUMIFS('DETALLE CRONOLÓGICO'!$I$2:$I$4919,'DETALLE CRONOLÓGICO'!$A$2:$A$4919,$A1372)</f>
        <v/>
      </c>
      <c r="G1372" s="1">
        <f>INDEX('DETALLE CRONOLÓGICO'!$D$2:$D$4919,MATCH($A1372,'DETALLE CRONOLÓGICO'!$A$2:$A$4919,0))</f>
        <v/>
      </c>
      <c r="H1372" s="1">
        <f>INDEX('DETALLE CRONOLÓGICO'!$D$2:$D$4919,MATCH($A1372,'DETALLE CRONOLÓGICO'!$A$2:$A$4919,0)+$E1372-1)</f>
        <v/>
      </c>
      <c r="I1372" s="5">
        <f>IFERROR(SUMIFS('DETALLE CRONOLÓGICO'!$L$2:$L$4919,'DETALLE CRONOLÓGICO'!$A$2:$A$4919,$A1372)/$F1372,"")</f>
        <v/>
      </c>
      <c r="J1372" s="6">
        <f>IFERROR(SUMIFS('DETALLE CRONOLÓGICO'!$K$2:$K$4919,'DETALLE CRONOLÓGICO'!$A$2:$A$4919,$A1372)/$E1372,"")</f>
        <v/>
      </c>
      <c r="K1372" s="6">
        <f>_xlfn.MINIFS('DETALLE CRONOLÓGICO'!$K$2:$K$4919,'DETALLE CRONOLÓGICO'!$A$2:$A$4919,$A1372)</f>
        <v/>
      </c>
      <c r="L1372" s="6">
        <f>_xlfn.MAXIFS('DETALLE CRONOLÓGICO'!$K$2:$K$4919,'DETALLE CRONOLÓGICO'!$A$2:$A$4919,$A1372)</f>
        <v/>
      </c>
      <c r="M1372" s="6">
        <f>INDEX('DETALLE CRONOLÓGICO'!$K$2:$K$4919,MATCH($A1372,'DETALLE CRONOLÓGICO'!$A$2:$A$4919,0)+$E1372-1)</f>
        <v/>
      </c>
      <c r="N1372" s="7">
        <f>IFERROR($M1372/INDEX('DETALLE CRONOLÓGICO'!$K$2:$K$4919,MATCH($A1372,'DETALLE CRONOLÓGICO'!$A$2:$A$4919,0))-1,"")</f>
        <v/>
      </c>
      <c r="O1372" s="6">
        <f>IFERROR($I1372*3,"")</f>
        <v/>
      </c>
      <c r="P1372" s="6">
        <f>IFERROR($I1372*3.5,"")</f>
        <v/>
      </c>
      <c r="Q1372" s="6">
        <f>IFERROR($I1372*4,"")</f>
        <v/>
      </c>
      <c r="R1372" s="6" t="n">
        <v>450</v>
      </c>
      <c r="S1372" s="4" t="n">
        <v>0</v>
      </c>
      <c r="T1372" s="1" t="inlineStr">
        <is>
          <t>active</t>
        </is>
      </c>
      <c r="U1372" s="8" t="n"/>
      <c r="V1372" s="1" t="inlineStr">
        <is>
          <t>SIN PRECIO</t>
        </is>
      </c>
    </row>
    <row r="1373">
      <c r="A1373" s="1" t="inlineStr">
        <is>
          <t>66176cde28afb</t>
        </is>
      </c>
      <c r="B1373" s="1" t="inlineStr">
        <is>
          <t>ANILLO CLAVO GOLD</t>
        </is>
      </c>
      <c r="C1373" s="1" t="inlineStr">
        <is>
          <t>10</t>
        </is>
      </c>
      <c r="D1373" s="1" t="inlineStr">
        <is>
          <t>HAIFENG</t>
        </is>
      </c>
      <c r="E1373" s="4">
        <f>COUNTIF('DETALLE CRONOLÓGICO'!$A$2:$A$4919,$A1373)</f>
        <v/>
      </c>
      <c r="F1373" s="4">
        <f>SUMIFS('DETALLE CRONOLÓGICO'!$I$2:$I$4919,'DETALLE CRONOLÓGICO'!$A$2:$A$4919,$A1373)</f>
        <v/>
      </c>
      <c r="G1373" s="1">
        <f>INDEX('DETALLE CRONOLÓGICO'!$D$2:$D$4919,MATCH($A1373,'DETALLE CRONOLÓGICO'!$A$2:$A$4919,0))</f>
        <v/>
      </c>
      <c r="H1373" s="1">
        <f>INDEX('DETALLE CRONOLÓGICO'!$D$2:$D$4919,MATCH($A1373,'DETALLE CRONOLÓGICO'!$A$2:$A$4919,0)+$E1373-1)</f>
        <v/>
      </c>
      <c r="I1373" s="5">
        <f>IFERROR(SUMIFS('DETALLE CRONOLÓGICO'!$L$2:$L$4919,'DETALLE CRONOLÓGICO'!$A$2:$A$4919,$A1373)/$F1373,"")</f>
        <v/>
      </c>
      <c r="J1373" s="6">
        <f>IFERROR(SUMIFS('DETALLE CRONOLÓGICO'!$K$2:$K$4919,'DETALLE CRONOLÓGICO'!$A$2:$A$4919,$A1373)/$E1373,"")</f>
        <v/>
      </c>
      <c r="K1373" s="6">
        <f>_xlfn.MINIFS('DETALLE CRONOLÓGICO'!$K$2:$K$4919,'DETALLE CRONOLÓGICO'!$A$2:$A$4919,$A1373)</f>
        <v/>
      </c>
      <c r="L1373" s="6">
        <f>_xlfn.MAXIFS('DETALLE CRONOLÓGICO'!$K$2:$K$4919,'DETALLE CRONOLÓGICO'!$A$2:$A$4919,$A1373)</f>
        <v/>
      </c>
      <c r="M1373" s="6">
        <f>INDEX('DETALLE CRONOLÓGICO'!$K$2:$K$4919,MATCH($A1373,'DETALLE CRONOLÓGICO'!$A$2:$A$4919,0)+$E1373-1)</f>
        <v/>
      </c>
      <c r="N1373" s="7">
        <f>IFERROR($M1373/INDEX('DETALLE CRONOLÓGICO'!$K$2:$K$4919,MATCH($A1373,'DETALLE CRONOLÓGICO'!$A$2:$A$4919,0))-1,"")</f>
        <v/>
      </c>
      <c r="O1373" s="6">
        <f>IFERROR($I1373*3,"")</f>
        <v/>
      </c>
      <c r="P1373" s="6">
        <f>IFERROR($I1373*3.5,"")</f>
        <v/>
      </c>
      <c r="Q1373" s="6">
        <f>IFERROR($I1373*4,"")</f>
        <v/>
      </c>
      <c r="R1373" s="6" t="n">
        <v>400</v>
      </c>
      <c r="S1373" s="4" t="n">
        <v>5</v>
      </c>
      <c r="T1373" s="1" t="inlineStr">
        <is>
          <t>active</t>
        </is>
      </c>
      <c r="U1373" s="8" t="n"/>
      <c r="V1373" s="1" t="inlineStr">
        <is>
          <t>SIN PRECIO</t>
        </is>
      </c>
    </row>
    <row r="1374">
      <c r="A1374" s="1" t="inlineStr">
        <is>
          <t>66176cde74709</t>
        </is>
      </c>
      <c r="B1374" s="1" t="inlineStr">
        <is>
          <t>ANILLO CLAVO SILVER</t>
        </is>
      </c>
      <c r="C1374" s="1" t="inlineStr">
        <is>
          <t>11</t>
        </is>
      </c>
      <c r="D1374" s="1" t="inlineStr">
        <is>
          <t>HAIFENG</t>
        </is>
      </c>
      <c r="E1374" s="4">
        <f>COUNTIF('DETALLE CRONOLÓGICO'!$A$2:$A$4919,$A1374)</f>
        <v/>
      </c>
      <c r="F1374" s="4">
        <f>SUMIFS('DETALLE CRONOLÓGICO'!$I$2:$I$4919,'DETALLE CRONOLÓGICO'!$A$2:$A$4919,$A1374)</f>
        <v/>
      </c>
      <c r="G1374" s="1">
        <f>INDEX('DETALLE CRONOLÓGICO'!$D$2:$D$4919,MATCH($A1374,'DETALLE CRONOLÓGICO'!$A$2:$A$4919,0))</f>
        <v/>
      </c>
      <c r="H1374" s="1">
        <f>INDEX('DETALLE CRONOLÓGICO'!$D$2:$D$4919,MATCH($A1374,'DETALLE CRONOLÓGICO'!$A$2:$A$4919,0)+$E1374-1)</f>
        <v/>
      </c>
      <c r="I1374" s="5">
        <f>IFERROR(SUMIFS('DETALLE CRONOLÓGICO'!$L$2:$L$4919,'DETALLE CRONOLÓGICO'!$A$2:$A$4919,$A1374)/$F1374,"")</f>
        <v/>
      </c>
      <c r="J1374" s="6">
        <f>IFERROR(SUMIFS('DETALLE CRONOLÓGICO'!$K$2:$K$4919,'DETALLE CRONOLÓGICO'!$A$2:$A$4919,$A1374)/$E1374,"")</f>
        <v/>
      </c>
      <c r="K1374" s="6">
        <f>_xlfn.MINIFS('DETALLE CRONOLÓGICO'!$K$2:$K$4919,'DETALLE CRONOLÓGICO'!$A$2:$A$4919,$A1374)</f>
        <v/>
      </c>
      <c r="L1374" s="6">
        <f>_xlfn.MAXIFS('DETALLE CRONOLÓGICO'!$K$2:$K$4919,'DETALLE CRONOLÓGICO'!$A$2:$A$4919,$A1374)</f>
        <v/>
      </c>
      <c r="M1374" s="6">
        <f>INDEX('DETALLE CRONOLÓGICO'!$K$2:$K$4919,MATCH($A1374,'DETALLE CRONOLÓGICO'!$A$2:$A$4919,0)+$E1374-1)</f>
        <v/>
      </c>
      <c r="N1374" s="7">
        <f>IFERROR($M1374/INDEX('DETALLE CRONOLÓGICO'!$K$2:$K$4919,MATCH($A1374,'DETALLE CRONOLÓGICO'!$A$2:$A$4919,0))-1,"")</f>
        <v/>
      </c>
      <c r="O1374" s="6">
        <f>IFERROR($I1374*3,"")</f>
        <v/>
      </c>
      <c r="P1374" s="6">
        <f>IFERROR($I1374*3.5,"")</f>
        <v/>
      </c>
      <c r="Q1374" s="6">
        <f>IFERROR($I1374*4,"")</f>
        <v/>
      </c>
      <c r="R1374" s="6" t="n">
        <v>400</v>
      </c>
      <c r="S1374" s="4" t="n">
        <v>0</v>
      </c>
      <c r="T1374" s="1" t="inlineStr">
        <is>
          <t>active</t>
        </is>
      </c>
      <c r="U1374" s="8" t="n"/>
      <c r="V1374" s="1" t="inlineStr">
        <is>
          <t>SIN PRECIO</t>
        </is>
      </c>
    </row>
    <row r="1375">
      <c r="A1375" s="1" t="inlineStr">
        <is>
          <t>66176cde9bf02</t>
        </is>
      </c>
      <c r="B1375" s="1" t="inlineStr">
        <is>
          <t>ANILLO CLAVO ZIRCONIA ROSE GOLD</t>
        </is>
      </c>
      <c r="C1375" s="1" t="inlineStr">
        <is>
          <t>6</t>
        </is>
      </c>
      <c r="D1375" s="1" t="inlineStr">
        <is>
          <t>HAIFENG</t>
        </is>
      </c>
      <c r="E1375" s="4">
        <f>COUNTIF('DETALLE CRONOLÓGICO'!$A$2:$A$4919,$A1375)</f>
        <v/>
      </c>
      <c r="F1375" s="4">
        <f>SUMIFS('DETALLE CRONOLÓGICO'!$I$2:$I$4919,'DETALLE CRONOLÓGICO'!$A$2:$A$4919,$A1375)</f>
        <v/>
      </c>
      <c r="G1375" s="1">
        <f>INDEX('DETALLE CRONOLÓGICO'!$D$2:$D$4919,MATCH($A1375,'DETALLE CRONOLÓGICO'!$A$2:$A$4919,0))</f>
        <v/>
      </c>
      <c r="H1375" s="1">
        <f>INDEX('DETALLE CRONOLÓGICO'!$D$2:$D$4919,MATCH($A1375,'DETALLE CRONOLÓGICO'!$A$2:$A$4919,0)+$E1375-1)</f>
        <v/>
      </c>
      <c r="I1375" s="5">
        <f>IFERROR(SUMIFS('DETALLE CRONOLÓGICO'!$L$2:$L$4919,'DETALLE CRONOLÓGICO'!$A$2:$A$4919,$A1375)/$F1375,"")</f>
        <v/>
      </c>
      <c r="J1375" s="6">
        <f>IFERROR(SUMIFS('DETALLE CRONOLÓGICO'!$K$2:$K$4919,'DETALLE CRONOLÓGICO'!$A$2:$A$4919,$A1375)/$E1375,"")</f>
        <v/>
      </c>
      <c r="K1375" s="6">
        <f>_xlfn.MINIFS('DETALLE CRONOLÓGICO'!$K$2:$K$4919,'DETALLE CRONOLÓGICO'!$A$2:$A$4919,$A1375)</f>
        <v/>
      </c>
      <c r="L1375" s="6">
        <f>_xlfn.MAXIFS('DETALLE CRONOLÓGICO'!$K$2:$K$4919,'DETALLE CRONOLÓGICO'!$A$2:$A$4919,$A1375)</f>
        <v/>
      </c>
      <c r="M1375" s="6">
        <f>INDEX('DETALLE CRONOLÓGICO'!$K$2:$K$4919,MATCH($A1375,'DETALLE CRONOLÓGICO'!$A$2:$A$4919,0)+$E1375-1)</f>
        <v/>
      </c>
      <c r="N1375" s="7">
        <f>IFERROR($M1375/INDEX('DETALLE CRONOLÓGICO'!$K$2:$K$4919,MATCH($A1375,'DETALLE CRONOLÓGICO'!$A$2:$A$4919,0))-1,"")</f>
        <v/>
      </c>
      <c r="O1375" s="6">
        <f>IFERROR($I1375*3,"")</f>
        <v/>
      </c>
      <c r="P1375" s="6">
        <f>IFERROR($I1375*3.5,"")</f>
        <v/>
      </c>
      <c r="Q1375" s="6">
        <f>IFERROR($I1375*4,"")</f>
        <v/>
      </c>
      <c r="R1375" s="6" t="n">
        <v>450</v>
      </c>
      <c r="S1375" s="4" t="n">
        <v>1</v>
      </c>
      <c r="T1375" s="1" t="inlineStr">
        <is>
          <t>active</t>
        </is>
      </c>
      <c r="U1375" s="8" t="n"/>
      <c r="V1375" s="1" t="inlineStr">
        <is>
          <t>SIN PRECIO</t>
        </is>
      </c>
    </row>
    <row r="1376">
      <c r="A1376" s="1" t="inlineStr">
        <is>
          <t>66176cdeab849</t>
        </is>
      </c>
      <c r="B1376" s="1" t="inlineStr">
        <is>
          <t>ANILLO CLAVO GOLD</t>
        </is>
      </c>
      <c r="C1376" s="1" t="inlineStr">
        <is>
          <t>11</t>
        </is>
      </c>
      <c r="D1376" s="1" t="inlineStr">
        <is>
          <t>HAIFENG</t>
        </is>
      </c>
      <c r="E1376" s="4">
        <f>COUNTIF('DETALLE CRONOLÓGICO'!$A$2:$A$4919,$A1376)</f>
        <v/>
      </c>
      <c r="F1376" s="4">
        <f>SUMIFS('DETALLE CRONOLÓGICO'!$I$2:$I$4919,'DETALLE CRONOLÓGICO'!$A$2:$A$4919,$A1376)</f>
        <v/>
      </c>
      <c r="G1376" s="1">
        <f>INDEX('DETALLE CRONOLÓGICO'!$D$2:$D$4919,MATCH($A1376,'DETALLE CRONOLÓGICO'!$A$2:$A$4919,0))</f>
        <v/>
      </c>
      <c r="H1376" s="1">
        <f>INDEX('DETALLE CRONOLÓGICO'!$D$2:$D$4919,MATCH($A1376,'DETALLE CRONOLÓGICO'!$A$2:$A$4919,0)+$E1376-1)</f>
        <v/>
      </c>
      <c r="I1376" s="5">
        <f>IFERROR(SUMIFS('DETALLE CRONOLÓGICO'!$L$2:$L$4919,'DETALLE CRONOLÓGICO'!$A$2:$A$4919,$A1376)/$F1376,"")</f>
        <v/>
      </c>
      <c r="J1376" s="6">
        <f>IFERROR(SUMIFS('DETALLE CRONOLÓGICO'!$K$2:$K$4919,'DETALLE CRONOLÓGICO'!$A$2:$A$4919,$A1376)/$E1376,"")</f>
        <v/>
      </c>
      <c r="K1376" s="6">
        <f>_xlfn.MINIFS('DETALLE CRONOLÓGICO'!$K$2:$K$4919,'DETALLE CRONOLÓGICO'!$A$2:$A$4919,$A1376)</f>
        <v/>
      </c>
      <c r="L1376" s="6">
        <f>_xlfn.MAXIFS('DETALLE CRONOLÓGICO'!$K$2:$K$4919,'DETALLE CRONOLÓGICO'!$A$2:$A$4919,$A1376)</f>
        <v/>
      </c>
      <c r="M1376" s="6">
        <f>INDEX('DETALLE CRONOLÓGICO'!$K$2:$K$4919,MATCH($A1376,'DETALLE CRONOLÓGICO'!$A$2:$A$4919,0)+$E1376-1)</f>
        <v/>
      </c>
      <c r="N1376" s="7">
        <f>IFERROR($M1376/INDEX('DETALLE CRONOLÓGICO'!$K$2:$K$4919,MATCH($A1376,'DETALLE CRONOLÓGICO'!$A$2:$A$4919,0))-1,"")</f>
        <v/>
      </c>
      <c r="O1376" s="6">
        <f>IFERROR($I1376*3,"")</f>
        <v/>
      </c>
      <c r="P1376" s="6">
        <f>IFERROR($I1376*3.5,"")</f>
        <v/>
      </c>
      <c r="Q1376" s="6">
        <f>IFERROR($I1376*4,"")</f>
        <v/>
      </c>
      <c r="R1376" s="6" t="n">
        <v>400</v>
      </c>
      <c r="S1376" s="4" t="n">
        <v>0</v>
      </c>
      <c r="T1376" s="1" t="inlineStr">
        <is>
          <t>active</t>
        </is>
      </c>
      <c r="U1376" s="8" t="n"/>
      <c r="V1376" s="1" t="inlineStr">
        <is>
          <t>SIN PRECIO</t>
        </is>
      </c>
    </row>
    <row r="1377">
      <c r="A1377" s="1" t="inlineStr">
        <is>
          <t>66176cdf23c82</t>
        </is>
      </c>
      <c r="B1377" s="1" t="inlineStr">
        <is>
          <t>ANILLO CLAVO ZIRCONIA ROSE GOLD</t>
        </is>
      </c>
      <c r="C1377" s="1" t="inlineStr">
        <is>
          <t>7</t>
        </is>
      </c>
      <c r="D1377" s="1" t="inlineStr">
        <is>
          <t>HAIFENG</t>
        </is>
      </c>
      <c r="E1377" s="4">
        <f>COUNTIF('DETALLE CRONOLÓGICO'!$A$2:$A$4919,$A1377)</f>
        <v/>
      </c>
      <c r="F1377" s="4">
        <f>SUMIFS('DETALLE CRONOLÓGICO'!$I$2:$I$4919,'DETALLE CRONOLÓGICO'!$A$2:$A$4919,$A1377)</f>
        <v/>
      </c>
      <c r="G1377" s="1">
        <f>INDEX('DETALLE CRONOLÓGICO'!$D$2:$D$4919,MATCH($A1377,'DETALLE CRONOLÓGICO'!$A$2:$A$4919,0))</f>
        <v/>
      </c>
      <c r="H1377" s="1">
        <f>INDEX('DETALLE CRONOLÓGICO'!$D$2:$D$4919,MATCH($A1377,'DETALLE CRONOLÓGICO'!$A$2:$A$4919,0)+$E1377-1)</f>
        <v/>
      </c>
      <c r="I1377" s="5">
        <f>IFERROR(SUMIFS('DETALLE CRONOLÓGICO'!$L$2:$L$4919,'DETALLE CRONOLÓGICO'!$A$2:$A$4919,$A1377)/$F1377,"")</f>
        <v/>
      </c>
      <c r="J1377" s="6">
        <f>IFERROR(SUMIFS('DETALLE CRONOLÓGICO'!$K$2:$K$4919,'DETALLE CRONOLÓGICO'!$A$2:$A$4919,$A1377)/$E1377,"")</f>
        <v/>
      </c>
      <c r="K1377" s="6">
        <f>_xlfn.MINIFS('DETALLE CRONOLÓGICO'!$K$2:$K$4919,'DETALLE CRONOLÓGICO'!$A$2:$A$4919,$A1377)</f>
        <v/>
      </c>
      <c r="L1377" s="6">
        <f>_xlfn.MAXIFS('DETALLE CRONOLÓGICO'!$K$2:$K$4919,'DETALLE CRONOLÓGICO'!$A$2:$A$4919,$A1377)</f>
        <v/>
      </c>
      <c r="M1377" s="6">
        <f>INDEX('DETALLE CRONOLÓGICO'!$K$2:$K$4919,MATCH($A1377,'DETALLE CRONOLÓGICO'!$A$2:$A$4919,0)+$E1377-1)</f>
        <v/>
      </c>
      <c r="N1377" s="7">
        <f>IFERROR($M1377/INDEX('DETALLE CRONOLÓGICO'!$K$2:$K$4919,MATCH($A1377,'DETALLE CRONOLÓGICO'!$A$2:$A$4919,0))-1,"")</f>
        <v/>
      </c>
      <c r="O1377" s="6">
        <f>IFERROR($I1377*3,"")</f>
        <v/>
      </c>
      <c r="P1377" s="6">
        <f>IFERROR($I1377*3.5,"")</f>
        <v/>
      </c>
      <c r="Q1377" s="6">
        <f>IFERROR($I1377*4,"")</f>
        <v/>
      </c>
      <c r="R1377" s="6" t="n">
        <v>450</v>
      </c>
      <c r="S1377" s="4" t="n">
        <v>3</v>
      </c>
      <c r="T1377" s="1" t="inlineStr">
        <is>
          <t>active</t>
        </is>
      </c>
      <c r="U1377" s="8" t="n"/>
      <c r="V1377" s="1" t="inlineStr">
        <is>
          <t>SIN PRECIO</t>
        </is>
      </c>
    </row>
    <row r="1378">
      <c r="A1378" s="1" t="inlineStr">
        <is>
          <t>66176cdfac886</t>
        </is>
      </c>
      <c r="B1378" s="1" t="inlineStr">
        <is>
          <t>ANILLO CLAVO ZIRCONIA ROSE GOLD</t>
        </is>
      </c>
      <c r="C1378" s="1" t="inlineStr">
        <is>
          <t>8</t>
        </is>
      </c>
      <c r="D1378" s="1" t="inlineStr">
        <is>
          <t>HAIFENG</t>
        </is>
      </c>
      <c r="E1378" s="4">
        <f>COUNTIF('DETALLE CRONOLÓGICO'!$A$2:$A$4919,$A1378)</f>
        <v/>
      </c>
      <c r="F1378" s="4">
        <f>SUMIFS('DETALLE CRONOLÓGICO'!$I$2:$I$4919,'DETALLE CRONOLÓGICO'!$A$2:$A$4919,$A1378)</f>
        <v/>
      </c>
      <c r="G1378" s="1">
        <f>INDEX('DETALLE CRONOLÓGICO'!$D$2:$D$4919,MATCH($A1378,'DETALLE CRONOLÓGICO'!$A$2:$A$4919,0))</f>
        <v/>
      </c>
      <c r="H1378" s="1">
        <f>INDEX('DETALLE CRONOLÓGICO'!$D$2:$D$4919,MATCH($A1378,'DETALLE CRONOLÓGICO'!$A$2:$A$4919,0)+$E1378-1)</f>
        <v/>
      </c>
      <c r="I1378" s="5">
        <f>IFERROR(SUMIFS('DETALLE CRONOLÓGICO'!$L$2:$L$4919,'DETALLE CRONOLÓGICO'!$A$2:$A$4919,$A1378)/$F1378,"")</f>
        <v/>
      </c>
      <c r="J1378" s="6">
        <f>IFERROR(SUMIFS('DETALLE CRONOLÓGICO'!$K$2:$K$4919,'DETALLE CRONOLÓGICO'!$A$2:$A$4919,$A1378)/$E1378,"")</f>
        <v/>
      </c>
      <c r="K1378" s="6">
        <f>_xlfn.MINIFS('DETALLE CRONOLÓGICO'!$K$2:$K$4919,'DETALLE CRONOLÓGICO'!$A$2:$A$4919,$A1378)</f>
        <v/>
      </c>
      <c r="L1378" s="6">
        <f>_xlfn.MAXIFS('DETALLE CRONOLÓGICO'!$K$2:$K$4919,'DETALLE CRONOLÓGICO'!$A$2:$A$4919,$A1378)</f>
        <v/>
      </c>
      <c r="M1378" s="6">
        <f>INDEX('DETALLE CRONOLÓGICO'!$K$2:$K$4919,MATCH($A1378,'DETALLE CRONOLÓGICO'!$A$2:$A$4919,0)+$E1378-1)</f>
        <v/>
      </c>
      <c r="N1378" s="7">
        <f>IFERROR($M1378/INDEX('DETALLE CRONOLÓGICO'!$K$2:$K$4919,MATCH($A1378,'DETALLE CRONOLÓGICO'!$A$2:$A$4919,0))-1,"")</f>
        <v/>
      </c>
      <c r="O1378" s="6">
        <f>IFERROR($I1378*3,"")</f>
        <v/>
      </c>
      <c r="P1378" s="6">
        <f>IFERROR($I1378*3.5,"")</f>
        <v/>
      </c>
      <c r="Q1378" s="6">
        <f>IFERROR($I1378*4,"")</f>
        <v/>
      </c>
      <c r="R1378" s="6" t="n">
        <v>450</v>
      </c>
      <c r="S1378" s="4" t="n">
        <v>1</v>
      </c>
      <c r="T1378" s="1" t="inlineStr">
        <is>
          <t>active</t>
        </is>
      </c>
      <c r="U1378" s="8" t="n"/>
      <c r="V1378" s="1" t="inlineStr">
        <is>
          <t>SIN PRECIO</t>
        </is>
      </c>
    </row>
    <row r="1379">
      <c r="A1379" s="1" t="inlineStr">
        <is>
          <t>66176ce0abf98</t>
        </is>
      </c>
      <c r="B1379" s="1" t="inlineStr">
        <is>
          <t>ANILLO CLAVO ROSE GOLD</t>
        </is>
      </c>
      <c r="C1379" s="1" t="inlineStr">
        <is>
          <t>5 HIGH QUALITY</t>
        </is>
      </c>
      <c r="D1379" s="1" t="inlineStr">
        <is>
          <t>HAIFENG</t>
        </is>
      </c>
      <c r="E1379" s="4">
        <f>COUNTIF('DETALLE CRONOLÓGICO'!$A$2:$A$4919,$A1379)</f>
        <v/>
      </c>
      <c r="F1379" s="4">
        <f>SUMIFS('DETALLE CRONOLÓGICO'!$I$2:$I$4919,'DETALLE CRONOLÓGICO'!$A$2:$A$4919,$A1379)</f>
        <v/>
      </c>
      <c r="G1379" s="1">
        <f>INDEX('DETALLE CRONOLÓGICO'!$D$2:$D$4919,MATCH($A1379,'DETALLE CRONOLÓGICO'!$A$2:$A$4919,0))</f>
        <v/>
      </c>
      <c r="H1379" s="1">
        <f>INDEX('DETALLE CRONOLÓGICO'!$D$2:$D$4919,MATCH($A1379,'DETALLE CRONOLÓGICO'!$A$2:$A$4919,0)+$E1379-1)</f>
        <v/>
      </c>
      <c r="I1379" s="5">
        <f>IFERROR(SUMIFS('DETALLE CRONOLÓGICO'!$L$2:$L$4919,'DETALLE CRONOLÓGICO'!$A$2:$A$4919,$A1379)/$F1379,"")</f>
        <v/>
      </c>
      <c r="J1379" s="6">
        <f>IFERROR(SUMIFS('DETALLE CRONOLÓGICO'!$K$2:$K$4919,'DETALLE CRONOLÓGICO'!$A$2:$A$4919,$A1379)/$E1379,"")</f>
        <v/>
      </c>
      <c r="K1379" s="6">
        <f>_xlfn.MINIFS('DETALLE CRONOLÓGICO'!$K$2:$K$4919,'DETALLE CRONOLÓGICO'!$A$2:$A$4919,$A1379)</f>
        <v/>
      </c>
      <c r="L1379" s="6">
        <f>_xlfn.MAXIFS('DETALLE CRONOLÓGICO'!$K$2:$K$4919,'DETALLE CRONOLÓGICO'!$A$2:$A$4919,$A1379)</f>
        <v/>
      </c>
      <c r="M1379" s="6">
        <f>INDEX('DETALLE CRONOLÓGICO'!$K$2:$K$4919,MATCH($A1379,'DETALLE CRONOLÓGICO'!$A$2:$A$4919,0)+$E1379-1)</f>
        <v/>
      </c>
      <c r="N1379" s="7">
        <f>IFERROR($M1379/INDEX('DETALLE CRONOLÓGICO'!$K$2:$K$4919,MATCH($A1379,'DETALLE CRONOLÓGICO'!$A$2:$A$4919,0))-1,"")</f>
        <v/>
      </c>
      <c r="O1379" s="6">
        <f>IFERROR($I1379*3,"")</f>
        <v/>
      </c>
      <c r="P1379" s="6">
        <f>IFERROR($I1379*3.5,"")</f>
        <v/>
      </c>
      <c r="Q1379" s="6">
        <f>IFERROR($I1379*4,"")</f>
        <v/>
      </c>
      <c r="R1379" s="6" t="n">
        <v>400</v>
      </c>
      <c r="S1379" s="4" t="n">
        <v>1</v>
      </c>
      <c r="T1379" s="1" t="inlineStr">
        <is>
          <t>active</t>
        </is>
      </c>
      <c r="U1379" s="8" t="n"/>
      <c r="V1379" s="1" t="inlineStr">
        <is>
          <t>SIN PRECIO</t>
        </is>
      </c>
    </row>
    <row r="1380">
      <c r="A1380" s="1" t="inlineStr">
        <is>
          <t>66176ce151d29</t>
        </is>
      </c>
      <c r="B1380" s="1" t="inlineStr">
        <is>
          <t>ANILLO CLAVO ROSE GOLD</t>
        </is>
      </c>
      <c r="C1380" s="1" t="inlineStr">
        <is>
          <t>6 HIGH QUALITY</t>
        </is>
      </c>
      <c r="D1380" s="1" t="inlineStr">
        <is>
          <t>HAIFENG</t>
        </is>
      </c>
      <c r="E1380" s="4">
        <f>COUNTIF('DETALLE CRONOLÓGICO'!$A$2:$A$4919,$A1380)</f>
        <v/>
      </c>
      <c r="F1380" s="4">
        <f>SUMIFS('DETALLE CRONOLÓGICO'!$I$2:$I$4919,'DETALLE CRONOLÓGICO'!$A$2:$A$4919,$A1380)</f>
        <v/>
      </c>
      <c r="G1380" s="1">
        <f>INDEX('DETALLE CRONOLÓGICO'!$D$2:$D$4919,MATCH($A1380,'DETALLE CRONOLÓGICO'!$A$2:$A$4919,0))</f>
        <v/>
      </c>
      <c r="H1380" s="1">
        <f>INDEX('DETALLE CRONOLÓGICO'!$D$2:$D$4919,MATCH($A1380,'DETALLE CRONOLÓGICO'!$A$2:$A$4919,0)+$E1380-1)</f>
        <v/>
      </c>
      <c r="I1380" s="5">
        <f>IFERROR(SUMIFS('DETALLE CRONOLÓGICO'!$L$2:$L$4919,'DETALLE CRONOLÓGICO'!$A$2:$A$4919,$A1380)/$F1380,"")</f>
        <v/>
      </c>
      <c r="J1380" s="6">
        <f>IFERROR(SUMIFS('DETALLE CRONOLÓGICO'!$K$2:$K$4919,'DETALLE CRONOLÓGICO'!$A$2:$A$4919,$A1380)/$E1380,"")</f>
        <v/>
      </c>
      <c r="K1380" s="6">
        <f>_xlfn.MINIFS('DETALLE CRONOLÓGICO'!$K$2:$K$4919,'DETALLE CRONOLÓGICO'!$A$2:$A$4919,$A1380)</f>
        <v/>
      </c>
      <c r="L1380" s="6">
        <f>_xlfn.MAXIFS('DETALLE CRONOLÓGICO'!$K$2:$K$4919,'DETALLE CRONOLÓGICO'!$A$2:$A$4919,$A1380)</f>
        <v/>
      </c>
      <c r="M1380" s="6">
        <f>INDEX('DETALLE CRONOLÓGICO'!$K$2:$K$4919,MATCH($A1380,'DETALLE CRONOLÓGICO'!$A$2:$A$4919,0)+$E1380-1)</f>
        <v/>
      </c>
      <c r="N1380" s="7">
        <f>IFERROR($M1380/INDEX('DETALLE CRONOLÓGICO'!$K$2:$K$4919,MATCH($A1380,'DETALLE CRONOLÓGICO'!$A$2:$A$4919,0))-1,"")</f>
        <v/>
      </c>
      <c r="O1380" s="6">
        <f>IFERROR($I1380*3,"")</f>
        <v/>
      </c>
      <c r="P1380" s="6">
        <f>IFERROR($I1380*3.5,"")</f>
        <v/>
      </c>
      <c r="Q1380" s="6">
        <f>IFERROR($I1380*4,"")</f>
        <v/>
      </c>
      <c r="R1380" s="6" t="n">
        <v>400</v>
      </c>
      <c r="S1380" s="4" t="n">
        <v>4</v>
      </c>
      <c r="T1380" s="1" t="inlineStr">
        <is>
          <t>active</t>
        </is>
      </c>
      <c r="U1380" s="8" t="n"/>
      <c r="V1380" s="1" t="inlineStr">
        <is>
          <t>SIN PRECIO</t>
        </is>
      </c>
    </row>
    <row r="1381">
      <c r="A1381" s="1" t="inlineStr">
        <is>
          <t>66176ce1d817d</t>
        </is>
      </c>
      <c r="B1381" s="1" t="inlineStr">
        <is>
          <t>ANILLO CLAVO ROSE GOLD</t>
        </is>
      </c>
      <c r="C1381" s="1" t="inlineStr">
        <is>
          <t>7 HIGH QUALITY</t>
        </is>
      </c>
      <c r="D1381" s="1" t="inlineStr">
        <is>
          <t>HAIFENG</t>
        </is>
      </c>
      <c r="E1381" s="4">
        <f>COUNTIF('DETALLE CRONOLÓGICO'!$A$2:$A$4919,$A1381)</f>
        <v/>
      </c>
      <c r="F1381" s="4">
        <f>SUMIFS('DETALLE CRONOLÓGICO'!$I$2:$I$4919,'DETALLE CRONOLÓGICO'!$A$2:$A$4919,$A1381)</f>
        <v/>
      </c>
      <c r="G1381" s="1">
        <f>INDEX('DETALLE CRONOLÓGICO'!$D$2:$D$4919,MATCH($A1381,'DETALLE CRONOLÓGICO'!$A$2:$A$4919,0))</f>
        <v/>
      </c>
      <c r="H1381" s="1">
        <f>INDEX('DETALLE CRONOLÓGICO'!$D$2:$D$4919,MATCH($A1381,'DETALLE CRONOLÓGICO'!$A$2:$A$4919,0)+$E1381-1)</f>
        <v/>
      </c>
      <c r="I1381" s="5">
        <f>IFERROR(SUMIFS('DETALLE CRONOLÓGICO'!$L$2:$L$4919,'DETALLE CRONOLÓGICO'!$A$2:$A$4919,$A1381)/$F1381,"")</f>
        <v/>
      </c>
      <c r="J1381" s="6">
        <f>IFERROR(SUMIFS('DETALLE CRONOLÓGICO'!$K$2:$K$4919,'DETALLE CRONOLÓGICO'!$A$2:$A$4919,$A1381)/$E1381,"")</f>
        <v/>
      </c>
      <c r="K1381" s="6">
        <f>_xlfn.MINIFS('DETALLE CRONOLÓGICO'!$K$2:$K$4919,'DETALLE CRONOLÓGICO'!$A$2:$A$4919,$A1381)</f>
        <v/>
      </c>
      <c r="L1381" s="6">
        <f>_xlfn.MAXIFS('DETALLE CRONOLÓGICO'!$K$2:$K$4919,'DETALLE CRONOLÓGICO'!$A$2:$A$4919,$A1381)</f>
        <v/>
      </c>
      <c r="M1381" s="6">
        <f>INDEX('DETALLE CRONOLÓGICO'!$K$2:$K$4919,MATCH($A1381,'DETALLE CRONOLÓGICO'!$A$2:$A$4919,0)+$E1381-1)</f>
        <v/>
      </c>
      <c r="N1381" s="7">
        <f>IFERROR($M1381/INDEX('DETALLE CRONOLÓGICO'!$K$2:$K$4919,MATCH($A1381,'DETALLE CRONOLÓGICO'!$A$2:$A$4919,0))-1,"")</f>
        <v/>
      </c>
      <c r="O1381" s="6">
        <f>IFERROR($I1381*3,"")</f>
        <v/>
      </c>
      <c r="P1381" s="6">
        <f>IFERROR($I1381*3.5,"")</f>
        <v/>
      </c>
      <c r="Q1381" s="6">
        <f>IFERROR($I1381*4,"")</f>
        <v/>
      </c>
      <c r="R1381" s="6" t="n">
        <v>400</v>
      </c>
      <c r="S1381" s="4" t="n">
        <v>8</v>
      </c>
      <c r="T1381" s="1" t="inlineStr">
        <is>
          <t>active</t>
        </is>
      </c>
      <c r="U1381" s="8" t="n"/>
      <c r="V1381" s="1" t="inlineStr">
        <is>
          <t>SIN PRECIO</t>
        </is>
      </c>
    </row>
    <row r="1382">
      <c r="A1382" s="1" t="inlineStr">
        <is>
          <t>66176ce26bdb9</t>
        </is>
      </c>
      <c r="B1382" s="1" t="inlineStr">
        <is>
          <t>ANILLO CLAVO ROSE GOLD</t>
        </is>
      </c>
      <c r="C1382" s="1" t="inlineStr">
        <is>
          <t>8 HIGH QUALITY</t>
        </is>
      </c>
      <c r="D1382" s="1" t="inlineStr">
        <is>
          <t>HAIFENG</t>
        </is>
      </c>
      <c r="E1382" s="4">
        <f>COUNTIF('DETALLE CRONOLÓGICO'!$A$2:$A$4919,$A1382)</f>
        <v/>
      </c>
      <c r="F1382" s="4">
        <f>SUMIFS('DETALLE CRONOLÓGICO'!$I$2:$I$4919,'DETALLE CRONOLÓGICO'!$A$2:$A$4919,$A1382)</f>
        <v/>
      </c>
      <c r="G1382" s="1">
        <f>INDEX('DETALLE CRONOLÓGICO'!$D$2:$D$4919,MATCH($A1382,'DETALLE CRONOLÓGICO'!$A$2:$A$4919,0))</f>
        <v/>
      </c>
      <c r="H1382" s="1">
        <f>INDEX('DETALLE CRONOLÓGICO'!$D$2:$D$4919,MATCH($A1382,'DETALLE CRONOLÓGICO'!$A$2:$A$4919,0)+$E1382-1)</f>
        <v/>
      </c>
      <c r="I1382" s="5">
        <f>IFERROR(SUMIFS('DETALLE CRONOLÓGICO'!$L$2:$L$4919,'DETALLE CRONOLÓGICO'!$A$2:$A$4919,$A1382)/$F1382,"")</f>
        <v/>
      </c>
      <c r="J1382" s="6">
        <f>IFERROR(SUMIFS('DETALLE CRONOLÓGICO'!$K$2:$K$4919,'DETALLE CRONOLÓGICO'!$A$2:$A$4919,$A1382)/$E1382,"")</f>
        <v/>
      </c>
      <c r="K1382" s="6">
        <f>_xlfn.MINIFS('DETALLE CRONOLÓGICO'!$K$2:$K$4919,'DETALLE CRONOLÓGICO'!$A$2:$A$4919,$A1382)</f>
        <v/>
      </c>
      <c r="L1382" s="6">
        <f>_xlfn.MAXIFS('DETALLE CRONOLÓGICO'!$K$2:$K$4919,'DETALLE CRONOLÓGICO'!$A$2:$A$4919,$A1382)</f>
        <v/>
      </c>
      <c r="M1382" s="6">
        <f>INDEX('DETALLE CRONOLÓGICO'!$K$2:$K$4919,MATCH($A1382,'DETALLE CRONOLÓGICO'!$A$2:$A$4919,0)+$E1382-1)</f>
        <v/>
      </c>
      <c r="N1382" s="7">
        <f>IFERROR($M1382/INDEX('DETALLE CRONOLÓGICO'!$K$2:$K$4919,MATCH($A1382,'DETALLE CRONOLÓGICO'!$A$2:$A$4919,0))-1,"")</f>
        <v/>
      </c>
      <c r="O1382" s="6">
        <f>IFERROR($I1382*3,"")</f>
        <v/>
      </c>
      <c r="P1382" s="6">
        <f>IFERROR($I1382*3.5,"")</f>
        <v/>
      </c>
      <c r="Q1382" s="6">
        <f>IFERROR($I1382*4,"")</f>
        <v/>
      </c>
      <c r="R1382" s="6" t="n">
        <v>400</v>
      </c>
      <c r="S1382" s="4" t="n">
        <v>4</v>
      </c>
      <c r="T1382" s="1" t="inlineStr">
        <is>
          <t>active</t>
        </is>
      </c>
      <c r="U1382" s="8" t="n"/>
      <c r="V1382" s="1" t="inlineStr">
        <is>
          <t>SIN PRECIO</t>
        </is>
      </c>
    </row>
    <row r="1383">
      <c r="A1383" s="1" t="inlineStr">
        <is>
          <t>66176ce3090a4</t>
        </is>
      </c>
      <c r="B1383" s="1" t="inlineStr">
        <is>
          <t>ANILLO CLAVO ROSE GOLD</t>
        </is>
      </c>
      <c r="C1383" s="1" t="inlineStr">
        <is>
          <t>9 HIGH QUALITY</t>
        </is>
      </c>
      <c r="D1383" s="1" t="inlineStr">
        <is>
          <t>HAIFENG</t>
        </is>
      </c>
      <c r="E1383" s="4">
        <f>COUNTIF('DETALLE CRONOLÓGICO'!$A$2:$A$4919,$A1383)</f>
        <v/>
      </c>
      <c r="F1383" s="4">
        <f>SUMIFS('DETALLE CRONOLÓGICO'!$I$2:$I$4919,'DETALLE CRONOLÓGICO'!$A$2:$A$4919,$A1383)</f>
        <v/>
      </c>
      <c r="G1383" s="1">
        <f>INDEX('DETALLE CRONOLÓGICO'!$D$2:$D$4919,MATCH($A1383,'DETALLE CRONOLÓGICO'!$A$2:$A$4919,0))</f>
        <v/>
      </c>
      <c r="H1383" s="1">
        <f>INDEX('DETALLE CRONOLÓGICO'!$D$2:$D$4919,MATCH($A1383,'DETALLE CRONOLÓGICO'!$A$2:$A$4919,0)+$E1383-1)</f>
        <v/>
      </c>
      <c r="I1383" s="5">
        <f>IFERROR(SUMIFS('DETALLE CRONOLÓGICO'!$L$2:$L$4919,'DETALLE CRONOLÓGICO'!$A$2:$A$4919,$A1383)/$F1383,"")</f>
        <v/>
      </c>
      <c r="J1383" s="6">
        <f>IFERROR(SUMIFS('DETALLE CRONOLÓGICO'!$K$2:$K$4919,'DETALLE CRONOLÓGICO'!$A$2:$A$4919,$A1383)/$E1383,"")</f>
        <v/>
      </c>
      <c r="K1383" s="6">
        <f>_xlfn.MINIFS('DETALLE CRONOLÓGICO'!$K$2:$K$4919,'DETALLE CRONOLÓGICO'!$A$2:$A$4919,$A1383)</f>
        <v/>
      </c>
      <c r="L1383" s="6">
        <f>_xlfn.MAXIFS('DETALLE CRONOLÓGICO'!$K$2:$K$4919,'DETALLE CRONOLÓGICO'!$A$2:$A$4919,$A1383)</f>
        <v/>
      </c>
      <c r="M1383" s="6">
        <f>INDEX('DETALLE CRONOLÓGICO'!$K$2:$K$4919,MATCH($A1383,'DETALLE CRONOLÓGICO'!$A$2:$A$4919,0)+$E1383-1)</f>
        <v/>
      </c>
      <c r="N1383" s="7">
        <f>IFERROR($M1383/INDEX('DETALLE CRONOLÓGICO'!$K$2:$K$4919,MATCH($A1383,'DETALLE CRONOLÓGICO'!$A$2:$A$4919,0))-1,"")</f>
        <v/>
      </c>
      <c r="O1383" s="6">
        <f>IFERROR($I1383*3,"")</f>
        <v/>
      </c>
      <c r="P1383" s="6">
        <f>IFERROR($I1383*3.5,"")</f>
        <v/>
      </c>
      <c r="Q1383" s="6">
        <f>IFERROR($I1383*4,"")</f>
        <v/>
      </c>
      <c r="R1383" s="6" t="n">
        <v>400</v>
      </c>
      <c r="S1383" s="4" t="n">
        <v>1</v>
      </c>
      <c r="T1383" s="1" t="inlineStr">
        <is>
          <t>active</t>
        </is>
      </c>
      <c r="U1383" s="8" t="n"/>
      <c r="V1383" s="1" t="inlineStr">
        <is>
          <t>SIN PRECIO</t>
        </is>
      </c>
    </row>
    <row r="1384">
      <c r="A1384" s="1" t="inlineStr">
        <is>
          <t>66176ce38fa21</t>
        </is>
      </c>
      <c r="B1384" s="1" t="inlineStr">
        <is>
          <t>ANILLO CLAVO ROSE GOLD</t>
        </is>
      </c>
      <c r="C1384" s="1" t="inlineStr">
        <is>
          <t>10 HIGH QUALITY</t>
        </is>
      </c>
      <c r="D1384" s="1" t="inlineStr">
        <is>
          <t>HAIFENG</t>
        </is>
      </c>
      <c r="E1384" s="4">
        <f>COUNTIF('DETALLE CRONOLÓGICO'!$A$2:$A$4919,$A1384)</f>
        <v/>
      </c>
      <c r="F1384" s="4">
        <f>SUMIFS('DETALLE CRONOLÓGICO'!$I$2:$I$4919,'DETALLE CRONOLÓGICO'!$A$2:$A$4919,$A1384)</f>
        <v/>
      </c>
      <c r="G1384" s="1">
        <f>INDEX('DETALLE CRONOLÓGICO'!$D$2:$D$4919,MATCH($A1384,'DETALLE CRONOLÓGICO'!$A$2:$A$4919,0))</f>
        <v/>
      </c>
      <c r="H1384" s="1">
        <f>INDEX('DETALLE CRONOLÓGICO'!$D$2:$D$4919,MATCH($A1384,'DETALLE CRONOLÓGICO'!$A$2:$A$4919,0)+$E1384-1)</f>
        <v/>
      </c>
      <c r="I1384" s="5">
        <f>IFERROR(SUMIFS('DETALLE CRONOLÓGICO'!$L$2:$L$4919,'DETALLE CRONOLÓGICO'!$A$2:$A$4919,$A1384)/$F1384,"")</f>
        <v/>
      </c>
      <c r="J1384" s="6">
        <f>IFERROR(SUMIFS('DETALLE CRONOLÓGICO'!$K$2:$K$4919,'DETALLE CRONOLÓGICO'!$A$2:$A$4919,$A1384)/$E1384,"")</f>
        <v/>
      </c>
      <c r="K1384" s="6">
        <f>_xlfn.MINIFS('DETALLE CRONOLÓGICO'!$K$2:$K$4919,'DETALLE CRONOLÓGICO'!$A$2:$A$4919,$A1384)</f>
        <v/>
      </c>
      <c r="L1384" s="6">
        <f>_xlfn.MAXIFS('DETALLE CRONOLÓGICO'!$K$2:$K$4919,'DETALLE CRONOLÓGICO'!$A$2:$A$4919,$A1384)</f>
        <v/>
      </c>
      <c r="M1384" s="6">
        <f>INDEX('DETALLE CRONOLÓGICO'!$K$2:$K$4919,MATCH($A1384,'DETALLE CRONOLÓGICO'!$A$2:$A$4919,0)+$E1384-1)</f>
        <v/>
      </c>
      <c r="N1384" s="7">
        <f>IFERROR($M1384/INDEX('DETALLE CRONOLÓGICO'!$K$2:$K$4919,MATCH($A1384,'DETALLE CRONOLÓGICO'!$A$2:$A$4919,0))-1,"")</f>
        <v/>
      </c>
      <c r="O1384" s="6">
        <f>IFERROR($I1384*3,"")</f>
        <v/>
      </c>
      <c r="P1384" s="6">
        <f>IFERROR($I1384*3.5,"")</f>
        <v/>
      </c>
      <c r="Q1384" s="6">
        <f>IFERROR($I1384*4,"")</f>
        <v/>
      </c>
      <c r="R1384" s="6" t="n">
        <v>400</v>
      </c>
      <c r="S1384" s="4" t="n">
        <v>5</v>
      </c>
      <c r="T1384" s="1" t="inlineStr">
        <is>
          <t>active</t>
        </is>
      </c>
      <c r="U1384" s="8" t="n"/>
      <c r="V1384" s="1" t="inlineStr">
        <is>
          <t>SIN PRECIO</t>
        </is>
      </c>
    </row>
    <row r="1385">
      <c r="A1385" s="1" t="inlineStr">
        <is>
          <t>66176ce532532</t>
        </is>
      </c>
      <c r="B1385" s="1" t="inlineStr">
        <is>
          <t>ANILLO CLAVO SILVER CON ZIRCONIA</t>
        </is>
      </c>
      <c r="C1385" s="1" t="inlineStr">
        <is>
          <t>5</t>
        </is>
      </c>
      <c r="D1385" s="1" t="inlineStr">
        <is>
          <t>HAIFENG</t>
        </is>
      </c>
      <c r="E1385" s="4">
        <f>COUNTIF('DETALLE CRONOLÓGICO'!$A$2:$A$4919,$A1385)</f>
        <v/>
      </c>
      <c r="F1385" s="4">
        <f>SUMIFS('DETALLE CRONOLÓGICO'!$I$2:$I$4919,'DETALLE CRONOLÓGICO'!$A$2:$A$4919,$A1385)</f>
        <v/>
      </c>
      <c r="G1385" s="1">
        <f>INDEX('DETALLE CRONOLÓGICO'!$D$2:$D$4919,MATCH($A1385,'DETALLE CRONOLÓGICO'!$A$2:$A$4919,0))</f>
        <v/>
      </c>
      <c r="H1385" s="1">
        <f>INDEX('DETALLE CRONOLÓGICO'!$D$2:$D$4919,MATCH($A1385,'DETALLE CRONOLÓGICO'!$A$2:$A$4919,0)+$E1385-1)</f>
        <v/>
      </c>
      <c r="I1385" s="5">
        <f>IFERROR(SUMIFS('DETALLE CRONOLÓGICO'!$L$2:$L$4919,'DETALLE CRONOLÓGICO'!$A$2:$A$4919,$A1385)/$F1385,"")</f>
        <v/>
      </c>
      <c r="J1385" s="6">
        <f>IFERROR(SUMIFS('DETALLE CRONOLÓGICO'!$K$2:$K$4919,'DETALLE CRONOLÓGICO'!$A$2:$A$4919,$A1385)/$E1385,"")</f>
        <v/>
      </c>
      <c r="K1385" s="6">
        <f>_xlfn.MINIFS('DETALLE CRONOLÓGICO'!$K$2:$K$4919,'DETALLE CRONOLÓGICO'!$A$2:$A$4919,$A1385)</f>
        <v/>
      </c>
      <c r="L1385" s="6">
        <f>_xlfn.MAXIFS('DETALLE CRONOLÓGICO'!$K$2:$K$4919,'DETALLE CRONOLÓGICO'!$A$2:$A$4919,$A1385)</f>
        <v/>
      </c>
      <c r="M1385" s="6">
        <f>INDEX('DETALLE CRONOLÓGICO'!$K$2:$K$4919,MATCH($A1385,'DETALLE CRONOLÓGICO'!$A$2:$A$4919,0)+$E1385-1)</f>
        <v/>
      </c>
      <c r="N1385" s="7">
        <f>IFERROR($M1385/INDEX('DETALLE CRONOLÓGICO'!$K$2:$K$4919,MATCH($A1385,'DETALLE CRONOLÓGICO'!$A$2:$A$4919,0))-1,"")</f>
        <v/>
      </c>
      <c r="O1385" s="6">
        <f>IFERROR($I1385*3,"")</f>
        <v/>
      </c>
      <c r="P1385" s="6">
        <f>IFERROR($I1385*3.5,"")</f>
        <v/>
      </c>
      <c r="Q1385" s="6">
        <f>IFERROR($I1385*4,"")</f>
        <v/>
      </c>
      <c r="R1385" s="6" t="n">
        <v>450</v>
      </c>
      <c r="S1385" s="4" t="n">
        <v>2</v>
      </c>
      <c r="T1385" s="1" t="inlineStr">
        <is>
          <t>active</t>
        </is>
      </c>
      <c r="U1385" s="8" t="n"/>
      <c r="V1385" s="1" t="inlineStr">
        <is>
          <t>SIN PRECIO</t>
        </is>
      </c>
    </row>
    <row r="1386">
      <c r="A1386" s="1" t="inlineStr">
        <is>
          <t>66176ce5b696e</t>
        </is>
      </c>
      <c r="B1386" s="1" t="inlineStr">
        <is>
          <t>ANILLO CLAVO SILVER CON ZIRCONIA</t>
        </is>
      </c>
      <c r="C1386" s="1" t="inlineStr">
        <is>
          <t>6</t>
        </is>
      </c>
      <c r="D1386" s="1" t="inlineStr">
        <is>
          <t>HAIFENG</t>
        </is>
      </c>
      <c r="E1386" s="4">
        <f>COUNTIF('DETALLE CRONOLÓGICO'!$A$2:$A$4919,$A1386)</f>
        <v/>
      </c>
      <c r="F1386" s="4">
        <f>SUMIFS('DETALLE CRONOLÓGICO'!$I$2:$I$4919,'DETALLE CRONOLÓGICO'!$A$2:$A$4919,$A1386)</f>
        <v/>
      </c>
      <c r="G1386" s="1">
        <f>INDEX('DETALLE CRONOLÓGICO'!$D$2:$D$4919,MATCH($A1386,'DETALLE CRONOLÓGICO'!$A$2:$A$4919,0))</f>
        <v/>
      </c>
      <c r="H1386" s="1">
        <f>INDEX('DETALLE CRONOLÓGICO'!$D$2:$D$4919,MATCH($A1386,'DETALLE CRONOLÓGICO'!$A$2:$A$4919,0)+$E1386-1)</f>
        <v/>
      </c>
      <c r="I1386" s="5">
        <f>IFERROR(SUMIFS('DETALLE CRONOLÓGICO'!$L$2:$L$4919,'DETALLE CRONOLÓGICO'!$A$2:$A$4919,$A1386)/$F1386,"")</f>
        <v/>
      </c>
      <c r="J1386" s="6">
        <f>IFERROR(SUMIFS('DETALLE CRONOLÓGICO'!$K$2:$K$4919,'DETALLE CRONOLÓGICO'!$A$2:$A$4919,$A1386)/$E1386,"")</f>
        <v/>
      </c>
      <c r="K1386" s="6">
        <f>_xlfn.MINIFS('DETALLE CRONOLÓGICO'!$K$2:$K$4919,'DETALLE CRONOLÓGICO'!$A$2:$A$4919,$A1386)</f>
        <v/>
      </c>
      <c r="L1386" s="6">
        <f>_xlfn.MAXIFS('DETALLE CRONOLÓGICO'!$K$2:$K$4919,'DETALLE CRONOLÓGICO'!$A$2:$A$4919,$A1386)</f>
        <v/>
      </c>
      <c r="M1386" s="6">
        <f>INDEX('DETALLE CRONOLÓGICO'!$K$2:$K$4919,MATCH($A1386,'DETALLE CRONOLÓGICO'!$A$2:$A$4919,0)+$E1386-1)</f>
        <v/>
      </c>
      <c r="N1386" s="7">
        <f>IFERROR($M1386/INDEX('DETALLE CRONOLÓGICO'!$K$2:$K$4919,MATCH($A1386,'DETALLE CRONOLÓGICO'!$A$2:$A$4919,0))-1,"")</f>
        <v/>
      </c>
      <c r="O1386" s="6">
        <f>IFERROR($I1386*3,"")</f>
        <v/>
      </c>
      <c r="P1386" s="6">
        <f>IFERROR($I1386*3.5,"")</f>
        <v/>
      </c>
      <c r="Q1386" s="6">
        <f>IFERROR($I1386*4,"")</f>
        <v/>
      </c>
      <c r="R1386" s="6" t="n">
        <v>450</v>
      </c>
      <c r="S1386" s="4" t="n">
        <v>2</v>
      </c>
      <c r="T1386" s="1" t="inlineStr">
        <is>
          <t>active</t>
        </is>
      </c>
      <c r="U1386" s="8" t="n"/>
      <c r="V1386" s="1" t="inlineStr">
        <is>
          <t>SIN PRECIO</t>
        </is>
      </c>
    </row>
    <row r="1387">
      <c r="A1387" s="1" t="inlineStr">
        <is>
          <t>66176ce64d96f</t>
        </is>
      </c>
      <c r="B1387" s="1" t="inlineStr">
        <is>
          <t>ANILLO CLAVO SILVER CON ZIRCONIA</t>
        </is>
      </c>
      <c r="C1387" s="1" t="inlineStr">
        <is>
          <t>7</t>
        </is>
      </c>
      <c r="D1387" s="1" t="inlineStr">
        <is>
          <t>HAIFENG</t>
        </is>
      </c>
      <c r="E1387" s="4">
        <f>COUNTIF('DETALLE CRONOLÓGICO'!$A$2:$A$4919,$A1387)</f>
        <v/>
      </c>
      <c r="F1387" s="4">
        <f>SUMIFS('DETALLE CRONOLÓGICO'!$I$2:$I$4919,'DETALLE CRONOLÓGICO'!$A$2:$A$4919,$A1387)</f>
        <v/>
      </c>
      <c r="G1387" s="1">
        <f>INDEX('DETALLE CRONOLÓGICO'!$D$2:$D$4919,MATCH($A1387,'DETALLE CRONOLÓGICO'!$A$2:$A$4919,0))</f>
        <v/>
      </c>
      <c r="H1387" s="1">
        <f>INDEX('DETALLE CRONOLÓGICO'!$D$2:$D$4919,MATCH($A1387,'DETALLE CRONOLÓGICO'!$A$2:$A$4919,0)+$E1387-1)</f>
        <v/>
      </c>
      <c r="I1387" s="5">
        <f>IFERROR(SUMIFS('DETALLE CRONOLÓGICO'!$L$2:$L$4919,'DETALLE CRONOLÓGICO'!$A$2:$A$4919,$A1387)/$F1387,"")</f>
        <v/>
      </c>
      <c r="J1387" s="6">
        <f>IFERROR(SUMIFS('DETALLE CRONOLÓGICO'!$K$2:$K$4919,'DETALLE CRONOLÓGICO'!$A$2:$A$4919,$A1387)/$E1387,"")</f>
        <v/>
      </c>
      <c r="K1387" s="6">
        <f>_xlfn.MINIFS('DETALLE CRONOLÓGICO'!$K$2:$K$4919,'DETALLE CRONOLÓGICO'!$A$2:$A$4919,$A1387)</f>
        <v/>
      </c>
      <c r="L1387" s="6">
        <f>_xlfn.MAXIFS('DETALLE CRONOLÓGICO'!$K$2:$K$4919,'DETALLE CRONOLÓGICO'!$A$2:$A$4919,$A1387)</f>
        <v/>
      </c>
      <c r="M1387" s="6">
        <f>INDEX('DETALLE CRONOLÓGICO'!$K$2:$K$4919,MATCH($A1387,'DETALLE CRONOLÓGICO'!$A$2:$A$4919,0)+$E1387-1)</f>
        <v/>
      </c>
      <c r="N1387" s="7">
        <f>IFERROR($M1387/INDEX('DETALLE CRONOLÓGICO'!$K$2:$K$4919,MATCH($A1387,'DETALLE CRONOLÓGICO'!$A$2:$A$4919,0))-1,"")</f>
        <v/>
      </c>
      <c r="O1387" s="6">
        <f>IFERROR($I1387*3,"")</f>
        <v/>
      </c>
      <c r="P1387" s="6">
        <f>IFERROR($I1387*3.5,"")</f>
        <v/>
      </c>
      <c r="Q1387" s="6">
        <f>IFERROR($I1387*4,"")</f>
        <v/>
      </c>
      <c r="R1387" s="6" t="n">
        <v>450</v>
      </c>
      <c r="S1387" s="4" t="n">
        <v>10</v>
      </c>
      <c r="T1387" s="1" t="inlineStr">
        <is>
          <t>active</t>
        </is>
      </c>
      <c r="U1387" s="8" t="n"/>
      <c r="V1387" s="1" t="inlineStr">
        <is>
          <t>SIN PRECIO</t>
        </is>
      </c>
    </row>
    <row r="1388">
      <c r="A1388" s="1" t="inlineStr">
        <is>
          <t>66176ce6d29ca</t>
        </is>
      </c>
      <c r="B1388" s="1" t="inlineStr">
        <is>
          <t>ANILLO CLAVO SILVER CON ZIRCONIA</t>
        </is>
      </c>
      <c r="C1388" s="1" t="inlineStr">
        <is>
          <t>8</t>
        </is>
      </c>
      <c r="D1388" s="1" t="inlineStr">
        <is>
          <t>HAIFENG</t>
        </is>
      </c>
      <c r="E1388" s="4">
        <f>COUNTIF('DETALLE CRONOLÓGICO'!$A$2:$A$4919,$A1388)</f>
        <v/>
      </c>
      <c r="F1388" s="4">
        <f>SUMIFS('DETALLE CRONOLÓGICO'!$I$2:$I$4919,'DETALLE CRONOLÓGICO'!$A$2:$A$4919,$A1388)</f>
        <v/>
      </c>
      <c r="G1388" s="1">
        <f>INDEX('DETALLE CRONOLÓGICO'!$D$2:$D$4919,MATCH($A1388,'DETALLE CRONOLÓGICO'!$A$2:$A$4919,0))</f>
        <v/>
      </c>
      <c r="H1388" s="1">
        <f>INDEX('DETALLE CRONOLÓGICO'!$D$2:$D$4919,MATCH($A1388,'DETALLE CRONOLÓGICO'!$A$2:$A$4919,0)+$E1388-1)</f>
        <v/>
      </c>
      <c r="I1388" s="5">
        <f>IFERROR(SUMIFS('DETALLE CRONOLÓGICO'!$L$2:$L$4919,'DETALLE CRONOLÓGICO'!$A$2:$A$4919,$A1388)/$F1388,"")</f>
        <v/>
      </c>
      <c r="J1388" s="6">
        <f>IFERROR(SUMIFS('DETALLE CRONOLÓGICO'!$K$2:$K$4919,'DETALLE CRONOLÓGICO'!$A$2:$A$4919,$A1388)/$E1388,"")</f>
        <v/>
      </c>
      <c r="K1388" s="6">
        <f>_xlfn.MINIFS('DETALLE CRONOLÓGICO'!$K$2:$K$4919,'DETALLE CRONOLÓGICO'!$A$2:$A$4919,$A1388)</f>
        <v/>
      </c>
      <c r="L1388" s="6">
        <f>_xlfn.MAXIFS('DETALLE CRONOLÓGICO'!$K$2:$K$4919,'DETALLE CRONOLÓGICO'!$A$2:$A$4919,$A1388)</f>
        <v/>
      </c>
      <c r="M1388" s="6">
        <f>INDEX('DETALLE CRONOLÓGICO'!$K$2:$K$4919,MATCH($A1388,'DETALLE CRONOLÓGICO'!$A$2:$A$4919,0)+$E1388-1)</f>
        <v/>
      </c>
      <c r="N1388" s="7">
        <f>IFERROR($M1388/INDEX('DETALLE CRONOLÓGICO'!$K$2:$K$4919,MATCH($A1388,'DETALLE CRONOLÓGICO'!$A$2:$A$4919,0))-1,"")</f>
        <v/>
      </c>
      <c r="O1388" s="6">
        <f>IFERROR($I1388*3,"")</f>
        <v/>
      </c>
      <c r="P1388" s="6">
        <f>IFERROR($I1388*3.5,"")</f>
        <v/>
      </c>
      <c r="Q1388" s="6">
        <f>IFERROR($I1388*4,"")</f>
        <v/>
      </c>
      <c r="R1388" s="6" t="n">
        <v>450</v>
      </c>
      <c r="S1388" s="4" t="n">
        <v>0</v>
      </c>
      <c r="T1388" s="1" t="inlineStr">
        <is>
          <t>active</t>
        </is>
      </c>
      <c r="U1388" s="8" t="n"/>
      <c r="V1388" s="1" t="inlineStr">
        <is>
          <t>SIN PRECIO</t>
        </is>
      </c>
    </row>
    <row r="1389">
      <c r="A1389" s="1" t="inlineStr">
        <is>
          <t>66176e5ecde32</t>
        </is>
      </c>
      <c r="B1389" s="1" t="inlineStr">
        <is>
          <t>ANILLO CLASH GOLD</t>
        </is>
      </c>
      <c r="C1389" s="1" t="inlineStr">
        <is>
          <t>5</t>
        </is>
      </c>
      <c r="D1389" s="1" t="inlineStr">
        <is>
          <t>HAIFENG</t>
        </is>
      </c>
      <c r="E1389" s="4">
        <f>COUNTIF('DETALLE CRONOLÓGICO'!$A$2:$A$4919,$A1389)</f>
        <v/>
      </c>
      <c r="F1389" s="4">
        <f>SUMIFS('DETALLE CRONOLÓGICO'!$I$2:$I$4919,'DETALLE CRONOLÓGICO'!$A$2:$A$4919,$A1389)</f>
        <v/>
      </c>
      <c r="G1389" s="1">
        <f>INDEX('DETALLE CRONOLÓGICO'!$D$2:$D$4919,MATCH($A1389,'DETALLE CRONOLÓGICO'!$A$2:$A$4919,0))</f>
        <v/>
      </c>
      <c r="H1389" s="1">
        <f>INDEX('DETALLE CRONOLÓGICO'!$D$2:$D$4919,MATCH($A1389,'DETALLE CRONOLÓGICO'!$A$2:$A$4919,0)+$E1389-1)</f>
        <v/>
      </c>
      <c r="I1389" s="5">
        <f>IFERROR(SUMIFS('DETALLE CRONOLÓGICO'!$L$2:$L$4919,'DETALLE CRONOLÓGICO'!$A$2:$A$4919,$A1389)/$F1389,"")</f>
        <v/>
      </c>
      <c r="J1389" s="6">
        <f>IFERROR(SUMIFS('DETALLE CRONOLÓGICO'!$K$2:$K$4919,'DETALLE CRONOLÓGICO'!$A$2:$A$4919,$A1389)/$E1389,"")</f>
        <v/>
      </c>
      <c r="K1389" s="6">
        <f>_xlfn.MINIFS('DETALLE CRONOLÓGICO'!$K$2:$K$4919,'DETALLE CRONOLÓGICO'!$A$2:$A$4919,$A1389)</f>
        <v/>
      </c>
      <c r="L1389" s="6">
        <f>_xlfn.MAXIFS('DETALLE CRONOLÓGICO'!$K$2:$K$4919,'DETALLE CRONOLÓGICO'!$A$2:$A$4919,$A1389)</f>
        <v/>
      </c>
      <c r="M1389" s="6">
        <f>INDEX('DETALLE CRONOLÓGICO'!$K$2:$K$4919,MATCH($A1389,'DETALLE CRONOLÓGICO'!$A$2:$A$4919,0)+$E1389-1)</f>
        <v/>
      </c>
      <c r="N1389" s="7">
        <f>IFERROR($M1389/INDEX('DETALLE CRONOLÓGICO'!$K$2:$K$4919,MATCH($A1389,'DETALLE CRONOLÓGICO'!$A$2:$A$4919,0))-1,"")</f>
        <v/>
      </c>
      <c r="O1389" s="6">
        <f>IFERROR($I1389*3,"")</f>
        <v/>
      </c>
      <c r="P1389" s="6">
        <f>IFERROR($I1389*3.5,"")</f>
        <v/>
      </c>
      <c r="Q1389" s="6">
        <f>IFERROR($I1389*4,"")</f>
        <v/>
      </c>
      <c r="R1389" s="6" t="n">
        <v>850</v>
      </c>
      <c r="S1389" s="4" t="n">
        <v>2</v>
      </c>
      <c r="T1389" s="1" t="inlineStr">
        <is>
          <t>active</t>
        </is>
      </c>
      <c r="U1389" s="8" t="n"/>
      <c r="V1389" s="1" t="inlineStr">
        <is>
          <t>SIN PRECIO</t>
        </is>
      </c>
    </row>
    <row r="1390">
      <c r="A1390" s="1" t="inlineStr">
        <is>
          <t>66176e5ee773d</t>
        </is>
      </c>
      <c r="B1390" s="1" t="inlineStr">
        <is>
          <t>ANILLO CLASH ROSEGOLD</t>
        </is>
      </c>
      <c r="C1390" s="1" t="inlineStr">
        <is>
          <t>5</t>
        </is>
      </c>
      <c r="D1390" s="1" t="inlineStr">
        <is>
          <t>HAIFENG</t>
        </is>
      </c>
      <c r="E1390" s="4">
        <f>COUNTIF('DETALLE CRONOLÓGICO'!$A$2:$A$4919,$A1390)</f>
        <v/>
      </c>
      <c r="F1390" s="4">
        <f>SUMIFS('DETALLE CRONOLÓGICO'!$I$2:$I$4919,'DETALLE CRONOLÓGICO'!$A$2:$A$4919,$A1390)</f>
        <v/>
      </c>
      <c r="G1390" s="1">
        <f>INDEX('DETALLE CRONOLÓGICO'!$D$2:$D$4919,MATCH($A1390,'DETALLE CRONOLÓGICO'!$A$2:$A$4919,0))</f>
        <v/>
      </c>
      <c r="H1390" s="1">
        <f>INDEX('DETALLE CRONOLÓGICO'!$D$2:$D$4919,MATCH($A1390,'DETALLE CRONOLÓGICO'!$A$2:$A$4919,0)+$E1390-1)</f>
        <v/>
      </c>
      <c r="I1390" s="5">
        <f>IFERROR(SUMIFS('DETALLE CRONOLÓGICO'!$L$2:$L$4919,'DETALLE CRONOLÓGICO'!$A$2:$A$4919,$A1390)/$F1390,"")</f>
        <v/>
      </c>
      <c r="J1390" s="6">
        <f>IFERROR(SUMIFS('DETALLE CRONOLÓGICO'!$K$2:$K$4919,'DETALLE CRONOLÓGICO'!$A$2:$A$4919,$A1390)/$E1390,"")</f>
        <v/>
      </c>
      <c r="K1390" s="6">
        <f>_xlfn.MINIFS('DETALLE CRONOLÓGICO'!$K$2:$K$4919,'DETALLE CRONOLÓGICO'!$A$2:$A$4919,$A1390)</f>
        <v/>
      </c>
      <c r="L1390" s="6">
        <f>_xlfn.MAXIFS('DETALLE CRONOLÓGICO'!$K$2:$K$4919,'DETALLE CRONOLÓGICO'!$A$2:$A$4919,$A1390)</f>
        <v/>
      </c>
      <c r="M1390" s="6">
        <f>INDEX('DETALLE CRONOLÓGICO'!$K$2:$K$4919,MATCH($A1390,'DETALLE CRONOLÓGICO'!$A$2:$A$4919,0)+$E1390-1)</f>
        <v/>
      </c>
      <c r="N1390" s="7">
        <f>IFERROR($M1390/INDEX('DETALLE CRONOLÓGICO'!$K$2:$K$4919,MATCH($A1390,'DETALLE CRONOLÓGICO'!$A$2:$A$4919,0))-1,"")</f>
        <v/>
      </c>
      <c r="O1390" s="6">
        <f>IFERROR($I1390*3,"")</f>
        <v/>
      </c>
      <c r="P1390" s="6">
        <f>IFERROR($I1390*3.5,"")</f>
        <v/>
      </c>
      <c r="Q1390" s="6">
        <f>IFERROR($I1390*4,"")</f>
        <v/>
      </c>
      <c r="R1390" s="6" t="n">
        <v>850</v>
      </c>
      <c r="S1390" s="4" t="n">
        <v>2</v>
      </c>
      <c r="T1390" s="1" t="inlineStr">
        <is>
          <t>active</t>
        </is>
      </c>
      <c r="U1390" s="8" t="n"/>
      <c r="V1390" s="1" t="inlineStr">
        <is>
          <t>SIN PRECIO</t>
        </is>
      </c>
    </row>
    <row r="1391">
      <c r="A1391" s="1" t="inlineStr">
        <is>
          <t>66176e5f7392c</t>
        </is>
      </c>
      <c r="B1391" s="1" t="inlineStr">
        <is>
          <t>ANILLO CLASH GOLD</t>
        </is>
      </c>
      <c r="C1391" s="1" t="inlineStr">
        <is>
          <t>6</t>
        </is>
      </c>
      <c r="D1391" s="1" t="inlineStr">
        <is>
          <t>HAIFENG</t>
        </is>
      </c>
      <c r="E1391" s="4">
        <f>COUNTIF('DETALLE CRONOLÓGICO'!$A$2:$A$4919,$A1391)</f>
        <v/>
      </c>
      <c r="F1391" s="4">
        <f>SUMIFS('DETALLE CRONOLÓGICO'!$I$2:$I$4919,'DETALLE CRONOLÓGICO'!$A$2:$A$4919,$A1391)</f>
        <v/>
      </c>
      <c r="G1391" s="1">
        <f>INDEX('DETALLE CRONOLÓGICO'!$D$2:$D$4919,MATCH($A1391,'DETALLE CRONOLÓGICO'!$A$2:$A$4919,0))</f>
        <v/>
      </c>
      <c r="H1391" s="1">
        <f>INDEX('DETALLE CRONOLÓGICO'!$D$2:$D$4919,MATCH($A1391,'DETALLE CRONOLÓGICO'!$A$2:$A$4919,0)+$E1391-1)</f>
        <v/>
      </c>
      <c r="I1391" s="5">
        <f>IFERROR(SUMIFS('DETALLE CRONOLÓGICO'!$L$2:$L$4919,'DETALLE CRONOLÓGICO'!$A$2:$A$4919,$A1391)/$F1391,"")</f>
        <v/>
      </c>
      <c r="J1391" s="6">
        <f>IFERROR(SUMIFS('DETALLE CRONOLÓGICO'!$K$2:$K$4919,'DETALLE CRONOLÓGICO'!$A$2:$A$4919,$A1391)/$E1391,"")</f>
        <v/>
      </c>
      <c r="K1391" s="6">
        <f>_xlfn.MINIFS('DETALLE CRONOLÓGICO'!$K$2:$K$4919,'DETALLE CRONOLÓGICO'!$A$2:$A$4919,$A1391)</f>
        <v/>
      </c>
      <c r="L1391" s="6">
        <f>_xlfn.MAXIFS('DETALLE CRONOLÓGICO'!$K$2:$K$4919,'DETALLE CRONOLÓGICO'!$A$2:$A$4919,$A1391)</f>
        <v/>
      </c>
      <c r="M1391" s="6">
        <f>INDEX('DETALLE CRONOLÓGICO'!$K$2:$K$4919,MATCH($A1391,'DETALLE CRONOLÓGICO'!$A$2:$A$4919,0)+$E1391-1)</f>
        <v/>
      </c>
      <c r="N1391" s="7">
        <f>IFERROR($M1391/INDEX('DETALLE CRONOLÓGICO'!$K$2:$K$4919,MATCH($A1391,'DETALLE CRONOLÓGICO'!$A$2:$A$4919,0))-1,"")</f>
        <v/>
      </c>
      <c r="O1391" s="6">
        <f>IFERROR($I1391*3,"")</f>
        <v/>
      </c>
      <c r="P1391" s="6">
        <f>IFERROR($I1391*3.5,"")</f>
        <v/>
      </c>
      <c r="Q1391" s="6">
        <f>IFERROR($I1391*4,"")</f>
        <v/>
      </c>
      <c r="R1391" s="6" t="n">
        <v>850</v>
      </c>
      <c r="S1391" s="4" t="n">
        <v>2</v>
      </c>
      <c r="T1391" s="1" t="inlineStr">
        <is>
          <t>active</t>
        </is>
      </c>
      <c r="U1391" s="8" t="n"/>
      <c r="V1391" s="1" t="inlineStr">
        <is>
          <t>SIN PRECIO</t>
        </is>
      </c>
    </row>
    <row r="1392">
      <c r="A1392" s="1" t="inlineStr">
        <is>
          <t>66176e5f8fac7</t>
        </is>
      </c>
      <c r="B1392" s="1" t="inlineStr">
        <is>
          <t>ANILLO CLASH ROSEGOLD</t>
        </is>
      </c>
      <c r="C1392" s="1" t="inlineStr">
        <is>
          <t>6</t>
        </is>
      </c>
      <c r="D1392" s="1" t="inlineStr">
        <is>
          <t>HAIFENG</t>
        </is>
      </c>
      <c r="E1392" s="4">
        <f>COUNTIF('DETALLE CRONOLÓGICO'!$A$2:$A$4919,$A1392)</f>
        <v/>
      </c>
      <c r="F1392" s="4">
        <f>SUMIFS('DETALLE CRONOLÓGICO'!$I$2:$I$4919,'DETALLE CRONOLÓGICO'!$A$2:$A$4919,$A1392)</f>
        <v/>
      </c>
      <c r="G1392" s="1">
        <f>INDEX('DETALLE CRONOLÓGICO'!$D$2:$D$4919,MATCH($A1392,'DETALLE CRONOLÓGICO'!$A$2:$A$4919,0))</f>
        <v/>
      </c>
      <c r="H1392" s="1">
        <f>INDEX('DETALLE CRONOLÓGICO'!$D$2:$D$4919,MATCH($A1392,'DETALLE CRONOLÓGICO'!$A$2:$A$4919,0)+$E1392-1)</f>
        <v/>
      </c>
      <c r="I1392" s="5">
        <f>IFERROR(SUMIFS('DETALLE CRONOLÓGICO'!$L$2:$L$4919,'DETALLE CRONOLÓGICO'!$A$2:$A$4919,$A1392)/$F1392,"")</f>
        <v/>
      </c>
      <c r="J1392" s="6">
        <f>IFERROR(SUMIFS('DETALLE CRONOLÓGICO'!$K$2:$K$4919,'DETALLE CRONOLÓGICO'!$A$2:$A$4919,$A1392)/$E1392,"")</f>
        <v/>
      </c>
      <c r="K1392" s="6">
        <f>_xlfn.MINIFS('DETALLE CRONOLÓGICO'!$K$2:$K$4919,'DETALLE CRONOLÓGICO'!$A$2:$A$4919,$A1392)</f>
        <v/>
      </c>
      <c r="L1392" s="6">
        <f>_xlfn.MAXIFS('DETALLE CRONOLÓGICO'!$K$2:$K$4919,'DETALLE CRONOLÓGICO'!$A$2:$A$4919,$A1392)</f>
        <v/>
      </c>
      <c r="M1392" s="6">
        <f>INDEX('DETALLE CRONOLÓGICO'!$K$2:$K$4919,MATCH($A1392,'DETALLE CRONOLÓGICO'!$A$2:$A$4919,0)+$E1392-1)</f>
        <v/>
      </c>
      <c r="N1392" s="7">
        <f>IFERROR($M1392/INDEX('DETALLE CRONOLÓGICO'!$K$2:$K$4919,MATCH($A1392,'DETALLE CRONOLÓGICO'!$A$2:$A$4919,0))-1,"")</f>
        <v/>
      </c>
      <c r="O1392" s="6">
        <f>IFERROR($I1392*3,"")</f>
        <v/>
      </c>
      <c r="P1392" s="6">
        <f>IFERROR($I1392*3.5,"")</f>
        <v/>
      </c>
      <c r="Q1392" s="6">
        <f>IFERROR($I1392*4,"")</f>
        <v/>
      </c>
      <c r="R1392" s="6" t="n">
        <v>850</v>
      </c>
      <c r="S1392" s="4" t="n">
        <v>3</v>
      </c>
      <c r="T1392" s="1" t="inlineStr">
        <is>
          <t>active</t>
        </is>
      </c>
      <c r="U1392" s="8" t="n"/>
      <c r="V1392" s="1" t="inlineStr">
        <is>
          <t>SIN PRECIO</t>
        </is>
      </c>
    </row>
    <row r="1393">
      <c r="A1393" s="1" t="inlineStr">
        <is>
          <t>66176e6009ab0</t>
        </is>
      </c>
      <c r="B1393" s="1" t="inlineStr">
        <is>
          <t>ANILLO CLASH GOLD</t>
        </is>
      </c>
      <c r="C1393" s="1" t="inlineStr">
        <is>
          <t>7</t>
        </is>
      </c>
      <c r="D1393" s="1" t="inlineStr">
        <is>
          <t>HAIFENG</t>
        </is>
      </c>
      <c r="E1393" s="4">
        <f>COUNTIF('DETALLE CRONOLÓGICO'!$A$2:$A$4919,$A1393)</f>
        <v/>
      </c>
      <c r="F1393" s="4">
        <f>SUMIFS('DETALLE CRONOLÓGICO'!$I$2:$I$4919,'DETALLE CRONOLÓGICO'!$A$2:$A$4919,$A1393)</f>
        <v/>
      </c>
      <c r="G1393" s="1">
        <f>INDEX('DETALLE CRONOLÓGICO'!$D$2:$D$4919,MATCH($A1393,'DETALLE CRONOLÓGICO'!$A$2:$A$4919,0))</f>
        <v/>
      </c>
      <c r="H1393" s="1">
        <f>INDEX('DETALLE CRONOLÓGICO'!$D$2:$D$4919,MATCH($A1393,'DETALLE CRONOLÓGICO'!$A$2:$A$4919,0)+$E1393-1)</f>
        <v/>
      </c>
      <c r="I1393" s="5">
        <f>IFERROR(SUMIFS('DETALLE CRONOLÓGICO'!$L$2:$L$4919,'DETALLE CRONOLÓGICO'!$A$2:$A$4919,$A1393)/$F1393,"")</f>
        <v/>
      </c>
      <c r="J1393" s="6">
        <f>IFERROR(SUMIFS('DETALLE CRONOLÓGICO'!$K$2:$K$4919,'DETALLE CRONOLÓGICO'!$A$2:$A$4919,$A1393)/$E1393,"")</f>
        <v/>
      </c>
      <c r="K1393" s="6">
        <f>_xlfn.MINIFS('DETALLE CRONOLÓGICO'!$K$2:$K$4919,'DETALLE CRONOLÓGICO'!$A$2:$A$4919,$A1393)</f>
        <v/>
      </c>
      <c r="L1393" s="6">
        <f>_xlfn.MAXIFS('DETALLE CRONOLÓGICO'!$K$2:$K$4919,'DETALLE CRONOLÓGICO'!$A$2:$A$4919,$A1393)</f>
        <v/>
      </c>
      <c r="M1393" s="6">
        <f>INDEX('DETALLE CRONOLÓGICO'!$K$2:$K$4919,MATCH($A1393,'DETALLE CRONOLÓGICO'!$A$2:$A$4919,0)+$E1393-1)</f>
        <v/>
      </c>
      <c r="N1393" s="7">
        <f>IFERROR($M1393/INDEX('DETALLE CRONOLÓGICO'!$K$2:$K$4919,MATCH($A1393,'DETALLE CRONOLÓGICO'!$A$2:$A$4919,0))-1,"")</f>
        <v/>
      </c>
      <c r="O1393" s="6">
        <f>IFERROR($I1393*3,"")</f>
        <v/>
      </c>
      <c r="P1393" s="6">
        <f>IFERROR($I1393*3.5,"")</f>
        <v/>
      </c>
      <c r="Q1393" s="6">
        <f>IFERROR($I1393*4,"")</f>
        <v/>
      </c>
      <c r="R1393" s="6" t="n">
        <v>850</v>
      </c>
      <c r="S1393" s="4" t="n">
        <v>2</v>
      </c>
      <c r="T1393" s="1" t="inlineStr">
        <is>
          <t>active</t>
        </is>
      </c>
      <c r="U1393" s="8" t="n"/>
      <c r="V1393" s="1" t="inlineStr">
        <is>
          <t>SIN PRECIO</t>
        </is>
      </c>
    </row>
    <row r="1394">
      <c r="A1394" s="1" t="inlineStr">
        <is>
          <t>66176e602b0bf</t>
        </is>
      </c>
      <c r="B1394" s="1" t="inlineStr">
        <is>
          <t>ANILLO CLASH ROSEGOLD</t>
        </is>
      </c>
      <c r="C1394" s="1" t="inlineStr">
        <is>
          <t>7</t>
        </is>
      </c>
      <c r="D1394" s="1" t="inlineStr">
        <is>
          <t>HAIFENG</t>
        </is>
      </c>
      <c r="E1394" s="4">
        <f>COUNTIF('DETALLE CRONOLÓGICO'!$A$2:$A$4919,$A1394)</f>
        <v/>
      </c>
      <c r="F1394" s="4">
        <f>SUMIFS('DETALLE CRONOLÓGICO'!$I$2:$I$4919,'DETALLE CRONOLÓGICO'!$A$2:$A$4919,$A1394)</f>
        <v/>
      </c>
      <c r="G1394" s="1">
        <f>INDEX('DETALLE CRONOLÓGICO'!$D$2:$D$4919,MATCH($A1394,'DETALLE CRONOLÓGICO'!$A$2:$A$4919,0))</f>
        <v/>
      </c>
      <c r="H1394" s="1">
        <f>INDEX('DETALLE CRONOLÓGICO'!$D$2:$D$4919,MATCH($A1394,'DETALLE CRONOLÓGICO'!$A$2:$A$4919,0)+$E1394-1)</f>
        <v/>
      </c>
      <c r="I1394" s="5">
        <f>IFERROR(SUMIFS('DETALLE CRONOLÓGICO'!$L$2:$L$4919,'DETALLE CRONOLÓGICO'!$A$2:$A$4919,$A1394)/$F1394,"")</f>
        <v/>
      </c>
      <c r="J1394" s="6">
        <f>IFERROR(SUMIFS('DETALLE CRONOLÓGICO'!$K$2:$K$4919,'DETALLE CRONOLÓGICO'!$A$2:$A$4919,$A1394)/$E1394,"")</f>
        <v/>
      </c>
      <c r="K1394" s="6">
        <f>_xlfn.MINIFS('DETALLE CRONOLÓGICO'!$K$2:$K$4919,'DETALLE CRONOLÓGICO'!$A$2:$A$4919,$A1394)</f>
        <v/>
      </c>
      <c r="L1394" s="6">
        <f>_xlfn.MAXIFS('DETALLE CRONOLÓGICO'!$K$2:$K$4919,'DETALLE CRONOLÓGICO'!$A$2:$A$4919,$A1394)</f>
        <v/>
      </c>
      <c r="M1394" s="6">
        <f>INDEX('DETALLE CRONOLÓGICO'!$K$2:$K$4919,MATCH($A1394,'DETALLE CRONOLÓGICO'!$A$2:$A$4919,0)+$E1394-1)</f>
        <v/>
      </c>
      <c r="N1394" s="7">
        <f>IFERROR($M1394/INDEX('DETALLE CRONOLÓGICO'!$K$2:$K$4919,MATCH($A1394,'DETALLE CRONOLÓGICO'!$A$2:$A$4919,0))-1,"")</f>
        <v/>
      </c>
      <c r="O1394" s="6">
        <f>IFERROR($I1394*3,"")</f>
        <v/>
      </c>
      <c r="P1394" s="6">
        <f>IFERROR($I1394*3.5,"")</f>
        <v/>
      </c>
      <c r="Q1394" s="6">
        <f>IFERROR($I1394*4,"")</f>
        <v/>
      </c>
      <c r="R1394" s="6" t="n">
        <v>850</v>
      </c>
      <c r="S1394" s="4" t="n">
        <v>0</v>
      </c>
      <c r="T1394" s="1" t="inlineStr">
        <is>
          <t>active</t>
        </is>
      </c>
      <c r="U1394" s="8" t="n"/>
      <c r="V1394" s="1" t="inlineStr">
        <is>
          <t>SIN PRECIO</t>
        </is>
      </c>
    </row>
    <row r="1395">
      <c r="A1395" s="1" t="inlineStr">
        <is>
          <t>66176e609b95a</t>
        </is>
      </c>
      <c r="B1395" s="1" t="inlineStr">
        <is>
          <t>ANILLO CLASH GOLD</t>
        </is>
      </c>
      <c r="C1395" s="1" t="inlineStr">
        <is>
          <t>8</t>
        </is>
      </c>
      <c r="D1395" s="1" t="inlineStr">
        <is>
          <t>HAIFENG</t>
        </is>
      </c>
      <c r="E1395" s="4">
        <f>COUNTIF('DETALLE CRONOLÓGICO'!$A$2:$A$4919,$A1395)</f>
        <v/>
      </c>
      <c r="F1395" s="4">
        <f>SUMIFS('DETALLE CRONOLÓGICO'!$I$2:$I$4919,'DETALLE CRONOLÓGICO'!$A$2:$A$4919,$A1395)</f>
        <v/>
      </c>
      <c r="G1395" s="1">
        <f>INDEX('DETALLE CRONOLÓGICO'!$D$2:$D$4919,MATCH($A1395,'DETALLE CRONOLÓGICO'!$A$2:$A$4919,0))</f>
        <v/>
      </c>
      <c r="H1395" s="1">
        <f>INDEX('DETALLE CRONOLÓGICO'!$D$2:$D$4919,MATCH($A1395,'DETALLE CRONOLÓGICO'!$A$2:$A$4919,0)+$E1395-1)</f>
        <v/>
      </c>
      <c r="I1395" s="5">
        <f>IFERROR(SUMIFS('DETALLE CRONOLÓGICO'!$L$2:$L$4919,'DETALLE CRONOLÓGICO'!$A$2:$A$4919,$A1395)/$F1395,"")</f>
        <v/>
      </c>
      <c r="J1395" s="6">
        <f>IFERROR(SUMIFS('DETALLE CRONOLÓGICO'!$K$2:$K$4919,'DETALLE CRONOLÓGICO'!$A$2:$A$4919,$A1395)/$E1395,"")</f>
        <v/>
      </c>
      <c r="K1395" s="6">
        <f>_xlfn.MINIFS('DETALLE CRONOLÓGICO'!$K$2:$K$4919,'DETALLE CRONOLÓGICO'!$A$2:$A$4919,$A1395)</f>
        <v/>
      </c>
      <c r="L1395" s="6">
        <f>_xlfn.MAXIFS('DETALLE CRONOLÓGICO'!$K$2:$K$4919,'DETALLE CRONOLÓGICO'!$A$2:$A$4919,$A1395)</f>
        <v/>
      </c>
      <c r="M1395" s="6">
        <f>INDEX('DETALLE CRONOLÓGICO'!$K$2:$K$4919,MATCH($A1395,'DETALLE CRONOLÓGICO'!$A$2:$A$4919,0)+$E1395-1)</f>
        <v/>
      </c>
      <c r="N1395" s="7">
        <f>IFERROR($M1395/INDEX('DETALLE CRONOLÓGICO'!$K$2:$K$4919,MATCH($A1395,'DETALLE CRONOLÓGICO'!$A$2:$A$4919,0))-1,"")</f>
        <v/>
      </c>
      <c r="O1395" s="6">
        <f>IFERROR($I1395*3,"")</f>
        <v/>
      </c>
      <c r="P1395" s="6">
        <f>IFERROR($I1395*3.5,"")</f>
        <v/>
      </c>
      <c r="Q1395" s="6">
        <f>IFERROR($I1395*4,"")</f>
        <v/>
      </c>
      <c r="R1395" s="6" t="n">
        <v>850</v>
      </c>
      <c r="S1395" s="4" t="n">
        <v>1</v>
      </c>
      <c r="T1395" s="1" t="inlineStr">
        <is>
          <t>active</t>
        </is>
      </c>
      <c r="U1395" s="8" t="n"/>
      <c r="V1395" s="1" t="inlineStr">
        <is>
          <t>SIN PRECIO</t>
        </is>
      </c>
    </row>
    <row r="1396">
      <c r="A1396" s="1" t="inlineStr">
        <is>
          <t>66176e60bbec9</t>
        </is>
      </c>
      <c r="B1396" s="1" t="inlineStr">
        <is>
          <t>ANILLO CLASH ROSEGOLD</t>
        </is>
      </c>
      <c r="C1396" s="1" t="inlineStr">
        <is>
          <t>8</t>
        </is>
      </c>
      <c r="D1396" s="1" t="inlineStr">
        <is>
          <t>HAIFENG</t>
        </is>
      </c>
      <c r="E1396" s="4">
        <f>COUNTIF('DETALLE CRONOLÓGICO'!$A$2:$A$4919,$A1396)</f>
        <v/>
      </c>
      <c r="F1396" s="4">
        <f>SUMIFS('DETALLE CRONOLÓGICO'!$I$2:$I$4919,'DETALLE CRONOLÓGICO'!$A$2:$A$4919,$A1396)</f>
        <v/>
      </c>
      <c r="G1396" s="1">
        <f>INDEX('DETALLE CRONOLÓGICO'!$D$2:$D$4919,MATCH($A1396,'DETALLE CRONOLÓGICO'!$A$2:$A$4919,0))</f>
        <v/>
      </c>
      <c r="H1396" s="1">
        <f>INDEX('DETALLE CRONOLÓGICO'!$D$2:$D$4919,MATCH($A1396,'DETALLE CRONOLÓGICO'!$A$2:$A$4919,0)+$E1396-1)</f>
        <v/>
      </c>
      <c r="I1396" s="5">
        <f>IFERROR(SUMIFS('DETALLE CRONOLÓGICO'!$L$2:$L$4919,'DETALLE CRONOLÓGICO'!$A$2:$A$4919,$A1396)/$F1396,"")</f>
        <v/>
      </c>
      <c r="J1396" s="6">
        <f>IFERROR(SUMIFS('DETALLE CRONOLÓGICO'!$K$2:$K$4919,'DETALLE CRONOLÓGICO'!$A$2:$A$4919,$A1396)/$E1396,"")</f>
        <v/>
      </c>
      <c r="K1396" s="6">
        <f>_xlfn.MINIFS('DETALLE CRONOLÓGICO'!$K$2:$K$4919,'DETALLE CRONOLÓGICO'!$A$2:$A$4919,$A1396)</f>
        <v/>
      </c>
      <c r="L1396" s="6">
        <f>_xlfn.MAXIFS('DETALLE CRONOLÓGICO'!$K$2:$K$4919,'DETALLE CRONOLÓGICO'!$A$2:$A$4919,$A1396)</f>
        <v/>
      </c>
      <c r="M1396" s="6">
        <f>INDEX('DETALLE CRONOLÓGICO'!$K$2:$K$4919,MATCH($A1396,'DETALLE CRONOLÓGICO'!$A$2:$A$4919,0)+$E1396-1)</f>
        <v/>
      </c>
      <c r="N1396" s="7">
        <f>IFERROR($M1396/INDEX('DETALLE CRONOLÓGICO'!$K$2:$K$4919,MATCH($A1396,'DETALLE CRONOLÓGICO'!$A$2:$A$4919,0))-1,"")</f>
        <v/>
      </c>
      <c r="O1396" s="6">
        <f>IFERROR($I1396*3,"")</f>
        <v/>
      </c>
      <c r="P1396" s="6">
        <f>IFERROR($I1396*3.5,"")</f>
        <v/>
      </c>
      <c r="Q1396" s="6">
        <f>IFERROR($I1396*4,"")</f>
        <v/>
      </c>
      <c r="R1396" s="6" t="n">
        <v>850</v>
      </c>
      <c r="S1396" s="4" t="n">
        <v>2</v>
      </c>
      <c r="T1396" s="1" t="inlineStr">
        <is>
          <t>active</t>
        </is>
      </c>
      <c r="U1396" s="8" t="n"/>
      <c r="V1396" s="1" t="inlineStr">
        <is>
          <t>SIN PRECIO</t>
        </is>
      </c>
    </row>
    <row r="1397">
      <c r="A1397" s="1" t="inlineStr">
        <is>
          <t>66176e6140134</t>
        </is>
      </c>
      <c r="B1397" s="1" t="inlineStr">
        <is>
          <t>ANILLO CLASH GOLD</t>
        </is>
      </c>
      <c r="C1397" s="1" t="inlineStr">
        <is>
          <t>9</t>
        </is>
      </c>
      <c r="D1397" s="1" t="inlineStr">
        <is>
          <t>HAIFENG</t>
        </is>
      </c>
      <c r="E1397" s="4">
        <f>COUNTIF('DETALLE CRONOLÓGICO'!$A$2:$A$4919,$A1397)</f>
        <v/>
      </c>
      <c r="F1397" s="4">
        <f>SUMIFS('DETALLE CRONOLÓGICO'!$I$2:$I$4919,'DETALLE CRONOLÓGICO'!$A$2:$A$4919,$A1397)</f>
        <v/>
      </c>
      <c r="G1397" s="1">
        <f>INDEX('DETALLE CRONOLÓGICO'!$D$2:$D$4919,MATCH($A1397,'DETALLE CRONOLÓGICO'!$A$2:$A$4919,0))</f>
        <v/>
      </c>
      <c r="H1397" s="1">
        <f>INDEX('DETALLE CRONOLÓGICO'!$D$2:$D$4919,MATCH($A1397,'DETALLE CRONOLÓGICO'!$A$2:$A$4919,0)+$E1397-1)</f>
        <v/>
      </c>
      <c r="I1397" s="5">
        <f>IFERROR(SUMIFS('DETALLE CRONOLÓGICO'!$L$2:$L$4919,'DETALLE CRONOLÓGICO'!$A$2:$A$4919,$A1397)/$F1397,"")</f>
        <v/>
      </c>
      <c r="J1397" s="6">
        <f>IFERROR(SUMIFS('DETALLE CRONOLÓGICO'!$K$2:$K$4919,'DETALLE CRONOLÓGICO'!$A$2:$A$4919,$A1397)/$E1397,"")</f>
        <v/>
      </c>
      <c r="K1397" s="6">
        <f>_xlfn.MINIFS('DETALLE CRONOLÓGICO'!$K$2:$K$4919,'DETALLE CRONOLÓGICO'!$A$2:$A$4919,$A1397)</f>
        <v/>
      </c>
      <c r="L1397" s="6">
        <f>_xlfn.MAXIFS('DETALLE CRONOLÓGICO'!$K$2:$K$4919,'DETALLE CRONOLÓGICO'!$A$2:$A$4919,$A1397)</f>
        <v/>
      </c>
      <c r="M1397" s="6">
        <f>INDEX('DETALLE CRONOLÓGICO'!$K$2:$K$4919,MATCH($A1397,'DETALLE CRONOLÓGICO'!$A$2:$A$4919,0)+$E1397-1)</f>
        <v/>
      </c>
      <c r="N1397" s="7">
        <f>IFERROR($M1397/INDEX('DETALLE CRONOLÓGICO'!$K$2:$K$4919,MATCH($A1397,'DETALLE CRONOLÓGICO'!$A$2:$A$4919,0))-1,"")</f>
        <v/>
      </c>
      <c r="O1397" s="6">
        <f>IFERROR($I1397*3,"")</f>
        <v/>
      </c>
      <c r="P1397" s="6">
        <f>IFERROR($I1397*3.5,"")</f>
        <v/>
      </c>
      <c r="Q1397" s="6">
        <f>IFERROR($I1397*4,"")</f>
        <v/>
      </c>
      <c r="R1397" s="6" t="n">
        <v>850</v>
      </c>
      <c r="S1397" s="4" t="n">
        <v>5</v>
      </c>
      <c r="T1397" s="1" t="inlineStr">
        <is>
          <t>active</t>
        </is>
      </c>
      <c r="U1397" s="8" t="n"/>
      <c r="V1397" s="1" t="inlineStr">
        <is>
          <t>SIN PRECIO</t>
        </is>
      </c>
    </row>
    <row r="1398">
      <c r="A1398" s="1" t="inlineStr">
        <is>
          <t>66176e616caf6</t>
        </is>
      </c>
      <c r="B1398" s="1" t="inlineStr">
        <is>
          <t>ANILLO CLASH ROSEGOLD</t>
        </is>
      </c>
      <c r="C1398" s="1" t="inlineStr">
        <is>
          <t>9</t>
        </is>
      </c>
      <c r="D1398" s="1" t="inlineStr">
        <is>
          <t>HAIFENG</t>
        </is>
      </c>
      <c r="E1398" s="4">
        <f>COUNTIF('DETALLE CRONOLÓGICO'!$A$2:$A$4919,$A1398)</f>
        <v/>
      </c>
      <c r="F1398" s="4">
        <f>SUMIFS('DETALLE CRONOLÓGICO'!$I$2:$I$4919,'DETALLE CRONOLÓGICO'!$A$2:$A$4919,$A1398)</f>
        <v/>
      </c>
      <c r="G1398" s="1">
        <f>INDEX('DETALLE CRONOLÓGICO'!$D$2:$D$4919,MATCH($A1398,'DETALLE CRONOLÓGICO'!$A$2:$A$4919,0))</f>
        <v/>
      </c>
      <c r="H1398" s="1">
        <f>INDEX('DETALLE CRONOLÓGICO'!$D$2:$D$4919,MATCH($A1398,'DETALLE CRONOLÓGICO'!$A$2:$A$4919,0)+$E1398-1)</f>
        <v/>
      </c>
      <c r="I1398" s="5">
        <f>IFERROR(SUMIFS('DETALLE CRONOLÓGICO'!$L$2:$L$4919,'DETALLE CRONOLÓGICO'!$A$2:$A$4919,$A1398)/$F1398,"")</f>
        <v/>
      </c>
      <c r="J1398" s="6">
        <f>IFERROR(SUMIFS('DETALLE CRONOLÓGICO'!$K$2:$K$4919,'DETALLE CRONOLÓGICO'!$A$2:$A$4919,$A1398)/$E1398,"")</f>
        <v/>
      </c>
      <c r="K1398" s="6">
        <f>_xlfn.MINIFS('DETALLE CRONOLÓGICO'!$K$2:$K$4919,'DETALLE CRONOLÓGICO'!$A$2:$A$4919,$A1398)</f>
        <v/>
      </c>
      <c r="L1398" s="6">
        <f>_xlfn.MAXIFS('DETALLE CRONOLÓGICO'!$K$2:$K$4919,'DETALLE CRONOLÓGICO'!$A$2:$A$4919,$A1398)</f>
        <v/>
      </c>
      <c r="M1398" s="6">
        <f>INDEX('DETALLE CRONOLÓGICO'!$K$2:$K$4919,MATCH($A1398,'DETALLE CRONOLÓGICO'!$A$2:$A$4919,0)+$E1398-1)</f>
        <v/>
      </c>
      <c r="N1398" s="7">
        <f>IFERROR($M1398/INDEX('DETALLE CRONOLÓGICO'!$K$2:$K$4919,MATCH($A1398,'DETALLE CRONOLÓGICO'!$A$2:$A$4919,0))-1,"")</f>
        <v/>
      </c>
      <c r="O1398" s="6">
        <f>IFERROR($I1398*3,"")</f>
        <v/>
      </c>
      <c r="P1398" s="6">
        <f>IFERROR($I1398*3.5,"")</f>
        <v/>
      </c>
      <c r="Q1398" s="6">
        <f>IFERROR($I1398*4,"")</f>
        <v/>
      </c>
      <c r="R1398" s="6" t="n">
        <v>850</v>
      </c>
      <c r="S1398" s="4" t="n">
        <v>2</v>
      </c>
      <c r="T1398" s="1" t="inlineStr">
        <is>
          <t>active</t>
        </is>
      </c>
      <c r="U1398" s="8" t="n"/>
      <c r="V1398" s="1" t="inlineStr">
        <is>
          <t>SIN PRECIO</t>
        </is>
      </c>
    </row>
    <row r="1399">
      <c r="A1399" s="1" t="inlineStr">
        <is>
          <t>66176e62063fb</t>
        </is>
      </c>
      <c r="B1399" s="1" t="inlineStr">
        <is>
          <t>ANILLO CLASH GOLD</t>
        </is>
      </c>
      <c r="C1399" s="1" t="inlineStr">
        <is>
          <t>10</t>
        </is>
      </c>
      <c r="D1399" s="1" t="inlineStr">
        <is>
          <t>HAIFENG</t>
        </is>
      </c>
      <c r="E1399" s="4">
        <f>COUNTIF('DETALLE CRONOLÓGICO'!$A$2:$A$4919,$A1399)</f>
        <v/>
      </c>
      <c r="F1399" s="4">
        <f>SUMIFS('DETALLE CRONOLÓGICO'!$I$2:$I$4919,'DETALLE CRONOLÓGICO'!$A$2:$A$4919,$A1399)</f>
        <v/>
      </c>
      <c r="G1399" s="1">
        <f>INDEX('DETALLE CRONOLÓGICO'!$D$2:$D$4919,MATCH($A1399,'DETALLE CRONOLÓGICO'!$A$2:$A$4919,0))</f>
        <v/>
      </c>
      <c r="H1399" s="1">
        <f>INDEX('DETALLE CRONOLÓGICO'!$D$2:$D$4919,MATCH($A1399,'DETALLE CRONOLÓGICO'!$A$2:$A$4919,0)+$E1399-1)</f>
        <v/>
      </c>
      <c r="I1399" s="5">
        <f>IFERROR(SUMIFS('DETALLE CRONOLÓGICO'!$L$2:$L$4919,'DETALLE CRONOLÓGICO'!$A$2:$A$4919,$A1399)/$F1399,"")</f>
        <v/>
      </c>
      <c r="J1399" s="6">
        <f>IFERROR(SUMIFS('DETALLE CRONOLÓGICO'!$K$2:$K$4919,'DETALLE CRONOLÓGICO'!$A$2:$A$4919,$A1399)/$E1399,"")</f>
        <v/>
      </c>
      <c r="K1399" s="6">
        <f>_xlfn.MINIFS('DETALLE CRONOLÓGICO'!$K$2:$K$4919,'DETALLE CRONOLÓGICO'!$A$2:$A$4919,$A1399)</f>
        <v/>
      </c>
      <c r="L1399" s="6">
        <f>_xlfn.MAXIFS('DETALLE CRONOLÓGICO'!$K$2:$K$4919,'DETALLE CRONOLÓGICO'!$A$2:$A$4919,$A1399)</f>
        <v/>
      </c>
      <c r="M1399" s="6">
        <f>INDEX('DETALLE CRONOLÓGICO'!$K$2:$K$4919,MATCH($A1399,'DETALLE CRONOLÓGICO'!$A$2:$A$4919,0)+$E1399-1)</f>
        <v/>
      </c>
      <c r="N1399" s="7">
        <f>IFERROR($M1399/INDEX('DETALLE CRONOLÓGICO'!$K$2:$K$4919,MATCH($A1399,'DETALLE CRONOLÓGICO'!$A$2:$A$4919,0))-1,"")</f>
        <v/>
      </c>
      <c r="O1399" s="6">
        <f>IFERROR($I1399*3,"")</f>
        <v/>
      </c>
      <c r="P1399" s="6">
        <f>IFERROR($I1399*3.5,"")</f>
        <v/>
      </c>
      <c r="Q1399" s="6">
        <f>IFERROR($I1399*4,"")</f>
        <v/>
      </c>
      <c r="R1399" s="6" t="n">
        <v>850</v>
      </c>
      <c r="S1399" s="4" t="n">
        <v>2</v>
      </c>
      <c r="T1399" s="1" t="inlineStr">
        <is>
          <t>active</t>
        </is>
      </c>
      <c r="U1399" s="8" t="n"/>
      <c r="V1399" s="1" t="inlineStr">
        <is>
          <t>SIN PRECIO</t>
        </is>
      </c>
    </row>
    <row r="1400">
      <c r="A1400" s="1" t="inlineStr">
        <is>
          <t>66176e62285d1</t>
        </is>
      </c>
      <c r="B1400" s="1" t="inlineStr">
        <is>
          <t>ANILLO CLASH ROSEGOLD</t>
        </is>
      </c>
      <c r="C1400" s="1" t="inlineStr">
        <is>
          <t>10</t>
        </is>
      </c>
      <c r="D1400" s="1" t="inlineStr">
        <is>
          <t>HAIFENG</t>
        </is>
      </c>
      <c r="E1400" s="4">
        <f>COUNTIF('DETALLE CRONOLÓGICO'!$A$2:$A$4919,$A1400)</f>
        <v/>
      </c>
      <c r="F1400" s="4">
        <f>SUMIFS('DETALLE CRONOLÓGICO'!$I$2:$I$4919,'DETALLE CRONOLÓGICO'!$A$2:$A$4919,$A1400)</f>
        <v/>
      </c>
      <c r="G1400" s="1">
        <f>INDEX('DETALLE CRONOLÓGICO'!$D$2:$D$4919,MATCH($A1400,'DETALLE CRONOLÓGICO'!$A$2:$A$4919,0))</f>
        <v/>
      </c>
      <c r="H1400" s="1">
        <f>INDEX('DETALLE CRONOLÓGICO'!$D$2:$D$4919,MATCH($A1400,'DETALLE CRONOLÓGICO'!$A$2:$A$4919,0)+$E1400-1)</f>
        <v/>
      </c>
      <c r="I1400" s="5">
        <f>IFERROR(SUMIFS('DETALLE CRONOLÓGICO'!$L$2:$L$4919,'DETALLE CRONOLÓGICO'!$A$2:$A$4919,$A1400)/$F1400,"")</f>
        <v/>
      </c>
      <c r="J1400" s="6">
        <f>IFERROR(SUMIFS('DETALLE CRONOLÓGICO'!$K$2:$K$4919,'DETALLE CRONOLÓGICO'!$A$2:$A$4919,$A1400)/$E1400,"")</f>
        <v/>
      </c>
      <c r="K1400" s="6">
        <f>_xlfn.MINIFS('DETALLE CRONOLÓGICO'!$K$2:$K$4919,'DETALLE CRONOLÓGICO'!$A$2:$A$4919,$A1400)</f>
        <v/>
      </c>
      <c r="L1400" s="6">
        <f>_xlfn.MAXIFS('DETALLE CRONOLÓGICO'!$K$2:$K$4919,'DETALLE CRONOLÓGICO'!$A$2:$A$4919,$A1400)</f>
        <v/>
      </c>
      <c r="M1400" s="6">
        <f>INDEX('DETALLE CRONOLÓGICO'!$K$2:$K$4919,MATCH($A1400,'DETALLE CRONOLÓGICO'!$A$2:$A$4919,0)+$E1400-1)</f>
        <v/>
      </c>
      <c r="N1400" s="7">
        <f>IFERROR($M1400/INDEX('DETALLE CRONOLÓGICO'!$K$2:$K$4919,MATCH($A1400,'DETALLE CRONOLÓGICO'!$A$2:$A$4919,0))-1,"")</f>
        <v/>
      </c>
      <c r="O1400" s="6">
        <f>IFERROR($I1400*3,"")</f>
        <v/>
      </c>
      <c r="P1400" s="6">
        <f>IFERROR($I1400*3.5,"")</f>
        <v/>
      </c>
      <c r="Q1400" s="6">
        <f>IFERROR($I1400*4,"")</f>
        <v/>
      </c>
      <c r="R1400" s="6" t="n">
        <v>850</v>
      </c>
      <c r="S1400" s="4" t="n">
        <v>3</v>
      </c>
      <c r="T1400" s="1" t="inlineStr">
        <is>
          <t>active</t>
        </is>
      </c>
      <c r="U1400" s="8" t="n"/>
      <c r="V1400" s="1" t="inlineStr">
        <is>
          <t>SIN PRECIO</t>
        </is>
      </c>
    </row>
    <row r="1401">
      <c r="A1401" s="1" t="inlineStr">
        <is>
          <t>66176e628d423</t>
        </is>
      </c>
      <c r="B1401" s="1" t="inlineStr">
        <is>
          <t>ANILLO CLASH GOLD</t>
        </is>
      </c>
      <c r="C1401" s="1" t="inlineStr">
        <is>
          <t>11</t>
        </is>
      </c>
      <c r="D1401" s="1" t="inlineStr">
        <is>
          <t>HAIFENG</t>
        </is>
      </c>
      <c r="E1401" s="4">
        <f>COUNTIF('DETALLE CRONOLÓGICO'!$A$2:$A$4919,$A1401)</f>
        <v/>
      </c>
      <c r="F1401" s="4">
        <f>SUMIFS('DETALLE CRONOLÓGICO'!$I$2:$I$4919,'DETALLE CRONOLÓGICO'!$A$2:$A$4919,$A1401)</f>
        <v/>
      </c>
      <c r="G1401" s="1">
        <f>INDEX('DETALLE CRONOLÓGICO'!$D$2:$D$4919,MATCH($A1401,'DETALLE CRONOLÓGICO'!$A$2:$A$4919,0))</f>
        <v/>
      </c>
      <c r="H1401" s="1">
        <f>INDEX('DETALLE CRONOLÓGICO'!$D$2:$D$4919,MATCH($A1401,'DETALLE CRONOLÓGICO'!$A$2:$A$4919,0)+$E1401-1)</f>
        <v/>
      </c>
      <c r="I1401" s="5">
        <f>IFERROR(SUMIFS('DETALLE CRONOLÓGICO'!$L$2:$L$4919,'DETALLE CRONOLÓGICO'!$A$2:$A$4919,$A1401)/$F1401,"")</f>
        <v/>
      </c>
      <c r="J1401" s="6">
        <f>IFERROR(SUMIFS('DETALLE CRONOLÓGICO'!$K$2:$K$4919,'DETALLE CRONOLÓGICO'!$A$2:$A$4919,$A1401)/$E1401,"")</f>
        <v/>
      </c>
      <c r="K1401" s="6">
        <f>_xlfn.MINIFS('DETALLE CRONOLÓGICO'!$K$2:$K$4919,'DETALLE CRONOLÓGICO'!$A$2:$A$4919,$A1401)</f>
        <v/>
      </c>
      <c r="L1401" s="6">
        <f>_xlfn.MAXIFS('DETALLE CRONOLÓGICO'!$K$2:$K$4919,'DETALLE CRONOLÓGICO'!$A$2:$A$4919,$A1401)</f>
        <v/>
      </c>
      <c r="M1401" s="6">
        <f>INDEX('DETALLE CRONOLÓGICO'!$K$2:$K$4919,MATCH($A1401,'DETALLE CRONOLÓGICO'!$A$2:$A$4919,0)+$E1401-1)</f>
        <v/>
      </c>
      <c r="N1401" s="7">
        <f>IFERROR($M1401/INDEX('DETALLE CRONOLÓGICO'!$K$2:$K$4919,MATCH($A1401,'DETALLE CRONOLÓGICO'!$A$2:$A$4919,0))-1,"")</f>
        <v/>
      </c>
      <c r="O1401" s="6">
        <f>IFERROR($I1401*3,"")</f>
        <v/>
      </c>
      <c r="P1401" s="6">
        <f>IFERROR($I1401*3.5,"")</f>
        <v/>
      </c>
      <c r="Q1401" s="6">
        <f>IFERROR($I1401*4,"")</f>
        <v/>
      </c>
      <c r="R1401" s="6" t="n">
        <v>850</v>
      </c>
      <c r="S1401" s="4" t="n">
        <v>2</v>
      </c>
      <c r="T1401" s="1" t="inlineStr">
        <is>
          <t>active</t>
        </is>
      </c>
      <c r="U1401" s="8" t="n"/>
      <c r="V1401" s="1" t="inlineStr">
        <is>
          <t>SIN PRECIO</t>
        </is>
      </c>
    </row>
    <row r="1402">
      <c r="A1402" s="1" t="inlineStr">
        <is>
          <t>66177006d3573</t>
        </is>
      </c>
      <c r="B1402" s="1" t="inlineStr">
        <is>
          <t>PULSERA LOVE GOLD</t>
        </is>
      </c>
      <c r="C1402" s="1" t="inlineStr">
        <is>
          <t>16 CM</t>
        </is>
      </c>
      <c r="D1402" s="1" t="inlineStr">
        <is>
          <t>HAIFENG</t>
        </is>
      </c>
      <c r="E1402" s="4">
        <f>COUNTIF('DETALLE CRONOLÓGICO'!$A$2:$A$4919,$A1402)</f>
        <v/>
      </c>
      <c r="F1402" s="4">
        <f>SUMIFS('DETALLE CRONOLÓGICO'!$I$2:$I$4919,'DETALLE CRONOLÓGICO'!$A$2:$A$4919,$A1402)</f>
        <v/>
      </c>
      <c r="G1402" s="1">
        <f>INDEX('DETALLE CRONOLÓGICO'!$D$2:$D$4919,MATCH($A1402,'DETALLE CRONOLÓGICO'!$A$2:$A$4919,0))</f>
        <v/>
      </c>
      <c r="H1402" s="1">
        <f>INDEX('DETALLE CRONOLÓGICO'!$D$2:$D$4919,MATCH($A1402,'DETALLE CRONOLÓGICO'!$A$2:$A$4919,0)+$E1402-1)</f>
        <v/>
      </c>
      <c r="I1402" s="5">
        <f>IFERROR(SUMIFS('DETALLE CRONOLÓGICO'!$L$2:$L$4919,'DETALLE CRONOLÓGICO'!$A$2:$A$4919,$A1402)/$F1402,"")</f>
        <v/>
      </c>
      <c r="J1402" s="6">
        <f>IFERROR(SUMIFS('DETALLE CRONOLÓGICO'!$K$2:$K$4919,'DETALLE CRONOLÓGICO'!$A$2:$A$4919,$A1402)/$E1402,"")</f>
        <v/>
      </c>
      <c r="K1402" s="6">
        <f>_xlfn.MINIFS('DETALLE CRONOLÓGICO'!$K$2:$K$4919,'DETALLE CRONOLÓGICO'!$A$2:$A$4919,$A1402)</f>
        <v/>
      </c>
      <c r="L1402" s="6">
        <f>_xlfn.MAXIFS('DETALLE CRONOLÓGICO'!$K$2:$K$4919,'DETALLE CRONOLÓGICO'!$A$2:$A$4919,$A1402)</f>
        <v/>
      </c>
      <c r="M1402" s="6">
        <f>INDEX('DETALLE CRONOLÓGICO'!$K$2:$K$4919,MATCH($A1402,'DETALLE CRONOLÓGICO'!$A$2:$A$4919,0)+$E1402-1)</f>
        <v/>
      </c>
      <c r="N1402" s="7">
        <f>IFERROR($M1402/INDEX('DETALLE CRONOLÓGICO'!$K$2:$K$4919,MATCH($A1402,'DETALLE CRONOLÓGICO'!$A$2:$A$4919,0))-1,"")</f>
        <v/>
      </c>
      <c r="O1402" s="6">
        <f>IFERROR($I1402*3,"")</f>
        <v/>
      </c>
      <c r="P1402" s="6">
        <f>IFERROR($I1402*3.5,"")</f>
        <v/>
      </c>
      <c r="Q1402" s="6">
        <f>IFERROR($I1402*4,"")</f>
        <v/>
      </c>
      <c r="R1402" s="6" t="n">
        <v>499</v>
      </c>
      <c r="S1402" s="4" t="n">
        <v>17</v>
      </c>
      <c r="T1402" s="1" t="inlineStr">
        <is>
          <t>active</t>
        </is>
      </c>
      <c r="U1402" s="8" t="n"/>
      <c r="V1402" s="1" t="inlineStr">
        <is>
          <t>SIN PRECIO</t>
        </is>
      </c>
    </row>
    <row r="1403">
      <c r="A1403" s="1" t="inlineStr">
        <is>
          <t>66177007689da</t>
        </is>
      </c>
      <c r="B1403" s="1" t="inlineStr">
        <is>
          <t>PULSERA LOVE GOLD</t>
        </is>
      </c>
      <c r="C1403" s="1" t="inlineStr">
        <is>
          <t>17 CM</t>
        </is>
      </c>
      <c r="D1403" s="1" t="inlineStr">
        <is>
          <t>HAIFENG</t>
        </is>
      </c>
      <c r="E1403" s="4">
        <f>COUNTIF('DETALLE CRONOLÓGICO'!$A$2:$A$4919,$A1403)</f>
        <v/>
      </c>
      <c r="F1403" s="4">
        <f>SUMIFS('DETALLE CRONOLÓGICO'!$I$2:$I$4919,'DETALLE CRONOLÓGICO'!$A$2:$A$4919,$A1403)</f>
        <v/>
      </c>
      <c r="G1403" s="1">
        <f>INDEX('DETALLE CRONOLÓGICO'!$D$2:$D$4919,MATCH($A1403,'DETALLE CRONOLÓGICO'!$A$2:$A$4919,0))</f>
        <v/>
      </c>
      <c r="H1403" s="1">
        <f>INDEX('DETALLE CRONOLÓGICO'!$D$2:$D$4919,MATCH($A1403,'DETALLE CRONOLÓGICO'!$A$2:$A$4919,0)+$E1403-1)</f>
        <v/>
      </c>
      <c r="I1403" s="5">
        <f>IFERROR(SUMIFS('DETALLE CRONOLÓGICO'!$L$2:$L$4919,'DETALLE CRONOLÓGICO'!$A$2:$A$4919,$A1403)/$F1403,"")</f>
        <v/>
      </c>
      <c r="J1403" s="6">
        <f>IFERROR(SUMIFS('DETALLE CRONOLÓGICO'!$K$2:$K$4919,'DETALLE CRONOLÓGICO'!$A$2:$A$4919,$A1403)/$E1403,"")</f>
        <v/>
      </c>
      <c r="K1403" s="6">
        <f>_xlfn.MINIFS('DETALLE CRONOLÓGICO'!$K$2:$K$4919,'DETALLE CRONOLÓGICO'!$A$2:$A$4919,$A1403)</f>
        <v/>
      </c>
      <c r="L1403" s="6">
        <f>_xlfn.MAXIFS('DETALLE CRONOLÓGICO'!$K$2:$K$4919,'DETALLE CRONOLÓGICO'!$A$2:$A$4919,$A1403)</f>
        <v/>
      </c>
      <c r="M1403" s="6">
        <f>INDEX('DETALLE CRONOLÓGICO'!$K$2:$K$4919,MATCH($A1403,'DETALLE CRONOLÓGICO'!$A$2:$A$4919,0)+$E1403-1)</f>
        <v/>
      </c>
      <c r="N1403" s="7">
        <f>IFERROR($M1403/INDEX('DETALLE CRONOLÓGICO'!$K$2:$K$4919,MATCH($A1403,'DETALLE CRONOLÓGICO'!$A$2:$A$4919,0))-1,"")</f>
        <v/>
      </c>
      <c r="O1403" s="6">
        <f>IFERROR($I1403*3,"")</f>
        <v/>
      </c>
      <c r="P1403" s="6">
        <f>IFERROR($I1403*3.5,"")</f>
        <v/>
      </c>
      <c r="Q1403" s="6">
        <f>IFERROR($I1403*4,"")</f>
        <v/>
      </c>
      <c r="R1403" s="6" t="n">
        <v>499</v>
      </c>
      <c r="S1403" s="4" t="n">
        <v>33</v>
      </c>
      <c r="T1403" s="1" t="inlineStr">
        <is>
          <t>active</t>
        </is>
      </c>
      <c r="U1403" s="8" t="n"/>
      <c r="V1403" s="1" t="inlineStr">
        <is>
          <t>SIN PRECIO</t>
        </is>
      </c>
    </row>
    <row r="1404">
      <c r="A1404" s="1" t="inlineStr">
        <is>
          <t>66177008100f3</t>
        </is>
      </c>
      <c r="B1404" s="1" t="inlineStr">
        <is>
          <t>PULSERA LOVE GOLD</t>
        </is>
      </c>
      <c r="C1404" s="1" t="inlineStr">
        <is>
          <t>18 CM</t>
        </is>
      </c>
      <c r="D1404" s="1" t="inlineStr">
        <is>
          <t>HAIFENG</t>
        </is>
      </c>
      <c r="E1404" s="4">
        <f>COUNTIF('DETALLE CRONOLÓGICO'!$A$2:$A$4919,$A1404)</f>
        <v/>
      </c>
      <c r="F1404" s="4">
        <f>SUMIFS('DETALLE CRONOLÓGICO'!$I$2:$I$4919,'DETALLE CRONOLÓGICO'!$A$2:$A$4919,$A1404)</f>
        <v/>
      </c>
      <c r="G1404" s="1">
        <f>INDEX('DETALLE CRONOLÓGICO'!$D$2:$D$4919,MATCH($A1404,'DETALLE CRONOLÓGICO'!$A$2:$A$4919,0))</f>
        <v/>
      </c>
      <c r="H1404" s="1">
        <f>INDEX('DETALLE CRONOLÓGICO'!$D$2:$D$4919,MATCH($A1404,'DETALLE CRONOLÓGICO'!$A$2:$A$4919,0)+$E1404-1)</f>
        <v/>
      </c>
      <c r="I1404" s="5">
        <f>IFERROR(SUMIFS('DETALLE CRONOLÓGICO'!$L$2:$L$4919,'DETALLE CRONOLÓGICO'!$A$2:$A$4919,$A1404)/$F1404,"")</f>
        <v/>
      </c>
      <c r="J1404" s="6">
        <f>IFERROR(SUMIFS('DETALLE CRONOLÓGICO'!$K$2:$K$4919,'DETALLE CRONOLÓGICO'!$A$2:$A$4919,$A1404)/$E1404,"")</f>
        <v/>
      </c>
      <c r="K1404" s="6">
        <f>_xlfn.MINIFS('DETALLE CRONOLÓGICO'!$K$2:$K$4919,'DETALLE CRONOLÓGICO'!$A$2:$A$4919,$A1404)</f>
        <v/>
      </c>
      <c r="L1404" s="6">
        <f>_xlfn.MAXIFS('DETALLE CRONOLÓGICO'!$K$2:$K$4919,'DETALLE CRONOLÓGICO'!$A$2:$A$4919,$A1404)</f>
        <v/>
      </c>
      <c r="M1404" s="6">
        <f>INDEX('DETALLE CRONOLÓGICO'!$K$2:$K$4919,MATCH($A1404,'DETALLE CRONOLÓGICO'!$A$2:$A$4919,0)+$E1404-1)</f>
        <v/>
      </c>
      <c r="N1404" s="7">
        <f>IFERROR($M1404/INDEX('DETALLE CRONOLÓGICO'!$K$2:$K$4919,MATCH($A1404,'DETALLE CRONOLÓGICO'!$A$2:$A$4919,0))-1,"")</f>
        <v/>
      </c>
      <c r="O1404" s="6">
        <f>IFERROR($I1404*3,"")</f>
        <v/>
      </c>
      <c r="P1404" s="6">
        <f>IFERROR($I1404*3.5,"")</f>
        <v/>
      </c>
      <c r="Q1404" s="6">
        <f>IFERROR($I1404*4,"")</f>
        <v/>
      </c>
      <c r="R1404" s="6" t="n">
        <v>499</v>
      </c>
      <c r="S1404" s="4" t="n">
        <v>0</v>
      </c>
      <c r="T1404" s="1" t="inlineStr">
        <is>
          <t>active</t>
        </is>
      </c>
      <c r="U1404" s="8" t="n"/>
      <c r="V1404" s="1" t="inlineStr">
        <is>
          <t>SIN PRECIO</t>
        </is>
      </c>
    </row>
    <row r="1405">
      <c r="A1405" s="1" t="inlineStr">
        <is>
          <t>66177008afe90</t>
        </is>
      </c>
      <c r="B1405" s="1" t="inlineStr">
        <is>
          <t>PULSERA LOVE GOLD</t>
        </is>
      </c>
      <c r="C1405" s="1" t="inlineStr">
        <is>
          <t>19 CM</t>
        </is>
      </c>
      <c r="D1405" s="1" t="inlineStr">
        <is>
          <t>HAIFENG</t>
        </is>
      </c>
      <c r="E1405" s="4">
        <f>COUNTIF('DETALLE CRONOLÓGICO'!$A$2:$A$4919,$A1405)</f>
        <v/>
      </c>
      <c r="F1405" s="4">
        <f>SUMIFS('DETALLE CRONOLÓGICO'!$I$2:$I$4919,'DETALLE CRONOLÓGICO'!$A$2:$A$4919,$A1405)</f>
        <v/>
      </c>
      <c r="G1405" s="1">
        <f>INDEX('DETALLE CRONOLÓGICO'!$D$2:$D$4919,MATCH($A1405,'DETALLE CRONOLÓGICO'!$A$2:$A$4919,0))</f>
        <v/>
      </c>
      <c r="H1405" s="1">
        <f>INDEX('DETALLE CRONOLÓGICO'!$D$2:$D$4919,MATCH($A1405,'DETALLE CRONOLÓGICO'!$A$2:$A$4919,0)+$E1405-1)</f>
        <v/>
      </c>
      <c r="I1405" s="5">
        <f>IFERROR(SUMIFS('DETALLE CRONOLÓGICO'!$L$2:$L$4919,'DETALLE CRONOLÓGICO'!$A$2:$A$4919,$A1405)/$F1405,"")</f>
        <v/>
      </c>
      <c r="J1405" s="6">
        <f>IFERROR(SUMIFS('DETALLE CRONOLÓGICO'!$K$2:$K$4919,'DETALLE CRONOLÓGICO'!$A$2:$A$4919,$A1405)/$E1405,"")</f>
        <v/>
      </c>
      <c r="K1405" s="6">
        <f>_xlfn.MINIFS('DETALLE CRONOLÓGICO'!$K$2:$K$4919,'DETALLE CRONOLÓGICO'!$A$2:$A$4919,$A1405)</f>
        <v/>
      </c>
      <c r="L1405" s="6">
        <f>_xlfn.MAXIFS('DETALLE CRONOLÓGICO'!$K$2:$K$4919,'DETALLE CRONOLÓGICO'!$A$2:$A$4919,$A1405)</f>
        <v/>
      </c>
      <c r="M1405" s="6">
        <f>INDEX('DETALLE CRONOLÓGICO'!$K$2:$K$4919,MATCH($A1405,'DETALLE CRONOLÓGICO'!$A$2:$A$4919,0)+$E1405-1)</f>
        <v/>
      </c>
      <c r="N1405" s="7">
        <f>IFERROR($M1405/INDEX('DETALLE CRONOLÓGICO'!$K$2:$K$4919,MATCH($A1405,'DETALLE CRONOLÓGICO'!$A$2:$A$4919,0))-1,"")</f>
        <v/>
      </c>
      <c r="O1405" s="6">
        <f>IFERROR($I1405*3,"")</f>
        <v/>
      </c>
      <c r="P1405" s="6">
        <f>IFERROR($I1405*3.5,"")</f>
        <v/>
      </c>
      <c r="Q1405" s="6">
        <f>IFERROR($I1405*4,"")</f>
        <v/>
      </c>
      <c r="R1405" s="6" t="n">
        <v>499</v>
      </c>
      <c r="S1405" s="4" t="n">
        <v>8</v>
      </c>
      <c r="T1405" s="1" t="inlineStr">
        <is>
          <t>active</t>
        </is>
      </c>
      <c r="U1405" s="8" t="n"/>
      <c r="V1405" s="1" t="inlineStr">
        <is>
          <t>SIN PRECIO</t>
        </is>
      </c>
    </row>
    <row r="1406">
      <c r="A1406" s="1" t="inlineStr">
        <is>
          <t>66177009444c0</t>
        </is>
      </c>
      <c r="B1406" s="1" t="inlineStr">
        <is>
          <t>PULSERA LOVE GOLD</t>
        </is>
      </c>
      <c r="C1406" s="1" t="inlineStr">
        <is>
          <t>20 CM</t>
        </is>
      </c>
      <c r="D1406" s="1" t="inlineStr">
        <is>
          <t>HAIFENG</t>
        </is>
      </c>
      <c r="E1406" s="4">
        <f>COUNTIF('DETALLE CRONOLÓGICO'!$A$2:$A$4919,$A1406)</f>
        <v/>
      </c>
      <c r="F1406" s="4">
        <f>SUMIFS('DETALLE CRONOLÓGICO'!$I$2:$I$4919,'DETALLE CRONOLÓGICO'!$A$2:$A$4919,$A1406)</f>
        <v/>
      </c>
      <c r="G1406" s="1">
        <f>INDEX('DETALLE CRONOLÓGICO'!$D$2:$D$4919,MATCH($A1406,'DETALLE CRONOLÓGICO'!$A$2:$A$4919,0))</f>
        <v/>
      </c>
      <c r="H1406" s="1">
        <f>INDEX('DETALLE CRONOLÓGICO'!$D$2:$D$4919,MATCH($A1406,'DETALLE CRONOLÓGICO'!$A$2:$A$4919,0)+$E1406-1)</f>
        <v/>
      </c>
      <c r="I1406" s="5">
        <f>IFERROR(SUMIFS('DETALLE CRONOLÓGICO'!$L$2:$L$4919,'DETALLE CRONOLÓGICO'!$A$2:$A$4919,$A1406)/$F1406,"")</f>
        <v/>
      </c>
      <c r="J1406" s="6">
        <f>IFERROR(SUMIFS('DETALLE CRONOLÓGICO'!$K$2:$K$4919,'DETALLE CRONOLÓGICO'!$A$2:$A$4919,$A1406)/$E1406,"")</f>
        <v/>
      </c>
      <c r="K1406" s="6">
        <f>_xlfn.MINIFS('DETALLE CRONOLÓGICO'!$K$2:$K$4919,'DETALLE CRONOLÓGICO'!$A$2:$A$4919,$A1406)</f>
        <v/>
      </c>
      <c r="L1406" s="6">
        <f>_xlfn.MAXIFS('DETALLE CRONOLÓGICO'!$K$2:$K$4919,'DETALLE CRONOLÓGICO'!$A$2:$A$4919,$A1406)</f>
        <v/>
      </c>
      <c r="M1406" s="6">
        <f>INDEX('DETALLE CRONOLÓGICO'!$K$2:$K$4919,MATCH($A1406,'DETALLE CRONOLÓGICO'!$A$2:$A$4919,0)+$E1406-1)</f>
        <v/>
      </c>
      <c r="N1406" s="7">
        <f>IFERROR($M1406/INDEX('DETALLE CRONOLÓGICO'!$K$2:$K$4919,MATCH($A1406,'DETALLE CRONOLÓGICO'!$A$2:$A$4919,0))-1,"")</f>
        <v/>
      </c>
      <c r="O1406" s="6">
        <f>IFERROR($I1406*3,"")</f>
        <v/>
      </c>
      <c r="P1406" s="6">
        <f>IFERROR($I1406*3.5,"")</f>
        <v/>
      </c>
      <c r="Q1406" s="6">
        <f>IFERROR($I1406*4,"")</f>
        <v/>
      </c>
      <c r="R1406" s="6" t="n">
        <v>499</v>
      </c>
      <c r="S1406" s="4" t="n">
        <v>6</v>
      </c>
      <c r="T1406" s="1" t="inlineStr">
        <is>
          <t>active</t>
        </is>
      </c>
      <c r="U1406" s="8" t="n"/>
      <c r="V1406" s="1" t="inlineStr">
        <is>
          <t>SIN PRECIO</t>
        </is>
      </c>
    </row>
    <row r="1407">
      <c r="A1407" s="1" t="inlineStr">
        <is>
          <t>66177009de26b</t>
        </is>
      </c>
      <c r="B1407" s="1" t="inlineStr">
        <is>
          <t>PULSERA LOVE GOLD</t>
        </is>
      </c>
      <c r="C1407" s="1" t="inlineStr">
        <is>
          <t>21 CM</t>
        </is>
      </c>
      <c r="D1407" s="1" t="inlineStr">
        <is>
          <t>HAIFENG</t>
        </is>
      </c>
      <c r="E1407" s="4">
        <f>COUNTIF('DETALLE CRONOLÓGICO'!$A$2:$A$4919,$A1407)</f>
        <v/>
      </c>
      <c r="F1407" s="4">
        <f>SUMIFS('DETALLE CRONOLÓGICO'!$I$2:$I$4919,'DETALLE CRONOLÓGICO'!$A$2:$A$4919,$A1407)</f>
        <v/>
      </c>
      <c r="G1407" s="1">
        <f>INDEX('DETALLE CRONOLÓGICO'!$D$2:$D$4919,MATCH($A1407,'DETALLE CRONOLÓGICO'!$A$2:$A$4919,0))</f>
        <v/>
      </c>
      <c r="H1407" s="1">
        <f>INDEX('DETALLE CRONOLÓGICO'!$D$2:$D$4919,MATCH($A1407,'DETALLE CRONOLÓGICO'!$A$2:$A$4919,0)+$E1407-1)</f>
        <v/>
      </c>
      <c r="I1407" s="5">
        <f>IFERROR(SUMIFS('DETALLE CRONOLÓGICO'!$L$2:$L$4919,'DETALLE CRONOLÓGICO'!$A$2:$A$4919,$A1407)/$F1407,"")</f>
        <v/>
      </c>
      <c r="J1407" s="6">
        <f>IFERROR(SUMIFS('DETALLE CRONOLÓGICO'!$K$2:$K$4919,'DETALLE CRONOLÓGICO'!$A$2:$A$4919,$A1407)/$E1407,"")</f>
        <v/>
      </c>
      <c r="K1407" s="6">
        <f>_xlfn.MINIFS('DETALLE CRONOLÓGICO'!$K$2:$K$4919,'DETALLE CRONOLÓGICO'!$A$2:$A$4919,$A1407)</f>
        <v/>
      </c>
      <c r="L1407" s="6">
        <f>_xlfn.MAXIFS('DETALLE CRONOLÓGICO'!$K$2:$K$4919,'DETALLE CRONOLÓGICO'!$A$2:$A$4919,$A1407)</f>
        <v/>
      </c>
      <c r="M1407" s="6">
        <f>INDEX('DETALLE CRONOLÓGICO'!$K$2:$K$4919,MATCH($A1407,'DETALLE CRONOLÓGICO'!$A$2:$A$4919,0)+$E1407-1)</f>
        <v/>
      </c>
      <c r="N1407" s="7">
        <f>IFERROR($M1407/INDEX('DETALLE CRONOLÓGICO'!$K$2:$K$4919,MATCH($A1407,'DETALLE CRONOLÓGICO'!$A$2:$A$4919,0))-1,"")</f>
        <v/>
      </c>
      <c r="O1407" s="6">
        <f>IFERROR($I1407*3,"")</f>
        <v/>
      </c>
      <c r="P1407" s="6">
        <f>IFERROR($I1407*3.5,"")</f>
        <v/>
      </c>
      <c r="Q1407" s="6">
        <f>IFERROR($I1407*4,"")</f>
        <v/>
      </c>
      <c r="R1407" s="6" t="n">
        <v>499</v>
      </c>
      <c r="S1407" s="4" t="n">
        <v>5</v>
      </c>
      <c r="T1407" s="1" t="inlineStr">
        <is>
          <t>active</t>
        </is>
      </c>
      <c r="U1407" s="8" t="n"/>
      <c r="V1407" s="1" t="inlineStr">
        <is>
          <t>SIN PRECIO</t>
        </is>
      </c>
    </row>
    <row r="1408">
      <c r="A1408" s="1" t="inlineStr">
        <is>
          <t>661770f08cba3</t>
        </is>
      </c>
      <c r="B1408" s="1" t="inlineStr">
        <is>
          <t>PULSERA CLAVO SILVER</t>
        </is>
      </c>
      <c r="C1408" s="1" t="inlineStr">
        <is>
          <t>17 CM</t>
        </is>
      </c>
      <c r="D1408" s="1" t="inlineStr">
        <is>
          <t>NANCY</t>
        </is>
      </c>
      <c r="E1408" s="4">
        <f>COUNTIF('DETALLE CRONOLÓGICO'!$A$2:$A$4919,$A1408)</f>
        <v/>
      </c>
      <c r="F1408" s="4">
        <f>SUMIFS('DETALLE CRONOLÓGICO'!$I$2:$I$4919,'DETALLE CRONOLÓGICO'!$A$2:$A$4919,$A1408)</f>
        <v/>
      </c>
      <c r="G1408" s="1">
        <f>INDEX('DETALLE CRONOLÓGICO'!$D$2:$D$4919,MATCH($A1408,'DETALLE CRONOLÓGICO'!$A$2:$A$4919,0))</f>
        <v/>
      </c>
      <c r="H1408" s="1">
        <f>INDEX('DETALLE CRONOLÓGICO'!$D$2:$D$4919,MATCH($A1408,'DETALLE CRONOLÓGICO'!$A$2:$A$4919,0)+$E1408-1)</f>
        <v/>
      </c>
      <c r="I1408" s="5">
        <f>IFERROR(SUMIFS('DETALLE CRONOLÓGICO'!$L$2:$L$4919,'DETALLE CRONOLÓGICO'!$A$2:$A$4919,$A1408)/$F1408,"")</f>
        <v/>
      </c>
      <c r="J1408" s="6">
        <f>IFERROR(SUMIFS('DETALLE CRONOLÓGICO'!$K$2:$K$4919,'DETALLE CRONOLÓGICO'!$A$2:$A$4919,$A1408)/$E1408,"")</f>
        <v/>
      </c>
      <c r="K1408" s="6">
        <f>_xlfn.MINIFS('DETALLE CRONOLÓGICO'!$K$2:$K$4919,'DETALLE CRONOLÓGICO'!$A$2:$A$4919,$A1408)</f>
        <v/>
      </c>
      <c r="L1408" s="6">
        <f>_xlfn.MAXIFS('DETALLE CRONOLÓGICO'!$K$2:$K$4919,'DETALLE CRONOLÓGICO'!$A$2:$A$4919,$A1408)</f>
        <v/>
      </c>
      <c r="M1408" s="6">
        <f>INDEX('DETALLE CRONOLÓGICO'!$K$2:$K$4919,MATCH($A1408,'DETALLE CRONOLÓGICO'!$A$2:$A$4919,0)+$E1408-1)</f>
        <v/>
      </c>
      <c r="N1408" s="7">
        <f>IFERROR($M1408/INDEX('DETALLE CRONOLÓGICO'!$K$2:$K$4919,MATCH($A1408,'DETALLE CRONOLÓGICO'!$A$2:$A$4919,0))-1,"")</f>
        <v/>
      </c>
      <c r="O1408" s="6">
        <f>IFERROR($I1408*3,"")</f>
        <v/>
      </c>
      <c r="P1408" s="6">
        <f>IFERROR($I1408*3.5,"")</f>
        <v/>
      </c>
      <c r="Q1408" s="6">
        <f>IFERROR($I1408*4,"")</f>
        <v/>
      </c>
      <c r="R1408" s="6" t="n">
        <v>450</v>
      </c>
      <c r="S1408" s="4" t="n">
        <v>5</v>
      </c>
      <c r="T1408" s="1" t="inlineStr">
        <is>
          <t>active</t>
        </is>
      </c>
      <c r="U1408" s="8" t="n"/>
      <c r="V1408" s="1" t="inlineStr">
        <is>
          <t>SIN PRECIO</t>
        </is>
      </c>
    </row>
    <row r="1409">
      <c r="A1409" s="1" t="inlineStr">
        <is>
          <t>661770f12a6a9</t>
        </is>
      </c>
      <c r="B1409" s="1" t="inlineStr">
        <is>
          <t>PULSERA CLAVO SILVER</t>
        </is>
      </c>
      <c r="C1409" s="1" t="inlineStr">
        <is>
          <t>19 CM</t>
        </is>
      </c>
      <c r="D1409" s="1" t="inlineStr">
        <is>
          <t>NANCY</t>
        </is>
      </c>
      <c r="E1409" s="4">
        <f>COUNTIF('DETALLE CRONOLÓGICO'!$A$2:$A$4919,$A1409)</f>
        <v/>
      </c>
      <c r="F1409" s="4">
        <f>SUMIFS('DETALLE CRONOLÓGICO'!$I$2:$I$4919,'DETALLE CRONOLÓGICO'!$A$2:$A$4919,$A1409)</f>
        <v/>
      </c>
      <c r="G1409" s="1">
        <f>INDEX('DETALLE CRONOLÓGICO'!$D$2:$D$4919,MATCH($A1409,'DETALLE CRONOLÓGICO'!$A$2:$A$4919,0))</f>
        <v/>
      </c>
      <c r="H1409" s="1">
        <f>INDEX('DETALLE CRONOLÓGICO'!$D$2:$D$4919,MATCH($A1409,'DETALLE CRONOLÓGICO'!$A$2:$A$4919,0)+$E1409-1)</f>
        <v/>
      </c>
      <c r="I1409" s="5">
        <f>IFERROR(SUMIFS('DETALLE CRONOLÓGICO'!$L$2:$L$4919,'DETALLE CRONOLÓGICO'!$A$2:$A$4919,$A1409)/$F1409,"")</f>
        <v/>
      </c>
      <c r="J1409" s="6">
        <f>IFERROR(SUMIFS('DETALLE CRONOLÓGICO'!$K$2:$K$4919,'DETALLE CRONOLÓGICO'!$A$2:$A$4919,$A1409)/$E1409,"")</f>
        <v/>
      </c>
      <c r="K1409" s="6">
        <f>_xlfn.MINIFS('DETALLE CRONOLÓGICO'!$K$2:$K$4919,'DETALLE CRONOLÓGICO'!$A$2:$A$4919,$A1409)</f>
        <v/>
      </c>
      <c r="L1409" s="6">
        <f>_xlfn.MAXIFS('DETALLE CRONOLÓGICO'!$K$2:$K$4919,'DETALLE CRONOLÓGICO'!$A$2:$A$4919,$A1409)</f>
        <v/>
      </c>
      <c r="M1409" s="6">
        <f>INDEX('DETALLE CRONOLÓGICO'!$K$2:$K$4919,MATCH($A1409,'DETALLE CRONOLÓGICO'!$A$2:$A$4919,0)+$E1409-1)</f>
        <v/>
      </c>
      <c r="N1409" s="7">
        <f>IFERROR($M1409/INDEX('DETALLE CRONOLÓGICO'!$K$2:$K$4919,MATCH($A1409,'DETALLE CRONOLÓGICO'!$A$2:$A$4919,0))-1,"")</f>
        <v/>
      </c>
      <c r="O1409" s="6">
        <f>IFERROR($I1409*3,"")</f>
        <v/>
      </c>
      <c r="P1409" s="6">
        <f>IFERROR($I1409*3.5,"")</f>
        <v/>
      </c>
      <c r="Q1409" s="6">
        <f>IFERROR($I1409*4,"")</f>
        <v/>
      </c>
      <c r="R1409" s="6" t="n">
        <v>450</v>
      </c>
      <c r="S1409" s="4" t="n">
        <v>8</v>
      </c>
      <c r="T1409" s="1" t="inlineStr">
        <is>
          <t>active</t>
        </is>
      </c>
      <c r="U1409" s="8" t="n"/>
      <c r="V1409" s="1" t="inlineStr">
        <is>
          <t>SIN PRECIO</t>
        </is>
      </c>
    </row>
    <row r="1410">
      <c r="A1410" s="1" t="inlineStr">
        <is>
          <t>6617744996481</t>
        </is>
      </c>
      <c r="B1410" s="1" t="inlineStr">
        <is>
          <t>PULSERA ONE TRÉBOL GOLD BLACK</t>
        </is>
      </c>
      <c r="C1410" s="1" t="inlineStr">
        <is>
          <t>17cm con extensión de 3cm</t>
        </is>
      </c>
      <c r="D1410" s="1" t="inlineStr">
        <is>
          <t>NANCY</t>
        </is>
      </c>
      <c r="E1410" s="4">
        <f>COUNTIF('DETALLE CRONOLÓGICO'!$A$2:$A$4919,$A1410)</f>
        <v/>
      </c>
      <c r="F1410" s="4">
        <f>SUMIFS('DETALLE CRONOLÓGICO'!$I$2:$I$4919,'DETALLE CRONOLÓGICO'!$A$2:$A$4919,$A1410)</f>
        <v/>
      </c>
      <c r="G1410" s="1">
        <f>INDEX('DETALLE CRONOLÓGICO'!$D$2:$D$4919,MATCH($A1410,'DETALLE CRONOLÓGICO'!$A$2:$A$4919,0))</f>
        <v/>
      </c>
      <c r="H1410" s="1">
        <f>INDEX('DETALLE CRONOLÓGICO'!$D$2:$D$4919,MATCH($A1410,'DETALLE CRONOLÓGICO'!$A$2:$A$4919,0)+$E1410-1)</f>
        <v/>
      </c>
      <c r="I1410" s="5">
        <f>IFERROR(SUMIFS('DETALLE CRONOLÓGICO'!$L$2:$L$4919,'DETALLE CRONOLÓGICO'!$A$2:$A$4919,$A1410)/$F1410,"")</f>
        <v/>
      </c>
      <c r="J1410" s="6">
        <f>IFERROR(SUMIFS('DETALLE CRONOLÓGICO'!$K$2:$K$4919,'DETALLE CRONOLÓGICO'!$A$2:$A$4919,$A1410)/$E1410,"")</f>
        <v/>
      </c>
      <c r="K1410" s="6">
        <f>_xlfn.MINIFS('DETALLE CRONOLÓGICO'!$K$2:$K$4919,'DETALLE CRONOLÓGICO'!$A$2:$A$4919,$A1410)</f>
        <v/>
      </c>
      <c r="L1410" s="6">
        <f>_xlfn.MAXIFS('DETALLE CRONOLÓGICO'!$K$2:$K$4919,'DETALLE CRONOLÓGICO'!$A$2:$A$4919,$A1410)</f>
        <v/>
      </c>
      <c r="M1410" s="6">
        <f>INDEX('DETALLE CRONOLÓGICO'!$K$2:$K$4919,MATCH($A1410,'DETALLE CRONOLÓGICO'!$A$2:$A$4919,0)+$E1410-1)</f>
        <v/>
      </c>
      <c r="N1410" s="7">
        <f>IFERROR($M1410/INDEX('DETALLE CRONOLÓGICO'!$K$2:$K$4919,MATCH($A1410,'DETALLE CRONOLÓGICO'!$A$2:$A$4919,0))-1,"")</f>
        <v/>
      </c>
      <c r="O1410" s="6">
        <f>IFERROR($I1410*3,"")</f>
        <v/>
      </c>
      <c r="P1410" s="6">
        <f>IFERROR($I1410*3.5,"")</f>
        <v/>
      </c>
      <c r="Q1410" s="6">
        <f>IFERROR($I1410*4,"")</f>
        <v/>
      </c>
      <c r="R1410" s="6" t="n">
        <v>599</v>
      </c>
      <c r="S1410" s="4" t="n">
        <v>4</v>
      </c>
      <c r="T1410" s="1" t="inlineStr">
        <is>
          <t>active</t>
        </is>
      </c>
      <c r="U1410" s="8" t="n"/>
      <c r="V1410" s="1" t="inlineStr">
        <is>
          <t>SIN PRECIO</t>
        </is>
      </c>
    </row>
    <row r="1411">
      <c r="A1411" s="1" t="inlineStr">
        <is>
          <t>6617744c91a0e</t>
        </is>
      </c>
      <c r="B1411" s="1" t="inlineStr">
        <is>
          <t>PULSERA ONE TRÉBOL GOLD WHITE</t>
        </is>
      </c>
      <c r="C1411" s="1" t="inlineStr">
        <is>
          <t>17cm con extensión de 3cm</t>
        </is>
      </c>
      <c r="D1411" s="1" t="inlineStr">
        <is>
          <t>NANCY</t>
        </is>
      </c>
      <c r="E1411" s="4">
        <f>COUNTIF('DETALLE CRONOLÓGICO'!$A$2:$A$4919,$A1411)</f>
        <v/>
      </c>
      <c r="F1411" s="4">
        <f>SUMIFS('DETALLE CRONOLÓGICO'!$I$2:$I$4919,'DETALLE CRONOLÓGICO'!$A$2:$A$4919,$A1411)</f>
        <v/>
      </c>
      <c r="G1411" s="1">
        <f>INDEX('DETALLE CRONOLÓGICO'!$D$2:$D$4919,MATCH($A1411,'DETALLE CRONOLÓGICO'!$A$2:$A$4919,0))</f>
        <v/>
      </c>
      <c r="H1411" s="1">
        <f>INDEX('DETALLE CRONOLÓGICO'!$D$2:$D$4919,MATCH($A1411,'DETALLE CRONOLÓGICO'!$A$2:$A$4919,0)+$E1411-1)</f>
        <v/>
      </c>
      <c r="I1411" s="5">
        <f>IFERROR(SUMIFS('DETALLE CRONOLÓGICO'!$L$2:$L$4919,'DETALLE CRONOLÓGICO'!$A$2:$A$4919,$A1411)/$F1411,"")</f>
        <v/>
      </c>
      <c r="J1411" s="6">
        <f>IFERROR(SUMIFS('DETALLE CRONOLÓGICO'!$K$2:$K$4919,'DETALLE CRONOLÓGICO'!$A$2:$A$4919,$A1411)/$E1411,"")</f>
        <v/>
      </c>
      <c r="K1411" s="6">
        <f>_xlfn.MINIFS('DETALLE CRONOLÓGICO'!$K$2:$K$4919,'DETALLE CRONOLÓGICO'!$A$2:$A$4919,$A1411)</f>
        <v/>
      </c>
      <c r="L1411" s="6">
        <f>_xlfn.MAXIFS('DETALLE CRONOLÓGICO'!$K$2:$K$4919,'DETALLE CRONOLÓGICO'!$A$2:$A$4919,$A1411)</f>
        <v/>
      </c>
      <c r="M1411" s="6">
        <f>INDEX('DETALLE CRONOLÓGICO'!$K$2:$K$4919,MATCH($A1411,'DETALLE CRONOLÓGICO'!$A$2:$A$4919,0)+$E1411-1)</f>
        <v/>
      </c>
      <c r="N1411" s="7">
        <f>IFERROR($M1411/INDEX('DETALLE CRONOLÓGICO'!$K$2:$K$4919,MATCH($A1411,'DETALLE CRONOLÓGICO'!$A$2:$A$4919,0))-1,"")</f>
        <v/>
      </c>
      <c r="O1411" s="6">
        <f>IFERROR($I1411*3,"")</f>
        <v/>
      </c>
      <c r="P1411" s="6">
        <f>IFERROR($I1411*3.5,"")</f>
        <v/>
      </c>
      <c r="Q1411" s="6">
        <f>IFERROR($I1411*4,"")</f>
        <v/>
      </c>
      <c r="R1411" s="6" t="n">
        <v>575</v>
      </c>
      <c r="S1411" s="4" t="n">
        <v>0</v>
      </c>
      <c r="T1411" s="1" t="inlineStr">
        <is>
          <t>active</t>
        </is>
      </c>
      <c r="U1411" s="8" t="n"/>
      <c r="V1411" s="1" t="inlineStr">
        <is>
          <t>SIN PRECIO</t>
        </is>
      </c>
    </row>
    <row r="1412">
      <c r="A1412" s="1" t="inlineStr">
        <is>
          <t>6617744e4fde3</t>
        </is>
      </c>
      <c r="B1412" s="1" t="inlineStr">
        <is>
          <t>PULSERA TRÉBOL GOLD WHITE VF</t>
        </is>
      </c>
      <c r="C1412" s="1" t="inlineStr">
        <is>
          <t>18cm</t>
        </is>
      </c>
      <c r="D1412" s="1" t="inlineStr">
        <is>
          <t>HAIFENG</t>
        </is>
      </c>
      <c r="E1412" s="4">
        <f>COUNTIF('DETALLE CRONOLÓGICO'!$A$2:$A$4919,$A1412)</f>
        <v/>
      </c>
      <c r="F1412" s="4">
        <f>SUMIFS('DETALLE CRONOLÓGICO'!$I$2:$I$4919,'DETALLE CRONOLÓGICO'!$A$2:$A$4919,$A1412)</f>
        <v/>
      </c>
      <c r="G1412" s="1">
        <f>INDEX('DETALLE CRONOLÓGICO'!$D$2:$D$4919,MATCH($A1412,'DETALLE CRONOLÓGICO'!$A$2:$A$4919,0))</f>
        <v/>
      </c>
      <c r="H1412" s="1">
        <f>INDEX('DETALLE CRONOLÓGICO'!$D$2:$D$4919,MATCH($A1412,'DETALLE CRONOLÓGICO'!$A$2:$A$4919,0)+$E1412-1)</f>
        <v/>
      </c>
      <c r="I1412" s="5">
        <f>IFERROR(SUMIFS('DETALLE CRONOLÓGICO'!$L$2:$L$4919,'DETALLE CRONOLÓGICO'!$A$2:$A$4919,$A1412)/$F1412,"")</f>
        <v/>
      </c>
      <c r="J1412" s="6">
        <f>IFERROR(SUMIFS('DETALLE CRONOLÓGICO'!$K$2:$K$4919,'DETALLE CRONOLÓGICO'!$A$2:$A$4919,$A1412)/$E1412,"")</f>
        <v/>
      </c>
      <c r="K1412" s="6">
        <f>_xlfn.MINIFS('DETALLE CRONOLÓGICO'!$K$2:$K$4919,'DETALLE CRONOLÓGICO'!$A$2:$A$4919,$A1412)</f>
        <v/>
      </c>
      <c r="L1412" s="6">
        <f>_xlfn.MAXIFS('DETALLE CRONOLÓGICO'!$K$2:$K$4919,'DETALLE CRONOLÓGICO'!$A$2:$A$4919,$A1412)</f>
        <v/>
      </c>
      <c r="M1412" s="6">
        <f>INDEX('DETALLE CRONOLÓGICO'!$K$2:$K$4919,MATCH($A1412,'DETALLE CRONOLÓGICO'!$A$2:$A$4919,0)+$E1412-1)</f>
        <v/>
      </c>
      <c r="N1412" s="7">
        <f>IFERROR($M1412/INDEX('DETALLE CRONOLÓGICO'!$K$2:$K$4919,MATCH($A1412,'DETALLE CRONOLÓGICO'!$A$2:$A$4919,0))-1,"")</f>
        <v/>
      </c>
      <c r="O1412" s="6">
        <f>IFERROR($I1412*3,"")</f>
        <v/>
      </c>
      <c r="P1412" s="6">
        <f>IFERROR($I1412*3.5,"")</f>
        <v/>
      </c>
      <c r="Q1412" s="6">
        <f>IFERROR($I1412*4,"")</f>
        <v/>
      </c>
      <c r="R1412" s="6" t="n">
        <v>1286</v>
      </c>
      <c r="S1412" s="4" t="n">
        <v>1</v>
      </c>
      <c r="T1412" s="1" t="inlineStr">
        <is>
          <t>active</t>
        </is>
      </c>
      <c r="U1412" s="8" t="n"/>
      <c r="V1412" s="1" t="inlineStr">
        <is>
          <t>SIN PRECIO</t>
        </is>
      </c>
    </row>
    <row r="1413">
      <c r="A1413" s="1" t="inlineStr">
        <is>
          <t>661774512157c</t>
        </is>
      </c>
      <c r="B1413" s="1" t="inlineStr">
        <is>
          <t>PULSERA TRÉBOL SILVER WHITE VF</t>
        </is>
      </c>
      <c r="C1413" s="1" t="inlineStr">
        <is>
          <t>18cm</t>
        </is>
      </c>
      <c r="D1413" s="1" t="inlineStr">
        <is>
          <t>HAIFENG</t>
        </is>
      </c>
      <c r="E1413" s="4">
        <f>COUNTIF('DETALLE CRONOLÓGICO'!$A$2:$A$4919,$A1413)</f>
        <v/>
      </c>
      <c r="F1413" s="4">
        <f>SUMIFS('DETALLE CRONOLÓGICO'!$I$2:$I$4919,'DETALLE CRONOLÓGICO'!$A$2:$A$4919,$A1413)</f>
        <v/>
      </c>
      <c r="G1413" s="1">
        <f>INDEX('DETALLE CRONOLÓGICO'!$D$2:$D$4919,MATCH($A1413,'DETALLE CRONOLÓGICO'!$A$2:$A$4919,0))</f>
        <v/>
      </c>
      <c r="H1413" s="1">
        <f>INDEX('DETALLE CRONOLÓGICO'!$D$2:$D$4919,MATCH($A1413,'DETALLE CRONOLÓGICO'!$A$2:$A$4919,0)+$E1413-1)</f>
        <v/>
      </c>
      <c r="I1413" s="5">
        <f>IFERROR(SUMIFS('DETALLE CRONOLÓGICO'!$L$2:$L$4919,'DETALLE CRONOLÓGICO'!$A$2:$A$4919,$A1413)/$F1413,"")</f>
        <v/>
      </c>
      <c r="J1413" s="6">
        <f>IFERROR(SUMIFS('DETALLE CRONOLÓGICO'!$K$2:$K$4919,'DETALLE CRONOLÓGICO'!$A$2:$A$4919,$A1413)/$E1413,"")</f>
        <v/>
      </c>
      <c r="K1413" s="6">
        <f>_xlfn.MINIFS('DETALLE CRONOLÓGICO'!$K$2:$K$4919,'DETALLE CRONOLÓGICO'!$A$2:$A$4919,$A1413)</f>
        <v/>
      </c>
      <c r="L1413" s="6">
        <f>_xlfn.MAXIFS('DETALLE CRONOLÓGICO'!$K$2:$K$4919,'DETALLE CRONOLÓGICO'!$A$2:$A$4919,$A1413)</f>
        <v/>
      </c>
      <c r="M1413" s="6">
        <f>INDEX('DETALLE CRONOLÓGICO'!$K$2:$K$4919,MATCH($A1413,'DETALLE CRONOLÓGICO'!$A$2:$A$4919,0)+$E1413-1)</f>
        <v/>
      </c>
      <c r="N1413" s="7">
        <f>IFERROR($M1413/INDEX('DETALLE CRONOLÓGICO'!$K$2:$K$4919,MATCH($A1413,'DETALLE CRONOLÓGICO'!$A$2:$A$4919,0))-1,"")</f>
        <v/>
      </c>
      <c r="O1413" s="6">
        <f>IFERROR($I1413*3,"")</f>
        <v/>
      </c>
      <c r="P1413" s="6">
        <f>IFERROR($I1413*3.5,"")</f>
        <v/>
      </c>
      <c r="Q1413" s="6">
        <f>IFERROR($I1413*4,"")</f>
        <v/>
      </c>
      <c r="R1413" s="6" t="n">
        <v>900</v>
      </c>
      <c r="S1413" s="4" t="n">
        <v>0</v>
      </c>
      <c r="T1413" s="1" t="inlineStr">
        <is>
          <t>active</t>
        </is>
      </c>
      <c r="U1413" s="8" t="n"/>
      <c r="V1413" s="1" t="inlineStr">
        <is>
          <t>SIN PRECIO</t>
        </is>
      </c>
    </row>
    <row r="1414">
      <c r="A1414" s="1" t="inlineStr">
        <is>
          <t>6617745150ec8</t>
        </is>
      </c>
      <c r="B1414" s="1" t="inlineStr">
        <is>
          <t>PULSERA TRÉBOL SILVER BLACK VF</t>
        </is>
      </c>
      <c r="C1414" s="1" t="inlineStr">
        <is>
          <t>20cm</t>
        </is>
      </c>
      <c r="D1414" s="1" t="inlineStr">
        <is>
          <t>HAIFENG</t>
        </is>
      </c>
      <c r="E1414" s="4">
        <f>COUNTIF('DETALLE CRONOLÓGICO'!$A$2:$A$4919,$A1414)</f>
        <v/>
      </c>
      <c r="F1414" s="4">
        <f>SUMIFS('DETALLE CRONOLÓGICO'!$I$2:$I$4919,'DETALLE CRONOLÓGICO'!$A$2:$A$4919,$A1414)</f>
        <v/>
      </c>
      <c r="G1414" s="1">
        <f>INDEX('DETALLE CRONOLÓGICO'!$D$2:$D$4919,MATCH($A1414,'DETALLE CRONOLÓGICO'!$A$2:$A$4919,0))</f>
        <v/>
      </c>
      <c r="H1414" s="1">
        <f>INDEX('DETALLE CRONOLÓGICO'!$D$2:$D$4919,MATCH($A1414,'DETALLE CRONOLÓGICO'!$A$2:$A$4919,0)+$E1414-1)</f>
        <v/>
      </c>
      <c r="I1414" s="5">
        <f>IFERROR(SUMIFS('DETALLE CRONOLÓGICO'!$L$2:$L$4919,'DETALLE CRONOLÓGICO'!$A$2:$A$4919,$A1414)/$F1414,"")</f>
        <v/>
      </c>
      <c r="J1414" s="6">
        <f>IFERROR(SUMIFS('DETALLE CRONOLÓGICO'!$K$2:$K$4919,'DETALLE CRONOLÓGICO'!$A$2:$A$4919,$A1414)/$E1414,"")</f>
        <v/>
      </c>
      <c r="K1414" s="6">
        <f>_xlfn.MINIFS('DETALLE CRONOLÓGICO'!$K$2:$K$4919,'DETALLE CRONOLÓGICO'!$A$2:$A$4919,$A1414)</f>
        <v/>
      </c>
      <c r="L1414" s="6">
        <f>_xlfn.MAXIFS('DETALLE CRONOLÓGICO'!$K$2:$K$4919,'DETALLE CRONOLÓGICO'!$A$2:$A$4919,$A1414)</f>
        <v/>
      </c>
      <c r="M1414" s="6">
        <f>INDEX('DETALLE CRONOLÓGICO'!$K$2:$K$4919,MATCH($A1414,'DETALLE CRONOLÓGICO'!$A$2:$A$4919,0)+$E1414-1)</f>
        <v/>
      </c>
      <c r="N1414" s="7">
        <f>IFERROR($M1414/INDEX('DETALLE CRONOLÓGICO'!$K$2:$K$4919,MATCH($A1414,'DETALLE CRONOLÓGICO'!$A$2:$A$4919,0))-1,"")</f>
        <v/>
      </c>
      <c r="O1414" s="6">
        <f>IFERROR($I1414*3,"")</f>
        <v/>
      </c>
      <c r="P1414" s="6">
        <f>IFERROR($I1414*3.5,"")</f>
        <v/>
      </c>
      <c r="Q1414" s="6">
        <f>IFERROR($I1414*4,"")</f>
        <v/>
      </c>
      <c r="R1414" s="6" t="n">
        <v>599</v>
      </c>
      <c r="S1414" s="4" t="n">
        <v>4</v>
      </c>
      <c r="T1414" s="1" t="inlineStr">
        <is>
          <t>active</t>
        </is>
      </c>
      <c r="U1414" s="8" t="n"/>
      <c r="V1414" s="1" t="inlineStr">
        <is>
          <t>SIN PRECIO</t>
        </is>
      </c>
    </row>
    <row r="1415">
      <c r="A1415" s="1" t="inlineStr">
        <is>
          <t>661774545334c</t>
        </is>
      </c>
      <c r="B1415" s="1" t="inlineStr">
        <is>
          <t>PULSERA TRÉBOL GOLD RED VF</t>
        </is>
      </c>
      <c r="C1415" s="1" t="inlineStr">
        <is>
          <t>18cm</t>
        </is>
      </c>
      <c r="D1415" s="1" t="inlineStr">
        <is>
          <t>HAIFENG</t>
        </is>
      </c>
      <c r="E1415" s="4">
        <f>COUNTIF('DETALLE CRONOLÓGICO'!$A$2:$A$4919,$A1415)</f>
        <v/>
      </c>
      <c r="F1415" s="4">
        <f>SUMIFS('DETALLE CRONOLÓGICO'!$I$2:$I$4919,'DETALLE CRONOLÓGICO'!$A$2:$A$4919,$A1415)</f>
        <v/>
      </c>
      <c r="G1415" s="1">
        <f>INDEX('DETALLE CRONOLÓGICO'!$D$2:$D$4919,MATCH($A1415,'DETALLE CRONOLÓGICO'!$A$2:$A$4919,0))</f>
        <v/>
      </c>
      <c r="H1415" s="1">
        <f>INDEX('DETALLE CRONOLÓGICO'!$D$2:$D$4919,MATCH($A1415,'DETALLE CRONOLÓGICO'!$A$2:$A$4919,0)+$E1415-1)</f>
        <v/>
      </c>
      <c r="I1415" s="5">
        <f>IFERROR(SUMIFS('DETALLE CRONOLÓGICO'!$L$2:$L$4919,'DETALLE CRONOLÓGICO'!$A$2:$A$4919,$A1415)/$F1415,"")</f>
        <v/>
      </c>
      <c r="J1415" s="6">
        <f>IFERROR(SUMIFS('DETALLE CRONOLÓGICO'!$K$2:$K$4919,'DETALLE CRONOLÓGICO'!$A$2:$A$4919,$A1415)/$E1415,"")</f>
        <v/>
      </c>
      <c r="K1415" s="6">
        <f>_xlfn.MINIFS('DETALLE CRONOLÓGICO'!$K$2:$K$4919,'DETALLE CRONOLÓGICO'!$A$2:$A$4919,$A1415)</f>
        <v/>
      </c>
      <c r="L1415" s="6">
        <f>_xlfn.MAXIFS('DETALLE CRONOLÓGICO'!$K$2:$K$4919,'DETALLE CRONOLÓGICO'!$A$2:$A$4919,$A1415)</f>
        <v/>
      </c>
      <c r="M1415" s="6">
        <f>INDEX('DETALLE CRONOLÓGICO'!$K$2:$K$4919,MATCH($A1415,'DETALLE CRONOLÓGICO'!$A$2:$A$4919,0)+$E1415-1)</f>
        <v/>
      </c>
      <c r="N1415" s="7">
        <f>IFERROR($M1415/INDEX('DETALLE CRONOLÓGICO'!$K$2:$K$4919,MATCH($A1415,'DETALLE CRONOLÓGICO'!$A$2:$A$4919,0))-1,"")</f>
        <v/>
      </c>
      <c r="O1415" s="6">
        <f>IFERROR($I1415*3,"")</f>
        <v/>
      </c>
      <c r="P1415" s="6">
        <f>IFERROR($I1415*3.5,"")</f>
        <v/>
      </c>
      <c r="Q1415" s="6">
        <f>IFERROR($I1415*4,"")</f>
        <v/>
      </c>
      <c r="R1415" s="6" t="n">
        <v>650</v>
      </c>
      <c r="S1415" s="4" t="n">
        <v>6</v>
      </c>
      <c r="T1415" s="1" t="inlineStr">
        <is>
          <t>active</t>
        </is>
      </c>
      <c r="U1415" s="8" t="n"/>
      <c r="V1415" s="1" t="inlineStr">
        <is>
          <t>SIN PRECIO</t>
        </is>
      </c>
    </row>
    <row r="1416">
      <c r="A1416" s="1" t="inlineStr">
        <is>
          <t>6617748fe62cc</t>
        </is>
      </c>
      <c r="B1416" s="1" t="inlineStr">
        <is>
          <t>PULSERA DE TELA TRES AROS BLACK</t>
        </is>
      </c>
      <c r="C1416" s="1" t="inlineStr">
        <is>
          <t>AJUSTABLE</t>
        </is>
      </c>
      <c r="D1416" s="1" t="inlineStr">
        <is>
          <t>HAIFENG</t>
        </is>
      </c>
      <c r="E1416" s="4">
        <f>COUNTIF('DETALLE CRONOLÓGICO'!$A$2:$A$4919,$A1416)</f>
        <v/>
      </c>
      <c r="F1416" s="4">
        <f>SUMIFS('DETALLE CRONOLÓGICO'!$I$2:$I$4919,'DETALLE CRONOLÓGICO'!$A$2:$A$4919,$A1416)</f>
        <v/>
      </c>
      <c r="G1416" s="1">
        <f>INDEX('DETALLE CRONOLÓGICO'!$D$2:$D$4919,MATCH($A1416,'DETALLE CRONOLÓGICO'!$A$2:$A$4919,0))</f>
        <v/>
      </c>
      <c r="H1416" s="1">
        <f>INDEX('DETALLE CRONOLÓGICO'!$D$2:$D$4919,MATCH($A1416,'DETALLE CRONOLÓGICO'!$A$2:$A$4919,0)+$E1416-1)</f>
        <v/>
      </c>
      <c r="I1416" s="5">
        <f>IFERROR(SUMIFS('DETALLE CRONOLÓGICO'!$L$2:$L$4919,'DETALLE CRONOLÓGICO'!$A$2:$A$4919,$A1416)/$F1416,"")</f>
        <v/>
      </c>
      <c r="J1416" s="6">
        <f>IFERROR(SUMIFS('DETALLE CRONOLÓGICO'!$K$2:$K$4919,'DETALLE CRONOLÓGICO'!$A$2:$A$4919,$A1416)/$E1416,"")</f>
        <v/>
      </c>
      <c r="K1416" s="6">
        <f>_xlfn.MINIFS('DETALLE CRONOLÓGICO'!$K$2:$K$4919,'DETALLE CRONOLÓGICO'!$A$2:$A$4919,$A1416)</f>
        <v/>
      </c>
      <c r="L1416" s="6">
        <f>_xlfn.MAXIFS('DETALLE CRONOLÓGICO'!$K$2:$K$4919,'DETALLE CRONOLÓGICO'!$A$2:$A$4919,$A1416)</f>
        <v/>
      </c>
      <c r="M1416" s="6">
        <f>INDEX('DETALLE CRONOLÓGICO'!$K$2:$K$4919,MATCH($A1416,'DETALLE CRONOLÓGICO'!$A$2:$A$4919,0)+$E1416-1)</f>
        <v/>
      </c>
      <c r="N1416" s="7">
        <f>IFERROR($M1416/INDEX('DETALLE CRONOLÓGICO'!$K$2:$K$4919,MATCH($A1416,'DETALLE CRONOLÓGICO'!$A$2:$A$4919,0))-1,"")</f>
        <v/>
      </c>
      <c r="O1416" s="6">
        <f>IFERROR($I1416*3,"")</f>
        <v/>
      </c>
      <c r="P1416" s="6">
        <f>IFERROR($I1416*3.5,"")</f>
        <v/>
      </c>
      <c r="Q1416" s="6">
        <f>IFERROR($I1416*4,"")</f>
        <v/>
      </c>
      <c r="R1416" s="6" t="n">
        <v>399</v>
      </c>
      <c r="S1416" s="4" t="n">
        <v>2</v>
      </c>
      <c r="T1416" s="1" t="inlineStr">
        <is>
          <t>active</t>
        </is>
      </c>
      <c r="U1416" s="8" t="n"/>
      <c r="V1416" s="1" t="inlineStr">
        <is>
          <t>SIN PRECIO</t>
        </is>
      </c>
    </row>
    <row r="1417">
      <c r="A1417" s="1" t="inlineStr">
        <is>
          <t>661774c11e19f</t>
        </is>
      </c>
      <c r="B1417" s="1" t="inlineStr">
        <is>
          <t>PULSERA ECROU GOLD</t>
        </is>
      </c>
      <c r="C1417" s="1" t="n">
        <v>16</v>
      </c>
      <c r="D1417" s="1" t="inlineStr">
        <is>
          <t>NANCY</t>
        </is>
      </c>
      <c r="E1417" s="4">
        <f>COUNTIF('DETALLE CRONOLÓGICO'!$A$2:$A$4919,$A1417)</f>
        <v/>
      </c>
      <c r="F1417" s="4">
        <f>SUMIFS('DETALLE CRONOLÓGICO'!$I$2:$I$4919,'DETALLE CRONOLÓGICO'!$A$2:$A$4919,$A1417)</f>
        <v/>
      </c>
      <c r="G1417" s="1">
        <f>INDEX('DETALLE CRONOLÓGICO'!$D$2:$D$4919,MATCH($A1417,'DETALLE CRONOLÓGICO'!$A$2:$A$4919,0))</f>
        <v/>
      </c>
      <c r="H1417" s="1">
        <f>INDEX('DETALLE CRONOLÓGICO'!$D$2:$D$4919,MATCH($A1417,'DETALLE CRONOLÓGICO'!$A$2:$A$4919,0)+$E1417-1)</f>
        <v/>
      </c>
      <c r="I1417" s="5">
        <f>IFERROR(SUMIFS('DETALLE CRONOLÓGICO'!$L$2:$L$4919,'DETALLE CRONOLÓGICO'!$A$2:$A$4919,$A1417)/$F1417,"")</f>
        <v/>
      </c>
      <c r="J1417" s="6">
        <f>IFERROR(SUMIFS('DETALLE CRONOLÓGICO'!$K$2:$K$4919,'DETALLE CRONOLÓGICO'!$A$2:$A$4919,$A1417)/$E1417,"")</f>
        <v/>
      </c>
      <c r="K1417" s="6">
        <f>_xlfn.MINIFS('DETALLE CRONOLÓGICO'!$K$2:$K$4919,'DETALLE CRONOLÓGICO'!$A$2:$A$4919,$A1417)</f>
        <v/>
      </c>
      <c r="L1417" s="6">
        <f>_xlfn.MAXIFS('DETALLE CRONOLÓGICO'!$K$2:$K$4919,'DETALLE CRONOLÓGICO'!$A$2:$A$4919,$A1417)</f>
        <v/>
      </c>
      <c r="M1417" s="6">
        <f>INDEX('DETALLE CRONOLÓGICO'!$K$2:$K$4919,MATCH($A1417,'DETALLE CRONOLÓGICO'!$A$2:$A$4919,0)+$E1417-1)</f>
        <v/>
      </c>
      <c r="N1417" s="7">
        <f>IFERROR($M1417/INDEX('DETALLE CRONOLÓGICO'!$K$2:$K$4919,MATCH($A1417,'DETALLE CRONOLÓGICO'!$A$2:$A$4919,0))-1,"")</f>
        <v/>
      </c>
      <c r="O1417" s="6">
        <f>IFERROR($I1417*3,"")</f>
        <v/>
      </c>
      <c r="P1417" s="6">
        <f>IFERROR($I1417*3.5,"")</f>
        <v/>
      </c>
      <c r="Q1417" s="6">
        <f>IFERROR($I1417*4,"")</f>
        <v/>
      </c>
      <c r="R1417" s="6" t="n">
        <v>525</v>
      </c>
      <c r="S1417" s="4" t="n">
        <v>8</v>
      </c>
      <c r="T1417" s="1" t="inlineStr">
        <is>
          <t>active</t>
        </is>
      </c>
      <c r="U1417" s="8" t="n"/>
      <c r="V1417" s="1" t="inlineStr">
        <is>
          <t>SIN PRECIO</t>
        </is>
      </c>
    </row>
    <row r="1418">
      <c r="A1418" s="1" t="inlineStr">
        <is>
          <t>661774c181d21</t>
        </is>
      </c>
      <c r="B1418" s="1" t="inlineStr">
        <is>
          <t>PULSERA ECROU SILVER</t>
        </is>
      </c>
      <c r="C1418" s="1" t="inlineStr">
        <is>
          <t>16cm</t>
        </is>
      </c>
      <c r="D1418" s="1" t="inlineStr">
        <is>
          <t>NANCY</t>
        </is>
      </c>
      <c r="E1418" s="4">
        <f>COUNTIF('DETALLE CRONOLÓGICO'!$A$2:$A$4919,$A1418)</f>
        <v/>
      </c>
      <c r="F1418" s="4">
        <f>SUMIFS('DETALLE CRONOLÓGICO'!$I$2:$I$4919,'DETALLE CRONOLÓGICO'!$A$2:$A$4919,$A1418)</f>
        <v/>
      </c>
      <c r="G1418" s="1">
        <f>INDEX('DETALLE CRONOLÓGICO'!$D$2:$D$4919,MATCH($A1418,'DETALLE CRONOLÓGICO'!$A$2:$A$4919,0))</f>
        <v/>
      </c>
      <c r="H1418" s="1">
        <f>INDEX('DETALLE CRONOLÓGICO'!$D$2:$D$4919,MATCH($A1418,'DETALLE CRONOLÓGICO'!$A$2:$A$4919,0)+$E1418-1)</f>
        <v/>
      </c>
      <c r="I1418" s="5">
        <f>IFERROR(SUMIFS('DETALLE CRONOLÓGICO'!$L$2:$L$4919,'DETALLE CRONOLÓGICO'!$A$2:$A$4919,$A1418)/$F1418,"")</f>
        <v/>
      </c>
      <c r="J1418" s="6">
        <f>IFERROR(SUMIFS('DETALLE CRONOLÓGICO'!$K$2:$K$4919,'DETALLE CRONOLÓGICO'!$A$2:$A$4919,$A1418)/$E1418,"")</f>
        <v/>
      </c>
      <c r="K1418" s="6">
        <f>_xlfn.MINIFS('DETALLE CRONOLÓGICO'!$K$2:$K$4919,'DETALLE CRONOLÓGICO'!$A$2:$A$4919,$A1418)</f>
        <v/>
      </c>
      <c r="L1418" s="6">
        <f>_xlfn.MAXIFS('DETALLE CRONOLÓGICO'!$K$2:$K$4919,'DETALLE CRONOLÓGICO'!$A$2:$A$4919,$A1418)</f>
        <v/>
      </c>
      <c r="M1418" s="6">
        <f>INDEX('DETALLE CRONOLÓGICO'!$K$2:$K$4919,MATCH($A1418,'DETALLE CRONOLÓGICO'!$A$2:$A$4919,0)+$E1418-1)</f>
        <v/>
      </c>
      <c r="N1418" s="7">
        <f>IFERROR($M1418/INDEX('DETALLE CRONOLÓGICO'!$K$2:$K$4919,MATCH($A1418,'DETALLE CRONOLÓGICO'!$A$2:$A$4919,0))-1,"")</f>
        <v/>
      </c>
      <c r="O1418" s="6">
        <f>IFERROR($I1418*3,"")</f>
        <v/>
      </c>
      <c r="P1418" s="6">
        <f>IFERROR($I1418*3.5,"")</f>
        <v/>
      </c>
      <c r="Q1418" s="6">
        <f>IFERROR($I1418*4,"")</f>
        <v/>
      </c>
      <c r="R1418" s="6" t="n">
        <v>525</v>
      </c>
      <c r="S1418" s="4" t="n">
        <v>0</v>
      </c>
      <c r="T1418" s="1" t="inlineStr">
        <is>
          <t>active</t>
        </is>
      </c>
      <c r="U1418" s="8" t="n"/>
      <c r="V1418" s="1" t="inlineStr">
        <is>
          <t>SIN PRECIO</t>
        </is>
      </c>
    </row>
    <row r="1419">
      <c r="A1419" s="1" t="inlineStr">
        <is>
          <t>661774c19f755</t>
        </is>
      </c>
      <c r="B1419" s="1" t="inlineStr">
        <is>
          <t>PULSERA ECROU ROSEGOLD</t>
        </is>
      </c>
      <c r="C1419" s="1" t="inlineStr">
        <is>
          <t>16cm</t>
        </is>
      </c>
      <c r="D1419" s="1" t="inlineStr">
        <is>
          <t>NANCY</t>
        </is>
      </c>
      <c r="E1419" s="4">
        <f>COUNTIF('DETALLE CRONOLÓGICO'!$A$2:$A$4919,$A1419)</f>
        <v/>
      </c>
      <c r="F1419" s="4">
        <f>SUMIFS('DETALLE CRONOLÓGICO'!$I$2:$I$4919,'DETALLE CRONOLÓGICO'!$A$2:$A$4919,$A1419)</f>
        <v/>
      </c>
      <c r="G1419" s="1">
        <f>INDEX('DETALLE CRONOLÓGICO'!$D$2:$D$4919,MATCH($A1419,'DETALLE CRONOLÓGICO'!$A$2:$A$4919,0))</f>
        <v/>
      </c>
      <c r="H1419" s="1">
        <f>INDEX('DETALLE CRONOLÓGICO'!$D$2:$D$4919,MATCH($A1419,'DETALLE CRONOLÓGICO'!$A$2:$A$4919,0)+$E1419-1)</f>
        <v/>
      </c>
      <c r="I1419" s="5">
        <f>IFERROR(SUMIFS('DETALLE CRONOLÓGICO'!$L$2:$L$4919,'DETALLE CRONOLÓGICO'!$A$2:$A$4919,$A1419)/$F1419,"")</f>
        <v/>
      </c>
      <c r="J1419" s="6">
        <f>IFERROR(SUMIFS('DETALLE CRONOLÓGICO'!$K$2:$K$4919,'DETALLE CRONOLÓGICO'!$A$2:$A$4919,$A1419)/$E1419,"")</f>
        <v/>
      </c>
      <c r="K1419" s="6">
        <f>_xlfn.MINIFS('DETALLE CRONOLÓGICO'!$K$2:$K$4919,'DETALLE CRONOLÓGICO'!$A$2:$A$4919,$A1419)</f>
        <v/>
      </c>
      <c r="L1419" s="6">
        <f>_xlfn.MAXIFS('DETALLE CRONOLÓGICO'!$K$2:$K$4919,'DETALLE CRONOLÓGICO'!$A$2:$A$4919,$A1419)</f>
        <v/>
      </c>
      <c r="M1419" s="6">
        <f>INDEX('DETALLE CRONOLÓGICO'!$K$2:$K$4919,MATCH($A1419,'DETALLE CRONOLÓGICO'!$A$2:$A$4919,0)+$E1419-1)</f>
        <v/>
      </c>
      <c r="N1419" s="7">
        <f>IFERROR($M1419/INDEX('DETALLE CRONOLÓGICO'!$K$2:$K$4919,MATCH($A1419,'DETALLE CRONOLÓGICO'!$A$2:$A$4919,0))-1,"")</f>
        <v/>
      </c>
      <c r="O1419" s="6">
        <f>IFERROR($I1419*3,"")</f>
        <v/>
      </c>
      <c r="P1419" s="6">
        <f>IFERROR($I1419*3.5,"")</f>
        <v/>
      </c>
      <c r="Q1419" s="6">
        <f>IFERROR($I1419*4,"")</f>
        <v/>
      </c>
      <c r="R1419" s="6" t="n">
        <v>525</v>
      </c>
      <c r="S1419" s="4" t="n">
        <v>6</v>
      </c>
      <c r="T1419" s="1" t="inlineStr">
        <is>
          <t>active</t>
        </is>
      </c>
      <c r="U1419" s="8" t="n"/>
      <c r="V1419" s="1" t="inlineStr">
        <is>
          <t>SIN PRECIO</t>
        </is>
      </c>
    </row>
    <row r="1420">
      <c r="A1420" s="1" t="inlineStr">
        <is>
          <t>661774c1c7ccf</t>
        </is>
      </c>
      <c r="B1420" s="1" t="inlineStr">
        <is>
          <t>PULSERA ECROU GOLD</t>
        </is>
      </c>
      <c r="C1420" s="1" t="n">
        <v>20</v>
      </c>
      <c r="D1420" s="1" t="inlineStr">
        <is>
          <t>NANCY</t>
        </is>
      </c>
      <c r="E1420" s="4">
        <f>COUNTIF('DETALLE CRONOLÓGICO'!$A$2:$A$4919,$A1420)</f>
        <v/>
      </c>
      <c r="F1420" s="4">
        <f>SUMIFS('DETALLE CRONOLÓGICO'!$I$2:$I$4919,'DETALLE CRONOLÓGICO'!$A$2:$A$4919,$A1420)</f>
        <v/>
      </c>
      <c r="G1420" s="1">
        <f>INDEX('DETALLE CRONOLÓGICO'!$D$2:$D$4919,MATCH($A1420,'DETALLE CRONOLÓGICO'!$A$2:$A$4919,0))</f>
        <v/>
      </c>
      <c r="H1420" s="1">
        <f>INDEX('DETALLE CRONOLÓGICO'!$D$2:$D$4919,MATCH($A1420,'DETALLE CRONOLÓGICO'!$A$2:$A$4919,0)+$E1420-1)</f>
        <v/>
      </c>
      <c r="I1420" s="5">
        <f>IFERROR(SUMIFS('DETALLE CRONOLÓGICO'!$L$2:$L$4919,'DETALLE CRONOLÓGICO'!$A$2:$A$4919,$A1420)/$F1420,"")</f>
        <v/>
      </c>
      <c r="J1420" s="6">
        <f>IFERROR(SUMIFS('DETALLE CRONOLÓGICO'!$K$2:$K$4919,'DETALLE CRONOLÓGICO'!$A$2:$A$4919,$A1420)/$E1420,"")</f>
        <v/>
      </c>
      <c r="K1420" s="6">
        <f>_xlfn.MINIFS('DETALLE CRONOLÓGICO'!$K$2:$K$4919,'DETALLE CRONOLÓGICO'!$A$2:$A$4919,$A1420)</f>
        <v/>
      </c>
      <c r="L1420" s="6">
        <f>_xlfn.MAXIFS('DETALLE CRONOLÓGICO'!$K$2:$K$4919,'DETALLE CRONOLÓGICO'!$A$2:$A$4919,$A1420)</f>
        <v/>
      </c>
      <c r="M1420" s="6">
        <f>INDEX('DETALLE CRONOLÓGICO'!$K$2:$K$4919,MATCH($A1420,'DETALLE CRONOLÓGICO'!$A$2:$A$4919,0)+$E1420-1)</f>
        <v/>
      </c>
      <c r="N1420" s="7">
        <f>IFERROR($M1420/INDEX('DETALLE CRONOLÓGICO'!$K$2:$K$4919,MATCH($A1420,'DETALLE CRONOLÓGICO'!$A$2:$A$4919,0))-1,"")</f>
        <v/>
      </c>
      <c r="O1420" s="6">
        <f>IFERROR($I1420*3,"")</f>
        <v/>
      </c>
      <c r="P1420" s="6">
        <f>IFERROR($I1420*3.5,"")</f>
        <v/>
      </c>
      <c r="Q1420" s="6">
        <f>IFERROR($I1420*4,"")</f>
        <v/>
      </c>
      <c r="R1420" s="6" t="n">
        <v>525</v>
      </c>
      <c r="S1420" s="4" t="n">
        <v>3</v>
      </c>
      <c r="T1420" s="1" t="inlineStr">
        <is>
          <t>active</t>
        </is>
      </c>
      <c r="U1420" s="8" t="n"/>
      <c r="V1420" s="1" t="inlineStr">
        <is>
          <t>SIN PRECIO</t>
        </is>
      </c>
    </row>
    <row r="1421">
      <c r="A1421" s="1" t="inlineStr">
        <is>
          <t>661774c22d9a0</t>
        </is>
      </c>
      <c r="B1421" s="1" t="inlineStr">
        <is>
          <t>PULSERA ECROU SILVER</t>
        </is>
      </c>
      <c r="C1421" s="1" t="inlineStr">
        <is>
          <t>20cm</t>
        </is>
      </c>
      <c r="D1421" s="1" t="inlineStr">
        <is>
          <t>NANCY</t>
        </is>
      </c>
      <c r="E1421" s="4">
        <f>COUNTIF('DETALLE CRONOLÓGICO'!$A$2:$A$4919,$A1421)</f>
        <v/>
      </c>
      <c r="F1421" s="4">
        <f>SUMIFS('DETALLE CRONOLÓGICO'!$I$2:$I$4919,'DETALLE CRONOLÓGICO'!$A$2:$A$4919,$A1421)</f>
        <v/>
      </c>
      <c r="G1421" s="1">
        <f>INDEX('DETALLE CRONOLÓGICO'!$D$2:$D$4919,MATCH($A1421,'DETALLE CRONOLÓGICO'!$A$2:$A$4919,0))</f>
        <v/>
      </c>
      <c r="H1421" s="1">
        <f>INDEX('DETALLE CRONOLÓGICO'!$D$2:$D$4919,MATCH($A1421,'DETALLE CRONOLÓGICO'!$A$2:$A$4919,0)+$E1421-1)</f>
        <v/>
      </c>
      <c r="I1421" s="5">
        <f>IFERROR(SUMIFS('DETALLE CRONOLÓGICO'!$L$2:$L$4919,'DETALLE CRONOLÓGICO'!$A$2:$A$4919,$A1421)/$F1421,"")</f>
        <v/>
      </c>
      <c r="J1421" s="6">
        <f>IFERROR(SUMIFS('DETALLE CRONOLÓGICO'!$K$2:$K$4919,'DETALLE CRONOLÓGICO'!$A$2:$A$4919,$A1421)/$E1421,"")</f>
        <v/>
      </c>
      <c r="K1421" s="6">
        <f>_xlfn.MINIFS('DETALLE CRONOLÓGICO'!$K$2:$K$4919,'DETALLE CRONOLÓGICO'!$A$2:$A$4919,$A1421)</f>
        <v/>
      </c>
      <c r="L1421" s="6">
        <f>_xlfn.MAXIFS('DETALLE CRONOLÓGICO'!$K$2:$K$4919,'DETALLE CRONOLÓGICO'!$A$2:$A$4919,$A1421)</f>
        <v/>
      </c>
      <c r="M1421" s="6">
        <f>INDEX('DETALLE CRONOLÓGICO'!$K$2:$K$4919,MATCH($A1421,'DETALLE CRONOLÓGICO'!$A$2:$A$4919,0)+$E1421-1)</f>
        <v/>
      </c>
      <c r="N1421" s="7">
        <f>IFERROR($M1421/INDEX('DETALLE CRONOLÓGICO'!$K$2:$K$4919,MATCH($A1421,'DETALLE CRONOLÓGICO'!$A$2:$A$4919,0))-1,"")</f>
        <v/>
      </c>
      <c r="O1421" s="6">
        <f>IFERROR($I1421*3,"")</f>
        <v/>
      </c>
      <c r="P1421" s="6">
        <f>IFERROR($I1421*3.5,"")</f>
        <v/>
      </c>
      <c r="Q1421" s="6">
        <f>IFERROR($I1421*4,"")</f>
        <v/>
      </c>
      <c r="R1421" s="6" t="n">
        <v>525</v>
      </c>
      <c r="S1421" s="4" t="n">
        <v>9</v>
      </c>
      <c r="T1421" s="1" t="inlineStr">
        <is>
          <t>active</t>
        </is>
      </c>
      <c r="U1421" s="8" t="n"/>
      <c r="V1421" s="1" t="inlineStr">
        <is>
          <t>SIN PRECIO</t>
        </is>
      </c>
    </row>
    <row r="1422">
      <c r="A1422" s="1" t="inlineStr">
        <is>
          <t>661774c249e2a</t>
        </is>
      </c>
      <c r="B1422" s="1" t="inlineStr">
        <is>
          <t>PULSERA ECROU ROSEGOLD</t>
        </is>
      </c>
      <c r="C1422" s="1" t="inlineStr">
        <is>
          <t>20cm</t>
        </is>
      </c>
      <c r="D1422" s="1" t="inlineStr">
        <is>
          <t>NANCY</t>
        </is>
      </c>
      <c r="E1422" s="4">
        <f>COUNTIF('DETALLE CRONOLÓGICO'!$A$2:$A$4919,$A1422)</f>
        <v/>
      </c>
      <c r="F1422" s="4">
        <f>SUMIFS('DETALLE CRONOLÓGICO'!$I$2:$I$4919,'DETALLE CRONOLÓGICO'!$A$2:$A$4919,$A1422)</f>
        <v/>
      </c>
      <c r="G1422" s="1">
        <f>INDEX('DETALLE CRONOLÓGICO'!$D$2:$D$4919,MATCH($A1422,'DETALLE CRONOLÓGICO'!$A$2:$A$4919,0))</f>
        <v/>
      </c>
      <c r="H1422" s="1">
        <f>INDEX('DETALLE CRONOLÓGICO'!$D$2:$D$4919,MATCH($A1422,'DETALLE CRONOLÓGICO'!$A$2:$A$4919,0)+$E1422-1)</f>
        <v/>
      </c>
      <c r="I1422" s="5">
        <f>IFERROR(SUMIFS('DETALLE CRONOLÓGICO'!$L$2:$L$4919,'DETALLE CRONOLÓGICO'!$A$2:$A$4919,$A1422)/$F1422,"")</f>
        <v/>
      </c>
      <c r="J1422" s="6">
        <f>IFERROR(SUMIFS('DETALLE CRONOLÓGICO'!$K$2:$K$4919,'DETALLE CRONOLÓGICO'!$A$2:$A$4919,$A1422)/$E1422,"")</f>
        <v/>
      </c>
      <c r="K1422" s="6">
        <f>_xlfn.MINIFS('DETALLE CRONOLÓGICO'!$K$2:$K$4919,'DETALLE CRONOLÓGICO'!$A$2:$A$4919,$A1422)</f>
        <v/>
      </c>
      <c r="L1422" s="6">
        <f>_xlfn.MAXIFS('DETALLE CRONOLÓGICO'!$K$2:$K$4919,'DETALLE CRONOLÓGICO'!$A$2:$A$4919,$A1422)</f>
        <v/>
      </c>
      <c r="M1422" s="6">
        <f>INDEX('DETALLE CRONOLÓGICO'!$K$2:$K$4919,MATCH($A1422,'DETALLE CRONOLÓGICO'!$A$2:$A$4919,0)+$E1422-1)</f>
        <v/>
      </c>
      <c r="N1422" s="7">
        <f>IFERROR($M1422/INDEX('DETALLE CRONOLÓGICO'!$K$2:$K$4919,MATCH($A1422,'DETALLE CRONOLÓGICO'!$A$2:$A$4919,0))-1,"")</f>
        <v/>
      </c>
      <c r="O1422" s="6">
        <f>IFERROR($I1422*3,"")</f>
        <v/>
      </c>
      <c r="P1422" s="6">
        <f>IFERROR($I1422*3.5,"")</f>
        <v/>
      </c>
      <c r="Q1422" s="6">
        <f>IFERROR($I1422*4,"")</f>
        <v/>
      </c>
      <c r="R1422" s="6" t="n">
        <v>525</v>
      </c>
      <c r="S1422" s="4" t="n">
        <v>2</v>
      </c>
      <c r="T1422" s="1" t="inlineStr">
        <is>
          <t>active</t>
        </is>
      </c>
      <c r="U1422" s="8" t="n"/>
      <c r="V1422" s="1" t="inlineStr">
        <is>
          <t>SIN PRECIO</t>
        </is>
      </c>
    </row>
    <row r="1423">
      <c r="A1423" s="1" t="inlineStr">
        <is>
          <t>66177b4581060</t>
        </is>
      </c>
      <c r="B1423" s="1" t="inlineStr">
        <is>
          <t>COLLAR TRÉBOL GOLD-GREEN</t>
        </is>
      </c>
      <c r="C1423" s="1" t="inlineStr">
        <is>
          <t>(45CM)</t>
        </is>
      </c>
      <c r="D1423" s="1" t="inlineStr">
        <is>
          <t>HAIFENG</t>
        </is>
      </c>
      <c r="E1423" s="4">
        <f>COUNTIF('DETALLE CRONOLÓGICO'!$A$2:$A$4919,$A1423)</f>
        <v/>
      </c>
      <c r="F1423" s="4">
        <f>SUMIFS('DETALLE CRONOLÓGICO'!$I$2:$I$4919,'DETALLE CRONOLÓGICO'!$A$2:$A$4919,$A1423)</f>
        <v/>
      </c>
      <c r="G1423" s="1">
        <f>INDEX('DETALLE CRONOLÓGICO'!$D$2:$D$4919,MATCH($A1423,'DETALLE CRONOLÓGICO'!$A$2:$A$4919,0))</f>
        <v/>
      </c>
      <c r="H1423" s="1">
        <f>INDEX('DETALLE CRONOLÓGICO'!$D$2:$D$4919,MATCH($A1423,'DETALLE CRONOLÓGICO'!$A$2:$A$4919,0)+$E1423-1)</f>
        <v/>
      </c>
      <c r="I1423" s="5">
        <f>IFERROR(SUMIFS('DETALLE CRONOLÓGICO'!$L$2:$L$4919,'DETALLE CRONOLÓGICO'!$A$2:$A$4919,$A1423)/$F1423,"")</f>
        <v/>
      </c>
      <c r="J1423" s="6">
        <f>IFERROR(SUMIFS('DETALLE CRONOLÓGICO'!$K$2:$K$4919,'DETALLE CRONOLÓGICO'!$A$2:$A$4919,$A1423)/$E1423,"")</f>
        <v/>
      </c>
      <c r="K1423" s="6">
        <f>_xlfn.MINIFS('DETALLE CRONOLÓGICO'!$K$2:$K$4919,'DETALLE CRONOLÓGICO'!$A$2:$A$4919,$A1423)</f>
        <v/>
      </c>
      <c r="L1423" s="6">
        <f>_xlfn.MAXIFS('DETALLE CRONOLÓGICO'!$K$2:$K$4919,'DETALLE CRONOLÓGICO'!$A$2:$A$4919,$A1423)</f>
        <v/>
      </c>
      <c r="M1423" s="6">
        <f>INDEX('DETALLE CRONOLÓGICO'!$K$2:$K$4919,MATCH($A1423,'DETALLE CRONOLÓGICO'!$A$2:$A$4919,0)+$E1423-1)</f>
        <v/>
      </c>
      <c r="N1423" s="7">
        <f>IFERROR($M1423/INDEX('DETALLE CRONOLÓGICO'!$K$2:$K$4919,MATCH($A1423,'DETALLE CRONOLÓGICO'!$A$2:$A$4919,0))-1,"")</f>
        <v/>
      </c>
      <c r="O1423" s="6">
        <f>IFERROR($I1423*3,"")</f>
        <v/>
      </c>
      <c r="P1423" s="6">
        <f>IFERROR($I1423*3.5,"")</f>
        <v/>
      </c>
      <c r="Q1423" s="6">
        <f>IFERROR($I1423*4,"")</f>
        <v/>
      </c>
      <c r="R1423" s="6" t="n">
        <v>550</v>
      </c>
      <c r="S1423" s="4" t="n">
        <v>2</v>
      </c>
      <c r="T1423" s="1" t="inlineStr">
        <is>
          <t>active</t>
        </is>
      </c>
      <c r="U1423" s="8" t="n"/>
      <c r="V1423" s="1" t="inlineStr">
        <is>
          <t>SIN PRECIO</t>
        </is>
      </c>
    </row>
    <row r="1424">
      <c r="A1424" s="1" t="inlineStr">
        <is>
          <t>66177b4fc21fd</t>
        </is>
      </c>
      <c r="B1424" s="1" t="inlineStr">
        <is>
          <t>COLLAR TRÉBOL GOLD-WHITE</t>
        </is>
      </c>
      <c r="C1424" s="1" t="inlineStr">
        <is>
          <t>45CM</t>
        </is>
      </c>
      <c r="D1424" s="1" t="inlineStr">
        <is>
          <t>HAIFENG</t>
        </is>
      </c>
      <c r="E1424" s="4">
        <f>COUNTIF('DETALLE CRONOLÓGICO'!$A$2:$A$4919,$A1424)</f>
        <v/>
      </c>
      <c r="F1424" s="4">
        <f>SUMIFS('DETALLE CRONOLÓGICO'!$I$2:$I$4919,'DETALLE CRONOLÓGICO'!$A$2:$A$4919,$A1424)</f>
        <v/>
      </c>
      <c r="G1424" s="1">
        <f>INDEX('DETALLE CRONOLÓGICO'!$D$2:$D$4919,MATCH($A1424,'DETALLE CRONOLÓGICO'!$A$2:$A$4919,0))</f>
        <v/>
      </c>
      <c r="H1424" s="1">
        <f>INDEX('DETALLE CRONOLÓGICO'!$D$2:$D$4919,MATCH($A1424,'DETALLE CRONOLÓGICO'!$A$2:$A$4919,0)+$E1424-1)</f>
        <v/>
      </c>
      <c r="I1424" s="5">
        <f>IFERROR(SUMIFS('DETALLE CRONOLÓGICO'!$L$2:$L$4919,'DETALLE CRONOLÓGICO'!$A$2:$A$4919,$A1424)/$F1424,"")</f>
        <v/>
      </c>
      <c r="J1424" s="6">
        <f>IFERROR(SUMIFS('DETALLE CRONOLÓGICO'!$K$2:$K$4919,'DETALLE CRONOLÓGICO'!$A$2:$A$4919,$A1424)/$E1424,"")</f>
        <v/>
      </c>
      <c r="K1424" s="6">
        <f>_xlfn.MINIFS('DETALLE CRONOLÓGICO'!$K$2:$K$4919,'DETALLE CRONOLÓGICO'!$A$2:$A$4919,$A1424)</f>
        <v/>
      </c>
      <c r="L1424" s="6">
        <f>_xlfn.MAXIFS('DETALLE CRONOLÓGICO'!$K$2:$K$4919,'DETALLE CRONOLÓGICO'!$A$2:$A$4919,$A1424)</f>
        <v/>
      </c>
      <c r="M1424" s="6">
        <f>INDEX('DETALLE CRONOLÓGICO'!$K$2:$K$4919,MATCH($A1424,'DETALLE CRONOLÓGICO'!$A$2:$A$4919,0)+$E1424-1)</f>
        <v/>
      </c>
      <c r="N1424" s="7">
        <f>IFERROR($M1424/INDEX('DETALLE CRONOLÓGICO'!$K$2:$K$4919,MATCH($A1424,'DETALLE CRONOLÓGICO'!$A$2:$A$4919,0))-1,"")</f>
        <v/>
      </c>
      <c r="O1424" s="6">
        <f>IFERROR($I1424*3,"")</f>
        <v/>
      </c>
      <c r="P1424" s="6">
        <f>IFERROR($I1424*3.5,"")</f>
        <v/>
      </c>
      <c r="Q1424" s="6">
        <f>IFERROR($I1424*4,"")</f>
        <v/>
      </c>
      <c r="R1424" s="6" t="n">
        <v>899</v>
      </c>
      <c r="S1424" s="4" t="n">
        <v>2</v>
      </c>
      <c r="T1424" s="1" t="inlineStr">
        <is>
          <t>active</t>
        </is>
      </c>
      <c r="U1424" s="8" t="n"/>
      <c r="V1424" s="1" t="inlineStr">
        <is>
          <t>SIN PRECIO</t>
        </is>
      </c>
    </row>
    <row r="1425">
      <c r="A1425" s="1" t="inlineStr">
        <is>
          <t>66177b50250a5</t>
        </is>
      </c>
      <c r="B1425" s="1" t="inlineStr">
        <is>
          <t>COLLAR TREBOL SILVER WHITE</t>
        </is>
      </c>
      <c r="C1425" s="1" t="inlineStr">
        <is>
          <t>45cm</t>
        </is>
      </c>
      <c r="D1425" s="1" t="inlineStr">
        <is>
          <t>HAIFENG</t>
        </is>
      </c>
      <c r="E1425" s="4">
        <f>COUNTIF('DETALLE CRONOLÓGICO'!$A$2:$A$4919,$A1425)</f>
        <v/>
      </c>
      <c r="F1425" s="4">
        <f>SUMIFS('DETALLE CRONOLÓGICO'!$I$2:$I$4919,'DETALLE CRONOLÓGICO'!$A$2:$A$4919,$A1425)</f>
        <v/>
      </c>
      <c r="G1425" s="1">
        <f>INDEX('DETALLE CRONOLÓGICO'!$D$2:$D$4919,MATCH($A1425,'DETALLE CRONOLÓGICO'!$A$2:$A$4919,0))</f>
        <v/>
      </c>
      <c r="H1425" s="1">
        <f>INDEX('DETALLE CRONOLÓGICO'!$D$2:$D$4919,MATCH($A1425,'DETALLE CRONOLÓGICO'!$A$2:$A$4919,0)+$E1425-1)</f>
        <v/>
      </c>
      <c r="I1425" s="5">
        <f>IFERROR(SUMIFS('DETALLE CRONOLÓGICO'!$L$2:$L$4919,'DETALLE CRONOLÓGICO'!$A$2:$A$4919,$A1425)/$F1425,"")</f>
        <v/>
      </c>
      <c r="J1425" s="6">
        <f>IFERROR(SUMIFS('DETALLE CRONOLÓGICO'!$K$2:$K$4919,'DETALLE CRONOLÓGICO'!$A$2:$A$4919,$A1425)/$E1425,"")</f>
        <v/>
      </c>
      <c r="K1425" s="6">
        <f>_xlfn.MINIFS('DETALLE CRONOLÓGICO'!$K$2:$K$4919,'DETALLE CRONOLÓGICO'!$A$2:$A$4919,$A1425)</f>
        <v/>
      </c>
      <c r="L1425" s="6">
        <f>_xlfn.MAXIFS('DETALLE CRONOLÓGICO'!$K$2:$K$4919,'DETALLE CRONOLÓGICO'!$A$2:$A$4919,$A1425)</f>
        <v/>
      </c>
      <c r="M1425" s="6">
        <f>INDEX('DETALLE CRONOLÓGICO'!$K$2:$K$4919,MATCH($A1425,'DETALLE CRONOLÓGICO'!$A$2:$A$4919,0)+$E1425-1)</f>
        <v/>
      </c>
      <c r="N1425" s="7">
        <f>IFERROR($M1425/INDEX('DETALLE CRONOLÓGICO'!$K$2:$K$4919,MATCH($A1425,'DETALLE CRONOLÓGICO'!$A$2:$A$4919,0))-1,"")</f>
        <v/>
      </c>
      <c r="O1425" s="6">
        <f>IFERROR($I1425*3,"")</f>
        <v/>
      </c>
      <c r="P1425" s="6">
        <f>IFERROR($I1425*3.5,"")</f>
        <v/>
      </c>
      <c r="Q1425" s="6">
        <f>IFERROR($I1425*4,"")</f>
        <v/>
      </c>
      <c r="R1425" s="6" t="n">
        <v>899</v>
      </c>
      <c r="S1425" s="4" t="n">
        <v>3</v>
      </c>
      <c r="T1425" s="1" t="inlineStr">
        <is>
          <t>active</t>
        </is>
      </c>
      <c r="U1425" s="8" t="n"/>
      <c r="V1425" s="1" t="inlineStr">
        <is>
          <t>SIN PRECIO</t>
        </is>
      </c>
    </row>
    <row r="1426">
      <c r="A1426" s="1" t="inlineStr">
        <is>
          <t>66177b506a320</t>
        </is>
      </c>
      <c r="B1426" s="1" t="inlineStr">
        <is>
          <t>COLLAR TRÉBOL GOLD-RED</t>
        </is>
      </c>
      <c r="C1426" s="1" t="inlineStr">
        <is>
          <t>HIGH QUALITY (45CM)</t>
        </is>
      </c>
      <c r="D1426" s="1" t="inlineStr">
        <is>
          <t>HAIFENG</t>
        </is>
      </c>
      <c r="E1426" s="4">
        <f>COUNTIF('DETALLE CRONOLÓGICO'!$A$2:$A$4919,$A1426)</f>
        <v/>
      </c>
      <c r="F1426" s="4">
        <f>SUMIFS('DETALLE CRONOLÓGICO'!$I$2:$I$4919,'DETALLE CRONOLÓGICO'!$A$2:$A$4919,$A1426)</f>
        <v/>
      </c>
      <c r="G1426" s="1">
        <f>INDEX('DETALLE CRONOLÓGICO'!$D$2:$D$4919,MATCH($A1426,'DETALLE CRONOLÓGICO'!$A$2:$A$4919,0))</f>
        <v/>
      </c>
      <c r="H1426" s="1">
        <f>INDEX('DETALLE CRONOLÓGICO'!$D$2:$D$4919,MATCH($A1426,'DETALLE CRONOLÓGICO'!$A$2:$A$4919,0)+$E1426-1)</f>
        <v/>
      </c>
      <c r="I1426" s="5">
        <f>IFERROR(SUMIFS('DETALLE CRONOLÓGICO'!$L$2:$L$4919,'DETALLE CRONOLÓGICO'!$A$2:$A$4919,$A1426)/$F1426,"")</f>
        <v/>
      </c>
      <c r="J1426" s="6">
        <f>IFERROR(SUMIFS('DETALLE CRONOLÓGICO'!$K$2:$K$4919,'DETALLE CRONOLÓGICO'!$A$2:$A$4919,$A1426)/$E1426,"")</f>
        <v/>
      </c>
      <c r="K1426" s="6">
        <f>_xlfn.MINIFS('DETALLE CRONOLÓGICO'!$K$2:$K$4919,'DETALLE CRONOLÓGICO'!$A$2:$A$4919,$A1426)</f>
        <v/>
      </c>
      <c r="L1426" s="6">
        <f>_xlfn.MAXIFS('DETALLE CRONOLÓGICO'!$K$2:$K$4919,'DETALLE CRONOLÓGICO'!$A$2:$A$4919,$A1426)</f>
        <v/>
      </c>
      <c r="M1426" s="6">
        <f>INDEX('DETALLE CRONOLÓGICO'!$K$2:$K$4919,MATCH($A1426,'DETALLE CRONOLÓGICO'!$A$2:$A$4919,0)+$E1426-1)</f>
        <v/>
      </c>
      <c r="N1426" s="7">
        <f>IFERROR($M1426/INDEX('DETALLE CRONOLÓGICO'!$K$2:$K$4919,MATCH($A1426,'DETALLE CRONOLÓGICO'!$A$2:$A$4919,0))-1,"")</f>
        <v/>
      </c>
      <c r="O1426" s="6">
        <f>IFERROR($I1426*3,"")</f>
        <v/>
      </c>
      <c r="P1426" s="6">
        <f>IFERROR($I1426*3.5,"")</f>
        <v/>
      </c>
      <c r="Q1426" s="6">
        <f>IFERROR($I1426*4,"")</f>
        <v/>
      </c>
      <c r="R1426" s="6" t="n">
        <v>899</v>
      </c>
      <c r="S1426" s="4" t="n">
        <v>2</v>
      </c>
      <c r="T1426" s="1" t="inlineStr">
        <is>
          <t>active</t>
        </is>
      </c>
      <c r="U1426" s="8" t="n"/>
      <c r="V1426" s="1" t="inlineStr">
        <is>
          <t>SIN PRECIO</t>
        </is>
      </c>
    </row>
    <row r="1427">
      <c r="A1427" s="1" t="inlineStr">
        <is>
          <t>66177b50c9a71</t>
        </is>
      </c>
      <c r="B1427" s="1" t="inlineStr">
        <is>
          <t>COLLAR TRÉBOL BLACK-GOLD</t>
        </is>
      </c>
      <c r="C1427" s="1" t="inlineStr">
        <is>
          <t>HIGH QUALITY (45CM)</t>
        </is>
      </c>
      <c r="D1427" s="1" t="inlineStr">
        <is>
          <t>HAIFENG</t>
        </is>
      </c>
      <c r="E1427" s="4">
        <f>COUNTIF('DETALLE CRONOLÓGICO'!$A$2:$A$4919,$A1427)</f>
        <v/>
      </c>
      <c r="F1427" s="4">
        <f>SUMIFS('DETALLE CRONOLÓGICO'!$I$2:$I$4919,'DETALLE CRONOLÓGICO'!$A$2:$A$4919,$A1427)</f>
        <v/>
      </c>
      <c r="G1427" s="1">
        <f>INDEX('DETALLE CRONOLÓGICO'!$D$2:$D$4919,MATCH($A1427,'DETALLE CRONOLÓGICO'!$A$2:$A$4919,0))</f>
        <v/>
      </c>
      <c r="H1427" s="1">
        <f>INDEX('DETALLE CRONOLÓGICO'!$D$2:$D$4919,MATCH($A1427,'DETALLE CRONOLÓGICO'!$A$2:$A$4919,0)+$E1427-1)</f>
        <v/>
      </c>
      <c r="I1427" s="5">
        <f>IFERROR(SUMIFS('DETALLE CRONOLÓGICO'!$L$2:$L$4919,'DETALLE CRONOLÓGICO'!$A$2:$A$4919,$A1427)/$F1427,"")</f>
        <v/>
      </c>
      <c r="J1427" s="6">
        <f>IFERROR(SUMIFS('DETALLE CRONOLÓGICO'!$K$2:$K$4919,'DETALLE CRONOLÓGICO'!$A$2:$A$4919,$A1427)/$E1427,"")</f>
        <v/>
      </c>
      <c r="K1427" s="6">
        <f>_xlfn.MINIFS('DETALLE CRONOLÓGICO'!$K$2:$K$4919,'DETALLE CRONOLÓGICO'!$A$2:$A$4919,$A1427)</f>
        <v/>
      </c>
      <c r="L1427" s="6">
        <f>_xlfn.MAXIFS('DETALLE CRONOLÓGICO'!$K$2:$K$4919,'DETALLE CRONOLÓGICO'!$A$2:$A$4919,$A1427)</f>
        <v/>
      </c>
      <c r="M1427" s="6">
        <f>INDEX('DETALLE CRONOLÓGICO'!$K$2:$K$4919,MATCH($A1427,'DETALLE CRONOLÓGICO'!$A$2:$A$4919,0)+$E1427-1)</f>
        <v/>
      </c>
      <c r="N1427" s="7">
        <f>IFERROR($M1427/INDEX('DETALLE CRONOLÓGICO'!$K$2:$K$4919,MATCH($A1427,'DETALLE CRONOLÓGICO'!$A$2:$A$4919,0))-1,"")</f>
        <v/>
      </c>
      <c r="O1427" s="6">
        <f>IFERROR($I1427*3,"")</f>
        <v/>
      </c>
      <c r="P1427" s="6">
        <f>IFERROR($I1427*3.5,"")</f>
        <v/>
      </c>
      <c r="Q1427" s="6">
        <f>IFERROR($I1427*4,"")</f>
        <v/>
      </c>
      <c r="R1427" s="6" t="n">
        <v>550</v>
      </c>
      <c r="S1427" s="4" t="n">
        <v>3</v>
      </c>
      <c r="T1427" s="1" t="inlineStr">
        <is>
          <t>active</t>
        </is>
      </c>
      <c r="U1427" s="8" t="n"/>
      <c r="V1427" s="1" t="inlineStr">
        <is>
          <t>SIN PRECIO</t>
        </is>
      </c>
    </row>
    <row r="1428">
      <c r="A1428" s="1" t="inlineStr">
        <is>
          <t>66177b572d821</t>
        </is>
      </c>
      <c r="B1428" s="1" t="inlineStr">
        <is>
          <t>COLLAR TREBOL ROSEGOLD</t>
        </is>
      </c>
      <c r="C1428" s="1" t="inlineStr">
        <is>
          <t>HIGH QUALITY 41cm con extensión de 3cm</t>
        </is>
      </c>
      <c r="D1428" s="1" t="inlineStr">
        <is>
          <t>HAIFENG</t>
        </is>
      </c>
      <c r="E1428" s="4">
        <f>COUNTIF('DETALLE CRONOLÓGICO'!$A$2:$A$4919,$A1428)</f>
        <v/>
      </c>
      <c r="F1428" s="4">
        <f>SUMIFS('DETALLE CRONOLÓGICO'!$I$2:$I$4919,'DETALLE CRONOLÓGICO'!$A$2:$A$4919,$A1428)</f>
        <v/>
      </c>
      <c r="G1428" s="1">
        <f>INDEX('DETALLE CRONOLÓGICO'!$D$2:$D$4919,MATCH($A1428,'DETALLE CRONOLÓGICO'!$A$2:$A$4919,0))</f>
        <v/>
      </c>
      <c r="H1428" s="1">
        <f>INDEX('DETALLE CRONOLÓGICO'!$D$2:$D$4919,MATCH($A1428,'DETALLE CRONOLÓGICO'!$A$2:$A$4919,0)+$E1428-1)</f>
        <v/>
      </c>
      <c r="I1428" s="5">
        <f>IFERROR(SUMIFS('DETALLE CRONOLÓGICO'!$L$2:$L$4919,'DETALLE CRONOLÓGICO'!$A$2:$A$4919,$A1428)/$F1428,"")</f>
        <v/>
      </c>
      <c r="J1428" s="6">
        <f>IFERROR(SUMIFS('DETALLE CRONOLÓGICO'!$K$2:$K$4919,'DETALLE CRONOLÓGICO'!$A$2:$A$4919,$A1428)/$E1428,"")</f>
        <v/>
      </c>
      <c r="K1428" s="6">
        <f>_xlfn.MINIFS('DETALLE CRONOLÓGICO'!$K$2:$K$4919,'DETALLE CRONOLÓGICO'!$A$2:$A$4919,$A1428)</f>
        <v/>
      </c>
      <c r="L1428" s="6">
        <f>_xlfn.MAXIFS('DETALLE CRONOLÓGICO'!$K$2:$K$4919,'DETALLE CRONOLÓGICO'!$A$2:$A$4919,$A1428)</f>
        <v/>
      </c>
      <c r="M1428" s="6">
        <f>INDEX('DETALLE CRONOLÓGICO'!$K$2:$K$4919,MATCH($A1428,'DETALLE CRONOLÓGICO'!$A$2:$A$4919,0)+$E1428-1)</f>
        <v/>
      </c>
      <c r="N1428" s="7">
        <f>IFERROR($M1428/INDEX('DETALLE CRONOLÓGICO'!$K$2:$K$4919,MATCH($A1428,'DETALLE CRONOLÓGICO'!$A$2:$A$4919,0))-1,"")</f>
        <v/>
      </c>
      <c r="O1428" s="6">
        <f>IFERROR($I1428*3,"")</f>
        <v/>
      </c>
      <c r="P1428" s="6">
        <f>IFERROR($I1428*3.5,"")</f>
        <v/>
      </c>
      <c r="Q1428" s="6">
        <f>IFERROR($I1428*4,"")</f>
        <v/>
      </c>
      <c r="R1428" s="6" t="n">
        <v>899</v>
      </c>
      <c r="S1428" s="4" t="n">
        <v>2</v>
      </c>
      <c r="T1428" s="1" t="inlineStr">
        <is>
          <t>active</t>
        </is>
      </c>
      <c r="U1428" s="8" t="n"/>
      <c r="V1428" s="1" t="inlineStr">
        <is>
          <t>SIN PRECIO</t>
        </is>
      </c>
    </row>
    <row r="1429">
      <c r="A1429" s="1" t="inlineStr">
        <is>
          <t>66177be046ec0-1</t>
        </is>
      </c>
      <c r="B1429" s="1" t="inlineStr">
        <is>
          <t>COLLAR CLAVO ROUND ROSEGOLD</t>
        </is>
      </c>
      <c r="C1429" s="1" t="inlineStr">
        <is>
          <t>Regular</t>
        </is>
      </c>
      <c r="D1429" s="1" t="inlineStr">
        <is>
          <t>NANCY</t>
        </is>
      </c>
      <c r="E1429" s="4">
        <f>COUNTIF('DETALLE CRONOLÓGICO'!$A$2:$A$4919,$A1429)</f>
        <v/>
      </c>
      <c r="F1429" s="4">
        <f>SUMIFS('DETALLE CRONOLÓGICO'!$I$2:$I$4919,'DETALLE CRONOLÓGICO'!$A$2:$A$4919,$A1429)</f>
        <v/>
      </c>
      <c r="G1429" s="1">
        <f>INDEX('DETALLE CRONOLÓGICO'!$D$2:$D$4919,MATCH($A1429,'DETALLE CRONOLÓGICO'!$A$2:$A$4919,0))</f>
        <v/>
      </c>
      <c r="H1429" s="1">
        <f>INDEX('DETALLE CRONOLÓGICO'!$D$2:$D$4919,MATCH($A1429,'DETALLE CRONOLÓGICO'!$A$2:$A$4919,0)+$E1429-1)</f>
        <v/>
      </c>
      <c r="I1429" s="5">
        <f>IFERROR(SUMIFS('DETALLE CRONOLÓGICO'!$L$2:$L$4919,'DETALLE CRONOLÓGICO'!$A$2:$A$4919,$A1429)/$F1429,"")</f>
        <v/>
      </c>
      <c r="J1429" s="6">
        <f>IFERROR(SUMIFS('DETALLE CRONOLÓGICO'!$K$2:$K$4919,'DETALLE CRONOLÓGICO'!$A$2:$A$4919,$A1429)/$E1429,"")</f>
        <v/>
      </c>
      <c r="K1429" s="6">
        <f>_xlfn.MINIFS('DETALLE CRONOLÓGICO'!$K$2:$K$4919,'DETALLE CRONOLÓGICO'!$A$2:$A$4919,$A1429)</f>
        <v/>
      </c>
      <c r="L1429" s="6">
        <f>_xlfn.MAXIFS('DETALLE CRONOLÓGICO'!$K$2:$K$4919,'DETALLE CRONOLÓGICO'!$A$2:$A$4919,$A1429)</f>
        <v/>
      </c>
      <c r="M1429" s="6">
        <f>INDEX('DETALLE CRONOLÓGICO'!$K$2:$K$4919,MATCH($A1429,'DETALLE CRONOLÓGICO'!$A$2:$A$4919,0)+$E1429-1)</f>
        <v/>
      </c>
      <c r="N1429" s="7">
        <f>IFERROR($M1429/INDEX('DETALLE CRONOLÓGICO'!$K$2:$K$4919,MATCH($A1429,'DETALLE CRONOLÓGICO'!$A$2:$A$4919,0))-1,"")</f>
        <v/>
      </c>
      <c r="O1429" s="6">
        <f>IFERROR($I1429*3,"")</f>
        <v/>
      </c>
      <c r="P1429" s="6">
        <f>IFERROR($I1429*3.5,"")</f>
        <v/>
      </c>
      <c r="Q1429" s="6">
        <f>IFERROR($I1429*4,"")</f>
        <v/>
      </c>
      <c r="R1429" s="6" t="n">
        <v>650</v>
      </c>
      <c r="S1429" s="4" t="n">
        <v>1</v>
      </c>
      <c r="T1429" s="1" t="inlineStr">
        <is>
          <t>active</t>
        </is>
      </c>
      <c r="U1429" s="8" t="n"/>
      <c r="V1429" s="1" t="inlineStr">
        <is>
          <t>SIN PRECIO</t>
        </is>
      </c>
    </row>
    <row r="1430">
      <c r="A1430" s="1" t="inlineStr">
        <is>
          <t>66177be17fc51</t>
        </is>
      </c>
      <c r="B1430" s="1" t="inlineStr">
        <is>
          <t>COLLAR CLAVO ROUND GOLD</t>
        </is>
      </c>
      <c r="C1430" s="1" t="inlineStr">
        <is>
          <t>Regular</t>
        </is>
      </c>
      <c r="D1430" s="1" t="inlineStr">
        <is>
          <t>NANCY</t>
        </is>
      </c>
      <c r="E1430" s="4">
        <f>COUNTIF('DETALLE CRONOLÓGICO'!$A$2:$A$4919,$A1430)</f>
        <v/>
      </c>
      <c r="F1430" s="4">
        <f>SUMIFS('DETALLE CRONOLÓGICO'!$I$2:$I$4919,'DETALLE CRONOLÓGICO'!$A$2:$A$4919,$A1430)</f>
        <v/>
      </c>
      <c r="G1430" s="1">
        <f>INDEX('DETALLE CRONOLÓGICO'!$D$2:$D$4919,MATCH($A1430,'DETALLE CRONOLÓGICO'!$A$2:$A$4919,0))</f>
        <v/>
      </c>
      <c r="H1430" s="1">
        <f>INDEX('DETALLE CRONOLÓGICO'!$D$2:$D$4919,MATCH($A1430,'DETALLE CRONOLÓGICO'!$A$2:$A$4919,0)+$E1430-1)</f>
        <v/>
      </c>
      <c r="I1430" s="5">
        <f>IFERROR(SUMIFS('DETALLE CRONOLÓGICO'!$L$2:$L$4919,'DETALLE CRONOLÓGICO'!$A$2:$A$4919,$A1430)/$F1430,"")</f>
        <v/>
      </c>
      <c r="J1430" s="6">
        <f>IFERROR(SUMIFS('DETALLE CRONOLÓGICO'!$K$2:$K$4919,'DETALLE CRONOLÓGICO'!$A$2:$A$4919,$A1430)/$E1430,"")</f>
        <v/>
      </c>
      <c r="K1430" s="6">
        <f>_xlfn.MINIFS('DETALLE CRONOLÓGICO'!$K$2:$K$4919,'DETALLE CRONOLÓGICO'!$A$2:$A$4919,$A1430)</f>
        <v/>
      </c>
      <c r="L1430" s="6">
        <f>_xlfn.MAXIFS('DETALLE CRONOLÓGICO'!$K$2:$K$4919,'DETALLE CRONOLÓGICO'!$A$2:$A$4919,$A1430)</f>
        <v/>
      </c>
      <c r="M1430" s="6">
        <f>INDEX('DETALLE CRONOLÓGICO'!$K$2:$K$4919,MATCH($A1430,'DETALLE CRONOLÓGICO'!$A$2:$A$4919,0)+$E1430-1)</f>
        <v/>
      </c>
      <c r="N1430" s="7">
        <f>IFERROR($M1430/INDEX('DETALLE CRONOLÓGICO'!$K$2:$K$4919,MATCH($A1430,'DETALLE CRONOLÓGICO'!$A$2:$A$4919,0))-1,"")</f>
        <v/>
      </c>
      <c r="O1430" s="6">
        <f>IFERROR($I1430*3,"")</f>
        <v/>
      </c>
      <c r="P1430" s="6">
        <f>IFERROR($I1430*3.5,"")</f>
        <v/>
      </c>
      <c r="Q1430" s="6">
        <f>IFERROR($I1430*4,"")</f>
        <v/>
      </c>
      <c r="R1430" s="6" t="n">
        <v>650</v>
      </c>
      <c r="S1430" s="4" t="n">
        <v>0</v>
      </c>
      <c r="T1430" s="1" t="inlineStr">
        <is>
          <t>active</t>
        </is>
      </c>
      <c r="U1430" s="8" t="n"/>
      <c r="V1430" s="1" t="inlineStr">
        <is>
          <t>SIN PRECIO</t>
        </is>
      </c>
    </row>
    <row r="1431">
      <c r="A1431" s="1" t="inlineStr">
        <is>
          <t>66177c3e7206b</t>
        </is>
      </c>
      <c r="B1431" s="1" t="inlineStr">
        <is>
          <t>COLLAR LOVE-LOVE GOLD</t>
        </is>
      </c>
      <c r="C1431" s="1" t="inlineStr">
        <is>
          <t>46cm con 5cm de extension</t>
        </is>
      </c>
      <c r="D1431" s="1" t="inlineStr">
        <is>
          <t>HAIFENG</t>
        </is>
      </c>
      <c r="E1431" s="4">
        <f>COUNTIF('DETALLE CRONOLÓGICO'!$A$2:$A$4919,$A1431)</f>
        <v/>
      </c>
      <c r="F1431" s="4">
        <f>SUMIFS('DETALLE CRONOLÓGICO'!$I$2:$I$4919,'DETALLE CRONOLÓGICO'!$A$2:$A$4919,$A1431)</f>
        <v/>
      </c>
      <c r="G1431" s="1">
        <f>INDEX('DETALLE CRONOLÓGICO'!$D$2:$D$4919,MATCH($A1431,'DETALLE CRONOLÓGICO'!$A$2:$A$4919,0))</f>
        <v/>
      </c>
      <c r="H1431" s="1">
        <f>INDEX('DETALLE CRONOLÓGICO'!$D$2:$D$4919,MATCH($A1431,'DETALLE CRONOLÓGICO'!$A$2:$A$4919,0)+$E1431-1)</f>
        <v/>
      </c>
      <c r="I1431" s="5">
        <f>IFERROR(SUMIFS('DETALLE CRONOLÓGICO'!$L$2:$L$4919,'DETALLE CRONOLÓGICO'!$A$2:$A$4919,$A1431)/$F1431,"")</f>
        <v/>
      </c>
      <c r="J1431" s="6">
        <f>IFERROR(SUMIFS('DETALLE CRONOLÓGICO'!$K$2:$K$4919,'DETALLE CRONOLÓGICO'!$A$2:$A$4919,$A1431)/$E1431,"")</f>
        <v/>
      </c>
      <c r="K1431" s="6">
        <f>_xlfn.MINIFS('DETALLE CRONOLÓGICO'!$K$2:$K$4919,'DETALLE CRONOLÓGICO'!$A$2:$A$4919,$A1431)</f>
        <v/>
      </c>
      <c r="L1431" s="6">
        <f>_xlfn.MAXIFS('DETALLE CRONOLÓGICO'!$K$2:$K$4919,'DETALLE CRONOLÓGICO'!$A$2:$A$4919,$A1431)</f>
        <v/>
      </c>
      <c r="M1431" s="6">
        <f>INDEX('DETALLE CRONOLÓGICO'!$K$2:$K$4919,MATCH($A1431,'DETALLE CRONOLÓGICO'!$A$2:$A$4919,0)+$E1431-1)</f>
        <v/>
      </c>
      <c r="N1431" s="7">
        <f>IFERROR($M1431/INDEX('DETALLE CRONOLÓGICO'!$K$2:$K$4919,MATCH($A1431,'DETALLE CRONOLÓGICO'!$A$2:$A$4919,0))-1,"")</f>
        <v/>
      </c>
      <c r="O1431" s="6">
        <f>IFERROR($I1431*3,"")</f>
        <v/>
      </c>
      <c r="P1431" s="6">
        <f>IFERROR($I1431*3.5,"")</f>
        <v/>
      </c>
      <c r="Q1431" s="6">
        <f>IFERROR($I1431*4,"")</f>
        <v/>
      </c>
      <c r="R1431" s="6" t="n">
        <v>440</v>
      </c>
      <c r="S1431" s="4" t="n">
        <v>7</v>
      </c>
      <c r="T1431" s="1" t="inlineStr">
        <is>
          <t>active</t>
        </is>
      </c>
      <c r="U1431" s="8" t="n"/>
      <c r="V1431" s="1" t="inlineStr">
        <is>
          <t>SIN PRECIO</t>
        </is>
      </c>
    </row>
    <row r="1432">
      <c r="A1432" s="1" t="inlineStr">
        <is>
          <t>66178423967c9</t>
        </is>
      </c>
      <c r="B1432" s="1" t="inlineStr">
        <is>
          <t>COLLAR SERPENTI CON ZIRCONIA</t>
        </is>
      </c>
      <c r="C1432" s="1" t="inlineStr">
        <is>
          <t>46cm</t>
        </is>
      </c>
      <c r="D1432" s="1" t="inlineStr">
        <is>
          <t>HAIFENG / NANCY</t>
        </is>
      </c>
      <c r="E1432" s="4">
        <f>COUNTIF('DETALLE CRONOLÓGICO'!$A$2:$A$4919,$A1432)</f>
        <v/>
      </c>
      <c r="F1432" s="4">
        <f>SUMIFS('DETALLE CRONOLÓGICO'!$I$2:$I$4919,'DETALLE CRONOLÓGICO'!$A$2:$A$4919,$A1432)</f>
        <v/>
      </c>
      <c r="G1432" s="1">
        <f>INDEX('DETALLE CRONOLÓGICO'!$D$2:$D$4919,MATCH($A1432,'DETALLE CRONOLÓGICO'!$A$2:$A$4919,0))</f>
        <v/>
      </c>
      <c r="H1432" s="1">
        <f>INDEX('DETALLE CRONOLÓGICO'!$D$2:$D$4919,MATCH($A1432,'DETALLE CRONOLÓGICO'!$A$2:$A$4919,0)+$E1432-1)</f>
        <v/>
      </c>
      <c r="I1432" s="5">
        <f>IFERROR(SUMIFS('DETALLE CRONOLÓGICO'!$L$2:$L$4919,'DETALLE CRONOLÓGICO'!$A$2:$A$4919,$A1432)/$F1432,"")</f>
        <v/>
      </c>
      <c r="J1432" s="6">
        <f>IFERROR(SUMIFS('DETALLE CRONOLÓGICO'!$K$2:$K$4919,'DETALLE CRONOLÓGICO'!$A$2:$A$4919,$A1432)/$E1432,"")</f>
        <v/>
      </c>
      <c r="K1432" s="6">
        <f>_xlfn.MINIFS('DETALLE CRONOLÓGICO'!$K$2:$K$4919,'DETALLE CRONOLÓGICO'!$A$2:$A$4919,$A1432)</f>
        <v/>
      </c>
      <c r="L1432" s="6">
        <f>_xlfn.MAXIFS('DETALLE CRONOLÓGICO'!$K$2:$K$4919,'DETALLE CRONOLÓGICO'!$A$2:$A$4919,$A1432)</f>
        <v/>
      </c>
      <c r="M1432" s="6">
        <f>INDEX('DETALLE CRONOLÓGICO'!$K$2:$K$4919,MATCH($A1432,'DETALLE CRONOLÓGICO'!$A$2:$A$4919,0)+$E1432-1)</f>
        <v/>
      </c>
      <c r="N1432" s="7">
        <f>IFERROR($M1432/INDEX('DETALLE CRONOLÓGICO'!$K$2:$K$4919,MATCH($A1432,'DETALLE CRONOLÓGICO'!$A$2:$A$4919,0))-1,"")</f>
        <v/>
      </c>
      <c r="O1432" s="6">
        <f>IFERROR($I1432*3,"")</f>
        <v/>
      </c>
      <c r="P1432" s="6">
        <f>IFERROR($I1432*3.5,"")</f>
        <v/>
      </c>
      <c r="Q1432" s="6">
        <f>IFERROR($I1432*4,"")</f>
        <v/>
      </c>
      <c r="R1432" s="6" t="n">
        <v>2650</v>
      </c>
      <c r="S1432" s="4" t="n">
        <v>2</v>
      </c>
      <c r="T1432" s="1" t="inlineStr">
        <is>
          <t>active</t>
        </is>
      </c>
      <c r="U1432" s="8" t="n"/>
      <c r="V1432" s="1" t="inlineStr">
        <is>
          <t>SIN PRECIO</t>
        </is>
      </c>
    </row>
    <row r="1433">
      <c r="A1433" s="1" t="inlineStr">
        <is>
          <t>6617849b95942</t>
        </is>
      </c>
      <c r="B1433" s="1" t="inlineStr">
        <is>
          <t>ARETES TREBOL SILVER BLACK</t>
        </is>
      </c>
      <c r="C1433" s="1" t="inlineStr">
        <is>
          <t>Default Title</t>
        </is>
      </c>
      <c r="D1433" s="1" t="inlineStr">
        <is>
          <t>HAIFENG</t>
        </is>
      </c>
      <c r="E1433" s="4">
        <f>COUNTIF('DETALLE CRONOLÓGICO'!$A$2:$A$4919,$A1433)</f>
        <v/>
      </c>
      <c r="F1433" s="4">
        <f>SUMIFS('DETALLE CRONOLÓGICO'!$I$2:$I$4919,'DETALLE CRONOLÓGICO'!$A$2:$A$4919,$A1433)</f>
        <v/>
      </c>
      <c r="G1433" s="1">
        <f>INDEX('DETALLE CRONOLÓGICO'!$D$2:$D$4919,MATCH($A1433,'DETALLE CRONOLÓGICO'!$A$2:$A$4919,0))</f>
        <v/>
      </c>
      <c r="H1433" s="1">
        <f>INDEX('DETALLE CRONOLÓGICO'!$D$2:$D$4919,MATCH($A1433,'DETALLE CRONOLÓGICO'!$A$2:$A$4919,0)+$E1433-1)</f>
        <v/>
      </c>
      <c r="I1433" s="5">
        <f>IFERROR(SUMIFS('DETALLE CRONOLÓGICO'!$L$2:$L$4919,'DETALLE CRONOLÓGICO'!$A$2:$A$4919,$A1433)/$F1433,"")</f>
        <v/>
      </c>
      <c r="J1433" s="6">
        <f>IFERROR(SUMIFS('DETALLE CRONOLÓGICO'!$K$2:$K$4919,'DETALLE CRONOLÓGICO'!$A$2:$A$4919,$A1433)/$E1433,"")</f>
        <v/>
      </c>
      <c r="K1433" s="6">
        <f>_xlfn.MINIFS('DETALLE CRONOLÓGICO'!$K$2:$K$4919,'DETALLE CRONOLÓGICO'!$A$2:$A$4919,$A1433)</f>
        <v/>
      </c>
      <c r="L1433" s="6">
        <f>_xlfn.MAXIFS('DETALLE CRONOLÓGICO'!$K$2:$K$4919,'DETALLE CRONOLÓGICO'!$A$2:$A$4919,$A1433)</f>
        <v/>
      </c>
      <c r="M1433" s="6">
        <f>INDEX('DETALLE CRONOLÓGICO'!$K$2:$K$4919,MATCH($A1433,'DETALLE CRONOLÓGICO'!$A$2:$A$4919,0)+$E1433-1)</f>
        <v/>
      </c>
      <c r="N1433" s="7">
        <f>IFERROR($M1433/INDEX('DETALLE CRONOLÓGICO'!$K$2:$K$4919,MATCH($A1433,'DETALLE CRONOLÓGICO'!$A$2:$A$4919,0))-1,"")</f>
        <v/>
      </c>
      <c r="O1433" s="6">
        <f>IFERROR($I1433*3,"")</f>
        <v/>
      </c>
      <c r="P1433" s="6">
        <f>IFERROR($I1433*3.5,"")</f>
        <v/>
      </c>
      <c r="Q1433" s="6">
        <f>IFERROR($I1433*4,"")</f>
        <v/>
      </c>
      <c r="R1433" s="6" t="n">
        <v>832</v>
      </c>
      <c r="S1433" s="4" t="n">
        <v>5</v>
      </c>
      <c r="T1433" s="1" t="inlineStr">
        <is>
          <t>active</t>
        </is>
      </c>
      <c r="U1433" s="8" t="n"/>
      <c r="V1433" s="1" t="inlineStr">
        <is>
          <t>SIN PRECIO</t>
        </is>
      </c>
    </row>
    <row r="1434">
      <c r="A1434" s="1" t="inlineStr">
        <is>
          <t>6617849b98dff</t>
        </is>
      </c>
      <c r="B1434" s="1" t="inlineStr">
        <is>
          <t>ARETES TREBOL SILVER</t>
        </is>
      </c>
      <c r="C1434" s="1" t="inlineStr">
        <is>
          <t>Default Title</t>
        </is>
      </c>
      <c r="D1434" s="1" t="inlineStr">
        <is>
          <t>HAIFENG</t>
        </is>
      </c>
      <c r="E1434" s="4">
        <f>COUNTIF('DETALLE CRONOLÓGICO'!$A$2:$A$4919,$A1434)</f>
        <v/>
      </c>
      <c r="F1434" s="4">
        <f>SUMIFS('DETALLE CRONOLÓGICO'!$I$2:$I$4919,'DETALLE CRONOLÓGICO'!$A$2:$A$4919,$A1434)</f>
        <v/>
      </c>
      <c r="G1434" s="1">
        <f>INDEX('DETALLE CRONOLÓGICO'!$D$2:$D$4919,MATCH($A1434,'DETALLE CRONOLÓGICO'!$A$2:$A$4919,0))</f>
        <v/>
      </c>
      <c r="H1434" s="1">
        <f>INDEX('DETALLE CRONOLÓGICO'!$D$2:$D$4919,MATCH($A1434,'DETALLE CRONOLÓGICO'!$A$2:$A$4919,0)+$E1434-1)</f>
        <v/>
      </c>
      <c r="I1434" s="5">
        <f>IFERROR(SUMIFS('DETALLE CRONOLÓGICO'!$L$2:$L$4919,'DETALLE CRONOLÓGICO'!$A$2:$A$4919,$A1434)/$F1434,"")</f>
        <v/>
      </c>
      <c r="J1434" s="6">
        <f>IFERROR(SUMIFS('DETALLE CRONOLÓGICO'!$K$2:$K$4919,'DETALLE CRONOLÓGICO'!$A$2:$A$4919,$A1434)/$E1434,"")</f>
        <v/>
      </c>
      <c r="K1434" s="6">
        <f>_xlfn.MINIFS('DETALLE CRONOLÓGICO'!$K$2:$K$4919,'DETALLE CRONOLÓGICO'!$A$2:$A$4919,$A1434)</f>
        <v/>
      </c>
      <c r="L1434" s="6">
        <f>_xlfn.MAXIFS('DETALLE CRONOLÓGICO'!$K$2:$K$4919,'DETALLE CRONOLÓGICO'!$A$2:$A$4919,$A1434)</f>
        <v/>
      </c>
      <c r="M1434" s="6">
        <f>INDEX('DETALLE CRONOLÓGICO'!$K$2:$K$4919,MATCH($A1434,'DETALLE CRONOLÓGICO'!$A$2:$A$4919,0)+$E1434-1)</f>
        <v/>
      </c>
      <c r="N1434" s="7">
        <f>IFERROR($M1434/INDEX('DETALLE CRONOLÓGICO'!$K$2:$K$4919,MATCH($A1434,'DETALLE CRONOLÓGICO'!$A$2:$A$4919,0))-1,"")</f>
        <v/>
      </c>
      <c r="O1434" s="6">
        <f>IFERROR($I1434*3,"")</f>
        <v/>
      </c>
      <c r="P1434" s="6">
        <f>IFERROR($I1434*3.5,"")</f>
        <v/>
      </c>
      <c r="Q1434" s="6">
        <f>IFERROR($I1434*4,"")</f>
        <v/>
      </c>
      <c r="R1434" s="6" t="n">
        <v>850</v>
      </c>
      <c r="S1434" s="4" t="n">
        <v>2</v>
      </c>
      <c r="T1434" s="1" t="inlineStr">
        <is>
          <t>active</t>
        </is>
      </c>
      <c r="U1434" s="8" t="n"/>
      <c r="V1434" s="1" t="inlineStr">
        <is>
          <t>SIN PRECIO</t>
        </is>
      </c>
    </row>
    <row r="1435">
      <c r="A1435" s="1" t="inlineStr">
        <is>
          <t>6617849b9a844</t>
        </is>
      </c>
      <c r="B1435" s="1" t="inlineStr">
        <is>
          <t>ARETES TRÉBOL GOLD</t>
        </is>
      </c>
      <c r="C1435" s="1" t="inlineStr">
        <is>
          <t>HIGH QUALITY</t>
        </is>
      </c>
      <c r="D1435" s="1" t="inlineStr">
        <is>
          <t>HAIFENG</t>
        </is>
      </c>
      <c r="E1435" s="4">
        <f>COUNTIF('DETALLE CRONOLÓGICO'!$A$2:$A$4919,$A1435)</f>
        <v/>
      </c>
      <c r="F1435" s="4">
        <f>SUMIFS('DETALLE CRONOLÓGICO'!$I$2:$I$4919,'DETALLE CRONOLÓGICO'!$A$2:$A$4919,$A1435)</f>
        <v/>
      </c>
      <c r="G1435" s="1">
        <f>INDEX('DETALLE CRONOLÓGICO'!$D$2:$D$4919,MATCH($A1435,'DETALLE CRONOLÓGICO'!$A$2:$A$4919,0))</f>
        <v/>
      </c>
      <c r="H1435" s="1">
        <f>INDEX('DETALLE CRONOLÓGICO'!$D$2:$D$4919,MATCH($A1435,'DETALLE CRONOLÓGICO'!$A$2:$A$4919,0)+$E1435-1)</f>
        <v/>
      </c>
      <c r="I1435" s="5">
        <f>IFERROR(SUMIFS('DETALLE CRONOLÓGICO'!$L$2:$L$4919,'DETALLE CRONOLÓGICO'!$A$2:$A$4919,$A1435)/$F1435,"")</f>
        <v/>
      </c>
      <c r="J1435" s="6">
        <f>IFERROR(SUMIFS('DETALLE CRONOLÓGICO'!$K$2:$K$4919,'DETALLE CRONOLÓGICO'!$A$2:$A$4919,$A1435)/$E1435,"")</f>
        <v/>
      </c>
      <c r="K1435" s="6">
        <f>_xlfn.MINIFS('DETALLE CRONOLÓGICO'!$K$2:$K$4919,'DETALLE CRONOLÓGICO'!$A$2:$A$4919,$A1435)</f>
        <v/>
      </c>
      <c r="L1435" s="6">
        <f>_xlfn.MAXIFS('DETALLE CRONOLÓGICO'!$K$2:$K$4919,'DETALLE CRONOLÓGICO'!$A$2:$A$4919,$A1435)</f>
        <v/>
      </c>
      <c r="M1435" s="6">
        <f>INDEX('DETALLE CRONOLÓGICO'!$K$2:$K$4919,MATCH($A1435,'DETALLE CRONOLÓGICO'!$A$2:$A$4919,0)+$E1435-1)</f>
        <v/>
      </c>
      <c r="N1435" s="7">
        <f>IFERROR($M1435/INDEX('DETALLE CRONOLÓGICO'!$K$2:$K$4919,MATCH($A1435,'DETALLE CRONOLÓGICO'!$A$2:$A$4919,0))-1,"")</f>
        <v/>
      </c>
      <c r="O1435" s="6">
        <f>IFERROR($I1435*3,"")</f>
        <v/>
      </c>
      <c r="P1435" s="6">
        <f>IFERROR($I1435*3.5,"")</f>
        <v/>
      </c>
      <c r="Q1435" s="6">
        <f>IFERROR($I1435*4,"")</f>
        <v/>
      </c>
      <c r="R1435" s="6" t="n">
        <v>699</v>
      </c>
      <c r="S1435" s="4" t="n">
        <v>3</v>
      </c>
      <c r="T1435" s="1" t="inlineStr">
        <is>
          <t>active</t>
        </is>
      </c>
      <c r="U1435" s="8" t="n"/>
      <c r="V1435" s="1" t="inlineStr">
        <is>
          <t>SIN PRECIO</t>
        </is>
      </c>
    </row>
    <row r="1436">
      <c r="A1436" s="1" t="inlineStr">
        <is>
          <t>6617849bc365a</t>
        </is>
      </c>
      <c r="B1436" s="1" t="inlineStr">
        <is>
          <t>ARETES TRÉBOL ROSE GOLD RED</t>
        </is>
      </c>
      <c r="C1436" s="1" t="inlineStr">
        <is>
          <t>Default Title</t>
        </is>
      </c>
      <c r="D1436" s="1" t="inlineStr">
        <is>
          <t>HAIFENG</t>
        </is>
      </c>
      <c r="E1436" s="4">
        <f>COUNTIF('DETALLE CRONOLÓGICO'!$A$2:$A$4919,$A1436)</f>
        <v/>
      </c>
      <c r="F1436" s="4">
        <f>SUMIFS('DETALLE CRONOLÓGICO'!$I$2:$I$4919,'DETALLE CRONOLÓGICO'!$A$2:$A$4919,$A1436)</f>
        <v/>
      </c>
      <c r="G1436" s="1">
        <f>INDEX('DETALLE CRONOLÓGICO'!$D$2:$D$4919,MATCH($A1436,'DETALLE CRONOLÓGICO'!$A$2:$A$4919,0))</f>
        <v/>
      </c>
      <c r="H1436" s="1">
        <f>INDEX('DETALLE CRONOLÓGICO'!$D$2:$D$4919,MATCH($A1436,'DETALLE CRONOLÓGICO'!$A$2:$A$4919,0)+$E1436-1)</f>
        <v/>
      </c>
      <c r="I1436" s="5">
        <f>IFERROR(SUMIFS('DETALLE CRONOLÓGICO'!$L$2:$L$4919,'DETALLE CRONOLÓGICO'!$A$2:$A$4919,$A1436)/$F1436,"")</f>
        <v/>
      </c>
      <c r="J1436" s="6">
        <f>IFERROR(SUMIFS('DETALLE CRONOLÓGICO'!$K$2:$K$4919,'DETALLE CRONOLÓGICO'!$A$2:$A$4919,$A1436)/$E1436,"")</f>
        <v/>
      </c>
      <c r="K1436" s="6">
        <f>_xlfn.MINIFS('DETALLE CRONOLÓGICO'!$K$2:$K$4919,'DETALLE CRONOLÓGICO'!$A$2:$A$4919,$A1436)</f>
        <v/>
      </c>
      <c r="L1436" s="6">
        <f>_xlfn.MAXIFS('DETALLE CRONOLÓGICO'!$K$2:$K$4919,'DETALLE CRONOLÓGICO'!$A$2:$A$4919,$A1436)</f>
        <v/>
      </c>
      <c r="M1436" s="6">
        <f>INDEX('DETALLE CRONOLÓGICO'!$K$2:$K$4919,MATCH($A1436,'DETALLE CRONOLÓGICO'!$A$2:$A$4919,0)+$E1436-1)</f>
        <v/>
      </c>
      <c r="N1436" s="7">
        <f>IFERROR($M1436/INDEX('DETALLE CRONOLÓGICO'!$K$2:$K$4919,MATCH($A1436,'DETALLE CRONOLÓGICO'!$A$2:$A$4919,0))-1,"")</f>
        <v/>
      </c>
      <c r="O1436" s="6">
        <f>IFERROR($I1436*3,"")</f>
        <v/>
      </c>
      <c r="P1436" s="6">
        <f>IFERROR($I1436*3.5,"")</f>
        <v/>
      </c>
      <c r="Q1436" s="6">
        <f>IFERROR($I1436*4,"")</f>
        <v/>
      </c>
      <c r="R1436" s="6" t="n">
        <v>750</v>
      </c>
      <c r="S1436" s="4" t="n">
        <v>4</v>
      </c>
      <c r="T1436" s="1" t="inlineStr">
        <is>
          <t>active</t>
        </is>
      </c>
      <c r="U1436" s="8" t="n"/>
      <c r="V1436" s="1" t="inlineStr">
        <is>
          <t>SIN PRECIO</t>
        </is>
      </c>
    </row>
    <row r="1437">
      <c r="A1437" s="1" t="inlineStr">
        <is>
          <t>661784a18007c</t>
        </is>
      </c>
      <c r="B1437" s="1" t="inlineStr">
        <is>
          <t>ARETES TRÉBOL GOLD-GREEN</t>
        </is>
      </c>
      <c r="C1437" s="1" t="inlineStr">
        <is>
          <t>HIGH QUALITY</t>
        </is>
      </c>
      <c r="D1437" s="1" t="inlineStr">
        <is>
          <t>HAIFENG</t>
        </is>
      </c>
      <c r="E1437" s="4">
        <f>COUNTIF('DETALLE CRONOLÓGICO'!$A$2:$A$4919,$A1437)</f>
        <v/>
      </c>
      <c r="F1437" s="4">
        <f>SUMIFS('DETALLE CRONOLÓGICO'!$I$2:$I$4919,'DETALLE CRONOLÓGICO'!$A$2:$A$4919,$A1437)</f>
        <v/>
      </c>
      <c r="G1437" s="1">
        <f>INDEX('DETALLE CRONOLÓGICO'!$D$2:$D$4919,MATCH($A1437,'DETALLE CRONOLÓGICO'!$A$2:$A$4919,0))</f>
        <v/>
      </c>
      <c r="H1437" s="1">
        <f>INDEX('DETALLE CRONOLÓGICO'!$D$2:$D$4919,MATCH($A1437,'DETALLE CRONOLÓGICO'!$A$2:$A$4919,0)+$E1437-1)</f>
        <v/>
      </c>
      <c r="I1437" s="5">
        <f>IFERROR(SUMIFS('DETALLE CRONOLÓGICO'!$L$2:$L$4919,'DETALLE CRONOLÓGICO'!$A$2:$A$4919,$A1437)/$F1437,"")</f>
        <v/>
      </c>
      <c r="J1437" s="6">
        <f>IFERROR(SUMIFS('DETALLE CRONOLÓGICO'!$K$2:$K$4919,'DETALLE CRONOLÓGICO'!$A$2:$A$4919,$A1437)/$E1437,"")</f>
        <v/>
      </c>
      <c r="K1437" s="6">
        <f>_xlfn.MINIFS('DETALLE CRONOLÓGICO'!$K$2:$K$4919,'DETALLE CRONOLÓGICO'!$A$2:$A$4919,$A1437)</f>
        <v/>
      </c>
      <c r="L1437" s="6">
        <f>_xlfn.MAXIFS('DETALLE CRONOLÓGICO'!$K$2:$K$4919,'DETALLE CRONOLÓGICO'!$A$2:$A$4919,$A1437)</f>
        <v/>
      </c>
      <c r="M1437" s="6">
        <f>INDEX('DETALLE CRONOLÓGICO'!$K$2:$K$4919,MATCH($A1437,'DETALLE CRONOLÓGICO'!$A$2:$A$4919,0)+$E1437-1)</f>
        <v/>
      </c>
      <c r="N1437" s="7">
        <f>IFERROR($M1437/INDEX('DETALLE CRONOLÓGICO'!$K$2:$K$4919,MATCH($A1437,'DETALLE CRONOLÓGICO'!$A$2:$A$4919,0))-1,"")</f>
        <v/>
      </c>
      <c r="O1437" s="6">
        <f>IFERROR($I1437*3,"")</f>
        <v/>
      </c>
      <c r="P1437" s="6">
        <f>IFERROR($I1437*3.5,"")</f>
        <v/>
      </c>
      <c r="Q1437" s="6">
        <f>IFERROR($I1437*4,"")</f>
        <v/>
      </c>
      <c r="R1437" s="6" t="n">
        <v>850</v>
      </c>
      <c r="S1437" s="4" t="n">
        <v>1</v>
      </c>
      <c r="T1437" s="1" t="inlineStr">
        <is>
          <t>active</t>
        </is>
      </c>
      <c r="U1437" s="8" t="n"/>
      <c r="V1437" s="1" t="inlineStr">
        <is>
          <t>SIN PRECIO</t>
        </is>
      </c>
    </row>
    <row r="1438">
      <c r="A1438" s="1" t="inlineStr">
        <is>
          <t>661784a190a7f</t>
        </is>
      </c>
      <c r="B1438" s="1" t="inlineStr">
        <is>
          <t>ARETES TREBOL GOLD-RED</t>
        </is>
      </c>
      <c r="C1438" s="1" t="inlineStr">
        <is>
          <t>HIGH QUALITY</t>
        </is>
      </c>
      <c r="D1438" s="1" t="inlineStr">
        <is>
          <t>HAIFENG</t>
        </is>
      </c>
      <c r="E1438" s="4">
        <f>COUNTIF('DETALLE CRONOLÓGICO'!$A$2:$A$4919,$A1438)</f>
        <v/>
      </c>
      <c r="F1438" s="4">
        <f>SUMIFS('DETALLE CRONOLÓGICO'!$I$2:$I$4919,'DETALLE CRONOLÓGICO'!$A$2:$A$4919,$A1438)</f>
        <v/>
      </c>
      <c r="G1438" s="1">
        <f>INDEX('DETALLE CRONOLÓGICO'!$D$2:$D$4919,MATCH($A1438,'DETALLE CRONOLÓGICO'!$A$2:$A$4919,0))</f>
        <v/>
      </c>
      <c r="H1438" s="1">
        <f>INDEX('DETALLE CRONOLÓGICO'!$D$2:$D$4919,MATCH($A1438,'DETALLE CRONOLÓGICO'!$A$2:$A$4919,0)+$E1438-1)</f>
        <v/>
      </c>
      <c r="I1438" s="5">
        <f>IFERROR(SUMIFS('DETALLE CRONOLÓGICO'!$L$2:$L$4919,'DETALLE CRONOLÓGICO'!$A$2:$A$4919,$A1438)/$F1438,"")</f>
        <v/>
      </c>
      <c r="J1438" s="6">
        <f>IFERROR(SUMIFS('DETALLE CRONOLÓGICO'!$K$2:$K$4919,'DETALLE CRONOLÓGICO'!$A$2:$A$4919,$A1438)/$E1438,"")</f>
        <v/>
      </c>
      <c r="K1438" s="6">
        <f>_xlfn.MINIFS('DETALLE CRONOLÓGICO'!$K$2:$K$4919,'DETALLE CRONOLÓGICO'!$A$2:$A$4919,$A1438)</f>
        <v/>
      </c>
      <c r="L1438" s="6">
        <f>_xlfn.MAXIFS('DETALLE CRONOLÓGICO'!$K$2:$K$4919,'DETALLE CRONOLÓGICO'!$A$2:$A$4919,$A1438)</f>
        <v/>
      </c>
      <c r="M1438" s="6">
        <f>INDEX('DETALLE CRONOLÓGICO'!$K$2:$K$4919,MATCH($A1438,'DETALLE CRONOLÓGICO'!$A$2:$A$4919,0)+$E1438-1)</f>
        <v/>
      </c>
      <c r="N1438" s="7">
        <f>IFERROR($M1438/INDEX('DETALLE CRONOLÓGICO'!$K$2:$K$4919,MATCH($A1438,'DETALLE CRONOLÓGICO'!$A$2:$A$4919,0))-1,"")</f>
        <v/>
      </c>
      <c r="O1438" s="6">
        <f>IFERROR($I1438*3,"")</f>
        <v/>
      </c>
      <c r="P1438" s="6">
        <f>IFERROR($I1438*3.5,"")</f>
        <v/>
      </c>
      <c r="Q1438" s="6">
        <f>IFERROR($I1438*4,"")</f>
        <v/>
      </c>
      <c r="R1438" s="6" t="n">
        <v>832</v>
      </c>
      <c r="S1438" s="4" t="n">
        <v>4</v>
      </c>
      <c r="T1438" s="1" t="inlineStr">
        <is>
          <t>active</t>
        </is>
      </c>
      <c r="U1438" s="8" t="n"/>
      <c r="V1438" s="1" t="inlineStr">
        <is>
          <t>SIN PRECIO</t>
        </is>
      </c>
    </row>
    <row r="1439">
      <c r="A1439" s="1" t="inlineStr">
        <is>
          <t>661784a33b867</t>
        </is>
      </c>
      <c r="B1439" s="1" t="inlineStr">
        <is>
          <t>ARETES TRÉBOL GOLD-BLACK</t>
        </is>
      </c>
      <c r="C1439" s="1" t="inlineStr">
        <is>
          <t>HIGH QUALITY</t>
        </is>
      </c>
      <c r="D1439" s="1" t="inlineStr">
        <is>
          <t>HAIFENG</t>
        </is>
      </c>
      <c r="E1439" s="4">
        <f>COUNTIF('DETALLE CRONOLÓGICO'!$A$2:$A$4919,$A1439)</f>
        <v/>
      </c>
      <c r="F1439" s="4">
        <f>SUMIFS('DETALLE CRONOLÓGICO'!$I$2:$I$4919,'DETALLE CRONOLÓGICO'!$A$2:$A$4919,$A1439)</f>
        <v/>
      </c>
      <c r="G1439" s="1">
        <f>INDEX('DETALLE CRONOLÓGICO'!$D$2:$D$4919,MATCH($A1439,'DETALLE CRONOLÓGICO'!$A$2:$A$4919,0))</f>
        <v/>
      </c>
      <c r="H1439" s="1">
        <f>INDEX('DETALLE CRONOLÓGICO'!$D$2:$D$4919,MATCH($A1439,'DETALLE CRONOLÓGICO'!$A$2:$A$4919,0)+$E1439-1)</f>
        <v/>
      </c>
      <c r="I1439" s="5">
        <f>IFERROR(SUMIFS('DETALLE CRONOLÓGICO'!$L$2:$L$4919,'DETALLE CRONOLÓGICO'!$A$2:$A$4919,$A1439)/$F1439,"")</f>
        <v/>
      </c>
      <c r="J1439" s="6">
        <f>IFERROR(SUMIFS('DETALLE CRONOLÓGICO'!$K$2:$K$4919,'DETALLE CRONOLÓGICO'!$A$2:$A$4919,$A1439)/$E1439,"")</f>
        <v/>
      </c>
      <c r="K1439" s="6">
        <f>_xlfn.MINIFS('DETALLE CRONOLÓGICO'!$K$2:$K$4919,'DETALLE CRONOLÓGICO'!$A$2:$A$4919,$A1439)</f>
        <v/>
      </c>
      <c r="L1439" s="6">
        <f>_xlfn.MAXIFS('DETALLE CRONOLÓGICO'!$K$2:$K$4919,'DETALLE CRONOLÓGICO'!$A$2:$A$4919,$A1439)</f>
        <v/>
      </c>
      <c r="M1439" s="6">
        <f>INDEX('DETALLE CRONOLÓGICO'!$K$2:$K$4919,MATCH($A1439,'DETALLE CRONOLÓGICO'!$A$2:$A$4919,0)+$E1439-1)</f>
        <v/>
      </c>
      <c r="N1439" s="7">
        <f>IFERROR($M1439/INDEX('DETALLE CRONOLÓGICO'!$K$2:$K$4919,MATCH($A1439,'DETALLE CRONOLÓGICO'!$A$2:$A$4919,0))-1,"")</f>
        <v/>
      </c>
      <c r="O1439" s="6">
        <f>IFERROR($I1439*3,"")</f>
        <v/>
      </c>
      <c r="P1439" s="6">
        <f>IFERROR($I1439*3.5,"")</f>
        <v/>
      </c>
      <c r="Q1439" s="6">
        <f>IFERROR($I1439*4,"")</f>
        <v/>
      </c>
      <c r="R1439" s="6" t="n">
        <v>699</v>
      </c>
      <c r="S1439" s="4" t="n">
        <v>3</v>
      </c>
      <c r="T1439" s="1" t="inlineStr">
        <is>
          <t>active</t>
        </is>
      </c>
      <c r="U1439" s="8" t="n"/>
      <c r="V1439" s="1" t="inlineStr">
        <is>
          <t>SIN PRECIO</t>
        </is>
      </c>
    </row>
    <row r="1440">
      <c r="A1440" s="1" t="inlineStr">
        <is>
          <t>661784a3704f4</t>
        </is>
      </c>
      <c r="B1440" s="1" t="inlineStr">
        <is>
          <t>ARETES TRÉBOL SILVER WHITE</t>
        </is>
      </c>
      <c r="C1440" s="1" t="inlineStr">
        <is>
          <t>Regular</t>
        </is>
      </c>
      <c r="D1440" s="1" t="inlineStr">
        <is>
          <t>HAIFENG</t>
        </is>
      </c>
      <c r="E1440" s="4">
        <f>COUNTIF('DETALLE CRONOLÓGICO'!$A$2:$A$4919,$A1440)</f>
        <v/>
      </c>
      <c r="F1440" s="4">
        <f>SUMIFS('DETALLE CRONOLÓGICO'!$I$2:$I$4919,'DETALLE CRONOLÓGICO'!$A$2:$A$4919,$A1440)</f>
        <v/>
      </c>
      <c r="G1440" s="1">
        <f>INDEX('DETALLE CRONOLÓGICO'!$D$2:$D$4919,MATCH($A1440,'DETALLE CRONOLÓGICO'!$A$2:$A$4919,0))</f>
        <v/>
      </c>
      <c r="H1440" s="1">
        <f>INDEX('DETALLE CRONOLÓGICO'!$D$2:$D$4919,MATCH($A1440,'DETALLE CRONOLÓGICO'!$A$2:$A$4919,0)+$E1440-1)</f>
        <v/>
      </c>
      <c r="I1440" s="5">
        <f>IFERROR(SUMIFS('DETALLE CRONOLÓGICO'!$L$2:$L$4919,'DETALLE CRONOLÓGICO'!$A$2:$A$4919,$A1440)/$F1440,"")</f>
        <v/>
      </c>
      <c r="J1440" s="6">
        <f>IFERROR(SUMIFS('DETALLE CRONOLÓGICO'!$K$2:$K$4919,'DETALLE CRONOLÓGICO'!$A$2:$A$4919,$A1440)/$E1440,"")</f>
        <v/>
      </c>
      <c r="K1440" s="6">
        <f>_xlfn.MINIFS('DETALLE CRONOLÓGICO'!$K$2:$K$4919,'DETALLE CRONOLÓGICO'!$A$2:$A$4919,$A1440)</f>
        <v/>
      </c>
      <c r="L1440" s="6">
        <f>_xlfn.MAXIFS('DETALLE CRONOLÓGICO'!$K$2:$K$4919,'DETALLE CRONOLÓGICO'!$A$2:$A$4919,$A1440)</f>
        <v/>
      </c>
      <c r="M1440" s="6">
        <f>INDEX('DETALLE CRONOLÓGICO'!$K$2:$K$4919,MATCH($A1440,'DETALLE CRONOLÓGICO'!$A$2:$A$4919,0)+$E1440-1)</f>
        <v/>
      </c>
      <c r="N1440" s="7">
        <f>IFERROR($M1440/INDEX('DETALLE CRONOLÓGICO'!$K$2:$K$4919,MATCH($A1440,'DETALLE CRONOLÓGICO'!$A$2:$A$4919,0))-1,"")</f>
        <v/>
      </c>
      <c r="O1440" s="6">
        <f>IFERROR($I1440*3,"")</f>
        <v/>
      </c>
      <c r="P1440" s="6">
        <f>IFERROR($I1440*3.5,"")</f>
        <v/>
      </c>
      <c r="Q1440" s="6">
        <f>IFERROR($I1440*4,"")</f>
        <v/>
      </c>
      <c r="R1440" s="6" t="n">
        <v>1350</v>
      </c>
      <c r="S1440" s="4" t="n">
        <v>3</v>
      </c>
      <c r="T1440" s="1" t="inlineStr">
        <is>
          <t>active</t>
        </is>
      </c>
      <c r="U1440" s="8" t="n"/>
      <c r="V1440" s="1" t="inlineStr">
        <is>
          <t>SIN PRECIO</t>
        </is>
      </c>
    </row>
    <row r="1441">
      <c r="A1441" s="1" t="inlineStr">
        <is>
          <t>661786775a1bb</t>
        </is>
      </c>
      <c r="B1441" s="1" t="inlineStr">
        <is>
          <t>ARETES LOVE SILVER</t>
        </is>
      </c>
      <c r="C1441" s="1" t="inlineStr">
        <is>
          <t>Default Title</t>
        </is>
      </c>
      <c r="D1441" s="1" t="inlineStr">
        <is>
          <t>CYNTHIA</t>
        </is>
      </c>
      <c r="E1441" s="4">
        <f>COUNTIF('DETALLE CRONOLÓGICO'!$A$2:$A$4919,$A1441)</f>
        <v/>
      </c>
      <c r="F1441" s="4">
        <f>SUMIFS('DETALLE CRONOLÓGICO'!$I$2:$I$4919,'DETALLE CRONOLÓGICO'!$A$2:$A$4919,$A1441)</f>
        <v/>
      </c>
      <c r="G1441" s="1">
        <f>INDEX('DETALLE CRONOLÓGICO'!$D$2:$D$4919,MATCH($A1441,'DETALLE CRONOLÓGICO'!$A$2:$A$4919,0))</f>
        <v/>
      </c>
      <c r="H1441" s="1">
        <f>INDEX('DETALLE CRONOLÓGICO'!$D$2:$D$4919,MATCH($A1441,'DETALLE CRONOLÓGICO'!$A$2:$A$4919,0)+$E1441-1)</f>
        <v/>
      </c>
      <c r="I1441" s="5">
        <f>IFERROR(SUMIFS('DETALLE CRONOLÓGICO'!$L$2:$L$4919,'DETALLE CRONOLÓGICO'!$A$2:$A$4919,$A1441)/$F1441,"")</f>
        <v/>
      </c>
      <c r="J1441" s="6">
        <f>IFERROR(SUMIFS('DETALLE CRONOLÓGICO'!$K$2:$K$4919,'DETALLE CRONOLÓGICO'!$A$2:$A$4919,$A1441)/$E1441,"")</f>
        <v/>
      </c>
      <c r="K1441" s="6">
        <f>_xlfn.MINIFS('DETALLE CRONOLÓGICO'!$K$2:$K$4919,'DETALLE CRONOLÓGICO'!$A$2:$A$4919,$A1441)</f>
        <v/>
      </c>
      <c r="L1441" s="6">
        <f>_xlfn.MAXIFS('DETALLE CRONOLÓGICO'!$K$2:$K$4919,'DETALLE CRONOLÓGICO'!$A$2:$A$4919,$A1441)</f>
        <v/>
      </c>
      <c r="M1441" s="6">
        <f>INDEX('DETALLE CRONOLÓGICO'!$K$2:$K$4919,MATCH($A1441,'DETALLE CRONOLÓGICO'!$A$2:$A$4919,0)+$E1441-1)</f>
        <v/>
      </c>
      <c r="N1441" s="7">
        <f>IFERROR($M1441/INDEX('DETALLE CRONOLÓGICO'!$K$2:$K$4919,MATCH($A1441,'DETALLE CRONOLÓGICO'!$A$2:$A$4919,0))-1,"")</f>
        <v/>
      </c>
      <c r="O1441" s="6">
        <f>IFERROR($I1441*3,"")</f>
        <v/>
      </c>
      <c r="P1441" s="6">
        <f>IFERROR($I1441*3.5,"")</f>
        <v/>
      </c>
      <c r="Q1441" s="6">
        <f>IFERROR($I1441*4,"")</f>
        <v/>
      </c>
      <c r="R1441" s="6" t="n">
        <v>399</v>
      </c>
      <c r="S1441" s="4" t="n">
        <v>0</v>
      </c>
      <c r="T1441" s="1" t="inlineStr">
        <is>
          <t>active</t>
        </is>
      </c>
      <c r="U1441" s="8" t="n"/>
      <c r="V1441" s="1" t="inlineStr">
        <is>
          <t>SIN PRECIO</t>
        </is>
      </c>
    </row>
    <row r="1442">
      <c r="A1442" s="1" t="inlineStr">
        <is>
          <t>6617867765c65</t>
        </is>
      </c>
      <c r="B1442" s="1" t="inlineStr">
        <is>
          <t>ARETES LOVE SILVER CON ZIRCONIA</t>
        </is>
      </c>
      <c r="C1442" s="1" t="inlineStr">
        <is>
          <t>Default Title</t>
        </is>
      </c>
      <c r="D1442" s="1" t="inlineStr">
        <is>
          <t>CYNTHIA</t>
        </is>
      </c>
      <c r="E1442" s="4">
        <f>COUNTIF('DETALLE CRONOLÓGICO'!$A$2:$A$4919,$A1442)</f>
        <v/>
      </c>
      <c r="F1442" s="4">
        <f>SUMIFS('DETALLE CRONOLÓGICO'!$I$2:$I$4919,'DETALLE CRONOLÓGICO'!$A$2:$A$4919,$A1442)</f>
        <v/>
      </c>
      <c r="G1442" s="1">
        <f>INDEX('DETALLE CRONOLÓGICO'!$D$2:$D$4919,MATCH($A1442,'DETALLE CRONOLÓGICO'!$A$2:$A$4919,0))</f>
        <v/>
      </c>
      <c r="H1442" s="1">
        <f>INDEX('DETALLE CRONOLÓGICO'!$D$2:$D$4919,MATCH($A1442,'DETALLE CRONOLÓGICO'!$A$2:$A$4919,0)+$E1442-1)</f>
        <v/>
      </c>
      <c r="I1442" s="5">
        <f>IFERROR(SUMIFS('DETALLE CRONOLÓGICO'!$L$2:$L$4919,'DETALLE CRONOLÓGICO'!$A$2:$A$4919,$A1442)/$F1442,"")</f>
        <v/>
      </c>
      <c r="J1442" s="6">
        <f>IFERROR(SUMIFS('DETALLE CRONOLÓGICO'!$K$2:$K$4919,'DETALLE CRONOLÓGICO'!$A$2:$A$4919,$A1442)/$E1442,"")</f>
        <v/>
      </c>
      <c r="K1442" s="6">
        <f>_xlfn.MINIFS('DETALLE CRONOLÓGICO'!$K$2:$K$4919,'DETALLE CRONOLÓGICO'!$A$2:$A$4919,$A1442)</f>
        <v/>
      </c>
      <c r="L1442" s="6">
        <f>_xlfn.MAXIFS('DETALLE CRONOLÓGICO'!$K$2:$K$4919,'DETALLE CRONOLÓGICO'!$A$2:$A$4919,$A1442)</f>
        <v/>
      </c>
      <c r="M1442" s="6">
        <f>INDEX('DETALLE CRONOLÓGICO'!$K$2:$K$4919,MATCH($A1442,'DETALLE CRONOLÓGICO'!$A$2:$A$4919,0)+$E1442-1)</f>
        <v/>
      </c>
      <c r="N1442" s="7">
        <f>IFERROR($M1442/INDEX('DETALLE CRONOLÓGICO'!$K$2:$K$4919,MATCH($A1442,'DETALLE CRONOLÓGICO'!$A$2:$A$4919,0))-1,"")</f>
        <v/>
      </c>
      <c r="O1442" s="6">
        <f>IFERROR($I1442*3,"")</f>
        <v/>
      </c>
      <c r="P1442" s="6">
        <f>IFERROR($I1442*3.5,"")</f>
        <v/>
      </c>
      <c r="Q1442" s="6">
        <f>IFERROR($I1442*4,"")</f>
        <v/>
      </c>
      <c r="R1442" s="6" t="n">
        <v>450</v>
      </c>
      <c r="S1442" s="4" t="n">
        <v>1</v>
      </c>
      <c r="T1442" s="1" t="inlineStr">
        <is>
          <t>active</t>
        </is>
      </c>
      <c r="U1442" s="8" t="n"/>
      <c r="V1442" s="1" t="inlineStr">
        <is>
          <t>SIN PRECIO</t>
        </is>
      </c>
    </row>
    <row r="1443">
      <c r="A1443" s="1" t="inlineStr">
        <is>
          <t>6617867767475</t>
        </is>
      </c>
      <c r="B1443" s="1" t="inlineStr">
        <is>
          <t>ARETES LOVE ROSEGOLD CON ZIRCONIA</t>
        </is>
      </c>
      <c r="C1443" s="1" t="inlineStr">
        <is>
          <t>Regular</t>
        </is>
      </c>
      <c r="D1443" s="1" t="inlineStr">
        <is>
          <t>CYNTHIA</t>
        </is>
      </c>
      <c r="E1443" s="4">
        <f>COUNTIF('DETALLE CRONOLÓGICO'!$A$2:$A$4919,$A1443)</f>
        <v/>
      </c>
      <c r="F1443" s="4">
        <f>SUMIFS('DETALLE CRONOLÓGICO'!$I$2:$I$4919,'DETALLE CRONOLÓGICO'!$A$2:$A$4919,$A1443)</f>
        <v/>
      </c>
      <c r="G1443" s="1">
        <f>INDEX('DETALLE CRONOLÓGICO'!$D$2:$D$4919,MATCH($A1443,'DETALLE CRONOLÓGICO'!$A$2:$A$4919,0))</f>
        <v/>
      </c>
      <c r="H1443" s="1">
        <f>INDEX('DETALLE CRONOLÓGICO'!$D$2:$D$4919,MATCH($A1443,'DETALLE CRONOLÓGICO'!$A$2:$A$4919,0)+$E1443-1)</f>
        <v/>
      </c>
      <c r="I1443" s="5">
        <f>IFERROR(SUMIFS('DETALLE CRONOLÓGICO'!$L$2:$L$4919,'DETALLE CRONOLÓGICO'!$A$2:$A$4919,$A1443)/$F1443,"")</f>
        <v/>
      </c>
      <c r="J1443" s="6">
        <f>IFERROR(SUMIFS('DETALLE CRONOLÓGICO'!$K$2:$K$4919,'DETALLE CRONOLÓGICO'!$A$2:$A$4919,$A1443)/$E1443,"")</f>
        <v/>
      </c>
      <c r="K1443" s="6">
        <f>_xlfn.MINIFS('DETALLE CRONOLÓGICO'!$K$2:$K$4919,'DETALLE CRONOLÓGICO'!$A$2:$A$4919,$A1443)</f>
        <v/>
      </c>
      <c r="L1443" s="6">
        <f>_xlfn.MAXIFS('DETALLE CRONOLÓGICO'!$K$2:$K$4919,'DETALLE CRONOLÓGICO'!$A$2:$A$4919,$A1443)</f>
        <v/>
      </c>
      <c r="M1443" s="6">
        <f>INDEX('DETALLE CRONOLÓGICO'!$K$2:$K$4919,MATCH($A1443,'DETALLE CRONOLÓGICO'!$A$2:$A$4919,0)+$E1443-1)</f>
        <v/>
      </c>
      <c r="N1443" s="7">
        <f>IFERROR($M1443/INDEX('DETALLE CRONOLÓGICO'!$K$2:$K$4919,MATCH($A1443,'DETALLE CRONOLÓGICO'!$A$2:$A$4919,0))-1,"")</f>
        <v/>
      </c>
      <c r="O1443" s="6">
        <f>IFERROR($I1443*3,"")</f>
        <v/>
      </c>
      <c r="P1443" s="6">
        <f>IFERROR($I1443*3.5,"")</f>
        <v/>
      </c>
      <c r="Q1443" s="6">
        <f>IFERROR($I1443*4,"")</f>
        <v/>
      </c>
      <c r="R1443" s="6" t="n">
        <v>420</v>
      </c>
      <c r="S1443" s="4" t="n">
        <v>0</v>
      </c>
      <c r="T1443" s="1" t="inlineStr">
        <is>
          <t>active</t>
        </is>
      </c>
      <c r="U1443" s="8" t="n"/>
      <c r="V1443" s="1" t="inlineStr">
        <is>
          <t>SIN PRECIO</t>
        </is>
      </c>
    </row>
    <row r="1444">
      <c r="A1444" s="1" t="inlineStr">
        <is>
          <t>6617867e8acd0</t>
        </is>
      </c>
      <c r="B1444" s="1" t="inlineStr">
        <is>
          <t>ARETES LOVE GOLD CON ZIRCONIA</t>
        </is>
      </c>
      <c r="C1444" s="1" t="inlineStr">
        <is>
          <t>Default Title</t>
        </is>
      </c>
      <c r="D1444" s="1" t="inlineStr">
        <is>
          <t>CYNTHIA</t>
        </is>
      </c>
      <c r="E1444" s="4">
        <f>COUNTIF('DETALLE CRONOLÓGICO'!$A$2:$A$4919,$A1444)</f>
        <v/>
      </c>
      <c r="F1444" s="4">
        <f>SUMIFS('DETALLE CRONOLÓGICO'!$I$2:$I$4919,'DETALLE CRONOLÓGICO'!$A$2:$A$4919,$A1444)</f>
        <v/>
      </c>
      <c r="G1444" s="1">
        <f>INDEX('DETALLE CRONOLÓGICO'!$D$2:$D$4919,MATCH($A1444,'DETALLE CRONOLÓGICO'!$A$2:$A$4919,0))</f>
        <v/>
      </c>
      <c r="H1444" s="1">
        <f>INDEX('DETALLE CRONOLÓGICO'!$D$2:$D$4919,MATCH($A1444,'DETALLE CRONOLÓGICO'!$A$2:$A$4919,0)+$E1444-1)</f>
        <v/>
      </c>
      <c r="I1444" s="5">
        <f>IFERROR(SUMIFS('DETALLE CRONOLÓGICO'!$L$2:$L$4919,'DETALLE CRONOLÓGICO'!$A$2:$A$4919,$A1444)/$F1444,"")</f>
        <v/>
      </c>
      <c r="J1444" s="6">
        <f>IFERROR(SUMIFS('DETALLE CRONOLÓGICO'!$K$2:$K$4919,'DETALLE CRONOLÓGICO'!$A$2:$A$4919,$A1444)/$E1444,"")</f>
        <v/>
      </c>
      <c r="K1444" s="6">
        <f>_xlfn.MINIFS('DETALLE CRONOLÓGICO'!$K$2:$K$4919,'DETALLE CRONOLÓGICO'!$A$2:$A$4919,$A1444)</f>
        <v/>
      </c>
      <c r="L1444" s="6">
        <f>_xlfn.MAXIFS('DETALLE CRONOLÓGICO'!$K$2:$K$4919,'DETALLE CRONOLÓGICO'!$A$2:$A$4919,$A1444)</f>
        <v/>
      </c>
      <c r="M1444" s="6">
        <f>INDEX('DETALLE CRONOLÓGICO'!$K$2:$K$4919,MATCH($A1444,'DETALLE CRONOLÓGICO'!$A$2:$A$4919,0)+$E1444-1)</f>
        <v/>
      </c>
      <c r="N1444" s="7">
        <f>IFERROR($M1444/INDEX('DETALLE CRONOLÓGICO'!$K$2:$K$4919,MATCH($A1444,'DETALLE CRONOLÓGICO'!$A$2:$A$4919,0))-1,"")</f>
        <v/>
      </c>
      <c r="O1444" s="6">
        <f>IFERROR($I1444*3,"")</f>
        <v/>
      </c>
      <c r="P1444" s="6">
        <f>IFERROR($I1444*3.5,"")</f>
        <v/>
      </c>
      <c r="Q1444" s="6">
        <f>IFERROR($I1444*4,"")</f>
        <v/>
      </c>
      <c r="R1444" s="6" t="n">
        <v>450</v>
      </c>
      <c r="S1444" s="4" t="n">
        <v>4</v>
      </c>
      <c r="T1444" s="1" t="inlineStr">
        <is>
          <t>active</t>
        </is>
      </c>
      <c r="U1444" s="8" t="n"/>
      <c r="V1444" s="1" t="inlineStr">
        <is>
          <t>SIN PRECIO</t>
        </is>
      </c>
    </row>
    <row r="1445">
      <c r="A1445" s="1" t="inlineStr">
        <is>
          <t>661786a2c48dd</t>
        </is>
      </c>
      <c r="B1445" s="1" t="inlineStr">
        <is>
          <t>ARETES SCREW LOVE ROSE GOLD</t>
        </is>
      </c>
      <c r="C1445" s="1" t="inlineStr">
        <is>
          <t>SMALL</t>
        </is>
      </c>
      <c r="D1445" s="1" t="inlineStr">
        <is>
          <t>HAIFENG</t>
        </is>
      </c>
      <c r="E1445" s="4">
        <f>COUNTIF('DETALLE CRONOLÓGICO'!$A$2:$A$4919,$A1445)</f>
        <v/>
      </c>
      <c r="F1445" s="4">
        <f>SUMIFS('DETALLE CRONOLÓGICO'!$I$2:$I$4919,'DETALLE CRONOLÓGICO'!$A$2:$A$4919,$A1445)</f>
        <v/>
      </c>
      <c r="G1445" s="1">
        <f>INDEX('DETALLE CRONOLÓGICO'!$D$2:$D$4919,MATCH($A1445,'DETALLE CRONOLÓGICO'!$A$2:$A$4919,0))</f>
        <v/>
      </c>
      <c r="H1445" s="1">
        <f>INDEX('DETALLE CRONOLÓGICO'!$D$2:$D$4919,MATCH($A1445,'DETALLE CRONOLÓGICO'!$A$2:$A$4919,0)+$E1445-1)</f>
        <v/>
      </c>
      <c r="I1445" s="5">
        <f>IFERROR(SUMIFS('DETALLE CRONOLÓGICO'!$L$2:$L$4919,'DETALLE CRONOLÓGICO'!$A$2:$A$4919,$A1445)/$F1445,"")</f>
        <v/>
      </c>
      <c r="J1445" s="6">
        <f>IFERROR(SUMIFS('DETALLE CRONOLÓGICO'!$K$2:$K$4919,'DETALLE CRONOLÓGICO'!$A$2:$A$4919,$A1445)/$E1445,"")</f>
        <v/>
      </c>
      <c r="K1445" s="6">
        <f>_xlfn.MINIFS('DETALLE CRONOLÓGICO'!$K$2:$K$4919,'DETALLE CRONOLÓGICO'!$A$2:$A$4919,$A1445)</f>
        <v/>
      </c>
      <c r="L1445" s="6">
        <f>_xlfn.MAXIFS('DETALLE CRONOLÓGICO'!$K$2:$K$4919,'DETALLE CRONOLÓGICO'!$A$2:$A$4919,$A1445)</f>
        <v/>
      </c>
      <c r="M1445" s="6">
        <f>INDEX('DETALLE CRONOLÓGICO'!$K$2:$K$4919,MATCH($A1445,'DETALLE CRONOLÓGICO'!$A$2:$A$4919,0)+$E1445-1)</f>
        <v/>
      </c>
      <c r="N1445" s="7">
        <f>IFERROR($M1445/INDEX('DETALLE CRONOLÓGICO'!$K$2:$K$4919,MATCH($A1445,'DETALLE CRONOLÓGICO'!$A$2:$A$4919,0))-1,"")</f>
        <v/>
      </c>
      <c r="O1445" s="6">
        <f>IFERROR($I1445*3,"")</f>
        <v/>
      </c>
      <c r="P1445" s="6">
        <f>IFERROR($I1445*3.5,"")</f>
        <v/>
      </c>
      <c r="Q1445" s="6">
        <f>IFERROR($I1445*4,"")</f>
        <v/>
      </c>
      <c r="R1445" s="6" t="n">
        <v>550</v>
      </c>
      <c r="S1445" s="4" t="n">
        <v>0</v>
      </c>
      <c r="T1445" s="1" t="inlineStr">
        <is>
          <t>active</t>
        </is>
      </c>
      <c r="U1445" s="8" t="n"/>
      <c r="V1445" s="1" t="inlineStr">
        <is>
          <t>SIN PRECIO</t>
        </is>
      </c>
    </row>
    <row r="1446">
      <c r="A1446" s="1" t="inlineStr">
        <is>
          <t>66178b9555250</t>
        </is>
      </c>
      <c r="B1446" s="1" t="inlineStr">
        <is>
          <t>ARETES CLASH ROSEGOLD ZIRCONIA</t>
        </is>
      </c>
      <c r="C1446" s="1" t="inlineStr">
        <is>
          <t>Default Title</t>
        </is>
      </c>
      <c r="D1446" s="1" t="inlineStr">
        <is>
          <t>CYNTHIA</t>
        </is>
      </c>
      <c r="E1446" s="4">
        <f>COUNTIF('DETALLE CRONOLÓGICO'!$A$2:$A$4919,$A1446)</f>
        <v/>
      </c>
      <c r="F1446" s="4">
        <f>SUMIFS('DETALLE CRONOLÓGICO'!$I$2:$I$4919,'DETALLE CRONOLÓGICO'!$A$2:$A$4919,$A1446)</f>
        <v/>
      </c>
      <c r="G1446" s="1">
        <f>INDEX('DETALLE CRONOLÓGICO'!$D$2:$D$4919,MATCH($A1446,'DETALLE CRONOLÓGICO'!$A$2:$A$4919,0))</f>
        <v/>
      </c>
      <c r="H1446" s="1">
        <f>INDEX('DETALLE CRONOLÓGICO'!$D$2:$D$4919,MATCH($A1446,'DETALLE CRONOLÓGICO'!$A$2:$A$4919,0)+$E1446-1)</f>
        <v/>
      </c>
      <c r="I1446" s="5">
        <f>IFERROR(SUMIFS('DETALLE CRONOLÓGICO'!$L$2:$L$4919,'DETALLE CRONOLÓGICO'!$A$2:$A$4919,$A1446)/$F1446,"")</f>
        <v/>
      </c>
      <c r="J1446" s="6">
        <f>IFERROR(SUMIFS('DETALLE CRONOLÓGICO'!$K$2:$K$4919,'DETALLE CRONOLÓGICO'!$A$2:$A$4919,$A1446)/$E1446,"")</f>
        <v/>
      </c>
      <c r="K1446" s="6">
        <f>_xlfn.MINIFS('DETALLE CRONOLÓGICO'!$K$2:$K$4919,'DETALLE CRONOLÓGICO'!$A$2:$A$4919,$A1446)</f>
        <v/>
      </c>
      <c r="L1446" s="6">
        <f>_xlfn.MAXIFS('DETALLE CRONOLÓGICO'!$K$2:$K$4919,'DETALLE CRONOLÓGICO'!$A$2:$A$4919,$A1446)</f>
        <v/>
      </c>
      <c r="M1446" s="6">
        <f>INDEX('DETALLE CRONOLÓGICO'!$K$2:$K$4919,MATCH($A1446,'DETALLE CRONOLÓGICO'!$A$2:$A$4919,0)+$E1446-1)</f>
        <v/>
      </c>
      <c r="N1446" s="7">
        <f>IFERROR($M1446/INDEX('DETALLE CRONOLÓGICO'!$K$2:$K$4919,MATCH($A1446,'DETALLE CRONOLÓGICO'!$A$2:$A$4919,0))-1,"")</f>
        <v/>
      </c>
      <c r="O1446" s="6">
        <f>IFERROR($I1446*3,"")</f>
        <v/>
      </c>
      <c r="P1446" s="6">
        <f>IFERROR($I1446*3.5,"")</f>
        <v/>
      </c>
      <c r="Q1446" s="6">
        <f>IFERROR($I1446*4,"")</f>
        <v/>
      </c>
      <c r="R1446" s="6" t="n">
        <v>569</v>
      </c>
      <c r="S1446" s="4" t="n">
        <v>5</v>
      </c>
      <c r="T1446" s="1" t="inlineStr">
        <is>
          <t>active</t>
        </is>
      </c>
      <c r="U1446" s="8" t="n"/>
      <c r="V1446" s="1" t="inlineStr">
        <is>
          <t>SIN PRECIO</t>
        </is>
      </c>
    </row>
    <row r="1447">
      <c r="A1447" s="1" t="inlineStr">
        <is>
          <t>66280391087437</t>
        </is>
      </c>
      <c r="B1447" s="1" t="inlineStr">
        <is>
          <t>BOLSO LADY D CHAROL OFF WHITE</t>
        </is>
      </c>
      <c r="C1447" s="1" t="inlineStr">
        <is>
          <t>17cm de largo x 15cm de alto x 7cm de ancho</t>
        </is>
      </c>
      <c r="D1447" s="1" t="inlineStr">
        <is>
          <t>ZOEY</t>
        </is>
      </c>
      <c r="E1447" s="4">
        <f>COUNTIF('DETALLE CRONOLÓGICO'!$A$2:$A$4919,$A1447)</f>
        <v/>
      </c>
      <c r="F1447" s="4">
        <f>SUMIFS('DETALLE CRONOLÓGICO'!$I$2:$I$4919,'DETALLE CRONOLÓGICO'!$A$2:$A$4919,$A1447)</f>
        <v/>
      </c>
      <c r="G1447" s="1">
        <f>INDEX('DETALLE CRONOLÓGICO'!$D$2:$D$4919,MATCH($A1447,'DETALLE CRONOLÓGICO'!$A$2:$A$4919,0))</f>
        <v/>
      </c>
      <c r="H1447" s="1">
        <f>INDEX('DETALLE CRONOLÓGICO'!$D$2:$D$4919,MATCH($A1447,'DETALLE CRONOLÓGICO'!$A$2:$A$4919,0)+$E1447-1)</f>
        <v/>
      </c>
      <c r="I1447" s="5">
        <f>IFERROR(SUMIFS('DETALLE CRONOLÓGICO'!$L$2:$L$4919,'DETALLE CRONOLÓGICO'!$A$2:$A$4919,$A1447)/$F1447,"")</f>
        <v/>
      </c>
      <c r="J1447" s="6">
        <f>IFERROR(SUMIFS('DETALLE CRONOLÓGICO'!$K$2:$K$4919,'DETALLE CRONOLÓGICO'!$A$2:$A$4919,$A1447)/$E1447,"")</f>
        <v/>
      </c>
      <c r="K1447" s="6">
        <f>_xlfn.MINIFS('DETALLE CRONOLÓGICO'!$K$2:$K$4919,'DETALLE CRONOLÓGICO'!$A$2:$A$4919,$A1447)</f>
        <v/>
      </c>
      <c r="L1447" s="6">
        <f>_xlfn.MAXIFS('DETALLE CRONOLÓGICO'!$K$2:$K$4919,'DETALLE CRONOLÓGICO'!$A$2:$A$4919,$A1447)</f>
        <v/>
      </c>
      <c r="M1447" s="6">
        <f>INDEX('DETALLE CRONOLÓGICO'!$K$2:$K$4919,MATCH($A1447,'DETALLE CRONOLÓGICO'!$A$2:$A$4919,0)+$E1447-1)</f>
        <v/>
      </c>
      <c r="N1447" s="7">
        <f>IFERROR($M1447/INDEX('DETALLE CRONOLÓGICO'!$K$2:$K$4919,MATCH($A1447,'DETALLE CRONOLÓGICO'!$A$2:$A$4919,0))-1,"")</f>
        <v/>
      </c>
      <c r="O1447" s="6">
        <f>IFERROR($I1447*3,"")</f>
        <v/>
      </c>
      <c r="P1447" s="6">
        <f>IFERROR($I1447*3.5,"")</f>
        <v/>
      </c>
      <c r="Q1447" s="6">
        <f>IFERROR($I1447*4,"")</f>
        <v/>
      </c>
      <c r="R1447" s="6" t="n">
        <v>4804.41</v>
      </c>
      <c r="S1447" s="4" t="n">
        <v>0</v>
      </c>
      <c r="T1447" s="1" t="inlineStr">
        <is>
          <t>active</t>
        </is>
      </c>
      <c r="U1447" s="8" t="n"/>
      <c r="V1447" s="1" t="inlineStr">
        <is>
          <t>SIN PRECIO</t>
        </is>
      </c>
    </row>
    <row r="1448">
      <c r="A1448" s="1" t="inlineStr">
        <is>
          <t>663528bd8c9d8</t>
        </is>
      </c>
      <c r="B1448" s="1" t="inlineStr">
        <is>
          <t>PULSERA LOVE DELGADA SILVER CON MICRO ZIRCONIAS</t>
        </is>
      </c>
      <c r="C1448" s="1" t="inlineStr">
        <is>
          <t>17 cm</t>
        </is>
      </c>
      <c r="D1448" s="1" t="inlineStr">
        <is>
          <t>HAIFENG</t>
        </is>
      </c>
      <c r="E1448" s="4">
        <f>COUNTIF('DETALLE CRONOLÓGICO'!$A$2:$A$4919,$A1448)</f>
        <v/>
      </c>
      <c r="F1448" s="4">
        <f>SUMIFS('DETALLE CRONOLÓGICO'!$I$2:$I$4919,'DETALLE CRONOLÓGICO'!$A$2:$A$4919,$A1448)</f>
        <v/>
      </c>
      <c r="G1448" s="1">
        <f>INDEX('DETALLE CRONOLÓGICO'!$D$2:$D$4919,MATCH($A1448,'DETALLE CRONOLÓGICO'!$A$2:$A$4919,0))</f>
        <v/>
      </c>
      <c r="H1448" s="1">
        <f>INDEX('DETALLE CRONOLÓGICO'!$D$2:$D$4919,MATCH($A1448,'DETALLE CRONOLÓGICO'!$A$2:$A$4919,0)+$E1448-1)</f>
        <v/>
      </c>
      <c r="I1448" s="5">
        <f>IFERROR(SUMIFS('DETALLE CRONOLÓGICO'!$L$2:$L$4919,'DETALLE CRONOLÓGICO'!$A$2:$A$4919,$A1448)/$F1448,"")</f>
        <v/>
      </c>
      <c r="J1448" s="6">
        <f>IFERROR(SUMIFS('DETALLE CRONOLÓGICO'!$K$2:$K$4919,'DETALLE CRONOLÓGICO'!$A$2:$A$4919,$A1448)/$E1448,"")</f>
        <v/>
      </c>
      <c r="K1448" s="6">
        <f>_xlfn.MINIFS('DETALLE CRONOLÓGICO'!$K$2:$K$4919,'DETALLE CRONOLÓGICO'!$A$2:$A$4919,$A1448)</f>
        <v/>
      </c>
      <c r="L1448" s="6">
        <f>_xlfn.MAXIFS('DETALLE CRONOLÓGICO'!$K$2:$K$4919,'DETALLE CRONOLÓGICO'!$A$2:$A$4919,$A1448)</f>
        <v/>
      </c>
      <c r="M1448" s="6">
        <f>INDEX('DETALLE CRONOLÓGICO'!$K$2:$K$4919,MATCH($A1448,'DETALLE CRONOLÓGICO'!$A$2:$A$4919,0)+$E1448-1)</f>
        <v/>
      </c>
      <c r="N1448" s="7">
        <f>IFERROR($M1448/INDEX('DETALLE CRONOLÓGICO'!$K$2:$K$4919,MATCH($A1448,'DETALLE CRONOLÓGICO'!$A$2:$A$4919,0))-1,"")</f>
        <v/>
      </c>
      <c r="O1448" s="6">
        <f>IFERROR($I1448*3,"")</f>
        <v/>
      </c>
      <c r="P1448" s="6">
        <f>IFERROR($I1448*3.5,"")</f>
        <v/>
      </c>
      <c r="Q1448" s="6">
        <f>IFERROR($I1448*4,"")</f>
        <v/>
      </c>
      <c r="R1448" s="6" t="n">
        <v>1099</v>
      </c>
      <c r="S1448" s="4" t="n">
        <v>2</v>
      </c>
      <c r="T1448" s="1" t="inlineStr">
        <is>
          <t>active</t>
        </is>
      </c>
      <c r="U1448" s="8" t="n"/>
      <c r="V1448" s="1" t="inlineStr">
        <is>
          <t>SIN PRECIO</t>
        </is>
      </c>
    </row>
    <row r="1449">
      <c r="A1449" s="1" t="inlineStr">
        <is>
          <t>66360701088653</t>
        </is>
      </c>
      <c r="B1449" s="1" t="inlineStr">
        <is>
          <t>PULSERA LUCKY SILVER CD</t>
        </is>
      </c>
      <c r="C1449" s="1" t="inlineStr">
        <is>
          <t>Default Title</t>
        </is>
      </c>
      <c r="D1449" s="1" t="inlineStr">
        <is>
          <t>HAIFENG</t>
        </is>
      </c>
      <c r="E1449" s="4">
        <f>COUNTIF('DETALLE CRONOLÓGICO'!$A$2:$A$4919,$A1449)</f>
        <v/>
      </c>
      <c r="F1449" s="4">
        <f>SUMIFS('DETALLE CRONOLÓGICO'!$I$2:$I$4919,'DETALLE CRONOLÓGICO'!$A$2:$A$4919,$A1449)</f>
        <v/>
      </c>
      <c r="G1449" s="1">
        <f>INDEX('DETALLE CRONOLÓGICO'!$D$2:$D$4919,MATCH($A1449,'DETALLE CRONOLÓGICO'!$A$2:$A$4919,0))</f>
        <v/>
      </c>
      <c r="H1449" s="1">
        <f>INDEX('DETALLE CRONOLÓGICO'!$D$2:$D$4919,MATCH($A1449,'DETALLE CRONOLÓGICO'!$A$2:$A$4919,0)+$E1449-1)</f>
        <v/>
      </c>
      <c r="I1449" s="5">
        <f>IFERROR(SUMIFS('DETALLE CRONOLÓGICO'!$L$2:$L$4919,'DETALLE CRONOLÓGICO'!$A$2:$A$4919,$A1449)/$F1449,"")</f>
        <v/>
      </c>
      <c r="J1449" s="6">
        <f>IFERROR(SUMIFS('DETALLE CRONOLÓGICO'!$K$2:$K$4919,'DETALLE CRONOLÓGICO'!$A$2:$A$4919,$A1449)/$E1449,"")</f>
        <v/>
      </c>
      <c r="K1449" s="6">
        <f>_xlfn.MINIFS('DETALLE CRONOLÓGICO'!$K$2:$K$4919,'DETALLE CRONOLÓGICO'!$A$2:$A$4919,$A1449)</f>
        <v/>
      </c>
      <c r="L1449" s="6">
        <f>_xlfn.MAXIFS('DETALLE CRONOLÓGICO'!$K$2:$K$4919,'DETALLE CRONOLÓGICO'!$A$2:$A$4919,$A1449)</f>
        <v/>
      </c>
      <c r="M1449" s="6">
        <f>INDEX('DETALLE CRONOLÓGICO'!$K$2:$K$4919,MATCH($A1449,'DETALLE CRONOLÓGICO'!$A$2:$A$4919,0)+$E1449-1)</f>
        <v/>
      </c>
      <c r="N1449" s="7">
        <f>IFERROR($M1449/INDEX('DETALLE CRONOLÓGICO'!$K$2:$K$4919,MATCH($A1449,'DETALLE CRONOLÓGICO'!$A$2:$A$4919,0))-1,"")</f>
        <v/>
      </c>
      <c r="O1449" s="6">
        <f>IFERROR($I1449*3,"")</f>
        <v/>
      </c>
      <c r="P1449" s="6">
        <f>IFERROR($I1449*3.5,"")</f>
        <v/>
      </c>
      <c r="Q1449" s="6">
        <f>IFERROR($I1449*4,"")</f>
        <v/>
      </c>
      <c r="R1449" s="6" t="n">
        <v>500</v>
      </c>
      <c r="S1449" s="4" t="n">
        <v>4</v>
      </c>
      <c r="T1449" s="1" t="inlineStr">
        <is>
          <t>active</t>
        </is>
      </c>
      <c r="U1449" s="8" t="n"/>
      <c r="V1449" s="1" t="inlineStr">
        <is>
          <t>SIN PRECIO</t>
        </is>
      </c>
    </row>
    <row r="1450">
      <c r="A1450" s="1" t="inlineStr">
        <is>
          <t>664fc85011676</t>
        </is>
      </c>
      <c r="B1450" s="1" t="inlineStr">
        <is>
          <t>LENTES C THICK GOLD</t>
        </is>
      </c>
      <c r="C1450" s="1" t="inlineStr">
        <is>
          <t>Default Title</t>
        </is>
      </c>
      <c r="D1450" s="1" t="inlineStr">
        <is>
          <t>CYNTHIA</t>
        </is>
      </c>
      <c r="E1450" s="4">
        <f>COUNTIF('DETALLE CRONOLÓGICO'!$A$2:$A$4919,$A1450)</f>
        <v/>
      </c>
      <c r="F1450" s="4">
        <f>SUMIFS('DETALLE CRONOLÓGICO'!$I$2:$I$4919,'DETALLE CRONOLÓGICO'!$A$2:$A$4919,$A1450)</f>
        <v/>
      </c>
      <c r="G1450" s="1">
        <f>INDEX('DETALLE CRONOLÓGICO'!$D$2:$D$4919,MATCH($A1450,'DETALLE CRONOLÓGICO'!$A$2:$A$4919,0))</f>
        <v/>
      </c>
      <c r="H1450" s="1">
        <f>INDEX('DETALLE CRONOLÓGICO'!$D$2:$D$4919,MATCH($A1450,'DETALLE CRONOLÓGICO'!$A$2:$A$4919,0)+$E1450-1)</f>
        <v/>
      </c>
      <c r="I1450" s="5">
        <f>IFERROR(SUMIFS('DETALLE CRONOLÓGICO'!$L$2:$L$4919,'DETALLE CRONOLÓGICO'!$A$2:$A$4919,$A1450)/$F1450,"")</f>
        <v/>
      </c>
      <c r="J1450" s="6">
        <f>IFERROR(SUMIFS('DETALLE CRONOLÓGICO'!$K$2:$K$4919,'DETALLE CRONOLÓGICO'!$A$2:$A$4919,$A1450)/$E1450,"")</f>
        <v/>
      </c>
      <c r="K1450" s="6">
        <f>_xlfn.MINIFS('DETALLE CRONOLÓGICO'!$K$2:$K$4919,'DETALLE CRONOLÓGICO'!$A$2:$A$4919,$A1450)</f>
        <v/>
      </c>
      <c r="L1450" s="6">
        <f>_xlfn.MAXIFS('DETALLE CRONOLÓGICO'!$K$2:$K$4919,'DETALLE CRONOLÓGICO'!$A$2:$A$4919,$A1450)</f>
        <v/>
      </c>
      <c r="M1450" s="6">
        <f>INDEX('DETALLE CRONOLÓGICO'!$K$2:$K$4919,MATCH($A1450,'DETALLE CRONOLÓGICO'!$A$2:$A$4919,0)+$E1450-1)</f>
        <v/>
      </c>
      <c r="N1450" s="7">
        <f>IFERROR($M1450/INDEX('DETALLE CRONOLÓGICO'!$K$2:$K$4919,MATCH($A1450,'DETALLE CRONOLÓGICO'!$A$2:$A$4919,0))-1,"")</f>
        <v/>
      </c>
      <c r="O1450" s="6">
        <f>IFERROR($I1450*3,"")</f>
        <v/>
      </c>
      <c r="P1450" s="6">
        <f>IFERROR($I1450*3.5,"")</f>
        <v/>
      </c>
      <c r="Q1450" s="6">
        <f>IFERROR($I1450*4,"")</f>
        <v/>
      </c>
      <c r="R1450" s="6" t="n">
        <v>959</v>
      </c>
      <c r="S1450" s="4" t="n">
        <v>0</v>
      </c>
      <c r="T1450" s="1" t="inlineStr">
        <is>
          <t>active</t>
        </is>
      </c>
      <c r="U1450" s="8" t="n"/>
      <c r="V1450" s="1" t="inlineStr">
        <is>
          <t>SIN PRECIO</t>
        </is>
      </c>
    </row>
    <row r="1451">
      <c r="A1451" s="1" t="inlineStr">
        <is>
          <t>664fc854d5243</t>
        </is>
      </c>
      <c r="B1451" s="1" t="inlineStr">
        <is>
          <t>LENTES C OVAL SILVER BLACK</t>
        </is>
      </c>
      <c r="C1451" s="1" t="inlineStr">
        <is>
          <t>Default Title</t>
        </is>
      </c>
      <c r="D1451" s="1" t="inlineStr">
        <is>
          <t>CYNTHIA</t>
        </is>
      </c>
      <c r="E1451" s="4">
        <f>COUNTIF('DETALLE CRONOLÓGICO'!$A$2:$A$4919,$A1451)</f>
        <v/>
      </c>
      <c r="F1451" s="4">
        <f>SUMIFS('DETALLE CRONOLÓGICO'!$I$2:$I$4919,'DETALLE CRONOLÓGICO'!$A$2:$A$4919,$A1451)</f>
        <v/>
      </c>
      <c r="G1451" s="1">
        <f>INDEX('DETALLE CRONOLÓGICO'!$D$2:$D$4919,MATCH($A1451,'DETALLE CRONOLÓGICO'!$A$2:$A$4919,0))</f>
        <v/>
      </c>
      <c r="H1451" s="1">
        <f>INDEX('DETALLE CRONOLÓGICO'!$D$2:$D$4919,MATCH($A1451,'DETALLE CRONOLÓGICO'!$A$2:$A$4919,0)+$E1451-1)</f>
        <v/>
      </c>
      <c r="I1451" s="5">
        <f>IFERROR(SUMIFS('DETALLE CRONOLÓGICO'!$L$2:$L$4919,'DETALLE CRONOLÓGICO'!$A$2:$A$4919,$A1451)/$F1451,"")</f>
        <v/>
      </c>
      <c r="J1451" s="6">
        <f>IFERROR(SUMIFS('DETALLE CRONOLÓGICO'!$K$2:$K$4919,'DETALLE CRONOLÓGICO'!$A$2:$A$4919,$A1451)/$E1451,"")</f>
        <v/>
      </c>
      <c r="K1451" s="6">
        <f>_xlfn.MINIFS('DETALLE CRONOLÓGICO'!$K$2:$K$4919,'DETALLE CRONOLÓGICO'!$A$2:$A$4919,$A1451)</f>
        <v/>
      </c>
      <c r="L1451" s="6">
        <f>_xlfn.MAXIFS('DETALLE CRONOLÓGICO'!$K$2:$K$4919,'DETALLE CRONOLÓGICO'!$A$2:$A$4919,$A1451)</f>
        <v/>
      </c>
      <c r="M1451" s="6">
        <f>INDEX('DETALLE CRONOLÓGICO'!$K$2:$K$4919,MATCH($A1451,'DETALLE CRONOLÓGICO'!$A$2:$A$4919,0)+$E1451-1)</f>
        <v/>
      </c>
      <c r="N1451" s="7">
        <f>IFERROR($M1451/INDEX('DETALLE CRONOLÓGICO'!$K$2:$K$4919,MATCH($A1451,'DETALLE CRONOLÓGICO'!$A$2:$A$4919,0))-1,"")</f>
        <v/>
      </c>
      <c r="O1451" s="6">
        <f>IFERROR($I1451*3,"")</f>
        <v/>
      </c>
      <c r="P1451" s="6">
        <f>IFERROR($I1451*3.5,"")</f>
        <v/>
      </c>
      <c r="Q1451" s="6">
        <f>IFERROR($I1451*4,"")</f>
        <v/>
      </c>
      <c r="R1451" s="6" t="n">
        <v>3069</v>
      </c>
      <c r="S1451" s="4" t="n">
        <v>5</v>
      </c>
      <c r="T1451" s="1" t="inlineStr">
        <is>
          <t>active</t>
        </is>
      </c>
      <c r="U1451" s="8" t="n"/>
      <c r="V1451" s="1" t="inlineStr">
        <is>
          <t>SIN PRECIO</t>
        </is>
      </c>
    </row>
    <row r="1452">
      <c r="A1452" s="1" t="inlineStr">
        <is>
          <t>664fc858469b1</t>
        </is>
      </c>
      <c r="B1452" s="1" t="inlineStr">
        <is>
          <t>LENTES C OVAL GREEN</t>
        </is>
      </c>
      <c r="C1452" s="1" t="inlineStr">
        <is>
          <t>REGULAR</t>
        </is>
      </c>
      <c r="D1452" s="1" t="inlineStr">
        <is>
          <t>CYNTHIA</t>
        </is>
      </c>
      <c r="E1452" s="4">
        <f>COUNTIF('DETALLE CRONOLÓGICO'!$A$2:$A$4919,$A1452)</f>
        <v/>
      </c>
      <c r="F1452" s="4">
        <f>SUMIFS('DETALLE CRONOLÓGICO'!$I$2:$I$4919,'DETALLE CRONOLÓGICO'!$A$2:$A$4919,$A1452)</f>
        <v/>
      </c>
      <c r="G1452" s="1">
        <f>INDEX('DETALLE CRONOLÓGICO'!$D$2:$D$4919,MATCH($A1452,'DETALLE CRONOLÓGICO'!$A$2:$A$4919,0))</f>
        <v/>
      </c>
      <c r="H1452" s="1">
        <f>INDEX('DETALLE CRONOLÓGICO'!$D$2:$D$4919,MATCH($A1452,'DETALLE CRONOLÓGICO'!$A$2:$A$4919,0)+$E1452-1)</f>
        <v/>
      </c>
      <c r="I1452" s="5">
        <f>IFERROR(SUMIFS('DETALLE CRONOLÓGICO'!$L$2:$L$4919,'DETALLE CRONOLÓGICO'!$A$2:$A$4919,$A1452)/$F1452,"")</f>
        <v/>
      </c>
      <c r="J1452" s="6">
        <f>IFERROR(SUMIFS('DETALLE CRONOLÓGICO'!$K$2:$K$4919,'DETALLE CRONOLÓGICO'!$A$2:$A$4919,$A1452)/$E1452,"")</f>
        <v/>
      </c>
      <c r="K1452" s="6">
        <f>_xlfn.MINIFS('DETALLE CRONOLÓGICO'!$K$2:$K$4919,'DETALLE CRONOLÓGICO'!$A$2:$A$4919,$A1452)</f>
        <v/>
      </c>
      <c r="L1452" s="6">
        <f>_xlfn.MAXIFS('DETALLE CRONOLÓGICO'!$K$2:$K$4919,'DETALLE CRONOLÓGICO'!$A$2:$A$4919,$A1452)</f>
        <v/>
      </c>
      <c r="M1452" s="6">
        <f>INDEX('DETALLE CRONOLÓGICO'!$K$2:$K$4919,MATCH($A1452,'DETALLE CRONOLÓGICO'!$A$2:$A$4919,0)+$E1452-1)</f>
        <v/>
      </c>
      <c r="N1452" s="7">
        <f>IFERROR($M1452/INDEX('DETALLE CRONOLÓGICO'!$K$2:$K$4919,MATCH($A1452,'DETALLE CRONOLÓGICO'!$A$2:$A$4919,0))-1,"")</f>
        <v/>
      </c>
      <c r="O1452" s="6">
        <f>IFERROR($I1452*3,"")</f>
        <v/>
      </c>
      <c r="P1452" s="6">
        <f>IFERROR($I1452*3.5,"")</f>
        <v/>
      </c>
      <c r="Q1452" s="6">
        <f>IFERROR($I1452*4,"")</f>
        <v/>
      </c>
      <c r="R1452" s="6" t="n">
        <v>3199</v>
      </c>
      <c r="S1452" s="4" t="n">
        <v>2</v>
      </c>
      <c r="T1452" s="1" t="inlineStr">
        <is>
          <t>active</t>
        </is>
      </c>
      <c r="U1452" s="8" t="n"/>
      <c r="V1452" s="1" t="inlineStr">
        <is>
          <t>SIN PRECIO</t>
        </is>
      </c>
    </row>
    <row r="1453">
      <c r="A1453" s="1" t="inlineStr">
        <is>
          <t>664fc85ecbb14</t>
        </is>
      </c>
      <c r="B1453" s="1" t="inlineStr">
        <is>
          <t>LENTES C BROWN</t>
        </is>
      </c>
      <c r="C1453" s="1" t="inlineStr">
        <is>
          <t>Regular</t>
        </is>
      </c>
      <c r="D1453" s="1" t="inlineStr">
        <is>
          <t>CYNTHIA</t>
        </is>
      </c>
      <c r="E1453" s="4">
        <f>COUNTIF('DETALLE CRONOLÓGICO'!$A$2:$A$4919,$A1453)</f>
        <v/>
      </c>
      <c r="F1453" s="4">
        <f>SUMIFS('DETALLE CRONOLÓGICO'!$I$2:$I$4919,'DETALLE CRONOLÓGICO'!$A$2:$A$4919,$A1453)</f>
        <v/>
      </c>
      <c r="G1453" s="1">
        <f>INDEX('DETALLE CRONOLÓGICO'!$D$2:$D$4919,MATCH($A1453,'DETALLE CRONOLÓGICO'!$A$2:$A$4919,0))</f>
        <v/>
      </c>
      <c r="H1453" s="1">
        <f>INDEX('DETALLE CRONOLÓGICO'!$D$2:$D$4919,MATCH($A1453,'DETALLE CRONOLÓGICO'!$A$2:$A$4919,0)+$E1453-1)</f>
        <v/>
      </c>
      <c r="I1453" s="5">
        <f>IFERROR(SUMIFS('DETALLE CRONOLÓGICO'!$L$2:$L$4919,'DETALLE CRONOLÓGICO'!$A$2:$A$4919,$A1453)/$F1453,"")</f>
        <v/>
      </c>
      <c r="J1453" s="6">
        <f>IFERROR(SUMIFS('DETALLE CRONOLÓGICO'!$K$2:$K$4919,'DETALLE CRONOLÓGICO'!$A$2:$A$4919,$A1453)/$E1453,"")</f>
        <v/>
      </c>
      <c r="K1453" s="6">
        <f>_xlfn.MINIFS('DETALLE CRONOLÓGICO'!$K$2:$K$4919,'DETALLE CRONOLÓGICO'!$A$2:$A$4919,$A1453)</f>
        <v/>
      </c>
      <c r="L1453" s="6">
        <f>_xlfn.MAXIFS('DETALLE CRONOLÓGICO'!$K$2:$K$4919,'DETALLE CRONOLÓGICO'!$A$2:$A$4919,$A1453)</f>
        <v/>
      </c>
      <c r="M1453" s="6">
        <f>INDEX('DETALLE CRONOLÓGICO'!$K$2:$K$4919,MATCH($A1453,'DETALLE CRONOLÓGICO'!$A$2:$A$4919,0)+$E1453-1)</f>
        <v/>
      </c>
      <c r="N1453" s="7">
        <f>IFERROR($M1453/INDEX('DETALLE CRONOLÓGICO'!$K$2:$K$4919,MATCH($A1453,'DETALLE CRONOLÓGICO'!$A$2:$A$4919,0))-1,"")</f>
        <v/>
      </c>
      <c r="O1453" s="6">
        <f>IFERROR($I1453*3,"")</f>
        <v/>
      </c>
      <c r="P1453" s="6">
        <f>IFERROR($I1453*3.5,"")</f>
        <v/>
      </c>
      <c r="Q1453" s="6">
        <f>IFERROR($I1453*4,"")</f>
        <v/>
      </c>
      <c r="R1453" s="6" t="n">
        <v>1100</v>
      </c>
      <c r="S1453" s="4" t="n">
        <v>3</v>
      </c>
      <c r="T1453" s="1" t="inlineStr">
        <is>
          <t>active</t>
        </is>
      </c>
      <c r="U1453" s="8" t="n"/>
      <c r="V1453" s="1" t="inlineStr">
        <is>
          <t>SIN PRECIO</t>
        </is>
      </c>
    </row>
    <row r="1454">
      <c r="A1454" s="1" t="inlineStr">
        <is>
          <t>665818c705471</t>
        </is>
      </c>
      <c r="B1454" s="1" t="inlineStr">
        <is>
          <t>LENTES C GREEN</t>
        </is>
      </c>
      <c r="C1454" s="1" t="inlineStr">
        <is>
          <t>LOGO</t>
        </is>
      </c>
      <c r="D1454" s="1" t="inlineStr">
        <is>
          <t>CYNTHIA</t>
        </is>
      </c>
      <c r="E1454" s="4">
        <f>COUNTIF('DETALLE CRONOLÓGICO'!$A$2:$A$4919,$A1454)</f>
        <v/>
      </c>
      <c r="F1454" s="4">
        <f>SUMIFS('DETALLE CRONOLÓGICO'!$I$2:$I$4919,'DETALLE CRONOLÓGICO'!$A$2:$A$4919,$A1454)</f>
        <v/>
      </c>
      <c r="G1454" s="1">
        <f>INDEX('DETALLE CRONOLÓGICO'!$D$2:$D$4919,MATCH($A1454,'DETALLE CRONOLÓGICO'!$A$2:$A$4919,0))</f>
        <v/>
      </c>
      <c r="H1454" s="1">
        <f>INDEX('DETALLE CRONOLÓGICO'!$D$2:$D$4919,MATCH($A1454,'DETALLE CRONOLÓGICO'!$A$2:$A$4919,0)+$E1454-1)</f>
        <v/>
      </c>
      <c r="I1454" s="5">
        <f>IFERROR(SUMIFS('DETALLE CRONOLÓGICO'!$L$2:$L$4919,'DETALLE CRONOLÓGICO'!$A$2:$A$4919,$A1454)/$F1454,"")</f>
        <v/>
      </c>
      <c r="J1454" s="6">
        <f>IFERROR(SUMIFS('DETALLE CRONOLÓGICO'!$K$2:$K$4919,'DETALLE CRONOLÓGICO'!$A$2:$A$4919,$A1454)/$E1454,"")</f>
        <v/>
      </c>
      <c r="K1454" s="6">
        <f>_xlfn.MINIFS('DETALLE CRONOLÓGICO'!$K$2:$K$4919,'DETALLE CRONOLÓGICO'!$A$2:$A$4919,$A1454)</f>
        <v/>
      </c>
      <c r="L1454" s="6">
        <f>_xlfn.MAXIFS('DETALLE CRONOLÓGICO'!$K$2:$K$4919,'DETALLE CRONOLÓGICO'!$A$2:$A$4919,$A1454)</f>
        <v/>
      </c>
      <c r="M1454" s="6">
        <f>INDEX('DETALLE CRONOLÓGICO'!$K$2:$K$4919,MATCH($A1454,'DETALLE CRONOLÓGICO'!$A$2:$A$4919,0)+$E1454-1)</f>
        <v/>
      </c>
      <c r="N1454" s="7">
        <f>IFERROR($M1454/INDEX('DETALLE CRONOLÓGICO'!$K$2:$K$4919,MATCH($A1454,'DETALLE CRONOLÓGICO'!$A$2:$A$4919,0))-1,"")</f>
        <v/>
      </c>
      <c r="O1454" s="6">
        <f>IFERROR($I1454*3,"")</f>
        <v/>
      </c>
      <c r="P1454" s="6">
        <f>IFERROR($I1454*3.5,"")</f>
        <v/>
      </c>
      <c r="Q1454" s="6">
        <f>IFERROR($I1454*4,"")</f>
        <v/>
      </c>
      <c r="R1454" s="6" t="n">
        <v>2499</v>
      </c>
      <c r="S1454" s="4" t="n">
        <v>6</v>
      </c>
      <c r="T1454" s="1" t="inlineStr">
        <is>
          <t>active</t>
        </is>
      </c>
      <c r="U1454" s="8" t="n"/>
      <c r="V1454" s="1" t="inlineStr">
        <is>
          <t>SIN PRECIO</t>
        </is>
      </c>
    </row>
    <row r="1455">
      <c r="A1455" s="1" t="inlineStr">
        <is>
          <t>66581907ee9cb-1</t>
        </is>
      </c>
      <c r="B1455" s="1" t="inlineStr">
        <is>
          <t>LENTES C OVAL BROWN</t>
        </is>
      </c>
      <c r="C1455" s="1" t="inlineStr">
        <is>
          <t>REGULAR</t>
        </is>
      </c>
      <c r="D1455" s="1" t="inlineStr">
        <is>
          <t>CYNTHIA</t>
        </is>
      </c>
      <c r="E1455" s="4">
        <f>COUNTIF('DETALLE CRONOLÓGICO'!$A$2:$A$4919,$A1455)</f>
        <v/>
      </c>
      <c r="F1455" s="4">
        <f>SUMIFS('DETALLE CRONOLÓGICO'!$I$2:$I$4919,'DETALLE CRONOLÓGICO'!$A$2:$A$4919,$A1455)</f>
        <v/>
      </c>
      <c r="G1455" s="1">
        <f>INDEX('DETALLE CRONOLÓGICO'!$D$2:$D$4919,MATCH($A1455,'DETALLE CRONOLÓGICO'!$A$2:$A$4919,0))</f>
        <v/>
      </c>
      <c r="H1455" s="1">
        <f>INDEX('DETALLE CRONOLÓGICO'!$D$2:$D$4919,MATCH($A1455,'DETALLE CRONOLÓGICO'!$A$2:$A$4919,0)+$E1455-1)</f>
        <v/>
      </c>
      <c r="I1455" s="5">
        <f>IFERROR(SUMIFS('DETALLE CRONOLÓGICO'!$L$2:$L$4919,'DETALLE CRONOLÓGICO'!$A$2:$A$4919,$A1455)/$F1455,"")</f>
        <v/>
      </c>
      <c r="J1455" s="6">
        <f>IFERROR(SUMIFS('DETALLE CRONOLÓGICO'!$K$2:$K$4919,'DETALLE CRONOLÓGICO'!$A$2:$A$4919,$A1455)/$E1455,"")</f>
        <v/>
      </c>
      <c r="K1455" s="6">
        <f>_xlfn.MINIFS('DETALLE CRONOLÓGICO'!$K$2:$K$4919,'DETALLE CRONOLÓGICO'!$A$2:$A$4919,$A1455)</f>
        <v/>
      </c>
      <c r="L1455" s="6">
        <f>_xlfn.MAXIFS('DETALLE CRONOLÓGICO'!$K$2:$K$4919,'DETALLE CRONOLÓGICO'!$A$2:$A$4919,$A1455)</f>
        <v/>
      </c>
      <c r="M1455" s="6">
        <f>INDEX('DETALLE CRONOLÓGICO'!$K$2:$K$4919,MATCH($A1455,'DETALLE CRONOLÓGICO'!$A$2:$A$4919,0)+$E1455-1)</f>
        <v/>
      </c>
      <c r="N1455" s="7">
        <f>IFERROR($M1455/INDEX('DETALLE CRONOLÓGICO'!$K$2:$K$4919,MATCH($A1455,'DETALLE CRONOLÓGICO'!$A$2:$A$4919,0))-1,"")</f>
        <v/>
      </c>
      <c r="O1455" s="6">
        <f>IFERROR($I1455*3,"")</f>
        <v/>
      </c>
      <c r="P1455" s="6">
        <f>IFERROR($I1455*3.5,"")</f>
        <v/>
      </c>
      <c r="Q1455" s="6">
        <f>IFERROR($I1455*4,"")</f>
        <v/>
      </c>
      <c r="R1455" s="6" t="n">
        <v>2779</v>
      </c>
      <c r="S1455" s="4" t="n">
        <v>0</v>
      </c>
      <c r="T1455" s="1" t="inlineStr">
        <is>
          <t>active</t>
        </is>
      </c>
      <c r="U1455" s="8" t="n"/>
      <c r="V1455" s="1" t="inlineStr">
        <is>
          <t>SIN PRECIO</t>
        </is>
      </c>
    </row>
    <row r="1456">
      <c r="A1456" s="1" t="inlineStr">
        <is>
          <t>66581df1de94d</t>
        </is>
      </c>
      <c r="B1456" s="1" t="inlineStr">
        <is>
          <t>BOLSO B BLACK</t>
        </is>
      </c>
      <c r="C1456" s="1" t="inlineStr">
        <is>
          <t>17cm de largo x 11cm de alto x 8.3cm de ancho</t>
        </is>
      </c>
      <c r="D1456" s="1" t="inlineStr">
        <is>
          <t>ZOEY</t>
        </is>
      </c>
      <c r="E1456" s="4">
        <f>COUNTIF('DETALLE CRONOLÓGICO'!$A$2:$A$4919,$A1456)</f>
        <v/>
      </c>
      <c r="F1456" s="4">
        <f>SUMIFS('DETALLE CRONOLÓGICO'!$I$2:$I$4919,'DETALLE CRONOLÓGICO'!$A$2:$A$4919,$A1456)</f>
        <v/>
      </c>
      <c r="G1456" s="1">
        <f>INDEX('DETALLE CRONOLÓGICO'!$D$2:$D$4919,MATCH($A1456,'DETALLE CRONOLÓGICO'!$A$2:$A$4919,0))</f>
        <v/>
      </c>
      <c r="H1456" s="1">
        <f>INDEX('DETALLE CRONOLÓGICO'!$D$2:$D$4919,MATCH($A1456,'DETALLE CRONOLÓGICO'!$A$2:$A$4919,0)+$E1456-1)</f>
        <v/>
      </c>
      <c r="I1456" s="5">
        <f>IFERROR(SUMIFS('DETALLE CRONOLÓGICO'!$L$2:$L$4919,'DETALLE CRONOLÓGICO'!$A$2:$A$4919,$A1456)/$F1456,"")</f>
        <v/>
      </c>
      <c r="J1456" s="6">
        <f>IFERROR(SUMIFS('DETALLE CRONOLÓGICO'!$K$2:$K$4919,'DETALLE CRONOLÓGICO'!$A$2:$A$4919,$A1456)/$E1456,"")</f>
        <v/>
      </c>
      <c r="K1456" s="6">
        <f>_xlfn.MINIFS('DETALLE CRONOLÓGICO'!$K$2:$K$4919,'DETALLE CRONOLÓGICO'!$A$2:$A$4919,$A1456)</f>
        <v/>
      </c>
      <c r="L1456" s="6">
        <f>_xlfn.MAXIFS('DETALLE CRONOLÓGICO'!$K$2:$K$4919,'DETALLE CRONOLÓGICO'!$A$2:$A$4919,$A1456)</f>
        <v/>
      </c>
      <c r="M1456" s="6">
        <f>INDEX('DETALLE CRONOLÓGICO'!$K$2:$K$4919,MATCH($A1456,'DETALLE CRONOLÓGICO'!$A$2:$A$4919,0)+$E1456-1)</f>
        <v/>
      </c>
      <c r="N1456" s="7">
        <f>IFERROR($M1456/INDEX('DETALLE CRONOLÓGICO'!$K$2:$K$4919,MATCH($A1456,'DETALLE CRONOLÓGICO'!$A$2:$A$4919,0))-1,"")</f>
        <v/>
      </c>
      <c r="O1456" s="6">
        <f>IFERROR($I1456*3,"")</f>
        <v/>
      </c>
      <c r="P1456" s="6">
        <f>IFERROR($I1456*3.5,"")</f>
        <v/>
      </c>
      <c r="Q1456" s="6">
        <f>IFERROR($I1456*4,"")</f>
        <v/>
      </c>
      <c r="R1456" s="6" t="n">
        <v>4609</v>
      </c>
      <c r="S1456" s="4" t="n">
        <v>3</v>
      </c>
      <c r="T1456" s="1" t="inlineStr">
        <is>
          <t>active</t>
        </is>
      </c>
      <c r="U1456" s="8" t="n"/>
      <c r="V1456" s="1" t="inlineStr">
        <is>
          <t>SIN PRECIO</t>
        </is>
      </c>
    </row>
    <row r="1457">
      <c r="A1457" s="1" t="inlineStr">
        <is>
          <t>66581dfb2f7ce</t>
        </is>
      </c>
      <c r="B1457" s="1" t="inlineStr">
        <is>
          <t>BOLSO LADY D NUDE</t>
        </is>
      </c>
      <c r="C1457" s="1" t="inlineStr">
        <is>
          <t>17cm de largo x 20cm largo x 8cm de ancho</t>
        </is>
      </c>
      <c r="D1457" s="1" t="inlineStr">
        <is>
          <t>ZOEY</t>
        </is>
      </c>
      <c r="E1457" s="4">
        <f>COUNTIF('DETALLE CRONOLÓGICO'!$A$2:$A$4919,$A1457)</f>
        <v/>
      </c>
      <c r="F1457" s="4">
        <f>SUMIFS('DETALLE CRONOLÓGICO'!$I$2:$I$4919,'DETALLE CRONOLÓGICO'!$A$2:$A$4919,$A1457)</f>
        <v/>
      </c>
      <c r="G1457" s="1">
        <f>INDEX('DETALLE CRONOLÓGICO'!$D$2:$D$4919,MATCH($A1457,'DETALLE CRONOLÓGICO'!$A$2:$A$4919,0))</f>
        <v/>
      </c>
      <c r="H1457" s="1">
        <f>INDEX('DETALLE CRONOLÓGICO'!$D$2:$D$4919,MATCH($A1457,'DETALLE CRONOLÓGICO'!$A$2:$A$4919,0)+$E1457-1)</f>
        <v/>
      </c>
      <c r="I1457" s="5">
        <f>IFERROR(SUMIFS('DETALLE CRONOLÓGICO'!$L$2:$L$4919,'DETALLE CRONOLÓGICO'!$A$2:$A$4919,$A1457)/$F1457,"")</f>
        <v/>
      </c>
      <c r="J1457" s="6">
        <f>IFERROR(SUMIFS('DETALLE CRONOLÓGICO'!$K$2:$K$4919,'DETALLE CRONOLÓGICO'!$A$2:$A$4919,$A1457)/$E1457,"")</f>
        <v/>
      </c>
      <c r="K1457" s="6">
        <f>_xlfn.MINIFS('DETALLE CRONOLÓGICO'!$K$2:$K$4919,'DETALLE CRONOLÓGICO'!$A$2:$A$4919,$A1457)</f>
        <v/>
      </c>
      <c r="L1457" s="6">
        <f>_xlfn.MAXIFS('DETALLE CRONOLÓGICO'!$K$2:$K$4919,'DETALLE CRONOLÓGICO'!$A$2:$A$4919,$A1457)</f>
        <v/>
      </c>
      <c r="M1457" s="6">
        <f>INDEX('DETALLE CRONOLÓGICO'!$K$2:$K$4919,MATCH($A1457,'DETALLE CRONOLÓGICO'!$A$2:$A$4919,0)+$E1457-1)</f>
        <v/>
      </c>
      <c r="N1457" s="7">
        <f>IFERROR($M1457/INDEX('DETALLE CRONOLÓGICO'!$K$2:$K$4919,MATCH($A1457,'DETALLE CRONOLÓGICO'!$A$2:$A$4919,0))-1,"")</f>
        <v/>
      </c>
      <c r="O1457" s="6">
        <f>IFERROR($I1457*3,"")</f>
        <v/>
      </c>
      <c r="P1457" s="6">
        <f>IFERROR($I1457*3.5,"")</f>
        <v/>
      </c>
      <c r="Q1457" s="6">
        <f>IFERROR($I1457*4,"")</f>
        <v/>
      </c>
      <c r="R1457" s="6" t="n">
        <v>5940</v>
      </c>
      <c r="S1457" s="4" t="n">
        <v>0</v>
      </c>
      <c r="T1457" s="1" t="inlineStr">
        <is>
          <t>active</t>
        </is>
      </c>
      <c r="U1457" s="8" t="n"/>
      <c r="V1457" s="1" t="inlineStr">
        <is>
          <t>SIN PRECIO</t>
        </is>
      </c>
    </row>
    <row r="1458">
      <c r="A1458" s="1" t="inlineStr">
        <is>
          <t>66581dfdba9ed</t>
        </is>
      </c>
      <c r="B1458" s="1" t="inlineStr">
        <is>
          <t>BOLSO LADY D RED</t>
        </is>
      </c>
      <c r="C1458" s="1" t="inlineStr">
        <is>
          <t>23.5cm de largo x 20.5cm alto x 12.5cm de ancho</t>
        </is>
      </c>
      <c r="D1458" s="1" t="inlineStr">
        <is>
          <t>ZOEY</t>
        </is>
      </c>
      <c r="E1458" s="4">
        <f>COUNTIF('DETALLE CRONOLÓGICO'!$A$2:$A$4919,$A1458)</f>
        <v/>
      </c>
      <c r="F1458" s="4">
        <f>SUMIFS('DETALLE CRONOLÓGICO'!$I$2:$I$4919,'DETALLE CRONOLÓGICO'!$A$2:$A$4919,$A1458)</f>
        <v/>
      </c>
      <c r="G1458" s="1">
        <f>INDEX('DETALLE CRONOLÓGICO'!$D$2:$D$4919,MATCH($A1458,'DETALLE CRONOLÓGICO'!$A$2:$A$4919,0))</f>
        <v/>
      </c>
      <c r="H1458" s="1">
        <f>INDEX('DETALLE CRONOLÓGICO'!$D$2:$D$4919,MATCH($A1458,'DETALLE CRONOLÓGICO'!$A$2:$A$4919,0)+$E1458-1)</f>
        <v/>
      </c>
      <c r="I1458" s="5">
        <f>IFERROR(SUMIFS('DETALLE CRONOLÓGICO'!$L$2:$L$4919,'DETALLE CRONOLÓGICO'!$A$2:$A$4919,$A1458)/$F1458,"")</f>
        <v/>
      </c>
      <c r="J1458" s="6">
        <f>IFERROR(SUMIFS('DETALLE CRONOLÓGICO'!$K$2:$K$4919,'DETALLE CRONOLÓGICO'!$A$2:$A$4919,$A1458)/$E1458,"")</f>
        <v/>
      </c>
      <c r="K1458" s="6">
        <f>_xlfn.MINIFS('DETALLE CRONOLÓGICO'!$K$2:$K$4919,'DETALLE CRONOLÓGICO'!$A$2:$A$4919,$A1458)</f>
        <v/>
      </c>
      <c r="L1458" s="6">
        <f>_xlfn.MAXIFS('DETALLE CRONOLÓGICO'!$K$2:$K$4919,'DETALLE CRONOLÓGICO'!$A$2:$A$4919,$A1458)</f>
        <v/>
      </c>
      <c r="M1458" s="6">
        <f>INDEX('DETALLE CRONOLÓGICO'!$K$2:$K$4919,MATCH($A1458,'DETALLE CRONOLÓGICO'!$A$2:$A$4919,0)+$E1458-1)</f>
        <v/>
      </c>
      <c r="N1458" s="7">
        <f>IFERROR($M1458/INDEX('DETALLE CRONOLÓGICO'!$K$2:$K$4919,MATCH($A1458,'DETALLE CRONOLÓGICO'!$A$2:$A$4919,0))-1,"")</f>
        <v/>
      </c>
      <c r="O1458" s="6">
        <f>IFERROR($I1458*3,"")</f>
        <v/>
      </c>
      <c r="P1458" s="6">
        <f>IFERROR($I1458*3.5,"")</f>
        <v/>
      </c>
      <c r="Q1458" s="6">
        <f>IFERROR($I1458*4,"")</f>
        <v/>
      </c>
      <c r="R1458" s="6" t="n">
        <v>5940</v>
      </c>
      <c r="S1458" s="4" t="n">
        <v>1</v>
      </c>
      <c r="T1458" s="1" t="inlineStr">
        <is>
          <t>active</t>
        </is>
      </c>
      <c r="U1458" s="8" t="n"/>
      <c r="V1458" s="1" t="inlineStr">
        <is>
          <t>SIN PRECIO</t>
        </is>
      </c>
    </row>
    <row r="1459">
      <c r="A1459" s="1" t="inlineStr">
        <is>
          <t>66581e33ea15d</t>
        </is>
      </c>
      <c r="B1459" s="1" t="inlineStr">
        <is>
          <t>BOLSA G GREEN</t>
        </is>
      </c>
      <c r="C1459" s="1" t="inlineStr">
        <is>
          <t>34cm largo x 27cm ancho</t>
        </is>
      </c>
      <c r="D1459" s="1" t="inlineStr">
        <is>
          <t>CYNTHIA</t>
        </is>
      </c>
      <c r="E1459" s="4">
        <f>COUNTIF('DETALLE CRONOLÓGICO'!$A$2:$A$4919,$A1459)</f>
        <v/>
      </c>
      <c r="F1459" s="4">
        <f>SUMIFS('DETALLE CRONOLÓGICO'!$I$2:$I$4919,'DETALLE CRONOLÓGICO'!$A$2:$A$4919,$A1459)</f>
        <v/>
      </c>
      <c r="G1459" s="1">
        <f>INDEX('DETALLE CRONOLÓGICO'!$D$2:$D$4919,MATCH($A1459,'DETALLE CRONOLÓGICO'!$A$2:$A$4919,0))</f>
        <v/>
      </c>
      <c r="H1459" s="1">
        <f>INDEX('DETALLE CRONOLÓGICO'!$D$2:$D$4919,MATCH($A1459,'DETALLE CRONOLÓGICO'!$A$2:$A$4919,0)+$E1459-1)</f>
        <v/>
      </c>
      <c r="I1459" s="5">
        <f>IFERROR(SUMIFS('DETALLE CRONOLÓGICO'!$L$2:$L$4919,'DETALLE CRONOLÓGICO'!$A$2:$A$4919,$A1459)/$F1459,"")</f>
        <v/>
      </c>
      <c r="J1459" s="6">
        <f>IFERROR(SUMIFS('DETALLE CRONOLÓGICO'!$K$2:$K$4919,'DETALLE CRONOLÓGICO'!$A$2:$A$4919,$A1459)/$E1459,"")</f>
        <v/>
      </c>
      <c r="K1459" s="6">
        <f>_xlfn.MINIFS('DETALLE CRONOLÓGICO'!$K$2:$K$4919,'DETALLE CRONOLÓGICO'!$A$2:$A$4919,$A1459)</f>
        <v/>
      </c>
      <c r="L1459" s="6">
        <f>_xlfn.MAXIFS('DETALLE CRONOLÓGICO'!$K$2:$K$4919,'DETALLE CRONOLÓGICO'!$A$2:$A$4919,$A1459)</f>
        <v/>
      </c>
      <c r="M1459" s="6">
        <f>INDEX('DETALLE CRONOLÓGICO'!$K$2:$K$4919,MATCH($A1459,'DETALLE CRONOLÓGICO'!$A$2:$A$4919,0)+$E1459-1)</f>
        <v/>
      </c>
      <c r="N1459" s="7">
        <f>IFERROR($M1459/INDEX('DETALLE CRONOLÓGICO'!$K$2:$K$4919,MATCH($A1459,'DETALLE CRONOLÓGICO'!$A$2:$A$4919,0))-1,"")</f>
        <v/>
      </c>
      <c r="O1459" s="6">
        <f>IFERROR($I1459*3,"")</f>
        <v/>
      </c>
      <c r="P1459" s="6">
        <f>IFERROR($I1459*3.5,"")</f>
        <v/>
      </c>
      <c r="Q1459" s="6">
        <f>IFERROR($I1459*4,"")</f>
        <v/>
      </c>
      <c r="R1459" s="6" t="n">
        <v>4250</v>
      </c>
      <c r="S1459" s="4" t="n">
        <v>0</v>
      </c>
      <c r="T1459" s="1" t="inlineStr">
        <is>
          <t>active</t>
        </is>
      </c>
      <c r="U1459" s="8" t="n"/>
      <c r="V1459" s="1" t="inlineStr">
        <is>
          <t>SIN PRECIO</t>
        </is>
      </c>
    </row>
    <row r="1460">
      <c r="A1460" s="1" t="inlineStr">
        <is>
          <t>66581e37d7ef3</t>
        </is>
      </c>
      <c r="B1460" s="1" t="inlineStr">
        <is>
          <t>BOLSA LV BROWN</t>
        </is>
      </c>
      <c r="C1460" s="1" t="inlineStr">
        <is>
          <t>21.5cm de largo x 12cm de alto x 5cm de ancho</t>
        </is>
      </c>
      <c r="D1460" s="1" t="inlineStr">
        <is>
          <t>CYNTHIA</t>
        </is>
      </c>
      <c r="E1460" s="4">
        <f>COUNTIF('DETALLE CRONOLÓGICO'!$A$2:$A$4919,$A1460)</f>
        <v/>
      </c>
      <c r="F1460" s="4">
        <f>SUMIFS('DETALLE CRONOLÓGICO'!$I$2:$I$4919,'DETALLE CRONOLÓGICO'!$A$2:$A$4919,$A1460)</f>
        <v/>
      </c>
      <c r="G1460" s="1">
        <f>INDEX('DETALLE CRONOLÓGICO'!$D$2:$D$4919,MATCH($A1460,'DETALLE CRONOLÓGICO'!$A$2:$A$4919,0))</f>
        <v/>
      </c>
      <c r="H1460" s="1">
        <f>INDEX('DETALLE CRONOLÓGICO'!$D$2:$D$4919,MATCH($A1460,'DETALLE CRONOLÓGICO'!$A$2:$A$4919,0)+$E1460-1)</f>
        <v/>
      </c>
      <c r="I1460" s="5">
        <f>IFERROR(SUMIFS('DETALLE CRONOLÓGICO'!$L$2:$L$4919,'DETALLE CRONOLÓGICO'!$A$2:$A$4919,$A1460)/$F1460,"")</f>
        <v/>
      </c>
      <c r="J1460" s="6">
        <f>IFERROR(SUMIFS('DETALLE CRONOLÓGICO'!$K$2:$K$4919,'DETALLE CRONOLÓGICO'!$A$2:$A$4919,$A1460)/$E1460,"")</f>
        <v/>
      </c>
      <c r="K1460" s="6">
        <f>_xlfn.MINIFS('DETALLE CRONOLÓGICO'!$K$2:$K$4919,'DETALLE CRONOLÓGICO'!$A$2:$A$4919,$A1460)</f>
        <v/>
      </c>
      <c r="L1460" s="6">
        <f>_xlfn.MAXIFS('DETALLE CRONOLÓGICO'!$K$2:$K$4919,'DETALLE CRONOLÓGICO'!$A$2:$A$4919,$A1460)</f>
        <v/>
      </c>
      <c r="M1460" s="6">
        <f>INDEX('DETALLE CRONOLÓGICO'!$K$2:$K$4919,MATCH($A1460,'DETALLE CRONOLÓGICO'!$A$2:$A$4919,0)+$E1460-1)</f>
        <v/>
      </c>
      <c r="N1460" s="7">
        <f>IFERROR($M1460/INDEX('DETALLE CRONOLÓGICO'!$K$2:$K$4919,MATCH($A1460,'DETALLE CRONOLÓGICO'!$A$2:$A$4919,0))-1,"")</f>
        <v/>
      </c>
      <c r="O1460" s="6">
        <f>IFERROR($I1460*3,"")</f>
        <v/>
      </c>
      <c r="P1460" s="6">
        <f>IFERROR($I1460*3.5,"")</f>
        <v/>
      </c>
      <c r="Q1460" s="6">
        <f>IFERROR($I1460*4,"")</f>
        <v/>
      </c>
      <c r="R1460" s="6" t="n">
        <v>6050</v>
      </c>
      <c r="S1460" s="4" t="n">
        <v>5</v>
      </c>
      <c r="T1460" s="1" t="inlineStr">
        <is>
          <t>active</t>
        </is>
      </c>
      <c r="U1460" s="8" t="n"/>
      <c r="V1460" s="1" t="inlineStr">
        <is>
          <t>SIN PRECIO</t>
        </is>
      </c>
    </row>
    <row r="1461">
      <c r="A1461" s="1" t="inlineStr">
        <is>
          <t>66593a9c168cf</t>
        </is>
      </c>
      <c r="B1461" s="1" t="inlineStr">
        <is>
          <t>ANILLO KNOT GOLD</t>
        </is>
      </c>
      <c r="C1461" s="1" t="n">
        <v>6</v>
      </c>
      <c r="D1461" s="1" t="inlineStr">
        <is>
          <t>NANCY</t>
        </is>
      </c>
      <c r="E1461" s="4">
        <f>COUNTIF('DETALLE CRONOLÓGICO'!$A$2:$A$4919,$A1461)</f>
        <v/>
      </c>
      <c r="F1461" s="4">
        <f>SUMIFS('DETALLE CRONOLÓGICO'!$I$2:$I$4919,'DETALLE CRONOLÓGICO'!$A$2:$A$4919,$A1461)</f>
        <v/>
      </c>
      <c r="G1461" s="1">
        <f>INDEX('DETALLE CRONOLÓGICO'!$D$2:$D$4919,MATCH($A1461,'DETALLE CRONOLÓGICO'!$A$2:$A$4919,0))</f>
        <v/>
      </c>
      <c r="H1461" s="1">
        <f>INDEX('DETALLE CRONOLÓGICO'!$D$2:$D$4919,MATCH($A1461,'DETALLE CRONOLÓGICO'!$A$2:$A$4919,0)+$E1461-1)</f>
        <v/>
      </c>
      <c r="I1461" s="5">
        <f>IFERROR(SUMIFS('DETALLE CRONOLÓGICO'!$L$2:$L$4919,'DETALLE CRONOLÓGICO'!$A$2:$A$4919,$A1461)/$F1461,"")</f>
        <v/>
      </c>
      <c r="J1461" s="6">
        <f>IFERROR(SUMIFS('DETALLE CRONOLÓGICO'!$K$2:$K$4919,'DETALLE CRONOLÓGICO'!$A$2:$A$4919,$A1461)/$E1461,"")</f>
        <v/>
      </c>
      <c r="K1461" s="6">
        <f>_xlfn.MINIFS('DETALLE CRONOLÓGICO'!$K$2:$K$4919,'DETALLE CRONOLÓGICO'!$A$2:$A$4919,$A1461)</f>
        <v/>
      </c>
      <c r="L1461" s="6">
        <f>_xlfn.MAXIFS('DETALLE CRONOLÓGICO'!$K$2:$K$4919,'DETALLE CRONOLÓGICO'!$A$2:$A$4919,$A1461)</f>
        <v/>
      </c>
      <c r="M1461" s="6">
        <f>INDEX('DETALLE CRONOLÓGICO'!$K$2:$K$4919,MATCH($A1461,'DETALLE CRONOLÓGICO'!$A$2:$A$4919,0)+$E1461-1)</f>
        <v/>
      </c>
      <c r="N1461" s="7">
        <f>IFERROR($M1461/INDEX('DETALLE CRONOLÓGICO'!$K$2:$K$4919,MATCH($A1461,'DETALLE CRONOLÓGICO'!$A$2:$A$4919,0))-1,"")</f>
        <v/>
      </c>
      <c r="O1461" s="6">
        <f>IFERROR($I1461*3,"")</f>
        <v/>
      </c>
      <c r="P1461" s="6">
        <f>IFERROR($I1461*3.5,"")</f>
        <v/>
      </c>
      <c r="Q1461" s="6">
        <f>IFERROR($I1461*4,"")</f>
        <v/>
      </c>
      <c r="R1461" s="6" t="n">
        <v>540</v>
      </c>
      <c r="S1461" s="4" t="n">
        <v>0</v>
      </c>
      <c r="T1461" s="1" t="inlineStr">
        <is>
          <t>active</t>
        </is>
      </c>
      <c r="U1461" s="8" t="n"/>
      <c r="V1461" s="1" t="inlineStr">
        <is>
          <t>SIN PRECIO</t>
        </is>
      </c>
    </row>
    <row r="1462">
      <c r="A1462" s="1" t="inlineStr">
        <is>
          <t>66593a9cc1aaa</t>
        </is>
      </c>
      <c r="B1462" s="1" t="inlineStr">
        <is>
          <t>ANILLO KNOT GOLD</t>
        </is>
      </c>
      <c r="C1462" s="1" t="n">
        <v>7</v>
      </c>
      <c r="D1462" s="1" t="inlineStr">
        <is>
          <t>NANCY</t>
        </is>
      </c>
      <c r="E1462" s="4">
        <f>COUNTIF('DETALLE CRONOLÓGICO'!$A$2:$A$4919,$A1462)</f>
        <v/>
      </c>
      <c r="F1462" s="4">
        <f>SUMIFS('DETALLE CRONOLÓGICO'!$I$2:$I$4919,'DETALLE CRONOLÓGICO'!$A$2:$A$4919,$A1462)</f>
        <v/>
      </c>
      <c r="G1462" s="1">
        <f>INDEX('DETALLE CRONOLÓGICO'!$D$2:$D$4919,MATCH($A1462,'DETALLE CRONOLÓGICO'!$A$2:$A$4919,0))</f>
        <v/>
      </c>
      <c r="H1462" s="1">
        <f>INDEX('DETALLE CRONOLÓGICO'!$D$2:$D$4919,MATCH($A1462,'DETALLE CRONOLÓGICO'!$A$2:$A$4919,0)+$E1462-1)</f>
        <v/>
      </c>
      <c r="I1462" s="5">
        <f>IFERROR(SUMIFS('DETALLE CRONOLÓGICO'!$L$2:$L$4919,'DETALLE CRONOLÓGICO'!$A$2:$A$4919,$A1462)/$F1462,"")</f>
        <v/>
      </c>
      <c r="J1462" s="6">
        <f>IFERROR(SUMIFS('DETALLE CRONOLÓGICO'!$K$2:$K$4919,'DETALLE CRONOLÓGICO'!$A$2:$A$4919,$A1462)/$E1462,"")</f>
        <v/>
      </c>
      <c r="K1462" s="6">
        <f>_xlfn.MINIFS('DETALLE CRONOLÓGICO'!$K$2:$K$4919,'DETALLE CRONOLÓGICO'!$A$2:$A$4919,$A1462)</f>
        <v/>
      </c>
      <c r="L1462" s="6">
        <f>_xlfn.MAXIFS('DETALLE CRONOLÓGICO'!$K$2:$K$4919,'DETALLE CRONOLÓGICO'!$A$2:$A$4919,$A1462)</f>
        <v/>
      </c>
      <c r="M1462" s="6">
        <f>INDEX('DETALLE CRONOLÓGICO'!$K$2:$K$4919,MATCH($A1462,'DETALLE CRONOLÓGICO'!$A$2:$A$4919,0)+$E1462-1)</f>
        <v/>
      </c>
      <c r="N1462" s="7">
        <f>IFERROR($M1462/INDEX('DETALLE CRONOLÓGICO'!$K$2:$K$4919,MATCH($A1462,'DETALLE CRONOLÓGICO'!$A$2:$A$4919,0))-1,"")</f>
        <v/>
      </c>
      <c r="O1462" s="6">
        <f>IFERROR($I1462*3,"")</f>
        <v/>
      </c>
      <c r="P1462" s="6">
        <f>IFERROR($I1462*3.5,"")</f>
        <v/>
      </c>
      <c r="Q1462" s="6">
        <f>IFERROR($I1462*4,"")</f>
        <v/>
      </c>
      <c r="R1462" s="6" t="n">
        <v>540</v>
      </c>
      <c r="S1462" s="4" t="n">
        <v>1</v>
      </c>
      <c r="T1462" s="1" t="inlineStr">
        <is>
          <t>active</t>
        </is>
      </c>
      <c r="U1462" s="8" t="n"/>
      <c r="V1462" s="1" t="inlineStr">
        <is>
          <t>SIN PRECIO</t>
        </is>
      </c>
    </row>
    <row r="1463">
      <c r="A1463" s="1" t="inlineStr">
        <is>
          <t>66593bc1df809</t>
        </is>
      </c>
      <c r="B1463" s="1" t="inlineStr">
        <is>
          <t>ANILLO LOVE MZ GOLD</t>
        </is>
      </c>
      <c r="C1463" s="1" t="inlineStr">
        <is>
          <t>5</t>
        </is>
      </c>
      <c r="D1463" s="1" t="inlineStr">
        <is>
          <t>HAIFENG</t>
        </is>
      </c>
      <c r="E1463" s="4">
        <f>COUNTIF('DETALLE CRONOLÓGICO'!$A$2:$A$4919,$A1463)</f>
        <v/>
      </c>
      <c r="F1463" s="4">
        <f>SUMIFS('DETALLE CRONOLÓGICO'!$I$2:$I$4919,'DETALLE CRONOLÓGICO'!$A$2:$A$4919,$A1463)</f>
        <v/>
      </c>
      <c r="G1463" s="1">
        <f>INDEX('DETALLE CRONOLÓGICO'!$D$2:$D$4919,MATCH($A1463,'DETALLE CRONOLÓGICO'!$A$2:$A$4919,0))</f>
        <v/>
      </c>
      <c r="H1463" s="1">
        <f>INDEX('DETALLE CRONOLÓGICO'!$D$2:$D$4919,MATCH($A1463,'DETALLE CRONOLÓGICO'!$A$2:$A$4919,0)+$E1463-1)</f>
        <v/>
      </c>
      <c r="I1463" s="5">
        <f>IFERROR(SUMIFS('DETALLE CRONOLÓGICO'!$L$2:$L$4919,'DETALLE CRONOLÓGICO'!$A$2:$A$4919,$A1463)/$F1463,"")</f>
        <v/>
      </c>
      <c r="J1463" s="6">
        <f>IFERROR(SUMIFS('DETALLE CRONOLÓGICO'!$K$2:$K$4919,'DETALLE CRONOLÓGICO'!$A$2:$A$4919,$A1463)/$E1463,"")</f>
        <v/>
      </c>
      <c r="K1463" s="6">
        <f>_xlfn.MINIFS('DETALLE CRONOLÓGICO'!$K$2:$K$4919,'DETALLE CRONOLÓGICO'!$A$2:$A$4919,$A1463)</f>
        <v/>
      </c>
      <c r="L1463" s="6">
        <f>_xlfn.MAXIFS('DETALLE CRONOLÓGICO'!$K$2:$K$4919,'DETALLE CRONOLÓGICO'!$A$2:$A$4919,$A1463)</f>
        <v/>
      </c>
      <c r="M1463" s="6">
        <f>INDEX('DETALLE CRONOLÓGICO'!$K$2:$K$4919,MATCH($A1463,'DETALLE CRONOLÓGICO'!$A$2:$A$4919,0)+$E1463-1)</f>
        <v/>
      </c>
      <c r="N1463" s="7">
        <f>IFERROR($M1463/INDEX('DETALLE CRONOLÓGICO'!$K$2:$K$4919,MATCH($A1463,'DETALLE CRONOLÓGICO'!$A$2:$A$4919,0))-1,"")</f>
        <v/>
      </c>
      <c r="O1463" s="6">
        <f>IFERROR($I1463*3,"")</f>
        <v/>
      </c>
      <c r="P1463" s="6">
        <f>IFERROR($I1463*3.5,"")</f>
        <v/>
      </c>
      <c r="Q1463" s="6">
        <f>IFERROR($I1463*4,"")</f>
        <v/>
      </c>
      <c r="R1463" s="6" t="n">
        <v>550</v>
      </c>
      <c r="S1463" s="4" t="n">
        <v>7</v>
      </c>
      <c r="T1463" s="1" t="inlineStr">
        <is>
          <t>active</t>
        </is>
      </c>
      <c r="U1463" s="8" t="n"/>
      <c r="V1463" s="1" t="inlineStr">
        <is>
          <t>SIN PRECIO</t>
        </is>
      </c>
    </row>
    <row r="1464">
      <c r="A1464" s="1" t="inlineStr">
        <is>
          <t>66593bc1ef37c</t>
        </is>
      </c>
      <c r="B1464" s="1" t="inlineStr">
        <is>
          <t>ANILLO LOVE MZ SILVER</t>
        </is>
      </c>
      <c r="C1464" s="1" t="inlineStr">
        <is>
          <t>5</t>
        </is>
      </c>
      <c r="D1464" s="1" t="inlineStr">
        <is>
          <t>HAIFENG</t>
        </is>
      </c>
      <c r="E1464" s="4">
        <f>COUNTIF('DETALLE CRONOLÓGICO'!$A$2:$A$4919,$A1464)</f>
        <v/>
      </c>
      <c r="F1464" s="4">
        <f>SUMIFS('DETALLE CRONOLÓGICO'!$I$2:$I$4919,'DETALLE CRONOLÓGICO'!$A$2:$A$4919,$A1464)</f>
        <v/>
      </c>
      <c r="G1464" s="1">
        <f>INDEX('DETALLE CRONOLÓGICO'!$D$2:$D$4919,MATCH($A1464,'DETALLE CRONOLÓGICO'!$A$2:$A$4919,0))</f>
        <v/>
      </c>
      <c r="H1464" s="1">
        <f>INDEX('DETALLE CRONOLÓGICO'!$D$2:$D$4919,MATCH($A1464,'DETALLE CRONOLÓGICO'!$A$2:$A$4919,0)+$E1464-1)</f>
        <v/>
      </c>
      <c r="I1464" s="5">
        <f>IFERROR(SUMIFS('DETALLE CRONOLÓGICO'!$L$2:$L$4919,'DETALLE CRONOLÓGICO'!$A$2:$A$4919,$A1464)/$F1464,"")</f>
        <v/>
      </c>
      <c r="J1464" s="6">
        <f>IFERROR(SUMIFS('DETALLE CRONOLÓGICO'!$K$2:$K$4919,'DETALLE CRONOLÓGICO'!$A$2:$A$4919,$A1464)/$E1464,"")</f>
        <v/>
      </c>
      <c r="K1464" s="6">
        <f>_xlfn.MINIFS('DETALLE CRONOLÓGICO'!$K$2:$K$4919,'DETALLE CRONOLÓGICO'!$A$2:$A$4919,$A1464)</f>
        <v/>
      </c>
      <c r="L1464" s="6">
        <f>_xlfn.MAXIFS('DETALLE CRONOLÓGICO'!$K$2:$K$4919,'DETALLE CRONOLÓGICO'!$A$2:$A$4919,$A1464)</f>
        <v/>
      </c>
      <c r="M1464" s="6">
        <f>INDEX('DETALLE CRONOLÓGICO'!$K$2:$K$4919,MATCH($A1464,'DETALLE CRONOLÓGICO'!$A$2:$A$4919,0)+$E1464-1)</f>
        <v/>
      </c>
      <c r="N1464" s="7">
        <f>IFERROR($M1464/INDEX('DETALLE CRONOLÓGICO'!$K$2:$K$4919,MATCH($A1464,'DETALLE CRONOLÓGICO'!$A$2:$A$4919,0))-1,"")</f>
        <v/>
      </c>
      <c r="O1464" s="6">
        <f>IFERROR($I1464*3,"")</f>
        <v/>
      </c>
      <c r="P1464" s="6">
        <f>IFERROR($I1464*3.5,"")</f>
        <v/>
      </c>
      <c r="Q1464" s="6">
        <f>IFERROR($I1464*4,"")</f>
        <v/>
      </c>
      <c r="R1464" s="6" t="n">
        <v>550</v>
      </c>
      <c r="S1464" s="4" t="n">
        <v>2</v>
      </c>
      <c r="T1464" s="1" t="inlineStr">
        <is>
          <t>active</t>
        </is>
      </c>
      <c r="U1464" s="8" t="n"/>
      <c r="V1464" s="1" t="inlineStr">
        <is>
          <t>SIN PRECIO</t>
        </is>
      </c>
    </row>
    <row r="1465">
      <c r="A1465" s="1" t="inlineStr">
        <is>
          <t>66593bc27f55c</t>
        </is>
      </c>
      <c r="B1465" s="1" t="inlineStr">
        <is>
          <t>ANILLO LOVE MZ GOLD</t>
        </is>
      </c>
      <c r="C1465" s="1" t="inlineStr">
        <is>
          <t>6</t>
        </is>
      </c>
      <c r="D1465" s="1" t="inlineStr">
        <is>
          <t>HAIFENG</t>
        </is>
      </c>
      <c r="E1465" s="4">
        <f>COUNTIF('DETALLE CRONOLÓGICO'!$A$2:$A$4919,$A1465)</f>
        <v/>
      </c>
      <c r="F1465" s="4">
        <f>SUMIFS('DETALLE CRONOLÓGICO'!$I$2:$I$4919,'DETALLE CRONOLÓGICO'!$A$2:$A$4919,$A1465)</f>
        <v/>
      </c>
      <c r="G1465" s="1">
        <f>INDEX('DETALLE CRONOLÓGICO'!$D$2:$D$4919,MATCH($A1465,'DETALLE CRONOLÓGICO'!$A$2:$A$4919,0))</f>
        <v/>
      </c>
      <c r="H1465" s="1">
        <f>INDEX('DETALLE CRONOLÓGICO'!$D$2:$D$4919,MATCH($A1465,'DETALLE CRONOLÓGICO'!$A$2:$A$4919,0)+$E1465-1)</f>
        <v/>
      </c>
      <c r="I1465" s="5">
        <f>IFERROR(SUMIFS('DETALLE CRONOLÓGICO'!$L$2:$L$4919,'DETALLE CRONOLÓGICO'!$A$2:$A$4919,$A1465)/$F1465,"")</f>
        <v/>
      </c>
      <c r="J1465" s="6">
        <f>IFERROR(SUMIFS('DETALLE CRONOLÓGICO'!$K$2:$K$4919,'DETALLE CRONOLÓGICO'!$A$2:$A$4919,$A1465)/$E1465,"")</f>
        <v/>
      </c>
      <c r="K1465" s="6">
        <f>_xlfn.MINIFS('DETALLE CRONOLÓGICO'!$K$2:$K$4919,'DETALLE CRONOLÓGICO'!$A$2:$A$4919,$A1465)</f>
        <v/>
      </c>
      <c r="L1465" s="6">
        <f>_xlfn.MAXIFS('DETALLE CRONOLÓGICO'!$K$2:$K$4919,'DETALLE CRONOLÓGICO'!$A$2:$A$4919,$A1465)</f>
        <v/>
      </c>
      <c r="M1465" s="6">
        <f>INDEX('DETALLE CRONOLÓGICO'!$K$2:$K$4919,MATCH($A1465,'DETALLE CRONOLÓGICO'!$A$2:$A$4919,0)+$E1465-1)</f>
        <v/>
      </c>
      <c r="N1465" s="7">
        <f>IFERROR($M1465/INDEX('DETALLE CRONOLÓGICO'!$K$2:$K$4919,MATCH($A1465,'DETALLE CRONOLÓGICO'!$A$2:$A$4919,0))-1,"")</f>
        <v/>
      </c>
      <c r="O1465" s="6">
        <f>IFERROR($I1465*3,"")</f>
        <v/>
      </c>
      <c r="P1465" s="6">
        <f>IFERROR($I1465*3.5,"")</f>
        <v/>
      </c>
      <c r="Q1465" s="6">
        <f>IFERROR($I1465*4,"")</f>
        <v/>
      </c>
      <c r="R1465" s="6" t="n">
        <v>550</v>
      </c>
      <c r="S1465" s="4" t="n">
        <v>5</v>
      </c>
      <c r="T1465" s="1" t="inlineStr">
        <is>
          <t>active</t>
        </is>
      </c>
      <c r="U1465" s="8" t="n"/>
      <c r="V1465" s="1" t="inlineStr">
        <is>
          <t>SIN PRECIO</t>
        </is>
      </c>
    </row>
    <row r="1466">
      <c r="A1466" s="1" t="inlineStr">
        <is>
          <t>66593bc296789</t>
        </is>
      </c>
      <c r="B1466" s="1" t="inlineStr">
        <is>
          <t>ANILLO LOVE MZ SILVER</t>
        </is>
      </c>
      <c r="C1466" s="1" t="inlineStr">
        <is>
          <t>6</t>
        </is>
      </c>
      <c r="D1466" s="1" t="inlineStr">
        <is>
          <t>HAIFENG</t>
        </is>
      </c>
      <c r="E1466" s="4">
        <f>COUNTIF('DETALLE CRONOLÓGICO'!$A$2:$A$4919,$A1466)</f>
        <v/>
      </c>
      <c r="F1466" s="4">
        <f>SUMIFS('DETALLE CRONOLÓGICO'!$I$2:$I$4919,'DETALLE CRONOLÓGICO'!$A$2:$A$4919,$A1466)</f>
        <v/>
      </c>
      <c r="G1466" s="1">
        <f>INDEX('DETALLE CRONOLÓGICO'!$D$2:$D$4919,MATCH($A1466,'DETALLE CRONOLÓGICO'!$A$2:$A$4919,0))</f>
        <v/>
      </c>
      <c r="H1466" s="1">
        <f>INDEX('DETALLE CRONOLÓGICO'!$D$2:$D$4919,MATCH($A1466,'DETALLE CRONOLÓGICO'!$A$2:$A$4919,0)+$E1466-1)</f>
        <v/>
      </c>
      <c r="I1466" s="5">
        <f>IFERROR(SUMIFS('DETALLE CRONOLÓGICO'!$L$2:$L$4919,'DETALLE CRONOLÓGICO'!$A$2:$A$4919,$A1466)/$F1466,"")</f>
        <v/>
      </c>
      <c r="J1466" s="6">
        <f>IFERROR(SUMIFS('DETALLE CRONOLÓGICO'!$K$2:$K$4919,'DETALLE CRONOLÓGICO'!$A$2:$A$4919,$A1466)/$E1466,"")</f>
        <v/>
      </c>
      <c r="K1466" s="6">
        <f>_xlfn.MINIFS('DETALLE CRONOLÓGICO'!$K$2:$K$4919,'DETALLE CRONOLÓGICO'!$A$2:$A$4919,$A1466)</f>
        <v/>
      </c>
      <c r="L1466" s="6">
        <f>_xlfn.MAXIFS('DETALLE CRONOLÓGICO'!$K$2:$K$4919,'DETALLE CRONOLÓGICO'!$A$2:$A$4919,$A1466)</f>
        <v/>
      </c>
      <c r="M1466" s="6">
        <f>INDEX('DETALLE CRONOLÓGICO'!$K$2:$K$4919,MATCH($A1466,'DETALLE CRONOLÓGICO'!$A$2:$A$4919,0)+$E1466-1)</f>
        <v/>
      </c>
      <c r="N1466" s="7">
        <f>IFERROR($M1466/INDEX('DETALLE CRONOLÓGICO'!$K$2:$K$4919,MATCH($A1466,'DETALLE CRONOLÓGICO'!$A$2:$A$4919,0))-1,"")</f>
        <v/>
      </c>
      <c r="O1466" s="6">
        <f>IFERROR($I1466*3,"")</f>
        <v/>
      </c>
      <c r="P1466" s="6">
        <f>IFERROR($I1466*3.5,"")</f>
        <v/>
      </c>
      <c r="Q1466" s="6">
        <f>IFERROR($I1466*4,"")</f>
        <v/>
      </c>
      <c r="R1466" s="6" t="n">
        <v>550</v>
      </c>
      <c r="S1466" s="4" t="n">
        <v>3</v>
      </c>
      <c r="T1466" s="1" t="inlineStr">
        <is>
          <t>active</t>
        </is>
      </c>
      <c r="U1466" s="8" t="n"/>
      <c r="V1466" s="1" t="inlineStr">
        <is>
          <t>SIN PRECIO</t>
        </is>
      </c>
    </row>
    <row r="1467">
      <c r="A1467" s="1" t="inlineStr">
        <is>
          <t>66593bc3186e1</t>
        </is>
      </c>
      <c r="B1467" s="1" t="inlineStr">
        <is>
          <t>ANILLO LOVE MZ GOLD</t>
        </is>
      </c>
      <c r="C1467" s="1" t="inlineStr">
        <is>
          <t>7</t>
        </is>
      </c>
      <c r="D1467" s="1" t="inlineStr">
        <is>
          <t>HAIFENG</t>
        </is>
      </c>
      <c r="E1467" s="4">
        <f>COUNTIF('DETALLE CRONOLÓGICO'!$A$2:$A$4919,$A1467)</f>
        <v/>
      </c>
      <c r="F1467" s="4">
        <f>SUMIFS('DETALLE CRONOLÓGICO'!$I$2:$I$4919,'DETALLE CRONOLÓGICO'!$A$2:$A$4919,$A1467)</f>
        <v/>
      </c>
      <c r="G1467" s="1">
        <f>INDEX('DETALLE CRONOLÓGICO'!$D$2:$D$4919,MATCH($A1467,'DETALLE CRONOLÓGICO'!$A$2:$A$4919,0))</f>
        <v/>
      </c>
      <c r="H1467" s="1">
        <f>INDEX('DETALLE CRONOLÓGICO'!$D$2:$D$4919,MATCH($A1467,'DETALLE CRONOLÓGICO'!$A$2:$A$4919,0)+$E1467-1)</f>
        <v/>
      </c>
      <c r="I1467" s="5">
        <f>IFERROR(SUMIFS('DETALLE CRONOLÓGICO'!$L$2:$L$4919,'DETALLE CRONOLÓGICO'!$A$2:$A$4919,$A1467)/$F1467,"")</f>
        <v/>
      </c>
      <c r="J1467" s="6">
        <f>IFERROR(SUMIFS('DETALLE CRONOLÓGICO'!$K$2:$K$4919,'DETALLE CRONOLÓGICO'!$A$2:$A$4919,$A1467)/$E1467,"")</f>
        <v/>
      </c>
      <c r="K1467" s="6">
        <f>_xlfn.MINIFS('DETALLE CRONOLÓGICO'!$K$2:$K$4919,'DETALLE CRONOLÓGICO'!$A$2:$A$4919,$A1467)</f>
        <v/>
      </c>
      <c r="L1467" s="6">
        <f>_xlfn.MAXIFS('DETALLE CRONOLÓGICO'!$K$2:$K$4919,'DETALLE CRONOLÓGICO'!$A$2:$A$4919,$A1467)</f>
        <v/>
      </c>
      <c r="M1467" s="6">
        <f>INDEX('DETALLE CRONOLÓGICO'!$K$2:$K$4919,MATCH($A1467,'DETALLE CRONOLÓGICO'!$A$2:$A$4919,0)+$E1467-1)</f>
        <v/>
      </c>
      <c r="N1467" s="7">
        <f>IFERROR($M1467/INDEX('DETALLE CRONOLÓGICO'!$K$2:$K$4919,MATCH($A1467,'DETALLE CRONOLÓGICO'!$A$2:$A$4919,0))-1,"")</f>
        <v/>
      </c>
      <c r="O1467" s="6">
        <f>IFERROR($I1467*3,"")</f>
        <v/>
      </c>
      <c r="P1467" s="6">
        <f>IFERROR($I1467*3.5,"")</f>
        <v/>
      </c>
      <c r="Q1467" s="6">
        <f>IFERROR($I1467*4,"")</f>
        <v/>
      </c>
      <c r="R1467" s="6" t="n">
        <v>550</v>
      </c>
      <c r="S1467" s="4" t="n">
        <v>1</v>
      </c>
      <c r="T1467" s="1" t="inlineStr">
        <is>
          <t>active</t>
        </is>
      </c>
      <c r="U1467" s="8" t="n"/>
      <c r="V1467" s="1" t="inlineStr">
        <is>
          <t>SIN PRECIO</t>
        </is>
      </c>
    </row>
    <row r="1468">
      <c r="A1468" s="1" t="inlineStr">
        <is>
          <t>66593bc339714</t>
        </is>
      </c>
      <c r="B1468" s="1" t="inlineStr">
        <is>
          <t>ANILLO LOVE MZ SILVER</t>
        </is>
      </c>
      <c r="C1468" s="1" t="inlineStr">
        <is>
          <t>7</t>
        </is>
      </c>
      <c r="D1468" s="1" t="inlineStr">
        <is>
          <t>HAIFENG</t>
        </is>
      </c>
      <c r="E1468" s="4">
        <f>COUNTIF('DETALLE CRONOLÓGICO'!$A$2:$A$4919,$A1468)</f>
        <v/>
      </c>
      <c r="F1468" s="4">
        <f>SUMIFS('DETALLE CRONOLÓGICO'!$I$2:$I$4919,'DETALLE CRONOLÓGICO'!$A$2:$A$4919,$A1468)</f>
        <v/>
      </c>
      <c r="G1468" s="1">
        <f>INDEX('DETALLE CRONOLÓGICO'!$D$2:$D$4919,MATCH($A1468,'DETALLE CRONOLÓGICO'!$A$2:$A$4919,0))</f>
        <v/>
      </c>
      <c r="H1468" s="1">
        <f>INDEX('DETALLE CRONOLÓGICO'!$D$2:$D$4919,MATCH($A1468,'DETALLE CRONOLÓGICO'!$A$2:$A$4919,0)+$E1468-1)</f>
        <v/>
      </c>
      <c r="I1468" s="5">
        <f>IFERROR(SUMIFS('DETALLE CRONOLÓGICO'!$L$2:$L$4919,'DETALLE CRONOLÓGICO'!$A$2:$A$4919,$A1468)/$F1468,"")</f>
        <v/>
      </c>
      <c r="J1468" s="6">
        <f>IFERROR(SUMIFS('DETALLE CRONOLÓGICO'!$K$2:$K$4919,'DETALLE CRONOLÓGICO'!$A$2:$A$4919,$A1468)/$E1468,"")</f>
        <v/>
      </c>
      <c r="K1468" s="6">
        <f>_xlfn.MINIFS('DETALLE CRONOLÓGICO'!$K$2:$K$4919,'DETALLE CRONOLÓGICO'!$A$2:$A$4919,$A1468)</f>
        <v/>
      </c>
      <c r="L1468" s="6">
        <f>_xlfn.MAXIFS('DETALLE CRONOLÓGICO'!$K$2:$K$4919,'DETALLE CRONOLÓGICO'!$A$2:$A$4919,$A1468)</f>
        <v/>
      </c>
      <c r="M1468" s="6">
        <f>INDEX('DETALLE CRONOLÓGICO'!$K$2:$K$4919,MATCH($A1468,'DETALLE CRONOLÓGICO'!$A$2:$A$4919,0)+$E1468-1)</f>
        <v/>
      </c>
      <c r="N1468" s="7">
        <f>IFERROR($M1468/INDEX('DETALLE CRONOLÓGICO'!$K$2:$K$4919,MATCH($A1468,'DETALLE CRONOLÓGICO'!$A$2:$A$4919,0))-1,"")</f>
        <v/>
      </c>
      <c r="O1468" s="6">
        <f>IFERROR($I1468*3,"")</f>
        <v/>
      </c>
      <c r="P1468" s="6">
        <f>IFERROR($I1468*3.5,"")</f>
        <v/>
      </c>
      <c r="Q1468" s="6">
        <f>IFERROR($I1468*4,"")</f>
        <v/>
      </c>
      <c r="R1468" s="6" t="n">
        <v>550</v>
      </c>
      <c r="S1468" s="4" t="n">
        <v>2</v>
      </c>
      <c r="T1468" s="1" t="inlineStr">
        <is>
          <t>active</t>
        </is>
      </c>
      <c r="U1468" s="8" t="n"/>
      <c r="V1468" s="1" t="inlineStr">
        <is>
          <t>SIN PRECIO</t>
        </is>
      </c>
    </row>
    <row r="1469">
      <c r="A1469" s="1" t="inlineStr">
        <is>
          <t>66593bc3b73c7</t>
        </is>
      </c>
      <c r="B1469" s="1" t="inlineStr">
        <is>
          <t>ANILLO LOVE MZ GOLD</t>
        </is>
      </c>
      <c r="C1469" s="1" t="inlineStr">
        <is>
          <t>8</t>
        </is>
      </c>
      <c r="D1469" s="1" t="inlineStr">
        <is>
          <t>HAIFENG</t>
        </is>
      </c>
      <c r="E1469" s="4">
        <f>COUNTIF('DETALLE CRONOLÓGICO'!$A$2:$A$4919,$A1469)</f>
        <v/>
      </c>
      <c r="F1469" s="4">
        <f>SUMIFS('DETALLE CRONOLÓGICO'!$I$2:$I$4919,'DETALLE CRONOLÓGICO'!$A$2:$A$4919,$A1469)</f>
        <v/>
      </c>
      <c r="G1469" s="1">
        <f>INDEX('DETALLE CRONOLÓGICO'!$D$2:$D$4919,MATCH($A1469,'DETALLE CRONOLÓGICO'!$A$2:$A$4919,0))</f>
        <v/>
      </c>
      <c r="H1469" s="1">
        <f>INDEX('DETALLE CRONOLÓGICO'!$D$2:$D$4919,MATCH($A1469,'DETALLE CRONOLÓGICO'!$A$2:$A$4919,0)+$E1469-1)</f>
        <v/>
      </c>
      <c r="I1469" s="5">
        <f>IFERROR(SUMIFS('DETALLE CRONOLÓGICO'!$L$2:$L$4919,'DETALLE CRONOLÓGICO'!$A$2:$A$4919,$A1469)/$F1469,"")</f>
        <v/>
      </c>
      <c r="J1469" s="6">
        <f>IFERROR(SUMIFS('DETALLE CRONOLÓGICO'!$K$2:$K$4919,'DETALLE CRONOLÓGICO'!$A$2:$A$4919,$A1469)/$E1469,"")</f>
        <v/>
      </c>
      <c r="K1469" s="6">
        <f>_xlfn.MINIFS('DETALLE CRONOLÓGICO'!$K$2:$K$4919,'DETALLE CRONOLÓGICO'!$A$2:$A$4919,$A1469)</f>
        <v/>
      </c>
      <c r="L1469" s="6">
        <f>_xlfn.MAXIFS('DETALLE CRONOLÓGICO'!$K$2:$K$4919,'DETALLE CRONOLÓGICO'!$A$2:$A$4919,$A1469)</f>
        <v/>
      </c>
      <c r="M1469" s="6">
        <f>INDEX('DETALLE CRONOLÓGICO'!$K$2:$K$4919,MATCH($A1469,'DETALLE CRONOLÓGICO'!$A$2:$A$4919,0)+$E1469-1)</f>
        <v/>
      </c>
      <c r="N1469" s="7">
        <f>IFERROR($M1469/INDEX('DETALLE CRONOLÓGICO'!$K$2:$K$4919,MATCH($A1469,'DETALLE CRONOLÓGICO'!$A$2:$A$4919,0))-1,"")</f>
        <v/>
      </c>
      <c r="O1469" s="6">
        <f>IFERROR($I1469*3,"")</f>
        <v/>
      </c>
      <c r="P1469" s="6">
        <f>IFERROR($I1469*3.5,"")</f>
        <v/>
      </c>
      <c r="Q1469" s="6">
        <f>IFERROR($I1469*4,"")</f>
        <v/>
      </c>
      <c r="R1469" s="6" t="n">
        <v>550</v>
      </c>
      <c r="S1469" s="4" t="n">
        <v>4</v>
      </c>
      <c r="T1469" s="1" t="inlineStr">
        <is>
          <t>active</t>
        </is>
      </c>
      <c r="U1469" s="8" t="n"/>
      <c r="V1469" s="1" t="inlineStr">
        <is>
          <t>SIN PRECIO</t>
        </is>
      </c>
    </row>
    <row r="1470">
      <c r="A1470" s="1" t="inlineStr">
        <is>
          <t>66593bc3df025</t>
        </is>
      </c>
      <c r="B1470" s="1" t="inlineStr">
        <is>
          <t>ANILLO LOVE MZ SILVER</t>
        </is>
      </c>
      <c r="C1470" s="1" t="inlineStr">
        <is>
          <t>8</t>
        </is>
      </c>
      <c r="D1470" s="1" t="inlineStr">
        <is>
          <t>HAIFENG</t>
        </is>
      </c>
      <c r="E1470" s="4">
        <f>COUNTIF('DETALLE CRONOLÓGICO'!$A$2:$A$4919,$A1470)</f>
        <v/>
      </c>
      <c r="F1470" s="4">
        <f>SUMIFS('DETALLE CRONOLÓGICO'!$I$2:$I$4919,'DETALLE CRONOLÓGICO'!$A$2:$A$4919,$A1470)</f>
        <v/>
      </c>
      <c r="G1470" s="1">
        <f>INDEX('DETALLE CRONOLÓGICO'!$D$2:$D$4919,MATCH($A1470,'DETALLE CRONOLÓGICO'!$A$2:$A$4919,0))</f>
        <v/>
      </c>
      <c r="H1470" s="1">
        <f>INDEX('DETALLE CRONOLÓGICO'!$D$2:$D$4919,MATCH($A1470,'DETALLE CRONOLÓGICO'!$A$2:$A$4919,0)+$E1470-1)</f>
        <v/>
      </c>
      <c r="I1470" s="5">
        <f>IFERROR(SUMIFS('DETALLE CRONOLÓGICO'!$L$2:$L$4919,'DETALLE CRONOLÓGICO'!$A$2:$A$4919,$A1470)/$F1470,"")</f>
        <v/>
      </c>
      <c r="J1470" s="6">
        <f>IFERROR(SUMIFS('DETALLE CRONOLÓGICO'!$K$2:$K$4919,'DETALLE CRONOLÓGICO'!$A$2:$A$4919,$A1470)/$E1470,"")</f>
        <v/>
      </c>
      <c r="K1470" s="6">
        <f>_xlfn.MINIFS('DETALLE CRONOLÓGICO'!$K$2:$K$4919,'DETALLE CRONOLÓGICO'!$A$2:$A$4919,$A1470)</f>
        <v/>
      </c>
      <c r="L1470" s="6">
        <f>_xlfn.MAXIFS('DETALLE CRONOLÓGICO'!$K$2:$K$4919,'DETALLE CRONOLÓGICO'!$A$2:$A$4919,$A1470)</f>
        <v/>
      </c>
      <c r="M1470" s="6">
        <f>INDEX('DETALLE CRONOLÓGICO'!$K$2:$K$4919,MATCH($A1470,'DETALLE CRONOLÓGICO'!$A$2:$A$4919,0)+$E1470-1)</f>
        <v/>
      </c>
      <c r="N1470" s="7">
        <f>IFERROR($M1470/INDEX('DETALLE CRONOLÓGICO'!$K$2:$K$4919,MATCH($A1470,'DETALLE CRONOLÓGICO'!$A$2:$A$4919,0))-1,"")</f>
        <v/>
      </c>
      <c r="O1470" s="6">
        <f>IFERROR($I1470*3,"")</f>
        <v/>
      </c>
      <c r="P1470" s="6">
        <f>IFERROR($I1470*3.5,"")</f>
        <v/>
      </c>
      <c r="Q1470" s="6">
        <f>IFERROR($I1470*4,"")</f>
        <v/>
      </c>
      <c r="R1470" s="6" t="n">
        <v>550</v>
      </c>
      <c r="S1470" s="4" t="n">
        <v>4</v>
      </c>
      <c r="T1470" s="1" t="inlineStr">
        <is>
          <t>active</t>
        </is>
      </c>
      <c r="U1470" s="8" t="n"/>
      <c r="V1470" s="1" t="inlineStr">
        <is>
          <t>SIN PRECIO</t>
        </is>
      </c>
    </row>
    <row r="1471">
      <c r="A1471" s="1" t="inlineStr">
        <is>
          <t>66593bc4595bd</t>
        </is>
      </c>
      <c r="B1471" s="1" t="inlineStr">
        <is>
          <t>ANILLO LOVE MZ GOLD</t>
        </is>
      </c>
      <c r="C1471" s="1" t="inlineStr">
        <is>
          <t>9</t>
        </is>
      </c>
      <c r="D1471" s="1" t="inlineStr">
        <is>
          <t>HAIFENG</t>
        </is>
      </c>
      <c r="E1471" s="4">
        <f>COUNTIF('DETALLE CRONOLÓGICO'!$A$2:$A$4919,$A1471)</f>
        <v/>
      </c>
      <c r="F1471" s="4">
        <f>SUMIFS('DETALLE CRONOLÓGICO'!$I$2:$I$4919,'DETALLE CRONOLÓGICO'!$A$2:$A$4919,$A1471)</f>
        <v/>
      </c>
      <c r="G1471" s="1">
        <f>INDEX('DETALLE CRONOLÓGICO'!$D$2:$D$4919,MATCH($A1471,'DETALLE CRONOLÓGICO'!$A$2:$A$4919,0))</f>
        <v/>
      </c>
      <c r="H1471" s="1">
        <f>INDEX('DETALLE CRONOLÓGICO'!$D$2:$D$4919,MATCH($A1471,'DETALLE CRONOLÓGICO'!$A$2:$A$4919,0)+$E1471-1)</f>
        <v/>
      </c>
      <c r="I1471" s="5">
        <f>IFERROR(SUMIFS('DETALLE CRONOLÓGICO'!$L$2:$L$4919,'DETALLE CRONOLÓGICO'!$A$2:$A$4919,$A1471)/$F1471,"")</f>
        <v/>
      </c>
      <c r="J1471" s="6">
        <f>IFERROR(SUMIFS('DETALLE CRONOLÓGICO'!$K$2:$K$4919,'DETALLE CRONOLÓGICO'!$A$2:$A$4919,$A1471)/$E1471,"")</f>
        <v/>
      </c>
      <c r="K1471" s="6">
        <f>_xlfn.MINIFS('DETALLE CRONOLÓGICO'!$K$2:$K$4919,'DETALLE CRONOLÓGICO'!$A$2:$A$4919,$A1471)</f>
        <v/>
      </c>
      <c r="L1471" s="6">
        <f>_xlfn.MAXIFS('DETALLE CRONOLÓGICO'!$K$2:$K$4919,'DETALLE CRONOLÓGICO'!$A$2:$A$4919,$A1471)</f>
        <v/>
      </c>
      <c r="M1471" s="6">
        <f>INDEX('DETALLE CRONOLÓGICO'!$K$2:$K$4919,MATCH($A1471,'DETALLE CRONOLÓGICO'!$A$2:$A$4919,0)+$E1471-1)</f>
        <v/>
      </c>
      <c r="N1471" s="7">
        <f>IFERROR($M1471/INDEX('DETALLE CRONOLÓGICO'!$K$2:$K$4919,MATCH($A1471,'DETALLE CRONOLÓGICO'!$A$2:$A$4919,0))-1,"")</f>
        <v/>
      </c>
      <c r="O1471" s="6">
        <f>IFERROR($I1471*3,"")</f>
        <v/>
      </c>
      <c r="P1471" s="6">
        <f>IFERROR($I1471*3.5,"")</f>
        <v/>
      </c>
      <c r="Q1471" s="6">
        <f>IFERROR($I1471*4,"")</f>
        <v/>
      </c>
      <c r="R1471" s="6" t="n">
        <v>550</v>
      </c>
      <c r="S1471" s="4" t="n">
        <v>3</v>
      </c>
      <c r="T1471" s="1" t="inlineStr">
        <is>
          <t>active</t>
        </is>
      </c>
      <c r="U1471" s="8" t="n"/>
      <c r="V1471" s="1" t="inlineStr">
        <is>
          <t>SIN PRECIO</t>
        </is>
      </c>
    </row>
    <row r="1472">
      <c r="A1472" s="1" t="inlineStr">
        <is>
          <t>66593bc48c52f</t>
        </is>
      </c>
      <c r="B1472" s="1" t="inlineStr">
        <is>
          <t>ANILLO LOVE MZ SILVER</t>
        </is>
      </c>
      <c r="C1472" s="1" t="inlineStr">
        <is>
          <t>9</t>
        </is>
      </c>
      <c r="D1472" s="1" t="inlineStr">
        <is>
          <t>HAIFENG</t>
        </is>
      </c>
      <c r="E1472" s="4">
        <f>COUNTIF('DETALLE CRONOLÓGICO'!$A$2:$A$4919,$A1472)</f>
        <v/>
      </c>
      <c r="F1472" s="4">
        <f>SUMIFS('DETALLE CRONOLÓGICO'!$I$2:$I$4919,'DETALLE CRONOLÓGICO'!$A$2:$A$4919,$A1472)</f>
        <v/>
      </c>
      <c r="G1472" s="1">
        <f>INDEX('DETALLE CRONOLÓGICO'!$D$2:$D$4919,MATCH($A1472,'DETALLE CRONOLÓGICO'!$A$2:$A$4919,0))</f>
        <v/>
      </c>
      <c r="H1472" s="1">
        <f>INDEX('DETALLE CRONOLÓGICO'!$D$2:$D$4919,MATCH($A1472,'DETALLE CRONOLÓGICO'!$A$2:$A$4919,0)+$E1472-1)</f>
        <v/>
      </c>
      <c r="I1472" s="5">
        <f>IFERROR(SUMIFS('DETALLE CRONOLÓGICO'!$L$2:$L$4919,'DETALLE CRONOLÓGICO'!$A$2:$A$4919,$A1472)/$F1472,"")</f>
        <v/>
      </c>
      <c r="J1472" s="6">
        <f>IFERROR(SUMIFS('DETALLE CRONOLÓGICO'!$K$2:$K$4919,'DETALLE CRONOLÓGICO'!$A$2:$A$4919,$A1472)/$E1472,"")</f>
        <v/>
      </c>
      <c r="K1472" s="6">
        <f>_xlfn.MINIFS('DETALLE CRONOLÓGICO'!$K$2:$K$4919,'DETALLE CRONOLÓGICO'!$A$2:$A$4919,$A1472)</f>
        <v/>
      </c>
      <c r="L1472" s="6">
        <f>_xlfn.MAXIFS('DETALLE CRONOLÓGICO'!$K$2:$K$4919,'DETALLE CRONOLÓGICO'!$A$2:$A$4919,$A1472)</f>
        <v/>
      </c>
      <c r="M1472" s="6">
        <f>INDEX('DETALLE CRONOLÓGICO'!$K$2:$K$4919,MATCH($A1472,'DETALLE CRONOLÓGICO'!$A$2:$A$4919,0)+$E1472-1)</f>
        <v/>
      </c>
      <c r="N1472" s="7">
        <f>IFERROR($M1472/INDEX('DETALLE CRONOLÓGICO'!$K$2:$K$4919,MATCH($A1472,'DETALLE CRONOLÓGICO'!$A$2:$A$4919,0))-1,"")</f>
        <v/>
      </c>
      <c r="O1472" s="6">
        <f>IFERROR($I1472*3,"")</f>
        <v/>
      </c>
      <c r="P1472" s="6">
        <f>IFERROR($I1472*3.5,"")</f>
        <v/>
      </c>
      <c r="Q1472" s="6">
        <f>IFERROR($I1472*4,"")</f>
        <v/>
      </c>
      <c r="R1472" s="6" t="n">
        <v>550</v>
      </c>
      <c r="S1472" s="4" t="n">
        <v>3</v>
      </c>
      <c r="T1472" s="1" t="inlineStr">
        <is>
          <t>active</t>
        </is>
      </c>
      <c r="U1472" s="8" t="n"/>
      <c r="V1472" s="1" t="inlineStr">
        <is>
          <t>SIN PRECIO</t>
        </is>
      </c>
    </row>
    <row r="1473">
      <c r="A1473" s="1" t="inlineStr">
        <is>
          <t>66593bc501571</t>
        </is>
      </c>
      <c r="B1473" s="1" t="inlineStr">
        <is>
          <t>ANILLO LOVE MZ GOLD</t>
        </is>
      </c>
      <c r="C1473" s="1" t="inlineStr">
        <is>
          <t>10</t>
        </is>
      </c>
      <c r="D1473" s="1" t="inlineStr">
        <is>
          <t>HAIFENG</t>
        </is>
      </c>
      <c r="E1473" s="4">
        <f>COUNTIF('DETALLE CRONOLÓGICO'!$A$2:$A$4919,$A1473)</f>
        <v/>
      </c>
      <c r="F1473" s="4">
        <f>SUMIFS('DETALLE CRONOLÓGICO'!$I$2:$I$4919,'DETALLE CRONOLÓGICO'!$A$2:$A$4919,$A1473)</f>
        <v/>
      </c>
      <c r="G1473" s="1">
        <f>INDEX('DETALLE CRONOLÓGICO'!$D$2:$D$4919,MATCH($A1473,'DETALLE CRONOLÓGICO'!$A$2:$A$4919,0))</f>
        <v/>
      </c>
      <c r="H1473" s="1">
        <f>INDEX('DETALLE CRONOLÓGICO'!$D$2:$D$4919,MATCH($A1473,'DETALLE CRONOLÓGICO'!$A$2:$A$4919,0)+$E1473-1)</f>
        <v/>
      </c>
      <c r="I1473" s="5">
        <f>IFERROR(SUMIFS('DETALLE CRONOLÓGICO'!$L$2:$L$4919,'DETALLE CRONOLÓGICO'!$A$2:$A$4919,$A1473)/$F1473,"")</f>
        <v/>
      </c>
      <c r="J1473" s="6">
        <f>IFERROR(SUMIFS('DETALLE CRONOLÓGICO'!$K$2:$K$4919,'DETALLE CRONOLÓGICO'!$A$2:$A$4919,$A1473)/$E1473,"")</f>
        <v/>
      </c>
      <c r="K1473" s="6">
        <f>_xlfn.MINIFS('DETALLE CRONOLÓGICO'!$K$2:$K$4919,'DETALLE CRONOLÓGICO'!$A$2:$A$4919,$A1473)</f>
        <v/>
      </c>
      <c r="L1473" s="6">
        <f>_xlfn.MAXIFS('DETALLE CRONOLÓGICO'!$K$2:$K$4919,'DETALLE CRONOLÓGICO'!$A$2:$A$4919,$A1473)</f>
        <v/>
      </c>
      <c r="M1473" s="6">
        <f>INDEX('DETALLE CRONOLÓGICO'!$K$2:$K$4919,MATCH($A1473,'DETALLE CRONOLÓGICO'!$A$2:$A$4919,0)+$E1473-1)</f>
        <v/>
      </c>
      <c r="N1473" s="7">
        <f>IFERROR($M1473/INDEX('DETALLE CRONOLÓGICO'!$K$2:$K$4919,MATCH($A1473,'DETALLE CRONOLÓGICO'!$A$2:$A$4919,0))-1,"")</f>
        <v/>
      </c>
      <c r="O1473" s="6">
        <f>IFERROR($I1473*3,"")</f>
        <v/>
      </c>
      <c r="P1473" s="6">
        <f>IFERROR($I1473*3.5,"")</f>
        <v/>
      </c>
      <c r="Q1473" s="6">
        <f>IFERROR($I1473*4,"")</f>
        <v/>
      </c>
      <c r="R1473" s="6" t="n">
        <v>550</v>
      </c>
      <c r="S1473" s="4" t="n">
        <v>3</v>
      </c>
      <c r="T1473" s="1" t="inlineStr">
        <is>
          <t>active</t>
        </is>
      </c>
      <c r="U1473" s="8" t="n"/>
      <c r="V1473" s="1" t="inlineStr">
        <is>
          <t>SIN PRECIO</t>
        </is>
      </c>
    </row>
    <row r="1474">
      <c r="A1474" s="1" t="inlineStr">
        <is>
          <t>66593bc531d7c</t>
        </is>
      </c>
      <c r="B1474" s="1" t="inlineStr">
        <is>
          <t>ANILLO LOVE MZ SILVER</t>
        </is>
      </c>
      <c r="C1474" s="1" t="inlineStr">
        <is>
          <t>10</t>
        </is>
      </c>
      <c r="D1474" s="1" t="inlineStr">
        <is>
          <t>HAIFENG</t>
        </is>
      </c>
      <c r="E1474" s="4">
        <f>COUNTIF('DETALLE CRONOLÓGICO'!$A$2:$A$4919,$A1474)</f>
        <v/>
      </c>
      <c r="F1474" s="4">
        <f>SUMIFS('DETALLE CRONOLÓGICO'!$I$2:$I$4919,'DETALLE CRONOLÓGICO'!$A$2:$A$4919,$A1474)</f>
        <v/>
      </c>
      <c r="G1474" s="1">
        <f>INDEX('DETALLE CRONOLÓGICO'!$D$2:$D$4919,MATCH($A1474,'DETALLE CRONOLÓGICO'!$A$2:$A$4919,0))</f>
        <v/>
      </c>
      <c r="H1474" s="1">
        <f>INDEX('DETALLE CRONOLÓGICO'!$D$2:$D$4919,MATCH($A1474,'DETALLE CRONOLÓGICO'!$A$2:$A$4919,0)+$E1474-1)</f>
        <v/>
      </c>
      <c r="I1474" s="5">
        <f>IFERROR(SUMIFS('DETALLE CRONOLÓGICO'!$L$2:$L$4919,'DETALLE CRONOLÓGICO'!$A$2:$A$4919,$A1474)/$F1474,"")</f>
        <v/>
      </c>
      <c r="J1474" s="6">
        <f>IFERROR(SUMIFS('DETALLE CRONOLÓGICO'!$K$2:$K$4919,'DETALLE CRONOLÓGICO'!$A$2:$A$4919,$A1474)/$E1474,"")</f>
        <v/>
      </c>
      <c r="K1474" s="6">
        <f>_xlfn.MINIFS('DETALLE CRONOLÓGICO'!$K$2:$K$4919,'DETALLE CRONOLÓGICO'!$A$2:$A$4919,$A1474)</f>
        <v/>
      </c>
      <c r="L1474" s="6">
        <f>_xlfn.MAXIFS('DETALLE CRONOLÓGICO'!$K$2:$K$4919,'DETALLE CRONOLÓGICO'!$A$2:$A$4919,$A1474)</f>
        <v/>
      </c>
      <c r="M1474" s="6">
        <f>INDEX('DETALLE CRONOLÓGICO'!$K$2:$K$4919,MATCH($A1474,'DETALLE CRONOLÓGICO'!$A$2:$A$4919,0)+$E1474-1)</f>
        <v/>
      </c>
      <c r="N1474" s="7">
        <f>IFERROR($M1474/INDEX('DETALLE CRONOLÓGICO'!$K$2:$K$4919,MATCH($A1474,'DETALLE CRONOLÓGICO'!$A$2:$A$4919,0))-1,"")</f>
        <v/>
      </c>
      <c r="O1474" s="6">
        <f>IFERROR($I1474*3,"")</f>
        <v/>
      </c>
      <c r="P1474" s="6">
        <f>IFERROR($I1474*3.5,"")</f>
        <v/>
      </c>
      <c r="Q1474" s="6">
        <f>IFERROR($I1474*4,"")</f>
        <v/>
      </c>
      <c r="R1474" s="6" t="n">
        <v>550</v>
      </c>
      <c r="S1474" s="4" t="n">
        <v>5</v>
      </c>
      <c r="T1474" s="1" t="inlineStr">
        <is>
          <t>active</t>
        </is>
      </c>
      <c r="U1474" s="8" t="n"/>
      <c r="V1474" s="1" t="inlineStr">
        <is>
          <t>SIN PRECIO</t>
        </is>
      </c>
    </row>
    <row r="1475">
      <c r="A1475" s="1" t="inlineStr">
        <is>
          <t>66593bc59b5a1</t>
        </is>
      </c>
      <c r="B1475" s="1" t="inlineStr">
        <is>
          <t>ANILLO LOVE MZ GOLD</t>
        </is>
      </c>
      <c r="C1475" s="1" t="inlineStr">
        <is>
          <t>11</t>
        </is>
      </c>
      <c r="D1475" s="1" t="inlineStr">
        <is>
          <t>HAIFENG</t>
        </is>
      </c>
      <c r="E1475" s="4">
        <f>COUNTIF('DETALLE CRONOLÓGICO'!$A$2:$A$4919,$A1475)</f>
        <v/>
      </c>
      <c r="F1475" s="4">
        <f>SUMIFS('DETALLE CRONOLÓGICO'!$I$2:$I$4919,'DETALLE CRONOLÓGICO'!$A$2:$A$4919,$A1475)</f>
        <v/>
      </c>
      <c r="G1475" s="1">
        <f>INDEX('DETALLE CRONOLÓGICO'!$D$2:$D$4919,MATCH($A1475,'DETALLE CRONOLÓGICO'!$A$2:$A$4919,0))</f>
        <v/>
      </c>
      <c r="H1475" s="1">
        <f>INDEX('DETALLE CRONOLÓGICO'!$D$2:$D$4919,MATCH($A1475,'DETALLE CRONOLÓGICO'!$A$2:$A$4919,0)+$E1475-1)</f>
        <v/>
      </c>
      <c r="I1475" s="5">
        <f>IFERROR(SUMIFS('DETALLE CRONOLÓGICO'!$L$2:$L$4919,'DETALLE CRONOLÓGICO'!$A$2:$A$4919,$A1475)/$F1475,"")</f>
        <v/>
      </c>
      <c r="J1475" s="6">
        <f>IFERROR(SUMIFS('DETALLE CRONOLÓGICO'!$K$2:$K$4919,'DETALLE CRONOLÓGICO'!$A$2:$A$4919,$A1475)/$E1475,"")</f>
        <v/>
      </c>
      <c r="K1475" s="6">
        <f>_xlfn.MINIFS('DETALLE CRONOLÓGICO'!$K$2:$K$4919,'DETALLE CRONOLÓGICO'!$A$2:$A$4919,$A1475)</f>
        <v/>
      </c>
      <c r="L1475" s="6">
        <f>_xlfn.MAXIFS('DETALLE CRONOLÓGICO'!$K$2:$K$4919,'DETALLE CRONOLÓGICO'!$A$2:$A$4919,$A1475)</f>
        <v/>
      </c>
      <c r="M1475" s="6">
        <f>INDEX('DETALLE CRONOLÓGICO'!$K$2:$K$4919,MATCH($A1475,'DETALLE CRONOLÓGICO'!$A$2:$A$4919,0)+$E1475-1)</f>
        <v/>
      </c>
      <c r="N1475" s="7">
        <f>IFERROR($M1475/INDEX('DETALLE CRONOLÓGICO'!$K$2:$K$4919,MATCH($A1475,'DETALLE CRONOLÓGICO'!$A$2:$A$4919,0))-1,"")</f>
        <v/>
      </c>
      <c r="O1475" s="6">
        <f>IFERROR($I1475*3,"")</f>
        <v/>
      </c>
      <c r="P1475" s="6">
        <f>IFERROR($I1475*3.5,"")</f>
        <v/>
      </c>
      <c r="Q1475" s="6">
        <f>IFERROR($I1475*4,"")</f>
        <v/>
      </c>
      <c r="R1475" s="6" t="n">
        <v>550</v>
      </c>
      <c r="S1475" s="4" t="n">
        <v>3</v>
      </c>
      <c r="T1475" s="1" t="inlineStr">
        <is>
          <t>active</t>
        </is>
      </c>
      <c r="U1475" s="8" t="n"/>
      <c r="V1475" s="1" t="inlineStr">
        <is>
          <t>SIN PRECIO</t>
        </is>
      </c>
    </row>
    <row r="1476">
      <c r="A1476" s="1" t="inlineStr">
        <is>
          <t>66593bc5d26f2</t>
        </is>
      </c>
      <c r="B1476" s="1" t="inlineStr">
        <is>
          <t>ANILLO LOVE MZ SILVER</t>
        </is>
      </c>
      <c r="C1476" s="1" t="inlineStr">
        <is>
          <t>11</t>
        </is>
      </c>
      <c r="D1476" s="1" t="inlineStr">
        <is>
          <t>HAIFENG</t>
        </is>
      </c>
      <c r="E1476" s="4">
        <f>COUNTIF('DETALLE CRONOLÓGICO'!$A$2:$A$4919,$A1476)</f>
        <v/>
      </c>
      <c r="F1476" s="4">
        <f>SUMIFS('DETALLE CRONOLÓGICO'!$I$2:$I$4919,'DETALLE CRONOLÓGICO'!$A$2:$A$4919,$A1476)</f>
        <v/>
      </c>
      <c r="G1476" s="1">
        <f>INDEX('DETALLE CRONOLÓGICO'!$D$2:$D$4919,MATCH($A1476,'DETALLE CRONOLÓGICO'!$A$2:$A$4919,0))</f>
        <v/>
      </c>
      <c r="H1476" s="1">
        <f>INDEX('DETALLE CRONOLÓGICO'!$D$2:$D$4919,MATCH($A1476,'DETALLE CRONOLÓGICO'!$A$2:$A$4919,0)+$E1476-1)</f>
        <v/>
      </c>
      <c r="I1476" s="5">
        <f>IFERROR(SUMIFS('DETALLE CRONOLÓGICO'!$L$2:$L$4919,'DETALLE CRONOLÓGICO'!$A$2:$A$4919,$A1476)/$F1476,"")</f>
        <v/>
      </c>
      <c r="J1476" s="6">
        <f>IFERROR(SUMIFS('DETALLE CRONOLÓGICO'!$K$2:$K$4919,'DETALLE CRONOLÓGICO'!$A$2:$A$4919,$A1476)/$E1476,"")</f>
        <v/>
      </c>
      <c r="K1476" s="6">
        <f>_xlfn.MINIFS('DETALLE CRONOLÓGICO'!$K$2:$K$4919,'DETALLE CRONOLÓGICO'!$A$2:$A$4919,$A1476)</f>
        <v/>
      </c>
      <c r="L1476" s="6">
        <f>_xlfn.MAXIFS('DETALLE CRONOLÓGICO'!$K$2:$K$4919,'DETALLE CRONOLÓGICO'!$A$2:$A$4919,$A1476)</f>
        <v/>
      </c>
      <c r="M1476" s="6">
        <f>INDEX('DETALLE CRONOLÓGICO'!$K$2:$K$4919,MATCH($A1476,'DETALLE CRONOLÓGICO'!$A$2:$A$4919,0)+$E1476-1)</f>
        <v/>
      </c>
      <c r="N1476" s="7">
        <f>IFERROR($M1476/INDEX('DETALLE CRONOLÓGICO'!$K$2:$K$4919,MATCH($A1476,'DETALLE CRONOLÓGICO'!$A$2:$A$4919,0))-1,"")</f>
        <v/>
      </c>
      <c r="O1476" s="6">
        <f>IFERROR($I1476*3,"")</f>
        <v/>
      </c>
      <c r="P1476" s="6">
        <f>IFERROR($I1476*3.5,"")</f>
        <v/>
      </c>
      <c r="Q1476" s="6">
        <f>IFERROR($I1476*4,"")</f>
        <v/>
      </c>
      <c r="R1476" s="6" t="n">
        <v>550</v>
      </c>
      <c r="S1476" s="4" t="n">
        <v>1</v>
      </c>
      <c r="T1476" s="1" t="inlineStr">
        <is>
          <t>active</t>
        </is>
      </c>
      <c r="U1476" s="8" t="n"/>
      <c r="V1476" s="1" t="inlineStr">
        <is>
          <t>SIN PRECIO</t>
        </is>
      </c>
    </row>
    <row r="1477">
      <c r="A1477" s="1" t="inlineStr">
        <is>
          <t>66593bca3c26c</t>
        </is>
      </c>
      <c r="B1477" s="1" t="inlineStr">
        <is>
          <t>ANILLO LOVE ROSE GOLD ANCHO CON ZIRCONIA (WIDHT WITH ZIRCONIAS)</t>
        </is>
      </c>
      <c r="C1477" s="1" t="inlineStr">
        <is>
          <t>10</t>
        </is>
      </c>
      <c r="D1477" s="1" t="inlineStr">
        <is>
          <t>HAIFENG</t>
        </is>
      </c>
      <c r="E1477" s="4">
        <f>COUNTIF('DETALLE CRONOLÓGICO'!$A$2:$A$4919,$A1477)</f>
        <v/>
      </c>
      <c r="F1477" s="4">
        <f>SUMIFS('DETALLE CRONOLÓGICO'!$I$2:$I$4919,'DETALLE CRONOLÓGICO'!$A$2:$A$4919,$A1477)</f>
        <v/>
      </c>
      <c r="G1477" s="1">
        <f>INDEX('DETALLE CRONOLÓGICO'!$D$2:$D$4919,MATCH($A1477,'DETALLE CRONOLÓGICO'!$A$2:$A$4919,0))</f>
        <v/>
      </c>
      <c r="H1477" s="1">
        <f>INDEX('DETALLE CRONOLÓGICO'!$D$2:$D$4919,MATCH($A1477,'DETALLE CRONOLÓGICO'!$A$2:$A$4919,0)+$E1477-1)</f>
        <v/>
      </c>
      <c r="I1477" s="5">
        <f>IFERROR(SUMIFS('DETALLE CRONOLÓGICO'!$L$2:$L$4919,'DETALLE CRONOLÓGICO'!$A$2:$A$4919,$A1477)/$F1477,"")</f>
        <v/>
      </c>
      <c r="J1477" s="6">
        <f>IFERROR(SUMIFS('DETALLE CRONOLÓGICO'!$K$2:$K$4919,'DETALLE CRONOLÓGICO'!$A$2:$A$4919,$A1477)/$E1477,"")</f>
        <v/>
      </c>
      <c r="K1477" s="6">
        <f>_xlfn.MINIFS('DETALLE CRONOLÓGICO'!$K$2:$K$4919,'DETALLE CRONOLÓGICO'!$A$2:$A$4919,$A1477)</f>
        <v/>
      </c>
      <c r="L1477" s="6">
        <f>_xlfn.MAXIFS('DETALLE CRONOLÓGICO'!$K$2:$K$4919,'DETALLE CRONOLÓGICO'!$A$2:$A$4919,$A1477)</f>
        <v/>
      </c>
      <c r="M1477" s="6">
        <f>INDEX('DETALLE CRONOLÓGICO'!$K$2:$K$4919,MATCH($A1477,'DETALLE CRONOLÓGICO'!$A$2:$A$4919,0)+$E1477-1)</f>
        <v/>
      </c>
      <c r="N1477" s="7">
        <f>IFERROR($M1477/INDEX('DETALLE CRONOLÓGICO'!$K$2:$K$4919,MATCH($A1477,'DETALLE CRONOLÓGICO'!$A$2:$A$4919,0))-1,"")</f>
        <v/>
      </c>
      <c r="O1477" s="6">
        <f>IFERROR($I1477*3,"")</f>
        <v/>
      </c>
      <c r="P1477" s="6">
        <f>IFERROR($I1477*3.5,"")</f>
        <v/>
      </c>
      <c r="Q1477" s="6">
        <f>IFERROR($I1477*4,"")</f>
        <v/>
      </c>
      <c r="R1477" s="6" t="n">
        <v>260</v>
      </c>
      <c r="S1477" s="4" t="n">
        <v>1</v>
      </c>
      <c r="T1477" s="1" t="inlineStr">
        <is>
          <t>active</t>
        </is>
      </c>
      <c r="U1477" s="8" t="n"/>
      <c r="V1477" s="1" t="inlineStr">
        <is>
          <t>SIN PRECIO</t>
        </is>
      </c>
    </row>
    <row r="1478">
      <c r="A1478" s="1" t="inlineStr">
        <is>
          <t>66593bcedcf0c</t>
        </is>
      </c>
      <c r="B1478" s="1" t="inlineStr">
        <is>
          <t>ANILLO LOVE SILVER ANCHO CON ZIRCONIA</t>
        </is>
      </c>
      <c r="C1478" s="1" t="inlineStr">
        <is>
          <t>7</t>
        </is>
      </c>
      <c r="D1478" s="1" t="inlineStr">
        <is>
          <t>HAIFENG</t>
        </is>
      </c>
      <c r="E1478" s="4">
        <f>COUNTIF('DETALLE CRONOLÓGICO'!$A$2:$A$4919,$A1478)</f>
        <v/>
      </c>
      <c r="F1478" s="4">
        <f>SUMIFS('DETALLE CRONOLÓGICO'!$I$2:$I$4919,'DETALLE CRONOLÓGICO'!$A$2:$A$4919,$A1478)</f>
        <v/>
      </c>
      <c r="G1478" s="1">
        <f>INDEX('DETALLE CRONOLÓGICO'!$D$2:$D$4919,MATCH($A1478,'DETALLE CRONOLÓGICO'!$A$2:$A$4919,0))</f>
        <v/>
      </c>
      <c r="H1478" s="1">
        <f>INDEX('DETALLE CRONOLÓGICO'!$D$2:$D$4919,MATCH($A1478,'DETALLE CRONOLÓGICO'!$A$2:$A$4919,0)+$E1478-1)</f>
        <v/>
      </c>
      <c r="I1478" s="5">
        <f>IFERROR(SUMIFS('DETALLE CRONOLÓGICO'!$L$2:$L$4919,'DETALLE CRONOLÓGICO'!$A$2:$A$4919,$A1478)/$F1478,"")</f>
        <v/>
      </c>
      <c r="J1478" s="6">
        <f>IFERROR(SUMIFS('DETALLE CRONOLÓGICO'!$K$2:$K$4919,'DETALLE CRONOLÓGICO'!$A$2:$A$4919,$A1478)/$E1478,"")</f>
        <v/>
      </c>
      <c r="K1478" s="6">
        <f>_xlfn.MINIFS('DETALLE CRONOLÓGICO'!$K$2:$K$4919,'DETALLE CRONOLÓGICO'!$A$2:$A$4919,$A1478)</f>
        <v/>
      </c>
      <c r="L1478" s="6">
        <f>_xlfn.MAXIFS('DETALLE CRONOLÓGICO'!$K$2:$K$4919,'DETALLE CRONOLÓGICO'!$A$2:$A$4919,$A1478)</f>
        <v/>
      </c>
      <c r="M1478" s="6">
        <f>INDEX('DETALLE CRONOLÓGICO'!$K$2:$K$4919,MATCH($A1478,'DETALLE CRONOLÓGICO'!$A$2:$A$4919,0)+$E1478-1)</f>
        <v/>
      </c>
      <c r="N1478" s="7">
        <f>IFERROR($M1478/INDEX('DETALLE CRONOLÓGICO'!$K$2:$K$4919,MATCH($A1478,'DETALLE CRONOLÓGICO'!$A$2:$A$4919,0))-1,"")</f>
        <v/>
      </c>
      <c r="O1478" s="6">
        <f>IFERROR($I1478*3,"")</f>
        <v/>
      </c>
      <c r="P1478" s="6">
        <f>IFERROR($I1478*3.5,"")</f>
        <v/>
      </c>
      <c r="Q1478" s="6">
        <f>IFERROR($I1478*4,"")</f>
        <v/>
      </c>
      <c r="R1478" s="6" t="n">
        <v>450</v>
      </c>
      <c r="S1478" s="4" t="n">
        <v>4</v>
      </c>
      <c r="T1478" s="1" t="inlineStr">
        <is>
          <t>active</t>
        </is>
      </c>
      <c r="U1478" s="8" t="n"/>
      <c r="V1478" s="1" t="inlineStr">
        <is>
          <t>SIN PRECIO</t>
        </is>
      </c>
    </row>
    <row r="1479">
      <c r="A1479" s="1" t="inlineStr">
        <is>
          <t>66593bcf8df22</t>
        </is>
      </c>
      <c r="B1479" s="1" t="inlineStr">
        <is>
          <t>ANILLO LOVE ANCHO CON ZIRCONIA SILVER</t>
        </is>
      </c>
      <c r="C1479" s="1" t="inlineStr">
        <is>
          <t>8</t>
        </is>
      </c>
      <c r="D1479" s="1" t="inlineStr">
        <is>
          <t>HAIFENG</t>
        </is>
      </c>
      <c r="E1479" s="4">
        <f>COUNTIF('DETALLE CRONOLÓGICO'!$A$2:$A$4919,$A1479)</f>
        <v/>
      </c>
      <c r="F1479" s="4">
        <f>SUMIFS('DETALLE CRONOLÓGICO'!$I$2:$I$4919,'DETALLE CRONOLÓGICO'!$A$2:$A$4919,$A1479)</f>
        <v/>
      </c>
      <c r="G1479" s="1">
        <f>INDEX('DETALLE CRONOLÓGICO'!$D$2:$D$4919,MATCH($A1479,'DETALLE CRONOLÓGICO'!$A$2:$A$4919,0))</f>
        <v/>
      </c>
      <c r="H1479" s="1">
        <f>INDEX('DETALLE CRONOLÓGICO'!$D$2:$D$4919,MATCH($A1479,'DETALLE CRONOLÓGICO'!$A$2:$A$4919,0)+$E1479-1)</f>
        <v/>
      </c>
      <c r="I1479" s="5">
        <f>IFERROR(SUMIFS('DETALLE CRONOLÓGICO'!$L$2:$L$4919,'DETALLE CRONOLÓGICO'!$A$2:$A$4919,$A1479)/$F1479,"")</f>
        <v/>
      </c>
      <c r="J1479" s="6">
        <f>IFERROR(SUMIFS('DETALLE CRONOLÓGICO'!$K$2:$K$4919,'DETALLE CRONOLÓGICO'!$A$2:$A$4919,$A1479)/$E1479,"")</f>
        <v/>
      </c>
      <c r="K1479" s="6">
        <f>_xlfn.MINIFS('DETALLE CRONOLÓGICO'!$K$2:$K$4919,'DETALLE CRONOLÓGICO'!$A$2:$A$4919,$A1479)</f>
        <v/>
      </c>
      <c r="L1479" s="6">
        <f>_xlfn.MAXIFS('DETALLE CRONOLÓGICO'!$K$2:$K$4919,'DETALLE CRONOLÓGICO'!$A$2:$A$4919,$A1479)</f>
        <v/>
      </c>
      <c r="M1479" s="6">
        <f>INDEX('DETALLE CRONOLÓGICO'!$K$2:$K$4919,MATCH($A1479,'DETALLE CRONOLÓGICO'!$A$2:$A$4919,0)+$E1479-1)</f>
        <v/>
      </c>
      <c r="N1479" s="7">
        <f>IFERROR($M1479/INDEX('DETALLE CRONOLÓGICO'!$K$2:$K$4919,MATCH($A1479,'DETALLE CRONOLÓGICO'!$A$2:$A$4919,0))-1,"")</f>
        <v/>
      </c>
      <c r="O1479" s="6">
        <f>IFERROR($I1479*3,"")</f>
        <v/>
      </c>
      <c r="P1479" s="6">
        <f>IFERROR($I1479*3.5,"")</f>
        <v/>
      </c>
      <c r="Q1479" s="6">
        <f>IFERROR($I1479*4,"")</f>
        <v/>
      </c>
      <c r="R1479" s="6" t="n">
        <v>450</v>
      </c>
      <c r="S1479" s="4" t="n">
        <v>4</v>
      </c>
      <c r="T1479" s="1" t="inlineStr">
        <is>
          <t>active</t>
        </is>
      </c>
      <c r="U1479" s="8" t="n"/>
      <c r="V1479" s="1" t="inlineStr">
        <is>
          <t>SIN PRECIO</t>
        </is>
      </c>
    </row>
    <row r="1480">
      <c r="A1480" s="1" t="inlineStr">
        <is>
          <t>66593bcfaca6f</t>
        </is>
      </c>
      <c r="B1480" s="1" t="inlineStr">
        <is>
          <t>ANILLO MM</t>
        </is>
      </c>
      <c r="C1480" s="1" t="inlineStr">
        <is>
          <t>AJUSTABLE</t>
        </is>
      </c>
      <c r="D1480" s="1" t="inlineStr">
        <is>
          <t>DINA DU</t>
        </is>
      </c>
      <c r="E1480" s="4">
        <f>COUNTIF('DETALLE CRONOLÓGICO'!$A$2:$A$4919,$A1480)</f>
        <v/>
      </c>
      <c r="F1480" s="4">
        <f>SUMIFS('DETALLE CRONOLÓGICO'!$I$2:$I$4919,'DETALLE CRONOLÓGICO'!$A$2:$A$4919,$A1480)</f>
        <v/>
      </c>
      <c r="G1480" s="1">
        <f>INDEX('DETALLE CRONOLÓGICO'!$D$2:$D$4919,MATCH($A1480,'DETALLE CRONOLÓGICO'!$A$2:$A$4919,0))</f>
        <v/>
      </c>
      <c r="H1480" s="1">
        <f>INDEX('DETALLE CRONOLÓGICO'!$D$2:$D$4919,MATCH($A1480,'DETALLE CRONOLÓGICO'!$A$2:$A$4919,0)+$E1480-1)</f>
        <v/>
      </c>
      <c r="I1480" s="5">
        <f>IFERROR(SUMIFS('DETALLE CRONOLÓGICO'!$L$2:$L$4919,'DETALLE CRONOLÓGICO'!$A$2:$A$4919,$A1480)/$F1480,"")</f>
        <v/>
      </c>
      <c r="J1480" s="6">
        <f>IFERROR(SUMIFS('DETALLE CRONOLÓGICO'!$K$2:$K$4919,'DETALLE CRONOLÓGICO'!$A$2:$A$4919,$A1480)/$E1480,"")</f>
        <v/>
      </c>
      <c r="K1480" s="6">
        <f>_xlfn.MINIFS('DETALLE CRONOLÓGICO'!$K$2:$K$4919,'DETALLE CRONOLÓGICO'!$A$2:$A$4919,$A1480)</f>
        <v/>
      </c>
      <c r="L1480" s="6">
        <f>_xlfn.MAXIFS('DETALLE CRONOLÓGICO'!$K$2:$K$4919,'DETALLE CRONOLÓGICO'!$A$2:$A$4919,$A1480)</f>
        <v/>
      </c>
      <c r="M1480" s="6">
        <f>INDEX('DETALLE CRONOLÓGICO'!$K$2:$K$4919,MATCH($A1480,'DETALLE CRONOLÓGICO'!$A$2:$A$4919,0)+$E1480-1)</f>
        <v/>
      </c>
      <c r="N1480" s="7">
        <f>IFERROR($M1480/INDEX('DETALLE CRONOLÓGICO'!$K$2:$K$4919,MATCH($A1480,'DETALLE CRONOLÓGICO'!$A$2:$A$4919,0))-1,"")</f>
        <v/>
      </c>
      <c r="O1480" s="6">
        <f>IFERROR($I1480*3,"")</f>
        <v/>
      </c>
      <c r="P1480" s="6">
        <f>IFERROR($I1480*3.5,"")</f>
        <v/>
      </c>
      <c r="Q1480" s="6">
        <f>IFERROR($I1480*4,"")</f>
        <v/>
      </c>
      <c r="R1480" s="6" t="n">
        <v>499</v>
      </c>
      <c r="S1480" s="4" t="n">
        <v>6</v>
      </c>
      <c r="T1480" s="1" t="inlineStr">
        <is>
          <t>active</t>
        </is>
      </c>
      <c r="U1480" s="8" t="n"/>
      <c r="V1480" s="1" t="inlineStr">
        <is>
          <t>SIN PRECIO</t>
        </is>
      </c>
    </row>
    <row r="1481">
      <c r="A1481" s="1" t="inlineStr">
        <is>
          <t>66593bd178f08</t>
        </is>
      </c>
      <c r="B1481" s="1" t="inlineStr">
        <is>
          <t>ANILLO LOVE SILVER ANCHO CON ZIRCONIA</t>
        </is>
      </c>
      <c r="C1481" s="1" t="inlineStr">
        <is>
          <t>11</t>
        </is>
      </c>
      <c r="D1481" s="1" t="inlineStr">
        <is>
          <t>HAIFENG</t>
        </is>
      </c>
      <c r="E1481" s="4">
        <f>COUNTIF('DETALLE CRONOLÓGICO'!$A$2:$A$4919,$A1481)</f>
        <v/>
      </c>
      <c r="F1481" s="4">
        <f>SUMIFS('DETALLE CRONOLÓGICO'!$I$2:$I$4919,'DETALLE CRONOLÓGICO'!$A$2:$A$4919,$A1481)</f>
        <v/>
      </c>
      <c r="G1481" s="1">
        <f>INDEX('DETALLE CRONOLÓGICO'!$D$2:$D$4919,MATCH($A1481,'DETALLE CRONOLÓGICO'!$A$2:$A$4919,0))</f>
        <v/>
      </c>
      <c r="H1481" s="1">
        <f>INDEX('DETALLE CRONOLÓGICO'!$D$2:$D$4919,MATCH($A1481,'DETALLE CRONOLÓGICO'!$A$2:$A$4919,0)+$E1481-1)</f>
        <v/>
      </c>
      <c r="I1481" s="5">
        <f>IFERROR(SUMIFS('DETALLE CRONOLÓGICO'!$L$2:$L$4919,'DETALLE CRONOLÓGICO'!$A$2:$A$4919,$A1481)/$F1481,"")</f>
        <v/>
      </c>
      <c r="J1481" s="6">
        <f>IFERROR(SUMIFS('DETALLE CRONOLÓGICO'!$K$2:$K$4919,'DETALLE CRONOLÓGICO'!$A$2:$A$4919,$A1481)/$E1481,"")</f>
        <v/>
      </c>
      <c r="K1481" s="6">
        <f>_xlfn.MINIFS('DETALLE CRONOLÓGICO'!$K$2:$K$4919,'DETALLE CRONOLÓGICO'!$A$2:$A$4919,$A1481)</f>
        <v/>
      </c>
      <c r="L1481" s="6">
        <f>_xlfn.MAXIFS('DETALLE CRONOLÓGICO'!$K$2:$K$4919,'DETALLE CRONOLÓGICO'!$A$2:$A$4919,$A1481)</f>
        <v/>
      </c>
      <c r="M1481" s="6">
        <f>INDEX('DETALLE CRONOLÓGICO'!$K$2:$K$4919,MATCH($A1481,'DETALLE CRONOLÓGICO'!$A$2:$A$4919,0)+$E1481-1)</f>
        <v/>
      </c>
      <c r="N1481" s="7">
        <f>IFERROR($M1481/INDEX('DETALLE CRONOLÓGICO'!$K$2:$K$4919,MATCH($A1481,'DETALLE CRONOLÓGICO'!$A$2:$A$4919,0))-1,"")</f>
        <v/>
      </c>
      <c r="O1481" s="6">
        <f>IFERROR($I1481*3,"")</f>
        <v/>
      </c>
      <c r="P1481" s="6">
        <f>IFERROR($I1481*3.5,"")</f>
        <v/>
      </c>
      <c r="Q1481" s="6">
        <f>IFERROR($I1481*4,"")</f>
        <v/>
      </c>
      <c r="R1481" s="6" t="n">
        <v>450</v>
      </c>
      <c r="S1481" s="4" t="n">
        <v>2</v>
      </c>
      <c r="T1481" s="1" t="inlineStr">
        <is>
          <t>active</t>
        </is>
      </c>
      <c r="U1481" s="8" t="n"/>
      <c r="V1481" s="1" t="inlineStr">
        <is>
          <t>SIN PRECIO</t>
        </is>
      </c>
    </row>
    <row r="1482">
      <c r="A1482" s="1" t="inlineStr">
        <is>
          <t>66593bd6d7885</t>
        </is>
      </c>
      <c r="B1482" s="1" t="inlineStr">
        <is>
          <t>ANILLO PERLEE GOLD</t>
        </is>
      </c>
      <c r="C1482" s="1" t="n">
        <v>6</v>
      </c>
      <c r="D1482" s="1" t="inlineStr">
        <is>
          <t>NANCY</t>
        </is>
      </c>
      <c r="E1482" s="4">
        <f>COUNTIF('DETALLE CRONOLÓGICO'!$A$2:$A$4919,$A1482)</f>
        <v/>
      </c>
      <c r="F1482" s="4">
        <f>SUMIFS('DETALLE CRONOLÓGICO'!$I$2:$I$4919,'DETALLE CRONOLÓGICO'!$A$2:$A$4919,$A1482)</f>
        <v/>
      </c>
      <c r="G1482" s="1">
        <f>INDEX('DETALLE CRONOLÓGICO'!$D$2:$D$4919,MATCH($A1482,'DETALLE CRONOLÓGICO'!$A$2:$A$4919,0))</f>
        <v/>
      </c>
      <c r="H1482" s="1">
        <f>INDEX('DETALLE CRONOLÓGICO'!$D$2:$D$4919,MATCH($A1482,'DETALLE CRONOLÓGICO'!$A$2:$A$4919,0)+$E1482-1)</f>
        <v/>
      </c>
      <c r="I1482" s="5">
        <f>IFERROR(SUMIFS('DETALLE CRONOLÓGICO'!$L$2:$L$4919,'DETALLE CRONOLÓGICO'!$A$2:$A$4919,$A1482)/$F1482,"")</f>
        <v/>
      </c>
      <c r="J1482" s="6">
        <f>IFERROR(SUMIFS('DETALLE CRONOLÓGICO'!$K$2:$K$4919,'DETALLE CRONOLÓGICO'!$A$2:$A$4919,$A1482)/$E1482,"")</f>
        <v/>
      </c>
      <c r="K1482" s="6">
        <f>_xlfn.MINIFS('DETALLE CRONOLÓGICO'!$K$2:$K$4919,'DETALLE CRONOLÓGICO'!$A$2:$A$4919,$A1482)</f>
        <v/>
      </c>
      <c r="L1482" s="6">
        <f>_xlfn.MAXIFS('DETALLE CRONOLÓGICO'!$K$2:$K$4919,'DETALLE CRONOLÓGICO'!$A$2:$A$4919,$A1482)</f>
        <v/>
      </c>
      <c r="M1482" s="6">
        <f>INDEX('DETALLE CRONOLÓGICO'!$K$2:$K$4919,MATCH($A1482,'DETALLE CRONOLÓGICO'!$A$2:$A$4919,0)+$E1482-1)</f>
        <v/>
      </c>
      <c r="N1482" s="7">
        <f>IFERROR($M1482/INDEX('DETALLE CRONOLÓGICO'!$K$2:$K$4919,MATCH($A1482,'DETALLE CRONOLÓGICO'!$A$2:$A$4919,0))-1,"")</f>
        <v/>
      </c>
      <c r="O1482" s="6">
        <f>IFERROR($I1482*3,"")</f>
        <v/>
      </c>
      <c r="P1482" s="6">
        <f>IFERROR($I1482*3.5,"")</f>
        <v/>
      </c>
      <c r="Q1482" s="6">
        <f>IFERROR($I1482*4,"")</f>
        <v/>
      </c>
      <c r="R1482" s="6" t="n">
        <v>499</v>
      </c>
      <c r="S1482" s="4" t="n">
        <v>3</v>
      </c>
      <c r="T1482" s="1" t="inlineStr">
        <is>
          <t>active</t>
        </is>
      </c>
      <c r="U1482" s="8" t="n"/>
      <c r="V1482" s="1" t="inlineStr">
        <is>
          <t>SIN PRECIO</t>
        </is>
      </c>
    </row>
    <row r="1483">
      <c r="A1483" s="1" t="inlineStr">
        <is>
          <t>66593bd77de70</t>
        </is>
      </c>
      <c r="B1483" s="1" t="inlineStr">
        <is>
          <t>ANILLO PERLEE GOLD</t>
        </is>
      </c>
      <c r="C1483" s="1" t="n">
        <v>7</v>
      </c>
      <c r="D1483" s="1" t="inlineStr">
        <is>
          <t>NANCY</t>
        </is>
      </c>
      <c r="E1483" s="4">
        <f>COUNTIF('DETALLE CRONOLÓGICO'!$A$2:$A$4919,$A1483)</f>
        <v/>
      </c>
      <c r="F1483" s="4">
        <f>SUMIFS('DETALLE CRONOLÓGICO'!$I$2:$I$4919,'DETALLE CRONOLÓGICO'!$A$2:$A$4919,$A1483)</f>
        <v/>
      </c>
      <c r="G1483" s="1">
        <f>INDEX('DETALLE CRONOLÓGICO'!$D$2:$D$4919,MATCH($A1483,'DETALLE CRONOLÓGICO'!$A$2:$A$4919,0))</f>
        <v/>
      </c>
      <c r="H1483" s="1">
        <f>INDEX('DETALLE CRONOLÓGICO'!$D$2:$D$4919,MATCH($A1483,'DETALLE CRONOLÓGICO'!$A$2:$A$4919,0)+$E1483-1)</f>
        <v/>
      </c>
      <c r="I1483" s="5">
        <f>IFERROR(SUMIFS('DETALLE CRONOLÓGICO'!$L$2:$L$4919,'DETALLE CRONOLÓGICO'!$A$2:$A$4919,$A1483)/$F1483,"")</f>
        <v/>
      </c>
      <c r="J1483" s="6">
        <f>IFERROR(SUMIFS('DETALLE CRONOLÓGICO'!$K$2:$K$4919,'DETALLE CRONOLÓGICO'!$A$2:$A$4919,$A1483)/$E1483,"")</f>
        <v/>
      </c>
      <c r="K1483" s="6">
        <f>_xlfn.MINIFS('DETALLE CRONOLÓGICO'!$K$2:$K$4919,'DETALLE CRONOLÓGICO'!$A$2:$A$4919,$A1483)</f>
        <v/>
      </c>
      <c r="L1483" s="6">
        <f>_xlfn.MAXIFS('DETALLE CRONOLÓGICO'!$K$2:$K$4919,'DETALLE CRONOLÓGICO'!$A$2:$A$4919,$A1483)</f>
        <v/>
      </c>
      <c r="M1483" s="6">
        <f>INDEX('DETALLE CRONOLÓGICO'!$K$2:$K$4919,MATCH($A1483,'DETALLE CRONOLÓGICO'!$A$2:$A$4919,0)+$E1483-1)</f>
        <v/>
      </c>
      <c r="N1483" s="7">
        <f>IFERROR($M1483/INDEX('DETALLE CRONOLÓGICO'!$K$2:$K$4919,MATCH($A1483,'DETALLE CRONOLÓGICO'!$A$2:$A$4919,0))-1,"")</f>
        <v/>
      </c>
      <c r="O1483" s="6">
        <f>IFERROR($I1483*3,"")</f>
        <v/>
      </c>
      <c r="P1483" s="6">
        <f>IFERROR($I1483*3.5,"")</f>
        <v/>
      </c>
      <c r="Q1483" s="6">
        <f>IFERROR($I1483*4,"")</f>
        <v/>
      </c>
      <c r="R1483" s="6" t="n">
        <v>499</v>
      </c>
      <c r="S1483" s="4" t="n">
        <v>2</v>
      </c>
      <c r="T1483" s="1" t="inlineStr">
        <is>
          <t>active</t>
        </is>
      </c>
      <c r="U1483" s="8" t="n"/>
      <c r="V1483" s="1" t="inlineStr">
        <is>
          <t>SIN PRECIO</t>
        </is>
      </c>
    </row>
    <row r="1484">
      <c r="A1484" s="1" t="inlineStr">
        <is>
          <t>66593be00cc70</t>
        </is>
      </c>
      <c r="B1484" s="1" t="inlineStr">
        <is>
          <t>ANILLO PERLEE ROSEGOLD</t>
        </is>
      </c>
      <c r="C1484" s="1" t="inlineStr">
        <is>
          <t>7</t>
        </is>
      </c>
      <c r="D1484" s="1" t="inlineStr">
        <is>
          <t>NANCY / ZOEY</t>
        </is>
      </c>
      <c r="E1484" s="4">
        <f>COUNTIF('DETALLE CRONOLÓGICO'!$A$2:$A$4919,$A1484)</f>
        <v/>
      </c>
      <c r="F1484" s="4">
        <f>SUMIFS('DETALLE CRONOLÓGICO'!$I$2:$I$4919,'DETALLE CRONOLÓGICO'!$A$2:$A$4919,$A1484)</f>
        <v/>
      </c>
      <c r="G1484" s="1">
        <f>INDEX('DETALLE CRONOLÓGICO'!$D$2:$D$4919,MATCH($A1484,'DETALLE CRONOLÓGICO'!$A$2:$A$4919,0))</f>
        <v/>
      </c>
      <c r="H1484" s="1">
        <f>INDEX('DETALLE CRONOLÓGICO'!$D$2:$D$4919,MATCH($A1484,'DETALLE CRONOLÓGICO'!$A$2:$A$4919,0)+$E1484-1)</f>
        <v/>
      </c>
      <c r="I1484" s="5">
        <f>IFERROR(SUMIFS('DETALLE CRONOLÓGICO'!$L$2:$L$4919,'DETALLE CRONOLÓGICO'!$A$2:$A$4919,$A1484)/$F1484,"")</f>
        <v/>
      </c>
      <c r="J1484" s="6">
        <f>IFERROR(SUMIFS('DETALLE CRONOLÓGICO'!$K$2:$K$4919,'DETALLE CRONOLÓGICO'!$A$2:$A$4919,$A1484)/$E1484,"")</f>
        <v/>
      </c>
      <c r="K1484" s="6">
        <f>_xlfn.MINIFS('DETALLE CRONOLÓGICO'!$K$2:$K$4919,'DETALLE CRONOLÓGICO'!$A$2:$A$4919,$A1484)</f>
        <v/>
      </c>
      <c r="L1484" s="6">
        <f>_xlfn.MAXIFS('DETALLE CRONOLÓGICO'!$K$2:$K$4919,'DETALLE CRONOLÓGICO'!$A$2:$A$4919,$A1484)</f>
        <v/>
      </c>
      <c r="M1484" s="6">
        <f>INDEX('DETALLE CRONOLÓGICO'!$K$2:$K$4919,MATCH($A1484,'DETALLE CRONOLÓGICO'!$A$2:$A$4919,0)+$E1484-1)</f>
        <v/>
      </c>
      <c r="N1484" s="7">
        <f>IFERROR($M1484/INDEX('DETALLE CRONOLÓGICO'!$K$2:$K$4919,MATCH($A1484,'DETALLE CRONOLÓGICO'!$A$2:$A$4919,0))-1,"")</f>
        <v/>
      </c>
      <c r="O1484" s="6">
        <f>IFERROR($I1484*3,"")</f>
        <v/>
      </c>
      <c r="P1484" s="6">
        <f>IFERROR($I1484*3.5,"")</f>
        <v/>
      </c>
      <c r="Q1484" s="6">
        <f>IFERROR($I1484*4,"")</f>
        <v/>
      </c>
      <c r="R1484" s="6" t="n">
        <v>760</v>
      </c>
      <c r="S1484" s="4" t="n">
        <v>5</v>
      </c>
      <c r="T1484" s="1" t="inlineStr">
        <is>
          <t>active</t>
        </is>
      </c>
      <c r="U1484" s="8" t="n"/>
      <c r="V1484" s="1" t="inlineStr">
        <is>
          <t>SIN PRECIO</t>
        </is>
      </c>
    </row>
    <row r="1485">
      <c r="A1485" s="1" t="inlineStr">
        <is>
          <t>66593be0a0b51</t>
        </is>
      </c>
      <c r="B1485" s="1" t="inlineStr">
        <is>
          <t>ANILLO PERLEE ROSEGOLD</t>
        </is>
      </c>
      <c r="C1485" s="1" t="n">
        <v>8</v>
      </c>
      <c r="D1485" s="1" t="inlineStr">
        <is>
          <t>NANCY</t>
        </is>
      </c>
      <c r="E1485" s="4">
        <f>COUNTIF('DETALLE CRONOLÓGICO'!$A$2:$A$4919,$A1485)</f>
        <v/>
      </c>
      <c r="F1485" s="4">
        <f>SUMIFS('DETALLE CRONOLÓGICO'!$I$2:$I$4919,'DETALLE CRONOLÓGICO'!$A$2:$A$4919,$A1485)</f>
        <v/>
      </c>
      <c r="G1485" s="1">
        <f>INDEX('DETALLE CRONOLÓGICO'!$D$2:$D$4919,MATCH($A1485,'DETALLE CRONOLÓGICO'!$A$2:$A$4919,0))</f>
        <v/>
      </c>
      <c r="H1485" s="1">
        <f>INDEX('DETALLE CRONOLÓGICO'!$D$2:$D$4919,MATCH($A1485,'DETALLE CRONOLÓGICO'!$A$2:$A$4919,0)+$E1485-1)</f>
        <v/>
      </c>
      <c r="I1485" s="5">
        <f>IFERROR(SUMIFS('DETALLE CRONOLÓGICO'!$L$2:$L$4919,'DETALLE CRONOLÓGICO'!$A$2:$A$4919,$A1485)/$F1485,"")</f>
        <v/>
      </c>
      <c r="J1485" s="6">
        <f>IFERROR(SUMIFS('DETALLE CRONOLÓGICO'!$K$2:$K$4919,'DETALLE CRONOLÓGICO'!$A$2:$A$4919,$A1485)/$E1485,"")</f>
        <v/>
      </c>
      <c r="K1485" s="6">
        <f>_xlfn.MINIFS('DETALLE CRONOLÓGICO'!$K$2:$K$4919,'DETALLE CRONOLÓGICO'!$A$2:$A$4919,$A1485)</f>
        <v/>
      </c>
      <c r="L1485" s="6">
        <f>_xlfn.MAXIFS('DETALLE CRONOLÓGICO'!$K$2:$K$4919,'DETALLE CRONOLÓGICO'!$A$2:$A$4919,$A1485)</f>
        <v/>
      </c>
      <c r="M1485" s="6">
        <f>INDEX('DETALLE CRONOLÓGICO'!$K$2:$K$4919,MATCH($A1485,'DETALLE CRONOLÓGICO'!$A$2:$A$4919,0)+$E1485-1)</f>
        <v/>
      </c>
      <c r="N1485" s="7">
        <f>IFERROR($M1485/INDEX('DETALLE CRONOLÓGICO'!$K$2:$K$4919,MATCH($A1485,'DETALLE CRONOLÓGICO'!$A$2:$A$4919,0))-1,"")</f>
        <v/>
      </c>
      <c r="O1485" s="6">
        <f>IFERROR($I1485*3,"")</f>
        <v/>
      </c>
      <c r="P1485" s="6">
        <f>IFERROR($I1485*3.5,"")</f>
        <v/>
      </c>
      <c r="Q1485" s="6">
        <f>IFERROR($I1485*4,"")</f>
        <v/>
      </c>
      <c r="R1485" s="6" t="n">
        <v>466</v>
      </c>
      <c r="S1485" s="4" t="n">
        <v>2</v>
      </c>
      <c r="T1485" s="1" t="inlineStr">
        <is>
          <t>active</t>
        </is>
      </c>
      <c r="U1485" s="8" t="n"/>
      <c r="V1485" s="1" t="inlineStr">
        <is>
          <t>SIN PRECIO</t>
        </is>
      </c>
    </row>
    <row r="1486">
      <c r="A1486" s="1" t="inlineStr">
        <is>
          <t>66593be14e8c5</t>
        </is>
      </c>
      <c r="B1486" s="1" t="inlineStr">
        <is>
          <t>ANILLO PERLEE SILVER</t>
        </is>
      </c>
      <c r="C1486" s="1" t="n">
        <v>6</v>
      </c>
      <c r="D1486" s="1" t="inlineStr">
        <is>
          <t>NANCY</t>
        </is>
      </c>
      <c r="E1486" s="4">
        <f>COUNTIF('DETALLE CRONOLÓGICO'!$A$2:$A$4919,$A1486)</f>
        <v/>
      </c>
      <c r="F1486" s="4">
        <f>SUMIFS('DETALLE CRONOLÓGICO'!$I$2:$I$4919,'DETALLE CRONOLÓGICO'!$A$2:$A$4919,$A1486)</f>
        <v/>
      </c>
      <c r="G1486" s="1">
        <f>INDEX('DETALLE CRONOLÓGICO'!$D$2:$D$4919,MATCH($A1486,'DETALLE CRONOLÓGICO'!$A$2:$A$4919,0))</f>
        <v/>
      </c>
      <c r="H1486" s="1">
        <f>INDEX('DETALLE CRONOLÓGICO'!$D$2:$D$4919,MATCH($A1486,'DETALLE CRONOLÓGICO'!$A$2:$A$4919,0)+$E1486-1)</f>
        <v/>
      </c>
      <c r="I1486" s="5">
        <f>IFERROR(SUMIFS('DETALLE CRONOLÓGICO'!$L$2:$L$4919,'DETALLE CRONOLÓGICO'!$A$2:$A$4919,$A1486)/$F1486,"")</f>
        <v/>
      </c>
      <c r="J1486" s="6">
        <f>IFERROR(SUMIFS('DETALLE CRONOLÓGICO'!$K$2:$K$4919,'DETALLE CRONOLÓGICO'!$A$2:$A$4919,$A1486)/$E1486,"")</f>
        <v/>
      </c>
      <c r="K1486" s="6">
        <f>_xlfn.MINIFS('DETALLE CRONOLÓGICO'!$K$2:$K$4919,'DETALLE CRONOLÓGICO'!$A$2:$A$4919,$A1486)</f>
        <v/>
      </c>
      <c r="L1486" s="6">
        <f>_xlfn.MAXIFS('DETALLE CRONOLÓGICO'!$K$2:$K$4919,'DETALLE CRONOLÓGICO'!$A$2:$A$4919,$A1486)</f>
        <v/>
      </c>
      <c r="M1486" s="6">
        <f>INDEX('DETALLE CRONOLÓGICO'!$K$2:$K$4919,MATCH($A1486,'DETALLE CRONOLÓGICO'!$A$2:$A$4919,0)+$E1486-1)</f>
        <v/>
      </c>
      <c r="N1486" s="7">
        <f>IFERROR($M1486/INDEX('DETALLE CRONOLÓGICO'!$K$2:$K$4919,MATCH($A1486,'DETALLE CRONOLÓGICO'!$A$2:$A$4919,0))-1,"")</f>
        <v/>
      </c>
      <c r="O1486" s="6">
        <f>IFERROR($I1486*3,"")</f>
        <v/>
      </c>
      <c r="P1486" s="6">
        <f>IFERROR($I1486*3.5,"")</f>
        <v/>
      </c>
      <c r="Q1486" s="6">
        <f>IFERROR($I1486*4,"")</f>
        <v/>
      </c>
      <c r="R1486" s="6" t="n">
        <v>499</v>
      </c>
      <c r="S1486" s="4" t="n">
        <v>1</v>
      </c>
      <c r="T1486" s="1" t="inlineStr">
        <is>
          <t>active</t>
        </is>
      </c>
      <c r="U1486" s="8" t="n"/>
      <c r="V1486" s="1" t="inlineStr">
        <is>
          <t>SIN PRECIO</t>
        </is>
      </c>
    </row>
    <row r="1487">
      <c r="A1487" s="1" t="inlineStr">
        <is>
          <t>66593be202d61</t>
        </is>
      </c>
      <c r="B1487" s="1" t="inlineStr">
        <is>
          <t>ANILLO PERLEE SILVER</t>
        </is>
      </c>
      <c r="C1487" s="1" t="n">
        <v>7</v>
      </c>
      <c r="D1487" s="1" t="inlineStr">
        <is>
          <t>NANCY</t>
        </is>
      </c>
      <c r="E1487" s="4">
        <f>COUNTIF('DETALLE CRONOLÓGICO'!$A$2:$A$4919,$A1487)</f>
        <v/>
      </c>
      <c r="F1487" s="4">
        <f>SUMIFS('DETALLE CRONOLÓGICO'!$I$2:$I$4919,'DETALLE CRONOLÓGICO'!$A$2:$A$4919,$A1487)</f>
        <v/>
      </c>
      <c r="G1487" s="1">
        <f>INDEX('DETALLE CRONOLÓGICO'!$D$2:$D$4919,MATCH($A1487,'DETALLE CRONOLÓGICO'!$A$2:$A$4919,0))</f>
        <v/>
      </c>
      <c r="H1487" s="1">
        <f>INDEX('DETALLE CRONOLÓGICO'!$D$2:$D$4919,MATCH($A1487,'DETALLE CRONOLÓGICO'!$A$2:$A$4919,0)+$E1487-1)</f>
        <v/>
      </c>
      <c r="I1487" s="5">
        <f>IFERROR(SUMIFS('DETALLE CRONOLÓGICO'!$L$2:$L$4919,'DETALLE CRONOLÓGICO'!$A$2:$A$4919,$A1487)/$F1487,"")</f>
        <v/>
      </c>
      <c r="J1487" s="6">
        <f>IFERROR(SUMIFS('DETALLE CRONOLÓGICO'!$K$2:$K$4919,'DETALLE CRONOLÓGICO'!$A$2:$A$4919,$A1487)/$E1487,"")</f>
        <v/>
      </c>
      <c r="K1487" s="6">
        <f>_xlfn.MINIFS('DETALLE CRONOLÓGICO'!$K$2:$K$4919,'DETALLE CRONOLÓGICO'!$A$2:$A$4919,$A1487)</f>
        <v/>
      </c>
      <c r="L1487" s="6">
        <f>_xlfn.MAXIFS('DETALLE CRONOLÓGICO'!$K$2:$K$4919,'DETALLE CRONOLÓGICO'!$A$2:$A$4919,$A1487)</f>
        <v/>
      </c>
      <c r="M1487" s="6">
        <f>INDEX('DETALLE CRONOLÓGICO'!$K$2:$K$4919,MATCH($A1487,'DETALLE CRONOLÓGICO'!$A$2:$A$4919,0)+$E1487-1)</f>
        <v/>
      </c>
      <c r="N1487" s="7">
        <f>IFERROR($M1487/INDEX('DETALLE CRONOLÓGICO'!$K$2:$K$4919,MATCH($A1487,'DETALLE CRONOLÓGICO'!$A$2:$A$4919,0))-1,"")</f>
        <v/>
      </c>
      <c r="O1487" s="6">
        <f>IFERROR($I1487*3,"")</f>
        <v/>
      </c>
      <c r="P1487" s="6">
        <f>IFERROR($I1487*3.5,"")</f>
        <v/>
      </c>
      <c r="Q1487" s="6">
        <f>IFERROR($I1487*4,"")</f>
        <v/>
      </c>
      <c r="R1487" s="6" t="n">
        <v>499</v>
      </c>
      <c r="S1487" s="4" t="n">
        <v>1</v>
      </c>
      <c r="T1487" s="1" t="inlineStr">
        <is>
          <t>active</t>
        </is>
      </c>
      <c r="U1487" s="8" t="n"/>
      <c r="V1487" s="1" t="inlineStr">
        <is>
          <t>SIN PRECIO</t>
        </is>
      </c>
    </row>
    <row r="1488">
      <c r="A1488" s="1" t="inlineStr">
        <is>
          <t>66593be29b6a6</t>
        </is>
      </c>
      <c r="B1488" s="1" t="inlineStr">
        <is>
          <t>ANILLO PERLEE SILVER</t>
        </is>
      </c>
      <c r="C1488" s="1" t="n">
        <v>8</v>
      </c>
      <c r="D1488" s="1" t="inlineStr">
        <is>
          <t>NANCY</t>
        </is>
      </c>
      <c r="E1488" s="4">
        <f>COUNTIF('DETALLE CRONOLÓGICO'!$A$2:$A$4919,$A1488)</f>
        <v/>
      </c>
      <c r="F1488" s="4">
        <f>SUMIFS('DETALLE CRONOLÓGICO'!$I$2:$I$4919,'DETALLE CRONOLÓGICO'!$A$2:$A$4919,$A1488)</f>
        <v/>
      </c>
      <c r="G1488" s="1">
        <f>INDEX('DETALLE CRONOLÓGICO'!$D$2:$D$4919,MATCH($A1488,'DETALLE CRONOLÓGICO'!$A$2:$A$4919,0))</f>
        <v/>
      </c>
      <c r="H1488" s="1">
        <f>INDEX('DETALLE CRONOLÓGICO'!$D$2:$D$4919,MATCH($A1488,'DETALLE CRONOLÓGICO'!$A$2:$A$4919,0)+$E1488-1)</f>
        <v/>
      </c>
      <c r="I1488" s="5">
        <f>IFERROR(SUMIFS('DETALLE CRONOLÓGICO'!$L$2:$L$4919,'DETALLE CRONOLÓGICO'!$A$2:$A$4919,$A1488)/$F1488,"")</f>
        <v/>
      </c>
      <c r="J1488" s="6">
        <f>IFERROR(SUMIFS('DETALLE CRONOLÓGICO'!$K$2:$K$4919,'DETALLE CRONOLÓGICO'!$A$2:$A$4919,$A1488)/$E1488,"")</f>
        <v/>
      </c>
      <c r="K1488" s="6">
        <f>_xlfn.MINIFS('DETALLE CRONOLÓGICO'!$K$2:$K$4919,'DETALLE CRONOLÓGICO'!$A$2:$A$4919,$A1488)</f>
        <v/>
      </c>
      <c r="L1488" s="6">
        <f>_xlfn.MAXIFS('DETALLE CRONOLÓGICO'!$K$2:$K$4919,'DETALLE CRONOLÓGICO'!$A$2:$A$4919,$A1488)</f>
        <v/>
      </c>
      <c r="M1488" s="6">
        <f>INDEX('DETALLE CRONOLÓGICO'!$K$2:$K$4919,MATCH($A1488,'DETALLE CRONOLÓGICO'!$A$2:$A$4919,0)+$E1488-1)</f>
        <v/>
      </c>
      <c r="N1488" s="7">
        <f>IFERROR($M1488/INDEX('DETALLE CRONOLÓGICO'!$K$2:$K$4919,MATCH($A1488,'DETALLE CRONOLÓGICO'!$A$2:$A$4919,0))-1,"")</f>
        <v/>
      </c>
      <c r="O1488" s="6">
        <f>IFERROR($I1488*3,"")</f>
        <v/>
      </c>
      <c r="P1488" s="6">
        <f>IFERROR($I1488*3.5,"")</f>
        <v/>
      </c>
      <c r="Q1488" s="6">
        <f>IFERROR($I1488*4,"")</f>
        <v/>
      </c>
      <c r="R1488" s="6" t="n">
        <v>499</v>
      </c>
      <c r="S1488" s="4" t="n">
        <v>1</v>
      </c>
      <c r="T1488" s="1" t="inlineStr">
        <is>
          <t>active</t>
        </is>
      </c>
      <c r="U1488" s="8" t="n"/>
      <c r="V1488" s="1" t="inlineStr">
        <is>
          <t>SIN PRECIO</t>
        </is>
      </c>
    </row>
    <row r="1489">
      <c r="A1489" s="1" t="inlineStr">
        <is>
          <t>665bb4bf5d480</t>
        </is>
      </c>
      <c r="B1489" s="1" t="inlineStr">
        <is>
          <t>ANILLO TREBOL GOLD BLACK</t>
        </is>
      </c>
      <c r="C1489" s="1" t="n">
        <v>7</v>
      </c>
      <c r="D1489" s="1" t="inlineStr">
        <is>
          <t>NANCY</t>
        </is>
      </c>
      <c r="E1489" s="4">
        <f>COUNTIF('DETALLE CRONOLÓGICO'!$A$2:$A$4919,$A1489)</f>
        <v/>
      </c>
      <c r="F1489" s="4">
        <f>SUMIFS('DETALLE CRONOLÓGICO'!$I$2:$I$4919,'DETALLE CRONOLÓGICO'!$A$2:$A$4919,$A1489)</f>
        <v/>
      </c>
      <c r="G1489" s="1">
        <f>INDEX('DETALLE CRONOLÓGICO'!$D$2:$D$4919,MATCH($A1489,'DETALLE CRONOLÓGICO'!$A$2:$A$4919,0))</f>
        <v/>
      </c>
      <c r="H1489" s="1">
        <f>INDEX('DETALLE CRONOLÓGICO'!$D$2:$D$4919,MATCH($A1489,'DETALLE CRONOLÓGICO'!$A$2:$A$4919,0)+$E1489-1)</f>
        <v/>
      </c>
      <c r="I1489" s="5">
        <f>IFERROR(SUMIFS('DETALLE CRONOLÓGICO'!$L$2:$L$4919,'DETALLE CRONOLÓGICO'!$A$2:$A$4919,$A1489)/$F1489,"")</f>
        <v/>
      </c>
      <c r="J1489" s="6">
        <f>IFERROR(SUMIFS('DETALLE CRONOLÓGICO'!$K$2:$K$4919,'DETALLE CRONOLÓGICO'!$A$2:$A$4919,$A1489)/$E1489,"")</f>
        <v/>
      </c>
      <c r="K1489" s="6">
        <f>_xlfn.MINIFS('DETALLE CRONOLÓGICO'!$K$2:$K$4919,'DETALLE CRONOLÓGICO'!$A$2:$A$4919,$A1489)</f>
        <v/>
      </c>
      <c r="L1489" s="6">
        <f>_xlfn.MAXIFS('DETALLE CRONOLÓGICO'!$K$2:$K$4919,'DETALLE CRONOLÓGICO'!$A$2:$A$4919,$A1489)</f>
        <v/>
      </c>
      <c r="M1489" s="6">
        <f>INDEX('DETALLE CRONOLÓGICO'!$K$2:$K$4919,MATCH($A1489,'DETALLE CRONOLÓGICO'!$A$2:$A$4919,0)+$E1489-1)</f>
        <v/>
      </c>
      <c r="N1489" s="7">
        <f>IFERROR($M1489/INDEX('DETALLE CRONOLÓGICO'!$K$2:$K$4919,MATCH($A1489,'DETALLE CRONOLÓGICO'!$A$2:$A$4919,0))-1,"")</f>
        <v/>
      </c>
      <c r="O1489" s="6">
        <f>IFERROR($I1489*3,"")</f>
        <v/>
      </c>
      <c r="P1489" s="6">
        <f>IFERROR($I1489*3.5,"")</f>
        <v/>
      </c>
      <c r="Q1489" s="6">
        <f>IFERROR($I1489*4,"")</f>
        <v/>
      </c>
      <c r="R1489" s="6" t="n">
        <v>389</v>
      </c>
      <c r="S1489" s="4" t="n">
        <v>2</v>
      </c>
      <c r="T1489" s="1" t="inlineStr">
        <is>
          <t>active</t>
        </is>
      </c>
      <c r="U1489" s="8" t="n"/>
      <c r="V1489" s="1" t="inlineStr">
        <is>
          <t>SIN PRECIO</t>
        </is>
      </c>
    </row>
    <row r="1490">
      <c r="A1490" s="1" t="inlineStr">
        <is>
          <t>665bb4c1438b1</t>
        </is>
      </c>
      <c r="B1490" s="1" t="inlineStr">
        <is>
          <t>ANILLO TREBOL GOLD GREEN</t>
        </is>
      </c>
      <c r="C1490" s="1" t="n">
        <v>7</v>
      </c>
      <c r="D1490" s="1" t="inlineStr">
        <is>
          <t>NANCY</t>
        </is>
      </c>
      <c r="E1490" s="4">
        <f>COUNTIF('DETALLE CRONOLÓGICO'!$A$2:$A$4919,$A1490)</f>
        <v/>
      </c>
      <c r="F1490" s="4">
        <f>SUMIFS('DETALLE CRONOLÓGICO'!$I$2:$I$4919,'DETALLE CRONOLÓGICO'!$A$2:$A$4919,$A1490)</f>
        <v/>
      </c>
      <c r="G1490" s="1">
        <f>INDEX('DETALLE CRONOLÓGICO'!$D$2:$D$4919,MATCH($A1490,'DETALLE CRONOLÓGICO'!$A$2:$A$4919,0))</f>
        <v/>
      </c>
      <c r="H1490" s="1">
        <f>INDEX('DETALLE CRONOLÓGICO'!$D$2:$D$4919,MATCH($A1490,'DETALLE CRONOLÓGICO'!$A$2:$A$4919,0)+$E1490-1)</f>
        <v/>
      </c>
      <c r="I1490" s="5">
        <f>IFERROR(SUMIFS('DETALLE CRONOLÓGICO'!$L$2:$L$4919,'DETALLE CRONOLÓGICO'!$A$2:$A$4919,$A1490)/$F1490,"")</f>
        <v/>
      </c>
      <c r="J1490" s="6">
        <f>IFERROR(SUMIFS('DETALLE CRONOLÓGICO'!$K$2:$K$4919,'DETALLE CRONOLÓGICO'!$A$2:$A$4919,$A1490)/$E1490,"")</f>
        <v/>
      </c>
      <c r="K1490" s="6">
        <f>_xlfn.MINIFS('DETALLE CRONOLÓGICO'!$K$2:$K$4919,'DETALLE CRONOLÓGICO'!$A$2:$A$4919,$A1490)</f>
        <v/>
      </c>
      <c r="L1490" s="6">
        <f>_xlfn.MAXIFS('DETALLE CRONOLÓGICO'!$K$2:$K$4919,'DETALLE CRONOLÓGICO'!$A$2:$A$4919,$A1490)</f>
        <v/>
      </c>
      <c r="M1490" s="6">
        <f>INDEX('DETALLE CRONOLÓGICO'!$K$2:$K$4919,MATCH($A1490,'DETALLE CRONOLÓGICO'!$A$2:$A$4919,0)+$E1490-1)</f>
        <v/>
      </c>
      <c r="N1490" s="7">
        <f>IFERROR($M1490/INDEX('DETALLE CRONOLÓGICO'!$K$2:$K$4919,MATCH($A1490,'DETALLE CRONOLÓGICO'!$A$2:$A$4919,0))-1,"")</f>
        <v/>
      </c>
      <c r="O1490" s="6">
        <f>IFERROR($I1490*3,"")</f>
        <v/>
      </c>
      <c r="P1490" s="6">
        <f>IFERROR($I1490*3.5,"")</f>
        <v/>
      </c>
      <c r="Q1490" s="6">
        <f>IFERROR($I1490*4,"")</f>
        <v/>
      </c>
      <c r="R1490" s="6" t="n">
        <v>499</v>
      </c>
      <c r="S1490" s="4" t="n">
        <v>3</v>
      </c>
      <c r="T1490" s="1" t="inlineStr">
        <is>
          <t>active</t>
        </is>
      </c>
      <c r="U1490" s="8" t="n"/>
      <c r="V1490" s="1" t="inlineStr">
        <is>
          <t>SIN PRECIO</t>
        </is>
      </c>
    </row>
    <row r="1491">
      <c r="A1491" s="1" t="inlineStr">
        <is>
          <t>665bb4c20b268</t>
        </is>
      </c>
      <c r="B1491" s="1" t="inlineStr">
        <is>
          <t>ANILLO V GOLD</t>
        </is>
      </c>
      <c r="C1491" s="1" t="inlineStr">
        <is>
          <t>AJUSTABLE</t>
        </is>
      </c>
      <c r="D1491" s="1" t="inlineStr">
        <is>
          <t>CYNTHIA</t>
        </is>
      </c>
      <c r="E1491" s="4">
        <f>COUNTIF('DETALLE CRONOLÓGICO'!$A$2:$A$4919,$A1491)</f>
        <v/>
      </c>
      <c r="F1491" s="4">
        <f>SUMIFS('DETALLE CRONOLÓGICO'!$I$2:$I$4919,'DETALLE CRONOLÓGICO'!$A$2:$A$4919,$A1491)</f>
        <v/>
      </c>
      <c r="G1491" s="1">
        <f>INDEX('DETALLE CRONOLÓGICO'!$D$2:$D$4919,MATCH($A1491,'DETALLE CRONOLÓGICO'!$A$2:$A$4919,0))</f>
        <v/>
      </c>
      <c r="H1491" s="1">
        <f>INDEX('DETALLE CRONOLÓGICO'!$D$2:$D$4919,MATCH($A1491,'DETALLE CRONOLÓGICO'!$A$2:$A$4919,0)+$E1491-1)</f>
        <v/>
      </c>
      <c r="I1491" s="5">
        <f>IFERROR(SUMIFS('DETALLE CRONOLÓGICO'!$L$2:$L$4919,'DETALLE CRONOLÓGICO'!$A$2:$A$4919,$A1491)/$F1491,"")</f>
        <v/>
      </c>
      <c r="J1491" s="6">
        <f>IFERROR(SUMIFS('DETALLE CRONOLÓGICO'!$K$2:$K$4919,'DETALLE CRONOLÓGICO'!$A$2:$A$4919,$A1491)/$E1491,"")</f>
        <v/>
      </c>
      <c r="K1491" s="6">
        <f>_xlfn.MINIFS('DETALLE CRONOLÓGICO'!$K$2:$K$4919,'DETALLE CRONOLÓGICO'!$A$2:$A$4919,$A1491)</f>
        <v/>
      </c>
      <c r="L1491" s="6">
        <f>_xlfn.MAXIFS('DETALLE CRONOLÓGICO'!$K$2:$K$4919,'DETALLE CRONOLÓGICO'!$A$2:$A$4919,$A1491)</f>
        <v/>
      </c>
      <c r="M1491" s="6">
        <f>INDEX('DETALLE CRONOLÓGICO'!$K$2:$K$4919,MATCH($A1491,'DETALLE CRONOLÓGICO'!$A$2:$A$4919,0)+$E1491-1)</f>
        <v/>
      </c>
      <c r="N1491" s="7">
        <f>IFERROR($M1491/INDEX('DETALLE CRONOLÓGICO'!$K$2:$K$4919,MATCH($A1491,'DETALLE CRONOLÓGICO'!$A$2:$A$4919,0))-1,"")</f>
        <v/>
      </c>
      <c r="O1491" s="6">
        <f>IFERROR($I1491*3,"")</f>
        <v/>
      </c>
      <c r="P1491" s="6">
        <f>IFERROR($I1491*3.5,"")</f>
        <v/>
      </c>
      <c r="Q1491" s="6">
        <f>IFERROR($I1491*4,"")</f>
        <v/>
      </c>
      <c r="R1491" s="6" t="n">
        <v>635</v>
      </c>
      <c r="S1491" s="4" t="n">
        <v>4</v>
      </c>
      <c r="T1491" s="1" t="inlineStr">
        <is>
          <t>active</t>
        </is>
      </c>
      <c r="U1491" s="8" t="n"/>
      <c r="V1491" s="1" t="inlineStr">
        <is>
          <t>SIN PRECIO</t>
        </is>
      </c>
    </row>
    <row r="1492">
      <c r="A1492" s="1" t="inlineStr">
        <is>
          <t>665bb4c25887b</t>
        </is>
      </c>
      <c r="B1492" s="1" t="inlineStr">
        <is>
          <t>ANILLO TREBOL GOLD WHITE</t>
        </is>
      </c>
      <c r="C1492" s="1" t="n">
        <v>7</v>
      </c>
      <c r="D1492" s="1" t="inlineStr">
        <is>
          <t>NANCY</t>
        </is>
      </c>
      <c r="E1492" s="4">
        <f>COUNTIF('DETALLE CRONOLÓGICO'!$A$2:$A$4919,$A1492)</f>
        <v/>
      </c>
      <c r="F1492" s="4">
        <f>SUMIFS('DETALLE CRONOLÓGICO'!$I$2:$I$4919,'DETALLE CRONOLÓGICO'!$A$2:$A$4919,$A1492)</f>
        <v/>
      </c>
      <c r="G1492" s="1">
        <f>INDEX('DETALLE CRONOLÓGICO'!$D$2:$D$4919,MATCH($A1492,'DETALLE CRONOLÓGICO'!$A$2:$A$4919,0))</f>
        <v/>
      </c>
      <c r="H1492" s="1">
        <f>INDEX('DETALLE CRONOLÓGICO'!$D$2:$D$4919,MATCH($A1492,'DETALLE CRONOLÓGICO'!$A$2:$A$4919,0)+$E1492-1)</f>
        <v/>
      </c>
      <c r="I1492" s="5">
        <f>IFERROR(SUMIFS('DETALLE CRONOLÓGICO'!$L$2:$L$4919,'DETALLE CRONOLÓGICO'!$A$2:$A$4919,$A1492)/$F1492,"")</f>
        <v/>
      </c>
      <c r="J1492" s="6">
        <f>IFERROR(SUMIFS('DETALLE CRONOLÓGICO'!$K$2:$K$4919,'DETALLE CRONOLÓGICO'!$A$2:$A$4919,$A1492)/$E1492,"")</f>
        <v/>
      </c>
      <c r="K1492" s="6">
        <f>_xlfn.MINIFS('DETALLE CRONOLÓGICO'!$K$2:$K$4919,'DETALLE CRONOLÓGICO'!$A$2:$A$4919,$A1492)</f>
        <v/>
      </c>
      <c r="L1492" s="6">
        <f>_xlfn.MAXIFS('DETALLE CRONOLÓGICO'!$K$2:$K$4919,'DETALLE CRONOLÓGICO'!$A$2:$A$4919,$A1492)</f>
        <v/>
      </c>
      <c r="M1492" s="6">
        <f>INDEX('DETALLE CRONOLÓGICO'!$K$2:$K$4919,MATCH($A1492,'DETALLE CRONOLÓGICO'!$A$2:$A$4919,0)+$E1492-1)</f>
        <v/>
      </c>
      <c r="N1492" s="7">
        <f>IFERROR($M1492/INDEX('DETALLE CRONOLÓGICO'!$K$2:$K$4919,MATCH($A1492,'DETALLE CRONOLÓGICO'!$A$2:$A$4919,0))-1,"")</f>
        <v/>
      </c>
      <c r="O1492" s="6">
        <f>IFERROR($I1492*3,"")</f>
        <v/>
      </c>
      <c r="P1492" s="6">
        <f>IFERROR($I1492*3.5,"")</f>
        <v/>
      </c>
      <c r="Q1492" s="6">
        <f>IFERROR($I1492*4,"")</f>
        <v/>
      </c>
      <c r="R1492" s="6" t="n">
        <v>599</v>
      </c>
      <c r="S1492" s="4" t="n">
        <v>1</v>
      </c>
      <c r="T1492" s="1" t="inlineStr">
        <is>
          <t>active</t>
        </is>
      </c>
      <c r="U1492" s="8" t="n"/>
      <c r="V1492" s="1" t="inlineStr">
        <is>
          <t>SIN PRECIO</t>
        </is>
      </c>
    </row>
    <row r="1493">
      <c r="A1493" s="1" t="inlineStr">
        <is>
          <t>665bb4e06b7c8</t>
        </is>
      </c>
      <c r="B1493" s="1" t="inlineStr">
        <is>
          <t>ARETES CC DORADO</t>
        </is>
      </c>
      <c r="C1493" s="1" t="inlineStr">
        <is>
          <t>Regular</t>
        </is>
      </c>
      <c r="D1493" s="1" t="inlineStr">
        <is>
          <t>CYNTHIA</t>
        </is>
      </c>
      <c r="E1493" s="4">
        <f>COUNTIF('DETALLE CRONOLÓGICO'!$A$2:$A$4919,$A1493)</f>
        <v/>
      </c>
      <c r="F1493" s="4">
        <f>SUMIFS('DETALLE CRONOLÓGICO'!$I$2:$I$4919,'DETALLE CRONOLÓGICO'!$A$2:$A$4919,$A1493)</f>
        <v/>
      </c>
      <c r="G1493" s="1">
        <f>INDEX('DETALLE CRONOLÓGICO'!$D$2:$D$4919,MATCH($A1493,'DETALLE CRONOLÓGICO'!$A$2:$A$4919,0))</f>
        <v/>
      </c>
      <c r="H1493" s="1">
        <f>INDEX('DETALLE CRONOLÓGICO'!$D$2:$D$4919,MATCH($A1493,'DETALLE CRONOLÓGICO'!$A$2:$A$4919,0)+$E1493-1)</f>
        <v/>
      </c>
      <c r="I1493" s="5">
        <f>IFERROR(SUMIFS('DETALLE CRONOLÓGICO'!$L$2:$L$4919,'DETALLE CRONOLÓGICO'!$A$2:$A$4919,$A1493)/$F1493,"")</f>
        <v/>
      </c>
      <c r="J1493" s="6">
        <f>IFERROR(SUMIFS('DETALLE CRONOLÓGICO'!$K$2:$K$4919,'DETALLE CRONOLÓGICO'!$A$2:$A$4919,$A1493)/$E1493,"")</f>
        <v/>
      </c>
      <c r="K1493" s="6">
        <f>_xlfn.MINIFS('DETALLE CRONOLÓGICO'!$K$2:$K$4919,'DETALLE CRONOLÓGICO'!$A$2:$A$4919,$A1493)</f>
        <v/>
      </c>
      <c r="L1493" s="6">
        <f>_xlfn.MAXIFS('DETALLE CRONOLÓGICO'!$K$2:$K$4919,'DETALLE CRONOLÓGICO'!$A$2:$A$4919,$A1493)</f>
        <v/>
      </c>
      <c r="M1493" s="6">
        <f>INDEX('DETALLE CRONOLÓGICO'!$K$2:$K$4919,MATCH($A1493,'DETALLE CRONOLÓGICO'!$A$2:$A$4919,0)+$E1493-1)</f>
        <v/>
      </c>
      <c r="N1493" s="7">
        <f>IFERROR($M1493/INDEX('DETALLE CRONOLÓGICO'!$K$2:$K$4919,MATCH($A1493,'DETALLE CRONOLÓGICO'!$A$2:$A$4919,0))-1,"")</f>
        <v/>
      </c>
      <c r="O1493" s="6">
        <f>IFERROR($I1493*3,"")</f>
        <v/>
      </c>
      <c r="P1493" s="6">
        <f>IFERROR($I1493*3.5,"")</f>
        <v/>
      </c>
      <c r="Q1493" s="6">
        <f>IFERROR($I1493*4,"")</f>
        <v/>
      </c>
      <c r="R1493" s="6" t="n">
        <v>220</v>
      </c>
      <c r="S1493" s="4" t="n">
        <v>7</v>
      </c>
      <c r="T1493" s="1" t="inlineStr">
        <is>
          <t>active</t>
        </is>
      </c>
      <c r="U1493" s="8" t="n"/>
      <c r="V1493" s="1" t="inlineStr">
        <is>
          <t>SIN PRECIO</t>
        </is>
      </c>
    </row>
    <row r="1494">
      <c r="A1494" s="1" t="inlineStr">
        <is>
          <t>665bb4e678422</t>
        </is>
      </c>
      <c r="B1494" s="1" t="inlineStr">
        <is>
          <t>ARETES CD GOLD</t>
        </is>
      </c>
      <c r="C1494" s="1" t="inlineStr">
        <is>
          <t>Default Title</t>
        </is>
      </c>
      <c r="D1494" s="1" t="inlineStr">
        <is>
          <t>CYNTHIA</t>
        </is>
      </c>
      <c r="E1494" s="4">
        <f>COUNTIF('DETALLE CRONOLÓGICO'!$A$2:$A$4919,$A1494)</f>
        <v/>
      </c>
      <c r="F1494" s="4">
        <f>SUMIFS('DETALLE CRONOLÓGICO'!$I$2:$I$4919,'DETALLE CRONOLÓGICO'!$A$2:$A$4919,$A1494)</f>
        <v/>
      </c>
      <c r="G1494" s="1">
        <f>INDEX('DETALLE CRONOLÓGICO'!$D$2:$D$4919,MATCH($A1494,'DETALLE CRONOLÓGICO'!$A$2:$A$4919,0))</f>
        <v/>
      </c>
      <c r="H1494" s="1">
        <f>INDEX('DETALLE CRONOLÓGICO'!$D$2:$D$4919,MATCH($A1494,'DETALLE CRONOLÓGICO'!$A$2:$A$4919,0)+$E1494-1)</f>
        <v/>
      </c>
      <c r="I1494" s="5">
        <f>IFERROR(SUMIFS('DETALLE CRONOLÓGICO'!$L$2:$L$4919,'DETALLE CRONOLÓGICO'!$A$2:$A$4919,$A1494)/$F1494,"")</f>
        <v/>
      </c>
      <c r="J1494" s="6">
        <f>IFERROR(SUMIFS('DETALLE CRONOLÓGICO'!$K$2:$K$4919,'DETALLE CRONOLÓGICO'!$A$2:$A$4919,$A1494)/$E1494,"")</f>
        <v/>
      </c>
      <c r="K1494" s="6">
        <f>_xlfn.MINIFS('DETALLE CRONOLÓGICO'!$K$2:$K$4919,'DETALLE CRONOLÓGICO'!$A$2:$A$4919,$A1494)</f>
        <v/>
      </c>
      <c r="L1494" s="6">
        <f>_xlfn.MAXIFS('DETALLE CRONOLÓGICO'!$K$2:$K$4919,'DETALLE CRONOLÓGICO'!$A$2:$A$4919,$A1494)</f>
        <v/>
      </c>
      <c r="M1494" s="6">
        <f>INDEX('DETALLE CRONOLÓGICO'!$K$2:$K$4919,MATCH($A1494,'DETALLE CRONOLÓGICO'!$A$2:$A$4919,0)+$E1494-1)</f>
        <v/>
      </c>
      <c r="N1494" s="7">
        <f>IFERROR($M1494/INDEX('DETALLE CRONOLÓGICO'!$K$2:$K$4919,MATCH($A1494,'DETALLE CRONOLÓGICO'!$A$2:$A$4919,0))-1,"")</f>
        <v/>
      </c>
      <c r="O1494" s="6">
        <f>IFERROR($I1494*3,"")</f>
        <v/>
      </c>
      <c r="P1494" s="6">
        <f>IFERROR($I1494*3.5,"")</f>
        <v/>
      </c>
      <c r="Q1494" s="6">
        <f>IFERROR($I1494*4,"")</f>
        <v/>
      </c>
      <c r="R1494" s="6" t="n">
        <v>745</v>
      </c>
      <c r="S1494" s="4" t="n">
        <v>4</v>
      </c>
      <c r="T1494" s="1" t="inlineStr">
        <is>
          <t>active</t>
        </is>
      </c>
      <c r="U1494" s="8" t="n"/>
      <c r="V1494" s="1" t="inlineStr">
        <is>
          <t>SIN PRECIO</t>
        </is>
      </c>
    </row>
    <row r="1495">
      <c r="A1495" s="1" t="inlineStr">
        <is>
          <t>665bb4e91bcaf</t>
        </is>
      </c>
      <c r="B1495" s="1" t="inlineStr">
        <is>
          <t>ARETES CD GOLD BLACK</t>
        </is>
      </c>
      <c r="C1495" s="1" t="inlineStr">
        <is>
          <t>Default Title</t>
        </is>
      </c>
      <c r="D1495" s="1" t="inlineStr">
        <is>
          <t>NANCY</t>
        </is>
      </c>
      <c r="E1495" s="4">
        <f>COUNTIF('DETALLE CRONOLÓGICO'!$A$2:$A$4919,$A1495)</f>
        <v/>
      </c>
      <c r="F1495" s="4">
        <f>SUMIFS('DETALLE CRONOLÓGICO'!$I$2:$I$4919,'DETALLE CRONOLÓGICO'!$A$2:$A$4919,$A1495)</f>
        <v/>
      </c>
      <c r="G1495" s="1">
        <f>INDEX('DETALLE CRONOLÓGICO'!$D$2:$D$4919,MATCH($A1495,'DETALLE CRONOLÓGICO'!$A$2:$A$4919,0))</f>
        <v/>
      </c>
      <c r="H1495" s="1">
        <f>INDEX('DETALLE CRONOLÓGICO'!$D$2:$D$4919,MATCH($A1495,'DETALLE CRONOLÓGICO'!$A$2:$A$4919,0)+$E1495-1)</f>
        <v/>
      </c>
      <c r="I1495" s="5">
        <f>IFERROR(SUMIFS('DETALLE CRONOLÓGICO'!$L$2:$L$4919,'DETALLE CRONOLÓGICO'!$A$2:$A$4919,$A1495)/$F1495,"")</f>
        <v/>
      </c>
      <c r="J1495" s="6">
        <f>IFERROR(SUMIFS('DETALLE CRONOLÓGICO'!$K$2:$K$4919,'DETALLE CRONOLÓGICO'!$A$2:$A$4919,$A1495)/$E1495,"")</f>
        <v/>
      </c>
      <c r="K1495" s="6">
        <f>_xlfn.MINIFS('DETALLE CRONOLÓGICO'!$K$2:$K$4919,'DETALLE CRONOLÓGICO'!$A$2:$A$4919,$A1495)</f>
        <v/>
      </c>
      <c r="L1495" s="6">
        <f>_xlfn.MAXIFS('DETALLE CRONOLÓGICO'!$K$2:$K$4919,'DETALLE CRONOLÓGICO'!$A$2:$A$4919,$A1495)</f>
        <v/>
      </c>
      <c r="M1495" s="6">
        <f>INDEX('DETALLE CRONOLÓGICO'!$K$2:$K$4919,MATCH($A1495,'DETALLE CRONOLÓGICO'!$A$2:$A$4919,0)+$E1495-1)</f>
        <v/>
      </c>
      <c r="N1495" s="7">
        <f>IFERROR($M1495/INDEX('DETALLE CRONOLÓGICO'!$K$2:$K$4919,MATCH($A1495,'DETALLE CRONOLÓGICO'!$A$2:$A$4919,0))-1,"")</f>
        <v/>
      </c>
      <c r="O1495" s="6">
        <f>IFERROR($I1495*3,"")</f>
        <v/>
      </c>
      <c r="P1495" s="6">
        <f>IFERROR($I1495*3.5,"")</f>
        <v/>
      </c>
      <c r="Q1495" s="6">
        <f>IFERROR($I1495*4,"")</f>
        <v/>
      </c>
      <c r="R1495" s="6" t="n">
        <v>540</v>
      </c>
      <c r="S1495" s="4" t="n">
        <v>3</v>
      </c>
      <c r="T1495" s="1" t="inlineStr">
        <is>
          <t>active</t>
        </is>
      </c>
      <c r="U1495" s="8" t="n"/>
      <c r="V1495" s="1" t="inlineStr">
        <is>
          <t>SIN PRECIO</t>
        </is>
      </c>
    </row>
    <row r="1496">
      <c r="A1496" s="1" t="inlineStr">
        <is>
          <t>665bb4f54f46f</t>
        </is>
      </c>
      <c r="B1496" s="1" t="inlineStr">
        <is>
          <t>ARETES CORAZÓN GC</t>
        </is>
      </c>
      <c r="C1496" s="1" t="inlineStr">
        <is>
          <t>Default Title</t>
        </is>
      </c>
      <c r="D1496" s="1" t="inlineStr">
        <is>
          <t>NANCY</t>
        </is>
      </c>
      <c r="E1496" s="4">
        <f>COUNTIF('DETALLE CRONOLÓGICO'!$A$2:$A$4919,$A1496)</f>
        <v/>
      </c>
      <c r="F1496" s="4">
        <f>SUMIFS('DETALLE CRONOLÓGICO'!$I$2:$I$4919,'DETALLE CRONOLÓGICO'!$A$2:$A$4919,$A1496)</f>
        <v/>
      </c>
      <c r="G1496" s="1">
        <f>INDEX('DETALLE CRONOLÓGICO'!$D$2:$D$4919,MATCH($A1496,'DETALLE CRONOLÓGICO'!$A$2:$A$4919,0))</f>
        <v/>
      </c>
      <c r="H1496" s="1">
        <f>INDEX('DETALLE CRONOLÓGICO'!$D$2:$D$4919,MATCH($A1496,'DETALLE CRONOLÓGICO'!$A$2:$A$4919,0)+$E1496-1)</f>
        <v/>
      </c>
      <c r="I1496" s="5">
        <f>IFERROR(SUMIFS('DETALLE CRONOLÓGICO'!$L$2:$L$4919,'DETALLE CRONOLÓGICO'!$A$2:$A$4919,$A1496)/$F1496,"")</f>
        <v/>
      </c>
      <c r="J1496" s="6">
        <f>IFERROR(SUMIFS('DETALLE CRONOLÓGICO'!$K$2:$K$4919,'DETALLE CRONOLÓGICO'!$A$2:$A$4919,$A1496)/$E1496,"")</f>
        <v/>
      </c>
      <c r="K1496" s="6">
        <f>_xlfn.MINIFS('DETALLE CRONOLÓGICO'!$K$2:$K$4919,'DETALLE CRONOLÓGICO'!$A$2:$A$4919,$A1496)</f>
        <v/>
      </c>
      <c r="L1496" s="6">
        <f>_xlfn.MAXIFS('DETALLE CRONOLÓGICO'!$K$2:$K$4919,'DETALLE CRONOLÓGICO'!$A$2:$A$4919,$A1496)</f>
        <v/>
      </c>
      <c r="M1496" s="6">
        <f>INDEX('DETALLE CRONOLÓGICO'!$K$2:$K$4919,MATCH($A1496,'DETALLE CRONOLÓGICO'!$A$2:$A$4919,0)+$E1496-1)</f>
        <v/>
      </c>
      <c r="N1496" s="7">
        <f>IFERROR($M1496/INDEX('DETALLE CRONOLÓGICO'!$K$2:$K$4919,MATCH($A1496,'DETALLE CRONOLÓGICO'!$A$2:$A$4919,0))-1,"")</f>
        <v/>
      </c>
      <c r="O1496" s="6">
        <f>IFERROR($I1496*3,"")</f>
        <v/>
      </c>
      <c r="P1496" s="6">
        <f>IFERROR($I1496*3.5,"")</f>
        <v/>
      </c>
      <c r="Q1496" s="6">
        <f>IFERROR($I1496*4,"")</f>
        <v/>
      </c>
      <c r="R1496" s="6" t="n">
        <v>350</v>
      </c>
      <c r="S1496" s="4" t="n">
        <v>0</v>
      </c>
      <c r="T1496" s="1" t="inlineStr">
        <is>
          <t>active</t>
        </is>
      </c>
      <c r="U1496" s="8" t="n"/>
      <c r="V1496" s="1" t="inlineStr">
        <is>
          <t>SIN PRECIO</t>
        </is>
      </c>
    </row>
    <row r="1497">
      <c r="A1497" s="1" t="inlineStr">
        <is>
          <t>665bb4fe45383</t>
        </is>
      </c>
      <c r="B1497" s="1" t="inlineStr">
        <is>
          <t>ARETES PERLA YSL</t>
        </is>
      </c>
      <c r="C1497" s="1" t="inlineStr">
        <is>
          <t>Regular</t>
        </is>
      </c>
      <c r="D1497" s="1" t="inlineStr">
        <is>
          <t>NANCY</t>
        </is>
      </c>
      <c r="E1497" s="4">
        <f>COUNTIF('DETALLE CRONOLÓGICO'!$A$2:$A$4919,$A1497)</f>
        <v/>
      </c>
      <c r="F1497" s="4">
        <f>SUMIFS('DETALLE CRONOLÓGICO'!$I$2:$I$4919,'DETALLE CRONOLÓGICO'!$A$2:$A$4919,$A1497)</f>
        <v/>
      </c>
      <c r="G1497" s="1">
        <f>INDEX('DETALLE CRONOLÓGICO'!$D$2:$D$4919,MATCH($A1497,'DETALLE CRONOLÓGICO'!$A$2:$A$4919,0))</f>
        <v/>
      </c>
      <c r="H1497" s="1">
        <f>INDEX('DETALLE CRONOLÓGICO'!$D$2:$D$4919,MATCH($A1497,'DETALLE CRONOLÓGICO'!$A$2:$A$4919,0)+$E1497-1)</f>
        <v/>
      </c>
      <c r="I1497" s="5">
        <f>IFERROR(SUMIFS('DETALLE CRONOLÓGICO'!$L$2:$L$4919,'DETALLE CRONOLÓGICO'!$A$2:$A$4919,$A1497)/$F1497,"")</f>
        <v/>
      </c>
      <c r="J1497" s="6">
        <f>IFERROR(SUMIFS('DETALLE CRONOLÓGICO'!$K$2:$K$4919,'DETALLE CRONOLÓGICO'!$A$2:$A$4919,$A1497)/$E1497,"")</f>
        <v/>
      </c>
      <c r="K1497" s="6">
        <f>_xlfn.MINIFS('DETALLE CRONOLÓGICO'!$K$2:$K$4919,'DETALLE CRONOLÓGICO'!$A$2:$A$4919,$A1497)</f>
        <v/>
      </c>
      <c r="L1497" s="6">
        <f>_xlfn.MAXIFS('DETALLE CRONOLÓGICO'!$K$2:$K$4919,'DETALLE CRONOLÓGICO'!$A$2:$A$4919,$A1497)</f>
        <v/>
      </c>
      <c r="M1497" s="6">
        <f>INDEX('DETALLE CRONOLÓGICO'!$K$2:$K$4919,MATCH($A1497,'DETALLE CRONOLÓGICO'!$A$2:$A$4919,0)+$E1497-1)</f>
        <v/>
      </c>
      <c r="N1497" s="7">
        <f>IFERROR($M1497/INDEX('DETALLE CRONOLÓGICO'!$K$2:$K$4919,MATCH($A1497,'DETALLE CRONOLÓGICO'!$A$2:$A$4919,0))-1,"")</f>
        <v/>
      </c>
      <c r="O1497" s="6">
        <f>IFERROR($I1497*3,"")</f>
        <v/>
      </c>
      <c r="P1497" s="6">
        <f>IFERROR($I1497*3.5,"")</f>
        <v/>
      </c>
      <c r="Q1497" s="6">
        <f>IFERROR($I1497*4,"")</f>
        <v/>
      </c>
      <c r="R1497" s="6" t="n">
        <v>499</v>
      </c>
      <c r="S1497" s="4" t="n">
        <v>0</v>
      </c>
      <c r="T1497" s="1" t="inlineStr">
        <is>
          <t>active</t>
        </is>
      </c>
      <c r="U1497" s="8" t="n"/>
      <c r="V1497" s="1" t="inlineStr">
        <is>
          <t>SIN PRECIO</t>
        </is>
      </c>
    </row>
    <row r="1498">
      <c r="A1498" s="1" t="inlineStr">
        <is>
          <t>665bb512aacaa</t>
        </is>
      </c>
      <c r="B1498" s="1" t="inlineStr">
        <is>
          <t>ARETES GC LOGO GOLD</t>
        </is>
      </c>
      <c r="C1498" s="1" t="inlineStr">
        <is>
          <t>Default Title</t>
        </is>
      </c>
      <c r="D1498" s="1" t="inlineStr">
        <is>
          <t>NANCY</t>
        </is>
      </c>
      <c r="E1498" s="4">
        <f>COUNTIF('DETALLE CRONOLÓGICO'!$A$2:$A$4919,$A1498)</f>
        <v/>
      </c>
      <c r="F1498" s="4">
        <f>SUMIFS('DETALLE CRONOLÓGICO'!$I$2:$I$4919,'DETALLE CRONOLÓGICO'!$A$2:$A$4919,$A1498)</f>
        <v/>
      </c>
      <c r="G1498" s="1">
        <f>INDEX('DETALLE CRONOLÓGICO'!$D$2:$D$4919,MATCH($A1498,'DETALLE CRONOLÓGICO'!$A$2:$A$4919,0))</f>
        <v/>
      </c>
      <c r="H1498" s="1">
        <f>INDEX('DETALLE CRONOLÓGICO'!$D$2:$D$4919,MATCH($A1498,'DETALLE CRONOLÓGICO'!$A$2:$A$4919,0)+$E1498-1)</f>
        <v/>
      </c>
      <c r="I1498" s="5">
        <f>IFERROR(SUMIFS('DETALLE CRONOLÓGICO'!$L$2:$L$4919,'DETALLE CRONOLÓGICO'!$A$2:$A$4919,$A1498)/$F1498,"")</f>
        <v/>
      </c>
      <c r="J1498" s="6">
        <f>IFERROR(SUMIFS('DETALLE CRONOLÓGICO'!$K$2:$K$4919,'DETALLE CRONOLÓGICO'!$A$2:$A$4919,$A1498)/$E1498,"")</f>
        <v/>
      </c>
      <c r="K1498" s="6">
        <f>_xlfn.MINIFS('DETALLE CRONOLÓGICO'!$K$2:$K$4919,'DETALLE CRONOLÓGICO'!$A$2:$A$4919,$A1498)</f>
        <v/>
      </c>
      <c r="L1498" s="6">
        <f>_xlfn.MAXIFS('DETALLE CRONOLÓGICO'!$K$2:$K$4919,'DETALLE CRONOLÓGICO'!$A$2:$A$4919,$A1498)</f>
        <v/>
      </c>
      <c r="M1498" s="6">
        <f>INDEX('DETALLE CRONOLÓGICO'!$K$2:$K$4919,MATCH($A1498,'DETALLE CRONOLÓGICO'!$A$2:$A$4919,0)+$E1498-1)</f>
        <v/>
      </c>
      <c r="N1498" s="7">
        <f>IFERROR($M1498/INDEX('DETALLE CRONOLÓGICO'!$K$2:$K$4919,MATCH($A1498,'DETALLE CRONOLÓGICO'!$A$2:$A$4919,0))-1,"")</f>
        <v/>
      </c>
      <c r="O1498" s="6">
        <f>IFERROR($I1498*3,"")</f>
        <v/>
      </c>
      <c r="P1498" s="6">
        <f>IFERROR($I1498*3.5,"")</f>
        <v/>
      </c>
      <c r="Q1498" s="6">
        <f>IFERROR($I1498*4,"")</f>
        <v/>
      </c>
      <c r="R1498" s="6" t="n">
        <v>540</v>
      </c>
      <c r="S1498" s="4" t="n">
        <v>0</v>
      </c>
      <c r="T1498" s="1" t="inlineStr">
        <is>
          <t>active</t>
        </is>
      </c>
      <c r="U1498" s="8" t="n"/>
      <c r="V1498" s="1" t="inlineStr">
        <is>
          <t>SIN PRECIO</t>
        </is>
      </c>
    </row>
    <row r="1499">
      <c r="A1499" s="1" t="inlineStr">
        <is>
          <t>665bb51372697</t>
        </is>
      </c>
      <c r="B1499" s="1" t="inlineStr">
        <is>
          <t>ARETES GC LOGO SILVER</t>
        </is>
      </c>
      <c r="C1499" s="1" t="inlineStr">
        <is>
          <t>Regular</t>
        </is>
      </c>
      <c r="D1499" s="1" t="inlineStr">
        <is>
          <t>NANCY</t>
        </is>
      </c>
      <c r="E1499" s="4">
        <f>COUNTIF('DETALLE CRONOLÓGICO'!$A$2:$A$4919,$A1499)</f>
        <v/>
      </c>
      <c r="F1499" s="4">
        <f>SUMIFS('DETALLE CRONOLÓGICO'!$I$2:$I$4919,'DETALLE CRONOLÓGICO'!$A$2:$A$4919,$A1499)</f>
        <v/>
      </c>
      <c r="G1499" s="1">
        <f>INDEX('DETALLE CRONOLÓGICO'!$D$2:$D$4919,MATCH($A1499,'DETALLE CRONOLÓGICO'!$A$2:$A$4919,0))</f>
        <v/>
      </c>
      <c r="H1499" s="1">
        <f>INDEX('DETALLE CRONOLÓGICO'!$D$2:$D$4919,MATCH($A1499,'DETALLE CRONOLÓGICO'!$A$2:$A$4919,0)+$E1499-1)</f>
        <v/>
      </c>
      <c r="I1499" s="5">
        <f>IFERROR(SUMIFS('DETALLE CRONOLÓGICO'!$L$2:$L$4919,'DETALLE CRONOLÓGICO'!$A$2:$A$4919,$A1499)/$F1499,"")</f>
        <v/>
      </c>
      <c r="J1499" s="6">
        <f>IFERROR(SUMIFS('DETALLE CRONOLÓGICO'!$K$2:$K$4919,'DETALLE CRONOLÓGICO'!$A$2:$A$4919,$A1499)/$E1499,"")</f>
        <v/>
      </c>
      <c r="K1499" s="6">
        <f>_xlfn.MINIFS('DETALLE CRONOLÓGICO'!$K$2:$K$4919,'DETALLE CRONOLÓGICO'!$A$2:$A$4919,$A1499)</f>
        <v/>
      </c>
      <c r="L1499" s="6">
        <f>_xlfn.MAXIFS('DETALLE CRONOLÓGICO'!$K$2:$K$4919,'DETALLE CRONOLÓGICO'!$A$2:$A$4919,$A1499)</f>
        <v/>
      </c>
      <c r="M1499" s="6">
        <f>INDEX('DETALLE CRONOLÓGICO'!$K$2:$K$4919,MATCH($A1499,'DETALLE CRONOLÓGICO'!$A$2:$A$4919,0)+$E1499-1)</f>
        <v/>
      </c>
      <c r="N1499" s="7">
        <f>IFERROR($M1499/INDEX('DETALLE CRONOLÓGICO'!$K$2:$K$4919,MATCH($A1499,'DETALLE CRONOLÓGICO'!$A$2:$A$4919,0))-1,"")</f>
        <v/>
      </c>
      <c r="O1499" s="6">
        <f>IFERROR($I1499*3,"")</f>
        <v/>
      </c>
      <c r="P1499" s="6">
        <f>IFERROR($I1499*3.5,"")</f>
        <v/>
      </c>
      <c r="Q1499" s="6">
        <f>IFERROR($I1499*4,"")</f>
        <v/>
      </c>
      <c r="R1499" s="6" t="n">
        <v>499</v>
      </c>
      <c r="S1499" s="4" t="n">
        <v>2</v>
      </c>
      <c r="T1499" s="1" t="inlineStr">
        <is>
          <t>active</t>
        </is>
      </c>
      <c r="U1499" s="8" t="n"/>
      <c r="V1499" s="1" t="inlineStr">
        <is>
          <t>SIN PRECIO</t>
        </is>
      </c>
    </row>
    <row r="1500">
      <c r="A1500" s="1" t="inlineStr">
        <is>
          <t>665bb5192cc3b</t>
        </is>
      </c>
      <c r="B1500" s="1" t="inlineStr">
        <is>
          <t>ARETES LOCK GOLD</t>
        </is>
      </c>
      <c r="C1500" s="1" t="inlineStr">
        <is>
          <t>Default Title</t>
        </is>
      </c>
      <c r="D1500" s="1" t="inlineStr">
        <is>
          <t>NANCY</t>
        </is>
      </c>
      <c r="E1500" s="4">
        <f>COUNTIF('DETALLE CRONOLÓGICO'!$A$2:$A$4919,$A1500)</f>
        <v/>
      </c>
      <c r="F1500" s="4">
        <f>SUMIFS('DETALLE CRONOLÓGICO'!$I$2:$I$4919,'DETALLE CRONOLÓGICO'!$A$2:$A$4919,$A1500)</f>
        <v/>
      </c>
      <c r="G1500" s="1">
        <f>INDEX('DETALLE CRONOLÓGICO'!$D$2:$D$4919,MATCH($A1500,'DETALLE CRONOLÓGICO'!$A$2:$A$4919,0))</f>
        <v/>
      </c>
      <c r="H1500" s="1">
        <f>INDEX('DETALLE CRONOLÓGICO'!$D$2:$D$4919,MATCH($A1500,'DETALLE CRONOLÓGICO'!$A$2:$A$4919,0)+$E1500-1)</f>
        <v/>
      </c>
      <c r="I1500" s="5">
        <f>IFERROR(SUMIFS('DETALLE CRONOLÓGICO'!$L$2:$L$4919,'DETALLE CRONOLÓGICO'!$A$2:$A$4919,$A1500)/$F1500,"")</f>
        <v/>
      </c>
      <c r="J1500" s="6">
        <f>IFERROR(SUMIFS('DETALLE CRONOLÓGICO'!$K$2:$K$4919,'DETALLE CRONOLÓGICO'!$A$2:$A$4919,$A1500)/$E1500,"")</f>
        <v/>
      </c>
      <c r="K1500" s="6">
        <f>_xlfn.MINIFS('DETALLE CRONOLÓGICO'!$K$2:$K$4919,'DETALLE CRONOLÓGICO'!$A$2:$A$4919,$A1500)</f>
        <v/>
      </c>
      <c r="L1500" s="6">
        <f>_xlfn.MAXIFS('DETALLE CRONOLÓGICO'!$K$2:$K$4919,'DETALLE CRONOLÓGICO'!$A$2:$A$4919,$A1500)</f>
        <v/>
      </c>
      <c r="M1500" s="6">
        <f>INDEX('DETALLE CRONOLÓGICO'!$K$2:$K$4919,MATCH($A1500,'DETALLE CRONOLÓGICO'!$A$2:$A$4919,0)+$E1500-1)</f>
        <v/>
      </c>
      <c r="N1500" s="7">
        <f>IFERROR($M1500/INDEX('DETALLE CRONOLÓGICO'!$K$2:$K$4919,MATCH($A1500,'DETALLE CRONOLÓGICO'!$A$2:$A$4919,0))-1,"")</f>
        <v/>
      </c>
      <c r="O1500" s="6">
        <f>IFERROR($I1500*3,"")</f>
        <v/>
      </c>
      <c r="P1500" s="6">
        <f>IFERROR($I1500*3.5,"")</f>
        <v/>
      </c>
      <c r="Q1500" s="6">
        <f>IFERROR($I1500*4,"")</f>
        <v/>
      </c>
      <c r="R1500" s="6" t="n">
        <v>749</v>
      </c>
      <c r="S1500" s="4" t="n">
        <v>2</v>
      </c>
      <c r="T1500" s="1" t="inlineStr">
        <is>
          <t>active</t>
        </is>
      </c>
      <c r="U1500" s="8" t="n"/>
      <c r="V1500" s="1" t="inlineStr">
        <is>
          <t>SIN PRECIO</t>
        </is>
      </c>
    </row>
    <row r="1501">
      <c r="A1501" s="1" t="inlineStr">
        <is>
          <t>665bb51b8f87b-1</t>
        </is>
      </c>
      <c r="B1501" s="1" t="inlineStr">
        <is>
          <t>ARETES LOVE DORADOS</t>
        </is>
      </c>
      <c r="C1501" s="1" t="inlineStr">
        <is>
          <t>Regular</t>
        </is>
      </c>
      <c r="D1501" s="1" t="inlineStr">
        <is>
          <t>CYNTHIA</t>
        </is>
      </c>
      <c r="E1501" s="4">
        <f>COUNTIF('DETALLE CRONOLÓGICO'!$A$2:$A$4919,$A1501)</f>
        <v/>
      </c>
      <c r="F1501" s="4">
        <f>SUMIFS('DETALLE CRONOLÓGICO'!$I$2:$I$4919,'DETALLE CRONOLÓGICO'!$A$2:$A$4919,$A1501)</f>
        <v/>
      </c>
      <c r="G1501" s="1">
        <f>INDEX('DETALLE CRONOLÓGICO'!$D$2:$D$4919,MATCH($A1501,'DETALLE CRONOLÓGICO'!$A$2:$A$4919,0))</f>
        <v/>
      </c>
      <c r="H1501" s="1">
        <f>INDEX('DETALLE CRONOLÓGICO'!$D$2:$D$4919,MATCH($A1501,'DETALLE CRONOLÓGICO'!$A$2:$A$4919,0)+$E1501-1)</f>
        <v/>
      </c>
      <c r="I1501" s="5">
        <f>IFERROR(SUMIFS('DETALLE CRONOLÓGICO'!$L$2:$L$4919,'DETALLE CRONOLÓGICO'!$A$2:$A$4919,$A1501)/$F1501,"")</f>
        <v/>
      </c>
      <c r="J1501" s="6">
        <f>IFERROR(SUMIFS('DETALLE CRONOLÓGICO'!$K$2:$K$4919,'DETALLE CRONOLÓGICO'!$A$2:$A$4919,$A1501)/$E1501,"")</f>
        <v/>
      </c>
      <c r="K1501" s="6">
        <f>_xlfn.MINIFS('DETALLE CRONOLÓGICO'!$K$2:$K$4919,'DETALLE CRONOLÓGICO'!$A$2:$A$4919,$A1501)</f>
        <v/>
      </c>
      <c r="L1501" s="6">
        <f>_xlfn.MAXIFS('DETALLE CRONOLÓGICO'!$K$2:$K$4919,'DETALLE CRONOLÓGICO'!$A$2:$A$4919,$A1501)</f>
        <v/>
      </c>
      <c r="M1501" s="6">
        <f>INDEX('DETALLE CRONOLÓGICO'!$K$2:$K$4919,MATCH($A1501,'DETALLE CRONOLÓGICO'!$A$2:$A$4919,0)+$E1501-1)</f>
        <v/>
      </c>
      <c r="N1501" s="7">
        <f>IFERROR($M1501/INDEX('DETALLE CRONOLÓGICO'!$K$2:$K$4919,MATCH($A1501,'DETALLE CRONOLÓGICO'!$A$2:$A$4919,0))-1,"")</f>
        <v/>
      </c>
      <c r="O1501" s="6">
        <f>IFERROR($I1501*3,"")</f>
        <v/>
      </c>
      <c r="P1501" s="6">
        <f>IFERROR($I1501*3.5,"")</f>
        <v/>
      </c>
      <c r="Q1501" s="6">
        <f>IFERROR($I1501*4,"")</f>
        <v/>
      </c>
      <c r="R1501" s="6" t="n">
        <v>400</v>
      </c>
      <c r="S1501" s="4" t="n">
        <v>5</v>
      </c>
      <c r="T1501" s="1" t="inlineStr">
        <is>
          <t>active</t>
        </is>
      </c>
      <c r="U1501" s="8" t="n"/>
      <c r="V1501" s="1" t="inlineStr">
        <is>
          <t>SIN PRECIO</t>
        </is>
      </c>
    </row>
    <row r="1502">
      <c r="A1502" s="1" t="inlineStr">
        <is>
          <t>665bb51ee66d3</t>
        </is>
      </c>
      <c r="B1502" s="1" t="inlineStr">
        <is>
          <t>ARETES LOVE ROSE GOLD</t>
        </is>
      </c>
      <c r="C1502" s="1" t="inlineStr">
        <is>
          <t>Default Title</t>
        </is>
      </c>
      <c r="D1502" s="1" t="inlineStr">
        <is>
          <t>CYNTHIA</t>
        </is>
      </c>
      <c r="E1502" s="4">
        <f>COUNTIF('DETALLE CRONOLÓGICO'!$A$2:$A$4919,$A1502)</f>
        <v/>
      </c>
      <c r="F1502" s="4">
        <f>SUMIFS('DETALLE CRONOLÓGICO'!$I$2:$I$4919,'DETALLE CRONOLÓGICO'!$A$2:$A$4919,$A1502)</f>
        <v/>
      </c>
      <c r="G1502" s="1">
        <f>INDEX('DETALLE CRONOLÓGICO'!$D$2:$D$4919,MATCH($A1502,'DETALLE CRONOLÓGICO'!$A$2:$A$4919,0))</f>
        <v/>
      </c>
      <c r="H1502" s="1">
        <f>INDEX('DETALLE CRONOLÓGICO'!$D$2:$D$4919,MATCH($A1502,'DETALLE CRONOLÓGICO'!$A$2:$A$4919,0)+$E1502-1)</f>
        <v/>
      </c>
      <c r="I1502" s="5">
        <f>IFERROR(SUMIFS('DETALLE CRONOLÓGICO'!$L$2:$L$4919,'DETALLE CRONOLÓGICO'!$A$2:$A$4919,$A1502)/$F1502,"")</f>
        <v/>
      </c>
      <c r="J1502" s="6">
        <f>IFERROR(SUMIFS('DETALLE CRONOLÓGICO'!$K$2:$K$4919,'DETALLE CRONOLÓGICO'!$A$2:$A$4919,$A1502)/$E1502,"")</f>
        <v/>
      </c>
      <c r="K1502" s="6">
        <f>_xlfn.MINIFS('DETALLE CRONOLÓGICO'!$K$2:$K$4919,'DETALLE CRONOLÓGICO'!$A$2:$A$4919,$A1502)</f>
        <v/>
      </c>
      <c r="L1502" s="6">
        <f>_xlfn.MAXIFS('DETALLE CRONOLÓGICO'!$K$2:$K$4919,'DETALLE CRONOLÓGICO'!$A$2:$A$4919,$A1502)</f>
        <v/>
      </c>
      <c r="M1502" s="6">
        <f>INDEX('DETALLE CRONOLÓGICO'!$K$2:$K$4919,MATCH($A1502,'DETALLE CRONOLÓGICO'!$A$2:$A$4919,0)+$E1502-1)</f>
        <v/>
      </c>
      <c r="N1502" s="7">
        <f>IFERROR($M1502/INDEX('DETALLE CRONOLÓGICO'!$K$2:$K$4919,MATCH($A1502,'DETALLE CRONOLÓGICO'!$A$2:$A$4919,0))-1,"")</f>
        <v/>
      </c>
      <c r="O1502" s="6">
        <f>IFERROR($I1502*3,"")</f>
        <v/>
      </c>
      <c r="P1502" s="6">
        <f>IFERROR($I1502*3.5,"")</f>
        <v/>
      </c>
      <c r="Q1502" s="6">
        <f>IFERROR($I1502*4,"")</f>
        <v/>
      </c>
      <c r="R1502" s="6" t="n">
        <v>400</v>
      </c>
      <c r="S1502" s="4" t="n">
        <v>3</v>
      </c>
      <c r="T1502" s="1" t="inlineStr">
        <is>
          <t>active</t>
        </is>
      </c>
      <c r="U1502" s="8" t="n"/>
      <c r="V1502" s="1" t="inlineStr">
        <is>
          <t>SIN PRECIO</t>
        </is>
      </c>
    </row>
    <row r="1503">
      <c r="A1503" s="1" t="inlineStr">
        <is>
          <t>665bb75a563b8</t>
        </is>
      </c>
      <c r="B1503" s="1" t="inlineStr">
        <is>
          <t>ARETES MY LV SILVER</t>
        </is>
      </c>
      <c r="C1503" s="1" t="inlineStr">
        <is>
          <t>Default Title</t>
        </is>
      </c>
      <c r="D1503" s="1" t="inlineStr">
        <is>
          <t>NANCY</t>
        </is>
      </c>
      <c r="E1503" s="4">
        <f>COUNTIF('DETALLE CRONOLÓGICO'!$A$2:$A$4919,$A1503)</f>
        <v/>
      </c>
      <c r="F1503" s="4">
        <f>SUMIFS('DETALLE CRONOLÓGICO'!$I$2:$I$4919,'DETALLE CRONOLÓGICO'!$A$2:$A$4919,$A1503)</f>
        <v/>
      </c>
      <c r="G1503" s="1">
        <f>INDEX('DETALLE CRONOLÓGICO'!$D$2:$D$4919,MATCH($A1503,'DETALLE CRONOLÓGICO'!$A$2:$A$4919,0))</f>
        <v/>
      </c>
      <c r="H1503" s="1">
        <f>INDEX('DETALLE CRONOLÓGICO'!$D$2:$D$4919,MATCH($A1503,'DETALLE CRONOLÓGICO'!$A$2:$A$4919,0)+$E1503-1)</f>
        <v/>
      </c>
      <c r="I1503" s="5">
        <f>IFERROR(SUMIFS('DETALLE CRONOLÓGICO'!$L$2:$L$4919,'DETALLE CRONOLÓGICO'!$A$2:$A$4919,$A1503)/$F1503,"")</f>
        <v/>
      </c>
      <c r="J1503" s="6">
        <f>IFERROR(SUMIFS('DETALLE CRONOLÓGICO'!$K$2:$K$4919,'DETALLE CRONOLÓGICO'!$A$2:$A$4919,$A1503)/$E1503,"")</f>
        <v/>
      </c>
      <c r="K1503" s="6">
        <f>_xlfn.MINIFS('DETALLE CRONOLÓGICO'!$K$2:$K$4919,'DETALLE CRONOLÓGICO'!$A$2:$A$4919,$A1503)</f>
        <v/>
      </c>
      <c r="L1503" s="6">
        <f>_xlfn.MAXIFS('DETALLE CRONOLÓGICO'!$K$2:$K$4919,'DETALLE CRONOLÓGICO'!$A$2:$A$4919,$A1503)</f>
        <v/>
      </c>
      <c r="M1503" s="6">
        <f>INDEX('DETALLE CRONOLÓGICO'!$K$2:$K$4919,MATCH($A1503,'DETALLE CRONOLÓGICO'!$A$2:$A$4919,0)+$E1503-1)</f>
        <v/>
      </c>
      <c r="N1503" s="7">
        <f>IFERROR($M1503/INDEX('DETALLE CRONOLÓGICO'!$K$2:$K$4919,MATCH($A1503,'DETALLE CRONOLÓGICO'!$A$2:$A$4919,0))-1,"")</f>
        <v/>
      </c>
      <c r="O1503" s="6">
        <f>IFERROR($I1503*3,"")</f>
        <v/>
      </c>
      <c r="P1503" s="6">
        <f>IFERROR($I1503*3.5,"")</f>
        <v/>
      </c>
      <c r="Q1503" s="6">
        <f>IFERROR($I1503*4,"")</f>
        <v/>
      </c>
      <c r="R1503" s="6" t="n">
        <v>499</v>
      </c>
      <c r="S1503" s="4" t="n">
        <v>1</v>
      </c>
      <c r="T1503" s="1" t="inlineStr">
        <is>
          <t>active</t>
        </is>
      </c>
      <c r="U1503" s="8" t="n"/>
      <c r="V1503" s="1" t="inlineStr">
        <is>
          <t>SIN PRECIO</t>
        </is>
      </c>
    </row>
    <row r="1504">
      <c r="A1504" s="1" t="inlineStr">
        <is>
          <t>665bb75c10369</t>
        </is>
      </c>
      <c r="B1504" s="1" t="inlineStr">
        <is>
          <t>ARETES LV MY GOLD</t>
        </is>
      </c>
      <c r="C1504" s="1" t="inlineStr">
        <is>
          <t>Regular</t>
        </is>
      </c>
      <c r="D1504" s="1" t="inlineStr">
        <is>
          <t>NANCY</t>
        </is>
      </c>
      <c r="E1504" s="4">
        <f>COUNTIF('DETALLE CRONOLÓGICO'!$A$2:$A$4919,$A1504)</f>
        <v/>
      </c>
      <c r="F1504" s="4">
        <f>SUMIFS('DETALLE CRONOLÓGICO'!$I$2:$I$4919,'DETALLE CRONOLÓGICO'!$A$2:$A$4919,$A1504)</f>
        <v/>
      </c>
      <c r="G1504" s="1">
        <f>INDEX('DETALLE CRONOLÓGICO'!$D$2:$D$4919,MATCH($A1504,'DETALLE CRONOLÓGICO'!$A$2:$A$4919,0))</f>
        <v/>
      </c>
      <c r="H1504" s="1">
        <f>INDEX('DETALLE CRONOLÓGICO'!$D$2:$D$4919,MATCH($A1504,'DETALLE CRONOLÓGICO'!$A$2:$A$4919,0)+$E1504-1)</f>
        <v/>
      </c>
      <c r="I1504" s="5">
        <f>IFERROR(SUMIFS('DETALLE CRONOLÓGICO'!$L$2:$L$4919,'DETALLE CRONOLÓGICO'!$A$2:$A$4919,$A1504)/$F1504,"")</f>
        <v/>
      </c>
      <c r="J1504" s="6">
        <f>IFERROR(SUMIFS('DETALLE CRONOLÓGICO'!$K$2:$K$4919,'DETALLE CRONOLÓGICO'!$A$2:$A$4919,$A1504)/$E1504,"")</f>
        <v/>
      </c>
      <c r="K1504" s="6">
        <f>_xlfn.MINIFS('DETALLE CRONOLÓGICO'!$K$2:$K$4919,'DETALLE CRONOLÓGICO'!$A$2:$A$4919,$A1504)</f>
        <v/>
      </c>
      <c r="L1504" s="6">
        <f>_xlfn.MAXIFS('DETALLE CRONOLÓGICO'!$K$2:$K$4919,'DETALLE CRONOLÓGICO'!$A$2:$A$4919,$A1504)</f>
        <v/>
      </c>
      <c r="M1504" s="6">
        <f>INDEX('DETALLE CRONOLÓGICO'!$K$2:$K$4919,MATCH($A1504,'DETALLE CRONOLÓGICO'!$A$2:$A$4919,0)+$E1504-1)</f>
        <v/>
      </c>
      <c r="N1504" s="7">
        <f>IFERROR($M1504/INDEX('DETALLE CRONOLÓGICO'!$K$2:$K$4919,MATCH($A1504,'DETALLE CRONOLÓGICO'!$A$2:$A$4919,0))-1,"")</f>
        <v/>
      </c>
      <c r="O1504" s="6">
        <f>IFERROR($I1504*3,"")</f>
        <v/>
      </c>
      <c r="P1504" s="6">
        <f>IFERROR($I1504*3.5,"")</f>
        <v/>
      </c>
      <c r="Q1504" s="6">
        <f>IFERROR($I1504*4,"")</f>
        <v/>
      </c>
      <c r="R1504" s="6" t="n">
        <v>610</v>
      </c>
      <c r="S1504" s="4" t="n">
        <v>3</v>
      </c>
      <c r="T1504" s="1" t="inlineStr">
        <is>
          <t>active</t>
        </is>
      </c>
      <c r="U1504" s="8" t="n"/>
      <c r="V1504" s="1" t="inlineStr">
        <is>
          <t>SIN PRECIO</t>
        </is>
      </c>
    </row>
    <row r="1505">
      <c r="A1505" s="1" t="inlineStr">
        <is>
          <t>665bb75e1389b</t>
        </is>
      </c>
      <c r="B1505" s="1" t="inlineStr">
        <is>
          <t>ARETES SCREW LOVE GOLD</t>
        </is>
      </c>
      <c r="C1505" s="1" t="inlineStr">
        <is>
          <t>MEDIUM</t>
        </is>
      </c>
      <c r="D1505" s="1" t="inlineStr">
        <is>
          <t>HAIFENG</t>
        </is>
      </c>
      <c r="E1505" s="4">
        <f>COUNTIF('DETALLE CRONOLÓGICO'!$A$2:$A$4919,$A1505)</f>
        <v/>
      </c>
      <c r="F1505" s="4">
        <f>SUMIFS('DETALLE CRONOLÓGICO'!$I$2:$I$4919,'DETALLE CRONOLÓGICO'!$A$2:$A$4919,$A1505)</f>
        <v/>
      </c>
      <c r="G1505" s="1">
        <f>INDEX('DETALLE CRONOLÓGICO'!$D$2:$D$4919,MATCH($A1505,'DETALLE CRONOLÓGICO'!$A$2:$A$4919,0))</f>
        <v/>
      </c>
      <c r="H1505" s="1">
        <f>INDEX('DETALLE CRONOLÓGICO'!$D$2:$D$4919,MATCH($A1505,'DETALLE CRONOLÓGICO'!$A$2:$A$4919,0)+$E1505-1)</f>
        <v/>
      </c>
      <c r="I1505" s="5">
        <f>IFERROR(SUMIFS('DETALLE CRONOLÓGICO'!$L$2:$L$4919,'DETALLE CRONOLÓGICO'!$A$2:$A$4919,$A1505)/$F1505,"")</f>
        <v/>
      </c>
      <c r="J1505" s="6">
        <f>IFERROR(SUMIFS('DETALLE CRONOLÓGICO'!$K$2:$K$4919,'DETALLE CRONOLÓGICO'!$A$2:$A$4919,$A1505)/$E1505,"")</f>
        <v/>
      </c>
      <c r="K1505" s="6">
        <f>_xlfn.MINIFS('DETALLE CRONOLÓGICO'!$K$2:$K$4919,'DETALLE CRONOLÓGICO'!$A$2:$A$4919,$A1505)</f>
        <v/>
      </c>
      <c r="L1505" s="6">
        <f>_xlfn.MAXIFS('DETALLE CRONOLÓGICO'!$K$2:$K$4919,'DETALLE CRONOLÓGICO'!$A$2:$A$4919,$A1505)</f>
        <v/>
      </c>
      <c r="M1505" s="6">
        <f>INDEX('DETALLE CRONOLÓGICO'!$K$2:$K$4919,MATCH($A1505,'DETALLE CRONOLÓGICO'!$A$2:$A$4919,0)+$E1505-1)</f>
        <v/>
      </c>
      <c r="N1505" s="7">
        <f>IFERROR($M1505/INDEX('DETALLE CRONOLÓGICO'!$K$2:$K$4919,MATCH($A1505,'DETALLE CRONOLÓGICO'!$A$2:$A$4919,0))-1,"")</f>
        <v/>
      </c>
      <c r="O1505" s="6">
        <f>IFERROR($I1505*3,"")</f>
        <v/>
      </c>
      <c r="P1505" s="6">
        <f>IFERROR($I1505*3.5,"")</f>
        <v/>
      </c>
      <c r="Q1505" s="6">
        <f>IFERROR($I1505*4,"")</f>
        <v/>
      </c>
      <c r="R1505" s="6" t="n">
        <v>550</v>
      </c>
      <c r="S1505" s="4" t="n">
        <v>6</v>
      </c>
      <c r="T1505" s="1" t="inlineStr">
        <is>
          <t>active</t>
        </is>
      </c>
      <c r="U1505" s="8" t="n"/>
      <c r="V1505" s="1" t="inlineStr">
        <is>
          <t>SIN PRECIO</t>
        </is>
      </c>
    </row>
    <row r="1506">
      <c r="A1506" s="1" t="inlineStr">
        <is>
          <t>665bb75f8312e</t>
        </is>
      </c>
      <c r="B1506" s="1" t="inlineStr">
        <is>
          <t>ARETES SCREW LOVE ROSE GOLD</t>
        </is>
      </c>
      <c r="C1506" s="1" t="inlineStr">
        <is>
          <t>MEDIUM</t>
        </is>
      </c>
      <c r="D1506" s="1" t="inlineStr">
        <is>
          <t>HAIFENG</t>
        </is>
      </c>
      <c r="E1506" s="4">
        <f>COUNTIF('DETALLE CRONOLÓGICO'!$A$2:$A$4919,$A1506)</f>
        <v/>
      </c>
      <c r="F1506" s="4">
        <f>SUMIFS('DETALLE CRONOLÓGICO'!$I$2:$I$4919,'DETALLE CRONOLÓGICO'!$A$2:$A$4919,$A1506)</f>
        <v/>
      </c>
      <c r="G1506" s="1">
        <f>INDEX('DETALLE CRONOLÓGICO'!$D$2:$D$4919,MATCH($A1506,'DETALLE CRONOLÓGICO'!$A$2:$A$4919,0))</f>
        <v/>
      </c>
      <c r="H1506" s="1">
        <f>INDEX('DETALLE CRONOLÓGICO'!$D$2:$D$4919,MATCH($A1506,'DETALLE CRONOLÓGICO'!$A$2:$A$4919,0)+$E1506-1)</f>
        <v/>
      </c>
      <c r="I1506" s="5">
        <f>IFERROR(SUMIFS('DETALLE CRONOLÓGICO'!$L$2:$L$4919,'DETALLE CRONOLÓGICO'!$A$2:$A$4919,$A1506)/$F1506,"")</f>
        <v/>
      </c>
      <c r="J1506" s="6">
        <f>IFERROR(SUMIFS('DETALLE CRONOLÓGICO'!$K$2:$K$4919,'DETALLE CRONOLÓGICO'!$A$2:$A$4919,$A1506)/$E1506,"")</f>
        <v/>
      </c>
      <c r="K1506" s="6">
        <f>_xlfn.MINIFS('DETALLE CRONOLÓGICO'!$K$2:$K$4919,'DETALLE CRONOLÓGICO'!$A$2:$A$4919,$A1506)</f>
        <v/>
      </c>
      <c r="L1506" s="6">
        <f>_xlfn.MAXIFS('DETALLE CRONOLÓGICO'!$K$2:$K$4919,'DETALLE CRONOLÓGICO'!$A$2:$A$4919,$A1506)</f>
        <v/>
      </c>
      <c r="M1506" s="6">
        <f>INDEX('DETALLE CRONOLÓGICO'!$K$2:$K$4919,MATCH($A1506,'DETALLE CRONOLÓGICO'!$A$2:$A$4919,0)+$E1506-1)</f>
        <v/>
      </c>
      <c r="N1506" s="7">
        <f>IFERROR($M1506/INDEX('DETALLE CRONOLÓGICO'!$K$2:$K$4919,MATCH($A1506,'DETALLE CRONOLÓGICO'!$A$2:$A$4919,0))-1,"")</f>
        <v/>
      </c>
      <c r="O1506" s="6">
        <f>IFERROR($I1506*3,"")</f>
        <v/>
      </c>
      <c r="P1506" s="6">
        <f>IFERROR($I1506*3.5,"")</f>
        <v/>
      </c>
      <c r="Q1506" s="6">
        <f>IFERROR($I1506*4,"")</f>
        <v/>
      </c>
      <c r="R1506" s="6" t="n">
        <v>550</v>
      </c>
      <c r="S1506" s="4" t="n">
        <v>5</v>
      </c>
      <c r="T1506" s="1" t="inlineStr">
        <is>
          <t>active</t>
        </is>
      </c>
      <c r="U1506" s="8" t="n"/>
      <c r="V1506" s="1" t="inlineStr">
        <is>
          <t>SIN PRECIO</t>
        </is>
      </c>
    </row>
    <row r="1507">
      <c r="A1507" s="1" t="inlineStr">
        <is>
          <t>665bb7668ef3c</t>
        </is>
      </c>
      <c r="B1507" s="1" t="inlineStr">
        <is>
          <t>ARETES SCREW LOVE SILVER</t>
        </is>
      </c>
      <c r="C1507" s="1" t="inlineStr">
        <is>
          <t>MEDIUM</t>
        </is>
      </c>
      <c r="D1507" s="1" t="inlineStr">
        <is>
          <t>HAIFENG</t>
        </is>
      </c>
      <c r="E1507" s="4">
        <f>COUNTIF('DETALLE CRONOLÓGICO'!$A$2:$A$4919,$A1507)</f>
        <v/>
      </c>
      <c r="F1507" s="4">
        <f>SUMIFS('DETALLE CRONOLÓGICO'!$I$2:$I$4919,'DETALLE CRONOLÓGICO'!$A$2:$A$4919,$A1507)</f>
        <v/>
      </c>
      <c r="G1507" s="1">
        <f>INDEX('DETALLE CRONOLÓGICO'!$D$2:$D$4919,MATCH($A1507,'DETALLE CRONOLÓGICO'!$A$2:$A$4919,0))</f>
        <v/>
      </c>
      <c r="H1507" s="1">
        <f>INDEX('DETALLE CRONOLÓGICO'!$D$2:$D$4919,MATCH($A1507,'DETALLE CRONOLÓGICO'!$A$2:$A$4919,0)+$E1507-1)</f>
        <v/>
      </c>
      <c r="I1507" s="5">
        <f>IFERROR(SUMIFS('DETALLE CRONOLÓGICO'!$L$2:$L$4919,'DETALLE CRONOLÓGICO'!$A$2:$A$4919,$A1507)/$F1507,"")</f>
        <v/>
      </c>
      <c r="J1507" s="6">
        <f>IFERROR(SUMIFS('DETALLE CRONOLÓGICO'!$K$2:$K$4919,'DETALLE CRONOLÓGICO'!$A$2:$A$4919,$A1507)/$E1507,"")</f>
        <v/>
      </c>
      <c r="K1507" s="6">
        <f>_xlfn.MINIFS('DETALLE CRONOLÓGICO'!$K$2:$K$4919,'DETALLE CRONOLÓGICO'!$A$2:$A$4919,$A1507)</f>
        <v/>
      </c>
      <c r="L1507" s="6">
        <f>_xlfn.MAXIFS('DETALLE CRONOLÓGICO'!$K$2:$K$4919,'DETALLE CRONOLÓGICO'!$A$2:$A$4919,$A1507)</f>
        <v/>
      </c>
      <c r="M1507" s="6">
        <f>INDEX('DETALLE CRONOLÓGICO'!$K$2:$K$4919,MATCH($A1507,'DETALLE CRONOLÓGICO'!$A$2:$A$4919,0)+$E1507-1)</f>
        <v/>
      </c>
      <c r="N1507" s="7">
        <f>IFERROR($M1507/INDEX('DETALLE CRONOLÓGICO'!$K$2:$K$4919,MATCH($A1507,'DETALLE CRONOLÓGICO'!$A$2:$A$4919,0))-1,"")</f>
        <v/>
      </c>
      <c r="O1507" s="6">
        <f>IFERROR($I1507*3,"")</f>
        <v/>
      </c>
      <c r="P1507" s="6">
        <f>IFERROR($I1507*3.5,"")</f>
        <v/>
      </c>
      <c r="Q1507" s="6">
        <f>IFERROR($I1507*4,"")</f>
        <v/>
      </c>
      <c r="R1507" s="6" t="n">
        <v>550</v>
      </c>
      <c r="S1507" s="4" t="n">
        <v>4</v>
      </c>
      <c r="T1507" s="1" t="inlineStr">
        <is>
          <t>active</t>
        </is>
      </c>
      <c r="U1507" s="8" t="n"/>
      <c r="V1507" s="1" t="inlineStr">
        <is>
          <t>SIN PRECIO</t>
        </is>
      </c>
    </row>
    <row r="1508">
      <c r="A1508" s="1" t="inlineStr">
        <is>
          <t>665bb76e6de16</t>
        </is>
      </c>
      <c r="B1508" s="1" t="inlineStr">
        <is>
          <t>ARETES TB GOLD</t>
        </is>
      </c>
      <c r="C1508" s="1" t="inlineStr">
        <is>
          <t>Regular</t>
        </is>
      </c>
      <c r="D1508" s="1" t="inlineStr">
        <is>
          <t>NANCY</t>
        </is>
      </c>
      <c r="E1508" s="4">
        <f>COUNTIF('DETALLE CRONOLÓGICO'!$A$2:$A$4919,$A1508)</f>
        <v/>
      </c>
      <c r="F1508" s="4">
        <f>SUMIFS('DETALLE CRONOLÓGICO'!$I$2:$I$4919,'DETALLE CRONOLÓGICO'!$A$2:$A$4919,$A1508)</f>
        <v/>
      </c>
      <c r="G1508" s="1">
        <f>INDEX('DETALLE CRONOLÓGICO'!$D$2:$D$4919,MATCH($A1508,'DETALLE CRONOLÓGICO'!$A$2:$A$4919,0))</f>
        <v/>
      </c>
      <c r="H1508" s="1">
        <f>INDEX('DETALLE CRONOLÓGICO'!$D$2:$D$4919,MATCH($A1508,'DETALLE CRONOLÓGICO'!$A$2:$A$4919,0)+$E1508-1)</f>
        <v/>
      </c>
      <c r="I1508" s="5">
        <f>IFERROR(SUMIFS('DETALLE CRONOLÓGICO'!$L$2:$L$4919,'DETALLE CRONOLÓGICO'!$A$2:$A$4919,$A1508)/$F1508,"")</f>
        <v/>
      </c>
      <c r="J1508" s="6">
        <f>IFERROR(SUMIFS('DETALLE CRONOLÓGICO'!$K$2:$K$4919,'DETALLE CRONOLÓGICO'!$A$2:$A$4919,$A1508)/$E1508,"")</f>
        <v/>
      </c>
      <c r="K1508" s="6">
        <f>_xlfn.MINIFS('DETALLE CRONOLÓGICO'!$K$2:$K$4919,'DETALLE CRONOLÓGICO'!$A$2:$A$4919,$A1508)</f>
        <v/>
      </c>
      <c r="L1508" s="6">
        <f>_xlfn.MAXIFS('DETALLE CRONOLÓGICO'!$K$2:$K$4919,'DETALLE CRONOLÓGICO'!$A$2:$A$4919,$A1508)</f>
        <v/>
      </c>
      <c r="M1508" s="6">
        <f>INDEX('DETALLE CRONOLÓGICO'!$K$2:$K$4919,MATCH($A1508,'DETALLE CRONOLÓGICO'!$A$2:$A$4919,0)+$E1508-1)</f>
        <v/>
      </c>
      <c r="N1508" s="7">
        <f>IFERROR($M1508/INDEX('DETALLE CRONOLÓGICO'!$K$2:$K$4919,MATCH($A1508,'DETALLE CRONOLÓGICO'!$A$2:$A$4919,0))-1,"")</f>
        <v/>
      </c>
      <c r="O1508" s="6">
        <f>IFERROR($I1508*3,"")</f>
        <v/>
      </c>
      <c r="P1508" s="6">
        <f>IFERROR($I1508*3.5,"")</f>
        <v/>
      </c>
      <c r="Q1508" s="6">
        <f>IFERROR($I1508*4,"")</f>
        <v/>
      </c>
      <c r="R1508" s="6" t="n">
        <v>450</v>
      </c>
      <c r="S1508" s="4" t="n">
        <v>10</v>
      </c>
      <c r="T1508" s="1" t="inlineStr">
        <is>
          <t>active</t>
        </is>
      </c>
      <c r="U1508" s="8" t="n"/>
      <c r="V1508" s="1" t="inlineStr">
        <is>
          <t>SIN PRECIO</t>
        </is>
      </c>
    </row>
    <row r="1509">
      <c r="A1509" s="1" t="inlineStr">
        <is>
          <t>665bb76fc6270</t>
        </is>
      </c>
      <c r="B1509" s="1" t="inlineStr">
        <is>
          <t>ARETES TB SILVER</t>
        </is>
      </c>
      <c r="C1509" s="1" t="inlineStr">
        <is>
          <t>1.5 cm</t>
        </is>
      </c>
      <c r="D1509" s="1" t="inlineStr">
        <is>
          <t>NANCY</t>
        </is>
      </c>
      <c r="E1509" s="4">
        <f>COUNTIF('DETALLE CRONOLÓGICO'!$A$2:$A$4919,$A1509)</f>
        <v/>
      </c>
      <c r="F1509" s="4">
        <f>SUMIFS('DETALLE CRONOLÓGICO'!$I$2:$I$4919,'DETALLE CRONOLÓGICO'!$A$2:$A$4919,$A1509)</f>
        <v/>
      </c>
      <c r="G1509" s="1">
        <f>INDEX('DETALLE CRONOLÓGICO'!$D$2:$D$4919,MATCH($A1509,'DETALLE CRONOLÓGICO'!$A$2:$A$4919,0))</f>
        <v/>
      </c>
      <c r="H1509" s="1">
        <f>INDEX('DETALLE CRONOLÓGICO'!$D$2:$D$4919,MATCH($A1509,'DETALLE CRONOLÓGICO'!$A$2:$A$4919,0)+$E1509-1)</f>
        <v/>
      </c>
      <c r="I1509" s="5">
        <f>IFERROR(SUMIFS('DETALLE CRONOLÓGICO'!$L$2:$L$4919,'DETALLE CRONOLÓGICO'!$A$2:$A$4919,$A1509)/$F1509,"")</f>
        <v/>
      </c>
      <c r="J1509" s="6">
        <f>IFERROR(SUMIFS('DETALLE CRONOLÓGICO'!$K$2:$K$4919,'DETALLE CRONOLÓGICO'!$A$2:$A$4919,$A1509)/$E1509,"")</f>
        <v/>
      </c>
      <c r="K1509" s="6">
        <f>_xlfn.MINIFS('DETALLE CRONOLÓGICO'!$K$2:$K$4919,'DETALLE CRONOLÓGICO'!$A$2:$A$4919,$A1509)</f>
        <v/>
      </c>
      <c r="L1509" s="6">
        <f>_xlfn.MAXIFS('DETALLE CRONOLÓGICO'!$K$2:$K$4919,'DETALLE CRONOLÓGICO'!$A$2:$A$4919,$A1509)</f>
        <v/>
      </c>
      <c r="M1509" s="6">
        <f>INDEX('DETALLE CRONOLÓGICO'!$K$2:$K$4919,MATCH($A1509,'DETALLE CRONOLÓGICO'!$A$2:$A$4919,0)+$E1509-1)</f>
        <v/>
      </c>
      <c r="N1509" s="7">
        <f>IFERROR($M1509/INDEX('DETALLE CRONOLÓGICO'!$K$2:$K$4919,MATCH($A1509,'DETALLE CRONOLÓGICO'!$A$2:$A$4919,0))-1,"")</f>
        <v/>
      </c>
      <c r="O1509" s="6">
        <f>IFERROR($I1509*3,"")</f>
        <v/>
      </c>
      <c r="P1509" s="6">
        <f>IFERROR($I1509*3.5,"")</f>
        <v/>
      </c>
      <c r="Q1509" s="6">
        <f>IFERROR($I1509*4,"")</f>
        <v/>
      </c>
      <c r="R1509" s="6" t="n">
        <v>450</v>
      </c>
      <c r="S1509" s="4" t="n">
        <v>6</v>
      </c>
      <c r="T1509" s="1" t="inlineStr">
        <is>
          <t>active</t>
        </is>
      </c>
      <c r="U1509" s="8" t="n"/>
      <c r="V1509" s="1" t="inlineStr">
        <is>
          <t>SIN PRECIO</t>
        </is>
      </c>
    </row>
    <row r="1510">
      <c r="A1510" s="1" t="inlineStr">
        <is>
          <t>665bb779989a5</t>
        </is>
      </c>
      <c r="B1510" s="1" t="inlineStr">
        <is>
          <t>ARETES TRÉBOL GOLD-WHITE</t>
        </is>
      </c>
      <c r="C1510" s="1" t="inlineStr">
        <is>
          <t>HIGH QUALITY</t>
        </is>
      </c>
      <c r="D1510" s="1" t="inlineStr">
        <is>
          <t>HAIFENG</t>
        </is>
      </c>
      <c r="E1510" s="4">
        <f>COUNTIF('DETALLE CRONOLÓGICO'!$A$2:$A$4919,$A1510)</f>
        <v/>
      </c>
      <c r="F1510" s="4">
        <f>SUMIFS('DETALLE CRONOLÓGICO'!$I$2:$I$4919,'DETALLE CRONOLÓGICO'!$A$2:$A$4919,$A1510)</f>
        <v/>
      </c>
      <c r="G1510" s="1">
        <f>INDEX('DETALLE CRONOLÓGICO'!$D$2:$D$4919,MATCH($A1510,'DETALLE CRONOLÓGICO'!$A$2:$A$4919,0))</f>
        <v/>
      </c>
      <c r="H1510" s="1">
        <f>INDEX('DETALLE CRONOLÓGICO'!$D$2:$D$4919,MATCH($A1510,'DETALLE CRONOLÓGICO'!$A$2:$A$4919,0)+$E1510-1)</f>
        <v/>
      </c>
      <c r="I1510" s="5">
        <f>IFERROR(SUMIFS('DETALLE CRONOLÓGICO'!$L$2:$L$4919,'DETALLE CRONOLÓGICO'!$A$2:$A$4919,$A1510)/$F1510,"")</f>
        <v/>
      </c>
      <c r="J1510" s="6">
        <f>IFERROR(SUMIFS('DETALLE CRONOLÓGICO'!$K$2:$K$4919,'DETALLE CRONOLÓGICO'!$A$2:$A$4919,$A1510)/$E1510,"")</f>
        <v/>
      </c>
      <c r="K1510" s="6">
        <f>_xlfn.MINIFS('DETALLE CRONOLÓGICO'!$K$2:$K$4919,'DETALLE CRONOLÓGICO'!$A$2:$A$4919,$A1510)</f>
        <v/>
      </c>
      <c r="L1510" s="6">
        <f>_xlfn.MAXIFS('DETALLE CRONOLÓGICO'!$K$2:$K$4919,'DETALLE CRONOLÓGICO'!$A$2:$A$4919,$A1510)</f>
        <v/>
      </c>
      <c r="M1510" s="6">
        <f>INDEX('DETALLE CRONOLÓGICO'!$K$2:$K$4919,MATCH($A1510,'DETALLE CRONOLÓGICO'!$A$2:$A$4919,0)+$E1510-1)</f>
        <v/>
      </c>
      <c r="N1510" s="7">
        <f>IFERROR($M1510/INDEX('DETALLE CRONOLÓGICO'!$K$2:$K$4919,MATCH($A1510,'DETALLE CRONOLÓGICO'!$A$2:$A$4919,0))-1,"")</f>
        <v/>
      </c>
      <c r="O1510" s="6">
        <f>IFERROR($I1510*3,"")</f>
        <v/>
      </c>
      <c r="P1510" s="6">
        <f>IFERROR($I1510*3.5,"")</f>
        <v/>
      </c>
      <c r="Q1510" s="6">
        <f>IFERROR($I1510*4,"")</f>
        <v/>
      </c>
      <c r="R1510" s="6" t="n">
        <v>699</v>
      </c>
      <c r="S1510" s="4" t="n">
        <v>5</v>
      </c>
      <c r="T1510" s="1" t="inlineStr">
        <is>
          <t>active</t>
        </is>
      </c>
      <c r="U1510" s="8" t="n"/>
      <c r="V1510" s="1" t="inlineStr">
        <is>
          <t>SIN PRECIO</t>
        </is>
      </c>
    </row>
    <row r="1511">
      <c r="A1511" s="1" t="inlineStr">
        <is>
          <t>665bb779a07ff</t>
        </is>
      </c>
      <c r="B1511" s="1" t="inlineStr">
        <is>
          <t>ARETES TREBOL ROSE GOLD WHITE</t>
        </is>
      </c>
      <c r="C1511" s="1" t="inlineStr">
        <is>
          <t>REGULAR</t>
        </is>
      </c>
      <c r="D1511" s="1" t="inlineStr">
        <is>
          <t>HAIFENG</t>
        </is>
      </c>
      <c r="E1511" s="4">
        <f>COUNTIF('DETALLE CRONOLÓGICO'!$A$2:$A$4919,$A1511)</f>
        <v/>
      </c>
      <c r="F1511" s="4">
        <f>SUMIFS('DETALLE CRONOLÓGICO'!$I$2:$I$4919,'DETALLE CRONOLÓGICO'!$A$2:$A$4919,$A1511)</f>
        <v/>
      </c>
      <c r="G1511" s="1">
        <f>INDEX('DETALLE CRONOLÓGICO'!$D$2:$D$4919,MATCH($A1511,'DETALLE CRONOLÓGICO'!$A$2:$A$4919,0))</f>
        <v/>
      </c>
      <c r="H1511" s="1">
        <f>INDEX('DETALLE CRONOLÓGICO'!$D$2:$D$4919,MATCH($A1511,'DETALLE CRONOLÓGICO'!$A$2:$A$4919,0)+$E1511-1)</f>
        <v/>
      </c>
      <c r="I1511" s="5">
        <f>IFERROR(SUMIFS('DETALLE CRONOLÓGICO'!$L$2:$L$4919,'DETALLE CRONOLÓGICO'!$A$2:$A$4919,$A1511)/$F1511,"")</f>
        <v/>
      </c>
      <c r="J1511" s="6">
        <f>IFERROR(SUMIFS('DETALLE CRONOLÓGICO'!$K$2:$K$4919,'DETALLE CRONOLÓGICO'!$A$2:$A$4919,$A1511)/$E1511,"")</f>
        <v/>
      </c>
      <c r="K1511" s="6">
        <f>_xlfn.MINIFS('DETALLE CRONOLÓGICO'!$K$2:$K$4919,'DETALLE CRONOLÓGICO'!$A$2:$A$4919,$A1511)</f>
        <v/>
      </c>
      <c r="L1511" s="6">
        <f>_xlfn.MAXIFS('DETALLE CRONOLÓGICO'!$K$2:$K$4919,'DETALLE CRONOLÓGICO'!$A$2:$A$4919,$A1511)</f>
        <v/>
      </c>
      <c r="M1511" s="6">
        <f>INDEX('DETALLE CRONOLÓGICO'!$K$2:$K$4919,MATCH($A1511,'DETALLE CRONOLÓGICO'!$A$2:$A$4919,0)+$E1511-1)</f>
        <v/>
      </c>
      <c r="N1511" s="7">
        <f>IFERROR($M1511/INDEX('DETALLE CRONOLÓGICO'!$K$2:$K$4919,MATCH($A1511,'DETALLE CRONOLÓGICO'!$A$2:$A$4919,0))-1,"")</f>
        <v/>
      </c>
      <c r="O1511" s="6">
        <f>IFERROR($I1511*3,"")</f>
        <v/>
      </c>
      <c r="P1511" s="6">
        <f>IFERROR($I1511*3.5,"")</f>
        <v/>
      </c>
      <c r="Q1511" s="6">
        <f>IFERROR($I1511*4,"")</f>
        <v/>
      </c>
      <c r="R1511" s="6" t="n">
        <v>850</v>
      </c>
      <c r="S1511" s="4" t="n">
        <v>6</v>
      </c>
      <c r="T1511" s="1" t="inlineStr">
        <is>
          <t>active</t>
        </is>
      </c>
      <c r="U1511" s="8" t="n"/>
      <c r="V1511" s="1" t="inlineStr">
        <is>
          <t>SIN PRECIO</t>
        </is>
      </c>
    </row>
    <row r="1512">
      <c r="A1512" s="1" t="inlineStr">
        <is>
          <t>665bb7808142d</t>
        </is>
      </c>
      <c r="B1512" s="1" t="inlineStr">
        <is>
          <t>ARETES TRES AROS</t>
        </is>
      </c>
      <c r="C1512" s="1" t="inlineStr">
        <is>
          <t>Default Title</t>
        </is>
      </c>
      <c r="D1512" s="1" t="inlineStr">
        <is>
          <t>HAIFENG</t>
        </is>
      </c>
      <c r="E1512" s="4">
        <f>COUNTIF('DETALLE CRONOLÓGICO'!$A$2:$A$4919,$A1512)</f>
        <v/>
      </c>
      <c r="F1512" s="4">
        <f>SUMIFS('DETALLE CRONOLÓGICO'!$I$2:$I$4919,'DETALLE CRONOLÓGICO'!$A$2:$A$4919,$A1512)</f>
        <v/>
      </c>
      <c r="G1512" s="1">
        <f>INDEX('DETALLE CRONOLÓGICO'!$D$2:$D$4919,MATCH($A1512,'DETALLE CRONOLÓGICO'!$A$2:$A$4919,0))</f>
        <v/>
      </c>
      <c r="H1512" s="1">
        <f>INDEX('DETALLE CRONOLÓGICO'!$D$2:$D$4919,MATCH($A1512,'DETALLE CRONOLÓGICO'!$A$2:$A$4919,0)+$E1512-1)</f>
        <v/>
      </c>
      <c r="I1512" s="5">
        <f>IFERROR(SUMIFS('DETALLE CRONOLÓGICO'!$L$2:$L$4919,'DETALLE CRONOLÓGICO'!$A$2:$A$4919,$A1512)/$F1512,"")</f>
        <v/>
      </c>
      <c r="J1512" s="6">
        <f>IFERROR(SUMIFS('DETALLE CRONOLÓGICO'!$K$2:$K$4919,'DETALLE CRONOLÓGICO'!$A$2:$A$4919,$A1512)/$E1512,"")</f>
        <v/>
      </c>
      <c r="K1512" s="6">
        <f>_xlfn.MINIFS('DETALLE CRONOLÓGICO'!$K$2:$K$4919,'DETALLE CRONOLÓGICO'!$A$2:$A$4919,$A1512)</f>
        <v/>
      </c>
      <c r="L1512" s="6">
        <f>_xlfn.MAXIFS('DETALLE CRONOLÓGICO'!$K$2:$K$4919,'DETALLE CRONOLÓGICO'!$A$2:$A$4919,$A1512)</f>
        <v/>
      </c>
      <c r="M1512" s="6">
        <f>INDEX('DETALLE CRONOLÓGICO'!$K$2:$K$4919,MATCH($A1512,'DETALLE CRONOLÓGICO'!$A$2:$A$4919,0)+$E1512-1)</f>
        <v/>
      </c>
      <c r="N1512" s="7">
        <f>IFERROR($M1512/INDEX('DETALLE CRONOLÓGICO'!$K$2:$K$4919,MATCH($A1512,'DETALLE CRONOLÓGICO'!$A$2:$A$4919,0))-1,"")</f>
        <v/>
      </c>
      <c r="O1512" s="6">
        <f>IFERROR($I1512*3,"")</f>
        <v/>
      </c>
      <c r="P1512" s="6">
        <f>IFERROR($I1512*3.5,"")</f>
        <v/>
      </c>
      <c r="Q1512" s="6">
        <f>IFERROR($I1512*4,"")</f>
        <v/>
      </c>
      <c r="R1512" s="6" t="n">
        <v>651</v>
      </c>
      <c r="S1512" s="4" t="n">
        <v>8</v>
      </c>
      <c r="T1512" s="1" t="inlineStr">
        <is>
          <t>active</t>
        </is>
      </c>
      <c r="U1512" s="8" t="n"/>
      <c r="V1512" s="1" t="inlineStr">
        <is>
          <t>SIN PRECIO</t>
        </is>
      </c>
    </row>
    <row r="1513">
      <c r="A1513" s="1" t="inlineStr">
        <is>
          <t>665bb78f1ae43</t>
        </is>
      </c>
      <c r="B1513" s="1" t="inlineStr">
        <is>
          <t>ARETES YSL GOLD CON ZIRCONIA</t>
        </is>
      </c>
      <c r="C1513" s="1" t="inlineStr">
        <is>
          <t>Regular</t>
        </is>
      </c>
      <c r="D1513" s="1" t="inlineStr">
        <is>
          <t>NANCY</t>
        </is>
      </c>
      <c r="E1513" s="4">
        <f>COUNTIF('DETALLE CRONOLÓGICO'!$A$2:$A$4919,$A1513)</f>
        <v/>
      </c>
      <c r="F1513" s="4">
        <f>SUMIFS('DETALLE CRONOLÓGICO'!$I$2:$I$4919,'DETALLE CRONOLÓGICO'!$A$2:$A$4919,$A1513)</f>
        <v/>
      </c>
      <c r="G1513" s="1">
        <f>INDEX('DETALLE CRONOLÓGICO'!$D$2:$D$4919,MATCH($A1513,'DETALLE CRONOLÓGICO'!$A$2:$A$4919,0))</f>
        <v/>
      </c>
      <c r="H1513" s="1">
        <f>INDEX('DETALLE CRONOLÓGICO'!$D$2:$D$4919,MATCH($A1513,'DETALLE CRONOLÓGICO'!$A$2:$A$4919,0)+$E1513-1)</f>
        <v/>
      </c>
      <c r="I1513" s="5">
        <f>IFERROR(SUMIFS('DETALLE CRONOLÓGICO'!$L$2:$L$4919,'DETALLE CRONOLÓGICO'!$A$2:$A$4919,$A1513)/$F1513,"")</f>
        <v/>
      </c>
      <c r="J1513" s="6">
        <f>IFERROR(SUMIFS('DETALLE CRONOLÓGICO'!$K$2:$K$4919,'DETALLE CRONOLÓGICO'!$A$2:$A$4919,$A1513)/$E1513,"")</f>
        <v/>
      </c>
      <c r="K1513" s="6">
        <f>_xlfn.MINIFS('DETALLE CRONOLÓGICO'!$K$2:$K$4919,'DETALLE CRONOLÓGICO'!$A$2:$A$4919,$A1513)</f>
        <v/>
      </c>
      <c r="L1513" s="6">
        <f>_xlfn.MAXIFS('DETALLE CRONOLÓGICO'!$K$2:$K$4919,'DETALLE CRONOLÓGICO'!$A$2:$A$4919,$A1513)</f>
        <v/>
      </c>
      <c r="M1513" s="6">
        <f>INDEX('DETALLE CRONOLÓGICO'!$K$2:$K$4919,MATCH($A1513,'DETALLE CRONOLÓGICO'!$A$2:$A$4919,0)+$E1513-1)</f>
        <v/>
      </c>
      <c r="N1513" s="7">
        <f>IFERROR($M1513/INDEX('DETALLE CRONOLÓGICO'!$K$2:$K$4919,MATCH($A1513,'DETALLE CRONOLÓGICO'!$A$2:$A$4919,0))-1,"")</f>
        <v/>
      </c>
      <c r="O1513" s="6">
        <f>IFERROR($I1513*3,"")</f>
        <v/>
      </c>
      <c r="P1513" s="6">
        <f>IFERROR($I1513*3.5,"")</f>
        <v/>
      </c>
      <c r="Q1513" s="6">
        <f>IFERROR($I1513*4,"")</f>
        <v/>
      </c>
      <c r="R1513" s="6" t="n">
        <v>679</v>
      </c>
      <c r="S1513" s="4" t="n">
        <v>4</v>
      </c>
      <c r="T1513" s="1" t="inlineStr">
        <is>
          <t>active</t>
        </is>
      </c>
      <c r="U1513" s="8" t="n"/>
      <c r="V1513" s="1" t="inlineStr">
        <is>
          <t>SIN PRECIO</t>
        </is>
      </c>
    </row>
    <row r="1514">
      <c r="A1514" s="1" t="inlineStr">
        <is>
          <t>665bb79224272</t>
        </is>
      </c>
      <c r="B1514" s="1" t="inlineStr">
        <is>
          <t>ARRACADAS CD GOLD BLACK</t>
        </is>
      </c>
      <c r="C1514" s="1" t="inlineStr">
        <is>
          <t>Default Title</t>
        </is>
      </c>
      <c r="D1514" s="1" t="inlineStr">
        <is>
          <t>NANCY</t>
        </is>
      </c>
      <c r="E1514" s="4">
        <f>COUNTIF('DETALLE CRONOLÓGICO'!$A$2:$A$4919,$A1514)</f>
        <v/>
      </c>
      <c r="F1514" s="4">
        <f>SUMIFS('DETALLE CRONOLÓGICO'!$I$2:$I$4919,'DETALLE CRONOLÓGICO'!$A$2:$A$4919,$A1514)</f>
        <v/>
      </c>
      <c r="G1514" s="1">
        <f>INDEX('DETALLE CRONOLÓGICO'!$D$2:$D$4919,MATCH($A1514,'DETALLE CRONOLÓGICO'!$A$2:$A$4919,0))</f>
        <v/>
      </c>
      <c r="H1514" s="1">
        <f>INDEX('DETALLE CRONOLÓGICO'!$D$2:$D$4919,MATCH($A1514,'DETALLE CRONOLÓGICO'!$A$2:$A$4919,0)+$E1514-1)</f>
        <v/>
      </c>
      <c r="I1514" s="5">
        <f>IFERROR(SUMIFS('DETALLE CRONOLÓGICO'!$L$2:$L$4919,'DETALLE CRONOLÓGICO'!$A$2:$A$4919,$A1514)/$F1514,"")</f>
        <v/>
      </c>
      <c r="J1514" s="6">
        <f>IFERROR(SUMIFS('DETALLE CRONOLÓGICO'!$K$2:$K$4919,'DETALLE CRONOLÓGICO'!$A$2:$A$4919,$A1514)/$E1514,"")</f>
        <v/>
      </c>
      <c r="K1514" s="6">
        <f>_xlfn.MINIFS('DETALLE CRONOLÓGICO'!$K$2:$K$4919,'DETALLE CRONOLÓGICO'!$A$2:$A$4919,$A1514)</f>
        <v/>
      </c>
      <c r="L1514" s="6">
        <f>_xlfn.MAXIFS('DETALLE CRONOLÓGICO'!$K$2:$K$4919,'DETALLE CRONOLÓGICO'!$A$2:$A$4919,$A1514)</f>
        <v/>
      </c>
      <c r="M1514" s="6">
        <f>INDEX('DETALLE CRONOLÓGICO'!$K$2:$K$4919,MATCH($A1514,'DETALLE CRONOLÓGICO'!$A$2:$A$4919,0)+$E1514-1)</f>
        <v/>
      </c>
      <c r="N1514" s="7">
        <f>IFERROR($M1514/INDEX('DETALLE CRONOLÓGICO'!$K$2:$K$4919,MATCH($A1514,'DETALLE CRONOLÓGICO'!$A$2:$A$4919,0))-1,"")</f>
        <v/>
      </c>
      <c r="O1514" s="6">
        <f>IFERROR($I1514*3,"")</f>
        <v/>
      </c>
      <c r="P1514" s="6">
        <f>IFERROR($I1514*3.5,"")</f>
        <v/>
      </c>
      <c r="Q1514" s="6">
        <f>IFERROR($I1514*4,"")</f>
        <v/>
      </c>
      <c r="R1514" s="6" t="n">
        <v>649</v>
      </c>
      <c r="S1514" s="4" t="n">
        <v>2</v>
      </c>
      <c r="T1514" s="1" t="inlineStr">
        <is>
          <t>active</t>
        </is>
      </c>
      <c r="U1514" s="8" t="n"/>
      <c r="V1514" s="1" t="inlineStr">
        <is>
          <t>SIN PRECIO</t>
        </is>
      </c>
    </row>
    <row r="1515">
      <c r="A1515" s="1" t="inlineStr">
        <is>
          <t>665bb79776b6f-1</t>
        </is>
      </c>
      <c r="B1515" s="1" t="inlineStr">
        <is>
          <t>ARRACADAS NANOGRAMA LV</t>
        </is>
      </c>
      <c r="C1515" s="1" t="inlineStr">
        <is>
          <t>Regular</t>
        </is>
      </c>
      <c r="D1515" s="1" t="inlineStr">
        <is>
          <t>NANCY</t>
        </is>
      </c>
      <c r="E1515" s="4">
        <f>COUNTIF('DETALLE CRONOLÓGICO'!$A$2:$A$4919,$A1515)</f>
        <v/>
      </c>
      <c r="F1515" s="4">
        <f>SUMIFS('DETALLE CRONOLÓGICO'!$I$2:$I$4919,'DETALLE CRONOLÓGICO'!$A$2:$A$4919,$A1515)</f>
        <v/>
      </c>
      <c r="G1515" s="1">
        <f>INDEX('DETALLE CRONOLÓGICO'!$D$2:$D$4919,MATCH($A1515,'DETALLE CRONOLÓGICO'!$A$2:$A$4919,0))</f>
        <v/>
      </c>
      <c r="H1515" s="1">
        <f>INDEX('DETALLE CRONOLÓGICO'!$D$2:$D$4919,MATCH($A1515,'DETALLE CRONOLÓGICO'!$A$2:$A$4919,0)+$E1515-1)</f>
        <v/>
      </c>
      <c r="I1515" s="5">
        <f>IFERROR(SUMIFS('DETALLE CRONOLÓGICO'!$L$2:$L$4919,'DETALLE CRONOLÓGICO'!$A$2:$A$4919,$A1515)/$F1515,"")</f>
        <v/>
      </c>
      <c r="J1515" s="6">
        <f>IFERROR(SUMIFS('DETALLE CRONOLÓGICO'!$K$2:$K$4919,'DETALLE CRONOLÓGICO'!$A$2:$A$4919,$A1515)/$E1515,"")</f>
        <v/>
      </c>
      <c r="K1515" s="6">
        <f>_xlfn.MINIFS('DETALLE CRONOLÓGICO'!$K$2:$K$4919,'DETALLE CRONOLÓGICO'!$A$2:$A$4919,$A1515)</f>
        <v/>
      </c>
      <c r="L1515" s="6">
        <f>_xlfn.MAXIFS('DETALLE CRONOLÓGICO'!$K$2:$K$4919,'DETALLE CRONOLÓGICO'!$A$2:$A$4919,$A1515)</f>
        <v/>
      </c>
      <c r="M1515" s="6">
        <f>INDEX('DETALLE CRONOLÓGICO'!$K$2:$K$4919,MATCH($A1515,'DETALLE CRONOLÓGICO'!$A$2:$A$4919,0)+$E1515-1)</f>
        <v/>
      </c>
      <c r="N1515" s="7">
        <f>IFERROR($M1515/INDEX('DETALLE CRONOLÓGICO'!$K$2:$K$4919,MATCH($A1515,'DETALLE CRONOLÓGICO'!$A$2:$A$4919,0))-1,"")</f>
        <v/>
      </c>
      <c r="O1515" s="6">
        <f>IFERROR($I1515*3,"")</f>
        <v/>
      </c>
      <c r="P1515" s="6">
        <f>IFERROR($I1515*3.5,"")</f>
        <v/>
      </c>
      <c r="Q1515" s="6">
        <f>IFERROR($I1515*4,"")</f>
        <v/>
      </c>
      <c r="R1515" s="6" t="n">
        <v>540</v>
      </c>
      <c r="S1515" s="4" t="n">
        <v>4</v>
      </c>
      <c r="T1515" s="1" t="inlineStr">
        <is>
          <t>active</t>
        </is>
      </c>
      <c r="U1515" s="8" t="n"/>
      <c r="V1515" s="1" t="inlineStr">
        <is>
          <t>SIN PRECIO</t>
        </is>
      </c>
    </row>
    <row r="1516">
      <c r="A1516" s="1" t="inlineStr">
        <is>
          <t>665bb79d85c5b-1</t>
        </is>
      </c>
      <c r="B1516" s="1" t="inlineStr">
        <is>
          <t>ARRACADAS VC</t>
        </is>
      </c>
      <c r="C1516" s="1" t="inlineStr">
        <is>
          <t>Regular</t>
        </is>
      </c>
      <c r="D1516" s="1" t="inlineStr">
        <is>
          <t>NANCY</t>
        </is>
      </c>
      <c r="E1516" s="4">
        <f>COUNTIF('DETALLE CRONOLÓGICO'!$A$2:$A$4919,$A1516)</f>
        <v/>
      </c>
      <c r="F1516" s="4">
        <f>SUMIFS('DETALLE CRONOLÓGICO'!$I$2:$I$4919,'DETALLE CRONOLÓGICO'!$A$2:$A$4919,$A1516)</f>
        <v/>
      </c>
      <c r="G1516" s="1">
        <f>INDEX('DETALLE CRONOLÓGICO'!$D$2:$D$4919,MATCH($A1516,'DETALLE CRONOLÓGICO'!$A$2:$A$4919,0))</f>
        <v/>
      </c>
      <c r="H1516" s="1">
        <f>INDEX('DETALLE CRONOLÓGICO'!$D$2:$D$4919,MATCH($A1516,'DETALLE CRONOLÓGICO'!$A$2:$A$4919,0)+$E1516-1)</f>
        <v/>
      </c>
      <c r="I1516" s="5">
        <f>IFERROR(SUMIFS('DETALLE CRONOLÓGICO'!$L$2:$L$4919,'DETALLE CRONOLÓGICO'!$A$2:$A$4919,$A1516)/$F1516,"")</f>
        <v/>
      </c>
      <c r="J1516" s="6">
        <f>IFERROR(SUMIFS('DETALLE CRONOLÓGICO'!$K$2:$K$4919,'DETALLE CRONOLÓGICO'!$A$2:$A$4919,$A1516)/$E1516,"")</f>
        <v/>
      </c>
      <c r="K1516" s="6">
        <f>_xlfn.MINIFS('DETALLE CRONOLÓGICO'!$K$2:$K$4919,'DETALLE CRONOLÓGICO'!$A$2:$A$4919,$A1516)</f>
        <v/>
      </c>
      <c r="L1516" s="6">
        <f>_xlfn.MAXIFS('DETALLE CRONOLÓGICO'!$K$2:$K$4919,'DETALLE CRONOLÓGICO'!$A$2:$A$4919,$A1516)</f>
        <v/>
      </c>
      <c r="M1516" s="6">
        <f>INDEX('DETALLE CRONOLÓGICO'!$K$2:$K$4919,MATCH($A1516,'DETALLE CRONOLÓGICO'!$A$2:$A$4919,0)+$E1516-1)</f>
        <v/>
      </c>
      <c r="N1516" s="7">
        <f>IFERROR($M1516/INDEX('DETALLE CRONOLÓGICO'!$K$2:$K$4919,MATCH($A1516,'DETALLE CRONOLÓGICO'!$A$2:$A$4919,0))-1,"")</f>
        <v/>
      </c>
      <c r="O1516" s="6">
        <f>IFERROR($I1516*3,"")</f>
        <v/>
      </c>
      <c r="P1516" s="6">
        <f>IFERROR($I1516*3.5,"")</f>
        <v/>
      </c>
      <c r="Q1516" s="6">
        <f>IFERROR($I1516*4,"")</f>
        <v/>
      </c>
      <c r="R1516" s="6" t="n">
        <v>569</v>
      </c>
      <c r="S1516" s="4" t="n">
        <v>0</v>
      </c>
      <c r="T1516" s="1" t="inlineStr">
        <is>
          <t>active</t>
        </is>
      </c>
      <c r="U1516" s="8" t="n"/>
      <c r="V1516" s="1" t="inlineStr">
        <is>
          <t>SIN PRECIO</t>
        </is>
      </c>
    </row>
    <row r="1517">
      <c r="A1517" s="1" t="inlineStr">
        <is>
          <t>665bb9079b157</t>
        </is>
      </c>
      <c r="B1517" s="1" t="inlineStr">
        <is>
          <t>BOLSO DOUBLE V LV</t>
        </is>
      </c>
      <c r="C1517" s="1" t="inlineStr">
        <is>
          <t>17cm de alto x 23cm de largo x 9.5cm de ancho</t>
        </is>
      </c>
      <c r="D1517" s="1" t="inlineStr">
        <is>
          <t>DINA DU</t>
        </is>
      </c>
      <c r="E1517" s="4">
        <f>COUNTIF('DETALLE CRONOLÓGICO'!$A$2:$A$4919,$A1517)</f>
        <v/>
      </c>
      <c r="F1517" s="4">
        <f>SUMIFS('DETALLE CRONOLÓGICO'!$I$2:$I$4919,'DETALLE CRONOLÓGICO'!$A$2:$A$4919,$A1517)</f>
        <v/>
      </c>
      <c r="G1517" s="1">
        <f>INDEX('DETALLE CRONOLÓGICO'!$D$2:$D$4919,MATCH($A1517,'DETALLE CRONOLÓGICO'!$A$2:$A$4919,0))</f>
        <v/>
      </c>
      <c r="H1517" s="1">
        <f>INDEX('DETALLE CRONOLÓGICO'!$D$2:$D$4919,MATCH($A1517,'DETALLE CRONOLÓGICO'!$A$2:$A$4919,0)+$E1517-1)</f>
        <v/>
      </c>
      <c r="I1517" s="5">
        <f>IFERROR(SUMIFS('DETALLE CRONOLÓGICO'!$L$2:$L$4919,'DETALLE CRONOLÓGICO'!$A$2:$A$4919,$A1517)/$F1517,"")</f>
        <v/>
      </c>
      <c r="J1517" s="6">
        <f>IFERROR(SUMIFS('DETALLE CRONOLÓGICO'!$K$2:$K$4919,'DETALLE CRONOLÓGICO'!$A$2:$A$4919,$A1517)/$E1517,"")</f>
        <v/>
      </c>
      <c r="K1517" s="6">
        <f>_xlfn.MINIFS('DETALLE CRONOLÓGICO'!$K$2:$K$4919,'DETALLE CRONOLÓGICO'!$A$2:$A$4919,$A1517)</f>
        <v/>
      </c>
      <c r="L1517" s="6">
        <f>_xlfn.MAXIFS('DETALLE CRONOLÓGICO'!$K$2:$K$4919,'DETALLE CRONOLÓGICO'!$A$2:$A$4919,$A1517)</f>
        <v/>
      </c>
      <c r="M1517" s="6">
        <f>INDEX('DETALLE CRONOLÓGICO'!$K$2:$K$4919,MATCH($A1517,'DETALLE CRONOLÓGICO'!$A$2:$A$4919,0)+$E1517-1)</f>
        <v/>
      </c>
      <c r="N1517" s="7">
        <f>IFERROR($M1517/INDEX('DETALLE CRONOLÓGICO'!$K$2:$K$4919,MATCH($A1517,'DETALLE CRONOLÓGICO'!$A$2:$A$4919,0))-1,"")</f>
        <v/>
      </c>
      <c r="O1517" s="6">
        <f>IFERROR($I1517*3,"")</f>
        <v/>
      </c>
      <c r="P1517" s="6">
        <f>IFERROR($I1517*3.5,"")</f>
        <v/>
      </c>
      <c r="Q1517" s="6">
        <f>IFERROR($I1517*4,"")</f>
        <v/>
      </c>
      <c r="R1517" s="6" t="n">
        <v>3766.82</v>
      </c>
      <c r="S1517" s="4" t="n">
        <v>0</v>
      </c>
      <c r="T1517" s="1" t="inlineStr">
        <is>
          <t>active</t>
        </is>
      </c>
      <c r="U1517" s="8" t="n"/>
      <c r="V1517" s="1" t="inlineStr">
        <is>
          <t>SIN PRECIO</t>
        </is>
      </c>
    </row>
    <row r="1518">
      <c r="A1518" s="1" t="inlineStr">
        <is>
          <t>665bb919e080e</t>
        </is>
      </c>
      <c r="B1518" s="1" t="inlineStr">
        <is>
          <t>BRAZALETE CLASH GOLD</t>
        </is>
      </c>
      <c r="C1518" s="1" t="inlineStr">
        <is>
          <t>Default Title</t>
        </is>
      </c>
      <c r="D1518" s="1" t="inlineStr">
        <is>
          <t>HAIFENG</t>
        </is>
      </c>
      <c r="E1518" s="4">
        <f>COUNTIF('DETALLE CRONOLÓGICO'!$A$2:$A$4919,$A1518)</f>
        <v/>
      </c>
      <c r="F1518" s="4">
        <f>SUMIFS('DETALLE CRONOLÓGICO'!$I$2:$I$4919,'DETALLE CRONOLÓGICO'!$A$2:$A$4919,$A1518)</f>
        <v/>
      </c>
      <c r="G1518" s="1">
        <f>INDEX('DETALLE CRONOLÓGICO'!$D$2:$D$4919,MATCH($A1518,'DETALLE CRONOLÓGICO'!$A$2:$A$4919,0))</f>
        <v/>
      </c>
      <c r="H1518" s="1">
        <f>INDEX('DETALLE CRONOLÓGICO'!$D$2:$D$4919,MATCH($A1518,'DETALLE CRONOLÓGICO'!$A$2:$A$4919,0)+$E1518-1)</f>
        <v/>
      </c>
      <c r="I1518" s="5">
        <f>IFERROR(SUMIFS('DETALLE CRONOLÓGICO'!$L$2:$L$4919,'DETALLE CRONOLÓGICO'!$A$2:$A$4919,$A1518)/$F1518,"")</f>
        <v/>
      </c>
      <c r="J1518" s="6">
        <f>IFERROR(SUMIFS('DETALLE CRONOLÓGICO'!$K$2:$K$4919,'DETALLE CRONOLÓGICO'!$A$2:$A$4919,$A1518)/$E1518,"")</f>
        <v/>
      </c>
      <c r="K1518" s="6">
        <f>_xlfn.MINIFS('DETALLE CRONOLÓGICO'!$K$2:$K$4919,'DETALLE CRONOLÓGICO'!$A$2:$A$4919,$A1518)</f>
        <v/>
      </c>
      <c r="L1518" s="6">
        <f>_xlfn.MAXIFS('DETALLE CRONOLÓGICO'!$K$2:$K$4919,'DETALLE CRONOLÓGICO'!$A$2:$A$4919,$A1518)</f>
        <v/>
      </c>
      <c r="M1518" s="6">
        <f>INDEX('DETALLE CRONOLÓGICO'!$K$2:$K$4919,MATCH($A1518,'DETALLE CRONOLÓGICO'!$A$2:$A$4919,0)+$E1518-1)</f>
        <v/>
      </c>
      <c r="N1518" s="7">
        <f>IFERROR($M1518/INDEX('DETALLE CRONOLÓGICO'!$K$2:$K$4919,MATCH($A1518,'DETALLE CRONOLÓGICO'!$A$2:$A$4919,0))-1,"")</f>
        <v/>
      </c>
      <c r="O1518" s="6">
        <f>IFERROR($I1518*3,"")</f>
        <v/>
      </c>
      <c r="P1518" s="6">
        <f>IFERROR($I1518*3.5,"")</f>
        <v/>
      </c>
      <c r="Q1518" s="6">
        <f>IFERROR($I1518*4,"")</f>
        <v/>
      </c>
      <c r="R1518" s="6" t="n">
        <v>1850</v>
      </c>
      <c r="S1518" s="4" t="n">
        <v>0</v>
      </c>
      <c r="T1518" s="1" t="inlineStr">
        <is>
          <t>active</t>
        </is>
      </c>
      <c r="U1518" s="8" t="n"/>
      <c r="V1518" s="1" t="inlineStr">
        <is>
          <t>SIN PRECIO</t>
        </is>
      </c>
    </row>
    <row r="1519">
      <c r="A1519" s="1" t="inlineStr">
        <is>
          <t>665bb91f1ebf4</t>
        </is>
      </c>
      <c r="B1519" s="1" t="inlineStr">
        <is>
          <t>BRAZALETE CLASH ROSE GOLD</t>
        </is>
      </c>
      <c r="C1519" s="1" t="inlineStr">
        <is>
          <t>16CM</t>
        </is>
      </c>
      <c r="D1519" s="1" t="inlineStr">
        <is>
          <t>HAIFENG</t>
        </is>
      </c>
      <c r="E1519" s="4">
        <f>COUNTIF('DETALLE CRONOLÓGICO'!$A$2:$A$4919,$A1519)</f>
        <v/>
      </c>
      <c r="F1519" s="4">
        <f>SUMIFS('DETALLE CRONOLÓGICO'!$I$2:$I$4919,'DETALLE CRONOLÓGICO'!$A$2:$A$4919,$A1519)</f>
        <v/>
      </c>
      <c r="G1519" s="1">
        <f>INDEX('DETALLE CRONOLÓGICO'!$D$2:$D$4919,MATCH($A1519,'DETALLE CRONOLÓGICO'!$A$2:$A$4919,0))</f>
        <v/>
      </c>
      <c r="H1519" s="1">
        <f>INDEX('DETALLE CRONOLÓGICO'!$D$2:$D$4919,MATCH($A1519,'DETALLE CRONOLÓGICO'!$A$2:$A$4919,0)+$E1519-1)</f>
        <v/>
      </c>
      <c r="I1519" s="5">
        <f>IFERROR(SUMIFS('DETALLE CRONOLÓGICO'!$L$2:$L$4919,'DETALLE CRONOLÓGICO'!$A$2:$A$4919,$A1519)/$F1519,"")</f>
        <v/>
      </c>
      <c r="J1519" s="6">
        <f>IFERROR(SUMIFS('DETALLE CRONOLÓGICO'!$K$2:$K$4919,'DETALLE CRONOLÓGICO'!$A$2:$A$4919,$A1519)/$E1519,"")</f>
        <v/>
      </c>
      <c r="K1519" s="6">
        <f>_xlfn.MINIFS('DETALLE CRONOLÓGICO'!$K$2:$K$4919,'DETALLE CRONOLÓGICO'!$A$2:$A$4919,$A1519)</f>
        <v/>
      </c>
      <c r="L1519" s="6">
        <f>_xlfn.MAXIFS('DETALLE CRONOLÓGICO'!$K$2:$K$4919,'DETALLE CRONOLÓGICO'!$A$2:$A$4919,$A1519)</f>
        <v/>
      </c>
      <c r="M1519" s="6">
        <f>INDEX('DETALLE CRONOLÓGICO'!$K$2:$K$4919,MATCH($A1519,'DETALLE CRONOLÓGICO'!$A$2:$A$4919,0)+$E1519-1)</f>
        <v/>
      </c>
      <c r="N1519" s="7">
        <f>IFERROR($M1519/INDEX('DETALLE CRONOLÓGICO'!$K$2:$K$4919,MATCH($A1519,'DETALLE CRONOLÓGICO'!$A$2:$A$4919,0))-1,"")</f>
        <v/>
      </c>
      <c r="O1519" s="6">
        <f>IFERROR($I1519*3,"")</f>
        <v/>
      </c>
      <c r="P1519" s="6">
        <f>IFERROR($I1519*3.5,"")</f>
        <v/>
      </c>
      <c r="Q1519" s="6">
        <f>IFERROR($I1519*4,"")</f>
        <v/>
      </c>
      <c r="R1519" s="6" t="n">
        <v>1840</v>
      </c>
      <c r="S1519" s="4" t="n">
        <v>2</v>
      </c>
      <c r="T1519" s="1" t="inlineStr">
        <is>
          <t>active</t>
        </is>
      </c>
      <c r="U1519" s="8" t="n"/>
      <c r="V1519" s="1" t="inlineStr">
        <is>
          <t>SIN PRECIO</t>
        </is>
      </c>
    </row>
    <row r="1520">
      <c r="A1520" s="1" t="inlineStr">
        <is>
          <t>665bb920c632c</t>
        </is>
      </c>
      <c r="B1520" s="1" t="inlineStr">
        <is>
          <t>BRAZALETE CLASH SILVER</t>
        </is>
      </c>
      <c r="C1520" s="1" t="inlineStr">
        <is>
          <t>16CM</t>
        </is>
      </c>
      <c r="D1520" s="1" t="inlineStr">
        <is>
          <t>HAIFENG</t>
        </is>
      </c>
      <c r="E1520" s="4">
        <f>COUNTIF('DETALLE CRONOLÓGICO'!$A$2:$A$4919,$A1520)</f>
        <v/>
      </c>
      <c r="F1520" s="4">
        <f>SUMIFS('DETALLE CRONOLÓGICO'!$I$2:$I$4919,'DETALLE CRONOLÓGICO'!$A$2:$A$4919,$A1520)</f>
        <v/>
      </c>
      <c r="G1520" s="1">
        <f>INDEX('DETALLE CRONOLÓGICO'!$D$2:$D$4919,MATCH($A1520,'DETALLE CRONOLÓGICO'!$A$2:$A$4919,0))</f>
        <v/>
      </c>
      <c r="H1520" s="1">
        <f>INDEX('DETALLE CRONOLÓGICO'!$D$2:$D$4919,MATCH($A1520,'DETALLE CRONOLÓGICO'!$A$2:$A$4919,0)+$E1520-1)</f>
        <v/>
      </c>
      <c r="I1520" s="5">
        <f>IFERROR(SUMIFS('DETALLE CRONOLÓGICO'!$L$2:$L$4919,'DETALLE CRONOLÓGICO'!$A$2:$A$4919,$A1520)/$F1520,"")</f>
        <v/>
      </c>
      <c r="J1520" s="6">
        <f>IFERROR(SUMIFS('DETALLE CRONOLÓGICO'!$K$2:$K$4919,'DETALLE CRONOLÓGICO'!$A$2:$A$4919,$A1520)/$E1520,"")</f>
        <v/>
      </c>
      <c r="K1520" s="6">
        <f>_xlfn.MINIFS('DETALLE CRONOLÓGICO'!$K$2:$K$4919,'DETALLE CRONOLÓGICO'!$A$2:$A$4919,$A1520)</f>
        <v/>
      </c>
      <c r="L1520" s="6">
        <f>_xlfn.MAXIFS('DETALLE CRONOLÓGICO'!$K$2:$K$4919,'DETALLE CRONOLÓGICO'!$A$2:$A$4919,$A1520)</f>
        <v/>
      </c>
      <c r="M1520" s="6">
        <f>INDEX('DETALLE CRONOLÓGICO'!$K$2:$K$4919,MATCH($A1520,'DETALLE CRONOLÓGICO'!$A$2:$A$4919,0)+$E1520-1)</f>
        <v/>
      </c>
      <c r="N1520" s="7">
        <f>IFERROR($M1520/INDEX('DETALLE CRONOLÓGICO'!$K$2:$K$4919,MATCH($A1520,'DETALLE CRONOLÓGICO'!$A$2:$A$4919,0))-1,"")</f>
        <v/>
      </c>
      <c r="O1520" s="6">
        <f>IFERROR($I1520*3,"")</f>
        <v/>
      </c>
      <c r="P1520" s="6">
        <f>IFERROR($I1520*3.5,"")</f>
        <v/>
      </c>
      <c r="Q1520" s="6">
        <f>IFERROR($I1520*4,"")</f>
        <v/>
      </c>
      <c r="R1520" s="6" t="n">
        <v>1850</v>
      </c>
      <c r="S1520" s="4" t="n">
        <v>0</v>
      </c>
      <c r="T1520" s="1" t="inlineStr">
        <is>
          <t>active</t>
        </is>
      </c>
      <c r="U1520" s="8" t="n"/>
      <c r="V1520" s="1" t="inlineStr">
        <is>
          <t>SIN PRECIO</t>
        </is>
      </c>
    </row>
    <row r="1521">
      <c r="A1521" s="1" t="inlineStr">
        <is>
          <t>665bb924de84e</t>
        </is>
      </c>
      <c r="B1521" s="1" t="inlineStr">
        <is>
          <t>BRAZALETE PANTHERE SILVER</t>
        </is>
      </c>
      <c r="C1521" s="1" t="inlineStr">
        <is>
          <t>17cm (REMATE)</t>
        </is>
      </c>
      <c r="D1521" s="1" t="inlineStr">
        <is>
          <t>HAIFENG</t>
        </is>
      </c>
      <c r="E1521" s="4">
        <f>COUNTIF('DETALLE CRONOLÓGICO'!$A$2:$A$4919,$A1521)</f>
        <v/>
      </c>
      <c r="F1521" s="4">
        <f>SUMIFS('DETALLE CRONOLÓGICO'!$I$2:$I$4919,'DETALLE CRONOLÓGICO'!$A$2:$A$4919,$A1521)</f>
        <v/>
      </c>
      <c r="G1521" s="1">
        <f>INDEX('DETALLE CRONOLÓGICO'!$D$2:$D$4919,MATCH($A1521,'DETALLE CRONOLÓGICO'!$A$2:$A$4919,0))</f>
        <v/>
      </c>
      <c r="H1521" s="1">
        <f>INDEX('DETALLE CRONOLÓGICO'!$D$2:$D$4919,MATCH($A1521,'DETALLE CRONOLÓGICO'!$A$2:$A$4919,0)+$E1521-1)</f>
        <v/>
      </c>
      <c r="I1521" s="5">
        <f>IFERROR(SUMIFS('DETALLE CRONOLÓGICO'!$L$2:$L$4919,'DETALLE CRONOLÓGICO'!$A$2:$A$4919,$A1521)/$F1521,"")</f>
        <v/>
      </c>
      <c r="J1521" s="6">
        <f>IFERROR(SUMIFS('DETALLE CRONOLÓGICO'!$K$2:$K$4919,'DETALLE CRONOLÓGICO'!$A$2:$A$4919,$A1521)/$E1521,"")</f>
        <v/>
      </c>
      <c r="K1521" s="6">
        <f>_xlfn.MINIFS('DETALLE CRONOLÓGICO'!$K$2:$K$4919,'DETALLE CRONOLÓGICO'!$A$2:$A$4919,$A1521)</f>
        <v/>
      </c>
      <c r="L1521" s="6">
        <f>_xlfn.MAXIFS('DETALLE CRONOLÓGICO'!$K$2:$K$4919,'DETALLE CRONOLÓGICO'!$A$2:$A$4919,$A1521)</f>
        <v/>
      </c>
      <c r="M1521" s="6">
        <f>INDEX('DETALLE CRONOLÓGICO'!$K$2:$K$4919,MATCH($A1521,'DETALLE CRONOLÓGICO'!$A$2:$A$4919,0)+$E1521-1)</f>
        <v/>
      </c>
      <c r="N1521" s="7">
        <f>IFERROR($M1521/INDEX('DETALLE CRONOLÓGICO'!$K$2:$K$4919,MATCH($A1521,'DETALLE CRONOLÓGICO'!$A$2:$A$4919,0))-1,"")</f>
        <v/>
      </c>
      <c r="O1521" s="6">
        <f>IFERROR($I1521*3,"")</f>
        <v/>
      </c>
      <c r="P1521" s="6">
        <f>IFERROR($I1521*3.5,"")</f>
        <v/>
      </c>
      <c r="Q1521" s="6">
        <f>IFERROR($I1521*4,"")</f>
        <v/>
      </c>
      <c r="R1521" s="6" t="n">
        <v>999</v>
      </c>
      <c r="S1521" s="4" t="n">
        <v>2</v>
      </c>
      <c r="T1521" s="1" t="inlineStr">
        <is>
          <t>active</t>
        </is>
      </c>
      <c r="U1521" s="8" t="n"/>
      <c r="V1521" s="1" t="inlineStr">
        <is>
          <t>SIN PRECIO</t>
        </is>
      </c>
    </row>
    <row r="1522">
      <c r="A1522" s="1" t="inlineStr">
        <is>
          <t>665bbd3eee796</t>
        </is>
      </c>
      <c r="B1522" s="1" t="inlineStr">
        <is>
          <t>COLLAR CC SILVER</t>
        </is>
      </c>
      <c r="C1522" s="1" t="inlineStr">
        <is>
          <t>49cm x 6cm de extensión</t>
        </is>
      </c>
      <c r="D1522" s="1" t="inlineStr">
        <is>
          <t>CYNTHIA</t>
        </is>
      </c>
      <c r="E1522" s="4">
        <f>COUNTIF('DETALLE CRONOLÓGICO'!$A$2:$A$4919,$A1522)</f>
        <v/>
      </c>
      <c r="F1522" s="4">
        <f>SUMIFS('DETALLE CRONOLÓGICO'!$I$2:$I$4919,'DETALLE CRONOLÓGICO'!$A$2:$A$4919,$A1522)</f>
        <v/>
      </c>
      <c r="G1522" s="1">
        <f>INDEX('DETALLE CRONOLÓGICO'!$D$2:$D$4919,MATCH($A1522,'DETALLE CRONOLÓGICO'!$A$2:$A$4919,0))</f>
        <v/>
      </c>
      <c r="H1522" s="1">
        <f>INDEX('DETALLE CRONOLÓGICO'!$D$2:$D$4919,MATCH($A1522,'DETALLE CRONOLÓGICO'!$A$2:$A$4919,0)+$E1522-1)</f>
        <v/>
      </c>
      <c r="I1522" s="5">
        <f>IFERROR(SUMIFS('DETALLE CRONOLÓGICO'!$L$2:$L$4919,'DETALLE CRONOLÓGICO'!$A$2:$A$4919,$A1522)/$F1522,"")</f>
        <v/>
      </c>
      <c r="J1522" s="6">
        <f>IFERROR(SUMIFS('DETALLE CRONOLÓGICO'!$K$2:$K$4919,'DETALLE CRONOLÓGICO'!$A$2:$A$4919,$A1522)/$E1522,"")</f>
        <v/>
      </c>
      <c r="K1522" s="6">
        <f>_xlfn.MINIFS('DETALLE CRONOLÓGICO'!$K$2:$K$4919,'DETALLE CRONOLÓGICO'!$A$2:$A$4919,$A1522)</f>
        <v/>
      </c>
      <c r="L1522" s="6">
        <f>_xlfn.MAXIFS('DETALLE CRONOLÓGICO'!$K$2:$K$4919,'DETALLE CRONOLÓGICO'!$A$2:$A$4919,$A1522)</f>
        <v/>
      </c>
      <c r="M1522" s="6">
        <f>INDEX('DETALLE CRONOLÓGICO'!$K$2:$K$4919,MATCH($A1522,'DETALLE CRONOLÓGICO'!$A$2:$A$4919,0)+$E1522-1)</f>
        <v/>
      </c>
      <c r="N1522" s="7">
        <f>IFERROR($M1522/INDEX('DETALLE CRONOLÓGICO'!$K$2:$K$4919,MATCH($A1522,'DETALLE CRONOLÓGICO'!$A$2:$A$4919,0))-1,"")</f>
        <v/>
      </c>
      <c r="O1522" s="6">
        <f>IFERROR($I1522*3,"")</f>
        <v/>
      </c>
      <c r="P1522" s="6">
        <f>IFERROR($I1522*3.5,"")</f>
        <v/>
      </c>
      <c r="Q1522" s="6">
        <f>IFERROR($I1522*4,"")</f>
        <v/>
      </c>
      <c r="R1522" s="6" t="n">
        <v>460</v>
      </c>
      <c r="S1522" s="4" t="n">
        <v>0</v>
      </c>
      <c r="T1522" s="1" t="inlineStr">
        <is>
          <t>active</t>
        </is>
      </c>
      <c r="U1522" s="8" t="n"/>
      <c r="V1522" s="1" t="inlineStr">
        <is>
          <t>SIN PRECIO</t>
        </is>
      </c>
    </row>
    <row r="1523">
      <c r="A1523" s="1" t="inlineStr">
        <is>
          <t>665bbe3eb9388</t>
        </is>
      </c>
      <c r="B1523" s="1" t="inlineStr">
        <is>
          <t>COLLAR LOVE SILVER</t>
        </is>
      </c>
      <c r="C1523" s="1" t="inlineStr">
        <is>
          <t>Default Title</t>
        </is>
      </c>
      <c r="D1523" s="1" t="inlineStr">
        <is>
          <t>HAIFENG</t>
        </is>
      </c>
      <c r="E1523" s="4">
        <f>COUNTIF('DETALLE CRONOLÓGICO'!$A$2:$A$4919,$A1523)</f>
        <v/>
      </c>
      <c r="F1523" s="4">
        <f>SUMIFS('DETALLE CRONOLÓGICO'!$I$2:$I$4919,'DETALLE CRONOLÓGICO'!$A$2:$A$4919,$A1523)</f>
        <v/>
      </c>
      <c r="G1523" s="1">
        <f>INDEX('DETALLE CRONOLÓGICO'!$D$2:$D$4919,MATCH($A1523,'DETALLE CRONOLÓGICO'!$A$2:$A$4919,0))</f>
        <v/>
      </c>
      <c r="H1523" s="1">
        <f>INDEX('DETALLE CRONOLÓGICO'!$D$2:$D$4919,MATCH($A1523,'DETALLE CRONOLÓGICO'!$A$2:$A$4919,0)+$E1523-1)</f>
        <v/>
      </c>
      <c r="I1523" s="5">
        <f>IFERROR(SUMIFS('DETALLE CRONOLÓGICO'!$L$2:$L$4919,'DETALLE CRONOLÓGICO'!$A$2:$A$4919,$A1523)/$F1523,"")</f>
        <v/>
      </c>
      <c r="J1523" s="6">
        <f>IFERROR(SUMIFS('DETALLE CRONOLÓGICO'!$K$2:$K$4919,'DETALLE CRONOLÓGICO'!$A$2:$A$4919,$A1523)/$E1523,"")</f>
        <v/>
      </c>
      <c r="K1523" s="6">
        <f>_xlfn.MINIFS('DETALLE CRONOLÓGICO'!$K$2:$K$4919,'DETALLE CRONOLÓGICO'!$A$2:$A$4919,$A1523)</f>
        <v/>
      </c>
      <c r="L1523" s="6">
        <f>_xlfn.MAXIFS('DETALLE CRONOLÓGICO'!$K$2:$K$4919,'DETALLE CRONOLÓGICO'!$A$2:$A$4919,$A1523)</f>
        <v/>
      </c>
      <c r="M1523" s="6">
        <f>INDEX('DETALLE CRONOLÓGICO'!$K$2:$K$4919,MATCH($A1523,'DETALLE CRONOLÓGICO'!$A$2:$A$4919,0)+$E1523-1)</f>
        <v/>
      </c>
      <c r="N1523" s="7">
        <f>IFERROR($M1523/INDEX('DETALLE CRONOLÓGICO'!$K$2:$K$4919,MATCH($A1523,'DETALLE CRONOLÓGICO'!$A$2:$A$4919,0))-1,"")</f>
        <v/>
      </c>
      <c r="O1523" s="6">
        <f>IFERROR($I1523*3,"")</f>
        <v/>
      </c>
      <c r="P1523" s="6">
        <f>IFERROR($I1523*3.5,"")</f>
        <v/>
      </c>
      <c r="Q1523" s="6">
        <f>IFERROR($I1523*4,"")</f>
        <v/>
      </c>
      <c r="R1523" s="6" t="n">
        <v>460</v>
      </c>
      <c r="S1523" s="4" t="n">
        <v>5</v>
      </c>
      <c r="T1523" s="1" t="inlineStr">
        <is>
          <t>active</t>
        </is>
      </c>
      <c r="U1523" s="8" t="n"/>
      <c r="V1523" s="1" t="inlineStr">
        <is>
          <t>SIN PRECIO</t>
        </is>
      </c>
    </row>
    <row r="1524">
      <c r="A1524" s="1" t="inlineStr">
        <is>
          <t>665bbe4f55773</t>
        </is>
      </c>
      <c r="B1524" s="1" t="inlineStr">
        <is>
          <t>COLLAR SERPENTI SILVER LISO</t>
        </is>
      </c>
      <c r="C1524" s="1" t="inlineStr">
        <is>
          <t>Regular</t>
        </is>
      </c>
      <c r="D1524" s="1" t="inlineStr">
        <is>
          <t>NANCY</t>
        </is>
      </c>
      <c r="E1524" s="4">
        <f>COUNTIF('DETALLE CRONOLÓGICO'!$A$2:$A$4919,$A1524)</f>
        <v/>
      </c>
      <c r="F1524" s="4">
        <f>SUMIFS('DETALLE CRONOLÓGICO'!$I$2:$I$4919,'DETALLE CRONOLÓGICO'!$A$2:$A$4919,$A1524)</f>
        <v/>
      </c>
      <c r="G1524" s="1">
        <f>INDEX('DETALLE CRONOLÓGICO'!$D$2:$D$4919,MATCH($A1524,'DETALLE CRONOLÓGICO'!$A$2:$A$4919,0))</f>
        <v/>
      </c>
      <c r="H1524" s="1">
        <f>INDEX('DETALLE CRONOLÓGICO'!$D$2:$D$4919,MATCH($A1524,'DETALLE CRONOLÓGICO'!$A$2:$A$4919,0)+$E1524-1)</f>
        <v/>
      </c>
      <c r="I1524" s="5">
        <f>IFERROR(SUMIFS('DETALLE CRONOLÓGICO'!$L$2:$L$4919,'DETALLE CRONOLÓGICO'!$A$2:$A$4919,$A1524)/$F1524,"")</f>
        <v/>
      </c>
      <c r="J1524" s="6">
        <f>IFERROR(SUMIFS('DETALLE CRONOLÓGICO'!$K$2:$K$4919,'DETALLE CRONOLÓGICO'!$A$2:$A$4919,$A1524)/$E1524,"")</f>
        <v/>
      </c>
      <c r="K1524" s="6">
        <f>_xlfn.MINIFS('DETALLE CRONOLÓGICO'!$K$2:$K$4919,'DETALLE CRONOLÓGICO'!$A$2:$A$4919,$A1524)</f>
        <v/>
      </c>
      <c r="L1524" s="6">
        <f>_xlfn.MAXIFS('DETALLE CRONOLÓGICO'!$K$2:$K$4919,'DETALLE CRONOLÓGICO'!$A$2:$A$4919,$A1524)</f>
        <v/>
      </c>
      <c r="M1524" s="6">
        <f>INDEX('DETALLE CRONOLÓGICO'!$K$2:$K$4919,MATCH($A1524,'DETALLE CRONOLÓGICO'!$A$2:$A$4919,0)+$E1524-1)</f>
        <v/>
      </c>
      <c r="N1524" s="7">
        <f>IFERROR($M1524/INDEX('DETALLE CRONOLÓGICO'!$K$2:$K$4919,MATCH($A1524,'DETALLE CRONOLÓGICO'!$A$2:$A$4919,0))-1,"")</f>
        <v/>
      </c>
      <c r="O1524" s="6">
        <f>IFERROR($I1524*3,"")</f>
        <v/>
      </c>
      <c r="P1524" s="6">
        <f>IFERROR($I1524*3.5,"")</f>
        <v/>
      </c>
      <c r="Q1524" s="6">
        <f>IFERROR($I1524*4,"")</f>
        <v/>
      </c>
      <c r="R1524" s="6" t="n">
        <v>899</v>
      </c>
      <c r="S1524" s="4" t="n">
        <v>0</v>
      </c>
      <c r="T1524" s="1" t="inlineStr">
        <is>
          <t>active</t>
        </is>
      </c>
      <c r="U1524" s="8" t="n"/>
      <c r="V1524" s="1" t="inlineStr">
        <is>
          <t>SIN PRECIO</t>
        </is>
      </c>
    </row>
    <row r="1525">
      <c r="A1525" s="1" t="inlineStr">
        <is>
          <t>665bbe801cd41</t>
        </is>
      </c>
      <c r="B1525" s="1" t="inlineStr">
        <is>
          <t>COLLAR TREBOL ROSEGOLD-RED</t>
        </is>
      </c>
      <c r="C1525" s="1" t="inlineStr">
        <is>
          <t>High Quality 45cm y dije 15mm</t>
        </is>
      </c>
      <c r="D1525" s="1" t="inlineStr">
        <is>
          <t>HAIFENG</t>
        </is>
      </c>
      <c r="E1525" s="4">
        <f>COUNTIF('DETALLE CRONOLÓGICO'!$A$2:$A$4919,$A1525)</f>
        <v/>
      </c>
      <c r="F1525" s="4">
        <f>SUMIFS('DETALLE CRONOLÓGICO'!$I$2:$I$4919,'DETALLE CRONOLÓGICO'!$A$2:$A$4919,$A1525)</f>
        <v/>
      </c>
      <c r="G1525" s="1">
        <f>INDEX('DETALLE CRONOLÓGICO'!$D$2:$D$4919,MATCH($A1525,'DETALLE CRONOLÓGICO'!$A$2:$A$4919,0))</f>
        <v/>
      </c>
      <c r="H1525" s="1">
        <f>INDEX('DETALLE CRONOLÓGICO'!$D$2:$D$4919,MATCH($A1525,'DETALLE CRONOLÓGICO'!$A$2:$A$4919,0)+$E1525-1)</f>
        <v/>
      </c>
      <c r="I1525" s="5">
        <f>IFERROR(SUMIFS('DETALLE CRONOLÓGICO'!$L$2:$L$4919,'DETALLE CRONOLÓGICO'!$A$2:$A$4919,$A1525)/$F1525,"")</f>
        <v/>
      </c>
      <c r="J1525" s="6">
        <f>IFERROR(SUMIFS('DETALLE CRONOLÓGICO'!$K$2:$K$4919,'DETALLE CRONOLÓGICO'!$A$2:$A$4919,$A1525)/$E1525,"")</f>
        <v/>
      </c>
      <c r="K1525" s="6">
        <f>_xlfn.MINIFS('DETALLE CRONOLÓGICO'!$K$2:$K$4919,'DETALLE CRONOLÓGICO'!$A$2:$A$4919,$A1525)</f>
        <v/>
      </c>
      <c r="L1525" s="6">
        <f>_xlfn.MAXIFS('DETALLE CRONOLÓGICO'!$K$2:$K$4919,'DETALLE CRONOLÓGICO'!$A$2:$A$4919,$A1525)</f>
        <v/>
      </c>
      <c r="M1525" s="6">
        <f>INDEX('DETALLE CRONOLÓGICO'!$K$2:$K$4919,MATCH($A1525,'DETALLE CRONOLÓGICO'!$A$2:$A$4919,0)+$E1525-1)</f>
        <v/>
      </c>
      <c r="N1525" s="7">
        <f>IFERROR($M1525/INDEX('DETALLE CRONOLÓGICO'!$K$2:$K$4919,MATCH($A1525,'DETALLE CRONOLÓGICO'!$A$2:$A$4919,0))-1,"")</f>
        <v/>
      </c>
      <c r="O1525" s="6">
        <f>IFERROR($I1525*3,"")</f>
        <v/>
      </c>
      <c r="P1525" s="6">
        <f>IFERROR($I1525*3.5,"")</f>
        <v/>
      </c>
      <c r="Q1525" s="6">
        <f>IFERROR($I1525*4,"")</f>
        <v/>
      </c>
      <c r="R1525" s="6" t="n">
        <v>899</v>
      </c>
      <c r="S1525" s="4" t="n">
        <v>1</v>
      </c>
      <c r="T1525" s="1" t="inlineStr">
        <is>
          <t>active</t>
        </is>
      </c>
      <c r="U1525" s="8" t="n"/>
      <c r="V1525" s="1" t="inlineStr">
        <is>
          <t>SIN PRECIO</t>
        </is>
      </c>
    </row>
    <row r="1526">
      <c r="A1526" s="1" t="inlineStr">
        <is>
          <t>665bbe8b6904f</t>
        </is>
      </c>
      <c r="B1526" s="1" t="inlineStr">
        <is>
          <t>COLLAR TRES AROS</t>
        </is>
      </c>
      <c r="C1526" s="1" t="inlineStr">
        <is>
          <t>45cm</t>
        </is>
      </c>
      <c r="D1526" s="1" t="inlineStr">
        <is>
          <t>HAIFENG</t>
        </is>
      </c>
      <c r="E1526" s="4">
        <f>COUNTIF('DETALLE CRONOLÓGICO'!$A$2:$A$4919,$A1526)</f>
        <v/>
      </c>
      <c r="F1526" s="4">
        <f>SUMIFS('DETALLE CRONOLÓGICO'!$I$2:$I$4919,'DETALLE CRONOLÓGICO'!$A$2:$A$4919,$A1526)</f>
        <v/>
      </c>
      <c r="G1526" s="1">
        <f>INDEX('DETALLE CRONOLÓGICO'!$D$2:$D$4919,MATCH($A1526,'DETALLE CRONOLÓGICO'!$A$2:$A$4919,0))</f>
        <v/>
      </c>
      <c r="H1526" s="1">
        <f>INDEX('DETALLE CRONOLÓGICO'!$D$2:$D$4919,MATCH($A1526,'DETALLE CRONOLÓGICO'!$A$2:$A$4919,0)+$E1526-1)</f>
        <v/>
      </c>
      <c r="I1526" s="5">
        <f>IFERROR(SUMIFS('DETALLE CRONOLÓGICO'!$L$2:$L$4919,'DETALLE CRONOLÓGICO'!$A$2:$A$4919,$A1526)/$F1526,"")</f>
        <v/>
      </c>
      <c r="J1526" s="6">
        <f>IFERROR(SUMIFS('DETALLE CRONOLÓGICO'!$K$2:$K$4919,'DETALLE CRONOLÓGICO'!$A$2:$A$4919,$A1526)/$E1526,"")</f>
        <v/>
      </c>
      <c r="K1526" s="6">
        <f>_xlfn.MINIFS('DETALLE CRONOLÓGICO'!$K$2:$K$4919,'DETALLE CRONOLÓGICO'!$A$2:$A$4919,$A1526)</f>
        <v/>
      </c>
      <c r="L1526" s="6">
        <f>_xlfn.MAXIFS('DETALLE CRONOLÓGICO'!$K$2:$K$4919,'DETALLE CRONOLÓGICO'!$A$2:$A$4919,$A1526)</f>
        <v/>
      </c>
      <c r="M1526" s="6">
        <f>INDEX('DETALLE CRONOLÓGICO'!$K$2:$K$4919,MATCH($A1526,'DETALLE CRONOLÓGICO'!$A$2:$A$4919,0)+$E1526-1)</f>
        <v/>
      </c>
      <c r="N1526" s="7">
        <f>IFERROR($M1526/INDEX('DETALLE CRONOLÓGICO'!$K$2:$K$4919,MATCH($A1526,'DETALLE CRONOLÓGICO'!$A$2:$A$4919,0))-1,"")</f>
        <v/>
      </c>
      <c r="O1526" s="6">
        <f>IFERROR($I1526*3,"")</f>
        <v/>
      </c>
      <c r="P1526" s="6">
        <f>IFERROR($I1526*3.5,"")</f>
        <v/>
      </c>
      <c r="Q1526" s="6">
        <f>IFERROR($I1526*4,"")</f>
        <v/>
      </c>
      <c r="R1526" s="6" t="n">
        <v>580</v>
      </c>
      <c r="S1526" s="4" t="n">
        <v>2</v>
      </c>
      <c r="T1526" s="1" t="inlineStr">
        <is>
          <t>active</t>
        </is>
      </c>
      <c r="U1526" s="8" t="n"/>
      <c r="V1526" s="1" t="inlineStr">
        <is>
          <t>SIN PRECIO</t>
        </is>
      </c>
    </row>
    <row r="1527">
      <c r="A1527" s="1" t="inlineStr">
        <is>
          <t>665bc0b8d1cab-2</t>
        </is>
      </c>
      <c r="B1527" s="1" t="inlineStr">
        <is>
          <t>LENTES C GOLD SLIM BLACK</t>
        </is>
      </c>
      <c r="C1527" s="1" t="inlineStr">
        <is>
          <t>REGULAR</t>
        </is>
      </c>
      <c r="D1527" s="1" t="inlineStr">
        <is>
          <t>CYNTHIA</t>
        </is>
      </c>
      <c r="E1527" s="4">
        <f>COUNTIF('DETALLE CRONOLÓGICO'!$A$2:$A$4919,$A1527)</f>
        <v/>
      </c>
      <c r="F1527" s="4">
        <f>SUMIFS('DETALLE CRONOLÓGICO'!$I$2:$I$4919,'DETALLE CRONOLÓGICO'!$A$2:$A$4919,$A1527)</f>
        <v/>
      </c>
      <c r="G1527" s="1">
        <f>INDEX('DETALLE CRONOLÓGICO'!$D$2:$D$4919,MATCH($A1527,'DETALLE CRONOLÓGICO'!$A$2:$A$4919,0))</f>
        <v/>
      </c>
      <c r="H1527" s="1">
        <f>INDEX('DETALLE CRONOLÓGICO'!$D$2:$D$4919,MATCH($A1527,'DETALLE CRONOLÓGICO'!$A$2:$A$4919,0)+$E1527-1)</f>
        <v/>
      </c>
      <c r="I1527" s="5">
        <f>IFERROR(SUMIFS('DETALLE CRONOLÓGICO'!$L$2:$L$4919,'DETALLE CRONOLÓGICO'!$A$2:$A$4919,$A1527)/$F1527,"")</f>
        <v/>
      </c>
      <c r="J1527" s="6">
        <f>IFERROR(SUMIFS('DETALLE CRONOLÓGICO'!$K$2:$K$4919,'DETALLE CRONOLÓGICO'!$A$2:$A$4919,$A1527)/$E1527,"")</f>
        <v/>
      </c>
      <c r="K1527" s="6">
        <f>_xlfn.MINIFS('DETALLE CRONOLÓGICO'!$K$2:$K$4919,'DETALLE CRONOLÓGICO'!$A$2:$A$4919,$A1527)</f>
        <v/>
      </c>
      <c r="L1527" s="6">
        <f>_xlfn.MAXIFS('DETALLE CRONOLÓGICO'!$K$2:$K$4919,'DETALLE CRONOLÓGICO'!$A$2:$A$4919,$A1527)</f>
        <v/>
      </c>
      <c r="M1527" s="6">
        <f>INDEX('DETALLE CRONOLÓGICO'!$K$2:$K$4919,MATCH($A1527,'DETALLE CRONOLÓGICO'!$A$2:$A$4919,0)+$E1527-1)</f>
        <v/>
      </c>
      <c r="N1527" s="7">
        <f>IFERROR($M1527/INDEX('DETALLE CRONOLÓGICO'!$K$2:$K$4919,MATCH($A1527,'DETALLE CRONOLÓGICO'!$A$2:$A$4919,0))-1,"")</f>
        <v/>
      </c>
      <c r="O1527" s="6">
        <f>IFERROR($I1527*3,"")</f>
        <v/>
      </c>
      <c r="P1527" s="6">
        <f>IFERROR($I1527*3.5,"")</f>
        <v/>
      </c>
      <c r="Q1527" s="6">
        <f>IFERROR($I1527*4,"")</f>
        <v/>
      </c>
      <c r="R1527" s="6" t="n">
        <v>950</v>
      </c>
      <c r="S1527" s="4" t="n">
        <v>0</v>
      </c>
      <c r="T1527" s="1" t="inlineStr">
        <is>
          <t>active</t>
        </is>
      </c>
      <c r="U1527" s="8" t="n"/>
      <c r="V1527" s="1" t="inlineStr">
        <is>
          <t>SIN PRECIO</t>
        </is>
      </c>
    </row>
    <row r="1528">
      <c r="A1528" s="1" t="inlineStr">
        <is>
          <t>665bc0bb805f5</t>
        </is>
      </c>
      <c r="B1528" s="1" t="inlineStr">
        <is>
          <t>LENTES C OVAL GOLD BLACK</t>
        </is>
      </c>
      <c r="C1528" s="1" t="inlineStr">
        <is>
          <t>REGULAR</t>
        </is>
      </c>
      <c r="D1528" s="1" t="inlineStr">
        <is>
          <t>CYNTHIA</t>
        </is>
      </c>
      <c r="E1528" s="4">
        <f>COUNTIF('DETALLE CRONOLÓGICO'!$A$2:$A$4919,$A1528)</f>
        <v/>
      </c>
      <c r="F1528" s="4">
        <f>SUMIFS('DETALLE CRONOLÓGICO'!$I$2:$I$4919,'DETALLE CRONOLÓGICO'!$A$2:$A$4919,$A1528)</f>
        <v/>
      </c>
      <c r="G1528" s="1">
        <f>INDEX('DETALLE CRONOLÓGICO'!$D$2:$D$4919,MATCH($A1528,'DETALLE CRONOLÓGICO'!$A$2:$A$4919,0))</f>
        <v/>
      </c>
      <c r="H1528" s="1">
        <f>INDEX('DETALLE CRONOLÓGICO'!$D$2:$D$4919,MATCH($A1528,'DETALLE CRONOLÓGICO'!$A$2:$A$4919,0)+$E1528-1)</f>
        <v/>
      </c>
      <c r="I1528" s="5">
        <f>IFERROR(SUMIFS('DETALLE CRONOLÓGICO'!$L$2:$L$4919,'DETALLE CRONOLÓGICO'!$A$2:$A$4919,$A1528)/$F1528,"")</f>
        <v/>
      </c>
      <c r="J1528" s="6">
        <f>IFERROR(SUMIFS('DETALLE CRONOLÓGICO'!$K$2:$K$4919,'DETALLE CRONOLÓGICO'!$A$2:$A$4919,$A1528)/$E1528,"")</f>
        <v/>
      </c>
      <c r="K1528" s="6">
        <f>_xlfn.MINIFS('DETALLE CRONOLÓGICO'!$K$2:$K$4919,'DETALLE CRONOLÓGICO'!$A$2:$A$4919,$A1528)</f>
        <v/>
      </c>
      <c r="L1528" s="6">
        <f>_xlfn.MAXIFS('DETALLE CRONOLÓGICO'!$K$2:$K$4919,'DETALLE CRONOLÓGICO'!$A$2:$A$4919,$A1528)</f>
        <v/>
      </c>
      <c r="M1528" s="6">
        <f>INDEX('DETALLE CRONOLÓGICO'!$K$2:$K$4919,MATCH($A1528,'DETALLE CRONOLÓGICO'!$A$2:$A$4919,0)+$E1528-1)</f>
        <v/>
      </c>
      <c r="N1528" s="7">
        <f>IFERROR($M1528/INDEX('DETALLE CRONOLÓGICO'!$K$2:$K$4919,MATCH($A1528,'DETALLE CRONOLÓGICO'!$A$2:$A$4919,0))-1,"")</f>
        <v/>
      </c>
      <c r="O1528" s="6">
        <f>IFERROR($I1528*3,"")</f>
        <v/>
      </c>
      <c r="P1528" s="6">
        <f>IFERROR($I1528*3.5,"")</f>
        <v/>
      </c>
      <c r="Q1528" s="6">
        <f>IFERROR($I1528*4,"")</f>
        <v/>
      </c>
      <c r="R1528" s="6" t="n">
        <v>3199</v>
      </c>
      <c r="S1528" s="4" t="n">
        <v>3</v>
      </c>
      <c r="T1528" s="1" t="inlineStr">
        <is>
          <t>active</t>
        </is>
      </c>
      <c r="U1528" s="8" t="n"/>
      <c r="V1528" s="1" t="inlineStr">
        <is>
          <t>SIN PRECIO</t>
        </is>
      </c>
    </row>
    <row r="1529">
      <c r="A1529" s="1" t="inlineStr">
        <is>
          <t>665bc135c2aa8</t>
        </is>
      </c>
      <c r="B1529" s="1" t="inlineStr">
        <is>
          <t>PULSERA C KNOT SILVER</t>
        </is>
      </c>
      <c r="C1529" s="1" t="inlineStr">
        <is>
          <t>AJUSTABLE</t>
        </is>
      </c>
      <c r="D1529" s="1" t="inlineStr">
        <is>
          <t>CYNTHIA</t>
        </is>
      </c>
      <c r="E1529" s="4">
        <f>COUNTIF('DETALLE CRONOLÓGICO'!$A$2:$A$4919,$A1529)</f>
        <v/>
      </c>
      <c r="F1529" s="4">
        <f>SUMIFS('DETALLE CRONOLÓGICO'!$I$2:$I$4919,'DETALLE CRONOLÓGICO'!$A$2:$A$4919,$A1529)</f>
        <v/>
      </c>
      <c r="G1529" s="1">
        <f>INDEX('DETALLE CRONOLÓGICO'!$D$2:$D$4919,MATCH($A1529,'DETALLE CRONOLÓGICO'!$A$2:$A$4919,0))</f>
        <v/>
      </c>
      <c r="H1529" s="1">
        <f>INDEX('DETALLE CRONOLÓGICO'!$D$2:$D$4919,MATCH($A1529,'DETALLE CRONOLÓGICO'!$A$2:$A$4919,0)+$E1529-1)</f>
        <v/>
      </c>
      <c r="I1529" s="5">
        <f>IFERROR(SUMIFS('DETALLE CRONOLÓGICO'!$L$2:$L$4919,'DETALLE CRONOLÓGICO'!$A$2:$A$4919,$A1529)/$F1529,"")</f>
        <v/>
      </c>
      <c r="J1529" s="6">
        <f>IFERROR(SUMIFS('DETALLE CRONOLÓGICO'!$K$2:$K$4919,'DETALLE CRONOLÓGICO'!$A$2:$A$4919,$A1529)/$E1529,"")</f>
        <v/>
      </c>
      <c r="K1529" s="6">
        <f>_xlfn.MINIFS('DETALLE CRONOLÓGICO'!$K$2:$K$4919,'DETALLE CRONOLÓGICO'!$A$2:$A$4919,$A1529)</f>
        <v/>
      </c>
      <c r="L1529" s="6">
        <f>_xlfn.MAXIFS('DETALLE CRONOLÓGICO'!$K$2:$K$4919,'DETALLE CRONOLÓGICO'!$A$2:$A$4919,$A1529)</f>
        <v/>
      </c>
      <c r="M1529" s="6">
        <f>INDEX('DETALLE CRONOLÓGICO'!$K$2:$K$4919,MATCH($A1529,'DETALLE CRONOLÓGICO'!$A$2:$A$4919,0)+$E1529-1)</f>
        <v/>
      </c>
      <c r="N1529" s="7">
        <f>IFERROR($M1529/INDEX('DETALLE CRONOLÓGICO'!$K$2:$K$4919,MATCH($A1529,'DETALLE CRONOLÓGICO'!$A$2:$A$4919,0))-1,"")</f>
        <v/>
      </c>
      <c r="O1529" s="6">
        <f>IFERROR($I1529*3,"")</f>
        <v/>
      </c>
      <c r="P1529" s="6">
        <f>IFERROR($I1529*3.5,"")</f>
        <v/>
      </c>
      <c r="Q1529" s="6">
        <f>IFERROR($I1529*4,"")</f>
        <v/>
      </c>
      <c r="R1529" s="6" t="n">
        <v>1149</v>
      </c>
      <c r="S1529" s="4" t="n">
        <v>6</v>
      </c>
      <c r="T1529" s="1" t="inlineStr">
        <is>
          <t>active</t>
        </is>
      </c>
      <c r="U1529" s="8" t="n"/>
      <c r="V1529" s="1" t="inlineStr">
        <is>
          <t>SIN PRECIO</t>
        </is>
      </c>
    </row>
    <row r="1530">
      <c r="A1530" s="1" t="inlineStr">
        <is>
          <t>665bcd30f2870</t>
        </is>
      </c>
      <c r="B1530" s="1" t="inlineStr">
        <is>
          <t>PULSERA DY ESCLAVA</t>
        </is>
      </c>
      <c r="C1530" s="1" t="inlineStr">
        <is>
          <t>17cm</t>
        </is>
      </c>
      <c r="D1530" s="1" t="inlineStr">
        <is>
          <t>CYNTHIA</t>
        </is>
      </c>
      <c r="E1530" s="4">
        <f>COUNTIF('DETALLE CRONOLÓGICO'!$A$2:$A$4919,$A1530)</f>
        <v/>
      </c>
      <c r="F1530" s="4">
        <f>SUMIFS('DETALLE CRONOLÓGICO'!$I$2:$I$4919,'DETALLE CRONOLÓGICO'!$A$2:$A$4919,$A1530)</f>
        <v/>
      </c>
      <c r="G1530" s="1">
        <f>INDEX('DETALLE CRONOLÓGICO'!$D$2:$D$4919,MATCH($A1530,'DETALLE CRONOLÓGICO'!$A$2:$A$4919,0))</f>
        <v/>
      </c>
      <c r="H1530" s="1">
        <f>INDEX('DETALLE CRONOLÓGICO'!$D$2:$D$4919,MATCH($A1530,'DETALLE CRONOLÓGICO'!$A$2:$A$4919,0)+$E1530-1)</f>
        <v/>
      </c>
      <c r="I1530" s="5">
        <f>IFERROR(SUMIFS('DETALLE CRONOLÓGICO'!$L$2:$L$4919,'DETALLE CRONOLÓGICO'!$A$2:$A$4919,$A1530)/$F1530,"")</f>
        <v/>
      </c>
      <c r="J1530" s="6">
        <f>IFERROR(SUMIFS('DETALLE CRONOLÓGICO'!$K$2:$K$4919,'DETALLE CRONOLÓGICO'!$A$2:$A$4919,$A1530)/$E1530,"")</f>
        <v/>
      </c>
      <c r="K1530" s="6">
        <f>_xlfn.MINIFS('DETALLE CRONOLÓGICO'!$K$2:$K$4919,'DETALLE CRONOLÓGICO'!$A$2:$A$4919,$A1530)</f>
        <v/>
      </c>
      <c r="L1530" s="6">
        <f>_xlfn.MAXIFS('DETALLE CRONOLÓGICO'!$K$2:$K$4919,'DETALLE CRONOLÓGICO'!$A$2:$A$4919,$A1530)</f>
        <v/>
      </c>
      <c r="M1530" s="6">
        <f>INDEX('DETALLE CRONOLÓGICO'!$K$2:$K$4919,MATCH($A1530,'DETALLE CRONOLÓGICO'!$A$2:$A$4919,0)+$E1530-1)</f>
        <v/>
      </c>
      <c r="N1530" s="7">
        <f>IFERROR($M1530/INDEX('DETALLE CRONOLÓGICO'!$K$2:$K$4919,MATCH($A1530,'DETALLE CRONOLÓGICO'!$A$2:$A$4919,0))-1,"")</f>
        <v/>
      </c>
      <c r="O1530" s="6">
        <f>IFERROR($I1530*3,"")</f>
        <v/>
      </c>
      <c r="P1530" s="6">
        <f>IFERROR($I1530*3.5,"")</f>
        <v/>
      </c>
      <c r="Q1530" s="6">
        <f>IFERROR($I1530*4,"")</f>
        <v/>
      </c>
      <c r="R1530" s="6" t="n">
        <v>1420</v>
      </c>
      <c r="S1530" s="4" t="n">
        <v>1</v>
      </c>
      <c r="T1530" s="1" t="inlineStr">
        <is>
          <t>active</t>
        </is>
      </c>
      <c r="U1530" s="8" t="n"/>
      <c r="V1530" s="1" t="inlineStr">
        <is>
          <t>SIN PRECIO</t>
        </is>
      </c>
    </row>
    <row r="1531">
      <c r="A1531" s="1" t="inlineStr">
        <is>
          <t>665bce15b9cc7</t>
        </is>
      </c>
      <c r="B1531" s="1" t="inlineStr">
        <is>
          <t>PULSERA LV DE CUERO LOGO</t>
        </is>
      </c>
      <c r="C1531" s="1" t="inlineStr">
        <is>
          <t>16cm ajustable a 18cm</t>
        </is>
      </c>
      <c r="D1531" s="1" t="inlineStr">
        <is>
          <t>CYNTHIA</t>
        </is>
      </c>
      <c r="E1531" s="4">
        <f>COUNTIF('DETALLE CRONOLÓGICO'!$A$2:$A$4919,$A1531)</f>
        <v/>
      </c>
      <c r="F1531" s="4">
        <f>SUMIFS('DETALLE CRONOLÓGICO'!$I$2:$I$4919,'DETALLE CRONOLÓGICO'!$A$2:$A$4919,$A1531)</f>
        <v/>
      </c>
      <c r="G1531" s="1">
        <f>INDEX('DETALLE CRONOLÓGICO'!$D$2:$D$4919,MATCH($A1531,'DETALLE CRONOLÓGICO'!$A$2:$A$4919,0))</f>
        <v/>
      </c>
      <c r="H1531" s="1">
        <f>INDEX('DETALLE CRONOLÓGICO'!$D$2:$D$4919,MATCH($A1531,'DETALLE CRONOLÓGICO'!$A$2:$A$4919,0)+$E1531-1)</f>
        <v/>
      </c>
      <c r="I1531" s="5">
        <f>IFERROR(SUMIFS('DETALLE CRONOLÓGICO'!$L$2:$L$4919,'DETALLE CRONOLÓGICO'!$A$2:$A$4919,$A1531)/$F1531,"")</f>
        <v/>
      </c>
      <c r="J1531" s="6">
        <f>IFERROR(SUMIFS('DETALLE CRONOLÓGICO'!$K$2:$K$4919,'DETALLE CRONOLÓGICO'!$A$2:$A$4919,$A1531)/$E1531,"")</f>
        <v/>
      </c>
      <c r="K1531" s="6">
        <f>_xlfn.MINIFS('DETALLE CRONOLÓGICO'!$K$2:$K$4919,'DETALLE CRONOLÓGICO'!$A$2:$A$4919,$A1531)</f>
        <v/>
      </c>
      <c r="L1531" s="6">
        <f>_xlfn.MAXIFS('DETALLE CRONOLÓGICO'!$K$2:$K$4919,'DETALLE CRONOLÓGICO'!$A$2:$A$4919,$A1531)</f>
        <v/>
      </c>
      <c r="M1531" s="6">
        <f>INDEX('DETALLE CRONOLÓGICO'!$K$2:$K$4919,MATCH($A1531,'DETALLE CRONOLÓGICO'!$A$2:$A$4919,0)+$E1531-1)</f>
        <v/>
      </c>
      <c r="N1531" s="7">
        <f>IFERROR($M1531/INDEX('DETALLE CRONOLÓGICO'!$K$2:$K$4919,MATCH($A1531,'DETALLE CRONOLÓGICO'!$A$2:$A$4919,0))-1,"")</f>
        <v/>
      </c>
      <c r="O1531" s="6">
        <f>IFERROR($I1531*3,"")</f>
        <v/>
      </c>
      <c r="P1531" s="6">
        <f>IFERROR($I1531*3.5,"")</f>
        <v/>
      </c>
      <c r="Q1531" s="6">
        <f>IFERROR($I1531*4,"")</f>
        <v/>
      </c>
      <c r="R1531" s="6" t="n">
        <v>1005</v>
      </c>
      <c r="S1531" s="4" t="n">
        <v>4</v>
      </c>
      <c r="T1531" s="1" t="inlineStr">
        <is>
          <t>active</t>
        </is>
      </c>
      <c r="U1531" s="8" t="n"/>
      <c r="V1531" s="1" t="inlineStr">
        <is>
          <t>SIN PRECIO</t>
        </is>
      </c>
    </row>
    <row r="1532">
      <c r="A1532" s="1" t="inlineStr">
        <is>
          <t>665bce42479e9</t>
        </is>
      </c>
      <c r="B1532" s="1" t="inlineStr">
        <is>
          <t>PULSERA P STARS</t>
        </is>
      </c>
      <c r="C1532" s="1" t="inlineStr">
        <is>
          <t>16cm extensión de 4cm</t>
        </is>
      </c>
      <c r="D1532" s="1" t="inlineStr">
        <is>
          <t>CYNTHIA</t>
        </is>
      </c>
      <c r="E1532" s="4">
        <f>COUNTIF('DETALLE CRONOLÓGICO'!$A$2:$A$4919,$A1532)</f>
        <v/>
      </c>
      <c r="F1532" s="4">
        <f>SUMIFS('DETALLE CRONOLÓGICO'!$I$2:$I$4919,'DETALLE CRONOLÓGICO'!$A$2:$A$4919,$A1532)</f>
        <v/>
      </c>
      <c r="G1532" s="1">
        <f>INDEX('DETALLE CRONOLÓGICO'!$D$2:$D$4919,MATCH($A1532,'DETALLE CRONOLÓGICO'!$A$2:$A$4919,0))</f>
        <v/>
      </c>
      <c r="H1532" s="1">
        <f>INDEX('DETALLE CRONOLÓGICO'!$D$2:$D$4919,MATCH($A1532,'DETALLE CRONOLÓGICO'!$A$2:$A$4919,0)+$E1532-1)</f>
        <v/>
      </c>
      <c r="I1532" s="5">
        <f>IFERROR(SUMIFS('DETALLE CRONOLÓGICO'!$L$2:$L$4919,'DETALLE CRONOLÓGICO'!$A$2:$A$4919,$A1532)/$F1532,"")</f>
        <v/>
      </c>
      <c r="J1532" s="6">
        <f>IFERROR(SUMIFS('DETALLE CRONOLÓGICO'!$K$2:$K$4919,'DETALLE CRONOLÓGICO'!$A$2:$A$4919,$A1532)/$E1532,"")</f>
        <v/>
      </c>
      <c r="K1532" s="6">
        <f>_xlfn.MINIFS('DETALLE CRONOLÓGICO'!$K$2:$K$4919,'DETALLE CRONOLÓGICO'!$A$2:$A$4919,$A1532)</f>
        <v/>
      </c>
      <c r="L1532" s="6">
        <f>_xlfn.MAXIFS('DETALLE CRONOLÓGICO'!$K$2:$K$4919,'DETALLE CRONOLÓGICO'!$A$2:$A$4919,$A1532)</f>
        <v/>
      </c>
      <c r="M1532" s="6">
        <f>INDEX('DETALLE CRONOLÓGICO'!$K$2:$K$4919,MATCH($A1532,'DETALLE CRONOLÓGICO'!$A$2:$A$4919,0)+$E1532-1)</f>
        <v/>
      </c>
      <c r="N1532" s="7">
        <f>IFERROR($M1532/INDEX('DETALLE CRONOLÓGICO'!$K$2:$K$4919,MATCH($A1532,'DETALLE CRONOLÓGICO'!$A$2:$A$4919,0))-1,"")</f>
        <v/>
      </c>
      <c r="O1532" s="6">
        <f>IFERROR($I1532*3,"")</f>
        <v/>
      </c>
      <c r="P1532" s="6">
        <f>IFERROR($I1532*3.5,"")</f>
        <v/>
      </c>
      <c r="Q1532" s="6">
        <f>IFERROR($I1532*4,"")</f>
        <v/>
      </c>
      <c r="R1532" s="6" t="n">
        <v>545</v>
      </c>
      <c r="S1532" s="4" t="n">
        <v>0</v>
      </c>
      <c r="T1532" s="1" t="inlineStr">
        <is>
          <t>active</t>
        </is>
      </c>
      <c r="U1532" s="8" t="n"/>
      <c r="V1532" s="1" t="inlineStr">
        <is>
          <t>SIN PRECIO</t>
        </is>
      </c>
    </row>
    <row r="1533">
      <c r="A1533" s="1" t="inlineStr">
        <is>
          <t>665bce4734fce</t>
        </is>
      </c>
      <c r="B1533" s="1" t="inlineStr">
        <is>
          <t>PULSERA PERLEÉ ROSEGOLD</t>
        </is>
      </c>
      <c r="C1533" s="1" t="inlineStr">
        <is>
          <t>16cm</t>
        </is>
      </c>
      <c r="D1533" s="1" t="inlineStr">
        <is>
          <t>NANCY</t>
        </is>
      </c>
      <c r="E1533" s="4">
        <f>COUNTIF('DETALLE CRONOLÓGICO'!$A$2:$A$4919,$A1533)</f>
        <v/>
      </c>
      <c r="F1533" s="4">
        <f>SUMIFS('DETALLE CRONOLÓGICO'!$I$2:$I$4919,'DETALLE CRONOLÓGICO'!$A$2:$A$4919,$A1533)</f>
        <v/>
      </c>
      <c r="G1533" s="1">
        <f>INDEX('DETALLE CRONOLÓGICO'!$D$2:$D$4919,MATCH($A1533,'DETALLE CRONOLÓGICO'!$A$2:$A$4919,0))</f>
        <v/>
      </c>
      <c r="H1533" s="1">
        <f>INDEX('DETALLE CRONOLÓGICO'!$D$2:$D$4919,MATCH($A1533,'DETALLE CRONOLÓGICO'!$A$2:$A$4919,0)+$E1533-1)</f>
        <v/>
      </c>
      <c r="I1533" s="5">
        <f>IFERROR(SUMIFS('DETALLE CRONOLÓGICO'!$L$2:$L$4919,'DETALLE CRONOLÓGICO'!$A$2:$A$4919,$A1533)/$F1533,"")</f>
        <v/>
      </c>
      <c r="J1533" s="6">
        <f>IFERROR(SUMIFS('DETALLE CRONOLÓGICO'!$K$2:$K$4919,'DETALLE CRONOLÓGICO'!$A$2:$A$4919,$A1533)/$E1533,"")</f>
        <v/>
      </c>
      <c r="K1533" s="6">
        <f>_xlfn.MINIFS('DETALLE CRONOLÓGICO'!$K$2:$K$4919,'DETALLE CRONOLÓGICO'!$A$2:$A$4919,$A1533)</f>
        <v/>
      </c>
      <c r="L1533" s="6">
        <f>_xlfn.MAXIFS('DETALLE CRONOLÓGICO'!$K$2:$K$4919,'DETALLE CRONOLÓGICO'!$A$2:$A$4919,$A1533)</f>
        <v/>
      </c>
      <c r="M1533" s="6">
        <f>INDEX('DETALLE CRONOLÓGICO'!$K$2:$K$4919,MATCH($A1533,'DETALLE CRONOLÓGICO'!$A$2:$A$4919,0)+$E1533-1)</f>
        <v/>
      </c>
      <c r="N1533" s="7">
        <f>IFERROR($M1533/INDEX('DETALLE CRONOLÓGICO'!$K$2:$K$4919,MATCH($A1533,'DETALLE CRONOLÓGICO'!$A$2:$A$4919,0))-1,"")</f>
        <v/>
      </c>
      <c r="O1533" s="6">
        <f>IFERROR($I1533*3,"")</f>
        <v/>
      </c>
      <c r="P1533" s="6">
        <f>IFERROR($I1533*3.5,"")</f>
        <v/>
      </c>
      <c r="Q1533" s="6">
        <f>IFERROR($I1533*4,"")</f>
        <v/>
      </c>
      <c r="R1533" s="6" t="n">
        <v>860</v>
      </c>
      <c r="S1533" s="4" t="n">
        <v>0</v>
      </c>
      <c r="T1533" s="1" t="inlineStr">
        <is>
          <t>active</t>
        </is>
      </c>
      <c r="U1533" s="8" t="n"/>
      <c r="V1533" s="1" t="inlineStr">
        <is>
          <t>SIN PRECIO</t>
        </is>
      </c>
    </row>
    <row r="1534">
      <c r="A1534" s="1" t="inlineStr">
        <is>
          <t>665bce4a7cf8d</t>
        </is>
      </c>
      <c r="B1534" s="1" t="inlineStr">
        <is>
          <t>PULSERA PERLEÉ SILVER</t>
        </is>
      </c>
      <c r="C1534" s="1" t="inlineStr">
        <is>
          <t>16cm</t>
        </is>
      </c>
      <c r="D1534" s="1" t="inlineStr">
        <is>
          <t>NANCY</t>
        </is>
      </c>
      <c r="E1534" s="4">
        <f>COUNTIF('DETALLE CRONOLÓGICO'!$A$2:$A$4919,$A1534)</f>
        <v/>
      </c>
      <c r="F1534" s="4">
        <f>SUMIFS('DETALLE CRONOLÓGICO'!$I$2:$I$4919,'DETALLE CRONOLÓGICO'!$A$2:$A$4919,$A1534)</f>
        <v/>
      </c>
      <c r="G1534" s="1">
        <f>INDEX('DETALLE CRONOLÓGICO'!$D$2:$D$4919,MATCH($A1534,'DETALLE CRONOLÓGICO'!$A$2:$A$4919,0))</f>
        <v/>
      </c>
      <c r="H1534" s="1">
        <f>INDEX('DETALLE CRONOLÓGICO'!$D$2:$D$4919,MATCH($A1534,'DETALLE CRONOLÓGICO'!$A$2:$A$4919,0)+$E1534-1)</f>
        <v/>
      </c>
      <c r="I1534" s="5">
        <f>IFERROR(SUMIFS('DETALLE CRONOLÓGICO'!$L$2:$L$4919,'DETALLE CRONOLÓGICO'!$A$2:$A$4919,$A1534)/$F1534,"")</f>
        <v/>
      </c>
      <c r="J1534" s="6">
        <f>IFERROR(SUMIFS('DETALLE CRONOLÓGICO'!$K$2:$K$4919,'DETALLE CRONOLÓGICO'!$A$2:$A$4919,$A1534)/$E1534,"")</f>
        <v/>
      </c>
      <c r="K1534" s="6">
        <f>_xlfn.MINIFS('DETALLE CRONOLÓGICO'!$K$2:$K$4919,'DETALLE CRONOLÓGICO'!$A$2:$A$4919,$A1534)</f>
        <v/>
      </c>
      <c r="L1534" s="6">
        <f>_xlfn.MAXIFS('DETALLE CRONOLÓGICO'!$K$2:$K$4919,'DETALLE CRONOLÓGICO'!$A$2:$A$4919,$A1534)</f>
        <v/>
      </c>
      <c r="M1534" s="6">
        <f>INDEX('DETALLE CRONOLÓGICO'!$K$2:$K$4919,MATCH($A1534,'DETALLE CRONOLÓGICO'!$A$2:$A$4919,0)+$E1534-1)</f>
        <v/>
      </c>
      <c r="N1534" s="7">
        <f>IFERROR($M1534/INDEX('DETALLE CRONOLÓGICO'!$K$2:$K$4919,MATCH($A1534,'DETALLE CRONOLÓGICO'!$A$2:$A$4919,0))-1,"")</f>
        <v/>
      </c>
      <c r="O1534" s="6">
        <f>IFERROR($I1534*3,"")</f>
        <v/>
      </c>
      <c r="P1534" s="6">
        <f>IFERROR($I1534*3.5,"")</f>
        <v/>
      </c>
      <c r="Q1534" s="6">
        <f>IFERROR($I1534*4,"")</f>
        <v/>
      </c>
      <c r="R1534" s="6" t="n">
        <v>950</v>
      </c>
      <c r="S1534" s="4" t="n">
        <v>0</v>
      </c>
      <c r="T1534" s="1" t="inlineStr">
        <is>
          <t>active</t>
        </is>
      </c>
      <c r="U1534" s="8" t="n"/>
      <c r="V1534" s="1" t="inlineStr">
        <is>
          <t>SIN PRECIO</t>
        </is>
      </c>
    </row>
    <row r="1535">
      <c r="A1535" s="1" t="inlineStr">
        <is>
          <t>665bce4e1ec6b</t>
        </is>
      </c>
      <c r="B1535" s="1" t="inlineStr">
        <is>
          <t>PULSERA PERLEÉ GOLD</t>
        </is>
      </c>
      <c r="C1535" s="1" t="inlineStr">
        <is>
          <t>16cm</t>
        </is>
      </c>
      <c r="D1535" s="1" t="inlineStr">
        <is>
          <t>NANCY</t>
        </is>
      </c>
      <c r="E1535" s="4">
        <f>COUNTIF('DETALLE CRONOLÓGICO'!$A$2:$A$4919,$A1535)</f>
        <v/>
      </c>
      <c r="F1535" s="4">
        <f>SUMIFS('DETALLE CRONOLÓGICO'!$I$2:$I$4919,'DETALLE CRONOLÓGICO'!$A$2:$A$4919,$A1535)</f>
        <v/>
      </c>
      <c r="G1535" s="1">
        <f>INDEX('DETALLE CRONOLÓGICO'!$D$2:$D$4919,MATCH($A1535,'DETALLE CRONOLÓGICO'!$A$2:$A$4919,0))</f>
        <v/>
      </c>
      <c r="H1535" s="1">
        <f>INDEX('DETALLE CRONOLÓGICO'!$D$2:$D$4919,MATCH($A1535,'DETALLE CRONOLÓGICO'!$A$2:$A$4919,0)+$E1535-1)</f>
        <v/>
      </c>
      <c r="I1535" s="5">
        <f>IFERROR(SUMIFS('DETALLE CRONOLÓGICO'!$L$2:$L$4919,'DETALLE CRONOLÓGICO'!$A$2:$A$4919,$A1535)/$F1535,"")</f>
        <v/>
      </c>
      <c r="J1535" s="6">
        <f>IFERROR(SUMIFS('DETALLE CRONOLÓGICO'!$K$2:$K$4919,'DETALLE CRONOLÓGICO'!$A$2:$A$4919,$A1535)/$E1535,"")</f>
        <v/>
      </c>
      <c r="K1535" s="6">
        <f>_xlfn.MINIFS('DETALLE CRONOLÓGICO'!$K$2:$K$4919,'DETALLE CRONOLÓGICO'!$A$2:$A$4919,$A1535)</f>
        <v/>
      </c>
      <c r="L1535" s="6">
        <f>_xlfn.MAXIFS('DETALLE CRONOLÓGICO'!$K$2:$K$4919,'DETALLE CRONOLÓGICO'!$A$2:$A$4919,$A1535)</f>
        <v/>
      </c>
      <c r="M1535" s="6">
        <f>INDEX('DETALLE CRONOLÓGICO'!$K$2:$K$4919,MATCH($A1535,'DETALLE CRONOLÓGICO'!$A$2:$A$4919,0)+$E1535-1)</f>
        <v/>
      </c>
      <c r="N1535" s="7">
        <f>IFERROR($M1535/INDEX('DETALLE CRONOLÓGICO'!$K$2:$K$4919,MATCH($A1535,'DETALLE CRONOLÓGICO'!$A$2:$A$4919,0))-1,"")</f>
        <v/>
      </c>
      <c r="O1535" s="6">
        <f>IFERROR($I1535*3,"")</f>
        <v/>
      </c>
      <c r="P1535" s="6">
        <f>IFERROR($I1535*3.5,"")</f>
        <v/>
      </c>
      <c r="Q1535" s="6">
        <f>IFERROR($I1535*4,"")</f>
        <v/>
      </c>
      <c r="R1535" s="6" t="n">
        <v>950</v>
      </c>
      <c r="S1535" s="4" t="n">
        <v>0</v>
      </c>
      <c r="T1535" s="1" t="inlineStr">
        <is>
          <t>active</t>
        </is>
      </c>
      <c r="U1535" s="8" t="n"/>
      <c r="V1535" s="1" t="inlineStr">
        <is>
          <t>SIN PRECIO</t>
        </is>
      </c>
    </row>
    <row r="1536">
      <c r="A1536" s="1" t="inlineStr">
        <is>
          <t>665bce619b90b</t>
        </is>
      </c>
      <c r="B1536" s="1" t="inlineStr">
        <is>
          <t>PULSERA SERPENTI LISA ROSEGOLD</t>
        </is>
      </c>
      <c r="C1536" s="1" t="inlineStr">
        <is>
          <t>18cm</t>
        </is>
      </c>
      <c r="D1536" s="1" t="inlineStr">
        <is>
          <t>NANCY</t>
        </is>
      </c>
      <c r="E1536" s="4">
        <f>COUNTIF('DETALLE CRONOLÓGICO'!$A$2:$A$4919,$A1536)</f>
        <v/>
      </c>
      <c r="F1536" s="4">
        <f>SUMIFS('DETALLE CRONOLÓGICO'!$I$2:$I$4919,'DETALLE CRONOLÓGICO'!$A$2:$A$4919,$A1536)</f>
        <v/>
      </c>
      <c r="G1536" s="1">
        <f>INDEX('DETALLE CRONOLÓGICO'!$D$2:$D$4919,MATCH($A1536,'DETALLE CRONOLÓGICO'!$A$2:$A$4919,0))</f>
        <v/>
      </c>
      <c r="H1536" s="1">
        <f>INDEX('DETALLE CRONOLÓGICO'!$D$2:$D$4919,MATCH($A1536,'DETALLE CRONOLÓGICO'!$A$2:$A$4919,0)+$E1536-1)</f>
        <v/>
      </c>
      <c r="I1536" s="5">
        <f>IFERROR(SUMIFS('DETALLE CRONOLÓGICO'!$L$2:$L$4919,'DETALLE CRONOLÓGICO'!$A$2:$A$4919,$A1536)/$F1536,"")</f>
        <v/>
      </c>
      <c r="J1536" s="6">
        <f>IFERROR(SUMIFS('DETALLE CRONOLÓGICO'!$K$2:$K$4919,'DETALLE CRONOLÓGICO'!$A$2:$A$4919,$A1536)/$E1536,"")</f>
        <v/>
      </c>
      <c r="K1536" s="6">
        <f>_xlfn.MINIFS('DETALLE CRONOLÓGICO'!$K$2:$K$4919,'DETALLE CRONOLÓGICO'!$A$2:$A$4919,$A1536)</f>
        <v/>
      </c>
      <c r="L1536" s="6">
        <f>_xlfn.MAXIFS('DETALLE CRONOLÓGICO'!$K$2:$K$4919,'DETALLE CRONOLÓGICO'!$A$2:$A$4919,$A1536)</f>
        <v/>
      </c>
      <c r="M1536" s="6">
        <f>INDEX('DETALLE CRONOLÓGICO'!$K$2:$K$4919,MATCH($A1536,'DETALLE CRONOLÓGICO'!$A$2:$A$4919,0)+$E1536-1)</f>
        <v/>
      </c>
      <c r="N1536" s="7">
        <f>IFERROR($M1536/INDEX('DETALLE CRONOLÓGICO'!$K$2:$K$4919,MATCH($A1536,'DETALLE CRONOLÓGICO'!$A$2:$A$4919,0))-1,"")</f>
        <v/>
      </c>
      <c r="O1536" s="6">
        <f>IFERROR($I1536*3,"")</f>
        <v/>
      </c>
      <c r="P1536" s="6">
        <f>IFERROR($I1536*3.5,"")</f>
        <v/>
      </c>
      <c r="Q1536" s="6">
        <f>IFERROR($I1536*4,"")</f>
        <v/>
      </c>
      <c r="R1536" s="6" t="n">
        <v>959</v>
      </c>
      <c r="S1536" s="4" t="n">
        <v>2</v>
      </c>
      <c r="T1536" s="1" t="inlineStr">
        <is>
          <t>active</t>
        </is>
      </c>
      <c r="U1536" s="8" t="n"/>
      <c r="V1536" s="1" t="inlineStr">
        <is>
          <t>SIN PRECIO</t>
        </is>
      </c>
    </row>
    <row r="1537">
      <c r="A1537" s="1" t="inlineStr">
        <is>
          <t>665bce65c57fd</t>
        </is>
      </c>
      <c r="B1537" s="1" t="inlineStr">
        <is>
          <t>PULSERA SERPENTI LISA SILVER</t>
        </is>
      </c>
      <c r="C1537" s="1" t="inlineStr">
        <is>
          <t>18cm</t>
        </is>
      </c>
      <c r="D1537" s="1" t="inlineStr">
        <is>
          <t>NANCY</t>
        </is>
      </c>
      <c r="E1537" s="4">
        <f>COUNTIF('DETALLE CRONOLÓGICO'!$A$2:$A$4919,$A1537)</f>
        <v/>
      </c>
      <c r="F1537" s="4">
        <f>SUMIFS('DETALLE CRONOLÓGICO'!$I$2:$I$4919,'DETALLE CRONOLÓGICO'!$A$2:$A$4919,$A1537)</f>
        <v/>
      </c>
      <c r="G1537" s="1">
        <f>INDEX('DETALLE CRONOLÓGICO'!$D$2:$D$4919,MATCH($A1537,'DETALLE CRONOLÓGICO'!$A$2:$A$4919,0))</f>
        <v/>
      </c>
      <c r="H1537" s="1">
        <f>INDEX('DETALLE CRONOLÓGICO'!$D$2:$D$4919,MATCH($A1537,'DETALLE CRONOLÓGICO'!$A$2:$A$4919,0)+$E1537-1)</f>
        <v/>
      </c>
      <c r="I1537" s="5">
        <f>IFERROR(SUMIFS('DETALLE CRONOLÓGICO'!$L$2:$L$4919,'DETALLE CRONOLÓGICO'!$A$2:$A$4919,$A1537)/$F1537,"")</f>
        <v/>
      </c>
      <c r="J1537" s="6">
        <f>IFERROR(SUMIFS('DETALLE CRONOLÓGICO'!$K$2:$K$4919,'DETALLE CRONOLÓGICO'!$A$2:$A$4919,$A1537)/$E1537,"")</f>
        <v/>
      </c>
      <c r="K1537" s="6">
        <f>_xlfn.MINIFS('DETALLE CRONOLÓGICO'!$K$2:$K$4919,'DETALLE CRONOLÓGICO'!$A$2:$A$4919,$A1537)</f>
        <v/>
      </c>
      <c r="L1537" s="6">
        <f>_xlfn.MAXIFS('DETALLE CRONOLÓGICO'!$K$2:$K$4919,'DETALLE CRONOLÓGICO'!$A$2:$A$4919,$A1537)</f>
        <v/>
      </c>
      <c r="M1537" s="6">
        <f>INDEX('DETALLE CRONOLÓGICO'!$K$2:$K$4919,MATCH($A1537,'DETALLE CRONOLÓGICO'!$A$2:$A$4919,0)+$E1537-1)</f>
        <v/>
      </c>
      <c r="N1537" s="7">
        <f>IFERROR($M1537/INDEX('DETALLE CRONOLÓGICO'!$K$2:$K$4919,MATCH($A1537,'DETALLE CRONOLÓGICO'!$A$2:$A$4919,0))-1,"")</f>
        <v/>
      </c>
      <c r="O1537" s="6">
        <f>IFERROR($I1537*3,"")</f>
        <v/>
      </c>
      <c r="P1537" s="6">
        <f>IFERROR($I1537*3.5,"")</f>
        <v/>
      </c>
      <c r="Q1537" s="6">
        <f>IFERROR($I1537*4,"")</f>
        <v/>
      </c>
      <c r="R1537" s="6" t="n">
        <v>789</v>
      </c>
      <c r="S1537" s="4" t="n">
        <v>0</v>
      </c>
      <c r="T1537" s="1" t="inlineStr">
        <is>
          <t>active</t>
        </is>
      </c>
      <c r="U1537" s="8" t="n"/>
      <c r="V1537" s="1" t="inlineStr">
        <is>
          <t>SIN PRECIO</t>
        </is>
      </c>
    </row>
    <row r="1538">
      <c r="A1538" s="1" t="inlineStr">
        <is>
          <t>665bce699c07e-1</t>
        </is>
      </c>
      <c r="B1538" s="1" t="inlineStr">
        <is>
          <t>PULSERA SERPENTI LISA GOLD</t>
        </is>
      </c>
      <c r="C1538" s="1" t="inlineStr">
        <is>
          <t>18cm</t>
        </is>
      </c>
      <c r="D1538" s="1" t="inlineStr">
        <is>
          <t>NANCY</t>
        </is>
      </c>
      <c r="E1538" s="4">
        <f>COUNTIF('DETALLE CRONOLÓGICO'!$A$2:$A$4919,$A1538)</f>
        <v/>
      </c>
      <c r="F1538" s="4">
        <f>SUMIFS('DETALLE CRONOLÓGICO'!$I$2:$I$4919,'DETALLE CRONOLÓGICO'!$A$2:$A$4919,$A1538)</f>
        <v/>
      </c>
      <c r="G1538" s="1">
        <f>INDEX('DETALLE CRONOLÓGICO'!$D$2:$D$4919,MATCH($A1538,'DETALLE CRONOLÓGICO'!$A$2:$A$4919,0))</f>
        <v/>
      </c>
      <c r="H1538" s="1">
        <f>INDEX('DETALLE CRONOLÓGICO'!$D$2:$D$4919,MATCH($A1538,'DETALLE CRONOLÓGICO'!$A$2:$A$4919,0)+$E1538-1)</f>
        <v/>
      </c>
      <c r="I1538" s="5">
        <f>IFERROR(SUMIFS('DETALLE CRONOLÓGICO'!$L$2:$L$4919,'DETALLE CRONOLÓGICO'!$A$2:$A$4919,$A1538)/$F1538,"")</f>
        <v/>
      </c>
      <c r="J1538" s="6">
        <f>IFERROR(SUMIFS('DETALLE CRONOLÓGICO'!$K$2:$K$4919,'DETALLE CRONOLÓGICO'!$A$2:$A$4919,$A1538)/$E1538,"")</f>
        <v/>
      </c>
      <c r="K1538" s="6">
        <f>_xlfn.MINIFS('DETALLE CRONOLÓGICO'!$K$2:$K$4919,'DETALLE CRONOLÓGICO'!$A$2:$A$4919,$A1538)</f>
        <v/>
      </c>
      <c r="L1538" s="6">
        <f>_xlfn.MAXIFS('DETALLE CRONOLÓGICO'!$K$2:$K$4919,'DETALLE CRONOLÓGICO'!$A$2:$A$4919,$A1538)</f>
        <v/>
      </c>
      <c r="M1538" s="6">
        <f>INDEX('DETALLE CRONOLÓGICO'!$K$2:$K$4919,MATCH($A1538,'DETALLE CRONOLÓGICO'!$A$2:$A$4919,0)+$E1538-1)</f>
        <v/>
      </c>
      <c r="N1538" s="7">
        <f>IFERROR($M1538/INDEX('DETALLE CRONOLÓGICO'!$K$2:$K$4919,MATCH($A1538,'DETALLE CRONOLÓGICO'!$A$2:$A$4919,0))-1,"")</f>
        <v/>
      </c>
      <c r="O1538" s="6">
        <f>IFERROR($I1538*3,"")</f>
        <v/>
      </c>
      <c r="P1538" s="6">
        <f>IFERROR($I1538*3.5,"")</f>
        <v/>
      </c>
      <c r="Q1538" s="6">
        <f>IFERROR($I1538*4,"")</f>
        <v/>
      </c>
      <c r="R1538" s="6" t="n">
        <v>915</v>
      </c>
      <c r="S1538" s="4" t="n">
        <v>5</v>
      </c>
      <c r="T1538" s="1" t="inlineStr">
        <is>
          <t>active</t>
        </is>
      </c>
      <c r="U1538" s="8" t="n"/>
      <c r="V1538" s="1" t="inlineStr">
        <is>
          <t>SIN PRECIO</t>
        </is>
      </c>
    </row>
    <row r="1539">
      <c r="A1539" s="1" t="inlineStr">
        <is>
          <t>665bd055c2e65</t>
        </is>
      </c>
      <c r="B1539" s="1" t="inlineStr">
        <is>
          <t>PULSERA TB CON UNA INSIGNIA BLACK</t>
        </is>
      </c>
      <c r="C1539" s="1" t="inlineStr">
        <is>
          <t>17cm</t>
        </is>
      </c>
      <c r="D1539" s="1" t="inlineStr">
        <is>
          <t>NANCY</t>
        </is>
      </c>
      <c r="E1539" s="4">
        <f>COUNTIF('DETALLE CRONOLÓGICO'!$A$2:$A$4919,$A1539)</f>
        <v/>
      </c>
      <c r="F1539" s="4">
        <f>SUMIFS('DETALLE CRONOLÓGICO'!$I$2:$I$4919,'DETALLE CRONOLÓGICO'!$A$2:$A$4919,$A1539)</f>
        <v/>
      </c>
      <c r="G1539" s="1">
        <f>INDEX('DETALLE CRONOLÓGICO'!$D$2:$D$4919,MATCH($A1539,'DETALLE CRONOLÓGICO'!$A$2:$A$4919,0))</f>
        <v/>
      </c>
      <c r="H1539" s="1">
        <f>INDEX('DETALLE CRONOLÓGICO'!$D$2:$D$4919,MATCH($A1539,'DETALLE CRONOLÓGICO'!$A$2:$A$4919,0)+$E1539-1)</f>
        <v/>
      </c>
      <c r="I1539" s="5">
        <f>IFERROR(SUMIFS('DETALLE CRONOLÓGICO'!$L$2:$L$4919,'DETALLE CRONOLÓGICO'!$A$2:$A$4919,$A1539)/$F1539,"")</f>
        <v/>
      </c>
      <c r="J1539" s="6">
        <f>IFERROR(SUMIFS('DETALLE CRONOLÓGICO'!$K$2:$K$4919,'DETALLE CRONOLÓGICO'!$A$2:$A$4919,$A1539)/$E1539,"")</f>
        <v/>
      </c>
      <c r="K1539" s="6">
        <f>_xlfn.MINIFS('DETALLE CRONOLÓGICO'!$K$2:$K$4919,'DETALLE CRONOLÓGICO'!$A$2:$A$4919,$A1539)</f>
        <v/>
      </c>
      <c r="L1539" s="6">
        <f>_xlfn.MAXIFS('DETALLE CRONOLÓGICO'!$K$2:$K$4919,'DETALLE CRONOLÓGICO'!$A$2:$A$4919,$A1539)</f>
        <v/>
      </c>
      <c r="M1539" s="6">
        <f>INDEX('DETALLE CRONOLÓGICO'!$K$2:$K$4919,MATCH($A1539,'DETALLE CRONOLÓGICO'!$A$2:$A$4919,0)+$E1539-1)</f>
        <v/>
      </c>
      <c r="N1539" s="7">
        <f>IFERROR($M1539/INDEX('DETALLE CRONOLÓGICO'!$K$2:$K$4919,MATCH($A1539,'DETALLE CRONOLÓGICO'!$A$2:$A$4919,0))-1,"")</f>
        <v/>
      </c>
      <c r="O1539" s="6">
        <f>IFERROR($I1539*3,"")</f>
        <v/>
      </c>
      <c r="P1539" s="6">
        <f>IFERROR($I1539*3.5,"")</f>
        <v/>
      </c>
      <c r="Q1539" s="6">
        <f>IFERROR($I1539*4,"")</f>
        <v/>
      </c>
      <c r="R1539" s="6" t="n">
        <v>350</v>
      </c>
      <c r="S1539" s="4" t="n">
        <v>0</v>
      </c>
      <c r="T1539" s="1" t="inlineStr">
        <is>
          <t>active</t>
        </is>
      </c>
      <c r="U1539" s="8" t="n"/>
      <c r="V1539" s="1" t="inlineStr">
        <is>
          <t>SIN PRECIO</t>
        </is>
      </c>
    </row>
    <row r="1540">
      <c r="A1540" s="1" t="inlineStr">
        <is>
          <t>665bd055d2452</t>
        </is>
      </c>
      <c r="B1540" s="1" t="inlineStr">
        <is>
          <t>PULSERA TB CON UNA INSIGNIA WHITE</t>
        </is>
      </c>
      <c r="C1540" s="1" t="inlineStr">
        <is>
          <t>17cm</t>
        </is>
      </c>
      <c r="D1540" s="1" t="inlineStr">
        <is>
          <t>NANCY</t>
        </is>
      </c>
      <c r="E1540" s="4">
        <f>COUNTIF('DETALLE CRONOLÓGICO'!$A$2:$A$4919,$A1540)</f>
        <v/>
      </c>
      <c r="F1540" s="4">
        <f>SUMIFS('DETALLE CRONOLÓGICO'!$I$2:$I$4919,'DETALLE CRONOLÓGICO'!$A$2:$A$4919,$A1540)</f>
        <v/>
      </c>
      <c r="G1540" s="1">
        <f>INDEX('DETALLE CRONOLÓGICO'!$D$2:$D$4919,MATCH($A1540,'DETALLE CRONOLÓGICO'!$A$2:$A$4919,0))</f>
        <v/>
      </c>
      <c r="H1540" s="1">
        <f>INDEX('DETALLE CRONOLÓGICO'!$D$2:$D$4919,MATCH($A1540,'DETALLE CRONOLÓGICO'!$A$2:$A$4919,0)+$E1540-1)</f>
        <v/>
      </c>
      <c r="I1540" s="5">
        <f>IFERROR(SUMIFS('DETALLE CRONOLÓGICO'!$L$2:$L$4919,'DETALLE CRONOLÓGICO'!$A$2:$A$4919,$A1540)/$F1540,"")</f>
        <v/>
      </c>
      <c r="J1540" s="6">
        <f>IFERROR(SUMIFS('DETALLE CRONOLÓGICO'!$K$2:$K$4919,'DETALLE CRONOLÓGICO'!$A$2:$A$4919,$A1540)/$E1540,"")</f>
        <v/>
      </c>
      <c r="K1540" s="6">
        <f>_xlfn.MINIFS('DETALLE CRONOLÓGICO'!$K$2:$K$4919,'DETALLE CRONOLÓGICO'!$A$2:$A$4919,$A1540)</f>
        <v/>
      </c>
      <c r="L1540" s="6">
        <f>_xlfn.MAXIFS('DETALLE CRONOLÓGICO'!$K$2:$K$4919,'DETALLE CRONOLÓGICO'!$A$2:$A$4919,$A1540)</f>
        <v/>
      </c>
      <c r="M1540" s="6">
        <f>INDEX('DETALLE CRONOLÓGICO'!$K$2:$K$4919,MATCH($A1540,'DETALLE CRONOLÓGICO'!$A$2:$A$4919,0)+$E1540-1)</f>
        <v/>
      </c>
      <c r="N1540" s="7">
        <f>IFERROR($M1540/INDEX('DETALLE CRONOLÓGICO'!$K$2:$K$4919,MATCH($A1540,'DETALLE CRONOLÓGICO'!$A$2:$A$4919,0))-1,"")</f>
        <v/>
      </c>
      <c r="O1540" s="6">
        <f>IFERROR($I1540*3,"")</f>
        <v/>
      </c>
      <c r="P1540" s="6">
        <f>IFERROR($I1540*3.5,"")</f>
        <v/>
      </c>
      <c r="Q1540" s="6">
        <f>IFERROR($I1540*4,"")</f>
        <v/>
      </c>
      <c r="R1540" s="6" t="n">
        <v>540</v>
      </c>
      <c r="S1540" s="4" t="n">
        <v>1</v>
      </c>
      <c r="T1540" s="1" t="inlineStr">
        <is>
          <t>active</t>
        </is>
      </c>
      <c r="U1540" s="8" t="n"/>
      <c r="V1540" s="1" t="inlineStr">
        <is>
          <t>SIN PRECIO</t>
        </is>
      </c>
    </row>
    <row r="1541">
      <c r="A1541" s="1" t="inlineStr">
        <is>
          <t>665bd05b5a37f</t>
        </is>
      </c>
      <c r="B1541" s="1" t="inlineStr">
        <is>
          <t>PULSERA TB GOLD</t>
        </is>
      </c>
      <c r="C1541" s="1" t="inlineStr">
        <is>
          <t>17cm</t>
        </is>
      </c>
      <c r="D1541" s="1" t="inlineStr">
        <is>
          <t>NANCY</t>
        </is>
      </c>
      <c r="E1541" s="4">
        <f>COUNTIF('DETALLE CRONOLÓGICO'!$A$2:$A$4919,$A1541)</f>
        <v/>
      </c>
      <c r="F1541" s="4">
        <f>SUMIFS('DETALLE CRONOLÓGICO'!$I$2:$I$4919,'DETALLE CRONOLÓGICO'!$A$2:$A$4919,$A1541)</f>
        <v/>
      </c>
      <c r="G1541" s="1">
        <f>INDEX('DETALLE CRONOLÓGICO'!$D$2:$D$4919,MATCH($A1541,'DETALLE CRONOLÓGICO'!$A$2:$A$4919,0))</f>
        <v/>
      </c>
      <c r="H1541" s="1">
        <f>INDEX('DETALLE CRONOLÓGICO'!$D$2:$D$4919,MATCH($A1541,'DETALLE CRONOLÓGICO'!$A$2:$A$4919,0)+$E1541-1)</f>
        <v/>
      </c>
      <c r="I1541" s="5">
        <f>IFERROR(SUMIFS('DETALLE CRONOLÓGICO'!$L$2:$L$4919,'DETALLE CRONOLÓGICO'!$A$2:$A$4919,$A1541)/$F1541,"")</f>
        <v/>
      </c>
      <c r="J1541" s="6">
        <f>IFERROR(SUMIFS('DETALLE CRONOLÓGICO'!$K$2:$K$4919,'DETALLE CRONOLÓGICO'!$A$2:$A$4919,$A1541)/$E1541,"")</f>
        <v/>
      </c>
      <c r="K1541" s="6">
        <f>_xlfn.MINIFS('DETALLE CRONOLÓGICO'!$K$2:$K$4919,'DETALLE CRONOLÓGICO'!$A$2:$A$4919,$A1541)</f>
        <v/>
      </c>
      <c r="L1541" s="6">
        <f>_xlfn.MAXIFS('DETALLE CRONOLÓGICO'!$K$2:$K$4919,'DETALLE CRONOLÓGICO'!$A$2:$A$4919,$A1541)</f>
        <v/>
      </c>
      <c r="M1541" s="6">
        <f>INDEX('DETALLE CRONOLÓGICO'!$K$2:$K$4919,MATCH($A1541,'DETALLE CRONOLÓGICO'!$A$2:$A$4919,0)+$E1541-1)</f>
        <v/>
      </c>
      <c r="N1541" s="7">
        <f>IFERROR($M1541/INDEX('DETALLE CRONOLÓGICO'!$K$2:$K$4919,MATCH($A1541,'DETALLE CRONOLÓGICO'!$A$2:$A$4919,0))-1,"")</f>
        <v/>
      </c>
      <c r="O1541" s="6">
        <f>IFERROR($I1541*3,"")</f>
        <v/>
      </c>
      <c r="P1541" s="6">
        <f>IFERROR($I1541*3.5,"")</f>
        <v/>
      </c>
      <c r="Q1541" s="6">
        <f>IFERROR($I1541*4,"")</f>
        <v/>
      </c>
      <c r="R1541" s="6" t="n">
        <v>499</v>
      </c>
      <c r="S1541" s="4" t="n">
        <v>0</v>
      </c>
      <c r="T1541" s="1" t="inlineStr">
        <is>
          <t>active</t>
        </is>
      </c>
      <c r="U1541" s="8" t="n"/>
      <c r="V1541" s="1" t="inlineStr">
        <is>
          <t>SIN PRECIO</t>
        </is>
      </c>
    </row>
    <row r="1542">
      <c r="A1542" s="1" t="inlineStr">
        <is>
          <t>665bd22d2f1c6</t>
        </is>
      </c>
      <c r="B1542" s="1" t="inlineStr">
        <is>
          <t>ARETES FR GOLD CON ZIRCONIA</t>
        </is>
      </c>
      <c r="C1542" s="1" t="inlineStr">
        <is>
          <t>Regular</t>
        </is>
      </c>
      <c r="D1542" s="1" t="inlineStr">
        <is>
          <t>HAIFENG / NANCY</t>
        </is>
      </c>
      <c r="E1542" s="4">
        <f>COUNTIF('DETALLE CRONOLÓGICO'!$A$2:$A$4919,$A1542)</f>
        <v/>
      </c>
      <c r="F1542" s="4">
        <f>SUMIFS('DETALLE CRONOLÓGICO'!$I$2:$I$4919,'DETALLE CRONOLÓGICO'!$A$2:$A$4919,$A1542)</f>
        <v/>
      </c>
      <c r="G1542" s="1">
        <f>INDEX('DETALLE CRONOLÓGICO'!$D$2:$D$4919,MATCH($A1542,'DETALLE CRONOLÓGICO'!$A$2:$A$4919,0))</f>
        <v/>
      </c>
      <c r="H1542" s="1">
        <f>INDEX('DETALLE CRONOLÓGICO'!$D$2:$D$4919,MATCH($A1542,'DETALLE CRONOLÓGICO'!$A$2:$A$4919,0)+$E1542-1)</f>
        <v/>
      </c>
      <c r="I1542" s="5">
        <f>IFERROR(SUMIFS('DETALLE CRONOLÓGICO'!$L$2:$L$4919,'DETALLE CRONOLÓGICO'!$A$2:$A$4919,$A1542)/$F1542,"")</f>
        <v/>
      </c>
      <c r="J1542" s="6">
        <f>IFERROR(SUMIFS('DETALLE CRONOLÓGICO'!$K$2:$K$4919,'DETALLE CRONOLÓGICO'!$A$2:$A$4919,$A1542)/$E1542,"")</f>
        <v/>
      </c>
      <c r="K1542" s="6">
        <f>_xlfn.MINIFS('DETALLE CRONOLÓGICO'!$K$2:$K$4919,'DETALLE CRONOLÓGICO'!$A$2:$A$4919,$A1542)</f>
        <v/>
      </c>
      <c r="L1542" s="6">
        <f>_xlfn.MAXIFS('DETALLE CRONOLÓGICO'!$K$2:$K$4919,'DETALLE CRONOLÓGICO'!$A$2:$A$4919,$A1542)</f>
        <v/>
      </c>
      <c r="M1542" s="6">
        <f>INDEX('DETALLE CRONOLÓGICO'!$K$2:$K$4919,MATCH($A1542,'DETALLE CRONOLÓGICO'!$A$2:$A$4919,0)+$E1542-1)</f>
        <v/>
      </c>
      <c r="N1542" s="7">
        <f>IFERROR($M1542/INDEX('DETALLE CRONOLÓGICO'!$K$2:$K$4919,MATCH($A1542,'DETALLE CRONOLÓGICO'!$A$2:$A$4919,0))-1,"")</f>
        <v/>
      </c>
      <c r="O1542" s="6">
        <f>IFERROR($I1542*3,"")</f>
        <v/>
      </c>
      <c r="P1542" s="6">
        <f>IFERROR($I1542*3.5,"")</f>
        <v/>
      </c>
      <c r="Q1542" s="6">
        <f>IFERROR($I1542*4,"")</f>
        <v/>
      </c>
      <c r="R1542" s="6" t="n">
        <v>550</v>
      </c>
      <c r="S1542" s="4" t="n">
        <v>0</v>
      </c>
      <c r="T1542" s="1" t="inlineStr">
        <is>
          <t>active</t>
        </is>
      </c>
      <c r="U1542" s="8" t="n"/>
      <c r="V1542" s="1" t="inlineStr">
        <is>
          <t>SIN PRECIO</t>
        </is>
      </c>
    </row>
    <row r="1543">
      <c r="A1543" s="1" t="inlineStr">
        <is>
          <t>665bd49b4a58a</t>
        </is>
      </c>
      <c r="B1543" s="1" t="inlineStr">
        <is>
          <t>TARJETERO LV BLUE</t>
        </is>
      </c>
      <c r="C1543" s="1" t="inlineStr">
        <is>
          <t>8cm x 11cm</t>
        </is>
      </c>
      <c r="D1543" s="1" t="inlineStr">
        <is>
          <t>DINA DU</t>
        </is>
      </c>
      <c r="E1543" s="4">
        <f>COUNTIF('DETALLE CRONOLÓGICO'!$A$2:$A$4919,$A1543)</f>
        <v/>
      </c>
      <c r="F1543" s="4">
        <f>SUMIFS('DETALLE CRONOLÓGICO'!$I$2:$I$4919,'DETALLE CRONOLÓGICO'!$A$2:$A$4919,$A1543)</f>
        <v/>
      </c>
      <c r="G1543" s="1">
        <f>INDEX('DETALLE CRONOLÓGICO'!$D$2:$D$4919,MATCH($A1543,'DETALLE CRONOLÓGICO'!$A$2:$A$4919,0))</f>
        <v/>
      </c>
      <c r="H1543" s="1">
        <f>INDEX('DETALLE CRONOLÓGICO'!$D$2:$D$4919,MATCH($A1543,'DETALLE CRONOLÓGICO'!$A$2:$A$4919,0)+$E1543-1)</f>
        <v/>
      </c>
      <c r="I1543" s="5">
        <f>IFERROR(SUMIFS('DETALLE CRONOLÓGICO'!$L$2:$L$4919,'DETALLE CRONOLÓGICO'!$A$2:$A$4919,$A1543)/$F1543,"")</f>
        <v/>
      </c>
      <c r="J1543" s="6">
        <f>IFERROR(SUMIFS('DETALLE CRONOLÓGICO'!$K$2:$K$4919,'DETALLE CRONOLÓGICO'!$A$2:$A$4919,$A1543)/$E1543,"")</f>
        <v/>
      </c>
      <c r="K1543" s="6">
        <f>_xlfn.MINIFS('DETALLE CRONOLÓGICO'!$K$2:$K$4919,'DETALLE CRONOLÓGICO'!$A$2:$A$4919,$A1543)</f>
        <v/>
      </c>
      <c r="L1543" s="6">
        <f>_xlfn.MAXIFS('DETALLE CRONOLÓGICO'!$K$2:$K$4919,'DETALLE CRONOLÓGICO'!$A$2:$A$4919,$A1543)</f>
        <v/>
      </c>
      <c r="M1543" s="6">
        <f>INDEX('DETALLE CRONOLÓGICO'!$K$2:$K$4919,MATCH($A1543,'DETALLE CRONOLÓGICO'!$A$2:$A$4919,0)+$E1543-1)</f>
        <v/>
      </c>
      <c r="N1543" s="7">
        <f>IFERROR($M1543/INDEX('DETALLE CRONOLÓGICO'!$K$2:$K$4919,MATCH($A1543,'DETALLE CRONOLÓGICO'!$A$2:$A$4919,0))-1,"")</f>
        <v/>
      </c>
      <c r="O1543" s="6">
        <f>IFERROR($I1543*3,"")</f>
        <v/>
      </c>
      <c r="P1543" s="6">
        <f>IFERROR($I1543*3.5,"")</f>
        <v/>
      </c>
      <c r="Q1543" s="6">
        <f>IFERROR($I1543*4,"")</f>
        <v/>
      </c>
      <c r="R1543" s="6" t="n">
        <v>1245</v>
      </c>
      <c r="S1543" s="4" t="n">
        <v>7</v>
      </c>
      <c r="T1543" s="1" t="inlineStr">
        <is>
          <t>active</t>
        </is>
      </c>
      <c r="U1543" s="8" t="n"/>
      <c r="V1543" s="1" t="inlineStr">
        <is>
          <t>SIN PRECIO</t>
        </is>
      </c>
    </row>
    <row r="1544">
      <c r="A1544" s="1" t="inlineStr">
        <is>
          <t>665bd4a0c3b63</t>
        </is>
      </c>
      <c r="B1544" s="1" t="inlineStr">
        <is>
          <t>TARJETERO LV BROWN</t>
        </is>
      </c>
      <c r="C1544" s="1" t="inlineStr">
        <is>
          <t>8cm x 11cm</t>
        </is>
      </c>
      <c r="D1544" s="1" t="inlineStr">
        <is>
          <t>DINA DU</t>
        </is>
      </c>
      <c r="E1544" s="4">
        <f>COUNTIF('DETALLE CRONOLÓGICO'!$A$2:$A$4919,$A1544)</f>
        <v/>
      </c>
      <c r="F1544" s="4">
        <f>SUMIFS('DETALLE CRONOLÓGICO'!$I$2:$I$4919,'DETALLE CRONOLÓGICO'!$A$2:$A$4919,$A1544)</f>
        <v/>
      </c>
      <c r="G1544" s="1">
        <f>INDEX('DETALLE CRONOLÓGICO'!$D$2:$D$4919,MATCH($A1544,'DETALLE CRONOLÓGICO'!$A$2:$A$4919,0))</f>
        <v/>
      </c>
      <c r="H1544" s="1">
        <f>INDEX('DETALLE CRONOLÓGICO'!$D$2:$D$4919,MATCH($A1544,'DETALLE CRONOLÓGICO'!$A$2:$A$4919,0)+$E1544-1)</f>
        <v/>
      </c>
      <c r="I1544" s="5">
        <f>IFERROR(SUMIFS('DETALLE CRONOLÓGICO'!$L$2:$L$4919,'DETALLE CRONOLÓGICO'!$A$2:$A$4919,$A1544)/$F1544,"")</f>
        <v/>
      </c>
      <c r="J1544" s="6">
        <f>IFERROR(SUMIFS('DETALLE CRONOLÓGICO'!$K$2:$K$4919,'DETALLE CRONOLÓGICO'!$A$2:$A$4919,$A1544)/$E1544,"")</f>
        <v/>
      </c>
      <c r="K1544" s="6">
        <f>_xlfn.MINIFS('DETALLE CRONOLÓGICO'!$K$2:$K$4919,'DETALLE CRONOLÓGICO'!$A$2:$A$4919,$A1544)</f>
        <v/>
      </c>
      <c r="L1544" s="6">
        <f>_xlfn.MAXIFS('DETALLE CRONOLÓGICO'!$K$2:$K$4919,'DETALLE CRONOLÓGICO'!$A$2:$A$4919,$A1544)</f>
        <v/>
      </c>
      <c r="M1544" s="6">
        <f>INDEX('DETALLE CRONOLÓGICO'!$K$2:$K$4919,MATCH($A1544,'DETALLE CRONOLÓGICO'!$A$2:$A$4919,0)+$E1544-1)</f>
        <v/>
      </c>
      <c r="N1544" s="7">
        <f>IFERROR($M1544/INDEX('DETALLE CRONOLÓGICO'!$K$2:$K$4919,MATCH($A1544,'DETALLE CRONOLÓGICO'!$A$2:$A$4919,0))-1,"")</f>
        <v/>
      </c>
      <c r="O1544" s="6">
        <f>IFERROR($I1544*3,"")</f>
        <v/>
      </c>
      <c r="P1544" s="6">
        <f>IFERROR($I1544*3.5,"")</f>
        <v/>
      </c>
      <c r="Q1544" s="6">
        <f>IFERROR($I1544*4,"")</f>
        <v/>
      </c>
      <c r="R1544" s="6" t="n">
        <v>1245</v>
      </c>
      <c r="S1544" s="4" t="n">
        <v>2</v>
      </c>
      <c r="T1544" s="1" t="inlineStr">
        <is>
          <t>active</t>
        </is>
      </c>
      <c r="U1544" s="8" t="n"/>
      <c r="V1544" s="1" t="inlineStr">
        <is>
          <t>SIN PRECIO</t>
        </is>
      </c>
    </row>
    <row r="1545">
      <c r="A1545" s="1" t="inlineStr">
        <is>
          <t>665bd4a33373e</t>
        </is>
      </c>
      <c r="B1545" s="1" t="inlineStr">
        <is>
          <t>PULSERA DE TELA TRES AROS DARK BLUE</t>
        </is>
      </c>
      <c r="C1545" s="1" t="inlineStr">
        <is>
          <t>AJUSTABLE</t>
        </is>
      </c>
      <c r="D1545" s="1" t="inlineStr">
        <is>
          <t>HAIFENG</t>
        </is>
      </c>
      <c r="E1545" s="4">
        <f>COUNTIF('DETALLE CRONOLÓGICO'!$A$2:$A$4919,$A1545)</f>
        <v/>
      </c>
      <c r="F1545" s="4">
        <f>SUMIFS('DETALLE CRONOLÓGICO'!$I$2:$I$4919,'DETALLE CRONOLÓGICO'!$A$2:$A$4919,$A1545)</f>
        <v/>
      </c>
      <c r="G1545" s="1">
        <f>INDEX('DETALLE CRONOLÓGICO'!$D$2:$D$4919,MATCH($A1545,'DETALLE CRONOLÓGICO'!$A$2:$A$4919,0))</f>
        <v/>
      </c>
      <c r="H1545" s="1">
        <f>INDEX('DETALLE CRONOLÓGICO'!$D$2:$D$4919,MATCH($A1545,'DETALLE CRONOLÓGICO'!$A$2:$A$4919,0)+$E1545-1)</f>
        <v/>
      </c>
      <c r="I1545" s="5">
        <f>IFERROR(SUMIFS('DETALLE CRONOLÓGICO'!$L$2:$L$4919,'DETALLE CRONOLÓGICO'!$A$2:$A$4919,$A1545)/$F1545,"")</f>
        <v/>
      </c>
      <c r="J1545" s="6">
        <f>IFERROR(SUMIFS('DETALLE CRONOLÓGICO'!$K$2:$K$4919,'DETALLE CRONOLÓGICO'!$A$2:$A$4919,$A1545)/$E1545,"")</f>
        <v/>
      </c>
      <c r="K1545" s="6">
        <f>_xlfn.MINIFS('DETALLE CRONOLÓGICO'!$K$2:$K$4919,'DETALLE CRONOLÓGICO'!$A$2:$A$4919,$A1545)</f>
        <v/>
      </c>
      <c r="L1545" s="6">
        <f>_xlfn.MAXIFS('DETALLE CRONOLÓGICO'!$K$2:$K$4919,'DETALLE CRONOLÓGICO'!$A$2:$A$4919,$A1545)</f>
        <v/>
      </c>
      <c r="M1545" s="6">
        <f>INDEX('DETALLE CRONOLÓGICO'!$K$2:$K$4919,MATCH($A1545,'DETALLE CRONOLÓGICO'!$A$2:$A$4919,0)+$E1545-1)</f>
        <v/>
      </c>
      <c r="N1545" s="7">
        <f>IFERROR($M1545/INDEX('DETALLE CRONOLÓGICO'!$K$2:$K$4919,MATCH($A1545,'DETALLE CRONOLÓGICO'!$A$2:$A$4919,0))-1,"")</f>
        <v/>
      </c>
      <c r="O1545" s="6">
        <f>IFERROR($I1545*3,"")</f>
        <v/>
      </c>
      <c r="P1545" s="6">
        <f>IFERROR($I1545*3.5,"")</f>
        <v/>
      </c>
      <c r="Q1545" s="6">
        <f>IFERROR($I1545*4,"")</f>
        <v/>
      </c>
      <c r="R1545" s="6" t="n">
        <v>450</v>
      </c>
      <c r="S1545" s="4" t="n">
        <v>0</v>
      </c>
      <c r="T1545" s="1" t="inlineStr">
        <is>
          <t>active</t>
        </is>
      </c>
      <c r="U1545" s="8" t="n"/>
      <c r="V1545" s="1" t="inlineStr">
        <is>
          <t>SIN PRECIO</t>
        </is>
      </c>
    </row>
    <row r="1546">
      <c r="A1546" s="1" t="inlineStr">
        <is>
          <t>665bd4a42501a-1</t>
        </is>
      </c>
      <c r="B1546" s="1" t="inlineStr">
        <is>
          <t>ARETES CLAVO SILVER</t>
        </is>
      </c>
      <c r="C1546" s="1" t="inlineStr">
        <is>
          <t>Regular</t>
        </is>
      </c>
      <c r="D1546" s="1" t="inlineStr">
        <is>
          <t>HAIFENG</t>
        </is>
      </c>
      <c r="E1546" s="4">
        <f>COUNTIF('DETALLE CRONOLÓGICO'!$A$2:$A$4919,$A1546)</f>
        <v/>
      </c>
      <c r="F1546" s="4">
        <f>SUMIFS('DETALLE CRONOLÓGICO'!$I$2:$I$4919,'DETALLE CRONOLÓGICO'!$A$2:$A$4919,$A1546)</f>
        <v/>
      </c>
      <c r="G1546" s="1">
        <f>INDEX('DETALLE CRONOLÓGICO'!$D$2:$D$4919,MATCH($A1546,'DETALLE CRONOLÓGICO'!$A$2:$A$4919,0))</f>
        <v/>
      </c>
      <c r="H1546" s="1">
        <f>INDEX('DETALLE CRONOLÓGICO'!$D$2:$D$4919,MATCH($A1546,'DETALLE CRONOLÓGICO'!$A$2:$A$4919,0)+$E1546-1)</f>
        <v/>
      </c>
      <c r="I1546" s="5">
        <f>IFERROR(SUMIFS('DETALLE CRONOLÓGICO'!$L$2:$L$4919,'DETALLE CRONOLÓGICO'!$A$2:$A$4919,$A1546)/$F1546,"")</f>
        <v/>
      </c>
      <c r="J1546" s="6">
        <f>IFERROR(SUMIFS('DETALLE CRONOLÓGICO'!$K$2:$K$4919,'DETALLE CRONOLÓGICO'!$A$2:$A$4919,$A1546)/$E1546,"")</f>
        <v/>
      </c>
      <c r="K1546" s="6">
        <f>_xlfn.MINIFS('DETALLE CRONOLÓGICO'!$K$2:$K$4919,'DETALLE CRONOLÓGICO'!$A$2:$A$4919,$A1546)</f>
        <v/>
      </c>
      <c r="L1546" s="6">
        <f>_xlfn.MAXIFS('DETALLE CRONOLÓGICO'!$K$2:$K$4919,'DETALLE CRONOLÓGICO'!$A$2:$A$4919,$A1546)</f>
        <v/>
      </c>
      <c r="M1546" s="6">
        <f>INDEX('DETALLE CRONOLÓGICO'!$K$2:$K$4919,MATCH($A1546,'DETALLE CRONOLÓGICO'!$A$2:$A$4919,0)+$E1546-1)</f>
        <v/>
      </c>
      <c r="N1546" s="7">
        <f>IFERROR($M1546/INDEX('DETALLE CRONOLÓGICO'!$K$2:$K$4919,MATCH($A1546,'DETALLE CRONOLÓGICO'!$A$2:$A$4919,0))-1,"")</f>
        <v/>
      </c>
      <c r="O1546" s="6">
        <f>IFERROR($I1546*3,"")</f>
        <v/>
      </c>
      <c r="P1546" s="6">
        <f>IFERROR($I1546*3.5,"")</f>
        <v/>
      </c>
      <c r="Q1546" s="6">
        <f>IFERROR($I1546*4,"")</f>
        <v/>
      </c>
      <c r="R1546" s="6" t="n">
        <v>400</v>
      </c>
      <c r="S1546" s="4" t="n">
        <v>5</v>
      </c>
      <c r="T1546" s="1" t="inlineStr">
        <is>
          <t>active</t>
        </is>
      </c>
      <c r="U1546" s="8" t="n"/>
      <c r="V1546" s="1" t="inlineStr">
        <is>
          <t>SIN PRECIO</t>
        </is>
      </c>
    </row>
    <row r="1547">
      <c r="A1547" s="1" t="inlineStr">
        <is>
          <t>665bd4a63435b</t>
        </is>
      </c>
      <c r="B1547" s="1" t="inlineStr">
        <is>
          <t>ARETES CLAVO GOLD</t>
        </is>
      </c>
      <c r="C1547" s="1" t="inlineStr">
        <is>
          <t>Default Title</t>
        </is>
      </c>
      <c r="D1547" s="1" t="inlineStr">
        <is>
          <t>HAIFENG</t>
        </is>
      </c>
      <c r="E1547" s="4">
        <f>COUNTIF('DETALLE CRONOLÓGICO'!$A$2:$A$4919,$A1547)</f>
        <v/>
      </c>
      <c r="F1547" s="4">
        <f>SUMIFS('DETALLE CRONOLÓGICO'!$I$2:$I$4919,'DETALLE CRONOLÓGICO'!$A$2:$A$4919,$A1547)</f>
        <v/>
      </c>
      <c r="G1547" s="1">
        <f>INDEX('DETALLE CRONOLÓGICO'!$D$2:$D$4919,MATCH($A1547,'DETALLE CRONOLÓGICO'!$A$2:$A$4919,0))</f>
        <v/>
      </c>
      <c r="H1547" s="1">
        <f>INDEX('DETALLE CRONOLÓGICO'!$D$2:$D$4919,MATCH($A1547,'DETALLE CRONOLÓGICO'!$A$2:$A$4919,0)+$E1547-1)</f>
        <v/>
      </c>
      <c r="I1547" s="5">
        <f>IFERROR(SUMIFS('DETALLE CRONOLÓGICO'!$L$2:$L$4919,'DETALLE CRONOLÓGICO'!$A$2:$A$4919,$A1547)/$F1547,"")</f>
        <v/>
      </c>
      <c r="J1547" s="6">
        <f>IFERROR(SUMIFS('DETALLE CRONOLÓGICO'!$K$2:$K$4919,'DETALLE CRONOLÓGICO'!$A$2:$A$4919,$A1547)/$E1547,"")</f>
        <v/>
      </c>
      <c r="K1547" s="6">
        <f>_xlfn.MINIFS('DETALLE CRONOLÓGICO'!$K$2:$K$4919,'DETALLE CRONOLÓGICO'!$A$2:$A$4919,$A1547)</f>
        <v/>
      </c>
      <c r="L1547" s="6">
        <f>_xlfn.MAXIFS('DETALLE CRONOLÓGICO'!$K$2:$K$4919,'DETALLE CRONOLÓGICO'!$A$2:$A$4919,$A1547)</f>
        <v/>
      </c>
      <c r="M1547" s="6">
        <f>INDEX('DETALLE CRONOLÓGICO'!$K$2:$K$4919,MATCH($A1547,'DETALLE CRONOLÓGICO'!$A$2:$A$4919,0)+$E1547-1)</f>
        <v/>
      </c>
      <c r="N1547" s="7">
        <f>IFERROR($M1547/INDEX('DETALLE CRONOLÓGICO'!$K$2:$K$4919,MATCH($A1547,'DETALLE CRONOLÓGICO'!$A$2:$A$4919,0))-1,"")</f>
        <v/>
      </c>
      <c r="O1547" s="6">
        <f>IFERROR($I1547*3,"")</f>
        <v/>
      </c>
      <c r="P1547" s="6">
        <f>IFERROR($I1547*3.5,"")</f>
        <v/>
      </c>
      <c r="Q1547" s="6">
        <f>IFERROR($I1547*4,"")</f>
        <v/>
      </c>
      <c r="R1547" s="6" t="n">
        <v>400</v>
      </c>
      <c r="S1547" s="4" t="n">
        <v>6</v>
      </c>
      <c r="T1547" s="1" t="inlineStr">
        <is>
          <t>active</t>
        </is>
      </c>
      <c r="U1547" s="8" t="n"/>
      <c r="V1547" s="1" t="inlineStr">
        <is>
          <t>SIN PRECIO</t>
        </is>
      </c>
    </row>
    <row r="1548">
      <c r="A1548" s="1" t="inlineStr">
        <is>
          <t>665bd4aa5e311</t>
        </is>
      </c>
      <c r="B1548" s="1" t="inlineStr">
        <is>
          <t>TARJETERO YSL LOGO BLACK</t>
        </is>
      </c>
      <c r="C1548" s="1" t="inlineStr">
        <is>
          <t>10cm de largo x 7.5cm de alto</t>
        </is>
      </c>
      <c r="D1548" s="1" t="inlineStr">
        <is>
          <t>CYNTHIA</t>
        </is>
      </c>
      <c r="E1548" s="4">
        <f>COUNTIF('DETALLE CRONOLÓGICO'!$A$2:$A$4919,$A1548)</f>
        <v/>
      </c>
      <c r="F1548" s="4">
        <f>SUMIFS('DETALLE CRONOLÓGICO'!$I$2:$I$4919,'DETALLE CRONOLÓGICO'!$A$2:$A$4919,$A1548)</f>
        <v/>
      </c>
      <c r="G1548" s="1">
        <f>INDEX('DETALLE CRONOLÓGICO'!$D$2:$D$4919,MATCH($A1548,'DETALLE CRONOLÓGICO'!$A$2:$A$4919,0))</f>
        <v/>
      </c>
      <c r="H1548" s="1">
        <f>INDEX('DETALLE CRONOLÓGICO'!$D$2:$D$4919,MATCH($A1548,'DETALLE CRONOLÓGICO'!$A$2:$A$4919,0)+$E1548-1)</f>
        <v/>
      </c>
      <c r="I1548" s="5">
        <f>IFERROR(SUMIFS('DETALLE CRONOLÓGICO'!$L$2:$L$4919,'DETALLE CRONOLÓGICO'!$A$2:$A$4919,$A1548)/$F1548,"")</f>
        <v/>
      </c>
      <c r="J1548" s="6">
        <f>IFERROR(SUMIFS('DETALLE CRONOLÓGICO'!$K$2:$K$4919,'DETALLE CRONOLÓGICO'!$A$2:$A$4919,$A1548)/$E1548,"")</f>
        <v/>
      </c>
      <c r="K1548" s="6">
        <f>_xlfn.MINIFS('DETALLE CRONOLÓGICO'!$K$2:$K$4919,'DETALLE CRONOLÓGICO'!$A$2:$A$4919,$A1548)</f>
        <v/>
      </c>
      <c r="L1548" s="6">
        <f>_xlfn.MAXIFS('DETALLE CRONOLÓGICO'!$K$2:$K$4919,'DETALLE CRONOLÓGICO'!$A$2:$A$4919,$A1548)</f>
        <v/>
      </c>
      <c r="M1548" s="6">
        <f>INDEX('DETALLE CRONOLÓGICO'!$K$2:$K$4919,MATCH($A1548,'DETALLE CRONOLÓGICO'!$A$2:$A$4919,0)+$E1548-1)</f>
        <v/>
      </c>
      <c r="N1548" s="7">
        <f>IFERROR($M1548/INDEX('DETALLE CRONOLÓGICO'!$K$2:$K$4919,MATCH($A1548,'DETALLE CRONOLÓGICO'!$A$2:$A$4919,0))-1,"")</f>
        <v/>
      </c>
      <c r="O1548" s="6">
        <f>IFERROR($I1548*3,"")</f>
        <v/>
      </c>
      <c r="P1548" s="6">
        <f>IFERROR($I1548*3.5,"")</f>
        <v/>
      </c>
      <c r="Q1548" s="6">
        <f>IFERROR($I1548*4,"")</f>
        <v/>
      </c>
      <c r="R1548" s="6" t="n">
        <v>2279</v>
      </c>
      <c r="S1548" s="4" t="n">
        <v>6</v>
      </c>
      <c r="T1548" s="1" t="inlineStr">
        <is>
          <t>active</t>
        </is>
      </c>
      <c r="U1548" s="8" t="n"/>
      <c r="V1548" s="1" t="inlineStr">
        <is>
          <t>SIN PRECIO</t>
        </is>
      </c>
    </row>
    <row r="1549">
      <c r="A1549" s="1" t="inlineStr">
        <is>
          <t>665bd4aee8cb5</t>
        </is>
      </c>
      <c r="B1549" s="1" t="inlineStr">
        <is>
          <t>ARETES CD PERLAS/ ZIRCONIAS</t>
        </is>
      </c>
      <c r="C1549" s="1" t="inlineStr">
        <is>
          <t>Default Title</t>
        </is>
      </c>
      <c r="D1549" s="1" t="inlineStr">
        <is>
          <t>CYNTHIA</t>
        </is>
      </c>
      <c r="E1549" s="4">
        <f>COUNTIF('DETALLE CRONOLÓGICO'!$A$2:$A$4919,$A1549)</f>
        <v/>
      </c>
      <c r="F1549" s="4">
        <f>SUMIFS('DETALLE CRONOLÓGICO'!$I$2:$I$4919,'DETALLE CRONOLÓGICO'!$A$2:$A$4919,$A1549)</f>
        <v/>
      </c>
      <c r="G1549" s="1">
        <f>INDEX('DETALLE CRONOLÓGICO'!$D$2:$D$4919,MATCH($A1549,'DETALLE CRONOLÓGICO'!$A$2:$A$4919,0))</f>
        <v/>
      </c>
      <c r="H1549" s="1">
        <f>INDEX('DETALLE CRONOLÓGICO'!$D$2:$D$4919,MATCH($A1549,'DETALLE CRONOLÓGICO'!$A$2:$A$4919,0)+$E1549-1)</f>
        <v/>
      </c>
      <c r="I1549" s="5">
        <f>IFERROR(SUMIFS('DETALLE CRONOLÓGICO'!$L$2:$L$4919,'DETALLE CRONOLÓGICO'!$A$2:$A$4919,$A1549)/$F1549,"")</f>
        <v/>
      </c>
      <c r="J1549" s="6">
        <f>IFERROR(SUMIFS('DETALLE CRONOLÓGICO'!$K$2:$K$4919,'DETALLE CRONOLÓGICO'!$A$2:$A$4919,$A1549)/$E1549,"")</f>
        <v/>
      </c>
      <c r="K1549" s="6">
        <f>_xlfn.MINIFS('DETALLE CRONOLÓGICO'!$K$2:$K$4919,'DETALLE CRONOLÓGICO'!$A$2:$A$4919,$A1549)</f>
        <v/>
      </c>
      <c r="L1549" s="6">
        <f>_xlfn.MAXIFS('DETALLE CRONOLÓGICO'!$K$2:$K$4919,'DETALLE CRONOLÓGICO'!$A$2:$A$4919,$A1549)</f>
        <v/>
      </c>
      <c r="M1549" s="6">
        <f>INDEX('DETALLE CRONOLÓGICO'!$K$2:$K$4919,MATCH($A1549,'DETALLE CRONOLÓGICO'!$A$2:$A$4919,0)+$E1549-1)</f>
        <v/>
      </c>
      <c r="N1549" s="7">
        <f>IFERROR($M1549/INDEX('DETALLE CRONOLÓGICO'!$K$2:$K$4919,MATCH($A1549,'DETALLE CRONOLÓGICO'!$A$2:$A$4919,0))-1,"")</f>
        <v/>
      </c>
      <c r="O1549" s="6">
        <f>IFERROR($I1549*3,"")</f>
        <v/>
      </c>
      <c r="P1549" s="6">
        <f>IFERROR($I1549*3.5,"")</f>
        <v/>
      </c>
      <c r="Q1549" s="6">
        <f>IFERROR($I1549*4,"")</f>
        <v/>
      </c>
      <c r="R1549" s="6" t="n">
        <v>850</v>
      </c>
      <c r="S1549" s="4" t="n">
        <v>3</v>
      </c>
      <c r="T1549" s="1" t="inlineStr">
        <is>
          <t>active</t>
        </is>
      </c>
      <c r="U1549" s="8" t="n"/>
      <c r="V1549" s="1" t="inlineStr">
        <is>
          <t>SIN PRECIO</t>
        </is>
      </c>
    </row>
    <row r="1550">
      <c r="A1550" s="1" t="inlineStr">
        <is>
          <t>665bd4b01f958</t>
        </is>
      </c>
      <c r="B1550" s="1" t="inlineStr">
        <is>
          <t>ARETES PR SILVER</t>
        </is>
      </c>
      <c r="C1550" s="1" t="inlineStr">
        <is>
          <t>Default Title</t>
        </is>
      </c>
      <c r="D1550" s="1" t="inlineStr">
        <is>
          <t>CYNTHIA</t>
        </is>
      </c>
      <c r="E1550" s="4">
        <f>COUNTIF('DETALLE CRONOLÓGICO'!$A$2:$A$4919,$A1550)</f>
        <v/>
      </c>
      <c r="F1550" s="4">
        <f>SUMIFS('DETALLE CRONOLÓGICO'!$I$2:$I$4919,'DETALLE CRONOLÓGICO'!$A$2:$A$4919,$A1550)</f>
        <v/>
      </c>
      <c r="G1550" s="1">
        <f>INDEX('DETALLE CRONOLÓGICO'!$D$2:$D$4919,MATCH($A1550,'DETALLE CRONOLÓGICO'!$A$2:$A$4919,0))</f>
        <v/>
      </c>
      <c r="H1550" s="1">
        <f>INDEX('DETALLE CRONOLÓGICO'!$D$2:$D$4919,MATCH($A1550,'DETALLE CRONOLÓGICO'!$A$2:$A$4919,0)+$E1550-1)</f>
        <v/>
      </c>
      <c r="I1550" s="5">
        <f>IFERROR(SUMIFS('DETALLE CRONOLÓGICO'!$L$2:$L$4919,'DETALLE CRONOLÓGICO'!$A$2:$A$4919,$A1550)/$F1550,"")</f>
        <v/>
      </c>
      <c r="J1550" s="6">
        <f>IFERROR(SUMIFS('DETALLE CRONOLÓGICO'!$K$2:$K$4919,'DETALLE CRONOLÓGICO'!$A$2:$A$4919,$A1550)/$E1550,"")</f>
        <v/>
      </c>
      <c r="K1550" s="6">
        <f>_xlfn.MINIFS('DETALLE CRONOLÓGICO'!$K$2:$K$4919,'DETALLE CRONOLÓGICO'!$A$2:$A$4919,$A1550)</f>
        <v/>
      </c>
      <c r="L1550" s="6">
        <f>_xlfn.MAXIFS('DETALLE CRONOLÓGICO'!$K$2:$K$4919,'DETALLE CRONOLÓGICO'!$A$2:$A$4919,$A1550)</f>
        <v/>
      </c>
      <c r="M1550" s="6">
        <f>INDEX('DETALLE CRONOLÓGICO'!$K$2:$K$4919,MATCH($A1550,'DETALLE CRONOLÓGICO'!$A$2:$A$4919,0)+$E1550-1)</f>
        <v/>
      </c>
      <c r="N1550" s="7">
        <f>IFERROR($M1550/INDEX('DETALLE CRONOLÓGICO'!$K$2:$K$4919,MATCH($A1550,'DETALLE CRONOLÓGICO'!$A$2:$A$4919,0))-1,"")</f>
        <v/>
      </c>
      <c r="O1550" s="6">
        <f>IFERROR($I1550*3,"")</f>
        <v/>
      </c>
      <c r="P1550" s="6">
        <f>IFERROR($I1550*3.5,"")</f>
        <v/>
      </c>
      <c r="Q1550" s="6">
        <f>IFERROR($I1550*4,"")</f>
        <v/>
      </c>
      <c r="R1550" s="6" t="n">
        <v>750</v>
      </c>
      <c r="S1550" s="4" t="n">
        <v>6</v>
      </c>
      <c r="T1550" s="1" t="inlineStr">
        <is>
          <t>active</t>
        </is>
      </c>
      <c r="U1550" s="8" t="n"/>
      <c r="V1550" s="1" t="inlineStr">
        <is>
          <t>SIN PRECIO</t>
        </is>
      </c>
    </row>
    <row r="1551">
      <c r="A1551" s="1" t="inlineStr">
        <is>
          <t>665bd4b033012</t>
        </is>
      </c>
      <c r="B1551" s="1" t="inlineStr">
        <is>
          <t>ARETES YSL SILVER</t>
        </is>
      </c>
      <c r="C1551" s="1" t="inlineStr">
        <is>
          <t>Default Title</t>
        </is>
      </c>
      <c r="D1551" s="1" t="inlineStr">
        <is>
          <t>CYNTHIA</t>
        </is>
      </c>
      <c r="E1551" s="4">
        <f>COUNTIF('DETALLE CRONOLÓGICO'!$A$2:$A$4919,$A1551)</f>
        <v/>
      </c>
      <c r="F1551" s="4">
        <f>SUMIFS('DETALLE CRONOLÓGICO'!$I$2:$I$4919,'DETALLE CRONOLÓGICO'!$A$2:$A$4919,$A1551)</f>
        <v/>
      </c>
      <c r="G1551" s="1">
        <f>INDEX('DETALLE CRONOLÓGICO'!$D$2:$D$4919,MATCH($A1551,'DETALLE CRONOLÓGICO'!$A$2:$A$4919,0))</f>
        <v/>
      </c>
      <c r="H1551" s="1">
        <f>INDEX('DETALLE CRONOLÓGICO'!$D$2:$D$4919,MATCH($A1551,'DETALLE CRONOLÓGICO'!$A$2:$A$4919,0)+$E1551-1)</f>
        <v/>
      </c>
      <c r="I1551" s="5">
        <f>IFERROR(SUMIFS('DETALLE CRONOLÓGICO'!$L$2:$L$4919,'DETALLE CRONOLÓGICO'!$A$2:$A$4919,$A1551)/$F1551,"")</f>
        <v/>
      </c>
      <c r="J1551" s="6">
        <f>IFERROR(SUMIFS('DETALLE CRONOLÓGICO'!$K$2:$K$4919,'DETALLE CRONOLÓGICO'!$A$2:$A$4919,$A1551)/$E1551,"")</f>
        <v/>
      </c>
      <c r="K1551" s="6">
        <f>_xlfn.MINIFS('DETALLE CRONOLÓGICO'!$K$2:$K$4919,'DETALLE CRONOLÓGICO'!$A$2:$A$4919,$A1551)</f>
        <v/>
      </c>
      <c r="L1551" s="6">
        <f>_xlfn.MAXIFS('DETALLE CRONOLÓGICO'!$K$2:$K$4919,'DETALLE CRONOLÓGICO'!$A$2:$A$4919,$A1551)</f>
        <v/>
      </c>
      <c r="M1551" s="6">
        <f>INDEX('DETALLE CRONOLÓGICO'!$K$2:$K$4919,MATCH($A1551,'DETALLE CRONOLÓGICO'!$A$2:$A$4919,0)+$E1551-1)</f>
        <v/>
      </c>
      <c r="N1551" s="7">
        <f>IFERROR($M1551/INDEX('DETALLE CRONOLÓGICO'!$K$2:$K$4919,MATCH($A1551,'DETALLE CRONOLÓGICO'!$A$2:$A$4919,0))-1,"")</f>
        <v/>
      </c>
      <c r="O1551" s="6">
        <f>IFERROR($I1551*3,"")</f>
        <v/>
      </c>
      <c r="P1551" s="6">
        <f>IFERROR($I1551*3.5,"")</f>
        <v/>
      </c>
      <c r="Q1551" s="6">
        <f>IFERROR($I1551*4,"")</f>
        <v/>
      </c>
      <c r="R1551" s="6" t="n">
        <v>499</v>
      </c>
      <c r="S1551" s="4" t="n">
        <v>1</v>
      </c>
      <c r="T1551" s="1" t="inlineStr">
        <is>
          <t>active</t>
        </is>
      </c>
      <c r="U1551" s="8" t="n"/>
      <c r="V1551" s="1" t="inlineStr">
        <is>
          <t>SIN PRECIO</t>
        </is>
      </c>
    </row>
    <row r="1552">
      <c r="A1552" s="1" t="inlineStr">
        <is>
          <t>66745969cb7d0</t>
        </is>
      </c>
      <c r="B1552" s="1" t="inlineStr">
        <is>
          <t>COLLAR 20 TRÉBOLES GOLD GREEN</t>
        </is>
      </c>
      <c r="C1552" s="1" t="inlineStr">
        <is>
          <t>Default Title</t>
        </is>
      </c>
      <c r="D1552" s="1" t="inlineStr">
        <is>
          <t>NANCY</t>
        </is>
      </c>
      <c r="E1552" s="4">
        <f>COUNTIF('DETALLE CRONOLÓGICO'!$A$2:$A$4919,$A1552)</f>
        <v/>
      </c>
      <c r="F1552" s="4">
        <f>SUMIFS('DETALLE CRONOLÓGICO'!$I$2:$I$4919,'DETALLE CRONOLÓGICO'!$A$2:$A$4919,$A1552)</f>
        <v/>
      </c>
      <c r="G1552" s="1">
        <f>INDEX('DETALLE CRONOLÓGICO'!$D$2:$D$4919,MATCH($A1552,'DETALLE CRONOLÓGICO'!$A$2:$A$4919,0))</f>
        <v/>
      </c>
      <c r="H1552" s="1">
        <f>INDEX('DETALLE CRONOLÓGICO'!$D$2:$D$4919,MATCH($A1552,'DETALLE CRONOLÓGICO'!$A$2:$A$4919,0)+$E1552-1)</f>
        <v/>
      </c>
      <c r="I1552" s="5">
        <f>IFERROR(SUMIFS('DETALLE CRONOLÓGICO'!$L$2:$L$4919,'DETALLE CRONOLÓGICO'!$A$2:$A$4919,$A1552)/$F1552,"")</f>
        <v/>
      </c>
      <c r="J1552" s="6">
        <f>IFERROR(SUMIFS('DETALLE CRONOLÓGICO'!$K$2:$K$4919,'DETALLE CRONOLÓGICO'!$A$2:$A$4919,$A1552)/$E1552,"")</f>
        <v/>
      </c>
      <c r="K1552" s="6">
        <f>_xlfn.MINIFS('DETALLE CRONOLÓGICO'!$K$2:$K$4919,'DETALLE CRONOLÓGICO'!$A$2:$A$4919,$A1552)</f>
        <v/>
      </c>
      <c r="L1552" s="6">
        <f>_xlfn.MAXIFS('DETALLE CRONOLÓGICO'!$K$2:$K$4919,'DETALLE CRONOLÓGICO'!$A$2:$A$4919,$A1552)</f>
        <v/>
      </c>
      <c r="M1552" s="6">
        <f>INDEX('DETALLE CRONOLÓGICO'!$K$2:$K$4919,MATCH($A1552,'DETALLE CRONOLÓGICO'!$A$2:$A$4919,0)+$E1552-1)</f>
        <v/>
      </c>
      <c r="N1552" s="7">
        <f>IFERROR($M1552/INDEX('DETALLE CRONOLÓGICO'!$K$2:$K$4919,MATCH($A1552,'DETALLE CRONOLÓGICO'!$A$2:$A$4919,0))-1,"")</f>
        <v/>
      </c>
      <c r="O1552" s="6">
        <f>IFERROR($I1552*3,"")</f>
        <v/>
      </c>
      <c r="P1552" s="6">
        <f>IFERROR($I1552*3.5,"")</f>
        <v/>
      </c>
      <c r="Q1552" s="6">
        <f>IFERROR($I1552*4,"")</f>
        <v/>
      </c>
      <c r="R1552" s="6" t="n">
        <v>3199</v>
      </c>
      <c r="S1552" s="4" t="n">
        <v>1</v>
      </c>
      <c r="T1552" s="1" t="inlineStr">
        <is>
          <t>active</t>
        </is>
      </c>
      <c r="U1552" s="8" t="n"/>
      <c r="V1552" s="1" t="inlineStr">
        <is>
          <t>SIN PRECIO</t>
        </is>
      </c>
    </row>
    <row r="1553">
      <c r="A1553" s="1" t="inlineStr">
        <is>
          <t>6674596a63af2</t>
        </is>
      </c>
      <c r="B1553" s="1" t="inlineStr">
        <is>
          <t>COLLAR 20 TRÉBOLES GOLD BLACK</t>
        </is>
      </c>
      <c r="C1553" s="1" t="inlineStr">
        <is>
          <t>Default Title</t>
        </is>
      </c>
      <c r="D1553" s="1" t="inlineStr">
        <is>
          <t>NANCY</t>
        </is>
      </c>
      <c r="E1553" s="4">
        <f>COUNTIF('DETALLE CRONOLÓGICO'!$A$2:$A$4919,$A1553)</f>
        <v/>
      </c>
      <c r="F1553" s="4">
        <f>SUMIFS('DETALLE CRONOLÓGICO'!$I$2:$I$4919,'DETALLE CRONOLÓGICO'!$A$2:$A$4919,$A1553)</f>
        <v/>
      </c>
      <c r="G1553" s="1">
        <f>INDEX('DETALLE CRONOLÓGICO'!$D$2:$D$4919,MATCH($A1553,'DETALLE CRONOLÓGICO'!$A$2:$A$4919,0))</f>
        <v/>
      </c>
      <c r="H1553" s="1">
        <f>INDEX('DETALLE CRONOLÓGICO'!$D$2:$D$4919,MATCH($A1553,'DETALLE CRONOLÓGICO'!$A$2:$A$4919,0)+$E1553-1)</f>
        <v/>
      </c>
      <c r="I1553" s="5">
        <f>IFERROR(SUMIFS('DETALLE CRONOLÓGICO'!$L$2:$L$4919,'DETALLE CRONOLÓGICO'!$A$2:$A$4919,$A1553)/$F1553,"")</f>
        <v/>
      </c>
      <c r="J1553" s="6">
        <f>IFERROR(SUMIFS('DETALLE CRONOLÓGICO'!$K$2:$K$4919,'DETALLE CRONOLÓGICO'!$A$2:$A$4919,$A1553)/$E1553,"")</f>
        <v/>
      </c>
      <c r="K1553" s="6">
        <f>_xlfn.MINIFS('DETALLE CRONOLÓGICO'!$K$2:$K$4919,'DETALLE CRONOLÓGICO'!$A$2:$A$4919,$A1553)</f>
        <v/>
      </c>
      <c r="L1553" s="6">
        <f>_xlfn.MAXIFS('DETALLE CRONOLÓGICO'!$K$2:$K$4919,'DETALLE CRONOLÓGICO'!$A$2:$A$4919,$A1553)</f>
        <v/>
      </c>
      <c r="M1553" s="6">
        <f>INDEX('DETALLE CRONOLÓGICO'!$K$2:$K$4919,MATCH($A1553,'DETALLE CRONOLÓGICO'!$A$2:$A$4919,0)+$E1553-1)</f>
        <v/>
      </c>
      <c r="N1553" s="7">
        <f>IFERROR($M1553/INDEX('DETALLE CRONOLÓGICO'!$K$2:$K$4919,MATCH($A1553,'DETALLE CRONOLÓGICO'!$A$2:$A$4919,0))-1,"")</f>
        <v/>
      </c>
      <c r="O1553" s="6">
        <f>IFERROR($I1553*3,"")</f>
        <v/>
      </c>
      <c r="P1553" s="6">
        <f>IFERROR($I1553*3.5,"")</f>
        <v/>
      </c>
      <c r="Q1553" s="6">
        <f>IFERROR($I1553*4,"")</f>
        <v/>
      </c>
      <c r="R1553" s="6" t="n">
        <v>3455</v>
      </c>
      <c r="S1553" s="4" t="n">
        <v>4</v>
      </c>
      <c r="T1553" s="1" t="inlineStr">
        <is>
          <t>active</t>
        </is>
      </c>
      <c r="U1553" s="8" t="n"/>
      <c r="V1553" s="1" t="inlineStr">
        <is>
          <t>SIN PRECIO</t>
        </is>
      </c>
    </row>
    <row r="1554">
      <c r="A1554" s="1" t="inlineStr">
        <is>
          <t>66745971e789e</t>
        </is>
      </c>
      <c r="B1554" s="1" t="inlineStr">
        <is>
          <t>COLLAR 20 TRÉBOLES GOLD WHITE</t>
        </is>
      </c>
      <c r="C1554" s="1" t="inlineStr">
        <is>
          <t>Default Title</t>
        </is>
      </c>
      <c r="D1554" s="1" t="inlineStr">
        <is>
          <t>NANCY</t>
        </is>
      </c>
      <c r="E1554" s="4">
        <f>COUNTIF('DETALLE CRONOLÓGICO'!$A$2:$A$4919,$A1554)</f>
        <v/>
      </c>
      <c r="F1554" s="4">
        <f>SUMIFS('DETALLE CRONOLÓGICO'!$I$2:$I$4919,'DETALLE CRONOLÓGICO'!$A$2:$A$4919,$A1554)</f>
        <v/>
      </c>
      <c r="G1554" s="1">
        <f>INDEX('DETALLE CRONOLÓGICO'!$D$2:$D$4919,MATCH($A1554,'DETALLE CRONOLÓGICO'!$A$2:$A$4919,0))</f>
        <v/>
      </c>
      <c r="H1554" s="1">
        <f>INDEX('DETALLE CRONOLÓGICO'!$D$2:$D$4919,MATCH($A1554,'DETALLE CRONOLÓGICO'!$A$2:$A$4919,0)+$E1554-1)</f>
        <v/>
      </c>
      <c r="I1554" s="5">
        <f>IFERROR(SUMIFS('DETALLE CRONOLÓGICO'!$L$2:$L$4919,'DETALLE CRONOLÓGICO'!$A$2:$A$4919,$A1554)/$F1554,"")</f>
        <v/>
      </c>
      <c r="J1554" s="6">
        <f>IFERROR(SUMIFS('DETALLE CRONOLÓGICO'!$K$2:$K$4919,'DETALLE CRONOLÓGICO'!$A$2:$A$4919,$A1554)/$E1554,"")</f>
        <v/>
      </c>
      <c r="K1554" s="6">
        <f>_xlfn.MINIFS('DETALLE CRONOLÓGICO'!$K$2:$K$4919,'DETALLE CRONOLÓGICO'!$A$2:$A$4919,$A1554)</f>
        <v/>
      </c>
      <c r="L1554" s="6">
        <f>_xlfn.MAXIFS('DETALLE CRONOLÓGICO'!$K$2:$K$4919,'DETALLE CRONOLÓGICO'!$A$2:$A$4919,$A1554)</f>
        <v/>
      </c>
      <c r="M1554" s="6">
        <f>INDEX('DETALLE CRONOLÓGICO'!$K$2:$K$4919,MATCH($A1554,'DETALLE CRONOLÓGICO'!$A$2:$A$4919,0)+$E1554-1)</f>
        <v/>
      </c>
      <c r="N1554" s="7">
        <f>IFERROR($M1554/INDEX('DETALLE CRONOLÓGICO'!$K$2:$K$4919,MATCH($A1554,'DETALLE CRONOLÓGICO'!$A$2:$A$4919,0))-1,"")</f>
        <v/>
      </c>
      <c r="O1554" s="6">
        <f>IFERROR($I1554*3,"")</f>
        <v/>
      </c>
      <c r="P1554" s="6">
        <f>IFERROR($I1554*3.5,"")</f>
        <v/>
      </c>
      <c r="Q1554" s="6">
        <f>IFERROR($I1554*4,"")</f>
        <v/>
      </c>
      <c r="R1554" s="6" t="n">
        <v>2591</v>
      </c>
      <c r="S1554" s="4" t="n">
        <v>1</v>
      </c>
      <c r="T1554" s="1" t="inlineStr">
        <is>
          <t>active</t>
        </is>
      </c>
      <c r="U1554" s="8" t="n"/>
      <c r="V1554" s="1" t="inlineStr">
        <is>
          <t>SIN PRECIO</t>
        </is>
      </c>
    </row>
    <row r="1555">
      <c r="A1555" s="1" t="inlineStr">
        <is>
          <t>66745973ed916</t>
        </is>
      </c>
      <c r="B1555" s="1" t="inlineStr">
        <is>
          <t>COLLAR 20 TRÉBOLES GOLD RED</t>
        </is>
      </c>
      <c r="C1555" s="1" t="inlineStr">
        <is>
          <t>Default Title</t>
        </is>
      </c>
      <c r="D1555" s="1" t="inlineStr">
        <is>
          <t>NANCY</t>
        </is>
      </c>
      <c r="E1555" s="4">
        <f>COUNTIF('DETALLE CRONOLÓGICO'!$A$2:$A$4919,$A1555)</f>
        <v/>
      </c>
      <c r="F1555" s="4">
        <f>SUMIFS('DETALLE CRONOLÓGICO'!$I$2:$I$4919,'DETALLE CRONOLÓGICO'!$A$2:$A$4919,$A1555)</f>
        <v/>
      </c>
      <c r="G1555" s="1">
        <f>INDEX('DETALLE CRONOLÓGICO'!$D$2:$D$4919,MATCH($A1555,'DETALLE CRONOLÓGICO'!$A$2:$A$4919,0))</f>
        <v/>
      </c>
      <c r="H1555" s="1">
        <f>INDEX('DETALLE CRONOLÓGICO'!$D$2:$D$4919,MATCH($A1555,'DETALLE CRONOLÓGICO'!$A$2:$A$4919,0)+$E1555-1)</f>
        <v/>
      </c>
      <c r="I1555" s="5">
        <f>IFERROR(SUMIFS('DETALLE CRONOLÓGICO'!$L$2:$L$4919,'DETALLE CRONOLÓGICO'!$A$2:$A$4919,$A1555)/$F1555,"")</f>
        <v/>
      </c>
      <c r="J1555" s="6">
        <f>IFERROR(SUMIFS('DETALLE CRONOLÓGICO'!$K$2:$K$4919,'DETALLE CRONOLÓGICO'!$A$2:$A$4919,$A1555)/$E1555,"")</f>
        <v/>
      </c>
      <c r="K1555" s="6">
        <f>_xlfn.MINIFS('DETALLE CRONOLÓGICO'!$K$2:$K$4919,'DETALLE CRONOLÓGICO'!$A$2:$A$4919,$A1555)</f>
        <v/>
      </c>
      <c r="L1555" s="6">
        <f>_xlfn.MAXIFS('DETALLE CRONOLÓGICO'!$K$2:$K$4919,'DETALLE CRONOLÓGICO'!$A$2:$A$4919,$A1555)</f>
        <v/>
      </c>
      <c r="M1555" s="6">
        <f>INDEX('DETALLE CRONOLÓGICO'!$K$2:$K$4919,MATCH($A1555,'DETALLE CRONOLÓGICO'!$A$2:$A$4919,0)+$E1555-1)</f>
        <v/>
      </c>
      <c r="N1555" s="7">
        <f>IFERROR($M1555/INDEX('DETALLE CRONOLÓGICO'!$K$2:$K$4919,MATCH($A1555,'DETALLE CRONOLÓGICO'!$A$2:$A$4919,0))-1,"")</f>
        <v/>
      </c>
      <c r="O1555" s="6">
        <f>IFERROR($I1555*3,"")</f>
        <v/>
      </c>
      <c r="P1555" s="6">
        <f>IFERROR($I1555*3.5,"")</f>
        <v/>
      </c>
      <c r="Q1555" s="6">
        <f>IFERROR($I1555*4,"")</f>
        <v/>
      </c>
      <c r="R1555" s="6" t="n">
        <v>2079</v>
      </c>
      <c r="S1555" s="4" t="n">
        <v>3</v>
      </c>
      <c r="T1555" s="1" t="inlineStr">
        <is>
          <t>active</t>
        </is>
      </c>
      <c r="U1555" s="8" t="n"/>
      <c r="V1555" s="1" t="inlineStr">
        <is>
          <t>SIN PRECIO</t>
        </is>
      </c>
    </row>
    <row r="1556">
      <c r="A1556" s="1" t="inlineStr">
        <is>
          <t>66745aa7a2ba5</t>
        </is>
      </c>
      <c r="B1556" s="1" t="inlineStr">
        <is>
          <t>GARGANTILLA 10 TRÉBOLES GOLD BLACK</t>
        </is>
      </c>
      <c r="C1556" s="1" t="inlineStr">
        <is>
          <t>15mm</t>
        </is>
      </c>
      <c r="D1556" s="1" t="inlineStr">
        <is>
          <t>NANCY</t>
        </is>
      </c>
      <c r="E1556" s="4">
        <f>COUNTIF('DETALLE CRONOLÓGICO'!$A$2:$A$4919,$A1556)</f>
        <v/>
      </c>
      <c r="F1556" s="4">
        <f>SUMIFS('DETALLE CRONOLÓGICO'!$I$2:$I$4919,'DETALLE CRONOLÓGICO'!$A$2:$A$4919,$A1556)</f>
        <v/>
      </c>
      <c r="G1556" s="1">
        <f>INDEX('DETALLE CRONOLÓGICO'!$D$2:$D$4919,MATCH($A1556,'DETALLE CRONOLÓGICO'!$A$2:$A$4919,0))</f>
        <v/>
      </c>
      <c r="H1556" s="1">
        <f>INDEX('DETALLE CRONOLÓGICO'!$D$2:$D$4919,MATCH($A1556,'DETALLE CRONOLÓGICO'!$A$2:$A$4919,0)+$E1556-1)</f>
        <v/>
      </c>
      <c r="I1556" s="5">
        <f>IFERROR(SUMIFS('DETALLE CRONOLÓGICO'!$L$2:$L$4919,'DETALLE CRONOLÓGICO'!$A$2:$A$4919,$A1556)/$F1556,"")</f>
        <v/>
      </c>
      <c r="J1556" s="6">
        <f>IFERROR(SUMIFS('DETALLE CRONOLÓGICO'!$K$2:$K$4919,'DETALLE CRONOLÓGICO'!$A$2:$A$4919,$A1556)/$E1556,"")</f>
        <v/>
      </c>
      <c r="K1556" s="6">
        <f>_xlfn.MINIFS('DETALLE CRONOLÓGICO'!$K$2:$K$4919,'DETALLE CRONOLÓGICO'!$A$2:$A$4919,$A1556)</f>
        <v/>
      </c>
      <c r="L1556" s="6">
        <f>_xlfn.MAXIFS('DETALLE CRONOLÓGICO'!$K$2:$K$4919,'DETALLE CRONOLÓGICO'!$A$2:$A$4919,$A1556)</f>
        <v/>
      </c>
      <c r="M1556" s="6">
        <f>INDEX('DETALLE CRONOLÓGICO'!$K$2:$K$4919,MATCH($A1556,'DETALLE CRONOLÓGICO'!$A$2:$A$4919,0)+$E1556-1)</f>
        <v/>
      </c>
      <c r="N1556" s="7">
        <f>IFERROR($M1556/INDEX('DETALLE CRONOLÓGICO'!$K$2:$K$4919,MATCH($A1556,'DETALLE CRONOLÓGICO'!$A$2:$A$4919,0))-1,"")</f>
        <v/>
      </c>
      <c r="O1556" s="6">
        <f>IFERROR($I1556*3,"")</f>
        <v/>
      </c>
      <c r="P1556" s="6">
        <f>IFERROR($I1556*3.5,"")</f>
        <v/>
      </c>
      <c r="Q1556" s="6">
        <f>IFERROR($I1556*4,"")</f>
        <v/>
      </c>
      <c r="R1556" s="6" t="n">
        <v>1689</v>
      </c>
      <c r="S1556" s="4" t="n">
        <v>2</v>
      </c>
      <c r="T1556" s="1" t="inlineStr">
        <is>
          <t>active</t>
        </is>
      </c>
      <c r="U1556" s="8" t="n"/>
      <c r="V1556" s="1" t="inlineStr">
        <is>
          <t>SIN PRECIO</t>
        </is>
      </c>
    </row>
    <row r="1557">
      <c r="A1557" s="1" t="inlineStr">
        <is>
          <t>66745aa830c56</t>
        </is>
      </c>
      <c r="B1557" s="1" t="inlineStr">
        <is>
          <t>GARGANTILLA 10 TRÉBOLES GOLD GREEN</t>
        </is>
      </c>
      <c r="C1557" s="1" t="inlineStr">
        <is>
          <t>15mm</t>
        </is>
      </c>
      <c r="D1557" s="1" t="inlineStr">
        <is>
          <t>NANCY</t>
        </is>
      </c>
      <c r="E1557" s="4">
        <f>COUNTIF('DETALLE CRONOLÓGICO'!$A$2:$A$4919,$A1557)</f>
        <v/>
      </c>
      <c r="F1557" s="4">
        <f>SUMIFS('DETALLE CRONOLÓGICO'!$I$2:$I$4919,'DETALLE CRONOLÓGICO'!$A$2:$A$4919,$A1557)</f>
        <v/>
      </c>
      <c r="G1557" s="1">
        <f>INDEX('DETALLE CRONOLÓGICO'!$D$2:$D$4919,MATCH($A1557,'DETALLE CRONOLÓGICO'!$A$2:$A$4919,0))</f>
        <v/>
      </c>
      <c r="H1557" s="1">
        <f>INDEX('DETALLE CRONOLÓGICO'!$D$2:$D$4919,MATCH($A1557,'DETALLE CRONOLÓGICO'!$A$2:$A$4919,0)+$E1557-1)</f>
        <v/>
      </c>
      <c r="I1557" s="5">
        <f>IFERROR(SUMIFS('DETALLE CRONOLÓGICO'!$L$2:$L$4919,'DETALLE CRONOLÓGICO'!$A$2:$A$4919,$A1557)/$F1557,"")</f>
        <v/>
      </c>
      <c r="J1557" s="6">
        <f>IFERROR(SUMIFS('DETALLE CRONOLÓGICO'!$K$2:$K$4919,'DETALLE CRONOLÓGICO'!$A$2:$A$4919,$A1557)/$E1557,"")</f>
        <v/>
      </c>
      <c r="K1557" s="6">
        <f>_xlfn.MINIFS('DETALLE CRONOLÓGICO'!$K$2:$K$4919,'DETALLE CRONOLÓGICO'!$A$2:$A$4919,$A1557)</f>
        <v/>
      </c>
      <c r="L1557" s="6">
        <f>_xlfn.MAXIFS('DETALLE CRONOLÓGICO'!$K$2:$K$4919,'DETALLE CRONOLÓGICO'!$A$2:$A$4919,$A1557)</f>
        <v/>
      </c>
      <c r="M1557" s="6">
        <f>INDEX('DETALLE CRONOLÓGICO'!$K$2:$K$4919,MATCH($A1557,'DETALLE CRONOLÓGICO'!$A$2:$A$4919,0)+$E1557-1)</f>
        <v/>
      </c>
      <c r="N1557" s="7">
        <f>IFERROR($M1557/INDEX('DETALLE CRONOLÓGICO'!$K$2:$K$4919,MATCH($A1557,'DETALLE CRONOLÓGICO'!$A$2:$A$4919,0))-1,"")</f>
        <v/>
      </c>
      <c r="O1557" s="6">
        <f>IFERROR($I1557*3,"")</f>
        <v/>
      </c>
      <c r="P1557" s="6">
        <f>IFERROR($I1557*3.5,"")</f>
        <v/>
      </c>
      <c r="Q1557" s="6">
        <f>IFERROR($I1557*4,"")</f>
        <v/>
      </c>
      <c r="R1557" s="6" t="n">
        <v>1428</v>
      </c>
      <c r="S1557" s="4" t="n">
        <v>3</v>
      </c>
      <c r="T1557" s="1" t="inlineStr">
        <is>
          <t>active</t>
        </is>
      </c>
      <c r="U1557" s="8" t="n"/>
      <c r="V1557" s="1" t="inlineStr">
        <is>
          <t>SIN PRECIO</t>
        </is>
      </c>
    </row>
    <row r="1558">
      <c r="A1558" s="1" t="inlineStr">
        <is>
          <t>66745adaed578</t>
        </is>
      </c>
      <c r="B1558" s="1" t="inlineStr">
        <is>
          <t>GARGANTILLA 10 TRÉBOLES GOLD RED</t>
        </is>
      </c>
      <c r="C1558" s="1" t="inlineStr">
        <is>
          <t>15mm</t>
        </is>
      </c>
      <c r="D1558" s="1" t="inlineStr">
        <is>
          <t>NANCY</t>
        </is>
      </c>
      <c r="E1558" s="4">
        <f>COUNTIF('DETALLE CRONOLÓGICO'!$A$2:$A$4919,$A1558)</f>
        <v/>
      </c>
      <c r="F1558" s="4">
        <f>SUMIFS('DETALLE CRONOLÓGICO'!$I$2:$I$4919,'DETALLE CRONOLÓGICO'!$A$2:$A$4919,$A1558)</f>
        <v/>
      </c>
      <c r="G1558" s="1">
        <f>INDEX('DETALLE CRONOLÓGICO'!$D$2:$D$4919,MATCH($A1558,'DETALLE CRONOLÓGICO'!$A$2:$A$4919,0))</f>
        <v/>
      </c>
      <c r="H1558" s="1">
        <f>INDEX('DETALLE CRONOLÓGICO'!$D$2:$D$4919,MATCH($A1558,'DETALLE CRONOLÓGICO'!$A$2:$A$4919,0)+$E1558-1)</f>
        <v/>
      </c>
      <c r="I1558" s="5">
        <f>IFERROR(SUMIFS('DETALLE CRONOLÓGICO'!$L$2:$L$4919,'DETALLE CRONOLÓGICO'!$A$2:$A$4919,$A1558)/$F1558,"")</f>
        <v/>
      </c>
      <c r="J1558" s="6">
        <f>IFERROR(SUMIFS('DETALLE CRONOLÓGICO'!$K$2:$K$4919,'DETALLE CRONOLÓGICO'!$A$2:$A$4919,$A1558)/$E1558,"")</f>
        <v/>
      </c>
      <c r="K1558" s="6">
        <f>_xlfn.MINIFS('DETALLE CRONOLÓGICO'!$K$2:$K$4919,'DETALLE CRONOLÓGICO'!$A$2:$A$4919,$A1558)</f>
        <v/>
      </c>
      <c r="L1558" s="6">
        <f>_xlfn.MAXIFS('DETALLE CRONOLÓGICO'!$K$2:$K$4919,'DETALLE CRONOLÓGICO'!$A$2:$A$4919,$A1558)</f>
        <v/>
      </c>
      <c r="M1558" s="6">
        <f>INDEX('DETALLE CRONOLÓGICO'!$K$2:$K$4919,MATCH($A1558,'DETALLE CRONOLÓGICO'!$A$2:$A$4919,0)+$E1558-1)</f>
        <v/>
      </c>
      <c r="N1558" s="7">
        <f>IFERROR($M1558/INDEX('DETALLE CRONOLÓGICO'!$K$2:$K$4919,MATCH($A1558,'DETALLE CRONOLÓGICO'!$A$2:$A$4919,0))-1,"")</f>
        <v/>
      </c>
      <c r="O1558" s="6">
        <f>IFERROR($I1558*3,"")</f>
        <v/>
      </c>
      <c r="P1558" s="6">
        <f>IFERROR($I1558*3.5,"")</f>
        <v/>
      </c>
      <c r="Q1558" s="6">
        <f>IFERROR($I1558*4,"")</f>
        <v/>
      </c>
      <c r="R1558" s="6" t="n">
        <v>750</v>
      </c>
      <c r="S1558" s="4" t="n">
        <v>0</v>
      </c>
      <c r="T1558" s="1" t="inlineStr">
        <is>
          <t>active</t>
        </is>
      </c>
      <c r="U1558" s="8" t="n"/>
      <c r="V1558" s="1" t="inlineStr">
        <is>
          <t>SIN PRECIO</t>
        </is>
      </c>
    </row>
    <row r="1559">
      <c r="A1559" s="1" t="inlineStr">
        <is>
          <t>66745adb8510f-1</t>
        </is>
      </c>
      <c r="B1559" s="1" t="inlineStr">
        <is>
          <t>GARGANTILLA 10 TRÉBOLES SILVER BLACK</t>
        </is>
      </c>
      <c r="C1559" s="1" t="inlineStr">
        <is>
          <t>15mm</t>
        </is>
      </c>
      <c r="D1559" s="1" t="inlineStr">
        <is>
          <t>NANCY</t>
        </is>
      </c>
      <c r="E1559" s="4">
        <f>COUNTIF('DETALLE CRONOLÓGICO'!$A$2:$A$4919,$A1559)</f>
        <v/>
      </c>
      <c r="F1559" s="4">
        <f>SUMIFS('DETALLE CRONOLÓGICO'!$I$2:$I$4919,'DETALLE CRONOLÓGICO'!$A$2:$A$4919,$A1559)</f>
        <v/>
      </c>
      <c r="G1559" s="1">
        <f>INDEX('DETALLE CRONOLÓGICO'!$D$2:$D$4919,MATCH($A1559,'DETALLE CRONOLÓGICO'!$A$2:$A$4919,0))</f>
        <v/>
      </c>
      <c r="H1559" s="1">
        <f>INDEX('DETALLE CRONOLÓGICO'!$D$2:$D$4919,MATCH($A1559,'DETALLE CRONOLÓGICO'!$A$2:$A$4919,0)+$E1559-1)</f>
        <v/>
      </c>
      <c r="I1559" s="5">
        <f>IFERROR(SUMIFS('DETALLE CRONOLÓGICO'!$L$2:$L$4919,'DETALLE CRONOLÓGICO'!$A$2:$A$4919,$A1559)/$F1559,"")</f>
        <v/>
      </c>
      <c r="J1559" s="6">
        <f>IFERROR(SUMIFS('DETALLE CRONOLÓGICO'!$K$2:$K$4919,'DETALLE CRONOLÓGICO'!$A$2:$A$4919,$A1559)/$E1559,"")</f>
        <v/>
      </c>
      <c r="K1559" s="6">
        <f>_xlfn.MINIFS('DETALLE CRONOLÓGICO'!$K$2:$K$4919,'DETALLE CRONOLÓGICO'!$A$2:$A$4919,$A1559)</f>
        <v/>
      </c>
      <c r="L1559" s="6">
        <f>_xlfn.MAXIFS('DETALLE CRONOLÓGICO'!$K$2:$K$4919,'DETALLE CRONOLÓGICO'!$A$2:$A$4919,$A1559)</f>
        <v/>
      </c>
      <c r="M1559" s="6">
        <f>INDEX('DETALLE CRONOLÓGICO'!$K$2:$K$4919,MATCH($A1559,'DETALLE CRONOLÓGICO'!$A$2:$A$4919,0)+$E1559-1)</f>
        <v/>
      </c>
      <c r="N1559" s="7">
        <f>IFERROR($M1559/INDEX('DETALLE CRONOLÓGICO'!$K$2:$K$4919,MATCH($A1559,'DETALLE CRONOLÓGICO'!$A$2:$A$4919,0))-1,"")</f>
        <v/>
      </c>
      <c r="O1559" s="6">
        <f>IFERROR($I1559*3,"")</f>
        <v/>
      </c>
      <c r="P1559" s="6">
        <f>IFERROR($I1559*3.5,"")</f>
        <v/>
      </c>
      <c r="Q1559" s="6">
        <f>IFERROR($I1559*4,"")</f>
        <v/>
      </c>
      <c r="R1559" s="6" t="n">
        <v>1689</v>
      </c>
      <c r="S1559" s="4" t="n">
        <v>2</v>
      </c>
      <c r="T1559" s="1" t="inlineStr">
        <is>
          <t>active</t>
        </is>
      </c>
      <c r="U1559" s="8" t="n"/>
      <c r="V1559" s="1" t="inlineStr">
        <is>
          <t>SIN PRECIO</t>
        </is>
      </c>
    </row>
    <row r="1560">
      <c r="A1560" s="1" t="inlineStr">
        <is>
          <t>66768001116909</t>
        </is>
      </c>
      <c r="B1560" s="1" t="inlineStr">
        <is>
          <t>BRAZALETE H GOLD ZIRCONIAS</t>
        </is>
      </c>
      <c r="C1560" s="1" t="inlineStr">
        <is>
          <t>Default Title</t>
        </is>
      </c>
      <c r="D1560" s="1" t="inlineStr">
        <is>
          <t>HAIFENG</t>
        </is>
      </c>
      <c r="E1560" s="4">
        <f>COUNTIF('DETALLE CRONOLÓGICO'!$A$2:$A$4919,$A1560)</f>
        <v/>
      </c>
      <c r="F1560" s="4">
        <f>SUMIFS('DETALLE CRONOLÓGICO'!$I$2:$I$4919,'DETALLE CRONOLÓGICO'!$A$2:$A$4919,$A1560)</f>
        <v/>
      </c>
      <c r="G1560" s="1">
        <f>INDEX('DETALLE CRONOLÓGICO'!$D$2:$D$4919,MATCH($A1560,'DETALLE CRONOLÓGICO'!$A$2:$A$4919,0))</f>
        <v/>
      </c>
      <c r="H1560" s="1">
        <f>INDEX('DETALLE CRONOLÓGICO'!$D$2:$D$4919,MATCH($A1560,'DETALLE CRONOLÓGICO'!$A$2:$A$4919,0)+$E1560-1)</f>
        <v/>
      </c>
      <c r="I1560" s="5">
        <f>IFERROR(SUMIFS('DETALLE CRONOLÓGICO'!$L$2:$L$4919,'DETALLE CRONOLÓGICO'!$A$2:$A$4919,$A1560)/$F1560,"")</f>
        <v/>
      </c>
      <c r="J1560" s="6">
        <f>IFERROR(SUMIFS('DETALLE CRONOLÓGICO'!$K$2:$K$4919,'DETALLE CRONOLÓGICO'!$A$2:$A$4919,$A1560)/$E1560,"")</f>
        <v/>
      </c>
      <c r="K1560" s="6">
        <f>_xlfn.MINIFS('DETALLE CRONOLÓGICO'!$K$2:$K$4919,'DETALLE CRONOLÓGICO'!$A$2:$A$4919,$A1560)</f>
        <v/>
      </c>
      <c r="L1560" s="6">
        <f>_xlfn.MAXIFS('DETALLE CRONOLÓGICO'!$K$2:$K$4919,'DETALLE CRONOLÓGICO'!$A$2:$A$4919,$A1560)</f>
        <v/>
      </c>
      <c r="M1560" s="6">
        <f>INDEX('DETALLE CRONOLÓGICO'!$K$2:$K$4919,MATCH($A1560,'DETALLE CRONOLÓGICO'!$A$2:$A$4919,0)+$E1560-1)</f>
        <v/>
      </c>
      <c r="N1560" s="7">
        <f>IFERROR($M1560/INDEX('DETALLE CRONOLÓGICO'!$K$2:$K$4919,MATCH($A1560,'DETALLE CRONOLÓGICO'!$A$2:$A$4919,0))-1,"")</f>
        <v/>
      </c>
      <c r="O1560" s="6">
        <f>IFERROR($I1560*3,"")</f>
        <v/>
      </c>
      <c r="P1560" s="6">
        <f>IFERROR($I1560*3.5,"")</f>
        <v/>
      </c>
      <c r="Q1560" s="6">
        <f>IFERROR($I1560*4,"")</f>
        <v/>
      </c>
      <c r="R1560" s="6" t="n">
        <v>1250</v>
      </c>
      <c r="S1560" s="4" t="n">
        <v>1</v>
      </c>
      <c r="T1560" s="1" t="inlineStr">
        <is>
          <t>active</t>
        </is>
      </c>
      <c r="U1560" s="8" t="n"/>
      <c r="V1560" s="1" t="inlineStr">
        <is>
          <t>SIN PRECIO</t>
        </is>
      </c>
    </row>
    <row r="1561">
      <c r="A1561" s="1" t="inlineStr">
        <is>
          <t>66768001258381</t>
        </is>
      </c>
      <c r="B1561" s="1" t="inlineStr">
        <is>
          <t>BRAZALETE KELLY CLIC H GOLD</t>
        </is>
      </c>
      <c r="C1561" s="1" t="inlineStr">
        <is>
          <t>Default Title</t>
        </is>
      </c>
      <c r="D1561" s="1" t="inlineStr">
        <is>
          <t>HAIFENG</t>
        </is>
      </c>
      <c r="E1561" s="4">
        <f>COUNTIF('DETALLE CRONOLÓGICO'!$A$2:$A$4919,$A1561)</f>
        <v/>
      </c>
      <c r="F1561" s="4">
        <f>SUMIFS('DETALLE CRONOLÓGICO'!$I$2:$I$4919,'DETALLE CRONOLÓGICO'!$A$2:$A$4919,$A1561)</f>
        <v/>
      </c>
      <c r="G1561" s="1">
        <f>INDEX('DETALLE CRONOLÓGICO'!$D$2:$D$4919,MATCH($A1561,'DETALLE CRONOLÓGICO'!$A$2:$A$4919,0))</f>
        <v/>
      </c>
      <c r="H1561" s="1">
        <f>INDEX('DETALLE CRONOLÓGICO'!$D$2:$D$4919,MATCH($A1561,'DETALLE CRONOLÓGICO'!$A$2:$A$4919,0)+$E1561-1)</f>
        <v/>
      </c>
      <c r="I1561" s="5">
        <f>IFERROR(SUMIFS('DETALLE CRONOLÓGICO'!$L$2:$L$4919,'DETALLE CRONOLÓGICO'!$A$2:$A$4919,$A1561)/$F1561,"")</f>
        <v/>
      </c>
      <c r="J1561" s="6">
        <f>IFERROR(SUMIFS('DETALLE CRONOLÓGICO'!$K$2:$K$4919,'DETALLE CRONOLÓGICO'!$A$2:$A$4919,$A1561)/$E1561,"")</f>
        <v/>
      </c>
      <c r="K1561" s="6">
        <f>_xlfn.MINIFS('DETALLE CRONOLÓGICO'!$K$2:$K$4919,'DETALLE CRONOLÓGICO'!$A$2:$A$4919,$A1561)</f>
        <v/>
      </c>
      <c r="L1561" s="6">
        <f>_xlfn.MAXIFS('DETALLE CRONOLÓGICO'!$K$2:$K$4919,'DETALLE CRONOLÓGICO'!$A$2:$A$4919,$A1561)</f>
        <v/>
      </c>
      <c r="M1561" s="6">
        <f>INDEX('DETALLE CRONOLÓGICO'!$K$2:$K$4919,MATCH($A1561,'DETALLE CRONOLÓGICO'!$A$2:$A$4919,0)+$E1561-1)</f>
        <v/>
      </c>
      <c r="N1561" s="7">
        <f>IFERROR($M1561/INDEX('DETALLE CRONOLÓGICO'!$K$2:$K$4919,MATCH($A1561,'DETALLE CRONOLÓGICO'!$A$2:$A$4919,0))-1,"")</f>
        <v/>
      </c>
      <c r="O1561" s="6">
        <f>IFERROR($I1561*3,"")</f>
        <v/>
      </c>
      <c r="P1561" s="6">
        <f>IFERROR($I1561*3.5,"")</f>
        <v/>
      </c>
      <c r="Q1561" s="6">
        <f>IFERROR($I1561*4,"")</f>
        <v/>
      </c>
      <c r="R1561" s="6" t="n">
        <v>824</v>
      </c>
      <c r="S1561" s="4" t="n">
        <v>3</v>
      </c>
      <c r="T1561" s="1" t="inlineStr">
        <is>
          <t>active</t>
        </is>
      </c>
      <c r="U1561" s="8" t="n"/>
      <c r="V1561" s="1" t="inlineStr">
        <is>
          <t>SIN PRECIO</t>
        </is>
      </c>
    </row>
    <row r="1562">
      <c r="A1562" s="1" t="inlineStr">
        <is>
          <t>668eecae452bf</t>
        </is>
      </c>
      <c r="B1562" s="1" t="inlineStr">
        <is>
          <t>PULSERA WRAP ESLABONES SILVER</t>
        </is>
      </c>
      <c r="C1562" s="1" t="inlineStr">
        <is>
          <t>AJUSTABLE</t>
        </is>
      </c>
      <c r="D1562" s="1" t="inlineStr">
        <is>
          <t>CYNTHIA</t>
        </is>
      </c>
      <c r="E1562" s="4">
        <f>COUNTIF('DETALLE CRONOLÓGICO'!$A$2:$A$4919,$A1562)</f>
        <v/>
      </c>
      <c r="F1562" s="4">
        <f>SUMIFS('DETALLE CRONOLÓGICO'!$I$2:$I$4919,'DETALLE CRONOLÓGICO'!$A$2:$A$4919,$A1562)</f>
        <v/>
      </c>
      <c r="G1562" s="1">
        <f>INDEX('DETALLE CRONOLÓGICO'!$D$2:$D$4919,MATCH($A1562,'DETALLE CRONOLÓGICO'!$A$2:$A$4919,0))</f>
        <v/>
      </c>
      <c r="H1562" s="1">
        <f>INDEX('DETALLE CRONOLÓGICO'!$D$2:$D$4919,MATCH($A1562,'DETALLE CRONOLÓGICO'!$A$2:$A$4919,0)+$E1562-1)</f>
        <v/>
      </c>
      <c r="I1562" s="5">
        <f>IFERROR(SUMIFS('DETALLE CRONOLÓGICO'!$L$2:$L$4919,'DETALLE CRONOLÓGICO'!$A$2:$A$4919,$A1562)/$F1562,"")</f>
        <v/>
      </c>
      <c r="J1562" s="6">
        <f>IFERROR(SUMIFS('DETALLE CRONOLÓGICO'!$K$2:$K$4919,'DETALLE CRONOLÓGICO'!$A$2:$A$4919,$A1562)/$E1562,"")</f>
        <v/>
      </c>
      <c r="K1562" s="6">
        <f>_xlfn.MINIFS('DETALLE CRONOLÓGICO'!$K$2:$K$4919,'DETALLE CRONOLÓGICO'!$A$2:$A$4919,$A1562)</f>
        <v/>
      </c>
      <c r="L1562" s="6">
        <f>_xlfn.MAXIFS('DETALLE CRONOLÓGICO'!$K$2:$K$4919,'DETALLE CRONOLÓGICO'!$A$2:$A$4919,$A1562)</f>
        <v/>
      </c>
      <c r="M1562" s="6">
        <f>INDEX('DETALLE CRONOLÓGICO'!$K$2:$K$4919,MATCH($A1562,'DETALLE CRONOLÓGICO'!$A$2:$A$4919,0)+$E1562-1)</f>
        <v/>
      </c>
      <c r="N1562" s="7">
        <f>IFERROR($M1562/INDEX('DETALLE CRONOLÓGICO'!$K$2:$K$4919,MATCH($A1562,'DETALLE CRONOLÓGICO'!$A$2:$A$4919,0))-1,"")</f>
        <v/>
      </c>
      <c r="O1562" s="6">
        <f>IFERROR($I1562*3,"")</f>
        <v/>
      </c>
      <c r="P1562" s="6">
        <f>IFERROR($I1562*3.5,"")</f>
        <v/>
      </c>
      <c r="Q1562" s="6">
        <f>IFERROR($I1562*4,"")</f>
        <v/>
      </c>
      <c r="R1562" s="6" t="n">
        <v>2659</v>
      </c>
      <c r="S1562" s="4" t="n">
        <v>2</v>
      </c>
      <c r="T1562" s="1" t="inlineStr">
        <is>
          <t>active</t>
        </is>
      </c>
      <c r="U1562" s="8" t="n"/>
      <c r="V1562" s="1" t="inlineStr">
        <is>
          <t>SIN PRECIO</t>
        </is>
      </c>
    </row>
    <row r="1563">
      <c r="A1563" s="1" t="inlineStr">
        <is>
          <t>668eecb8df0eb</t>
        </is>
      </c>
      <c r="B1563" s="1" t="inlineStr">
        <is>
          <t>PULSERA T GOLD</t>
        </is>
      </c>
      <c r="C1563" s="1" t="inlineStr">
        <is>
          <t>16 cm</t>
        </is>
      </c>
      <c r="D1563" s="1" t="inlineStr">
        <is>
          <t>CYNTHIA</t>
        </is>
      </c>
      <c r="E1563" s="4">
        <f>COUNTIF('DETALLE CRONOLÓGICO'!$A$2:$A$4919,$A1563)</f>
        <v/>
      </c>
      <c r="F1563" s="4">
        <f>SUMIFS('DETALLE CRONOLÓGICO'!$I$2:$I$4919,'DETALLE CRONOLÓGICO'!$A$2:$A$4919,$A1563)</f>
        <v/>
      </c>
      <c r="G1563" s="1">
        <f>INDEX('DETALLE CRONOLÓGICO'!$D$2:$D$4919,MATCH($A1563,'DETALLE CRONOLÓGICO'!$A$2:$A$4919,0))</f>
        <v/>
      </c>
      <c r="H1563" s="1">
        <f>INDEX('DETALLE CRONOLÓGICO'!$D$2:$D$4919,MATCH($A1563,'DETALLE CRONOLÓGICO'!$A$2:$A$4919,0)+$E1563-1)</f>
        <v/>
      </c>
      <c r="I1563" s="5">
        <f>IFERROR(SUMIFS('DETALLE CRONOLÓGICO'!$L$2:$L$4919,'DETALLE CRONOLÓGICO'!$A$2:$A$4919,$A1563)/$F1563,"")</f>
        <v/>
      </c>
      <c r="J1563" s="6">
        <f>IFERROR(SUMIFS('DETALLE CRONOLÓGICO'!$K$2:$K$4919,'DETALLE CRONOLÓGICO'!$A$2:$A$4919,$A1563)/$E1563,"")</f>
        <v/>
      </c>
      <c r="K1563" s="6">
        <f>_xlfn.MINIFS('DETALLE CRONOLÓGICO'!$K$2:$K$4919,'DETALLE CRONOLÓGICO'!$A$2:$A$4919,$A1563)</f>
        <v/>
      </c>
      <c r="L1563" s="6">
        <f>_xlfn.MAXIFS('DETALLE CRONOLÓGICO'!$K$2:$K$4919,'DETALLE CRONOLÓGICO'!$A$2:$A$4919,$A1563)</f>
        <v/>
      </c>
      <c r="M1563" s="6">
        <f>INDEX('DETALLE CRONOLÓGICO'!$K$2:$K$4919,MATCH($A1563,'DETALLE CRONOLÓGICO'!$A$2:$A$4919,0)+$E1563-1)</f>
        <v/>
      </c>
      <c r="N1563" s="7">
        <f>IFERROR($M1563/INDEX('DETALLE CRONOLÓGICO'!$K$2:$K$4919,MATCH($A1563,'DETALLE CRONOLÓGICO'!$A$2:$A$4919,0))-1,"")</f>
        <v/>
      </c>
      <c r="O1563" s="6">
        <f>IFERROR($I1563*3,"")</f>
        <v/>
      </c>
      <c r="P1563" s="6">
        <f>IFERROR($I1563*3.5,"")</f>
        <v/>
      </c>
      <c r="Q1563" s="6">
        <f>IFERROR($I1563*4,"")</f>
        <v/>
      </c>
      <c r="R1563" s="6" t="n">
        <v>885</v>
      </c>
      <c r="S1563" s="4" t="n">
        <v>7</v>
      </c>
      <c r="T1563" s="1" t="inlineStr">
        <is>
          <t>active</t>
        </is>
      </c>
      <c r="U1563" s="8" t="n"/>
      <c r="V1563" s="1" t="inlineStr">
        <is>
          <t>SIN PRECIO</t>
        </is>
      </c>
    </row>
    <row r="1564">
      <c r="A1564" s="1" t="inlineStr">
        <is>
          <t>668eecc4d784e</t>
        </is>
      </c>
      <c r="B1564" s="1" t="inlineStr">
        <is>
          <t>PULSERA T ROSE GOLD</t>
        </is>
      </c>
      <c r="C1564" s="1" t="inlineStr">
        <is>
          <t>16 cm</t>
        </is>
      </c>
      <c r="D1564" s="1" t="inlineStr">
        <is>
          <t>CYNTHIA</t>
        </is>
      </c>
      <c r="E1564" s="4">
        <f>COUNTIF('DETALLE CRONOLÓGICO'!$A$2:$A$4919,$A1564)</f>
        <v/>
      </c>
      <c r="F1564" s="4">
        <f>SUMIFS('DETALLE CRONOLÓGICO'!$I$2:$I$4919,'DETALLE CRONOLÓGICO'!$A$2:$A$4919,$A1564)</f>
        <v/>
      </c>
      <c r="G1564" s="1">
        <f>INDEX('DETALLE CRONOLÓGICO'!$D$2:$D$4919,MATCH($A1564,'DETALLE CRONOLÓGICO'!$A$2:$A$4919,0))</f>
        <v/>
      </c>
      <c r="H1564" s="1">
        <f>INDEX('DETALLE CRONOLÓGICO'!$D$2:$D$4919,MATCH($A1564,'DETALLE CRONOLÓGICO'!$A$2:$A$4919,0)+$E1564-1)</f>
        <v/>
      </c>
      <c r="I1564" s="5">
        <f>IFERROR(SUMIFS('DETALLE CRONOLÓGICO'!$L$2:$L$4919,'DETALLE CRONOLÓGICO'!$A$2:$A$4919,$A1564)/$F1564,"")</f>
        <v/>
      </c>
      <c r="J1564" s="6">
        <f>IFERROR(SUMIFS('DETALLE CRONOLÓGICO'!$K$2:$K$4919,'DETALLE CRONOLÓGICO'!$A$2:$A$4919,$A1564)/$E1564,"")</f>
        <v/>
      </c>
      <c r="K1564" s="6">
        <f>_xlfn.MINIFS('DETALLE CRONOLÓGICO'!$K$2:$K$4919,'DETALLE CRONOLÓGICO'!$A$2:$A$4919,$A1564)</f>
        <v/>
      </c>
      <c r="L1564" s="6">
        <f>_xlfn.MAXIFS('DETALLE CRONOLÓGICO'!$K$2:$K$4919,'DETALLE CRONOLÓGICO'!$A$2:$A$4919,$A1564)</f>
        <v/>
      </c>
      <c r="M1564" s="6">
        <f>INDEX('DETALLE CRONOLÓGICO'!$K$2:$K$4919,MATCH($A1564,'DETALLE CRONOLÓGICO'!$A$2:$A$4919,0)+$E1564-1)</f>
        <v/>
      </c>
      <c r="N1564" s="7">
        <f>IFERROR($M1564/INDEX('DETALLE CRONOLÓGICO'!$K$2:$K$4919,MATCH($A1564,'DETALLE CRONOLÓGICO'!$A$2:$A$4919,0))-1,"")</f>
        <v/>
      </c>
      <c r="O1564" s="6">
        <f>IFERROR($I1564*3,"")</f>
        <v/>
      </c>
      <c r="P1564" s="6">
        <f>IFERROR($I1564*3.5,"")</f>
        <v/>
      </c>
      <c r="Q1564" s="6">
        <f>IFERROR($I1564*4,"")</f>
        <v/>
      </c>
      <c r="R1564" s="6" t="n">
        <v>885</v>
      </c>
      <c r="S1564" s="4" t="n">
        <v>2</v>
      </c>
      <c r="T1564" s="1" t="inlineStr">
        <is>
          <t>active</t>
        </is>
      </c>
      <c r="U1564" s="8" t="n"/>
      <c r="V1564" s="1" t="inlineStr">
        <is>
          <t>SIN PRECIO</t>
        </is>
      </c>
    </row>
    <row r="1565">
      <c r="A1565" s="1" t="inlineStr">
        <is>
          <t>668eeccb35ffc</t>
        </is>
      </c>
      <c r="B1565" s="1" t="inlineStr">
        <is>
          <t>PULSERA T PLATA</t>
        </is>
      </c>
      <c r="C1565" s="1" t="inlineStr">
        <is>
          <t>16 cm</t>
        </is>
      </c>
      <c r="D1565" s="1" t="inlineStr">
        <is>
          <t>CYNTHIA</t>
        </is>
      </c>
      <c r="E1565" s="4">
        <f>COUNTIF('DETALLE CRONOLÓGICO'!$A$2:$A$4919,$A1565)</f>
        <v/>
      </c>
      <c r="F1565" s="4">
        <f>SUMIFS('DETALLE CRONOLÓGICO'!$I$2:$I$4919,'DETALLE CRONOLÓGICO'!$A$2:$A$4919,$A1565)</f>
        <v/>
      </c>
      <c r="G1565" s="1">
        <f>INDEX('DETALLE CRONOLÓGICO'!$D$2:$D$4919,MATCH($A1565,'DETALLE CRONOLÓGICO'!$A$2:$A$4919,0))</f>
        <v/>
      </c>
      <c r="H1565" s="1">
        <f>INDEX('DETALLE CRONOLÓGICO'!$D$2:$D$4919,MATCH($A1565,'DETALLE CRONOLÓGICO'!$A$2:$A$4919,0)+$E1565-1)</f>
        <v/>
      </c>
      <c r="I1565" s="5">
        <f>IFERROR(SUMIFS('DETALLE CRONOLÓGICO'!$L$2:$L$4919,'DETALLE CRONOLÓGICO'!$A$2:$A$4919,$A1565)/$F1565,"")</f>
        <v/>
      </c>
      <c r="J1565" s="6">
        <f>IFERROR(SUMIFS('DETALLE CRONOLÓGICO'!$K$2:$K$4919,'DETALLE CRONOLÓGICO'!$A$2:$A$4919,$A1565)/$E1565,"")</f>
        <v/>
      </c>
      <c r="K1565" s="6">
        <f>_xlfn.MINIFS('DETALLE CRONOLÓGICO'!$K$2:$K$4919,'DETALLE CRONOLÓGICO'!$A$2:$A$4919,$A1565)</f>
        <v/>
      </c>
      <c r="L1565" s="6">
        <f>_xlfn.MAXIFS('DETALLE CRONOLÓGICO'!$K$2:$K$4919,'DETALLE CRONOLÓGICO'!$A$2:$A$4919,$A1565)</f>
        <v/>
      </c>
      <c r="M1565" s="6">
        <f>INDEX('DETALLE CRONOLÓGICO'!$K$2:$K$4919,MATCH($A1565,'DETALLE CRONOLÓGICO'!$A$2:$A$4919,0)+$E1565-1)</f>
        <v/>
      </c>
      <c r="N1565" s="7">
        <f>IFERROR($M1565/INDEX('DETALLE CRONOLÓGICO'!$K$2:$K$4919,MATCH($A1565,'DETALLE CRONOLÓGICO'!$A$2:$A$4919,0))-1,"")</f>
        <v/>
      </c>
      <c r="O1565" s="6">
        <f>IFERROR($I1565*3,"")</f>
        <v/>
      </c>
      <c r="P1565" s="6">
        <f>IFERROR($I1565*3.5,"")</f>
        <v/>
      </c>
      <c r="Q1565" s="6">
        <f>IFERROR($I1565*4,"")</f>
        <v/>
      </c>
      <c r="R1565" s="6" t="n">
        <v>885</v>
      </c>
      <c r="S1565" s="4" t="n">
        <v>0</v>
      </c>
      <c r="T1565" s="1" t="inlineStr">
        <is>
          <t>active</t>
        </is>
      </c>
      <c r="U1565" s="8" t="n"/>
      <c r="V1565" s="1" t="inlineStr">
        <is>
          <t>SIN PRECIO</t>
        </is>
      </c>
    </row>
    <row r="1566">
      <c r="A1566" s="1" t="inlineStr">
        <is>
          <t>668eeccf75387</t>
        </is>
      </c>
      <c r="B1566" s="1" t="inlineStr">
        <is>
          <t>PULSERA T DORADA ZIRCONIA</t>
        </is>
      </c>
      <c r="C1566" s="1" t="inlineStr">
        <is>
          <t>16 cm</t>
        </is>
      </c>
      <c r="D1566" s="1" t="inlineStr">
        <is>
          <t>HAIFENG</t>
        </is>
      </c>
      <c r="E1566" s="4">
        <f>COUNTIF('DETALLE CRONOLÓGICO'!$A$2:$A$4919,$A1566)</f>
        <v/>
      </c>
      <c r="F1566" s="4">
        <f>SUMIFS('DETALLE CRONOLÓGICO'!$I$2:$I$4919,'DETALLE CRONOLÓGICO'!$A$2:$A$4919,$A1566)</f>
        <v/>
      </c>
      <c r="G1566" s="1">
        <f>INDEX('DETALLE CRONOLÓGICO'!$D$2:$D$4919,MATCH($A1566,'DETALLE CRONOLÓGICO'!$A$2:$A$4919,0))</f>
        <v/>
      </c>
      <c r="H1566" s="1">
        <f>INDEX('DETALLE CRONOLÓGICO'!$D$2:$D$4919,MATCH($A1566,'DETALLE CRONOLÓGICO'!$A$2:$A$4919,0)+$E1566-1)</f>
        <v/>
      </c>
      <c r="I1566" s="5">
        <f>IFERROR(SUMIFS('DETALLE CRONOLÓGICO'!$L$2:$L$4919,'DETALLE CRONOLÓGICO'!$A$2:$A$4919,$A1566)/$F1566,"")</f>
        <v/>
      </c>
      <c r="J1566" s="6">
        <f>IFERROR(SUMIFS('DETALLE CRONOLÓGICO'!$K$2:$K$4919,'DETALLE CRONOLÓGICO'!$A$2:$A$4919,$A1566)/$E1566,"")</f>
        <v/>
      </c>
      <c r="K1566" s="6">
        <f>_xlfn.MINIFS('DETALLE CRONOLÓGICO'!$K$2:$K$4919,'DETALLE CRONOLÓGICO'!$A$2:$A$4919,$A1566)</f>
        <v/>
      </c>
      <c r="L1566" s="6">
        <f>_xlfn.MAXIFS('DETALLE CRONOLÓGICO'!$K$2:$K$4919,'DETALLE CRONOLÓGICO'!$A$2:$A$4919,$A1566)</f>
        <v/>
      </c>
      <c r="M1566" s="6">
        <f>INDEX('DETALLE CRONOLÓGICO'!$K$2:$K$4919,MATCH($A1566,'DETALLE CRONOLÓGICO'!$A$2:$A$4919,0)+$E1566-1)</f>
        <v/>
      </c>
      <c r="N1566" s="7">
        <f>IFERROR($M1566/INDEX('DETALLE CRONOLÓGICO'!$K$2:$K$4919,MATCH($A1566,'DETALLE CRONOLÓGICO'!$A$2:$A$4919,0))-1,"")</f>
        <v/>
      </c>
      <c r="O1566" s="6">
        <f>IFERROR($I1566*3,"")</f>
        <v/>
      </c>
      <c r="P1566" s="6">
        <f>IFERROR($I1566*3.5,"")</f>
        <v/>
      </c>
      <c r="Q1566" s="6">
        <f>IFERROR($I1566*4,"")</f>
        <v/>
      </c>
      <c r="R1566" s="6" t="n">
        <v>499</v>
      </c>
      <c r="S1566" s="4" t="n">
        <v>3</v>
      </c>
      <c r="T1566" s="1" t="inlineStr">
        <is>
          <t>active</t>
        </is>
      </c>
      <c r="U1566" s="8" t="n"/>
      <c r="V1566" s="1" t="inlineStr">
        <is>
          <t>SIN PRECIO</t>
        </is>
      </c>
    </row>
    <row r="1567">
      <c r="A1567" s="1" t="inlineStr">
        <is>
          <t>668eecd028acd</t>
        </is>
      </c>
      <c r="B1567" s="1" t="inlineStr">
        <is>
          <t>ANILLO T ROSE GOLD</t>
        </is>
      </c>
      <c r="C1567" s="1" t="inlineStr">
        <is>
          <t>6</t>
        </is>
      </c>
      <c r="D1567" s="1" t="inlineStr">
        <is>
          <t>HAIFENG</t>
        </is>
      </c>
      <c r="E1567" s="4">
        <f>COUNTIF('DETALLE CRONOLÓGICO'!$A$2:$A$4919,$A1567)</f>
        <v/>
      </c>
      <c r="F1567" s="4">
        <f>SUMIFS('DETALLE CRONOLÓGICO'!$I$2:$I$4919,'DETALLE CRONOLÓGICO'!$A$2:$A$4919,$A1567)</f>
        <v/>
      </c>
      <c r="G1567" s="1">
        <f>INDEX('DETALLE CRONOLÓGICO'!$D$2:$D$4919,MATCH($A1567,'DETALLE CRONOLÓGICO'!$A$2:$A$4919,0))</f>
        <v/>
      </c>
      <c r="H1567" s="1">
        <f>INDEX('DETALLE CRONOLÓGICO'!$D$2:$D$4919,MATCH($A1567,'DETALLE CRONOLÓGICO'!$A$2:$A$4919,0)+$E1567-1)</f>
        <v/>
      </c>
      <c r="I1567" s="5">
        <f>IFERROR(SUMIFS('DETALLE CRONOLÓGICO'!$L$2:$L$4919,'DETALLE CRONOLÓGICO'!$A$2:$A$4919,$A1567)/$F1567,"")</f>
        <v/>
      </c>
      <c r="J1567" s="6">
        <f>IFERROR(SUMIFS('DETALLE CRONOLÓGICO'!$K$2:$K$4919,'DETALLE CRONOLÓGICO'!$A$2:$A$4919,$A1567)/$E1567,"")</f>
        <v/>
      </c>
      <c r="K1567" s="6">
        <f>_xlfn.MINIFS('DETALLE CRONOLÓGICO'!$K$2:$K$4919,'DETALLE CRONOLÓGICO'!$A$2:$A$4919,$A1567)</f>
        <v/>
      </c>
      <c r="L1567" s="6">
        <f>_xlfn.MAXIFS('DETALLE CRONOLÓGICO'!$K$2:$K$4919,'DETALLE CRONOLÓGICO'!$A$2:$A$4919,$A1567)</f>
        <v/>
      </c>
      <c r="M1567" s="6">
        <f>INDEX('DETALLE CRONOLÓGICO'!$K$2:$K$4919,MATCH($A1567,'DETALLE CRONOLÓGICO'!$A$2:$A$4919,0)+$E1567-1)</f>
        <v/>
      </c>
      <c r="N1567" s="7">
        <f>IFERROR($M1567/INDEX('DETALLE CRONOLÓGICO'!$K$2:$K$4919,MATCH($A1567,'DETALLE CRONOLÓGICO'!$A$2:$A$4919,0))-1,"")</f>
        <v/>
      </c>
      <c r="O1567" s="6">
        <f>IFERROR($I1567*3,"")</f>
        <v/>
      </c>
      <c r="P1567" s="6">
        <f>IFERROR($I1567*3.5,"")</f>
        <v/>
      </c>
      <c r="Q1567" s="6">
        <f>IFERROR($I1567*4,"")</f>
        <v/>
      </c>
      <c r="R1567" s="6" t="n">
        <v>450</v>
      </c>
      <c r="S1567" s="4" t="n">
        <v>6</v>
      </c>
      <c r="T1567" s="1" t="inlineStr">
        <is>
          <t>active</t>
        </is>
      </c>
      <c r="U1567" s="8" t="n"/>
      <c r="V1567" s="1" t="inlineStr">
        <is>
          <t>SIN PRECIO</t>
        </is>
      </c>
    </row>
    <row r="1568">
      <c r="A1568" s="1" t="inlineStr">
        <is>
          <t>668eecd0c3f2e</t>
        </is>
      </c>
      <c r="B1568" s="1" t="inlineStr">
        <is>
          <t>ANILLO T ROSE GOLD</t>
        </is>
      </c>
      <c r="C1568" s="1" t="inlineStr">
        <is>
          <t>7</t>
        </is>
      </c>
      <c r="D1568" s="1" t="inlineStr">
        <is>
          <t>HAIFENG</t>
        </is>
      </c>
      <c r="E1568" s="4">
        <f>COUNTIF('DETALLE CRONOLÓGICO'!$A$2:$A$4919,$A1568)</f>
        <v/>
      </c>
      <c r="F1568" s="4">
        <f>SUMIFS('DETALLE CRONOLÓGICO'!$I$2:$I$4919,'DETALLE CRONOLÓGICO'!$A$2:$A$4919,$A1568)</f>
        <v/>
      </c>
      <c r="G1568" s="1">
        <f>INDEX('DETALLE CRONOLÓGICO'!$D$2:$D$4919,MATCH($A1568,'DETALLE CRONOLÓGICO'!$A$2:$A$4919,0))</f>
        <v/>
      </c>
      <c r="H1568" s="1">
        <f>INDEX('DETALLE CRONOLÓGICO'!$D$2:$D$4919,MATCH($A1568,'DETALLE CRONOLÓGICO'!$A$2:$A$4919,0)+$E1568-1)</f>
        <v/>
      </c>
      <c r="I1568" s="5">
        <f>IFERROR(SUMIFS('DETALLE CRONOLÓGICO'!$L$2:$L$4919,'DETALLE CRONOLÓGICO'!$A$2:$A$4919,$A1568)/$F1568,"")</f>
        <v/>
      </c>
      <c r="J1568" s="6">
        <f>IFERROR(SUMIFS('DETALLE CRONOLÓGICO'!$K$2:$K$4919,'DETALLE CRONOLÓGICO'!$A$2:$A$4919,$A1568)/$E1568,"")</f>
        <v/>
      </c>
      <c r="K1568" s="6">
        <f>_xlfn.MINIFS('DETALLE CRONOLÓGICO'!$K$2:$K$4919,'DETALLE CRONOLÓGICO'!$A$2:$A$4919,$A1568)</f>
        <v/>
      </c>
      <c r="L1568" s="6">
        <f>_xlfn.MAXIFS('DETALLE CRONOLÓGICO'!$K$2:$K$4919,'DETALLE CRONOLÓGICO'!$A$2:$A$4919,$A1568)</f>
        <v/>
      </c>
      <c r="M1568" s="6">
        <f>INDEX('DETALLE CRONOLÓGICO'!$K$2:$K$4919,MATCH($A1568,'DETALLE CRONOLÓGICO'!$A$2:$A$4919,0)+$E1568-1)</f>
        <v/>
      </c>
      <c r="N1568" s="7">
        <f>IFERROR($M1568/INDEX('DETALLE CRONOLÓGICO'!$K$2:$K$4919,MATCH($A1568,'DETALLE CRONOLÓGICO'!$A$2:$A$4919,0))-1,"")</f>
        <v/>
      </c>
      <c r="O1568" s="6">
        <f>IFERROR($I1568*3,"")</f>
        <v/>
      </c>
      <c r="P1568" s="6">
        <f>IFERROR($I1568*3.5,"")</f>
        <v/>
      </c>
      <c r="Q1568" s="6">
        <f>IFERROR($I1568*4,"")</f>
        <v/>
      </c>
      <c r="R1568" s="6" t="n">
        <v>450</v>
      </c>
      <c r="S1568" s="4" t="n">
        <v>4</v>
      </c>
      <c r="T1568" s="1" t="inlineStr">
        <is>
          <t>active</t>
        </is>
      </c>
      <c r="U1568" s="8" t="n"/>
      <c r="V1568" s="1" t="inlineStr">
        <is>
          <t>SIN PRECIO</t>
        </is>
      </c>
    </row>
    <row r="1569">
      <c r="A1569" s="1" t="inlineStr">
        <is>
          <t>668eecd16590f</t>
        </is>
      </c>
      <c r="B1569" s="1" t="inlineStr">
        <is>
          <t>ANILLO T ROSE GOLD</t>
        </is>
      </c>
      <c r="C1569" s="1" t="inlineStr">
        <is>
          <t>8</t>
        </is>
      </c>
      <c r="D1569" s="1" t="inlineStr">
        <is>
          <t>HAIFENG</t>
        </is>
      </c>
      <c r="E1569" s="4">
        <f>COUNTIF('DETALLE CRONOLÓGICO'!$A$2:$A$4919,$A1569)</f>
        <v/>
      </c>
      <c r="F1569" s="4">
        <f>SUMIFS('DETALLE CRONOLÓGICO'!$I$2:$I$4919,'DETALLE CRONOLÓGICO'!$A$2:$A$4919,$A1569)</f>
        <v/>
      </c>
      <c r="G1569" s="1">
        <f>INDEX('DETALLE CRONOLÓGICO'!$D$2:$D$4919,MATCH($A1569,'DETALLE CRONOLÓGICO'!$A$2:$A$4919,0))</f>
        <v/>
      </c>
      <c r="H1569" s="1">
        <f>INDEX('DETALLE CRONOLÓGICO'!$D$2:$D$4919,MATCH($A1569,'DETALLE CRONOLÓGICO'!$A$2:$A$4919,0)+$E1569-1)</f>
        <v/>
      </c>
      <c r="I1569" s="5">
        <f>IFERROR(SUMIFS('DETALLE CRONOLÓGICO'!$L$2:$L$4919,'DETALLE CRONOLÓGICO'!$A$2:$A$4919,$A1569)/$F1569,"")</f>
        <v/>
      </c>
      <c r="J1569" s="6">
        <f>IFERROR(SUMIFS('DETALLE CRONOLÓGICO'!$K$2:$K$4919,'DETALLE CRONOLÓGICO'!$A$2:$A$4919,$A1569)/$E1569,"")</f>
        <v/>
      </c>
      <c r="K1569" s="6">
        <f>_xlfn.MINIFS('DETALLE CRONOLÓGICO'!$K$2:$K$4919,'DETALLE CRONOLÓGICO'!$A$2:$A$4919,$A1569)</f>
        <v/>
      </c>
      <c r="L1569" s="6">
        <f>_xlfn.MAXIFS('DETALLE CRONOLÓGICO'!$K$2:$K$4919,'DETALLE CRONOLÓGICO'!$A$2:$A$4919,$A1569)</f>
        <v/>
      </c>
      <c r="M1569" s="6">
        <f>INDEX('DETALLE CRONOLÓGICO'!$K$2:$K$4919,MATCH($A1569,'DETALLE CRONOLÓGICO'!$A$2:$A$4919,0)+$E1569-1)</f>
        <v/>
      </c>
      <c r="N1569" s="7">
        <f>IFERROR($M1569/INDEX('DETALLE CRONOLÓGICO'!$K$2:$K$4919,MATCH($A1569,'DETALLE CRONOLÓGICO'!$A$2:$A$4919,0))-1,"")</f>
        <v/>
      </c>
      <c r="O1569" s="6">
        <f>IFERROR($I1569*3,"")</f>
        <v/>
      </c>
      <c r="P1569" s="6">
        <f>IFERROR($I1569*3.5,"")</f>
        <v/>
      </c>
      <c r="Q1569" s="6">
        <f>IFERROR($I1569*4,"")</f>
        <v/>
      </c>
      <c r="R1569" s="6" t="n">
        <v>450</v>
      </c>
      <c r="S1569" s="4" t="n">
        <v>4</v>
      </c>
      <c r="T1569" s="1" t="inlineStr">
        <is>
          <t>active</t>
        </is>
      </c>
      <c r="U1569" s="8" t="n"/>
      <c r="V1569" s="1" t="inlineStr">
        <is>
          <t>SIN PRECIO</t>
        </is>
      </c>
    </row>
    <row r="1570">
      <c r="A1570" s="1" t="inlineStr">
        <is>
          <t>668eecd447a15</t>
        </is>
      </c>
      <c r="B1570" s="1" t="inlineStr">
        <is>
          <t>ANILLO T GOLD</t>
        </is>
      </c>
      <c r="C1570" s="1" t="inlineStr">
        <is>
          <t>6</t>
        </is>
      </c>
      <c r="D1570" s="1" t="inlineStr">
        <is>
          <t>HAIFENG</t>
        </is>
      </c>
      <c r="E1570" s="4">
        <f>COUNTIF('DETALLE CRONOLÓGICO'!$A$2:$A$4919,$A1570)</f>
        <v/>
      </c>
      <c r="F1570" s="4">
        <f>SUMIFS('DETALLE CRONOLÓGICO'!$I$2:$I$4919,'DETALLE CRONOLÓGICO'!$A$2:$A$4919,$A1570)</f>
        <v/>
      </c>
      <c r="G1570" s="1">
        <f>INDEX('DETALLE CRONOLÓGICO'!$D$2:$D$4919,MATCH($A1570,'DETALLE CRONOLÓGICO'!$A$2:$A$4919,0))</f>
        <v/>
      </c>
      <c r="H1570" s="1">
        <f>INDEX('DETALLE CRONOLÓGICO'!$D$2:$D$4919,MATCH($A1570,'DETALLE CRONOLÓGICO'!$A$2:$A$4919,0)+$E1570-1)</f>
        <v/>
      </c>
      <c r="I1570" s="5">
        <f>IFERROR(SUMIFS('DETALLE CRONOLÓGICO'!$L$2:$L$4919,'DETALLE CRONOLÓGICO'!$A$2:$A$4919,$A1570)/$F1570,"")</f>
        <v/>
      </c>
      <c r="J1570" s="6">
        <f>IFERROR(SUMIFS('DETALLE CRONOLÓGICO'!$K$2:$K$4919,'DETALLE CRONOLÓGICO'!$A$2:$A$4919,$A1570)/$E1570,"")</f>
        <v/>
      </c>
      <c r="K1570" s="6">
        <f>_xlfn.MINIFS('DETALLE CRONOLÓGICO'!$K$2:$K$4919,'DETALLE CRONOLÓGICO'!$A$2:$A$4919,$A1570)</f>
        <v/>
      </c>
      <c r="L1570" s="6">
        <f>_xlfn.MAXIFS('DETALLE CRONOLÓGICO'!$K$2:$K$4919,'DETALLE CRONOLÓGICO'!$A$2:$A$4919,$A1570)</f>
        <v/>
      </c>
      <c r="M1570" s="6">
        <f>INDEX('DETALLE CRONOLÓGICO'!$K$2:$K$4919,MATCH($A1570,'DETALLE CRONOLÓGICO'!$A$2:$A$4919,0)+$E1570-1)</f>
        <v/>
      </c>
      <c r="N1570" s="7">
        <f>IFERROR($M1570/INDEX('DETALLE CRONOLÓGICO'!$K$2:$K$4919,MATCH($A1570,'DETALLE CRONOLÓGICO'!$A$2:$A$4919,0))-1,"")</f>
        <v/>
      </c>
      <c r="O1570" s="6">
        <f>IFERROR($I1570*3,"")</f>
        <v/>
      </c>
      <c r="P1570" s="6">
        <f>IFERROR($I1570*3.5,"")</f>
        <v/>
      </c>
      <c r="Q1570" s="6">
        <f>IFERROR($I1570*4,"")</f>
        <v/>
      </c>
      <c r="R1570" s="6" t="n">
        <v>450</v>
      </c>
      <c r="S1570" s="4" t="n">
        <v>7</v>
      </c>
      <c r="T1570" s="1" t="inlineStr">
        <is>
          <t>active</t>
        </is>
      </c>
      <c r="U1570" s="8" t="n"/>
      <c r="V1570" s="1" t="inlineStr">
        <is>
          <t>SIN PRECIO</t>
        </is>
      </c>
    </row>
    <row r="1571">
      <c r="A1571" s="1" t="inlineStr">
        <is>
          <t>668eecd4df850</t>
        </is>
      </c>
      <c r="B1571" s="1" t="inlineStr">
        <is>
          <t>ANILLO T GOLD</t>
        </is>
      </c>
      <c r="C1571" s="1" t="inlineStr">
        <is>
          <t>7</t>
        </is>
      </c>
      <c r="D1571" s="1" t="inlineStr">
        <is>
          <t>HAIFENG</t>
        </is>
      </c>
      <c r="E1571" s="4">
        <f>COUNTIF('DETALLE CRONOLÓGICO'!$A$2:$A$4919,$A1571)</f>
        <v/>
      </c>
      <c r="F1571" s="4">
        <f>SUMIFS('DETALLE CRONOLÓGICO'!$I$2:$I$4919,'DETALLE CRONOLÓGICO'!$A$2:$A$4919,$A1571)</f>
        <v/>
      </c>
      <c r="G1571" s="1">
        <f>INDEX('DETALLE CRONOLÓGICO'!$D$2:$D$4919,MATCH($A1571,'DETALLE CRONOLÓGICO'!$A$2:$A$4919,0))</f>
        <v/>
      </c>
      <c r="H1571" s="1">
        <f>INDEX('DETALLE CRONOLÓGICO'!$D$2:$D$4919,MATCH($A1571,'DETALLE CRONOLÓGICO'!$A$2:$A$4919,0)+$E1571-1)</f>
        <v/>
      </c>
      <c r="I1571" s="5">
        <f>IFERROR(SUMIFS('DETALLE CRONOLÓGICO'!$L$2:$L$4919,'DETALLE CRONOLÓGICO'!$A$2:$A$4919,$A1571)/$F1571,"")</f>
        <v/>
      </c>
      <c r="J1571" s="6">
        <f>IFERROR(SUMIFS('DETALLE CRONOLÓGICO'!$K$2:$K$4919,'DETALLE CRONOLÓGICO'!$A$2:$A$4919,$A1571)/$E1571,"")</f>
        <v/>
      </c>
      <c r="K1571" s="6">
        <f>_xlfn.MINIFS('DETALLE CRONOLÓGICO'!$K$2:$K$4919,'DETALLE CRONOLÓGICO'!$A$2:$A$4919,$A1571)</f>
        <v/>
      </c>
      <c r="L1571" s="6">
        <f>_xlfn.MAXIFS('DETALLE CRONOLÓGICO'!$K$2:$K$4919,'DETALLE CRONOLÓGICO'!$A$2:$A$4919,$A1571)</f>
        <v/>
      </c>
      <c r="M1571" s="6">
        <f>INDEX('DETALLE CRONOLÓGICO'!$K$2:$K$4919,MATCH($A1571,'DETALLE CRONOLÓGICO'!$A$2:$A$4919,0)+$E1571-1)</f>
        <v/>
      </c>
      <c r="N1571" s="7">
        <f>IFERROR($M1571/INDEX('DETALLE CRONOLÓGICO'!$K$2:$K$4919,MATCH($A1571,'DETALLE CRONOLÓGICO'!$A$2:$A$4919,0))-1,"")</f>
        <v/>
      </c>
      <c r="O1571" s="6">
        <f>IFERROR($I1571*3,"")</f>
        <v/>
      </c>
      <c r="P1571" s="6">
        <f>IFERROR($I1571*3.5,"")</f>
        <v/>
      </c>
      <c r="Q1571" s="6">
        <f>IFERROR($I1571*4,"")</f>
        <v/>
      </c>
      <c r="R1571" s="6" t="n">
        <v>450</v>
      </c>
      <c r="S1571" s="4" t="n">
        <v>4</v>
      </c>
      <c r="T1571" s="1" t="inlineStr">
        <is>
          <t>active</t>
        </is>
      </c>
      <c r="U1571" s="8" t="n"/>
      <c r="V1571" s="1" t="inlineStr">
        <is>
          <t>SIN PRECIO</t>
        </is>
      </c>
    </row>
    <row r="1572">
      <c r="A1572" s="1" t="inlineStr">
        <is>
          <t>668eecd5a989f</t>
        </is>
      </c>
      <c r="B1572" s="1" t="inlineStr">
        <is>
          <t>ANILLO T GOLD</t>
        </is>
      </c>
      <c r="C1572" s="1" t="inlineStr">
        <is>
          <t>8</t>
        </is>
      </c>
      <c r="D1572" s="1" t="inlineStr">
        <is>
          <t>HAIFENG</t>
        </is>
      </c>
      <c r="E1572" s="4">
        <f>COUNTIF('DETALLE CRONOLÓGICO'!$A$2:$A$4919,$A1572)</f>
        <v/>
      </c>
      <c r="F1572" s="4">
        <f>SUMIFS('DETALLE CRONOLÓGICO'!$I$2:$I$4919,'DETALLE CRONOLÓGICO'!$A$2:$A$4919,$A1572)</f>
        <v/>
      </c>
      <c r="G1572" s="1">
        <f>INDEX('DETALLE CRONOLÓGICO'!$D$2:$D$4919,MATCH($A1572,'DETALLE CRONOLÓGICO'!$A$2:$A$4919,0))</f>
        <v/>
      </c>
      <c r="H1572" s="1">
        <f>INDEX('DETALLE CRONOLÓGICO'!$D$2:$D$4919,MATCH($A1572,'DETALLE CRONOLÓGICO'!$A$2:$A$4919,0)+$E1572-1)</f>
        <v/>
      </c>
      <c r="I1572" s="5">
        <f>IFERROR(SUMIFS('DETALLE CRONOLÓGICO'!$L$2:$L$4919,'DETALLE CRONOLÓGICO'!$A$2:$A$4919,$A1572)/$F1572,"")</f>
        <v/>
      </c>
      <c r="J1572" s="6">
        <f>IFERROR(SUMIFS('DETALLE CRONOLÓGICO'!$K$2:$K$4919,'DETALLE CRONOLÓGICO'!$A$2:$A$4919,$A1572)/$E1572,"")</f>
        <v/>
      </c>
      <c r="K1572" s="6">
        <f>_xlfn.MINIFS('DETALLE CRONOLÓGICO'!$K$2:$K$4919,'DETALLE CRONOLÓGICO'!$A$2:$A$4919,$A1572)</f>
        <v/>
      </c>
      <c r="L1572" s="6">
        <f>_xlfn.MAXIFS('DETALLE CRONOLÓGICO'!$K$2:$K$4919,'DETALLE CRONOLÓGICO'!$A$2:$A$4919,$A1572)</f>
        <v/>
      </c>
      <c r="M1572" s="6">
        <f>INDEX('DETALLE CRONOLÓGICO'!$K$2:$K$4919,MATCH($A1572,'DETALLE CRONOLÓGICO'!$A$2:$A$4919,0)+$E1572-1)</f>
        <v/>
      </c>
      <c r="N1572" s="7">
        <f>IFERROR($M1572/INDEX('DETALLE CRONOLÓGICO'!$K$2:$K$4919,MATCH($A1572,'DETALLE CRONOLÓGICO'!$A$2:$A$4919,0))-1,"")</f>
        <v/>
      </c>
      <c r="O1572" s="6">
        <f>IFERROR($I1572*3,"")</f>
        <v/>
      </c>
      <c r="P1572" s="6">
        <f>IFERROR($I1572*3.5,"")</f>
        <v/>
      </c>
      <c r="Q1572" s="6">
        <f>IFERROR($I1572*4,"")</f>
        <v/>
      </c>
      <c r="R1572" s="6" t="n">
        <v>450</v>
      </c>
      <c r="S1572" s="4" t="n">
        <v>10</v>
      </c>
      <c r="T1572" s="1" t="inlineStr">
        <is>
          <t>active</t>
        </is>
      </c>
      <c r="U1572" s="8" t="n"/>
      <c r="V1572" s="1" t="inlineStr">
        <is>
          <t>SIN PRECIO</t>
        </is>
      </c>
    </row>
    <row r="1573">
      <c r="A1573" s="1" t="inlineStr">
        <is>
          <t>668eee338c77b</t>
        </is>
      </c>
      <c r="B1573" s="1" t="inlineStr">
        <is>
          <t>ANILLO T SILVER</t>
        </is>
      </c>
      <c r="C1573" s="1" t="inlineStr">
        <is>
          <t>6</t>
        </is>
      </c>
      <c r="D1573" s="1" t="inlineStr">
        <is>
          <t>HAIFENG</t>
        </is>
      </c>
      <c r="E1573" s="4">
        <f>COUNTIF('DETALLE CRONOLÓGICO'!$A$2:$A$4919,$A1573)</f>
        <v/>
      </c>
      <c r="F1573" s="4">
        <f>SUMIFS('DETALLE CRONOLÓGICO'!$I$2:$I$4919,'DETALLE CRONOLÓGICO'!$A$2:$A$4919,$A1573)</f>
        <v/>
      </c>
      <c r="G1573" s="1">
        <f>INDEX('DETALLE CRONOLÓGICO'!$D$2:$D$4919,MATCH($A1573,'DETALLE CRONOLÓGICO'!$A$2:$A$4919,0))</f>
        <v/>
      </c>
      <c r="H1573" s="1">
        <f>INDEX('DETALLE CRONOLÓGICO'!$D$2:$D$4919,MATCH($A1573,'DETALLE CRONOLÓGICO'!$A$2:$A$4919,0)+$E1573-1)</f>
        <v/>
      </c>
      <c r="I1573" s="5">
        <f>IFERROR(SUMIFS('DETALLE CRONOLÓGICO'!$L$2:$L$4919,'DETALLE CRONOLÓGICO'!$A$2:$A$4919,$A1573)/$F1573,"")</f>
        <v/>
      </c>
      <c r="J1573" s="6">
        <f>IFERROR(SUMIFS('DETALLE CRONOLÓGICO'!$K$2:$K$4919,'DETALLE CRONOLÓGICO'!$A$2:$A$4919,$A1573)/$E1573,"")</f>
        <v/>
      </c>
      <c r="K1573" s="6">
        <f>_xlfn.MINIFS('DETALLE CRONOLÓGICO'!$K$2:$K$4919,'DETALLE CRONOLÓGICO'!$A$2:$A$4919,$A1573)</f>
        <v/>
      </c>
      <c r="L1573" s="6">
        <f>_xlfn.MAXIFS('DETALLE CRONOLÓGICO'!$K$2:$K$4919,'DETALLE CRONOLÓGICO'!$A$2:$A$4919,$A1573)</f>
        <v/>
      </c>
      <c r="M1573" s="6">
        <f>INDEX('DETALLE CRONOLÓGICO'!$K$2:$K$4919,MATCH($A1573,'DETALLE CRONOLÓGICO'!$A$2:$A$4919,0)+$E1573-1)</f>
        <v/>
      </c>
      <c r="N1573" s="7">
        <f>IFERROR($M1573/INDEX('DETALLE CRONOLÓGICO'!$K$2:$K$4919,MATCH($A1573,'DETALLE CRONOLÓGICO'!$A$2:$A$4919,0))-1,"")</f>
        <v/>
      </c>
      <c r="O1573" s="6">
        <f>IFERROR($I1573*3,"")</f>
        <v/>
      </c>
      <c r="P1573" s="6">
        <f>IFERROR($I1573*3.5,"")</f>
        <v/>
      </c>
      <c r="Q1573" s="6">
        <f>IFERROR($I1573*4,"")</f>
        <v/>
      </c>
      <c r="R1573" s="6" t="n">
        <v>450</v>
      </c>
      <c r="S1573" s="4" t="n">
        <v>11</v>
      </c>
      <c r="T1573" s="1" t="inlineStr">
        <is>
          <t>active</t>
        </is>
      </c>
      <c r="U1573" s="8" t="n"/>
      <c r="V1573" s="1" t="inlineStr">
        <is>
          <t>SIN PRECIO</t>
        </is>
      </c>
    </row>
    <row r="1574">
      <c r="A1574" s="1" t="inlineStr">
        <is>
          <t>668eee34483a2</t>
        </is>
      </c>
      <c r="B1574" s="1" t="inlineStr">
        <is>
          <t>ANILLO T SILVER</t>
        </is>
      </c>
      <c r="C1574" s="1" t="inlineStr">
        <is>
          <t>7</t>
        </is>
      </c>
      <c r="D1574" s="1" t="inlineStr">
        <is>
          <t>HAIFENG</t>
        </is>
      </c>
      <c r="E1574" s="4">
        <f>COUNTIF('DETALLE CRONOLÓGICO'!$A$2:$A$4919,$A1574)</f>
        <v/>
      </c>
      <c r="F1574" s="4">
        <f>SUMIFS('DETALLE CRONOLÓGICO'!$I$2:$I$4919,'DETALLE CRONOLÓGICO'!$A$2:$A$4919,$A1574)</f>
        <v/>
      </c>
      <c r="G1574" s="1">
        <f>INDEX('DETALLE CRONOLÓGICO'!$D$2:$D$4919,MATCH($A1574,'DETALLE CRONOLÓGICO'!$A$2:$A$4919,0))</f>
        <v/>
      </c>
      <c r="H1574" s="1">
        <f>INDEX('DETALLE CRONOLÓGICO'!$D$2:$D$4919,MATCH($A1574,'DETALLE CRONOLÓGICO'!$A$2:$A$4919,0)+$E1574-1)</f>
        <v/>
      </c>
      <c r="I1574" s="5">
        <f>IFERROR(SUMIFS('DETALLE CRONOLÓGICO'!$L$2:$L$4919,'DETALLE CRONOLÓGICO'!$A$2:$A$4919,$A1574)/$F1574,"")</f>
        <v/>
      </c>
      <c r="J1574" s="6">
        <f>IFERROR(SUMIFS('DETALLE CRONOLÓGICO'!$K$2:$K$4919,'DETALLE CRONOLÓGICO'!$A$2:$A$4919,$A1574)/$E1574,"")</f>
        <v/>
      </c>
      <c r="K1574" s="6">
        <f>_xlfn.MINIFS('DETALLE CRONOLÓGICO'!$K$2:$K$4919,'DETALLE CRONOLÓGICO'!$A$2:$A$4919,$A1574)</f>
        <v/>
      </c>
      <c r="L1574" s="6">
        <f>_xlfn.MAXIFS('DETALLE CRONOLÓGICO'!$K$2:$K$4919,'DETALLE CRONOLÓGICO'!$A$2:$A$4919,$A1574)</f>
        <v/>
      </c>
      <c r="M1574" s="6">
        <f>INDEX('DETALLE CRONOLÓGICO'!$K$2:$K$4919,MATCH($A1574,'DETALLE CRONOLÓGICO'!$A$2:$A$4919,0)+$E1574-1)</f>
        <v/>
      </c>
      <c r="N1574" s="7">
        <f>IFERROR($M1574/INDEX('DETALLE CRONOLÓGICO'!$K$2:$K$4919,MATCH($A1574,'DETALLE CRONOLÓGICO'!$A$2:$A$4919,0))-1,"")</f>
        <v/>
      </c>
      <c r="O1574" s="6">
        <f>IFERROR($I1574*3,"")</f>
        <v/>
      </c>
      <c r="P1574" s="6">
        <f>IFERROR($I1574*3.5,"")</f>
        <v/>
      </c>
      <c r="Q1574" s="6">
        <f>IFERROR($I1574*4,"")</f>
        <v/>
      </c>
      <c r="R1574" s="6" t="n">
        <v>450</v>
      </c>
      <c r="S1574" s="4" t="n">
        <v>0</v>
      </c>
      <c r="T1574" s="1" t="inlineStr">
        <is>
          <t>active</t>
        </is>
      </c>
      <c r="U1574" s="8" t="n"/>
      <c r="V1574" s="1" t="inlineStr">
        <is>
          <t>SIN PRECIO</t>
        </is>
      </c>
    </row>
    <row r="1575">
      <c r="A1575" s="1" t="inlineStr">
        <is>
          <t>668eee34bc314</t>
        </is>
      </c>
      <c r="B1575" s="1" t="inlineStr">
        <is>
          <t>PULSERA DE CUENTAS CON INSIGNIA DE CORAZÓN BLUE</t>
        </is>
      </c>
      <c r="C1575" s="1" t="inlineStr">
        <is>
          <t>16 cm</t>
        </is>
      </c>
      <c r="D1575" s="1" t="inlineStr">
        <is>
          <t>HAIFENG</t>
        </is>
      </c>
      <c r="E1575" s="4">
        <f>COUNTIF('DETALLE CRONOLÓGICO'!$A$2:$A$4919,$A1575)</f>
        <v/>
      </c>
      <c r="F1575" s="4">
        <f>SUMIFS('DETALLE CRONOLÓGICO'!$I$2:$I$4919,'DETALLE CRONOLÓGICO'!$A$2:$A$4919,$A1575)</f>
        <v/>
      </c>
      <c r="G1575" s="1">
        <f>INDEX('DETALLE CRONOLÓGICO'!$D$2:$D$4919,MATCH($A1575,'DETALLE CRONOLÓGICO'!$A$2:$A$4919,0))</f>
        <v/>
      </c>
      <c r="H1575" s="1">
        <f>INDEX('DETALLE CRONOLÓGICO'!$D$2:$D$4919,MATCH($A1575,'DETALLE CRONOLÓGICO'!$A$2:$A$4919,0)+$E1575-1)</f>
        <v/>
      </c>
      <c r="I1575" s="5">
        <f>IFERROR(SUMIFS('DETALLE CRONOLÓGICO'!$L$2:$L$4919,'DETALLE CRONOLÓGICO'!$A$2:$A$4919,$A1575)/$F1575,"")</f>
        <v/>
      </c>
      <c r="J1575" s="6">
        <f>IFERROR(SUMIFS('DETALLE CRONOLÓGICO'!$K$2:$K$4919,'DETALLE CRONOLÓGICO'!$A$2:$A$4919,$A1575)/$E1575,"")</f>
        <v/>
      </c>
      <c r="K1575" s="6">
        <f>_xlfn.MINIFS('DETALLE CRONOLÓGICO'!$K$2:$K$4919,'DETALLE CRONOLÓGICO'!$A$2:$A$4919,$A1575)</f>
        <v/>
      </c>
      <c r="L1575" s="6">
        <f>_xlfn.MAXIFS('DETALLE CRONOLÓGICO'!$K$2:$K$4919,'DETALLE CRONOLÓGICO'!$A$2:$A$4919,$A1575)</f>
        <v/>
      </c>
      <c r="M1575" s="6">
        <f>INDEX('DETALLE CRONOLÓGICO'!$K$2:$K$4919,MATCH($A1575,'DETALLE CRONOLÓGICO'!$A$2:$A$4919,0)+$E1575-1)</f>
        <v/>
      </c>
      <c r="N1575" s="7">
        <f>IFERROR($M1575/INDEX('DETALLE CRONOLÓGICO'!$K$2:$K$4919,MATCH($A1575,'DETALLE CRONOLÓGICO'!$A$2:$A$4919,0))-1,"")</f>
        <v/>
      </c>
      <c r="O1575" s="6">
        <f>IFERROR($I1575*3,"")</f>
        <v/>
      </c>
      <c r="P1575" s="6">
        <f>IFERROR($I1575*3.5,"")</f>
        <v/>
      </c>
      <c r="Q1575" s="6">
        <f>IFERROR($I1575*4,"")</f>
        <v/>
      </c>
      <c r="R1575" s="6" t="n">
        <v>550</v>
      </c>
      <c r="S1575" s="4" t="n">
        <v>9</v>
      </c>
      <c r="T1575" s="1" t="inlineStr">
        <is>
          <t>active</t>
        </is>
      </c>
      <c r="U1575" s="8" t="n"/>
      <c r="V1575" s="1" t="inlineStr">
        <is>
          <t>SIN PRECIO</t>
        </is>
      </c>
    </row>
    <row r="1576">
      <c r="A1576" s="1" t="inlineStr">
        <is>
          <t>668eee34e7e6d</t>
        </is>
      </c>
      <c r="B1576" s="1" t="inlineStr">
        <is>
          <t>ANILLO T SILVER</t>
        </is>
      </c>
      <c r="C1576" s="1" t="inlineStr">
        <is>
          <t>8</t>
        </is>
      </c>
      <c r="D1576" s="1" t="inlineStr">
        <is>
          <t>HAIFENG</t>
        </is>
      </c>
      <c r="E1576" s="4">
        <f>COUNTIF('DETALLE CRONOLÓGICO'!$A$2:$A$4919,$A1576)</f>
        <v/>
      </c>
      <c r="F1576" s="4">
        <f>SUMIFS('DETALLE CRONOLÓGICO'!$I$2:$I$4919,'DETALLE CRONOLÓGICO'!$A$2:$A$4919,$A1576)</f>
        <v/>
      </c>
      <c r="G1576" s="1">
        <f>INDEX('DETALLE CRONOLÓGICO'!$D$2:$D$4919,MATCH($A1576,'DETALLE CRONOLÓGICO'!$A$2:$A$4919,0))</f>
        <v/>
      </c>
      <c r="H1576" s="1">
        <f>INDEX('DETALLE CRONOLÓGICO'!$D$2:$D$4919,MATCH($A1576,'DETALLE CRONOLÓGICO'!$A$2:$A$4919,0)+$E1576-1)</f>
        <v/>
      </c>
      <c r="I1576" s="5">
        <f>IFERROR(SUMIFS('DETALLE CRONOLÓGICO'!$L$2:$L$4919,'DETALLE CRONOLÓGICO'!$A$2:$A$4919,$A1576)/$F1576,"")</f>
        <v/>
      </c>
      <c r="J1576" s="6">
        <f>IFERROR(SUMIFS('DETALLE CRONOLÓGICO'!$K$2:$K$4919,'DETALLE CRONOLÓGICO'!$A$2:$A$4919,$A1576)/$E1576,"")</f>
        <v/>
      </c>
      <c r="K1576" s="6">
        <f>_xlfn.MINIFS('DETALLE CRONOLÓGICO'!$K$2:$K$4919,'DETALLE CRONOLÓGICO'!$A$2:$A$4919,$A1576)</f>
        <v/>
      </c>
      <c r="L1576" s="6">
        <f>_xlfn.MAXIFS('DETALLE CRONOLÓGICO'!$K$2:$K$4919,'DETALLE CRONOLÓGICO'!$A$2:$A$4919,$A1576)</f>
        <v/>
      </c>
      <c r="M1576" s="6">
        <f>INDEX('DETALLE CRONOLÓGICO'!$K$2:$K$4919,MATCH($A1576,'DETALLE CRONOLÓGICO'!$A$2:$A$4919,0)+$E1576-1)</f>
        <v/>
      </c>
      <c r="N1576" s="7">
        <f>IFERROR($M1576/INDEX('DETALLE CRONOLÓGICO'!$K$2:$K$4919,MATCH($A1576,'DETALLE CRONOLÓGICO'!$A$2:$A$4919,0))-1,"")</f>
        <v/>
      </c>
      <c r="O1576" s="6">
        <f>IFERROR($I1576*3,"")</f>
        <v/>
      </c>
      <c r="P1576" s="6">
        <f>IFERROR($I1576*3.5,"")</f>
        <v/>
      </c>
      <c r="Q1576" s="6">
        <f>IFERROR($I1576*4,"")</f>
        <v/>
      </c>
      <c r="R1576" s="6" t="n">
        <v>450</v>
      </c>
      <c r="S1576" s="4" t="n">
        <v>1</v>
      </c>
      <c r="T1576" s="1" t="inlineStr">
        <is>
          <t>active</t>
        </is>
      </c>
      <c r="U1576" s="8" t="n"/>
      <c r="V1576" s="1" t="inlineStr">
        <is>
          <t>SIN PRECIO</t>
        </is>
      </c>
    </row>
    <row r="1577">
      <c r="A1577" s="1" t="inlineStr">
        <is>
          <t>668eee3550b09</t>
        </is>
      </c>
      <c r="B1577" s="1" t="inlineStr">
        <is>
          <t>COLLAR DOBLE PLACA CORAZÓN ROJO-PLATA</t>
        </is>
      </c>
      <c r="C1577" s="1" t="inlineStr">
        <is>
          <t>Middle Quality</t>
        </is>
      </c>
      <c r="D1577" s="1" t="inlineStr">
        <is>
          <t>HAIFENG</t>
        </is>
      </c>
      <c r="E1577" s="4">
        <f>COUNTIF('DETALLE CRONOLÓGICO'!$A$2:$A$4919,$A1577)</f>
        <v/>
      </c>
      <c r="F1577" s="4">
        <f>SUMIFS('DETALLE CRONOLÓGICO'!$I$2:$I$4919,'DETALLE CRONOLÓGICO'!$A$2:$A$4919,$A1577)</f>
        <v/>
      </c>
      <c r="G1577" s="1">
        <f>INDEX('DETALLE CRONOLÓGICO'!$D$2:$D$4919,MATCH($A1577,'DETALLE CRONOLÓGICO'!$A$2:$A$4919,0))</f>
        <v/>
      </c>
      <c r="H1577" s="1">
        <f>INDEX('DETALLE CRONOLÓGICO'!$D$2:$D$4919,MATCH($A1577,'DETALLE CRONOLÓGICO'!$A$2:$A$4919,0)+$E1577-1)</f>
        <v/>
      </c>
      <c r="I1577" s="5">
        <f>IFERROR(SUMIFS('DETALLE CRONOLÓGICO'!$L$2:$L$4919,'DETALLE CRONOLÓGICO'!$A$2:$A$4919,$A1577)/$F1577,"")</f>
        <v/>
      </c>
      <c r="J1577" s="6">
        <f>IFERROR(SUMIFS('DETALLE CRONOLÓGICO'!$K$2:$K$4919,'DETALLE CRONOLÓGICO'!$A$2:$A$4919,$A1577)/$E1577,"")</f>
        <v/>
      </c>
      <c r="K1577" s="6">
        <f>_xlfn.MINIFS('DETALLE CRONOLÓGICO'!$K$2:$K$4919,'DETALLE CRONOLÓGICO'!$A$2:$A$4919,$A1577)</f>
        <v/>
      </c>
      <c r="L1577" s="6">
        <f>_xlfn.MAXIFS('DETALLE CRONOLÓGICO'!$K$2:$K$4919,'DETALLE CRONOLÓGICO'!$A$2:$A$4919,$A1577)</f>
        <v/>
      </c>
      <c r="M1577" s="6">
        <f>INDEX('DETALLE CRONOLÓGICO'!$K$2:$K$4919,MATCH($A1577,'DETALLE CRONOLÓGICO'!$A$2:$A$4919,0)+$E1577-1)</f>
        <v/>
      </c>
      <c r="N1577" s="7">
        <f>IFERROR($M1577/INDEX('DETALLE CRONOLÓGICO'!$K$2:$K$4919,MATCH($A1577,'DETALLE CRONOLÓGICO'!$A$2:$A$4919,0))-1,"")</f>
        <v/>
      </c>
      <c r="O1577" s="6">
        <f>IFERROR($I1577*3,"")</f>
        <v/>
      </c>
      <c r="P1577" s="6">
        <f>IFERROR($I1577*3.5,"")</f>
        <v/>
      </c>
      <c r="Q1577" s="6">
        <f>IFERROR($I1577*4,"")</f>
        <v/>
      </c>
      <c r="R1577" s="6" t="n">
        <v>950</v>
      </c>
      <c r="S1577" s="4" t="n">
        <v>2</v>
      </c>
      <c r="T1577" s="1" t="inlineStr">
        <is>
          <t>active</t>
        </is>
      </c>
      <c r="U1577" s="8" t="n"/>
      <c r="V1577" s="1" t="inlineStr">
        <is>
          <t>SIN PRECIO</t>
        </is>
      </c>
    </row>
    <row r="1578">
      <c r="A1578" s="1" t="inlineStr">
        <is>
          <t>668eee357952c</t>
        </is>
      </c>
      <c r="B1578" s="1" t="inlineStr">
        <is>
          <t>PULSERA DE CUENTAS CON INSIGNIA DE CORAZÓN BLUE</t>
        </is>
      </c>
      <c r="C1578" s="1" t="inlineStr">
        <is>
          <t>17 cm</t>
        </is>
      </c>
      <c r="D1578" s="1" t="inlineStr">
        <is>
          <t>HAIFENG</t>
        </is>
      </c>
      <c r="E1578" s="4">
        <f>COUNTIF('DETALLE CRONOLÓGICO'!$A$2:$A$4919,$A1578)</f>
        <v/>
      </c>
      <c r="F1578" s="4">
        <f>SUMIFS('DETALLE CRONOLÓGICO'!$I$2:$I$4919,'DETALLE CRONOLÓGICO'!$A$2:$A$4919,$A1578)</f>
        <v/>
      </c>
      <c r="G1578" s="1">
        <f>INDEX('DETALLE CRONOLÓGICO'!$D$2:$D$4919,MATCH($A1578,'DETALLE CRONOLÓGICO'!$A$2:$A$4919,0))</f>
        <v/>
      </c>
      <c r="H1578" s="1">
        <f>INDEX('DETALLE CRONOLÓGICO'!$D$2:$D$4919,MATCH($A1578,'DETALLE CRONOLÓGICO'!$A$2:$A$4919,0)+$E1578-1)</f>
        <v/>
      </c>
      <c r="I1578" s="5">
        <f>IFERROR(SUMIFS('DETALLE CRONOLÓGICO'!$L$2:$L$4919,'DETALLE CRONOLÓGICO'!$A$2:$A$4919,$A1578)/$F1578,"")</f>
        <v/>
      </c>
      <c r="J1578" s="6">
        <f>IFERROR(SUMIFS('DETALLE CRONOLÓGICO'!$K$2:$K$4919,'DETALLE CRONOLÓGICO'!$A$2:$A$4919,$A1578)/$E1578,"")</f>
        <v/>
      </c>
      <c r="K1578" s="6">
        <f>_xlfn.MINIFS('DETALLE CRONOLÓGICO'!$K$2:$K$4919,'DETALLE CRONOLÓGICO'!$A$2:$A$4919,$A1578)</f>
        <v/>
      </c>
      <c r="L1578" s="6">
        <f>_xlfn.MAXIFS('DETALLE CRONOLÓGICO'!$K$2:$K$4919,'DETALLE CRONOLÓGICO'!$A$2:$A$4919,$A1578)</f>
        <v/>
      </c>
      <c r="M1578" s="6">
        <f>INDEX('DETALLE CRONOLÓGICO'!$K$2:$K$4919,MATCH($A1578,'DETALLE CRONOLÓGICO'!$A$2:$A$4919,0)+$E1578-1)</f>
        <v/>
      </c>
      <c r="N1578" s="7">
        <f>IFERROR($M1578/INDEX('DETALLE CRONOLÓGICO'!$K$2:$K$4919,MATCH($A1578,'DETALLE CRONOLÓGICO'!$A$2:$A$4919,0))-1,"")</f>
        <v/>
      </c>
      <c r="O1578" s="6">
        <f>IFERROR($I1578*3,"")</f>
        <v/>
      </c>
      <c r="P1578" s="6">
        <f>IFERROR($I1578*3.5,"")</f>
        <v/>
      </c>
      <c r="Q1578" s="6">
        <f>IFERROR($I1578*4,"")</f>
        <v/>
      </c>
      <c r="R1578" s="6" t="n">
        <v>550</v>
      </c>
      <c r="S1578" s="4" t="n">
        <v>17</v>
      </c>
      <c r="T1578" s="1" t="inlineStr">
        <is>
          <t>active</t>
        </is>
      </c>
      <c r="U1578" s="8" t="n"/>
      <c r="V1578" s="1" t="inlineStr">
        <is>
          <t>SIN PRECIO</t>
        </is>
      </c>
    </row>
    <row r="1579">
      <c r="A1579" s="1" t="inlineStr">
        <is>
          <t>668eee360a47c</t>
        </is>
      </c>
      <c r="B1579" s="1" t="inlineStr">
        <is>
          <t>PULSERA DE CUENTAS CON INSIGNIA DE CORAZÓN BLUE</t>
        </is>
      </c>
      <c r="C1579" s="1" t="inlineStr">
        <is>
          <t>18 cm</t>
        </is>
      </c>
      <c r="D1579" s="1" t="inlineStr">
        <is>
          <t>HAIFENG</t>
        </is>
      </c>
      <c r="E1579" s="4">
        <f>COUNTIF('DETALLE CRONOLÓGICO'!$A$2:$A$4919,$A1579)</f>
        <v/>
      </c>
      <c r="F1579" s="4">
        <f>SUMIFS('DETALLE CRONOLÓGICO'!$I$2:$I$4919,'DETALLE CRONOLÓGICO'!$A$2:$A$4919,$A1579)</f>
        <v/>
      </c>
      <c r="G1579" s="1">
        <f>INDEX('DETALLE CRONOLÓGICO'!$D$2:$D$4919,MATCH($A1579,'DETALLE CRONOLÓGICO'!$A$2:$A$4919,0))</f>
        <v/>
      </c>
      <c r="H1579" s="1">
        <f>INDEX('DETALLE CRONOLÓGICO'!$D$2:$D$4919,MATCH($A1579,'DETALLE CRONOLÓGICO'!$A$2:$A$4919,0)+$E1579-1)</f>
        <v/>
      </c>
      <c r="I1579" s="5">
        <f>IFERROR(SUMIFS('DETALLE CRONOLÓGICO'!$L$2:$L$4919,'DETALLE CRONOLÓGICO'!$A$2:$A$4919,$A1579)/$F1579,"")</f>
        <v/>
      </c>
      <c r="J1579" s="6">
        <f>IFERROR(SUMIFS('DETALLE CRONOLÓGICO'!$K$2:$K$4919,'DETALLE CRONOLÓGICO'!$A$2:$A$4919,$A1579)/$E1579,"")</f>
        <v/>
      </c>
      <c r="K1579" s="6">
        <f>_xlfn.MINIFS('DETALLE CRONOLÓGICO'!$K$2:$K$4919,'DETALLE CRONOLÓGICO'!$A$2:$A$4919,$A1579)</f>
        <v/>
      </c>
      <c r="L1579" s="6">
        <f>_xlfn.MAXIFS('DETALLE CRONOLÓGICO'!$K$2:$K$4919,'DETALLE CRONOLÓGICO'!$A$2:$A$4919,$A1579)</f>
        <v/>
      </c>
      <c r="M1579" s="6">
        <f>INDEX('DETALLE CRONOLÓGICO'!$K$2:$K$4919,MATCH($A1579,'DETALLE CRONOLÓGICO'!$A$2:$A$4919,0)+$E1579-1)</f>
        <v/>
      </c>
      <c r="N1579" s="7">
        <f>IFERROR($M1579/INDEX('DETALLE CRONOLÓGICO'!$K$2:$K$4919,MATCH($A1579,'DETALLE CRONOLÓGICO'!$A$2:$A$4919,0))-1,"")</f>
        <v/>
      </c>
      <c r="O1579" s="6">
        <f>IFERROR($I1579*3,"")</f>
        <v/>
      </c>
      <c r="P1579" s="6">
        <f>IFERROR($I1579*3.5,"")</f>
        <v/>
      </c>
      <c r="Q1579" s="6">
        <f>IFERROR($I1579*4,"")</f>
        <v/>
      </c>
      <c r="R1579" s="6" t="n">
        <v>550</v>
      </c>
      <c r="S1579" s="4" t="n">
        <v>9</v>
      </c>
      <c r="T1579" s="1" t="inlineStr">
        <is>
          <t>active</t>
        </is>
      </c>
      <c r="U1579" s="8" t="n"/>
      <c r="V1579" s="1" t="inlineStr">
        <is>
          <t>SIN PRECIO</t>
        </is>
      </c>
    </row>
    <row r="1580">
      <c r="A1580" s="1" t="inlineStr">
        <is>
          <t>668eee369b9c1</t>
        </is>
      </c>
      <c r="B1580" s="1" t="inlineStr">
        <is>
          <t>PULSERA DE CUENTAS CON INSIGNIA DE CORAZÓN BLUE</t>
        </is>
      </c>
      <c r="C1580" s="1" t="inlineStr">
        <is>
          <t>19 cm</t>
        </is>
      </c>
      <c r="D1580" s="1" t="inlineStr">
        <is>
          <t>HAIFENG</t>
        </is>
      </c>
      <c r="E1580" s="4">
        <f>COUNTIF('DETALLE CRONOLÓGICO'!$A$2:$A$4919,$A1580)</f>
        <v/>
      </c>
      <c r="F1580" s="4">
        <f>SUMIFS('DETALLE CRONOLÓGICO'!$I$2:$I$4919,'DETALLE CRONOLÓGICO'!$A$2:$A$4919,$A1580)</f>
        <v/>
      </c>
      <c r="G1580" s="1">
        <f>INDEX('DETALLE CRONOLÓGICO'!$D$2:$D$4919,MATCH($A1580,'DETALLE CRONOLÓGICO'!$A$2:$A$4919,0))</f>
        <v/>
      </c>
      <c r="H1580" s="1">
        <f>INDEX('DETALLE CRONOLÓGICO'!$D$2:$D$4919,MATCH($A1580,'DETALLE CRONOLÓGICO'!$A$2:$A$4919,0)+$E1580-1)</f>
        <v/>
      </c>
      <c r="I1580" s="5">
        <f>IFERROR(SUMIFS('DETALLE CRONOLÓGICO'!$L$2:$L$4919,'DETALLE CRONOLÓGICO'!$A$2:$A$4919,$A1580)/$F1580,"")</f>
        <v/>
      </c>
      <c r="J1580" s="6">
        <f>IFERROR(SUMIFS('DETALLE CRONOLÓGICO'!$K$2:$K$4919,'DETALLE CRONOLÓGICO'!$A$2:$A$4919,$A1580)/$E1580,"")</f>
        <v/>
      </c>
      <c r="K1580" s="6">
        <f>_xlfn.MINIFS('DETALLE CRONOLÓGICO'!$K$2:$K$4919,'DETALLE CRONOLÓGICO'!$A$2:$A$4919,$A1580)</f>
        <v/>
      </c>
      <c r="L1580" s="6">
        <f>_xlfn.MAXIFS('DETALLE CRONOLÓGICO'!$K$2:$K$4919,'DETALLE CRONOLÓGICO'!$A$2:$A$4919,$A1580)</f>
        <v/>
      </c>
      <c r="M1580" s="6">
        <f>INDEX('DETALLE CRONOLÓGICO'!$K$2:$K$4919,MATCH($A1580,'DETALLE CRONOLÓGICO'!$A$2:$A$4919,0)+$E1580-1)</f>
        <v/>
      </c>
      <c r="N1580" s="7">
        <f>IFERROR($M1580/INDEX('DETALLE CRONOLÓGICO'!$K$2:$K$4919,MATCH($A1580,'DETALLE CRONOLÓGICO'!$A$2:$A$4919,0))-1,"")</f>
        <v/>
      </c>
      <c r="O1580" s="6">
        <f>IFERROR($I1580*3,"")</f>
        <v/>
      </c>
      <c r="P1580" s="6">
        <f>IFERROR($I1580*3.5,"")</f>
        <v/>
      </c>
      <c r="Q1580" s="6">
        <f>IFERROR($I1580*4,"")</f>
        <v/>
      </c>
      <c r="R1580" s="6" t="n">
        <v>550</v>
      </c>
      <c r="S1580" s="4" t="n">
        <v>2</v>
      </c>
      <c r="T1580" s="1" t="inlineStr">
        <is>
          <t>active</t>
        </is>
      </c>
      <c r="U1580" s="8" t="n"/>
      <c r="V1580" s="1" t="inlineStr">
        <is>
          <t>SIN PRECIO</t>
        </is>
      </c>
    </row>
    <row r="1581">
      <c r="A1581" s="1" t="inlineStr">
        <is>
          <t>668eee3870a7d</t>
        </is>
      </c>
      <c r="B1581" s="1" t="inlineStr">
        <is>
          <t>COLLAR ESLABONES SILVER</t>
        </is>
      </c>
      <c r="C1581" s="1" t="inlineStr">
        <is>
          <t>47.5 cm</t>
        </is>
      </c>
      <c r="D1581" s="1" t="inlineStr">
        <is>
          <t>CYNTHIA</t>
        </is>
      </c>
      <c r="E1581" s="4">
        <f>COUNTIF('DETALLE CRONOLÓGICO'!$A$2:$A$4919,$A1581)</f>
        <v/>
      </c>
      <c r="F1581" s="4">
        <f>SUMIFS('DETALLE CRONOLÓGICO'!$I$2:$I$4919,'DETALLE CRONOLÓGICO'!$A$2:$A$4919,$A1581)</f>
        <v/>
      </c>
      <c r="G1581" s="1">
        <f>INDEX('DETALLE CRONOLÓGICO'!$D$2:$D$4919,MATCH($A1581,'DETALLE CRONOLÓGICO'!$A$2:$A$4919,0))</f>
        <v/>
      </c>
      <c r="H1581" s="1">
        <f>INDEX('DETALLE CRONOLÓGICO'!$D$2:$D$4919,MATCH($A1581,'DETALLE CRONOLÓGICO'!$A$2:$A$4919,0)+$E1581-1)</f>
        <v/>
      </c>
      <c r="I1581" s="5">
        <f>IFERROR(SUMIFS('DETALLE CRONOLÓGICO'!$L$2:$L$4919,'DETALLE CRONOLÓGICO'!$A$2:$A$4919,$A1581)/$F1581,"")</f>
        <v/>
      </c>
      <c r="J1581" s="6">
        <f>IFERROR(SUMIFS('DETALLE CRONOLÓGICO'!$K$2:$K$4919,'DETALLE CRONOLÓGICO'!$A$2:$A$4919,$A1581)/$E1581,"")</f>
        <v/>
      </c>
      <c r="K1581" s="6">
        <f>_xlfn.MINIFS('DETALLE CRONOLÓGICO'!$K$2:$K$4919,'DETALLE CRONOLÓGICO'!$A$2:$A$4919,$A1581)</f>
        <v/>
      </c>
      <c r="L1581" s="6">
        <f>_xlfn.MAXIFS('DETALLE CRONOLÓGICO'!$K$2:$K$4919,'DETALLE CRONOLÓGICO'!$A$2:$A$4919,$A1581)</f>
        <v/>
      </c>
      <c r="M1581" s="6">
        <f>INDEX('DETALLE CRONOLÓGICO'!$K$2:$K$4919,MATCH($A1581,'DETALLE CRONOLÓGICO'!$A$2:$A$4919,0)+$E1581-1)</f>
        <v/>
      </c>
      <c r="N1581" s="7">
        <f>IFERROR($M1581/INDEX('DETALLE CRONOLÓGICO'!$K$2:$K$4919,MATCH($A1581,'DETALLE CRONOLÓGICO'!$A$2:$A$4919,0))-1,"")</f>
        <v/>
      </c>
      <c r="O1581" s="6">
        <f>IFERROR($I1581*3,"")</f>
        <v/>
      </c>
      <c r="P1581" s="6">
        <f>IFERROR($I1581*3.5,"")</f>
        <v/>
      </c>
      <c r="Q1581" s="6">
        <f>IFERROR($I1581*4,"")</f>
        <v/>
      </c>
      <c r="R1581" s="6" t="n">
        <v>1499</v>
      </c>
      <c r="S1581" s="4" t="n">
        <v>0</v>
      </c>
      <c r="T1581" s="1" t="inlineStr">
        <is>
          <t>active</t>
        </is>
      </c>
      <c r="U1581" s="8" t="n"/>
      <c r="V1581" s="1" t="inlineStr">
        <is>
          <t>SIN PRECIO</t>
        </is>
      </c>
    </row>
    <row r="1582">
      <c r="A1582" s="1" t="inlineStr">
        <is>
          <t>668eee3921529</t>
        </is>
      </c>
      <c r="B1582" s="1" t="inlineStr">
        <is>
          <t>COLLAR ESLABONES SILVER</t>
        </is>
      </c>
      <c r="C1582" s="1" t="inlineStr">
        <is>
          <t>HIGH QUALITY 46cm</t>
        </is>
      </c>
      <c r="D1582" s="1" t="inlineStr">
        <is>
          <t>CYNTHIA</t>
        </is>
      </c>
      <c r="E1582" s="4">
        <f>COUNTIF('DETALLE CRONOLÓGICO'!$A$2:$A$4919,$A1582)</f>
        <v/>
      </c>
      <c r="F1582" s="4">
        <f>SUMIFS('DETALLE CRONOLÓGICO'!$I$2:$I$4919,'DETALLE CRONOLÓGICO'!$A$2:$A$4919,$A1582)</f>
        <v/>
      </c>
      <c r="G1582" s="1">
        <f>INDEX('DETALLE CRONOLÓGICO'!$D$2:$D$4919,MATCH($A1582,'DETALLE CRONOLÓGICO'!$A$2:$A$4919,0))</f>
        <v/>
      </c>
      <c r="H1582" s="1">
        <f>INDEX('DETALLE CRONOLÓGICO'!$D$2:$D$4919,MATCH($A1582,'DETALLE CRONOLÓGICO'!$A$2:$A$4919,0)+$E1582-1)</f>
        <v/>
      </c>
      <c r="I1582" s="5">
        <f>IFERROR(SUMIFS('DETALLE CRONOLÓGICO'!$L$2:$L$4919,'DETALLE CRONOLÓGICO'!$A$2:$A$4919,$A1582)/$F1582,"")</f>
        <v/>
      </c>
      <c r="J1582" s="6">
        <f>IFERROR(SUMIFS('DETALLE CRONOLÓGICO'!$K$2:$K$4919,'DETALLE CRONOLÓGICO'!$A$2:$A$4919,$A1582)/$E1582,"")</f>
        <v/>
      </c>
      <c r="K1582" s="6">
        <f>_xlfn.MINIFS('DETALLE CRONOLÓGICO'!$K$2:$K$4919,'DETALLE CRONOLÓGICO'!$A$2:$A$4919,$A1582)</f>
        <v/>
      </c>
      <c r="L1582" s="6">
        <f>_xlfn.MAXIFS('DETALLE CRONOLÓGICO'!$K$2:$K$4919,'DETALLE CRONOLÓGICO'!$A$2:$A$4919,$A1582)</f>
        <v/>
      </c>
      <c r="M1582" s="6">
        <f>INDEX('DETALLE CRONOLÓGICO'!$K$2:$K$4919,MATCH($A1582,'DETALLE CRONOLÓGICO'!$A$2:$A$4919,0)+$E1582-1)</f>
        <v/>
      </c>
      <c r="N1582" s="7">
        <f>IFERROR($M1582/INDEX('DETALLE CRONOLÓGICO'!$K$2:$K$4919,MATCH($A1582,'DETALLE CRONOLÓGICO'!$A$2:$A$4919,0))-1,"")</f>
        <v/>
      </c>
      <c r="O1582" s="6">
        <f>IFERROR($I1582*3,"")</f>
        <v/>
      </c>
      <c r="P1582" s="6">
        <f>IFERROR($I1582*3.5,"")</f>
        <v/>
      </c>
      <c r="Q1582" s="6">
        <f>IFERROR($I1582*4,"")</f>
        <v/>
      </c>
      <c r="R1582" s="6" t="n">
        <v>1499</v>
      </c>
      <c r="S1582" s="4" t="n">
        <v>5</v>
      </c>
      <c r="T1582" s="1" t="inlineStr">
        <is>
          <t>active</t>
        </is>
      </c>
      <c r="U1582" s="8" t="n"/>
      <c r="V1582" s="1" t="inlineStr">
        <is>
          <t>SIN PRECIO</t>
        </is>
      </c>
    </row>
    <row r="1583">
      <c r="A1583" s="1" t="inlineStr">
        <is>
          <t>668eee3b4af12</t>
        </is>
      </c>
      <c r="B1583" s="1" t="inlineStr">
        <is>
          <t>PULSERA T CON ZIRCONIA Y COLOR TURQUESA</t>
        </is>
      </c>
      <c r="C1583" s="1" t="inlineStr">
        <is>
          <t>16 cm</t>
        </is>
      </c>
      <c r="D1583" s="1" t="inlineStr">
        <is>
          <t>CYNTHIA</t>
        </is>
      </c>
      <c r="E1583" s="4">
        <f>COUNTIF('DETALLE CRONOLÓGICO'!$A$2:$A$4919,$A1583)</f>
        <v/>
      </c>
      <c r="F1583" s="4">
        <f>SUMIFS('DETALLE CRONOLÓGICO'!$I$2:$I$4919,'DETALLE CRONOLÓGICO'!$A$2:$A$4919,$A1583)</f>
        <v/>
      </c>
      <c r="G1583" s="1">
        <f>INDEX('DETALLE CRONOLÓGICO'!$D$2:$D$4919,MATCH($A1583,'DETALLE CRONOLÓGICO'!$A$2:$A$4919,0))</f>
        <v/>
      </c>
      <c r="H1583" s="1">
        <f>INDEX('DETALLE CRONOLÓGICO'!$D$2:$D$4919,MATCH($A1583,'DETALLE CRONOLÓGICO'!$A$2:$A$4919,0)+$E1583-1)</f>
        <v/>
      </c>
      <c r="I1583" s="5">
        <f>IFERROR(SUMIFS('DETALLE CRONOLÓGICO'!$L$2:$L$4919,'DETALLE CRONOLÓGICO'!$A$2:$A$4919,$A1583)/$F1583,"")</f>
        <v/>
      </c>
      <c r="J1583" s="6">
        <f>IFERROR(SUMIFS('DETALLE CRONOLÓGICO'!$K$2:$K$4919,'DETALLE CRONOLÓGICO'!$A$2:$A$4919,$A1583)/$E1583,"")</f>
        <v/>
      </c>
      <c r="K1583" s="6">
        <f>_xlfn.MINIFS('DETALLE CRONOLÓGICO'!$K$2:$K$4919,'DETALLE CRONOLÓGICO'!$A$2:$A$4919,$A1583)</f>
        <v/>
      </c>
      <c r="L1583" s="6">
        <f>_xlfn.MAXIFS('DETALLE CRONOLÓGICO'!$K$2:$K$4919,'DETALLE CRONOLÓGICO'!$A$2:$A$4919,$A1583)</f>
        <v/>
      </c>
      <c r="M1583" s="6">
        <f>INDEX('DETALLE CRONOLÓGICO'!$K$2:$K$4919,MATCH($A1583,'DETALLE CRONOLÓGICO'!$A$2:$A$4919,0)+$E1583-1)</f>
        <v/>
      </c>
      <c r="N1583" s="7">
        <f>IFERROR($M1583/INDEX('DETALLE CRONOLÓGICO'!$K$2:$K$4919,MATCH($A1583,'DETALLE CRONOLÓGICO'!$A$2:$A$4919,0))-1,"")</f>
        <v/>
      </c>
      <c r="O1583" s="6">
        <f>IFERROR($I1583*3,"")</f>
        <v/>
      </c>
      <c r="P1583" s="6">
        <f>IFERROR($I1583*3.5,"")</f>
        <v/>
      </c>
      <c r="Q1583" s="6">
        <f>IFERROR($I1583*4,"")</f>
        <v/>
      </c>
      <c r="R1583" s="6" t="n">
        <v>639</v>
      </c>
      <c r="S1583" s="4" t="n">
        <v>0</v>
      </c>
      <c r="T1583" s="1" t="inlineStr">
        <is>
          <t>active</t>
        </is>
      </c>
      <c r="U1583" s="8" t="n"/>
      <c r="V1583" s="1" t="inlineStr">
        <is>
          <t>SIN PRECIO</t>
        </is>
      </c>
    </row>
    <row r="1584">
      <c r="A1584" s="1" t="inlineStr">
        <is>
          <t>668eee3e3e067</t>
        </is>
      </c>
      <c r="B1584" s="1" t="inlineStr">
        <is>
          <t>COLLAR DOBLE PLACA CORAZÓN TURQUESA-PLATA</t>
        </is>
      </c>
      <c r="C1584" s="1" t="inlineStr">
        <is>
          <t>Copper</t>
        </is>
      </c>
      <c r="D1584" s="1" t="inlineStr">
        <is>
          <t>HAIFENG</t>
        </is>
      </c>
      <c r="E1584" s="4">
        <f>COUNTIF('DETALLE CRONOLÓGICO'!$A$2:$A$4919,$A1584)</f>
        <v/>
      </c>
      <c r="F1584" s="4">
        <f>SUMIFS('DETALLE CRONOLÓGICO'!$I$2:$I$4919,'DETALLE CRONOLÓGICO'!$A$2:$A$4919,$A1584)</f>
        <v/>
      </c>
      <c r="G1584" s="1">
        <f>INDEX('DETALLE CRONOLÓGICO'!$D$2:$D$4919,MATCH($A1584,'DETALLE CRONOLÓGICO'!$A$2:$A$4919,0))</f>
        <v/>
      </c>
      <c r="H1584" s="1">
        <f>INDEX('DETALLE CRONOLÓGICO'!$D$2:$D$4919,MATCH($A1584,'DETALLE CRONOLÓGICO'!$A$2:$A$4919,0)+$E1584-1)</f>
        <v/>
      </c>
      <c r="I1584" s="5">
        <f>IFERROR(SUMIFS('DETALLE CRONOLÓGICO'!$L$2:$L$4919,'DETALLE CRONOLÓGICO'!$A$2:$A$4919,$A1584)/$F1584,"")</f>
        <v/>
      </c>
      <c r="J1584" s="6">
        <f>IFERROR(SUMIFS('DETALLE CRONOLÓGICO'!$K$2:$K$4919,'DETALLE CRONOLÓGICO'!$A$2:$A$4919,$A1584)/$E1584,"")</f>
        <v/>
      </c>
      <c r="K1584" s="6">
        <f>_xlfn.MINIFS('DETALLE CRONOLÓGICO'!$K$2:$K$4919,'DETALLE CRONOLÓGICO'!$A$2:$A$4919,$A1584)</f>
        <v/>
      </c>
      <c r="L1584" s="6">
        <f>_xlfn.MAXIFS('DETALLE CRONOLÓGICO'!$K$2:$K$4919,'DETALLE CRONOLÓGICO'!$A$2:$A$4919,$A1584)</f>
        <v/>
      </c>
      <c r="M1584" s="6">
        <f>INDEX('DETALLE CRONOLÓGICO'!$K$2:$K$4919,MATCH($A1584,'DETALLE CRONOLÓGICO'!$A$2:$A$4919,0)+$E1584-1)</f>
        <v/>
      </c>
      <c r="N1584" s="7">
        <f>IFERROR($M1584/INDEX('DETALLE CRONOLÓGICO'!$K$2:$K$4919,MATCH($A1584,'DETALLE CRONOLÓGICO'!$A$2:$A$4919,0))-1,"")</f>
        <v/>
      </c>
      <c r="O1584" s="6">
        <f>IFERROR($I1584*3,"")</f>
        <v/>
      </c>
      <c r="P1584" s="6">
        <f>IFERROR($I1584*3.5,"")</f>
        <v/>
      </c>
      <c r="Q1584" s="6">
        <f>IFERROR($I1584*4,"")</f>
        <v/>
      </c>
      <c r="R1584" s="6" t="n">
        <v>550</v>
      </c>
      <c r="S1584" s="4" t="n">
        <v>13</v>
      </c>
      <c r="T1584" s="1" t="inlineStr">
        <is>
          <t>active</t>
        </is>
      </c>
      <c r="U1584" s="8" t="n"/>
      <c r="V1584" s="1" t="inlineStr">
        <is>
          <t>SIN PRECIO</t>
        </is>
      </c>
    </row>
    <row r="1585">
      <c r="A1585" s="1" t="inlineStr">
        <is>
          <t>668eee3eadc59</t>
        </is>
      </c>
      <c r="B1585" s="1" t="inlineStr">
        <is>
          <t>COLLAR DOBLE PLACA CORAZÓN ROSA-PLATA</t>
        </is>
      </c>
      <c r="C1585" s="1" t="inlineStr">
        <is>
          <t>Copper</t>
        </is>
      </c>
      <c r="D1585" s="1" t="inlineStr">
        <is>
          <t>CYNTHIA</t>
        </is>
      </c>
      <c r="E1585" s="4">
        <f>COUNTIF('DETALLE CRONOLÓGICO'!$A$2:$A$4919,$A1585)</f>
        <v/>
      </c>
      <c r="F1585" s="4">
        <f>SUMIFS('DETALLE CRONOLÓGICO'!$I$2:$I$4919,'DETALLE CRONOLÓGICO'!$A$2:$A$4919,$A1585)</f>
        <v/>
      </c>
      <c r="G1585" s="1">
        <f>INDEX('DETALLE CRONOLÓGICO'!$D$2:$D$4919,MATCH($A1585,'DETALLE CRONOLÓGICO'!$A$2:$A$4919,0))</f>
        <v/>
      </c>
      <c r="H1585" s="1">
        <f>INDEX('DETALLE CRONOLÓGICO'!$D$2:$D$4919,MATCH($A1585,'DETALLE CRONOLÓGICO'!$A$2:$A$4919,0)+$E1585-1)</f>
        <v/>
      </c>
      <c r="I1585" s="5">
        <f>IFERROR(SUMIFS('DETALLE CRONOLÓGICO'!$L$2:$L$4919,'DETALLE CRONOLÓGICO'!$A$2:$A$4919,$A1585)/$F1585,"")</f>
        <v/>
      </c>
      <c r="J1585" s="6">
        <f>IFERROR(SUMIFS('DETALLE CRONOLÓGICO'!$K$2:$K$4919,'DETALLE CRONOLÓGICO'!$A$2:$A$4919,$A1585)/$E1585,"")</f>
        <v/>
      </c>
      <c r="K1585" s="6">
        <f>_xlfn.MINIFS('DETALLE CRONOLÓGICO'!$K$2:$K$4919,'DETALLE CRONOLÓGICO'!$A$2:$A$4919,$A1585)</f>
        <v/>
      </c>
      <c r="L1585" s="6">
        <f>_xlfn.MAXIFS('DETALLE CRONOLÓGICO'!$K$2:$K$4919,'DETALLE CRONOLÓGICO'!$A$2:$A$4919,$A1585)</f>
        <v/>
      </c>
      <c r="M1585" s="6">
        <f>INDEX('DETALLE CRONOLÓGICO'!$K$2:$K$4919,MATCH($A1585,'DETALLE CRONOLÓGICO'!$A$2:$A$4919,0)+$E1585-1)</f>
        <v/>
      </c>
      <c r="N1585" s="7">
        <f>IFERROR($M1585/INDEX('DETALLE CRONOLÓGICO'!$K$2:$K$4919,MATCH($A1585,'DETALLE CRONOLÓGICO'!$A$2:$A$4919,0))-1,"")</f>
        <v/>
      </c>
      <c r="O1585" s="6">
        <f>IFERROR($I1585*3,"")</f>
        <v/>
      </c>
      <c r="P1585" s="6">
        <f>IFERROR($I1585*3.5,"")</f>
        <v/>
      </c>
      <c r="Q1585" s="6">
        <f>IFERROR($I1585*4,"")</f>
        <v/>
      </c>
      <c r="R1585" s="6" t="n">
        <v>950</v>
      </c>
      <c r="S1585" s="4" t="n">
        <v>1</v>
      </c>
      <c r="T1585" s="1" t="inlineStr">
        <is>
          <t>active</t>
        </is>
      </c>
      <c r="U1585" s="8" t="n"/>
      <c r="V1585" s="1" t="inlineStr">
        <is>
          <t>SIN PRECIO</t>
        </is>
      </c>
    </row>
    <row r="1586">
      <c r="A1586" s="1" t="inlineStr">
        <is>
          <t>668eee4037675</t>
        </is>
      </c>
      <c r="B1586" s="1" t="inlineStr">
        <is>
          <t>COLLAR ESLABONES GOLD</t>
        </is>
      </c>
      <c r="C1586" s="1" t="inlineStr">
        <is>
          <t>46cm</t>
        </is>
      </c>
      <c r="D1586" s="1" t="inlineStr">
        <is>
          <t>CYNTHIA</t>
        </is>
      </c>
      <c r="E1586" s="4">
        <f>COUNTIF('DETALLE CRONOLÓGICO'!$A$2:$A$4919,$A1586)</f>
        <v/>
      </c>
      <c r="F1586" s="4">
        <f>SUMIFS('DETALLE CRONOLÓGICO'!$I$2:$I$4919,'DETALLE CRONOLÓGICO'!$A$2:$A$4919,$A1586)</f>
        <v/>
      </c>
      <c r="G1586" s="1">
        <f>INDEX('DETALLE CRONOLÓGICO'!$D$2:$D$4919,MATCH($A1586,'DETALLE CRONOLÓGICO'!$A$2:$A$4919,0))</f>
        <v/>
      </c>
      <c r="H1586" s="1">
        <f>INDEX('DETALLE CRONOLÓGICO'!$D$2:$D$4919,MATCH($A1586,'DETALLE CRONOLÓGICO'!$A$2:$A$4919,0)+$E1586-1)</f>
        <v/>
      </c>
      <c r="I1586" s="5">
        <f>IFERROR(SUMIFS('DETALLE CRONOLÓGICO'!$L$2:$L$4919,'DETALLE CRONOLÓGICO'!$A$2:$A$4919,$A1586)/$F1586,"")</f>
        <v/>
      </c>
      <c r="J1586" s="6">
        <f>IFERROR(SUMIFS('DETALLE CRONOLÓGICO'!$K$2:$K$4919,'DETALLE CRONOLÓGICO'!$A$2:$A$4919,$A1586)/$E1586,"")</f>
        <v/>
      </c>
      <c r="K1586" s="6">
        <f>_xlfn.MINIFS('DETALLE CRONOLÓGICO'!$K$2:$K$4919,'DETALLE CRONOLÓGICO'!$A$2:$A$4919,$A1586)</f>
        <v/>
      </c>
      <c r="L1586" s="6">
        <f>_xlfn.MAXIFS('DETALLE CRONOLÓGICO'!$K$2:$K$4919,'DETALLE CRONOLÓGICO'!$A$2:$A$4919,$A1586)</f>
        <v/>
      </c>
      <c r="M1586" s="6">
        <f>INDEX('DETALLE CRONOLÓGICO'!$K$2:$K$4919,MATCH($A1586,'DETALLE CRONOLÓGICO'!$A$2:$A$4919,0)+$E1586-1)</f>
        <v/>
      </c>
      <c r="N1586" s="7">
        <f>IFERROR($M1586/INDEX('DETALLE CRONOLÓGICO'!$K$2:$K$4919,MATCH($A1586,'DETALLE CRONOLÓGICO'!$A$2:$A$4919,0))-1,"")</f>
        <v/>
      </c>
      <c r="O1586" s="6">
        <f>IFERROR($I1586*3,"")</f>
        <v/>
      </c>
      <c r="P1586" s="6">
        <f>IFERROR($I1586*3.5,"")</f>
        <v/>
      </c>
      <c r="Q1586" s="6">
        <f>IFERROR($I1586*4,"")</f>
        <v/>
      </c>
      <c r="R1586" s="6" t="n">
        <v>1499</v>
      </c>
      <c r="S1586" s="4" t="n">
        <v>0</v>
      </c>
      <c r="T1586" s="1" t="inlineStr">
        <is>
          <t>active</t>
        </is>
      </c>
      <c r="U1586" s="8" t="n"/>
      <c r="V1586" s="1" t="inlineStr">
        <is>
          <t>SIN PRECIO</t>
        </is>
      </c>
    </row>
    <row r="1587">
      <c r="A1587" s="1" t="inlineStr">
        <is>
          <t>668eee41bab7a</t>
        </is>
      </c>
      <c r="B1587" s="1" t="inlineStr">
        <is>
          <t>PULSERA ESLABONES GOLD</t>
        </is>
      </c>
      <c r="C1587" s="1" t="inlineStr">
        <is>
          <t>High Quality 17.5cm</t>
        </is>
      </c>
      <c r="D1587" s="1" t="inlineStr">
        <is>
          <t>CYNTHIA</t>
        </is>
      </c>
      <c r="E1587" s="4">
        <f>COUNTIF('DETALLE CRONOLÓGICO'!$A$2:$A$4919,$A1587)</f>
        <v/>
      </c>
      <c r="F1587" s="4">
        <f>SUMIFS('DETALLE CRONOLÓGICO'!$I$2:$I$4919,'DETALLE CRONOLÓGICO'!$A$2:$A$4919,$A1587)</f>
        <v/>
      </c>
      <c r="G1587" s="1">
        <f>INDEX('DETALLE CRONOLÓGICO'!$D$2:$D$4919,MATCH($A1587,'DETALLE CRONOLÓGICO'!$A$2:$A$4919,0))</f>
        <v/>
      </c>
      <c r="H1587" s="1">
        <f>INDEX('DETALLE CRONOLÓGICO'!$D$2:$D$4919,MATCH($A1587,'DETALLE CRONOLÓGICO'!$A$2:$A$4919,0)+$E1587-1)</f>
        <v/>
      </c>
      <c r="I1587" s="5">
        <f>IFERROR(SUMIFS('DETALLE CRONOLÓGICO'!$L$2:$L$4919,'DETALLE CRONOLÓGICO'!$A$2:$A$4919,$A1587)/$F1587,"")</f>
        <v/>
      </c>
      <c r="J1587" s="6">
        <f>IFERROR(SUMIFS('DETALLE CRONOLÓGICO'!$K$2:$K$4919,'DETALLE CRONOLÓGICO'!$A$2:$A$4919,$A1587)/$E1587,"")</f>
        <v/>
      </c>
      <c r="K1587" s="6">
        <f>_xlfn.MINIFS('DETALLE CRONOLÓGICO'!$K$2:$K$4919,'DETALLE CRONOLÓGICO'!$A$2:$A$4919,$A1587)</f>
        <v/>
      </c>
      <c r="L1587" s="6">
        <f>_xlfn.MAXIFS('DETALLE CRONOLÓGICO'!$K$2:$K$4919,'DETALLE CRONOLÓGICO'!$A$2:$A$4919,$A1587)</f>
        <v/>
      </c>
      <c r="M1587" s="6">
        <f>INDEX('DETALLE CRONOLÓGICO'!$K$2:$K$4919,MATCH($A1587,'DETALLE CRONOLÓGICO'!$A$2:$A$4919,0)+$E1587-1)</f>
        <v/>
      </c>
      <c r="N1587" s="7">
        <f>IFERROR($M1587/INDEX('DETALLE CRONOLÓGICO'!$K$2:$K$4919,MATCH($A1587,'DETALLE CRONOLÓGICO'!$A$2:$A$4919,0))-1,"")</f>
        <v/>
      </c>
      <c r="O1587" s="6">
        <f>IFERROR($I1587*3,"")</f>
        <v/>
      </c>
      <c r="P1587" s="6">
        <f>IFERROR($I1587*3.5,"")</f>
        <v/>
      </c>
      <c r="Q1587" s="6">
        <f>IFERROR($I1587*4,"")</f>
        <v/>
      </c>
      <c r="R1587" s="6" t="n">
        <v>1469</v>
      </c>
      <c r="S1587" s="4" t="n">
        <v>3</v>
      </c>
      <c r="T1587" s="1" t="inlineStr">
        <is>
          <t>active</t>
        </is>
      </c>
      <c r="U1587" s="8" t="n"/>
      <c r="V1587" s="1" t="inlineStr">
        <is>
          <t>SIN PRECIO</t>
        </is>
      </c>
    </row>
    <row r="1588">
      <c r="A1588" s="1" t="inlineStr">
        <is>
          <t>668eee4272e66</t>
        </is>
      </c>
      <c r="B1588" s="1" t="inlineStr">
        <is>
          <t>PULSERA ESLABONES GOLD</t>
        </is>
      </c>
      <c r="C1588" s="1" t="inlineStr">
        <is>
          <t>High Quality 20.5cm</t>
        </is>
      </c>
      <c r="D1588" s="1" t="inlineStr">
        <is>
          <t>CYNTHIA</t>
        </is>
      </c>
      <c r="E1588" s="4">
        <f>COUNTIF('DETALLE CRONOLÓGICO'!$A$2:$A$4919,$A1588)</f>
        <v/>
      </c>
      <c r="F1588" s="4">
        <f>SUMIFS('DETALLE CRONOLÓGICO'!$I$2:$I$4919,'DETALLE CRONOLÓGICO'!$A$2:$A$4919,$A1588)</f>
        <v/>
      </c>
      <c r="G1588" s="1">
        <f>INDEX('DETALLE CRONOLÓGICO'!$D$2:$D$4919,MATCH($A1588,'DETALLE CRONOLÓGICO'!$A$2:$A$4919,0))</f>
        <v/>
      </c>
      <c r="H1588" s="1">
        <f>INDEX('DETALLE CRONOLÓGICO'!$D$2:$D$4919,MATCH($A1588,'DETALLE CRONOLÓGICO'!$A$2:$A$4919,0)+$E1588-1)</f>
        <v/>
      </c>
      <c r="I1588" s="5">
        <f>IFERROR(SUMIFS('DETALLE CRONOLÓGICO'!$L$2:$L$4919,'DETALLE CRONOLÓGICO'!$A$2:$A$4919,$A1588)/$F1588,"")</f>
        <v/>
      </c>
      <c r="J1588" s="6">
        <f>IFERROR(SUMIFS('DETALLE CRONOLÓGICO'!$K$2:$K$4919,'DETALLE CRONOLÓGICO'!$A$2:$A$4919,$A1588)/$E1588,"")</f>
        <v/>
      </c>
      <c r="K1588" s="6">
        <f>_xlfn.MINIFS('DETALLE CRONOLÓGICO'!$K$2:$K$4919,'DETALLE CRONOLÓGICO'!$A$2:$A$4919,$A1588)</f>
        <v/>
      </c>
      <c r="L1588" s="6">
        <f>_xlfn.MAXIFS('DETALLE CRONOLÓGICO'!$K$2:$K$4919,'DETALLE CRONOLÓGICO'!$A$2:$A$4919,$A1588)</f>
        <v/>
      </c>
      <c r="M1588" s="6">
        <f>INDEX('DETALLE CRONOLÓGICO'!$K$2:$K$4919,MATCH($A1588,'DETALLE CRONOLÓGICO'!$A$2:$A$4919,0)+$E1588-1)</f>
        <v/>
      </c>
      <c r="N1588" s="7">
        <f>IFERROR($M1588/INDEX('DETALLE CRONOLÓGICO'!$K$2:$K$4919,MATCH($A1588,'DETALLE CRONOLÓGICO'!$A$2:$A$4919,0))-1,"")</f>
        <v/>
      </c>
      <c r="O1588" s="6">
        <f>IFERROR($I1588*3,"")</f>
        <v/>
      </c>
      <c r="P1588" s="6">
        <f>IFERROR($I1588*3.5,"")</f>
        <v/>
      </c>
      <c r="Q1588" s="6">
        <f>IFERROR($I1588*4,"")</f>
        <v/>
      </c>
      <c r="R1588" s="6" t="n">
        <v>1469</v>
      </c>
      <c r="S1588" s="4" t="n">
        <v>0</v>
      </c>
      <c r="T1588" s="1" t="inlineStr">
        <is>
          <t>active</t>
        </is>
      </c>
      <c r="U1588" s="8" t="n"/>
      <c r="V1588" s="1" t="inlineStr">
        <is>
          <t>SIN PRECIO</t>
        </is>
      </c>
    </row>
    <row r="1589">
      <c r="A1589" s="1" t="inlineStr">
        <is>
          <t>668eee430f697</t>
        </is>
      </c>
      <c r="B1589" s="1" t="inlineStr">
        <is>
          <t>COLLAR SMILE ROSE GOLD</t>
        </is>
      </c>
      <c r="C1589" s="1" t="inlineStr">
        <is>
          <t>Cadena ajustable de 40.6 a 45.7 cm</t>
        </is>
      </c>
      <c r="D1589" s="1" t="inlineStr">
        <is>
          <t>HAIFENG</t>
        </is>
      </c>
      <c r="E1589" s="4">
        <f>COUNTIF('DETALLE CRONOLÓGICO'!$A$2:$A$4919,$A1589)</f>
        <v/>
      </c>
      <c r="F1589" s="4">
        <f>SUMIFS('DETALLE CRONOLÓGICO'!$I$2:$I$4919,'DETALLE CRONOLÓGICO'!$A$2:$A$4919,$A1589)</f>
        <v/>
      </c>
      <c r="G1589" s="1">
        <f>INDEX('DETALLE CRONOLÓGICO'!$D$2:$D$4919,MATCH($A1589,'DETALLE CRONOLÓGICO'!$A$2:$A$4919,0))</f>
        <v/>
      </c>
      <c r="H1589" s="1">
        <f>INDEX('DETALLE CRONOLÓGICO'!$D$2:$D$4919,MATCH($A1589,'DETALLE CRONOLÓGICO'!$A$2:$A$4919,0)+$E1589-1)</f>
        <v/>
      </c>
      <c r="I1589" s="5">
        <f>IFERROR(SUMIFS('DETALLE CRONOLÓGICO'!$L$2:$L$4919,'DETALLE CRONOLÓGICO'!$A$2:$A$4919,$A1589)/$F1589,"")</f>
        <v/>
      </c>
      <c r="J1589" s="6">
        <f>IFERROR(SUMIFS('DETALLE CRONOLÓGICO'!$K$2:$K$4919,'DETALLE CRONOLÓGICO'!$A$2:$A$4919,$A1589)/$E1589,"")</f>
        <v/>
      </c>
      <c r="K1589" s="6">
        <f>_xlfn.MINIFS('DETALLE CRONOLÓGICO'!$K$2:$K$4919,'DETALLE CRONOLÓGICO'!$A$2:$A$4919,$A1589)</f>
        <v/>
      </c>
      <c r="L1589" s="6">
        <f>_xlfn.MAXIFS('DETALLE CRONOLÓGICO'!$K$2:$K$4919,'DETALLE CRONOLÓGICO'!$A$2:$A$4919,$A1589)</f>
        <v/>
      </c>
      <c r="M1589" s="6">
        <f>INDEX('DETALLE CRONOLÓGICO'!$K$2:$K$4919,MATCH($A1589,'DETALLE CRONOLÓGICO'!$A$2:$A$4919,0)+$E1589-1)</f>
        <v/>
      </c>
      <c r="N1589" s="7">
        <f>IFERROR($M1589/INDEX('DETALLE CRONOLÓGICO'!$K$2:$K$4919,MATCH($A1589,'DETALLE CRONOLÓGICO'!$A$2:$A$4919,0))-1,"")</f>
        <v/>
      </c>
      <c r="O1589" s="6">
        <f>IFERROR($I1589*3,"")</f>
        <v/>
      </c>
      <c r="P1589" s="6">
        <f>IFERROR($I1589*3.5,"")</f>
        <v/>
      </c>
      <c r="Q1589" s="6">
        <f>IFERROR($I1589*4,"")</f>
        <v/>
      </c>
      <c r="R1589" s="6" t="n">
        <v>460</v>
      </c>
      <c r="S1589" s="4" t="n">
        <v>0</v>
      </c>
      <c r="T1589" s="1" t="inlineStr">
        <is>
          <t>active</t>
        </is>
      </c>
      <c r="U1589" s="8" t="n"/>
      <c r="V1589" s="1" t="inlineStr">
        <is>
          <t>SIN PRECIO</t>
        </is>
      </c>
    </row>
    <row r="1590">
      <c r="A1590" s="1" t="inlineStr">
        <is>
          <t>668eee443df70</t>
        </is>
      </c>
      <c r="B1590" s="1" t="inlineStr">
        <is>
          <t>COLLAR SMILE SILVER</t>
        </is>
      </c>
      <c r="C1590" s="1" t="inlineStr">
        <is>
          <t>Cadena ajustable de 40.6 a 45.7 cm</t>
        </is>
      </c>
      <c r="D1590" s="1" t="inlineStr">
        <is>
          <t>HAIFENG</t>
        </is>
      </c>
      <c r="E1590" s="4">
        <f>COUNTIF('DETALLE CRONOLÓGICO'!$A$2:$A$4919,$A1590)</f>
        <v/>
      </c>
      <c r="F1590" s="4">
        <f>SUMIFS('DETALLE CRONOLÓGICO'!$I$2:$I$4919,'DETALLE CRONOLÓGICO'!$A$2:$A$4919,$A1590)</f>
        <v/>
      </c>
      <c r="G1590" s="1">
        <f>INDEX('DETALLE CRONOLÓGICO'!$D$2:$D$4919,MATCH($A1590,'DETALLE CRONOLÓGICO'!$A$2:$A$4919,0))</f>
        <v/>
      </c>
      <c r="H1590" s="1">
        <f>INDEX('DETALLE CRONOLÓGICO'!$D$2:$D$4919,MATCH($A1590,'DETALLE CRONOLÓGICO'!$A$2:$A$4919,0)+$E1590-1)</f>
        <v/>
      </c>
      <c r="I1590" s="5">
        <f>IFERROR(SUMIFS('DETALLE CRONOLÓGICO'!$L$2:$L$4919,'DETALLE CRONOLÓGICO'!$A$2:$A$4919,$A1590)/$F1590,"")</f>
        <v/>
      </c>
      <c r="J1590" s="6">
        <f>IFERROR(SUMIFS('DETALLE CRONOLÓGICO'!$K$2:$K$4919,'DETALLE CRONOLÓGICO'!$A$2:$A$4919,$A1590)/$E1590,"")</f>
        <v/>
      </c>
      <c r="K1590" s="6">
        <f>_xlfn.MINIFS('DETALLE CRONOLÓGICO'!$K$2:$K$4919,'DETALLE CRONOLÓGICO'!$A$2:$A$4919,$A1590)</f>
        <v/>
      </c>
      <c r="L1590" s="6">
        <f>_xlfn.MAXIFS('DETALLE CRONOLÓGICO'!$K$2:$K$4919,'DETALLE CRONOLÓGICO'!$A$2:$A$4919,$A1590)</f>
        <v/>
      </c>
      <c r="M1590" s="6">
        <f>INDEX('DETALLE CRONOLÓGICO'!$K$2:$K$4919,MATCH($A1590,'DETALLE CRONOLÓGICO'!$A$2:$A$4919,0)+$E1590-1)</f>
        <v/>
      </c>
      <c r="N1590" s="7">
        <f>IFERROR($M1590/INDEX('DETALLE CRONOLÓGICO'!$K$2:$K$4919,MATCH($A1590,'DETALLE CRONOLÓGICO'!$A$2:$A$4919,0))-1,"")</f>
        <v/>
      </c>
      <c r="O1590" s="6">
        <f>IFERROR($I1590*3,"")</f>
        <v/>
      </c>
      <c r="P1590" s="6">
        <f>IFERROR($I1590*3.5,"")</f>
        <v/>
      </c>
      <c r="Q1590" s="6">
        <f>IFERROR($I1590*4,"")</f>
        <v/>
      </c>
      <c r="R1590" s="6" t="n">
        <v>460</v>
      </c>
      <c r="S1590" s="4" t="n">
        <v>6</v>
      </c>
      <c r="T1590" s="1" t="inlineStr">
        <is>
          <t>active</t>
        </is>
      </c>
      <c r="U1590" s="8" t="n"/>
      <c r="V1590" s="1" t="inlineStr">
        <is>
          <t>SIN PRECIO</t>
        </is>
      </c>
    </row>
    <row r="1591">
      <c r="A1591" s="1" t="inlineStr">
        <is>
          <t>668eee447fb3d</t>
        </is>
      </c>
      <c r="B1591" s="1" t="inlineStr">
        <is>
          <t>ARETES DE ESLABONES GOLD MZ</t>
        </is>
      </c>
      <c r="C1591" s="1" t="inlineStr">
        <is>
          <t>High Quality</t>
        </is>
      </c>
      <c r="D1591" s="1" t="inlineStr">
        <is>
          <t>NANCY</t>
        </is>
      </c>
      <c r="E1591" s="4">
        <f>COUNTIF('DETALLE CRONOLÓGICO'!$A$2:$A$4919,$A1591)</f>
        <v/>
      </c>
      <c r="F1591" s="4">
        <f>SUMIFS('DETALLE CRONOLÓGICO'!$I$2:$I$4919,'DETALLE CRONOLÓGICO'!$A$2:$A$4919,$A1591)</f>
        <v/>
      </c>
      <c r="G1591" s="1">
        <f>INDEX('DETALLE CRONOLÓGICO'!$D$2:$D$4919,MATCH($A1591,'DETALLE CRONOLÓGICO'!$A$2:$A$4919,0))</f>
        <v/>
      </c>
      <c r="H1591" s="1">
        <f>INDEX('DETALLE CRONOLÓGICO'!$D$2:$D$4919,MATCH($A1591,'DETALLE CRONOLÓGICO'!$A$2:$A$4919,0)+$E1591-1)</f>
        <v/>
      </c>
      <c r="I1591" s="5">
        <f>IFERROR(SUMIFS('DETALLE CRONOLÓGICO'!$L$2:$L$4919,'DETALLE CRONOLÓGICO'!$A$2:$A$4919,$A1591)/$F1591,"")</f>
        <v/>
      </c>
      <c r="J1591" s="6">
        <f>IFERROR(SUMIFS('DETALLE CRONOLÓGICO'!$K$2:$K$4919,'DETALLE CRONOLÓGICO'!$A$2:$A$4919,$A1591)/$E1591,"")</f>
        <v/>
      </c>
      <c r="K1591" s="6">
        <f>_xlfn.MINIFS('DETALLE CRONOLÓGICO'!$K$2:$K$4919,'DETALLE CRONOLÓGICO'!$A$2:$A$4919,$A1591)</f>
        <v/>
      </c>
      <c r="L1591" s="6">
        <f>_xlfn.MAXIFS('DETALLE CRONOLÓGICO'!$K$2:$K$4919,'DETALLE CRONOLÓGICO'!$A$2:$A$4919,$A1591)</f>
        <v/>
      </c>
      <c r="M1591" s="6">
        <f>INDEX('DETALLE CRONOLÓGICO'!$K$2:$K$4919,MATCH($A1591,'DETALLE CRONOLÓGICO'!$A$2:$A$4919,0)+$E1591-1)</f>
        <v/>
      </c>
      <c r="N1591" s="7">
        <f>IFERROR($M1591/INDEX('DETALLE CRONOLÓGICO'!$K$2:$K$4919,MATCH($A1591,'DETALLE CRONOLÓGICO'!$A$2:$A$4919,0))-1,"")</f>
        <v/>
      </c>
      <c r="O1591" s="6">
        <f>IFERROR($I1591*3,"")</f>
        <v/>
      </c>
      <c r="P1591" s="6">
        <f>IFERROR($I1591*3.5,"")</f>
        <v/>
      </c>
      <c r="Q1591" s="6">
        <f>IFERROR($I1591*4,"")</f>
        <v/>
      </c>
      <c r="R1591" s="6" t="n">
        <v>699</v>
      </c>
      <c r="S1591" s="4" t="n">
        <v>3</v>
      </c>
      <c r="T1591" s="1" t="inlineStr">
        <is>
          <t>active</t>
        </is>
      </c>
      <c r="U1591" s="8" t="n"/>
      <c r="V1591" s="1" t="inlineStr">
        <is>
          <t>SIN PRECIO</t>
        </is>
      </c>
    </row>
    <row r="1592">
      <c r="A1592" s="1" t="inlineStr">
        <is>
          <t>668eee4709a5f</t>
        </is>
      </c>
      <c r="B1592" s="1" t="inlineStr">
        <is>
          <t>PULSERA DE CUENTAS CON INSIGNIA DE CORAZÓN ROSE GOLD</t>
        </is>
      </c>
      <c r="C1592" s="1" t="inlineStr">
        <is>
          <t>17 cm</t>
        </is>
      </c>
      <c r="D1592" s="1" t="inlineStr">
        <is>
          <t>COCOMA</t>
        </is>
      </c>
      <c r="E1592" s="4">
        <f>COUNTIF('DETALLE CRONOLÓGICO'!$A$2:$A$4919,$A1592)</f>
        <v/>
      </c>
      <c r="F1592" s="4">
        <f>SUMIFS('DETALLE CRONOLÓGICO'!$I$2:$I$4919,'DETALLE CRONOLÓGICO'!$A$2:$A$4919,$A1592)</f>
        <v/>
      </c>
      <c r="G1592" s="1">
        <f>INDEX('DETALLE CRONOLÓGICO'!$D$2:$D$4919,MATCH($A1592,'DETALLE CRONOLÓGICO'!$A$2:$A$4919,0))</f>
        <v/>
      </c>
      <c r="H1592" s="1">
        <f>INDEX('DETALLE CRONOLÓGICO'!$D$2:$D$4919,MATCH($A1592,'DETALLE CRONOLÓGICO'!$A$2:$A$4919,0)+$E1592-1)</f>
        <v/>
      </c>
      <c r="I1592" s="5">
        <f>IFERROR(SUMIFS('DETALLE CRONOLÓGICO'!$L$2:$L$4919,'DETALLE CRONOLÓGICO'!$A$2:$A$4919,$A1592)/$F1592,"")</f>
        <v/>
      </c>
      <c r="J1592" s="6">
        <f>IFERROR(SUMIFS('DETALLE CRONOLÓGICO'!$K$2:$K$4919,'DETALLE CRONOLÓGICO'!$A$2:$A$4919,$A1592)/$E1592,"")</f>
        <v/>
      </c>
      <c r="K1592" s="6">
        <f>_xlfn.MINIFS('DETALLE CRONOLÓGICO'!$K$2:$K$4919,'DETALLE CRONOLÓGICO'!$A$2:$A$4919,$A1592)</f>
        <v/>
      </c>
      <c r="L1592" s="6">
        <f>_xlfn.MAXIFS('DETALLE CRONOLÓGICO'!$K$2:$K$4919,'DETALLE CRONOLÓGICO'!$A$2:$A$4919,$A1592)</f>
        <v/>
      </c>
      <c r="M1592" s="6">
        <f>INDEX('DETALLE CRONOLÓGICO'!$K$2:$K$4919,MATCH($A1592,'DETALLE CRONOLÓGICO'!$A$2:$A$4919,0)+$E1592-1)</f>
        <v/>
      </c>
      <c r="N1592" s="7">
        <f>IFERROR($M1592/INDEX('DETALLE CRONOLÓGICO'!$K$2:$K$4919,MATCH($A1592,'DETALLE CRONOLÓGICO'!$A$2:$A$4919,0))-1,"")</f>
        <v/>
      </c>
      <c r="O1592" s="6">
        <f>IFERROR($I1592*3,"")</f>
        <v/>
      </c>
      <c r="P1592" s="6">
        <f>IFERROR($I1592*3.5,"")</f>
        <v/>
      </c>
      <c r="Q1592" s="6">
        <f>IFERROR($I1592*4,"")</f>
        <v/>
      </c>
      <c r="R1592" s="6" t="n">
        <v>525</v>
      </c>
      <c r="S1592" s="4" t="n">
        <v>0</v>
      </c>
      <c r="T1592" s="1" t="inlineStr">
        <is>
          <t>active</t>
        </is>
      </c>
      <c r="U1592" s="8" t="n"/>
      <c r="V1592" s="1" t="inlineStr">
        <is>
          <t>SIN PRECIO</t>
        </is>
      </c>
    </row>
    <row r="1593">
      <c r="A1593" s="1" t="inlineStr">
        <is>
          <t>668eee497dfb4</t>
        </is>
      </c>
      <c r="B1593" s="1" t="inlineStr">
        <is>
          <t>ANILLO T CON TURQUESA Y ZIRCONIA</t>
        </is>
      </c>
      <c r="C1593" s="1" t="inlineStr">
        <is>
          <t>AJUSTABLE</t>
        </is>
      </c>
      <c r="D1593" s="1" t="inlineStr">
        <is>
          <t>HAIFENG</t>
        </is>
      </c>
      <c r="E1593" s="4">
        <f>COUNTIF('DETALLE CRONOLÓGICO'!$A$2:$A$4919,$A1593)</f>
        <v/>
      </c>
      <c r="F1593" s="4">
        <f>SUMIFS('DETALLE CRONOLÓGICO'!$I$2:$I$4919,'DETALLE CRONOLÓGICO'!$A$2:$A$4919,$A1593)</f>
        <v/>
      </c>
      <c r="G1593" s="1">
        <f>INDEX('DETALLE CRONOLÓGICO'!$D$2:$D$4919,MATCH($A1593,'DETALLE CRONOLÓGICO'!$A$2:$A$4919,0))</f>
        <v/>
      </c>
      <c r="H1593" s="1">
        <f>INDEX('DETALLE CRONOLÓGICO'!$D$2:$D$4919,MATCH($A1593,'DETALLE CRONOLÓGICO'!$A$2:$A$4919,0)+$E1593-1)</f>
        <v/>
      </c>
      <c r="I1593" s="5">
        <f>IFERROR(SUMIFS('DETALLE CRONOLÓGICO'!$L$2:$L$4919,'DETALLE CRONOLÓGICO'!$A$2:$A$4919,$A1593)/$F1593,"")</f>
        <v/>
      </c>
      <c r="J1593" s="6">
        <f>IFERROR(SUMIFS('DETALLE CRONOLÓGICO'!$K$2:$K$4919,'DETALLE CRONOLÓGICO'!$A$2:$A$4919,$A1593)/$E1593,"")</f>
        <v/>
      </c>
      <c r="K1593" s="6">
        <f>_xlfn.MINIFS('DETALLE CRONOLÓGICO'!$K$2:$K$4919,'DETALLE CRONOLÓGICO'!$A$2:$A$4919,$A1593)</f>
        <v/>
      </c>
      <c r="L1593" s="6">
        <f>_xlfn.MAXIFS('DETALLE CRONOLÓGICO'!$K$2:$K$4919,'DETALLE CRONOLÓGICO'!$A$2:$A$4919,$A1593)</f>
        <v/>
      </c>
      <c r="M1593" s="6">
        <f>INDEX('DETALLE CRONOLÓGICO'!$K$2:$K$4919,MATCH($A1593,'DETALLE CRONOLÓGICO'!$A$2:$A$4919,0)+$E1593-1)</f>
        <v/>
      </c>
      <c r="N1593" s="7">
        <f>IFERROR($M1593/INDEX('DETALLE CRONOLÓGICO'!$K$2:$K$4919,MATCH($A1593,'DETALLE CRONOLÓGICO'!$A$2:$A$4919,0))-1,"")</f>
        <v/>
      </c>
      <c r="O1593" s="6">
        <f>IFERROR($I1593*3,"")</f>
        <v/>
      </c>
      <c r="P1593" s="6">
        <f>IFERROR($I1593*3.5,"")</f>
        <v/>
      </c>
      <c r="Q1593" s="6">
        <f>IFERROR($I1593*4,"")</f>
        <v/>
      </c>
      <c r="R1593" s="6" t="n">
        <v>450</v>
      </c>
      <c r="S1593" s="4" t="n">
        <v>0</v>
      </c>
      <c r="T1593" s="1" t="inlineStr">
        <is>
          <t>active</t>
        </is>
      </c>
      <c r="U1593" s="8" t="n"/>
      <c r="V1593" s="1" t="inlineStr">
        <is>
          <t>SIN PRECIO</t>
        </is>
      </c>
    </row>
    <row r="1594">
      <c r="A1594" s="1" t="inlineStr">
        <is>
          <t>668eee4d3cd9f</t>
        </is>
      </c>
      <c r="B1594" s="1" t="inlineStr">
        <is>
          <t>PULSERA T ANGOSTA GOLD</t>
        </is>
      </c>
      <c r="C1594" s="1" t="inlineStr">
        <is>
          <t>HIGH QUALITY</t>
        </is>
      </c>
      <c r="D1594" s="1" t="inlineStr">
        <is>
          <t>CYNTHIA</t>
        </is>
      </c>
      <c r="E1594" s="4">
        <f>COUNTIF('DETALLE CRONOLÓGICO'!$A$2:$A$4919,$A1594)</f>
        <v/>
      </c>
      <c r="F1594" s="4">
        <f>SUMIFS('DETALLE CRONOLÓGICO'!$I$2:$I$4919,'DETALLE CRONOLÓGICO'!$A$2:$A$4919,$A1594)</f>
        <v/>
      </c>
      <c r="G1594" s="1">
        <f>INDEX('DETALLE CRONOLÓGICO'!$D$2:$D$4919,MATCH($A1594,'DETALLE CRONOLÓGICO'!$A$2:$A$4919,0))</f>
        <v/>
      </c>
      <c r="H1594" s="1">
        <f>INDEX('DETALLE CRONOLÓGICO'!$D$2:$D$4919,MATCH($A1594,'DETALLE CRONOLÓGICO'!$A$2:$A$4919,0)+$E1594-1)</f>
        <v/>
      </c>
      <c r="I1594" s="5">
        <f>IFERROR(SUMIFS('DETALLE CRONOLÓGICO'!$L$2:$L$4919,'DETALLE CRONOLÓGICO'!$A$2:$A$4919,$A1594)/$F1594,"")</f>
        <v/>
      </c>
      <c r="J1594" s="6">
        <f>IFERROR(SUMIFS('DETALLE CRONOLÓGICO'!$K$2:$K$4919,'DETALLE CRONOLÓGICO'!$A$2:$A$4919,$A1594)/$E1594,"")</f>
        <v/>
      </c>
      <c r="K1594" s="6">
        <f>_xlfn.MINIFS('DETALLE CRONOLÓGICO'!$K$2:$K$4919,'DETALLE CRONOLÓGICO'!$A$2:$A$4919,$A1594)</f>
        <v/>
      </c>
      <c r="L1594" s="6">
        <f>_xlfn.MAXIFS('DETALLE CRONOLÓGICO'!$K$2:$K$4919,'DETALLE CRONOLÓGICO'!$A$2:$A$4919,$A1594)</f>
        <v/>
      </c>
      <c r="M1594" s="6">
        <f>INDEX('DETALLE CRONOLÓGICO'!$K$2:$K$4919,MATCH($A1594,'DETALLE CRONOLÓGICO'!$A$2:$A$4919,0)+$E1594-1)</f>
        <v/>
      </c>
      <c r="N1594" s="7">
        <f>IFERROR($M1594/INDEX('DETALLE CRONOLÓGICO'!$K$2:$K$4919,MATCH($A1594,'DETALLE CRONOLÓGICO'!$A$2:$A$4919,0))-1,"")</f>
        <v/>
      </c>
      <c r="O1594" s="6">
        <f>IFERROR($I1594*3,"")</f>
        <v/>
      </c>
      <c r="P1594" s="6">
        <f>IFERROR($I1594*3.5,"")</f>
        <v/>
      </c>
      <c r="Q1594" s="6">
        <f>IFERROR($I1594*4,"")</f>
        <v/>
      </c>
      <c r="R1594" s="6" t="n">
        <v>1505</v>
      </c>
      <c r="S1594" s="4" t="n">
        <v>0</v>
      </c>
      <c r="T1594" s="1" t="inlineStr">
        <is>
          <t>active</t>
        </is>
      </c>
      <c r="U1594" s="8" t="n"/>
      <c r="V1594" s="1" t="inlineStr">
        <is>
          <t>SIN PRECIO</t>
        </is>
      </c>
    </row>
    <row r="1595">
      <c r="A1595" s="1" t="inlineStr">
        <is>
          <t>668eee4e0326c</t>
        </is>
      </c>
      <c r="B1595" s="1" t="inlineStr">
        <is>
          <t>PULSERA ESLABONES SILVER</t>
        </is>
      </c>
      <c r="C1595" s="1" t="inlineStr">
        <is>
          <t>High Quality 17.5 cm</t>
        </is>
      </c>
      <c r="D1595" s="1" t="inlineStr">
        <is>
          <t>CYNTHIA</t>
        </is>
      </c>
      <c r="E1595" s="4">
        <f>COUNTIF('DETALLE CRONOLÓGICO'!$A$2:$A$4919,$A1595)</f>
        <v/>
      </c>
      <c r="F1595" s="4">
        <f>SUMIFS('DETALLE CRONOLÓGICO'!$I$2:$I$4919,'DETALLE CRONOLÓGICO'!$A$2:$A$4919,$A1595)</f>
        <v/>
      </c>
      <c r="G1595" s="1">
        <f>INDEX('DETALLE CRONOLÓGICO'!$D$2:$D$4919,MATCH($A1595,'DETALLE CRONOLÓGICO'!$A$2:$A$4919,0))</f>
        <v/>
      </c>
      <c r="H1595" s="1">
        <f>INDEX('DETALLE CRONOLÓGICO'!$D$2:$D$4919,MATCH($A1595,'DETALLE CRONOLÓGICO'!$A$2:$A$4919,0)+$E1595-1)</f>
        <v/>
      </c>
      <c r="I1595" s="5">
        <f>IFERROR(SUMIFS('DETALLE CRONOLÓGICO'!$L$2:$L$4919,'DETALLE CRONOLÓGICO'!$A$2:$A$4919,$A1595)/$F1595,"")</f>
        <v/>
      </c>
      <c r="J1595" s="6">
        <f>IFERROR(SUMIFS('DETALLE CRONOLÓGICO'!$K$2:$K$4919,'DETALLE CRONOLÓGICO'!$A$2:$A$4919,$A1595)/$E1595,"")</f>
        <v/>
      </c>
      <c r="K1595" s="6">
        <f>_xlfn.MINIFS('DETALLE CRONOLÓGICO'!$K$2:$K$4919,'DETALLE CRONOLÓGICO'!$A$2:$A$4919,$A1595)</f>
        <v/>
      </c>
      <c r="L1595" s="6">
        <f>_xlfn.MAXIFS('DETALLE CRONOLÓGICO'!$K$2:$K$4919,'DETALLE CRONOLÓGICO'!$A$2:$A$4919,$A1595)</f>
        <v/>
      </c>
      <c r="M1595" s="6">
        <f>INDEX('DETALLE CRONOLÓGICO'!$K$2:$K$4919,MATCH($A1595,'DETALLE CRONOLÓGICO'!$A$2:$A$4919,0)+$E1595-1)</f>
        <v/>
      </c>
      <c r="N1595" s="7">
        <f>IFERROR($M1595/INDEX('DETALLE CRONOLÓGICO'!$K$2:$K$4919,MATCH($A1595,'DETALLE CRONOLÓGICO'!$A$2:$A$4919,0))-1,"")</f>
        <v/>
      </c>
      <c r="O1595" s="6">
        <f>IFERROR($I1595*3,"")</f>
        <v/>
      </c>
      <c r="P1595" s="6">
        <f>IFERROR($I1595*3.5,"")</f>
        <v/>
      </c>
      <c r="Q1595" s="6">
        <f>IFERROR($I1595*4,"")</f>
        <v/>
      </c>
      <c r="R1595" s="6" t="n">
        <v>1469</v>
      </c>
      <c r="S1595" s="4" t="n">
        <v>6</v>
      </c>
      <c r="T1595" s="1" t="inlineStr">
        <is>
          <t>active</t>
        </is>
      </c>
      <c r="U1595" s="8" t="n"/>
      <c r="V1595" s="1" t="inlineStr">
        <is>
          <t>SIN PRECIO</t>
        </is>
      </c>
    </row>
    <row r="1596">
      <c r="A1596" s="1" t="inlineStr">
        <is>
          <t>668eee4ea136d</t>
        </is>
      </c>
      <c r="B1596" s="1" t="inlineStr">
        <is>
          <t>PULSERA ESLABONES SILVER</t>
        </is>
      </c>
      <c r="C1596" s="1" t="inlineStr">
        <is>
          <t>High Quality 20.5cm</t>
        </is>
      </c>
      <c r="D1596" s="1" t="inlineStr">
        <is>
          <t>CYNTHIA</t>
        </is>
      </c>
      <c r="E1596" s="4">
        <f>COUNTIF('DETALLE CRONOLÓGICO'!$A$2:$A$4919,$A1596)</f>
        <v/>
      </c>
      <c r="F1596" s="4">
        <f>SUMIFS('DETALLE CRONOLÓGICO'!$I$2:$I$4919,'DETALLE CRONOLÓGICO'!$A$2:$A$4919,$A1596)</f>
        <v/>
      </c>
      <c r="G1596" s="1">
        <f>INDEX('DETALLE CRONOLÓGICO'!$D$2:$D$4919,MATCH($A1596,'DETALLE CRONOLÓGICO'!$A$2:$A$4919,0))</f>
        <v/>
      </c>
      <c r="H1596" s="1">
        <f>INDEX('DETALLE CRONOLÓGICO'!$D$2:$D$4919,MATCH($A1596,'DETALLE CRONOLÓGICO'!$A$2:$A$4919,0)+$E1596-1)</f>
        <v/>
      </c>
      <c r="I1596" s="5">
        <f>IFERROR(SUMIFS('DETALLE CRONOLÓGICO'!$L$2:$L$4919,'DETALLE CRONOLÓGICO'!$A$2:$A$4919,$A1596)/$F1596,"")</f>
        <v/>
      </c>
      <c r="J1596" s="6">
        <f>IFERROR(SUMIFS('DETALLE CRONOLÓGICO'!$K$2:$K$4919,'DETALLE CRONOLÓGICO'!$A$2:$A$4919,$A1596)/$E1596,"")</f>
        <v/>
      </c>
      <c r="K1596" s="6">
        <f>_xlfn.MINIFS('DETALLE CRONOLÓGICO'!$K$2:$K$4919,'DETALLE CRONOLÓGICO'!$A$2:$A$4919,$A1596)</f>
        <v/>
      </c>
      <c r="L1596" s="6">
        <f>_xlfn.MAXIFS('DETALLE CRONOLÓGICO'!$K$2:$K$4919,'DETALLE CRONOLÓGICO'!$A$2:$A$4919,$A1596)</f>
        <v/>
      </c>
      <c r="M1596" s="6">
        <f>INDEX('DETALLE CRONOLÓGICO'!$K$2:$K$4919,MATCH($A1596,'DETALLE CRONOLÓGICO'!$A$2:$A$4919,0)+$E1596-1)</f>
        <v/>
      </c>
      <c r="N1596" s="7">
        <f>IFERROR($M1596/INDEX('DETALLE CRONOLÓGICO'!$K$2:$K$4919,MATCH($A1596,'DETALLE CRONOLÓGICO'!$A$2:$A$4919,0))-1,"")</f>
        <v/>
      </c>
      <c r="O1596" s="6">
        <f>IFERROR($I1596*3,"")</f>
        <v/>
      </c>
      <c r="P1596" s="6">
        <f>IFERROR($I1596*3.5,"")</f>
        <v/>
      </c>
      <c r="Q1596" s="6">
        <f>IFERROR($I1596*4,"")</f>
        <v/>
      </c>
      <c r="R1596" s="6" t="n">
        <v>1469</v>
      </c>
      <c r="S1596" s="4" t="n">
        <v>0</v>
      </c>
      <c r="T1596" s="1" t="inlineStr">
        <is>
          <t>active</t>
        </is>
      </c>
      <c r="U1596" s="8" t="n"/>
      <c r="V1596" s="1" t="inlineStr">
        <is>
          <t>SIN PRECIO</t>
        </is>
      </c>
    </row>
    <row r="1597">
      <c r="A1597" s="1" t="inlineStr">
        <is>
          <t>668eee50dfb13</t>
        </is>
      </c>
      <c r="B1597" s="1" t="inlineStr">
        <is>
          <t>PULSERA DE CUENTAS CON INSIGNIA DE CORAZÓN RED</t>
        </is>
      </c>
      <c r="C1597" s="1" t="inlineStr">
        <is>
          <t>16 cm</t>
        </is>
      </c>
      <c r="D1597" s="1" t="inlineStr">
        <is>
          <t>HAIFENG</t>
        </is>
      </c>
      <c r="E1597" s="4">
        <f>COUNTIF('DETALLE CRONOLÓGICO'!$A$2:$A$4919,$A1597)</f>
        <v/>
      </c>
      <c r="F1597" s="4">
        <f>SUMIFS('DETALLE CRONOLÓGICO'!$I$2:$I$4919,'DETALLE CRONOLÓGICO'!$A$2:$A$4919,$A1597)</f>
        <v/>
      </c>
      <c r="G1597" s="1">
        <f>INDEX('DETALLE CRONOLÓGICO'!$D$2:$D$4919,MATCH($A1597,'DETALLE CRONOLÓGICO'!$A$2:$A$4919,0))</f>
        <v/>
      </c>
      <c r="H1597" s="1">
        <f>INDEX('DETALLE CRONOLÓGICO'!$D$2:$D$4919,MATCH($A1597,'DETALLE CRONOLÓGICO'!$A$2:$A$4919,0)+$E1597-1)</f>
        <v/>
      </c>
      <c r="I1597" s="5">
        <f>IFERROR(SUMIFS('DETALLE CRONOLÓGICO'!$L$2:$L$4919,'DETALLE CRONOLÓGICO'!$A$2:$A$4919,$A1597)/$F1597,"")</f>
        <v/>
      </c>
      <c r="J1597" s="6">
        <f>IFERROR(SUMIFS('DETALLE CRONOLÓGICO'!$K$2:$K$4919,'DETALLE CRONOLÓGICO'!$A$2:$A$4919,$A1597)/$E1597,"")</f>
        <v/>
      </c>
      <c r="K1597" s="6">
        <f>_xlfn.MINIFS('DETALLE CRONOLÓGICO'!$K$2:$K$4919,'DETALLE CRONOLÓGICO'!$A$2:$A$4919,$A1597)</f>
        <v/>
      </c>
      <c r="L1597" s="6">
        <f>_xlfn.MAXIFS('DETALLE CRONOLÓGICO'!$K$2:$K$4919,'DETALLE CRONOLÓGICO'!$A$2:$A$4919,$A1597)</f>
        <v/>
      </c>
      <c r="M1597" s="6">
        <f>INDEX('DETALLE CRONOLÓGICO'!$K$2:$K$4919,MATCH($A1597,'DETALLE CRONOLÓGICO'!$A$2:$A$4919,0)+$E1597-1)</f>
        <v/>
      </c>
      <c r="N1597" s="7">
        <f>IFERROR($M1597/INDEX('DETALLE CRONOLÓGICO'!$K$2:$K$4919,MATCH($A1597,'DETALLE CRONOLÓGICO'!$A$2:$A$4919,0))-1,"")</f>
        <v/>
      </c>
      <c r="O1597" s="6">
        <f>IFERROR($I1597*3,"")</f>
        <v/>
      </c>
      <c r="P1597" s="6">
        <f>IFERROR($I1597*3.5,"")</f>
        <v/>
      </c>
      <c r="Q1597" s="6">
        <f>IFERROR($I1597*4,"")</f>
        <v/>
      </c>
      <c r="R1597" s="6" t="n">
        <v>550</v>
      </c>
      <c r="S1597" s="4" t="n">
        <v>10</v>
      </c>
      <c r="T1597" s="1" t="inlineStr">
        <is>
          <t>active</t>
        </is>
      </c>
      <c r="U1597" s="8" t="n"/>
      <c r="V1597" s="1" t="inlineStr">
        <is>
          <t>SIN PRECIO</t>
        </is>
      </c>
    </row>
    <row r="1598">
      <c r="A1598" s="1" t="inlineStr">
        <is>
          <t>668eee51ba91b</t>
        </is>
      </c>
      <c r="B1598" s="1" t="inlineStr">
        <is>
          <t>PULSERA DE CUENTAS CON INSIGNIA DE CORAZÓN RED</t>
        </is>
      </c>
      <c r="C1598" s="1" t="inlineStr">
        <is>
          <t>17 cm</t>
        </is>
      </c>
      <c r="D1598" s="1" t="inlineStr">
        <is>
          <t>HAIFENG</t>
        </is>
      </c>
      <c r="E1598" s="4">
        <f>COUNTIF('DETALLE CRONOLÓGICO'!$A$2:$A$4919,$A1598)</f>
        <v/>
      </c>
      <c r="F1598" s="4">
        <f>SUMIFS('DETALLE CRONOLÓGICO'!$I$2:$I$4919,'DETALLE CRONOLÓGICO'!$A$2:$A$4919,$A1598)</f>
        <v/>
      </c>
      <c r="G1598" s="1">
        <f>INDEX('DETALLE CRONOLÓGICO'!$D$2:$D$4919,MATCH($A1598,'DETALLE CRONOLÓGICO'!$A$2:$A$4919,0))</f>
        <v/>
      </c>
      <c r="H1598" s="1">
        <f>INDEX('DETALLE CRONOLÓGICO'!$D$2:$D$4919,MATCH($A1598,'DETALLE CRONOLÓGICO'!$A$2:$A$4919,0)+$E1598-1)</f>
        <v/>
      </c>
      <c r="I1598" s="5">
        <f>IFERROR(SUMIFS('DETALLE CRONOLÓGICO'!$L$2:$L$4919,'DETALLE CRONOLÓGICO'!$A$2:$A$4919,$A1598)/$F1598,"")</f>
        <v/>
      </c>
      <c r="J1598" s="6">
        <f>IFERROR(SUMIFS('DETALLE CRONOLÓGICO'!$K$2:$K$4919,'DETALLE CRONOLÓGICO'!$A$2:$A$4919,$A1598)/$E1598,"")</f>
        <v/>
      </c>
      <c r="K1598" s="6">
        <f>_xlfn.MINIFS('DETALLE CRONOLÓGICO'!$K$2:$K$4919,'DETALLE CRONOLÓGICO'!$A$2:$A$4919,$A1598)</f>
        <v/>
      </c>
      <c r="L1598" s="6">
        <f>_xlfn.MAXIFS('DETALLE CRONOLÓGICO'!$K$2:$K$4919,'DETALLE CRONOLÓGICO'!$A$2:$A$4919,$A1598)</f>
        <v/>
      </c>
      <c r="M1598" s="6">
        <f>INDEX('DETALLE CRONOLÓGICO'!$K$2:$K$4919,MATCH($A1598,'DETALLE CRONOLÓGICO'!$A$2:$A$4919,0)+$E1598-1)</f>
        <v/>
      </c>
      <c r="N1598" s="7">
        <f>IFERROR($M1598/INDEX('DETALLE CRONOLÓGICO'!$K$2:$K$4919,MATCH($A1598,'DETALLE CRONOLÓGICO'!$A$2:$A$4919,0))-1,"")</f>
        <v/>
      </c>
      <c r="O1598" s="6">
        <f>IFERROR($I1598*3,"")</f>
        <v/>
      </c>
      <c r="P1598" s="6">
        <f>IFERROR($I1598*3.5,"")</f>
        <v/>
      </c>
      <c r="Q1598" s="6">
        <f>IFERROR($I1598*4,"")</f>
        <v/>
      </c>
      <c r="R1598" s="6" t="n">
        <v>550</v>
      </c>
      <c r="S1598" s="4" t="n">
        <v>8</v>
      </c>
      <c r="T1598" s="1" t="inlineStr">
        <is>
          <t>active</t>
        </is>
      </c>
      <c r="U1598" s="8" t="n"/>
      <c r="V1598" s="1" t="inlineStr">
        <is>
          <t>SIN PRECIO</t>
        </is>
      </c>
    </row>
    <row r="1599">
      <c r="A1599" s="1" t="inlineStr">
        <is>
          <t>668eee52c5906</t>
        </is>
      </c>
      <c r="B1599" s="1" t="inlineStr">
        <is>
          <t>PULSERA DE CUENTAS CON INSIGNIA DE CORAZÓN RED</t>
        </is>
      </c>
      <c r="C1599" s="1" t="inlineStr">
        <is>
          <t>18 cm</t>
        </is>
      </c>
      <c r="D1599" s="1" t="inlineStr">
        <is>
          <t>HAIFENG</t>
        </is>
      </c>
      <c r="E1599" s="4">
        <f>COUNTIF('DETALLE CRONOLÓGICO'!$A$2:$A$4919,$A1599)</f>
        <v/>
      </c>
      <c r="F1599" s="4">
        <f>SUMIFS('DETALLE CRONOLÓGICO'!$I$2:$I$4919,'DETALLE CRONOLÓGICO'!$A$2:$A$4919,$A1599)</f>
        <v/>
      </c>
      <c r="G1599" s="1">
        <f>INDEX('DETALLE CRONOLÓGICO'!$D$2:$D$4919,MATCH($A1599,'DETALLE CRONOLÓGICO'!$A$2:$A$4919,0))</f>
        <v/>
      </c>
      <c r="H1599" s="1">
        <f>INDEX('DETALLE CRONOLÓGICO'!$D$2:$D$4919,MATCH($A1599,'DETALLE CRONOLÓGICO'!$A$2:$A$4919,0)+$E1599-1)</f>
        <v/>
      </c>
      <c r="I1599" s="5">
        <f>IFERROR(SUMIFS('DETALLE CRONOLÓGICO'!$L$2:$L$4919,'DETALLE CRONOLÓGICO'!$A$2:$A$4919,$A1599)/$F1599,"")</f>
        <v/>
      </c>
      <c r="J1599" s="6">
        <f>IFERROR(SUMIFS('DETALLE CRONOLÓGICO'!$K$2:$K$4919,'DETALLE CRONOLÓGICO'!$A$2:$A$4919,$A1599)/$E1599,"")</f>
        <v/>
      </c>
      <c r="K1599" s="6">
        <f>_xlfn.MINIFS('DETALLE CRONOLÓGICO'!$K$2:$K$4919,'DETALLE CRONOLÓGICO'!$A$2:$A$4919,$A1599)</f>
        <v/>
      </c>
      <c r="L1599" s="6">
        <f>_xlfn.MAXIFS('DETALLE CRONOLÓGICO'!$K$2:$K$4919,'DETALLE CRONOLÓGICO'!$A$2:$A$4919,$A1599)</f>
        <v/>
      </c>
      <c r="M1599" s="6">
        <f>INDEX('DETALLE CRONOLÓGICO'!$K$2:$K$4919,MATCH($A1599,'DETALLE CRONOLÓGICO'!$A$2:$A$4919,0)+$E1599-1)</f>
        <v/>
      </c>
      <c r="N1599" s="7">
        <f>IFERROR($M1599/INDEX('DETALLE CRONOLÓGICO'!$K$2:$K$4919,MATCH($A1599,'DETALLE CRONOLÓGICO'!$A$2:$A$4919,0))-1,"")</f>
        <v/>
      </c>
      <c r="O1599" s="6">
        <f>IFERROR($I1599*3,"")</f>
        <v/>
      </c>
      <c r="P1599" s="6">
        <f>IFERROR($I1599*3.5,"")</f>
        <v/>
      </c>
      <c r="Q1599" s="6">
        <f>IFERROR($I1599*4,"")</f>
        <v/>
      </c>
      <c r="R1599" s="6" t="n">
        <v>550</v>
      </c>
      <c r="S1599" s="4" t="n">
        <v>4</v>
      </c>
      <c r="T1599" s="1" t="inlineStr">
        <is>
          <t>active</t>
        </is>
      </c>
      <c r="U1599" s="8" t="n"/>
      <c r="V1599" s="1" t="inlineStr">
        <is>
          <t>SIN PRECIO</t>
        </is>
      </c>
    </row>
    <row r="1600">
      <c r="A1600" s="1" t="inlineStr">
        <is>
          <t>668eee53b2d19</t>
        </is>
      </c>
      <c r="B1600" s="1" t="inlineStr">
        <is>
          <t>PULSERA DE CUENTAS CON INSIGNIA DE CORAZÓN RED</t>
        </is>
      </c>
      <c r="C1600" s="1" t="inlineStr">
        <is>
          <t>19 cm</t>
        </is>
      </c>
      <c r="D1600" s="1" t="inlineStr">
        <is>
          <t>HAIFENG</t>
        </is>
      </c>
      <c r="E1600" s="4">
        <f>COUNTIF('DETALLE CRONOLÓGICO'!$A$2:$A$4919,$A1600)</f>
        <v/>
      </c>
      <c r="F1600" s="4">
        <f>SUMIFS('DETALLE CRONOLÓGICO'!$I$2:$I$4919,'DETALLE CRONOLÓGICO'!$A$2:$A$4919,$A1600)</f>
        <v/>
      </c>
      <c r="G1600" s="1">
        <f>INDEX('DETALLE CRONOLÓGICO'!$D$2:$D$4919,MATCH($A1600,'DETALLE CRONOLÓGICO'!$A$2:$A$4919,0))</f>
        <v/>
      </c>
      <c r="H1600" s="1">
        <f>INDEX('DETALLE CRONOLÓGICO'!$D$2:$D$4919,MATCH($A1600,'DETALLE CRONOLÓGICO'!$A$2:$A$4919,0)+$E1600-1)</f>
        <v/>
      </c>
      <c r="I1600" s="5">
        <f>IFERROR(SUMIFS('DETALLE CRONOLÓGICO'!$L$2:$L$4919,'DETALLE CRONOLÓGICO'!$A$2:$A$4919,$A1600)/$F1600,"")</f>
        <v/>
      </c>
      <c r="J1600" s="6">
        <f>IFERROR(SUMIFS('DETALLE CRONOLÓGICO'!$K$2:$K$4919,'DETALLE CRONOLÓGICO'!$A$2:$A$4919,$A1600)/$E1600,"")</f>
        <v/>
      </c>
      <c r="K1600" s="6">
        <f>_xlfn.MINIFS('DETALLE CRONOLÓGICO'!$K$2:$K$4919,'DETALLE CRONOLÓGICO'!$A$2:$A$4919,$A1600)</f>
        <v/>
      </c>
      <c r="L1600" s="6">
        <f>_xlfn.MAXIFS('DETALLE CRONOLÓGICO'!$K$2:$K$4919,'DETALLE CRONOLÓGICO'!$A$2:$A$4919,$A1600)</f>
        <v/>
      </c>
      <c r="M1600" s="6">
        <f>INDEX('DETALLE CRONOLÓGICO'!$K$2:$K$4919,MATCH($A1600,'DETALLE CRONOLÓGICO'!$A$2:$A$4919,0)+$E1600-1)</f>
        <v/>
      </c>
      <c r="N1600" s="7">
        <f>IFERROR($M1600/INDEX('DETALLE CRONOLÓGICO'!$K$2:$K$4919,MATCH($A1600,'DETALLE CRONOLÓGICO'!$A$2:$A$4919,0))-1,"")</f>
        <v/>
      </c>
      <c r="O1600" s="6">
        <f>IFERROR($I1600*3,"")</f>
        <v/>
      </c>
      <c r="P1600" s="6">
        <f>IFERROR($I1600*3.5,"")</f>
        <v/>
      </c>
      <c r="Q1600" s="6">
        <f>IFERROR($I1600*4,"")</f>
        <v/>
      </c>
      <c r="R1600" s="6" t="n">
        <v>550</v>
      </c>
      <c r="S1600" s="4" t="n">
        <v>1</v>
      </c>
      <c r="T1600" s="1" t="inlineStr">
        <is>
          <t>active</t>
        </is>
      </c>
      <c r="U1600" s="8" t="n"/>
      <c r="V1600" s="1" t="inlineStr">
        <is>
          <t>SIN PRECIO</t>
        </is>
      </c>
    </row>
    <row r="1601">
      <c r="A1601" s="1" t="inlineStr">
        <is>
          <t>668eeef9cf7b1</t>
        </is>
      </c>
      <c r="B1601" s="1" t="inlineStr">
        <is>
          <t>BOLSO SADDLE CD JACQUARD BLUE</t>
        </is>
      </c>
      <c r="C1601" s="1" t="inlineStr">
        <is>
          <t>18cm de largo x 15cm de alto</t>
        </is>
      </c>
      <c r="D1601" s="1" t="inlineStr">
        <is>
          <t>CYNTHIA</t>
        </is>
      </c>
      <c r="E1601" s="4">
        <f>COUNTIF('DETALLE CRONOLÓGICO'!$A$2:$A$4919,$A1601)</f>
        <v/>
      </c>
      <c r="F1601" s="4">
        <f>SUMIFS('DETALLE CRONOLÓGICO'!$I$2:$I$4919,'DETALLE CRONOLÓGICO'!$A$2:$A$4919,$A1601)</f>
        <v/>
      </c>
      <c r="G1601" s="1">
        <f>INDEX('DETALLE CRONOLÓGICO'!$D$2:$D$4919,MATCH($A1601,'DETALLE CRONOLÓGICO'!$A$2:$A$4919,0))</f>
        <v/>
      </c>
      <c r="H1601" s="1">
        <f>INDEX('DETALLE CRONOLÓGICO'!$D$2:$D$4919,MATCH($A1601,'DETALLE CRONOLÓGICO'!$A$2:$A$4919,0)+$E1601-1)</f>
        <v/>
      </c>
      <c r="I1601" s="5">
        <f>IFERROR(SUMIFS('DETALLE CRONOLÓGICO'!$L$2:$L$4919,'DETALLE CRONOLÓGICO'!$A$2:$A$4919,$A1601)/$F1601,"")</f>
        <v/>
      </c>
      <c r="J1601" s="6">
        <f>IFERROR(SUMIFS('DETALLE CRONOLÓGICO'!$K$2:$K$4919,'DETALLE CRONOLÓGICO'!$A$2:$A$4919,$A1601)/$E1601,"")</f>
        <v/>
      </c>
      <c r="K1601" s="6">
        <f>_xlfn.MINIFS('DETALLE CRONOLÓGICO'!$K$2:$K$4919,'DETALLE CRONOLÓGICO'!$A$2:$A$4919,$A1601)</f>
        <v/>
      </c>
      <c r="L1601" s="6">
        <f>_xlfn.MAXIFS('DETALLE CRONOLÓGICO'!$K$2:$K$4919,'DETALLE CRONOLÓGICO'!$A$2:$A$4919,$A1601)</f>
        <v/>
      </c>
      <c r="M1601" s="6">
        <f>INDEX('DETALLE CRONOLÓGICO'!$K$2:$K$4919,MATCH($A1601,'DETALLE CRONOLÓGICO'!$A$2:$A$4919,0)+$E1601-1)</f>
        <v/>
      </c>
      <c r="N1601" s="7">
        <f>IFERROR($M1601/INDEX('DETALLE CRONOLÓGICO'!$K$2:$K$4919,MATCH($A1601,'DETALLE CRONOLÓGICO'!$A$2:$A$4919,0))-1,"")</f>
        <v/>
      </c>
      <c r="O1601" s="6">
        <f>IFERROR($I1601*3,"")</f>
        <v/>
      </c>
      <c r="P1601" s="6">
        <f>IFERROR($I1601*3.5,"")</f>
        <v/>
      </c>
      <c r="Q1601" s="6">
        <f>IFERROR($I1601*4,"")</f>
        <v/>
      </c>
      <c r="R1601" s="6" t="n">
        <v>5119</v>
      </c>
      <c r="S1601" s="4" t="n">
        <v>2</v>
      </c>
      <c r="T1601" s="1" t="inlineStr">
        <is>
          <t>active</t>
        </is>
      </c>
      <c r="U1601" s="8" t="n"/>
      <c r="V1601" s="1" t="inlineStr">
        <is>
          <t>SIN PRECIO</t>
        </is>
      </c>
    </row>
    <row r="1602">
      <c r="A1602" s="1" t="inlineStr">
        <is>
          <t>668eeefb6a924</t>
        </is>
      </c>
      <c r="B1602" s="1" t="inlineStr">
        <is>
          <t>BOLSO YSL KATE</t>
        </is>
      </c>
      <c r="C1602" s="1" t="inlineStr">
        <is>
          <t>27cm de largo x 18 cm de alto</t>
        </is>
      </c>
      <c r="D1602" s="1" t="inlineStr">
        <is>
          <t>CYNTHIA</t>
        </is>
      </c>
      <c r="E1602" s="4">
        <f>COUNTIF('DETALLE CRONOLÓGICO'!$A$2:$A$4919,$A1602)</f>
        <v/>
      </c>
      <c r="F1602" s="4">
        <f>SUMIFS('DETALLE CRONOLÓGICO'!$I$2:$I$4919,'DETALLE CRONOLÓGICO'!$A$2:$A$4919,$A1602)</f>
        <v/>
      </c>
      <c r="G1602" s="1">
        <f>INDEX('DETALLE CRONOLÓGICO'!$D$2:$D$4919,MATCH($A1602,'DETALLE CRONOLÓGICO'!$A$2:$A$4919,0))</f>
        <v/>
      </c>
      <c r="H1602" s="1">
        <f>INDEX('DETALLE CRONOLÓGICO'!$D$2:$D$4919,MATCH($A1602,'DETALLE CRONOLÓGICO'!$A$2:$A$4919,0)+$E1602-1)</f>
        <v/>
      </c>
      <c r="I1602" s="5">
        <f>IFERROR(SUMIFS('DETALLE CRONOLÓGICO'!$L$2:$L$4919,'DETALLE CRONOLÓGICO'!$A$2:$A$4919,$A1602)/$F1602,"")</f>
        <v/>
      </c>
      <c r="J1602" s="6">
        <f>IFERROR(SUMIFS('DETALLE CRONOLÓGICO'!$K$2:$K$4919,'DETALLE CRONOLÓGICO'!$A$2:$A$4919,$A1602)/$E1602,"")</f>
        <v/>
      </c>
      <c r="K1602" s="6">
        <f>_xlfn.MINIFS('DETALLE CRONOLÓGICO'!$K$2:$K$4919,'DETALLE CRONOLÓGICO'!$A$2:$A$4919,$A1602)</f>
        <v/>
      </c>
      <c r="L1602" s="6">
        <f>_xlfn.MAXIFS('DETALLE CRONOLÓGICO'!$K$2:$K$4919,'DETALLE CRONOLÓGICO'!$A$2:$A$4919,$A1602)</f>
        <v/>
      </c>
      <c r="M1602" s="6">
        <f>INDEX('DETALLE CRONOLÓGICO'!$K$2:$K$4919,MATCH($A1602,'DETALLE CRONOLÓGICO'!$A$2:$A$4919,0)+$E1602-1)</f>
        <v/>
      </c>
      <c r="N1602" s="7">
        <f>IFERROR($M1602/INDEX('DETALLE CRONOLÓGICO'!$K$2:$K$4919,MATCH($A1602,'DETALLE CRONOLÓGICO'!$A$2:$A$4919,0))-1,"")</f>
        <v/>
      </c>
      <c r="O1602" s="6">
        <f>IFERROR($I1602*3,"")</f>
        <v/>
      </c>
      <c r="P1602" s="6">
        <f>IFERROR($I1602*3.5,"")</f>
        <v/>
      </c>
      <c r="Q1602" s="6">
        <f>IFERROR($I1602*4,"")</f>
        <v/>
      </c>
      <c r="R1602" s="6" t="n">
        <v>3620</v>
      </c>
      <c r="S1602" s="4" t="n">
        <v>0</v>
      </c>
      <c r="T1602" s="1" t="inlineStr">
        <is>
          <t>active</t>
        </is>
      </c>
      <c r="U1602" s="8" t="n"/>
      <c r="V1602" s="1" t="inlineStr">
        <is>
          <t>SIN PRECIO</t>
        </is>
      </c>
    </row>
    <row r="1603">
      <c r="A1603" s="1" t="inlineStr">
        <is>
          <t>668ef00538c27</t>
        </is>
      </c>
      <c r="B1603" s="1" t="inlineStr">
        <is>
          <t>PULSERA TRÉBOL SILVER RED</t>
        </is>
      </c>
      <c r="C1603" s="1" t="inlineStr">
        <is>
          <t>18cm</t>
        </is>
      </c>
      <c r="D1603" s="1" t="inlineStr">
        <is>
          <t>HAIFENG</t>
        </is>
      </c>
      <c r="E1603" s="4">
        <f>COUNTIF('DETALLE CRONOLÓGICO'!$A$2:$A$4919,$A1603)</f>
        <v/>
      </c>
      <c r="F1603" s="4">
        <f>SUMIFS('DETALLE CRONOLÓGICO'!$I$2:$I$4919,'DETALLE CRONOLÓGICO'!$A$2:$A$4919,$A1603)</f>
        <v/>
      </c>
      <c r="G1603" s="1">
        <f>INDEX('DETALLE CRONOLÓGICO'!$D$2:$D$4919,MATCH($A1603,'DETALLE CRONOLÓGICO'!$A$2:$A$4919,0))</f>
        <v/>
      </c>
      <c r="H1603" s="1">
        <f>INDEX('DETALLE CRONOLÓGICO'!$D$2:$D$4919,MATCH($A1603,'DETALLE CRONOLÓGICO'!$A$2:$A$4919,0)+$E1603-1)</f>
        <v/>
      </c>
      <c r="I1603" s="5">
        <f>IFERROR(SUMIFS('DETALLE CRONOLÓGICO'!$L$2:$L$4919,'DETALLE CRONOLÓGICO'!$A$2:$A$4919,$A1603)/$F1603,"")</f>
        <v/>
      </c>
      <c r="J1603" s="6">
        <f>IFERROR(SUMIFS('DETALLE CRONOLÓGICO'!$K$2:$K$4919,'DETALLE CRONOLÓGICO'!$A$2:$A$4919,$A1603)/$E1603,"")</f>
        <v/>
      </c>
      <c r="K1603" s="6">
        <f>_xlfn.MINIFS('DETALLE CRONOLÓGICO'!$K$2:$K$4919,'DETALLE CRONOLÓGICO'!$A$2:$A$4919,$A1603)</f>
        <v/>
      </c>
      <c r="L1603" s="6">
        <f>_xlfn.MAXIFS('DETALLE CRONOLÓGICO'!$K$2:$K$4919,'DETALLE CRONOLÓGICO'!$A$2:$A$4919,$A1603)</f>
        <v/>
      </c>
      <c r="M1603" s="6">
        <f>INDEX('DETALLE CRONOLÓGICO'!$K$2:$K$4919,MATCH($A1603,'DETALLE CRONOLÓGICO'!$A$2:$A$4919,0)+$E1603-1)</f>
        <v/>
      </c>
      <c r="N1603" s="7">
        <f>IFERROR($M1603/INDEX('DETALLE CRONOLÓGICO'!$K$2:$K$4919,MATCH($A1603,'DETALLE CRONOLÓGICO'!$A$2:$A$4919,0))-1,"")</f>
        <v/>
      </c>
      <c r="O1603" s="6">
        <f>IFERROR($I1603*3,"")</f>
        <v/>
      </c>
      <c r="P1603" s="6">
        <f>IFERROR($I1603*3.5,"")</f>
        <v/>
      </c>
      <c r="Q1603" s="6">
        <f>IFERROR($I1603*4,"")</f>
        <v/>
      </c>
      <c r="R1603" s="6" t="n">
        <v>650</v>
      </c>
      <c r="S1603" s="4" t="n">
        <v>5</v>
      </c>
      <c r="T1603" s="1" t="inlineStr">
        <is>
          <t>active</t>
        </is>
      </c>
      <c r="U1603" s="8" t="n"/>
      <c r="V1603" s="1" t="inlineStr">
        <is>
          <t>SIN PRECIO</t>
        </is>
      </c>
    </row>
    <row r="1604">
      <c r="A1604" s="1" t="inlineStr">
        <is>
          <t>66958009110540</t>
        </is>
      </c>
      <c r="B1604" s="1" t="inlineStr">
        <is>
          <t>BOLSO LADY D JOY BLACK</t>
        </is>
      </c>
      <c r="C1604" s="1" t="inlineStr">
        <is>
          <t>22cm de largo x 11.5cm dde alto x 6.8cm de ancho (REMATE)</t>
        </is>
      </c>
      <c r="D1604" s="1" t="inlineStr">
        <is>
          <t>ZOEY</t>
        </is>
      </c>
      <c r="E1604" s="4">
        <f>COUNTIF('DETALLE CRONOLÓGICO'!$A$2:$A$4919,$A1604)</f>
        <v/>
      </c>
      <c r="F1604" s="4">
        <f>SUMIFS('DETALLE CRONOLÓGICO'!$I$2:$I$4919,'DETALLE CRONOLÓGICO'!$A$2:$A$4919,$A1604)</f>
        <v/>
      </c>
      <c r="G1604" s="1">
        <f>INDEX('DETALLE CRONOLÓGICO'!$D$2:$D$4919,MATCH($A1604,'DETALLE CRONOLÓGICO'!$A$2:$A$4919,0))</f>
        <v/>
      </c>
      <c r="H1604" s="1">
        <f>INDEX('DETALLE CRONOLÓGICO'!$D$2:$D$4919,MATCH($A1604,'DETALLE CRONOLÓGICO'!$A$2:$A$4919,0)+$E1604-1)</f>
        <v/>
      </c>
      <c r="I1604" s="5">
        <f>IFERROR(SUMIFS('DETALLE CRONOLÓGICO'!$L$2:$L$4919,'DETALLE CRONOLÓGICO'!$A$2:$A$4919,$A1604)/$F1604,"")</f>
        <v/>
      </c>
      <c r="J1604" s="6">
        <f>IFERROR(SUMIFS('DETALLE CRONOLÓGICO'!$K$2:$K$4919,'DETALLE CRONOLÓGICO'!$A$2:$A$4919,$A1604)/$E1604,"")</f>
        <v/>
      </c>
      <c r="K1604" s="6">
        <f>_xlfn.MINIFS('DETALLE CRONOLÓGICO'!$K$2:$K$4919,'DETALLE CRONOLÓGICO'!$A$2:$A$4919,$A1604)</f>
        <v/>
      </c>
      <c r="L1604" s="6">
        <f>_xlfn.MAXIFS('DETALLE CRONOLÓGICO'!$K$2:$K$4919,'DETALLE CRONOLÓGICO'!$A$2:$A$4919,$A1604)</f>
        <v/>
      </c>
      <c r="M1604" s="6">
        <f>INDEX('DETALLE CRONOLÓGICO'!$K$2:$K$4919,MATCH($A1604,'DETALLE CRONOLÓGICO'!$A$2:$A$4919,0)+$E1604-1)</f>
        <v/>
      </c>
      <c r="N1604" s="7">
        <f>IFERROR($M1604/INDEX('DETALLE CRONOLÓGICO'!$K$2:$K$4919,MATCH($A1604,'DETALLE CRONOLÓGICO'!$A$2:$A$4919,0))-1,"")</f>
        <v/>
      </c>
      <c r="O1604" s="6">
        <f>IFERROR($I1604*3,"")</f>
        <v/>
      </c>
      <c r="P1604" s="6">
        <f>IFERROR($I1604*3.5,"")</f>
        <v/>
      </c>
      <c r="Q1604" s="6">
        <f>IFERROR($I1604*4,"")</f>
        <v/>
      </c>
      <c r="R1604" s="6" t="n">
        <v>5019</v>
      </c>
      <c r="S1604" s="4" t="n">
        <v>2</v>
      </c>
      <c r="T1604" s="1" t="inlineStr">
        <is>
          <t>active</t>
        </is>
      </c>
      <c r="U1604" s="8" t="n"/>
      <c r="V1604" s="1" t="inlineStr">
        <is>
          <t>SIN PRECIO</t>
        </is>
      </c>
    </row>
    <row r="1605">
      <c r="A1605" s="1" t="inlineStr">
        <is>
          <t>66b5a7ced89a8</t>
        </is>
      </c>
      <c r="B1605" s="1" t="inlineStr">
        <is>
          <t>COLLAR 20 TRÉBOLES SILVER BLACK</t>
        </is>
      </c>
      <c r="C1605" s="1" t="inlineStr">
        <is>
          <t>Default Title</t>
        </is>
      </c>
      <c r="D1605" s="1" t="inlineStr">
        <is>
          <t>NANCY</t>
        </is>
      </c>
      <c r="E1605" s="4">
        <f>COUNTIF('DETALLE CRONOLÓGICO'!$A$2:$A$4919,$A1605)</f>
        <v/>
      </c>
      <c r="F1605" s="4">
        <f>SUMIFS('DETALLE CRONOLÓGICO'!$I$2:$I$4919,'DETALLE CRONOLÓGICO'!$A$2:$A$4919,$A1605)</f>
        <v/>
      </c>
      <c r="G1605" s="1">
        <f>INDEX('DETALLE CRONOLÓGICO'!$D$2:$D$4919,MATCH($A1605,'DETALLE CRONOLÓGICO'!$A$2:$A$4919,0))</f>
        <v/>
      </c>
      <c r="H1605" s="1">
        <f>INDEX('DETALLE CRONOLÓGICO'!$D$2:$D$4919,MATCH($A1605,'DETALLE CRONOLÓGICO'!$A$2:$A$4919,0)+$E1605-1)</f>
        <v/>
      </c>
      <c r="I1605" s="5">
        <f>IFERROR(SUMIFS('DETALLE CRONOLÓGICO'!$L$2:$L$4919,'DETALLE CRONOLÓGICO'!$A$2:$A$4919,$A1605)/$F1605,"")</f>
        <v/>
      </c>
      <c r="J1605" s="6">
        <f>IFERROR(SUMIFS('DETALLE CRONOLÓGICO'!$K$2:$K$4919,'DETALLE CRONOLÓGICO'!$A$2:$A$4919,$A1605)/$E1605,"")</f>
        <v/>
      </c>
      <c r="K1605" s="6">
        <f>_xlfn.MINIFS('DETALLE CRONOLÓGICO'!$K$2:$K$4919,'DETALLE CRONOLÓGICO'!$A$2:$A$4919,$A1605)</f>
        <v/>
      </c>
      <c r="L1605" s="6">
        <f>_xlfn.MAXIFS('DETALLE CRONOLÓGICO'!$K$2:$K$4919,'DETALLE CRONOLÓGICO'!$A$2:$A$4919,$A1605)</f>
        <v/>
      </c>
      <c r="M1605" s="6">
        <f>INDEX('DETALLE CRONOLÓGICO'!$K$2:$K$4919,MATCH($A1605,'DETALLE CRONOLÓGICO'!$A$2:$A$4919,0)+$E1605-1)</f>
        <v/>
      </c>
      <c r="N1605" s="7">
        <f>IFERROR($M1605/INDEX('DETALLE CRONOLÓGICO'!$K$2:$K$4919,MATCH($A1605,'DETALLE CRONOLÓGICO'!$A$2:$A$4919,0))-1,"")</f>
        <v/>
      </c>
      <c r="O1605" s="6">
        <f>IFERROR($I1605*3,"")</f>
        <v/>
      </c>
      <c r="P1605" s="6">
        <f>IFERROR($I1605*3.5,"")</f>
        <v/>
      </c>
      <c r="Q1605" s="6">
        <f>IFERROR($I1605*4,"")</f>
        <v/>
      </c>
      <c r="R1605" s="6" t="n">
        <v>3199</v>
      </c>
      <c r="S1605" s="4" t="n">
        <v>4</v>
      </c>
      <c r="T1605" s="1" t="inlineStr">
        <is>
          <t>active</t>
        </is>
      </c>
      <c r="U1605" s="8" t="n"/>
      <c r="V1605" s="1" t="inlineStr">
        <is>
          <t>SIN PRECIO</t>
        </is>
      </c>
    </row>
    <row r="1606">
      <c r="A1606" s="1" t="inlineStr">
        <is>
          <t>66b6834cd5e9b</t>
        </is>
      </c>
      <c r="B1606" s="1" t="inlineStr">
        <is>
          <t>ARETES TRINITY</t>
        </is>
      </c>
      <c r="C1606" s="1" t="inlineStr">
        <is>
          <t>1.5 cm</t>
        </is>
      </c>
      <c r="D1606" s="1" t="inlineStr">
        <is>
          <t>HAIFENG</t>
        </is>
      </c>
      <c r="E1606" s="4">
        <f>COUNTIF('DETALLE CRONOLÓGICO'!$A$2:$A$4919,$A1606)</f>
        <v/>
      </c>
      <c r="F1606" s="4">
        <f>SUMIFS('DETALLE CRONOLÓGICO'!$I$2:$I$4919,'DETALLE CRONOLÓGICO'!$A$2:$A$4919,$A1606)</f>
        <v/>
      </c>
      <c r="G1606" s="1">
        <f>INDEX('DETALLE CRONOLÓGICO'!$D$2:$D$4919,MATCH($A1606,'DETALLE CRONOLÓGICO'!$A$2:$A$4919,0))</f>
        <v/>
      </c>
      <c r="H1606" s="1">
        <f>INDEX('DETALLE CRONOLÓGICO'!$D$2:$D$4919,MATCH($A1606,'DETALLE CRONOLÓGICO'!$A$2:$A$4919,0)+$E1606-1)</f>
        <v/>
      </c>
      <c r="I1606" s="5">
        <f>IFERROR(SUMIFS('DETALLE CRONOLÓGICO'!$L$2:$L$4919,'DETALLE CRONOLÓGICO'!$A$2:$A$4919,$A1606)/$F1606,"")</f>
        <v/>
      </c>
      <c r="J1606" s="6">
        <f>IFERROR(SUMIFS('DETALLE CRONOLÓGICO'!$K$2:$K$4919,'DETALLE CRONOLÓGICO'!$A$2:$A$4919,$A1606)/$E1606,"")</f>
        <v/>
      </c>
      <c r="K1606" s="6">
        <f>_xlfn.MINIFS('DETALLE CRONOLÓGICO'!$K$2:$K$4919,'DETALLE CRONOLÓGICO'!$A$2:$A$4919,$A1606)</f>
        <v/>
      </c>
      <c r="L1606" s="6">
        <f>_xlfn.MAXIFS('DETALLE CRONOLÓGICO'!$K$2:$K$4919,'DETALLE CRONOLÓGICO'!$A$2:$A$4919,$A1606)</f>
        <v/>
      </c>
      <c r="M1606" s="6">
        <f>INDEX('DETALLE CRONOLÓGICO'!$K$2:$K$4919,MATCH($A1606,'DETALLE CRONOLÓGICO'!$A$2:$A$4919,0)+$E1606-1)</f>
        <v/>
      </c>
      <c r="N1606" s="7">
        <f>IFERROR($M1606/INDEX('DETALLE CRONOLÓGICO'!$K$2:$K$4919,MATCH($A1606,'DETALLE CRONOLÓGICO'!$A$2:$A$4919,0))-1,"")</f>
        <v/>
      </c>
      <c r="O1606" s="6">
        <f>IFERROR($I1606*3,"")</f>
        <v/>
      </c>
      <c r="P1606" s="6">
        <f>IFERROR($I1606*3.5,"")</f>
        <v/>
      </c>
      <c r="Q1606" s="6">
        <f>IFERROR($I1606*4,"")</f>
        <v/>
      </c>
      <c r="R1606" s="6" t="n">
        <v>550</v>
      </c>
      <c r="S1606" s="4" t="n">
        <v>5</v>
      </c>
      <c r="T1606" s="1" t="inlineStr">
        <is>
          <t>active</t>
        </is>
      </c>
      <c r="U1606" s="8" t="n"/>
      <c r="V1606" s="1" t="inlineStr">
        <is>
          <t>SIN PRECIO</t>
        </is>
      </c>
    </row>
    <row r="1607">
      <c r="A1607" s="1" t="inlineStr">
        <is>
          <t>66df5ec06fc76</t>
        </is>
      </c>
      <c r="B1607" s="1" t="inlineStr">
        <is>
          <t>BOLSO LADY D CHAROL BLACK</t>
        </is>
      </c>
      <c r="C1607" s="1" t="inlineStr">
        <is>
          <t>23.5cm de largo x 21cm de alto x 12cm de ancho</t>
        </is>
      </c>
      <c r="D1607" s="1" t="inlineStr">
        <is>
          <t>ZOEY</t>
        </is>
      </c>
      <c r="E1607" s="4">
        <f>COUNTIF('DETALLE CRONOLÓGICO'!$A$2:$A$4919,$A1607)</f>
        <v/>
      </c>
      <c r="F1607" s="4">
        <f>SUMIFS('DETALLE CRONOLÓGICO'!$I$2:$I$4919,'DETALLE CRONOLÓGICO'!$A$2:$A$4919,$A1607)</f>
        <v/>
      </c>
      <c r="G1607" s="1">
        <f>INDEX('DETALLE CRONOLÓGICO'!$D$2:$D$4919,MATCH($A1607,'DETALLE CRONOLÓGICO'!$A$2:$A$4919,0))</f>
        <v/>
      </c>
      <c r="H1607" s="1">
        <f>INDEX('DETALLE CRONOLÓGICO'!$D$2:$D$4919,MATCH($A1607,'DETALLE CRONOLÓGICO'!$A$2:$A$4919,0)+$E1607-1)</f>
        <v/>
      </c>
      <c r="I1607" s="5">
        <f>IFERROR(SUMIFS('DETALLE CRONOLÓGICO'!$L$2:$L$4919,'DETALLE CRONOLÓGICO'!$A$2:$A$4919,$A1607)/$F1607,"")</f>
        <v/>
      </c>
      <c r="J1607" s="6">
        <f>IFERROR(SUMIFS('DETALLE CRONOLÓGICO'!$K$2:$K$4919,'DETALLE CRONOLÓGICO'!$A$2:$A$4919,$A1607)/$E1607,"")</f>
        <v/>
      </c>
      <c r="K1607" s="6">
        <f>_xlfn.MINIFS('DETALLE CRONOLÓGICO'!$K$2:$K$4919,'DETALLE CRONOLÓGICO'!$A$2:$A$4919,$A1607)</f>
        <v/>
      </c>
      <c r="L1607" s="6">
        <f>_xlfn.MAXIFS('DETALLE CRONOLÓGICO'!$K$2:$K$4919,'DETALLE CRONOLÓGICO'!$A$2:$A$4919,$A1607)</f>
        <v/>
      </c>
      <c r="M1607" s="6">
        <f>INDEX('DETALLE CRONOLÓGICO'!$K$2:$K$4919,MATCH($A1607,'DETALLE CRONOLÓGICO'!$A$2:$A$4919,0)+$E1607-1)</f>
        <v/>
      </c>
      <c r="N1607" s="7">
        <f>IFERROR($M1607/INDEX('DETALLE CRONOLÓGICO'!$K$2:$K$4919,MATCH($A1607,'DETALLE CRONOLÓGICO'!$A$2:$A$4919,0))-1,"")</f>
        <v/>
      </c>
      <c r="O1607" s="6">
        <f>IFERROR($I1607*3,"")</f>
        <v/>
      </c>
      <c r="P1607" s="6">
        <f>IFERROR($I1607*3.5,"")</f>
        <v/>
      </c>
      <c r="Q1607" s="6">
        <f>IFERROR($I1607*4,"")</f>
        <v/>
      </c>
      <c r="R1607" s="6" t="n">
        <v>5454</v>
      </c>
      <c r="S1607" s="4" t="n">
        <v>1</v>
      </c>
      <c r="T1607" s="1" t="inlineStr">
        <is>
          <t>active</t>
        </is>
      </c>
      <c r="U1607" s="8" t="n"/>
      <c r="V1607" s="1" t="inlineStr">
        <is>
          <t>SIN PRECIO</t>
        </is>
      </c>
    </row>
    <row r="1608">
      <c r="A1608" s="1" t="inlineStr">
        <is>
          <t>66df5ec1b9bcc</t>
        </is>
      </c>
      <c r="B1608" s="1" t="inlineStr">
        <is>
          <t>BOLSO LADY D CHAROL DUSTY PINK</t>
        </is>
      </c>
      <c r="C1608" s="1" t="inlineStr">
        <is>
          <t>23.5cm de largo x 21cm de alto x 12cm de ancho</t>
        </is>
      </c>
      <c r="D1608" s="1" t="inlineStr">
        <is>
          <t>ZOEY</t>
        </is>
      </c>
      <c r="E1608" s="4">
        <f>COUNTIF('DETALLE CRONOLÓGICO'!$A$2:$A$4919,$A1608)</f>
        <v/>
      </c>
      <c r="F1608" s="4">
        <f>SUMIFS('DETALLE CRONOLÓGICO'!$I$2:$I$4919,'DETALLE CRONOLÓGICO'!$A$2:$A$4919,$A1608)</f>
        <v/>
      </c>
      <c r="G1608" s="1">
        <f>INDEX('DETALLE CRONOLÓGICO'!$D$2:$D$4919,MATCH($A1608,'DETALLE CRONOLÓGICO'!$A$2:$A$4919,0))</f>
        <v/>
      </c>
      <c r="H1608" s="1">
        <f>INDEX('DETALLE CRONOLÓGICO'!$D$2:$D$4919,MATCH($A1608,'DETALLE CRONOLÓGICO'!$A$2:$A$4919,0)+$E1608-1)</f>
        <v/>
      </c>
      <c r="I1608" s="5">
        <f>IFERROR(SUMIFS('DETALLE CRONOLÓGICO'!$L$2:$L$4919,'DETALLE CRONOLÓGICO'!$A$2:$A$4919,$A1608)/$F1608,"")</f>
        <v/>
      </c>
      <c r="J1608" s="6">
        <f>IFERROR(SUMIFS('DETALLE CRONOLÓGICO'!$K$2:$K$4919,'DETALLE CRONOLÓGICO'!$A$2:$A$4919,$A1608)/$E1608,"")</f>
        <v/>
      </c>
      <c r="K1608" s="6">
        <f>_xlfn.MINIFS('DETALLE CRONOLÓGICO'!$K$2:$K$4919,'DETALLE CRONOLÓGICO'!$A$2:$A$4919,$A1608)</f>
        <v/>
      </c>
      <c r="L1608" s="6">
        <f>_xlfn.MAXIFS('DETALLE CRONOLÓGICO'!$K$2:$K$4919,'DETALLE CRONOLÓGICO'!$A$2:$A$4919,$A1608)</f>
        <v/>
      </c>
      <c r="M1608" s="6">
        <f>INDEX('DETALLE CRONOLÓGICO'!$K$2:$K$4919,MATCH($A1608,'DETALLE CRONOLÓGICO'!$A$2:$A$4919,0)+$E1608-1)</f>
        <v/>
      </c>
      <c r="N1608" s="7">
        <f>IFERROR($M1608/INDEX('DETALLE CRONOLÓGICO'!$K$2:$K$4919,MATCH($A1608,'DETALLE CRONOLÓGICO'!$A$2:$A$4919,0))-1,"")</f>
        <v/>
      </c>
      <c r="O1608" s="6">
        <f>IFERROR($I1608*3,"")</f>
        <v/>
      </c>
      <c r="P1608" s="6">
        <f>IFERROR($I1608*3.5,"")</f>
        <v/>
      </c>
      <c r="Q1608" s="6">
        <f>IFERROR($I1608*4,"")</f>
        <v/>
      </c>
      <c r="R1608" s="6" t="n">
        <v>5775</v>
      </c>
      <c r="S1608" s="4" t="n">
        <v>1</v>
      </c>
      <c r="T1608" s="1" t="inlineStr">
        <is>
          <t>active</t>
        </is>
      </c>
      <c r="U1608" s="8" t="n"/>
      <c r="V1608" s="1" t="inlineStr">
        <is>
          <t>SIN PRECIO</t>
        </is>
      </c>
    </row>
    <row r="1609">
      <c r="A1609" s="1" t="inlineStr">
        <is>
          <t>66df5ec68a185</t>
        </is>
      </c>
      <c r="B1609" s="1" t="inlineStr">
        <is>
          <t>BOLSO LADY D CHAROL OFF WHITE</t>
        </is>
      </c>
      <c r="C1609" s="1" t="inlineStr">
        <is>
          <t>23.5cm de largo x 21cm de alto x 12cm de ancho</t>
        </is>
      </c>
      <c r="D1609" s="1" t="inlineStr">
        <is>
          <t>ZOEY</t>
        </is>
      </c>
      <c r="E1609" s="4">
        <f>COUNTIF('DETALLE CRONOLÓGICO'!$A$2:$A$4919,$A1609)</f>
        <v/>
      </c>
      <c r="F1609" s="4">
        <f>SUMIFS('DETALLE CRONOLÓGICO'!$I$2:$I$4919,'DETALLE CRONOLÓGICO'!$A$2:$A$4919,$A1609)</f>
        <v/>
      </c>
      <c r="G1609" s="1">
        <f>INDEX('DETALLE CRONOLÓGICO'!$D$2:$D$4919,MATCH($A1609,'DETALLE CRONOLÓGICO'!$A$2:$A$4919,0))</f>
        <v/>
      </c>
      <c r="H1609" s="1">
        <f>INDEX('DETALLE CRONOLÓGICO'!$D$2:$D$4919,MATCH($A1609,'DETALLE CRONOLÓGICO'!$A$2:$A$4919,0)+$E1609-1)</f>
        <v/>
      </c>
      <c r="I1609" s="5">
        <f>IFERROR(SUMIFS('DETALLE CRONOLÓGICO'!$L$2:$L$4919,'DETALLE CRONOLÓGICO'!$A$2:$A$4919,$A1609)/$F1609,"")</f>
        <v/>
      </c>
      <c r="J1609" s="6">
        <f>IFERROR(SUMIFS('DETALLE CRONOLÓGICO'!$K$2:$K$4919,'DETALLE CRONOLÓGICO'!$A$2:$A$4919,$A1609)/$E1609,"")</f>
        <v/>
      </c>
      <c r="K1609" s="6">
        <f>_xlfn.MINIFS('DETALLE CRONOLÓGICO'!$K$2:$K$4919,'DETALLE CRONOLÓGICO'!$A$2:$A$4919,$A1609)</f>
        <v/>
      </c>
      <c r="L1609" s="6">
        <f>_xlfn.MAXIFS('DETALLE CRONOLÓGICO'!$K$2:$K$4919,'DETALLE CRONOLÓGICO'!$A$2:$A$4919,$A1609)</f>
        <v/>
      </c>
      <c r="M1609" s="6">
        <f>INDEX('DETALLE CRONOLÓGICO'!$K$2:$K$4919,MATCH($A1609,'DETALLE CRONOLÓGICO'!$A$2:$A$4919,0)+$E1609-1)</f>
        <v/>
      </c>
      <c r="N1609" s="7">
        <f>IFERROR($M1609/INDEX('DETALLE CRONOLÓGICO'!$K$2:$K$4919,MATCH($A1609,'DETALLE CRONOLÓGICO'!$A$2:$A$4919,0))-1,"")</f>
        <v/>
      </c>
      <c r="O1609" s="6">
        <f>IFERROR($I1609*3,"")</f>
        <v/>
      </c>
      <c r="P1609" s="6">
        <f>IFERROR($I1609*3.5,"")</f>
        <v/>
      </c>
      <c r="Q1609" s="6">
        <f>IFERROR($I1609*4,"")</f>
        <v/>
      </c>
      <c r="R1609" s="6" t="n">
        <v>5940</v>
      </c>
      <c r="S1609" s="4" t="n">
        <v>2</v>
      </c>
      <c r="T1609" s="1" t="inlineStr">
        <is>
          <t>active</t>
        </is>
      </c>
      <c r="U1609" s="8" t="n"/>
      <c r="V1609" s="1" t="inlineStr">
        <is>
          <t>SIN PRECIO</t>
        </is>
      </c>
    </row>
    <row r="1610">
      <c r="A1610" s="1" t="inlineStr">
        <is>
          <t>66e2425fcbc7e</t>
        </is>
      </c>
      <c r="B1610" s="1" t="inlineStr">
        <is>
          <t>TARJETERO G BLACK</t>
        </is>
      </c>
      <c r="C1610" s="1" t="inlineStr">
        <is>
          <t>10.5cm de largo x 7.6cm de alto</t>
        </is>
      </c>
      <c r="D1610" s="1" t="inlineStr">
        <is>
          <t>CYNTHIA</t>
        </is>
      </c>
      <c r="E1610" s="4">
        <f>COUNTIF('DETALLE CRONOLÓGICO'!$A$2:$A$4919,$A1610)</f>
        <v/>
      </c>
      <c r="F1610" s="4">
        <f>SUMIFS('DETALLE CRONOLÓGICO'!$I$2:$I$4919,'DETALLE CRONOLÓGICO'!$A$2:$A$4919,$A1610)</f>
        <v/>
      </c>
      <c r="G1610" s="1">
        <f>INDEX('DETALLE CRONOLÓGICO'!$D$2:$D$4919,MATCH($A1610,'DETALLE CRONOLÓGICO'!$A$2:$A$4919,0))</f>
        <v/>
      </c>
      <c r="H1610" s="1">
        <f>INDEX('DETALLE CRONOLÓGICO'!$D$2:$D$4919,MATCH($A1610,'DETALLE CRONOLÓGICO'!$A$2:$A$4919,0)+$E1610-1)</f>
        <v/>
      </c>
      <c r="I1610" s="5">
        <f>IFERROR(SUMIFS('DETALLE CRONOLÓGICO'!$L$2:$L$4919,'DETALLE CRONOLÓGICO'!$A$2:$A$4919,$A1610)/$F1610,"")</f>
        <v/>
      </c>
      <c r="J1610" s="6">
        <f>IFERROR(SUMIFS('DETALLE CRONOLÓGICO'!$K$2:$K$4919,'DETALLE CRONOLÓGICO'!$A$2:$A$4919,$A1610)/$E1610,"")</f>
        <v/>
      </c>
      <c r="K1610" s="6">
        <f>_xlfn.MINIFS('DETALLE CRONOLÓGICO'!$K$2:$K$4919,'DETALLE CRONOLÓGICO'!$A$2:$A$4919,$A1610)</f>
        <v/>
      </c>
      <c r="L1610" s="6">
        <f>_xlfn.MAXIFS('DETALLE CRONOLÓGICO'!$K$2:$K$4919,'DETALLE CRONOLÓGICO'!$A$2:$A$4919,$A1610)</f>
        <v/>
      </c>
      <c r="M1610" s="6">
        <f>INDEX('DETALLE CRONOLÓGICO'!$K$2:$K$4919,MATCH($A1610,'DETALLE CRONOLÓGICO'!$A$2:$A$4919,0)+$E1610-1)</f>
        <v/>
      </c>
      <c r="N1610" s="7">
        <f>IFERROR($M1610/INDEX('DETALLE CRONOLÓGICO'!$K$2:$K$4919,MATCH($A1610,'DETALLE CRONOLÓGICO'!$A$2:$A$4919,0))-1,"")</f>
        <v/>
      </c>
      <c r="O1610" s="6">
        <f>IFERROR($I1610*3,"")</f>
        <v/>
      </c>
      <c r="P1610" s="6">
        <f>IFERROR($I1610*3.5,"")</f>
        <v/>
      </c>
      <c r="Q1610" s="6">
        <f>IFERROR($I1610*4,"")</f>
        <v/>
      </c>
      <c r="R1610" s="6" t="n">
        <v>2420</v>
      </c>
      <c r="S1610" s="4" t="n">
        <v>0</v>
      </c>
      <c r="T1610" s="1" t="inlineStr">
        <is>
          <t>active</t>
        </is>
      </c>
      <c r="U1610" s="8" t="n"/>
      <c r="V1610" s="1" t="inlineStr">
        <is>
          <t>SIN PRECIO</t>
        </is>
      </c>
    </row>
    <row r="1611">
      <c r="A1611" s="1" t="inlineStr">
        <is>
          <t>66ec817c20ce6</t>
        </is>
      </c>
      <c r="B1611" s="1" t="inlineStr">
        <is>
          <t>BOLSO B BLACK</t>
        </is>
      </c>
      <c r="C1611" s="1" t="inlineStr">
        <is>
          <t>HIGH QUALITY 23cm de largo x 14.5cm de alto x 10cm de ancho</t>
        </is>
      </c>
      <c r="D1611" s="1" t="inlineStr">
        <is>
          <t>ZOEY</t>
        </is>
      </c>
      <c r="E1611" s="4">
        <f>COUNTIF('DETALLE CRONOLÓGICO'!$A$2:$A$4919,$A1611)</f>
        <v/>
      </c>
      <c r="F1611" s="4">
        <f>SUMIFS('DETALLE CRONOLÓGICO'!$I$2:$I$4919,'DETALLE CRONOLÓGICO'!$A$2:$A$4919,$A1611)</f>
        <v/>
      </c>
      <c r="G1611" s="1">
        <f>INDEX('DETALLE CRONOLÓGICO'!$D$2:$D$4919,MATCH($A1611,'DETALLE CRONOLÓGICO'!$A$2:$A$4919,0))</f>
        <v/>
      </c>
      <c r="H1611" s="1">
        <f>INDEX('DETALLE CRONOLÓGICO'!$D$2:$D$4919,MATCH($A1611,'DETALLE CRONOLÓGICO'!$A$2:$A$4919,0)+$E1611-1)</f>
        <v/>
      </c>
      <c r="I1611" s="5">
        <f>IFERROR(SUMIFS('DETALLE CRONOLÓGICO'!$L$2:$L$4919,'DETALLE CRONOLÓGICO'!$A$2:$A$4919,$A1611)/$F1611,"")</f>
        <v/>
      </c>
      <c r="J1611" s="6">
        <f>IFERROR(SUMIFS('DETALLE CRONOLÓGICO'!$K$2:$K$4919,'DETALLE CRONOLÓGICO'!$A$2:$A$4919,$A1611)/$E1611,"")</f>
        <v/>
      </c>
      <c r="K1611" s="6">
        <f>_xlfn.MINIFS('DETALLE CRONOLÓGICO'!$K$2:$K$4919,'DETALLE CRONOLÓGICO'!$A$2:$A$4919,$A1611)</f>
        <v/>
      </c>
      <c r="L1611" s="6">
        <f>_xlfn.MAXIFS('DETALLE CRONOLÓGICO'!$K$2:$K$4919,'DETALLE CRONOLÓGICO'!$A$2:$A$4919,$A1611)</f>
        <v/>
      </c>
      <c r="M1611" s="6">
        <f>INDEX('DETALLE CRONOLÓGICO'!$K$2:$K$4919,MATCH($A1611,'DETALLE CRONOLÓGICO'!$A$2:$A$4919,0)+$E1611-1)</f>
        <v/>
      </c>
      <c r="N1611" s="7">
        <f>IFERROR($M1611/INDEX('DETALLE CRONOLÓGICO'!$K$2:$K$4919,MATCH($A1611,'DETALLE CRONOLÓGICO'!$A$2:$A$4919,0))-1,"")</f>
        <v/>
      </c>
      <c r="O1611" s="6">
        <f>IFERROR($I1611*3,"")</f>
        <v/>
      </c>
      <c r="P1611" s="6">
        <f>IFERROR($I1611*3.5,"")</f>
        <v/>
      </c>
      <c r="Q1611" s="6">
        <f>IFERROR($I1611*4,"")</f>
        <v/>
      </c>
      <c r="R1611" s="6" t="n">
        <v>3799</v>
      </c>
      <c r="S1611" s="4" t="n">
        <v>1</v>
      </c>
      <c r="T1611" s="1" t="inlineStr">
        <is>
          <t>active</t>
        </is>
      </c>
      <c r="U1611" s="8" t="n"/>
      <c r="V1611" s="1" t="inlineStr">
        <is>
          <t>SIN PRECIO</t>
        </is>
      </c>
    </row>
    <row r="1612">
      <c r="A1612" s="1" t="inlineStr">
        <is>
          <t>66ec817ce19fe</t>
        </is>
      </c>
      <c r="B1612" s="1" t="inlineStr">
        <is>
          <t>BOLSO B BLACK LISO</t>
        </is>
      </c>
      <c r="C1612" s="1" t="inlineStr">
        <is>
          <t>HIGH QUALITY 23cm de largo x 14.5cm de alto x 10cm de ancho</t>
        </is>
      </c>
      <c r="D1612" s="1" t="inlineStr">
        <is>
          <t>ZOEY</t>
        </is>
      </c>
      <c r="E1612" s="4">
        <f>COUNTIF('DETALLE CRONOLÓGICO'!$A$2:$A$4919,$A1612)</f>
        <v/>
      </c>
      <c r="F1612" s="4">
        <f>SUMIFS('DETALLE CRONOLÓGICO'!$I$2:$I$4919,'DETALLE CRONOLÓGICO'!$A$2:$A$4919,$A1612)</f>
        <v/>
      </c>
      <c r="G1612" s="1">
        <f>INDEX('DETALLE CRONOLÓGICO'!$D$2:$D$4919,MATCH($A1612,'DETALLE CRONOLÓGICO'!$A$2:$A$4919,0))</f>
        <v/>
      </c>
      <c r="H1612" s="1">
        <f>INDEX('DETALLE CRONOLÓGICO'!$D$2:$D$4919,MATCH($A1612,'DETALLE CRONOLÓGICO'!$A$2:$A$4919,0)+$E1612-1)</f>
        <v/>
      </c>
      <c r="I1612" s="5">
        <f>IFERROR(SUMIFS('DETALLE CRONOLÓGICO'!$L$2:$L$4919,'DETALLE CRONOLÓGICO'!$A$2:$A$4919,$A1612)/$F1612,"")</f>
        <v/>
      </c>
      <c r="J1612" s="6">
        <f>IFERROR(SUMIFS('DETALLE CRONOLÓGICO'!$K$2:$K$4919,'DETALLE CRONOLÓGICO'!$A$2:$A$4919,$A1612)/$E1612,"")</f>
        <v/>
      </c>
      <c r="K1612" s="6">
        <f>_xlfn.MINIFS('DETALLE CRONOLÓGICO'!$K$2:$K$4919,'DETALLE CRONOLÓGICO'!$A$2:$A$4919,$A1612)</f>
        <v/>
      </c>
      <c r="L1612" s="6">
        <f>_xlfn.MAXIFS('DETALLE CRONOLÓGICO'!$K$2:$K$4919,'DETALLE CRONOLÓGICO'!$A$2:$A$4919,$A1612)</f>
        <v/>
      </c>
      <c r="M1612" s="6">
        <f>INDEX('DETALLE CRONOLÓGICO'!$K$2:$K$4919,MATCH($A1612,'DETALLE CRONOLÓGICO'!$A$2:$A$4919,0)+$E1612-1)</f>
        <v/>
      </c>
      <c r="N1612" s="7">
        <f>IFERROR($M1612/INDEX('DETALLE CRONOLÓGICO'!$K$2:$K$4919,MATCH($A1612,'DETALLE CRONOLÓGICO'!$A$2:$A$4919,0))-1,"")</f>
        <v/>
      </c>
      <c r="O1612" s="6">
        <f>IFERROR($I1612*3,"")</f>
        <v/>
      </c>
      <c r="P1612" s="6">
        <f>IFERROR($I1612*3.5,"")</f>
        <v/>
      </c>
      <c r="Q1612" s="6">
        <f>IFERROR($I1612*4,"")</f>
        <v/>
      </c>
      <c r="R1612" s="6" t="n">
        <v>2639</v>
      </c>
      <c r="S1612" s="4" t="n">
        <v>3</v>
      </c>
      <c r="T1612" s="1" t="inlineStr">
        <is>
          <t>active</t>
        </is>
      </c>
      <c r="U1612" s="8" t="n"/>
      <c r="V1612" s="1" t="inlineStr">
        <is>
          <t>SIN PRECIO</t>
        </is>
      </c>
    </row>
    <row r="1613">
      <c r="A1613" s="1" t="inlineStr">
        <is>
          <t>66f1ed26445d0</t>
        </is>
      </c>
      <c r="B1613" s="1" t="inlineStr">
        <is>
          <t>CARTERA G VICTORIE BLACK</t>
        </is>
      </c>
      <c r="C1613" s="1" t="inlineStr">
        <is>
          <t>12cm de largo x 9.5cm de alto</t>
        </is>
      </c>
      <c r="D1613" s="1" t="inlineStr">
        <is>
          <t>CYNTHIA</t>
        </is>
      </c>
      <c r="E1613" s="4">
        <f>COUNTIF('DETALLE CRONOLÓGICO'!$A$2:$A$4919,$A1613)</f>
        <v/>
      </c>
      <c r="F1613" s="4">
        <f>SUMIFS('DETALLE CRONOLÓGICO'!$I$2:$I$4919,'DETALLE CRONOLÓGICO'!$A$2:$A$4919,$A1613)</f>
        <v/>
      </c>
      <c r="G1613" s="1">
        <f>INDEX('DETALLE CRONOLÓGICO'!$D$2:$D$4919,MATCH($A1613,'DETALLE CRONOLÓGICO'!$A$2:$A$4919,0))</f>
        <v/>
      </c>
      <c r="H1613" s="1">
        <f>INDEX('DETALLE CRONOLÓGICO'!$D$2:$D$4919,MATCH($A1613,'DETALLE CRONOLÓGICO'!$A$2:$A$4919,0)+$E1613-1)</f>
        <v/>
      </c>
      <c r="I1613" s="5">
        <f>IFERROR(SUMIFS('DETALLE CRONOLÓGICO'!$L$2:$L$4919,'DETALLE CRONOLÓGICO'!$A$2:$A$4919,$A1613)/$F1613,"")</f>
        <v/>
      </c>
      <c r="J1613" s="6">
        <f>IFERROR(SUMIFS('DETALLE CRONOLÓGICO'!$K$2:$K$4919,'DETALLE CRONOLÓGICO'!$A$2:$A$4919,$A1613)/$E1613,"")</f>
        <v/>
      </c>
      <c r="K1613" s="6">
        <f>_xlfn.MINIFS('DETALLE CRONOLÓGICO'!$K$2:$K$4919,'DETALLE CRONOLÓGICO'!$A$2:$A$4919,$A1613)</f>
        <v/>
      </c>
      <c r="L1613" s="6">
        <f>_xlfn.MAXIFS('DETALLE CRONOLÓGICO'!$K$2:$K$4919,'DETALLE CRONOLÓGICO'!$A$2:$A$4919,$A1613)</f>
        <v/>
      </c>
      <c r="M1613" s="6">
        <f>INDEX('DETALLE CRONOLÓGICO'!$K$2:$K$4919,MATCH($A1613,'DETALLE CRONOLÓGICO'!$A$2:$A$4919,0)+$E1613-1)</f>
        <v/>
      </c>
      <c r="N1613" s="7">
        <f>IFERROR($M1613/INDEX('DETALLE CRONOLÓGICO'!$K$2:$K$4919,MATCH($A1613,'DETALLE CRONOLÓGICO'!$A$2:$A$4919,0))-1,"")</f>
        <v/>
      </c>
      <c r="O1613" s="6">
        <f>IFERROR($I1613*3,"")</f>
        <v/>
      </c>
      <c r="P1613" s="6">
        <f>IFERROR($I1613*3.5,"")</f>
        <v/>
      </c>
      <c r="Q1613" s="6">
        <f>IFERROR($I1613*4,"")</f>
        <v/>
      </c>
      <c r="R1613" s="6" t="n">
        <v>2025</v>
      </c>
      <c r="S1613" s="4" t="n">
        <v>0</v>
      </c>
      <c r="T1613" s="1" t="inlineStr">
        <is>
          <t>active</t>
        </is>
      </c>
      <c r="U1613" s="8" t="n"/>
      <c r="V1613" s="1" t="inlineStr">
        <is>
          <t>SIN PRECIO</t>
        </is>
      </c>
    </row>
    <row r="1614">
      <c r="A1614" s="1" t="inlineStr">
        <is>
          <t>66f1ed264fc77</t>
        </is>
      </c>
      <c r="B1614" s="1" t="inlineStr">
        <is>
          <t>CARTERA G VICTORIE GREEN</t>
        </is>
      </c>
      <c r="C1614" s="1" t="inlineStr">
        <is>
          <t>12cm de largo x 9.5cm de alto</t>
        </is>
      </c>
      <c r="D1614" s="1" t="inlineStr">
        <is>
          <t>CYNTHIA</t>
        </is>
      </c>
      <c r="E1614" s="4">
        <f>COUNTIF('DETALLE CRONOLÓGICO'!$A$2:$A$4919,$A1614)</f>
        <v/>
      </c>
      <c r="F1614" s="4">
        <f>SUMIFS('DETALLE CRONOLÓGICO'!$I$2:$I$4919,'DETALLE CRONOLÓGICO'!$A$2:$A$4919,$A1614)</f>
        <v/>
      </c>
      <c r="G1614" s="1">
        <f>INDEX('DETALLE CRONOLÓGICO'!$D$2:$D$4919,MATCH($A1614,'DETALLE CRONOLÓGICO'!$A$2:$A$4919,0))</f>
        <v/>
      </c>
      <c r="H1614" s="1">
        <f>INDEX('DETALLE CRONOLÓGICO'!$D$2:$D$4919,MATCH($A1614,'DETALLE CRONOLÓGICO'!$A$2:$A$4919,0)+$E1614-1)</f>
        <v/>
      </c>
      <c r="I1614" s="5">
        <f>IFERROR(SUMIFS('DETALLE CRONOLÓGICO'!$L$2:$L$4919,'DETALLE CRONOLÓGICO'!$A$2:$A$4919,$A1614)/$F1614,"")</f>
        <v/>
      </c>
      <c r="J1614" s="6">
        <f>IFERROR(SUMIFS('DETALLE CRONOLÓGICO'!$K$2:$K$4919,'DETALLE CRONOLÓGICO'!$A$2:$A$4919,$A1614)/$E1614,"")</f>
        <v/>
      </c>
      <c r="K1614" s="6">
        <f>_xlfn.MINIFS('DETALLE CRONOLÓGICO'!$K$2:$K$4919,'DETALLE CRONOLÓGICO'!$A$2:$A$4919,$A1614)</f>
        <v/>
      </c>
      <c r="L1614" s="6">
        <f>_xlfn.MAXIFS('DETALLE CRONOLÓGICO'!$K$2:$K$4919,'DETALLE CRONOLÓGICO'!$A$2:$A$4919,$A1614)</f>
        <v/>
      </c>
      <c r="M1614" s="6">
        <f>INDEX('DETALLE CRONOLÓGICO'!$K$2:$K$4919,MATCH($A1614,'DETALLE CRONOLÓGICO'!$A$2:$A$4919,0)+$E1614-1)</f>
        <v/>
      </c>
      <c r="N1614" s="7">
        <f>IFERROR($M1614/INDEX('DETALLE CRONOLÓGICO'!$K$2:$K$4919,MATCH($A1614,'DETALLE CRONOLÓGICO'!$A$2:$A$4919,0))-1,"")</f>
        <v/>
      </c>
      <c r="O1614" s="6">
        <f>IFERROR($I1614*3,"")</f>
        <v/>
      </c>
      <c r="P1614" s="6">
        <f>IFERROR($I1614*3.5,"")</f>
        <v/>
      </c>
      <c r="Q1614" s="6">
        <f>IFERROR($I1614*4,"")</f>
        <v/>
      </c>
      <c r="R1614" s="6" t="n">
        <v>2199</v>
      </c>
      <c r="S1614" s="4" t="n">
        <v>2</v>
      </c>
      <c r="T1614" s="1" t="inlineStr">
        <is>
          <t>active</t>
        </is>
      </c>
      <c r="U1614" s="8" t="n"/>
      <c r="V1614" s="1" t="inlineStr">
        <is>
          <t>SIN PRECIO</t>
        </is>
      </c>
    </row>
    <row r="1615">
      <c r="A1615" s="1" t="inlineStr">
        <is>
          <t>66f1ed2e521fd</t>
        </is>
      </c>
      <c r="B1615" s="1" t="inlineStr">
        <is>
          <t>TARJETERO YSL SILVER</t>
        </is>
      </c>
      <c r="C1615" s="1" t="inlineStr">
        <is>
          <t>8cm x 10.5cm</t>
        </is>
      </c>
      <c r="D1615" s="1" t="inlineStr">
        <is>
          <t>ZOEY</t>
        </is>
      </c>
      <c r="E1615" s="4">
        <f>COUNTIF('DETALLE CRONOLÓGICO'!$A$2:$A$4919,$A1615)</f>
        <v/>
      </c>
      <c r="F1615" s="4">
        <f>SUMIFS('DETALLE CRONOLÓGICO'!$I$2:$I$4919,'DETALLE CRONOLÓGICO'!$A$2:$A$4919,$A1615)</f>
        <v/>
      </c>
      <c r="G1615" s="1">
        <f>INDEX('DETALLE CRONOLÓGICO'!$D$2:$D$4919,MATCH($A1615,'DETALLE CRONOLÓGICO'!$A$2:$A$4919,0))</f>
        <v/>
      </c>
      <c r="H1615" s="1">
        <f>INDEX('DETALLE CRONOLÓGICO'!$D$2:$D$4919,MATCH($A1615,'DETALLE CRONOLÓGICO'!$A$2:$A$4919,0)+$E1615-1)</f>
        <v/>
      </c>
      <c r="I1615" s="5">
        <f>IFERROR(SUMIFS('DETALLE CRONOLÓGICO'!$L$2:$L$4919,'DETALLE CRONOLÓGICO'!$A$2:$A$4919,$A1615)/$F1615,"")</f>
        <v/>
      </c>
      <c r="J1615" s="6">
        <f>IFERROR(SUMIFS('DETALLE CRONOLÓGICO'!$K$2:$K$4919,'DETALLE CRONOLÓGICO'!$A$2:$A$4919,$A1615)/$E1615,"")</f>
        <v/>
      </c>
      <c r="K1615" s="6">
        <f>_xlfn.MINIFS('DETALLE CRONOLÓGICO'!$K$2:$K$4919,'DETALLE CRONOLÓGICO'!$A$2:$A$4919,$A1615)</f>
        <v/>
      </c>
      <c r="L1615" s="6">
        <f>_xlfn.MAXIFS('DETALLE CRONOLÓGICO'!$K$2:$K$4919,'DETALLE CRONOLÓGICO'!$A$2:$A$4919,$A1615)</f>
        <v/>
      </c>
      <c r="M1615" s="6">
        <f>INDEX('DETALLE CRONOLÓGICO'!$K$2:$K$4919,MATCH($A1615,'DETALLE CRONOLÓGICO'!$A$2:$A$4919,0)+$E1615-1)</f>
        <v/>
      </c>
      <c r="N1615" s="7">
        <f>IFERROR($M1615/INDEX('DETALLE CRONOLÓGICO'!$K$2:$K$4919,MATCH($A1615,'DETALLE CRONOLÓGICO'!$A$2:$A$4919,0))-1,"")</f>
        <v/>
      </c>
      <c r="O1615" s="6">
        <f>IFERROR($I1615*3,"")</f>
        <v/>
      </c>
      <c r="P1615" s="6">
        <f>IFERROR($I1615*3.5,"")</f>
        <v/>
      </c>
      <c r="Q1615" s="6">
        <f>IFERROR($I1615*4,"")</f>
        <v/>
      </c>
      <c r="R1615" s="6" t="n">
        <v>1399</v>
      </c>
      <c r="S1615" s="4" t="n">
        <v>4</v>
      </c>
      <c r="T1615" s="1" t="inlineStr">
        <is>
          <t>active</t>
        </is>
      </c>
      <c r="U1615" s="8" t="n"/>
      <c r="V1615" s="1" t="inlineStr">
        <is>
          <t>SIN PRECIO</t>
        </is>
      </c>
    </row>
    <row r="1616">
      <c r="A1616" s="1" t="inlineStr">
        <is>
          <t>66f1ed2f6cfb6</t>
        </is>
      </c>
      <c r="B1616" s="1" t="inlineStr">
        <is>
          <t>TARJETERO G GRAY</t>
        </is>
      </c>
      <c r="C1616" s="1" t="inlineStr">
        <is>
          <t>10.5cm de largo x 7.6cm de alto</t>
        </is>
      </c>
      <c r="D1616" s="1" t="inlineStr">
        <is>
          <t>CYNTHIA</t>
        </is>
      </c>
      <c r="E1616" s="4">
        <f>COUNTIF('DETALLE CRONOLÓGICO'!$A$2:$A$4919,$A1616)</f>
        <v/>
      </c>
      <c r="F1616" s="4">
        <f>SUMIFS('DETALLE CRONOLÓGICO'!$I$2:$I$4919,'DETALLE CRONOLÓGICO'!$A$2:$A$4919,$A1616)</f>
        <v/>
      </c>
      <c r="G1616" s="1">
        <f>INDEX('DETALLE CRONOLÓGICO'!$D$2:$D$4919,MATCH($A1616,'DETALLE CRONOLÓGICO'!$A$2:$A$4919,0))</f>
        <v/>
      </c>
      <c r="H1616" s="1">
        <f>INDEX('DETALLE CRONOLÓGICO'!$D$2:$D$4919,MATCH($A1616,'DETALLE CRONOLÓGICO'!$A$2:$A$4919,0)+$E1616-1)</f>
        <v/>
      </c>
      <c r="I1616" s="5">
        <f>IFERROR(SUMIFS('DETALLE CRONOLÓGICO'!$L$2:$L$4919,'DETALLE CRONOLÓGICO'!$A$2:$A$4919,$A1616)/$F1616,"")</f>
        <v/>
      </c>
      <c r="J1616" s="6">
        <f>IFERROR(SUMIFS('DETALLE CRONOLÓGICO'!$K$2:$K$4919,'DETALLE CRONOLÓGICO'!$A$2:$A$4919,$A1616)/$E1616,"")</f>
        <v/>
      </c>
      <c r="K1616" s="6">
        <f>_xlfn.MINIFS('DETALLE CRONOLÓGICO'!$K$2:$K$4919,'DETALLE CRONOLÓGICO'!$A$2:$A$4919,$A1616)</f>
        <v/>
      </c>
      <c r="L1616" s="6">
        <f>_xlfn.MAXIFS('DETALLE CRONOLÓGICO'!$K$2:$K$4919,'DETALLE CRONOLÓGICO'!$A$2:$A$4919,$A1616)</f>
        <v/>
      </c>
      <c r="M1616" s="6">
        <f>INDEX('DETALLE CRONOLÓGICO'!$K$2:$K$4919,MATCH($A1616,'DETALLE CRONOLÓGICO'!$A$2:$A$4919,0)+$E1616-1)</f>
        <v/>
      </c>
      <c r="N1616" s="7">
        <f>IFERROR($M1616/INDEX('DETALLE CRONOLÓGICO'!$K$2:$K$4919,MATCH($A1616,'DETALLE CRONOLÓGICO'!$A$2:$A$4919,0))-1,"")</f>
        <v/>
      </c>
      <c r="O1616" s="6">
        <f>IFERROR($I1616*3,"")</f>
        <v/>
      </c>
      <c r="P1616" s="6">
        <f>IFERROR($I1616*3.5,"")</f>
        <v/>
      </c>
      <c r="Q1616" s="6">
        <f>IFERROR($I1616*4,"")</f>
        <v/>
      </c>
      <c r="R1616" s="6" t="n">
        <v>2699</v>
      </c>
      <c r="S1616" s="4" t="n">
        <v>0</v>
      </c>
      <c r="T1616" s="1" t="inlineStr">
        <is>
          <t>active</t>
        </is>
      </c>
      <c r="U1616" s="8" t="n"/>
      <c r="V1616" s="1" t="inlineStr">
        <is>
          <t>SIN PRECIO</t>
        </is>
      </c>
    </row>
    <row r="1617">
      <c r="A1617" s="1" t="inlineStr">
        <is>
          <t>66f1ed306f6b4</t>
        </is>
      </c>
      <c r="B1617" s="1" t="inlineStr">
        <is>
          <t>TARJETERO G GREEN</t>
        </is>
      </c>
      <c r="C1617" s="1" t="inlineStr">
        <is>
          <t>10.5cm de largo x 7.6cm de alto</t>
        </is>
      </c>
      <c r="D1617" s="1" t="inlineStr">
        <is>
          <t>CYNTHIA</t>
        </is>
      </c>
      <c r="E1617" s="4">
        <f>COUNTIF('DETALLE CRONOLÓGICO'!$A$2:$A$4919,$A1617)</f>
        <v/>
      </c>
      <c r="F1617" s="4">
        <f>SUMIFS('DETALLE CRONOLÓGICO'!$I$2:$I$4919,'DETALLE CRONOLÓGICO'!$A$2:$A$4919,$A1617)</f>
        <v/>
      </c>
      <c r="G1617" s="1">
        <f>INDEX('DETALLE CRONOLÓGICO'!$D$2:$D$4919,MATCH($A1617,'DETALLE CRONOLÓGICO'!$A$2:$A$4919,0))</f>
        <v/>
      </c>
      <c r="H1617" s="1">
        <f>INDEX('DETALLE CRONOLÓGICO'!$D$2:$D$4919,MATCH($A1617,'DETALLE CRONOLÓGICO'!$A$2:$A$4919,0)+$E1617-1)</f>
        <v/>
      </c>
      <c r="I1617" s="5">
        <f>IFERROR(SUMIFS('DETALLE CRONOLÓGICO'!$L$2:$L$4919,'DETALLE CRONOLÓGICO'!$A$2:$A$4919,$A1617)/$F1617,"")</f>
        <v/>
      </c>
      <c r="J1617" s="6">
        <f>IFERROR(SUMIFS('DETALLE CRONOLÓGICO'!$K$2:$K$4919,'DETALLE CRONOLÓGICO'!$A$2:$A$4919,$A1617)/$E1617,"")</f>
        <v/>
      </c>
      <c r="K1617" s="6">
        <f>_xlfn.MINIFS('DETALLE CRONOLÓGICO'!$K$2:$K$4919,'DETALLE CRONOLÓGICO'!$A$2:$A$4919,$A1617)</f>
        <v/>
      </c>
      <c r="L1617" s="6">
        <f>_xlfn.MAXIFS('DETALLE CRONOLÓGICO'!$K$2:$K$4919,'DETALLE CRONOLÓGICO'!$A$2:$A$4919,$A1617)</f>
        <v/>
      </c>
      <c r="M1617" s="6">
        <f>INDEX('DETALLE CRONOLÓGICO'!$K$2:$K$4919,MATCH($A1617,'DETALLE CRONOLÓGICO'!$A$2:$A$4919,0)+$E1617-1)</f>
        <v/>
      </c>
      <c r="N1617" s="7">
        <f>IFERROR($M1617/INDEX('DETALLE CRONOLÓGICO'!$K$2:$K$4919,MATCH($A1617,'DETALLE CRONOLÓGICO'!$A$2:$A$4919,0))-1,"")</f>
        <v/>
      </c>
      <c r="O1617" s="6">
        <f>IFERROR($I1617*3,"")</f>
        <v/>
      </c>
      <c r="P1617" s="6">
        <f>IFERROR($I1617*3.5,"")</f>
        <v/>
      </c>
      <c r="Q1617" s="6">
        <f>IFERROR($I1617*4,"")</f>
        <v/>
      </c>
      <c r="R1617" s="6" t="n">
        <v>2445</v>
      </c>
      <c r="S1617" s="4" t="n">
        <v>5</v>
      </c>
      <c r="T1617" s="1" t="inlineStr">
        <is>
          <t>active</t>
        </is>
      </c>
      <c r="U1617" s="8" t="n"/>
      <c r="V1617" s="1" t="inlineStr">
        <is>
          <t>SIN PRECIO</t>
        </is>
      </c>
    </row>
    <row r="1618">
      <c r="A1618" s="1" t="inlineStr">
        <is>
          <t>6701d185b1594</t>
        </is>
      </c>
      <c r="B1618" s="1" t="inlineStr">
        <is>
          <t>PULSERA ONE TRÉBOL GOLD GREEN</t>
        </is>
      </c>
      <c r="C1618" s="1" t="inlineStr">
        <is>
          <t>17cm con extensión de 3cm</t>
        </is>
      </c>
      <c r="D1618" s="1" t="inlineStr">
        <is>
          <t>NANCY</t>
        </is>
      </c>
      <c r="E1618" s="4">
        <f>COUNTIF('DETALLE CRONOLÓGICO'!$A$2:$A$4919,$A1618)</f>
        <v/>
      </c>
      <c r="F1618" s="4">
        <f>SUMIFS('DETALLE CRONOLÓGICO'!$I$2:$I$4919,'DETALLE CRONOLÓGICO'!$A$2:$A$4919,$A1618)</f>
        <v/>
      </c>
      <c r="G1618" s="1">
        <f>INDEX('DETALLE CRONOLÓGICO'!$D$2:$D$4919,MATCH($A1618,'DETALLE CRONOLÓGICO'!$A$2:$A$4919,0))</f>
        <v/>
      </c>
      <c r="H1618" s="1">
        <f>INDEX('DETALLE CRONOLÓGICO'!$D$2:$D$4919,MATCH($A1618,'DETALLE CRONOLÓGICO'!$A$2:$A$4919,0)+$E1618-1)</f>
        <v/>
      </c>
      <c r="I1618" s="5">
        <f>IFERROR(SUMIFS('DETALLE CRONOLÓGICO'!$L$2:$L$4919,'DETALLE CRONOLÓGICO'!$A$2:$A$4919,$A1618)/$F1618,"")</f>
        <v/>
      </c>
      <c r="J1618" s="6">
        <f>IFERROR(SUMIFS('DETALLE CRONOLÓGICO'!$K$2:$K$4919,'DETALLE CRONOLÓGICO'!$A$2:$A$4919,$A1618)/$E1618,"")</f>
        <v/>
      </c>
      <c r="K1618" s="6">
        <f>_xlfn.MINIFS('DETALLE CRONOLÓGICO'!$K$2:$K$4919,'DETALLE CRONOLÓGICO'!$A$2:$A$4919,$A1618)</f>
        <v/>
      </c>
      <c r="L1618" s="6">
        <f>_xlfn.MAXIFS('DETALLE CRONOLÓGICO'!$K$2:$K$4919,'DETALLE CRONOLÓGICO'!$A$2:$A$4919,$A1618)</f>
        <v/>
      </c>
      <c r="M1618" s="6">
        <f>INDEX('DETALLE CRONOLÓGICO'!$K$2:$K$4919,MATCH($A1618,'DETALLE CRONOLÓGICO'!$A$2:$A$4919,0)+$E1618-1)</f>
        <v/>
      </c>
      <c r="N1618" s="7">
        <f>IFERROR($M1618/INDEX('DETALLE CRONOLÓGICO'!$K$2:$K$4919,MATCH($A1618,'DETALLE CRONOLÓGICO'!$A$2:$A$4919,0))-1,"")</f>
        <v/>
      </c>
      <c r="O1618" s="6">
        <f>IFERROR($I1618*3,"")</f>
        <v/>
      </c>
      <c r="P1618" s="6">
        <f>IFERROR($I1618*3.5,"")</f>
        <v/>
      </c>
      <c r="Q1618" s="6">
        <f>IFERROR($I1618*4,"")</f>
        <v/>
      </c>
      <c r="R1618" s="6" t="n">
        <v>599</v>
      </c>
      <c r="S1618" s="4" t="n">
        <v>2</v>
      </c>
      <c r="T1618" s="1" t="inlineStr">
        <is>
          <t>active</t>
        </is>
      </c>
      <c r="U1618" s="8" t="n"/>
      <c r="V1618" s="1" t="inlineStr">
        <is>
          <t>SIN PRECIO</t>
        </is>
      </c>
    </row>
    <row r="1619">
      <c r="A1619" s="1" t="inlineStr">
        <is>
          <t>6701d185cad9a</t>
        </is>
      </c>
      <c r="B1619" s="1" t="inlineStr">
        <is>
          <t>PULSERA ONE TRÉBOL ROSEGOLD RED</t>
        </is>
      </c>
      <c r="C1619" s="1" t="inlineStr">
        <is>
          <t>Talla 17 con extensión de 3cm</t>
        </is>
      </c>
      <c r="D1619" s="1" t="inlineStr">
        <is>
          <t>NANCY</t>
        </is>
      </c>
      <c r="E1619" s="4">
        <f>COUNTIF('DETALLE CRONOLÓGICO'!$A$2:$A$4919,$A1619)</f>
        <v/>
      </c>
      <c r="F1619" s="4">
        <f>SUMIFS('DETALLE CRONOLÓGICO'!$I$2:$I$4919,'DETALLE CRONOLÓGICO'!$A$2:$A$4919,$A1619)</f>
        <v/>
      </c>
      <c r="G1619" s="1">
        <f>INDEX('DETALLE CRONOLÓGICO'!$D$2:$D$4919,MATCH($A1619,'DETALLE CRONOLÓGICO'!$A$2:$A$4919,0))</f>
        <v/>
      </c>
      <c r="H1619" s="1">
        <f>INDEX('DETALLE CRONOLÓGICO'!$D$2:$D$4919,MATCH($A1619,'DETALLE CRONOLÓGICO'!$A$2:$A$4919,0)+$E1619-1)</f>
        <v/>
      </c>
      <c r="I1619" s="5">
        <f>IFERROR(SUMIFS('DETALLE CRONOLÓGICO'!$L$2:$L$4919,'DETALLE CRONOLÓGICO'!$A$2:$A$4919,$A1619)/$F1619,"")</f>
        <v/>
      </c>
      <c r="J1619" s="6">
        <f>IFERROR(SUMIFS('DETALLE CRONOLÓGICO'!$K$2:$K$4919,'DETALLE CRONOLÓGICO'!$A$2:$A$4919,$A1619)/$E1619,"")</f>
        <v/>
      </c>
      <c r="K1619" s="6">
        <f>_xlfn.MINIFS('DETALLE CRONOLÓGICO'!$K$2:$K$4919,'DETALLE CRONOLÓGICO'!$A$2:$A$4919,$A1619)</f>
        <v/>
      </c>
      <c r="L1619" s="6">
        <f>_xlfn.MAXIFS('DETALLE CRONOLÓGICO'!$K$2:$K$4919,'DETALLE CRONOLÓGICO'!$A$2:$A$4919,$A1619)</f>
        <v/>
      </c>
      <c r="M1619" s="6">
        <f>INDEX('DETALLE CRONOLÓGICO'!$K$2:$K$4919,MATCH($A1619,'DETALLE CRONOLÓGICO'!$A$2:$A$4919,0)+$E1619-1)</f>
        <v/>
      </c>
      <c r="N1619" s="7">
        <f>IFERROR($M1619/INDEX('DETALLE CRONOLÓGICO'!$K$2:$K$4919,MATCH($A1619,'DETALLE CRONOLÓGICO'!$A$2:$A$4919,0))-1,"")</f>
        <v/>
      </c>
      <c r="O1619" s="6">
        <f>IFERROR($I1619*3,"")</f>
        <v/>
      </c>
      <c r="P1619" s="6">
        <f>IFERROR($I1619*3.5,"")</f>
        <v/>
      </c>
      <c r="Q1619" s="6">
        <f>IFERROR($I1619*4,"")</f>
        <v/>
      </c>
      <c r="R1619" s="6" t="n">
        <v>599</v>
      </c>
      <c r="S1619" s="4" t="n">
        <v>3</v>
      </c>
      <c r="T1619" s="1" t="inlineStr">
        <is>
          <t>active</t>
        </is>
      </c>
      <c r="U1619" s="8" t="n"/>
      <c r="V1619" s="1" t="inlineStr">
        <is>
          <t>SIN PRECIO</t>
        </is>
      </c>
    </row>
    <row r="1620">
      <c r="A1620" s="1" t="inlineStr">
        <is>
          <t>6701d185d4f38</t>
        </is>
      </c>
      <c r="B1620" s="1" t="inlineStr">
        <is>
          <t>BOLSO MM WANDER BLACK</t>
        </is>
      </c>
      <c r="C1620" s="1" t="inlineStr">
        <is>
          <t>20cm de alto x 21cm de largo x 8cm de ancho</t>
        </is>
      </c>
      <c r="D1620" s="1" t="inlineStr">
        <is>
          <t>ZOEY</t>
        </is>
      </c>
      <c r="E1620" s="4">
        <f>COUNTIF('DETALLE CRONOLÓGICO'!$A$2:$A$4919,$A1620)</f>
        <v/>
      </c>
      <c r="F1620" s="4">
        <f>SUMIFS('DETALLE CRONOLÓGICO'!$I$2:$I$4919,'DETALLE CRONOLÓGICO'!$A$2:$A$4919,$A1620)</f>
        <v/>
      </c>
      <c r="G1620" s="1">
        <f>INDEX('DETALLE CRONOLÓGICO'!$D$2:$D$4919,MATCH($A1620,'DETALLE CRONOLÓGICO'!$A$2:$A$4919,0))</f>
        <v/>
      </c>
      <c r="H1620" s="1">
        <f>INDEX('DETALLE CRONOLÓGICO'!$D$2:$D$4919,MATCH($A1620,'DETALLE CRONOLÓGICO'!$A$2:$A$4919,0)+$E1620-1)</f>
        <v/>
      </c>
      <c r="I1620" s="5">
        <f>IFERROR(SUMIFS('DETALLE CRONOLÓGICO'!$L$2:$L$4919,'DETALLE CRONOLÓGICO'!$A$2:$A$4919,$A1620)/$F1620,"")</f>
        <v/>
      </c>
      <c r="J1620" s="6">
        <f>IFERROR(SUMIFS('DETALLE CRONOLÓGICO'!$K$2:$K$4919,'DETALLE CRONOLÓGICO'!$A$2:$A$4919,$A1620)/$E1620,"")</f>
        <v/>
      </c>
      <c r="K1620" s="6">
        <f>_xlfn.MINIFS('DETALLE CRONOLÓGICO'!$K$2:$K$4919,'DETALLE CRONOLÓGICO'!$A$2:$A$4919,$A1620)</f>
        <v/>
      </c>
      <c r="L1620" s="6">
        <f>_xlfn.MAXIFS('DETALLE CRONOLÓGICO'!$K$2:$K$4919,'DETALLE CRONOLÓGICO'!$A$2:$A$4919,$A1620)</f>
        <v/>
      </c>
      <c r="M1620" s="6">
        <f>INDEX('DETALLE CRONOLÓGICO'!$K$2:$K$4919,MATCH($A1620,'DETALLE CRONOLÓGICO'!$A$2:$A$4919,0)+$E1620-1)</f>
        <v/>
      </c>
      <c r="N1620" s="7">
        <f>IFERROR($M1620/INDEX('DETALLE CRONOLÓGICO'!$K$2:$K$4919,MATCH($A1620,'DETALLE CRONOLÓGICO'!$A$2:$A$4919,0))-1,"")</f>
        <v/>
      </c>
      <c r="O1620" s="6">
        <f>IFERROR($I1620*3,"")</f>
        <v/>
      </c>
      <c r="P1620" s="6">
        <f>IFERROR($I1620*3.5,"")</f>
        <v/>
      </c>
      <c r="Q1620" s="6">
        <f>IFERROR($I1620*4,"")</f>
        <v/>
      </c>
      <c r="R1620" s="6" t="n">
        <v>4310</v>
      </c>
      <c r="S1620" s="4" t="n">
        <v>0</v>
      </c>
      <c r="T1620" s="1" t="inlineStr">
        <is>
          <t>active</t>
        </is>
      </c>
      <c r="U1620" s="8" t="n"/>
      <c r="V1620" s="1" t="inlineStr">
        <is>
          <t>SIN PRECIO</t>
        </is>
      </c>
    </row>
    <row r="1621">
      <c r="A1621" s="1" t="inlineStr">
        <is>
          <t>6701d1c8792fe</t>
        </is>
      </c>
      <c r="B1621" s="1" t="inlineStr">
        <is>
          <t>BOLSO MM WANDER OFF WHITE</t>
        </is>
      </c>
      <c r="C1621" s="1" t="inlineStr">
        <is>
          <t>20cm de alto x 25cm de largo x 8cm de ancho</t>
        </is>
      </c>
      <c r="D1621" s="1" t="inlineStr">
        <is>
          <t>ZOEY</t>
        </is>
      </c>
      <c r="E1621" s="4">
        <f>COUNTIF('DETALLE CRONOLÓGICO'!$A$2:$A$4919,$A1621)</f>
        <v/>
      </c>
      <c r="F1621" s="4">
        <f>SUMIFS('DETALLE CRONOLÓGICO'!$I$2:$I$4919,'DETALLE CRONOLÓGICO'!$A$2:$A$4919,$A1621)</f>
        <v/>
      </c>
      <c r="G1621" s="1">
        <f>INDEX('DETALLE CRONOLÓGICO'!$D$2:$D$4919,MATCH($A1621,'DETALLE CRONOLÓGICO'!$A$2:$A$4919,0))</f>
        <v/>
      </c>
      <c r="H1621" s="1">
        <f>INDEX('DETALLE CRONOLÓGICO'!$D$2:$D$4919,MATCH($A1621,'DETALLE CRONOLÓGICO'!$A$2:$A$4919,0)+$E1621-1)</f>
        <v/>
      </c>
      <c r="I1621" s="5">
        <f>IFERROR(SUMIFS('DETALLE CRONOLÓGICO'!$L$2:$L$4919,'DETALLE CRONOLÓGICO'!$A$2:$A$4919,$A1621)/$F1621,"")</f>
        <v/>
      </c>
      <c r="J1621" s="6">
        <f>IFERROR(SUMIFS('DETALLE CRONOLÓGICO'!$K$2:$K$4919,'DETALLE CRONOLÓGICO'!$A$2:$A$4919,$A1621)/$E1621,"")</f>
        <v/>
      </c>
      <c r="K1621" s="6">
        <f>_xlfn.MINIFS('DETALLE CRONOLÓGICO'!$K$2:$K$4919,'DETALLE CRONOLÓGICO'!$A$2:$A$4919,$A1621)</f>
        <v/>
      </c>
      <c r="L1621" s="6">
        <f>_xlfn.MAXIFS('DETALLE CRONOLÓGICO'!$K$2:$K$4919,'DETALLE CRONOLÓGICO'!$A$2:$A$4919,$A1621)</f>
        <v/>
      </c>
      <c r="M1621" s="6">
        <f>INDEX('DETALLE CRONOLÓGICO'!$K$2:$K$4919,MATCH($A1621,'DETALLE CRONOLÓGICO'!$A$2:$A$4919,0)+$E1621-1)</f>
        <v/>
      </c>
      <c r="N1621" s="7">
        <f>IFERROR($M1621/INDEX('DETALLE CRONOLÓGICO'!$K$2:$K$4919,MATCH($A1621,'DETALLE CRONOLÓGICO'!$A$2:$A$4919,0))-1,"")</f>
        <v/>
      </c>
      <c r="O1621" s="6">
        <f>IFERROR($I1621*3,"")</f>
        <v/>
      </c>
      <c r="P1621" s="6">
        <f>IFERROR($I1621*3.5,"")</f>
        <v/>
      </c>
      <c r="Q1621" s="6">
        <f>IFERROR($I1621*4,"")</f>
        <v/>
      </c>
      <c r="R1621" s="6" t="n">
        <v>4373.31</v>
      </c>
      <c r="S1621" s="4" t="n">
        <v>3</v>
      </c>
      <c r="T1621" s="1" t="inlineStr">
        <is>
          <t>active</t>
        </is>
      </c>
      <c r="U1621" s="8" t="n"/>
      <c r="V1621" s="1" t="inlineStr">
        <is>
          <t>SIN PRECIO</t>
        </is>
      </c>
    </row>
    <row r="1622">
      <c r="A1622" s="1" t="inlineStr">
        <is>
          <t>6701d1d077e13</t>
        </is>
      </c>
      <c r="B1622" s="1" t="inlineStr">
        <is>
          <t>BOLSO MM HOBO OFF WHITE CHAROL</t>
        </is>
      </c>
      <c r="C1622" s="1" t="inlineStr">
        <is>
          <t>20.5cm de largo x 16cm de alto (sin incluir la correa) x 6cm de ancho</t>
        </is>
      </c>
      <c r="D1622" s="1" t="inlineStr">
        <is>
          <t>ZOEY</t>
        </is>
      </c>
      <c r="E1622" s="4">
        <f>COUNTIF('DETALLE CRONOLÓGICO'!$A$2:$A$4919,$A1622)</f>
        <v/>
      </c>
      <c r="F1622" s="4">
        <f>SUMIFS('DETALLE CRONOLÓGICO'!$I$2:$I$4919,'DETALLE CRONOLÓGICO'!$A$2:$A$4919,$A1622)</f>
        <v/>
      </c>
      <c r="G1622" s="1">
        <f>INDEX('DETALLE CRONOLÓGICO'!$D$2:$D$4919,MATCH($A1622,'DETALLE CRONOLÓGICO'!$A$2:$A$4919,0))</f>
        <v/>
      </c>
      <c r="H1622" s="1">
        <f>INDEX('DETALLE CRONOLÓGICO'!$D$2:$D$4919,MATCH($A1622,'DETALLE CRONOLÓGICO'!$A$2:$A$4919,0)+$E1622-1)</f>
        <v/>
      </c>
      <c r="I1622" s="5">
        <f>IFERROR(SUMIFS('DETALLE CRONOLÓGICO'!$L$2:$L$4919,'DETALLE CRONOLÓGICO'!$A$2:$A$4919,$A1622)/$F1622,"")</f>
        <v/>
      </c>
      <c r="J1622" s="6">
        <f>IFERROR(SUMIFS('DETALLE CRONOLÓGICO'!$K$2:$K$4919,'DETALLE CRONOLÓGICO'!$A$2:$A$4919,$A1622)/$E1622,"")</f>
        <v/>
      </c>
      <c r="K1622" s="6">
        <f>_xlfn.MINIFS('DETALLE CRONOLÓGICO'!$K$2:$K$4919,'DETALLE CRONOLÓGICO'!$A$2:$A$4919,$A1622)</f>
        <v/>
      </c>
      <c r="L1622" s="6">
        <f>_xlfn.MAXIFS('DETALLE CRONOLÓGICO'!$K$2:$K$4919,'DETALLE CRONOLÓGICO'!$A$2:$A$4919,$A1622)</f>
        <v/>
      </c>
      <c r="M1622" s="6">
        <f>INDEX('DETALLE CRONOLÓGICO'!$K$2:$K$4919,MATCH($A1622,'DETALLE CRONOLÓGICO'!$A$2:$A$4919,0)+$E1622-1)</f>
        <v/>
      </c>
      <c r="N1622" s="7">
        <f>IFERROR($M1622/INDEX('DETALLE CRONOLÓGICO'!$K$2:$K$4919,MATCH($A1622,'DETALLE CRONOLÓGICO'!$A$2:$A$4919,0))-1,"")</f>
        <v/>
      </c>
      <c r="O1622" s="6">
        <f>IFERROR($I1622*3,"")</f>
        <v/>
      </c>
      <c r="P1622" s="6">
        <f>IFERROR($I1622*3.5,"")</f>
        <v/>
      </c>
      <c r="Q1622" s="6">
        <f>IFERROR($I1622*4,"")</f>
        <v/>
      </c>
      <c r="R1622" s="6" t="n">
        <v>5826</v>
      </c>
      <c r="S1622" s="4" t="n">
        <v>1</v>
      </c>
      <c r="T1622" s="1" t="inlineStr">
        <is>
          <t>active</t>
        </is>
      </c>
      <c r="U1622" s="8" t="n"/>
      <c r="V1622" s="1" t="inlineStr">
        <is>
          <t>SIN PRECIO</t>
        </is>
      </c>
    </row>
    <row r="1623">
      <c r="A1623" s="1" t="inlineStr">
        <is>
          <t>6701d2474e1b0</t>
        </is>
      </c>
      <c r="B1623" s="1" t="inlineStr">
        <is>
          <t>BOLSO GC MARMONT BLACK</t>
        </is>
      </c>
      <c r="C1623" s="1" t="inlineStr">
        <is>
          <t>20cm de largo x 15cm de alto x 8cm de ancho</t>
        </is>
      </c>
      <c r="D1623" s="1" t="inlineStr">
        <is>
          <t>ZOEY</t>
        </is>
      </c>
      <c r="E1623" s="4">
        <f>COUNTIF('DETALLE CRONOLÓGICO'!$A$2:$A$4919,$A1623)</f>
        <v/>
      </c>
      <c r="F1623" s="4">
        <f>SUMIFS('DETALLE CRONOLÓGICO'!$I$2:$I$4919,'DETALLE CRONOLÓGICO'!$A$2:$A$4919,$A1623)</f>
        <v/>
      </c>
      <c r="G1623" s="1">
        <f>INDEX('DETALLE CRONOLÓGICO'!$D$2:$D$4919,MATCH($A1623,'DETALLE CRONOLÓGICO'!$A$2:$A$4919,0))</f>
        <v/>
      </c>
      <c r="H1623" s="1">
        <f>INDEX('DETALLE CRONOLÓGICO'!$D$2:$D$4919,MATCH($A1623,'DETALLE CRONOLÓGICO'!$A$2:$A$4919,0)+$E1623-1)</f>
        <v/>
      </c>
      <c r="I1623" s="5">
        <f>IFERROR(SUMIFS('DETALLE CRONOLÓGICO'!$L$2:$L$4919,'DETALLE CRONOLÓGICO'!$A$2:$A$4919,$A1623)/$F1623,"")</f>
        <v/>
      </c>
      <c r="J1623" s="6">
        <f>IFERROR(SUMIFS('DETALLE CRONOLÓGICO'!$K$2:$K$4919,'DETALLE CRONOLÓGICO'!$A$2:$A$4919,$A1623)/$E1623,"")</f>
        <v/>
      </c>
      <c r="K1623" s="6">
        <f>_xlfn.MINIFS('DETALLE CRONOLÓGICO'!$K$2:$K$4919,'DETALLE CRONOLÓGICO'!$A$2:$A$4919,$A1623)</f>
        <v/>
      </c>
      <c r="L1623" s="6">
        <f>_xlfn.MAXIFS('DETALLE CRONOLÓGICO'!$K$2:$K$4919,'DETALLE CRONOLÓGICO'!$A$2:$A$4919,$A1623)</f>
        <v/>
      </c>
      <c r="M1623" s="6">
        <f>INDEX('DETALLE CRONOLÓGICO'!$K$2:$K$4919,MATCH($A1623,'DETALLE CRONOLÓGICO'!$A$2:$A$4919,0)+$E1623-1)</f>
        <v/>
      </c>
      <c r="N1623" s="7">
        <f>IFERROR($M1623/INDEX('DETALLE CRONOLÓGICO'!$K$2:$K$4919,MATCH($A1623,'DETALLE CRONOLÓGICO'!$A$2:$A$4919,0))-1,"")</f>
        <v/>
      </c>
      <c r="O1623" s="6">
        <f>IFERROR($I1623*3,"")</f>
        <v/>
      </c>
      <c r="P1623" s="6">
        <f>IFERROR($I1623*3.5,"")</f>
        <v/>
      </c>
      <c r="Q1623" s="6">
        <f>IFERROR($I1623*4,"")</f>
        <v/>
      </c>
      <c r="R1623" s="6" t="n">
        <v>4373.31</v>
      </c>
      <c r="S1623" s="4" t="n">
        <v>4</v>
      </c>
      <c r="T1623" s="1" t="inlineStr">
        <is>
          <t>active</t>
        </is>
      </c>
      <c r="U1623" s="8" t="n"/>
      <c r="V1623" s="1" t="inlineStr">
        <is>
          <t>SIN PRECIO</t>
        </is>
      </c>
    </row>
    <row r="1624">
      <c r="A1624" s="1" t="inlineStr">
        <is>
          <t>6701d24a43166</t>
        </is>
      </c>
      <c r="B1624" s="1" t="inlineStr">
        <is>
          <t>BOLSO MM WANDER NUDE</t>
        </is>
      </c>
      <c r="C1624" s="1" t="inlineStr">
        <is>
          <t>20cm de alto x 25cm de largo x 8cm de ancho</t>
        </is>
      </c>
      <c r="D1624" s="1" t="inlineStr">
        <is>
          <t>ZOEY</t>
        </is>
      </c>
      <c r="E1624" s="4">
        <f>COUNTIF('DETALLE CRONOLÓGICO'!$A$2:$A$4919,$A1624)</f>
        <v/>
      </c>
      <c r="F1624" s="4">
        <f>SUMIFS('DETALLE CRONOLÓGICO'!$I$2:$I$4919,'DETALLE CRONOLÓGICO'!$A$2:$A$4919,$A1624)</f>
        <v/>
      </c>
      <c r="G1624" s="1">
        <f>INDEX('DETALLE CRONOLÓGICO'!$D$2:$D$4919,MATCH($A1624,'DETALLE CRONOLÓGICO'!$A$2:$A$4919,0))</f>
        <v/>
      </c>
      <c r="H1624" s="1">
        <f>INDEX('DETALLE CRONOLÓGICO'!$D$2:$D$4919,MATCH($A1624,'DETALLE CRONOLÓGICO'!$A$2:$A$4919,0)+$E1624-1)</f>
        <v/>
      </c>
      <c r="I1624" s="5">
        <f>IFERROR(SUMIFS('DETALLE CRONOLÓGICO'!$L$2:$L$4919,'DETALLE CRONOLÓGICO'!$A$2:$A$4919,$A1624)/$F1624,"")</f>
        <v/>
      </c>
      <c r="J1624" s="6">
        <f>IFERROR(SUMIFS('DETALLE CRONOLÓGICO'!$K$2:$K$4919,'DETALLE CRONOLÓGICO'!$A$2:$A$4919,$A1624)/$E1624,"")</f>
        <v/>
      </c>
      <c r="K1624" s="6">
        <f>_xlfn.MINIFS('DETALLE CRONOLÓGICO'!$K$2:$K$4919,'DETALLE CRONOLÓGICO'!$A$2:$A$4919,$A1624)</f>
        <v/>
      </c>
      <c r="L1624" s="6">
        <f>_xlfn.MAXIFS('DETALLE CRONOLÓGICO'!$K$2:$K$4919,'DETALLE CRONOLÓGICO'!$A$2:$A$4919,$A1624)</f>
        <v/>
      </c>
      <c r="M1624" s="6">
        <f>INDEX('DETALLE CRONOLÓGICO'!$K$2:$K$4919,MATCH($A1624,'DETALLE CRONOLÓGICO'!$A$2:$A$4919,0)+$E1624-1)</f>
        <v/>
      </c>
      <c r="N1624" s="7">
        <f>IFERROR($M1624/INDEX('DETALLE CRONOLÓGICO'!$K$2:$K$4919,MATCH($A1624,'DETALLE CRONOLÓGICO'!$A$2:$A$4919,0))-1,"")</f>
        <v/>
      </c>
      <c r="O1624" s="6">
        <f>IFERROR($I1624*3,"")</f>
        <v/>
      </c>
      <c r="P1624" s="6">
        <f>IFERROR($I1624*3.5,"")</f>
        <v/>
      </c>
      <c r="Q1624" s="6">
        <f>IFERROR($I1624*4,"")</f>
        <v/>
      </c>
      <c r="R1624" s="6" t="n">
        <v>4119</v>
      </c>
      <c r="S1624" s="4" t="n">
        <v>3</v>
      </c>
      <c r="T1624" s="1" t="inlineStr">
        <is>
          <t>active</t>
        </is>
      </c>
      <c r="U1624" s="8" t="n"/>
      <c r="V1624" s="1" t="inlineStr">
        <is>
          <t>SIN PRECIO</t>
        </is>
      </c>
    </row>
    <row r="1625">
      <c r="A1625" s="1" t="inlineStr">
        <is>
          <t>6701d24d46b00</t>
        </is>
      </c>
      <c r="B1625" s="1" t="inlineStr">
        <is>
          <t>BOLSO LV CAPUCINES</t>
        </is>
      </c>
      <c r="C1625" s="1" t="inlineStr">
        <is>
          <t>26.5cm de largo x 18cm de alto x 9cm de ancho</t>
        </is>
      </c>
      <c r="D1625" s="1" t="inlineStr">
        <is>
          <t>ZOEY</t>
        </is>
      </c>
      <c r="E1625" s="4">
        <f>COUNTIF('DETALLE CRONOLÓGICO'!$A$2:$A$4919,$A1625)</f>
        <v/>
      </c>
      <c r="F1625" s="4">
        <f>SUMIFS('DETALLE CRONOLÓGICO'!$I$2:$I$4919,'DETALLE CRONOLÓGICO'!$A$2:$A$4919,$A1625)</f>
        <v/>
      </c>
      <c r="G1625" s="1">
        <f>INDEX('DETALLE CRONOLÓGICO'!$D$2:$D$4919,MATCH($A1625,'DETALLE CRONOLÓGICO'!$A$2:$A$4919,0))</f>
        <v/>
      </c>
      <c r="H1625" s="1">
        <f>INDEX('DETALLE CRONOLÓGICO'!$D$2:$D$4919,MATCH($A1625,'DETALLE CRONOLÓGICO'!$A$2:$A$4919,0)+$E1625-1)</f>
        <v/>
      </c>
      <c r="I1625" s="5">
        <f>IFERROR(SUMIFS('DETALLE CRONOLÓGICO'!$L$2:$L$4919,'DETALLE CRONOLÓGICO'!$A$2:$A$4919,$A1625)/$F1625,"")</f>
        <v/>
      </c>
      <c r="J1625" s="6">
        <f>IFERROR(SUMIFS('DETALLE CRONOLÓGICO'!$K$2:$K$4919,'DETALLE CRONOLÓGICO'!$A$2:$A$4919,$A1625)/$E1625,"")</f>
        <v/>
      </c>
      <c r="K1625" s="6">
        <f>_xlfn.MINIFS('DETALLE CRONOLÓGICO'!$K$2:$K$4919,'DETALLE CRONOLÓGICO'!$A$2:$A$4919,$A1625)</f>
        <v/>
      </c>
      <c r="L1625" s="6">
        <f>_xlfn.MAXIFS('DETALLE CRONOLÓGICO'!$K$2:$K$4919,'DETALLE CRONOLÓGICO'!$A$2:$A$4919,$A1625)</f>
        <v/>
      </c>
      <c r="M1625" s="6">
        <f>INDEX('DETALLE CRONOLÓGICO'!$K$2:$K$4919,MATCH($A1625,'DETALLE CRONOLÓGICO'!$A$2:$A$4919,0)+$E1625-1)</f>
        <v/>
      </c>
      <c r="N1625" s="7">
        <f>IFERROR($M1625/INDEX('DETALLE CRONOLÓGICO'!$K$2:$K$4919,MATCH($A1625,'DETALLE CRONOLÓGICO'!$A$2:$A$4919,0))-1,"")</f>
        <v/>
      </c>
      <c r="O1625" s="6">
        <f>IFERROR($I1625*3,"")</f>
        <v/>
      </c>
      <c r="P1625" s="6">
        <f>IFERROR($I1625*3.5,"")</f>
        <v/>
      </c>
      <c r="Q1625" s="6">
        <f>IFERROR($I1625*4,"")</f>
        <v/>
      </c>
      <c r="R1625" s="6" t="n">
        <v>5199</v>
      </c>
      <c r="S1625" s="4" t="n">
        <v>3</v>
      </c>
      <c r="T1625" s="1" t="inlineStr">
        <is>
          <t>active</t>
        </is>
      </c>
      <c r="U1625" s="8" t="n"/>
      <c r="V1625" s="1" t="inlineStr">
        <is>
          <t>SIN PRECIO</t>
        </is>
      </c>
    </row>
    <row r="1626">
      <c r="A1626" s="1" t="inlineStr">
        <is>
          <t>6701d25048325</t>
        </is>
      </c>
      <c r="B1626" s="1" t="inlineStr">
        <is>
          <t>BOLSO LV LOOP</t>
        </is>
      </c>
      <c r="C1626" s="1" t="inlineStr">
        <is>
          <t>23.5cm de largo x 21cm de alto x 6cm de ancho</t>
        </is>
      </c>
      <c r="D1626" s="1" t="inlineStr">
        <is>
          <t>ZOEY</t>
        </is>
      </c>
      <c r="E1626" s="4">
        <f>COUNTIF('DETALLE CRONOLÓGICO'!$A$2:$A$4919,$A1626)</f>
        <v/>
      </c>
      <c r="F1626" s="4">
        <f>SUMIFS('DETALLE CRONOLÓGICO'!$I$2:$I$4919,'DETALLE CRONOLÓGICO'!$A$2:$A$4919,$A1626)</f>
        <v/>
      </c>
      <c r="G1626" s="1">
        <f>INDEX('DETALLE CRONOLÓGICO'!$D$2:$D$4919,MATCH($A1626,'DETALLE CRONOLÓGICO'!$A$2:$A$4919,0))</f>
        <v/>
      </c>
      <c r="H1626" s="1">
        <f>INDEX('DETALLE CRONOLÓGICO'!$D$2:$D$4919,MATCH($A1626,'DETALLE CRONOLÓGICO'!$A$2:$A$4919,0)+$E1626-1)</f>
        <v/>
      </c>
      <c r="I1626" s="5">
        <f>IFERROR(SUMIFS('DETALLE CRONOLÓGICO'!$L$2:$L$4919,'DETALLE CRONOLÓGICO'!$A$2:$A$4919,$A1626)/$F1626,"")</f>
        <v/>
      </c>
      <c r="J1626" s="6">
        <f>IFERROR(SUMIFS('DETALLE CRONOLÓGICO'!$K$2:$K$4919,'DETALLE CRONOLÓGICO'!$A$2:$A$4919,$A1626)/$E1626,"")</f>
        <v/>
      </c>
      <c r="K1626" s="6">
        <f>_xlfn.MINIFS('DETALLE CRONOLÓGICO'!$K$2:$K$4919,'DETALLE CRONOLÓGICO'!$A$2:$A$4919,$A1626)</f>
        <v/>
      </c>
      <c r="L1626" s="6">
        <f>_xlfn.MAXIFS('DETALLE CRONOLÓGICO'!$K$2:$K$4919,'DETALLE CRONOLÓGICO'!$A$2:$A$4919,$A1626)</f>
        <v/>
      </c>
      <c r="M1626" s="6">
        <f>INDEX('DETALLE CRONOLÓGICO'!$K$2:$K$4919,MATCH($A1626,'DETALLE CRONOLÓGICO'!$A$2:$A$4919,0)+$E1626-1)</f>
        <v/>
      </c>
      <c r="N1626" s="7">
        <f>IFERROR($M1626/INDEX('DETALLE CRONOLÓGICO'!$K$2:$K$4919,MATCH($A1626,'DETALLE CRONOLÓGICO'!$A$2:$A$4919,0))-1,"")</f>
        <v/>
      </c>
      <c r="O1626" s="6">
        <f>IFERROR($I1626*3,"")</f>
        <v/>
      </c>
      <c r="P1626" s="6">
        <f>IFERROR($I1626*3.5,"")</f>
        <v/>
      </c>
      <c r="Q1626" s="6">
        <f>IFERROR($I1626*4,"")</f>
        <v/>
      </c>
      <c r="R1626" s="6" t="n">
        <v>4060</v>
      </c>
      <c r="S1626" s="4" t="n">
        <v>8</v>
      </c>
      <c r="T1626" s="1" t="inlineStr">
        <is>
          <t>active</t>
        </is>
      </c>
      <c r="U1626" s="8" t="n"/>
      <c r="V1626" s="1" t="inlineStr">
        <is>
          <t>SIN PRECIO</t>
        </is>
      </c>
    </row>
    <row r="1627">
      <c r="A1627" s="1" t="inlineStr">
        <is>
          <t>6701d2514beab</t>
        </is>
      </c>
      <c r="B1627" s="1" t="inlineStr">
        <is>
          <t>BOLSO F FENDIGRAPHY</t>
        </is>
      </c>
      <c r="C1627" s="1" t="inlineStr">
        <is>
          <t>24cm de largo x 19cm de alto x 8cm de ancho</t>
        </is>
      </c>
      <c r="D1627" s="1" t="inlineStr">
        <is>
          <t>ZOEY</t>
        </is>
      </c>
      <c r="E1627" s="4">
        <f>COUNTIF('DETALLE CRONOLÓGICO'!$A$2:$A$4919,$A1627)</f>
        <v/>
      </c>
      <c r="F1627" s="4">
        <f>SUMIFS('DETALLE CRONOLÓGICO'!$I$2:$I$4919,'DETALLE CRONOLÓGICO'!$A$2:$A$4919,$A1627)</f>
        <v/>
      </c>
      <c r="G1627" s="1">
        <f>INDEX('DETALLE CRONOLÓGICO'!$D$2:$D$4919,MATCH($A1627,'DETALLE CRONOLÓGICO'!$A$2:$A$4919,0))</f>
        <v/>
      </c>
      <c r="H1627" s="1">
        <f>INDEX('DETALLE CRONOLÓGICO'!$D$2:$D$4919,MATCH($A1627,'DETALLE CRONOLÓGICO'!$A$2:$A$4919,0)+$E1627-1)</f>
        <v/>
      </c>
      <c r="I1627" s="5">
        <f>IFERROR(SUMIFS('DETALLE CRONOLÓGICO'!$L$2:$L$4919,'DETALLE CRONOLÓGICO'!$A$2:$A$4919,$A1627)/$F1627,"")</f>
        <v/>
      </c>
      <c r="J1627" s="6">
        <f>IFERROR(SUMIFS('DETALLE CRONOLÓGICO'!$K$2:$K$4919,'DETALLE CRONOLÓGICO'!$A$2:$A$4919,$A1627)/$E1627,"")</f>
        <v/>
      </c>
      <c r="K1627" s="6">
        <f>_xlfn.MINIFS('DETALLE CRONOLÓGICO'!$K$2:$K$4919,'DETALLE CRONOLÓGICO'!$A$2:$A$4919,$A1627)</f>
        <v/>
      </c>
      <c r="L1627" s="6">
        <f>_xlfn.MAXIFS('DETALLE CRONOLÓGICO'!$K$2:$K$4919,'DETALLE CRONOLÓGICO'!$A$2:$A$4919,$A1627)</f>
        <v/>
      </c>
      <c r="M1627" s="6">
        <f>INDEX('DETALLE CRONOLÓGICO'!$K$2:$K$4919,MATCH($A1627,'DETALLE CRONOLÓGICO'!$A$2:$A$4919,0)+$E1627-1)</f>
        <v/>
      </c>
      <c r="N1627" s="7">
        <f>IFERROR($M1627/INDEX('DETALLE CRONOLÓGICO'!$K$2:$K$4919,MATCH($A1627,'DETALLE CRONOLÓGICO'!$A$2:$A$4919,0))-1,"")</f>
        <v/>
      </c>
      <c r="O1627" s="6">
        <f>IFERROR($I1627*3,"")</f>
        <v/>
      </c>
      <c r="P1627" s="6">
        <f>IFERROR($I1627*3.5,"")</f>
        <v/>
      </c>
      <c r="Q1627" s="6">
        <f>IFERROR($I1627*4,"")</f>
        <v/>
      </c>
      <c r="R1627" s="6" t="n">
        <v>5826</v>
      </c>
      <c r="S1627" s="4" t="n">
        <v>0</v>
      </c>
      <c r="T1627" s="1" t="inlineStr">
        <is>
          <t>active</t>
        </is>
      </c>
      <c r="U1627" s="8" t="n"/>
      <c r="V1627" s="1" t="inlineStr">
        <is>
          <t>SIN PRECIO</t>
        </is>
      </c>
    </row>
    <row r="1628">
      <c r="A1628" s="1" t="inlineStr">
        <is>
          <t>6701d2533c12e</t>
        </is>
      </c>
      <c r="B1628" s="1" t="inlineStr">
        <is>
          <t>BOLSO PR BLACK RE-EDITION 2000</t>
        </is>
      </c>
      <c r="C1628" s="1" t="inlineStr">
        <is>
          <t>21cm de largo x 15cm de alto x 6cm de ancho</t>
        </is>
      </c>
      <c r="D1628" s="1" t="inlineStr">
        <is>
          <t>ZOEY</t>
        </is>
      </c>
      <c r="E1628" s="4">
        <f>COUNTIF('DETALLE CRONOLÓGICO'!$A$2:$A$4919,$A1628)</f>
        <v/>
      </c>
      <c r="F1628" s="4">
        <f>SUMIFS('DETALLE CRONOLÓGICO'!$I$2:$I$4919,'DETALLE CRONOLÓGICO'!$A$2:$A$4919,$A1628)</f>
        <v/>
      </c>
      <c r="G1628" s="1">
        <f>INDEX('DETALLE CRONOLÓGICO'!$D$2:$D$4919,MATCH($A1628,'DETALLE CRONOLÓGICO'!$A$2:$A$4919,0))</f>
        <v/>
      </c>
      <c r="H1628" s="1">
        <f>INDEX('DETALLE CRONOLÓGICO'!$D$2:$D$4919,MATCH($A1628,'DETALLE CRONOLÓGICO'!$A$2:$A$4919,0)+$E1628-1)</f>
        <v/>
      </c>
      <c r="I1628" s="5">
        <f>IFERROR(SUMIFS('DETALLE CRONOLÓGICO'!$L$2:$L$4919,'DETALLE CRONOLÓGICO'!$A$2:$A$4919,$A1628)/$F1628,"")</f>
        <v/>
      </c>
      <c r="J1628" s="6">
        <f>IFERROR(SUMIFS('DETALLE CRONOLÓGICO'!$K$2:$K$4919,'DETALLE CRONOLÓGICO'!$A$2:$A$4919,$A1628)/$E1628,"")</f>
        <v/>
      </c>
      <c r="K1628" s="6">
        <f>_xlfn.MINIFS('DETALLE CRONOLÓGICO'!$K$2:$K$4919,'DETALLE CRONOLÓGICO'!$A$2:$A$4919,$A1628)</f>
        <v/>
      </c>
      <c r="L1628" s="6">
        <f>_xlfn.MAXIFS('DETALLE CRONOLÓGICO'!$K$2:$K$4919,'DETALLE CRONOLÓGICO'!$A$2:$A$4919,$A1628)</f>
        <v/>
      </c>
      <c r="M1628" s="6">
        <f>INDEX('DETALLE CRONOLÓGICO'!$K$2:$K$4919,MATCH($A1628,'DETALLE CRONOLÓGICO'!$A$2:$A$4919,0)+$E1628-1)</f>
        <v/>
      </c>
      <c r="N1628" s="7">
        <f>IFERROR($M1628/INDEX('DETALLE CRONOLÓGICO'!$K$2:$K$4919,MATCH($A1628,'DETALLE CRONOLÓGICO'!$A$2:$A$4919,0))-1,"")</f>
        <v/>
      </c>
      <c r="O1628" s="6">
        <f>IFERROR($I1628*3,"")</f>
        <v/>
      </c>
      <c r="P1628" s="6">
        <f>IFERROR($I1628*3.5,"")</f>
        <v/>
      </c>
      <c r="Q1628" s="6">
        <f>IFERROR($I1628*4,"")</f>
        <v/>
      </c>
      <c r="R1628" s="6" t="n">
        <v>4139</v>
      </c>
      <c r="S1628" s="4" t="n">
        <v>1</v>
      </c>
      <c r="T1628" s="1" t="inlineStr">
        <is>
          <t>active</t>
        </is>
      </c>
      <c r="U1628" s="8" t="n"/>
      <c r="V1628" s="1" t="inlineStr">
        <is>
          <t>SIN PRECIO</t>
        </is>
      </c>
    </row>
    <row r="1629">
      <c r="A1629" s="1" t="inlineStr">
        <is>
          <t>6701d2559565d</t>
        </is>
      </c>
      <c r="B1629" s="1" t="inlineStr">
        <is>
          <t>BOLSO LV DAUPHINE</t>
        </is>
      </c>
      <c r="C1629" s="1" t="inlineStr">
        <is>
          <t>25.3cm de largo x 19.5cm de alto x 9cm de ancho</t>
        </is>
      </c>
      <c r="D1629" s="1" t="inlineStr">
        <is>
          <t>ZOEY</t>
        </is>
      </c>
      <c r="E1629" s="4">
        <f>COUNTIF('DETALLE CRONOLÓGICO'!$A$2:$A$4919,$A1629)</f>
        <v/>
      </c>
      <c r="F1629" s="4">
        <f>SUMIFS('DETALLE CRONOLÓGICO'!$I$2:$I$4919,'DETALLE CRONOLÓGICO'!$A$2:$A$4919,$A1629)</f>
        <v/>
      </c>
      <c r="G1629" s="1">
        <f>INDEX('DETALLE CRONOLÓGICO'!$D$2:$D$4919,MATCH($A1629,'DETALLE CRONOLÓGICO'!$A$2:$A$4919,0))</f>
        <v/>
      </c>
      <c r="H1629" s="1">
        <f>INDEX('DETALLE CRONOLÓGICO'!$D$2:$D$4919,MATCH($A1629,'DETALLE CRONOLÓGICO'!$A$2:$A$4919,0)+$E1629-1)</f>
        <v/>
      </c>
      <c r="I1629" s="5">
        <f>IFERROR(SUMIFS('DETALLE CRONOLÓGICO'!$L$2:$L$4919,'DETALLE CRONOLÓGICO'!$A$2:$A$4919,$A1629)/$F1629,"")</f>
        <v/>
      </c>
      <c r="J1629" s="6">
        <f>IFERROR(SUMIFS('DETALLE CRONOLÓGICO'!$K$2:$K$4919,'DETALLE CRONOLÓGICO'!$A$2:$A$4919,$A1629)/$E1629,"")</f>
        <v/>
      </c>
      <c r="K1629" s="6">
        <f>_xlfn.MINIFS('DETALLE CRONOLÓGICO'!$K$2:$K$4919,'DETALLE CRONOLÓGICO'!$A$2:$A$4919,$A1629)</f>
        <v/>
      </c>
      <c r="L1629" s="6">
        <f>_xlfn.MAXIFS('DETALLE CRONOLÓGICO'!$K$2:$K$4919,'DETALLE CRONOLÓGICO'!$A$2:$A$4919,$A1629)</f>
        <v/>
      </c>
      <c r="M1629" s="6">
        <f>INDEX('DETALLE CRONOLÓGICO'!$K$2:$K$4919,MATCH($A1629,'DETALLE CRONOLÓGICO'!$A$2:$A$4919,0)+$E1629-1)</f>
        <v/>
      </c>
      <c r="N1629" s="7">
        <f>IFERROR($M1629/INDEX('DETALLE CRONOLÓGICO'!$K$2:$K$4919,MATCH($A1629,'DETALLE CRONOLÓGICO'!$A$2:$A$4919,0))-1,"")</f>
        <v/>
      </c>
      <c r="O1629" s="6">
        <f>IFERROR($I1629*3,"")</f>
        <v/>
      </c>
      <c r="P1629" s="6">
        <f>IFERROR($I1629*3.5,"")</f>
        <v/>
      </c>
      <c r="Q1629" s="6">
        <f>IFERROR($I1629*4,"")</f>
        <v/>
      </c>
      <c r="R1629" s="6" t="n">
        <v>5839</v>
      </c>
      <c r="S1629" s="4" t="n">
        <v>2</v>
      </c>
      <c r="T1629" s="1" t="inlineStr">
        <is>
          <t>active</t>
        </is>
      </c>
      <c r="U1629" s="8" t="n"/>
      <c r="V1629" s="1" t="inlineStr">
        <is>
          <t>SIN PRECIO</t>
        </is>
      </c>
    </row>
    <row r="1630">
      <c r="A1630" s="1" t="inlineStr">
        <is>
          <t>6701d25e998f7</t>
        </is>
      </c>
      <c r="B1630" s="1" t="inlineStr">
        <is>
          <t>SANDALIAS H BROWN</t>
        </is>
      </c>
      <c r="C1630" s="1" t="inlineStr">
        <is>
          <t>40 (25cm)</t>
        </is>
      </c>
      <c r="D1630" s="1" t="inlineStr">
        <is>
          <t>CYNTHIA</t>
        </is>
      </c>
      <c r="E1630" s="4">
        <f>COUNTIF('DETALLE CRONOLÓGICO'!$A$2:$A$4919,$A1630)</f>
        <v/>
      </c>
      <c r="F1630" s="4">
        <f>SUMIFS('DETALLE CRONOLÓGICO'!$I$2:$I$4919,'DETALLE CRONOLÓGICO'!$A$2:$A$4919,$A1630)</f>
        <v/>
      </c>
      <c r="G1630" s="1">
        <f>INDEX('DETALLE CRONOLÓGICO'!$D$2:$D$4919,MATCH($A1630,'DETALLE CRONOLÓGICO'!$A$2:$A$4919,0))</f>
        <v/>
      </c>
      <c r="H1630" s="1">
        <f>INDEX('DETALLE CRONOLÓGICO'!$D$2:$D$4919,MATCH($A1630,'DETALLE CRONOLÓGICO'!$A$2:$A$4919,0)+$E1630-1)</f>
        <v/>
      </c>
      <c r="I1630" s="5">
        <f>IFERROR(SUMIFS('DETALLE CRONOLÓGICO'!$L$2:$L$4919,'DETALLE CRONOLÓGICO'!$A$2:$A$4919,$A1630)/$F1630,"")</f>
        <v/>
      </c>
      <c r="J1630" s="6">
        <f>IFERROR(SUMIFS('DETALLE CRONOLÓGICO'!$K$2:$K$4919,'DETALLE CRONOLÓGICO'!$A$2:$A$4919,$A1630)/$E1630,"")</f>
        <v/>
      </c>
      <c r="K1630" s="6">
        <f>_xlfn.MINIFS('DETALLE CRONOLÓGICO'!$K$2:$K$4919,'DETALLE CRONOLÓGICO'!$A$2:$A$4919,$A1630)</f>
        <v/>
      </c>
      <c r="L1630" s="6">
        <f>_xlfn.MAXIFS('DETALLE CRONOLÓGICO'!$K$2:$K$4919,'DETALLE CRONOLÓGICO'!$A$2:$A$4919,$A1630)</f>
        <v/>
      </c>
      <c r="M1630" s="6">
        <f>INDEX('DETALLE CRONOLÓGICO'!$K$2:$K$4919,MATCH($A1630,'DETALLE CRONOLÓGICO'!$A$2:$A$4919,0)+$E1630-1)</f>
        <v/>
      </c>
      <c r="N1630" s="7">
        <f>IFERROR($M1630/INDEX('DETALLE CRONOLÓGICO'!$K$2:$K$4919,MATCH($A1630,'DETALLE CRONOLÓGICO'!$A$2:$A$4919,0))-1,"")</f>
        <v/>
      </c>
      <c r="O1630" s="6">
        <f>IFERROR($I1630*3,"")</f>
        <v/>
      </c>
      <c r="P1630" s="6">
        <f>IFERROR($I1630*3.5,"")</f>
        <v/>
      </c>
      <c r="Q1630" s="6">
        <f>IFERROR($I1630*4,"")</f>
        <v/>
      </c>
      <c r="R1630" s="6" t="n">
        <v>3189</v>
      </c>
      <c r="S1630" s="4" t="n">
        <v>4</v>
      </c>
      <c r="T1630" s="1" t="inlineStr">
        <is>
          <t>active</t>
        </is>
      </c>
      <c r="U1630" s="8" t="n"/>
      <c r="V1630" s="1" t="inlineStr">
        <is>
          <t>SIN PRECIO</t>
        </is>
      </c>
    </row>
    <row r="1631">
      <c r="A1631" s="1" t="inlineStr">
        <is>
          <t>6701d25f548f5</t>
        </is>
      </c>
      <c r="B1631" s="1" t="inlineStr">
        <is>
          <t>SANDALIAS H BLUE</t>
        </is>
      </c>
      <c r="C1631" s="1" t="inlineStr">
        <is>
          <t>38 (24cm)</t>
        </is>
      </c>
      <c r="D1631" s="1" t="inlineStr">
        <is>
          <t>CYNTHIA</t>
        </is>
      </c>
      <c r="E1631" s="4">
        <f>COUNTIF('DETALLE CRONOLÓGICO'!$A$2:$A$4919,$A1631)</f>
        <v/>
      </c>
      <c r="F1631" s="4">
        <f>SUMIFS('DETALLE CRONOLÓGICO'!$I$2:$I$4919,'DETALLE CRONOLÓGICO'!$A$2:$A$4919,$A1631)</f>
        <v/>
      </c>
      <c r="G1631" s="1">
        <f>INDEX('DETALLE CRONOLÓGICO'!$D$2:$D$4919,MATCH($A1631,'DETALLE CRONOLÓGICO'!$A$2:$A$4919,0))</f>
        <v/>
      </c>
      <c r="H1631" s="1">
        <f>INDEX('DETALLE CRONOLÓGICO'!$D$2:$D$4919,MATCH($A1631,'DETALLE CRONOLÓGICO'!$A$2:$A$4919,0)+$E1631-1)</f>
        <v/>
      </c>
      <c r="I1631" s="5">
        <f>IFERROR(SUMIFS('DETALLE CRONOLÓGICO'!$L$2:$L$4919,'DETALLE CRONOLÓGICO'!$A$2:$A$4919,$A1631)/$F1631,"")</f>
        <v/>
      </c>
      <c r="J1631" s="6">
        <f>IFERROR(SUMIFS('DETALLE CRONOLÓGICO'!$K$2:$K$4919,'DETALLE CRONOLÓGICO'!$A$2:$A$4919,$A1631)/$E1631,"")</f>
        <v/>
      </c>
      <c r="K1631" s="6">
        <f>_xlfn.MINIFS('DETALLE CRONOLÓGICO'!$K$2:$K$4919,'DETALLE CRONOLÓGICO'!$A$2:$A$4919,$A1631)</f>
        <v/>
      </c>
      <c r="L1631" s="6">
        <f>_xlfn.MAXIFS('DETALLE CRONOLÓGICO'!$K$2:$K$4919,'DETALLE CRONOLÓGICO'!$A$2:$A$4919,$A1631)</f>
        <v/>
      </c>
      <c r="M1631" s="6">
        <f>INDEX('DETALLE CRONOLÓGICO'!$K$2:$K$4919,MATCH($A1631,'DETALLE CRONOLÓGICO'!$A$2:$A$4919,0)+$E1631-1)</f>
        <v/>
      </c>
      <c r="N1631" s="7">
        <f>IFERROR($M1631/INDEX('DETALLE CRONOLÓGICO'!$K$2:$K$4919,MATCH($A1631,'DETALLE CRONOLÓGICO'!$A$2:$A$4919,0))-1,"")</f>
        <v/>
      </c>
      <c r="O1631" s="6">
        <f>IFERROR($I1631*3,"")</f>
        <v/>
      </c>
      <c r="P1631" s="6">
        <f>IFERROR($I1631*3.5,"")</f>
        <v/>
      </c>
      <c r="Q1631" s="6">
        <f>IFERROR($I1631*4,"")</f>
        <v/>
      </c>
      <c r="R1631" s="6" t="n">
        <v>3189</v>
      </c>
      <c r="S1631" s="4" t="n">
        <v>1</v>
      </c>
      <c r="T1631" s="1" t="inlineStr">
        <is>
          <t>active</t>
        </is>
      </c>
      <c r="U1631" s="8" t="n"/>
      <c r="V1631" s="1" t="inlineStr">
        <is>
          <t>SIN PRECIO</t>
        </is>
      </c>
    </row>
    <row r="1632">
      <c r="A1632" s="1" t="inlineStr">
        <is>
          <t>6701d26083b55</t>
        </is>
      </c>
      <c r="B1632" s="1" t="inlineStr">
        <is>
          <t>SANDALIAS H WHITE</t>
        </is>
      </c>
      <c r="C1632" s="1" t="inlineStr">
        <is>
          <t>37 (23 cm)</t>
        </is>
      </c>
      <c r="D1632" s="1" t="inlineStr">
        <is>
          <t>CYNTHIA</t>
        </is>
      </c>
      <c r="E1632" s="4">
        <f>COUNTIF('DETALLE CRONOLÓGICO'!$A$2:$A$4919,$A1632)</f>
        <v/>
      </c>
      <c r="F1632" s="4">
        <f>SUMIFS('DETALLE CRONOLÓGICO'!$I$2:$I$4919,'DETALLE CRONOLÓGICO'!$A$2:$A$4919,$A1632)</f>
        <v/>
      </c>
      <c r="G1632" s="1">
        <f>INDEX('DETALLE CRONOLÓGICO'!$D$2:$D$4919,MATCH($A1632,'DETALLE CRONOLÓGICO'!$A$2:$A$4919,0))</f>
        <v/>
      </c>
      <c r="H1632" s="1">
        <f>INDEX('DETALLE CRONOLÓGICO'!$D$2:$D$4919,MATCH($A1632,'DETALLE CRONOLÓGICO'!$A$2:$A$4919,0)+$E1632-1)</f>
        <v/>
      </c>
      <c r="I1632" s="5">
        <f>IFERROR(SUMIFS('DETALLE CRONOLÓGICO'!$L$2:$L$4919,'DETALLE CRONOLÓGICO'!$A$2:$A$4919,$A1632)/$F1632,"")</f>
        <v/>
      </c>
      <c r="J1632" s="6">
        <f>IFERROR(SUMIFS('DETALLE CRONOLÓGICO'!$K$2:$K$4919,'DETALLE CRONOLÓGICO'!$A$2:$A$4919,$A1632)/$E1632,"")</f>
        <v/>
      </c>
      <c r="K1632" s="6">
        <f>_xlfn.MINIFS('DETALLE CRONOLÓGICO'!$K$2:$K$4919,'DETALLE CRONOLÓGICO'!$A$2:$A$4919,$A1632)</f>
        <v/>
      </c>
      <c r="L1632" s="6">
        <f>_xlfn.MAXIFS('DETALLE CRONOLÓGICO'!$K$2:$K$4919,'DETALLE CRONOLÓGICO'!$A$2:$A$4919,$A1632)</f>
        <v/>
      </c>
      <c r="M1632" s="6">
        <f>INDEX('DETALLE CRONOLÓGICO'!$K$2:$K$4919,MATCH($A1632,'DETALLE CRONOLÓGICO'!$A$2:$A$4919,0)+$E1632-1)</f>
        <v/>
      </c>
      <c r="N1632" s="7">
        <f>IFERROR($M1632/INDEX('DETALLE CRONOLÓGICO'!$K$2:$K$4919,MATCH($A1632,'DETALLE CRONOLÓGICO'!$A$2:$A$4919,0))-1,"")</f>
        <v/>
      </c>
      <c r="O1632" s="6">
        <f>IFERROR($I1632*3,"")</f>
        <v/>
      </c>
      <c r="P1632" s="6">
        <f>IFERROR($I1632*3.5,"")</f>
        <v/>
      </c>
      <c r="Q1632" s="6">
        <f>IFERROR($I1632*4,"")</f>
        <v/>
      </c>
      <c r="R1632" s="6" t="n">
        <v>3189</v>
      </c>
      <c r="S1632" s="4" t="n">
        <v>3</v>
      </c>
      <c r="T1632" s="1" t="inlineStr">
        <is>
          <t>active</t>
        </is>
      </c>
      <c r="U1632" s="8" t="n"/>
      <c r="V1632" s="1" t="inlineStr">
        <is>
          <t>SIN PRECIO</t>
        </is>
      </c>
    </row>
    <row r="1633">
      <c r="A1633" s="1" t="inlineStr">
        <is>
          <t>6701d26098e78</t>
        </is>
      </c>
      <c r="B1633" s="1" t="inlineStr">
        <is>
          <t>SANDALIAS H BLACK</t>
        </is>
      </c>
      <c r="C1633" s="1" t="inlineStr">
        <is>
          <t>40 (25cm)</t>
        </is>
      </c>
      <c r="D1633" s="1" t="inlineStr">
        <is>
          <t>CYNTHIA</t>
        </is>
      </c>
      <c r="E1633" s="4">
        <f>COUNTIF('DETALLE CRONOLÓGICO'!$A$2:$A$4919,$A1633)</f>
        <v/>
      </c>
      <c r="F1633" s="4">
        <f>SUMIFS('DETALLE CRONOLÓGICO'!$I$2:$I$4919,'DETALLE CRONOLÓGICO'!$A$2:$A$4919,$A1633)</f>
        <v/>
      </c>
      <c r="G1633" s="1">
        <f>INDEX('DETALLE CRONOLÓGICO'!$D$2:$D$4919,MATCH($A1633,'DETALLE CRONOLÓGICO'!$A$2:$A$4919,0))</f>
        <v/>
      </c>
      <c r="H1633" s="1">
        <f>INDEX('DETALLE CRONOLÓGICO'!$D$2:$D$4919,MATCH($A1633,'DETALLE CRONOLÓGICO'!$A$2:$A$4919,0)+$E1633-1)</f>
        <v/>
      </c>
      <c r="I1633" s="5">
        <f>IFERROR(SUMIFS('DETALLE CRONOLÓGICO'!$L$2:$L$4919,'DETALLE CRONOLÓGICO'!$A$2:$A$4919,$A1633)/$F1633,"")</f>
        <v/>
      </c>
      <c r="J1633" s="6">
        <f>IFERROR(SUMIFS('DETALLE CRONOLÓGICO'!$K$2:$K$4919,'DETALLE CRONOLÓGICO'!$A$2:$A$4919,$A1633)/$E1633,"")</f>
        <v/>
      </c>
      <c r="K1633" s="6">
        <f>_xlfn.MINIFS('DETALLE CRONOLÓGICO'!$K$2:$K$4919,'DETALLE CRONOLÓGICO'!$A$2:$A$4919,$A1633)</f>
        <v/>
      </c>
      <c r="L1633" s="6">
        <f>_xlfn.MAXIFS('DETALLE CRONOLÓGICO'!$K$2:$K$4919,'DETALLE CRONOLÓGICO'!$A$2:$A$4919,$A1633)</f>
        <v/>
      </c>
      <c r="M1633" s="6">
        <f>INDEX('DETALLE CRONOLÓGICO'!$K$2:$K$4919,MATCH($A1633,'DETALLE CRONOLÓGICO'!$A$2:$A$4919,0)+$E1633-1)</f>
        <v/>
      </c>
      <c r="N1633" s="7">
        <f>IFERROR($M1633/INDEX('DETALLE CRONOLÓGICO'!$K$2:$K$4919,MATCH($A1633,'DETALLE CRONOLÓGICO'!$A$2:$A$4919,0))-1,"")</f>
        <v/>
      </c>
      <c r="O1633" s="6">
        <f>IFERROR($I1633*3,"")</f>
        <v/>
      </c>
      <c r="P1633" s="6">
        <f>IFERROR($I1633*3.5,"")</f>
        <v/>
      </c>
      <c r="Q1633" s="6">
        <f>IFERROR($I1633*4,"")</f>
        <v/>
      </c>
      <c r="R1633" s="6" t="n">
        <v>3649</v>
      </c>
      <c r="S1633" s="4" t="n">
        <v>5</v>
      </c>
      <c r="T1633" s="1" t="inlineStr">
        <is>
          <t>active</t>
        </is>
      </c>
      <c r="U1633" s="8" t="n"/>
      <c r="V1633" s="1" t="inlineStr">
        <is>
          <t>SIN PRECIO</t>
        </is>
      </c>
    </row>
    <row r="1634">
      <c r="A1634" s="1" t="inlineStr">
        <is>
          <t>6701d2610aff8</t>
        </is>
      </c>
      <c r="B1634" s="1" t="inlineStr">
        <is>
          <t>BOLSO G BROWN</t>
        </is>
      </c>
      <c r="C1634" s="1" t="inlineStr">
        <is>
          <t>54cm de largo x 29.8cm de alto</t>
        </is>
      </c>
      <c r="D1634" s="1" t="inlineStr">
        <is>
          <t>CYNTHIA</t>
        </is>
      </c>
      <c r="E1634" s="4">
        <f>COUNTIF('DETALLE CRONOLÓGICO'!$A$2:$A$4919,$A1634)</f>
        <v/>
      </c>
      <c r="F1634" s="4">
        <f>SUMIFS('DETALLE CRONOLÓGICO'!$I$2:$I$4919,'DETALLE CRONOLÓGICO'!$A$2:$A$4919,$A1634)</f>
        <v/>
      </c>
      <c r="G1634" s="1">
        <f>INDEX('DETALLE CRONOLÓGICO'!$D$2:$D$4919,MATCH($A1634,'DETALLE CRONOLÓGICO'!$A$2:$A$4919,0))</f>
        <v/>
      </c>
      <c r="H1634" s="1">
        <f>INDEX('DETALLE CRONOLÓGICO'!$D$2:$D$4919,MATCH($A1634,'DETALLE CRONOLÓGICO'!$A$2:$A$4919,0)+$E1634-1)</f>
        <v/>
      </c>
      <c r="I1634" s="5">
        <f>IFERROR(SUMIFS('DETALLE CRONOLÓGICO'!$L$2:$L$4919,'DETALLE CRONOLÓGICO'!$A$2:$A$4919,$A1634)/$F1634,"")</f>
        <v/>
      </c>
      <c r="J1634" s="6">
        <f>IFERROR(SUMIFS('DETALLE CRONOLÓGICO'!$K$2:$K$4919,'DETALLE CRONOLÓGICO'!$A$2:$A$4919,$A1634)/$E1634,"")</f>
        <v/>
      </c>
      <c r="K1634" s="6">
        <f>_xlfn.MINIFS('DETALLE CRONOLÓGICO'!$K$2:$K$4919,'DETALLE CRONOLÓGICO'!$A$2:$A$4919,$A1634)</f>
        <v/>
      </c>
      <c r="L1634" s="6">
        <f>_xlfn.MAXIFS('DETALLE CRONOLÓGICO'!$K$2:$K$4919,'DETALLE CRONOLÓGICO'!$A$2:$A$4919,$A1634)</f>
        <v/>
      </c>
      <c r="M1634" s="6">
        <f>INDEX('DETALLE CRONOLÓGICO'!$K$2:$K$4919,MATCH($A1634,'DETALLE CRONOLÓGICO'!$A$2:$A$4919,0)+$E1634-1)</f>
        <v/>
      </c>
      <c r="N1634" s="7">
        <f>IFERROR($M1634/INDEX('DETALLE CRONOLÓGICO'!$K$2:$K$4919,MATCH($A1634,'DETALLE CRONOLÓGICO'!$A$2:$A$4919,0))-1,"")</f>
        <v/>
      </c>
      <c r="O1634" s="6">
        <f>IFERROR($I1634*3,"")</f>
        <v/>
      </c>
      <c r="P1634" s="6">
        <f>IFERROR($I1634*3.5,"")</f>
        <v/>
      </c>
      <c r="Q1634" s="6">
        <f>IFERROR($I1634*4,"")</f>
        <v/>
      </c>
      <c r="R1634" s="6" t="n">
        <v>5200</v>
      </c>
      <c r="S1634" s="4" t="n">
        <v>6</v>
      </c>
      <c r="T1634" s="1" t="inlineStr">
        <is>
          <t>active</t>
        </is>
      </c>
      <c r="U1634" s="8" t="n"/>
      <c r="V1634" s="1" t="inlineStr">
        <is>
          <t>SIN PRECIO</t>
        </is>
      </c>
    </row>
    <row r="1635">
      <c r="A1635" s="1" t="inlineStr">
        <is>
          <t>6701d2613fe66</t>
        </is>
      </c>
      <c r="B1635" s="1" t="inlineStr">
        <is>
          <t>BOLSO G DARK BLUE</t>
        </is>
      </c>
      <c r="C1635" s="1" t="inlineStr">
        <is>
          <t>54cm de largo x 29.8cm de alto</t>
        </is>
      </c>
      <c r="D1635" s="1" t="inlineStr">
        <is>
          <t>CYNTHIA</t>
        </is>
      </c>
      <c r="E1635" s="4">
        <f>COUNTIF('DETALLE CRONOLÓGICO'!$A$2:$A$4919,$A1635)</f>
        <v/>
      </c>
      <c r="F1635" s="4">
        <f>SUMIFS('DETALLE CRONOLÓGICO'!$I$2:$I$4919,'DETALLE CRONOLÓGICO'!$A$2:$A$4919,$A1635)</f>
        <v/>
      </c>
      <c r="G1635" s="1">
        <f>INDEX('DETALLE CRONOLÓGICO'!$D$2:$D$4919,MATCH($A1635,'DETALLE CRONOLÓGICO'!$A$2:$A$4919,0))</f>
        <v/>
      </c>
      <c r="H1635" s="1">
        <f>INDEX('DETALLE CRONOLÓGICO'!$D$2:$D$4919,MATCH($A1635,'DETALLE CRONOLÓGICO'!$A$2:$A$4919,0)+$E1635-1)</f>
        <v/>
      </c>
      <c r="I1635" s="5">
        <f>IFERROR(SUMIFS('DETALLE CRONOLÓGICO'!$L$2:$L$4919,'DETALLE CRONOLÓGICO'!$A$2:$A$4919,$A1635)/$F1635,"")</f>
        <v/>
      </c>
      <c r="J1635" s="6">
        <f>IFERROR(SUMIFS('DETALLE CRONOLÓGICO'!$K$2:$K$4919,'DETALLE CRONOLÓGICO'!$A$2:$A$4919,$A1635)/$E1635,"")</f>
        <v/>
      </c>
      <c r="K1635" s="6">
        <f>_xlfn.MINIFS('DETALLE CRONOLÓGICO'!$K$2:$K$4919,'DETALLE CRONOLÓGICO'!$A$2:$A$4919,$A1635)</f>
        <v/>
      </c>
      <c r="L1635" s="6">
        <f>_xlfn.MAXIFS('DETALLE CRONOLÓGICO'!$K$2:$K$4919,'DETALLE CRONOLÓGICO'!$A$2:$A$4919,$A1635)</f>
        <v/>
      </c>
      <c r="M1635" s="6">
        <f>INDEX('DETALLE CRONOLÓGICO'!$K$2:$K$4919,MATCH($A1635,'DETALLE CRONOLÓGICO'!$A$2:$A$4919,0)+$E1635-1)</f>
        <v/>
      </c>
      <c r="N1635" s="7">
        <f>IFERROR($M1635/INDEX('DETALLE CRONOLÓGICO'!$K$2:$K$4919,MATCH($A1635,'DETALLE CRONOLÓGICO'!$A$2:$A$4919,0))-1,"")</f>
        <v/>
      </c>
      <c r="O1635" s="6">
        <f>IFERROR($I1635*3,"")</f>
        <v/>
      </c>
      <c r="P1635" s="6">
        <f>IFERROR($I1635*3.5,"")</f>
        <v/>
      </c>
      <c r="Q1635" s="6">
        <f>IFERROR($I1635*4,"")</f>
        <v/>
      </c>
      <c r="R1635" s="6" t="n">
        <v>4549</v>
      </c>
      <c r="S1635" s="4" t="n">
        <v>0</v>
      </c>
      <c r="T1635" s="1" t="inlineStr">
        <is>
          <t>active</t>
        </is>
      </c>
      <c r="U1635" s="8" t="n"/>
      <c r="V1635" s="1" t="inlineStr">
        <is>
          <t>SIN PRECIO</t>
        </is>
      </c>
    </row>
    <row r="1636">
      <c r="A1636" s="1" t="inlineStr">
        <is>
          <t>6701d26146e52</t>
        </is>
      </c>
      <c r="B1636" s="1" t="inlineStr">
        <is>
          <t>SANDALIAS H WHITE</t>
        </is>
      </c>
      <c r="C1636" s="1" t="inlineStr">
        <is>
          <t>38 (24cm)</t>
        </is>
      </c>
      <c r="D1636" s="1" t="inlineStr">
        <is>
          <t>CYNTHIA</t>
        </is>
      </c>
      <c r="E1636" s="4">
        <f>COUNTIF('DETALLE CRONOLÓGICO'!$A$2:$A$4919,$A1636)</f>
        <v/>
      </c>
      <c r="F1636" s="4">
        <f>SUMIFS('DETALLE CRONOLÓGICO'!$I$2:$I$4919,'DETALLE CRONOLÓGICO'!$A$2:$A$4919,$A1636)</f>
        <v/>
      </c>
      <c r="G1636" s="1">
        <f>INDEX('DETALLE CRONOLÓGICO'!$D$2:$D$4919,MATCH($A1636,'DETALLE CRONOLÓGICO'!$A$2:$A$4919,0))</f>
        <v/>
      </c>
      <c r="H1636" s="1">
        <f>INDEX('DETALLE CRONOLÓGICO'!$D$2:$D$4919,MATCH($A1636,'DETALLE CRONOLÓGICO'!$A$2:$A$4919,0)+$E1636-1)</f>
        <v/>
      </c>
      <c r="I1636" s="5">
        <f>IFERROR(SUMIFS('DETALLE CRONOLÓGICO'!$L$2:$L$4919,'DETALLE CRONOLÓGICO'!$A$2:$A$4919,$A1636)/$F1636,"")</f>
        <v/>
      </c>
      <c r="J1636" s="6">
        <f>IFERROR(SUMIFS('DETALLE CRONOLÓGICO'!$K$2:$K$4919,'DETALLE CRONOLÓGICO'!$A$2:$A$4919,$A1636)/$E1636,"")</f>
        <v/>
      </c>
      <c r="K1636" s="6">
        <f>_xlfn.MINIFS('DETALLE CRONOLÓGICO'!$K$2:$K$4919,'DETALLE CRONOLÓGICO'!$A$2:$A$4919,$A1636)</f>
        <v/>
      </c>
      <c r="L1636" s="6">
        <f>_xlfn.MAXIFS('DETALLE CRONOLÓGICO'!$K$2:$K$4919,'DETALLE CRONOLÓGICO'!$A$2:$A$4919,$A1636)</f>
        <v/>
      </c>
      <c r="M1636" s="6">
        <f>INDEX('DETALLE CRONOLÓGICO'!$K$2:$K$4919,MATCH($A1636,'DETALLE CRONOLÓGICO'!$A$2:$A$4919,0)+$E1636-1)</f>
        <v/>
      </c>
      <c r="N1636" s="7">
        <f>IFERROR($M1636/INDEX('DETALLE CRONOLÓGICO'!$K$2:$K$4919,MATCH($A1636,'DETALLE CRONOLÓGICO'!$A$2:$A$4919,0))-1,"")</f>
        <v/>
      </c>
      <c r="O1636" s="6">
        <f>IFERROR($I1636*3,"")</f>
        <v/>
      </c>
      <c r="P1636" s="6">
        <f>IFERROR($I1636*3.5,"")</f>
        <v/>
      </c>
      <c r="Q1636" s="6">
        <f>IFERROR($I1636*4,"")</f>
        <v/>
      </c>
      <c r="R1636" s="6" t="n">
        <v>3189</v>
      </c>
      <c r="S1636" s="4" t="n">
        <v>3</v>
      </c>
      <c r="T1636" s="1" t="inlineStr">
        <is>
          <t>active</t>
        </is>
      </c>
      <c r="U1636" s="8" t="n"/>
      <c r="V1636" s="1" t="inlineStr">
        <is>
          <t>SIN PRECIO</t>
        </is>
      </c>
    </row>
    <row r="1637">
      <c r="A1637" s="1" t="inlineStr">
        <is>
          <t>6701d2626ff26</t>
        </is>
      </c>
      <c r="B1637" s="1" t="inlineStr">
        <is>
          <t>PULSERA P DIAMOND</t>
        </is>
      </c>
      <c r="C1637" s="1" t="inlineStr">
        <is>
          <t>16cm</t>
        </is>
      </c>
      <c r="D1637" s="1" t="inlineStr">
        <is>
          <t>CYNTHIA</t>
        </is>
      </c>
      <c r="E1637" s="4">
        <f>COUNTIF('DETALLE CRONOLÓGICO'!$A$2:$A$4919,$A1637)</f>
        <v/>
      </c>
      <c r="F1637" s="4">
        <f>SUMIFS('DETALLE CRONOLÓGICO'!$I$2:$I$4919,'DETALLE CRONOLÓGICO'!$A$2:$A$4919,$A1637)</f>
        <v/>
      </c>
      <c r="G1637" s="1">
        <f>INDEX('DETALLE CRONOLÓGICO'!$D$2:$D$4919,MATCH($A1637,'DETALLE CRONOLÓGICO'!$A$2:$A$4919,0))</f>
        <v/>
      </c>
      <c r="H1637" s="1">
        <f>INDEX('DETALLE CRONOLÓGICO'!$D$2:$D$4919,MATCH($A1637,'DETALLE CRONOLÓGICO'!$A$2:$A$4919,0)+$E1637-1)</f>
        <v/>
      </c>
      <c r="I1637" s="5">
        <f>IFERROR(SUMIFS('DETALLE CRONOLÓGICO'!$L$2:$L$4919,'DETALLE CRONOLÓGICO'!$A$2:$A$4919,$A1637)/$F1637,"")</f>
        <v/>
      </c>
      <c r="J1637" s="6">
        <f>IFERROR(SUMIFS('DETALLE CRONOLÓGICO'!$K$2:$K$4919,'DETALLE CRONOLÓGICO'!$A$2:$A$4919,$A1637)/$E1637,"")</f>
        <v/>
      </c>
      <c r="K1637" s="6">
        <f>_xlfn.MINIFS('DETALLE CRONOLÓGICO'!$K$2:$K$4919,'DETALLE CRONOLÓGICO'!$A$2:$A$4919,$A1637)</f>
        <v/>
      </c>
      <c r="L1637" s="6">
        <f>_xlfn.MAXIFS('DETALLE CRONOLÓGICO'!$K$2:$K$4919,'DETALLE CRONOLÓGICO'!$A$2:$A$4919,$A1637)</f>
        <v/>
      </c>
      <c r="M1637" s="6">
        <f>INDEX('DETALLE CRONOLÓGICO'!$K$2:$K$4919,MATCH($A1637,'DETALLE CRONOLÓGICO'!$A$2:$A$4919,0)+$E1637-1)</f>
        <v/>
      </c>
      <c r="N1637" s="7">
        <f>IFERROR($M1637/INDEX('DETALLE CRONOLÓGICO'!$K$2:$K$4919,MATCH($A1637,'DETALLE CRONOLÓGICO'!$A$2:$A$4919,0))-1,"")</f>
        <v/>
      </c>
      <c r="O1637" s="6">
        <f>IFERROR($I1637*3,"")</f>
        <v/>
      </c>
      <c r="P1637" s="6">
        <f>IFERROR($I1637*3.5,"")</f>
        <v/>
      </c>
      <c r="Q1637" s="6">
        <f>IFERROR($I1637*4,"")</f>
        <v/>
      </c>
      <c r="R1637" s="6" t="n">
        <v>750</v>
      </c>
      <c r="S1637" s="4" t="n">
        <v>10</v>
      </c>
      <c r="T1637" s="1" t="inlineStr">
        <is>
          <t>active</t>
        </is>
      </c>
      <c r="U1637" s="8" t="n"/>
      <c r="V1637" s="1" t="inlineStr">
        <is>
          <t>SIN PRECIO</t>
        </is>
      </c>
    </row>
    <row r="1638">
      <c r="A1638" s="1" t="inlineStr">
        <is>
          <t>6701d26c9c67e</t>
        </is>
      </c>
      <c r="B1638" s="1" t="inlineStr">
        <is>
          <t>BOLSO C CABAS</t>
        </is>
      </c>
      <c r="C1638" s="1" t="inlineStr">
        <is>
          <t>30cm de largo x 22cm de alto x 13cm de ancho</t>
        </is>
      </c>
      <c r="D1638" s="1" t="inlineStr">
        <is>
          <t>CYNTHIA</t>
        </is>
      </c>
      <c r="E1638" s="4">
        <f>COUNTIF('DETALLE CRONOLÓGICO'!$A$2:$A$4919,$A1638)</f>
        <v/>
      </c>
      <c r="F1638" s="4">
        <f>SUMIFS('DETALLE CRONOLÓGICO'!$I$2:$I$4919,'DETALLE CRONOLÓGICO'!$A$2:$A$4919,$A1638)</f>
        <v/>
      </c>
      <c r="G1638" s="1">
        <f>INDEX('DETALLE CRONOLÓGICO'!$D$2:$D$4919,MATCH($A1638,'DETALLE CRONOLÓGICO'!$A$2:$A$4919,0))</f>
        <v/>
      </c>
      <c r="H1638" s="1">
        <f>INDEX('DETALLE CRONOLÓGICO'!$D$2:$D$4919,MATCH($A1638,'DETALLE CRONOLÓGICO'!$A$2:$A$4919,0)+$E1638-1)</f>
        <v/>
      </c>
      <c r="I1638" s="5">
        <f>IFERROR(SUMIFS('DETALLE CRONOLÓGICO'!$L$2:$L$4919,'DETALLE CRONOLÓGICO'!$A$2:$A$4919,$A1638)/$F1638,"")</f>
        <v/>
      </c>
      <c r="J1638" s="6">
        <f>IFERROR(SUMIFS('DETALLE CRONOLÓGICO'!$K$2:$K$4919,'DETALLE CRONOLÓGICO'!$A$2:$A$4919,$A1638)/$E1638,"")</f>
        <v/>
      </c>
      <c r="K1638" s="6">
        <f>_xlfn.MINIFS('DETALLE CRONOLÓGICO'!$K$2:$K$4919,'DETALLE CRONOLÓGICO'!$A$2:$A$4919,$A1638)</f>
        <v/>
      </c>
      <c r="L1638" s="6">
        <f>_xlfn.MAXIFS('DETALLE CRONOLÓGICO'!$K$2:$K$4919,'DETALLE CRONOLÓGICO'!$A$2:$A$4919,$A1638)</f>
        <v/>
      </c>
      <c r="M1638" s="6">
        <f>INDEX('DETALLE CRONOLÓGICO'!$K$2:$K$4919,MATCH($A1638,'DETALLE CRONOLÓGICO'!$A$2:$A$4919,0)+$E1638-1)</f>
        <v/>
      </c>
      <c r="N1638" s="7">
        <f>IFERROR($M1638/INDEX('DETALLE CRONOLÓGICO'!$K$2:$K$4919,MATCH($A1638,'DETALLE CRONOLÓGICO'!$A$2:$A$4919,0))-1,"")</f>
        <v/>
      </c>
      <c r="O1638" s="6">
        <f>IFERROR($I1638*3,"")</f>
        <v/>
      </c>
      <c r="P1638" s="6">
        <f>IFERROR($I1638*3.5,"")</f>
        <v/>
      </c>
      <c r="Q1638" s="6">
        <f>IFERROR($I1638*4,"")</f>
        <v/>
      </c>
      <c r="R1638" s="6" t="n">
        <v>4989</v>
      </c>
      <c r="S1638" s="4" t="n">
        <v>2</v>
      </c>
      <c r="T1638" s="1" t="inlineStr">
        <is>
          <t>active</t>
        </is>
      </c>
      <c r="U1638" s="8" t="n"/>
      <c r="V1638" s="1" t="inlineStr">
        <is>
          <t>SIN PRECIO</t>
        </is>
      </c>
    </row>
    <row r="1639">
      <c r="A1639" s="1" t="inlineStr">
        <is>
          <t>6701d26ca0522</t>
        </is>
      </c>
      <c r="B1639" s="1" t="inlineStr">
        <is>
          <t>BOLSO DE VIAJE G GREEN</t>
        </is>
      </c>
      <c r="C1639" s="1" t="inlineStr">
        <is>
          <t>49cm de largo x 28cm de alto x 22.5cm de ancho</t>
        </is>
      </c>
      <c r="D1639" s="1" t="inlineStr">
        <is>
          <t>CYNTHIA</t>
        </is>
      </c>
      <c r="E1639" s="4">
        <f>COUNTIF('DETALLE CRONOLÓGICO'!$A$2:$A$4919,$A1639)</f>
        <v/>
      </c>
      <c r="F1639" s="4">
        <f>SUMIFS('DETALLE CRONOLÓGICO'!$I$2:$I$4919,'DETALLE CRONOLÓGICO'!$A$2:$A$4919,$A1639)</f>
        <v/>
      </c>
      <c r="G1639" s="1">
        <f>INDEX('DETALLE CRONOLÓGICO'!$D$2:$D$4919,MATCH($A1639,'DETALLE CRONOLÓGICO'!$A$2:$A$4919,0))</f>
        <v/>
      </c>
      <c r="H1639" s="1">
        <f>INDEX('DETALLE CRONOLÓGICO'!$D$2:$D$4919,MATCH($A1639,'DETALLE CRONOLÓGICO'!$A$2:$A$4919,0)+$E1639-1)</f>
        <v/>
      </c>
      <c r="I1639" s="5">
        <f>IFERROR(SUMIFS('DETALLE CRONOLÓGICO'!$L$2:$L$4919,'DETALLE CRONOLÓGICO'!$A$2:$A$4919,$A1639)/$F1639,"")</f>
        <v/>
      </c>
      <c r="J1639" s="6">
        <f>IFERROR(SUMIFS('DETALLE CRONOLÓGICO'!$K$2:$K$4919,'DETALLE CRONOLÓGICO'!$A$2:$A$4919,$A1639)/$E1639,"")</f>
        <v/>
      </c>
      <c r="K1639" s="6">
        <f>_xlfn.MINIFS('DETALLE CRONOLÓGICO'!$K$2:$K$4919,'DETALLE CRONOLÓGICO'!$A$2:$A$4919,$A1639)</f>
        <v/>
      </c>
      <c r="L1639" s="6">
        <f>_xlfn.MAXIFS('DETALLE CRONOLÓGICO'!$K$2:$K$4919,'DETALLE CRONOLÓGICO'!$A$2:$A$4919,$A1639)</f>
        <v/>
      </c>
      <c r="M1639" s="6">
        <f>INDEX('DETALLE CRONOLÓGICO'!$K$2:$K$4919,MATCH($A1639,'DETALLE CRONOLÓGICO'!$A$2:$A$4919,0)+$E1639-1)</f>
        <v/>
      </c>
      <c r="N1639" s="7">
        <f>IFERROR($M1639/INDEX('DETALLE CRONOLÓGICO'!$K$2:$K$4919,MATCH($A1639,'DETALLE CRONOLÓGICO'!$A$2:$A$4919,0))-1,"")</f>
        <v/>
      </c>
      <c r="O1639" s="6">
        <f>IFERROR($I1639*3,"")</f>
        <v/>
      </c>
      <c r="P1639" s="6">
        <f>IFERROR($I1639*3.5,"")</f>
        <v/>
      </c>
      <c r="Q1639" s="6">
        <f>IFERROR($I1639*4,"")</f>
        <v/>
      </c>
      <c r="R1639" s="6" t="n">
        <v>9869</v>
      </c>
      <c r="S1639" s="4" t="n">
        <v>2</v>
      </c>
      <c r="T1639" s="1" t="inlineStr">
        <is>
          <t>active</t>
        </is>
      </c>
      <c r="U1639" s="8" t="n"/>
      <c r="V1639" s="1" t="inlineStr">
        <is>
          <t>SIN PRECIO</t>
        </is>
      </c>
    </row>
    <row r="1640">
      <c r="A1640" s="1" t="inlineStr">
        <is>
          <t>6701d26d1f472</t>
        </is>
      </c>
      <c r="B1640" s="1" t="inlineStr">
        <is>
          <t>BOLSO DE VIAJE G BLACK</t>
        </is>
      </c>
      <c r="C1640" s="1" t="inlineStr">
        <is>
          <t>49cm de largo x 28cm de alto x 22.5cm de ancho</t>
        </is>
      </c>
      <c r="D1640" s="1" t="inlineStr">
        <is>
          <t>CYNTHIA</t>
        </is>
      </c>
      <c r="E1640" s="4">
        <f>COUNTIF('DETALLE CRONOLÓGICO'!$A$2:$A$4919,$A1640)</f>
        <v/>
      </c>
      <c r="F1640" s="4">
        <f>SUMIFS('DETALLE CRONOLÓGICO'!$I$2:$I$4919,'DETALLE CRONOLÓGICO'!$A$2:$A$4919,$A1640)</f>
        <v/>
      </c>
      <c r="G1640" s="1">
        <f>INDEX('DETALLE CRONOLÓGICO'!$D$2:$D$4919,MATCH($A1640,'DETALLE CRONOLÓGICO'!$A$2:$A$4919,0))</f>
        <v/>
      </c>
      <c r="H1640" s="1">
        <f>INDEX('DETALLE CRONOLÓGICO'!$D$2:$D$4919,MATCH($A1640,'DETALLE CRONOLÓGICO'!$A$2:$A$4919,0)+$E1640-1)</f>
        <v/>
      </c>
      <c r="I1640" s="5">
        <f>IFERROR(SUMIFS('DETALLE CRONOLÓGICO'!$L$2:$L$4919,'DETALLE CRONOLÓGICO'!$A$2:$A$4919,$A1640)/$F1640,"")</f>
        <v/>
      </c>
      <c r="J1640" s="6">
        <f>IFERROR(SUMIFS('DETALLE CRONOLÓGICO'!$K$2:$K$4919,'DETALLE CRONOLÓGICO'!$A$2:$A$4919,$A1640)/$E1640,"")</f>
        <v/>
      </c>
      <c r="K1640" s="6">
        <f>_xlfn.MINIFS('DETALLE CRONOLÓGICO'!$K$2:$K$4919,'DETALLE CRONOLÓGICO'!$A$2:$A$4919,$A1640)</f>
        <v/>
      </c>
      <c r="L1640" s="6">
        <f>_xlfn.MAXIFS('DETALLE CRONOLÓGICO'!$K$2:$K$4919,'DETALLE CRONOLÓGICO'!$A$2:$A$4919,$A1640)</f>
        <v/>
      </c>
      <c r="M1640" s="6">
        <f>INDEX('DETALLE CRONOLÓGICO'!$K$2:$K$4919,MATCH($A1640,'DETALLE CRONOLÓGICO'!$A$2:$A$4919,0)+$E1640-1)</f>
        <v/>
      </c>
      <c r="N1640" s="7">
        <f>IFERROR($M1640/INDEX('DETALLE CRONOLÓGICO'!$K$2:$K$4919,MATCH($A1640,'DETALLE CRONOLÓGICO'!$A$2:$A$4919,0))-1,"")</f>
        <v/>
      </c>
      <c r="O1640" s="6">
        <f>IFERROR($I1640*3,"")</f>
        <v/>
      </c>
      <c r="P1640" s="6">
        <f>IFERROR($I1640*3.5,"")</f>
        <v/>
      </c>
      <c r="Q1640" s="6">
        <f>IFERROR($I1640*4,"")</f>
        <v/>
      </c>
      <c r="R1640" s="6" t="n">
        <v>9869</v>
      </c>
      <c r="S1640" s="4" t="n">
        <v>2</v>
      </c>
      <c r="T1640" s="1" t="inlineStr">
        <is>
          <t>active</t>
        </is>
      </c>
      <c r="U1640" s="8" t="n"/>
      <c r="V1640" s="1" t="inlineStr">
        <is>
          <t>SIN PRECIO</t>
        </is>
      </c>
    </row>
    <row r="1641">
      <c r="A1641" s="1" t="inlineStr">
        <is>
          <t>6701d26e04890</t>
        </is>
      </c>
      <c r="B1641" s="1" t="inlineStr">
        <is>
          <t>BOLSO H BIRKIN 30 GRIS TOURTERELLE</t>
        </is>
      </c>
      <c r="C1641" s="1" t="inlineStr">
        <is>
          <t>20.5cm de alto x 25cm de largo x 13cm ancho</t>
        </is>
      </c>
      <c r="D1641" s="1" t="inlineStr">
        <is>
          <t>CYNTHIA</t>
        </is>
      </c>
      <c r="E1641" s="4">
        <f>COUNTIF('DETALLE CRONOLÓGICO'!$A$2:$A$4919,$A1641)</f>
        <v/>
      </c>
      <c r="F1641" s="4">
        <f>SUMIFS('DETALLE CRONOLÓGICO'!$I$2:$I$4919,'DETALLE CRONOLÓGICO'!$A$2:$A$4919,$A1641)</f>
        <v/>
      </c>
      <c r="G1641" s="1">
        <f>INDEX('DETALLE CRONOLÓGICO'!$D$2:$D$4919,MATCH($A1641,'DETALLE CRONOLÓGICO'!$A$2:$A$4919,0))</f>
        <v/>
      </c>
      <c r="H1641" s="1">
        <f>INDEX('DETALLE CRONOLÓGICO'!$D$2:$D$4919,MATCH($A1641,'DETALLE CRONOLÓGICO'!$A$2:$A$4919,0)+$E1641-1)</f>
        <v/>
      </c>
      <c r="I1641" s="5">
        <f>IFERROR(SUMIFS('DETALLE CRONOLÓGICO'!$L$2:$L$4919,'DETALLE CRONOLÓGICO'!$A$2:$A$4919,$A1641)/$F1641,"")</f>
        <v/>
      </c>
      <c r="J1641" s="6">
        <f>IFERROR(SUMIFS('DETALLE CRONOLÓGICO'!$K$2:$K$4919,'DETALLE CRONOLÓGICO'!$A$2:$A$4919,$A1641)/$E1641,"")</f>
        <v/>
      </c>
      <c r="K1641" s="6">
        <f>_xlfn.MINIFS('DETALLE CRONOLÓGICO'!$K$2:$K$4919,'DETALLE CRONOLÓGICO'!$A$2:$A$4919,$A1641)</f>
        <v/>
      </c>
      <c r="L1641" s="6">
        <f>_xlfn.MAXIFS('DETALLE CRONOLÓGICO'!$K$2:$K$4919,'DETALLE CRONOLÓGICO'!$A$2:$A$4919,$A1641)</f>
        <v/>
      </c>
      <c r="M1641" s="6">
        <f>INDEX('DETALLE CRONOLÓGICO'!$K$2:$K$4919,MATCH($A1641,'DETALLE CRONOLÓGICO'!$A$2:$A$4919,0)+$E1641-1)</f>
        <v/>
      </c>
      <c r="N1641" s="7">
        <f>IFERROR($M1641/INDEX('DETALLE CRONOLÓGICO'!$K$2:$K$4919,MATCH($A1641,'DETALLE CRONOLÓGICO'!$A$2:$A$4919,0))-1,"")</f>
        <v/>
      </c>
      <c r="O1641" s="6">
        <f>IFERROR($I1641*3,"")</f>
        <v/>
      </c>
      <c r="P1641" s="6">
        <f>IFERROR($I1641*3.5,"")</f>
        <v/>
      </c>
      <c r="Q1641" s="6">
        <f>IFERROR($I1641*4,"")</f>
        <v/>
      </c>
      <c r="R1641" s="6" t="n">
        <v>6035</v>
      </c>
      <c r="S1641" s="4" t="n">
        <v>1</v>
      </c>
      <c r="T1641" s="1" t="inlineStr">
        <is>
          <t>active</t>
        </is>
      </c>
      <c r="U1641" s="8" t="n"/>
      <c r="V1641" s="1" t="inlineStr">
        <is>
          <t>SIN PRECIO</t>
        </is>
      </c>
    </row>
    <row r="1642">
      <c r="A1642" s="1" t="inlineStr">
        <is>
          <t>6701d26e72186</t>
        </is>
      </c>
      <c r="B1642" s="1" t="inlineStr">
        <is>
          <t>BOLSO H BIRKIN 30 WHITE</t>
        </is>
      </c>
      <c r="C1642" s="1" t="inlineStr">
        <is>
          <t>20.5cm de alto x 25cm de largo x 13cm ancho</t>
        </is>
      </c>
      <c r="D1642" s="1" t="inlineStr">
        <is>
          <t>CYNTHIA</t>
        </is>
      </c>
      <c r="E1642" s="4">
        <f>COUNTIF('DETALLE CRONOLÓGICO'!$A$2:$A$4919,$A1642)</f>
        <v/>
      </c>
      <c r="F1642" s="4">
        <f>SUMIFS('DETALLE CRONOLÓGICO'!$I$2:$I$4919,'DETALLE CRONOLÓGICO'!$A$2:$A$4919,$A1642)</f>
        <v/>
      </c>
      <c r="G1642" s="1">
        <f>INDEX('DETALLE CRONOLÓGICO'!$D$2:$D$4919,MATCH($A1642,'DETALLE CRONOLÓGICO'!$A$2:$A$4919,0))</f>
        <v/>
      </c>
      <c r="H1642" s="1">
        <f>INDEX('DETALLE CRONOLÓGICO'!$D$2:$D$4919,MATCH($A1642,'DETALLE CRONOLÓGICO'!$A$2:$A$4919,0)+$E1642-1)</f>
        <v/>
      </c>
      <c r="I1642" s="5">
        <f>IFERROR(SUMIFS('DETALLE CRONOLÓGICO'!$L$2:$L$4919,'DETALLE CRONOLÓGICO'!$A$2:$A$4919,$A1642)/$F1642,"")</f>
        <v/>
      </c>
      <c r="J1642" s="6">
        <f>IFERROR(SUMIFS('DETALLE CRONOLÓGICO'!$K$2:$K$4919,'DETALLE CRONOLÓGICO'!$A$2:$A$4919,$A1642)/$E1642,"")</f>
        <v/>
      </c>
      <c r="K1642" s="6">
        <f>_xlfn.MINIFS('DETALLE CRONOLÓGICO'!$K$2:$K$4919,'DETALLE CRONOLÓGICO'!$A$2:$A$4919,$A1642)</f>
        <v/>
      </c>
      <c r="L1642" s="6">
        <f>_xlfn.MAXIFS('DETALLE CRONOLÓGICO'!$K$2:$K$4919,'DETALLE CRONOLÓGICO'!$A$2:$A$4919,$A1642)</f>
        <v/>
      </c>
      <c r="M1642" s="6">
        <f>INDEX('DETALLE CRONOLÓGICO'!$K$2:$K$4919,MATCH($A1642,'DETALLE CRONOLÓGICO'!$A$2:$A$4919,0)+$E1642-1)</f>
        <v/>
      </c>
      <c r="N1642" s="7">
        <f>IFERROR($M1642/INDEX('DETALLE CRONOLÓGICO'!$K$2:$K$4919,MATCH($A1642,'DETALLE CRONOLÓGICO'!$A$2:$A$4919,0))-1,"")</f>
        <v/>
      </c>
      <c r="O1642" s="6">
        <f>IFERROR($I1642*3,"")</f>
        <v/>
      </c>
      <c r="P1642" s="6">
        <f>IFERROR($I1642*3.5,"")</f>
        <v/>
      </c>
      <c r="Q1642" s="6">
        <f>IFERROR($I1642*4,"")</f>
        <v/>
      </c>
      <c r="R1642" s="6" t="n">
        <v>6115</v>
      </c>
      <c r="S1642" s="4" t="n">
        <v>1</v>
      </c>
      <c r="T1642" s="1" t="inlineStr">
        <is>
          <t>active</t>
        </is>
      </c>
      <c r="U1642" s="8" t="n"/>
      <c r="V1642" s="1" t="inlineStr">
        <is>
          <t>SIN PRECIO</t>
        </is>
      </c>
    </row>
    <row r="1643">
      <c r="A1643" s="1" t="inlineStr">
        <is>
          <t>6701d26f13b86</t>
        </is>
      </c>
      <c r="B1643" s="1" t="inlineStr">
        <is>
          <t>LENTES PR OVAL BLACK</t>
        </is>
      </c>
      <c r="C1643" s="1" t="inlineStr">
        <is>
          <t>HIGH QUALITY</t>
        </is>
      </c>
      <c r="D1643" s="1" t="inlineStr">
        <is>
          <t>CYNTHIA</t>
        </is>
      </c>
      <c r="E1643" s="4">
        <f>COUNTIF('DETALLE CRONOLÓGICO'!$A$2:$A$4919,$A1643)</f>
        <v/>
      </c>
      <c r="F1643" s="4">
        <f>SUMIFS('DETALLE CRONOLÓGICO'!$I$2:$I$4919,'DETALLE CRONOLÓGICO'!$A$2:$A$4919,$A1643)</f>
        <v/>
      </c>
      <c r="G1643" s="1">
        <f>INDEX('DETALLE CRONOLÓGICO'!$D$2:$D$4919,MATCH($A1643,'DETALLE CRONOLÓGICO'!$A$2:$A$4919,0))</f>
        <v/>
      </c>
      <c r="H1643" s="1">
        <f>INDEX('DETALLE CRONOLÓGICO'!$D$2:$D$4919,MATCH($A1643,'DETALLE CRONOLÓGICO'!$A$2:$A$4919,0)+$E1643-1)</f>
        <v/>
      </c>
      <c r="I1643" s="5">
        <f>IFERROR(SUMIFS('DETALLE CRONOLÓGICO'!$L$2:$L$4919,'DETALLE CRONOLÓGICO'!$A$2:$A$4919,$A1643)/$F1643,"")</f>
        <v/>
      </c>
      <c r="J1643" s="6">
        <f>IFERROR(SUMIFS('DETALLE CRONOLÓGICO'!$K$2:$K$4919,'DETALLE CRONOLÓGICO'!$A$2:$A$4919,$A1643)/$E1643,"")</f>
        <v/>
      </c>
      <c r="K1643" s="6">
        <f>_xlfn.MINIFS('DETALLE CRONOLÓGICO'!$K$2:$K$4919,'DETALLE CRONOLÓGICO'!$A$2:$A$4919,$A1643)</f>
        <v/>
      </c>
      <c r="L1643" s="6">
        <f>_xlfn.MAXIFS('DETALLE CRONOLÓGICO'!$K$2:$K$4919,'DETALLE CRONOLÓGICO'!$A$2:$A$4919,$A1643)</f>
        <v/>
      </c>
      <c r="M1643" s="6">
        <f>INDEX('DETALLE CRONOLÓGICO'!$K$2:$K$4919,MATCH($A1643,'DETALLE CRONOLÓGICO'!$A$2:$A$4919,0)+$E1643-1)</f>
        <v/>
      </c>
      <c r="N1643" s="7">
        <f>IFERROR($M1643/INDEX('DETALLE CRONOLÓGICO'!$K$2:$K$4919,MATCH($A1643,'DETALLE CRONOLÓGICO'!$A$2:$A$4919,0))-1,"")</f>
        <v/>
      </c>
      <c r="O1643" s="6">
        <f>IFERROR($I1643*3,"")</f>
        <v/>
      </c>
      <c r="P1643" s="6">
        <f>IFERROR($I1643*3.5,"")</f>
        <v/>
      </c>
      <c r="Q1643" s="6">
        <f>IFERROR($I1643*4,"")</f>
        <v/>
      </c>
      <c r="R1643" s="6" t="n">
        <v>2635</v>
      </c>
      <c r="S1643" s="4" t="n">
        <v>4</v>
      </c>
      <c r="T1643" s="1" t="inlineStr">
        <is>
          <t>active</t>
        </is>
      </c>
      <c r="U1643" s="8" t="n"/>
      <c r="V1643" s="1" t="inlineStr">
        <is>
          <t>SIN PRECIO</t>
        </is>
      </c>
    </row>
    <row r="1644">
      <c r="A1644" s="1" t="inlineStr">
        <is>
          <t>6701d27b47f9e</t>
        </is>
      </c>
      <c r="B1644" s="1" t="inlineStr">
        <is>
          <t>BOLSO C AVA TRIOMPHE BLACK</t>
        </is>
      </c>
      <c r="C1644" s="1" t="inlineStr">
        <is>
          <t>22cm de largo x 12cm de alto x 6cm de ancho</t>
        </is>
      </c>
      <c r="D1644" s="1" t="inlineStr">
        <is>
          <t>CYNTHIA</t>
        </is>
      </c>
      <c r="E1644" s="4">
        <f>COUNTIF('DETALLE CRONOLÓGICO'!$A$2:$A$4919,$A1644)</f>
        <v/>
      </c>
      <c r="F1644" s="4">
        <f>SUMIFS('DETALLE CRONOLÓGICO'!$I$2:$I$4919,'DETALLE CRONOLÓGICO'!$A$2:$A$4919,$A1644)</f>
        <v/>
      </c>
      <c r="G1644" s="1">
        <f>INDEX('DETALLE CRONOLÓGICO'!$D$2:$D$4919,MATCH($A1644,'DETALLE CRONOLÓGICO'!$A$2:$A$4919,0))</f>
        <v/>
      </c>
      <c r="H1644" s="1">
        <f>INDEX('DETALLE CRONOLÓGICO'!$D$2:$D$4919,MATCH($A1644,'DETALLE CRONOLÓGICO'!$A$2:$A$4919,0)+$E1644-1)</f>
        <v/>
      </c>
      <c r="I1644" s="5">
        <f>IFERROR(SUMIFS('DETALLE CRONOLÓGICO'!$L$2:$L$4919,'DETALLE CRONOLÓGICO'!$A$2:$A$4919,$A1644)/$F1644,"")</f>
        <v/>
      </c>
      <c r="J1644" s="6">
        <f>IFERROR(SUMIFS('DETALLE CRONOLÓGICO'!$K$2:$K$4919,'DETALLE CRONOLÓGICO'!$A$2:$A$4919,$A1644)/$E1644,"")</f>
        <v/>
      </c>
      <c r="K1644" s="6">
        <f>_xlfn.MINIFS('DETALLE CRONOLÓGICO'!$K$2:$K$4919,'DETALLE CRONOLÓGICO'!$A$2:$A$4919,$A1644)</f>
        <v/>
      </c>
      <c r="L1644" s="6">
        <f>_xlfn.MAXIFS('DETALLE CRONOLÓGICO'!$K$2:$K$4919,'DETALLE CRONOLÓGICO'!$A$2:$A$4919,$A1644)</f>
        <v/>
      </c>
      <c r="M1644" s="6">
        <f>INDEX('DETALLE CRONOLÓGICO'!$K$2:$K$4919,MATCH($A1644,'DETALLE CRONOLÓGICO'!$A$2:$A$4919,0)+$E1644-1)</f>
        <v/>
      </c>
      <c r="N1644" s="7">
        <f>IFERROR($M1644/INDEX('DETALLE CRONOLÓGICO'!$K$2:$K$4919,MATCH($A1644,'DETALLE CRONOLÓGICO'!$A$2:$A$4919,0))-1,"")</f>
        <v/>
      </c>
      <c r="O1644" s="6">
        <f>IFERROR($I1644*3,"")</f>
        <v/>
      </c>
      <c r="P1644" s="6">
        <f>IFERROR($I1644*3.5,"")</f>
        <v/>
      </c>
      <c r="Q1644" s="6">
        <f>IFERROR($I1644*4,"")</f>
        <v/>
      </c>
      <c r="R1644" s="6" t="n">
        <v>4359</v>
      </c>
      <c r="S1644" s="4" t="n">
        <v>2</v>
      </c>
      <c r="T1644" s="1" t="inlineStr">
        <is>
          <t>active</t>
        </is>
      </c>
      <c r="U1644" s="8" t="n"/>
      <c r="V1644" s="1" t="inlineStr">
        <is>
          <t>SIN PRECIO</t>
        </is>
      </c>
    </row>
    <row r="1645">
      <c r="A1645" s="1" t="inlineStr">
        <is>
          <t>6701d27d41def</t>
        </is>
      </c>
      <c r="B1645" s="1" t="inlineStr">
        <is>
          <t>BOLSO GC NUDE</t>
        </is>
      </c>
      <c r="C1645" s="1" t="inlineStr">
        <is>
          <t>14.5cm de alto x 25.2cm de largo x 6.7cm de ancho</t>
        </is>
      </c>
      <c r="D1645" s="1" t="inlineStr">
        <is>
          <t>ZOEY</t>
        </is>
      </c>
      <c r="E1645" s="4">
        <f>COUNTIF('DETALLE CRONOLÓGICO'!$A$2:$A$4919,$A1645)</f>
        <v/>
      </c>
      <c r="F1645" s="4">
        <f>SUMIFS('DETALLE CRONOLÓGICO'!$I$2:$I$4919,'DETALLE CRONOLÓGICO'!$A$2:$A$4919,$A1645)</f>
        <v/>
      </c>
      <c r="G1645" s="1">
        <f>INDEX('DETALLE CRONOLÓGICO'!$D$2:$D$4919,MATCH($A1645,'DETALLE CRONOLÓGICO'!$A$2:$A$4919,0))</f>
        <v/>
      </c>
      <c r="H1645" s="1">
        <f>INDEX('DETALLE CRONOLÓGICO'!$D$2:$D$4919,MATCH($A1645,'DETALLE CRONOLÓGICO'!$A$2:$A$4919,0)+$E1645-1)</f>
        <v/>
      </c>
      <c r="I1645" s="5">
        <f>IFERROR(SUMIFS('DETALLE CRONOLÓGICO'!$L$2:$L$4919,'DETALLE CRONOLÓGICO'!$A$2:$A$4919,$A1645)/$F1645,"")</f>
        <v/>
      </c>
      <c r="J1645" s="6">
        <f>IFERROR(SUMIFS('DETALLE CRONOLÓGICO'!$K$2:$K$4919,'DETALLE CRONOLÓGICO'!$A$2:$A$4919,$A1645)/$E1645,"")</f>
        <v/>
      </c>
      <c r="K1645" s="6">
        <f>_xlfn.MINIFS('DETALLE CRONOLÓGICO'!$K$2:$K$4919,'DETALLE CRONOLÓGICO'!$A$2:$A$4919,$A1645)</f>
        <v/>
      </c>
      <c r="L1645" s="6">
        <f>_xlfn.MAXIFS('DETALLE CRONOLÓGICO'!$K$2:$K$4919,'DETALLE CRONOLÓGICO'!$A$2:$A$4919,$A1645)</f>
        <v/>
      </c>
      <c r="M1645" s="6">
        <f>INDEX('DETALLE CRONOLÓGICO'!$K$2:$K$4919,MATCH($A1645,'DETALLE CRONOLÓGICO'!$A$2:$A$4919,0)+$E1645-1)</f>
        <v/>
      </c>
      <c r="N1645" s="7">
        <f>IFERROR($M1645/INDEX('DETALLE CRONOLÓGICO'!$K$2:$K$4919,MATCH($A1645,'DETALLE CRONOLÓGICO'!$A$2:$A$4919,0))-1,"")</f>
        <v/>
      </c>
      <c r="O1645" s="6">
        <f>IFERROR($I1645*3,"")</f>
        <v/>
      </c>
      <c r="P1645" s="6">
        <f>IFERROR($I1645*3.5,"")</f>
        <v/>
      </c>
      <c r="Q1645" s="6">
        <f>IFERROR($I1645*4,"")</f>
        <v/>
      </c>
      <c r="R1645" s="6" t="n">
        <v>5775</v>
      </c>
      <c r="S1645" s="4" t="n">
        <v>4</v>
      </c>
      <c r="T1645" s="1" t="inlineStr">
        <is>
          <t>active</t>
        </is>
      </c>
      <c r="U1645" s="8" t="n"/>
      <c r="V1645" s="1" t="inlineStr">
        <is>
          <t>SIN PRECIO</t>
        </is>
      </c>
    </row>
    <row r="1646">
      <c r="A1646" s="1" t="inlineStr">
        <is>
          <t>67201531075373</t>
        </is>
      </c>
      <c r="B1646" s="1" t="inlineStr">
        <is>
          <t>PULSERA LUCKY GOLD CD</t>
        </is>
      </c>
      <c r="C1646" s="1" t="inlineStr">
        <is>
          <t>HIGH QUALITY</t>
        </is>
      </c>
      <c r="D1646" s="1" t="inlineStr">
        <is>
          <t>HAIFENG</t>
        </is>
      </c>
      <c r="E1646" s="4">
        <f>COUNTIF('DETALLE CRONOLÓGICO'!$A$2:$A$4919,$A1646)</f>
        <v/>
      </c>
      <c r="F1646" s="4">
        <f>SUMIFS('DETALLE CRONOLÓGICO'!$I$2:$I$4919,'DETALLE CRONOLÓGICO'!$A$2:$A$4919,$A1646)</f>
        <v/>
      </c>
      <c r="G1646" s="1">
        <f>INDEX('DETALLE CRONOLÓGICO'!$D$2:$D$4919,MATCH($A1646,'DETALLE CRONOLÓGICO'!$A$2:$A$4919,0))</f>
        <v/>
      </c>
      <c r="H1646" s="1">
        <f>INDEX('DETALLE CRONOLÓGICO'!$D$2:$D$4919,MATCH($A1646,'DETALLE CRONOLÓGICO'!$A$2:$A$4919,0)+$E1646-1)</f>
        <v/>
      </c>
      <c r="I1646" s="5">
        <f>IFERROR(SUMIFS('DETALLE CRONOLÓGICO'!$L$2:$L$4919,'DETALLE CRONOLÓGICO'!$A$2:$A$4919,$A1646)/$F1646,"")</f>
        <v/>
      </c>
      <c r="J1646" s="6">
        <f>IFERROR(SUMIFS('DETALLE CRONOLÓGICO'!$K$2:$K$4919,'DETALLE CRONOLÓGICO'!$A$2:$A$4919,$A1646)/$E1646,"")</f>
        <v/>
      </c>
      <c r="K1646" s="6">
        <f>_xlfn.MINIFS('DETALLE CRONOLÓGICO'!$K$2:$K$4919,'DETALLE CRONOLÓGICO'!$A$2:$A$4919,$A1646)</f>
        <v/>
      </c>
      <c r="L1646" s="6">
        <f>_xlfn.MAXIFS('DETALLE CRONOLÓGICO'!$K$2:$K$4919,'DETALLE CRONOLÓGICO'!$A$2:$A$4919,$A1646)</f>
        <v/>
      </c>
      <c r="M1646" s="6">
        <f>INDEX('DETALLE CRONOLÓGICO'!$K$2:$K$4919,MATCH($A1646,'DETALLE CRONOLÓGICO'!$A$2:$A$4919,0)+$E1646-1)</f>
        <v/>
      </c>
      <c r="N1646" s="7">
        <f>IFERROR($M1646/INDEX('DETALLE CRONOLÓGICO'!$K$2:$K$4919,MATCH($A1646,'DETALLE CRONOLÓGICO'!$A$2:$A$4919,0))-1,"")</f>
        <v/>
      </c>
      <c r="O1646" s="6">
        <f>IFERROR($I1646*3,"")</f>
        <v/>
      </c>
      <c r="P1646" s="6">
        <f>IFERROR($I1646*3.5,"")</f>
        <v/>
      </c>
      <c r="Q1646" s="6">
        <f>IFERROR($I1646*4,"")</f>
        <v/>
      </c>
      <c r="R1646" s="6" t="n">
        <v>499</v>
      </c>
      <c r="S1646" s="4" t="n">
        <v>2</v>
      </c>
      <c r="T1646" s="1" t="inlineStr">
        <is>
          <t>active</t>
        </is>
      </c>
      <c r="U1646" s="8" t="n"/>
      <c r="V1646" s="1" t="inlineStr">
        <is>
          <t>SIN PRECIO</t>
        </is>
      </c>
    </row>
    <row r="1647">
      <c r="A1647" s="1" t="inlineStr">
        <is>
          <t>67201531170029</t>
        </is>
      </c>
      <c r="B1647" s="1" t="inlineStr">
        <is>
          <t>ARETES CD LOGO CON ZIRCONIA</t>
        </is>
      </c>
      <c r="C1647" s="1" t="inlineStr">
        <is>
          <t>Default Title</t>
        </is>
      </c>
      <c r="D1647" s="1" t="inlineStr">
        <is>
          <t>HAIFENG</t>
        </is>
      </c>
      <c r="E1647" s="4">
        <f>COUNTIF('DETALLE CRONOLÓGICO'!$A$2:$A$4919,$A1647)</f>
        <v/>
      </c>
      <c r="F1647" s="4">
        <f>SUMIFS('DETALLE CRONOLÓGICO'!$I$2:$I$4919,'DETALLE CRONOLÓGICO'!$A$2:$A$4919,$A1647)</f>
        <v/>
      </c>
      <c r="G1647" s="1">
        <f>INDEX('DETALLE CRONOLÓGICO'!$D$2:$D$4919,MATCH($A1647,'DETALLE CRONOLÓGICO'!$A$2:$A$4919,0))</f>
        <v/>
      </c>
      <c r="H1647" s="1">
        <f>INDEX('DETALLE CRONOLÓGICO'!$D$2:$D$4919,MATCH($A1647,'DETALLE CRONOLÓGICO'!$A$2:$A$4919,0)+$E1647-1)</f>
        <v/>
      </c>
      <c r="I1647" s="5">
        <f>IFERROR(SUMIFS('DETALLE CRONOLÓGICO'!$L$2:$L$4919,'DETALLE CRONOLÓGICO'!$A$2:$A$4919,$A1647)/$F1647,"")</f>
        <v/>
      </c>
      <c r="J1647" s="6">
        <f>IFERROR(SUMIFS('DETALLE CRONOLÓGICO'!$K$2:$K$4919,'DETALLE CRONOLÓGICO'!$A$2:$A$4919,$A1647)/$E1647,"")</f>
        <v/>
      </c>
      <c r="K1647" s="6">
        <f>_xlfn.MINIFS('DETALLE CRONOLÓGICO'!$K$2:$K$4919,'DETALLE CRONOLÓGICO'!$A$2:$A$4919,$A1647)</f>
        <v/>
      </c>
      <c r="L1647" s="6">
        <f>_xlfn.MAXIFS('DETALLE CRONOLÓGICO'!$K$2:$K$4919,'DETALLE CRONOLÓGICO'!$A$2:$A$4919,$A1647)</f>
        <v/>
      </c>
      <c r="M1647" s="6">
        <f>INDEX('DETALLE CRONOLÓGICO'!$K$2:$K$4919,MATCH($A1647,'DETALLE CRONOLÓGICO'!$A$2:$A$4919,0)+$E1647-1)</f>
        <v/>
      </c>
      <c r="N1647" s="7">
        <f>IFERROR($M1647/INDEX('DETALLE CRONOLÓGICO'!$K$2:$K$4919,MATCH($A1647,'DETALLE CRONOLÓGICO'!$A$2:$A$4919,0))-1,"")</f>
        <v/>
      </c>
      <c r="O1647" s="6">
        <f>IFERROR($I1647*3,"")</f>
        <v/>
      </c>
      <c r="P1647" s="6">
        <f>IFERROR($I1647*3.5,"")</f>
        <v/>
      </c>
      <c r="Q1647" s="6">
        <f>IFERROR($I1647*4,"")</f>
        <v/>
      </c>
      <c r="R1647" s="6" t="n">
        <v>487</v>
      </c>
      <c r="S1647" s="4" t="n">
        <v>0</v>
      </c>
      <c r="T1647" s="1" t="inlineStr">
        <is>
          <t>active</t>
        </is>
      </c>
      <c r="U1647" s="8" t="n"/>
      <c r="V1647" s="1" t="inlineStr">
        <is>
          <t>SIN PRECIO</t>
        </is>
      </c>
    </row>
    <row r="1648">
      <c r="A1648" s="1" t="inlineStr">
        <is>
          <t>67201531268621</t>
        </is>
      </c>
      <c r="B1648" s="1" t="inlineStr">
        <is>
          <t>LENTES EYEWEAR BROWN MM</t>
        </is>
      </c>
      <c r="C1648" s="1" t="inlineStr">
        <is>
          <t>Default Title</t>
        </is>
      </c>
      <c r="D1648" s="1" t="inlineStr">
        <is>
          <t>HAIFENG</t>
        </is>
      </c>
      <c r="E1648" s="4">
        <f>COUNTIF('DETALLE CRONOLÓGICO'!$A$2:$A$4919,$A1648)</f>
        <v/>
      </c>
      <c r="F1648" s="4">
        <f>SUMIFS('DETALLE CRONOLÓGICO'!$I$2:$I$4919,'DETALLE CRONOLÓGICO'!$A$2:$A$4919,$A1648)</f>
        <v/>
      </c>
      <c r="G1648" s="1">
        <f>INDEX('DETALLE CRONOLÓGICO'!$D$2:$D$4919,MATCH($A1648,'DETALLE CRONOLÓGICO'!$A$2:$A$4919,0))</f>
        <v/>
      </c>
      <c r="H1648" s="1">
        <f>INDEX('DETALLE CRONOLÓGICO'!$D$2:$D$4919,MATCH($A1648,'DETALLE CRONOLÓGICO'!$A$2:$A$4919,0)+$E1648-1)</f>
        <v/>
      </c>
      <c r="I1648" s="5">
        <f>IFERROR(SUMIFS('DETALLE CRONOLÓGICO'!$L$2:$L$4919,'DETALLE CRONOLÓGICO'!$A$2:$A$4919,$A1648)/$F1648,"")</f>
        <v/>
      </c>
      <c r="J1648" s="6">
        <f>IFERROR(SUMIFS('DETALLE CRONOLÓGICO'!$K$2:$K$4919,'DETALLE CRONOLÓGICO'!$A$2:$A$4919,$A1648)/$E1648,"")</f>
        <v/>
      </c>
      <c r="K1648" s="6">
        <f>_xlfn.MINIFS('DETALLE CRONOLÓGICO'!$K$2:$K$4919,'DETALLE CRONOLÓGICO'!$A$2:$A$4919,$A1648)</f>
        <v/>
      </c>
      <c r="L1648" s="6">
        <f>_xlfn.MAXIFS('DETALLE CRONOLÓGICO'!$K$2:$K$4919,'DETALLE CRONOLÓGICO'!$A$2:$A$4919,$A1648)</f>
        <v/>
      </c>
      <c r="M1648" s="6">
        <f>INDEX('DETALLE CRONOLÓGICO'!$K$2:$K$4919,MATCH($A1648,'DETALLE CRONOLÓGICO'!$A$2:$A$4919,0)+$E1648-1)</f>
        <v/>
      </c>
      <c r="N1648" s="7">
        <f>IFERROR($M1648/INDEX('DETALLE CRONOLÓGICO'!$K$2:$K$4919,MATCH($A1648,'DETALLE CRONOLÓGICO'!$A$2:$A$4919,0))-1,"")</f>
        <v/>
      </c>
      <c r="O1648" s="6">
        <f>IFERROR($I1648*3,"")</f>
        <v/>
      </c>
      <c r="P1648" s="6">
        <f>IFERROR($I1648*3.5,"")</f>
        <v/>
      </c>
      <c r="Q1648" s="6">
        <f>IFERROR($I1648*4,"")</f>
        <v/>
      </c>
      <c r="R1648" s="6" t="n">
        <v>3499</v>
      </c>
      <c r="S1648" s="4" t="n">
        <v>0</v>
      </c>
      <c r="T1648" s="1" t="inlineStr">
        <is>
          <t>active</t>
        </is>
      </c>
      <c r="U1648" s="8" t="n"/>
      <c r="V1648" s="1" t="inlineStr">
        <is>
          <t>SIN PRECIO</t>
        </is>
      </c>
    </row>
    <row r="1649">
      <c r="A1649" s="1" t="inlineStr">
        <is>
          <t>67201531386477</t>
        </is>
      </c>
      <c r="B1649" s="1" t="inlineStr">
        <is>
          <t>LENTES GOLD BLACK GC</t>
        </is>
      </c>
      <c r="C1649" s="1" t="inlineStr">
        <is>
          <t>Default Title</t>
        </is>
      </c>
      <c r="D1649" s="1" t="inlineStr">
        <is>
          <t>HAIFENG</t>
        </is>
      </c>
      <c r="E1649" s="4">
        <f>COUNTIF('DETALLE CRONOLÓGICO'!$A$2:$A$4919,$A1649)</f>
        <v/>
      </c>
      <c r="F1649" s="4">
        <f>SUMIFS('DETALLE CRONOLÓGICO'!$I$2:$I$4919,'DETALLE CRONOLÓGICO'!$A$2:$A$4919,$A1649)</f>
        <v/>
      </c>
      <c r="G1649" s="1">
        <f>INDEX('DETALLE CRONOLÓGICO'!$D$2:$D$4919,MATCH($A1649,'DETALLE CRONOLÓGICO'!$A$2:$A$4919,0))</f>
        <v/>
      </c>
      <c r="H1649" s="1">
        <f>INDEX('DETALLE CRONOLÓGICO'!$D$2:$D$4919,MATCH($A1649,'DETALLE CRONOLÓGICO'!$A$2:$A$4919,0)+$E1649-1)</f>
        <v/>
      </c>
      <c r="I1649" s="5">
        <f>IFERROR(SUMIFS('DETALLE CRONOLÓGICO'!$L$2:$L$4919,'DETALLE CRONOLÓGICO'!$A$2:$A$4919,$A1649)/$F1649,"")</f>
        <v/>
      </c>
      <c r="J1649" s="6">
        <f>IFERROR(SUMIFS('DETALLE CRONOLÓGICO'!$K$2:$K$4919,'DETALLE CRONOLÓGICO'!$A$2:$A$4919,$A1649)/$E1649,"")</f>
        <v/>
      </c>
      <c r="K1649" s="6">
        <f>_xlfn.MINIFS('DETALLE CRONOLÓGICO'!$K$2:$K$4919,'DETALLE CRONOLÓGICO'!$A$2:$A$4919,$A1649)</f>
        <v/>
      </c>
      <c r="L1649" s="6">
        <f>_xlfn.MAXIFS('DETALLE CRONOLÓGICO'!$K$2:$K$4919,'DETALLE CRONOLÓGICO'!$A$2:$A$4919,$A1649)</f>
        <v/>
      </c>
      <c r="M1649" s="6">
        <f>INDEX('DETALLE CRONOLÓGICO'!$K$2:$K$4919,MATCH($A1649,'DETALLE CRONOLÓGICO'!$A$2:$A$4919,0)+$E1649-1)</f>
        <v/>
      </c>
      <c r="N1649" s="7">
        <f>IFERROR($M1649/INDEX('DETALLE CRONOLÓGICO'!$K$2:$K$4919,MATCH($A1649,'DETALLE CRONOLÓGICO'!$A$2:$A$4919,0))-1,"")</f>
        <v/>
      </c>
      <c r="O1649" s="6">
        <f>IFERROR($I1649*3,"")</f>
        <v/>
      </c>
      <c r="P1649" s="6">
        <f>IFERROR($I1649*3.5,"")</f>
        <v/>
      </c>
      <c r="Q1649" s="6">
        <f>IFERROR($I1649*4,"")</f>
        <v/>
      </c>
      <c r="R1649" s="6" t="n">
        <v>2884</v>
      </c>
      <c r="S1649" s="4" t="n">
        <v>0</v>
      </c>
      <c r="T1649" s="1" t="inlineStr">
        <is>
          <t>active</t>
        </is>
      </c>
      <c r="U1649" s="8" t="n"/>
      <c r="V1649" s="1" t="inlineStr">
        <is>
          <t>SIN PRECIO</t>
        </is>
      </c>
    </row>
    <row r="1650">
      <c r="A1650" s="1" t="inlineStr">
        <is>
          <t>67201531422989</t>
        </is>
      </c>
      <c r="B1650" s="1" t="inlineStr">
        <is>
          <t>LENTES TRIOMPHE C BROWN</t>
        </is>
      </c>
      <c r="C1650" s="1" t="inlineStr">
        <is>
          <t>Brown</t>
        </is>
      </c>
      <c r="D1650" s="1" t="inlineStr">
        <is>
          <t>HAIFENG</t>
        </is>
      </c>
      <c r="E1650" s="4">
        <f>COUNTIF('DETALLE CRONOLÓGICO'!$A$2:$A$4919,$A1650)</f>
        <v/>
      </c>
      <c r="F1650" s="4">
        <f>SUMIFS('DETALLE CRONOLÓGICO'!$I$2:$I$4919,'DETALLE CRONOLÓGICO'!$A$2:$A$4919,$A1650)</f>
        <v/>
      </c>
      <c r="G1650" s="1">
        <f>INDEX('DETALLE CRONOLÓGICO'!$D$2:$D$4919,MATCH($A1650,'DETALLE CRONOLÓGICO'!$A$2:$A$4919,0))</f>
        <v/>
      </c>
      <c r="H1650" s="1">
        <f>INDEX('DETALLE CRONOLÓGICO'!$D$2:$D$4919,MATCH($A1650,'DETALLE CRONOLÓGICO'!$A$2:$A$4919,0)+$E1650-1)</f>
        <v/>
      </c>
      <c r="I1650" s="5">
        <f>IFERROR(SUMIFS('DETALLE CRONOLÓGICO'!$L$2:$L$4919,'DETALLE CRONOLÓGICO'!$A$2:$A$4919,$A1650)/$F1650,"")</f>
        <v/>
      </c>
      <c r="J1650" s="6">
        <f>IFERROR(SUMIFS('DETALLE CRONOLÓGICO'!$K$2:$K$4919,'DETALLE CRONOLÓGICO'!$A$2:$A$4919,$A1650)/$E1650,"")</f>
        <v/>
      </c>
      <c r="K1650" s="6">
        <f>_xlfn.MINIFS('DETALLE CRONOLÓGICO'!$K$2:$K$4919,'DETALLE CRONOLÓGICO'!$A$2:$A$4919,$A1650)</f>
        <v/>
      </c>
      <c r="L1650" s="6">
        <f>_xlfn.MAXIFS('DETALLE CRONOLÓGICO'!$K$2:$K$4919,'DETALLE CRONOLÓGICO'!$A$2:$A$4919,$A1650)</f>
        <v/>
      </c>
      <c r="M1650" s="6">
        <f>INDEX('DETALLE CRONOLÓGICO'!$K$2:$K$4919,MATCH($A1650,'DETALLE CRONOLÓGICO'!$A$2:$A$4919,0)+$E1650-1)</f>
        <v/>
      </c>
      <c r="N1650" s="7">
        <f>IFERROR($M1650/INDEX('DETALLE CRONOLÓGICO'!$K$2:$K$4919,MATCH($A1650,'DETALLE CRONOLÓGICO'!$A$2:$A$4919,0))-1,"")</f>
        <v/>
      </c>
      <c r="O1650" s="6">
        <f>IFERROR($I1650*3,"")</f>
        <v/>
      </c>
      <c r="P1650" s="6">
        <f>IFERROR($I1650*3.5,"")</f>
        <v/>
      </c>
      <c r="Q1650" s="6">
        <f>IFERROR($I1650*4,"")</f>
        <v/>
      </c>
      <c r="R1650" s="6" t="n">
        <v>2699</v>
      </c>
      <c r="S1650" s="4" t="n">
        <v>2</v>
      </c>
      <c r="T1650" s="1" t="inlineStr">
        <is>
          <t>active</t>
        </is>
      </c>
      <c r="U1650" s="8" t="n"/>
      <c r="V1650" s="1" t="inlineStr">
        <is>
          <t>SIN PRECIO</t>
        </is>
      </c>
    </row>
    <row r="1651">
      <c r="A1651" s="1" t="inlineStr">
        <is>
          <t>67201531515469</t>
        </is>
      </c>
      <c r="B1651" s="1" t="inlineStr">
        <is>
          <t>ARETES LOGO H SILVER</t>
        </is>
      </c>
      <c r="C1651" s="1" t="inlineStr">
        <is>
          <t>Default Title</t>
        </is>
      </c>
      <c r="D1651" s="1" t="inlineStr">
        <is>
          <t>HAIFENG</t>
        </is>
      </c>
      <c r="E1651" s="4">
        <f>COUNTIF('DETALLE CRONOLÓGICO'!$A$2:$A$4919,$A1651)</f>
        <v/>
      </c>
      <c r="F1651" s="4">
        <f>SUMIFS('DETALLE CRONOLÓGICO'!$I$2:$I$4919,'DETALLE CRONOLÓGICO'!$A$2:$A$4919,$A1651)</f>
        <v/>
      </c>
      <c r="G1651" s="1">
        <f>INDEX('DETALLE CRONOLÓGICO'!$D$2:$D$4919,MATCH($A1651,'DETALLE CRONOLÓGICO'!$A$2:$A$4919,0))</f>
        <v/>
      </c>
      <c r="H1651" s="1">
        <f>INDEX('DETALLE CRONOLÓGICO'!$D$2:$D$4919,MATCH($A1651,'DETALLE CRONOLÓGICO'!$A$2:$A$4919,0)+$E1651-1)</f>
        <v/>
      </c>
      <c r="I1651" s="5">
        <f>IFERROR(SUMIFS('DETALLE CRONOLÓGICO'!$L$2:$L$4919,'DETALLE CRONOLÓGICO'!$A$2:$A$4919,$A1651)/$F1651,"")</f>
        <v/>
      </c>
      <c r="J1651" s="6">
        <f>IFERROR(SUMIFS('DETALLE CRONOLÓGICO'!$K$2:$K$4919,'DETALLE CRONOLÓGICO'!$A$2:$A$4919,$A1651)/$E1651,"")</f>
        <v/>
      </c>
      <c r="K1651" s="6">
        <f>_xlfn.MINIFS('DETALLE CRONOLÓGICO'!$K$2:$K$4919,'DETALLE CRONOLÓGICO'!$A$2:$A$4919,$A1651)</f>
        <v/>
      </c>
      <c r="L1651" s="6">
        <f>_xlfn.MAXIFS('DETALLE CRONOLÓGICO'!$K$2:$K$4919,'DETALLE CRONOLÓGICO'!$A$2:$A$4919,$A1651)</f>
        <v/>
      </c>
      <c r="M1651" s="6">
        <f>INDEX('DETALLE CRONOLÓGICO'!$K$2:$K$4919,MATCH($A1651,'DETALLE CRONOLÓGICO'!$A$2:$A$4919,0)+$E1651-1)</f>
        <v/>
      </c>
      <c r="N1651" s="7">
        <f>IFERROR($M1651/INDEX('DETALLE CRONOLÓGICO'!$K$2:$K$4919,MATCH($A1651,'DETALLE CRONOLÓGICO'!$A$2:$A$4919,0))-1,"")</f>
        <v/>
      </c>
      <c r="O1651" s="6">
        <f>IFERROR($I1651*3,"")</f>
        <v/>
      </c>
      <c r="P1651" s="6">
        <f>IFERROR($I1651*3.5,"")</f>
        <v/>
      </c>
      <c r="Q1651" s="6">
        <f>IFERROR($I1651*4,"")</f>
        <v/>
      </c>
      <c r="R1651" s="6" t="n">
        <v>480</v>
      </c>
      <c r="S1651" s="4" t="n">
        <v>2</v>
      </c>
      <c r="T1651" s="1" t="inlineStr">
        <is>
          <t>active</t>
        </is>
      </c>
      <c r="U1651" s="8" t="n"/>
      <c r="V1651" s="1" t="inlineStr">
        <is>
          <t>SIN PRECIO</t>
        </is>
      </c>
    </row>
    <row r="1652">
      <c r="A1652" s="1" t="inlineStr">
        <is>
          <t>67201531685421</t>
        </is>
      </c>
      <c r="B1652" s="1" t="inlineStr">
        <is>
          <t>ARETES LOGO H GOLD</t>
        </is>
      </c>
      <c r="C1652" s="1" t="inlineStr">
        <is>
          <t>Default Title</t>
        </is>
      </c>
      <c r="D1652" s="1" t="inlineStr">
        <is>
          <t>HAIFENG</t>
        </is>
      </c>
      <c r="E1652" s="4">
        <f>COUNTIF('DETALLE CRONOLÓGICO'!$A$2:$A$4919,$A1652)</f>
        <v/>
      </c>
      <c r="F1652" s="4">
        <f>SUMIFS('DETALLE CRONOLÓGICO'!$I$2:$I$4919,'DETALLE CRONOLÓGICO'!$A$2:$A$4919,$A1652)</f>
        <v/>
      </c>
      <c r="G1652" s="1">
        <f>INDEX('DETALLE CRONOLÓGICO'!$D$2:$D$4919,MATCH($A1652,'DETALLE CRONOLÓGICO'!$A$2:$A$4919,0))</f>
        <v/>
      </c>
      <c r="H1652" s="1">
        <f>INDEX('DETALLE CRONOLÓGICO'!$D$2:$D$4919,MATCH($A1652,'DETALLE CRONOLÓGICO'!$A$2:$A$4919,0)+$E1652-1)</f>
        <v/>
      </c>
      <c r="I1652" s="5">
        <f>IFERROR(SUMIFS('DETALLE CRONOLÓGICO'!$L$2:$L$4919,'DETALLE CRONOLÓGICO'!$A$2:$A$4919,$A1652)/$F1652,"")</f>
        <v/>
      </c>
      <c r="J1652" s="6">
        <f>IFERROR(SUMIFS('DETALLE CRONOLÓGICO'!$K$2:$K$4919,'DETALLE CRONOLÓGICO'!$A$2:$A$4919,$A1652)/$E1652,"")</f>
        <v/>
      </c>
      <c r="K1652" s="6">
        <f>_xlfn.MINIFS('DETALLE CRONOLÓGICO'!$K$2:$K$4919,'DETALLE CRONOLÓGICO'!$A$2:$A$4919,$A1652)</f>
        <v/>
      </c>
      <c r="L1652" s="6">
        <f>_xlfn.MAXIFS('DETALLE CRONOLÓGICO'!$K$2:$K$4919,'DETALLE CRONOLÓGICO'!$A$2:$A$4919,$A1652)</f>
        <v/>
      </c>
      <c r="M1652" s="6">
        <f>INDEX('DETALLE CRONOLÓGICO'!$K$2:$K$4919,MATCH($A1652,'DETALLE CRONOLÓGICO'!$A$2:$A$4919,0)+$E1652-1)</f>
        <v/>
      </c>
      <c r="N1652" s="7">
        <f>IFERROR($M1652/INDEX('DETALLE CRONOLÓGICO'!$K$2:$K$4919,MATCH($A1652,'DETALLE CRONOLÓGICO'!$A$2:$A$4919,0))-1,"")</f>
        <v/>
      </c>
      <c r="O1652" s="6">
        <f>IFERROR($I1652*3,"")</f>
        <v/>
      </c>
      <c r="P1652" s="6">
        <f>IFERROR($I1652*3.5,"")</f>
        <v/>
      </c>
      <c r="Q1652" s="6">
        <f>IFERROR($I1652*4,"")</f>
        <v/>
      </c>
      <c r="R1652" s="6" t="n">
        <v>480</v>
      </c>
      <c r="S1652" s="4" t="n">
        <v>2</v>
      </c>
      <c r="T1652" s="1" t="inlineStr">
        <is>
          <t>active</t>
        </is>
      </c>
      <c r="U1652" s="8" t="n"/>
      <c r="V1652" s="1" t="inlineStr">
        <is>
          <t>SIN PRECIO</t>
        </is>
      </c>
    </row>
    <row r="1653">
      <c r="A1653" s="1" t="inlineStr">
        <is>
          <t>67201531759373</t>
        </is>
      </c>
      <c r="B1653" s="1" t="inlineStr">
        <is>
          <t>ARETES LOGO H ROSE GOLD</t>
        </is>
      </c>
      <c r="C1653" s="1" t="inlineStr">
        <is>
          <t>Default Title</t>
        </is>
      </c>
      <c r="D1653" s="1" t="inlineStr">
        <is>
          <t>HAIFENG</t>
        </is>
      </c>
      <c r="E1653" s="4">
        <f>COUNTIF('DETALLE CRONOLÓGICO'!$A$2:$A$4919,$A1653)</f>
        <v/>
      </c>
      <c r="F1653" s="4">
        <f>SUMIFS('DETALLE CRONOLÓGICO'!$I$2:$I$4919,'DETALLE CRONOLÓGICO'!$A$2:$A$4919,$A1653)</f>
        <v/>
      </c>
      <c r="G1653" s="1">
        <f>INDEX('DETALLE CRONOLÓGICO'!$D$2:$D$4919,MATCH($A1653,'DETALLE CRONOLÓGICO'!$A$2:$A$4919,0))</f>
        <v/>
      </c>
      <c r="H1653" s="1">
        <f>INDEX('DETALLE CRONOLÓGICO'!$D$2:$D$4919,MATCH($A1653,'DETALLE CRONOLÓGICO'!$A$2:$A$4919,0)+$E1653-1)</f>
        <v/>
      </c>
      <c r="I1653" s="5">
        <f>IFERROR(SUMIFS('DETALLE CRONOLÓGICO'!$L$2:$L$4919,'DETALLE CRONOLÓGICO'!$A$2:$A$4919,$A1653)/$F1653,"")</f>
        <v/>
      </c>
      <c r="J1653" s="6">
        <f>IFERROR(SUMIFS('DETALLE CRONOLÓGICO'!$K$2:$K$4919,'DETALLE CRONOLÓGICO'!$A$2:$A$4919,$A1653)/$E1653,"")</f>
        <v/>
      </c>
      <c r="K1653" s="6">
        <f>_xlfn.MINIFS('DETALLE CRONOLÓGICO'!$K$2:$K$4919,'DETALLE CRONOLÓGICO'!$A$2:$A$4919,$A1653)</f>
        <v/>
      </c>
      <c r="L1653" s="6">
        <f>_xlfn.MAXIFS('DETALLE CRONOLÓGICO'!$K$2:$K$4919,'DETALLE CRONOLÓGICO'!$A$2:$A$4919,$A1653)</f>
        <v/>
      </c>
      <c r="M1653" s="6">
        <f>INDEX('DETALLE CRONOLÓGICO'!$K$2:$K$4919,MATCH($A1653,'DETALLE CRONOLÓGICO'!$A$2:$A$4919,0)+$E1653-1)</f>
        <v/>
      </c>
      <c r="N1653" s="7">
        <f>IFERROR($M1653/INDEX('DETALLE CRONOLÓGICO'!$K$2:$K$4919,MATCH($A1653,'DETALLE CRONOLÓGICO'!$A$2:$A$4919,0))-1,"")</f>
        <v/>
      </c>
      <c r="O1653" s="6">
        <f>IFERROR($I1653*3,"")</f>
        <v/>
      </c>
      <c r="P1653" s="6">
        <f>IFERROR($I1653*3.5,"")</f>
        <v/>
      </c>
      <c r="Q1653" s="6">
        <f>IFERROR($I1653*4,"")</f>
        <v/>
      </c>
      <c r="R1653" s="6" t="n">
        <v>480</v>
      </c>
      <c r="S1653" s="4" t="n">
        <v>2</v>
      </c>
      <c r="T1653" s="1" t="inlineStr">
        <is>
          <t>active</t>
        </is>
      </c>
      <c r="U1653" s="8" t="n"/>
      <c r="V1653" s="1" t="inlineStr">
        <is>
          <t>SIN PRECIO</t>
        </is>
      </c>
    </row>
    <row r="1654">
      <c r="A1654" s="1" t="inlineStr">
        <is>
          <t>67201531837869</t>
        </is>
      </c>
      <c r="B1654" s="1" t="inlineStr">
        <is>
          <t>BRAZALETE KELLY CLIC H ROSE GOLD</t>
        </is>
      </c>
      <c r="C1654" s="1" t="inlineStr">
        <is>
          <t>HIGH QUALITY</t>
        </is>
      </c>
      <c r="D1654" s="1" t="inlineStr">
        <is>
          <t>HAIFENG</t>
        </is>
      </c>
      <c r="E1654" s="4">
        <f>COUNTIF('DETALLE CRONOLÓGICO'!$A$2:$A$4919,$A1654)</f>
        <v/>
      </c>
      <c r="F1654" s="4">
        <f>SUMIFS('DETALLE CRONOLÓGICO'!$I$2:$I$4919,'DETALLE CRONOLÓGICO'!$A$2:$A$4919,$A1654)</f>
        <v/>
      </c>
      <c r="G1654" s="1">
        <f>INDEX('DETALLE CRONOLÓGICO'!$D$2:$D$4919,MATCH($A1654,'DETALLE CRONOLÓGICO'!$A$2:$A$4919,0))</f>
        <v/>
      </c>
      <c r="H1654" s="1">
        <f>INDEX('DETALLE CRONOLÓGICO'!$D$2:$D$4919,MATCH($A1654,'DETALLE CRONOLÓGICO'!$A$2:$A$4919,0)+$E1654-1)</f>
        <v/>
      </c>
      <c r="I1654" s="5">
        <f>IFERROR(SUMIFS('DETALLE CRONOLÓGICO'!$L$2:$L$4919,'DETALLE CRONOLÓGICO'!$A$2:$A$4919,$A1654)/$F1654,"")</f>
        <v/>
      </c>
      <c r="J1654" s="6">
        <f>IFERROR(SUMIFS('DETALLE CRONOLÓGICO'!$K$2:$K$4919,'DETALLE CRONOLÓGICO'!$A$2:$A$4919,$A1654)/$E1654,"")</f>
        <v/>
      </c>
      <c r="K1654" s="6">
        <f>_xlfn.MINIFS('DETALLE CRONOLÓGICO'!$K$2:$K$4919,'DETALLE CRONOLÓGICO'!$A$2:$A$4919,$A1654)</f>
        <v/>
      </c>
      <c r="L1654" s="6">
        <f>_xlfn.MAXIFS('DETALLE CRONOLÓGICO'!$K$2:$K$4919,'DETALLE CRONOLÓGICO'!$A$2:$A$4919,$A1654)</f>
        <v/>
      </c>
      <c r="M1654" s="6">
        <f>INDEX('DETALLE CRONOLÓGICO'!$K$2:$K$4919,MATCH($A1654,'DETALLE CRONOLÓGICO'!$A$2:$A$4919,0)+$E1654-1)</f>
        <v/>
      </c>
      <c r="N1654" s="7">
        <f>IFERROR($M1654/INDEX('DETALLE CRONOLÓGICO'!$K$2:$K$4919,MATCH($A1654,'DETALLE CRONOLÓGICO'!$A$2:$A$4919,0))-1,"")</f>
        <v/>
      </c>
      <c r="O1654" s="6">
        <f>IFERROR($I1654*3,"")</f>
        <v/>
      </c>
      <c r="P1654" s="6">
        <f>IFERROR($I1654*3.5,"")</f>
        <v/>
      </c>
      <c r="Q1654" s="6">
        <f>IFERROR($I1654*4,"")</f>
        <v/>
      </c>
      <c r="R1654" s="6" t="n">
        <v>824</v>
      </c>
      <c r="S1654" s="4" t="n">
        <v>2</v>
      </c>
      <c r="T1654" s="1" t="inlineStr">
        <is>
          <t>active</t>
        </is>
      </c>
      <c r="U1654" s="8" t="n"/>
      <c r="V1654" s="1" t="inlineStr">
        <is>
          <t>SIN PRECIO</t>
        </is>
      </c>
    </row>
    <row r="1655">
      <c r="A1655" s="1" t="inlineStr">
        <is>
          <t>67201531970989</t>
        </is>
      </c>
      <c r="B1655" s="1" t="inlineStr">
        <is>
          <t>BRAZALETE MSS GOLD</t>
        </is>
      </c>
      <c r="C1655" s="1" t="inlineStr">
        <is>
          <t>16 cm</t>
        </is>
      </c>
      <c r="D1655" s="1" t="inlineStr">
        <is>
          <t>HAIFENG</t>
        </is>
      </c>
      <c r="E1655" s="4">
        <f>COUNTIF('DETALLE CRONOLÓGICO'!$A$2:$A$4919,$A1655)</f>
        <v/>
      </c>
      <c r="F1655" s="4">
        <f>SUMIFS('DETALLE CRONOLÓGICO'!$I$2:$I$4919,'DETALLE CRONOLÓGICO'!$A$2:$A$4919,$A1655)</f>
        <v/>
      </c>
      <c r="G1655" s="1">
        <f>INDEX('DETALLE CRONOLÓGICO'!$D$2:$D$4919,MATCH($A1655,'DETALLE CRONOLÓGICO'!$A$2:$A$4919,0))</f>
        <v/>
      </c>
      <c r="H1655" s="1">
        <f>INDEX('DETALLE CRONOLÓGICO'!$D$2:$D$4919,MATCH($A1655,'DETALLE CRONOLÓGICO'!$A$2:$A$4919,0)+$E1655-1)</f>
        <v/>
      </c>
      <c r="I1655" s="5">
        <f>IFERROR(SUMIFS('DETALLE CRONOLÓGICO'!$L$2:$L$4919,'DETALLE CRONOLÓGICO'!$A$2:$A$4919,$A1655)/$F1655,"")</f>
        <v/>
      </c>
      <c r="J1655" s="6">
        <f>IFERROR(SUMIFS('DETALLE CRONOLÓGICO'!$K$2:$K$4919,'DETALLE CRONOLÓGICO'!$A$2:$A$4919,$A1655)/$E1655,"")</f>
        <v/>
      </c>
      <c r="K1655" s="6">
        <f>_xlfn.MINIFS('DETALLE CRONOLÓGICO'!$K$2:$K$4919,'DETALLE CRONOLÓGICO'!$A$2:$A$4919,$A1655)</f>
        <v/>
      </c>
      <c r="L1655" s="6">
        <f>_xlfn.MAXIFS('DETALLE CRONOLÓGICO'!$K$2:$K$4919,'DETALLE CRONOLÓGICO'!$A$2:$A$4919,$A1655)</f>
        <v/>
      </c>
      <c r="M1655" s="6">
        <f>INDEX('DETALLE CRONOLÓGICO'!$K$2:$K$4919,MATCH($A1655,'DETALLE CRONOLÓGICO'!$A$2:$A$4919,0)+$E1655-1)</f>
        <v/>
      </c>
      <c r="N1655" s="7">
        <f>IFERROR($M1655/INDEX('DETALLE CRONOLÓGICO'!$K$2:$K$4919,MATCH($A1655,'DETALLE CRONOLÓGICO'!$A$2:$A$4919,0))-1,"")</f>
        <v/>
      </c>
      <c r="O1655" s="6">
        <f>IFERROR($I1655*3,"")</f>
        <v/>
      </c>
      <c r="P1655" s="6">
        <f>IFERROR($I1655*3.5,"")</f>
        <v/>
      </c>
      <c r="Q1655" s="6">
        <f>IFERROR($I1655*4,"")</f>
        <v/>
      </c>
      <c r="R1655" s="6" t="n">
        <v>850</v>
      </c>
      <c r="S1655" s="4" t="n">
        <v>5</v>
      </c>
      <c r="T1655" s="1" t="inlineStr">
        <is>
          <t>active</t>
        </is>
      </c>
      <c r="U1655" s="8" t="n"/>
      <c r="V1655" s="1" t="inlineStr">
        <is>
          <t>SIN PRECIO</t>
        </is>
      </c>
    </row>
    <row r="1656">
      <c r="A1656" s="1" t="inlineStr">
        <is>
          <t>67201532004237</t>
        </is>
      </c>
      <c r="B1656" s="1" t="inlineStr">
        <is>
          <t>PULSERA MSS SILVER</t>
        </is>
      </c>
      <c r="C1656" s="1" t="inlineStr">
        <is>
          <t>Default Title</t>
        </is>
      </c>
      <c r="D1656" s="1" t="inlineStr">
        <is>
          <t>HAIFENG</t>
        </is>
      </c>
      <c r="E1656" s="4">
        <f>COUNTIF('DETALLE CRONOLÓGICO'!$A$2:$A$4919,$A1656)</f>
        <v/>
      </c>
      <c r="F1656" s="4">
        <f>SUMIFS('DETALLE CRONOLÓGICO'!$I$2:$I$4919,'DETALLE CRONOLÓGICO'!$A$2:$A$4919,$A1656)</f>
        <v/>
      </c>
      <c r="G1656" s="1">
        <f>INDEX('DETALLE CRONOLÓGICO'!$D$2:$D$4919,MATCH($A1656,'DETALLE CRONOLÓGICO'!$A$2:$A$4919,0))</f>
        <v/>
      </c>
      <c r="H1656" s="1">
        <f>INDEX('DETALLE CRONOLÓGICO'!$D$2:$D$4919,MATCH($A1656,'DETALLE CRONOLÓGICO'!$A$2:$A$4919,0)+$E1656-1)</f>
        <v/>
      </c>
      <c r="I1656" s="5">
        <f>IFERROR(SUMIFS('DETALLE CRONOLÓGICO'!$L$2:$L$4919,'DETALLE CRONOLÓGICO'!$A$2:$A$4919,$A1656)/$F1656,"")</f>
        <v/>
      </c>
      <c r="J1656" s="6">
        <f>IFERROR(SUMIFS('DETALLE CRONOLÓGICO'!$K$2:$K$4919,'DETALLE CRONOLÓGICO'!$A$2:$A$4919,$A1656)/$E1656,"")</f>
        <v/>
      </c>
      <c r="K1656" s="6">
        <f>_xlfn.MINIFS('DETALLE CRONOLÓGICO'!$K$2:$K$4919,'DETALLE CRONOLÓGICO'!$A$2:$A$4919,$A1656)</f>
        <v/>
      </c>
      <c r="L1656" s="6">
        <f>_xlfn.MAXIFS('DETALLE CRONOLÓGICO'!$K$2:$K$4919,'DETALLE CRONOLÓGICO'!$A$2:$A$4919,$A1656)</f>
        <v/>
      </c>
      <c r="M1656" s="6">
        <f>INDEX('DETALLE CRONOLÓGICO'!$K$2:$K$4919,MATCH($A1656,'DETALLE CRONOLÓGICO'!$A$2:$A$4919,0)+$E1656-1)</f>
        <v/>
      </c>
      <c r="N1656" s="7">
        <f>IFERROR($M1656/INDEX('DETALLE CRONOLÓGICO'!$K$2:$K$4919,MATCH($A1656,'DETALLE CRONOLÓGICO'!$A$2:$A$4919,0))-1,"")</f>
        <v/>
      </c>
      <c r="O1656" s="6">
        <f>IFERROR($I1656*3,"")</f>
        <v/>
      </c>
      <c r="P1656" s="6">
        <f>IFERROR($I1656*3.5,"")</f>
        <v/>
      </c>
      <c r="Q1656" s="6">
        <f>IFERROR($I1656*4,"")</f>
        <v/>
      </c>
      <c r="R1656" s="6" t="n">
        <v>599</v>
      </c>
      <c r="S1656" s="4" t="n">
        <v>0</v>
      </c>
      <c r="T1656" s="1" t="inlineStr">
        <is>
          <t>active</t>
        </is>
      </c>
      <c r="U1656" s="8" t="n"/>
      <c r="V1656" s="1" t="inlineStr">
        <is>
          <t>SIN PRECIO</t>
        </is>
      </c>
    </row>
    <row r="1657">
      <c r="A1657" s="1" t="inlineStr">
        <is>
          <t>67201532161837</t>
        </is>
      </c>
      <c r="B1657" s="1" t="inlineStr">
        <is>
          <t>PULSERA MSS GOLD</t>
        </is>
      </c>
      <c r="C1657" s="1" t="inlineStr">
        <is>
          <t>Default Title</t>
        </is>
      </c>
      <c r="D1657" s="1" t="inlineStr">
        <is>
          <t>HAIFENG</t>
        </is>
      </c>
      <c r="E1657" s="4">
        <f>COUNTIF('DETALLE CRONOLÓGICO'!$A$2:$A$4919,$A1657)</f>
        <v/>
      </c>
      <c r="F1657" s="4">
        <f>SUMIFS('DETALLE CRONOLÓGICO'!$I$2:$I$4919,'DETALLE CRONOLÓGICO'!$A$2:$A$4919,$A1657)</f>
        <v/>
      </c>
      <c r="G1657" s="1">
        <f>INDEX('DETALLE CRONOLÓGICO'!$D$2:$D$4919,MATCH($A1657,'DETALLE CRONOLÓGICO'!$A$2:$A$4919,0))</f>
        <v/>
      </c>
      <c r="H1657" s="1">
        <f>INDEX('DETALLE CRONOLÓGICO'!$D$2:$D$4919,MATCH($A1657,'DETALLE CRONOLÓGICO'!$A$2:$A$4919,0)+$E1657-1)</f>
        <v/>
      </c>
      <c r="I1657" s="5">
        <f>IFERROR(SUMIFS('DETALLE CRONOLÓGICO'!$L$2:$L$4919,'DETALLE CRONOLÓGICO'!$A$2:$A$4919,$A1657)/$F1657,"")</f>
        <v/>
      </c>
      <c r="J1657" s="6">
        <f>IFERROR(SUMIFS('DETALLE CRONOLÓGICO'!$K$2:$K$4919,'DETALLE CRONOLÓGICO'!$A$2:$A$4919,$A1657)/$E1657,"")</f>
        <v/>
      </c>
      <c r="K1657" s="6">
        <f>_xlfn.MINIFS('DETALLE CRONOLÓGICO'!$K$2:$K$4919,'DETALLE CRONOLÓGICO'!$A$2:$A$4919,$A1657)</f>
        <v/>
      </c>
      <c r="L1657" s="6">
        <f>_xlfn.MAXIFS('DETALLE CRONOLÓGICO'!$K$2:$K$4919,'DETALLE CRONOLÓGICO'!$A$2:$A$4919,$A1657)</f>
        <v/>
      </c>
      <c r="M1657" s="6">
        <f>INDEX('DETALLE CRONOLÓGICO'!$K$2:$K$4919,MATCH($A1657,'DETALLE CRONOLÓGICO'!$A$2:$A$4919,0)+$E1657-1)</f>
        <v/>
      </c>
      <c r="N1657" s="7">
        <f>IFERROR($M1657/INDEX('DETALLE CRONOLÓGICO'!$K$2:$K$4919,MATCH($A1657,'DETALLE CRONOLÓGICO'!$A$2:$A$4919,0))-1,"")</f>
        <v/>
      </c>
      <c r="O1657" s="6">
        <f>IFERROR($I1657*3,"")</f>
        <v/>
      </c>
      <c r="P1657" s="6">
        <f>IFERROR($I1657*3.5,"")</f>
        <v/>
      </c>
      <c r="Q1657" s="6">
        <f>IFERROR($I1657*4,"")</f>
        <v/>
      </c>
      <c r="R1657" s="6" t="n">
        <v>599</v>
      </c>
      <c r="S1657" s="4" t="n">
        <v>2</v>
      </c>
      <c r="T1657" s="1" t="inlineStr">
        <is>
          <t>active</t>
        </is>
      </c>
      <c r="U1657" s="8" t="n"/>
      <c r="V1657" s="1" t="inlineStr">
        <is>
          <t>SIN PRECIO</t>
        </is>
      </c>
    </row>
    <row r="1658">
      <c r="A1658" s="1" t="inlineStr">
        <is>
          <t>67201532907277</t>
        </is>
      </c>
      <c r="B1658" s="1" t="inlineStr">
        <is>
          <t>ANILLO T1 T GOLD</t>
        </is>
      </c>
      <c r="C1658" s="1" t="inlineStr">
        <is>
          <t>7</t>
        </is>
      </c>
      <c r="D1658" s="1" t="inlineStr">
        <is>
          <t>HAIFENG</t>
        </is>
      </c>
      <c r="E1658" s="4">
        <f>COUNTIF('DETALLE CRONOLÓGICO'!$A$2:$A$4919,$A1658)</f>
        <v/>
      </c>
      <c r="F1658" s="4">
        <f>SUMIFS('DETALLE CRONOLÓGICO'!$I$2:$I$4919,'DETALLE CRONOLÓGICO'!$A$2:$A$4919,$A1658)</f>
        <v/>
      </c>
      <c r="G1658" s="1">
        <f>INDEX('DETALLE CRONOLÓGICO'!$D$2:$D$4919,MATCH($A1658,'DETALLE CRONOLÓGICO'!$A$2:$A$4919,0))</f>
        <v/>
      </c>
      <c r="H1658" s="1">
        <f>INDEX('DETALLE CRONOLÓGICO'!$D$2:$D$4919,MATCH($A1658,'DETALLE CRONOLÓGICO'!$A$2:$A$4919,0)+$E1658-1)</f>
        <v/>
      </c>
      <c r="I1658" s="5">
        <f>IFERROR(SUMIFS('DETALLE CRONOLÓGICO'!$L$2:$L$4919,'DETALLE CRONOLÓGICO'!$A$2:$A$4919,$A1658)/$F1658,"")</f>
        <v/>
      </c>
      <c r="J1658" s="6">
        <f>IFERROR(SUMIFS('DETALLE CRONOLÓGICO'!$K$2:$K$4919,'DETALLE CRONOLÓGICO'!$A$2:$A$4919,$A1658)/$E1658,"")</f>
        <v/>
      </c>
      <c r="K1658" s="6">
        <f>_xlfn.MINIFS('DETALLE CRONOLÓGICO'!$K$2:$K$4919,'DETALLE CRONOLÓGICO'!$A$2:$A$4919,$A1658)</f>
        <v/>
      </c>
      <c r="L1658" s="6">
        <f>_xlfn.MAXIFS('DETALLE CRONOLÓGICO'!$K$2:$K$4919,'DETALLE CRONOLÓGICO'!$A$2:$A$4919,$A1658)</f>
        <v/>
      </c>
      <c r="M1658" s="6">
        <f>INDEX('DETALLE CRONOLÓGICO'!$K$2:$K$4919,MATCH($A1658,'DETALLE CRONOLÓGICO'!$A$2:$A$4919,0)+$E1658-1)</f>
        <v/>
      </c>
      <c r="N1658" s="7">
        <f>IFERROR($M1658/INDEX('DETALLE CRONOLÓGICO'!$K$2:$K$4919,MATCH($A1658,'DETALLE CRONOLÓGICO'!$A$2:$A$4919,0))-1,"")</f>
        <v/>
      </c>
      <c r="O1658" s="6">
        <f>IFERROR($I1658*3,"")</f>
        <v/>
      </c>
      <c r="P1658" s="6">
        <f>IFERROR($I1658*3.5,"")</f>
        <v/>
      </c>
      <c r="Q1658" s="6">
        <f>IFERROR($I1658*4,"")</f>
        <v/>
      </c>
      <c r="R1658" s="6" t="n">
        <v>460</v>
      </c>
      <c r="S1658" s="4" t="n">
        <v>2</v>
      </c>
      <c r="T1658" s="1" t="inlineStr">
        <is>
          <t>active</t>
        </is>
      </c>
      <c r="U1658" s="8" t="n"/>
      <c r="V1658" s="1" t="inlineStr">
        <is>
          <t>SIN PRECIO</t>
        </is>
      </c>
    </row>
    <row r="1659">
      <c r="A1659" s="1" t="inlineStr">
        <is>
          <t>67201533040045</t>
        </is>
      </c>
      <c r="B1659" s="1" t="inlineStr">
        <is>
          <t>ANILLO T1 T GOLD</t>
        </is>
      </c>
      <c r="C1659" s="1" t="inlineStr">
        <is>
          <t>8</t>
        </is>
      </c>
      <c r="D1659" s="1" t="inlineStr">
        <is>
          <t>HAIFENG</t>
        </is>
      </c>
      <c r="E1659" s="4">
        <f>COUNTIF('DETALLE CRONOLÓGICO'!$A$2:$A$4919,$A1659)</f>
        <v/>
      </c>
      <c r="F1659" s="4">
        <f>SUMIFS('DETALLE CRONOLÓGICO'!$I$2:$I$4919,'DETALLE CRONOLÓGICO'!$A$2:$A$4919,$A1659)</f>
        <v/>
      </c>
      <c r="G1659" s="1">
        <f>INDEX('DETALLE CRONOLÓGICO'!$D$2:$D$4919,MATCH($A1659,'DETALLE CRONOLÓGICO'!$A$2:$A$4919,0))</f>
        <v/>
      </c>
      <c r="H1659" s="1">
        <f>INDEX('DETALLE CRONOLÓGICO'!$D$2:$D$4919,MATCH($A1659,'DETALLE CRONOLÓGICO'!$A$2:$A$4919,0)+$E1659-1)</f>
        <v/>
      </c>
      <c r="I1659" s="5">
        <f>IFERROR(SUMIFS('DETALLE CRONOLÓGICO'!$L$2:$L$4919,'DETALLE CRONOLÓGICO'!$A$2:$A$4919,$A1659)/$F1659,"")</f>
        <v/>
      </c>
      <c r="J1659" s="6">
        <f>IFERROR(SUMIFS('DETALLE CRONOLÓGICO'!$K$2:$K$4919,'DETALLE CRONOLÓGICO'!$A$2:$A$4919,$A1659)/$E1659,"")</f>
        <v/>
      </c>
      <c r="K1659" s="6">
        <f>_xlfn.MINIFS('DETALLE CRONOLÓGICO'!$K$2:$K$4919,'DETALLE CRONOLÓGICO'!$A$2:$A$4919,$A1659)</f>
        <v/>
      </c>
      <c r="L1659" s="6">
        <f>_xlfn.MAXIFS('DETALLE CRONOLÓGICO'!$K$2:$K$4919,'DETALLE CRONOLÓGICO'!$A$2:$A$4919,$A1659)</f>
        <v/>
      </c>
      <c r="M1659" s="6">
        <f>INDEX('DETALLE CRONOLÓGICO'!$K$2:$K$4919,MATCH($A1659,'DETALLE CRONOLÓGICO'!$A$2:$A$4919,0)+$E1659-1)</f>
        <v/>
      </c>
      <c r="N1659" s="7">
        <f>IFERROR($M1659/INDEX('DETALLE CRONOLÓGICO'!$K$2:$K$4919,MATCH($A1659,'DETALLE CRONOLÓGICO'!$A$2:$A$4919,0))-1,"")</f>
        <v/>
      </c>
      <c r="O1659" s="6">
        <f>IFERROR($I1659*3,"")</f>
        <v/>
      </c>
      <c r="P1659" s="6">
        <f>IFERROR($I1659*3.5,"")</f>
        <v/>
      </c>
      <c r="Q1659" s="6">
        <f>IFERROR($I1659*4,"")</f>
        <v/>
      </c>
      <c r="R1659" s="6" t="n">
        <v>460</v>
      </c>
      <c r="S1659" s="4" t="n">
        <v>2</v>
      </c>
      <c r="T1659" s="1" t="inlineStr">
        <is>
          <t>active</t>
        </is>
      </c>
      <c r="U1659" s="8" t="n"/>
      <c r="V1659" s="1" t="inlineStr">
        <is>
          <t>SIN PRECIO</t>
        </is>
      </c>
    </row>
    <row r="1660">
      <c r="A1660" s="1" t="inlineStr">
        <is>
          <t>67201533116173</t>
        </is>
      </c>
      <c r="B1660" s="1" t="inlineStr">
        <is>
          <t>ANILLO T1 T SILVER</t>
        </is>
      </c>
      <c r="C1660" s="1" t="inlineStr">
        <is>
          <t>6</t>
        </is>
      </c>
      <c r="D1660" s="1" t="inlineStr">
        <is>
          <t>HAIFENG</t>
        </is>
      </c>
      <c r="E1660" s="4">
        <f>COUNTIF('DETALLE CRONOLÓGICO'!$A$2:$A$4919,$A1660)</f>
        <v/>
      </c>
      <c r="F1660" s="4">
        <f>SUMIFS('DETALLE CRONOLÓGICO'!$I$2:$I$4919,'DETALLE CRONOLÓGICO'!$A$2:$A$4919,$A1660)</f>
        <v/>
      </c>
      <c r="G1660" s="1">
        <f>INDEX('DETALLE CRONOLÓGICO'!$D$2:$D$4919,MATCH($A1660,'DETALLE CRONOLÓGICO'!$A$2:$A$4919,0))</f>
        <v/>
      </c>
      <c r="H1660" s="1">
        <f>INDEX('DETALLE CRONOLÓGICO'!$D$2:$D$4919,MATCH($A1660,'DETALLE CRONOLÓGICO'!$A$2:$A$4919,0)+$E1660-1)</f>
        <v/>
      </c>
      <c r="I1660" s="5">
        <f>IFERROR(SUMIFS('DETALLE CRONOLÓGICO'!$L$2:$L$4919,'DETALLE CRONOLÓGICO'!$A$2:$A$4919,$A1660)/$F1660,"")</f>
        <v/>
      </c>
      <c r="J1660" s="6">
        <f>IFERROR(SUMIFS('DETALLE CRONOLÓGICO'!$K$2:$K$4919,'DETALLE CRONOLÓGICO'!$A$2:$A$4919,$A1660)/$E1660,"")</f>
        <v/>
      </c>
      <c r="K1660" s="6">
        <f>_xlfn.MINIFS('DETALLE CRONOLÓGICO'!$K$2:$K$4919,'DETALLE CRONOLÓGICO'!$A$2:$A$4919,$A1660)</f>
        <v/>
      </c>
      <c r="L1660" s="6">
        <f>_xlfn.MAXIFS('DETALLE CRONOLÓGICO'!$K$2:$K$4919,'DETALLE CRONOLÓGICO'!$A$2:$A$4919,$A1660)</f>
        <v/>
      </c>
      <c r="M1660" s="6">
        <f>INDEX('DETALLE CRONOLÓGICO'!$K$2:$K$4919,MATCH($A1660,'DETALLE CRONOLÓGICO'!$A$2:$A$4919,0)+$E1660-1)</f>
        <v/>
      </c>
      <c r="N1660" s="7">
        <f>IFERROR($M1660/INDEX('DETALLE CRONOLÓGICO'!$K$2:$K$4919,MATCH($A1660,'DETALLE CRONOLÓGICO'!$A$2:$A$4919,0))-1,"")</f>
        <v/>
      </c>
      <c r="O1660" s="6">
        <f>IFERROR($I1660*3,"")</f>
        <v/>
      </c>
      <c r="P1660" s="6">
        <f>IFERROR($I1660*3.5,"")</f>
        <v/>
      </c>
      <c r="Q1660" s="6">
        <f>IFERROR($I1660*4,"")</f>
        <v/>
      </c>
      <c r="R1660" s="6" t="n">
        <v>530</v>
      </c>
      <c r="S1660" s="4" t="n">
        <v>2</v>
      </c>
      <c r="T1660" s="1" t="inlineStr">
        <is>
          <t>active</t>
        </is>
      </c>
      <c r="U1660" s="8" t="n"/>
      <c r="V1660" s="1" t="inlineStr">
        <is>
          <t>SIN PRECIO</t>
        </is>
      </c>
    </row>
    <row r="1661">
      <c r="A1661" s="1" t="inlineStr">
        <is>
          <t>67201533248941</t>
        </is>
      </c>
      <c r="B1661" s="1" t="inlineStr">
        <is>
          <t>ANILLO T1 T SILVER</t>
        </is>
      </c>
      <c r="C1661" s="1" t="inlineStr">
        <is>
          <t>7</t>
        </is>
      </c>
      <c r="D1661" s="1" t="inlineStr">
        <is>
          <t>HAIFENG</t>
        </is>
      </c>
      <c r="E1661" s="4">
        <f>COUNTIF('DETALLE CRONOLÓGICO'!$A$2:$A$4919,$A1661)</f>
        <v/>
      </c>
      <c r="F1661" s="4">
        <f>SUMIFS('DETALLE CRONOLÓGICO'!$I$2:$I$4919,'DETALLE CRONOLÓGICO'!$A$2:$A$4919,$A1661)</f>
        <v/>
      </c>
      <c r="G1661" s="1">
        <f>INDEX('DETALLE CRONOLÓGICO'!$D$2:$D$4919,MATCH($A1661,'DETALLE CRONOLÓGICO'!$A$2:$A$4919,0))</f>
        <v/>
      </c>
      <c r="H1661" s="1">
        <f>INDEX('DETALLE CRONOLÓGICO'!$D$2:$D$4919,MATCH($A1661,'DETALLE CRONOLÓGICO'!$A$2:$A$4919,0)+$E1661-1)</f>
        <v/>
      </c>
      <c r="I1661" s="5">
        <f>IFERROR(SUMIFS('DETALLE CRONOLÓGICO'!$L$2:$L$4919,'DETALLE CRONOLÓGICO'!$A$2:$A$4919,$A1661)/$F1661,"")</f>
        <v/>
      </c>
      <c r="J1661" s="6">
        <f>IFERROR(SUMIFS('DETALLE CRONOLÓGICO'!$K$2:$K$4919,'DETALLE CRONOLÓGICO'!$A$2:$A$4919,$A1661)/$E1661,"")</f>
        <v/>
      </c>
      <c r="K1661" s="6">
        <f>_xlfn.MINIFS('DETALLE CRONOLÓGICO'!$K$2:$K$4919,'DETALLE CRONOLÓGICO'!$A$2:$A$4919,$A1661)</f>
        <v/>
      </c>
      <c r="L1661" s="6">
        <f>_xlfn.MAXIFS('DETALLE CRONOLÓGICO'!$K$2:$K$4919,'DETALLE CRONOLÓGICO'!$A$2:$A$4919,$A1661)</f>
        <v/>
      </c>
      <c r="M1661" s="6">
        <f>INDEX('DETALLE CRONOLÓGICO'!$K$2:$K$4919,MATCH($A1661,'DETALLE CRONOLÓGICO'!$A$2:$A$4919,0)+$E1661-1)</f>
        <v/>
      </c>
      <c r="N1661" s="7">
        <f>IFERROR($M1661/INDEX('DETALLE CRONOLÓGICO'!$K$2:$K$4919,MATCH($A1661,'DETALLE CRONOLÓGICO'!$A$2:$A$4919,0))-1,"")</f>
        <v/>
      </c>
      <c r="O1661" s="6">
        <f>IFERROR($I1661*3,"")</f>
        <v/>
      </c>
      <c r="P1661" s="6">
        <f>IFERROR($I1661*3.5,"")</f>
        <v/>
      </c>
      <c r="Q1661" s="6">
        <f>IFERROR($I1661*4,"")</f>
        <v/>
      </c>
      <c r="R1661" s="6" t="n">
        <v>530</v>
      </c>
      <c r="S1661" s="4" t="n">
        <v>1</v>
      </c>
      <c r="T1661" s="1" t="inlineStr">
        <is>
          <t>active</t>
        </is>
      </c>
      <c r="U1661" s="8" t="n"/>
      <c r="V1661" s="1" t="inlineStr">
        <is>
          <t>SIN PRECIO</t>
        </is>
      </c>
    </row>
    <row r="1662">
      <c r="A1662" s="1" t="inlineStr">
        <is>
          <t>67201533381709</t>
        </is>
      </c>
      <c r="B1662" s="1" t="inlineStr">
        <is>
          <t>ANILLO T1 T SILVER</t>
        </is>
      </c>
      <c r="C1662" s="1" t="inlineStr">
        <is>
          <t>8</t>
        </is>
      </c>
      <c r="D1662" s="1" t="inlineStr">
        <is>
          <t>HAIFENG</t>
        </is>
      </c>
      <c r="E1662" s="4">
        <f>COUNTIF('DETALLE CRONOLÓGICO'!$A$2:$A$4919,$A1662)</f>
        <v/>
      </c>
      <c r="F1662" s="4">
        <f>SUMIFS('DETALLE CRONOLÓGICO'!$I$2:$I$4919,'DETALLE CRONOLÓGICO'!$A$2:$A$4919,$A1662)</f>
        <v/>
      </c>
      <c r="G1662" s="1">
        <f>INDEX('DETALLE CRONOLÓGICO'!$D$2:$D$4919,MATCH($A1662,'DETALLE CRONOLÓGICO'!$A$2:$A$4919,0))</f>
        <v/>
      </c>
      <c r="H1662" s="1">
        <f>INDEX('DETALLE CRONOLÓGICO'!$D$2:$D$4919,MATCH($A1662,'DETALLE CRONOLÓGICO'!$A$2:$A$4919,0)+$E1662-1)</f>
        <v/>
      </c>
      <c r="I1662" s="5">
        <f>IFERROR(SUMIFS('DETALLE CRONOLÓGICO'!$L$2:$L$4919,'DETALLE CRONOLÓGICO'!$A$2:$A$4919,$A1662)/$F1662,"")</f>
        <v/>
      </c>
      <c r="J1662" s="6">
        <f>IFERROR(SUMIFS('DETALLE CRONOLÓGICO'!$K$2:$K$4919,'DETALLE CRONOLÓGICO'!$A$2:$A$4919,$A1662)/$E1662,"")</f>
        <v/>
      </c>
      <c r="K1662" s="6">
        <f>_xlfn.MINIFS('DETALLE CRONOLÓGICO'!$K$2:$K$4919,'DETALLE CRONOLÓGICO'!$A$2:$A$4919,$A1662)</f>
        <v/>
      </c>
      <c r="L1662" s="6">
        <f>_xlfn.MAXIFS('DETALLE CRONOLÓGICO'!$K$2:$K$4919,'DETALLE CRONOLÓGICO'!$A$2:$A$4919,$A1662)</f>
        <v/>
      </c>
      <c r="M1662" s="6">
        <f>INDEX('DETALLE CRONOLÓGICO'!$K$2:$K$4919,MATCH($A1662,'DETALLE CRONOLÓGICO'!$A$2:$A$4919,0)+$E1662-1)</f>
        <v/>
      </c>
      <c r="N1662" s="7">
        <f>IFERROR($M1662/INDEX('DETALLE CRONOLÓGICO'!$K$2:$K$4919,MATCH($A1662,'DETALLE CRONOLÓGICO'!$A$2:$A$4919,0))-1,"")</f>
        <v/>
      </c>
      <c r="O1662" s="6">
        <f>IFERROR($I1662*3,"")</f>
        <v/>
      </c>
      <c r="P1662" s="6">
        <f>IFERROR($I1662*3.5,"")</f>
        <v/>
      </c>
      <c r="Q1662" s="6">
        <f>IFERROR($I1662*4,"")</f>
        <v/>
      </c>
      <c r="R1662" s="6" t="n">
        <v>530</v>
      </c>
      <c r="S1662" s="4" t="n">
        <v>1</v>
      </c>
      <c r="T1662" s="1" t="inlineStr">
        <is>
          <t>active</t>
        </is>
      </c>
      <c r="U1662" s="8" t="n"/>
      <c r="V1662" s="1" t="inlineStr">
        <is>
          <t>SIN PRECIO</t>
        </is>
      </c>
    </row>
    <row r="1663">
      <c r="A1663" s="1" t="inlineStr">
        <is>
          <t>67201533404653</t>
        </is>
      </c>
      <c r="B1663" s="1" t="inlineStr">
        <is>
          <t>ANILLO ANCHO TRUE T GOLD</t>
        </is>
      </c>
      <c r="C1663" s="1" t="inlineStr">
        <is>
          <t>6</t>
        </is>
      </c>
      <c r="D1663" s="1" t="inlineStr">
        <is>
          <t>HAIFENG</t>
        </is>
      </c>
      <c r="E1663" s="4">
        <f>COUNTIF('DETALLE CRONOLÓGICO'!$A$2:$A$4919,$A1663)</f>
        <v/>
      </c>
      <c r="F1663" s="4">
        <f>SUMIFS('DETALLE CRONOLÓGICO'!$I$2:$I$4919,'DETALLE CRONOLÓGICO'!$A$2:$A$4919,$A1663)</f>
        <v/>
      </c>
      <c r="G1663" s="1">
        <f>INDEX('DETALLE CRONOLÓGICO'!$D$2:$D$4919,MATCH($A1663,'DETALLE CRONOLÓGICO'!$A$2:$A$4919,0))</f>
        <v/>
      </c>
      <c r="H1663" s="1">
        <f>INDEX('DETALLE CRONOLÓGICO'!$D$2:$D$4919,MATCH($A1663,'DETALLE CRONOLÓGICO'!$A$2:$A$4919,0)+$E1663-1)</f>
        <v/>
      </c>
      <c r="I1663" s="5">
        <f>IFERROR(SUMIFS('DETALLE CRONOLÓGICO'!$L$2:$L$4919,'DETALLE CRONOLÓGICO'!$A$2:$A$4919,$A1663)/$F1663,"")</f>
        <v/>
      </c>
      <c r="J1663" s="6">
        <f>IFERROR(SUMIFS('DETALLE CRONOLÓGICO'!$K$2:$K$4919,'DETALLE CRONOLÓGICO'!$A$2:$A$4919,$A1663)/$E1663,"")</f>
        <v/>
      </c>
      <c r="K1663" s="6">
        <f>_xlfn.MINIFS('DETALLE CRONOLÓGICO'!$K$2:$K$4919,'DETALLE CRONOLÓGICO'!$A$2:$A$4919,$A1663)</f>
        <v/>
      </c>
      <c r="L1663" s="6">
        <f>_xlfn.MAXIFS('DETALLE CRONOLÓGICO'!$K$2:$K$4919,'DETALLE CRONOLÓGICO'!$A$2:$A$4919,$A1663)</f>
        <v/>
      </c>
      <c r="M1663" s="6">
        <f>INDEX('DETALLE CRONOLÓGICO'!$K$2:$K$4919,MATCH($A1663,'DETALLE CRONOLÓGICO'!$A$2:$A$4919,0)+$E1663-1)</f>
        <v/>
      </c>
      <c r="N1663" s="7">
        <f>IFERROR($M1663/INDEX('DETALLE CRONOLÓGICO'!$K$2:$K$4919,MATCH($A1663,'DETALLE CRONOLÓGICO'!$A$2:$A$4919,0))-1,"")</f>
        <v/>
      </c>
      <c r="O1663" s="6">
        <f>IFERROR($I1663*3,"")</f>
        <v/>
      </c>
      <c r="P1663" s="6">
        <f>IFERROR($I1663*3.5,"")</f>
        <v/>
      </c>
      <c r="Q1663" s="6">
        <f>IFERROR($I1663*4,"")</f>
        <v/>
      </c>
      <c r="R1663" s="6" t="n">
        <v>599</v>
      </c>
      <c r="S1663" s="4" t="n">
        <v>2</v>
      </c>
      <c r="T1663" s="1" t="inlineStr">
        <is>
          <t>active</t>
        </is>
      </c>
      <c r="U1663" s="8" t="n"/>
      <c r="V1663" s="1" t="inlineStr">
        <is>
          <t>SIN PRECIO</t>
        </is>
      </c>
    </row>
    <row r="1664">
      <c r="A1664" s="1" t="inlineStr">
        <is>
          <t>67201533537421</t>
        </is>
      </c>
      <c r="B1664" s="1" t="inlineStr">
        <is>
          <t>ANILLO ANCHO TRUE T GOLD</t>
        </is>
      </c>
      <c r="C1664" s="1" t="inlineStr">
        <is>
          <t>7</t>
        </is>
      </c>
      <c r="D1664" s="1" t="inlineStr">
        <is>
          <t>HAIFENG</t>
        </is>
      </c>
      <c r="E1664" s="4">
        <f>COUNTIF('DETALLE CRONOLÓGICO'!$A$2:$A$4919,$A1664)</f>
        <v/>
      </c>
      <c r="F1664" s="4">
        <f>SUMIFS('DETALLE CRONOLÓGICO'!$I$2:$I$4919,'DETALLE CRONOLÓGICO'!$A$2:$A$4919,$A1664)</f>
        <v/>
      </c>
      <c r="G1664" s="1">
        <f>INDEX('DETALLE CRONOLÓGICO'!$D$2:$D$4919,MATCH($A1664,'DETALLE CRONOLÓGICO'!$A$2:$A$4919,0))</f>
        <v/>
      </c>
      <c r="H1664" s="1">
        <f>INDEX('DETALLE CRONOLÓGICO'!$D$2:$D$4919,MATCH($A1664,'DETALLE CRONOLÓGICO'!$A$2:$A$4919,0)+$E1664-1)</f>
        <v/>
      </c>
      <c r="I1664" s="5">
        <f>IFERROR(SUMIFS('DETALLE CRONOLÓGICO'!$L$2:$L$4919,'DETALLE CRONOLÓGICO'!$A$2:$A$4919,$A1664)/$F1664,"")</f>
        <v/>
      </c>
      <c r="J1664" s="6">
        <f>IFERROR(SUMIFS('DETALLE CRONOLÓGICO'!$K$2:$K$4919,'DETALLE CRONOLÓGICO'!$A$2:$A$4919,$A1664)/$E1664,"")</f>
        <v/>
      </c>
      <c r="K1664" s="6">
        <f>_xlfn.MINIFS('DETALLE CRONOLÓGICO'!$K$2:$K$4919,'DETALLE CRONOLÓGICO'!$A$2:$A$4919,$A1664)</f>
        <v/>
      </c>
      <c r="L1664" s="6">
        <f>_xlfn.MAXIFS('DETALLE CRONOLÓGICO'!$K$2:$K$4919,'DETALLE CRONOLÓGICO'!$A$2:$A$4919,$A1664)</f>
        <v/>
      </c>
      <c r="M1664" s="6">
        <f>INDEX('DETALLE CRONOLÓGICO'!$K$2:$K$4919,MATCH($A1664,'DETALLE CRONOLÓGICO'!$A$2:$A$4919,0)+$E1664-1)</f>
        <v/>
      </c>
      <c r="N1664" s="7">
        <f>IFERROR($M1664/INDEX('DETALLE CRONOLÓGICO'!$K$2:$K$4919,MATCH($A1664,'DETALLE CRONOLÓGICO'!$A$2:$A$4919,0))-1,"")</f>
        <v/>
      </c>
      <c r="O1664" s="6">
        <f>IFERROR($I1664*3,"")</f>
        <v/>
      </c>
      <c r="P1664" s="6">
        <f>IFERROR($I1664*3.5,"")</f>
        <v/>
      </c>
      <c r="Q1664" s="6">
        <f>IFERROR($I1664*4,"")</f>
        <v/>
      </c>
      <c r="R1664" s="6" t="n">
        <v>599</v>
      </c>
      <c r="S1664" s="4" t="n">
        <v>0</v>
      </c>
      <c r="T1664" s="1" t="inlineStr">
        <is>
          <t>active</t>
        </is>
      </c>
      <c r="U1664" s="8" t="n"/>
      <c r="V1664" s="1" t="inlineStr">
        <is>
          <t>SIN PRECIO</t>
        </is>
      </c>
    </row>
    <row r="1665">
      <c r="A1665" s="1" t="inlineStr">
        <is>
          <t>67201533670189</t>
        </is>
      </c>
      <c r="B1665" s="1" t="inlineStr">
        <is>
          <t>ANILLO ANCHO TRUE T GOLD</t>
        </is>
      </c>
      <c r="C1665" s="1" t="inlineStr">
        <is>
          <t>8</t>
        </is>
      </c>
      <c r="D1665" s="1" t="inlineStr">
        <is>
          <t>HAIFENG</t>
        </is>
      </c>
      <c r="E1665" s="4">
        <f>COUNTIF('DETALLE CRONOLÓGICO'!$A$2:$A$4919,$A1665)</f>
        <v/>
      </c>
      <c r="F1665" s="4">
        <f>SUMIFS('DETALLE CRONOLÓGICO'!$I$2:$I$4919,'DETALLE CRONOLÓGICO'!$A$2:$A$4919,$A1665)</f>
        <v/>
      </c>
      <c r="G1665" s="1">
        <f>INDEX('DETALLE CRONOLÓGICO'!$D$2:$D$4919,MATCH($A1665,'DETALLE CRONOLÓGICO'!$A$2:$A$4919,0))</f>
        <v/>
      </c>
      <c r="H1665" s="1">
        <f>INDEX('DETALLE CRONOLÓGICO'!$D$2:$D$4919,MATCH($A1665,'DETALLE CRONOLÓGICO'!$A$2:$A$4919,0)+$E1665-1)</f>
        <v/>
      </c>
      <c r="I1665" s="5">
        <f>IFERROR(SUMIFS('DETALLE CRONOLÓGICO'!$L$2:$L$4919,'DETALLE CRONOLÓGICO'!$A$2:$A$4919,$A1665)/$F1665,"")</f>
        <v/>
      </c>
      <c r="J1665" s="6">
        <f>IFERROR(SUMIFS('DETALLE CRONOLÓGICO'!$K$2:$K$4919,'DETALLE CRONOLÓGICO'!$A$2:$A$4919,$A1665)/$E1665,"")</f>
        <v/>
      </c>
      <c r="K1665" s="6">
        <f>_xlfn.MINIFS('DETALLE CRONOLÓGICO'!$K$2:$K$4919,'DETALLE CRONOLÓGICO'!$A$2:$A$4919,$A1665)</f>
        <v/>
      </c>
      <c r="L1665" s="6">
        <f>_xlfn.MAXIFS('DETALLE CRONOLÓGICO'!$K$2:$K$4919,'DETALLE CRONOLÓGICO'!$A$2:$A$4919,$A1665)</f>
        <v/>
      </c>
      <c r="M1665" s="6">
        <f>INDEX('DETALLE CRONOLÓGICO'!$K$2:$K$4919,MATCH($A1665,'DETALLE CRONOLÓGICO'!$A$2:$A$4919,0)+$E1665-1)</f>
        <v/>
      </c>
      <c r="N1665" s="7">
        <f>IFERROR($M1665/INDEX('DETALLE CRONOLÓGICO'!$K$2:$K$4919,MATCH($A1665,'DETALLE CRONOLÓGICO'!$A$2:$A$4919,0))-1,"")</f>
        <v/>
      </c>
      <c r="O1665" s="6">
        <f>IFERROR($I1665*3,"")</f>
        <v/>
      </c>
      <c r="P1665" s="6">
        <f>IFERROR($I1665*3.5,"")</f>
        <v/>
      </c>
      <c r="Q1665" s="6">
        <f>IFERROR($I1665*4,"")</f>
        <v/>
      </c>
      <c r="R1665" s="6" t="n">
        <v>599</v>
      </c>
      <c r="S1665" s="4" t="n">
        <v>1</v>
      </c>
      <c r="T1665" s="1" t="inlineStr">
        <is>
          <t>active</t>
        </is>
      </c>
      <c r="U1665" s="8" t="n"/>
      <c r="V1665" s="1" t="inlineStr">
        <is>
          <t>SIN PRECIO</t>
        </is>
      </c>
    </row>
    <row r="1666">
      <c r="A1666" s="1" t="inlineStr">
        <is>
          <t>67201533776845</t>
        </is>
      </c>
      <c r="B1666" s="1" t="inlineStr">
        <is>
          <t>ANILLO BEAN CON ZIRCONIA GOLD</t>
        </is>
      </c>
      <c r="C1666" s="1" t="inlineStr">
        <is>
          <t>6</t>
        </is>
      </c>
      <c r="D1666" s="1" t="inlineStr">
        <is>
          <t>HAIFENG</t>
        </is>
      </c>
      <c r="E1666" s="4">
        <f>COUNTIF('DETALLE CRONOLÓGICO'!$A$2:$A$4919,$A1666)</f>
        <v/>
      </c>
      <c r="F1666" s="4">
        <f>SUMIFS('DETALLE CRONOLÓGICO'!$I$2:$I$4919,'DETALLE CRONOLÓGICO'!$A$2:$A$4919,$A1666)</f>
        <v/>
      </c>
      <c r="G1666" s="1">
        <f>INDEX('DETALLE CRONOLÓGICO'!$D$2:$D$4919,MATCH($A1666,'DETALLE CRONOLÓGICO'!$A$2:$A$4919,0))</f>
        <v/>
      </c>
      <c r="H1666" s="1">
        <f>INDEX('DETALLE CRONOLÓGICO'!$D$2:$D$4919,MATCH($A1666,'DETALLE CRONOLÓGICO'!$A$2:$A$4919,0)+$E1666-1)</f>
        <v/>
      </c>
      <c r="I1666" s="5">
        <f>IFERROR(SUMIFS('DETALLE CRONOLÓGICO'!$L$2:$L$4919,'DETALLE CRONOLÓGICO'!$A$2:$A$4919,$A1666)/$F1666,"")</f>
        <v/>
      </c>
      <c r="J1666" s="6">
        <f>IFERROR(SUMIFS('DETALLE CRONOLÓGICO'!$K$2:$K$4919,'DETALLE CRONOLÓGICO'!$A$2:$A$4919,$A1666)/$E1666,"")</f>
        <v/>
      </c>
      <c r="K1666" s="6">
        <f>_xlfn.MINIFS('DETALLE CRONOLÓGICO'!$K$2:$K$4919,'DETALLE CRONOLÓGICO'!$A$2:$A$4919,$A1666)</f>
        <v/>
      </c>
      <c r="L1666" s="6">
        <f>_xlfn.MAXIFS('DETALLE CRONOLÓGICO'!$K$2:$K$4919,'DETALLE CRONOLÓGICO'!$A$2:$A$4919,$A1666)</f>
        <v/>
      </c>
      <c r="M1666" s="6">
        <f>INDEX('DETALLE CRONOLÓGICO'!$K$2:$K$4919,MATCH($A1666,'DETALLE CRONOLÓGICO'!$A$2:$A$4919,0)+$E1666-1)</f>
        <v/>
      </c>
      <c r="N1666" s="7">
        <f>IFERROR($M1666/INDEX('DETALLE CRONOLÓGICO'!$K$2:$K$4919,MATCH($A1666,'DETALLE CRONOLÓGICO'!$A$2:$A$4919,0))-1,"")</f>
        <v/>
      </c>
      <c r="O1666" s="6">
        <f>IFERROR($I1666*3,"")</f>
        <v/>
      </c>
      <c r="P1666" s="6">
        <f>IFERROR($I1666*3.5,"")</f>
        <v/>
      </c>
      <c r="Q1666" s="6">
        <f>IFERROR($I1666*4,"")</f>
        <v/>
      </c>
      <c r="R1666" s="6" t="n">
        <v>450</v>
      </c>
      <c r="S1666" s="4" t="n">
        <v>1</v>
      </c>
      <c r="T1666" s="1" t="inlineStr">
        <is>
          <t>active</t>
        </is>
      </c>
      <c r="U1666" s="8" t="n"/>
      <c r="V1666" s="1" t="inlineStr">
        <is>
          <t>SIN PRECIO</t>
        </is>
      </c>
    </row>
    <row r="1667">
      <c r="A1667" s="1" t="inlineStr">
        <is>
          <t>67201533809613</t>
        </is>
      </c>
      <c r="B1667" s="1" t="inlineStr">
        <is>
          <t>ANILLO BEAN CON ZIRCONIA GOLD</t>
        </is>
      </c>
      <c r="C1667" s="1" t="inlineStr">
        <is>
          <t>7</t>
        </is>
      </c>
      <c r="D1667" s="1" t="inlineStr">
        <is>
          <t>HAIFENG</t>
        </is>
      </c>
      <c r="E1667" s="4">
        <f>COUNTIF('DETALLE CRONOLÓGICO'!$A$2:$A$4919,$A1667)</f>
        <v/>
      </c>
      <c r="F1667" s="4">
        <f>SUMIFS('DETALLE CRONOLÓGICO'!$I$2:$I$4919,'DETALLE CRONOLÓGICO'!$A$2:$A$4919,$A1667)</f>
        <v/>
      </c>
      <c r="G1667" s="1">
        <f>INDEX('DETALLE CRONOLÓGICO'!$D$2:$D$4919,MATCH($A1667,'DETALLE CRONOLÓGICO'!$A$2:$A$4919,0))</f>
        <v/>
      </c>
      <c r="H1667" s="1">
        <f>INDEX('DETALLE CRONOLÓGICO'!$D$2:$D$4919,MATCH($A1667,'DETALLE CRONOLÓGICO'!$A$2:$A$4919,0)+$E1667-1)</f>
        <v/>
      </c>
      <c r="I1667" s="5">
        <f>IFERROR(SUMIFS('DETALLE CRONOLÓGICO'!$L$2:$L$4919,'DETALLE CRONOLÓGICO'!$A$2:$A$4919,$A1667)/$F1667,"")</f>
        <v/>
      </c>
      <c r="J1667" s="6">
        <f>IFERROR(SUMIFS('DETALLE CRONOLÓGICO'!$K$2:$K$4919,'DETALLE CRONOLÓGICO'!$A$2:$A$4919,$A1667)/$E1667,"")</f>
        <v/>
      </c>
      <c r="K1667" s="6">
        <f>_xlfn.MINIFS('DETALLE CRONOLÓGICO'!$K$2:$K$4919,'DETALLE CRONOLÓGICO'!$A$2:$A$4919,$A1667)</f>
        <v/>
      </c>
      <c r="L1667" s="6">
        <f>_xlfn.MAXIFS('DETALLE CRONOLÓGICO'!$K$2:$K$4919,'DETALLE CRONOLÓGICO'!$A$2:$A$4919,$A1667)</f>
        <v/>
      </c>
      <c r="M1667" s="6">
        <f>INDEX('DETALLE CRONOLÓGICO'!$K$2:$K$4919,MATCH($A1667,'DETALLE CRONOLÓGICO'!$A$2:$A$4919,0)+$E1667-1)</f>
        <v/>
      </c>
      <c r="N1667" s="7">
        <f>IFERROR($M1667/INDEX('DETALLE CRONOLÓGICO'!$K$2:$K$4919,MATCH($A1667,'DETALLE CRONOLÓGICO'!$A$2:$A$4919,0))-1,"")</f>
        <v/>
      </c>
      <c r="O1667" s="6">
        <f>IFERROR($I1667*3,"")</f>
        <v/>
      </c>
      <c r="P1667" s="6">
        <f>IFERROR($I1667*3.5,"")</f>
        <v/>
      </c>
      <c r="Q1667" s="6">
        <f>IFERROR($I1667*4,"")</f>
        <v/>
      </c>
      <c r="R1667" s="6" t="n">
        <v>450</v>
      </c>
      <c r="S1667" s="4" t="n">
        <v>5</v>
      </c>
      <c r="T1667" s="1" t="inlineStr">
        <is>
          <t>active</t>
        </is>
      </c>
      <c r="U1667" s="8" t="n"/>
      <c r="V1667" s="1" t="inlineStr">
        <is>
          <t>SIN PRECIO</t>
        </is>
      </c>
    </row>
    <row r="1668">
      <c r="A1668" s="1" t="inlineStr">
        <is>
          <t>67201533942381</t>
        </is>
      </c>
      <c r="B1668" s="1" t="inlineStr">
        <is>
          <t>ANILLO BEAN CON ZIRCONIA GOLD</t>
        </is>
      </c>
      <c r="C1668" s="1" t="inlineStr">
        <is>
          <t>8</t>
        </is>
      </c>
      <c r="D1668" s="1" t="inlineStr">
        <is>
          <t>HAIFENG</t>
        </is>
      </c>
      <c r="E1668" s="4">
        <f>COUNTIF('DETALLE CRONOLÓGICO'!$A$2:$A$4919,$A1668)</f>
        <v/>
      </c>
      <c r="F1668" s="4">
        <f>SUMIFS('DETALLE CRONOLÓGICO'!$I$2:$I$4919,'DETALLE CRONOLÓGICO'!$A$2:$A$4919,$A1668)</f>
        <v/>
      </c>
      <c r="G1668" s="1">
        <f>INDEX('DETALLE CRONOLÓGICO'!$D$2:$D$4919,MATCH($A1668,'DETALLE CRONOLÓGICO'!$A$2:$A$4919,0))</f>
        <v/>
      </c>
      <c r="H1668" s="1">
        <f>INDEX('DETALLE CRONOLÓGICO'!$D$2:$D$4919,MATCH($A1668,'DETALLE CRONOLÓGICO'!$A$2:$A$4919,0)+$E1668-1)</f>
        <v/>
      </c>
      <c r="I1668" s="5">
        <f>IFERROR(SUMIFS('DETALLE CRONOLÓGICO'!$L$2:$L$4919,'DETALLE CRONOLÓGICO'!$A$2:$A$4919,$A1668)/$F1668,"")</f>
        <v/>
      </c>
      <c r="J1668" s="6">
        <f>IFERROR(SUMIFS('DETALLE CRONOLÓGICO'!$K$2:$K$4919,'DETALLE CRONOLÓGICO'!$A$2:$A$4919,$A1668)/$E1668,"")</f>
        <v/>
      </c>
      <c r="K1668" s="6">
        <f>_xlfn.MINIFS('DETALLE CRONOLÓGICO'!$K$2:$K$4919,'DETALLE CRONOLÓGICO'!$A$2:$A$4919,$A1668)</f>
        <v/>
      </c>
      <c r="L1668" s="6">
        <f>_xlfn.MAXIFS('DETALLE CRONOLÓGICO'!$K$2:$K$4919,'DETALLE CRONOLÓGICO'!$A$2:$A$4919,$A1668)</f>
        <v/>
      </c>
      <c r="M1668" s="6">
        <f>INDEX('DETALLE CRONOLÓGICO'!$K$2:$K$4919,MATCH($A1668,'DETALLE CRONOLÓGICO'!$A$2:$A$4919,0)+$E1668-1)</f>
        <v/>
      </c>
      <c r="N1668" s="7">
        <f>IFERROR($M1668/INDEX('DETALLE CRONOLÓGICO'!$K$2:$K$4919,MATCH($A1668,'DETALLE CRONOLÓGICO'!$A$2:$A$4919,0))-1,"")</f>
        <v/>
      </c>
      <c r="O1668" s="6">
        <f>IFERROR($I1668*3,"")</f>
        <v/>
      </c>
      <c r="P1668" s="6">
        <f>IFERROR($I1668*3.5,"")</f>
        <v/>
      </c>
      <c r="Q1668" s="6">
        <f>IFERROR($I1668*4,"")</f>
        <v/>
      </c>
      <c r="R1668" s="6" t="n">
        <v>450</v>
      </c>
      <c r="S1668" s="4" t="n">
        <v>1</v>
      </c>
      <c r="T1668" s="1" t="inlineStr">
        <is>
          <t>active</t>
        </is>
      </c>
      <c r="U1668" s="8" t="n"/>
      <c r="V1668" s="1" t="inlineStr">
        <is>
          <t>SIN PRECIO</t>
        </is>
      </c>
    </row>
    <row r="1669">
      <c r="A1669" s="1" t="inlineStr">
        <is>
          <t>67201534097677</t>
        </is>
      </c>
      <c r="B1669" s="1" t="inlineStr">
        <is>
          <t>ANILLO KNOT CON ZIRCONIAS T GOLD</t>
        </is>
      </c>
      <c r="C1669" s="1" t="inlineStr">
        <is>
          <t>6</t>
        </is>
      </c>
      <c r="D1669" s="1" t="inlineStr">
        <is>
          <t>HAIFENG</t>
        </is>
      </c>
      <c r="E1669" s="4">
        <f>COUNTIF('DETALLE CRONOLÓGICO'!$A$2:$A$4919,$A1669)</f>
        <v/>
      </c>
      <c r="F1669" s="4">
        <f>SUMIFS('DETALLE CRONOLÓGICO'!$I$2:$I$4919,'DETALLE CRONOLÓGICO'!$A$2:$A$4919,$A1669)</f>
        <v/>
      </c>
      <c r="G1669" s="1">
        <f>INDEX('DETALLE CRONOLÓGICO'!$D$2:$D$4919,MATCH($A1669,'DETALLE CRONOLÓGICO'!$A$2:$A$4919,0))</f>
        <v/>
      </c>
      <c r="H1669" s="1">
        <f>INDEX('DETALLE CRONOLÓGICO'!$D$2:$D$4919,MATCH($A1669,'DETALLE CRONOLÓGICO'!$A$2:$A$4919,0)+$E1669-1)</f>
        <v/>
      </c>
      <c r="I1669" s="5">
        <f>IFERROR(SUMIFS('DETALLE CRONOLÓGICO'!$L$2:$L$4919,'DETALLE CRONOLÓGICO'!$A$2:$A$4919,$A1669)/$F1669,"")</f>
        <v/>
      </c>
      <c r="J1669" s="6">
        <f>IFERROR(SUMIFS('DETALLE CRONOLÓGICO'!$K$2:$K$4919,'DETALLE CRONOLÓGICO'!$A$2:$A$4919,$A1669)/$E1669,"")</f>
        <v/>
      </c>
      <c r="K1669" s="6">
        <f>_xlfn.MINIFS('DETALLE CRONOLÓGICO'!$K$2:$K$4919,'DETALLE CRONOLÓGICO'!$A$2:$A$4919,$A1669)</f>
        <v/>
      </c>
      <c r="L1669" s="6">
        <f>_xlfn.MAXIFS('DETALLE CRONOLÓGICO'!$K$2:$K$4919,'DETALLE CRONOLÓGICO'!$A$2:$A$4919,$A1669)</f>
        <v/>
      </c>
      <c r="M1669" s="6">
        <f>INDEX('DETALLE CRONOLÓGICO'!$K$2:$K$4919,MATCH($A1669,'DETALLE CRONOLÓGICO'!$A$2:$A$4919,0)+$E1669-1)</f>
        <v/>
      </c>
      <c r="N1669" s="7">
        <f>IFERROR($M1669/INDEX('DETALLE CRONOLÓGICO'!$K$2:$K$4919,MATCH($A1669,'DETALLE CRONOLÓGICO'!$A$2:$A$4919,0))-1,"")</f>
        <v/>
      </c>
      <c r="O1669" s="6">
        <f>IFERROR($I1669*3,"")</f>
        <v/>
      </c>
      <c r="P1669" s="6">
        <f>IFERROR($I1669*3.5,"")</f>
        <v/>
      </c>
      <c r="Q1669" s="6">
        <f>IFERROR($I1669*4,"")</f>
        <v/>
      </c>
      <c r="R1669" s="6" t="n">
        <v>460</v>
      </c>
      <c r="S1669" s="4" t="n">
        <v>2</v>
      </c>
      <c r="T1669" s="1" t="inlineStr">
        <is>
          <t>active</t>
        </is>
      </c>
      <c r="U1669" s="8" t="n"/>
      <c r="V1669" s="1" t="inlineStr">
        <is>
          <t>SIN PRECIO</t>
        </is>
      </c>
    </row>
    <row r="1670">
      <c r="A1670" s="1" t="inlineStr">
        <is>
          <t>67201534287725</t>
        </is>
      </c>
      <c r="B1670" s="1" t="inlineStr">
        <is>
          <t>ANILLO BEAN T SILVER MINI</t>
        </is>
      </c>
      <c r="C1670" s="1" t="inlineStr">
        <is>
          <t>6</t>
        </is>
      </c>
      <c r="D1670" s="1" t="inlineStr">
        <is>
          <t>HAIFENG</t>
        </is>
      </c>
      <c r="E1670" s="4">
        <f>COUNTIF('DETALLE CRONOLÓGICO'!$A$2:$A$4919,$A1670)</f>
        <v/>
      </c>
      <c r="F1670" s="4">
        <f>SUMIFS('DETALLE CRONOLÓGICO'!$I$2:$I$4919,'DETALLE CRONOLÓGICO'!$A$2:$A$4919,$A1670)</f>
        <v/>
      </c>
      <c r="G1670" s="1">
        <f>INDEX('DETALLE CRONOLÓGICO'!$D$2:$D$4919,MATCH($A1670,'DETALLE CRONOLÓGICO'!$A$2:$A$4919,0))</f>
        <v/>
      </c>
      <c r="H1670" s="1">
        <f>INDEX('DETALLE CRONOLÓGICO'!$D$2:$D$4919,MATCH($A1670,'DETALLE CRONOLÓGICO'!$A$2:$A$4919,0)+$E1670-1)</f>
        <v/>
      </c>
      <c r="I1670" s="5">
        <f>IFERROR(SUMIFS('DETALLE CRONOLÓGICO'!$L$2:$L$4919,'DETALLE CRONOLÓGICO'!$A$2:$A$4919,$A1670)/$F1670,"")</f>
        <v/>
      </c>
      <c r="J1670" s="6">
        <f>IFERROR(SUMIFS('DETALLE CRONOLÓGICO'!$K$2:$K$4919,'DETALLE CRONOLÓGICO'!$A$2:$A$4919,$A1670)/$E1670,"")</f>
        <v/>
      </c>
      <c r="K1670" s="6">
        <f>_xlfn.MINIFS('DETALLE CRONOLÓGICO'!$K$2:$K$4919,'DETALLE CRONOLÓGICO'!$A$2:$A$4919,$A1670)</f>
        <v/>
      </c>
      <c r="L1670" s="6">
        <f>_xlfn.MAXIFS('DETALLE CRONOLÓGICO'!$K$2:$K$4919,'DETALLE CRONOLÓGICO'!$A$2:$A$4919,$A1670)</f>
        <v/>
      </c>
      <c r="M1670" s="6">
        <f>INDEX('DETALLE CRONOLÓGICO'!$K$2:$K$4919,MATCH($A1670,'DETALLE CRONOLÓGICO'!$A$2:$A$4919,0)+$E1670-1)</f>
        <v/>
      </c>
      <c r="N1670" s="7">
        <f>IFERROR($M1670/INDEX('DETALLE CRONOLÓGICO'!$K$2:$K$4919,MATCH($A1670,'DETALLE CRONOLÓGICO'!$A$2:$A$4919,0))-1,"")</f>
        <v/>
      </c>
      <c r="O1670" s="6">
        <f>IFERROR($I1670*3,"")</f>
        <v/>
      </c>
      <c r="P1670" s="6">
        <f>IFERROR($I1670*3.5,"")</f>
        <v/>
      </c>
      <c r="Q1670" s="6">
        <f>IFERROR($I1670*4,"")</f>
        <v/>
      </c>
      <c r="R1670" s="6" t="n">
        <v>495</v>
      </c>
      <c r="S1670" s="4" t="n">
        <v>2</v>
      </c>
      <c r="T1670" s="1" t="inlineStr">
        <is>
          <t>active</t>
        </is>
      </c>
      <c r="U1670" s="8" t="n"/>
      <c r="V1670" s="1" t="inlineStr">
        <is>
          <t>SIN PRECIO</t>
        </is>
      </c>
    </row>
    <row r="1671">
      <c r="A1671" s="1" t="inlineStr">
        <is>
          <t>67201534320493</t>
        </is>
      </c>
      <c r="B1671" s="1" t="inlineStr">
        <is>
          <t>ANILLO MINI BEAN T SILVER</t>
        </is>
      </c>
      <c r="C1671" s="1" t="inlineStr">
        <is>
          <t>7</t>
        </is>
      </c>
      <c r="D1671" s="1" t="inlineStr">
        <is>
          <t>HAIFENG</t>
        </is>
      </c>
      <c r="E1671" s="4">
        <f>COUNTIF('DETALLE CRONOLÓGICO'!$A$2:$A$4919,$A1671)</f>
        <v/>
      </c>
      <c r="F1671" s="4">
        <f>SUMIFS('DETALLE CRONOLÓGICO'!$I$2:$I$4919,'DETALLE CRONOLÓGICO'!$A$2:$A$4919,$A1671)</f>
        <v/>
      </c>
      <c r="G1671" s="1">
        <f>INDEX('DETALLE CRONOLÓGICO'!$D$2:$D$4919,MATCH($A1671,'DETALLE CRONOLÓGICO'!$A$2:$A$4919,0))</f>
        <v/>
      </c>
      <c r="H1671" s="1">
        <f>INDEX('DETALLE CRONOLÓGICO'!$D$2:$D$4919,MATCH($A1671,'DETALLE CRONOLÓGICO'!$A$2:$A$4919,0)+$E1671-1)</f>
        <v/>
      </c>
      <c r="I1671" s="5">
        <f>IFERROR(SUMIFS('DETALLE CRONOLÓGICO'!$L$2:$L$4919,'DETALLE CRONOLÓGICO'!$A$2:$A$4919,$A1671)/$F1671,"")</f>
        <v/>
      </c>
      <c r="J1671" s="6">
        <f>IFERROR(SUMIFS('DETALLE CRONOLÓGICO'!$K$2:$K$4919,'DETALLE CRONOLÓGICO'!$A$2:$A$4919,$A1671)/$E1671,"")</f>
        <v/>
      </c>
      <c r="K1671" s="6">
        <f>_xlfn.MINIFS('DETALLE CRONOLÓGICO'!$K$2:$K$4919,'DETALLE CRONOLÓGICO'!$A$2:$A$4919,$A1671)</f>
        <v/>
      </c>
      <c r="L1671" s="6">
        <f>_xlfn.MAXIFS('DETALLE CRONOLÓGICO'!$K$2:$K$4919,'DETALLE CRONOLÓGICO'!$A$2:$A$4919,$A1671)</f>
        <v/>
      </c>
      <c r="M1671" s="6">
        <f>INDEX('DETALLE CRONOLÓGICO'!$K$2:$K$4919,MATCH($A1671,'DETALLE CRONOLÓGICO'!$A$2:$A$4919,0)+$E1671-1)</f>
        <v/>
      </c>
      <c r="N1671" s="7">
        <f>IFERROR($M1671/INDEX('DETALLE CRONOLÓGICO'!$K$2:$K$4919,MATCH($A1671,'DETALLE CRONOLÓGICO'!$A$2:$A$4919,0))-1,"")</f>
        <v/>
      </c>
      <c r="O1671" s="6">
        <f>IFERROR($I1671*3,"")</f>
        <v/>
      </c>
      <c r="P1671" s="6">
        <f>IFERROR($I1671*3.5,"")</f>
        <v/>
      </c>
      <c r="Q1671" s="6">
        <f>IFERROR($I1671*4,"")</f>
        <v/>
      </c>
      <c r="R1671" s="6" t="n">
        <v>495</v>
      </c>
      <c r="S1671" s="4" t="n">
        <v>7</v>
      </c>
      <c r="T1671" s="1" t="inlineStr">
        <is>
          <t>active</t>
        </is>
      </c>
      <c r="U1671" s="8" t="n"/>
      <c r="V1671" s="1" t="inlineStr">
        <is>
          <t>SIN PRECIO</t>
        </is>
      </c>
    </row>
    <row r="1672">
      <c r="A1672" s="1" t="inlineStr">
        <is>
          <t>67201534427213</t>
        </is>
      </c>
      <c r="B1672" s="1" t="inlineStr">
        <is>
          <t>PULSERA DOBLE CADENA Y PLACA ESTILO CORAZÓN T SILVER</t>
        </is>
      </c>
      <c r="C1672" s="1" t="inlineStr">
        <is>
          <t>Default Title</t>
        </is>
      </c>
      <c r="D1672" s="1" t="inlineStr">
        <is>
          <t>HAIFENG</t>
        </is>
      </c>
      <c r="E1672" s="4">
        <f>COUNTIF('DETALLE CRONOLÓGICO'!$A$2:$A$4919,$A1672)</f>
        <v/>
      </c>
      <c r="F1672" s="4">
        <f>SUMIFS('DETALLE CRONOLÓGICO'!$I$2:$I$4919,'DETALLE CRONOLÓGICO'!$A$2:$A$4919,$A1672)</f>
        <v/>
      </c>
      <c r="G1672" s="1">
        <f>INDEX('DETALLE CRONOLÓGICO'!$D$2:$D$4919,MATCH($A1672,'DETALLE CRONOLÓGICO'!$A$2:$A$4919,0))</f>
        <v/>
      </c>
      <c r="H1672" s="1">
        <f>INDEX('DETALLE CRONOLÓGICO'!$D$2:$D$4919,MATCH($A1672,'DETALLE CRONOLÓGICO'!$A$2:$A$4919,0)+$E1672-1)</f>
        <v/>
      </c>
      <c r="I1672" s="5">
        <f>IFERROR(SUMIFS('DETALLE CRONOLÓGICO'!$L$2:$L$4919,'DETALLE CRONOLÓGICO'!$A$2:$A$4919,$A1672)/$F1672,"")</f>
        <v/>
      </c>
      <c r="J1672" s="6">
        <f>IFERROR(SUMIFS('DETALLE CRONOLÓGICO'!$K$2:$K$4919,'DETALLE CRONOLÓGICO'!$A$2:$A$4919,$A1672)/$E1672,"")</f>
        <v/>
      </c>
      <c r="K1672" s="6">
        <f>_xlfn.MINIFS('DETALLE CRONOLÓGICO'!$K$2:$K$4919,'DETALLE CRONOLÓGICO'!$A$2:$A$4919,$A1672)</f>
        <v/>
      </c>
      <c r="L1672" s="6">
        <f>_xlfn.MAXIFS('DETALLE CRONOLÓGICO'!$K$2:$K$4919,'DETALLE CRONOLÓGICO'!$A$2:$A$4919,$A1672)</f>
        <v/>
      </c>
      <c r="M1672" s="6">
        <f>INDEX('DETALLE CRONOLÓGICO'!$K$2:$K$4919,MATCH($A1672,'DETALLE CRONOLÓGICO'!$A$2:$A$4919,0)+$E1672-1)</f>
        <v/>
      </c>
      <c r="N1672" s="7">
        <f>IFERROR($M1672/INDEX('DETALLE CRONOLÓGICO'!$K$2:$K$4919,MATCH($A1672,'DETALLE CRONOLÓGICO'!$A$2:$A$4919,0))-1,"")</f>
        <v/>
      </c>
      <c r="O1672" s="6">
        <f>IFERROR($I1672*3,"")</f>
        <v/>
      </c>
      <c r="P1672" s="6">
        <f>IFERROR($I1672*3.5,"")</f>
        <v/>
      </c>
      <c r="Q1672" s="6">
        <f>IFERROR($I1672*4,"")</f>
        <v/>
      </c>
      <c r="R1672" s="6" t="n">
        <v>525</v>
      </c>
      <c r="S1672" s="4" t="n">
        <v>4</v>
      </c>
      <c r="T1672" s="1" t="inlineStr">
        <is>
          <t>active</t>
        </is>
      </c>
      <c r="U1672" s="8" t="n"/>
      <c r="V1672" s="1" t="inlineStr">
        <is>
          <t>SIN PRECIO</t>
        </is>
      </c>
    </row>
    <row r="1673">
      <c r="A1673" s="1" t="inlineStr">
        <is>
          <t>67201534558861</t>
        </is>
      </c>
      <c r="B1673" s="1" t="inlineStr">
        <is>
          <t>COLLAR OPEN HEART ROSE GOLD</t>
        </is>
      </c>
      <c r="C1673" s="1" t="inlineStr">
        <is>
          <t>Default Title</t>
        </is>
      </c>
      <c r="D1673" s="1" t="inlineStr">
        <is>
          <t>HAIFENG</t>
        </is>
      </c>
      <c r="E1673" s="4">
        <f>COUNTIF('DETALLE CRONOLÓGICO'!$A$2:$A$4919,$A1673)</f>
        <v/>
      </c>
      <c r="F1673" s="4">
        <f>SUMIFS('DETALLE CRONOLÓGICO'!$I$2:$I$4919,'DETALLE CRONOLÓGICO'!$A$2:$A$4919,$A1673)</f>
        <v/>
      </c>
      <c r="G1673" s="1">
        <f>INDEX('DETALLE CRONOLÓGICO'!$D$2:$D$4919,MATCH($A1673,'DETALLE CRONOLÓGICO'!$A$2:$A$4919,0))</f>
        <v/>
      </c>
      <c r="H1673" s="1">
        <f>INDEX('DETALLE CRONOLÓGICO'!$D$2:$D$4919,MATCH($A1673,'DETALLE CRONOLÓGICO'!$A$2:$A$4919,0)+$E1673-1)</f>
        <v/>
      </c>
      <c r="I1673" s="5">
        <f>IFERROR(SUMIFS('DETALLE CRONOLÓGICO'!$L$2:$L$4919,'DETALLE CRONOLÓGICO'!$A$2:$A$4919,$A1673)/$F1673,"")</f>
        <v/>
      </c>
      <c r="J1673" s="6">
        <f>IFERROR(SUMIFS('DETALLE CRONOLÓGICO'!$K$2:$K$4919,'DETALLE CRONOLÓGICO'!$A$2:$A$4919,$A1673)/$E1673,"")</f>
        <v/>
      </c>
      <c r="K1673" s="6">
        <f>_xlfn.MINIFS('DETALLE CRONOLÓGICO'!$K$2:$K$4919,'DETALLE CRONOLÓGICO'!$A$2:$A$4919,$A1673)</f>
        <v/>
      </c>
      <c r="L1673" s="6">
        <f>_xlfn.MAXIFS('DETALLE CRONOLÓGICO'!$K$2:$K$4919,'DETALLE CRONOLÓGICO'!$A$2:$A$4919,$A1673)</f>
        <v/>
      </c>
      <c r="M1673" s="6">
        <f>INDEX('DETALLE CRONOLÓGICO'!$K$2:$K$4919,MATCH($A1673,'DETALLE CRONOLÓGICO'!$A$2:$A$4919,0)+$E1673-1)</f>
        <v/>
      </c>
      <c r="N1673" s="7">
        <f>IFERROR($M1673/INDEX('DETALLE CRONOLÓGICO'!$K$2:$K$4919,MATCH($A1673,'DETALLE CRONOLÓGICO'!$A$2:$A$4919,0))-1,"")</f>
        <v/>
      </c>
      <c r="O1673" s="6">
        <f>IFERROR($I1673*3,"")</f>
        <v/>
      </c>
      <c r="P1673" s="6">
        <f>IFERROR($I1673*3.5,"")</f>
        <v/>
      </c>
      <c r="Q1673" s="6">
        <f>IFERROR($I1673*4,"")</f>
        <v/>
      </c>
      <c r="R1673" s="6" t="n">
        <v>577</v>
      </c>
      <c r="S1673" s="4" t="n">
        <v>2</v>
      </c>
      <c r="T1673" s="1" t="inlineStr">
        <is>
          <t>active</t>
        </is>
      </c>
      <c r="U1673" s="8" t="n"/>
      <c r="V1673" s="1" t="inlineStr">
        <is>
          <t>SIN PRECIO</t>
        </is>
      </c>
    </row>
    <row r="1674">
      <c r="A1674" s="1" t="inlineStr">
        <is>
          <t>67201534607245</t>
        </is>
      </c>
      <c r="B1674" s="1" t="inlineStr">
        <is>
          <t>COLLAR OPEN HEART GOLD</t>
        </is>
      </c>
      <c r="C1674" s="1" t="inlineStr">
        <is>
          <t>Default Title</t>
        </is>
      </c>
      <c r="D1674" s="1" t="inlineStr">
        <is>
          <t>HAIFENG</t>
        </is>
      </c>
      <c r="E1674" s="4">
        <f>COUNTIF('DETALLE CRONOLÓGICO'!$A$2:$A$4919,$A1674)</f>
        <v/>
      </c>
      <c r="F1674" s="4">
        <f>SUMIFS('DETALLE CRONOLÓGICO'!$I$2:$I$4919,'DETALLE CRONOLÓGICO'!$A$2:$A$4919,$A1674)</f>
        <v/>
      </c>
      <c r="G1674" s="1">
        <f>INDEX('DETALLE CRONOLÓGICO'!$D$2:$D$4919,MATCH($A1674,'DETALLE CRONOLÓGICO'!$A$2:$A$4919,0))</f>
        <v/>
      </c>
      <c r="H1674" s="1">
        <f>INDEX('DETALLE CRONOLÓGICO'!$D$2:$D$4919,MATCH($A1674,'DETALLE CRONOLÓGICO'!$A$2:$A$4919,0)+$E1674-1)</f>
        <v/>
      </c>
      <c r="I1674" s="5">
        <f>IFERROR(SUMIFS('DETALLE CRONOLÓGICO'!$L$2:$L$4919,'DETALLE CRONOLÓGICO'!$A$2:$A$4919,$A1674)/$F1674,"")</f>
        <v/>
      </c>
      <c r="J1674" s="6">
        <f>IFERROR(SUMIFS('DETALLE CRONOLÓGICO'!$K$2:$K$4919,'DETALLE CRONOLÓGICO'!$A$2:$A$4919,$A1674)/$E1674,"")</f>
        <v/>
      </c>
      <c r="K1674" s="6">
        <f>_xlfn.MINIFS('DETALLE CRONOLÓGICO'!$K$2:$K$4919,'DETALLE CRONOLÓGICO'!$A$2:$A$4919,$A1674)</f>
        <v/>
      </c>
      <c r="L1674" s="6">
        <f>_xlfn.MAXIFS('DETALLE CRONOLÓGICO'!$K$2:$K$4919,'DETALLE CRONOLÓGICO'!$A$2:$A$4919,$A1674)</f>
        <v/>
      </c>
      <c r="M1674" s="6">
        <f>INDEX('DETALLE CRONOLÓGICO'!$K$2:$K$4919,MATCH($A1674,'DETALLE CRONOLÓGICO'!$A$2:$A$4919,0)+$E1674-1)</f>
        <v/>
      </c>
      <c r="N1674" s="7">
        <f>IFERROR($M1674/INDEX('DETALLE CRONOLÓGICO'!$K$2:$K$4919,MATCH($A1674,'DETALLE CRONOLÓGICO'!$A$2:$A$4919,0))-1,"")</f>
        <v/>
      </c>
      <c r="O1674" s="6">
        <f>IFERROR($I1674*3,"")</f>
        <v/>
      </c>
      <c r="P1674" s="6">
        <f>IFERROR($I1674*3.5,"")</f>
        <v/>
      </c>
      <c r="Q1674" s="6">
        <f>IFERROR($I1674*4,"")</f>
        <v/>
      </c>
      <c r="R1674" s="6" t="n">
        <v>599</v>
      </c>
      <c r="S1674" s="4" t="n">
        <v>7</v>
      </c>
      <c r="T1674" s="1" t="inlineStr">
        <is>
          <t>active</t>
        </is>
      </c>
      <c r="U1674" s="8" t="n"/>
      <c r="V1674" s="1" t="inlineStr">
        <is>
          <t>SIN PRECIO</t>
        </is>
      </c>
    </row>
    <row r="1675">
      <c r="A1675" s="1" t="inlineStr">
        <is>
          <t>67201534708013</t>
        </is>
      </c>
      <c r="B1675" s="1" t="inlineStr">
        <is>
          <t>COLLAR CRUZ T GOLD</t>
        </is>
      </c>
      <c r="C1675" s="1" t="inlineStr">
        <is>
          <t>Default Title</t>
        </is>
      </c>
      <c r="D1675" s="1" t="inlineStr">
        <is>
          <t>HAIFENG</t>
        </is>
      </c>
      <c r="E1675" s="4">
        <f>COUNTIF('DETALLE CRONOLÓGICO'!$A$2:$A$4919,$A1675)</f>
        <v/>
      </c>
      <c r="F1675" s="4">
        <f>SUMIFS('DETALLE CRONOLÓGICO'!$I$2:$I$4919,'DETALLE CRONOLÓGICO'!$A$2:$A$4919,$A1675)</f>
        <v/>
      </c>
      <c r="G1675" s="1">
        <f>INDEX('DETALLE CRONOLÓGICO'!$D$2:$D$4919,MATCH($A1675,'DETALLE CRONOLÓGICO'!$A$2:$A$4919,0))</f>
        <v/>
      </c>
      <c r="H1675" s="1">
        <f>INDEX('DETALLE CRONOLÓGICO'!$D$2:$D$4919,MATCH($A1675,'DETALLE CRONOLÓGICO'!$A$2:$A$4919,0)+$E1675-1)</f>
        <v/>
      </c>
      <c r="I1675" s="5">
        <f>IFERROR(SUMIFS('DETALLE CRONOLÓGICO'!$L$2:$L$4919,'DETALLE CRONOLÓGICO'!$A$2:$A$4919,$A1675)/$F1675,"")</f>
        <v/>
      </c>
      <c r="J1675" s="6">
        <f>IFERROR(SUMIFS('DETALLE CRONOLÓGICO'!$K$2:$K$4919,'DETALLE CRONOLÓGICO'!$A$2:$A$4919,$A1675)/$E1675,"")</f>
        <v/>
      </c>
      <c r="K1675" s="6">
        <f>_xlfn.MINIFS('DETALLE CRONOLÓGICO'!$K$2:$K$4919,'DETALLE CRONOLÓGICO'!$A$2:$A$4919,$A1675)</f>
        <v/>
      </c>
      <c r="L1675" s="6">
        <f>_xlfn.MAXIFS('DETALLE CRONOLÓGICO'!$K$2:$K$4919,'DETALLE CRONOLÓGICO'!$A$2:$A$4919,$A1675)</f>
        <v/>
      </c>
      <c r="M1675" s="6">
        <f>INDEX('DETALLE CRONOLÓGICO'!$K$2:$K$4919,MATCH($A1675,'DETALLE CRONOLÓGICO'!$A$2:$A$4919,0)+$E1675-1)</f>
        <v/>
      </c>
      <c r="N1675" s="7">
        <f>IFERROR($M1675/INDEX('DETALLE CRONOLÓGICO'!$K$2:$K$4919,MATCH($A1675,'DETALLE CRONOLÓGICO'!$A$2:$A$4919,0))-1,"")</f>
        <v/>
      </c>
      <c r="O1675" s="6">
        <f>IFERROR($I1675*3,"")</f>
        <v/>
      </c>
      <c r="P1675" s="6">
        <f>IFERROR($I1675*3.5,"")</f>
        <v/>
      </c>
      <c r="Q1675" s="6">
        <f>IFERROR($I1675*4,"")</f>
        <v/>
      </c>
      <c r="R1675" s="6" t="n">
        <v>577</v>
      </c>
      <c r="S1675" s="4" t="n">
        <v>5</v>
      </c>
      <c r="T1675" s="1" t="inlineStr">
        <is>
          <t>active</t>
        </is>
      </c>
      <c r="U1675" s="8" t="n"/>
      <c r="V1675" s="1" t="inlineStr">
        <is>
          <t>SIN PRECIO</t>
        </is>
      </c>
    </row>
    <row r="1676">
      <c r="A1676" s="1" t="inlineStr">
        <is>
          <t>67201534868749</t>
        </is>
      </c>
      <c r="B1676" s="1" t="inlineStr">
        <is>
          <t>ARETES CON DOBLE CIERRE T GOLD</t>
        </is>
      </c>
      <c r="C1676" s="1" t="inlineStr">
        <is>
          <t>Default Title</t>
        </is>
      </c>
      <c r="D1676" s="1" t="inlineStr">
        <is>
          <t>HAIFENG</t>
        </is>
      </c>
      <c r="E1676" s="4">
        <f>COUNTIF('DETALLE CRONOLÓGICO'!$A$2:$A$4919,$A1676)</f>
        <v/>
      </c>
      <c r="F1676" s="4">
        <f>SUMIFS('DETALLE CRONOLÓGICO'!$I$2:$I$4919,'DETALLE CRONOLÓGICO'!$A$2:$A$4919,$A1676)</f>
        <v/>
      </c>
      <c r="G1676" s="1">
        <f>INDEX('DETALLE CRONOLÓGICO'!$D$2:$D$4919,MATCH($A1676,'DETALLE CRONOLÓGICO'!$A$2:$A$4919,0))</f>
        <v/>
      </c>
      <c r="H1676" s="1">
        <f>INDEX('DETALLE CRONOLÓGICO'!$D$2:$D$4919,MATCH($A1676,'DETALLE CRONOLÓGICO'!$A$2:$A$4919,0)+$E1676-1)</f>
        <v/>
      </c>
      <c r="I1676" s="5">
        <f>IFERROR(SUMIFS('DETALLE CRONOLÓGICO'!$L$2:$L$4919,'DETALLE CRONOLÓGICO'!$A$2:$A$4919,$A1676)/$F1676,"")</f>
        <v/>
      </c>
      <c r="J1676" s="6">
        <f>IFERROR(SUMIFS('DETALLE CRONOLÓGICO'!$K$2:$K$4919,'DETALLE CRONOLÓGICO'!$A$2:$A$4919,$A1676)/$E1676,"")</f>
        <v/>
      </c>
      <c r="K1676" s="6">
        <f>_xlfn.MINIFS('DETALLE CRONOLÓGICO'!$K$2:$K$4919,'DETALLE CRONOLÓGICO'!$A$2:$A$4919,$A1676)</f>
        <v/>
      </c>
      <c r="L1676" s="6">
        <f>_xlfn.MAXIFS('DETALLE CRONOLÓGICO'!$K$2:$K$4919,'DETALLE CRONOLÓGICO'!$A$2:$A$4919,$A1676)</f>
        <v/>
      </c>
      <c r="M1676" s="6">
        <f>INDEX('DETALLE CRONOLÓGICO'!$K$2:$K$4919,MATCH($A1676,'DETALLE CRONOLÓGICO'!$A$2:$A$4919,0)+$E1676-1)</f>
        <v/>
      </c>
      <c r="N1676" s="7">
        <f>IFERROR($M1676/INDEX('DETALLE CRONOLÓGICO'!$K$2:$K$4919,MATCH($A1676,'DETALLE CRONOLÓGICO'!$A$2:$A$4919,0))-1,"")</f>
        <v/>
      </c>
      <c r="O1676" s="6">
        <f>IFERROR($I1676*3,"")</f>
        <v/>
      </c>
      <c r="P1676" s="6">
        <f>IFERROR($I1676*3.5,"")</f>
        <v/>
      </c>
      <c r="Q1676" s="6">
        <f>IFERROR($I1676*4,"")</f>
        <v/>
      </c>
      <c r="R1676" s="6" t="n">
        <v>670</v>
      </c>
      <c r="S1676" s="4" t="n">
        <v>1</v>
      </c>
      <c r="T1676" s="1" t="inlineStr">
        <is>
          <t>active</t>
        </is>
      </c>
      <c r="U1676" s="8" t="n"/>
      <c r="V1676" s="1" t="inlineStr">
        <is>
          <t>SIN PRECIO</t>
        </is>
      </c>
    </row>
    <row r="1677">
      <c r="A1677" s="1" t="inlineStr">
        <is>
          <t>67201534966797</t>
        </is>
      </c>
      <c r="B1677" s="1" t="inlineStr">
        <is>
          <t>ARETES LOVING HEART</t>
        </is>
      </c>
      <c r="C1677" s="1" t="inlineStr">
        <is>
          <t>dorado</t>
        </is>
      </c>
      <c r="D1677" s="1" t="inlineStr">
        <is>
          <t>HAIFENG</t>
        </is>
      </c>
      <c r="E1677" s="4">
        <f>COUNTIF('DETALLE CRONOLÓGICO'!$A$2:$A$4919,$A1677)</f>
        <v/>
      </c>
      <c r="F1677" s="4">
        <f>SUMIFS('DETALLE CRONOLÓGICO'!$I$2:$I$4919,'DETALLE CRONOLÓGICO'!$A$2:$A$4919,$A1677)</f>
        <v/>
      </c>
      <c r="G1677" s="1">
        <f>INDEX('DETALLE CRONOLÓGICO'!$D$2:$D$4919,MATCH($A1677,'DETALLE CRONOLÓGICO'!$A$2:$A$4919,0))</f>
        <v/>
      </c>
      <c r="H1677" s="1">
        <f>INDEX('DETALLE CRONOLÓGICO'!$D$2:$D$4919,MATCH($A1677,'DETALLE CRONOLÓGICO'!$A$2:$A$4919,0)+$E1677-1)</f>
        <v/>
      </c>
      <c r="I1677" s="5">
        <f>IFERROR(SUMIFS('DETALLE CRONOLÓGICO'!$L$2:$L$4919,'DETALLE CRONOLÓGICO'!$A$2:$A$4919,$A1677)/$F1677,"")</f>
        <v/>
      </c>
      <c r="J1677" s="6">
        <f>IFERROR(SUMIFS('DETALLE CRONOLÓGICO'!$K$2:$K$4919,'DETALLE CRONOLÓGICO'!$A$2:$A$4919,$A1677)/$E1677,"")</f>
        <v/>
      </c>
      <c r="K1677" s="6">
        <f>_xlfn.MINIFS('DETALLE CRONOLÓGICO'!$K$2:$K$4919,'DETALLE CRONOLÓGICO'!$A$2:$A$4919,$A1677)</f>
        <v/>
      </c>
      <c r="L1677" s="6">
        <f>_xlfn.MAXIFS('DETALLE CRONOLÓGICO'!$K$2:$K$4919,'DETALLE CRONOLÓGICO'!$A$2:$A$4919,$A1677)</f>
        <v/>
      </c>
      <c r="M1677" s="6">
        <f>INDEX('DETALLE CRONOLÓGICO'!$K$2:$K$4919,MATCH($A1677,'DETALLE CRONOLÓGICO'!$A$2:$A$4919,0)+$E1677-1)</f>
        <v/>
      </c>
      <c r="N1677" s="7">
        <f>IFERROR($M1677/INDEX('DETALLE CRONOLÓGICO'!$K$2:$K$4919,MATCH($A1677,'DETALLE CRONOLÓGICO'!$A$2:$A$4919,0))-1,"")</f>
        <v/>
      </c>
      <c r="O1677" s="6">
        <f>IFERROR($I1677*3,"")</f>
        <v/>
      </c>
      <c r="P1677" s="6">
        <f>IFERROR($I1677*3.5,"")</f>
        <v/>
      </c>
      <c r="Q1677" s="6">
        <f>IFERROR($I1677*4,"")</f>
        <v/>
      </c>
      <c r="R1677" s="6" t="n">
        <v>499</v>
      </c>
      <c r="S1677" s="4" t="n">
        <v>0</v>
      </c>
      <c r="T1677" s="1" t="inlineStr">
        <is>
          <t>active</t>
        </is>
      </c>
      <c r="U1677" s="8" t="n"/>
      <c r="V1677" s="1" t="inlineStr">
        <is>
          <t>SIN PRECIO</t>
        </is>
      </c>
    </row>
    <row r="1678">
      <c r="A1678" s="1" t="inlineStr">
        <is>
          <t>67201535022509</t>
        </is>
      </c>
      <c r="B1678" s="1" t="inlineStr">
        <is>
          <t>ARETES MARIPOSA ROSE GOLD WHITE VF</t>
        </is>
      </c>
      <c r="C1678" s="1" t="inlineStr">
        <is>
          <t>Default Title</t>
        </is>
      </c>
      <c r="D1678" s="1" t="inlineStr">
        <is>
          <t>HAIFENG</t>
        </is>
      </c>
      <c r="E1678" s="4">
        <f>COUNTIF('DETALLE CRONOLÓGICO'!$A$2:$A$4919,$A1678)</f>
        <v/>
      </c>
      <c r="F1678" s="4">
        <f>SUMIFS('DETALLE CRONOLÓGICO'!$I$2:$I$4919,'DETALLE CRONOLÓGICO'!$A$2:$A$4919,$A1678)</f>
        <v/>
      </c>
      <c r="G1678" s="1">
        <f>INDEX('DETALLE CRONOLÓGICO'!$D$2:$D$4919,MATCH($A1678,'DETALLE CRONOLÓGICO'!$A$2:$A$4919,0))</f>
        <v/>
      </c>
      <c r="H1678" s="1">
        <f>INDEX('DETALLE CRONOLÓGICO'!$D$2:$D$4919,MATCH($A1678,'DETALLE CRONOLÓGICO'!$A$2:$A$4919,0)+$E1678-1)</f>
        <v/>
      </c>
      <c r="I1678" s="5">
        <f>IFERROR(SUMIFS('DETALLE CRONOLÓGICO'!$L$2:$L$4919,'DETALLE CRONOLÓGICO'!$A$2:$A$4919,$A1678)/$F1678,"")</f>
        <v/>
      </c>
      <c r="J1678" s="6">
        <f>IFERROR(SUMIFS('DETALLE CRONOLÓGICO'!$K$2:$K$4919,'DETALLE CRONOLÓGICO'!$A$2:$A$4919,$A1678)/$E1678,"")</f>
        <v/>
      </c>
      <c r="K1678" s="6">
        <f>_xlfn.MINIFS('DETALLE CRONOLÓGICO'!$K$2:$K$4919,'DETALLE CRONOLÓGICO'!$A$2:$A$4919,$A1678)</f>
        <v/>
      </c>
      <c r="L1678" s="6">
        <f>_xlfn.MAXIFS('DETALLE CRONOLÓGICO'!$K$2:$K$4919,'DETALLE CRONOLÓGICO'!$A$2:$A$4919,$A1678)</f>
        <v/>
      </c>
      <c r="M1678" s="6">
        <f>INDEX('DETALLE CRONOLÓGICO'!$K$2:$K$4919,MATCH($A1678,'DETALLE CRONOLÓGICO'!$A$2:$A$4919,0)+$E1678-1)</f>
        <v/>
      </c>
      <c r="N1678" s="7">
        <f>IFERROR($M1678/INDEX('DETALLE CRONOLÓGICO'!$K$2:$K$4919,MATCH($A1678,'DETALLE CRONOLÓGICO'!$A$2:$A$4919,0))-1,"")</f>
        <v/>
      </c>
      <c r="O1678" s="6">
        <f>IFERROR($I1678*3,"")</f>
        <v/>
      </c>
      <c r="P1678" s="6">
        <f>IFERROR($I1678*3.5,"")</f>
        <v/>
      </c>
      <c r="Q1678" s="6">
        <f>IFERROR($I1678*4,"")</f>
        <v/>
      </c>
      <c r="R1678" s="6" t="n">
        <v>599</v>
      </c>
      <c r="S1678" s="4" t="n">
        <v>5</v>
      </c>
      <c r="T1678" s="1" t="inlineStr">
        <is>
          <t>active</t>
        </is>
      </c>
      <c r="U1678" s="8" t="n"/>
      <c r="V1678" s="1" t="inlineStr">
        <is>
          <t>SIN PRECIO</t>
        </is>
      </c>
    </row>
    <row r="1679">
      <c r="A1679" s="1" t="inlineStr">
        <is>
          <t>67201535108205</t>
        </is>
      </c>
      <c r="B1679" s="1" t="inlineStr">
        <is>
          <t>ARETES MARIPOSA BICOLOR GOLD BLUE VF</t>
        </is>
      </c>
      <c r="C1679" s="1" t="inlineStr">
        <is>
          <t>Default Title</t>
        </is>
      </c>
      <c r="D1679" s="1" t="inlineStr">
        <is>
          <t>HAIFENG</t>
        </is>
      </c>
      <c r="E1679" s="4">
        <f>COUNTIF('DETALLE CRONOLÓGICO'!$A$2:$A$4919,$A1679)</f>
        <v/>
      </c>
      <c r="F1679" s="4">
        <f>SUMIFS('DETALLE CRONOLÓGICO'!$I$2:$I$4919,'DETALLE CRONOLÓGICO'!$A$2:$A$4919,$A1679)</f>
        <v/>
      </c>
      <c r="G1679" s="1">
        <f>INDEX('DETALLE CRONOLÓGICO'!$D$2:$D$4919,MATCH($A1679,'DETALLE CRONOLÓGICO'!$A$2:$A$4919,0))</f>
        <v/>
      </c>
      <c r="H1679" s="1">
        <f>INDEX('DETALLE CRONOLÓGICO'!$D$2:$D$4919,MATCH($A1679,'DETALLE CRONOLÓGICO'!$A$2:$A$4919,0)+$E1679-1)</f>
        <v/>
      </c>
      <c r="I1679" s="5">
        <f>IFERROR(SUMIFS('DETALLE CRONOLÓGICO'!$L$2:$L$4919,'DETALLE CRONOLÓGICO'!$A$2:$A$4919,$A1679)/$F1679,"")</f>
        <v/>
      </c>
      <c r="J1679" s="6">
        <f>IFERROR(SUMIFS('DETALLE CRONOLÓGICO'!$K$2:$K$4919,'DETALLE CRONOLÓGICO'!$A$2:$A$4919,$A1679)/$E1679,"")</f>
        <v/>
      </c>
      <c r="K1679" s="6">
        <f>_xlfn.MINIFS('DETALLE CRONOLÓGICO'!$K$2:$K$4919,'DETALLE CRONOLÓGICO'!$A$2:$A$4919,$A1679)</f>
        <v/>
      </c>
      <c r="L1679" s="6">
        <f>_xlfn.MAXIFS('DETALLE CRONOLÓGICO'!$K$2:$K$4919,'DETALLE CRONOLÓGICO'!$A$2:$A$4919,$A1679)</f>
        <v/>
      </c>
      <c r="M1679" s="6">
        <f>INDEX('DETALLE CRONOLÓGICO'!$K$2:$K$4919,MATCH($A1679,'DETALLE CRONOLÓGICO'!$A$2:$A$4919,0)+$E1679-1)</f>
        <v/>
      </c>
      <c r="N1679" s="7">
        <f>IFERROR($M1679/INDEX('DETALLE CRONOLÓGICO'!$K$2:$K$4919,MATCH($A1679,'DETALLE CRONOLÓGICO'!$A$2:$A$4919,0))-1,"")</f>
        <v/>
      </c>
      <c r="O1679" s="6">
        <f>IFERROR($I1679*3,"")</f>
        <v/>
      </c>
      <c r="P1679" s="6">
        <f>IFERROR($I1679*3.5,"")</f>
        <v/>
      </c>
      <c r="Q1679" s="6">
        <f>IFERROR($I1679*4,"")</f>
        <v/>
      </c>
      <c r="R1679" s="6" t="n">
        <v>599</v>
      </c>
      <c r="S1679" s="4" t="n">
        <v>6</v>
      </c>
      <c r="T1679" s="1" t="inlineStr">
        <is>
          <t>active</t>
        </is>
      </c>
      <c r="U1679" s="8" t="n"/>
      <c r="V1679" s="1" t="inlineStr">
        <is>
          <t>SIN PRECIO</t>
        </is>
      </c>
    </row>
    <row r="1680">
      <c r="A1680" s="1" t="inlineStr">
        <is>
          <t>67201535214413</t>
        </is>
      </c>
      <c r="B1680" s="1" t="inlineStr">
        <is>
          <t>PULSERA LUCKY SPRING ROSE GOLD VF</t>
        </is>
      </c>
      <c r="C1680" s="1" t="inlineStr">
        <is>
          <t>Default Title</t>
        </is>
      </c>
      <c r="D1680" s="1" t="inlineStr">
        <is>
          <t>HAIFENG</t>
        </is>
      </c>
      <c r="E1680" s="4">
        <f>COUNTIF('DETALLE CRONOLÓGICO'!$A$2:$A$4919,$A1680)</f>
        <v/>
      </c>
      <c r="F1680" s="4">
        <f>SUMIFS('DETALLE CRONOLÓGICO'!$I$2:$I$4919,'DETALLE CRONOLÓGICO'!$A$2:$A$4919,$A1680)</f>
        <v/>
      </c>
      <c r="G1680" s="1">
        <f>INDEX('DETALLE CRONOLÓGICO'!$D$2:$D$4919,MATCH($A1680,'DETALLE CRONOLÓGICO'!$A$2:$A$4919,0))</f>
        <v/>
      </c>
      <c r="H1680" s="1">
        <f>INDEX('DETALLE CRONOLÓGICO'!$D$2:$D$4919,MATCH($A1680,'DETALLE CRONOLÓGICO'!$A$2:$A$4919,0)+$E1680-1)</f>
        <v/>
      </c>
      <c r="I1680" s="5">
        <f>IFERROR(SUMIFS('DETALLE CRONOLÓGICO'!$L$2:$L$4919,'DETALLE CRONOLÓGICO'!$A$2:$A$4919,$A1680)/$F1680,"")</f>
        <v/>
      </c>
      <c r="J1680" s="6">
        <f>IFERROR(SUMIFS('DETALLE CRONOLÓGICO'!$K$2:$K$4919,'DETALLE CRONOLÓGICO'!$A$2:$A$4919,$A1680)/$E1680,"")</f>
        <v/>
      </c>
      <c r="K1680" s="6">
        <f>_xlfn.MINIFS('DETALLE CRONOLÓGICO'!$K$2:$K$4919,'DETALLE CRONOLÓGICO'!$A$2:$A$4919,$A1680)</f>
        <v/>
      </c>
      <c r="L1680" s="6">
        <f>_xlfn.MAXIFS('DETALLE CRONOLÓGICO'!$K$2:$K$4919,'DETALLE CRONOLÓGICO'!$A$2:$A$4919,$A1680)</f>
        <v/>
      </c>
      <c r="M1680" s="6">
        <f>INDEX('DETALLE CRONOLÓGICO'!$K$2:$K$4919,MATCH($A1680,'DETALLE CRONOLÓGICO'!$A$2:$A$4919,0)+$E1680-1)</f>
        <v/>
      </c>
      <c r="N1680" s="7">
        <f>IFERROR($M1680/INDEX('DETALLE CRONOLÓGICO'!$K$2:$K$4919,MATCH($A1680,'DETALLE CRONOLÓGICO'!$A$2:$A$4919,0))-1,"")</f>
        <v/>
      </c>
      <c r="O1680" s="6">
        <f>IFERROR($I1680*3,"")</f>
        <v/>
      </c>
      <c r="P1680" s="6">
        <f>IFERROR($I1680*3.5,"")</f>
        <v/>
      </c>
      <c r="Q1680" s="6">
        <f>IFERROR($I1680*4,"")</f>
        <v/>
      </c>
      <c r="R1680" s="6" t="n">
        <v>599</v>
      </c>
      <c r="S1680" s="4" t="n">
        <v>3</v>
      </c>
      <c r="T1680" s="1" t="inlineStr">
        <is>
          <t>active</t>
        </is>
      </c>
      <c r="U1680" s="8" t="n"/>
      <c r="V1680" s="1" t="inlineStr">
        <is>
          <t>SIN PRECIO</t>
        </is>
      </c>
    </row>
    <row r="1681">
      <c r="A1681" s="1" t="inlineStr">
        <is>
          <t>67201535328333</t>
        </is>
      </c>
      <c r="B1681" s="1" t="inlineStr">
        <is>
          <t>PULSERA SWEET BUTTERFLY WHITE VF</t>
        </is>
      </c>
      <c r="C1681" s="1" t="inlineStr">
        <is>
          <t>Default Title</t>
        </is>
      </c>
      <c r="D1681" s="1" t="inlineStr">
        <is>
          <t>HAIFENG</t>
        </is>
      </c>
      <c r="E1681" s="4">
        <f>COUNTIF('DETALLE CRONOLÓGICO'!$A$2:$A$4919,$A1681)</f>
        <v/>
      </c>
      <c r="F1681" s="4">
        <f>SUMIFS('DETALLE CRONOLÓGICO'!$I$2:$I$4919,'DETALLE CRONOLÓGICO'!$A$2:$A$4919,$A1681)</f>
        <v/>
      </c>
      <c r="G1681" s="1">
        <f>INDEX('DETALLE CRONOLÓGICO'!$D$2:$D$4919,MATCH($A1681,'DETALLE CRONOLÓGICO'!$A$2:$A$4919,0))</f>
        <v/>
      </c>
      <c r="H1681" s="1">
        <f>INDEX('DETALLE CRONOLÓGICO'!$D$2:$D$4919,MATCH($A1681,'DETALLE CRONOLÓGICO'!$A$2:$A$4919,0)+$E1681-1)</f>
        <v/>
      </c>
      <c r="I1681" s="5">
        <f>IFERROR(SUMIFS('DETALLE CRONOLÓGICO'!$L$2:$L$4919,'DETALLE CRONOLÓGICO'!$A$2:$A$4919,$A1681)/$F1681,"")</f>
        <v/>
      </c>
      <c r="J1681" s="6">
        <f>IFERROR(SUMIFS('DETALLE CRONOLÓGICO'!$K$2:$K$4919,'DETALLE CRONOLÓGICO'!$A$2:$A$4919,$A1681)/$E1681,"")</f>
        <v/>
      </c>
      <c r="K1681" s="6">
        <f>_xlfn.MINIFS('DETALLE CRONOLÓGICO'!$K$2:$K$4919,'DETALLE CRONOLÓGICO'!$A$2:$A$4919,$A1681)</f>
        <v/>
      </c>
      <c r="L1681" s="6">
        <f>_xlfn.MAXIFS('DETALLE CRONOLÓGICO'!$K$2:$K$4919,'DETALLE CRONOLÓGICO'!$A$2:$A$4919,$A1681)</f>
        <v/>
      </c>
      <c r="M1681" s="6">
        <f>INDEX('DETALLE CRONOLÓGICO'!$K$2:$K$4919,MATCH($A1681,'DETALLE CRONOLÓGICO'!$A$2:$A$4919,0)+$E1681-1)</f>
        <v/>
      </c>
      <c r="N1681" s="7">
        <f>IFERROR($M1681/INDEX('DETALLE CRONOLÓGICO'!$K$2:$K$4919,MATCH($A1681,'DETALLE CRONOLÓGICO'!$A$2:$A$4919,0))-1,"")</f>
        <v/>
      </c>
      <c r="O1681" s="6">
        <f>IFERROR($I1681*3,"")</f>
        <v/>
      </c>
      <c r="P1681" s="6">
        <f>IFERROR($I1681*3.5,"")</f>
        <v/>
      </c>
      <c r="Q1681" s="6">
        <f>IFERROR($I1681*4,"")</f>
        <v/>
      </c>
      <c r="R1681" s="6" t="n">
        <v>499</v>
      </c>
      <c r="S1681" s="4" t="n">
        <v>6</v>
      </c>
      <c r="T1681" s="1" t="inlineStr">
        <is>
          <t>active</t>
        </is>
      </c>
      <c r="U1681" s="8" t="n"/>
      <c r="V1681" s="1" t="inlineStr">
        <is>
          <t>SIN PRECIO</t>
        </is>
      </c>
    </row>
    <row r="1682">
      <c r="A1682" s="1" t="inlineStr">
        <is>
          <t>67201535429901</t>
        </is>
      </c>
      <c r="B1682" s="1" t="inlineStr">
        <is>
          <t>ANILLO PERLEE SIGNATURE SILVER VF</t>
        </is>
      </c>
      <c r="C1682" s="1" t="inlineStr">
        <is>
          <t>7</t>
        </is>
      </c>
      <c r="D1682" s="1" t="inlineStr">
        <is>
          <t>HAIFENG</t>
        </is>
      </c>
      <c r="E1682" s="4">
        <f>COUNTIF('DETALLE CRONOLÓGICO'!$A$2:$A$4919,$A1682)</f>
        <v/>
      </c>
      <c r="F1682" s="4">
        <f>SUMIFS('DETALLE CRONOLÓGICO'!$I$2:$I$4919,'DETALLE CRONOLÓGICO'!$A$2:$A$4919,$A1682)</f>
        <v/>
      </c>
      <c r="G1682" s="1">
        <f>INDEX('DETALLE CRONOLÓGICO'!$D$2:$D$4919,MATCH($A1682,'DETALLE CRONOLÓGICO'!$A$2:$A$4919,0))</f>
        <v/>
      </c>
      <c r="H1682" s="1">
        <f>INDEX('DETALLE CRONOLÓGICO'!$D$2:$D$4919,MATCH($A1682,'DETALLE CRONOLÓGICO'!$A$2:$A$4919,0)+$E1682-1)</f>
        <v/>
      </c>
      <c r="I1682" s="5">
        <f>IFERROR(SUMIFS('DETALLE CRONOLÓGICO'!$L$2:$L$4919,'DETALLE CRONOLÓGICO'!$A$2:$A$4919,$A1682)/$F1682,"")</f>
        <v/>
      </c>
      <c r="J1682" s="6">
        <f>IFERROR(SUMIFS('DETALLE CRONOLÓGICO'!$K$2:$K$4919,'DETALLE CRONOLÓGICO'!$A$2:$A$4919,$A1682)/$E1682,"")</f>
        <v/>
      </c>
      <c r="K1682" s="6">
        <f>_xlfn.MINIFS('DETALLE CRONOLÓGICO'!$K$2:$K$4919,'DETALLE CRONOLÓGICO'!$A$2:$A$4919,$A1682)</f>
        <v/>
      </c>
      <c r="L1682" s="6">
        <f>_xlfn.MAXIFS('DETALLE CRONOLÓGICO'!$K$2:$K$4919,'DETALLE CRONOLÓGICO'!$A$2:$A$4919,$A1682)</f>
        <v/>
      </c>
      <c r="M1682" s="6">
        <f>INDEX('DETALLE CRONOLÓGICO'!$K$2:$K$4919,MATCH($A1682,'DETALLE CRONOLÓGICO'!$A$2:$A$4919,0)+$E1682-1)</f>
        <v/>
      </c>
      <c r="N1682" s="7">
        <f>IFERROR($M1682/INDEX('DETALLE CRONOLÓGICO'!$K$2:$K$4919,MATCH($A1682,'DETALLE CRONOLÓGICO'!$A$2:$A$4919,0))-1,"")</f>
        <v/>
      </c>
      <c r="O1682" s="6">
        <f>IFERROR($I1682*3,"")</f>
        <v/>
      </c>
      <c r="P1682" s="6">
        <f>IFERROR($I1682*3.5,"")</f>
        <v/>
      </c>
      <c r="Q1682" s="6">
        <f>IFERROR($I1682*4,"")</f>
        <v/>
      </c>
      <c r="R1682" s="6" t="n">
        <v>412</v>
      </c>
      <c r="S1682" s="4" t="n">
        <v>3</v>
      </c>
      <c r="T1682" s="1" t="inlineStr">
        <is>
          <t>active</t>
        </is>
      </c>
      <c r="U1682" s="8" t="n"/>
      <c r="V1682" s="1" t="inlineStr">
        <is>
          <t>SIN PRECIO</t>
        </is>
      </c>
    </row>
    <row r="1683">
      <c r="A1683" s="1" t="inlineStr">
        <is>
          <t>67201535695437</t>
        </is>
      </c>
      <c r="B1683" s="1" t="n"/>
      <c r="C1683" s="1" t="inlineStr">
        <is>
          <t>9</t>
        </is>
      </c>
      <c r="D1683" s="1" t="inlineStr">
        <is>
          <t>HAIFENG</t>
        </is>
      </c>
      <c r="E1683" s="4">
        <f>COUNTIF('DETALLE CRONOLÓGICO'!$A$2:$A$4919,$A1683)</f>
        <v/>
      </c>
      <c r="F1683" s="4">
        <f>SUMIFS('DETALLE CRONOLÓGICO'!$I$2:$I$4919,'DETALLE CRONOLÓGICO'!$A$2:$A$4919,$A1683)</f>
        <v/>
      </c>
      <c r="G1683" s="1">
        <f>INDEX('DETALLE CRONOLÓGICO'!$D$2:$D$4919,MATCH($A1683,'DETALLE CRONOLÓGICO'!$A$2:$A$4919,0))</f>
        <v/>
      </c>
      <c r="H1683" s="1">
        <f>INDEX('DETALLE CRONOLÓGICO'!$D$2:$D$4919,MATCH($A1683,'DETALLE CRONOLÓGICO'!$A$2:$A$4919,0)+$E1683-1)</f>
        <v/>
      </c>
      <c r="I1683" s="5">
        <f>IFERROR(SUMIFS('DETALLE CRONOLÓGICO'!$L$2:$L$4919,'DETALLE CRONOLÓGICO'!$A$2:$A$4919,$A1683)/$F1683,"")</f>
        <v/>
      </c>
      <c r="J1683" s="6">
        <f>IFERROR(SUMIFS('DETALLE CRONOLÓGICO'!$K$2:$K$4919,'DETALLE CRONOLÓGICO'!$A$2:$A$4919,$A1683)/$E1683,"")</f>
        <v/>
      </c>
      <c r="K1683" s="6">
        <f>_xlfn.MINIFS('DETALLE CRONOLÓGICO'!$K$2:$K$4919,'DETALLE CRONOLÓGICO'!$A$2:$A$4919,$A1683)</f>
        <v/>
      </c>
      <c r="L1683" s="6">
        <f>_xlfn.MAXIFS('DETALLE CRONOLÓGICO'!$K$2:$K$4919,'DETALLE CRONOLÓGICO'!$A$2:$A$4919,$A1683)</f>
        <v/>
      </c>
      <c r="M1683" s="6">
        <f>INDEX('DETALLE CRONOLÓGICO'!$K$2:$K$4919,MATCH($A1683,'DETALLE CRONOLÓGICO'!$A$2:$A$4919,0)+$E1683-1)</f>
        <v/>
      </c>
      <c r="N1683" s="7">
        <f>IFERROR($M1683/INDEX('DETALLE CRONOLÓGICO'!$K$2:$K$4919,MATCH($A1683,'DETALLE CRONOLÓGICO'!$A$2:$A$4919,0))-1,"")</f>
        <v/>
      </c>
      <c r="O1683" s="6">
        <f>IFERROR($I1683*3,"")</f>
        <v/>
      </c>
      <c r="P1683" s="6">
        <f>IFERROR($I1683*3.5,"")</f>
        <v/>
      </c>
      <c r="Q1683" s="6">
        <f>IFERROR($I1683*4,"")</f>
        <v/>
      </c>
      <c r="R1683" s="6" t="n">
        <v>412</v>
      </c>
      <c r="S1683" s="4" t="n">
        <v>3</v>
      </c>
      <c r="T1683" s="1" t="inlineStr">
        <is>
          <t>active</t>
        </is>
      </c>
      <c r="U1683" s="8" t="n"/>
      <c r="V1683" s="1" t="inlineStr">
        <is>
          <t>SIN PRECIO</t>
        </is>
      </c>
    </row>
    <row r="1684">
      <c r="A1684" s="1" t="inlineStr">
        <is>
          <t>67201535739341</t>
        </is>
      </c>
      <c r="B1684" s="1" t="inlineStr">
        <is>
          <t>ANILLO TRÉBOL CON ZIRCONIA ROSE GOLD VF</t>
        </is>
      </c>
      <c r="C1684" s="1" t="inlineStr">
        <is>
          <t>6</t>
        </is>
      </c>
      <c r="D1684" s="1" t="inlineStr">
        <is>
          <t>HAIFENG</t>
        </is>
      </c>
      <c r="E1684" s="4">
        <f>COUNTIF('DETALLE CRONOLÓGICO'!$A$2:$A$4919,$A1684)</f>
        <v/>
      </c>
      <c r="F1684" s="4">
        <f>SUMIFS('DETALLE CRONOLÓGICO'!$I$2:$I$4919,'DETALLE CRONOLÓGICO'!$A$2:$A$4919,$A1684)</f>
        <v/>
      </c>
      <c r="G1684" s="1">
        <f>INDEX('DETALLE CRONOLÓGICO'!$D$2:$D$4919,MATCH($A1684,'DETALLE CRONOLÓGICO'!$A$2:$A$4919,0))</f>
        <v/>
      </c>
      <c r="H1684" s="1">
        <f>INDEX('DETALLE CRONOLÓGICO'!$D$2:$D$4919,MATCH($A1684,'DETALLE CRONOLÓGICO'!$A$2:$A$4919,0)+$E1684-1)</f>
        <v/>
      </c>
      <c r="I1684" s="5">
        <f>IFERROR(SUMIFS('DETALLE CRONOLÓGICO'!$L$2:$L$4919,'DETALLE CRONOLÓGICO'!$A$2:$A$4919,$A1684)/$F1684,"")</f>
        <v/>
      </c>
      <c r="J1684" s="6">
        <f>IFERROR(SUMIFS('DETALLE CRONOLÓGICO'!$K$2:$K$4919,'DETALLE CRONOLÓGICO'!$A$2:$A$4919,$A1684)/$E1684,"")</f>
        <v/>
      </c>
      <c r="K1684" s="6">
        <f>_xlfn.MINIFS('DETALLE CRONOLÓGICO'!$K$2:$K$4919,'DETALLE CRONOLÓGICO'!$A$2:$A$4919,$A1684)</f>
        <v/>
      </c>
      <c r="L1684" s="6">
        <f>_xlfn.MAXIFS('DETALLE CRONOLÓGICO'!$K$2:$K$4919,'DETALLE CRONOLÓGICO'!$A$2:$A$4919,$A1684)</f>
        <v/>
      </c>
      <c r="M1684" s="6">
        <f>INDEX('DETALLE CRONOLÓGICO'!$K$2:$K$4919,MATCH($A1684,'DETALLE CRONOLÓGICO'!$A$2:$A$4919,0)+$E1684-1)</f>
        <v/>
      </c>
      <c r="N1684" s="7">
        <f>IFERROR($M1684/INDEX('DETALLE CRONOLÓGICO'!$K$2:$K$4919,MATCH($A1684,'DETALLE CRONOLÓGICO'!$A$2:$A$4919,0))-1,"")</f>
        <v/>
      </c>
      <c r="O1684" s="6">
        <f>IFERROR($I1684*3,"")</f>
        <v/>
      </c>
      <c r="P1684" s="6">
        <f>IFERROR($I1684*3.5,"")</f>
        <v/>
      </c>
      <c r="Q1684" s="6">
        <f>IFERROR($I1684*4,"")</f>
        <v/>
      </c>
      <c r="R1684" s="6" t="n">
        <v>480</v>
      </c>
      <c r="S1684" s="4" t="n">
        <v>2</v>
      </c>
      <c r="T1684" s="1" t="inlineStr">
        <is>
          <t>active</t>
        </is>
      </c>
      <c r="U1684" s="8" t="n"/>
      <c r="V1684" s="1" t="inlineStr">
        <is>
          <t>SIN PRECIO</t>
        </is>
      </c>
    </row>
    <row r="1685">
      <c r="A1685" s="1" t="inlineStr">
        <is>
          <t>67201535928013</t>
        </is>
      </c>
      <c r="B1685" s="1" t="inlineStr">
        <is>
          <t>PULSERA SNAKE GOLD T</t>
        </is>
      </c>
      <c r="C1685" s="1" t="inlineStr">
        <is>
          <t>Default Title</t>
        </is>
      </c>
      <c r="D1685" s="1" t="inlineStr">
        <is>
          <t>CYNTHIA</t>
        </is>
      </c>
      <c r="E1685" s="4">
        <f>COUNTIF('DETALLE CRONOLÓGICO'!$A$2:$A$4919,$A1685)</f>
        <v/>
      </c>
      <c r="F1685" s="4">
        <f>SUMIFS('DETALLE CRONOLÓGICO'!$I$2:$I$4919,'DETALLE CRONOLÓGICO'!$A$2:$A$4919,$A1685)</f>
        <v/>
      </c>
      <c r="G1685" s="1">
        <f>INDEX('DETALLE CRONOLÓGICO'!$D$2:$D$4919,MATCH($A1685,'DETALLE CRONOLÓGICO'!$A$2:$A$4919,0))</f>
        <v/>
      </c>
      <c r="H1685" s="1">
        <f>INDEX('DETALLE CRONOLÓGICO'!$D$2:$D$4919,MATCH($A1685,'DETALLE CRONOLÓGICO'!$A$2:$A$4919,0)+$E1685-1)</f>
        <v/>
      </c>
      <c r="I1685" s="5">
        <f>IFERROR(SUMIFS('DETALLE CRONOLÓGICO'!$L$2:$L$4919,'DETALLE CRONOLÓGICO'!$A$2:$A$4919,$A1685)/$F1685,"")</f>
        <v/>
      </c>
      <c r="J1685" s="6">
        <f>IFERROR(SUMIFS('DETALLE CRONOLÓGICO'!$K$2:$K$4919,'DETALLE CRONOLÓGICO'!$A$2:$A$4919,$A1685)/$E1685,"")</f>
        <v/>
      </c>
      <c r="K1685" s="6">
        <f>_xlfn.MINIFS('DETALLE CRONOLÓGICO'!$K$2:$K$4919,'DETALLE CRONOLÓGICO'!$A$2:$A$4919,$A1685)</f>
        <v/>
      </c>
      <c r="L1685" s="6">
        <f>_xlfn.MAXIFS('DETALLE CRONOLÓGICO'!$K$2:$K$4919,'DETALLE CRONOLÓGICO'!$A$2:$A$4919,$A1685)</f>
        <v/>
      </c>
      <c r="M1685" s="6">
        <f>INDEX('DETALLE CRONOLÓGICO'!$K$2:$K$4919,MATCH($A1685,'DETALLE CRONOLÓGICO'!$A$2:$A$4919,0)+$E1685-1)</f>
        <v/>
      </c>
      <c r="N1685" s="7">
        <f>IFERROR($M1685/INDEX('DETALLE CRONOLÓGICO'!$K$2:$K$4919,MATCH($A1685,'DETALLE CRONOLÓGICO'!$A$2:$A$4919,0))-1,"")</f>
        <v/>
      </c>
      <c r="O1685" s="6">
        <f>IFERROR($I1685*3,"")</f>
        <v/>
      </c>
      <c r="P1685" s="6">
        <f>IFERROR($I1685*3.5,"")</f>
        <v/>
      </c>
      <c r="Q1685" s="6">
        <f>IFERROR($I1685*4,"")</f>
        <v/>
      </c>
      <c r="R1685" s="6" t="n">
        <v>1305</v>
      </c>
      <c r="S1685" s="4" t="n">
        <v>1</v>
      </c>
      <c r="T1685" s="1" t="inlineStr">
        <is>
          <t>active</t>
        </is>
      </c>
      <c r="U1685" s="8" t="n"/>
      <c r="V1685" s="1" t="inlineStr">
        <is>
          <t>SIN PRECIO</t>
        </is>
      </c>
    </row>
    <row r="1686">
      <c r="A1686" s="1" t="inlineStr">
        <is>
          <t>67308101075309</t>
        </is>
      </c>
      <c r="B1686" s="1" t="inlineStr">
        <is>
          <t>ANILLO CD GOLD BLACK CON ZIRCONIA ANCHO</t>
        </is>
      </c>
      <c r="C1686" s="1" t="n">
        <v>7</v>
      </c>
      <c r="D1686" s="1" t="inlineStr">
        <is>
          <t>ZOEY</t>
        </is>
      </c>
      <c r="E1686" s="4">
        <f>COUNTIF('DETALLE CRONOLÓGICO'!$A$2:$A$4919,$A1686)</f>
        <v/>
      </c>
      <c r="F1686" s="4">
        <f>SUMIFS('DETALLE CRONOLÓGICO'!$I$2:$I$4919,'DETALLE CRONOLÓGICO'!$A$2:$A$4919,$A1686)</f>
        <v/>
      </c>
      <c r="G1686" s="1">
        <f>INDEX('DETALLE CRONOLÓGICO'!$D$2:$D$4919,MATCH($A1686,'DETALLE CRONOLÓGICO'!$A$2:$A$4919,0))</f>
        <v/>
      </c>
      <c r="H1686" s="1">
        <f>INDEX('DETALLE CRONOLÓGICO'!$D$2:$D$4919,MATCH($A1686,'DETALLE CRONOLÓGICO'!$A$2:$A$4919,0)+$E1686-1)</f>
        <v/>
      </c>
      <c r="I1686" s="5">
        <f>IFERROR(SUMIFS('DETALLE CRONOLÓGICO'!$L$2:$L$4919,'DETALLE CRONOLÓGICO'!$A$2:$A$4919,$A1686)/$F1686,"")</f>
        <v/>
      </c>
      <c r="J1686" s="6">
        <f>IFERROR(SUMIFS('DETALLE CRONOLÓGICO'!$K$2:$K$4919,'DETALLE CRONOLÓGICO'!$A$2:$A$4919,$A1686)/$E1686,"")</f>
        <v/>
      </c>
      <c r="K1686" s="6">
        <f>_xlfn.MINIFS('DETALLE CRONOLÓGICO'!$K$2:$K$4919,'DETALLE CRONOLÓGICO'!$A$2:$A$4919,$A1686)</f>
        <v/>
      </c>
      <c r="L1686" s="6">
        <f>_xlfn.MAXIFS('DETALLE CRONOLÓGICO'!$K$2:$K$4919,'DETALLE CRONOLÓGICO'!$A$2:$A$4919,$A1686)</f>
        <v/>
      </c>
      <c r="M1686" s="6">
        <f>INDEX('DETALLE CRONOLÓGICO'!$K$2:$K$4919,MATCH($A1686,'DETALLE CRONOLÓGICO'!$A$2:$A$4919,0)+$E1686-1)</f>
        <v/>
      </c>
      <c r="N1686" s="7">
        <f>IFERROR($M1686/INDEX('DETALLE CRONOLÓGICO'!$K$2:$K$4919,MATCH($A1686,'DETALLE CRONOLÓGICO'!$A$2:$A$4919,0))-1,"")</f>
        <v/>
      </c>
      <c r="O1686" s="6">
        <f>IFERROR($I1686*3,"")</f>
        <v/>
      </c>
      <c r="P1686" s="6">
        <f>IFERROR($I1686*3.5,"")</f>
        <v/>
      </c>
      <c r="Q1686" s="6">
        <f>IFERROR($I1686*4,"")</f>
        <v/>
      </c>
      <c r="R1686" s="6" t="n">
        <v>652</v>
      </c>
      <c r="S1686" s="4" t="n">
        <v>2</v>
      </c>
      <c r="T1686" s="1" t="inlineStr">
        <is>
          <t>active</t>
        </is>
      </c>
      <c r="U1686" s="8" t="n"/>
      <c r="V1686" s="1" t="inlineStr">
        <is>
          <t>SIN PRECIO</t>
        </is>
      </c>
    </row>
    <row r="1687">
      <c r="A1687" s="1" t="inlineStr">
        <is>
          <t>67308101075310</t>
        </is>
      </c>
      <c r="B1687" s="1" t="n"/>
      <c r="C1687" s="1" t="n">
        <v>8</v>
      </c>
      <c r="D1687" s="1" t="inlineStr">
        <is>
          <t>ZOEY</t>
        </is>
      </c>
      <c r="E1687" s="4">
        <f>COUNTIF('DETALLE CRONOLÓGICO'!$A$2:$A$4919,$A1687)</f>
        <v/>
      </c>
      <c r="F1687" s="4">
        <f>SUMIFS('DETALLE CRONOLÓGICO'!$I$2:$I$4919,'DETALLE CRONOLÓGICO'!$A$2:$A$4919,$A1687)</f>
        <v/>
      </c>
      <c r="G1687" s="1">
        <f>INDEX('DETALLE CRONOLÓGICO'!$D$2:$D$4919,MATCH($A1687,'DETALLE CRONOLÓGICO'!$A$2:$A$4919,0))</f>
        <v/>
      </c>
      <c r="H1687" s="1">
        <f>INDEX('DETALLE CRONOLÓGICO'!$D$2:$D$4919,MATCH($A1687,'DETALLE CRONOLÓGICO'!$A$2:$A$4919,0)+$E1687-1)</f>
        <v/>
      </c>
      <c r="I1687" s="5">
        <f>IFERROR(SUMIFS('DETALLE CRONOLÓGICO'!$L$2:$L$4919,'DETALLE CRONOLÓGICO'!$A$2:$A$4919,$A1687)/$F1687,"")</f>
        <v/>
      </c>
      <c r="J1687" s="6">
        <f>IFERROR(SUMIFS('DETALLE CRONOLÓGICO'!$K$2:$K$4919,'DETALLE CRONOLÓGICO'!$A$2:$A$4919,$A1687)/$E1687,"")</f>
        <v/>
      </c>
      <c r="K1687" s="6">
        <f>_xlfn.MINIFS('DETALLE CRONOLÓGICO'!$K$2:$K$4919,'DETALLE CRONOLÓGICO'!$A$2:$A$4919,$A1687)</f>
        <v/>
      </c>
      <c r="L1687" s="6">
        <f>_xlfn.MAXIFS('DETALLE CRONOLÓGICO'!$K$2:$K$4919,'DETALLE CRONOLÓGICO'!$A$2:$A$4919,$A1687)</f>
        <v/>
      </c>
      <c r="M1687" s="6">
        <f>INDEX('DETALLE CRONOLÓGICO'!$K$2:$K$4919,MATCH($A1687,'DETALLE CRONOLÓGICO'!$A$2:$A$4919,0)+$E1687-1)</f>
        <v/>
      </c>
      <c r="N1687" s="7">
        <f>IFERROR($M1687/INDEX('DETALLE CRONOLÓGICO'!$K$2:$K$4919,MATCH($A1687,'DETALLE CRONOLÓGICO'!$A$2:$A$4919,0))-1,"")</f>
        <v/>
      </c>
      <c r="O1687" s="6">
        <f>IFERROR($I1687*3,"")</f>
        <v/>
      </c>
      <c r="P1687" s="6">
        <f>IFERROR($I1687*3.5,"")</f>
        <v/>
      </c>
      <c r="Q1687" s="6">
        <f>IFERROR($I1687*4,"")</f>
        <v/>
      </c>
      <c r="R1687" s="6" t="n">
        <v>652</v>
      </c>
      <c r="S1687" s="4" t="n">
        <v>2</v>
      </c>
      <c r="T1687" s="1" t="inlineStr">
        <is>
          <t>active</t>
        </is>
      </c>
      <c r="U1687" s="8" t="n"/>
      <c r="V1687" s="1" t="inlineStr">
        <is>
          <t>SIN PRECIO</t>
        </is>
      </c>
    </row>
    <row r="1688">
      <c r="A1688" s="1" t="inlineStr">
        <is>
          <t>67319253498892</t>
        </is>
      </c>
      <c r="B1688" s="1" t="inlineStr">
        <is>
          <t>COLLAR CD REVOLUTION</t>
        </is>
      </c>
      <c r="C1688" s="1" t="inlineStr">
        <is>
          <t>41cm con 6cm de extensión</t>
        </is>
      </c>
      <c r="D1688" s="1" t="inlineStr">
        <is>
          <t>ZOEY</t>
        </is>
      </c>
      <c r="E1688" s="4">
        <f>COUNTIF('DETALLE CRONOLÓGICO'!$A$2:$A$4919,$A1688)</f>
        <v/>
      </c>
      <c r="F1688" s="4">
        <f>SUMIFS('DETALLE CRONOLÓGICO'!$I$2:$I$4919,'DETALLE CRONOLÓGICO'!$A$2:$A$4919,$A1688)</f>
        <v/>
      </c>
      <c r="G1688" s="1">
        <f>INDEX('DETALLE CRONOLÓGICO'!$D$2:$D$4919,MATCH($A1688,'DETALLE CRONOLÓGICO'!$A$2:$A$4919,0))</f>
        <v/>
      </c>
      <c r="H1688" s="1">
        <f>INDEX('DETALLE CRONOLÓGICO'!$D$2:$D$4919,MATCH($A1688,'DETALLE CRONOLÓGICO'!$A$2:$A$4919,0)+$E1688-1)</f>
        <v/>
      </c>
      <c r="I1688" s="5">
        <f>IFERROR(SUMIFS('DETALLE CRONOLÓGICO'!$L$2:$L$4919,'DETALLE CRONOLÓGICO'!$A$2:$A$4919,$A1688)/$F1688,"")</f>
        <v/>
      </c>
      <c r="J1688" s="6">
        <f>IFERROR(SUMIFS('DETALLE CRONOLÓGICO'!$K$2:$K$4919,'DETALLE CRONOLÓGICO'!$A$2:$A$4919,$A1688)/$E1688,"")</f>
        <v/>
      </c>
      <c r="K1688" s="6">
        <f>_xlfn.MINIFS('DETALLE CRONOLÓGICO'!$K$2:$K$4919,'DETALLE CRONOLÓGICO'!$A$2:$A$4919,$A1688)</f>
        <v/>
      </c>
      <c r="L1688" s="6">
        <f>_xlfn.MAXIFS('DETALLE CRONOLÓGICO'!$K$2:$K$4919,'DETALLE CRONOLÓGICO'!$A$2:$A$4919,$A1688)</f>
        <v/>
      </c>
      <c r="M1688" s="6">
        <f>INDEX('DETALLE CRONOLÓGICO'!$K$2:$K$4919,MATCH($A1688,'DETALLE CRONOLÓGICO'!$A$2:$A$4919,0)+$E1688-1)</f>
        <v/>
      </c>
      <c r="N1688" s="7">
        <f>IFERROR($M1688/INDEX('DETALLE CRONOLÓGICO'!$K$2:$K$4919,MATCH($A1688,'DETALLE CRONOLÓGICO'!$A$2:$A$4919,0))-1,"")</f>
        <v/>
      </c>
      <c r="O1688" s="6">
        <f>IFERROR($I1688*3,"")</f>
        <v/>
      </c>
      <c r="P1688" s="6">
        <f>IFERROR($I1688*3.5,"")</f>
        <v/>
      </c>
      <c r="Q1688" s="6">
        <f>IFERROR($I1688*4,"")</f>
        <v/>
      </c>
      <c r="R1688" s="6" t="n">
        <v>899</v>
      </c>
      <c r="S1688" s="4" t="n">
        <v>1</v>
      </c>
      <c r="T1688" s="1" t="inlineStr">
        <is>
          <t>active</t>
        </is>
      </c>
      <c r="U1688" s="8" t="n"/>
      <c r="V1688" s="1" t="inlineStr">
        <is>
          <t>SIN PRECIO</t>
        </is>
      </c>
    </row>
    <row r="1689">
      <c r="A1689" s="1" t="inlineStr">
        <is>
          <t>6737d91d66417</t>
        </is>
      </c>
      <c r="B1689" s="1" t="inlineStr">
        <is>
          <t>TARJETERO CD SADDLE</t>
        </is>
      </c>
      <c r="C1689" s="1" t="inlineStr">
        <is>
          <t>11cm de largo x 8cm de Alto</t>
        </is>
      </c>
      <c r="D1689" s="1" t="inlineStr">
        <is>
          <t>ZOEY</t>
        </is>
      </c>
      <c r="E1689" s="4">
        <f>COUNTIF('DETALLE CRONOLÓGICO'!$A$2:$A$4919,$A1689)</f>
        <v/>
      </c>
      <c r="F1689" s="4">
        <f>SUMIFS('DETALLE CRONOLÓGICO'!$I$2:$I$4919,'DETALLE CRONOLÓGICO'!$A$2:$A$4919,$A1689)</f>
        <v/>
      </c>
      <c r="G1689" s="1">
        <f>INDEX('DETALLE CRONOLÓGICO'!$D$2:$D$4919,MATCH($A1689,'DETALLE CRONOLÓGICO'!$A$2:$A$4919,0))</f>
        <v/>
      </c>
      <c r="H1689" s="1">
        <f>INDEX('DETALLE CRONOLÓGICO'!$D$2:$D$4919,MATCH($A1689,'DETALLE CRONOLÓGICO'!$A$2:$A$4919,0)+$E1689-1)</f>
        <v/>
      </c>
      <c r="I1689" s="5">
        <f>IFERROR(SUMIFS('DETALLE CRONOLÓGICO'!$L$2:$L$4919,'DETALLE CRONOLÓGICO'!$A$2:$A$4919,$A1689)/$F1689,"")</f>
        <v/>
      </c>
      <c r="J1689" s="6">
        <f>IFERROR(SUMIFS('DETALLE CRONOLÓGICO'!$K$2:$K$4919,'DETALLE CRONOLÓGICO'!$A$2:$A$4919,$A1689)/$E1689,"")</f>
        <v/>
      </c>
      <c r="K1689" s="6">
        <f>_xlfn.MINIFS('DETALLE CRONOLÓGICO'!$K$2:$K$4919,'DETALLE CRONOLÓGICO'!$A$2:$A$4919,$A1689)</f>
        <v/>
      </c>
      <c r="L1689" s="6">
        <f>_xlfn.MAXIFS('DETALLE CRONOLÓGICO'!$K$2:$K$4919,'DETALLE CRONOLÓGICO'!$A$2:$A$4919,$A1689)</f>
        <v/>
      </c>
      <c r="M1689" s="6">
        <f>INDEX('DETALLE CRONOLÓGICO'!$K$2:$K$4919,MATCH($A1689,'DETALLE CRONOLÓGICO'!$A$2:$A$4919,0)+$E1689-1)</f>
        <v/>
      </c>
      <c r="N1689" s="7">
        <f>IFERROR($M1689/INDEX('DETALLE CRONOLÓGICO'!$K$2:$K$4919,MATCH($A1689,'DETALLE CRONOLÓGICO'!$A$2:$A$4919,0))-1,"")</f>
        <v/>
      </c>
      <c r="O1689" s="6">
        <f>IFERROR($I1689*3,"")</f>
        <v/>
      </c>
      <c r="P1689" s="6">
        <f>IFERROR($I1689*3.5,"")</f>
        <v/>
      </c>
      <c r="Q1689" s="6">
        <f>IFERROR($I1689*4,"")</f>
        <v/>
      </c>
      <c r="R1689" s="6" t="n">
        <v>1859</v>
      </c>
      <c r="S1689" s="4" t="n">
        <v>17</v>
      </c>
      <c r="T1689" s="1" t="inlineStr">
        <is>
          <t>active</t>
        </is>
      </c>
      <c r="U1689" s="8" t="n"/>
      <c r="V1689" s="1" t="inlineStr">
        <is>
          <t>SIN PRECIO</t>
        </is>
      </c>
    </row>
    <row r="1690">
      <c r="A1690" s="1" t="inlineStr">
        <is>
          <t>673cd55cc4ae5</t>
        </is>
      </c>
      <c r="B1690" s="1" t="inlineStr">
        <is>
          <t>ANILLO ONE T ROSEGOLD</t>
        </is>
      </c>
      <c r="C1690" s="1" t="inlineStr">
        <is>
          <t>6</t>
        </is>
      </c>
      <c r="D1690" s="1" t="inlineStr">
        <is>
          <t>HAIFENG</t>
        </is>
      </c>
      <c r="E1690" s="4">
        <f>COUNTIF('DETALLE CRONOLÓGICO'!$A$2:$A$4919,$A1690)</f>
        <v/>
      </c>
      <c r="F1690" s="4">
        <f>SUMIFS('DETALLE CRONOLÓGICO'!$I$2:$I$4919,'DETALLE CRONOLÓGICO'!$A$2:$A$4919,$A1690)</f>
        <v/>
      </c>
      <c r="G1690" s="1">
        <f>INDEX('DETALLE CRONOLÓGICO'!$D$2:$D$4919,MATCH($A1690,'DETALLE CRONOLÓGICO'!$A$2:$A$4919,0))</f>
        <v/>
      </c>
      <c r="H1690" s="1">
        <f>INDEX('DETALLE CRONOLÓGICO'!$D$2:$D$4919,MATCH($A1690,'DETALLE CRONOLÓGICO'!$A$2:$A$4919,0)+$E1690-1)</f>
        <v/>
      </c>
      <c r="I1690" s="5">
        <f>IFERROR(SUMIFS('DETALLE CRONOLÓGICO'!$L$2:$L$4919,'DETALLE CRONOLÓGICO'!$A$2:$A$4919,$A1690)/$F1690,"")</f>
        <v/>
      </c>
      <c r="J1690" s="6">
        <f>IFERROR(SUMIFS('DETALLE CRONOLÓGICO'!$K$2:$K$4919,'DETALLE CRONOLÓGICO'!$A$2:$A$4919,$A1690)/$E1690,"")</f>
        <v/>
      </c>
      <c r="K1690" s="6">
        <f>_xlfn.MINIFS('DETALLE CRONOLÓGICO'!$K$2:$K$4919,'DETALLE CRONOLÓGICO'!$A$2:$A$4919,$A1690)</f>
        <v/>
      </c>
      <c r="L1690" s="6">
        <f>_xlfn.MAXIFS('DETALLE CRONOLÓGICO'!$K$2:$K$4919,'DETALLE CRONOLÓGICO'!$A$2:$A$4919,$A1690)</f>
        <v/>
      </c>
      <c r="M1690" s="6">
        <f>INDEX('DETALLE CRONOLÓGICO'!$K$2:$K$4919,MATCH($A1690,'DETALLE CRONOLÓGICO'!$A$2:$A$4919,0)+$E1690-1)</f>
        <v/>
      </c>
      <c r="N1690" s="7">
        <f>IFERROR($M1690/INDEX('DETALLE CRONOLÓGICO'!$K$2:$K$4919,MATCH($A1690,'DETALLE CRONOLÓGICO'!$A$2:$A$4919,0))-1,"")</f>
        <v/>
      </c>
      <c r="O1690" s="6">
        <f>IFERROR($I1690*3,"")</f>
        <v/>
      </c>
      <c r="P1690" s="6">
        <f>IFERROR($I1690*3.5,"")</f>
        <v/>
      </c>
      <c r="Q1690" s="6">
        <f>IFERROR($I1690*4,"")</f>
        <v/>
      </c>
      <c r="R1690" s="6" t="n">
        <v>400</v>
      </c>
      <c r="S1690" s="4" t="n">
        <v>4</v>
      </c>
      <c r="T1690" s="1" t="inlineStr">
        <is>
          <t>active</t>
        </is>
      </c>
      <c r="U1690" s="8" t="n"/>
      <c r="V1690" s="1" t="inlineStr">
        <is>
          <t>SIN PRECIO</t>
        </is>
      </c>
    </row>
    <row r="1691">
      <c r="A1691" s="1" t="inlineStr">
        <is>
          <t>673cd55d87e7f</t>
        </is>
      </c>
      <c r="B1691" s="1" t="inlineStr">
        <is>
          <t>ANILLO ONE T ROSEGOLD</t>
        </is>
      </c>
      <c r="C1691" s="1" t="inlineStr">
        <is>
          <t>7</t>
        </is>
      </c>
      <c r="D1691" s="1" t="inlineStr">
        <is>
          <t>HAIFENG</t>
        </is>
      </c>
      <c r="E1691" s="4">
        <f>COUNTIF('DETALLE CRONOLÓGICO'!$A$2:$A$4919,$A1691)</f>
        <v/>
      </c>
      <c r="F1691" s="4">
        <f>SUMIFS('DETALLE CRONOLÓGICO'!$I$2:$I$4919,'DETALLE CRONOLÓGICO'!$A$2:$A$4919,$A1691)</f>
        <v/>
      </c>
      <c r="G1691" s="1">
        <f>INDEX('DETALLE CRONOLÓGICO'!$D$2:$D$4919,MATCH($A1691,'DETALLE CRONOLÓGICO'!$A$2:$A$4919,0))</f>
        <v/>
      </c>
      <c r="H1691" s="1">
        <f>INDEX('DETALLE CRONOLÓGICO'!$D$2:$D$4919,MATCH($A1691,'DETALLE CRONOLÓGICO'!$A$2:$A$4919,0)+$E1691-1)</f>
        <v/>
      </c>
      <c r="I1691" s="5">
        <f>IFERROR(SUMIFS('DETALLE CRONOLÓGICO'!$L$2:$L$4919,'DETALLE CRONOLÓGICO'!$A$2:$A$4919,$A1691)/$F1691,"")</f>
        <v/>
      </c>
      <c r="J1691" s="6">
        <f>IFERROR(SUMIFS('DETALLE CRONOLÓGICO'!$K$2:$K$4919,'DETALLE CRONOLÓGICO'!$A$2:$A$4919,$A1691)/$E1691,"")</f>
        <v/>
      </c>
      <c r="K1691" s="6">
        <f>_xlfn.MINIFS('DETALLE CRONOLÓGICO'!$K$2:$K$4919,'DETALLE CRONOLÓGICO'!$A$2:$A$4919,$A1691)</f>
        <v/>
      </c>
      <c r="L1691" s="6">
        <f>_xlfn.MAXIFS('DETALLE CRONOLÓGICO'!$K$2:$K$4919,'DETALLE CRONOLÓGICO'!$A$2:$A$4919,$A1691)</f>
        <v/>
      </c>
      <c r="M1691" s="6">
        <f>INDEX('DETALLE CRONOLÓGICO'!$K$2:$K$4919,MATCH($A1691,'DETALLE CRONOLÓGICO'!$A$2:$A$4919,0)+$E1691-1)</f>
        <v/>
      </c>
      <c r="N1691" s="7">
        <f>IFERROR($M1691/INDEX('DETALLE CRONOLÓGICO'!$K$2:$K$4919,MATCH($A1691,'DETALLE CRONOLÓGICO'!$A$2:$A$4919,0))-1,"")</f>
        <v/>
      </c>
      <c r="O1691" s="6">
        <f>IFERROR($I1691*3,"")</f>
        <v/>
      </c>
      <c r="P1691" s="6">
        <f>IFERROR($I1691*3.5,"")</f>
        <v/>
      </c>
      <c r="Q1691" s="6">
        <f>IFERROR($I1691*4,"")</f>
        <v/>
      </c>
      <c r="R1691" s="6" t="n">
        <v>400</v>
      </c>
      <c r="S1691" s="4" t="n">
        <v>3</v>
      </c>
      <c r="T1691" s="1" t="inlineStr">
        <is>
          <t>active</t>
        </is>
      </c>
      <c r="U1691" s="8" t="n"/>
      <c r="V1691" s="1" t="inlineStr">
        <is>
          <t>SIN PRECIO</t>
        </is>
      </c>
    </row>
    <row r="1692">
      <c r="A1692" s="1" t="inlineStr">
        <is>
          <t>673cd55e24dd4</t>
        </is>
      </c>
      <c r="B1692" s="1" t="n"/>
      <c r="C1692" s="1" t="inlineStr">
        <is>
          <t>8</t>
        </is>
      </c>
      <c r="D1692" s="1" t="inlineStr">
        <is>
          <t>HAIFENG</t>
        </is>
      </c>
      <c r="E1692" s="4">
        <f>COUNTIF('DETALLE CRONOLÓGICO'!$A$2:$A$4919,$A1692)</f>
        <v/>
      </c>
      <c r="F1692" s="4">
        <f>SUMIFS('DETALLE CRONOLÓGICO'!$I$2:$I$4919,'DETALLE CRONOLÓGICO'!$A$2:$A$4919,$A1692)</f>
        <v/>
      </c>
      <c r="G1692" s="1">
        <f>INDEX('DETALLE CRONOLÓGICO'!$D$2:$D$4919,MATCH($A1692,'DETALLE CRONOLÓGICO'!$A$2:$A$4919,0))</f>
        <v/>
      </c>
      <c r="H1692" s="1">
        <f>INDEX('DETALLE CRONOLÓGICO'!$D$2:$D$4919,MATCH($A1692,'DETALLE CRONOLÓGICO'!$A$2:$A$4919,0)+$E1692-1)</f>
        <v/>
      </c>
      <c r="I1692" s="5">
        <f>IFERROR(SUMIFS('DETALLE CRONOLÓGICO'!$L$2:$L$4919,'DETALLE CRONOLÓGICO'!$A$2:$A$4919,$A1692)/$F1692,"")</f>
        <v/>
      </c>
      <c r="J1692" s="6">
        <f>IFERROR(SUMIFS('DETALLE CRONOLÓGICO'!$K$2:$K$4919,'DETALLE CRONOLÓGICO'!$A$2:$A$4919,$A1692)/$E1692,"")</f>
        <v/>
      </c>
      <c r="K1692" s="6">
        <f>_xlfn.MINIFS('DETALLE CRONOLÓGICO'!$K$2:$K$4919,'DETALLE CRONOLÓGICO'!$A$2:$A$4919,$A1692)</f>
        <v/>
      </c>
      <c r="L1692" s="6">
        <f>_xlfn.MAXIFS('DETALLE CRONOLÓGICO'!$K$2:$K$4919,'DETALLE CRONOLÓGICO'!$A$2:$A$4919,$A1692)</f>
        <v/>
      </c>
      <c r="M1692" s="6">
        <f>INDEX('DETALLE CRONOLÓGICO'!$K$2:$K$4919,MATCH($A1692,'DETALLE CRONOLÓGICO'!$A$2:$A$4919,0)+$E1692-1)</f>
        <v/>
      </c>
      <c r="N1692" s="7">
        <f>IFERROR($M1692/INDEX('DETALLE CRONOLÓGICO'!$K$2:$K$4919,MATCH($A1692,'DETALLE CRONOLÓGICO'!$A$2:$A$4919,0))-1,"")</f>
        <v/>
      </c>
      <c r="O1692" s="6">
        <f>IFERROR($I1692*3,"")</f>
        <v/>
      </c>
      <c r="P1692" s="6">
        <f>IFERROR($I1692*3.5,"")</f>
        <v/>
      </c>
      <c r="Q1692" s="6">
        <f>IFERROR($I1692*4,"")</f>
        <v/>
      </c>
      <c r="R1692" s="6" t="n">
        <v>400</v>
      </c>
      <c r="S1692" s="4" t="n">
        <v>4</v>
      </c>
      <c r="T1692" s="1" t="inlineStr">
        <is>
          <t>active</t>
        </is>
      </c>
      <c r="U1692" s="8" t="n"/>
      <c r="V1692" s="1" t="inlineStr">
        <is>
          <t>SIN PRECIO</t>
        </is>
      </c>
    </row>
    <row r="1693">
      <c r="A1693" s="1" t="inlineStr">
        <is>
          <t>673cd55e4a3ca</t>
        </is>
      </c>
      <c r="B1693" s="1" t="inlineStr">
        <is>
          <t>ANILLO ONE T CON ZIRCONIA GOLD</t>
        </is>
      </c>
      <c r="C1693" s="1" t="inlineStr">
        <is>
          <t>6</t>
        </is>
      </c>
      <c r="D1693" s="1" t="inlineStr">
        <is>
          <t>HAIFENG</t>
        </is>
      </c>
      <c r="E1693" s="4">
        <f>COUNTIF('DETALLE CRONOLÓGICO'!$A$2:$A$4919,$A1693)</f>
        <v/>
      </c>
      <c r="F1693" s="4">
        <f>SUMIFS('DETALLE CRONOLÓGICO'!$I$2:$I$4919,'DETALLE CRONOLÓGICO'!$A$2:$A$4919,$A1693)</f>
        <v/>
      </c>
      <c r="G1693" s="1">
        <f>INDEX('DETALLE CRONOLÓGICO'!$D$2:$D$4919,MATCH($A1693,'DETALLE CRONOLÓGICO'!$A$2:$A$4919,0))</f>
        <v/>
      </c>
      <c r="H1693" s="1">
        <f>INDEX('DETALLE CRONOLÓGICO'!$D$2:$D$4919,MATCH($A1693,'DETALLE CRONOLÓGICO'!$A$2:$A$4919,0)+$E1693-1)</f>
        <v/>
      </c>
      <c r="I1693" s="5">
        <f>IFERROR(SUMIFS('DETALLE CRONOLÓGICO'!$L$2:$L$4919,'DETALLE CRONOLÓGICO'!$A$2:$A$4919,$A1693)/$F1693,"")</f>
        <v/>
      </c>
      <c r="J1693" s="6">
        <f>IFERROR(SUMIFS('DETALLE CRONOLÓGICO'!$K$2:$K$4919,'DETALLE CRONOLÓGICO'!$A$2:$A$4919,$A1693)/$E1693,"")</f>
        <v/>
      </c>
      <c r="K1693" s="6">
        <f>_xlfn.MINIFS('DETALLE CRONOLÓGICO'!$K$2:$K$4919,'DETALLE CRONOLÓGICO'!$A$2:$A$4919,$A1693)</f>
        <v/>
      </c>
      <c r="L1693" s="6">
        <f>_xlfn.MAXIFS('DETALLE CRONOLÓGICO'!$K$2:$K$4919,'DETALLE CRONOLÓGICO'!$A$2:$A$4919,$A1693)</f>
        <v/>
      </c>
      <c r="M1693" s="6">
        <f>INDEX('DETALLE CRONOLÓGICO'!$K$2:$K$4919,MATCH($A1693,'DETALLE CRONOLÓGICO'!$A$2:$A$4919,0)+$E1693-1)</f>
        <v/>
      </c>
      <c r="N1693" s="7">
        <f>IFERROR($M1693/INDEX('DETALLE CRONOLÓGICO'!$K$2:$K$4919,MATCH($A1693,'DETALLE CRONOLÓGICO'!$A$2:$A$4919,0))-1,"")</f>
        <v/>
      </c>
      <c r="O1693" s="6">
        <f>IFERROR($I1693*3,"")</f>
        <v/>
      </c>
      <c r="P1693" s="6">
        <f>IFERROR($I1693*3.5,"")</f>
        <v/>
      </c>
      <c r="Q1693" s="6">
        <f>IFERROR($I1693*4,"")</f>
        <v/>
      </c>
      <c r="R1693" s="6" t="n">
        <v>450</v>
      </c>
      <c r="S1693" s="4" t="n">
        <v>2</v>
      </c>
      <c r="T1693" s="1" t="inlineStr">
        <is>
          <t>active</t>
        </is>
      </c>
      <c r="U1693" s="8" t="n"/>
      <c r="V1693" s="1" t="inlineStr">
        <is>
          <t>SIN PRECIO</t>
        </is>
      </c>
    </row>
    <row r="1694">
      <c r="A1694" s="1" t="inlineStr">
        <is>
          <t>673cd55edea9b</t>
        </is>
      </c>
      <c r="B1694" s="1" t="inlineStr">
        <is>
          <t>ANILLO ONE T CON ZIRCONIA GOLD</t>
        </is>
      </c>
      <c r="C1694" s="1" t="inlineStr">
        <is>
          <t>7</t>
        </is>
      </c>
      <c r="D1694" s="1" t="inlineStr">
        <is>
          <t>HAIFENG</t>
        </is>
      </c>
      <c r="E1694" s="4">
        <f>COUNTIF('DETALLE CRONOLÓGICO'!$A$2:$A$4919,$A1694)</f>
        <v/>
      </c>
      <c r="F1694" s="4">
        <f>SUMIFS('DETALLE CRONOLÓGICO'!$I$2:$I$4919,'DETALLE CRONOLÓGICO'!$A$2:$A$4919,$A1694)</f>
        <v/>
      </c>
      <c r="G1694" s="1">
        <f>INDEX('DETALLE CRONOLÓGICO'!$D$2:$D$4919,MATCH($A1694,'DETALLE CRONOLÓGICO'!$A$2:$A$4919,0))</f>
        <v/>
      </c>
      <c r="H1694" s="1">
        <f>INDEX('DETALLE CRONOLÓGICO'!$D$2:$D$4919,MATCH($A1694,'DETALLE CRONOLÓGICO'!$A$2:$A$4919,0)+$E1694-1)</f>
        <v/>
      </c>
      <c r="I1694" s="5">
        <f>IFERROR(SUMIFS('DETALLE CRONOLÓGICO'!$L$2:$L$4919,'DETALLE CRONOLÓGICO'!$A$2:$A$4919,$A1694)/$F1694,"")</f>
        <v/>
      </c>
      <c r="J1694" s="6">
        <f>IFERROR(SUMIFS('DETALLE CRONOLÓGICO'!$K$2:$K$4919,'DETALLE CRONOLÓGICO'!$A$2:$A$4919,$A1694)/$E1694,"")</f>
        <v/>
      </c>
      <c r="K1694" s="6">
        <f>_xlfn.MINIFS('DETALLE CRONOLÓGICO'!$K$2:$K$4919,'DETALLE CRONOLÓGICO'!$A$2:$A$4919,$A1694)</f>
        <v/>
      </c>
      <c r="L1694" s="6">
        <f>_xlfn.MAXIFS('DETALLE CRONOLÓGICO'!$K$2:$K$4919,'DETALLE CRONOLÓGICO'!$A$2:$A$4919,$A1694)</f>
        <v/>
      </c>
      <c r="M1694" s="6">
        <f>INDEX('DETALLE CRONOLÓGICO'!$K$2:$K$4919,MATCH($A1694,'DETALLE CRONOLÓGICO'!$A$2:$A$4919,0)+$E1694-1)</f>
        <v/>
      </c>
      <c r="N1694" s="7">
        <f>IFERROR($M1694/INDEX('DETALLE CRONOLÓGICO'!$K$2:$K$4919,MATCH($A1694,'DETALLE CRONOLÓGICO'!$A$2:$A$4919,0))-1,"")</f>
        <v/>
      </c>
      <c r="O1694" s="6">
        <f>IFERROR($I1694*3,"")</f>
        <v/>
      </c>
      <c r="P1694" s="6">
        <f>IFERROR($I1694*3.5,"")</f>
        <v/>
      </c>
      <c r="Q1694" s="6">
        <f>IFERROR($I1694*4,"")</f>
        <v/>
      </c>
      <c r="R1694" s="6" t="n">
        <v>450</v>
      </c>
      <c r="S1694" s="4" t="n">
        <v>3</v>
      </c>
      <c r="T1694" s="1" t="inlineStr">
        <is>
          <t>active</t>
        </is>
      </c>
      <c r="U1694" s="8" t="n"/>
      <c r="V1694" s="1" t="inlineStr">
        <is>
          <t>SIN PRECIO</t>
        </is>
      </c>
    </row>
    <row r="1695">
      <c r="A1695" s="1" t="inlineStr">
        <is>
          <t>673cd561eb622</t>
        </is>
      </c>
      <c r="B1695" s="1" t="inlineStr">
        <is>
          <t>ANILLO ONE T ROSE GOLD CON ZIRCONIA</t>
        </is>
      </c>
      <c r="C1695" s="1" t="inlineStr">
        <is>
          <t>8 HIGH QUALITY</t>
        </is>
      </c>
      <c r="D1695" s="1" t="inlineStr">
        <is>
          <t>HAIFENG</t>
        </is>
      </c>
      <c r="E1695" s="4">
        <f>COUNTIF('DETALLE CRONOLÓGICO'!$A$2:$A$4919,$A1695)</f>
        <v/>
      </c>
      <c r="F1695" s="4">
        <f>SUMIFS('DETALLE CRONOLÓGICO'!$I$2:$I$4919,'DETALLE CRONOLÓGICO'!$A$2:$A$4919,$A1695)</f>
        <v/>
      </c>
      <c r="G1695" s="1">
        <f>INDEX('DETALLE CRONOLÓGICO'!$D$2:$D$4919,MATCH($A1695,'DETALLE CRONOLÓGICO'!$A$2:$A$4919,0))</f>
        <v/>
      </c>
      <c r="H1695" s="1">
        <f>INDEX('DETALLE CRONOLÓGICO'!$D$2:$D$4919,MATCH($A1695,'DETALLE CRONOLÓGICO'!$A$2:$A$4919,0)+$E1695-1)</f>
        <v/>
      </c>
      <c r="I1695" s="5">
        <f>IFERROR(SUMIFS('DETALLE CRONOLÓGICO'!$L$2:$L$4919,'DETALLE CRONOLÓGICO'!$A$2:$A$4919,$A1695)/$F1695,"")</f>
        <v/>
      </c>
      <c r="J1695" s="6">
        <f>IFERROR(SUMIFS('DETALLE CRONOLÓGICO'!$K$2:$K$4919,'DETALLE CRONOLÓGICO'!$A$2:$A$4919,$A1695)/$E1695,"")</f>
        <v/>
      </c>
      <c r="K1695" s="6">
        <f>_xlfn.MINIFS('DETALLE CRONOLÓGICO'!$K$2:$K$4919,'DETALLE CRONOLÓGICO'!$A$2:$A$4919,$A1695)</f>
        <v/>
      </c>
      <c r="L1695" s="6">
        <f>_xlfn.MAXIFS('DETALLE CRONOLÓGICO'!$K$2:$K$4919,'DETALLE CRONOLÓGICO'!$A$2:$A$4919,$A1695)</f>
        <v/>
      </c>
      <c r="M1695" s="6">
        <f>INDEX('DETALLE CRONOLÓGICO'!$K$2:$K$4919,MATCH($A1695,'DETALLE CRONOLÓGICO'!$A$2:$A$4919,0)+$E1695-1)</f>
        <v/>
      </c>
      <c r="N1695" s="7">
        <f>IFERROR($M1695/INDEX('DETALLE CRONOLÓGICO'!$K$2:$K$4919,MATCH($A1695,'DETALLE CRONOLÓGICO'!$A$2:$A$4919,0))-1,"")</f>
        <v/>
      </c>
      <c r="O1695" s="6">
        <f>IFERROR($I1695*3,"")</f>
        <v/>
      </c>
      <c r="P1695" s="6">
        <f>IFERROR($I1695*3.5,"")</f>
        <v/>
      </c>
      <c r="Q1695" s="6">
        <f>IFERROR($I1695*4,"")</f>
        <v/>
      </c>
      <c r="R1695" s="6" t="n">
        <v>599</v>
      </c>
      <c r="S1695" s="4" t="n">
        <v>3</v>
      </c>
      <c r="T1695" s="1" t="inlineStr">
        <is>
          <t>active</t>
        </is>
      </c>
      <c r="U1695" s="8" t="n"/>
      <c r="V1695" s="1" t="inlineStr">
        <is>
          <t>SIN PRECIO</t>
        </is>
      </c>
    </row>
    <row r="1696">
      <c r="A1696" s="1" t="inlineStr">
        <is>
          <t>673cd5677aee7</t>
        </is>
      </c>
      <c r="B1696" s="1" t="inlineStr">
        <is>
          <t>ANILLO TRUE GOLD</t>
        </is>
      </c>
      <c r="C1696" s="1" t="n">
        <v>6</v>
      </c>
      <c r="D1696" s="1" t="inlineStr">
        <is>
          <t>NANCY</t>
        </is>
      </c>
      <c r="E1696" s="4">
        <f>COUNTIF('DETALLE CRONOLÓGICO'!$A$2:$A$4919,$A1696)</f>
        <v/>
      </c>
      <c r="F1696" s="4">
        <f>SUMIFS('DETALLE CRONOLÓGICO'!$I$2:$I$4919,'DETALLE CRONOLÓGICO'!$A$2:$A$4919,$A1696)</f>
        <v/>
      </c>
      <c r="G1696" s="1">
        <f>INDEX('DETALLE CRONOLÓGICO'!$D$2:$D$4919,MATCH($A1696,'DETALLE CRONOLÓGICO'!$A$2:$A$4919,0))</f>
        <v/>
      </c>
      <c r="H1696" s="1">
        <f>INDEX('DETALLE CRONOLÓGICO'!$D$2:$D$4919,MATCH($A1696,'DETALLE CRONOLÓGICO'!$A$2:$A$4919,0)+$E1696-1)</f>
        <v/>
      </c>
      <c r="I1696" s="5">
        <f>IFERROR(SUMIFS('DETALLE CRONOLÓGICO'!$L$2:$L$4919,'DETALLE CRONOLÓGICO'!$A$2:$A$4919,$A1696)/$F1696,"")</f>
        <v/>
      </c>
      <c r="J1696" s="6">
        <f>IFERROR(SUMIFS('DETALLE CRONOLÓGICO'!$K$2:$K$4919,'DETALLE CRONOLÓGICO'!$A$2:$A$4919,$A1696)/$E1696,"")</f>
        <v/>
      </c>
      <c r="K1696" s="6">
        <f>_xlfn.MINIFS('DETALLE CRONOLÓGICO'!$K$2:$K$4919,'DETALLE CRONOLÓGICO'!$A$2:$A$4919,$A1696)</f>
        <v/>
      </c>
      <c r="L1696" s="6">
        <f>_xlfn.MAXIFS('DETALLE CRONOLÓGICO'!$K$2:$K$4919,'DETALLE CRONOLÓGICO'!$A$2:$A$4919,$A1696)</f>
        <v/>
      </c>
      <c r="M1696" s="6">
        <f>INDEX('DETALLE CRONOLÓGICO'!$K$2:$K$4919,MATCH($A1696,'DETALLE CRONOLÓGICO'!$A$2:$A$4919,0)+$E1696-1)</f>
        <v/>
      </c>
      <c r="N1696" s="7">
        <f>IFERROR($M1696/INDEX('DETALLE CRONOLÓGICO'!$K$2:$K$4919,MATCH($A1696,'DETALLE CRONOLÓGICO'!$A$2:$A$4919,0))-1,"")</f>
        <v/>
      </c>
      <c r="O1696" s="6">
        <f>IFERROR($I1696*3,"")</f>
        <v/>
      </c>
      <c r="P1696" s="6">
        <f>IFERROR($I1696*3.5,"")</f>
        <v/>
      </c>
      <c r="Q1696" s="6">
        <f>IFERROR($I1696*4,"")</f>
        <v/>
      </c>
      <c r="R1696" s="6" t="n">
        <v>639</v>
      </c>
      <c r="S1696" s="4" t="n">
        <v>2</v>
      </c>
      <c r="T1696" s="1" t="inlineStr">
        <is>
          <t>active</t>
        </is>
      </c>
      <c r="U1696" s="8" t="n"/>
      <c r="V1696" s="1" t="inlineStr">
        <is>
          <t>SIN PRECIO</t>
        </is>
      </c>
    </row>
    <row r="1697">
      <c r="A1697" s="1" t="inlineStr">
        <is>
          <t>673cd567a7edc</t>
        </is>
      </c>
      <c r="B1697" s="1" t="inlineStr">
        <is>
          <t>ANILLO TRES AROS</t>
        </is>
      </c>
      <c r="C1697" s="1" t="inlineStr">
        <is>
          <t>5</t>
        </is>
      </c>
      <c r="D1697" s="1" t="inlineStr">
        <is>
          <t>HAIFENG</t>
        </is>
      </c>
      <c r="E1697" s="4">
        <f>COUNTIF('DETALLE CRONOLÓGICO'!$A$2:$A$4919,$A1697)</f>
        <v/>
      </c>
      <c r="F1697" s="4">
        <f>SUMIFS('DETALLE CRONOLÓGICO'!$I$2:$I$4919,'DETALLE CRONOLÓGICO'!$A$2:$A$4919,$A1697)</f>
        <v/>
      </c>
      <c r="G1697" s="1">
        <f>INDEX('DETALLE CRONOLÓGICO'!$D$2:$D$4919,MATCH($A1697,'DETALLE CRONOLÓGICO'!$A$2:$A$4919,0))</f>
        <v/>
      </c>
      <c r="H1697" s="1">
        <f>INDEX('DETALLE CRONOLÓGICO'!$D$2:$D$4919,MATCH($A1697,'DETALLE CRONOLÓGICO'!$A$2:$A$4919,0)+$E1697-1)</f>
        <v/>
      </c>
      <c r="I1697" s="5">
        <f>IFERROR(SUMIFS('DETALLE CRONOLÓGICO'!$L$2:$L$4919,'DETALLE CRONOLÓGICO'!$A$2:$A$4919,$A1697)/$F1697,"")</f>
        <v/>
      </c>
      <c r="J1697" s="6">
        <f>IFERROR(SUMIFS('DETALLE CRONOLÓGICO'!$K$2:$K$4919,'DETALLE CRONOLÓGICO'!$A$2:$A$4919,$A1697)/$E1697,"")</f>
        <v/>
      </c>
      <c r="K1697" s="6">
        <f>_xlfn.MINIFS('DETALLE CRONOLÓGICO'!$K$2:$K$4919,'DETALLE CRONOLÓGICO'!$A$2:$A$4919,$A1697)</f>
        <v/>
      </c>
      <c r="L1697" s="6">
        <f>_xlfn.MAXIFS('DETALLE CRONOLÓGICO'!$K$2:$K$4919,'DETALLE CRONOLÓGICO'!$A$2:$A$4919,$A1697)</f>
        <v/>
      </c>
      <c r="M1697" s="6">
        <f>INDEX('DETALLE CRONOLÓGICO'!$K$2:$K$4919,MATCH($A1697,'DETALLE CRONOLÓGICO'!$A$2:$A$4919,0)+$E1697-1)</f>
        <v/>
      </c>
      <c r="N1697" s="7">
        <f>IFERROR($M1697/INDEX('DETALLE CRONOLÓGICO'!$K$2:$K$4919,MATCH($A1697,'DETALLE CRONOLÓGICO'!$A$2:$A$4919,0))-1,"")</f>
        <v/>
      </c>
      <c r="O1697" s="6">
        <f>IFERROR($I1697*3,"")</f>
        <v/>
      </c>
      <c r="P1697" s="6">
        <f>IFERROR($I1697*3.5,"")</f>
        <v/>
      </c>
      <c r="Q1697" s="6">
        <f>IFERROR($I1697*4,"")</f>
        <v/>
      </c>
      <c r="R1697" s="6" t="n">
        <v>650</v>
      </c>
      <c r="S1697" s="4" t="n">
        <v>2</v>
      </c>
      <c r="T1697" s="1" t="inlineStr">
        <is>
          <t>active</t>
        </is>
      </c>
      <c r="U1697" s="8" t="n"/>
      <c r="V1697" s="1" t="inlineStr">
        <is>
          <t>SIN PRECIO</t>
        </is>
      </c>
    </row>
    <row r="1698">
      <c r="A1698" s="1" t="inlineStr">
        <is>
          <t>673cd568aea80</t>
        </is>
      </c>
      <c r="B1698" s="1" t="inlineStr">
        <is>
          <t>ANILLO TRUE GOLD</t>
        </is>
      </c>
      <c r="C1698" s="1" t="n">
        <v>8</v>
      </c>
      <c r="D1698" s="1" t="inlineStr">
        <is>
          <t>NANCY</t>
        </is>
      </c>
      <c r="E1698" s="4">
        <f>COUNTIF('DETALLE CRONOLÓGICO'!$A$2:$A$4919,$A1698)</f>
        <v/>
      </c>
      <c r="F1698" s="4">
        <f>SUMIFS('DETALLE CRONOLÓGICO'!$I$2:$I$4919,'DETALLE CRONOLÓGICO'!$A$2:$A$4919,$A1698)</f>
        <v/>
      </c>
      <c r="G1698" s="1">
        <f>INDEX('DETALLE CRONOLÓGICO'!$D$2:$D$4919,MATCH($A1698,'DETALLE CRONOLÓGICO'!$A$2:$A$4919,0))</f>
        <v/>
      </c>
      <c r="H1698" s="1">
        <f>INDEX('DETALLE CRONOLÓGICO'!$D$2:$D$4919,MATCH($A1698,'DETALLE CRONOLÓGICO'!$A$2:$A$4919,0)+$E1698-1)</f>
        <v/>
      </c>
      <c r="I1698" s="5">
        <f>IFERROR(SUMIFS('DETALLE CRONOLÓGICO'!$L$2:$L$4919,'DETALLE CRONOLÓGICO'!$A$2:$A$4919,$A1698)/$F1698,"")</f>
        <v/>
      </c>
      <c r="J1698" s="6">
        <f>IFERROR(SUMIFS('DETALLE CRONOLÓGICO'!$K$2:$K$4919,'DETALLE CRONOLÓGICO'!$A$2:$A$4919,$A1698)/$E1698,"")</f>
        <v/>
      </c>
      <c r="K1698" s="6">
        <f>_xlfn.MINIFS('DETALLE CRONOLÓGICO'!$K$2:$K$4919,'DETALLE CRONOLÓGICO'!$A$2:$A$4919,$A1698)</f>
        <v/>
      </c>
      <c r="L1698" s="6">
        <f>_xlfn.MAXIFS('DETALLE CRONOLÓGICO'!$K$2:$K$4919,'DETALLE CRONOLÓGICO'!$A$2:$A$4919,$A1698)</f>
        <v/>
      </c>
      <c r="M1698" s="6">
        <f>INDEX('DETALLE CRONOLÓGICO'!$K$2:$K$4919,MATCH($A1698,'DETALLE CRONOLÓGICO'!$A$2:$A$4919,0)+$E1698-1)</f>
        <v/>
      </c>
      <c r="N1698" s="7">
        <f>IFERROR($M1698/INDEX('DETALLE CRONOLÓGICO'!$K$2:$K$4919,MATCH($A1698,'DETALLE CRONOLÓGICO'!$A$2:$A$4919,0))-1,"")</f>
        <v/>
      </c>
      <c r="O1698" s="6">
        <f>IFERROR($I1698*3,"")</f>
        <v/>
      </c>
      <c r="P1698" s="6">
        <f>IFERROR($I1698*3.5,"")</f>
        <v/>
      </c>
      <c r="Q1698" s="6">
        <f>IFERROR($I1698*4,"")</f>
        <v/>
      </c>
      <c r="R1698" s="6" t="n">
        <v>639</v>
      </c>
      <c r="S1698" s="4" t="n">
        <v>4</v>
      </c>
      <c r="T1698" s="1" t="inlineStr">
        <is>
          <t>active</t>
        </is>
      </c>
      <c r="U1698" s="8" t="n"/>
      <c r="V1698" s="1" t="inlineStr">
        <is>
          <t>SIN PRECIO</t>
        </is>
      </c>
    </row>
    <row r="1699">
      <c r="A1699" s="1" t="inlineStr">
        <is>
          <t>673cd62fa988f</t>
        </is>
      </c>
      <c r="B1699" s="1" t="inlineStr">
        <is>
          <t>COLLAR B zero SILVER CON ZIRCONIAS</t>
        </is>
      </c>
      <c r="C1699" s="1" t="inlineStr">
        <is>
          <t>41cm de largo con 8cm de extensión</t>
        </is>
      </c>
      <c r="D1699" s="1" t="inlineStr">
        <is>
          <t>HAIFENG</t>
        </is>
      </c>
      <c r="E1699" s="4">
        <f>COUNTIF('DETALLE CRONOLÓGICO'!$A$2:$A$4919,$A1699)</f>
        <v/>
      </c>
      <c r="F1699" s="4">
        <f>SUMIFS('DETALLE CRONOLÓGICO'!$I$2:$I$4919,'DETALLE CRONOLÓGICO'!$A$2:$A$4919,$A1699)</f>
        <v/>
      </c>
      <c r="G1699" s="1">
        <f>INDEX('DETALLE CRONOLÓGICO'!$D$2:$D$4919,MATCH($A1699,'DETALLE CRONOLÓGICO'!$A$2:$A$4919,0))</f>
        <v/>
      </c>
      <c r="H1699" s="1">
        <f>INDEX('DETALLE CRONOLÓGICO'!$D$2:$D$4919,MATCH($A1699,'DETALLE CRONOLÓGICO'!$A$2:$A$4919,0)+$E1699-1)</f>
        <v/>
      </c>
      <c r="I1699" s="5">
        <f>IFERROR(SUMIFS('DETALLE CRONOLÓGICO'!$L$2:$L$4919,'DETALLE CRONOLÓGICO'!$A$2:$A$4919,$A1699)/$F1699,"")</f>
        <v/>
      </c>
      <c r="J1699" s="6">
        <f>IFERROR(SUMIFS('DETALLE CRONOLÓGICO'!$K$2:$K$4919,'DETALLE CRONOLÓGICO'!$A$2:$A$4919,$A1699)/$E1699,"")</f>
        <v/>
      </c>
      <c r="K1699" s="6">
        <f>_xlfn.MINIFS('DETALLE CRONOLÓGICO'!$K$2:$K$4919,'DETALLE CRONOLÓGICO'!$A$2:$A$4919,$A1699)</f>
        <v/>
      </c>
      <c r="L1699" s="6">
        <f>_xlfn.MAXIFS('DETALLE CRONOLÓGICO'!$K$2:$K$4919,'DETALLE CRONOLÓGICO'!$A$2:$A$4919,$A1699)</f>
        <v/>
      </c>
      <c r="M1699" s="6">
        <f>INDEX('DETALLE CRONOLÓGICO'!$K$2:$K$4919,MATCH($A1699,'DETALLE CRONOLÓGICO'!$A$2:$A$4919,0)+$E1699-1)</f>
        <v/>
      </c>
      <c r="N1699" s="7">
        <f>IFERROR($M1699/INDEX('DETALLE CRONOLÓGICO'!$K$2:$K$4919,MATCH($A1699,'DETALLE CRONOLÓGICO'!$A$2:$A$4919,0))-1,"")</f>
        <v/>
      </c>
      <c r="O1699" s="6">
        <f>IFERROR($I1699*3,"")</f>
        <v/>
      </c>
      <c r="P1699" s="6">
        <f>IFERROR($I1699*3.5,"")</f>
        <v/>
      </c>
      <c r="Q1699" s="6">
        <f>IFERROR($I1699*4,"")</f>
        <v/>
      </c>
      <c r="R1699" s="6" t="n">
        <v>550</v>
      </c>
      <c r="S1699" s="4" t="n">
        <v>5</v>
      </c>
      <c r="T1699" s="1" t="inlineStr">
        <is>
          <t>active</t>
        </is>
      </c>
      <c r="U1699" s="8" t="n"/>
      <c r="V1699" s="1" t="inlineStr">
        <is>
          <t>SIN PRECIO</t>
        </is>
      </c>
    </row>
    <row r="1700">
      <c r="A1700" s="1" t="inlineStr">
        <is>
          <t>6748bba38eb40</t>
        </is>
      </c>
      <c r="B1700" s="1" t="inlineStr">
        <is>
          <t>ZAPATILLAS YSL OPYUM BLACK</t>
        </is>
      </c>
      <c r="C1700" s="1" t="inlineStr">
        <is>
          <t>24cm=38</t>
        </is>
      </c>
      <c r="D1700" s="1" t="inlineStr">
        <is>
          <t>ZOEY</t>
        </is>
      </c>
      <c r="E1700" s="4">
        <f>COUNTIF('DETALLE CRONOLÓGICO'!$A$2:$A$4919,$A1700)</f>
        <v/>
      </c>
      <c r="F1700" s="4">
        <f>SUMIFS('DETALLE CRONOLÓGICO'!$I$2:$I$4919,'DETALLE CRONOLÓGICO'!$A$2:$A$4919,$A1700)</f>
        <v/>
      </c>
      <c r="G1700" s="1">
        <f>INDEX('DETALLE CRONOLÓGICO'!$D$2:$D$4919,MATCH($A1700,'DETALLE CRONOLÓGICO'!$A$2:$A$4919,0))</f>
        <v/>
      </c>
      <c r="H1700" s="1">
        <f>INDEX('DETALLE CRONOLÓGICO'!$D$2:$D$4919,MATCH($A1700,'DETALLE CRONOLÓGICO'!$A$2:$A$4919,0)+$E1700-1)</f>
        <v/>
      </c>
      <c r="I1700" s="5">
        <f>IFERROR(SUMIFS('DETALLE CRONOLÓGICO'!$L$2:$L$4919,'DETALLE CRONOLÓGICO'!$A$2:$A$4919,$A1700)/$F1700,"")</f>
        <v/>
      </c>
      <c r="J1700" s="6">
        <f>IFERROR(SUMIFS('DETALLE CRONOLÓGICO'!$K$2:$K$4919,'DETALLE CRONOLÓGICO'!$A$2:$A$4919,$A1700)/$E1700,"")</f>
        <v/>
      </c>
      <c r="K1700" s="6">
        <f>_xlfn.MINIFS('DETALLE CRONOLÓGICO'!$K$2:$K$4919,'DETALLE CRONOLÓGICO'!$A$2:$A$4919,$A1700)</f>
        <v/>
      </c>
      <c r="L1700" s="6">
        <f>_xlfn.MAXIFS('DETALLE CRONOLÓGICO'!$K$2:$K$4919,'DETALLE CRONOLÓGICO'!$A$2:$A$4919,$A1700)</f>
        <v/>
      </c>
      <c r="M1700" s="6">
        <f>INDEX('DETALLE CRONOLÓGICO'!$K$2:$K$4919,MATCH($A1700,'DETALLE CRONOLÓGICO'!$A$2:$A$4919,0)+$E1700-1)</f>
        <v/>
      </c>
      <c r="N1700" s="7">
        <f>IFERROR($M1700/INDEX('DETALLE CRONOLÓGICO'!$K$2:$K$4919,MATCH($A1700,'DETALLE CRONOLÓGICO'!$A$2:$A$4919,0))-1,"")</f>
        <v/>
      </c>
      <c r="O1700" s="6">
        <f>IFERROR($I1700*3,"")</f>
        <v/>
      </c>
      <c r="P1700" s="6">
        <f>IFERROR($I1700*3.5,"")</f>
        <v/>
      </c>
      <c r="Q1700" s="6">
        <f>IFERROR($I1700*4,"")</f>
        <v/>
      </c>
      <c r="R1700" s="6" t="n">
        <v>6339</v>
      </c>
      <c r="S1700" s="4" t="n">
        <v>2</v>
      </c>
      <c r="T1700" s="1" t="inlineStr">
        <is>
          <t>active</t>
        </is>
      </c>
      <c r="U1700" s="8" t="n"/>
      <c r="V1700" s="1" t="inlineStr">
        <is>
          <t>SIN PRECIO</t>
        </is>
      </c>
    </row>
    <row r="1701">
      <c r="A1701" s="1" t="inlineStr">
        <is>
          <t>6748bba425e93</t>
        </is>
      </c>
      <c r="B1701" s="1" t="inlineStr">
        <is>
          <t>ZAPATILLAS YSL OPYUM BLACK</t>
        </is>
      </c>
      <c r="C1701" s="1" t="inlineStr">
        <is>
          <t>38/25cm</t>
        </is>
      </c>
      <c r="D1701" s="1" t="inlineStr">
        <is>
          <t>ZOEY</t>
        </is>
      </c>
      <c r="E1701" s="4">
        <f>COUNTIF('DETALLE CRONOLÓGICO'!$A$2:$A$4919,$A1701)</f>
        <v/>
      </c>
      <c r="F1701" s="4">
        <f>SUMIFS('DETALLE CRONOLÓGICO'!$I$2:$I$4919,'DETALLE CRONOLÓGICO'!$A$2:$A$4919,$A1701)</f>
        <v/>
      </c>
      <c r="G1701" s="1">
        <f>INDEX('DETALLE CRONOLÓGICO'!$D$2:$D$4919,MATCH($A1701,'DETALLE CRONOLÓGICO'!$A$2:$A$4919,0))</f>
        <v/>
      </c>
      <c r="H1701" s="1">
        <f>INDEX('DETALLE CRONOLÓGICO'!$D$2:$D$4919,MATCH($A1701,'DETALLE CRONOLÓGICO'!$A$2:$A$4919,0)+$E1701-1)</f>
        <v/>
      </c>
      <c r="I1701" s="5">
        <f>IFERROR(SUMIFS('DETALLE CRONOLÓGICO'!$L$2:$L$4919,'DETALLE CRONOLÓGICO'!$A$2:$A$4919,$A1701)/$F1701,"")</f>
        <v/>
      </c>
      <c r="J1701" s="6">
        <f>IFERROR(SUMIFS('DETALLE CRONOLÓGICO'!$K$2:$K$4919,'DETALLE CRONOLÓGICO'!$A$2:$A$4919,$A1701)/$E1701,"")</f>
        <v/>
      </c>
      <c r="K1701" s="6">
        <f>_xlfn.MINIFS('DETALLE CRONOLÓGICO'!$K$2:$K$4919,'DETALLE CRONOLÓGICO'!$A$2:$A$4919,$A1701)</f>
        <v/>
      </c>
      <c r="L1701" s="6">
        <f>_xlfn.MAXIFS('DETALLE CRONOLÓGICO'!$K$2:$K$4919,'DETALLE CRONOLÓGICO'!$A$2:$A$4919,$A1701)</f>
        <v/>
      </c>
      <c r="M1701" s="6">
        <f>INDEX('DETALLE CRONOLÓGICO'!$K$2:$K$4919,MATCH($A1701,'DETALLE CRONOLÓGICO'!$A$2:$A$4919,0)+$E1701-1)</f>
        <v/>
      </c>
      <c r="N1701" s="7">
        <f>IFERROR($M1701/INDEX('DETALLE CRONOLÓGICO'!$K$2:$K$4919,MATCH($A1701,'DETALLE CRONOLÓGICO'!$A$2:$A$4919,0))-1,"")</f>
        <v/>
      </c>
      <c r="O1701" s="6">
        <f>IFERROR($I1701*3,"")</f>
        <v/>
      </c>
      <c r="P1701" s="6">
        <f>IFERROR($I1701*3.5,"")</f>
        <v/>
      </c>
      <c r="Q1701" s="6">
        <f>IFERROR($I1701*4,"")</f>
        <v/>
      </c>
      <c r="R1701" s="6" t="n">
        <v>6339</v>
      </c>
      <c r="S1701" s="4" t="n">
        <v>3</v>
      </c>
      <c r="T1701" s="1" t="inlineStr">
        <is>
          <t>active</t>
        </is>
      </c>
      <c r="U1701" s="8" t="n"/>
      <c r="V1701" s="1" t="inlineStr">
        <is>
          <t>SIN PRECIO</t>
        </is>
      </c>
    </row>
    <row r="1702">
      <c r="A1702" s="1" t="inlineStr">
        <is>
          <t>67535d2d7860a</t>
        </is>
      </c>
      <c r="B1702" s="1" t="inlineStr">
        <is>
          <t>RELOJ PANTHERE GOLD SILVER</t>
        </is>
      </c>
      <c r="C1702" s="1" t="inlineStr">
        <is>
          <t>Default Title</t>
        </is>
      </c>
      <c r="D1702" s="1" t="inlineStr">
        <is>
          <t>ZOEY</t>
        </is>
      </c>
      <c r="E1702" s="4">
        <f>COUNTIF('DETALLE CRONOLÓGICO'!$A$2:$A$4919,$A1702)</f>
        <v/>
      </c>
      <c r="F1702" s="4">
        <f>SUMIFS('DETALLE CRONOLÓGICO'!$I$2:$I$4919,'DETALLE CRONOLÓGICO'!$A$2:$A$4919,$A1702)</f>
        <v/>
      </c>
      <c r="G1702" s="1">
        <f>INDEX('DETALLE CRONOLÓGICO'!$D$2:$D$4919,MATCH($A1702,'DETALLE CRONOLÓGICO'!$A$2:$A$4919,0))</f>
        <v/>
      </c>
      <c r="H1702" s="1">
        <f>INDEX('DETALLE CRONOLÓGICO'!$D$2:$D$4919,MATCH($A1702,'DETALLE CRONOLÓGICO'!$A$2:$A$4919,0)+$E1702-1)</f>
        <v/>
      </c>
      <c r="I1702" s="5">
        <f>IFERROR(SUMIFS('DETALLE CRONOLÓGICO'!$L$2:$L$4919,'DETALLE CRONOLÓGICO'!$A$2:$A$4919,$A1702)/$F1702,"")</f>
        <v/>
      </c>
      <c r="J1702" s="6">
        <f>IFERROR(SUMIFS('DETALLE CRONOLÓGICO'!$K$2:$K$4919,'DETALLE CRONOLÓGICO'!$A$2:$A$4919,$A1702)/$E1702,"")</f>
        <v/>
      </c>
      <c r="K1702" s="6">
        <f>_xlfn.MINIFS('DETALLE CRONOLÓGICO'!$K$2:$K$4919,'DETALLE CRONOLÓGICO'!$A$2:$A$4919,$A1702)</f>
        <v/>
      </c>
      <c r="L1702" s="6">
        <f>_xlfn.MAXIFS('DETALLE CRONOLÓGICO'!$K$2:$K$4919,'DETALLE CRONOLÓGICO'!$A$2:$A$4919,$A1702)</f>
        <v/>
      </c>
      <c r="M1702" s="6">
        <f>INDEX('DETALLE CRONOLÓGICO'!$K$2:$K$4919,MATCH($A1702,'DETALLE CRONOLÓGICO'!$A$2:$A$4919,0)+$E1702-1)</f>
        <v/>
      </c>
      <c r="N1702" s="7">
        <f>IFERROR($M1702/INDEX('DETALLE CRONOLÓGICO'!$K$2:$K$4919,MATCH($A1702,'DETALLE CRONOLÓGICO'!$A$2:$A$4919,0))-1,"")</f>
        <v/>
      </c>
      <c r="O1702" s="6">
        <f>IFERROR($I1702*3,"")</f>
        <v/>
      </c>
      <c r="P1702" s="6">
        <f>IFERROR($I1702*3.5,"")</f>
        <v/>
      </c>
      <c r="Q1702" s="6">
        <f>IFERROR($I1702*4,"")</f>
        <v/>
      </c>
      <c r="R1702" s="6" t="n"/>
      <c r="S1702" s="4" t="n"/>
      <c r="T1702" s="1" t="inlineStr">
        <is>
          <t>YA NO EXISTE EN SHOPIFY</t>
        </is>
      </c>
      <c r="U1702" s="8" t="n"/>
      <c r="V1702" s="1" t="inlineStr">
        <is>
          <t>SIN PRECIO</t>
        </is>
      </c>
    </row>
    <row r="1703">
      <c r="A1703" s="1" t="inlineStr">
        <is>
          <t>67535d2d7860a-1</t>
        </is>
      </c>
      <c r="B1703" s="1" t="inlineStr">
        <is>
          <t>RELOJ PANTHERE GOLD SILVER</t>
        </is>
      </c>
      <c r="C1703" s="1" t="inlineStr">
        <is>
          <t>RELOJ SIN CAJA</t>
        </is>
      </c>
      <c r="D1703" s="1" t="inlineStr">
        <is>
          <t>ZOEY</t>
        </is>
      </c>
      <c r="E1703" s="4">
        <f>COUNTIF('DETALLE CRONOLÓGICO'!$A$2:$A$4919,$A1703)</f>
        <v/>
      </c>
      <c r="F1703" s="4">
        <f>SUMIFS('DETALLE CRONOLÓGICO'!$I$2:$I$4919,'DETALLE CRONOLÓGICO'!$A$2:$A$4919,$A1703)</f>
        <v/>
      </c>
      <c r="G1703" s="1">
        <f>INDEX('DETALLE CRONOLÓGICO'!$D$2:$D$4919,MATCH($A1703,'DETALLE CRONOLÓGICO'!$A$2:$A$4919,0))</f>
        <v/>
      </c>
      <c r="H1703" s="1">
        <f>INDEX('DETALLE CRONOLÓGICO'!$D$2:$D$4919,MATCH($A1703,'DETALLE CRONOLÓGICO'!$A$2:$A$4919,0)+$E1703-1)</f>
        <v/>
      </c>
      <c r="I1703" s="5">
        <f>IFERROR(SUMIFS('DETALLE CRONOLÓGICO'!$L$2:$L$4919,'DETALLE CRONOLÓGICO'!$A$2:$A$4919,$A1703)/$F1703,"")</f>
        <v/>
      </c>
      <c r="J1703" s="6">
        <f>IFERROR(SUMIFS('DETALLE CRONOLÓGICO'!$K$2:$K$4919,'DETALLE CRONOLÓGICO'!$A$2:$A$4919,$A1703)/$E1703,"")</f>
        <v/>
      </c>
      <c r="K1703" s="6">
        <f>_xlfn.MINIFS('DETALLE CRONOLÓGICO'!$K$2:$K$4919,'DETALLE CRONOLÓGICO'!$A$2:$A$4919,$A1703)</f>
        <v/>
      </c>
      <c r="L1703" s="6">
        <f>_xlfn.MAXIFS('DETALLE CRONOLÓGICO'!$K$2:$K$4919,'DETALLE CRONOLÓGICO'!$A$2:$A$4919,$A1703)</f>
        <v/>
      </c>
      <c r="M1703" s="6">
        <f>INDEX('DETALLE CRONOLÓGICO'!$K$2:$K$4919,MATCH($A1703,'DETALLE CRONOLÓGICO'!$A$2:$A$4919,0)+$E1703-1)</f>
        <v/>
      </c>
      <c r="N1703" s="7">
        <f>IFERROR($M1703/INDEX('DETALLE CRONOLÓGICO'!$K$2:$K$4919,MATCH($A1703,'DETALLE CRONOLÓGICO'!$A$2:$A$4919,0))-1,"")</f>
        <v/>
      </c>
      <c r="O1703" s="6">
        <f>IFERROR($I1703*3,"")</f>
        <v/>
      </c>
      <c r="P1703" s="6">
        <f>IFERROR($I1703*3.5,"")</f>
        <v/>
      </c>
      <c r="Q1703" s="6">
        <f>IFERROR($I1703*4,"")</f>
        <v/>
      </c>
      <c r="R1703" s="6" t="n">
        <v>5995.16</v>
      </c>
      <c r="S1703" s="4" t="n">
        <v>9</v>
      </c>
      <c r="T1703" s="1" t="inlineStr">
        <is>
          <t>active</t>
        </is>
      </c>
      <c r="U1703" s="8" t="n"/>
      <c r="V1703" s="1" t="inlineStr">
        <is>
          <t>SIN PRECIO</t>
        </is>
      </c>
    </row>
    <row r="1704">
      <c r="A1704" s="1" t="inlineStr">
        <is>
          <t>67535d2d7860a-2</t>
        </is>
      </c>
      <c r="B1704" s="1" t="inlineStr">
        <is>
          <t>RELOJ PANTHERE GOLD SILVER</t>
        </is>
      </c>
      <c r="C1704" s="1" t="inlineStr">
        <is>
          <t>RELOJ CON CAJA</t>
        </is>
      </c>
      <c r="D1704" s="1" t="inlineStr">
        <is>
          <t>ZOEY</t>
        </is>
      </c>
      <c r="E1704" s="4">
        <f>COUNTIF('DETALLE CRONOLÓGICO'!$A$2:$A$4919,$A1704)</f>
        <v/>
      </c>
      <c r="F1704" s="4">
        <f>SUMIFS('DETALLE CRONOLÓGICO'!$I$2:$I$4919,'DETALLE CRONOLÓGICO'!$A$2:$A$4919,$A1704)</f>
        <v/>
      </c>
      <c r="G1704" s="1">
        <f>INDEX('DETALLE CRONOLÓGICO'!$D$2:$D$4919,MATCH($A1704,'DETALLE CRONOLÓGICO'!$A$2:$A$4919,0))</f>
        <v/>
      </c>
      <c r="H1704" s="1">
        <f>INDEX('DETALLE CRONOLÓGICO'!$D$2:$D$4919,MATCH($A1704,'DETALLE CRONOLÓGICO'!$A$2:$A$4919,0)+$E1704-1)</f>
        <v/>
      </c>
      <c r="I1704" s="5">
        <f>IFERROR(SUMIFS('DETALLE CRONOLÓGICO'!$L$2:$L$4919,'DETALLE CRONOLÓGICO'!$A$2:$A$4919,$A1704)/$F1704,"")</f>
        <v/>
      </c>
      <c r="J1704" s="6">
        <f>IFERROR(SUMIFS('DETALLE CRONOLÓGICO'!$K$2:$K$4919,'DETALLE CRONOLÓGICO'!$A$2:$A$4919,$A1704)/$E1704,"")</f>
        <v/>
      </c>
      <c r="K1704" s="6">
        <f>_xlfn.MINIFS('DETALLE CRONOLÓGICO'!$K$2:$K$4919,'DETALLE CRONOLÓGICO'!$A$2:$A$4919,$A1704)</f>
        <v/>
      </c>
      <c r="L1704" s="6">
        <f>_xlfn.MAXIFS('DETALLE CRONOLÓGICO'!$K$2:$K$4919,'DETALLE CRONOLÓGICO'!$A$2:$A$4919,$A1704)</f>
        <v/>
      </c>
      <c r="M1704" s="6">
        <f>INDEX('DETALLE CRONOLÓGICO'!$K$2:$K$4919,MATCH($A1704,'DETALLE CRONOLÓGICO'!$A$2:$A$4919,0)+$E1704-1)</f>
        <v/>
      </c>
      <c r="N1704" s="7">
        <f>IFERROR($M1704/INDEX('DETALLE CRONOLÓGICO'!$K$2:$K$4919,MATCH($A1704,'DETALLE CRONOLÓGICO'!$A$2:$A$4919,0))-1,"")</f>
        <v/>
      </c>
      <c r="O1704" s="6">
        <f>IFERROR($I1704*3,"")</f>
        <v/>
      </c>
      <c r="P1704" s="6">
        <f>IFERROR($I1704*3.5,"")</f>
        <v/>
      </c>
      <c r="Q1704" s="6">
        <f>IFERROR($I1704*4,"")</f>
        <v/>
      </c>
      <c r="R1704" s="6" t="n">
        <v>5720</v>
      </c>
      <c r="S1704" s="4" t="n">
        <v>0</v>
      </c>
      <c r="T1704" s="1" t="inlineStr">
        <is>
          <t>active</t>
        </is>
      </c>
      <c r="U1704" s="8" t="n"/>
      <c r="V1704" s="1" t="inlineStr">
        <is>
          <t>SIN PRECIO</t>
        </is>
      </c>
    </row>
    <row r="1705">
      <c r="A1705" s="1" t="inlineStr">
        <is>
          <t>67535d35b8818</t>
        </is>
      </c>
      <c r="B1705" s="1" t="inlineStr">
        <is>
          <t>RELOJ SERPENTI SEDUTTORI</t>
        </is>
      </c>
      <c r="C1705" s="1" t="inlineStr">
        <is>
          <t>RELOJ SIN CAJA</t>
        </is>
      </c>
      <c r="D1705" s="1" t="inlineStr">
        <is>
          <t>ZOEY</t>
        </is>
      </c>
      <c r="E1705" s="4">
        <f>COUNTIF('DETALLE CRONOLÓGICO'!$A$2:$A$4919,$A1705)</f>
        <v/>
      </c>
      <c r="F1705" s="4">
        <f>SUMIFS('DETALLE CRONOLÓGICO'!$I$2:$I$4919,'DETALLE CRONOLÓGICO'!$A$2:$A$4919,$A1705)</f>
        <v/>
      </c>
      <c r="G1705" s="1">
        <f>INDEX('DETALLE CRONOLÓGICO'!$D$2:$D$4919,MATCH($A1705,'DETALLE CRONOLÓGICO'!$A$2:$A$4919,0))</f>
        <v/>
      </c>
      <c r="H1705" s="1">
        <f>INDEX('DETALLE CRONOLÓGICO'!$D$2:$D$4919,MATCH($A1705,'DETALLE CRONOLÓGICO'!$A$2:$A$4919,0)+$E1705-1)</f>
        <v/>
      </c>
      <c r="I1705" s="5">
        <f>IFERROR(SUMIFS('DETALLE CRONOLÓGICO'!$L$2:$L$4919,'DETALLE CRONOLÓGICO'!$A$2:$A$4919,$A1705)/$F1705,"")</f>
        <v/>
      </c>
      <c r="J1705" s="6">
        <f>IFERROR(SUMIFS('DETALLE CRONOLÓGICO'!$K$2:$K$4919,'DETALLE CRONOLÓGICO'!$A$2:$A$4919,$A1705)/$E1705,"")</f>
        <v/>
      </c>
      <c r="K1705" s="6">
        <f>_xlfn.MINIFS('DETALLE CRONOLÓGICO'!$K$2:$K$4919,'DETALLE CRONOLÓGICO'!$A$2:$A$4919,$A1705)</f>
        <v/>
      </c>
      <c r="L1705" s="6">
        <f>_xlfn.MAXIFS('DETALLE CRONOLÓGICO'!$K$2:$K$4919,'DETALLE CRONOLÓGICO'!$A$2:$A$4919,$A1705)</f>
        <v/>
      </c>
      <c r="M1705" s="6">
        <f>INDEX('DETALLE CRONOLÓGICO'!$K$2:$K$4919,MATCH($A1705,'DETALLE CRONOLÓGICO'!$A$2:$A$4919,0)+$E1705-1)</f>
        <v/>
      </c>
      <c r="N1705" s="7">
        <f>IFERROR($M1705/INDEX('DETALLE CRONOLÓGICO'!$K$2:$K$4919,MATCH($A1705,'DETALLE CRONOLÓGICO'!$A$2:$A$4919,0))-1,"")</f>
        <v/>
      </c>
      <c r="O1705" s="6">
        <f>IFERROR($I1705*3,"")</f>
        <v/>
      </c>
      <c r="P1705" s="6">
        <f>IFERROR($I1705*3.5,"")</f>
        <v/>
      </c>
      <c r="Q1705" s="6">
        <f>IFERROR($I1705*4,"")</f>
        <v/>
      </c>
      <c r="R1705" s="6" t="n">
        <v>5380.44</v>
      </c>
      <c r="S1705" s="4" t="n">
        <v>1</v>
      </c>
      <c r="T1705" s="1" t="inlineStr">
        <is>
          <t>active</t>
        </is>
      </c>
      <c r="U1705" s="8" t="n"/>
      <c r="V1705" s="1" t="inlineStr">
        <is>
          <t>SIN PRECIO</t>
        </is>
      </c>
    </row>
    <row r="1706">
      <c r="A1706" s="1" t="inlineStr">
        <is>
          <t>67535d35b8819</t>
        </is>
      </c>
      <c r="B1706" s="1" t="inlineStr">
        <is>
          <t>RELOJ SERPENTI SEDUTTORI</t>
        </is>
      </c>
      <c r="C1706" s="1" t="inlineStr">
        <is>
          <t>RELOJ CON  CAJA</t>
        </is>
      </c>
      <c r="D1706" s="1" t="inlineStr">
        <is>
          <t>ZOEY</t>
        </is>
      </c>
      <c r="E1706" s="4">
        <f>COUNTIF('DETALLE CRONOLÓGICO'!$A$2:$A$4919,$A1706)</f>
        <v/>
      </c>
      <c r="F1706" s="4">
        <f>SUMIFS('DETALLE CRONOLÓGICO'!$I$2:$I$4919,'DETALLE CRONOLÓGICO'!$A$2:$A$4919,$A1706)</f>
        <v/>
      </c>
      <c r="G1706" s="1">
        <f>INDEX('DETALLE CRONOLÓGICO'!$D$2:$D$4919,MATCH($A1706,'DETALLE CRONOLÓGICO'!$A$2:$A$4919,0))</f>
        <v/>
      </c>
      <c r="H1706" s="1">
        <f>INDEX('DETALLE CRONOLÓGICO'!$D$2:$D$4919,MATCH($A1706,'DETALLE CRONOLÓGICO'!$A$2:$A$4919,0)+$E1706-1)</f>
        <v/>
      </c>
      <c r="I1706" s="5">
        <f>IFERROR(SUMIFS('DETALLE CRONOLÓGICO'!$L$2:$L$4919,'DETALLE CRONOLÓGICO'!$A$2:$A$4919,$A1706)/$F1706,"")</f>
        <v/>
      </c>
      <c r="J1706" s="6">
        <f>IFERROR(SUMIFS('DETALLE CRONOLÓGICO'!$K$2:$K$4919,'DETALLE CRONOLÓGICO'!$A$2:$A$4919,$A1706)/$E1706,"")</f>
        <v/>
      </c>
      <c r="K1706" s="6">
        <f>_xlfn.MINIFS('DETALLE CRONOLÓGICO'!$K$2:$K$4919,'DETALLE CRONOLÓGICO'!$A$2:$A$4919,$A1706)</f>
        <v/>
      </c>
      <c r="L1706" s="6">
        <f>_xlfn.MAXIFS('DETALLE CRONOLÓGICO'!$K$2:$K$4919,'DETALLE CRONOLÓGICO'!$A$2:$A$4919,$A1706)</f>
        <v/>
      </c>
      <c r="M1706" s="6">
        <f>INDEX('DETALLE CRONOLÓGICO'!$K$2:$K$4919,MATCH($A1706,'DETALLE CRONOLÓGICO'!$A$2:$A$4919,0)+$E1706-1)</f>
        <v/>
      </c>
      <c r="N1706" s="7">
        <f>IFERROR($M1706/INDEX('DETALLE CRONOLÓGICO'!$K$2:$K$4919,MATCH($A1706,'DETALLE CRONOLÓGICO'!$A$2:$A$4919,0))-1,"")</f>
        <v/>
      </c>
      <c r="O1706" s="6">
        <f>IFERROR($I1706*3,"")</f>
        <v/>
      </c>
      <c r="P1706" s="6">
        <f>IFERROR($I1706*3.5,"")</f>
        <v/>
      </c>
      <c r="Q1706" s="6">
        <f>IFERROR($I1706*4,"")</f>
        <v/>
      </c>
      <c r="R1706" s="6" t="n">
        <v>6150</v>
      </c>
      <c r="S1706" s="4" t="n">
        <v>2</v>
      </c>
      <c r="T1706" s="1" t="inlineStr">
        <is>
          <t>active</t>
        </is>
      </c>
      <c r="U1706" s="8" t="n"/>
      <c r="V1706" s="1" t="inlineStr">
        <is>
          <t>SIN PRECIO</t>
        </is>
      </c>
    </row>
    <row r="1707">
      <c r="A1707" s="1" t="inlineStr">
        <is>
          <t>67572c78e34a0</t>
        </is>
      </c>
      <c r="B1707" s="1" t="inlineStr">
        <is>
          <t>BOLSO YSL CHERRY CHAROL</t>
        </is>
      </c>
      <c r="C1707" s="1" t="inlineStr">
        <is>
          <t>24.3cm de largo x 15cm de alto x 6cm de ancho</t>
        </is>
      </c>
      <c r="D1707" s="1" t="inlineStr">
        <is>
          <t>CYNTHIA</t>
        </is>
      </c>
      <c r="E1707" s="4">
        <f>COUNTIF('DETALLE CRONOLÓGICO'!$A$2:$A$4919,$A1707)</f>
        <v/>
      </c>
      <c r="F1707" s="4">
        <f>SUMIFS('DETALLE CRONOLÓGICO'!$I$2:$I$4919,'DETALLE CRONOLÓGICO'!$A$2:$A$4919,$A1707)</f>
        <v/>
      </c>
      <c r="G1707" s="1">
        <f>INDEX('DETALLE CRONOLÓGICO'!$D$2:$D$4919,MATCH($A1707,'DETALLE CRONOLÓGICO'!$A$2:$A$4919,0))</f>
        <v/>
      </c>
      <c r="H1707" s="1">
        <f>INDEX('DETALLE CRONOLÓGICO'!$D$2:$D$4919,MATCH($A1707,'DETALLE CRONOLÓGICO'!$A$2:$A$4919,0)+$E1707-1)</f>
        <v/>
      </c>
      <c r="I1707" s="5">
        <f>IFERROR(SUMIFS('DETALLE CRONOLÓGICO'!$L$2:$L$4919,'DETALLE CRONOLÓGICO'!$A$2:$A$4919,$A1707)/$F1707,"")</f>
        <v/>
      </c>
      <c r="J1707" s="6">
        <f>IFERROR(SUMIFS('DETALLE CRONOLÓGICO'!$K$2:$K$4919,'DETALLE CRONOLÓGICO'!$A$2:$A$4919,$A1707)/$E1707,"")</f>
        <v/>
      </c>
      <c r="K1707" s="6">
        <f>_xlfn.MINIFS('DETALLE CRONOLÓGICO'!$K$2:$K$4919,'DETALLE CRONOLÓGICO'!$A$2:$A$4919,$A1707)</f>
        <v/>
      </c>
      <c r="L1707" s="6">
        <f>_xlfn.MAXIFS('DETALLE CRONOLÓGICO'!$K$2:$K$4919,'DETALLE CRONOLÓGICO'!$A$2:$A$4919,$A1707)</f>
        <v/>
      </c>
      <c r="M1707" s="6">
        <f>INDEX('DETALLE CRONOLÓGICO'!$K$2:$K$4919,MATCH($A1707,'DETALLE CRONOLÓGICO'!$A$2:$A$4919,0)+$E1707-1)</f>
        <v/>
      </c>
      <c r="N1707" s="7">
        <f>IFERROR($M1707/INDEX('DETALLE CRONOLÓGICO'!$K$2:$K$4919,MATCH($A1707,'DETALLE CRONOLÓGICO'!$A$2:$A$4919,0))-1,"")</f>
        <v/>
      </c>
      <c r="O1707" s="6">
        <f>IFERROR($I1707*3,"")</f>
        <v/>
      </c>
      <c r="P1707" s="6">
        <f>IFERROR($I1707*3.5,"")</f>
        <v/>
      </c>
      <c r="Q1707" s="6">
        <f>IFERROR($I1707*4,"")</f>
        <v/>
      </c>
      <c r="R1707" s="6" t="n">
        <v>5850</v>
      </c>
      <c r="S1707" s="4" t="n">
        <v>2</v>
      </c>
      <c r="T1707" s="1" t="inlineStr">
        <is>
          <t>active</t>
        </is>
      </c>
      <c r="U1707" s="8" t="n"/>
      <c r="V1707" s="1" t="inlineStr">
        <is>
          <t>SIN PRECIO</t>
        </is>
      </c>
    </row>
    <row r="1708">
      <c r="A1708" s="1" t="inlineStr">
        <is>
          <t>67572cbd4a7ca</t>
        </is>
      </c>
      <c r="B1708" s="1" t="inlineStr">
        <is>
          <t>BOLSO YSL CON CADENA BLACK</t>
        </is>
      </c>
      <c r="C1708" s="1" t="inlineStr">
        <is>
          <t>19cm de alto x 24cm de largo x 7cm de ancho</t>
        </is>
      </c>
      <c r="D1708" s="1" t="inlineStr">
        <is>
          <t>DINA DU</t>
        </is>
      </c>
      <c r="E1708" s="4">
        <f>COUNTIF('DETALLE CRONOLÓGICO'!$A$2:$A$4919,$A1708)</f>
        <v/>
      </c>
      <c r="F1708" s="4">
        <f>SUMIFS('DETALLE CRONOLÓGICO'!$I$2:$I$4919,'DETALLE CRONOLÓGICO'!$A$2:$A$4919,$A1708)</f>
        <v/>
      </c>
      <c r="G1708" s="1">
        <f>INDEX('DETALLE CRONOLÓGICO'!$D$2:$D$4919,MATCH($A1708,'DETALLE CRONOLÓGICO'!$A$2:$A$4919,0))</f>
        <v/>
      </c>
      <c r="H1708" s="1">
        <f>INDEX('DETALLE CRONOLÓGICO'!$D$2:$D$4919,MATCH($A1708,'DETALLE CRONOLÓGICO'!$A$2:$A$4919,0)+$E1708-1)</f>
        <v/>
      </c>
      <c r="I1708" s="5">
        <f>IFERROR(SUMIFS('DETALLE CRONOLÓGICO'!$L$2:$L$4919,'DETALLE CRONOLÓGICO'!$A$2:$A$4919,$A1708)/$F1708,"")</f>
        <v/>
      </c>
      <c r="J1708" s="6">
        <f>IFERROR(SUMIFS('DETALLE CRONOLÓGICO'!$K$2:$K$4919,'DETALLE CRONOLÓGICO'!$A$2:$A$4919,$A1708)/$E1708,"")</f>
        <v/>
      </c>
      <c r="K1708" s="6">
        <f>_xlfn.MINIFS('DETALLE CRONOLÓGICO'!$K$2:$K$4919,'DETALLE CRONOLÓGICO'!$A$2:$A$4919,$A1708)</f>
        <v/>
      </c>
      <c r="L1708" s="6">
        <f>_xlfn.MAXIFS('DETALLE CRONOLÓGICO'!$K$2:$K$4919,'DETALLE CRONOLÓGICO'!$A$2:$A$4919,$A1708)</f>
        <v/>
      </c>
      <c r="M1708" s="6">
        <f>INDEX('DETALLE CRONOLÓGICO'!$K$2:$K$4919,MATCH($A1708,'DETALLE CRONOLÓGICO'!$A$2:$A$4919,0)+$E1708-1)</f>
        <v/>
      </c>
      <c r="N1708" s="7">
        <f>IFERROR($M1708/INDEX('DETALLE CRONOLÓGICO'!$K$2:$K$4919,MATCH($A1708,'DETALLE CRONOLÓGICO'!$A$2:$A$4919,0))-1,"")</f>
        <v/>
      </c>
      <c r="O1708" s="6">
        <f>IFERROR($I1708*3,"")</f>
        <v/>
      </c>
      <c r="P1708" s="6">
        <f>IFERROR($I1708*3.5,"")</f>
        <v/>
      </c>
      <c r="Q1708" s="6">
        <f>IFERROR($I1708*4,"")</f>
        <v/>
      </c>
      <c r="R1708" s="6" t="n">
        <v>4302.14</v>
      </c>
      <c r="S1708" s="4" t="n">
        <v>1</v>
      </c>
      <c r="T1708" s="1" t="inlineStr">
        <is>
          <t>active</t>
        </is>
      </c>
      <c r="U1708" s="8" t="n"/>
      <c r="V1708" s="1" t="inlineStr">
        <is>
          <t>SIN PRECIO</t>
        </is>
      </c>
    </row>
    <row r="1709">
      <c r="A1709" s="1" t="inlineStr">
        <is>
          <t>67572cbe60534</t>
        </is>
      </c>
      <c r="B1709" s="1" t="inlineStr">
        <is>
          <t>BOLSO YSL CON CADENA OFF WHITE</t>
        </is>
      </c>
      <c r="C1709" s="1" t="inlineStr">
        <is>
          <t>Middle Quality</t>
        </is>
      </c>
      <c r="D1709" s="1" t="inlineStr">
        <is>
          <t>DINA DU</t>
        </is>
      </c>
      <c r="E1709" s="4">
        <f>COUNTIF('DETALLE CRONOLÓGICO'!$A$2:$A$4919,$A1709)</f>
        <v/>
      </c>
      <c r="F1709" s="4">
        <f>SUMIFS('DETALLE CRONOLÓGICO'!$I$2:$I$4919,'DETALLE CRONOLÓGICO'!$A$2:$A$4919,$A1709)</f>
        <v/>
      </c>
      <c r="G1709" s="1">
        <f>INDEX('DETALLE CRONOLÓGICO'!$D$2:$D$4919,MATCH($A1709,'DETALLE CRONOLÓGICO'!$A$2:$A$4919,0))</f>
        <v/>
      </c>
      <c r="H1709" s="1">
        <f>INDEX('DETALLE CRONOLÓGICO'!$D$2:$D$4919,MATCH($A1709,'DETALLE CRONOLÓGICO'!$A$2:$A$4919,0)+$E1709-1)</f>
        <v/>
      </c>
      <c r="I1709" s="5">
        <f>IFERROR(SUMIFS('DETALLE CRONOLÓGICO'!$L$2:$L$4919,'DETALLE CRONOLÓGICO'!$A$2:$A$4919,$A1709)/$F1709,"")</f>
        <v/>
      </c>
      <c r="J1709" s="6">
        <f>IFERROR(SUMIFS('DETALLE CRONOLÓGICO'!$K$2:$K$4919,'DETALLE CRONOLÓGICO'!$A$2:$A$4919,$A1709)/$E1709,"")</f>
        <v/>
      </c>
      <c r="K1709" s="6">
        <f>_xlfn.MINIFS('DETALLE CRONOLÓGICO'!$K$2:$K$4919,'DETALLE CRONOLÓGICO'!$A$2:$A$4919,$A1709)</f>
        <v/>
      </c>
      <c r="L1709" s="6">
        <f>_xlfn.MAXIFS('DETALLE CRONOLÓGICO'!$K$2:$K$4919,'DETALLE CRONOLÓGICO'!$A$2:$A$4919,$A1709)</f>
        <v/>
      </c>
      <c r="M1709" s="6">
        <f>INDEX('DETALLE CRONOLÓGICO'!$K$2:$K$4919,MATCH($A1709,'DETALLE CRONOLÓGICO'!$A$2:$A$4919,0)+$E1709-1)</f>
        <v/>
      </c>
      <c r="N1709" s="7">
        <f>IFERROR($M1709/INDEX('DETALLE CRONOLÓGICO'!$K$2:$K$4919,MATCH($A1709,'DETALLE CRONOLÓGICO'!$A$2:$A$4919,0))-1,"")</f>
        <v/>
      </c>
      <c r="O1709" s="6">
        <f>IFERROR($I1709*3,"")</f>
        <v/>
      </c>
      <c r="P1709" s="6">
        <f>IFERROR($I1709*3.5,"")</f>
        <v/>
      </c>
      <c r="Q1709" s="6">
        <f>IFERROR($I1709*4,"")</f>
        <v/>
      </c>
      <c r="R1709" s="6" t="n">
        <v>4354.13</v>
      </c>
      <c r="S1709" s="4" t="n">
        <v>0</v>
      </c>
      <c r="T1709" s="1" t="inlineStr">
        <is>
          <t>active</t>
        </is>
      </c>
      <c r="U1709" s="8" t="n"/>
      <c r="V1709" s="1" t="inlineStr">
        <is>
          <t>SIN PRECIO</t>
        </is>
      </c>
    </row>
    <row r="1710">
      <c r="A1710" s="1" t="inlineStr">
        <is>
          <t>67762863713709</t>
        </is>
      </c>
      <c r="B1710" s="1" t="inlineStr">
        <is>
          <t>ANILLO LOVE ROSE GOLD ANCHO</t>
        </is>
      </c>
      <c r="C1710" s="1" t="inlineStr">
        <is>
          <t>5</t>
        </is>
      </c>
      <c r="D1710" s="1" t="inlineStr">
        <is>
          <t>HAIFENG</t>
        </is>
      </c>
      <c r="E1710" s="4">
        <f>COUNTIF('DETALLE CRONOLÓGICO'!$A$2:$A$4919,$A1710)</f>
        <v/>
      </c>
      <c r="F1710" s="4">
        <f>SUMIFS('DETALLE CRONOLÓGICO'!$I$2:$I$4919,'DETALLE CRONOLÓGICO'!$A$2:$A$4919,$A1710)</f>
        <v/>
      </c>
      <c r="G1710" s="1">
        <f>INDEX('DETALLE CRONOLÓGICO'!$D$2:$D$4919,MATCH($A1710,'DETALLE CRONOLÓGICO'!$A$2:$A$4919,0))</f>
        <v/>
      </c>
      <c r="H1710" s="1">
        <f>INDEX('DETALLE CRONOLÓGICO'!$D$2:$D$4919,MATCH($A1710,'DETALLE CRONOLÓGICO'!$A$2:$A$4919,0)+$E1710-1)</f>
        <v/>
      </c>
      <c r="I1710" s="5">
        <f>IFERROR(SUMIFS('DETALLE CRONOLÓGICO'!$L$2:$L$4919,'DETALLE CRONOLÓGICO'!$A$2:$A$4919,$A1710)/$F1710,"")</f>
        <v/>
      </c>
      <c r="J1710" s="6">
        <f>IFERROR(SUMIFS('DETALLE CRONOLÓGICO'!$K$2:$K$4919,'DETALLE CRONOLÓGICO'!$A$2:$A$4919,$A1710)/$E1710,"")</f>
        <v/>
      </c>
      <c r="K1710" s="6">
        <f>_xlfn.MINIFS('DETALLE CRONOLÓGICO'!$K$2:$K$4919,'DETALLE CRONOLÓGICO'!$A$2:$A$4919,$A1710)</f>
        <v/>
      </c>
      <c r="L1710" s="6">
        <f>_xlfn.MAXIFS('DETALLE CRONOLÓGICO'!$K$2:$K$4919,'DETALLE CRONOLÓGICO'!$A$2:$A$4919,$A1710)</f>
        <v/>
      </c>
      <c r="M1710" s="6">
        <f>INDEX('DETALLE CRONOLÓGICO'!$K$2:$K$4919,MATCH($A1710,'DETALLE CRONOLÓGICO'!$A$2:$A$4919,0)+$E1710-1)</f>
        <v/>
      </c>
      <c r="N1710" s="7">
        <f>IFERROR($M1710/INDEX('DETALLE CRONOLÓGICO'!$K$2:$K$4919,MATCH($A1710,'DETALLE CRONOLÓGICO'!$A$2:$A$4919,0))-1,"")</f>
        <v/>
      </c>
      <c r="O1710" s="6">
        <f>IFERROR($I1710*3,"")</f>
        <v/>
      </c>
      <c r="P1710" s="6">
        <f>IFERROR($I1710*3.5,"")</f>
        <v/>
      </c>
      <c r="Q1710" s="6">
        <f>IFERROR($I1710*4,"")</f>
        <v/>
      </c>
      <c r="R1710" s="6" t="n">
        <v>400</v>
      </c>
      <c r="S1710" s="4" t="n">
        <v>3</v>
      </c>
      <c r="T1710" s="1" t="inlineStr">
        <is>
          <t>active</t>
        </is>
      </c>
      <c r="U1710" s="8" t="n"/>
      <c r="V1710" s="1" t="inlineStr">
        <is>
          <t>SIN PRECIO</t>
        </is>
      </c>
    </row>
    <row r="1711">
      <c r="A1711" s="1" t="inlineStr">
        <is>
          <t>677c26ae9f248</t>
        </is>
      </c>
      <c r="B1711" s="1" t="inlineStr">
        <is>
          <t>BOLSO LV BAGATELLE</t>
        </is>
      </c>
      <c r="C1711" s="1" t="inlineStr">
        <is>
          <t>23cm de largo x 20cm de alto x 8.5cm</t>
        </is>
      </c>
      <c r="D1711" s="1" t="inlineStr">
        <is>
          <t>DINA DU</t>
        </is>
      </c>
      <c r="E1711" s="4">
        <f>COUNTIF('DETALLE CRONOLÓGICO'!$A$2:$A$4919,$A1711)</f>
        <v/>
      </c>
      <c r="F1711" s="4">
        <f>SUMIFS('DETALLE CRONOLÓGICO'!$I$2:$I$4919,'DETALLE CRONOLÓGICO'!$A$2:$A$4919,$A1711)</f>
        <v/>
      </c>
      <c r="G1711" s="1">
        <f>INDEX('DETALLE CRONOLÓGICO'!$D$2:$D$4919,MATCH($A1711,'DETALLE CRONOLÓGICO'!$A$2:$A$4919,0))</f>
        <v/>
      </c>
      <c r="H1711" s="1">
        <f>INDEX('DETALLE CRONOLÓGICO'!$D$2:$D$4919,MATCH($A1711,'DETALLE CRONOLÓGICO'!$A$2:$A$4919,0)+$E1711-1)</f>
        <v/>
      </c>
      <c r="I1711" s="5">
        <f>IFERROR(SUMIFS('DETALLE CRONOLÓGICO'!$L$2:$L$4919,'DETALLE CRONOLÓGICO'!$A$2:$A$4919,$A1711)/$F1711,"")</f>
        <v/>
      </c>
      <c r="J1711" s="6">
        <f>IFERROR(SUMIFS('DETALLE CRONOLÓGICO'!$K$2:$K$4919,'DETALLE CRONOLÓGICO'!$A$2:$A$4919,$A1711)/$E1711,"")</f>
        <v/>
      </c>
      <c r="K1711" s="6">
        <f>_xlfn.MINIFS('DETALLE CRONOLÓGICO'!$K$2:$K$4919,'DETALLE CRONOLÓGICO'!$A$2:$A$4919,$A1711)</f>
        <v/>
      </c>
      <c r="L1711" s="6">
        <f>_xlfn.MAXIFS('DETALLE CRONOLÓGICO'!$K$2:$K$4919,'DETALLE CRONOLÓGICO'!$A$2:$A$4919,$A1711)</f>
        <v/>
      </c>
      <c r="M1711" s="6">
        <f>INDEX('DETALLE CRONOLÓGICO'!$K$2:$K$4919,MATCH($A1711,'DETALLE CRONOLÓGICO'!$A$2:$A$4919,0)+$E1711-1)</f>
        <v/>
      </c>
      <c r="N1711" s="7">
        <f>IFERROR($M1711/INDEX('DETALLE CRONOLÓGICO'!$K$2:$K$4919,MATCH($A1711,'DETALLE CRONOLÓGICO'!$A$2:$A$4919,0))-1,"")</f>
        <v/>
      </c>
      <c r="O1711" s="6">
        <f>IFERROR($I1711*3,"")</f>
        <v/>
      </c>
      <c r="P1711" s="6">
        <f>IFERROR($I1711*3.5,"")</f>
        <v/>
      </c>
      <c r="Q1711" s="6">
        <f>IFERROR($I1711*4,"")</f>
        <v/>
      </c>
      <c r="R1711" s="6" t="n">
        <v>4070.17</v>
      </c>
      <c r="S1711" s="4" t="n">
        <v>4</v>
      </c>
      <c r="T1711" s="1" t="inlineStr">
        <is>
          <t>active</t>
        </is>
      </c>
      <c r="U1711" s="8" t="n"/>
      <c r="V1711" s="1" t="inlineStr">
        <is>
          <t>SIN PRECIO</t>
        </is>
      </c>
    </row>
    <row r="1712">
      <c r="A1712" s="1" t="inlineStr">
        <is>
          <t>677c26af628d5</t>
        </is>
      </c>
      <c r="B1712" s="1" t="inlineStr">
        <is>
          <t>BOLSO GC DIONYSUS CHERRY RED</t>
        </is>
      </c>
      <c r="C1712" s="1" t="inlineStr">
        <is>
          <t>18cm de largo x 12cm de alto x 4cm de ancho</t>
        </is>
      </c>
      <c r="D1712" s="1" t="inlineStr">
        <is>
          <t>DINA DU / ZOEY</t>
        </is>
      </c>
      <c r="E1712" s="4">
        <f>COUNTIF('DETALLE CRONOLÓGICO'!$A$2:$A$4919,$A1712)</f>
        <v/>
      </c>
      <c r="F1712" s="4">
        <f>SUMIFS('DETALLE CRONOLÓGICO'!$I$2:$I$4919,'DETALLE CRONOLÓGICO'!$A$2:$A$4919,$A1712)</f>
        <v/>
      </c>
      <c r="G1712" s="1">
        <f>INDEX('DETALLE CRONOLÓGICO'!$D$2:$D$4919,MATCH($A1712,'DETALLE CRONOLÓGICO'!$A$2:$A$4919,0))</f>
        <v/>
      </c>
      <c r="H1712" s="1">
        <f>INDEX('DETALLE CRONOLÓGICO'!$D$2:$D$4919,MATCH($A1712,'DETALLE CRONOLÓGICO'!$A$2:$A$4919,0)+$E1712-1)</f>
        <v/>
      </c>
      <c r="I1712" s="5">
        <f>IFERROR(SUMIFS('DETALLE CRONOLÓGICO'!$L$2:$L$4919,'DETALLE CRONOLÓGICO'!$A$2:$A$4919,$A1712)/$F1712,"")</f>
        <v/>
      </c>
      <c r="J1712" s="6">
        <f>IFERROR(SUMIFS('DETALLE CRONOLÓGICO'!$K$2:$K$4919,'DETALLE CRONOLÓGICO'!$A$2:$A$4919,$A1712)/$E1712,"")</f>
        <v/>
      </c>
      <c r="K1712" s="6">
        <f>_xlfn.MINIFS('DETALLE CRONOLÓGICO'!$K$2:$K$4919,'DETALLE CRONOLÓGICO'!$A$2:$A$4919,$A1712)</f>
        <v/>
      </c>
      <c r="L1712" s="6">
        <f>_xlfn.MAXIFS('DETALLE CRONOLÓGICO'!$K$2:$K$4919,'DETALLE CRONOLÓGICO'!$A$2:$A$4919,$A1712)</f>
        <v/>
      </c>
      <c r="M1712" s="6">
        <f>INDEX('DETALLE CRONOLÓGICO'!$K$2:$K$4919,MATCH($A1712,'DETALLE CRONOLÓGICO'!$A$2:$A$4919,0)+$E1712-1)</f>
        <v/>
      </c>
      <c r="N1712" s="7">
        <f>IFERROR($M1712/INDEX('DETALLE CRONOLÓGICO'!$K$2:$K$4919,MATCH($A1712,'DETALLE CRONOLÓGICO'!$A$2:$A$4919,0))-1,"")</f>
        <v/>
      </c>
      <c r="O1712" s="6">
        <f>IFERROR($I1712*3,"")</f>
        <v/>
      </c>
      <c r="P1712" s="6">
        <f>IFERROR($I1712*3.5,"")</f>
        <v/>
      </c>
      <c r="Q1712" s="6">
        <f>IFERROR($I1712*4,"")</f>
        <v/>
      </c>
      <c r="R1712" s="6" t="n">
        <v>5300.69</v>
      </c>
      <c r="S1712" s="4" t="n">
        <v>1</v>
      </c>
      <c r="T1712" s="1" t="inlineStr">
        <is>
          <t>active</t>
        </is>
      </c>
      <c r="U1712" s="8" t="n"/>
      <c r="V1712" s="1" t="inlineStr">
        <is>
          <t>SIN PRECIO</t>
        </is>
      </c>
    </row>
    <row r="1713">
      <c r="A1713" s="1" t="inlineStr">
        <is>
          <t>677c26b31023a</t>
        </is>
      </c>
      <c r="B1713" s="1" t="inlineStr">
        <is>
          <t>BOLSO LW GREEN</t>
        </is>
      </c>
      <c r="C1713" s="1" t="inlineStr">
        <is>
          <t>28cmx20cm</t>
        </is>
      </c>
      <c r="D1713" s="1" t="inlineStr">
        <is>
          <t>CYNTHIA</t>
        </is>
      </c>
      <c r="E1713" s="4">
        <f>COUNTIF('DETALLE CRONOLÓGICO'!$A$2:$A$4919,$A1713)</f>
        <v/>
      </c>
      <c r="F1713" s="4">
        <f>SUMIFS('DETALLE CRONOLÓGICO'!$I$2:$I$4919,'DETALLE CRONOLÓGICO'!$A$2:$A$4919,$A1713)</f>
        <v/>
      </c>
      <c r="G1713" s="1">
        <f>INDEX('DETALLE CRONOLÓGICO'!$D$2:$D$4919,MATCH($A1713,'DETALLE CRONOLÓGICO'!$A$2:$A$4919,0))</f>
        <v/>
      </c>
      <c r="H1713" s="1">
        <f>INDEX('DETALLE CRONOLÓGICO'!$D$2:$D$4919,MATCH($A1713,'DETALLE CRONOLÓGICO'!$A$2:$A$4919,0)+$E1713-1)</f>
        <v/>
      </c>
      <c r="I1713" s="5">
        <f>IFERROR(SUMIFS('DETALLE CRONOLÓGICO'!$L$2:$L$4919,'DETALLE CRONOLÓGICO'!$A$2:$A$4919,$A1713)/$F1713,"")</f>
        <v/>
      </c>
      <c r="J1713" s="6">
        <f>IFERROR(SUMIFS('DETALLE CRONOLÓGICO'!$K$2:$K$4919,'DETALLE CRONOLÓGICO'!$A$2:$A$4919,$A1713)/$E1713,"")</f>
        <v/>
      </c>
      <c r="K1713" s="6">
        <f>_xlfn.MINIFS('DETALLE CRONOLÓGICO'!$K$2:$K$4919,'DETALLE CRONOLÓGICO'!$A$2:$A$4919,$A1713)</f>
        <v/>
      </c>
      <c r="L1713" s="6">
        <f>_xlfn.MAXIFS('DETALLE CRONOLÓGICO'!$K$2:$K$4919,'DETALLE CRONOLÓGICO'!$A$2:$A$4919,$A1713)</f>
        <v/>
      </c>
      <c r="M1713" s="6">
        <f>INDEX('DETALLE CRONOLÓGICO'!$K$2:$K$4919,MATCH($A1713,'DETALLE CRONOLÓGICO'!$A$2:$A$4919,0)+$E1713-1)</f>
        <v/>
      </c>
      <c r="N1713" s="7">
        <f>IFERROR($M1713/INDEX('DETALLE CRONOLÓGICO'!$K$2:$K$4919,MATCH($A1713,'DETALLE CRONOLÓGICO'!$A$2:$A$4919,0))-1,"")</f>
        <v/>
      </c>
      <c r="O1713" s="6">
        <f>IFERROR($I1713*3,"")</f>
        <v/>
      </c>
      <c r="P1713" s="6">
        <f>IFERROR($I1713*3.5,"")</f>
        <v/>
      </c>
      <c r="Q1713" s="6">
        <f>IFERROR($I1713*4,"")</f>
        <v/>
      </c>
      <c r="R1713" s="6" t="n">
        <v>6999</v>
      </c>
      <c r="S1713" s="4" t="n">
        <v>2</v>
      </c>
      <c r="T1713" s="1" t="inlineStr">
        <is>
          <t>active</t>
        </is>
      </c>
      <c r="U1713" s="8" t="n"/>
      <c r="V1713" s="1" t="inlineStr">
        <is>
          <t>SIN PRECIO</t>
        </is>
      </c>
    </row>
    <row r="1714">
      <c r="A1714" s="1" t="inlineStr">
        <is>
          <t>677c26b37ee9a</t>
        </is>
      </c>
      <c r="B1714" s="1" t="inlineStr">
        <is>
          <t>RELOJ PP NAUTILUS ROSEGOLD</t>
        </is>
      </c>
      <c r="C1714" s="1" t="inlineStr">
        <is>
          <t>Default Title</t>
        </is>
      </c>
      <c r="D1714" s="1" t="inlineStr">
        <is>
          <t>ZOEY</t>
        </is>
      </c>
      <c r="E1714" s="4">
        <f>COUNTIF('DETALLE CRONOLÓGICO'!$A$2:$A$4919,$A1714)</f>
        <v/>
      </c>
      <c r="F1714" s="4">
        <f>SUMIFS('DETALLE CRONOLÓGICO'!$I$2:$I$4919,'DETALLE CRONOLÓGICO'!$A$2:$A$4919,$A1714)</f>
        <v/>
      </c>
      <c r="G1714" s="1">
        <f>INDEX('DETALLE CRONOLÓGICO'!$D$2:$D$4919,MATCH($A1714,'DETALLE CRONOLÓGICO'!$A$2:$A$4919,0))</f>
        <v/>
      </c>
      <c r="H1714" s="1">
        <f>INDEX('DETALLE CRONOLÓGICO'!$D$2:$D$4919,MATCH($A1714,'DETALLE CRONOLÓGICO'!$A$2:$A$4919,0)+$E1714-1)</f>
        <v/>
      </c>
      <c r="I1714" s="5">
        <f>IFERROR(SUMIFS('DETALLE CRONOLÓGICO'!$L$2:$L$4919,'DETALLE CRONOLÓGICO'!$A$2:$A$4919,$A1714)/$F1714,"")</f>
        <v/>
      </c>
      <c r="J1714" s="6">
        <f>IFERROR(SUMIFS('DETALLE CRONOLÓGICO'!$K$2:$K$4919,'DETALLE CRONOLÓGICO'!$A$2:$A$4919,$A1714)/$E1714,"")</f>
        <v/>
      </c>
      <c r="K1714" s="6">
        <f>_xlfn.MINIFS('DETALLE CRONOLÓGICO'!$K$2:$K$4919,'DETALLE CRONOLÓGICO'!$A$2:$A$4919,$A1714)</f>
        <v/>
      </c>
      <c r="L1714" s="6">
        <f>_xlfn.MAXIFS('DETALLE CRONOLÓGICO'!$K$2:$K$4919,'DETALLE CRONOLÓGICO'!$A$2:$A$4919,$A1714)</f>
        <v/>
      </c>
      <c r="M1714" s="6">
        <f>INDEX('DETALLE CRONOLÓGICO'!$K$2:$K$4919,MATCH($A1714,'DETALLE CRONOLÓGICO'!$A$2:$A$4919,0)+$E1714-1)</f>
        <v/>
      </c>
      <c r="N1714" s="7">
        <f>IFERROR($M1714/INDEX('DETALLE CRONOLÓGICO'!$K$2:$K$4919,MATCH($A1714,'DETALLE CRONOLÓGICO'!$A$2:$A$4919,0))-1,"")</f>
        <v/>
      </c>
      <c r="O1714" s="6">
        <f>IFERROR($I1714*3,"")</f>
        <v/>
      </c>
      <c r="P1714" s="6">
        <f>IFERROR($I1714*3.5,"")</f>
        <v/>
      </c>
      <c r="Q1714" s="6">
        <f>IFERROR($I1714*4,"")</f>
        <v/>
      </c>
      <c r="R1714" s="6" t="n">
        <v>6459</v>
      </c>
      <c r="S1714" s="4" t="n">
        <v>3</v>
      </c>
      <c r="T1714" s="1" t="inlineStr">
        <is>
          <t>active</t>
        </is>
      </c>
      <c r="U1714" s="8" t="n"/>
      <c r="V1714" s="1" t="inlineStr">
        <is>
          <t>SIN PRECIO</t>
        </is>
      </c>
    </row>
    <row r="1715">
      <c r="A1715" s="1" t="inlineStr">
        <is>
          <t>677c26b553b3f</t>
        </is>
      </c>
      <c r="B1715" s="1" t="inlineStr">
        <is>
          <t>RELOJ RX OYSTER PERPETUAL BLACK</t>
        </is>
      </c>
      <c r="C1715" s="1" t="inlineStr">
        <is>
          <t>Default Title</t>
        </is>
      </c>
      <c r="D1715" s="1" t="inlineStr">
        <is>
          <t>ZOEY</t>
        </is>
      </c>
      <c r="E1715" s="4">
        <f>COUNTIF('DETALLE CRONOLÓGICO'!$A$2:$A$4919,$A1715)</f>
        <v/>
      </c>
      <c r="F1715" s="4">
        <f>SUMIFS('DETALLE CRONOLÓGICO'!$I$2:$I$4919,'DETALLE CRONOLÓGICO'!$A$2:$A$4919,$A1715)</f>
        <v/>
      </c>
      <c r="G1715" s="1">
        <f>INDEX('DETALLE CRONOLÓGICO'!$D$2:$D$4919,MATCH($A1715,'DETALLE CRONOLÓGICO'!$A$2:$A$4919,0))</f>
        <v/>
      </c>
      <c r="H1715" s="1">
        <f>INDEX('DETALLE CRONOLÓGICO'!$D$2:$D$4919,MATCH($A1715,'DETALLE CRONOLÓGICO'!$A$2:$A$4919,0)+$E1715-1)</f>
        <v/>
      </c>
      <c r="I1715" s="5">
        <f>IFERROR(SUMIFS('DETALLE CRONOLÓGICO'!$L$2:$L$4919,'DETALLE CRONOLÓGICO'!$A$2:$A$4919,$A1715)/$F1715,"")</f>
        <v/>
      </c>
      <c r="J1715" s="6">
        <f>IFERROR(SUMIFS('DETALLE CRONOLÓGICO'!$K$2:$K$4919,'DETALLE CRONOLÓGICO'!$A$2:$A$4919,$A1715)/$E1715,"")</f>
        <v/>
      </c>
      <c r="K1715" s="6">
        <f>_xlfn.MINIFS('DETALLE CRONOLÓGICO'!$K$2:$K$4919,'DETALLE CRONOLÓGICO'!$A$2:$A$4919,$A1715)</f>
        <v/>
      </c>
      <c r="L1715" s="6">
        <f>_xlfn.MAXIFS('DETALLE CRONOLÓGICO'!$K$2:$K$4919,'DETALLE CRONOLÓGICO'!$A$2:$A$4919,$A1715)</f>
        <v/>
      </c>
      <c r="M1715" s="6">
        <f>INDEX('DETALLE CRONOLÓGICO'!$K$2:$K$4919,MATCH($A1715,'DETALLE CRONOLÓGICO'!$A$2:$A$4919,0)+$E1715-1)</f>
        <v/>
      </c>
      <c r="N1715" s="7">
        <f>IFERROR($M1715/INDEX('DETALLE CRONOLÓGICO'!$K$2:$K$4919,MATCH($A1715,'DETALLE CRONOLÓGICO'!$A$2:$A$4919,0))-1,"")</f>
        <v/>
      </c>
      <c r="O1715" s="6">
        <f>IFERROR($I1715*3,"")</f>
        <v/>
      </c>
      <c r="P1715" s="6">
        <f>IFERROR($I1715*3.5,"")</f>
        <v/>
      </c>
      <c r="Q1715" s="6">
        <f>IFERROR($I1715*4,"")</f>
        <v/>
      </c>
      <c r="R1715" s="6" t="n"/>
      <c r="S1715" s="4" t="n"/>
      <c r="T1715" s="1" t="inlineStr">
        <is>
          <t>YA NO EXISTE EN SHOPIFY</t>
        </is>
      </c>
      <c r="U1715" s="8" t="n"/>
      <c r="V1715" s="1" t="inlineStr">
        <is>
          <t>SIN PRECIO</t>
        </is>
      </c>
    </row>
    <row r="1716">
      <c r="A1716" s="1" t="inlineStr">
        <is>
          <t>677c26b553b3f-1</t>
        </is>
      </c>
      <c r="B1716" s="1" t="inlineStr">
        <is>
          <t>RELOJ RX OYSTER PERPETUAL BLACK</t>
        </is>
      </c>
      <c r="C1716" s="1" t="inlineStr">
        <is>
          <t>RELOJ SIN CAJA</t>
        </is>
      </c>
      <c r="D1716" s="1" t="inlineStr">
        <is>
          <t>ZOEY</t>
        </is>
      </c>
      <c r="E1716" s="4">
        <f>COUNTIF('DETALLE CRONOLÓGICO'!$A$2:$A$4919,$A1716)</f>
        <v/>
      </c>
      <c r="F1716" s="4">
        <f>SUMIFS('DETALLE CRONOLÓGICO'!$I$2:$I$4919,'DETALLE CRONOLÓGICO'!$A$2:$A$4919,$A1716)</f>
        <v/>
      </c>
      <c r="G1716" s="1">
        <f>INDEX('DETALLE CRONOLÓGICO'!$D$2:$D$4919,MATCH($A1716,'DETALLE CRONOLÓGICO'!$A$2:$A$4919,0))</f>
        <v/>
      </c>
      <c r="H1716" s="1">
        <f>INDEX('DETALLE CRONOLÓGICO'!$D$2:$D$4919,MATCH($A1716,'DETALLE CRONOLÓGICO'!$A$2:$A$4919,0)+$E1716-1)</f>
        <v/>
      </c>
      <c r="I1716" s="5">
        <f>IFERROR(SUMIFS('DETALLE CRONOLÓGICO'!$L$2:$L$4919,'DETALLE CRONOLÓGICO'!$A$2:$A$4919,$A1716)/$F1716,"")</f>
        <v/>
      </c>
      <c r="J1716" s="6">
        <f>IFERROR(SUMIFS('DETALLE CRONOLÓGICO'!$K$2:$K$4919,'DETALLE CRONOLÓGICO'!$A$2:$A$4919,$A1716)/$E1716,"")</f>
        <v/>
      </c>
      <c r="K1716" s="6">
        <f>_xlfn.MINIFS('DETALLE CRONOLÓGICO'!$K$2:$K$4919,'DETALLE CRONOLÓGICO'!$A$2:$A$4919,$A1716)</f>
        <v/>
      </c>
      <c r="L1716" s="6">
        <f>_xlfn.MAXIFS('DETALLE CRONOLÓGICO'!$K$2:$K$4919,'DETALLE CRONOLÓGICO'!$A$2:$A$4919,$A1716)</f>
        <v/>
      </c>
      <c r="M1716" s="6">
        <f>INDEX('DETALLE CRONOLÓGICO'!$K$2:$K$4919,MATCH($A1716,'DETALLE CRONOLÓGICO'!$A$2:$A$4919,0)+$E1716-1)</f>
        <v/>
      </c>
      <c r="N1716" s="7">
        <f>IFERROR($M1716/INDEX('DETALLE CRONOLÓGICO'!$K$2:$K$4919,MATCH($A1716,'DETALLE CRONOLÓGICO'!$A$2:$A$4919,0))-1,"")</f>
        <v/>
      </c>
      <c r="O1716" s="6">
        <f>IFERROR($I1716*3,"")</f>
        <v/>
      </c>
      <c r="P1716" s="6">
        <f>IFERROR($I1716*3.5,"")</f>
        <v/>
      </c>
      <c r="Q1716" s="6">
        <f>IFERROR($I1716*4,"")</f>
        <v/>
      </c>
      <c r="R1716" s="6" t="n">
        <v>4120</v>
      </c>
      <c r="S1716" s="4" t="n">
        <v>10</v>
      </c>
      <c r="T1716" s="1" t="inlineStr">
        <is>
          <t>active</t>
        </is>
      </c>
      <c r="U1716" s="8" t="n"/>
      <c r="V1716" s="1" t="inlineStr">
        <is>
          <t>SIN PRECIO</t>
        </is>
      </c>
    </row>
    <row r="1717">
      <c r="A1717" s="1" t="inlineStr">
        <is>
          <t>677c26b553b3f-2</t>
        </is>
      </c>
      <c r="B1717" s="1" t="inlineStr">
        <is>
          <t>RELOJ RX OYSTER PERPETUAL BLACK</t>
        </is>
      </c>
      <c r="C1717" s="1" t="inlineStr">
        <is>
          <t>RELOJ CON CAJA</t>
        </is>
      </c>
      <c r="D1717" s="1" t="inlineStr">
        <is>
          <t>ZOEY</t>
        </is>
      </c>
      <c r="E1717" s="4">
        <f>COUNTIF('DETALLE CRONOLÓGICO'!$A$2:$A$4919,$A1717)</f>
        <v/>
      </c>
      <c r="F1717" s="4">
        <f>SUMIFS('DETALLE CRONOLÓGICO'!$I$2:$I$4919,'DETALLE CRONOLÓGICO'!$A$2:$A$4919,$A1717)</f>
        <v/>
      </c>
      <c r="G1717" s="1">
        <f>INDEX('DETALLE CRONOLÓGICO'!$D$2:$D$4919,MATCH($A1717,'DETALLE CRONOLÓGICO'!$A$2:$A$4919,0))</f>
        <v/>
      </c>
      <c r="H1717" s="1">
        <f>INDEX('DETALLE CRONOLÓGICO'!$D$2:$D$4919,MATCH($A1717,'DETALLE CRONOLÓGICO'!$A$2:$A$4919,0)+$E1717-1)</f>
        <v/>
      </c>
      <c r="I1717" s="5">
        <f>IFERROR(SUMIFS('DETALLE CRONOLÓGICO'!$L$2:$L$4919,'DETALLE CRONOLÓGICO'!$A$2:$A$4919,$A1717)/$F1717,"")</f>
        <v/>
      </c>
      <c r="J1717" s="6">
        <f>IFERROR(SUMIFS('DETALLE CRONOLÓGICO'!$K$2:$K$4919,'DETALLE CRONOLÓGICO'!$A$2:$A$4919,$A1717)/$E1717,"")</f>
        <v/>
      </c>
      <c r="K1717" s="6">
        <f>_xlfn.MINIFS('DETALLE CRONOLÓGICO'!$K$2:$K$4919,'DETALLE CRONOLÓGICO'!$A$2:$A$4919,$A1717)</f>
        <v/>
      </c>
      <c r="L1717" s="6">
        <f>_xlfn.MAXIFS('DETALLE CRONOLÓGICO'!$K$2:$K$4919,'DETALLE CRONOLÓGICO'!$A$2:$A$4919,$A1717)</f>
        <v/>
      </c>
      <c r="M1717" s="6">
        <f>INDEX('DETALLE CRONOLÓGICO'!$K$2:$K$4919,MATCH($A1717,'DETALLE CRONOLÓGICO'!$A$2:$A$4919,0)+$E1717-1)</f>
        <v/>
      </c>
      <c r="N1717" s="7">
        <f>IFERROR($M1717/INDEX('DETALLE CRONOLÓGICO'!$K$2:$K$4919,MATCH($A1717,'DETALLE CRONOLÓGICO'!$A$2:$A$4919,0))-1,"")</f>
        <v/>
      </c>
      <c r="O1717" s="6">
        <f>IFERROR($I1717*3,"")</f>
        <v/>
      </c>
      <c r="P1717" s="6">
        <f>IFERROR($I1717*3.5,"")</f>
        <v/>
      </c>
      <c r="Q1717" s="6">
        <f>IFERROR($I1717*4,"")</f>
        <v/>
      </c>
      <c r="R1717" s="6" t="n">
        <v>4720</v>
      </c>
      <c r="S1717" s="4" t="n">
        <v>0</v>
      </c>
      <c r="T1717" s="1" t="inlineStr">
        <is>
          <t>active</t>
        </is>
      </c>
      <c r="U1717" s="8" t="n"/>
      <c r="V1717" s="1" t="inlineStr">
        <is>
          <t>SIN PRECIO</t>
        </is>
      </c>
    </row>
    <row r="1718">
      <c r="A1718" s="1" t="inlineStr">
        <is>
          <t>677c26b6bfd93</t>
        </is>
      </c>
      <c r="B1718" s="1" t="inlineStr">
        <is>
          <t>ARETES CD SILVER</t>
        </is>
      </c>
      <c r="C1718" s="1" t="inlineStr">
        <is>
          <t>Default Title</t>
        </is>
      </c>
      <c r="D1718" s="1" t="inlineStr">
        <is>
          <t>CYNTHIA</t>
        </is>
      </c>
      <c r="E1718" s="4">
        <f>COUNTIF('DETALLE CRONOLÓGICO'!$A$2:$A$4919,$A1718)</f>
        <v/>
      </c>
      <c r="F1718" s="4">
        <f>SUMIFS('DETALLE CRONOLÓGICO'!$I$2:$I$4919,'DETALLE CRONOLÓGICO'!$A$2:$A$4919,$A1718)</f>
        <v/>
      </c>
      <c r="G1718" s="1">
        <f>INDEX('DETALLE CRONOLÓGICO'!$D$2:$D$4919,MATCH($A1718,'DETALLE CRONOLÓGICO'!$A$2:$A$4919,0))</f>
        <v/>
      </c>
      <c r="H1718" s="1">
        <f>INDEX('DETALLE CRONOLÓGICO'!$D$2:$D$4919,MATCH($A1718,'DETALLE CRONOLÓGICO'!$A$2:$A$4919,0)+$E1718-1)</f>
        <v/>
      </c>
      <c r="I1718" s="5">
        <f>IFERROR(SUMIFS('DETALLE CRONOLÓGICO'!$L$2:$L$4919,'DETALLE CRONOLÓGICO'!$A$2:$A$4919,$A1718)/$F1718,"")</f>
        <v/>
      </c>
      <c r="J1718" s="6">
        <f>IFERROR(SUMIFS('DETALLE CRONOLÓGICO'!$K$2:$K$4919,'DETALLE CRONOLÓGICO'!$A$2:$A$4919,$A1718)/$E1718,"")</f>
        <v/>
      </c>
      <c r="K1718" s="6">
        <f>_xlfn.MINIFS('DETALLE CRONOLÓGICO'!$K$2:$K$4919,'DETALLE CRONOLÓGICO'!$A$2:$A$4919,$A1718)</f>
        <v/>
      </c>
      <c r="L1718" s="6">
        <f>_xlfn.MAXIFS('DETALLE CRONOLÓGICO'!$K$2:$K$4919,'DETALLE CRONOLÓGICO'!$A$2:$A$4919,$A1718)</f>
        <v/>
      </c>
      <c r="M1718" s="6">
        <f>INDEX('DETALLE CRONOLÓGICO'!$K$2:$K$4919,MATCH($A1718,'DETALLE CRONOLÓGICO'!$A$2:$A$4919,0)+$E1718-1)</f>
        <v/>
      </c>
      <c r="N1718" s="7">
        <f>IFERROR($M1718/INDEX('DETALLE CRONOLÓGICO'!$K$2:$K$4919,MATCH($A1718,'DETALLE CRONOLÓGICO'!$A$2:$A$4919,0))-1,"")</f>
        <v/>
      </c>
      <c r="O1718" s="6">
        <f>IFERROR($I1718*3,"")</f>
        <v/>
      </c>
      <c r="P1718" s="6">
        <f>IFERROR($I1718*3.5,"")</f>
        <v/>
      </c>
      <c r="Q1718" s="6">
        <f>IFERROR($I1718*4,"")</f>
        <v/>
      </c>
      <c r="R1718" s="6" t="n">
        <v>745</v>
      </c>
      <c r="S1718" s="4" t="n">
        <v>2</v>
      </c>
      <c r="T1718" s="1" t="inlineStr">
        <is>
          <t>active</t>
        </is>
      </c>
      <c r="U1718" s="8" t="n"/>
      <c r="V1718" s="1" t="inlineStr">
        <is>
          <t>SIN PRECIO</t>
        </is>
      </c>
    </row>
    <row r="1719">
      <c r="A1719" s="1" t="inlineStr">
        <is>
          <t>677c26b82bccf</t>
        </is>
      </c>
      <c r="B1719" s="1" t="inlineStr">
        <is>
          <t>ARETES TRÉBOL GOLD CON ZIRCONIA</t>
        </is>
      </c>
      <c r="C1719" s="1" t="n"/>
      <c r="D1719" s="1" t="inlineStr">
        <is>
          <t>CYNTHIA</t>
        </is>
      </c>
      <c r="E1719" s="4">
        <f>COUNTIF('DETALLE CRONOLÓGICO'!$A$2:$A$4919,$A1719)</f>
        <v/>
      </c>
      <c r="F1719" s="4">
        <f>SUMIFS('DETALLE CRONOLÓGICO'!$I$2:$I$4919,'DETALLE CRONOLÓGICO'!$A$2:$A$4919,$A1719)</f>
        <v/>
      </c>
      <c r="G1719" s="1">
        <f>INDEX('DETALLE CRONOLÓGICO'!$D$2:$D$4919,MATCH($A1719,'DETALLE CRONOLÓGICO'!$A$2:$A$4919,0))</f>
        <v/>
      </c>
      <c r="H1719" s="1">
        <f>INDEX('DETALLE CRONOLÓGICO'!$D$2:$D$4919,MATCH($A1719,'DETALLE CRONOLÓGICO'!$A$2:$A$4919,0)+$E1719-1)</f>
        <v/>
      </c>
      <c r="I1719" s="5">
        <f>IFERROR(SUMIFS('DETALLE CRONOLÓGICO'!$L$2:$L$4919,'DETALLE CRONOLÓGICO'!$A$2:$A$4919,$A1719)/$F1719,"")</f>
        <v/>
      </c>
      <c r="J1719" s="6">
        <f>IFERROR(SUMIFS('DETALLE CRONOLÓGICO'!$K$2:$K$4919,'DETALLE CRONOLÓGICO'!$A$2:$A$4919,$A1719)/$E1719,"")</f>
        <v/>
      </c>
      <c r="K1719" s="6">
        <f>_xlfn.MINIFS('DETALLE CRONOLÓGICO'!$K$2:$K$4919,'DETALLE CRONOLÓGICO'!$A$2:$A$4919,$A1719)</f>
        <v/>
      </c>
      <c r="L1719" s="6">
        <f>_xlfn.MAXIFS('DETALLE CRONOLÓGICO'!$K$2:$K$4919,'DETALLE CRONOLÓGICO'!$A$2:$A$4919,$A1719)</f>
        <v/>
      </c>
      <c r="M1719" s="6">
        <f>INDEX('DETALLE CRONOLÓGICO'!$K$2:$K$4919,MATCH($A1719,'DETALLE CRONOLÓGICO'!$A$2:$A$4919,0)+$E1719-1)</f>
        <v/>
      </c>
      <c r="N1719" s="7">
        <f>IFERROR($M1719/INDEX('DETALLE CRONOLÓGICO'!$K$2:$K$4919,MATCH($A1719,'DETALLE CRONOLÓGICO'!$A$2:$A$4919,0))-1,"")</f>
        <v/>
      </c>
      <c r="O1719" s="6">
        <f>IFERROR($I1719*3,"")</f>
        <v/>
      </c>
      <c r="P1719" s="6">
        <f>IFERROR($I1719*3.5,"")</f>
        <v/>
      </c>
      <c r="Q1719" s="6">
        <f>IFERROR($I1719*4,"")</f>
        <v/>
      </c>
      <c r="R1719" s="6" t="n"/>
      <c r="S1719" s="4" t="n"/>
      <c r="T1719" s="1" t="inlineStr">
        <is>
          <t>YA NO EXISTE EN SHOPIFY</t>
        </is>
      </c>
      <c r="U1719" s="8" t="n"/>
      <c r="V1719" s="1" t="inlineStr">
        <is>
          <t>SIN PRECIO</t>
        </is>
      </c>
    </row>
    <row r="1720">
      <c r="A1720" s="1" t="inlineStr">
        <is>
          <t>678a9af11a3e6</t>
        </is>
      </c>
      <c r="B1720" s="1" t="inlineStr">
        <is>
          <t>ARETES TRÉBOL SILVER CON ZIRCONIA</t>
        </is>
      </c>
      <c r="C1720" s="1" t="inlineStr">
        <is>
          <t>Default Title</t>
        </is>
      </c>
      <c r="D1720" s="1" t="inlineStr">
        <is>
          <t>CYNTHIA</t>
        </is>
      </c>
      <c r="E1720" s="4">
        <f>COUNTIF('DETALLE CRONOLÓGICO'!$A$2:$A$4919,$A1720)</f>
        <v/>
      </c>
      <c r="F1720" s="4">
        <f>SUMIFS('DETALLE CRONOLÓGICO'!$I$2:$I$4919,'DETALLE CRONOLÓGICO'!$A$2:$A$4919,$A1720)</f>
        <v/>
      </c>
      <c r="G1720" s="1">
        <f>INDEX('DETALLE CRONOLÓGICO'!$D$2:$D$4919,MATCH($A1720,'DETALLE CRONOLÓGICO'!$A$2:$A$4919,0))</f>
        <v/>
      </c>
      <c r="H1720" s="1">
        <f>INDEX('DETALLE CRONOLÓGICO'!$D$2:$D$4919,MATCH($A1720,'DETALLE CRONOLÓGICO'!$A$2:$A$4919,0)+$E1720-1)</f>
        <v/>
      </c>
      <c r="I1720" s="5">
        <f>IFERROR(SUMIFS('DETALLE CRONOLÓGICO'!$L$2:$L$4919,'DETALLE CRONOLÓGICO'!$A$2:$A$4919,$A1720)/$F1720,"")</f>
        <v/>
      </c>
      <c r="J1720" s="6">
        <f>IFERROR(SUMIFS('DETALLE CRONOLÓGICO'!$K$2:$K$4919,'DETALLE CRONOLÓGICO'!$A$2:$A$4919,$A1720)/$E1720,"")</f>
        <v/>
      </c>
      <c r="K1720" s="6">
        <f>_xlfn.MINIFS('DETALLE CRONOLÓGICO'!$K$2:$K$4919,'DETALLE CRONOLÓGICO'!$A$2:$A$4919,$A1720)</f>
        <v/>
      </c>
      <c r="L1720" s="6">
        <f>_xlfn.MAXIFS('DETALLE CRONOLÓGICO'!$K$2:$K$4919,'DETALLE CRONOLÓGICO'!$A$2:$A$4919,$A1720)</f>
        <v/>
      </c>
      <c r="M1720" s="6">
        <f>INDEX('DETALLE CRONOLÓGICO'!$K$2:$K$4919,MATCH($A1720,'DETALLE CRONOLÓGICO'!$A$2:$A$4919,0)+$E1720-1)</f>
        <v/>
      </c>
      <c r="N1720" s="7">
        <f>IFERROR($M1720/INDEX('DETALLE CRONOLÓGICO'!$K$2:$K$4919,MATCH($A1720,'DETALLE CRONOLÓGICO'!$A$2:$A$4919,0))-1,"")</f>
        <v/>
      </c>
      <c r="O1720" s="6">
        <f>IFERROR($I1720*3,"")</f>
        <v/>
      </c>
      <c r="P1720" s="6">
        <f>IFERROR($I1720*3.5,"")</f>
        <v/>
      </c>
      <c r="Q1720" s="6">
        <f>IFERROR($I1720*4,"")</f>
        <v/>
      </c>
      <c r="R1720" s="6" t="n">
        <v>915</v>
      </c>
      <c r="S1720" s="4" t="n">
        <v>8</v>
      </c>
      <c r="T1720" s="1" t="inlineStr">
        <is>
          <t>active</t>
        </is>
      </c>
      <c r="U1720" s="8" t="n"/>
      <c r="V1720" s="1" t="inlineStr">
        <is>
          <t>SIN PRECIO</t>
        </is>
      </c>
    </row>
    <row r="1721">
      <c r="A1721" s="1" t="inlineStr">
        <is>
          <t>678a9af396518</t>
        </is>
      </c>
      <c r="B1721" s="1" t="inlineStr">
        <is>
          <t>ARETES FR SILVER</t>
        </is>
      </c>
      <c r="C1721" s="1" t="inlineStr">
        <is>
          <t>Regular</t>
        </is>
      </c>
      <c r="D1721" s="1" t="inlineStr">
        <is>
          <t>HAIFENG / NANCY</t>
        </is>
      </c>
      <c r="E1721" s="4">
        <f>COUNTIF('DETALLE CRONOLÓGICO'!$A$2:$A$4919,$A1721)</f>
        <v/>
      </c>
      <c r="F1721" s="4">
        <f>SUMIFS('DETALLE CRONOLÓGICO'!$I$2:$I$4919,'DETALLE CRONOLÓGICO'!$A$2:$A$4919,$A1721)</f>
        <v/>
      </c>
      <c r="G1721" s="1">
        <f>INDEX('DETALLE CRONOLÓGICO'!$D$2:$D$4919,MATCH($A1721,'DETALLE CRONOLÓGICO'!$A$2:$A$4919,0))</f>
        <v/>
      </c>
      <c r="H1721" s="1">
        <f>INDEX('DETALLE CRONOLÓGICO'!$D$2:$D$4919,MATCH($A1721,'DETALLE CRONOLÓGICO'!$A$2:$A$4919,0)+$E1721-1)</f>
        <v/>
      </c>
      <c r="I1721" s="5">
        <f>IFERROR(SUMIFS('DETALLE CRONOLÓGICO'!$L$2:$L$4919,'DETALLE CRONOLÓGICO'!$A$2:$A$4919,$A1721)/$F1721,"")</f>
        <v/>
      </c>
      <c r="J1721" s="6">
        <f>IFERROR(SUMIFS('DETALLE CRONOLÓGICO'!$K$2:$K$4919,'DETALLE CRONOLÓGICO'!$A$2:$A$4919,$A1721)/$E1721,"")</f>
        <v/>
      </c>
      <c r="K1721" s="6">
        <f>_xlfn.MINIFS('DETALLE CRONOLÓGICO'!$K$2:$K$4919,'DETALLE CRONOLÓGICO'!$A$2:$A$4919,$A1721)</f>
        <v/>
      </c>
      <c r="L1721" s="6">
        <f>_xlfn.MAXIFS('DETALLE CRONOLÓGICO'!$K$2:$K$4919,'DETALLE CRONOLÓGICO'!$A$2:$A$4919,$A1721)</f>
        <v/>
      </c>
      <c r="M1721" s="6">
        <f>INDEX('DETALLE CRONOLÓGICO'!$K$2:$K$4919,MATCH($A1721,'DETALLE CRONOLÓGICO'!$A$2:$A$4919,0)+$E1721-1)</f>
        <v/>
      </c>
      <c r="N1721" s="7">
        <f>IFERROR($M1721/INDEX('DETALLE CRONOLÓGICO'!$K$2:$K$4919,MATCH($A1721,'DETALLE CRONOLÓGICO'!$A$2:$A$4919,0))-1,"")</f>
        <v/>
      </c>
      <c r="O1721" s="6">
        <f>IFERROR($I1721*3,"")</f>
        <v/>
      </c>
      <c r="P1721" s="6">
        <f>IFERROR($I1721*3.5,"")</f>
        <v/>
      </c>
      <c r="Q1721" s="6">
        <f>IFERROR($I1721*4,"")</f>
        <v/>
      </c>
      <c r="R1721" s="6" t="n">
        <v>450</v>
      </c>
      <c r="S1721" s="4" t="n">
        <v>0</v>
      </c>
      <c r="T1721" s="1" t="inlineStr">
        <is>
          <t>active</t>
        </is>
      </c>
      <c r="U1721" s="8" t="n"/>
      <c r="V1721" s="1" t="inlineStr">
        <is>
          <t>SIN PRECIO</t>
        </is>
      </c>
    </row>
    <row r="1722">
      <c r="A1722" s="1" t="inlineStr">
        <is>
          <t>679aa28b5f6b1</t>
        </is>
      </c>
      <c r="B1722" s="1" t="inlineStr">
        <is>
          <t>PULSERA P DIAMOND BLUE</t>
        </is>
      </c>
      <c r="C1722" s="1" t="inlineStr">
        <is>
          <t>16cm de largo con 3cm de extensión</t>
        </is>
      </c>
      <c r="D1722" s="1" t="inlineStr">
        <is>
          <t>CYNTHIA</t>
        </is>
      </c>
      <c r="E1722" s="4">
        <f>COUNTIF('DETALLE CRONOLÓGICO'!$A$2:$A$4919,$A1722)</f>
        <v/>
      </c>
      <c r="F1722" s="4">
        <f>SUMIFS('DETALLE CRONOLÓGICO'!$I$2:$I$4919,'DETALLE CRONOLÓGICO'!$A$2:$A$4919,$A1722)</f>
        <v/>
      </c>
      <c r="G1722" s="1">
        <f>INDEX('DETALLE CRONOLÓGICO'!$D$2:$D$4919,MATCH($A1722,'DETALLE CRONOLÓGICO'!$A$2:$A$4919,0))</f>
        <v/>
      </c>
      <c r="H1722" s="1">
        <f>INDEX('DETALLE CRONOLÓGICO'!$D$2:$D$4919,MATCH($A1722,'DETALLE CRONOLÓGICO'!$A$2:$A$4919,0)+$E1722-1)</f>
        <v/>
      </c>
      <c r="I1722" s="5">
        <f>IFERROR(SUMIFS('DETALLE CRONOLÓGICO'!$L$2:$L$4919,'DETALLE CRONOLÓGICO'!$A$2:$A$4919,$A1722)/$F1722,"")</f>
        <v/>
      </c>
      <c r="J1722" s="6">
        <f>IFERROR(SUMIFS('DETALLE CRONOLÓGICO'!$K$2:$K$4919,'DETALLE CRONOLÓGICO'!$A$2:$A$4919,$A1722)/$E1722,"")</f>
        <v/>
      </c>
      <c r="K1722" s="6">
        <f>_xlfn.MINIFS('DETALLE CRONOLÓGICO'!$K$2:$K$4919,'DETALLE CRONOLÓGICO'!$A$2:$A$4919,$A1722)</f>
        <v/>
      </c>
      <c r="L1722" s="6">
        <f>_xlfn.MAXIFS('DETALLE CRONOLÓGICO'!$K$2:$K$4919,'DETALLE CRONOLÓGICO'!$A$2:$A$4919,$A1722)</f>
        <v/>
      </c>
      <c r="M1722" s="6">
        <f>INDEX('DETALLE CRONOLÓGICO'!$K$2:$K$4919,MATCH($A1722,'DETALLE CRONOLÓGICO'!$A$2:$A$4919,0)+$E1722-1)</f>
        <v/>
      </c>
      <c r="N1722" s="7">
        <f>IFERROR($M1722/INDEX('DETALLE CRONOLÓGICO'!$K$2:$K$4919,MATCH($A1722,'DETALLE CRONOLÓGICO'!$A$2:$A$4919,0))-1,"")</f>
        <v/>
      </c>
      <c r="O1722" s="6">
        <f>IFERROR($I1722*3,"")</f>
        <v/>
      </c>
      <c r="P1722" s="6">
        <f>IFERROR($I1722*3.5,"")</f>
        <v/>
      </c>
      <c r="Q1722" s="6">
        <f>IFERROR($I1722*4,"")</f>
        <v/>
      </c>
      <c r="R1722" s="6" t="n">
        <v>545</v>
      </c>
      <c r="S1722" s="4" t="n">
        <v>4</v>
      </c>
      <c r="T1722" s="1" t="inlineStr">
        <is>
          <t>active</t>
        </is>
      </c>
      <c r="U1722" s="8" t="n"/>
      <c r="V1722" s="1" t="inlineStr">
        <is>
          <t>SIN PRECIO</t>
        </is>
      </c>
    </row>
    <row r="1723">
      <c r="A1723" s="1" t="inlineStr">
        <is>
          <t>679be1f9f363c</t>
        </is>
      </c>
      <c r="B1723" s="1" t="inlineStr">
        <is>
          <t>RELOJ PP NAUTILUS SILVER BLUE</t>
        </is>
      </c>
      <c r="C1723" s="1" t="inlineStr">
        <is>
          <t>Ajustable con caja</t>
        </is>
      </c>
      <c r="D1723" s="1" t="inlineStr">
        <is>
          <t>ZOEY</t>
        </is>
      </c>
      <c r="E1723" s="4">
        <f>COUNTIF('DETALLE CRONOLÓGICO'!$A$2:$A$4919,$A1723)</f>
        <v/>
      </c>
      <c r="F1723" s="4">
        <f>SUMIFS('DETALLE CRONOLÓGICO'!$I$2:$I$4919,'DETALLE CRONOLÓGICO'!$A$2:$A$4919,$A1723)</f>
        <v/>
      </c>
      <c r="G1723" s="1">
        <f>INDEX('DETALLE CRONOLÓGICO'!$D$2:$D$4919,MATCH($A1723,'DETALLE CRONOLÓGICO'!$A$2:$A$4919,0))</f>
        <v/>
      </c>
      <c r="H1723" s="1">
        <f>INDEX('DETALLE CRONOLÓGICO'!$D$2:$D$4919,MATCH($A1723,'DETALLE CRONOLÓGICO'!$A$2:$A$4919,0)+$E1723-1)</f>
        <v/>
      </c>
      <c r="I1723" s="5">
        <f>IFERROR(SUMIFS('DETALLE CRONOLÓGICO'!$L$2:$L$4919,'DETALLE CRONOLÓGICO'!$A$2:$A$4919,$A1723)/$F1723,"")</f>
        <v/>
      </c>
      <c r="J1723" s="6">
        <f>IFERROR(SUMIFS('DETALLE CRONOLÓGICO'!$K$2:$K$4919,'DETALLE CRONOLÓGICO'!$A$2:$A$4919,$A1723)/$E1723,"")</f>
        <v/>
      </c>
      <c r="K1723" s="6">
        <f>_xlfn.MINIFS('DETALLE CRONOLÓGICO'!$K$2:$K$4919,'DETALLE CRONOLÓGICO'!$A$2:$A$4919,$A1723)</f>
        <v/>
      </c>
      <c r="L1723" s="6">
        <f>_xlfn.MAXIFS('DETALLE CRONOLÓGICO'!$K$2:$K$4919,'DETALLE CRONOLÓGICO'!$A$2:$A$4919,$A1723)</f>
        <v/>
      </c>
      <c r="M1723" s="6">
        <f>INDEX('DETALLE CRONOLÓGICO'!$K$2:$K$4919,MATCH($A1723,'DETALLE CRONOLÓGICO'!$A$2:$A$4919,0)+$E1723-1)</f>
        <v/>
      </c>
      <c r="N1723" s="7">
        <f>IFERROR($M1723/INDEX('DETALLE CRONOLÓGICO'!$K$2:$K$4919,MATCH($A1723,'DETALLE CRONOLÓGICO'!$A$2:$A$4919,0))-1,"")</f>
        <v/>
      </c>
      <c r="O1723" s="6">
        <f>IFERROR($I1723*3,"")</f>
        <v/>
      </c>
      <c r="P1723" s="6">
        <f>IFERROR($I1723*3.5,"")</f>
        <v/>
      </c>
      <c r="Q1723" s="6">
        <f>IFERROR($I1723*4,"")</f>
        <v/>
      </c>
      <c r="R1723" s="6" t="n">
        <v>4899</v>
      </c>
      <c r="S1723" s="4" t="n">
        <v>3</v>
      </c>
      <c r="T1723" s="1" t="inlineStr">
        <is>
          <t>active</t>
        </is>
      </c>
      <c r="U1723" s="8" t="n"/>
      <c r="V1723" s="1" t="inlineStr">
        <is>
          <t>SIN PRECIO</t>
        </is>
      </c>
    </row>
    <row r="1724">
      <c r="A1724" s="1" t="inlineStr">
        <is>
          <t>679be1fa82b97</t>
        </is>
      </c>
      <c r="B1724" s="1" t="inlineStr">
        <is>
          <t>RELOJ C SANTOS BLACK</t>
        </is>
      </c>
      <c r="C1724" s="1" t="inlineStr">
        <is>
          <t>RELOJ SIN CAJA MUJER 27mm</t>
        </is>
      </c>
      <c r="D1724" s="1" t="inlineStr">
        <is>
          <t>ZOEY</t>
        </is>
      </c>
      <c r="E1724" s="4">
        <f>COUNTIF('DETALLE CRONOLÓGICO'!$A$2:$A$4919,$A1724)</f>
        <v/>
      </c>
      <c r="F1724" s="4">
        <f>SUMIFS('DETALLE CRONOLÓGICO'!$I$2:$I$4919,'DETALLE CRONOLÓGICO'!$A$2:$A$4919,$A1724)</f>
        <v/>
      </c>
      <c r="G1724" s="1">
        <f>INDEX('DETALLE CRONOLÓGICO'!$D$2:$D$4919,MATCH($A1724,'DETALLE CRONOLÓGICO'!$A$2:$A$4919,0))</f>
        <v/>
      </c>
      <c r="H1724" s="1">
        <f>INDEX('DETALLE CRONOLÓGICO'!$D$2:$D$4919,MATCH($A1724,'DETALLE CRONOLÓGICO'!$A$2:$A$4919,0)+$E1724-1)</f>
        <v/>
      </c>
      <c r="I1724" s="5">
        <f>IFERROR(SUMIFS('DETALLE CRONOLÓGICO'!$L$2:$L$4919,'DETALLE CRONOLÓGICO'!$A$2:$A$4919,$A1724)/$F1724,"")</f>
        <v/>
      </c>
      <c r="J1724" s="6">
        <f>IFERROR(SUMIFS('DETALLE CRONOLÓGICO'!$K$2:$K$4919,'DETALLE CRONOLÓGICO'!$A$2:$A$4919,$A1724)/$E1724,"")</f>
        <v/>
      </c>
      <c r="K1724" s="6">
        <f>_xlfn.MINIFS('DETALLE CRONOLÓGICO'!$K$2:$K$4919,'DETALLE CRONOLÓGICO'!$A$2:$A$4919,$A1724)</f>
        <v/>
      </c>
      <c r="L1724" s="6">
        <f>_xlfn.MAXIFS('DETALLE CRONOLÓGICO'!$K$2:$K$4919,'DETALLE CRONOLÓGICO'!$A$2:$A$4919,$A1724)</f>
        <v/>
      </c>
      <c r="M1724" s="6">
        <f>INDEX('DETALLE CRONOLÓGICO'!$K$2:$K$4919,MATCH($A1724,'DETALLE CRONOLÓGICO'!$A$2:$A$4919,0)+$E1724-1)</f>
        <v/>
      </c>
      <c r="N1724" s="7">
        <f>IFERROR($M1724/INDEX('DETALLE CRONOLÓGICO'!$K$2:$K$4919,MATCH($A1724,'DETALLE CRONOLÓGICO'!$A$2:$A$4919,0))-1,"")</f>
        <v/>
      </c>
      <c r="O1724" s="6">
        <f>IFERROR($I1724*3,"")</f>
        <v/>
      </c>
      <c r="P1724" s="6">
        <f>IFERROR($I1724*3.5,"")</f>
        <v/>
      </c>
      <c r="Q1724" s="6">
        <f>IFERROR($I1724*4,"")</f>
        <v/>
      </c>
      <c r="R1724" s="6" t="n">
        <v>2534</v>
      </c>
      <c r="S1724" s="4" t="n">
        <v>2</v>
      </c>
      <c r="T1724" s="1" t="inlineStr">
        <is>
          <t>active</t>
        </is>
      </c>
      <c r="U1724" s="8" t="n"/>
      <c r="V1724" s="1" t="inlineStr">
        <is>
          <t>SIN PRECIO</t>
        </is>
      </c>
    </row>
    <row r="1725">
      <c r="A1725" s="1" t="inlineStr">
        <is>
          <t>679be1fb57d7e</t>
        </is>
      </c>
      <c r="B1725" s="1" t="inlineStr">
        <is>
          <t>RELOJ RX DAY DATE ROSEGOLD</t>
        </is>
      </c>
      <c r="C1725" s="1" t="inlineStr">
        <is>
          <t>Default Title</t>
        </is>
      </c>
      <c r="D1725" s="1" t="inlineStr">
        <is>
          <t>ZOEY</t>
        </is>
      </c>
      <c r="E1725" s="4">
        <f>COUNTIF('DETALLE CRONOLÓGICO'!$A$2:$A$4919,$A1725)</f>
        <v/>
      </c>
      <c r="F1725" s="4">
        <f>SUMIFS('DETALLE CRONOLÓGICO'!$I$2:$I$4919,'DETALLE CRONOLÓGICO'!$A$2:$A$4919,$A1725)</f>
        <v/>
      </c>
      <c r="G1725" s="1">
        <f>INDEX('DETALLE CRONOLÓGICO'!$D$2:$D$4919,MATCH($A1725,'DETALLE CRONOLÓGICO'!$A$2:$A$4919,0))</f>
        <v/>
      </c>
      <c r="H1725" s="1">
        <f>INDEX('DETALLE CRONOLÓGICO'!$D$2:$D$4919,MATCH($A1725,'DETALLE CRONOLÓGICO'!$A$2:$A$4919,0)+$E1725-1)</f>
        <v/>
      </c>
      <c r="I1725" s="5">
        <f>IFERROR(SUMIFS('DETALLE CRONOLÓGICO'!$L$2:$L$4919,'DETALLE CRONOLÓGICO'!$A$2:$A$4919,$A1725)/$F1725,"")</f>
        <v/>
      </c>
      <c r="J1725" s="6">
        <f>IFERROR(SUMIFS('DETALLE CRONOLÓGICO'!$K$2:$K$4919,'DETALLE CRONOLÓGICO'!$A$2:$A$4919,$A1725)/$E1725,"")</f>
        <v/>
      </c>
      <c r="K1725" s="6">
        <f>_xlfn.MINIFS('DETALLE CRONOLÓGICO'!$K$2:$K$4919,'DETALLE CRONOLÓGICO'!$A$2:$A$4919,$A1725)</f>
        <v/>
      </c>
      <c r="L1725" s="6">
        <f>_xlfn.MAXIFS('DETALLE CRONOLÓGICO'!$K$2:$K$4919,'DETALLE CRONOLÓGICO'!$A$2:$A$4919,$A1725)</f>
        <v/>
      </c>
      <c r="M1725" s="6">
        <f>INDEX('DETALLE CRONOLÓGICO'!$K$2:$K$4919,MATCH($A1725,'DETALLE CRONOLÓGICO'!$A$2:$A$4919,0)+$E1725-1)</f>
        <v/>
      </c>
      <c r="N1725" s="7">
        <f>IFERROR($M1725/INDEX('DETALLE CRONOLÓGICO'!$K$2:$K$4919,MATCH($A1725,'DETALLE CRONOLÓGICO'!$A$2:$A$4919,0))-1,"")</f>
        <v/>
      </c>
      <c r="O1725" s="6">
        <f>IFERROR($I1725*3,"")</f>
        <v/>
      </c>
      <c r="P1725" s="6">
        <f>IFERROR($I1725*3.5,"")</f>
        <v/>
      </c>
      <c r="Q1725" s="6">
        <f>IFERROR($I1725*4,"")</f>
        <v/>
      </c>
      <c r="R1725" s="6" t="n"/>
      <c r="S1725" s="4" t="n"/>
      <c r="T1725" s="1" t="inlineStr">
        <is>
          <t>YA NO EXISTE EN SHOPIFY</t>
        </is>
      </c>
      <c r="U1725" s="8" t="n"/>
      <c r="V1725" s="1" t="inlineStr">
        <is>
          <t>SIN PRECIO</t>
        </is>
      </c>
    </row>
    <row r="1726">
      <c r="A1726" s="1" t="inlineStr">
        <is>
          <t>679be1fb57d7e-1</t>
        </is>
      </c>
      <c r="B1726" s="1" t="inlineStr">
        <is>
          <t>RELOJ RX DAY DATE ROSEGOLD</t>
        </is>
      </c>
      <c r="C1726" s="1" t="inlineStr">
        <is>
          <t>RELOJ SIN CAJA</t>
        </is>
      </c>
      <c r="D1726" s="1" t="inlineStr">
        <is>
          <t>ZOEY</t>
        </is>
      </c>
      <c r="E1726" s="4">
        <f>COUNTIF('DETALLE CRONOLÓGICO'!$A$2:$A$4919,$A1726)</f>
        <v/>
      </c>
      <c r="F1726" s="4">
        <f>SUMIFS('DETALLE CRONOLÓGICO'!$I$2:$I$4919,'DETALLE CRONOLÓGICO'!$A$2:$A$4919,$A1726)</f>
        <v/>
      </c>
      <c r="G1726" s="1">
        <f>INDEX('DETALLE CRONOLÓGICO'!$D$2:$D$4919,MATCH($A1726,'DETALLE CRONOLÓGICO'!$A$2:$A$4919,0))</f>
        <v/>
      </c>
      <c r="H1726" s="1">
        <f>INDEX('DETALLE CRONOLÓGICO'!$D$2:$D$4919,MATCH($A1726,'DETALLE CRONOLÓGICO'!$A$2:$A$4919,0)+$E1726-1)</f>
        <v/>
      </c>
      <c r="I1726" s="5">
        <f>IFERROR(SUMIFS('DETALLE CRONOLÓGICO'!$L$2:$L$4919,'DETALLE CRONOLÓGICO'!$A$2:$A$4919,$A1726)/$F1726,"")</f>
        <v/>
      </c>
      <c r="J1726" s="6">
        <f>IFERROR(SUMIFS('DETALLE CRONOLÓGICO'!$K$2:$K$4919,'DETALLE CRONOLÓGICO'!$A$2:$A$4919,$A1726)/$E1726,"")</f>
        <v/>
      </c>
      <c r="K1726" s="6">
        <f>_xlfn.MINIFS('DETALLE CRONOLÓGICO'!$K$2:$K$4919,'DETALLE CRONOLÓGICO'!$A$2:$A$4919,$A1726)</f>
        <v/>
      </c>
      <c r="L1726" s="6">
        <f>_xlfn.MAXIFS('DETALLE CRONOLÓGICO'!$K$2:$K$4919,'DETALLE CRONOLÓGICO'!$A$2:$A$4919,$A1726)</f>
        <v/>
      </c>
      <c r="M1726" s="6">
        <f>INDEX('DETALLE CRONOLÓGICO'!$K$2:$K$4919,MATCH($A1726,'DETALLE CRONOLÓGICO'!$A$2:$A$4919,0)+$E1726-1)</f>
        <v/>
      </c>
      <c r="N1726" s="7">
        <f>IFERROR($M1726/INDEX('DETALLE CRONOLÓGICO'!$K$2:$K$4919,MATCH($A1726,'DETALLE CRONOLÓGICO'!$A$2:$A$4919,0))-1,"")</f>
        <v/>
      </c>
      <c r="O1726" s="6">
        <f>IFERROR($I1726*3,"")</f>
        <v/>
      </c>
      <c r="P1726" s="6">
        <f>IFERROR($I1726*3.5,"")</f>
        <v/>
      </c>
      <c r="Q1726" s="6">
        <f>IFERROR($I1726*4,"")</f>
        <v/>
      </c>
      <c r="R1726" s="6" t="n">
        <v>4399</v>
      </c>
      <c r="S1726" s="4" t="n">
        <v>0</v>
      </c>
      <c r="T1726" s="1" t="inlineStr">
        <is>
          <t>active</t>
        </is>
      </c>
      <c r="U1726" s="8" t="n"/>
      <c r="V1726" s="1" t="inlineStr">
        <is>
          <t>SIN PRECIO</t>
        </is>
      </c>
    </row>
    <row r="1727">
      <c r="A1727" s="1" t="inlineStr">
        <is>
          <t>679be962d942d</t>
        </is>
      </c>
      <c r="B1727" s="1" t="inlineStr">
        <is>
          <t>HOODIE C WHITE</t>
        </is>
      </c>
      <c r="C1727" s="1" t="inlineStr">
        <is>
          <t>L</t>
        </is>
      </c>
      <c r="D1727" s="1" t="inlineStr">
        <is>
          <t>DINA DU</t>
        </is>
      </c>
      <c r="E1727" s="4">
        <f>COUNTIF('DETALLE CRONOLÓGICO'!$A$2:$A$4919,$A1727)</f>
        <v/>
      </c>
      <c r="F1727" s="4">
        <f>SUMIFS('DETALLE CRONOLÓGICO'!$I$2:$I$4919,'DETALLE CRONOLÓGICO'!$A$2:$A$4919,$A1727)</f>
        <v/>
      </c>
      <c r="G1727" s="1">
        <f>INDEX('DETALLE CRONOLÓGICO'!$D$2:$D$4919,MATCH($A1727,'DETALLE CRONOLÓGICO'!$A$2:$A$4919,0))</f>
        <v/>
      </c>
      <c r="H1727" s="1">
        <f>INDEX('DETALLE CRONOLÓGICO'!$D$2:$D$4919,MATCH($A1727,'DETALLE CRONOLÓGICO'!$A$2:$A$4919,0)+$E1727-1)</f>
        <v/>
      </c>
      <c r="I1727" s="5">
        <f>IFERROR(SUMIFS('DETALLE CRONOLÓGICO'!$L$2:$L$4919,'DETALLE CRONOLÓGICO'!$A$2:$A$4919,$A1727)/$F1727,"")</f>
        <v/>
      </c>
      <c r="J1727" s="6">
        <f>IFERROR(SUMIFS('DETALLE CRONOLÓGICO'!$K$2:$K$4919,'DETALLE CRONOLÓGICO'!$A$2:$A$4919,$A1727)/$E1727,"")</f>
        <v/>
      </c>
      <c r="K1727" s="6">
        <f>_xlfn.MINIFS('DETALLE CRONOLÓGICO'!$K$2:$K$4919,'DETALLE CRONOLÓGICO'!$A$2:$A$4919,$A1727)</f>
        <v/>
      </c>
      <c r="L1727" s="6">
        <f>_xlfn.MAXIFS('DETALLE CRONOLÓGICO'!$K$2:$K$4919,'DETALLE CRONOLÓGICO'!$A$2:$A$4919,$A1727)</f>
        <v/>
      </c>
      <c r="M1727" s="6">
        <f>INDEX('DETALLE CRONOLÓGICO'!$K$2:$K$4919,MATCH($A1727,'DETALLE CRONOLÓGICO'!$A$2:$A$4919,0)+$E1727-1)</f>
        <v/>
      </c>
      <c r="N1727" s="7">
        <f>IFERROR($M1727/INDEX('DETALLE CRONOLÓGICO'!$K$2:$K$4919,MATCH($A1727,'DETALLE CRONOLÓGICO'!$A$2:$A$4919,0))-1,"")</f>
        <v/>
      </c>
      <c r="O1727" s="6">
        <f>IFERROR($I1727*3,"")</f>
        <v/>
      </c>
      <c r="P1727" s="6">
        <f>IFERROR($I1727*3.5,"")</f>
        <v/>
      </c>
      <c r="Q1727" s="6">
        <f>IFERROR($I1727*4,"")</f>
        <v/>
      </c>
      <c r="R1727" s="6" t="n">
        <v>2920</v>
      </c>
      <c r="S1727" s="4" t="n">
        <v>1</v>
      </c>
      <c r="T1727" s="1" t="inlineStr">
        <is>
          <t>active</t>
        </is>
      </c>
      <c r="U1727" s="8" t="n"/>
      <c r="V1727" s="1" t="inlineStr">
        <is>
          <t>SIN PRECIO</t>
        </is>
      </c>
    </row>
    <row r="1728">
      <c r="A1728" s="1" t="inlineStr">
        <is>
          <t>679bf19779a29</t>
        </is>
      </c>
      <c r="B1728" s="1" t="inlineStr">
        <is>
          <t>CALCETÍN A BLACK</t>
        </is>
      </c>
      <c r="C1728" s="1" t="inlineStr">
        <is>
          <t>Default Title</t>
        </is>
      </c>
      <c r="D1728" s="1" t="inlineStr">
        <is>
          <t>ZOEY</t>
        </is>
      </c>
      <c r="E1728" s="4">
        <f>COUNTIF('DETALLE CRONOLÓGICO'!$A$2:$A$4919,$A1728)</f>
        <v/>
      </c>
      <c r="F1728" s="4">
        <f>SUMIFS('DETALLE CRONOLÓGICO'!$I$2:$I$4919,'DETALLE CRONOLÓGICO'!$A$2:$A$4919,$A1728)</f>
        <v/>
      </c>
      <c r="G1728" s="1">
        <f>INDEX('DETALLE CRONOLÓGICO'!$D$2:$D$4919,MATCH($A1728,'DETALLE CRONOLÓGICO'!$A$2:$A$4919,0))</f>
        <v/>
      </c>
      <c r="H1728" s="1">
        <f>INDEX('DETALLE CRONOLÓGICO'!$D$2:$D$4919,MATCH($A1728,'DETALLE CRONOLÓGICO'!$A$2:$A$4919,0)+$E1728-1)</f>
        <v/>
      </c>
      <c r="I1728" s="5">
        <f>IFERROR(SUMIFS('DETALLE CRONOLÓGICO'!$L$2:$L$4919,'DETALLE CRONOLÓGICO'!$A$2:$A$4919,$A1728)/$F1728,"")</f>
        <v/>
      </c>
      <c r="J1728" s="6">
        <f>IFERROR(SUMIFS('DETALLE CRONOLÓGICO'!$K$2:$K$4919,'DETALLE CRONOLÓGICO'!$A$2:$A$4919,$A1728)/$E1728,"")</f>
        <v/>
      </c>
      <c r="K1728" s="6">
        <f>_xlfn.MINIFS('DETALLE CRONOLÓGICO'!$K$2:$K$4919,'DETALLE CRONOLÓGICO'!$A$2:$A$4919,$A1728)</f>
        <v/>
      </c>
      <c r="L1728" s="6">
        <f>_xlfn.MAXIFS('DETALLE CRONOLÓGICO'!$K$2:$K$4919,'DETALLE CRONOLÓGICO'!$A$2:$A$4919,$A1728)</f>
        <v/>
      </c>
      <c r="M1728" s="6">
        <f>INDEX('DETALLE CRONOLÓGICO'!$K$2:$K$4919,MATCH($A1728,'DETALLE CRONOLÓGICO'!$A$2:$A$4919,0)+$E1728-1)</f>
        <v/>
      </c>
      <c r="N1728" s="7">
        <f>IFERROR($M1728/INDEX('DETALLE CRONOLÓGICO'!$K$2:$K$4919,MATCH($A1728,'DETALLE CRONOLÓGICO'!$A$2:$A$4919,0))-1,"")</f>
        <v/>
      </c>
      <c r="O1728" s="6">
        <f>IFERROR($I1728*3,"")</f>
        <v/>
      </c>
      <c r="P1728" s="6">
        <f>IFERROR($I1728*3.5,"")</f>
        <v/>
      </c>
      <c r="Q1728" s="6">
        <f>IFERROR($I1728*4,"")</f>
        <v/>
      </c>
      <c r="R1728" s="6" t="n">
        <v>499</v>
      </c>
      <c r="S1728" s="4" t="n">
        <v>16</v>
      </c>
      <c r="T1728" s="1" t="inlineStr">
        <is>
          <t>active</t>
        </is>
      </c>
      <c r="U1728" s="8" t="n"/>
      <c r="V1728" s="1" t="inlineStr">
        <is>
          <t>SIN PRECIO</t>
        </is>
      </c>
    </row>
    <row r="1729">
      <c r="A1729" s="1" t="inlineStr">
        <is>
          <t>679bf1982d8ea</t>
        </is>
      </c>
      <c r="B1729" s="1" t="inlineStr">
        <is>
          <t>CALCETÍN A WHITE</t>
        </is>
      </c>
      <c r="C1729" s="1" t="inlineStr">
        <is>
          <t>Default Title</t>
        </is>
      </c>
      <c r="D1729" s="1" t="inlineStr">
        <is>
          <t>ZOEY</t>
        </is>
      </c>
      <c r="E1729" s="4">
        <f>COUNTIF('DETALLE CRONOLÓGICO'!$A$2:$A$4919,$A1729)</f>
        <v/>
      </c>
      <c r="F1729" s="4">
        <f>SUMIFS('DETALLE CRONOLÓGICO'!$I$2:$I$4919,'DETALLE CRONOLÓGICO'!$A$2:$A$4919,$A1729)</f>
        <v/>
      </c>
      <c r="G1729" s="1">
        <f>INDEX('DETALLE CRONOLÓGICO'!$D$2:$D$4919,MATCH($A1729,'DETALLE CRONOLÓGICO'!$A$2:$A$4919,0))</f>
        <v/>
      </c>
      <c r="H1729" s="1">
        <f>INDEX('DETALLE CRONOLÓGICO'!$D$2:$D$4919,MATCH($A1729,'DETALLE CRONOLÓGICO'!$A$2:$A$4919,0)+$E1729-1)</f>
        <v/>
      </c>
      <c r="I1729" s="5">
        <f>IFERROR(SUMIFS('DETALLE CRONOLÓGICO'!$L$2:$L$4919,'DETALLE CRONOLÓGICO'!$A$2:$A$4919,$A1729)/$F1729,"")</f>
        <v/>
      </c>
      <c r="J1729" s="6">
        <f>IFERROR(SUMIFS('DETALLE CRONOLÓGICO'!$K$2:$K$4919,'DETALLE CRONOLÓGICO'!$A$2:$A$4919,$A1729)/$E1729,"")</f>
        <v/>
      </c>
      <c r="K1729" s="6">
        <f>_xlfn.MINIFS('DETALLE CRONOLÓGICO'!$K$2:$K$4919,'DETALLE CRONOLÓGICO'!$A$2:$A$4919,$A1729)</f>
        <v/>
      </c>
      <c r="L1729" s="6">
        <f>_xlfn.MAXIFS('DETALLE CRONOLÓGICO'!$K$2:$K$4919,'DETALLE CRONOLÓGICO'!$A$2:$A$4919,$A1729)</f>
        <v/>
      </c>
      <c r="M1729" s="6">
        <f>INDEX('DETALLE CRONOLÓGICO'!$K$2:$K$4919,MATCH($A1729,'DETALLE CRONOLÓGICO'!$A$2:$A$4919,0)+$E1729-1)</f>
        <v/>
      </c>
      <c r="N1729" s="7">
        <f>IFERROR($M1729/INDEX('DETALLE CRONOLÓGICO'!$K$2:$K$4919,MATCH($A1729,'DETALLE CRONOLÓGICO'!$A$2:$A$4919,0))-1,"")</f>
        <v/>
      </c>
      <c r="O1729" s="6">
        <f>IFERROR($I1729*3,"")</f>
        <v/>
      </c>
      <c r="P1729" s="6">
        <f>IFERROR($I1729*3.5,"")</f>
        <v/>
      </c>
      <c r="Q1729" s="6">
        <f>IFERROR($I1729*4,"")</f>
        <v/>
      </c>
      <c r="R1729" s="6" t="n">
        <v>499</v>
      </c>
      <c r="S1729" s="4" t="n">
        <v>7</v>
      </c>
      <c r="T1729" s="1" t="inlineStr">
        <is>
          <t>active</t>
        </is>
      </c>
      <c r="U1729" s="8" t="n"/>
      <c r="V1729" s="1" t="inlineStr">
        <is>
          <t>SIN PRECIO</t>
        </is>
      </c>
    </row>
    <row r="1730">
      <c r="A1730" s="1" t="inlineStr">
        <is>
          <t>68089821024557</t>
        </is>
      </c>
      <c r="B1730" s="1" t="inlineStr">
        <is>
          <t>COLLAR T LOCK SILVER</t>
        </is>
      </c>
      <c r="C1730" s="1" t="inlineStr">
        <is>
          <t>Default Title</t>
        </is>
      </c>
      <c r="D1730" s="1" t="inlineStr">
        <is>
          <t>NANCY</t>
        </is>
      </c>
      <c r="E1730" s="4">
        <f>COUNTIF('DETALLE CRONOLÓGICO'!$A$2:$A$4919,$A1730)</f>
        <v/>
      </c>
      <c r="F1730" s="4">
        <f>SUMIFS('DETALLE CRONOLÓGICO'!$I$2:$I$4919,'DETALLE CRONOLÓGICO'!$A$2:$A$4919,$A1730)</f>
        <v/>
      </c>
      <c r="G1730" s="1">
        <f>INDEX('DETALLE CRONOLÓGICO'!$D$2:$D$4919,MATCH($A1730,'DETALLE CRONOLÓGICO'!$A$2:$A$4919,0))</f>
        <v/>
      </c>
      <c r="H1730" s="1">
        <f>INDEX('DETALLE CRONOLÓGICO'!$D$2:$D$4919,MATCH($A1730,'DETALLE CRONOLÓGICO'!$A$2:$A$4919,0)+$E1730-1)</f>
        <v/>
      </c>
      <c r="I1730" s="5">
        <f>IFERROR(SUMIFS('DETALLE CRONOLÓGICO'!$L$2:$L$4919,'DETALLE CRONOLÓGICO'!$A$2:$A$4919,$A1730)/$F1730,"")</f>
        <v/>
      </c>
      <c r="J1730" s="6">
        <f>IFERROR(SUMIFS('DETALLE CRONOLÓGICO'!$K$2:$K$4919,'DETALLE CRONOLÓGICO'!$A$2:$A$4919,$A1730)/$E1730,"")</f>
        <v/>
      </c>
      <c r="K1730" s="6">
        <f>_xlfn.MINIFS('DETALLE CRONOLÓGICO'!$K$2:$K$4919,'DETALLE CRONOLÓGICO'!$A$2:$A$4919,$A1730)</f>
        <v/>
      </c>
      <c r="L1730" s="6">
        <f>_xlfn.MAXIFS('DETALLE CRONOLÓGICO'!$K$2:$K$4919,'DETALLE CRONOLÓGICO'!$A$2:$A$4919,$A1730)</f>
        <v/>
      </c>
      <c r="M1730" s="6">
        <f>INDEX('DETALLE CRONOLÓGICO'!$K$2:$K$4919,MATCH($A1730,'DETALLE CRONOLÓGICO'!$A$2:$A$4919,0)+$E1730-1)</f>
        <v/>
      </c>
      <c r="N1730" s="7">
        <f>IFERROR($M1730/INDEX('DETALLE CRONOLÓGICO'!$K$2:$K$4919,MATCH($A1730,'DETALLE CRONOLÓGICO'!$A$2:$A$4919,0))-1,"")</f>
        <v/>
      </c>
      <c r="O1730" s="6">
        <f>IFERROR($I1730*3,"")</f>
        <v/>
      </c>
      <c r="P1730" s="6">
        <f>IFERROR($I1730*3.5,"")</f>
        <v/>
      </c>
      <c r="Q1730" s="6">
        <f>IFERROR($I1730*4,"")</f>
        <v/>
      </c>
      <c r="R1730" s="6" t="n">
        <v>0</v>
      </c>
      <c r="S1730" s="4" t="n">
        <v>2</v>
      </c>
      <c r="T1730" s="1" t="inlineStr">
        <is>
          <t>draft</t>
        </is>
      </c>
      <c r="U1730" s="8" t="n"/>
      <c r="V1730" s="1" t="inlineStr">
        <is>
          <t>SIN PRECIO</t>
        </is>
      </c>
    </row>
    <row r="1731">
      <c r="A1731" s="1" t="inlineStr">
        <is>
          <t>68089821121165</t>
        </is>
      </c>
      <c r="B1731" s="1" t="inlineStr">
        <is>
          <t>COLLAR T FULL HEART RETURN</t>
        </is>
      </c>
      <c r="C1731" s="1" t="inlineStr">
        <is>
          <t>Default Title</t>
        </is>
      </c>
      <c r="D1731" s="1" t="inlineStr">
        <is>
          <t>NANCY</t>
        </is>
      </c>
      <c r="E1731" s="4">
        <f>COUNTIF('DETALLE CRONOLÓGICO'!$A$2:$A$4919,$A1731)</f>
        <v/>
      </c>
      <c r="F1731" s="4">
        <f>SUMIFS('DETALLE CRONOLÓGICO'!$I$2:$I$4919,'DETALLE CRONOLÓGICO'!$A$2:$A$4919,$A1731)</f>
        <v/>
      </c>
      <c r="G1731" s="1">
        <f>INDEX('DETALLE CRONOLÓGICO'!$D$2:$D$4919,MATCH($A1731,'DETALLE CRONOLÓGICO'!$A$2:$A$4919,0))</f>
        <v/>
      </c>
      <c r="H1731" s="1">
        <f>INDEX('DETALLE CRONOLÓGICO'!$D$2:$D$4919,MATCH($A1731,'DETALLE CRONOLÓGICO'!$A$2:$A$4919,0)+$E1731-1)</f>
        <v/>
      </c>
      <c r="I1731" s="5">
        <f>IFERROR(SUMIFS('DETALLE CRONOLÓGICO'!$L$2:$L$4919,'DETALLE CRONOLÓGICO'!$A$2:$A$4919,$A1731)/$F1731,"")</f>
        <v/>
      </c>
      <c r="J1731" s="6">
        <f>IFERROR(SUMIFS('DETALLE CRONOLÓGICO'!$K$2:$K$4919,'DETALLE CRONOLÓGICO'!$A$2:$A$4919,$A1731)/$E1731,"")</f>
        <v/>
      </c>
      <c r="K1731" s="6">
        <f>_xlfn.MINIFS('DETALLE CRONOLÓGICO'!$K$2:$K$4919,'DETALLE CRONOLÓGICO'!$A$2:$A$4919,$A1731)</f>
        <v/>
      </c>
      <c r="L1731" s="6">
        <f>_xlfn.MAXIFS('DETALLE CRONOLÓGICO'!$K$2:$K$4919,'DETALLE CRONOLÓGICO'!$A$2:$A$4919,$A1731)</f>
        <v/>
      </c>
      <c r="M1731" s="6">
        <f>INDEX('DETALLE CRONOLÓGICO'!$K$2:$K$4919,MATCH($A1731,'DETALLE CRONOLÓGICO'!$A$2:$A$4919,0)+$E1731-1)</f>
        <v/>
      </c>
      <c r="N1731" s="7">
        <f>IFERROR($M1731/INDEX('DETALLE CRONOLÓGICO'!$K$2:$K$4919,MATCH($A1731,'DETALLE CRONOLÓGICO'!$A$2:$A$4919,0))-1,"")</f>
        <v/>
      </c>
      <c r="O1731" s="6">
        <f>IFERROR($I1731*3,"")</f>
        <v/>
      </c>
      <c r="P1731" s="6">
        <f>IFERROR($I1731*3.5,"")</f>
        <v/>
      </c>
      <c r="Q1731" s="6">
        <f>IFERROR($I1731*4,"")</f>
        <v/>
      </c>
      <c r="R1731" s="6" t="n">
        <v>0</v>
      </c>
      <c r="S1731" s="4" t="n">
        <v>2</v>
      </c>
      <c r="T1731" s="1" t="inlineStr">
        <is>
          <t>draft</t>
        </is>
      </c>
      <c r="U1731" s="8" t="n"/>
      <c r="V1731" s="1" t="inlineStr">
        <is>
          <t>SIN PRECIO</t>
        </is>
      </c>
    </row>
    <row r="1732">
      <c r="A1732" s="1" t="inlineStr">
        <is>
          <t>68089821250541</t>
        </is>
      </c>
      <c r="B1732" s="1" t="inlineStr">
        <is>
          <t>COLLAR T CON CIERRE DOBLE</t>
        </is>
      </c>
      <c r="C1732" s="1" t="inlineStr">
        <is>
          <t>Default Title</t>
        </is>
      </c>
      <c r="D1732" s="1" t="inlineStr">
        <is>
          <t>NANCY</t>
        </is>
      </c>
      <c r="E1732" s="4">
        <f>COUNTIF('DETALLE CRONOLÓGICO'!$A$2:$A$4919,$A1732)</f>
        <v/>
      </c>
      <c r="F1732" s="4">
        <f>SUMIFS('DETALLE CRONOLÓGICO'!$I$2:$I$4919,'DETALLE CRONOLÓGICO'!$A$2:$A$4919,$A1732)</f>
        <v/>
      </c>
      <c r="G1732" s="1">
        <f>INDEX('DETALLE CRONOLÓGICO'!$D$2:$D$4919,MATCH($A1732,'DETALLE CRONOLÓGICO'!$A$2:$A$4919,0))</f>
        <v/>
      </c>
      <c r="H1732" s="1">
        <f>INDEX('DETALLE CRONOLÓGICO'!$D$2:$D$4919,MATCH($A1732,'DETALLE CRONOLÓGICO'!$A$2:$A$4919,0)+$E1732-1)</f>
        <v/>
      </c>
      <c r="I1732" s="5">
        <f>IFERROR(SUMIFS('DETALLE CRONOLÓGICO'!$L$2:$L$4919,'DETALLE CRONOLÓGICO'!$A$2:$A$4919,$A1732)/$F1732,"")</f>
        <v/>
      </c>
      <c r="J1732" s="6">
        <f>IFERROR(SUMIFS('DETALLE CRONOLÓGICO'!$K$2:$K$4919,'DETALLE CRONOLÓGICO'!$A$2:$A$4919,$A1732)/$E1732,"")</f>
        <v/>
      </c>
      <c r="K1732" s="6">
        <f>_xlfn.MINIFS('DETALLE CRONOLÓGICO'!$K$2:$K$4919,'DETALLE CRONOLÓGICO'!$A$2:$A$4919,$A1732)</f>
        <v/>
      </c>
      <c r="L1732" s="6">
        <f>_xlfn.MAXIFS('DETALLE CRONOLÓGICO'!$K$2:$K$4919,'DETALLE CRONOLÓGICO'!$A$2:$A$4919,$A1732)</f>
        <v/>
      </c>
      <c r="M1732" s="6">
        <f>INDEX('DETALLE CRONOLÓGICO'!$K$2:$K$4919,MATCH($A1732,'DETALLE CRONOLÓGICO'!$A$2:$A$4919,0)+$E1732-1)</f>
        <v/>
      </c>
      <c r="N1732" s="7">
        <f>IFERROR($M1732/INDEX('DETALLE CRONOLÓGICO'!$K$2:$K$4919,MATCH($A1732,'DETALLE CRONOLÓGICO'!$A$2:$A$4919,0))-1,"")</f>
        <v/>
      </c>
      <c r="O1732" s="6">
        <f>IFERROR($I1732*3,"")</f>
        <v/>
      </c>
      <c r="P1732" s="6">
        <f>IFERROR($I1732*3.5,"")</f>
        <v/>
      </c>
      <c r="Q1732" s="6">
        <f>IFERROR($I1732*4,"")</f>
        <v/>
      </c>
      <c r="R1732" s="6" t="n">
        <v>0</v>
      </c>
      <c r="S1732" s="4" t="n">
        <v>2</v>
      </c>
      <c r="T1732" s="1" t="inlineStr">
        <is>
          <t>draft</t>
        </is>
      </c>
      <c r="U1732" s="8" t="n"/>
      <c r="V1732" s="1" t="inlineStr">
        <is>
          <t>SIN PRECIO</t>
        </is>
      </c>
    </row>
    <row r="1733">
      <c r="A1733" s="1" t="inlineStr">
        <is>
          <t>68089821383309</t>
        </is>
      </c>
      <c r="B1733" s="1" t="inlineStr">
        <is>
          <t>PULSERA T BEAN GOLD ZIRCONIAS</t>
        </is>
      </c>
      <c r="C1733" s="1" t="inlineStr">
        <is>
          <t>Default Title</t>
        </is>
      </c>
      <c r="D1733" s="1" t="inlineStr">
        <is>
          <t>NANCY</t>
        </is>
      </c>
      <c r="E1733" s="4">
        <f>COUNTIF('DETALLE CRONOLÓGICO'!$A$2:$A$4919,$A1733)</f>
        <v/>
      </c>
      <c r="F1733" s="4">
        <f>SUMIFS('DETALLE CRONOLÓGICO'!$I$2:$I$4919,'DETALLE CRONOLÓGICO'!$A$2:$A$4919,$A1733)</f>
        <v/>
      </c>
      <c r="G1733" s="1">
        <f>INDEX('DETALLE CRONOLÓGICO'!$D$2:$D$4919,MATCH($A1733,'DETALLE CRONOLÓGICO'!$A$2:$A$4919,0))</f>
        <v/>
      </c>
      <c r="H1733" s="1">
        <f>INDEX('DETALLE CRONOLÓGICO'!$D$2:$D$4919,MATCH($A1733,'DETALLE CRONOLÓGICO'!$A$2:$A$4919,0)+$E1733-1)</f>
        <v/>
      </c>
      <c r="I1733" s="5">
        <f>IFERROR(SUMIFS('DETALLE CRONOLÓGICO'!$L$2:$L$4919,'DETALLE CRONOLÓGICO'!$A$2:$A$4919,$A1733)/$F1733,"")</f>
        <v/>
      </c>
      <c r="J1733" s="6">
        <f>IFERROR(SUMIFS('DETALLE CRONOLÓGICO'!$K$2:$K$4919,'DETALLE CRONOLÓGICO'!$A$2:$A$4919,$A1733)/$E1733,"")</f>
        <v/>
      </c>
      <c r="K1733" s="6">
        <f>_xlfn.MINIFS('DETALLE CRONOLÓGICO'!$K$2:$K$4919,'DETALLE CRONOLÓGICO'!$A$2:$A$4919,$A1733)</f>
        <v/>
      </c>
      <c r="L1733" s="6">
        <f>_xlfn.MAXIFS('DETALLE CRONOLÓGICO'!$K$2:$K$4919,'DETALLE CRONOLÓGICO'!$A$2:$A$4919,$A1733)</f>
        <v/>
      </c>
      <c r="M1733" s="6">
        <f>INDEX('DETALLE CRONOLÓGICO'!$K$2:$K$4919,MATCH($A1733,'DETALLE CRONOLÓGICO'!$A$2:$A$4919,0)+$E1733-1)</f>
        <v/>
      </c>
      <c r="N1733" s="7">
        <f>IFERROR($M1733/INDEX('DETALLE CRONOLÓGICO'!$K$2:$K$4919,MATCH($A1733,'DETALLE CRONOLÓGICO'!$A$2:$A$4919,0))-1,"")</f>
        <v/>
      </c>
      <c r="O1733" s="6">
        <f>IFERROR($I1733*3,"")</f>
        <v/>
      </c>
      <c r="P1733" s="6">
        <f>IFERROR($I1733*3.5,"")</f>
        <v/>
      </c>
      <c r="Q1733" s="6">
        <f>IFERROR($I1733*4,"")</f>
        <v/>
      </c>
      <c r="R1733" s="6" t="n">
        <v>0</v>
      </c>
      <c r="S1733" s="4" t="n">
        <v>0</v>
      </c>
      <c r="T1733" s="1" t="inlineStr">
        <is>
          <t>draft</t>
        </is>
      </c>
      <c r="U1733" s="8" t="n"/>
      <c r="V1733" s="1" t="inlineStr">
        <is>
          <t>SIN PRECIO</t>
        </is>
      </c>
    </row>
    <row r="1734">
      <c r="A1734" s="1" t="inlineStr">
        <is>
          <t>68089821479917</t>
        </is>
      </c>
      <c r="B1734" s="1" t="inlineStr">
        <is>
          <t>PULSERA T BEAN SILVER ZIRCONIAS</t>
        </is>
      </c>
      <c r="C1734" s="1" t="inlineStr">
        <is>
          <t>Default Title</t>
        </is>
      </c>
      <c r="D1734" s="1" t="inlineStr">
        <is>
          <t>NANCY</t>
        </is>
      </c>
      <c r="E1734" s="4">
        <f>COUNTIF('DETALLE CRONOLÓGICO'!$A$2:$A$4919,$A1734)</f>
        <v/>
      </c>
      <c r="F1734" s="4">
        <f>SUMIFS('DETALLE CRONOLÓGICO'!$I$2:$I$4919,'DETALLE CRONOLÓGICO'!$A$2:$A$4919,$A1734)</f>
        <v/>
      </c>
      <c r="G1734" s="1">
        <f>INDEX('DETALLE CRONOLÓGICO'!$D$2:$D$4919,MATCH($A1734,'DETALLE CRONOLÓGICO'!$A$2:$A$4919,0))</f>
        <v/>
      </c>
      <c r="H1734" s="1">
        <f>INDEX('DETALLE CRONOLÓGICO'!$D$2:$D$4919,MATCH($A1734,'DETALLE CRONOLÓGICO'!$A$2:$A$4919,0)+$E1734-1)</f>
        <v/>
      </c>
      <c r="I1734" s="5">
        <f>IFERROR(SUMIFS('DETALLE CRONOLÓGICO'!$L$2:$L$4919,'DETALLE CRONOLÓGICO'!$A$2:$A$4919,$A1734)/$F1734,"")</f>
        <v/>
      </c>
      <c r="J1734" s="6">
        <f>IFERROR(SUMIFS('DETALLE CRONOLÓGICO'!$K$2:$K$4919,'DETALLE CRONOLÓGICO'!$A$2:$A$4919,$A1734)/$E1734,"")</f>
        <v/>
      </c>
      <c r="K1734" s="6">
        <f>_xlfn.MINIFS('DETALLE CRONOLÓGICO'!$K$2:$K$4919,'DETALLE CRONOLÓGICO'!$A$2:$A$4919,$A1734)</f>
        <v/>
      </c>
      <c r="L1734" s="6">
        <f>_xlfn.MAXIFS('DETALLE CRONOLÓGICO'!$K$2:$K$4919,'DETALLE CRONOLÓGICO'!$A$2:$A$4919,$A1734)</f>
        <v/>
      </c>
      <c r="M1734" s="6">
        <f>INDEX('DETALLE CRONOLÓGICO'!$K$2:$K$4919,MATCH($A1734,'DETALLE CRONOLÓGICO'!$A$2:$A$4919,0)+$E1734-1)</f>
        <v/>
      </c>
      <c r="N1734" s="7">
        <f>IFERROR($M1734/INDEX('DETALLE CRONOLÓGICO'!$K$2:$K$4919,MATCH($A1734,'DETALLE CRONOLÓGICO'!$A$2:$A$4919,0))-1,"")</f>
        <v/>
      </c>
      <c r="O1734" s="6">
        <f>IFERROR($I1734*3,"")</f>
        <v/>
      </c>
      <c r="P1734" s="6">
        <f>IFERROR($I1734*3.5,"")</f>
        <v/>
      </c>
      <c r="Q1734" s="6">
        <f>IFERROR($I1734*4,"")</f>
        <v/>
      </c>
      <c r="R1734" s="6" t="n">
        <v>0</v>
      </c>
      <c r="S1734" s="4" t="n">
        <v>0</v>
      </c>
      <c r="T1734" s="1" t="inlineStr">
        <is>
          <t>draft</t>
        </is>
      </c>
      <c r="U1734" s="8" t="n"/>
      <c r="V1734" s="1" t="inlineStr">
        <is>
          <t>SIN PRECIO</t>
        </is>
      </c>
    </row>
    <row r="1735">
      <c r="A1735" s="1" t="inlineStr">
        <is>
          <t>68089821542061</t>
        </is>
      </c>
      <c r="B1735" s="1" t="inlineStr">
        <is>
          <t>COLLAR T SIXTEEN STONE SILVER BLUE</t>
        </is>
      </c>
      <c r="C1735" s="1" t="inlineStr">
        <is>
          <t>Default Title</t>
        </is>
      </c>
      <c r="D1735" s="1" t="inlineStr">
        <is>
          <t>NANCY</t>
        </is>
      </c>
      <c r="E1735" s="4">
        <f>COUNTIF('DETALLE CRONOLÓGICO'!$A$2:$A$4919,$A1735)</f>
        <v/>
      </c>
      <c r="F1735" s="4">
        <f>SUMIFS('DETALLE CRONOLÓGICO'!$I$2:$I$4919,'DETALLE CRONOLÓGICO'!$A$2:$A$4919,$A1735)</f>
        <v/>
      </c>
      <c r="G1735" s="1">
        <f>INDEX('DETALLE CRONOLÓGICO'!$D$2:$D$4919,MATCH($A1735,'DETALLE CRONOLÓGICO'!$A$2:$A$4919,0))</f>
        <v/>
      </c>
      <c r="H1735" s="1">
        <f>INDEX('DETALLE CRONOLÓGICO'!$D$2:$D$4919,MATCH($A1735,'DETALLE CRONOLÓGICO'!$A$2:$A$4919,0)+$E1735-1)</f>
        <v/>
      </c>
      <c r="I1735" s="5">
        <f>IFERROR(SUMIFS('DETALLE CRONOLÓGICO'!$L$2:$L$4919,'DETALLE CRONOLÓGICO'!$A$2:$A$4919,$A1735)/$F1735,"")</f>
        <v/>
      </c>
      <c r="J1735" s="6">
        <f>IFERROR(SUMIFS('DETALLE CRONOLÓGICO'!$K$2:$K$4919,'DETALLE CRONOLÓGICO'!$A$2:$A$4919,$A1735)/$E1735,"")</f>
        <v/>
      </c>
      <c r="K1735" s="6">
        <f>_xlfn.MINIFS('DETALLE CRONOLÓGICO'!$K$2:$K$4919,'DETALLE CRONOLÓGICO'!$A$2:$A$4919,$A1735)</f>
        <v/>
      </c>
      <c r="L1735" s="6">
        <f>_xlfn.MAXIFS('DETALLE CRONOLÓGICO'!$K$2:$K$4919,'DETALLE CRONOLÓGICO'!$A$2:$A$4919,$A1735)</f>
        <v/>
      </c>
      <c r="M1735" s="6">
        <f>INDEX('DETALLE CRONOLÓGICO'!$K$2:$K$4919,MATCH($A1735,'DETALLE CRONOLÓGICO'!$A$2:$A$4919,0)+$E1735-1)</f>
        <v/>
      </c>
      <c r="N1735" s="7">
        <f>IFERROR($M1735/INDEX('DETALLE CRONOLÓGICO'!$K$2:$K$4919,MATCH($A1735,'DETALLE CRONOLÓGICO'!$A$2:$A$4919,0))-1,"")</f>
        <v/>
      </c>
      <c r="O1735" s="6">
        <f>IFERROR($I1735*3,"")</f>
        <v/>
      </c>
      <c r="P1735" s="6">
        <f>IFERROR($I1735*3.5,"")</f>
        <v/>
      </c>
      <c r="Q1735" s="6">
        <f>IFERROR($I1735*4,"")</f>
        <v/>
      </c>
      <c r="R1735" s="6" t="n">
        <v>0</v>
      </c>
      <c r="S1735" s="4" t="n">
        <v>2</v>
      </c>
      <c r="T1735" s="1" t="inlineStr">
        <is>
          <t>draft</t>
        </is>
      </c>
      <c r="U1735" s="8" t="n"/>
      <c r="V1735" s="1" t="inlineStr">
        <is>
          <t>SIN PRECIO</t>
        </is>
      </c>
    </row>
    <row r="1736">
      <c r="A1736" s="1" t="inlineStr">
        <is>
          <t>68089821636973</t>
        </is>
      </c>
      <c r="B1736" s="1" t="inlineStr">
        <is>
          <t>COLLAR T PALOMA PICASSO</t>
        </is>
      </c>
      <c r="C1736" s="1" t="inlineStr">
        <is>
          <t>Default Title</t>
        </is>
      </c>
      <c r="D1736" s="1" t="inlineStr">
        <is>
          <t>NANCY</t>
        </is>
      </c>
      <c r="E1736" s="4">
        <f>COUNTIF('DETALLE CRONOLÓGICO'!$A$2:$A$4919,$A1736)</f>
        <v/>
      </c>
      <c r="F1736" s="4">
        <f>SUMIFS('DETALLE CRONOLÓGICO'!$I$2:$I$4919,'DETALLE CRONOLÓGICO'!$A$2:$A$4919,$A1736)</f>
        <v/>
      </c>
      <c r="G1736" s="1">
        <f>INDEX('DETALLE CRONOLÓGICO'!$D$2:$D$4919,MATCH($A1736,'DETALLE CRONOLÓGICO'!$A$2:$A$4919,0))</f>
        <v/>
      </c>
      <c r="H1736" s="1">
        <f>INDEX('DETALLE CRONOLÓGICO'!$D$2:$D$4919,MATCH($A1736,'DETALLE CRONOLÓGICO'!$A$2:$A$4919,0)+$E1736-1)</f>
        <v/>
      </c>
      <c r="I1736" s="5">
        <f>IFERROR(SUMIFS('DETALLE CRONOLÓGICO'!$L$2:$L$4919,'DETALLE CRONOLÓGICO'!$A$2:$A$4919,$A1736)/$F1736,"")</f>
        <v/>
      </c>
      <c r="J1736" s="6">
        <f>IFERROR(SUMIFS('DETALLE CRONOLÓGICO'!$K$2:$K$4919,'DETALLE CRONOLÓGICO'!$A$2:$A$4919,$A1736)/$E1736,"")</f>
        <v/>
      </c>
      <c r="K1736" s="6">
        <f>_xlfn.MINIFS('DETALLE CRONOLÓGICO'!$K$2:$K$4919,'DETALLE CRONOLÓGICO'!$A$2:$A$4919,$A1736)</f>
        <v/>
      </c>
      <c r="L1736" s="6">
        <f>_xlfn.MAXIFS('DETALLE CRONOLÓGICO'!$K$2:$K$4919,'DETALLE CRONOLÓGICO'!$A$2:$A$4919,$A1736)</f>
        <v/>
      </c>
      <c r="M1736" s="6">
        <f>INDEX('DETALLE CRONOLÓGICO'!$K$2:$K$4919,MATCH($A1736,'DETALLE CRONOLÓGICO'!$A$2:$A$4919,0)+$E1736-1)</f>
        <v/>
      </c>
      <c r="N1736" s="7">
        <f>IFERROR($M1736/INDEX('DETALLE CRONOLÓGICO'!$K$2:$K$4919,MATCH($A1736,'DETALLE CRONOLÓGICO'!$A$2:$A$4919,0))-1,"")</f>
        <v/>
      </c>
      <c r="O1736" s="6">
        <f>IFERROR($I1736*3,"")</f>
        <v/>
      </c>
      <c r="P1736" s="6">
        <f>IFERROR($I1736*3.5,"")</f>
        <v/>
      </c>
      <c r="Q1736" s="6">
        <f>IFERROR($I1736*4,"")</f>
        <v/>
      </c>
      <c r="R1736" s="6" t="n">
        <v>0</v>
      </c>
      <c r="S1736" s="4" t="n">
        <v>2</v>
      </c>
      <c r="T1736" s="1" t="inlineStr">
        <is>
          <t>draft</t>
        </is>
      </c>
      <c r="U1736" s="8" t="n"/>
      <c r="V1736" s="1" t="inlineStr">
        <is>
          <t>SIN PRECIO</t>
        </is>
      </c>
    </row>
    <row r="1737">
      <c r="A1737" s="1" t="inlineStr">
        <is>
          <t>68089821735277</t>
        </is>
      </c>
      <c r="B1737" s="1" t="inlineStr">
        <is>
          <t>COLLAR T TIPO LAZO OPEN HEART ROSE GOLD</t>
        </is>
      </c>
      <c r="C1737" s="1" t="inlineStr">
        <is>
          <t>Default Title</t>
        </is>
      </c>
      <c r="D1737" s="1" t="inlineStr">
        <is>
          <t>NANCY</t>
        </is>
      </c>
      <c r="E1737" s="4">
        <f>COUNTIF('DETALLE CRONOLÓGICO'!$A$2:$A$4919,$A1737)</f>
        <v/>
      </c>
      <c r="F1737" s="4">
        <f>SUMIFS('DETALLE CRONOLÓGICO'!$I$2:$I$4919,'DETALLE CRONOLÓGICO'!$A$2:$A$4919,$A1737)</f>
        <v/>
      </c>
      <c r="G1737" s="1">
        <f>INDEX('DETALLE CRONOLÓGICO'!$D$2:$D$4919,MATCH($A1737,'DETALLE CRONOLÓGICO'!$A$2:$A$4919,0))</f>
        <v/>
      </c>
      <c r="H1737" s="1">
        <f>INDEX('DETALLE CRONOLÓGICO'!$D$2:$D$4919,MATCH($A1737,'DETALLE CRONOLÓGICO'!$A$2:$A$4919,0)+$E1737-1)</f>
        <v/>
      </c>
      <c r="I1737" s="5">
        <f>IFERROR(SUMIFS('DETALLE CRONOLÓGICO'!$L$2:$L$4919,'DETALLE CRONOLÓGICO'!$A$2:$A$4919,$A1737)/$F1737,"")</f>
        <v/>
      </c>
      <c r="J1737" s="6">
        <f>IFERROR(SUMIFS('DETALLE CRONOLÓGICO'!$K$2:$K$4919,'DETALLE CRONOLÓGICO'!$A$2:$A$4919,$A1737)/$E1737,"")</f>
        <v/>
      </c>
      <c r="K1737" s="6">
        <f>_xlfn.MINIFS('DETALLE CRONOLÓGICO'!$K$2:$K$4919,'DETALLE CRONOLÓGICO'!$A$2:$A$4919,$A1737)</f>
        <v/>
      </c>
      <c r="L1737" s="6">
        <f>_xlfn.MAXIFS('DETALLE CRONOLÓGICO'!$K$2:$K$4919,'DETALLE CRONOLÓGICO'!$A$2:$A$4919,$A1737)</f>
        <v/>
      </c>
      <c r="M1737" s="6">
        <f>INDEX('DETALLE CRONOLÓGICO'!$K$2:$K$4919,MATCH($A1737,'DETALLE CRONOLÓGICO'!$A$2:$A$4919,0)+$E1737-1)</f>
        <v/>
      </c>
      <c r="N1737" s="7">
        <f>IFERROR($M1737/INDEX('DETALLE CRONOLÓGICO'!$K$2:$K$4919,MATCH($A1737,'DETALLE CRONOLÓGICO'!$A$2:$A$4919,0))-1,"")</f>
        <v/>
      </c>
      <c r="O1737" s="6">
        <f>IFERROR($I1737*3,"")</f>
        <v/>
      </c>
      <c r="P1737" s="6">
        <f>IFERROR($I1737*3.5,"")</f>
        <v/>
      </c>
      <c r="Q1737" s="6">
        <f>IFERROR($I1737*4,"")</f>
        <v/>
      </c>
      <c r="R1737" s="6" t="n">
        <v>0</v>
      </c>
      <c r="S1737" s="4" t="n">
        <v>2</v>
      </c>
      <c r="T1737" s="1" t="inlineStr">
        <is>
          <t>draft</t>
        </is>
      </c>
      <c r="U1737" s="8" t="n"/>
      <c r="V1737" s="1" t="inlineStr">
        <is>
          <t>SIN PRECIO</t>
        </is>
      </c>
    </row>
    <row r="1738">
      <c r="A1738" s="1" t="inlineStr">
        <is>
          <t>68089821833581</t>
        </is>
      </c>
      <c r="B1738" s="1" t="inlineStr">
        <is>
          <t>ARETES T LOCK ALL GOLD</t>
        </is>
      </c>
      <c r="C1738" s="1" t="inlineStr">
        <is>
          <t>Default Title</t>
        </is>
      </c>
      <c r="D1738" s="1" t="inlineStr">
        <is>
          <t>NANCY</t>
        </is>
      </c>
      <c r="E1738" s="4">
        <f>COUNTIF('DETALLE CRONOLÓGICO'!$A$2:$A$4919,$A1738)</f>
        <v/>
      </c>
      <c r="F1738" s="4">
        <f>SUMIFS('DETALLE CRONOLÓGICO'!$I$2:$I$4919,'DETALLE CRONOLÓGICO'!$A$2:$A$4919,$A1738)</f>
        <v/>
      </c>
      <c r="G1738" s="1">
        <f>INDEX('DETALLE CRONOLÓGICO'!$D$2:$D$4919,MATCH($A1738,'DETALLE CRONOLÓGICO'!$A$2:$A$4919,0))</f>
        <v/>
      </c>
      <c r="H1738" s="1">
        <f>INDEX('DETALLE CRONOLÓGICO'!$D$2:$D$4919,MATCH($A1738,'DETALLE CRONOLÓGICO'!$A$2:$A$4919,0)+$E1738-1)</f>
        <v/>
      </c>
      <c r="I1738" s="5">
        <f>IFERROR(SUMIFS('DETALLE CRONOLÓGICO'!$L$2:$L$4919,'DETALLE CRONOLÓGICO'!$A$2:$A$4919,$A1738)/$F1738,"")</f>
        <v/>
      </c>
      <c r="J1738" s="6">
        <f>IFERROR(SUMIFS('DETALLE CRONOLÓGICO'!$K$2:$K$4919,'DETALLE CRONOLÓGICO'!$A$2:$A$4919,$A1738)/$E1738,"")</f>
        <v/>
      </c>
      <c r="K1738" s="6">
        <f>_xlfn.MINIFS('DETALLE CRONOLÓGICO'!$K$2:$K$4919,'DETALLE CRONOLÓGICO'!$A$2:$A$4919,$A1738)</f>
        <v/>
      </c>
      <c r="L1738" s="6">
        <f>_xlfn.MAXIFS('DETALLE CRONOLÓGICO'!$K$2:$K$4919,'DETALLE CRONOLÓGICO'!$A$2:$A$4919,$A1738)</f>
        <v/>
      </c>
      <c r="M1738" s="6">
        <f>INDEX('DETALLE CRONOLÓGICO'!$K$2:$K$4919,MATCH($A1738,'DETALLE CRONOLÓGICO'!$A$2:$A$4919,0)+$E1738-1)</f>
        <v/>
      </c>
      <c r="N1738" s="7">
        <f>IFERROR($M1738/INDEX('DETALLE CRONOLÓGICO'!$K$2:$K$4919,MATCH($A1738,'DETALLE CRONOLÓGICO'!$A$2:$A$4919,0))-1,"")</f>
        <v/>
      </c>
      <c r="O1738" s="6">
        <f>IFERROR($I1738*3,"")</f>
        <v/>
      </c>
      <c r="P1738" s="6">
        <f>IFERROR($I1738*3.5,"")</f>
        <v/>
      </c>
      <c r="Q1738" s="6">
        <f>IFERROR($I1738*4,"")</f>
        <v/>
      </c>
      <c r="R1738" s="6" t="n">
        <v>0</v>
      </c>
      <c r="S1738" s="4" t="n">
        <v>2</v>
      </c>
      <c r="T1738" s="1" t="inlineStr">
        <is>
          <t>draft</t>
        </is>
      </c>
      <c r="U1738" s="8" t="n"/>
      <c r="V1738" s="1" t="inlineStr">
        <is>
          <t>SIN PRECIO</t>
        </is>
      </c>
    </row>
    <row r="1739">
      <c r="A1739" s="1" t="inlineStr">
        <is>
          <t>68089821931885</t>
        </is>
      </c>
      <c r="B1739" s="1" t="inlineStr">
        <is>
          <t>ARRACADAS SIXTEEN STONE</t>
        </is>
      </c>
      <c r="C1739" s="1" t="inlineStr">
        <is>
          <t>Default Title</t>
        </is>
      </c>
      <c r="D1739" s="1" t="inlineStr">
        <is>
          <t>NANCY</t>
        </is>
      </c>
      <c r="E1739" s="4">
        <f>COUNTIF('DETALLE CRONOLÓGICO'!$A$2:$A$4919,$A1739)</f>
        <v/>
      </c>
      <c r="F1739" s="4">
        <f>SUMIFS('DETALLE CRONOLÓGICO'!$I$2:$I$4919,'DETALLE CRONOLÓGICO'!$A$2:$A$4919,$A1739)</f>
        <v/>
      </c>
      <c r="G1739" s="1">
        <f>INDEX('DETALLE CRONOLÓGICO'!$D$2:$D$4919,MATCH($A1739,'DETALLE CRONOLÓGICO'!$A$2:$A$4919,0))</f>
        <v/>
      </c>
      <c r="H1739" s="1">
        <f>INDEX('DETALLE CRONOLÓGICO'!$D$2:$D$4919,MATCH($A1739,'DETALLE CRONOLÓGICO'!$A$2:$A$4919,0)+$E1739-1)</f>
        <v/>
      </c>
      <c r="I1739" s="5">
        <f>IFERROR(SUMIFS('DETALLE CRONOLÓGICO'!$L$2:$L$4919,'DETALLE CRONOLÓGICO'!$A$2:$A$4919,$A1739)/$F1739,"")</f>
        <v/>
      </c>
      <c r="J1739" s="6">
        <f>IFERROR(SUMIFS('DETALLE CRONOLÓGICO'!$K$2:$K$4919,'DETALLE CRONOLÓGICO'!$A$2:$A$4919,$A1739)/$E1739,"")</f>
        <v/>
      </c>
      <c r="K1739" s="6">
        <f>_xlfn.MINIFS('DETALLE CRONOLÓGICO'!$K$2:$K$4919,'DETALLE CRONOLÓGICO'!$A$2:$A$4919,$A1739)</f>
        <v/>
      </c>
      <c r="L1739" s="6">
        <f>_xlfn.MAXIFS('DETALLE CRONOLÓGICO'!$K$2:$K$4919,'DETALLE CRONOLÓGICO'!$A$2:$A$4919,$A1739)</f>
        <v/>
      </c>
      <c r="M1739" s="6">
        <f>INDEX('DETALLE CRONOLÓGICO'!$K$2:$K$4919,MATCH($A1739,'DETALLE CRONOLÓGICO'!$A$2:$A$4919,0)+$E1739-1)</f>
        <v/>
      </c>
      <c r="N1739" s="7">
        <f>IFERROR($M1739/INDEX('DETALLE CRONOLÓGICO'!$K$2:$K$4919,MATCH($A1739,'DETALLE CRONOLÓGICO'!$A$2:$A$4919,0))-1,"")</f>
        <v/>
      </c>
      <c r="O1739" s="6">
        <f>IFERROR($I1739*3,"")</f>
        <v/>
      </c>
      <c r="P1739" s="6">
        <f>IFERROR($I1739*3.5,"")</f>
        <v/>
      </c>
      <c r="Q1739" s="6">
        <f>IFERROR($I1739*4,"")</f>
        <v/>
      </c>
      <c r="R1739" s="6" t="n">
        <v>0</v>
      </c>
      <c r="S1739" s="4" t="n">
        <v>2</v>
      </c>
      <c r="T1739" s="1" t="inlineStr">
        <is>
          <t>draft</t>
        </is>
      </c>
      <c r="U1739" s="8" t="n"/>
      <c r="V1739" s="1" t="inlineStr">
        <is>
          <t>SIN PRECIO</t>
        </is>
      </c>
    </row>
    <row r="1740">
      <c r="A1740" s="1" t="inlineStr">
        <is>
          <t>68089822030189</t>
        </is>
      </c>
      <c r="B1740" s="1" t="inlineStr">
        <is>
          <t>ARETES T LOCK ROSE GOLD</t>
        </is>
      </c>
      <c r="C1740" s="1" t="inlineStr">
        <is>
          <t>Default Title</t>
        </is>
      </c>
      <c r="D1740" s="1" t="inlineStr">
        <is>
          <t>NANCY</t>
        </is>
      </c>
      <c r="E1740" s="4">
        <f>COUNTIF('DETALLE CRONOLÓGICO'!$A$2:$A$4919,$A1740)</f>
        <v/>
      </c>
      <c r="F1740" s="4">
        <f>SUMIFS('DETALLE CRONOLÓGICO'!$I$2:$I$4919,'DETALLE CRONOLÓGICO'!$A$2:$A$4919,$A1740)</f>
        <v/>
      </c>
      <c r="G1740" s="1">
        <f>INDEX('DETALLE CRONOLÓGICO'!$D$2:$D$4919,MATCH($A1740,'DETALLE CRONOLÓGICO'!$A$2:$A$4919,0))</f>
        <v/>
      </c>
      <c r="H1740" s="1">
        <f>INDEX('DETALLE CRONOLÓGICO'!$D$2:$D$4919,MATCH($A1740,'DETALLE CRONOLÓGICO'!$A$2:$A$4919,0)+$E1740-1)</f>
        <v/>
      </c>
      <c r="I1740" s="5">
        <f>IFERROR(SUMIFS('DETALLE CRONOLÓGICO'!$L$2:$L$4919,'DETALLE CRONOLÓGICO'!$A$2:$A$4919,$A1740)/$F1740,"")</f>
        <v/>
      </c>
      <c r="J1740" s="6">
        <f>IFERROR(SUMIFS('DETALLE CRONOLÓGICO'!$K$2:$K$4919,'DETALLE CRONOLÓGICO'!$A$2:$A$4919,$A1740)/$E1740,"")</f>
        <v/>
      </c>
      <c r="K1740" s="6">
        <f>_xlfn.MINIFS('DETALLE CRONOLÓGICO'!$K$2:$K$4919,'DETALLE CRONOLÓGICO'!$A$2:$A$4919,$A1740)</f>
        <v/>
      </c>
      <c r="L1740" s="6">
        <f>_xlfn.MAXIFS('DETALLE CRONOLÓGICO'!$K$2:$K$4919,'DETALLE CRONOLÓGICO'!$A$2:$A$4919,$A1740)</f>
        <v/>
      </c>
      <c r="M1740" s="6">
        <f>INDEX('DETALLE CRONOLÓGICO'!$K$2:$K$4919,MATCH($A1740,'DETALLE CRONOLÓGICO'!$A$2:$A$4919,0)+$E1740-1)</f>
        <v/>
      </c>
      <c r="N1740" s="7">
        <f>IFERROR($M1740/INDEX('DETALLE CRONOLÓGICO'!$K$2:$K$4919,MATCH($A1740,'DETALLE CRONOLÓGICO'!$A$2:$A$4919,0))-1,"")</f>
        <v/>
      </c>
      <c r="O1740" s="6">
        <f>IFERROR($I1740*3,"")</f>
        <v/>
      </c>
      <c r="P1740" s="6">
        <f>IFERROR($I1740*3.5,"")</f>
        <v/>
      </c>
      <c r="Q1740" s="6">
        <f>IFERROR($I1740*4,"")</f>
        <v/>
      </c>
      <c r="R1740" s="6" t="n">
        <v>0</v>
      </c>
      <c r="S1740" s="4" t="n">
        <v>2</v>
      </c>
      <c r="T1740" s="1" t="inlineStr">
        <is>
          <t>draft</t>
        </is>
      </c>
      <c r="U1740" s="8" t="n"/>
      <c r="V1740" s="1" t="inlineStr">
        <is>
          <t>SIN PRECIO</t>
        </is>
      </c>
    </row>
    <row r="1741">
      <c r="A1741" s="1" t="inlineStr">
        <is>
          <t>68089822125101</t>
        </is>
      </c>
      <c r="B1741" s="1" t="inlineStr">
        <is>
          <t>ARETES T LOCK ROSE GOLD HALF ZIRCONIAS</t>
        </is>
      </c>
      <c r="C1741" s="1" t="inlineStr">
        <is>
          <t>Default Title</t>
        </is>
      </c>
      <c r="D1741" s="1" t="inlineStr">
        <is>
          <t>NANCY</t>
        </is>
      </c>
      <c r="E1741" s="4">
        <f>COUNTIF('DETALLE CRONOLÓGICO'!$A$2:$A$4919,$A1741)</f>
        <v/>
      </c>
      <c r="F1741" s="4">
        <f>SUMIFS('DETALLE CRONOLÓGICO'!$I$2:$I$4919,'DETALLE CRONOLÓGICO'!$A$2:$A$4919,$A1741)</f>
        <v/>
      </c>
      <c r="G1741" s="1">
        <f>INDEX('DETALLE CRONOLÓGICO'!$D$2:$D$4919,MATCH($A1741,'DETALLE CRONOLÓGICO'!$A$2:$A$4919,0))</f>
        <v/>
      </c>
      <c r="H1741" s="1">
        <f>INDEX('DETALLE CRONOLÓGICO'!$D$2:$D$4919,MATCH($A1741,'DETALLE CRONOLÓGICO'!$A$2:$A$4919,0)+$E1741-1)</f>
        <v/>
      </c>
      <c r="I1741" s="5">
        <f>IFERROR(SUMIFS('DETALLE CRONOLÓGICO'!$L$2:$L$4919,'DETALLE CRONOLÓGICO'!$A$2:$A$4919,$A1741)/$F1741,"")</f>
        <v/>
      </c>
      <c r="J1741" s="6">
        <f>IFERROR(SUMIFS('DETALLE CRONOLÓGICO'!$K$2:$K$4919,'DETALLE CRONOLÓGICO'!$A$2:$A$4919,$A1741)/$E1741,"")</f>
        <v/>
      </c>
      <c r="K1741" s="6">
        <f>_xlfn.MINIFS('DETALLE CRONOLÓGICO'!$K$2:$K$4919,'DETALLE CRONOLÓGICO'!$A$2:$A$4919,$A1741)</f>
        <v/>
      </c>
      <c r="L1741" s="6">
        <f>_xlfn.MAXIFS('DETALLE CRONOLÓGICO'!$K$2:$K$4919,'DETALLE CRONOLÓGICO'!$A$2:$A$4919,$A1741)</f>
        <v/>
      </c>
      <c r="M1741" s="6">
        <f>INDEX('DETALLE CRONOLÓGICO'!$K$2:$K$4919,MATCH($A1741,'DETALLE CRONOLÓGICO'!$A$2:$A$4919,0)+$E1741-1)</f>
        <v/>
      </c>
      <c r="N1741" s="7">
        <f>IFERROR($M1741/INDEX('DETALLE CRONOLÓGICO'!$K$2:$K$4919,MATCH($A1741,'DETALLE CRONOLÓGICO'!$A$2:$A$4919,0))-1,"")</f>
        <v/>
      </c>
      <c r="O1741" s="6">
        <f>IFERROR($I1741*3,"")</f>
        <v/>
      </c>
      <c r="P1741" s="6">
        <f>IFERROR($I1741*3.5,"")</f>
        <v/>
      </c>
      <c r="Q1741" s="6">
        <f>IFERROR($I1741*4,"")</f>
        <v/>
      </c>
      <c r="R1741" s="6" t="n">
        <v>0</v>
      </c>
      <c r="S1741" s="4" t="n">
        <v>2</v>
      </c>
      <c r="T1741" s="1" t="inlineStr">
        <is>
          <t>draft</t>
        </is>
      </c>
      <c r="U1741" s="8" t="n"/>
      <c r="V1741" s="1" t="inlineStr">
        <is>
          <t>SIN PRECIO</t>
        </is>
      </c>
    </row>
    <row r="1742">
      <c r="A1742" s="1" t="inlineStr">
        <is>
          <t>68089822295725</t>
        </is>
      </c>
      <c r="B1742" s="1" t="inlineStr">
        <is>
          <t>ARETES T LOCK SILVER</t>
        </is>
      </c>
      <c r="C1742" s="1" t="inlineStr">
        <is>
          <t>Default Title</t>
        </is>
      </c>
      <c r="D1742" s="1" t="inlineStr">
        <is>
          <t>NANCY</t>
        </is>
      </c>
      <c r="E1742" s="4">
        <f>COUNTIF('DETALLE CRONOLÓGICO'!$A$2:$A$4919,$A1742)</f>
        <v/>
      </c>
      <c r="F1742" s="4">
        <f>SUMIFS('DETALLE CRONOLÓGICO'!$I$2:$I$4919,'DETALLE CRONOLÓGICO'!$A$2:$A$4919,$A1742)</f>
        <v/>
      </c>
      <c r="G1742" s="1">
        <f>INDEX('DETALLE CRONOLÓGICO'!$D$2:$D$4919,MATCH($A1742,'DETALLE CRONOLÓGICO'!$A$2:$A$4919,0))</f>
        <v/>
      </c>
      <c r="H1742" s="1">
        <f>INDEX('DETALLE CRONOLÓGICO'!$D$2:$D$4919,MATCH($A1742,'DETALLE CRONOLÓGICO'!$A$2:$A$4919,0)+$E1742-1)</f>
        <v/>
      </c>
      <c r="I1742" s="5">
        <f>IFERROR(SUMIFS('DETALLE CRONOLÓGICO'!$L$2:$L$4919,'DETALLE CRONOLÓGICO'!$A$2:$A$4919,$A1742)/$F1742,"")</f>
        <v/>
      </c>
      <c r="J1742" s="6">
        <f>IFERROR(SUMIFS('DETALLE CRONOLÓGICO'!$K$2:$K$4919,'DETALLE CRONOLÓGICO'!$A$2:$A$4919,$A1742)/$E1742,"")</f>
        <v/>
      </c>
      <c r="K1742" s="6">
        <f>_xlfn.MINIFS('DETALLE CRONOLÓGICO'!$K$2:$K$4919,'DETALLE CRONOLÓGICO'!$A$2:$A$4919,$A1742)</f>
        <v/>
      </c>
      <c r="L1742" s="6">
        <f>_xlfn.MAXIFS('DETALLE CRONOLÓGICO'!$K$2:$K$4919,'DETALLE CRONOLÓGICO'!$A$2:$A$4919,$A1742)</f>
        <v/>
      </c>
      <c r="M1742" s="6">
        <f>INDEX('DETALLE CRONOLÓGICO'!$K$2:$K$4919,MATCH($A1742,'DETALLE CRONOLÓGICO'!$A$2:$A$4919,0)+$E1742-1)</f>
        <v/>
      </c>
      <c r="N1742" s="7">
        <f>IFERROR($M1742/INDEX('DETALLE CRONOLÓGICO'!$K$2:$K$4919,MATCH($A1742,'DETALLE CRONOLÓGICO'!$A$2:$A$4919,0))-1,"")</f>
        <v/>
      </c>
      <c r="O1742" s="6">
        <f>IFERROR($I1742*3,"")</f>
        <v/>
      </c>
      <c r="P1742" s="6">
        <f>IFERROR($I1742*3.5,"")</f>
        <v/>
      </c>
      <c r="Q1742" s="6">
        <f>IFERROR($I1742*4,"")</f>
        <v/>
      </c>
      <c r="R1742" s="6" t="n">
        <v>0</v>
      </c>
      <c r="S1742" s="4" t="n">
        <v>2</v>
      </c>
      <c r="T1742" s="1" t="inlineStr">
        <is>
          <t>draft</t>
        </is>
      </c>
      <c r="U1742" s="8" t="n"/>
      <c r="V1742" s="1" t="inlineStr">
        <is>
          <t>SIN PRECIO</t>
        </is>
      </c>
    </row>
    <row r="1743">
      <c r="A1743" s="1" t="inlineStr">
        <is>
          <t>68089822361261</t>
        </is>
      </c>
      <c r="B1743" s="1" t="inlineStr">
        <is>
          <t>ARETES T LOCK SILVER HALF ZIRCONIAS</t>
        </is>
      </c>
      <c r="C1743" s="1" t="inlineStr">
        <is>
          <t>Default Title</t>
        </is>
      </c>
      <c r="D1743" s="1" t="inlineStr">
        <is>
          <t>NANCY</t>
        </is>
      </c>
      <c r="E1743" s="4">
        <f>COUNTIF('DETALLE CRONOLÓGICO'!$A$2:$A$4919,$A1743)</f>
        <v/>
      </c>
      <c r="F1743" s="4">
        <f>SUMIFS('DETALLE CRONOLÓGICO'!$I$2:$I$4919,'DETALLE CRONOLÓGICO'!$A$2:$A$4919,$A1743)</f>
        <v/>
      </c>
      <c r="G1743" s="1">
        <f>INDEX('DETALLE CRONOLÓGICO'!$D$2:$D$4919,MATCH($A1743,'DETALLE CRONOLÓGICO'!$A$2:$A$4919,0))</f>
        <v/>
      </c>
      <c r="H1743" s="1">
        <f>INDEX('DETALLE CRONOLÓGICO'!$D$2:$D$4919,MATCH($A1743,'DETALLE CRONOLÓGICO'!$A$2:$A$4919,0)+$E1743-1)</f>
        <v/>
      </c>
      <c r="I1743" s="5">
        <f>IFERROR(SUMIFS('DETALLE CRONOLÓGICO'!$L$2:$L$4919,'DETALLE CRONOLÓGICO'!$A$2:$A$4919,$A1743)/$F1743,"")</f>
        <v/>
      </c>
      <c r="J1743" s="6">
        <f>IFERROR(SUMIFS('DETALLE CRONOLÓGICO'!$K$2:$K$4919,'DETALLE CRONOLÓGICO'!$A$2:$A$4919,$A1743)/$E1743,"")</f>
        <v/>
      </c>
      <c r="K1743" s="6">
        <f>_xlfn.MINIFS('DETALLE CRONOLÓGICO'!$K$2:$K$4919,'DETALLE CRONOLÓGICO'!$A$2:$A$4919,$A1743)</f>
        <v/>
      </c>
      <c r="L1743" s="6">
        <f>_xlfn.MAXIFS('DETALLE CRONOLÓGICO'!$K$2:$K$4919,'DETALLE CRONOLÓGICO'!$A$2:$A$4919,$A1743)</f>
        <v/>
      </c>
      <c r="M1743" s="6">
        <f>INDEX('DETALLE CRONOLÓGICO'!$K$2:$K$4919,MATCH($A1743,'DETALLE CRONOLÓGICO'!$A$2:$A$4919,0)+$E1743-1)</f>
        <v/>
      </c>
      <c r="N1743" s="7">
        <f>IFERROR($M1743/INDEX('DETALLE CRONOLÓGICO'!$K$2:$K$4919,MATCH($A1743,'DETALLE CRONOLÓGICO'!$A$2:$A$4919,0))-1,"")</f>
        <v/>
      </c>
      <c r="O1743" s="6">
        <f>IFERROR($I1743*3,"")</f>
        <v/>
      </c>
      <c r="P1743" s="6">
        <f>IFERROR($I1743*3.5,"")</f>
        <v/>
      </c>
      <c r="Q1743" s="6">
        <f>IFERROR($I1743*4,"")</f>
        <v/>
      </c>
      <c r="R1743" s="6" t="n">
        <v>0</v>
      </c>
      <c r="S1743" s="4" t="n">
        <v>2</v>
      </c>
      <c r="T1743" s="1" t="inlineStr">
        <is>
          <t>draft</t>
        </is>
      </c>
      <c r="U1743" s="8" t="n"/>
      <c r="V1743" s="1" t="inlineStr">
        <is>
          <t>SIN PRECIO</t>
        </is>
      </c>
    </row>
    <row r="1744">
      <c r="A1744" s="1" t="inlineStr">
        <is>
          <t>68089822457869</t>
        </is>
      </c>
      <c r="B1744" s="1" t="inlineStr">
        <is>
          <t>ARETES T LOCK GOLD HALF ZIRCONIAS</t>
        </is>
      </c>
      <c r="C1744" s="1" t="inlineStr">
        <is>
          <t>Default Title</t>
        </is>
      </c>
      <c r="D1744" s="1" t="inlineStr">
        <is>
          <t>NANCY</t>
        </is>
      </c>
      <c r="E1744" s="4">
        <f>COUNTIF('DETALLE CRONOLÓGICO'!$A$2:$A$4919,$A1744)</f>
        <v/>
      </c>
      <c r="F1744" s="4">
        <f>SUMIFS('DETALLE CRONOLÓGICO'!$I$2:$I$4919,'DETALLE CRONOLÓGICO'!$A$2:$A$4919,$A1744)</f>
        <v/>
      </c>
      <c r="G1744" s="1">
        <f>INDEX('DETALLE CRONOLÓGICO'!$D$2:$D$4919,MATCH($A1744,'DETALLE CRONOLÓGICO'!$A$2:$A$4919,0))</f>
        <v/>
      </c>
      <c r="H1744" s="1">
        <f>INDEX('DETALLE CRONOLÓGICO'!$D$2:$D$4919,MATCH($A1744,'DETALLE CRONOLÓGICO'!$A$2:$A$4919,0)+$E1744-1)</f>
        <v/>
      </c>
      <c r="I1744" s="5">
        <f>IFERROR(SUMIFS('DETALLE CRONOLÓGICO'!$L$2:$L$4919,'DETALLE CRONOLÓGICO'!$A$2:$A$4919,$A1744)/$F1744,"")</f>
        <v/>
      </c>
      <c r="J1744" s="6">
        <f>IFERROR(SUMIFS('DETALLE CRONOLÓGICO'!$K$2:$K$4919,'DETALLE CRONOLÓGICO'!$A$2:$A$4919,$A1744)/$E1744,"")</f>
        <v/>
      </c>
      <c r="K1744" s="6">
        <f>_xlfn.MINIFS('DETALLE CRONOLÓGICO'!$K$2:$K$4919,'DETALLE CRONOLÓGICO'!$A$2:$A$4919,$A1744)</f>
        <v/>
      </c>
      <c r="L1744" s="6">
        <f>_xlfn.MAXIFS('DETALLE CRONOLÓGICO'!$K$2:$K$4919,'DETALLE CRONOLÓGICO'!$A$2:$A$4919,$A1744)</f>
        <v/>
      </c>
      <c r="M1744" s="6">
        <f>INDEX('DETALLE CRONOLÓGICO'!$K$2:$K$4919,MATCH($A1744,'DETALLE CRONOLÓGICO'!$A$2:$A$4919,0)+$E1744-1)</f>
        <v/>
      </c>
      <c r="N1744" s="7">
        <f>IFERROR($M1744/INDEX('DETALLE CRONOLÓGICO'!$K$2:$K$4919,MATCH($A1744,'DETALLE CRONOLÓGICO'!$A$2:$A$4919,0))-1,"")</f>
        <v/>
      </c>
      <c r="O1744" s="6">
        <f>IFERROR($I1744*3,"")</f>
        <v/>
      </c>
      <c r="P1744" s="6">
        <f>IFERROR($I1744*3.5,"")</f>
        <v/>
      </c>
      <c r="Q1744" s="6">
        <f>IFERROR($I1744*4,"")</f>
        <v/>
      </c>
      <c r="R1744" s="6" t="n">
        <v>0</v>
      </c>
      <c r="S1744" s="4" t="n">
        <v>2</v>
      </c>
      <c r="T1744" s="1" t="inlineStr">
        <is>
          <t>draft</t>
        </is>
      </c>
      <c r="U1744" s="8" t="n"/>
      <c r="V1744" s="1" t="inlineStr">
        <is>
          <t>SIN PRECIO</t>
        </is>
      </c>
    </row>
    <row r="1745">
      <c r="A1745" s="1" t="inlineStr">
        <is>
          <t>68089822523405</t>
        </is>
      </c>
      <c r="B1745" s="1" t="inlineStr">
        <is>
          <t>ARETES T BEAN SILVER ZIRCONIAS</t>
        </is>
      </c>
      <c r="C1745" s="1" t="inlineStr">
        <is>
          <t>Default Title</t>
        </is>
      </c>
      <c r="D1745" s="1" t="inlineStr">
        <is>
          <t>NANCY</t>
        </is>
      </c>
      <c r="E1745" s="4">
        <f>COUNTIF('DETALLE CRONOLÓGICO'!$A$2:$A$4919,$A1745)</f>
        <v/>
      </c>
      <c r="F1745" s="4">
        <f>SUMIFS('DETALLE CRONOLÓGICO'!$I$2:$I$4919,'DETALLE CRONOLÓGICO'!$A$2:$A$4919,$A1745)</f>
        <v/>
      </c>
      <c r="G1745" s="1">
        <f>INDEX('DETALLE CRONOLÓGICO'!$D$2:$D$4919,MATCH($A1745,'DETALLE CRONOLÓGICO'!$A$2:$A$4919,0))</f>
        <v/>
      </c>
      <c r="H1745" s="1">
        <f>INDEX('DETALLE CRONOLÓGICO'!$D$2:$D$4919,MATCH($A1745,'DETALLE CRONOLÓGICO'!$A$2:$A$4919,0)+$E1745-1)</f>
        <v/>
      </c>
      <c r="I1745" s="5">
        <f>IFERROR(SUMIFS('DETALLE CRONOLÓGICO'!$L$2:$L$4919,'DETALLE CRONOLÓGICO'!$A$2:$A$4919,$A1745)/$F1745,"")</f>
        <v/>
      </c>
      <c r="J1745" s="6">
        <f>IFERROR(SUMIFS('DETALLE CRONOLÓGICO'!$K$2:$K$4919,'DETALLE CRONOLÓGICO'!$A$2:$A$4919,$A1745)/$E1745,"")</f>
        <v/>
      </c>
      <c r="K1745" s="6">
        <f>_xlfn.MINIFS('DETALLE CRONOLÓGICO'!$K$2:$K$4919,'DETALLE CRONOLÓGICO'!$A$2:$A$4919,$A1745)</f>
        <v/>
      </c>
      <c r="L1745" s="6">
        <f>_xlfn.MAXIFS('DETALLE CRONOLÓGICO'!$K$2:$K$4919,'DETALLE CRONOLÓGICO'!$A$2:$A$4919,$A1745)</f>
        <v/>
      </c>
      <c r="M1745" s="6">
        <f>INDEX('DETALLE CRONOLÓGICO'!$K$2:$K$4919,MATCH($A1745,'DETALLE CRONOLÓGICO'!$A$2:$A$4919,0)+$E1745-1)</f>
        <v/>
      </c>
      <c r="N1745" s="7">
        <f>IFERROR($M1745/INDEX('DETALLE CRONOLÓGICO'!$K$2:$K$4919,MATCH($A1745,'DETALLE CRONOLÓGICO'!$A$2:$A$4919,0))-1,"")</f>
        <v/>
      </c>
      <c r="O1745" s="6">
        <f>IFERROR($I1745*3,"")</f>
        <v/>
      </c>
      <c r="P1745" s="6">
        <f>IFERROR($I1745*3.5,"")</f>
        <v/>
      </c>
      <c r="Q1745" s="6">
        <f>IFERROR($I1745*4,"")</f>
        <v/>
      </c>
      <c r="R1745" s="6" t="n">
        <v>0</v>
      </c>
      <c r="S1745" s="4" t="n">
        <v>0</v>
      </c>
      <c r="T1745" s="1" t="inlineStr">
        <is>
          <t>draft</t>
        </is>
      </c>
      <c r="U1745" s="8" t="n"/>
      <c r="V1745" s="1" t="inlineStr">
        <is>
          <t>SIN PRECIO</t>
        </is>
      </c>
    </row>
    <row r="1746">
      <c r="A1746" s="1" t="inlineStr">
        <is>
          <t>68089822656173</t>
        </is>
      </c>
      <c r="B1746" s="1" t="inlineStr">
        <is>
          <t>BRAZALETE T 1837</t>
        </is>
      </c>
      <c r="C1746" s="1" t="inlineStr">
        <is>
          <t>Default Title</t>
        </is>
      </c>
      <c r="D1746" s="1" t="inlineStr">
        <is>
          <t>NANCY</t>
        </is>
      </c>
      <c r="E1746" s="4">
        <f>COUNTIF('DETALLE CRONOLÓGICO'!$A$2:$A$4919,$A1746)</f>
        <v/>
      </c>
      <c r="F1746" s="4">
        <f>SUMIFS('DETALLE CRONOLÓGICO'!$I$2:$I$4919,'DETALLE CRONOLÓGICO'!$A$2:$A$4919,$A1746)</f>
        <v/>
      </c>
      <c r="G1746" s="1">
        <f>INDEX('DETALLE CRONOLÓGICO'!$D$2:$D$4919,MATCH($A1746,'DETALLE CRONOLÓGICO'!$A$2:$A$4919,0))</f>
        <v/>
      </c>
      <c r="H1746" s="1">
        <f>INDEX('DETALLE CRONOLÓGICO'!$D$2:$D$4919,MATCH($A1746,'DETALLE CRONOLÓGICO'!$A$2:$A$4919,0)+$E1746-1)</f>
        <v/>
      </c>
      <c r="I1746" s="5">
        <f>IFERROR(SUMIFS('DETALLE CRONOLÓGICO'!$L$2:$L$4919,'DETALLE CRONOLÓGICO'!$A$2:$A$4919,$A1746)/$F1746,"")</f>
        <v/>
      </c>
      <c r="J1746" s="6">
        <f>IFERROR(SUMIFS('DETALLE CRONOLÓGICO'!$K$2:$K$4919,'DETALLE CRONOLÓGICO'!$A$2:$A$4919,$A1746)/$E1746,"")</f>
        <v/>
      </c>
      <c r="K1746" s="6">
        <f>_xlfn.MINIFS('DETALLE CRONOLÓGICO'!$K$2:$K$4919,'DETALLE CRONOLÓGICO'!$A$2:$A$4919,$A1746)</f>
        <v/>
      </c>
      <c r="L1746" s="6">
        <f>_xlfn.MAXIFS('DETALLE CRONOLÓGICO'!$K$2:$K$4919,'DETALLE CRONOLÓGICO'!$A$2:$A$4919,$A1746)</f>
        <v/>
      </c>
      <c r="M1746" s="6">
        <f>INDEX('DETALLE CRONOLÓGICO'!$K$2:$K$4919,MATCH($A1746,'DETALLE CRONOLÓGICO'!$A$2:$A$4919,0)+$E1746-1)</f>
        <v/>
      </c>
      <c r="N1746" s="7">
        <f>IFERROR($M1746/INDEX('DETALLE CRONOLÓGICO'!$K$2:$K$4919,MATCH($A1746,'DETALLE CRONOLÓGICO'!$A$2:$A$4919,0))-1,"")</f>
        <v/>
      </c>
      <c r="O1746" s="6">
        <f>IFERROR($I1746*3,"")</f>
        <v/>
      </c>
      <c r="P1746" s="6">
        <f>IFERROR($I1746*3.5,"")</f>
        <v/>
      </c>
      <c r="Q1746" s="6">
        <f>IFERROR($I1746*4,"")</f>
        <v/>
      </c>
      <c r="R1746" s="6" t="n">
        <v>0</v>
      </c>
      <c r="S1746" s="4" t="n">
        <v>2</v>
      </c>
      <c r="T1746" s="1" t="inlineStr">
        <is>
          <t>draft</t>
        </is>
      </c>
      <c r="U1746" s="8" t="n"/>
      <c r="V1746" s="1" t="inlineStr">
        <is>
          <t>SIN PRECIO</t>
        </is>
      </c>
    </row>
    <row r="1747">
      <c r="A1747" s="1" t="inlineStr">
        <is>
          <t>68089822787245</t>
        </is>
      </c>
      <c r="B1747" s="1" t="inlineStr">
        <is>
          <t>BRAZALETE T ENTRELAZADOS</t>
        </is>
      </c>
      <c r="C1747" s="1" t="inlineStr">
        <is>
          <t>Default Title</t>
        </is>
      </c>
      <c r="D1747" s="1" t="inlineStr">
        <is>
          <t>NANCY</t>
        </is>
      </c>
      <c r="E1747" s="4">
        <f>COUNTIF('DETALLE CRONOLÓGICO'!$A$2:$A$4919,$A1747)</f>
        <v/>
      </c>
      <c r="F1747" s="4">
        <f>SUMIFS('DETALLE CRONOLÓGICO'!$I$2:$I$4919,'DETALLE CRONOLÓGICO'!$A$2:$A$4919,$A1747)</f>
        <v/>
      </c>
      <c r="G1747" s="1">
        <f>INDEX('DETALLE CRONOLÓGICO'!$D$2:$D$4919,MATCH($A1747,'DETALLE CRONOLÓGICO'!$A$2:$A$4919,0))</f>
        <v/>
      </c>
      <c r="H1747" s="1">
        <f>INDEX('DETALLE CRONOLÓGICO'!$D$2:$D$4919,MATCH($A1747,'DETALLE CRONOLÓGICO'!$A$2:$A$4919,0)+$E1747-1)</f>
        <v/>
      </c>
      <c r="I1747" s="5">
        <f>IFERROR(SUMIFS('DETALLE CRONOLÓGICO'!$L$2:$L$4919,'DETALLE CRONOLÓGICO'!$A$2:$A$4919,$A1747)/$F1747,"")</f>
        <v/>
      </c>
      <c r="J1747" s="6">
        <f>IFERROR(SUMIFS('DETALLE CRONOLÓGICO'!$K$2:$K$4919,'DETALLE CRONOLÓGICO'!$A$2:$A$4919,$A1747)/$E1747,"")</f>
        <v/>
      </c>
      <c r="K1747" s="6">
        <f>_xlfn.MINIFS('DETALLE CRONOLÓGICO'!$K$2:$K$4919,'DETALLE CRONOLÓGICO'!$A$2:$A$4919,$A1747)</f>
        <v/>
      </c>
      <c r="L1747" s="6">
        <f>_xlfn.MAXIFS('DETALLE CRONOLÓGICO'!$K$2:$K$4919,'DETALLE CRONOLÓGICO'!$A$2:$A$4919,$A1747)</f>
        <v/>
      </c>
      <c r="M1747" s="6">
        <f>INDEX('DETALLE CRONOLÓGICO'!$K$2:$K$4919,MATCH($A1747,'DETALLE CRONOLÓGICO'!$A$2:$A$4919,0)+$E1747-1)</f>
        <v/>
      </c>
      <c r="N1747" s="7">
        <f>IFERROR($M1747/INDEX('DETALLE CRONOLÓGICO'!$K$2:$K$4919,MATCH($A1747,'DETALLE CRONOLÓGICO'!$A$2:$A$4919,0))-1,"")</f>
        <v/>
      </c>
      <c r="O1747" s="6">
        <f>IFERROR($I1747*3,"")</f>
        <v/>
      </c>
      <c r="P1747" s="6">
        <f>IFERROR($I1747*3.5,"")</f>
        <v/>
      </c>
      <c r="Q1747" s="6">
        <f>IFERROR($I1747*4,"")</f>
        <v/>
      </c>
      <c r="R1747" s="6" t="n">
        <v>0</v>
      </c>
      <c r="S1747" s="4" t="n">
        <v>0</v>
      </c>
      <c r="T1747" s="1" t="inlineStr">
        <is>
          <t>draft</t>
        </is>
      </c>
      <c r="U1747" s="8" t="n"/>
      <c r="V1747" s="1" t="inlineStr">
        <is>
          <t>SIN PRECIO</t>
        </is>
      </c>
    </row>
    <row r="1748">
      <c r="A1748" s="1" t="inlineStr">
        <is>
          <t>68089822818317</t>
        </is>
      </c>
      <c r="B1748" s="1" t="inlineStr">
        <is>
          <t>PULSERA T LOCK SILVER ALL ZIRCONIAS</t>
        </is>
      </c>
      <c r="C1748" s="1" t="inlineStr">
        <is>
          <t>Default Title</t>
        </is>
      </c>
      <c r="D1748" s="1" t="inlineStr">
        <is>
          <t>NANCY</t>
        </is>
      </c>
      <c r="E1748" s="4">
        <f>COUNTIF('DETALLE CRONOLÓGICO'!$A$2:$A$4919,$A1748)</f>
        <v/>
      </c>
      <c r="F1748" s="4">
        <f>SUMIFS('DETALLE CRONOLÓGICO'!$I$2:$I$4919,'DETALLE CRONOLÓGICO'!$A$2:$A$4919,$A1748)</f>
        <v/>
      </c>
      <c r="G1748" s="1">
        <f>INDEX('DETALLE CRONOLÓGICO'!$D$2:$D$4919,MATCH($A1748,'DETALLE CRONOLÓGICO'!$A$2:$A$4919,0))</f>
        <v/>
      </c>
      <c r="H1748" s="1">
        <f>INDEX('DETALLE CRONOLÓGICO'!$D$2:$D$4919,MATCH($A1748,'DETALLE CRONOLÓGICO'!$A$2:$A$4919,0)+$E1748-1)</f>
        <v/>
      </c>
      <c r="I1748" s="5">
        <f>IFERROR(SUMIFS('DETALLE CRONOLÓGICO'!$L$2:$L$4919,'DETALLE CRONOLÓGICO'!$A$2:$A$4919,$A1748)/$F1748,"")</f>
        <v/>
      </c>
      <c r="J1748" s="6">
        <f>IFERROR(SUMIFS('DETALLE CRONOLÓGICO'!$K$2:$K$4919,'DETALLE CRONOLÓGICO'!$A$2:$A$4919,$A1748)/$E1748,"")</f>
        <v/>
      </c>
      <c r="K1748" s="6">
        <f>_xlfn.MINIFS('DETALLE CRONOLÓGICO'!$K$2:$K$4919,'DETALLE CRONOLÓGICO'!$A$2:$A$4919,$A1748)</f>
        <v/>
      </c>
      <c r="L1748" s="6">
        <f>_xlfn.MAXIFS('DETALLE CRONOLÓGICO'!$K$2:$K$4919,'DETALLE CRONOLÓGICO'!$A$2:$A$4919,$A1748)</f>
        <v/>
      </c>
      <c r="M1748" s="6">
        <f>INDEX('DETALLE CRONOLÓGICO'!$K$2:$K$4919,MATCH($A1748,'DETALLE CRONOLÓGICO'!$A$2:$A$4919,0)+$E1748-1)</f>
        <v/>
      </c>
      <c r="N1748" s="7">
        <f>IFERROR($M1748/INDEX('DETALLE CRONOLÓGICO'!$K$2:$K$4919,MATCH($A1748,'DETALLE CRONOLÓGICO'!$A$2:$A$4919,0))-1,"")</f>
        <v/>
      </c>
      <c r="O1748" s="6">
        <f>IFERROR($I1748*3,"")</f>
        <v/>
      </c>
      <c r="P1748" s="6">
        <f>IFERROR($I1748*3.5,"")</f>
        <v/>
      </c>
      <c r="Q1748" s="6">
        <f>IFERROR($I1748*4,"")</f>
        <v/>
      </c>
      <c r="R1748" s="6" t="n">
        <v>0</v>
      </c>
      <c r="S1748" s="4" t="n">
        <v>2</v>
      </c>
      <c r="T1748" s="1" t="inlineStr">
        <is>
          <t>draft</t>
        </is>
      </c>
      <c r="U1748" s="8" t="n"/>
      <c r="V1748" s="1" t="inlineStr">
        <is>
          <t>SIN PRECIO</t>
        </is>
      </c>
    </row>
    <row r="1749">
      <c r="A1749" s="1" t="inlineStr">
        <is>
          <t>68089822914925</t>
        </is>
      </c>
      <c r="B1749" s="1" t="inlineStr">
        <is>
          <t>BRAZALETE T PERLAS TITAN</t>
        </is>
      </c>
      <c r="C1749" s="1" t="inlineStr">
        <is>
          <t>Default Title</t>
        </is>
      </c>
      <c r="D1749" s="1" t="inlineStr">
        <is>
          <t>NANCY</t>
        </is>
      </c>
      <c r="E1749" s="4">
        <f>COUNTIF('DETALLE CRONOLÓGICO'!$A$2:$A$4919,$A1749)</f>
        <v/>
      </c>
      <c r="F1749" s="4">
        <f>SUMIFS('DETALLE CRONOLÓGICO'!$I$2:$I$4919,'DETALLE CRONOLÓGICO'!$A$2:$A$4919,$A1749)</f>
        <v/>
      </c>
      <c r="G1749" s="1">
        <f>INDEX('DETALLE CRONOLÓGICO'!$D$2:$D$4919,MATCH($A1749,'DETALLE CRONOLÓGICO'!$A$2:$A$4919,0))</f>
        <v/>
      </c>
      <c r="H1749" s="1">
        <f>INDEX('DETALLE CRONOLÓGICO'!$D$2:$D$4919,MATCH($A1749,'DETALLE CRONOLÓGICO'!$A$2:$A$4919,0)+$E1749-1)</f>
        <v/>
      </c>
      <c r="I1749" s="5">
        <f>IFERROR(SUMIFS('DETALLE CRONOLÓGICO'!$L$2:$L$4919,'DETALLE CRONOLÓGICO'!$A$2:$A$4919,$A1749)/$F1749,"")</f>
        <v/>
      </c>
      <c r="J1749" s="6">
        <f>IFERROR(SUMIFS('DETALLE CRONOLÓGICO'!$K$2:$K$4919,'DETALLE CRONOLÓGICO'!$A$2:$A$4919,$A1749)/$E1749,"")</f>
        <v/>
      </c>
      <c r="K1749" s="6">
        <f>_xlfn.MINIFS('DETALLE CRONOLÓGICO'!$K$2:$K$4919,'DETALLE CRONOLÓGICO'!$A$2:$A$4919,$A1749)</f>
        <v/>
      </c>
      <c r="L1749" s="6">
        <f>_xlfn.MAXIFS('DETALLE CRONOLÓGICO'!$K$2:$K$4919,'DETALLE CRONOLÓGICO'!$A$2:$A$4919,$A1749)</f>
        <v/>
      </c>
      <c r="M1749" s="6">
        <f>INDEX('DETALLE CRONOLÓGICO'!$K$2:$K$4919,MATCH($A1749,'DETALLE CRONOLÓGICO'!$A$2:$A$4919,0)+$E1749-1)</f>
        <v/>
      </c>
      <c r="N1749" s="7">
        <f>IFERROR($M1749/INDEX('DETALLE CRONOLÓGICO'!$K$2:$K$4919,MATCH($A1749,'DETALLE CRONOLÓGICO'!$A$2:$A$4919,0))-1,"")</f>
        <v/>
      </c>
      <c r="O1749" s="6">
        <f>IFERROR($I1749*3,"")</f>
        <v/>
      </c>
      <c r="P1749" s="6">
        <f>IFERROR($I1749*3.5,"")</f>
        <v/>
      </c>
      <c r="Q1749" s="6">
        <f>IFERROR($I1749*4,"")</f>
        <v/>
      </c>
      <c r="R1749" s="6" t="n">
        <v>0</v>
      </c>
      <c r="S1749" s="4" t="n">
        <v>2</v>
      </c>
      <c r="T1749" s="1" t="inlineStr">
        <is>
          <t>draft</t>
        </is>
      </c>
      <c r="U1749" s="8" t="n"/>
      <c r="V1749" s="1" t="inlineStr">
        <is>
          <t>SIN PRECIO</t>
        </is>
      </c>
    </row>
    <row r="1750">
      <c r="A1750" s="1" t="inlineStr">
        <is>
          <t>68089823011533</t>
        </is>
      </c>
      <c r="B1750" s="1" t="inlineStr">
        <is>
          <t>PULSERA T FULL HEART</t>
        </is>
      </c>
      <c r="C1750" s="1" t="inlineStr">
        <is>
          <t>Default Title</t>
        </is>
      </c>
      <c r="D1750" s="1" t="inlineStr">
        <is>
          <t>NANCY</t>
        </is>
      </c>
      <c r="E1750" s="4">
        <f>COUNTIF('DETALLE CRONOLÓGICO'!$A$2:$A$4919,$A1750)</f>
        <v/>
      </c>
      <c r="F1750" s="4">
        <f>SUMIFS('DETALLE CRONOLÓGICO'!$I$2:$I$4919,'DETALLE CRONOLÓGICO'!$A$2:$A$4919,$A1750)</f>
        <v/>
      </c>
      <c r="G1750" s="1">
        <f>INDEX('DETALLE CRONOLÓGICO'!$D$2:$D$4919,MATCH($A1750,'DETALLE CRONOLÓGICO'!$A$2:$A$4919,0))</f>
        <v/>
      </c>
      <c r="H1750" s="1">
        <f>INDEX('DETALLE CRONOLÓGICO'!$D$2:$D$4919,MATCH($A1750,'DETALLE CRONOLÓGICO'!$A$2:$A$4919,0)+$E1750-1)</f>
        <v/>
      </c>
      <c r="I1750" s="5">
        <f>IFERROR(SUMIFS('DETALLE CRONOLÓGICO'!$L$2:$L$4919,'DETALLE CRONOLÓGICO'!$A$2:$A$4919,$A1750)/$F1750,"")</f>
        <v/>
      </c>
      <c r="J1750" s="6">
        <f>IFERROR(SUMIFS('DETALLE CRONOLÓGICO'!$K$2:$K$4919,'DETALLE CRONOLÓGICO'!$A$2:$A$4919,$A1750)/$E1750,"")</f>
        <v/>
      </c>
      <c r="K1750" s="6">
        <f>_xlfn.MINIFS('DETALLE CRONOLÓGICO'!$K$2:$K$4919,'DETALLE CRONOLÓGICO'!$A$2:$A$4919,$A1750)</f>
        <v/>
      </c>
      <c r="L1750" s="6">
        <f>_xlfn.MAXIFS('DETALLE CRONOLÓGICO'!$K$2:$K$4919,'DETALLE CRONOLÓGICO'!$A$2:$A$4919,$A1750)</f>
        <v/>
      </c>
      <c r="M1750" s="6">
        <f>INDEX('DETALLE CRONOLÓGICO'!$K$2:$K$4919,MATCH($A1750,'DETALLE CRONOLÓGICO'!$A$2:$A$4919,0)+$E1750-1)</f>
        <v/>
      </c>
      <c r="N1750" s="7">
        <f>IFERROR($M1750/INDEX('DETALLE CRONOLÓGICO'!$K$2:$K$4919,MATCH($A1750,'DETALLE CRONOLÓGICO'!$A$2:$A$4919,0))-1,"")</f>
        <v/>
      </c>
      <c r="O1750" s="6">
        <f>IFERROR($I1750*3,"")</f>
        <v/>
      </c>
      <c r="P1750" s="6">
        <f>IFERROR($I1750*3.5,"")</f>
        <v/>
      </c>
      <c r="Q1750" s="6">
        <f>IFERROR($I1750*4,"")</f>
        <v/>
      </c>
      <c r="R1750" s="6" t="n">
        <v>0</v>
      </c>
      <c r="S1750" s="4" t="n">
        <v>2</v>
      </c>
      <c r="T1750" s="1" t="inlineStr">
        <is>
          <t>draft</t>
        </is>
      </c>
      <c r="U1750" s="8" t="n"/>
      <c r="V1750" s="1" t="inlineStr">
        <is>
          <t>SIN PRECIO</t>
        </is>
      </c>
    </row>
    <row r="1751">
      <c r="A1751" s="1" t="inlineStr">
        <is>
          <t>68089823108141</t>
        </is>
      </c>
      <c r="B1751" s="1" t="inlineStr">
        <is>
          <t>PULSERA SMILE DE TELA RED</t>
        </is>
      </c>
      <c r="C1751" s="1" t="inlineStr">
        <is>
          <t>Default Title</t>
        </is>
      </c>
      <c r="D1751" s="1" t="inlineStr">
        <is>
          <t>NANCY</t>
        </is>
      </c>
      <c r="E1751" s="4">
        <f>COUNTIF('DETALLE CRONOLÓGICO'!$A$2:$A$4919,$A1751)</f>
        <v/>
      </c>
      <c r="F1751" s="4">
        <f>SUMIFS('DETALLE CRONOLÓGICO'!$I$2:$I$4919,'DETALLE CRONOLÓGICO'!$A$2:$A$4919,$A1751)</f>
        <v/>
      </c>
      <c r="G1751" s="1">
        <f>INDEX('DETALLE CRONOLÓGICO'!$D$2:$D$4919,MATCH($A1751,'DETALLE CRONOLÓGICO'!$A$2:$A$4919,0))</f>
        <v/>
      </c>
      <c r="H1751" s="1">
        <f>INDEX('DETALLE CRONOLÓGICO'!$D$2:$D$4919,MATCH($A1751,'DETALLE CRONOLÓGICO'!$A$2:$A$4919,0)+$E1751-1)</f>
        <v/>
      </c>
      <c r="I1751" s="5">
        <f>IFERROR(SUMIFS('DETALLE CRONOLÓGICO'!$L$2:$L$4919,'DETALLE CRONOLÓGICO'!$A$2:$A$4919,$A1751)/$F1751,"")</f>
        <v/>
      </c>
      <c r="J1751" s="6">
        <f>IFERROR(SUMIFS('DETALLE CRONOLÓGICO'!$K$2:$K$4919,'DETALLE CRONOLÓGICO'!$A$2:$A$4919,$A1751)/$E1751,"")</f>
        <v/>
      </c>
      <c r="K1751" s="6">
        <f>_xlfn.MINIFS('DETALLE CRONOLÓGICO'!$K$2:$K$4919,'DETALLE CRONOLÓGICO'!$A$2:$A$4919,$A1751)</f>
        <v/>
      </c>
      <c r="L1751" s="6">
        <f>_xlfn.MAXIFS('DETALLE CRONOLÓGICO'!$K$2:$K$4919,'DETALLE CRONOLÓGICO'!$A$2:$A$4919,$A1751)</f>
        <v/>
      </c>
      <c r="M1751" s="6">
        <f>INDEX('DETALLE CRONOLÓGICO'!$K$2:$K$4919,MATCH($A1751,'DETALLE CRONOLÓGICO'!$A$2:$A$4919,0)+$E1751-1)</f>
        <v/>
      </c>
      <c r="N1751" s="7">
        <f>IFERROR($M1751/INDEX('DETALLE CRONOLÓGICO'!$K$2:$K$4919,MATCH($A1751,'DETALLE CRONOLÓGICO'!$A$2:$A$4919,0))-1,"")</f>
        <v/>
      </c>
      <c r="O1751" s="6">
        <f>IFERROR($I1751*3,"")</f>
        <v/>
      </c>
      <c r="P1751" s="6">
        <f>IFERROR($I1751*3.5,"")</f>
        <v/>
      </c>
      <c r="Q1751" s="6">
        <f>IFERROR($I1751*4,"")</f>
        <v/>
      </c>
      <c r="R1751" s="6" t="n">
        <v>0</v>
      </c>
      <c r="S1751" s="4" t="n">
        <v>2</v>
      </c>
      <c r="T1751" s="1" t="inlineStr">
        <is>
          <t>draft</t>
        </is>
      </c>
      <c r="U1751" s="8" t="n"/>
      <c r="V1751" s="1" t="inlineStr">
        <is>
          <t>SIN PRECIO</t>
        </is>
      </c>
    </row>
    <row r="1752">
      <c r="A1752" s="1" t="inlineStr">
        <is>
          <t>68089823204749</t>
        </is>
      </c>
      <c r="B1752" s="1" t="inlineStr">
        <is>
          <t>PULSERA SMILE DE TELA BABY BLUE</t>
        </is>
      </c>
      <c r="C1752" s="1" t="inlineStr">
        <is>
          <t>Default Title</t>
        </is>
      </c>
      <c r="D1752" s="1" t="inlineStr">
        <is>
          <t>NANCY</t>
        </is>
      </c>
      <c r="E1752" s="4">
        <f>COUNTIF('DETALLE CRONOLÓGICO'!$A$2:$A$4919,$A1752)</f>
        <v/>
      </c>
      <c r="F1752" s="4">
        <f>SUMIFS('DETALLE CRONOLÓGICO'!$I$2:$I$4919,'DETALLE CRONOLÓGICO'!$A$2:$A$4919,$A1752)</f>
        <v/>
      </c>
      <c r="G1752" s="1">
        <f>INDEX('DETALLE CRONOLÓGICO'!$D$2:$D$4919,MATCH($A1752,'DETALLE CRONOLÓGICO'!$A$2:$A$4919,0))</f>
        <v/>
      </c>
      <c r="H1752" s="1">
        <f>INDEX('DETALLE CRONOLÓGICO'!$D$2:$D$4919,MATCH($A1752,'DETALLE CRONOLÓGICO'!$A$2:$A$4919,0)+$E1752-1)</f>
        <v/>
      </c>
      <c r="I1752" s="5">
        <f>IFERROR(SUMIFS('DETALLE CRONOLÓGICO'!$L$2:$L$4919,'DETALLE CRONOLÓGICO'!$A$2:$A$4919,$A1752)/$F1752,"")</f>
        <v/>
      </c>
      <c r="J1752" s="6">
        <f>IFERROR(SUMIFS('DETALLE CRONOLÓGICO'!$K$2:$K$4919,'DETALLE CRONOLÓGICO'!$A$2:$A$4919,$A1752)/$E1752,"")</f>
        <v/>
      </c>
      <c r="K1752" s="6">
        <f>_xlfn.MINIFS('DETALLE CRONOLÓGICO'!$K$2:$K$4919,'DETALLE CRONOLÓGICO'!$A$2:$A$4919,$A1752)</f>
        <v/>
      </c>
      <c r="L1752" s="6">
        <f>_xlfn.MAXIFS('DETALLE CRONOLÓGICO'!$K$2:$K$4919,'DETALLE CRONOLÓGICO'!$A$2:$A$4919,$A1752)</f>
        <v/>
      </c>
      <c r="M1752" s="6">
        <f>INDEX('DETALLE CRONOLÓGICO'!$K$2:$K$4919,MATCH($A1752,'DETALLE CRONOLÓGICO'!$A$2:$A$4919,0)+$E1752-1)</f>
        <v/>
      </c>
      <c r="N1752" s="7">
        <f>IFERROR($M1752/INDEX('DETALLE CRONOLÓGICO'!$K$2:$K$4919,MATCH($A1752,'DETALLE CRONOLÓGICO'!$A$2:$A$4919,0))-1,"")</f>
        <v/>
      </c>
      <c r="O1752" s="6">
        <f>IFERROR($I1752*3,"")</f>
        <v/>
      </c>
      <c r="P1752" s="6">
        <f>IFERROR($I1752*3.5,"")</f>
        <v/>
      </c>
      <c r="Q1752" s="6">
        <f>IFERROR($I1752*4,"")</f>
        <v/>
      </c>
      <c r="R1752" s="6" t="n">
        <v>0</v>
      </c>
      <c r="S1752" s="4" t="n">
        <v>2</v>
      </c>
      <c r="T1752" s="1" t="inlineStr">
        <is>
          <t>draft</t>
        </is>
      </c>
      <c r="U1752" s="8" t="n"/>
      <c r="V1752" s="1" t="inlineStr">
        <is>
          <t>SIN PRECIO</t>
        </is>
      </c>
    </row>
    <row r="1753">
      <c r="A1753" s="1" t="inlineStr">
        <is>
          <t>68089823313165</t>
        </is>
      </c>
      <c r="B1753" s="1" t="inlineStr">
        <is>
          <t>PULSERA T KNOT DELGADA SILVER ALL ZIRCONIAS</t>
        </is>
      </c>
      <c r="C1753" s="1" t="inlineStr">
        <is>
          <t>Default Title</t>
        </is>
      </c>
      <c r="D1753" s="1" t="inlineStr">
        <is>
          <t>NANCY</t>
        </is>
      </c>
      <c r="E1753" s="4">
        <f>COUNTIF('DETALLE CRONOLÓGICO'!$A$2:$A$4919,$A1753)</f>
        <v/>
      </c>
      <c r="F1753" s="4">
        <f>SUMIFS('DETALLE CRONOLÓGICO'!$I$2:$I$4919,'DETALLE CRONOLÓGICO'!$A$2:$A$4919,$A1753)</f>
        <v/>
      </c>
      <c r="G1753" s="1">
        <f>INDEX('DETALLE CRONOLÓGICO'!$D$2:$D$4919,MATCH($A1753,'DETALLE CRONOLÓGICO'!$A$2:$A$4919,0))</f>
        <v/>
      </c>
      <c r="H1753" s="1">
        <f>INDEX('DETALLE CRONOLÓGICO'!$D$2:$D$4919,MATCH($A1753,'DETALLE CRONOLÓGICO'!$A$2:$A$4919,0)+$E1753-1)</f>
        <v/>
      </c>
      <c r="I1753" s="5">
        <f>IFERROR(SUMIFS('DETALLE CRONOLÓGICO'!$L$2:$L$4919,'DETALLE CRONOLÓGICO'!$A$2:$A$4919,$A1753)/$F1753,"")</f>
        <v/>
      </c>
      <c r="J1753" s="6">
        <f>IFERROR(SUMIFS('DETALLE CRONOLÓGICO'!$K$2:$K$4919,'DETALLE CRONOLÓGICO'!$A$2:$A$4919,$A1753)/$E1753,"")</f>
        <v/>
      </c>
      <c r="K1753" s="6">
        <f>_xlfn.MINIFS('DETALLE CRONOLÓGICO'!$K$2:$K$4919,'DETALLE CRONOLÓGICO'!$A$2:$A$4919,$A1753)</f>
        <v/>
      </c>
      <c r="L1753" s="6">
        <f>_xlfn.MAXIFS('DETALLE CRONOLÓGICO'!$K$2:$K$4919,'DETALLE CRONOLÓGICO'!$A$2:$A$4919,$A1753)</f>
        <v/>
      </c>
      <c r="M1753" s="6">
        <f>INDEX('DETALLE CRONOLÓGICO'!$K$2:$K$4919,MATCH($A1753,'DETALLE CRONOLÓGICO'!$A$2:$A$4919,0)+$E1753-1)</f>
        <v/>
      </c>
      <c r="N1753" s="7">
        <f>IFERROR($M1753/INDEX('DETALLE CRONOLÓGICO'!$K$2:$K$4919,MATCH($A1753,'DETALLE CRONOLÓGICO'!$A$2:$A$4919,0))-1,"")</f>
        <v/>
      </c>
      <c r="O1753" s="6">
        <f>IFERROR($I1753*3,"")</f>
        <v/>
      </c>
      <c r="P1753" s="6">
        <f>IFERROR($I1753*3.5,"")</f>
        <v/>
      </c>
      <c r="Q1753" s="6">
        <f>IFERROR($I1753*4,"")</f>
        <v/>
      </c>
      <c r="R1753" s="6" t="n">
        <v>0</v>
      </c>
      <c r="S1753" s="4" t="n">
        <v>2</v>
      </c>
      <c r="T1753" s="1" t="inlineStr">
        <is>
          <t>draft</t>
        </is>
      </c>
      <c r="U1753" s="8" t="n"/>
      <c r="V1753" s="1" t="inlineStr">
        <is>
          <t>SIN PRECIO</t>
        </is>
      </c>
    </row>
    <row r="1754">
      <c r="A1754" s="1" t="inlineStr">
        <is>
          <t>68089823403053</t>
        </is>
      </c>
      <c r="B1754" s="1" t="inlineStr">
        <is>
          <t>PULSERA T KNOT DELGADA SILVER ZIRCONIAS</t>
        </is>
      </c>
      <c r="C1754" s="1" t="inlineStr">
        <is>
          <t>Default Title</t>
        </is>
      </c>
      <c r="D1754" s="1" t="inlineStr">
        <is>
          <t>NANCY</t>
        </is>
      </c>
      <c r="E1754" s="4">
        <f>COUNTIF('DETALLE CRONOLÓGICO'!$A$2:$A$4919,$A1754)</f>
        <v/>
      </c>
      <c r="F1754" s="4">
        <f>SUMIFS('DETALLE CRONOLÓGICO'!$I$2:$I$4919,'DETALLE CRONOLÓGICO'!$A$2:$A$4919,$A1754)</f>
        <v/>
      </c>
      <c r="G1754" s="1">
        <f>INDEX('DETALLE CRONOLÓGICO'!$D$2:$D$4919,MATCH($A1754,'DETALLE CRONOLÓGICO'!$A$2:$A$4919,0))</f>
        <v/>
      </c>
      <c r="H1754" s="1">
        <f>INDEX('DETALLE CRONOLÓGICO'!$D$2:$D$4919,MATCH($A1754,'DETALLE CRONOLÓGICO'!$A$2:$A$4919,0)+$E1754-1)</f>
        <v/>
      </c>
      <c r="I1754" s="5">
        <f>IFERROR(SUMIFS('DETALLE CRONOLÓGICO'!$L$2:$L$4919,'DETALLE CRONOLÓGICO'!$A$2:$A$4919,$A1754)/$F1754,"")</f>
        <v/>
      </c>
      <c r="J1754" s="6">
        <f>IFERROR(SUMIFS('DETALLE CRONOLÓGICO'!$K$2:$K$4919,'DETALLE CRONOLÓGICO'!$A$2:$A$4919,$A1754)/$E1754,"")</f>
        <v/>
      </c>
      <c r="K1754" s="6">
        <f>_xlfn.MINIFS('DETALLE CRONOLÓGICO'!$K$2:$K$4919,'DETALLE CRONOLÓGICO'!$A$2:$A$4919,$A1754)</f>
        <v/>
      </c>
      <c r="L1754" s="6">
        <f>_xlfn.MAXIFS('DETALLE CRONOLÓGICO'!$K$2:$K$4919,'DETALLE CRONOLÓGICO'!$A$2:$A$4919,$A1754)</f>
        <v/>
      </c>
      <c r="M1754" s="6">
        <f>INDEX('DETALLE CRONOLÓGICO'!$K$2:$K$4919,MATCH($A1754,'DETALLE CRONOLÓGICO'!$A$2:$A$4919,0)+$E1754-1)</f>
        <v/>
      </c>
      <c r="N1754" s="7">
        <f>IFERROR($M1754/INDEX('DETALLE CRONOLÓGICO'!$K$2:$K$4919,MATCH($A1754,'DETALLE CRONOLÓGICO'!$A$2:$A$4919,0))-1,"")</f>
        <v/>
      </c>
      <c r="O1754" s="6">
        <f>IFERROR($I1754*3,"")</f>
        <v/>
      </c>
      <c r="P1754" s="6">
        <f>IFERROR($I1754*3.5,"")</f>
        <v/>
      </c>
      <c r="Q1754" s="6">
        <f>IFERROR($I1754*4,"")</f>
        <v/>
      </c>
      <c r="R1754" s="6" t="n">
        <v>0</v>
      </c>
      <c r="S1754" s="4" t="n">
        <v>2</v>
      </c>
      <c r="T1754" s="1" t="inlineStr">
        <is>
          <t>draft</t>
        </is>
      </c>
      <c r="U1754" s="8" t="n"/>
      <c r="V1754" s="1" t="inlineStr">
        <is>
          <t>SIN PRECIO</t>
        </is>
      </c>
    </row>
    <row r="1755">
      <c r="A1755" s="1" t="inlineStr">
        <is>
          <t>68339221065441</t>
        </is>
      </c>
      <c r="B1755" s="1" t="inlineStr">
        <is>
          <t>SANDALIAS H BLUE</t>
        </is>
      </c>
      <c r="C1755" s="1" t="inlineStr">
        <is>
          <t>42 (26cm)</t>
        </is>
      </c>
      <c r="D1755" s="1" t="inlineStr">
        <is>
          <t>CYNTHIA</t>
        </is>
      </c>
      <c r="E1755" s="4">
        <f>COUNTIF('DETALLE CRONOLÓGICO'!$A$2:$A$4919,$A1755)</f>
        <v/>
      </c>
      <c r="F1755" s="4">
        <f>SUMIFS('DETALLE CRONOLÓGICO'!$I$2:$I$4919,'DETALLE CRONOLÓGICO'!$A$2:$A$4919,$A1755)</f>
        <v/>
      </c>
      <c r="G1755" s="1">
        <f>INDEX('DETALLE CRONOLÓGICO'!$D$2:$D$4919,MATCH($A1755,'DETALLE CRONOLÓGICO'!$A$2:$A$4919,0))</f>
        <v/>
      </c>
      <c r="H1755" s="1">
        <f>INDEX('DETALLE CRONOLÓGICO'!$D$2:$D$4919,MATCH($A1755,'DETALLE CRONOLÓGICO'!$A$2:$A$4919,0)+$E1755-1)</f>
        <v/>
      </c>
      <c r="I1755" s="5">
        <f>IFERROR(SUMIFS('DETALLE CRONOLÓGICO'!$L$2:$L$4919,'DETALLE CRONOLÓGICO'!$A$2:$A$4919,$A1755)/$F1755,"")</f>
        <v/>
      </c>
      <c r="J1755" s="6">
        <f>IFERROR(SUMIFS('DETALLE CRONOLÓGICO'!$K$2:$K$4919,'DETALLE CRONOLÓGICO'!$A$2:$A$4919,$A1755)/$E1755,"")</f>
        <v/>
      </c>
      <c r="K1755" s="6">
        <f>_xlfn.MINIFS('DETALLE CRONOLÓGICO'!$K$2:$K$4919,'DETALLE CRONOLÓGICO'!$A$2:$A$4919,$A1755)</f>
        <v/>
      </c>
      <c r="L1755" s="6">
        <f>_xlfn.MAXIFS('DETALLE CRONOLÓGICO'!$K$2:$K$4919,'DETALLE CRONOLÓGICO'!$A$2:$A$4919,$A1755)</f>
        <v/>
      </c>
      <c r="M1755" s="6">
        <f>INDEX('DETALLE CRONOLÓGICO'!$K$2:$K$4919,MATCH($A1755,'DETALLE CRONOLÓGICO'!$A$2:$A$4919,0)+$E1755-1)</f>
        <v/>
      </c>
      <c r="N1755" s="7">
        <f>IFERROR($M1755/INDEX('DETALLE CRONOLÓGICO'!$K$2:$K$4919,MATCH($A1755,'DETALLE CRONOLÓGICO'!$A$2:$A$4919,0))-1,"")</f>
        <v/>
      </c>
      <c r="O1755" s="6">
        <f>IFERROR($I1755*3,"")</f>
        <v/>
      </c>
      <c r="P1755" s="6">
        <f>IFERROR($I1755*3.5,"")</f>
        <v/>
      </c>
      <c r="Q1755" s="6">
        <f>IFERROR($I1755*4,"")</f>
        <v/>
      </c>
      <c r="R1755" s="6" t="n">
        <v>3189</v>
      </c>
      <c r="S1755" s="4" t="n">
        <v>3</v>
      </c>
      <c r="T1755" s="1" t="inlineStr">
        <is>
          <t>active</t>
        </is>
      </c>
      <c r="U1755" s="8" t="n"/>
      <c r="V1755" s="1" t="inlineStr">
        <is>
          <t>SIN PRECIO</t>
        </is>
      </c>
    </row>
    <row r="1756">
      <c r="A1756" s="1" t="inlineStr">
        <is>
          <t>68374516907020</t>
        </is>
      </c>
      <c r="B1756" s="1" t="inlineStr">
        <is>
          <t>BOLSO C CLAUDE BLACK</t>
        </is>
      </c>
      <c r="C1756" s="1" t="inlineStr">
        <is>
          <t>21.5cm de largo x 11.5cm de alto x 4.5cm de ancho</t>
        </is>
      </c>
      <c r="D1756" s="1" t="inlineStr">
        <is>
          <t>CYNTHIA / ZOEY</t>
        </is>
      </c>
      <c r="E1756" s="4">
        <f>COUNTIF('DETALLE CRONOLÓGICO'!$A$2:$A$4919,$A1756)</f>
        <v/>
      </c>
      <c r="F1756" s="4">
        <f>SUMIFS('DETALLE CRONOLÓGICO'!$I$2:$I$4919,'DETALLE CRONOLÓGICO'!$A$2:$A$4919,$A1756)</f>
        <v/>
      </c>
      <c r="G1756" s="1">
        <f>INDEX('DETALLE CRONOLÓGICO'!$D$2:$D$4919,MATCH($A1756,'DETALLE CRONOLÓGICO'!$A$2:$A$4919,0))</f>
        <v/>
      </c>
      <c r="H1756" s="1">
        <f>INDEX('DETALLE CRONOLÓGICO'!$D$2:$D$4919,MATCH($A1756,'DETALLE CRONOLÓGICO'!$A$2:$A$4919,0)+$E1756-1)</f>
        <v/>
      </c>
      <c r="I1756" s="5">
        <f>IFERROR(SUMIFS('DETALLE CRONOLÓGICO'!$L$2:$L$4919,'DETALLE CRONOLÓGICO'!$A$2:$A$4919,$A1756)/$F1756,"")</f>
        <v/>
      </c>
      <c r="J1756" s="6">
        <f>IFERROR(SUMIFS('DETALLE CRONOLÓGICO'!$K$2:$K$4919,'DETALLE CRONOLÓGICO'!$A$2:$A$4919,$A1756)/$E1756,"")</f>
        <v/>
      </c>
      <c r="K1756" s="6">
        <f>_xlfn.MINIFS('DETALLE CRONOLÓGICO'!$K$2:$K$4919,'DETALLE CRONOLÓGICO'!$A$2:$A$4919,$A1756)</f>
        <v/>
      </c>
      <c r="L1756" s="6">
        <f>_xlfn.MAXIFS('DETALLE CRONOLÓGICO'!$K$2:$K$4919,'DETALLE CRONOLÓGICO'!$A$2:$A$4919,$A1756)</f>
        <v/>
      </c>
      <c r="M1756" s="6">
        <f>INDEX('DETALLE CRONOLÓGICO'!$K$2:$K$4919,MATCH($A1756,'DETALLE CRONOLÓGICO'!$A$2:$A$4919,0)+$E1756-1)</f>
        <v/>
      </c>
      <c r="N1756" s="7">
        <f>IFERROR($M1756/INDEX('DETALLE CRONOLÓGICO'!$K$2:$K$4919,MATCH($A1756,'DETALLE CRONOLÓGICO'!$A$2:$A$4919,0))-1,"")</f>
        <v/>
      </c>
      <c r="O1756" s="6">
        <f>IFERROR($I1756*3,"")</f>
        <v/>
      </c>
      <c r="P1756" s="6">
        <f>IFERROR($I1756*3.5,"")</f>
        <v/>
      </c>
      <c r="Q1756" s="6">
        <f>IFERROR($I1756*4,"")</f>
        <v/>
      </c>
      <c r="R1756" s="6" t="n">
        <v>5095</v>
      </c>
      <c r="S1756" s="4" t="n">
        <v>3</v>
      </c>
      <c r="T1756" s="1" t="inlineStr">
        <is>
          <t>active</t>
        </is>
      </c>
      <c r="U1756" s="8" t="n"/>
      <c r="V1756" s="1" t="inlineStr">
        <is>
          <t>SIN PRECIO</t>
        </is>
      </c>
    </row>
    <row r="1757">
      <c r="A1757" s="1" t="inlineStr">
        <is>
          <t>68431126327692</t>
        </is>
      </c>
      <c r="B1757" s="1" t="inlineStr">
        <is>
          <t>ARETES PERLEÉ GOLD</t>
        </is>
      </c>
      <c r="C1757" s="1" t="inlineStr">
        <is>
          <t>Default Title</t>
        </is>
      </c>
      <c r="D1757" s="1" t="inlineStr">
        <is>
          <t>NANCY</t>
        </is>
      </c>
      <c r="E1757" s="4">
        <f>COUNTIF('DETALLE CRONOLÓGICO'!$A$2:$A$4919,$A1757)</f>
        <v/>
      </c>
      <c r="F1757" s="4">
        <f>SUMIFS('DETALLE CRONOLÓGICO'!$I$2:$I$4919,'DETALLE CRONOLÓGICO'!$A$2:$A$4919,$A1757)</f>
        <v/>
      </c>
      <c r="G1757" s="1">
        <f>INDEX('DETALLE CRONOLÓGICO'!$D$2:$D$4919,MATCH($A1757,'DETALLE CRONOLÓGICO'!$A$2:$A$4919,0))</f>
        <v/>
      </c>
      <c r="H1757" s="1">
        <f>INDEX('DETALLE CRONOLÓGICO'!$D$2:$D$4919,MATCH($A1757,'DETALLE CRONOLÓGICO'!$A$2:$A$4919,0)+$E1757-1)</f>
        <v/>
      </c>
      <c r="I1757" s="5">
        <f>IFERROR(SUMIFS('DETALLE CRONOLÓGICO'!$L$2:$L$4919,'DETALLE CRONOLÓGICO'!$A$2:$A$4919,$A1757)/$F1757,"")</f>
        <v/>
      </c>
      <c r="J1757" s="6">
        <f>IFERROR(SUMIFS('DETALLE CRONOLÓGICO'!$K$2:$K$4919,'DETALLE CRONOLÓGICO'!$A$2:$A$4919,$A1757)/$E1757,"")</f>
        <v/>
      </c>
      <c r="K1757" s="6">
        <f>_xlfn.MINIFS('DETALLE CRONOLÓGICO'!$K$2:$K$4919,'DETALLE CRONOLÓGICO'!$A$2:$A$4919,$A1757)</f>
        <v/>
      </c>
      <c r="L1757" s="6">
        <f>_xlfn.MAXIFS('DETALLE CRONOLÓGICO'!$K$2:$K$4919,'DETALLE CRONOLÓGICO'!$A$2:$A$4919,$A1757)</f>
        <v/>
      </c>
      <c r="M1757" s="6">
        <f>INDEX('DETALLE CRONOLÓGICO'!$K$2:$K$4919,MATCH($A1757,'DETALLE CRONOLÓGICO'!$A$2:$A$4919,0)+$E1757-1)</f>
        <v/>
      </c>
      <c r="N1757" s="7">
        <f>IFERROR($M1757/INDEX('DETALLE CRONOLÓGICO'!$K$2:$K$4919,MATCH($A1757,'DETALLE CRONOLÓGICO'!$A$2:$A$4919,0))-1,"")</f>
        <v/>
      </c>
      <c r="O1757" s="6">
        <f>IFERROR($I1757*3,"")</f>
        <v/>
      </c>
      <c r="P1757" s="6">
        <f>IFERROR($I1757*3.5,"")</f>
        <v/>
      </c>
      <c r="Q1757" s="6">
        <f>IFERROR($I1757*4,"")</f>
        <v/>
      </c>
      <c r="R1757" s="6" t="n">
        <v>662</v>
      </c>
      <c r="S1757" s="4" t="n">
        <v>3</v>
      </c>
      <c r="T1757" s="1" t="inlineStr">
        <is>
          <t>active</t>
        </is>
      </c>
      <c r="U1757" s="8" t="n"/>
      <c r="V1757" s="1" t="inlineStr">
        <is>
          <t>SIN PRECIO</t>
        </is>
      </c>
    </row>
    <row r="1758">
      <c r="A1758" s="1" t="inlineStr">
        <is>
          <t>68431129697036</t>
        </is>
      </c>
      <c r="B1758" s="1" t="inlineStr">
        <is>
          <t>ARETES PERLEÉ SILVER</t>
        </is>
      </c>
      <c r="C1758" s="1" t="inlineStr">
        <is>
          <t>Default Title</t>
        </is>
      </c>
      <c r="D1758" s="1" t="inlineStr">
        <is>
          <t>NANCY</t>
        </is>
      </c>
      <c r="E1758" s="4">
        <f>COUNTIF('DETALLE CRONOLÓGICO'!$A$2:$A$4919,$A1758)</f>
        <v/>
      </c>
      <c r="F1758" s="4">
        <f>SUMIFS('DETALLE CRONOLÓGICO'!$I$2:$I$4919,'DETALLE CRONOLÓGICO'!$A$2:$A$4919,$A1758)</f>
        <v/>
      </c>
      <c r="G1758" s="1">
        <f>INDEX('DETALLE CRONOLÓGICO'!$D$2:$D$4919,MATCH($A1758,'DETALLE CRONOLÓGICO'!$A$2:$A$4919,0))</f>
        <v/>
      </c>
      <c r="H1758" s="1">
        <f>INDEX('DETALLE CRONOLÓGICO'!$D$2:$D$4919,MATCH($A1758,'DETALLE CRONOLÓGICO'!$A$2:$A$4919,0)+$E1758-1)</f>
        <v/>
      </c>
      <c r="I1758" s="5">
        <f>IFERROR(SUMIFS('DETALLE CRONOLÓGICO'!$L$2:$L$4919,'DETALLE CRONOLÓGICO'!$A$2:$A$4919,$A1758)/$F1758,"")</f>
        <v/>
      </c>
      <c r="J1758" s="6">
        <f>IFERROR(SUMIFS('DETALLE CRONOLÓGICO'!$K$2:$K$4919,'DETALLE CRONOLÓGICO'!$A$2:$A$4919,$A1758)/$E1758,"")</f>
        <v/>
      </c>
      <c r="K1758" s="6">
        <f>_xlfn.MINIFS('DETALLE CRONOLÓGICO'!$K$2:$K$4919,'DETALLE CRONOLÓGICO'!$A$2:$A$4919,$A1758)</f>
        <v/>
      </c>
      <c r="L1758" s="6">
        <f>_xlfn.MAXIFS('DETALLE CRONOLÓGICO'!$K$2:$K$4919,'DETALLE CRONOLÓGICO'!$A$2:$A$4919,$A1758)</f>
        <v/>
      </c>
      <c r="M1758" s="6">
        <f>INDEX('DETALLE CRONOLÓGICO'!$K$2:$K$4919,MATCH($A1758,'DETALLE CRONOLÓGICO'!$A$2:$A$4919,0)+$E1758-1)</f>
        <v/>
      </c>
      <c r="N1758" s="7">
        <f>IFERROR($M1758/INDEX('DETALLE CRONOLÓGICO'!$K$2:$K$4919,MATCH($A1758,'DETALLE CRONOLÓGICO'!$A$2:$A$4919,0))-1,"")</f>
        <v/>
      </c>
      <c r="O1758" s="6">
        <f>IFERROR($I1758*3,"")</f>
        <v/>
      </c>
      <c r="P1758" s="6">
        <f>IFERROR($I1758*3.5,"")</f>
        <v/>
      </c>
      <c r="Q1758" s="6">
        <f>IFERROR($I1758*4,"")</f>
        <v/>
      </c>
      <c r="R1758" s="6" t="n">
        <v>532</v>
      </c>
      <c r="S1758" s="4" t="n">
        <v>1</v>
      </c>
      <c r="T1758" s="1" t="inlineStr">
        <is>
          <t>active</t>
        </is>
      </c>
      <c r="U1758" s="8" t="n"/>
      <c r="V1758" s="1" t="inlineStr">
        <is>
          <t>SIN PRECIO</t>
        </is>
      </c>
    </row>
    <row r="1759">
      <c r="A1759" s="1" t="inlineStr">
        <is>
          <t>68431131886732</t>
        </is>
      </c>
      <c r="B1759" s="1" t="inlineStr">
        <is>
          <t>ARETES PERLEÉ ROSEGOLD</t>
        </is>
      </c>
      <c r="C1759" s="1" t="inlineStr">
        <is>
          <t>Default Title</t>
        </is>
      </c>
      <c r="D1759" s="1" t="inlineStr">
        <is>
          <t>NANCY</t>
        </is>
      </c>
      <c r="E1759" s="4">
        <f>COUNTIF('DETALLE CRONOLÓGICO'!$A$2:$A$4919,$A1759)</f>
        <v/>
      </c>
      <c r="F1759" s="4">
        <f>SUMIFS('DETALLE CRONOLÓGICO'!$I$2:$I$4919,'DETALLE CRONOLÓGICO'!$A$2:$A$4919,$A1759)</f>
        <v/>
      </c>
      <c r="G1759" s="1">
        <f>INDEX('DETALLE CRONOLÓGICO'!$D$2:$D$4919,MATCH($A1759,'DETALLE CRONOLÓGICO'!$A$2:$A$4919,0))</f>
        <v/>
      </c>
      <c r="H1759" s="1">
        <f>INDEX('DETALLE CRONOLÓGICO'!$D$2:$D$4919,MATCH($A1759,'DETALLE CRONOLÓGICO'!$A$2:$A$4919,0)+$E1759-1)</f>
        <v/>
      </c>
      <c r="I1759" s="5">
        <f>IFERROR(SUMIFS('DETALLE CRONOLÓGICO'!$L$2:$L$4919,'DETALLE CRONOLÓGICO'!$A$2:$A$4919,$A1759)/$F1759,"")</f>
        <v/>
      </c>
      <c r="J1759" s="6">
        <f>IFERROR(SUMIFS('DETALLE CRONOLÓGICO'!$K$2:$K$4919,'DETALLE CRONOLÓGICO'!$A$2:$A$4919,$A1759)/$E1759,"")</f>
        <v/>
      </c>
      <c r="K1759" s="6">
        <f>_xlfn.MINIFS('DETALLE CRONOLÓGICO'!$K$2:$K$4919,'DETALLE CRONOLÓGICO'!$A$2:$A$4919,$A1759)</f>
        <v/>
      </c>
      <c r="L1759" s="6">
        <f>_xlfn.MAXIFS('DETALLE CRONOLÓGICO'!$K$2:$K$4919,'DETALLE CRONOLÓGICO'!$A$2:$A$4919,$A1759)</f>
        <v/>
      </c>
      <c r="M1759" s="6">
        <f>INDEX('DETALLE CRONOLÓGICO'!$K$2:$K$4919,MATCH($A1759,'DETALLE CRONOLÓGICO'!$A$2:$A$4919,0)+$E1759-1)</f>
        <v/>
      </c>
      <c r="N1759" s="7">
        <f>IFERROR($M1759/INDEX('DETALLE CRONOLÓGICO'!$K$2:$K$4919,MATCH($A1759,'DETALLE CRONOLÓGICO'!$A$2:$A$4919,0))-1,"")</f>
        <v/>
      </c>
      <c r="O1759" s="6">
        <f>IFERROR($I1759*3,"")</f>
        <v/>
      </c>
      <c r="P1759" s="6">
        <f>IFERROR($I1759*3.5,"")</f>
        <v/>
      </c>
      <c r="Q1759" s="6">
        <f>IFERROR($I1759*4,"")</f>
        <v/>
      </c>
      <c r="R1759" s="6" t="n">
        <v>850</v>
      </c>
      <c r="S1759" s="4" t="n">
        <v>3</v>
      </c>
      <c r="T1759" s="1" t="inlineStr">
        <is>
          <t>active</t>
        </is>
      </c>
      <c r="U1759" s="8" t="n"/>
      <c r="V1759" s="1" t="inlineStr">
        <is>
          <t>SIN PRECIO</t>
        </is>
      </c>
    </row>
    <row r="1760">
      <c r="A1760" s="1" t="inlineStr">
        <is>
          <t>68431135029516</t>
        </is>
      </c>
      <c r="B1760" s="1" t="inlineStr">
        <is>
          <t>ARETES GC COLGANTES PERLA</t>
        </is>
      </c>
      <c r="C1760" s="1" t="inlineStr">
        <is>
          <t>Default Title</t>
        </is>
      </c>
      <c r="D1760" s="1" t="inlineStr">
        <is>
          <t>NANCY</t>
        </is>
      </c>
      <c r="E1760" s="4">
        <f>COUNTIF('DETALLE CRONOLÓGICO'!$A$2:$A$4919,$A1760)</f>
        <v/>
      </c>
      <c r="F1760" s="4">
        <f>SUMIFS('DETALLE CRONOLÓGICO'!$I$2:$I$4919,'DETALLE CRONOLÓGICO'!$A$2:$A$4919,$A1760)</f>
        <v/>
      </c>
      <c r="G1760" s="1">
        <f>INDEX('DETALLE CRONOLÓGICO'!$D$2:$D$4919,MATCH($A1760,'DETALLE CRONOLÓGICO'!$A$2:$A$4919,0))</f>
        <v/>
      </c>
      <c r="H1760" s="1">
        <f>INDEX('DETALLE CRONOLÓGICO'!$D$2:$D$4919,MATCH($A1760,'DETALLE CRONOLÓGICO'!$A$2:$A$4919,0)+$E1760-1)</f>
        <v/>
      </c>
      <c r="I1760" s="5">
        <f>IFERROR(SUMIFS('DETALLE CRONOLÓGICO'!$L$2:$L$4919,'DETALLE CRONOLÓGICO'!$A$2:$A$4919,$A1760)/$F1760,"")</f>
        <v/>
      </c>
      <c r="J1760" s="6">
        <f>IFERROR(SUMIFS('DETALLE CRONOLÓGICO'!$K$2:$K$4919,'DETALLE CRONOLÓGICO'!$A$2:$A$4919,$A1760)/$E1760,"")</f>
        <v/>
      </c>
      <c r="K1760" s="6">
        <f>_xlfn.MINIFS('DETALLE CRONOLÓGICO'!$K$2:$K$4919,'DETALLE CRONOLÓGICO'!$A$2:$A$4919,$A1760)</f>
        <v/>
      </c>
      <c r="L1760" s="6">
        <f>_xlfn.MAXIFS('DETALLE CRONOLÓGICO'!$K$2:$K$4919,'DETALLE CRONOLÓGICO'!$A$2:$A$4919,$A1760)</f>
        <v/>
      </c>
      <c r="M1760" s="6">
        <f>INDEX('DETALLE CRONOLÓGICO'!$K$2:$K$4919,MATCH($A1760,'DETALLE CRONOLÓGICO'!$A$2:$A$4919,0)+$E1760-1)</f>
        <v/>
      </c>
      <c r="N1760" s="7">
        <f>IFERROR($M1760/INDEX('DETALLE CRONOLÓGICO'!$K$2:$K$4919,MATCH($A1760,'DETALLE CRONOLÓGICO'!$A$2:$A$4919,0))-1,"")</f>
        <v/>
      </c>
      <c r="O1760" s="6">
        <f>IFERROR($I1760*3,"")</f>
        <v/>
      </c>
      <c r="P1760" s="6">
        <f>IFERROR($I1760*3.5,"")</f>
        <v/>
      </c>
      <c r="Q1760" s="6">
        <f>IFERROR($I1760*4,"")</f>
        <v/>
      </c>
      <c r="R1760" s="6" t="n">
        <v>620</v>
      </c>
      <c r="S1760" s="4" t="n">
        <v>2</v>
      </c>
      <c r="T1760" s="1" t="inlineStr">
        <is>
          <t>active</t>
        </is>
      </c>
      <c r="U1760" s="8" t="n"/>
      <c r="V1760" s="1" t="inlineStr">
        <is>
          <t>SIN PRECIO</t>
        </is>
      </c>
    </row>
    <row r="1761">
      <c r="A1761" s="1" t="inlineStr">
        <is>
          <t>68802901471244</t>
        </is>
      </c>
      <c r="B1761" s="1" t="inlineStr">
        <is>
          <t>BOLSO LV MESSENGER</t>
        </is>
      </c>
      <c r="C1761" s="1" t="inlineStr">
        <is>
          <t>30cm de largo x 20cm de alto x 10 cm de ancho</t>
        </is>
      </c>
      <c r="D1761" s="1" t="inlineStr">
        <is>
          <t>ZOEY</t>
        </is>
      </c>
      <c r="E1761" s="4">
        <f>COUNTIF('DETALLE CRONOLÓGICO'!$A$2:$A$4919,$A1761)</f>
        <v/>
      </c>
      <c r="F1761" s="4">
        <f>SUMIFS('DETALLE CRONOLÓGICO'!$I$2:$I$4919,'DETALLE CRONOLÓGICO'!$A$2:$A$4919,$A1761)</f>
        <v/>
      </c>
      <c r="G1761" s="1">
        <f>INDEX('DETALLE CRONOLÓGICO'!$D$2:$D$4919,MATCH($A1761,'DETALLE CRONOLÓGICO'!$A$2:$A$4919,0))</f>
        <v/>
      </c>
      <c r="H1761" s="1">
        <f>INDEX('DETALLE CRONOLÓGICO'!$D$2:$D$4919,MATCH($A1761,'DETALLE CRONOLÓGICO'!$A$2:$A$4919,0)+$E1761-1)</f>
        <v/>
      </c>
      <c r="I1761" s="5">
        <f>IFERROR(SUMIFS('DETALLE CRONOLÓGICO'!$L$2:$L$4919,'DETALLE CRONOLÓGICO'!$A$2:$A$4919,$A1761)/$F1761,"")</f>
        <v/>
      </c>
      <c r="J1761" s="6">
        <f>IFERROR(SUMIFS('DETALLE CRONOLÓGICO'!$K$2:$K$4919,'DETALLE CRONOLÓGICO'!$A$2:$A$4919,$A1761)/$E1761,"")</f>
        <v/>
      </c>
      <c r="K1761" s="6">
        <f>_xlfn.MINIFS('DETALLE CRONOLÓGICO'!$K$2:$K$4919,'DETALLE CRONOLÓGICO'!$A$2:$A$4919,$A1761)</f>
        <v/>
      </c>
      <c r="L1761" s="6">
        <f>_xlfn.MAXIFS('DETALLE CRONOLÓGICO'!$K$2:$K$4919,'DETALLE CRONOLÓGICO'!$A$2:$A$4919,$A1761)</f>
        <v/>
      </c>
      <c r="M1761" s="6">
        <f>INDEX('DETALLE CRONOLÓGICO'!$K$2:$K$4919,MATCH($A1761,'DETALLE CRONOLÓGICO'!$A$2:$A$4919,0)+$E1761-1)</f>
        <v/>
      </c>
      <c r="N1761" s="7">
        <f>IFERROR($M1761/INDEX('DETALLE CRONOLÓGICO'!$K$2:$K$4919,MATCH($A1761,'DETALLE CRONOLÓGICO'!$A$2:$A$4919,0))-1,"")</f>
        <v/>
      </c>
      <c r="O1761" s="6">
        <f>IFERROR($I1761*3,"")</f>
        <v/>
      </c>
      <c r="P1761" s="6">
        <f>IFERROR($I1761*3.5,"")</f>
        <v/>
      </c>
      <c r="Q1761" s="6">
        <f>IFERROR($I1761*4,"")</f>
        <v/>
      </c>
      <c r="R1761" s="6" t="n">
        <v>1900</v>
      </c>
      <c r="S1761" s="4" t="n">
        <v>3</v>
      </c>
      <c r="T1761" s="1" t="inlineStr">
        <is>
          <t>active</t>
        </is>
      </c>
      <c r="U1761" s="8" t="n"/>
      <c r="V1761" s="1" t="inlineStr">
        <is>
          <t>SIN PRECIO</t>
        </is>
      </c>
    </row>
    <row r="1762">
      <c r="A1762" s="1" t="inlineStr">
        <is>
          <t>68802903720716</t>
        </is>
      </c>
      <c r="B1762" s="1" t="inlineStr">
        <is>
          <t>BOLSO LV HAMAC</t>
        </is>
      </c>
      <c r="C1762" s="1" t="inlineStr">
        <is>
          <t>30cm de largo x 16cm de alto x 7.5cm de ancho</t>
        </is>
      </c>
      <c r="D1762" s="1" t="inlineStr">
        <is>
          <t>ZOEY</t>
        </is>
      </c>
      <c r="E1762" s="4">
        <f>COUNTIF('DETALLE CRONOLÓGICO'!$A$2:$A$4919,$A1762)</f>
        <v/>
      </c>
      <c r="F1762" s="4">
        <f>SUMIFS('DETALLE CRONOLÓGICO'!$I$2:$I$4919,'DETALLE CRONOLÓGICO'!$A$2:$A$4919,$A1762)</f>
        <v/>
      </c>
      <c r="G1762" s="1">
        <f>INDEX('DETALLE CRONOLÓGICO'!$D$2:$D$4919,MATCH($A1762,'DETALLE CRONOLÓGICO'!$A$2:$A$4919,0))</f>
        <v/>
      </c>
      <c r="H1762" s="1">
        <f>INDEX('DETALLE CRONOLÓGICO'!$D$2:$D$4919,MATCH($A1762,'DETALLE CRONOLÓGICO'!$A$2:$A$4919,0)+$E1762-1)</f>
        <v/>
      </c>
      <c r="I1762" s="5">
        <f>IFERROR(SUMIFS('DETALLE CRONOLÓGICO'!$L$2:$L$4919,'DETALLE CRONOLÓGICO'!$A$2:$A$4919,$A1762)/$F1762,"")</f>
        <v/>
      </c>
      <c r="J1762" s="6">
        <f>IFERROR(SUMIFS('DETALLE CRONOLÓGICO'!$K$2:$K$4919,'DETALLE CRONOLÓGICO'!$A$2:$A$4919,$A1762)/$E1762,"")</f>
        <v/>
      </c>
      <c r="K1762" s="6">
        <f>_xlfn.MINIFS('DETALLE CRONOLÓGICO'!$K$2:$K$4919,'DETALLE CRONOLÓGICO'!$A$2:$A$4919,$A1762)</f>
        <v/>
      </c>
      <c r="L1762" s="6">
        <f>_xlfn.MAXIFS('DETALLE CRONOLÓGICO'!$K$2:$K$4919,'DETALLE CRONOLÓGICO'!$A$2:$A$4919,$A1762)</f>
        <v/>
      </c>
      <c r="M1762" s="6">
        <f>INDEX('DETALLE CRONOLÓGICO'!$K$2:$K$4919,MATCH($A1762,'DETALLE CRONOLÓGICO'!$A$2:$A$4919,0)+$E1762-1)</f>
        <v/>
      </c>
      <c r="N1762" s="7">
        <f>IFERROR($M1762/INDEX('DETALLE CRONOLÓGICO'!$K$2:$K$4919,MATCH($A1762,'DETALLE CRONOLÓGICO'!$A$2:$A$4919,0))-1,"")</f>
        <v/>
      </c>
      <c r="O1762" s="6">
        <f>IFERROR($I1762*3,"")</f>
        <v/>
      </c>
      <c r="P1762" s="6">
        <f>IFERROR($I1762*3.5,"")</f>
        <v/>
      </c>
      <c r="Q1762" s="6">
        <f>IFERROR($I1762*4,"")</f>
        <v/>
      </c>
      <c r="R1762" s="6" t="n">
        <v>4689</v>
      </c>
      <c r="S1762" s="4" t="n">
        <v>3</v>
      </c>
      <c r="T1762" s="1" t="inlineStr">
        <is>
          <t>active</t>
        </is>
      </c>
      <c r="U1762" s="8" t="n"/>
      <c r="V1762" s="1" t="inlineStr">
        <is>
          <t>SIN PRECIO</t>
        </is>
      </c>
    </row>
    <row r="1763">
      <c r="A1763" s="1" t="inlineStr">
        <is>
          <t>68eee447fb3d</t>
        </is>
      </c>
      <c r="B1763" s="1" t="inlineStr">
        <is>
          <t>ARETES DE ESLABONES GOLD MZ</t>
        </is>
      </c>
      <c r="C1763" s="1" t="n"/>
      <c r="D1763" s="1" t="inlineStr">
        <is>
          <t>NANCY</t>
        </is>
      </c>
      <c r="E1763" s="4">
        <f>COUNTIF('DETALLE CRONOLÓGICO'!$A$2:$A$4919,$A1763)</f>
        <v/>
      </c>
      <c r="F1763" s="4">
        <f>SUMIFS('DETALLE CRONOLÓGICO'!$I$2:$I$4919,'DETALLE CRONOLÓGICO'!$A$2:$A$4919,$A1763)</f>
        <v/>
      </c>
      <c r="G1763" s="1">
        <f>INDEX('DETALLE CRONOLÓGICO'!$D$2:$D$4919,MATCH($A1763,'DETALLE CRONOLÓGICO'!$A$2:$A$4919,0))</f>
        <v/>
      </c>
      <c r="H1763" s="1">
        <f>INDEX('DETALLE CRONOLÓGICO'!$D$2:$D$4919,MATCH($A1763,'DETALLE CRONOLÓGICO'!$A$2:$A$4919,0)+$E1763-1)</f>
        <v/>
      </c>
      <c r="I1763" s="5">
        <f>IFERROR(SUMIFS('DETALLE CRONOLÓGICO'!$L$2:$L$4919,'DETALLE CRONOLÓGICO'!$A$2:$A$4919,$A1763)/$F1763,"")</f>
        <v/>
      </c>
      <c r="J1763" s="6">
        <f>IFERROR(SUMIFS('DETALLE CRONOLÓGICO'!$K$2:$K$4919,'DETALLE CRONOLÓGICO'!$A$2:$A$4919,$A1763)/$E1763,"")</f>
        <v/>
      </c>
      <c r="K1763" s="6">
        <f>_xlfn.MINIFS('DETALLE CRONOLÓGICO'!$K$2:$K$4919,'DETALLE CRONOLÓGICO'!$A$2:$A$4919,$A1763)</f>
        <v/>
      </c>
      <c r="L1763" s="6">
        <f>_xlfn.MAXIFS('DETALLE CRONOLÓGICO'!$K$2:$K$4919,'DETALLE CRONOLÓGICO'!$A$2:$A$4919,$A1763)</f>
        <v/>
      </c>
      <c r="M1763" s="6">
        <f>INDEX('DETALLE CRONOLÓGICO'!$K$2:$K$4919,MATCH($A1763,'DETALLE CRONOLÓGICO'!$A$2:$A$4919,0)+$E1763-1)</f>
        <v/>
      </c>
      <c r="N1763" s="7">
        <f>IFERROR($M1763/INDEX('DETALLE CRONOLÓGICO'!$K$2:$K$4919,MATCH($A1763,'DETALLE CRONOLÓGICO'!$A$2:$A$4919,0))-1,"")</f>
        <v/>
      </c>
      <c r="O1763" s="6">
        <f>IFERROR($I1763*3,"")</f>
        <v/>
      </c>
      <c r="P1763" s="6">
        <f>IFERROR($I1763*3.5,"")</f>
        <v/>
      </c>
      <c r="Q1763" s="6">
        <f>IFERROR($I1763*4,"")</f>
        <v/>
      </c>
      <c r="R1763" s="6" t="n"/>
      <c r="S1763" s="4" t="n"/>
      <c r="T1763" s="1" t="inlineStr">
        <is>
          <t>YA NO EXISTE EN SHOPIFY</t>
        </is>
      </c>
      <c r="U1763" s="8" t="n"/>
      <c r="V1763" s="1" t="inlineStr">
        <is>
          <t>SIN PRECIO</t>
        </is>
      </c>
    </row>
    <row r="1764">
      <c r="A1764" s="1" t="inlineStr">
        <is>
          <t>69428801043277</t>
        </is>
      </c>
      <c r="B1764" s="1" t="inlineStr">
        <is>
          <t>TRAJE DE BAÑO F</t>
        </is>
      </c>
      <c r="C1764" s="1" t="inlineStr">
        <is>
          <t>L</t>
        </is>
      </c>
      <c r="D1764" s="1" t="inlineStr">
        <is>
          <t>ZOEY</t>
        </is>
      </c>
      <c r="E1764" s="4">
        <f>COUNTIF('DETALLE CRONOLÓGICO'!$A$2:$A$4919,$A1764)</f>
        <v/>
      </c>
      <c r="F1764" s="4">
        <f>SUMIFS('DETALLE CRONOLÓGICO'!$I$2:$I$4919,'DETALLE CRONOLÓGICO'!$A$2:$A$4919,$A1764)</f>
        <v/>
      </c>
      <c r="G1764" s="1">
        <f>INDEX('DETALLE CRONOLÓGICO'!$D$2:$D$4919,MATCH($A1764,'DETALLE CRONOLÓGICO'!$A$2:$A$4919,0))</f>
        <v/>
      </c>
      <c r="H1764" s="1">
        <f>INDEX('DETALLE CRONOLÓGICO'!$D$2:$D$4919,MATCH($A1764,'DETALLE CRONOLÓGICO'!$A$2:$A$4919,0)+$E1764-1)</f>
        <v/>
      </c>
      <c r="I1764" s="5">
        <f>IFERROR(SUMIFS('DETALLE CRONOLÓGICO'!$L$2:$L$4919,'DETALLE CRONOLÓGICO'!$A$2:$A$4919,$A1764)/$F1764,"")</f>
        <v/>
      </c>
      <c r="J1764" s="6">
        <f>IFERROR(SUMIFS('DETALLE CRONOLÓGICO'!$K$2:$K$4919,'DETALLE CRONOLÓGICO'!$A$2:$A$4919,$A1764)/$E1764,"")</f>
        <v/>
      </c>
      <c r="K1764" s="6">
        <f>_xlfn.MINIFS('DETALLE CRONOLÓGICO'!$K$2:$K$4919,'DETALLE CRONOLÓGICO'!$A$2:$A$4919,$A1764)</f>
        <v/>
      </c>
      <c r="L1764" s="6">
        <f>_xlfn.MAXIFS('DETALLE CRONOLÓGICO'!$K$2:$K$4919,'DETALLE CRONOLÓGICO'!$A$2:$A$4919,$A1764)</f>
        <v/>
      </c>
      <c r="M1764" s="6">
        <f>INDEX('DETALLE CRONOLÓGICO'!$K$2:$K$4919,MATCH($A1764,'DETALLE CRONOLÓGICO'!$A$2:$A$4919,0)+$E1764-1)</f>
        <v/>
      </c>
      <c r="N1764" s="7">
        <f>IFERROR($M1764/INDEX('DETALLE CRONOLÓGICO'!$K$2:$K$4919,MATCH($A1764,'DETALLE CRONOLÓGICO'!$A$2:$A$4919,0))-1,"")</f>
        <v/>
      </c>
      <c r="O1764" s="6">
        <f>IFERROR($I1764*3,"")</f>
        <v/>
      </c>
      <c r="P1764" s="6">
        <f>IFERROR($I1764*3.5,"")</f>
        <v/>
      </c>
      <c r="Q1764" s="6">
        <f>IFERROR($I1764*4,"")</f>
        <v/>
      </c>
      <c r="R1764" s="6" t="n">
        <v>2659</v>
      </c>
      <c r="S1764" s="4" t="n">
        <v>2</v>
      </c>
      <c r="T1764" s="1" t="inlineStr">
        <is>
          <t>active</t>
        </is>
      </c>
      <c r="U1764" s="8" t="n"/>
      <c r="V1764" s="1" t="inlineStr">
        <is>
          <t>SIN PRECIO</t>
        </is>
      </c>
    </row>
    <row r="1765">
      <c r="A1765" s="1" t="inlineStr">
        <is>
          <t>69521938776076</t>
        </is>
      </c>
      <c r="B1765" s="1" t="inlineStr">
        <is>
          <t>BOLSO CD CARO</t>
        </is>
      </c>
      <c r="C1765" s="1" t="inlineStr">
        <is>
          <t>18.5cm x 12cm x 6cm</t>
        </is>
      </c>
      <c r="D1765" s="1" t="inlineStr">
        <is>
          <t>ZOEY</t>
        </is>
      </c>
      <c r="E1765" s="4">
        <f>COUNTIF('DETALLE CRONOLÓGICO'!$A$2:$A$4919,$A1765)</f>
        <v/>
      </c>
      <c r="F1765" s="4">
        <f>SUMIFS('DETALLE CRONOLÓGICO'!$I$2:$I$4919,'DETALLE CRONOLÓGICO'!$A$2:$A$4919,$A1765)</f>
        <v/>
      </c>
      <c r="G1765" s="1">
        <f>INDEX('DETALLE CRONOLÓGICO'!$D$2:$D$4919,MATCH($A1765,'DETALLE CRONOLÓGICO'!$A$2:$A$4919,0))</f>
        <v/>
      </c>
      <c r="H1765" s="1">
        <f>INDEX('DETALLE CRONOLÓGICO'!$D$2:$D$4919,MATCH($A1765,'DETALLE CRONOLÓGICO'!$A$2:$A$4919,0)+$E1765-1)</f>
        <v/>
      </c>
      <c r="I1765" s="5">
        <f>IFERROR(SUMIFS('DETALLE CRONOLÓGICO'!$L$2:$L$4919,'DETALLE CRONOLÓGICO'!$A$2:$A$4919,$A1765)/$F1765,"")</f>
        <v/>
      </c>
      <c r="J1765" s="6">
        <f>IFERROR(SUMIFS('DETALLE CRONOLÓGICO'!$K$2:$K$4919,'DETALLE CRONOLÓGICO'!$A$2:$A$4919,$A1765)/$E1765,"")</f>
        <v/>
      </c>
      <c r="K1765" s="6">
        <f>_xlfn.MINIFS('DETALLE CRONOLÓGICO'!$K$2:$K$4919,'DETALLE CRONOLÓGICO'!$A$2:$A$4919,$A1765)</f>
        <v/>
      </c>
      <c r="L1765" s="6">
        <f>_xlfn.MAXIFS('DETALLE CRONOLÓGICO'!$K$2:$K$4919,'DETALLE CRONOLÓGICO'!$A$2:$A$4919,$A1765)</f>
        <v/>
      </c>
      <c r="M1765" s="6">
        <f>INDEX('DETALLE CRONOLÓGICO'!$K$2:$K$4919,MATCH($A1765,'DETALLE CRONOLÓGICO'!$A$2:$A$4919,0)+$E1765-1)</f>
        <v/>
      </c>
      <c r="N1765" s="7">
        <f>IFERROR($M1765/INDEX('DETALLE CRONOLÓGICO'!$K$2:$K$4919,MATCH($A1765,'DETALLE CRONOLÓGICO'!$A$2:$A$4919,0))-1,"")</f>
        <v/>
      </c>
      <c r="O1765" s="6">
        <f>IFERROR($I1765*3,"")</f>
        <v/>
      </c>
      <c r="P1765" s="6">
        <f>IFERROR($I1765*3.5,"")</f>
        <v/>
      </c>
      <c r="Q1765" s="6">
        <f>IFERROR($I1765*4,"")</f>
        <v/>
      </c>
      <c r="R1765" s="6" t="n">
        <v>5239</v>
      </c>
      <c r="S1765" s="4" t="n">
        <v>1</v>
      </c>
      <c r="T1765" s="1" t="inlineStr">
        <is>
          <t>active</t>
        </is>
      </c>
      <c r="U1765" s="8" t="n"/>
      <c r="V1765" s="1" t="inlineStr">
        <is>
          <t>SIN PRECIO</t>
        </is>
      </c>
    </row>
    <row r="1766">
      <c r="A1766" s="1" t="inlineStr">
        <is>
          <t>69612281066221</t>
        </is>
      </c>
      <c r="B1766" s="1" t="inlineStr">
        <is>
          <t>ARETES CD GOLD WHITE CON ZIRCONIA</t>
        </is>
      </c>
      <c r="C1766" s="1" t="inlineStr">
        <is>
          <t>Default Title</t>
        </is>
      </c>
      <c r="D1766" s="1" t="inlineStr">
        <is>
          <t>ZOEY</t>
        </is>
      </c>
      <c r="E1766" s="4">
        <f>COUNTIF('DETALLE CRONOLÓGICO'!$A$2:$A$4919,$A1766)</f>
        <v/>
      </c>
      <c r="F1766" s="4">
        <f>SUMIFS('DETALLE CRONOLÓGICO'!$I$2:$I$4919,'DETALLE CRONOLÓGICO'!$A$2:$A$4919,$A1766)</f>
        <v/>
      </c>
      <c r="G1766" s="1">
        <f>INDEX('DETALLE CRONOLÓGICO'!$D$2:$D$4919,MATCH($A1766,'DETALLE CRONOLÓGICO'!$A$2:$A$4919,0))</f>
        <v/>
      </c>
      <c r="H1766" s="1">
        <f>INDEX('DETALLE CRONOLÓGICO'!$D$2:$D$4919,MATCH($A1766,'DETALLE CRONOLÓGICO'!$A$2:$A$4919,0)+$E1766-1)</f>
        <v/>
      </c>
      <c r="I1766" s="5">
        <f>IFERROR(SUMIFS('DETALLE CRONOLÓGICO'!$L$2:$L$4919,'DETALLE CRONOLÓGICO'!$A$2:$A$4919,$A1766)/$F1766,"")</f>
        <v/>
      </c>
      <c r="J1766" s="6">
        <f>IFERROR(SUMIFS('DETALLE CRONOLÓGICO'!$K$2:$K$4919,'DETALLE CRONOLÓGICO'!$A$2:$A$4919,$A1766)/$E1766,"")</f>
        <v/>
      </c>
      <c r="K1766" s="6">
        <f>_xlfn.MINIFS('DETALLE CRONOLÓGICO'!$K$2:$K$4919,'DETALLE CRONOLÓGICO'!$A$2:$A$4919,$A1766)</f>
        <v/>
      </c>
      <c r="L1766" s="6">
        <f>_xlfn.MAXIFS('DETALLE CRONOLÓGICO'!$K$2:$K$4919,'DETALLE CRONOLÓGICO'!$A$2:$A$4919,$A1766)</f>
        <v/>
      </c>
      <c r="M1766" s="6">
        <f>INDEX('DETALLE CRONOLÓGICO'!$K$2:$K$4919,MATCH($A1766,'DETALLE CRONOLÓGICO'!$A$2:$A$4919,0)+$E1766-1)</f>
        <v/>
      </c>
      <c r="N1766" s="7">
        <f>IFERROR($M1766/INDEX('DETALLE CRONOLÓGICO'!$K$2:$K$4919,MATCH($A1766,'DETALLE CRONOLÓGICO'!$A$2:$A$4919,0))-1,"")</f>
        <v/>
      </c>
      <c r="O1766" s="6">
        <f>IFERROR($I1766*3,"")</f>
        <v/>
      </c>
      <c r="P1766" s="6">
        <f>IFERROR($I1766*3.5,"")</f>
        <v/>
      </c>
      <c r="Q1766" s="6">
        <f>IFERROR($I1766*4,"")</f>
        <v/>
      </c>
      <c r="R1766" s="6" t="n">
        <v>959</v>
      </c>
      <c r="S1766" s="4" t="n">
        <v>4</v>
      </c>
      <c r="T1766" s="1" t="inlineStr">
        <is>
          <t>active</t>
        </is>
      </c>
      <c r="U1766" s="8" t="n"/>
      <c r="V1766" s="1" t="inlineStr">
        <is>
          <t>SIN PRECIO</t>
        </is>
      </c>
    </row>
    <row r="1767">
      <c r="A1767" s="1" t="inlineStr">
        <is>
          <t>69645921049005</t>
        </is>
      </c>
      <c r="B1767" s="1" t="inlineStr">
        <is>
          <t>PULSERA YSL GOLD</t>
        </is>
      </c>
      <c r="C1767" s="1" t="inlineStr">
        <is>
          <t>Default Title</t>
        </is>
      </c>
      <c r="D1767" s="1" t="inlineStr">
        <is>
          <t>NANCY</t>
        </is>
      </c>
      <c r="E1767" s="4">
        <f>COUNTIF('DETALLE CRONOLÓGICO'!$A$2:$A$4919,$A1767)</f>
        <v/>
      </c>
      <c r="F1767" s="4">
        <f>SUMIFS('DETALLE CRONOLÓGICO'!$I$2:$I$4919,'DETALLE CRONOLÓGICO'!$A$2:$A$4919,$A1767)</f>
        <v/>
      </c>
      <c r="G1767" s="1">
        <f>INDEX('DETALLE CRONOLÓGICO'!$D$2:$D$4919,MATCH($A1767,'DETALLE CRONOLÓGICO'!$A$2:$A$4919,0))</f>
        <v/>
      </c>
      <c r="H1767" s="1">
        <f>INDEX('DETALLE CRONOLÓGICO'!$D$2:$D$4919,MATCH($A1767,'DETALLE CRONOLÓGICO'!$A$2:$A$4919,0)+$E1767-1)</f>
        <v/>
      </c>
      <c r="I1767" s="5">
        <f>IFERROR(SUMIFS('DETALLE CRONOLÓGICO'!$L$2:$L$4919,'DETALLE CRONOLÓGICO'!$A$2:$A$4919,$A1767)/$F1767,"")</f>
        <v/>
      </c>
      <c r="J1767" s="6">
        <f>IFERROR(SUMIFS('DETALLE CRONOLÓGICO'!$K$2:$K$4919,'DETALLE CRONOLÓGICO'!$A$2:$A$4919,$A1767)/$E1767,"")</f>
        <v/>
      </c>
      <c r="K1767" s="6">
        <f>_xlfn.MINIFS('DETALLE CRONOLÓGICO'!$K$2:$K$4919,'DETALLE CRONOLÓGICO'!$A$2:$A$4919,$A1767)</f>
        <v/>
      </c>
      <c r="L1767" s="6">
        <f>_xlfn.MAXIFS('DETALLE CRONOLÓGICO'!$K$2:$K$4919,'DETALLE CRONOLÓGICO'!$A$2:$A$4919,$A1767)</f>
        <v/>
      </c>
      <c r="M1767" s="6">
        <f>INDEX('DETALLE CRONOLÓGICO'!$K$2:$K$4919,MATCH($A1767,'DETALLE CRONOLÓGICO'!$A$2:$A$4919,0)+$E1767-1)</f>
        <v/>
      </c>
      <c r="N1767" s="7">
        <f>IFERROR($M1767/INDEX('DETALLE CRONOLÓGICO'!$K$2:$K$4919,MATCH($A1767,'DETALLE CRONOLÓGICO'!$A$2:$A$4919,0))-1,"")</f>
        <v/>
      </c>
      <c r="O1767" s="6">
        <f>IFERROR($I1767*3,"")</f>
        <v/>
      </c>
      <c r="P1767" s="6">
        <f>IFERROR($I1767*3.5,"")</f>
        <v/>
      </c>
      <c r="Q1767" s="6">
        <f>IFERROR($I1767*4,"")</f>
        <v/>
      </c>
      <c r="R1767" s="6" t="n">
        <v>380</v>
      </c>
      <c r="S1767" s="4" t="n">
        <v>0</v>
      </c>
      <c r="T1767" s="1" t="inlineStr">
        <is>
          <t>active</t>
        </is>
      </c>
      <c r="U1767" s="8" t="n"/>
      <c r="V1767" s="1" t="inlineStr">
        <is>
          <t>SIN PRECIO</t>
        </is>
      </c>
    </row>
    <row r="1768">
      <c r="A1768" s="1" t="inlineStr">
        <is>
          <t>69943351015917</t>
        </is>
      </c>
      <c r="B1768" s="1" t="inlineStr">
        <is>
          <t>GORRA A BROWN</t>
        </is>
      </c>
      <c r="C1768" s="1" t="inlineStr">
        <is>
          <t>Default Title</t>
        </is>
      </c>
      <c r="D1768" s="1" t="inlineStr">
        <is>
          <t>ZOEY</t>
        </is>
      </c>
      <c r="E1768" s="4">
        <f>COUNTIF('DETALLE CRONOLÓGICO'!$A$2:$A$4919,$A1768)</f>
        <v/>
      </c>
      <c r="F1768" s="4">
        <f>SUMIFS('DETALLE CRONOLÓGICO'!$I$2:$I$4919,'DETALLE CRONOLÓGICO'!$A$2:$A$4919,$A1768)</f>
        <v/>
      </c>
      <c r="G1768" s="1">
        <f>INDEX('DETALLE CRONOLÓGICO'!$D$2:$D$4919,MATCH($A1768,'DETALLE CRONOLÓGICO'!$A$2:$A$4919,0))</f>
        <v/>
      </c>
      <c r="H1768" s="1">
        <f>INDEX('DETALLE CRONOLÓGICO'!$D$2:$D$4919,MATCH($A1768,'DETALLE CRONOLÓGICO'!$A$2:$A$4919,0)+$E1768-1)</f>
        <v/>
      </c>
      <c r="I1768" s="5">
        <f>IFERROR(SUMIFS('DETALLE CRONOLÓGICO'!$L$2:$L$4919,'DETALLE CRONOLÓGICO'!$A$2:$A$4919,$A1768)/$F1768,"")</f>
        <v/>
      </c>
      <c r="J1768" s="6">
        <f>IFERROR(SUMIFS('DETALLE CRONOLÓGICO'!$K$2:$K$4919,'DETALLE CRONOLÓGICO'!$A$2:$A$4919,$A1768)/$E1768,"")</f>
        <v/>
      </c>
      <c r="K1768" s="6">
        <f>_xlfn.MINIFS('DETALLE CRONOLÓGICO'!$K$2:$K$4919,'DETALLE CRONOLÓGICO'!$A$2:$A$4919,$A1768)</f>
        <v/>
      </c>
      <c r="L1768" s="6">
        <f>_xlfn.MAXIFS('DETALLE CRONOLÓGICO'!$K$2:$K$4919,'DETALLE CRONOLÓGICO'!$A$2:$A$4919,$A1768)</f>
        <v/>
      </c>
      <c r="M1768" s="6">
        <f>INDEX('DETALLE CRONOLÓGICO'!$K$2:$K$4919,MATCH($A1768,'DETALLE CRONOLÓGICO'!$A$2:$A$4919,0)+$E1768-1)</f>
        <v/>
      </c>
      <c r="N1768" s="7">
        <f>IFERROR($M1768/INDEX('DETALLE CRONOLÓGICO'!$K$2:$K$4919,MATCH($A1768,'DETALLE CRONOLÓGICO'!$A$2:$A$4919,0))-1,"")</f>
        <v/>
      </c>
      <c r="O1768" s="6">
        <f>IFERROR($I1768*3,"")</f>
        <v/>
      </c>
      <c r="P1768" s="6">
        <f>IFERROR($I1768*3.5,"")</f>
        <v/>
      </c>
      <c r="Q1768" s="6">
        <f>IFERROR($I1768*4,"")</f>
        <v/>
      </c>
      <c r="R1768" s="6" t="n">
        <v>1069</v>
      </c>
      <c r="S1768" s="4" t="n">
        <v>0</v>
      </c>
      <c r="T1768" s="1" t="inlineStr">
        <is>
          <t>active</t>
        </is>
      </c>
      <c r="U1768" s="8" t="n"/>
      <c r="V1768" s="1" t="inlineStr">
        <is>
          <t>SIN PRECIO</t>
        </is>
      </c>
    </row>
    <row r="1769">
      <c r="A1769" s="1" t="inlineStr">
        <is>
          <t>70693391064173</t>
        </is>
      </c>
      <c r="B1769" s="1" t="inlineStr">
        <is>
          <t>TRAJE DE BAÑO COMPLETO DG</t>
        </is>
      </c>
      <c r="C1769" s="1" t="inlineStr">
        <is>
          <t>L</t>
        </is>
      </c>
      <c r="D1769" s="1" t="inlineStr">
        <is>
          <t>ZOEY</t>
        </is>
      </c>
      <c r="E1769" s="4">
        <f>COUNTIF('DETALLE CRONOLÓGICO'!$A$2:$A$4919,$A1769)</f>
        <v/>
      </c>
      <c r="F1769" s="4">
        <f>SUMIFS('DETALLE CRONOLÓGICO'!$I$2:$I$4919,'DETALLE CRONOLÓGICO'!$A$2:$A$4919,$A1769)</f>
        <v/>
      </c>
      <c r="G1769" s="1">
        <f>INDEX('DETALLE CRONOLÓGICO'!$D$2:$D$4919,MATCH($A1769,'DETALLE CRONOLÓGICO'!$A$2:$A$4919,0))</f>
        <v/>
      </c>
      <c r="H1769" s="1">
        <f>INDEX('DETALLE CRONOLÓGICO'!$D$2:$D$4919,MATCH($A1769,'DETALLE CRONOLÓGICO'!$A$2:$A$4919,0)+$E1769-1)</f>
        <v/>
      </c>
      <c r="I1769" s="5">
        <f>IFERROR(SUMIFS('DETALLE CRONOLÓGICO'!$L$2:$L$4919,'DETALLE CRONOLÓGICO'!$A$2:$A$4919,$A1769)/$F1769,"")</f>
        <v/>
      </c>
      <c r="J1769" s="6">
        <f>IFERROR(SUMIFS('DETALLE CRONOLÓGICO'!$K$2:$K$4919,'DETALLE CRONOLÓGICO'!$A$2:$A$4919,$A1769)/$E1769,"")</f>
        <v/>
      </c>
      <c r="K1769" s="6">
        <f>_xlfn.MINIFS('DETALLE CRONOLÓGICO'!$K$2:$K$4919,'DETALLE CRONOLÓGICO'!$A$2:$A$4919,$A1769)</f>
        <v/>
      </c>
      <c r="L1769" s="6">
        <f>_xlfn.MAXIFS('DETALLE CRONOLÓGICO'!$K$2:$K$4919,'DETALLE CRONOLÓGICO'!$A$2:$A$4919,$A1769)</f>
        <v/>
      </c>
      <c r="M1769" s="6">
        <f>INDEX('DETALLE CRONOLÓGICO'!$K$2:$K$4919,MATCH($A1769,'DETALLE CRONOLÓGICO'!$A$2:$A$4919,0)+$E1769-1)</f>
        <v/>
      </c>
      <c r="N1769" s="7">
        <f>IFERROR($M1769/INDEX('DETALLE CRONOLÓGICO'!$K$2:$K$4919,MATCH($A1769,'DETALLE CRONOLÓGICO'!$A$2:$A$4919,0))-1,"")</f>
        <v/>
      </c>
      <c r="O1769" s="6">
        <f>IFERROR($I1769*3,"")</f>
        <v/>
      </c>
      <c r="P1769" s="6">
        <f>IFERROR($I1769*3.5,"")</f>
        <v/>
      </c>
      <c r="Q1769" s="6">
        <f>IFERROR($I1769*4,"")</f>
        <v/>
      </c>
      <c r="R1769" s="6" t="n">
        <v>2659</v>
      </c>
      <c r="S1769" s="4" t="n">
        <v>2</v>
      </c>
      <c r="T1769" s="1" t="inlineStr">
        <is>
          <t>active</t>
        </is>
      </c>
      <c r="U1769" s="8" t="n"/>
      <c r="V1769" s="1" t="inlineStr">
        <is>
          <t>SIN PRECIO</t>
        </is>
      </c>
    </row>
    <row r="1770">
      <c r="A1770" s="1" t="inlineStr">
        <is>
          <t>70937181082701</t>
        </is>
      </c>
      <c r="B1770" s="1" t="inlineStr">
        <is>
          <t>TRAJE DE BAÑO GC ASIMETRICO</t>
        </is>
      </c>
      <c r="C1770" s="1" t="inlineStr">
        <is>
          <t>BROWN-M</t>
        </is>
      </c>
      <c r="D1770" s="1" t="inlineStr">
        <is>
          <t>DINA DU</t>
        </is>
      </c>
      <c r="E1770" s="4">
        <f>COUNTIF('DETALLE CRONOLÓGICO'!$A$2:$A$4919,$A1770)</f>
        <v/>
      </c>
      <c r="F1770" s="4">
        <f>SUMIFS('DETALLE CRONOLÓGICO'!$I$2:$I$4919,'DETALLE CRONOLÓGICO'!$A$2:$A$4919,$A1770)</f>
        <v/>
      </c>
      <c r="G1770" s="1">
        <f>INDEX('DETALLE CRONOLÓGICO'!$D$2:$D$4919,MATCH($A1770,'DETALLE CRONOLÓGICO'!$A$2:$A$4919,0))</f>
        <v/>
      </c>
      <c r="H1770" s="1">
        <f>INDEX('DETALLE CRONOLÓGICO'!$D$2:$D$4919,MATCH($A1770,'DETALLE CRONOLÓGICO'!$A$2:$A$4919,0)+$E1770-1)</f>
        <v/>
      </c>
      <c r="I1770" s="5">
        <f>IFERROR(SUMIFS('DETALLE CRONOLÓGICO'!$L$2:$L$4919,'DETALLE CRONOLÓGICO'!$A$2:$A$4919,$A1770)/$F1770,"")</f>
        <v/>
      </c>
      <c r="J1770" s="6">
        <f>IFERROR(SUMIFS('DETALLE CRONOLÓGICO'!$K$2:$K$4919,'DETALLE CRONOLÓGICO'!$A$2:$A$4919,$A1770)/$E1770,"")</f>
        <v/>
      </c>
      <c r="K1770" s="6">
        <f>_xlfn.MINIFS('DETALLE CRONOLÓGICO'!$K$2:$K$4919,'DETALLE CRONOLÓGICO'!$A$2:$A$4919,$A1770)</f>
        <v/>
      </c>
      <c r="L1770" s="6">
        <f>_xlfn.MAXIFS('DETALLE CRONOLÓGICO'!$K$2:$K$4919,'DETALLE CRONOLÓGICO'!$A$2:$A$4919,$A1770)</f>
        <v/>
      </c>
      <c r="M1770" s="6">
        <f>INDEX('DETALLE CRONOLÓGICO'!$K$2:$K$4919,MATCH($A1770,'DETALLE CRONOLÓGICO'!$A$2:$A$4919,0)+$E1770-1)</f>
        <v/>
      </c>
      <c r="N1770" s="7">
        <f>IFERROR($M1770/INDEX('DETALLE CRONOLÓGICO'!$K$2:$K$4919,MATCH($A1770,'DETALLE CRONOLÓGICO'!$A$2:$A$4919,0))-1,"")</f>
        <v/>
      </c>
      <c r="O1770" s="6">
        <f>IFERROR($I1770*3,"")</f>
        <v/>
      </c>
      <c r="P1770" s="6">
        <f>IFERROR($I1770*3.5,"")</f>
        <v/>
      </c>
      <c r="Q1770" s="6">
        <f>IFERROR($I1770*4,"")</f>
        <v/>
      </c>
      <c r="R1770" s="6" t="n">
        <v>1875</v>
      </c>
      <c r="S1770" s="4" t="n">
        <v>2</v>
      </c>
      <c r="T1770" s="1" t="inlineStr">
        <is>
          <t>active</t>
        </is>
      </c>
      <c r="U1770" s="8" t="n"/>
      <c r="V1770" s="1" t="inlineStr">
        <is>
          <t>SIN PRECIO</t>
        </is>
      </c>
    </row>
    <row r="1771">
      <c r="A1771" s="1" t="inlineStr">
        <is>
          <t>70975141082189</t>
        </is>
      </c>
      <c r="B1771" s="1" t="inlineStr">
        <is>
          <t>PULSERA LOVE UNLIMITED SILVER</t>
        </is>
      </c>
      <c r="C1771" s="1" t="inlineStr">
        <is>
          <t>17</t>
        </is>
      </c>
      <c r="D1771" s="1" t="inlineStr">
        <is>
          <t>HAIFENG</t>
        </is>
      </c>
      <c r="E1771" s="4">
        <f>COUNTIF('DETALLE CRONOLÓGICO'!$A$2:$A$4919,$A1771)</f>
        <v/>
      </c>
      <c r="F1771" s="4">
        <f>SUMIFS('DETALLE CRONOLÓGICO'!$I$2:$I$4919,'DETALLE CRONOLÓGICO'!$A$2:$A$4919,$A1771)</f>
        <v/>
      </c>
      <c r="G1771" s="1">
        <f>INDEX('DETALLE CRONOLÓGICO'!$D$2:$D$4919,MATCH($A1771,'DETALLE CRONOLÓGICO'!$A$2:$A$4919,0))</f>
        <v/>
      </c>
      <c r="H1771" s="1">
        <f>INDEX('DETALLE CRONOLÓGICO'!$D$2:$D$4919,MATCH($A1771,'DETALLE CRONOLÓGICO'!$A$2:$A$4919,0)+$E1771-1)</f>
        <v/>
      </c>
      <c r="I1771" s="5">
        <f>IFERROR(SUMIFS('DETALLE CRONOLÓGICO'!$L$2:$L$4919,'DETALLE CRONOLÓGICO'!$A$2:$A$4919,$A1771)/$F1771,"")</f>
        <v/>
      </c>
      <c r="J1771" s="6">
        <f>IFERROR(SUMIFS('DETALLE CRONOLÓGICO'!$K$2:$K$4919,'DETALLE CRONOLÓGICO'!$A$2:$A$4919,$A1771)/$E1771,"")</f>
        <v/>
      </c>
      <c r="K1771" s="6">
        <f>_xlfn.MINIFS('DETALLE CRONOLÓGICO'!$K$2:$K$4919,'DETALLE CRONOLÓGICO'!$A$2:$A$4919,$A1771)</f>
        <v/>
      </c>
      <c r="L1771" s="6">
        <f>_xlfn.MAXIFS('DETALLE CRONOLÓGICO'!$K$2:$K$4919,'DETALLE CRONOLÓGICO'!$A$2:$A$4919,$A1771)</f>
        <v/>
      </c>
      <c r="M1771" s="6">
        <f>INDEX('DETALLE CRONOLÓGICO'!$K$2:$K$4919,MATCH($A1771,'DETALLE CRONOLÓGICO'!$A$2:$A$4919,0)+$E1771-1)</f>
        <v/>
      </c>
      <c r="N1771" s="7">
        <f>IFERROR($M1771/INDEX('DETALLE CRONOLÓGICO'!$K$2:$K$4919,MATCH($A1771,'DETALLE CRONOLÓGICO'!$A$2:$A$4919,0))-1,"")</f>
        <v/>
      </c>
      <c r="O1771" s="6">
        <f>IFERROR($I1771*3,"")</f>
        <v/>
      </c>
      <c r="P1771" s="6">
        <f>IFERROR($I1771*3.5,"")</f>
        <v/>
      </c>
      <c r="Q1771" s="6">
        <f>IFERROR($I1771*4,"")</f>
        <v/>
      </c>
      <c r="R1771" s="6" t="n">
        <v>1399</v>
      </c>
      <c r="S1771" s="4" t="n">
        <v>0</v>
      </c>
      <c r="T1771" s="1" t="inlineStr">
        <is>
          <t>active</t>
        </is>
      </c>
      <c r="U1771" s="8" t="n"/>
      <c r="V1771" s="1" t="inlineStr">
        <is>
          <t>SIN PRECIO</t>
        </is>
      </c>
    </row>
    <row r="1772">
      <c r="A1772" s="1" t="inlineStr">
        <is>
          <t>70975151114957</t>
        </is>
      </c>
      <c r="B1772" s="1" t="inlineStr">
        <is>
          <t>PULSERA LOVE UNLIMITED SILVER</t>
        </is>
      </c>
      <c r="C1772" s="1" t="inlineStr">
        <is>
          <t>19</t>
        </is>
      </c>
      <c r="D1772" s="1" t="inlineStr">
        <is>
          <t>HAIFENG</t>
        </is>
      </c>
      <c r="E1772" s="4">
        <f>COUNTIF('DETALLE CRONOLÓGICO'!$A$2:$A$4919,$A1772)</f>
        <v/>
      </c>
      <c r="F1772" s="4">
        <f>SUMIFS('DETALLE CRONOLÓGICO'!$I$2:$I$4919,'DETALLE CRONOLÓGICO'!$A$2:$A$4919,$A1772)</f>
        <v/>
      </c>
      <c r="G1772" s="1">
        <f>INDEX('DETALLE CRONOLÓGICO'!$D$2:$D$4919,MATCH($A1772,'DETALLE CRONOLÓGICO'!$A$2:$A$4919,0))</f>
        <v/>
      </c>
      <c r="H1772" s="1">
        <f>INDEX('DETALLE CRONOLÓGICO'!$D$2:$D$4919,MATCH($A1772,'DETALLE CRONOLÓGICO'!$A$2:$A$4919,0)+$E1772-1)</f>
        <v/>
      </c>
      <c r="I1772" s="5">
        <f>IFERROR(SUMIFS('DETALLE CRONOLÓGICO'!$L$2:$L$4919,'DETALLE CRONOLÓGICO'!$A$2:$A$4919,$A1772)/$F1772,"")</f>
        <v/>
      </c>
      <c r="J1772" s="6">
        <f>IFERROR(SUMIFS('DETALLE CRONOLÓGICO'!$K$2:$K$4919,'DETALLE CRONOLÓGICO'!$A$2:$A$4919,$A1772)/$E1772,"")</f>
        <v/>
      </c>
      <c r="K1772" s="6">
        <f>_xlfn.MINIFS('DETALLE CRONOLÓGICO'!$K$2:$K$4919,'DETALLE CRONOLÓGICO'!$A$2:$A$4919,$A1772)</f>
        <v/>
      </c>
      <c r="L1772" s="6">
        <f>_xlfn.MAXIFS('DETALLE CRONOLÓGICO'!$K$2:$K$4919,'DETALLE CRONOLÓGICO'!$A$2:$A$4919,$A1772)</f>
        <v/>
      </c>
      <c r="M1772" s="6">
        <f>INDEX('DETALLE CRONOLÓGICO'!$K$2:$K$4919,MATCH($A1772,'DETALLE CRONOLÓGICO'!$A$2:$A$4919,0)+$E1772-1)</f>
        <v/>
      </c>
      <c r="N1772" s="7">
        <f>IFERROR($M1772/INDEX('DETALLE CRONOLÓGICO'!$K$2:$K$4919,MATCH($A1772,'DETALLE CRONOLÓGICO'!$A$2:$A$4919,0))-1,"")</f>
        <v/>
      </c>
      <c r="O1772" s="6">
        <f>IFERROR($I1772*3,"")</f>
        <v/>
      </c>
      <c r="P1772" s="6">
        <f>IFERROR($I1772*3.5,"")</f>
        <v/>
      </c>
      <c r="Q1772" s="6">
        <f>IFERROR($I1772*4,"")</f>
        <v/>
      </c>
      <c r="R1772" s="6" t="n">
        <v>1399</v>
      </c>
      <c r="S1772" s="4" t="n">
        <v>4</v>
      </c>
      <c r="T1772" s="1" t="inlineStr">
        <is>
          <t>active</t>
        </is>
      </c>
      <c r="U1772" s="8" t="n"/>
      <c r="V1772" s="1" t="inlineStr">
        <is>
          <t>SIN PRECIO</t>
        </is>
      </c>
    </row>
    <row r="1773">
      <c r="A1773" s="1" t="inlineStr">
        <is>
          <t>70975151247725</t>
        </is>
      </c>
      <c r="B1773" s="1" t="inlineStr">
        <is>
          <t>PULSERA LOVE UNLIMITED SILVER</t>
        </is>
      </c>
      <c r="C1773" s="1" t="inlineStr">
        <is>
          <t>21</t>
        </is>
      </c>
      <c r="D1773" s="1" t="inlineStr">
        <is>
          <t>HAIFENG</t>
        </is>
      </c>
      <c r="E1773" s="4">
        <f>COUNTIF('DETALLE CRONOLÓGICO'!$A$2:$A$4919,$A1773)</f>
        <v/>
      </c>
      <c r="F1773" s="4">
        <f>SUMIFS('DETALLE CRONOLÓGICO'!$I$2:$I$4919,'DETALLE CRONOLÓGICO'!$A$2:$A$4919,$A1773)</f>
        <v/>
      </c>
      <c r="G1773" s="1">
        <f>INDEX('DETALLE CRONOLÓGICO'!$D$2:$D$4919,MATCH($A1773,'DETALLE CRONOLÓGICO'!$A$2:$A$4919,0))</f>
        <v/>
      </c>
      <c r="H1773" s="1">
        <f>INDEX('DETALLE CRONOLÓGICO'!$D$2:$D$4919,MATCH($A1773,'DETALLE CRONOLÓGICO'!$A$2:$A$4919,0)+$E1773-1)</f>
        <v/>
      </c>
      <c r="I1773" s="5">
        <f>IFERROR(SUMIFS('DETALLE CRONOLÓGICO'!$L$2:$L$4919,'DETALLE CRONOLÓGICO'!$A$2:$A$4919,$A1773)/$F1773,"")</f>
        <v/>
      </c>
      <c r="J1773" s="6">
        <f>IFERROR(SUMIFS('DETALLE CRONOLÓGICO'!$K$2:$K$4919,'DETALLE CRONOLÓGICO'!$A$2:$A$4919,$A1773)/$E1773,"")</f>
        <v/>
      </c>
      <c r="K1773" s="6">
        <f>_xlfn.MINIFS('DETALLE CRONOLÓGICO'!$K$2:$K$4919,'DETALLE CRONOLÓGICO'!$A$2:$A$4919,$A1773)</f>
        <v/>
      </c>
      <c r="L1773" s="6">
        <f>_xlfn.MAXIFS('DETALLE CRONOLÓGICO'!$K$2:$K$4919,'DETALLE CRONOLÓGICO'!$A$2:$A$4919,$A1773)</f>
        <v/>
      </c>
      <c r="M1773" s="6">
        <f>INDEX('DETALLE CRONOLÓGICO'!$K$2:$K$4919,MATCH($A1773,'DETALLE CRONOLÓGICO'!$A$2:$A$4919,0)+$E1773-1)</f>
        <v/>
      </c>
      <c r="N1773" s="7">
        <f>IFERROR($M1773/INDEX('DETALLE CRONOLÓGICO'!$K$2:$K$4919,MATCH($A1773,'DETALLE CRONOLÓGICO'!$A$2:$A$4919,0))-1,"")</f>
        <v/>
      </c>
      <c r="O1773" s="6">
        <f>IFERROR($I1773*3,"")</f>
        <v/>
      </c>
      <c r="P1773" s="6">
        <f>IFERROR($I1773*3.5,"")</f>
        <v/>
      </c>
      <c r="Q1773" s="6">
        <f>IFERROR($I1773*4,"")</f>
        <v/>
      </c>
      <c r="R1773" s="6" t="n">
        <v>1399</v>
      </c>
      <c r="S1773" s="4" t="n">
        <v>1</v>
      </c>
      <c r="T1773" s="1" t="inlineStr">
        <is>
          <t>active</t>
        </is>
      </c>
      <c r="U1773" s="8" t="n"/>
      <c r="V1773" s="1" t="inlineStr">
        <is>
          <t>SIN PRECIO</t>
        </is>
      </c>
    </row>
    <row r="1774">
      <c r="A1774" s="1" t="inlineStr">
        <is>
          <t>71036863389452</t>
        </is>
      </c>
      <c r="B1774" s="1" t="inlineStr">
        <is>
          <t>ANILLO BV CON UNA ZIRCONIA GOLD</t>
        </is>
      </c>
      <c r="C1774" s="1" t="n">
        <v>7</v>
      </c>
      <c r="D1774" s="1" t="inlineStr">
        <is>
          <t>NANCY</t>
        </is>
      </c>
      <c r="E1774" s="4">
        <f>COUNTIF('DETALLE CRONOLÓGICO'!$A$2:$A$4919,$A1774)</f>
        <v/>
      </c>
      <c r="F1774" s="4">
        <f>SUMIFS('DETALLE CRONOLÓGICO'!$I$2:$I$4919,'DETALLE CRONOLÓGICO'!$A$2:$A$4919,$A1774)</f>
        <v/>
      </c>
      <c r="G1774" s="1">
        <f>INDEX('DETALLE CRONOLÓGICO'!$D$2:$D$4919,MATCH($A1774,'DETALLE CRONOLÓGICO'!$A$2:$A$4919,0))</f>
        <v/>
      </c>
      <c r="H1774" s="1">
        <f>INDEX('DETALLE CRONOLÓGICO'!$D$2:$D$4919,MATCH($A1774,'DETALLE CRONOLÓGICO'!$A$2:$A$4919,0)+$E1774-1)</f>
        <v/>
      </c>
      <c r="I1774" s="5">
        <f>IFERROR(SUMIFS('DETALLE CRONOLÓGICO'!$L$2:$L$4919,'DETALLE CRONOLÓGICO'!$A$2:$A$4919,$A1774)/$F1774,"")</f>
        <v/>
      </c>
      <c r="J1774" s="6">
        <f>IFERROR(SUMIFS('DETALLE CRONOLÓGICO'!$K$2:$K$4919,'DETALLE CRONOLÓGICO'!$A$2:$A$4919,$A1774)/$E1774,"")</f>
        <v/>
      </c>
      <c r="K1774" s="6">
        <f>_xlfn.MINIFS('DETALLE CRONOLÓGICO'!$K$2:$K$4919,'DETALLE CRONOLÓGICO'!$A$2:$A$4919,$A1774)</f>
        <v/>
      </c>
      <c r="L1774" s="6">
        <f>_xlfn.MAXIFS('DETALLE CRONOLÓGICO'!$K$2:$K$4919,'DETALLE CRONOLÓGICO'!$A$2:$A$4919,$A1774)</f>
        <v/>
      </c>
      <c r="M1774" s="6">
        <f>INDEX('DETALLE CRONOLÓGICO'!$K$2:$K$4919,MATCH($A1774,'DETALLE CRONOLÓGICO'!$A$2:$A$4919,0)+$E1774-1)</f>
        <v/>
      </c>
      <c r="N1774" s="7">
        <f>IFERROR($M1774/INDEX('DETALLE CRONOLÓGICO'!$K$2:$K$4919,MATCH($A1774,'DETALLE CRONOLÓGICO'!$A$2:$A$4919,0))-1,"")</f>
        <v/>
      </c>
      <c r="O1774" s="6">
        <f>IFERROR($I1774*3,"")</f>
        <v/>
      </c>
      <c r="P1774" s="6">
        <f>IFERROR($I1774*3.5,"")</f>
        <v/>
      </c>
      <c r="Q1774" s="6">
        <f>IFERROR($I1774*4,"")</f>
        <v/>
      </c>
      <c r="R1774" s="6" t="n">
        <v>489</v>
      </c>
      <c r="S1774" s="4" t="n">
        <v>2</v>
      </c>
      <c r="T1774" s="1" t="inlineStr">
        <is>
          <t>active</t>
        </is>
      </c>
      <c r="U1774" s="8" t="n"/>
      <c r="V1774" s="1" t="inlineStr">
        <is>
          <t>SIN PRECIO</t>
        </is>
      </c>
    </row>
    <row r="1775">
      <c r="A1775" s="1" t="inlineStr">
        <is>
          <t>71036863422220</t>
        </is>
      </c>
      <c r="B1775" s="1" t="inlineStr">
        <is>
          <t>ANILLO BV CON UNA ZIRCONIA GOLD</t>
        </is>
      </c>
      <c r="C1775" s="1" t="n">
        <v>8</v>
      </c>
      <c r="D1775" s="1" t="inlineStr">
        <is>
          <t>NANCY</t>
        </is>
      </c>
      <c r="E1775" s="4">
        <f>COUNTIF('DETALLE CRONOLÓGICO'!$A$2:$A$4919,$A1775)</f>
        <v/>
      </c>
      <c r="F1775" s="4">
        <f>SUMIFS('DETALLE CRONOLÓGICO'!$I$2:$I$4919,'DETALLE CRONOLÓGICO'!$A$2:$A$4919,$A1775)</f>
        <v/>
      </c>
      <c r="G1775" s="1">
        <f>INDEX('DETALLE CRONOLÓGICO'!$D$2:$D$4919,MATCH($A1775,'DETALLE CRONOLÓGICO'!$A$2:$A$4919,0))</f>
        <v/>
      </c>
      <c r="H1775" s="1">
        <f>INDEX('DETALLE CRONOLÓGICO'!$D$2:$D$4919,MATCH($A1775,'DETALLE CRONOLÓGICO'!$A$2:$A$4919,0)+$E1775-1)</f>
        <v/>
      </c>
      <c r="I1775" s="5">
        <f>IFERROR(SUMIFS('DETALLE CRONOLÓGICO'!$L$2:$L$4919,'DETALLE CRONOLÓGICO'!$A$2:$A$4919,$A1775)/$F1775,"")</f>
        <v/>
      </c>
      <c r="J1775" s="6">
        <f>IFERROR(SUMIFS('DETALLE CRONOLÓGICO'!$K$2:$K$4919,'DETALLE CRONOLÓGICO'!$A$2:$A$4919,$A1775)/$E1775,"")</f>
        <v/>
      </c>
      <c r="K1775" s="6">
        <f>_xlfn.MINIFS('DETALLE CRONOLÓGICO'!$K$2:$K$4919,'DETALLE CRONOLÓGICO'!$A$2:$A$4919,$A1775)</f>
        <v/>
      </c>
      <c r="L1775" s="6">
        <f>_xlfn.MAXIFS('DETALLE CRONOLÓGICO'!$K$2:$K$4919,'DETALLE CRONOLÓGICO'!$A$2:$A$4919,$A1775)</f>
        <v/>
      </c>
      <c r="M1775" s="6">
        <f>INDEX('DETALLE CRONOLÓGICO'!$K$2:$K$4919,MATCH($A1775,'DETALLE CRONOLÓGICO'!$A$2:$A$4919,0)+$E1775-1)</f>
        <v/>
      </c>
      <c r="N1775" s="7">
        <f>IFERROR($M1775/INDEX('DETALLE CRONOLÓGICO'!$K$2:$K$4919,MATCH($A1775,'DETALLE CRONOLÓGICO'!$A$2:$A$4919,0))-1,"")</f>
        <v/>
      </c>
      <c r="O1775" s="6">
        <f>IFERROR($I1775*3,"")</f>
        <v/>
      </c>
      <c r="P1775" s="6">
        <f>IFERROR($I1775*3.5,"")</f>
        <v/>
      </c>
      <c r="Q1775" s="6">
        <f>IFERROR($I1775*4,"")</f>
        <v/>
      </c>
      <c r="R1775" s="6" t="n">
        <v>489</v>
      </c>
      <c r="S1775" s="4" t="n">
        <v>2</v>
      </c>
      <c r="T1775" s="1" t="inlineStr">
        <is>
          <t>active</t>
        </is>
      </c>
      <c r="U1775" s="8" t="n"/>
      <c r="V1775" s="1" t="inlineStr">
        <is>
          <t>SIN PRECIO</t>
        </is>
      </c>
    </row>
    <row r="1776">
      <c r="A1776" s="1" t="inlineStr">
        <is>
          <t>71036864415628</t>
        </is>
      </c>
      <c r="B1776" s="1" t="inlineStr">
        <is>
          <t>ANILLO LOCK GOLD</t>
        </is>
      </c>
      <c r="C1776" s="1" t="inlineStr">
        <is>
          <t>6</t>
        </is>
      </c>
      <c r="D1776" s="1" t="inlineStr">
        <is>
          <t>HAIFENG</t>
        </is>
      </c>
      <c r="E1776" s="4">
        <f>COUNTIF('DETALLE CRONOLÓGICO'!$A$2:$A$4919,$A1776)</f>
        <v/>
      </c>
      <c r="F1776" s="4">
        <f>SUMIFS('DETALLE CRONOLÓGICO'!$I$2:$I$4919,'DETALLE CRONOLÓGICO'!$A$2:$A$4919,$A1776)</f>
        <v/>
      </c>
      <c r="G1776" s="1">
        <f>INDEX('DETALLE CRONOLÓGICO'!$D$2:$D$4919,MATCH($A1776,'DETALLE CRONOLÓGICO'!$A$2:$A$4919,0))</f>
        <v/>
      </c>
      <c r="H1776" s="1">
        <f>INDEX('DETALLE CRONOLÓGICO'!$D$2:$D$4919,MATCH($A1776,'DETALLE CRONOLÓGICO'!$A$2:$A$4919,0)+$E1776-1)</f>
        <v/>
      </c>
      <c r="I1776" s="5">
        <f>IFERROR(SUMIFS('DETALLE CRONOLÓGICO'!$L$2:$L$4919,'DETALLE CRONOLÓGICO'!$A$2:$A$4919,$A1776)/$F1776,"")</f>
        <v/>
      </c>
      <c r="J1776" s="6">
        <f>IFERROR(SUMIFS('DETALLE CRONOLÓGICO'!$K$2:$K$4919,'DETALLE CRONOLÓGICO'!$A$2:$A$4919,$A1776)/$E1776,"")</f>
        <v/>
      </c>
      <c r="K1776" s="6">
        <f>_xlfn.MINIFS('DETALLE CRONOLÓGICO'!$K$2:$K$4919,'DETALLE CRONOLÓGICO'!$A$2:$A$4919,$A1776)</f>
        <v/>
      </c>
      <c r="L1776" s="6">
        <f>_xlfn.MAXIFS('DETALLE CRONOLÓGICO'!$K$2:$K$4919,'DETALLE CRONOLÓGICO'!$A$2:$A$4919,$A1776)</f>
        <v/>
      </c>
      <c r="M1776" s="6">
        <f>INDEX('DETALLE CRONOLÓGICO'!$K$2:$K$4919,MATCH($A1776,'DETALLE CRONOLÓGICO'!$A$2:$A$4919,0)+$E1776-1)</f>
        <v/>
      </c>
      <c r="N1776" s="7">
        <f>IFERROR($M1776/INDEX('DETALLE CRONOLÓGICO'!$K$2:$K$4919,MATCH($A1776,'DETALLE CRONOLÓGICO'!$A$2:$A$4919,0))-1,"")</f>
        <v/>
      </c>
      <c r="O1776" s="6">
        <f>IFERROR($I1776*3,"")</f>
        <v/>
      </c>
      <c r="P1776" s="6">
        <f>IFERROR($I1776*3.5,"")</f>
        <v/>
      </c>
      <c r="Q1776" s="6">
        <f>IFERROR($I1776*4,"")</f>
        <v/>
      </c>
      <c r="R1776" s="6" t="n">
        <v>455</v>
      </c>
      <c r="S1776" s="4" t="n">
        <v>2</v>
      </c>
      <c r="T1776" s="1" t="inlineStr">
        <is>
          <t>active</t>
        </is>
      </c>
      <c r="U1776" s="8" t="n"/>
      <c r="V1776" s="1" t="inlineStr">
        <is>
          <t>SIN PRECIO</t>
        </is>
      </c>
    </row>
    <row r="1777">
      <c r="A1777" s="1" t="inlineStr">
        <is>
          <t>71036870763532</t>
        </is>
      </c>
      <c r="B1777" s="1" t="inlineStr">
        <is>
          <t>PULSERA CC COMETE</t>
        </is>
      </c>
      <c r="C1777" s="1" t="inlineStr">
        <is>
          <t>16cm</t>
        </is>
      </c>
      <c r="D1777" s="1" t="inlineStr">
        <is>
          <t>CYNTHIA</t>
        </is>
      </c>
      <c r="E1777" s="4">
        <f>COUNTIF('DETALLE CRONOLÓGICO'!$A$2:$A$4919,$A1777)</f>
        <v/>
      </c>
      <c r="F1777" s="4">
        <f>SUMIFS('DETALLE CRONOLÓGICO'!$I$2:$I$4919,'DETALLE CRONOLÓGICO'!$A$2:$A$4919,$A1777)</f>
        <v/>
      </c>
      <c r="G1777" s="1">
        <f>INDEX('DETALLE CRONOLÓGICO'!$D$2:$D$4919,MATCH($A1777,'DETALLE CRONOLÓGICO'!$A$2:$A$4919,0))</f>
        <v/>
      </c>
      <c r="H1777" s="1">
        <f>INDEX('DETALLE CRONOLÓGICO'!$D$2:$D$4919,MATCH($A1777,'DETALLE CRONOLÓGICO'!$A$2:$A$4919,0)+$E1777-1)</f>
        <v/>
      </c>
      <c r="I1777" s="5">
        <f>IFERROR(SUMIFS('DETALLE CRONOLÓGICO'!$L$2:$L$4919,'DETALLE CRONOLÓGICO'!$A$2:$A$4919,$A1777)/$F1777,"")</f>
        <v/>
      </c>
      <c r="J1777" s="6">
        <f>IFERROR(SUMIFS('DETALLE CRONOLÓGICO'!$K$2:$K$4919,'DETALLE CRONOLÓGICO'!$A$2:$A$4919,$A1777)/$E1777,"")</f>
        <v/>
      </c>
      <c r="K1777" s="6">
        <f>_xlfn.MINIFS('DETALLE CRONOLÓGICO'!$K$2:$K$4919,'DETALLE CRONOLÓGICO'!$A$2:$A$4919,$A1777)</f>
        <v/>
      </c>
      <c r="L1777" s="6">
        <f>_xlfn.MAXIFS('DETALLE CRONOLÓGICO'!$K$2:$K$4919,'DETALLE CRONOLÓGICO'!$A$2:$A$4919,$A1777)</f>
        <v/>
      </c>
      <c r="M1777" s="6">
        <f>INDEX('DETALLE CRONOLÓGICO'!$K$2:$K$4919,MATCH($A1777,'DETALLE CRONOLÓGICO'!$A$2:$A$4919,0)+$E1777-1)</f>
        <v/>
      </c>
      <c r="N1777" s="7">
        <f>IFERROR($M1777/INDEX('DETALLE CRONOLÓGICO'!$K$2:$K$4919,MATCH($A1777,'DETALLE CRONOLÓGICO'!$A$2:$A$4919,0))-1,"")</f>
        <v/>
      </c>
      <c r="O1777" s="6">
        <f>IFERROR($I1777*3,"")</f>
        <v/>
      </c>
      <c r="P1777" s="6">
        <f>IFERROR($I1777*3.5,"")</f>
        <v/>
      </c>
      <c r="Q1777" s="6">
        <f>IFERROR($I1777*4,"")</f>
        <v/>
      </c>
      <c r="R1777" s="6" t="n">
        <v>1049</v>
      </c>
      <c r="S1777" s="4" t="n">
        <v>7</v>
      </c>
      <c r="T1777" s="1" t="inlineStr">
        <is>
          <t>active</t>
        </is>
      </c>
      <c r="U1777" s="8" t="n"/>
      <c r="V1777" s="1" t="inlineStr">
        <is>
          <t>SIN PRECIO</t>
        </is>
      </c>
    </row>
    <row r="1778">
      <c r="A1778" s="1" t="inlineStr">
        <is>
          <t>71036872850956</t>
        </is>
      </c>
      <c r="B1778" s="1" t="inlineStr">
        <is>
          <t>PULSERA GC INTERLOCKING</t>
        </is>
      </c>
      <c r="C1778" s="1" t="inlineStr">
        <is>
          <t>18cm</t>
        </is>
      </c>
      <c r="D1778" s="1" t="inlineStr">
        <is>
          <t>CYNTHIA</t>
        </is>
      </c>
      <c r="E1778" s="4">
        <f>COUNTIF('DETALLE CRONOLÓGICO'!$A$2:$A$4919,$A1778)</f>
        <v/>
      </c>
      <c r="F1778" s="4">
        <f>SUMIFS('DETALLE CRONOLÓGICO'!$I$2:$I$4919,'DETALLE CRONOLÓGICO'!$A$2:$A$4919,$A1778)</f>
        <v/>
      </c>
      <c r="G1778" s="1">
        <f>INDEX('DETALLE CRONOLÓGICO'!$D$2:$D$4919,MATCH($A1778,'DETALLE CRONOLÓGICO'!$A$2:$A$4919,0))</f>
        <v/>
      </c>
      <c r="H1778" s="1">
        <f>INDEX('DETALLE CRONOLÓGICO'!$D$2:$D$4919,MATCH($A1778,'DETALLE CRONOLÓGICO'!$A$2:$A$4919,0)+$E1778-1)</f>
        <v/>
      </c>
      <c r="I1778" s="5">
        <f>IFERROR(SUMIFS('DETALLE CRONOLÓGICO'!$L$2:$L$4919,'DETALLE CRONOLÓGICO'!$A$2:$A$4919,$A1778)/$F1778,"")</f>
        <v/>
      </c>
      <c r="J1778" s="6">
        <f>IFERROR(SUMIFS('DETALLE CRONOLÓGICO'!$K$2:$K$4919,'DETALLE CRONOLÓGICO'!$A$2:$A$4919,$A1778)/$E1778,"")</f>
        <v/>
      </c>
      <c r="K1778" s="6">
        <f>_xlfn.MINIFS('DETALLE CRONOLÓGICO'!$K$2:$K$4919,'DETALLE CRONOLÓGICO'!$A$2:$A$4919,$A1778)</f>
        <v/>
      </c>
      <c r="L1778" s="6">
        <f>_xlfn.MAXIFS('DETALLE CRONOLÓGICO'!$K$2:$K$4919,'DETALLE CRONOLÓGICO'!$A$2:$A$4919,$A1778)</f>
        <v/>
      </c>
      <c r="M1778" s="6">
        <f>INDEX('DETALLE CRONOLÓGICO'!$K$2:$K$4919,MATCH($A1778,'DETALLE CRONOLÓGICO'!$A$2:$A$4919,0)+$E1778-1)</f>
        <v/>
      </c>
      <c r="N1778" s="7">
        <f>IFERROR($M1778/INDEX('DETALLE CRONOLÓGICO'!$K$2:$K$4919,MATCH($A1778,'DETALLE CRONOLÓGICO'!$A$2:$A$4919,0))-1,"")</f>
        <v/>
      </c>
      <c r="O1778" s="6">
        <f>IFERROR($I1778*3,"")</f>
        <v/>
      </c>
      <c r="P1778" s="6">
        <f>IFERROR($I1778*3.5,"")</f>
        <v/>
      </c>
      <c r="Q1778" s="6">
        <f>IFERROR($I1778*4,"")</f>
        <v/>
      </c>
      <c r="R1778" s="6" t="n">
        <v>1205</v>
      </c>
      <c r="S1778" s="4" t="n">
        <v>3</v>
      </c>
      <c r="T1778" s="1" t="inlineStr">
        <is>
          <t>active</t>
        </is>
      </c>
      <c r="U1778" s="8" t="n"/>
      <c r="V1778" s="1" t="inlineStr">
        <is>
          <t>SIN PRECIO</t>
        </is>
      </c>
    </row>
    <row r="1779">
      <c r="A1779" s="1" t="inlineStr">
        <is>
          <t>71036872883724</t>
        </is>
      </c>
      <c r="B1779" s="1" t="inlineStr">
        <is>
          <t>PULSERA GC INTERLOCKING</t>
        </is>
      </c>
      <c r="C1779" s="1" t="inlineStr">
        <is>
          <t>20cm</t>
        </is>
      </c>
      <c r="D1779" s="1" t="inlineStr">
        <is>
          <t>CYNTHIA</t>
        </is>
      </c>
      <c r="E1779" s="4">
        <f>COUNTIF('DETALLE CRONOLÓGICO'!$A$2:$A$4919,$A1779)</f>
        <v/>
      </c>
      <c r="F1779" s="4">
        <f>SUMIFS('DETALLE CRONOLÓGICO'!$I$2:$I$4919,'DETALLE CRONOLÓGICO'!$A$2:$A$4919,$A1779)</f>
        <v/>
      </c>
      <c r="G1779" s="1">
        <f>INDEX('DETALLE CRONOLÓGICO'!$D$2:$D$4919,MATCH($A1779,'DETALLE CRONOLÓGICO'!$A$2:$A$4919,0))</f>
        <v/>
      </c>
      <c r="H1779" s="1">
        <f>INDEX('DETALLE CRONOLÓGICO'!$D$2:$D$4919,MATCH($A1779,'DETALLE CRONOLÓGICO'!$A$2:$A$4919,0)+$E1779-1)</f>
        <v/>
      </c>
      <c r="I1779" s="5">
        <f>IFERROR(SUMIFS('DETALLE CRONOLÓGICO'!$L$2:$L$4919,'DETALLE CRONOLÓGICO'!$A$2:$A$4919,$A1779)/$F1779,"")</f>
        <v/>
      </c>
      <c r="J1779" s="6">
        <f>IFERROR(SUMIFS('DETALLE CRONOLÓGICO'!$K$2:$K$4919,'DETALLE CRONOLÓGICO'!$A$2:$A$4919,$A1779)/$E1779,"")</f>
        <v/>
      </c>
      <c r="K1779" s="6">
        <f>_xlfn.MINIFS('DETALLE CRONOLÓGICO'!$K$2:$K$4919,'DETALLE CRONOLÓGICO'!$A$2:$A$4919,$A1779)</f>
        <v/>
      </c>
      <c r="L1779" s="6">
        <f>_xlfn.MAXIFS('DETALLE CRONOLÓGICO'!$K$2:$K$4919,'DETALLE CRONOLÓGICO'!$A$2:$A$4919,$A1779)</f>
        <v/>
      </c>
      <c r="M1779" s="6">
        <f>INDEX('DETALLE CRONOLÓGICO'!$K$2:$K$4919,MATCH($A1779,'DETALLE CRONOLÓGICO'!$A$2:$A$4919,0)+$E1779-1)</f>
        <v/>
      </c>
      <c r="N1779" s="7">
        <f>IFERROR($M1779/INDEX('DETALLE CRONOLÓGICO'!$K$2:$K$4919,MATCH($A1779,'DETALLE CRONOLÓGICO'!$A$2:$A$4919,0))-1,"")</f>
        <v/>
      </c>
      <c r="O1779" s="6">
        <f>IFERROR($I1779*3,"")</f>
        <v/>
      </c>
      <c r="P1779" s="6">
        <f>IFERROR($I1779*3.5,"")</f>
        <v/>
      </c>
      <c r="Q1779" s="6">
        <f>IFERROR($I1779*4,"")</f>
        <v/>
      </c>
      <c r="R1779" s="6" t="n">
        <v>1205</v>
      </c>
      <c r="S1779" s="4" t="n">
        <v>3</v>
      </c>
      <c r="T1779" s="1" t="inlineStr">
        <is>
          <t>active</t>
        </is>
      </c>
      <c r="U1779" s="8" t="n"/>
      <c r="V1779" s="1" t="inlineStr">
        <is>
          <t>SIN PRECIO</t>
        </is>
      </c>
    </row>
    <row r="1780">
      <c r="A1780" s="1" t="inlineStr">
        <is>
          <t>71036874448396</t>
        </is>
      </c>
      <c r="B1780" s="1" t="inlineStr">
        <is>
          <t>ANILLO LOCK GOLD</t>
        </is>
      </c>
      <c r="C1780" s="1" t="inlineStr">
        <is>
          <t>7</t>
        </is>
      </c>
      <c r="D1780" s="1" t="inlineStr">
        <is>
          <t>HAIFENG</t>
        </is>
      </c>
      <c r="E1780" s="4">
        <f>COUNTIF('DETALLE CRONOLÓGICO'!$A$2:$A$4919,$A1780)</f>
        <v/>
      </c>
      <c r="F1780" s="4">
        <f>SUMIFS('DETALLE CRONOLÓGICO'!$I$2:$I$4919,'DETALLE CRONOLÓGICO'!$A$2:$A$4919,$A1780)</f>
        <v/>
      </c>
      <c r="G1780" s="1">
        <f>INDEX('DETALLE CRONOLÓGICO'!$D$2:$D$4919,MATCH($A1780,'DETALLE CRONOLÓGICO'!$A$2:$A$4919,0))</f>
        <v/>
      </c>
      <c r="H1780" s="1">
        <f>INDEX('DETALLE CRONOLÓGICO'!$D$2:$D$4919,MATCH($A1780,'DETALLE CRONOLÓGICO'!$A$2:$A$4919,0)+$E1780-1)</f>
        <v/>
      </c>
      <c r="I1780" s="5">
        <f>IFERROR(SUMIFS('DETALLE CRONOLÓGICO'!$L$2:$L$4919,'DETALLE CRONOLÓGICO'!$A$2:$A$4919,$A1780)/$F1780,"")</f>
        <v/>
      </c>
      <c r="J1780" s="6">
        <f>IFERROR(SUMIFS('DETALLE CRONOLÓGICO'!$K$2:$K$4919,'DETALLE CRONOLÓGICO'!$A$2:$A$4919,$A1780)/$E1780,"")</f>
        <v/>
      </c>
      <c r="K1780" s="6">
        <f>_xlfn.MINIFS('DETALLE CRONOLÓGICO'!$K$2:$K$4919,'DETALLE CRONOLÓGICO'!$A$2:$A$4919,$A1780)</f>
        <v/>
      </c>
      <c r="L1780" s="6">
        <f>_xlfn.MAXIFS('DETALLE CRONOLÓGICO'!$K$2:$K$4919,'DETALLE CRONOLÓGICO'!$A$2:$A$4919,$A1780)</f>
        <v/>
      </c>
      <c r="M1780" s="6">
        <f>INDEX('DETALLE CRONOLÓGICO'!$K$2:$K$4919,MATCH($A1780,'DETALLE CRONOLÓGICO'!$A$2:$A$4919,0)+$E1780-1)</f>
        <v/>
      </c>
      <c r="N1780" s="7">
        <f>IFERROR($M1780/INDEX('DETALLE CRONOLÓGICO'!$K$2:$K$4919,MATCH($A1780,'DETALLE CRONOLÓGICO'!$A$2:$A$4919,0))-1,"")</f>
        <v/>
      </c>
      <c r="O1780" s="6">
        <f>IFERROR($I1780*3,"")</f>
        <v/>
      </c>
      <c r="P1780" s="6">
        <f>IFERROR($I1780*3.5,"")</f>
        <v/>
      </c>
      <c r="Q1780" s="6">
        <f>IFERROR($I1780*4,"")</f>
        <v/>
      </c>
      <c r="R1780" s="6" t="n">
        <v>454</v>
      </c>
      <c r="S1780" s="4" t="n">
        <v>2</v>
      </c>
      <c r="T1780" s="1" t="inlineStr">
        <is>
          <t>active</t>
        </is>
      </c>
      <c r="U1780" s="8" t="n"/>
      <c r="V1780" s="1" t="inlineStr">
        <is>
          <t>SIN PRECIO</t>
        </is>
      </c>
    </row>
    <row r="1781">
      <c r="A1781" s="1" t="inlineStr">
        <is>
          <t>71036874481164</t>
        </is>
      </c>
      <c r="B1781" s="1" t="inlineStr">
        <is>
          <t>ANILLO LOCK GOLD</t>
        </is>
      </c>
      <c r="C1781" s="1" t="inlineStr">
        <is>
          <t>8</t>
        </is>
      </c>
      <c r="D1781" s="1" t="inlineStr">
        <is>
          <t>HAIFENG</t>
        </is>
      </c>
      <c r="E1781" s="4">
        <f>COUNTIF('DETALLE CRONOLÓGICO'!$A$2:$A$4919,$A1781)</f>
        <v/>
      </c>
      <c r="F1781" s="4">
        <f>SUMIFS('DETALLE CRONOLÓGICO'!$I$2:$I$4919,'DETALLE CRONOLÓGICO'!$A$2:$A$4919,$A1781)</f>
        <v/>
      </c>
      <c r="G1781" s="1">
        <f>INDEX('DETALLE CRONOLÓGICO'!$D$2:$D$4919,MATCH($A1781,'DETALLE CRONOLÓGICO'!$A$2:$A$4919,0))</f>
        <v/>
      </c>
      <c r="H1781" s="1">
        <f>INDEX('DETALLE CRONOLÓGICO'!$D$2:$D$4919,MATCH($A1781,'DETALLE CRONOLÓGICO'!$A$2:$A$4919,0)+$E1781-1)</f>
        <v/>
      </c>
      <c r="I1781" s="5">
        <f>IFERROR(SUMIFS('DETALLE CRONOLÓGICO'!$L$2:$L$4919,'DETALLE CRONOLÓGICO'!$A$2:$A$4919,$A1781)/$F1781,"")</f>
        <v/>
      </c>
      <c r="J1781" s="6">
        <f>IFERROR(SUMIFS('DETALLE CRONOLÓGICO'!$K$2:$K$4919,'DETALLE CRONOLÓGICO'!$A$2:$A$4919,$A1781)/$E1781,"")</f>
        <v/>
      </c>
      <c r="K1781" s="6">
        <f>_xlfn.MINIFS('DETALLE CRONOLÓGICO'!$K$2:$K$4919,'DETALLE CRONOLÓGICO'!$A$2:$A$4919,$A1781)</f>
        <v/>
      </c>
      <c r="L1781" s="6">
        <f>_xlfn.MAXIFS('DETALLE CRONOLÓGICO'!$K$2:$K$4919,'DETALLE CRONOLÓGICO'!$A$2:$A$4919,$A1781)</f>
        <v/>
      </c>
      <c r="M1781" s="6">
        <f>INDEX('DETALLE CRONOLÓGICO'!$K$2:$K$4919,MATCH($A1781,'DETALLE CRONOLÓGICO'!$A$2:$A$4919,0)+$E1781-1)</f>
        <v/>
      </c>
      <c r="N1781" s="7">
        <f>IFERROR($M1781/INDEX('DETALLE CRONOLÓGICO'!$K$2:$K$4919,MATCH($A1781,'DETALLE CRONOLÓGICO'!$A$2:$A$4919,0))-1,"")</f>
        <v/>
      </c>
      <c r="O1781" s="6">
        <f>IFERROR($I1781*3,"")</f>
        <v/>
      </c>
      <c r="P1781" s="6">
        <f>IFERROR($I1781*3.5,"")</f>
        <v/>
      </c>
      <c r="Q1781" s="6">
        <f>IFERROR($I1781*4,"")</f>
        <v/>
      </c>
      <c r="R1781" s="6" t="n">
        <v>455</v>
      </c>
      <c r="S1781" s="4" t="n">
        <v>4</v>
      </c>
      <c r="T1781" s="1" t="inlineStr">
        <is>
          <t>active</t>
        </is>
      </c>
      <c r="U1781" s="8" t="n"/>
      <c r="V1781" s="1" t="inlineStr">
        <is>
          <t>SIN PRECIO</t>
        </is>
      </c>
    </row>
    <row r="1782">
      <c r="A1782" s="1" t="inlineStr">
        <is>
          <t>71036876217868</t>
        </is>
      </c>
      <c r="B1782" s="1" t="inlineStr">
        <is>
          <t>ANILLO LOCK SILVER</t>
        </is>
      </c>
      <c r="C1782" s="1" t="inlineStr">
        <is>
          <t>6</t>
        </is>
      </c>
      <c r="D1782" s="1" t="inlineStr">
        <is>
          <t>HAIFENG</t>
        </is>
      </c>
      <c r="E1782" s="4">
        <f>COUNTIF('DETALLE CRONOLÓGICO'!$A$2:$A$4919,$A1782)</f>
        <v/>
      </c>
      <c r="F1782" s="4">
        <f>SUMIFS('DETALLE CRONOLÓGICO'!$I$2:$I$4919,'DETALLE CRONOLÓGICO'!$A$2:$A$4919,$A1782)</f>
        <v/>
      </c>
      <c r="G1782" s="1">
        <f>INDEX('DETALLE CRONOLÓGICO'!$D$2:$D$4919,MATCH($A1782,'DETALLE CRONOLÓGICO'!$A$2:$A$4919,0))</f>
        <v/>
      </c>
      <c r="H1782" s="1">
        <f>INDEX('DETALLE CRONOLÓGICO'!$D$2:$D$4919,MATCH($A1782,'DETALLE CRONOLÓGICO'!$A$2:$A$4919,0)+$E1782-1)</f>
        <v/>
      </c>
      <c r="I1782" s="5">
        <f>IFERROR(SUMIFS('DETALLE CRONOLÓGICO'!$L$2:$L$4919,'DETALLE CRONOLÓGICO'!$A$2:$A$4919,$A1782)/$F1782,"")</f>
        <v/>
      </c>
      <c r="J1782" s="6">
        <f>IFERROR(SUMIFS('DETALLE CRONOLÓGICO'!$K$2:$K$4919,'DETALLE CRONOLÓGICO'!$A$2:$A$4919,$A1782)/$E1782,"")</f>
        <v/>
      </c>
      <c r="K1782" s="6">
        <f>_xlfn.MINIFS('DETALLE CRONOLÓGICO'!$K$2:$K$4919,'DETALLE CRONOLÓGICO'!$A$2:$A$4919,$A1782)</f>
        <v/>
      </c>
      <c r="L1782" s="6">
        <f>_xlfn.MAXIFS('DETALLE CRONOLÓGICO'!$K$2:$K$4919,'DETALLE CRONOLÓGICO'!$A$2:$A$4919,$A1782)</f>
        <v/>
      </c>
      <c r="M1782" s="6">
        <f>INDEX('DETALLE CRONOLÓGICO'!$K$2:$K$4919,MATCH($A1782,'DETALLE CRONOLÓGICO'!$A$2:$A$4919,0)+$E1782-1)</f>
        <v/>
      </c>
      <c r="N1782" s="7">
        <f>IFERROR($M1782/INDEX('DETALLE CRONOLÓGICO'!$K$2:$K$4919,MATCH($A1782,'DETALLE CRONOLÓGICO'!$A$2:$A$4919,0))-1,"")</f>
        <v/>
      </c>
      <c r="O1782" s="6">
        <f>IFERROR($I1782*3,"")</f>
        <v/>
      </c>
      <c r="P1782" s="6">
        <f>IFERROR($I1782*3.5,"")</f>
        <v/>
      </c>
      <c r="Q1782" s="6">
        <f>IFERROR($I1782*4,"")</f>
        <v/>
      </c>
      <c r="R1782" s="6" t="n">
        <v>455</v>
      </c>
      <c r="S1782" s="4" t="n">
        <v>5</v>
      </c>
      <c r="T1782" s="1" t="inlineStr">
        <is>
          <t>active</t>
        </is>
      </c>
      <c r="U1782" s="8" t="n"/>
      <c r="V1782" s="1" t="inlineStr">
        <is>
          <t>SIN PRECIO</t>
        </is>
      </c>
    </row>
    <row r="1783">
      <c r="A1783" s="1" t="inlineStr">
        <is>
          <t>71036876250636</t>
        </is>
      </c>
      <c r="B1783" s="1" t="inlineStr">
        <is>
          <t>ANILLO LOCK SILVER</t>
        </is>
      </c>
      <c r="C1783" s="1" t="inlineStr">
        <is>
          <t>7</t>
        </is>
      </c>
      <c r="D1783" s="1" t="inlineStr">
        <is>
          <t>HAIFENG</t>
        </is>
      </c>
      <c r="E1783" s="4">
        <f>COUNTIF('DETALLE CRONOLÓGICO'!$A$2:$A$4919,$A1783)</f>
        <v/>
      </c>
      <c r="F1783" s="4">
        <f>SUMIFS('DETALLE CRONOLÓGICO'!$I$2:$I$4919,'DETALLE CRONOLÓGICO'!$A$2:$A$4919,$A1783)</f>
        <v/>
      </c>
      <c r="G1783" s="1">
        <f>INDEX('DETALLE CRONOLÓGICO'!$D$2:$D$4919,MATCH($A1783,'DETALLE CRONOLÓGICO'!$A$2:$A$4919,0))</f>
        <v/>
      </c>
      <c r="H1783" s="1">
        <f>INDEX('DETALLE CRONOLÓGICO'!$D$2:$D$4919,MATCH($A1783,'DETALLE CRONOLÓGICO'!$A$2:$A$4919,0)+$E1783-1)</f>
        <v/>
      </c>
      <c r="I1783" s="5">
        <f>IFERROR(SUMIFS('DETALLE CRONOLÓGICO'!$L$2:$L$4919,'DETALLE CRONOLÓGICO'!$A$2:$A$4919,$A1783)/$F1783,"")</f>
        <v/>
      </c>
      <c r="J1783" s="6">
        <f>IFERROR(SUMIFS('DETALLE CRONOLÓGICO'!$K$2:$K$4919,'DETALLE CRONOLÓGICO'!$A$2:$A$4919,$A1783)/$E1783,"")</f>
        <v/>
      </c>
      <c r="K1783" s="6">
        <f>_xlfn.MINIFS('DETALLE CRONOLÓGICO'!$K$2:$K$4919,'DETALLE CRONOLÓGICO'!$A$2:$A$4919,$A1783)</f>
        <v/>
      </c>
      <c r="L1783" s="6">
        <f>_xlfn.MAXIFS('DETALLE CRONOLÓGICO'!$K$2:$K$4919,'DETALLE CRONOLÓGICO'!$A$2:$A$4919,$A1783)</f>
        <v/>
      </c>
      <c r="M1783" s="6">
        <f>INDEX('DETALLE CRONOLÓGICO'!$K$2:$K$4919,MATCH($A1783,'DETALLE CRONOLÓGICO'!$A$2:$A$4919,0)+$E1783-1)</f>
        <v/>
      </c>
      <c r="N1783" s="7">
        <f>IFERROR($M1783/INDEX('DETALLE CRONOLÓGICO'!$K$2:$K$4919,MATCH($A1783,'DETALLE CRONOLÓGICO'!$A$2:$A$4919,0))-1,"")</f>
        <v/>
      </c>
      <c r="O1783" s="6">
        <f>IFERROR($I1783*3,"")</f>
        <v/>
      </c>
      <c r="P1783" s="6">
        <f>IFERROR($I1783*3.5,"")</f>
        <v/>
      </c>
      <c r="Q1783" s="6">
        <f>IFERROR($I1783*4,"")</f>
        <v/>
      </c>
      <c r="R1783" s="6" t="n">
        <v>455</v>
      </c>
      <c r="S1783" s="4" t="n">
        <v>2</v>
      </c>
      <c r="T1783" s="1" t="inlineStr">
        <is>
          <t>active</t>
        </is>
      </c>
      <c r="U1783" s="8" t="n"/>
      <c r="V1783" s="1" t="inlineStr">
        <is>
          <t>SIN PRECIO</t>
        </is>
      </c>
    </row>
    <row r="1784">
      <c r="A1784" s="1" t="inlineStr">
        <is>
          <t>71036876283404</t>
        </is>
      </c>
      <c r="B1784" s="1" t="inlineStr">
        <is>
          <t>ANILLO LOCK SILVER</t>
        </is>
      </c>
      <c r="C1784" s="1" t="inlineStr">
        <is>
          <t>8</t>
        </is>
      </c>
      <c r="D1784" s="1" t="inlineStr">
        <is>
          <t>HAIFENG</t>
        </is>
      </c>
      <c r="E1784" s="4">
        <f>COUNTIF('DETALLE CRONOLÓGICO'!$A$2:$A$4919,$A1784)</f>
        <v/>
      </c>
      <c r="F1784" s="4">
        <f>SUMIFS('DETALLE CRONOLÓGICO'!$I$2:$I$4919,'DETALLE CRONOLÓGICO'!$A$2:$A$4919,$A1784)</f>
        <v/>
      </c>
      <c r="G1784" s="1">
        <f>INDEX('DETALLE CRONOLÓGICO'!$D$2:$D$4919,MATCH($A1784,'DETALLE CRONOLÓGICO'!$A$2:$A$4919,0))</f>
        <v/>
      </c>
      <c r="H1784" s="1">
        <f>INDEX('DETALLE CRONOLÓGICO'!$D$2:$D$4919,MATCH($A1784,'DETALLE CRONOLÓGICO'!$A$2:$A$4919,0)+$E1784-1)</f>
        <v/>
      </c>
      <c r="I1784" s="5">
        <f>IFERROR(SUMIFS('DETALLE CRONOLÓGICO'!$L$2:$L$4919,'DETALLE CRONOLÓGICO'!$A$2:$A$4919,$A1784)/$F1784,"")</f>
        <v/>
      </c>
      <c r="J1784" s="6">
        <f>IFERROR(SUMIFS('DETALLE CRONOLÓGICO'!$K$2:$K$4919,'DETALLE CRONOLÓGICO'!$A$2:$A$4919,$A1784)/$E1784,"")</f>
        <v/>
      </c>
      <c r="K1784" s="6">
        <f>_xlfn.MINIFS('DETALLE CRONOLÓGICO'!$K$2:$K$4919,'DETALLE CRONOLÓGICO'!$A$2:$A$4919,$A1784)</f>
        <v/>
      </c>
      <c r="L1784" s="6">
        <f>_xlfn.MAXIFS('DETALLE CRONOLÓGICO'!$K$2:$K$4919,'DETALLE CRONOLÓGICO'!$A$2:$A$4919,$A1784)</f>
        <v/>
      </c>
      <c r="M1784" s="6">
        <f>INDEX('DETALLE CRONOLÓGICO'!$K$2:$K$4919,MATCH($A1784,'DETALLE CRONOLÓGICO'!$A$2:$A$4919,0)+$E1784-1)</f>
        <v/>
      </c>
      <c r="N1784" s="7">
        <f>IFERROR($M1784/INDEX('DETALLE CRONOLÓGICO'!$K$2:$K$4919,MATCH($A1784,'DETALLE CRONOLÓGICO'!$A$2:$A$4919,0))-1,"")</f>
        <v/>
      </c>
      <c r="O1784" s="6">
        <f>IFERROR($I1784*3,"")</f>
        <v/>
      </c>
      <c r="P1784" s="6">
        <f>IFERROR($I1784*3.5,"")</f>
        <v/>
      </c>
      <c r="Q1784" s="6">
        <f>IFERROR($I1784*4,"")</f>
        <v/>
      </c>
      <c r="R1784" s="6" t="n">
        <v>454</v>
      </c>
      <c r="S1784" s="4" t="n">
        <v>5</v>
      </c>
      <c r="T1784" s="1" t="inlineStr">
        <is>
          <t>active</t>
        </is>
      </c>
      <c r="U1784" s="8" t="n"/>
      <c r="V1784" s="1" t="inlineStr">
        <is>
          <t>SIN PRECIO</t>
        </is>
      </c>
    </row>
    <row r="1785">
      <c r="A1785" s="1" t="inlineStr">
        <is>
          <t>71036878066828</t>
        </is>
      </c>
      <c r="B1785" s="1" t="inlineStr">
        <is>
          <t>COLLAR GC INTERLOCKING</t>
        </is>
      </c>
      <c r="C1785" s="1" t="inlineStr">
        <is>
          <t>59cm</t>
        </is>
      </c>
      <c r="D1785" s="1" t="inlineStr">
        <is>
          <t>CYNTHIA</t>
        </is>
      </c>
      <c r="E1785" s="4">
        <f>COUNTIF('DETALLE CRONOLÓGICO'!$A$2:$A$4919,$A1785)</f>
        <v/>
      </c>
      <c r="F1785" s="4">
        <f>SUMIFS('DETALLE CRONOLÓGICO'!$I$2:$I$4919,'DETALLE CRONOLÓGICO'!$A$2:$A$4919,$A1785)</f>
        <v/>
      </c>
      <c r="G1785" s="1">
        <f>INDEX('DETALLE CRONOLÓGICO'!$D$2:$D$4919,MATCH($A1785,'DETALLE CRONOLÓGICO'!$A$2:$A$4919,0))</f>
        <v/>
      </c>
      <c r="H1785" s="1">
        <f>INDEX('DETALLE CRONOLÓGICO'!$D$2:$D$4919,MATCH($A1785,'DETALLE CRONOLÓGICO'!$A$2:$A$4919,0)+$E1785-1)</f>
        <v/>
      </c>
      <c r="I1785" s="5">
        <f>IFERROR(SUMIFS('DETALLE CRONOLÓGICO'!$L$2:$L$4919,'DETALLE CRONOLÓGICO'!$A$2:$A$4919,$A1785)/$F1785,"")</f>
        <v/>
      </c>
      <c r="J1785" s="6">
        <f>IFERROR(SUMIFS('DETALLE CRONOLÓGICO'!$K$2:$K$4919,'DETALLE CRONOLÓGICO'!$A$2:$A$4919,$A1785)/$E1785,"")</f>
        <v/>
      </c>
      <c r="K1785" s="6">
        <f>_xlfn.MINIFS('DETALLE CRONOLÓGICO'!$K$2:$K$4919,'DETALLE CRONOLÓGICO'!$A$2:$A$4919,$A1785)</f>
        <v/>
      </c>
      <c r="L1785" s="6">
        <f>_xlfn.MAXIFS('DETALLE CRONOLÓGICO'!$K$2:$K$4919,'DETALLE CRONOLÓGICO'!$A$2:$A$4919,$A1785)</f>
        <v/>
      </c>
      <c r="M1785" s="6">
        <f>INDEX('DETALLE CRONOLÓGICO'!$K$2:$K$4919,MATCH($A1785,'DETALLE CRONOLÓGICO'!$A$2:$A$4919,0)+$E1785-1)</f>
        <v/>
      </c>
      <c r="N1785" s="7">
        <f>IFERROR($M1785/INDEX('DETALLE CRONOLÓGICO'!$K$2:$K$4919,MATCH($A1785,'DETALLE CRONOLÓGICO'!$A$2:$A$4919,0))-1,"")</f>
        <v/>
      </c>
      <c r="O1785" s="6">
        <f>IFERROR($I1785*3,"")</f>
        <v/>
      </c>
      <c r="P1785" s="6">
        <f>IFERROR($I1785*3.5,"")</f>
        <v/>
      </c>
      <c r="Q1785" s="6">
        <f>IFERROR($I1785*4,"")</f>
        <v/>
      </c>
      <c r="R1785" s="6" t="n">
        <v>1102</v>
      </c>
      <c r="S1785" s="4" t="n">
        <v>1</v>
      </c>
      <c r="T1785" s="1" t="inlineStr">
        <is>
          <t>active</t>
        </is>
      </c>
      <c r="U1785" s="8" t="n"/>
      <c r="V1785" s="1" t="inlineStr">
        <is>
          <t>SIN PRECIO</t>
        </is>
      </c>
    </row>
    <row r="1786">
      <c r="A1786" s="1" t="inlineStr">
        <is>
          <t>71036879166988</t>
        </is>
      </c>
      <c r="B1786" s="1" t="inlineStr">
        <is>
          <t>ANILLO T DE COMPROMISO</t>
        </is>
      </c>
      <c r="C1786" s="1" t="inlineStr">
        <is>
          <t>6</t>
        </is>
      </c>
      <c r="D1786" s="1" t="inlineStr">
        <is>
          <t>HAIFENG</t>
        </is>
      </c>
      <c r="E1786" s="4">
        <f>COUNTIF('DETALLE CRONOLÓGICO'!$A$2:$A$4919,$A1786)</f>
        <v/>
      </c>
      <c r="F1786" s="4">
        <f>SUMIFS('DETALLE CRONOLÓGICO'!$I$2:$I$4919,'DETALLE CRONOLÓGICO'!$A$2:$A$4919,$A1786)</f>
        <v/>
      </c>
      <c r="G1786" s="1">
        <f>INDEX('DETALLE CRONOLÓGICO'!$D$2:$D$4919,MATCH($A1786,'DETALLE CRONOLÓGICO'!$A$2:$A$4919,0))</f>
        <v/>
      </c>
      <c r="H1786" s="1">
        <f>INDEX('DETALLE CRONOLÓGICO'!$D$2:$D$4919,MATCH($A1786,'DETALLE CRONOLÓGICO'!$A$2:$A$4919,0)+$E1786-1)</f>
        <v/>
      </c>
      <c r="I1786" s="5">
        <f>IFERROR(SUMIFS('DETALLE CRONOLÓGICO'!$L$2:$L$4919,'DETALLE CRONOLÓGICO'!$A$2:$A$4919,$A1786)/$F1786,"")</f>
        <v/>
      </c>
      <c r="J1786" s="6">
        <f>IFERROR(SUMIFS('DETALLE CRONOLÓGICO'!$K$2:$K$4919,'DETALLE CRONOLÓGICO'!$A$2:$A$4919,$A1786)/$E1786,"")</f>
        <v/>
      </c>
      <c r="K1786" s="6">
        <f>_xlfn.MINIFS('DETALLE CRONOLÓGICO'!$K$2:$K$4919,'DETALLE CRONOLÓGICO'!$A$2:$A$4919,$A1786)</f>
        <v/>
      </c>
      <c r="L1786" s="6">
        <f>_xlfn.MAXIFS('DETALLE CRONOLÓGICO'!$K$2:$K$4919,'DETALLE CRONOLÓGICO'!$A$2:$A$4919,$A1786)</f>
        <v/>
      </c>
      <c r="M1786" s="6">
        <f>INDEX('DETALLE CRONOLÓGICO'!$K$2:$K$4919,MATCH($A1786,'DETALLE CRONOLÓGICO'!$A$2:$A$4919,0)+$E1786-1)</f>
        <v/>
      </c>
      <c r="N1786" s="7">
        <f>IFERROR($M1786/INDEX('DETALLE CRONOLÓGICO'!$K$2:$K$4919,MATCH($A1786,'DETALLE CRONOLÓGICO'!$A$2:$A$4919,0))-1,"")</f>
        <v/>
      </c>
      <c r="O1786" s="6">
        <f>IFERROR($I1786*3,"")</f>
        <v/>
      </c>
      <c r="P1786" s="6">
        <f>IFERROR($I1786*3.5,"")</f>
        <v/>
      </c>
      <c r="Q1786" s="6">
        <f>IFERROR($I1786*4,"")</f>
        <v/>
      </c>
      <c r="R1786" s="6" t="n">
        <v>599</v>
      </c>
      <c r="S1786" s="4" t="n">
        <v>0</v>
      </c>
      <c r="T1786" s="1" t="inlineStr">
        <is>
          <t>active</t>
        </is>
      </c>
      <c r="U1786" s="8" t="n"/>
      <c r="V1786" s="1" t="inlineStr">
        <is>
          <t>SIN PRECIO</t>
        </is>
      </c>
    </row>
    <row r="1787">
      <c r="A1787" s="1" t="inlineStr">
        <is>
          <t>71036889199756</t>
        </is>
      </c>
      <c r="B1787" s="1" t="inlineStr">
        <is>
          <t>ANILLO T DE COMPROMISO</t>
        </is>
      </c>
      <c r="C1787" s="1" t="inlineStr">
        <is>
          <t>7</t>
        </is>
      </c>
      <c r="D1787" s="1" t="inlineStr">
        <is>
          <t>HAIFENG</t>
        </is>
      </c>
      <c r="E1787" s="4">
        <f>COUNTIF('DETALLE CRONOLÓGICO'!$A$2:$A$4919,$A1787)</f>
        <v/>
      </c>
      <c r="F1787" s="4">
        <f>SUMIFS('DETALLE CRONOLÓGICO'!$I$2:$I$4919,'DETALLE CRONOLÓGICO'!$A$2:$A$4919,$A1787)</f>
        <v/>
      </c>
      <c r="G1787" s="1">
        <f>INDEX('DETALLE CRONOLÓGICO'!$D$2:$D$4919,MATCH($A1787,'DETALLE CRONOLÓGICO'!$A$2:$A$4919,0))</f>
        <v/>
      </c>
      <c r="H1787" s="1">
        <f>INDEX('DETALLE CRONOLÓGICO'!$D$2:$D$4919,MATCH($A1787,'DETALLE CRONOLÓGICO'!$A$2:$A$4919,0)+$E1787-1)</f>
        <v/>
      </c>
      <c r="I1787" s="5">
        <f>IFERROR(SUMIFS('DETALLE CRONOLÓGICO'!$L$2:$L$4919,'DETALLE CRONOLÓGICO'!$A$2:$A$4919,$A1787)/$F1787,"")</f>
        <v/>
      </c>
      <c r="J1787" s="6">
        <f>IFERROR(SUMIFS('DETALLE CRONOLÓGICO'!$K$2:$K$4919,'DETALLE CRONOLÓGICO'!$A$2:$A$4919,$A1787)/$E1787,"")</f>
        <v/>
      </c>
      <c r="K1787" s="6">
        <f>_xlfn.MINIFS('DETALLE CRONOLÓGICO'!$K$2:$K$4919,'DETALLE CRONOLÓGICO'!$A$2:$A$4919,$A1787)</f>
        <v/>
      </c>
      <c r="L1787" s="6">
        <f>_xlfn.MAXIFS('DETALLE CRONOLÓGICO'!$K$2:$K$4919,'DETALLE CRONOLÓGICO'!$A$2:$A$4919,$A1787)</f>
        <v/>
      </c>
      <c r="M1787" s="6">
        <f>INDEX('DETALLE CRONOLÓGICO'!$K$2:$K$4919,MATCH($A1787,'DETALLE CRONOLÓGICO'!$A$2:$A$4919,0)+$E1787-1)</f>
        <v/>
      </c>
      <c r="N1787" s="7">
        <f>IFERROR($M1787/INDEX('DETALLE CRONOLÓGICO'!$K$2:$K$4919,MATCH($A1787,'DETALLE CRONOLÓGICO'!$A$2:$A$4919,0))-1,"")</f>
        <v/>
      </c>
      <c r="O1787" s="6">
        <f>IFERROR($I1787*3,"")</f>
        <v/>
      </c>
      <c r="P1787" s="6">
        <f>IFERROR($I1787*3.5,"")</f>
        <v/>
      </c>
      <c r="Q1787" s="6">
        <f>IFERROR($I1787*4,"")</f>
        <v/>
      </c>
      <c r="R1787" s="6" t="n">
        <v>599</v>
      </c>
      <c r="S1787" s="4" t="n">
        <v>4</v>
      </c>
      <c r="T1787" s="1" t="inlineStr">
        <is>
          <t>active</t>
        </is>
      </c>
      <c r="U1787" s="8" t="n"/>
      <c r="V1787" s="1" t="inlineStr">
        <is>
          <t>SIN PRECIO</t>
        </is>
      </c>
    </row>
    <row r="1788">
      <c r="A1788" s="1" t="inlineStr">
        <is>
          <t>71036889232524</t>
        </is>
      </c>
      <c r="B1788" s="1" t="inlineStr">
        <is>
          <t>ANILLO T DE COMPROMISO</t>
        </is>
      </c>
      <c r="C1788" s="1" t="inlineStr">
        <is>
          <t>8</t>
        </is>
      </c>
      <c r="D1788" s="1" t="inlineStr">
        <is>
          <t>HAIFENG</t>
        </is>
      </c>
      <c r="E1788" s="4">
        <f>COUNTIF('DETALLE CRONOLÓGICO'!$A$2:$A$4919,$A1788)</f>
        <v/>
      </c>
      <c r="F1788" s="4">
        <f>SUMIFS('DETALLE CRONOLÓGICO'!$I$2:$I$4919,'DETALLE CRONOLÓGICO'!$A$2:$A$4919,$A1788)</f>
        <v/>
      </c>
      <c r="G1788" s="1">
        <f>INDEX('DETALLE CRONOLÓGICO'!$D$2:$D$4919,MATCH($A1788,'DETALLE CRONOLÓGICO'!$A$2:$A$4919,0))</f>
        <v/>
      </c>
      <c r="H1788" s="1">
        <f>INDEX('DETALLE CRONOLÓGICO'!$D$2:$D$4919,MATCH($A1788,'DETALLE CRONOLÓGICO'!$A$2:$A$4919,0)+$E1788-1)</f>
        <v/>
      </c>
      <c r="I1788" s="5">
        <f>IFERROR(SUMIFS('DETALLE CRONOLÓGICO'!$L$2:$L$4919,'DETALLE CRONOLÓGICO'!$A$2:$A$4919,$A1788)/$F1788,"")</f>
        <v/>
      </c>
      <c r="J1788" s="6">
        <f>IFERROR(SUMIFS('DETALLE CRONOLÓGICO'!$K$2:$K$4919,'DETALLE CRONOLÓGICO'!$A$2:$A$4919,$A1788)/$E1788,"")</f>
        <v/>
      </c>
      <c r="K1788" s="6">
        <f>_xlfn.MINIFS('DETALLE CRONOLÓGICO'!$K$2:$K$4919,'DETALLE CRONOLÓGICO'!$A$2:$A$4919,$A1788)</f>
        <v/>
      </c>
      <c r="L1788" s="6">
        <f>_xlfn.MAXIFS('DETALLE CRONOLÓGICO'!$K$2:$K$4919,'DETALLE CRONOLÓGICO'!$A$2:$A$4919,$A1788)</f>
        <v/>
      </c>
      <c r="M1788" s="6">
        <f>INDEX('DETALLE CRONOLÓGICO'!$K$2:$K$4919,MATCH($A1788,'DETALLE CRONOLÓGICO'!$A$2:$A$4919,0)+$E1788-1)</f>
        <v/>
      </c>
      <c r="N1788" s="7">
        <f>IFERROR($M1788/INDEX('DETALLE CRONOLÓGICO'!$K$2:$K$4919,MATCH($A1788,'DETALLE CRONOLÓGICO'!$A$2:$A$4919,0))-1,"")</f>
        <v/>
      </c>
      <c r="O1788" s="6">
        <f>IFERROR($I1788*3,"")</f>
        <v/>
      </c>
      <c r="P1788" s="6">
        <f>IFERROR($I1788*3.5,"")</f>
        <v/>
      </c>
      <c r="Q1788" s="6">
        <f>IFERROR($I1788*4,"")</f>
        <v/>
      </c>
      <c r="R1788" s="6" t="n">
        <v>599</v>
      </c>
      <c r="S1788" s="4" t="n">
        <v>2</v>
      </c>
      <c r="T1788" s="1" t="inlineStr">
        <is>
          <t>active</t>
        </is>
      </c>
      <c r="U1788" s="8" t="n"/>
      <c r="V1788" s="1" t="inlineStr">
        <is>
          <t>SIN PRECIO</t>
        </is>
      </c>
    </row>
    <row r="1789">
      <c r="A1789" s="1" t="inlineStr">
        <is>
          <t>71078751021293</t>
        </is>
      </c>
      <c r="B1789" s="1" t="inlineStr">
        <is>
          <t>PULSERA LV IDYLLE SILVER</t>
        </is>
      </c>
      <c r="C1789" s="1" t="inlineStr">
        <is>
          <t>Default Title</t>
        </is>
      </c>
      <c r="D1789" s="1" t="inlineStr">
        <is>
          <t>HAIFENG</t>
        </is>
      </c>
      <c r="E1789" s="4">
        <f>COUNTIF('DETALLE CRONOLÓGICO'!$A$2:$A$4919,$A1789)</f>
        <v/>
      </c>
      <c r="F1789" s="4">
        <f>SUMIFS('DETALLE CRONOLÓGICO'!$I$2:$I$4919,'DETALLE CRONOLÓGICO'!$A$2:$A$4919,$A1789)</f>
        <v/>
      </c>
      <c r="G1789" s="1">
        <f>INDEX('DETALLE CRONOLÓGICO'!$D$2:$D$4919,MATCH($A1789,'DETALLE CRONOLÓGICO'!$A$2:$A$4919,0))</f>
        <v/>
      </c>
      <c r="H1789" s="1">
        <f>INDEX('DETALLE CRONOLÓGICO'!$D$2:$D$4919,MATCH($A1789,'DETALLE CRONOLÓGICO'!$A$2:$A$4919,0)+$E1789-1)</f>
        <v/>
      </c>
      <c r="I1789" s="5">
        <f>IFERROR(SUMIFS('DETALLE CRONOLÓGICO'!$L$2:$L$4919,'DETALLE CRONOLÓGICO'!$A$2:$A$4919,$A1789)/$F1789,"")</f>
        <v/>
      </c>
      <c r="J1789" s="6">
        <f>IFERROR(SUMIFS('DETALLE CRONOLÓGICO'!$K$2:$K$4919,'DETALLE CRONOLÓGICO'!$A$2:$A$4919,$A1789)/$E1789,"")</f>
        <v/>
      </c>
      <c r="K1789" s="6">
        <f>_xlfn.MINIFS('DETALLE CRONOLÓGICO'!$K$2:$K$4919,'DETALLE CRONOLÓGICO'!$A$2:$A$4919,$A1789)</f>
        <v/>
      </c>
      <c r="L1789" s="6">
        <f>_xlfn.MAXIFS('DETALLE CRONOLÓGICO'!$K$2:$K$4919,'DETALLE CRONOLÓGICO'!$A$2:$A$4919,$A1789)</f>
        <v/>
      </c>
      <c r="M1789" s="6">
        <f>INDEX('DETALLE CRONOLÓGICO'!$K$2:$K$4919,MATCH($A1789,'DETALLE CRONOLÓGICO'!$A$2:$A$4919,0)+$E1789-1)</f>
        <v/>
      </c>
      <c r="N1789" s="7">
        <f>IFERROR($M1789/INDEX('DETALLE CRONOLÓGICO'!$K$2:$K$4919,MATCH($A1789,'DETALLE CRONOLÓGICO'!$A$2:$A$4919,0))-1,"")</f>
        <v/>
      </c>
      <c r="O1789" s="6">
        <f>IFERROR($I1789*3,"")</f>
        <v/>
      </c>
      <c r="P1789" s="6">
        <f>IFERROR($I1789*3.5,"")</f>
        <v/>
      </c>
      <c r="Q1789" s="6">
        <f>IFERROR($I1789*4,"")</f>
        <v/>
      </c>
      <c r="R1789" s="6" t="n">
        <v>580</v>
      </c>
      <c r="S1789" s="4" t="n">
        <v>4</v>
      </c>
      <c r="T1789" s="1" t="inlineStr">
        <is>
          <t>active</t>
        </is>
      </c>
      <c r="U1789" s="8" t="n"/>
      <c r="V1789" s="1" t="inlineStr">
        <is>
          <t>SIN PRECIO</t>
        </is>
      </c>
    </row>
    <row r="1790">
      <c r="A1790" s="1" t="inlineStr">
        <is>
          <t>71078751481933</t>
        </is>
      </c>
      <c r="B1790" s="1" t="inlineStr">
        <is>
          <t>ANILLO LV GRABADO SILVER</t>
        </is>
      </c>
      <c r="C1790" s="1" t="inlineStr">
        <is>
          <t>8</t>
        </is>
      </c>
      <c r="D1790" s="1" t="inlineStr">
        <is>
          <t>HAIFENG</t>
        </is>
      </c>
      <c r="E1790" s="4">
        <f>COUNTIF('DETALLE CRONOLÓGICO'!$A$2:$A$4919,$A1790)</f>
        <v/>
      </c>
      <c r="F1790" s="4">
        <f>SUMIFS('DETALLE CRONOLÓGICO'!$I$2:$I$4919,'DETALLE CRONOLÓGICO'!$A$2:$A$4919,$A1790)</f>
        <v/>
      </c>
      <c r="G1790" s="1">
        <f>INDEX('DETALLE CRONOLÓGICO'!$D$2:$D$4919,MATCH($A1790,'DETALLE CRONOLÓGICO'!$A$2:$A$4919,0))</f>
        <v/>
      </c>
      <c r="H1790" s="1">
        <f>INDEX('DETALLE CRONOLÓGICO'!$D$2:$D$4919,MATCH($A1790,'DETALLE CRONOLÓGICO'!$A$2:$A$4919,0)+$E1790-1)</f>
        <v/>
      </c>
      <c r="I1790" s="5">
        <f>IFERROR(SUMIFS('DETALLE CRONOLÓGICO'!$L$2:$L$4919,'DETALLE CRONOLÓGICO'!$A$2:$A$4919,$A1790)/$F1790,"")</f>
        <v/>
      </c>
      <c r="J1790" s="6">
        <f>IFERROR(SUMIFS('DETALLE CRONOLÓGICO'!$K$2:$K$4919,'DETALLE CRONOLÓGICO'!$A$2:$A$4919,$A1790)/$E1790,"")</f>
        <v/>
      </c>
      <c r="K1790" s="6">
        <f>_xlfn.MINIFS('DETALLE CRONOLÓGICO'!$K$2:$K$4919,'DETALLE CRONOLÓGICO'!$A$2:$A$4919,$A1790)</f>
        <v/>
      </c>
      <c r="L1790" s="6">
        <f>_xlfn.MAXIFS('DETALLE CRONOLÓGICO'!$K$2:$K$4919,'DETALLE CRONOLÓGICO'!$A$2:$A$4919,$A1790)</f>
        <v/>
      </c>
      <c r="M1790" s="6">
        <f>INDEX('DETALLE CRONOLÓGICO'!$K$2:$K$4919,MATCH($A1790,'DETALLE CRONOLÓGICO'!$A$2:$A$4919,0)+$E1790-1)</f>
        <v/>
      </c>
      <c r="N1790" s="7">
        <f>IFERROR($M1790/INDEX('DETALLE CRONOLÓGICO'!$K$2:$K$4919,MATCH($A1790,'DETALLE CRONOLÓGICO'!$A$2:$A$4919,0))-1,"")</f>
        <v/>
      </c>
      <c r="O1790" s="6">
        <f>IFERROR($I1790*3,"")</f>
        <v/>
      </c>
      <c r="P1790" s="6">
        <f>IFERROR($I1790*3.5,"")</f>
        <v/>
      </c>
      <c r="Q1790" s="6">
        <f>IFERROR($I1790*4,"")</f>
        <v/>
      </c>
      <c r="R1790" s="6" t="n">
        <v>599</v>
      </c>
      <c r="S1790" s="4" t="n">
        <v>4</v>
      </c>
      <c r="T1790" s="1" t="inlineStr">
        <is>
          <t>active</t>
        </is>
      </c>
      <c r="U1790" s="8" t="n"/>
      <c r="V1790" s="1" t="inlineStr">
        <is>
          <t>SIN PRECIO</t>
        </is>
      </c>
    </row>
    <row r="1791">
      <c r="A1791" s="1" t="inlineStr">
        <is>
          <t>71078751659341</t>
        </is>
      </c>
      <c r="B1791" s="1" t="inlineStr">
        <is>
          <t>COLLAR C SILVER ZIRCONIAS</t>
        </is>
      </c>
      <c r="C1791" s="1" t="inlineStr">
        <is>
          <t>Default Title</t>
        </is>
      </c>
      <c r="D1791" s="1" t="inlineStr">
        <is>
          <t>HAIFENG</t>
        </is>
      </c>
      <c r="E1791" s="4">
        <f>COUNTIF('DETALLE CRONOLÓGICO'!$A$2:$A$4919,$A1791)</f>
        <v/>
      </c>
      <c r="F1791" s="4">
        <f>SUMIFS('DETALLE CRONOLÓGICO'!$I$2:$I$4919,'DETALLE CRONOLÓGICO'!$A$2:$A$4919,$A1791)</f>
        <v/>
      </c>
      <c r="G1791" s="1">
        <f>INDEX('DETALLE CRONOLÓGICO'!$D$2:$D$4919,MATCH($A1791,'DETALLE CRONOLÓGICO'!$A$2:$A$4919,0))</f>
        <v/>
      </c>
      <c r="H1791" s="1">
        <f>INDEX('DETALLE CRONOLÓGICO'!$D$2:$D$4919,MATCH($A1791,'DETALLE CRONOLÓGICO'!$A$2:$A$4919,0)+$E1791-1)</f>
        <v/>
      </c>
      <c r="I1791" s="5">
        <f>IFERROR(SUMIFS('DETALLE CRONOLÓGICO'!$L$2:$L$4919,'DETALLE CRONOLÓGICO'!$A$2:$A$4919,$A1791)/$F1791,"")</f>
        <v/>
      </c>
      <c r="J1791" s="6">
        <f>IFERROR(SUMIFS('DETALLE CRONOLÓGICO'!$K$2:$K$4919,'DETALLE CRONOLÓGICO'!$A$2:$A$4919,$A1791)/$E1791,"")</f>
        <v/>
      </c>
      <c r="K1791" s="6">
        <f>_xlfn.MINIFS('DETALLE CRONOLÓGICO'!$K$2:$K$4919,'DETALLE CRONOLÓGICO'!$A$2:$A$4919,$A1791)</f>
        <v/>
      </c>
      <c r="L1791" s="6">
        <f>_xlfn.MAXIFS('DETALLE CRONOLÓGICO'!$K$2:$K$4919,'DETALLE CRONOLÓGICO'!$A$2:$A$4919,$A1791)</f>
        <v/>
      </c>
      <c r="M1791" s="6">
        <f>INDEX('DETALLE CRONOLÓGICO'!$K$2:$K$4919,MATCH($A1791,'DETALLE CRONOLÓGICO'!$A$2:$A$4919,0)+$E1791-1)</f>
        <v/>
      </c>
      <c r="N1791" s="7">
        <f>IFERROR($M1791/INDEX('DETALLE CRONOLÓGICO'!$K$2:$K$4919,MATCH($A1791,'DETALLE CRONOLÓGICO'!$A$2:$A$4919,0))-1,"")</f>
        <v/>
      </c>
      <c r="O1791" s="6">
        <f>IFERROR($I1791*3,"")</f>
        <v/>
      </c>
      <c r="P1791" s="6">
        <f>IFERROR($I1791*3.5,"")</f>
        <v/>
      </c>
      <c r="Q1791" s="6">
        <f>IFERROR($I1791*4,"")</f>
        <v/>
      </c>
      <c r="R1791" s="6" t="n">
        <v>493.58</v>
      </c>
      <c r="S1791" s="4" t="n">
        <v>1</v>
      </c>
      <c r="T1791" s="1" t="inlineStr">
        <is>
          <t>active</t>
        </is>
      </c>
      <c r="U1791" s="8" t="n"/>
      <c r="V1791" s="1" t="inlineStr">
        <is>
          <t>SIN PRECIO</t>
        </is>
      </c>
    </row>
    <row r="1792">
      <c r="A1792" s="1" t="inlineStr">
        <is>
          <t>71078751862733</t>
        </is>
      </c>
      <c r="B1792" s="1" t="inlineStr">
        <is>
          <t>PULSERA C GOLD DOBLE PEARL</t>
        </is>
      </c>
      <c r="C1792" s="1" t="inlineStr">
        <is>
          <t>Default Title</t>
        </is>
      </c>
      <c r="D1792" s="1" t="inlineStr">
        <is>
          <t>HAIFENG</t>
        </is>
      </c>
      <c r="E1792" s="4">
        <f>COUNTIF('DETALLE CRONOLÓGICO'!$A$2:$A$4919,$A1792)</f>
        <v/>
      </c>
      <c r="F1792" s="4">
        <f>SUMIFS('DETALLE CRONOLÓGICO'!$I$2:$I$4919,'DETALLE CRONOLÓGICO'!$A$2:$A$4919,$A1792)</f>
        <v/>
      </c>
      <c r="G1792" s="1">
        <f>INDEX('DETALLE CRONOLÓGICO'!$D$2:$D$4919,MATCH($A1792,'DETALLE CRONOLÓGICO'!$A$2:$A$4919,0))</f>
        <v/>
      </c>
      <c r="H1792" s="1">
        <f>INDEX('DETALLE CRONOLÓGICO'!$D$2:$D$4919,MATCH($A1792,'DETALLE CRONOLÓGICO'!$A$2:$A$4919,0)+$E1792-1)</f>
        <v/>
      </c>
      <c r="I1792" s="5">
        <f>IFERROR(SUMIFS('DETALLE CRONOLÓGICO'!$L$2:$L$4919,'DETALLE CRONOLÓGICO'!$A$2:$A$4919,$A1792)/$F1792,"")</f>
        <v/>
      </c>
      <c r="J1792" s="6">
        <f>IFERROR(SUMIFS('DETALLE CRONOLÓGICO'!$K$2:$K$4919,'DETALLE CRONOLÓGICO'!$A$2:$A$4919,$A1792)/$E1792,"")</f>
        <v/>
      </c>
      <c r="K1792" s="6">
        <f>_xlfn.MINIFS('DETALLE CRONOLÓGICO'!$K$2:$K$4919,'DETALLE CRONOLÓGICO'!$A$2:$A$4919,$A1792)</f>
        <v/>
      </c>
      <c r="L1792" s="6">
        <f>_xlfn.MAXIFS('DETALLE CRONOLÓGICO'!$K$2:$K$4919,'DETALLE CRONOLÓGICO'!$A$2:$A$4919,$A1792)</f>
        <v/>
      </c>
      <c r="M1792" s="6">
        <f>INDEX('DETALLE CRONOLÓGICO'!$K$2:$K$4919,MATCH($A1792,'DETALLE CRONOLÓGICO'!$A$2:$A$4919,0)+$E1792-1)</f>
        <v/>
      </c>
      <c r="N1792" s="7">
        <f>IFERROR($M1792/INDEX('DETALLE CRONOLÓGICO'!$K$2:$K$4919,MATCH($A1792,'DETALLE CRONOLÓGICO'!$A$2:$A$4919,0))-1,"")</f>
        <v/>
      </c>
      <c r="O1792" s="6">
        <f>IFERROR($I1792*3,"")</f>
        <v/>
      </c>
      <c r="P1792" s="6">
        <f>IFERROR($I1792*3.5,"")</f>
        <v/>
      </c>
      <c r="Q1792" s="6">
        <f>IFERROR($I1792*4,"")</f>
        <v/>
      </c>
      <c r="R1792" s="6" t="n">
        <v>741.6</v>
      </c>
      <c r="S1792" s="4" t="n">
        <v>2</v>
      </c>
      <c r="T1792" s="1" t="inlineStr">
        <is>
          <t>active</t>
        </is>
      </c>
      <c r="U1792" s="8" t="n"/>
      <c r="V1792" s="1" t="inlineStr">
        <is>
          <t>SIN PRECIO</t>
        </is>
      </c>
    </row>
    <row r="1793">
      <c r="A1793" s="1" t="inlineStr">
        <is>
          <t>71078752279149</t>
        </is>
      </c>
      <c r="B1793" s="1" t="inlineStr">
        <is>
          <t>BRAZALETE C GOLD</t>
        </is>
      </c>
      <c r="C1793" s="1" t="inlineStr">
        <is>
          <t>Default Title</t>
        </is>
      </c>
      <c r="D1793" s="1" t="inlineStr">
        <is>
          <t>HAIFENG</t>
        </is>
      </c>
      <c r="E1793" s="4">
        <f>COUNTIF('DETALLE CRONOLÓGICO'!$A$2:$A$4919,$A1793)</f>
        <v/>
      </c>
      <c r="F1793" s="4">
        <f>SUMIFS('DETALLE CRONOLÓGICO'!$I$2:$I$4919,'DETALLE CRONOLÓGICO'!$A$2:$A$4919,$A1793)</f>
        <v/>
      </c>
      <c r="G1793" s="1">
        <f>INDEX('DETALLE CRONOLÓGICO'!$D$2:$D$4919,MATCH($A1793,'DETALLE CRONOLÓGICO'!$A$2:$A$4919,0))</f>
        <v/>
      </c>
      <c r="H1793" s="1">
        <f>INDEX('DETALLE CRONOLÓGICO'!$D$2:$D$4919,MATCH($A1793,'DETALLE CRONOLÓGICO'!$A$2:$A$4919,0)+$E1793-1)</f>
        <v/>
      </c>
      <c r="I1793" s="5">
        <f>IFERROR(SUMIFS('DETALLE CRONOLÓGICO'!$L$2:$L$4919,'DETALLE CRONOLÓGICO'!$A$2:$A$4919,$A1793)/$F1793,"")</f>
        <v/>
      </c>
      <c r="J1793" s="6">
        <f>IFERROR(SUMIFS('DETALLE CRONOLÓGICO'!$K$2:$K$4919,'DETALLE CRONOLÓGICO'!$A$2:$A$4919,$A1793)/$E1793,"")</f>
        <v/>
      </c>
      <c r="K1793" s="6">
        <f>_xlfn.MINIFS('DETALLE CRONOLÓGICO'!$K$2:$K$4919,'DETALLE CRONOLÓGICO'!$A$2:$A$4919,$A1793)</f>
        <v/>
      </c>
      <c r="L1793" s="6">
        <f>_xlfn.MAXIFS('DETALLE CRONOLÓGICO'!$K$2:$K$4919,'DETALLE CRONOLÓGICO'!$A$2:$A$4919,$A1793)</f>
        <v/>
      </c>
      <c r="M1793" s="6">
        <f>INDEX('DETALLE CRONOLÓGICO'!$K$2:$K$4919,MATCH($A1793,'DETALLE CRONOLÓGICO'!$A$2:$A$4919,0)+$E1793-1)</f>
        <v/>
      </c>
      <c r="N1793" s="7">
        <f>IFERROR($M1793/INDEX('DETALLE CRONOLÓGICO'!$K$2:$K$4919,MATCH($A1793,'DETALLE CRONOLÓGICO'!$A$2:$A$4919,0))-1,"")</f>
        <v/>
      </c>
      <c r="O1793" s="6">
        <f>IFERROR($I1793*3,"")</f>
        <v/>
      </c>
      <c r="P1793" s="6">
        <f>IFERROR($I1793*3.5,"")</f>
        <v/>
      </c>
      <c r="Q1793" s="6">
        <f>IFERROR($I1793*4,"")</f>
        <v/>
      </c>
      <c r="R1793" s="6" t="n">
        <v>450</v>
      </c>
      <c r="S1793" s="4" t="n">
        <v>4</v>
      </c>
      <c r="T1793" s="1" t="inlineStr">
        <is>
          <t>active</t>
        </is>
      </c>
      <c r="U1793" s="8" t="n"/>
      <c r="V1793" s="1" t="inlineStr">
        <is>
          <t>SIN PRECIO</t>
        </is>
      </c>
    </row>
    <row r="1794">
      <c r="A1794" s="1" t="inlineStr">
        <is>
          <t>71078752697389</t>
        </is>
      </c>
      <c r="B1794" s="1" t="inlineStr">
        <is>
          <t>PULSERA C LOGO SILVER</t>
        </is>
      </c>
      <c r="C1794" s="1" t="inlineStr">
        <is>
          <t>Default Title</t>
        </is>
      </c>
      <c r="D1794" s="1" t="inlineStr">
        <is>
          <t>HAIFENG</t>
        </is>
      </c>
      <c r="E1794" s="4">
        <f>COUNTIF('DETALLE CRONOLÓGICO'!$A$2:$A$4919,$A1794)</f>
        <v/>
      </c>
      <c r="F1794" s="4">
        <f>SUMIFS('DETALLE CRONOLÓGICO'!$I$2:$I$4919,'DETALLE CRONOLÓGICO'!$A$2:$A$4919,$A1794)</f>
        <v/>
      </c>
      <c r="G1794" s="1">
        <f>INDEX('DETALLE CRONOLÓGICO'!$D$2:$D$4919,MATCH($A1794,'DETALLE CRONOLÓGICO'!$A$2:$A$4919,0))</f>
        <v/>
      </c>
      <c r="H1794" s="1">
        <f>INDEX('DETALLE CRONOLÓGICO'!$D$2:$D$4919,MATCH($A1794,'DETALLE CRONOLÓGICO'!$A$2:$A$4919,0)+$E1794-1)</f>
        <v/>
      </c>
      <c r="I1794" s="5">
        <f>IFERROR(SUMIFS('DETALLE CRONOLÓGICO'!$L$2:$L$4919,'DETALLE CRONOLÓGICO'!$A$2:$A$4919,$A1794)/$F1794,"")</f>
        <v/>
      </c>
      <c r="J1794" s="6">
        <f>IFERROR(SUMIFS('DETALLE CRONOLÓGICO'!$K$2:$K$4919,'DETALLE CRONOLÓGICO'!$A$2:$A$4919,$A1794)/$E1794,"")</f>
        <v/>
      </c>
      <c r="K1794" s="6">
        <f>_xlfn.MINIFS('DETALLE CRONOLÓGICO'!$K$2:$K$4919,'DETALLE CRONOLÓGICO'!$A$2:$A$4919,$A1794)</f>
        <v/>
      </c>
      <c r="L1794" s="6">
        <f>_xlfn.MAXIFS('DETALLE CRONOLÓGICO'!$K$2:$K$4919,'DETALLE CRONOLÓGICO'!$A$2:$A$4919,$A1794)</f>
        <v/>
      </c>
      <c r="M1794" s="6">
        <f>INDEX('DETALLE CRONOLÓGICO'!$K$2:$K$4919,MATCH($A1794,'DETALLE CRONOLÓGICO'!$A$2:$A$4919,0)+$E1794-1)</f>
        <v/>
      </c>
      <c r="N1794" s="7">
        <f>IFERROR($M1794/INDEX('DETALLE CRONOLÓGICO'!$K$2:$K$4919,MATCH($A1794,'DETALLE CRONOLÓGICO'!$A$2:$A$4919,0))-1,"")</f>
        <v/>
      </c>
      <c r="O1794" s="6">
        <f>IFERROR($I1794*3,"")</f>
        <v/>
      </c>
      <c r="P1794" s="6">
        <f>IFERROR($I1794*3.5,"")</f>
        <v/>
      </c>
      <c r="Q1794" s="6">
        <f>IFERROR($I1794*4,"")</f>
        <v/>
      </c>
      <c r="R1794" s="6" t="n">
        <v>658.38</v>
      </c>
      <c r="S1794" s="4" t="n">
        <v>3</v>
      </c>
      <c r="T1794" s="1" t="inlineStr">
        <is>
          <t>active</t>
        </is>
      </c>
      <c r="U1794" s="8" t="n"/>
      <c r="V1794" s="1" t="inlineStr">
        <is>
          <t>SIN PRECIO</t>
        </is>
      </c>
    </row>
    <row r="1795">
      <c r="A1795" s="1" t="inlineStr">
        <is>
          <t>71092951015341</t>
        </is>
      </c>
      <c r="B1795" s="1" t="inlineStr">
        <is>
          <t>MOCHILA MM CANVAS</t>
        </is>
      </c>
      <c r="C1795" s="1" t="inlineStr">
        <is>
          <t>Default Title</t>
        </is>
      </c>
      <c r="D1795" s="1" t="inlineStr">
        <is>
          <t>CYNTHIA</t>
        </is>
      </c>
      <c r="E1795" s="4">
        <f>COUNTIF('DETALLE CRONOLÓGICO'!$A$2:$A$4919,$A1795)</f>
        <v/>
      </c>
      <c r="F1795" s="4">
        <f>SUMIFS('DETALLE CRONOLÓGICO'!$I$2:$I$4919,'DETALLE CRONOLÓGICO'!$A$2:$A$4919,$A1795)</f>
        <v/>
      </c>
      <c r="G1795" s="1">
        <f>INDEX('DETALLE CRONOLÓGICO'!$D$2:$D$4919,MATCH($A1795,'DETALLE CRONOLÓGICO'!$A$2:$A$4919,0))</f>
        <v/>
      </c>
      <c r="H1795" s="1">
        <f>INDEX('DETALLE CRONOLÓGICO'!$D$2:$D$4919,MATCH($A1795,'DETALLE CRONOLÓGICO'!$A$2:$A$4919,0)+$E1795-1)</f>
        <v/>
      </c>
      <c r="I1795" s="5">
        <f>IFERROR(SUMIFS('DETALLE CRONOLÓGICO'!$L$2:$L$4919,'DETALLE CRONOLÓGICO'!$A$2:$A$4919,$A1795)/$F1795,"")</f>
        <v/>
      </c>
      <c r="J1795" s="6">
        <f>IFERROR(SUMIFS('DETALLE CRONOLÓGICO'!$K$2:$K$4919,'DETALLE CRONOLÓGICO'!$A$2:$A$4919,$A1795)/$E1795,"")</f>
        <v/>
      </c>
      <c r="K1795" s="6">
        <f>_xlfn.MINIFS('DETALLE CRONOLÓGICO'!$K$2:$K$4919,'DETALLE CRONOLÓGICO'!$A$2:$A$4919,$A1795)</f>
        <v/>
      </c>
      <c r="L1795" s="6">
        <f>_xlfn.MAXIFS('DETALLE CRONOLÓGICO'!$K$2:$K$4919,'DETALLE CRONOLÓGICO'!$A$2:$A$4919,$A1795)</f>
        <v/>
      </c>
      <c r="M1795" s="6">
        <f>INDEX('DETALLE CRONOLÓGICO'!$K$2:$K$4919,MATCH($A1795,'DETALLE CRONOLÓGICO'!$A$2:$A$4919,0)+$E1795-1)</f>
        <v/>
      </c>
      <c r="N1795" s="7">
        <f>IFERROR($M1795/INDEX('DETALLE CRONOLÓGICO'!$K$2:$K$4919,MATCH($A1795,'DETALLE CRONOLÓGICO'!$A$2:$A$4919,0))-1,"")</f>
        <v/>
      </c>
      <c r="O1795" s="6">
        <f>IFERROR($I1795*3,"")</f>
        <v/>
      </c>
      <c r="P1795" s="6">
        <f>IFERROR($I1795*3.5,"")</f>
        <v/>
      </c>
      <c r="Q1795" s="6">
        <f>IFERROR($I1795*4,"")</f>
        <v/>
      </c>
      <c r="R1795" s="6" t="n">
        <v>6179</v>
      </c>
      <c r="S1795" s="4" t="n">
        <v>1</v>
      </c>
      <c r="T1795" s="1" t="inlineStr">
        <is>
          <t>active</t>
        </is>
      </c>
      <c r="U1795" s="8" t="n"/>
      <c r="V1795" s="1" t="inlineStr">
        <is>
          <t>SIN PRECIO</t>
        </is>
      </c>
    </row>
    <row r="1796">
      <c r="A1796" s="1" t="inlineStr">
        <is>
          <t>71092951161133</t>
        </is>
      </c>
      <c r="B1796" s="1" t="inlineStr">
        <is>
          <t>BOLSO MM TOTE ARCADIE DARK BROWN</t>
        </is>
      </c>
      <c r="C1796" s="1" t="inlineStr">
        <is>
          <t>Default Title</t>
        </is>
      </c>
      <c r="D1796" s="1" t="inlineStr">
        <is>
          <t>CYNTHIA</t>
        </is>
      </c>
      <c r="E1796" s="4">
        <f>COUNTIF('DETALLE CRONOLÓGICO'!$A$2:$A$4919,$A1796)</f>
        <v/>
      </c>
      <c r="F1796" s="4">
        <f>SUMIFS('DETALLE CRONOLÓGICO'!$I$2:$I$4919,'DETALLE CRONOLÓGICO'!$A$2:$A$4919,$A1796)</f>
        <v/>
      </c>
      <c r="G1796" s="1">
        <f>INDEX('DETALLE CRONOLÓGICO'!$D$2:$D$4919,MATCH($A1796,'DETALLE CRONOLÓGICO'!$A$2:$A$4919,0))</f>
        <v/>
      </c>
      <c r="H1796" s="1">
        <f>INDEX('DETALLE CRONOLÓGICO'!$D$2:$D$4919,MATCH($A1796,'DETALLE CRONOLÓGICO'!$A$2:$A$4919,0)+$E1796-1)</f>
        <v/>
      </c>
      <c r="I1796" s="5">
        <f>IFERROR(SUMIFS('DETALLE CRONOLÓGICO'!$L$2:$L$4919,'DETALLE CRONOLÓGICO'!$A$2:$A$4919,$A1796)/$F1796,"")</f>
        <v/>
      </c>
      <c r="J1796" s="6">
        <f>IFERROR(SUMIFS('DETALLE CRONOLÓGICO'!$K$2:$K$4919,'DETALLE CRONOLÓGICO'!$A$2:$A$4919,$A1796)/$E1796,"")</f>
        <v/>
      </c>
      <c r="K1796" s="6">
        <f>_xlfn.MINIFS('DETALLE CRONOLÓGICO'!$K$2:$K$4919,'DETALLE CRONOLÓGICO'!$A$2:$A$4919,$A1796)</f>
        <v/>
      </c>
      <c r="L1796" s="6">
        <f>_xlfn.MAXIFS('DETALLE CRONOLÓGICO'!$K$2:$K$4919,'DETALLE CRONOLÓGICO'!$A$2:$A$4919,$A1796)</f>
        <v/>
      </c>
      <c r="M1796" s="6">
        <f>INDEX('DETALLE CRONOLÓGICO'!$K$2:$K$4919,MATCH($A1796,'DETALLE CRONOLÓGICO'!$A$2:$A$4919,0)+$E1796-1)</f>
        <v/>
      </c>
      <c r="N1796" s="7">
        <f>IFERROR($M1796/INDEX('DETALLE CRONOLÓGICO'!$K$2:$K$4919,MATCH($A1796,'DETALLE CRONOLÓGICO'!$A$2:$A$4919,0))-1,"")</f>
        <v/>
      </c>
      <c r="O1796" s="6">
        <f>IFERROR($I1796*3,"")</f>
        <v/>
      </c>
      <c r="P1796" s="6">
        <f>IFERROR($I1796*3.5,"")</f>
        <v/>
      </c>
      <c r="Q1796" s="6">
        <f>IFERROR($I1796*4,"")</f>
        <v/>
      </c>
      <c r="R1796" s="6" t="n">
        <v>4999</v>
      </c>
      <c r="S1796" s="4" t="n">
        <v>4</v>
      </c>
      <c r="T1796" s="1" t="inlineStr">
        <is>
          <t>active</t>
        </is>
      </c>
      <c r="U1796" s="8" t="n"/>
      <c r="V1796" s="1" t="inlineStr">
        <is>
          <t>SIN PRECIO</t>
        </is>
      </c>
    </row>
    <row r="1797">
      <c r="A1797" s="1" t="inlineStr">
        <is>
          <t>71092951207469</t>
        </is>
      </c>
      <c r="B1797" s="1" t="inlineStr">
        <is>
          <t>BOLSO MM BEAU COÑAC</t>
        </is>
      </c>
      <c r="C1797" s="1" t="inlineStr">
        <is>
          <t>Default Title</t>
        </is>
      </c>
      <c r="D1797" s="1" t="inlineStr">
        <is>
          <t>CYNTHIA</t>
        </is>
      </c>
      <c r="E1797" s="4">
        <f>COUNTIF('DETALLE CRONOLÓGICO'!$A$2:$A$4919,$A1797)</f>
        <v/>
      </c>
      <c r="F1797" s="4">
        <f>SUMIFS('DETALLE CRONOLÓGICO'!$I$2:$I$4919,'DETALLE CRONOLÓGICO'!$A$2:$A$4919,$A1797)</f>
        <v/>
      </c>
      <c r="G1797" s="1">
        <f>INDEX('DETALLE CRONOLÓGICO'!$D$2:$D$4919,MATCH($A1797,'DETALLE CRONOLÓGICO'!$A$2:$A$4919,0))</f>
        <v/>
      </c>
      <c r="H1797" s="1">
        <f>INDEX('DETALLE CRONOLÓGICO'!$D$2:$D$4919,MATCH($A1797,'DETALLE CRONOLÓGICO'!$A$2:$A$4919,0)+$E1797-1)</f>
        <v/>
      </c>
      <c r="I1797" s="5">
        <f>IFERROR(SUMIFS('DETALLE CRONOLÓGICO'!$L$2:$L$4919,'DETALLE CRONOLÓGICO'!$A$2:$A$4919,$A1797)/$F1797,"")</f>
        <v/>
      </c>
      <c r="J1797" s="6">
        <f>IFERROR(SUMIFS('DETALLE CRONOLÓGICO'!$K$2:$K$4919,'DETALLE CRONOLÓGICO'!$A$2:$A$4919,$A1797)/$E1797,"")</f>
        <v/>
      </c>
      <c r="K1797" s="6">
        <f>_xlfn.MINIFS('DETALLE CRONOLÓGICO'!$K$2:$K$4919,'DETALLE CRONOLÓGICO'!$A$2:$A$4919,$A1797)</f>
        <v/>
      </c>
      <c r="L1797" s="6">
        <f>_xlfn.MAXIFS('DETALLE CRONOLÓGICO'!$K$2:$K$4919,'DETALLE CRONOLÓGICO'!$A$2:$A$4919,$A1797)</f>
        <v/>
      </c>
      <c r="M1797" s="6">
        <f>INDEX('DETALLE CRONOLÓGICO'!$K$2:$K$4919,MATCH($A1797,'DETALLE CRONOLÓGICO'!$A$2:$A$4919,0)+$E1797-1)</f>
        <v/>
      </c>
      <c r="N1797" s="7">
        <f>IFERROR($M1797/INDEX('DETALLE CRONOLÓGICO'!$K$2:$K$4919,MATCH($A1797,'DETALLE CRONOLÓGICO'!$A$2:$A$4919,0))-1,"")</f>
        <v/>
      </c>
      <c r="O1797" s="6">
        <f>IFERROR($I1797*3,"")</f>
        <v/>
      </c>
      <c r="P1797" s="6">
        <f>IFERROR($I1797*3.5,"")</f>
        <v/>
      </c>
      <c r="Q1797" s="6">
        <f>IFERROR($I1797*4,"")</f>
        <v/>
      </c>
      <c r="R1797" s="6" t="n">
        <v>5722</v>
      </c>
      <c r="S1797" s="4" t="n">
        <v>3</v>
      </c>
      <c r="T1797" s="1" t="inlineStr">
        <is>
          <t>active</t>
        </is>
      </c>
      <c r="U1797" s="8" t="n"/>
      <c r="V1797" s="1" t="inlineStr">
        <is>
          <t>SIN PRECIO</t>
        </is>
      </c>
    </row>
    <row r="1798">
      <c r="A1798" s="1" t="inlineStr">
        <is>
          <t>71092951310861</t>
        </is>
      </c>
      <c r="B1798" s="1" t="inlineStr">
        <is>
          <t>BOLSO CC VANITY WHITE</t>
        </is>
      </c>
      <c r="C1798" s="1" t="inlineStr">
        <is>
          <t>Default Title</t>
        </is>
      </c>
      <c r="D1798" s="1" t="inlineStr">
        <is>
          <t>CYNTHIA</t>
        </is>
      </c>
      <c r="E1798" s="4">
        <f>COUNTIF('DETALLE CRONOLÓGICO'!$A$2:$A$4919,$A1798)</f>
        <v/>
      </c>
      <c r="F1798" s="4">
        <f>SUMIFS('DETALLE CRONOLÓGICO'!$I$2:$I$4919,'DETALLE CRONOLÓGICO'!$A$2:$A$4919,$A1798)</f>
        <v/>
      </c>
      <c r="G1798" s="1">
        <f>INDEX('DETALLE CRONOLÓGICO'!$D$2:$D$4919,MATCH($A1798,'DETALLE CRONOLÓGICO'!$A$2:$A$4919,0))</f>
        <v/>
      </c>
      <c r="H1798" s="1">
        <f>INDEX('DETALLE CRONOLÓGICO'!$D$2:$D$4919,MATCH($A1798,'DETALLE CRONOLÓGICO'!$A$2:$A$4919,0)+$E1798-1)</f>
        <v/>
      </c>
      <c r="I1798" s="5">
        <f>IFERROR(SUMIFS('DETALLE CRONOLÓGICO'!$L$2:$L$4919,'DETALLE CRONOLÓGICO'!$A$2:$A$4919,$A1798)/$F1798,"")</f>
        <v/>
      </c>
      <c r="J1798" s="6">
        <f>IFERROR(SUMIFS('DETALLE CRONOLÓGICO'!$K$2:$K$4919,'DETALLE CRONOLÓGICO'!$A$2:$A$4919,$A1798)/$E1798,"")</f>
        <v/>
      </c>
      <c r="K1798" s="6">
        <f>_xlfn.MINIFS('DETALLE CRONOLÓGICO'!$K$2:$K$4919,'DETALLE CRONOLÓGICO'!$A$2:$A$4919,$A1798)</f>
        <v/>
      </c>
      <c r="L1798" s="6">
        <f>_xlfn.MAXIFS('DETALLE CRONOLÓGICO'!$K$2:$K$4919,'DETALLE CRONOLÓGICO'!$A$2:$A$4919,$A1798)</f>
        <v/>
      </c>
      <c r="M1798" s="6">
        <f>INDEX('DETALLE CRONOLÓGICO'!$K$2:$K$4919,MATCH($A1798,'DETALLE CRONOLÓGICO'!$A$2:$A$4919,0)+$E1798-1)</f>
        <v/>
      </c>
      <c r="N1798" s="7">
        <f>IFERROR($M1798/INDEX('DETALLE CRONOLÓGICO'!$K$2:$K$4919,MATCH($A1798,'DETALLE CRONOLÓGICO'!$A$2:$A$4919,0))-1,"")</f>
        <v/>
      </c>
      <c r="O1798" s="6">
        <f>IFERROR($I1798*3,"")</f>
        <v/>
      </c>
      <c r="P1798" s="6">
        <f>IFERROR($I1798*3.5,"")</f>
        <v/>
      </c>
      <c r="Q1798" s="6">
        <f>IFERROR($I1798*4,"")</f>
        <v/>
      </c>
      <c r="R1798" s="6" t="n">
        <v>4729</v>
      </c>
      <c r="S1798" s="4" t="n">
        <v>0</v>
      </c>
      <c r="T1798" s="1" t="inlineStr">
        <is>
          <t>active</t>
        </is>
      </c>
      <c r="U1798" s="8" t="n"/>
      <c r="V1798" s="1" t="inlineStr">
        <is>
          <t>SIN PRECIO</t>
        </is>
      </c>
    </row>
    <row r="1799">
      <c r="A1799" s="1" t="inlineStr">
        <is>
          <t>71092951414253</t>
        </is>
      </c>
      <c r="B1799" s="1" t="inlineStr">
        <is>
          <t>BOLSO GC MARMONT ALL WHITE</t>
        </is>
      </c>
      <c r="C1799" s="1" t="inlineStr">
        <is>
          <t>Default Title</t>
        </is>
      </c>
      <c r="D1799" s="1" t="inlineStr">
        <is>
          <t>CYNTHIA</t>
        </is>
      </c>
      <c r="E1799" s="4">
        <f>COUNTIF('DETALLE CRONOLÓGICO'!$A$2:$A$4919,$A1799)</f>
        <v/>
      </c>
      <c r="F1799" s="4">
        <f>SUMIFS('DETALLE CRONOLÓGICO'!$I$2:$I$4919,'DETALLE CRONOLÓGICO'!$A$2:$A$4919,$A1799)</f>
        <v/>
      </c>
      <c r="G1799" s="1">
        <f>INDEX('DETALLE CRONOLÓGICO'!$D$2:$D$4919,MATCH($A1799,'DETALLE CRONOLÓGICO'!$A$2:$A$4919,0))</f>
        <v/>
      </c>
      <c r="H1799" s="1">
        <f>INDEX('DETALLE CRONOLÓGICO'!$D$2:$D$4919,MATCH($A1799,'DETALLE CRONOLÓGICO'!$A$2:$A$4919,0)+$E1799-1)</f>
        <v/>
      </c>
      <c r="I1799" s="5">
        <f>IFERROR(SUMIFS('DETALLE CRONOLÓGICO'!$L$2:$L$4919,'DETALLE CRONOLÓGICO'!$A$2:$A$4919,$A1799)/$F1799,"")</f>
        <v/>
      </c>
      <c r="J1799" s="6">
        <f>IFERROR(SUMIFS('DETALLE CRONOLÓGICO'!$K$2:$K$4919,'DETALLE CRONOLÓGICO'!$A$2:$A$4919,$A1799)/$E1799,"")</f>
        <v/>
      </c>
      <c r="K1799" s="6">
        <f>_xlfn.MINIFS('DETALLE CRONOLÓGICO'!$K$2:$K$4919,'DETALLE CRONOLÓGICO'!$A$2:$A$4919,$A1799)</f>
        <v/>
      </c>
      <c r="L1799" s="6">
        <f>_xlfn.MAXIFS('DETALLE CRONOLÓGICO'!$K$2:$K$4919,'DETALLE CRONOLÓGICO'!$A$2:$A$4919,$A1799)</f>
        <v/>
      </c>
      <c r="M1799" s="6">
        <f>INDEX('DETALLE CRONOLÓGICO'!$K$2:$K$4919,MATCH($A1799,'DETALLE CRONOLÓGICO'!$A$2:$A$4919,0)+$E1799-1)</f>
        <v/>
      </c>
      <c r="N1799" s="7">
        <f>IFERROR($M1799/INDEX('DETALLE CRONOLÓGICO'!$K$2:$K$4919,MATCH($A1799,'DETALLE CRONOLÓGICO'!$A$2:$A$4919,0))-1,"")</f>
        <v/>
      </c>
      <c r="O1799" s="6">
        <f>IFERROR($I1799*3,"")</f>
        <v/>
      </c>
      <c r="P1799" s="6">
        <f>IFERROR($I1799*3.5,"")</f>
        <v/>
      </c>
      <c r="Q1799" s="6">
        <f>IFERROR($I1799*4,"")</f>
        <v/>
      </c>
      <c r="R1799" s="6" t="n">
        <v>5515</v>
      </c>
      <c r="S1799" s="4" t="n">
        <v>5</v>
      </c>
      <c r="T1799" s="1" t="inlineStr">
        <is>
          <t>active</t>
        </is>
      </c>
      <c r="U1799" s="8" t="n"/>
      <c r="V1799" s="1" t="inlineStr">
        <is>
          <t>SIN PRECIO</t>
        </is>
      </c>
    </row>
    <row r="1800">
      <c r="A1800" s="1" t="inlineStr">
        <is>
          <t>71092951532237</t>
        </is>
      </c>
      <c r="B1800" s="1" t="inlineStr">
        <is>
          <t>BOLSO C TRIOMPHE TEEN</t>
        </is>
      </c>
      <c r="C1800" s="1" t="inlineStr">
        <is>
          <t>Default Title</t>
        </is>
      </c>
      <c r="D1800" s="1" t="inlineStr">
        <is>
          <t>CYNTHIA</t>
        </is>
      </c>
      <c r="E1800" s="4">
        <f>COUNTIF('DETALLE CRONOLÓGICO'!$A$2:$A$4919,$A1800)</f>
        <v/>
      </c>
      <c r="F1800" s="4">
        <f>SUMIFS('DETALLE CRONOLÓGICO'!$I$2:$I$4919,'DETALLE CRONOLÓGICO'!$A$2:$A$4919,$A1800)</f>
        <v/>
      </c>
      <c r="G1800" s="1">
        <f>INDEX('DETALLE CRONOLÓGICO'!$D$2:$D$4919,MATCH($A1800,'DETALLE CRONOLÓGICO'!$A$2:$A$4919,0))</f>
        <v/>
      </c>
      <c r="H1800" s="1">
        <f>INDEX('DETALLE CRONOLÓGICO'!$D$2:$D$4919,MATCH($A1800,'DETALLE CRONOLÓGICO'!$A$2:$A$4919,0)+$E1800-1)</f>
        <v/>
      </c>
      <c r="I1800" s="5">
        <f>IFERROR(SUMIFS('DETALLE CRONOLÓGICO'!$L$2:$L$4919,'DETALLE CRONOLÓGICO'!$A$2:$A$4919,$A1800)/$F1800,"")</f>
        <v/>
      </c>
      <c r="J1800" s="6">
        <f>IFERROR(SUMIFS('DETALLE CRONOLÓGICO'!$K$2:$K$4919,'DETALLE CRONOLÓGICO'!$A$2:$A$4919,$A1800)/$E1800,"")</f>
        <v/>
      </c>
      <c r="K1800" s="6">
        <f>_xlfn.MINIFS('DETALLE CRONOLÓGICO'!$K$2:$K$4919,'DETALLE CRONOLÓGICO'!$A$2:$A$4919,$A1800)</f>
        <v/>
      </c>
      <c r="L1800" s="6">
        <f>_xlfn.MAXIFS('DETALLE CRONOLÓGICO'!$K$2:$K$4919,'DETALLE CRONOLÓGICO'!$A$2:$A$4919,$A1800)</f>
        <v/>
      </c>
      <c r="M1800" s="6">
        <f>INDEX('DETALLE CRONOLÓGICO'!$K$2:$K$4919,MATCH($A1800,'DETALLE CRONOLÓGICO'!$A$2:$A$4919,0)+$E1800-1)</f>
        <v/>
      </c>
      <c r="N1800" s="7">
        <f>IFERROR($M1800/INDEX('DETALLE CRONOLÓGICO'!$K$2:$K$4919,MATCH($A1800,'DETALLE CRONOLÓGICO'!$A$2:$A$4919,0))-1,"")</f>
        <v/>
      </c>
      <c r="O1800" s="6">
        <f>IFERROR($I1800*3,"")</f>
        <v/>
      </c>
      <c r="P1800" s="6">
        <f>IFERROR($I1800*3.5,"")</f>
        <v/>
      </c>
      <c r="Q1800" s="6">
        <f>IFERROR($I1800*4,"")</f>
        <v/>
      </c>
      <c r="R1800" s="6" t="n">
        <v>6259</v>
      </c>
      <c r="S1800" s="4" t="n">
        <v>5</v>
      </c>
      <c r="T1800" s="1" t="inlineStr">
        <is>
          <t>active</t>
        </is>
      </c>
      <c r="U1800" s="8" t="n"/>
      <c r="V1800" s="1" t="inlineStr">
        <is>
          <t>SIN PRECIO</t>
        </is>
      </c>
    </row>
    <row r="1801">
      <c r="A1801" s="1" t="inlineStr">
        <is>
          <t>71136141049485</t>
        </is>
      </c>
      <c r="B1801" s="1" t="inlineStr">
        <is>
          <t>COLLAR TRINITY SQUARE</t>
        </is>
      </c>
      <c r="C1801" s="1" t="inlineStr">
        <is>
          <t>Default Title</t>
        </is>
      </c>
      <c r="D1801" s="1" t="inlineStr">
        <is>
          <t>HAIFENG</t>
        </is>
      </c>
      <c r="E1801" s="4">
        <f>COUNTIF('DETALLE CRONOLÓGICO'!$A$2:$A$4919,$A1801)</f>
        <v/>
      </c>
      <c r="F1801" s="4">
        <f>SUMIFS('DETALLE CRONOLÓGICO'!$I$2:$I$4919,'DETALLE CRONOLÓGICO'!$A$2:$A$4919,$A1801)</f>
        <v/>
      </c>
      <c r="G1801" s="1">
        <f>INDEX('DETALLE CRONOLÓGICO'!$D$2:$D$4919,MATCH($A1801,'DETALLE CRONOLÓGICO'!$A$2:$A$4919,0))</f>
        <v/>
      </c>
      <c r="H1801" s="1">
        <f>INDEX('DETALLE CRONOLÓGICO'!$D$2:$D$4919,MATCH($A1801,'DETALLE CRONOLÓGICO'!$A$2:$A$4919,0)+$E1801-1)</f>
        <v/>
      </c>
      <c r="I1801" s="5">
        <f>IFERROR(SUMIFS('DETALLE CRONOLÓGICO'!$L$2:$L$4919,'DETALLE CRONOLÓGICO'!$A$2:$A$4919,$A1801)/$F1801,"")</f>
        <v/>
      </c>
      <c r="J1801" s="6">
        <f>IFERROR(SUMIFS('DETALLE CRONOLÓGICO'!$K$2:$K$4919,'DETALLE CRONOLÓGICO'!$A$2:$A$4919,$A1801)/$E1801,"")</f>
        <v/>
      </c>
      <c r="K1801" s="6">
        <f>_xlfn.MINIFS('DETALLE CRONOLÓGICO'!$K$2:$K$4919,'DETALLE CRONOLÓGICO'!$A$2:$A$4919,$A1801)</f>
        <v/>
      </c>
      <c r="L1801" s="6">
        <f>_xlfn.MAXIFS('DETALLE CRONOLÓGICO'!$K$2:$K$4919,'DETALLE CRONOLÓGICO'!$A$2:$A$4919,$A1801)</f>
        <v/>
      </c>
      <c r="M1801" s="6">
        <f>INDEX('DETALLE CRONOLÓGICO'!$K$2:$K$4919,MATCH($A1801,'DETALLE CRONOLÓGICO'!$A$2:$A$4919,0)+$E1801-1)</f>
        <v/>
      </c>
      <c r="N1801" s="7">
        <f>IFERROR($M1801/INDEX('DETALLE CRONOLÓGICO'!$K$2:$K$4919,MATCH($A1801,'DETALLE CRONOLÓGICO'!$A$2:$A$4919,0))-1,"")</f>
        <v/>
      </c>
      <c r="O1801" s="6">
        <f>IFERROR($I1801*3,"")</f>
        <v/>
      </c>
      <c r="P1801" s="6">
        <f>IFERROR($I1801*3.5,"")</f>
        <v/>
      </c>
      <c r="Q1801" s="6">
        <f>IFERROR($I1801*4,"")</f>
        <v/>
      </c>
      <c r="R1801" s="6" t="n">
        <v>660</v>
      </c>
      <c r="S1801" s="4" t="n">
        <v>3</v>
      </c>
      <c r="T1801" s="1" t="inlineStr">
        <is>
          <t>active</t>
        </is>
      </c>
      <c r="U1801" s="8" t="n"/>
      <c r="V1801" s="1" t="inlineStr">
        <is>
          <t>SIN PRECIO</t>
        </is>
      </c>
    </row>
    <row r="1802">
      <c r="A1802" s="1" t="inlineStr">
        <is>
          <t>71264750638476</t>
        </is>
      </c>
      <c r="B1802" s="1" t="inlineStr">
        <is>
          <t>RELOJ RX OYSTER PERPETUAL GREEN</t>
        </is>
      </c>
      <c r="C1802" s="1" t="inlineStr">
        <is>
          <t>RELOJ CON CAJA</t>
        </is>
      </c>
      <c r="D1802" s="1" t="inlineStr">
        <is>
          <t>ZOEY</t>
        </is>
      </c>
      <c r="E1802" s="4">
        <f>COUNTIF('DETALLE CRONOLÓGICO'!$A$2:$A$4919,$A1802)</f>
        <v/>
      </c>
      <c r="F1802" s="4">
        <f>SUMIFS('DETALLE CRONOLÓGICO'!$I$2:$I$4919,'DETALLE CRONOLÓGICO'!$A$2:$A$4919,$A1802)</f>
        <v/>
      </c>
      <c r="G1802" s="1">
        <f>INDEX('DETALLE CRONOLÓGICO'!$D$2:$D$4919,MATCH($A1802,'DETALLE CRONOLÓGICO'!$A$2:$A$4919,0))</f>
        <v/>
      </c>
      <c r="H1802" s="1">
        <f>INDEX('DETALLE CRONOLÓGICO'!$D$2:$D$4919,MATCH($A1802,'DETALLE CRONOLÓGICO'!$A$2:$A$4919,0)+$E1802-1)</f>
        <v/>
      </c>
      <c r="I1802" s="5">
        <f>IFERROR(SUMIFS('DETALLE CRONOLÓGICO'!$L$2:$L$4919,'DETALLE CRONOLÓGICO'!$A$2:$A$4919,$A1802)/$F1802,"")</f>
        <v/>
      </c>
      <c r="J1802" s="6">
        <f>IFERROR(SUMIFS('DETALLE CRONOLÓGICO'!$K$2:$K$4919,'DETALLE CRONOLÓGICO'!$A$2:$A$4919,$A1802)/$E1802,"")</f>
        <v/>
      </c>
      <c r="K1802" s="6">
        <f>_xlfn.MINIFS('DETALLE CRONOLÓGICO'!$K$2:$K$4919,'DETALLE CRONOLÓGICO'!$A$2:$A$4919,$A1802)</f>
        <v/>
      </c>
      <c r="L1802" s="6">
        <f>_xlfn.MAXIFS('DETALLE CRONOLÓGICO'!$K$2:$K$4919,'DETALLE CRONOLÓGICO'!$A$2:$A$4919,$A1802)</f>
        <v/>
      </c>
      <c r="M1802" s="6">
        <f>INDEX('DETALLE CRONOLÓGICO'!$K$2:$K$4919,MATCH($A1802,'DETALLE CRONOLÓGICO'!$A$2:$A$4919,0)+$E1802-1)</f>
        <v/>
      </c>
      <c r="N1802" s="7">
        <f>IFERROR($M1802/INDEX('DETALLE CRONOLÓGICO'!$K$2:$K$4919,MATCH($A1802,'DETALLE CRONOLÓGICO'!$A$2:$A$4919,0))-1,"")</f>
        <v/>
      </c>
      <c r="O1802" s="6">
        <f>IFERROR($I1802*3,"")</f>
        <v/>
      </c>
      <c r="P1802" s="6">
        <f>IFERROR($I1802*3.5,"")</f>
        <v/>
      </c>
      <c r="Q1802" s="6">
        <f>IFERROR($I1802*4,"")</f>
        <v/>
      </c>
      <c r="R1802" s="6" t="n">
        <v>5510</v>
      </c>
      <c r="S1802" s="4" t="n">
        <v>0</v>
      </c>
      <c r="T1802" s="1" t="inlineStr">
        <is>
          <t>active</t>
        </is>
      </c>
      <c r="U1802" s="8" t="n"/>
      <c r="V1802" s="1" t="inlineStr">
        <is>
          <t>SIN PRECIO</t>
        </is>
      </c>
    </row>
    <row r="1803">
      <c r="A1803" s="1" t="inlineStr">
        <is>
          <t>71288021024429</t>
        </is>
      </c>
      <c r="B1803" s="1" t="inlineStr">
        <is>
          <t>PULSERA DE TELA BLUE ELSA PERETTI</t>
        </is>
      </c>
      <c r="C1803" s="1" t="inlineStr">
        <is>
          <t>Default Title</t>
        </is>
      </c>
      <c r="D1803" s="1" t="inlineStr">
        <is>
          <t>NANCY</t>
        </is>
      </c>
      <c r="E1803" s="4">
        <f>COUNTIF('DETALLE CRONOLÓGICO'!$A$2:$A$4919,$A1803)</f>
        <v/>
      </c>
      <c r="F1803" s="4">
        <f>SUMIFS('DETALLE CRONOLÓGICO'!$I$2:$I$4919,'DETALLE CRONOLÓGICO'!$A$2:$A$4919,$A1803)</f>
        <v/>
      </c>
      <c r="G1803" s="1">
        <f>INDEX('DETALLE CRONOLÓGICO'!$D$2:$D$4919,MATCH($A1803,'DETALLE CRONOLÓGICO'!$A$2:$A$4919,0))</f>
        <v/>
      </c>
      <c r="H1803" s="1">
        <f>INDEX('DETALLE CRONOLÓGICO'!$D$2:$D$4919,MATCH($A1803,'DETALLE CRONOLÓGICO'!$A$2:$A$4919,0)+$E1803-1)</f>
        <v/>
      </c>
      <c r="I1803" s="5">
        <f>IFERROR(SUMIFS('DETALLE CRONOLÓGICO'!$L$2:$L$4919,'DETALLE CRONOLÓGICO'!$A$2:$A$4919,$A1803)/$F1803,"")</f>
        <v/>
      </c>
      <c r="J1803" s="6">
        <f>IFERROR(SUMIFS('DETALLE CRONOLÓGICO'!$K$2:$K$4919,'DETALLE CRONOLÓGICO'!$A$2:$A$4919,$A1803)/$E1803,"")</f>
        <v/>
      </c>
      <c r="K1803" s="6">
        <f>_xlfn.MINIFS('DETALLE CRONOLÓGICO'!$K$2:$K$4919,'DETALLE CRONOLÓGICO'!$A$2:$A$4919,$A1803)</f>
        <v/>
      </c>
      <c r="L1803" s="6">
        <f>_xlfn.MAXIFS('DETALLE CRONOLÓGICO'!$K$2:$K$4919,'DETALLE CRONOLÓGICO'!$A$2:$A$4919,$A1803)</f>
        <v/>
      </c>
      <c r="M1803" s="6">
        <f>INDEX('DETALLE CRONOLÓGICO'!$K$2:$K$4919,MATCH($A1803,'DETALLE CRONOLÓGICO'!$A$2:$A$4919,0)+$E1803-1)</f>
        <v/>
      </c>
      <c r="N1803" s="7">
        <f>IFERROR($M1803/INDEX('DETALLE CRONOLÓGICO'!$K$2:$K$4919,MATCH($A1803,'DETALLE CRONOLÓGICO'!$A$2:$A$4919,0))-1,"")</f>
        <v/>
      </c>
      <c r="O1803" s="6">
        <f>IFERROR($I1803*3,"")</f>
        <v/>
      </c>
      <c r="P1803" s="6">
        <f>IFERROR($I1803*3.5,"")</f>
        <v/>
      </c>
      <c r="Q1803" s="6">
        <f>IFERROR($I1803*4,"")</f>
        <v/>
      </c>
      <c r="R1803" s="6" t="n">
        <v>0</v>
      </c>
      <c r="S1803" s="4" t="n">
        <v>2</v>
      </c>
      <c r="T1803" s="1" t="inlineStr">
        <is>
          <t>draft</t>
        </is>
      </c>
      <c r="U1803" s="8" t="n"/>
      <c r="V1803" s="1" t="inlineStr">
        <is>
          <t>SIN PRECIO</t>
        </is>
      </c>
    </row>
    <row r="1804">
      <c r="A1804" s="1" t="inlineStr">
        <is>
          <t>71288021138541</t>
        </is>
      </c>
      <c r="B1804" s="1" t="inlineStr">
        <is>
          <t>PULSERA DE TELA BLACK ELSA PERETTI</t>
        </is>
      </c>
      <c r="C1804" s="1" t="inlineStr">
        <is>
          <t>Default Title</t>
        </is>
      </c>
      <c r="D1804" s="1" t="inlineStr">
        <is>
          <t>NANCY</t>
        </is>
      </c>
      <c r="E1804" s="4">
        <f>COUNTIF('DETALLE CRONOLÓGICO'!$A$2:$A$4919,$A1804)</f>
        <v/>
      </c>
      <c r="F1804" s="4">
        <f>SUMIFS('DETALLE CRONOLÓGICO'!$I$2:$I$4919,'DETALLE CRONOLÓGICO'!$A$2:$A$4919,$A1804)</f>
        <v/>
      </c>
      <c r="G1804" s="1">
        <f>INDEX('DETALLE CRONOLÓGICO'!$D$2:$D$4919,MATCH($A1804,'DETALLE CRONOLÓGICO'!$A$2:$A$4919,0))</f>
        <v/>
      </c>
      <c r="H1804" s="1">
        <f>INDEX('DETALLE CRONOLÓGICO'!$D$2:$D$4919,MATCH($A1804,'DETALLE CRONOLÓGICO'!$A$2:$A$4919,0)+$E1804-1)</f>
        <v/>
      </c>
      <c r="I1804" s="5">
        <f>IFERROR(SUMIFS('DETALLE CRONOLÓGICO'!$L$2:$L$4919,'DETALLE CRONOLÓGICO'!$A$2:$A$4919,$A1804)/$F1804,"")</f>
        <v/>
      </c>
      <c r="J1804" s="6">
        <f>IFERROR(SUMIFS('DETALLE CRONOLÓGICO'!$K$2:$K$4919,'DETALLE CRONOLÓGICO'!$A$2:$A$4919,$A1804)/$E1804,"")</f>
        <v/>
      </c>
      <c r="K1804" s="6">
        <f>_xlfn.MINIFS('DETALLE CRONOLÓGICO'!$K$2:$K$4919,'DETALLE CRONOLÓGICO'!$A$2:$A$4919,$A1804)</f>
        <v/>
      </c>
      <c r="L1804" s="6">
        <f>_xlfn.MAXIFS('DETALLE CRONOLÓGICO'!$K$2:$K$4919,'DETALLE CRONOLÓGICO'!$A$2:$A$4919,$A1804)</f>
        <v/>
      </c>
      <c r="M1804" s="6">
        <f>INDEX('DETALLE CRONOLÓGICO'!$K$2:$K$4919,MATCH($A1804,'DETALLE CRONOLÓGICO'!$A$2:$A$4919,0)+$E1804-1)</f>
        <v/>
      </c>
      <c r="N1804" s="7">
        <f>IFERROR($M1804/INDEX('DETALLE CRONOLÓGICO'!$K$2:$K$4919,MATCH($A1804,'DETALLE CRONOLÓGICO'!$A$2:$A$4919,0))-1,"")</f>
        <v/>
      </c>
      <c r="O1804" s="6">
        <f>IFERROR($I1804*3,"")</f>
        <v/>
      </c>
      <c r="P1804" s="6">
        <f>IFERROR($I1804*3.5,"")</f>
        <v/>
      </c>
      <c r="Q1804" s="6">
        <f>IFERROR($I1804*4,"")</f>
        <v/>
      </c>
      <c r="R1804" s="6" t="n">
        <v>0</v>
      </c>
      <c r="S1804" s="4" t="n">
        <v>2</v>
      </c>
      <c r="T1804" s="1" t="inlineStr">
        <is>
          <t>draft</t>
        </is>
      </c>
      <c r="U1804" s="8" t="n"/>
      <c r="V1804" s="1" t="inlineStr">
        <is>
          <t>SIN PRECIO</t>
        </is>
      </c>
    </row>
    <row r="1805">
      <c r="A1805" s="1" t="inlineStr">
        <is>
          <t>71288021271309</t>
        </is>
      </c>
      <c r="B1805" s="1" t="inlineStr">
        <is>
          <t>PULSERA T ENTRELAZADOS GOLD-SILVER</t>
        </is>
      </c>
      <c r="C1805" s="1" t="inlineStr">
        <is>
          <t>Default Title</t>
        </is>
      </c>
      <c r="D1805" s="1" t="inlineStr">
        <is>
          <t>NANCY</t>
        </is>
      </c>
      <c r="E1805" s="4">
        <f>COUNTIF('DETALLE CRONOLÓGICO'!$A$2:$A$4919,$A1805)</f>
        <v/>
      </c>
      <c r="F1805" s="4">
        <f>SUMIFS('DETALLE CRONOLÓGICO'!$I$2:$I$4919,'DETALLE CRONOLÓGICO'!$A$2:$A$4919,$A1805)</f>
        <v/>
      </c>
      <c r="G1805" s="1">
        <f>INDEX('DETALLE CRONOLÓGICO'!$D$2:$D$4919,MATCH($A1805,'DETALLE CRONOLÓGICO'!$A$2:$A$4919,0))</f>
        <v/>
      </c>
      <c r="H1805" s="1">
        <f>INDEX('DETALLE CRONOLÓGICO'!$D$2:$D$4919,MATCH($A1805,'DETALLE CRONOLÓGICO'!$A$2:$A$4919,0)+$E1805-1)</f>
        <v/>
      </c>
      <c r="I1805" s="5">
        <f>IFERROR(SUMIFS('DETALLE CRONOLÓGICO'!$L$2:$L$4919,'DETALLE CRONOLÓGICO'!$A$2:$A$4919,$A1805)/$F1805,"")</f>
        <v/>
      </c>
      <c r="J1805" s="6">
        <f>IFERROR(SUMIFS('DETALLE CRONOLÓGICO'!$K$2:$K$4919,'DETALLE CRONOLÓGICO'!$A$2:$A$4919,$A1805)/$E1805,"")</f>
        <v/>
      </c>
      <c r="K1805" s="6">
        <f>_xlfn.MINIFS('DETALLE CRONOLÓGICO'!$K$2:$K$4919,'DETALLE CRONOLÓGICO'!$A$2:$A$4919,$A1805)</f>
        <v/>
      </c>
      <c r="L1805" s="6">
        <f>_xlfn.MAXIFS('DETALLE CRONOLÓGICO'!$K$2:$K$4919,'DETALLE CRONOLÓGICO'!$A$2:$A$4919,$A1805)</f>
        <v/>
      </c>
      <c r="M1805" s="6">
        <f>INDEX('DETALLE CRONOLÓGICO'!$K$2:$K$4919,MATCH($A1805,'DETALLE CRONOLÓGICO'!$A$2:$A$4919,0)+$E1805-1)</f>
        <v/>
      </c>
      <c r="N1805" s="7">
        <f>IFERROR($M1805/INDEX('DETALLE CRONOLÓGICO'!$K$2:$K$4919,MATCH($A1805,'DETALLE CRONOLÓGICO'!$A$2:$A$4919,0))-1,"")</f>
        <v/>
      </c>
      <c r="O1805" s="6">
        <f>IFERROR($I1805*3,"")</f>
        <v/>
      </c>
      <c r="P1805" s="6">
        <f>IFERROR($I1805*3.5,"")</f>
        <v/>
      </c>
      <c r="Q1805" s="6">
        <f>IFERROR($I1805*4,"")</f>
        <v/>
      </c>
      <c r="R1805" s="6" t="n">
        <v>0</v>
      </c>
      <c r="S1805" s="4" t="n">
        <v>2</v>
      </c>
      <c r="T1805" s="1" t="inlineStr">
        <is>
          <t>draft</t>
        </is>
      </c>
      <c r="U1805" s="8" t="n"/>
      <c r="V1805" s="1" t="inlineStr">
        <is>
          <t>SIN PRECIO</t>
        </is>
      </c>
    </row>
    <row r="1806">
      <c r="A1806" s="1" t="inlineStr">
        <is>
          <t>71288021336845</t>
        </is>
      </c>
      <c r="B1806" s="1" t="inlineStr">
        <is>
          <t>ANILLO T SIXTEEN STONE ROSE GOLD</t>
        </is>
      </c>
      <c r="C1806" s="1" t="n">
        <v>6</v>
      </c>
      <c r="D1806" s="1" t="inlineStr">
        <is>
          <t>NANCY</t>
        </is>
      </c>
      <c r="E1806" s="4">
        <f>COUNTIF('DETALLE CRONOLÓGICO'!$A$2:$A$4919,$A1806)</f>
        <v/>
      </c>
      <c r="F1806" s="4">
        <f>SUMIFS('DETALLE CRONOLÓGICO'!$I$2:$I$4919,'DETALLE CRONOLÓGICO'!$A$2:$A$4919,$A1806)</f>
        <v/>
      </c>
      <c r="G1806" s="1">
        <f>INDEX('DETALLE CRONOLÓGICO'!$D$2:$D$4919,MATCH($A1806,'DETALLE CRONOLÓGICO'!$A$2:$A$4919,0))</f>
        <v/>
      </c>
      <c r="H1806" s="1">
        <f>INDEX('DETALLE CRONOLÓGICO'!$D$2:$D$4919,MATCH($A1806,'DETALLE CRONOLÓGICO'!$A$2:$A$4919,0)+$E1806-1)</f>
        <v/>
      </c>
      <c r="I1806" s="5">
        <f>IFERROR(SUMIFS('DETALLE CRONOLÓGICO'!$L$2:$L$4919,'DETALLE CRONOLÓGICO'!$A$2:$A$4919,$A1806)/$F1806,"")</f>
        <v/>
      </c>
      <c r="J1806" s="6">
        <f>IFERROR(SUMIFS('DETALLE CRONOLÓGICO'!$K$2:$K$4919,'DETALLE CRONOLÓGICO'!$A$2:$A$4919,$A1806)/$E1806,"")</f>
        <v/>
      </c>
      <c r="K1806" s="6">
        <f>_xlfn.MINIFS('DETALLE CRONOLÓGICO'!$K$2:$K$4919,'DETALLE CRONOLÓGICO'!$A$2:$A$4919,$A1806)</f>
        <v/>
      </c>
      <c r="L1806" s="6">
        <f>_xlfn.MAXIFS('DETALLE CRONOLÓGICO'!$K$2:$K$4919,'DETALLE CRONOLÓGICO'!$A$2:$A$4919,$A1806)</f>
        <v/>
      </c>
      <c r="M1806" s="6">
        <f>INDEX('DETALLE CRONOLÓGICO'!$K$2:$K$4919,MATCH($A1806,'DETALLE CRONOLÓGICO'!$A$2:$A$4919,0)+$E1806-1)</f>
        <v/>
      </c>
      <c r="N1806" s="7">
        <f>IFERROR($M1806/INDEX('DETALLE CRONOLÓGICO'!$K$2:$K$4919,MATCH($A1806,'DETALLE CRONOLÓGICO'!$A$2:$A$4919,0))-1,"")</f>
        <v/>
      </c>
      <c r="O1806" s="6">
        <f>IFERROR($I1806*3,"")</f>
        <v/>
      </c>
      <c r="P1806" s="6">
        <f>IFERROR($I1806*3.5,"")</f>
        <v/>
      </c>
      <c r="Q1806" s="6">
        <f>IFERROR($I1806*4,"")</f>
        <v/>
      </c>
      <c r="R1806" s="6" t="n">
        <v>0</v>
      </c>
      <c r="S1806" s="4" t="n">
        <v>0</v>
      </c>
      <c r="T1806" s="1" t="inlineStr">
        <is>
          <t>draft</t>
        </is>
      </c>
      <c r="U1806" s="8" t="n"/>
      <c r="V1806" s="1" t="inlineStr">
        <is>
          <t>SIN PRECIO</t>
        </is>
      </c>
    </row>
    <row r="1807">
      <c r="A1807" s="1" t="inlineStr">
        <is>
          <t>71288021469613</t>
        </is>
      </c>
      <c r="B1807" s="1" t="inlineStr">
        <is>
          <t>ANILLO T SIXTEEN STONE ROSE GOLD</t>
        </is>
      </c>
      <c r="C1807" s="1" t="n">
        <v>7</v>
      </c>
      <c r="D1807" s="1" t="inlineStr">
        <is>
          <t>NANCY</t>
        </is>
      </c>
      <c r="E1807" s="4">
        <f>COUNTIF('DETALLE CRONOLÓGICO'!$A$2:$A$4919,$A1807)</f>
        <v/>
      </c>
      <c r="F1807" s="4">
        <f>SUMIFS('DETALLE CRONOLÓGICO'!$I$2:$I$4919,'DETALLE CRONOLÓGICO'!$A$2:$A$4919,$A1807)</f>
        <v/>
      </c>
      <c r="G1807" s="1">
        <f>INDEX('DETALLE CRONOLÓGICO'!$D$2:$D$4919,MATCH($A1807,'DETALLE CRONOLÓGICO'!$A$2:$A$4919,0))</f>
        <v/>
      </c>
      <c r="H1807" s="1">
        <f>INDEX('DETALLE CRONOLÓGICO'!$D$2:$D$4919,MATCH($A1807,'DETALLE CRONOLÓGICO'!$A$2:$A$4919,0)+$E1807-1)</f>
        <v/>
      </c>
      <c r="I1807" s="5">
        <f>IFERROR(SUMIFS('DETALLE CRONOLÓGICO'!$L$2:$L$4919,'DETALLE CRONOLÓGICO'!$A$2:$A$4919,$A1807)/$F1807,"")</f>
        <v/>
      </c>
      <c r="J1807" s="6">
        <f>IFERROR(SUMIFS('DETALLE CRONOLÓGICO'!$K$2:$K$4919,'DETALLE CRONOLÓGICO'!$A$2:$A$4919,$A1807)/$E1807,"")</f>
        <v/>
      </c>
      <c r="K1807" s="6">
        <f>_xlfn.MINIFS('DETALLE CRONOLÓGICO'!$K$2:$K$4919,'DETALLE CRONOLÓGICO'!$A$2:$A$4919,$A1807)</f>
        <v/>
      </c>
      <c r="L1807" s="6">
        <f>_xlfn.MAXIFS('DETALLE CRONOLÓGICO'!$K$2:$K$4919,'DETALLE CRONOLÓGICO'!$A$2:$A$4919,$A1807)</f>
        <v/>
      </c>
      <c r="M1807" s="6">
        <f>INDEX('DETALLE CRONOLÓGICO'!$K$2:$K$4919,MATCH($A1807,'DETALLE CRONOLÓGICO'!$A$2:$A$4919,0)+$E1807-1)</f>
        <v/>
      </c>
      <c r="N1807" s="7">
        <f>IFERROR($M1807/INDEX('DETALLE CRONOLÓGICO'!$K$2:$K$4919,MATCH($A1807,'DETALLE CRONOLÓGICO'!$A$2:$A$4919,0))-1,"")</f>
        <v/>
      </c>
      <c r="O1807" s="6">
        <f>IFERROR($I1807*3,"")</f>
        <v/>
      </c>
      <c r="P1807" s="6">
        <f>IFERROR($I1807*3.5,"")</f>
        <v/>
      </c>
      <c r="Q1807" s="6">
        <f>IFERROR($I1807*4,"")</f>
        <v/>
      </c>
      <c r="R1807" s="6" t="n">
        <v>0</v>
      </c>
      <c r="S1807" s="4" t="n">
        <v>0</v>
      </c>
      <c r="T1807" s="1" t="inlineStr">
        <is>
          <t>draft</t>
        </is>
      </c>
      <c r="U1807" s="8" t="n"/>
      <c r="V1807" s="1" t="inlineStr">
        <is>
          <t>SIN PRECIO</t>
        </is>
      </c>
    </row>
    <row r="1808">
      <c r="A1808" s="1" t="inlineStr">
        <is>
          <t>71288021533453</t>
        </is>
      </c>
      <c r="B1808" s="1" t="inlineStr">
        <is>
          <t>COLLAR VF ARPELS GOLD</t>
        </is>
      </c>
      <c r="C1808" s="1" t="inlineStr">
        <is>
          <t>Default Title</t>
        </is>
      </c>
      <c r="D1808" s="1" t="inlineStr">
        <is>
          <t>NANCY</t>
        </is>
      </c>
      <c r="E1808" s="4">
        <f>COUNTIF('DETALLE CRONOLÓGICO'!$A$2:$A$4919,$A1808)</f>
        <v/>
      </c>
      <c r="F1808" s="4">
        <f>SUMIFS('DETALLE CRONOLÓGICO'!$I$2:$I$4919,'DETALLE CRONOLÓGICO'!$A$2:$A$4919,$A1808)</f>
        <v/>
      </c>
      <c r="G1808" s="1">
        <f>INDEX('DETALLE CRONOLÓGICO'!$D$2:$D$4919,MATCH($A1808,'DETALLE CRONOLÓGICO'!$A$2:$A$4919,0))</f>
        <v/>
      </c>
      <c r="H1808" s="1">
        <f>INDEX('DETALLE CRONOLÓGICO'!$D$2:$D$4919,MATCH($A1808,'DETALLE CRONOLÓGICO'!$A$2:$A$4919,0)+$E1808-1)</f>
        <v/>
      </c>
      <c r="I1808" s="5">
        <f>IFERROR(SUMIFS('DETALLE CRONOLÓGICO'!$L$2:$L$4919,'DETALLE CRONOLÓGICO'!$A$2:$A$4919,$A1808)/$F1808,"")</f>
        <v/>
      </c>
      <c r="J1808" s="6">
        <f>IFERROR(SUMIFS('DETALLE CRONOLÓGICO'!$K$2:$K$4919,'DETALLE CRONOLÓGICO'!$A$2:$A$4919,$A1808)/$E1808,"")</f>
        <v/>
      </c>
      <c r="K1808" s="6">
        <f>_xlfn.MINIFS('DETALLE CRONOLÓGICO'!$K$2:$K$4919,'DETALLE CRONOLÓGICO'!$A$2:$A$4919,$A1808)</f>
        <v/>
      </c>
      <c r="L1808" s="6">
        <f>_xlfn.MAXIFS('DETALLE CRONOLÓGICO'!$K$2:$K$4919,'DETALLE CRONOLÓGICO'!$A$2:$A$4919,$A1808)</f>
        <v/>
      </c>
      <c r="M1808" s="6">
        <f>INDEX('DETALLE CRONOLÓGICO'!$K$2:$K$4919,MATCH($A1808,'DETALLE CRONOLÓGICO'!$A$2:$A$4919,0)+$E1808-1)</f>
        <v/>
      </c>
      <c r="N1808" s="7">
        <f>IFERROR($M1808/INDEX('DETALLE CRONOLÓGICO'!$K$2:$K$4919,MATCH($A1808,'DETALLE CRONOLÓGICO'!$A$2:$A$4919,0))-1,"")</f>
        <v/>
      </c>
      <c r="O1808" s="6">
        <f>IFERROR($I1808*3,"")</f>
        <v/>
      </c>
      <c r="P1808" s="6">
        <f>IFERROR($I1808*3.5,"")</f>
        <v/>
      </c>
      <c r="Q1808" s="6">
        <f>IFERROR($I1808*4,"")</f>
        <v/>
      </c>
      <c r="R1808" s="6" t="n">
        <v>0</v>
      </c>
      <c r="S1808" s="4" t="n">
        <v>2</v>
      </c>
      <c r="T1808" s="1" t="inlineStr">
        <is>
          <t>draft</t>
        </is>
      </c>
      <c r="U1808" s="8" t="n"/>
      <c r="V1808" s="1" t="inlineStr">
        <is>
          <t>SIN PRECIO</t>
        </is>
      </c>
    </row>
    <row r="1809">
      <c r="A1809" s="1" t="inlineStr">
        <is>
          <t>71288021662829</t>
        </is>
      </c>
      <c r="B1809" s="1" t="inlineStr">
        <is>
          <t>COLLAR VF ALHAMBRA SILVER</t>
        </is>
      </c>
      <c r="C1809" s="1" t="inlineStr">
        <is>
          <t>Default Title</t>
        </is>
      </c>
      <c r="D1809" s="1" t="inlineStr">
        <is>
          <t>NANCY</t>
        </is>
      </c>
      <c r="E1809" s="4">
        <f>COUNTIF('DETALLE CRONOLÓGICO'!$A$2:$A$4919,$A1809)</f>
        <v/>
      </c>
      <c r="F1809" s="4">
        <f>SUMIFS('DETALLE CRONOLÓGICO'!$I$2:$I$4919,'DETALLE CRONOLÓGICO'!$A$2:$A$4919,$A1809)</f>
        <v/>
      </c>
      <c r="G1809" s="1">
        <f>INDEX('DETALLE CRONOLÓGICO'!$D$2:$D$4919,MATCH($A1809,'DETALLE CRONOLÓGICO'!$A$2:$A$4919,0))</f>
        <v/>
      </c>
      <c r="H1809" s="1">
        <f>INDEX('DETALLE CRONOLÓGICO'!$D$2:$D$4919,MATCH($A1809,'DETALLE CRONOLÓGICO'!$A$2:$A$4919,0)+$E1809-1)</f>
        <v/>
      </c>
      <c r="I1809" s="5">
        <f>IFERROR(SUMIFS('DETALLE CRONOLÓGICO'!$L$2:$L$4919,'DETALLE CRONOLÓGICO'!$A$2:$A$4919,$A1809)/$F1809,"")</f>
        <v/>
      </c>
      <c r="J1809" s="6">
        <f>IFERROR(SUMIFS('DETALLE CRONOLÓGICO'!$K$2:$K$4919,'DETALLE CRONOLÓGICO'!$A$2:$A$4919,$A1809)/$E1809,"")</f>
        <v/>
      </c>
      <c r="K1809" s="6">
        <f>_xlfn.MINIFS('DETALLE CRONOLÓGICO'!$K$2:$K$4919,'DETALLE CRONOLÓGICO'!$A$2:$A$4919,$A1809)</f>
        <v/>
      </c>
      <c r="L1809" s="6">
        <f>_xlfn.MAXIFS('DETALLE CRONOLÓGICO'!$K$2:$K$4919,'DETALLE CRONOLÓGICO'!$A$2:$A$4919,$A1809)</f>
        <v/>
      </c>
      <c r="M1809" s="6">
        <f>INDEX('DETALLE CRONOLÓGICO'!$K$2:$K$4919,MATCH($A1809,'DETALLE CRONOLÓGICO'!$A$2:$A$4919,0)+$E1809-1)</f>
        <v/>
      </c>
      <c r="N1809" s="7">
        <f>IFERROR($M1809/INDEX('DETALLE CRONOLÓGICO'!$K$2:$K$4919,MATCH($A1809,'DETALLE CRONOLÓGICO'!$A$2:$A$4919,0))-1,"")</f>
        <v/>
      </c>
      <c r="O1809" s="6">
        <f>IFERROR($I1809*3,"")</f>
        <v/>
      </c>
      <c r="P1809" s="6">
        <f>IFERROR($I1809*3.5,"")</f>
        <v/>
      </c>
      <c r="Q1809" s="6">
        <f>IFERROR($I1809*4,"")</f>
        <v/>
      </c>
      <c r="R1809" s="6" t="n">
        <v>0</v>
      </c>
      <c r="S1809" s="4" t="n">
        <v>2</v>
      </c>
      <c r="T1809" s="1" t="inlineStr">
        <is>
          <t>draft</t>
        </is>
      </c>
      <c r="U1809" s="8" t="n"/>
      <c r="V1809" s="1" t="inlineStr">
        <is>
          <t>SIN PRECIO</t>
        </is>
      </c>
    </row>
    <row r="1810">
      <c r="A1810" s="1" t="inlineStr">
        <is>
          <t>71288021719885</t>
        </is>
      </c>
      <c r="B1810" s="1" t="inlineStr">
        <is>
          <t>PULSERA VF HALF VINTAGE ALHAMBRA</t>
        </is>
      </c>
      <c r="C1810" s="1" t="inlineStr">
        <is>
          <t>Default Title</t>
        </is>
      </c>
      <c r="D1810" s="1" t="inlineStr">
        <is>
          <t>NANCY</t>
        </is>
      </c>
      <c r="E1810" s="4">
        <f>COUNTIF('DETALLE CRONOLÓGICO'!$A$2:$A$4919,$A1810)</f>
        <v/>
      </c>
      <c r="F1810" s="4">
        <f>SUMIFS('DETALLE CRONOLÓGICO'!$I$2:$I$4919,'DETALLE CRONOLÓGICO'!$A$2:$A$4919,$A1810)</f>
        <v/>
      </c>
      <c r="G1810" s="1">
        <f>INDEX('DETALLE CRONOLÓGICO'!$D$2:$D$4919,MATCH($A1810,'DETALLE CRONOLÓGICO'!$A$2:$A$4919,0))</f>
        <v/>
      </c>
      <c r="H1810" s="1">
        <f>INDEX('DETALLE CRONOLÓGICO'!$D$2:$D$4919,MATCH($A1810,'DETALLE CRONOLÓGICO'!$A$2:$A$4919,0)+$E1810-1)</f>
        <v/>
      </c>
      <c r="I1810" s="5">
        <f>IFERROR(SUMIFS('DETALLE CRONOLÓGICO'!$L$2:$L$4919,'DETALLE CRONOLÓGICO'!$A$2:$A$4919,$A1810)/$F1810,"")</f>
        <v/>
      </c>
      <c r="J1810" s="6">
        <f>IFERROR(SUMIFS('DETALLE CRONOLÓGICO'!$K$2:$K$4919,'DETALLE CRONOLÓGICO'!$A$2:$A$4919,$A1810)/$E1810,"")</f>
        <v/>
      </c>
      <c r="K1810" s="6">
        <f>_xlfn.MINIFS('DETALLE CRONOLÓGICO'!$K$2:$K$4919,'DETALLE CRONOLÓGICO'!$A$2:$A$4919,$A1810)</f>
        <v/>
      </c>
      <c r="L1810" s="6">
        <f>_xlfn.MAXIFS('DETALLE CRONOLÓGICO'!$K$2:$K$4919,'DETALLE CRONOLÓGICO'!$A$2:$A$4919,$A1810)</f>
        <v/>
      </c>
      <c r="M1810" s="6">
        <f>INDEX('DETALLE CRONOLÓGICO'!$K$2:$K$4919,MATCH($A1810,'DETALLE CRONOLÓGICO'!$A$2:$A$4919,0)+$E1810-1)</f>
        <v/>
      </c>
      <c r="N1810" s="7">
        <f>IFERROR($M1810/INDEX('DETALLE CRONOLÓGICO'!$K$2:$K$4919,MATCH($A1810,'DETALLE CRONOLÓGICO'!$A$2:$A$4919,0))-1,"")</f>
        <v/>
      </c>
      <c r="O1810" s="6">
        <f>IFERROR($I1810*3,"")</f>
        <v/>
      </c>
      <c r="P1810" s="6">
        <f>IFERROR($I1810*3.5,"")</f>
        <v/>
      </c>
      <c r="Q1810" s="6">
        <f>IFERROR($I1810*4,"")</f>
        <v/>
      </c>
      <c r="R1810" s="6" t="n">
        <v>0</v>
      </c>
      <c r="S1810" s="4" t="n">
        <v>2</v>
      </c>
      <c r="T1810" s="1" t="inlineStr">
        <is>
          <t>draft</t>
        </is>
      </c>
      <c r="U1810" s="8" t="n"/>
      <c r="V1810" s="1" t="inlineStr">
        <is>
          <t>SIN PRECIO</t>
        </is>
      </c>
    </row>
    <row r="1811">
      <c r="A1811" s="1" t="inlineStr">
        <is>
          <t>71288021885421</t>
        </is>
      </c>
      <c r="B1811" s="1" t="inlineStr">
        <is>
          <t>PULSERA VF ALHAMBRA ROSE GOLD-RED</t>
        </is>
      </c>
      <c r="C1811" s="1" t="inlineStr">
        <is>
          <t>Default Title</t>
        </is>
      </c>
      <c r="D1811" s="1" t="inlineStr">
        <is>
          <t>NANCY</t>
        </is>
      </c>
      <c r="E1811" s="4">
        <f>COUNTIF('DETALLE CRONOLÓGICO'!$A$2:$A$4919,$A1811)</f>
        <v/>
      </c>
      <c r="F1811" s="4">
        <f>SUMIFS('DETALLE CRONOLÓGICO'!$I$2:$I$4919,'DETALLE CRONOLÓGICO'!$A$2:$A$4919,$A1811)</f>
        <v/>
      </c>
      <c r="G1811" s="1">
        <f>INDEX('DETALLE CRONOLÓGICO'!$D$2:$D$4919,MATCH($A1811,'DETALLE CRONOLÓGICO'!$A$2:$A$4919,0))</f>
        <v/>
      </c>
      <c r="H1811" s="1">
        <f>INDEX('DETALLE CRONOLÓGICO'!$D$2:$D$4919,MATCH($A1811,'DETALLE CRONOLÓGICO'!$A$2:$A$4919,0)+$E1811-1)</f>
        <v/>
      </c>
      <c r="I1811" s="5">
        <f>IFERROR(SUMIFS('DETALLE CRONOLÓGICO'!$L$2:$L$4919,'DETALLE CRONOLÓGICO'!$A$2:$A$4919,$A1811)/$F1811,"")</f>
        <v/>
      </c>
      <c r="J1811" s="6">
        <f>IFERROR(SUMIFS('DETALLE CRONOLÓGICO'!$K$2:$K$4919,'DETALLE CRONOLÓGICO'!$A$2:$A$4919,$A1811)/$E1811,"")</f>
        <v/>
      </c>
      <c r="K1811" s="6">
        <f>_xlfn.MINIFS('DETALLE CRONOLÓGICO'!$K$2:$K$4919,'DETALLE CRONOLÓGICO'!$A$2:$A$4919,$A1811)</f>
        <v/>
      </c>
      <c r="L1811" s="6">
        <f>_xlfn.MAXIFS('DETALLE CRONOLÓGICO'!$K$2:$K$4919,'DETALLE CRONOLÓGICO'!$A$2:$A$4919,$A1811)</f>
        <v/>
      </c>
      <c r="M1811" s="6">
        <f>INDEX('DETALLE CRONOLÓGICO'!$K$2:$K$4919,MATCH($A1811,'DETALLE CRONOLÓGICO'!$A$2:$A$4919,0)+$E1811-1)</f>
        <v/>
      </c>
      <c r="N1811" s="7">
        <f>IFERROR($M1811/INDEX('DETALLE CRONOLÓGICO'!$K$2:$K$4919,MATCH($A1811,'DETALLE CRONOLÓGICO'!$A$2:$A$4919,0))-1,"")</f>
        <v/>
      </c>
      <c r="O1811" s="6">
        <f>IFERROR($I1811*3,"")</f>
        <v/>
      </c>
      <c r="P1811" s="6">
        <f>IFERROR($I1811*3.5,"")</f>
        <v/>
      </c>
      <c r="Q1811" s="6">
        <f>IFERROR($I1811*4,"")</f>
        <v/>
      </c>
      <c r="R1811" s="6" t="n">
        <v>0</v>
      </c>
      <c r="S1811" s="4" t="n">
        <v>2</v>
      </c>
      <c r="T1811" s="1" t="inlineStr">
        <is>
          <t>draft</t>
        </is>
      </c>
      <c r="U1811" s="8" t="n"/>
      <c r="V1811" s="1" t="inlineStr">
        <is>
          <t>SIN PRECIO</t>
        </is>
      </c>
    </row>
    <row r="1812">
      <c r="A1812" s="1" t="inlineStr">
        <is>
          <t>71288021950957</t>
        </is>
      </c>
      <c r="B1812" s="1" t="inlineStr">
        <is>
          <t>PULSERA VF FRIVOLE GOLD</t>
        </is>
      </c>
      <c r="C1812" s="1" t="inlineStr">
        <is>
          <t>Default Title</t>
        </is>
      </c>
      <c r="D1812" s="1" t="inlineStr">
        <is>
          <t>NANCY</t>
        </is>
      </c>
      <c r="E1812" s="4">
        <f>COUNTIF('DETALLE CRONOLÓGICO'!$A$2:$A$4919,$A1812)</f>
        <v/>
      </c>
      <c r="F1812" s="4">
        <f>SUMIFS('DETALLE CRONOLÓGICO'!$I$2:$I$4919,'DETALLE CRONOLÓGICO'!$A$2:$A$4919,$A1812)</f>
        <v/>
      </c>
      <c r="G1812" s="1">
        <f>INDEX('DETALLE CRONOLÓGICO'!$D$2:$D$4919,MATCH($A1812,'DETALLE CRONOLÓGICO'!$A$2:$A$4919,0))</f>
        <v/>
      </c>
      <c r="H1812" s="1">
        <f>INDEX('DETALLE CRONOLÓGICO'!$D$2:$D$4919,MATCH($A1812,'DETALLE CRONOLÓGICO'!$A$2:$A$4919,0)+$E1812-1)</f>
        <v/>
      </c>
      <c r="I1812" s="5">
        <f>IFERROR(SUMIFS('DETALLE CRONOLÓGICO'!$L$2:$L$4919,'DETALLE CRONOLÓGICO'!$A$2:$A$4919,$A1812)/$F1812,"")</f>
        <v/>
      </c>
      <c r="J1812" s="6">
        <f>IFERROR(SUMIFS('DETALLE CRONOLÓGICO'!$K$2:$K$4919,'DETALLE CRONOLÓGICO'!$A$2:$A$4919,$A1812)/$E1812,"")</f>
        <v/>
      </c>
      <c r="K1812" s="6">
        <f>_xlfn.MINIFS('DETALLE CRONOLÓGICO'!$K$2:$K$4919,'DETALLE CRONOLÓGICO'!$A$2:$A$4919,$A1812)</f>
        <v/>
      </c>
      <c r="L1812" s="6">
        <f>_xlfn.MAXIFS('DETALLE CRONOLÓGICO'!$K$2:$K$4919,'DETALLE CRONOLÓGICO'!$A$2:$A$4919,$A1812)</f>
        <v/>
      </c>
      <c r="M1812" s="6">
        <f>INDEX('DETALLE CRONOLÓGICO'!$K$2:$K$4919,MATCH($A1812,'DETALLE CRONOLÓGICO'!$A$2:$A$4919,0)+$E1812-1)</f>
        <v/>
      </c>
      <c r="N1812" s="7">
        <f>IFERROR($M1812/INDEX('DETALLE CRONOLÓGICO'!$K$2:$K$4919,MATCH($A1812,'DETALLE CRONOLÓGICO'!$A$2:$A$4919,0))-1,"")</f>
        <v/>
      </c>
      <c r="O1812" s="6">
        <f>IFERROR($I1812*3,"")</f>
        <v/>
      </c>
      <c r="P1812" s="6">
        <f>IFERROR($I1812*3.5,"")</f>
        <v/>
      </c>
      <c r="Q1812" s="6">
        <f>IFERROR($I1812*4,"")</f>
        <v/>
      </c>
      <c r="R1812" s="6" t="n">
        <v>0</v>
      </c>
      <c r="S1812" s="4" t="n">
        <v>2</v>
      </c>
      <c r="T1812" s="1" t="inlineStr">
        <is>
          <t>draft</t>
        </is>
      </c>
      <c r="U1812" s="8" t="n"/>
      <c r="V1812" s="1" t="inlineStr">
        <is>
          <t>SIN PRECIO</t>
        </is>
      </c>
    </row>
    <row r="1813">
      <c r="A1813" s="1" t="inlineStr">
        <is>
          <t>71288022047565</t>
        </is>
      </c>
      <c r="B1813" s="1" t="inlineStr">
        <is>
          <t>ANILLO VF ALHAMBRA GOLD</t>
        </is>
      </c>
      <c r="C1813" s="1" t="n">
        <v>6</v>
      </c>
      <c r="D1813" s="1" t="inlineStr">
        <is>
          <t>NANCY</t>
        </is>
      </c>
      <c r="E1813" s="4">
        <f>COUNTIF('DETALLE CRONOLÓGICO'!$A$2:$A$4919,$A1813)</f>
        <v/>
      </c>
      <c r="F1813" s="4">
        <f>SUMIFS('DETALLE CRONOLÓGICO'!$I$2:$I$4919,'DETALLE CRONOLÓGICO'!$A$2:$A$4919,$A1813)</f>
        <v/>
      </c>
      <c r="G1813" s="1">
        <f>INDEX('DETALLE CRONOLÓGICO'!$D$2:$D$4919,MATCH($A1813,'DETALLE CRONOLÓGICO'!$A$2:$A$4919,0))</f>
        <v/>
      </c>
      <c r="H1813" s="1">
        <f>INDEX('DETALLE CRONOLÓGICO'!$D$2:$D$4919,MATCH($A1813,'DETALLE CRONOLÓGICO'!$A$2:$A$4919,0)+$E1813-1)</f>
        <v/>
      </c>
      <c r="I1813" s="5">
        <f>IFERROR(SUMIFS('DETALLE CRONOLÓGICO'!$L$2:$L$4919,'DETALLE CRONOLÓGICO'!$A$2:$A$4919,$A1813)/$F1813,"")</f>
        <v/>
      </c>
      <c r="J1813" s="6">
        <f>IFERROR(SUMIFS('DETALLE CRONOLÓGICO'!$K$2:$K$4919,'DETALLE CRONOLÓGICO'!$A$2:$A$4919,$A1813)/$E1813,"")</f>
        <v/>
      </c>
      <c r="K1813" s="6">
        <f>_xlfn.MINIFS('DETALLE CRONOLÓGICO'!$K$2:$K$4919,'DETALLE CRONOLÓGICO'!$A$2:$A$4919,$A1813)</f>
        <v/>
      </c>
      <c r="L1813" s="6">
        <f>_xlfn.MAXIFS('DETALLE CRONOLÓGICO'!$K$2:$K$4919,'DETALLE CRONOLÓGICO'!$A$2:$A$4919,$A1813)</f>
        <v/>
      </c>
      <c r="M1813" s="6">
        <f>INDEX('DETALLE CRONOLÓGICO'!$K$2:$K$4919,MATCH($A1813,'DETALLE CRONOLÓGICO'!$A$2:$A$4919,0)+$E1813-1)</f>
        <v/>
      </c>
      <c r="N1813" s="7">
        <f>IFERROR($M1813/INDEX('DETALLE CRONOLÓGICO'!$K$2:$K$4919,MATCH($A1813,'DETALLE CRONOLÓGICO'!$A$2:$A$4919,0))-1,"")</f>
        <v/>
      </c>
      <c r="O1813" s="6">
        <f>IFERROR($I1813*3,"")</f>
        <v/>
      </c>
      <c r="P1813" s="6">
        <f>IFERROR($I1813*3.5,"")</f>
        <v/>
      </c>
      <c r="Q1813" s="6">
        <f>IFERROR($I1813*4,"")</f>
        <v/>
      </c>
      <c r="R1813" s="6" t="n">
        <v>0</v>
      </c>
      <c r="S1813" s="4" t="n">
        <v>2</v>
      </c>
      <c r="T1813" s="1" t="inlineStr">
        <is>
          <t>draft</t>
        </is>
      </c>
      <c r="U1813" s="8" t="n"/>
      <c r="V1813" s="1" t="inlineStr">
        <is>
          <t>SIN PRECIO</t>
        </is>
      </c>
    </row>
    <row r="1814">
      <c r="A1814" s="1" t="inlineStr">
        <is>
          <t>71288022180333</t>
        </is>
      </c>
      <c r="B1814" s="1" t="inlineStr">
        <is>
          <t>ANILLO VF ALHAMBRA GOLD</t>
        </is>
      </c>
      <c r="C1814" s="1" t="n">
        <v>7</v>
      </c>
      <c r="D1814" s="1" t="inlineStr">
        <is>
          <t>NANCY</t>
        </is>
      </c>
      <c r="E1814" s="4">
        <f>COUNTIF('DETALLE CRONOLÓGICO'!$A$2:$A$4919,$A1814)</f>
        <v/>
      </c>
      <c r="F1814" s="4">
        <f>SUMIFS('DETALLE CRONOLÓGICO'!$I$2:$I$4919,'DETALLE CRONOLÓGICO'!$A$2:$A$4919,$A1814)</f>
        <v/>
      </c>
      <c r="G1814" s="1">
        <f>INDEX('DETALLE CRONOLÓGICO'!$D$2:$D$4919,MATCH($A1814,'DETALLE CRONOLÓGICO'!$A$2:$A$4919,0))</f>
        <v/>
      </c>
      <c r="H1814" s="1">
        <f>INDEX('DETALLE CRONOLÓGICO'!$D$2:$D$4919,MATCH($A1814,'DETALLE CRONOLÓGICO'!$A$2:$A$4919,0)+$E1814-1)</f>
        <v/>
      </c>
      <c r="I1814" s="5">
        <f>IFERROR(SUMIFS('DETALLE CRONOLÓGICO'!$L$2:$L$4919,'DETALLE CRONOLÓGICO'!$A$2:$A$4919,$A1814)/$F1814,"")</f>
        <v/>
      </c>
      <c r="J1814" s="6">
        <f>IFERROR(SUMIFS('DETALLE CRONOLÓGICO'!$K$2:$K$4919,'DETALLE CRONOLÓGICO'!$A$2:$A$4919,$A1814)/$E1814,"")</f>
        <v/>
      </c>
      <c r="K1814" s="6">
        <f>_xlfn.MINIFS('DETALLE CRONOLÓGICO'!$K$2:$K$4919,'DETALLE CRONOLÓGICO'!$A$2:$A$4919,$A1814)</f>
        <v/>
      </c>
      <c r="L1814" s="6">
        <f>_xlfn.MAXIFS('DETALLE CRONOLÓGICO'!$K$2:$K$4919,'DETALLE CRONOLÓGICO'!$A$2:$A$4919,$A1814)</f>
        <v/>
      </c>
      <c r="M1814" s="6">
        <f>INDEX('DETALLE CRONOLÓGICO'!$K$2:$K$4919,MATCH($A1814,'DETALLE CRONOLÓGICO'!$A$2:$A$4919,0)+$E1814-1)</f>
        <v/>
      </c>
      <c r="N1814" s="7">
        <f>IFERROR($M1814/INDEX('DETALLE CRONOLÓGICO'!$K$2:$K$4919,MATCH($A1814,'DETALLE CRONOLÓGICO'!$A$2:$A$4919,0))-1,"")</f>
        <v/>
      </c>
      <c r="O1814" s="6">
        <f>IFERROR($I1814*3,"")</f>
        <v/>
      </c>
      <c r="P1814" s="6">
        <f>IFERROR($I1814*3.5,"")</f>
        <v/>
      </c>
      <c r="Q1814" s="6">
        <f>IFERROR($I1814*4,"")</f>
        <v/>
      </c>
      <c r="R1814" s="6" t="n">
        <v>0</v>
      </c>
      <c r="S1814" s="4" t="n">
        <v>2</v>
      </c>
      <c r="T1814" s="1" t="inlineStr">
        <is>
          <t>draft</t>
        </is>
      </c>
      <c r="U1814" s="8" t="n"/>
      <c r="V1814" s="1" t="inlineStr">
        <is>
          <t>SIN PRECIO</t>
        </is>
      </c>
    </row>
    <row r="1815">
      <c r="A1815" s="1" t="inlineStr">
        <is>
          <t>71288022239085</t>
        </is>
      </c>
      <c r="B1815" s="1" t="inlineStr">
        <is>
          <t>ANILLO VF ALHAMBRA SILVER</t>
        </is>
      </c>
      <c r="C1815" s="1" t="n">
        <v>6</v>
      </c>
      <c r="D1815" s="1" t="inlineStr">
        <is>
          <t>NANCY</t>
        </is>
      </c>
      <c r="E1815" s="4">
        <f>COUNTIF('DETALLE CRONOLÓGICO'!$A$2:$A$4919,$A1815)</f>
        <v/>
      </c>
      <c r="F1815" s="4">
        <f>SUMIFS('DETALLE CRONOLÓGICO'!$I$2:$I$4919,'DETALLE CRONOLÓGICO'!$A$2:$A$4919,$A1815)</f>
        <v/>
      </c>
      <c r="G1815" s="1">
        <f>INDEX('DETALLE CRONOLÓGICO'!$D$2:$D$4919,MATCH($A1815,'DETALLE CRONOLÓGICO'!$A$2:$A$4919,0))</f>
        <v/>
      </c>
      <c r="H1815" s="1">
        <f>INDEX('DETALLE CRONOLÓGICO'!$D$2:$D$4919,MATCH($A1815,'DETALLE CRONOLÓGICO'!$A$2:$A$4919,0)+$E1815-1)</f>
        <v/>
      </c>
      <c r="I1815" s="5">
        <f>IFERROR(SUMIFS('DETALLE CRONOLÓGICO'!$L$2:$L$4919,'DETALLE CRONOLÓGICO'!$A$2:$A$4919,$A1815)/$F1815,"")</f>
        <v/>
      </c>
      <c r="J1815" s="6">
        <f>IFERROR(SUMIFS('DETALLE CRONOLÓGICO'!$K$2:$K$4919,'DETALLE CRONOLÓGICO'!$A$2:$A$4919,$A1815)/$E1815,"")</f>
        <v/>
      </c>
      <c r="K1815" s="6">
        <f>_xlfn.MINIFS('DETALLE CRONOLÓGICO'!$K$2:$K$4919,'DETALLE CRONOLÓGICO'!$A$2:$A$4919,$A1815)</f>
        <v/>
      </c>
      <c r="L1815" s="6">
        <f>_xlfn.MAXIFS('DETALLE CRONOLÓGICO'!$K$2:$K$4919,'DETALLE CRONOLÓGICO'!$A$2:$A$4919,$A1815)</f>
        <v/>
      </c>
      <c r="M1815" s="6">
        <f>INDEX('DETALLE CRONOLÓGICO'!$K$2:$K$4919,MATCH($A1815,'DETALLE CRONOLÓGICO'!$A$2:$A$4919,0)+$E1815-1)</f>
        <v/>
      </c>
      <c r="N1815" s="7">
        <f>IFERROR($M1815/INDEX('DETALLE CRONOLÓGICO'!$K$2:$K$4919,MATCH($A1815,'DETALLE CRONOLÓGICO'!$A$2:$A$4919,0))-1,"")</f>
        <v/>
      </c>
      <c r="O1815" s="6">
        <f>IFERROR($I1815*3,"")</f>
        <v/>
      </c>
      <c r="P1815" s="6">
        <f>IFERROR($I1815*3.5,"")</f>
        <v/>
      </c>
      <c r="Q1815" s="6">
        <f>IFERROR($I1815*4,"")</f>
        <v/>
      </c>
      <c r="R1815" s="6" t="n">
        <v>0</v>
      </c>
      <c r="S1815" s="4" t="n">
        <v>2</v>
      </c>
      <c r="T1815" s="1" t="inlineStr">
        <is>
          <t>draft</t>
        </is>
      </c>
      <c r="U1815" s="8" t="n"/>
      <c r="V1815" s="1" t="inlineStr">
        <is>
          <t>SIN PRECIO</t>
        </is>
      </c>
    </row>
    <row r="1816">
      <c r="A1816" s="1" t="inlineStr">
        <is>
          <t>71288022371853</t>
        </is>
      </c>
      <c r="B1816" s="1" t="inlineStr">
        <is>
          <t>ANILLO VF ALHAMBRA SILVER</t>
        </is>
      </c>
      <c r="C1816" s="1" t="n">
        <v>7</v>
      </c>
      <c r="D1816" s="1" t="inlineStr">
        <is>
          <t>NANCY</t>
        </is>
      </c>
      <c r="E1816" s="4">
        <f>COUNTIF('DETALLE CRONOLÓGICO'!$A$2:$A$4919,$A1816)</f>
        <v/>
      </c>
      <c r="F1816" s="4">
        <f>SUMIFS('DETALLE CRONOLÓGICO'!$I$2:$I$4919,'DETALLE CRONOLÓGICO'!$A$2:$A$4919,$A1816)</f>
        <v/>
      </c>
      <c r="G1816" s="1">
        <f>INDEX('DETALLE CRONOLÓGICO'!$D$2:$D$4919,MATCH($A1816,'DETALLE CRONOLÓGICO'!$A$2:$A$4919,0))</f>
        <v/>
      </c>
      <c r="H1816" s="1">
        <f>INDEX('DETALLE CRONOLÓGICO'!$D$2:$D$4919,MATCH($A1816,'DETALLE CRONOLÓGICO'!$A$2:$A$4919,0)+$E1816-1)</f>
        <v/>
      </c>
      <c r="I1816" s="5">
        <f>IFERROR(SUMIFS('DETALLE CRONOLÓGICO'!$L$2:$L$4919,'DETALLE CRONOLÓGICO'!$A$2:$A$4919,$A1816)/$F1816,"")</f>
        <v/>
      </c>
      <c r="J1816" s="6">
        <f>IFERROR(SUMIFS('DETALLE CRONOLÓGICO'!$K$2:$K$4919,'DETALLE CRONOLÓGICO'!$A$2:$A$4919,$A1816)/$E1816,"")</f>
        <v/>
      </c>
      <c r="K1816" s="6">
        <f>_xlfn.MINIFS('DETALLE CRONOLÓGICO'!$K$2:$K$4919,'DETALLE CRONOLÓGICO'!$A$2:$A$4919,$A1816)</f>
        <v/>
      </c>
      <c r="L1816" s="6">
        <f>_xlfn.MAXIFS('DETALLE CRONOLÓGICO'!$K$2:$K$4919,'DETALLE CRONOLÓGICO'!$A$2:$A$4919,$A1816)</f>
        <v/>
      </c>
      <c r="M1816" s="6">
        <f>INDEX('DETALLE CRONOLÓGICO'!$K$2:$K$4919,MATCH($A1816,'DETALLE CRONOLÓGICO'!$A$2:$A$4919,0)+$E1816-1)</f>
        <v/>
      </c>
      <c r="N1816" s="7">
        <f>IFERROR($M1816/INDEX('DETALLE CRONOLÓGICO'!$K$2:$K$4919,MATCH($A1816,'DETALLE CRONOLÓGICO'!$A$2:$A$4919,0))-1,"")</f>
        <v/>
      </c>
      <c r="O1816" s="6">
        <f>IFERROR($I1816*3,"")</f>
        <v/>
      </c>
      <c r="P1816" s="6">
        <f>IFERROR($I1816*3.5,"")</f>
        <v/>
      </c>
      <c r="Q1816" s="6">
        <f>IFERROR($I1816*4,"")</f>
        <v/>
      </c>
      <c r="R1816" s="6" t="n">
        <v>0</v>
      </c>
      <c r="S1816" s="4" t="n">
        <v>2</v>
      </c>
      <c r="T1816" s="1" t="inlineStr">
        <is>
          <t>draft</t>
        </is>
      </c>
      <c r="U1816" s="8" t="n"/>
      <c r="V1816" s="1" t="inlineStr">
        <is>
          <t>SIN PRECIO</t>
        </is>
      </c>
    </row>
    <row r="1817">
      <c r="A1817" s="1" t="inlineStr">
        <is>
          <t>71288022468461</t>
        </is>
      </c>
      <c r="B1817" s="1" t="inlineStr">
        <is>
          <t>ANILLO VF TWIN ALHAMBRA SILVER</t>
        </is>
      </c>
      <c r="C1817" s="1" t="n">
        <v>7</v>
      </c>
      <c r="D1817" s="1" t="inlineStr">
        <is>
          <t>NANCY</t>
        </is>
      </c>
      <c r="E1817" s="4">
        <f>COUNTIF('DETALLE CRONOLÓGICO'!$A$2:$A$4919,$A1817)</f>
        <v/>
      </c>
      <c r="F1817" s="4">
        <f>SUMIFS('DETALLE CRONOLÓGICO'!$I$2:$I$4919,'DETALLE CRONOLÓGICO'!$A$2:$A$4919,$A1817)</f>
        <v/>
      </c>
      <c r="G1817" s="1">
        <f>INDEX('DETALLE CRONOLÓGICO'!$D$2:$D$4919,MATCH($A1817,'DETALLE CRONOLÓGICO'!$A$2:$A$4919,0))</f>
        <v/>
      </c>
      <c r="H1817" s="1">
        <f>INDEX('DETALLE CRONOLÓGICO'!$D$2:$D$4919,MATCH($A1817,'DETALLE CRONOLÓGICO'!$A$2:$A$4919,0)+$E1817-1)</f>
        <v/>
      </c>
      <c r="I1817" s="5">
        <f>IFERROR(SUMIFS('DETALLE CRONOLÓGICO'!$L$2:$L$4919,'DETALLE CRONOLÓGICO'!$A$2:$A$4919,$A1817)/$F1817,"")</f>
        <v/>
      </c>
      <c r="J1817" s="6">
        <f>IFERROR(SUMIFS('DETALLE CRONOLÓGICO'!$K$2:$K$4919,'DETALLE CRONOLÓGICO'!$A$2:$A$4919,$A1817)/$E1817,"")</f>
        <v/>
      </c>
      <c r="K1817" s="6">
        <f>_xlfn.MINIFS('DETALLE CRONOLÓGICO'!$K$2:$K$4919,'DETALLE CRONOLÓGICO'!$A$2:$A$4919,$A1817)</f>
        <v/>
      </c>
      <c r="L1817" s="6">
        <f>_xlfn.MAXIFS('DETALLE CRONOLÓGICO'!$K$2:$K$4919,'DETALLE CRONOLÓGICO'!$A$2:$A$4919,$A1817)</f>
        <v/>
      </c>
      <c r="M1817" s="6">
        <f>INDEX('DETALLE CRONOLÓGICO'!$K$2:$K$4919,MATCH($A1817,'DETALLE CRONOLÓGICO'!$A$2:$A$4919,0)+$E1817-1)</f>
        <v/>
      </c>
      <c r="N1817" s="7">
        <f>IFERROR($M1817/INDEX('DETALLE CRONOLÓGICO'!$K$2:$K$4919,MATCH($A1817,'DETALLE CRONOLÓGICO'!$A$2:$A$4919,0))-1,"")</f>
        <v/>
      </c>
      <c r="O1817" s="6">
        <f>IFERROR($I1817*3,"")</f>
        <v/>
      </c>
      <c r="P1817" s="6">
        <f>IFERROR($I1817*3.5,"")</f>
        <v/>
      </c>
      <c r="Q1817" s="6">
        <f>IFERROR($I1817*4,"")</f>
        <v/>
      </c>
      <c r="R1817" s="6" t="n">
        <v>0</v>
      </c>
      <c r="S1817" s="4" t="n">
        <v>2</v>
      </c>
      <c r="T1817" s="1" t="inlineStr">
        <is>
          <t>draft</t>
        </is>
      </c>
      <c r="U1817" s="8" t="n"/>
      <c r="V1817" s="1" t="inlineStr">
        <is>
          <t>SIN PRECIO</t>
        </is>
      </c>
    </row>
    <row r="1818">
      <c r="A1818" s="1" t="inlineStr">
        <is>
          <t>71288022597837</t>
        </is>
      </c>
      <c r="B1818" s="1" t="inlineStr">
        <is>
          <t>ANILLO VF PERLÉE DUO ROSE GOLD</t>
        </is>
      </c>
      <c r="C1818" s="1" t="n">
        <v>6</v>
      </c>
      <c r="D1818" s="1" t="inlineStr">
        <is>
          <t>NANCY</t>
        </is>
      </c>
      <c r="E1818" s="4">
        <f>COUNTIF('DETALLE CRONOLÓGICO'!$A$2:$A$4919,$A1818)</f>
        <v/>
      </c>
      <c r="F1818" s="4">
        <f>SUMIFS('DETALLE CRONOLÓGICO'!$I$2:$I$4919,'DETALLE CRONOLÓGICO'!$A$2:$A$4919,$A1818)</f>
        <v/>
      </c>
      <c r="G1818" s="1">
        <f>INDEX('DETALLE CRONOLÓGICO'!$D$2:$D$4919,MATCH($A1818,'DETALLE CRONOLÓGICO'!$A$2:$A$4919,0))</f>
        <v/>
      </c>
      <c r="H1818" s="1">
        <f>INDEX('DETALLE CRONOLÓGICO'!$D$2:$D$4919,MATCH($A1818,'DETALLE CRONOLÓGICO'!$A$2:$A$4919,0)+$E1818-1)</f>
        <v/>
      </c>
      <c r="I1818" s="5">
        <f>IFERROR(SUMIFS('DETALLE CRONOLÓGICO'!$L$2:$L$4919,'DETALLE CRONOLÓGICO'!$A$2:$A$4919,$A1818)/$F1818,"")</f>
        <v/>
      </c>
      <c r="J1818" s="6">
        <f>IFERROR(SUMIFS('DETALLE CRONOLÓGICO'!$K$2:$K$4919,'DETALLE CRONOLÓGICO'!$A$2:$A$4919,$A1818)/$E1818,"")</f>
        <v/>
      </c>
      <c r="K1818" s="6">
        <f>_xlfn.MINIFS('DETALLE CRONOLÓGICO'!$K$2:$K$4919,'DETALLE CRONOLÓGICO'!$A$2:$A$4919,$A1818)</f>
        <v/>
      </c>
      <c r="L1818" s="6">
        <f>_xlfn.MAXIFS('DETALLE CRONOLÓGICO'!$K$2:$K$4919,'DETALLE CRONOLÓGICO'!$A$2:$A$4919,$A1818)</f>
        <v/>
      </c>
      <c r="M1818" s="6">
        <f>INDEX('DETALLE CRONOLÓGICO'!$K$2:$K$4919,MATCH($A1818,'DETALLE CRONOLÓGICO'!$A$2:$A$4919,0)+$E1818-1)</f>
        <v/>
      </c>
      <c r="N1818" s="7">
        <f>IFERROR($M1818/INDEX('DETALLE CRONOLÓGICO'!$K$2:$K$4919,MATCH($A1818,'DETALLE CRONOLÓGICO'!$A$2:$A$4919,0))-1,"")</f>
        <v/>
      </c>
      <c r="O1818" s="6">
        <f>IFERROR($I1818*3,"")</f>
        <v/>
      </c>
      <c r="P1818" s="6">
        <f>IFERROR($I1818*3.5,"")</f>
        <v/>
      </c>
      <c r="Q1818" s="6">
        <f>IFERROR($I1818*4,"")</f>
        <v/>
      </c>
      <c r="R1818" s="6" t="n">
        <v>0</v>
      </c>
      <c r="S1818" s="4" t="n">
        <v>2</v>
      </c>
      <c r="T1818" s="1" t="inlineStr">
        <is>
          <t>draft</t>
        </is>
      </c>
      <c r="U1818" s="8" t="n"/>
      <c r="V1818" s="1" t="inlineStr">
        <is>
          <t>SIN PRECIO</t>
        </is>
      </c>
    </row>
    <row r="1819">
      <c r="A1819" s="1" t="inlineStr">
        <is>
          <t>71288022630605</t>
        </is>
      </c>
      <c r="B1819" s="1" t="inlineStr">
        <is>
          <t>ANILLO VF PERLÉE DUO ROSE GOLD</t>
        </is>
      </c>
      <c r="C1819" s="1" t="n">
        <v>7</v>
      </c>
      <c r="D1819" s="1" t="inlineStr">
        <is>
          <t>NANCY</t>
        </is>
      </c>
      <c r="E1819" s="4">
        <f>COUNTIF('DETALLE CRONOLÓGICO'!$A$2:$A$4919,$A1819)</f>
        <v/>
      </c>
      <c r="F1819" s="4">
        <f>SUMIFS('DETALLE CRONOLÓGICO'!$I$2:$I$4919,'DETALLE CRONOLÓGICO'!$A$2:$A$4919,$A1819)</f>
        <v/>
      </c>
      <c r="G1819" s="1">
        <f>INDEX('DETALLE CRONOLÓGICO'!$D$2:$D$4919,MATCH($A1819,'DETALLE CRONOLÓGICO'!$A$2:$A$4919,0))</f>
        <v/>
      </c>
      <c r="H1819" s="1">
        <f>INDEX('DETALLE CRONOLÓGICO'!$D$2:$D$4919,MATCH($A1819,'DETALLE CRONOLÓGICO'!$A$2:$A$4919,0)+$E1819-1)</f>
        <v/>
      </c>
      <c r="I1819" s="5">
        <f>IFERROR(SUMIFS('DETALLE CRONOLÓGICO'!$L$2:$L$4919,'DETALLE CRONOLÓGICO'!$A$2:$A$4919,$A1819)/$F1819,"")</f>
        <v/>
      </c>
      <c r="J1819" s="6">
        <f>IFERROR(SUMIFS('DETALLE CRONOLÓGICO'!$K$2:$K$4919,'DETALLE CRONOLÓGICO'!$A$2:$A$4919,$A1819)/$E1819,"")</f>
        <v/>
      </c>
      <c r="K1819" s="6">
        <f>_xlfn.MINIFS('DETALLE CRONOLÓGICO'!$K$2:$K$4919,'DETALLE CRONOLÓGICO'!$A$2:$A$4919,$A1819)</f>
        <v/>
      </c>
      <c r="L1819" s="6">
        <f>_xlfn.MAXIFS('DETALLE CRONOLÓGICO'!$K$2:$K$4919,'DETALLE CRONOLÓGICO'!$A$2:$A$4919,$A1819)</f>
        <v/>
      </c>
      <c r="M1819" s="6">
        <f>INDEX('DETALLE CRONOLÓGICO'!$K$2:$K$4919,MATCH($A1819,'DETALLE CRONOLÓGICO'!$A$2:$A$4919,0)+$E1819-1)</f>
        <v/>
      </c>
      <c r="N1819" s="7">
        <f>IFERROR($M1819/INDEX('DETALLE CRONOLÓGICO'!$K$2:$K$4919,MATCH($A1819,'DETALLE CRONOLÓGICO'!$A$2:$A$4919,0))-1,"")</f>
        <v/>
      </c>
      <c r="O1819" s="6">
        <f>IFERROR($I1819*3,"")</f>
        <v/>
      </c>
      <c r="P1819" s="6">
        <f>IFERROR($I1819*3.5,"")</f>
        <v/>
      </c>
      <c r="Q1819" s="6">
        <f>IFERROR($I1819*4,"")</f>
        <v/>
      </c>
      <c r="R1819" s="6" t="n">
        <v>0</v>
      </c>
      <c r="S1819" s="4" t="n">
        <v>2</v>
      </c>
      <c r="T1819" s="1" t="inlineStr">
        <is>
          <t>draft</t>
        </is>
      </c>
      <c r="U1819" s="8" t="n"/>
      <c r="V1819" s="1" t="inlineStr">
        <is>
          <t>SIN PRECIO</t>
        </is>
      </c>
    </row>
    <row r="1820">
      <c r="A1820" s="1" t="inlineStr">
        <is>
          <t>71288022725517</t>
        </is>
      </c>
      <c r="B1820" s="1" t="inlineStr">
        <is>
          <t>ANILLO VF PERLÉE DUO GOLD</t>
        </is>
      </c>
      <c r="C1820" s="1" t="n">
        <v>6</v>
      </c>
      <c r="D1820" s="1" t="inlineStr">
        <is>
          <t>NANCY</t>
        </is>
      </c>
      <c r="E1820" s="4">
        <f>COUNTIF('DETALLE CRONOLÓGICO'!$A$2:$A$4919,$A1820)</f>
        <v/>
      </c>
      <c r="F1820" s="4">
        <f>SUMIFS('DETALLE CRONOLÓGICO'!$I$2:$I$4919,'DETALLE CRONOLÓGICO'!$A$2:$A$4919,$A1820)</f>
        <v/>
      </c>
      <c r="G1820" s="1">
        <f>INDEX('DETALLE CRONOLÓGICO'!$D$2:$D$4919,MATCH($A1820,'DETALLE CRONOLÓGICO'!$A$2:$A$4919,0))</f>
        <v/>
      </c>
      <c r="H1820" s="1">
        <f>INDEX('DETALLE CRONOLÓGICO'!$D$2:$D$4919,MATCH($A1820,'DETALLE CRONOLÓGICO'!$A$2:$A$4919,0)+$E1820-1)</f>
        <v/>
      </c>
      <c r="I1820" s="5">
        <f>IFERROR(SUMIFS('DETALLE CRONOLÓGICO'!$L$2:$L$4919,'DETALLE CRONOLÓGICO'!$A$2:$A$4919,$A1820)/$F1820,"")</f>
        <v/>
      </c>
      <c r="J1820" s="6">
        <f>IFERROR(SUMIFS('DETALLE CRONOLÓGICO'!$K$2:$K$4919,'DETALLE CRONOLÓGICO'!$A$2:$A$4919,$A1820)/$E1820,"")</f>
        <v/>
      </c>
      <c r="K1820" s="6">
        <f>_xlfn.MINIFS('DETALLE CRONOLÓGICO'!$K$2:$K$4919,'DETALLE CRONOLÓGICO'!$A$2:$A$4919,$A1820)</f>
        <v/>
      </c>
      <c r="L1820" s="6">
        <f>_xlfn.MAXIFS('DETALLE CRONOLÓGICO'!$K$2:$K$4919,'DETALLE CRONOLÓGICO'!$A$2:$A$4919,$A1820)</f>
        <v/>
      </c>
      <c r="M1820" s="6">
        <f>INDEX('DETALLE CRONOLÓGICO'!$K$2:$K$4919,MATCH($A1820,'DETALLE CRONOLÓGICO'!$A$2:$A$4919,0)+$E1820-1)</f>
        <v/>
      </c>
      <c r="N1820" s="7">
        <f>IFERROR($M1820/INDEX('DETALLE CRONOLÓGICO'!$K$2:$K$4919,MATCH($A1820,'DETALLE CRONOLÓGICO'!$A$2:$A$4919,0))-1,"")</f>
        <v/>
      </c>
      <c r="O1820" s="6">
        <f>IFERROR($I1820*3,"")</f>
        <v/>
      </c>
      <c r="P1820" s="6">
        <f>IFERROR($I1820*3.5,"")</f>
        <v/>
      </c>
      <c r="Q1820" s="6">
        <f>IFERROR($I1820*4,"")</f>
        <v/>
      </c>
      <c r="R1820" s="6" t="n">
        <v>775</v>
      </c>
      <c r="S1820" s="4" t="n">
        <v>2</v>
      </c>
      <c r="T1820" s="1" t="inlineStr">
        <is>
          <t>draft</t>
        </is>
      </c>
      <c r="U1820" s="8" t="n"/>
      <c r="V1820" s="1" t="inlineStr">
        <is>
          <t>SIN PRECIO</t>
        </is>
      </c>
    </row>
    <row r="1821">
      <c r="A1821" s="1" t="inlineStr">
        <is>
          <t>71288022858285</t>
        </is>
      </c>
      <c r="B1821" s="1" t="inlineStr">
        <is>
          <t>ANILLO VF PERLÉE DUO GOLD</t>
        </is>
      </c>
      <c r="C1821" s="1" t="n">
        <v>7</v>
      </c>
      <c r="D1821" s="1" t="inlineStr">
        <is>
          <t>NANCY</t>
        </is>
      </c>
      <c r="E1821" s="4">
        <f>COUNTIF('DETALLE CRONOLÓGICO'!$A$2:$A$4919,$A1821)</f>
        <v/>
      </c>
      <c r="F1821" s="4">
        <f>SUMIFS('DETALLE CRONOLÓGICO'!$I$2:$I$4919,'DETALLE CRONOLÓGICO'!$A$2:$A$4919,$A1821)</f>
        <v/>
      </c>
      <c r="G1821" s="1">
        <f>INDEX('DETALLE CRONOLÓGICO'!$D$2:$D$4919,MATCH($A1821,'DETALLE CRONOLÓGICO'!$A$2:$A$4919,0))</f>
        <v/>
      </c>
      <c r="H1821" s="1">
        <f>INDEX('DETALLE CRONOLÓGICO'!$D$2:$D$4919,MATCH($A1821,'DETALLE CRONOLÓGICO'!$A$2:$A$4919,0)+$E1821-1)</f>
        <v/>
      </c>
      <c r="I1821" s="5">
        <f>IFERROR(SUMIFS('DETALLE CRONOLÓGICO'!$L$2:$L$4919,'DETALLE CRONOLÓGICO'!$A$2:$A$4919,$A1821)/$F1821,"")</f>
        <v/>
      </c>
      <c r="J1821" s="6">
        <f>IFERROR(SUMIFS('DETALLE CRONOLÓGICO'!$K$2:$K$4919,'DETALLE CRONOLÓGICO'!$A$2:$A$4919,$A1821)/$E1821,"")</f>
        <v/>
      </c>
      <c r="K1821" s="6">
        <f>_xlfn.MINIFS('DETALLE CRONOLÓGICO'!$K$2:$K$4919,'DETALLE CRONOLÓGICO'!$A$2:$A$4919,$A1821)</f>
        <v/>
      </c>
      <c r="L1821" s="6">
        <f>_xlfn.MAXIFS('DETALLE CRONOLÓGICO'!$K$2:$K$4919,'DETALLE CRONOLÓGICO'!$A$2:$A$4919,$A1821)</f>
        <v/>
      </c>
      <c r="M1821" s="6">
        <f>INDEX('DETALLE CRONOLÓGICO'!$K$2:$K$4919,MATCH($A1821,'DETALLE CRONOLÓGICO'!$A$2:$A$4919,0)+$E1821-1)</f>
        <v/>
      </c>
      <c r="N1821" s="7">
        <f>IFERROR($M1821/INDEX('DETALLE CRONOLÓGICO'!$K$2:$K$4919,MATCH($A1821,'DETALLE CRONOLÓGICO'!$A$2:$A$4919,0))-1,"")</f>
        <v/>
      </c>
      <c r="O1821" s="6">
        <f>IFERROR($I1821*3,"")</f>
        <v/>
      </c>
      <c r="P1821" s="6">
        <f>IFERROR($I1821*3.5,"")</f>
        <v/>
      </c>
      <c r="Q1821" s="6">
        <f>IFERROR($I1821*4,"")</f>
        <v/>
      </c>
      <c r="R1821" s="6" t="n">
        <v>775</v>
      </c>
      <c r="S1821" s="4" t="n">
        <v>2</v>
      </c>
      <c r="T1821" s="1" t="inlineStr">
        <is>
          <t>draft</t>
        </is>
      </c>
      <c r="U1821" s="8" t="n"/>
      <c r="V1821" s="1" t="inlineStr">
        <is>
          <t>SIN PRECIO</t>
        </is>
      </c>
    </row>
    <row r="1822">
      <c r="A1822" s="1" t="inlineStr">
        <is>
          <t>71288022951501</t>
        </is>
      </c>
      <c r="B1822" s="1" t="inlineStr">
        <is>
          <t>ANILLO VF PERLÉE DUO SILVER</t>
        </is>
      </c>
      <c r="C1822" s="1" t="n">
        <v>6</v>
      </c>
      <c r="D1822" s="1" t="inlineStr">
        <is>
          <t>NANCY</t>
        </is>
      </c>
      <c r="E1822" s="4">
        <f>COUNTIF('DETALLE CRONOLÓGICO'!$A$2:$A$4919,$A1822)</f>
        <v/>
      </c>
      <c r="F1822" s="4">
        <f>SUMIFS('DETALLE CRONOLÓGICO'!$I$2:$I$4919,'DETALLE CRONOLÓGICO'!$A$2:$A$4919,$A1822)</f>
        <v/>
      </c>
      <c r="G1822" s="1">
        <f>INDEX('DETALLE CRONOLÓGICO'!$D$2:$D$4919,MATCH($A1822,'DETALLE CRONOLÓGICO'!$A$2:$A$4919,0))</f>
        <v/>
      </c>
      <c r="H1822" s="1">
        <f>INDEX('DETALLE CRONOLÓGICO'!$D$2:$D$4919,MATCH($A1822,'DETALLE CRONOLÓGICO'!$A$2:$A$4919,0)+$E1822-1)</f>
        <v/>
      </c>
      <c r="I1822" s="5">
        <f>IFERROR(SUMIFS('DETALLE CRONOLÓGICO'!$L$2:$L$4919,'DETALLE CRONOLÓGICO'!$A$2:$A$4919,$A1822)/$F1822,"")</f>
        <v/>
      </c>
      <c r="J1822" s="6">
        <f>IFERROR(SUMIFS('DETALLE CRONOLÓGICO'!$K$2:$K$4919,'DETALLE CRONOLÓGICO'!$A$2:$A$4919,$A1822)/$E1822,"")</f>
        <v/>
      </c>
      <c r="K1822" s="6">
        <f>_xlfn.MINIFS('DETALLE CRONOLÓGICO'!$K$2:$K$4919,'DETALLE CRONOLÓGICO'!$A$2:$A$4919,$A1822)</f>
        <v/>
      </c>
      <c r="L1822" s="6">
        <f>_xlfn.MAXIFS('DETALLE CRONOLÓGICO'!$K$2:$K$4919,'DETALLE CRONOLÓGICO'!$A$2:$A$4919,$A1822)</f>
        <v/>
      </c>
      <c r="M1822" s="6">
        <f>INDEX('DETALLE CRONOLÓGICO'!$K$2:$K$4919,MATCH($A1822,'DETALLE CRONOLÓGICO'!$A$2:$A$4919,0)+$E1822-1)</f>
        <v/>
      </c>
      <c r="N1822" s="7">
        <f>IFERROR($M1822/INDEX('DETALLE CRONOLÓGICO'!$K$2:$K$4919,MATCH($A1822,'DETALLE CRONOLÓGICO'!$A$2:$A$4919,0))-1,"")</f>
        <v/>
      </c>
      <c r="O1822" s="6">
        <f>IFERROR($I1822*3,"")</f>
        <v/>
      </c>
      <c r="P1822" s="6">
        <f>IFERROR($I1822*3.5,"")</f>
        <v/>
      </c>
      <c r="Q1822" s="6">
        <f>IFERROR($I1822*4,"")</f>
        <v/>
      </c>
      <c r="R1822" s="6" t="n">
        <v>0</v>
      </c>
      <c r="S1822" s="4" t="n">
        <v>2</v>
      </c>
      <c r="T1822" s="1" t="inlineStr">
        <is>
          <t>draft</t>
        </is>
      </c>
      <c r="U1822" s="8" t="n"/>
      <c r="V1822" s="1" t="inlineStr">
        <is>
          <t>SIN PRECIO</t>
        </is>
      </c>
    </row>
    <row r="1823">
      <c r="A1823" s="1" t="inlineStr">
        <is>
          <t>71288023084269</t>
        </is>
      </c>
      <c r="B1823" s="1" t="inlineStr">
        <is>
          <t>ANILLO VF PERLÉE DUO SILVER</t>
        </is>
      </c>
      <c r="C1823" s="1" t="n">
        <v>7</v>
      </c>
      <c r="D1823" s="1" t="inlineStr">
        <is>
          <t>NANCY</t>
        </is>
      </c>
      <c r="E1823" s="4">
        <f>COUNTIF('DETALLE CRONOLÓGICO'!$A$2:$A$4919,$A1823)</f>
        <v/>
      </c>
      <c r="F1823" s="4">
        <f>SUMIFS('DETALLE CRONOLÓGICO'!$I$2:$I$4919,'DETALLE CRONOLÓGICO'!$A$2:$A$4919,$A1823)</f>
        <v/>
      </c>
      <c r="G1823" s="1">
        <f>INDEX('DETALLE CRONOLÓGICO'!$D$2:$D$4919,MATCH($A1823,'DETALLE CRONOLÓGICO'!$A$2:$A$4919,0))</f>
        <v/>
      </c>
      <c r="H1823" s="1">
        <f>INDEX('DETALLE CRONOLÓGICO'!$D$2:$D$4919,MATCH($A1823,'DETALLE CRONOLÓGICO'!$A$2:$A$4919,0)+$E1823-1)</f>
        <v/>
      </c>
      <c r="I1823" s="5">
        <f>IFERROR(SUMIFS('DETALLE CRONOLÓGICO'!$L$2:$L$4919,'DETALLE CRONOLÓGICO'!$A$2:$A$4919,$A1823)/$F1823,"")</f>
        <v/>
      </c>
      <c r="J1823" s="6">
        <f>IFERROR(SUMIFS('DETALLE CRONOLÓGICO'!$K$2:$K$4919,'DETALLE CRONOLÓGICO'!$A$2:$A$4919,$A1823)/$E1823,"")</f>
        <v/>
      </c>
      <c r="K1823" s="6">
        <f>_xlfn.MINIFS('DETALLE CRONOLÓGICO'!$K$2:$K$4919,'DETALLE CRONOLÓGICO'!$A$2:$A$4919,$A1823)</f>
        <v/>
      </c>
      <c r="L1823" s="6">
        <f>_xlfn.MAXIFS('DETALLE CRONOLÓGICO'!$K$2:$K$4919,'DETALLE CRONOLÓGICO'!$A$2:$A$4919,$A1823)</f>
        <v/>
      </c>
      <c r="M1823" s="6">
        <f>INDEX('DETALLE CRONOLÓGICO'!$K$2:$K$4919,MATCH($A1823,'DETALLE CRONOLÓGICO'!$A$2:$A$4919,0)+$E1823-1)</f>
        <v/>
      </c>
      <c r="N1823" s="7">
        <f>IFERROR($M1823/INDEX('DETALLE CRONOLÓGICO'!$K$2:$K$4919,MATCH($A1823,'DETALLE CRONOLÓGICO'!$A$2:$A$4919,0))-1,"")</f>
        <v/>
      </c>
      <c r="O1823" s="6">
        <f>IFERROR($I1823*3,"")</f>
        <v/>
      </c>
      <c r="P1823" s="6">
        <f>IFERROR($I1823*3.5,"")</f>
        <v/>
      </c>
      <c r="Q1823" s="6">
        <f>IFERROR($I1823*4,"")</f>
        <v/>
      </c>
      <c r="R1823" s="6" t="n">
        <v>0</v>
      </c>
      <c r="S1823" s="4" t="n">
        <v>2</v>
      </c>
      <c r="T1823" s="1" t="inlineStr">
        <is>
          <t>draft</t>
        </is>
      </c>
      <c r="U1823" s="8" t="n"/>
      <c r="V1823" s="1" t="inlineStr">
        <is>
          <t>SIN PRECIO</t>
        </is>
      </c>
    </row>
    <row r="1824">
      <c r="A1824" s="1" t="inlineStr">
        <is>
          <t>71288023182573</t>
        </is>
      </c>
      <c r="B1824" s="1" t="inlineStr">
        <is>
          <t>COLLAR T BEAN GOLD ZIRCONIAS</t>
        </is>
      </c>
      <c r="C1824" s="1" t="inlineStr">
        <is>
          <t>Default Title</t>
        </is>
      </c>
      <c r="D1824" s="1" t="inlineStr">
        <is>
          <t>NANCY</t>
        </is>
      </c>
      <c r="E1824" s="4">
        <f>COUNTIF('DETALLE CRONOLÓGICO'!$A$2:$A$4919,$A1824)</f>
        <v/>
      </c>
      <c r="F1824" s="4">
        <f>SUMIFS('DETALLE CRONOLÓGICO'!$I$2:$I$4919,'DETALLE CRONOLÓGICO'!$A$2:$A$4919,$A1824)</f>
        <v/>
      </c>
      <c r="G1824" s="1">
        <f>INDEX('DETALLE CRONOLÓGICO'!$D$2:$D$4919,MATCH($A1824,'DETALLE CRONOLÓGICO'!$A$2:$A$4919,0))</f>
        <v/>
      </c>
      <c r="H1824" s="1">
        <f>INDEX('DETALLE CRONOLÓGICO'!$D$2:$D$4919,MATCH($A1824,'DETALLE CRONOLÓGICO'!$A$2:$A$4919,0)+$E1824-1)</f>
        <v/>
      </c>
      <c r="I1824" s="5">
        <f>IFERROR(SUMIFS('DETALLE CRONOLÓGICO'!$L$2:$L$4919,'DETALLE CRONOLÓGICO'!$A$2:$A$4919,$A1824)/$F1824,"")</f>
        <v/>
      </c>
      <c r="J1824" s="6">
        <f>IFERROR(SUMIFS('DETALLE CRONOLÓGICO'!$K$2:$K$4919,'DETALLE CRONOLÓGICO'!$A$2:$A$4919,$A1824)/$E1824,"")</f>
        <v/>
      </c>
      <c r="K1824" s="6">
        <f>_xlfn.MINIFS('DETALLE CRONOLÓGICO'!$K$2:$K$4919,'DETALLE CRONOLÓGICO'!$A$2:$A$4919,$A1824)</f>
        <v/>
      </c>
      <c r="L1824" s="6">
        <f>_xlfn.MAXIFS('DETALLE CRONOLÓGICO'!$K$2:$K$4919,'DETALLE CRONOLÓGICO'!$A$2:$A$4919,$A1824)</f>
        <v/>
      </c>
      <c r="M1824" s="6">
        <f>INDEX('DETALLE CRONOLÓGICO'!$K$2:$K$4919,MATCH($A1824,'DETALLE CRONOLÓGICO'!$A$2:$A$4919,0)+$E1824-1)</f>
        <v/>
      </c>
      <c r="N1824" s="7">
        <f>IFERROR($M1824/INDEX('DETALLE CRONOLÓGICO'!$K$2:$K$4919,MATCH($A1824,'DETALLE CRONOLÓGICO'!$A$2:$A$4919,0))-1,"")</f>
        <v/>
      </c>
      <c r="O1824" s="6">
        <f>IFERROR($I1824*3,"")</f>
        <v/>
      </c>
      <c r="P1824" s="6">
        <f>IFERROR($I1824*3.5,"")</f>
        <v/>
      </c>
      <c r="Q1824" s="6">
        <f>IFERROR($I1824*4,"")</f>
        <v/>
      </c>
      <c r="R1824" s="6" t="n">
        <v>0</v>
      </c>
      <c r="S1824" s="4" t="n">
        <v>0</v>
      </c>
      <c r="T1824" s="1" t="inlineStr">
        <is>
          <t>draft</t>
        </is>
      </c>
      <c r="U1824" s="8" t="n"/>
      <c r="V1824" s="1" t="inlineStr">
        <is>
          <t>SIN PRECIO</t>
        </is>
      </c>
    </row>
    <row r="1825">
      <c r="A1825" s="1" t="inlineStr">
        <is>
          <t>71288023246413</t>
        </is>
      </c>
      <c r="B1825" s="1" t="inlineStr">
        <is>
          <t>COLLAR T BEAN SILVER ZIRCONIAS</t>
        </is>
      </c>
      <c r="C1825" s="1" t="inlineStr">
        <is>
          <t>Default Title</t>
        </is>
      </c>
      <c r="D1825" s="1" t="inlineStr">
        <is>
          <t>NANCY</t>
        </is>
      </c>
      <c r="E1825" s="4">
        <f>COUNTIF('DETALLE CRONOLÓGICO'!$A$2:$A$4919,$A1825)</f>
        <v/>
      </c>
      <c r="F1825" s="4">
        <f>SUMIFS('DETALLE CRONOLÓGICO'!$I$2:$I$4919,'DETALLE CRONOLÓGICO'!$A$2:$A$4919,$A1825)</f>
        <v/>
      </c>
      <c r="G1825" s="1">
        <f>INDEX('DETALLE CRONOLÓGICO'!$D$2:$D$4919,MATCH($A1825,'DETALLE CRONOLÓGICO'!$A$2:$A$4919,0))</f>
        <v/>
      </c>
      <c r="H1825" s="1">
        <f>INDEX('DETALLE CRONOLÓGICO'!$D$2:$D$4919,MATCH($A1825,'DETALLE CRONOLÓGICO'!$A$2:$A$4919,0)+$E1825-1)</f>
        <v/>
      </c>
      <c r="I1825" s="5">
        <f>IFERROR(SUMIFS('DETALLE CRONOLÓGICO'!$L$2:$L$4919,'DETALLE CRONOLÓGICO'!$A$2:$A$4919,$A1825)/$F1825,"")</f>
        <v/>
      </c>
      <c r="J1825" s="6">
        <f>IFERROR(SUMIFS('DETALLE CRONOLÓGICO'!$K$2:$K$4919,'DETALLE CRONOLÓGICO'!$A$2:$A$4919,$A1825)/$E1825,"")</f>
        <v/>
      </c>
      <c r="K1825" s="6">
        <f>_xlfn.MINIFS('DETALLE CRONOLÓGICO'!$K$2:$K$4919,'DETALLE CRONOLÓGICO'!$A$2:$A$4919,$A1825)</f>
        <v/>
      </c>
      <c r="L1825" s="6">
        <f>_xlfn.MAXIFS('DETALLE CRONOLÓGICO'!$K$2:$K$4919,'DETALLE CRONOLÓGICO'!$A$2:$A$4919,$A1825)</f>
        <v/>
      </c>
      <c r="M1825" s="6">
        <f>INDEX('DETALLE CRONOLÓGICO'!$K$2:$K$4919,MATCH($A1825,'DETALLE CRONOLÓGICO'!$A$2:$A$4919,0)+$E1825-1)</f>
        <v/>
      </c>
      <c r="N1825" s="7">
        <f>IFERROR($M1825/INDEX('DETALLE CRONOLÓGICO'!$K$2:$K$4919,MATCH($A1825,'DETALLE CRONOLÓGICO'!$A$2:$A$4919,0))-1,"")</f>
        <v/>
      </c>
      <c r="O1825" s="6">
        <f>IFERROR($I1825*3,"")</f>
        <v/>
      </c>
      <c r="P1825" s="6">
        <f>IFERROR($I1825*3.5,"")</f>
        <v/>
      </c>
      <c r="Q1825" s="6">
        <f>IFERROR($I1825*4,"")</f>
        <v/>
      </c>
      <c r="R1825" s="6" t="n">
        <v>0</v>
      </c>
      <c r="S1825" s="4" t="n">
        <v>0</v>
      </c>
      <c r="T1825" s="1" t="inlineStr">
        <is>
          <t>draft</t>
        </is>
      </c>
      <c r="U1825" s="8" t="n"/>
      <c r="V1825" s="1" t="inlineStr">
        <is>
          <t>SIN PRECIO</t>
        </is>
      </c>
    </row>
    <row r="1826">
      <c r="A1826" s="1" t="inlineStr">
        <is>
          <t>71326661043149</t>
        </is>
      </c>
      <c r="B1826" s="1" t="inlineStr">
        <is>
          <t>TRAJE DE BAÑO COMPLETO F LOGOS</t>
        </is>
      </c>
      <c r="C1826" s="1" t="inlineStr">
        <is>
          <t>BROWN-M</t>
        </is>
      </c>
      <c r="D1826" s="1" t="inlineStr">
        <is>
          <t>DINA DU</t>
        </is>
      </c>
      <c r="E1826" s="4">
        <f>COUNTIF('DETALLE CRONOLÓGICO'!$A$2:$A$4919,$A1826)</f>
        <v/>
      </c>
      <c r="F1826" s="4">
        <f>SUMIFS('DETALLE CRONOLÓGICO'!$I$2:$I$4919,'DETALLE CRONOLÓGICO'!$A$2:$A$4919,$A1826)</f>
        <v/>
      </c>
      <c r="G1826" s="1">
        <f>INDEX('DETALLE CRONOLÓGICO'!$D$2:$D$4919,MATCH($A1826,'DETALLE CRONOLÓGICO'!$A$2:$A$4919,0))</f>
        <v/>
      </c>
      <c r="H1826" s="1">
        <f>INDEX('DETALLE CRONOLÓGICO'!$D$2:$D$4919,MATCH($A1826,'DETALLE CRONOLÓGICO'!$A$2:$A$4919,0)+$E1826-1)</f>
        <v/>
      </c>
      <c r="I1826" s="5">
        <f>IFERROR(SUMIFS('DETALLE CRONOLÓGICO'!$L$2:$L$4919,'DETALLE CRONOLÓGICO'!$A$2:$A$4919,$A1826)/$F1826,"")</f>
        <v/>
      </c>
      <c r="J1826" s="6">
        <f>IFERROR(SUMIFS('DETALLE CRONOLÓGICO'!$K$2:$K$4919,'DETALLE CRONOLÓGICO'!$A$2:$A$4919,$A1826)/$E1826,"")</f>
        <v/>
      </c>
      <c r="K1826" s="6">
        <f>_xlfn.MINIFS('DETALLE CRONOLÓGICO'!$K$2:$K$4919,'DETALLE CRONOLÓGICO'!$A$2:$A$4919,$A1826)</f>
        <v/>
      </c>
      <c r="L1826" s="6">
        <f>_xlfn.MAXIFS('DETALLE CRONOLÓGICO'!$K$2:$K$4919,'DETALLE CRONOLÓGICO'!$A$2:$A$4919,$A1826)</f>
        <v/>
      </c>
      <c r="M1826" s="6">
        <f>INDEX('DETALLE CRONOLÓGICO'!$K$2:$K$4919,MATCH($A1826,'DETALLE CRONOLÓGICO'!$A$2:$A$4919,0)+$E1826-1)</f>
        <v/>
      </c>
      <c r="N1826" s="7">
        <f>IFERROR($M1826/INDEX('DETALLE CRONOLÓGICO'!$K$2:$K$4919,MATCH($A1826,'DETALLE CRONOLÓGICO'!$A$2:$A$4919,0))-1,"")</f>
        <v/>
      </c>
      <c r="O1826" s="6">
        <f>IFERROR($I1826*3,"")</f>
        <v/>
      </c>
      <c r="P1826" s="6">
        <f>IFERROR($I1826*3.5,"")</f>
        <v/>
      </c>
      <c r="Q1826" s="6">
        <f>IFERROR($I1826*4,"")</f>
        <v/>
      </c>
      <c r="R1826" s="6" t="n">
        <v>2355</v>
      </c>
      <c r="S1826" s="4" t="n">
        <v>0</v>
      </c>
      <c r="T1826" s="1" t="inlineStr">
        <is>
          <t>active</t>
        </is>
      </c>
      <c r="U1826" s="8" t="n"/>
      <c r="V1826" s="1" t="inlineStr">
        <is>
          <t>SIN PRECIO</t>
        </is>
      </c>
    </row>
    <row r="1827">
      <c r="A1827" s="1" t="inlineStr">
        <is>
          <t>71417611050957</t>
        </is>
      </c>
      <c r="B1827" s="1" t="inlineStr">
        <is>
          <t>LENTES LV ESCAPE SQUARE SILVER</t>
        </is>
      </c>
      <c r="C1827" s="1" t="inlineStr">
        <is>
          <t>HIGH QUALITY</t>
        </is>
      </c>
      <c r="D1827" s="1" t="inlineStr">
        <is>
          <t>ZOEY</t>
        </is>
      </c>
      <c r="E1827" s="4">
        <f>COUNTIF('DETALLE CRONOLÓGICO'!$A$2:$A$4919,$A1827)</f>
        <v/>
      </c>
      <c r="F1827" s="4">
        <f>SUMIFS('DETALLE CRONOLÓGICO'!$I$2:$I$4919,'DETALLE CRONOLÓGICO'!$A$2:$A$4919,$A1827)</f>
        <v/>
      </c>
      <c r="G1827" s="1">
        <f>INDEX('DETALLE CRONOLÓGICO'!$D$2:$D$4919,MATCH($A1827,'DETALLE CRONOLÓGICO'!$A$2:$A$4919,0))</f>
        <v/>
      </c>
      <c r="H1827" s="1">
        <f>INDEX('DETALLE CRONOLÓGICO'!$D$2:$D$4919,MATCH($A1827,'DETALLE CRONOLÓGICO'!$A$2:$A$4919,0)+$E1827-1)</f>
        <v/>
      </c>
      <c r="I1827" s="5">
        <f>IFERROR(SUMIFS('DETALLE CRONOLÓGICO'!$L$2:$L$4919,'DETALLE CRONOLÓGICO'!$A$2:$A$4919,$A1827)/$F1827,"")</f>
        <v/>
      </c>
      <c r="J1827" s="6">
        <f>IFERROR(SUMIFS('DETALLE CRONOLÓGICO'!$K$2:$K$4919,'DETALLE CRONOLÓGICO'!$A$2:$A$4919,$A1827)/$E1827,"")</f>
        <v/>
      </c>
      <c r="K1827" s="6">
        <f>_xlfn.MINIFS('DETALLE CRONOLÓGICO'!$K$2:$K$4919,'DETALLE CRONOLÓGICO'!$A$2:$A$4919,$A1827)</f>
        <v/>
      </c>
      <c r="L1827" s="6">
        <f>_xlfn.MAXIFS('DETALLE CRONOLÓGICO'!$K$2:$K$4919,'DETALLE CRONOLÓGICO'!$A$2:$A$4919,$A1827)</f>
        <v/>
      </c>
      <c r="M1827" s="6">
        <f>INDEX('DETALLE CRONOLÓGICO'!$K$2:$K$4919,MATCH($A1827,'DETALLE CRONOLÓGICO'!$A$2:$A$4919,0)+$E1827-1)</f>
        <v/>
      </c>
      <c r="N1827" s="7">
        <f>IFERROR($M1827/INDEX('DETALLE CRONOLÓGICO'!$K$2:$K$4919,MATCH($A1827,'DETALLE CRONOLÓGICO'!$A$2:$A$4919,0))-1,"")</f>
        <v/>
      </c>
      <c r="O1827" s="6">
        <f>IFERROR($I1827*3,"")</f>
        <v/>
      </c>
      <c r="P1827" s="6">
        <f>IFERROR($I1827*3.5,"")</f>
        <v/>
      </c>
      <c r="Q1827" s="6">
        <f>IFERROR($I1827*4,"")</f>
        <v/>
      </c>
      <c r="R1827" s="6" t="n">
        <v>3399</v>
      </c>
      <c r="S1827" s="4" t="n">
        <v>4</v>
      </c>
      <c r="T1827" s="1" t="inlineStr">
        <is>
          <t>active</t>
        </is>
      </c>
      <c r="U1827" s="8" t="n"/>
      <c r="V1827" s="1" t="inlineStr">
        <is>
          <t>SIN PRECIO</t>
        </is>
      </c>
    </row>
    <row r="1828">
      <c r="A1828" s="1" t="inlineStr">
        <is>
          <t>71556651035341</t>
        </is>
      </c>
      <c r="B1828" s="1" t="inlineStr">
        <is>
          <t>TRAJE DE BAÑO CD</t>
        </is>
      </c>
      <c r="C1828" s="1" t="inlineStr">
        <is>
          <t>L</t>
        </is>
      </c>
      <c r="D1828" s="1" t="inlineStr">
        <is>
          <t>ZOEY</t>
        </is>
      </c>
      <c r="E1828" s="4">
        <f>COUNTIF('DETALLE CRONOLÓGICO'!$A$2:$A$4919,$A1828)</f>
        <v/>
      </c>
      <c r="F1828" s="4">
        <f>SUMIFS('DETALLE CRONOLÓGICO'!$I$2:$I$4919,'DETALLE CRONOLÓGICO'!$A$2:$A$4919,$A1828)</f>
        <v/>
      </c>
      <c r="G1828" s="1">
        <f>INDEX('DETALLE CRONOLÓGICO'!$D$2:$D$4919,MATCH($A1828,'DETALLE CRONOLÓGICO'!$A$2:$A$4919,0))</f>
        <v/>
      </c>
      <c r="H1828" s="1">
        <f>INDEX('DETALLE CRONOLÓGICO'!$D$2:$D$4919,MATCH($A1828,'DETALLE CRONOLÓGICO'!$A$2:$A$4919,0)+$E1828-1)</f>
        <v/>
      </c>
      <c r="I1828" s="5">
        <f>IFERROR(SUMIFS('DETALLE CRONOLÓGICO'!$L$2:$L$4919,'DETALLE CRONOLÓGICO'!$A$2:$A$4919,$A1828)/$F1828,"")</f>
        <v/>
      </c>
      <c r="J1828" s="6">
        <f>IFERROR(SUMIFS('DETALLE CRONOLÓGICO'!$K$2:$K$4919,'DETALLE CRONOLÓGICO'!$A$2:$A$4919,$A1828)/$E1828,"")</f>
        <v/>
      </c>
      <c r="K1828" s="6">
        <f>_xlfn.MINIFS('DETALLE CRONOLÓGICO'!$K$2:$K$4919,'DETALLE CRONOLÓGICO'!$A$2:$A$4919,$A1828)</f>
        <v/>
      </c>
      <c r="L1828" s="6">
        <f>_xlfn.MAXIFS('DETALLE CRONOLÓGICO'!$K$2:$K$4919,'DETALLE CRONOLÓGICO'!$A$2:$A$4919,$A1828)</f>
        <v/>
      </c>
      <c r="M1828" s="6">
        <f>INDEX('DETALLE CRONOLÓGICO'!$K$2:$K$4919,MATCH($A1828,'DETALLE CRONOLÓGICO'!$A$2:$A$4919,0)+$E1828-1)</f>
        <v/>
      </c>
      <c r="N1828" s="7">
        <f>IFERROR($M1828/INDEX('DETALLE CRONOLÓGICO'!$K$2:$K$4919,MATCH($A1828,'DETALLE CRONOLÓGICO'!$A$2:$A$4919,0))-1,"")</f>
        <v/>
      </c>
      <c r="O1828" s="6">
        <f>IFERROR($I1828*3,"")</f>
        <v/>
      </c>
      <c r="P1828" s="6">
        <f>IFERROR($I1828*3.5,"")</f>
        <v/>
      </c>
      <c r="Q1828" s="6">
        <f>IFERROR($I1828*4,"")</f>
        <v/>
      </c>
      <c r="R1828" s="6" t="n">
        <v>2659</v>
      </c>
      <c r="S1828" s="4" t="n">
        <v>1</v>
      </c>
      <c r="T1828" s="1" t="inlineStr">
        <is>
          <t>active</t>
        </is>
      </c>
      <c r="U1828" s="8" t="n"/>
      <c r="V1828" s="1" t="inlineStr">
        <is>
          <t>SIN PRECIO</t>
        </is>
      </c>
    </row>
    <row r="1829">
      <c r="A1829" s="1" t="inlineStr">
        <is>
          <t>71628204107916</t>
        </is>
      </c>
      <c r="B1829" s="1" t="n"/>
      <c r="C1829" s="1" t="inlineStr">
        <is>
          <t>37 (23cm)</t>
        </is>
      </c>
      <c r="D1829" s="1" t="inlineStr">
        <is>
          <t>CYNTHIA</t>
        </is>
      </c>
      <c r="E1829" s="4">
        <f>COUNTIF('DETALLE CRONOLÓGICO'!$A$2:$A$4919,$A1829)</f>
        <v/>
      </c>
      <c r="F1829" s="4">
        <f>SUMIFS('DETALLE CRONOLÓGICO'!$I$2:$I$4919,'DETALLE CRONOLÓGICO'!$A$2:$A$4919,$A1829)</f>
        <v/>
      </c>
      <c r="G1829" s="1">
        <f>INDEX('DETALLE CRONOLÓGICO'!$D$2:$D$4919,MATCH($A1829,'DETALLE CRONOLÓGICO'!$A$2:$A$4919,0))</f>
        <v/>
      </c>
      <c r="H1829" s="1">
        <f>INDEX('DETALLE CRONOLÓGICO'!$D$2:$D$4919,MATCH($A1829,'DETALLE CRONOLÓGICO'!$A$2:$A$4919,0)+$E1829-1)</f>
        <v/>
      </c>
      <c r="I1829" s="5">
        <f>IFERROR(SUMIFS('DETALLE CRONOLÓGICO'!$L$2:$L$4919,'DETALLE CRONOLÓGICO'!$A$2:$A$4919,$A1829)/$F1829,"")</f>
        <v/>
      </c>
      <c r="J1829" s="6">
        <f>IFERROR(SUMIFS('DETALLE CRONOLÓGICO'!$K$2:$K$4919,'DETALLE CRONOLÓGICO'!$A$2:$A$4919,$A1829)/$E1829,"")</f>
        <v/>
      </c>
      <c r="K1829" s="6">
        <f>_xlfn.MINIFS('DETALLE CRONOLÓGICO'!$K$2:$K$4919,'DETALLE CRONOLÓGICO'!$A$2:$A$4919,$A1829)</f>
        <v/>
      </c>
      <c r="L1829" s="6">
        <f>_xlfn.MAXIFS('DETALLE CRONOLÓGICO'!$K$2:$K$4919,'DETALLE CRONOLÓGICO'!$A$2:$A$4919,$A1829)</f>
        <v/>
      </c>
      <c r="M1829" s="6">
        <f>INDEX('DETALLE CRONOLÓGICO'!$K$2:$K$4919,MATCH($A1829,'DETALLE CRONOLÓGICO'!$A$2:$A$4919,0)+$E1829-1)</f>
        <v/>
      </c>
      <c r="N1829" s="7">
        <f>IFERROR($M1829/INDEX('DETALLE CRONOLÓGICO'!$K$2:$K$4919,MATCH($A1829,'DETALLE CRONOLÓGICO'!$A$2:$A$4919,0))-1,"")</f>
        <v/>
      </c>
      <c r="O1829" s="6">
        <f>IFERROR($I1829*3,"")</f>
        <v/>
      </c>
      <c r="P1829" s="6">
        <f>IFERROR($I1829*3.5,"")</f>
        <v/>
      </c>
      <c r="Q1829" s="6">
        <f>IFERROR($I1829*4,"")</f>
        <v/>
      </c>
      <c r="R1829" s="6" t="n">
        <v>3189</v>
      </c>
      <c r="S1829" s="4" t="n">
        <v>0</v>
      </c>
      <c r="T1829" s="1" t="inlineStr">
        <is>
          <t>active</t>
        </is>
      </c>
      <c r="U1829" s="8" t="n"/>
      <c r="V1829" s="1" t="inlineStr">
        <is>
          <t>SIN PRECIO</t>
        </is>
      </c>
    </row>
    <row r="1830">
      <c r="A1830" s="1" t="inlineStr">
        <is>
          <t>71628204927116</t>
        </is>
      </c>
      <c r="B1830" s="1" t="inlineStr">
        <is>
          <t>SANDALIAS H BLACK</t>
        </is>
      </c>
      <c r="C1830" s="1" t="inlineStr">
        <is>
          <t>37 (23 cm)</t>
        </is>
      </c>
      <c r="D1830" s="1" t="inlineStr">
        <is>
          <t>CYNTHIA</t>
        </is>
      </c>
      <c r="E1830" s="4">
        <f>COUNTIF('DETALLE CRONOLÓGICO'!$A$2:$A$4919,$A1830)</f>
        <v/>
      </c>
      <c r="F1830" s="4">
        <f>SUMIFS('DETALLE CRONOLÓGICO'!$I$2:$I$4919,'DETALLE CRONOLÓGICO'!$A$2:$A$4919,$A1830)</f>
        <v/>
      </c>
      <c r="G1830" s="1">
        <f>INDEX('DETALLE CRONOLÓGICO'!$D$2:$D$4919,MATCH($A1830,'DETALLE CRONOLÓGICO'!$A$2:$A$4919,0))</f>
        <v/>
      </c>
      <c r="H1830" s="1">
        <f>INDEX('DETALLE CRONOLÓGICO'!$D$2:$D$4919,MATCH($A1830,'DETALLE CRONOLÓGICO'!$A$2:$A$4919,0)+$E1830-1)</f>
        <v/>
      </c>
      <c r="I1830" s="5">
        <f>IFERROR(SUMIFS('DETALLE CRONOLÓGICO'!$L$2:$L$4919,'DETALLE CRONOLÓGICO'!$A$2:$A$4919,$A1830)/$F1830,"")</f>
        <v/>
      </c>
      <c r="J1830" s="6">
        <f>IFERROR(SUMIFS('DETALLE CRONOLÓGICO'!$K$2:$K$4919,'DETALLE CRONOLÓGICO'!$A$2:$A$4919,$A1830)/$E1830,"")</f>
        <v/>
      </c>
      <c r="K1830" s="6">
        <f>_xlfn.MINIFS('DETALLE CRONOLÓGICO'!$K$2:$K$4919,'DETALLE CRONOLÓGICO'!$A$2:$A$4919,$A1830)</f>
        <v/>
      </c>
      <c r="L1830" s="6">
        <f>_xlfn.MAXIFS('DETALLE CRONOLÓGICO'!$K$2:$K$4919,'DETALLE CRONOLÓGICO'!$A$2:$A$4919,$A1830)</f>
        <v/>
      </c>
      <c r="M1830" s="6">
        <f>INDEX('DETALLE CRONOLÓGICO'!$K$2:$K$4919,MATCH($A1830,'DETALLE CRONOLÓGICO'!$A$2:$A$4919,0)+$E1830-1)</f>
        <v/>
      </c>
      <c r="N1830" s="7">
        <f>IFERROR($M1830/INDEX('DETALLE CRONOLÓGICO'!$K$2:$K$4919,MATCH($A1830,'DETALLE CRONOLÓGICO'!$A$2:$A$4919,0))-1,"")</f>
        <v/>
      </c>
      <c r="O1830" s="6">
        <f>IFERROR($I1830*3,"")</f>
        <v/>
      </c>
      <c r="P1830" s="6">
        <f>IFERROR($I1830*3.5,"")</f>
        <v/>
      </c>
      <c r="Q1830" s="6">
        <f>IFERROR($I1830*4,"")</f>
        <v/>
      </c>
      <c r="R1830" s="6" t="n">
        <v>3649</v>
      </c>
      <c r="S1830" s="4" t="n">
        <v>0</v>
      </c>
      <c r="T1830" s="1" t="inlineStr">
        <is>
          <t>active</t>
        </is>
      </c>
      <c r="U1830" s="8" t="n"/>
      <c r="V1830" s="1" t="inlineStr">
        <is>
          <t>SIN PRECIO</t>
        </is>
      </c>
    </row>
    <row r="1831">
      <c r="A1831" s="1" t="inlineStr">
        <is>
          <t>71628204959884</t>
        </is>
      </c>
      <c r="B1831" s="1" t="inlineStr">
        <is>
          <t>SANDALIAS H BLACK</t>
        </is>
      </c>
      <c r="C1831" s="1" t="inlineStr">
        <is>
          <t>38 (24cm)</t>
        </is>
      </c>
      <c r="D1831" s="1" t="inlineStr">
        <is>
          <t>CYNTHIA</t>
        </is>
      </c>
      <c r="E1831" s="4">
        <f>COUNTIF('DETALLE CRONOLÓGICO'!$A$2:$A$4919,$A1831)</f>
        <v/>
      </c>
      <c r="F1831" s="4">
        <f>SUMIFS('DETALLE CRONOLÓGICO'!$I$2:$I$4919,'DETALLE CRONOLÓGICO'!$A$2:$A$4919,$A1831)</f>
        <v/>
      </c>
      <c r="G1831" s="1">
        <f>INDEX('DETALLE CRONOLÓGICO'!$D$2:$D$4919,MATCH($A1831,'DETALLE CRONOLÓGICO'!$A$2:$A$4919,0))</f>
        <v/>
      </c>
      <c r="H1831" s="1">
        <f>INDEX('DETALLE CRONOLÓGICO'!$D$2:$D$4919,MATCH($A1831,'DETALLE CRONOLÓGICO'!$A$2:$A$4919,0)+$E1831-1)</f>
        <v/>
      </c>
      <c r="I1831" s="5">
        <f>IFERROR(SUMIFS('DETALLE CRONOLÓGICO'!$L$2:$L$4919,'DETALLE CRONOLÓGICO'!$A$2:$A$4919,$A1831)/$F1831,"")</f>
        <v/>
      </c>
      <c r="J1831" s="6">
        <f>IFERROR(SUMIFS('DETALLE CRONOLÓGICO'!$K$2:$K$4919,'DETALLE CRONOLÓGICO'!$A$2:$A$4919,$A1831)/$E1831,"")</f>
        <v/>
      </c>
      <c r="K1831" s="6">
        <f>_xlfn.MINIFS('DETALLE CRONOLÓGICO'!$K$2:$K$4919,'DETALLE CRONOLÓGICO'!$A$2:$A$4919,$A1831)</f>
        <v/>
      </c>
      <c r="L1831" s="6">
        <f>_xlfn.MAXIFS('DETALLE CRONOLÓGICO'!$K$2:$K$4919,'DETALLE CRONOLÓGICO'!$A$2:$A$4919,$A1831)</f>
        <v/>
      </c>
      <c r="M1831" s="6">
        <f>INDEX('DETALLE CRONOLÓGICO'!$K$2:$K$4919,MATCH($A1831,'DETALLE CRONOLÓGICO'!$A$2:$A$4919,0)+$E1831-1)</f>
        <v/>
      </c>
      <c r="N1831" s="7">
        <f>IFERROR($M1831/INDEX('DETALLE CRONOLÓGICO'!$K$2:$K$4919,MATCH($A1831,'DETALLE CRONOLÓGICO'!$A$2:$A$4919,0))-1,"")</f>
        <v/>
      </c>
      <c r="O1831" s="6">
        <f>IFERROR($I1831*3,"")</f>
        <v/>
      </c>
      <c r="P1831" s="6">
        <f>IFERROR($I1831*3.5,"")</f>
        <v/>
      </c>
      <c r="Q1831" s="6">
        <f>IFERROR($I1831*4,"")</f>
        <v/>
      </c>
      <c r="R1831" s="6" t="n">
        <v>3649</v>
      </c>
      <c r="S1831" s="4" t="n">
        <v>0</v>
      </c>
      <c r="T1831" s="1" t="inlineStr">
        <is>
          <t>active</t>
        </is>
      </c>
      <c r="U1831" s="8" t="n"/>
      <c r="V1831" s="1" t="inlineStr">
        <is>
          <t>SIN PRECIO</t>
        </is>
      </c>
    </row>
    <row r="1832">
      <c r="A1832" s="1" t="inlineStr">
        <is>
          <t>71628205615244</t>
        </is>
      </c>
      <c r="B1832" s="1" t="inlineStr">
        <is>
          <t>SANDALIAS H BROWN</t>
        </is>
      </c>
      <c r="C1832" s="1" t="inlineStr">
        <is>
          <t>37 (23cm)</t>
        </is>
      </c>
      <c r="D1832" s="1" t="inlineStr">
        <is>
          <t>CYNTHIA</t>
        </is>
      </c>
      <c r="E1832" s="4">
        <f>COUNTIF('DETALLE CRONOLÓGICO'!$A$2:$A$4919,$A1832)</f>
        <v/>
      </c>
      <c r="F1832" s="4">
        <f>SUMIFS('DETALLE CRONOLÓGICO'!$I$2:$I$4919,'DETALLE CRONOLÓGICO'!$A$2:$A$4919,$A1832)</f>
        <v/>
      </c>
      <c r="G1832" s="1">
        <f>INDEX('DETALLE CRONOLÓGICO'!$D$2:$D$4919,MATCH($A1832,'DETALLE CRONOLÓGICO'!$A$2:$A$4919,0))</f>
        <v/>
      </c>
      <c r="H1832" s="1">
        <f>INDEX('DETALLE CRONOLÓGICO'!$D$2:$D$4919,MATCH($A1832,'DETALLE CRONOLÓGICO'!$A$2:$A$4919,0)+$E1832-1)</f>
        <v/>
      </c>
      <c r="I1832" s="5">
        <f>IFERROR(SUMIFS('DETALLE CRONOLÓGICO'!$L$2:$L$4919,'DETALLE CRONOLÓGICO'!$A$2:$A$4919,$A1832)/$F1832,"")</f>
        <v/>
      </c>
      <c r="J1832" s="6">
        <f>IFERROR(SUMIFS('DETALLE CRONOLÓGICO'!$K$2:$K$4919,'DETALLE CRONOLÓGICO'!$A$2:$A$4919,$A1832)/$E1832,"")</f>
        <v/>
      </c>
      <c r="K1832" s="6">
        <f>_xlfn.MINIFS('DETALLE CRONOLÓGICO'!$K$2:$K$4919,'DETALLE CRONOLÓGICO'!$A$2:$A$4919,$A1832)</f>
        <v/>
      </c>
      <c r="L1832" s="6">
        <f>_xlfn.MAXIFS('DETALLE CRONOLÓGICO'!$K$2:$K$4919,'DETALLE CRONOLÓGICO'!$A$2:$A$4919,$A1832)</f>
        <v/>
      </c>
      <c r="M1832" s="6">
        <f>INDEX('DETALLE CRONOLÓGICO'!$K$2:$K$4919,MATCH($A1832,'DETALLE CRONOLÓGICO'!$A$2:$A$4919,0)+$E1832-1)</f>
        <v/>
      </c>
      <c r="N1832" s="7">
        <f>IFERROR($M1832/INDEX('DETALLE CRONOLÓGICO'!$K$2:$K$4919,MATCH($A1832,'DETALLE CRONOLÓGICO'!$A$2:$A$4919,0))-1,"")</f>
        <v/>
      </c>
      <c r="O1832" s="6">
        <f>IFERROR($I1832*3,"")</f>
        <v/>
      </c>
      <c r="P1832" s="6">
        <f>IFERROR($I1832*3.5,"")</f>
        <v/>
      </c>
      <c r="Q1832" s="6">
        <f>IFERROR($I1832*4,"")</f>
        <v/>
      </c>
      <c r="R1832" s="6" t="n">
        <v>3189</v>
      </c>
      <c r="S1832" s="4" t="n">
        <v>2</v>
      </c>
      <c r="T1832" s="1" t="inlineStr">
        <is>
          <t>active</t>
        </is>
      </c>
      <c r="U1832" s="8" t="n"/>
      <c r="V1832" s="1" t="inlineStr">
        <is>
          <t>SIN PRECIO</t>
        </is>
      </c>
    </row>
    <row r="1833">
      <c r="A1833" s="1" t="inlineStr">
        <is>
          <t>71628205648012</t>
        </is>
      </c>
      <c r="B1833" s="1" t="inlineStr">
        <is>
          <t>SANDALIAS H BROWN</t>
        </is>
      </c>
      <c r="C1833" s="1" t="inlineStr">
        <is>
          <t>38 (24cm)</t>
        </is>
      </c>
      <c r="D1833" s="1" t="inlineStr">
        <is>
          <t>CYNTHIA</t>
        </is>
      </c>
      <c r="E1833" s="4">
        <f>COUNTIF('DETALLE CRONOLÓGICO'!$A$2:$A$4919,$A1833)</f>
        <v/>
      </c>
      <c r="F1833" s="4">
        <f>SUMIFS('DETALLE CRONOLÓGICO'!$I$2:$I$4919,'DETALLE CRONOLÓGICO'!$A$2:$A$4919,$A1833)</f>
        <v/>
      </c>
      <c r="G1833" s="1">
        <f>INDEX('DETALLE CRONOLÓGICO'!$D$2:$D$4919,MATCH($A1833,'DETALLE CRONOLÓGICO'!$A$2:$A$4919,0))</f>
        <v/>
      </c>
      <c r="H1833" s="1">
        <f>INDEX('DETALLE CRONOLÓGICO'!$D$2:$D$4919,MATCH($A1833,'DETALLE CRONOLÓGICO'!$A$2:$A$4919,0)+$E1833-1)</f>
        <v/>
      </c>
      <c r="I1833" s="5">
        <f>IFERROR(SUMIFS('DETALLE CRONOLÓGICO'!$L$2:$L$4919,'DETALLE CRONOLÓGICO'!$A$2:$A$4919,$A1833)/$F1833,"")</f>
        <v/>
      </c>
      <c r="J1833" s="6">
        <f>IFERROR(SUMIFS('DETALLE CRONOLÓGICO'!$K$2:$K$4919,'DETALLE CRONOLÓGICO'!$A$2:$A$4919,$A1833)/$E1833,"")</f>
        <v/>
      </c>
      <c r="K1833" s="6">
        <f>_xlfn.MINIFS('DETALLE CRONOLÓGICO'!$K$2:$K$4919,'DETALLE CRONOLÓGICO'!$A$2:$A$4919,$A1833)</f>
        <v/>
      </c>
      <c r="L1833" s="6">
        <f>_xlfn.MAXIFS('DETALLE CRONOLÓGICO'!$K$2:$K$4919,'DETALLE CRONOLÓGICO'!$A$2:$A$4919,$A1833)</f>
        <v/>
      </c>
      <c r="M1833" s="6">
        <f>INDEX('DETALLE CRONOLÓGICO'!$K$2:$K$4919,MATCH($A1833,'DETALLE CRONOLÓGICO'!$A$2:$A$4919,0)+$E1833-1)</f>
        <v/>
      </c>
      <c r="N1833" s="7">
        <f>IFERROR($M1833/INDEX('DETALLE CRONOLÓGICO'!$K$2:$K$4919,MATCH($A1833,'DETALLE CRONOLÓGICO'!$A$2:$A$4919,0))-1,"")</f>
        <v/>
      </c>
      <c r="O1833" s="6">
        <f>IFERROR($I1833*3,"")</f>
        <v/>
      </c>
      <c r="P1833" s="6">
        <f>IFERROR($I1833*3.5,"")</f>
        <v/>
      </c>
      <c r="Q1833" s="6">
        <f>IFERROR($I1833*4,"")</f>
        <v/>
      </c>
      <c r="R1833" s="6" t="n">
        <v>3189</v>
      </c>
      <c r="S1833" s="4" t="n">
        <v>5</v>
      </c>
      <c r="T1833" s="1" t="inlineStr">
        <is>
          <t>active</t>
        </is>
      </c>
      <c r="U1833" s="8" t="n"/>
      <c r="V1833" s="1" t="inlineStr">
        <is>
          <t>SIN PRECIO</t>
        </is>
      </c>
    </row>
    <row r="1834">
      <c r="A1834" s="1" t="inlineStr">
        <is>
          <t>72002479482508</t>
        </is>
      </c>
      <c r="B1834" s="1" t="inlineStr">
        <is>
          <t>ZAPATILLA J’ADIOR</t>
        </is>
      </c>
      <c r="C1834" s="1" t="inlineStr">
        <is>
          <t>23cm</t>
        </is>
      </c>
      <c r="D1834" s="1" t="inlineStr">
        <is>
          <t>ZOEY</t>
        </is>
      </c>
      <c r="E1834" s="4">
        <f>COUNTIF('DETALLE CRONOLÓGICO'!$A$2:$A$4919,$A1834)</f>
        <v/>
      </c>
      <c r="F1834" s="4">
        <f>SUMIFS('DETALLE CRONOLÓGICO'!$I$2:$I$4919,'DETALLE CRONOLÓGICO'!$A$2:$A$4919,$A1834)</f>
        <v/>
      </c>
      <c r="G1834" s="1">
        <f>INDEX('DETALLE CRONOLÓGICO'!$D$2:$D$4919,MATCH($A1834,'DETALLE CRONOLÓGICO'!$A$2:$A$4919,0))</f>
        <v/>
      </c>
      <c r="H1834" s="1">
        <f>INDEX('DETALLE CRONOLÓGICO'!$D$2:$D$4919,MATCH($A1834,'DETALLE CRONOLÓGICO'!$A$2:$A$4919,0)+$E1834-1)</f>
        <v/>
      </c>
      <c r="I1834" s="5">
        <f>IFERROR(SUMIFS('DETALLE CRONOLÓGICO'!$L$2:$L$4919,'DETALLE CRONOLÓGICO'!$A$2:$A$4919,$A1834)/$F1834,"")</f>
        <v/>
      </c>
      <c r="J1834" s="6">
        <f>IFERROR(SUMIFS('DETALLE CRONOLÓGICO'!$K$2:$K$4919,'DETALLE CRONOLÓGICO'!$A$2:$A$4919,$A1834)/$E1834,"")</f>
        <v/>
      </c>
      <c r="K1834" s="6">
        <f>_xlfn.MINIFS('DETALLE CRONOLÓGICO'!$K$2:$K$4919,'DETALLE CRONOLÓGICO'!$A$2:$A$4919,$A1834)</f>
        <v/>
      </c>
      <c r="L1834" s="6">
        <f>_xlfn.MAXIFS('DETALLE CRONOLÓGICO'!$K$2:$K$4919,'DETALLE CRONOLÓGICO'!$A$2:$A$4919,$A1834)</f>
        <v/>
      </c>
      <c r="M1834" s="6">
        <f>INDEX('DETALLE CRONOLÓGICO'!$K$2:$K$4919,MATCH($A1834,'DETALLE CRONOLÓGICO'!$A$2:$A$4919,0)+$E1834-1)</f>
        <v/>
      </c>
      <c r="N1834" s="7">
        <f>IFERROR($M1834/INDEX('DETALLE CRONOLÓGICO'!$K$2:$K$4919,MATCH($A1834,'DETALLE CRONOLÓGICO'!$A$2:$A$4919,0))-1,"")</f>
        <v/>
      </c>
      <c r="O1834" s="6">
        <f>IFERROR($I1834*3,"")</f>
        <v/>
      </c>
      <c r="P1834" s="6">
        <f>IFERROR($I1834*3.5,"")</f>
        <v/>
      </c>
      <c r="Q1834" s="6">
        <f>IFERROR($I1834*4,"")</f>
        <v/>
      </c>
      <c r="R1834" s="6" t="n">
        <v>5649</v>
      </c>
      <c r="S1834" s="4" t="n">
        <v>4</v>
      </c>
      <c r="T1834" s="1" t="inlineStr">
        <is>
          <t>active</t>
        </is>
      </c>
      <c r="U1834" s="8" t="n"/>
      <c r="V1834" s="1" t="inlineStr">
        <is>
          <t>SIN PRECIO</t>
        </is>
      </c>
    </row>
    <row r="1835">
      <c r="A1835" s="1" t="inlineStr">
        <is>
          <t>72002488652044</t>
        </is>
      </c>
      <c r="B1835" s="1" t="inlineStr">
        <is>
          <t>ZAPATILLA J’ADIOR</t>
        </is>
      </c>
      <c r="C1835" s="1" t="inlineStr">
        <is>
          <t>24cm</t>
        </is>
      </c>
      <c r="D1835" s="1" t="inlineStr">
        <is>
          <t>ZOEY</t>
        </is>
      </c>
      <c r="E1835" s="4">
        <f>COUNTIF('DETALLE CRONOLÓGICO'!$A$2:$A$4919,$A1835)</f>
        <v/>
      </c>
      <c r="F1835" s="4">
        <f>SUMIFS('DETALLE CRONOLÓGICO'!$I$2:$I$4919,'DETALLE CRONOLÓGICO'!$A$2:$A$4919,$A1835)</f>
        <v/>
      </c>
      <c r="G1835" s="1">
        <f>INDEX('DETALLE CRONOLÓGICO'!$D$2:$D$4919,MATCH($A1835,'DETALLE CRONOLÓGICO'!$A$2:$A$4919,0))</f>
        <v/>
      </c>
      <c r="H1835" s="1">
        <f>INDEX('DETALLE CRONOLÓGICO'!$D$2:$D$4919,MATCH($A1835,'DETALLE CRONOLÓGICO'!$A$2:$A$4919,0)+$E1835-1)</f>
        <v/>
      </c>
      <c r="I1835" s="5">
        <f>IFERROR(SUMIFS('DETALLE CRONOLÓGICO'!$L$2:$L$4919,'DETALLE CRONOLÓGICO'!$A$2:$A$4919,$A1835)/$F1835,"")</f>
        <v/>
      </c>
      <c r="J1835" s="6">
        <f>IFERROR(SUMIFS('DETALLE CRONOLÓGICO'!$K$2:$K$4919,'DETALLE CRONOLÓGICO'!$A$2:$A$4919,$A1835)/$E1835,"")</f>
        <v/>
      </c>
      <c r="K1835" s="6">
        <f>_xlfn.MINIFS('DETALLE CRONOLÓGICO'!$K$2:$K$4919,'DETALLE CRONOLÓGICO'!$A$2:$A$4919,$A1835)</f>
        <v/>
      </c>
      <c r="L1835" s="6">
        <f>_xlfn.MAXIFS('DETALLE CRONOLÓGICO'!$K$2:$K$4919,'DETALLE CRONOLÓGICO'!$A$2:$A$4919,$A1835)</f>
        <v/>
      </c>
      <c r="M1835" s="6">
        <f>INDEX('DETALLE CRONOLÓGICO'!$K$2:$K$4919,MATCH($A1835,'DETALLE CRONOLÓGICO'!$A$2:$A$4919,0)+$E1835-1)</f>
        <v/>
      </c>
      <c r="N1835" s="7">
        <f>IFERROR($M1835/INDEX('DETALLE CRONOLÓGICO'!$K$2:$K$4919,MATCH($A1835,'DETALLE CRONOLÓGICO'!$A$2:$A$4919,0))-1,"")</f>
        <v/>
      </c>
      <c r="O1835" s="6">
        <f>IFERROR($I1835*3,"")</f>
        <v/>
      </c>
      <c r="P1835" s="6">
        <f>IFERROR($I1835*3.5,"")</f>
        <v/>
      </c>
      <c r="Q1835" s="6">
        <f>IFERROR($I1835*4,"")</f>
        <v/>
      </c>
      <c r="R1835" s="6" t="n">
        <v>5649</v>
      </c>
      <c r="S1835" s="4" t="n">
        <v>3</v>
      </c>
      <c r="T1835" s="1" t="inlineStr">
        <is>
          <t>active</t>
        </is>
      </c>
      <c r="U1835" s="8" t="n"/>
      <c r="V1835" s="1" t="inlineStr">
        <is>
          <t>SIN PRECIO</t>
        </is>
      </c>
    </row>
    <row r="1836">
      <c r="A1836" s="1" t="inlineStr">
        <is>
          <t>72002489425036</t>
        </is>
      </c>
      <c r="B1836" s="1" t="inlineStr">
        <is>
          <t>ZAPATILLAS YSL OPYUM BLACK</t>
        </is>
      </c>
      <c r="C1836" s="1" t="inlineStr">
        <is>
          <t>23cm=36</t>
        </is>
      </c>
      <c r="D1836" s="1" t="inlineStr">
        <is>
          <t>ZOEY</t>
        </is>
      </c>
      <c r="E1836" s="4">
        <f>COUNTIF('DETALLE CRONOLÓGICO'!$A$2:$A$4919,$A1836)</f>
        <v/>
      </c>
      <c r="F1836" s="4">
        <f>SUMIFS('DETALLE CRONOLÓGICO'!$I$2:$I$4919,'DETALLE CRONOLÓGICO'!$A$2:$A$4919,$A1836)</f>
        <v/>
      </c>
      <c r="G1836" s="1">
        <f>INDEX('DETALLE CRONOLÓGICO'!$D$2:$D$4919,MATCH($A1836,'DETALLE CRONOLÓGICO'!$A$2:$A$4919,0))</f>
        <v/>
      </c>
      <c r="H1836" s="1">
        <f>INDEX('DETALLE CRONOLÓGICO'!$D$2:$D$4919,MATCH($A1836,'DETALLE CRONOLÓGICO'!$A$2:$A$4919,0)+$E1836-1)</f>
        <v/>
      </c>
      <c r="I1836" s="5">
        <f>IFERROR(SUMIFS('DETALLE CRONOLÓGICO'!$L$2:$L$4919,'DETALLE CRONOLÓGICO'!$A$2:$A$4919,$A1836)/$F1836,"")</f>
        <v/>
      </c>
      <c r="J1836" s="6">
        <f>IFERROR(SUMIFS('DETALLE CRONOLÓGICO'!$K$2:$K$4919,'DETALLE CRONOLÓGICO'!$A$2:$A$4919,$A1836)/$E1836,"")</f>
        <v/>
      </c>
      <c r="K1836" s="6">
        <f>_xlfn.MINIFS('DETALLE CRONOLÓGICO'!$K$2:$K$4919,'DETALLE CRONOLÓGICO'!$A$2:$A$4919,$A1836)</f>
        <v/>
      </c>
      <c r="L1836" s="6">
        <f>_xlfn.MAXIFS('DETALLE CRONOLÓGICO'!$K$2:$K$4919,'DETALLE CRONOLÓGICO'!$A$2:$A$4919,$A1836)</f>
        <v/>
      </c>
      <c r="M1836" s="6">
        <f>INDEX('DETALLE CRONOLÓGICO'!$K$2:$K$4919,MATCH($A1836,'DETALLE CRONOLÓGICO'!$A$2:$A$4919,0)+$E1836-1)</f>
        <v/>
      </c>
      <c r="N1836" s="7">
        <f>IFERROR($M1836/INDEX('DETALLE CRONOLÓGICO'!$K$2:$K$4919,MATCH($A1836,'DETALLE CRONOLÓGICO'!$A$2:$A$4919,0))-1,"")</f>
        <v/>
      </c>
      <c r="O1836" s="6">
        <f>IFERROR($I1836*3,"")</f>
        <v/>
      </c>
      <c r="P1836" s="6">
        <f>IFERROR($I1836*3.5,"")</f>
        <v/>
      </c>
      <c r="Q1836" s="6">
        <f>IFERROR($I1836*4,"")</f>
        <v/>
      </c>
      <c r="R1836" s="6" t="n">
        <v>6339</v>
      </c>
      <c r="S1836" s="4" t="n">
        <v>0</v>
      </c>
      <c r="T1836" s="1" t="inlineStr">
        <is>
          <t>active</t>
        </is>
      </c>
      <c r="U1836" s="8" t="n"/>
      <c r="V1836" s="1" t="inlineStr">
        <is>
          <t>SIN PRECIO</t>
        </is>
      </c>
    </row>
    <row r="1837">
      <c r="A1837" s="1" t="inlineStr">
        <is>
          <t>72002489515276</t>
        </is>
      </c>
      <c r="B1837" s="1" t="inlineStr">
        <is>
          <t>ZAPATILLA J’ADIOR</t>
        </is>
      </c>
      <c r="C1837" s="1" t="inlineStr">
        <is>
          <t>38/25cm</t>
        </is>
      </c>
      <c r="D1837" s="1" t="inlineStr">
        <is>
          <t>ZOEY</t>
        </is>
      </c>
      <c r="E1837" s="4">
        <f>COUNTIF('DETALLE CRONOLÓGICO'!$A$2:$A$4919,$A1837)</f>
        <v/>
      </c>
      <c r="F1837" s="4">
        <f>SUMIFS('DETALLE CRONOLÓGICO'!$I$2:$I$4919,'DETALLE CRONOLÓGICO'!$A$2:$A$4919,$A1837)</f>
        <v/>
      </c>
      <c r="G1837" s="1">
        <f>INDEX('DETALLE CRONOLÓGICO'!$D$2:$D$4919,MATCH($A1837,'DETALLE CRONOLÓGICO'!$A$2:$A$4919,0))</f>
        <v/>
      </c>
      <c r="H1837" s="1">
        <f>INDEX('DETALLE CRONOLÓGICO'!$D$2:$D$4919,MATCH($A1837,'DETALLE CRONOLÓGICO'!$A$2:$A$4919,0)+$E1837-1)</f>
        <v/>
      </c>
      <c r="I1837" s="5">
        <f>IFERROR(SUMIFS('DETALLE CRONOLÓGICO'!$L$2:$L$4919,'DETALLE CRONOLÓGICO'!$A$2:$A$4919,$A1837)/$F1837,"")</f>
        <v/>
      </c>
      <c r="J1837" s="6">
        <f>IFERROR(SUMIFS('DETALLE CRONOLÓGICO'!$K$2:$K$4919,'DETALLE CRONOLÓGICO'!$A$2:$A$4919,$A1837)/$E1837,"")</f>
        <v/>
      </c>
      <c r="K1837" s="6">
        <f>_xlfn.MINIFS('DETALLE CRONOLÓGICO'!$K$2:$K$4919,'DETALLE CRONOLÓGICO'!$A$2:$A$4919,$A1837)</f>
        <v/>
      </c>
      <c r="L1837" s="6">
        <f>_xlfn.MAXIFS('DETALLE CRONOLÓGICO'!$K$2:$K$4919,'DETALLE CRONOLÓGICO'!$A$2:$A$4919,$A1837)</f>
        <v/>
      </c>
      <c r="M1837" s="6">
        <f>INDEX('DETALLE CRONOLÓGICO'!$K$2:$K$4919,MATCH($A1837,'DETALLE CRONOLÓGICO'!$A$2:$A$4919,0)+$E1837-1)</f>
        <v/>
      </c>
      <c r="N1837" s="7">
        <f>IFERROR($M1837/INDEX('DETALLE CRONOLÓGICO'!$K$2:$K$4919,MATCH($A1837,'DETALLE CRONOLÓGICO'!$A$2:$A$4919,0))-1,"")</f>
        <v/>
      </c>
      <c r="O1837" s="6">
        <f>IFERROR($I1837*3,"")</f>
        <v/>
      </c>
      <c r="P1837" s="6">
        <f>IFERROR($I1837*3.5,"")</f>
        <v/>
      </c>
      <c r="Q1837" s="6">
        <f>IFERROR($I1837*4,"")</f>
        <v/>
      </c>
      <c r="R1837" s="6" t="n">
        <v>5649</v>
      </c>
      <c r="S1837" s="4" t="n">
        <v>0</v>
      </c>
      <c r="T1837" s="1" t="inlineStr">
        <is>
          <t>active</t>
        </is>
      </c>
      <c r="U1837" s="8" t="n"/>
      <c r="V1837" s="1" t="inlineStr">
        <is>
          <t>SIN PRECIO</t>
        </is>
      </c>
    </row>
    <row r="1838">
      <c r="A1838" s="1" t="inlineStr">
        <is>
          <t>72002489640844</t>
        </is>
      </c>
      <c r="B1838" s="1" t="inlineStr">
        <is>
          <t>ZAPATILLAS CL KATE</t>
        </is>
      </c>
      <c r="C1838" s="1" t="inlineStr">
        <is>
          <t>36/24cm</t>
        </is>
      </c>
      <c r="D1838" s="1" t="inlineStr">
        <is>
          <t>ZOEY</t>
        </is>
      </c>
      <c r="E1838" s="4">
        <f>COUNTIF('DETALLE CRONOLÓGICO'!$A$2:$A$4919,$A1838)</f>
        <v/>
      </c>
      <c r="F1838" s="4">
        <f>SUMIFS('DETALLE CRONOLÓGICO'!$I$2:$I$4919,'DETALLE CRONOLÓGICO'!$A$2:$A$4919,$A1838)</f>
        <v/>
      </c>
      <c r="G1838" s="1">
        <f>INDEX('DETALLE CRONOLÓGICO'!$D$2:$D$4919,MATCH($A1838,'DETALLE CRONOLÓGICO'!$A$2:$A$4919,0))</f>
        <v/>
      </c>
      <c r="H1838" s="1">
        <f>INDEX('DETALLE CRONOLÓGICO'!$D$2:$D$4919,MATCH($A1838,'DETALLE CRONOLÓGICO'!$A$2:$A$4919,0)+$E1838-1)</f>
        <v/>
      </c>
      <c r="I1838" s="5">
        <f>IFERROR(SUMIFS('DETALLE CRONOLÓGICO'!$L$2:$L$4919,'DETALLE CRONOLÓGICO'!$A$2:$A$4919,$A1838)/$F1838,"")</f>
        <v/>
      </c>
      <c r="J1838" s="6">
        <f>IFERROR(SUMIFS('DETALLE CRONOLÓGICO'!$K$2:$K$4919,'DETALLE CRONOLÓGICO'!$A$2:$A$4919,$A1838)/$E1838,"")</f>
        <v/>
      </c>
      <c r="K1838" s="6">
        <f>_xlfn.MINIFS('DETALLE CRONOLÓGICO'!$K$2:$K$4919,'DETALLE CRONOLÓGICO'!$A$2:$A$4919,$A1838)</f>
        <v/>
      </c>
      <c r="L1838" s="6">
        <f>_xlfn.MAXIFS('DETALLE CRONOLÓGICO'!$K$2:$K$4919,'DETALLE CRONOLÓGICO'!$A$2:$A$4919,$A1838)</f>
        <v/>
      </c>
      <c r="M1838" s="6">
        <f>INDEX('DETALLE CRONOLÓGICO'!$K$2:$K$4919,MATCH($A1838,'DETALLE CRONOLÓGICO'!$A$2:$A$4919,0)+$E1838-1)</f>
        <v/>
      </c>
      <c r="N1838" s="7">
        <f>IFERROR($M1838/INDEX('DETALLE CRONOLÓGICO'!$K$2:$K$4919,MATCH($A1838,'DETALLE CRONOLÓGICO'!$A$2:$A$4919,0))-1,"")</f>
        <v/>
      </c>
      <c r="O1838" s="6">
        <f>IFERROR($I1838*3,"")</f>
        <v/>
      </c>
      <c r="P1838" s="6">
        <f>IFERROR($I1838*3.5,"")</f>
        <v/>
      </c>
      <c r="Q1838" s="6">
        <f>IFERROR($I1838*4,"")</f>
        <v/>
      </c>
      <c r="R1838" s="6" t="n">
        <v>4675</v>
      </c>
      <c r="S1838" s="4" t="n">
        <v>0</v>
      </c>
      <c r="T1838" s="1" t="inlineStr">
        <is>
          <t>active</t>
        </is>
      </c>
      <c r="U1838" s="8" t="n"/>
      <c r="V1838" s="1" t="inlineStr">
        <is>
          <t>SIN PRECIO</t>
        </is>
      </c>
    </row>
    <row r="1839">
      <c r="A1839" s="1" t="inlineStr">
        <is>
          <t>72002489673612</t>
        </is>
      </c>
      <c r="B1839" s="1" t="inlineStr">
        <is>
          <t>ZAPATILLAS CL KATE</t>
        </is>
      </c>
      <c r="C1839" s="1" t="inlineStr">
        <is>
          <t>25cm=39</t>
        </is>
      </c>
      <c r="D1839" s="1" t="inlineStr">
        <is>
          <t>ZOEY</t>
        </is>
      </c>
      <c r="E1839" s="4">
        <f>COUNTIF('DETALLE CRONOLÓGICO'!$A$2:$A$4919,$A1839)</f>
        <v/>
      </c>
      <c r="F1839" s="4">
        <f>SUMIFS('DETALLE CRONOLÓGICO'!$I$2:$I$4919,'DETALLE CRONOLÓGICO'!$A$2:$A$4919,$A1839)</f>
        <v/>
      </c>
      <c r="G1839" s="1">
        <f>INDEX('DETALLE CRONOLÓGICO'!$D$2:$D$4919,MATCH($A1839,'DETALLE CRONOLÓGICO'!$A$2:$A$4919,0))</f>
        <v/>
      </c>
      <c r="H1839" s="1">
        <f>INDEX('DETALLE CRONOLÓGICO'!$D$2:$D$4919,MATCH($A1839,'DETALLE CRONOLÓGICO'!$A$2:$A$4919,0)+$E1839-1)</f>
        <v/>
      </c>
      <c r="I1839" s="5">
        <f>IFERROR(SUMIFS('DETALLE CRONOLÓGICO'!$L$2:$L$4919,'DETALLE CRONOLÓGICO'!$A$2:$A$4919,$A1839)/$F1839,"")</f>
        <v/>
      </c>
      <c r="J1839" s="6">
        <f>IFERROR(SUMIFS('DETALLE CRONOLÓGICO'!$K$2:$K$4919,'DETALLE CRONOLÓGICO'!$A$2:$A$4919,$A1839)/$E1839,"")</f>
        <v/>
      </c>
      <c r="K1839" s="6">
        <f>_xlfn.MINIFS('DETALLE CRONOLÓGICO'!$K$2:$K$4919,'DETALLE CRONOLÓGICO'!$A$2:$A$4919,$A1839)</f>
        <v/>
      </c>
      <c r="L1839" s="6">
        <f>_xlfn.MAXIFS('DETALLE CRONOLÓGICO'!$K$2:$K$4919,'DETALLE CRONOLÓGICO'!$A$2:$A$4919,$A1839)</f>
        <v/>
      </c>
      <c r="M1839" s="6">
        <f>INDEX('DETALLE CRONOLÓGICO'!$K$2:$K$4919,MATCH($A1839,'DETALLE CRONOLÓGICO'!$A$2:$A$4919,0)+$E1839-1)</f>
        <v/>
      </c>
      <c r="N1839" s="7">
        <f>IFERROR($M1839/INDEX('DETALLE CRONOLÓGICO'!$K$2:$K$4919,MATCH($A1839,'DETALLE CRONOLÓGICO'!$A$2:$A$4919,0))-1,"")</f>
        <v/>
      </c>
      <c r="O1839" s="6">
        <f>IFERROR($I1839*3,"")</f>
        <v/>
      </c>
      <c r="P1839" s="6">
        <f>IFERROR($I1839*3.5,"")</f>
        <v/>
      </c>
      <c r="Q1839" s="6">
        <f>IFERROR($I1839*4,"")</f>
        <v/>
      </c>
      <c r="R1839" s="6" t="n">
        <v>4675</v>
      </c>
      <c r="S1839" s="4" t="n">
        <v>1</v>
      </c>
      <c r="T1839" s="1" t="inlineStr">
        <is>
          <t>active</t>
        </is>
      </c>
      <c r="U1839" s="8" t="n"/>
      <c r="V1839" s="1" t="inlineStr">
        <is>
          <t>SIN PRECIO</t>
        </is>
      </c>
    </row>
    <row r="1840">
      <c r="A1840" s="1" t="inlineStr">
        <is>
          <t>72083641016013</t>
        </is>
      </c>
      <c r="B1840" s="1" t="inlineStr">
        <is>
          <t>PULSERA MM GOLD-WHITE</t>
        </is>
      </c>
      <c r="C1840" s="1" t="inlineStr">
        <is>
          <t>REGULAR</t>
        </is>
      </c>
      <c r="D1840" s="1" t="inlineStr">
        <is>
          <t>HAIFENG</t>
        </is>
      </c>
      <c r="E1840" s="4">
        <f>COUNTIF('DETALLE CRONOLÓGICO'!$A$2:$A$4919,$A1840)</f>
        <v/>
      </c>
      <c r="F1840" s="4">
        <f>SUMIFS('DETALLE CRONOLÓGICO'!$I$2:$I$4919,'DETALLE CRONOLÓGICO'!$A$2:$A$4919,$A1840)</f>
        <v/>
      </c>
      <c r="G1840" s="1">
        <f>INDEX('DETALLE CRONOLÓGICO'!$D$2:$D$4919,MATCH($A1840,'DETALLE CRONOLÓGICO'!$A$2:$A$4919,0))</f>
        <v/>
      </c>
      <c r="H1840" s="1">
        <f>INDEX('DETALLE CRONOLÓGICO'!$D$2:$D$4919,MATCH($A1840,'DETALLE CRONOLÓGICO'!$A$2:$A$4919,0)+$E1840-1)</f>
        <v/>
      </c>
      <c r="I1840" s="5">
        <f>IFERROR(SUMIFS('DETALLE CRONOLÓGICO'!$L$2:$L$4919,'DETALLE CRONOLÓGICO'!$A$2:$A$4919,$A1840)/$F1840,"")</f>
        <v/>
      </c>
      <c r="J1840" s="6">
        <f>IFERROR(SUMIFS('DETALLE CRONOLÓGICO'!$K$2:$K$4919,'DETALLE CRONOLÓGICO'!$A$2:$A$4919,$A1840)/$E1840,"")</f>
        <v/>
      </c>
      <c r="K1840" s="6">
        <f>_xlfn.MINIFS('DETALLE CRONOLÓGICO'!$K$2:$K$4919,'DETALLE CRONOLÓGICO'!$A$2:$A$4919,$A1840)</f>
        <v/>
      </c>
      <c r="L1840" s="6">
        <f>_xlfn.MAXIFS('DETALLE CRONOLÓGICO'!$K$2:$K$4919,'DETALLE CRONOLÓGICO'!$A$2:$A$4919,$A1840)</f>
        <v/>
      </c>
      <c r="M1840" s="6">
        <f>INDEX('DETALLE CRONOLÓGICO'!$K$2:$K$4919,MATCH($A1840,'DETALLE CRONOLÓGICO'!$A$2:$A$4919,0)+$E1840-1)</f>
        <v/>
      </c>
      <c r="N1840" s="7">
        <f>IFERROR($M1840/INDEX('DETALLE CRONOLÓGICO'!$K$2:$K$4919,MATCH($A1840,'DETALLE CRONOLÓGICO'!$A$2:$A$4919,0))-1,"")</f>
        <v/>
      </c>
      <c r="O1840" s="6">
        <f>IFERROR($I1840*3,"")</f>
        <v/>
      </c>
      <c r="P1840" s="6">
        <f>IFERROR($I1840*3.5,"")</f>
        <v/>
      </c>
      <c r="Q1840" s="6">
        <f>IFERROR($I1840*4,"")</f>
        <v/>
      </c>
      <c r="R1840" s="6" t="n">
        <v>580</v>
      </c>
      <c r="S1840" s="4" t="n">
        <v>8</v>
      </c>
      <c r="T1840" s="1" t="inlineStr">
        <is>
          <t>active</t>
        </is>
      </c>
      <c r="U1840" s="8" t="n"/>
      <c r="V1840" s="1" t="inlineStr">
        <is>
          <t>SIN PRECIO</t>
        </is>
      </c>
    </row>
    <row r="1841">
      <c r="A1841" s="1" t="inlineStr">
        <is>
          <t>72142921022125</t>
        </is>
      </c>
      <c r="B1841" s="1" t="inlineStr">
        <is>
          <t>ANILLO CD GOLD WHITE CON ZIRCONIA</t>
        </is>
      </c>
      <c r="C1841" s="1" t="inlineStr">
        <is>
          <t>6</t>
        </is>
      </c>
      <c r="D1841" s="1" t="inlineStr">
        <is>
          <t>ZOEY</t>
        </is>
      </c>
      <c r="E1841" s="4">
        <f>COUNTIF('DETALLE CRONOLÓGICO'!$A$2:$A$4919,$A1841)</f>
        <v/>
      </c>
      <c r="F1841" s="4">
        <f>SUMIFS('DETALLE CRONOLÓGICO'!$I$2:$I$4919,'DETALLE CRONOLÓGICO'!$A$2:$A$4919,$A1841)</f>
        <v/>
      </c>
      <c r="G1841" s="1">
        <f>INDEX('DETALLE CRONOLÓGICO'!$D$2:$D$4919,MATCH($A1841,'DETALLE CRONOLÓGICO'!$A$2:$A$4919,0))</f>
        <v/>
      </c>
      <c r="H1841" s="1">
        <f>INDEX('DETALLE CRONOLÓGICO'!$D$2:$D$4919,MATCH($A1841,'DETALLE CRONOLÓGICO'!$A$2:$A$4919,0)+$E1841-1)</f>
        <v/>
      </c>
      <c r="I1841" s="5">
        <f>IFERROR(SUMIFS('DETALLE CRONOLÓGICO'!$L$2:$L$4919,'DETALLE CRONOLÓGICO'!$A$2:$A$4919,$A1841)/$F1841,"")</f>
        <v/>
      </c>
      <c r="J1841" s="6">
        <f>IFERROR(SUMIFS('DETALLE CRONOLÓGICO'!$K$2:$K$4919,'DETALLE CRONOLÓGICO'!$A$2:$A$4919,$A1841)/$E1841,"")</f>
        <v/>
      </c>
      <c r="K1841" s="6">
        <f>_xlfn.MINIFS('DETALLE CRONOLÓGICO'!$K$2:$K$4919,'DETALLE CRONOLÓGICO'!$A$2:$A$4919,$A1841)</f>
        <v/>
      </c>
      <c r="L1841" s="6">
        <f>_xlfn.MAXIFS('DETALLE CRONOLÓGICO'!$K$2:$K$4919,'DETALLE CRONOLÓGICO'!$A$2:$A$4919,$A1841)</f>
        <v/>
      </c>
      <c r="M1841" s="6">
        <f>INDEX('DETALLE CRONOLÓGICO'!$K$2:$K$4919,MATCH($A1841,'DETALLE CRONOLÓGICO'!$A$2:$A$4919,0)+$E1841-1)</f>
        <v/>
      </c>
      <c r="N1841" s="7">
        <f>IFERROR($M1841/INDEX('DETALLE CRONOLÓGICO'!$K$2:$K$4919,MATCH($A1841,'DETALLE CRONOLÓGICO'!$A$2:$A$4919,0))-1,"")</f>
        <v/>
      </c>
      <c r="O1841" s="6">
        <f>IFERROR($I1841*3,"")</f>
        <v/>
      </c>
      <c r="P1841" s="6">
        <f>IFERROR($I1841*3.5,"")</f>
        <v/>
      </c>
      <c r="Q1841" s="6">
        <f>IFERROR($I1841*4,"")</f>
        <v/>
      </c>
      <c r="R1841" s="6" t="n">
        <v>975</v>
      </c>
      <c r="S1841" s="4" t="n">
        <v>0</v>
      </c>
      <c r="T1841" s="1" t="inlineStr">
        <is>
          <t>active</t>
        </is>
      </c>
      <c r="U1841" s="8" t="n"/>
      <c r="V1841" s="1" t="inlineStr">
        <is>
          <t>SIN PRECIO</t>
        </is>
      </c>
    </row>
    <row r="1842">
      <c r="A1842" s="1" t="inlineStr">
        <is>
          <t>72142921022126</t>
        </is>
      </c>
      <c r="B1842" s="1" t="n"/>
      <c r="C1842" s="1" t="n">
        <v>7</v>
      </c>
      <c r="D1842" s="1" t="inlineStr">
        <is>
          <t>ZOEY</t>
        </is>
      </c>
      <c r="E1842" s="4">
        <f>COUNTIF('DETALLE CRONOLÓGICO'!$A$2:$A$4919,$A1842)</f>
        <v/>
      </c>
      <c r="F1842" s="4">
        <f>SUMIFS('DETALLE CRONOLÓGICO'!$I$2:$I$4919,'DETALLE CRONOLÓGICO'!$A$2:$A$4919,$A1842)</f>
        <v/>
      </c>
      <c r="G1842" s="1">
        <f>INDEX('DETALLE CRONOLÓGICO'!$D$2:$D$4919,MATCH($A1842,'DETALLE CRONOLÓGICO'!$A$2:$A$4919,0))</f>
        <v/>
      </c>
      <c r="H1842" s="1">
        <f>INDEX('DETALLE CRONOLÓGICO'!$D$2:$D$4919,MATCH($A1842,'DETALLE CRONOLÓGICO'!$A$2:$A$4919,0)+$E1842-1)</f>
        <v/>
      </c>
      <c r="I1842" s="5">
        <f>IFERROR(SUMIFS('DETALLE CRONOLÓGICO'!$L$2:$L$4919,'DETALLE CRONOLÓGICO'!$A$2:$A$4919,$A1842)/$F1842,"")</f>
        <v/>
      </c>
      <c r="J1842" s="6">
        <f>IFERROR(SUMIFS('DETALLE CRONOLÓGICO'!$K$2:$K$4919,'DETALLE CRONOLÓGICO'!$A$2:$A$4919,$A1842)/$E1842,"")</f>
        <v/>
      </c>
      <c r="K1842" s="6">
        <f>_xlfn.MINIFS('DETALLE CRONOLÓGICO'!$K$2:$K$4919,'DETALLE CRONOLÓGICO'!$A$2:$A$4919,$A1842)</f>
        <v/>
      </c>
      <c r="L1842" s="6">
        <f>_xlfn.MAXIFS('DETALLE CRONOLÓGICO'!$K$2:$K$4919,'DETALLE CRONOLÓGICO'!$A$2:$A$4919,$A1842)</f>
        <v/>
      </c>
      <c r="M1842" s="6">
        <f>INDEX('DETALLE CRONOLÓGICO'!$K$2:$K$4919,MATCH($A1842,'DETALLE CRONOLÓGICO'!$A$2:$A$4919,0)+$E1842-1)</f>
        <v/>
      </c>
      <c r="N1842" s="7">
        <f>IFERROR($M1842/INDEX('DETALLE CRONOLÓGICO'!$K$2:$K$4919,MATCH($A1842,'DETALLE CRONOLÓGICO'!$A$2:$A$4919,0))-1,"")</f>
        <v/>
      </c>
      <c r="O1842" s="6">
        <f>IFERROR($I1842*3,"")</f>
        <v/>
      </c>
      <c r="P1842" s="6">
        <f>IFERROR($I1842*3.5,"")</f>
        <v/>
      </c>
      <c r="Q1842" s="6">
        <f>IFERROR($I1842*4,"")</f>
        <v/>
      </c>
      <c r="R1842" s="6" t="n">
        <v>975</v>
      </c>
      <c r="S1842" s="4" t="n">
        <v>2</v>
      </c>
      <c r="T1842" s="1" t="inlineStr">
        <is>
          <t>active</t>
        </is>
      </c>
      <c r="U1842" s="8" t="n"/>
      <c r="V1842" s="1" t="inlineStr">
        <is>
          <t>SIN PRECIO</t>
        </is>
      </c>
    </row>
    <row r="1843">
      <c r="A1843" s="1" t="inlineStr">
        <is>
          <t>72142921022127</t>
        </is>
      </c>
      <c r="B1843" s="1" t="n"/>
      <c r="C1843" s="1" t="n">
        <v>8</v>
      </c>
      <c r="D1843" s="1" t="inlineStr">
        <is>
          <t>ZOEY</t>
        </is>
      </c>
      <c r="E1843" s="4">
        <f>COUNTIF('DETALLE CRONOLÓGICO'!$A$2:$A$4919,$A1843)</f>
        <v/>
      </c>
      <c r="F1843" s="4">
        <f>SUMIFS('DETALLE CRONOLÓGICO'!$I$2:$I$4919,'DETALLE CRONOLÓGICO'!$A$2:$A$4919,$A1843)</f>
        <v/>
      </c>
      <c r="G1843" s="1">
        <f>INDEX('DETALLE CRONOLÓGICO'!$D$2:$D$4919,MATCH($A1843,'DETALLE CRONOLÓGICO'!$A$2:$A$4919,0))</f>
        <v/>
      </c>
      <c r="H1843" s="1">
        <f>INDEX('DETALLE CRONOLÓGICO'!$D$2:$D$4919,MATCH($A1843,'DETALLE CRONOLÓGICO'!$A$2:$A$4919,0)+$E1843-1)</f>
        <v/>
      </c>
      <c r="I1843" s="5">
        <f>IFERROR(SUMIFS('DETALLE CRONOLÓGICO'!$L$2:$L$4919,'DETALLE CRONOLÓGICO'!$A$2:$A$4919,$A1843)/$F1843,"")</f>
        <v/>
      </c>
      <c r="J1843" s="6">
        <f>IFERROR(SUMIFS('DETALLE CRONOLÓGICO'!$K$2:$K$4919,'DETALLE CRONOLÓGICO'!$A$2:$A$4919,$A1843)/$E1843,"")</f>
        <v/>
      </c>
      <c r="K1843" s="6">
        <f>_xlfn.MINIFS('DETALLE CRONOLÓGICO'!$K$2:$K$4919,'DETALLE CRONOLÓGICO'!$A$2:$A$4919,$A1843)</f>
        <v/>
      </c>
      <c r="L1843" s="6">
        <f>_xlfn.MAXIFS('DETALLE CRONOLÓGICO'!$K$2:$K$4919,'DETALLE CRONOLÓGICO'!$A$2:$A$4919,$A1843)</f>
        <v/>
      </c>
      <c r="M1843" s="6">
        <f>INDEX('DETALLE CRONOLÓGICO'!$K$2:$K$4919,MATCH($A1843,'DETALLE CRONOLÓGICO'!$A$2:$A$4919,0)+$E1843-1)</f>
        <v/>
      </c>
      <c r="N1843" s="7">
        <f>IFERROR($M1843/INDEX('DETALLE CRONOLÓGICO'!$K$2:$K$4919,MATCH($A1843,'DETALLE CRONOLÓGICO'!$A$2:$A$4919,0))-1,"")</f>
        <v/>
      </c>
      <c r="O1843" s="6">
        <f>IFERROR($I1843*3,"")</f>
        <v/>
      </c>
      <c r="P1843" s="6">
        <f>IFERROR($I1843*3.5,"")</f>
        <v/>
      </c>
      <c r="Q1843" s="6">
        <f>IFERROR($I1843*4,"")</f>
        <v/>
      </c>
      <c r="R1843" s="6" t="n">
        <v>633</v>
      </c>
      <c r="S1843" s="4" t="n">
        <v>3</v>
      </c>
      <c r="T1843" s="1" t="inlineStr">
        <is>
          <t>active</t>
        </is>
      </c>
      <c r="U1843" s="8" t="n"/>
      <c r="V1843" s="1" t="inlineStr">
        <is>
          <t>SIN PRECIO</t>
        </is>
      </c>
    </row>
    <row r="1844">
      <c r="A1844" s="1" t="inlineStr">
        <is>
          <t>72233622795788</t>
        </is>
      </c>
      <c r="B1844" s="1" t="inlineStr">
        <is>
          <t>SUÉTER PR MILANO WHITE</t>
        </is>
      </c>
      <c r="C1844" s="1" t="inlineStr">
        <is>
          <t>L</t>
        </is>
      </c>
      <c r="D1844" s="1" t="inlineStr">
        <is>
          <t>ZOEY</t>
        </is>
      </c>
      <c r="E1844" s="4">
        <f>COUNTIF('DETALLE CRONOLÓGICO'!$A$2:$A$4919,$A1844)</f>
        <v/>
      </c>
      <c r="F1844" s="4">
        <f>SUMIFS('DETALLE CRONOLÓGICO'!$I$2:$I$4919,'DETALLE CRONOLÓGICO'!$A$2:$A$4919,$A1844)</f>
        <v/>
      </c>
      <c r="G1844" s="1">
        <f>INDEX('DETALLE CRONOLÓGICO'!$D$2:$D$4919,MATCH($A1844,'DETALLE CRONOLÓGICO'!$A$2:$A$4919,0))</f>
        <v/>
      </c>
      <c r="H1844" s="1">
        <f>INDEX('DETALLE CRONOLÓGICO'!$D$2:$D$4919,MATCH($A1844,'DETALLE CRONOLÓGICO'!$A$2:$A$4919,0)+$E1844-1)</f>
        <v/>
      </c>
      <c r="I1844" s="5">
        <f>IFERROR(SUMIFS('DETALLE CRONOLÓGICO'!$L$2:$L$4919,'DETALLE CRONOLÓGICO'!$A$2:$A$4919,$A1844)/$F1844,"")</f>
        <v/>
      </c>
      <c r="J1844" s="6">
        <f>IFERROR(SUMIFS('DETALLE CRONOLÓGICO'!$K$2:$K$4919,'DETALLE CRONOLÓGICO'!$A$2:$A$4919,$A1844)/$E1844,"")</f>
        <v/>
      </c>
      <c r="K1844" s="6">
        <f>_xlfn.MINIFS('DETALLE CRONOLÓGICO'!$K$2:$K$4919,'DETALLE CRONOLÓGICO'!$A$2:$A$4919,$A1844)</f>
        <v/>
      </c>
      <c r="L1844" s="6">
        <f>_xlfn.MAXIFS('DETALLE CRONOLÓGICO'!$K$2:$K$4919,'DETALLE CRONOLÓGICO'!$A$2:$A$4919,$A1844)</f>
        <v/>
      </c>
      <c r="M1844" s="6">
        <f>INDEX('DETALLE CRONOLÓGICO'!$K$2:$K$4919,MATCH($A1844,'DETALLE CRONOLÓGICO'!$A$2:$A$4919,0)+$E1844-1)</f>
        <v/>
      </c>
      <c r="N1844" s="7">
        <f>IFERROR($M1844/INDEX('DETALLE CRONOLÓGICO'!$K$2:$K$4919,MATCH($A1844,'DETALLE CRONOLÓGICO'!$A$2:$A$4919,0))-1,"")</f>
        <v/>
      </c>
      <c r="O1844" s="6">
        <f>IFERROR($I1844*3,"")</f>
        <v/>
      </c>
      <c r="P1844" s="6">
        <f>IFERROR($I1844*3.5,"")</f>
        <v/>
      </c>
      <c r="Q1844" s="6">
        <f>IFERROR($I1844*4,"")</f>
        <v/>
      </c>
      <c r="R1844" s="6" t="n">
        <v>3260</v>
      </c>
      <c r="S1844" s="4" t="n">
        <v>1</v>
      </c>
      <c r="T1844" s="1" t="inlineStr">
        <is>
          <t>active</t>
        </is>
      </c>
      <c r="U1844" s="8" t="n"/>
      <c r="V1844" s="1" t="inlineStr">
        <is>
          <t>SIN PRECIO</t>
        </is>
      </c>
    </row>
    <row r="1845">
      <c r="A1845" s="1" t="inlineStr">
        <is>
          <t>72293841002509</t>
        </is>
      </c>
      <c r="B1845" s="1" t="inlineStr">
        <is>
          <t>PULSERA BV ROSEGOLD CON ZIRCONIA</t>
        </is>
      </c>
      <c r="C1845" s="1" t="inlineStr">
        <is>
          <t>Default Title</t>
        </is>
      </c>
      <c r="D1845" s="1" t="inlineStr">
        <is>
          <t>HAIFENG</t>
        </is>
      </c>
      <c r="E1845" s="4">
        <f>COUNTIF('DETALLE CRONOLÓGICO'!$A$2:$A$4919,$A1845)</f>
        <v/>
      </c>
      <c r="F1845" s="4">
        <f>SUMIFS('DETALLE CRONOLÓGICO'!$I$2:$I$4919,'DETALLE CRONOLÓGICO'!$A$2:$A$4919,$A1845)</f>
        <v/>
      </c>
      <c r="G1845" s="1">
        <f>INDEX('DETALLE CRONOLÓGICO'!$D$2:$D$4919,MATCH($A1845,'DETALLE CRONOLÓGICO'!$A$2:$A$4919,0))</f>
        <v/>
      </c>
      <c r="H1845" s="1">
        <f>INDEX('DETALLE CRONOLÓGICO'!$D$2:$D$4919,MATCH($A1845,'DETALLE CRONOLÓGICO'!$A$2:$A$4919,0)+$E1845-1)</f>
        <v/>
      </c>
      <c r="I1845" s="5">
        <f>IFERROR(SUMIFS('DETALLE CRONOLÓGICO'!$L$2:$L$4919,'DETALLE CRONOLÓGICO'!$A$2:$A$4919,$A1845)/$F1845,"")</f>
        <v/>
      </c>
      <c r="J1845" s="6">
        <f>IFERROR(SUMIFS('DETALLE CRONOLÓGICO'!$K$2:$K$4919,'DETALLE CRONOLÓGICO'!$A$2:$A$4919,$A1845)/$E1845,"")</f>
        <v/>
      </c>
      <c r="K1845" s="6">
        <f>_xlfn.MINIFS('DETALLE CRONOLÓGICO'!$K$2:$K$4919,'DETALLE CRONOLÓGICO'!$A$2:$A$4919,$A1845)</f>
        <v/>
      </c>
      <c r="L1845" s="6">
        <f>_xlfn.MAXIFS('DETALLE CRONOLÓGICO'!$K$2:$K$4919,'DETALLE CRONOLÓGICO'!$A$2:$A$4919,$A1845)</f>
        <v/>
      </c>
      <c r="M1845" s="6">
        <f>INDEX('DETALLE CRONOLÓGICO'!$K$2:$K$4919,MATCH($A1845,'DETALLE CRONOLÓGICO'!$A$2:$A$4919,0)+$E1845-1)</f>
        <v/>
      </c>
      <c r="N1845" s="7">
        <f>IFERROR($M1845/INDEX('DETALLE CRONOLÓGICO'!$K$2:$K$4919,MATCH($A1845,'DETALLE CRONOLÓGICO'!$A$2:$A$4919,0))-1,"")</f>
        <v/>
      </c>
      <c r="O1845" s="6">
        <f>IFERROR($I1845*3,"")</f>
        <v/>
      </c>
      <c r="P1845" s="6">
        <f>IFERROR($I1845*3.5,"")</f>
        <v/>
      </c>
      <c r="Q1845" s="6">
        <f>IFERROR($I1845*4,"")</f>
        <v/>
      </c>
      <c r="R1845" s="6" t="n">
        <v>599</v>
      </c>
      <c r="S1845" s="4" t="n">
        <v>1</v>
      </c>
      <c r="T1845" s="1" t="inlineStr">
        <is>
          <t>active</t>
        </is>
      </c>
      <c r="U1845" s="8" t="n"/>
      <c r="V1845" s="1" t="inlineStr">
        <is>
          <t>SIN PRECIO</t>
        </is>
      </c>
    </row>
    <row r="1846">
      <c r="A1846" s="1" t="inlineStr">
        <is>
          <t>73379601029069</t>
        </is>
      </c>
      <c r="B1846" s="1" t="inlineStr">
        <is>
          <t>PULSERA LOVE UNLIMITED GOLD</t>
        </is>
      </c>
      <c r="C1846" s="1" t="inlineStr">
        <is>
          <t>19</t>
        </is>
      </c>
      <c r="D1846" s="1" t="inlineStr">
        <is>
          <t>HAIFENG</t>
        </is>
      </c>
      <c r="E1846" s="4">
        <f>COUNTIF('DETALLE CRONOLÓGICO'!$A$2:$A$4919,$A1846)</f>
        <v/>
      </c>
      <c r="F1846" s="4">
        <f>SUMIFS('DETALLE CRONOLÓGICO'!$I$2:$I$4919,'DETALLE CRONOLÓGICO'!$A$2:$A$4919,$A1846)</f>
        <v/>
      </c>
      <c r="G1846" s="1">
        <f>INDEX('DETALLE CRONOLÓGICO'!$D$2:$D$4919,MATCH($A1846,'DETALLE CRONOLÓGICO'!$A$2:$A$4919,0))</f>
        <v/>
      </c>
      <c r="H1846" s="1">
        <f>INDEX('DETALLE CRONOLÓGICO'!$D$2:$D$4919,MATCH($A1846,'DETALLE CRONOLÓGICO'!$A$2:$A$4919,0)+$E1846-1)</f>
        <v/>
      </c>
      <c r="I1846" s="5">
        <f>IFERROR(SUMIFS('DETALLE CRONOLÓGICO'!$L$2:$L$4919,'DETALLE CRONOLÓGICO'!$A$2:$A$4919,$A1846)/$F1846,"")</f>
        <v/>
      </c>
      <c r="J1846" s="6">
        <f>IFERROR(SUMIFS('DETALLE CRONOLÓGICO'!$K$2:$K$4919,'DETALLE CRONOLÓGICO'!$A$2:$A$4919,$A1846)/$E1846,"")</f>
        <v/>
      </c>
      <c r="K1846" s="6">
        <f>_xlfn.MINIFS('DETALLE CRONOLÓGICO'!$K$2:$K$4919,'DETALLE CRONOLÓGICO'!$A$2:$A$4919,$A1846)</f>
        <v/>
      </c>
      <c r="L1846" s="6">
        <f>_xlfn.MAXIFS('DETALLE CRONOLÓGICO'!$K$2:$K$4919,'DETALLE CRONOLÓGICO'!$A$2:$A$4919,$A1846)</f>
        <v/>
      </c>
      <c r="M1846" s="6">
        <f>INDEX('DETALLE CRONOLÓGICO'!$K$2:$K$4919,MATCH($A1846,'DETALLE CRONOLÓGICO'!$A$2:$A$4919,0)+$E1846-1)</f>
        <v/>
      </c>
      <c r="N1846" s="7">
        <f>IFERROR($M1846/INDEX('DETALLE CRONOLÓGICO'!$K$2:$K$4919,MATCH($A1846,'DETALLE CRONOLÓGICO'!$A$2:$A$4919,0))-1,"")</f>
        <v/>
      </c>
      <c r="O1846" s="6">
        <f>IFERROR($I1846*3,"")</f>
        <v/>
      </c>
      <c r="P1846" s="6">
        <f>IFERROR($I1846*3.5,"")</f>
        <v/>
      </c>
      <c r="Q1846" s="6">
        <f>IFERROR($I1846*4,"")</f>
        <v/>
      </c>
      <c r="R1846" s="6" t="n">
        <v>1399</v>
      </c>
      <c r="S1846" s="4" t="n">
        <v>4</v>
      </c>
      <c r="T1846" s="1" t="inlineStr">
        <is>
          <t>active</t>
        </is>
      </c>
      <c r="U1846" s="8" t="n"/>
      <c r="V1846" s="1" t="inlineStr">
        <is>
          <t>SIN PRECIO</t>
        </is>
      </c>
    </row>
    <row r="1847">
      <c r="A1847" s="1" t="inlineStr">
        <is>
          <t>73379601161837</t>
        </is>
      </c>
      <c r="B1847" s="1" t="inlineStr">
        <is>
          <t>PULSERA LOVE UNLIMITED GOLD</t>
        </is>
      </c>
      <c r="C1847" s="1" t="inlineStr">
        <is>
          <t>21</t>
        </is>
      </c>
      <c r="D1847" s="1" t="inlineStr">
        <is>
          <t>HAIFENG</t>
        </is>
      </c>
      <c r="E1847" s="4">
        <f>COUNTIF('DETALLE CRONOLÓGICO'!$A$2:$A$4919,$A1847)</f>
        <v/>
      </c>
      <c r="F1847" s="4">
        <f>SUMIFS('DETALLE CRONOLÓGICO'!$I$2:$I$4919,'DETALLE CRONOLÓGICO'!$A$2:$A$4919,$A1847)</f>
        <v/>
      </c>
      <c r="G1847" s="1">
        <f>INDEX('DETALLE CRONOLÓGICO'!$D$2:$D$4919,MATCH($A1847,'DETALLE CRONOLÓGICO'!$A$2:$A$4919,0))</f>
        <v/>
      </c>
      <c r="H1847" s="1">
        <f>INDEX('DETALLE CRONOLÓGICO'!$D$2:$D$4919,MATCH($A1847,'DETALLE CRONOLÓGICO'!$A$2:$A$4919,0)+$E1847-1)</f>
        <v/>
      </c>
      <c r="I1847" s="5">
        <f>IFERROR(SUMIFS('DETALLE CRONOLÓGICO'!$L$2:$L$4919,'DETALLE CRONOLÓGICO'!$A$2:$A$4919,$A1847)/$F1847,"")</f>
        <v/>
      </c>
      <c r="J1847" s="6">
        <f>IFERROR(SUMIFS('DETALLE CRONOLÓGICO'!$K$2:$K$4919,'DETALLE CRONOLÓGICO'!$A$2:$A$4919,$A1847)/$E1847,"")</f>
        <v/>
      </c>
      <c r="K1847" s="6">
        <f>_xlfn.MINIFS('DETALLE CRONOLÓGICO'!$K$2:$K$4919,'DETALLE CRONOLÓGICO'!$A$2:$A$4919,$A1847)</f>
        <v/>
      </c>
      <c r="L1847" s="6">
        <f>_xlfn.MAXIFS('DETALLE CRONOLÓGICO'!$K$2:$K$4919,'DETALLE CRONOLÓGICO'!$A$2:$A$4919,$A1847)</f>
        <v/>
      </c>
      <c r="M1847" s="6">
        <f>INDEX('DETALLE CRONOLÓGICO'!$K$2:$K$4919,MATCH($A1847,'DETALLE CRONOLÓGICO'!$A$2:$A$4919,0)+$E1847-1)</f>
        <v/>
      </c>
      <c r="N1847" s="7">
        <f>IFERROR($M1847/INDEX('DETALLE CRONOLÓGICO'!$K$2:$K$4919,MATCH($A1847,'DETALLE CRONOLÓGICO'!$A$2:$A$4919,0))-1,"")</f>
        <v/>
      </c>
      <c r="O1847" s="6">
        <f>IFERROR($I1847*3,"")</f>
        <v/>
      </c>
      <c r="P1847" s="6">
        <f>IFERROR($I1847*3.5,"")</f>
        <v/>
      </c>
      <c r="Q1847" s="6">
        <f>IFERROR($I1847*4,"")</f>
        <v/>
      </c>
      <c r="R1847" s="6" t="n">
        <v>1399</v>
      </c>
      <c r="S1847" s="4" t="n">
        <v>1</v>
      </c>
      <c r="T1847" s="1" t="inlineStr">
        <is>
          <t>active</t>
        </is>
      </c>
      <c r="U1847" s="8" t="n"/>
      <c r="V1847" s="1" t="inlineStr">
        <is>
          <t>SIN PRECIO</t>
        </is>
      </c>
    </row>
    <row r="1848">
      <c r="A1848" s="1" t="inlineStr">
        <is>
          <t>73626631067117</t>
        </is>
      </c>
      <c r="B1848" s="1" t="inlineStr">
        <is>
          <t>BOLSA DE MANO G GREEN</t>
        </is>
      </c>
      <c r="C1848" s="1" t="inlineStr">
        <is>
          <t>Default Title</t>
        </is>
      </c>
      <c r="D1848" s="1" t="inlineStr">
        <is>
          <t>ZOEY</t>
        </is>
      </c>
      <c r="E1848" s="4">
        <f>COUNTIF('DETALLE CRONOLÓGICO'!$A$2:$A$4919,$A1848)</f>
        <v/>
      </c>
      <c r="F1848" s="4">
        <f>SUMIFS('DETALLE CRONOLÓGICO'!$I$2:$I$4919,'DETALLE CRONOLÓGICO'!$A$2:$A$4919,$A1848)</f>
        <v/>
      </c>
      <c r="G1848" s="1">
        <f>INDEX('DETALLE CRONOLÓGICO'!$D$2:$D$4919,MATCH($A1848,'DETALLE CRONOLÓGICO'!$A$2:$A$4919,0))</f>
        <v/>
      </c>
      <c r="H1848" s="1">
        <f>INDEX('DETALLE CRONOLÓGICO'!$D$2:$D$4919,MATCH($A1848,'DETALLE CRONOLÓGICO'!$A$2:$A$4919,0)+$E1848-1)</f>
        <v/>
      </c>
      <c r="I1848" s="5">
        <f>IFERROR(SUMIFS('DETALLE CRONOLÓGICO'!$L$2:$L$4919,'DETALLE CRONOLÓGICO'!$A$2:$A$4919,$A1848)/$F1848,"")</f>
        <v/>
      </c>
      <c r="J1848" s="6">
        <f>IFERROR(SUMIFS('DETALLE CRONOLÓGICO'!$K$2:$K$4919,'DETALLE CRONOLÓGICO'!$A$2:$A$4919,$A1848)/$E1848,"")</f>
        <v/>
      </c>
      <c r="K1848" s="6">
        <f>_xlfn.MINIFS('DETALLE CRONOLÓGICO'!$K$2:$K$4919,'DETALLE CRONOLÓGICO'!$A$2:$A$4919,$A1848)</f>
        <v/>
      </c>
      <c r="L1848" s="6">
        <f>_xlfn.MAXIFS('DETALLE CRONOLÓGICO'!$K$2:$K$4919,'DETALLE CRONOLÓGICO'!$A$2:$A$4919,$A1848)</f>
        <v/>
      </c>
      <c r="M1848" s="6">
        <f>INDEX('DETALLE CRONOLÓGICO'!$K$2:$K$4919,MATCH($A1848,'DETALLE CRONOLÓGICO'!$A$2:$A$4919,0)+$E1848-1)</f>
        <v/>
      </c>
      <c r="N1848" s="7">
        <f>IFERROR($M1848/INDEX('DETALLE CRONOLÓGICO'!$K$2:$K$4919,MATCH($A1848,'DETALLE CRONOLÓGICO'!$A$2:$A$4919,0))-1,"")</f>
        <v/>
      </c>
      <c r="O1848" s="6">
        <f>IFERROR($I1848*3,"")</f>
        <v/>
      </c>
      <c r="P1848" s="6">
        <f>IFERROR($I1848*3.5,"")</f>
        <v/>
      </c>
      <c r="Q1848" s="6">
        <f>IFERROR($I1848*4,"")</f>
        <v/>
      </c>
      <c r="R1848" s="6" t="n">
        <v>3399</v>
      </c>
      <c r="S1848" s="4" t="n">
        <v>0</v>
      </c>
      <c r="T1848" s="1" t="inlineStr">
        <is>
          <t>active</t>
        </is>
      </c>
      <c r="U1848" s="8" t="n"/>
      <c r="V1848" s="1" t="inlineStr">
        <is>
          <t>SIN PRECIO</t>
        </is>
      </c>
    </row>
    <row r="1849">
      <c r="A1849" s="1" t="inlineStr">
        <is>
          <t>73794531662733</t>
        </is>
      </c>
      <c r="B1849" s="1" t="inlineStr">
        <is>
          <t>BOLSO CD MY TOP HANDLE</t>
        </is>
      </c>
      <c r="C1849" s="1" t="inlineStr">
        <is>
          <t>Default Title</t>
        </is>
      </c>
      <c r="D1849" s="1" t="inlineStr">
        <is>
          <t>ZOEY</t>
        </is>
      </c>
      <c r="E1849" s="4">
        <f>COUNTIF('DETALLE CRONOLÓGICO'!$A$2:$A$4919,$A1849)</f>
        <v/>
      </c>
      <c r="F1849" s="4">
        <f>SUMIFS('DETALLE CRONOLÓGICO'!$I$2:$I$4919,'DETALLE CRONOLÓGICO'!$A$2:$A$4919,$A1849)</f>
        <v/>
      </c>
      <c r="G1849" s="1">
        <f>INDEX('DETALLE CRONOLÓGICO'!$D$2:$D$4919,MATCH($A1849,'DETALLE CRONOLÓGICO'!$A$2:$A$4919,0))</f>
        <v/>
      </c>
      <c r="H1849" s="1">
        <f>INDEX('DETALLE CRONOLÓGICO'!$D$2:$D$4919,MATCH($A1849,'DETALLE CRONOLÓGICO'!$A$2:$A$4919,0)+$E1849-1)</f>
        <v/>
      </c>
      <c r="I1849" s="5">
        <f>IFERROR(SUMIFS('DETALLE CRONOLÓGICO'!$L$2:$L$4919,'DETALLE CRONOLÓGICO'!$A$2:$A$4919,$A1849)/$F1849,"")</f>
        <v/>
      </c>
      <c r="J1849" s="6">
        <f>IFERROR(SUMIFS('DETALLE CRONOLÓGICO'!$K$2:$K$4919,'DETALLE CRONOLÓGICO'!$A$2:$A$4919,$A1849)/$E1849,"")</f>
        <v/>
      </c>
      <c r="K1849" s="6">
        <f>_xlfn.MINIFS('DETALLE CRONOLÓGICO'!$K$2:$K$4919,'DETALLE CRONOLÓGICO'!$A$2:$A$4919,$A1849)</f>
        <v/>
      </c>
      <c r="L1849" s="6">
        <f>_xlfn.MAXIFS('DETALLE CRONOLÓGICO'!$K$2:$K$4919,'DETALLE CRONOLÓGICO'!$A$2:$A$4919,$A1849)</f>
        <v/>
      </c>
      <c r="M1849" s="6">
        <f>INDEX('DETALLE CRONOLÓGICO'!$K$2:$K$4919,MATCH($A1849,'DETALLE CRONOLÓGICO'!$A$2:$A$4919,0)+$E1849-1)</f>
        <v/>
      </c>
      <c r="N1849" s="7">
        <f>IFERROR($M1849/INDEX('DETALLE CRONOLÓGICO'!$K$2:$K$4919,MATCH($A1849,'DETALLE CRONOLÓGICO'!$A$2:$A$4919,0))-1,"")</f>
        <v/>
      </c>
      <c r="O1849" s="6">
        <f>IFERROR($I1849*3,"")</f>
        <v/>
      </c>
      <c r="P1849" s="6">
        <f>IFERROR($I1849*3.5,"")</f>
        <v/>
      </c>
      <c r="Q1849" s="6">
        <f>IFERROR($I1849*4,"")</f>
        <v/>
      </c>
      <c r="R1849" s="6" t="n">
        <v>5832</v>
      </c>
      <c r="S1849" s="4" t="n">
        <v>1</v>
      </c>
      <c r="T1849" s="1" t="inlineStr">
        <is>
          <t>active</t>
        </is>
      </c>
      <c r="U1849" s="8" t="n"/>
      <c r="V1849" s="1" t="inlineStr">
        <is>
          <t>SIN PRECIO</t>
        </is>
      </c>
    </row>
    <row r="1850">
      <c r="A1850" s="1" t="inlineStr">
        <is>
          <t>73812531045133</t>
        </is>
      </c>
      <c r="B1850" s="1" t="inlineStr">
        <is>
          <t>SUETER LV BLACK CON EFECTO DEGRADADO</t>
        </is>
      </c>
      <c r="C1850" s="1" t="inlineStr">
        <is>
          <t>Default Title</t>
        </is>
      </c>
      <c r="D1850" s="1" t="inlineStr">
        <is>
          <t>ZOEY</t>
        </is>
      </c>
      <c r="E1850" s="4">
        <f>COUNTIF('DETALLE CRONOLÓGICO'!$A$2:$A$4919,$A1850)</f>
        <v/>
      </c>
      <c r="F1850" s="4">
        <f>SUMIFS('DETALLE CRONOLÓGICO'!$I$2:$I$4919,'DETALLE CRONOLÓGICO'!$A$2:$A$4919,$A1850)</f>
        <v/>
      </c>
      <c r="G1850" s="1">
        <f>INDEX('DETALLE CRONOLÓGICO'!$D$2:$D$4919,MATCH($A1850,'DETALLE CRONOLÓGICO'!$A$2:$A$4919,0))</f>
        <v/>
      </c>
      <c r="H1850" s="1">
        <f>INDEX('DETALLE CRONOLÓGICO'!$D$2:$D$4919,MATCH($A1850,'DETALLE CRONOLÓGICO'!$A$2:$A$4919,0)+$E1850-1)</f>
        <v/>
      </c>
      <c r="I1850" s="5">
        <f>IFERROR(SUMIFS('DETALLE CRONOLÓGICO'!$L$2:$L$4919,'DETALLE CRONOLÓGICO'!$A$2:$A$4919,$A1850)/$F1850,"")</f>
        <v/>
      </c>
      <c r="J1850" s="6">
        <f>IFERROR(SUMIFS('DETALLE CRONOLÓGICO'!$K$2:$K$4919,'DETALLE CRONOLÓGICO'!$A$2:$A$4919,$A1850)/$E1850,"")</f>
        <v/>
      </c>
      <c r="K1850" s="6">
        <f>_xlfn.MINIFS('DETALLE CRONOLÓGICO'!$K$2:$K$4919,'DETALLE CRONOLÓGICO'!$A$2:$A$4919,$A1850)</f>
        <v/>
      </c>
      <c r="L1850" s="6">
        <f>_xlfn.MAXIFS('DETALLE CRONOLÓGICO'!$K$2:$K$4919,'DETALLE CRONOLÓGICO'!$A$2:$A$4919,$A1850)</f>
        <v/>
      </c>
      <c r="M1850" s="6">
        <f>INDEX('DETALLE CRONOLÓGICO'!$K$2:$K$4919,MATCH($A1850,'DETALLE CRONOLÓGICO'!$A$2:$A$4919,0)+$E1850-1)</f>
        <v/>
      </c>
      <c r="N1850" s="7">
        <f>IFERROR($M1850/INDEX('DETALLE CRONOLÓGICO'!$K$2:$K$4919,MATCH($A1850,'DETALLE CRONOLÓGICO'!$A$2:$A$4919,0))-1,"")</f>
        <v/>
      </c>
      <c r="O1850" s="6">
        <f>IFERROR($I1850*3,"")</f>
        <v/>
      </c>
      <c r="P1850" s="6">
        <f>IFERROR($I1850*3.5,"")</f>
        <v/>
      </c>
      <c r="Q1850" s="6">
        <f>IFERROR($I1850*4,"")</f>
        <v/>
      </c>
      <c r="R1850" s="6" t="n">
        <v>2898.67</v>
      </c>
      <c r="S1850" s="4" t="n">
        <v>0</v>
      </c>
      <c r="T1850" s="1" t="inlineStr">
        <is>
          <t>active</t>
        </is>
      </c>
      <c r="U1850" s="8" t="n"/>
      <c r="V1850" s="1" t="inlineStr">
        <is>
          <t>SIN PRECIO</t>
        </is>
      </c>
    </row>
    <row r="1851">
      <c r="A1851" s="1" t="inlineStr">
        <is>
          <t>74011331080589</t>
        </is>
      </c>
      <c r="B1851" s="1" t="inlineStr">
        <is>
          <t>ARETES MM GOLD</t>
        </is>
      </c>
      <c r="C1851" s="1" t="inlineStr">
        <is>
          <t>Default Title</t>
        </is>
      </c>
      <c r="D1851" s="1" t="inlineStr">
        <is>
          <t>HAIFENG</t>
        </is>
      </c>
      <c r="E1851" s="4">
        <f>COUNTIF('DETALLE CRONOLÓGICO'!$A$2:$A$4919,$A1851)</f>
        <v/>
      </c>
      <c r="F1851" s="4">
        <f>SUMIFS('DETALLE CRONOLÓGICO'!$I$2:$I$4919,'DETALLE CRONOLÓGICO'!$A$2:$A$4919,$A1851)</f>
        <v/>
      </c>
      <c r="G1851" s="1">
        <f>INDEX('DETALLE CRONOLÓGICO'!$D$2:$D$4919,MATCH($A1851,'DETALLE CRONOLÓGICO'!$A$2:$A$4919,0))</f>
        <v/>
      </c>
      <c r="H1851" s="1">
        <f>INDEX('DETALLE CRONOLÓGICO'!$D$2:$D$4919,MATCH($A1851,'DETALLE CRONOLÓGICO'!$A$2:$A$4919,0)+$E1851-1)</f>
        <v/>
      </c>
      <c r="I1851" s="5">
        <f>IFERROR(SUMIFS('DETALLE CRONOLÓGICO'!$L$2:$L$4919,'DETALLE CRONOLÓGICO'!$A$2:$A$4919,$A1851)/$F1851,"")</f>
        <v/>
      </c>
      <c r="J1851" s="6">
        <f>IFERROR(SUMIFS('DETALLE CRONOLÓGICO'!$K$2:$K$4919,'DETALLE CRONOLÓGICO'!$A$2:$A$4919,$A1851)/$E1851,"")</f>
        <v/>
      </c>
      <c r="K1851" s="6">
        <f>_xlfn.MINIFS('DETALLE CRONOLÓGICO'!$K$2:$K$4919,'DETALLE CRONOLÓGICO'!$A$2:$A$4919,$A1851)</f>
        <v/>
      </c>
      <c r="L1851" s="6">
        <f>_xlfn.MAXIFS('DETALLE CRONOLÓGICO'!$K$2:$K$4919,'DETALLE CRONOLÓGICO'!$A$2:$A$4919,$A1851)</f>
        <v/>
      </c>
      <c r="M1851" s="6">
        <f>INDEX('DETALLE CRONOLÓGICO'!$K$2:$K$4919,MATCH($A1851,'DETALLE CRONOLÓGICO'!$A$2:$A$4919,0)+$E1851-1)</f>
        <v/>
      </c>
      <c r="N1851" s="7">
        <f>IFERROR($M1851/INDEX('DETALLE CRONOLÓGICO'!$K$2:$K$4919,MATCH($A1851,'DETALLE CRONOLÓGICO'!$A$2:$A$4919,0))-1,"")</f>
        <v/>
      </c>
      <c r="O1851" s="6">
        <f>IFERROR($I1851*3,"")</f>
        <v/>
      </c>
      <c r="P1851" s="6">
        <f>IFERROR($I1851*3.5,"")</f>
        <v/>
      </c>
      <c r="Q1851" s="6">
        <f>IFERROR($I1851*4,"")</f>
        <v/>
      </c>
      <c r="R1851" s="6" t="n">
        <v>599</v>
      </c>
      <c r="S1851" s="4" t="n">
        <v>14</v>
      </c>
      <c r="T1851" s="1" t="inlineStr">
        <is>
          <t>active</t>
        </is>
      </c>
      <c r="U1851" s="8" t="n"/>
      <c r="V1851" s="1" t="inlineStr">
        <is>
          <t>SIN PRECIO</t>
        </is>
      </c>
    </row>
    <row r="1852">
      <c r="A1852" s="1" t="inlineStr">
        <is>
          <t>74289381073037</t>
        </is>
      </c>
      <c r="B1852" s="1" t="inlineStr">
        <is>
          <t>PULSERA LOVE UNLIMITED ROSEGOLD</t>
        </is>
      </c>
      <c r="C1852" s="1" t="inlineStr">
        <is>
          <t>17</t>
        </is>
      </c>
      <c r="D1852" s="1" t="inlineStr">
        <is>
          <t>HAIFENG</t>
        </is>
      </c>
      <c r="E1852" s="4">
        <f>COUNTIF('DETALLE CRONOLÓGICO'!$A$2:$A$4919,$A1852)</f>
        <v/>
      </c>
      <c r="F1852" s="4">
        <f>SUMIFS('DETALLE CRONOLÓGICO'!$I$2:$I$4919,'DETALLE CRONOLÓGICO'!$A$2:$A$4919,$A1852)</f>
        <v/>
      </c>
      <c r="G1852" s="1">
        <f>INDEX('DETALLE CRONOLÓGICO'!$D$2:$D$4919,MATCH($A1852,'DETALLE CRONOLÓGICO'!$A$2:$A$4919,0))</f>
        <v/>
      </c>
      <c r="H1852" s="1">
        <f>INDEX('DETALLE CRONOLÓGICO'!$D$2:$D$4919,MATCH($A1852,'DETALLE CRONOLÓGICO'!$A$2:$A$4919,0)+$E1852-1)</f>
        <v/>
      </c>
      <c r="I1852" s="5">
        <f>IFERROR(SUMIFS('DETALLE CRONOLÓGICO'!$L$2:$L$4919,'DETALLE CRONOLÓGICO'!$A$2:$A$4919,$A1852)/$F1852,"")</f>
        <v/>
      </c>
      <c r="J1852" s="6">
        <f>IFERROR(SUMIFS('DETALLE CRONOLÓGICO'!$K$2:$K$4919,'DETALLE CRONOLÓGICO'!$A$2:$A$4919,$A1852)/$E1852,"")</f>
        <v/>
      </c>
      <c r="K1852" s="6">
        <f>_xlfn.MINIFS('DETALLE CRONOLÓGICO'!$K$2:$K$4919,'DETALLE CRONOLÓGICO'!$A$2:$A$4919,$A1852)</f>
        <v/>
      </c>
      <c r="L1852" s="6">
        <f>_xlfn.MAXIFS('DETALLE CRONOLÓGICO'!$K$2:$K$4919,'DETALLE CRONOLÓGICO'!$A$2:$A$4919,$A1852)</f>
        <v/>
      </c>
      <c r="M1852" s="6">
        <f>INDEX('DETALLE CRONOLÓGICO'!$K$2:$K$4919,MATCH($A1852,'DETALLE CRONOLÓGICO'!$A$2:$A$4919,0)+$E1852-1)</f>
        <v/>
      </c>
      <c r="N1852" s="7">
        <f>IFERROR($M1852/INDEX('DETALLE CRONOLÓGICO'!$K$2:$K$4919,MATCH($A1852,'DETALLE CRONOLÓGICO'!$A$2:$A$4919,0))-1,"")</f>
        <v/>
      </c>
      <c r="O1852" s="6">
        <f>IFERROR($I1852*3,"")</f>
        <v/>
      </c>
      <c r="P1852" s="6">
        <f>IFERROR($I1852*3.5,"")</f>
        <v/>
      </c>
      <c r="Q1852" s="6">
        <f>IFERROR($I1852*4,"")</f>
        <v/>
      </c>
      <c r="R1852" s="6" t="n">
        <v>1399</v>
      </c>
      <c r="S1852" s="4" t="n">
        <v>6</v>
      </c>
      <c r="T1852" s="1" t="inlineStr">
        <is>
          <t>active</t>
        </is>
      </c>
      <c r="U1852" s="8" t="n"/>
      <c r="V1852" s="1" t="inlineStr">
        <is>
          <t>SIN PRECIO</t>
        </is>
      </c>
    </row>
    <row r="1853">
      <c r="A1853" s="1" t="inlineStr">
        <is>
          <t>74289381105805</t>
        </is>
      </c>
      <c r="B1853" s="1" t="inlineStr">
        <is>
          <t>PULSERA LOVE UNLIMITED ROSEGOLD</t>
        </is>
      </c>
      <c r="C1853" s="1" t="inlineStr">
        <is>
          <t>19</t>
        </is>
      </c>
      <c r="D1853" s="1" t="inlineStr">
        <is>
          <t>HAIFENG</t>
        </is>
      </c>
      <c r="E1853" s="4">
        <f>COUNTIF('DETALLE CRONOLÓGICO'!$A$2:$A$4919,$A1853)</f>
        <v/>
      </c>
      <c r="F1853" s="4">
        <f>SUMIFS('DETALLE CRONOLÓGICO'!$I$2:$I$4919,'DETALLE CRONOLÓGICO'!$A$2:$A$4919,$A1853)</f>
        <v/>
      </c>
      <c r="G1853" s="1">
        <f>INDEX('DETALLE CRONOLÓGICO'!$D$2:$D$4919,MATCH($A1853,'DETALLE CRONOLÓGICO'!$A$2:$A$4919,0))</f>
        <v/>
      </c>
      <c r="H1853" s="1">
        <f>INDEX('DETALLE CRONOLÓGICO'!$D$2:$D$4919,MATCH($A1853,'DETALLE CRONOLÓGICO'!$A$2:$A$4919,0)+$E1853-1)</f>
        <v/>
      </c>
      <c r="I1853" s="5">
        <f>IFERROR(SUMIFS('DETALLE CRONOLÓGICO'!$L$2:$L$4919,'DETALLE CRONOLÓGICO'!$A$2:$A$4919,$A1853)/$F1853,"")</f>
        <v/>
      </c>
      <c r="J1853" s="6">
        <f>IFERROR(SUMIFS('DETALLE CRONOLÓGICO'!$K$2:$K$4919,'DETALLE CRONOLÓGICO'!$A$2:$A$4919,$A1853)/$E1853,"")</f>
        <v/>
      </c>
      <c r="K1853" s="6">
        <f>_xlfn.MINIFS('DETALLE CRONOLÓGICO'!$K$2:$K$4919,'DETALLE CRONOLÓGICO'!$A$2:$A$4919,$A1853)</f>
        <v/>
      </c>
      <c r="L1853" s="6">
        <f>_xlfn.MAXIFS('DETALLE CRONOLÓGICO'!$K$2:$K$4919,'DETALLE CRONOLÓGICO'!$A$2:$A$4919,$A1853)</f>
        <v/>
      </c>
      <c r="M1853" s="6">
        <f>INDEX('DETALLE CRONOLÓGICO'!$K$2:$K$4919,MATCH($A1853,'DETALLE CRONOLÓGICO'!$A$2:$A$4919,0)+$E1853-1)</f>
        <v/>
      </c>
      <c r="N1853" s="7">
        <f>IFERROR($M1853/INDEX('DETALLE CRONOLÓGICO'!$K$2:$K$4919,MATCH($A1853,'DETALLE CRONOLÓGICO'!$A$2:$A$4919,0))-1,"")</f>
        <v/>
      </c>
      <c r="O1853" s="6">
        <f>IFERROR($I1853*3,"")</f>
        <v/>
      </c>
      <c r="P1853" s="6">
        <f>IFERROR($I1853*3.5,"")</f>
        <v/>
      </c>
      <c r="Q1853" s="6">
        <f>IFERROR($I1853*4,"")</f>
        <v/>
      </c>
      <c r="R1853" s="6" t="n">
        <v>1399</v>
      </c>
      <c r="S1853" s="4" t="n">
        <v>5</v>
      </c>
      <c r="T1853" s="1" t="inlineStr">
        <is>
          <t>active</t>
        </is>
      </c>
      <c r="U1853" s="8" t="n"/>
      <c r="V1853" s="1" t="inlineStr">
        <is>
          <t>SIN PRECIO</t>
        </is>
      </c>
    </row>
    <row r="1854">
      <c r="A1854" s="1" t="inlineStr">
        <is>
          <t>74289381238573</t>
        </is>
      </c>
      <c r="B1854" s="1" t="inlineStr">
        <is>
          <t>PULSERA LOVE UNLIMITED ROSEGOLD</t>
        </is>
      </c>
      <c r="C1854" s="1" t="inlineStr">
        <is>
          <t>21</t>
        </is>
      </c>
      <c r="D1854" s="1" t="inlineStr">
        <is>
          <t>HAIFENG</t>
        </is>
      </c>
      <c r="E1854" s="4">
        <f>COUNTIF('DETALLE CRONOLÓGICO'!$A$2:$A$4919,$A1854)</f>
        <v/>
      </c>
      <c r="F1854" s="4">
        <f>SUMIFS('DETALLE CRONOLÓGICO'!$I$2:$I$4919,'DETALLE CRONOLÓGICO'!$A$2:$A$4919,$A1854)</f>
        <v/>
      </c>
      <c r="G1854" s="1">
        <f>INDEX('DETALLE CRONOLÓGICO'!$D$2:$D$4919,MATCH($A1854,'DETALLE CRONOLÓGICO'!$A$2:$A$4919,0))</f>
        <v/>
      </c>
      <c r="H1854" s="1">
        <f>INDEX('DETALLE CRONOLÓGICO'!$D$2:$D$4919,MATCH($A1854,'DETALLE CRONOLÓGICO'!$A$2:$A$4919,0)+$E1854-1)</f>
        <v/>
      </c>
      <c r="I1854" s="5">
        <f>IFERROR(SUMIFS('DETALLE CRONOLÓGICO'!$L$2:$L$4919,'DETALLE CRONOLÓGICO'!$A$2:$A$4919,$A1854)/$F1854,"")</f>
        <v/>
      </c>
      <c r="J1854" s="6">
        <f>IFERROR(SUMIFS('DETALLE CRONOLÓGICO'!$K$2:$K$4919,'DETALLE CRONOLÓGICO'!$A$2:$A$4919,$A1854)/$E1854,"")</f>
        <v/>
      </c>
      <c r="K1854" s="6">
        <f>_xlfn.MINIFS('DETALLE CRONOLÓGICO'!$K$2:$K$4919,'DETALLE CRONOLÓGICO'!$A$2:$A$4919,$A1854)</f>
        <v/>
      </c>
      <c r="L1854" s="6">
        <f>_xlfn.MAXIFS('DETALLE CRONOLÓGICO'!$K$2:$K$4919,'DETALLE CRONOLÓGICO'!$A$2:$A$4919,$A1854)</f>
        <v/>
      </c>
      <c r="M1854" s="6">
        <f>INDEX('DETALLE CRONOLÓGICO'!$K$2:$K$4919,MATCH($A1854,'DETALLE CRONOLÓGICO'!$A$2:$A$4919,0)+$E1854-1)</f>
        <v/>
      </c>
      <c r="N1854" s="7">
        <f>IFERROR($M1854/INDEX('DETALLE CRONOLÓGICO'!$K$2:$K$4919,MATCH($A1854,'DETALLE CRONOLÓGICO'!$A$2:$A$4919,0))-1,"")</f>
        <v/>
      </c>
      <c r="O1854" s="6">
        <f>IFERROR($I1854*3,"")</f>
        <v/>
      </c>
      <c r="P1854" s="6">
        <f>IFERROR($I1854*3.5,"")</f>
        <v/>
      </c>
      <c r="Q1854" s="6">
        <f>IFERROR($I1854*4,"")</f>
        <v/>
      </c>
      <c r="R1854" s="6" t="n">
        <v>1399</v>
      </c>
      <c r="S1854" s="4" t="n">
        <v>1</v>
      </c>
      <c r="T1854" s="1" t="inlineStr">
        <is>
          <t>active</t>
        </is>
      </c>
      <c r="U1854" s="8" t="n"/>
      <c r="V1854" s="1" t="inlineStr">
        <is>
          <t>SIN PRECIO</t>
        </is>
      </c>
    </row>
    <row r="1855">
      <c r="A1855" s="1" t="inlineStr">
        <is>
          <t>75012331065165</t>
        </is>
      </c>
      <c r="B1855" s="1" t="inlineStr">
        <is>
          <t>PULSERA SIGNATURE ROSEGOLD VF</t>
        </is>
      </c>
      <c r="C1855" s="1" t="inlineStr">
        <is>
          <t>16CM</t>
        </is>
      </c>
      <c r="D1855" s="1" t="inlineStr">
        <is>
          <t>HAIFENG</t>
        </is>
      </c>
      <c r="E1855" s="4">
        <f>COUNTIF('DETALLE CRONOLÓGICO'!$A$2:$A$4919,$A1855)</f>
        <v/>
      </c>
      <c r="F1855" s="4">
        <f>SUMIFS('DETALLE CRONOLÓGICO'!$I$2:$I$4919,'DETALLE CRONOLÓGICO'!$A$2:$A$4919,$A1855)</f>
        <v/>
      </c>
      <c r="G1855" s="1">
        <f>INDEX('DETALLE CRONOLÓGICO'!$D$2:$D$4919,MATCH($A1855,'DETALLE CRONOLÓGICO'!$A$2:$A$4919,0))</f>
        <v/>
      </c>
      <c r="H1855" s="1">
        <f>INDEX('DETALLE CRONOLÓGICO'!$D$2:$D$4919,MATCH($A1855,'DETALLE CRONOLÓGICO'!$A$2:$A$4919,0)+$E1855-1)</f>
        <v/>
      </c>
      <c r="I1855" s="5">
        <f>IFERROR(SUMIFS('DETALLE CRONOLÓGICO'!$L$2:$L$4919,'DETALLE CRONOLÓGICO'!$A$2:$A$4919,$A1855)/$F1855,"")</f>
        <v/>
      </c>
      <c r="J1855" s="6">
        <f>IFERROR(SUMIFS('DETALLE CRONOLÓGICO'!$K$2:$K$4919,'DETALLE CRONOLÓGICO'!$A$2:$A$4919,$A1855)/$E1855,"")</f>
        <v/>
      </c>
      <c r="K1855" s="6">
        <f>_xlfn.MINIFS('DETALLE CRONOLÓGICO'!$K$2:$K$4919,'DETALLE CRONOLÓGICO'!$A$2:$A$4919,$A1855)</f>
        <v/>
      </c>
      <c r="L1855" s="6">
        <f>_xlfn.MAXIFS('DETALLE CRONOLÓGICO'!$K$2:$K$4919,'DETALLE CRONOLÓGICO'!$A$2:$A$4919,$A1855)</f>
        <v/>
      </c>
      <c r="M1855" s="6">
        <f>INDEX('DETALLE CRONOLÓGICO'!$K$2:$K$4919,MATCH($A1855,'DETALLE CRONOLÓGICO'!$A$2:$A$4919,0)+$E1855-1)</f>
        <v/>
      </c>
      <c r="N1855" s="7">
        <f>IFERROR($M1855/INDEX('DETALLE CRONOLÓGICO'!$K$2:$K$4919,MATCH($A1855,'DETALLE CRONOLÓGICO'!$A$2:$A$4919,0))-1,"")</f>
        <v/>
      </c>
      <c r="O1855" s="6">
        <f>IFERROR($I1855*3,"")</f>
        <v/>
      </c>
      <c r="P1855" s="6">
        <f>IFERROR($I1855*3.5,"")</f>
        <v/>
      </c>
      <c r="Q1855" s="6">
        <f>IFERROR($I1855*4,"")</f>
        <v/>
      </c>
      <c r="R1855" s="6" t="n">
        <v>999</v>
      </c>
      <c r="S1855" s="4" t="n">
        <v>4</v>
      </c>
      <c r="T1855" s="1" t="inlineStr">
        <is>
          <t>active</t>
        </is>
      </c>
      <c r="U1855" s="8" t="n"/>
      <c r="V1855" s="1" t="inlineStr">
        <is>
          <t>SIN PRECIO</t>
        </is>
      </c>
    </row>
    <row r="1856">
      <c r="A1856" s="1" t="inlineStr">
        <is>
          <t>75249151006253</t>
        </is>
      </c>
      <c r="B1856" s="1" t="inlineStr">
        <is>
          <t>ARETES BV ZERO 1 GOLD CON ZIRCONIA</t>
        </is>
      </c>
      <c r="C1856" s="1" t="inlineStr">
        <is>
          <t>Default Title</t>
        </is>
      </c>
      <c r="D1856" s="1" t="inlineStr">
        <is>
          <t>ZOEY</t>
        </is>
      </c>
      <c r="E1856" s="4">
        <f>COUNTIF('DETALLE CRONOLÓGICO'!$A$2:$A$4919,$A1856)</f>
        <v/>
      </c>
      <c r="F1856" s="4">
        <f>SUMIFS('DETALLE CRONOLÓGICO'!$I$2:$I$4919,'DETALLE CRONOLÓGICO'!$A$2:$A$4919,$A1856)</f>
        <v/>
      </c>
      <c r="G1856" s="1">
        <f>INDEX('DETALLE CRONOLÓGICO'!$D$2:$D$4919,MATCH($A1856,'DETALLE CRONOLÓGICO'!$A$2:$A$4919,0))</f>
        <v/>
      </c>
      <c r="H1856" s="1">
        <f>INDEX('DETALLE CRONOLÓGICO'!$D$2:$D$4919,MATCH($A1856,'DETALLE CRONOLÓGICO'!$A$2:$A$4919,0)+$E1856-1)</f>
        <v/>
      </c>
      <c r="I1856" s="5">
        <f>IFERROR(SUMIFS('DETALLE CRONOLÓGICO'!$L$2:$L$4919,'DETALLE CRONOLÓGICO'!$A$2:$A$4919,$A1856)/$F1856,"")</f>
        <v/>
      </c>
      <c r="J1856" s="6">
        <f>IFERROR(SUMIFS('DETALLE CRONOLÓGICO'!$K$2:$K$4919,'DETALLE CRONOLÓGICO'!$A$2:$A$4919,$A1856)/$E1856,"")</f>
        <v/>
      </c>
      <c r="K1856" s="6">
        <f>_xlfn.MINIFS('DETALLE CRONOLÓGICO'!$K$2:$K$4919,'DETALLE CRONOLÓGICO'!$A$2:$A$4919,$A1856)</f>
        <v/>
      </c>
      <c r="L1856" s="6">
        <f>_xlfn.MAXIFS('DETALLE CRONOLÓGICO'!$K$2:$K$4919,'DETALLE CRONOLÓGICO'!$A$2:$A$4919,$A1856)</f>
        <v/>
      </c>
      <c r="M1856" s="6">
        <f>INDEX('DETALLE CRONOLÓGICO'!$K$2:$K$4919,MATCH($A1856,'DETALLE CRONOLÓGICO'!$A$2:$A$4919,0)+$E1856-1)</f>
        <v/>
      </c>
      <c r="N1856" s="7">
        <f>IFERROR($M1856/INDEX('DETALLE CRONOLÓGICO'!$K$2:$K$4919,MATCH($A1856,'DETALLE CRONOLÓGICO'!$A$2:$A$4919,0))-1,"")</f>
        <v/>
      </c>
      <c r="O1856" s="6">
        <f>IFERROR($I1856*3,"")</f>
        <v/>
      </c>
      <c r="P1856" s="6">
        <f>IFERROR($I1856*3.5,"")</f>
        <v/>
      </c>
      <c r="Q1856" s="6">
        <f>IFERROR($I1856*4,"")</f>
        <v/>
      </c>
      <c r="R1856" s="6" t="n">
        <v>745</v>
      </c>
      <c r="S1856" s="4" t="n">
        <v>1</v>
      </c>
      <c r="T1856" s="1" t="inlineStr">
        <is>
          <t>active</t>
        </is>
      </c>
      <c r="U1856" s="8" t="n"/>
      <c r="V1856" s="1" t="inlineStr">
        <is>
          <t>SIN PRECIO</t>
        </is>
      </c>
    </row>
    <row r="1857">
      <c r="A1857" s="1" t="inlineStr">
        <is>
          <t>75330961067949</t>
        </is>
      </c>
      <c r="B1857" s="1" t="inlineStr">
        <is>
          <t>PULSERA DOS VUELTAS SERPENTI ROSEGOLD CON ZIRCONIA</t>
        </is>
      </c>
      <c r="C1857" s="1" t="inlineStr">
        <is>
          <t>Default Title</t>
        </is>
      </c>
      <c r="D1857" s="1" t="inlineStr">
        <is>
          <t>HAIFENG</t>
        </is>
      </c>
      <c r="E1857" s="4">
        <f>COUNTIF('DETALLE CRONOLÓGICO'!$A$2:$A$4919,$A1857)</f>
        <v/>
      </c>
      <c r="F1857" s="4">
        <f>SUMIFS('DETALLE CRONOLÓGICO'!$I$2:$I$4919,'DETALLE CRONOLÓGICO'!$A$2:$A$4919,$A1857)</f>
        <v/>
      </c>
      <c r="G1857" s="1">
        <f>INDEX('DETALLE CRONOLÓGICO'!$D$2:$D$4919,MATCH($A1857,'DETALLE CRONOLÓGICO'!$A$2:$A$4919,0))</f>
        <v/>
      </c>
      <c r="H1857" s="1">
        <f>INDEX('DETALLE CRONOLÓGICO'!$D$2:$D$4919,MATCH($A1857,'DETALLE CRONOLÓGICO'!$A$2:$A$4919,0)+$E1857-1)</f>
        <v/>
      </c>
      <c r="I1857" s="5">
        <f>IFERROR(SUMIFS('DETALLE CRONOLÓGICO'!$L$2:$L$4919,'DETALLE CRONOLÓGICO'!$A$2:$A$4919,$A1857)/$F1857,"")</f>
        <v/>
      </c>
      <c r="J1857" s="6">
        <f>IFERROR(SUMIFS('DETALLE CRONOLÓGICO'!$K$2:$K$4919,'DETALLE CRONOLÓGICO'!$A$2:$A$4919,$A1857)/$E1857,"")</f>
        <v/>
      </c>
      <c r="K1857" s="6">
        <f>_xlfn.MINIFS('DETALLE CRONOLÓGICO'!$K$2:$K$4919,'DETALLE CRONOLÓGICO'!$A$2:$A$4919,$A1857)</f>
        <v/>
      </c>
      <c r="L1857" s="6">
        <f>_xlfn.MAXIFS('DETALLE CRONOLÓGICO'!$K$2:$K$4919,'DETALLE CRONOLÓGICO'!$A$2:$A$4919,$A1857)</f>
        <v/>
      </c>
      <c r="M1857" s="6">
        <f>INDEX('DETALLE CRONOLÓGICO'!$K$2:$K$4919,MATCH($A1857,'DETALLE CRONOLÓGICO'!$A$2:$A$4919,0)+$E1857-1)</f>
        <v/>
      </c>
      <c r="N1857" s="7">
        <f>IFERROR($M1857/INDEX('DETALLE CRONOLÓGICO'!$K$2:$K$4919,MATCH($A1857,'DETALLE CRONOLÓGICO'!$A$2:$A$4919,0))-1,"")</f>
        <v/>
      </c>
      <c r="O1857" s="6">
        <f>IFERROR($I1857*3,"")</f>
        <v/>
      </c>
      <c r="P1857" s="6">
        <f>IFERROR($I1857*3.5,"")</f>
        <v/>
      </c>
      <c r="Q1857" s="6">
        <f>IFERROR($I1857*4,"")</f>
        <v/>
      </c>
      <c r="R1857" s="6" t="n">
        <v>2099</v>
      </c>
      <c r="S1857" s="4" t="n">
        <v>2</v>
      </c>
      <c r="T1857" s="1" t="inlineStr">
        <is>
          <t>active</t>
        </is>
      </c>
      <c r="U1857" s="8" t="n"/>
      <c r="V1857" s="1" t="inlineStr">
        <is>
          <t>SIN PRECIO</t>
        </is>
      </c>
    </row>
    <row r="1858">
      <c r="A1858" s="1" t="inlineStr">
        <is>
          <t>75333231061005</t>
        </is>
      </c>
      <c r="B1858" s="1" t="inlineStr">
        <is>
          <t>TARJETERO YSL BURGUNDY</t>
        </is>
      </c>
      <c r="C1858" s="1" t="inlineStr">
        <is>
          <t>Default Title</t>
        </is>
      </c>
      <c r="D1858" s="1" t="inlineStr">
        <is>
          <t>CYNTHIA</t>
        </is>
      </c>
      <c r="E1858" s="4">
        <f>COUNTIF('DETALLE CRONOLÓGICO'!$A$2:$A$4919,$A1858)</f>
        <v/>
      </c>
      <c r="F1858" s="4">
        <f>SUMIFS('DETALLE CRONOLÓGICO'!$I$2:$I$4919,'DETALLE CRONOLÓGICO'!$A$2:$A$4919,$A1858)</f>
        <v/>
      </c>
      <c r="G1858" s="1">
        <f>INDEX('DETALLE CRONOLÓGICO'!$D$2:$D$4919,MATCH($A1858,'DETALLE CRONOLÓGICO'!$A$2:$A$4919,0))</f>
        <v/>
      </c>
      <c r="H1858" s="1">
        <f>INDEX('DETALLE CRONOLÓGICO'!$D$2:$D$4919,MATCH($A1858,'DETALLE CRONOLÓGICO'!$A$2:$A$4919,0)+$E1858-1)</f>
        <v/>
      </c>
      <c r="I1858" s="5">
        <f>IFERROR(SUMIFS('DETALLE CRONOLÓGICO'!$L$2:$L$4919,'DETALLE CRONOLÓGICO'!$A$2:$A$4919,$A1858)/$F1858,"")</f>
        <v/>
      </c>
      <c r="J1858" s="6">
        <f>IFERROR(SUMIFS('DETALLE CRONOLÓGICO'!$K$2:$K$4919,'DETALLE CRONOLÓGICO'!$A$2:$A$4919,$A1858)/$E1858,"")</f>
        <v/>
      </c>
      <c r="K1858" s="6">
        <f>_xlfn.MINIFS('DETALLE CRONOLÓGICO'!$K$2:$K$4919,'DETALLE CRONOLÓGICO'!$A$2:$A$4919,$A1858)</f>
        <v/>
      </c>
      <c r="L1858" s="6">
        <f>_xlfn.MAXIFS('DETALLE CRONOLÓGICO'!$K$2:$K$4919,'DETALLE CRONOLÓGICO'!$A$2:$A$4919,$A1858)</f>
        <v/>
      </c>
      <c r="M1858" s="6">
        <f>INDEX('DETALLE CRONOLÓGICO'!$K$2:$K$4919,MATCH($A1858,'DETALLE CRONOLÓGICO'!$A$2:$A$4919,0)+$E1858-1)</f>
        <v/>
      </c>
      <c r="N1858" s="7">
        <f>IFERROR($M1858/INDEX('DETALLE CRONOLÓGICO'!$K$2:$K$4919,MATCH($A1858,'DETALLE CRONOLÓGICO'!$A$2:$A$4919,0))-1,"")</f>
        <v/>
      </c>
      <c r="O1858" s="6">
        <f>IFERROR($I1858*3,"")</f>
        <v/>
      </c>
      <c r="P1858" s="6">
        <f>IFERROR($I1858*3.5,"")</f>
        <v/>
      </c>
      <c r="Q1858" s="6">
        <f>IFERROR($I1858*4,"")</f>
        <v/>
      </c>
      <c r="R1858" s="6" t="n">
        <v>2150</v>
      </c>
      <c r="S1858" s="4" t="n">
        <v>0</v>
      </c>
      <c r="T1858" s="1" t="inlineStr">
        <is>
          <t>active</t>
        </is>
      </c>
      <c r="U1858" s="8" t="n"/>
      <c r="V1858" s="1" t="inlineStr">
        <is>
          <t>SIN PRECIO</t>
        </is>
      </c>
    </row>
    <row r="1859">
      <c r="A1859" s="1" t="inlineStr">
        <is>
          <t>76195311060109</t>
        </is>
      </c>
      <c r="B1859" s="1" t="inlineStr">
        <is>
          <t>PULSERA T KNOT DELGADA GOLD ZIRCONIAS</t>
        </is>
      </c>
      <c r="C1859" s="1" t="inlineStr">
        <is>
          <t>Default Title</t>
        </is>
      </c>
      <c r="D1859" s="1" t="inlineStr">
        <is>
          <t>NANCY</t>
        </is>
      </c>
      <c r="E1859" s="4">
        <f>COUNTIF('DETALLE CRONOLÓGICO'!$A$2:$A$4919,$A1859)</f>
        <v/>
      </c>
      <c r="F1859" s="4">
        <f>SUMIFS('DETALLE CRONOLÓGICO'!$I$2:$I$4919,'DETALLE CRONOLÓGICO'!$A$2:$A$4919,$A1859)</f>
        <v/>
      </c>
      <c r="G1859" s="1">
        <f>INDEX('DETALLE CRONOLÓGICO'!$D$2:$D$4919,MATCH($A1859,'DETALLE CRONOLÓGICO'!$A$2:$A$4919,0))</f>
        <v/>
      </c>
      <c r="H1859" s="1">
        <f>INDEX('DETALLE CRONOLÓGICO'!$D$2:$D$4919,MATCH($A1859,'DETALLE CRONOLÓGICO'!$A$2:$A$4919,0)+$E1859-1)</f>
        <v/>
      </c>
      <c r="I1859" s="5">
        <f>IFERROR(SUMIFS('DETALLE CRONOLÓGICO'!$L$2:$L$4919,'DETALLE CRONOLÓGICO'!$A$2:$A$4919,$A1859)/$F1859,"")</f>
        <v/>
      </c>
      <c r="J1859" s="6">
        <f>IFERROR(SUMIFS('DETALLE CRONOLÓGICO'!$K$2:$K$4919,'DETALLE CRONOLÓGICO'!$A$2:$A$4919,$A1859)/$E1859,"")</f>
        <v/>
      </c>
      <c r="K1859" s="6">
        <f>_xlfn.MINIFS('DETALLE CRONOLÓGICO'!$K$2:$K$4919,'DETALLE CRONOLÓGICO'!$A$2:$A$4919,$A1859)</f>
        <v/>
      </c>
      <c r="L1859" s="6">
        <f>_xlfn.MAXIFS('DETALLE CRONOLÓGICO'!$K$2:$K$4919,'DETALLE CRONOLÓGICO'!$A$2:$A$4919,$A1859)</f>
        <v/>
      </c>
      <c r="M1859" s="6">
        <f>INDEX('DETALLE CRONOLÓGICO'!$K$2:$K$4919,MATCH($A1859,'DETALLE CRONOLÓGICO'!$A$2:$A$4919,0)+$E1859-1)</f>
        <v/>
      </c>
      <c r="N1859" s="7">
        <f>IFERROR($M1859/INDEX('DETALLE CRONOLÓGICO'!$K$2:$K$4919,MATCH($A1859,'DETALLE CRONOLÓGICO'!$A$2:$A$4919,0))-1,"")</f>
        <v/>
      </c>
      <c r="O1859" s="6">
        <f>IFERROR($I1859*3,"")</f>
        <v/>
      </c>
      <c r="P1859" s="6">
        <f>IFERROR($I1859*3.5,"")</f>
        <v/>
      </c>
      <c r="Q1859" s="6">
        <f>IFERROR($I1859*4,"")</f>
        <v/>
      </c>
      <c r="R1859" s="6" t="n">
        <v>0</v>
      </c>
      <c r="S1859" s="4" t="n">
        <v>2</v>
      </c>
      <c r="T1859" s="1" t="inlineStr">
        <is>
          <t>draft</t>
        </is>
      </c>
      <c r="U1859" s="8" t="n"/>
      <c r="V1859" s="1" t="inlineStr">
        <is>
          <t>SIN PRECIO</t>
        </is>
      </c>
    </row>
    <row r="1860">
      <c r="A1860" s="1" t="inlineStr">
        <is>
          <t>76195311162349</t>
        </is>
      </c>
      <c r="B1860" s="1" t="inlineStr">
        <is>
          <t>PULSERA T KNOT DELGADA ROSEGOLD ZIRCONIAS</t>
        </is>
      </c>
      <c r="C1860" s="1" t="inlineStr">
        <is>
          <t>Default Title</t>
        </is>
      </c>
      <c r="D1860" s="1" t="inlineStr">
        <is>
          <t>NANCY</t>
        </is>
      </c>
      <c r="E1860" s="4">
        <f>COUNTIF('DETALLE CRONOLÓGICO'!$A$2:$A$4919,$A1860)</f>
        <v/>
      </c>
      <c r="F1860" s="4">
        <f>SUMIFS('DETALLE CRONOLÓGICO'!$I$2:$I$4919,'DETALLE CRONOLÓGICO'!$A$2:$A$4919,$A1860)</f>
        <v/>
      </c>
      <c r="G1860" s="1">
        <f>INDEX('DETALLE CRONOLÓGICO'!$D$2:$D$4919,MATCH($A1860,'DETALLE CRONOLÓGICO'!$A$2:$A$4919,0))</f>
        <v/>
      </c>
      <c r="H1860" s="1">
        <f>INDEX('DETALLE CRONOLÓGICO'!$D$2:$D$4919,MATCH($A1860,'DETALLE CRONOLÓGICO'!$A$2:$A$4919,0)+$E1860-1)</f>
        <v/>
      </c>
      <c r="I1860" s="5">
        <f>IFERROR(SUMIFS('DETALLE CRONOLÓGICO'!$L$2:$L$4919,'DETALLE CRONOLÓGICO'!$A$2:$A$4919,$A1860)/$F1860,"")</f>
        <v/>
      </c>
      <c r="J1860" s="6">
        <f>IFERROR(SUMIFS('DETALLE CRONOLÓGICO'!$K$2:$K$4919,'DETALLE CRONOLÓGICO'!$A$2:$A$4919,$A1860)/$E1860,"")</f>
        <v/>
      </c>
      <c r="K1860" s="6">
        <f>_xlfn.MINIFS('DETALLE CRONOLÓGICO'!$K$2:$K$4919,'DETALLE CRONOLÓGICO'!$A$2:$A$4919,$A1860)</f>
        <v/>
      </c>
      <c r="L1860" s="6">
        <f>_xlfn.MAXIFS('DETALLE CRONOLÓGICO'!$K$2:$K$4919,'DETALLE CRONOLÓGICO'!$A$2:$A$4919,$A1860)</f>
        <v/>
      </c>
      <c r="M1860" s="6">
        <f>INDEX('DETALLE CRONOLÓGICO'!$K$2:$K$4919,MATCH($A1860,'DETALLE CRONOLÓGICO'!$A$2:$A$4919,0)+$E1860-1)</f>
        <v/>
      </c>
      <c r="N1860" s="7">
        <f>IFERROR($M1860/INDEX('DETALLE CRONOLÓGICO'!$K$2:$K$4919,MATCH($A1860,'DETALLE CRONOLÓGICO'!$A$2:$A$4919,0))-1,"")</f>
        <v/>
      </c>
      <c r="O1860" s="6">
        <f>IFERROR($I1860*3,"")</f>
        <v/>
      </c>
      <c r="P1860" s="6">
        <f>IFERROR($I1860*3.5,"")</f>
        <v/>
      </c>
      <c r="Q1860" s="6">
        <f>IFERROR($I1860*4,"")</f>
        <v/>
      </c>
      <c r="R1860" s="6" t="n">
        <v>0</v>
      </c>
      <c r="S1860" s="4" t="n">
        <v>2</v>
      </c>
      <c r="T1860" s="1" t="inlineStr">
        <is>
          <t>draft</t>
        </is>
      </c>
      <c r="U1860" s="8" t="n"/>
      <c r="V1860" s="1" t="inlineStr">
        <is>
          <t>SIN PRECIO</t>
        </is>
      </c>
    </row>
    <row r="1861">
      <c r="A1861" s="1" t="inlineStr">
        <is>
          <t>76327071018669</t>
        </is>
      </c>
      <c r="B1861" s="1" t="inlineStr">
        <is>
          <t>ARRACADAS SERPENTI VIPPER GOLD CON ZIRCONIA</t>
        </is>
      </c>
      <c r="C1861" s="1" t="inlineStr">
        <is>
          <t>Default Title</t>
        </is>
      </c>
      <c r="D1861" s="1" t="inlineStr">
        <is>
          <t>ZOEY</t>
        </is>
      </c>
      <c r="E1861" s="4">
        <f>COUNTIF('DETALLE CRONOLÓGICO'!$A$2:$A$4919,$A1861)</f>
        <v/>
      </c>
      <c r="F1861" s="4">
        <f>SUMIFS('DETALLE CRONOLÓGICO'!$I$2:$I$4919,'DETALLE CRONOLÓGICO'!$A$2:$A$4919,$A1861)</f>
        <v/>
      </c>
      <c r="G1861" s="1">
        <f>INDEX('DETALLE CRONOLÓGICO'!$D$2:$D$4919,MATCH($A1861,'DETALLE CRONOLÓGICO'!$A$2:$A$4919,0))</f>
        <v/>
      </c>
      <c r="H1861" s="1">
        <f>INDEX('DETALLE CRONOLÓGICO'!$D$2:$D$4919,MATCH($A1861,'DETALLE CRONOLÓGICO'!$A$2:$A$4919,0)+$E1861-1)</f>
        <v/>
      </c>
      <c r="I1861" s="5">
        <f>IFERROR(SUMIFS('DETALLE CRONOLÓGICO'!$L$2:$L$4919,'DETALLE CRONOLÓGICO'!$A$2:$A$4919,$A1861)/$F1861,"")</f>
        <v/>
      </c>
      <c r="J1861" s="6">
        <f>IFERROR(SUMIFS('DETALLE CRONOLÓGICO'!$K$2:$K$4919,'DETALLE CRONOLÓGICO'!$A$2:$A$4919,$A1861)/$E1861,"")</f>
        <v/>
      </c>
      <c r="K1861" s="6">
        <f>_xlfn.MINIFS('DETALLE CRONOLÓGICO'!$K$2:$K$4919,'DETALLE CRONOLÓGICO'!$A$2:$A$4919,$A1861)</f>
        <v/>
      </c>
      <c r="L1861" s="6">
        <f>_xlfn.MAXIFS('DETALLE CRONOLÓGICO'!$K$2:$K$4919,'DETALLE CRONOLÓGICO'!$A$2:$A$4919,$A1861)</f>
        <v/>
      </c>
      <c r="M1861" s="6">
        <f>INDEX('DETALLE CRONOLÓGICO'!$K$2:$K$4919,MATCH($A1861,'DETALLE CRONOLÓGICO'!$A$2:$A$4919,0)+$E1861-1)</f>
        <v/>
      </c>
      <c r="N1861" s="7">
        <f>IFERROR($M1861/INDEX('DETALLE CRONOLÓGICO'!$K$2:$K$4919,MATCH($A1861,'DETALLE CRONOLÓGICO'!$A$2:$A$4919,0))-1,"")</f>
        <v/>
      </c>
      <c r="O1861" s="6">
        <f>IFERROR($I1861*3,"")</f>
        <v/>
      </c>
      <c r="P1861" s="6">
        <f>IFERROR($I1861*3.5,"")</f>
        <v/>
      </c>
      <c r="Q1861" s="6">
        <f>IFERROR($I1861*4,"")</f>
        <v/>
      </c>
      <c r="R1861" s="6" t="n">
        <v>876</v>
      </c>
      <c r="S1861" s="4" t="n">
        <v>10</v>
      </c>
      <c r="T1861" s="1" t="inlineStr">
        <is>
          <t>active</t>
        </is>
      </c>
      <c r="U1861" s="8" t="n"/>
      <c r="V1861" s="1" t="inlineStr">
        <is>
          <t>SIN PRECIO</t>
        </is>
      </c>
    </row>
    <row r="1862">
      <c r="A1862" s="1" t="inlineStr">
        <is>
          <t>76843721024525</t>
        </is>
      </c>
      <c r="B1862" s="1" t="inlineStr">
        <is>
          <t>ANILLO SIXTEEN STONE GOLD/RED</t>
        </is>
      </c>
      <c r="C1862" s="1" t="inlineStr">
        <is>
          <t>9</t>
        </is>
      </c>
      <c r="D1862" s="1" t="inlineStr">
        <is>
          <t>HAIFENG</t>
        </is>
      </c>
      <c r="E1862" s="4">
        <f>COUNTIF('DETALLE CRONOLÓGICO'!$A$2:$A$4919,$A1862)</f>
        <v/>
      </c>
      <c r="F1862" s="4">
        <f>SUMIFS('DETALLE CRONOLÓGICO'!$I$2:$I$4919,'DETALLE CRONOLÓGICO'!$A$2:$A$4919,$A1862)</f>
        <v/>
      </c>
      <c r="G1862" s="1">
        <f>INDEX('DETALLE CRONOLÓGICO'!$D$2:$D$4919,MATCH($A1862,'DETALLE CRONOLÓGICO'!$A$2:$A$4919,0))</f>
        <v/>
      </c>
      <c r="H1862" s="1">
        <f>INDEX('DETALLE CRONOLÓGICO'!$D$2:$D$4919,MATCH($A1862,'DETALLE CRONOLÓGICO'!$A$2:$A$4919,0)+$E1862-1)</f>
        <v/>
      </c>
      <c r="I1862" s="5">
        <f>IFERROR(SUMIFS('DETALLE CRONOLÓGICO'!$L$2:$L$4919,'DETALLE CRONOLÓGICO'!$A$2:$A$4919,$A1862)/$F1862,"")</f>
        <v/>
      </c>
      <c r="J1862" s="6">
        <f>IFERROR(SUMIFS('DETALLE CRONOLÓGICO'!$K$2:$K$4919,'DETALLE CRONOLÓGICO'!$A$2:$A$4919,$A1862)/$E1862,"")</f>
        <v/>
      </c>
      <c r="K1862" s="6">
        <f>_xlfn.MINIFS('DETALLE CRONOLÓGICO'!$K$2:$K$4919,'DETALLE CRONOLÓGICO'!$A$2:$A$4919,$A1862)</f>
        <v/>
      </c>
      <c r="L1862" s="6">
        <f>_xlfn.MAXIFS('DETALLE CRONOLÓGICO'!$K$2:$K$4919,'DETALLE CRONOLÓGICO'!$A$2:$A$4919,$A1862)</f>
        <v/>
      </c>
      <c r="M1862" s="6">
        <f>INDEX('DETALLE CRONOLÓGICO'!$K$2:$K$4919,MATCH($A1862,'DETALLE CRONOLÓGICO'!$A$2:$A$4919,0)+$E1862-1)</f>
        <v/>
      </c>
      <c r="N1862" s="7">
        <f>IFERROR($M1862/INDEX('DETALLE CRONOLÓGICO'!$K$2:$K$4919,MATCH($A1862,'DETALLE CRONOLÓGICO'!$A$2:$A$4919,0))-1,"")</f>
        <v/>
      </c>
      <c r="O1862" s="6">
        <f>IFERROR($I1862*3,"")</f>
        <v/>
      </c>
      <c r="P1862" s="6">
        <f>IFERROR($I1862*3.5,"")</f>
        <v/>
      </c>
      <c r="Q1862" s="6">
        <f>IFERROR($I1862*4,"")</f>
        <v/>
      </c>
      <c r="R1862" s="6" t="n">
        <v>550</v>
      </c>
      <c r="S1862" s="4" t="n">
        <v>0</v>
      </c>
      <c r="T1862" s="1" t="inlineStr">
        <is>
          <t>active</t>
        </is>
      </c>
      <c r="U1862" s="8" t="n"/>
      <c r="V1862" s="1" t="inlineStr">
        <is>
          <t>SIN PRECIO</t>
        </is>
      </c>
    </row>
    <row r="1863">
      <c r="A1863" s="1" t="inlineStr">
        <is>
          <t>77000701043565</t>
        </is>
      </c>
      <c r="B1863" s="1" t="inlineStr">
        <is>
          <t>PULSERA BV SILVER CON ZIRCONIA</t>
        </is>
      </c>
      <c r="C1863" s="1" t="inlineStr">
        <is>
          <t>Default Title</t>
        </is>
      </c>
      <c r="D1863" s="1" t="inlineStr">
        <is>
          <t>HAIFENG</t>
        </is>
      </c>
      <c r="E1863" s="4">
        <f>COUNTIF('DETALLE CRONOLÓGICO'!$A$2:$A$4919,$A1863)</f>
        <v/>
      </c>
      <c r="F1863" s="4">
        <f>SUMIFS('DETALLE CRONOLÓGICO'!$I$2:$I$4919,'DETALLE CRONOLÓGICO'!$A$2:$A$4919,$A1863)</f>
        <v/>
      </c>
      <c r="G1863" s="1">
        <f>INDEX('DETALLE CRONOLÓGICO'!$D$2:$D$4919,MATCH($A1863,'DETALLE CRONOLÓGICO'!$A$2:$A$4919,0))</f>
        <v/>
      </c>
      <c r="H1863" s="1">
        <f>INDEX('DETALLE CRONOLÓGICO'!$D$2:$D$4919,MATCH($A1863,'DETALLE CRONOLÓGICO'!$A$2:$A$4919,0)+$E1863-1)</f>
        <v/>
      </c>
      <c r="I1863" s="5">
        <f>IFERROR(SUMIFS('DETALLE CRONOLÓGICO'!$L$2:$L$4919,'DETALLE CRONOLÓGICO'!$A$2:$A$4919,$A1863)/$F1863,"")</f>
        <v/>
      </c>
      <c r="J1863" s="6">
        <f>IFERROR(SUMIFS('DETALLE CRONOLÓGICO'!$K$2:$K$4919,'DETALLE CRONOLÓGICO'!$A$2:$A$4919,$A1863)/$E1863,"")</f>
        <v/>
      </c>
      <c r="K1863" s="6">
        <f>_xlfn.MINIFS('DETALLE CRONOLÓGICO'!$K$2:$K$4919,'DETALLE CRONOLÓGICO'!$A$2:$A$4919,$A1863)</f>
        <v/>
      </c>
      <c r="L1863" s="6">
        <f>_xlfn.MAXIFS('DETALLE CRONOLÓGICO'!$K$2:$K$4919,'DETALLE CRONOLÓGICO'!$A$2:$A$4919,$A1863)</f>
        <v/>
      </c>
      <c r="M1863" s="6">
        <f>INDEX('DETALLE CRONOLÓGICO'!$K$2:$K$4919,MATCH($A1863,'DETALLE CRONOLÓGICO'!$A$2:$A$4919,0)+$E1863-1)</f>
        <v/>
      </c>
      <c r="N1863" s="7">
        <f>IFERROR($M1863/INDEX('DETALLE CRONOLÓGICO'!$K$2:$K$4919,MATCH($A1863,'DETALLE CRONOLÓGICO'!$A$2:$A$4919,0))-1,"")</f>
        <v/>
      </c>
      <c r="O1863" s="6">
        <f>IFERROR($I1863*3,"")</f>
        <v/>
      </c>
      <c r="P1863" s="6">
        <f>IFERROR($I1863*3.5,"")</f>
        <v/>
      </c>
      <c r="Q1863" s="6">
        <f>IFERROR($I1863*4,"")</f>
        <v/>
      </c>
      <c r="R1863" s="6" t="n">
        <v>680</v>
      </c>
      <c r="S1863" s="4" t="n">
        <v>3</v>
      </c>
      <c r="T1863" s="1" t="inlineStr">
        <is>
          <t>active</t>
        </is>
      </c>
      <c r="U1863" s="8" t="n"/>
      <c r="V1863" s="1" t="inlineStr">
        <is>
          <t>SIN PRECIO</t>
        </is>
      </c>
    </row>
    <row r="1864">
      <c r="A1864" s="1" t="inlineStr">
        <is>
          <t>77137551049901</t>
        </is>
      </c>
      <c r="B1864" s="1" t="inlineStr">
        <is>
          <t>CINTO FR</t>
        </is>
      </c>
      <c r="C1864" s="1" t="inlineStr">
        <is>
          <t>105CM</t>
        </is>
      </c>
      <c r="D1864" s="1" t="inlineStr">
        <is>
          <t>CYNTHIA</t>
        </is>
      </c>
      <c r="E1864" s="4">
        <f>COUNTIF('DETALLE CRONOLÓGICO'!$A$2:$A$4919,$A1864)</f>
        <v/>
      </c>
      <c r="F1864" s="4">
        <f>SUMIFS('DETALLE CRONOLÓGICO'!$I$2:$I$4919,'DETALLE CRONOLÓGICO'!$A$2:$A$4919,$A1864)</f>
        <v/>
      </c>
      <c r="G1864" s="1">
        <f>INDEX('DETALLE CRONOLÓGICO'!$D$2:$D$4919,MATCH($A1864,'DETALLE CRONOLÓGICO'!$A$2:$A$4919,0))</f>
        <v/>
      </c>
      <c r="H1864" s="1">
        <f>INDEX('DETALLE CRONOLÓGICO'!$D$2:$D$4919,MATCH($A1864,'DETALLE CRONOLÓGICO'!$A$2:$A$4919,0)+$E1864-1)</f>
        <v/>
      </c>
      <c r="I1864" s="5">
        <f>IFERROR(SUMIFS('DETALLE CRONOLÓGICO'!$L$2:$L$4919,'DETALLE CRONOLÓGICO'!$A$2:$A$4919,$A1864)/$F1864,"")</f>
        <v/>
      </c>
      <c r="J1864" s="6">
        <f>IFERROR(SUMIFS('DETALLE CRONOLÓGICO'!$K$2:$K$4919,'DETALLE CRONOLÓGICO'!$A$2:$A$4919,$A1864)/$E1864,"")</f>
        <v/>
      </c>
      <c r="K1864" s="6">
        <f>_xlfn.MINIFS('DETALLE CRONOLÓGICO'!$K$2:$K$4919,'DETALLE CRONOLÓGICO'!$A$2:$A$4919,$A1864)</f>
        <v/>
      </c>
      <c r="L1864" s="6">
        <f>_xlfn.MAXIFS('DETALLE CRONOLÓGICO'!$K$2:$K$4919,'DETALLE CRONOLÓGICO'!$A$2:$A$4919,$A1864)</f>
        <v/>
      </c>
      <c r="M1864" s="6">
        <f>INDEX('DETALLE CRONOLÓGICO'!$K$2:$K$4919,MATCH($A1864,'DETALLE CRONOLÓGICO'!$A$2:$A$4919,0)+$E1864-1)</f>
        <v/>
      </c>
      <c r="N1864" s="7">
        <f>IFERROR($M1864/INDEX('DETALLE CRONOLÓGICO'!$K$2:$K$4919,MATCH($A1864,'DETALLE CRONOLÓGICO'!$A$2:$A$4919,0))-1,"")</f>
        <v/>
      </c>
      <c r="O1864" s="6">
        <f>IFERROR($I1864*3,"")</f>
        <v/>
      </c>
      <c r="P1864" s="6">
        <f>IFERROR($I1864*3.5,"")</f>
        <v/>
      </c>
      <c r="Q1864" s="6">
        <f>IFERROR($I1864*4,"")</f>
        <v/>
      </c>
      <c r="R1864" s="6" t="n">
        <v>0</v>
      </c>
      <c r="S1864" s="4" t="n">
        <v>3</v>
      </c>
      <c r="T1864" s="1" t="inlineStr">
        <is>
          <t>draft</t>
        </is>
      </c>
      <c r="U1864" s="8" t="n"/>
      <c r="V1864" s="1" t="inlineStr">
        <is>
          <t>SIN PRECIO</t>
        </is>
      </c>
    </row>
    <row r="1865">
      <c r="A1865" s="1" t="inlineStr">
        <is>
          <t>77137551158381</t>
        </is>
      </c>
      <c r="B1865" s="1" t="inlineStr">
        <is>
          <t>SANDALIAS CC TONGS WHITE</t>
        </is>
      </c>
      <c r="C1865" s="1" t="inlineStr">
        <is>
          <t>40(25MX)</t>
        </is>
      </c>
      <c r="D1865" s="1" t="inlineStr">
        <is>
          <t>CYNTHIA</t>
        </is>
      </c>
      <c r="E1865" s="4">
        <f>COUNTIF('DETALLE CRONOLÓGICO'!$A$2:$A$4919,$A1865)</f>
        <v/>
      </c>
      <c r="F1865" s="4">
        <f>SUMIFS('DETALLE CRONOLÓGICO'!$I$2:$I$4919,'DETALLE CRONOLÓGICO'!$A$2:$A$4919,$A1865)</f>
        <v/>
      </c>
      <c r="G1865" s="1">
        <f>INDEX('DETALLE CRONOLÓGICO'!$D$2:$D$4919,MATCH($A1865,'DETALLE CRONOLÓGICO'!$A$2:$A$4919,0))</f>
        <v/>
      </c>
      <c r="H1865" s="1">
        <f>INDEX('DETALLE CRONOLÓGICO'!$D$2:$D$4919,MATCH($A1865,'DETALLE CRONOLÓGICO'!$A$2:$A$4919,0)+$E1865-1)</f>
        <v/>
      </c>
      <c r="I1865" s="5">
        <f>IFERROR(SUMIFS('DETALLE CRONOLÓGICO'!$L$2:$L$4919,'DETALLE CRONOLÓGICO'!$A$2:$A$4919,$A1865)/$F1865,"")</f>
        <v/>
      </c>
      <c r="J1865" s="6">
        <f>IFERROR(SUMIFS('DETALLE CRONOLÓGICO'!$K$2:$K$4919,'DETALLE CRONOLÓGICO'!$A$2:$A$4919,$A1865)/$E1865,"")</f>
        <v/>
      </c>
      <c r="K1865" s="6">
        <f>_xlfn.MINIFS('DETALLE CRONOLÓGICO'!$K$2:$K$4919,'DETALLE CRONOLÓGICO'!$A$2:$A$4919,$A1865)</f>
        <v/>
      </c>
      <c r="L1865" s="6">
        <f>_xlfn.MAXIFS('DETALLE CRONOLÓGICO'!$K$2:$K$4919,'DETALLE CRONOLÓGICO'!$A$2:$A$4919,$A1865)</f>
        <v/>
      </c>
      <c r="M1865" s="6">
        <f>INDEX('DETALLE CRONOLÓGICO'!$K$2:$K$4919,MATCH($A1865,'DETALLE CRONOLÓGICO'!$A$2:$A$4919,0)+$E1865-1)</f>
        <v/>
      </c>
      <c r="N1865" s="7">
        <f>IFERROR($M1865/INDEX('DETALLE CRONOLÓGICO'!$K$2:$K$4919,MATCH($A1865,'DETALLE CRONOLÓGICO'!$A$2:$A$4919,0))-1,"")</f>
        <v/>
      </c>
      <c r="O1865" s="6">
        <f>IFERROR($I1865*3,"")</f>
        <v/>
      </c>
      <c r="P1865" s="6">
        <f>IFERROR($I1865*3.5,"")</f>
        <v/>
      </c>
      <c r="Q1865" s="6">
        <f>IFERROR($I1865*4,"")</f>
        <v/>
      </c>
      <c r="R1865" s="6" t="n">
        <v>3999</v>
      </c>
      <c r="S1865" s="4" t="n">
        <v>2</v>
      </c>
      <c r="T1865" s="1" t="inlineStr">
        <is>
          <t>active</t>
        </is>
      </c>
      <c r="U1865" s="8" t="n"/>
      <c r="V1865" s="1" t="inlineStr">
        <is>
          <t>SIN PRECIO</t>
        </is>
      </c>
    </row>
    <row r="1866">
      <c r="A1866" s="1" t="inlineStr">
        <is>
          <t>77137551286061</t>
        </is>
      </c>
      <c r="B1866" s="1" t="inlineStr">
        <is>
          <t>TARJETERO CC CLASSIC</t>
        </is>
      </c>
      <c r="C1866" s="1" t="inlineStr">
        <is>
          <t>PRODUCTO NUEVO</t>
        </is>
      </c>
      <c r="D1866" s="1" t="inlineStr">
        <is>
          <t>CYNTHIA</t>
        </is>
      </c>
      <c r="E1866" s="4">
        <f>COUNTIF('DETALLE CRONOLÓGICO'!$A$2:$A$4919,$A1866)</f>
        <v/>
      </c>
      <c r="F1866" s="4">
        <f>SUMIFS('DETALLE CRONOLÓGICO'!$I$2:$I$4919,'DETALLE CRONOLÓGICO'!$A$2:$A$4919,$A1866)</f>
        <v/>
      </c>
      <c r="G1866" s="1">
        <f>INDEX('DETALLE CRONOLÓGICO'!$D$2:$D$4919,MATCH($A1866,'DETALLE CRONOLÓGICO'!$A$2:$A$4919,0))</f>
        <v/>
      </c>
      <c r="H1866" s="1">
        <f>INDEX('DETALLE CRONOLÓGICO'!$D$2:$D$4919,MATCH($A1866,'DETALLE CRONOLÓGICO'!$A$2:$A$4919,0)+$E1866-1)</f>
        <v/>
      </c>
      <c r="I1866" s="5">
        <f>IFERROR(SUMIFS('DETALLE CRONOLÓGICO'!$L$2:$L$4919,'DETALLE CRONOLÓGICO'!$A$2:$A$4919,$A1866)/$F1866,"")</f>
        <v/>
      </c>
      <c r="J1866" s="6">
        <f>IFERROR(SUMIFS('DETALLE CRONOLÓGICO'!$K$2:$K$4919,'DETALLE CRONOLÓGICO'!$A$2:$A$4919,$A1866)/$E1866,"")</f>
        <v/>
      </c>
      <c r="K1866" s="6">
        <f>_xlfn.MINIFS('DETALLE CRONOLÓGICO'!$K$2:$K$4919,'DETALLE CRONOLÓGICO'!$A$2:$A$4919,$A1866)</f>
        <v/>
      </c>
      <c r="L1866" s="6">
        <f>_xlfn.MAXIFS('DETALLE CRONOLÓGICO'!$K$2:$K$4919,'DETALLE CRONOLÓGICO'!$A$2:$A$4919,$A1866)</f>
        <v/>
      </c>
      <c r="M1866" s="6">
        <f>INDEX('DETALLE CRONOLÓGICO'!$K$2:$K$4919,MATCH($A1866,'DETALLE CRONOLÓGICO'!$A$2:$A$4919,0)+$E1866-1)</f>
        <v/>
      </c>
      <c r="N1866" s="7">
        <f>IFERROR($M1866/INDEX('DETALLE CRONOLÓGICO'!$K$2:$K$4919,MATCH($A1866,'DETALLE CRONOLÓGICO'!$A$2:$A$4919,0))-1,"")</f>
        <v/>
      </c>
      <c r="O1866" s="6">
        <f>IFERROR($I1866*3,"")</f>
        <v/>
      </c>
      <c r="P1866" s="6">
        <f>IFERROR($I1866*3.5,"")</f>
        <v/>
      </c>
      <c r="Q1866" s="6">
        <f>IFERROR($I1866*4,"")</f>
        <v/>
      </c>
      <c r="R1866" s="6" t="n">
        <v>1765</v>
      </c>
      <c r="S1866" s="4" t="n">
        <v>2</v>
      </c>
      <c r="T1866" s="1" t="inlineStr">
        <is>
          <t>active</t>
        </is>
      </c>
      <c r="U1866" s="8" t="n"/>
      <c r="V1866" s="1" t="inlineStr">
        <is>
          <t>SIN PRECIO</t>
        </is>
      </c>
    </row>
    <row r="1867">
      <c r="A1867" s="1" t="inlineStr">
        <is>
          <t>77174549298188</t>
        </is>
      </c>
      <c r="B1867" s="1" t="inlineStr">
        <is>
          <t>ANILLO ONE T CON ZIRCONIA GOLD</t>
        </is>
      </c>
      <c r="C1867" s="1" t="inlineStr">
        <is>
          <t>8</t>
        </is>
      </c>
      <c r="D1867" s="1" t="inlineStr">
        <is>
          <t>HAIFENG</t>
        </is>
      </c>
      <c r="E1867" s="4">
        <f>COUNTIF('DETALLE CRONOLÓGICO'!$A$2:$A$4919,$A1867)</f>
        <v/>
      </c>
      <c r="F1867" s="4">
        <f>SUMIFS('DETALLE CRONOLÓGICO'!$I$2:$I$4919,'DETALLE CRONOLÓGICO'!$A$2:$A$4919,$A1867)</f>
        <v/>
      </c>
      <c r="G1867" s="1">
        <f>INDEX('DETALLE CRONOLÓGICO'!$D$2:$D$4919,MATCH($A1867,'DETALLE CRONOLÓGICO'!$A$2:$A$4919,0))</f>
        <v/>
      </c>
      <c r="H1867" s="1">
        <f>INDEX('DETALLE CRONOLÓGICO'!$D$2:$D$4919,MATCH($A1867,'DETALLE CRONOLÓGICO'!$A$2:$A$4919,0)+$E1867-1)</f>
        <v/>
      </c>
      <c r="I1867" s="5">
        <f>IFERROR(SUMIFS('DETALLE CRONOLÓGICO'!$L$2:$L$4919,'DETALLE CRONOLÓGICO'!$A$2:$A$4919,$A1867)/$F1867,"")</f>
        <v/>
      </c>
      <c r="J1867" s="6">
        <f>IFERROR(SUMIFS('DETALLE CRONOLÓGICO'!$K$2:$K$4919,'DETALLE CRONOLÓGICO'!$A$2:$A$4919,$A1867)/$E1867,"")</f>
        <v/>
      </c>
      <c r="K1867" s="6">
        <f>_xlfn.MINIFS('DETALLE CRONOLÓGICO'!$K$2:$K$4919,'DETALLE CRONOLÓGICO'!$A$2:$A$4919,$A1867)</f>
        <v/>
      </c>
      <c r="L1867" s="6">
        <f>_xlfn.MAXIFS('DETALLE CRONOLÓGICO'!$K$2:$K$4919,'DETALLE CRONOLÓGICO'!$A$2:$A$4919,$A1867)</f>
        <v/>
      </c>
      <c r="M1867" s="6">
        <f>INDEX('DETALLE CRONOLÓGICO'!$K$2:$K$4919,MATCH($A1867,'DETALLE CRONOLÓGICO'!$A$2:$A$4919,0)+$E1867-1)</f>
        <v/>
      </c>
      <c r="N1867" s="7">
        <f>IFERROR($M1867/INDEX('DETALLE CRONOLÓGICO'!$K$2:$K$4919,MATCH($A1867,'DETALLE CRONOLÓGICO'!$A$2:$A$4919,0))-1,"")</f>
        <v/>
      </c>
      <c r="O1867" s="6">
        <f>IFERROR($I1867*3,"")</f>
        <v/>
      </c>
      <c r="P1867" s="6">
        <f>IFERROR($I1867*3.5,"")</f>
        <v/>
      </c>
      <c r="Q1867" s="6">
        <f>IFERROR($I1867*4,"")</f>
        <v/>
      </c>
      <c r="R1867" s="6" t="n">
        <v>450</v>
      </c>
      <c r="S1867" s="4" t="n">
        <v>2</v>
      </c>
      <c r="T1867" s="1" t="inlineStr">
        <is>
          <t>active</t>
        </is>
      </c>
      <c r="U1867" s="8" t="n"/>
      <c r="V1867" s="1" t="inlineStr">
        <is>
          <t>SIN PRECIO</t>
        </is>
      </c>
    </row>
    <row r="1868">
      <c r="A1868" s="1" t="inlineStr">
        <is>
          <t>77216891573644</t>
        </is>
      </c>
      <c r="B1868" s="1" t="inlineStr">
        <is>
          <t>GARGANTILLA SIXTEEN STONE</t>
        </is>
      </c>
      <c r="C1868" s="1" t="inlineStr">
        <is>
          <t>42cm</t>
        </is>
      </c>
      <c r="D1868" s="1" t="inlineStr">
        <is>
          <t>HAIFENG</t>
        </is>
      </c>
      <c r="E1868" s="4">
        <f>COUNTIF('DETALLE CRONOLÓGICO'!$A$2:$A$4919,$A1868)</f>
        <v/>
      </c>
      <c r="F1868" s="4">
        <f>SUMIFS('DETALLE CRONOLÓGICO'!$I$2:$I$4919,'DETALLE CRONOLÓGICO'!$A$2:$A$4919,$A1868)</f>
        <v/>
      </c>
      <c r="G1868" s="1">
        <f>INDEX('DETALLE CRONOLÓGICO'!$D$2:$D$4919,MATCH($A1868,'DETALLE CRONOLÓGICO'!$A$2:$A$4919,0))</f>
        <v/>
      </c>
      <c r="H1868" s="1">
        <f>INDEX('DETALLE CRONOLÓGICO'!$D$2:$D$4919,MATCH($A1868,'DETALLE CRONOLÓGICO'!$A$2:$A$4919,0)+$E1868-1)</f>
        <v/>
      </c>
      <c r="I1868" s="5">
        <f>IFERROR(SUMIFS('DETALLE CRONOLÓGICO'!$L$2:$L$4919,'DETALLE CRONOLÓGICO'!$A$2:$A$4919,$A1868)/$F1868,"")</f>
        <v/>
      </c>
      <c r="J1868" s="6">
        <f>IFERROR(SUMIFS('DETALLE CRONOLÓGICO'!$K$2:$K$4919,'DETALLE CRONOLÓGICO'!$A$2:$A$4919,$A1868)/$E1868,"")</f>
        <v/>
      </c>
      <c r="K1868" s="6">
        <f>_xlfn.MINIFS('DETALLE CRONOLÓGICO'!$K$2:$K$4919,'DETALLE CRONOLÓGICO'!$A$2:$A$4919,$A1868)</f>
        <v/>
      </c>
      <c r="L1868" s="6">
        <f>_xlfn.MAXIFS('DETALLE CRONOLÓGICO'!$K$2:$K$4919,'DETALLE CRONOLÓGICO'!$A$2:$A$4919,$A1868)</f>
        <v/>
      </c>
      <c r="M1868" s="6">
        <f>INDEX('DETALLE CRONOLÓGICO'!$K$2:$K$4919,MATCH($A1868,'DETALLE CRONOLÓGICO'!$A$2:$A$4919,0)+$E1868-1)</f>
        <v/>
      </c>
      <c r="N1868" s="7">
        <f>IFERROR($M1868/INDEX('DETALLE CRONOLÓGICO'!$K$2:$K$4919,MATCH($A1868,'DETALLE CRONOLÓGICO'!$A$2:$A$4919,0))-1,"")</f>
        <v/>
      </c>
      <c r="O1868" s="6">
        <f>IFERROR($I1868*3,"")</f>
        <v/>
      </c>
      <c r="P1868" s="6">
        <f>IFERROR($I1868*3.5,"")</f>
        <v/>
      </c>
      <c r="Q1868" s="6">
        <f>IFERROR($I1868*4,"")</f>
        <v/>
      </c>
      <c r="R1868" s="6" t="n">
        <v>2099</v>
      </c>
      <c r="S1868" s="4" t="n">
        <v>4</v>
      </c>
      <c r="T1868" s="1" t="inlineStr">
        <is>
          <t>active</t>
        </is>
      </c>
      <c r="U1868" s="8" t="n"/>
      <c r="V1868" s="1" t="inlineStr">
        <is>
          <t>SIN PRECIO</t>
        </is>
      </c>
    </row>
    <row r="1869">
      <c r="A1869" s="1" t="inlineStr">
        <is>
          <t>77216894110092</t>
        </is>
      </c>
      <c r="B1869" s="1" t="inlineStr">
        <is>
          <t>GORRA C LOGO WHITE</t>
        </is>
      </c>
      <c r="C1869" s="1" t="inlineStr">
        <is>
          <t>AJUSTABLE</t>
        </is>
      </c>
      <c r="D1869" s="1" t="inlineStr">
        <is>
          <t>CYNTHIA</t>
        </is>
      </c>
      <c r="E1869" s="4">
        <f>COUNTIF('DETALLE CRONOLÓGICO'!$A$2:$A$4919,$A1869)</f>
        <v/>
      </c>
      <c r="F1869" s="4">
        <f>SUMIFS('DETALLE CRONOLÓGICO'!$I$2:$I$4919,'DETALLE CRONOLÓGICO'!$A$2:$A$4919,$A1869)</f>
        <v/>
      </c>
      <c r="G1869" s="1">
        <f>INDEX('DETALLE CRONOLÓGICO'!$D$2:$D$4919,MATCH($A1869,'DETALLE CRONOLÓGICO'!$A$2:$A$4919,0))</f>
        <v/>
      </c>
      <c r="H1869" s="1">
        <f>INDEX('DETALLE CRONOLÓGICO'!$D$2:$D$4919,MATCH($A1869,'DETALLE CRONOLÓGICO'!$A$2:$A$4919,0)+$E1869-1)</f>
        <v/>
      </c>
      <c r="I1869" s="5">
        <f>IFERROR(SUMIFS('DETALLE CRONOLÓGICO'!$L$2:$L$4919,'DETALLE CRONOLÓGICO'!$A$2:$A$4919,$A1869)/$F1869,"")</f>
        <v/>
      </c>
      <c r="J1869" s="6">
        <f>IFERROR(SUMIFS('DETALLE CRONOLÓGICO'!$K$2:$K$4919,'DETALLE CRONOLÓGICO'!$A$2:$A$4919,$A1869)/$E1869,"")</f>
        <v/>
      </c>
      <c r="K1869" s="6">
        <f>_xlfn.MINIFS('DETALLE CRONOLÓGICO'!$K$2:$K$4919,'DETALLE CRONOLÓGICO'!$A$2:$A$4919,$A1869)</f>
        <v/>
      </c>
      <c r="L1869" s="6">
        <f>_xlfn.MAXIFS('DETALLE CRONOLÓGICO'!$K$2:$K$4919,'DETALLE CRONOLÓGICO'!$A$2:$A$4919,$A1869)</f>
        <v/>
      </c>
      <c r="M1869" s="6">
        <f>INDEX('DETALLE CRONOLÓGICO'!$K$2:$K$4919,MATCH($A1869,'DETALLE CRONOLÓGICO'!$A$2:$A$4919,0)+$E1869-1)</f>
        <v/>
      </c>
      <c r="N1869" s="7">
        <f>IFERROR($M1869/INDEX('DETALLE CRONOLÓGICO'!$K$2:$K$4919,MATCH($A1869,'DETALLE CRONOLÓGICO'!$A$2:$A$4919,0))-1,"")</f>
        <v/>
      </c>
      <c r="O1869" s="6">
        <f>IFERROR($I1869*3,"")</f>
        <v/>
      </c>
      <c r="P1869" s="6">
        <f>IFERROR($I1869*3.5,"")</f>
        <v/>
      </c>
      <c r="Q1869" s="6">
        <f>IFERROR($I1869*4,"")</f>
        <v/>
      </c>
      <c r="R1869" s="6" t="n">
        <v>869</v>
      </c>
      <c r="S1869" s="4" t="n">
        <v>7</v>
      </c>
      <c r="T1869" s="1" t="inlineStr">
        <is>
          <t>active</t>
        </is>
      </c>
      <c r="U1869" s="8" t="n"/>
      <c r="V1869" s="1" t="inlineStr">
        <is>
          <t>SIN PRECIO</t>
        </is>
      </c>
    </row>
    <row r="1870">
      <c r="A1870" s="1" t="inlineStr">
        <is>
          <t>77275241042893</t>
        </is>
      </c>
      <c r="B1870" s="1" t="inlineStr">
        <is>
          <t>ARETES MM HEART GOLD WHITE</t>
        </is>
      </c>
      <c r="C1870" s="1" t="inlineStr">
        <is>
          <t>2cm</t>
        </is>
      </c>
      <c r="D1870" s="1" t="inlineStr">
        <is>
          <t>ZOEY</t>
        </is>
      </c>
      <c r="E1870" s="4">
        <f>COUNTIF('DETALLE CRONOLÓGICO'!$A$2:$A$4919,$A1870)</f>
        <v/>
      </c>
      <c r="F1870" s="4">
        <f>SUMIFS('DETALLE CRONOLÓGICO'!$I$2:$I$4919,'DETALLE CRONOLÓGICO'!$A$2:$A$4919,$A1870)</f>
        <v/>
      </c>
      <c r="G1870" s="1">
        <f>INDEX('DETALLE CRONOLÓGICO'!$D$2:$D$4919,MATCH($A1870,'DETALLE CRONOLÓGICO'!$A$2:$A$4919,0))</f>
        <v/>
      </c>
      <c r="H1870" s="1">
        <f>INDEX('DETALLE CRONOLÓGICO'!$D$2:$D$4919,MATCH($A1870,'DETALLE CRONOLÓGICO'!$A$2:$A$4919,0)+$E1870-1)</f>
        <v/>
      </c>
      <c r="I1870" s="5">
        <f>IFERROR(SUMIFS('DETALLE CRONOLÓGICO'!$L$2:$L$4919,'DETALLE CRONOLÓGICO'!$A$2:$A$4919,$A1870)/$F1870,"")</f>
        <v/>
      </c>
      <c r="J1870" s="6">
        <f>IFERROR(SUMIFS('DETALLE CRONOLÓGICO'!$K$2:$K$4919,'DETALLE CRONOLÓGICO'!$A$2:$A$4919,$A1870)/$E1870,"")</f>
        <v/>
      </c>
      <c r="K1870" s="6">
        <f>_xlfn.MINIFS('DETALLE CRONOLÓGICO'!$K$2:$K$4919,'DETALLE CRONOLÓGICO'!$A$2:$A$4919,$A1870)</f>
        <v/>
      </c>
      <c r="L1870" s="6">
        <f>_xlfn.MAXIFS('DETALLE CRONOLÓGICO'!$K$2:$K$4919,'DETALLE CRONOLÓGICO'!$A$2:$A$4919,$A1870)</f>
        <v/>
      </c>
      <c r="M1870" s="6">
        <f>INDEX('DETALLE CRONOLÓGICO'!$K$2:$K$4919,MATCH($A1870,'DETALLE CRONOLÓGICO'!$A$2:$A$4919,0)+$E1870-1)</f>
        <v/>
      </c>
      <c r="N1870" s="7">
        <f>IFERROR($M1870/INDEX('DETALLE CRONOLÓGICO'!$K$2:$K$4919,MATCH($A1870,'DETALLE CRONOLÓGICO'!$A$2:$A$4919,0))-1,"")</f>
        <v/>
      </c>
      <c r="O1870" s="6">
        <f>IFERROR($I1870*3,"")</f>
        <v/>
      </c>
      <c r="P1870" s="6">
        <f>IFERROR($I1870*3.5,"")</f>
        <v/>
      </c>
      <c r="Q1870" s="6">
        <f>IFERROR($I1870*4,"")</f>
        <v/>
      </c>
      <c r="R1870" s="6" t="n">
        <v>850</v>
      </c>
      <c r="S1870" s="4" t="n">
        <v>7</v>
      </c>
      <c r="T1870" s="1" t="inlineStr">
        <is>
          <t>active</t>
        </is>
      </c>
      <c r="U1870" s="8" t="n"/>
      <c r="V1870" s="1" t="inlineStr">
        <is>
          <t>SIN PRECIO</t>
        </is>
      </c>
    </row>
    <row r="1871">
      <c r="A1871" s="1" t="inlineStr">
        <is>
          <t>77590341697164</t>
        </is>
      </c>
      <c r="B1871" s="1" t="inlineStr">
        <is>
          <t>TRAJE DE BAÑO F MEN</t>
        </is>
      </c>
      <c r="C1871" s="1" t="inlineStr">
        <is>
          <t>M</t>
        </is>
      </c>
      <c r="D1871" s="1" t="inlineStr">
        <is>
          <t>ZOEY</t>
        </is>
      </c>
      <c r="E1871" s="4">
        <f>COUNTIF('DETALLE CRONOLÓGICO'!$A$2:$A$4919,$A1871)</f>
        <v/>
      </c>
      <c r="F1871" s="4">
        <f>SUMIFS('DETALLE CRONOLÓGICO'!$I$2:$I$4919,'DETALLE CRONOLÓGICO'!$A$2:$A$4919,$A1871)</f>
        <v/>
      </c>
      <c r="G1871" s="1">
        <f>INDEX('DETALLE CRONOLÓGICO'!$D$2:$D$4919,MATCH($A1871,'DETALLE CRONOLÓGICO'!$A$2:$A$4919,0))</f>
        <v/>
      </c>
      <c r="H1871" s="1">
        <f>INDEX('DETALLE CRONOLÓGICO'!$D$2:$D$4919,MATCH($A1871,'DETALLE CRONOLÓGICO'!$A$2:$A$4919,0)+$E1871-1)</f>
        <v/>
      </c>
      <c r="I1871" s="5">
        <f>IFERROR(SUMIFS('DETALLE CRONOLÓGICO'!$L$2:$L$4919,'DETALLE CRONOLÓGICO'!$A$2:$A$4919,$A1871)/$F1871,"")</f>
        <v/>
      </c>
      <c r="J1871" s="6">
        <f>IFERROR(SUMIFS('DETALLE CRONOLÓGICO'!$K$2:$K$4919,'DETALLE CRONOLÓGICO'!$A$2:$A$4919,$A1871)/$E1871,"")</f>
        <v/>
      </c>
      <c r="K1871" s="6">
        <f>_xlfn.MINIFS('DETALLE CRONOLÓGICO'!$K$2:$K$4919,'DETALLE CRONOLÓGICO'!$A$2:$A$4919,$A1871)</f>
        <v/>
      </c>
      <c r="L1871" s="6">
        <f>_xlfn.MAXIFS('DETALLE CRONOLÓGICO'!$K$2:$K$4919,'DETALLE CRONOLÓGICO'!$A$2:$A$4919,$A1871)</f>
        <v/>
      </c>
      <c r="M1871" s="6">
        <f>INDEX('DETALLE CRONOLÓGICO'!$K$2:$K$4919,MATCH($A1871,'DETALLE CRONOLÓGICO'!$A$2:$A$4919,0)+$E1871-1)</f>
        <v/>
      </c>
      <c r="N1871" s="7">
        <f>IFERROR($M1871/INDEX('DETALLE CRONOLÓGICO'!$K$2:$K$4919,MATCH($A1871,'DETALLE CRONOLÓGICO'!$A$2:$A$4919,0))-1,"")</f>
        <v/>
      </c>
      <c r="O1871" s="6">
        <f>IFERROR($I1871*3,"")</f>
        <v/>
      </c>
      <c r="P1871" s="6">
        <f>IFERROR($I1871*3.5,"")</f>
        <v/>
      </c>
      <c r="Q1871" s="6">
        <f>IFERROR($I1871*4,"")</f>
        <v/>
      </c>
      <c r="R1871" s="6" t="n">
        <v>3189</v>
      </c>
      <c r="S1871" s="4" t="n">
        <v>1</v>
      </c>
      <c r="T1871" s="1" t="inlineStr">
        <is>
          <t>active</t>
        </is>
      </c>
      <c r="U1871" s="8" t="n"/>
      <c r="V1871" s="1" t="inlineStr">
        <is>
          <t>SIN PRECIO</t>
        </is>
      </c>
    </row>
    <row r="1872">
      <c r="A1872" s="1" t="inlineStr">
        <is>
          <t>77590341729932</t>
        </is>
      </c>
      <c r="B1872" s="1" t="inlineStr">
        <is>
          <t>TRAJE DE BAÑO F MEN</t>
        </is>
      </c>
      <c r="C1872" s="1" t="inlineStr">
        <is>
          <t>L</t>
        </is>
      </c>
      <c r="D1872" s="1" t="inlineStr">
        <is>
          <t>ZOEY</t>
        </is>
      </c>
      <c r="E1872" s="4">
        <f>COUNTIF('DETALLE CRONOLÓGICO'!$A$2:$A$4919,$A1872)</f>
        <v/>
      </c>
      <c r="F1872" s="4">
        <f>SUMIFS('DETALLE CRONOLÓGICO'!$I$2:$I$4919,'DETALLE CRONOLÓGICO'!$A$2:$A$4919,$A1872)</f>
        <v/>
      </c>
      <c r="G1872" s="1">
        <f>INDEX('DETALLE CRONOLÓGICO'!$D$2:$D$4919,MATCH($A1872,'DETALLE CRONOLÓGICO'!$A$2:$A$4919,0))</f>
        <v/>
      </c>
      <c r="H1872" s="1">
        <f>INDEX('DETALLE CRONOLÓGICO'!$D$2:$D$4919,MATCH($A1872,'DETALLE CRONOLÓGICO'!$A$2:$A$4919,0)+$E1872-1)</f>
        <v/>
      </c>
      <c r="I1872" s="5">
        <f>IFERROR(SUMIFS('DETALLE CRONOLÓGICO'!$L$2:$L$4919,'DETALLE CRONOLÓGICO'!$A$2:$A$4919,$A1872)/$F1872,"")</f>
        <v/>
      </c>
      <c r="J1872" s="6">
        <f>IFERROR(SUMIFS('DETALLE CRONOLÓGICO'!$K$2:$K$4919,'DETALLE CRONOLÓGICO'!$A$2:$A$4919,$A1872)/$E1872,"")</f>
        <v/>
      </c>
      <c r="K1872" s="6">
        <f>_xlfn.MINIFS('DETALLE CRONOLÓGICO'!$K$2:$K$4919,'DETALLE CRONOLÓGICO'!$A$2:$A$4919,$A1872)</f>
        <v/>
      </c>
      <c r="L1872" s="6">
        <f>_xlfn.MAXIFS('DETALLE CRONOLÓGICO'!$K$2:$K$4919,'DETALLE CRONOLÓGICO'!$A$2:$A$4919,$A1872)</f>
        <v/>
      </c>
      <c r="M1872" s="6">
        <f>INDEX('DETALLE CRONOLÓGICO'!$K$2:$K$4919,MATCH($A1872,'DETALLE CRONOLÓGICO'!$A$2:$A$4919,0)+$E1872-1)</f>
        <v/>
      </c>
      <c r="N1872" s="7">
        <f>IFERROR($M1872/INDEX('DETALLE CRONOLÓGICO'!$K$2:$K$4919,MATCH($A1872,'DETALLE CRONOLÓGICO'!$A$2:$A$4919,0))-1,"")</f>
        <v/>
      </c>
      <c r="O1872" s="6">
        <f>IFERROR($I1872*3,"")</f>
        <v/>
      </c>
      <c r="P1872" s="6">
        <f>IFERROR($I1872*3.5,"")</f>
        <v/>
      </c>
      <c r="Q1872" s="6">
        <f>IFERROR($I1872*4,"")</f>
        <v/>
      </c>
      <c r="R1872" s="6" t="n">
        <v>3189</v>
      </c>
      <c r="S1872" s="4" t="n">
        <v>0</v>
      </c>
      <c r="T1872" s="1" t="inlineStr">
        <is>
          <t>active</t>
        </is>
      </c>
      <c r="U1872" s="8" t="n"/>
      <c r="V1872" s="1" t="inlineStr">
        <is>
          <t>SIN PRECIO</t>
        </is>
      </c>
    </row>
    <row r="1873">
      <c r="A1873" s="1" t="inlineStr">
        <is>
          <t>77590343216012</t>
        </is>
      </c>
      <c r="B1873" s="1" t="inlineStr">
        <is>
          <t>TRAJE DE BAÑO COMPLETO PR</t>
        </is>
      </c>
      <c r="C1873" s="1" t="inlineStr">
        <is>
          <t>S</t>
        </is>
      </c>
      <c r="D1873" s="1" t="inlineStr">
        <is>
          <t>ZOEY</t>
        </is>
      </c>
      <c r="E1873" s="4">
        <f>COUNTIF('DETALLE CRONOLÓGICO'!$A$2:$A$4919,$A1873)</f>
        <v/>
      </c>
      <c r="F1873" s="4">
        <f>SUMIFS('DETALLE CRONOLÓGICO'!$I$2:$I$4919,'DETALLE CRONOLÓGICO'!$A$2:$A$4919,$A1873)</f>
        <v/>
      </c>
      <c r="G1873" s="1">
        <f>INDEX('DETALLE CRONOLÓGICO'!$D$2:$D$4919,MATCH($A1873,'DETALLE CRONOLÓGICO'!$A$2:$A$4919,0))</f>
        <v/>
      </c>
      <c r="H1873" s="1">
        <f>INDEX('DETALLE CRONOLÓGICO'!$D$2:$D$4919,MATCH($A1873,'DETALLE CRONOLÓGICO'!$A$2:$A$4919,0)+$E1873-1)</f>
        <v/>
      </c>
      <c r="I1873" s="5">
        <f>IFERROR(SUMIFS('DETALLE CRONOLÓGICO'!$L$2:$L$4919,'DETALLE CRONOLÓGICO'!$A$2:$A$4919,$A1873)/$F1873,"")</f>
        <v/>
      </c>
      <c r="J1873" s="6">
        <f>IFERROR(SUMIFS('DETALLE CRONOLÓGICO'!$K$2:$K$4919,'DETALLE CRONOLÓGICO'!$A$2:$A$4919,$A1873)/$E1873,"")</f>
        <v/>
      </c>
      <c r="K1873" s="6">
        <f>_xlfn.MINIFS('DETALLE CRONOLÓGICO'!$K$2:$K$4919,'DETALLE CRONOLÓGICO'!$A$2:$A$4919,$A1873)</f>
        <v/>
      </c>
      <c r="L1873" s="6">
        <f>_xlfn.MAXIFS('DETALLE CRONOLÓGICO'!$K$2:$K$4919,'DETALLE CRONOLÓGICO'!$A$2:$A$4919,$A1873)</f>
        <v/>
      </c>
      <c r="M1873" s="6">
        <f>INDEX('DETALLE CRONOLÓGICO'!$K$2:$K$4919,MATCH($A1873,'DETALLE CRONOLÓGICO'!$A$2:$A$4919,0)+$E1873-1)</f>
        <v/>
      </c>
      <c r="N1873" s="7">
        <f>IFERROR($M1873/INDEX('DETALLE CRONOLÓGICO'!$K$2:$K$4919,MATCH($A1873,'DETALLE CRONOLÓGICO'!$A$2:$A$4919,0))-1,"")</f>
        <v/>
      </c>
      <c r="O1873" s="6">
        <f>IFERROR($I1873*3,"")</f>
        <v/>
      </c>
      <c r="P1873" s="6">
        <f>IFERROR($I1873*3.5,"")</f>
        <v/>
      </c>
      <c r="Q1873" s="6">
        <f>IFERROR($I1873*4,"")</f>
        <v/>
      </c>
      <c r="R1873" s="6" t="n">
        <v>2500</v>
      </c>
      <c r="S1873" s="4" t="n">
        <v>1</v>
      </c>
      <c r="T1873" s="1" t="inlineStr">
        <is>
          <t>active</t>
        </is>
      </c>
      <c r="U1873" s="8" t="n"/>
      <c r="V1873" s="1" t="inlineStr">
        <is>
          <t>SIN PRECIO</t>
        </is>
      </c>
    </row>
    <row r="1874">
      <c r="A1874" s="1" t="inlineStr">
        <is>
          <t>77590343248780</t>
        </is>
      </c>
      <c r="B1874" s="1" t="inlineStr">
        <is>
          <t>TRAJE DE BAÑO COMPLETO PR</t>
        </is>
      </c>
      <c r="C1874" s="1" t="inlineStr">
        <is>
          <t>M</t>
        </is>
      </c>
      <c r="D1874" s="1" t="inlineStr">
        <is>
          <t>ZOEY</t>
        </is>
      </c>
      <c r="E1874" s="4">
        <f>COUNTIF('DETALLE CRONOLÓGICO'!$A$2:$A$4919,$A1874)</f>
        <v/>
      </c>
      <c r="F1874" s="4">
        <f>SUMIFS('DETALLE CRONOLÓGICO'!$I$2:$I$4919,'DETALLE CRONOLÓGICO'!$A$2:$A$4919,$A1874)</f>
        <v/>
      </c>
      <c r="G1874" s="1">
        <f>INDEX('DETALLE CRONOLÓGICO'!$D$2:$D$4919,MATCH($A1874,'DETALLE CRONOLÓGICO'!$A$2:$A$4919,0))</f>
        <v/>
      </c>
      <c r="H1874" s="1">
        <f>INDEX('DETALLE CRONOLÓGICO'!$D$2:$D$4919,MATCH($A1874,'DETALLE CRONOLÓGICO'!$A$2:$A$4919,0)+$E1874-1)</f>
        <v/>
      </c>
      <c r="I1874" s="5">
        <f>IFERROR(SUMIFS('DETALLE CRONOLÓGICO'!$L$2:$L$4919,'DETALLE CRONOLÓGICO'!$A$2:$A$4919,$A1874)/$F1874,"")</f>
        <v/>
      </c>
      <c r="J1874" s="6">
        <f>IFERROR(SUMIFS('DETALLE CRONOLÓGICO'!$K$2:$K$4919,'DETALLE CRONOLÓGICO'!$A$2:$A$4919,$A1874)/$E1874,"")</f>
        <v/>
      </c>
      <c r="K1874" s="6">
        <f>_xlfn.MINIFS('DETALLE CRONOLÓGICO'!$K$2:$K$4919,'DETALLE CRONOLÓGICO'!$A$2:$A$4919,$A1874)</f>
        <v/>
      </c>
      <c r="L1874" s="6">
        <f>_xlfn.MAXIFS('DETALLE CRONOLÓGICO'!$K$2:$K$4919,'DETALLE CRONOLÓGICO'!$A$2:$A$4919,$A1874)</f>
        <v/>
      </c>
      <c r="M1874" s="6">
        <f>INDEX('DETALLE CRONOLÓGICO'!$K$2:$K$4919,MATCH($A1874,'DETALLE CRONOLÓGICO'!$A$2:$A$4919,0)+$E1874-1)</f>
        <v/>
      </c>
      <c r="N1874" s="7">
        <f>IFERROR($M1874/INDEX('DETALLE CRONOLÓGICO'!$K$2:$K$4919,MATCH($A1874,'DETALLE CRONOLÓGICO'!$A$2:$A$4919,0))-1,"")</f>
        <v/>
      </c>
      <c r="O1874" s="6">
        <f>IFERROR($I1874*3,"")</f>
        <v/>
      </c>
      <c r="P1874" s="6">
        <f>IFERROR($I1874*3.5,"")</f>
        <v/>
      </c>
      <c r="Q1874" s="6">
        <f>IFERROR($I1874*4,"")</f>
        <v/>
      </c>
      <c r="R1874" s="6" t="n">
        <v>2500</v>
      </c>
      <c r="S1874" s="4" t="n">
        <v>4</v>
      </c>
      <c r="T1874" s="1" t="inlineStr">
        <is>
          <t>active</t>
        </is>
      </c>
      <c r="U1874" s="8" t="n"/>
      <c r="V1874" s="1" t="inlineStr">
        <is>
          <t>SIN PRECIO</t>
        </is>
      </c>
    </row>
    <row r="1875">
      <c r="A1875" s="1" t="inlineStr">
        <is>
          <t>77590343909900</t>
        </is>
      </c>
      <c r="B1875" s="1" t="inlineStr">
        <is>
          <t>TRAJE DE BAÑO F</t>
        </is>
      </c>
      <c r="C1875" s="1" t="inlineStr">
        <is>
          <t>S</t>
        </is>
      </c>
      <c r="D1875" s="1" t="inlineStr">
        <is>
          <t>ZOEY</t>
        </is>
      </c>
      <c r="E1875" s="4">
        <f>COUNTIF('DETALLE CRONOLÓGICO'!$A$2:$A$4919,$A1875)</f>
        <v/>
      </c>
      <c r="F1875" s="4">
        <f>SUMIFS('DETALLE CRONOLÓGICO'!$I$2:$I$4919,'DETALLE CRONOLÓGICO'!$A$2:$A$4919,$A1875)</f>
        <v/>
      </c>
      <c r="G1875" s="1">
        <f>INDEX('DETALLE CRONOLÓGICO'!$D$2:$D$4919,MATCH($A1875,'DETALLE CRONOLÓGICO'!$A$2:$A$4919,0))</f>
        <v/>
      </c>
      <c r="H1875" s="1">
        <f>INDEX('DETALLE CRONOLÓGICO'!$D$2:$D$4919,MATCH($A1875,'DETALLE CRONOLÓGICO'!$A$2:$A$4919,0)+$E1875-1)</f>
        <v/>
      </c>
      <c r="I1875" s="5">
        <f>IFERROR(SUMIFS('DETALLE CRONOLÓGICO'!$L$2:$L$4919,'DETALLE CRONOLÓGICO'!$A$2:$A$4919,$A1875)/$F1875,"")</f>
        <v/>
      </c>
      <c r="J1875" s="6">
        <f>IFERROR(SUMIFS('DETALLE CRONOLÓGICO'!$K$2:$K$4919,'DETALLE CRONOLÓGICO'!$A$2:$A$4919,$A1875)/$E1875,"")</f>
        <v/>
      </c>
      <c r="K1875" s="6">
        <f>_xlfn.MINIFS('DETALLE CRONOLÓGICO'!$K$2:$K$4919,'DETALLE CRONOLÓGICO'!$A$2:$A$4919,$A1875)</f>
        <v/>
      </c>
      <c r="L1875" s="6">
        <f>_xlfn.MAXIFS('DETALLE CRONOLÓGICO'!$K$2:$K$4919,'DETALLE CRONOLÓGICO'!$A$2:$A$4919,$A1875)</f>
        <v/>
      </c>
      <c r="M1875" s="6">
        <f>INDEX('DETALLE CRONOLÓGICO'!$K$2:$K$4919,MATCH($A1875,'DETALLE CRONOLÓGICO'!$A$2:$A$4919,0)+$E1875-1)</f>
        <v/>
      </c>
      <c r="N1875" s="7">
        <f>IFERROR($M1875/INDEX('DETALLE CRONOLÓGICO'!$K$2:$K$4919,MATCH($A1875,'DETALLE CRONOLÓGICO'!$A$2:$A$4919,0))-1,"")</f>
        <v/>
      </c>
      <c r="O1875" s="6">
        <f>IFERROR($I1875*3,"")</f>
        <v/>
      </c>
      <c r="P1875" s="6">
        <f>IFERROR($I1875*3.5,"")</f>
        <v/>
      </c>
      <c r="Q1875" s="6">
        <f>IFERROR($I1875*4,"")</f>
        <v/>
      </c>
      <c r="R1875" s="6" t="n">
        <v>2659</v>
      </c>
      <c r="S1875" s="4" t="n">
        <v>1</v>
      </c>
      <c r="T1875" s="1" t="inlineStr">
        <is>
          <t>active</t>
        </is>
      </c>
      <c r="U1875" s="8" t="n"/>
      <c r="V1875" s="1" t="inlineStr">
        <is>
          <t>SIN PRECIO</t>
        </is>
      </c>
    </row>
    <row r="1876">
      <c r="A1876" s="1" t="inlineStr">
        <is>
          <t>77590343942668</t>
        </is>
      </c>
      <c r="B1876" s="1" t="inlineStr">
        <is>
          <t>TRAJE DE BAÑO F</t>
        </is>
      </c>
      <c r="C1876" s="1" t="inlineStr">
        <is>
          <t>M</t>
        </is>
      </c>
      <c r="D1876" s="1" t="inlineStr">
        <is>
          <t>ZOEY</t>
        </is>
      </c>
      <c r="E1876" s="4">
        <f>COUNTIF('DETALLE CRONOLÓGICO'!$A$2:$A$4919,$A1876)</f>
        <v/>
      </c>
      <c r="F1876" s="4">
        <f>SUMIFS('DETALLE CRONOLÓGICO'!$I$2:$I$4919,'DETALLE CRONOLÓGICO'!$A$2:$A$4919,$A1876)</f>
        <v/>
      </c>
      <c r="G1876" s="1">
        <f>INDEX('DETALLE CRONOLÓGICO'!$D$2:$D$4919,MATCH($A1876,'DETALLE CRONOLÓGICO'!$A$2:$A$4919,0))</f>
        <v/>
      </c>
      <c r="H1876" s="1">
        <f>INDEX('DETALLE CRONOLÓGICO'!$D$2:$D$4919,MATCH($A1876,'DETALLE CRONOLÓGICO'!$A$2:$A$4919,0)+$E1876-1)</f>
        <v/>
      </c>
      <c r="I1876" s="5">
        <f>IFERROR(SUMIFS('DETALLE CRONOLÓGICO'!$L$2:$L$4919,'DETALLE CRONOLÓGICO'!$A$2:$A$4919,$A1876)/$F1876,"")</f>
        <v/>
      </c>
      <c r="J1876" s="6">
        <f>IFERROR(SUMIFS('DETALLE CRONOLÓGICO'!$K$2:$K$4919,'DETALLE CRONOLÓGICO'!$A$2:$A$4919,$A1876)/$E1876,"")</f>
        <v/>
      </c>
      <c r="K1876" s="6">
        <f>_xlfn.MINIFS('DETALLE CRONOLÓGICO'!$K$2:$K$4919,'DETALLE CRONOLÓGICO'!$A$2:$A$4919,$A1876)</f>
        <v/>
      </c>
      <c r="L1876" s="6">
        <f>_xlfn.MAXIFS('DETALLE CRONOLÓGICO'!$K$2:$K$4919,'DETALLE CRONOLÓGICO'!$A$2:$A$4919,$A1876)</f>
        <v/>
      </c>
      <c r="M1876" s="6">
        <f>INDEX('DETALLE CRONOLÓGICO'!$K$2:$K$4919,MATCH($A1876,'DETALLE CRONOLÓGICO'!$A$2:$A$4919,0)+$E1876-1)</f>
        <v/>
      </c>
      <c r="N1876" s="7">
        <f>IFERROR($M1876/INDEX('DETALLE CRONOLÓGICO'!$K$2:$K$4919,MATCH($A1876,'DETALLE CRONOLÓGICO'!$A$2:$A$4919,0))-1,"")</f>
        <v/>
      </c>
      <c r="O1876" s="6">
        <f>IFERROR($I1876*3,"")</f>
        <v/>
      </c>
      <c r="P1876" s="6">
        <f>IFERROR($I1876*3.5,"")</f>
        <v/>
      </c>
      <c r="Q1876" s="6">
        <f>IFERROR($I1876*4,"")</f>
        <v/>
      </c>
      <c r="R1876" s="6" t="n">
        <v>2659</v>
      </c>
      <c r="S1876" s="4" t="n">
        <v>3</v>
      </c>
      <c r="T1876" s="1" t="inlineStr">
        <is>
          <t>active</t>
        </is>
      </c>
      <c r="U1876" s="8" t="n"/>
      <c r="V1876" s="1" t="inlineStr">
        <is>
          <t>SIN PRECIO</t>
        </is>
      </c>
    </row>
    <row r="1877">
      <c r="A1877" s="1" t="inlineStr">
        <is>
          <t>77590344914188</t>
        </is>
      </c>
      <c r="B1877" s="1" t="inlineStr">
        <is>
          <t>TRAJE DE BAÑO COMPLETO DG</t>
        </is>
      </c>
      <c r="C1877" s="1" t="inlineStr">
        <is>
          <t>M</t>
        </is>
      </c>
      <c r="D1877" s="1" t="inlineStr">
        <is>
          <t>ZOEY</t>
        </is>
      </c>
      <c r="E1877" s="4">
        <f>COUNTIF('DETALLE CRONOLÓGICO'!$A$2:$A$4919,$A1877)</f>
        <v/>
      </c>
      <c r="F1877" s="4">
        <f>SUMIFS('DETALLE CRONOLÓGICO'!$I$2:$I$4919,'DETALLE CRONOLÓGICO'!$A$2:$A$4919,$A1877)</f>
        <v/>
      </c>
      <c r="G1877" s="1">
        <f>INDEX('DETALLE CRONOLÓGICO'!$D$2:$D$4919,MATCH($A1877,'DETALLE CRONOLÓGICO'!$A$2:$A$4919,0))</f>
        <v/>
      </c>
      <c r="H1877" s="1">
        <f>INDEX('DETALLE CRONOLÓGICO'!$D$2:$D$4919,MATCH($A1877,'DETALLE CRONOLÓGICO'!$A$2:$A$4919,0)+$E1877-1)</f>
        <v/>
      </c>
      <c r="I1877" s="5">
        <f>IFERROR(SUMIFS('DETALLE CRONOLÓGICO'!$L$2:$L$4919,'DETALLE CRONOLÓGICO'!$A$2:$A$4919,$A1877)/$F1877,"")</f>
        <v/>
      </c>
      <c r="J1877" s="6">
        <f>IFERROR(SUMIFS('DETALLE CRONOLÓGICO'!$K$2:$K$4919,'DETALLE CRONOLÓGICO'!$A$2:$A$4919,$A1877)/$E1877,"")</f>
        <v/>
      </c>
      <c r="K1877" s="6">
        <f>_xlfn.MINIFS('DETALLE CRONOLÓGICO'!$K$2:$K$4919,'DETALLE CRONOLÓGICO'!$A$2:$A$4919,$A1877)</f>
        <v/>
      </c>
      <c r="L1877" s="6">
        <f>_xlfn.MAXIFS('DETALLE CRONOLÓGICO'!$K$2:$K$4919,'DETALLE CRONOLÓGICO'!$A$2:$A$4919,$A1877)</f>
        <v/>
      </c>
      <c r="M1877" s="6">
        <f>INDEX('DETALLE CRONOLÓGICO'!$K$2:$K$4919,MATCH($A1877,'DETALLE CRONOLÓGICO'!$A$2:$A$4919,0)+$E1877-1)</f>
        <v/>
      </c>
      <c r="N1877" s="7">
        <f>IFERROR($M1877/INDEX('DETALLE CRONOLÓGICO'!$K$2:$K$4919,MATCH($A1877,'DETALLE CRONOLÓGICO'!$A$2:$A$4919,0))-1,"")</f>
        <v/>
      </c>
      <c r="O1877" s="6">
        <f>IFERROR($I1877*3,"")</f>
        <v/>
      </c>
      <c r="P1877" s="6">
        <f>IFERROR($I1877*3.5,"")</f>
        <v/>
      </c>
      <c r="Q1877" s="6">
        <f>IFERROR($I1877*4,"")</f>
        <v/>
      </c>
      <c r="R1877" s="6" t="n">
        <v>2659</v>
      </c>
      <c r="S1877" s="4" t="n">
        <v>2</v>
      </c>
      <c r="T1877" s="1" t="inlineStr">
        <is>
          <t>active</t>
        </is>
      </c>
      <c r="U1877" s="8" t="n"/>
      <c r="V1877" s="1" t="inlineStr">
        <is>
          <t>SIN PRECIO</t>
        </is>
      </c>
    </row>
    <row r="1878">
      <c r="A1878" s="1" t="inlineStr">
        <is>
          <t>77724991007277</t>
        </is>
      </c>
      <c r="B1878" s="1" t="inlineStr">
        <is>
          <t>PULSERA LOVE DELGADA SILVER</t>
        </is>
      </c>
      <c r="C1878" s="1" t="inlineStr">
        <is>
          <t>16cm</t>
        </is>
      </c>
      <c r="D1878" s="1" t="inlineStr">
        <is>
          <t>HAIFENG</t>
        </is>
      </c>
      <c r="E1878" s="4">
        <f>COUNTIF('DETALLE CRONOLÓGICO'!$A$2:$A$4919,$A1878)</f>
        <v/>
      </c>
      <c r="F1878" s="4">
        <f>SUMIFS('DETALLE CRONOLÓGICO'!$I$2:$I$4919,'DETALLE CRONOLÓGICO'!$A$2:$A$4919,$A1878)</f>
        <v/>
      </c>
      <c r="G1878" s="1">
        <f>INDEX('DETALLE CRONOLÓGICO'!$D$2:$D$4919,MATCH($A1878,'DETALLE CRONOLÓGICO'!$A$2:$A$4919,0))</f>
        <v/>
      </c>
      <c r="H1878" s="1">
        <f>INDEX('DETALLE CRONOLÓGICO'!$D$2:$D$4919,MATCH($A1878,'DETALLE CRONOLÓGICO'!$A$2:$A$4919,0)+$E1878-1)</f>
        <v/>
      </c>
      <c r="I1878" s="5">
        <f>IFERROR(SUMIFS('DETALLE CRONOLÓGICO'!$L$2:$L$4919,'DETALLE CRONOLÓGICO'!$A$2:$A$4919,$A1878)/$F1878,"")</f>
        <v/>
      </c>
      <c r="J1878" s="6">
        <f>IFERROR(SUMIFS('DETALLE CRONOLÓGICO'!$K$2:$K$4919,'DETALLE CRONOLÓGICO'!$A$2:$A$4919,$A1878)/$E1878,"")</f>
        <v/>
      </c>
      <c r="K1878" s="6">
        <f>_xlfn.MINIFS('DETALLE CRONOLÓGICO'!$K$2:$K$4919,'DETALLE CRONOLÓGICO'!$A$2:$A$4919,$A1878)</f>
        <v/>
      </c>
      <c r="L1878" s="6">
        <f>_xlfn.MAXIFS('DETALLE CRONOLÓGICO'!$K$2:$K$4919,'DETALLE CRONOLÓGICO'!$A$2:$A$4919,$A1878)</f>
        <v/>
      </c>
      <c r="M1878" s="6">
        <f>INDEX('DETALLE CRONOLÓGICO'!$K$2:$K$4919,MATCH($A1878,'DETALLE CRONOLÓGICO'!$A$2:$A$4919,0)+$E1878-1)</f>
        <v/>
      </c>
      <c r="N1878" s="7">
        <f>IFERROR($M1878/INDEX('DETALLE CRONOLÓGICO'!$K$2:$K$4919,MATCH($A1878,'DETALLE CRONOLÓGICO'!$A$2:$A$4919,0))-1,"")</f>
        <v/>
      </c>
      <c r="O1878" s="6">
        <f>IFERROR($I1878*3,"")</f>
        <v/>
      </c>
      <c r="P1878" s="6">
        <f>IFERROR($I1878*3.5,"")</f>
        <v/>
      </c>
      <c r="Q1878" s="6">
        <f>IFERROR($I1878*4,"")</f>
        <v/>
      </c>
      <c r="R1878" s="6" t="n">
        <v>499</v>
      </c>
      <c r="S1878" s="4" t="n">
        <v>2</v>
      </c>
      <c r="T1878" s="1" t="inlineStr">
        <is>
          <t>active</t>
        </is>
      </c>
      <c r="U1878" s="8" t="n"/>
      <c r="V1878" s="1" t="inlineStr">
        <is>
          <t>SIN PRECIO</t>
        </is>
      </c>
    </row>
    <row r="1879">
      <c r="A1879" s="1" t="inlineStr">
        <is>
          <t>77724991140045</t>
        </is>
      </c>
      <c r="B1879" s="1" t="inlineStr">
        <is>
          <t>PULSERA LOVE DELGADA SILVER</t>
        </is>
      </c>
      <c r="C1879" s="1" t="inlineStr">
        <is>
          <t>17cm</t>
        </is>
      </c>
      <c r="D1879" s="1" t="inlineStr">
        <is>
          <t>HAIFENG</t>
        </is>
      </c>
      <c r="E1879" s="4">
        <f>COUNTIF('DETALLE CRONOLÓGICO'!$A$2:$A$4919,$A1879)</f>
        <v/>
      </c>
      <c r="F1879" s="4">
        <f>SUMIFS('DETALLE CRONOLÓGICO'!$I$2:$I$4919,'DETALLE CRONOLÓGICO'!$A$2:$A$4919,$A1879)</f>
        <v/>
      </c>
      <c r="G1879" s="1">
        <f>INDEX('DETALLE CRONOLÓGICO'!$D$2:$D$4919,MATCH($A1879,'DETALLE CRONOLÓGICO'!$A$2:$A$4919,0))</f>
        <v/>
      </c>
      <c r="H1879" s="1">
        <f>INDEX('DETALLE CRONOLÓGICO'!$D$2:$D$4919,MATCH($A1879,'DETALLE CRONOLÓGICO'!$A$2:$A$4919,0)+$E1879-1)</f>
        <v/>
      </c>
      <c r="I1879" s="5">
        <f>IFERROR(SUMIFS('DETALLE CRONOLÓGICO'!$L$2:$L$4919,'DETALLE CRONOLÓGICO'!$A$2:$A$4919,$A1879)/$F1879,"")</f>
        <v/>
      </c>
      <c r="J1879" s="6">
        <f>IFERROR(SUMIFS('DETALLE CRONOLÓGICO'!$K$2:$K$4919,'DETALLE CRONOLÓGICO'!$A$2:$A$4919,$A1879)/$E1879,"")</f>
        <v/>
      </c>
      <c r="K1879" s="6">
        <f>_xlfn.MINIFS('DETALLE CRONOLÓGICO'!$K$2:$K$4919,'DETALLE CRONOLÓGICO'!$A$2:$A$4919,$A1879)</f>
        <v/>
      </c>
      <c r="L1879" s="6">
        <f>_xlfn.MAXIFS('DETALLE CRONOLÓGICO'!$K$2:$K$4919,'DETALLE CRONOLÓGICO'!$A$2:$A$4919,$A1879)</f>
        <v/>
      </c>
      <c r="M1879" s="6">
        <f>INDEX('DETALLE CRONOLÓGICO'!$K$2:$K$4919,MATCH($A1879,'DETALLE CRONOLÓGICO'!$A$2:$A$4919,0)+$E1879-1)</f>
        <v/>
      </c>
      <c r="N1879" s="7">
        <f>IFERROR($M1879/INDEX('DETALLE CRONOLÓGICO'!$K$2:$K$4919,MATCH($A1879,'DETALLE CRONOLÓGICO'!$A$2:$A$4919,0))-1,"")</f>
        <v/>
      </c>
      <c r="O1879" s="6">
        <f>IFERROR($I1879*3,"")</f>
        <v/>
      </c>
      <c r="P1879" s="6">
        <f>IFERROR($I1879*3.5,"")</f>
        <v/>
      </c>
      <c r="Q1879" s="6">
        <f>IFERROR($I1879*4,"")</f>
        <v/>
      </c>
      <c r="R1879" s="6" t="n">
        <v>499</v>
      </c>
      <c r="S1879" s="4" t="n">
        <v>4</v>
      </c>
      <c r="T1879" s="1" t="inlineStr">
        <is>
          <t>active</t>
        </is>
      </c>
      <c r="U1879" s="8" t="n"/>
      <c r="V1879" s="1" t="inlineStr">
        <is>
          <t>SIN PRECIO</t>
        </is>
      </c>
    </row>
    <row r="1880">
      <c r="A1880" s="1" t="inlineStr">
        <is>
          <t>77724991272813</t>
        </is>
      </c>
      <c r="B1880" s="1" t="inlineStr">
        <is>
          <t>PULSERA LOVE DELGADA SILVER</t>
        </is>
      </c>
      <c r="C1880" s="1" t="inlineStr">
        <is>
          <t>18cm</t>
        </is>
      </c>
      <c r="D1880" s="1" t="inlineStr">
        <is>
          <t>HAIFENG</t>
        </is>
      </c>
      <c r="E1880" s="4">
        <f>COUNTIF('DETALLE CRONOLÓGICO'!$A$2:$A$4919,$A1880)</f>
        <v/>
      </c>
      <c r="F1880" s="4">
        <f>SUMIFS('DETALLE CRONOLÓGICO'!$I$2:$I$4919,'DETALLE CRONOLÓGICO'!$A$2:$A$4919,$A1880)</f>
        <v/>
      </c>
      <c r="G1880" s="1">
        <f>INDEX('DETALLE CRONOLÓGICO'!$D$2:$D$4919,MATCH($A1880,'DETALLE CRONOLÓGICO'!$A$2:$A$4919,0))</f>
        <v/>
      </c>
      <c r="H1880" s="1">
        <f>INDEX('DETALLE CRONOLÓGICO'!$D$2:$D$4919,MATCH($A1880,'DETALLE CRONOLÓGICO'!$A$2:$A$4919,0)+$E1880-1)</f>
        <v/>
      </c>
      <c r="I1880" s="5">
        <f>IFERROR(SUMIFS('DETALLE CRONOLÓGICO'!$L$2:$L$4919,'DETALLE CRONOLÓGICO'!$A$2:$A$4919,$A1880)/$F1880,"")</f>
        <v/>
      </c>
      <c r="J1880" s="6">
        <f>IFERROR(SUMIFS('DETALLE CRONOLÓGICO'!$K$2:$K$4919,'DETALLE CRONOLÓGICO'!$A$2:$A$4919,$A1880)/$E1880,"")</f>
        <v/>
      </c>
      <c r="K1880" s="6">
        <f>_xlfn.MINIFS('DETALLE CRONOLÓGICO'!$K$2:$K$4919,'DETALLE CRONOLÓGICO'!$A$2:$A$4919,$A1880)</f>
        <v/>
      </c>
      <c r="L1880" s="6">
        <f>_xlfn.MAXIFS('DETALLE CRONOLÓGICO'!$K$2:$K$4919,'DETALLE CRONOLÓGICO'!$A$2:$A$4919,$A1880)</f>
        <v/>
      </c>
      <c r="M1880" s="6">
        <f>INDEX('DETALLE CRONOLÓGICO'!$K$2:$K$4919,MATCH($A1880,'DETALLE CRONOLÓGICO'!$A$2:$A$4919,0)+$E1880-1)</f>
        <v/>
      </c>
      <c r="N1880" s="7">
        <f>IFERROR($M1880/INDEX('DETALLE CRONOLÓGICO'!$K$2:$K$4919,MATCH($A1880,'DETALLE CRONOLÓGICO'!$A$2:$A$4919,0))-1,"")</f>
        <v/>
      </c>
      <c r="O1880" s="6">
        <f>IFERROR($I1880*3,"")</f>
        <v/>
      </c>
      <c r="P1880" s="6">
        <f>IFERROR($I1880*3.5,"")</f>
        <v/>
      </c>
      <c r="Q1880" s="6">
        <f>IFERROR($I1880*4,"")</f>
        <v/>
      </c>
      <c r="R1880" s="6" t="n">
        <v>499</v>
      </c>
      <c r="S1880" s="4" t="n">
        <v>0</v>
      </c>
      <c r="T1880" s="1" t="inlineStr">
        <is>
          <t>active</t>
        </is>
      </c>
      <c r="U1880" s="8" t="n"/>
      <c r="V1880" s="1" t="inlineStr">
        <is>
          <t>SIN PRECIO</t>
        </is>
      </c>
    </row>
    <row r="1881">
      <c r="A1881" s="1" t="inlineStr">
        <is>
          <t>77724991305581</t>
        </is>
      </c>
      <c r="B1881" s="1" t="inlineStr">
        <is>
          <t>PULSERA LOVE DELGADA SILVER</t>
        </is>
      </c>
      <c r="C1881" s="1" t="inlineStr">
        <is>
          <t>19cm</t>
        </is>
      </c>
      <c r="D1881" s="1" t="inlineStr">
        <is>
          <t>HAIFENG</t>
        </is>
      </c>
      <c r="E1881" s="4">
        <f>COUNTIF('DETALLE CRONOLÓGICO'!$A$2:$A$4919,$A1881)</f>
        <v/>
      </c>
      <c r="F1881" s="4">
        <f>SUMIFS('DETALLE CRONOLÓGICO'!$I$2:$I$4919,'DETALLE CRONOLÓGICO'!$A$2:$A$4919,$A1881)</f>
        <v/>
      </c>
      <c r="G1881" s="1">
        <f>INDEX('DETALLE CRONOLÓGICO'!$D$2:$D$4919,MATCH($A1881,'DETALLE CRONOLÓGICO'!$A$2:$A$4919,0))</f>
        <v/>
      </c>
      <c r="H1881" s="1">
        <f>INDEX('DETALLE CRONOLÓGICO'!$D$2:$D$4919,MATCH($A1881,'DETALLE CRONOLÓGICO'!$A$2:$A$4919,0)+$E1881-1)</f>
        <v/>
      </c>
      <c r="I1881" s="5">
        <f>IFERROR(SUMIFS('DETALLE CRONOLÓGICO'!$L$2:$L$4919,'DETALLE CRONOLÓGICO'!$A$2:$A$4919,$A1881)/$F1881,"")</f>
        <v/>
      </c>
      <c r="J1881" s="6">
        <f>IFERROR(SUMIFS('DETALLE CRONOLÓGICO'!$K$2:$K$4919,'DETALLE CRONOLÓGICO'!$A$2:$A$4919,$A1881)/$E1881,"")</f>
        <v/>
      </c>
      <c r="K1881" s="6">
        <f>_xlfn.MINIFS('DETALLE CRONOLÓGICO'!$K$2:$K$4919,'DETALLE CRONOLÓGICO'!$A$2:$A$4919,$A1881)</f>
        <v/>
      </c>
      <c r="L1881" s="6">
        <f>_xlfn.MAXIFS('DETALLE CRONOLÓGICO'!$K$2:$K$4919,'DETALLE CRONOLÓGICO'!$A$2:$A$4919,$A1881)</f>
        <v/>
      </c>
      <c r="M1881" s="6">
        <f>INDEX('DETALLE CRONOLÓGICO'!$K$2:$K$4919,MATCH($A1881,'DETALLE CRONOLÓGICO'!$A$2:$A$4919,0)+$E1881-1)</f>
        <v/>
      </c>
      <c r="N1881" s="7">
        <f>IFERROR($M1881/INDEX('DETALLE CRONOLÓGICO'!$K$2:$K$4919,MATCH($A1881,'DETALLE CRONOLÓGICO'!$A$2:$A$4919,0))-1,"")</f>
        <v/>
      </c>
      <c r="O1881" s="6">
        <f>IFERROR($I1881*3,"")</f>
        <v/>
      </c>
      <c r="P1881" s="6">
        <f>IFERROR($I1881*3.5,"")</f>
        <v/>
      </c>
      <c r="Q1881" s="6">
        <f>IFERROR($I1881*4,"")</f>
        <v/>
      </c>
      <c r="R1881" s="6" t="n">
        <v>499</v>
      </c>
      <c r="S1881" s="4" t="n">
        <v>1</v>
      </c>
      <c r="T1881" s="1" t="inlineStr">
        <is>
          <t>active</t>
        </is>
      </c>
      <c r="U1881" s="8" t="n"/>
      <c r="V1881" s="1" t="inlineStr">
        <is>
          <t>SIN PRECIO</t>
        </is>
      </c>
    </row>
    <row r="1882">
      <c r="A1882" s="1" t="inlineStr">
        <is>
          <t>77763960600332</t>
        </is>
      </c>
      <c r="B1882" s="1" t="inlineStr">
        <is>
          <t>PERFUME BACCARAT</t>
        </is>
      </c>
      <c r="C1882" s="1" t="inlineStr">
        <is>
          <t>70ml</t>
        </is>
      </c>
      <c r="D1882" s="1" t="inlineStr">
        <is>
          <t>ZOEY</t>
        </is>
      </c>
      <c r="E1882" s="4">
        <f>COUNTIF('DETALLE CRONOLÓGICO'!$A$2:$A$4919,$A1882)</f>
        <v/>
      </c>
      <c r="F1882" s="4">
        <f>SUMIFS('DETALLE CRONOLÓGICO'!$I$2:$I$4919,'DETALLE CRONOLÓGICO'!$A$2:$A$4919,$A1882)</f>
        <v/>
      </c>
      <c r="G1882" s="1">
        <f>INDEX('DETALLE CRONOLÓGICO'!$D$2:$D$4919,MATCH($A1882,'DETALLE CRONOLÓGICO'!$A$2:$A$4919,0))</f>
        <v/>
      </c>
      <c r="H1882" s="1">
        <f>INDEX('DETALLE CRONOLÓGICO'!$D$2:$D$4919,MATCH($A1882,'DETALLE CRONOLÓGICO'!$A$2:$A$4919,0)+$E1882-1)</f>
        <v/>
      </c>
      <c r="I1882" s="5">
        <f>IFERROR(SUMIFS('DETALLE CRONOLÓGICO'!$L$2:$L$4919,'DETALLE CRONOLÓGICO'!$A$2:$A$4919,$A1882)/$F1882,"")</f>
        <v/>
      </c>
      <c r="J1882" s="6">
        <f>IFERROR(SUMIFS('DETALLE CRONOLÓGICO'!$K$2:$K$4919,'DETALLE CRONOLÓGICO'!$A$2:$A$4919,$A1882)/$E1882,"")</f>
        <v/>
      </c>
      <c r="K1882" s="6">
        <f>_xlfn.MINIFS('DETALLE CRONOLÓGICO'!$K$2:$K$4919,'DETALLE CRONOLÓGICO'!$A$2:$A$4919,$A1882)</f>
        <v/>
      </c>
      <c r="L1882" s="6">
        <f>_xlfn.MAXIFS('DETALLE CRONOLÓGICO'!$K$2:$K$4919,'DETALLE CRONOLÓGICO'!$A$2:$A$4919,$A1882)</f>
        <v/>
      </c>
      <c r="M1882" s="6">
        <f>INDEX('DETALLE CRONOLÓGICO'!$K$2:$K$4919,MATCH($A1882,'DETALLE CRONOLÓGICO'!$A$2:$A$4919,0)+$E1882-1)</f>
        <v/>
      </c>
      <c r="N1882" s="7">
        <f>IFERROR($M1882/INDEX('DETALLE CRONOLÓGICO'!$K$2:$K$4919,MATCH($A1882,'DETALLE CRONOLÓGICO'!$A$2:$A$4919,0))-1,"")</f>
        <v/>
      </c>
      <c r="O1882" s="6">
        <f>IFERROR($I1882*3,"")</f>
        <v/>
      </c>
      <c r="P1882" s="6">
        <f>IFERROR($I1882*3.5,"")</f>
        <v/>
      </c>
      <c r="Q1882" s="6">
        <f>IFERROR($I1882*4,"")</f>
        <v/>
      </c>
      <c r="R1882" s="6" t="n">
        <v>1845</v>
      </c>
      <c r="S1882" s="4" t="n">
        <v>6</v>
      </c>
      <c r="T1882" s="1" t="inlineStr">
        <is>
          <t>active</t>
        </is>
      </c>
      <c r="U1882" s="8" t="n"/>
      <c r="V1882" s="1" t="inlineStr">
        <is>
          <t>SIN PRECIO</t>
        </is>
      </c>
    </row>
    <row r="1883">
      <c r="A1883" s="1" t="inlineStr">
        <is>
          <t>77763961743628</t>
        </is>
      </c>
      <c r="B1883" s="1" t="inlineStr">
        <is>
          <t>PERFUME SANTAL 33</t>
        </is>
      </c>
      <c r="C1883" s="1" t="inlineStr">
        <is>
          <t>100ml</t>
        </is>
      </c>
      <c r="D1883" s="1" t="inlineStr">
        <is>
          <t>ZOEY</t>
        </is>
      </c>
      <c r="E1883" s="4">
        <f>COUNTIF('DETALLE CRONOLÓGICO'!$A$2:$A$4919,$A1883)</f>
        <v/>
      </c>
      <c r="F1883" s="4">
        <f>SUMIFS('DETALLE CRONOLÓGICO'!$I$2:$I$4919,'DETALLE CRONOLÓGICO'!$A$2:$A$4919,$A1883)</f>
        <v/>
      </c>
      <c r="G1883" s="1">
        <f>INDEX('DETALLE CRONOLÓGICO'!$D$2:$D$4919,MATCH($A1883,'DETALLE CRONOLÓGICO'!$A$2:$A$4919,0))</f>
        <v/>
      </c>
      <c r="H1883" s="1">
        <f>INDEX('DETALLE CRONOLÓGICO'!$D$2:$D$4919,MATCH($A1883,'DETALLE CRONOLÓGICO'!$A$2:$A$4919,0)+$E1883-1)</f>
        <v/>
      </c>
      <c r="I1883" s="5">
        <f>IFERROR(SUMIFS('DETALLE CRONOLÓGICO'!$L$2:$L$4919,'DETALLE CRONOLÓGICO'!$A$2:$A$4919,$A1883)/$F1883,"")</f>
        <v/>
      </c>
      <c r="J1883" s="6">
        <f>IFERROR(SUMIFS('DETALLE CRONOLÓGICO'!$K$2:$K$4919,'DETALLE CRONOLÓGICO'!$A$2:$A$4919,$A1883)/$E1883,"")</f>
        <v/>
      </c>
      <c r="K1883" s="6">
        <f>_xlfn.MINIFS('DETALLE CRONOLÓGICO'!$K$2:$K$4919,'DETALLE CRONOLÓGICO'!$A$2:$A$4919,$A1883)</f>
        <v/>
      </c>
      <c r="L1883" s="6">
        <f>_xlfn.MAXIFS('DETALLE CRONOLÓGICO'!$K$2:$K$4919,'DETALLE CRONOLÓGICO'!$A$2:$A$4919,$A1883)</f>
        <v/>
      </c>
      <c r="M1883" s="6">
        <f>INDEX('DETALLE CRONOLÓGICO'!$K$2:$K$4919,MATCH($A1883,'DETALLE CRONOLÓGICO'!$A$2:$A$4919,0)+$E1883-1)</f>
        <v/>
      </c>
      <c r="N1883" s="7">
        <f>IFERROR($M1883/INDEX('DETALLE CRONOLÓGICO'!$K$2:$K$4919,MATCH($A1883,'DETALLE CRONOLÓGICO'!$A$2:$A$4919,0))-1,"")</f>
        <v/>
      </c>
      <c r="O1883" s="6">
        <f>IFERROR($I1883*3,"")</f>
        <v/>
      </c>
      <c r="P1883" s="6">
        <f>IFERROR($I1883*3.5,"")</f>
        <v/>
      </c>
      <c r="Q1883" s="6">
        <f>IFERROR($I1883*4,"")</f>
        <v/>
      </c>
      <c r="R1883" s="6" t="n">
        <v>1859</v>
      </c>
      <c r="S1883" s="4" t="n">
        <v>5</v>
      </c>
      <c r="T1883" s="1" t="inlineStr">
        <is>
          <t>active</t>
        </is>
      </c>
      <c r="U1883" s="8" t="n"/>
      <c r="V1883" s="1" t="inlineStr">
        <is>
          <t>SIN PRECIO</t>
        </is>
      </c>
    </row>
    <row r="1884">
      <c r="A1884" s="1" t="inlineStr">
        <is>
          <t>77791751017421</t>
        </is>
      </c>
      <c r="B1884" s="1" t="inlineStr">
        <is>
          <t>COLLAR MSS MOVE SILVER LISO</t>
        </is>
      </c>
      <c r="C1884" s="1" t="inlineStr">
        <is>
          <t>Default Title</t>
        </is>
      </c>
      <c r="D1884" s="1" t="inlineStr">
        <is>
          <t>HAIFENG</t>
        </is>
      </c>
      <c r="E1884" s="4">
        <f>COUNTIF('DETALLE CRONOLÓGICO'!$A$2:$A$4919,$A1884)</f>
        <v/>
      </c>
      <c r="F1884" s="4">
        <f>SUMIFS('DETALLE CRONOLÓGICO'!$I$2:$I$4919,'DETALLE CRONOLÓGICO'!$A$2:$A$4919,$A1884)</f>
        <v/>
      </c>
      <c r="G1884" s="1">
        <f>INDEX('DETALLE CRONOLÓGICO'!$D$2:$D$4919,MATCH($A1884,'DETALLE CRONOLÓGICO'!$A$2:$A$4919,0))</f>
        <v/>
      </c>
      <c r="H1884" s="1">
        <f>INDEX('DETALLE CRONOLÓGICO'!$D$2:$D$4919,MATCH($A1884,'DETALLE CRONOLÓGICO'!$A$2:$A$4919,0)+$E1884-1)</f>
        <v/>
      </c>
      <c r="I1884" s="5">
        <f>IFERROR(SUMIFS('DETALLE CRONOLÓGICO'!$L$2:$L$4919,'DETALLE CRONOLÓGICO'!$A$2:$A$4919,$A1884)/$F1884,"")</f>
        <v/>
      </c>
      <c r="J1884" s="6">
        <f>IFERROR(SUMIFS('DETALLE CRONOLÓGICO'!$K$2:$K$4919,'DETALLE CRONOLÓGICO'!$A$2:$A$4919,$A1884)/$E1884,"")</f>
        <v/>
      </c>
      <c r="K1884" s="6">
        <f>_xlfn.MINIFS('DETALLE CRONOLÓGICO'!$K$2:$K$4919,'DETALLE CRONOLÓGICO'!$A$2:$A$4919,$A1884)</f>
        <v/>
      </c>
      <c r="L1884" s="6">
        <f>_xlfn.MAXIFS('DETALLE CRONOLÓGICO'!$K$2:$K$4919,'DETALLE CRONOLÓGICO'!$A$2:$A$4919,$A1884)</f>
        <v/>
      </c>
      <c r="M1884" s="6">
        <f>INDEX('DETALLE CRONOLÓGICO'!$K$2:$K$4919,MATCH($A1884,'DETALLE CRONOLÓGICO'!$A$2:$A$4919,0)+$E1884-1)</f>
        <v/>
      </c>
      <c r="N1884" s="7">
        <f>IFERROR($M1884/INDEX('DETALLE CRONOLÓGICO'!$K$2:$K$4919,MATCH($A1884,'DETALLE CRONOLÓGICO'!$A$2:$A$4919,0))-1,"")</f>
        <v/>
      </c>
      <c r="O1884" s="6">
        <f>IFERROR($I1884*3,"")</f>
        <v/>
      </c>
      <c r="P1884" s="6">
        <f>IFERROR($I1884*3.5,"")</f>
        <v/>
      </c>
      <c r="Q1884" s="6">
        <f>IFERROR($I1884*4,"")</f>
        <v/>
      </c>
      <c r="R1884" s="6" t="n">
        <v>659.2</v>
      </c>
      <c r="S1884" s="4" t="n">
        <v>0</v>
      </c>
      <c r="T1884" s="1" t="inlineStr">
        <is>
          <t>active</t>
        </is>
      </c>
      <c r="U1884" s="8" t="n"/>
      <c r="V1884" s="1" t="inlineStr">
        <is>
          <t>SIN PRECIO</t>
        </is>
      </c>
    </row>
    <row r="1885">
      <c r="A1885" s="1" t="inlineStr">
        <is>
          <t>77944125775884</t>
        </is>
      </c>
      <c r="B1885" s="1" t="inlineStr">
        <is>
          <t>VESTIDO A BACKSPIN</t>
        </is>
      </c>
      <c r="C1885" s="1" t="inlineStr">
        <is>
          <t>M</t>
        </is>
      </c>
      <c r="D1885" s="1" t="inlineStr">
        <is>
          <t>ZOEY</t>
        </is>
      </c>
      <c r="E1885" s="4">
        <f>COUNTIF('DETALLE CRONOLÓGICO'!$A$2:$A$4919,$A1885)</f>
        <v/>
      </c>
      <c r="F1885" s="4">
        <f>SUMIFS('DETALLE CRONOLÓGICO'!$I$2:$I$4919,'DETALLE CRONOLÓGICO'!$A$2:$A$4919,$A1885)</f>
        <v/>
      </c>
      <c r="G1885" s="1">
        <f>INDEX('DETALLE CRONOLÓGICO'!$D$2:$D$4919,MATCH($A1885,'DETALLE CRONOLÓGICO'!$A$2:$A$4919,0))</f>
        <v/>
      </c>
      <c r="H1885" s="1">
        <f>INDEX('DETALLE CRONOLÓGICO'!$D$2:$D$4919,MATCH($A1885,'DETALLE CRONOLÓGICO'!$A$2:$A$4919,0)+$E1885-1)</f>
        <v/>
      </c>
      <c r="I1885" s="5">
        <f>IFERROR(SUMIFS('DETALLE CRONOLÓGICO'!$L$2:$L$4919,'DETALLE CRONOLÓGICO'!$A$2:$A$4919,$A1885)/$F1885,"")</f>
        <v/>
      </c>
      <c r="J1885" s="6">
        <f>IFERROR(SUMIFS('DETALLE CRONOLÓGICO'!$K$2:$K$4919,'DETALLE CRONOLÓGICO'!$A$2:$A$4919,$A1885)/$E1885,"")</f>
        <v/>
      </c>
      <c r="K1885" s="6">
        <f>_xlfn.MINIFS('DETALLE CRONOLÓGICO'!$K$2:$K$4919,'DETALLE CRONOLÓGICO'!$A$2:$A$4919,$A1885)</f>
        <v/>
      </c>
      <c r="L1885" s="6">
        <f>_xlfn.MAXIFS('DETALLE CRONOLÓGICO'!$K$2:$K$4919,'DETALLE CRONOLÓGICO'!$A$2:$A$4919,$A1885)</f>
        <v/>
      </c>
      <c r="M1885" s="6">
        <f>INDEX('DETALLE CRONOLÓGICO'!$K$2:$K$4919,MATCH($A1885,'DETALLE CRONOLÓGICO'!$A$2:$A$4919,0)+$E1885-1)</f>
        <v/>
      </c>
      <c r="N1885" s="7">
        <f>IFERROR($M1885/INDEX('DETALLE CRONOLÓGICO'!$K$2:$K$4919,MATCH($A1885,'DETALLE CRONOLÓGICO'!$A$2:$A$4919,0))-1,"")</f>
        <v/>
      </c>
      <c r="O1885" s="6">
        <f>IFERROR($I1885*3,"")</f>
        <v/>
      </c>
      <c r="P1885" s="6">
        <f>IFERROR($I1885*3.5,"")</f>
        <v/>
      </c>
      <c r="Q1885" s="6">
        <f>IFERROR($I1885*4,"")</f>
        <v/>
      </c>
      <c r="R1885" s="6" t="n">
        <v>2359</v>
      </c>
      <c r="S1885" s="4" t="n">
        <v>2</v>
      </c>
      <c r="T1885" s="1" t="inlineStr">
        <is>
          <t>active</t>
        </is>
      </c>
      <c r="U1885" s="8" t="n"/>
      <c r="V1885" s="1" t="inlineStr">
        <is>
          <t>SIN PRECIO</t>
        </is>
      </c>
    </row>
    <row r="1886">
      <c r="A1886" s="1" t="inlineStr">
        <is>
          <t>77978447716236</t>
        </is>
      </c>
      <c r="B1886" s="1" t="inlineStr">
        <is>
          <t>PULSERA LV CON INSIGNIA</t>
        </is>
      </c>
      <c r="C1886" s="1" t="inlineStr">
        <is>
          <t>16cm high quality</t>
        </is>
      </c>
      <c r="D1886" s="1" t="inlineStr">
        <is>
          <t>CYNTHIA</t>
        </is>
      </c>
      <c r="E1886" s="4">
        <f>COUNTIF('DETALLE CRONOLÓGICO'!$A$2:$A$4919,$A1886)</f>
        <v/>
      </c>
      <c r="F1886" s="4">
        <f>SUMIFS('DETALLE CRONOLÓGICO'!$I$2:$I$4919,'DETALLE CRONOLÓGICO'!$A$2:$A$4919,$A1886)</f>
        <v/>
      </c>
      <c r="G1886" s="1">
        <f>INDEX('DETALLE CRONOLÓGICO'!$D$2:$D$4919,MATCH($A1886,'DETALLE CRONOLÓGICO'!$A$2:$A$4919,0))</f>
        <v/>
      </c>
      <c r="H1886" s="1">
        <f>INDEX('DETALLE CRONOLÓGICO'!$D$2:$D$4919,MATCH($A1886,'DETALLE CRONOLÓGICO'!$A$2:$A$4919,0)+$E1886-1)</f>
        <v/>
      </c>
      <c r="I1886" s="5">
        <f>IFERROR(SUMIFS('DETALLE CRONOLÓGICO'!$L$2:$L$4919,'DETALLE CRONOLÓGICO'!$A$2:$A$4919,$A1886)/$F1886,"")</f>
        <v/>
      </c>
      <c r="J1886" s="6">
        <f>IFERROR(SUMIFS('DETALLE CRONOLÓGICO'!$K$2:$K$4919,'DETALLE CRONOLÓGICO'!$A$2:$A$4919,$A1886)/$E1886,"")</f>
        <v/>
      </c>
      <c r="K1886" s="6">
        <f>_xlfn.MINIFS('DETALLE CRONOLÓGICO'!$K$2:$K$4919,'DETALLE CRONOLÓGICO'!$A$2:$A$4919,$A1886)</f>
        <v/>
      </c>
      <c r="L1886" s="6">
        <f>_xlfn.MAXIFS('DETALLE CRONOLÓGICO'!$K$2:$K$4919,'DETALLE CRONOLÓGICO'!$A$2:$A$4919,$A1886)</f>
        <v/>
      </c>
      <c r="M1886" s="6">
        <f>INDEX('DETALLE CRONOLÓGICO'!$K$2:$K$4919,MATCH($A1886,'DETALLE CRONOLÓGICO'!$A$2:$A$4919,0)+$E1886-1)</f>
        <v/>
      </c>
      <c r="N1886" s="7">
        <f>IFERROR($M1886/INDEX('DETALLE CRONOLÓGICO'!$K$2:$K$4919,MATCH($A1886,'DETALLE CRONOLÓGICO'!$A$2:$A$4919,0))-1,"")</f>
        <v/>
      </c>
      <c r="O1886" s="6">
        <f>IFERROR($I1886*3,"")</f>
        <v/>
      </c>
      <c r="P1886" s="6">
        <f>IFERROR($I1886*3.5,"")</f>
        <v/>
      </c>
      <c r="Q1886" s="6">
        <f>IFERROR($I1886*4,"")</f>
        <v/>
      </c>
      <c r="R1886" s="6" t="n">
        <v>935</v>
      </c>
      <c r="S1886" s="4" t="n">
        <v>5</v>
      </c>
      <c r="T1886" s="1" t="inlineStr">
        <is>
          <t>active</t>
        </is>
      </c>
      <c r="U1886" s="8" t="n"/>
      <c r="V1886" s="1" t="inlineStr">
        <is>
          <t>SIN PRECIO</t>
        </is>
      </c>
    </row>
    <row r="1887">
      <c r="A1887" s="1" t="inlineStr">
        <is>
          <t>78326321018849</t>
        </is>
      </c>
      <c r="B1887" s="1" t="inlineStr">
        <is>
          <t>COLLAR LOVESTRUCK</t>
        </is>
      </c>
      <c r="C1887" s="1" t="inlineStr">
        <is>
          <t>43CM</t>
        </is>
      </c>
      <c r="D1887" s="1" t="inlineStr">
        <is>
          <t>HAIFENG / ZOEY</t>
        </is>
      </c>
      <c r="E1887" s="4">
        <f>COUNTIF('DETALLE CRONOLÓGICO'!$A$2:$A$4919,$A1887)</f>
        <v/>
      </c>
      <c r="F1887" s="4">
        <f>SUMIFS('DETALLE CRONOLÓGICO'!$I$2:$I$4919,'DETALLE CRONOLÓGICO'!$A$2:$A$4919,$A1887)</f>
        <v/>
      </c>
      <c r="G1887" s="1">
        <f>INDEX('DETALLE CRONOLÓGICO'!$D$2:$D$4919,MATCH($A1887,'DETALLE CRONOLÓGICO'!$A$2:$A$4919,0))</f>
        <v/>
      </c>
      <c r="H1887" s="1">
        <f>INDEX('DETALLE CRONOLÓGICO'!$D$2:$D$4919,MATCH($A1887,'DETALLE CRONOLÓGICO'!$A$2:$A$4919,0)+$E1887-1)</f>
        <v/>
      </c>
      <c r="I1887" s="5">
        <f>IFERROR(SUMIFS('DETALLE CRONOLÓGICO'!$L$2:$L$4919,'DETALLE CRONOLÓGICO'!$A$2:$A$4919,$A1887)/$F1887,"")</f>
        <v/>
      </c>
      <c r="J1887" s="6">
        <f>IFERROR(SUMIFS('DETALLE CRONOLÓGICO'!$K$2:$K$4919,'DETALLE CRONOLÓGICO'!$A$2:$A$4919,$A1887)/$E1887,"")</f>
        <v/>
      </c>
      <c r="K1887" s="6">
        <f>_xlfn.MINIFS('DETALLE CRONOLÓGICO'!$K$2:$K$4919,'DETALLE CRONOLÓGICO'!$A$2:$A$4919,$A1887)</f>
        <v/>
      </c>
      <c r="L1887" s="6">
        <f>_xlfn.MAXIFS('DETALLE CRONOLÓGICO'!$K$2:$K$4919,'DETALLE CRONOLÓGICO'!$A$2:$A$4919,$A1887)</f>
        <v/>
      </c>
      <c r="M1887" s="6">
        <f>INDEX('DETALLE CRONOLÓGICO'!$K$2:$K$4919,MATCH($A1887,'DETALLE CRONOLÓGICO'!$A$2:$A$4919,0)+$E1887-1)</f>
        <v/>
      </c>
      <c r="N1887" s="7">
        <f>IFERROR($M1887/INDEX('DETALLE CRONOLÓGICO'!$K$2:$K$4919,MATCH($A1887,'DETALLE CRONOLÓGICO'!$A$2:$A$4919,0))-1,"")</f>
        <v/>
      </c>
      <c r="O1887" s="6">
        <f>IFERROR($I1887*3,"")</f>
        <v/>
      </c>
      <c r="P1887" s="6">
        <f>IFERROR($I1887*3.5,"")</f>
        <v/>
      </c>
      <c r="Q1887" s="6">
        <f>IFERROR($I1887*4,"")</f>
        <v/>
      </c>
      <c r="R1887" s="6" t="n">
        <v>899</v>
      </c>
      <c r="S1887" s="4" t="n">
        <v>1</v>
      </c>
      <c r="T1887" s="1" t="inlineStr">
        <is>
          <t>active</t>
        </is>
      </c>
      <c r="U1887" s="8" t="n"/>
      <c r="V1887" s="1" t="inlineStr">
        <is>
          <t>SIN PRECIO</t>
        </is>
      </c>
    </row>
    <row r="1888">
      <c r="A1888" s="1" t="inlineStr">
        <is>
          <t>78439551060397</t>
        </is>
      </c>
      <c r="B1888" s="1" t="inlineStr">
        <is>
          <t>COLLAR MM SILVER WHITE</t>
        </is>
      </c>
      <c r="C1888" s="1" t="inlineStr">
        <is>
          <t>Default Title</t>
        </is>
      </c>
      <c r="D1888" s="1" t="inlineStr">
        <is>
          <t>ZOEY</t>
        </is>
      </c>
      <c r="E1888" s="4">
        <f>COUNTIF('DETALLE CRONOLÓGICO'!$A$2:$A$4919,$A1888)</f>
        <v/>
      </c>
      <c r="F1888" s="4">
        <f>SUMIFS('DETALLE CRONOLÓGICO'!$I$2:$I$4919,'DETALLE CRONOLÓGICO'!$A$2:$A$4919,$A1888)</f>
        <v/>
      </c>
      <c r="G1888" s="1">
        <f>INDEX('DETALLE CRONOLÓGICO'!$D$2:$D$4919,MATCH($A1888,'DETALLE CRONOLÓGICO'!$A$2:$A$4919,0))</f>
        <v/>
      </c>
      <c r="H1888" s="1">
        <f>INDEX('DETALLE CRONOLÓGICO'!$D$2:$D$4919,MATCH($A1888,'DETALLE CRONOLÓGICO'!$A$2:$A$4919,0)+$E1888-1)</f>
        <v/>
      </c>
      <c r="I1888" s="5">
        <f>IFERROR(SUMIFS('DETALLE CRONOLÓGICO'!$L$2:$L$4919,'DETALLE CRONOLÓGICO'!$A$2:$A$4919,$A1888)/$F1888,"")</f>
        <v/>
      </c>
      <c r="J1888" s="6">
        <f>IFERROR(SUMIFS('DETALLE CRONOLÓGICO'!$K$2:$K$4919,'DETALLE CRONOLÓGICO'!$A$2:$A$4919,$A1888)/$E1888,"")</f>
        <v/>
      </c>
      <c r="K1888" s="6">
        <f>_xlfn.MINIFS('DETALLE CRONOLÓGICO'!$K$2:$K$4919,'DETALLE CRONOLÓGICO'!$A$2:$A$4919,$A1888)</f>
        <v/>
      </c>
      <c r="L1888" s="6">
        <f>_xlfn.MAXIFS('DETALLE CRONOLÓGICO'!$K$2:$K$4919,'DETALLE CRONOLÓGICO'!$A$2:$A$4919,$A1888)</f>
        <v/>
      </c>
      <c r="M1888" s="6">
        <f>INDEX('DETALLE CRONOLÓGICO'!$K$2:$K$4919,MATCH($A1888,'DETALLE CRONOLÓGICO'!$A$2:$A$4919,0)+$E1888-1)</f>
        <v/>
      </c>
      <c r="N1888" s="7">
        <f>IFERROR($M1888/INDEX('DETALLE CRONOLÓGICO'!$K$2:$K$4919,MATCH($A1888,'DETALLE CRONOLÓGICO'!$A$2:$A$4919,0))-1,"")</f>
        <v/>
      </c>
      <c r="O1888" s="6">
        <f>IFERROR($I1888*3,"")</f>
        <v/>
      </c>
      <c r="P1888" s="6">
        <f>IFERROR($I1888*3.5,"")</f>
        <v/>
      </c>
      <c r="Q1888" s="6">
        <f>IFERROR($I1888*4,"")</f>
        <v/>
      </c>
      <c r="R1888" s="6" t="n">
        <v>662.55</v>
      </c>
      <c r="S1888" s="4" t="n">
        <v>1</v>
      </c>
      <c r="T1888" s="1" t="inlineStr">
        <is>
          <t>active</t>
        </is>
      </c>
      <c r="U1888" s="8" t="n"/>
      <c r="V1888" s="1" t="inlineStr">
        <is>
          <t>SIN PRECIO</t>
        </is>
      </c>
    </row>
    <row r="1889">
      <c r="A1889" s="1" t="inlineStr">
        <is>
          <t>79010371019917</t>
        </is>
      </c>
      <c r="B1889" s="1" t="inlineStr">
        <is>
          <t>SOMBRERO MM BEACH RAFFIA CAQUI</t>
        </is>
      </c>
      <c r="C1889" s="1" t="inlineStr">
        <is>
          <t>PRODUCTO NUEVO</t>
        </is>
      </c>
      <c r="D1889" s="1" t="inlineStr">
        <is>
          <t>CYNTHIA</t>
        </is>
      </c>
      <c r="E1889" s="4">
        <f>COUNTIF('DETALLE CRONOLÓGICO'!$A$2:$A$4919,$A1889)</f>
        <v/>
      </c>
      <c r="F1889" s="4">
        <f>SUMIFS('DETALLE CRONOLÓGICO'!$I$2:$I$4919,'DETALLE CRONOLÓGICO'!$A$2:$A$4919,$A1889)</f>
        <v/>
      </c>
      <c r="G1889" s="1">
        <f>INDEX('DETALLE CRONOLÓGICO'!$D$2:$D$4919,MATCH($A1889,'DETALLE CRONOLÓGICO'!$A$2:$A$4919,0))</f>
        <v/>
      </c>
      <c r="H1889" s="1">
        <f>INDEX('DETALLE CRONOLÓGICO'!$D$2:$D$4919,MATCH($A1889,'DETALLE CRONOLÓGICO'!$A$2:$A$4919,0)+$E1889-1)</f>
        <v/>
      </c>
      <c r="I1889" s="5">
        <f>IFERROR(SUMIFS('DETALLE CRONOLÓGICO'!$L$2:$L$4919,'DETALLE CRONOLÓGICO'!$A$2:$A$4919,$A1889)/$F1889,"")</f>
        <v/>
      </c>
      <c r="J1889" s="6">
        <f>IFERROR(SUMIFS('DETALLE CRONOLÓGICO'!$K$2:$K$4919,'DETALLE CRONOLÓGICO'!$A$2:$A$4919,$A1889)/$E1889,"")</f>
        <v/>
      </c>
      <c r="K1889" s="6">
        <f>_xlfn.MINIFS('DETALLE CRONOLÓGICO'!$K$2:$K$4919,'DETALLE CRONOLÓGICO'!$A$2:$A$4919,$A1889)</f>
        <v/>
      </c>
      <c r="L1889" s="6">
        <f>_xlfn.MAXIFS('DETALLE CRONOLÓGICO'!$K$2:$K$4919,'DETALLE CRONOLÓGICO'!$A$2:$A$4919,$A1889)</f>
        <v/>
      </c>
      <c r="M1889" s="6">
        <f>INDEX('DETALLE CRONOLÓGICO'!$K$2:$K$4919,MATCH($A1889,'DETALLE CRONOLÓGICO'!$A$2:$A$4919,0)+$E1889-1)</f>
        <v/>
      </c>
      <c r="N1889" s="7">
        <f>IFERROR($M1889/INDEX('DETALLE CRONOLÓGICO'!$K$2:$K$4919,MATCH($A1889,'DETALLE CRONOLÓGICO'!$A$2:$A$4919,0))-1,"")</f>
        <v/>
      </c>
      <c r="O1889" s="6">
        <f>IFERROR($I1889*3,"")</f>
        <v/>
      </c>
      <c r="P1889" s="6">
        <f>IFERROR($I1889*3.5,"")</f>
        <v/>
      </c>
      <c r="Q1889" s="6">
        <f>IFERROR($I1889*4,"")</f>
        <v/>
      </c>
      <c r="R1889" s="6" t="n">
        <v>1699</v>
      </c>
      <c r="S1889" s="4" t="n">
        <v>0</v>
      </c>
      <c r="T1889" s="1" t="inlineStr">
        <is>
          <t>active</t>
        </is>
      </c>
      <c r="U1889" s="8" t="n"/>
      <c r="V1889" s="1" t="inlineStr">
        <is>
          <t>SIN PRECIO</t>
        </is>
      </c>
    </row>
    <row r="1890">
      <c r="A1890" s="1" t="inlineStr">
        <is>
          <t>79024851004397</t>
        </is>
      </c>
      <c r="B1890" s="1" t="inlineStr">
        <is>
          <t>COLLAR MSS MOVE GOLD LISO</t>
        </is>
      </c>
      <c r="C1890" s="1" t="inlineStr">
        <is>
          <t>Default Title</t>
        </is>
      </c>
      <c r="D1890" s="1" t="inlineStr">
        <is>
          <t>HAIFENG</t>
        </is>
      </c>
      <c r="E1890" s="4">
        <f>COUNTIF('DETALLE CRONOLÓGICO'!$A$2:$A$4919,$A1890)</f>
        <v/>
      </c>
      <c r="F1890" s="4">
        <f>SUMIFS('DETALLE CRONOLÓGICO'!$I$2:$I$4919,'DETALLE CRONOLÓGICO'!$A$2:$A$4919,$A1890)</f>
        <v/>
      </c>
      <c r="G1890" s="1">
        <f>INDEX('DETALLE CRONOLÓGICO'!$D$2:$D$4919,MATCH($A1890,'DETALLE CRONOLÓGICO'!$A$2:$A$4919,0))</f>
        <v/>
      </c>
      <c r="H1890" s="1">
        <f>INDEX('DETALLE CRONOLÓGICO'!$D$2:$D$4919,MATCH($A1890,'DETALLE CRONOLÓGICO'!$A$2:$A$4919,0)+$E1890-1)</f>
        <v/>
      </c>
      <c r="I1890" s="5">
        <f>IFERROR(SUMIFS('DETALLE CRONOLÓGICO'!$L$2:$L$4919,'DETALLE CRONOLÓGICO'!$A$2:$A$4919,$A1890)/$F1890,"")</f>
        <v/>
      </c>
      <c r="J1890" s="6">
        <f>IFERROR(SUMIFS('DETALLE CRONOLÓGICO'!$K$2:$K$4919,'DETALLE CRONOLÓGICO'!$A$2:$A$4919,$A1890)/$E1890,"")</f>
        <v/>
      </c>
      <c r="K1890" s="6">
        <f>_xlfn.MINIFS('DETALLE CRONOLÓGICO'!$K$2:$K$4919,'DETALLE CRONOLÓGICO'!$A$2:$A$4919,$A1890)</f>
        <v/>
      </c>
      <c r="L1890" s="6">
        <f>_xlfn.MAXIFS('DETALLE CRONOLÓGICO'!$K$2:$K$4919,'DETALLE CRONOLÓGICO'!$A$2:$A$4919,$A1890)</f>
        <v/>
      </c>
      <c r="M1890" s="6">
        <f>INDEX('DETALLE CRONOLÓGICO'!$K$2:$K$4919,MATCH($A1890,'DETALLE CRONOLÓGICO'!$A$2:$A$4919,0)+$E1890-1)</f>
        <v/>
      </c>
      <c r="N1890" s="7">
        <f>IFERROR($M1890/INDEX('DETALLE CRONOLÓGICO'!$K$2:$K$4919,MATCH($A1890,'DETALLE CRONOLÓGICO'!$A$2:$A$4919,0))-1,"")</f>
        <v/>
      </c>
      <c r="O1890" s="6">
        <f>IFERROR($I1890*3,"")</f>
        <v/>
      </c>
      <c r="P1890" s="6">
        <f>IFERROR($I1890*3.5,"")</f>
        <v/>
      </c>
      <c r="Q1890" s="6">
        <f>IFERROR($I1890*4,"")</f>
        <v/>
      </c>
      <c r="R1890" s="6" t="n">
        <v>699</v>
      </c>
      <c r="S1890" s="4" t="n">
        <v>22</v>
      </c>
      <c r="T1890" s="1" t="inlineStr">
        <is>
          <t>active</t>
        </is>
      </c>
      <c r="U1890" s="8" t="n"/>
      <c r="V1890" s="1" t="inlineStr">
        <is>
          <t>SIN PRECIO</t>
        </is>
      </c>
    </row>
    <row r="1891">
      <c r="A1891" s="1" t="inlineStr">
        <is>
          <t>79274691076205</t>
        </is>
      </c>
      <c r="B1891" s="1" t="inlineStr">
        <is>
          <t>PULSERA LOVE DELGADA GOLD</t>
        </is>
      </c>
      <c r="C1891" s="1" t="inlineStr">
        <is>
          <t>16cm</t>
        </is>
      </c>
      <c r="D1891" s="1" t="inlineStr">
        <is>
          <t>HAIFENG</t>
        </is>
      </c>
      <c r="E1891" s="4">
        <f>COUNTIF('DETALLE CRONOLÓGICO'!$A$2:$A$4919,$A1891)</f>
        <v/>
      </c>
      <c r="F1891" s="4">
        <f>SUMIFS('DETALLE CRONOLÓGICO'!$I$2:$I$4919,'DETALLE CRONOLÓGICO'!$A$2:$A$4919,$A1891)</f>
        <v/>
      </c>
      <c r="G1891" s="1">
        <f>INDEX('DETALLE CRONOLÓGICO'!$D$2:$D$4919,MATCH($A1891,'DETALLE CRONOLÓGICO'!$A$2:$A$4919,0))</f>
        <v/>
      </c>
      <c r="H1891" s="1">
        <f>INDEX('DETALLE CRONOLÓGICO'!$D$2:$D$4919,MATCH($A1891,'DETALLE CRONOLÓGICO'!$A$2:$A$4919,0)+$E1891-1)</f>
        <v/>
      </c>
      <c r="I1891" s="5">
        <f>IFERROR(SUMIFS('DETALLE CRONOLÓGICO'!$L$2:$L$4919,'DETALLE CRONOLÓGICO'!$A$2:$A$4919,$A1891)/$F1891,"")</f>
        <v/>
      </c>
      <c r="J1891" s="6">
        <f>IFERROR(SUMIFS('DETALLE CRONOLÓGICO'!$K$2:$K$4919,'DETALLE CRONOLÓGICO'!$A$2:$A$4919,$A1891)/$E1891,"")</f>
        <v/>
      </c>
      <c r="K1891" s="6">
        <f>_xlfn.MINIFS('DETALLE CRONOLÓGICO'!$K$2:$K$4919,'DETALLE CRONOLÓGICO'!$A$2:$A$4919,$A1891)</f>
        <v/>
      </c>
      <c r="L1891" s="6">
        <f>_xlfn.MAXIFS('DETALLE CRONOLÓGICO'!$K$2:$K$4919,'DETALLE CRONOLÓGICO'!$A$2:$A$4919,$A1891)</f>
        <v/>
      </c>
      <c r="M1891" s="6">
        <f>INDEX('DETALLE CRONOLÓGICO'!$K$2:$K$4919,MATCH($A1891,'DETALLE CRONOLÓGICO'!$A$2:$A$4919,0)+$E1891-1)</f>
        <v/>
      </c>
      <c r="N1891" s="7">
        <f>IFERROR($M1891/INDEX('DETALLE CRONOLÓGICO'!$K$2:$K$4919,MATCH($A1891,'DETALLE CRONOLÓGICO'!$A$2:$A$4919,0))-1,"")</f>
        <v/>
      </c>
      <c r="O1891" s="6">
        <f>IFERROR($I1891*3,"")</f>
        <v/>
      </c>
      <c r="P1891" s="6">
        <f>IFERROR($I1891*3.5,"")</f>
        <v/>
      </c>
      <c r="Q1891" s="6">
        <f>IFERROR($I1891*4,"")</f>
        <v/>
      </c>
      <c r="R1891" s="6" t="n">
        <v>499</v>
      </c>
      <c r="S1891" s="4" t="n">
        <v>17</v>
      </c>
      <c r="T1891" s="1" t="inlineStr">
        <is>
          <t>active</t>
        </is>
      </c>
      <c r="U1891" s="8" t="n"/>
      <c r="V1891" s="1" t="inlineStr">
        <is>
          <t>SIN PRECIO</t>
        </is>
      </c>
    </row>
    <row r="1892">
      <c r="A1892" s="1" t="inlineStr">
        <is>
          <t>79274691108973</t>
        </is>
      </c>
      <c r="B1892" s="1" t="inlineStr">
        <is>
          <t>PULSERA LOVE DELGADA GOLD</t>
        </is>
      </c>
      <c r="C1892" s="1" t="inlineStr">
        <is>
          <t>17cm</t>
        </is>
      </c>
      <c r="D1892" s="1" t="inlineStr">
        <is>
          <t>HAIFENG</t>
        </is>
      </c>
      <c r="E1892" s="4">
        <f>COUNTIF('DETALLE CRONOLÓGICO'!$A$2:$A$4919,$A1892)</f>
        <v/>
      </c>
      <c r="F1892" s="4">
        <f>SUMIFS('DETALLE CRONOLÓGICO'!$I$2:$I$4919,'DETALLE CRONOLÓGICO'!$A$2:$A$4919,$A1892)</f>
        <v/>
      </c>
      <c r="G1892" s="1">
        <f>INDEX('DETALLE CRONOLÓGICO'!$D$2:$D$4919,MATCH($A1892,'DETALLE CRONOLÓGICO'!$A$2:$A$4919,0))</f>
        <v/>
      </c>
      <c r="H1892" s="1">
        <f>INDEX('DETALLE CRONOLÓGICO'!$D$2:$D$4919,MATCH($A1892,'DETALLE CRONOLÓGICO'!$A$2:$A$4919,0)+$E1892-1)</f>
        <v/>
      </c>
      <c r="I1892" s="5">
        <f>IFERROR(SUMIFS('DETALLE CRONOLÓGICO'!$L$2:$L$4919,'DETALLE CRONOLÓGICO'!$A$2:$A$4919,$A1892)/$F1892,"")</f>
        <v/>
      </c>
      <c r="J1892" s="6">
        <f>IFERROR(SUMIFS('DETALLE CRONOLÓGICO'!$K$2:$K$4919,'DETALLE CRONOLÓGICO'!$A$2:$A$4919,$A1892)/$E1892,"")</f>
        <v/>
      </c>
      <c r="K1892" s="6">
        <f>_xlfn.MINIFS('DETALLE CRONOLÓGICO'!$K$2:$K$4919,'DETALLE CRONOLÓGICO'!$A$2:$A$4919,$A1892)</f>
        <v/>
      </c>
      <c r="L1892" s="6">
        <f>_xlfn.MAXIFS('DETALLE CRONOLÓGICO'!$K$2:$K$4919,'DETALLE CRONOLÓGICO'!$A$2:$A$4919,$A1892)</f>
        <v/>
      </c>
      <c r="M1892" s="6">
        <f>INDEX('DETALLE CRONOLÓGICO'!$K$2:$K$4919,MATCH($A1892,'DETALLE CRONOLÓGICO'!$A$2:$A$4919,0)+$E1892-1)</f>
        <v/>
      </c>
      <c r="N1892" s="7">
        <f>IFERROR($M1892/INDEX('DETALLE CRONOLÓGICO'!$K$2:$K$4919,MATCH($A1892,'DETALLE CRONOLÓGICO'!$A$2:$A$4919,0))-1,"")</f>
        <v/>
      </c>
      <c r="O1892" s="6">
        <f>IFERROR($I1892*3,"")</f>
        <v/>
      </c>
      <c r="P1892" s="6">
        <f>IFERROR($I1892*3.5,"")</f>
        <v/>
      </c>
      <c r="Q1892" s="6">
        <f>IFERROR($I1892*4,"")</f>
        <v/>
      </c>
      <c r="R1892" s="6" t="n">
        <v>499</v>
      </c>
      <c r="S1892" s="4" t="n">
        <v>11</v>
      </c>
      <c r="T1892" s="1" t="inlineStr">
        <is>
          <t>active</t>
        </is>
      </c>
      <c r="U1892" s="8" t="n"/>
      <c r="V1892" s="1" t="inlineStr">
        <is>
          <t>SIN PRECIO</t>
        </is>
      </c>
    </row>
    <row r="1893">
      <c r="A1893" s="1" t="inlineStr">
        <is>
          <t>79274691241741</t>
        </is>
      </c>
      <c r="B1893" s="1" t="inlineStr">
        <is>
          <t>PULSERA LOVE DELGADA GOLD</t>
        </is>
      </c>
      <c r="C1893" s="1" t="inlineStr">
        <is>
          <t>18cm</t>
        </is>
      </c>
      <c r="D1893" s="1" t="inlineStr">
        <is>
          <t>HAIFENG</t>
        </is>
      </c>
      <c r="E1893" s="4">
        <f>COUNTIF('DETALLE CRONOLÓGICO'!$A$2:$A$4919,$A1893)</f>
        <v/>
      </c>
      <c r="F1893" s="4">
        <f>SUMIFS('DETALLE CRONOLÓGICO'!$I$2:$I$4919,'DETALLE CRONOLÓGICO'!$A$2:$A$4919,$A1893)</f>
        <v/>
      </c>
      <c r="G1893" s="1">
        <f>INDEX('DETALLE CRONOLÓGICO'!$D$2:$D$4919,MATCH($A1893,'DETALLE CRONOLÓGICO'!$A$2:$A$4919,0))</f>
        <v/>
      </c>
      <c r="H1893" s="1">
        <f>INDEX('DETALLE CRONOLÓGICO'!$D$2:$D$4919,MATCH($A1893,'DETALLE CRONOLÓGICO'!$A$2:$A$4919,0)+$E1893-1)</f>
        <v/>
      </c>
      <c r="I1893" s="5">
        <f>IFERROR(SUMIFS('DETALLE CRONOLÓGICO'!$L$2:$L$4919,'DETALLE CRONOLÓGICO'!$A$2:$A$4919,$A1893)/$F1893,"")</f>
        <v/>
      </c>
      <c r="J1893" s="6">
        <f>IFERROR(SUMIFS('DETALLE CRONOLÓGICO'!$K$2:$K$4919,'DETALLE CRONOLÓGICO'!$A$2:$A$4919,$A1893)/$E1893,"")</f>
        <v/>
      </c>
      <c r="K1893" s="6">
        <f>_xlfn.MINIFS('DETALLE CRONOLÓGICO'!$K$2:$K$4919,'DETALLE CRONOLÓGICO'!$A$2:$A$4919,$A1893)</f>
        <v/>
      </c>
      <c r="L1893" s="6">
        <f>_xlfn.MAXIFS('DETALLE CRONOLÓGICO'!$K$2:$K$4919,'DETALLE CRONOLÓGICO'!$A$2:$A$4919,$A1893)</f>
        <v/>
      </c>
      <c r="M1893" s="6">
        <f>INDEX('DETALLE CRONOLÓGICO'!$K$2:$K$4919,MATCH($A1893,'DETALLE CRONOLÓGICO'!$A$2:$A$4919,0)+$E1893-1)</f>
        <v/>
      </c>
      <c r="N1893" s="7">
        <f>IFERROR($M1893/INDEX('DETALLE CRONOLÓGICO'!$K$2:$K$4919,MATCH($A1893,'DETALLE CRONOLÓGICO'!$A$2:$A$4919,0))-1,"")</f>
        <v/>
      </c>
      <c r="O1893" s="6">
        <f>IFERROR($I1893*3,"")</f>
        <v/>
      </c>
      <c r="P1893" s="6">
        <f>IFERROR($I1893*3.5,"")</f>
        <v/>
      </c>
      <c r="Q1893" s="6">
        <f>IFERROR($I1893*4,"")</f>
        <v/>
      </c>
      <c r="R1893" s="6" t="n">
        <v>499</v>
      </c>
      <c r="S1893" s="4" t="n">
        <v>10</v>
      </c>
      <c r="T1893" s="1" t="inlineStr">
        <is>
          <t>active</t>
        </is>
      </c>
      <c r="U1893" s="8" t="n"/>
      <c r="V1893" s="1" t="inlineStr">
        <is>
          <t>SIN PRECIO</t>
        </is>
      </c>
    </row>
    <row r="1894">
      <c r="A1894" s="1" t="inlineStr">
        <is>
          <t>79274691374509</t>
        </is>
      </c>
      <c r="B1894" s="1" t="inlineStr">
        <is>
          <t>PULSERA LOVE DELGADA GOLD</t>
        </is>
      </c>
      <c r="C1894" s="1" t="inlineStr">
        <is>
          <t>19cm</t>
        </is>
      </c>
      <c r="D1894" s="1" t="inlineStr">
        <is>
          <t>HAIFENG</t>
        </is>
      </c>
      <c r="E1894" s="4">
        <f>COUNTIF('DETALLE CRONOLÓGICO'!$A$2:$A$4919,$A1894)</f>
        <v/>
      </c>
      <c r="F1894" s="4">
        <f>SUMIFS('DETALLE CRONOLÓGICO'!$I$2:$I$4919,'DETALLE CRONOLÓGICO'!$A$2:$A$4919,$A1894)</f>
        <v/>
      </c>
      <c r="G1894" s="1">
        <f>INDEX('DETALLE CRONOLÓGICO'!$D$2:$D$4919,MATCH($A1894,'DETALLE CRONOLÓGICO'!$A$2:$A$4919,0))</f>
        <v/>
      </c>
      <c r="H1894" s="1">
        <f>INDEX('DETALLE CRONOLÓGICO'!$D$2:$D$4919,MATCH($A1894,'DETALLE CRONOLÓGICO'!$A$2:$A$4919,0)+$E1894-1)</f>
        <v/>
      </c>
      <c r="I1894" s="5">
        <f>IFERROR(SUMIFS('DETALLE CRONOLÓGICO'!$L$2:$L$4919,'DETALLE CRONOLÓGICO'!$A$2:$A$4919,$A1894)/$F1894,"")</f>
        <v/>
      </c>
      <c r="J1894" s="6">
        <f>IFERROR(SUMIFS('DETALLE CRONOLÓGICO'!$K$2:$K$4919,'DETALLE CRONOLÓGICO'!$A$2:$A$4919,$A1894)/$E1894,"")</f>
        <v/>
      </c>
      <c r="K1894" s="6">
        <f>_xlfn.MINIFS('DETALLE CRONOLÓGICO'!$K$2:$K$4919,'DETALLE CRONOLÓGICO'!$A$2:$A$4919,$A1894)</f>
        <v/>
      </c>
      <c r="L1894" s="6">
        <f>_xlfn.MAXIFS('DETALLE CRONOLÓGICO'!$K$2:$K$4919,'DETALLE CRONOLÓGICO'!$A$2:$A$4919,$A1894)</f>
        <v/>
      </c>
      <c r="M1894" s="6">
        <f>INDEX('DETALLE CRONOLÓGICO'!$K$2:$K$4919,MATCH($A1894,'DETALLE CRONOLÓGICO'!$A$2:$A$4919,0)+$E1894-1)</f>
        <v/>
      </c>
      <c r="N1894" s="7">
        <f>IFERROR($M1894/INDEX('DETALLE CRONOLÓGICO'!$K$2:$K$4919,MATCH($A1894,'DETALLE CRONOLÓGICO'!$A$2:$A$4919,0))-1,"")</f>
        <v/>
      </c>
      <c r="O1894" s="6">
        <f>IFERROR($I1894*3,"")</f>
        <v/>
      </c>
      <c r="P1894" s="6">
        <f>IFERROR($I1894*3.5,"")</f>
        <v/>
      </c>
      <c r="Q1894" s="6">
        <f>IFERROR($I1894*4,"")</f>
        <v/>
      </c>
      <c r="R1894" s="6" t="n">
        <v>499</v>
      </c>
      <c r="S1894" s="4" t="n">
        <v>7</v>
      </c>
      <c r="T1894" s="1" t="inlineStr">
        <is>
          <t>active</t>
        </is>
      </c>
      <c r="U1894" s="8" t="n"/>
      <c r="V1894" s="1" t="inlineStr">
        <is>
          <t>SIN PRECIO</t>
        </is>
      </c>
    </row>
    <row r="1895">
      <c r="A1895" s="1" t="inlineStr">
        <is>
          <t>79416181049069</t>
        </is>
      </c>
      <c r="B1895" s="1" t="inlineStr">
        <is>
          <t>COLLAR MM GOLD BLACK</t>
        </is>
      </c>
      <c r="C1895" s="1" t="inlineStr">
        <is>
          <t>BRASS</t>
        </is>
      </c>
      <c r="D1895" s="1" t="inlineStr">
        <is>
          <t>ZOEY</t>
        </is>
      </c>
      <c r="E1895" s="4">
        <f>COUNTIF('DETALLE CRONOLÓGICO'!$A$2:$A$4919,$A1895)</f>
        <v/>
      </c>
      <c r="F1895" s="4">
        <f>SUMIFS('DETALLE CRONOLÓGICO'!$I$2:$I$4919,'DETALLE CRONOLÓGICO'!$A$2:$A$4919,$A1895)</f>
        <v/>
      </c>
      <c r="G1895" s="1">
        <f>INDEX('DETALLE CRONOLÓGICO'!$D$2:$D$4919,MATCH($A1895,'DETALLE CRONOLÓGICO'!$A$2:$A$4919,0))</f>
        <v/>
      </c>
      <c r="H1895" s="1">
        <f>INDEX('DETALLE CRONOLÓGICO'!$D$2:$D$4919,MATCH($A1895,'DETALLE CRONOLÓGICO'!$A$2:$A$4919,0)+$E1895-1)</f>
        <v/>
      </c>
      <c r="I1895" s="5">
        <f>IFERROR(SUMIFS('DETALLE CRONOLÓGICO'!$L$2:$L$4919,'DETALLE CRONOLÓGICO'!$A$2:$A$4919,$A1895)/$F1895,"")</f>
        <v/>
      </c>
      <c r="J1895" s="6">
        <f>IFERROR(SUMIFS('DETALLE CRONOLÓGICO'!$K$2:$K$4919,'DETALLE CRONOLÓGICO'!$A$2:$A$4919,$A1895)/$E1895,"")</f>
        <v/>
      </c>
      <c r="K1895" s="6">
        <f>_xlfn.MINIFS('DETALLE CRONOLÓGICO'!$K$2:$K$4919,'DETALLE CRONOLÓGICO'!$A$2:$A$4919,$A1895)</f>
        <v/>
      </c>
      <c r="L1895" s="6">
        <f>_xlfn.MAXIFS('DETALLE CRONOLÓGICO'!$K$2:$K$4919,'DETALLE CRONOLÓGICO'!$A$2:$A$4919,$A1895)</f>
        <v/>
      </c>
      <c r="M1895" s="6">
        <f>INDEX('DETALLE CRONOLÓGICO'!$K$2:$K$4919,MATCH($A1895,'DETALLE CRONOLÓGICO'!$A$2:$A$4919,0)+$E1895-1)</f>
        <v/>
      </c>
      <c r="N1895" s="7">
        <f>IFERROR($M1895/INDEX('DETALLE CRONOLÓGICO'!$K$2:$K$4919,MATCH($A1895,'DETALLE CRONOLÓGICO'!$A$2:$A$4919,0))-1,"")</f>
        <v/>
      </c>
      <c r="O1895" s="6">
        <f>IFERROR($I1895*3,"")</f>
        <v/>
      </c>
      <c r="P1895" s="6">
        <f>IFERROR($I1895*3.5,"")</f>
        <v/>
      </c>
      <c r="Q1895" s="6">
        <f>IFERROR($I1895*4,"")</f>
        <v/>
      </c>
      <c r="R1895" s="6" t="n">
        <v>719</v>
      </c>
      <c r="S1895" s="4" t="n">
        <v>1</v>
      </c>
      <c r="T1895" s="1" t="inlineStr">
        <is>
          <t>active</t>
        </is>
      </c>
      <c r="U1895" s="8" t="n"/>
      <c r="V1895" s="1" t="inlineStr">
        <is>
          <t>SIN PRECIO</t>
        </is>
      </c>
    </row>
    <row r="1896">
      <c r="A1896" s="1" t="inlineStr">
        <is>
          <t>79416181049070</t>
        </is>
      </c>
      <c r="B1896" s="1" t="inlineStr">
        <is>
          <t>COLLAR MM GOLD BLACK</t>
        </is>
      </c>
      <c r="C1896" s="1" t="inlineStr">
        <is>
          <t>COPPER</t>
        </is>
      </c>
      <c r="D1896" s="1" t="inlineStr">
        <is>
          <t>ZOEY</t>
        </is>
      </c>
      <c r="E1896" s="4">
        <f>COUNTIF('DETALLE CRONOLÓGICO'!$A$2:$A$4919,$A1896)</f>
        <v/>
      </c>
      <c r="F1896" s="4">
        <f>SUMIFS('DETALLE CRONOLÓGICO'!$I$2:$I$4919,'DETALLE CRONOLÓGICO'!$A$2:$A$4919,$A1896)</f>
        <v/>
      </c>
      <c r="G1896" s="1">
        <f>INDEX('DETALLE CRONOLÓGICO'!$D$2:$D$4919,MATCH($A1896,'DETALLE CRONOLÓGICO'!$A$2:$A$4919,0))</f>
        <v/>
      </c>
      <c r="H1896" s="1">
        <f>INDEX('DETALLE CRONOLÓGICO'!$D$2:$D$4919,MATCH($A1896,'DETALLE CRONOLÓGICO'!$A$2:$A$4919,0)+$E1896-1)</f>
        <v/>
      </c>
      <c r="I1896" s="5">
        <f>IFERROR(SUMIFS('DETALLE CRONOLÓGICO'!$L$2:$L$4919,'DETALLE CRONOLÓGICO'!$A$2:$A$4919,$A1896)/$F1896,"")</f>
        <v/>
      </c>
      <c r="J1896" s="6">
        <f>IFERROR(SUMIFS('DETALLE CRONOLÓGICO'!$K$2:$K$4919,'DETALLE CRONOLÓGICO'!$A$2:$A$4919,$A1896)/$E1896,"")</f>
        <v/>
      </c>
      <c r="K1896" s="6">
        <f>_xlfn.MINIFS('DETALLE CRONOLÓGICO'!$K$2:$K$4919,'DETALLE CRONOLÓGICO'!$A$2:$A$4919,$A1896)</f>
        <v/>
      </c>
      <c r="L1896" s="6">
        <f>_xlfn.MAXIFS('DETALLE CRONOLÓGICO'!$K$2:$K$4919,'DETALLE CRONOLÓGICO'!$A$2:$A$4919,$A1896)</f>
        <v/>
      </c>
      <c r="M1896" s="6">
        <f>INDEX('DETALLE CRONOLÓGICO'!$K$2:$K$4919,MATCH($A1896,'DETALLE CRONOLÓGICO'!$A$2:$A$4919,0)+$E1896-1)</f>
        <v/>
      </c>
      <c r="N1896" s="7">
        <f>IFERROR($M1896/INDEX('DETALLE CRONOLÓGICO'!$K$2:$K$4919,MATCH($A1896,'DETALLE CRONOLÓGICO'!$A$2:$A$4919,0))-1,"")</f>
        <v/>
      </c>
      <c r="O1896" s="6">
        <f>IFERROR($I1896*3,"")</f>
        <v/>
      </c>
      <c r="P1896" s="6">
        <f>IFERROR($I1896*3.5,"")</f>
        <v/>
      </c>
      <c r="Q1896" s="6">
        <f>IFERROR($I1896*4,"")</f>
        <v/>
      </c>
      <c r="R1896" s="6" t="n">
        <v>789</v>
      </c>
      <c r="S1896" s="4" t="n">
        <v>0</v>
      </c>
      <c r="T1896" s="1" t="inlineStr">
        <is>
          <t>active</t>
        </is>
      </c>
      <c r="U1896" s="8" t="n"/>
      <c r="V1896" s="1" t="inlineStr">
        <is>
          <t>SIN PRECIO</t>
        </is>
      </c>
    </row>
    <row r="1897">
      <c r="A1897" s="1" t="inlineStr">
        <is>
          <t>79534521160493</t>
        </is>
      </c>
      <c r="B1897" s="1" t="inlineStr">
        <is>
          <t>UGG FUNKARRA BROWN</t>
        </is>
      </c>
      <c r="C1897" s="1" t="inlineStr">
        <is>
          <t>23CM</t>
        </is>
      </c>
      <c r="D1897" s="1" t="inlineStr">
        <is>
          <t>ZOEY</t>
        </is>
      </c>
      <c r="E1897" s="4">
        <f>COUNTIF('DETALLE CRONOLÓGICO'!$A$2:$A$4919,$A1897)</f>
        <v/>
      </c>
      <c r="F1897" s="4">
        <f>SUMIFS('DETALLE CRONOLÓGICO'!$I$2:$I$4919,'DETALLE CRONOLÓGICO'!$A$2:$A$4919,$A1897)</f>
        <v/>
      </c>
      <c r="G1897" s="1">
        <f>INDEX('DETALLE CRONOLÓGICO'!$D$2:$D$4919,MATCH($A1897,'DETALLE CRONOLÓGICO'!$A$2:$A$4919,0))</f>
        <v/>
      </c>
      <c r="H1897" s="1">
        <f>INDEX('DETALLE CRONOLÓGICO'!$D$2:$D$4919,MATCH($A1897,'DETALLE CRONOLÓGICO'!$A$2:$A$4919,0)+$E1897-1)</f>
        <v/>
      </c>
      <c r="I1897" s="5">
        <f>IFERROR(SUMIFS('DETALLE CRONOLÓGICO'!$L$2:$L$4919,'DETALLE CRONOLÓGICO'!$A$2:$A$4919,$A1897)/$F1897,"")</f>
        <v/>
      </c>
      <c r="J1897" s="6">
        <f>IFERROR(SUMIFS('DETALLE CRONOLÓGICO'!$K$2:$K$4919,'DETALLE CRONOLÓGICO'!$A$2:$A$4919,$A1897)/$E1897,"")</f>
        <v/>
      </c>
      <c r="K1897" s="6">
        <f>_xlfn.MINIFS('DETALLE CRONOLÓGICO'!$K$2:$K$4919,'DETALLE CRONOLÓGICO'!$A$2:$A$4919,$A1897)</f>
        <v/>
      </c>
      <c r="L1897" s="6">
        <f>_xlfn.MAXIFS('DETALLE CRONOLÓGICO'!$K$2:$K$4919,'DETALLE CRONOLÓGICO'!$A$2:$A$4919,$A1897)</f>
        <v/>
      </c>
      <c r="M1897" s="6">
        <f>INDEX('DETALLE CRONOLÓGICO'!$K$2:$K$4919,MATCH($A1897,'DETALLE CRONOLÓGICO'!$A$2:$A$4919,0)+$E1897-1)</f>
        <v/>
      </c>
      <c r="N1897" s="7">
        <f>IFERROR($M1897/INDEX('DETALLE CRONOLÓGICO'!$K$2:$K$4919,MATCH($A1897,'DETALLE CRONOLÓGICO'!$A$2:$A$4919,0))-1,"")</f>
        <v/>
      </c>
      <c r="O1897" s="6">
        <f>IFERROR($I1897*3,"")</f>
        <v/>
      </c>
      <c r="P1897" s="6">
        <f>IFERROR($I1897*3.5,"")</f>
        <v/>
      </c>
      <c r="Q1897" s="6">
        <f>IFERROR($I1897*4,"")</f>
        <v/>
      </c>
      <c r="R1897" s="6" t="n">
        <v>4820.09</v>
      </c>
      <c r="S1897" s="4" t="n">
        <v>2</v>
      </c>
      <c r="T1897" s="1" t="inlineStr">
        <is>
          <t>active</t>
        </is>
      </c>
      <c r="U1897" s="8" t="n"/>
      <c r="V1897" s="1" t="inlineStr">
        <is>
          <t>SIN PRECIO</t>
        </is>
      </c>
    </row>
    <row r="1898">
      <c r="A1898" s="1" t="inlineStr">
        <is>
          <t>79534521293261</t>
        </is>
      </c>
      <c r="B1898" s="1" t="inlineStr">
        <is>
          <t>UGG FUNKARRA BROWN</t>
        </is>
      </c>
      <c r="C1898" s="1" t="inlineStr">
        <is>
          <t>24CM</t>
        </is>
      </c>
      <c r="D1898" s="1" t="inlineStr">
        <is>
          <t>ZOEY</t>
        </is>
      </c>
      <c r="E1898" s="4">
        <f>COUNTIF('DETALLE CRONOLÓGICO'!$A$2:$A$4919,$A1898)</f>
        <v/>
      </c>
      <c r="F1898" s="4">
        <f>SUMIFS('DETALLE CRONOLÓGICO'!$I$2:$I$4919,'DETALLE CRONOLÓGICO'!$A$2:$A$4919,$A1898)</f>
        <v/>
      </c>
      <c r="G1898" s="1">
        <f>INDEX('DETALLE CRONOLÓGICO'!$D$2:$D$4919,MATCH($A1898,'DETALLE CRONOLÓGICO'!$A$2:$A$4919,0))</f>
        <v/>
      </c>
      <c r="H1898" s="1">
        <f>INDEX('DETALLE CRONOLÓGICO'!$D$2:$D$4919,MATCH($A1898,'DETALLE CRONOLÓGICO'!$A$2:$A$4919,0)+$E1898-1)</f>
        <v/>
      </c>
      <c r="I1898" s="5">
        <f>IFERROR(SUMIFS('DETALLE CRONOLÓGICO'!$L$2:$L$4919,'DETALLE CRONOLÓGICO'!$A$2:$A$4919,$A1898)/$F1898,"")</f>
        <v/>
      </c>
      <c r="J1898" s="6">
        <f>IFERROR(SUMIFS('DETALLE CRONOLÓGICO'!$K$2:$K$4919,'DETALLE CRONOLÓGICO'!$A$2:$A$4919,$A1898)/$E1898,"")</f>
        <v/>
      </c>
      <c r="K1898" s="6">
        <f>_xlfn.MINIFS('DETALLE CRONOLÓGICO'!$K$2:$K$4919,'DETALLE CRONOLÓGICO'!$A$2:$A$4919,$A1898)</f>
        <v/>
      </c>
      <c r="L1898" s="6">
        <f>_xlfn.MAXIFS('DETALLE CRONOLÓGICO'!$K$2:$K$4919,'DETALLE CRONOLÓGICO'!$A$2:$A$4919,$A1898)</f>
        <v/>
      </c>
      <c r="M1898" s="6">
        <f>INDEX('DETALLE CRONOLÓGICO'!$K$2:$K$4919,MATCH($A1898,'DETALLE CRONOLÓGICO'!$A$2:$A$4919,0)+$E1898-1)</f>
        <v/>
      </c>
      <c r="N1898" s="7">
        <f>IFERROR($M1898/INDEX('DETALLE CRONOLÓGICO'!$K$2:$K$4919,MATCH($A1898,'DETALLE CRONOLÓGICO'!$A$2:$A$4919,0))-1,"")</f>
        <v/>
      </c>
      <c r="O1898" s="6">
        <f>IFERROR($I1898*3,"")</f>
        <v/>
      </c>
      <c r="P1898" s="6">
        <f>IFERROR($I1898*3.5,"")</f>
        <v/>
      </c>
      <c r="Q1898" s="6">
        <f>IFERROR($I1898*4,"")</f>
        <v/>
      </c>
      <c r="R1898" s="6" t="n">
        <v>4820.09</v>
      </c>
      <c r="S1898" s="4" t="n">
        <v>1</v>
      </c>
      <c r="T1898" s="1" t="inlineStr">
        <is>
          <t>active</t>
        </is>
      </c>
      <c r="U1898" s="8" t="n"/>
      <c r="V1898" s="1" t="inlineStr">
        <is>
          <t>SIN PRECIO</t>
        </is>
      </c>
    </row>
    <row r="1899">
      <c r="A1899" s="1" t="inlineStr">
        <is>
          <t>79534521342989</t>
        </is>
      </c>
      <c r="B1899" s="1" t="inlineStr">
        <is>
          <t>CHAMARRA MM BLACK</t>
        </is>
      </c>
      <c r="C1899" s="1" t="inlineStr">
        <is>
          <t>M</t>
        </is>
      </c>
      <c r="D1899" s="1" t="inlineStr">
        <is>
          <t>ZOEY</t>
        </is>
      </c>
      <c r="E1899" s="4">
        <f>COUNTIF('DETALLE CRONOLÓGICO'!$A$2:$A$4919,$A1899)</f>
        <v/>
      </c>
      <c r="F1899" s="4">
        <f>SUMIFS('DETALLE CRONOLÓGICO'!$I$2:$I$4919,'DETALLE CRONOLÓGICO'!$A$2:$A$4919,$A1899)</f>
        <v/>
      </c>
      <c r="G1899" s="1">
        <f>INDEX('DETALLE CRONOLÓGICO'!$D$2:$D$4919,MATCH($A1899,'DETALLE CRONOLÓGICO'!$A$2:$A$4919,0))</f>
        <v/>
      </c>
      <c r="H1899" s="1">
        <f>INDEX('DETALLE CRONOLÓGICO'!$D$2:$D$4919,MATCH($A1899,'DETALLE CRONOLÓGICO'!$A$2:$A$4919,0)+$E1899-1)</f>
        <v/>
      </c>
      <c r="I1899" s="5">
        <f>IFERROR(SUMIFS('DETALLE CRONOLÓGICO'!$L$2:$L$4919,'DETALLE CRONOLÓGICO'!$A$2:$A$4919,$A1899)/$F1899,"")</f>
        <v/>
      </c>
      <c r="J1899" s="6">
        <f>IFERROR(SUMIFS('DETALLE CRONOLÓGICO'!$K$2:$K$4919,'DETALLE CRONOLÓGICO'!$A$2:$A$4919,$A1899)/$E1899,"")</f>
        <v/>
      </c>
      <c r="K1899" s="6">
        <f>_xlfn.MINIFS('DETALLE CRONOLÓGICO'!$K$2:$K$4919,'DETALLE CRONOLÓGICO'!$A$2:$A$4919,$A1899)</f>
        <v/>
      </c>
      <c r="L1899" s="6">
        <f>_xlfn.MAXIFS('DETALLE CRONOLÓGICO'!$K$2:$K$4919,'DETALLE CRONOLÓGICO'!$A$2:$A$4919,$A1899)</f>
        <v/>
      </c>
      <c r="M1899" s="6">
        <f>INDEX('DETALLE CRONOLÓGICO'!$K$2:$K$4919,MATCH($A1899,'DETALLE CRONOLÓGICO'!$A$2:$A$4919,0)+$E1899-1)</f>
        <v/>
      </c>
      <c r="N1899" s="7">
        <f>IFERROR($M1899/INDEX('DETALLE CRONOLÓGICO'!$K$2:$K$4919,MATCH($A1899,'DETALLE CRONOLÓGICO'!$A$2:$A$4919,0))-1,"")</f>
        <v/>
      </c>
      <c r="O1899" s="6">
        <f>IFERROR($I1899*3,"")</f>
        <v/>
      </c>
      <c r="P1899" s="6">
        <f>IFERROR($I1899*3.5,"")</f>
        <v/>
      </c>
      <c r="Q1899" s="6">
        <f>IFERROR($I1899*4,"")</f>
        <v/>
      </c>
      <c r="R1899" s="6" t="n">
        <v>4820.09</v>
      </c>
      <c r="S1899" s="4" t="n">
        <v>0</v>
      </c>
      <c r="T1899" s="1" t="inlineStr">
        <is>
          <t>active</t>
        </is>
      </c>
      <c r="U1899" s="8" t="n"/>
      <c r="V1899" s="1" t="inlineStr">
        <is>
          <t>SIN PRECIO</t>
        </is>
      </c>
    </row>
    <row r="1900">
      <c r="A1900" s="1" t="inlineStr">
        <is>
          <t>79684371047437</t>
        </is>
      </c>
      <c r="B1900" s="1" t="inlineStr">
        <is>
          <t>ANILLO GC BLONDIE ANCHO CON ZIRCONIA</t>
        </is>
      </c>
      <c r="C1900" s="1" t="inlineStr">
        <is>
          <t>8</t>
        </is>
      </c>
      <c r="D1900" s="1" t="inlineStr">
        <is>
          <t>ZOEY</t>
        </is>
      </c>
      <c r="E1900" s="4">
        <f>COUNTIF('DETALLE CRONOLÓGICO'!$A$2:$A$4919,$A1900)</f>
        <v/>
      </c>
      <c r="F1900" s="4">
        <f>SUMIFS('DETALLE CRONOLÓGICO'!$I$2:$I$4919,'DETALLE CRONOLÓGICO'!$A$2:$A$4919,$A1900)</f>
        <v/>
      </c>
      <c r="G1900" s="1">
        <f>INDEX('DETALLE CRONOLÓGICO'!$D$2:$D$4919,MATCH($A1900,'DETALLE CRONOLÓGICO'!$A$2:$A$4919,0))</f>
        <v/>
      </c>
      <c r="H1900" s="1">
        <f>INDEX('DETALLE CRONOLÓGICO'!$D$2:$D$4919,MATCH($A1900,'DETALLE CRONOLÓGICO'!$A$2:$A$4919,0)+$E1900-1)</f>
        <v/>
      </c>
      <c r="I1900" s="5">
        <f>IFERROR(SUMIFS('DETALLE CRONOLÓGICO'!$L$2:$L$4919,'DETALLE CRONOLÓGICO'!$A$2:$A$4919,$A1900)/$F1900,"")</f>
        <v/>
      </c>
      <c r="J1900" s="6">
        <f>IFERROR(SUMIFS('DETALLE CRONOLÓGICO'!$K$2:$K$4919,'DETALLE CRONOLÓGICO'!$A$2:$A$4919,$A1900)/$E1900,"")</f>
        <v/>
      </c>
      <c r="K1900" s="6">
        <f>_xlfn.MINIFS('DETALLE CRONOLÓGICO'!$K$2:$K$4919,'DETALLE CRONOLÓGICO'!$A$2:$A$4919,$A1900)</f>
        <v/>
      </c>
      <c r="L1900" s="6">
        <f>_xlfn.MAXIFS('DETALLE CRONOLÓGICO'!$K$2:$K$4919,'DETALLE CRONOLÓGICO'!$A$2:$A$4919,$A1900)</f>
        <v/>
      </c>
      <c r="M1900" s="6">
        <f>INDEX('DETALLE CRONOLÓGICO'!$K$2:$K$4919,MATCH($A1900,'DETALLE CRONOLÓGICO'!$A$2:$A$4919,0)+$E1900-1)</f>
        <v/>
      </c>
      <c r="N1900" s="7">
        <f>IFERROR($M1900/INDEX('DETALLE CRONOLÓGICO'!$K$2:$K$4919,MATCH($A1900,'DETALLE CRONOLÓGICO'!$A$2:$A$4919,0))-1,"")</f>
        <v/>
      </c>
      <c r="O1900" s="6">
        <f>IFERROR($I1900*3,"")</f>
        <v/>
      </c>
      <c r="P1900" s="6">
        <f>IFERROR($I1900*3.5,"")</f>
        <v/>
      </c>
      <c r="Q1900" s="6">
        <f>IFERROR($I1900*4,"")</f>
        <v/>
      </c>
      <c r="R1900" s="6" t="n">
        <v>945</v>
      </c>
      <c r="S1900" s="4" t="n">
        <v>2</v>
      </c>
      <c r="T1900" s="1" t="inlineStr">
        <is>
          <t>active</t>
        </is>
      </c>
      <c r="U1900" s="8" t="n"/>
      <c r="V1900" s="1" t="inlineStr">
        <is>
          <t>SIN PRECIO</t>
        </is>
      </c>
    </row>
    <row r="1901">
      <c r="A1901" s="1" t="inlineStr">
        <is>
          <t>79684371047438</t>
        </is>
      </c>
      <c r="B1901" s="1" t="n"/>
      <c r="C1901" s="1" t="n">
        <v>7</v>
      </c>
      <c r="D1901" s="1" t="inlineStr">
        <is>
          <t>ZOEY</t>
        </is>
      </c>
      <c r="E1901" s="4">
        <f>COUNTIF('DETALLE CRONOLÓGICO'!$A$2:$A$4919,$A1901)</f>
        <v/>
      </c>
      <c r="F1901" s="4">
        <f>SUMIFS('DETALLE CRONOLÓGICO'!$I$2:$I$4919,'DETALLE CRONOLÓGICO'!$A$2:$A$4919,$A1901)</f>
        <v/>
      </c>
      <c r="G1901" s="1">
        <f>INDEX('DETALLE CRONOLÓGICO'!$D$2:$D$4919,MATCH($A1901,'DETALLE CRONOLÓGICO'!$A$2:$A$4919,0))</f>
        <v/>
      </c>
      <c r="H1901" s="1">
        <f>INDEX('DETALLE CRONOLÓGICO'!$D$2:$D$4919,MATCH($A1901,'DETALLE CRONOLÓGICO'!$A$2:$A$4919,0)+$E1901-1)</f>
        <v/>
      </c>
      <c r="I1901" s="5">
        <f>IFERROR(SUMIFS('DETALLE CRONOLÓGICO'!$L$2:$L$4919,'DETALLE CRONOLÓGICO'!$A$2:$A$4919,$A1901)/$F1901,"")</f>
        <v/>
      </c>
      <c r="J1901" s="6">
        <f>IFERROR(SUMIFS('DETALLE CRONOLÓGICO'!$K$2:$K$4919,'DETALLE CRONOLÓGICO'!$A$2:$A$4919,$A1901)/$E1901,"")</f>
        <v/>
      </c>
      <c r="K1901" s="6">
        <f>_xlfn.MINIFS('DETALLE CRONOLÓGICO'!$K$2:$K$4919,'DETALLE CRONOLÓGICO'!$A$2:$A$4919,$A1901)</f>
        <v/>
      </c>
      <c r="L1901" s="6">
        <f>_xlfn.MAXIFS('DETALLE CRONOLÓGICO'!$K$2:$K$4919,'DETALLE CRONOLÓGICO'!$A$2:$A$4919,$A1901)</f>
        <v/>
      </c>
      <c r="M1901" s="6">
        <f>INDEX('DETALLE CRONOLÓGICO'!$K$2:$K$4919,MATCH($A1901,'DETALLE CRONOLÓGICO'!$A$2:$A$4919,0)+$E1901-1)</f>
        <v/>
      </c>
      <c r="N1901" s="7">
        <f>IFERROR($M1901/INDEX('DETALLE CRONOLÓGICO'!$K$2:$K$4919,MATCH($A1901,'DETALLE CRONOLÓGICO'!$A$2:$A$4919,0))-1,"")</f>
        <v/>
      </c>
      <c r="O1901" s="6">
        <f>IFERROR($I1901*3,"")</f>
        <v/>
      </c>
      <c r="P1901" s="6">
        <f>IFERROR($I1901*3.5,"")</f>
        <v/>
      </c>
      <c r="Q1901" s="6">
        <f>IFERROR($I1901*4,"")</f>
        <v/>
      </c>
      <c r="R1901" s="6" t="n">
        <v>945</v>
      </c>
      <c r="S1901" s="4" t="n">
        <v>1</v>
      </c>
      <c r="T1901" s="1" t="inlineStr">
        <is>
          <t>active</t>
        </is>
      </c>
      <c r="U1901" s="8" t="n"/>
      <c r="V1901" s="1" t="inlineStr">
        <is>
          <t>SIN PRECIO</t>
        </is>
      </c>
    </row>
    <row r="1902">
      <c r="A1902" s="1" t="inlineStr">
        <is>
          <t>79775011055341</t>
        </is>
      </c>
      <c r="B1902" s="1" t="inlineStr">
        <is>
          <t>BOLSO YSL SHOPER ICARE</t>
        </is>
      </c>
      <c r="C1902" s="1" t="inlineStr">
        <is>
          <t>42cm x 42cm</t>
        </is>
      </c>
      <c r="D1902" s="1" t="inlineStr">
        <is>
          <t>CYNTHIA</t>
        </is>
      </c>
      <c r="E1902" s="4">
        <f>COUNTIF('DETALLE CRONOLÓGICO'!$A$2:$A$4919,$A1902)</f>
        <v/>
      </c>
      <c r="F1902" s="4">
        <f>SUMIFS('DETALLE CRONOLÓGICO'!$I$2:$I$4919,'DETALLE CRONOLÓGICO'!$A$2:$A$4919,$A1902)</f>
        <v/>
      </c>
      <c r="G1902" s="1">
        <f>INDEX('DETALLE CRONOLÓGICO'!$D$2:$D$4919,MATCH($A1902,'DETALLE CRONOLÓGICO'!$A$2:$A$4919,0))</f>
        <v/>
      </c>
      <c r="H1902" s="1">
        <f>INDEX('DETALLE CRONOLÓGICO'!$D$2:$D$4919,MATCH($A1902,'DETALLE CRONOLÓGICO'!$A$2:$A$4919,0)+$E1902-1)</f>
        <v/>
      </c>
      <c r="I1902" s="5">
        <f>IFERROR(SUMIFS('DETALLE CRONOLÓGICO'!$L$2:$L$4919,'DETALLE CRONOLÓGICO'!$A$2:$A$4919,$A1902)/$F1902,"")</f>
        <v/>
      </c>
      <c r="J1902" s="6">
        <f>IFERROR(SUMIFS('DETALLE CRONOLÓGICO'!$K$2:$K$4919,'DETALLE CRONOLÓGICO'!$A$2:$A$4919,$A1902)/$E1902,"")</f>
        <v/>
      </c>
      <c r="K1902" s="6">
        <f>_xlfn.MINIFS('DETALLE CRONOLÓGICO'!$K$2:$K$4919,'DETALLE CRONOLÓGICO'!$A$2:$A$4919,$A1902)</f>
        <v/>
      </c>
      <c r="L1902" s="6">
        <f>_xlfn.MAXIFS('DETALLE CRONOLÓGICO'!$K$2:$K$4919,'DETALLE CRONOLÓGICO'!$A$2:$A$4919,$A1902)</f>
        <v/>
      </c>
      <c r="M1902" s="6">
        <f>INDEX('DETALLE CRONOLÓGICO'!$K$2:$K$4919,MATCH($A1902,'DETALLE CRONOLÓGICO'!$A$2:$A$4919,0)+$E1902-1)</f>
        <v/>
      </c>
      <c r="N1902" s="7">
        <f>IFERROR($M1902/INDEX('DETALLE CRONOLÓGICO'!$K$2:$K$4919,MATCH($A1902,'DETALLE CRONOLÓGICO'!$A$2:$A$4919,0))-1,"")</f>
        <v/>
      </c>
      <c r="O1902" s="6">
        <f>IFERROR($I1902*3,"")</f>
        <v/>
      </c>
      <c r="P1902" s="6">
        <f>IFERROR($I1902*3.5,"")</f>
        <v/>
      </c>
      <c r="Q1902" s="6">
        <f>IFERROR($I1902*4,"")</f>
        <v/>
      </c>
      <c r="R1902" s="6" t="n">
        <v>5840</v>
      </c>
      <c r="S1902" s="4" t="n">
        <v>0</v>
      </c>
      <c r="T1902" s="1" t="inlineStr">
        <is>
          <t>active</t>
        </is>
      </c>
      <c r="U1902" s="8" t="n"/>
      <c r="V1902" s="1" t="inlineStr">
        <is>
          <t>SIN PRECIO</t>
        </is>
      </c>
    </row>
    <row r="1903">
      <c r="A1903" s="1" t="inlineStr">
        <is>
          <t>79958551028717</t>
        </is>
      </c>
      <c r="B1903" s="1" t="inlineStr">
        <is>
          <t>COLLAR MM HEART GOLD BLUE</t>
        </is>
      </c>
      <c r="C1903" s="1" t="inlineStr">
        <is>
          <t>Default Title</t>
        </is>
      </c>
      <c r="D1903" s="1" t="inlineStr">
        <is>
          <t>ZOEY</t>
        </is>
      </c>
      <c r="E1903" s="4">
        <f>COUNTIF('DETALLE CRONOLÓGICO'!$A$2:$A$4919,$A1903)</f>
        <v/>
      </c>
      <c r="F1903" s="4">
        <f>SUMIFS('DETALLE CRONOLÓGICO'!$I$2:$I$4919,'DETALLE CRONOLÓGICO'!$A$2:$A$4919,$A1903)</f>
        <v/>
      </c>
      <c r="G1903" s="1">
        <f>INDEX('DETALLE CRONOLÓGICO'!$D$2:$D$4919,MATCH($A1903,'DETALLE CRONOLÓGICO'!$A$2:$A$4919,0))</f>
        <v/>
      </c>
      <c r="H1903" s="1">
        <f>INDEX('DETALLE CRONOLÓGICO'!$D$2:$D$4919,MATCH($A1903,'DETALLE CRONOLÓGICO'!$A$2:$A$4919,0)+$E1903-1)</f>
        <v/>
      </c>
      <c r="I1903" s="5">
        <f>IFERROR(SUMIFS('DETALLE CRONOLÓGICO'!$L$2:$L$4919,'DETALLE CRONOLÓGICO'!$A$2:$A$4919,$A1903)/$F1903,"")</f>
        <v/>
      </c>
      <c r="J1903" s="6">
        <f>IFERROR(SUMIFS('DETALLE CRONOLÓGICO'!$K$2:$K$4919,'DETALLE CRONOLÓGICO'!$A$2:$A$4919,$A1903)/$E1903,"")</f>
        <v/>
      </c>
      <c r="K1903" s="6">
        <f>_xlfn.MINIFS('DETALLE CRONOLÓGICO'!$K$2:$K$4919,'DETALLE CRONOLÓGICO'!$A$2:$A$4919,$A1903)</f>
        <v/>
      </c>
      <c r="L1903" s="6">
        <f>_xlfn.MAXIFS('DETALLE CRONOLÓGICO'!$K$2:$K$4919,'DETALLE CRONOLÓGICO'!$A$2:$A$4919,$A1903)</f>
        <v/>
      </c>
      <c r="M1903" s="6">
        <f>INDEX('DETALLE CRONOLÓGICO'!$K$2:$K$4919,MATCH($A1903,'DETALLE CRONOLÓGICO'!$A$2:$A$4919,0)+$E1903-1)</f>
        <v/>
      </c>
      <c r="N1903" s="7">
        <f>IFERROR($M1903/INDEX('DETALLE CRONOLÓGICO'!$K$2:$K$4919,MATCH($A1903,'DETALLE CRONOLÓGICO'!$A$2:$A$4919,0))-1,"")</f>
        <v/>
      </c>
      <c r="O1903" s="6">
        <f>IFERROR($I1903*3,"")</f>
        <v/>
      </c>
      <c r="P1903" s="6">
        <f>IFERROR($I1903*3.5,"")</f>
        <v/>
      </c>
      <c r="Q1903" s="6">
        <f>IFERROR($I1903*4,"")</f>
        <v/>
      </c>
      <c r="R1903" s="6" t="n">
        <v>652.2</v>
      </c>
      <c r="S1903" s="4" t="n">
        <v>0</v>
      </c>
      <c r="T1903" s="1" t="inlineStr">
        <is>
          <t>active</t>
        </is>
      </c>
      <c r="U1903" s="8" t="n"/>
      <c r="V1903" s="1" t="inlineStr">
        <is>
          <t>SIN PRECIO</t>
        </is>
      </c>
    </row>
    <row r="1904">
      <c r="A1904" s="1" t="inlineStr">
        <is>
          <t>80380861033869</t>
        </is>
      </c>
      <c r="B1904" s="1" t="inlineStr">
        <is>
          <t>BRAZALETE GC BLONDIE CRISTAL BANGLE GOLD</t>
        </is>
      </c>
      <c r="C1904" s="1" t="inlineStr">
        <is>
          <t>Default Title</t>
        </is>
      </c>
      <c r="D1904" s="1" t="inlineStr">
        <is>
          <t>ZOEY</t>
        </is>
      </c>
      <c r="E1904" s="4">
        <f>COUNTIF('DETALLE CRONOLÓGICO'!$A$2:$A$4919,$A1904)</f>
        <v/>
      </c>
      <c r="F1904" s="4">
        <f>SUMIFS('DETALLE CRONOLÓGICO'!$I$2:$I$4919,'DETALLE CRONOLÓGICO'!$A$2:$A$4919,$A1904)</f>
        <v/>
      </c>
      <c r="G1904" s="1">
        <f>INDEX('DETALLE CRONOLÓGICO'!$D$2:$D$4919,MATCH($A1904,'DETALLE CRONOLÓGICO'!$A$2:$A$4919,0))</f>
        <v/>
      </c>
      <c r="H1904" s="1">
        <f>INDEX('DETALLE CRONOLÓGICO'!$D$2:$D$4919,MATCH($A1904,'DETALLE CRONOLÓGICO'!$A$2:$A$4919,0)+$E1904-1)</f>
        <v/>
      </c>
      <c r="I1904" s="5">
        <f>IFERROR(SUMIFS('DETALLE CRONOLÓGICO'!$L$2:$L$4919,'DETALLE CRONOLÓGICO'!$A$2:$A$4919,$A1904)/$F1904,"")</f>
        <v/>
      </c>
      <c r="J1904" s="6">
        <f>IFERROR(SUMIFS('DETALLE CRONOLÓGICO'!$K$2:$K$4919,'DETALLE CRONOLÓGICO'!$A$2:$A$4919,$A1904)/$E1904,"")</f>
        <v/>
      </c>
      <c r="K1904" s="6">
        <f>_xlfn.MINIFS('DETALLE CRONOLÓGICO'!$K$2:$K$4919,'DETALLE CRONOLÓGICO'!$A$2:$A$4919,$A1904)</f>
        <v/>
      </c>
      <c r="L1904" s="6">
        <f>_xlfn.MAXIFS('DETALLE CRONOLÓGICO'!$K$2:$K$4919,'DETALLE CRONOLÓGICO'!$A$2:$A$4919,$A1904)</f>
        <v/>
      </c>
      <c r="M1904" s="6">
        <f>INDEX('DETALLE CRONOLÓGICO'!$K$2:$K$4919,MATCH($A1904,'DETALLE CRONOLÓGICO'!$A$2:$A$4919,0)+$E1904-1)</f>
        <v/>
      </c>
      <c r="N1904" s="7">
        <f>IFERROR($M1904/INDEX('DETALLE CRONOLÓGICO'!$K$2:$K$4919,MATCH($A1904,'DETALLE CRONOLÓGICO'!$A$2:$A$4919,0))-1,"")</f>
        <v/>
      </c>
      <c r="O1904" s="6">
        <f>IFERROR($I1904*3,"")</f>
        <v/>
      </c>
      <c r="P1904" s="6">
        <f>IFERROR($I1904*3.5,"")</f>
        <v/>
      </c>
      <c r="Q1904" s="6">
        <f>IFERROR($I1904*4,"")</f>
        <v/>
      </c>
      <c r="R1904" s="6" t="n">
        <v>1239</v>
      </c>
      <c r="S1904" s="4" t="n">
        <v>1</v>
      </c>
      <c r="T1904" s="1" t="inlineStr">
        <is>
          <t>active</t>
        </is>
      </c>
      <c r="U1904" s="8" t="n"/>
      <c r="V1904" s="1" t="inlineStr">
        <is>
          <t>SIN PRECIO</t>
        </is>
      </c>
    </row>
    <row r="1905">
      <c r="A1905" s="1" t="inlineStr">
        <is>
          <t>80464311068525</t>
        </is>
      </c>
      <c r="B1905" s="1" t="inlineStr">
        <is>
          <t>ANILLO CD REVOLUTION</t>
        </is>
      </c>
      <c r="C1905" s="1" t="n">
        <v>6</v>
      </c>
      <c r="D1905" s="1" t="inlineStr">
        <is>
          <t>NANCY</t>
        </is>
      </c>
      <c r="E1905" s="4">
        <f>COUNTIF('DETALLE CRONOLÓGICO'!$A$2:$A$4919,$A1905)</f>
        <v/>
      </c>
      <c r="F1905" s="4">
        <f>SUMIFS('DETALLE CRONOLÓGICO'!$I$2:$I$4919,'DETALLE CRONOLÓGICO'!$A$2:$A$4919,$A1905)</f>
        <v/>
      </c>
      <c r="G1905" s="1">
        <f>INDEX('DETALLE CRONOLÓGICO'!$D$2:$D$4919,MATCH($A1905,'DETALLE CRONOLÓGICO'!$A$2:$A$4919,0))</f>
        <v/>
      </c>
      <c r="H1905" s="1">
        <f>INDEX('DETALLE CRONOLÓGICO'!$D$2:$D$4919,MATCH($A1905,'DETALLE CRONOLÓGICO'!$A$2:$A$4919,0)+$E1905-1)</f>
        <v/>
      </c>
      <c r="I1905" s="5">
        <f>IFERROR(SUMIFS('DETALLE CRONOLÓGICO'!$L$2:$L$4919,'DETALLE CRONOLÓGICO'!$A$2:$A$4919,$A1905)/$F1905,"")</f>
        <v/>
      </c>
      <c r="J1905" s="6">
        <f>IFERROR(SUMIFS('DETALLE CRONOLÓGICO'!$K$2:$K$4919,'DETALLE CRONOLÓGICO'!$A$2:$A$4919,$A1905)/$E1905,"")</f>
        <v/>
      </c>
      <c r="K1905" s="6">
        <f>_xlfn.MINIFS('DETALLE CRONOLÓGICO'!$K$2:$K$4919,'DETALLE CRONOLÓGICO'!$A$2:$A$4919,$A1905)</f>
        <v/>
      </c>
      <c r="L1905" s="6">
        <f>_xlfn.MAXIFS('DETALLE CRONOLÓGICO'!$K$2:$K$4919,'DETALLE CRONOLÓGICO'!$A$2:$A$4919,$A1905)</f>
        <v/>
      </c>
      <c r="M1905" s="6">
        <f>INDEX('DETALLE CRONOLÓGICO'!$K$2:$K$4919,MATCH($A1905,'DETALLE CRONOLÓGICO'!$A$2:$A$4919,0)+$E1905-1)</f>
        <v/>
      </c>
      <c r="N1905" s="7">
        <f>IFERROR($M1905/INDEX('DETALLE CRONOLÓGICO'!$K$2:$K$4919,MATCH($A1905,'DETALLE CRONOLÓGICO'!$A$2:$A$4919,0))-1,"")</f>
        <v/>
      </c>
      <c r="O1905" s="6">
        <f>IFERROR($I1905*3,"")</f>
        <v/>
      </c>
      <c r="P1905" s="6">
        <f>IFERROR($I1905*3.5,"")</f>
        <v/>
      </c>
      <c r="Q1905" s="6">
        <f>IFERROR($I1905*4,"")</f>
        <v/>
      </c>
      <c r="R1905" s="6" t="n">
        <v>499</v>
      </c>
      <c r="S1905" s="4" t="n">
        <v>1</v>
      </c>
      <c r="T1905" s="1" t="inlineStr">
        <is>
          <t>active</t>
        </is>
      </c>
      <c r="U1905" s="8" t="n"/>
      <c r="V1905" s="1" t="inlineStr">
        <is>
          <t>SIN PRECIO</t>
        </is>
      </c>
    </row>
    <row r="1906">
      <c r="A1906" s="1" t="inlineStr">
        <is>
          <t>80490861006349</t>
        </is>
      </c>
      <c r="B1906" s="1" t="inlineStr">
        <is>
          <t>CAMISETA ALLS BLACK</t>
        </is>
      </c>
      <c r="C1906" s="1" t="inlineStr">
        <is>
          <t>l</t>
        </is>
      </c>
      <c r="D1906" s="1" t="inlineStr">
        <is>
          <t>ZOEY</t>
        </is>
      </c>
      <c r="E1906" s="4">
        <f>COUNTIF('DETALLE CRONOLÓGICO'!$A$2:$A$4919,$A1906)</f>
        <v/>
      </c>
      <c r="F1906" s="4">
        <f>SUMIFS('DETALLE CRONOLÓGICO'!$I$2:$I$4919,'DETALLE CRONOLÓGICO'!$A$2:$A$4919,$A1906)</f>
        <v/>
      </c>
      <c r="G1906" s="1">
        <f>INDEX('DETALLE CRONOLÓGICO'!$D$2:$D$4919,MATCH($A1906,'DETALLE CRONOLÓGICO'!$A$2:$A$4919,0))</f>
        <v/>
      </c>
      <c r="H1906" s="1">
        <f>INDEX('DETALLE CRONOLÓGICO'!$D$2:$D$4919,MATCH($A1906,'DETALLE CRONOLÓGICO'!$A$2:$A$4919,0)+$E1906-1)</f>
        <v/>
      </c>
      <c r="I1906" s="5">
        <f>IFERROR(SUMIFS('DETALLE CRONOLÓGICO'!$L$2:$L$4919,'DETALLE CRONOLÓGICO'!$A$2:$A$4919,$A1906)/$F1906,"")</f>
        <v/>
      </c>
      <c r="J1906" s="6">
        <f>IFERROR(SUMIFS('DETALLE CRONOLÓGICO'!$K$2:$K$4919,'DETALLE CRONOLÓGICO'!$A$2:$A$4919,$A1906)/$E1906,"")</f>
        <v/>
      </c>
      <c r="K1906" s="6">
        <f>_xlfn.MINIFS('DETALLE CRONOLÓGICO'!$K$2:$K$4919,'DETALLE CRONOLÓGICO'!$A$2:$A$4919,$A1906)</f>
        <v/>
      </c>
      <c r="L1906" s="6">
        <f>_xlfn.MAXIFS('DETALLE CRONOLÓGICO'!$K$2:$K$4919,'DETALLE CRONOLÓGICO'!$A$2:$A$4919,$A1906)</f>
        <v/>
      </c>
      <c r="M1906" s="6">
        <f>INDEX('DETALLE CRONOLÓGICO'!$K$2:$K$4919,MATCH($A1906,'DETALLE CRONOLÓGICO'!$A$2:$A$4919,0)+$E1906-1)</f>
        <v/>
      </c>
      <c r="N1906" s="7">
        <f>IFERROR($M1906/INDEX('DETALLE CRONOLÓGICO'!$K$2:$K$4919,MATCH($A1906,'DETALLE CRONOLÓGICO'!$A$2:$A$4919,0))-1,"")</f>
        <v/>
      </c>
      <c r="O1906" s="6">
        <f>IFERROR($I1906*3,"")</f>
        <v/>
      </c>
      <c r="P1906" s="6">
        <f>IFERROR($I1906*3.5,"")</f>
        <v/>
      </c>
      <c r="Q1906" s="6">
        <f>IFERROR($I1906*4,"")</f>
        <v/>
      </c>
      <c r="R1906" s="6" t="n">
        <v>1370</v>
      </c>
      <c r="S1906" s="4" t="n">
        <v>2</v>
      </c>
      <c r="T1906" s="1" t="inlineStr">
        <is>
          <t>active</t>
        </is>
      </c>
      <c r="U1906" s="8" t="n"/>
      <c r="V1906" s="1" t="inlineStr">
        <is>
          <t>SIN PRECIO</t>
        </is>
      </c>
    </row>
    <row r="1907">
      <c r="A1907" s="1" t="inlineStr">
        <is>
          <t>80490861139117</t>
        </is>
      </c>
      <c r="B1907" s="1" t="n"/>
      <c r="C1907" s="1" t="inlineStr">
        <is>
          <t>m</t>
        </is>
      </c>
      <c r="D1907" s="1" t="inlineStr">
        <is>
          <t>ZOEY</t>
        </is>
      </c>
      <c r="E1907" s="4">
        <f>COUNTIF('DETALLE CRONOLÓGICO'!$A$2:$A$4919,$A1907)</f>
        <v/>
      </c>
      <c r="F1907" s="4">
        <f>SUMIFS('DETALLE CRONOLÓGICO'!$I$2:$I$4919,'DETALLE CRONOLÓGICO'!$A$2:$A$4919,$A1907)</f>
        <v/>
      </c>
      <c r="G1907" s="1">
        <f>INDEX('DETALLE CRONOLÓGICO'!$D$2:$D$4919,MATCH($A1907,'DETALLE CRONOLÓGICO'!$A$2:$A$4919,0))</f>
        <v/>
      </c>
      <c r="H1907" s="1">
        <f>INDEX('DETALLE CRONOLÓGICO'!$D$2:$D$4919,MATCH($A1907,'DETALLE CRONOLÓGICO'!$A$2:$A$4919,0)+$E1907-1)</f>
        <v/>
      </c>
      <c r="I1907" s="5">
        <f>IFERROR(SUMIFS('DETALLE CRONOLÓGICO'!$L$2:$L$4919,'DETALLE CRONOLÓGICO'!$A$2:$A$4919,$A1907)/$F1907,"")</f>
        <v/>
      </c>
      <c r="J1907" s="6">
        <f>IFERROR(SUMIFS('DETALLE CRONOLÓGICO'!$K$2:$K$4919,'DETALLE CRONOLÓGICO'!$A$2:$A$4919,$A1907)/$E1907,"")</f>
        <v/>
      </c>
      <c r="K1907" s="6">
        <f>_xlfn.MINIFS('DETALLE CRONOLÓGICO'!$K$2:$K$4919,'DETALLE CRONOLÓGICO'!$A$2:$A$4919,$A1907)</f>
        <v/>
      </c>
      <c r="L1907" s="6">
        <f>_xlfn.MAXIFS('DETALLE CRONOLÓGICO'!$K$2:$K$4919,'DETALLE CRONOLÓGICO'!$A$2:$A$4919,$A1907)</f>
        <v/>
      </c>
      <c r="M1907" s="6">
        <f>INDEX('DETALLE CRONOLÓGICO'!$K$2:$K$4919,MATCH($A1907,'DETALLE CRONOLÓGICO'!$A$2:$A$4919,0)+$E1907-1)</f>
        <v/>
      </c>
      <c r="N1907" s="7">
        <f>IFERROR($M1907/INDEX('DETALLE CRONOLÓGICO'!$K$2:$K$4919,MATCH($A1907,'DETALLE CRONOLÓGICO'!$A$2:$A$4919,0))-1,"")</f>
        <v/>
      </c>
      <c r="O1907" s="6">
        <f>IFERROR($I1907*3,"")</f>
        <v/>
      </c>
      <c r="P1907" s="6">
        <f>IFERROR($I1907*3.5,"")</f>
        <v/>
      </c>
      <c r="Q1907" s="6">
        <f>IFERROR($I1907*4,"")</f>
        <v/>
      </c>
      <c r="R1907" s="6" t="n">
        <v>1956.6</v>
      </c>
      <c r="S1907" s="4" t="n">
        <v>2</v>
      </c>
      <c r="T1907" s="1" t="inlineStr">
        <is>
          <t>active</t>
        </is>
      </c>
      <c r="U1907" s="8" t="n"/>
      <c r="V1907" s="1" t="inlineStr">
        <is>
          <t>SIN PRECIO</t>
        </is>
      </c>
    </row>
    <row r="1908">
      <c r="A1908" s="1" t="inlineStr">
        <is>
          <t>81003591072449</t>
        </is>
      </c>
      <c r="B1908" s="1" t="inlineStr">
        <is>
          <t>LENTES FIRST CRYSTALF F</t>
        </is>
      </c>
      <c r="C1908" s="1" t="inlineStr">
        <is>
          <t>Default Title</t>
        </is>
      </c>
      <c r="D1908" s="1" t="inlineStr">
        <is>
          <t>CYNTHIA</t>
        </is>
      </c>
      <c r="E1908" s="4">
        <f>COUNTIF('DETALLE CRONOLÓGICO'!$A$2:$A$4919,$A1908)</f>
        <v/>
      </c>
      <c r="F1908" s="4">
        <f>SUMIFS('DETALLE CRONOLÓGICO'!$I$2:$I$4919,'DETALLE CRONOLÓGICO'!$A$2:$A$4919,$A1908)</f>
        <v/>
      </c>
      <c r="G1908" s="1">
        <f>INDEX('DETALLE CRONOLÓGICO'!$D$2:$D$4919,MATCH($A1908,'DETALLE CRONOLÓGICO'!$A$2:$A$4919,0))</f>
        <v/>
      </c>
      <c r="H1908" s="1">
        <f>INDEX('DETALLE CRONOLÓGICO'!$D$2:$D$4919,MATCH($A1908,'DETALLE CRONOLÓGICO'!$A$2:$A$4919,0)+$E1908-1)</f>
        <v/>
      </c>
      <c r="I1908" s="5">
        <f>IFERROR(SUMIFS('DETALLE CRONOLÓGICO'!$L$2:$L$4919,'DETALLE CRONOLÓGICO'!$A$2:$A$4919,$A1908)/$F1908,"")</f>
        <v/>
      </c>
      <c r="J1908" s="6">
        <f>IFERROR(SUMIFS('DETALLE CRONOLÓGICO'!$K$2:$K$4919,'DETALLE CRONOLÓGICO'!$A$2:$A$4919,$A1908)/$E1908,"")</f>
        <v/>
      </c>
      <c r="K1908" s="6">
        <f>_xlfn.MINIFS('DETALLE CRONOLÓGICO'!$K$2:$K$4919,'DETALLE CRONOLÓGICO'!$A$2:$A$4919,$A1908)</f>
        <v/>
      </c>
      <c r="L1908" s="6">
        <f>_xlfn.MAXIFS('DETALLE CRONOLÓGICO'!$K$2:$K$4919,'DETALLE CRONOLÓGICO'!$A$2:$A$4919,$A1908)</f>
        <v/>
      </c>
      <c r="M1908" s="6">
        <f>INDEX('DETALLE CRONOLÓGICO'!$K$2:$K$4919,MATCH($A1908,'DETALLE CRONOLÓGICO'!$A$2:$A$4919,0)+$E1908-1)</f>
        <v/>
      </c>
      <c r="N1908" s="7">
        <f>IFERROR($M1908/INDEX('DETALLE CRONOLÓGICO'!$K$2:$K$4919,MATCH($A1908,'DETALLE CRONOLÓGICO'!$A$2:$A$4919,0))-1,"")</f>
        <v/>
      </c>
      <c r="O1908" s="6">
        <f>IFERROR($I1908*3,"")</f>
        <v/>
      </c>
      <c r="P1908" s="6">
        <f>IFERROR($I1908*3.5,"")</f>
        <v/>
      </c>
      <c r="Q1908" s="6">
        <f>IFERROR($I1908*4,"")</f>
        <v/>
      </c>
      <c r="R1908" s="6" t="n">
        <v>1149</v>
      </c>
      <c r="S1908" s="4" t="n">
        <v>0</v>
      </c>
      <c r="T1908" s="1" t="inlineStr">
        <is>
          <t>draft</t>
        </is>
      </c>
      <c r="U1908" s="8" t="n"/>
      <c r="V1908" s="1" t="inlineStr">
        <is>
          <t>SIN PRECIO</t>
        </is>
      </c>
    </row>
    <row r="1909">
      <c r="A1909" s="1" t="inlineStr">
        <is>
          <t>81078751122989</t>
        </is>
      </c>
      <c r="B1909" s="1" t="inlineStr">
        <is>
          <t>PULSERA LV MULTIBLOSSOM ROSEGOLD</t>
        </is>
      </c>
      <c r="C1909" s="1" t="inlineStr">
        <is>
          <t>Default Title</t>
        </is>
      </c>
      <c r="D1909" s="1" t="inlineStr">
        <is>
          <t>HAIFENG</t>
        </is>
      </c>
      <c r="E1909" s="4">
        <f>COUNTIF('DETALLE CRONOLÓGICO'!$A$2:$A$4919,$A1909)</f>
        <v/>
      </c>
      <c r="F1909" s="4">
        <f>SUMIFS('DETALLE CRONOLÓGICO'!$I$2:$I$4919,'DETALLE CRONOLÓGICO'!$A$2:$A$4919,$A1909)</f>
        <v/>
      </c>
      <c r="G1909" s="1">
        <f>INDEX('DETALLE CRONOLÓGICO'!$D$2:$D$4919,MATCH($A1909,'DETALLE CRONOLÓGICO'!$A$2:$A$4919,0))</f>
        <v/>
      </c>
      <c r="H1909" s="1">
        <f>INDEX('DETALLE CRONOLÓGICO'!$D$2:$D$4919,MATCH($A1909,'DETALLE CRONOLÓGICO'!$A$2:$A$4919,0)+$E1909-1)</f>
        <v/>
      </c>
      <c r="I1909" s="5">
        <f>IFERROR(SUMIFS('DETALLE CRONOLÓGICO'!$L$2:$L$4919,'DETALLE CRONOLÓGICO'!$A$2:$A$4919,$A1909)/$F1909,"")</f>
        <v/>
      </c>
      <c r="J1909" s="6">
        <f>IFERROR(SUMIFS('DETALLE CRONOLÓGICO'!$K$2:$K$4919,'DETALLE CRONOLÓGICO'!$A$2:$A$4919,$A1909)/$E1909,"")</f>
        <v/>
      </c>
      <c r="K1909" s="6">
        <f>_xlfn.MINIFS('DETALLE CRONOLÓGICO'!$K$2:$K$4919,'DETALLE CRONOLÓGICO'!$A$2:$A$4919,$A1909)</f>
        <v/>
      </c>
      <c r="L1909" s="6">
        <f>_xlfn.MAXIFS('DETALLE CRONOLÓGICO'!$K$2:$K$4919,'DETALLE CRONOLÓGICO'!$A$2:$A$4919,$A1909)</f>
        <v/>
      </c>
      <c r="M1909" s="6">
        <f>INDEX('DETALLE CRONOLÓGICO'!$K$2:$K$4919,MATCH($A1909,'DETALLE CRONOLÓGICO'!$A$2:$A$4919,0)+$E1909-1)</f>
        <v/>
      </c>
      <c r="N1909" s="7">
        <f>IFERROR($M1909/INDEX('DETALLE CRONOLÓGICO'!$K$2:$K$4919,MATCH($A1909,'DETALLE CRONOLÓGICO'!$A$2:$A$4919,0))-1,"")</f>
        <v/>
      </c>
      <c r="O1909" s="6">
        <f>IFERROR($I1909*3,"")</f>
        <v/>
      </c>
      <c r="P1909" s="6">
        <f>IFERROR($I1909*3.5,"")</f>
        <v/>
      </c>
      <c r="Q1909" s="6">
        <f>IFERROR($I1909*4,"")</f>
        <v/>
      </c>
      <c r="R1909" s="6" t="n">
        <v>909</v>
      </c>
      <c r="S1909" s="4" t="n">
        <v>2</v>
      </c>
      <c r="T1909" s="1" t="inlineStr">
        <is>
          <t>active</t>
        </is>
      </c>
      <c r="U1909" s="8" t="n"/>
      <c r="V1909" s="1" t="inlineStr">
        <is>
          <t>SIN PRECIO</t>
        </is>
      </c>
    </row>
    <row r="1910">
      <c r="A1910" s="1" t="inlineStr">
        <is>
          <t>81078751264237</t>
        </is>
      </c>
      <c r="B1910" s="1" t="inlineStr">
        <is>
          <t>PULSERA LV BLOSSOM ROSEGOLD ZIRCONIAS</t>
        </is>
      </c>
      <c r="C1910" s="1" t="inlineStr">
        <is>
          <t>Default Title</t>
        </is>
      </c>
      <c r="D1910" s="1" t="inlineStr">
        <is>
          <t>HAIFENG</t>
        </is>
      </c>
      <c r="E1910" s="4">
        <f>COUNTIF('DETALLE CRONOLÓGICO'!$A$2:$A$4919,$A1910)</f>
        <v/>
      </c>
      <c r="F1910" s="4">
        <f>SUMIFS('DETALLE CRONOLÓGICO'!$I$2:$I$4919,'DETALLE CRONOLÓGICO'!$A$2:$A$4919,$A1910)</f>
        <v/>
      </c>
      <c r="G1910" s="1">
        <f>INDEX('DETALLE CRONOLÓGICO'!$D$2:$D$4919,MATCH($A1910,'DETALLE CRONOLÓGICO'!$A$2:$A$4919,0))</f>
        <v/>
      </c>
      <c r="H1910" s="1">
        <f>INDEX('DETALLE CRONOLÓGICO'!$D$2:$D$4919,MATCH($A1910,'DETALLE CRONOLÓGICO'!$A$2:$A$4919,0)+$E1910-1)</f>
        <v/>
      </c>
      <c r="I1910" s="5">
        <f>IFERROR(SUMIFS('DETALLE CRONOLÓGICO'!$L$2:$L$4919,'DETALLE CRONOLÓGICO'!$A$2:$A$4919,$A1910)/$F1910,"")</f>
        <v/>
      </c>
      <c r="J1910" s="6">
        <f>IFERROR(SUMIFS('DETALLE CRONOLÓGICO'!$K$2:$K$4919,'DETALLE CRONOLÓGICO'!$A$2:$A$4919,$A1910)/$E1910,"")</f>
        <v/>
      </c>
      <c r="K1910" s="6">
        <f>_xlfn.MINIFS('DETALLE CRONOLÓGICO'!$K$2:$K$4919,'DETALLE CRONOLÓGICO'!$A$2:$A$4919,$A1910)</f>
        <v/>
      </c>
      <c r="L1910" s="6">
        <f>_xlfn.MAXIFS('DETALLE CRONOLÓGICO'!$K$2:$K$4919,'DETALLE CRONOLÓGICO'!$A$2:$A$4919,$A1910)</f>
        <v/>
      </c>
      <c r="M1910" s="6">
        <f>INDEX('DETALLE CRONOLÓGICO'!$K$2:$K$4919,MATCH($A1910,'DETALLE CRONOLÓGICO'!$A$2:$A$4919,0)+$E1910-1)</f>
        <v/>
      </c>
      <c r="N1910" s="7">
        <f>IFERROR($M1910/INDEX('DETALLE CRONOLÓGICO'!$K$2:$K$4919,MATCH($A1910,'DETALLE CRONOLÓGICO'!$A$2:$A$4919,0))-1,"")</f>
        <v/>
      </c>
      <c r="O1910" s="6">
        <f>IFERROR($I1910*3,"")</f>
        <v/>
      </c>
      <c r="P1910" s="6">
        <f>IFERROR($I1910*3.5,"")</f>
        <v/>
      </c>
      <c r="Q1910" s="6">
        <f>IFERROR($I1910*4,"")</f>
        <v/>
      </c>
      <c r="R1910" s="6" t="n">
        <v>599</v>
      </c>
      <c r="S1910" s="4" t="n">
        <v>0</v>
      </c>
      <c r="T1910" s="1" t="inlineStr">
        <is>
          <t>active</t>
        </is>
      </c>
      <c r="U1910" s="8" t="n"/>
      <c r="V1910" s="1" t="inlineStr">
        <is>
          <t>SIN PRECIO</t>
        </is>
      </c>
    </row>
    <row r="1911">
      <c r="A1911" s="1" t="inlineStr">
        <is>
          <t>81078751345773</t>
        </is>
      </c>
      <c r="B1911" s="1" t="inlineStr">
        <is>
          <t>ARETES BLOSSOM COLGANTES ROSEGOLD</t>
        </is>
      </c>
      <c r="C1911" s="1" t="inlineStr">
        <is>
          <t>Default Title</t>
        </is>
      </c>
      <c r="D1911" s="1" t="inlineStr">
        <is>
          <t>HAIFENG</t>
        </is>
      </c>
      <c r="E1911" s="4">
        <f>COUNTIF('DETALLE CRONOLÓGICO'!$A$2:$A$4919,$A1911)</f>
        <v/>
      </c>
      <c r="F1911" s="4">
        <f>SUMIFS('DETALLE CRONOLÓGICO'!$I$2:$I$4919,'DETALLE CRONOLÓGICO'!$A$2:$A$4919,$A1911)</f>
        <v/>
      </c>
      <c r="G1911" s="1">
        <f>INDEX('DETALLE CRONOLÓGICO'!$D$2:$D$4919,MATCH($A1911,'DETALLE CRONOLÓGICO'!$A$2:$A$4919,0))</f>
        <v/>
      </c>
      <c r="H1911" s="1">
        <f>INDEX('DETALLE CRONOLÓGICO'!$D$2:$D$4919,MATCH($A1911,'DETALLE CRONOLÓGICO'!$A$2:$A$4919,0)+$E1911-1)</f>
        <v/>
      </c>
      <c r="I1911" s="5">
        <f>IFERROR(SUMIFS('DETALLE CRONOLÓGICO'!$L$2:$L$4919,'DETALLE CRONOLÓGICO'!$A$2:$A$4919,$A1911)/$F1911,"")</f>
        <v/>
      </c>
      <c r="J1911" s="6">
        <f>IFERROR(SUMIFS('DETALLE CRONOLÓGICO'!$K$2:$K$4919,'DETALLE CRONOLÓGICO'!$A$2:$A$4919,$A1911)/$E1911,"")</f>
        <v/>
      </c>
      <c r="K1911" s="6">
        <f>_xlfn.MINIFS('DETALLE CRONOLÓGICO'!$K$2:$K$4919,'DETALLE CRONOLÓGICO'!$A$2:$A$4919,$A1911)</f>
        <v/>
      </c>
      <c r="L1911" s="6">
        <f>_xlfn.MAXIFS('DETALLE CRONOLÓGICO'!$K$2:$K$4919,'DETALLE CRONOLÓGICO'!$A$2:$A$4919,$A1911)</f>
        <v/>
      </c>
      <c r="M1911" s="6">
        <f>INDEX('DETALLE CRONOLÓGICO'!$K$2:$K$4919,MATCH($A1911,'DETALLE CRONOLÓGICO'!$A$2:$A$4919,0)+$E1911-1)</f>
        <v/>
      </c>
      <c r="N1911" s="7">
        <f>IFERROR($M1911/INDEX('DETALLE CRONOLÓGICO'!$K$2:$K$4919,MATCH($A1911,'DETALLE CRONOLÓGICO'!$A$2:$A$4919,0))-1,"")</f>
        <v/>
      </c>
      <c r="O1911" s="6">
        <f>IFERROR($I1911*3,"")</f>
        <v/>
      </c>
      <c r="P1911" s="6">
        <f>IFERROR($I1911*3.5,"")</f>
        <v/>
      </c>
      <c r="Q1911" s="6">
        <f>IFERROR($I1911*4,"")</f>
        <v/>
      </c>
      <c r="R1911" s="6" t="n">
        <v>950</v>
      </c>
      <c r="S1911" s="4" t="n">
        <v>3</v>
      </c>
      <c r="T1911" s="1" t="inlineStr">
        <is>
          <t>active</t>
        </is>
      </c>
      <c r="U1911" s="8" t="n"/>
      <c r="V1911" s="1" t="inlineStr">
        <is>
          <t>SIN PRECIO</t>
        </is>
      </c>
    </row>
    <row r="1912">
      <c r="A1912" s="1" t="inlineStr">
        <is>
          <t>81078753280493</t>
        </is>
      </c>
      <c r="B1912" s="1" t="inlineStr">
        <is>
          <t>PULSERA BV.ZERO GAPS SILVER</t>
        </is>
      </c>
      <c r="C1912" s="1" t="inlineStr">
        <is>
          <t>Default Title</t>
        </is>
      </c>
      <c r="D1912" s="1" t="inlineStr">
        <is>
          <t>HAIFENG</t>
        </is>
      </c>
      <c r="E1912" s="4">
        <f>COUNTIF('DETALLE CRONOLÓGICO'!$A$2:$A$4919,$A1912)</f>
        <v/>
      </c>
      <c r="F1912" s="4">
        <f>SUMIFS('DETALLE CRONOLÓGICO'!$I$2:$I$4919,'DETALLE CRONOLÓGICO'!$A$2:$A$4919,$A1912)</f>
        <v/>
      </c>
      <c r="G1912" s="1">
        <f>INDEX('DETALLE CRONOLÓGICO'!$D$2:$D$4919,MATCH($A1912,'DETALLE CRONOLÓGICO'!$A$2:$A$4919,0))</f>
        <v/>
      </c>
      <c r="H1912" s="1">
        <f>INDEX('DETALLE CRONOLÓGICO'!$D$2:$D$4919,MATCH($A1912,'DETALLE CRONOLÓGICO'!$A$2:$A$4919,0)+$E1912-1)</f>
        <v/>
      </c>
      <c r="I1912" s="5">
        <f>IFERROR(SUMIFS('DETALLE CRONOLÓGICO'!$L$2:$L$4919,'DETALLE CRONOLÓGICO'!$A$2:$A$4919,$A1912)/$F1912,"")</f>
        <v/>
      </c>
      <c r="J1912" s="6">
        <f>IFERROR(SUMIFS('DETALLE CRONOLÓGICO'!$K$2:$K$4919,'DETALLE CRONOLÓGICO'!$A$2:$A$4919,$A1912)/$E1912,"")</f>
        <v/>
      </c>
      <c r="K1912" s="6">
        <f>_xlfn.MINIFS('DETALLE CRONOLÓGICO'!$K$2:$K$4919,'DETALLE CRONOLÓGICO'!$A$2:$A$4919,$A1912)</f>
        <v/>
      </c>
      <c r="L1912" s="6">
        <f>_xlfn.MAXIFS('DETALLE CRONOLÓGICO'!$K$2:$K$4919,'DETALLE CRONOLÓGICO'!$A$2:$A$4919,$A1912)</f>
        <v/>
      </c>
      <c r="M1912" s="6">
        <f>INDEX('DETALLE CRONOLÓGICO'!$K$2:$K$4919,MATCH($A1912,'DETALLE CRONOLÓGICO'!$A$2:$A$4919,0)+$E1912-1)</f>
        <v/>
      </c>
      <c r="N1912" s="7">
        <f>IFERROR($M1912/INDEX('DETALLE CRONOLÓGICO'!$K$2:$K$4919,MATCH($A1912,'DETALLE CRONOLÓGICO'!$A$2:$A$4919,0))-1,"")</f>
        <v/>
      </c>
      <c r="O1912" s="6">
        <f>IFERROR($I1912*3,"")</f>
        <v/>
      </c>
      <c r="P1912" s="6">
        <f>IFERROR($I1912*3.5,"")</f>
        <v/>
      </c>
      <c r="Q1912" s="6">
        <f>IFERROR($I1912*4,"")</f>
        <v/>
      </c>
      <c r="R1912" s="6" t="n">
        <v>720</v>
      </c>
      <c r="S1912" s="4" t="n">
        <v>3</v>
      </c>
      <c r="T1912" s="1" t="inlineStr">
        <is>
          <t>active</t>
        </is>
      </c>
      <c r="U1912" s="8" t="n"/>
      <c r="V1912" s="1" t="inlineStr">
        <is>
          <t>SIN PRECIO</t>
        </is>
      </c>
    </row>
    <row r="1913">
      <c r="A1913" s="1" t="inlineStr">
        <is>
          <t>81078753595757</t>
        </is>
      </c>
      <c r="B1913" s="1" t="inlineStr">
        <is>
          <t>ARETES PANTHERE SILVER ZIRCONIAS</t>
        </is>
      </c>
      <c r="C1913" s="1" t="inlineStr">
        <is>
          <t>Default Title</t>
        </is>
      </c>
      <c r="D1913" s="1" t="inlineStr">
        <is>
          <t>HAIFENG</t>
        </is>
      </c>
      <c r="E1913" s="4">
        <f>COUNTIF('DETALLE CRONOLÓGICO'!$A$2:$A$4919,$A1913)</f>
        <v/>
      </c>
      <c r="F1913" s="4">
        <f>SUMIFS('DETALLE CRONOLÓGICO'!$I$2:$I$4919,'DETALLE CRONOLÓGICO'!$A$2:$A$4919,$A1913)</f>
        <v/>
      </c>
      <c r="G1913" s="1">
        <f>INDEX('DETALLE CRONOLÓGICO'!$D$2:$D$4919,MATCH($A1913,'DETALLE CRONOLÓGICO'!$A$2:$A$4919,0))</f>
        <v/>
      </c>
      <c r="H1913" s="1">
        <f>INDEX('DETALLE CRONOLÓGICO'!$D$2:$D$4919,MATCH($A1913,'DETALLE CRONOLÓGICO'!$A$2:$A$4919,0)+$E1913-1)</f>
        <v/>
      </c>
      <c r="I1913" s="5">
        <f>IFERROR(SUMIFS('DETALLE CRONOLÓGICO'!$L$2:$L$4919,'DETALLE CRONOLÓGICO'!$A$2:$A$4919,$A1913)/$F1913,"")</f>
        <v/>
      </c>
      <c r="J1913" s="6">
        <f>IFERROR(SUMIFS('DETALLE CRONOLÓGICO'!$K$2:$K$4919,'DETALLE CRONOLÓGICO'!$A$2:$A$4919,$A1913)/$E1913,"")</f>
        <v/>
      </c>
      <c r="K1913" s="6">
        <f>_xlfn.MINIFS('DETALLE CRONOLÓGICO'!$K$2:$K$4919,'DETALLE CRONOLÓGICO'!$A$2:$A$4919,$A1913)</f>
        <v/>
      </c>
      <c r="L1913" s="6">
        <f>_xlfn.MAXIFS('DETALLE CRONOLÓGICO'!$K$2:$K$4919,'DETALLE CRONOLÓGICO'!$A$2:$A$4919,$A1913)</f>
        <v/>
      </c>
      <c r="M1913" s="6">
        <f>INDEX('DETALLE CRONOLÓGICO'!$K$2:$K$4919,MATCH($A1913,'DETALLE CRONOLÓGICO'!$A$2:$A$4919,0)+$E1913-1)</f>
        <v/>
      </c>
      <c r="N1913" s="7">
        <f>IFERROR($M1913/INDEX('DETALLE CRONOLÓGICO'!$K$2:$K$4919,MATCH($A1913,'DETALLE CRONOLÓGICO'!$A$2:$A$4919,0))-1,"")</f>
        <v/>
      </c>
      <c r="O1913" s="6">
        <f>IFERROR($I1913*3,"")</f>
        <v/>
      </c>
      <c r="P1913" s="6">
        <f>IFERROR($I1913*3.5,"")</f>
        <v/>
      </c>
      <c r="Q1913" s="6">
        <f>IFERROR($I1913*4,"")</f>
        <v/>
      </c>
      <c r="R1913" s="6" t="n">
        <v>550</v>
      </c>
      <c r="S1913" s="4" t="n">
        <v>4</v>
      </c>
      <c r="T1913" s="1" t="inlineStr">
        <is>
          <t>active</t>
        </is>
      </c>
      <c r="U1913" s="8" t="n"/>
      <c r="V1913" s="1" t="inlineStr">
        <is>
          <t>SIN PRECIO</t>
        </is>
      </c>
    </row>
    <row r="1914">
      <c r="A1914" s="1" t="inlineStr">
        <is>
          <t>81420901016909</t>
        </is>
      </c>
      <c r="B1914" s="1" t="inlineStr">
        <is>
          <t>COLLAR DE CADENA GC SCRIPT GOLD</t>
        </is>
      </c>
      <c r="C1914" s="1" t="inlineStr">
        <is>
          <t>Default Title</t>
        </is>
      </c>
      <c r="D1914" s="1" t="inlineStr">
        <is>
          <t>ZOEY</t>
        </is>
      </c>
      <c r="E1914" s="4">
        <f>COUNTIF('DETALLE CRONOLÓGICO'!$A$2:$A$4919,$A1914)</f>
        <v/>
      </c>
      <c r="F1914" s="4">
        <f>SUMIFS('DETALLE CRONOLÓGICO'!$I$2:$I$4919,'DETALLE CRONOLÓGICO'!$A$2:$A$4919,$A1914)</f>
        <v/>
      </c>
      <c r="G1914" s="1">
        <f>INDEX('DETALLE CRONOLÓGICO'!$D$2:$D$4919,MATCH($A1914,'DETALLE CRONOLÓGICO'!$A$2:$A$4919,0))</f>
        <v/>
      </c>
      <c r="H1914" s="1">
        <f>INDEX('DETALLE CRONOLÓGICO'!$D$2:$D$4919,MATCH($A1914,'DETALLE CRONOLÓGICO'!$A$2:$A$4919,0)+$E1914-1)</f>
        <v/>
      </c>
      <c r="I1914" s="5">
        <f>IFERROR(SUMIFS('DETALLE CRONOLÓGICO'!$L$2:$L$4919,'DETALLE CRONOLÓGICO'!$A$2:$A$4919,$A1914)/$F1914,"")</f>
        <v/>
      </c>
      <c r="J1914" s="6">
        <f>IFERROR(SUMIFS('DETALLE CRONOLÓGICO'!$K$2:$K$4919,'DETALLE CRONOLÓGICO'!$A$2:$A$4919,$A1914)/$E1914,"")</f>
        <v/>
      </c>
      <c r="K1914" s="6">
        <f>_xlfn.MINIFS('DETALLE CRONOLÓGICO'!$K$2:$K$4919,'DETALLE CRONOLÓGICO'!$A$2:$A$4919,$A1914)</f>
        <v/>
      </c>
      <c r="L1914" s="6">
        <f>_xlfn.MAXIFS('DETALLE CRONOLÓGICO'!$K$2:$K$4919,'DETALLE CRONOLÓGICO'!$A$2:$A$4919,$A1914)</f>
        <v/>
      </c>
      <c r="M1914" s="6">
        <f>INDEX('DETALLE CRONOLÓGICO'!$K$2:$K$4919,MATCH($A1914,'DETALLE CRONOLÓGICO'!$A$2:$A$4919,0)+$E1914-1)</f>
        <v/>
      </c>
      <c r="N1914" s="7">
        <f>IFERROR($M1914/INDEX('DETALLE CRONOLÓGICO'!$K$2:$K$4919,MATCH($A1914,'DETALLE CRONOLÓGICO'!$A$2:$A$4919,0))-1,"")</f>
        <v/>
      </c>
      <c r="O1914" s="6">
        <f>IFERROR($I1914*3,"")</f>
        <v/>
      </c>
      <c r="P1914" s="6">
        <f>IFERROR($I1914*3.5,"")</f>
        <v/>
      </c>
      <c r="Q1914" s="6">
        <f>IFERROR($I1914*4,"")</f>
        <v/>
      </c>
      <c r="R1914" s="6" t="n">
        <v>1199</v>
      </c>
      <c r="S1914" s="4" t="n">
        <v>0</v>
      </c>
      <c r="T1914" s="1" t="inlineStr">
        <is>
          <t>active</t>
        </is>
      </c>
      <c r="U1914" s="8" t="n"/>
      <c r="V1914" s="1" t="inlineStr">
        <is>
          <t>SIN PRECIO</t>
        </is>
      </c>
    </row>
    <row r="1915">
      <c r="A1915" s="1" t="inlineStr">
        <is>
          <t>81712804295948</t>
        </is>
      </c>
      <c r="B1915" s="1" t="inlineStr">
        <is>
          <t>SANDALIAS DG BIANCA</t>
        </is>
      </c>
      <c r="C1915" s="1" t="inlineStr">
        <is>
          <t>37/ 23cm</t>
        </is>
      </c>
      <c r="D1915" s="1" t="inlineStr">
        <is>
          <t>CYNTHIA</t>
        </is>
      </c>
      <c r="E1915" s="4">
        <f>COUNTIF('DETALLE CRONOLÓGICO'!$A$2:$A$4919,$A1915)</f>
        <v/>
      </c>
      <c r="F1915" s="4">
        <f>SUMIFS('DETALLE CRONOLÓGICO'!$I$2:$I$4919,'DETALLE CRONOLÓGICO'!$A$2:$A$4919,$A1915)</f>
        <v/>
      </c>
      <c r="G1915" s="1">
        <f>INDEX('DETALLE CRONOLÓGICO'!$D$2:$D$4919,MATCH($A1915,'DETALLE CRONOLÓGICO'!$A$2:$A$4919,0))</f>
        <v/>
      </c>
      <c r="H1915" s="1">
        <f>INDEX('DETALLE CRONOLÓGICO'!$D$2:$D$4919,MATCH($A1915,'DETALLE CRONOLÓGICO'!$A$2:$A$4919,0)+$E1915-1)</f>
        <v/>
      </c>
      <c r="I1915" s="5">
        <f>IFERROR(SUMIFS('DETALLE CRONOLÓGICO'!$L$2:$L$4919,'DETALLE CRONOLÓGICO'!$A$2:$A$4919,$A1915)/$F1915,"")</f>
        <v/>
      </c>
      <c r="J1915" s="6">
        <f>IFERROR(SUMIFS('DETALLE CRONOLÓGICO'!$K$2:$K$4919,'DETALLE CRONOLÓGICO'!$A$2:$A$4919,$A1915)/$E1915,"")</f>
        <v/>
      </c>
      <c r="K1915" s="6">
        <f>_xlfn.MINIFS('DETALLE CRONOLÓGICO'!$K$2:$K$4919,'DETALLE CRONOLÓGICO'!$A$2:$A$4919,$A1915)</f>
        <v/>
      </c>
      <c r="L1915" s="6">
        <f>_xlfn.MAXIFS('DETALLE CRONOLÓGICO'!$K$2:$K$4919,'DETALLE CRONOLÓGICO'!$A$2:$A$4919,$A1915)</f>
        <v/>
      </c>
      <c r="M1915" s="6">
        <f>INDEX('DETALLE CRONOLÓGICO'!$K$2:$K$4919,MATCH($A1915,'DETALLE CRONOLÓGICO'!$A$2:$A$4919,0)+$E1915-1)</f>
        <v/>
      </c>
      <c r="N1915" s="7">
        <f>IFERROR($M1915/INDEX('DETALLE CRONOLÓGICO'!$K$2:$K$4919,MATCH($A1915,'DETALLE CRONOLÓGICO'!$A$2:$A$4919,0))-1,"")</f>
        <v/>
      </c>
      <c r="O1915" s="6">
        <f>IFERROR($I1915*3,"")</f>
        <v/>
      </c>
      <c r="P1915" s="6">
        <f>IFERROR($I1915*3.5,"")</f>
        <v/>
      </c>
      <c r="Q1915" s="6">
        <f>IFERROR($I1915*4,"")</f>
        <v/>
      </c>
      <c r="R1915" s="6" t="n">
        <v>1650</v>
      </c>
      <c r="S1915" s="4" t="n">
        <v>0</v>
      </c>
      <c r="T1915" s="1" t="inlineStr">
        <is>
          <t>active</t>
        </is>
      </c>
      <c r="U1915" s="8" t="n"/>
      <c r="V1915" s="1" t="inlineStr">
        <is>
          <t>SIN PRECIO</t>
        </is>
      </c>
    </row>
    <row r="1916">
      <c r="A1916" s="1" t="inlineStr">
        <is>
          <t>81712806088460</t>
        </is>
      </c>
      <c r="B1916" s="1" t="inlineStr">
        <is>
          <t>SANDALIAS MM</t>
        </is>
      </c>
      <c r="C1916" s="1" t="inlineStr">
        <is>
          <t>37/ 23cm</t>
        </is>
      </c>
      <c r="D1916" s="1" t="inlineStr">
        <is>
          <t>CYNTHIA</t>
        </is>
      </c>
      <c r="E1916" s="4">
        <f>COUNTIF('DETALLE CRONOLÓGICO'!$A$2:$A$4919,$A1916)</f>
        <v/>
      </c>
      <c r="F1916" s="4">
        <f>SUMIFS('DETALLE CRONOLÓGICO'!$I$2:$I$4919,'DETALLE CRONOLÓGICO'!$A$2:$A$4919,$A1916)</f>
        <v/>
      </c>
      <c r="G1916" s="1">
        <f>INDEX('DETALLE CRONOLÓGICO'!$D$2:$D$4919,MATCH($A1916,'DETALLE CRONOLÓGICO'!$A$2:$A$4919,0))</f>
        <v/>
      </c>
      <c r="H1916" s="1">
        <f>INDEX('DETALLE CRONOLÓGICO'!$D$2:$D$4919,MATCH($A1916,'DETALLE CRONOLÓGICO'!$A$2:$A$4919,0)+$E1916-1)</f>
        <v/>
      </c>
      <c r="I1916" s="5">
        <f>IFERROR(SUMIFS('DETALLE CRONOLÓGICO'!$L$2:$L$4919,'DETALLE CRONOLÓGICO'!$A$2:$A$4919,$A1916)/$F1916,"")</f>
        <v/>
      </c>
      <c r="J1916" s="6">
        <f>IFERROR(SUMIFS('DETALLE CRONOLÓGICO'!$K$2:$K$4919,'DETALLE CRONOLÓGICO'!$A$2:$A$4919,$A1916)/$E1916,"")</f>
        <v/>
      </c>
      <c r="K1916" s="6">
        <f>_xlfn.MINIFS('DETALLE CRONOLÓGICO'!$K$2:$K$4919,'DETALLE CRONOLÓGICO'!$A$2:$A$4919,$A1916)</f>
        <v/>
      </c>
      <c r="L1916" s="6">
        <f>_xlfn.MAXIFS('DETALLE CRONOLÓGICO'!$K$2:$K$4919,'DETALLE CRONOLÓGICO'!$A$2:$A$4919,$A1916)</f>
        <v/>
      </c>
      <c r="M1916" s="6">
        <f>INDEX('DETALLE CRONOLÓGICO'!$K$2:$K$4919,MATCH($A1916,'DETALLE CRONOLÓGICO'!$A$2:$A$4919,0)+$E1916-1)</f>
        <v/>
      </c>
      <c r="N1916" s="7">
        <f>IFERROR($M1916/INDEX('DETALLE CRONOLÓGICO'!$K$2:$K$4919,MATCH($A1916,'DETALLE CRONOLÓGICO'!$A$2:$A$4919,0))-1,"")</f>
        <v/>
      </c>
      <c r="O1916" s="6">
        <f>IFERROR($I1916*3,"")</f>
        <v/>
      </c>
      <c r="P1916" s="6">
        <f>IFERROR($I1916*3.5,"")</f>
        <v/>
      </c>
      <c r="Q1916" s="6">
        <f>IFERROR($I1916*4,"")</f>
        <v/>
      </c>
      <c r="R1916" s="6" t="n">
        <v>2999</v>
      </c>
      <c r="S1916" s="4" t="n">
        <v>0</v>
      </c>
      <c r="T1916" s="1" t="inlineStr">
        <is>
          <t>active</t>
        </is>
      </c>
      <c r="U1916" s="8" t="n"/>
      <c r="V1916" s="1" t="inlineStr">
        <is>
          <t>SIN PRECIO</t>
        </is>
      </c>
    </row>
    <row r="1917">
      <c r="A1917" s="1" t="inlineStr">
        <is>
          <t>81712806121228</t>
        </is>
      </c>
      <c r="B1917" s="1" t="inlineStr">
        <is>
          <t>SANDALIAS MM</t>
        </is>
      </c>
      <c r="C1917" s="1" t="inlineStr">
        <is>
          <t>38/ 24cm</t>
        </is>
      </c>
      <c r="D1917" s="1" t="inlineStr">
        <is>
          <t>CYNTHIA</t>
        </is>
      </c>
      <c r="E1917" s="4">
        <f>COUNTIF('DETALLE CRONOLÓGICO'!$A$2:$A$4919,$A1917)</f>
        <v/>
      </c>
      <c r="F1917" s="4">
        <f>SUMIFS('DETALLE CRONOLÓGICO'!$I$2:$I$4919,'DETALLE CRONOLÓGICO'!$A$2:$A$4919,$A1917)</f>
        <v/>
      </c>
      <c r="G1917" s="1">
        <f>INDEX('DETALLE CRONOLÓGICO'!$D$2:$D$4919,MATCH($A1917,'DETALLE CRONOLÓGICO'!$A$2:$A$4919,0))</f>
        <v/>
      </c>
      <c r="H1917" s="1">
        <f>INDEX('DETALLE CRONOLÓGICO'!$D$2:$D$4919,MATCH($A1917,'DETALLE CRONOLÓGICO'!$A$2:$A$4919,0)+$E1917-1)</f>
        <v/>
      </c>
      <c r="I1917" s="5">
        <f>IFERROR(SUMIFS('DETALLE CRONOLÓGICO'!$L$2:$L$4919,'DETALLE CRONOLÓGICO'!$A$2:$A$4919,$A1917)/$F1917,"")</f>
        <v/>
      </c>
      <c r="J1917" s="6">
        <f>IFERROR(SUMIFS('DETALLE CRONOLÓGICO'!$K$2:$K$4919,'DETALLE CRONOLÓGICO'!$A$2:$A$4919,$A1917)/$E1917,"")</f>
        <v/>
      </c>
      <c r="K1917" s="6">
        <f>_xlfn.MINIFS('DETALLE CRONOLÓGICO'!$K$2:$K$4919,'DETALLE CRONOLÓGICO'!$A$2:$A$4919,$A1917)</f>
        <v/>
      </c>
      <c r="L1917" s="6">
        <f>_xlfn.MAXIFS('DETALLE CRONOLÓGICO'!$K$2:$K$4919,'DETALLE CRONOLÓGICO'!$A$2:$A$4919,$A1917)</f>
        <v/>
      </c>
      <c r="M1917" s="6">
        <f>INDEX('DETALLE CRONOLÓGICO'!$K$2:$K$4919,MATCH($A1917,'DETALLE CRONOLÓGICO'!$A$2:$A$4919,0)+$E1917-1)</f>
        <v/>
      </c>
      <c r="N1917" s="7">
        <f>IFERROR($M1917/INDEX('DETALLE CRONOLÓGICO'!$K$2:$K$4919,MATCH($A1917,'DETALLE CRONOLÓGICO'!$A$2:$A$4919,0))-1,"")</f>
        <v/>
      </c>
      <c r="O1917" s="6">
        <f>IFERROR($I1917*3,"")</f>
        <v/>
      </c>
      <c r="P1917" s="6">
        <f>IFERROR($I1917*3.5,"")</f>
        <v/>
      </c>
      <c r="Q1917" s="6">
        <f>IFERROR($I1917*4,"")</f>
        <v/>
      </c>
      <c r="R1917" s="6" t="n">
        <v>2999</v>
      </c>
      <c r="S1917" s="4" t="n">
        <v>1</v>
      </c>
      <c r="T1917" s="1" t="inlineStr">
        <is>
          <t>active</t>
        </is>
      </c>
      <c r="U1917" s="8" t="n"/>
      <c r="V1917" s="1" t="inlineStr">
        <is>
          <t>SIN PRECIO</t>
        </is>
      </c>
    </row>
    <row r="1918">
      <c r="A1918" s="1" t="inlineStr">
        <is>
          <t>81712806153996</t>
        </is>
      </c>
      <c r="B1918" s="1" t="inlineStr">
        <is>
          <t>SANDALIAS MM</t>
        </is>
      </c>
      <c r="C1918" s="1" t="inlineStr">
        <is>
          <t>40/ 25cm</t>
        </is>
      </c>
      <c r="D1918" s="1" t="inlineStr">
        <is>
          <t>CYNTHIA</t>
        </is>
      </c>
      <c r="E1918" s="4">
        <f>COUNTIF('DETALLE CRONOLÓGICO'!$A$2:$A$4919,$A1918)</f>
        <v/>
      </c>
      <c r="F1918" s="4">
        <f>SUMIFS('DETALLE CRONOLÓGICO'!$I$2:$I$4919,'DETALLE CRONOLÓGICO'!$A$2:$A$4919,$A1918)</f>
        <v/>
      </c>
      <c r="G1918" s="1">
        <f>INDEX('DETALLE CRONOLÓGICO'!$D$2:$D$4919,MATCH($A1918,'DETALLE CRONOLÓGICO'!$A$2:$A$4919,0))</f>
        <v/>
      </c>
      <c r="H1918" s="1">
        <f>INDEX('DETALLE CRONOLÓGICO'!$D$2:$D$4919,MATCH($A1918,'DETALLE CRONOLÓGICO'!$A$2:$A$4919,0)+$E1918-1)</f>
        <v/>
      </c>
      <c r="I1918" s="5">
        <f>IFERROR(SUMIFS('DETALLE CRONOLÓGICO'!$L$2:$L$4919,'DETALLE CRONOLÓGICO'!$A$2:$A$4919,$A1918)/$F1918,"")</f>
        <v/>
      </c>
      <c r="J1918" s="6">
        <f>IFERROR(SUMIFS('DETALLE CRONOLÓGICO'!$K$2:$K$4919,'DETALLE CRONOLÓGICO'!$A$2:$A$4919,$A1918)/$E1918,"")</f>
        <v/>
      </c>
      <c r="K1918" s="6">
        <f>_xlfn.MINIFS('DETALLE CRONOLÓGICO'!$K$2:$K$4919,'DETALLE CRONOLÓGICO'!$A$2:$A$4919,$A1918)</f>
        <v/>
      </c>
      <c r="L1918" s="6">
        <f>_xlfn.MAXIFS('DETALLE CRONOLÓGICO'!$K$2:$K$4919,'DETALLE CRONOLÓGICO'!$A$2:$A$4919,$A1918)</f>
        <v/>
      </c>
      <c r="M1918" s="6">
        <f>INDEX('DETALLE CRONOLÓGICO'!$K$2:$K$4919,MATCH($A1918,'DETALLE CRONOLÓGICO'!$A$2:$A$4919,0)+$E1918-1)</f>
        <v/>
      </c>
      <c r="N1918" s="7">
        <f>IFERROR($M1918/INDEX('DETALLE CRONOLÓGICO'!$K$2:$K$4919,MATCH($A1918,'DETALLE CRONOLÓGICO'!$A$2:$A$4919,0))-1,"")</f>
        <v/>
      </c>
      <c r="O1918" s="6">
        <f>IFERROR($I1918*3,"")</f>
        <v/>
      </c>
      <c r="P1918" s="6">
        <f>IFERROR($I1918*3.5,"")</f>
        <v/>
      </c>
      <c r="Q1918" s="6">
        <f>IFERROR($I1918*4,"")</f>
        <v/>
      </c>
      <c r="R1918" s="6" t="n">
        <v>2999</v>
      </c>
      <c r="S1918" s="4" t="n">
        <v>4</v>
      </c>
      <c r="T1918" s="1" t="inlineStr">
        <is>
          <t>active</t>
        </is>
      </c>
      <c r="U1918" s="8" t="n"/>
      <c r="V1918" s="1" t="inlineStr">
        <is>
          <t>SIN PRECIO</t>
        </is>
      </c>
    </row>
    <row r="1919">
      <c r="A1919" s="1" t="inlineStr">
        <is>
          <t>81712809885196</t>
        </is>
      </c>
      <c r="B1919" s="1" t="inlineStr">
        <is>
          <t>BOLSO C CLAUDE SILVER BLACK</t>
        </is>
      </c>
      <c r="C1919" s="1" t="inlineStr">
        <is>
          <t>20.5cm de largo x 11.5cm de alto x 3.5cm de ancho</t>
        </is>
      </c>
      <c r="D1919" s="1" t="inlineStr">
        <is>
          <t>CYNTHIA</t>
        </is>
      </c>
      <c r="E1919" s="4">
        <f>COUNTIF('DETALLE CRONOLÓGICO'!$A$2:$A$4919,$A1919)</f>
        <v/>
      </c>
      <c r="F1919" s="4">
        <f>SUMIFS('DETALLE CRONOLÓGICO'!$I$2:$I$4919,'DETALLE CRONOLÓGICO'!$A$2:$A$4919,$A1919)</f>
        <v/>
      </c>
      <c r="G1919" s="1">
        <f>INDEX('DETALLE CRONOLÓGICO'!$D$2:$D$4919,MATCH($A1919,'DETALLE CRONOLÓGICO'!$A$2:$A$4919,0))</f>
        <v/>
      </c>
      <c r="H1919" s="1">
        <f>INDEX('DETALLE CRONOLÓGICO'!$D$2:$D$4919,MATCH($A1919,'DETALLE CRONOLÓGICO'!$A$2:$A$4919,0)+$E1919-1)</f>
        <v/>
      </c>
      <c r="I1919" s="5">
        <f>IFERROR(SUMIFS('DETALLE CRONOLÓGICO'!$L$2:$L$4919,'DETALLE CRONOLÓGICO'!$A$2:$A$4919,$A1919)/$F1919,"")</f>
        <v/>
      </c>
      <c r="J1919" s="6">
        <f>IFERROR(SUMIFS('DETALLE CRONOLÓGICO'!$K$2:$K$4919,'DETALLE CRONOLÓGICO'!$A$2:$A$4919,$A1919)/$E1919,"")</f>
        <v/>
      </c>
      <c r="K1919" s="6">
        <f>_xlfn.MINIFS('DETALLE CRONOLÓGICO'!$K$2:$K$4919,'DETALLE CRONOLÓGICO'!$A$2:$A$4919,$A1919)</f>
        <v/>
      </c>
      <c r="L1919" s="6">
        <f>_xlfn.MAXIFS('DETALLE CRONOLÓGICO'!$K$2:$K$4919,'DETALLE CRONOLÓGICO'!$A$2:$A$4919,$A1919)</f>
        <v/>
      </c>
      <c r="M1919" s="6">
        <f>INDEX('DETALLE CRONOLÓGICO'!$K$2:$K$4919,MATCH($A1919,'DETALLE CRONOLÓGICO'!$A$2:$A$4919,0)+$E1919-1)</f>
        <v/>
      </c>
      <c r="N1919" s="7">
        <f>IFERROR($M1919/INDEX('DETALLE CRONOLÓGICO'!$K$2:$K$4919,MATCH($A1919,'DETALLE CRONOLÓGICO'!$A$2:$A$4919,0))-1,"")</f>
        <v/>
      </c>
      <c r="O1919" s="6">
        <f>IFERROR($I1919*3,"")</f>
        <v/>
      </c>
      <c r="P1919" s="6">
        <f>IFERROR($I1919*3.5,"")</f>
        <v/>
      </c>
      <c r="Q1919" s="6">
        <f>IFERROR($I1919*4,"")</f>
        <v/>
      </c>
      <c r="R1919" s="6" t="n">
        <v>5095</v>
      </c>
      <c r="S1919" s="4" t="n">
        <v>5</v>
      </c>
      <c r="T1919" s="1" t="inlineStr">
        <is>
          <t>active</t>
        </is>
      </c>
      <c r="U1919" s="8" t="n"/>
      <c r="V1919" s="1" t="inlineStr">
        <is>
          <t>SIN PRECIO</t>
        </is>
      </c>
    </row>
    <row r="1920">
      <c r="A1920" s="1" t="inlineStr">
        <is>
          <t>81712814328716</t>
        </is>
      </c>
      <c r="B1920" s="1" t="n"/>
      <c r="C1920" s="1" t="inlineStr">
        <is>
          <t>38/24cm</t>
        </is>
      </c>
      <c r="D1920" s="1" t="inlineStr">
        <is>
          <t>CYNTHIA</t>
        </is>
      </c>
      <c r="E1920" s="4">
        <f>COUNTIF('DETALLE CRONOLÓGICO'!$A$2:$A$4919,$A1920)</f>
        <v/>
      </c>
      <c r="F1920" s="4">
        <f>SUMIFS('DETALLE CRONOLÓGICO'!$I$2:$I$4919,'DETALLE CRONOLÓGICO'!$A$2:$A$4919,$A1920)</f>
        <v/>
      </c>
      <c r="G1920" s="1">
        <f>INDEX('DETALLE CRONOLÓGICO'!$D$2:$D$4919,MATCH($A1920,'DETALLE CRONOLÓGICO'!$A$2:$A$4919,0))</f>
        <v/>
      </c>
      <c r="H1920" s="1">
        <f>INDEX('DETALLE CRONOLÓGICO'!$D$2:$D$4919,MATCH($A1920,'DETALLE CRONOLÓGICO'!$A$2:$A$4919,0)+$E1920-1)</f>
        <v/>
      </c>
      <c r="I1920" s="5">
        <f>IFERROR(SUMIFS('DETALLE CRONOLÓGICO'!$L$2:$L$4919,'DETALLE CRONOLÓGICO'!$A$2:$A$4919,$A1920)/$F1920,"")</f>
        <v/>
      </c>
      <c r="J1920" s="6">
        <f>IFERROR(SUMIFS('DETALLE CRONOLÓGICO'!$K$2:$K$4919,'DETALLE CRONOLÓGICO'!$A$2:$A$4919,$A1920)/$E1920,"")</f>
        <v/>
      </c>
      <c r="K1920" s="6">
        <f>_xlfn.MINIFS('DETALLE CRONOLÓGICO'!$K$2:$K$4919,'DETALLE CRONOLÓGICO'!$A$2:$A$4919,$A1920)</f>
        <v/>
      </c>
      <c r="L1920" s="6">
        <f>_xlfn.MAXIFS('DETALLE CRONOLÓGICO'!$K$2:$K$4919,'DETALLE CRONOLÓGICO'!$A$2:$A$4919,$A1920)</f>
        <v/>
      </c>
      <c r="M1920" s="6">
        <f>INDEX('DETALLE CRONOLÓGICO'!$K$2:$K$4919,MATCH($A1920,'DETALLE CRONOLÓGICO'!$A$2:$A$4919,0)+$E1920-1)</f>
        <v/>
      </c>
      <c r="N1920" s="7">
        <f>IFERROR($M1920/INDEX('DETALLE CRONOLÓGICO'!$K$2:$K$4919,MATCH($A1920,'DETALLE CRONOLÓGICO'!$A$2:$A$4919,0))-1,"")</f>
        <v/>
      </c>
      <c r="O1920" s="6">
        <f>IFERROR($I1920*3,"")</f>
        <v/>
      </c>
      <c r="P1920" s="6">
        <f>IFERROR($I1920*3.5,"")</f>
        <v/>
      </c>
      <c r="Q1920" s="6">
        <f>IFERROR($I1920*4,"")</f>
        <v/>
      </c>
      <c r="R1920" s="6" t="n">
        <v>1650</v>
      </c>
      <c r="S1920" s="4" t="n">
        <v>0</v>
      </c>
      <c r="T1920" s="1" t="inlineStr">
        <is>
          <t>active</t>
        </is>
      </c>
      <c r="U1920" s="8" t="n"/>
      <c r="V1920" s="1" t="inlineStr">
        <is>
          <t>SIN PRECIO</t>
        </is>
      </c>
    </row>
    <row r="1921">
      <c r="A1921" s="1" t="inlineStr">
        <is>
          <t>81712814361484</t>
        </is>
      </c>
      <c r="B1921" s="1" t="n"/>
      <c r="C1921" s="1" t="inlineStr">
        <is>
          <t>MEDIUM QUALITY 40/ 25cm</t>
        </is>
      </c>
      <c r="D1921" s="1" t="inlineStr">
        <is>
          <t>CYNTHIA</t>
        </is>
      </c>
      <c r="E1921" s="4">
        <f>COUNTIF('DETALLE CRONOLÓGICO'!$A$2:$A$4919,$A1921)</f>
        <v/>
      </c>
      <c r="F1921" s="4">
        <f>SUMIFS('DETALLE CRONOLÓGICO'!$I$2:$I$4919,'DETALLE CRONOLÓGICO'!$A$2:$A$4919,$A1921)</f>
        <v/>
      </c>
      <c r="G1921" s="1">
        <f>INDEX('DETALLE CRONOLÓGICO'!$D$2:$D$4919,MATCH($A1921,'DETALLE CRONOLÓGICO'!$A$2:$A$4919,0))</f>
        <v/>
      </c>
      <c r="H1921" s="1">
        <f>INDEX('DETALLE CRONOLÓGICO'!$D$2:$D$4919,MATCH($A1921,'DETALLE CRONOLÓGICO'!$A$2:$A$4919,0)+$E1921-1)</f>
        <v/>
      </c>
      <c r="I1921" s="5">
        <f>IFERROR(SUMIFS('DETALLE CRONOLÓGICO'!$L$2:$L$4919,'DETALLE CRONOLÓGICO'!$A$2:$A$4919,$A1921)/$F1921,"")</f>
        <v/>
      </c>
      <c r="J1921" s="6">
        <f>IFERROR(SUMIFS('DETALLE CRONOLÓGICO'!$K$2:$K$4919,'DETALLE CRONOLÓGICO'!$A$2:$A$4919,$A1921)/$E1921,"")</f>
        <v/>
      </c>
      <c r="K1921" s="6">
        <f>_xlfn.MINIFS('DETALLE CRONOLÓGICO'!$K$2:$K$4919,'DETALLE CRONOLÓGICO'!$A$2:$A$4919,$A1921)</f>
        <v/>
      </c>
      <c r="L1921" s="6">
        <f>_xlfn.MAXIFS('DETALLE CRONOLÓGICO'!$K$2:$K$4919,'DETALLE CRONOLÓGICO'!$A$2:$A$4919,$A1921)</f>
        <v/>
      </c>
      <c r="M1921" s="6">
        <f>INDEX('DETALLE CRONOLÓGICO'!$K$2:$K$4919,MATCH($A1921,'DETALLE CRONOLÓGICO'!$A$2:$A$4919,0)+$E1921-1)</f>
        <v/>
      </c>
      <c r="N1921" s="7">
        <f>IFERROR($M1921/INDEX('DETALLE CRONOLÓGICO'!$K$2:$K$4919,MATCH($A1921,'DETALLE CRONOLÓGICO'!$A$2:$A$4919,0))-1,"")</f>
        <v/>
      </c>
      <c r="O1921" s="6">
        <f>IFERROR($I1921*3,"")</f>
        <v/>
      </c>
      <c r="P1921" s="6">
        <f>IFERROR($I1921*3.5,"")</f>
        <v/>
      </c>
      <c r="Q1921" s="6">
        <f>IFERROR($I1921*4,"")</f>
        <v/>
      </c>
      <c r="R1921" s="6" t="n">
        <v>1999</v>
      </c>
      <c r="S1921" s="4" t="n">
        <v>0</v>
      </c>
      <c r="T1921" s="1" t="inlineStr">
        <is>
          <t>active</t>
        </is>
      </c>
      <c r="U1921" s="8" t="n"/>
      <c r="V1921" s="1" t="inlineStr">
        <is>
          <t>SIN PRECIO</t>
        </is>
      </c>
    </row>
    <row r="1922">
      <c r="A1922" s="1" t="inlineStr">
        <is>
          <t>81836201247181</t>
        </is>
      </c>
      <c r="B1922" s="1" t="inlineStr">
        <is>
          <t>ANILLO CLAVO SILVER (WITHOUT ZIRCONIAS)</t>
        </is>
      </c>
      <c r="C1922" s="1" t="inlineStr">
        <is>
          <t>10 HIGH QUALITY</t>
        </is>
      </c>
      <c r="D1922" s="1" t="inlineStr">
        <is>
          <t>HAIFENG</t>
        </is>
      </c>
      <c r="E1922" s="4">
        <f>COUNTIF('DETALLE CRONOLÓGICO'!$A$2:$A$4919,$A1922)</f>
        <v/>
      </c>
      <c r="F1922" s="4">
        <f>SUMIFS('DETALLE CRONOLÓGICO'!$I$2:$I$4919,'DETALLE CRONOLÓGICO'!$A$2:$A$4919,$A1922)</f>
        <v/>
      </c>
      <c r="G1922" s="1">
        <f>INDEX('DETALLE CRONOLÓGICO'!$D$2:$D$4919,MATCH($A1922,'DETALLE CRONOLÓGICO'!$A$2:$A$4919,0))</f>
        <v/>
      </c>
      <c r="H1922" s="1">
        <f>INDEX('DETALLE CRONOLÓGICO'!$D$2:$D$4919,MATCH($A1922,'DETALLE CRONOLÓGICO'!$A$2:$A$4919,0)+$E1922-1)</f>
        <v/>
      </c>
      <c r="I1922" s="5">
        <f>IFERROR(SUMIFS('DETALLE CRONOLÓGICO'!$L$2:$L$4919,'DETALLE CRONOLÓGICO'!$A$2:$A$4919,$A1922)/$F1922,"")</f>
        <v/>
      </c>
      <c r="J1922" s="6">
        <f>IFERROR(SUMIFS('DETALLE CRONOLÓGICO'!$K$2:$K$4919,'DETALLE CRONOLÓGICO'!$A$2:$A$4919,$A1922)/$E1922,"")</f>
        <v/>
      </c>
      <c r="K1922" s="6">
        <f>_xlfn.MINIFS('DETALLE CRONOLÓGICO'!$K$2:$K$4919,'DETALLE CRONOLÓGICO'!$A$2:$A$4919,$A1922)</f>
        <v/>
      </c>
      <c r="L1922" s="6">
        <f>_xlfn.MAXIFS('DETALLE CRONOLÓGICO'!$K$2:$K$4919,'DETALLE CRONOLÓGICO'!$A$2:$A$4919,$A1922)</f>
        <v/>
      </c>
      <c r="M1922" s="6">
        <f>INDEX('DETALLE CRONOLÓGICO'!$K$2:$K$4919,MATCH($A1922,'DETALLE CRONOLÓGICO'!$A$2:$A$4919,0)+$E1922-1)</f>
        <v/>
      </c>
      <c r="N1922" s="7">
        <f>IFERROR($M1922/INDEX('DETALLE CRONOLÓGICO'!$K$2:$K$4919,MATCH($A1922,'DETALLE CRONOLÓGICO'!$A$2:$A$4919,0))-1,"")</f>
        <v/>
      </c>
      <c r="O1922" s="6">
        <f>IFERROR($I1922*3,"")</f>
        <v/>
      </c>
      <c r="P1922" s="6">
        <f>IFERROR($I1922*3.5,"")</f>
        <v/>
      </c>
      <c r="Q1922" s="6">
        <f>IFERROR($I1922*4,"")</f>
        <v/>
      </c>
      <c r="R1922" s="6" t="n">
        <v>400</v>
      </c>
      <c r="S1922" s="4" t="n">
        <v>6</v>
      </c>
      <c r="T1922" s="1" t="inlineStr">
        <is>
          <t>active</t>
        </is>
      </c>
      <c r="U1922" s="8" t="n"/>
      <c r="V1922" s="1" t="inlineStr">
        <is>
          <t>SIN PRECIO</t>
        </is>
      </c>
    </row>
    <row r="1923">
      <c r="A1923" s="1" t="inlineStr">
        <is>
          <t>81836201485581</t>
        </is>
      </c>
      <c r="B1923" s="1" t="inlineStr">
        <is>
          <t>COLLAR TRES AROS</t>
        </is>
      </c>
      <c r="C1923" s="1" t="inlineStr">
        <is>
          <t>45cm middle quality</t>
        </is>
      </c>
      <c r="D1923" s="1" t="inlineStr">
        <is>
          <t>HAIFENG / NANCY</t>
        </is>
      </c>
      <c r="E1923" s="4">
        <f>COUNTIF('DETALLE CRONOLÓGICO'!$A$2:$A$4919,$A1923)</f>
        <v/>
      </c>
      <c r="F1923" s="4">
        <f>SUMIFS('DETALLE CRONOLÓGICO'!$I$2:$I$4919,'DETALLE CRONOLÓGICO'!$A$2:$A$4919,$A1923)</f>
        <v/>
      </c>
      <c r="G1923" s="1">
        <f>INDEX('DETALLE CRONOLÓGICO'!$D$2:$D$4919,MATCH($A1923,'DETALLE CRONOLÓGICO'!$A$2:$A$4919,0))</f>
        <v/>
      </c>
      <c r="H1923" s="1">
        <f>INDEX('DETALLE CRONOLÓGICO'!$D$2:$D$4919,MATCH($A1923,'DETALLE CRONOLÓGICO'!$A$2:$A$4919,0)+$E1923-1)</f>
        <v/>
      </c>
      <c r="I1923" s="5">
        <f>IFERROR(SUMIFS('DETALLE CRONOLÓGICO'!$L$2:$L$4919,'DETALLE CRONOLÓGICO'!$A$2:$A$4919,$A1923)/$F1923,"")</f>
        <v/>
      </c>
      <c r="J1923" s="6">
        <f>IFERROR(SUMIFS('DETALLE CRONOLÓGICO'!$K$2:$K$4919,'DETALLE CRONOLÓGICO'!$A$2:$A$4919,$A1923)/$E1923,"")</f>
        <v/>
      </c>
      <c r="K1923" s="6">
        <f>_xlfn.MINIFS('DETALLE CRONOLÓGICO'!$K$2:$K$4919,'DETALLE CRONOLÓGICO'!$A$2:$A$4919,$A1923)</f>
        <v/>
      </c>
      <c r="L1923" s="6">
        <f>_xlfn.MAXIFS('DETALLE CRONOLÓGICO'!$K$2:$K$4919,'DETALLE CRONOLÓGICO'!$A$2:$A$4919,$A1923)</f>
        <v/>
      </c>
      <c r="M1923" s="6">
        <f>INDEX('DETALLE CRONOLÓGICO'!$K$2:$K$4919,MATCH($A1923,'DETALLE CRONOLÓGICO'!$A$2:$A$4919,0)+$E1923-1)</f>
        <v/>
      </c>
      <c r="N1923" s="7">
        <f>IFERROR($M1923/INDEX('DETALLE CRONOLÓGICO'!$K$2:$K$4919,MATCH($A1923,'DETALLE CRONOLÓGICO'!$A$2:$A$4919,0))-1,"")</f>
        <v/>
      </c>
      <c r="O1923" s="6">
        <f>IFERROR($I1923*3,"")</f>
        <v/>
      </c>
      <c r="P1923" s="6">
        <f>IFERROR($I1923*3.5,"")</f>
        <v/>
      </c>
      <c r="Q1923" s="6">
        <f>IFERROR($I1923*4,"")</f>
        <v/>
      </c>
      <c r="R1923" s="6" t="n">
        <v>580</v>
      </c>
      <c r="S1923" s="4" t="n">
        <v>3</v>
      </c>
      <c r="T1923" s="1" t="inlineStr">
        <is>
          <t>active</t>
        </is>
      </c>
      <c r="U1923" s="8" t="n"/>
      <c r="V1923" s="1" t="inlineStr">
        <is>
          <t>SIN PRECIO</t>
        </is>
      </c>
    </row>
    <row r="1924">
      <c r="A1924" s="1" t="inlineStr">
        <is>
          <t>81836202265453</t>
        </is>
      </c>
      <c r="B1924" s="1" t="inlineStr">
        <is>
          <t>ANILLO P STARS</t>
        </is>
      </c>
      <c r="C1924" s="1" t="inlineStr">
        <is>
          <t>9</t>
        </is>
      </c>
      <c r="D1924" s="1" t="inlineStr">
        <is>
          <t>CYNTHIA</t>
        </is>
      </c>
      <c r="E1924" s="4">
        <f>COUNTIF('DETALLE CRONOLÓGICO'!$A$2:$A$4919,$A1924)</f>
        <v/>
      </c>
      <c r="F1924" s="4">
        <f>SUMIFS('DETALLE CRONOLÓGICO'!$I$2:$I$4919,'DETALLE CRONOLÓGICO'!$A$2:$A$4919,$A1924)</f>
        <v/>
      </c>
      <c r="G1924" s="1">
        <f>INDEX('DETALLE CRONOLÓGICO'!$D$2:$D$4919,MATCH($A1924,'DETALLE CRONOLÓGICO'!$A$2:$A$4919,0))</f>
        <v/>
      </c>
      <c r="H1924" s="1">
        <f>INDEX('DETALLE CRONOLÓGICO'!$D$2:$D$4919,MATCH($A1924,'DETALLE CRONOLÓGICO'!$A$2:$A$4919,0)+$E1924-1)</f>
        <v/>
      </c>
      <c r="I1924" s="5">
        <f>IFERROR(SUMIFS('DETALLE CRONOLÓGICO'!$L$2:$L$4919,'DETALLE CRONOLÓGICO'!$A$2:$A$4919,$A1924)/$F1924,"")</f>
        <v/>
      </c>
      <c r="J1924" s="6">
        <f>IFERROR(SUMIFS('DETALLE CRONOLÓGICO'!$K$2:$K$4919,'DETALLE CRONOLÓGICO'!$A$2:$A$4919,$A1924)/$E1924,"")</f>
        <v/>
      </c>
      <c r="K1924" s="6">
        <f>_xlfn.MINIFS('DETALLE CRONOLÓGICO'!$K$2:$K$4919,'DETALLE CRONOLÓGICO'!$A$2:$A$4919,$A1924)</f>
        <v/>
      </c>
      <c r="L1924" s="6">
        <f>_xlfn.MAXIFS('DETALLE CRONOLÓGICO'!$K$2:$K$4919,'DETALLE CRONOLÓGICO'!$A$2:$A$4919,$A1924)</f>
        <v/>
      </c>
      <c r="M1924" s="6">
        <f>INDEX('DETALLE CRONOLÓGICO'!$K$2:$K$4919,MATCH($A1924,'DETALLE CRONOLÓGICO'!$A$2:$A$4919,0)+$E1924-1)</f>
        <v/>
      </c>
      <c r="N1924" s="7">
        <f>IFERROR($M1924/INDEX('DETALLE CRONOLÓGICO'!$K$2:$K$4919,MATCH($A1924,'DETALLE CRONOLÓGICO'!$A$2:$A$4919,0))-1,"")</f>
        <v/>
      </c>
      <c r="O1924" s="6">
        <f>IFERROR($I1924*3,"")</f>
        <v/>
      </c>
      <c r="P1924" s="6">
        <f>IFERROR($I1924*3.5,"")</f>
        <v/>
      </c>
      <c r="Q1924" s="6">
        <f>IFERROR($I1924*4,"")</f>
        <v/>
      </c>
      <c r="R1924" s="6" t="n">
        <v>250</v>
      </c>
      <c r="S1924" s="4" t="n">
        <v>2</v>
      </c>
      <c r="T1924" s="1" t="inlineStr">
        <is>
          <t>active</t>
        </is>
      </c>
      <c r="U1924" s="8" t="n"/>
      <c r="V1924" s="1" t="inlineStr">
        <is>
          <t>SIN PRECIO</t>
        </is>
      </c>
    </row>
    <row r="1925">
      <c r="A1925" s="1" t="inlineStr">
        <is>
          <t>82014673288716</t>
        </is>
      </c>
      <c r="B1925" s="1" t="inlineStr">
        <is>
          <t>COLLAR SIXTEEN STONE</t>
        </is>
      </c>
      <c r="C1925" s="1" t="inlineStr">
        <is>
          <t>43cm con extensión de 5cm</t>
        </is>
      </c>
      <c r="D1925" s="1" t="inlineStr">
        <is>
          <t>HAIFENG</t>
        </is>
      </c>
      <c r="E1925" s="4">
        <f>COUNTIF('DETALLE CRONOLÓGICO'!$A$2:$A$4919,$A1925)</f>
        <v/>
      </c>
      <c r="F1925" s="4">
        <f>SUMIFS('DETALLE CRONOLÓGICO'!$I$2:$I$4919,'DETALLE CRONOLÓGICO'!$A$2:$A$4919,$A1925)</f>
        <v/>
      </c>
      <c r="G1925" s="1">
        <f>INDEX('DETALLE CRONOLÓGICO'!$D$2:$D$4919,MATCH($A1925,'DETALLE CRONOLÓGICO'!$A$2:$A$4919,0))</f>
        <v/>
      </c>
      <c r="H1925" s="1">
        <f>INDEX('DETALLE CRONOLÓGICO'!$D$2:$D$4919,MATCH($A1925,'DETALLE CRONOLÓGICO'!$A$2:$A$4919,0)+$E1925-1)</f>
        <v/>
      </c>
      <c r="I1925" s="5">
        <f>IFERROR(SUMIFS('DETALLE CRONOLÓGICO'!$L$2:$L$4919,'DETALLE CRONOLÓGICO'!$A$2:$A$4919,$A1925)/$F1925,"")</f>
        <v/>
      </c>
      <c r="J1925" s="6">
        <f>IFERROR(SUMIFS('DETALLE CRONOLÓGICO'!$K$2:$K$4919,'DETALLE CRONOLÓGICO'!$A$2:$A$4919,$A1925)/$E1925,"")</f>
        <v/>
      </c>
      <c r="K1925" s="6">
        <f>_xlfn.MINIFS('DETALLE CRONOLÓGICO'!$K$2:$K$4919,'DETALLE CRONOLÓGICO'!$A$2:$A$4919,$A1925)</f>
        <v/>
      </c>
      <c r="L1925" s="6">
        <f>_xlfn.MAXIFS('DETALLE CRONOLÓGICO'!$K$2:$K$4919,'DETALLE CRONOLÓGICO'!$A$2:$A$4919,$A1925)</f>
        <v/>
      </c>
      <c r="M1925" s="6">
        <f>INDEX('DETALLE CRONOLÓGICO'!$K$2:$K$4919,MATCH($A1925,'DETALLE CRONOLÓGICO'!$A$2:$A$4919,0)+$E1925-1)</f>
        <v/>
      </c>
      <c r="N1925" s="7">
        <f>IFERROR($M1925/INDEX('DETALLE CRONOLÓGICO'!$K$2:$K$4919,MATCH($A1925,'DETALLE CRONOLÓGICO'!$A$2:$A$4919,0))-1,"")</f>
        <v/>
      </c>
      <c r="O1925" s="6">
        <f>IFERROR($I1925*3,"")</f>
        <v/>
      </c>
      <c r="P1925" s="6">
        <f>IFERROR($I1925*3.5,"")</f>
        <v/>
      </c>
      <c r="Q1925" s="6">
        <f>IFERROR($I1925*4,"")</f>
        <v/>
      </c>
      <c r="R1925" s="6" t="n">
        <v>650</v>
      </c>
      <c r="S1925" s="4" t="n">
        <v>4</v>
      </c>
      <c r="T1925" s="1" t="inlineStr">
        <is>
          <t>active</t>
        </is>
      </c>
      <c r="U1925" s="8" t="n"/>
      <c r="V1925" s="1" t="inlineStr">
        <is>
          <t>SIN PRECIO</t>
        </is>
      </c>
    </row>
    <row r="1926">
      <c r="A1926" s="1" t="inlineStr">
        <is>
          <t>82014673388812</t>
        </is>
      </c>
      <c r="B1926" s="1" t="inlineStr">
        <is>
          <t>PULSERA SMILE GOLD</t>
        </is>
      </c>
      <c r="C1926" s="1" t="inlineStr">
        <is>
          <t>16cm con extensión de 3cm</t>
        </is>
      </c>
      <c r="D1926" s="1" t="inlineStr">
        <is>
          <t>HAIFENG</t>
        </is>
      </c>
      <c r="E1926" s="4">
        <f>COUNTIF('DETALLE CRONOLÓGICO'!$A$2:$A$4919,$A1926)</f>
        <v/>
      </c>
      <c r="F1926" s="4">
        <f>SUMIFS('DETALLE CRONOLÓGICO'!$I$2:$I$4919,'DETALLE CRONOLÓGICO'!$A$2:$A$4919,$A1926)</f>
        <v/>
      </c>
      <c r="G1926" s="1">
        <f>INDEX('DETALLE CRONOLÓGICO'!$D$2:$D$4919,MATCH($A1926,'DETALLE CRONOLÓGICO'!$A$2:$A$4919,0))</f>
        <v/>
      </c>
      <c r="H1926" s="1">
        <f>INDEX('DETALLE CRONOLÓGICO'!$D$2:$D$4919,MATCH($A1926,'DETALLE CRONOLÓGICO'!$A$2:$A$4919,0)+$E1926-1)</f>
        <v/>
      </c>
      <c r="I1926" s="5">
        <f>IFERROR(SUMIFS('DETALLE CRONOLÓGICO'!$L$2:$L$4919,'DETALLE CRONOLÓGICO'!$A$2:$A$4919,$A1926)/$F1926,"")</f>
        <v/>
      </c>
      <c r="J1926" s="6">
        <f>IFERROR(SUMIFS('DETALLE CRONOLÓGICO'!$K$2:$K$4919,'DETALLE CRONOLÓGICO'!$A$2:$A$4919,$A1926)/$E1926,"")</f>
        <v/>
      </c>
      <c r="K1926" s="6">
        <f>_xlfn.MINIFS('DETALLE CRONOLÓGICO'!$K$2:$K$4919,'DETALLE CRONOLÓGICO'!$A$2:$A$4919,$A1926)</f>
        <v/>
      </c>
      <c r="L1926" s="6">
        <f>_xlfn.MAXIFS('DETALLE CRONOLÓGICO'!$K$2:$K$4919,'DETALLE CRONOLÓGICO'!$A$2:$A$4919,$A1926)</f>
        <v/>
      </c>
      <c r="M1926" s="6">
        <f>INDEX('DETALLE CRONOLÓGICO'!$K$2:$K$4919,MATCH($A1926,'DETALLE CRONOLÓGICO'!$A$2:$A$4919,0)+$E1926-1)</f>
        <v/>
      </c>
      <c r="N1926" s="7">
        <f>IFERROR($M1926/INDEX('DETALLE CRONOLÓGICO'!$K$2:$K$4919,MATCH($A1926,'DETALLE CRONOLÓGICO'!$A$2:$A$4919,0))-1,"")</f>
        <v/>
      </c>
      <c r="O1926" s="6">
        <f>IFERROR($I1926*3,"")</f>
        <v/>
      </c>
      <c r="P1926" s="6">
        <f>IFERROR($I1926*3.5,"")</f>
        <v/>
      </c>
      <c r="Q1926" s="6">
        <f>IFERROR($I1926*4,"")</f>
        <v/>
      </c>
      <c r="R1926" s="6" t="n">
        <v>649</v>
      </c>
      <c r="S1926" s="4" t="n">
        <v>0</v>
      </c>
      <c r="T1926" s="1" t="inlineStr">
        <is>
          <t>active</t>
        </is>
      </c>
      <c r="U1926" s="8" t="n"/>
      <c r="V1926" s="1" t="inlineStr">
        <is>
          <t>SIN PRECIO</t>
        </is>
      </c>
    </row>
    <row r="1927">
      <c r="A1927" s="1" t="inlineStr">
        <is>
          <t>82014675304844</t>
        </is>
      </c>
      <c r="B1927" s="1" t="inlineStr">
        <is>
          <t>PULSERA SMILE ROSEGOLD</t>
        </is>
      </c>
      <c r="C1927" s="1" t="inlineStr">
        <is>
          <t>16cm con extensión de 3cm</t>
        </is>
      </c>
      <c r="D1927" s="1" t="inlineStr">
        <is>
          <t>HAIFENG</t>
        </is>
      </c>
      <c r="E1927" s="4">
        <f>COUNTIF('DETALLE CRONOLÓGICO'!$A$2:$A$4919,$A1927)</f>
        <v/>
      </c>
      <c r="F1927" s="4">
        <f>SUMIFS('DETALLE CRONOLÓGICO'!$I$2:$I$4919,'DETALLE CRONOLÓGICO'!$A$2:$A$4919,$A1927)</f>
        <v/>
      </c>
      <c r="G1927" s="1">
        <f>INDEX('DETALLE CRONOLÓGICO'!$D$2:$D$4919,MATCH($A1927,'DETALLE CRONOLÓGICO'!$A$2:$A$4919,0))</f>
        <v/>
      </c>
      <c r="H1927" s="1">
        <f>INDEX('DETALLE CRONOLÓGICO'!$D$2:$D$4919,MATCH($A1927,'DETALLE CRONOLÓGICO'!$A$2:$A$4919,0)+$E1927-1)</f>
        <v/>
      </c>
      <c r="I1927" s="5">
        <f>IFERROR(SUMIFS('DETALLE CRONOLÓGICO'!$L$2:$L$4919,'DETALLE CRONOLÓGICO'!$A$2:$A$4919,$A1927)/$F1927,"")</f>
        <v/>
      </c>
      <c r="J1927" s="6">
        <f>IFERROR(SUMIFS('DETALLE CRONOLÓGICO'!$K$2:$K$4919,'DETALLE CRONOLÓGICO'!$A$2:$A$4919,$A1927)/$E1927,"")</f>
        <v/>
      </c>
      <c r="K1927" s="6">
        <f>_xlfn.MINIFS('DETALLE CRONOLÓGICO'!$K$2:$K$4919,'DETALLE CRONOLÓGICO'!$A$2:$A$4919,$A1927)</f>
        <v/>
      </c>
      <c r="L1927" s="6">
        <f>_xlfn.MAXIFS('DETALLE CRONOLÓGICO'!$K$2:$K$4919,'DETALLE CRONOLÓGICO'!$A$2:$A$4919,$A1927)</f>
        <v/>
      </c>
      <c r="M1927" s="6">
        <f>INDEX('DETALLE CRONOLÓGICO'!$K$2:$K$4919,MATCH($A1927,'DETALLE CRONOLÓGICO'!$A$2:$A$4919,0)+$E1927-1)</f>
        <v/>
      </c>
      <c r="N1927" s="7">
        <f>IFERROR($M1927/INDEX('DETALLE CRONOLÓGICO'!$K$2:$K$4919,MATCH($A1927,'DETALLE CRONOLÓGICO'!$A$2:$A$4919,0))-1,"")</f>
        <v/>
      </c>
      <c r="O1927" s="6">
        <f>IFERROR($I1927*3,"")</f>
        <v/>
      </c>
      <c r="P1927" s="6">
        <f>IFERROR($I1927*3.5,"")</f>
        <v/>
      </c>
      <c r="Q1927" s="6">
        <f>IFERROR($I1927*4,"")</f>
        <v/>
      </c>
      <c r="R1927" s="6" t="n">
        <v>650</v>
      </c>
      <c r="S1927" s="4" t="n">
        <v>2</v>
      </c>
      <c r="T1927" s="1" t="inlineStr">
        <is>
          <t>active</t>
        </is>
      </c>
      <c r="U1927" s="8" t="n"/>
      <c r="V1927" s="1" t="inlineStr">
        <is>
          <t>SIN PRECIO</t>
        </is>
      </c>
    </row>
    <row r="1928">
      <c r="A1928" s="1" t="inlineStr">
        <is>
          <t>82014675495692</t>
        </is>
      </c>
      <c r="B1928" s="1" t="inlineStr">
        <is>
          <t>PULSERA SMILE SILVER</t>
        </is>
      </c>
      <c r="C1928" s="1" t="inlineStr">
        <is>
          <t>16cm con extensión de 5cm</t>
        </is>
      </c>
      <c r="D1928" s="1" t="inlineStr">
        <is>
          <t>HAIFENG</t>
        </is>
      </c>
      <c r="E1928" s="4">
        <f>COUNTIF('DETALLE CRONOLÓGICO'!$A$2:$A$4919,$A1928)</f>
        <v/>
      </c>
      <c r="F1928" s="4">
        <f>SUMIFS('DETALLE CRONOLÓGICO'!$I$2:$I$4919,'DETALLE CRONOLÓGICO'!$A$2:$A$4919,$A1928)</f>
        <v/>
      </c>
      <c r="G1928" s="1">
        <f>INDEX('DETALLE CRONOLÓGICO'!$D$2:$D$4919,MATCH($A1928,'DETALLE CRONOLÓGICO'!$A$2:$A$4919,0))</f>
        <v/>
      </c>
      <c r="H1928" s="1">
        <f>INDEX('DETALLE CRONOLÓGICO'!$D$2:$D$4919,MATCH($A1928,'DETALLE CRONOLÓGICO'!$A$2:$A$4919,0)+$E1928-1)</f>
        <v/>
      </c>
      <c r="I1928" s="5">
        <f>IFERROR(SUMIFS('DETALLE CRONOLÓGICO'!$L$2:$L$4919,'DETALLE CRONOLÓGICO'!$A$2:$A$4919,$A1928)/$F1928,"")</f>
        <v/>
      </c>
      <c r="J1928" s="6">
        <f>IFERROR(SUMIFS('DETALLE CRONOLÓGICO'!$K$2:$K$4919,'DETALLE CRONOLÓGICO'!$A$2:$A$4919,$A1928)/$E1928,"")</f>
        <v/>
      </c>
      <c r="K1928" s="6">
        <f>_xlfn.MINIFS('DETALLE CRONOLÓGICO'!$K$2:$K$4919,'DETALLE CRONOLÓGICO'!$A$2:$A$4919,$A1928)</f>
        <v/>
      </c>
      <c r="L1928" s="6">
        <f>_xlfn.MAXIFS('DETALLE CRONOLÓGICO'!$K$2:$K$4919,'DETALLE CRONOLÓGICO'!$A$2:$A$4919,$A1928)</f>
        <v/>
      </c>
      <c r="M1928" s="6">
        <f>INDEX('DETALLE CRONOLÓGICO'!$K$2:$K$4919,MATCH($A1928,'DETALLE CRONOLÓGICO'!$A$2:$A$4919,0)+$E1928-1)</f>
        <v/>
      </c>
      <c r="N1928" s="7">
        <f>IFERROR($M1928/INDEX('DETALLE CRONOLÓGICO'!$K$2:$K$4919,MATCH($A1928,'DETALLE CRONOLÓGICO'!$A$2:$A$4919,0))-1,"")</f>
        <v/>
      </c>
      <c r="O1928" s="6">
        <f>IFERROR($I1928*3,"")</f>
        <v/>
      </c>
      <c r="P1928" s="6">
        <f>IFERROR($I1928*3.5,"")</f>
        <v/>
      </c>
      <c r="Q1928" s="6">
        <f>IFERROR($I1928*4,"")</f>
        <v/>
      </c>
      <c r="R1928" s="6" t="n">
        <v>650</v>
      </c>
      <c r="S1928" s="4" t="n">
        <v>3</v>
      </c>
      <c r="T1928" s="1" t="inlineStr">
        <is>
          <t>active</t>
        </is>
      </c>
      <c r="U1928" s="8" t="n"/>
      <c r="V1928" s="1" t="inlineStr">
        <is>
          <t>SIN PRECIO</t>
        </is>
      </c>
    </row>
    <row r="1929">
      <c r="A1929" s="1" t="inlineStr">
        <is>
          <t>82112081096013</t>
        </is>
      </c>
      <c r="B1929" s="1" t="inlineStr">
        <is>
          <t>ANILLO LV INSTICT GOLD-8</t>
        </is>
      </c>
      <c r="C1929" s="1" t="n">
        <v>8</v>
      </c>
      <c r="D1929" s="1" t="inlineStr">
        <is>
          <t>HAIFENG</t>
        </is>
      </c>
      <c r="E1929" s="4">
        <f>COUNTIF('DETALLE CRONOLÓGICO'!$A$2:$A$4919,$A1929)</f>
        <v/>
      </c>
      <c r="F1929" s="4">
        <f>SUMIFS('DETALLE CRONOLÓGICO'!$I$2:$I$4919,'DETALLE CRONOLÓGICO'!$A$2:$A$4919,$A1929)</f>
        <v/>
      </c>
      <c r="G1929" s="1">
        <f>INDEX('DETALLE CRONOLÓGICO'!$D$2:$D$4919,MATCH($A1929,'DETALLE CRONOLÓGICO'!$A$2:$A$4919,0))</f>
        <v/>
      </c>
      <c r="H1929" s="1">
        <f>INDEX('DETALLE CRONOLÓGICO'!$D$2:$D$4919,MATCH($A1929,'DETALLE CRONOLÓGICO'!$A$2:$A$4919,0)+$E1929-1)</f>
        <v/>
      </c>
      <c r="I1929" s="5">
        <f>IFERROR(SUMIFS('DETALLE CRONOLÓGICO'!$L$2:$L$4919,'DETALLE CRONOLÓGICO'!$A$2:$A$4919,$A1929)/$F1929,"")</f>
        <v/>
      </c>
      <c r="J1929" s="6">
        <f>IFERROR(SUMIFS('DETALLE CRONOLÓGICO'!$K$2:$K$4919,'DETALLE CRONOLÓGICO'!$A$2:$A$4919,$A1929)/$E1929,"")</f>
        <v/>
      </c>
      <c r="K1929" s="6">
        <f>_xlfn.MINIFS('DETALLE CRONOLÓGICO'!$K$2:$K$4919,'DETALLE CRONOLÓGICO'!$A$2:$A$4919,$A1929)</f>
        <v/>
      </c>
      <c r="L1929" s="6">
        <f>_xlfn.MAXIFS('DETALLE CRONOLÓGICO'!$K$2:$K$4919,'DETALLE CRONOLÓGICO'!$A$2:$A$4919,$A1929)</f>
        <v/>
      </c>
      <c r="M1929" s="6">
        <f>INDEX('DETALLE CRONOLÓGICO'!$K$2:$K$4919,MATCH($A1929,'DETALLE CRONOLÓGICO'!$A$2:$A$4919,0)+$E1929-1)</f>
        <v/>
      </c>
      <c r="N1929" s="7">
        <f>IFERROR($M1929/INDEX('DETALLE CRONOLÓGICO'!$K$2:$K$4919,MATCH($A1929,'DETALLE CRONOLÓGICO'!$A$2:$A$4919,0))-1,"")</f>
        <v/>
      </c>
      <c r="O1929" s="6">
        <f>IFERROR($I1929*3,"")</f>
        <v/>
      </c>
      <c r="P1929" s="6">
        <f>IFERROR($I1929*3.5,"")</f>
        <v/>
      </c>
      <c r="Q1929" s="6">
        <f>IFERROR($I1929*4,"")</f>
        <v/>
      </c>
      <c r="R1929" s="6" t="n">
        <v>493.58</v>
      </c>
      <c r="S1929" s="4" t="n">
        <v>1</v>
      </c>
      <c r="T1929" s="1" t="inlineStr">
        <is>
          <t>active</t>
        </is>
      </c>
      <c r="U1929" s="8" t="n"/>
      <c r="V1929" s="1" t="inlineStr">
        <is>
          <t>SIN PRECIO</t>
        </is>
      </c>
    </row>
    <row r="1930">
      <c r="A1930" s="1" t="inlineStr">
        <is>
          <t>82112081096014</t>
        </is>
      </c>
      <c r="B1930" s="1" t="inlineStr">
        <is>
          <t>ANILLO LV INSTICT GOLD-9</t>
        </is>
      </c>
      <c r="C1930" s="1" t="n">
        <v>9</v>
      </c>
      <c r="D1930" s="1" t="inlineStr">
        <is>
          <t>HAIFENG</t>
        </is>
      </c>
      <c r="E1930" s="4">
        <f>COUNTIF('DETALLE CRONOLÓGICO'!$A$2:$A$4919,$A1930)</f>
        <v/>
      </c>
      <c r="F1930" s="4">
        <f>SUMIFS('DETALLE CRONOLÓGICO'!$I$2:$I$4919,'DETALLE CRONOLÓGICO'!$A$2:$A$4919,$A1930)</f>
        <v/>
      </c>
      <c r="G1930" s="1">
        <f>INDEX('DETALLE CRONOLÓGICO'!$D$2:$D$4919,MATCH($A1930,'DETALLE CRONOLÓGICO'!$A$2:$A$4919,0))</f>
        <v/>
      </c>
      <c r="H1930" s="1">
        <f>INDEX('DETALLE CRONOLÓGICO'!$D$2:$D$4919,MATCH($A1930,'DETALLE CRONOLÓGICO'!$A$2:$A$4919,0)+$E1930-1)</f>
        <v/>
      </c>
      <c r="I1930" s="5">
        <f>IFERROR(SUMIFS('DETALLE CRONOLÓGICO'!$L$2:$L$4919,'DETALLE CRONOLÓGICO'!$A$2:$A$4919,$A1930)/$F1930,"")</f>
        <v/>
      </c>
      <c r="J1930" s="6">
        <f>IFERROR(SUMIFS('DETALLE CRONOLÓGICO'!$K$2:$K$4919,'DETALLE CRONOLÓGICO'!$A$2:$A$4919,$A1930)/$E1930,"")</f>
        <v/>
      </c>
      <c r="K1930" s="6">
        <f>_xlfn.MINIFS('DETALLE CRONOLÓGICO'!$K$2:$K$4919,'DETALLE CRONOLÓGICO'!$A$2:$A$4919,$A1930)</f>
        <v/>
      </c>
      <c r="L1930" s="6">
        <f>_xlfn.MAXIFS('DETALLE CRONOLÓGICO'!$K$2:$K$4919,'DETALLE CRONOLÓGICO'!$A$2:$A$4919,$A1930)</f>
        <v/>
      </c>
      <c r="M1930" s="6">
        <f>INDEX('DETALLE CRONOLÓGICO'!$K$2:$K$4919,MATCH($A1930,'DETALLE CRONOLÓGICO'!$A$2:$A$4919,0)+$E1930-1)</f>
        <v/>
      </c>
      <c r="N1930" s="7">
        <f>IFERROR($M1930/INDEX('DETALLE CRONOLÓGICO'!$K$2:$K$4919,MATCH($A1930,'DETALLE CRONOLÓGICO'!$A$2:$A$4919,0))-1,"")</f>
        <v/>
      </c>
      <c r="O1930" s="6">
        <f>IFERROR($I1930*3,"")</f>
        <v/>
      </c>
      <c r="P1930" s="6">
        <f>IFERROR($I1930*3.5,"")</f>
        <v/>
      </c>
      <c r="Q1930" s="6">
        <f>IFERROR($I1930*4,"")</f>
        <v/>
      </c>
      <c r="R1930" s="6" t="n">
        <v>493.58</v>
      </c>
      <c r="S1930" s="4" t="n">
        <v>2</v>
      </c>
      <c r="T1930" s="1" t="inlineStr">
        <is>
          <t>active</t>
        </is>
      </c>
      <c r="U1930" s="8" t="n"/>
      <c r="V1930" s="1" t="inlineStr">
        <is>
          <t>SIN PRECIO</t>
        </is>
      </c>
    </row>
    <row r="1931">
      <c r="A1931" s="1" t="inlineStr">
        <is>
          <t>82224431085741</t>
        </is>
      </c>
      <c r="B1931" s="1" t="inlineStr">
        <is>
          <t>BOLSO MM WANDER OFF WHITE</t>
        </is>
      </c>
      <c r="C1931" s="1" t="inlineStr">
        <is>
          <t>WHITE</t>
        </is>
      </c>
      <c r="D1931" s="1" t="inlineStr">
        <is>
          <t>ZOEY</t>
        </is>
      </c>
      <c r="E1931" s="4">
        <f>COUNTIF('DETALLE CRONOLÓGICO'!$A$2:$A$4919,$A1931)</f>
        <v/>
      </c>
      <c r="F1931" s="4">
        <f>SUMIFS('DETALLE CRONOLÓGICO'!$I$2:$I$4919,'DETALLE CRONOLÓGICO'!$A$2:$A$4919,$A1931)</f>
        <v/>
      </c>
      <c r="G1931" s="1">
        <f>INDEX('DETALLE CRONOLÓGICO'!$D$2:$D$4919,MATCH($A1931,'DETALLE CRONOLÓGICO'!$A$2:$A$4919,0))</f>
        <v/>
      </c>
      <c r="H1931" s="1">
        <f>INDEX('DETALLE CRONOLÓGICO'!$D$2:$D$4919,MATCH($A1931,'DETALLE CRONOLÓGICO'!$A$2:$A$4919,0)+$E1931-1)</f>
        <v/>
      </c>
      <c r="I1931" s="5">
        <f>IFERROR(SUMIFS('DETALLE CRONOLÓGICO'!$L$2:$L$4919,'DETALLE CRONOLÓGICO'!$A$2:$A$4919,$A1931)/$F1931,"")</f>
        <v/>
      </c>
      <c r="J1931" s="6">
        <f>IFERROR(SUMIFS('DETALLE CRONOLÓGICO'!$K$2:$K$4919,'DETALLE CRONOLÓGICO'!$A$2:$A$4919,$A1931)/$E1931,"")</f>
        <v/>
      </c>
      <c r="K1931" s="6">
        <f>_xlfn.MINIFS('DETALLE CRONOLÓGICO'!$K$2:$K$4919,'DETALLE CRONOLÓGICO'!$A$2:$A$4919,$A1931)</f>
        <v/>
      </c>
      <c r="L1931" s="6">
        <f>_xlfn.MAXIFS('DETALLE CRONOLÓGICO'!$K$2:$K$4919,'DETALLE CRONOLÓGICO'!$A$2:$A$4919,$A1931)</f>
        <v/>
      </c>
      <c r="M1931" s="6">
        <f>INDEX('DETALLE CRONOLÓGICO'!$K$2:$K$4919,MATCH($A1931,'DETALLE CRONOLÓGICO'!$A$2:$A$4919,0)+$E1931-1)</f>
        <v/>
      </c>
      <c r="N1931" s="7">
        <f>IFERROR($M1931/INDEX('DETALLE CRONOLÓGICO'!$K$2:$K$4919,MATCH($A1931,'DETALLE CRONOLÓGICO'!$A$2:$A$4919,0))-1,"")</f>
        <v/>
      </c>
      <c r="O1931" s="6">
        <f>IFERROR($I1931*3,"")</f>
        <v/>
      </c>
      <c r="P1931" s="6">
        <f>IFERROR($I1931*3.5,"")</f>
        <v/>
      </c>
      <c r="Q1931" s="6">
        <f>IFERROR($I1931*4,"")</f>
        <v/>
      </c>
      <c r="R1931" s="6" t="n">
        <v>4414.53</v>
      </c>
      <c r="S1931" s="4" t="n">
        <v>0</v>
      </c>
      <c r="T1931" s="1" t="inlineStr">
        <is>
          <t>active</t>
        </is>
      </c>
      <c r="U1931" s="8" t="n"/>
      <c r="V1931" s="1" t="inlineStr">
        <is>
          <t>SIN PRECIO</t>
        </is>
      </c>
    </row>
    <row r="1932">
      <c r="A1932" s="1" t="inlineStr">
        <is>
          <t>82224431124141</t>
        </is>
      </c>
      <c r="B1932" s="1" t="inlineStr">
        <is>
          <t>SANDALIAS H WHITE</t>
        </is>
      </c>
      <c r="C1932" s="1" t="inlineStr">
        <is>
          <t>40 (25 cm)</t>
        </is>
      </c>
      <c r="D1932" s="1" t="inlineStr">
        <is>
          <t>CYNTHIA</t>
        </is>
      </c>
      <c r="E1932" s="4">
        <f>COUNTIF('DETALLE CRONOLÓGICO'!$A$2:$A$4919,$A1932)</f>
        <v/>
      </c>
      <c r="F1932" s="4">
        <f>SUMIFS('DETALLE CRONOLÓGICO'!$I$2:$I$4919,'DETALLE CRONOLÓGICO'!$A$2:$A$4919,$A1932)</f>
        <v/>
      </c>
      <c r="G1932" s="1">
        <f>INDEX('DETALLE CRONOLÓGICO'!$D$2:$D$4919,MATCH($A1932,'DETALLE CRONOLÓGICO'!$A$2:$A$4919,0))</f>
        <v/>
      </c>
      <c r="H1932" s="1">
        <f>INDEX('DETALLE CRONOLÓGICO'!$D$2:$D$4919,MATCH($A1932,'DETALLE CRONOLÓGICO'!$A$2:$A$4919,0)+$E1932-1)</f>
        <v/>
      </c>
      <c r="I1932" s="5">
        <f>IFERROR(SUMIFS('DETALLE CRONOLÓGICO'!$L$2:$L$4919,'DETALLE CRONOLÓGICO'!$A$2:$A$4919,$A1932)/$F1932,"")</f>
        <v/>
      </c>
      <c r="J1932" s="6">
        <f>IFERROR(SUMIFS('DETALLE CRONOLÓGICO'!$K$2:$K$4919,'DETALLE CRONOLÓGICO'!$A$2:$A$4919,$A1932)/$E1932,"")</f>
        <v/>
      </c>
      <c r="K1932" s="6">
        <f>_xlfn.MINIFS('DETALLE CRONOLÓGICO'!$K$2:$K$4919,'DETALLE CRONOLÓGICO'!$A$2:$A$4919,$A1932)</f>
        <v/>
      </c>
      <c r="L1932" s="6">
        <f>_xlfn.MAXIFS('DETALLE CRONOLÓGICO'!$K$2:$K$4919,'DETALLE CRONOLÓGICO'!$A$2:$A$4919,$A1932)</f>
        <v/>
      </c>
      <c r="M1932" s="6">
        <f>INDEX('DETALLE CRONOLÓGICO'!$K$2:$K$4919,MATCH($A1932,'DETALLE CRONOLÓGICO'!$A$2:$A$4919,0)+$E1932-1)</f>
        <v/>
      </c>
      <c r="N1932" s="7">
        <f>IFERROR($M1932/INDEX('DETALLE CRONOLÓGICO'!$K$2:$K$4919,MATCH($A1932,'DETALLE CRONOLÓGICO'!$A$2:$A$4919,0))-1,"")</f>
        <v/>
      </c>
      <c r="O1932" s="6">
        <f>IFERROR($I1932*3,"")</f>
        <v/>
      </c>
      <c r="P1932" s="6">
        <f>IFERROR($I1932*3.5,"")</f>
        <v/>
      </c>
      <c r="Q1932" s="6">
        <f>IFERROR($I1932*4,"")</f>
        <v/>
      </c>
      <c r="R1932" s="6" t="n">
        <v>3189</v>
      </c>
      <c r="S1932" s="4" t="n">
        <v>4</v>
      </c>
      <c r="T1932" s="1" t="inlineStr">
        <is>
          <t>active</t>
        </is>
      </c>
      <c r="U1932" s="8" t="n"/>
      <c r="V1932" s="1" t="inlineStr">
        <is>
          <t>SIN PRECIO</t>
        </is>
      </c>
    </row>
    <row r="1933">
      <c r="A1933" s="1" t="inlineStr">
        <is>
          <t>82224432134061</t>
        </is>
      </c>
      <c r="B1933" s="1" t="inlineStr">
        <is>
          <t>ZAPATILLAS YSL OPYUM BLACK</t>
        </is>
      </c>
      <c r="C1933" s="1" t="inlineStr">
        <is>
          <t>26 cm</t>
        </is>
      </c>
      <c r="D1933" s="1" t="inlineStr">
        <is>
          <t>ZOEY</t>
        </is>
      </c>
      <c r="E1933" s="4">
        <f>COUNTIF('DETALLE CRONOLÓGICO'!$A$2:$A$4919,$A1933)</f>
        <v/>
      </c>
      <c r="F1933" s="4">
        <f>SUMIFS('DETALLE CRONOLÓGICO'!$I$2:$I$4919,'DETALLE CRONOLÓGICO'!$A$2:$A$4919,$A1933)</f>
        <v/>
      </c>
      <c r="G1933" s="1">
        <f>INDEX('DETALLE CRONOLÓGICO'!$D$2:$D$4919,MATCH($A1933,'DETALLE CRONOLÓGICO'!$A$2:$A$4919,0))</f>
        <v/>
      </c>
      <c r="H1933" s="1">
        <f>INDEX('DETALLE CRONOLÓGICO'!$D$2:$D$4919,MATCH($A1933,'DETALLE CRONOLÓGICO'!$A$2:$A$4919,0)+$E1933-1)</f>
        <v/>
      </c>
      <c r="I1933" s="5">
        <f>IFERROR(SUMIFS('DETALLE CRONOLÓGICO'!$L$2:$L$4919,'DETALLE CRONOLÓGICO'!$A$2:$A$4919,$A1933)/$F1933,"")</f>
        <v/>
      </c>
      <c r="J1933" s="6">
        <f>IFERROR(SUMIFS('DETALLE CRONOLÓGICO'!$K$2:$K$4919,'DETALLE CRONOLÓGICO'!$A$2:$A$4919,$A1933)/$E1933,"")</f>
        <v/>
      </c>
      <c r="K1933" s="6">
        <f>_xlfn.MINIFS('DETALLE CRONOLÓGICO'!$K$2:$K$4919,'DETALLE CRONOLÓGICO'!$A$2:$A$4919,$A1933)</f>
        <v/>
      </c>
      <c r="L1933" s="6">
        <f>_xlfn.MAXIFS('DETALLE CRONOLÓGICO'!$K$2:$K$4919,'DETALLE CRONOLÓGICO'!$A$2:$A$4919,$A1933)</f>
        <v/>
      </c>
      <c r="M1933" s="6">
        <f>INDEX('DETALLE CRONOLÓGICO'!$K$2:$K$4919,MATCH($A1933,'DETALLE CRONOLÓGICO'!$A$2:$A$4919,0)+$E1933-1)</f>
        <v/>
      </c>
      <c r="N1933" s="7">
        <f>IFERROR($M1933/INDEX('DETALLE CRONOLÓGICO'!$K$2:$K$4919,MATCH($A1933,'DETALLE CRONOLÓGICO'!$A$2:$A$4919,0))-1,"")</f>
        <v/>
      </c>
      <c r="O1933" s="6">
        <f>IFERROR($I1933*3,"")</f>
        <v/>
      </c>
      <c r="P1933" s="6">
        <f>IFERROR($I1933*3.5,"")</f>
        <v/>
      </c>
      <c r="Q1933" s="6">
        <f>IFERROR($I1933*4,"")</f>
        <v/>
      </c>
      <c r="R1933" s="6" t="n">
        <v>6339</v>
      </c>
      <c r="S1933" s="4" t="n">
        <v>1</v>
      </c>
      <c r="T1933" s="1" t="inlineStr">
        <is>
          <t>active</t>
        </is>
      </c>
      <c r="U1933" s="8" t="n"/>
      <c r="V1933" s="1" t="inlineStr">
        <is>
          <t>SIN PRECIO</t>
        </is>
      </c>
    </row>
    <row r="1934">
      <c r="A1934" s="1" t="inlineStr">
        <is>
          <t>82224432971117</t>
        </is>
      </c>
      <c r="B1934" s="1" t="inlineStr">
        <is>
          <t>PULSERA CLAVO JUST UN CLOU ZIRCONIA ROSEGOLD</t>
        </is>
      </c>
      <c r="C1934" s="1" t="inlineStr">
        <is>
          <t>17 cm</t>
        </is>
      </c>
      <c r="D1934" s="1" t="inlineStr">
        <is>
          <t>NANCY</t>
        </is>
      </c>
      <c r="E1934" s="4">
        <f>COUNTIF('DETALLE CRONOLÓGICO'!$A$2:$A$4919,$A1934)</f>
        <v/>
      </c>
      <c r="F1934" s="4">
        <f>SUMIFS('DETALLE CRONOLÓGICO'!$I$2:$I$4919,'DETALLE CRONOLÓGICO'!$A$2:$A$4919,$A1934)</f>
        <v/>
      </c>
      <c r="G1934" s="1">
        <f>INDEX('DETALLE CRONOLÓGICO'!$D$2:$D$4919,MATCH($A1934,'DETALLE CRONOLÓGICO'!$A$2:$A$4919,0))</f>
        <v/>
      </c>
      <c r="H1934" s="1">
        <f>INDEX('DETALLE CRONOLÓGICO'!$D$2:$D$4919,MATCH($A1934,'DETALLE CRONOLÓGICO'!$A$2:$A$4919,0)+$E1934-1)</f>
        <v/>
      </c>
      <c r="I1934" s="5">
        <f>IFERROR(SUMIFS('DETALLE CRONOLÓGICO'!$L$2:$L$4919,'DETALLE CRONOLÓGICO'!$A$2:$A$4919,$A1934)/$F1934,"")</f>
        <v/>
      </c>
      <c r="J1934" s="6">
        <f>IFERROR(SUMIFS('DETALLE CRONOLÓGICO'!$K$2:$K$4919,'DETALLE CRONOLÓGICO'!$A$2:$A$4919,$A1934)/$E1934,"")</f>
        <v/>
      </c>
      <c r="K1934" s="6">
        <f>_xlfn.MINIFS('DETALLE CRONOLÓGICO'!$K$2:$K$4919,'DETALLE CRONOLÓGICO'!$A$2:$A$4919,$A1934)</f>
        <v/>
      </c>
      <c r="L1934" s="6">
        <f>_xlfn.MAXIFS('DETALLE CRONOLÓGICO'!$K$2:$K$4919,'DETALLE CRONOLÓGICO'!$A$2:$A$4919,$A1934)</f>
        <v/>
      </c>
      <c r="M1934" s="6">
        <f>INDEX('DETALLE CRONOLÓGICO'!$K$2:$K$4919,MATCH($A1934,'DETALLE CRONOLÓGICO'!$A$2:$A$4919,0)+$E1934-1)</f>
        <v/>
      </c>
      <c r="N1934" s="7">
        <f>IFERROR($M1934/INDEX('DETALLE CRONOLÓGICO'!$K$2:$K$4919,MATCH($A1934,'DETALLE CRONOLÓGICO'!$A$2:$A$4919,0))-1,"")</f>
        <v/>
      </c>
      <c r="O1934" s="6">
        <f>IFERROR($I1934*3,"")</f>
        <v/>
      </c>
      <c r="P1934" s="6">
        <f>IFERROR($I1934*3.5,"")</f>
        <v/>
      </c>
      <c r="Q1934" s="6">
        <f>IFERROR($I1934*4,"")</f>
        <v/>
      </c>
      <c r="R1934" s="6" t="n">
        <v>430</v>
      </c>
      <c r="S1934" s="4" t="n">
        <v>3</v>
      </c>
      <c r="T1934" s="1" t="inlineStr">
        <is>
          <t>active</t>
        </is>
      </c>
      <c r="U1934" s="8" t="n"/>
      <c r="V1934" s="1" t="inlineStr">
        <is>
          <t>SIN PRECIO</t>
        </is>
      </c>
    </row>
    <row r="1935">
      <c r="A1935" s="1" t="inlineStr">
        <is>
          <t>82224433003885</t>
        </is>
      </c>
      <c r="B1935" s="1" t="inlineStr">
        <is>
          <t>PULSERA CLAVO ROSE GOLD CON ZIRCONIA</t>
        </is>
      </c>
      <c r="C1935" s="1" t="inlineStr">
        <is>
          <t>19 cm</t>
        </is>
      </c>
      <c r="D1935" s="1" t="inlineStr">
        <is>
          <t>NANCY</t>
        </is>
      </c>
      <c r="E1935" s="4">
        <f>COUNTIF('DETALLE CRONOLÓGICO'!$A$2:$A$4919,$A1935)</f>
        <v/>
      </c>
      <c r="F1935" s="4">
        <f>SUMIFS('DETALLE CRONOLÓGICO'!$I$2:$I$4919,'DETALLE CRONOLÓGICO'!$A$2:$A$4919,$A1935)</f>
        <v/>
      </c>
      <c r="G1935" s="1">
        <f>INDEX('DETALLE CRONOLÓGICO'!$D$2:$D$4919,MATCH($A1935,'DETALLE CRONOLÓGICO'!$A$2:$A$4919,0))</f>
        <v/>
      </c>
      <c r="H1935" s="1">
        <f>INDEX('DETALLE CRONOLÓGICO'!$D$2:$D$4919,MATCH($A1935,'DETALLE CRONOLÓGICO'!$A$2:$A$4919,0)+$E1935-1)</f>
        <v/>
      </c>
      <c r="I1935" s="5">
        <f>IFERROR(SUMIFS('DETALLE CRONOLÓGICO'!$L$2:$L$4919,'DETALLE CRONOLÓGICO'!$A$2:$A$4919,$A1935)/$F1935,"")</f>
        <v/>
      </c>
      <c r="J1935" s="6">
        <f>IFERROR(SUMIFS('DETALLE CRONOLÓGICO'!$K$2:$K$4919,'DETALLE CRONOLÓGICO'!$A$2:$A$4919,$A1935)/$E1935,"")</f>
        <v/>
      </c>
      <c r="K1935" s="6">
        <f>_xlfn.MINIFS('DETALLE CRONOLÓGICO'!$K$2:$K$4919,'DETALLE CRONOLÓGICO'!$A$2:$A$4919,$A1935)</f>
        <v/>
      </c>
      <c r="L1935" s="6">
        <f>_xlfn.MAXIFS('DETALLE CRONOLÓGICO'!$K$2:$K$4919,'DETALLE CRONOLÓGICO'!$A$2:$A$4919,$A1935)</f>
        <v/>
      </c>
      <c r="M1935" s="6">
        <f>INDEX('DETALLE CRONOLÓGICO'!$K$2:$K$4919,MATCH($A1935,'DETALLE CRONOLÓGICO'!$A$2:$A$4919,0)+$E1935-1)</f>
        <v/>
      </c>
      <c r="N1935" s="7">
        <f>IFERROR($M1935/INDEX('DETALLE CRONOLÓGICO'!$K$2:$K$4919,MATCH($A1935,'DETALLE CRONOLÓGICO'!$A$2:$A$4919,0))-1,"")</f>
        <v/>
      </c>
      <c r="O1935" s="6">
        <f>IFERROR($I1935*3,"")</f>
        <v/>
      </c>
      <c r="P1935" s="6">
        <f>IFERROR($I1935*3.5,"")</f>
        <v/>
      </c>
      <c r="Q1935" s="6">
        <f>IFERROR($I1935*4,"")</f>
        <v/>
      </c>
      <c r="R1935" s="6" t="n">
        <v>450</v>
      </c>
      <c r="S1935" s="4" t="n">
        <v>2</v>
      </c>
      <c r="T1935" s="1" t="inlineStr">
        <is>
          <t>active</t>
        </is>
      </c>
      <c r="U1935" s="8" t="n"/>
      <c r="V1935" s="1" t="inlineStr">
        <is>
          <t>SIN PRECIO</t>
        </is>
      </c>
    </row>
    <row r="1936">
      <c r="A1936" s="1" t="inlineStr">
        <is>
          <t>82224433136653</t>
        </is>
      </c>
      <c r="B1936" s="1" t="inlineStr">
        <is>
          <t>PULSERA CLAVO ROSEGOLD</t>
        </is>
      </c>
      <c r="C1936" s="1" t="inlineStr">
        <is>
          <t>17 cm</t>
        </is>
      </c>
      <c r="D1936" s="1" t="inlineStr">
        <is>
          <t>HAIFENG / NANCY</t>
        </is>
      </c>
      <c r="E1936" s="4">
        <f>COUNTIF('DETALLE CRONOLÓGICO'!$A$2:$A$4919,$A1936)</f>
        <v/>
      </c>
      <c r="F1936" s="4">
        <f>SUMIFS('DETALLE CRONOLÓGICO'!$I$2:$I$4919,'DETALLE CRONOLÓGICO'!$A$2:$A$4919,$A1936)</f>
        <v/>
      </c>
      <c r="G1936" s="1">
        <f>INDEX('DETALLE CRONOLÓGICO'!$D$2:$D$4919,MATCH($A1936,'DETALLE CRONOLÓGICO'!$A$2:$A$4919,0))</f>
        <v/>
      </c>
      <c r="H1936" s="1">
        <f>INDEX('DETALLE CRONOLÓGICO'!$D$2:$D$4919,MATCH($A1936,'DETALLE CRONOLÓGICO'!$A$2:$A$4919,0)+$E1936-1)</f>
        <v/>
      </c>
      <c r="I1936" s="5">
        <f>IFERROR(SUMIFS('DETALLE CRONOLÓGICO'!$L$2:$L$4919,'DETALLE CRONOLÓGICO'!$A$2:$A$4919,$A1936)/$F1936,"")</f>
        <v/>
      </c>
      <c r="J1936" s="6">
        <f>IFERROR(SUMIFS('DETALLE CRONOLÓGICO'!$K$2:$K$4919,'DETALLE CRONOLÓGICO'!$A$2:$A$4919,$A1936)/$E1936,"")</f>
        <v/>
      </c>
      <c r="K1936" s="6">
        <f>_xlfn.MINIFS('DETALLE CRONOLÓGICO'!$K$2:$K$4919,'DETALLE CRONOLÓGICO'!$A$2:$A$4919,$A1936)</f>
        <v/>
      </c>
      <c r="L1936" s="6">
        <f>_xlfn.MAXIFS('DETALLE CRONOLÓGICO'!$K$2:$K$4919,'DETALLE CRONOLÓGICO'!$A$2:$A$4919,$A1936)</f>
        <v/>
      </c>
      <c r="M1936" s="6">
        <f>INDEX('DETALLE CRONOLÓGICO'!$K$2:$K$4919,MATCH($A1936,'DETALLE CRONOLÓGICO'!$A$2:$A$4919,0)+$E1936-1)</f>
        <v/>
      </c>
      <c r="N1936" s="7">
        <f>IFERROR($M1936/INDEX('DETALLE CRONOLÓGICO'!$K$2:$K$4919,MATCH($A1936,'DETALLE CRONOLÓGICO'!$A$2:$A$4919,0))-1,"")</f>
        <v/>
      </c>
      <c r="O1936" s="6">
        <f>IFERROR($I1936*3,"")</f>
        <v/>
      </c>
      <c r="P1936" s="6">
        <f>IFERROR($I1936*3.5,"")</f>
        <v/>
      </c>
      <c r="Q1936" s="6">
        <f>IFERROR($I1936*4,"")</f>
        <v/>
      </c>
      <c r="R1936" s="6" t="n">
        <v>450</v>
      </c>
      <c r="S1936" s="4" t="n">
        <v>1</v>
      </c>
      <c r="T1936" s="1" t="inlineStr">
        <is>
          <t>active</t>
        </is>
      </c>
      <c r="U1936" s="8" t="n"/>
      <c r="V1936" s="1" t="inlineStr">
        <is>
          <t>SIN PRECIO</t>
        </is>
      </c>
    </row>
    <row r="1937">
      <c r="A1937" s="1" t="inlineStr">
        <is>
          <t>82224433269421</t>
        </is>
      </c>
      <c r="B1937" s="1" t="inlineStr">
        <is>
          <t>PULSERA CLAVO ROSEGOLD</t>
        </is>
      </c>
      <c r="C1937" s="1" t="inlineStr">
        <is>
          <t>19 cm</t>
        </is>
      </c>
      <c r="D1937" s="1" t="inlineStr">
        <is>
          <t>NANCY</t>
        </is>
      </c>
      <c r="E1937" s="4">
        <f>COUNTIF('DETALLE CRONOLÓGICO'!$A$2:$A$4919,$A1937)</f>
        <v/>
      </c>
      <c r="F1937" s="4">
        <f>SUMIFS('DETALLE CRONOLÓGICO'!$I$2:$I$4919,'DETALLE CRONOLÓGICO'!$A$2:$A$4919,$A1937)</f>
        <v/>
      </c>
      <c r="G1937" s="1">
        <f>INDEX('DETALLE CRONOLÓGICO'!$D$2:$D$4919,MATCH($A1937,'DETALLE CRONOLÓGICO'!$A$2:$A$4919,0))</f>
        <v/>
      </c>
      <c r="H1937" s="1">
        <f>INDEX('DETALLE CRONOLÓGICO'!$D$2:$D$4919,MATCH($A1937,'DETALLE CRONOLÓGICO'!$A$2:$A$4919,0)+$E1937-1)</f>
        <v/>
      </c>
      <c r="I1937" s="5">
        <f>IFERROR(SUMIFS('DETALLE CRONOLÓGICO'!$L$2:$L$4919,'DETALLE CRONOLÓGICO'!$A$2:$A$4919,$A1937)/$F1937,"")</f>
        <v/>
      </c>
      <c r="J1937" s="6">
        <f>IFERROR(SUMIFS('DETALLE CRONOLÓGICO'!$K$2:$K$4919,'DETALLE CRONOLÓGICO'!$A$2:$A$4919,$A1937)/$E1937,"")</f>
        <v/>
      </c>
      <c r="K1937" s="6">
        <f>_xlfn.MINIFS('DETALLE CRONOLÓGICO'!$K$2:$K$4919,'DETALLE CRONOLÓGICO'!$A$2:$A$4919,$A1937)</f>
        <v/>
      </c>
      <c r="L1937" s="6">
        <f>_xlfn.MAXIFS('DETALLE CRONOLÓGICO'!$K$2:$K$4919,'DETALLE CRONOLÓGICO'!$A$2:$A$4919,$A1937)</f>
        <v/>
      </c>
      <c r="M1937" s="6">
        <f>INDEX('DETALLE CRONOLÓGICO'!$K$2:$K$4919,MATCH($A1937,'DETALLE CRONOLÓGICO'!$A$2:$A$4919,0)+$E1937-1)</f>
        <v/>
      </c>
      <c r="N1937" s="7">
        <f>IFERROR($M1937/INDEX('DETALLE CRONOLÓGICO'!$K$2:$K$4919,MATCH($A1937,'DETALLE CRONOLÓGICO'!$A$2:$A$4919,0))-1,"")</f>
        <v/>
      </c>
      <c r="O1937" s="6">
        <f>IFERROR($I1937*3,"")</f>
        <v/>
      </c>
      <c r="P1937" s="6">
        <f>IFERROR($I1937*3.5,"")</f>
        <v/>
      </c>
      <c r="Q1937" s="6">
        <f>IFERROR($I1937*4,"")</f>
        <v/>
      </c>
      <c r="R1937" s="6" t="n">
        <v>450</v>
      </c>
      <c r="S1937" s="4" t="n">
        <v>6</v>
      </c>
      <c r="T1937" s="1" t="inlineStr">
        <is>
          <t>active</t>
        </is>
      </c>
      <c r="U1937" s="8" t="n"/>
      <c r="V1937" s="1" t="inlineStr">
        <is>
          <t>SIN PRECIO</t>
        </is>
      </c>
    </row>
    <row r="1938">
      <c r="A1938" s="1" t="inlineStr">
        <is>
          <t>82224433400493</t>
        </is>
      </c>
      <c r="B1938" s="1" t="inlineStr">
        <is>
          <t>ANILLO LOVE CON ZIRCONIA GOLD</t>
        </is>
      </c>
      <c r="C1938" s="1" t="inlineStr">
        <is>
          <t>5</t>
        </is>
      </c>
      <c r="D1938" s="1" t="inlineStr">
        <is>
          <t>HAIFENG</t>
        </is>
      </c>
      <c r="E1938" s="4">
        <f>COUNTIF('DETALLE CRONOLÓGICO'!$A$2:$A$4919,$A1938)</f>
        <v/>
      </c>
      <c r="F1938" s="4">
        <f>SUMIFS('DETALLE CRONOLÓGICO'!$I$2:$I$4919,'DETALLE CRONOLÓGICO'!$A$2:$A$4919,$A1938)</f>
        <v/>
      </c>
      <c r="G1938" s="1">
        <f>INDEX('DETALLE CRONOLÓGICO'!$D$2:$D$4919,MATCH($A1938,'DETALLE CRONOLÓGICO'!$A$2:$A$4919,0))</f>
        <v/>
      </c>
      <c r="H1938" s="1">
        <f>INDEX('DETALLE CRONOLÓGICO'!$D$2:$D$4919,MATCH($A1938,'DETALLE CRONOLÓGICO'!$A$2:$A$4919,0)+$E1938-1)</f>
        <v/>
      </c>
      <c r="I1938" s="5">
        <f>IFERROR(SUMIFS('DETALLE CRONOLÓGICO'!$L$2:$L$4919,'DETALLE CRONOLÓGICO'!$A$2:$A$4919,$A1938)/$F1938,"")</f>
        <v/>
      </c>
      <c r="J1938" s="6">
        <f>IFERROR(SUMIFS('DETALLE CRONOLÓGICO'!$K$2:$K$4919,'DETALLE CRONOLÓGICO'!$A$2:$A$4919,$A1938)/$E1938,"")</f>
        <v/>
      </c>
      <c r="K1938" s="6">
        <f>_xlfn.MINIFS('DETALLE CRONOLÓGICO'!$K$2:$K$4919,'DETALLE CRONOLÓGICO'!$A$2:$A$4919,$A1938)</f>
        <v/>
      </c>
      <c r="L1938" s="6">
        <f>_xlfn.MAXIFS('DETALLE CRONOLÓGICO'!$K$2:$K$4919,'DETALLE CRONOLÓGICO'!$A$2:$A$4919,$A1938)</f>
        <v/>
      </c>
      <c r="M1938" s="6">
        <f>INDEX('DETALLE CRONOLÓGICO'!$K$2:$K$4919,MATCH($A1938,'DETALLE CRONOLÓGICO'!$A$2:$A$4919,0)+$E1938-1)</f>
        <v/>
      </c>
      <c r="N1938" s="7">
        <f>IFERROR($M1938/INDEX('DETALLE CRONOLÓGICO'!$K$2:$K$4919,MATCH($A1938,'DETALLE CRONOLÓGICO'!$A$2:$A$4919,0))-1,"")</f>
        <v/>
      </c>
      <c r="O1938" s="6">
        <f>IFERROR($I1938*3,"")</f>
        <v/>
      </c>
      <c r="P1938" s="6">
        <f>IFERROR($I1938*3.5,"")</f>
        <v/>
      </c>
      <c r="Q1938" s="6">
        <f>IFERROR($I1938*4,"")</f>
        <v/>
      </c>
      <c r="R1938" s="6" t="n">
        <v>450</v>
      </c>
      <c r="S1938" s="4" t="n">
        <v>8</v>
      </c>
      <c r="T1938" s="1" t="inlineStr">
        <is>
          <t>active</t>
        </is>
      </c>
      <c r="U1938" s="8" t="n"/>
      <c r="V1938" s="1" t="inlineStr">
        <is>
          <t>SIN PRECIO</t>
        </is>
      </c>
    </row>
    <row r="1939">
      <c r="A1939" s="1" t="inlineStr">
        <is>
          <t>82224433533261</t>
        </is>
      </c>
      <c r="B1939" s="1" t="inlineStr">
        <is>
          <t>ANILLO LOVE CON ZIRCONIA GOLD</t>
        </is>
      </c>
      <c r="C1939" s="1" t="inlineStr">
        <is>
          <t>6</t>
        </is>
      </c>
      <c r="D1939" s="1" t="inlineStr">
        <is>
          <t>HAIFENG</t>
        </is>
      </c>
      <c r="E1939" s="4">
        <f>COUNTIF('DETALLE CRONOLÓGICO'!$A$2:$A$4919,$A1939)</f>
        <v/>
      </c>
      <c r="F1939" s="4">
        <f>SUMIFS('DETALLE CRONOLÓGICO'!$I$2:$I$4919,'DETALLE CRONOLÓGICO'!$A$2:$A$4919,$A1939)</f>
        <v/>
      </c>
      <c r="G1939" s="1">
        <f>INDEX('DETALLE CRONOLÓGICO'!$D$2:$D$4919,MATCH($A1939,'DETALLE CRONOLÓGICO'!$A$2:$A$4919,0))</f>
        <v/>
      </c>
      <c r="H1939" s="1">
        <f>INDEX('DETALLE CRONOLÓGICO'!$D$2:$D$4919,MATCH($A1939,'DETALLE CRONOLÓGICO'!$A$2:$A$4919,0)+$E1939-1)</f>
        <v/>
      </c>
      <c r="I1939" s="5">
        <f>IFERROR(SUMIFS('DETALLE CRONOLÓGICO'!$L$2:$L$4919,'DETALLE CRONOLÓGICO'!$A$2:$A$4919,$A1939)/$F1939,"")</f>
        <v/>
      </c>
      <c r="J1939" s="6">
        <f>IFERROR(SUMIFS('DETALLE CRONOLÓGICO'!$K$2:$K$4919,'DETALLE CRONOLÓGICO'!$A$2:$A$4919,$A1939)/$E1939,"")</f>
        <v/>
      </c>
      <c r="K1939" s="6">
        <f>_xlfn.MINIFS('DETALLE CRONOLÓGICO'!$K$2:$K$4919,'DETALLE CRONOLÓGICO'!$A$2:$A$4919,$A1939)</f>
        <v/>
      </c>
      <c r="L1939" s="6">
        <f>_xlfn.MAXIFS('DETALLE CRONOLÓGICO'!$K$2:$K$4919,'DETALLE CRONOLÓGICO'!$A$2:$A$4919,$A1939)</f>
        <v/>
      </c>
      <c r="M1939" s="6">
        <f>INDEX('DETALLE CRONOLÓGICO'!$K$2:$K$4919,MATCH($A1939,'DETALLE CRONOLÓGICO'!$A$2:$A$4919,0)+$E1939-1)</f>
        <v/>
      </c>
      <c r="N1939" s="7">
        <f>IFERROR($M1939/INDEX('DETALLE CRONOLÓGICO'!$K$2:$K$4919,MATCH($A1939,'DETALLE CRONOLÓGICO'!$A$2:$A$4919,0))-1,"")</f>
        <v/>
      </c>
      <c r="O1939" s="6">
        <f>IFERROR($I1939*3,"")</f>
        <v/>
      </c>
      <c r="P1939" s="6">
        <f>IFERROR($I1939*3.5,"")</f>
        <v/>
      </c>
      <c r="Q1939" s="6">
        <f>IFERROR($I1939*4,"")</f>
        <v/>
      </c>
      <c r="R1939" s="6" t="n">
        <v>450</v>
      </c>
      <c r="S1939" s="4" t="n">
        <v>4</v>
      </c>
      <c r="T1939" s="1" t="inlineStr">
        <is>
          <t>active</t>
        </is>
      </c>
      <c r="U1939" s="8" t="n"/>
      <c r="V1939" s="1" t="inlineStr">
        <is>
          <t>SIN PRECIO</t>
        </is>
      </c>
    </row>
    <row r="1940">
      <c r="A1940" s="1" t="inlineStr">
        <is>
          <t>82224433666029</t>
        </is>
      </c>
      <c r="B1940" s="1" t="inlineStr">
        <is>
          <t>ANILLO LOVE CON ZIRCONIA GOLD</t>
        </is>
      </c>
      <c r="C1940" s="1" t="inlineStr">
        <is>
          <t>7</t>
        </is>
      </c>
      <c r="D1940" s="1" t="inlineStr">
        <is>
          <t>HAIFENG</t>
        </is>
      </c>
      <c r="E1940" s="4">
        <f>COUNTIF('DETALLE CRONOLÓGICO'!$A$2:$A$4919,$A1940)</f>
        <v/>
      </c>
      <c r="F1940" s="4">
        <f>SUMIFS('DETALLE CRONOLÓGICO'!$I$2:$I$4919,'DETALLE CRONOLÓGICO'!$A$2:$A$4919,$A1940)</f>
        <v/>
      </c>
      <c r="G1940" s="1">
        <f>INDEX('DETALLE CRONOLÓGICO'!$D$2:$D$4919,MATCH($A1940,'DETALLE CRONOLÓGICO'!$A$2:$A$4919,0))</f>
        <v/>
      </c>
      <c r="H1940" s="1">
        <f>INDEX('DETALLE CRONOLÓGICO'!$D$2:$D$4919,MATCH($A1940,'DETALLE CRONOLÓGICO'!$A$2:$A$4919,0)+$E1940-1)</f>
        <v/>
      </c>
      <c r="I1940" s="5">
        <f>IFERROR(SUMIFS('DETALLE CRONOLÓGICO'!$L$2:$L$4919,'DETALLE CRONOLÓGICO'!$A$2:$A$4919,$A1940)/$F1940,"")</f>
        <v/>
      </c>
      <c r="J1940" s="6">
        <f>IFERROR(SUMIFS('DETALLE CRONOLÓGICO'!$K$2:$K$4919,'DETALLE CRONOLÓGICO'!$A$2:$A$4919,$A1940)/$E1940,"")</f>
        <v/>
      </c>
      <c r="K1940" s="6">
        <f>_xlfn.MINIFS('DETALLE CRONOLÓGICO'!$K$2:$K$4919,'DETALLE CRONOLÓGICO'!$A$2:$A$4919,$A1940)</f>
        <v/>
      </c>
      <c r="L1940" s="6">
        <f>_xlfn.MAXIFS('DETALLE CRONOLÓGICO'!$K$2:$K$4919,'DETALLE CRONOLÓGICO'!$A$2:$A$4919,$A1940)</f>
        <v/>
      </c>
      <c r="M1940" s="6">
        <f>INDEX('DETALLE CRONOLÓGICO'!$K$2:$K$4919,MATCH($A1940,'DETALLE CRONOLÓGICO'!$A$2:$A$4919,0)+$E1940-1)</f>
        <v/>
      </c>
      <c r="N1940" s="7">
        <f>IFERROR($M1940/INDEX('DETALLE CRONOLÓGICO'!$K$2:$K$4919,MATCH($A1940,'DETALLE CRONOLÓGICO'!$A$2:$A$4919,0))-1,"")</f>
        <v/>
      </c>
      <c r="O1940" s="6">
        <f>IFERROR($I1940*3,"")</f>
        <v/>
      </c>
      <c r="P1940" s="6">
        <f>IFERROR($I1940*3.5,"")</f>
        <v/>
      </c>
      <c r="Q1940" s="6">
        <f>IFERROR($I1940*4,"")</f>
        <v/>
      </c>
      <c r="R1940" s="6" t="n">
        <v>450</v>
      </c>
      <c r="S1940" s="4" t="n">
        <v>9</v>
      </c>
      <c r="T1940" s="1" t="inlineStr">
        <is>
          <t>active</t>
        </is>
      </c>
      <c r="U1940" s="8" t="n"/>
      <c r="V1940" s="1" t="inlineStr">
        <is>
          <t>SIN PRECIO</t>
        </is>
      </c>
    </row>
    <row r="1941">
      <c r="A1941" s="1" t="inlineStr">
        <is>
          <t>82224433798797</t>
        </is>
      </c>
      <c r="B1941" s="1" t="inlineStr">
        <is>
          <t>ANILLO LOVE CON ZIRCONIA GOLD</t>
        </is>
      </c>
      <c r="C1941" s="1" t="inlineStr">
        <is>
          <t>8</t>
        </is>
      </c>
      <c r="D1941" s="1" t="inlineStr">
        <is>
          <t>HAIFENG</t>
        </is>
      </c>
      <c r="E1941" s="4">
        <f>COUNTIF('DETALLE CRONOLÓGICO'!$A$2:$A$4919,$A1941)</f>
        <v/>
      </c>
      <c r="F1941" s="4">
        <f>SUMIFS('DETALLE CRONOLÓGICO'!$I$2:$I$4919,'DETALLE CRONOLÓGICO'!$A$2:$A$4919,$A1941)</f>
        <v/>
      </c>
      <c r="G1941" s="1">
        <f>INDEX('DETALLE CRONOLÓGICO'!$D$2:$D$4919,MATCH($A1941,'DETALLE CRONOLÓGICO'!$A$2:$A$4919,0))</f>
        <v/>
      </c>
      <c r="H1941" s="1">
        <f>INDEX('DETALLE CRONOLÓGICO'!$D$2:$D$4919,MATCH($A1941,'DETALLE CRONOLÓGICO'!$A$2:$A$4919,0)+$E1941-1)</f>
        <v/>
      </c>
      <c r="I1941" s="5">
        <f>IFERROR(SUMIFS('DETALLE CRONOLÓGICO'!$L$2:$L$4919,'DETALLE CRONOLÓGICO'!$A$2:$A$4919,$A1941)/$F1941,"")</f>
        <v/>
      </c>
      <c r="J1941" s="6">
        <f>IFERROR(SUMIFS('DETALLE CRONOLÓGICO'!$K$2:$K$4919,'DETALLE CRONOLÓGICO'!$A$2:$A$4919,$A1941)/$E1941,"")</f>
        <v/>
      </c>
      <c r="K1941" s="6">
        <f>_xlfn.MINIFS('DETALLE CRONOLÓGICO'!$K$2:$K$4919,'DETALLE CRONOLÓGICO'!$A$2:$A$4919,$A1941)</f>
        <v/>
      </c>
      <c r="L1941" s="6">
        <f>_xlfn.MAXIFS('DETALLE CRONOLÓGICO'!$K$2:$K$4919,'DETALLE CRONOLÓGICO'!$A$2:$A$4919,$A1941)</f>
        <v/>
      </c>
      <c r="M1941" s="6">
        <f>INDEX('DETALLE CRONOLÓGICO'!$K$2:$K$4919,MATCH($A1941,'DETALLE CRONOLÓGICO'!$A$2:$A$4919,0)+$E1941-1)</f>
        <v/>
      </c>
      <c r="N1941" s="7">
        <f>IFERROR($M1941/INDEX('DETALLE CRONOLÓGICO'!$K$2:$K$4919,MATCH($A1941,'DETALLE CRONOLÓGICO'!$A$2:$A$4919,0))-1,"")</f>
        <v/>
      </c>
      <c r="O1941" s="6">
        <f>IFERROR($I1941*3,"")</f>
        <v/>
      </c>
      <c r="P1941" s="6">
        <f>IFERROR($I1941*3.5,"")</f>
        <v/>
      </c>
      <c r="Q1941" s="6">
        <f>IFERROR($I1941*4,"")</f>
        <v/>
      </c>
      <c r="R1941" s="6" t="n">
        <v>450</v>
      </c>
      <c r="S1941" s="4" t="n">
        <v>5</v>
      </c>
      <c r="T1941" s="1" t="inlineStr">
        <is>
          <t>active</t>
        </is>
      </c>
      <c r="U1941" s="8" t="n"/>
      <c r="V1941" s="1" t="inlineStr">
        <is>
          <t>SIN PRECIO</t>
        </is>
      </c>
    </row>
    <row r="1942">
      <c r="A1942" s="1" t="inlineStr">
        <is>
          <t>82224433831565</t>
        </is>
      </c>
      <c r="B1942" s="1" t="inlineStr">
        <is>
          <t>ANILLO LOVE CON ZIRCONIA GOLD</t>
        </is>
      </c>
      <c r="C1942" s="1" t="inlineStr">
        <is>
          <t>9</t>
        </is>
      </c>
      <c r="D1942" s="1" t="inlineStr">
        <is>
          <t>HAIFENG</t>
        </is>
      </c>
      <c r="E1942" s="4">
        <f>COUNTIF('DETALLE CRONOLÓGICO'!$A$2:$A$4919,$A1942)</f>
        <v/>
      </c>
      <c r="F1942" s="4">
        <f>SUMIFS('DETALLE CRONOLÓGICO'!$I$2:$I$4919,'DETALLE CRONOLÓGICO'!$A$2:$A$4919,$A1942)</f>
        <v/>
      </c>
      <c r="G1942" s="1">
        <f>INDEX('DETALLE CRONOLÓGICO'!$D$2:$D$4919,MATCH($A1942,'DETALLE CRONOLÓGICO'!$A$2:$A$4919,0))</f>
        <v/>
      </c>
      <c r="H1942" s="1">
        <f>INDEX('DETALLE CRONOLÓGICO'!$D$2:$D$4919,MATCH($A1942,'DETALLE CRONOLÓGICO'!$A$2:$A$4919,0)+$E1942-1)</f>
        <v/>
      </c>
      <c r="I1942" s="5">
        <f>IFERROR(SUMIFS('DETALLE CRONOLÓGICO'!$L$2:$L$4919,'DETALLE CRONOLÓGICO'!$A$2:$A$4919,$A1942)/$F1942,"")</f>
        <v/>
      </c>
      <c r="J1942" s="6">
        <f>IFERROR(SUMIFS('DETALLE CRONOLÓGICO'!$K$2:$K$4919,'DETALLE CRONOLÓGICO'!$A$2:$A$4919,$A1942)/$E1942,"")</f>
        <v/>
      </c>
      <c r="K1942" s="6">
        <f>_xlfn.MINIFS('DETALLE CRONOLÓGICO'!$K$2:$K$4919,'DETALLE CRONOLÓGICO'!$A$2:$A$4919,$A1942)</f>
        <v/>
      </c>
      <c r="L1942" s="6">
        <f>_xlfn.MAXIFS('DETALLE CRONOLÓGICO'!$K$2:$K$4919,'DETALLE CRONOLÓGICO'!$A$2:$A$4919,$A1942)</f>
        <v/>
      </c>
      <c r="M1942" s="6">
        <f>INDEX('DETALLE CRONOLÓGICO'!$K$2:$K$4919,MATCH($A1942,'DETALLE CRONOLÓGICO'!$A$2:$A$4919,0)+$E1942-1)</f>
        <v/>
      </c>
      <c r="N1942" s="7">
        <f>IFERROR($M1942/INDEX('DETALLE CRONOLÓGICO'!$K$2:$K$4919,MATCH($A1942,'DETALLE CRONOLÓGICO'!$A$2:$A$4919,0))-1,"")</f>
        <v/>
      </c>
      <c r="O1942" s="6">
        <f>IFERROR($I1942*3,"")</f>
        <v/>
      </c>
      <c r="P1942" s="6">
        <f>IFERROR($I1942*3.5,"")</f>
        <v/>
      </c>
      <c r="Q1942" s="6">
        <f>IFERROR($I1942*4,"")</f>
        <v/>
      </c>
      <c r="R1942" s="6" t="n">
        <v>450</v>
      </c>
      <c r="S1942" s="4" t="n">
        <v>5</v>
      </c>
      <c r="T1942" s="1" t="inlineStr">
        <is>
          <t>active</t>
        </is>
      </c>
      <c r="U1942" s="8" t="n"/>
      <c r="V1942" s="1" t="inlineStr">
        <is>
          <t>SIN PRECIO</t>
        </is>
      </c>
    </row>
    <row r="1943">
      <c r="A1943" s="1" t="inlineStr">
        <is>
          <t>82224433964333</t>
        </is>
      </c>
      <c r="B1943" s="1" t="inlineStr">
        <is>
          <t>ANILLO LOVE CON ZIRCONIA GOLD</t>
        </is>
      </c>
      <c r="C1943" s="1" t="inlineStr">
        <is>
          <t>10</t>
        </is>
      </c>
      <c r="D1943" s="1" t="inlineStr">
        <is>
          <t>HAIFENG</t>
        </is>
      </c>
      <c r="E1943" s="4">
        <f>COUNTIF('DETALLE CRONOLÓGICO'!$A$2:$A$4919,$A1943)</f>
        <v/>
      </c>
      <c r="F1943" s="4">
        <f>SUMIFS('DETALLE CRONOLÓGICO'!$I$2:$I$4919,'DETALLE CRONOLÓGICO'!$A$2:$A$4919,$A1943)</f>
        <v/>
      </c>
      <c r="G1943" s="1">
        <f>INDEX('DETALLE CRONOLÓGICO'!$D$2:$D$4919,MATCH($A1943,'DETALLE CRONOLÓGICO'!$A$2:$A$4919,0))</f>
        <v/>
      </c>
      <c r="H1943" s="1">
        <f>INDEX('DETALLE CRONOLÓGICO'!$D$2:$D$4919,MATCH($A1943,'DETALLE CRONOLÓGICO'!$A$2:$A$4919,0)+$E1943-1)</f>
        <v/>
      </c>
      <c r="I1943" s="5">
        <f>IFERROR(SUMIFS('DETALLE CRONOLÓGICO'!$L$2:$L$4919,'DETALLE CRONOLÓGICO'!$A$2:$A$4919,$A1943)/$F1943,"")</f>
        <v/>
      </c>
      <c r="J1943" s="6">
        <f>IFERROR(SUMIFS('DETALLE CRONOLÓGICO'!$K$2:$K$4919,'DETALLE CRONOLÓGICO'!$A$2:$A$4919,$A1943)/$E1943,"")</f>
        <v/>
      </c>
      <c r="K1943" s="6">
        <f>_xlfn.MINIFS('DETALLE CRONOLÓGICO'!$K$2:$K$4919,'DETALLE CRONOLÓGICO'!$A$2:$A$4919,$A1943)</f>
        <v/>
      </c>
      <c r="L1943" s="6">
        <f>_xlfn.MAXIFS('DETALLE CRONOLÓGICO'!$K$2:$K$4919,'DETALLE CRONOLÓGICO'!$A$2:$A$4919,$A1943)</f>
        <v/>
      </c>
      <c r="M1943" s="6">
        <f>INDEX('DETALLE CRONOLÓGICO'!$K$2:$K$4919,MATCH($A1943,'DETALLE CRONOLÓGICO'!$A$2:$A$4919,0)+$E1943-1)</f>
        <v/>
      </c>
      <c r="N1943" s="7">
        <f>IFERROR($M1943/INDEX('DETALLE CRONOLÓGICO'!$K$2:$K$4919,MATCH($A1943,'DETALLE CRONOLÓGICO'!$A$2:$A$4919,0))-1,"")</f>
        <v/>
      </c>
      <c r="O1943" s="6">
        <f>IFERROR($I1943*3,"")</f>
        <v/>
      </c>
      <c r="P1943" s="6">
        <f>IFERROR($I1943*3.5,"")</f>
        <v/>
      </c>
      <c r="Q1943" s="6">
        <f>IFERROR($I1943*4,"")</f>
        <v/>
      </c>
      <c r="R1943" s="6" t="n">
        <v>450</v>
      </c>
      <c r="S1943" s="4" t="n">
        <v>4</v>
      </c>
      <c r="T1943" s="1" t="inlineStr">
        <is>
          <t>active</t>
        </is>
      </c>
      <c r="U1943" s="8" t="n"/>
      <c r="V1943" s="1" t="inlineStr">
        <is>
          <t>SIN PRECIO</t>
        </is>
      </c>
    </row>
    <row r="1944">
      <c r="A1944" s="1" t="inlineStr">
        <is>
          <t>82224434159245</t>
        </is>
      </c>
      <c r="B1944" s="1" t="inlineStr">
        <is>
          <t>ANILLO LOVE CON ZIRCONIA ROSEGOLD</t>
        </is>
      </c>
      <c r="C1944" s="1" t="inlineStr">
        <is>
          <t>6</t>
        </is>
      </c>
      <c r="D1944" s="1" t="inlineStr">
        <is>
          <t>HAIFENG</t>
        </is>
      </c>
      <c r="E1944" s="4">
        <f>COUNTIF('DETALLE CRONOLÓGICO'!$A$2:$A$4919,$A1944)</f>
        <v/>
      </c>
      <c r="F1944" s="4">
        <f>SUMIFS('DETALLE CRONOLÓGICO'!$I$2:$I$4919,'DETALLE CRONOLÓGICO'!$A$2:$A$4919,$A1944)</f>
        <v/>
      </c>
      <c r="G1944" s="1">
        <f>INDEX('DETALLE CRONOLÓGICO'!$D$2:$D$4919,MATCH($A1944,'DETALLE CRONOLÓGICO'!$A$2:$A$4919,0))</f>
        <v/>
      </c>
      <c r="H1944" s="1">
        <f>INDEX('DETALLE CRONOLÓGICO'!$D$2:$D$4919,MATCH($A1944,'DETALLE CRONOLÓGICO'!$A$2:$A$4919,0)+$E1944-1)</f>
        <v/>
      </c>
      <c r="I1944" s="5">
        <f>IFERROR(SUMIFS('DETALLE CRONOLÓGICO'!$L$2:$L$4919,'DETALLE CRONOLÓGICO'!$A$2:$A$4919,$A1944)/$F1944,"")</f>
        <v/>
      </c>
      <c r="J1944" s="6">
        <f>IFERROR(SUMIFS('DETALLE CRONOLÓGICO'!$K$2:$K$4919,'DETALLE CRONOLÓGICO'!$A$2:$A$4919,$A1944)/$E1944,"")</f>
        <v/>
      </c>
      <c r="K1944" s="6">
        <f>_xlfn.MINIFS('DETALLE CRONOLÓGICO'!$K$2:$K$4919,'DETALLE CRONOLÓGICO'!$A$2:$A$4919,$A1944)</f>
        <v/>
      </c>
      <c r="L1944" s="6">
        <f>_xlfn.MAXIFS('DETALLE CRONOLÓGICO'!$K$2:$K$4919,'DETALLE CRONOLÓGICO'!$A$2:$A$4919,$A1944)</f>
        <v/>
      </c>
      <c r="M1944" s="6">
        <f>INDEX('DETALLE CRONOLÓGICO'!$K$2:$K$4919,MATCH($A1944,'DETALLE CRONOLÓGICO'!$A$2:$A$4919,0)+$E1944-1)</f>
        <v/>
      </c>
      <c r="N1944" s="7">
        <f>IFERROR($M1944/INDEX('DETALLE CRONOLÓGICO'!$K$2:$K$4919,MATCH($A1944,'DETALLE CRONOLÓGICO'!$A$2:$A$4919,0))-1,"")</f>
        <v/>
      </c>
      <c r="O1944" s="6">
        <f>IFERROR($I1944*3,"")</f>
        <v/>
      </c>
      <c r="P1944" s="6">
        <f>IFERROR($I1944*3.5,"")</f>
        <v/>
      </c>
      <c r="Q1944" s="6">
        <f>IFERROR($I1944*4,"")</f>
        <v/>
      </c>
      <c r="R1944" s="6" t="n">
        <v>292</v>
      </c>
      <c r="S1944" s="4" t="n">
        <v>3</v>
      </c>
      <c r="T1944" s="1" t="inlineStr">
        <is>
          <t>active</t>
        </is>
      </c>
      <c r="U1944" s="8" t="n"/>
      <c r="V1944" s="1" t="inlineStr">
        <is>
          <t>SIN PRECIO</t>
        </is>
      </c>
    </row>
    <row r="1945">
      <c r="A1945" s="1" t="inlineStr">
        <is>
          <t>82224434292013</t>
        </is>
      </c>
      <c r="B1945" s="1" t="inlineStr">
        <is>
          <t>ANILLO LOVE CON ZIRCONIA ROSE GOLD</t>
        </is>
      </c>
      <c r="C1945" s="1" t="inlineStr">
        <is>
          <t>7</t>
        </is>
      </c>
      <c r="D1945" s="1" t="inlineStr">
        <is>
          <t>HAIFENG</t>
        </is>
      </c>
      <c r="E1945" s="4">
        <f>COUNTIF('DETALLE CRONOLÓGICO'!$A$2:$A$4919,$A1945)</f>
        <v/>
      </c>
      <c r="F1945" s="4">
        <f>SUMIFS('DETALLE CRONOLÓGICO'!$I$2:$I$4919,'DETALLE CRONOLÓGICO'!$A$2:$A$4919,$A1945)</f>
        <v/>
      </c>
      <c r="G1945" s="1">
        <f>INDEX('DETALLE CRONOLÓGICO'!$D$2:$D$4919,MATCH($A1945,'DETALLE CRONOLÓGICO'!$A$2:$A$4919,0))</f>
        <v/>
      </c>
      <c r="H1945" s="1">
        <f>INDEX('DETALLE CRONOLÓGICO'!$D$2:$D$4919,MATCH($A1945,'DETALLE CRONOLÓGICO'!$A$2:$A$4919,0)+$E1945-1)</f>
        <v/>
      </c>
      <c r="I1945" s="5">
        <f>IFERROR(SUMIFS('DETALLE CRONOLÓGICO'!$L$2:$L$4919,'DETALLE CRONOLÓGICO'!$A$2:$A$4919,$A1945)/$F1945,"")</f>
        <v/>
      </c>
      <c r="J1945" s="6">
        <f>IFERROR(SUMIFS('DETALLE CRONOLÓGICO'!$K$2:$K$4919,'DETALLE CRONOLÓGICO'!$A$2:$A$4919,$A1945)/$E1945,"")</f>
        <v/>
      </c>
      <c r="K1945" s="6">
        <f>_xlfn.MINIFS('DETALLE CRONOLÓGICO'!$K$2:$K$4919,'DETALLE CRONOLÓGICO'!$A$2:$A$4919,$A1945)</f>
        <v/>
      </c>
      <c r="L1945" s="6">
        <f>_xlfn.MAXIFS('DETALLE CRONOLÓGICO'!$K$2:$K$4919,'DETALLE CRONOLÓGICO'!$A$2:$A$4919,$A1945)</f>
        <v/>
      </c>
      <c r="M1945" s="6">
        <f>INDEX('DETALLE CRONOLÓGICO'!$K$2:$K$4919,MATCH($A1945,'DETALLE CRONOLÓGICO'!$A$2:$A$4919,0)+$E1945-1)</f>
        <v/>
      </c>
      <c r="N1945" s="7">
        <f>IFERROR($M1945/INDEX('DETALLE CRONOLÓGICO'!$K$2:$K$4919,MATCH($A1945,'DETALLE CRONOLÓGICO'!$A$2:$A$4919,0))-1,"")</f>
        <v/>
      </c>
      <c r="O1945" s="6">
        <f>IFERROR($I1945*3,"")</f>
        <v/>
      </c>
      <c r="P1945" s="6">
        <f>IFERROR($I1945*3.5,"")</f>
        <v/>
      </c>
      <c r="Q1945" s="6">
        <f>IFERROR($I1945*4,"")</f>
        <v/>
      </c>
      <c r="R1945" s="6" t="n">
        <v>280</v>
      </c>
      <c r="S1945" s="4" t="n">
        <v>2</v>
      </c>
      <c r="T1945" s="1" t="inlineStr">
        <is>
          <t>active</t>
        </is>
      </c>
      <c r="U1945" s="8" t="n"/>
      <c r="V1945" s="1" t="inlineStr">
        <is>
          <t>SIN PRECIO</t>
        </is>
      </c>
    </row>
    <row r="1946">
      <c r="A1946" s="1" t="inlineStr">
        <is>
          <t>82224434457549</t>
        </is>
      </c>
      <c r="B1946" s="1" t="inlineStr">
        <is>
          <t>ANILLO LOVE CON ZIRCONIA ROSE GOLD</t>
        </is>
      </c>
      <c r="C1946" s="1" t="inlineStr">
        <is>
          <t>9</t>
        </is>
      </c>
      <c r="D1946" s="1" t="inlineStr">
        <is>
          <t>HAIFENG</t>
        </is>
      </c>
      <c r="E1946" s="4">
        <f>COUNTIF('DETALLE CRONOLÓGICO'!$A$2:$A$4919,$A1946)</f>
        <v/>
      </c>
      <c r="F1946" s="4">
        <f>SUMIFS('DETALLE CRONOLÓGICO'!$I$2:$I$4919,'DETALLE CRONOLÓGICO'!$A$2:$A$4919,$A1946)</f>
        <v/>
      </c>
      <c r="G1946" s="1">
        <f>INDEX('DETALLE CRONOLÓGICO'!$D$2:$D$4919,MATCH($A1946,'DETALLE CRONOLÓGICO'!$A$2:$A$4919,0))</f>
        <v/>
      </c>
      <c r="H1946" s="1">
        <f>INDEX('DETALLE CRONOLÓGICO'!$D$2:$D$4919,MATCH($A1946,'DETALLE CRONOLÓGICO'!$A$2:$A$4919,0)+$E1946-1)</f>
        <v/>
      </c>
      <c r="I1946" s="5">
        <f>IFERROR(SUMIFS('DETALLE CRONOLÓGICO'!$L$2:$L$4919,'DETALLE CRONOLÓGICO'!$A$2:$A$4919,$A1946)/$F1946,"")</f>
        <v/>
      </c>
      <c r="J1946" s="6">
        <f>IFERROR(SUMIFS('DETALLE CRONOLÓGICO'!$K$2:$K$4919,'DETALLE CRONOLÓGICO'!$A$2:$A$4919,$A1946)/$E1946,"")</f>
        <v/>
      </c>
      <c r="K1946" s="6">
        <f>_xlfn.MINIFS('DETALLE CRONOLÓGICO'!$K$2:$K$4919,'DETALLE CRONOLÓGICO'!$A$2:$A$4919,$A1946)</f>
        <v/>
      </c>
      <c r="L1946" s="6">
        <f>_xlfn.MAXIFS('DETALLE CRONOLÓGICO'!$K$2:$K$4919,'DETALLE CRONOLÓGICO'!$A$2:$A$4919,$A1946)</f>
        <v/>
      </c>
      <c r="M1946" s="6">
        <f>INDEX('DETALLE CRONOLÓGICO'!$K$2:$K$4919,MATCH($A1946,'DETALLE CRONOLÓGICO'!$A$2:$A$4919,0)+$E1946-1)</f>
        <v/>
      </c>
      <c r="N1946" s="7">
        <f>IFERROR($M1946/INDEX('DETALLE CRONOLÓGICO'!$K$2:$K$4919,MATCH($A1946,'DETALLE CRONOLÓGICO'!$A$2:$A$4919,0))-1,"")</f>
        <v/>
      </c>
      <c r="O1946" s="6">
        <f>IFERROR($I1946*3,"")</f>
        <v/>
      </c>
      <c r="P1946" s="6">
        <f>IFERROR($I1946*3.5,"")</f>
        <v/>
      </c>
      <c r="Q1946" s="6">
        <f>IFERROR($I1946*4,"")</f>
        <v/>
      </c>
      <c r="R1946" s="6" t="n">
        <v>140</v>
      </c>
      <c r="S1946" s="4" t="n">
        <v>5</v>
      </c>
      <c r="T1946" s="1" t="inlineStr">
        <is>
          <t>active</t>
        </is>
      </c>
      <c r="U1946" s="8" t="n"/>
      <c r="V1946" s="1" t="inlineStr">
        <is>
          <t>SIN PRECIO</t>
        </is>
      </c>
    </row>
    <row r="1947">
      <c r="A1947" s="1" t="inlineStr">
        <is>
          <t>82224434630413</t>
        </is>
      </c>
      <c r="B1947" s="1" t="inlineStr">
        <is>
          <t>COLLAR TREBOL ROSEGOLD WHITE</t>
        </is>
      </c>
      <c r="C1947" s="1" t="inlineStr">
        <is>
          <t>45cm</t>
        </is>
      </c>
      <c r="D1947" s="1" t="inlineStr">
        <is>
          <t>HAIFENG</t>
        </is>
      </c>
      <c r="E1947" s="4">
        <f>COUNTIF('DETALLE CRONOLÓGICO'!$A$2:$A$4919,$A1947)</f>
        <v/>
      </c>
      <c r="F1947" s="4">
        <f>SUMIFS('DETALLE CRONOLÓGICO'!$I$2:$I$4919,'DETALLE CRONOLÓGICO'!$A$2:$A$4919,$A1947)</f>
        <v/>
      </c>
      <c r="G1947" s="1">
        <f>INDEX('DETALLE CRONOLÓGICO'!$D$2:$D$4919,MATCH($A1947,'DETALLE CRONOLÓGICO'!$A$2:$A$4919,0))</f>
        <v/>
      </c>
      <c r="H1947" s="1">
        <f>INDEX('DETALLE CRONOLÓGICO'!$D$2:$D$4919,MATCH($A1947,'DETALLE CRONOLÓGICO'!$A$2:$A$4919,0)+$E1947-1)</f>
        <v/>
      </c>
      <c r="I1947" s="5">
        <f>IFERROR(SUMIFS('DETALLE CRONOLÓGICO'!$L$2:$L$4919,'DETALLE CRONOLÓGICO'!$A$2:$A$4919,$A1947)/$F1947,"")</f>
        <v/>
      </c>
      <c r="J1947" s="6">
        <f>IFERROR(SUMIFS('DETALLE CRONOLÓGICO'!$K$2:$K$4919,'DETALLE CRONOLÓGICO'!$A$2:$A$4919,$A1947)/$E1947,"")</f>
        <v/>
      </c>
      <c r="K1947" s="6">
        <f>_xlfn.MINIFS('DETALLE CRONOLÓGICO'!$K$2:$K$4919,'DETALLE CRONOLÓGICO'!$A$2:$A$4919,$A1947)</f>
        <v/>
      </c>
      <c r="L1947" s="6">
        <f>_xlfn.MAXIFS('DETALLE CRONOLÓGICO'!$K$2:$K$4919,'DETALLE CRONOLÓGICO'!$A$2:$A$4919,$A1947)</f>
        <v/>
      </c>
      <c r="M1947" s="6">
        <f>INDEX('DETALLE CRONOLÓGICO'!$K$2:$K$4919,MATCH($A1947,'DETALLE CRONOLÓGICO'!$A$2:$A$4919,0)+$E1947-1)</f>
        <v/>
      </c>
      <c r="N1947" s="7">
        <f>IFERROR($M1947/INDEX('DETALLE CRONOLÓGICO'!$K$2:$K$4919,MATCH($A1947,'DETALLE CRONOLÓGICO'!$A$2:$A$4919,0))-1,"")</f>
        <v/>
      </c>
      <c r="O1947" s="6">
        <f>IFERROR($I1947*3,"")</f>
        <v/>
      </c>
      <c r="P1947" s="6">
        <f>IFERROR($I1947*3.5,"")</f>
        <v/>
      </c>
      <c r="Q1947" s="6">
        <f>IFERROR($I1947*4,"")</f>
        <v/>
      </c>
      <c r="R1947" s="6" t="n">
        <v>989</v>
      </c>
      <c r="S1947" s="4" t="n">
        <v>9</v>
      </c>
      <c r="T1947" s="1" t="inlineStr">
        <is>
          <t>active</t>
        </is>
      </c>
      <c r="U1947" s="8" t="n"/>
      <c r="V1947" s="1" t="inlineStr">
        <is>
          <t>SIN PRECIO</t>
        </is>
      </c>
    </row>
    <row r="1948">
      <c r="A1948" s="1" t="inlineStr">
        <is>
          <t>82310551082381</t>
        </is>
      </c>
      <c r="B1948" s="1" t="inlineStr">
        <is>
          <t>ARRACADAS F LOGO GOLD</t>
        </is>
      </c>
      <c r="C1948" s="1" t="inlineStr">
        <is>
          <t>Default Title</t>
        </is>
      </c>
      <c r="D1948" s="1" t="inlineStr">
        <is>
          <t>ZOEY</t>
        </is>
      </c>
      <c r="E1948" s="4">
        <f>COUNTIF('DETALLE CRONOLÓGICO'!$A$2:$A$4919,$A1948)</f>
        <v/>
      </c>
      <c r="F1948" s="4">
        <f>SUMIFS('DETALLE CRONOLÓGICO'!$I$2:$I$4919,'DETALLE CRONOLÓGICO'!$A$2:$A$4919,$A1948)</f>
        <v/>
      </c>
      <c r="G1948" s="1">
        <f>INDEX('DETALLE CRONOLÓGICO'!$D$2:$D$4919,MATCH($A1948,'DETALLE CRONOLÓGICO'!$A$2:$A$4919,0))</f>
        <v/>
      </c>
      <c r="H1948" s="1">
        <f>INDEX('DETALLE CRONOLÓGICO'!$D$2:$D$4919,MATCH($A1948,'DETALLE CRONOLÓGICO'!$A$2:$A$4919,0)+$E1948-1)</f>
        <v/>
      </c>
      <c r="I1948" s="5">
        <f>IFERROR(SUMIFS('DETALLE CRONOLÓGICO'!$L$2:$L$4919,'DETALLE CRONOLÓGICO'!$A$2:$A$4919,$A1948)/$F1948,"")</f>
        <v/>
      </c>
      <c r="J1948" s="6">
        <f>IFERROR(SUMIFS('DETALLE CRONOLÓGICO'!$K$2:$K$4919,'DETALLE CRONOLÓGICO'!$A$2:$A$4919,$A1948)/$E1948,"")</f>
        <v/>
      </c>
      <c r="K1948" s="6">
        <f>_xlfn.MINIFS('DETALLE CRONOLÓGICO'!$K$2:$K$4919,'DETALLE CRONOLÓGICO'!$A$2:$A$4919,$A1948)</f>
        <v/>
      </c>
      <c r="L1948" s="6">
        <f>_xlfn.MAXIFS('DETALLE CRONOLÓGICO'!$K$2:$K$4919,'DETALLE CRONOLÓGICO'!$A$2:$A$4919,$A1948)</f>
        <v/>
      </c>
      <c r="M1948" s="6">
        <f>INDEX('DETALLE CRONOLÓGICO'!$K$2:$K$4919,MATCH($A1948,'DETALLE CRONOLÓGICO'!$A$2:$A$4919,0)+$E1948-1)</f>
        <v/>
      </c>
      <c r="N1948" s="7">
        <f>IFERROR($M1948/INDEX('DETALLE CRONOLÓGICO'!$K$2:$K$4919,MATCH($A1948,'DETALLE CRONOLÓGICO'!$A$2:$A$4919,0))-1,"")</f>
        <v/>
      </c>
      <c r="O1948" s="6">
        <f>IFERROR($I1948*3,"")</f>
        <v/>
      </c>
      <c r="P1948" s="6">
        <f>IFERROR($I1948*3.5,"")</f>
        <v/>
      </c>
      <c r="Q1948" s="6">
        <f>IFERROR($I1948*4,"")</f>
        <v/>
      </c>
      <c r="R1948" s="6" t="n">
        <v>876</v>
      </c>
      <c r="S1948" s="4" t="n">
        <v>3</v>
      </c>
      <c r="T1948" s="1" t="inlineStr">
        <is>
          <t>active</t>
        </is>
      </c>
      <c r="U1948" s="8" t="n"/>
      <c r="V1948" s="1" t="inlineStr">
        <is>
          <t>SIN PRECIO</t>
        </is>
      </c>
    </row>
    <row r="1949">
      <c r="A1949" s="1" t="inlineStr">
        <is>
          <t>82350491022541</t>
        </is>
      </c>
      <c r="B1949" s="1" t="inlineStr">
        <is>
          <t>PULSERA GC SCRIPT DE CADENA GOLD</t>
        </is>
      </c>
      <c r="C1949" s="1" t="inlineStr">
        <is>
          <t>Default Title</t>
        </is>
      </c>
      <c r="D1949" s="1" t="inlineStr">
        <is>
          <t>ZOEY</t>
        </is>
      </c>
      <c r="E1949" s="4">
        <f>COUNTIF('DETALLE CRONOLÓGICO'!$A$2:$A$4919,$A1949)</f>
        <v/>
      </c>
      <c r="F1949" s="4">
        <f>SUMIFS('DETALLE CRONOLÓGICO'!$I$2:$I$4919,'DETALLE CRONOLÓGICO'!$A$2:$A$4919,$A1949)</f>
        <v/>
      </c>
      <c r="G1949" s="1">
        <f>INDEX('DETALLE CRONOLÓGICO'!$D$2:$D$4919,MATCH($A1949,'DETALLE CRONOLÓGICO'!$A$2:$A$4919,0))</f>
        <v/>
      </c>
      <c r="H1949" s="1">
        <f>INDEX('DETALLE CRONOLÓGICO'!$D$2:$D$4919,MATCH($A1949,'DETALLE CRONOLÓGICO'!$A$2:$A$4919,0)+$E1949-1)</f>
        <v/>
      </c>
      <c r="I1949" s="5">
        <f>IFERROR(SUMIFS('DETALLE CRONOLÓGICO'!$L$2:$L$4919,'DETALLE CRONOLÓGICO'!$A$2:$A$4919,$A1949)/$F1949,"")</f>
        <v/>
      </c>
      <c r="J1949" s="6">
        <f>IFERROR(SUMIFS('DETALLE CRONOLÓGICO'!$K$2:$K$4919,'DETALLE CRONOLÓGICO'!$A$2:$A$4919,$A1949)/$E1949,"")</f>
        <v/>
      </c>
      <c r="K1949" s="6">
        <f>_xlfn.MINIFS('DETALLE CRONOLÓGICO'!$K$2:$K$4919,'DETALLE CRONOLÓGICO'!$A$2:$A$4919,$A1949)</f>
        <v/>
      </c>
      <c r="L1949" s="6">
        <f>_xlfn.MAXIFS('DETALLE CRONOLÓGICO'!$K$2:$K$4919,'DETALLE CRONOLÓGICO'!$A$2:$A$4919,$A1949)</f>
        <v/>
      </c>
      <c r="M1949" s="6">
        <f>INDEX('DETALLE CRONOLÓGICO'!$K$2:$K$4919,MATCH($A1949,'DETALLE CRONOLÓGICO'!$A$2:$A$4919,0)+$E1949-1)</f>
        <v/>
      </c>
      <c r="N1949" s="7">
        <f>IFERROR($M1949/INDEX('DETALLE CRONOLÓGICO'!$K$2:$K$4919,MATCH($A1949,'DETALLE CRONOLÓGICO'!$A$2:$A$4919,0))-1,"")</f>
        <v/>
      </c>
      <c r="O1949" s="6">
        <f>IFERROR($I1949*3,"")</f>
        <v/>
      </c>
      <c r="P1949" s="6">
        <f>IFERROR($I1949*3.5,"")</f>
        <v/>
      </c>
      <c r="Q1949" s="6">
        <f>IFERROR($I1949*4,"")</f>
        <v/>
      </c>
      <c r="R1949" s="6" t="n">
        <v>775</v>
      </c>
      <c r="S1949" s="4" t="n">
        <v>1</v>
      </c>
      <c r="T1949" s="1" t="inlineStr">
        <is>
          <t>active</t>
        </is>
      </c>
      <c r="U1949" s="8" t="n"/>
      <c r="V1949" s="1" t="inlineStr">
        <is>
          <t>SIN PRECIO</t>
        </is>
      </c>
    </row>
    <row r="1950">
      <c r="A1950" s="1" t="inlineStr">
        <is>
          <t>8275727247244</t>
        </is>
      </c>
      <c r="B1950" s="1" t="inlineStr">
        <is>
          <t>ARETES CD COLGANTES</t>
        </is>
      </c>
      <c r="C1950" s="1" t="inlineStr">
        <is>
          <t>Default Title</t>
        </is>
      </c>
      <c r="D1950" s="1" t="inlineStr">
        <is>
          <t>CYNTHIA</t>
        </is>
      </c>
      <c r="E1950" s="4">
        <f>COUNTIF('DETALLE CRONOLÓGICO'!$A$2:$A$4919,$A1950)</f>
        <v/>
      </c>
      <c r="F1950" s="4">
        <f>SUMIFS('DETALLE CRONOLÓGICO'!$I$2:$I$4919,'DETALLE CRONOLÓGICO'!$A$2:$A$4919,$A1950)</f>
        <v/>
      </c>
      <c r="G1950" s="1">
        <f>INDEX('DETALLE CRONOLÓGICO'!$D$2:$D$4919,MATCH($A1950,'DETALLE CRONOLÓGICO'!$A$2:$A$4919,0))</f>
        <v/>
      </c>
      <c r="H1950" s="1">
        <f>INDEX('DETALLE CRONOLÓGICO'!$D$2:$D$4919,MATCH($A1950,'DETALLE CRONOLÓGICO'!$A$2:$A$4919,0)+$E1950-1)</f>
        <v/>
      </c>
      <c r="I1950" s="5">
        <f>IFERROR(SUMIFS('DETALLE CRONOLÓGICO'!$L$2:$L$4919,'DETALLE CRONOLÓGICO'!$A$2:$A$4919,$A1950)/$F1950,"")</f>
        <v/>
      </c>
      <c r="J1950" s="6">
        <f>IFERROR(SUMIFS('DETALLE CRONOLÓGICO'!$K$2:$K$4919,'DETALLE CRONOLÓGICO'!$A$2:$A$4919,$A1950)/$E1950,"")</f>
        <v/>
      </c>
      <c r="K1950" s="6">
        <f>_xlfn.MINIFS('DETALLE CRONOLÓGICO'!$K$2:$K$4919,'DETALLE CRONOLÓGICO'!$A$2:$A$4919,$A1950)</f>
        <v/>
      </c>
      <c r="L1950" s="6">
        <f>_xlfn.MAXIFS('DETALLE CRONOLÓGICO'!$K$2:$K$4919,'DETALLE CRONOLÓGICO'!$A$2:$A$4919,$A1950)</f>
        <v/>
      </c>
      <c r="M1950" s="6">
        <f>INDEX('DETALLE CRONOLÓGICO'!$K$2:$K$4919,MATCH($A1950,'DETALLE CRONOLÓGICO'!$A$2:$A$4919,0)+$E1950-1)</f>
        <v/>
      </c>
      <c r="N1950" s="7">
        <f>IFERROR($M1950/INDEX('DETALLE CRONOLÓGICO'!$K$2:$K$4919,MATCH($A1950,'DETALLE CRONOLÓGICO'!$A$2:$A$4919,0))-1,"")</f>
        <v/>
      </c>
      <c r="O1950" s="6">
        <f>IFERROR($I1950*3,"")</f>
        <v/>
      </c>
      <c r="P1950" s="6">
        <f>IFERROR($I1950*3.5,"")</f>
        <v/>
      </c>
      <c r="Q1950" s="6">
        <f>IFERROR($I1950*4,"")</f>
        <v/>
      </c>
      <c r="R1950" s="6" t="n">
        <v>935</v>
      </c>
      <c r="S1950" s="4" t="n">
        <v>4</v>
      </c>
      <c r="T1950" s="1" t="inlineStr">
        <is>
          <t>active</t>
        </is>
      </c>
      <c r="U1950" s="8" t="n"/>
      <c r="V1950" s="1" t="inlineStr">
        <is>
          <t>SIN PRECIO</t>
        </is>
      </c>
    </row>
    <row r="1951">
      <c r="A1951" s="1" t="inlineStr">
        <is>
          <t>8275735417996</t>
        </is>
      </c>
      <c r="B1951" s="1" t="inlineStr">
        <is>
          <t>PULSERA LV BLOSSOM GOLD</t>
        </is>
      </c>
      <c r="C1951" s="1" t="inlineStr">
        <is>
          <t>17cm</t>
        </is>
      </c>
      <c r="D1951" s="1" t="inlineStr">
        <is>
          <t>CYNTHIA</t>
        </is>
      </c>
      <c r="E1951" s="4">
        <f>COUNTIF('DETALLE CRONOLÓGICO'!$A$2:$A$4919,$A1951)</f>
        <v/>
      </c>
      <c r="F1951" s="4">
        <f>SUMIFS('DETALLE CRONOLÓGICO'!$I$2:$I$4919,'DETALLE CRONOLÓGICO'!$A$2:$A$4919,$A1951)</f>
        <v/>
      </c>
      <c r="G1951" s="1">
        <f>INDEX('DETALLE CRONOLÓGICO'!$D$2:$D$4919,MATCH($A1951,'DETALLE CRONOLÓGICO'!$A$2:$A$4919,0))</f>
        <v/>
      </c>
      <c r="H1951" s="1">
        <f>INDEX('DETALLE CRONOLÓGICO'!$D$2:$D$4919,MATCH($A1951,'DETALLE CRONOLÓGICO'!$A$2:$A$4919,0)+$E1951-1)</f>
        <v/>
      </c>
      <c r="I1951" s="5">
        <f>IFERROR(SUMIFS('DETALLE CRONOLÓGICO'!$L$2:$L$4919,'DETALLE CRONOLÓGICO'!$A$2:$A$4919,$A1951)/$F1951,"")</f>
        <v/>
      </c>
      <c r="J1951" s="6">
        <f>IFERROR(SUMIFS('DETALLE CRONOLÓGICO'!$K$2:$K$4919,'DETALLE CRONOLÓGICO'!$A$2:$A$4919,$A1951)/$E1951,"")</f>
        <v/>
      </c>
      <c r="K1951" s="6">
        <f>_xlfn.MINIFS('DETALLE CRONOLÓGICO'!$K$2:$K$4919,'DETALLE CRONOLÓGICO'!$A$2:$A$4919,$A1951)</f>
        <v/>
      </c>
      <c r="L1951" s="6">
        <f>_xlfn.MAXIFS('DETALLE CRONOLÓGICO'!$K$2:$K$4919,'DETALLE CRONOLÓGICO'!$A$2:$A$4919,$A1951)</f>
        <v/>
      </c>
      <c r="M1951" s="6">
        <f>INDEX('DETALLE CRONOLÓGICO'!$K$2:$K$4919,MATCH($A1951,'DETALLE CRONOLÓGICO'!$A$2:$A$4919,0)+$E1951-1)</f>
        <v/>
      </c>
      <c r="N1951" s="7">
        <f>IFERROR($M1951/INDEX('DETALLE CRONOLÓGICO'!$K$2:$K$4919,MATCH($A1951,'DETALLE CRONOLÓGICO'!$A$2:$A$4919,0))-1,"")</f>
        <v/>
      </c>
      <c r="O1951" s="6">
        <f>IFERROR($I1951*3,"")</f>
        <v/>
      </c>
      <c r="P1951" s="6">
        <f>IFERROR($I1951*3.5,"")</f>
        <v/>
      </c>
      <c r="Q1951" s="6">
        <f>IFERROR($I1951*4,"")</f>
        <v/>
      </c>
      <c r="R1951" s="6" t="n">
        <v>1399</v>
      </c>
      <c r="S1951" s="4" t="n">
        <v>5</v>
      </c>
      <c r="T1951" s="1" t="inlineStr">
        <is>
          <t>active</t>
        </is>
      </c>
      <c r="U1951" s="8" t="n"/>
      <c r="V1951" s="1" t="inlineStr">
        <is>
          <t>SIN PRECIO</t>
        </is>
      </c>
    </row>
    <row r="1952">
      <c r="A1952" s="1" t="inlineStr">
        <is>
          <t>82932047388428</t>
        </is>
      </c>
      <c r="B1952" s="1" t="inlineStr">
        <is>
          <t>PULSERA GC LOGO</t>
        </is>
      </c>
      <c r="C1952" s="1" t="inlineStr">
        <is>
          <t>20cm</t>
        </is>
      </c>
      <c r="D1952" s="1" t="inlineStr">
        <is>
          <t>CYNTHIA</t>
        </is>
      </c>
      <c r="E1952" s="4">
        <f>COUNTIF('DETALLE CRONOLÓGICO'!$A$2:$A$4919,$A1952)</f>
        <v/>
      </c>
      <c r="F1952" s="4">
        <f>SUMIFS('DETALLE CRONOLÓGICO'!$I$2:$I$4919,'DETALLE CRONOLÓGICO'!$A$2:$A$4919,$A1952)</f>
        <v/>
      </c>
      <c r="G1952" s="1">
        <f>INDEX('DETALLE CRONOLÓGICO'!$D$2:$D$4919,MATCH($A1952,'DETALLE CRONOLÓGICO'!$A$2:$A$4919,0))</f>
        <v/>
      </c>
      <c r="H1952" s="1">
        <f>INDEX('DETALLE CRONOLÓGICO'!$D$2:$D$4919,MATCH($A1952,'DETALLE CRONOLÓGICO'!$A$2:$A$4919,0)+$E1952-1)</f>
        <v/>
      </c>
      <c r="I1952" s="5">
        <f>IFERROR(SUMIFS('DETALLE CRONOLÓGICO'!$L$2:$L$4919,'DETALLE CRONOLÓGICO'!$A$2:$A$4919,$A1952)/$F1952,"")</f>
        <v/>
      </c>
      <c r="J1952" s="6">
        <f>IFERROR(SUMIFS('DETALLE CRONOLÓGICO'!$K$2:$K$4919,'DETALLE CRONOLÓGICO'!$A$2:$A$4919,$A1952)/$E1952,"")</f>
        <v/>
      </c>
      <c r="K1952" s="6">
        <f>_xlfn.MINIFS('DETALLE CRONOLÓGICO'!$K$2:$K$4919,'DETALLE CRONOLÓGICO'!$A$2:$A$4919,$A1952)</f>
        <v/>
      </c>
      <c r="L1952" s="6">
        <f>_xlfn.MAXIFS('DETALLE CRONOLÓGICO'!$K$2:$K$4919,'DETALLE CRONOLÓGICO'!$A$2:$A$4919,$A1952)</f>
        <v/>
      </c>
      <c r="M1952" s="6">
        <f>INDEX('DETALLE CRONOLÓGICO'!$K$2:$K$4919,MATCH($A1952,'DETALLE CRONOLÓGICO'!$A$2:$A$4919,0)+$E1952-1)</f>
        <v/>
      </c>
      <c r="N1952" s="7">
        <f>IFERROR($M1952/INDEX('DETALLE CRONOLÓGICO'!$K$2:$K$4919,MATCH($A1952,'DETALLE CRONOLÓGICO'!$A$2:$A$4919,0))-1,"")</f>
        <v/>
      </c>
      <c r="O1952" s="6">
        <f>IFERROR($I1952*3,"")</f>
        <v/>
      </c>
      <c r="P1952" s="6">
        <f>IFERROR($I1952*3.5,"")</f>
        <v/>
      </c>
      <c r="Q1952" s="6">
        <f>IFERROR($I1952*4,"")</f>
        <v/>
      </c>
      <c r="R1952" s="6" t="n">
        <v>1205</v>
      </c>
      <c r="S1952" s="4" t="n">
        <v>2</v>
      </c>
      <c r="T1952" s="1" t="inlineStr">
        <is>
          <t>active</t>
        </is>
      </c>
      <c r="U1952" s="8" t="n"/>
      <c r="V1952" s="1" t="inlineStr">
        <is>
          <t>SIN PRECIO</t>
        </is>
      </c>
    </row>
    <row r="1953">
      <c r="A1953" s="1" t="inlineStr">
        <is>
          <t>83188051093645</t>
        </is>
      </c>
      <c r="B1953" s="1" t="inlineStr">
        <is>
          <t>BRAZALETE F GOLD BLACK</t>
        </is>
      </c>
      <c r="C1953" s="1" t="inlineStr">
        <is>
          <t>HIGH QUALITY</t>
        </is>
      </c>
      <c r="D1953" s="1" t="inlineStr">
        <is>
          <t>ZOEY</t>
        </is>
      </c>
      <c r="E1953" s="4">
        <f>COUNTIF('DETALLE CRONOLÓGICO'!$A$2:$A$4919,$A1953)</f>
        <v/>
      </c>
      <c r="F1953" s="4">
        <f>SUMIFS('DETALLE CRONOLÓGICO'!$I$2:$I$4919,'DETALLE CRONOLÓGICO'!$A$2:$A$4919,$A1953)</f>
        <v/>
      </c>
      <c r="G1953" s="1">
        <f>INDEX('DETALLE CRONOLÓGICO'!$D$2:$D$4919,MATCH($A1953,'DETALLE CRONOLÓGICO'!$A$2:$A$4919,0))</f>
        <v/>
      </c>
      <c r="H1953" s="1">
        <f>INDEX('DETALLE CRONOLÓGICO'!$D$2:$D$4919,MATCH($A1953,'DETALLE CRONOLÓGICO'!$A$2:$A$4919,0)+$E1953-1)</f>
        <v/>
      </c>
      <c r="I1953" s="5">
        <f>IFERROR(SUMIFS('DETALLE CRONOLÓGICO'!$L$2:$L$4919,'DETALLE CRONOLÓGICO'!$A$2:$A$4919,$A1953)/$F1953,"")</f>
        <v/>
      </c>
      <c r="J1953" s="6">
        <f>IFERROR(SUMIFS('DETALLE CRONOLÓGICO'!$K$2:$K$4919,'DETALLE CRONOLÓGICO'!$A$2:$A$4919,$A1953)/$E1953,"")</f>
        <v/>
      </c>
      <c r="K1953" s="6">
        <f>_xlfn.MINIFS('DETALLE CRONOLÓGICO'!$K$2:$K$4919,'DETALLE CRONOLÓGICO'!$A$2:$A$4919,$A1953)</f>
        <v/>
      </c>
      <c r="L1953" s="6">
        <f>_xlfn.MAXIFS('DETALLE CRONOLÓGICO'!$K$2:$K$4919,'DETALLE CRONOLÓGICO'!$A$2:$A$4919,$A1953)</f>
        <v/>
      </c>
      <c r="M1953" s="6">
        <f>INDEX('DETALLE CRONOLÓGICO'!$K$2:$K$4919,MATCH($A1953,'DETALLE CRONOLÓGICO'!$A$2:$A$4919,0)+$E1953-1)</f>
        <v/>
      </c>
      <c r="N1953" s="7">
        <f>IFERROR($M1953/INDEX('DETALLE CRONOLÓGICO'!$K$2:$K$4919,MATCH($A1953,'DETALLE CRONOLÓGICO'!$A$2:$A$4919,0))-1,"")</f>
        <v/>
      </c>
      <c r="O1953" s="6">
        <f>IFERROR($I1953*3,"")</f>
        <v/>
      </c>
      <c r="P1953" s="6">
        <f>IFERROR($I1953*3.5,"")</f>
        <v/>
      </c>
      <c r="Q1953" s="6">
        <f>IFERROR($I1953*4,"")</f>
        <v/>
      </c>
      <c r="R1953" s="6" t="n">
        <v>911.01</v>
      </c>
      <c r="S1953" s="4" t="n">
        <v>2</v>
      </c>
      <c r="T1953" s="1" t="inlineStr">
        <is>
          <t>active</t>
        </is>
      </c>
      <c r="U1953" s="8" t="n"/>
      <c r="V1953" s="1" t="inlineStr">
        <is>
          <t>SIN PRECIO</t>
        </is>
      </c>
    </row>
    <row r="1954">
      <c r="A1954" s="1" t="inlineStr">
        <is>
          <t>83342111044589</t>
        </is>
      </c>
      <c r="B1954" s="1" t="inlineStr">
        <is>
          <t>TRAJE DE BAÑO DG BLACK</t>
        </is>
      </c>
      <c r="C1954" s="1" t="inlineStr">
        <is>
          <t>m</t>
        </is>
      </c>
      <c r="D1954" s="1" t="inlineStr">
        <is>
          <t>CYNTHIA</t>
        </is>
      </c>
      <c r="E1954" s="4">
        <f>COUNTIF('DETALLE CRONOLÓGICO'!$A$2:$A$4919,$A1954)</f>
        <v/>
      </c>
      <c r="F1954" s="4">
        <f>SUMIFS('DETALLE CRONOLÓGICO'!$I$2:$I$4919,'DETALLE CRONOLÓGICO'!$A$2:$A$4919,$A1954)</f>
        <v/>
      </c>
      <c r="G1954" s="1">
        <f>INDEX('DETALLE CRONOLÓGICO'!$D$2:$D$4919,MATCH($A1954,'DETALLE CRONOLÓGICO'!$A$2:$A$4919,0))</f>
        <v/>
      </c>
      <c r="H1954" s="1">
        <f>INDEX('DETALLE CRONOLÓGICO'!$D$2:$D$4919,MATCH($A1954,'DETALLE CRONOLÓGICO'!$A$2:$A$4919,0)+$E1954-1)</f>
        <v/>
      </c>
      <c r="I1954" s="5">
        <f>IFERROR(SUMIFS('DETALLE CRONOLÓGICO'!$L$2:$L$4919,'DETALLE CRONOLÓGICO'!$A$2:$A$4919,$A1954)/$F1954,"")</f>
        <v/>
      </c>
      <c r="J1954" s="6">
        <f>IFERROR(SUMIFS('DETALLE CRONOLÓGICO'!$K$2:$K$4919,'DETALLE CRONOLÓGICO'!$A$2:$A$4919,$A1954)/$E1954,"")</f>
        <v/>
      </c>
      <c r="K1954" s="6">
        <f>_xlfn.MINIFS('DETALLE CRONOLÓGICO'!$K$2:$K$4919,'DETALLE CRONOLÓGICO'!$A$2:$A$4919,$A1954)</f>
        <v/>
      </c>
      <c r="L1954" s="6">
        <f>_xlfn.MAXIFS('DETALLE CRONOLÓGICO'!$K$2:$K$4919,'DETALLE CRONOLÓGICO'!$A$2:$A$4919,$A1954)</f>
        <v/>
      </c>
      <c r="M1954" s="6">
        <f>INDEX('DETALLE CRONOLÓGICO'!$K$2:$K$4919,MATCH($A1954,'DETALLE CRONOLÓGICO'!$A$2:$A$4919,0)+$E1954-1)</f>
        <v/>
      </c>
      <c r="N1954" s="7">
        <f>IFERROR($M1954/INDEX('DETALLE CRONOLÓGICO'!$K$2:$K$4919,MATCH($A1954,'DETALLE CRONOLÓGICO'!$A$2:$A$4919,0))-1,"")</f>
        <v/>
      </c>
      <c r="O1954" s="6">
        <f>IFERROR($I1954*3,"")</f>
        <v/>
      </c>
      <c r="P1954" s="6">
        <f>IFERROR($I1954*3.5,"")</f>
        <v/>
      </c>
      <c r="Q1954" s="6">
        <f>IFERROR($I1954*4,"")</f>
        <v/>
      </c>
      <c r="R1954" s="6" t="n">
        <v>1199</v>
      </c>
      <c r="S1954" s="4" t="n">
        <v>0</v>
      </c>
      <c r="T1954" s="1" t="inlineStr">
        <is>
          <t>active</t>
        </is>
      </c>
      <c r="U1954" s="8" t="n"/>
      <c r="V1954" s="1" t="inlineStr">
        <is>
          <t>SIN PRECIO</t>
        </is>
      </c>
    </row>
    <row r="1955">
      <c r="A1955" s="1" t="inlineStr">
        <is>
          <t>83391721047053</t>
        </is>
      </c>
      <c r="B1955" s="1" t="inlineStr">
        <is>
          <t>PULSERA SMILE ROSE GOLD CON ZIRCONIAS</t>
        </is>
      </c>
      <c r="C1955" s="1" t="inlineStr">
        <is>
          <t>Default Title</t>
        </is>
      </c>
      <c r="D1955" s="1" t="inlineStr">
        <is>
          <t>HAIFENG</t>
        </is>
      </c>
      <c r="E1955" s="4">
        <f>COUNTIF('DETALLE CRONOLÓGICO'!$A$2:$A$4919,$A1955)</f>
        <v/>
      </c>
      <c r="F1955" s="4">
        <f>SUMIFS('DETALLE CRONOLÓGICO'!$I$2:$I$4919,'DETALLE CRONOLÓGICO'!$A$2:$A$4919,$A1955)</f>
        <v/>
      </c>
      <c r="G1955" s="1">
        <f>INDEX('DETALLE CRONOLÓGICO'!$D$2:$D$4919,MATCH($A1955,'DETALLE CRONOLÓGICO'!$A$2:$A$4919,0))</f>
        <v/>
      </c>
      <c r="H1955" s="1">
        <f>INDEX('DETALLE CRONOLÓGICO'!$D$2:$D$4919,MATCH($A1955,'DETALLE CRONOLÓGICO'!$A$2:$A$4919,0)+$E1955-1)</f>
        <v/>
      </c>
      <c r="I1955" s="5">
        <f>IFERROR(SUMIFS('DETALLE CRONOLÓGICO'!$L$2:$L$4919,'DETALLE CRONOLÓGICO'!$A$2:$A$4919,$A1955)/$F1955,"")</f>
        <v/>
      </c>
      <c r="J1955" s="6">
        <f>IFERROR(SUMIFS('DETALLE CRONOLÓGICO'!$K$2:$K$4919,'DETALLE CRONOLÓGICO'!$A$2:$A$4919,$A1955)/$E1955,"")</f>
        <v/>
      </c>
      <c r="K1955" s="6">
        <f>_xlfn.MINIFS('DETALLE CRONOLÓGICO'!$K$2:$K$4919,'DETALLE CRONOLÓGICO'!$A$2:$A$4919,$A1955)</f>
        <v/>
      </c>
      <c r="L1955" s="6">
        <f>_xlfn.MAXIFS('DETALLE CRONOLÓGICO'!$K$2:$K$4919,'DETALLE CRONOLÓGICO'!$A$2:$A$4919,$A1955)</f>
        <v/>
      </c>
      <c r="M1955" s="6">
        <f>INDEX('DETALLE CRONOLÓGICO'!$K$2:$K$4919,MATCH($A1955,'DETALLE CRONOLÓGICO'!$A$2:$A$4919,0)+$E1955-1)</f>
        <v/>
      </c>
      <c r="N1955" s="7">
        <f>IFERROR($M1955/INDEX('DETALLE CRONOLÓGICO'!$K$2:$K$4919,MATCH($A1955,'DETALLE CRONOLÓGICO'!$A$2:$A$4919,0))-1,"")</f>
        <v/>
      </c>
      <c r="O1955" s="6">
        <f>IFERROR($I1955*3,"")</f>
        <v/>
      </c>
      <c r="P1955" s="6">
        <f>IFERROR($I1955*3.5,"")</f>
        <v/>
      </c>
      <c r="Q1955" s="6">
        <f>IFERROR($I1955*4,"")</f>
        <v/>
      </c>
      <c r="R1955" s="6" t="n">
        <v>618</v>
      </c>
      <c r="S1955" s="4" t="n">
        <v>0</v>
      </c>
      <c r="T1955" s="1" t="inlineStr">
        <is>
          <t>active</t>
        </is>
      </c>
      <c r="U1955" s="8" t="n"/>
      <c r="V1955" s="1" t="inlineStr">
        <is>
          <t>SIN PRECIO</t>
        </is>
      </c>
    </row>
    <row r="1956">
      <c r="A1956" s="1" t="inlineStr">
        <is>
          <t>83391731114285</t>
        </is>
      </c>
      <c r="B1956" s="1" t="inlineStr">
        <is>
          <t>PULSERA SMILE SILVER CON ZIRCONIAS</t>
        </is>
      </c>
      <c r="C1956" s="1" t="inlineStr">
        <is>
          <t>Default Title</t>
        </is>
      </c>
      <c r="D1956" s="1" t="inlineStr">
        <is>
          <t>HAIFENG</t>
        </is>
      </c>
      <c r="E1956" s="4">
        <f>COUNTIF('DETALLE CRONOLÓGICO'!$A$2:$A$4919,$A1956)</f>
        <v/>
      </c>
      <c r="F1956" s="4">
        <f>SUMIFS('DETALLE CRONOLÓGICO'!$I$2:$I$4919,'DETALLE CRONOLÓGICO'!$A$2:$A$4919,$A1956)</f>
        <v/>
      </c>
      <c r="G1956" s="1">
        <f>INDEX('DETALLE CRONOLÓGICO'!$D$2:$D$4919,MATCH($A1956,'DETALLE CRONOLÓGICO'!$A$2:$A$4919,0))</f>
        <v/>
      </c>
      <c r="H1956" s="1">
        <f>INDEX('DETALLE CRONOLÓGICO'!$D$2:$D$4919,MATCH($A1956,'DETALLE CRONOLÓGICO'!$A$2:$A$4919,0)+$E1956-1)</f>
        <v/>
      </c>
      <c r="I1956" s="5">
        <f>IFERROR(SUMIFS('DETALLE CRONOLÓGICO'!$L$2:$L$4919,'DETALLE CRONOLÓGICO'!$A$2:$A$4919,$A1956)/$F1956,"")</f>
        <v/>
      </c>
      <c r="J1956" s="6">
        <f>IFERROR(SUMIFS('DETALLE CRONOLÓGICO'!$K$2:$K$4919,'DETALLE CRONOLÓGICO'!$A$2:$A$4919,$A1956)/$E1956,"")</f>
        <v/>
      </c>
      <c r="K1956" s="6">
        <f>_xlfn.MINIFS('DETALLE CRONOLÓGICO'!$K$2:$K$4919,'DETALLE CRONOLÓGICO'!$A$2:$A$4919,$A1956)</f>
        <v/>
      </c>
      <c r="L1956" s="6">
        <f>_xlfn.MAXIFS('DETALLE CRONOLÓGICO'!$K$2:$K$4919,'DETALLE CRONOLÓGICO'!$A$2:$A$4919,$A1956)</f>
        <v/>
      </c>
      <c r="M1956" s="6">
        <f>INDEX('DETALLE CRONOLÓGICO'!$K$2:$K$4919,MATCH($A1956,'DETALLE CRONOLÓGICO'!$A$2:$A$4919,0)+$E1956-1)</f>
        <v/>
      </c>
      <c r="N1956" s="7">
        <f>IFERROR($M1956/INDEX('DETALLE CRONOLÓGICO'!$K$2:$K$4919,MATCH($A1956,'DETALLE CRONOLÓGICO'!$A$2:$A$4919,0))-1,"")</f>
        <v/>
      </c>
      <c r="O1956" s="6">
        <f>IFERROR($I1956*3,"")</f>
        <v/>
      </c>
      <c r="P1956" s="6">
        <f>IFERROR($I1956*3.5,"")</f>
        <v/>
      </c>
      <c r="Q1956" s="6">
        <f>IFERROR($I1956*4,"")</f>
        <v/>
      </c>
      <c r="R1956" s="6" t="n">
        <v>649</v>
      </c>
      <c r="S1956" s="4" t="n">
        <v>1</v>
      </c>
      <c r="T1956" s="1" t="inlineStr">
        <is>
          <t>active</t>
        </is>
      </c>
      <c r="U1956" s="8" t="n"/>
      <c r="V1956" s="1" t="inlineStr">
        <is>
          <t>SIN PRECIO</t>
        </is>
      </c>
    </row>
    <row r="1957">
      <c r="A1957" s="1" t="inlineStr">
        <is>
          <t>83391731283213</t>
        </is>
      </c>
      <c r="B1957" s="1" t="inlineStr">
        <is>
          <t>ANILLO DOBLE T SILVER ZIRCONIAS</t>
        </is>
      </c>
      <c r="C1957" s="1" t="inlineStr">
        <is>
          <t>6</t>
        </is>
      </c>
      <c r="D1957" s="1" t="inlineStr">
        <is>
          <t>HAIFENG</t>
        </is>
      </c>
      <c r="E1957" s="4">
        <f>COUNTIF('DETALLE CRONOLÓGICO'!$A$2:$A$4919,$A1957)</f>
        <v/>
      </c>
      <c r="F1957" s="4">
        <f>SUMIFS('DETALLE CRONOLÓGICO'!$I$2:$I$4919,'DETALLE CRONOLÓGICO'!$A$2:$A$4919,$A1957)</f>
        <v/>
      </c>
      <c r="G1957" s="1">
        <f>INDEX('DETALLE CRONOLÓGICO'!$D$2:$D$4919,MATCH($A1957,'DETALLE CRONOLÓGICO'!$A$2:$A$4919,0))</f>
        <v/>
      </c>
      <c r="H1957" s="1">
        <f>INDEX('DETALLE CRONOLÓGICO'!$D$2:$D$4919,MATCH($A1957,'DETALLE CRONOLÓGICO'!$A$2:$A$4919,0)+$E1957-1)</f>
        <v/>
      </c>
      <c r="I1957" s="5">
        <f>IFERROR(SUMIFS('DETALLE CRONOLÓGICO'!$L$2:$L$4919,'DETALLE CRONOLÓGICO'!$A$2:$A$4919,$A1957)/$F1957,"")</f>
        <v/>
      </c>
      <c r="J1957" s="6">
        <f>IFERROR(SUMIFS('DETALLE CRONOLÓGICO'!$K$2:$K$4919,'DETALLE CRONOLÓGICO'!$A$2:$A$4919,$A1957)/$E1957,"")</f>
        <v/>
      </c>
      <c r="K1957" s="6">
        <f>_xlfn.MINIFS('DETALLE CRONOLÓGICO'!$K$2:$K$4919,'DETALLE CRONOLÓGICO'!$A$2:$A$4919,$A1957)</f>
        <v/>
      </c>
      <c r="L1957" s="6">
        <f>_xlfn.MAXIFS('DETALLE CRONOLÓGICO'!$K$2:$K$4919,'DETALLE CRONOLÓGICO'!$A$2:$A$4919,$A1957)</f>
        <v/>
      </c>
      <c r="M1957" s="6">
        <f>INDEX('DETALLE CRONOLÓGICO'!$K$2:$K$4919,MATCH($A1957,'DETALLE CRONOLÓGICO'!$A$2:$A$4919,0)+$E1957-1)</f>
        <v/>
      </c>
      <c r="N1957" s="7">
        <f>IFERROR($M1957/INDEX('DETALLE CRONOLÓGICO'!$K$2:$K$4919,MATCH($A1957,'DETALLE CRONOLÓGICO'!$A$2:$A$4919,0))-1,"")</f>
        <v/>
      </c>
      <c r="O1957" s="6">
        <f>IFERROR($I1957*3,"")</f>
        <v/>
      </c>
      <c r="P1957" s="6">
        <f>IFERROR($I1957*3.5,"")</f>
        <v/>
      </c>
      <c r="Q1957" s="6">
        <f>IFERROR($I1957*4,"")</f>
        <v/>
      </c>
      <c r="R1957" s="6" t="n">
        <v>780</v>
      </c>
      <c r="S1957" s="4" t="n">
        <v>1</v>
      </c>
      <c r="T1957" s="1" t="inlineStr">
        <is>
          <t>active</t>
        </is>
      </c>
      <c r="U1957" s="8" t="n"/>
      <c r="V1957" s="1" t="inlineStr">
        <is>
          <t>SIN PRECIO</t>
        </is>
      </c>
    </row>
    <row r="1958">
      <c r="A1958" s="1" t="inlineStr">
        <is>
          <t>83391731315981</t>
        </is>
      </c>
      <c r="B1958" s="1" t="inlineStr">
        <is>
          <t>ANILLO DOBLE T SILVER ZIRCONIAS</t>
        </is>
      </c>
      <c r="C1958" s="1" t="inlineStr">
        <is>
          <t>7</t>
        </is>
      </c>
      <c r="D1958" s="1" t="inlineStr">
        <is>
          <t>HAIFENG</t>
        </is>
      </c>
      <c r="E1958" s="4">
        <f>COUNTIF('DETALLE CRONOLÓGICO'!$A$2:$A$4919,$A1958)</f>
        <v/>
      </c>
      <c r="F1958" s="4">
        <f>SUMIFS('DETALLE CRONOLÓGICO'!$I$2:$I$4919,'DETALLE CRONOLÓGICO'!$A$2:$A$4919,$A1958)</f>
        <v/>
      </c>
      <c r="G1958" s="1">
        <f>INDEX('DETALLE CRONOLÓGICO'!$D$2:$D$4919,MATCH($A1958,'DETALLE CRONOLÓGICO'!$A$2:$A$4919,0))</f>
        <v/>
      </c>
      <c r="H1958" s="1">
        <f>INDEX('DETALLE CRONOLÓGICO'!$D$2:$D$4919,MATCH($A1958,'DETALLE CRONOLÓGICO'!$A$2:$A$4919,0)+$E1958-1)</f>
        <v/>
      </c>
      <c r="I1958" s="5">
        <f>IFERROR(SUMIFS('DETALLE CRONOLÓGICO'!$L$2:$L$4919,'DETALLE CRONOLÓGICO'!$A$2:$A$4919,$A1958)/$F1958,"")</f>
        <v/>
      </c>
      <c r="J1958" s="6">
        <f>IFERROR(SUMIFS('DETALLE CRONOLÓGICO'!$K$2:$K$4919,'DETALLE CRONOLÓGICO'!$A$2:$A$4919,$A1958)/$E1958,"")</f>
        <v/>
      </c>
      <c r="K1958" s="6">
        <f>_xlfn.MINIFS('DETALLE CRONOLÓGICO'!$K$2:$K$4919,'DETALLE CRONOLÓGICO'!$A$2:$A$4919,$A1958)</f>
        <v/>
      </c>
      <c r="L1958" s="6">
        <f>_xlfn.MAXIFS('DETALLE CRONOLÓGICO'!$K$2:$K$4919,'DETALLE CRONOLÓGICO'!$A$2:$A$4919,$A1958)</f>
        <v/>
      </c>
      <c r="M1958" s="6">
        <f>INDEX('DETALLE CRONOLÓGICO'!$K$2:$K$4919,MATCH($A1958,'DETALLE CRONOLÓGICO'!$A$2:$A$4919,0)+$E1958-1)</f>
        <v/>
      </c>
      <c r="N1958" s="7">
        <f>IFERROR($M1958/INDEX('DETALLE CRONOLÓGICO'!$K$2:$K$4919,MATCH($A1958,'DETALLE CRONOLÓGICO'!$A$2:$A$4919,0))-1,"")</f>
        <v/>
      </c>
      <c r="O1958" s="6">
        <f>IFERROR($I1958*3,"")</f>
        <v/>
      </c>
      <c r="P1958" s="6">
        <f>IFERROR($I1958*3.5,"")</f>
        <v/>
      </c>
      <c r="Q1958" s="6">
        <f>IFERROR($I1958*4,"")</f>
        <v/>
      </c>
      <c r="R1958" s="6" t="n">
        <v>780</v>
      </c>
      <c r="S1958" s="4" t="n">
        <v>1</v>
      </c>
      <c r="T1958" s="1" t="inlineStr">
        <is>
          <t>active</t>
        </is>
      </c>
      <c r="U1958" s="8" t="n"/>
      <c r="V1958" s="1" t="inlineStr">
        <is>
          <t>SIN PRECIO</t>
        </is>
      </c>
    </row>
    <row r="1959">
      <c r="A1959" s="1" t="inlineStr">
        <is>
          <t>83391731482125</t>
        </is>
      </c>
      <c r="B1959" s="1" t="inlineStr">
        <is>
          <t>ANILLO DOBLE T ROSE GOLD ZIRCONIAS</t>
        </is>
      </c>
      <c r="C1959" s="1" t="inlineStr">
        <is>
          <t>7</t>
        </is>
      </c>
      <c r="D1959" s="1" t="inlineStr">
        <is>
          <t>HAIFENG</t>
        </is>
      </c>
      <c r="E1959" s="4">
        <f>COUNTIF('DETALLE CRONOLÓGICO'!$A$2:$A$4919,$A1959)</f>
        <v/>
      </c>
      <c r="F1959" s="4">
        <f>SUMIFS('DETALLE CRONOLÓGICO'!$I$2:$I$4919,'DETALLE CRONOLÓGICO'!$A$2:$A$4919,$A1959)</f>
        <v/>
      </c>
      <c r="G1959" s="1">
        <f>INDEX('DETALLE CRONOLÓGICO'!$D$2:$D$4919,MATCH($A1959,'DETALLE CRONOLÓGICO'!$A$2:$A$4919,0))</f>
        <v/>
      </c>
      <c r="H1959" s="1">
        <f>INDEX('DETALLE CRONOLÓGICO'!$D$2:$D$4919,MATCH($A1959,'DETALLE CRONOLÓGICO'!$A$2:$A$4919,0)+$E1959-1)</f>
        <v/>
      </c>
      <c r="I1959" s="5">
        <f>IFERROR(SUMIFS('DETALLE CRONOLÓGICO'!$L$2:$L$4919,'DETALLE CRONOLÓGICO'!$A$2:$A$4919,$A1959)/$F1959,"")</f>
        <v/>
      </c>
      <c r="J1959" s="6">
        <f>IFERROR(SUMIFS('DETALLE CRONOLÓGICO'!$K$2:$K$4919,'DETALLE CRONOLÓGICO'!$A$2:$A$4919,$A1959)/$E1959,"")</f>
        <v/>
      </c>
      <c r="K1959" s="6">
        <f>_xlfn.MINIFS('DETALLE CRONOLÓGICO'!$K$2:$K$4919,'DETALLE CRONOLÓGICO'!$A$2:$A$4919,$A1959)</f>
        <v/>
      </c>
      <c r="L1959" s="6">
        <f>_xlfn.MAXIFS('DETALLE CRONOLÓGICO'!$K$2:$K$4919,'DETALLE CRONOLÓGICO'!$A$2:$A$4919,$A1959)</f>
        <v/>
      </c>
      <c r="M1959" s="6">
        <f>INDEX('DETALLE CRONOLÓGICO'!$K$2:$K$4919,MATCH($A1959,'DETALLE CRONOLÓGICO'!$A$2:$A$4919,0)+$E1959-1)</f>
        <v/>
      </c>
      <c r="N1959" s="7">
        <f>IFERROR($M1959/INDEX('DETALLE CRONOLÓGICO'!$K$2:$K$4919,MATCH($A1959,'DETALLE CRONOLÓGICO'!$A$2:$A$4919,0))-1,"")</f>
        <v/>
      </c>
      <c r="O1959" s="6">
        <f>IFERROR($I1959*3,"")</f>
        <v/>
      </c>
      <c r="P1959" s="6">
        <f>IFERROR($I1959*3.5,"")</f>
        <v/>
      </c>
      <c r="Q1959" s="6">
        <f>IFERROR($I1959*4,"")</f>
        <v/>
      </c>
      <c r="R1959" s="6" t="n">
        <v>507</v>
      </c>
      <c r="S1959" s="4" t="n">
        <v>2</v>
      </c>
      <c r="T1959" s="1" t="inlineStr">
        <is>
          <t>active</t>
        </is>
      </c>
      <c r="U1959" s="8" t="n"/>
      <c r="V1959" s="1" t="inlineStr">
        <is>
          <t>SIN PRECIO</t>
        </is>
      </c>
    </row>
    <row r="1960">
      <c r="A1960" s="1" t="inlineStr">
        <is>
          <t>83445961082989</t>
        </is>
      </c>
      <c r="B1960" s="1" t="inlineStr">
        <is>
          <t>ARETES GC MARMONT GOLD CON PERLA</t>
        </is>
      </c>
      <c r="C1960" s="1" t="inlineStr">
        <is>
          <t>Default Title</t>
        </is>
      </c>
      <c r="D1960" s="1" t="inlineStr">
        <is>
          <t>ZOEY</t>
        </is>
      </c>
      <c r="E1960" s="4">
        <f>COUNTIF('DETALLE CRONOLÓGICO'!$A$2:$A$4919,$A1960)</f>
        <v/>
      </c>
      <c r="F1960" s="4">
        <f>SUMIFS('DETALLE CRONOLÓGICO'!$I$2:$I$4919,'DETALLE CRONOLÓGICO'!$A$2:$A$4919,$A1960)</f>
        <v/>
      </c>
      <c r="G1960" s="1">
        <f>INDEX('DETALLE CRONOLÓGICO'!$D$2:$D$4919,MATCH($A1960,'DETALLE CRONOLÓGICO'!$A$2:$A$4919,0))</f>
        <v/>
      </c>
      <c r="H1960" s="1">
        <f>INDEX('DETALLE CRONOLÓGICO'!$D$2:$D$4919,MATCH($A1960,'DETALLE CRONOLÓGICO'!$A$2:$A$4919,0)+$E1960-1)</f>
        <v/>
      </c>
      <c r="I1960" s="5">
        <f>IFERROR(SUMIFS('DETALLE CRONOLÓGICO'!$L$2:$L$4919,'DETALLE CRONOLÓGICO'!$A$2:$A$4919,$A1960)/$F1960,"")</f>
        <v/>
      </c>
      <c r="J1960" s="6">
        <f>IFERROR(SUMIFS('DETALLE CRONOLÓGICO'!$K$2:$K$4919,'DETALLE CRONOLÓGICO'!$A$2:$A$4919,$A1960)/$E1960,"")</f>
        <v/>
      </c>
      <c r="K1960" s="6">
        <f>_xlfn.MINIFS('DETALLE CRONOLÓGICO'!$K$2:$K$4919,'DETALLE CRONOLÓGICO'!$A$2:$A$4919,$A1960)</f>
        <v/>
      </c>
      <c r="L1960" s="6">
        <f>_xlfn.MAXIFS('DETALLE CRONOLÓGICO'!$K$2:$K$4919,'DETALLE CRONOLÓGICO'!$A$2:$A$4919,$A1960)</f>
        <v/>
      </c>
      <c r="M1960" s="6">
        <f>INDEX('DETALLE CRONOLÓGICO'!$K$2:$K$4919,MATCH($A1960,'DETALLE CRONOLÓGICO'!$A$2:$A$4919,0)+$E1960-1)</f>
        <v/>
      </c>
      <c r="N1960" s="7">
        <f>IFERROR($M1960/INDEX('DETALLE CRONOLÓGICO'!$K$2:$K$4919,MATCH($A1960,'DETALLE CRONOLÓGICO'!$A$2:$A$4919,0))-1,"")</f>
        <v/>
      </c>
      <c r="O1960" s="6">
        <f>IFERROR($I1960*3,"")</f>
        <v/>
      </c>
      <c r="P1960" s="6">
        <f>IFERROR($I1960*3.5,"")</f>
        <v/>
      </c>
      <c r="Q1960" s="6">
        <f>IFERROR($I1960*4,"")</f>
        <v/>
      </c>
      <c r="R1960" s="6" t="n">
        <v>779</v>
      </c>
      <c r="S1960" s="4" t="n">
        <v>6</v>
      </c>
      <c r="T1960" s="1" t="inlineStr">
        <is>
          <t>active</t>
        </is>
      </c>
      <c r="U1960" s="8" t="n"/>
      <c r="V1960" s="1" t="inlineStr">
        <is>
          <t>SIN PRECIO</t>
        </is>
      </c>
    </row>
    <row r="1961">
      <c r="A1961" s="1" t="inlineStr">
        <is>
          <t>83765241087533</t>
        </is>
      </c>
      <c r="B1961" s="1" t="inlineStr">
        <is>
          <t>ANILLO LV INSTICT SILVER</t>
        </is>
      </c>
      <c r="C1961" s="1" t="inlineStr">
        <is>
          <t>8</t>
        </is>
      </c>
      <c r="D1961" s="1" t="inlineStr">
        <is>
          <t>HAIFENG</t>
        </is>
      </c>
      <c r="E1961" s="4">
        <f>COUNTIF('DETALLE CRONOLÓGICO'!$A$2:$A$4919,$A1961)</f>
        <v/>
      </c>
      <c r="F1961" s="4">
        <f>SUMIFS('DETALLE CRONOLÓGICO'!$I$2:$I$4919,'DETALLE CRONOLÓGICO'!$A$2:$A$4919,$A1961)</f>
        <v/>
      </c>
      <c r="G1961" s="1">
        <f>INDEX('DETALLE CRONOLÓGICO'!$D$2:$D$4919,MATCH($A1961,'DETALLE CRONOLÓGICO'!$A$2:$A$4919,0))</f>
        <v/>
      </c>
      <c r="H1961" s="1">
        <f>INDEX('DETALLE CRONOLÓGICO'!$D$2:$D$4919,MATCH($A1961,'DETALLE CRONOLÓGICO'!$A$2:$A$4919,0)+$E1961-1)</f>
        <v/>
      </c>
      <c r="I1961" s="5">
        <f>IFERROR(SUMIFS('DETALLE CRONOLÓGICO'!$L$2:$L$4919,'DETALLE CRONOLÓGICO'!$A$2:$A$4919,$A1961)/$F1961,"")</f>
        <v/>
      </c>
      <c r="J1961" s="6">
        <f>IFERROR(SUMIFS('DETALLE CRONOLÓGICO'!$K$2:$K$4919,'DETALLE CRONOLÓGICO'!$A$2:$A$4919,$A1961)/$E1961,"")</f>
        <v/>
      </c>
      <c r="K1961" s="6">
        <f>_xlfn.MINIFS('DETALLE CRONOLÓGICO'!$K$2:$K$4919,'DETALLE CRONOLÓGICO'!$A$2:$A$4919,$A1961)</f>
        <v/>
      </c>
      <c r="L1961" s="6">
        <f>_xlfn.MAXIFS('DETALLE CRONOLÓGICO'!$K$2:$K$4919,'DETALLE CRONOLÓGICO'!$A$2:$A$4919,$A1961)</f>
        <v/>
      </c>
      <c r="M1961" s="6">
        <f>INDEX('DETALLE CRONOLÓGICO'!$K$2:$K$4919,MATCH($A1961,'DETALLE CRONOLÓGICO'!$A$2:$A$4919,0)+$E1961-1)</f>
        <v/>
      </c>
      <c r="N1961" s="7">
        <f>IFERROR($M1961/INDEX('DETALLE CRONOLÓGICO'!$K$2:$K$4919,MATCH($A1961,'DETALLE CRONOLÓGICO'!$A$2:$A$4919,0))-1,"")</f>
        <v/>
      </c>
      <c r="O1961" s="6">
        <f>IFERROR($I1961*3,"")</f>
        <v/>
      </c>
      <c r="P1961" s="6">
        <f>IFERROR($I1961*3.5,"")</f>
        <v/>
      </c>
      <c r="Q1961" s="6">
        <f>IFERROR($I1961*4,"")</f>
        <v/>
      </c>
      <c r="R1961" s="6" t="n">
        <v>560</v>
      </c>
      <c r="S1961" s="4" t="n">
        <v>0</v>
      </c>
      <c r="T1961" s="1" t="inlineStr">
        <is>
          <t>active</t>
        </is>
      </c>
      <c r="U1961" s="8" t="n"/>
      <c r="V1961" s="1" t="inlineStr">
        <is>
          <t>SIN PRECIO</t>
        </is>
      </c>
    </row>
    <row r="1962">
      <c r="A1962" s="1" t="inlineStr">
        <is>
          <t>83844901025261</t>
        </is>
      </c>
      <c r="B1962" s="1" t="inlineStr">
        <is>
          <t>PULSERA DE TELA F GOLD BLACK</t>
        </is>
      </c>
      <c r="C1962" s="1" t="inlineStr">
        <is>
          <t>Default Title</t>
        </is>
      </c>
      <c r="D1962" s="1" t="inlineStr">
        <is>
          <t>ZOEY</t>
        </is>
      </c>
      <c r="E1962" s="4">
        <f>COUNTIF('DETALLE CRONOLÓGICO'!$A$2:$A$4919,$A1962)</f>
        <v/>
      </c>
      <c r="F1962" s="4">
        <f>SUMIFS('DETALLE CRONOLÓGICO'!$I$2:$I$4919,'DETALLE CRONOLÓGICO'!$A$2:$A$4919,$A1962)</f>
        <v/>
      </c>
      <c r="G1962" s="1">
        <f>INDEX('DETALLE CRONOLÓGICO'!$D$2:$D$4919,MATCH($A1962,'DETALLE CRONOLÓGICO'!$A$2:$A$4919,0))</f>
        <v/>
      </c>
      <c r="H1962" s="1">
        <f>INDEX('DETALLE CRONOLÓGICO'!$D$2:$D$4919,MATCH($A1962,'DETALLE CRONOLÓGICO'!$A$2:$A$4919,0)+$E1962-1)</f>
        <v/>
      </c>
      <c r="I1962" s="5">
        <f>IFERROR(SUMIFS('DETALLE CRONOLÓGICO'!$L$2:$L$4919,'DETALLE CRONOLÓGICO'!$A$2:$A$4919,$A1962)/$F1962,"")</f>
        <v/>
      </c>
      <c r="J1962" s="6">
        <f>IFERROR(SUMIFS('DETALLE CRONOLÓGICO'!$K$2:$K$4919,'DETALLE CRONOLÓGICO'!$A$2:$A$4919,$A1962)/$E1962,"")</f>
        <v/>
      </c>
      <c r="K1962" s="6">
        <f>_xlfn.MINIFS('DETALLE CRONOLÓGICO'!$K$2:$K$4919,'DETALLE CRONOLÓGICO'!$A$2:$A$4919,$A1962)</f>
        <v/>
      </c>
      <c r="L1962" s="6">
        <f>_xlfn.MAXIFS('DETALLE CRONOLÓGICO'!$K$2:$K$4919,'DETALLE CRONOLÓGICO'!$A$2:$A$4919,$A1962)</f>
        <v/>
      </c>
      <c r="M1962" s="6">
        <f>INDEX('DETALLE CRONOLÓGICO'!$K$2:$K$4919,MATCH($A1962,'DETALLE CRONOLÓGICO'!$A$2:$A$4919,0)+$E1962-1)</f>
        <v/>
      </c>
      <c r="N1962" s="7">
        <f>IFERROR($M1962/INDEX('DETALLE CRONOLÓGICO'!$K$2:$K$4919,MATCH($A1962,'DETALLE CRONOLÓGICO'!$A$2:$A$4919,0))-1,"")</f>
        <v/>
      </c>
      <c r="O1962" s="6">
        <f>IFERROR($I1962*3,"")</f>
        <v/>
      </c>
      <c r="P1962" s="6">
        <f>IFERROR($I1962*3.5,"")</f>
        <v/>
      </c>
      <c r="Q1962" s="6">
        <f>IFERROR($I1962*4,"")</f>
        <v/>
      </c>
      <c r="R1962" s="6" t="n">
        <v>599</v>
      </c>
      <c r="S1962" s="4" t="n">
        <v>0</v>
      </c>
      <c r="T1962" s="1" t="inlineStr">
        <is>
          <t>active</t>
        </is>
      </c>
      <c r="U1962" s="8" t="n"/>
      <c r="V1962" s="1" t="inlineStr">
        <is>
          <t>SIN PRECIO</t>
        </is>
      </c>
    </row>
    <row r="1963">
      <c r="A1963" s="1" t="inlineStr">
        <is>
          <t>84158211070285</t>
        </is>
      </c>
      <c r="B1963" s="1" t="inlineStr">
        <is>
          <t>COLLAR TREBOL ROSEGOLD-RED</t>
        </is>
      </c>
      <c r="C1963" s="1" t="inlineStr">
        <is>
          <t>High Quality 43cm y dije 10mm</t>
        </is>
      </c>
      <c r="D1963" s="1" t="inlineStr">
        <is>
          <t>HAIFENG</t>
        </is>
      </c>
      <c r="E1963" s="4">
        <f>COUNTIF('DETALLE CRONOLÓGICO'!$A$2:$A$4919,$A1963)</f>
        <v/>
      </c>
      <c r="F1963" s="4">
        <f>SUMIFS('DETALLE CRONOLÓGICO'!$I$2:$I$4919,'DETALLE CRONOLÓGICO'!$A$2:$A$4919,$A1963)</f>
        <v/>
      </c>
      <c r="G1963" s="1">
        <f>INDEX('DETALLE CRONOLÓGICO'!$D$2:$D$4919,MATCH($A1963,'DETALLE CRONOLÓGICO'!$A$2:$A$4919,0))</f>
        <v/>
      </c>
      <c r="H1963" s="1">
        <f>INDEX('DETALLE CRONOLÓGICO'!$D$2:$D$4919,MATCH($A1963,'DETALLE CRONOLÓGICO'!$A$2:$A$4919,0)+$E1963-1)</f>
        <v/>
      </c>
      <c r="I1963" s="5">
        <f>IFERROR(SUMIFS('DETALLE CRONOLÓGICO'!$L$2:$L$4919,'DETALLE CRONOLÓGICO'!$A$2:$A$4919,$A1963)/$F1963,"")</f>
        <v/>
      </c>
      <c r="J1963" s="6">
        <f>IFERROR(SUMIFS('DETALLE CRONOLÓGICO'!$K$2:$K$4919,'DETALLE CRONOLÓGICO'!$A$2:$A$4919,$A1963)/$E1963,"")</f>
        <v/>
      </c>
      <c r="K1963" s="6">
        <f>_xlfn.MINIFS('DETALLE CRONOLÓGICO'!$K$2:$K$4919,'DETALLE CRONOLÓGICO'!$A$2:$A$4919,$A1963)</f>
        <v/>
      </c>
      <c r="L1963" s="6">
        <f>_xlfn.MAXIFS('DETALLE CRONOLÓGICO'!$K$2:$K$4919,'DETALLE CRONOLÓGICO'!$A$2:$A$4919,$A1963)</f>
        <v/>
      </c>
      <c r="M1963" s="6">
        <f>INDEX('DETALLE CRONOLÓGICO'!$K$2:$K$4919,MATCH($A1963,'DETALLE CRONOLÓGICO'!$A$2:$A$4919,0)+$E1963-1)</f>
        <v/>
      </c>
      <c r="N1963" s="7">
        <f>IFERROR($M1963/INDEX('DETALLE CRONOLÓGICO'!$K$2:$K$4919,MATCH($A1963,'DETALLE CRONOLÓGICO'!$A$2:$A$4919,0))-1,"")</f>
        <v/>
      </c>
      <c r="O1963" s="6">
        <f>IFERROR($I1963*3,"")</f>
        <v/>
      </c>
      <c r="P1963" s="6">
        <f>IFERROR($I1963*3.5,"")</f>
        <v/>
      </c>
      <c r="Q1963" s="6">
        <f>IFERROR($I1963*4,"")</f>
        <v/>
      </c>
      <c r="R1963" s="6" t="n">
        <v>599</v>
      </c>
      <c r="S1963" s="4" t="n">
        <v>0</v>
      </c>
      <c r="T1963" s="1" t="inlineStr">
        <is>
          <t>active</t>
        </is>
      </c>
      <c r="U1963" s="8" t="n"/>
      <c r="V1963" s="1" t="inlineStr">
        <is>
          <t>SIN PRECIO</t>
        </is>
      </c>
    </row>
    <row r="1964">
      <c r="A1964" s="1" t="inlineStr">
        <is>
          <t>84159921033261</t>
        </is>
      </c>
      <c r="B1964" s="1" t="inlineStr">
        <is>
          <t>PULSERA GC ROSE GOLD BLONDIE CON ZIRCONIAS</t>
        </is>
      </c>
      <c r="C1964" s="1" t="inlineStr">
        <is>
          <t>Default Title</t>
        </is>
      </c>
      <c r="D1964" s="1" t="inlineStr">
        <is>
          <t>ZOEY</t>
        </is>
      </c>
      <c r="E1964" s="4">
        <f>COUNTIF('DETALLE CRONOLÓGICO'!$A$2:$A$4919,$A1964)</f>
        <v/>
      </c>
      <c r="F1964" s="4">
        <f>SUMIFS('DETALLE CRONOLÓGICO'!$I$2:$I$4919,'DETALLE CRONOLÓGICO'!$A$2:$A$4919,$A1964)</f>
        <v/>
      </c>
      <c r="G1964" s="1">
        <f>INDEX('DETALLE CRONOLÓGICO'!$D$2:$D$4919,MATCH($A1964,'DETALLE CRONOLÓGICO'!$A$2:$A$4919,0))</f>
        <v/>
      </c>
      <c r="H1964" s="1">
        <f>INDEX('DETALLE CRONOLÓGICO'!$D$2:$D$4919,MATCH($A1964,'DETALLE CRONOLÓGICO'!$A$2:$A$4919,0)+$E1964-1)</f>
        <v/>
      </c>
      <c r="I1964" s="5">
        <f>IFERROR(SUMIFS('DETALLE CRONOLÓGICO'!$L$2:$L$4919,'DETALLE CRONOLÓGICO'!$A$2:$A$4919,$A1964)/$F1964,"")</f>
        <v/>
      </c>
      <c r="J1964" s="6">
        <f>IFERROR(SUMIFS('DETALLE CRONOLÓGICO'!$K$2:$K$4919,'DETALLE CRONOLÓGICO'!$A$2:$A$4919,$A1964)/$E1964,"")</f>
        <v/>
      </c>
      <c r="K1964" s="6">
        <f>_xlfn.MINIFS('DETALLE CRONOLÓGICO'!$K$2:$K$4919,'DETALLE CRONOLÓGICO'!$A$2:$A$4919,$A1964)</f>
        <v/>
      </c>
      <c r="L1964" s="6">
        <f>_xlfn.MAXIFS('DETALLE CRONOLÓGICO'!$K$2:$K$4919,'DETALLE CRONOLÓGICO'!$A$2:$A$4919,$A1964)</f>
        <v/>
      </c>
      <c r="M1964" s="6">
        <f>INDEX('DETALLE CRONOLÓGICO'!$K$2:$K$4919,MATCH($A1964,'DETALLE CRONOLÓGICO'!$A$2:$A$4919,0)+$E1964-1)</f>
        <v/>
      </c>
      <c r="N1964" s="7">
        <f>IFERROR($M1964/INDEX('DETALLE CRONOLÓGICO'!$K$2:$K$4919,MATCH($A1964,'DETALLE CRONOLÓGICO'!$A$2:$A$4919,0))-1,"")</f>
        <v/>
      </c>
      <c r="O1964" s="6">
        <f>IFERROR($I1964*3,"")</f>
        <v/>
      </c>
      <c r="P1964" s="6">
        <f>IFERROR($I1964*3.5,"")</f>
        <v/>
      </c>
      <c r="Q1964" s="6">
        <f>IFERROR($I1964*4,"")</f>
        <v/>
      </c>
      <c r="R1964" s="6" t="n">
        <v>652</v>
      </c>
      <c r="S1964" s="4" t="n">
        <v>3</v>
      </c>
      <c r="T1964" s="1" t="inlineStr">
        <is>
          <t>active</t>
        </is>
      </c>
      <c r="U1964" s="8" t="n"/>
      <c r="V1964" s="1" t="inlineStr">
        <is>
          <t>SIN PRECIO</t>
        </is>
      </c>
    </row>
    <row r="1965">
      <c r="A1965" s="1" t="inlineStr">
        <is>
          <t>84911031092013</t>
        </is>
      </c>
      <c r="B1965" s="1" t="inlineStr">
        <is>
          <t>PULSERA GC GOLD BLONDIE CON ZIRCONIAS</t>
        </is>
      </c>
      <c r="C1965" s="1" t="inlineStr">
        <is>
          <t>Default Title</t>
        </is>
      </c>
      <c r="D1965" s="1" t="inlineStr">
        <is>
          <t>ZOEY</t>
        </is>
      </c>
      <c r="E1965" s="4">
        <f>COUNTIF('DETALLE CRONOLÓGICO'!$A$2:$A$4919,$A1965)</f>
        <v/>
      </c>
      <c r="F1965" s="4">
        <f>SUMIFS('DETALLE CRONOLÓGICO'!$I$2:$I$4919,'DETALLE CRONOLÓGICO'!$A$2:$A$4919,$A1965)</f>
        <v/>
      </c>
      <c r="G1965" s="1">
        <f>INDEX('DETALLE CRONOLÓGICO'!$D$2:$D$4919,MATCH($A1965,'DETALLE CRONOLÓGICO'!$A$2:$A$4919,0))</f>
        <v/>
      </c>
      <c r="H1965" s="1">
        <f>INDEX('DETALLE CRONOLÓGICO'!$D$2:$D$4919,MATCH($A1965,'DETALLE CRONOLÓGICO'!$A$2:$A$4919,0)+$E1965-1)</f>
        <v/>
      </c>
      <c r="I1965" s="5">
        <f>IFERROR(SUMIFS('DETALLE CRONOLÓGICO'!$L$2:$L$4919,'DETALLE CRONOLÓGICO'!$A$2:$A$4919,$A1965)/$F1965,"")</f>
        <v/>
      </c>
      <c r="J1965" s="6">
        <f>IFERROR(SUMIFS('DETALLE CRONOLÓGICO'!$K$2:$K$4919,'DETALLE CRONOLÓGICO'!$A$2:$A$4919,$A1965)/$E1965,"")</f>
        <v/>
      </c>
      <c r="K1965" s="6">
        <f>_xlfn.MINIFS('DETALLE CRONOLÓGICO'!$K$2:$K$4919,'DETALLE CRONOLÓGICO'!$A$2:$A$4919,$A1965)</f>
        <v/>
      </c>
      <c r="L1965" s="6">
        <f>_xlfn.MAXIFS('DETALLE CRONOLÓGICO'!$K$2:$K$4919,'DETALLE CRONOLÓGICO'!$A$2:$A$4919,$A1965)</f>
        <v/>
      </c>
      <c r="M1965" s="6">
        <f>INDEX('DETALLE CRONOLÓGICO'!$K$2:$K$4919,MATCH($A1965,'DETALLE CRONOLÓGICO'!$A$2:$A$4919,0)+$E1965-1)</f>
        <v/>
      </c>
      <c r="N1965" s="7">
        <f>IFERROR($M1965/INDEX('DETALLE CRONOLÓGICO'!$K$2:$K$4919,MATCH($A1965,'DETALLE CRONOLÓGICO'!$A$2:$A$4919,0))-1,"")</f>
        <v/>
      </c>
      <c r="O1965" s="6">
        <f>IFERROR($I1965*3,"")</f>
        <v/>
      </c>
      <c r="P1965" s="6">
        <f>IFERROR($I1965*3.5,"")</f>
        <v/>
      </c>
      <c r="Q1965" s="6">
        <f>IFERROR($I1965*4,"")</f>
        <v/>
      </c>
      <c r="R1965" s="6" t="n">
        <v>1599</v>
      </c>
      <c r="S1965" s="4" t="n">
        <v>2</v>
      </c>
      <c r="T1965" s="1" t="inlineStr">
        <is>
          <t>active</t>
        </is>
      </c>
      <c r="U1965" s="8" t="n"/>
      <c r="V1965" s="1" t="inlineStr">
        <is>
          <t>SIN PRECIO</t>
        </is>
      </c>
    </row>
    <row r="1966">
      <c r="A1966" s="1" t="inlineStr">
        <is>
          <t>85245863092492</t>
        </is>
      </c>
      <c r="B1966" s="1" t="inlineStr">
        <is>
          <t>PULSERA DE TELA TRES AROS RED</t>
        </is>
      </c>
      <c r="C1966" s="1" t="inlineStr">
        <is>
          <t>AJUSTABLE</t>
        </is>
      </c>
      <c r="D1966" s="1" t="inlineStr">
        <is>
          <t>HAIFENG</t>
        </is>
      </c>
      <c r="E1966" s="4">
        <f>COUNTIF('DETALLE CRONOLÓGICO'!$A$2:$A$4919,$A1966)</f>
        <v/>
      </c>
      <c r="F1966" s="4">
        <f>SUMIFS('DETALLE CRONOLÓGICO'!$I$2:$I$4919,'DETALLE CRONOLÓGICO'!$A$2:$A$4919,$A1966)</f>
        <v/>
      </c>
      <c r="G1966" s="1">
        <f>INDEX('DETALLE CRONOLÓGICO'!$D$2:$D$4919,MATCH($A1966,'DETALLE CRONOLÓGICO'!$A$2:$A$4919,0))</f>
        <v/>
      </c>
      <c r="H1966" s="1">
        <f>INDEX('DETALLE CRONOLÓGICO'!$D$2:$D$4919,MATCH($A1966,'DETALLE CRONOLÓGICO'!$A$2:$A$4919,0)+$E1966-1)</f>
        <v/>
      </c>
      <c r="I1966" s="5">
        <f>IFERROR(SUMIFS('DETALLE CRONOLÓGICO'!$L$2:$L$4919,'DETALLE CRONOLÓGICO'!$A$2:$A$4919,$A1966)/$F1966,"")</f>
        <v/>
      </c>
      <c r="J1966" s="6">
        <f>IFERROR(SUMIFS('DETALLE CRONOLÓGICO'!$K$2:$K$4919,'DETALLE CRONOLÓGICO'!$A$2:$A$4919,$A1966)/$E1966,"")</f>
        <v/>
      </c>
      <c r="K1966" s="6">
        <f>_xlfn.MINIFS('DETALLE CRONOLÓGICO'!$K$2:$K$4919,'DETALLE CRONOLÓGICO'!$A$2:$A$4919,$A1966)</f>
        <v/>
      </c>
      <c r="L1966" s="6">
        <f>_xlfn.MAXIFS('DETALLE CRONOLÓGICO'!$K$2:$K$4919,'DETALLE CRONOLÓGICO'!$A$2:$A$4919,$A1966)</f>
        <v/>
      </c>
      <c r="M1966" s="6">
        <f>INDEX('DETALLE CRONOLÓGICO'!$K$2:$K$4919,MATCH($A1966,'DETALLE CRONOLÓGICO'!$A$2:$A$4919,0)+$E1966-1)</f>
        <v/>
      </c>
      <c r="N1966" s="7">
        <f>IFERROR($M1966/INDEX('DETALLE CRONOLÓGICO'!$K$2:$K$4919,MATCH($A1966,'DETALLE CRONOLÓGICO'!$A$2:$A$4919,0))-1,"")</f>
        <v/>
      </c>
      <c r="O1966" s="6">
        <f>IFERROR($I1966*3,"")</f>
        <v/>
      </c>
      <c r="P1966" s="6">
        <f>IFERROR($I1966*3.5,"")</f>
        <v/>
      </c>
      <c r="Q1966" s="6">
        <f>IFERROR($I1966*4,"")</f>
        <v/>
      </c>
      <c r="R1966" s="6" t="n">
        <v>399</v>
      </c>
      <c r="S1966" s="4" t="n">
        <v>0</v>
      </c>
      <c r="T1966" s="1" t="inlineStr">
        <is>
          <t>active</t>
        </is>
      </c>
      <c r="U1966" s="8" t="n"/>
      <c r="V1966" s="1" t="inlineStr">
        <is>
          <t>SIN PRECIO</t>
        </is>
      </c>
    </row>
    <row r="1967">
      <c r="A1967" s="1" t="inlineStr">
        <is>
          <t>85367151238285</t>
        </is>
      </c>
      <c r="B1967" s="1" t="inlineStr">
        <is>
          <t>BOLSO CD SAFARI OBLIQUE</t>
        </is>
      </c>
      <c r="C1967" s="1" t="inlineStr">
        <is>
          <t>BLACK/BLUE</t>
        </is>
      </c>
      <c r="D1967" s="1" t="inlineStr">
        <is>
          <t>DINA DU</t>
        </is>
      </c>
      <c r="E1967" s="4">
        <f>COUNTIF('DETALLE CRONOLÓGICO'!$A$2:$A$4919,$A1967)</f>
        <v/>
      </c>
      <c r="F1967" s="4">
        <f>SUMIFS('DETALLE CRONOLÓGICO'!$I$2:$I$4919,'DETALLE CRONOLÓGICO'!$A$2:$A$4919,$A1967)</f>
        <v/>
      </c>
      <c r="G1967" s="1">
        <f>INDEX('DETALLE CRONOLÓGICO'!$D$2:$D$4919,MATCH($A1967,'DETALLE CRONOLÓGICO'!$A$2:$A$4919,0))</f>
        <v/>
      </c>
      <c r="H1967" s="1">
        <f>INDEX('DETALLE CRONOLÓGICO'!$D$2:$D$4919,MATCH($A1967,'DETALLE CRONOLÓGICO'!$A$2:$A$4919,0)+$E1967-1)</f>
        <v/>
      </c>
      <c r="I1967" s="5">
        <f>IFERROR(SUMIFS('DETALLE CRONOLÓGICO'!$L$2:$L$4919,'DETALLE CRONOLÓGICO'!$A$2:$A$4919,$A1967)/$F1967,"")</f>
        <v/>
      </c>
      <c r="J1967" s="6">
        <f>IFERROR(SUMIFS('DETALLE CRONOLÓGICO'!$K$2:$K$4919,'DETALLE CRONOLÓGICO'!$A$2:$A$4919,$A1967)/$E1967,"")</f>
        <v/>
      </c>
      <c r="K1967" s="6">
        <f>_xlfn.MINIFS('DETALLE CRONOLÓGICO'!$K$2:$K$4919,'DETALLE CRONOLÓGICO'!$A$2:$A$4919,$A1967)</f>
        <v/>
      </c>
      <c r="L1967" s="6">
        <f>_xlfn.MAXIFS('DETALLE CRONOLÓGICO'!$K$2:$K$4919,'DETALLE CRONOLÓGICO'!$A$2:$A$4919,$A1967)</f>
        <v/>
      </c>
      <c r="M1967" s="6">
        <f>INDEX('DETALLE CRONOLÓGICO'!$K$2:$K$4919,MATCH($A1967,'DETALLE CRONOLÓGICO'!$A$2:$A$4919,0)+$E1967-1)</f>
        <v/>
      </c>
      <c r="N1967" s="7">
        <f>IFERROR($M1967/INDEX('DETALLE CRONOLÓGICO'!$K$2:$K$4919,MATCH($A1967,'DETALLE CRONOLÓGICO'!$A$2:$A$4919,0))-1,"")</f>
        <v/>
      </c>
      <c r="O1967" s="6">
        <f>IFERROR($I1967*3,"")</f>
        <v/>
      </c>
      <c r="P1967" s="6">
        <f>IFERROR($I1967*3.5,"")</f>
        <v/>
      </c>
      <c r="Q1967" s="6">
        <f>IFERROR($I1967*4,"")</f>
        <v/>
      </c>
      <c r="R1967" s="6" t="n">
        <v>2924</v>
      </c>
      <c r="S1967" s="4" t="n">
        <v>1</v>
      </c>
      <c r="T1967" s="1" t="inlineStr">
        <is>
          <t>active</t>
        </is>
      </c>
      <c r="U1967" s="8" t="n"/>
      <c r="V1967" s="1" t="inlineStr">
        <is>
          <t>SIN PRECIO</t>
        </is>
      </c>
    </row>
    <row r="1968">
      <c r="A1968" s="1" t="inlineStr">
        <is>
          <t>85367151372749</t>
        </is>
      </c>
      <c r="B1968" s="1" t="inlineStr">
        <is>
          <t>BOLSO CD MESSENGER SOLAPA</t>
        </is>
      </c>
      <c r="C1968" s="1" t="inlineStr">
        <is>
          <t>BLACK</t>
        </is>
      </c>
      <c r="D1968" s="1" t="inlineStr">
        <is>
          <t>DINA DU</t>
        </is>
      </c>
      <c r="E1968" s="4">
        <f>COUNTIF('DETALLE CRONOLÓGICO'!$A$2:$A$4919,$A1968)</f>
        <v/>
      </c>
      <c r="F1968" s="4">
        <f>SUMIFS('DETALLE CRONOLÓGICO'!$I$2:$I$4919,'DETALLE CRONOLÓGICO'!$A$2:$A$4919,$A1968)</f>
        <v/>
      </c>
      <c r="G1968" s="1">
        <f>INDEX('DETALLE CRONOLÓGICO'!$D$2:$D$4919,MATCH($A1968,'DETALLE CRONOLÓGICO'!$A$2:$A$4919,0))</f>
        <v/>
      </c>
      <c r="H1968" s="1">
        <f>INDEX('DETALLE CRONOLÓGICO'!$D$2:$D$4919,MATCH($A1968,'DETALLE CRONOLÓGICO'!$A$2:$A$4919,0)+$E1968-1)</f>
        <v/>
      </c>
      <c r="I1968" s="5">
        <f>IFERROR(SUMIFS('DETALLE CRONOLÓGICO'!$L$2:$L$4919,'DETALLE CRONOLÓGICO'!$A$2:$A$4919,$A1968)/$F1968,"")</f>
        <v/>
      </c>
      <c r="J1968" s="6">
        <f>IFERROR(SUMIFS('DETALLE CRONOLÓGICO'!$K$2:$K$4919,'DETALLE CRONOLÓGICO'!$A$2:$A$4919,$A1968)/$E1968,"")</f>
        <v/>
      </c>
      <c r="K1968" s="6">
        <f>_xlfn.MINIFS('DETALLE CRONOLÓGICO'!$K$2:$K$4919,'DETALLE CRONOLÓGICO'!$A$2:$A$4919,$A1968)</f>
        <v/>
      </c>
      <c r="L1968" s="6">
        <f>_xlfn.MAXIFS('DETALLE CRONOLÓGICO'!$K$2:$K$4919,'DETALLE CRONOLÓGICO'!$A$2:$A$4919,$A1968)</f>
        <v/>
      </c>
      <c r="M1968" s="6">
        <f>INDEX('DETALLE CRONOLÓGICO'!$K$2:$K$4919,MATCH($A1968,'DETALLE CRONOLÓGICO'!$A$2:$A$4919,0)+$E1968-1)</f>
        <v/>
      </c>
      <c r="N1968" s="7">
        <f>IFERROR($M1968/INDEX('DETALLE CRONOLÓGICO'!$K$2:$K$4919,MATCH($A1968,'DETALLE CRONOLÓGICO'!$A$2:$A$4919,0))-1,"")</f>
        <v/>
      </c>
      <c r="O1968" s="6">
        <f>IFERROR($I1968*3,"")</f>
        <v/>
      </c>
      <c r="P1968" s="6">
        <f>IFERROR($I1968*3.5,"")</f>
        <v/>
      </c>
      <c r="Q1968" s="6">
        <f>IFERROR($I1968*4,"")</f>
        <v/>
      </c>
      <c r="R1968" s="6" t="n">
        <v>4021.57</v>
      </c>
      <c r="S1968" s="4" t="n">
        <v>0</v>
      </c>
      <c r="T1968" s="1" t="inlineStr">
        <is>
          <t>active</t>
        </is>
      </c>
      <c r="U1968" s="8" t="n"/>
      <c r="V1968" s="1" t="inlineStr">
        <is>
          <t>SIN PRECIO</t>
        </is>
      </c>
    </row>
    <row r="1969">
      <c r="A1969" s="1" t="inlineStr">
        <is>
          <t>85367151407213</t>
        </is>
      </c>
      <c r="B1969" s="1" t="inlineStr">
        <is>
          <t>CARTERA LV SARAH MONOGRAM</t>
        </is>
      </c>
      <c r="C1969" s="1" t="inlineStr">
        <is>
          <t>BROWN</t>
        </is>
      </c>
      <c r="D1969" s="1" t="inlineStr">
        <is>
          <t>DINA DU</t>
        </is>
      </c>
      <c r="E1969" s="4">
        <f>COUNTIF('DETALLE CRONOLÓGICO'!$A$2:$A$4919,$A1969)</f>
        <v/>
      </c>
      <c r="F1969" s="4">
        <f>SUMIFS('DETALLE CRONOLÓGICO'!$I$2:$I$4919,'DETALLE CRONOLÓGICO'!$A$2:$A$4919,$A1969)</f>
        <v/>
      </c>
      <c r="G1969" s="1">
        <f>INDEX('DETALLE CRONOLÓGICO'!$D$2:$D$4919,MATCH($A1969,'DETALLE CRONOLÓGICO'!$A$2:$A$4919,0))</f>
        <v/>
      </c>
      <c r="H1969" s="1">
        <f>INDEX('DETALLE CRONOLÓGICO'!$D$2:$D$4919,MATCH($A1969,'DETALLE CRONOLÓGICO'!$A$2:$A$4919,0)+$E1969-1)</f>
        <v/>
      </c>
      <c r="I1969" s="5">
        <f>IFERROR(SUMIFS('DETALLE CRONOLÓGICO'!$L$2:$L$4919,'DETALLE CRONOLÓGICO'!$A$2:$A$4919,$A1969)/$F1969,"")</f>
        <v/>
      </c>
      <c r="J1969" s="6">
        <f>IFERROR(SUMIFS('DETALLE CRONOLÓGICO'!$K$2:$K$4919,'DETALLE CRONOLÓGICO'!$A$2:$A$4919,$A1969)/$E1969,"")</f>
        <v/>
      </c>
      <c r="K1969" s="6">
        <f>_xlfn.MINIFS('DETALLE CRONOLÓGICO'!$K$2:$K$4919,'DETALLE CRONOLÓGICO'!$A$2:$A$4919,$A1969)</f>
        <v/>
      </c>
      <c r="L1969" s="6">
        <f>_xlfn.MAXIFS('DETALLE CRONOLÓGICO'!$K$2:$K$4919,'DETALLE CRONOLÓGICO'!$A$2:$A$4919,$A1969)</f>
        <v/>
      </c>
      <c r="M1969" s="6">
        <f>INDEX('DETALLE CRONOLÓGICO'!$K$2:$K$4919,MATCH($A1969,'DETALLE CRONOLÓGICO'!$A$2:$A$4919,0)+$E1969-1)</f>
        <v/>
      </c>
      <c r="N1969" s="7">
        <f>IFERROR($M1969/INDEX('DETALLE CRONOLÓGICO'!$K$2:$K$4919,MATCH($A1969,'DETALLE CRONOLÓGICO'!$A$2:$A$4919,0))-1,"")</f>
        <v/>
      </c>
      <c r="O1969" s="6">
        <f>IFERROR($I1969*3,"")</f>
        <v/>
      </c>
      <c r="P1969" s="6">
        <f>IFERROR($I1969*3.5,"")</f>
        <v/>
      </c>
      <c r="Q1969" s="6">
        <f>IFERROR($I1969*4,"")</f>
        <v/>
      </c>
      <c r="R1969" s="6" t="n">
        <v>1929</v>
      </c>
      <c r="S1969" s="4" t="n">
        <v>0</v>
      </c>
      <c r="T1969" s="1" t="inlineStr">
        <is>
          <t>active</t>
        </is>
      </c>
      <c r="U1969" s="8" t="n"/>
      <c r="V1969" s="1" t="inlineStr">
        <is>
          <t>SIN PRECIO</t>
        </is>
      </c>
    </row>
    <row r="1970">
      <c r="A1970" s="1" t="inlineStr">
        <is>
          <t>85367151541677</t>
        </is>
      </c>
      <c r="B1970" s="1" t="inlineStr">
        <is>
          <t>TARJETERO C LOGO</t>
        </is>
      </c>
      <c r="C1970" s="1" t="inlineStr">
        <is>
          <t>BLACK/GOLD</t>
        </is>
      </c>
      <c r="D1970" s="1" t="inlineStr">
        <is>
          <t>DINA DU</t>
        </is>
      </c>
      <c r="E1970" s="4">
        <f>COUNTIF('DETALLE CRONOLÓGICO'!$A$2:$A$4919,$A1970)</f>
        <v/>
      </c>
      <c r="F1970" s="4">
        <f>SUMIFS('DETALLE CRONOLÓGICO'!$I$2:$I$4919,'DETALLE CRONOLÓGICO'!$A$2:$A$4919,$A1970)</f>
        <v/>
      </c>
      <c r="G1970" s="1">
        <f>INDEX('DETALLE CRONOLÓGICO'!$D$2:$D$4919,MATCH($A1970,'DETALLE CRONOLÓGICO'!$A$2:$A$4919,0))</f>
        <v/>
      </c>
      <c r="H1970" s="1">
        <f>INDEX('DETALLE CRONOLÓGICO'!$D$2:$D$4919,MATCH($A1970,'DETALLE CRONOLÓGICO'!$A$2:$A$4919,0)+$E1970-1)</f>
        <v/>
      </c>
      <c r="I1970" s="5">
        <f>IFERROR(SUMIFS('DETALLE CRONOLÓGICO'!$L$2:$L$4919,'DETALLE CRONOLÓGICO'!$A$2:$A$4919,$A1970)/$F1970,"")</f>
        <v/>
      </c>
      <c r="J1970" s="6">
        <f>IFERROR(SUMIFS('DETALLE CRONOLÓGICO'!$K$2:$K$4919,'DETALLE CRONOLÓGICO'!$A$2:$A$4919,$A1970)/$E1970,"")</f>
        <v/>
      </c>
      <c r="K1970" s="6">
        <f>_xlfn.MINIFS('DETALLE CRONOLÓGICO'!$K$2:$K$4919,'DETALLE CRONOLÓGICO'!$A$2:$A$4919,$A1970)</f>
        <v/>
      </c>
      <c r="L1970" s="6">
        <f>_xlfn.MAXIFS('DETALLE CRONOLÓGICO'!$K$2:$K$4919,'DETALLE CRONOLÓGICO'!$A$2:$A$4919,$A1970)</f>
        <v/>
      </c>
      <c r="M1970" s="6">
        <f>INDEX('DETALLE CRONOLÓGICO'!$K$2:$K$4919,MATCH($A1970,'DETALLE CRONOLÓGICO'!$A$2:$A$4919,0)+$E1970-1)</f>
        <v/>
      </c>
      <c r="N1970" s="7">
        <f>IFERROR($M1970/INDEX('DETALLE CRONOLÓGICO'!$K$2:$K$4919,MATCH($A1970,'DETALLE CRONOLÓGICO'!$A$2:$A$4919,0))-1,"")</f>
        <v/>
      </c>
      <c r="O1970" s="6">
        <f>IFERROR($I1970*3,"")</f>
        <v/>
      </c>
      <c r="P1970" s="6">
        <f>IFERROR($I1970*3.5,"")</f>
        <v/>
      </c>
      <c r="Q1970" s="6">
        <f>IFERROR($I1970*4,"")</f>
        <v/>
      </c>
      <c r="R1970" s="6" t="n">
        <v>1299</v>
      </c>
      <c r="S1970" s="4" t="n">
        <v>0</v>
      </c>
      <c r="T1970" s="1" t="inlineStr">
        <is>
          <t>active</t>
        </is>
      </c>
      <c r="U1970" s="8" t="n"/>
      <c r="V1970" s="1" t="inlineStr">
        <is>
          <t>SIN PRECIO</t>
        </is>
      </c>
    </row>
    <row r="1971">
      <c r="A1971" s="1" t="inlineStr">
        <is>
          <t>85367151645069</t>
        </is>
      </c>
      <c r="B1971" s="1" t="inlineStr">
        <is>
          <t>CARTERA C SMALL BLACK</t>
        </is>
      </c>
      <c r="C1971" s="1" t="inlineStr">
        <is>
          <t>BLACK/GOLD</t>
        </is>
      </c>
      <c r="D1971" s="1" t="inlineStr">
        <is>
          <t>DINA DU</t>
        </is>
      </c>
      <c r="E1971" s="4">
        <f>COUNTIF('DETALLE CRONOLÓGICO'!$A$2:$A$4919,$A1971)</f>
        <v/>
      </c>
      <c r="F1971" s="4">
        <f>SUMIFS('DETALLE CRONOLÓGICO'!$I$2:$I$4919,'DETALLE CRONOLÓGICO'!$A$2:$A$4919,$A1971)</f>
        <v/>
      </c>
      <c r="G1971" s="1">
        <f>INDEX('DETALLE CRONOLÓGICO'!$D$2:$D$4919,MATCH($A1971,'DETALLE CRONOLÓGICO'!$A$2:$A$4919,0))</f>
        <v/>
      </c>
      <c r="H1971" s="1">
        <f>INDEX('DETALLE CRONOLÓGICO'!$D$2:$D$4919,MATCH($A1971,'DETALLE CRONOLÓGICO'!$A$2:$A$4919,0)+$E1971-1)</f>
        <v/>
      </c>
      <c r="I1971" s="5">
        <f>IFERROR(SUMIFS('DETALLE CRONOLÓGICO'!$L$2:$L$4919,'DETALLE CRONOLÓGICO'!$A$2:$A$4919,$A1971)/$F1971,"")</f>
        <v/>
      </c>
      <c r="J1971" s="6">
        <f>IFERROR(SUMIFS('DETALLE CRONOLÓGICO'!$K$2:$K$4919,'DETALLE CRONOLÓGICO'!$A$2:$A$4919,$A1971)/$E1971,"")</f>
        <v/>
      </c>
      <c r="K1971" s="6">
        <f>_xlfn.MINIFS('DETALLE CRONOLÓGICO'!$K$2:$K$4919,'DETALLE CRONOLÓGICO'!$A$2:$A$4919,$A1971)</f>
        <v/>
      </c>
      <c r="L1971" s="6">
        <f>_xlfn.MAXIFS('DETALLE CRONOLÓGICO'!$K$2:$K$4919,'DETALLE CRONOLÓGICO'!$A$2:$A$4919,$A1971)</f>
        <v/>
      </c>
      <c r="M1971" s="6">
        <f>INDEX('DETALLE CRONOLÓGICO'!$K$2:$K$4919,MATCH($A1971,'DETALLE CRONOLÓGICO'!$A$2:$A$4919,0)+$E1971-1)</f>
        <v/>
      </c>
      <c r="N1971" s="7">
        <f>IFERROR($M1971/INDEX('DETALLE CRONOLÓGICO'!$K$2:$K$4919,MATCH($A1971,'DETALLE CRONOLÓGICO'!$A$2:$A$4919,0))-1,"")</f>
        <v/>
      </c>
      <c r="O1971" s="6">
        <f>IFERROR($I1971*3,"")</f>
        <v/>
      </c>
      <c r="P1971" s="6">
        <f>IFERROR($I1971*3.5,"")</f>
        <v/>
      </c>
      <c r="Q1971" s="6">
        <f>IFERROR($I1971*4,"")</f>
        <v/>
      </c>
      <c r="R1971" s="6" t="n">
        <v>2999</v>
      </c>
      <c r="S1971" s="4" t="n">
        <v>3</v>
      </c>
      <c r="T1971" s="1" t="inlineStr">
        <is>
          <t>active</t>
        </is>
      </c>
      <c r="U1971" s="8" t="n"/>
      <c r="V1971" s="1" t="inlineStr">
        <is>
          <t>SIN PRECIO</t>
        </is>
      </c>
    </row>
    <row r="1972">
      <c r="A1972" s="1" t="inlineStr">
        <is>
          <t>85367151779533</t>
        </is>
      </c>
      <c r="B1972" s="1" t="inlineStr">
        <is>
          <t>CARTERA PR LOGO</t>
        </is>
      </c>
      <c r="C1972" s="1" t="inlineStr">
        <is>
          <t>BLACK/GOLD</t>
        </is>
      </c>
      <c r="D1972" s="1" t="inlineStr">
        <is>
          <t>DINA DU</t>
        </is>
      </c>
      <c r="E1972" s="4">
        <f>COUNTIF('DETALLE CRONOLÓGICO'!$A$2:$A$4919,$A1972)</f>
        <v/>
      </c>
      <c r="F1972" s="4">
        <f>SUMIFS('DETALLE CRONOLÓGICO'!$I$2:$I$4919,'DETALLE CRONOLÓGICO'!$A$2:$A$4919,$A1972)</f>
        <v/>
      </c>
      <c r="G1972" s="1">
        <f>INDEX('DETALLE CRONOLÓGICO'!$D$2:$D$4919,MATCH($A1972,'DETALLE CRONOLÓGICO'!$A$2:$A$4919,0))</f>
        <v/>
      </c>
      <c r="H1972" s="1">
        <f>INDEX('DETALLE CRONOLÓGICO'!$D$2:$D$4919,MATCH($A1972,'DETALLE CRONOLÓGICO'!$A$2:$A$4919,0)+$E1972-1)</f>
        <v/>
      </c>
      <c r="I1972" s="5">
        <f>IFERROR(SUMIFS('DETALLE CRONOLÓGICO'!$L$2:$L$4919,'DETALLE CRONOLÓGICO'!$A$2:$A$4919,$A1972)/$F1972,"")</f>
        <v/>
      </c>
      <c r="J1972" s="6">
        <f>IFERROR(SUMIFS('DETALLE CRONOLÓGICO'!$K$2:$K$4919,'DETALLE CRONOLÓGICO'!$A$2:$A$4919,$A1972)/$E1972,"")</f>
        <v/>
      </c>
      <c r="K1972" s="6">
        <f>_xlfn.MINIFS('DETALLE CRONOLÓGICO'!$K$2:$K$4919,'DETALLE CRONOLÓGICO'!$A$2:$A$4919,$A1972)</f>
        <v/>
      </c>
      <c r="L1972" s="6">
        <f>_xlfn.MAXIFS('DETALLE CRONOLÓGICO'!$K$2:$K$4919,'DETALLE CRONOLÓGICO'!$A$2:$A$4919,$A1972)</f>
        <v/>
      </c>
      <c r="M1972" s="6">
        <f>INDEX('DETALLE CRONOLÓGICO'!$K$2:$K$4919,MATCH($A1972,'DETALLE CRONOLÓGICO'!$A$2:$A$4919,0)+$E1972-1)</f>
        <v/>
      </c>
      <c r="N1972" s="7">
        <f>IFERROR($M1972/INDEX('DETALLE CRONOLÓGICO'!$K$2:$K$4919,MATCH($A1972,'DETALLE CRONOLÓGICO'!$A$2:$A$4919,0))-1,"")</f>
        <v/>
      </c>
      <c r="O1972" s="6">
        <f>IFERROR($I1972*3,"")</f>
        <v/>
      </c>
      <c r="P1972" s="6">
        <f>IFERROR($I1972*3.5,"")</f>
        <v/>
      </c>
      <c r="Q1972" s="6">
        <f>IFERROR($I1972*4,"")</f>
        <v/>
      </c>
      <c r="R1972" s="6" t="n">
        <v>3100</v>
      </c>
      <c r="S1972" s="4" t="n">
        <v>1</v>
      </c>
      <c r="T1972" s="1" t="inlineStr">
        <is>
          <t>active</t>
        </is>
      </c>
      <c r="U1972" s="8" t="n"/>
      <c r="V1972" s="1" t="inlineStr">
        <is>
          <t>SIN PRECIO</t>
        </is>
      </c>
    </row>
    <row r="1973">
      <c r="A1973" s="1" t="inlineStr">
        <is>
          <t>85367151846765</t>
        </is>
      </c>
      <c r="B1973" s="1" t="inlineStr">
        <is>
          <t>CARTERA YSL SILVER LOGO</t>
        </is>
      </c>
      <c r="C1973" s="1" t="inlineStr">
        <is>
          <t>BLACK/SILVER</t>
        </is>
      </c>
      <c r="D1973" s="1" t="inlineStr">
        <is>
          <t>DINA DU</t>
        </is>
      </c>
      <c r="E1973" s="4">
        <f>COUNTIF('DETALLE CRONOLÓGICO'!$A$2:$A$4919,$A1973)</f>
        <v/>
      </c>
      <c r="F1973" s="4">
        <f>SUMIFS('DETALLE CRONOLÓGICO'!$I$2:$I$4919,'DETALLE CRONOLÓGICO'!$A$2:$A$4919,$A1973)</f>
        <v/>
      </c>
      <c r="G1973" s="1">
        <f>INDEX('DETALLE CRONOLÓGICO'!$D$2:$D$4919,MATCH($A1973,'DETALLE CRONOLÓGICO'!$A$2:$A$4919,0))</f>
        <v/>
      </c>
      <c r="H1973" s="1">
        <f>INDEX('DETALLE CRONOLÓGICO'!$D$2:$D$4919,MATCH($A1973,'DETALLE CRONOLÓGICO'!$A$2:$A$4919,0)+$E1973-1)</f>
        <v/>
      </c>
      <c r="I1973" s="5">
        <f>IFERROR(SUMIFS('DETALLE CRONOLÓGICO'!$L$2:$L$4919,'DETALLE CRONOLÓGICO'!$A$2:$A$4919,$A1973)/$F1973,"")</f>
        <v/>
      </c>
      <c r="J1973" s="6">
        <f>IFERROR(SUMIFS('DETALLE CRONOLÓGICO'!$K$2:$K$4919,'DETALLE CRONOLÓGICO'!$A$2:$A$4919,$A1973)/$E1973,"")</f>
        <v/>
      </c>
      <c r="K1973" s="6">
        <f>_xlfn.MINIFS('DETALLE CRONOLÓGICO'!$K$2:$K$4919,'DETALLE CRONOLÓGICO'!$A$2:$A$4919,$A1973)</f>
        <v/>
      </c>
      <c r="L1973" s="6">
        <f>_xlfn.MAXIFS('DETALLE CRONOLÓGICO'!$K$2:$K$4919,'DETALLE CRONOLÓGICO'!$A$2:$A$4919,$A1973)</f>
        <v/>
      </c>
      <c r="M1973" s="6">
        <f>INDEX('DETALLE CRONOLÓGICO'!$K$2:$K$4919,MATCH($A1973,'DETALLE CRONOLÓGICO'!$A$2:$A$4919,0)+$E1973-1)</f>
        <v/>
      </c>
      <c r="N1973" s="7">
        <f>IFERROR($M1973/INDEX('DETALLE CRONOLÓGICO'!$K$2:$K$4919,MATCH($A1973,'DETALLE CRONOLÓGICO'!$A$2:$A$4919,0))-1,"")</f>
        <v/>
      </c>
      <c r="O1973" s="6">
        <f>IFERROR($I1973*3,"")</f>
        <v/>
      </c>
      <c r="P1973" s="6">
        <f>IFERROR($I1973*3.5,"")</f>
        <v/>
      </c>
      <c r="Q1973" s="6">
        <f>IFERROR($I1973*4,"")</f>
        <v/>
      </c>
      <c r="R1973" s="6" t="n">
        <v>2675</v>
      </c>
      <c r="S1973" s="4" t="n">
        <v>0</v>
      </c>
      <c r="T1973" s="1" t="inlineStr">
        <is>
          <t>active</t>
        </is>
      </c>
      <c r="U1973" s="8" t="n"/>
      <c r="V1973" s="1" t="inlineStr">
        <is>
          <t>SIN PRECIO</t>
        </is>
      </c>
    </row>
    <row r="1974">
      <c r="A1974" s="1" t="inlineStr">
        <is>
          <t>85367151913997</t>
        </is>
      </c>
      <c r="B1974" s="1" t="inlineStr">
        <is>
          <t>TARJETERO CC JOLIE BLACK</t>
        </is>
      </c>
      <c r="C1974" s="1" t="inlineStr">
        <is>
          <t>BLACK/GOLD</t>
        </is>
      </c>
      <c r="D1974" s="1" t="inlineStr">
        <is>
          <t>DINA DU</t>
        </is>
      </c>
      <c r="E1974" s="4">
        <f>COUNTIF('DETALLE CRONOLÓGICO'!$A$2:$A$4919,$A1974)</f>
        <v/>
      </c>
      <c r="F1974" s="4">
        <f>SUMIFS('DETALLE CRONOLÓGICO'!$I$2:$I$4919,'DETALLE CRONOLÓGICO'!$A$2:$A$4919,$A1974)</f>
        <v/>
      </c>
      <c r="G1974" s="1">
        <f>INDEX('DETALLE CRONOLÓGICO'!$D$2:$D$4919,MATCH($A1974,'DETALLE CRONOLÓGICO'!$A$2:$A$4919,0))</f>
        <v/>
      </c>
      <c r="H1974" s="1">
        <f>INDEX('DETALLE CRONOLÓGICO'!$D$2:$D$4919,MATCH($A1974,'DETALLE CRONOLÓGICO'!$A$2:$A$4919,0)+$E1974-1)</f>
        <v/>
      </c>
      <c r="I1974" s="5">
        <f>IFERROR(SUMIFS('DETALLE CRONOLÓGICO'!$L$2:$L$4919,'DETALLE CRONOLÓGICO'!$A$2:$A$4919,$A1974)/$F1974,"")</f>
        <v/>
      </c>
      <c r="J1974" s="6">
        <f>IFERROR(SUMIFS('DETALLE CRONOLÓGICO'!$K$2:$K$4919,'DETALLE CRONOLÓGICO'!$A$2:$A$4919,$A1974)/$E1974,"")</f>
        <v/>
      </c>
      <c r="K1974" s="6">
        <f>_xlfn.MINIFS('DETALLE CRONOLÓGICO'!$K$2:$K$4919,'DETALLE CRONOLÓGICO'!$A$2:$A$4919,$A1974)</f>
        <v/>
      </c>
      <c r="L1974" s="6">
        <f>_xlfn.MAXIFS('DETALLE CRONOLÓGICO'!$K$2:$K$4919,'DETALLE CRONOLÓGICO'!$A$2:$A$4919,$A1974)</f>
        <v/>
      </c>
      <c r="M1974" s="6">
        <f>INDEX('DETALLE CRONOLÓGICO'!$K$2:$K$4919,MATCH($A1974,'DETALLE CRONOLÓGICO'!$A$2:$A$4919,0)+$E1974-1)</f>
        <v/>
      </c>
      <c r="N1974" s="7">
        <f>IFERROR($M1974/INDEX('DETALLE CRONOLÓGICO'!$K$2:$K$4919,MATCH($A1974,'DETALLE CRONOLÓGICO'!$A$2:$A$4919,0))-1,"")</f>
        <v/>
      </c>
      <c r="O1974" s="6">
        <f>IFERROR($I1974*3,"")</f>
        <v/>
      </c>
      <c r="P1974" s="6">
        <f>IFERROR($I1974*3.5,"")</f>
        <v/>
      </c>
      <c r="Q1974" s="6">
        <f>IFERROR($I1974*4,"")</f>
        <v/>
      </c>
      <c r="R1974" s="6" t="n">
        <v>1609</v>
      </c>
      <c r="S1974" s="4" t="n">
        <v>3</v>
      </c>
      <c r="T1974" s="1" t="inlineStr">
        <is>
          <t>active</t>
        </is>
      </c>
      <c r="U1974" s="8" t="n"/>
      <c r="V1974" s="1" t="inlineStr">
        <is>
          <t>SIN PRECIO</t>
        </is>
      </c>
    </row>
    <row r="1975">
      <c r="A1975" s="1" t="inlineStr">
        <is>
          <t>85367152015693</t>
        </is>
      </c>
      <c r="B1975" s="1" t="inlineStr">
        <is>
          <t>CARTERA CC JOLIE BLACK</t>
        </is>
      </c>
      <c r="C1975" s="1" t="inlineStr">
        <is>
          <t>BLACK/GOLD</t>
        </is>
      </c>
      <c r="D1975" s="1" t="inlineStr">
        <is>
          <t>DINA DU</t>
        </is>
      </c>
      <c r="E1975" s="4">
        <f>COUNTIF('DETALLE CRONOLÓGICO'!$A$2:$A$4919,$A1975)</f>
        <v/>
      </c>
      <c r="F1975" s="4">
        <f>SUMIFS('DETALLE CRONOLÓGICO'!$I$2:$I$4919,'DETALLE CRONOLÓGICO'!$A$2:$A$4919,$A1975)</f>
        <v/>
      </c>
      <c r="G1975" s="1">
        <f>INDEX('DETALLE CRONOLÓGICO'!$D$2:$D$4919,MATCH($A1975,'DETALLE CRONOLÓGICO'!$A$2:$A$4919,0))</f>
        <v/>
      </c>
      <c r="H1975" s="1">
        <f>INDEX('DETALLE CRONOLÓGICO'!$D$2:$D$4919,MATCH($A1975,'DETALLE CRONOLÓGICO'!$A$2:$A$4919,0)+$E1975-1)</f>
        <v/>
      </c>
      <c r="I1975" s="5">
        <f>IFERROR(SUMIFS('DETALLE CRONOLÓGICO'!$L$2:$L$4919,'DETALLE CRONOLÓGICO'!$A$2:$A$4919,$A1975)/$F1975,"")</f>
        <v/>
      </c>
      <c r="J1975" s="6">
        <f>IFERROR(SUMIFS('DETALLE CRONOLÓGICO'!$K$2:$K$4919,'DETALLE CRONOLÓGICO'!$A$2:$A$4919,$A1975)/$E1975,"")</f>
        <v/>
      </c>
      <c r="K1975" s="6">
        <f>_xlfn.MINIFS('DETALLE CRONOLÓGICO'!$K$2:$K$4919,'DETALLE CRONOLÓGICO'!$A$2:$A$4919,$A1975)</f>
        <v/>
      </c>
      <c r="L1975" s="6">
        <f>_xlfn.MAXIFS('DETALLE CRONOLÓGICO'!$K$2:$K$4919,'DETALLE CRONOLÓGICO'!$A$2:$A$4919,$A1975)</f>
        <v/>
      </c>
      <c r="M1975" s="6">
        <f>INDEX('DETALLE CRONOLÓGICO'!$K$2:$K$4919,MATCH($A1975,'DETALLE CRONOLÓGICO'!$A$2:$A$4919,0)+$E1975-1)</f>
        <v/>
      </c>
      <c r="N1975" s="7">
        <f>IFERROR($M1975/INDEX('DETALLE CRONOLÓGICO'!$K$2:$K$4919,MATCH($A1975,'DETALLE CRONOLÓGICO'!$A$2:$A$4919,0))-1,"")</f>
        <v/>
      </c>
      <c r="O1975" s="6">
        <f>IFERROR($I1975*3,"")</f>
        <v/>
      </c>
      <c r="P1975" s="6">
        <f>IFERROR($I1975*3.5,"")</f>
        <v/>
      </c>
      <c r="Q1975" s="6">
        <f>IFERROR($I1975*4,"")</f>
        <v/>
      </c>
      <c r="R1975" s="6" t="n">
        <v>2459</v>
      </c>
      <c r="S1975" s="4" t="n">
        <v>0</v>
      </c>
      <c r="T1975" s="1" t="inlineStr">
        <is>
          <t>active</t>
        </is>
      </c>
      <c r="U1975" s="8" t="n"/>
      <c r="V1975" s="1" t="inlineStr">
        <is>
          <t>SIN PRECIO</t>
        </is>
      </c>
    </row>
    <row r="1976">
      <c r="A1976" s="1" t="inlineStr">
        <is>
          <t>85367152182925</t>
        </is>
      </c>
      <c r="B1976" s="1" t="inlineStr">
        <is>
          <t>BOLSO CC SHINY STAR BLACK</t>
        </is>
      </c>
      <c r="C1976" s="1" t="inlineStr">
        <is>
          <t>BLACK/GOLD</t>
        </is>
      </c>
      <c r="D1976" s="1" t="inlineStr">
        <is>
          <t>DINA DU</t>
        </is>
      </c>
      <c r="E1976" s="4">
        <f>COUNTIF('DETALLE CRONOLÓGICO'!$A$2:$A$4919,$A1976)</f>
        <v/>
      </c>
      <c r="F1976" s="4">
        <f>SUMIFS('DETALLE CRONOLÓGICO'!$I$2:$I$4919,'DETALLE CRONOLÓGICO'!$A$2:$A$4919,$A1976)</f>
        <v/>
      </c>
      <c r="G1976" s="1">
        <f>INDEX('DETALLE CRONOLÓGICO'!$D$2:$D$4919,MATCH($A1976,'DETALLE CRONOLÓGICO'!$A$2:$A$4919,0))</f>
        <v/>
      </c>
      <c r="H1976" s="1">
        <f>INDEX('DETALLE CRONOLÓGICO'!$D$2:$D$4919,MATCH($A1976,'DETALLE CRONOLÓGICO'!$A$2:$A$4919,0)+$E1976-1)</f>
        <v/>
      </c>
      <c r="I1976" s="5">
        <f>IFERROR(SUMIFS('DETALLE CRONOLÓGICO'!$L$2:$L$4919,'DETALLE CRONOLÓGICO'!$A$2:$A$4919,$A1976)/$F1976,"")</f>
        <v/>
      </c>
      <c r="J1976" s="6">
        <f>IFERROR(SUMIFS('DETALLE CRONOLÓGICO'!$K$2:$K$4919,'DETALLE CRONOLÓGICO'!$A$2:$A$4919,$A1976)/$E1976,"")</f>
        <v/>
      </c>
      <c r="K1976" s="6">
        <f>_xlfn.MINIFS('DETALLE CRONOLÓGICO'!$K$2:$K$4919,'DETALLE CRONOLÓGICO'!$A$2:$A$4919,$A1976)</f>
        <v/>
      </c>
      <c r="L1976" s="6">
        <f>_xlfn.MAXIFS('DETALLE CRONOLÓGICO'!$K$2:$K$4919,'DETALLE CRONOLÓGICO'!$A$2:$A$4919,$A1976)</f>
        <v/>
      </c>
      <c r="M1976" s="6">
        <f>INDEX('DETALLE CRONOLÓGICO'!$K$2:$K$4919,MATCH($A1976,'DETALLE CRONOLÓGICO'!$A$2:$A$4919,0)+$E1976-1)</f>
        <v/>
      </c>
      <c r="N1976" s="7">
        <f>IFERROR($M1976/INDEX('DETALLE CRONOLÓGICO'!$K$2:$K$4919,MATCH($A1976,'DETALLE CRONOLÓGICO'!$A$2:$A$4919,0))-1,"")</f>
        <v/>
      </c>
      <c r="O1976" s="6">
        <f>IFERROR($I1976*3,"")</f>
        <v/>
      </c>
      <c r="P1976" s="6">
        <f>IFERROR($I1976*3.5,"")</f>
        <v/>
      </c>
      <c r="Q1976" s="6">
        <f>IFERROR($I1976*4,"")</f>
        <v/>
      </c>
      <c r="R1976" s="6" t="n">
        <v>5237.39</v>
      </c>
      <c r="S1976" s="4" t="n">
        <v>2</v>
      </c>
      <c r="T1976" s="1" t="inlineStr">
        <is>
          <t>active</t>
        </is>
      </c>
      <c r="U1976" s="8" t="n"/>
      <c r="V1976" s="1" t="inlineStr">
        <is>
          <t>SIN PRECIO</t>
        </is>
      </c>
    </row>
    <row r="1977">
      <c r="A1977" s="1" t="inlineStr">
        <is>
          <t>85367152250157</t>
        </is>
      </c>
      <c r="B1977" s="1" t="inlineStr">
        <is>
          <t>BOLSO C NINO BLACK</t>
        </is>
      </c>
      <c r="C1977" s="1" t="inlineStr">
        <is>
          <t>BLACK/GOLD</t>
        </is>
      </c>
      <c r="D1977" s="1" t="inlineStr">
        <is>
          <t>DINA DU</t>
        </is>
      </c>
      <c r="E1977" s="4">
        <f>COUNTIF('DETALLE CRONOLÓGICO'!$A$2:$A$4919,$A1977)</f>
        <v/>
      </c>
      <c r="F1977" s="4">
        <f>SUMIFS('DETALLE CRONOLÓGICO'!$I$2:$I$4919,'DETALLE CRONOLÓGICO'!$A$2:$A$4919,$A1977)</f>
        <v/>
      </c>
      <c r="G1977" s="1">
        <f>INDEX('DETALLE CRONOLÓGICO'!$D$2:$D$4919,MATCH($A1977,'DETALLE CRONOLÓGICO'!$A$2:$A$4919,0))</f>
        <v/>
      </c>
      <c r="H1977" s="1">
        <f>INDEX('DETALLE CRONOLÓGICO'!$D$2:$D$4919,MATCH($A1977,'DETALLE CRONOLÓGICO'!$A$2:$A$4919,0)+$E1977-1)</f>
        <v/>
      </c>
      <c r="I1977" s="5">
        <f>IFERROR(SUMIFS('DETALLE CRONOLÓGICO'!$L$2:$L$4919,'DETALLE CRONOLÓGICO'!$A$2:$A$4919,$A1977)/$F1977,"")</f>
        <v/>
      </c>
      <c r="J1977" s="6">
        <f>IFERROR(SUMIFS('DETALLE CRONOLÓGICO'!$K$2:$K$4919,'DETALLE CRONOLÓGICO'!$A$2:$A$4919,$A1977)/$E1977,"")</f>
        <v/>
      </c>
      <c r="K1977" s="6">
        <f>_xlfn.MINIFS('DETALLE CRONOLÓGICO'!$K$2:$K$4919,'DETALLE CRONOLÓGICO'!$A$2:$A$4919,$A1977)</f>
        <v/>
      </c>
      <c r="L1977" s="6">
        <f>_xlfn.MAXIFS('DETALLE CRONOLÓGICO'!$K$2:$K$4919,'DETALLE CRONOLÓGICO'!$A$2:$A$4919,$A1977)</f>
        <v/>
      </c>
      <c r="M1977" s="6">
        <f>INDEX('DETALLE CRONOLÓGICO'!$K$2:$K$4919,MATCH($A1977,'DETALLE CRONOLÓGICO'!$A$2:$A$4919,0)+$E1977-1)</f>
        <v/>
      </c>
      <c r="N1977" s="7">
        <f>IFERROR($M1977/INDEX('DETALLE CRONOLÓGICO'!$K$2:$K$4919,MATCH($A1977,'DETALLE CRONOLÓGICO'!$A$2:$A$4919,0))-1,"")</f>
        <v/>
      </c>
      <c r="O1977" s="6">
        <f>IFERROR($I1977*3,"")</f>
        <v/>
      </c>
      <c r="P1977" s="6">
        <f>IFERROR($I1977*3.5,"")</f>
        <v/>
      </c>
      <c r="Q1977" s="6">
        <f>IFERROR($I1977*4,"")</f>
        <v/>
      </c>
      <c r="R1977" s="6" t="n">
        <v>4210</v>
      </c>
      <c r="S1977" s="4" t="n">
        <v>0</v>
      </c>
      <c r="T1977" s="1" t="inlineStr">
        <is>
          <t>active</t>
        </is>
      </c>
      <c r="U1977" s="8" t="n"/>
      <c r="V1977" s="1" t="inlineStr">
        <is>
          <t>SIN PRECIO</t>
        </is>
      </c>
    </row>
    <row r="1978">
      <c r="A1978" s="1" t="inlineStr">
        <is>
          <t>85367152384621</t>
        </is>
      </c>
      <c r="B1978" s="1" t="inlineStr">
        <is>
          <t>BOLSO CC BOY BLACK</t>
        </is>
      </c>
      <c r="C1978" s="1" t="inlineStr">
        <is>
          <t>BLACK/GOLD</t>
        </is>
      </c>
      <c r="D1978" s="1" t="inlineStr">
        <is>
          <t>DINA DU</t>
        </is>
      </c>
      <c r="E1978" s="4">
        <f>COUNTIF('DETALLE CRONOLÓGICO'!$A$2:$A$4919,$A1978)</f>
        <v/>
      </c>
      <c r="F1978" s="4">
        <f>SUMIFS('DETALLE CRONOLÓGICO'!$I$2:$I$4919,'DETALLE CRONOLÓGICO'!$A$2:$A$4919,$A1978)</f>
        <v/>
      </c>
      <c r="G1978" s="1">
        <f>INDEX('DETALLE CRONOLÓGICO'!$D$2:$D$4919,MATCH($A1978,'DETALLE CRONOLÓGICO'!$A$2:$A$4919,0))</f>
        <v/>
      </c>
      <c r="H1978" s="1">
        <f>INDEX('DETALLE CRONOLÓGICO'!$D$2:$D$4919,MATCH($A1978,'DETALLE CRONOLÓGICO'!$A$2:$A$4919,0)+$E1978-1)</f>
        <v/>
      </c>
      <c r="I1978" s="5">
        <f>IFERROR(SUMIFS('DETALLE CRONOLÓGICO'!$L$2:$L$4919,'DETALLE CRONOLÓGICO'!$A$2:$A$4919,$A1978)/$F1978,"")</f>
        <v/>
      </c>
      <c r="J1978" s="6">
        <f>IFERROR(SUMIFS('DETALLE CRONOLÓGICO'!$K$2:$K$4919,'DETALLE CRONOLÓGICO'!$A$2:$A$4919,$A1978)/$E1978,"")</f>
        <v/>
      </c>
      <c r="K1978" s="6">
        <f>_xlfn.MINIFS('DETALLE CRONOLÓGICO'!$K$2:$K$4919,'DETALLE CRONOLÓGICO'!$A$2:$A$4919,$A1978)</f>
        <v/>
      </c>
      <c r="L1978" s="6">
        <f>_xlfn.MAXIFS('DETALLE CRONOLÓGICO'!$K$2:$K$4919,'DETALLE CRONOLÓGICO'!$A$2:$A$4919,$A1978)</f>
        <v/>
      </c>
      <c r="M1978" s="6">
        <f>INDEX('DETALLE CRONOLÓGICO'!$K$2:$K$4919,MATCH($A1978,'DETALLE CRONOLÓGICO'!$A$2:$A$4919,0)+$E1978-1)</f>
        <v/>
      </c>
      <c r="N1978" s="7">
        <f>IFERROR($M1978/INDEX('DETALLE CRONOLÓGICO'!$K$2:$K$4919,MATCH($A1978,'DETALLE CRONOLÓGICO'!$A$2:$A$4919,0))-1,"")</f>
        <v/>
      </c>
      <c r="O1978" s="6">
        <f>IFERROR($I1978*3,"")</f>
        <v/>
      </c>
      <c r="P1978" s="6">
        <f>IFERROR($I1978*3.5,"")</f>
        <v/>
      </c>
      <c r="Q1978" s="6">
        <f>IFERROR($I1978*4,"")</f>
        <v/>
      </c>
      <c r="R1978" s="6" t="n">
        <v>2000</v>
      </c>
      <c r="S1978" s="4" t="n">
        <v>0</v>
      </c>
      <c r="T1978" s="1" t="inlineStr">
        <is>
          <t>active</t>
        </is>
      </c>
      <c r="U1978" s="8" t="n"/>
      <c r="V1978" s="1" t="inlineStr">
        <is>
          <t>SIN PRECIO</t>
        </is>
      </c>
    </row>
    <row r="1979">
      <c r="A1979" s="1" t="inlineStr">
        <is>
          <t>85367152486317</t>
        </is>
      </c>
      <c r="B1979" s="1" t="inlineStr">
        <is>
          <t>CINTO FR SILVER BROWN</t>
        </is>
      </c>
      <c r="C1979" s="1" t="inlineStr">
        <is>
          <t>100cm</t>
        </is>
      </c>
      <c r="D1979" s="1" t="inlineStr">
        <is>
          <t>DINA DU</t>
        </is>
      </c>
      <c r="E1979" s="4">
        <f>COUNTIF('DETALLE CRONOLÓGICO'!$A$2:$A$4919,$A1979)</f>
        <v/>
      </c>
      <c r="F1979" s="4">
        <f>SUMIFS('DETALLE CRONOLÓGICO'!$I$2:$I$4919,'DETALLE CRONOLÓGICO'!$A$2:$A$4919,$A1979)</f>
        <v/>
      </c>
      <c r="G1979" s="1">
        <f>INDEX('DETALLE CRONOLÓGICO'!$D$2:$D$4919,MATCH($A1979,'DETALLE CRONOLÓGICO'!$A$2:$A$4919,0))</f>
        <v/>
      </c>
      <c r="H1979" s="1">
        <f>INDEX('DETALLE CRONOLÓGICO'!$D$2:$D$4919,MATCH($A1979,'DETALLE CRONOLÓGICO'!$A$2:$A$4919,0)+$E1979-1)</f>
        <v/>
      </c>
      <c r="I1979" s="5">
        <f>IFERROR(SUMIFS('DETALLE CRONOLÓGICO'!$L$2:$L$4919,'DETALLE CRONOLÓGICO'!$A$2:$A$4919,$A1979)/$F1979,"")</f>
        <v/>
      </c>
      <c r="J1979" s="6">
        <f>IFERROR(SUMIFS('DETALLE CRONOLÓGICO'!$K$2:$K$4919,'DETALLE CRONOLÓGICO'!$A$2:$A$4919,$A1979)/$E1979,"")</f>
        <v/>
      </c>
      <c r="K1979" s="6">
        <f>_xlfn.MINIFS('DETALLE CRONOLÓGICO'!$K$2:$K$4919,'DETALLE CRONOLÓGICO'!$A$2:$A$4919,$A1979)</f>
        <v/>
      </c>
      <c r="L1979" s="6">
        <f>_xlfn.MAXIFS('DETALLE CRONOLÓGICO'!$K$2:$K$4919,'DETALLE CRONOLÓGICO'!$A$2:$A$4919,$A1979)</f>
        <v/>
      </c>
      <c r="M1979" s="6">
        <f>INDEX('DETALLE CRONOLÓGICO'!$K$2:$K$4919,MATCH($A1979,'DETALLE CRONOLÓGICO'!$A$2:$A$4919,0)+$E1979-1)</f>
        <v/>
      </c>
      <c r="N1979" s="7">
        <f>IFERROR($M1979/INDEX('DETALLE CRONOLÓGICO'!$K$2:$K$4919,MATCH($A1979,'DETALLE CRONOLÓGICO'!$A$2:$A$4919,0))-1,"")</f>
        <v/>
      </c>
      <c r="O1979" s="6">
        <f>IFERROR($I1979*3,"")</f>
        <v/>
      </c>
      <c r="P1979" s="6">
        <f>IFERROR($I1979*3.5,"")</f>
        <v/>
      </c>
      <c r="Q1979" s="6">
        <f>IFERROR($I1979*4,"")</f>
        <v/>
      </c>
      <c r="R1979" s="6" t="n">
        <v>1289</v>
      </c>
      <c r="S1979" s="4" t="n">
        <v>0</v>
      </c>
      <c r="T1979" s="1" t="inlineStr">
        <is>
          <t>draft</t>
        </is>
      </c>
      <c r="U1979" s="8" t="n"/>
      <c r="V1979" s="1" t="inlineStr">
        <is>
          <t>SIN PRECIO</t>
        </is>
      </c>
    </row>
    <row r="1980">
      <c r="A1980" s="1" t="inlineStr">
        <is>
          <t>85409401017325</t>
        </is>
      </c>
      <c r="B1980" s="1" t="inlineStr">
        <is>
          <t>ARETES F OVAL GOLD CON ZIRCONIA</t>
        </is>
      </c>
      <c r="C1980" s="1" t="inlineStr">
        <is>
          <t>Default Title</t>
        </is>
      </c>
      <c r="D1980" s="1" t="inlineStr">
        <is>
          <t>ZOEY</t>
        </is>
      </c>
      <c r="E1980" s="4">
        <f>COUNTIF('DETALLE CRONOLÓGICO'!$A$2:$A$4919,$A1980)</f>
        <v/>
      </c>
      <c r="F1980" s="4">
        <f>SUMIFS('DETALLE CRONOLÓGICO'!$I$2:$I$4919,'DETALLE CRONOLÓGICO'!$A$2:$A$4919,$A1980)</f>
        <v/>
      </c>
      <c r="G1980" s="1">
        <f>INDEX('DETALLE CRONOLÓGICO'!$D$2:$D$4919,MATCH($A1980,'DETALLE CRONOLÓGICO'!$A$2:$A$4919,0))</f>
        <v/>
      </c>
      <c r="H1980" s="1">
        <f>INDEX('DETALLE CRONOLÓGICO'!$D$2:$D$4919,MATCH($A1980,'DETALLE CRONOLÓGICO'!$A$2:$A$4919,0)+$E1980-1)</f>
        <v/>
      </c>
      <c r="I1980" s="5">
        <f>IFERROR(SUMIFS('DETALLE CRONOLÓGICO'!$L$2:$L$4919,'DETALLE CRONOLÓGICO'!$A$2:$A$4919,$A1980)/$F1980,"")</f>
        <v/>
      </c>
      <c r="J1980" s="6">
        <f>IFERROR(SUMIFS('DETALLE CRONOLÓGICO'!$K$2:$K$4919,'DETALLE CRONOLÓGICO'!$A$2:$A$4919,$A1980)/$E1980,"")</f>
        <v/>
      </c>
      <c r="K1980" s="6">
        <f>_xlfn.MINIFS('DETALLE CRONOLÓGICO'!$K$2:$K$4919,'DETALLE CRONOLÓGICO'!$A$2:$A$4919,$A1980)</f>
        <v/>
      </c>
      <c r="L1980" s="6">
        <f>_xlfn.MAXIFS('DETALLE CRONOLÓGICO'!$K$2:$K$4919,'DETALLE CRONOLÓGICO'!$A$2:$A$4919,$A1980)</f>
        <v/>
      </c>
      <c r="M1980" s="6">
        <f>INDEX('DETALLE CRONOLÓGICO'!$K$2:$K$4919,MATCH($A1980,'DETALLE CRONOLÓGICO'!$A$2:$A$4919,0)+$E1980-1)</f>
        <v/>
      </c>
      <c r="N1980" s="7">
        <f>IFERROR($M1980/INDEX('DETALLE CRONOLÓGICO'!$K$2:$K$4919,MATCH($A1980,'DETALLE CRONOLÓGICO'!$A$2:$A$4919,0))-1,"")</f>
        <v/>
      </c>
      <c r="O1980" s="6">
        <f>IFERROR($I1980*3,"")</f>
        <v/>
      </c>
      <c r="P1980" s="6">
        <f>IFERROR($I1980*3.5,"")</f>
        <v/>
      </c>
      <c r="Q1980" s="6">
        <f>IFERROR($I1980*4,"")</f>
        <v/>
      </c>
      <c r="R1980" s="6" t="n">
        <v>850</v>
      </c>
      <c r="S1980" s="4" t="n">
        <v>3</v>
      </c>
      <c r="T1980" s="1" t="inlineStr">
        <is>
          <t>active</t>
        </is>
      </c>
      <c r="U1980" s="8" t="n"/>
      <c r="V1980" s="1" t="inlineStr">
        <is>
          <t>SIN PRECIO</t>
        </is>
      </c>
    </row>
    <row r="1981">
      <c r="A1981" s="1" t="inlineStr">
        <is>
          <t>85430731026029</t>
        </is>
      </c>
      <c r="B1981" s="1" t="inlineStr">
        <is>
          <t>RELOJ PANTHERE SILVER</t>
        </is>
      </c>
      <c r="C1981" s="1" t="inlineStr">
        <is>
          <t>RELOJ CON CAJA</t>
        </is>
      </c>
      <c r="D1981" s="1" t="inlineStr">
        <is>
          <t>ZOEY</t>
        </is>
      </c>
      <c r="E1981" s="4">
        <f>COUNTIF('DETALLE CRONOLÓGICO'!$A$2:$A$4919,$A1981)</f>
        <v/>
      </c>
      <c r="F1981" s="4">
        <f>SUMIFS('DETALLE CRONOLÓGICO'!$I$2:$I$4919,'DETALLE CRONOLÓGICO'!$A$2:$A$4919,$A1981)</f>
        <v/>
      </c>
      <c r="G1981" s="1">
        <f>INDEX('DETALLE CRONOLÓGICO'!$D$2:$D$4919,MATCH($A1981,'DETALLE CRONOLÓGICO'!$A$2:$A$4919,0))</f>
        <v/>
      </c>
      <c r="H1981" s="1">
        <f>INDEX('DETALLE CRONOLÓGICO'!$D$2:$D$4919,MATCH($A1981,'DETALLE CRONOLÓGICO'!$A$2:$A$4919,0)+$E1981-1)</f>
        <v/>
      </c>
      <c r="I1981" s="5">
        <f>IFERROR(SUMIFS('DETALLE CRONOLÓGICO'!$L$2:$L$4919,'DETALLE CRONOLÓGICO'!$A$2:$A$4919,$A1981)/$F1981,"")</f>
        <v/>
      </c>
      <c r="J1981" s="6">
        <f>IFERROR(SUMIFS('DETALLE CRONOLÓGICO'!$K$2:$K$4919,'DETALLE CRONOLÓGICO'!$A$2:$A$4919,$A1981)/$E1981,"")</f>
        <v/>
      </c>
      <c r="K1981" s="6">
        <f>_xlfn.MINIFS('DETALLE CRONOLÓGICO'!$K$2:$K$4919,'DETALLE CRONOLÓGICO'!$A$2:$A$4919,$A1981)</f>
        <v/>
      </c>
      <c r="L1981" s="6">
        <f>_xlfn.MAXIFS('DETALLE CRONOLÓGICO'!$K$2:$K$4919,'DETALLE CRONOLÓGICO'!$A$2:$A$4919,$A1981)</f>
        <v/>
      </c>
      <c r="M1981" s="6">
        <f>INDEX('DETALLE CRONOLÓGICO'!$K$2:$K$4919,MATCH($A1981,'DETALLE CRONOLÓGICO'!$A$2:$A$4919,0)+$E1981-1)</f>
        <v/>
      </c>
      <c r="N1981" s="7">
        <f>IFERROR($M1981/INDEX('DETALLE CRONOLÓGICO'!$K$2:$K$4919,MATCH($A1981,'DETALLE CRONOLÓGICO'!$A$2:$A$4919,0))-1,"")</f>
        <v/>
      </c>
      <c r="O1981" s="6">
        <f>IFERROR($I1981*3,"")</f>
        <v/>
      </c>
      <c r="P1981" s="6">
        <f>IFERROR($I1981*3.5,"")</f>
        <v/>
      </c>
      <c r="Q1981" s="6">
        <f>IFERROR($I1981*4,"")</f>
        <v/>
      </c>
      <c r="R1981" s="6" t="n">
        <v>4970</v>
      </c>
      <c r="S1981" s="4" t="n">
        <v>1</v>
      </c>
      <c r="T1981" s="1" t="inlineStr">
        <is>
          <t>active</t>
        </is>
      </c>
      <c r="U1981" s="8" t="n"/>
      <c r="V1981" s="1" t="inlineStr">
        <is>
          <t>SIN PRECIO</t>
        </is>
      </c>
    </row>
    <row r="1982">
      <c r="A1982" s="1" t="inlineStr">
        <is>
          <t>85549091025933</t>
        </is>
      </c>
      <c r="B1982" s="1" t="inlineStr">
        <is>
          <t>ANILLO CD LOGO GOLD CON ZIRCONIAS</t>
        </is>
      </c>
      <c r="C1982" s="1" t="inlineStr">
        <is>
          <t>Default Title</t>
        </is>
      </c>
      <c r="D1982" s="1" t="inlineStr">
        <is>
          <t>HAIFENG</t>
        </is>
      </c>
      <c r="E1982" s="4">
        <f>COUNTIF('DETALLE CRONOLÓGICO'!$A$2:$A$4919,$A1982)</f>
        <v/>
      </c>
      <c r="F1982" s="4">
        <f>SUMIFS('DETALLE CRONOLÓGICO'!$I$2:$I$4919,'DETALLE CRONOLÓGICO'!$A$2:$A$4919,$A1982)</f>
        <v/>
      </c>
      <c r="G1982" s="1">
        <f>INDEX('DETALLE CRONOLÓGICO'!$D$2:$D$4919,MATCH($A1982,'DETALLE CRONOLÓGICO'!$A$2:$A$4919,0))</f>
        <v/>
      </c>
      <c r="H1982" s="1">
        <f>INDEX('DETALLE CRONOLÓGICO'!$D$2:$D$4919,MATCH($A1982,'DETALLE CRONOLÓGICO'!$A$2:$A$4919,0)+$E1982-1)</f>
        <v/>
      </c>
      <c r="I1982" s="5">
        <f>IFERROR(SUMIFS('DETALLE CRONOLÓGICO'!$L$2:$L$4919,'DETALLE CRONOLÓGICO'!$A$2:$A$4919,$A1982)/$F1982,"")</f>
        <v/>
      </c>
      <c r="J1982" s="6">
        <f>IFERROR(SUMIFS('DETALLE CRONOLÓGICO'!$K$2:$K$4919,'DETALLE CRONOLÓGICO'!$A$2:$A$4919,$A1982)/$E1982,"")</f>
        <v/>
      </c>
      <c r="K1982" s="6">
        <f>_xlfn.MINIFS('DETALLE CRONOLÓGICO'!$K$2:$K$4919,'DETALLE CRONOLÓGICO'!$A$2:$A$4919,$A1982)</f>
        <v/>
      </c>
      <c r="L1982" s="6">
        <f>_xlfn.MAXIFS('DETALLE CRONOLÓGICO'!$K$2:$K$4919,'DETALLE CRONOLÓGICO'!$A$2:$A$4919,$A1982)</f>
        <v/>
      </c>
      <c r="M1982" s="6">
        <f>INDEX('DETALLE CRONOLÓGICO'!$K$2:$K$4919,MATCH($A1982,'DETALLE CRONOLÓGICO'!$A$2:$A$4919,0)+$E1982-1)</f>
        <v/>
      </c>
      <c r="N1982" s="7">
        <f>IFERROR($M1982/INDEX('DETALLE CRONOLÓGICO'!$K$2:$K$4919,MATCH($A1982,'DETALLE CRONOLÓGICO'!$A$2:$A$4919,0))-1,"")</f>
        <v/>
      </c>
      <c r="O1982" s="6">
        <f>IFERROR($I1982*3,"")</f>
        <v/>
      </c>
      <c r="P1982" s="6">
        <f>IFERROR($I1982*3.5,"")</f>
        <v/>
      </c>
      <c r="Q1982" s="6">
        <f>IFERROR($I1982*4,"")</f>
        <v/>
      </c>
      <c r="R1982" s="6" t="n">
        <v>495</v>
      </c>
      <c r="S1982" s="4" t="n">
        <v>2</v>
      </c>
      <c r="T1982" s="1" t="inlineStr">
        <is>
          <t>active</t>
        </is>
      </c>
      <c r="U1982" s="8" t="n"/>
      <c r="V1982" s="1" t="inlineStr">
        <is>
          <t>SIN PRECIO</t>
        </is>
      </c>
    </row>
    <row r="1983">
      <c r="A1983" s="1" t="inlineStr">
        <is>
          <t>85563421017997</t>
        </is>
      </c>
      <c r="B1983" s="1" t="inlineStr">
        <is>
          <t>COLLAR LV INSIGNIAS BLOSSOM GOLD BLACK</t>
        </is>
      </c>
      <c r="C1983" s="1" t="inlineStr">
        <is>
          <t>Default Title</t>
        </is>
      </c>
      <c r="D1983" s="1" t="inlineStr">
        <is>
          <t>ZOEY</t>
        </is>
      </c>
      <c r="E1983" s="4">
        <f>COUNTIF('DETALLE CRONOLÓGICO'!$A$2:$A$4919,$A1983)</f>
        <v/>
      </c>
      <c r="F1983" s="4">
        <f>SUMIFS('DETALLE CRONOLÓGICO'!$I$2:$I$4919,'DETALLE CRONOLÓGICO'!$A$2:$A$4919,$A1983)</f>
        <v/>
      </c>
      <c r="G1983" s="1">
        <f>INDEX('DETALLE CRONOLÓGICO'!$D$2:$D$4919,MATCH($A1983,'DETALLE CRONOLÓGICO'!$A$2:$A$4919,0))</f>
        <v/>
      </c>
      <c r="H1983" s="1">
        <f>INDEX('DETALLE CRONOLÓGICO'!$D$2:$D$4919,MATCH($A1983,'DETALLE CRONOLÓGICO'!$A$2:$A$4919,0)+$E1983-1)</f>
        <v/>
      </c>
      <c r="I1983" s="5">
        <f>IFERROR(SUMIFS('DETALLE CRONOLÓGICO'!$L$2:$L$4919,'DETALLE CRONOLÓGICO'!$A$2:$A$4919,$A1983)/$F1983,"")</f>
        <v/>
      </c>
      <c r="J1983" s="6">
        <f>IFERROR(SUMIFS('DETALLE CRONOLÓGICO'!$K$2:$K$4919,'DETALLE CRONOLÓGICO'!$A$2:$A$4919,$A1983)/$E1983,"")</f>
        <v/>
      </c>
      <c r="K1983" s="6">
        <f>_xlfn.MINIFS('DETALLE CRONOLÓGICO'!$K$2:$K$4919,'DETALLE CRONOLÓGICO'!$A$2:$A$4919,$A1983)</f>
        <v/>
      </c>
      <c r="L1983" s="6">
        <f>_xlfn.MAXIFS('DETALLE CRONOLÓGICO'!$K$2:$K$4919,'DETALLE CRONOLÓGICO'!$A$2:$A$4919,$A1983)</f>
        <v/>
      </c>
      <c r="M1983" s="6">
        <f>INDEX('DETALLE CRONOLÓGICO'!$K$2:$K$4919,MATCH($A1983,'DETALLE CRONOLÓGICO'!$A$2:$A$4919,0)+$E1983-1)</f>
        <v/>
      </c>
      <c r="N1983" s="7">
        <f>IFERROR($M1983/INDEX('DETALLE CRONOLÓGICO'!$K$2:$K$4919,MATCH($A1983,'DETALLE CRONOLÓGICO'!$A$2:$A$4919,0))-1,"")</f>
        <v/>
      </c>
      <c r="O1983" s="6">
        <f>IFERROR($I1983*3,"")</f>
        <v/>
      </c>
      <c r="P1983" s="6">
        <f>IFERROR($I1983*3.5,"")</f>
        <v/>
      </c>
      <c r="Q1983" s="6">
        <f>IFERROR($I1983*4,"")</f>
        <v/>
      </c>
      <c r="R1983" s="6" t="n">
        <v>807</v>
      </c>
      <c r="S1983" s="4" t="n">
        <v>1</v>
      </c>
      <c r="T1983" s="1" t="inlineStr">
        <is>
          <t>active</t>
        </is>
      </c>
      <c r="U1983" s="8" t="n"/>
      <c r="V1983" s="1" t="inlineStr">
        <is>
          <t>SIN PRECIO</t>
        </is>
      </c>
    </row>
    <row r="1984">
      <c r="A1984" s="1" t="inlineStr">
        <is>
          <t>85887251053901</t>
        </is>
      </c>
      <c r="B1984" s="1" t="inlineStr">
        <is>
          <t>ABRIGO CAQUI JW</t>
        </is>
      </c>
      <c r="C1984" s="1" t="inlineStr">
        <is>
          <t>M</t>
        </is>
      </c>
      <c r="D1984" s="1" t="inlineStr">
        <is>
          <t>MOLLY</t>
        </is>
      </c>
      <c r="E1984" s="4">
        <f>COUNTIF('DETALLE CRONOLÓGICO'!$A$2:$A$4919,$A1984)</f>
        <v/>
      </c>
      <c r="F1984" s="4">
        <f>SUMIFS('DETALLE CRONOLÓGICO'!$I$2:$I$4919,'DETALLE CRONOLÓGICO'!$A$2:$A$4919,$A1984)</f>
        <v/>
      </c>
      <c r="G1984" s="1">
        <f>INDEX('DETALLE CRONOLÓGICO'!$D$2:$D$4919,MATCH($A1984,'DETALLE CRONOLÓGICO'!$A$2:$A$4919,0))</f>
        <v/>
      </c>
      <c r="H1984" s="1">
        <f>INDEX('DETALLE CRONOLÓGICO'!$D$2:$D$4919,MATCH($A1984,'DETALLE CRONOLÓGICO'!$A$2:$A$4919,0)+$E1984-1)</f>
        <v/>
      </c>
      <c r="I1984" s="5">
        <f>IFERROR(SUMIFS('DETALLE CRONOLÓGICO'!$L$2:$L$4919,'DETALLE CRONOLÓGICO'!$A$2:$A$4919,$A1984)/$F1984,"")</f>
        <v/>
      </c>
      <c r="J1984" s="6">
        <f>IFERROR(SUMIFS('DETALLE CRONOLÓGICO'!$K$2:$K$4919,'DETALLE CRONOLÓGICO'!$A$2:$A$4919,$A1984)/$E1984,"")</f>
        <v/>
      </c>
      <c r="K1984" s="6">
        <f>_xlfn.MINIFS('DETALLE CRONOLÓGICO'!$K$2:$K$4919,'DETALLE CRONOLÓGICO'!$A$2:$A$4919,$A1984)</f>
        <v/>
      </c>
      <c r="L1984" s="6">
        <f>_xlfn.MAXIFS('DETALLE CRONOLÓGICO'!$K$2:$K$4919,'DETALLE CRONOLÓGICO'!$A$2:$A$4919,$A1984)</f>
        <v/>
      </c>
      <c r="M1984" s="6">
        <f>INDEX('DETALLE CRONOLÓGICO'!$K$2:$K$4919,MATCH($A1984,'DETALLE CRONOLÓGICO'!$A$2:$A$4919,0)+$E1984-1)</f>
        <v/>
      </c>
      <c r="N1984" s="7">
        <f>IFERROR($M1984/INDEX('DETALLE CRONOLÓGICO'!$K$2:$K$4919,MATCH($A1984,'DETALLE CRONOLÓGICO'!$A$2:$A$4919,0))-1,"")</f>
        <v/>
      </c>
      <c r="O1984" s="6">
        <f>IFERROR($I1984*3,"")</f>
        <v/>
      </c>
      <c r="P1984" s="6">
        <f>IFERROR($I1984*3.5,"")</f>
        <v/>
      </c>
      <c r="Q1984" s="6">
        <f>IFERROR($I1984*4,"")</f>
        <v/>
      </c>
      <c r="R1984" s="6" t="n">
        <v>662.05</v>
      </c>
      <c r="S1984" s="4" t="n">
        <v>0</v>
      </c>
      <c r="T1984" s="1" t="inlineStr">
        <is>
          <t>active</t>
        </is>
      </c>
      <c r="U1984" s="8" t="n"/>
      <c r="V1984" s="1" t="inlineStr">
        <is>
          <t>SIN PRECIO</t>
        </is>
      </c>
    </row>
    <row r="1985">
      <c r="A1985" s="1" t="inlineStr">
        <is>
          <t>85887251172013</t>
        </is>
      </c>
      <c r="B1985" s="1" t="inlineStr">
        <is>
          <t>ABRIGO WHITE JW</t>
        </is>
      </c>
      <c r="C1985" s="1" t="inlineStr">
        <is>
          <t>M</t>
        </is>
      </c>
      <c r="D1985" s="1" t="inlineStr">
        <is>
          <t>MOLLY</t>
        </is>
      </c>
      <c r="E1985" s="4">
        <f>COUNTIF('DETALLE CRONOLÓGICO'!$A$2:$A$4919,$A1985)</f>
        <v/>
      </c>
      <c r="F1985" s="4">
        <f>SUMIFS('DETALLE CRONOLÓGICO'!$I$2:$I$4919,'DETALLE CRONOLÓGICO'!$A$2:$A$4919,$A1985)</f>
        <v/>
      </c>
      <c r="G1985" s="1">
        <f>INDEX('DETALLE CRONOLÓGICO'!$D$2:$D$4919,MATCH($A1985,'DETALLE CRONOLÓGICO'!$A$2:$A$4919,0))</f>
        <v/>
      </c>
      <c r="H1985" s="1">
        <f>INDEX('DETALLE CRONOLÓGICO'!$D$2:$D$4919,MATCH($A1985,'DETALLE CRONOLÓGICO'!$A$2:$A$4919,0)+$E1985-1)</f>
        <v/>
      </c>
      <c r="I1985" s="5">
        <f>IFERROR(SUMIFS('DETALLE CRONOLÓGICO'!$L$2:$L$4919,'DETALLE CRONOLÓGICO'!$A$2:$A$4919,$A1985)/$F1985,"")</f>
        <v/>
      </c>
      <c r="J1985" s="6">
        <f>IFERROR(SUMIFS('DETALLE CRONOLÓGICO'!$K$2:$K$4919,'DETALLE CRONOLÓGICO'!$A$2:$A$4919,$A1985)/$E1985,"")</f>
        <v/>
      </c>
      <c r="K1985" s="6">
        <f>_xlfn.MINIFS('DETALLE CRONOLÓGICO'!$K$2:$K$4919,'DETALLE CRONOLÓGICO'!$A$2:$A$4919,$A1985)</f>
        <v/>
      </c>
      <c r="L1985" s="6">
        <f>_xlfn.MAXIFS('DETALLE CRONOLÓGICO'!$K$2:$K$4919,'DETALLE CRONOLÓGICO'!$A$2:$A$4919,$A1985)</f>
        <v/>
      </c>
      <c r="M1985" s="6">
        <f>INDEX('DETALLE CRONOLÓGICO'!$K$2:$K$4919,MATCH($A1985,'DETALLE CRONOLÓGICO'!$A$2:$A$4919,0)+$E1985-1)</f>
        <v/>
      </c>
      <c r="N1985" s="7">
        <f>IFERROR($M1985/INDEX('DETALLE CRONOLÓGICO'!$K$2:$K$4919,MATCH($A1985,'DETALLE CRONOLÓGICO'!$A$2:$A$4919,0))-1,"")</f>
        <v/>
      </c>
      <c r="O1985" s="6">
        <f>IFERROR($I1985*3,"")</f>
        <v/>
      </c>
      <c r="P1985" s="6">
        <f>IFERROR($I1985*3.5,"")</f>
        <v/>
      </c>
      <c r="Q1985" s="6">
        <f>IFERROR($I1985*4,"")</f>
        <v/>
      </c>
      <c r="R1985" s="6" t="n">
        <v>930.22</v>
      </c>
      <c r="S1985" s="4" t="n">
        <v>0</v>
      </c>
      <c r="T1985" s="1" t="inlineStr">
        <is>
          <t>active</t>
        </is>
      </c>
      <c r="U1985" s="8" t="n"/>
      <c r="V1985" s="1" t="inlineStr">
        <is>
          <t>SIN PRECIO</t>
        </is>
      </c>
    </row>
    <row r="1986">
      <c r="A1986" s="1" t="inlineStr">
        <is>
          <t>85887251265229</t>
        </is>
      </c>
      <c r="B1986" s="1" t="inlineStr">
        <is>
          <t>ABRIGO WHITE-BLACK JW</t>
        </is>
      </c>
      <c r="C1986" s="1" t="inlineStr">
        <is>
          <t>S</t>
        </is>
      </c>
      <c r="D1986" s="1" t="inlineStr">
        <is>
          <t>MOLLY</t>
        </is>
      </c>
      <c r="E1986" s="4">
        <f>COUNTIF('DETALLE CRONOLÓGICO'!$A$2:$A$4919,$A1986)</f>
        <v/>
      </c>
      <c r="F1986" s="4">
        <f>SUMIFS('DETALLE CRONOLÓGICO'!$I$2:$I$4919,'DETALLE CRONOLÓGICO'!$A$2:$A$4919,$A1986)</f>
        <v/>
      </c>
      <c r="G1986" s="1">
        <f>INDEX('DETALLE CRONOLÓGICO'!$D$2:$D$4919,MATCH($A1986,'DETALLE CRONOLÓGICO'!$A$2:$A$4919,0))</f>
        <v/>
      </c>
      <c r="H1986" s="1">
        <f>INDEX('DETALLE CRONOLÓGICO'!$D$2:$D$4919,MATCH($A1986,'DETALLE CRONOLÓGICO'!$A$2:$A$4919,0)+$E1986-1)</f>
        <v/>
      </c>
      <c r="I1986" s="5">
        <f>IFERROR(SUMIFS('DETALLE CRONOLÓGICO'!$L$2:$L$4919,'DETALLE CRONOLÓGICO'!$A$2:$A$4919,$A1986)/$F1986,"")</f>
        <v/>
      </c>
      <c r="J1986" s="6">
        <f>IFERROR(SUMIFS('DETALLE CRONOLÓGICO'!$K$2:$K$4919,'DETALLE CRONOLÓGICO'!$A$2:$A$4919,$A1986)/$E1986,"")</f>
        <v/>
      </c>
      <c r="K1986" s="6">
        <f>_xlfn.MINIFS('DETALLE CRONOLÓGICO'!$K$2:$K$4919,'DETALLE CRONOLÓGICO'!$A$2:$A$4919,$A1986)</f>
        <v/>
      </c>
      <c r="L1986" s="6">
        <f>_xlfn.MAXIFS('DETALLE CRONOLÓGICO'!$K$2:$K$4919,'DETALLE CRONOLÓGICO'!$A$2:$A$4919,$A1986)</f>
        <v/>
      </c>
      <c r="M1986" s="6">
        <f>INDEX('DETALLE CRONOLÓGICO'!$K$2:$K$4919,MATCH($A1986,'DETALLE CRONOLÓGICO'!$A$2:$A$4919,0)+$E1986-1)</f>
        <v/>
      </c>
      <c r="N1986" s="7">
        <f>IFERROR($M1986/INDEX('DETALLE CRONOLÓGICO'!$K$2:$K$4919,MATCH($A1986,'DETALLE CRONOLÓGICO'!$A$2:$A$4919,0))-1,"")</f>
        <v/>
      </c>
      <c r="O1986" s="6">
        <f>IFERROR($I1986*3,"")</f>
        <v/>
      </c>
      <c r="P1986" s="6">
        <f>IFERROR($I1986*3.5,"")</f>
        <v/>
      </c>
      <c r="Q1986" s="6">
        <f>IFERROR($I1986*4,"")</f>
        <v/>
      </c>
      <c r="R1986" s="6" t="n">
        <v>675.4400000000001</v>
      </c>
      <c r="S1986" s="4" t="n">
        <v>0</v>
      </c>
      <c r="T1986" s="1" t="inlineStr">
        <is>
          <t>active</t>
        </is>
      </c>
      <c r="U1986" s="8" t="n"/>
      <c r="V1986" s="1" t="inlineStr">
        <is>
          <t>SIN PRECIO</t>
        </is>
      </c>
    </row>
    <row r="1987">
      <c r="A1987" s="1" t="inlineStr">
        <is>
          <t>85887251331053</t>
        </is>
      </c>
      <c r="B1987" s="1" t="inlineStr">
        <is>
          <t>SUDADERA ZIPPER BEIGE JW</t>
        </is>
      </c>
      <c r="C1987" s="1" t="inlineStr">
        <is>
          <t>M</t>
        </is>
      </c>
      <c r="D1987" s="1" t="inlineStr">
        <is>
          <t>MOLLY</t>
        </is>
      </c>
      <c r="E1987" s="4">
        <f>COUNTIF('DETALLE CRONOLÓGICO'!$A$2:$A$4919,$A1987)</f>
        <v/>
      </c>
      <c r="F1987" s="4">
        <f>SUMIFS('DETALLE CRONOLÓGICO'!$I$2:$I$4919,'DETALLE CRONOLÓGICO'!$A$2:$A$4919,$A1987)</f>
        <v/>
      </c>
      <c r="G1987" s="1">
        <f>INDEX('DETALLE CRONOLÓGICO'!$D$2:$D$4919,MATCH($A1987,'DETALLE CRONOLÓGICO'!$A$2:$A$4919,0))</f>
        <v/>
      </c>
      <c r="H1987" s="1">
        <f>INDEX('DETALLE CRONOLÓGICO'!$D$2:$D$4919,MATCH($A1987,'DETALLE CRONOLÓGICO'!$A$2:$A$4919,0)+$E1987-1)</f>
        <v/>
      </c>
      <c r="I1987" s="5">
        <f>IFERROR(SUMIFS('DETALLE CRONOLÓGICO'!$L$2:$L$4919,'DETALLE CRONOLÓGICO'!$A$2:$A$4919,$A1987)/$F1987,"")</f>
        <v/>
      </c>
      <c r="J1987" s="6">
        <f>IFERROR(SUMIFS('DETALLE CRONOLÓGICO'!$K$2:$K$4919,'DETALLE CRONOLÓGICO'!$A$2:$A$4919,$A1987)/$E1987,"")</f>
        <v/>
      </c>
      <c r="K1987" s="6">
        <f>_xlfn.MINIFS('DETALLE CRONOLÓGICO'!$K$2:$K$4919,'DETALLE CRONOLÓGICO'!$A$2:$A$4919,$A1987)</f>
        <v/>
      </c>
      <c r="L1987" s="6">
        <f>_xlfn.MAXIFS('DETALLE CRONOLÓGICO'!$K$2:$K$4919,'DETALLE CRONOLÓGICO'!$A$2:$A$4919,$A1987)</f>
        <v/>
      </c>
      <c r="M1987" s="6">
        <f>INDEX('DETALLE CRONOLÓGICO'!$K$2:$K$4919,MATCH($A1987,'DETALLE CRONOLÓGICO'!$A$2:$A$4919,0)+$E1987-1)</f>
        <v/>
      </c>
      <c r="N1987" s="7">
        <f>IFERROR($M1987/INDEX('DETALLE CRONOLÓGICO'!$K$2:$K$4919,MATCH($A1987,'DETALLE CRONOLÓGICO'!$A$2:$A$4919,0))-1,"")</f>
        <v/>
      </c>
      <c r="O1987" s="6">
        <f>IFERROR($I1987*3,"")</f>
        <v/>
      </c>
      <c r="P1987" s="6">
        <f>IFERROR($I1987*3.5,"")</f>
        <v/>
      </c>
      <c r="Q1987" s="6">
        <f>IFERROR($I1987*4,"")</f>
        <v/>
      </c>
      <c r="R1987" s="6" t="n">
        <v>950</v>
      </c>
      <c r="S1987" s="4" t="n">
        <v>0</v>
      </c>
      <c r="T1987" s="1" t="inlineStr">
        <is>
          <t>active</t>
        </is>
      </c>
      <c r="U1987" s="8" t="n"/>
      <c r="V1987" s="1" t="inlineStr">
        <is>
          <t>SIN PRECIO</t>
        </is>
      </c>
    </row>
    <row r="1988">
      <c r="A1988" s="1" t="inlineStr">
        <is>
          <t>85887251403373</t>
        </is>
      </c>
      <c r="B1988" s="1" t="inlineStr">
        <is>
          <t>SUETER CLASSIC BLACK CASHMERE</t>
        </is>
      </c>
      <c r="C1988" s="1" t="inlineStr">
        <is>
          <t>M</t>
        </is>
      </c>
      <c r="D1988" s="1" t="inlineStr">
        <is>
          <t>MOLLY</t>
        </is>
      </c>
      <c r="E1988" s="4">
        <f>COUNTIF('DETALLE CRONOLÓGICO'!$A$2:$A$4919,$A1988)</f>
        <v/>
      </c>
      <c r="F1988" s="4">
        <f>SUMIFS('DETALLE CRONOLÓGICO'!$I$2:$I$4919,'DETALLE CRONOLÓGICO'!$A$2:$A$4919,$A1988)</f>
        <v/>
      </c>
      <c r="G1988" s="1">
        <f>INDEX('DETALLE CRONOLÓGICO'!$D$2:$D$4919,MATCH($A1988,'DETALLE CRONOLÓGICO'!$A$2:$A$4919,0))</f>
        <v/>
      </c>
      <c r="H1988" s="1">
        <f>INDEX('DETALLE CRONOLÓGICO'!$D$2:$D$4919,MATCH($A1988,'DETALLE CRONOLÓGICO'!$A$2:$A$4919,0)+$E1988-1)</f>
        <v/>
      </c>
      <c r="I1988" s="5">
        <f>IFERROR(SUMIFS('DETALLE CRONOLÓGICO'!$L$2:$L$4919,'DETALLE CRONOLÓGICO'!$A$2:$A$4919,$A1988)/$F1988,"")</f>
        <v/>
      </c>
      <c r="J1988" s="6">
        <f>IFERROR(SUMIFS('DETALLE CRONOLÓGICO'!$K$2:$K$4919,'DETALLE CRONOLÓGICO'!$A$2:$A$4919,$A1988)/$E1988,"")</f>
        <v/>
      </c>
      <c r="K1988" s="6">
        <f>_xlfn.MINIFS('DETALLE CRONOLÓGICO'!$K$2:$K$4919,'DETALLE CRONOLÓGICO'!$A$2:$A$4919,$A1988)</f>
        <v/>
      </c>
      <c r="L1988" s="6">
        <f>_xlfn.MAXIFS('DETALLE CRONOLÓGICO'!$K$2:$K$4919,'DETALLE CRONOLÓGICO'!$A$2:$A$4919,$A1988)</f>
        <v/>
      </c>
      <c r="M1988" s="6">
        <f>INDEX('DETALLE CRONOLÓGICO'!$K$2:$K$4919,MATCH($A1988,'DETALLE CRONOLÓGICO'!$A$2:$A$4919,0)+$E1988-1)</f>
        <v/>
      </c>
      <c r="N1988" s="7">
        <f>IFERROR($M1988/INDEX('DETALLE CRONOLÓGICO'!$K$2:$K$4919,MATCH($A1988,'DETALLE CRONOLÓGICO'!$A$2:$A$4919,0))-1,"")</f>
        <v/>
      </c>
      <c r="O1988" s="6">
        <f>IFERROR($I1988*3,"")</f>
        <v/>
      </c>
      <c r="P1988" s="6">
        <f>IFERROR($I1988*3.5,"")</f>
        <v/>
      </c>
      <c r="Q1988" s="6">
        <f>IFERROR($I1988*4,"")</f>
        <v/>
      </c>
      <c r="R1988" s="6" t="n">
        <v>1508.46</v>
      </c>
      <c r="S1988" s="4" t="n">
        <v>2</v>
      </c>
      <c r="T1988" s="1" t="inlineStr">
        <is>
          <t>active</t>
        </is>
      </c>
      <c r="U1988" s="8" t="n"/>
      <c r="V1988" s="1" t="inlineStr">
        <is>
          <t>SIN PRECIO</t>
        </is>
      </c>
    </row>
    <row r="1989">
      <c r="A1989" s="1" t="inlineStr">
        <is>
          <t>85887251539533</t>
        </is>
      </c>
      <c r="B1989" s="1" t="inlineStr">
        <is>
          <t>SUETER CLASSIC CAQUI CASHMERE</t>
        </is>
      </c>
      <c r="C1989" s="1" t="inlineStr">
        <is>
          <t>M</t>
        </is>
      </c>
      <c r="D1989" s="1" t="inlineStr">
        <is>
          <t>MOLLY</t>
        </is>
      </c>
      <c r="E1989" s="4">
        <f>COUNTIF('DETALLE CRONOLÓGICO'!$A$2:$A$4919,$A1989)</f>
        <v/>
      </c>
      <c r="F1989" s="4">
        <f>SUMIFS('DETALLE CRONOLÓGICO'!$I$2:$I$4919,'DETALLE CRONOLÓGICO'!$A$2:$A$4919,$A1989)</f>
        <v/>
      </c>
      <c r="G1989" s="1">
        <f>INDEX('DETALLE CRONOLÓGICO'!$D$2:$D$4919,MATCH($A1989,'DETALLE CRONOLÓGICO'!$A$2:$A$4919,0))</f>
        <v/>
      </c>
      <c r="H1989" s="1">
        <f>INDEX('DETALLE CRONOLÓGICO'!$D$2:$D$4919,MATCH($A1989,'DETALLE CRONOLÓGICO'!$A$2:$A$4919,0)+$E1989-1)</f>
        <v/>
      </c>
      <c r="I1989" s="5">
        <f>IFERROR(SUMIFS('DETALLE CRONOLÓGICO'!$L$2:$L$4919,'DETALLE CRONOLÓGICO'!$A$2:$A$4919,$A1989)/$F1989,"")</f>
        <v/>
      </c>
      <c r="J1989" s="6">
        <f>IFERROR(SUMIFS('DETALLE CRONOLÓGICO'!$K$2:$K$4919,'DETALLE CRONOLÓGICO'!$A$2:$A$4919,$A1989)/$E1989,"")</f>
        <v/>
      </c>
      <c r="K1989" s="6">
        <f>_xlfn.MINIFS('DETALLE CRONOLÓGICO'!$K$2:$K$4919,'DETALLE CRONOLÓGICO'!$A$2:$A$4919,$A1989)</f>
        <v/>
      </c>
      <c r="L1989" s="6">
        <f>_xlfn.MAXIFS('DETALLE CRONOLÓGICO'!$K$2:$K$4919,'DETALLE CRONOLÓGICO'!$A$2:$A$4919,$A1989)</f>
        <v/>
      </c>
      <c r="M1989" s="6">
        <f>INDEX('DETALLE CRONOLÓGICO'!$K$2:$K$4919,MATCH($A1989,'DETALLE CRONOLÓGICO'!$A$2:$A$4919,0)+$E1989-1)</f>
        <v/>
      </c>
      <c r="N1989" s="7">
        <f>IFERROR($M1989/INDEX('DETALLE CRONOLÓGICO'!$K$2:$K$4919,MATCH($A1989,'DETALLE CRONOLÓGICO'!$A$2:$A$4919,0))-1,"")</f>
        <v/>
      </c>
      <c r="O1989" s="6">
        <f>IFERROR($I1989*3,"")</f>
        <v/>
      </c>
      <c r="P1989" s="6">
        <f>IFERROR($I1989*3.5,"")</f>
        <v/>
      </c>
      <c r="Q1989" s="6">
        <f>IFERROR($I1989*4,"")</f>
        <v/>
      </c>
      <c r="R1989" s="6" t="n">
        <v>1508.46</v>
      </c>
      <c r="S1989" s="4" t="n">
        <v>0</v>
      </c>
      <c r="T1989" s="1" t="inlineStr">
        <is>
          <t>active</t>
        </is>
      </c>
      <c r="U1989" s="8" t="n"/>
      <c r="V1989" s="1" t="inlineStr">
        <is>
          <t>SIN PRECIO</t>
        </is>
      </c>
    </row>
    <row r="1990">
      <c r="A1990" s="1" t="inlineStr">
        <is>
          <t>85887251610157</t>
        </is>
      </c>
      <c r="B1990" s="1" t="inlineStr">
        <is>
          <t>SUETER CLASSIC GREY CASHMERE</t>
        </is>
      </c>
      <c r="C1990" s="1" t="inlineStr">
        <is>
          <t>M</t>
        </is>
      </c>
      <c r="D1990" s="1" t="inlineStr">
        <is>
          <t>MOLLY</t>
        </is>
      </c>
      <c r="E1990" s="4">
        <f>COUNTIF('DETALLE CRONOLÓGICO'!$A$2:$A$4919,$A1990)</f>
        <v/>
      </c>
      <c r="F1990" s="4">
        <f>SUMIFS('DETALLE CRONOLÓGICO'!$I$2:$I$4919,'DETALLE CRONOLÓGICO'!$A$2:$A$4919,$A1990)</f>
        <v/>
      </c>
      <c r="G1990" s="1">
        <f>INDEX('DETALLE CRONOLÓGICO'!$D$2:$D$4919,MATCH($A1990,'DETALLE CRONOLÓGICO'!$A$2:$A$4919,0))</f>
        <v/>
      </c>
      <c r="H1990" s="1">
        <f>INDEX('DETALLE CRONOLÓGICO'!$D$2:$D$4919,MATCH($A1990,'DETALLE CRONOLÓGICO'!$A$2:$A$4919,0)+$E1990-1)</f>
        <v/>
      </c>
      <c r="I1990" s="5">
        <f>IFERROR(SUMIFS('DETALLE CRONOLÓGICO'!$L$2:$L$4919,'DETALLE CRONOLÓGICO'!$A$2:$A$4919,$A1990)/$F1990,"")</f>
        <v/>
      </c>
      <c r="J1990" s="6">
        <f>IFERROR(SUMIFS('DETALLE CRONOLÓGICO'!$K$2:$K$4919,'DETALLE CRONOLÓGICO'!$A$2:$A$4919,$A1990)/$E1990,"")</f>
        <v/>
      </c>
      <c r="K1990" s="6">
        <f>_xlfn.MINIFS('DETALLE CRONOLÓGICO'!$K$2:$K$4919,'DETALLE CRONOLÓGICO'!$A$2:$A$4919,$A1990)</f>
        <v/>
      </c>
      <c r="L1990" s="6">
        <f>_xlfn.MAXIFS('DETALLE CRONOLÓGICO'!$K$2:$K$4919,'DETALLE CRONOLÓGICO'!$A$2:$A$4919,$A1990)</f>
        <v/>
      </c>
      <c r="M1990" s="6">
        <f>INDEX('DETALLE CRONOLÓGICO'!$K$2:$K$4919,MATCH($A1990,'DETALLE CRONOLÓGICO'!$A$2:$A$4919,0)+$E1990-1)</f>
        <v/>
      </c>
      <c r="N1990" s="7">
        <f>IFERROR($M1990/INDEX('DETALLE CRONOLÓGICO'!$K$2:$K$4919,MATCH($A1990,'DETALLE CRONOLÓGICO'!$A$2:$A$4919,0))-1,"")</f>
        <v/>
      </c>
      <c r="O1990" s="6">
        <f>IFERROR($I1990*3,"")</f>
        <v/>
      </c>
      <c r="P1990" s="6">
        <f>IFERROR($I1990*3.5,"")</f>
        <v/>
      </c>
      <c r="Q1990" s="6">
        <f>IFERROR($I1990*4,"")</f>
        <v/>
      </c>
      <c r="R1990" s="6" t="n">
        <v>1508.46</v>
      </c>
      <c r="S1990" s="4" t="n">
        <v>0</v>
      </c>
      <c r="T1990" s="1" t="inlineStr">
        <is>
          <t>active</t>
        </is>
      </c>
      <c r="U1990" s="8" t="n"/>
      <c r="V1990" s="1" t="inlineStr">
        <is>
          <t>SIN PRECIO</t>
        </is>
      </c>
    </row>
    <row r="1991">
      <c r="A1991" s="1" t="inlineStr">
        <is>
          <t>85887251787565</t>
        </is>
      </c>
      <c r="B1991" s="1" t="inlineStr">
        <is>
          <t>CAMISETA GREEN JW</t>
        </is>
      </c>
      <c r="C1991" s="1" t="inlineStr">
        <is>
          <t>M</t>
        </is>
      </c>
      <c r="D1991" s="1" t="inlineStr">
        <is>
          <t>MOLLY</t>
        </is>
      </c>
      <c r="E1991" s="4">
        <f>COUNTIF('DETALLE CRONOLÓGICO'!$A$2:$A$4919,$A1991)</f>
        <v/>
      </c>
      <c r="F1991" s="4">
        <f>SUMIFS('DETALLE CRONOLÓGICO'!$I$2:$I$4919,'DETALLE CRONOLÓGICO'!$A$2:$A$4919,$A1991)</f>
        <v/>
      </c>
      <c r="G1991" s="1">
        <f>INDEX('DETALLE CRONOLÓGICO'!$D$2:$D$4919,MATCH($A1991,'DETALLE CRONOLÓGICO'!$A$2:$A$4919,0))</f>
        <v/>
      </c>
      <c r="H1991" s="1">
        <f>INDEX('DETALLE CRONOLÓGICO'!$D$2:$D$4919,MATCH($A1991,'DETALLE CRONOLÓGICO'!$A$2:$A$4919,0)+$E1991-1)</f>
        <v/>
      </c>
      <c r="I1991" s="5">
        <f>IFERROR(SUMIFS('DETALLE CRONOLÓGICO'!$L$2:$L$4919,'DETALLE CRONOLÓGICO'!$A$2:$A$4919,$A1991)/$F1991,"")</f>
        <v/>
      </c>
      <c r="J1991" s="6">
        <f>IFERROR(SUMIFS('DETALLE CRONOLÓGICO'!$K$2:$K$4919,'DETALLE CRONOLÓGICO'!$A$2:$A$4919,$A1991)/$E1991,"")</f>
        <v/>
      </c>
      <c r="K1991" s="6">
        <f>_xlfn.MINIFS('DETALLE CRONOLÓGICO'!$K$2:$K$4919,'DETALLE CRONOLÓGICO'!$A$2:$A$4919,$A1991)</f>
        <v/>
      </c>
      <c r="L1991" s="6">
        <f>_xlfn.MAXIFS('DETALLE CRONOLÓGICO'!$K$2:$K$4919,'DETALLE CRONOLÓGICO'!$A$2:$A$4919,$A1991)</f>
        <v/>
      </c>
      <c r="M1991" s="6">
        <f>INDEX('DETALLE CRONOLÓGICO'!$K$2:$K$4919,MATCH($A1991,'DETALLE CRONOLÓGICO'!$A$2:$A$4919,0)+$E1991-1)</f>
        <v/>
      </c>
      <c r="N1991" s="7">
        <f>IFERROR($M1991/INDEX('DETALLE CRONOLÓGICO'!$K$2:$K$4919,MATCH($A1991,'DETALLE CRONOLÓGICO'!$A$2:$A$4919,0))-1,"")</f>
        <v/>
      </c>
      <c r="O1991" s="6">
        <f>IFERROR($I1991*3,"")</f>
        <v/>
      </c>
      <c r="P1991" s="6">
        <f>IFERROR($I1991*3.5,"")</f>
        <v/>
      </c>
      <c r="Q1991" s="6">
        <f>IFERROR($I1991*4,"")</f>
        <v/>
      </c>
      <c r="R1991" s="6" t="n">
        <v>1190.01</v>
      </c>
      <c r="S1991" s="4" t="n">
        <v>2</v>
      </c>
      <c r="T1991" s="1" t="inlineStr">
        <is>
          <t>active</t>
        </is>
      </c>
      <c r="U1991" s="8" t="n"/>
      <c r="V1991" s="1" t="inlineStr">
        <is>
          <t>SIN PRECIO</t>
        </is>
      </c>
    </row>
    <row r="1992">
      <c r="A1992" s="1" t="inlineStr">
        <is>
          <t>85887251827853</t>
        </is>
      </c>
      <c r="B1992" s="1" t="inlineStr">
        <is>
          <t>CAMISETA BLUE JW</t>
        </is>
      </c>
      <c r="C1992" s="1" t="inlineStr">
        <is>
          <t>L</t>
        </is>
      </c>
      <c r="D1992" s="1" t="inlineStr">
        <is>
          <t>MOLLY</t>
        </is>
      </c>
      <c r="E1992" s="4">
        <f>COUNTIF('DETALLE CRONOLÓGICO'!$A$2:$A$4919,$A1992)</f>
        <v/>
      </c>
      <c r="F1992" s="4">
        <f>SUMIFS('DETALLE CRONOLÓGICO'!$I$2:$I$4919,'DETALLE CRONOLÓGICO'!$A$2:$A$4919,$A1992)</f>
        <v/>
      </c>
      <c r="G1992" s="1">
        <f>INDEX('DETALLE CRONOLÓGICO'!$D$2:$D$4919,MATCH($A1992,'DETALLE CRONOLÓGICO'!$A$2:$A$4919,0))</f>
        <v/>
      </c>
      <c r="H1992" s="1">
        <f>INDEX('DETALLE CRONOLÓGICO'!$D$2:$D$4919,MATCH($A1992,'DETALLE CRONOLÓGICO'!$A$2:$A$4919,0)+$E1992-1)</f>
        <v/>
      </c>
      <c r="I1992" s="5">
        <f>IFERROR(SUMIFS('DETALLE CRONOLÓGICO'!$L$2:$L$4919,'DETALLE CRONOLÓGICO'!$A$2:$A$4919,$A1992)/$F1992,"")</f>
        <v/>
      </c>
      <c r="J1992" s="6">
        <f>IFERROR(SUMIFS('DETALLE CRONOLÓGICO'!$K$2:$K$4919,'DETALLE CRONOLÓGICO'!$A$2:$A$4919,$A1992)/$E1992,"")</f>
        <v/>
      </c>
      <c r="K1992" s="6">
        <f>_xlfn.MINIFS('DETALLE CRONOLÓGICO'!$K$2:$K$4919,'DETALLE CRONOLÓGICO'!$A$2:$A$4919,$A1992)</f>
        <v/>
      </c>
      <c r="L1992" s="6">
        <f>_xlfn.MAXIFS('DETALLE CRONOLÓGICO'!$K$2:$K$4919,'DETALLE CRONOLÓGICO'!$A$2:$A$4919,$A1992)</f>
        <v/>
      </c>
      <c r="M1992" s="6">
        <f>INDEX('DETALLE CRONOLÓGICO'!$K$2:$K$4919,MATCH($A1992,'DETALLE CRONOLÓGICO'!$A$2:$A$4919,0)+$E1992-1)</f>
        <v/>
      </c>
      <c r="N1992" s="7">
        <f>IFERROR($M1992/INDEX('DETALLE CRONOLÓGICO'!$K$2:$K$4919,MATCH($A1992,'DETALLE CRONOLÓGICO'!$A$2:$A$4919,0))-1,"")</f>
        <v/>
      </c>
      <c r="O1992" s="6">
        <f>IFERROR($I1992*3,"")</f>
        <v/>
      </c>
      <c r="P1992" s="6">
        <f>IFERROR($I1992*3.5,"")</f>
        <v/>
      </c>
      <c r="Q1992" s="6">
        <f>IFERROR($I1992*4,"")</f>
        <v/>
      </c>
      <c r="R1992" s="6" t="n">
        <v>676</v>
      </c>
      <c r="S1992" s="4" t="n">
        <v>1</v>
      </c>
      <c r="T1992" s="1" t="inlineStr">
        <is>
          <t>active</t>
        </is>
      </c>
      <c r="U1992" s="8" t="n"/>
      <c r="V1992" s="1" t="inlineStr">
        <is>
          <t>SIN PRECIO</t>
        </is>
      </c>
    </row>
    <row r="1993">
      <c r="A1993" s="1" t="inlineStr">
        <is>
          <t>85887251964013</t>
        </is>
      </c>
      <c r="B1993" s="1" t="inlineStr">
        <is>
          <t>CAMISETA WHITE JW</t>
        </is>
      </c>
      <c r="C1993" s="1" t="inlineStr">
        <is>
          <t>M</t>
        </is>
      </c>
      <c r="D1993" s="1" t="inlineStr">
        <is>
          <t>MOLLY</t>
        </is>
      </c>
      <c r="E1993" s="4">
        <f>COUNTIF('DETALLE CRONOLÓGICO'!$A$2:$A$4919,$A1993)</f>
        <v/>
      </c>
      <c r="F1993" s="4">
        <f>SUMIFS('DETALLE CRONOLÓGICO'!$I$2:$I$4919,'DETALLE CRONOLÓGICO'!$A$2:$A$4919,$A1993)</f>
        <v/>
      </c>
      <c r="G1993" s="1">
        <f>INDEX('DETALLE CRONOLÓGICO'!$D$2:$D$4919,MATCH($A1993,'DETALLE CRONOLÓGICO'!$A$2:$A$4919,0))</f>
        <v/>
      </c>
      <c r="H1993" s="1">
        <f>INDEX('DETALLE CRONOLÓGICO'!$D$2:$D$4919,MATCH($A1993,'DETALLE CRONOLÓGICO'!$A$2:$A$4919,0)+$E1993-1)</f>
        <v/>
      </c>
      <c r="I1993" s="5">
        <f>IFERROR(SUMIFS('DETALLE CRONOLÓGICO'!$L$2:$L$4919,'DETALLE CRONOLÓGICO'!$A$2:$A$4919,$A1993)/$F1993,"")</f>
        <v/>
      </c>
      <c r="J1993" s="6">
        <f>IFERROR(SUMIFS('DETALLE CRONOLÓGICO'!$K$2:$K$4919,'DETALLE CRONOLÓGICO'!$A$2:$A$4919,$A1993)/$E1993,"")</f>
        <v/>
      </c>
      <c r="K1993" s="6">
        <f>_xlfn.MINIFS('DETALLE CRONOLÓGICO'!$K$2:$K$4919,'DETALLE CRONOLÓGICO'!$A$2:$A$4919,$A1993)</f>
        <v/>
      </c>
      <c r="L1993" s="6">
        <f>_xlfn.MAXIFS('DETALLE CRONOLÓGICO'!$K$2:$K$4919,'DETALLE CRONOLÓGICO'!$A$2:$A$4919,$A1993)</f>
        <v/>
      </c>
      <c r="M1993" s="6">
        <f>INDEX('DETALLE CRONOLÓGICO'!$K$2:$K$4919,MATCH($A1993,'DETALLE CRONOLÓGICO'!$A$2:$A$4919,0)+$E1993-1)</f>
        <v/>
      </c>
      <c r="N1993" s="7">
        <f>IFERROR($M1993/INDEX('DETALLE CRONOLÓGICO'!$K$2:$K$4919,MATCH($A1993,'DETALLE CRONOLÓGICO'!$A$2:$A$4919,0))-1,"")</f>
        <v/>
      </c>
      <c r="O1993" s="6">
        <f>IFERROR($I1993*3,"")</f>
        <v/>
      </c>
      <c r="P1993" s="6">
        <f>IFERROR($I1993*3.5,"")</f>
        <v/>
      </c>
      <c r="Q1993" s="6">
        <f>IFERROR($I1993*4,"")</f>
        <v/>
      </c>
      <c r="R1993" s="6" t="n">
        <v>1190.01</v>
      </c>
      <c r="S1993" s="4" t="n">
        <v>1</v>
      </c>
      <c r="T1993" s="1" t="inlineStr">
        <is>
          <t>active</t>
        </is>
      </c>
      <c r="U1993" s="8" t="n"/>
      <c r="V1993" s="1" t="inlineStr">
        <is>
          <t>SIN PRECIO</t>
        </is>
      </c>
    </row>
    <row r="1994">
      <c r="A1994" s="1" t="inlineStr">
        <is>
          <t>85887252087757</t>
        </is>
      </c>
      <c r="B1994" s="1" t="inlineStr">
        <is>
          <t>SUETER BONE JW</t>
        </is>
      </c>
      <c r="C1994" s="1" t="inlineStr">
        <is>
          <t>L</t>
        </is>
      </c>
      <c r="D1994" s="1" t="inlineStr">
        <is>
          <t>MOLLY</t>
        </is>
      </c>
      <c r="E1994" s="4">
        <f>COUNTIF('DETALLE CRONOLÓGICO'!$A$2:$A$4919,$A1994)</f>
        <v/>
      </c>
      <c r="F1994" s="4">
        <f>SUMIFS('DETALLE CRONOLÓGICO'!$I$2:$I$4919,'DETALLE CRONOLÓGICO'!$A$2:$A$4919,$A1994)</f>
        <v/>
      </c>
      <c r="G1994" s="1">
        <f>INDEX('DETALLE CRONOLÓGICO'!$D$2:$D$4919,MATCH($A1994,'DETALLE CRONOLÓGICO'!$A$2:$A$4919,0))</f>
        <v/>
      </c>
      <c r="H1994" s="1">
        <f>INDEX('DETALLE CRONOLÓGICO'!$D$2:$D$4919,MATCH($A1994,'DETALLE CRONOLÓGICO'!$A$2:$A$4919,0)+$E1994-1)</f>
        <v/>
      </c>
      <c r="I1994" s="5">
        <f>IFERROR(SUMIFS('DETALLE CRONOLÓGICO'!$L$2:$L$4919,'DETALLE CRONOLÓGICO'!$A$2:$A$4919,$A1994)/$F1994,"")</f>
        <v/>
      </c>
      <c r="J1994" s="6">
        <f>IFERROR(SUMIFS('DETALLE CRONOLÓGICO'!$K$2:$K$4919,'DETALLE CRONOLÓGICO'!$A$2:$A$4919,$A1994)/$E1994,"")</f>
        <v/>
      </c>
      <c r="K1994" s="6">
        <f>_xlfn.MINIFS('DETALLE CRONOLÓGICO'!$K$2:$K$4919,'DETALLE CRONOLÓGICO'!$A$2:$A$4919,$A1994)</f>
        <v/>
      </c>
      <c r="L1994" s="6">
        <f>_xlfn.MAXIFS('DETALLE CRONOLÓGICO'!$K$2:$K$4919,'DETALLE CRONOLÓGICO'!$A$2:$A$4919,$A1994)</f>
        <v/>
      </c>
      <c r="M1994" s="6">
        <f>INDEX('DETALLE CRONOLÓGICO'!$K$2:$K$4919,MATCH($A1994,'DETALLE CRONOLÓGICO'!$A$2:$A$4919,0)+$E1994-1)</f>
        <v/>
      </c>
      <c r="N1994" s="7">
        <f>IFERROR($M1994/INDEX('DETALLE CRONOLÓGICO'!$K$2:$K$4919,MATCH($A1994,'DETALLE CRONOLÓGICO'!$A$2:$A$4919,0))-1,"")</f>
        <v/>
      </c>
      <c r="O1994" s="6">
        <f>IFERROR($I1994*3,"")</f>
        <v/>
      </c>
      <c r="P1994" s="6">
        <f>IFERROR($I1994*3.5,"")</f>
        <v/>
      </c>
      <c r="Q1994" s="6">
        <f>IFERROR($I1994*4,"")</f>
        <v/>
      </c>
      <c r="R1994" s="6" t="n">
        <v>1283.24</v>
      </c>
      <c r="S1994" s="4" t="n">
        <v>1</v>
      </c>
      <c r="T1994" s="1" t="inlineStr">
        <is>
          <t>active</t>
        </is>
      </c>
      <c r="U1994" s="8" t="n"/>
      <c r="V1994" s="1" t="inlineStr">
        <is>
          <t>SIN PRECIO</t>
        </is>
      </c>
    </row>
    <row r="1995">
      <c r="A1995" s="1" t="inlineStr">
        <is>
          <t>85887252166317</t>
        </is>
      </c>
      <c r="B1995" s="1" t="inlineStr">
        <is>
          <t>SUETER GREY CASHMERE</t>
        </is>
      </c>
      <c r="C1995" s="1" t="inlineStr">
        <is>
          <t>L</t>
        </is>
      </c>
      <c r="D1995" s="1" t="inlineStr">
        <is>
          <t>MOLLY</t>
        </is>
      </c>
      <c r="E1995" s="4">
        <f>COUNTIF('DETALLE CRONOLÓGICO'!$A$2:$A$4919,$A1995)</f>
        <v/>
      </c>
      <c r="F1995" s="4">
        <f>SUMIFS('DETALLE CRONOLÓGICO'!$I$2:$I$4919,'DETALLE CRONOLÓGICO'!$A$2:$A$4919,$A1995)</f>
        <v/>
      </c>
      <c r="G1995" s="1">
        <f>INDEX('DETALLE CRONOLÓGICO'!$D$2:$D$4919,MATCH($A1995,'DETALLE CRONOLÓGICO'!$A$2:$A$4919,0))</f>
        <v/>
      </c>
      <c r="H1995" s="1">
        <f>INDEX('DETALLE CRONOLÓGICO'!$D$2:$D$4919,MATCH($A1995,'DETALLE CRONOLÓGICO'!$A$2:$A$4919,0)+$E1995-1)</f>
        <v/>
      </c>
      <c r="I1995" s="5">
        <f>IFERROR(SUMIFS('DETALLE CRONOLÓGICO'!$L$2:$L$4919,'DETALLE CRONOLÓGICO'!$A$2:$A$4919,$A1995)/$F1995,"")</f>
        <v/>
      </c>
      <c r="J1995" s="6">
        <f>IFERROR(SUMIFS('DETALLE CRONOLÓGICO'!$K$2:$K$4919,'DETALLE CRONOLÓGICO'!$A$2:$A$4919,$A1995)/$E1995,"")</f>
        <v/>
      </c>
      <c r="K1995" s="6">
        <f>_xlfn.MINIFS('DETALLE CRONOLÓGICO'!$K$2:$K$4919,'DETALLE CRONOLÓGICO'!$A$2:$A$4919,$A1995)</f>
        <v/>
      </c>
      <c r="L1995" s="6">
        <f>_xlfn.MAXIFS('DETALLE CRONOLÓGICO'!$K$2:$K$4919,'DETALLE CRONOLÓGICO'!$A$2:$A$4919,$A1995)</f>
        <v/>
      </c>
      <c r="M1995" s="6">
        <f>INDEX('DETALLE CRONOLÓGICO'!$K$2:$K$4919,MATCH($A1995,'DETALLE CRONOLÓGICO'!$A$2:$A$4919,0)+$E1995-1)</f>
        <v/>
      </c>
      <c r="N1995" s="7">
        <f>IFERROR($M1995/INDEX('DETALLE CRONOLÓGICO'!$K$2:$K$4919,MATCH($A1995,'DETALLE CRONOLÓGICO'!$A$2:$A$4919,0))-1,"")</f>
        <v/>
      </c>
      <c r="O1995" s="6">
        <f>IFERROR($I1995*3,"")</f>
        <v/>
      </c>
      <c r="P1995" s="6">
        <f>IFERROR($I1995*3.5,"")</f>
        <v/>
      </c>
      <c r="Q1995" s="6">
        <f>IFERROR($I1995*4,"")</f>
        <v/>
      </c>
      <c r="R1995" s="6" t="n">
        <v>1283.24</v>
      </c>
      <c r="S1995" s="4" t="n">
        <v>0</v>
      </c>
      <c r="T1995" s="1" t="inlineStr">
        <is>
          <t>active</t>
        </is>
      </c>
      <c r="U1995" s="8" t="n"/>
      <c r="V1995" s="1" t="inlineStr">
        <is>
          <t>SIN PRECIO</t>
        </is>
      </c>
    </row>
    <row r="1996">
      <c r="A1996" s="1" t="inlineStr">
        <is>
          <t>85887252207565</t>
        </is>
      </c>
      <c r="B1996" s="1" t="inlineStr">
        <is>
          <t>SUETER GREY PEARL JW</t>
        </is>
      </c>
      <c r="C1996" s="1" t="inlineStr">
        <is>
          <t>M</t>
        </is>
      </c>
      <c r="D1996" s="1" t="inlineStr">
        <is>
          <t>MOLLY</t>
        </is>
      </c>
      <c r="E1996" s="4">
        <f>COUNTIF('DETALLE CRONOLÓGICO'!$A$2:$A$4919,$A1996)</f>
        <v/>
      </c>
      <c r="F1996" s="4">
        <f>SUMIFS('DETALLE CRONOLÓGICO'!$I$2:$I$4919,'DETALLE CRONOLÓGICO'!$A$2:$A$4919,$A1996)</f>
        <v/>
      </c>
      <c r="G1996" s="1">
        <f>INDEX('DETALLE CRONOLÓGICO'!$D$2:$D$4919,MATCH($A1996,'DETALLE CRONOLÓGICO'!$A$2:$A$4919,0))</f>
        <v/>
      </c>
      <c r="H1996" s="1">
        <f>INDEX('DETALLE CRONOLÓGICO'!$D$2:$D$4919,MATCH($A1996,'DETALLE CRONOLÓGICO'!$A$2:$A$4919,0)+$E1996-1)</f>
        <v/>
      </c>
      <c r="I1996" s="5">
        <f>IFERROR(SUMIFS('DETALLE CRONOLÓGICO'!$L$2:$L$4919,'DETALLE CRONOLÓGICO'!$A$2:$A$4919,$A1996)/$F1996,"")</f>
        <v/>
      </c>
      <c r="J1996" s="6">
        <f>IFERROR(SUMIFS('DETALLE CRONOLÓGICO'!$K$2:$K$4919,'DETALLE CRONOLÓGICO'!$A$2:$A$4919,$A1996)/$E1996,"")</f>
        <v/>
      </c>
      <c r="K1996" s="6">
        <f>_xlfn.MINIFS('DETALLE CRONOLÓGICO'!$K$2:$K$4919,'DETALLE CRONOLÓGICO'!$A$2:$A$4919,$A1996)</f>
        <v/>
      </c>
      <c r="L1996" s="6">
        <f>_xlfn.MAXIFS('DETALLE CRONOLÓGICO'!$K$2:$K$4919,'DETALLE CRONOLÓGICO'!$A$2:$A$4919,$A1996)</f>
        <v/>
      </c>
      <c r="M1996" s="6">
        <f>INDEX('DETALLE CRONOLÓGICO'!$K$2:$K$4919,MATCH($A1996,'DETALLE CRONOLÓGICO'!$A$2:$A$4919,0)+$E1996-1)</f>
        <v/>
      </c>
      <c r="N1996" s="7">
        <f>IFERROR($M1996/INDEX('DETALLE CRONOLÓGICO'!$K$2:$K$4919,MATCH($A1996,'DETALLE CRONOLÓGICO'!$A$2:$A$4919,0))-1,"")</f>
        <v/>
      </c>
      <c r="O1996" s="6">
        <f>IFERROR($I1996*3,"")</f>
        <v/>
      </c>
      <c r="P1996" s="6">
        <f>IFERROR($I1996*3.5,"")</f>
        <v/>
      </c>
      <c r="Q1996" s="6">
        <f>IFERROR($I1996*4,"")</f>
        <v/>
      </c>
      <c r="R1996" s="6" t="n">
        <v>1340.85</v>
      </c>
      <c r="S1996" s="4" t="n">
        <v>2</v>
      </c>
      <c r="T1996" s="1" t="inlineStr">
        <is>
          <t>active</t>
        </is>
      </c>
      <c r="U1996" s="8" t="n"/>
      <c r="V1996" s="1" t="inlineStr">
        <is>
          <t>SIN PRECIO</t>
        </is>
      </c>
    </row>
    <row r="1997">
      <c r="A1997" s="1" t="inlineStr">
        <is>
          <t>85887252345421</t>
        </is>
      </c>
      <c r="B1997" s="1" t="inlineStr">
        <is>
          <t>SUETER ZIPPER WHITE JW</t>
        </is>
      </c>
      <c r="C1997" s="1" t="inlineStr">
        <is>
          <t>M</t>
        </is>
      </c>
      <c r="D1997" s="1" t="inlineStr">
        <is>
          <t>MOLLY</t>
        </is>
      </c>
      <c r="E1997" s="4">
        <f>COUNTIF('DETALLE CRONOLÓGICO'!$A$2:$A$4919,$A1997)</f>
        <v/>
      </c>
      <c r="F1997" s="4">
        <f>SUMIFS('DETALLE CRONOLÓGICO'!$I$2:$I$4919,'DETALLE CRONOLÓGICO'!$A$2:$A$4919,$A1997)</f>
        <v/>
      </c>
      <c r="G1997" s="1">
        <f>INDEX('DETALLE CRONOLÓGICO'!$D$2:$D$4919,MATCH($A1997,'DETALLE CRONOLÓGICO'!$A$2:$A$4919,0))</f>
        <v/>
      </c>
      <c r="H1997" s="1">
        <f>INDEX('DETALLE CRONOLÓGICO'!$D$2:$D$4919,MATCH($A1997,'DETALLE CRONOLÓGICO'!$A$2:$A$4919,0)+$E1997-1)</f>
        <v/>
      </c>
      <c r="I1997" s="5">
        <f>IFERROR(SUMIFS('DETALLE CRONOLÓGICO'!$L$2:$L$4919,'DETALLE CRONOLÓGICO'!$A$2:$A$4919,$A1997)/$F1997,"")</f>
        <v/>
      </c>
      <c r="J1997" s="6">
        <f>IFERROR(SUMIFS('DETALLE CRONOLÓGICO'!$K$2:$K$4919,'DETALLE CRONOLÓGICO'!$A$2:$A$4919,$A1997)/$E1997,"")</f>
        <v/>
      </c>
      <c r="K1997" s="6">
        <f>_xlfn.MINIFS('DETALLE CRONOLÓGICO'!$K$2:$K$4919,'DETALLE CRONOLÓGICO'!$A$2:$A$4919,$A1997)</f>
        <v/>
      </c>
      <c r="L1997" s="6">
        <f>_xlfn.MAXIFS('DETALLE CRONOLÓGICO'!$K$2:$K$4919,'DETALLE CRONOLÓGICO'!$A$2:$A$4919,$A1997)</f>
        <v/>
      </c>
      <c r="M1997" s="6">
        <f>INDEX('DETALLE CRONOLÓGICO'!$K$2:$K$4919,MATCH($A1997,'DETALLE CRONOLÓGICO'!$A$2:$A$4919,0)+$E1997-1)</f>
        <v/>
      </c>
      <c r="N1997" s="7">
        <f>IFERROR($M1997/INDEX('DETALLE CRONOLÓGICO'!$K$2:$K$4919,MATCH($A1997,'DETALLE CRONOLÓGICO'!$A$2:$A$4919,0))-1,"")</f>
        <v/>
      </c>
      <c r="O1997" s="6">
        <f>IFERROR($I1997*3,"")</f>
        <v/>
      </c>
      <c r="P1997" s="6">
        <f>IFERROR($I1997*3.5,"")</f>
        <v/>
      </c>
      <c r="Q1997" s="6">
        <f>IFERROR($I1997*4,"")</f>
        <v/>
      </c>
      <c r="R1997" s="6" t="n">
        <v>737.47</v>
      </c>
      <c r="S1997" s="4" t="n">
        <v>0</v>
      </c>
      <c r="T1997" s="1" t="inlineStr">
        <is>
          <t>active</t>
        </is>
      </c>
      <c r="U1997" s="8" t="n"/>
      <c r="V1997" s="1" t="inlineStr">
        <is>
          <t>SIN PRECIO</t>
        </is>
      </c>
    </row>
    <row r="1998">
      <c r="A1998" s="1" t="inlineStr">
        <is>
          <t>85887252483277</t>
        </is>
      </c>
      <c r="B1998" s="1" t="inlineStr">
        <is>
          <t>CHAMARRA BLACK JW</t>
        </is>
      </c>
      <c r="C1998" s="1" t="inlineStr">
        <is>
          <t>L</t>
        </is>
      </c>
      <c r="D1998" s="1" t="inlineStr">
        <is>
          <t>MOLLY</t>
        </is>
      </c>
      <c r="E1998" s="4">
        <f>COUNTIF('DETALLE CRONOLÓGICO'!$A$2:$A$4919,$A1998)</f>
        <v/>
      </c>
      <c r="F1998" s="4">
        <f>SUMIFS('DETALLE CRONOLÓGICO'!$I$2:$I$4919,'DETALLE CRONOLÓGICO'!$A$2:$A$4919,$A1998)</f>
        <v/>
      </c>
      <c r="G1998" s="1">
        <f>INDEX('DETALLE CRONOLÓGICO'!$D$2:$D$4919,MATCH($A1998,'DETALLE CRONOLÓGICO'!$A$2:$A$4919,0))</f>
        <v/>
      </c>
      <c r="H1998" s="1">
        <f>INDEX('DETALLE CRONOLÓGICO'!$D$2:$D$4919,MATCH($A1998,'DETALLE CRONOLÓGICO'!$A$2:$A$4919,0)+$E1998-1)</f>
        <v/>
      </c>
      <c r="I1998" s="5">
        <f>IFERROR(SUMIFS('DETALLE CRONOLÓGICO'!$L$2:$L$4919,'DETALLE CRONOLÓGICO'!$A$2:$A$4919,$A1998)/$F1998,"")</f>
        <v/>
      </c>
      <c r="J1998" s="6">
        <f>IFERROR(SUMIFS('DETALLE CRONOLÓGICO'!$K$2:$K$4919,'DETALLE CRONOLÓGICO'!$A$2:$A$4919,$A1998)/$E1998,"")</f>
        <v/>
      </c>
      <c r="K1998" s="6">
        <f>_xlfn.MINIFS('DETALLE CRONOLÓGICO'!$K$2:$K$4919,'DETALLE CRONOLÓGICO'!$A$2:$A$4919,$A1998)</f>
        <v/>
      </c>
      <c r="L1998" s="6">
        <f>_xlfn.MAXIFS('DETALLE CRONOLÓGICO'!$K$2:$K$4919,'DETALLE CRONOLÓGICO'!$A$2:$A$4919,$A1998)</f>
        <v/>
      </c>
      <c r="M1998" s="6">
        <f>INDEX('DETALLE CRONOLÓGICO'!$K$2:$K$4919,MATCH($A1998,'DETALLE CRONOLÓGICO'!$A$2:$A$4919,0)+$E1998-1)</f>
        <v/>
      </c>
      <c r="N1998" s="7">
        <f>IFERROR($M1998/INDEX('DETALLE CRONOLÓGICO'!$K$2:$K$4919,MATCH($A1998,'DETALLE CRONOLÓGICO'!$A$2:$A$4919,0))-1,"")</f>
        <v/>
      </c>
      <c r="O1998" s="6">
        <f>IFERROR($I1998*3,"")</f>
        <v/>
      </c>
      <c r="P1998" s="6">
        <f>IFERROR($I1998*3.5,"")</f>
        <v/>
      </c>
      <c r="Q1998" s="6">
        <f>IFERROR($I1998*4,"")</f>
        <v/>
      </c>
      <c r="R1998" s="6" t="n">
        <v>899</v>
      </c>
      <c r="S1998" s="4" t="n">
        <v>0</v>
      </c>
      <c r="T1998" s="1" t="inlineStr">
        <is>
          <t>active</t>
        </is>
      </c>
      <c r="U1998" s="8" t="n"/>
      <c r="V1998" s="1" t="inlineStr">
        <is>
          <t>SIN PRECIO</t>
        </is>
      </c>
    </row>
    <row r="1999">
      <c r="A1999" s="1" t="inlineStr">
        <is>
          <t>85887252596845</t>
        </is>
      </c>
      <c r="B1999" s="1" t="inlineStr">
        <is>
          <t>SUETER BROWN CASHMERE</t>
        </is>
      </c>
      <c r="C1999" s="1" t="inlineStr">
        <is>
          <t>S</t>
        </is>
      </c>
      <c r="D1999" s="1" t="inlineStr">
        <is>
          <t>MOLLY</t>
        </is>
      </c>
      <c r="E1999" s="4">
        <f>COUNTIF('DETALLE CRONOLÓGICO'!$A$2:$A$4919,$A1999)</f>
        <v/>
      </c>
      <c r="F1999" s="4">
        <f>SUMIFS('DETALLE CRONOLÓGICO'!$I$2:$I$4919,'DETALLE CRONOLÓGICO'!$A$2:$A$4919,$A1999)</f>
        <v/>
      </c>
      <c r="G1999" s="1">
        <f>INDEX('DETALLE CRONOLÓGICO'!$D$2:$D$4919,MATCH($A1999,'DETALLE CRONOLÓGICO'!$A$2:$A$4919,0))</f>
        <v/>
      </c>
      <c r="H1999" s="1">
        <f>INDEX('DETALLE CRONOLÓGICO'!$D$2:$D$4919,MATCH($A1999,'DETALLE CRONOLÓGICO'!$A$2:$A$4919,0)+$E1999-1)</f>
        <v/>
      </c>
      <c r="I1999" s="5">
        <f>IFERROR(SUMIFS('DETALLE CRONOLÓGICO'!$L$2:$L$4919,'DETALLE CRONOLÓGICO'!$A$2:$A$4919,$A1999)/$F1999,"")</f>
        <v/>
      </c>
      <c r="J1999" s="6">
        <f>IFERROR(SUMIFS('DETALLE CRONOLÓGICO'!$K$2:$K$4919,'DETALLE CRONOLÓGICO'!$A$2:$A$4919,$A1999)/$E1999,"")</f>
        <v/>
      </c>
      <c r="K1999" s="6">
        <f>_xlfn.MINIFS('DETALLE CRONOLÓGICO'!$K$2:$K$4919,'DETALLE CRONOLÓGICO'!$A$2:$A$4919,$A1999)</f>
        <v/>
      </c>
      <c r="L1999" s="6">
        <f>_xlfn.MAXIFS('DETALLE CRONOLÓGICO'!$K$2:$K$4919,'DETALLE CRONOLÓGICO'!$A$2:$A$4919,$A1999)</f>
        <v/>
      </c>
      <c r="M1999" s="6">
        <f>INDEX('DETALLE CRONOLÓGICO'!$K$2:$K$4919,MATCH($A1999,'DETALLE CRONOLÓGICO'!$A$2:$A$4919,0)+$E1999-1)</f>
        <v/>
      </c>
      <c r="N1999" s="7">
        <f>IFERROR($M1999/INDEX('DETALLE CRONOLÓGICO'!$K$2:$K$4919,MATCH($A1999,'DETALLE CRONOLÓGICO'!$A$2:$A$4919,0))-1,"")</f>
        <v/>
      </c>
      <c r="O1999" s="6">
        <f>IFERROR($I1999*3,"")</f>
        <v/>
      </c>
      <c r="P1999" s="6">
        <f>IFERROR($I1999*3.5,"")</f>
        <v/>
      </c>
      <c r="Q1999" s="6">
        <f>IFERROR($I1999*4,"")</f>
        <v/>
      </c>
      <c r="R1999" s="6" t="n">
        <v>1340.85</v>
      </c>
      <c r="S1999" s="4" t="n">
        <v>0</v>
      </c>
      <c r="T1999" s="1" t="inlineStr">
        <is>
          <t>active</t>
        </is>
      </c>
      <c r="U1999" s="8" t="n"/>
      <c r="V1999" s="1" t="inlineStr">
        <is>
          <t>SIN PRECIO</t>
        </is>
      </c>
    </row>
    <row r="2000">
      <c r="A2000" s="1" t="inlineStr">
        <is>
          <t>85887252613805</t>
        </is>
      </c>
      <c r="B2000" s="1" t="inlineStr">
        <is>
          <t>BLAZER BLACK FEATHERS JW</t>
        </is>
      </c>
      <c r="C2000" s="1" t="inlineStr">
        <is>
          <t>M</t>
        </is>
      </c>
      <c r="D2000" s="1" t="inlineStr">
        <is>
          <t>MOLLY</t>
        </is>
      </c>
      <c r="E2000" s="4">
        <f>COUNTIF('DETALLE CRONOLÓGICO'!$A$2:$A$4919,$A2000)</f>
        <v/>
      </c>
      <c r="F2000" s="4">
        <f>SUMIFS('DETALLE CRONOLÓGICO'!$I$2:$I$4919,'DETALLE CRONOLÓGICO'!$A$2:$A$4919,$A2000)</f>
        <v/>
      </c>
      <c r="G2000" s="1">
        <f>INDEX('DETALLE CRONOLÓGICO'!$D$2:$D$4919,MATCH($A2000,'DETALLE CRONOLÓGICO'!$A$2:$A$4919,0))</f>
        <v/>
      </c>
      <c r="H2000" s="1">
        <f>INDEX('DETALLE CRONOLÓGICO'!$D$2:$D$4919,MATCH($A2000,'DETALLE CRONOLÓGICO'!$A$2:$A$4919,0)+$E2000-1)</f>
        <v/>
      </c>
      <c r="I2000" s="5">
        <f>IFERROR(SUMIFS('DETALLE CRONOLÓGICO'!$L$2:$L$4919,'DETALLE CRONOLÓGICO'!$A$2:$A$4919,$A2000)/$F2000,"")</f>
        <v/>
      </c>
      <c r="J2000" s="6">
        <f>IFERROR(SUMIFS('DETALLE CRONOLÓGICO'!$K$2:$K$4919,'DETALLE CRONOLÓGICO'!$A$2:$A$4919,$A2000)/$E2000,"")</f>
        <v/>
      </c>
      <c r="K2000" s="6">
        <f>_xlfn.MINIFS('DETALLE CRONOLÓGICO'!$K$2:$K$4919,'DETALLE CRONOLÓGICO'!$A$2:$A$4919,$A2000)</f>
        <v/>
      </c>
      <c r="L2000" s="6">
        <f>_xlfn.MAXIFS('DETALLE CRONOLÓGICO'!$K$2:$K$4919,'DETALLE CRONOLÓGICO'!$A$2:$A$4919,$A2000)</f>
        <v/>
      </c>
      <c r="M2000" s="6">
        <f>INDEX('DETALLE CRONOLÓGICO'!$K$2:$K$4919,MATCH($A2000,'DETALLE CRONOLÓGICO'!$A$2:$A$4919,0)+$E2000-1)</f>
        <v/>
      </c>
      <c r="N2000" s="7">
        <f>IFERROR($M2000/INDEX('DETALLE CRONOLÓGICO'!$K$2:$K$4919,MATCH($A2000,'DETALLE CRONOLÓGICO'!$A$2:$A$4919,0))-1,"")</f>
        <v/>
      </c>
      <c r="O2000" s="6">
        <f>IFERROR($I2000*3,"")</f>
        <v/>
      </c>
      <c r="P2000" s="6">
        <f>IFERROR($I2000*3.5,"")</f>
        <v/>
      </c>
      <c r="Q2000" s="6">
        <f>IFERROR($I2000*4,"")</f>
        <v/>
      </c>
      <c r="R2000" s="6" t="n">
        <v>1676.07</v>
      </c>
      <c r="S2000" s="4" t="n">
        <v>0</v>
      </c>
      <c r="T2000" s="1" t="inlineStr">
        <is>
          <t>active</t>
        </is>
      </c>
      <c r="U2000" s="8" t="n"/>
      <c r="V2000" s="1" t="inlineStr">
        <is>
          <t>SIN PRECIO</t>
        </is>
      </c>
    </row>
    <row r="2001">
      <c r="A2001" s="1" t="inlineStr">
        <is>
          <t>85887252725133</t>
        </is>
      </c>
      <c r="B2001" s="1" t="inlineStr">
        <is>
          <t>CONJUNTO WHITE CASHMERE</t>
        </is>
      </c>
      <c r="C2001" s="1" t="inlineStr">
        <is>
          <t>M</t>
        </is>
      </c>
      <c r="D2001" s="1" t="inlineStr">
        <is>
          <t>MOLLY</t>
        </is>
      </c>
      <c r="E2001" s="4">
        <f>COUNTIF('DETALLE CRONOLÓGICO'!$A$2:$A$4919,$A2001)</f>
        <v/>
      </c>
      <c r="F2001" s="4">
        <f>SUMIFS('DETALLE CRONOLÓGICO'!$I$2:$I$4919,'DETALLE CRONOLÓGICO'!$A$2:$A$4919,$A2001)</f>
        <v/>
      </c>
      <c r="G2001" s="1">
        <f>INDEX('DETALLE CRONOLÓGICO'!$D$2:$D$4919,MATCH($A2001,'DETALLE CRONOLÓGICO'!$A$2:$A$4919,0))</f>
        <v/>
      </c>
      <c r="H2001" s="1">
        <f>INDEX('DETALLE CRONOLÓGICO'!$D$2:$D$4919,MATCH($A2001,'DETALLE CRONOLÓGICO'!$A$2:$A$4919,0)+$E2001-1)</f>
        <v/>
      </c>
      <c r="I2001" s="5">
        <f>IFERROR(SUMIFS('DETALLE CRONOLÓGICO'!$L$2:$L$4919,'DETALLE CRONOLÓGICO'!$A$2:$A$4919,$A2001)/$F2001,"")</f>
        <v/>
      </c>
      <c r="J2001" s="6">
        <f>IFERROR(SUMIFS('DETALLE CRONOLÓGICO'!$K$2:$K$4919,'DETALLE CRONOLÓGICO'!$A$2:$A$4919,$A2001)/$E2001,"")</f>
        <v/>
      </c>
      <c r="K2001" s="6">
        <f>_xlfn.MINIFS('DETALLE CRONOLÓGICO'!$K$2:$K$4919,'DETALLE CRONOLÓGICO'!$A$2:$A$4919,$A2001)</f>
        <v/>
      </c>
      <c r="L2001" s="6">
        <f>_xlfn.MAXIFS('DETALLE CRONOLÓGICO'!$K$2:$K$4919,'DETALLE CRONOLÓGICO'!$A$2:$A$4919,$A2001)</f>
        <v/>
      </c>
      <c r="M2001" s="6">
        <f>INDEX('DETALLE CRONOLÓGICO'!$K$2:$K$4919,MATCH($A2001,'DETALLE CRONOLÓGICO'!$A$2:$A$4919,0)+$E2001-1)</f>
        <v/>
      </c>
      <c r="N2001" s="7">
        <f>IFERROR($M2001/INDEX('DETALLE CRONOLÓGICO'!$K$2:$K$4919,MATCH($A2001,'DETALLE CRONOLÓGICO'!$A$2:$A$4919,0))-1,"")</f>
        <v/>
      </c>
      <c r="O2001" s="6">
        <f>IFERROR($I2001*3,"")</f>
        <v/>
      </c>
      <c r="P2001" s="6">
        <f>IFERROR($I2001*3.5,"")</f>
        <v/>
      </c>
      <c r="Q2001" s="6">
        <f>IFERROR($I2001*4,"")</f>
        <v/>
      </c>
      <c r="R2001" s="6" t="n">
        <v>1416.28</v>
      </c>
      <c r="S2001" s="4" t="n">
        <v>0</v>
      </c>
      <c r="T2001" s="1" t="inlineStr">
        <is>
          <t>active</t>
        </is>
      </c>
      <c r="U2001" s="8" t="n"/>
      <c r="V2001" s="1" t="inlineStr">
        <is>
          <t>SIN PRECIO</t>
        </is>
      </c>
    </row>
    <row r="2002">
      <c r="A2002" s="1" t="inlineStr">
        <is>
          <t>85887252823437</t>
        </is>
      </c>
      <c r="B2002" s="1" t="inlineStr">
        <is>
          <t>BLUSA WHITE-BLACK JW</t>
        </is>
      </c>
      <c r="C2002" s="1" t="inlineStr">
        <is>
          <t>M</t>
        </is>
      </c>
      <c r="D2002" s="1" t="inlineStr">
        <is>
          <t>MOLLY</t>
        </is>
      </c>
      <c r="E2002" s="4">
        <f>COUNTIF('DETALLE CRONOLÓGICO'!$A$2:$A$4919,$A2002)</f>
        <v/>
      </c>
      <c r="F2002" s="4">
        <f>SUMIFS('DETALLE CRONOLÓGICO'!$I$2:$I$4919,'DETALLE CRONOLÓGICO'!$A$2:$A$4919,$A2002)</f>
        <v/>
      </c>
      <c r="G2002" s="1">
        <f>INDEX('DETALLE CRONOLÓGICO'!$D$2:$D$4919,MATCH($A2002,'DETALLE CRONOLÓGICO'!$A$2:$A$4919,0))</f>
        <v/>
      </c>
      <c r="H2002" s="1">
        <f>INDEX('DETALLE CRONOLÓGICO'!$D$2:$D$4919,MATCH($A2002,'DETALLE CRONOLÓGICO'!$A$2:$A$4919,0)+$E2002-1)</f>
        <v/>
      </c>
      <c r="I2002" s="5">
        <f>IFERROR(SUMIFS('DETALLE CRONOLÓGICO'!$L$2:$L$4919,'DETALLE CRONOLÓGICO'!$A$2:$A$4919,$A2002)/$F2002,"")</f>
        <v/>
      </c>
      <c r="J2002" s="6">
        <f>IFERROR(SUMIFS('DETALLE CRONOLÓGICO'!$K$2:$K$4919,'DETALLE CRONOLÓGICO'!$A$2:$A$4919,$A2002)/$E2002,"")</f>
        <v/>
      </c>
      <c r="K2002" s="6">
        <f>_xlfn.MINIFS('DETALLE CRONOLÓGICO'!$K$2:$K$4919,'DETALLE CRONOLÓGICO'!$A$2:$A$4919,$A2002)</f>
        <v/>
      </c>
      <c r="L2002" s="6">
        <f>_xlfn.MAXIFS('DETALLE CRONOLÓGICO'!$K$2:$K$4919,'DETALLE CRONOLÓGICO'!$A$2:$A$4919,$A2002)</f>
        <v/>
      </c>
      <c r="M2002" s="6">
        <f>INDEX('DETALLE CRONOLÓGICO'!$K$2:$K$4919,MATCH($A2002,'DETALLE CRONOLÓGICO'!$A$2:$A$4919,0)+$E2002-1)</f>
        <v/>
      </c>
      <c r="N2002" s="7">
        <f>IFERROR($M2002/INDEX('DETALLE CRONOLÓGICO'!$K$2:$K$4919,MATCH($A2002,'DETALLE CRONOLÓGICO'!$A$2:$A$4919,0))-1,"")</f>
        <v/>
      </c>
      <c r="O2002" s="6">
        <f>IFERROR($I2002*3,"")</f>
        <v/>
      </c>
      <c r="P2002" s="6">
        <f>IFERROR($I2002*3.5,"")</f>
        <v/>
      </c>
      <c r="Q2002" s="6">
        <f>IFERROR($I2002*4,"")</f>
        <v/>
      </c>
      <c r="R2002" s="6" t="n">
        <v>1000</v>
      </c>
      <c r="S2002" s="4" t="n">
        <v>0</v>
      </c>
      <c r="T2002" s="1" t="inlineStr">
        <is>
          <t>active</t>
        </is>
      </c>
      <c r="U2002" s="8" t="n"/>
      <c r="V2002" s="1" t="inlineStr">
        <is>
          <t>SIN PRECIO</t>
        </is>
      </c>
    </row>
    <row r="2003">
      <c r="A2003" s="1" t="inlineStr">
        <is>
          <t>86072001212237</t>
        </is>
      </c>
      <c r="B2003" s="1" t="inlineStr">
        <is>
          <t>ARRACADAS MM APPLE PEARL</t>
        </is>
      </c>
      <c r="C2003" s="1" t="n"/>
      <c r="D2003" s="1" t="inlineStr">
        <is>
          <t>NANCY</t>
        </is>
      </c>
      <c r="E2003" s="4">
        <f>COUNTIF('DETALLE CRONOLÓGICO'!$A$2:$A$4919,$A2003)</f>
        <v/>
      </c>
      <c r="F2003" s="4">
        <f>SUMIFS('DETALLE CRONOLÓGICO'!$I$2:$I$4919,'DETALLE CRONOLÓGICO'!$A$2:$A$4919,$A2003)</f>
        <v/>
      </c>
      <c r="G2003" s="1">
        <f>INDEX('DETALLE CRONOLÓGICO'!$D$2:$D$4919,MATCH($A2003,'DETALLE CRONOLÓGICO'!$A$2:$A$4919,0))</f>
        <v/>
      </c>
      <c r="H2003" s="1">
        <f>INDEX('DETALLE CRONOLÓGICO'!$D$2:$D$4919,MATCH($A2003,'DETALLE CRONOLÓGICO'!$A$2:$A$4919,0)+$E2003-1)</f>
        <v/>
      </c>
      <c r="I2003" s="5">
        <f>IFERROR(SUMIFS('DETALLE CRONOLÓGICO'!$L$2:$L$4919,'DETALLE CRONOLÓGICO'!$A$2:$A$4919,$A2003)/$F2003,"")</f>
        <v/>
      </c>
      <c r="J2003" s="6">
        <f>IFERROR(SUMIFS('DETALLE CRONOLÓGICO'!$K$2:$K$4919,'DETALLE CRONOLÓGICO'!$A$2:$A$4919,$A2003)/$E2003,"")</f>
        <v/>
      </c>
      <c r="K2003" s="6">
        <f>_xlfn.MINIFS('DETALLE CRONOLÓGICO'!$K$2:$K$4919,'DETALLE CRONOLÓGICO'!$A$2:$A$4919,$A2003)</f>
        <v/>
      </c>
      <c r="L2003" s="6">
        <f>_xlfn.MAXIFS('DETALLE CRONOLÓGICO'!$K$2:$K$4919,'DETALLE CRONOLÓGICO'!$A$2:$A$4919,$A2003)</f>
        <v/>
      </c>
      <c r="M2003" s="6">
        <f>INDEX('DETALLE CRONOLÓGICO'!$K$2:$K$4919,MATCH($A2003,'DETALLE CRONOLÓGICO'!$A$2:$A$4919,0)+$E2003-1)</f>
        <v/>
      </c>
      <c r="N2003" s="7">
        <f>IFERROR($M2003/INDEX('DETALLE CRONOLÓGICO'!$K$2:$K$4919,MATCH($A2003,'DETALLE CRONOLÓGICO'!$A$2:$A$4919,0))-1,"")</f>
        <v/>
      </c>
      <c r="O2003" s="6">
        <f>IFERROR($I2003*3,"")</f>
        <v/>
      </c>
      <c r="P2003" s="6">
        <f>IFERROR($I2003*3.5,"")</f>
        <v/>
      </c>
      <c r="Q2003" s="6">
        <f>IFERROR($I2003*4,"")</f>
        <v/>
      </c>
      <c r="R2003" s="6" t="n">
        <v>0</v>
      </c>
      <c r="S2003" s="4" t="n">
        <v>0</v>
      </c>
      <c r="T2003" s="1" t="inlineStr">
        <is>
          <t>draft</t>
        </is>
      </c>
      <c r="U2003" s="8" t="n"/>
      <c r="V2003" s="1" t="inlineStr">
        <is>
          <t>SIN PRECIO</t>
        </is>
      </c>
    </row>
    <row r="2004">
      <c r="A2004" s="1" t="inlineStr">
        <is>
          <t>86290411075053</t>
        </is>
      </c>
      <c r="B2004" s="1" t="inlineStr">
        <is>
          <t>COLLAR LV EVER BLOSSOM GOLD BLACK</t>
        </is>
      </c>
      <c r="C2004" s="1" t="inlineStr">
        <is>
          <t>Default Title</t>
        </is>
      </c>
      <c r="D2004" s="1" t="inlineStr">
        <is>
          <t>ZOEY</t>
        </is>
      </c>
      <c r="E2004" s="4">
        <f>COUNTIF('DETALLE CRONOLÓGICO'!$A$2:$A$4919,$A2004)</f>
        <v/>
      </c>
      <c r="F2004" s="4">
        <f>SUMIFS('DETALLE CRONOLÓGICO'!$I$2:$I$4919,'DETALLE CRONOLÓGICO'!$A$2:$A$4919,$A2004)</f>
        <v/>
      </c>
      <c r="G2004" s="1">
        <f>INDEX('DETALLE CRONOLÓGICO'!$D$2:$D$4919,MATCH($A2004,'DETALLE CRONOLÓGICO'!$A$2:$A$4919,0))</f>
        <v/>
      </c>
      <c r="H2004" s="1">
        <f>INDEX('DETALLE CRONOLÓGICO'!$D$2:$D$4919,MATCH($A2004,'DETALLE CRONOLÓGICO'!$A$2:$A$4919,0)+$E2004-1)</f>
        <v/>
      </c>
      <c r="I2004" s="5">
        <f>IFERROR(SUMIFS('DETALLE CRONOLÓGICO'!$L$2:$L$4919,'DETALLE CRONOLÓGICO'!$A$2:$A$4919,$A2004)/$F2004,"")</f>
        <v/>
      </c>
      <c r="J2004" s="6">
        <f>IFERROR(SUMIFS('DETALLE CRONOLÓGICO'!$K$2:$K$4919,'DETALLE CRONOLÓGICO'!$A$2:$A$4919,$A2004)/$E2004,"")</f>
        <v/>
      </c>
      <c r="K2004" s="6">
        <f>_xlfn.MINIFS('DETALLE CRONOLÓGICO'!$K$2:$K$4919,'DETALLE CRONOLÓGICO'!$A$2:$A$4919,$A2004)</f>
        <v/>
      </c>
      <c r="L2004" s="6">
        <f>_xlfn.MAXIFS('DETALLE CRONOLÓGICO'!$K$2:$K$4919,'DETALLE CRONOLÓGICO'!$A$2:$A$4919,$A2004)</f>
        <v/>
      </c>
      <c r="M2004" s="6">
        <f>INDEX('DETALLE CRONOLÓGICO'!$K$2:$K$4919,MATCH($A2004,'DETALLE CRONOLÓGICO'!$A$2:$A$4919,0)+$E2004-1)</f>
        <v/>
      </c>
      <c r="N2004" s="7">
        <f>IFERROR($M2004/INDEX('DETALLE CRONOLÓGICO'!$K$2:$K$4919,MATCH($A2004,'DETALLE CRONOLÓGICO'!$A$2:$A$4919,0))-1,"")</f>
        <v/>
      </c>
      <c r="O2004" s="6">
        <f>IFERROR($I2004*3,"")</f>
        <v/>
      </c>
      <c r="P2004" s="6">
        <f>IFERROR($I2004*3.5,"")</f>
        <v/>
      </c>
      <c r="Q2004" s="6">
        <f>IFERROR($I2004*4,"")</f>
        <v/>
      </c>
      <c r="R2004" s="6" t="n">
        <v>850</v>
      </c>
      <c r="S2004" s="4" t="n">
        <v>0</v>
      </c>
      <c r="T2004" s="1" t="inlineStr">
        <is>
          <t>active</t>
        </is>
      </c>
      <c r="U2004" s="8" t="n"/>
      <c r="V2004" s="1" t="inlineStr">
        <is>
          <t>SIN PRECIO</t>
        </is>
      </c>
    </row>
    <row r="2005">
      <c r="A2005" s="1" t="inlineStr">
        <is>
          <t>86312001095277</t>
        </is>
      </c>
      <c r="B2005" s="1" t="inlineStr">
        <is>
          <t>BRAZALETE F SILVER CON MICROZIRCONIAS</t>
        </is>
      </c>
      <c r="C2005" s="1" t="inlineStr">
        <is>
          <t>Default Title</t>
        </is>
      </c>
      <c r="D2005" s="1" t="inlineStr">
        <is>
          <t>ZOEY</t>
        </is>
      </c>
      <c r="E2005" s="4">
        <f>COUNTIF('DETALLE CRONOLÓGICO'!$A$2:$A$4919,$A2005)</f>
        <v/>
      </c>
      <c r="F2005" s="4">
        <f>SUMIFS('DETALLE CRONOLÓGICO'!$I$2:$I$4919,'DETALLE CRONOLÓGICO'!$A$2:$A$4919,$A2005)</f>
        <v/>
      </c>
      <c r="G2005" s="1">
        <f>INDEX('DETALLE CRONOLÓGICO'!$D$2:$D$4919,MATCH($A2005,'DETALLE CRONOLÓGICO'!$A$2:$A$4919,0))</f>
        <v/>
      </c>
      <c r="H2005" s="1">
        <f>INDEX('DETALLE CRONOLÓGICO'!$D$2:$D$4919,MATCH($A2005,'DETALLE CRONOLÓGICO'!$A$2:$A$4919,0)+$E2005-1)</f>
        <v/>
      </c>
      <c r="I2005" s="5">
        <f>IFERROR(SUMIFS('DETALLE CRONOLÓGICO'!$L$2:$L$4919,'DETALLE CRONOLÓGICO'!$A$2:$A$4919,$A2005)/$F2005,"")</f>
        <v/>
      </c>
      <c r="J2005" s="6">
        <f>IFERROR(SUMIFS('DETALLE CRONOLÓGICO'!$K$2:$K$4919,'DETALLE CRONOLÓGICO'!$A$2:$A$4919,$A2005)/$E2005,"")</f>
        <v/>
      </c>
      <c r="K2005" s="6">
        <f>_xlfn.MINIFS('DETALLE CRONOLÓGICO'!$K$2:$K$4919,'DETALLE CRONOLÓGICO'!$A$2:$A$4919,$A2005)</f>
        <v/>
      </c>
      <c r="L2005" s="6">
        <f>_xlfn.MAXIFS('DETALLE CRONOLÓGICO'!$K$2:$K$4919,'DETALLE CRONOLÓGICO'!$A$2:$A$4919,$A2005)</f>
        <v/>
      </c>
      <c r="M2005" s="6">
        <f>INDEX('DETALLE CRONOLÓGICO'!$K$2:$K$4919,MATCH($A2005,'DETALLE CRONOLÓGICO'!$A$2:$A$4919,0)+$E2005-1)</f>
        <v/>
      </c>
      <c r="N2005" s="7">
        <f>IFERROR($M2005/INDEX('DETALLE CRONOLÓGICO'!$K$2:$K$4919,MATCH($A2005,'DETALLE CRONOLÓGICO'!$A$2:$A$4919,0))-1,"")</f>
        <v/>
      </c>
      <c r="O2005" s="6">
        <f>IFERROR($I2005*3,"")</f>
        <v/>
      </c>
      <c r="P2005" s="6">
        <f>IFERROR($I2005*3.5,"")</f>
        <v/>
      </c>
      <c r="Q2005" s="6">
        <f>IFERROR($I2005*4,"")</f>
        <v/>
      </c>
      <c r="R2005" s="6" t="n">
        <v>663</v>
      </c>
      <c r="S2005" s="4" t="n">
        <v>0</v>
      </c>
      <c r="T2005" s="1" t="inlineStr">
        <is>
          <t>active</t>
        </is>
      </c>
      <c r="U2005" s="8" t="n"/>
      <c r="V2005" s="1" t="inlineStr">
        <is>
          <t>SIN PRECIO</t>
        </is>
      </c>
    </row>
    <row r="2006">
      <c r="A2006" s="1" t="inlineStr">
        <is>
          <t>86347031066381</t>
        </is>
      </c>
      <c r="B2006" s="1" t="inlineStr">
        <is>
          <t>ARETES CLAVO SILVER ZIRCONIAS</t>
        </is>
      </c>
      <c r="C2006" s="1" t="inlineStr">
        <is>
          <t>Default Title</t>
        </is>
      </c>
      <c r="D2006" s="1" t="inlineStr">
        <is>
          <t>HAIFENG</t>
        </is>
      </c>
      <c r="E2006" s="4">
        <f>COUNTIF('DETALLE CRONOLÓGICO'!$A$2:$A$4919,$A2006)</f>
        <v/>
      </c>
      <c r="F2006" s="4">
        <f>SUMIFS('DETALLE CRONOLÓGICO'!$I$2:$I$4919,'DETALLE CRONOLÓGICO'!$A$2:$A$4919,$A2006)</f>
        <v/>
      </c>
      <c r="G2006" s="1">
        <f>INDEX('DETALLE CRONOLÓGICO'!$D$2:$D$4919,MATCH($A2006,'DETALLE CRONOLÓGICO'!$A$2:$A$4919,0))</f>
        <v/>
      </c>
      <c r="H2006" s="1">
        <f>INDEX('DETALLE CRONOLÓGICO'!$D$2:$D$4919,MATCH($A2006,'DETALLE CRONOLÓGICO'!$A$2:$A$4919,0)+$E2006-1)</f>
        <v/>
      </c>
      <c r="I2006" s="5">
        <f>IFERROR(SUMIFS('DETALLE CRONOLÓGICO'!$L$2:$L$4919,'DETALLE CRONOLÓGICO'!$A$2:$A$4919,$A2006)/$F2006,"")</f>
        <v/>
      </c>
      <c r="J2006" s="6">
        <f>IFERROR(SUMIFS('DETALLE CRONOLÓGICO'!$K$2:$K$4919,'DETALLE CRONOLÓGICO'!$A$2:$A$4919,$A2006)/$E2006,"")</f>
        <v/>
      </c>
      <c r="K2006" s="6">
        <f>_xlfn.MINIFS('DETALLE CRONOLÓGICO'!$K$2:$K$4919,'DETALLE CRONOLÓGICO'!$A$2:$A$4919,$A2006)</f>
        <v/>
      </c>
      <c r="L2006" s="6">
        <f>_xlfn.MAXIFS('DETALLE CRONOLÓGICO'!$K$2:$K$4919,'DETALLE CRONOLÓGICO'!$A$2:$A$4919,$A2006)</f>
        <v/>
      </c>
      <c r="M2006" s="6">
        <f>INDEX('DETALLE CRONOLÓGICO'!$K$2:$K$4919,MATCH($A2006,'DETALLE CRONOLÓGICO'!$A$2:$A$4919,0)+$E2006-1)</f>
        <v/>
      </c>
      <c r="N2006" s="7">
        <f>IFERROR($M2006/INDEX('DETALLE CRONOLÓGICO'!$K$2:$K$4919,MATCH($A2006,'DETALLE CRONOLÓGICO'!$A$2:$A$4919,0))-1,"")</f>
        <v/>
      </c>
      <c r="O2006" s="6">
        <f>IFERROR($I2006*3,"")</f>
        <v/>
      </c>
      <c r="P2006" s="6">
        <f>IFERROR($I2006*3.5,"")</f>
        <v/>
      </c>
      <c r="Q2006" s="6">
        <f>IFERROR($I2006*4,"")</f>
        <v/>
      </c>
      <c r="R2006" s="6" t="n">
        <v>576.8</v>
      </c>
      <c r="S2006" s="4" t="n">
        <v>4</v>
      </c>
      <c r="T2006" s="1" t="inlineStr">
        <is>
          <t>active</t>
        </is>
      </c>
      <c r="U2006" s="8" t="n"/>
      <c r="V2006" s="1" t="inlineStr">
        <is>
          <t>SIN PRECIO</t>
        </is>
      </c>
    </row>
    <row r="2007">
      <c r="A2007" s="1" t="inlineStr">
        <is>
          <t>86347031100845</t>
        </is>
      </c>
      <c r="B2007" s="1" t="inlineStr">
        <is>
          <t>ARETES CLAVO GOLD ZIRCONIAS</t>
        </is>
      </c>
      <c r="C2007" s="1" t="inlineStr">
        <is>
          <t>HIGH QUALITY</t>
        </is>
      </c>
      <c r="D2007" s="1" t="inlineStr">
        <is>
          <t>HAIFENG</t>
        </is>
      </c>
      <c r="E2007" s="4">
        <f>COUNTIF('DETALLE CRONOLÓGICO'!$A$2:$A$4919,$A2007)</f>
        <v/>
      </c>
      <c r="F2007" s="4">
        <f>SUMIFS('DETALLE CRONOLÓGICO'!$I$2:$I$4919,'DETALLE CRONOLÓGICO'!$A$2:$A$4919,$A2007)</f>
        <v/>
      </c>
      <c r="G2007" s="1">
        <f>INDEX('DETALLE CRONOLÓGICO'!$D$2:$D$4919,MATCH($A2007,'DETALLE CRONOLÓGICO'!$A$2:$A$4919,0))</f>
        <v/>
      </c>
      <c r="H2007" s="1">
        <f>INDEX('DETALLE CRONOLÓGICO'!$D$2:$D$4919,MATCH($A2007,'DETALLE CRONOLÓGICO'!$A$2:$A$4919,0)+$E2007-1)</f>
        <v/>
      </c>
      <c r="I2007" s="5">
        <f>IFERROR(SUMIFS('DETALLE CRONOLÓGICO'!$L$2:$L$4919,'DETALLE CRONOLÓGICO'!$A$2:$A$4919,$A2007)/$F2007,"")</f>
        <v/>
      </c>
      <c r="J2007" s="6">
        <f>IFERROR(SUMIFS('DETALLE CRONOLÓGICO'!$K$2:$K$4919,'DETALLE CRONOLÓGICO'!$A$2:$A$4919,$A2007)/$E2007,"")</f>
        <v/>
      </c>
      <c r="K2007" s="6">
        <f>_xlfn.MINIFS('DETALLE CRONOLÓGICO'!$K$2:$K$4919,'DETALLE CRONOLÓGICO'!$A$2:$A$4919,$A2007)</f>
        <v/>
      </c>
      <c r="L2007" s="6">
        <f>_xlfn.MAXIFS('DETALLE CRONOLÓGICO'!$K$2:$K$4919,'DETALLE CRONOLÓGICO'!$A$2:$A$4919,$A2007)</f>
        <v/>
      </c>
      <c r="M2007" s="6">
        <f>INDEX('DETALLE CRONOLÓGICO'!$K$2:$K$4919,MATCH($A2007,'DETALLE CRONOLÓGICO'!$A$2:$A$4919,0)+$E2007-1)</f>
        <v/>
      </c>
      <c r="N2007" s="7">
        <f>IFERROR($M2007/INDEX('DETALLE CRONOLÓGICO'!$K$2:$K$4919,MATCH($A2007,'DETALLE CRONOLÓGICO'!$A$2:$A$4919,0))-1,"")</f>
        <v/>
      </c>
      <c r="O2007" s="6">
        <f>IFERROR($I2007*3,"")</f>
        <v/>
      </c>
      <c r="P2007" s="6">
        <f>IFERROR($I2007*3.5,"")</f>
        <v/>
      </c>
      <c r="Q2007" s="6">
        <f>IFERROR($I2007*4,"")</f>
        <v/>
      </c>
      <c r="R2007" s="6" t="n">
        <v>599</v>
      </c>
      <c r="S2007" s="4" t="n">
        <v>2</v>
      </c>
      <c r="T2007" s="1" t="inlineStr">
        <is>
          <t>active</t>
        </is>
      </c>
      <c r="U2007" s="8" t="n"/>
      <c r="V2007" s="1" t="inlineStr">
        <is>
          <t>SIN PRECIO</t>
        </is>
      </c>
    </row>
    <row r="2008">
      <c r="A2008" s="1" t="inlineStr">
        <is>
          <t>86347031202541</t>
        </is>
      </c>
      <c r="B2008" s="1" t="inlineStr">
        <is>
          <t>ARRACADAS LOVELOVE ROSEGOLD</t>
        </is>
      </c>
      <c r="C2008" s="1" t="inlineStr">
        <is>
          <t>Default Title</t>
        </is>
      </c>
      <c r="D2008" s="1" t="inlineStr">
        <is>
          <t>HAIFENG</t>
        </is>
      </c>
      <c r="E2008" s="4">
        <f>COUNTIF('DETALLE CRONOLÓGICO'!$A$2:$A$4919,$A2008)</f>
        <v/>
      </c>
      <c r="F2008" s="4">
        <f>SUMIFS('DETALLE CRONOLÓGICO'!$I$2:$I$4919,'DETALLE CRONOLÓGICO'!$A$2:$A$4919,$A2008)</f>
        <v/>
      </c>
      <c r="G2008" s="1">
        <f>INDEX('DETALLE CRONOLÓGICO'!$D$2:$D$4919,MATCH($A2008,'DETALLE CRONOLÓGICO'!$A$2:$A$4919,0))</f>
        <v/>
      </c>
      <c r="H2008" s="1">
        <f>INDEX('DETALLE CRONOLÓGICO'!$D$2:$D$4919,MATCH($A2008,'DETALLE CRONOLÓGICO'!$A$2:$A$4919,0)+$E2008-1)</f>
        <v/>
      </c>
      <c r="I2008" s="5">
        <f>IFERROR(SUMIFS('DETALLE CRONOLÓGICO'!$L$2:$L$4919,'DETALLE CRONOLÓGICO'!$A$2:$A$4919,$A2008)/$F2008,"")</f>
        <v/>
      </c>
      <c r="J2008" s="6">
        <f>IFERROR(SUMIFS('DETALLE CRONOLÓGICO'!$K$2:$K$4919,'DETALLE CRONOLÓGICO'!$A$2:$A$4919,$A2008)/$E2008,"")</f>
        <v/>
      </c>
      <c r="K2008" s="6">
        <f>_xlfn.MINIFS('DETALLE CRONOLÓGICO'!$K$2:$K$4919,'DETALLE CRONOLÓGICO'!$A$2:$A$4919,$A2008)</f>
        <v/>
      </c>
      <c r="L2008" s="6">
        <f>_xlfn.MAXIFS('DETALLE CRONOLÓGICO'!$K$2:$K$4919,'DETALLE CRONOLÓGICO'!$A$2:$A$4919,$A2008)</f>
        <v/>
      </c>
      <c r="M2008" s="6">
        <f>INDEX('DETALLE CRONOLÓGICO'!$K$2:$K$4919,MATCH($A2008,'DETALLE CRONOLÓGICO'!$A$2:$A$4919,0)+$E2008-1)</f>
        <v/>
      </c>
      <c r="N2008" s="7">
        <f>IFERROR($M2008/INDEX('DETALLE CRONOLÓGICO'!$K$2:$K$4919,MATCH($A2008,'DETALLE CRONOLÓGICO'!$A$2:$A$4919,0))-1,"")</f>
        <v/>
      </c>
      <c r="O2008" s="6">
        <f>IFERROR($I2008*3,"")</f>
        <v/>
      </c>
      <c r="P2008" s="6">
        <f>IFERROR($I2008*3.5,"")</f>
        <v/>
      </c>
      <c r="Q2008" s="6">
        <f>IFERROR($I2008*4,"")</f>
        <v/>
      </c>
      <c r="R2008" s="6" t="n">
        <v>536</v>
      </c>
      <c r="S2008" s="4" t="n">
        <v>3</v>
      </c>
      <c r="T2008" s="1" t="inlineStr">
        <is>
          <t>active</t>
        </is>
      </c>
      <c r="U2008" s="8" t="n"/>
      <c r="V2008" s="1" t="inlineStr">
        <is>
          <t>SIN PRECIO</t>
        </is>
      </c>
    </row>
    <row r="2009">
      <c r="A2009" s="1" t="inlineStr">
        <is>
          <t>86347031304237</t>
        </is>
      </c>
      <c r="B2009" s="1" t="inlineStr">
        <is>
          <t>ARRACADAS LOVELOVE SILVER</t>
        </is>
      </c>
      <c r="C2009" s="1" t="inlineStr">
        <is>
          <t>Default Title</t>
        </is>
      </c>
      <c r="D2009" s="1" t="inlineStr">
        <is>
          <t>HAIFENG</t>
        </is>
      </c>
      <c r="E2009" s="4">
        <f>COUNTIF('DETALLE CRONOLÓGICO'!$A$2:$A$4919,$A2009)</f>
        <v/>
      </c>
      <c r="F2009" s="4">
        <f>SUMIFS('DETALLE CRONOLÓGICO'!$I$2:$I$4919,'DETALLE CRONOLÓGICO'!$A$2:$A$4919,$A2009)</f>
        <v/>
      </c>
      <c r="G2009" s="1">
        <f>INDEX('DETALLE CRONOLÓGICO'!$D$2:$D$4919,MATCH($A2009,'DETALLE CRONOLÓGICO'!$A$2:$A$4919,0))</f>
        <v/>
      </c>
      <c r="H2009" s="1">
        <f>INDEX('DETALLE CRONOLÓGICO'!$D$2:$D$4919,MATCH($A2009,'DETALLE CRONOLÓGICO'!$A$2:$A$4919,0)+$E2009-1)</f>
        <v/>
      </c>
      <c r="I2009" s="5">
        <f>IFERROR(SUMIFS('DETALLE CRONOLÓGICO'!$L$2:$L$4919,'DETALLE CRONOLÓGICO'!$A$2:$A$4919,$A2009)/$F2009,"")</f>
        <v/>
      </c>
      <c r="J2009" s="6">
        <f>IFERROR(SUMIFS('DETALLE CRONOLÓGICO'!$K$2:$K$4919,'DETALLE CRONOLÓGICO'!$A$2:$A$4919,$A2009)/$E2009,"")</f>
        <v/>
      </c>
      <c r="K2009" s="6">
        <f>_xlfn.MINIFS('DETALLE CRONOLÓGICO'!$K$2:$K$4919,'DETALLE CRONOLÓGICO'!$A$2:$A$4919,$A2009)</f>
        <v/>
      </c>
      <c r="L2009" s="6">
        <f>_xlfn.MAXIFS('DETALLE CRONOLÓGICO'!$K$2:$K$4919,'DETALLE CRONOLÓGICO'!$A$2:$A$4919,$A2009)</f>
        <v/>
      </c>
      <c r="M2009" s="6">
        <f>INDEX('DETALLE CRONOLÓGICO'!$K$2:$K$4919,MATCH($A2009,'DETALLE CRONOLÓGICO'!$A$2:$A$4919,0)+$E2009-1)</f>
        <v/>
      </c>
      <c r="N2009" s="7">
        <f>IFERROR($M2009/INDEX('DETALLE CRONOLÓGICO'!$K$2:$K$4919,MATCH($A2009,'DETALLE CRONOLÓGICO'!$A$2:$A$4919,0))-1,"")</f>
        <v/>
      </c>
      <c r="O2009" s="6">
        <f>IFERROR($I2009*3,"")</f>
        <v/>
      </c>
      <c r="P2009" s="6">
        <f>IFERROR($I2009*3.5,"")</f>
        <v/>
      </c>
      <c r="Q2009" s="6">
        <f>IFERROR($I2009*4,"")</f>
        <v/>
      </c>
      <c r="R2009" s="6" t="n">
        <v>536</v>
      </c>
      <c r="S2009" s="4" t="n">
        <v>1</v>
      </c>
      <c r="T2009" s="1" t="inlineStr">
        <is>
          <t>active</t>
        </is>
      </c>
      <c r="U2009" s="8" t="n"/>
      <c r="V2009" s="1" t="inlineStr">
        <is>
          <t>SIN PRECIO</t>
        </is>
      </c>
    </row>
    <row r="2010">
      <c r="A2010" s="1" t="inlineStr">
        <is>
          <t>86347031405933</t>
        </is>
      </c>
      <c r="B2010" s="1" t="inlineStr">
        <is>
          <t>COLLAR POP H ROSEGOLD BABYPINK</t>
        </is>
      </c>
      <c r="C2010" s="1" t="inlineStr">
        <is>
          <t>Default Title</t>
        </is>
      </c>
      <c r="D2010" s="1" t="inlineStr">
        <is>
          <t>HAIFENG</t>
        </is>
      </c>
      <c r="E2010" s="4">
        <f>COUNTIF('DETALLE CRONOLÓGICO'!$A$2:$A$4919,$A2010)</f>
        <v/>
      </c>
      <c r="F2010" s="4">
        <f>SUMIFS('DETALLE CRONOLÓGICO'!$I$2:$I$4919,'DETALLE CRONOLÓGICO'!$A$2:$A$4919,$A2010)</f>
        <v/>
      </c>
      <c r="G2010" s="1">
        <f>INDEX('DETALLE CRONOLÓGICO'!$D$2:$D$4919,MATCH($A2010,'DETALLE CRONOLÓGICO'!$A$2:$A$4919,0))</f>
        <v/>
      </c>
      <c r="H2010" s="1">
        <f>INDEX('DETALLE CRONOLÓGICO'!$D$2:$D$4919,MATCH($A2010,'DETALLE CRONOLÓGICO'!$A$2:$A$4919,0)+$E2010-1)</f>
        <v/>
      </c>
      <c r="I2010" s="5">
        <f>IFERROR(SUMIFS('DETALLE CRONOLÓGICO'!$L$2:$L$4919,'DETALLE CRONOLÓGICO'!$A$2:$A$4919,$A2010)/$F2010,"")</f>
        <v/>
      </c>
      <c r="J2010" s="6">
        <f>IFERROR(SUMIFS('DETALLE CRONOLÓGICO'!$K$2:$K$4919,'DETALLE CRONOLÓGICO'!$A$2:$A$4919,$A2010)/$E2010,"")</f>
        <v/>
      </c>
      <c r="K2010" s="6">
        <f>_xlfn.MINIFS('DETALLE CRONOLÓGICO'!$K$2:$K$4919,'DETALLE CRONOLÓGICO'!$A$2:$A$4919,$A2010)</f>
        <v/>
      </c>
      <c r="L2010" s="6">
        <f>_xlfn.MAXIFS('DETALLE CRONOLÓGICO'!$K$2:$K$4919,'DETALLE CRONOLÓGICO'!$A$2:$A$4919,$A2010)</f>
        <v/>
      </c>
      <c r="M2010" s="6">
        <f>INDEX('DETALLE CRONOLÓGICO'!$K$2:$K$4919,MATCH($A2010,'DETALLE CRONOLÓGICO'!$A$2:$A$4919,0)+$E2010-1)</f>
        <v/>
      </c>
      <c r="N2010" s="7">
        <f>IFERROR($M2010/INDEX('DETALLE CRONOLÓGICO'!$K$2:$K$4919,MATCH($A2010,'DETALLE CRONOLÓGICO'!$A$2:$A$4919,0))-1,"")</f>
        <v/>
      </c>
      <c r="O2010" s="6">
        <f>IFERROR($I2010*3,"")</f>
        <v/>
      </c>
      <c r="P2010" s="6">
        <f>IFERROR($I2010*3.5,"")</f>
        <v/>
      </c>
      <c r="Q2010" s="6">
        <f>IFERROR($I2010*4,"")</f>
        <v/>
      </c>
      <c r="R2010" s="6" t="n">
        <v>699</v>
      </c>
      <c r="S2010" s="4" t="n">
        <v>3</v>
      </c>
      <c r="T2010" s="1" t="inlineStr">
        <is>
          <t>active</t>
        </is>
      </c>
      <c r="U2010" s="8" t="n"/>
      <c r="V2010" s="1" t="inlineStr">
        <is>
          <t>SIN PRECIO</t>
        </is>
      </c>
    </row>
    <row r="2011">
      <c r="A2011" s="1" t="inlineStr">
        <is>
          <t>86347031552269</t>
        </is>
      </c>
      <c r="B2011" s="1" t="inlineStr">
        <is>
          <t>ANILLO OLYMPE GOLD-BLACK</t>
        </is>
      </c>
      <c r="C2011" s="1" t="inlineStr">
        <is>
          <t>8</t>
        </is>
      </c>
      <c r="D2011" s="1" t="inlineStr">
        <is>
          <t>HAIFENG</t>
        </is>
      </c>
      <c r="E2011" s="4">
        <f>COUNTIF('DETALLE CRONOLÓGICO'!$A$2:$A$4919,$A2011)</f>
        <v/>
      </c>
      <c r="F2011" s="4">
        <f>SUMIFS('DETALLE CRONOLÓGICO'!$I$2:$I$4919,'DETALLE CRONOLÓGICO'!$A$2:$A$4919,$A2011)</f>
        <v/>
      </c>
      <c r="G2011" s="1">
        <f>INDEX('DETALLE CRONOLÓGICO'!$D$2:$D$4919,MATCH($A2011,'DETALLE CRONOLÓGICO'!$A$2:$A$4919,0))</f>
        <v/>
      </c>
      <c r="H2011" s="1">
        <f>INDEX('DETALLE CRONOLÓGICO'!$D$2:$D$4919,MATCH($A2011,'DETALLE CRONOLÓGICO'!$A$2:$A$4919,0)+$E2011-1)</f>
        <v/>
      </c>
      <c r="I2011" s="5">
        <f>IFERROR(SUMIFS('DETALLE CRONOLÓGICO'!$L$2:$L$4919,'DETALLE CRONOLÓGICO'!$A$2:$A$4919,$A2011)/$F2011,"")</f>
        <v/>
      </c>
      <c r="J2011" s="6">
        <f>IFERROR(SUMIFS('DETALLE CRONOLÓGICO'!$K$2:$K$4919,'DETALLE CRONOLÓGICO'!$A$2:$A$4919,$A2011)/$E2011,"")</f>
        <v/>
      </c>
      <c r="K2011" s="6">
        <f>_xlfn.MINIFS('DETALLE CRONOLÓGICO'!$K$2:$K$4919,'DETALLE CRONOLÓGICO'!$A$2:$A$4919,$A2011)</f>
        <v/>
      </c>
      <c r="L2011" s="6">
        <f>_xlfn.MAXIFS('DETALLE CRONOLÓGICO'!$K$2:$K$4919,'DETALLE CRONOLÓGICO'!$A$2:$A$4919,$A2011)</f>
        <v/>
      </c>
      <c r="M2011" s="6">
        <f>INDEX('DETALLE CRONOLÓGICO'!$K$2:$K$4919,MATCH($A2011,'DETALLE CRONOLÓGICO'!$A$2:$A$4919,0)+$E2011-1)</f>
        <v/>
      </c>
      <c r="N2011" s="7">
        <f>IFERROR($M2011/INDEX('DETALLE CRONOLÓGICO'!$K$2:$K$4919,MATCH($A2011,'DETALLE CRONOLÓGICO'!$A$2:$A$4919,0))-1,"")</f>
        <v/>
      </c>
      <c r="O2011" s="6">
        <f>IFERROR($I2011*3,"")</f>
        <v/>
      </c>
      <c r="P2011" s="6">
        <f>IFERROR($I2011*3.5,"")</f>
        <v/>
      </c>
      <c r="Q2011" s="6">
        <f>IFERROR($I2011*4,"")</f>
        <v/>
      </c>
      <c r="R2011" s="6" t="n">
        <v>800</v>
      </c>
      <c r="S2011" s="4" t="n">
        <v>3</v>
      </c>
      <c r="T2011" s="1" t="inlineStr">
        <is>
          <t>active</t>
        </is>
      </c>
      <c r="U2011" s="8" t="n"/>
      <c r="V2011" s="1" t="inlineStr">
        <is>
          <t>SIN PRECIO</t>
        </is>
      </c>
    </row>
    <row r="2012">
      <c r="A2012" s="1" t="inlineStr">
        <is>
          <t>86347031685037</t>
        </is>
      </c>
      <c r="B2012" s="1" t="inlineStr">
        <is>
          <t>ANILLO OLYMPE GOLD-BLACK</t>
        </is>
      </c>
      <c r="C2012" s="1" t="inlineStr">
        <is>
          <t>9</t>
        </is>
      </c>
      <c r="D2012" s="1" t="inlineStr">
        <is>
          <t>HAIFENG</t>
        </is>
      </c>
      <c r="E2012" s="4">
        <f>COUNTIF('DETALLE CRONOLÓGICO'!$A$2:$A$4919,$A2012)</f>
        <v/>
      </c>
      <c r="F2012" s="4">
        <f>SUMIFS('DETALLE CRONOLÓGICO'!$I$2:$I$4919,'DETALLE CRONOLÓGICO'!$A$2:$A$4919,$A2012)</f>
        <v/>
      </c>
      <c r="G2012" s="1">
        <f>INDEX('DETALLE CRONOLÓGICO'!$D$2:$D$4919,MATCH($A2012,'DETALLE CRONOLÓGICO'!$A$2:$A$4919,0))</f>
        <v/>
      </c>
      <c r="H2012" s="1">
        <f>INDEX('DETALLE CRONOLÓGICO'!$D$2:$D$4919,MATCH($A2012,'DETALLE CRONOLÓGICO'!$A$2:$A$4919,0)+$E2012-1)</f>
        <v/>
      </c>
      <c r="I2012" s="5">
        <f>IFERROR(SUMIFS('DETALLE CRONOLÓGICO'!$L$2:$L$4919,'DETALLE CRONOLÓGICO'!$A$2:$A$4919,$A2012)/$F2012,"")</f>
        <v/>
      </c>
      <c r="J2012" s="6">
        <f>IFERROR(SUMIFS('DETALLE CRONOLÓGICO'!$K$2:$K$4919,'DETALLE CRONOLÓGICO'!$A$2:$A$4919,$A2012)/$E2012,"")</f>
        <v/>
      </c>
      <c r="K2012" s="6">
        <f>_xlfn.MINIFS('DETALLE CRONOLÓGICO'!$K$2:$K$4919,'DETALLE CRONOLÓGICO'!$A$2:$A$4919,$A2012)</f>
        <v/>
      </c>
      <c r="L2012" s="6">
        <f>_xlfn.MAXIFS('DETALLE CRONOLÓGICO'!$K$2:$K$4919,'DETALLE CRONOLÓGICO'!$A$2:$A$4919,$A2012)</f>
        <v/>
      </c>
      <c r="M2012" s="6">
        <f>INDEX('DETALLE CRONOLÓGICO'!$K$2:$K$4919,MATCH($A2012,'DETALLE CRONOLÓGICO'!$A$2:$A$4919,0)+$E2012-1)</f>
        <v/>
      </c>
      <c r="N2012" s="7">
        <f>IFERROR($M2012/INDEX('DETALLE CRONOLÓGICO'!$K$2:$K$4919,MATCH($A2012,'DETALLE CRONOLÓGICO'!$A$2:$A$4919,0))-1,"")</f>
        <v/>
      </c>
      <c r="O2012" s="6">
        <f>IFERROR($I2012*3,"")</f>
        <v/>
      </c>
      <c r="P2012" s="6">
        <f>IFERROR($I2012*3.5,"")</f>
        <v/>
      </c>
      <c r="Q2012" s="6">
        <f>IFERROR($I2012*4,"")</f>
        <v/>
      </c>
      <c r="R2012" s="6" t="n">
        <v>800</v>
      </c>
      <c r="S2012" s="4" t="n">
        <v>2</v>
      </c>
      <c r="T2012" s="1" t="inlineStr">
        <is>
          <t>active</t>
        </is>
      </c>
      <c r="U2012" s="8" t="n"/>
      <c r="V2012" s="1" t="inlineStr">
        <is>
          <t>SIN PRECIO</t>
        </is>
      </c>
    </row>
    <row r="2013">
      <c r="A2013" s="1" t="inlineStr">
        <is>
          <t>86347031781645</t>
        </is>
      </c>
      <c r="B2013" s="1" t="inlineStr">
        <is>
          <t>ANILLO OLYMPE GOLD-BLACK</t>
        </is>
      </c>
      <c r="C2013" s="1" t="n">
        <v>10</v>
      </c>
      <c r="D2013" s="1" t="inlineStr">
        <is>
          <t>HAIFENG</t>
        </is>
      </c>
      <c r="E2013" s="4">
        <f>COUNTIF('DETALLE CRONOLÓGICO'!$A$2:$A$4919,$A2013)</f>
        <v/>
      </c>
      <c r="F2013" s="4">
        <f>SUMIFS('DETALLE CRONOLÓGICO'!$I$2:$I$4919,'DETALLE CRONOLÓGICO'!$A$2:$A$4919,$A2013)</f>
        <v/>
      </c>
      <c r="G2013" s="1">
        <f>INDEX('DETALLE CRONOLÓGICO'!$D$2:$D$4919,MATCH($A2013,'DETALLE CRONOLÓGICO'!$A$2:$A$4919,0))</f>
        <v/>
      </c>
      <c r="H2013" s="1">
        <f>INDEX('DETALLE CRONOLÓGICO'!$D$2:$D$4919,MATCH($A2013,'DETALLE CRONOLÓGICO'!$A$2:$A$4919,0)+$E2013-1)</f>
        <v/>
      </c>
      <c r="I2013" s="5">
        <f>IFERROR(SUMIFS('DETALLE CRONOLÓGICO'!$L$2:$L$4919,'DETALLE CRONOLÓGICO'!$A$2:$A$4919,$A2013)/$F2013,"")</f>
        <v/>
      </c>
      <c r="J2013" s="6">
        <f>IFERROR(SUMIFS('DETALLE CRONOLÓGICO'!$K$2:$K$4919,'DETALLE CRONOLÓGICO'!$A$2:$A$4919,$A2013)/$E2013,"")</f>
        <v/>
      </c>
      <c r="K2013" s="6">
        <f>_xlfn.MINIFS('DETALLE CRONOLÓGICO'!$K$2:$K$4919,'DETALLE CRONOLÓGICO'!$A$2:$A$4919,$A2013)</f>
        <v/>
      </c>
      <c r="L2013" s="6">
        <f>_xlfn.MAXIFS('DETALLE CRONOLÓGICO'!$K$2:$K$4919,'DETALLE CRONOLÓGICO'!$A$2:$A$4919,$A2013)</f>
        <v/>
      </c>
      <c r="M2013" s="6">
        <f>INDEX('DETALLE CRONOLÓGICO'!$K$2:$K$4919,MATCH($A2013,'DETALLE CRONOLÓGICO'!$A$2:$A$4919,0)+$E2013-1)</f>
        <v/>
      </c>
      <c r="N2013" s="7">
        <f>IFERROR($M2013/INDEX('DETALLE CRONOLÓGICO'!$K$2:$K$4919,MATCH($A2013,'DETALLE CRONOLÓGICO'!$A$2:$A$4919,0))-1,"")</f>
        <v/>
      </c>
      <c r="O2013" s="6">
        <f>IFERROR($I2013*3,"")</f>
        <v/>
      </c>
      <c r="P2013" s="6">
        <f>IFERROR($I2013*3.5,"")</f>
        <v/>
      </c>
      <c r="Q2013" s="6">
        <f>IFERROR($I2013*4,"")</f>
        <v/>
      </c>
      <c r="R2013" s="6" t="n">
        <v>800</v>
      </c>
      <c r="S2013" s="4" t="n">
        <v>2</v>
      </c>
      <c r="T2013" s="1" t="inlineStr">
        <is>
          <t>active</t>
        </is>
      </c>
      <c r="U2013" s="8" t="n"/>
      <c r="V2013" s="1" t="inlineStr">
        <is>
          <t>SIN PRECIO</t>
        </is>
      </c>
    </row>
    <row r="2014">
      <c r="A2014" s="1" t="inlineStr">
        <is>
          <t>86347031857357</t>
        </is>
      </c>
      <c r="B2014" s="1" t="inlineStr">
        <is>
          <t>BRAZALETE H UNI GOLD-BLACK</t>
        </is>
      </c>
      <c r="C2014" s="1" t="inlineStr">
        <is>
          <t>Default Title</t>
        </is>
      </c>
      <c r="D2014" s="1" t="inlineStr">
        <is>
          <t>HAIFENG</t>
        </is>
      </c>
      <c r="E2014" s="4">
        <f>COUNTIF('DETALLE CRONOLÓGICO'!$A$2:$A$4919,$A2014)</f>
        <v/>
      </c>
      <c r="F2014" s="4">
        <f>SUMIFS('DETALLE CRONOLÓGICO'!$I$2:$I$4919,'DETALLE CRONOLÓGICO'!$A$2:$A$4919,$A2014)</f>
        <v/>
      </c>
      <c r="G2014" s="1">
        <f>INDEX('DETALLE CRONOLÓGICO'!$D$2:$D$4919,MATCH($A2014,'DETALLE CRONOLÓGICO'!$A$2:$A$4919,0))</f>
        <v/>
      </c>
      <c r="H2014" s="1">
        <f>INDEX('DETALLE CRONOLÓGICO'!$D$2:$D$4919,MATCH($A2014,'DETALLE CRONOLÓGICO'!$A$2:$A$4919,0)+$E2014-1)</f>
        <v/>
      </c>
      <c r="I2014" s="5">
        <f>IFERROR(SUMIFS('DETALLE CRONOLÓGICO'!$L$2:$L$4919,'DETALLE CRONOLÓGICO'!$A$2:$A$4919,$A2014)/$F2014,"")</f>
        <v/>
      </c>
      <c r="J2014" s="6">
        <f>IFERROR(SUMIFS('DETALLE CRONOLÓGICO'!$K$2:$K$4919,'DETALLE CRONOLÓGICO'!$A$2:$A$4919,$A2014)/$E2014,"")</f>
        <v/>
      </c>
      <c r="K2014" s="6">
        <f>_xlfn.MINIFS('DETALLE CRONOLÓGICO'!$K$2:$K$4919,'DETALLE CRONOLÓGICO'!$A$2:$A$4919,$A2014)</f>
        <v/>
      </c>
      <c r="L2014" s="6">
        <f>_xlfn.MAXIFS('DETALLE CRONOLÓGICO'!$K$2:$K$4919,'DETALLE CRONOLÓGICO'!$A$2:$A$4919,$A2014)</f>
        <v/>
      </c>
      <c r="M2014" s="6">
        <f>INDEX('DETALLE CRONOLÓGICO'!$K$2:$K$4919,MATCH($A2014,'DETALLE CRONOLÓGICO'!$A$2:$A$4919,0)+$E2014-1)</f>
        <v/>
      </c>
      <c r="N2014" s="7">
        <f>IFERROR($M2014/INDEX('DETALLE CRONOLÓGICO'!$K$2:$K$4919,MATCH($A2014,'DETALLE CRONOLÓGICO'!$A$2:$A$4919,0))-1,"")</f>
        <v/>
      </c>
      <c r="O2014" s="6">
        <f>IFERROR($I2014*3,"")</f>
        <v/>
      </c>
      <c r="P2014" s="6">
        <f>IFERROR($I2014*3.5,"")</f>
        <v/>
      </c>
      <c r="Q2014" s="6">
        <f>IFERROR($I2014*4,"")</f>
        <v/>
      </c>
      <c r="R2014" s="6" t="n">
        <v>1236</v>
      </c>
      <c r="S2014" s="4" t="n">
        <v>6</v>
      </c>
      <c r="T2014" s="1" t="inlineStr">
        <is>
          <t>active</t>
        </is>
      </c>
      <c r="U2014" s="8" t="n"/>
      <c r="V2014" s="1" t="inlineStr">
        <is>
          <t>SIN PRECIO</t>
        </is>
      </c>
    </row>
    <row r="2015">
      <c r="A2015" s="1" t="inlineStr">
        <is>
          <t>86347032026285</t>
        </is>
      </c>
      <c r="B2015" s="1" t="inlineStr">
        <is>
          <t>BRAZALETE H KELLY SILVER ZIRCONIAS</t>
        </is>
      </c>
      <c r="C2015" s="1" t="inlineStr">
        <is>
          <t>Default Title</t>
        </is>
      </c>
      <c r="D2015" s="1" t="inlineStr">
        <is>
          <t>HAIFENG</t>
        </is>
      </c>
      <c r="E2015" s="4">
        <f>COUNTIF('DETALLE CRONOLÓGICO'!$A$2:$A$4919,$A2015)</f>
        <v/>
      </c>
      <c r="F2015" s="4">
        <f>SUMIFS('DETALLE CRONOLÓGICO'!$I$2:$I$4919,'DETALLE CRONOLÓGICO'!$A$2:$A$4919,$A2015)</f>
        <v/>
      </c>
      <c r="G2015" s="1">
        <f>INDEX('DETALLE CRONOLÓGICO'!$D$2:$D$4919,MATCH($A2015,'DETALLE CRONOLÓGICO'!$A$2:$A$4919,0))</f>
        <v/>
      </c>
      <c r="H2015" s="1">
        <f>INDEX('DETALLE CRONOLÓGICO'!$D$2:$D$4919,MATCH($A2015,'DETALLE CRONOLÓGICO'!$A$2:$A$4919,0)+$E2015-1)</f>
        <v/>
      </c>
      <c r="I2015" s="5">
        <f>IFERROR(SUMIFS('DETALLE CRONOLÓGICO'!$L$2:$L$4919,'DETALLE CRONOLÓGICO'!$A$2:$A$4919,$A2015)/$F2015,"")</f>
        <v/>
      </c>
      <c r="J2015" s="6">
        <f>IFERROR(SUMIFS('DETALLE CRONOLÓGICO'!$K$2:$K$4919,'DETALLE CRONOLÓGICO'!$A$2:$A$4919,$A2015)/$E2015,"")</f>
        <v/>
      </c>
      <c r="K2015" s="6">
        <f>_xlfn.MINIFS('DETALLE CRONOLÓGICO'!$K$2:$K$4919,'DETALLE CRONOLÓGICO'!$A$2:$A$4919,$A2015)</f>
        <v/>
      </c>
      <c r="L2015" s="6">
        <f>_xlfn.MAXIFS('DETALLE CRONOLÓGICO'!$K$2:$K$4919,'DETALLE CRONOLÓGICO'!$A$2:$A$4919,$A2015)</f>
        <v/>
      </c>
      <c r="M2015" s="6">
        <f>INDEX('DETALLE CRONOLÓGICO'!$K$2:$K$4919,MATCH($A2015,'DETALLE CRONOLÓGICO'!$A$2:$A$4919,0)+$E2015-1)</f>
        <v/>
      </c>
      <c r="N2015" s="7">
        <f>IFERROR($M2015/INDEX('DETALLE CRONOLÓGICO'!$K$2:$K$4919,MATCH($A2015,'DETALLE CRONOLÓGICO'!$A$2:$A$4919,0))-1,"")</f>
        <v/>
      </c>
      <c r="O2015" s="6">
        <f>IFERROR($I2015*3,"")</f>
        <v/>
      </c>
      <c r="P2015" s="6">
        <f>IFERROR($I2015*3.5,"")</f>
        <v/>
      </c>
      <c r="Q2015" s="6">
        <f>IFERROR($I2015*4,"")</f>
        <v/>
      </c>
      <c r="R2015" s="6" t="n">
        <v>906.4</v>
      </c>
      <c r="S2015" s="4" t="n">
        <v>1</v>
      </c>
      <c r="T2015" s="1" t="inlineStr">
        <is>
          <t>active</t>
        </is>
      </c>
      <c r="U2015" s="8" t="n"/>
      <c r="V2015" s="1" t="inlineStr">
        <is>
          <t>SIN PRECIO</t>
        </is>
      </c>
    </row>
    <row r="2016">
      <c r="A2016" s="1" t="inlineStr">
        <is>
          <t>86347032129677</t>
        </is>
      </c>
      <c r="B2016" s="1" t="inlineStr">
        <is>
          <t>ARETES CD BAROQUE GOLD-BLACK</t>
        </is>
      </c>
      <c r="C2016" s="1" t="inlineStr">
        <is>
          <t>Default Title</t>
        </is>
      </c>
      <c r="D2016" s="1" t="inlineStr">
        <is>
          <t>HAIFENG</t>
        </is>
      </c>
      <c r="E2016" s="4">
        <f>COUNTIF('DETALLE CRONOLÓGICO'!$A$2:$A$4919,$A2016)</f>
        <v/>
      </c>
      <c r="F2016" s="4">
        <f>SUMIFS('DETALLE CRONOLÓGICO'!$I$2:$I$4919,'DETALLE CRONOLÓGICO'!$A$2:$A$4919,$A2016)</f>
        <v/>
      </c>
      <c r="G2016" s="1">
        <f>INDEX('DETALLE CRONOLÓGICO'!$D$2:$D$4919,MATCH($A2016,'DETALLE CRONOLÓGICO'!$A$2:$A$4919,0))</f>
        <v/>
      </c>
      <c r="H2016" s="1">
        <f>INDEX('DETALLE CRONOLÓGICO'!$D$2:$D$4919,MATCH($A2016,'DETALLE CRONOLÓGICO'!$A$2:$A$4919,0)+$E2016-1)</f>
        <v/>
      </c>
      <c r="I2016" s="5">
        <f>IFERROR(SUMIFS('DETALLE CRONOLÓGICO'!$L$2:$L$4919,'DETALLE CRONOLÓGICO'!$A$2:$A$4919,$A2016)/$F2016,"")</f>
        <v/>
      </c>
      <c r="J2016" s="6">
        <f>IFERROR(SUMIFS('DETALLE CRONOLÓGICO'!$K$2:$K$4919,'DETALLE CRONOLÓGICO'!$A$2:$A$4919,$A2016)/$E2016,"")</f>
        <v/>
      </c>
      <c r="K2016" s="6">
        <f>_xlfn.MINIFS('DETALLE CRONOLÓGICO'!$K$2:$K$4919,'DETALLE CRONOLÓGICO'!$A$2:$A$4919,$A2016)</f>
        <v/>
      </c>
      <c r="L2016" s="6">
        <f>_xlfn.MAXIFS('DETALLE CRONOLÓGICO'!$K$2:$K$4919,'DETALLE CRONOLÓGICO'!$A$2:$A$4919,$A2016)</f>
        <v/>
      </c>
      <c r="M2016" s="6">
        <f>INDEX('DETALLE CRONOLÓGICO'!$K$2:$K$4919,MATCH($A2016,'DETALLE CRONOLÓGICO'!$A$2:$A$4919,0)+$E2016-1)</f>
        <v/>
      </c>
      <c r="N2016" s="7">
        <f>IFERROR($M2016/INDEX('DETALLE CRONOLÓGICO'!$K$2:$K$4919,MATCH($A2016,'DETALLE CRONOLÓGICO'!$A$2:$A$4919,0))-1,"")</f>
        <v/>
      </c>
      <c r="O2016" s="6">
        <f>IFERROR($I2016*3,"")</f>
        <v/>
      </c>
      <c r="P2016" s="6">
        <f>IFERROR($I2016*3.5,"")</f>
        <v/>
      </c>
      <c r="Q2016" s="6">
        <f>IFERROR($I2016*4,"")</f>
        <v/>
      </c>
      <c r="R2016" s="6" t="n">
        <v>495</v>
      </c>
      <c r="S2016" s="4" t="n">
        <v>0</v>
      </c>
      <c r="T2016" s="1" t="inlineStr">
        <is>
          <t>active</t>
        </is>
      </c>
      <c r="U2016" s="8" t="n"/>
      <c r="V2016" s="1" t="inlineStr">
        <is>
          <t>SIN PRECIO</t>
        </is>
      </c>
    </row>
    <row r="2017">
      <c r="A2017" s="1" t="inlineStr">
        <is>
          <t>86347032270925</t>
        </is>
      </c>
      <c r="B2017" s="1" t="inlineStr">
        <is>
          <t>ARETES CD LUCKY DIAMOND SILVER</t>
        </is>
      </c>
      <c r="C2017" s="1" t="inlineStr">
        <is>
          <t>Default Title</t>
        </is>
      </c>
      <c r="D2017" s="1" t="inlineStr">
        <is>
          <t>HAIFENG</t>
        </is>
      </c>
      <c r="E2017" s="4">
        <f>COUNTIF('DETALLE CRONOLÓGICO'!$A$2:$A$4919,$A2017)</f>
        <v/>
      </c>
      <c r="F2017" s="4">
        <f>SUMIFS('DETALLE CRONOLÓGICO'!$I$2:$I$4919,'DETALLE CRONOLÓGICO'!$A$2:$A$4919,$A2017)</f>
        <v/>
      </c>
      <c r="G2017" s="1">
        <f>INDEX('DETALLE CRONOLÓGICO'!$D$2:$D$4919,MATCH($A2017,'DETALLE CRONOLÓGICO'!$A$2:$A$4919,0))</f>
        <v/>
      </c>
      <c r="H2017" s="1">
        <f>INDEX('DETALLE CRONOLÓGICO'!$D$2:$D$4919,MATCH($A2017,'DETALLE CRONOLÓGICO'!$A$2:$A$4919,0)+$E2017-1)</f>
        <v/>
      </c>
      <c r="I2017" s="5">
        <f>IFERROR(SUMIFS('DETALLE CRONOLÓGICO'!$L$2:$L$4919,'DETALLE CRONOLÓGICO'!$A$2:$A$4919,$A2017)/$F2017,"")</f>
        <v/>
      </c>
      <c r="J2017" s="6">
        <f>IFERROR(SUMIFS('DETALLE CRONOLÓGICO'!$K$2:$K$4919,'DETALLE CRONOLÓGICO'!$A$2:$A$4919,$A2017)/$E2017,"")</f>
        <v/>
      </c>
      <c r="K2017" s="6">
        <f>_xlfn.MINIFS('DETALLE CRONOLÓGICO'!$K$2:$K$4919,'DETALLE CRONOLÓGICO'!$A$2:$A$4919,$A2017)</f>
        <v/>
      </c>
      <c r="L2017" s="6">
        <f>_xlfn.MAXIFS('DETALLE CRONOLÓGICO'!$K$2:$K$4919,'DETALLE CRONOLÓGICO'!$A$2:$A$4919,$A2017)</f>
        <v/>
      </c>
      <c r="M2017" s="6">
        <f>INDEX('DETALLE CRONOLÓGICO'!$K$2:$K$4919,MATCH($A2017,'DETALLE CRONOLÓGICO'!$A$2:$A$4919,0)+$E2017-1)</f>
        <v/>
      </c>
      <c r="N2017" s="7">
        <f>IFERROR($M2017/INDEX('DETALLE CRONOLÓGICO'!$K$2:$K$4919,MATCH($A2017,'DETALLE CRONOLÓGICO'!$A$2:$A$4919,0))-1,"")</f>
        <v/>
      </c>
      <c r="O2017" s="6">
        <f>IFERROR($I2017*3,"")</f>
        <v/>
      </c>
      <c r="P2017" s="6">
        <f>IFERROR($I2017*3.5,"")</f>
        <v/>
      </c>
      <c r="Q2017" s="6">
        <f>IFERROR($I2017*4,"")</f>
        <v/>
      </c>
      <c r="R2017" s="6" t="n">
        <v>500</v>
      </c>
      <c r="S2017" s="4" t="n">
        <v>1</v>
      </c>
      <c r="T2017" s="1" t="inlineStr">
        <is>
          <t>active</t>
        </is>
      </c>
      <c r="U2017" s="8" t="n"/>
      <c r="V2017" s="1" t="inlineStr">
        <is>
          <t>SIN PRECIO</t>
        </is>
      </c>
    </row>
    <row r="2018">
      <c r="A2018" s="1" t="inlineStr">
        <is>
          <t>86347032494669</t>
        </is>
      </c>
      <c r="B2018" s="1" t="inlineStr">
        <is>
          <t>COLLAR CD PETIT LUCKY GOLD</t>
        </is>
      </c>
      <c r="C2018" s="1" t="inlineStr">
        <is>
          <t>Default Title</t>
        </is>
      </c>
      <c r="D2018" s="1" t="inlineStr">
        <is>
          <t>HAIFENG</t>
        </is>
      </c>
      <c r="E2018" s="4">
        <f>COUNTIF('DETALLE CRONOLÓGICO'!$A$2:$A$4919,$A2018)</f>
        <v/>
      </c>
      <c r="F2018" s="4">
        <f>SUMIFS('DETALLE CRONOLÓGICO'!$I$2:$I$4919,'DETALLE CRONOLÓGICO'!$A$2:$A$4919,$A2018)</f>
        <v/>
      </c>
      <c r="G2018" s="1">
        <f>INDEX('DETALLE CRONOLÓGICO'!$D$2:$D$4919,MATCH($A2018,'DETALLE CRONOLÓGICO'!$A$2:$A$4919,0))</f>
        <v/>
      </c>
      <c r="H2018" s="1">
        <f>INDEX('DETALLE CRONOLÓGICO'!$D$2:$D$4919,MATCH($A2018,'DETALLE CRONOLÓGICO'!$A$2:$A$4919,0)+$E2018-1)</f>
        <v/>
      </c>
      <c r="I2018" s="5">
        <f>IFERROR(SUMIFS('DETALLE CRONOLÓGICO'!$L$2:$L$4919,'DETALLE CRONOLÓGICO'!$A$2:$A$4919,$A2018)/$F2018,"")</f>
        <v/>
      </c>
      <c r="J2018" s="6">
        <f>IFERROR(SUMIFS('DETALLE CRONOLÓGICO'!$K$2:$K$4919,'DETALLE CRONOLÓGICO'!$A$2:$A$4919,$A2018)/$E2018,"")</f>
        <v/>
      </c>
      <c r="K2018" s="6">
        <f>_xlfn.MINIFS('DETALLE CRONOLÓGICO'!$K$2:$K$4919,'DETALLE CRONOLÓGICO'!$A$2:$A$4919,$A2018)</f>
        <v/>
      </c>
      <c r="L2018" s="6">
        <f>_xlfn.MAXIFS('DETALLE CRONOLÓGICO'!$K$2:$K$4919,'DETALLE CRONOLÓGICO'!$A$2:$A$4919,$A2018)</f>
        <v/>
      </c>
      <c r="M2018" s="6">
        <f>INDEX('DETALLE CRONOLÓGICO'!$K$2:$K$4919,MATCH($A2018,'DETALLE CRONOLÓGICO'!$A$2:$A$4919,0)+$E2018-1)</f>
        <v/>
      </c>
      <c r="N2018" s="7">
        <f>IFERROR($M2018/INDEX('DETALLE CRONOLÓGICO'!$K$2:$K$4919,MATCH($A2018,'DETALLE CRONOLÓGICO'!$A$2:$A$4919,0))-1,"")</f>
        <v/>
      </c>
      <c r="O2018" s="6">
        <f>IFERROR($I2018*3,"")</f>
        <v/>
      </c>
      <c r="P2018" s="6">
        <f>IFERROR($I2018*3.5,"")</f>
        <v/>
      </c>
      <c r="Q2018" s="6">
        <f>IFERROR($I2018*4,"")</f>
        <v/>
      </c>
      <c r="R2018" s="6" t="n">
        <v>999</v>
      </c>
      <c r="S2018" s="4" t="n">
        <v>3</v>
      </c>
      <c r="T2018" s="1" t="inlineStr">
        <is>
          <t>active</t>
        </is>
      </c>
      <c r="U2018" s="8" t="n"/>
      <c r="V2018" s="1" t="inlineStr">
        <is>
          <t>SIN PRECIO</t>
        </is>
      </c>
    </row>
    <row r="2019">
      <c r="A2019" s="1" t="inlineStr">
        <is>
          <t>86347032550093</t>
        </is>
      </c>
      <c r="B2019" s="1" t="inlineStr">
        <is>
          <t>ANILLO CD DIAMOND ZIRCONIAS</t>
        </is>
      </c>
      <c r="C2019" s="1" t="inlineStr">
        <is>
          <t>7</t>
        </is>
      </c>
      <c r="D2019" s="1" t="inlineStr">
        <is>
          <t>HAIFENG</t>
        </is>
      </c>
      <c r="E2019" s="4">
        <f>COUNTIF('DETALLE CRONOLÓGICO'!$A$2:$A$4919,$A2019)</f>
        <v/>
      </c>
      <c r="F2019" s="4">
        <f>SUMIFS('DETALLE CRONOLÓGICO'!$I$2:$I$4919,'DETALLE CRONOLÓGICO'!$A$2:$A$4919,$A2019)</f>
        <v/>
      </c>
      <c r="G2019" s="1">
        <f>INDEX('DETALLE CRONOLÓGICO'!$D$2:$D$4919,MATCH($A2019,'DETALLE CRONOLÓGICO'!$A$2:$A$4919,0))</f>
        <v/>
      </c>
      <c r="H2019" s="1">
        <f>INDEX('DETALLE CRONOLÓGICO'!$D$2:$D$4919,MATCH($A2019,'DETALLE CRONOLÓGICO'!$A$2:$A$4919,0)+$E2019-1)</f>
        <v/>
      </c>
      <c r="I2019" s="5">
        <f>IFERROR(SUMIFS('DETALLE CRONOLÓGICO'!$L$2:$L$4919,'DETALLE CRONOLÓGICO'!$A$2:$A$4919,$A2019)/$F2019,"")</f>
        <v/>
      </c>
      <c r="J2019" s="6">
        <f>IFERROR(SUMIFS('DETALLE CRONOLÓGICO'!$K$2:$K$4919,'DETALLE CRONOLÓGICO'!$A$2:$A$4919,$A2019)/$E2019,"")</f>
        <v/>
      </c>
      <c r="K2019" s="6">
        <f>_xlfn.MINIFS('DETALLE CRONOLÓGICO'!$K$2:$K$4919,'DETALLE CRONOLÓGICO'!$A$2:$A$4919,$A2019)</f>
        <v/>
      </c>
      <c r="L2019" s="6">
        <f>_xlfn.MAXIFS('DETALLE CRONOLÓGICO'!$K$2:$K$4919,'DETALLE CRONOLÓGICO'!$A$2:$A$4919,$A2019)</f>
        <v/>
      </c>
      <c r="M2019" s="6">
        <f>INDEX('DETALLE CRONOLÓGICO'!$K$2:$K$4919,MATCH($A2019,'DETALLE CRONOLÓGICO'!$A$2:$A$4919,0)+$E2019-1)</f>
        <v/>
      </c>
      <c r="N2019" s="7">
        <f>IFERROR($M2019/INDEX('DETALLE CRONOLÓGICO'!$K$2:$K$4919,MATCH($A2019,'DETALLE CRONOLÓGICO'!$A$2:$A$4919,0))-1,"")</f>
        <v/>
      </c>
      <c r="O2019" s="6">
        <f>IFERROR($I2019*3,"")</f>
        <v/>
      </c>
      <c r="P2019" s="6">
        <f>IFERROR($I2019*3.5,"")</f>
        <v/>
      </c>
      <c r="Q2019" s="6">
        <f>IFERROR($I2019*4,"")</f>
        <v/>
      </c>
      <c r="R2019" s="6" t="n">
        <v>499</v>
      </c>
      <c r="S2019" s="4" t="n">
        <v>3</v>
      </c>
      <c r="T2019" s="1" t="inlineStr">
        <is>
          <t>active</t>
        </is>
      </c>
      <c r="U2019" s="8" t="n"/>
      <c r="V2019" s="1" t="inlineStr">
        <is>
          <t>SIN PRECIO</t>
        </is>
      </c>
    </row>
    <row r="2020">
      <c r="A2020" s="1" t="inlineStr">
        <is>
          <t>86347032691341</t>
        </is>
      </c>
      <c r="B2020" s="1" t="inlineStr">
        <is>
          <t>ANILLO TWO-ROW GOLD</t>
        </is>
      </c>
      <c r="C2020" s="1" t="inlineStr">
        <is>
          <t>6</t>
        </is>
      </c>
      <c r="D2020" s="1" t="inlineStr">
        <is>
          <t>HAIFENG</t>
        </is>
      </c>
      <c r="E2020" s="4">
        <f>COUNTIF('DETALLE CRONOLÓGICO'!$A$2:$A$4919,$A2020)</f>
        <v/>
      </c>
      <c r="F2020" s="4">
        <f>SUMIFS('DETALLE CRONOLÓGICO'!$I$2:$I$4919,'DETALLE CRONOLÓGICO'!$A$2:$A$4919,$A2020)</f>
        <v/>
      </c>
      <c r="G2020" s="1">
        <f>INDEX('DETALLE CRONOLÓGICO'!$D$2:$D$4919,MATCH($A2020,'DETALLE CRONOLÓGICO'!$A$2:$A$4919,0))</f>
        <v/>
      </c>
      <c r="H2020" s="1">
        <f>INDEX('DETALLE CRONOLÓGICO'!$D$2:$D$4919,MATCH($A2020,'DETALLE CRONOLÓGICO'!$A$2:$A$4919,0)+$E2020-1)</f>
        <v/>
      </c>
      <c r="I2020" s="5">
        <f>IFERROR(SUMIFS('DETALLE CRONOLÓGICO'!$L$2:$L$4919,'DETALLE CRONOLÓGICO'!$A$2:$A$4919,$A2020)/$F2020,"")</f>
        <v/>
      </c>
      <c r="J2020" s="6">
        <f>IFERROR(SUMIFS('DETALLE CRONOLÓGICO'!$K$2:$K$4919,'DETALLE CRONOLÓGICO'!$A$2:$A$4919,$A2020)/$E2020,"")</f>
        <v/>
      </c>
      <c r="K2020" s="6">
        <f>_xlfn.MINIFS('DETALLE CRONOLÓGICO'!$K$2:$K$4919,'DETALLE CRONOLÓGICO'!$A$2:$A$4919,$A2020)</f>
        <v/>
      </c>
      <c r="L2020" s="6">
        <f>_xlfn.MAXIFS('DETALLE CRONOLÓGICO'!$K$2:$K$4919,'DETALLE CRONOLÓGICO'!$A$2:$A$4919,$A2020)</f>
        <v/>
      </c>
      <c r="M2020" s="6">
        <f>INDEX('DETALLE CRONOLÓGICO'!$K$2:$K$4919,MATCH($A2020,'DETALLE CRONOLÓGICO'!$A$2:$A$4919,0)+$E2020-1)</f>
        <v/>
      </c>
      <c r="N2020" s="7">
        <f>IFERROR($M2020/INDEX('DETALLE CRONOLÓGICO'!$K$2:$K$4919,MATCH($A2020,'DETALLE CRONOLÓGICO'!$A$2:$A$4919,0))-1,"")</f>
        <v/>
      </c>
      <c r="O2020" s="6">
        <f>IFERROR($I2020*3,"")</f>
        <v/>
      </c>
      <c r="P2020" s="6">
        <f>IFERROR($I2020*3.5,"")</f>
        <v/>
      </c>
      <c r="Q2020" s="6">
        <f>IFERROR($I2020*4,"")</f>
        <v/>
      </c>
      <c r="R2020" s="6" t="n">
        <v>580</v>
      </c>
      <c r="S2020" s="4" t="n">
        <v>4</v>
      </c>
      <c r="T2020" s="1" t="inlineStr">
        <is>
          <t>active</t>
        </is>
      </c>
      <c r="U2020" s="8" t="n"/>
      <c r="V2020" s="1" t="inlineStr">
        <is>
          <t>SIN PRECIO</t>
        </is>
      </c>
    </row>
    <row r="2021">
      <c r="A2021" s="1" t="inlineStr">
        <is>
          <t>86347032724109</t>
        </is>
      </c>
      <c r="B2021" s="1" t="inlineStr">
        <is>
          <t>ANILLO TWO-ROW GOLD</t>
        </is>
      </c>
      <c r="C2021" s="1" t="inlineStr">
        <is>
          <t>7</t>
        </is>
      </c>
      <c r="D2021" s="1" t="inlineStr">
        <is>
          <t>HAIFENG</t>
        </is>
      </c>
      <c r="E2021" s="4">
        <f>COUNTIF('DETALLE CRONOLÓGICO'!$A$2:$A$4919,$A2021)</f>
        <v/>
      </c>
      <c r="F2021" s="4">
        <f>SUMIFS('DETALLE CRONOLÓGICO'!$I$2:$I$4919,'DETALLE CRONOLÓGICO'!$A$2:$A$4919,$A2021)</f>
        <v/>
      </c>
      <c r="G2021" s="1">
        <f>INDEX('DETALLE CRONOLÓGICO'!$D$2:$D$4919,MATCH($A2021,'DETALLE CRONOLÓGICO'!$A$2:$A$4919,0))</f>
        <v/>
      </c>
      <c r="H2021" s="1">
        <f>INDEX('DETALLE CRONOLÓGICO'!$D$2:$D$4919,MATCH($A2021,'DETALLE CRONOLÓGICO'!$A$2:$A$4919,0)+$E2021-1)</f>
        <v/>
      </c>
      <c r="I2021" s="5">
        <f>IFERROR(SUMIFS('DETALLE CRONOLÓGICO'!$L$2:$L$4919,'DETALLE CRONOLÓGICO'!$A$2:$A$4919,$A2021)/$F2021,"")</f>
        <v/>
      </c>
      <c r="J2021" s="6">
        <f>IFERROR(SUMIFS('DETALLE CRONOLÓGICO'!$K$2:$K$4919,'DETALLE CRONOLÓGICO'!$A$2:$A$4919,$A2021)/$E2021,"")</f>
        <v/>
      </c>
      <c r="K2021" s="6">
        <f>_xlfn.MINIFS('DETALLE CRONOLÓGICO'!$K$2:$K$4919,'DETALLE CRONOLÓGICO'!$A$2:$A$4919,$A2021)</f>
        <v/>
      </c>
      <c r="L2021" s="6">
        <f>_xlfn.MAXIFS('DETALLE CRONOLÓGICO'!$K$2:$K$4919,'DETALLE CRONOLÓGICO'!$A$2:$A$4919,$A2021)</f>
        <v/>
      </c>
      <c r="M2021" s="6">
        <f>INDEX('DETALLE CRONOLÓGICO'!$K$2:$K$4919,MATCH($A2021,'DETALLE CRONOLÓGICO'!$A$2:$A$4919,0)+$E2021-1)</f>
        <v/>
      </c>
      <c r="N2021" s="7">
        <f>IFERROR($M2021/INDEX('DETALLE CRONOLÓGICO'!$K$2:$K$4919,MATCH($A2021,'DETALLE CRONOLÓGICO'!$A$2:$A$4919,0))-1,"")</f>
        <v/>
      </c>
      <c r="O2021" s="6">
        <f>IFERROR($I2021*3,"")</f>
        <v/>
      </c>
      <c r="P2021" s="6">
        <f>IFERROR($I2021*3.5,"")</f>
        <v/>
      </c>
      <c r="Q2021" s="6">
        <f>IFERROR($I2021*4,"")</f>
        <v/>
      </c>
      <c r="R2021" s="6" t="n">
        <v>580</v>
      </c>
      <c r="S2021" s="4" t="n">
        <v>2</v>
      </c>
      <c r="T2021" s="1" t="inlineStr">
        <is>
          <t>active</t>
        </is>
      </c>
      <c r="U2021" s="8" t="n"/>
      <c r="V2021" s="1" t="inlineStr">
        <is>
          <t>SIN PRECIO</t>
        </is>
      </c>
    </row>
    <row r="2022">
      <c r="A2022" s="1" t="inlineStr">
        <is>
          <t>86347032827501</t>
        </is>
      </c>
      <c r="B2022" s="1" t="inlineStr">
        <is>
          <t>ANILLO ESLABONES ROSEGOLD ZIRCONIAS</t>
        </is>
      </c>
      <c r="C2022" s="1" t="inlineStr">
        <is>
          <t>7</t>
        </is>
      </c>
      <c r="D2022" s="1" t="inlineStr">
        <is>
          <t>HAIFENG</t>
        </is>
      </c>
      <c r="E2022" s="4">
        <f>COUNTIF('DETALLE CRONOLÓGICO'!$A$2:$A$4919,$A2022)</f>
        <v/>
      </c>
      <c r="F2022" s="4">
        <f>SUMIFS('DETALLE CRONOLÓGICO'!$I$2:$I$4919,'DETALLE CRONOLÓGICO'!$A$2:$A$4919,$A2022)</f>
        <v/>
      </c>
      <c r="G2022" s="1">
        <f>INDEX('DETALLE CRONOLÓGICO'!$D$2:$D$4919,MATCH($A2022,'DETALLE CRONOLÓGICO'!$A$2:$A$4919,0))</f>
        <v/>
      </c>
      <c r="H2022" s="1">
        <f>INDEX('DETALLE CRONOLÓGICO'!$D$2:$D$4919,MATCH($A2022,'DETALLE CRONOLÓGICO'!$A$2:$A$4919,0)+$E2022-1)</f>
        <v/>
      </c>
      <c r="I2022" s="5">
        <f>IFERROR(SUMIFS('DETALLE CRONOLÓGICO'!$L$2:$L$4919,'DETALLE CRONOLÓGICO'!$A$2:$A$4919,$A2022)/$F2022,"")</f>
        <v/>
      </c>
      <c r="J2022" s="6">
        <f>IFERROR(SUMIFS('DETALLE CRONOLÓGICO'!$K$2:$K$4919,'DETALLE CRONOLÓGICO'!$A$2:$A$4919,$A2022)/$E2022,"")</f>
        <v/>
      </c>
      <c r="K2022" s="6">
        <f>_xlfn.MINIFS('DETALLE CRONOLÓGICO'!$K$2:$K$4919,'DETALLE CRONOLÓGICO'!$A$2:$A$4919,$A2022)</f>
        <v/>
      </c>
      <c r="L2022" s="6">
        <f>_xlfn.MAXIFS('DETALLE CRONOLÓGICO'!$K$2:$K$4919,'DETALLE CRONOLÓGICO'!$A$2:$A$4919,$A2022)</f>
        <v/>
      </c>
      <c r="M2022" s="6">
        <f>INDEX('DETALLE CRONOLÓGICO'!$K$2:$K$4919,MATCH($A2022,'DETALLE CRONOLÓGICO'!$A$2:$A$4919,0)+$E2022-1)</f>
        <v/>
      </c>
      <c r="N2022" s="7">
        <f>IFERROR($M2022/INDEX('DETALLE CRONOLÓGICO'!$K$2:$K$4919,MATCH($A2022,'DETALLE CRONOLÓGICO'!$A$2:$A$4919,0))-1,"")</f>
        <v/>
      </c>
      <c r="O2022" s="6">
        <f>IFERROR($I2022*3,"")</f>
        <v/>
      </c>
      <c r="P2022" s="6">
        <f>IFERROR($I2022*3.5,"")</f>
        <v/>
      </c>
      <c r="Q2022" s="6">
        <f>IFERROR($I2022*4,"")</f>
        <v/>
      </c>
      <c r="R2022" s="6" t="n">
        <v>580</v>
      </c>
      <c r="S2022" s="4" t="n">
        <v>3</v>
      </c>
      <c r="T2022" s="1" t="inlineStr">
        <is>
          <t>active</t>
        </is>
      </c>
      <c r="U2022" s="8" t="n"/>
      <c r="V2022" s="1" t="inlineStr">
        <is>
          <t>SIN PRECIO</t>
        </is>
      </c>
    </row>
    <row r="2023">
      <c r="A2023" s="1" t="inlineStr">
        <is>
          <t>86347032960269</t>
        </is>
      </c>
      <c r="B2023" s="1" t="inlineStr">
        <is>
          <t>ANILLO ESLABONES ROSEGOLD ZIRCONIAS</t>
        </is>
      </c>
      <c r="C2023" s="1" t="inlineStr">
        <is>
          <t>9</t>
        </is>
      </c>
      <c r="D2023" s="1" t="inlineStr">
        <is>
          <t>HAIFENG</t>
        </is>
      </c>
      <c r="E2023" s="4">
        <f>COUNTIF('DETALLE CRONOLÓGICO'!$A$2:$A$4919,$A2023)</f>
        <v/>
      </c>
      <c r="F2023" s="4">
        <f>SUMIFS('DETALLE CRONOLÓGICO'!$I$2:$I$4919,'DETALLE CRONOLÓGICO'!$A$2:$A$4919,$A2023)</f>
        <v/>
      </c>
      <c r="G2023" s="1">
        <f>INDEX('DETALLE CRONOLÓGICO'!$D$2:$D$4919,MATCH($A2023,'DETALLE CRONOLÓGICO'!$A$2:$A$4919,0))</f>
        <v/>
      </c>
      <c r="H2023" s="1">
        <f>INDEX('DETALLE CRONOLÓGICO'!$D$2:$D$4919,MATCH($A2023,'DETALLE CRONOLÓGICO'!$A$2:$A$4919,0)+$E2023-1)</f>
        <v/>
      </c>
      <c r="I2023" s="5">
        <f>IFERROR(SUMIFS('DETALLE CRONOLÓGICO'!$L$2:$L$4919,'DETALLE CRONOLÓGICO'!$A$2:$A$4919,$A2023)/$F2023,"")</f>
        <v/>
      </c>
      <c r="J2023" s="6">
        <f>IFERROR(SUMIFS('DETALLE CRONOLÓGICO'!$K$2:$K$4919,'DETALLE CRONOLÓGICO'!$A$2:$A$4919,$A2023)/$E2023,"")</f>
        <v/>
      </c>
      <c r="K2023" s="6">
        <f>_xlfn.MINIFS('DETALLE CRONOLÓGICO'!$K$2:$K$4919,'DETALLE CRONOLÓGICO'!$A$2:$A$4919,$A2023)</f>
        <v/>
      </c>
      <c r="L2023" s="6">
        <f>_xlfn.MAXIFS('DETALLE CRONOLÓGICO'!$K$2:$K$4919,'DETALLE CRONOLÓGICO'!$A$2:$A$4919,$A2023)</f>
        <v/>
      </c>
      <c r="M2023" s="6">
        <f>INDEX('DETALLE CRONOLÓGICO'!$K$2:$K$4919,MATCH($A2023,'DETALLE CRONOLÓGICO'!$A$2:$A$4919,0)+$E2023-1)</f>
        <v/>
      </c>
      <c r="N2023" s="7">
        <f>IFERROR($M2023/INDEX('DETALLE CRONOLÓGICO'!$K$2:$K$4919,MATCH($A2023,'DETALLE CRONOLÓGICO'!$A$2:$A$4919,0))-1,"")</f>
        <v/>
      </c>
      <c r="O2023" s="6">
        <f>IFERROR($I2023*3,"")</f>
        <v/>
      </c>
      <c r="P2023" s="6">
        <f>IFERROR($I2023*3.5,"")</f>
        <v/>
      </c>
      <c r="Q2023" s="6">
        <f>IFERROR($I2023*4,"")</f>
        <v/>
      </c>
      <c r="R2023" s="6" t="n">
        <v>580</v>
      </c>
      <c r="S2023" s="4" t="n">
        <v>4</v>
      </c>
      <c r="T2023" s="1" t="inlineStr">
        <is>
          <t>active</t>
        </is>
      </c>
      <c r="U2023" s="8" t="n"/>
      <c r="V2023" s="1" t="inlineStr">
        <is>
          <t>SIN PRECIO</t>
        </is>
      </c>
    </row>
    <row r="2024">
      <c r="A2024" s="1" t="inlineStr">
        <is>
          <t>86347033042765</t>
        </is>
      </c>
      <c r="B2024" s="1" t="inlineStr">
        <is>
          <t>ANILLO T ENTRELAZDOS SILVER</t>
        </is>
      </c>
      <c r="C2024" s="1" t="inlineStr">
        <is>
          <t>7</t>
        </is>
      </c>
      <c r="D2024" s="1" t="inlineStr">
        <is>
          <t>HAIFENG</t>
        </is>
      </c>
      <c r="E2024" s="4">
        <f>COUNTIF('DETALLE CRONOLÓGICO'!$A$2:$A$4919,$A2024)</f>
        <v/>
      </c>
      <c r="F2024" s="4">
        <f>SUMIFS('DETALLE CRONOLÓGICO'!$I$2:$I$4919,'DETALLE CRONOLÓGICO'!$A$2:$A$4919,$A2024)</f>
        <v/>
      </c>
      <c r="G2024" s="1">
        <f>INDEX('DETALLE CRONOLÓGICO'!$D$2:$D$4919,MATCH($A2024,'DETALLE CRONOLÓGICO'!$A$2:$A$4919,0))</f>
        <v/>
      </c>
      <c r="H2024" s="1">
        <f>INDEX('DETALLE CRONOLÓGICO'!$D$2:$D$4919,MATCH($A2024,'DETALLE CRONOLÓGICO'!$A$2:$A$4919,0)+$E2024-1)</f>
        <v/>
      </c>
      <c r="I2024" s="5">
        <f>IFERROR(SUMIFS('DETALLE CRONOLÓGICO'!$L$2:$L$4919,'DETALLE CRONOLÓGICO'!$A$2:$A$4919,$A2024)/$F2024,"")</f>
        <v/>
      </c>
      <c r="J2024" s="6">
        <f>IFERROR(SUMIFS('DETALLE CRONOLÓGICO'!$K$2:$K$4919,'DETALLE CRONOLÓGICO'!$A$2:$A$4919,$A2024)/$E2024,"")</f>
        <v/>
      </c>
      <c r="K2024" s="6">
        <f>_xlfn.MINIFS('DETALLE CRONOLÓGICO'!$K$2:$K$4919,'DETALLE CRONOLÓGICO'!$A$2:$A$4919,$A2024)</f>
        <v/>
      </c>
      <c r="L2024" s="6">
        <f>_xlfn.MAXIFS('DETALLE CRONOLÓGICO'!$K$2:$K$4919,'DETALLE CRONOLÓGICO'!$A$2:$A$4919,$A2024)</f>
        <v/>
      </c>
      <c r="M2024" s="6">
        <f>INDEX('DETALLE CRONOLÓGICO'!$K$2:$K$4919,MATCH($A2024,'DETALLE CRONOLÓGICO'!$A$2:$A$4919,0)+$E2024-1)</f>
        <v/>
      </c>
      <c r="N2024" s="7">
        <f>IFERROR($M2024/INDEX('DETALLE CRONOLÓGICO'!$K$2:$K$4919,MATCH($A2024,'DETALLE CRONOLÓGICO'!$A$2:$A$4919,0))-1,"")</f>
        <v/>
      </c>
      <c r="O2024" s="6">
        <f>IFERROR($I2024*3,"")</f>
        <v/>
      </c>
      <c r="P2024" s="6">
        <f>IFERROR($I2024*3.5,"")</f>
        <v/>
      </c>
      <c r="Q2024" s="6">
        <f>IFERROR($I2024*4,"")</f>
        <v/>
      </c>
      <c r="R2024" s="6" t="n">
        <v>740.78</v>
      </c>
      <c r="S2024" s="4" t="n">
        <v>3</v>
      </c>
      <c r="T2024" s="1" t="inlineStr">
        <is>
          <t>active</t>
        </is>
      </c>
      <c r="U2024" s="8" t="n"/>
      <c r="V2024" s="1" t="inlineStr">
        <is>
          <t>SIN PRECIO</t>
        </is>
      </c>
    </row>
    <row r="2025">
      <c r="A2025" s="1" t="inlineStr">
        <is>
          <t>86347033175533</t>
        </is>
      </c>
      <c r="B2025" s="1" t="inlineStr">
        <is>
          <t>ANILLO T ENTRELAZDOS SILVER</t>
        </is>
      </c>
      <c r="C2025" s="1" t="inlineStr">
        <is>
          <t>8</t>
        </is>
      </c>
      <c r="D2025" s="1" t="inlineStr">
        <is>
          <t>HAIFENG</t>
        </is>
      </c>
      <c r="E2025" s="4">
        <f>COUNTIF('DETALLE CRONOLÓGICO'!$A$2:$A$4919,$A2025)</f>
        <v/>
      </c>
      <c r="F2025" s="4">
        <f>SUMIFS('DETALLE CRONOLÓGICO'!$I$2:$I$4919,'DETALLE CRONOLÓGICO'!$A$2:$A$4919,$A2025)</f>
        <v/>
      </c>
      <c r="G2025" s="1">
        <f>INDEX('DETALLE CRONOLÓGICO'!$D$2:$D$4919,MATCH($A2025,'DETALLE CRONOLÓGICO'!$A$2:$A$4919,0))</f>
        <v/>
      </c>
      <c r="H2025" s="1">
        <f>INDEX('DETALLE CRONOLÓGICO'!$D$2:$D$4919,MATCH($A2025,'DETALLE CRONOLÓGICO'!$A$2:$A$4919,0)+$E2025-1)</f>
        <v/>
      </c>
      <c r="I2025" s="5">
        <f>IFERROR(SUMIFS('DETALLE CRONOLÓGICO'!$L$2:$L$4919,'DETALLE CRONOLÓGICO'!$A$2:$A$4919,$A2025)/$F2025,"")</f>
        <v/>
      </c>
      <c r="J2025" s="6">
        <f>IFERROR(SUMIFS('DETALLE CRONOLÓGICO'!$K$2:$K$4919,'DETALLE CRONOLÓGICO'!$A$2:$A$4919,$A2025)/$E2025,"")</f>
        <v/>
      </c>
      <c r="K2025" s="6">
        <f>_xlfn.MINIFS('DETALLE CRONOLÓGICO'!$K$2:$K$4919,'DETALLE CRONOLÓGICO'!$A$2:$A$4919,$A2025)</f>
        <v/>
      </c>
      <c r="L2025" s="6">
        <f>_xlfn.MAXIFS('DETALLE CRONOLÓGICO'!$K$2:$K$4919,'DETALLE CRONOLÓGICO'!$A$2:$A$4919,$A2025)</f>
        <v/>
      </c>
      <c r="M2025" s="6">
        <f>INDEX('DETALLE CRONOLÓGICO'!$K$2:$K$4919,MATCH($A2025,'DETALLE CRONOLÓGICO'!$A$2:$A$4919,0)+$E2025-1)</f>
        <v/>
      </c>
      <c r="N2025" s="7">
        <f>IFERROR($M2025/INDEX('DETALLE CRONOLÓGICO'!$K$2:$K$4919,MATCH($A2025,'DETALLE CRONOLÓGICO'!$A$2:$A$4919,0))-1,"")</f>
        <v/>
      </c>
      <c r="O2025" s="6">
        <f>IFERROR($I2025*3,"")</f>
        <v/>
      </c>
      <c r="P2025" s="6">
        <f>IFERROR($I2025*3.5,"")</f>
        <v/>
      </c>
      <c r="Q2025" s="6">
        <f>IFERROR($I2025*4,"")</f>
        <v/>
      </c>
      <c r="R2025" s="6" t="n">
        <v>481</v>
      </c>
      <c r="S2025" s="4" t="n">
        <v>2</v>
      </c>
      <c r="T2025" s="1" t="inlineStr">
        <is>
          <t>active</t>
        </is>
      </c>
      <c r="U2025" s="8" t="n"/>
      <c r="V2025" s="1" t="inlineStr">
        <is>
          <t>SIN PRECIO</t>
        </is>
      </c>
    </row>
    <row r="2026">
      <c r="A2026" s="1" t="inlineStr">
        <is>
          <t>86347033266957</t>
        </is>
      </c>
      <c r="B2026" s="1" t="inlineStr">
        <is>
          <t>ANILLO KNOT DOBLE GOLD ZIRCONIAS</t>
        </is>
      </c>
      <c r="C2026" s="1" t="inlineStr">
        <is>
          <t>6</t>
        </is>
      </c>
      <c r="D2026" s="1" t="inlineStr">
        <is>
          <t>HAIFENG</t>
        </is>
      </c>
      <c r="E2026" s="4">
        <f>COUNTIF('DETALLE CRONOLÓGICO'!$A$2:$A$4919,$A2026)</f>
        <v/>
      </c>
      <c r="F2026" s="4">
        <f>SUMIFS('DETALLE CRONOLÓGICO'!$I$2:$I$4919,'DETALLE CRONOLÓGICO'!$A$2:$A$4919,$A2026)</f>
        <v/>
      </c>
      <c r="G2026" s="1">
        <f>INDEX('DETALLE CRONOLÓGICO'!$D$2:$D$4919,MATCH($A2026,'DETALLE CRONOLÓGICO'!$A$2:$A$4919,0))</f>
        <v/>
      </c>
      <c r="H2026" s="1">
        <f>INDEX('DETALLE CRONOLÓGICO'!$D$2:$D$4919,MATCH($A2026,'DETALLE CRONOLÓGICO'!$A$2:$A$4919,0)+$E2026-1)</f>
        <v/>
      </c>
      <c r="I2026" s="5">
        <f>IFERROR(SUMIFS('DETALLE CRONOLÓGICO'!$L$2:$L$4919,'DETALLE CRONOLÓGICO'!$A$2:$A$4919,$A2026)/$F2026,"")</f>
        <v/>
      </c>
      <c r="J2026" s="6">
        <f>IFERROR(SUMIFS('DETALLE CRONOLÓGICO'!$K$2:$K$4919,'DETALLE CRONOLÓGICO'!$A$2:$A$4919,$A2026)/$E2026,"")</f>
        <v/>
      </c>
      <c r="K2026" s="6">
        <f>_xlfn.MINIFS('DETALLE CRONOLÓGICO'!$K$2:$K$4919,'DETALLE CRONOLÓGICO'!$A$2:$A$4919,$A2026)</f>
        <v/>
      </c>
      <c r="L2026" s="6">
        <f>_xlfn.MAXIFS('DETALLE CRONOLÓGICO'!$K$2:$K$4919,'DETALLE CRONOLÓGICO'!$A$2:$A$4919,$A2026)</f>
        <v/>
      </c>
      <c r="M2026" s="6">
        <f>INDEX('DETALLE CRONOLÓGICO'!$K$2:$K$4919,MATCH($A2026,'DETALLE CRONOLÓGICO'!$A$2:$A$4919,0)+$E2026-1)</f>
        <v/>
      </c>
      <c r="N2026" s="7">
        <f>IFERROR($M2026/INDEX('DETALLE CRONOLÓGICO'!$K$2:$K$4919,MATCH($A2026,'DETALLE CRONOLÓGICO'!$A$2:$A$4919,0))-1,"")</f>
        <v/>
      </c>
      <c r="O2026" s="6">
        <f>IFERROR($I2026*3,"")</f>
        <v/>
      </c>
      <c r="P2026" s="6">
        <f>IFERROR($I2026*3.5,"")</f>
        <v/>
      </c>
      <c r="Q2026" s="6">
        <f>IFERROR($I2026*4,"")</f>
        <v/>
      </c>
      <c r="R2026" s="6" t="n">
        <v>550</v>
      </c>
      <c r="S2026" s="4" t="n">
        <v>2</v>
      </c>
      <c r="T2026" s="1" t="inlineStr">
        <is>
          <t>active</t>
        </is>
      </c>
      <c r="U2026" s="8" t="n"/>
      <c r="V2026" s="1" t="inlineStr">
        <is>
          <t>SIN PRECIO</t>
        </is>
      </c>
    </row>
    <row r="2027">
      <c r="A2027" s="1" t="inlineStr">
        <is>
          <t>86347033399725</t>
        </is>
      </c>
      <c r="B2027" s="1" t="inlineStr">
        <is>
          <t>ANILLO KNOT DOBLE GOLD ZIRCONIAS</t>
        </is>
      </c>
      <c r="C2027" s="1" t="inlineStr">
        <is>
          <t>7</t>
        </is>
      </c>
      <c r="D2027" s="1" t="inlineStr">
        <is>
          <t>HAIFENG</t>
        </is>
      </c>
      <c r="E2027" s="4">
        <f>COUNTIF('DETALLE CRONOLÓGICO'!$A$2:$A$4919,$A2027)</f>
        <v/>
      </c>
      <c r="F2027" s="4">
        <f>SUMIFS('DETALLE CRONOLÓGICO'!$I$2:$I$4919,'DETALLE CRONOLÓGICO'!$A$2:$A$4919,$A2027)</f>
        <v/>
      </c>
      <c r="G2027" s="1">
        <f>INDEX('DETALLE CRONOLÓGICO'!$D$2:$D$4919,MATCH($A2027,'DETALLE CRONOLÓGICO'!$A$2:$A$4919,0))</f>
        <v/>
      </c>
      <c r="H2027" s="1">
        <f>INDEX('DETALLE CRONOLÓGICO'!$D$2:$D$4919,MATCH($A2027,'DETALLE CRONOLÓGICO'!$A$2:$A$4919,0)+$E2027-1)</f>
        <v/>
      </c>
      <c r="I2027" s="5">
        <f>IFERROR(SUMIFS('DETALLE CRONOLÓGICO'!$L$2:$L$4919,'DETALLE CRONOLÓGICO'!$A$2:$A$4919,$A2027)/$F2027,"")</f>
        <v/>
      </c>
      <c r="J2027" s="6">
        <f>IFERROR(SUMIFS('DETALLE CRONOLÓGICO'!$K$2:$K$4919,'DETALLE CRONOLÓGICO'!$A$2:$A$4919,$A2027)/$E2027,"")</f>
        <v/>
      </c>
      <c r="K2027" s="6">
        <f>_xlfn.MINIFS('DETALLE CRONOLÓGICO'!$K$2:$K$4919,'DETALLE CRONOLÓGICO'!$A$2:$A$4919,$A2027)</f>
        <v/>
      </c>
      <c r="L2027" s="6">
        <f>_xlfn.MAXIFS('DETALLE CRONOLÓGICO'!$K$2:$K$4919,'DETALLE CRONOLÓGICO'!$A$2:$A$4919,$A2027)</f>
        <v/>
      </c>
      <c r="M2027" s="6">
        <f>INDEX('DETALLE CRONOLÓGICO'!$K$2:$K$4919,MATCH($A2027,'DETALLE CRONOLÓGICO'!$A$2:$A$4919,0)+$E2027-1)</f>
        <v/>
      </c>
      <c r="N2027" s="7">
        <f>IFERROR($M2027/INDEX('DETALLE CRONOLÓGICO'!$K$2:$K$4919,MATCH($A2027,'DETALLE CRONOLÓGICO'!$A$2:$A$4919,0))-1,"")</f>
        <v/>
      </c>
      <c r="O2027" s="6">
        <f>IFERROR($I2027*3,"")</f>
        <v/>
      </c>
      <c r="P2027" s="6">
        <f>IFERROR($I2027*3.5,"")</f>
        <v/>
      </c>
      <c r="Q2027" s="6">
        <f>IFERROR($I2027*4,"")</f>
        <v/>
      </c>
      <c r="R2027" s="6" t="n">
        <v>550</v>
      </c>
      <c r="S2027" s="4" t="n">
        <v>8</v>
      </c>
      <c r="T2027" s="1" t="inlineStr">
        <is>
          <t>active</t>
        </is>
      </c>
      <c r="U2027" s="8" t="n"/>
      <c r="V2027" s="1" t="inlineStr">
        <is>
          <t>SIN PRECIO</t>
        </is>
      </c>
    </row>
    <row r="2028">
      <c r="A2028" s="1" t="inlineStr">
        <is>
          <t>86347033456237</t>
        </is>
      </c>
      <c r="B2028" s="1" t="inlineStr">
        <is>
          <t>BRAZALETE TITAN GOLD ZIRCONIAS</t>
        </is>
      </c>
      <c r="C2028" s="1" t="inlineStr">
        <is>
          <t>Default Title</t>
        </is>
      </c>
      <c r="D2028" s="1" t="inlineStr">
        <is>
          <t>HAIFENG</t>
        </is>
      </c>
      <c r="E2028" s="4">
        <f>COUNTIF('DETALLE CRONOLÓGICO'!$A$2:$A$4919,$A2028)</f>
        <v/>
      </c>
      <c r="F2028" s="4">
        <f>SUMIFS('DETALLE CRONOLÓGICO'!$I$2:$I$4919,'DETALLE CRONOLÓGICO'!$A$2:$A$4919,$A2028)</f>
        <v/>
      </c>
      <c r="G2028" s="1">
        <f>INDEX('DETALLE CRONOLÓGICO'!$D$2:$D$4919,MATCH($A2028,'DETALLE CRONOLÓGICO'!$A$2:$A$4919,0))</f>
        <v/>
      </c>
      <c r="H2028" s="1">
        <f>INDEX('DETALLE CRONOLÓGICO'!$D$2:$D$4919,MATCH($A2028,'DETALLE CRONOLÓGICO'!$A$2:$A$4919,0)+$E2028-1)</f>
        <v/>
      </c>
      <c r="I2028" s="5">
        <f>IFERROR(SUMIFS('DETALLE CRONOLÓGICO'!$L$2:$L$4919,'DETALLE CRONOLÓGICO'!$A$2:$A$4919,$A2028)/$F2028,"")</f>
        <v/>
      </c>
      <c r="J2028" s="6">
        <f>IFERROR(SUMIFS('DETALLE CRONOLÓGICO'!$K$2:$K$4919,'DETALLE CRONOLÓGICO'!$A$2:$A$4919,$A2028)/$E2028,"")</f>
        <v/>
      </c>
      <c r="K2028" s="6">
        <f>_xlfn.MINIFS('DETALLE CRONOLÓGICO'!$K$2:$K$4919,'DETALLE CRONOLÓGICO'!$A$2:$A$4919,$A2028)</f>
        <v/>
      </c>
      <c r="L2028" s="6">
        <f>_xlfn.MAXIFS('DETALLE CRONOLÓGICO'!$K$2:$K$4919,'DETALLE CRONOLÓGICO'!$A$2:$A$4919,$A2028)</f>
        <v/>
      </c>
      <c r="M2028" s="6">
        <f>INDEX('DETALLE CRONOLÓGICO'!$K$2:$K$4919,MATCH($A2028,'DETALLE CRONOLÓGICO'!$A$2:$A$4919,0)+$E2028-1)</f>
        <v/>
      </c>
      <c r="N2028" s="7">
        <f>IFERROR($M2028/INDEX('DETALLE CRONOLÓGICO'!$K$2:$K$4919,MATCH($A2028,'DETALLE CRONOLÓGICO'!$A$2:$A$4919,0))-1,"")</f>
        <v/>
      </c>
      <c r="O2028" s="6">
        <f>IFERROR($I2028*3,"")</f>
        <v/>
      </c>
      <c r="P2028" s="6">
        <f>IFERROR($I2028*3.5,"")</f>
        <v/>
      </c>
      <c r="Q2028" s="6">
        <f>IFERROR($I2028*4,"")</f>
        <v/>
      </c>
      <c r="R2028" s="6" t="n">
        <v>824</v>
      </c>
      <c r="S2028" s="4" t="n">
        <v>5</v>
      </c>
      <c r="T2028" s="1" t="inlineStr">
        <is>
          <t>active</t>
        </is>
      </c>
      <c r="U2028" s="8" t="n"/>
      <c r="V2028" s="1" t="inlineStr">
        <is>
          <t>SIN PRECIO</t>
        </is>
      </c>
    </row>
    <row r="2029">
      <c r="A2029" s="1" t="inlineStr">
        <is>
          <t>86347033612749</t>
        </is>
      </c>
      <c r="B2029" s="1" t="inlineStr">
        <is>
          <t>PULSERA ESLABONES ROSEGOLD ZIRCONIA</t>
        </is>
      </c>
      <c r="C2029" s="1" t="inlineStr">
        <is>
          <t>Default Title</t>
        </is>
      </c>
      <c r="D2029" s="1" t="inlineStr">
        <is>
          <t>HAIFENG</t>
        </is>
      </c>
      <c r="E2029" s="4">
        <f>COUNTIF('DETALLE CRONOLÓGICO'!$A$2:$A$4919,$A2029)</f>
        <v/>
      </c>
      <c r="F2029" s="4">
        <f>SUMIFS('DETALLE CRONOLÓGICO'!$I$2:$I$4919,'DETALLE CRONOLÓGICO'!$A$2:$A$4919,$A2029)</f>
        <v/>
      </c>
      <c r="G2029" s="1">
        <f>INDEX('DETALLE CRONOLÓGICO'!$D$2:$D$4919,MATCH($A2029,'DETALLE CRONOLÓGICO'!$A$2:$A$4919,0))</f>
        <v/>
      </c>
      <c r="H2029" s="1">
        <f>INDEX('DETALLE CRONOLÓGICO'!$D$2:$D$4919,MATCH($A2029,'DETALLE CRONOLÓGICO'!$A$2:$A$4919,0)+$E2029-1)</f>
        <v/>
      </c>
      <c r="I2029" s="5">
        <f>IFERROR(SUMIFS('DETALLE CRONOLÓGICO'!$L$2:$L$4919,'DETALLE CRONOLÓGICO'!$A$2:$A$4919,$A2029)/$F2029,"")</f>
        <v/>
      </c>
      <c r="J2029" s="6">
        <f>IFERROR(SUMIFS('DETALLE CRONOLÓGICO'!$K$2:$K$4919,'DETALLE CRONOLÓGICO'!$A$2:$A$4919,$A2029)/$E2029,"")</f>
        <v/>
      </c>
      <c r="K2029" s="6">
        <f>_xlfn.MINIFS('DETALLE CRONOLÓGICO'!$K$2:$K$4919,'DETALLE CRONOLÓGICO'!$A$2:$A$4919,$A2029)</f>
        <v/>
      </c>
      <c r="L2029" s="6">
        <f>_xlfn.MAXIFS('DETALLE CRONOLÓGICO'!$K$2:$K$4919,'DETALLE CRONOLÓGICO'!$A$2:$A$4919,$A2029)</f>
        <v/>
      </c>
      <c r="M2029" s="6">
        <f>INDEX('DETALLE CRONOLÓGICO'!$K$2:$K$4919,MATCH($A2029,'DETALLE CRONOLÓGICO'!$A$2:$A$4919,0)+$E2029-1)</f>
        <v/>
      </c>
      <c r="N2029" s="7">
        <f>IFERROR($M2029/INDEX('DETALLE CRONOLÓGICO'!$K$2:$K$4919,MATCH($A2029,'DETALLE CRONOLÓGICO'!$A$2:$A$4919,0))-1,"")</f>
        <v/>
      </c>
      <c r="O2029" s="6">
        <f>IFERROR($I2029*3,"")</f>
        <v/>
      </c>
      <c r="P2029" s="6">
        <f>IFERROR($I2029*3.5,"")</f>
        <v/>
      </c>
      <c r="Q2029" s="6">
        <f>IFERROR($I2029*4,"")</f>
        <v/>
      </c>
      <c r="R2029" s="6" t="n">
        <v>824</v>
      </c>
      <c r="S2029" s="4" t="n">
        <v>4</v>
      </c>
      <c r="T2029" s="1" t="inlineStr">
        <is>
          <t>active</t>
        </is>
      </c>
      <c r="U2029" s="8" t="n"/>
      <c r="V2029" s="1" t="inlineStr">
        <is>
          <t>SIN PRECIO</t>
        </is>
      </c>
    </row>
    <row r="2030">
      <c r="A2030" s="1" t="inlineStr">
        <is>
          <t>86347033785069</t>
        </is>
      </c>
      <c r="B2030" s="1" t="inlineStr">
        <is>
          <t>ARRACADAS KNOT ROSEGOLD ZIRCONIAS</t>
        </is>
      </c>
      <c r="C2030" s="1" t="inlineStr">
        <is>
          <t>Default Title</t>
        </is>
      </c>
      <c r="D2030" s="1" t="inlineStr">
        <is>
          <t>HAIFENG</t>
        </is>
      </c>
      <c r="E2030" s="4">
        <f>COUNTIF('DETALLE CRONOLÓGICO'!$A$2:$A$4919,$A2030)</f>
        <v/>
      </c>
      <c r="F2030" s="4">
        <f>SUMIFS('DETALLE CRONOLÓGICO'!$I$2:$I$4919,'DETALLE CRONOLÓGICO'!$A$2:$A$4919,$A2030)</f>
        <v/>
      </c>
      <c r="G2030" s="1">
        <f>INDEX('DETALLE CRONOLÓGICO'!$D$2:$D$4919,MATCH($A2030,'DETALLE CRONOLÓGICO'!$A$2:$A$4919,0))</f>
        <v/>
      </c>
      <c r="H2030" s="1">
        <f>INDEX('DETALLE CRONOLÓGICO'!$D$2:$D$4919,MATCH($A2030,'DETALLE CRONOLÓGICO'!$A$2:$A$4919,0)+$E2030-1)</f>
        <v/>
      </c>
      <c r="I2030" s="5">
        <f>IFERROR(SUMIFS('DETALLE CRONOLÓGICO'!$L$2:$L$4919,'DETALLE CRONOLÓGICO'!$A$2:$A$4919,$A2030)/$F2030,"")</f>
        <v/>
      </c>
      <c r="J2030" s="6">
        <f>IFERROR(SUMIFS('DETALLE CRONOLÓGICO'!$K$2:$K$4919,'DETALLE CRONOLÓGICO'!$A$2:$A$4919,$A2030)/$E2030,"")</f>
        <v/>
      </c>
      <c r="K2030" s="6">
        <f>_xlfn.MINIFS('DETALLE CRONOLÓGICO'!$K$2:$K$4919,'DETALLE CRONOLÓGICO'!$A$2:$A$4919,$A2030)</f>
        <v/>
      </c>
      <c r="L2030" s="6">
        <f>_xlfn.MAXIFS('DETALLE CRONOLÓGICO'!$K$2:$K$4919,'DETALLE CRONOLÓGICO'!$A$2:$A$4919,$A2030)</f>
        <v/>
      </c>
      <c r="M2030" s="6">
        <f>INDEX('DETALLE CRONOLÓGICO'!$K$2:$K$4919,MATCH($A2030,'DETALLE CRONOLÓGICO'!$A$2:$A$4919,0)+$E2030-1)</f>
        <v/>
      </c>
      <c r="N2030" s="7">
        <f>IFERROR($M2030/INDEX('DETALLE CRONOLÓGICO'!$K$2:$K$4919,MATCH($A2030,'DETALLE CRONOLÓGICO'!$A$2:$A$4919,0))-1,"")</f>
        <v/>
      </c>
      <c r="O2030" s="6">
        <f>IFERROR($I2030*3,"")</f>
        <v/>
      </c>
      <c r="P2030" s="6">
        <f>IFERROR($I2030*3.5,"")</f>
        <v/>
      </c>
      <c r="Q2030" s="6">
        <f>IFERROR($I2030*4,"")</f>
        <v/>
      </c>
      <c r="R2030" s="6" t="n">
        <v>670</v>
      </c>
      <c r="S2030" s="4" t="n">
        <v>4</v>
      </c>
      <c r="T2030" s="1" t="inlineStr">
        <is>
          <t>active</t>
        </is>
      </c>
      <c r="U2030" s="8" t="n"/>
      <c r="V2030" s="1" t="inlineStr">
        <is>
          <t>SIN PRECIO</t>
        </is>
      </c>
    </row>
    <row r="2031">
      <c r="A2031" s="1" t="inlineStr">
        <is>
          <t>86347033884525</t>
        </is>
      </c>
      <c r="B2031" s="1" t="inlineStr">
        <is>
          <t>BRAZALETE PERETTI GOLD ZIRCONIAS</t>
        </is>
      </c>
      <c r="C2031" s="1" t="inlineStr">
        <is>
          <t>Default Title</t>
        </is>
      </c>
      <c r="D2031" s="1" t="inlineStr">
        <is>
          <t>HAIFENG</t>
        </is>
      </c>
      <c r="E2031" s="4">
        <f>COUNTIF('DETALLE CRONOLÓGICO'!$A$2:$A$4919,$A2031)</f>
        <v/>
      </c>
      <c r="F2031" s="4">
        <f>SUMIFS('DETALLE CRONOLÓGICO'!$I$2:$I$4919,'DETALLE CRONOLÓGICO'!$A$2:$A$4919,$A2031)</f>
        <v/>
      </c>
      <c r="G2031" s="1">
        <f>INDEX('DETALLE CRONOLÓGICO'!$D$2:$D$4919,MATCH($A2031,'DETALLE CRONOLÓGICO'!$A$2:$A$4919,0))</f>
        <v/>
      </c>
      <c r="H2031" s="1">
        <f>INDEX('DETALLE CRONOLÓGICO'!$D$2:$D$4919,MATCH($A2031,'DETALLE CRONOLÓGICO'!$A$2:$A$4919,0)+$E2031-1)</f>
        <v/>
      </c>
      <c r="I2031" s="5">
        <f>IFERROR(SUMIFS('DETALLE CRONOLÓGICO'!$L$2:$L$4919,'DETALLE CRONOLÓGICO'!$A$2:$A$4919,$A2031)/$F2031,"")</f>
        <v/>
      </c>
      <c r="J2031" s="6">
        <f>IFERROR(SUMIFS('DETALLE CRONOLÓGICO'!$K$2:$K$4919,'DETALLE CRONOLÓGICO'!$A$2:$A$4919,$A2031)/$E2031,"")</f>
        <v/>
      </c>
      <c r="K2031" s="6">
        <f>_xlfn.MINIFS('DETALLE CRONOLÓGICO'!$K$2:$K$4919,'DETALLE CRONOLÓGICO'!$A$2:$A$4919,$A2031)</f>
        <v/>
      </c>
      <c r="L2031" s="6">
        <f>_xlfn.MAXIFS('DETALLE CRONOLÓGICO'!$K$2:$K$4919,'DETALLE CRONOLÓGICO'!$A$2:$A$4919,$A2031)</f>
        <v/>
      </c>
      <c r="M2031" s="6">
        <f>INDEX('DETALLE CRONOLÓGICO'!$K$2:$K$4919,MATCH($A2031,'DETALLE CRONOLÓGICO'!$A$2:$A$4919,0)+$E2031-1)</f>
        <v/>
      </c>
      <c r="N2031" s="7">
        <f>IFERROR($M2031/INDEX('DETALLE CRONOLÓGICO'!$K$2:$K$4919,MATCH($A2031,'DETALLE CRONOLÓGICO'!$A$2:$A$4919,0))-1,"")</f>
        <v/>
      </c>
      <c r="O2031" s="6">
        <f>IFERROR($I2031*3,"")</f>
        <v/>
      </c>
      <c r="P2031" s="6">
        <f>IFERROR($I2031*3.5,"")</f>
        <v/>
      </c>
      <c r="Q2031" s="6">
        <f>IFERROR($I2031*4,"")</f>
        <v/>
      </c>
      <c r="R2031" s="6" t="n">
        <v>740</v>
      </c>
      <c r="S2031" s="4" t="n">
        <v>6</v>
      </c>
      <c r="T2031" s="1" t="inlineStr">
        <is>
          <t>active</t>
        </is>
      </c>
      <c r="U2031" s="8" t="n"/>
      <c r="V2031" s="1" t="inlineStr">
        <is>
          <t>SIN PRECIO</t>
        </is>
      </c>
    </row>
    <row r="2032">
      <c r="A2032" s="1" t="inlineStr">
        <is>
          <t>86347033994701</t>
        </is>
      </c>
      <c r="B2032" s="1" t="inlineStr">
        <is>
          <t>COLLAR SIXTEEN STONE SCHLUM</t>
        </is>
      </c>
      <c r="C2032" s="1" t="inlineStr">
        <is>
          <t>Default Title</t>
        </is>
      </c>
      <c r="D2032" s="1" t="inlineStr">
        <is>
          <t>HAIFENG</t>
        </is>
      </c>
      <c r="E2032" s="4">
        <f>COUNTIF('DETALLE CRONOLÓGICO'!$A$2:$A$4919,$A2032)</f>
        <v/>
      </c>
      <c r="F2032" s="4">
        <f>SUMIFS('DETALLE CRONOLÓGICO'!$I$2:$I$4919,'DETALLE CRONOLÓGICO'!$A$2:$A$4919,$A2032)</f>
        <v/>
      </c>
      <c r="G2032" s="1">
        <f>INDEX('DETALLE CRONOLÓGICO'!$D$2:$D$4919,MATCH($A2032,'DETALLE CRONOLÓGICO'!$A$2:$A$4919,0))</f>
        <v/>
      </c>
      <c r="H2032" s="1">
        <f>INDEX('DETALLE CRONOLÓGICO'!$D$2:$D$4919,MATCH($A2032,'DETALLE CRONOLÓGICO'!$A$2:$A$4919,0)+$E2032-1)</f>
        <v/>
      </c>
      <c r="I2032" s="5">
        <f>IFERROR(SUMIFS('DETALLE CRONOLÓGICO'!$L$2:$L$4919,'DETALLE CRONOLÓGICO'!$A$2:$A$4919,$A2032)/$F2032,"")</f>
        <v/>
      </c>
      <c r="J2032" s="6">
        <f>IFERROR(SUMIFS('DETALLE CRONOLÓGICO'!$K$2:$K$4919,'DETALLE CRONOLÓGICO'!$A$2:$A$4919,$A2032)/$E2032,"")</f>
        <v/>
      </c>
      <c r="K2032" s="6">
        <f>_xlfn.MINIFS('DETALLE CRONOLÓGICO'!$K$2:$K$4919,'DETALLE CRONOLÓGICO'!$A$2:$A$4919,$A2032)</f>
        <v/>
      </c>
      <c r="L2032" s="6">
        <f>_xlfn.MAXIFS('DETALLE CRONOLÓGICO'!$K$2:$K$4919,'DETALLE CRONOLÓGICO'!$A$2:$A$4919,$A2032)</f>
        <v/>
      </c>
      <c r="M2032" s="6">
        <f>INDEX('DETALLE CRONOLÓGICO'!$K$2:$K$4919,MATCH($A2032,'DETALLE CRONOLÓGICO'!$A$2:$A$4919,0)+$E2032-1)</f>
        <v/>
      </c>
      <c r="N2032" s="7">
        <f>IFERROR($M2032/INDEX('DETALLE CRONOLÓGICO'!$K$2:$K$4919,MATCH($A2032,'DETALLE CRONOLÓGICO'!$A$2:$A$4919,0))-1,"")</f>
        <v/>
      </c>
      <c r="O2032" s="6">
        <f>IFERROR($I2032*3,"")</f>
        <v/>
      </c>
      <c r="P2032" s="6">
        <f>IFERROR($I2032*3.5,"")</f>
        <v/>
      </c>
      <c r="Q2032" s="6">
        <f>IFERROR($I2032*4,"")</f>
        <v/>
      </c>
      <c r="R2032" s="6" t="n">
        <v>495</v>
      </c>
      <c r="S2032" s="4" t="n">
        <v>1</v>
      </c>
      <c r="T2032" s="1" t="inlineStr">
        <is>
          <t>active</t>
        </is>
      </c>
      <c r="U2032" s="8" t="n"/>
      <c r="V2032" s="1" t="inlineStr">
        <is>
          <t>SIN PRECIO</t>
        </is>
      </c>
    </row>
    <row r="2033">
      <c r="A2033" s="1" t="inlineStr">
        <is>
          <t>86347034024077</t>
        </is>
      </c>
      <c r="B2033" s="1" t="inlineStr">
        <is>
          <t>COLLAR SIXTEEN STONE SCHLUM RED</t>
        </is>
      </c>
      <c r="C2033" s="1" t="inlineStr">
        <is>
          <t>Default Title</t>
        </is>
      </c>
      <c r="D2033" s="1" t="inlineStr">
        <is>
          <t>HAIFENG</t>
        </is>
      </c>
      <c r="E2033" s="4">
        <f>COUNTIF('DETALLE CRONOLÓGICO'!$A$2:$A$4919,$A2033)</f>
        <v/>
      </c>
      <c r="F2033" s="4">
        <f>SUMIFS('DETALLE CRONOLÓGICO'!$I$2:$I$4919,'DETALLE CRONOLÓGICO'!$A$2:$A$4919,$A2033)</f>
        <v/>
      </c>
      <c r="G2033" s="1">
        <f>INDEX('DETALLE CRONOLÓGICO'!$D$2:$D$4919,MATCH($A2033,'DETALLE CRONOLÓGICO'!$A$2:$A$4919,0))</f>
        <v/>
      </c>
      <c r="H2033" s="1">
        <f>INDEX('DETALLE CRONOLÓGICO'!$D$2:$D$4919,MATCH($A2033,'DETALLE CRONOLÓGICO'!$A$2:$A$4919,0)+$E2033-1)</f>
        <v/>
      </c>
      <c r="I2033" s="5">
        <f>IFERROR(SUMIFS('DETALLE CRONOLÓGICO'!$L$2:$L$4919,'DETALLE CRONOLÓGICO'!$A$2:$A$4919,$A2033)/$F2033,"")</f>
        <v/>
      </c>
      <c r="J2033" s="6">
        <f>IFERROR(SUMIFS('DETALLE CRONOLÓGICO'!$K$2:$K$4919,'DETALLE CRONOLÓGICO'!$A$2:$A$4919,$A2033)/$E2033,"")</f>
        <v/>
      </c>
      <c r="K2033" s="6">
        <f>_xlfn.MINIFS('DETALLE CRONOLÓGICO'!$K$2:$K$4919,'DETALLE CRONOLÓGICO'!$A$2:$A$4919,$A2033)</f>
        <v/>
      </c>
      <c r="L2033" s="6">
        <f>_xlfn.MAXIFS('DETALLE CRONOLÓGICO'!$K$2:$K$4919,'DETALLE CRONOLÓGICO'!$A$2:$A$4919,$A2033)</f>
        <v/>
      </c>
      <c r="M2033" s="6">
        <f>INDEX('DETALLE CRONOLÓGICO'!$K$2:$K$4919,MATCH($A2033,'DETALLE CRONOLÓGICO'!$A$2:$A$4919,0)+$E2033-1)</f>
        <v/>
      </c>
      <c r="N2033" s="7">
        <f>IFERROR($M2033/INDEX('DETALLE CRONOLÓGICO'!$K$2:$K$4919,MATCH($A2033,'DETALLE CRONOLÓGICO'!$A$2:$A$4919,0))-1,"")</f>
        <v/>
      </c>
      <c r="O2033" s="6">
        <f>IFERROR($I2033*3,"")</f>
        <v/>
      </c>
      <c r="P2033" s="6">
        <f>IFERROR($I2033*3.5,"")</f>
        <v/>
      </c>
      <c r="Q2033" s="6">
        <f>IFERROR($I2033*4,"")</f>
        <v/>
      </c>
      <c r="R2033" s="6" t="n">
        <v>499</v>
      </c>
      <c r="S2033" s="4" t="n">
        <v>4</v>
      </c>
      <c r="T2033" s="1" t="inlineStr">
        <is>
          <t>active</t>
        </is>
      </c>
      <c r="U2033" s="8" t="n"/>
      <c r="V2033" s="1" t="inlineStr">
        <is>
          <t>SIN PRECIO</t>
        </is>
      </c>
    </row>
    <row r="2034">
      <c r="A2034" s="1" t="inlineStr">
        <is>
          <t>86741781048077</t>
        </is>
      </c>
      <c r="B2034" s="1" t="inlineStr">
        <is>
          <t>ARETES KNOT GOLD CON ZIRCONIAS</t>
        </is>
      </c>
      <c r="C2034" s="1" t="inlineStr">
        <is>
          <t>Default Title</t>
        </is>
      </c>
      <c r="D2034" s="1" t="inlineStr">
        <is>
          <t>HAIFENG</t>
        </is>
      </c>
      <c r="E2034" s="4">
        <f>COUNTIF('DETALLE CRONOLÓGICO'!$A$2:$A$4919,$A2034)</f>
        <v/>
      </c>
      <c r="F2034" s="4">
        <f>SUMIFS('DETALLE CRONOLÓGICO'!$I$2:$I$4919,'DETALLE CRONOLÓGICO'!$A$2:$A$4919,$A2034)</f>
        <v/>
      </c>
      <c r="G2034" s="1">
        <f>INDEX('DETALLE CRONOLÓGICO'!$D$2:$D$4919,MATCH($A2034,'DETALLE CRONOLÓGICO'!$A$2:$A$4919,0))</f>
        <v/>
      </c>
      <c r="H2034" s="1">
        <f>INDEX('DETALLE CRONOLÓGICO'!$D$2:$D$4919,MATCH($A2034,'DETALLE CRONOLÓGICO'!$A$2:$A$4919,0)+$E2034-1)</f>
        <v/>
      </c>
      <c r="I2034" s="5">
        <f>IFERROR(SUMIFS('DETALLE CRONOLÓGICO'!$L$2:$L$4919,'DETALLE CRONOLÓGICO'!$A$2:$A$4919,$A2034)/$F2034,"")</f>
        <v/>
      </c>
      <c r="J2034" s="6">
        <f>IFERROR(SUMIFS('DETALLE CRONOLÓGICO'!$K$2:$K$4919,'DETALLE CRONOLÓGICO'!$A$2:$A$4919,$A2034)/$E2034,"")</f>
        <v/>
      </c>
      <c r="K2034" s="6">
        <f>_xlfn.MINIFS('DETALLE CRONOLÓGICO'!$K$2:$K$4919,'DETALLE CRONOLÓGICO'!$A$2:$A$4919,$A2034)</f>
        <v/>
      </c>
      <c r="L2034" s="6">
        <f>_xlfn.MAXIFS('DETALLE CRONOLÓGICO'!$K$2:$K$4919,'DETALLE CRONOLÓGICO'!$A$2:$A$4919,$A2034)</f>
        <v/>
      </c>
      <c r="M2034" s="6">
        <f>INDEX('DETALLE CRONOLÓGICO'!$K$2:$K$4919,MATCH($A2034,'DETALLE CRONOLÓGICO'!$A$2:$A$4919,0)+$E2034-1)</f>
        <v/>
      </c>
      <c r="N2034" s="7">
        <f>IFERROR($M2034/INDEX('DETALLE CRONOLÓGICO'!$K$2:$K$4919,MATCH($A2034,'DETALLE CRONOLÓGICO'!$A$2:$A$4919,0))-1,"")</f>
        <v/>
      </c>
      <c r="O2034" s="6">
        <f>IFERROR($I2034*3,"")</f>
        <v/>
      </c>
      <c r="P2034" s="6">
        <f>IFERROR($I2034*3.5,"")</f>
        <v/>
      </c>
      <c r="Q2034" s="6">
        <f>IFERROR($I2034*4,"")</f>
        <v/>
      </c>
      <c r="R2034" s="6" t="n">
        <v>780</v>
      </c>
      <c r="S2034" s="4" t="n">
        <v>0</v>
      </c>
      <c r="T2034" s="1" t="inlineStr">
        <is>
          <t>active</t>
        </is>
      </c>
      <c r="U2034" s="8" t="n"/>
      <c r="V2034" s="1" t="inlineStr">
        <is>
          <t>SIN PRECIO</t>
        </is>
      </c>
    </row>
    <row r="2035">
      <c r="A2035" s="1" t="inlineStr">
        <is>
          <t>87045211023629</t>
        </is>
      </c>
      <c r="B2035" s="1" t="inlineStr">
        <is>
          <t>PULSERA LV BLOSSOM TWIST GOLD</t>
        </is>
      </c>
      <c r="C2035" s="1" t="inlineStr">
        <is>
          <t>Default Title</t>
        </is>
      </c>
      <c r="D2035" s="1" t="inlineStr">
        <is>
          <t>CYNTHIA / ZOEY</t>
        </is>
      </c>
      <c r="E2035" s="4">
        <f>COUNTIF('DETALLE CRONOLÓGICO'!$A$2:$A$4919,$A2035)</f>
        <v/>
      </c>
      <c r="F2035" s="4">
        <f>SUMIFS('DETALLE CRONOLÓGICO'!$I$2:$I$4919,'DETALLE CRONOLÓGICO'!$A$2:$A$4919,$A2035)</f>
        <v/>
      </c>
      <c r="G2035" s="1">
        <f>INDEX('DETALLE CRONOLÓGICO'!$D$2:$D$4919,MATCH($A2035,'DETALLE CRONOLÓGICO'!$A$2:$A$4919,0))</f>
        <v/>
      </c>
      <c r="H2035" s="1">
        <f>INDEX('DETALLE CRONOLÓGICO'!$D$2:$D$4919,MATCH($A2035,'DETALLE CRONOLÓGICO'!$A$2:$A$4919,0)+$E2035-1)</f>
        <v/>
      </c>
      <c r="I2035" s="5">
        <f>IFERROR(SUMIFS('DETALLE CRONOLÓGICO'!$L$2:$L$4919,'DETALLE CRONOLÓGICO'!$A$2:$A$4919,$A2035)/$F2035,"")</f>
        <v/>
      </c>
      <c r="J2035" s="6">
        <f>IFERROR(SUMIFS('DETALLE CRONOLÓGICO'!$K$2:$K$4919,'DETALLE CRONOLÓGICO'!$A$2:$A$4919,$A2035)/$E2035,"")</f>
        <v/>
      </c>
      <c r="K2035" s="6">
        <f>_xlfn.MINIFS('DETALLE CRONOLÓGICO'!$K$2:$K$4919,'DETALLE CRONOLÓGICO'!$A$2:$A$4919,$A2035)</f>
        <v/>
      </c>
      <c r="L2035" s="6">
        <f>_xlfn.MAXIFS('DETALLE CRONOLÓGICO'!$K$2:$K$4919,'DETALLE CRONOLÓGICO'!$A$2:$A$4919,$A2035)</f>
        <v/>
      </c>
      <c r="M2035" s="6">
        <f>INDEX('DETALLE CRONOLÓGICO'!$K$2:$K$4919,MATCH($A2035,'DETALLE CRONOLÓGICO'!$A$2:$A$4919,0)+$E2035-1)</f>
        <v/>
      </c>
      <c r="N2035" s="7">
        <f>IFERROR($M2035/INDEX('DETALLE CRONOLÓGICO'!$K$2:$K$4919,MATCH($A2035,'DETALLE CRONOLÓGICO'!$A$2:$A$4919,0))-1,"")</f>
        <v/>
      </c>
      <c r="O2035" s="6">
        <f>IFERROR($I2035*3,"")</f>
        <v/>
      </c>
      <c r="P2035" s="6">
        <f>IFERROR($I2035*3.5,"")</f>
        <v/>
      </c>
      <c r="Q2035" s="6">
        <f>IFERROR($I2035*4,"")</f>
        <v/>
      </c>
      <c r="R2035" s="6" t="n">
        <v>975</v>
      </c>
      <c r="S2035" s="4" t="n">
        <v>4</v>
      </c>
      <c r="T2035" s="1" t="inlineStr">
        <is>
          <t>active</t>
        </is>
      </c>
      <c r="U2035" s="8" t="n"/>
      <c r="V2035" s="1" t="inlineStr">
        <is>
          <t>SIN PRECIO</t>
        </is>
      </c>
    </row>
    <row r="2036">
      <c r="A2036" s="1" t="inlineStr">
        <is>
          <t>87084241011085</t>
        </is>
      </c>
      <c r="B2036" s="1" t="inlineStr">
        <is>
          <t>COLLAR F SILVER CON ZIRCONIA</t>
        </is>
      </c>
      <c r="C2036" s="1" t="inlineStr">
        <is>
          <t>Default Title</t>
        </is>
      </c>
      <c r="D2036" s="1" t="inlineStr">
        <is>
          <t>ZOEY</t>
        </is>
      </c>
      <c r="E2036" s="4">
        <f>COUNTIF('DETALLE CRONOLÓGICO'!$A$2:$A$4919,$A2036)</f>
        <v/>
      </c>
      <c r="F2036" s="4">
        <f>SUMIFS('DETALLE CRONOLÓGICO'!$I$2:$I$4919,'DETALLE CRONOLÓGICO'!$A$2:$A$4919,$A2036)</f>
        <v/>
      </c>
      <c r="G2036" s="1">
        <f>INDEX('DETALLE CRONOLÓGICO'!$D$2:$D$4919,MATCH($A2036,'DETALLE CRONOLÓGICO'!$A$2:$A$4919,0))</f>
        <v/>
      </c>
      <c r="H2036" s="1">
        <f>INDEX('DETALLE CRONOLÓGICO'!$D$2:$D$4919,MATCH($A2036,'DETALLE CRONOLÓGICO'!$A$2:$A$4919,0)+$E2036-1)</f>
        <v/>
      </c>
      <c r="I2036" s="5">
        <f>IFERROR(SUMIFS('DETALLE CRONOLÓGICO'!$L$2:$L$4919,'DETALLE CRONOLÓGICO'!$A$2:$A$4919,$A2036)/$F2036,"")</f>
        <v/>
      </c>
      <c r="J2036" s="6">
        <f>IFERROR(SUMIFS('DETALLE CRONOLÓGICO'!$K$2:$K$4919,'DETALLE CRONOLÓGICO'!$A$2:$A$4919,$A2036)/$E2036,"")</f>
        <v/>
      </c>
      <c r="K2036" s="6">
        <f>_xlfn.MINIFS('DETALLE CRONOLÓGICO'!$K$2:$K$4919,'DETALLE CRONOLÓGICO'!$A$2:$A$4919,$A2036)</f>
        <v/>
      </c>
      <c r="L2036" s="6">
        <f>_xlfn.MAXIFS('DETALLE CRONOLÓGICO'!$K$2:$K$4919,'DETALLE CRONOLÓGICO'!$A$2:$A$4919,$A2036)</f>
        <v/>
      </c>
      <c r="M2036" s="6">
        <f>INDEX('DETALLE CRONOLÓGICO'!$K$2:$K$4919,MATCH($A2036,'DETALLE CRONOLÓGICO'!$A$2:$A$4919,0)+$E2036-1)</f>
        <v/>
      </c>
      <c r="N2036" s="7">
        <f>IFERROR($M2036/INDEX('DETALLE CRONOLÓGICO'!$K$2:$K$4919,MATCH($A2036,'DETALLE CRONOLÓGICO'!$A$2:$A$4919,0))-1,"")</f>
        <v/>
      </c>
      <c r="O2036" s="6">
        <f>IFERROR($I2036*3,"")</f>
        <v/>
      </c>
      <c r="P2036" s="6">
        <f>IFERROR($I2036*3.5,"")</f>
        <v/>
      </c>
      <c r="Q2036" s="6">
        <f>IFERROR($I2036*4,"")</f>
        <v/>
      </c>
      <c r="R2036" s="6" t="n">
        <v>928</v>
      </c>
      <c r="S2036" s="4" t="n">
        <v>0</v>
      </c>
      <c r="T2036" s="1" t="inlineStr">
        <is>
          <t>active</t>
        </is>
      </c>
      <c r="U2036" s="8" t="n"/>
      <c r="V2036" s="1" t="inlineStr">
        <is>
          <t>SIN PRECIO</t>
        </is>
      </c>
    </row>
    <row r="2037">
      <c r="A2037" s="1" t="inlineStr">
        <is>
          <t>87401991025249</t>
        </is>
      </c>
      <c r="B2037" s="1" t="inlineStr">
        <is>
          <t>PULSERA LOVESTRUCK</t>
        </is>
      </c>
      <c r="C2037" s="1" t="inlineStr">
        <is>
          <t>18 cm</t>
        </is>
      </c>
      <c r="D2037" s="1" t="inlineStr">
        <is>
          <t>HAIFENG / ZOEY</t>
        </is>
      </c>
      <c r="E2037" s="4">
        <f>COUNTIF('DETALLE CRONOLÓGICO'!$A$2:$A$4919,$A2037)</f>
        <v/>
      </c>
      <c r="F2037" s="4">
        <f>SUMIFS('DETALLE CRONOLÓGICO'!$I$2:$I$4919,'DETALLE CRONOLÓGICO'!$A$2:$A$4919,$A2037)</f>
        <v/>
      </c>
      <c r="G2037" s="1">
        <f>INDEX('DETALLE CRONOLÓGICO'!$D$2:$D$4919,MATCH($A2037,'DETALLE CRONOLÓGICO'!$A$2:$A$4919,0))</f>
        <v/>
      </c>
      <c r="H2037" s="1">
        <f>INDEX('DETALLE CRONOLÓGICO'!$D$2:$D$4919,MATCH($A2037,'DETALLE CRONOLÓGICO'!$A$2:$A$4919,0)+$E2037-1)</f>
        <v/>
      </c>
      <c r="I2037" s="5">
        <f>IFERROR(SUMIFS('DETALLE CRONOLÓGICO'!$L$2:$L$4919,'DETALLE CRONOLÓGICO'!$A$2:$A$4919,$A2037)/$F2037,"")</f>
        <v/>
      </c>
      <c r="J2037" s="6">
        <f>IFERROR(SUMIFS('DETALLE CRONOLÓGICO'!$K$2:$K$4919,'DETALLE CRONOLÓGICO'!$A$2:$A$4919,$A2037)/$E2037,"")</f>
        <v/>
      </c>
      <c r="K2037" s="6">
        <f>_xlfn.MINIFS('DETALLE CRONOLÓGICO'!$K$2:$K$4919,'DETALLE CRONOLÓGICO'!$A$2:$A$4919,$A2037)</f>
        <v/>
      </c>
      <c r="L2037" s="6">
        <f>_xlfn.MAXIFS('DETALLE CRONOLÓGICO'!$K$2:$K$4919,'DETALLE CRONOLÓGICO'!$A$2:$A$4919,$A2037)</f>
        <v/>
      </c>
      <c r="M2037" s="6">
        <f>INDEX('DETALLE CRONOLÓGICO'!$K$2:$K$4919,MATCH($A2037,'DETALLE CRONOLÓGICO'!$A$2:$A$4919,0)+$E2037-1)</f>
        <v/>
      </c>
      <c r="N2037" s="7">
        <f>IFERROR($M2037/INDEX('DETALLE CRONOLÓGICO'!$K$2:$K$4919,MATCH($A2037,'DETALLE CRONOLÓGICO'!$A$2:$A$4919,0))-1,"")</f>
        <v/>
      </c>
      <c r="O2037" s="6">
        <f>IFERROR($I2037*3,"")</f>
        <v/>
      </c>
      <c r="P2037" s="6">
        <f>IFERROR($I2037*3.5,"")</f>
        <v/>
      </c>
      <c r="Q2037" s="6">
        <f>IFERROR($I2037*4,"")</f>
        <v/>
      </c>
      <c r="R2037" s="6" t="n">
        <v>850</v>
      </c>
      <c r="S2037" s="4" t="n">
        <v>6</v>
      </c>
      <c r="T2037" s="1" t="inlineStr">
        <is>
          <t>active</t>
        </is>
      </c>
      <c r="U2037" s="8" t="n"/>
      <c r="V2037" s="1" t="inlineStr">
        <is>
          <t>SIN PRECIO</t>
        </is>
      </c>
    </row>
    <row r="2038">
      <c r="A2038" s="1" t="inlineStr">
        <is>
          <t>87725181046765</t>
        </is>
      </c>
      <c r="B2038" s="1" t="inlineStr">
        <is>
          <t>PULSERA LV IDYLLE BLOSSOM TRES OROS</t>
        </is>
      </c>
      <c r="C2038" s="1" t="inlineStr">
        <is>
          <t>Default Title</t>
        </is>
      </c>
      <c r="D2038" s="1" t="inlineStr">
        <is>
          <t>ZOEY</t>
        </is>
      </c>
      <c r="E2038" s="4">
        <f>COUNTIF('DETALLE CRONOLÓGICO'!$A$2:$A$4919,$A2038)</f>
        <v/>
      </c>
      <c r="F2038" s="4">
        <f>SUMIFS('DETALLE CRONOLÓGICO'!$I$2:$I$4919,'DETALLE CRONOLÓGICO'!$A$2:$A$4919,$A2038)</f>
        <v/>
      </c>
      <c r="G2038" s="1">
        <f>INDEX('DETALLE CRONOLÓGICO'!$D$2:$D$4919,MATCH($A2038,'DETALLE CRONOLÓGICO'!$A$2:$A$4919,0))</f>
        <v/>
      </c>
      <c r="H2038" s="1">
        <f>INDEX('DETALLE CRONOLÓGICO'!$D$2:$D$4919,MATCH($A2038,'DETALLE CRONOLÓGICO'!$A$2:$A$4919,0)+$E2038-1)</f>
        <v/>
      </c>
      <c r="I2038" s="5">
        <f>IFERROR(SUMIFS('DETALLE CRONOLÓGICO'!$L$2:$L$4919,'DETALLE CRONOLÓGICO'!$A$2:$A$4919,$A2038)/$F2038,"")</f>
        <v/>
      </c>
      <c r="J2038" s="6">
        <f>IFERROR(SUMIFS('DETALLE CRONOLÓGICO'!$K$2:$K$4919,'DETALLE CRONOLÓGICO'!$A$2:$A$4919,$A2038)/$E2038,"")</f>
        <v/>
      </c>
      <c r="K2038" s="6">
        <f>_xlfn.MINIFS('DETALLE CRONOLÓGICO'!$K$2:$K$4919,'DETALLE CRONOLÓGICO'!$A$2:$A$4919,$A2038)</f>
        <v/>
      </c>
      <c r="L2038" s="6">
        <f>_xlfn.MAXIFS('DETALLE CRONOLÓGICO'!$K$2:$K$4919,'DETALLE CRONOLÓGICO'!$A$2:$A$4919,$A2038)</f>
        <v/>
      </c>
      <c r="M2038" s="6">
        <f>INDEX('DETALLE CRONOLÓGICO'!$K$2:$K$4919,MATCH($A2038,'DETALLE CRONOLÓGICO'!$A$2:$A$4919,0)+$E2038-1)</f>
        <v/>
      </c>
      <c r="N2038" s="7">
        <f>IFERROR($M2038/INDEX('DETALLE CRONOLÓGICO'!$K$2:$K$4919,MATCH($A2038,'DETALLE CRONOLÓGICO'!$A$2:$A$4919,0))-1,"")</f>
        <v/>
      </c>
      <c r="O2038" s="6">
        <f>IFERROR($I2038*3,"")</f>
        <v/>
      </c>
      <c r="P2038" s="6">
        <f>IFERROR($I2038*3.5,"")</f>
        <v/>
      </c>
      <c r="Q2038" s="6">
        <f>IFERROR($I2038*4,"")</f>
        <v/>
      </c>
      <c r="R2038" s="6" t="n">
        <v>975</v>
      </c>
      <c r="S2038" s="4" t="n">
        <v>1</v>
      </c>
      <c r="T2038" s="1" t="inlineStr">
        <is>
          <t>active</t>
        </is>
      </c>
      <c r="U2038" s="8" t="n"/>
      <c r="V2038" s="1" t="inlineStr">
        <is>
          <t>SIN PRECIO</t>
        </is>
      </c>
    </row>
    <row r="2039">
      <c r="A2039" s="1" t="inlineStr">
        <is>
          <t>87729331097505</t>
        </is>
      </c>
      <c r="B2039" s="1" t="inlineStr">
        <is>
          <t>PULSERA T BLANCA CON ZIRCONIA</t>
        </is>
      </c>
      <c r="C2039" s="1" t="inlineStr">
        <is>
          <t>16 cm</t>
        </is>
      </c>
      <c r="D2039" s="1" t="inlineStr">
        <is>
          <t>ZOEY</t>
        </is>
      </c>
      <c r="E2039" s="4">
        <f>COUNTIF('DETALLE CRONOLÓGICO'!$A$2:$A$4919,$A2039)</f>
        <v/>
      </c>
      <c r="F2039" s="4">
        <f>SUMIFS('DETALLE CRONOLÓGICO'!$I$2:$I$4919,'DETALLE CRONOLÓGICO'!$A$2:$A$4919,$A2039)</f>
        <v/>
      </c>
      <c r="G2039" s="1">
        <f>INDEX('DETALLE CRONOLÓGICO'!$D$2:$D$4919,MATCH($A2039,'DETALLE CRONOLÓGICO'!$A$2:$A$4919,0))</f>
        <v/>
      </c>
      <c r="H2039" s="1">
        <f>INDEX('DETALLE CRONOLÓGICO'!$D$2:$D$4919,MATCH($A2039,'DETALLE CRONOLÓGICO'!$A$2:$A$4919,0)+$E2039-1)</f>
        <v/>
      </c>
      <c r="I2039" s="5">
        <f>IFERROR(SUMIFS('DETALLE CRONOLÓGICO'!$L$2:$L$4919,'DETALLE CRONOLÓGICO'!$A$2:$A$4919,$A2039)/$F2039,"")</f>
        <v/>
      </c>
      <c r="J2039" s="6">
        <f>IFERROR(SUMIFS('DETALLE CRONOLÓGICO'!$K$2:$K$4919,'DETALLE CRONOLÓGICO'!$A$2:$A$4919,$A2039)/$E2039,"")</f>
        <v/>
      </c>
      <c r="K2039" s="6">
        <f>_xlfn.MINIFS('DETALLE CRONOLÓGICO'!$K$2:$K$4919,'DETALLE CRONOLÓGICO'!$A$2:$A$4919,$A2039)</f>
        <v/>
      </c>
      <c r="L2039" s="6">
        <f>_xlfn.MAXIFS('DETALLE CRONOLÓGICO'!$K$2:$K$4919,'DETALLE CRONOLÓGICO'!$A$2:$A$4919,$A2039)</f>
        <v/>
      </c>
      <c r="M2039" s="6">
        <f>INDEX('DETALLE CRONOLÓGICO'!$K$2:$K$4919,MATCH($A2039,'DETALLE CRONOLÓGICO'!$A$2:$A$4919,0)+$E2039-1)</f>
        <v/>
      </c>
      <c r="N2039" s="7">
        <f>IFERROR($M2039/INDEX('DETALLE CRONOLÓGICO'!$K$2:$K$4919,MATCH($A2039,'DETALLE CRONOLÓGICO'!$A$2:$A$4919,0))-1,"")</f>
        <v/>
      </c>
      <c r="O2039" s="6">
        <f>IFERROR($I2039*3,"")</f>
        <v/>
      </c>
      <c r="P2039" s="6">
        <f>IFERROR($I2039*3.5,"")</f>
        <v/>
      </c>
      <c r="Q2039" s="6">
        <f>IFERROR($I2039*4,"")</f>
        <v/>
      </c>
      <c r="R2039" s="6" t="n">
        <v>850</v>
      </c>
      <c r="S2039" s="4" t="n">
        <v>1</v>
      </c>
      <c r="T2039" s="1" t="inlineStr">
        <is>
          <t>active</t>
        </is>
      </c>
      <c r="U2039" s="8" t="n"/>
      <c r="V2039" s="1" t="inlineStr">
        <is>
          <t>SIN PRECIO</t>
        </is>
      </c>
    </row>
    <row r="2040">
      <c r="A2040" s="1" t="inlineStr">
        <is>
          <t>87893051058957</t>
        </is>
      </c>
      <c r="B2040" s="1" t="inlineStr">
        <is>
          <t>BOLSO YSL NUDE</t>
        </is>
      </c>
      <c r="C2040" s="1" t="inlineStr">
        <is>
          <t>Default Title</t>
        </is>
      </c>
      <c r="D2040" s="1" t="inlineStr">
        <is>
          <t>ZOEY</t>
        </is>
      </c>
      <c r="E2040" s="4">
        <f>COUNTIF('DETALLE CRONOLÓGICO'!$A$2:$A$4919,$A2040)</f>
        <v/>
      </c>
      <c r="F2040" s="4">
        <f>SUMIFS('DETALLE CRONOLÓGICO'!$I$2:$I$4919,'DETALLE CRONOLÓGICO'!$A$2:$A$4919,$A2040)</f>
        <v/>
      </c>
      <c r="G2040" s="1">
        <f>INDEX('DETALLE CRONOLÓGICO'!$D$2:$D$4919,MATCH($A2040,'DETALLE CRONOLÓGICO'!$A$2:$A$4919,0))</f>
        <v/>
      </c>
      <c r="H2040" s="1">
        <f>INDEX('DETALLE CRONOLÓGICO'!$D$2:$D$4919,MATCH($A2040,'DETALLE CRONOLÓGICO'!$A$2:$A$4919,0)+$E2040-1)</f>
        <v/>
      </c>
      <c r="I2040" s="5">
        <f>IFERROR(SUMIFS('DETALLE CRONOLÓGICO'!$L$2:$L$4919,'DETALLE CRONOLÓGICO'!$A$2:$A$4919,$A2040)/$F2040,"")</f>
        <v/>
      </c>
      <c r="J2040" s="6">
        <f>IFERROR(SUMIFS('DETALLE CRONOLÓGICO'!$K$2:$K$4919,'DETALLE CRONOLÓGICO'!$A$2:$A$4919,$A2040)/$E2040,"")</f>
        <v/>
      </c>
      <c r="K2040" s="6">
        <f>_xlfn.MINIFS('DETALLE CRONOLÓGICO'!$K$2:$K$4919,'DETALLE CRONOLÓGICO'!$A$2:$A$4919,$A2040)</f>
        <v/>
      </c>
      <c r="L2040" s="6">
        <f>_xlfn.MAXIFS('DETALLE CRONOLÓGICO'!$K$2:$K$4919,'DETALLE CRONOLÓGICO'!$A$2:$A$4919,$A2040)</f>
        <v/>
      </c>
      <c r="M2040" s="6">
        <f>INDEX('DETALLE CRONOLÓGICO'!$K$2:$K$4919,MATCH($A2040,'DETALLE CRONOLÓGICO'!$A$2:$A$4919,0)+$E2040-1)</f>
        <v/>
      </c>
      <c r="N2040" s="7">
        <f>IFERROR($M2040/INDEX('DETALLE CRONOLÓGICO'!$K$2:$K$4919,MATCH($A2040,'DETALLE CRONOLÓGICO'!$A$2:$A$4919,0))-1,"")</f>
        <v/>
      </c>
      <c r="O2040" s="6">
        <f>IFERROR($I2040*3,"")</f>
        <v/>
      </c>
      <c r="P2040" s="6">
        <f>IFERROR($I2040*3.5,"")</f>
        <v/>
      </c>
      <c r="Q2040" s="6">
        <f>IFERROR($I2040*4,"")</f>
        <v/>
      </c>
      <c r="R2040" s="6" t="n">
        <v>4699</v>
      </c>
      <c r="S2040" s="4" t="n">
        <v>3</v>
      </c>
      <c r="T2040" s="1" t="inlineStr">
        <is>
          <t>active</t>
        </is>
      </c>
      <c r="U2040" s="8" t="n"/>
      <c r="V2040" s="1" t="inlineStr">
        <is>
          <t>SIN PRECIO</t>
        </is>
      </c>
    </row>
    <row r="2041">
      <c r="A2041" s="1" t="inlineStr">
        <is>
          <t>87904131075277</t>
        </is>
      </c>
      <c r="B2041" s="1" t="inlineStr">
        <is>
          <t>GORRA A BLACK</t>
        </is>
      </c>
      <c r="C2041" s="1" t="inlineStr">
        <is>
          <t>Default Title</t>
        </is>
      </c>
      <c r="D2041" s="1" t="inlineStr">
        <is>
          <t>CYNTHIA / ZOEY</t>
        </is>
      </c>
      <c r="E2041" s="4">
        <f>COUNTIF('DETALLE CRONOLÓGICO'!$A$2:$A$4919,$A2041)</f>
        <v/>
      </c>
      <c r="F2041" s="4">
        <f>SUMIFS('DETALLE CRONOLÓGICO'!$I$2:$I$4919,'DETALLE CRONOLÓGICO'!$A$2:$A$4919,$A2041)</f>
        <v/>
      </c>
      <c r="G2041" s="1">
        <f>INDEX('DETALLE CRONOLÓGICO'!$D$2:$D$4919,MATCH($A2041,'DETALLE CRONOLÓGICO'!$A$2:$A$4919,0))</f>
        <v/>
      </c>
      <c r="H2041" s="1">
        <f>INDEX('DETALLE CRONOLÓGICO'!$D$2:$D$4919,MATCH($A2041,'DETALLE CRONOLÓGICO'!$A$2:$A$4919,0)+$E2041-1)</f>
        <v/>
      </c>
      <c r="I2041" s="5">
        <f>IFERROR(SUMIFS('DETALLE CRONOLÓGICO'!$L$2:$L$4919,'DETALLE CRONOLÓGICO'!$A$2:$A$4919,$A2041)/$F2041,"")</f>
        <v/>
      </c>
      <c r="J2041" s="6">
        <f>IFERROR(SUMIFS('DETALLE CRONOLÓGICO'!$K$2:$K$4919,'DETALLE CRONOLÓGICO'!$A$2:$A$4919,$A2041)/$E2041,"")</f>
        <v/>
      </c>
      <c r="K2041" s="6">
        <f>_xlfn.MINIFS('DETALLE CRONOLÓGICO'!$K$2:$K$4919,'DETALLE CRONOLÓGICO'!$A$2:$A$4919,$A2041)</f>
        <v/>
      </c>
      <c r="L2041" s="6">
        <f>_xlfn.MAXIFS('DETALLE CRONOLÓGICO'!$K$2:$K$4919,'DETALLE CRONOLÓGICO'!$A$2:$A$4919,$A2041)</f>
        <v/>
      </c>
      <c r="M2041" s="6">
        <f>INDEX('DETALLE CRONOLÓGICO'!$K$2:$K$4919,MATCH($A2041,'DETALLE CRONOLÓGICO'!$A$2:$A$4919,0)+$E2041-1)</f>
        <v/>
      </c>
      <c r="N2041" s="7">
        <f>IFERROR($M2041/INDEX('DETALLE CRONOLÓGICO'!$K$2:$K$4919,MATCH($A2041,'DETALLE CRONOLÓGICO'!$A$2:$A$4919,0))-1,"")</f>
        <v/>
      </c>
      <c r="O2041" s="6">
        <f>IFERROR($I2041*3,"")</f>
        <v/>
      </c>
      <c r="P2041" s="6">
        <f>IFERROR($I2041*3.5,"")</f>
        <v/>
      </c>
      <c r="Q2041" s="6">
        <f>IFERROR($I2041*4,"")</f>
        <v/>
      </c>
      <c r="R2041" s="6" t="n">
        <v>1069</v>
      </c>
      <c r="S2041" s="4" t="n">
        <v>3</v>
      </c>
      <c r="T2041" s="1" t="inlineStr">
        <is>
          <t>active</t>
        </is>
      </c>
      <c r="U2041" s="8" t="n"/>
      <c r="V2041" s="1" t="inlineStr">
        <is>
          <t>SIN PRECIO</t>
        </is>
      </c>
    </row>
    <row r="2042">
      <c r="A2042" s="1" t="inlineStr">
        <is>
          <t>88016261004301</t>
        </is>
      </c>
      <c r="B2042" s="1" t="inlineStr">
        <is>
          <t>SUDADERA ALLS BLACK</t>
        </is>
      </c>
      <c r="C2042" s="1" t="inlineStr">
        <is>
          <t>L</t>
        </is>
      </c>
      <c r="D2042" s="1" t="inlineStr">
        <is>
          <t>ZOEY</t>
        </is>
      </c>
      <c r="E2042" s="4">
        <f>COUNTIF('DETALLE CRONOLÓGICO'!$A$2:$A$4919,$A2042)</f>
        <v/>
      </c>
      <c r="F2042" s="4">
        <f>SUMIFS('DETALLE CRONOLÓGICO'!$I$2:$I$4919,'DETALLE CRONOLÓGICO'!$A$2:$A$4919,$A2042)</f>
        <v/>
      </c>
      <c r="G2042" s="1">
        <f>INDEX('DETALLE CRONOLÓGICO'!$D$2:$D$4919,MATCH($A2042,'DETALLE CRONOLÓGICO'!$A$2:$A$4919,0))</f>
        <v/>
      </c>
      <c r="H2042" s="1">
        <f>INDEX('DETALLE CRONOLÓGICO'!$D$2:$D$4919,MATCH($A2042,'DETALLE CRONOLÓGICO'!$A$2:$A$4919,0)+$E2042-1)</f>
        <v/>
      </c>
      <c r="I2042" s="5">
        <f>IFERROR(SUMIFS('DETALLE CRONOLÓGICO'!$L$2:$L$4919,'DETALLE CRONOLÓGICO'!$A$2:$A$4919,$A2042)/$F2042,"")</f>
        <v/>
      </c>
      <c r="J2042" s="6">
        <f>IFERROR(SUMIFS('DETALLE CRONOLÓGICO'!$K$2:$K$4919,'DETALLE CRONOLÓGICO'!$A$2:$A$4919,$A2042)/$E2042,"")</f>
        <v/>
      </c>
      <c r="K2042" s="6">
        <f>_xlfn.MINIFS('DETALLE CRONOLÓGICO'!$K$2:$K$4919,'DETALLE CRONOLÓGICO'!$A$2:$A$4919,$A2042)</f>
        <v/>
      </c>
      <c r="L2042" s="6">
        <f>_xlfn.MAXIFS('DETALLE CRONOLÓGICO'!$K$2:$K$4919,'DETALLE CRONOLÓGICO'!$A$2:$A$4919,$A2042)</f>
        <v/>
      </c>
      <c r="M2042" s="6">
        <f>INDEX('DETALLE CRONOLÓGICO'!$K$2:$K$4919,MATCH($A2042,'DETALLE CRONOLÓGICO'!$A$2:$A$4919,0)+$E2042-1)</f>
        <v/>
      </c>
      <c r="N2042" s="7">
        <f>IFERROR($M2042/INDEX('DETALLE CRONOLÓGICO'!$K$2:$K$4919,MATCH($A2042,'DETALLE CRONOLÓGICO'!$A$2:$A$4919,0))-1,"")</f>
        <v/>
      </c>
      <c r="O2042" s="6">
        <f>IFERROR($I2042*3,"")</f>
        <v/>
      </c>
      <c r="P2042" s="6">
        <f>IFERROR($I2042*3.5,"")</f>
        <v/>
      </c>
      <c r="Q2042" s="6">
        <f>IFERROR($I2042*4,"")</f>
        <v/>
      </c>
      <c r="R2042" s="6" t="n">
        <v>2536</v>
      </c>
      <c r="S2042" s="4" t="n">
        <v>0</v>
      </c>
      <c r="T2042" s="1" t="inlineStr">
        <is>
          <t>active</t>
        </is>
      </c>
      <c r="U2042" s="8" t="n"/>
      <c r="V2042" s="1" t="inlineStr">
        <is>
          <t>SIN PRECIO</t>
        </is>
      </c>
    </row>
    <row r="2043">
      <c r="A2043" s="1" t="inlineStr">
        <is>
          <t>88016261004302</t>
        </is>
      </c>
      <c r="B2043" s="1" t="n"/>
      <c r="C2043" s="1" t="inlineStr">
        <is>
          <t>M</t>
        </is>
      </c>
      <c r="D2043" s="1" t="inlineStr">
        <is>
          <t>ZOEY</t>
        </is>
      </c>
      <c r="E2043" s="4">
        <f>COUNTIF('DETALLE CRONOLÓGICO'!$A$2:$A$4919,$A2043)</f>
        <v/>
      </c>
      <c r="F2043" s="4">
        <f>SUMIFS('DETALLE CRONOLÓGICO'!$I$2:$I$4919,'DETALLE CRONOLÓGICO'!$A$2:$A$4919,$A2043)</f>
        <v/>
      </c>
      <c r="G2043" s="1">
        <f>INDEX('DETALLE CRONOLÓGICO'!$D$2:$D$4919,MATCH($A2043,'DETALLE CRONOLÓGICO'!$A$2:$A$4919,0))</f>
        <v/>
      </c>
      <c r="H2043" s="1">
        <f>INDEX('DETALLE CRONOLÓGICO'!$D$2:$D$4919,MATCH($A2043,'DETALLE CRONOLÓGICO'!$A$2:$A$4919,0)+$E2043-1)</f>
        <v/>
      </c>
      <c r="I2043" s="5">
        <f>IFERROR(SUMIFS('DETALLE CRONOLÓGICO'!$L$2:$L$4919,'DETALLE CRONOLÓGICO'!$A$2:$A$4919,$A2043)/$F2043,"")</f>
        <v/>
      </c>
      <c r="J2043" s="6">
        <f>IFERROR(SUMIFS('DETALLE CRONOLÓGICO'!$K$2:$K$4919,'DETALLE CRONOLÓGICO'!$A$2:$A$4919,$A2043)/$E2043,"")</f>
        <v/>
      </c>
      <c r="K2043" s="6">
        <f>_xlfn.MINIFS('DETALLE CRONOLÓGICO'!$K$2:$K$4919,'DETALLE CRONOLÓGICO'!$A$2:$A$4919,$A2043)</f>
        <v/>
      </c>
      <c r="L2043" s="6">
        <f>_xlfn.MAXIFS('DETALLE CRONOLÓGICO'!$K$2:$K$4919,'DETALLE CRONOLÓGICO'!$A$2:$A$4919,$A2043)</f>
        <v/>
      </c>
      <c r="M2043" s="6">
        <f>INDEX('DETALLE CRONOLÓGICO'!$K$2:$K$4919,MATCH($A2043,'DETALLE CRONOLÓGICO'!$A$2:$A$4919,0)+$E2043-1)</f>
        <v/>
      </c>
      <c r="N2043" s="7">
        <f>IFERROR($M2043/INDEX('DETALLE CRONOLÓGICO'!$K$2:$K$4919,MATCH($A2043,'DETALLE CRONOLÓGICO'!$A$2:$A$4919,0))-1,"")</f>
        <v/>
      </c>
      <c r="O2043" s="6">
        <f>IFERROR($I2043*3,"")</f>
        <v/>
      </c>
      <c r="P2043" s="6">
        <f>IFERROR($I2043*3.5,"")</f>
        <v/>
      </c>
      <c r="Q2043" s="6">
        <f>IFERROR($I2043*4,"")</f>
        <v/>
      </c>
      <c r="R2043" s="6" t="n">
        <v>2898.67</v>
      </c>
      <c r="S2043" s="4" t="n">
        <v>0</v>
      </c>
      <c r="T2043" s="1" t="inlineStr">
        <is>
          <t>active</t>
        </is>
      </c>
      <c r="U2043" s="8" t="n"/>
      <c r="V2043" s="1" t="inlineStr">
        <is>
          <t>SIN PRECIO</t>
        </is>
      </c>
    </row>
    <row r="2044">
      <c r="A2044" s="1" t="inlineStr">
        <is>
          <t>88201821024717</t>
        </is>
      </c>
      <c r="B2044" s="1" t="inlineStr">
        <is>
          <t>ANILLO LV SILVER MICROZIRCONIAS</t>
        </is>
      </c>
      <c r="C2044" s="1" t="n">
        <v>8</v>
      </c>
      <c r="D2044" s="1" t="inlineStr">
        <is>
          <t>ZOEY</t>
        </is>
      </c>
      <c r="E2044" s="4">
        <f>COUNTIF('DETALLE CRONOLÓGICO'!$A$2:$A$4919,$A2044)</f>
        <v/>
      </c>
      <c r="F2044" s="4">
        <f>SUMIFS('DETALLE CRONOLÓGICO'!$I$2:$I$4919,'DETALLE CRONOLÓGICO'!$A$2:$A$4919,$A2044)</f>
        <v/>
      </c>
      <c r="G2044" s="1">
        <f>INDEX('DETALLE CRONOLÓGICO'!$D$2:$D$4919,MATCH($A2044,'DETALLE CRONOLÓGICO'!$A$2:$A$4919,0))</f>
        <v/>
      </c>
      <c r="H2044" s="1">
        <f>INDEX('DETALLE CRONOLÓGICO'!$D$2:$D$4919,MATCH($A2044,'DETALLE CRONOLÓGICO'!$A$2:$A$4919,0)+$E2044-1)</f>
        <v/>
      </c>
      <c r="I2044" s="5">
        <f>IFERROR(SUMIFS('DETALLE CRONOLÓGICO'!$L$2:$L$4919,'DETALLE CRONOLÓGICO'!$A$2:$A$4919,$A2044)/$F2044,"")</f>
        <v/>
      </c>
      <c r="J2044" s="6">
        <f>IFERROR(SUMIFS('DETALLE CRONOLÓGICO'!$K$2:$K$4919,'DETALLE CRONOLÓGICO'!$A$2:$A$4919,$A2044)/$E2044,"")</f>
        <v/>
      </c>
      <c r="K2044" s="6">
        <f>_xlfn.MINIFS('DETALLE CRONOLÓGICO'!$K$2:$K$4919,'DETALLE CRONOLÓGICO'!$A$2:$A$4919,$A2044)</f>
        <v/>
      </c>
      <c r="L2044" s="6">
        <f>_xlfn.MAXIFS('DETALLE CRONOLÓGICO'!$K$2:$K$4919,'DETALLE CRONOLÓGICO'!$A$2:$A$4919,$A2044)</f>
        <v/>
      </c>
      <c r="M2044" s="6">
        <f>INDEX('DETALLE CRONOLÓGICO'!$K$2:$K$4919,MATCH($A2044,'DETALLE CRONOLÓGICO'!$A$2:$A$4919,0)+$E2044-1)</f>
        <v/>
      </c>
      <c r="N2044" s="7">
        <f>IFERROR($M2044/INDEX('DETALLE CRONOLÓGICO'!$K$2:$K$4919,MATCH($A2044,'DETALLE CRONOLÓGICO'!$A$2:$A$4919,0))-1,"")</f>
        <v/>
      </c>
      <c r="O2044" s="6">
        <f>IFERROR($I2044*3,"")</f>
        <v/>
      </c>
      <c r="P2044" s="6">
        <f>IFERROR($I2044*3.5,"")</f>
        <v/>
      </c>
      <c r="Q2044" s="6">
        <f>IFERROR($I2044*4,"")</f>
        <v/>
      </c>
      <c r="R2044" s="6" t="n">
        <v>652</v>
      </c>
      <c r="S2044" s="4" t="n">
        <v>3</v>
      </c>
      <c r="T2044" s="1" t="inlineStr">
        <is>
          <t>active</t>
        </is>
      </c>
      <c r="U2044" s="8" t="n"/>
      <c r="V2044" s="1" t="inlineStr">
        <is>
          <t>SIN PRECIO</t>
        </is>
      </c>
    </row>
    <row r="2045">
      <c r="A2045" s="1" t="inlineStr">
        <is>
          <t>88621311058381</t>
        </is>
      </c>
      <c r="B2045" s="1" t="inlineStr">
        <is>
          <t>PULSERA LOVE UNLIMITED GOLD</t>
        </is>
      </c>
      <c r="C2045" s="1" t="inlineStr">
        <is>
          <t>17</t>
        </is>
      </c>
      <c r="D2045" s="1" t="inlineStr">
        <is>
          <t>HAIFENG</t>
        </is>
      </c>
      <c r="E2045" s="4">
        <f>COUNTIF('DETALLE CRONOLÓGICO'!$A$2:$A$4919,$A2045)</f>
        <v/>
      </c>
      <c r="F2045" s="4">
        <f>SUMIFS('DETALLE CRONOLÓGICO'!$I$2:$I$4919,'DETALLE CRONOLÓGICO'!$A$2:$A$4919,$A2045)</f>
        <v/>
      </c>
      <c r="G2045" s="1">
        <f>INDEX('DETALLE CRONOLÓGICO'!$D$2:$D$4919,MATCH($A2045,'DETALLE CRONOLÓGICO'!$A$2:$A$4919,0))</f>
        <v/>
      </c>
      <c r="H2045" s="1">
        <f>INDEX('DETALLE CRONOLÓGICO'!$D$2:$D$4919,MATCH($A2045,'DETALLE CRONOLÓGICO'!$A$2:$A$4919,0)+$E2045-1)</f>
        <v/>
      </c>
      <c r="I2045" s="5">
        <f>IFERROR(SUMIFS('DETALLE CRONOLÓGICO'!$L$2:$L$4919,'DETALLE CRONOLÓGICO'!$A$2:$A$4919,$A2045)/$F2045,"")</f>
        <v/>
      </c>
      <c r="J2045" s="6">
        <f>IFERROR(SUMIFS('DETALLE CRONOLÓGICO'!$K$2:$K$4919,'DETALLE CRONOLÓGICO'!$A$2:$A$4919,$A2045)/$E2045,"")</f>
        <v/>
      </c>
      <c r="K2045" s="6">
        <f>_xlfn.MINIFS('DETALLE CRONOLÓGICO'!$K$2:$K$4919,'DETALLE CRONOLÓGICO'!$A$2:$A$4919,$A2045)</f>
        <v/>
      </c>
      <c r="L2045" s="6">
        <f>_xlfn.MAXIFS('DETALLE CRONOLÓGICO'!$K$2:$K$4919,'DETALLE CRONOLÓGICO'!$A$2:$A$4919,$A2045)</f>
        <v/>
      </c>
      <c r="M2045" s="6">
        <f>INDEX('DETALLE CRONOLÓGICO'!$K$2:$K$4919,MATCH($A2045,'DETALLE CRONOLÓGICO'!$A$2:$A$4919,0)+$E2045-1)</f>
        <v/>
      </c>
      <c r="N2045" s="7">
        <f>IFERROR($M2045/INDEX('DETALLE CRONOLÓGICO'!$K$2:$K$4919,MATCH($A2045,'DETALLE CRONOLÓGICO'!$A$2:$A$4919,0))-1,"")</f>
        <v/>
      </c>
      <c r="O2045" s="6">
        <f>IFERROR($I2045*3,"")</f>
        <v/>
      </c>
      <c r="P2045" s="6">
        <f>IFERROR($I2045*3.5,"")</f>
        <v/>
      </c>
      <c r="Q2045" s="6">
        <f>IFERROR($I2045*4,"")</f>
        <v/>
      </c>
      <c r="R2045" s="6" t="n">
        <v>1399</v>
      </c>
      <c r="S2045" s="4" t="n">
        <v>0</v>
      </c>
      <c r="T2045" s="1" t="inlineStr">
        <is>
          <t>active</t>
        </is>
      </c>
      <c r="U2045" s="8" t="n"/>
      <c r="V2045" s="1" t="inlineStr">
        <is>
          <t>SIN PRECIO</t>
        </is>
      </c>
    </row>
    <row r="2046">
      <c r="A2046" s="1" t="inlineStr">
        <is>
          <t>89205551037229</t>
        </is>
      </c>
      <c r="B2046" s="1" t="inlineStr">
        <is>
          <t>ANILLO KNOT SILVER ANCHO</t>
        </is>
      </c>
      <c r="C2046" s="1" t="inlineStr">
        <is>
          <t>6</t>
        </is>
      </c>
      <c r="D2046" s="1" t="inlineStr">
        <is>
          <t>HAIFENG</t>
        </is>
      </c>
      <c r="E2046" s="4">
        <f>COUNTIF('DETALLE CRONOLÓGICO'!$A$2:$A$4919,$A2046)</f>
        <v/>
      </c>
      <c r="F2046" s="4">
        <f>SUMIFS('DETALLE CRONOLÓGICO'!$I$2:$I$4919,'DETALLE CRONOLÓGICO'!$A$2:$A$4919,$A2046)</f>
        <v/>
      </c>
      <c r="G2046" s="1">
        <f>INDEX('DETALLE CRONOLÓGICO'!$D$2:$D$4919,MATCH($A2046,'DETALLE CRONOLÓGICO'!$A$2:$A$4919,0))</f>
        <v/>
      </c>
      <c r="H2046" s="1">
        <f>INDEX('DETALLE CRONOLÓGICO'!$D$2:$D$4919,MATCH($A2046,'DETALLE CRONOLÓGICO'!$A$2:$A$4919,0)+$E2046-1)</f>
        <v/>
      </c>
      <c r="I2046" s="5">
        <f>IFERROR(SUMIFS('DETALLE CRONOLÓGICO'!$L$2:$L$4919,'DETALLE CRONOLÓGICO'!$A$2:$A$4919,$A2046)/$F2046,"")</f>
        <v/>
      </c>
      <c r="J2046" s="6">
        <f>IFERROR(SUMIFS('DETALLE CRONOLÓGICO'!$K$2:$K$4919,'DETALLE CRONOLÓGICO'!$A$2:$A$4919,$A2046)/$E2046,"")</f>
        <v/>
      </c>
      <c r="K2046" s="6">
        <f>_xlfn.MINIFS('DETALLE CRONOLÓGICO'!$K$2:$K$4919,'DETALLE CRONOLÓGICO'!$A$2:$A$4919,$A2046)</f>
        <v/>
      </c>
      <c r="L2046" s="6">
        <f>_xlfn.MAXIFS('DETALLE CRONOLÓGICO'!$K$2:$K$4919,'DETALLE CRONOLÓGICO'!$A$2:$A$4919,$A2046)</f>
        <v/>
      </c>
      <c r="M2046" s="6">
        <f>INDEX('DETALLE CRONOLÓGICO'!$K$2:$K$4919,MATCH($A2046,'DETALLE CRONOLÓGICO'!$A$2:$A$4919,0)+$E2046-1)</f>
        <v/>
      </c>
      <c r="N2046" s="7">
        <f>IFERROR($M2046/INDEX('DETALLE CRONOLÓGICO'!$K$2:$K$4919,MATCH($A2046,'DETALLE CRONOLÓGICO'!$A$2:$A$4919,0))-1,"")</f>
        <v/>
      </c>
      <c r="O2046" s="6">
        <f>IFERROR($I2046*3,"")</f>
        <v/>
      </c>
      <c r="P2046" s="6">
        <f>IFERROR($I2046*3.5,"")</f>
        <v/>
      </c>
      <c r="Q2046" s="6">
        <f>IFERROR($I2046*4,"")</f>
        <v/>
      </c>
      <c r="R2046" s="6" t="n">
        <v>450</v>
      </c>
      <c r="S2046" s="4" t="n">
        <v>2</v>
      </c>
      <c r="T2046" s="1" t="inlineStr">
        <is>
          <t>active</t>
        </is>
      </c>
      <c r="U2046" s="8" t="n"/>
      <c r="V2046" s="1" t="inlineStr">
        <is>
          <t>SIN PRECIO</t>
        </is>
      </c>
    </row>
    <row r="2047">
      <c r="A2047" s="1" t="inlineStr">
        <is>
          <t>89205551169997</t>
        </is>
      </c>
      <c r="B2047" s="1" t="inlineStr">
        <is>
          <t>ANILLO KNOT SILVER</t>
        </is>
      </c>
      <c r="C2047" s="1" t="n">
        <v>7</v>
      </c>
      <c r="D2047" s="1" t="inlineStr">
        <is>
          <t>HAIFENG</t>
        </is>
      </c>
      <c r="E2047" s="4">
        <f>COUNTIF('DETALLE CRONOLÓGICO'!$A$2:$A$4919,$A2047)</f>
        <v/>
      </c>
      <c r="F2047" s="4">
        <f>SUMIFS('DETALLE CRONOLÓGICO'!$I$2:$I$4919,'DETALLE CRONOLÓGICO'!$A$2:$A$4919,$A2047)</f>
        <v/>
      </c>
      <c r="G2047" s="1">
        <f>INDEX('DETALLE CRONOLÓGICO'!$D$2:$D$4919,MATCH($A2047,'DETALLE CRONOLÓGICO'!$A$2:$A$4919,0))</f>
        <v/>
      </c>
      <c r="H2047" s="1">
        <f>INDEX('DETALLE CRONOLÓGICO'!$D$2:$D$4919,MATCH($A2047,'DETALLE CRONOLÓGICO'!$A$2:$A$4919,0)+$E2047-1)</f>
        <v/>
      </c>
      <c r="I2047" s="5">
        <f>IFERROR(SUMIFS('DETALLE CRONOLÓGICO'!$L$2:$L$4919,'DETALLE CRONOLÓGICO'!$A$2:$A$4919,$A2047)/$F2047,"")</f>
        <v/>
      </c>
      <c r="J2047" s="6">
        <f>IFERROR(SUMIFS('DETALLE CRONOLÓGICO'!$K$2:$K$4919,'DETALLE CRONOLÓGICO'!$A$2:$A$4919,$A2047)/$E2047,"")</f>
        <v/>
      </c>
      <c r="K2047" s="6">
        <f>_xlfn.MINIFS('DETALLE CRONOLÓGICO'!$K$2:$K$4919,'DETALLE CRONOLÓGICO'!$A$2:$A$4919,$A2047)</f>
        <v/>
      </c>
      <c r="L2047" s="6">
        <f>_xlfn.MAXIFS('DETALLE CRONOLÓGICO'!$K$2:$K$4919,'DETALLE CRONOLÓGICO'!$A$2:$A$4919,$A2047)</f>
        <v/>
      </c>
      <c r="M2047" s="6">
        <f>INDEX('DETALLE CRONOLÓGICO'!$K$2:$K$4919,MATCH($A2047,'DETALLE CRONOLÓGICO'!$A$2:$A$4919,0)+$E2047-1)</f>
        <v/>
      </c>
      <c r="N2047" s="7">
        <f>IFERROR($M2047/INDEX('DETALLE CRONOLÓGICO'!$K$2:$K$4919,MATCH($A2047,'DETALLE CRONOLÓGICO'!$A$2:$A$4919,0))-1,"")</f>
        <v/>
      </c>
      <c r="O2047" s="6">
        <f>IFERROR($I2047*3,"")</f>
        <v/>
      </c>
      <c r="P2047" s="6">
        <f>IFERROR($I2047*3.5,"")</f>
        <v/>
      </c>
      <c r="Q2047" s="6">
        <f>IFERROR($I2047*4,"")</f>
        <v/>
      </c>
      <c r="R2047" s="6" t="n">
        <v>450</v>
      </c>
      <c r="S2047" s="4" t="n">
        <v>0</v>
      </c>
      <c r="T2047" s="1" t="inlineStr">
        <is>
          <t>active</t>
        </is>
      </c>
      <c r="U2047" s="8" t="n"/>
      <c r="V2047" s="1" t="inlineStr">
        <is>
          <t>SIN PRECIO</t>
        </is>
      </c>
    </row>
    <row r="2048">
      <c r="A2048" s="1" t="inlineStr">
        <is>
          <t>89205551202765</t>
        </is>
      </c>
      <c r="B2048" s="1" t="inlineStr">
        <is>
          <t>ANILLO KNOT SILVER ANCHO</t>
        </is>
      </c>
      <c r="C2048" s="1" t="inlineStr">
        <is>
          <t>8</t>
        </is>
      </c>
      <c r="D2048" s="1" t="inlineStr">
        <is>
          <t>HAIFENG</t>
        </is>
      </c>
      <c r="E2048" s="4">
        <f>COUNTIF('DETALLE CRONOLÓGICO'!$A$2:$A$4919,$A2048)</f>
        <v/>
      </c>
      <c r="F2048" s="4">
        <f>SUMIFS('DETALLE CRONOLÓGICO'!$I$2:$I$4919,'DETALLE CRONOLÓGICO'!$A$2:$A$4919,$A2048)</f>
        <v/>
      </c>
      <c r="G2048" s="1">
        <f>INDEX('DETALLE CRONOLÓGICO'!$D$2:$D$4919,MATCH($A2048,'DETALLE CRONOLÓGICO'!$A$2:$A$4919,0))</f>
        <v/>
      </c>
      <c r="H2048" s="1">
        <f>INDEX('DETALLE CRONOLÓGICO'!$D$2:$D$4919,MATCH($A2048,'DETALLE CRONOLÓGICO'!$A$2:$A$4919,0)+$E2048-1)</f>
        <v/>
      </c>
      <c r="I2048" s="5">
        <f>IFERROR(SUMIFS('DETALLE CRONOLÓGICO'!$L$2:$L$4919,'DETALLE CRONOLÓGICO'!$A$2:$A$4919,$A2048)/$F2048,"")</f>
        <v/>
      </c>
      <c r="J2048" s="6">
        <f>IFERROR(SUMIFS('DETALLE CRONOLÓGICO'!$K$2:$K$4919,'DETALLE CRONOLÓGICO'!$A$2:$A$4919,$A2048)/$E2048,"")</f>
        <v/>
      </c>
      <c r="K2048" s="6">
        <f>_xlfn.MINIFS('DETALLE CRONOLÓGICO'!$K$2:$K$4919,'DETALLE CRONOLÓGICO'!$A$2:$A$4919,$A2048)</f>
        <v/>
      </c>
      <c r="L2048" s="6">
        <f>_xlfn.MAXIFS('DETALLE CRONOLÓGICO'!$K$2:$K$4919,'DETALLE CRONOLÓGICO'!$A$2:$A$4919,$A2048)</f>
        <v/>
      </c>
      <c r="M2048" s="6">
        <f>INDEX('DETALLE CRONOLÓGICO'!$K$2:$K$4919,MATCH($A2048,'DETALLE CRONOLÓGICO'!$A$2:$A$4919,0)+$E2048-1)</f>
        <v/>
      </c>
      <c r="N2048" s="7">
        <f>IFERROR($M2048/INDEX('DETALLE CRONOLÓGICO'!$K$2:$K$4919,MATCH($A2048,'DETALLE CRONOLÓGICO'!$A$2:$A$4919,0))-1,"")</f>
        <v/>
      </c>
      <c r="O2048" s="6">
        <f>IFERROR($I2048*3,"")</f>
        <v/>
      </c>
      <c r="P2048" s="6">
        <f>IFERROR($I2048*3.5,"")</f>
        <v/>
      </c>
      <c r="Q2048" s="6">
        <f>IFERROR($I2048*4,"")</f>
        <v/>
      </c>
      <c r="R2048" s="6" t="n">
        <v>450</v>
      </c>
      <c r="S2048" s="4" t="n">
        <v>1</v>
      </c>
      <c r="T2048" s="1" t="inlineStr">
        <is>
          <t>active</t>
        </is>
      </c>
      <c r="U2048" s="8" t="n"/>
      <c r="V2048" s="1" t="inlineStr">
        <is>
          <t>SIN PRECIO</t>
        </is>
      </c>
    </row>
    <row r="2049">
      <c r="A2049" s="1" t="inlineStr">
        <is>
          <t>89205551347661</t>
        </is>
      </c>
      <c r="B2049" s="1" t="inlineStr">
        <is>
          <t>ANILLO KNOT SILVER ZIRCONIAS</t>
        </is>
      </c>
      <c r="C2049" s="1" t="inlineStr">
        <is>
          <t>6</t>
        </is>
      </c>
      <c r="D2049" s="1" t="inlineStr">
        <is>
          <t>HAIFENG</t>
        </is>
      </c>
      <c r="E2049" s="4">
        <f>COUNTIF('DETALLE CRONOLÓGICO'!$A$2:$A$4919,$A2049)</f>
        <v/>
      </c>
      <c r="F2049" s="4">
        <f>SUMIFS('DETALLE CRONOLÓGICO'!$I$2:$I$4919,'DETALLE CRONOLÓGICO'!$A$2:$A$4919,$A2049)</f>
        <v/>
      </c>
      <c r="G2049" s="1">
        <f>INDEX('DETALLE CRONOLÓGICO'!$D$2:$D$4919,MATCH($A2049,'DETALLE CRONOLÓGICO'!$A$2:$A$4919,0))</f>
        <v/>
      </c>
      <c r="H2049" s="1">
        <f>INDEX('DETALLE CRONOLÓGICO'!$D$2:$D$4919,MATCH($A2049,'DETALLE CRONOLÓGICO'!$A$2:$A$4919,0)+$E2049-1)</f>
        <v/>
      </c>
      <c r="I2049" s="5">
        <f>IFERROR(SUMIFS('DETALLE CRONOLÓGICO'!$L$2:$L$4919,'DETALLE CRONOLÓGICO'!$A$2:$A$4919,$A2049)/$F2049,"")</f>
        <v/>
      </c>
      <c r="J2049" s="6">
        <f>IFERROR(SUMIFS('DETALLE CRONOLÓGICO'!$K$2:$K$4919,'DETALLE CRONOLÓGICO'!$A$2:$A$4919,$A2049)/$E2049,"")</f>
        <v/>
      </c>
      <c r="K2049" s="6">
        <f>_xlfn.MINIFS('DETALLE CRONOLÓGICO'!$K$2:$K$4919,'DETALLE CRONOLÓGICO'!$A$2:$A$4919,$A2049)</f>
        <v/>
      </c>
      <c r="L2049" s="6">
        <f>_xlfn.MAXIFS('DETALLE CRONOLÓGICO'!$K$2:$K$4919,'DETALLE CRONOLÓGICO'!$A$2:$A$4919,$A2049)</f>
        <v/>
      </c>
      <c r="M2049" s="6">
        <f>INDEX('DETALLE CRONOLÓGICO'!$K$2:$K$4919,MATCH($A2049,'DETALLE CRONOLÓGICO'!$A$2:$A$4919,0)+$E2049-1)</f>
        <v/>
      </c>
      <c r="N2049" s="7">
        <f>IFERROR($M2049/INDEX('DETALLE CRONOLÓGICO'!$K$2:$K$4919,MATCH($A2049,'DETALLE CRONOLÓGICO'!$A$2:$A$4919,0))-1,"")</f>
        <v/>
      </c>
      <c r="O2049" s="6">
        <f>IFERROR($I2049*3,"")</f>
        <v/>
      </c>
      <c r="P2049" s="6">
        <f>IFERROR($I2049*3.5,"")</f>
        <v/>
      </c>
      <c r="Q2049" s="6">
        <f>IFERROR($I2049*4,"")</f>
        <v/>
      </c>
      <c r="R2049" s="6" t="n">
        <v>550</v>
      </c>
      <c r="S2049" s="4" t="n">
        <v>3</v>
      </c>
      <c r="T2049" s="1" t="inlineStr">
        <is>
          <t>active</t>
        </is>
      </c>
      <c r="U2049" s="8" t="n"/>
      <c r="V2049" s="1" t="inlineStr">
        <is>
          <t>SIN PRECIO</t>
        </is>
      </c>
    </row>
    <row r="2050">
      <c r="A2050" s="1" t="inlineStr">
        <is>
          <t>89205551480429</t>
        </is>
      </c>
      <c r="B2050" s="1" t="inlineStr">
        <is>
          <t>ANILLO KNOT SILVER ZIRCONIAS</t>
        </is>
      </c>
      <c r="C2050" s="1" t="n">
        <v>7</v>
      </c>
      <c r="D2050" s="1" t="inlineStr">
        <is>
          <t>HAIFENG</t>
        </is>
      </c>
      <c r="E2050" s="4">
        <f>COUNTIF('DETALLE CRONOLÓGICO'!$A$2:$A$4919,$A2050)</f>
        <v/>
      </c>
      <c r="F2050" s="4">
        <f>SUMIFS('DETALLE CRONOLÓGICO'!$I$2:$I$4919,'DETALLE CRONOLÓGICO'!$A$2:$A$4919,$A2050)</f>
        <v/>
      </c>
      <c r="G2050" s="1">
        <f>INDEX('DETALLE CRONOLÓGICO'!$D$2:$D$4919,MATCH($A2050,'DETALLE CRONOLÓGICO'!$A$2:$A$4919,0))</f>
        <v/>
      </c>
      <c r="H2050" s="1">
        <f>INDEX('DETALLE CRONOLÓGICO'!$D$2:$D$4919,MATCH($A2050,'DETALLE CRONOLÓGICO'!$A$2:$A$4919,0)+$E2050-1)</f>
        <v/>
      </c>
      <c r="I2050" s="5">
        <f>IFERROR(SUMIFS('DETALLE CRONOLÓGICO'!$L$2:$L$4919,'DETALLE CRONOLÓGICO'!$A$2:$A$4919,$A2050)/$F2050,"")</f>
        <v/>
      </c>
      <c r="J2050" s="6">
        <f>IFERROR(SUMIFS('DETALLE CRONOLÓGICO'!$K$2:$K$4919,'DETALLE CRONOLÓGICO'!$A$2:$A$4919,$A2050)/$E2050,"")</f>
        <v/>
      </c>
      <c r="K2050" s="6">
        <f>_xlfn.MINIFS('DETALLE CRONOLÓGICO'!$K$2:$K$4919,'DETALLE CRONOLÓGICO'!$A$2:$A$4919,$A2050)</f>
        <v/>
      </c>
      <c r="L2050" s="6">
        <f>_xlfn.MAXIFS('DETALLE CRONOLÓGICO'!$K$2:$K$4919,'DETALLE CRONOLÓGICO'!$A$2:$A$4919,$A2050)</f>
        <v/>
      </c>
      <c r="M2050" s="6">
        <f>INDEX('DETALLE CRONOLÓGICO'!$K$2:$K$4919,MATCH($A2050,'DETALLE CRONOLÓGICO'!$A$2:$A$4919,0)+$E2050-1)</f>
        <v/>
      </c>
      <c r="N2050" s="7">
        <f>IFERROR($M2050/INDEX('DETALLE CRONOLÓGICO'!$K$2:$K$4919,MATCH($A2050,'DETALLE CRONOLÓGICO'!$A$2:$A$4919,0))-1,"")</f>
        <v/>
      </c>
      <c r="O2050" s="6">
        <f>IFERROR($I2050*3,"")</f>
        <v/>
      </c>
      <c r="P2050" s="6">
        <f>IFERROR($I2050*3.5,"")</f>
        <v/>
      </c>
      <c r="Q2050" s="6">
        <f>IFERROR($I2050*4,"")</f>
        <v/>
      </c>
      <c r="R2050" s="6" t="n">
        <v>550</v>
      </c>
      <c r="S2050" s="4" t="n">
        <v>0</v>
      </c>
      <c r="T2050" s="1" t="inlineStr">
        <is>
          <t>active</t>
        </is>
      </c>
      <c r="U2050" s="8" t="n"/>
      <c r="V2050" s="1" t="inlineStr">
        <is>
          <t>SIN PRECIO</t>
        </is>
      </c>
    </row>
    <row r="2051">
      <c r="A2051" s="1" t="inlineStr">
        <is>
          <t>89205551513197</t>
        </is>
      </c>
      <c r="B2051" s="1" t="inlineStr">
        <is>
          <t>ANILLO KNOT SILVER ZIRCONIAS</t>
        </is>
      </c>
      <c r="C2051" s="1" t="inlineStr">
        <is>
          <t>8</t>
        </is>
      </c>
      <c r="D2051" s="1" t="inlineStr">
        <is>
          <t>HAIFENG</t>
        </is>
      </c>
      <c r="E2051" s="4">
        <f>COUNTIF('DETALLE CRONOLÓGICO'!$A$2:$A$4919,$A2051)</f>
        <v/>
      </c>
      <c r="F2051" s="4">
        <f>SUMIFS('DETALLE CRONOLÓGICO'!$I$2:$I$4919,'DETALLE CRONOLÓGICO'!$A$2:$A$4919,$A2051)</f>
        <v/>
      </c>
      <c r="G2051" s="1">
        <f>INDEX('DETALLE CRONOLÓGICO'!$D$2:$D$4919,MATCH($A2051,'DETALLE CRONOLÓGICO'!$A$2:$A$4919,0))</f>
        <v/>
      </c>
      <c r="H2051" s="1">
        <f>INDEX('DETALLE CRONOLÓGICO'!$D$2:$D$4919,MATCH($A2051,'DETALLE CRONOLÓGICO'!$A$2:$A$4919,0)+$E2051-1)</f>
        <v/>
      </c>
      <c r="I2051" s="5">
        <f>IFERROR(SUMIFS('DETALLE CRONOLÓGICO'!$L$2:$L$4919,'DETALLE CRONOLÓGICO'!$A$2:$A$4919,$A2051)/$F2051,"")</f>
        <v/>
      </c>
      <c r="J2051" s="6">
        <f>IFERROR(SUMIFS('DETALLE CRONOLÓGICO'!$K$2:$K$4919,'DETALLE CRONOLÓGICO'!$A$2:$A$4919,$A2051)/$E2051,"")</f>
        <v/>
      </c>
      <c r="K2051" s="6">
        <f>_xlfn.MINIFS('DETALLE CRONOLÓGICO'!$K$2:$K$4919,'DETALLE CRONOLÓGICO'!$A$2:$A$4919,$A2051)</f>
        <v/>
      </c>
      <c r="L2051" s="6">
        <f>_xlfn.MAXIFS('DETALLE CRONOLÓGICO'!$K$2:$K$4919,'DETALLE CRONOLÓGICO'!$A$2:$A$4919,$A2051)</f>
        <v/>
      </c>
      <c r="M2051" s="6">
        <f>INDEX('DETALLE CRONOLÓGICO'!$K$2:$K$4919,MATCH($A2051,'DETALLE CRONOLÓGICO'!$A$2:$A$4919,0)+$E2051-1)</f>
        <v/>
      </c>
      <c r="N2051" s="7">
        <f>IFERROR($M2051/INDEX('DETALLE CRONOLÓGICO'!$K$2:$K$4919,MATCH($A2051,'DETALLE CRONOLÓGICO'!$A$2:$A$4919,0))-1,"")</f>
        <v/>
      </c>
      <c r="O2051" s="6">
        <f>IFERROR($I2051*3,"")</f>
        <v/>
      </c>
      <c r="P2051" s="6">
        <f>IFERROR($I2051*3.5,"")</f>
        <v/>
      </c>
      <c r="Q2051" s="6">
        <f>IFERROR($I2051*4,"")</f>
        <v/>
      </c>
      <c r="R2051" s="6" t="n">
        <v>550</v>
      </c>
      <c r="S2051" s="4" t="n">
        <v>1</v>
      </c>
      <c r="T2051" s="1" t="inlineStr">
        <is>
          <t>active</t>
        </is>
      </c>
      <c r="U2051" s="8" t="n"/>
      <c r="V2051" s="1" t="inlineStr">
        <is>
          <t>SIN PRECIO</t>
        </is>
      </c>
    </row>
    <row r="2052">
      <c r="A2052" s="1" t="inlineStr">
        <is>
          <t>89205551641453</t>
        </is>
      </c>
      <c r="B2052" s="1" t="inlineStr">
        <is>
          <t>ARETES BV ROSEGOLD-WHITE</t>
        </is>
      </c>
      <c r="C2052" s="1" t="inlineStr">
        <is>
          <t>Default Title</t>
        </is>
      </c>
      <c r="D2052" s="1" t="inlineStr">
        <is>
          <t>HAIFENG</t>
        </is>
      </c>
      <c r="E2052" s="4">
        <f>COUNTIF('DETALLE CRONOLÓGICO'!$A$2:$A$4919,$A2052)</f>
        <v/>
      </c>
      <c r="F2052" s="4">
        <f>SUMIFS('DETALLE CRONOLÓGICO'!$I$2:$I$4919,'DETALLE CRONOLÓGICO'!$A$2:$A$4919,$A2052)</f>
        <v/>
      </c>
      <c r="G2052" s="1">
        <f>INDEX('DETALLE CRONOLÓGICO'!$D$2:$D$4919,MATCH($A2052,'DETALLE CRONOLÓGICO'!$A$2:$A$4919,0))</f>
        <v/>
      </c>
      <c r="H2052" s="1">
        <f>INDEX('DETALLE CRONOLÓGICO'!$D$2:$D$4919,MATCH($A2052,'DETALLE CRONOLÓGICO'!$A$2:$A$4919,0)+$E2052-1)</f>
        <v/>
      </c>
      <c r="I2052" s="5">
        <f>IFERROR(SUMIFS('DETALLE CRONOLÓGICO'!$L$2:$L$4919,'DETALLE CRONOLÓGICO'!$A$2:$A$4919,$A2052)/$F2052,"")</f>
        <v/>
      </c>
      <c r="J2052" s="6">
        <f>IFERROR(SUMIFS('DETALLE CRONOLÓGICO'!$K$2:$K$4919,'DETALLE CRONOLÓGICO'!$A$2:$A$4919,$A2052)/$E2052,"")</f>
        <v/>
      </c>
      <c r="K2052" s="6">
        <f>_xlfn.MINIFS('DETALLE CRONOLÓGICO'!$K$2:$K$4919,'DETALLE CRONOLÓGICO'!$A$2:$A$4919,$A2052)</f>
        <v/>
      </c>
      <c r="L2052" s="6">
        <f>_xlfn.MAXIFS('DETALLE CRONOLÓGICO'!$K$2:$K$4919,'DETALLE CRONOLÓGICO'!$A$2:$A$4919,$A2052)</f>
        <v/>
      </c>
      <c r="M2052" s="6">
        <f>INDEX('DETALLE CRONOLÓGICO'!$K$2:$K$4919,MATCH($A2052,'DETALLE CRONOLÓGICO'!$A$2:$A$4919,0)+$E2052-1)</f>
        <v/>
      </c>
      <c r="N2052" s="7">
        <f>IFERROR($M2052/INDEX('DETALLE CRONOLÓGICO'!$K$2:$K$4919,MATCH($A2052,'DETALLE CRONOLÓGICO'!$A$2:$A$4919,0))-1,"")</f>
        <v/>
      </c>
      <c r="O2052" s="6">
        <f>IFERROR($I2052*3,"")</f>
        <v/>
      </c>
      <c r="P2052" s="6">
        <f>IFERROR($I2052*3.5,"")</f>
        <v/>
      </c>
      <c r="Q2052" s="6">
        <f>IFERROR($I2052*4,"")</f>
        <v/>
      </c>
      <c r="R2052" s="6" t="n">
        <v>575</v>
      </c>
      <c r="S2052" s="4" t="n">
        <v>4</v>
      </c>
      <c r="T2052" s="1" t="inlineStr">
        <is>
          <t>active</t>
        </is>
      </c>
      <c r="U2052" s="8" t="n"/>
      <c r="V2052" s="1" t="inlineStr">
        <is>
          <t>SIN PRECIO</t>
        </is>
      </c>
    </row>
    <row r="2053">
      <c r="A2053" s="1" t="inlineStr">
        <is>
          <t>89205551757581</t>
        </is>
      </c>
      <c r="B2053" s="1" t="inlineStr">
        <is>
          <t>PULSERA BV ROSEGOLD PEARL ZIRCONIA</t>
        </is>
      </c>
      <c r="C2053" s="1" t="inlineStr">
        <is>
          <t>Default Title</t>
        </is>
      </c>
      <c r="D2053" s="1" t="inlineStr">
        <is>
          <t>HAIFENG</t>
        </is>
      </c>
      <c r="E2053" s="4">
        <f>COUNTIF('DETALLE CRONOLÓGICO'!$A$2:$A$4919,$A2053)</f>
        <v/>
      </c>
      <c r="F2053" s="4">
        <f>SUMIFS('DETALLE CRONOLÓGICO'!$I$2:$I$4919,'DETALLE CRONOLÓGICO'!$A$2:$A$4919,$A2053)</f>
        <v/>
      </c>
      <c r="G2053" s="1">
        <f>INDEX('DETALLE CRONOLÓGICO'!$D$2:$D$4919,MATCH($A2053,'DETALLE CRONOLÓGICO'!$A$2:$A$4919,0))</f>
        <v/>
      </c>
      <c r="H2053" s="1">
        <f>INDEX('DETALLE CRONOLÓGICO'!$D$2:$D$4919,MATCH($A2053,'DETALLE CRONOLÓGICO'!$A$2:$A$4919,0)+$E2053-1)</f>
        <v/>
      </c>
      <c r="I2053" s="5">
        <f>IFERROR(SUMIFS('DETALLE CRONOLÓGICO'!$L$2:$L$4919,'DETALLE CRONOLÓGICO'!$A$2:$A$4919,$A2053)/$F2053,"")</f>
        <v/>
      </c>
      <c r="J2053" s="6">
        <f>IFERROR(SUMIFS('DETALLE CRONOLÓGICO'!$K$2:$K$4919,'DETALLE CRONOLÓGICO'!$A$2:$A$4919,$A2053)/$E2053,"")</f>
        <v/>
      </c>
      <c r="K2053" s="6">
        <f>_xlfn.MINIFS('DETALLE CRONOLÓGICO'!$K$2:$K$4919,'DETALLE CRONOLÓGICO'!$A$2:$A$4919,$A2053)</f>
        <v/>
      </c>
      <c r="L2053" s="6">
        <f>_xlfn.MAXIFS('DETALLE CRONOLÓGICO'!$K$2:$K$4919,'DETALLE CRONOLÓGICO'!$A$2:$A$4919,$A2053)</f>
        <v/>
      </c>
      <c r="M2053" s="6">
        <f>INDEX('DETALLE CRONOLÓGICO'!$K$2:$K$4919,MATCH($A2053,'DETALLE CRONOLÓGICO'!$A$2:$A$4919,0)+$E2053-1)</f>
        <v/>
      </c>
      <c r="N2053" s="7">
        <f>IFERROR($M2053/INDEX('DETALLE CRONOLÓGICO'!$K$2:$K$4919,MATCH($A2053,'DETALLE CRONOLÓGICO'!$A$2:$A$4919,0))-1,"")</f>
        <v/>
      </c>
      <c r="O2053" s="6">
        <f>IFERROR($I2053*3,"")</f>
        <v/>
      </c>
      <c r="P2053" s="6">
        <f>IFERROR($I2053*3.5,"")</f>
        <v/>
      </c>
      <c r="Q2053" s="6">
        <f>IFERROR($I2053*4,"")</f>
        <v/>
      </c>
      <c r="R2053" s="6" t="n">
        <v>650</v>
      </c>
      <c r="S2053" s="4" t="n">
        <v>2</v>
      </c>
      <c r="T2053" s="1" t="inlineStr">
        <is>
          <t>active</t>
        </is>
      </c>
      <c r="U2053" s="8" t="n"/>
      <c r="V2053" s="1" t="inlineStr">
        <is>
          <t>SIN PRECIO</t>
        </is>
      </c>
    </row>
    <row r="2054">
      <c r="A2054" s="1" t="inlineStr">
        <is>
          <t>89246881063213</t>
        </is>
      </c>
      <c r="B2054" s="1" t="inlineStr">
        <is>
          <t>ANILLO LOVE CERAMIC</t>
        </is>
      </c>
      <c r="C2054" s="1" t="inlineStr">
        <is>
          <t>8</t>
        </is>
      </c>
      <c r="D2054" s="1" t="inlineStr">
        <is>
          <t>HAIFENG</t>
        </is>
      </c>
      <c r="E2054" s="4">
        <f>COUNTIF('DETALLE CRONOLÓGICO'!$A$2:$A$4919,$A2054)</f>
        <v/>
      </c>
      <c r="F2054" s="4">
        <f>SUMIFS('DETALLE CRONOLÓGICO'!$I$2:$I$4919,'DETALLE CRONOLÓGICO'!$A$2:$A$4919,$A2054)</f>
        <v/>
      </c>
      <c r="G2054" s="1">
        <f>INDEX('DETALLE CRONOLÓGICO'!$D$2:$D$4919,MATCH($A2054,'DETALLE CRONOLÓGICO'!$A$2:$A$4919,0))</f>
        <v/>
      </c>
      <c r="H2054" s="1">
        <f>INDEX('DETALLE CRONOLÓGICO'!$D$2:$D$4919,MATCH($A2054,'DETALLE CRONOLÓGICO'!$A$2:$A$4919,0)+$E2054-1)</f>
        <v/>
      </c>
      <c r="I2054" s="5">
        <f>IFERROR(SUMIFS('DETALLE CRONOLÓGICO'!$L$2:$L$4919,'DETALLE CRONOLÓGICO'!$A$2:$A$4919,$A2054)/$F2054,"")</f>
        <v/>
      </c>
      <c r="J2054" s="6">
        <f>IFERROR(SUMIFS('DETALLE CRONOLÓGICO'!$K$2:$K$4919,'DETALLE CRONOLÓGICO'!$A$2:$A$4919,$A2054)/$E2054,"")</f>
        <v/>
      </c>
      <c r="K2054" s="6">
        <f>_xlfn.MINIFS('DETALLE CRONOLÓGICO'!$K$2:$K$4919,'DETALLE CRONOLÓGICO'!$A$2:$A$4919,$A2054)</f>
        <v/>
      </c>
      <c r="L2054" s="6">
        <f>_xlfn.MAXIFS('DETALLE CRONOLÓGICO'!$K$2:$K$4919,'DETALLE CRONOLÓGICO'!$A$2:$A$4919,$A2054)</f>
        <v/>
      </c>
      <c r="M2054" s="6">
        <f>INDEX('DETALLE CRONOLÓGICO'!$K$2:$K$4919,MATCH($A2054,'DETALLE CRONOLÓGICO'!$A$2:$A$4919,0)+$E2054-1)</f>
        <v/>
      </c>
      <c r="N2054" s="7">
        <f>IFERROR($M2054/INDEX('DETALLE CRONOLÓGICO'!$K$2:$K$4919,MATCH($A2054,'DETALLE CRONOLÓGICO'!$A$2:$A$4919,0))-1,"")</f>
        <v/>
      </c>
      <c r="O2054" s="6">
        <f>IFERROR($I2054*3,"")</f>
        <v/>
      </c>
      <c r="P2054" s="6">
        <f>IFERROR($I2054*3.5,"")</f>
        <v/>
      </c>
      <c r="Q2054" s="6">
        <f>IFERROR($I2054*4,"")</f>
        <v/>
      </c>
      <c r="R2054" s="6" t="n">
        <v>499</v>
      </c>
      <c r="S2054" s="4" t="n">
        <v>1</v>
      </c>
      <c r="T2054" s="1" t="inlineStr">
        <is>
          <t>active</t>
        </is>
      </c>
      <c r="U2054" s="8" t="n"/>
      <c r="V2054" s="1" t="inlineStr">
        <is>
          <t>SIN PRECIO</t>
        </is>
      </c>
    </row>
    <row r="2055">
      <c r="A2055" s="1" t="inlineStr">
        <is>
          <t>89246881116333</t>
        </is>
      </c>
      <c r="B2055" s="1" t="inlineStr">
        <is>
          <t>ANILLO TRINITY TRES AROS</t>
        </is>
      </c>
      <c r="C2055" s="1" t="inlineStr">
        <is>
          <t>7</t>
        </is>
      </c>
      <c r="D2055" s="1" t="inlineStr">
        <is>
          <t>HAIFENG</t>
        </is>
      </c>
      <c r="E2055" s="4">
        <f>COUNTIF('DETALLE CRONOLÓGICO'!$A$2:$A$4919,$A2055)</f>
        <v/>
      </c>
      <c r="F2055" s="4">
        <f>SUMIFS('DETALLE CRONOLÓGICO'!$I$2:$I$4919,'DETALLE CRONOLÓGICO'!$A$2:$A$4919,$A2055)</f>
        <v/>
      </c>
      <c r="G2055" s="1">
        <f>INDEX('DETALLE CRONOLÓGICO'!$D$2:$D$4919,MATCH($A2055,'DETALLE CRONOLÓGICO'!$A$2:$A$4919,0))</f>
        <v/>
      </c>
      <c r="H2055" s="1">
        <f>INDEX('DETALLE CRONOLÓGICO'!$D$2:$D$4919,MATCH($A2055,'DETALLE CRONOLÓGICO'!$A$2:$A$4919,0)+$E2055-1)</f>
        <v/>
      </c>
      <c r="I2055" s="5">
        <f>IFERROR(SUMIFS('DETALLE CRONOLÓGICO'!$L$2:$L$4919,'DETALLE CRONOLÓGICO'!$A$2:$A$4919,$A2055)/$F2055,"")</f>
        <v/>
      </c>
      <c r="J2055" s="6">
        <f>IFERROR(SUMIFS('DETALLE CRONOLÓGICO'!$K$2:$K$4919,'DETALLE CRONOLÓGICO'!$A$2:$A$4919,$A2055)/$E2055,"")</f>
        <v/>
      </c>
      <c r="K2055" s="6">
        <f>_xlfn.MINIFS('DETALLE CRONOLÓGICO'!$K$2:$K$4919,'DETALLE CRONOLÓGICO'!$A$2:$A$4919,$A2055)</f>
        <v/>
      </c>
      <c r="L2055" s="6">
        <f>_xlfn.MAXIFS('DETALLE CRONOLÓGICO'!$K$2:$K$4919,'DETALLE CRONOLÓGICO'!$A$2:$A$4919,$A2055)</f>
        <v/>
      </c>
      <c r="M2055" s="6">
        <f>INDEX('DETALLE CRONOLÓGICO'!$K$2:$K$4919,MATCH($A2055,'DETALLE CRONOLÓGICO'!$A$2:$A$4919,0)+$E2055-1)</f>
        <v/>
      </c>
      <c r="N2055" s="7">
        <f>IFERROR($M2055/INDEX('DETALLE CRONOLÓGICO'!$K$2:$K$4919,MATCH($A2055,'DETALLE CRONOLÓGICO'!$A$2:$A$4919,0))-1,"")</f>
        <v/>
      </c>
      <c r="O2055" s="6">
        <f>IFERROR($I2055*3,"")</f>
        <v/>
      </c>
      <c r="P2055" s="6">
        <f>IFERROR($I2055*3.5,"")</f>
        <v/>
      </c>
      <c r="Q2055" s="6">
        <f>IFERROR($I2055*4,"")</f>
        <v/>
      </c>
      <c r="R2055" s="6" t="n">
        <v>499</v>
      </c>
      <c r="S2055" s="4" t="n">
        <v>0</v>
      </c>
      <c r="T2055" s="1" t="inlineStr">
        <is>
          <t>draft</t>
        </is>
      </c>
      <c r="U2055" s="8" t="n"/>
      <c r="V2055" s="1" t="inlineStr">
        <is>
          <t>SIN PRECIO</t>
        </is>
      </c>
    </row>
    <row r="2056">
      <c r="A2056" s="1" t="inlineStr">
        <is>
          <t>89246881231597</t>
        </is>
      </c>
      <c r="B2056" s="1" t="inlineStr">
        <is>
          <t>ARRACADAS TRES AROS</t>
        </is>
      </c>
      <c r="C2056" s="1" t="inlineStr">
        <is>
          <t>Default Title</t>
        </is>
      </c>
      <c r="D2056" s="1" t="inlineStr">
        <is>
          <t>HAIFENG</t>
        </is>
      </c>
      <c r="E2056" s="4">
        <f>COUNTIF('DETALLE CRONOLÓGICO'!$A$2:$A$4919,$A2056)</f>
        <v/>
      </c>
      <c r="F2056" s="4">
        <f>SUMIFS('DETALLE CRONOLÓGICO'!$I$2:$I$4919,'DETALLE CRONOLÓGICO'!$A$2:$A$4919,$A2056)</f>
        <v/>
      </c>
      <c r="G2056" s="1">
        <f>INDEX('DETALLE CRONOLÓGICO'!$D$2:$D$4919,MATCH($A2056,'DETALLE CRONOLÓGICO'!$A$2:$A$4919,0))</f>
        <v/>
      </c>
      <c r="H2056" s="1">
        <f>INDEX('DETALLE CRONOLÓGICO'!$D$2:$D$4919,MATCH($A2056,'DETALLE CRONOLÓGICO'!$A$2:$A$4919,0)+$E2056-1)</f>
        <v/>
      </c>
      <c r="I2056" s="5">
        <f>IFERROR(SUMIFS('DETALLE CRONOLÓGICO'!$L$2:$L$4919,'DETALLE CRONOLÓGICO'!$A$2:$A$4919,$A2056)/$F2056,"")</f>
        <v/>
      </c>
      <c r="J2056" s="6">
        <f>IFERROR(SUMIFS('DETALLE CRONOLÓGICO'!$K$2:$K$4919,'DETALLE CRONOLÓGICO'!$A$2:$A$4919,$A2056)/$E2056,"")</f>
        <v/>
      </c>
      <c r="K2056" s="6">
        <f>_xlfn.MINIFS('DETALLE CRONOLÓGICO'!$K$2:$K$4919,'DETALLE CRONOLÓGICO'!$A$2:$A$4919,$A2056)</f>
        <v/>
      </c>
      <c r="L2056" s="6">
        <f>_xlfn.MAXIFS('DETALLE CRONOLÓGICO'!$K$2:$K$4919,'DETALLE CRONOLÓGICO'!$A$2:$A$4919,$A2056)</f>
        <v/>
      </c>
      <c r="M2056" s="6">
        <f>INDEX('DETALLE CRONOLÓGICO'!$K$2:$K$4919,MATCH($A2056,'DETALLE CRONOLÓGICO'!$A$2:$A$4919,0)+$E2056-1)</f>
        <v/>
      </c>
      <c r="N2056" s="7">
        <f>IFERROR($M2056/INDEX('DETALLE CRONOLÓGICO'!$K$2:$K$4919,MATCH($A2056,'DETALLE CRONOLÓGICO'!$A$2:$A$4919,0))-1,"")</f>
        <v/>
      </c>
      <c r="O2056" s="6">
        <f>IFERROR($I2056*3,"")</f>
        <v/>
      </c>
      <c r="P2056" s="6">
        <f>IFERROR($I2056*3.5,"")</f>
        <v/>
      </c>
      <c r="Q2056" s="6">
        <f>IFERROR($I2056*4,"")</f>
        <v/>
      </c>
      <c r="R2056" s="6" t="n">
        <v>699</v>
      </c>
      <c r="S2056" s="4" t="n">
        <v>2</v>
      </c>
      <c r="T2056" s="1" t="inlineStr">
        <is>
          <t>active</t>
        </is>
      </c>
      <c r="U2056" s="8" t="n"/>
      <c r="V2056" s="1" t="inlineStr">
        <is>
          <t>SIN PRECIO</t>
        </is>
      </c>
    </row>
    <row r="2057">
      <c r="A2057" s="1" t="inlineStr">
        <is>
          <t>89246881340077</t>
        </is>
      </c>
      <c r="B2057" s="1" t="inlineStr">
        <is>
          <t>ARRACADAS CLAVO GOLD</t>
        </is>
      </c>
      <c r="C2057" s="1" t="inlineStr">
        <is>
          <t>Default Title</t>
        </is>
      </c>
      <c r="D2057" s="1" t="inlineStr">
        <is>
          <t>HAIFENG</t>
        </is>
      </c>
      <c r="E2057" s="4">
        <f>COUNTIF('DETALLE CRONOLÓGICO'!$A$2:$A$4919,$A2057)</f>
        <v/>
      </c>
      <c r="F2057" s="4">
        <f>SUMIFS('DETALLE CRONOLÓGICO'!$I$2:$I$4919,'DETALLE CRONOLÓGICO'!$A$2:$A$4919,$A2057)</f>
        <v/>
      </c>
      <c r="G2057" s="1">
        <f>INDEX('DETALLE CRONOLÓGICO'!$D$2:$D$4919,MATCH($A2057,'DETALLE CRONOLÓGICO'!$A$2:$A$4919,0))</f>
        <v/>
      </c>
      <c r="H2057" s="1">
        <f>INDEX('DETALLE CRONOLÓGICO'!$D$2:$D$4919,MATCH($A2057,'DETALLE CRONOLÓGICO'!$A$2:$A$4919,0)+$E2057-1)</f>
        <v/>
      </c>
      <c r="I2057" s="5">
        <f>IFERROR(SUMIFS('DETALLE CRONOLÓGICO'!$L$2:$L$4919,'DETALLE CRONOLÓGICO'!$A$2:$A$4919,$A2057)/$F2057,"")</f>
        <v/>
      </c>
      <c r="J2057" s="6">
        <f>IFERROR(SUMIFS('DETALLE CRONOLÓGICO'!$K$2:$K$4919,'DETALLE CRONOLÓGICO'!$A$2:$A$4919,$A2057)/$E2057,"")</f>
        <v/>
      </c>
      <c r="K2057" s="6">
        <f>_xlfn.MINIFS('DETALLE CRONOLÓGICO'!$K$2:$K$4919,'DETALLE CRONOLÓGICO'!$A$2:$A$4919,$A2057)</f>
        <v/>
      </c>
      <c r="L2057" s="6">
        <f>_xlfn.MAXIFS('DETALLE CRONOLÓGICO'!$K$2:$K$4919,'DETALLE CRONOLÓGICO'!$A$2:$A$4919,$A2057)</f>
        <v/>
      </c>
      <c r="M2057" s="6">
        <f>INDEX('DETALLE CRONOLÓGICO'!$K$2:$K$4919,MATCH($A2057,'DETALLE CRONOLÓGICO'!$A$2:$A$4919,0)+$E2057-1)</f>
        <v/>
      </c>
      <c r="N2057" s="7">
        <f>IFERROR($M2057/INDEX('DETALLE CRONOLÓGICO'!$K$2:$K$4919,MATCH($A2057,'DETALLE CRONOLÓGICO'!$A$2:$A$4919,0))-1,"")</f>
        <v/>
      </c>
      <c r="O2057" s="6">
        <f>IFERROR($I2057*3,"")</f>
        <v/>
      </c>
      <c r="P2057" s="6">
        <f>IFERROR($I2057*3.5,"")</f>
        <v/>
      </c>
      <c r="Q2057" s="6">
        <f>IFERROR($I2057*4,"")</f>
        <v/>
      </c>
      <c r="R2057" s="6" t="n">
        <v>850</v>
      </c>
      <c r="S2057" s="4" t="n">
        <v>0</v>
      </c>
      <c r="T2057" s="1" t="inlineStr">
        <is>
          <t>active</t>
        </is>
      </c>
      <c r="U2057" s="8" t="n"/>
      <c r="V2057" s="1" t="inlineStr">
        <is>
          <t>SIN PRECIO</t>
        </is>
      </c>
    </row>
    <row r="2058">
      <c r="A2058" s="1" t="inlineStr">
        <is>
          <t>89246881412397</t>
        </is>
      </c>
      <c r="B2058" s="1" t="inlineStr">
        <is>
          <t>BROCHE CD GOLD</t>
        </is>
      </c>
      <c r="C2058" s="1" t="inlineStr">
        <is>
          <t>Default Title</t>
        </is>
      </c>
      <c r="D2058" s="1" t="inlineStr">
        <is>
          <t>HAIFENG</t>
        </is>
      </c>
      <c r="E2058" s="4">
        <f>COUNTIF('DETALLE CRONOLÓGICO'!$A$2:$A$4919,$A2058)</f>
        <v/>
      </c>
      <c r="F2058" s="4">
        <f>SUMIFS('DETALLE CRONOLÓGICO'!$I$2:$I$4919,'DETALLE CRONOLÓGICO'!$A$2:$A$4919,$A2058)</f>
        <v/>
      </c>
      <c r="G2058" s="1">
        <f>INDEX('DETALLE CRONOLÓGICO'!$D$2:$D$4919,MATCH($A2058,'DETALLE CRONOLÓGICO'!$A$2:$A$4919,0))</f>
        <v/>
      </c>
      <c r="H2058" s="1">
        <f>INDEX('DETALLE CRONOLÓGICO'!$D$2:$D$4919,MATCH($A2058,'DETALLE CRONOLÓGICO'!$A$2:$A$4919,0)+$E2058-1)</f>
        <v/>
      </c>
      <c r="I2058" s="5">
        <f>IFERROR(SUMIFS('DETALLE CRONOLÓGICO'!$L$2:$L$4919,'DETALLE CRONOLÓGICO'!$A$2:$A$4919,$A2058)/$F2058,"")</f>
        <v/>
      </c>
      <c r="J2058" s="6">
        <f>IFERROR(SUMIFS('DETALLE CRONOLÓGICO'!$K$2:$K$4919,'DETALLE CRONOLÓGICO'!$A$2:$A$4919,$A2058)/$E2058,"")</f>
        <v/>
      </c>
      <c r="K2058" s="6">
        <f>_xlfn.MINIFS('DETALLE CRONOLÓGICO'!$K$2:$K$4919,'DETALLE CRONOLÓGICO'!$A$2:$A$4919,$A2058)</f>
        <v/>
      </c>
      <c r="L2058" s="6">
        <f>_xlfn.MAXIFS('DETALLE CRONOLÓGICO'!$K$2:$K$4919,'DETALLE CRONOLÓGICO'!$A$2:$A$4919,$A2058)</f>
        <v/>
      </c>
      <c r="M2058" s="6">
        <f>INDEX('DETALLE CRONOLÓGICO'!$K$2:$K$4919,MATCH($A2058,'DETALLE CRONOLÓGICO'!$A$2:$A$4919,0)+$E2058-1)</f>
        <v/>
      </c>
      <c r="N2058" s="7">
        <f>IFERROR($M2058/INDEX('DETALLE CRONOLÓGICO'!$K$2:$K$4919,MATCH($A2058,'DETALLE CRONOLÓGICO'!$A$2:$A$4919,0))-1,"")</f>
        <v/>
      </c>
      <c r="O2058" s="6">
        <f>IFERROR($I2058*3,"")</f>
        <v/>
      </c>
      <c r="P2058" s="6">
        <f>IFERROR($I2058*3.5,"")</f>
        <v/>
      </c>
      <c r="Q2058" s="6">
        <f>IFERROR($I2058*4,"")</f>
        <v/>
      </c>
      <c r="R2058" s="6" t="n">
        <v>400</v>
      </c>
      <c r="S2058" s="4" t="n">
        <v>0</v>
      </c>
      <c r="T2058" s="1" t="inlineStr">
        <is>
          <t>active</t>
        </is>
      </c>
      <c r="U2058" s="8" t="n"/>
      <c r="V2058" s="1" t="inlineStr">
        <is>
          <t>SIN PRECIO</t>
        </is>
      </c>
    </row>
    <row r="2059">
      <c r="A2059" s="1" t="inlineStr">
        <is>
          <t>89246881583021</t>
        </is>
      </c>
      <c r="B2059" s="1" t="inlineStr">
        <is>
          <t>BROCHE CD GOLD ZIRCONIAS PEARL</t>
        </is>
      </c>
      <c r="C2059" s="1" t="inlineStr">
        <is>
          <t>Default Title</t>
        </is>
      </c>
      <c r="D2059" s="1" t="inlineStr">
        <is>
          <t>HAIFENG</t>
        </is>
      </c>
      <c r="E2059" s="4">
        <f>COUNTIF('DETALLE CRONOLÓGICO'!$A$2:$A$4919,$A2059)</f>
        <v/>
      </c>
      <c r="F2059" s="4">
        <f>SUMIFS('DETALLE CRONOLÓGICO'!$I$2:$I$4919,'DETALLE CRONOLÓGICO'!$A$2:$A$4919,$A2059)</f>
        <v/>
      </c>
      <c r="G2059" s="1">
        <f>INDEX('DETALLE CRONOLÓGICO'!$D$2:$D$4919,MATCH($A2059,'DETALLE CRONOLÓGICO'!$A$2:$A$4919,0))</f>
        <v/>
      </c>
      <c r="H2059" s="1">
        <f>INDEX('DETALLE CRONOLÓGICO'!$D$2:$D$4919,MATCH($A2059,'DETALLE CRONOLÓGICO'!$A$2:$A$4919,0)+$E2059-1)</f>
        <v/>
      </c>
      <c r="I2059" s="5">
        <f>IFERROR(SUMIFS('DETALLE CRONOLÓGICO'!$L$2:$L$4919,'DETALLE CRONOLÓGICO'!$A$2:$A$4919,$A2059)/$F2059,"")</f>
        <v/>
      </c>
      <c r="J2059" s="6">
        <f>IFERROR(SUMIFS('DETALLE CRONOLÓGICO'!$K$2:$K$4919,'DETALLE CRONOLÓGICO'!$A$2:$A$4919,$A2059)/$E2059,"")</f>
        <v/>
      </c>
      <c r="K2059" s="6">
        <f>_xlfn.MINIFS('DETALLE CRONOLÓGICO'!$K$2:$K$4919,'DETALLE CRONOLÓGICO'!$A$2:$A$4919,$A2059)</f>
        <v/>
      </c>
      <c r="L2059" s="6">
        <f>_xlfn.MAXIFS('DETALLE CRONOLÓGICO'!$K$2:$K$4919,'DETALLE CRONOLÓGICO'!$A$2:$A$4919,$A2059)</f>
        <v/>
      </c>
      <c r="M2059" s="6">
        <f>INDEX('DETALLE CRONOLÓGICO'!$K$2:$K$4919,MATCH($A2059,'DETALLE CRONOLÓGICO'!$A$2:$A$4919,0)+$E2059-1)</f>
        <v/>
      </c>
      <c r="N2059" s="7">
        <f>IFERROR($M2059/INDEX('DETALLE CRONOLÓGICO'!$K$2:$K$4919,MATCH($A2059,'DETALLE CRONOLÓGICO'!$A$2:$A$4919,0))-1,"")</f>
        <v/>
      </c>
      <c r="O2059" s="6">
        <f>IFERROR($I2059*3,"")</f>
        <v/>
      </c>
      <c r="P2059" s="6">
        <f>IFERROR($I2059*3.5,"")</f>
        <v/>
      </c>
      <c r="Q2059" s="6">
        <f>IFERROR($I2059*4,"")</f>
        <v/>
      </c>
      <c r="R2059" s="6" t="n">
        <v>499</v>
      </c>
      <c r="S2059" s="4" t="n">
        <v>3</v>
      </c>
      <c r="T2059" s="1" t="inlineStr">
        <is>
          <t>active</t>
        </is>
      </c>
      <c r="U2059" s="8" t="n"/>
      <c r="V2059" s="1" t="inlineStr">
        <is>
          <t>SIN PRECIO</t>
        </is>
      </c>
    </row>
    <row r="2060">
      <c r="A2060" s="1" t="inlineStr">
        <is>
          <t>89246881658733</t>
        </is>
      </c>
      <c r="B2060" s="1" t="inlineStr">
        <is>
          <t>PULSERA CD PETIT ZIRCONIAS GOLD</t>
        </is>
      </c>
      <c r="C2060" s="1" t="inlineStr">
        <is>
          <t>Default Title</t>
        </is>
      </c>
      <c r="D2060" s="1" t="inlineStr">
        <is>
          <t>HAIFENG</t>
        </is>
      </c>
      <c r="E2060" s="4">
        <f>COUNTIF('DETALLE CRONOLÓGICO'!$A$2:$A$4919,$A2060)</f>
        <v/>
      </c>
      <c r="F2060" s="4">
        <f>SUMIFS('DETALLE CRONOLÓGICO'!$I$2:$I$4919,'DETALLE CRONOLÓGICO'!$A$2:$A$4919,$A2060)</f>
        <v/>
      </c>
      <c r="G2060" s="1">
        <f>INDEX('DETALLE CRONOLÓGICO'!$D$2:$D$4919,MATCH($A2060,'DETALLE CRONOLÓGICO'!$A$2:$A$4919,0))</f>
        <v/>
      </c>
      <c r="H2060" s="1">
        <f>INDEX('DETALLE CRONOLÓGICO'!$D$2:$D$4919,MATCH($A2060,'DETALLE CRONOLÓGICO'!$A$2:$A$4919,0)+$E2060-1)</f>
        <v/>
      </c>
      <c r="I2060" s="5">
        <f>IFERROR(SUMIFS('DETALLE CRONOLÓGICO'!$L$2:$L$4919,'DETALLE CRONOLÓGICO'!$A$2:$A$4919,$A2060)/$F2060,"")</f>
        <v/>
      </c>
      <c r="J2060" s="6">
        <f>IFERROR(SUMIFS('DETALLE CRONOLÓGICO'!$K$2:$K$4919,'DETALLE CRONOLÓGICO'!$A$2:$A$4919,$A2060)/$E2060,"")</f>
        <v/>
      </c>
      <c r="K2060" s="6">
        <f>_xlfn.MINIFS('DETALLE CRONOLÓGICO'!$K$2:$K$4919,'DETALLE CRONOLÓGICO'!$A$2:$A$4919,$A2060)</f>
        <v/>
      </c>
      <c r="L2060" s="6">
        <f>_xlfn.MAXIFS('DETALLE CRONOLÓGICO'!$K$2:$K$4919,'DETALLE CRONOLÓGICO'!$A$2:$A$4919,$A2060)</f>
        <v/>
      </c>
      <c r="M2060" s="6">
        <f>INDEX('DETALLE CRONOLÓGICO'!$K$2:$K$4919,MATCH($A2060,'DETALLE CRONOLÓGICO'!$A$2:$A$4919,0)+$E2060-1)</f>
        <v/>
      </c>
      <c r="N2060" s="7">
        <f>IFERROR($M2060/INDEX('DETALLE CRONOLÓGICO'!$K$2:$K$4919,MATCH($A2060,'DETALLE CRONOLÓGICO'!$A$2:$A$4919,0))-1,"")</f>
        <v/>
      </c>
      <c r="O2060" s="6">
        <f>IFERROR($I2060*3,"")</f>
        <v/>
      </c>
      <c r="P2060" s="6">
        <f>IFERROR($I2060*3.5,"")</f>
        <v/>
      </c>
      <c r="Q2060" s="6">
        <f>IFERROR($I2060*4,"")</f>
        <v/>
      </c>
      <c r="R2060" s="6" t="n">
        <v>400</v>
      </c>
      <c r="S2060" s="4" t="n">
        <v>0</v>
      </c>
      <c r="T2060" s="1" t="inlineStr">
        <is>
          <t>draft</t>
        </is>
      </c>
      <c r="U2060" s="8" t="n"/>
      <c r="V2060" s="1" t="inlineStr">
        <is>
          <t>SIN PRECIO</t>
        </is>
      </c>
    </row>
    <row r="2061">
      <c r="A2061" s="1" t="inlineStr">
        <is>
          <t>89246881737837</t>
        </is>
      </c>
      <c r="B2061" s="1" t="inlineStr">
        <is>
          <t>PULSERA CD PETIT ZIRCONIAS SILVER</t>
        </is>
      </c>
      <c r="C2061" s="1" t="inlineStr">
        <is>
          <t>Default Title</t>
        </is>
      </c>
      <c r="D2061" s="1" t="inlineStr">
        <is>
          <t>HAIFENG</t>
        </is>
      </c>
      <c r="E2061" s="4">
        <f>COUNTIF('DETALLE CRONOLÓGICO'!$A$2:$A$4919,$A2061)</f>
        <v/>
      </c>
      <c r="F2061" s="4">
        <f>SUMIFS('DETALLE CRONOLÓGICO'!$I$2:$I$4919,'DETALLE CRONOLÓGICO'!$A$2:$A$4919,$A2061)</f>
        <v/>
      </c>
      <c r="G2061" s="1">
        <f>INDEX('DETALLE CRONOLÓGICO'!$D$2:$D$4919,MATCH($A2061,'DETALLE CRONOLÓGICO'!$A$2:$A$4919,0))</f>
        <v/>
      </c>
      <c r="H2061" s="1">
        <f>INDEX('DETALLE CRONOLÓGICO'!$D$2:$D$4919,MATCH($A2061,'DETALLE CRONOLÓGICO'!$A$2:$A$4919,0)+$E2061-1)</f>
        <v/>
      </c>
      <c r="I2061" s="5">
        <f>IFERROR(SUMIFS('DETALLE CRONOLÓGICO'!$L$2:$L$4919,'DETALLE CRONOLÓGICO'!$A$2:$A$4919,$A2061)/$F2061,"")</f>
        <v/>
      </c>
      <c r="J2061" s="6">
        <f>IFERROR(SUMIFS('DETALLE CRONOLÓGICO'!$K$2:$K$4919,'DETALLE CRONOLÓGICO'!$A$2:$A$4919,$A2061)/$E2061,"")</f>
        <v/>
      </c>
      <c r="K2061" s="6">
        <f>_xlfn.MINIFS('DETALLE CRONOLÓGICO'!$K$2:$K$4919,'DETALLE CRONOLÓGICO'!$A$2:$A$4919,$A2061)</f>
        <v/>
      </c>
      <c r="L2061" s="6">
        <f>_xlfn.MAXIFS('DETALLE CRONOLÓGICO'!$K$2:$K$4919,'DETALLE CRONOLÓGICO'!$A$2:$A$4919,$A2061)</f>
        <v/>
      </c>
      <c r="M2061" s="6">
        <f>INDEX('DETALLE CRONOLÓGICO'!$K$2:$K$4919,MATCH($A2061,'DETALLE CRONOLÓGICO'!$A$2:$A$4919,0)+$E2061-1)</f>
        <v/>
      </c>
      <c r="N2061" s="7">
        <f>IFERROR($M2061/INDEX('DETALLE CRONOLÓGICO'!$K$2:$K$4919,MATCH($A2061,'DETALLE CRONOLÓGICO'!$A$2:$A$4919,0))-1,"")</f>
        <v/>
      </c>
      <c r="O2061" s="6">
        <f>IFERROR($I2061*3,"")</f>
        <v/>
      </c>
      <c r="P2061" s="6">
        <f>IFERROR($I2061*3.5,"")</f>
        <v/>
      </c>
      <c r="Q2061" s="6">
        <f>IFERROR($I2061*4,"")</f>
        <v/>
      </c>
      <c r="R2061" s="6" t="n">
        <v>0</v>
      </c>
      <c r="S2061" s="4" t="n">
        <v>0</v>
      </c>
      <c r="T2061" s="1" t="inlineStr">
        <is>
          <t>draft</t>
        </is>
      </c>
      <c r="U2061" s="8" t="n"/>
      <c r="V2061" s="1" t="inlineStr">
        <is>
          <t>SIN PRECIO</t>
        </is>
      </c>
    </row>
    <row r="2062">
      <c r="A2062" s="1" t="inlineStr">
        <is>
          <t>89246881897741</t>
        </is>
      </c>
      <c r="B2062" s="1" t="inlineStr">
        <is>
          <t>COLLAR CD CHOKER</t>
        </is>
      </c>
      <c r="C2062" s="1" t="inlineStr">
        <is>
          <t>Default Title</t>
        </is>
      </c>
      <c r="D2062" s="1" t="inlineStr">
        <is>
          <t>HAIFENG</t>
        </is>
      </c>
      <c r="E2062" s="4">
        <f>COUNTIF('DETALLE CRONOLÓGICO'!$A$2:$A$4919,$A2062)</f>
        <v/>
      </c>
      <c r="F2062" s="4">
        <f>SUMIFS('DETALLE CRONOLÓGICO'!$I$2:$I$4919,'DETALLE CRONOLÓGICO'!$A$2:$A$4919,$A2062)</f>
        <v/>
      </c>
      <c r="G2062" s="1">
        <f>INDEX('DETALLE CRONOLÓGICO'!$D$2:$D$4919,MATCH($A2062,'DETALLE CRONOLÓGICO'!$A$2:$A$4919,0))</f>
        <v/>
      </c>
      <c r="H2062" s="1">
        <f>INDEX('DETALLE CRONOLÓGICO'!$D$2:$D$4919,MATCH($A2062,'DETALLE CRONOLÓGICO'!$A$2:$A$4919,0)+$E2062-1)</f>
        <v/>
      </c>
      <c r="I2062" s="5">
        <f>IFERROR(SUMIFS('DETALLE CRONOLÓGICO'!$L$2:$L$4919,'DETALLE CRONOLÓGICO'!$A$2:$A$4919,$A2062)/$F2062,"")</f>
        <v/>
      </c>
      <c r="J2062" s="6">
        <f>IFERROR(SUMIFS('DETALLE CRONOLÓGICO'!$K$2:$K$4919,'DETALLE CRONOLÓGICO'!$A$2:$A$4919,$A2062)/$E2062,"")</f>
        <v/>
      </c>
      <c r="K2062" s="6">
        <f>_xlfn.MINIFS('DETALLE CRONOLÓGICO'!$K$2:$K$4919,'DETALLE CRONOLÓGICO'!$A$2:$A$4919,$A2062)</f>
        <v/>
      </c>
      <c r="L2062" s="6">
        <f>_xlfn.MAXIFS('DETALLE CRONOLÓGICO'!$K$2:$K$4919,'DETALLE CRONOLÓGICO'!$A$2:$A$4919,$A2062)</f>
        <v/>
      </c>
      <c r="M2062" s="6">
        <f>INDEX('DETALLE CRONOLÓGICO'!$K$2:$K$4919,MATCH($A2062,'DETALLE CRONOLÓGICO'!$A$2:$A$4919,0)+$E2062-1)</f>
        <v/>
      </c>
      <c r="N2062" s="7">
        <f>IFERROR($M2062/INDEX('DETALLE CRONOLÓGICO'!$K$2:$K$4919,MATCH($A2062,'DETALLE CRONOLÓGICO'!$A$2:$A$4919,0))-1,"")</f>
        <v/>
      </c>
      <c r="O2062" s="6">
        <f>IFERROR($I2062*3,"")</f>
        <v/>
      </c>
      <c r="P2062" s="6">
        <f>IFERROR($I2062*3.5,"")</f>
        <v/>
      </c>
      <c r="Q2062" s="6">
        <f>IFERROR($I2062*4,"")</f>
        <v/>
      </c>
      <c r="R2062" s="6" t="n">
        <v>400</v>
      </c>
      <c r="S2062" s="4" t="n">
        <v>2</v>
      </c>
      <c r="T2062" s="1" t="inlineStr">
        <is>
          <t>draft</t>
        </is>
      </c>
      <c r="U2062" s="8" t="n"/>
      <c r="V2062" s="1" t="inlineStr">
        <is>
          <t>SIN PRECIO</t>
        </is>
      </c>
    </row>
    <row r="2063">
      <c r="A2063" s="1" t="inlineStr">
        <is>
          <t>89246882037293</t>
        </is>
      </c>
      <c r="B2063" s="1" t="inlineStr">
        <is>
          <t>ARETES CD HALF PEARL</t>
        </is>
      </c>
      <c r="C2063" s="1" t="inlineStr">
        <is>
          <t>Default Title</t>
        </is>
      </c>
      <c r="D2063" s="1" t="inlineStr">
        <is>
          <t>HAIFENG</t>
        </is>
      </c>
      <c r="E2063" s="4">
        <f>COUNTIF('DETALLE CRONOLÓGICO'!$A$2:$A$4919,$A2063)</f>
        <v/>
      </c>
      <c r="F2063" s="4">
        <f>SUMIFS('DETALLE CRONOLÓGICO'!$I$2:$I$4919,'DETALLE CRONOLÓGICO'!$A$2:$A$4919,$A2063)</f>
        <v/>
      </c>
      <c r="G2063" s="1">
        <f>INDEX('DETALLE CRONOLÓGICO'!$D$2:$D$4919,MATCH($A2063,'DETALLE CRONOLÓGICO'!$A$2:$A$4919,0))</f>
        <v/>
      </c>
      <c r="H2063" s="1">
        <f>INDEX('DETALLE CRONOLÓGICO'!$D$2:$D$4919,MATCH($A2063,'DETALLE CRONOLÓGICO'!$A$2:$A$4919,0)+$E2063-1)</f>
        <v/>
      </c>
      <c r="I2063" s="5">
        <f>IFERROR(SUMIFS('DETALLE CRONOLÓGICO'!$L$2:$L$4919,'DETALLE CRONOLÓGICO'!$A$2:$A$4919,$A2063)/$F2063,"")</f>
        <v/>
      </c>
      <c r="J2063" s="6">
        <f>IFERROR(SUMIFS('DETALLE CRONOLÓGICO'!$K$2:$K$4919,'DETALLE CRONOLÓGICO'!$A$2:$A$4919,$A2063)/$E2063,"")</f>
        <v/>
      </c>
      <c r="K2063" s="6">
        <f>_xlfn.MINIFS('DETALLE CRONOLÓGICO'!$K$2:$K$4919,'DETALLE CRONOLÓGICO'!$A$2:$A$4919,$A2063)</f>
        <v/>
      </c>
      <c r="L2063" s="6">
        <f>_xlfn.MAXIFS('DETALLE CRONOLÓGICO'!$K$2:$K$4919,'DETALLE CRONOLÓGICO'!$A$2:$A$4919,$A2063)</f>
        <v/>
      </c>
      <c r="M2063" s="6">
        <f>INDEX('DETALLE CRONOLÓGICO'!$K$2:$K$4919,MATCH($A2063,'DETALLE CRONOLÓGICO'!$A$2:$A$4919,0)+$E2063-1)</f>
        <v/>
      </c>
      <c r="N2063" s="7">
        <f>IFERROR($M2063/INDEX('DETALLE CRONOLÓGICO'!$K$2:$K$4919,MATCH($A2063,'DETALLE CRONOLÓGICO'!$A$2:$A$4919,0))-1,"")</f>
        <v/>
      </c>
      <c r="O2063" s="6">
        <f>IFERROR($I2063*3,"")</f>
        <v/>
      </c>
      <c r="P2063" s="6">
        <f>IFERROR($I2063*3.5,"")</f>
        <v/>
      </c>
      <c r="Q2063" s="6">
        <f>IFERROR($I2063*4,"")</f>
        <v/>
      </c>
      <c r="R2063" s="6" t="n">
        <v>400</v>
      </c>
      <c r="S2063" s="4" t="n">
        <v>2</v>
      </c>
      <c r="T2063" s="1" t="inlineStr">
        <is>
          <t>draft</t>
        </is>
      </c>
      <c r="U2063" s="8" t="n"/>
      <c r="V2063" s="1" t="inlineStr">
        <is>
          <t>SIN PRECIO</t>
        </is>
      </c>
    </row>
    <row r="2064">
      <c r="A2064" s="1" t="inlineStr">
        <is>
          <t>89246882101133</t>
        </is>
      </c>
      <c r="B2064" s="1" t="inlineStr">
        <is>
          <t>ARETES CD PEARL</t>
        </is>
      </c>
      <c r="C2064" s="1" t="inlineStr">
        <is>
          <t>Default Title</t>
        </is>
      </c>
      <c r="D2064" s="1" t="inlineStr">
        <is>
          <t>HAIFENG</t>
        </is>
      </c>
      <c r="E2064" s="4">
        <f>COUNTIF('DETALLE CRONOLÓGICO'!$A$2:$A$4919,$A2064)</f>
        <v/>
      </c>
      <c r="F2064" s="4">
        <f>SUMIFS('DETALLE CRONOLÓGICO'!$I$2:$I$4919,'DETALLE CRONOLÓGICO'!$A$2:$A$4919,$A2064)</f>
        <v/>
      </c>
      <c r="G2064" s="1">
        <f>INDEX('DETALLE CRONOLÓGICO'!$D$2:$D$4919,MATCH($A2064,'DETALLE CRONOLÓGICO'!$A$2:$A$4919,0))</f>
        <v/>
      </c>
      <c r="H2064" s="1">
        <f>INDEX('DETALLE CRONOLÓGICO'!$D$2:$D$4919,MATCH($A2064,'DETALLE CRONOLÓGICO'!$A$2:$A$4919,0)+$E2064-1)</f>
        <v/>
      </c>
      <c r="I2064" s="5">
        <f>IFERROR(SUMIFS('DETALLE CRONOLÓGICO'!$L$2:$L$4919,'DETALLE CRONOLÓGICO'!$A$2:$A$4919,$A2064)/$F2064,"")</f>
        <v/>
      </c>
      <c r="J2064" s="6">
        <f>IFERROR(SUMIFS('DETALLE CRONOLÓGICO'!$K$2:$K$4919,'DETALLE CRONOLÓGICO'!$A$2:$A$4919,$A2064)/$E2064,"")</f>
        <v/>
      </c>
      <c r="K2064" s="6">
        <f>_xlfn.MINIFS('DETALLE CRONOLÓGICO'!$K$2:$K$4919,'DETALLE CRONOLÓGICO'!$A$2:$A$4919,$A2064)</f>
        <v/>
      </c>
      <c r="L2064" s="6">
        <f>_xlfn.MAXIFS('DETALLE CRONOLÓGICO'!$K$2:$K$4919,'DETALLE CRONOLÓGICO'!$A$2:$A$4919,$A2064)</f>
        <v/>
      </c>
      <c r="M2064" s="6">
        <f>INDEX('DETALLE CRONOLÓGICO'!$K$2:$K$4919,MATCH($A2064,'DETALLE CRONOLÓGICO'!$A$2:$A$4919,0)+$E2064-1)</f>
        <v/>
      </c>
      <c r="N2064" s="7">
        <f>IFERROR($M2064/INDEX('DETALLE CRONOLÓGICO'!$K$2:$K$4919,MATCH($A2064,'DETALLE CRONOLÓGICO'!$A$2:$A$4919,0))-1,"")</f>
        <v/>
      </c>
      <c r="O2064" s="6">
        <f>IFERROR($I2064*3,"")</f>
        <v/>
      </c>
      <c r="P2064" s="6">
        <f>IFERROR($I2064*3.5,"")</f>
        <v/>
      </c>
      <c r="Q2064" s="6">
        <f>IFERROR($I2064*4,"")</f>
        <v/>
      </c>
      <c r="R2064" s="6" t="n">
        <v>450</v>
      </c>
      <c r="S2064" s="4" t="n">
        <v>3</v>
      </c>
      <c r="T2064" s="1" t="inlineStr">
        <is>
          <t>active</t>
        </is>
      </c>
      <c r="U2064" s="8" t="n"/>
      <c r="V2064" s="1" t="inlineStr">
        <is>
          <t>SIN PRECIO</t>
        </is>
      </c>
    </row>
    <row r="2065">
      <c r="A2065" s="1" t="inlineStr">
        <is>
          <t>89246882202829</t>
        </is>
      </c>
      <c r="B2065" s="1" t="inlineStr">
        <is>
          <t>ARETES CD VINTAGE PEARL GOLD</t>
        </is>
      </c>
      <c r="C2065" s="1" t="inlineStr">
        <is>
          <t>Default Title</t>
        </is>
      </c>
      <c r="D2065" s="1" t="inlineStr">
        <is>
          <t>HAIFENG</t>
        </is>
      </c>
      <c r="E2065" s="4">
        <f>COUNTIF('DETALLE CRONOLÓGICO'!$A$2:$A$4919,$A2065)</f>
        <v/>
      </c>
      <c r="F2065" s="4">
        <f>SUMIFS('DETALLE CRONOLÓGICO'!$I$2:$I$4919,'DETALLE CRONOLÓGICO'!$A$2:$A$4919,$A2065)</f>
        <v/>
      </c>
      <c r="G2065" s="1">
        <f>INDEX('DETALLE CRONOLÓGICO'!$D$2:$D$4919,MATCH($A2065,'DETALLE CRONOLÓGICO'!$A$2:$A$4919,0))</f>
        <v/>
      </c>
      <c r="H2065" s="1">
        <f>INDEX('DETALLE CRONOLÓGICO'!$D$2:$D$4919,MATCH($A2065,'DETALLE CRONOLÓGICO'!$A$2:$A$4919,0)+$E2065-1)</f>
        <v/>
      </c>
      <c r="I2065" s="5">
        <f>IFERROR(SUMIFS('DETALLE CRONOLÓGICO'!$L$2:$L$4919,'DETALLE CRONOLÓGICO'!$A$2:$A$4919,$A2065)/$F2065,"")</f>
        <v/>
      </c>
      <c r="J2065" s="6">
        <f>IFERROR(SUMIFS('DETALLE CRONOLÓGICO'!$K$2:$K$4919,'DETALLE CRONOLÓGICO'!$A$2:$A$4919,$A2065)/$E2065,"")</f>
        <v/>
      </c>
      <c r="K2065" s="6">
        <f>_xlfn.MINIFS('DETALLE CRONOLÓGICO'!$K$2:$K$4919,'DETALLE CRONOLÓGICO'!$A$2:$A$4919,$A2065)</f>
        <v/>
      </c>
      <c r="L2065" s="6">
        <f>_xlfn.MAXIFS('DETALLE CRONOLÓGICO'!$K$2:$K$4919,'DETALLE CRONOLÓGICO'!$A$2:$A$4919,$A2065)</f>
        <v/>
      </c>
      <c r="M2065" s="6">
        <f>INDEX('DETALLE CRONOLÓGICO'!$K$2:$K$4919,MATCH($A2065,'DETALLE CRONOLÓGICO'!$A$2:$A$4919,0)+$E2065-1)</f>
        <v/>
      </c>
      <c r="N2065" s="7">
        <f>IFERROR($M2065/INDEX('DETALLE CRONOLÓGICO'!$K$2:$K$4919,MATCH($A2065,'DETALLE CRONOLÓGICO'!$A$2:$A$4919,0))-1,"")</f>
        <v/>
      </c>
      <c r="O2065" s="6">
        <f>IFERROR($I2065*3,"")</f>
        <v/>
      </c>
      <c r="P2065" s="6">
        <f>IFERROR($I2065*3.5,"")</f>
        <v/>
      </c>
      <c r="Q2065" s="6">
        <f>IFERROR($I2065*4,"")</f>
        <v/>
      </c>
      <c r="R2065" s="6" t="n">
        <v>0</v>
      </c>
      <c r="S2065" s="4" t="n">
        <v>0</v>
      </c>
      <c r="T2065" s="1" t="inlineStr">
        <is>
          <t>draft</t>
        </is>
      </c>
      <c r="U2065" s="8" t="n"/>
      <c r="V2065" s="1" t="inlineStr">
        <is>
          <t>SIN PRECIO</t>
        </is>
      </c>
    </row>
    <row r="2066">
      <c r="A2066" s="1" t="inlineStr">
        <is>
          <t>89246882368365</t>
        </is>
      </c>
      <c r="B2066" s="1" t="inlineStr">
        <is>
          <t>ARETES CD TREASURE GOLD</t>
        </is>
      </c>
      <c r="C2066" s="1" t="inlineStr">
        <is>
          <t>Default Title</t>
        </is>
      </c>
      <c r="D2066" s="1" t="inlineStr">
        <is>
          <t>HAIFENG</t>
        </is>
      </c>
      <c r="E2066" s="4">
        <f>COUNTIF('DETALLE CRONOLÓGICO'!$A$2:$A$4919,$A2066)</f>
        <v/>
      </c>
      <c r="F2066" s="4">
        <f>SUMIFS('DETALLE CRONOLÓGICO'!$I$2:$I$4919,'DETALLE CRONOLÓGICO'!$A$2:$A$4919,$A2066)</f>
        <v/>
      </c>
      <c r="G2066" s="1">
        <f>INDEX('DETALLE CRONOLÓGICO'!$D$2:$D$4919,MATCH($A2066,'DETALLE CRONOLÓGICO'!$A$2:$A$4919,0))</f>
        <v/>
      </c>
      <c r="H2066" s="1">
        <f>INDEX('DETALLE CRONOLÓGICO'!$D$2:$D$4919,MATCH($A2066,'DETALLE CRONOLÓGICO'!$A$2:$A$4919,0)+$E2066-1)</f>
        <v/>
      </c>
      <c r="I2066" s="5">
        <f>IFERROR(SUMIFS('DETALLE CRONOLÓGICO'!$L$2:$L$4919,'DETALLE CRONOLÓGICO'!$A$2:$A$4919,$A2066)/$F2066,"")</f>
        <v/>
      </c>
      <c r="J2066" s="6">
        <f>IFERROR(SUMIFS('DETALLE CRONOLÓGICO'!$K$2:$K$4919,'DETALLE CRONOLÓGICO'!$A$2:$A$4919,$A2066)/$E2066,"")</f>
        <v/>
      </c>
      <c r="K2066" s="6">
        <f>_xlfn.MINIFS('DETALLE CRONOLÓGICO'!$K$2:$K$4919,'DETALLE CRONOLÓGICO'!$A$2:$A$4919,$A2066)</f>
        <v/>
      </c>
      <c r="L2066" s="6">
        <f>_xlfn.MAXIFS('DETALLE CRONOLÓGICO'!$K$2:$K$4919,'DETALLE CRONOLÓGICO'!$A$2:$A$4919,$A2066)</f>
        <v/>
      </c>
      <c r="M2066" s="6">
        <f>INDEX('DETALLE CRONOLÓGICO'!$K$2:$K$4919,MATCH($A2066,'DETALLE CRONOLÓGICO'!$A$2:$A$4919,0)+$E2066-1)</f>
        <v/>
      </c>
      <c r="N2066" s="7">
        <f>IFERROR($M2066/INDEX('DETALLE CRONOLÓGICO'!$K$2:$K$4919,MATCH($A2066,'DETALLE CRONOLÓGICO'!$A$2:$A$4919,0))-1,"")</f>
        <v/>
      </c>
      <c r="O2066" s="6">
        <f>IFERROR($I2066*3,"")</f>
        <v/>
      </c>
      <c r="P2066" s="6">
        <f>IFERROR($I2066*3.5,"")</f>
        <v/>
      </c>
      <c r="Q2066" s="6">
        <f>IFERROR($I2066*4,"")</f>
        <v/>
      </c>
      <c r="R2066" s="6" t="n">
        <v>400</v>
      </c>
      <c r="S2066" s="4" t="n">
        <v>0</v>
      </c>
      <c r="T2066" s="1" t="inlineStr">
        <is>
          <t>active</t>
        </is>
      </c>
      <c r="U2066" s="8" t="n"/>
      <c r="V2066" s="1" t="inlineStr">
        <is>
          <t>SIN PRECIO</t>
        </is>
      </c>
    </row>
    <row r="2067">
      <c r="A2067" s="1" t="inlineStr">
        <is>
          <t>89246882471757</t>
        </is>
      </c>
      <c r="B2067" s="1" t="inlineStr">
        <is>
          <t>ANILLO H ESCAPE SILVER</t>
        </is>
      </c>
      <c r="C2067" s="1" t="inlineStr">
        <is>
          <t>7</t>
        </is>
      </c>
      <c r="D2067" s="1" t="inlineStr">
        <is>
          <t>HAIFENG</t>
        </is>
      </c>
      <c r="E2067" s="4">
        <f>COUNTIF('DETALLE CRONOLÓGICO'!$A$2:$A$4919,$A2067)</f>
        <v/>
      </c>
      <c r="F2067" s="4">
        <f>SUMIFS('DETALLE CRONOLÓGICO'!$I$2:$I$4919,'DETALLE CRONOLÓGICO'!$A$2:$A$4919,$A2067)</f>
        <v/>
      </c>
      <c r="G2067" s="1">
        <f>INDEX('DETALLE CRONOLÓGICO'!$D$2:$D$4919,MATCH($A2067,'DETALLE CRONOLÓGICO'!$A$2:$A$4919,0))</f>
        <v/>
      </c>
      <c r="H2067" s="1">
        <f>INDEX('DETALLE CRONOLÓGICO'!$D$2:$D$4919,MATCH($A2067,'DETALLE CRONOLÓGICO'!$A$2:$A$4919,0)+$E2067-1)</f>
        <v/>
      </c>
      <c r="I2067" s="5">
        <f>IFERROR(SUMIFS('DETALLE CRONOLÓGICO'!$L$2:$L$4919,'DETALLE CRONOLÓGICO'!$A$2:$A$4919,$A2067)/$F2067,"")</f>
        <v/>
      </c>
      <c r="J2067" s="6">
        <f>IFERROR(SUMIFS('DETALLE CRONOLÓGICO'!$K$2:$K$4919,'DETALLE CRONOLÓGICO'!$A$2:$A$4919,$A2067)/$E2067,"")</f>
        <v/>
      </c>
      <c r="K2067" s="6">
        <f>_xlfn.MINIFS('DETALLE CRONOLÓGICO'!$K$2:$K$4919,'DETALLE CRONOLÓGICO'!$A$2:$A$4919,$A2067)</f>
        <v/>
      </c>
      <c r="L2067" s="6">
        <f>_xlfn.MAXIFS('DETALLE CRONOLÓGICO'!$K$2:$K$4919,'DETALLE CRONOLÓGICO'!$A$2:$A$4919,$A2067)</f>
        <v/>
      </c>
      <c r="M2067" s="6">
        <f>INDEX('DETALLE CRONOLÓGICO'!$K$2:$K$4919,MATCH($A2067,'DETALLE CRONOLÓGICO'!$A$2:$A$4919,0)+$E2067-1)</f>
        <v/>
      </c>
      <c r="N2067" s="7">
        <f>IFERROR($M2067/INDEX('DETALLE CRONOLÓGICO'!$K$2:$K$4919,MATCH($A2067,'DETALLE CRONOLÓGICO'!$A$2:$A$4919,0))-1,"")</f>
        <v/>
      </c>
      <c r="O2067" s="6">
        <f>IFERROR($I2067*3,"")</f>
        <v/>
      </c>
      <c r="P2067" s="6">
        <f>IFERROR($I2067*3.5,"")</f>
        <v/>
      </c>
      <c r="Q2067" s="6">
        <f>IFERROR($I2067*4,"")</f>
        <v/>
      </c>
      <c r="R2067" s="6" t="n">
        <v>599</v>
      </c>
      <c r="S2067" s="4" t="n">
        <v>2</v>
      </c>
      <c r="T2067" s="1" t="inlineStr">
        <is>
          <t>draft</t>
        </is>
      </c>
      <c r="U2067" s="8" t="n"/>
      <c r="V2067" s="1" t="inlineStr">
        <is>
          <t>SIN PRECIO</t>
        </is>
      </c>
    </row>
    <row r="2068">
      <c r="A2068" s="1" t="inlineStr">
        <is>
          <t>89246882509613</t>
        </is>
      </c>
      <c r="B2068" s="1" t="inlineStr">
        <is>
          <t>ANILLO H KELLY SILVER</t>
        </is>
      </c>
      <c r="C2068" s="1" t="inlineStr">
        <is>
          <t>7</t>
        </is>
      </c>
      <c r="D2068" s="1" t="inlineStr">
        <is>
          <t>HAIFENG</t>
        </is>
      </c>
      <c r="E2068" s="4">
        <f>COUNTIF('DETALLE CRONOLÓGICO'!$A$2:$A$4919,$A2068)</f>
        <v/>
      </c>
      <c r="F2068" s="4">
        <f>SUMIFS('DETALLE CRONOLÓGICO'!$I$2:$I$4919,'DETALLE CRONOLÓGICO'!$A$2:$A$4919,$A2068)</f>
        <v/>
      </c>
      <c r="G2068" s="1">
        <f>INDEX('DETALLE CRONOLÓGICO'!$D$2:$D$4919,MATCH($A2068,'DETALLE CRONOLÓGICO'!$A$2:$A$4919,0))</f>
        <v/>
      </c>
      <c r="H2068" s="1">
        <f>INDEX('DETALLE CRONOLÓGICO'!$D$2:$D$4919,MATCH($A2068,'DETALLE CRONOLÓGICO'!$A$2:$A$4919,0)+$E2068-1)</f>
        <v/>
      </c>
      <c r="I2068" s="5">
        <f>IFERROR(SUMIFS('DETALLE CRONOLÓGICO'!$L$2:$L$4919,'DETALLE CRONOLÓGICO'!$A$2:$A$4919,$A2068)/$F2068,"")</f>
        <v/>
      </c>
      <c r="J2068" s="6">
        <f>IFERROR(SUMIFS('DETALLE CRONOLÓGICO'!$K$2:$K$4919,'DETALLE CRONOLÓGICO'!$A$2:$A$4919,$A2068)/$E2068,"")</f>
        <v/>
      </c>
      <c r="K2068" s="6">
        <f>_xlfn.MINIFS('DETALLE CRONOLÓGICO'!$K$2:$K$4919,'DETALLE CRONOLÓGICO'!$A$2:$A$4919,$A2068)</f>
        <v/>
      </c>
      <c r="L2068" s="6">
        <f>_xlfn.MAXIFS('DETALLE CRONOLÓGICO'!$K$2:$K$4919,'DETALLE CRONOLÓGICO'!$A$2:$A$4919,$A2068)</f>
        <v/>
      </c>
      <c r="M2068" s="6">
        <f>INDEX('DETALLE CRONOLÓGICO'!$K$2:$K$4919,MATCH($A2068,'DETALLE CRONOLÓGICO'!$A$2:$A$4919,0)+$E2068-1)</f>
        <v/>
      </c>
      <c r="N2068" s="7">
        <f>IFERROR($M2068/INDEX('DETALLE CRONOLÓGICO'!$K$2:$K$4919,MATCH($A2068,'DETALLE CRONOLÓGICO'!$A$2:$A$4919,0))-1,"")</f>
        <v/>
      </c>
      <c r="O2068" s="6">
        <f>IFERROR($I2068*3,"")</f>
        <v/>
      </c>
      <c r="P2068" s="6">
        <f>IFERROR($I2068*3.5,"")</f>
        <v/>
      </c>
      <c r="Q2068" s="6">
        <f>IFERROR($I2068*4,"")</f>
        <v/>
      </c>
      <c r="R2068" s="6" t="n">
        <v>599</v>
      </c>
      <c r="S2068" s="4" t="n">
        <v>2</v>
      </c>
      <c r="T2068" s="1" t="inlineStr">
        <is>
          <t>draft</t>
        </is>
      </c>
      <c r="U2068" s="8" t="n"/>
      <c r="V2068" s="1" t="inlineStr">
        <is>
          <t>SIN PRECIO</t>
        </is>
      </c>
    </row>
    <row r="2069">
      <c r="A2069" s="1" t="inlineStr">
        <is>
          <t>89246882645773</t>
        </is>
      </c>
      <c r="B2069" s="1" t="inlineStr">
        <is>
          <t>PULSERA H FINESSE SILVER</t>
        </is>
      </c>
      <c r="C2069" s="1" t="inlineStr">
        <is>
          <t>Default Title</t>
        </is>
      </c>
      <c r="D2069" s="1" t="inlineStr">
        <is>
          <t>HAIFENG</t>
        </is>
      </c>
      <c r="E2069" s="4">
        <f>COUNTIF('DETALLE CRONOLÓGICO'!$A$2:$A$4919,$A2069)</f>
        <v/>
      </c>
      <c r="F2069" s="4">
        <f>SUMIFS('DETALLE CRONOLÓGICO'!$I$2:$I$4919,'DETALLE CRONOLÓGICO'!$A$2:$A$4919,$A2069)</f>
        <v/>
      </c>
      <c r="G2069" s="1">
        <f>INDEX('DETALLE CRONOLÓGICO'!$D$2:$D$4919,MATCH($A2069,'DETALLE CRONOLÓGICO'!$A$2:$A$4919,0))</f>
        <v/>
      </c>
      <c r="H2069" s="1">
        <f>INDEX('DETALLE CRONOLÓGICO'!$D$2:$D$4919,MATCH($A2069,'DETALLE CRONOLÓGICO'!$A$2:$A$4919,0)+$E2069-1)</f>
        <v/>
      </c>
      <c r="I2069" s="5">
        <f>IFERROR(SUMIFS('DETALLE CRONOLÓGICO'!$L$2:$L$4919,'DETALLE CRONOLÓGICO'!$A$2:$A$4919,$A2069)/$F2069,"")</f>
        <v/>
      </c>
      <c r="J2069" s="6">
        <f>IFERROR(SUMIFS('DETALLE CRONOLÓGICO'!$K$2:$K$4919,'DETALLE CRONOLÓGICO'!$A$2:$A$4919,$A2069)/$E2069,"")</f>
        <v/>
      </c>
      <c r="K2069" s="6">
        <f>_xlfn.MINIFS('DETALLE CRONOLÓGICO'!$K$2:$K$4919,'DETALLE CRONOLÓGICO'!$A$2:$A$4919,$A2069)</f>
        <v/>
      </c>
      <c r="L2069" s="6">
        <f>_xlfn.MAXIFS('DETALLE CRONOLÓGICO'!$K$2:$K$4919,'DETALLE CRONOLÓGICO'!$A$2:$A$4919,$A2069)</f>
        <v/>
      </c>
      <c r="M2069" s="6">
        <f>INDEX('DETALLE CRONOLÓGICO'!$K$2:$K$4919,MATCH($A2069,'DETALLE CRONOLÓGICO'!$A$2:$A$4919,0)+$E2069-1)</f>
        <v/>
      </c>
      <c r="N2069" s="7">
        <f>IFERROR($M2069/INDEX('DETALLE CRONOLÓGICO'!$K$2:$K$4919,MATCH($A2069,'DETALLE CRONOLÓGICO'!$A$2:$A$4919,0))-1,"")</f>
        <v/>
      </c>
      <c r="O2069" s="6">
        <f>IFERROR($I2069*3,"")</f>
        <v/>
      </c>
      <c r="P2069" s="6">
        <f>IFERROR($I2069*3.5,"")</f>
        <v/>
      </c>
      <c r="Q2069" s="6">
        <f>IFERROR($I2069*4,"")</f>
        <v/>
      </c>
      <c r="R2069" s="6" t="n">
        <v>850</v>
      </c>
      <c r="S2069" s="4" t="n">
        <v>1</v>
      </c>
      <c r="T2069" s="1" t="inlineStr">
        <is>
          <t>active</t>
        </is>
      </c>
      <c r="U2069" s="8" t="n"/>
      <c r="V2069" s="1" t="inlineStr">
        <is>
          <t>SIN PRECIO</t>
        </is>
      </c>
    </row>
    <row r="2070">
      <c r="A2070" s="1" t="inlineStr">
        <is>
          <t>89246882713005</t>
        </is>
      </c>
      <c r="B2070" s="1" t="inlineStr">
        <is>
          <t>BRAZALETE H ESLABONES CHAINE GOLD</t>
        </is>
      </c>
      <c r="C2070" s="1" t="inlineStr">
        <is>
          <t>Default Title</t>
        </is>
      </c>
      <c r="D2070" s="1" t="inlineStr">
        <is>
          <t>HAIFENG</t>
        </is>
      </c>
      <c r="E2070" s="4">
        <f>COUNTIF('DETALLE CRONOLÓGICO'!$A$2:$A$4919,$A2070)</f>
        <v/>
      </c>
      <c r="F2070" s="4">
        <f>SUMIFS('DETALLE CRONOLÓGICO'!$I$2:$I$4919,'DETALLE CRONOLÓGICO'!$A$2:$A$4919,$A2070)</f>
        <v/>
      </c>
      <c r="G2070" s="1">
        <f>INDEX('DETALLE CRONOLÓGICO'!$D$2:$D$4919,MATCH($A2070,'DETALLE CRONOLÓGICO'!$A$2:$A$4919,0))</f>
        <v/>
      </c>
      <c r="H2070" s="1">
        <f>INDEX('DETALLE CRONOLÓGICO'!$D$2:$D$4919,MATCH($A2070,'DETALLE CRONOLÓGICO'!$A$2:$A$4919,0)+$E2070-1)</f>
        <v/>
      </c>
      <c r="I2070" s="5">
        <f>IFERROR(SUMIFS('DETALLE CRONOLÓGICO'!$L$2:$L$4919,'DETALLE CRONOLÓGICO'!$A$2:$A$4919,$A2070)/$F2070,"")</f>
        <v/>
      </c>
      <c r="J2070" s="6">
        <f>IFERROR(SUMIFS('DETALLE CRONOLÓGICO'!$K$2:$K$4919,'DETALLE CRONOLÓGICO'!$A$2:$A$4919,$A2070)/$E2070,"")</f>
        <v/>
      </c>
      <c r="K2070" s="6">
        <f>_xlfn.MINIFS('DETALLE CRONOLÓGICO'!$K$2:$K$4919,'DETALLE CRONOLÓGICO'!$A$2:$A$4919,$A2070)</f>
        <v/>
      </c>
      <c r="L2070" s="6">
        <f>_xlfn.MAXIFS('DETALLE CRONOLÓGICO'!$K$2:$K$4919,'DETALLE CRONOLÓGICO'!$A$2:$A$4919,$A2070)</f>
        <v/>
      </c>
      <c r="M2070" s="6">
        <f>INDEX('DETALLE CRONOLÓGICO'!$K$2:$K$4919,MATCH($A2070,'DETALLE CRONOLÓGICO'!$A$2:$A$4919,0)+$E2070-1)</f>
        <v/>
      </c>
      <c r="N2070" s="7">
        <f>IFERROR($M2070/INDEX('DETALLE CRONOLÓGICO'!$K$2:$K$4919,MATCH($A2070,'DETALLE CRONOLÓGICO'!$A$2:$A$4919,0))-1,"")</f>
        <v/>
      </c>
      <c r="O2070" s="6">
        <f>IFERROR($I2070*3,"")</f>
        <v/>
      </c>
      <c r="P2070" s="6">
        <f>IFERROR($I2070*3.5,"")</f>
        <v/>
      </c>
      <c r="Q2070" s="6">
        <f>IFERROR($I2070*4,"")</f>
        <v/>
      </c>
      <c r="R2070" s="6" t="n">
        <v>999</v>
      </c>
      <c r="S2070" s="4" t="n">
        <v>1</v>
      </c>
      <c r="T2070" s="1" t="inlineStr">
        <is>
          <t>active</t>
        </is>
      </c>
      <c r="U2070" s="8" t="n"/>
      <c r="V2070" s="1" t="inlineStr">
        <is>
          <t>SIN PRECIO</t>
        </is>
      </c>
    </row>
    <row r="2071">
      <c r="A2071" s="1" t="inlineStr">
        <is>
          <t>89246882816397</t>
        </is>
      </c>
      <c r="B2071" s="1" t="inlineStr">
        <is>
          <t>BRAZALETE H FARANDOLE SILVER</t>
        </is>
      </c>
      <c r="C2071" s="1" t="inlineStr">
        <is>
          <t>Default Title</t>
        </is>
      </c>
      <c r="D2071" s="1" t="inlineStr">
        <is>
          <t>HAIFENG</t>
        </is>
      </c>
      <c r="E2071" s="4">
        <f>COUNTIF('DETALLE CRONOLÓGICO'!$A$2:$A$4919,$A2071)</f>
        <v/>
      </c>
      <c r="F2071" s="4">
        <f>SUMIFS('DETALLE CRONOLÓGICO'!$I$2:$I$4919,'DETALLE CRONOLÓGICO'!$A$2:$A$4919,$A2071)</f>
        <v/>
      </c>
      <c r="G2071" s="1">
        <f>INDEX('DETALLE CRONOLÓGICO'!$D$2:$D$4919,MATCH($A2071,'DETALLE CRONOLÓGICO'!$A$2:$A$4919,0))</f>
        <v/>
      </c>
      <c r="H2071" s="1">
        <f>INDEX('DETALLE CRONOLÓGICO'!$D$2:$D$4919,MATCH($A2071,'DETALLE CRONOLÓGICO'!$A$2:$A$4919,0)+$E2071-1)</f>
        <v/>
      </c>
      <c r="I2071" s="5">
        <f>IFERROR(SUMIFS('DETALLE CRONOLÓGICO'!$L$2:$L$4919,'DETALLE CRONOLÓGICO'!$A$2:$A$4919,$A2071)/$F2071,"")</f>
        <v/>
      </c>
      <c r="J2071" s="6">
        <f>IFERROR(SUMIFS('DETALLE CRONOLÓGICO'!$K$2:$K$4919,'DETALLE CRONOLÓGICO'!$A$2:$A$4919,$A2071)/$E2071,"")</f>
        <v/>
      </c>
      <c r="K2071" s="6">
        <f>_xlfn.MINIFS('DETALLE CRONOLÓGICO'!$K$2:$K$4919,'DETALLE CRONOLÓGICO'!$A$2:$A$4919,$A2071)</f>
        <v/>
      </c>
      <c r="L2071" s="6">
        <f>_xlfn.MAXIFS('DETALLE CRONOLÓGICO'!$K$2:$K$4919,'DETALLE CRONOLÓGICO'!$A$2:$A$4919,$A2071)</f>
        <v/>
      </c>
      <c r="M2071" s="6">
        <f>INDEX('DETALLE CRONOLÓGICO'!$K$2:$K$4919,MATCH($A2071,'DETALLE CRONOLÓGICO'!$A$2:$A$4919,0)+$E2071-1)</f>
        <v/>
      </c>
      <c r="N2071" s="7">
        <f>IFERROR($M2071/INDEX('DETALLE CRONOLÓGICO'!$K$2:$K$4919,MATCH($A2071,'DETALLE CRONOLÓGICO'!$A$2:$A$4919,0))-1,"")</f>
        <v/>
      </c>
      <c r="O2071" s="6">
        <f>IFERROR($I2071*3,"")</f>
        <v/>
      </c>
      <c r="P2071" s="6">
        <f>IFERROR($I2071*3.5,"")</f>
        <v/>
      </c>
      <c r="Q2071" s="6">
        <f>IFERROR($I2071*4,"")</f>
        <v/>
      </c>
      <c r="R2071" s="6" t="n">
        <v>750</v>
      </c>
      <c r="S2071" s="4" t="n">
        <v>0</v>
      </c>
      <c r="T2071" s="1" t="inlineStr">
        <is>
          <t>active</t>
        </is>
      </c>
      <c r="U2071" s="8" t="n"/>
      <c r="V2071" s="1" t="inlineStr">
        <is>
          <t>SIN PRECIO</t>
        </is>
      </c>
    </row>
    <row r="2072">
      <c r="A2072" s="1" t="inlineStr">
        <is>
          <t>89246882985325</t>
        </is>
      </c>
      <c r="B2072" s="1" t="inlineStr">
        <is>
          <t>COLLAR H CHAINE D'ANCRE GOLD</t>
        </is>
      </c>
      <c r="C2072" s="1" t="inlineStr">
        <is>
          <t>Default Title</t>
        </is>
      </c>
      <c r="D2072" s="1" t="inlineStr">
        <is>
          <t>HAIFENG</t>
        </is>
      </c>
      <c r="E2072" s="4">
        <f>COUNTIF('DETALLE CRONOLÓGICO'!$A$2:$A$4919,$A2072)</f>
        <v/>
      </c>
      <c r="F2072" s="4">
        <f>SUMIFS('DETALLE CRONOLÓGICO'!$I$2:$I$4919,'DETALLE CRONOLÓGICO'!$A$2:$A$4919,$A2072)</f>
        <v/>
      </c>
      <c r="G2072" s="1">
        <f>INDEX('DETALLE CRONOLÓGICO'!$D$2:$D$4919,MATCH($A2072,'DETALLE CRONOLÓGICO'!$A$2:$A$4919,0))</f>
        <v/>
      </c>
      <c r="H2072" s="1">
        <f>INDEX('DETALLE CRONOLÓGICO'!$D$2:$D$4919,MATCH($A2072,'DETALLE CRONOLÓGICO'!$A$2:$A$4919,0)+$E2072-1)</f>
        <v/>
      </c>
      <c r="I2072" s="5">
        <f>IFERROR(SUMIFS('DETALLE CRONOLÓGICO'!$L$2:$L$4919,'DETALLE CRONOLÓGICO'!$A$2:$A$4919,$A2072)/$F2072,"")</f>
        <v/>
      </c>
      <c r="J2072" s="6">
        <f>IFERROR(SUMIFS('DETALLE CRONOLÓGICO'!$K$2:$K$4919,'DETALLE CRONOLÓGICO'!$A$2:$A$4919,$A2072)/$E2072,"")</f>
        <v/>
      </c>
      <c r="K2072" s="6">
        <f>_xlfn.MINIFS('DETALLE CRONOLÓGICO'!$K$2:$K$4919,'DETALLE CRONOLÓGICO'!$A$2:$A$4919,$A2072)</f>
        <v/>
      </c>
      <c r="L2072" s="6">
        <f>_xlfn.MAXIFS('DETALLE CRONOLÓGICO'!$K$2:$K$4919,'DETALLE CRONOLÓGICO'!$A$2:$A$4919,$A2072)</f>
        <v/>
      </c>
      <c r="M2072" s="6">
        <f>INDEX('DETALLE CRONOLÓGICO'!$K$2:$K$4919,MATCH($A2072,'DETALLE CRONOLÓGICO'!$A$2:$A$4919,0)+$E2072-1)</f>
        <v/>
      </c>
      <c r="N2072" s="7">
        <f>IFERROR($M2072/INDEX('DETALLE CRONOLÓGICO'!$K$2:$K$4919,MATCH($A2072,'DETALLE CRONOLÓGICO'!$A$2:$A$4919,0))-1,"")</f>
        <v/>
      </c>
      <c r="O2072" s="6">
        <f>IFERROR($I2072*3,"")</f>
        <v/>
      </c>
      <c r="P2072" s="6">
        <f>IFERROR($I2072*3.5,"")</f>
        <v/>
      </c>
      <c r="Q2072" s="6">
        <f>IFERROR($I2072*4,"")</f>
        <v/>
      </c>
      <c r="R2072" s="6" t="n">
        <v>850</v>
      </c>
      <c r="S2072" s="4" t="n">
        <v>2</v>
      </c>
      <c r="T2072" s="1" t="inlineStr">
        <is>
          <t>draft</t>
        </is>
      </c>
      <c r="U2072" s="8" t="n"/>
      <c r="V2072" s="1" t="inlineStr">
        <is>
          <t>SIN PRECIO</t>
        </is>
      </c>
    </row>
    <row r="2073">
      <c r="A2073" s="1" t="inlineStr">
        <is>
          <t>89246883050861</t>
        </is>
      </c>
      <c r="B2073" s="1" t="inlineStr">
        <is>
          <t>COLLAR H CHAINE GOLD</t>
        </is>
      </c>
      <c r="C2073" s="1" t="inlineStr">
        <is>
          <t>Default Title</t>
        </is>
      </c>
      <c r="D2073" s="1" t="inlineStr">
        <is>
          <t>HAIFENG</t>
        </is>
      </c>
      <c r="E2073" s="4">
        <f>COUNTIF('DETALLE CRONOLÓGICO'!$A$2:$A$4919,$A2073)</f>
        <v/>
      </c>
      <c r="F2073" s="4">
        <f>SUMIFS('DETALLE CRONOLÓGICO'!$I$2:$I$4919,'DETALLE CRONOLÓGICO'!$A$2:$A$4919,$A2073)</f>
        <v/>
      </c>
      <c r="G2073" s="1">
        <f>INDEX('DETALLE CRONOLÓGICO'!$D$2:$D$4919,MATCH($A2073,'DETALLE CRONOLÓGICO'!$A$2:$A$4919,0))</f>
        <v/>
      </c>
      <c r="H2073" s="1">
        <f>INDEX('DETALLE CRONOLÓGICO'!$D$2:$D$4919,MATCH($A2073,'DETALLE CRONOLÓGICO'!$A$2:$A$4919,0)+$E2073-1)</f>
        <v/>
      </c>
      <c r="I2073" s="5">
        <f>IFERROR(SUMIFS('DETALLE CRONOLÓGICO'!$L$2:$L$4919,'DETALLE CRONOLÓGICO'!$A$2:$A$4919,$A2073)/$F2073,"")</f>
        <v/>
      </c>
      <c r="J2073" s="6">
        <f>IFERROR(SUMIFS('DETALLE CRONOLÓGICO'!$K$2:$K$4919,'DETALLE CRONOLÓGICO'!$A$2:$A$4919,$A2073)/$E2073,"")</f>
        <v/>
      </c>
      <c r="K2073" s="6">
        <f>_xlfn.MINIFS('DETALLE CRONOLÓGICO'!$K$2:$K$4919,'DETALLE CRONOLÓGICO'!$A$2:$A$4919,$A2073)</f>
        <v/>
      </c>
      <c r="L2073" s="6">
        <f>_xlfn.MAXIFS('DETALLE CRONOLÓGICO'!$K$2:$K$4919,'DETALLE CRONOLÓGICO'!$A$2:$A$4919,$A2073)</f>
        <v/>
      </c>
      <c r="M2073" s="6">
        <f>INDEX('DETALLE CRONOLÓGICO'!$K$2:$K$4919,MATCH($A2073,'DETALLE CRONOLÓGICO'!$A$2:$A$4919,0)+$E2073-1)</f>
        <v/>
      </c>
      <c r="N2073" s="7">
        <f>IFERROR($M2073/INDEX('DETALLE CRONOLÓGICO'!$K$2:$K$4919,MATCH($A2073,'DETALLE CRONOLÓGICO'!$A$2:$A$4919,0))-1,"")</f>
        <v/>
      </c>
      <c r="O2073" s="6">
        <f>IFERROR($I2073*3,"")</f>
        <v/>
      </c>
      <c r="P2073" s="6">
        <f>IFERROR($I2073*3.5,"")</f>
        <v/>
      </c>
      <c r="Q2073" s="6">
        <f>IFERROR($I2073*4,"")</f>
        <v/>
      </c>
      <c r="R2073" s="6" t="n">
        <v>599</v>
      </c>
      <c r="S2073" s="4" t="n">
        <v>2</v>
      </c>
      <c r="T2073" s="1" t="inlineStr">
        <is>
          <t>draft</t>
        </is>
      </c>
      <c r="U2073" s="8" t="n"/>
      <c r="V2073" s="1" t="inlineStr">
        <is>
          <t>SIN PRECIO</t>
        </is>
      </c>
    </row>
    <row r="2074">
      <c r="A2074" s="1" t="inlineStr">
        <is>
          <t>89246883152557</t>
        </is>
      </c>
      <c r="B2074" s="1" t="inlineStr">
        <is>
          <t>COLLAR H CHAINE GOLD ZIRCONIAS</t>
        </is>
      </c>
      <c r="C2074" s="1" t="inlineStr">
        <is>
          <t>Default Title</t>
        </is>
      </c>
      <c r="D2074" s="1" t="inlineStr">
        <is>
          <t>HAIFENG</t>
        </is>
      </c>
      <c r="E2074" s="4">
        <f>COUNTIF('DETALLE CRONOLÓGICO'!$A$2:$A$4919,$A2074)</f>
        <v/>
      </c>
      <c r="F2074" s="4">
        <f>SUMIFS('DETALLE CRONOLÓGICO'!$I$2:$I$4919,'DETALLE CRONOLÓGICO'!$A$2:$A$4919,$A2074)</f>
        <v/>
      </c>
      <c r="G2074" s="1">
        <f>INDEX('DETALLE CRONOLÓGICO'!$D$2:$D$4919,MATCH($A2074,'DETALLE CRONOLÓGICO'!$A$2:$A$4919,0))</f>
        <v/>
      </c>
      <c r="H2074" s="1">
        <f>INDEX('DETALLE CRONOLÓGICO'!$D$2:$D$4919,MATCH($A2074,'DETALLE CRONOLÓGICO'!$A$2:$A$4919,0)+$E2074-1)</f>
        <v/>
      </c>
      <c r="I2074" s="5">
        <f>IFERROR(SUMIFS('DETALLE CRONOLÓGICO'!$L$2:$L$4919,'DETALLE CRONOLÓGICO'!$A$2:$A$4919,$A2074)/$F2074,"")</f>
        <v/>
      </c>
      <c r="J2074" s="6">
        <f>IFERROR(SUMIFS('DETALLE CRONOLÓGICO'!$K$2:$K$4919,'DETALLE CRONOLÓGICO'!$A$2:$A$4919,$A2074)/$E2074,"")</f>
        <v/>
      </c>
      <c r="K2074" s="6">
        <f>_xlfn.MINIFS('DETALLE CRONOLÓGICO'!$K$2:$K$4919,'DETALLE CRONOLÓGICO'!$A$2:$A$4919,$A2074)</f>
        <v/>
      </c>
      <c r="L2074" s="6">
        <f>_xlfn.MAXIFS('DETALLE CRONOLÓGICO'!$K$2:$K$4919,'DETALLE CRONOLÓGICO'!$A$2:$A$4919,$A2074)</f>
        <v/>
      </c>
      <c r="M2074" s="6">
        <f>INDEX('DETALLE CRONOLÓGICO'!$K$2:$K$4919,MATCH($A2074,'DETALLE CRONOLÓGICO'!$A$2:$A$4919,0)+$E2074-1)</f>
        <v/>
      </c>
      <c r="N2074" s="7">
        <f>IFERROR($M2074/INDEX('DETALLE CRONOLÓGICO'!$K$2:$K$4919,MATCH($A2074,'DETALLE CRONOLÓGICO'!$A$2:$A$4919,0))-1,"")</f>
        <v/>
      </c>
      <c r="O2074" s="6">
        <f>IFERROR($I2074*3,"")</f>
        <v/>
      </c>
      <c r="P2074" s="6">
        <f>IFERROR($I2074*3.5,"")</f>
        <v/>
      </c>
      <c r="Q2074" s="6">
        <f>IFERROR($I2074*4,"")</f>
        <v/>
      </c>
      <c r="R2074" s="6" t="n">
        <v>599</v>
      </c>
      <c r="S2074" s="4" t="n">
        <v>0</v>
      </c>
      <c r="T2074" s="1" t="inlineStr">
        <is>
          <t>draft</t>
        </is>
      </c>
      <c r="U2074" s="8" t="n"/>
      <c r="V2074" s="1" t="inlineStr">
        <is>
          <t>SIN PRECIO</t>
        </is>
      </c>
    </row>
    <row r="2075">
      <c r="A2075" s="1" t="inlineStr">
        <is>
          <t>89246883287021</t>
        </is>
      </c>
      <c r="B2075" s="1" t="inlineStr">
        <is>
          <t>ARETES H FINESSE SILVER</t>
        </is>
      </c>
      <c r="C2075" s="1" t="inlineStr">
        <is>
          <t>Default Title</t>
        </is>
      </c>
      <c r="D2075" s="1" t="inlineStr">
        <is>
          <t>HAIFENG</t>
        </is>
      </c>
      <c r="E2075" s="4">
        <f>COUNTIF('DETALLE CRONOLÓGICO'!$A$2:$A$4919,$A2075)</f>
        <v/>
      </c>
      <c r="F2075" s="4">
        <f>SUMIFS('DETALLE CRONOLÓGICO'!$I$2:$I$4919,'DETALLE CRONOLÓGICO'!$A$2:$A$4919,$A2075)</f>
        <v/>
      </c>
      <c r="G2075" s="1">
        <f>INDEX('DETALLE CRONOLÓGICO'!$D$2:$D$4919,MATCH($A2075,'DETALLE CRONOLÓGICO'!$A$2:$A$4919,0))</f>
        <v/>
      </c>
      <c r="H2075" s="1">
        <f>INDEX('DETALLE CRONOLÓGICO'!$D$2:$D$4919,MATCH($A2075,'DETALLE CRONOLÓGICO'!$A$2:$A$4919,0)+$E2075-1)</f>
        <v/>
      </c>
      <c r="I2075" s="5">
        <f>IFERROR(SUMIFS('DETALLE CRONOLÓGICO'!$L$2:$L$4919,'DETALLE CRONOLÓGICO'!$A$2:$A$4919,$A2075)/$F2075,"")</f>
        <v/>
      </c>
      <c r="J2075" s="6">
        <f>IFERROR(SUMIFS('DETALLE CRONOLÓGICO'!$K$2:$K$4919,'DETALLE CRONOLÓGICO'!$A$2:$A$4919,$A2075)/$E2075,"")</f>
        <v/>
      </c>
      <c r="K2075" s="6">
        <f>_xlfn.MINIFS('DETALLE CRONOLÓGICO'!$K$2:$K$4919,'DETALLE CRONOLÓGICO'!$A$2:$A$4919,$A2075)</f>
        <v/>
      </c>
      <c r="L2075" s="6">
        <f>_xlfn.MAXIFS('DETALLE CRONOLÓGICO'!$K$2:$K$4919,'DETALLE CRONOLÓGICO'!$A$2:$A$4919,$A2075)</f>
        <v/>
      </c>
      <c r="M2075" s="6">
        <f>INDEX('DETALLE CRONOLÓGICO'!$K$2:$K$4919,MATCH($A2075,'DETALLE CRONOLÓGICO'!$A$2:$A$4919,0)+$E2075-1)</f>
        <v/>
      </c>
      <c r="N2075" s="7">
        <f>IFERROR($M2075/INDEX('DETALLE CRONOLÓGICO'!$K$2:$K$4919,MATCH($A2075,'DETALLE CRONOLÓGICO'!$A$2:$A$4919,0))-1,"")</f>
        <v/>
      </c>
      <c r="O2075" s="6">
        <f>IFERROR($I2075*3,"")</f>
        <v/>
      </c>
      <c r="P2075" s="6">
        <f>IFERROR($I2075*3.5,"")</f>
        <v/>
      </c>
      <c r="Q2075" s="6">
        <f>IFERROR($I2075*4,"")</f>
        <v/>
      </c>
      <c r="R2075" s="6" t="n">
        <v>499</v>
      </c>
      <c r="S2075" s="4" t="n">
        <v>0</v>
      </c>
      <c r="T2075" s="1" t="inlineStr">
        <is>
          <t>active</t>
        </is>
      </c>
      <c r="U2075" s="8" t="n"/>
      <c r="V2075" s="1" t="inlineStr">
        <is>
          <t>SIN PRECIO</t>
        </is>
      </c>
    </row>
    <row r="2076">
      <c r="A2076" s="1" t="inlineStr">
        <is>
          <t>89246883343533</t>
        </is>
      </c>
      <c r="B2076" s="1" t="inlineStr">
        <is>
          <t>ARETES LOGO H GOLD ZIRCONIAS</t>
        </is>
      </c>
      <c r="C2076" s="1" t="inlineStr">
        <is>
          <t>Default Title</t>
        </is>
      </c>
      <c r="D2076" s="1" t="inlineStr">
        <is>
          <t>HAIFENG</t>
        </is>
      </c>
      <c r="E2076" s="4">
        <f>COUNTIF('DETALLE CRONOLÓGICO'!$A$2:$A$4919,$A2076)</f>
        <v/>
      </c>
      <c r="F2076" s="4">
        <f>SUMIFS('DETALLE CRONOLÓGICO'!$I$2:$I$4919,'DETALLE CRONOLÓGICO'!$A$2:$A$4919,$A2076)</f>
        <v/>
      </c>
      <c r="G2076" s="1">
        <f>INDEX('DETALLE CRONOLÓGICO'!$D$2:$D$4919,MATCH($A2076,'DETALLE CRONOLÓGICO'!$A$2:$A$4919,0))</f>
        <v/>
      </c>
      <c r="H2076" s="1">
        <f>INDEX('DETALLE CRONOLÓGICO'!$D$2:$D$4919,MATCH($A2076,'DETALLE CRONOLÓGICO'!$A$2:$A$4919,0)+$E2076-1)</f>
        <v/>
      </c>
      <c r="I2076" s="5">
        <f>IFERROR(SUMIFS('DETALLE CRONOLÓGICO'!$L$2:$L$4919,'DETALLE CRONOLÓGICO'!$A$2:$A$4919,$A2076)/$F2076,"")</f>
        <v/>
      </c>
      <c r="J2076" s="6">
        <f>IFERROR(SUMIFS('DETALLE CRONOLÓGICO'!$K$2:$K$4919,'DETALLE CRONOLÓGICO'!$A$2:$A$4919,$A2076)/$E2076,"")</f>
        <v/>
      </c>
      <c r="K2076" s="6">
        <f>_xlfn.MINIFS('DETALLE CRONOLÓGICO'!$K$2:$K$4919,'DETALLE CRONOLÓGICO'!$A$2:$A$4919,$A2076)</f>
        <v/>
      </c>
      <c r="L2076" s="6">
        <f>_xlfn.MAXIFS('DETALLE CRONOLÓGICO'!$K$2:$K$4919,'DETALLE CRONOLÓGICO'!$A$2:$A$4919,$A2076)</f>
        <v/>
      </c>
      <c r="M2076" s="6">
        <f>INDEX('DETALLE CRONOLÓGICO'!$K$2:$K$4919,MATCH($A2076,'DETALLE CRONOLÓGICO'!$A$2:$A$4919,0)+$E2076-1)</f>
        <v/>
      </c>
      <c r="N2076" s="7">
        <f>IFERROR($M2076/INDEX('DETALLE CRONOLÓGICO'!$K$2:$K$4919,MATCH($A2076,'DETALLE CRONOLÓGICO'!$A$2:$A$4919,0))-1,"")</f>
        <v/>
      </c>
      <c r="O2076" s="6">
        <f>IFERROR($I2076*3,"")</f>
        <v/>
      </c>
      <c r="P2076" s="6">
        <f>IFERROR($I2076*3.5,"")</f>
        <v/>
      </c>
      <c r="Q2076" s="6">
        <f>IFERROR($I2076*4,"")</f>
        <v/>
      </c>
      <c r="R2076" s="6" t="n">
        <v>699</v>
      </c>
      <c r="S2076" s="4" t="n">
        <v>1</v>
      </c>
      <c r="T2076" s="1" t="inlineStr">
        <is>
          <t>draft</t>
        </is>
      </c>
      <c r="U2076" s="8" t="n"/>
      <c r="V2076" s="1" t="inlineStr">
        <is>
          <t>SIN PRECIO</t>
        </is>
      </c>
    </row>
    <row r="2077">
      <c r="A2077" s="1" t="inlineStr">
        <is>
          <t>89246883414157</t>
        </is>
      </c>
      <c r="B2077" s="1" t="inlineStr">
        <is>
          <t>ANILLO MOVE UNO SILVER ZIRCONIAS</t>
        </is>
      </c>
      <c r="C2077" s="1" t="inlineStr">
        <is>
          <t>7</t>
        </is>
      </c>
      <c r="D2077" s="1" t="inlineStr">
        <is>
          <t>HAIFENG</t>
        </is>
      </c>
      <c r="E2077" s="4">
        <f>COUNTIF('DETALLE CRONOLÓGICO'!$A$2:$A$4919,$A2077)</f>
        <v/>
      </c>
      <c r="F2077" s="4">
        <f>SUMIFS('DETALLE CRONOLÓGICO'!$I$2:$I$4919,'DETALLE CRONOLÓGICO'!$A$2:$A$4919,$A2077)</f>
        <v/>
      </c>
      <c r="G2077" s="1">
        <f>INDEX('DETALLE CRONOLÓGICO'!$D$2:$D$4919,MATCH($A2077,'DETALLE CRONOLÓGICO'!$A$2:$A$4919,0))</f>
        <v/>
      </c>
      <c r="H2077" s="1">
        <f>INDEX('DETALLE CRONOLÓGICO'!$D$2:$D$4919,MATCH($A2077,'DETALLE CRONOLÓGICO'!$A$2:$A$4919,0)+$E2077-1)</f>
        <v/>
      </c>
      <c r="I2077" s="5">
        <f>IFERROR(SUMIFS('DETALLE CRONOLÓGICO'!$L$2:$L$4919,'DETALLE CRONOLÓGICO'!$A$2:$A$4919,$A2077)/$F2077,"")</f>
        <v/>
      </c>
      <c r="J2077" s="6">
        <f>IFERROR(SUMIFS('DETALLE CRONOLÓGICO'!$K$2:$K$4919,'DETALLE CRONOLÓGICO'!$A$2:$A$4919,$A2077)/$E2077,"")</f>
        <v/>
      </c>
      <c r="K2077" s="6">
        <f>_xlfn.MINIFS('DETALLE CRONOLÓGICO'!$K$2:$K$4919,'DETALLE CRONOLÓGICO'!$A$2:$A$4919,$A2077)</f>
        <v/>
      </c>
      <c r="L2077" s="6">
        <f>_xlfn.MAXIFS('DETALLE CRONOLÓGICO'!$K$2:$K$4919,'DETALLE CRONOLÓGICO'!$A$2:$A$4919,$A2077)</f>
        <v/>
      </c>
      <c r="M2077" s="6">
        <f>INDEX('DETALLE CRONOLÓGICO'!$K$2:$K$4919,MATCH($A2077,'DETALLE CRONOLÓGICO'!$A$2:$A$4919,0)+$E2077-1)</f>
        <v/>
      </c>
      <c r="N2077" s="7">
        <f>IFERROR($M2077/INDEX('DETALLE CRONOLÓGICO'!$K$2:$K$4919,MATCH($A2077,'DETALLE CRONOLÓGICO'!$A$2:$A$4919,0))-1,"")</f>
        <v/>
      </c>
      <c r="O2077" s="6">
        <f>IFERROR($I2077*3,"")</f>
        <v/>
      </c>
      <c r="P2077" s="6">
        <f>IFERROR($I2077*3.5,"")</f>
        <v/>
      </c>
      <c r="Q2077" s="6">
        <f>IFERROR($I2077*4,"")</f>
        <v/>
      </c>
      <c r="R2077" s="6" t="n">
        <v>450</v>
      </c>
      <c r="S2077" s="4" t="n">
        <v>2</v>
      </c>
      <c r="T2077" s="1" t="inlineStr">
        <is>
          <t>draft</t>
        </is>
      </c>
      <c r="U2077" s="8" t="n"/>
      <c r="V2077" s="1" t="inlineStr">
        <is>
          <t>SIN PRECIO</t>
        </is>
      </c>
    </row>
    <row r="2078">
      <c r="A2078" s="1" t="inlineStr">
        <is>
          <t>89246883546925</t>
        </is>
      </c>
      <c r="B2078" s="1" t="inlineStr">
        <is>
          <t>ANILLO MOVE UNO SILVER ZIRCONIAS</t>
        </is>
      </c>
      <c r="C2078" s="1" t="inlineStr">
        <is>
          <t>8</t>
        </is>
      </c>
      <c r="D2078" s="1" t="inlineStr">
        <is>
          <t>HAIFENG</t>
        </is>
      </c>
      <c r="E2078" s="4">
        <f>COUNTIF('DETALLE CRONOLÓGICO'!$A$2:$A$4919,$A2078)</f>
        <v/>
      </c>
      <c r="F2078" s="4">
        <f>SUMIFS('DETALLE CRONOLÓGICO'!$I$2:$I$4919,'DETALLE CRONOLÓGICO'!$A$2:$A$4919,$A2078)</f>
        <v/>
      </c>
      <c r="G2078" s="1">
        <f>INDEX('DETALLE CRONOLÓGICO'!$D$2:$D$4919,MATCH($A2078,'DETALLE CRONOLÓGICO'!$A$2:$A$4919,0))</f>
        <v/>
      </c>
      <c r="H2078" s="1">
        <f>INDEX('DETALLE CRONOLÓGICO'!$D$2:$D$4919,MATCH($A2078,'DETALLE CRONOLÓGICO'!$A$2:$A$4919,0)+$E2078-1)</f>
        <v/>
      </c>
      <c r="I2078" s="5">
        <f>IFERROR(SUMIFS('DETALLE CRONOLÓGICO'!$L$2:$L$4919,'DETALLE CRONOLÓGICO'!$A$2:$A$4919,$A2078)/$F2078,"")</f>
        <v/>
      </c>
      <c r="J2078" s="6">
        <f>IFERROR(SUMIFS('DETALLE CRONOLÓGICO'!$K$2:$K$4919,'DETALLE CRONOLÓGICO'!$A$2:$A$4919,$A2078)/$E2078,"")</f>
        <v/>
      </c>
      <c r="K2078" s="6">
        <f>_xlfn.MINIFS('DETALLE CRONOLÓGICO'!$K$2:$K$4919,'DETALLE CRONOLÓGICO'!$A$2:$A$4919,$A2078)</f>
        <v/>
      </c>
      <c r="L2078" s="6">
        <f>_xlfn.MAXIFS('DETALLE CRONOLÓGICO'!$K$2:$K$4919,'DETALLE CRONOLÓGICO'!$A$2:$A$4919,$A2078)</f>
        <v/>
      </c>
      <c r="M2078" s="6">
        <f>INDEX('DETALLE CRONOLÓGICO'!$K$2:$K$4919,MATCH($A2078,'DETALLE CRONOLÓGICO'!$A$2:$A$4919,0)+$E2078-1)</f>
        <v/>
      </c>
      <c r="N2078" s="7">
        <f>IFERROR($M2078/INDEX('DETALLE CRONOLÓGICO'!$K$2:$K$4919,MATCH($A2078,'DETALLE CRONOLÓGICO'!$A$2:$A$4919,0))-1,"")</f>
        <v/>
      </c>
      <c r="O2078" s="6">
        <f>IFERROR($I2078*3,"")</f>
        <v/>
      </c>
      <c r="P2078" s="6">
        <f>IFERROR($I2078*3.5,"")</f>
        <v/>
      </c>
      <c r="Q2078" s="6">
        <f>IFERROR($I2078*4,"")</f>
        <v/>
      </c>
      <c r="R2078" s="6" t="n">
        <v>450</v>
      </c>
      <c r="S2078" s="4" t="n">
        <v>2</v>
      </c>
      <c r="T2078" s="1" t="inlineStr">
        <is>
          <t>draft</t>
        </is>
      </c>
      <c r="U2078" s="8" t="n"/>
      <c r="V2078" s="1" t="inlineStr">
        <is>
          <t>SIN PRECIO</t>
        </is>
      </c>
    </row>
    <row r="2079">
      <c r="A2079" s="1" t="inlineStr">
        <is>
          <t>89631571079533</t>
        </is>
      </c>
      <c r="B2079" s="1" t="inlineStr">
        <is>
          <t>BOLSO LV TOTE PILLOW BLACK</t>
        </is>
      </c>
      <c r="C2079" s="1" t="inlineStr">
        <is>
          <t>Default Title</t>
        </is>
      </c>
      <c r="D2079" s="1" t="inlineStr">
        <is>
          <t>ZOEY</t>
        </is>
      </c>
      <c r="E2079" s="4">
        <f>COUNTIF('DETALLE CRONOLÓGICO'!$A$2:$A$4919,$A2079)</f>
        <v/>
      </c>
      <c r="F2079" s="4">
        <f>SUMIFS('DETALLE CRONOLÓGICO'!$I$2:$I$4919,'DETALLE CRONOLÓGICO'!$A$2:$A$4919,$A2079)</f>
        <v/>
      </c>
      <c r="G2079" s="1">
        <f>INDEX('DETALLE CRONOLÓGICO'!$D$2:$D$4919,MATCH($A2079,'DETALLE CRONOLÓGICO'!$A$2:$A$4919,0))</f>
        <v/>
      </c>
      <c r="H2079" s="1">
        <f>INDEX('DETALLE CRONOLÓGICO'!$D$2:$D$4919,MATCH($A2079,'DETALLE CRONOLÓGICO'!$A$2:$A$4919,0)+$E2079-1)</f>
        <v/>
      </c>
      <c r="I2079" s="5">
        <f>IFERROR(SUMIFS('DETALLE CRONOLÓGICO'!$L$2:$L$4919,'DETALLE CRONOLÓGICO'!$A$2:$A$4919,$A2079)/$F2079,"")</f>
        <v/>
      </c>
      <c r="J2079" s="6">
        <f>IFERROR(SUMIFS('DETALLE CRONOLÓGICO'!$K$2:$K$4919,'DETALLE CRONOLÓGICO'!$A$2:$A$4919,$A2079)/$E2079,"")</f>
        <v/>
      </c>
      <c r="K2079" s="6">
        <f>_xlfn.MINIFS('DETALLE CRONOLÓGICO'!$K$2:$K$4919,'DETALLE CRONOLÓGICO'!$A$2:$A$4919,$A2079)</f>
        <v/>
      </c>
      <c r="L2079" s="6">
        <f>_xlfn.MAXIFS('DETALLE CRONOLÓGICO'!$K$2:$K$4919,'DETALLE CRONOLÓGICO'!$A$2:$A$4919,$A2079)</f>
        <v/>
      </c>
      <c r="M2079" s="6">
        <f>INDEX('DETALLE CRONOLÓGICO'!$K$2:$K$4919,MATCH($A2079,'DETALLE CRONOLÓGICO'!$A$2:$A$4919,0)+$E2079-1)</f>
        <v/>
      </c>
      <c r="N2079" s="7">
        <f>IFERROR($M2079/INDEX('DETALLE CRONOLÓGICO'!$K$2:$K$4919,MATCH($A2079,'DETALLE CRONOLÓGICO'!$A$2:$A$4919,0))-1,"")</f>
        <v/>
      </c>
      <c r="O2079" s="6">
        <f>IFERROR($I2079*3,"")</f>
        <v/>
      </c>
      <c r="P2079" s="6">
        <f>IFERROR($I2079*3.5,"")</f>
        <v/>
      </c>
      <c r="Q2079" s="6">
        <f>IFERROR($I2079*4,"")</f>
        <v/>
      </c>
      <c r="R2079" s="6" t="n">
        <v>5090</v>
      </c>
      <c r="S2079" s="4" t="n">
        <v>0</v>
      </c>
      <c r="T2079" s="1" t="inlineStr">
        <is>
          <t>active</t>
        </is>
      </c>
      <c r="U2079" s="8" t="n"/>
      <c r="V2079" s="1" t="inlineStr">
        <is>
          <t>SIN PRECIO</t>
        </is>
      </c>
    </row>
    <row r="2080">
      <c r="A2080" s="1" t="inlineStr">
        <is>
          <t>89633861063789</t>
        </is>
      </c>
      <c r="B2080" s="1" t="inlineStr">
        <is>
          <t>ARETES CD ROUND LOGO CON ZIRCONIAS</t>
        </is>
      </c>
      <c r="C2080" s="1" t="inlineStr">
        <is>
          <t>HIGH QUALITY</t>
        </is>
      </c>
      <c r="D2080" s="1" t="inlineStr">
        <is>
          <t>CYNTHIA / HAIFENG</t>
        </is>
      </c>
      <c r="E2080" s="4">
        <f>COUNTIF('DETALLE CRONOLÓGICO'!$A$2:$A$4919,$A2080)</f>
        <v/>
      </c>
      <c r="F2080" s="4">
        <f>SUMIFS('DETALLE CRONOLÓGICO'!$I$2:$I$4919,'DETALLE CRONOLÓGICO'!$A$2:$A$4919,$A2080)</f>
        <v/>
      </c>
      <c r="G2080" s="1">
        <f>INDEX('DETALLE CRONOLÓGICO'!$D$2:$D$4919,MATCH($A2080,'DETALLE CRONOLÓGICO'!$A$2:$A$4919,0))</f>
        <v/>
      </c>
      <c r="H2080" s="1">
        <f>INDEX('DETALLE CRONOLÓGICO'!$D$2:$D$4919,MATCH($A2080,'DETALLE CRONOLÓGICO'!$A$2:$A$4919,0)+$E2080-1)</f>
        <v/>
      </c>
      <c r="I2080" s="5">
        <f>IFERROR(SUMIFS('DETALLE CRONOLÓGICO'!$L$2:$L$4919,'DETALLE CRONOLÓGICO'!$A$2:$A$4919,$A2080)/$F2080,"")</f>
        <v/>
      </c>
      <c r="J2080" s="6">
        <f>IFERROR(SUMIFS('DETALLE CRONOLÓGICO'!$K$2:$K$4919,'DETALLE CRONOLÓGICO'!$A$2:$A$4919,$A2080)/$E2080,"")</f>
        <v/>
      </c>
      <c r="K2080" s="6">
        <f>_xlfn.MINIFS('DETALLE CRONOLÓGICO'!$K$2:$K$4919,'DETALLE CRONOLÓGICO'!$A$2:$A$4919,$A2080)</f>
        <v/>
      </c>
      <c r="L2080" s="6">
        <f>_xlfn.MAXIFS('DETALLE CRONOLÓGICO'!$K$2:$K$4919,'DETALLE CRONOLÓGICO'!$A$2:$A$4919,$A2080)</f>
        <v/>
      </c>
      <c r="M2080" s="6">
        <f>INDEX('DETALLE CRONOLÓGICO'!$K$2:$K$4919,MATCH($A2080,'DETALLE CRONOLÓGICO'!$A$2:$A$4919,0)+$E2080-1)</f>
        <v/>
      </c>
      <c r="N2080" s="7">
        <f>IFERROR($M2080/INDEX('DETALLE CRONOLÓGICO'!$K$2:$K$4919,MATCH($A2080,'DETALLE CRONOLÓGICO'!$A$2:$A$4919,0))-1,"")</f>
        <v/>
      </c>
      <c r="O2080" s="6">
        <f>IFERROR($I2080*3,"")</f>
        <v/>
      </c>
      <c r="P2080" s="6">
        <f>IFERROR($I2080*3.5,"")</f>
        <v/>
      </c>
      <c r="Q2080" s="6">
        <f>IFERROR($I2080*4,"")</f>
        <v/>
      </c>
      <c r="R2080" s="6" t="n">
        <v>749</v>
      </c>
      <c r="S2080" s="4" t="n">
        <v>4</v>
      </c>
      <c r="T2080" s="1" t="inlineStr">
        <is>
          <t>active</t>
        </is>
      </c>
      <c r="U2080" s="8" t="n"/>
      <c r="V2080" s="1" t="inlineStr">
        <is>
          <t>SIN PRECIO</t>
        </is>
      </c>
    </row>
    <row r="2081">
      <c r="A2081" s="1" t="inlineStr">
        <is>
          <t>89668081080557</t>
        </is>
      </c>
      <c r="B2081" s="1" t="inlineStr">
        <is>
          <t>COLLAR MSS MOVE UNO GOLD</t>
        </is>
      </c>
      <c r="C2081" s="1" t="inlineStr">
        <is>
          <t>Default Title</t>
        </is>
      </c>
      <c r="D2081" s="1" t="inlineStr">
        <is>
          <t>HAIFENG</t>
        </is>
      </c>
      <c r="E2081" s="4">
        <f>COUNTIF('DETALLE CRONOLÓGICO'!$A$2:$A$4919,$A2081)</f>
        <v/>
      </c>
      <c r="F2081" s="4">
        <f>SUMIFS('DETALLE CRONOLÓGICO'!$I$2:$I$4919,'DETALLE CRONOLÓGICO'!$A$2:$A$4919,$A2081)</f>
        <v/>
      </c>
      <c r="G2081" s="1">
        <f>INDEX('DETALLE CRONOLÓGICO'!$D$2:$D$4919,MATCH($A2081,'DETALLE CRONOLÓGICO'!$A$2:$A$4919,0))</f>
        <v/>
      </c>
      <c r="H2081" s="1">
        <f>INDEX('DETALLE CRONOLÓGICO'!$D$2:$D$4919,MATCH($A2081,'DETALLE CRONOLÓGICO'!$A$2:$A$4919,0)+$E2081-1)</f>
        <v/>
      </c>
      <c r="I2081" s="5">
        <f>IFERROR(SUMIFS('DETALLE CRONOLÓGICO'!$L$2:$L$4919,'DETALLE CRONOLÓGICO'!$A$2:$A$4919,$A2081)/$F2081,"")</f>
        <v/>
      </c>
      <c r="J2081" s="6">
        <f>IFERROR(SUMIFS('DETALLE CRONOLÓGICO'!$K$2:$K$4919,'DETALLE CRONOLÓGICO'!$A$2:$A$4919,$A2081)/$E2081,"")</f>
        <v/>
      </c>
      <c r="K2081" s="6">
        <f>_xlfn.MINIFS('DETALLE CRONOLÓGICO'!$K$2:$K$4919,'DETALLE CRONOLÓGICO'!$A$2:$A$4919,$A2081)</f>
        <v/>
      </c>
      <c r="L2081" s="6">
        <f>_xlfn.MAXIFS('DETALLE CRONOLÓGICO'!$K$2:$K$4919,'DETALLE CRONOLÓGICO'!$A$2:$A$4919,$A2081)</f>
        <v/>
      </c>
      <c r="M2081" s="6">
        <f>INDEX('DETALLE CRONOLÓGICO'!$K$2:$K$4919,MATCH($A2081,'DETALLE CRONOLÓGICO'!$A$2:$A$4919,0)+$E2081-1)</f>
        <v/>
      </c>
      <c r="N2081" s="7">
        <f>IFERROR($M2081/INDEX('DETALLE CRONOLÓGICO'!$K$2:$K$4919,MATCH($A2081,'DETALLE CRONOLÓGICO'!$A$2:$A$4919,0))-1,"")</f>
        <v/>
      </c>
      <c r="O2081" s="6">
        <f>IFERROR($I2081*3,"")</f>
        <v/>
      </c>
      <c r="P2081" s="6">
        <f>IFERROR($I2081*3.5,"")</f>
        <v/>
      </c>
      <c r="Q2081" s="6">
        <f>IFERROR($I2081*4,"")</f>
        <v/>
      </c>
      <c r="R2081" s="6" t="n">
        <v>659.2</v>
      </c>
      <c r="S2081" s="4" t="n">
        <v>7</v>
      </c>
      <c r="T2081" s="1" t="inlineStr">
        <is>
          <t>active</t>
        </is>
      </c>
      <c r="U2081" s="8" t="n"/>
      <c r="V2081" s="1" t="inlineStr">
        <is>
          <t>SIN PRECIO</t>
        </is>
      </c>
    </row>
    <row r="2082">
      <c r="A2082" s="1" t="inlineStr">
        <is>
          <t>89695511098893</t>
        </is>
      </c>
      <c r="B2082" s="1" t="inlineStr">
        <is>
          <t>COLLAR BV SILVER CON ZIRCONIA ALREDEDOR</t>
        </is>
      </c>
      <c r="C2082" s="1" t="inlineStr">
        <is>
          <t>Default Title</t>
        </is>
      </c>
      <c r="D2082" s="1" t="inlineStr">
        <is>
          <t>HAIFENG</t>
        </is>
      </c>
      <c r="E2082" s="4">
        <f>COUNTIF('DETALLE CRONOLÓGICO'!$A$2:$A$4919,$A2082)</f>
        <v/>
      </c>
      <c r="F2082" s="4">
        <f>SUMIFS('DETALLE CRONOLÓGICO'!$I$2:$I$4919,'DETALLE CRONOLÓGICO'!$A$2:$A$4919,$A2082)</f>
        <v/>
      </c>
      <c r="G2082" s="1">
        <f>INDEX('DETALLE CRONOLÓGICO'!$D$2:$D$4919,MATCH($A2082,'DETALLE CRONOLÓGICO'!$A$2:$A$4919,0))</f>
        <v/>
      </c>
      <c r="H2082" s="1">
        <f>INDEX('DETALLE CRONOLÓGICO'!$D$2:$D$4919,MATCH($A2082,'DETALLE CRONOLÓGICO'!$A$2:$A$4919,0)+$E2082-1)</f>
        <v/>
      </c>
      <c r="I2082" s="5">
        <f>IFERROR(SUMIFS('DETALLE CRONOLÓGICO'!$L$2:$L$4919,'DETALLE CRONOLÓGICO'!$A$2:$A$4919,$A2082)/$F2082,"")</f>
        <v/>
      </c>
      <c r="J2082" s="6">
        <f>IFERROR(SUMIFS('DETALLE CRONOLÓGICO'!$K$2:$K$4919,'DETALLE CRONOLÓGICO'!$A$2:$A$4919,$A2082)/$E2082,"")</f>
        <v/>
      </c>
      <c r="K2082" s="6">
        <f>_xlfn.MINIFS('DETALLE CRONOLÓGICO'!$K$2:$K$4919,'DETALLE CRONOLÓGICO'!$A$2:$A$4919,$A2082)</f>
        <v/>
      </c>
      <c r="L2082" s="6">
        <f>_xlfn.MAXIFS('DETALLE CRONOLÓGICO'!$K$2:$K$4919,'DETALLE CRONOLÓGICO'!$A$2:$A$4919,$A2082)</f>
        <v/>
      </c>
      <c r="M2082" s="6">
        <f>INDEX('DETALLE CRONOLÓGICO'!$K$2:$K$4919,MATCH($A2082,'DETALLE CRONOLÓGICO'!$A$2:$A$4919,0)+$E2082-1)</f>
        <v/>
      </c>
      <c r="N2082" s="7">
        <f>IFERROR($M2082/INDEX('DETALLE CRONOLÓGICO'!$K$2:$K$4919,MATCH($A2082,'DETALLE CRONOLÓGICO'!$A$2:$A$4919,0))-1,"")</f>
        <v/>
      </c>
      <c r="O2082" s="6">
        <f>IFERROR($I2082*3,"")</f>
        <v/>
      </c>
      <c r="P2082" s="6">
        <f>IFERROR($I2082*3.5,"")</f>
        <v/>
      </c>
      <c r="Q2082" s="6">
        <f>IFERROR($I2082*4,"")</f>
        <v/>
      </c>
      <c r="R2082" s="6" t="n">
        <v>659</v>
      </c>
      <c r="S2082" s="4" t="n">
        <v>4</v>
      </c>
      <c r="T2082" s="1" t="inlineStr">
        <is>
          <t>active</t>
        </is>
      </c>
      <c r="U2082" s="8" t="n"/>
      <c r="V2082" s="1" t="inlineStr">
        <is>
          <t>SIN PRECIO</t>
        </is>
      </c>
    </row>
    <row r="2083">
      <c r="A2083" s="1" t="inlineStr">
        <is>
          <t>89790741012877</t>
        </is>
      </c>
      <c r="B2083" s="1" t="inlineStr">
        <is>
          <t>ARETES T SILVER LISO</t>
        </is>
      </c>
      <c r="C2083" s="1" t="inlineStr">
        <is>
          <t>Default Title</t>
        </is>
      </c>
      <c r="D2083" s="1" t="inlineStr">
        <is>
          <t>HAIFENG</t>
        </is>
      </c>
      <c r="E2083" s="4">
        <f>COUNTIF('DETALLE CRONOLÓGICO'!$A$2:$A$4919,$A2083)</f>
        <v/>
      </c>
      <c r="F2083" s="4">
        <f>SUMIFS('DETALLE CRONOLÓGICO'!$I$2:$I$4919,'DETALLE CRONOLÓGICO'!$A$2:$A$4919,$A2083)</f>
        <v/>
      </c>
      <c r="G2083" s="1">
        <f>INDEX('DETALLE CRONOLÓGICO'!$D$2:$D$4919,MATCH($A2083,'DETALLE CRONOLÓGICO'!$A$2:$A$4919,0))</f>
        <v/>
      </c>
      <c r="H2083" s="1">
        <f>INDEX('DETALLE CRONOLÓGICO'!$D$2:$D$4919,MATCH($A2083,'DETALLE CRONOLÓGICO'!$A$2:$A$4919,0)+$E2083-1)</f>
        <v/>
      </c>
      <c r="I2083" s="5">
        <f>IFERROR(SUMIFS('DETALLE CRONOLÓGICO'!$L$2:$L$4919,'DETALLE CRONOLÓGICO'!$A$2:$A$4919,$A2083)/$F2083,"")</f>
        <v/>
      </c>
      <c r="J2083" s="6">
        <f>IFERROR(SUMIFS('DETALLE CRONOLÓGICO'!$K$2:$K$4919,'DETALLE CRONOLÓGICO'!$A$2:$A$4919,$A2083)/$E2083,"")</f>
        <v/>
      </c>
      <c r="K2083" s="6">
        <f>_xlfn.MINIFS('DETALLE CRONOLÓGICO'!$K$2:$K$4919,'DETALLE CRONOLÓGICO'!$A$2:$A$4919,$A2083)</f>
        <v/>
      </c>
      <c r="L2083" s="6">
        <f>_xlfn.MAXIFS('DETALLE CRONOLÓGICO'!$K$2:$K$4919,'DETALLE CRONOLÓGICO'!$A$2:$A$4919,$A2083)</f>
        <v/>
      </c>
      <c r="M2083" s="6">
        <f>INDEX('DETALLE CRONOLÓGICO'!$K$2:$K$4919,MATCH($A2083,'DETALLE CRONOLÓGICO'!$A$2:$A$4919,0)+$E2083-1)</f>
        <v/>
      </c>
      <c r="N2083" s="7">
        <f>IFERROR($M2083/INDEX('DETALLE CRONOLÓGICO'!$K$2:$K$4919,MATCH($A2083,'DETALLE CRONOLÓGICO'!$A$2:$A$4919,0))-1,"")</f>
        <v/>
      </c>
      <c r="O2083" s="6">
        <f>IFERROR($I2083*3,"")</f>
        <v/>
      </c>
      <c r="P2083" s="6">
        <f>IFERROR($I2083*3.5,"")</f>
        <v/>
      </c>
      <c r="Q2083" s="6">
        <f>IFERROR($I2083*4,"")</f>
        <v/>
      </c>
      <c r="R2083" s="6" t="n">
        <v>580</v>
      </c>
      <c r="S2083" s="4" t="n">
        <v>0</v>
      </c>
      <c r="T2083" s="1" t="inlineStr">
        <is>
          <t>active</t>
        </is>
      </c>
      <c r="U2083" s="8" t="n"/>
      <c r="V2083" s="1" t="inlineStr">
        <is>
          <t>SIN PRECIO</t>
        </is>
      </c>
    </row>
    <row r="2084">
      <c r="A2084" s="1" t="inlineStr">
        <is>
          <t>89790741157517</t>
        </is>
      </c>
      <c r="B2084" s="1" t="inlineStr">
        <is>
          <t>ARETES T GOLD LISO</t>
        </is>
      </c>
      <c r="C2084" s="1" t="inlineStr">
        <is>
          <t>Default Title</t>
        </is>
      </c>
      <c r="D2084" s="1" t="inlineStr">
        <is>
          <t>HAIFENG</t>
        </is>
      </c>
      <c r="E2084" s="4">
        <f>COUNTIF('DETALLE CRONOLÓGICO'!$A$2:$A$4919,$A2084)</f>
        <v/>
      </c>
      <c r="F2084" s="4">
        <f>SUMIFS('DETALLE CRONOLÓGICO'!$I$2:$I$4919,'DETALLE CRONOLÓGICO'!$A$2:$A$4919,$A2084)</f>
        <v/>
      </c>
      <c r="G2084" s="1">
        <f>INDEX('DETALLE CRONOLÓGICO'!$D$2:$D$4919,MATCH($A2084,'DETALLE CRONOLÓGICO'!$A$2:$A$4919,0))</f>
        <v/>
      </c>
      <c r="H2084" s="1">
        <f>INDEX('DETALLE CRONOLÓGICO'!$D$2:$D$4919,MATCH($A2084,'DETALLE CRONOLÓGICO'!$A$2:$A$4919,0)+$E2084-1)</f>
        <v/>
      </c>
      <c r="I2084" s="5">
        <f>IFERROR(SUMIFS('DETALLE CRONOLÓGICO'!$L$2:$L$4919,'DETALLE CRONOLÓGICO'!$A$2:$A$4919,$A2084)/$F2084,"")</f>
        <v/>
      </c>
      <c r="J2084" s="6">
        <f>IFERROR(SUMIFS('DETALLE CRONOLÓGICO'!$K$2:$K$4919,'DETALLE CRONOLÓGICO'!$A$2:$A$4919,$A2084)/$E2084,"")</f>
        <v/>
      </c>
      <c r="K2084" s="6">
        <f>_xlfn.MINIFS('DETALLE CRONOLÓGICO'!$K$2:$K$4919,'DETALLE CRONOLÓGICO'!$A$2:$A$4919,$A2084)</f>
        <v/>
      </c>
      <c r="L2084" s="6">
        <f>_xlfn.MAXIFS('DETALLE CRONOLÓGICO'!$K$2:$K$4919,'DETALLE CRONOLÓGICO'!$A$2:$A$4919,$A2084)</f>
        <v/>
      </c>
      <c r="M2084" s="6">
        <f>INDEX('DETALLE CRONOLÓGICO'!$K$2:$K$4919,MATCH($A2084,'DETALLE CRONOLÓGICO'!$A$2:$A$4919,0)+$E2084-1)</f>
        <v/>
      </c>
      <c r="N2084" s="7">
        <f>IFERROR($M2084/INDEX('DETALLE CRONOLÓGICO'!$K$2:$K$4919,MATCH($A2084,'DETALLE CRONOLÓGICO'!$A$2:$A$4919,0))-1,"")</f>
        <v/>
      </c>
      <c r="O2084" s="6">
        <f>IFERROR($I2084*3,"")</f>
        <v/>
      </c>
      <c r="P2084" s="6">
        <f>IFERROR($I2084*3.5,"")</f>
        <v/>
      </c>
      <c r="Q2084" s="6">
        <f>IFERROR($I2084*4,"")</f>
        <v/>
      </c>
      <c r="R2084" s="6" t="n">
        <v>599</v>
      </c>
      <c r="S2084" s="4" t="n">
        <v>2</v>
      </c>
      <c r="T2084" s="1" t="inlineStr">
        <is>
          <t>active</t>
        </is>
      </c>
      <c r="U2084" s="8" t="n"/>
      <c r="V2084" s="1" t="inlineStr">
        <is>
          <t>SIN PRECIO</t>
        </is>
      </c>
    </row>
    <row r="2085">
      <c r="A2085" s="1" t="inlineStr">
        <is>
          <t>89790741264077</t>
        </is>
      </c>
      <c r="B2085" s="1" t="inlineStr">
        <is>
          <t>ARETES T ROSEGOLD CON ZIRCONIA</t>
        </is>
      </c>
      <c r="C2085" s="1" t="inlineStr">
        <is>
          <t>Default Title</t>
        </is>
      </c>
      <c r="D2085" s="1" t="inlineStr">
        <is>
          <t>HAIFENG</t>
        </is>
      </c>
      <c r="E2085" s="4">
        <f>COUNTIF('DETALLE CRONOLÓGICO'!$A$2:$A$4919,$A2085)</f>
        <v/>
      </c>
      <c r="F2085" s="4">
        <f>SUMIFS('DETALLE CRONOLÓGICO'!$I$2:$I$4919,'DETALLE CRONOLÓGICO'!$A$2:$A$4919,$A2085)</f>
        <v/>
      </c>
      <c r="G2085" s="1">
        <f>INDEX('DETALLE CRONOLÓGICO'!$D$2:$D$4919,MATCH($A2085,'DETALLE CRONOLÓGICO'!$A$2:$A$4919,0))</f>
        <v/>
      </c>
      <c r="H2085" s="1">
        <f>INDEX('DETALLE CRONOLÓGICO'!$D$2:$D$4919,MATCH($A2085,'DETALLE CRONOLÓGICO'!$A$2:$A$4919,0)+$E2085-1)</f>
        <v/>
      </c>
      <c r="I2085" s="5">
        <f>IFERROR(SUMIFS('DETALLE CRONOLÓGICO'!$L$2:$L$4919,'DETALLE CRONOLÓGICO'!$A$2:$A$4919,$A2085)/$F2085,"")</f>
        <v/>
      </c>
      <c r="J2085" s="6">
        <f>IFERROR(SUMIFS('DETALLE CRONOLÓGICO'!$K$2:$K$4919,'DETALLE CRONOLÓGICO'!$A$2:$A$4919,$A2085)/$E2085,"")</f>
        <v/>
      </c>
      <c r="K2085" s="6">
        <f>_xlfn.MINIFS('DETALLE CRONOLÓGICO'!$K$2:$K$4919,'DETALLE CRONOLÓGICO'!$A$2:$A$4919,$A2085)</f>
        <v/>
      </c>
      <c r="L2085" s="6">
        <f>_xlfn.MAXIFS('DETALLE CRONOLÓGICO'!$K$2:$K$4919,'DETALLE CRONOLÓGICO'!$A$2:$A$4919,$A2085)</f>
        <v/>
      </c>
      <c r="M2085" s="6">
        <f>INDEX('DETALLE CRONOLÓGICO'!$K$2:$K$4919,MATCH($A2085,'DETALLE CRONOLÓGICO'!$A$2:$A$4919,0)+$E2085-1)</f>
        <v/>
      </c>
      <c r="N2085" s="7">
        <f>IFERROR($M2085/INDEX('DETALLE CRONOLÓGICO'!$K$2:$K$4919,MATCH($A2085,'DETALLE CRONOLÓGICO'!$A$2:$A$4919,0))-1,"")</f>
        <v/>
      </c>
      <c r="O2085" s="6">
        <f>IFERROR($I2085*3,"")</f>
        <v/>
      </c>
      <c r="P2085" s="6">
        <f>IFERROR($I2085*3.5,"")</f>
        <v/>
      </c>
      <c r="Q2085" s="6">
        <f>IFERROR($I2085*4,"")</f>
        <v/>
      </c>
      <c r="R2085" s="6" t="n">
        <v>830</v>
      </c>
      <c r="S2085" s="4" t="n">
        <v>2</v>
      </c>
      <c r="T2085" s="1" t="inlineStr">
        <is>
          <t>active</t>
        </is>
      </c>
      <c r="U2085" s="8" t="n"/>
      <c r="V2085" s="1" t="inlineStr">
        <is>
          <t>SIN PRECIO</t>
        </is>
      </c>
    </row>
    <row r="2086">
      <c r="A2086" s="1" t="inlineStr">
        <is>
          <t>89790741347789</t>
        </is>
      </c>
      <c r="B2086" s="1" t="inlineStr">
        <is>
          <t>ARETES KNOT SILVER CON ZIRCONIAS</t>
        </is>
      </c>
      <c r="C2086" s="1" t="inlineStr">
        <is>
          <t>Default Title</t>
        </is>
      </c>
      <c r="D2086" s="1" t="inlineStr">
        <is>
          <t>HAIFENG</t>
        </is>
      </c>
      <c r="E2086" s="4">
        <f>COUNTIF('DETALLE CRONOLÓGICO'!$A$2:$A$4919,$A2086)</f>
        <v/>
      </c>
      <c r="F2086" s="4">
        <f>SUMIFS('DETALLE CRONOLÓGICO'!$I$2:$I$4919,'DETALLE CRONOLÓGICO'!$A$2:$A$4919,$A2086)</f>
        <v/>
      </c>
      <c r="G2086" s="1">
        <f>INDEX('DETALLE CRONOLÓGICO'!$D$2:$D$4919,MATCH($A2086,'DETALLE CRONOLÓGICO'!$A$2:$A$4919,0))</f>
        <v/>
      </c>
      <c r="H2086" s="1">
        <f>INDEX('DETALLE CRONOLÓGICO'!$D$2:$D$4919,MATCH($A2086,'DETALLE CRONOLÓGICO'!$A$2:$A$4919,0)+$E2086-1)</f>
        <v/>
      </c>
      <c r="I2086" s="5">
        <f>IFERROR(SUMIFS('DETALLE CRONOLÓGICO'!$L$2:$L$4919,'DETALLE CRONOLÓGICO'!$A$2:$A$4919,$A2086)/$F2086,"")</f>
        <v/>
      </c>
      <c r="J2086" s="6">
        <f>IFERROR(SUMIFS('DETALLE CRONOLÓGICO'!$K$2:$K$4919,'DETALLE CRONOLÓGICO'!$A$2:$A$4919,$A2086)/$E2086,"")</f>
        <v/>
      </c>
      <c r="K2086" s="6">
        <f>_xlfn.MINIFS('DETALLE CRONOLÓGICO'!$K$2:$K$4919,'DETALLE CRONOLÓGICO'!$A$2:$A$4919,$A2086)</f>
        <v/>
      </c>
      <c r="L2086" s="6">
        <f>_xlfn.MAXIFS('DETALLE CRONOLÓGICO'!$K$2:$K$4919,'DETALLE CRONOLÓGICO'!$A$2:$A$4919,$A2086)</f>
        <v/>
      </c>
      <c r="M2086" s="6">
        <f>INDEX('DETALLE CRONOLÓGICO'!$K$2:$K$4919,MATCH($A2086,'DETALLE CRONOLÓGICO'!$A$2:$A$4919,0)+$E2086-1)</f>
        <v/>
      </c>
      <c r="N2086" s="7">
        <f>IFERROR($M2086/INDEX('DETALLE CRONOLÓGICO'!$K$2:$K$4919,MATCH($A2086,'DETALLE CRONOLÓGICO'!$A$2:$A$4919,0))-1,"")</f>
        <v/>
      </c>
      <c r="O2086" s="6">
        <f>IFERROR($I2086*3,"")</f>
        <v/>
      </c>
      <c r="P2086" s="6">
        <f>IFERROR($I2086*3.5,"")</f>
        <v/>
      </c>
      <c r="Q2086" s="6">
        <f>IFERROR($I2086*4,"")</f>
        <v/>
      </c>
      <c r="R2086" s="6" t="n">
        <v>750</v>
      </c>
      <c r="S2086" s="4" t="n">
        <v>3</v>
      </c>
      <c r="T2086" s="1" t="inlineStr">
        <is>
          <t>active</t>
        </is>
      </c>
      <c r="U2086" s="8" t="n"/>
      <c r="V2086" s="1" t="inlineStr">
        <is>
          <t>SIN PRECIO</t>
        </is>
      </c>
    </row>
    <row r="2087">
      <c r="A2087" s="1" t="inlineStr">
        <is>
          <t>89790741422093</t>
        </is>
      </c>
      <c r="B2087" s="1" t="inlineStr">
        <is>
          <t>ARRACADAS CD GOLD WHITE ZIRCONIAS</t>
        </is>
      </c>
      <c r="C2087" s="1" t="inlineStr">
        <is>
          <t>Default Title</t>
        </is>
      </c>
      <c r="D2087" s="1" t="inlineStr">
        <is>
          <t>HAIFENG</t>
        </is>
      </c>
      <c r="E2087" s="4">
        <f>COUNTIF('DETALLE CRONOLÓGICO'!$A$2:$A$4919,$A2087)</f>
        <v/>
      </c>
      <c r="F2087" s="4">
        <f>SUMIFS('DETALLE CRONOLÓGICO'!$I$2:$I$4919,'DETALLE CRONOLÓGICO'!$A$2:$A$4919,$A2087)</f>
        <v/>
      </c>
      <c r="G2087" s="1">
        <f>INDEX('DETALLE CRONOLÓGICO'!$D$2:$D$4919,MATCH($A2087,'DETALLE CRONOLÓGICO'!$A$2:$A$4919,0))</f>
        <v/>
      </c>
      <c r="H2087" s="1">
        <f>INDEX('DETALLE CRONOLÓGICO'!$D$2:$D$4919,MATCH($A2087,'DETALLE CRONOLÓGICO'!$A$2:$A$4919,0)+$E2087-1)</f>
        <v/>
      </c>
      <c r="I2087" s="5">
        <f>IFERROR(SUMIFS('DETALLE CRONOLÓGICO'!$L$2:$L$4919,'DETALLE CRONOLÓGICO'!$A$2:$A$4919,$A2087)/$F2087,"")</f>
        <v/>
      </c>
      <c r="J2087" s="6">
        <f>IFERROR(SUMIFS('DETALLE CRONOLÓGICO'!$K$2:$K$4919,'DETALLE CRONOLÓGICO'!$A$2:$A$4919,$A2087)/$E2087,"")</f>
        <v/>
      </c>
      <c r="K2087" s="6">
        <f>_xlfn.MINIFS('DETALLE CRONOLÓGICO'!$K$2:$K$4919,'DETALLE CRONOLÓGICO'!$A$2:$A$4919,$A2087)</f>
        <v/>
      </c>
      <c r="L2087" s="6">
        <f>_xlfn.MAXIFS('DETALLE CRONOLÓGICO'!$K$2:$K$4919,'DETALLE CRONOLÓGICO'!$A$2:$A$4919,$A2087)</f>
        <v/>
      </c>
      <c r="M2087" s="6">
        <f>INDEX('DETALLE CRONOLÓGICO'!$K$2:$K$4919,MATCH($A2087,'DETALLE CRONOLÓGICO'!$A$2:$A$4919,0)+$E2087-1)</f>
        <v/>
      </c>
      <c r="N2087" s="7">
        <f>IFERROR($M2087/INDEX('DETALLE CRONOLÓGICO'!$K$2:$K$4919,MATCH($A2087,'DETALLE CRONOLÓGICO'!$A$2:$A$4919,0))-1,"")</f>
        <v/>
      </c>
      <c r="O2087" s="6">
        <f>IFERROR($I2087*3,"")</f>
        <v/>
      </c>
      <c r="P2087" s="6">
        <f>IFERROR($I2087*3.5,"")</f>
        <v/>
      </c>
      <c r="Q2087" s="6">
        <f>IFERROR($I2087*4,"")</f>
        <v/>
      </c>
      <c r="R2087" s="6" t="n">
        <v>580</v>
      </c>
      <c r="S2087" s="4" t="n">
        <v>4</v>
      </c>
      <c r="T2087" s="1" t="inlineStr">
        <is>
          <t>active</t>
        </is>
      </c>
      <c r="U2087" s="8" t="n"/>
      <c r="V2087" s="1" t="inlineStr">
        <is>
          <t>SIN PRECIO</t>
        </is>
      </c>
    </row>
    <row r="2088">
      <c r="A2088" s="1" t="inlineStr">
        <is>
          <t>89790741558733</t>
        </is>
      </c>
      <c r="B2088" s="1" t="inlineStr">
        <is>
          <t>COLLAR BV ROSEGOLD PEARL ZIRCONIA</t>
        </is>
      </c>
      <c r="C2088" s="1" t="inlineStr">
        <is>
          <t>Default Title</t>
        </is>
      </c>
      <c r="D2088" s="1" t="inlineStr">
        <is>
          <t>HAIFENG</t>
        </is>
      </c>
      <c r="E2088" s="4">
        <f>COUNTIF('DETALLE CRONOLÓGICO'!$A$2:$A$4919,$A2088)</f>
        <v/>
      </c>
      <c r="F2088" s="4">
        <f>SUMIFS('DETALLE CRONOLÓGICO'!$I$2:$I$4919,'DETALLE CRONOLÓGICO'!$A$2:$A$4919,$A2088)</f>
        <v/>
      </c>
      <c r="G2088" s="1">
        <f>INDEX('DETALLE CRONOLÓGICO'!$D$2:$D$4919,MATCH($A2088,'DETALLE CRONOLÓGICO'!$A$2:$A$4919,0))</f>
        <v/>
      </c>
      <c r="H2088" s="1">
        <f>INDEX('DETALLE CRONOLÓGICO'!$D$2:$D$4919,MATCH($A2088,'DETALLE CRONOLÓGICO'!$A$2:$A$4919,0)+$E2088-1)</f>
        <v/>
      </c>
      <c r="I2088" s="5">
        <f>IFERROR(SUMIFS('DETALLE CRONOLÓGICO'!$L$2:$L$4919,'DETALLE CRONOLÓGICO'!$A$2:$A$4919,$A2088)/$F2088,"")</f>
        <v/>
      </c>
      <c r="J2088" s="6">
        <f>IFERROR(SUMIFS('DETALLE CRONOLÓGICO'!$K$2:$K$4919,'DETALLE CRONOLÓGICO'!$A$2:$A$4919,$A2088)/$E2088,"")</f>
        <v/>
      </c>
      <c r="K2088" s="6">
        <f>_xlfn.MINIFS('DETALLE CRONOLÓGICO'!$K$2:$K$4919,'DETALLE CRONOLÓGICO'!$A$2:$A$4919,$A2088)</f>
        <v/>
      </c>
      <c r="L2088" s="6">
        <f>_xlfn.MAXIFS('DETALLE CRONOLÓGICO'!$K$2:$K$4919,'DETALLE CRONOLÓGICO'!$A$2:$A$4919,$A2088)</f>
        <v/>
      </c>
      <c r="M2088" s="6">
        <f>INDEX('DETALLE CRONOLÓGICO'!$K$2:$K$4919,MATCH($A2088,'DETALLE CRONOLÓGICO'!$A$2:$A$4919,0)+$E2088-1)</f>
        <v/>
      </c>
      <c r="N2088" s="7">
        <f>IFERROR($M2088/INDEX('DETALLE CRONOLÓGICO'!$K$2:$K$4919,MATCH($A2088,'DETALLE CRONOLÓGICO'!$A$2:$A$4919,0))-1,"")</f>
        <v/>
      </c>
      <c r="O2088" s="6">
        <f>IFERROR($I2088*3,"")</f>
        <v/>
      </c>
      <c r="P2088" s="6">
        <f>IFERROR($I2088*3.5,"")</f>
        <v/>
      </c>
      <c r="Q2088" s="6">
        <f>IFERROR($I2088*4,"")</f>
        <v/>
      </c>
      <c r="R2088" s="6" t="n">
        <v>599</v>
      </c>
      <c r="S2088" s="4" t="n">
        <v>4</v>
      </c>
      <c r="T2088" s="1" t="inlineStr">
        <is>
          <t>active</t>
        </is>
      </c>
      <c r="U2088" s="8" t="n"/>
      <c r="V2088" s="1" t="inlineStr">
        <is>
          <t>SIN PRECIO</t>
        </is>
      </c>
    </row>
    <row r="2089">
      <c r="A2089" s="1" t="inlineStr">
        <is>
          <t>89790741679565</t>
        </is>
      </c>
      <c r="B2089" s="1" t="inlineStr">
        <is>
          <t>COLLAR BV GOLD PEARL ZIRCONIA</t>
        </is>
      </c>
      <c r="C2089" s="1" t="inlineStr">
        <is>
          <t>Default Title</t>
        </is>
      </c>
      <c r="D2089" s="1" t="inlineStr">
        <is>
          <t>HAIFENG</t>
        </is>
      </c>
      <c r="E2089" s="4">
        <f>COUNTIF('DETALLE CRONOLÓGICO'!$A$2:$A$4919,$A2089)</f>
        <v/>
      </c>
      <c r="F2089" s="4">
        <f>SUMIFS('DETALLE CRONOLÓGICO'!$I$2:$I$4919,'DETALLE CRONOLÓGICO'!$A$2:$A$4919,$A2089)</f>
        <v/>
      </c>
      <c r="G2089" s="1">
        <f>INDEX('DETALLE CRONOLÓGICO'!$D$2:$D$4919,MATCH($A2089,'DETALLE CRONOLÓGICO'!$A$2:$A$4919,0))</f>
        <v/>
      </c>
      <c r="H2089" s="1">
        <f>INDEX('DETALLE CRONOLÓGICO'!$D$2:$D$4919,MATCH($A2089,'DETALLE CRONOLÓGICO'!$A$2:$A$4919,0)+$E2089-1)</f>
        <v/>
      </c>
      <c r="I2089" s="5">
        <f>IFERROR(SUMIFS('DETALLE CRONOLÓGICO'!$L$2:$L$4919,'DETALLE CRONOLÓGICO'!$A$2:$A$4919,$A2089)/$F2089,"")</f>
        <v/>
      </c>
      <c r="J2089" s="6">
        <f>IFERROR(SUMIFS('DETALLE CRONOLÓGICO'!$K$2:$K$4919,'DETALLE CRONOLÓGICO'!$A$2:$A$4919,$A2089)/$E2089,"")</f>
        <v/>
      </c>
      <c r="K2089" s="6">
        <f>_xlfn.MINIFS('DETALLE CRONOLÓGICO'!$K$2:$K$4919,'DETALLE CRONOLÓGICO'!$A$2:$A$4919,$A2089)</f>
        <v/>
      </c>
      <c r="L2089" s="6">
        <f>_xlfn.MAXIFS('DETALLE CRONOLÓGICO'!$K$2:$K$4919,'DETALLE CRONOLÓGICO'!$A$2:$A$4919,$A2089)</f>
        <v/>
      </c>
      <c r="M2089" s="6">
        <f>INDEX('DETALLE CRONOLÓGICO'!$K$2:$K$4919,MATCH($A2089,'DETALLE CRONOLÓGICO'!$A$2:$A$4919,0)+$E2089-1)</f>
        <v/>
      </c>
      <c r="N2089" s="7">
        <f>IFERROR($M2089/INDEX('DETALLE CRONOLÓGICO'!$K$2:$K$4919,MATCH($A2089,'DETALLE CRONOLÓGICO'!$A$2:$A$4919,0))-1,"")</f>
        <v/>
      </c>
      <c r="O2089" s="6">
        <f>IFERROR($I2089*3,"")</f>
        <v/>
      </c>
      <c r="P2089" s="6">
        <f>IFERROR($I2089*3.5,"")</f>
        <v/>
      </c>
      <c r="Q2089" s="6">
        <f>IFERROR($I2089*4,"")</f>
        <v/>
      </c>
      <c r="R2089" s="6" t="n">
        <v>599</v>
      </c>
      <c r="S2089" s="4" t="n">
        <v>0</v>
      </c>
      <c r="T2089" s="1" t="inlineStr">
        <is>
          <t>draft</t>
        </is>
      </c>
      <c r="U2089" s="8" t="n"/>
      <c r="V2089" s="1" t="inlineStr">
        <is>
          <t>SIN PRECIO</t>
        </is>
      </c>
    </row>
    <row r="2090">
      <c r="A2090" s="1" t="inlineStr">
        <is>
          <t>89790741719597</t>
        </is>
      </c>
      <c r="B2090" s="1" t="inlineStr">
        <is>
          <t>COLLAR BV SILVER PEARL ZIRCONIA</t>
        </is>
      </c>
      <c r="C2090" s="1" t="inlineStr">
        <is>
          <t>Default Title</t>
        </is>
      </c>
      <c r="D2090" s="1" t="inlineStr">
        <is>
          <t>HAIFENG</t>
        </is>
      </c>
      <c r="E2090" s="4">
        <f>COUNTIF('DETALLE CRONOLÓGICO'!$A$2:$A$4919,$A2090)</f>
        <v/>
      </c>
      <c r="F2090" s="4">
        <f>SUMIFS('DETALLE CRONOLÓGICO'!$I$2:$I$4919,'DETALLE CRONOLÓGICO'!$A$2:$A$4919,$A2090)</f>
        <v/>
      </c>
      <c r="G2090" s="1">
        <f>INDEX('DETALLE CRONOLÓGICO'!$D$2:$D$4919,MATCH($A2090,'DETALLE CRONOLÓGICO'!$A$2:$A$4919,0))</f>
        <v/>
      </c>
      <c r="H2090" s="1">
        <f>INDEX('DETALLE CRONOLÓGICO'!$D$2:$D$4919,MATCH($A2090,'DETALLE CRONOLÓGICO'!$A$2:$A$4919,0)+$E2090-1)</f>
        <v/>
      </c>
      <c r="I2090" s="5">
        <f>IFERROR(SUMIFS('DETALLE CRONOLÓGICO'!$L$2:$L$4919,'DETALLE CRONOLÓGICO'!$A$2:$A$4919,$A2090)/$F2090,"")</f>
        <v/>
      </c>
      <c r="J2090" s="6">
        <f>IFERROR(SUMIFS('DETALLE CRONOLÓGICO'!$K$2:$K$4919,'DETALLE CRONOLÓGICO'!$A$2:$A$4919,$A2090)/$E2090,"")</f>
        <v/>
      </c>
      <c r="K2090" s="6">
        <f>_xlfn.MINIFS('DETALLE CRONOLÓGICO'!$K$2:$K$4919,'DETALLE CRONOLÓGICO'!$A$2:$A$4919,$A2090)</f>
        <v/>
      </c>
      <c r="L2090" s="6">
        <f>_xlfn.MAXIFS('DETALLE CRONOLÓGICO'!$K$2:$K$4919,'DETALLE CRONOLÓGICO'!$A$2:$A$4919,$A2090)</f>
        <v/>
      </c>
      <c r="M2090" s="6">
        <f>INDEX('DETALLE CRONOLÓGICO'!$K$2:$K$4919,MATCH($A2090,'DETALLE CRONOLÓGICO'!$A$2:$A$4919,0)+$E2090-1)</f>
        <v/>
      </c>
      <c r="N2090" s="7">
        <f>IFERROR($M2090/INDEX('DETALLE CRONOLÓGICO'!$K$2:$K$4919,MATCH($A2090,'DETALLE CRONOLÓGICO'!$A$2:$A$4919,0))-1,"")</f>
        <v/>
      </c>
      <c r="O2090" s="6">
        <f>IFERROR($I2090*3,"")</f>
        <v/>
      </c>
      <c r="P2090" s="6">
        <f>IFERROR($I2090*3.5,"")</f>
        <v/>
      </c>
      <c r="Q2090" s="6">
        <f>IFERROR($I2090*4,"")</f>
        <v/>
      </c>
      <c r="R2090" s="6" t="n">
        <v>599</v>
      </c>
      <c r="S2090" s="4" t="n">
        <v>4</v>
      </c>
      <c r="T2090" s="1" t="inlineStr">
        <is>
          <t>active</t>
        </is>
      </c>
      <c r="U2090" s="8" t="n"/>
      <c r="V2090" s="1" t="inlineStr">
        <is>
          <t>SIN PRECIO</t>
        </is>
      </c>
    </row>
    <row r="2091">
      <c r="A2091" s="1" t="inlineStr">
        <is>
          <t>89790741803853</t>
        </is>
      </c>
      <c r="B2091" s="1" t="inlineStr">
        <is>
          <t>COLLAR BV SILVER GRABADO CON ZIRCONIA</t>
        </is>
      </c>
      <c r="C2091" s="1" t="n"/>
      <c r="D2091" s="1" t="inlineStr">
        <is>
          <t>HAIFENG</t>
        </is>
      </c>
      <c r="E2091" s="4">
        <f>COUNTIF('DETALLE CRONOLÓGICO'!$A$2:$A$4919,$A2091)</f>
        <v/>
      </c>
      <c r="F2091" s="4">
        <f>SUMIFS('DETALLE CRONOLÓGICO'!$I$2:$I$4919,'DETALLE CRONOLÓGICO'!$A$2:$A$4919,$A2091)</f>
        <v/>
      </c>
      <c r="G2091" s="1">
        <f>INDEX('DETALLE CRONOLÓGICO'!$D$2:$D$4919,MATCH($A2091,'DETALLE CRONOLÓGICO'!$A$2:$A$4919,0))</f>
        <v/>
      </c>
      <c r="H2091" s="1">
        <f>INDEX('DETALLE CRONOLÓGICO'!$D$2:$D$4919,MATCH($A2091,'DETALLE CRONOLÓGICO'!$A$2:$A$4919,0)+$E2091-1)</f>
        <v/>
      </c>
      <c r="I2091" s="5">
        <f>IFERROR(SUMIFS('DETALLE CRONOLÓGICO'!$L$2:$L$4919,'DETALLE CRONOLÓGICO'!$A$2:$A$4919,$A2091)/$F2091,"")</f>
        <v/>
      </c>
      <c r="J2091" s="6">
        <f>IFERROR(SUMIFS('DETALLE CRONOLÓGICO'!$K$2:$K$4919,'DETALLE CRONOLÓGICO'!$A$2:$A$4919,$A2091)/$E2091,"")</f>
        <v/>
      </c>
      <c r="K2091" s="6">
        <f>_xlfn.MINIFS('DETALLE CRONOLÓGICO'!$K$2:$K$4919,'DETALLE CRONOLÓGICO'!$A$2:$A$4919,$A2091)</f>
        <v/>
      </c>
      <c r="L2091" s="6">
        <f>_xlfn.MAXIFS('DETALLE CRONOLÓGICO'!$K$2:$K$4919,'DETALLE CRONOLÓGICO'!$A$2:$A$4919,$A2091)</f>
        <v/>
      </c>
      <c r="M2091" s="6">
        <f>INDEX('DETALLE CRONOLÓGICO'!$K$2:$K$4919,MATCH($A2091,'DETALLE CRONOLÓGICO'!$A$2:$A$4919,0)+$E2091-1)</f>
        <v/>
      </c>
      <c r="N2091" s="7">
        <f>IFERROR($M2091/INDEX('DETALLE CRONOLÓGICO'!$K$2:$K$4919,MATCH($A2091,'DETALLE CRONOLÓGICO'!$A$2:$A$4919,0))-1,"")</f>
        <v/>
      </c>
      <c r="O2091" s="6">
        <f>IFERROR($I2091*3,"")</f>
        <v/>
      </c>
      <c r="P2091" s="6">
        <f>IFERROR($I2091*3.5,"")</f>
        <v/>
      </c>
      <c r="Q2091" s="6">
        <f>IFERROR($I2091*4,"")</f>
        <v/>
      </c>
      <c r="R2091" s="6" t="n">
        <v>375</v>
      </c>
      <c r="S2091" s="4" t="n">
        <v>1</v>
      </c>
      <c r="T2091" s="1" t="inlineStr">
        <is>
          <t>active</t>
        </is>
      </c>
      <c r="U2091" s="8" t="n"/>
      <c r="V2091" s="1" t="inlineStr">
        <is>
          <t>SIN PRECIO</t>
        </is>
      </c>
    </row>
    <row r="2092">
      <c r="A2092" s="1" t="inlineStr">
        <is>
          <t>89790741914029</t>
        </is>
      </c>
      <c r="B2092" s="1" t="inlineStr">
        <is>
          <t>COLLAR BV ROSEGOLD GRABADO CON ZIRCONIA</t>
        </is>
      </c>
      <c r="C2092" s="1" t="inlineStr">
        <is>
          <t>Default Title</t>
        </is>
      </c>
      <c r="D2092" s="1" t="inlineStr">
        <is>
          <t>HAIFENG</t>
        </is>
      </c>
      <c r="E2092" s="4">
        <f>COUNTIF('DETALLE CRONOLÓGICO'!$A$2:$A$4919,$A2092)</f>
        <v/>
      </c>
      <c r="F2092" s="4">
        <f>SUMIFS('DETALLE CRONOLÓGICO'!$I$2:$I$4919,'DETALLE CRONOLÓGICO'!$A$2:$A$4919,$A2092)</f>
        <v/>
      </c>
      <c r="G2092" s="1">
        <f>INDEX('DETALLE CRONOLÓGICO'!$D$2:$D$4919,MATCH($A2092,'DETALLE CRONOLÓGICO'!$A$2:$A$4919,0))</f>
        <v/>
      </c>
      <c r="H2092" s="1">
        <f>INDEX('DETALLE CRONOLÓGICO'!$D$2:$D$4919,MATCH($A2092,'DETALLE CRONOLÓGICO'!$A$2:$A$4919,0)+$E2092-1)</f>
        <v/>
      </c>
      <c r="I2092" s="5">
        <f>IFERROR(SUMIFS('DETALLE CRONOLÓGICO'!$L$2:$L$4919,'DETALLE CRONOLÓGICO'!$A$2:$A$4919,$A2092)/$F2092,"")</f>
        <v/>
      </c>
      <c r="J2092" s="6">
        <f>IFERROR(SUMIFS('DETALLE CRONOLÓGICO'!$K$2:$K$4919,'DETALLE CRONOLÓGICO'!$A$2:$A$4919,$A2092)/$E2092,"")</f>
        <v/>
      </c>
      <c r="K2092" s="6">
        <f>_xlfn.MINIFS('DETALLE CRONOLÓGICO'!$K$2:$K$4919,'DETALLE CRONOLÓGICO'!$A$2:$A$4919,$A2092)</f>
        <v/>
      </c>
      <c r="L2092" s="6">
        <f>_xlfn.MAXIFS('DETALLE CRONOLÓGICO'!$K$2:$K$4919,'DETALLE CRONOLÓGICO'!$A$2:$A$4919,$A2092)</f>
        <v/>
      </c>
      <c r="M2092" s="6">
        <f>INDEX('DETALLE CRONOLÓGICO'!$K$2:$K$4919,MATCH($A2092,'DETALLE CRONOLÓGICO'!$A$2:$A$4919,0)+$E2092-1)</f>
        <v/>
      </c>
      <c r="N2092" s="7">
        <f>IFERROR($M2092/INDEX('DETALLE CRONOLÓGICO'!$K$2:$K$4919,MATCH($A2092,'DETALLE CRONOLÓGICO'!$A$2:$A$4919,0))-1,"")</f>
        <v/>
      </c>
      <c r="O2092" s="6">
        <f>IFERROR($I2092*3,"")</f>
        <v/>
      </c>
      <c r="P2092" s="6">
        <f>IFERROR($I2092*3.5,"")</f>
        <v/>
      </c>
      <c r="Q2092" s="6">
        <f>IFERROR($I2092*4,"")</f>
        <v/>
      </c>
      <c r="R2092" s="6" t="n">
        <v>375</v>
      </c>
      <c r="S2092" s="4" t="n">
        <v>3</v>
      </c>
      <c r="T2092" s="1" t="inlineStr">
        <is>
          <t>active</t>
        </is>
      </c>
      <c r="U2092" s="8" t="n"/>
      <c r="V2092" s="1" t="inlineStr">
        <is>
          <t>SIN PRECIO</t>
        </is>
      </c>
    </row>
    <row r="2093">
      <c r="A2093" s="1" t="inlineStr">
        <is>
          <t>89845001062349</t>
        </is>
      </c>
      <c r="B2093" s="1" t="inlineStr">
        <is>
          <t>PULSERA LV FLOWER ROSEGOLD CON ZIRCONIAS</t>
        </is>
      </c>
      <c r="C2093" s="1" t="inlineStr">
        <is>
          <t>Default Title</t>
        </is>
      </c>
      <c r="D2093" s="1" t="inlineStr">
        <is>
          <t>HAIFENG</t>
        </is>
      </c>
      <c r="E2093" s="4">
        <f>COUNTIF('DETALLE CRONOLÓGICO'!$A$2:$A$4919,$A2093)</f>
        <v/>
      </c>
      <c r="F2093" s="4">
        <f>SUMIFS('DETALLE CRONOLÓGICO'!$I$2:$I$4919,'DETALLE CRONOLÓGICO'!$A$2:$A$4919,$A2093)</f>
        <v/>
      </c>
      <c r="G2093" s="1">
        <f>INDEX('DETALLE CRONOLÓGICO'!$D$2:$D$4919,MATCH($A2093,'DETALLE CRONOLÓGICO'!$A$2:$A$4919,0))</f>
        <v/>
      </c>
      <c r="H2093" s="1">
        <f>INDEX('DETALLE CRONOLÓGICO'!$D$2:$D$4919,MATCH($A2093,'DETALLE CRONOLÓGICO'!$A$2:$A$4919,0)+$E2093-1)</f>
        <v/>
      </c>
      <c r="I2093" s="5">
        <f>IFERROR(SUMIFS('DETALLE CRONOLÓGICO'!$L$2:$L$4919,'DETALLE CRONOLÓGICO'!$A$2:$A$4919,$A2093)/$F2093,"")</f>
        <v/>
      </c>
      <c r="J2093" s="6">
        <f>IFERROR(SUMIFS('DETALLE CRONOLÓGICO'!$K$2:$K$4919,'DETALLE CRONOLÓGICO'!$A$2:$A$4919,$A2093)/$E2093,"")</f>
        <v/>
      </c>
      <c r="K2093" s="6">
        <f>_xlfn.MINIFS('DETALLE CRONOLÓGICO'!$K$2:$K$4919,'DETALLE CRONOLÓGICO'!$A$2:$A$4919,$A2093)</f>
        <v/>
      </c>
      <c r="L2093" s="6">
        <f>_xlfn.MAXIFS('DETALLE CRONOLÓGICO'!$K$2:$K$4919,'DETALLE CRONOLÓGICO'!$A$2:$A$4919,$A2093)</f>
        <v/>
      </c>
      <c r="M2093" s="6">
        <f>INDEX('DETALLE CRONOLÓGICO'!$K$2:$K$4919,MATCH($A2093,'DETALLE CRONOLÓGICO'!$A$2:$A$4919,0)+$E2093-1)</f>
        <v/>
      </c>
      <c r="N2093" s="7">
        <f>IFERROR($M2093/INDEX('DETALLE CRONOLÓGICO'!$K$2:$K$4919,MATCH($A2093,'DETALLE CRONOLÓGICO'!$A$2:$A$4919,0))-1,"")</f>
        <v/>
      </c>
      <c r="O2093" s="6">
        <f>IFERROR($I2093*3,"")</f>
        <v/>
      </c>
      <c r="P2093" s="6">
        <f>IFERROR($I2093*3.5,"")</f>
        <v/>
      </c>
      <c r="Q2093" s="6">
        <f>IFERROR($I2093*4,"")</f>
        <v/>
      </c>
      <c r="R2093" s="6" t="n">
        <v>910</v>
      </c>
      <c r="S2093" s="4" t="n">
        <v>3</v>
      </c>
      <c r="T2093" s="1" t="inlineStr">
        <is>
          <t>active</t>
        </is>
      </c>
      <c r="U2093" s="8" t="n"/>
      <c r="V2093" s="1" t="inlineStr">
        <is>
          <t>SIN PRECIO</t>
        </is>
      </c>
    </row>
    <row r="2094">
      <c r="A2094" s="1" t="inlineStr">
        <is>
          <t>90487929592844</t>
        </is>
      </c>
      <c r="B2094" s="1" t="inlineStr">
        <is>
          <t>LENTES CD B23</t>
        </is>
      </c>
      <c r="C2094" s="1" t="inlineStr">
        <is>
          <t>Default Title</t>
        </is>
      </c>
      <c r="D2094" s="1" t="inlineStr">
        <is>
          <t>CYNTHIA</t>
        </is>
      </c>
      <c r="E2094" s="4">
        <f>COUNTIF('DETALLE CRONOLÓGICO'!$A$2:$A$4919,$A2094)</f>
        <v/>
      </c>
      <c r="F2094" s="4">
        <f>SUMIFS('DETALLE CRONOLÓGICO'!$I$2:$I$4919,'DETALLE CRONOLÓGICO'!$A$2:$A$4919,$A2094)</f>
        <v/>
      </c>
      <c r="G2094" s="1">
        <f>INDEX('DETALLE CRONOLÓGICO'!$D$2:$D$4919,MATCH($A2094,'DETALLE CRONOLÓGICO'!$A$2:$A$4919,0))</f>
        <v/>
      </c>
      <c r="H2094" s="1">
        <f>INDEX('DETALLE CRONOLÓGICO'!$D$2:$D$4919,MATCH($A2094,'DETALLE CRONOLÓGICO'!$A$2:$A$4919,0)+$E2094-1)</f>
        <v/>
      </c>
      <c r="I2094" s="5">
        <f>IFERROR(SUMIFS('DETALLE CRONOLÓGICO'!$L$2:$L$4919,'DETALLE CRONOLÓGICO'!$A$2:$A$4919,$A2094)/$F2094,"")</f>
        <v/>
      </c>
      <c r="J2094" s="6">
        <f>IFERROR(SUMIFS('DETALLE CRONOLÓGICO'!$K$2:$K$4919,'DETALLE CRONOLÓGICO'!$A$2:$A$4919,$A2094)/$E2094,"")</f>
        <v/>
      </c>
      <c r="K2094" s="6">
        <f>_xlfn.MINIFS('DETALLE CRONOLÓGICO'!$K$2:$K$4919,'DETALLE CRONOLÓGICO'!$A$2:$A$4919,$A2094)</f>
        <v/>
      </c>
      <c r="L2094" s="6">
        <f>_xlfn.MAXIFS('DETALLE CRONOLÓGICO'!$K$2:$K$4919,'DETALLE CRONOLÓGICO'!$A$2:$A$4919,$A2094)</f>
        <v/>
      </c>
      <c r="M2094" s="6">
        <f>INDEX('DETALLE CRONOLÓGICO'!$K$2:$K$4919,MATCH($A2094,'DETALLE CRONOLÓGICO'!$A$2:$A$4919,0)+$E2094-1)</f>
        <v/>
      </c>
      <c r="N2094" s="7">
        <f>IFERROR($M2094/INDEX('DETALLE CRONOLÓGICO'!$K$2:$K$4919,MATCH($A2094,'DETALLE CRONOLÓGICO'!$A$2:$A$4919,0))-1,"")</f>
        <v/>
      </c>
      <c r="O2094" s="6">
        <f>IFERROR($I2094*3,"")</f>
        <v/>
      </c>
      <c r="P2094" s="6">
        <f>IFERROR($I2094*3.5,"")</f>
        <v/>
      </c>
      <c r="Q2094" s="6">
        <f>IFERROR($I2094*4,"")</f>
        <v/>
      </c>
      <c r="R2094" s="6" t="n">
        <v>3195</v>
      </c>
      <c r="S2094" s="4" t="n">
        <v>3</v>
      </c>
      <c r="T2094" s="1" t="inlineStr">
        <is>
          <t>active</t>
        </is>
      </c>
      <c r="U2094" s="8" t="n"/>
      <c r="V2094" s="1" t="inlineStr">
        <is>
          <t>SIN PRECIO</t>
        </is>
      </c>
    </row>
    <row r="2095">
      <c r="A2095" s="1" t="inlineStr">
        <is>
          <t>90820181028909</t>
        </is>
      </c>
      <c r="B2095" s="1" t="inlineStr">
        <is>
          <t>BOLSO SADDLE CD JACQUARD BLUE</t>
        </is>
      </c>
      <c r="C2095" s="1" t="inlineStr">
        <is>
          <t>24cm de largo x 15 cm de alto</t>
        </is>
      </c>
      <c r="D2095" s="1" t="inlineStr">
        <is>
          <t>CYNTHIA</t>
        </is>
      </c>
      <c r="E2095" s="4">
        <f>COUNTIF('DETALLE CRONOLÓGICO'!$A$2:$A$4919,$A2095)</f>
        <v/>
      </c>
      <c r="F2095" s="4">
        <f>SUMIFS('DETALLE CRONOLÓGICO'!$I$2:$I$4919,'DETALLE CRONOLÓGICO'!$A$2:$A$4919,$A2095)</f>
        <v/>
      </c>
      <c r="G2095" s="1">
        <f>INDEX('DETALLE CRONOLÓGICO'!$D$2:$D$4919,MATCH($A2095,'DETALLE CRONOLÓGICO'!$A$2:$A$4919,0))</f>
        <v/>
      </c>
      <c r="H2095" s="1">
        <f>INDEX('DETALLE CRONOLÓGICO'!$D$2:$D$4919,MATCH($A2095,'DETALLE CRONOLÓGICO'!$A$2:$A$4919,0)+$E2095-1)</f>
        <v/>
      </c>
      <c r="I2095" s="5">
        <f>IFERROR(SUMIFS('DETALLE CRONOLÓGICO'!$L$2:$L$4919,'DETALLE CRONOLÓGICO'!$A$2:$A$4919,$A2095)/$F2095,"")</f>
        <v/>
      </c>
      <c r="J2095" s="6">
        <f>IFERROR(SUMIFS('DETALLE CRONOLÓGICO'!$K$2:$K$4919,'DETALLE CRONOLÓGICO'!$A$2:$A$4919,$A2095)/$E2095,"")</f>
        <v/>
      </c>
      <c r="K2095" s="6">
        <f>_xlfn.MINIFS('DETALLE CRONOLÓGICO'!$K$2:$K$4919,'DETALLE CRONOLÓGICO'!$A$2:$A$4919,$A2095)</f>
        <v/>
      </c>
      <c r="L2095" s="6">
        <f>_xlfn.MAXIFS('DETALLE CRONOLÓGICO'!$K$2:$K$4919,'DETALLE CRONOLÓGICO'!$A$2:$A$4919,$A2095)</f>
        <v/>
      </c>
      <c r="M2095" s="6">
        <f>INDEX('DETALLE CRONOLÓGICO'!$K$2:$K$4919,MATCH($A2095,'DETALLE CRONOLÓGICO'!$A$2:$A$4919,0)+$E2095-1)</f>
        <v/>
      </c>
      <c r="N2095" s="7">
        <f>IFERROR($M2095/INDEX('DETALLE CRONOLÓGICO'!$K$2:$K$4919,MATCH($A2095,'DETALLE CRONOLÓGICO'!$A$2:$A$4919,0))-1,"")</f>
        <v/>
      </c>
      <c r="O2095" s="6">
        <f>IFERROR($I2095*3,"")</f>
        <v/>
      </c>
      <c r="P2095" s="6">
        <f>IFERROR($I2095*3.5,"")</f>
        <v/>
      </c>
      <c r="Q2095" s="6">
        <f>IFERROR($I2095*4,"")</f>
        <v/>
      </c>
      <c r="R2095" s="6" t="n">
        <v>6690</v>
      </c>
      <c r="S2095" s="4" t="n">
        <v>3</v>
      </c>
      <c r="T2095" s="1" t="inlineStr">
        <is>
          <t>active</t>
        </is>
      </c>
      <c r="U2095" s="8" t="n"/>
      <c r="V2095" s="1" t="inlineStr">
        <is>
          <t>SIN PRECIO</t>
        </is>
      </c>
    </row>
    <row r="2096">
      <c r="A2096" s="1" t="inlineStr">
        <is>
          <t>90834961057229</t>
        </is>
      </c>
      <c r="B2096" s="1" t="inlineStr">
        <is>
          <t>COLLAR MSS MOVE UNO ROSE GOLD</t>
        </is>
      </c>
      <c r="C2096" s="1" t="inlineStr">
        <is>
          <t>Default Title</t>
        </is>
      </c>
      <c r="D2096" s="1" t="inlineStr">
        <is>
          <t>HAIFENG</t>
        </is>
      </c>
      <c r="E2096" s="4">
        <f>COUNTIF('DETALLE CRONOLÓGICO'!$A$2:$A$4919,$A2096)</f>
        <v/>
      </c>
      <c r="F2096" s="4">
        <f>SUMIFS('DETALLE CRONOLÓGICO'!$I$2:$I$4919,'DETALLE CRONOLÓGICO'!$A$2:$A$4919,$A2096)</f>
        <v/>
      </c>
      <c r="G2096" s="1">
        <f>INDEX('DETALLE CRONOLÓGICO'!$D$2:$D$4919,MATCH($A2096,'DETALLE CRONOLÓGICO'!$A$2:$A$4919,0))</f>
        <v/>
      </c>
      <c r="H2096" s="1">
        <f>INDEX('DETALLE CRONOLÓGICO'!$D$2:$D$4919,MATCH($A2096,'DETALLE CRONOLÓGICO'!$A$2:$A$4919,0)+$E2096-1)</f>
        <v/>
      </c>
      <c r="I2096" s="5">
        <f>IFERROR(SUMIFS('DETALLE CRONOLÓGICO'!$L$2:$L$4919,'DETALLE CRONOLÓGICO'!$A$2:$A$4919,$A2096)/$F2096,"")</f>
        <v/>
      </c>
      <c r="J2096" s="6">
        <f>IFERROR(SUMIFS('DETALLE CRONOLÓGICO'!$K$2:$K$4919,'DETALLE CRONOLÓGICO'!$A$2:$A$4919,$A2096)/$E2096,"")</f>
        <v/>
      </c>
      <c r="K2096" s="6">
        <f>_xlfn.MINIFS('DETALLE CRONOLÓGICO'!$K$2:$K$4919,'DETALLE CRONOLÓGICO'!$A$2:$A$4919,$A2096)</f>
        <v/>
      </c>
      <c r="L2096" s="6">
        <f>_xlfn.MAXIFS('DETALLE CRONOLÓGICO'!$K$2:$K$4919,'DETALLE CRONOLÓGICO'!$A$2:$A$4919,$A2096)</f>
        <v/>
      </c>
      <c r="M2096" s="6">
        <f>INDEX('DETALLE CRONOLÓGICO'!$K$2:$K$4919,MATCH($A2096,'DETALLE CRONOLÓGICO'!$A$2:$A$4919,0)+$E2096-1)</f>
        <v/>
      </c>
      <c r="N2096" s="7">
        <f>IFERROR($M2096/INDEX('DETALLE CRONOLÓGICO'!$K$2:$K$4919,MATCH($A2096,'DETALLE CRONOLÓGICO'!$A$2:$A$4919,0))-1,"")</f>
        <v/>
      </c>
      <c r="O2096" s="6">
        <f>IFERROR($I2096*3,"")</f>
        <v/>
      </c>
      <c r="P2096" s="6">
        <f>IFERROR($I2096*3.5,"")</f>
        <v/>
      </c>
      <c r="Q2096" s="6">
        <f>IFERROR($I2096*4,"")</f>
        <v/>
      </c>
      <c r="R2096" s="6" t="n">
        <v>659.2</v>
      </c>
      <c r="S2096" s="4" t="n">
        <v>0</v>
      </c>
      <c r="T2096" s="1" t="inlineStr">
        <is>
          <t>active</t>
        </is>
      </c>
      <c r="U2096" s="8" t="n"/>
      <c r="V2096" s="1" t="inlineStr">
        <is>
          <t>SIN PRECIO</t>
        </is>
      </c>
    </row>
    <row r="2097">
      <c r="A2097" s="1" t="inlineStr">
        <is>
          <t>90883811004365</t>
        </is>
      </c>
      <c r="B2097" s="1" t="inlineStr">
        <is>
          <t>COLLAR T CORAZÓN CON ZIRCONIA</t>
        </is>
      </c>
      <c r="C2097" s="1" t="inlineStr">
        <is>
          <t>HIGH QUALITY</t>
        </is>
      </c>
      <c r="D2097" s="1" t="inlineStr">
        <is>
          <t>ZOEY</t>
        </is>
      </c>
      <c r="E2097" s="4">
        <f>COUNTIF('DETALLE CRONOLÓGICO'!$A$2:$A$4919,$A2097)</f>
        <v/>
      </c>
      <c r="F2097" s="4">
        <f>SUMIFS('DETALLE CRONOLÓGICO'!$I$2:$I$4919,'DETALLE CRONOLÓGICO'!$A$2:$A$4919,$A2097)</f>
        <v/>
      </c>
      <c r="G2097" s="1">
        <f>INDEX('DETALLE CRONOLÓGICO'!$D$2:$D$4919,MATCH($A2097,'DETALLE CRONOLÓGICO'!$A$2:$A$4919,0))</f>
        <v/>
      </c>
      <c r="H2097" s="1">
        <f>INDEX('DETALLE CRONOLÓGICO'!$D$2:$D$4919,MATCH($A2097,'DETALLE CRONOLÓGICO'!$A$2:$A$4919,0)+$E2097-1)</f>
        <v/>
      </c>
      <c r="I2097" s="5">
        <f>IFERROR(SUMIFS('DETALLE CRONOLÓGICO'!$L$2:$L$4919,'DETALLE CRONOLÓGICO'!$A$2:$A$4919,$A2097)/$F2097,"")</f>
        <v/>
      </c>
      <c r="J2097" s="6">
        <f>IFERROR(SUMIFS('DETALLE CRONOLÓGICO'!$K$2:$K$4919,'DETALLE CRONOLÓGICO'!$A$2:$A$4919,$A2097)/$E2097,"")</f>
        <v/>
      </c>
      <c r="K2097" s="6">
        <f>_xlfn.MINIFS('DETALLE CRONOLÓGICO'!$K$2:$K$4919,'DETALLE CRONOLÓGICO'!$A$2:$A$4919,$A2097)</f>
        <v/>
      </c>
      <c r="L2097" s="6">
        <f>_xlfn.MAXIFS('DETALLE CRONOLÓGICO'!$K$2:$K$4919,'DETALLE CRONOLÓGICO'!$A$2:$A$4919,$A2097)</f>
        <v/>
      </c>
      <c r="M2097" s="6">
        <f>INDEX('DETALLE CRONOLÓGICO'!$K$2:$K$4919,MATCH($A2097,'DETALLE CRONOLÓGICO'!$A$2:$A$4919,0)+$E2097-1)</f>
        <v/>
      </c>
      <c r="N2097" s="7">
        <f>IFERROR($M2097/INDEX('DETALLE CRONOLÓGICO'!$K$2:$K$4919,MATCH($A2097,'DETALLE CRONOLÓGICO'!$A$2:$A$4919,0))-1,"")</f>
        <v/>
      </c>
      <c r="O2097" s="6">
        <f>IFERROR($I2097*3,"")</f>
        <v/>
      </c>
      <c r="P2097" s="6">
        <f>IFERROR($I2097*3.5,"")</f>
        <v/>
      </c>
      <c r="Q2097" s="6">
        <f>IFERROR($I2097*4,"")</f>
        <v/>
      </c>
      <c r="R2097" s="6" t="n">
        <v>1100</v>
      </c>
      <c r="S2097" s="4" t="n">
        <v>10</v>
      </c>
      <c r="T2097" s="1" t="inlineStr">
        <is>
          <t>active</t>
        </is>
      </c>
      <c r="U2097" s="8" t="n"/>
      <c r="V2097" s="1" t="inlineStr">
        <is>
          <t>SIN PRECIO</t>
        </is>
      </c>
    </row>
    <row r="2098">
      <c r="A2098" s="1" t="inlineStr">
        <is>
          <t>91078752530157</t>
        </is>
      </c>
      <c r="B2098" s="1" t="inlineStr">
        <is>
          <t>ARETES C SILVER</t>
        </is>
      </c>
      <c r="C2098" s="1" t="inlineStr">
        <is>
          <t>Default Title</t>
        </is>
      </c>
      <c r="D2098" s="1" t="inlineStr">
        <is>
          <t>HAIFENG</t>
        </is>
      </c>
      <c r="E2098" s="4">
        <f>COUNTIF('DETALLE CRONOLÓGICO'!$A$2:$A$4919,$A2098)</f>
        <v/>
      </c>
      <c r="F2098" s="4">
        <f>SUMIFS('DETALLE CRONOLÓGICO'!$I$2:$I$4919,'DETALLE CRONOLÓGICO'!$A$2:$A$4919,$A2098)</f>
        <v/>
      </c>
      <c r="G2098" s="1">
        <f>INDEX('DETALLE CRONOLÓGICO'!$D$2:$D$4919,MATCH($A2098,'DETALLE CRONOLÓGICO'!$A$2:$A$4919,0))</f>
        <v/>
      </c>
      <c r="H2098" s="1">
        <f>INDEX('DETALLE CRONOLÓGICO'!$D$2:$D$4919,MATCH($A2098,'DETALLE CRONOLÓGICO'!$A$2:$A$4919,0)+$E2098-1)</f>
        <v/>
      </c>
      <c r="I2098" s="5">
        <f>IFERROR(SUMIFS('DETALLE CRONOLÓGICO'!$L$2:$L$4919,'DETALLE CRONOLÓGICO'!$A$2:$A$4919,$A2098)/$F2098,"")</f>
        <v/>
      </c>
      <c r="J2098" s="6">
        <f>IFERROR(SUMIFS('DETALLE CRONOLÓGICO'!$K$2:$K$4919,'DETALLE CRONOLÓGICO'!$A$2:$A$4919,$A2098)/$E2098,"")</f>
        <v/>
      </c>
      <c r="K2098" s="6">
        <f>_xlfn.MINIFS('DETALLE CRONOLÓGICO'!$K$2:$K$4919,'DETALLE CRONOLÓGICO'!$A$2:$A$4919,$A2098)</f>
        <v/>
      </c>
      <c r="L2098" s="6">
        <f>_xlfn.MAXIFS('DETALLE CRONOLÓGICO'!$K$2:$K$4919,'DETALLE CRONOLÓGICO'!$A$2:$A$4919,$A2098)</f>
        <v/>
      </c>
      <c r="M2098" s="6">
        <f>INDEX('DETALLE CRONOLÓGICO'!$K$2:$K$4919,MATCH($A2098,'DETALLE CRONOLÓGICO'!$A$2:$A$4919,0)+$E2098-1)</f>
        <v/>
      </c>
      <c r="N2098" s="7">
        <f>IFERROR($M2098/INDEX('DETALLE CRONOLÓGICO'!$K$2:$K$4919,MATCH($A2098,'DETALLE CRONOLÓGICO'!$A$2:$A$4919,0))-1,"")</f>
        <v/>
      </c>
      <c r="O2098" s="6">
        <f>IFERROR($I2098*3,"")</f>
        <v/>
      </c>
      <c r="P2098" s="6">
        <f>IFERROR($I2098*3.5,"")</f>
        <v/>
      </c>
      <c r="Q2098" s="6">
        <f>IFERROR($I2098*4,"")</f>
        <v/>
      </c>
      <c r="R2098" s="6" t="n">
        <v>499</v>
      </c>
      <c r="S2098" s="4" t="n">
        <v>3</v>
      </c>
      <c r="T2098" s="1" t="inlineStr">
        <is>
          <t>active</t>
        </is>
      </c>
      <c r="U2098" s="8" t="n"/>
      <c r="V2098" s="1" t="inlineStr">
        <is>
          <t>SIN PRECIO</t>
        </is>
      </c>
    </row>
    <row r="2099">
      <c r="A2099" s="1" t="inlineStr">
        <is>
          <t>91078752962381</t>
        </is>
      </c>
      <c r="B2099" s="1" t="inlineStr">
        <is>
          <t>COLLAR BV GOLD PEAKS CON ZIRCONIA ALREDEDOR</t>
        </is>
      </c>
      <c r="C2099" s="1" t="inlineStr">
        <is>
          <t>Default Title</t>
        </is>
      </c>
      <c r="D2099" s="1" t="inlineStr">
        <is>
          <t>HAIFENG</t>
        </is>
      </c>
      <c r="E2099" s="4">
        <f>COUNTIF('DETALLE CRONOLÓGICO'!$A$2:$A$4919,$A2099)</f>
        <v/>
      </c>
      <c r="F2099" s="4">
        <f>SUMIFS('DETALLE CRONOLÓGICO'!$I$2:$I$4919,'DETALLE CRONOLÓGICO'!$A$2:$A$4919,$A2099)</f>
        <v/>
      </c>
      <c r="G2099" s="1">
        <f>INDEX('DETALLE CRONOLÓGICO'!$D$2:$D$4919,MATCH($A2099,'DETALLE CRONOLÓGICO'!$A$2:$A$4919,0))</f>
        <v/>
      </c>
      <c r="H2099" s="1">
        <f>INDEX('DETALLE CRONOLÓGICO'!$D$2:$D$4919,MATCH($A2099,'DETALLE CRONOLÓGICO'!$A$2:$A$4919,0)+$E2099-1)</f>
        <v/>
      </c>
      <c r="I2099" s="5">
        <f>IFERROR(SUMIFS('DETALLE CRONOLÓGICO'!$L$2:$L$4919,'DETALLE CRONOLÓGICO'!$A$2:$A$4919,$A2099)/$F2099,"")</f>
        <v/>
      </c>
      <c r="J2099" s="6">
        <f>IFERROR(SUMIFS('DETALLE CRONOLÓGICO'!$K$2:$K$4919,'DETALLE CRONOLÓGICO'!$A$2:$A$4919,$A2099)/$E2099,"")</f>
        <v/>
      </c>
      <c r="K2099" s="6">
        <f>_xlfn.MINIFS('DETALLE CRONOLÓGICO'!$K$2:$K$4919,'DETALLE CRONOLÓGICO'!$A$2:$A$4919,$A2099)</f>
        <v/>
      </c>
      <c r="L2099" s="6">
        <f>_xlfn.MAXIFS('DETALLE CRONOLÓGICO'!$K$2:$K$4919,'DETALLE CRONOLÓGICO'!$A$2:$A$4919,$A2099)</f>
        <v/>
      </c>
      <c r="M2099" s="6">
        <f>INDEX('DETALLE CRONOLÓGICO'!$K$2:$K$4919,MATCH($A2099,'DETALLE CRONOLÓGICO'!$A$2:$A$4919,0)+$E2099-1)</f>
        <v/>
      </c>
      <c r="N2099" s="7">
        <f>IFERROR($M2099/INDEX('DETALLE CRONOLÓGICO'!$K$2:$K$4919,MATCH($A2099,'DETALLE CRONOLÓGICO'!$A$2:$A$4919,0))-1,"")</f>
        <v/>
      </c>
      <c r="O2099" s="6">
        <f>IFERROR($I2099*3,"")</f>
        <v/>
      </c>
      <c r="P2099" s="6">
        <f>IFERROR($I2099*3.5,"")</f>
        <v/>
      </c>
      <c r="Q2099" s="6">
        <f>IFERROR($I2099*4,"")</f>
        <v/>
      </c>
      <c r="R2099" s="6" t="n">
        <v>659.2</v>
      </c>
      <c r="S2099" s="4" t="n">
        <v>2</v>
      </c>
      <c r="T2099" s="1" t="inlineStr">
        <is>
          <t>active</t>
        </is>
      </c>
      <c r="U2099" s="8" t="n"/>
      <c r="V2099" s="1" t="inlineStr">
        <is>
          <t>SIN PRECIO</t>
        </is>
      </c>
    </row>
    <row r="2100">
      <c r="A2100" s="1" t="inlineStr">
        <is>
          <t>91078753349421</t>
        </is>
      </c>
      <c r="B2100" s="1" t="inlineStr">
        <is>
          <t>PULSERA BV.ZERO GAPS ROSEGOLD</t>
        </is>
      </c>
      <c r="C2100" s="1" t="inlineStr">
        <is>
          <t>Default Title</t>
        </is>
      </c>
      <c r="D2100" s="1" t="inlineStr">
        <is>
          <t>HAIFENG</t>
        </is>
      </c>
      <c r="E2100" s="4">
        <f>COUNTIF('DETALLE CRONOLÓGICO'!$A$2:$A$4919,$A2100)</f>
        <v/>
      </c>
      <c r="F2100" s="4">
        <f>SUMIFS('DETALLE CRONOLÓGICO'!$I$2:$I$4919,'DETALLE CRONOLÓGICO'!$A$2:$A$4919,$A2100)</f>
        <v/>
      </c>
      <c r="G2100" s="1">
        <f>INDEX('DETALLE CRONOLÓGICO'!$D$2:$D$4919,MATCH($A2100,'DETALLE CRONOLÓGICO'!$A$2:$A$4919,0))</f>
        <v/>
      </c>
      <c r="H2100" s="1">
        <f>INDEX('DETALLE CRONOLÓGICO'!$D$2:$D$4919,MATCH($A2100,'DETALLE CRONOLÓGICO'!$A$2:$A$4919,0)+$E2100-1)</f>
        <v/>
      </c>
      <c r="I2100" s="5">
        <f>IFERROR(SUMIFS('DETALLE CRONOLÓGICO'!$L$2:$L$4919,'DETALLE CRONOLÓGICO'!$A$2:$A$4919,$A2100)/$F2100,"")</f>
        <v/>
      </c>
      <c r="J2100" s="6">
        <f>IFERROR(SUMIFS('DETALLE CRONOLÓGICO'!$K$2:$K$4919,'DETALLE CRONOLÓGICO'!$A$2:$A$4919,$A2100)/$E2100,"")</f>
        <v/>
      </c>
      <c r="K2100" s="6">
        <f>_xlfn.MINIFS('DETALLE CRONOLÓGICO'!$K$2:$K$4919,'DETALLE CRONOLÓGICO'!$A$2:$A$4919,$A2100)</f>
        <v/>
      </c>
      <c r="L2100" s="6">
        <f>_xlfn.MAXIFS('DETALLE CRONOLÓGICO'!$K$2:$K$4919,'DETALLE CRONOLÓGICO'!$A$2:$A$4919,$A2100)</f>
        <v/>
      </c>
      <c r="M2100" s="6">
        <f>INDEX('DETALLE CRONOLÓGICO'!$K$2:$K$4919,MATCH($A2100,'DETALLE CRONOLÓGICO'!$A$2:$A$4919,0)+$E2100-1)</f>
        <v/>
      </c>
      <c r="N2100" s="7">
        <f>IFERROR($M2100/INDEX('DETALLE CRONOLÓGICO'!$K$2:$K$4919,MATCH($A2100,'DETALLE CRONOLÓGICO'!$A$2:$A$4919,0))-1,"")</f>
        <v/>
      </c>
      <c r="O2100" s="6">
        <f>IFERROR($I2100*3,"")</f>
        <v/>
      </c>
      <c r="P2100" s="6">
        <f>IFERROR($I2100*3.5,"")</f>
        <v/>
      </c>
      <c r="Q2100" s="6">
        <f>IFERROR($I2100*4,"")</f>
        <v/>
      </c>
      <c r="R2100" s="6" t="n">
        <v>700.4</v>
      </c>
      <c r="S2100" s="4" t="n">
        <v>2</v>
      </c>
      <c r="T2100" s="1" t="inlineStr">
        <is>
          <t>active</t>
        </is>
      </c>
      <c r="U2100" s="8" t="n"/>
      <c r="V2100" s="1" t="inlineStr">
        <is>
          <t>SIN PRECIO</t>
        </is>
      </c>
    </row>
    <row r="2101">
      <c r="A2101" s="1" t="inlineStr">
        <is>
          <t>91078753456205</t>
        </is>
      </c>
      <c r="B2101" s="1" t="inlineStr">
        <is>
          <t>PULSERA BV.ZERO ROSEGOLD</t>
        </is>
      </c>
      <c r="C2101" s="1" t="inlineStr">
        <is>
          <t>HIGH QUALITY</t>
        </is>
      </c>
      <c r="D2101" s="1" t="inlineStr">
        <is>
          <t>HAIFENG</t>
        </is>
      </c>
      <c r="E2101" s="4">
        <f>COUNTIF('DETALLE CRONOLÓGICO'!$A$2:$A$4919,$A2101)</f>
        <v/>
      </c>
      <c r="F2101" s="4">
        <f>SUMIFS('DETALLE CRONOLÓGICO'!$I$2:$I$4919,'DETALLE CRONOLÓGICO'!$A$2:$A$4919,$A2101)</f>
        <v/>
      </c>
      <c r="G2101" s="1">
        <f>INDEX('DETALLE CRONOLÓGICO'!$D$2:$D$4919,MATCH($A2101,'DETALLE CRONOLÓGICO'!$A$2:$A$4919,0))</f>
        <v/>
      </c>
      <c r="H2101" s="1">
        <f>INDEX('DETALLE CRONOLÓGICO'!$D$2:$D$4919,MATCH($A2101,'DETALLE CRONOLÓGICO'!$A$2:$A$4919,0)+$E2101-1)</f>
        <v/>
      </c>
      <c r="I2101" s="5">
        <f>IFERROR(SUMIFS('DETALLE CRONOLÓGICO'!$L$2:$L$4919,'DETALLE CRONOLÓGICO'!$A$2:$A$4919,$A2101)/$F2101,"")</f>
        <v/>
      </c>
      <c r="J2101" s="6">
        <f>IFERROR(SUMIFS('DETALLE CRONOLÓGICO'!$K$2:$K$4919,'DETALLE CRONOLÓGICO'!$A$2:$A$4919,$A2101)/$E2101,"")</f>
        <v/>
      </c>
      <c r="K2101" s="6">
        <f>_xlfn.MINIFS('DETALLE CRONOLÓGICO'!$K$2:$K$4919,'DETALLE CRONOLÓGICO'!$A$2:$A$4919,$A2101)</f>
        <v/>
      </c>
      <c r="L2101" s="6">
        <f>_xlfn.MAXIFS('DETALLE CRONOLÓGICO'!$K$2:$K$4919,'DETALLE CRONOLÓGICO'!$A$2:$A$4919,$A2101)</f>
        <v/>
      </c>
      <c r="M2101" s="6">
        <f>INDEX('DETALLE CRONOLÓGICO'!$K$2:$K$4919,MATCH($A2101,'DETALLE CRONOLÓGICO'!$A$2:$A$4919,0)+$E2101-1)</f>
        <v/>
      </c>
      <c r="N2101" s="7">
        <f>IFERROR($M2101/INDEX('DETALLE CRONOLÓGICO'!$K$2:$K$4919,MATCH($A2101,'DETALLE CRONOLÓGICO'!$A$2:$A$4919,0))-1,"")</f>
        <v/>
      </c>
      <c r="O2101" s="6">
        <f>IFERROR($I2101*3,"")</f>
        <v/>
      </c>
      <c r="P2101" s="6">
        <f>IFERROR($I2101*3.5,"")</f>
        <v/>
      </c>
      <c r="Q2101" s="6">
        <f>IFERROR($I2101*4,"")</f>
        <v/>
      </c>
      <c r="R2101" s="6" t="n">
        <v>850</v>
      </c>
      <c r="S2101" s="4" t="n">
        <v>1</v>
      </c>
      <c r="T2101" s="1" t="inlineStr">
        <is>
          <t>active</t>
        </is>
      </c>
      <c r="U2101" s="8" t="n"/>
      <c r="V2101" s="1" t="inlineStr">
        <is>
          <t>SIN PRECIO</t>
        </is>
      </c>
    </row>
    <row r="2102">
      <c r="A2102" s="1" t="inlineStr">
        <is>
          <t>91345321067917</t>
        </is>
      </c>
      <c r="B2102" s="1" t="inlineStr">
        <is>
          <t>PERFUME V&amp;R SPICEBOMB EXTREME</t>
        </is>
      </c>
      <c r="C2102" s="1" t="inlineStr">
        <is>
          <t>Default Title</t>
        </is>
      </c>
      <c r="D2102" s="1" t="inlineStr">
        <is>
          <t>ZOEY</t>
        </is>
      </c>
      <c r="E2102" s="4">
        <f>COUNTIF('DETALLE CRONOLÓGICO'!$A$2:$A$4919,$A2102)</f>
        <v/>
      </c>
      <c r="F2102" s="4">
        <f>SUMIFS('DETALLE CRONOLÓGICO'!$I$2:$I$4919,'DETALLE CRONOLÓGICO'!$A$2:$A$4919,$A2102)</f>
        <v/>
      </c>
      <c r="G2102" s="1">
        <f>INDEX('DETALLE CRONOLÓGICO'!$D$2:$D$4919,MATCH($A2102,'DETALLE CRONOLÓGICO'!$A$2:$A$4919,0))</f>
        <v/>
      </c>
      <c r="H2102" s="1">
        <f>INDEX('DETALLE CRONOLÓGICO'!$D$2:$D$4919,MATCH($A2102,'DETALLE CRONOLÓGICO'!$A$2:$A$4919,0)+$E2102-1)</f>
        <v/>
      </c>
      <c r="I2102" s="5">
        <f>IFERROR(SUMIFS('DETALLE CRONOLÓGICO'!$L$2:$L$4919,'DETALLE CRONOLÓGICO'!$A$2:$A$4919,$A2102)/$F2102,"")</f>
        <v/>
      </c>
      <c r="J2102" s="6">
        <f>IFERROR(SUMIFS('DETALLE CRONOLÓGICO'!$K$2:$K$4919,'DETALLE CRONOLÓGICO'!$A$2:$A$4919,$A2102)/$E2102,"")</f>
        <v/>
      </c>
      <c r="K2102" s="6">
        <f>_xlfn.MINIFS('DETALLE CRONOLÓGICO'!$K$2:$K$4919,'DETALLE CRONOLÓGICO'!$A$2:$A$4919,$A2102)</f>
        <v/>
      </c>
      <c r="L2102" s="6">
        <f>_xlfn.MAXIFS('DETALLE CRONOLÓGICO'!$K$2:$K$4919,'DETALLE CRONOLÓGICO'!$A$2:$A$4919,$A2102)</f>
        <v/>
      </c>
      <c r="M2102" s="6">
        <f>INDEX('DETALLE CRONOLÓGICO'!$K$2:$K$4919,MATCH($A2102,'DETALLE CRONOLÓGICO'!$A$2:$A$4919,0)+$E2102-1)</f>
        <v/>
      </c>
      <c r="N2102" s="7">
        <f>IFERROR($M2102/INDEX('DETALLE CRONOLÓGICO'!$K$2:$K$4919,MATCH($A2102,'DETALLE CRONOLÓGICO'!$A$2:$A$4919,0))-1,"")</f>
        <v/>
      </c>
      <c r="O2102" s="6">
        <f>IFERROR($I2102*3,"")</f>
        <v/>
      </c>
      <c r="P2102" s="6">
        <f>IFERROR($I2102*3.5,"")</f>
        <v/>
      </c>
      <c r="Q2102" s="6">
        <f>IFERROR($I2102*4,"")</f>
        <v/>
      </c>
      <c r="R2102" s="6" t="n">
        <v>1849</v>
      </c>
      <c r="S2102" s="4" t="n">
        <v>2</v>
      </c>
      <c r="T2102" s="1" t="inlineStr">
        <is>
          <t>active</t>
        </is>
      </c>
      <c r="U2102" s="8" t="n"/>
      <c r="V2102" s="1" t="inlineStr">
        <is>
          <t>SIN PRECIO</t>
        </is>
      </c>
    </row>
    <row r="2103">
      <c r="A2103" s="1" t="inlineStr">
        <is>
          <t>91345321754957</t>
        </is>
      </c>
      <c r="B2103" s="1" t="inlineStr">
        <is>
          <t>ZAPATILLAS CD HEELED</t>
        </is>
      </c>
      <c r="C2103" s="1" t="inlineStr">
        <is>
          <t>25MX (39UK)</t>
        </is>
      </c>
      <c r="D2103" s="1" t="inlineStr">
        <is>
          <t>ZOEY</t>
        </is>
      </c>
      <c r="E2103" s="4">
        <f>COUNTIF('DETALLE CRONOLÓGICO'!$A$2:$A$4919,$A2103)</f>
        <v/>
      </c>
      <c r="F2103" s="4">
        <f>SUMIFS('DETALLE CRONOLÓGICO'!$I$2:$I$4919,'DETALLE CRONOLÓGICO'!$A$2:$A$4919,$A2103)</f>
        <v/>
      </c>
      <c r="G2103" s="1">
        <f>INDEX('DETALLE CRONOLÓGICO'!$D$2:$D$4919,MATCH($A2103,'DETALLE CRONOLÓGICO'!$A$2:$A$4919,0))</f>
        <v/>
      </c>
      <c r="H2103" s="1">
        <f>INDEX('DETALLE CRONOLÓGICO'!$D$2:$D$4919,MATCH($A2103,'DETALLE CRONOLÓGICO'!$A$2:$A$4919,0)+$E2103-1)</f>
        <v/>
      </c>
      <c r="I2103" s="5">
        <f>IFERROR(SUMIFS('DETALLE CRONOLÓGICO'!$L$2:$L$4919,'DETALLE CRONOLÓGICO'!$A$2:$A$4919,$A2103)/$F2103,"")</f>
        <v/>
      </c>
      <c r="J2103" s="6">
        <f>IFERROR(SUMIFS('DETALLE CRONOLÓGICO'!$K$2:$K$4919,'DETALLE CRONOLÓGICO'!$A$2:$A$4919,$A2103)/$E2103,"")</f>
        <v/>
      </c>
      <c r="K2103" s="6">
        <f>_xlfn.MINIFS('DETALLE CRONOLÓGICO'!$K$2:$K$4919,'DETALLE CRONOLÓGICO'!$A$2:$A$4919,$A2103)</f>
        <v/>
      </c>
      <c r="L2103" s="6">
        <f>_xlfn.MAXIFS('DETALLE CRONOLÓGICO'!$K$2:$K$4919,'DETALLE CRONOLÓGICO'!$A$2:$A$4919,$A2103)</f>
        <v/>
      </c>
      <c r="M2103" s="6">
        <f>INDEX('DETALLE CRONOLÓGICO'!$K$2:$K$4919,MATCH($A2103,'DETALLE CRONOLÓGICO'!$A$2:$A$4919,0)+$E2103-1)</f>
        <v/>
      </c>
      <c r="N2103" s="7">
        <f>IFERROR($M2103/INDEX('DETALLE CRONOLÓGICO'!$K$2:$K$4919,MATCH($A2103,'DETALLE CRONOLÓGICO'!$A$2:$A$4919,0))-1,"")</f>
        <v/>
      </c>
      <c r="O2103" s="6">
        <f>IFERROR($I2103*3,"")</f>
        <v/>
      </c>
      <c r="P2103" s="6">
        <f>IFERROR($I2103*3.5,"")</f>
        <v/>
      </c>
      <c r="Q2103" s="6">
        <f>IFERROR($I2103*4,"")</f>
        <v/>
      </c>
      <c r="R2103" s="6" t="n">
        <v>5826</v>
      </c>
      <c r="S2103" s="4" t="n">
        <v>0</v>
      </c>
      <c r="T2103" s="1" t="inlineStr">
        <is>
          <t>active</t>
        </is>
      </c>
      <c r="U2103" s="8" t="n"/>
      <c r="V2103" s="1" t="inlineStr">
        <is>
          <t>SIN PRECIO</t>
        </is>
      </c>
    </row>
    <row r="2104">
      <c r="A2104" s="1" t="inlineStr">
        <is>
          <t>91345321930669</t>
        </is>
      </c>
      <c r="B2104" s="1" t="inlineStr">
        <is>
          <t>LENTES F BAGUETTE</t>
        </is>
      </c>
      <c r="C2104" s="1" t="inlineStr">
        <is>
          <t>Default Title</t>
        </is>
      </c>
      <c r="D2104" s="1" t="inlineStr">
        <is>
          <t>ZOEY</t>
        </is>
      </c>
      <c r="E2104" s="4">
        <f>COUNTIF('DETALLE CRONOLÓGICO'!$A$2:$A$4919,$A2104)</f>
        <v/>
      </c>
      <c r="F2104" s="4">
        <f>SUMIFS('DETALLE CRONOLÓGICO'!$I$2:$I$4919,'DETALLE CRONOLÓGICO'!$A$2:$A$4919,$A2104)</f>
        <v/>
      </c>
      <c r="G2104" s="1">
        <f>INDEX('DETALLE CRONOLÓGICO'!$D$2:$D$4919,MATCH($A2104,'DETALLE CRONOLÓGICO'!$A$2:$A$4919,0))</f>
        <v/>
      </c>
      <c r="H2104" s="1">
        <f>INDEX('DETALLE CRONOLÓGICO'!$D$2:$D$4919,MATCH($A2104,'DETALLE CRONOLÓGICO'!$A$2:$A$4919,0)+$E2104-1)</f>
        <v/>
      </c>
      <c r="I2104" s="5">
        <f>IFERROR(SUMIFS('DETALLE CRONOLÓGICO'!$L$2:$L$4919,'DETALLE CRONOLÓGICO'!$A$2:$A$4919,$A2104)/$F2104,"")</f>
        <v/>
      </c>
      <c r="J2104" s="6">
        <f>IFERROR(SUMIFS('DETALLE CRONOLÓGICO'!$K$2:$K$4919,'DETALLE CRONOLÓGICO'!$A$2:$A$4919,$A2104)/$E2104,"")</f>
        <v/>
      </c>
      <c r="K2104" s="6">
        <f>_xlfn.MINIFS('DETALLE CRONOLÓGICO'!$K$2:$K$4919,'DETALLE CRONOLÓGICO'!$A$2:$A$4919,$A2104)</f>
        <v/>
      </c>
      <c r="L2104" s="6">
        <f>_xlfn.MAXIFS('DETALLE CRONOLÓGICO'!$K$2:$K$4919,'DETALLE CRONOLÓGICO'!$A$2:$A$4919,$A2104)</f>
        <v/>
      </c>
      <c r="M2104" s="6">
        <f>INDEX('DETALLE CRONOLÓGICO'!$K$2:$K$4919,MATCH($A2104,'DETALLE CRONOLÓGICO'!$A$2:$A$4919,0)+$E2104-1)</f>
        <v/>
      </c>
      <c r="N2104" s="7">
        <f>IFERROR($M2104/INDEX('DETALLE CRONOLÓGICO'!$K$2:$K$4919,MATCH($A2104,'DETALLE CRONOLÓGICO'!$A$2:$A$4919,0))-1,"")</f>
        <v/>
      </c>
      <c r="O2104" s="6">
        <f>IFERROR($I2104*3,"")</f>
        <v/>
      </c>
      <c r="P2104" s="6">
        <f>IFERROR($I2104*3.5,"")</f>
        <v/>
      </c>
      <c r="Q2104" s="6">
        <f>IFERROR($I2104*4,"")</f>
        <v/>
      </c>
      <c r="R2104" s="6" t="n">
        <v>3899</v>
      </c>
      <c r="S2104" s="4" t="n">
        <v>0</v>
      </c>
      <c r="T2104" s="1" t="inlineStr">
        <is>
          <t>draft</t>
        </is>
      </c>
      <c r="U2104" s="8" t="n"/>
      <c r="V2104" s="1" t="inlineStr">
        <is>
          <t>SIN PRECIO</t>
        </is>
      </c>
    </row>
    <row r="2105">
      <c r="A2105" s="1" t="inlineStr">
        <is>
          <t>91345322036909</t>
        </is>
      </c>
      <c r="B2105" s="1" t="inlineStr">
        <is>
          <t>LENTES F FIRST BROWN</t>
        </is>
      </c>
      <c r="C2105" s="1" t="inlineStr">
        <is>
          <t>Default Title</t>
        </is>
      </c>
      <c r="D2105" s="1" t="inlineStr">
        <is>
          <t>ZOEY</t>
        </is>
      </c>
      <c r="E2105" s="4">
        <f>COUNTIF('DETALLE CRONOLÓGICO'!$A$2:$A$4919,$A2105)</f>
        <v/>
      </c>
      <c r="F2105" s="4">
        <f>SUMIFS('DETALLE CRONOLÓGICO'!$I$2:$I$4919,'DETALLE CRONOLÓGICO'!$A$2:$A$4919,$A2105)</f>
        <v/>
      </c>
      <c r="G2105" s="1">
        <f>INDEX('DETALLE CRONOLÓGICO'!$D$2:$D$4919,MATCH($A2105,'DETALLE CRONOLÓGICO'!$A$2:$A$4919,0))</f>
        <v/>
      </c>
      <c r="H2105" s="1">
        <f>INDEX('DETALLE CRONOLÓGICO'!$D$2:$D$4919,MATCH($A2105,'DETALLE CRONOLÓGICO'!$A$2:$A$4919,0)+$E2105-1)</f>
        <v/>
      </c>
      <c r="I2105" s="5">
        <f>IFERROR(SUMIFS('DETALLE CRONOLÓGICO'!$L$2:$L$4919,'DETALLE CRONOLÓGICO'!$A$2:$A$4919,$A2105)/$F2105,"")</f>
        <v/>
      </c>
      <c r="J2105" s="6">
        <f>IFERROR(SUMIFS('DETALLE CRONOLÓGICO'!$K$2:$K$4919,'DETALLE CRONOLÓGICO'!$A$2:$A$4919,$A2105)/$E2105,"")</f>
        <v/>
      </c>
      <c r="K2105" s="6">
        <f>_xlfn.MINIFS('DETALLE CRONOLÓGICO'!$K$2:$K$4919,'DETALLE CRONOLÓGICO'!$A$2:$A$4919,$A2105)</f>
        <v/>
      </c>
      <c r="L2105" s="6">
        <f>_xlfn.MAXIFS('DETALLE CRONOLÓGICO'!$K$2:$K$4919,'DETALLE CRONOLÓGICO'!$A$2:$A$4919,$A2105)</f>
        <v/>
      </c>
      <c r="M2105" s="6">
        <f>INDEX('DETALLE CRONOLÓGICO'!$K$2:$K$4919,MATCH($A2105,'DETALLE CRONOLÓGICO'!$A$2:$A$4919,0)+$E2105-1)</f>
        <v/>
      </c>
      <c r="N2105" s="7">
        <f>IFERROR($M2105/INDEX('DETALLE CRONOLÓGICO'!$K$2:$K$4919,MATCH($A2105,'DETALLE CRONOLÓGICO'!$A$2:$A$4919,0))-1,"")</f>
        <v/>
      </c>
      <c r="O2105" s="6">
        <f>IFERROR($I2105*3,"")</f>
        <v/>
      </c>
      <c r="P2105" s="6">
        <f>IFERROR($I2105*3.5,"")</f>
        <v/>
      </c>
      <c r="Q2105" s="6">
        <f>IFERROR($I2105*4,"")</f>
        <v/>
      </c>
      <c r="R2105" s="6" t="n">
        <v>3200</v>
      </c>
      <c r="S2105" s="4" t="n">
        <v>0</v>
      </c>
      <c r="T2105" s="1" t="inlineStr">
        <is>
          <t>draft</t>
        </is>
      </c>
      <c r="U2105" s="8" t="n"/>
      <c r="V2105" s="1" t="inlineStr">
        <is>
          <t>SIN PRECIO</t>
        </is>
      </c>
    </row>
    <row r="2106">
      <c r="A2106" s="1" t="inlineStr">
        <is>
          <t>91345322411533</t>
        </is>
      </c>
      <c r="B2106" s="1" t="inlineStr">
        <is>
          <t>BOLSO F MON TRESOR</t>
        </is>
      </c>
      <c r="C2106" s="1" t="inlineStr">
        <is>
          <t>Default Title</t>
        </is>
      </c>
      <c r="D2106" s="1" t="inlineStr">
        <is>
          <t>ZOEY</t>
        </is>
      </c>
      <c r="E2106" s="4">
        <f>COUNTIF('DETALLE CRONOLÓGICO'!$A$2:$A$4919,$A2106)</f>
        <v/>
      </c>
      <c r="F2106" s="4">
        <f>SUMIFS('DETALLE CRONOLÓGICO'!$I$2:$I$4919,'DETALLE CRONOLÓGICO'!$A$2:$A$4919,$A2106)</f>
        <v/>
      </c>
      <c r="G2106" s="1">
        <f>INDEX('DETALLE CRONOLÓGICO'!$D$2:$D$4919,MATCH($A2106,'DETALLE CRONOLÓGICO'!$A$2:$A$4919,0))</f>
        <v/>
      </c>
      <c r="H2106" s="1">
        <f>INDEX('DETALLE CRONOLÓGICO'!$D$2:$D$4919,MATCH($A2106,'DETALLE CRONOLÓGICO'!$A$2:$A$4919,0)+$E2106-1)</f>
        <v/>
      </c>
      <c r="I2106" s="5">
        <f>IFERROR(SUMIFS('DETALLE CRONOLÓGICO'!$L$2:$L$4919,'DETALLE CRONOLÓGICO'!$A$2:$A$4919,$A2106)/$F2106,"")</f>
        <v/>
      </c>
      <c r="J2106" s="6">
        <f>IFERROR(SUMIFS('DETALLE CRONOLÓGICO'!$K$2:$K$4919,'DETALLE CRONOLÓGICO'!$A$2:$A$4919,$A2106)/$E2106,"")</f>
        <v/>
      </c>
      <c r="K2106" s="6">
        <f>_xlfn.MINIFS('DETALLE CRONOLÓGICO'!$K$2:$K$4919,'DETALLE CRONOLÓGICO'!$A$2:$A$4919,$A2106)</f>
        <v/>
      </c>
      <c r="L2106" s="6">
        <f>_xlfn.MAXIFS('DETALLE CRONOLÓGICO'!$K$2:$K$4919,'DETALLE CRONOLÓGICO'!$A$2:$A$4919,$A2106)</f>
        <v/>
      </c>
      <c r="M2106" s="6">
        <f>INDEX('DETALLE CRONOLÓGICO'!$K$2:$K$4919,MATCH($A2106,'DETALLE CRONOLÓGICO'!$A$2:$A$4919,0)+$E2106-1)</f>
        <v/>
      </c>
      <c r="N2106" s="7">
        <f>IFERROR($M2106/INDEX('DETALLE CRONOLÓGICO'!$K$2:$K$4919,MATCH($A2106,'DETALLE CRONOLÓGICO'!$A$2:$A$4919,0))-1,"")</f>
        <v/>
      </c>
      <c r="O2106" s="6">
        <f>IFERROR($I2106*3,"")</f>
        <v/>
      </c>
      <c r="P2106" s="6">
        <f>IFERROR($I2106*3.5,"")</f>
        <v/>
      </c>
      <c r="Q2106" s="6">
        <f>IFERROR($I2106*4,"")</f>
        <v/>
      </c>
      <c r="R2106" s="6" t="n">
        <v>5099</v>
      </c>
      <c r="S2106" s="4" t="n">
        <v>1</v>
      </c>
      <c r="T2106" s="1" t="inlineStr">
        <is>
          <t>active</t>
        </is>
      </c>
      <c r="U2106" s="8" t="n"/>
      <c r="V2106" s="1" t="inlineStr">
        <is>
          <t>SIN PRECIO</t>
        </is>
      </c>
    </row>
    <row r="2107">
      <c r="A2107" s="1" t="inlineStr">
        <is>
          <t>91345323018381</t>
        </is>
      </c>
      <c r="B2107" s="1" t="inlineStr">
        <is>
          <t>ZAPATILLAS YSL SLINGBACK</t>
        </is>
      </c>
      <c r="C2107" s="1" t="inlineStr">
        <is>
          <t>25MX</t>
        </is>
      </c>
      <c r="D2107" s="1" t="inlineStr">
        <is>
          <t>ZOEY</t>
        </is>
      </c>
      <c r="E2107" s="4">
        <f>COUNTIF('DETALLE CRONOLÓGICO'!$A$2:$A$4919,$A2107)</f>
        <v/>
      </c>
      <c r="F2107" s="4">
        <f>SUMIFS('DETALLE CRONOLÓGICO'!$I$2:$I$4919,'DETALLE CRONOLÓGICO'!$A$2:$A$4919,$A2107)</f>
        <v/>
      </c>
      <c r="G2107" s="1">
        <f>INDEX('DETALLE CRONOLÓGICO'!$D$2:$D$4919,MATCH($A2107,'DETALLE CRONOLÓGICO'!$A$2:$A$4919,0))</f>
        <v/>
      </c>
      <c r="H2107" s="1">
        <f>INDEX('DETALLE CRONOLÓGICO'!$D$2:$D$4919,MATCH($A2107,'DETALLE CRONOLÓGICO'!$A$2:$A$4919,0)+$E2107-1)</f>
        <v/>
      </c>
      <c r="I2107" s="5">
        <f>IFERROR(SUMIFS('DETALLE CRONOLÓGICO'!$L$2:$L$4919,'DETALLE CRONOLÓGICO'!$A$2:$A$4919,$A2107)/$F2107,"")</f>
        <v/>
      </c>
      <c r="J2107" s="6">
        <f>IFERROR(SUMIFS('DETALLE CRONOLÓGICO'!$K$2:$K$4919,'DETALLE CRONOLÓGICO'!$A$2:$A$4919,$A2107)/$E2107,"")</f>
        <v/>
      </c>
      <c r="K2107" s="6">
        <f>_xlfn.MINIFS('DETALLE CRONOLÓGICO'!$K$2:$K$4919,'DETALLE CRONOLÓGICO'!$A$2:$A$4919,$A2107)</f>
        <v/>
      </c>
      <c r="L2107" s="6">
        <f>_xlfn.MAXIFS('DETALLE CRONOLÓGICO'!$K$2:$K$4919,'DETALLE CRONOLÓGICO'!$A$2:$A$4919,$A2107)</f>
        <v/>
      </c>
      <c r="M2107" s="6">
        <f>INDEX('DETALLE CRONOLÓGICO'!$K$2:$K$4919,MATCH($A2107,'DETALLE CRONOLÓGICO'!$A$2:$A$4919,0)+$E2107-1)</f>
        <v/>
      </c>
      <c r="N2107" s="7">
        <f>IFERROR($M2107/INDEX('DETALLE CRONOLÓGICO'!$K$2:$K$4919,MATCH($A2107,'DETALLE CRONOLÓGICO'!$A$2:$A$4919,0))-1,"")</f>
        <v/>
      </c>
      <c r="O2107" s="6">
        <f>IFERROR($I2107*3,"")</f>
        <v/>
      </c>
      <c r="P2107" s="6">
        <f>IFERROR($I2107*3.5,"")</f>
        <v/>
      </c>
      <c r="Q2107" s="6">
        <f>IFERROR($I2107*4,"")</f>
        <v/>
      </c>
      <c r="R2107" s="6" t="n">
        <v>6099</v>
      </c>
      <c r="S2107" s="4" t="n">
        <v>2</v>
      </c>
      <c r="T2107" s="1" t="inlineStr">
        <is>
          <t>active</t>
        </is>
      </c>
      <c r="U2107" s="8" t="n"/>
      <c r="V2107" s="1" t="inlineStr">
        <is>
          <t>SIN PRECIO</t>
        </is>
      </c>
    </row>
    <row r="2108">
      <c r="A2108" s="1" t="inlineStr">
        <is>
          <t>91345323151149</t>
        </is>
      </c>
      <c r="B2108" s="1" t="inlineStr">
        <is>
          <t>ZAPATILLAS YSL SLINGBACK</t>
        </is>
      </c>
      <c r="C2108" s="1" t="inlineStr">
        <is>
          <t>24MX</t>
        </is>
      </c>
      <c r="D2108" s="1" t="inlineStr">
        <is>
          <t>ZOEY</t>
        </is>
      </c>
      <c r="E2108" s="4">
        <f>COUNTIF('DETALLE CRONOLÓGICO'!$A$2:$A$4919,$A2108)</f>
        <v/>
      </c>
      <c r="F2108" s="4">
        <f>SUMIFS('DETALLE CRONOLÓGICO'!$I$2:$I$4919,'DETALLE CRONOLÓGICO'!$A$2:$A$4919,$A2108)</f>
        <v/>
      </c>
      <c r="G2108" s="1">
        <f>INDEX('DETALLE CRONOLÓGICO'!$D$2:$D$4919,MATCH($A2108,'DETALLE CRONOLÓGICO'!$A$2:$A$4919,0))</f>
        <v/>
      </c>
      <c r="H2108" s="1">
        <f>INDEX('DETALLE CRONOLÓGICO'!$D$2:$D$4919,MATCH($A2108,'DETALLE CRONOLÓGICO'!$A$2:$A$4919,0)+$E2108-1)</f>
        <v/>
      </c>
      <c r="I2108" s="5">
        <f>IFERROR(SUMIFS('DETALLE CRONOLÓGICO'!$L$2:$L$4919,'DETALLE CRONOLÓGICO'!$A$2:$A$4919,$A2108)/$F2108,"")</f>
        <v/>
      </c>
      <c r="J2108" s="6">
        <f>IFERROR(SUMIFS('DETALLE CRONOLÓGICO'!$K$2:$K$4919,'DETALLE CRONOLÓGICO'!$A$2:$A$4919,$A2108)/$E2108,"")</f>
        <v/>
      </c>
      <c r="K2108" s="6">
        <f>_xlfn.MINIFS('DETALLE CRONOLÓGICO'!$K$2:$K$4919,'DETALLE CRONOLÓGICO'!$A$2:$A$4919,$A2108)</f>
        <v/>
      </c>
      <c r="L2108" s="6">
        <f>_xlfn.MAXIFS('DETALLE CRONOLÓGICO'!$K$2:$K$4919,'DETALLE CRONOLÓGICO'!$A$2:$A$4919,$A2108)</f>
        <v/>
      </c>
      <c r="M2108" s="6">
        <f>INDEX('DETALLE CRONOLÓGICO'!$K$2:$K$4919,MATCH($A2108,'DETALLE CRONOLÓGICO'!$A$2:$A$4919,0)+$E2108-1)</f>
        <v/>
      </c>
      <c r="N2108" s="7">
        <f>IFERROR($M2108/INDEX('DETALLE CRONOLÓGICO'!$K$2:$K$4919,MATCH($A2108,'DETALLE CRONOLÓGICO'!$A$2:$A$4919,0))-1,"")</f>
        <v/>
      </c>
      <c r="O2108" s="6">
        <f>IFERROR($I2108*3,"")</f>
        <v/>
      </c>
      <c r="P2108" s="6">
        <f>IFERROR($I2108*3.5,"")</f>
        <v/>
      </c>
      <c r="Q2108" s="6">
        <f>IFERROR($I2108*4,"")</f>
        <v/>
      </c>
      <c r="R2108" s="6" t="n">
        <v>6099</v>
      </c>
      <c r="S2108" s="4" t="n">
        <v>0</v>
      </c>
      <c r="T2108" s="1" t="inlineStr">
        <is>
          <t>active</t>
        </is>
      </c>
      <c r="U2108" s="8" t="n"/>
      <c r="V2108" s="1" t="inlineStr">
        <is>
          <t>SIN PRECIO</t>
        </is>
      </c>
    </row>
    <row r="2109">
      <c r="A2109" s="1" t="inlineStr">
        <is>
          <t>91345323547213</t>
        </is>
      </c>
      <c r="B2109" s="1" t="inlineStr">
        <is>
          <t>RELOJ C BAIGNOIRE GOLD</t>
        </is>
      </c>
      <c r="C2109" s="1" t="inlineStr">
        <is>
          <t>Default Title</t>
        </is>
      </c>
      <c r="D2109" s="1" t="inlineStr">
        <is>
          <t>ZOEY</t>
        </is>
      </c>
      <c r="E2109" s="4">
        <f>COUNTIF('DETALLE CRONOLÓGICO'!$A$2:$A$4919,$A2109)</f>
        <v/>
      </c>
      <c r="F2109" s="4">
        <f>SUMIFS('DETALLE CRONOLÓGICO'!$I$2:$I$4919,'DETALLE CRONOLÓGICO'!$A$2:$A$4919,$A2109)</f>
        <v/>
      </c>
      <c r="G2109" s="1">
        <f>INDEX('DETALLE CRONOLÓGICO'!$D$2:$D$4919,MATCH($A2109,'DETALLE CRONOLÓGICO'!$A$2:$A$4919,0))</f>
        <v/>
      </c>
      <c r="H2109" s="1">
        <f>INDEX('DETALLE CRONOLÓGICO'!$D$2:$D$4919,MATCH($A2109,'DETALLE CRONOLÓGICO'!$A$2:$A$4919,0)+$E2109-1)</f>
        <v/>
      </c>
      <c r="I2109" s="5">
        <f>IFERROR(SUMIFS('DETALLE CRONOLÓGICO'!$L$2:$L$4919,'DETALLE CRONOLÓGICO'!$A$2:$A$4919,$A2109)/$F2109,"")</f>
        <v/>
      </c>
      <c r="J2109" s="6">
        <f>IFERROR(SUMIFS('DETALLE CRONOLÓGICO'!$K$2:$K$4919,'DETALLE CRONOLÓGICO'!$A$2:$A$4919,$A2109)/$E2109,"")</f>
        <v/>
      </c>
      <c r="K2109" s="6">
        <f>_xlfn.MINIFS('DETALLE CRONOLÓGICO'!$K$2:$K$4919,'DETALLE CRONOLÓGICO'!$A$2:$A$4919,$A2109)</f>
        <v/>
      </c>
      <c r="L2109" s="6">
        <f>_xlfn.MAXIFS('DETALLE CRONOLÓGICO'!$K$2:$K$4919,'DETALLE CRONOLÓGICO'!$A$2:$A$4919,$A2109)</f>
        <v/>
      </c>
      <c r="M2109" s="6">
        <f>INDEX('DETALLE CRONOLÓGICO'!$K$2:$K$4919,MATCH($A2109,'DETALLE CRONOLÓGICO'!$A$2:$A$4919,0)+$E2109-1)</f>
        <v/>
      </c>
      <c r="N2109" s="7">
        <f>IFERROR($M2109/INDEX('DETALLE CRONOLÓGICO'!$K$2:$K$4919,MATCH($A2109,'DETALLE CRONOLÓGICO'!$A$2:$A$4919,0))-1,"")</f>
        <v/>
      </c>
      <c r="O2109" s="6">
        <f>IFERROR($I2109*3,"")</f>
        <v/>
      </c>
      <c r="P2109" s="6">
        <f>IFERROR($I2109*3.5,"")</f>
        <v/>
      </c>
      <c r="Q2109" s="6">
        <f>IFERROR($I2109*4,"")</f>
        <v/>
      </c>
      <c r="R2109" s="6" t="n">
        <v>7349</v>
      </c>
      <c r="S2109" s="4" t="n">
        <v>2</v>
      </c>
      <c r="T2109" s="1" t="inlineStr">
        <is>
          <t>draft</t>
        </is>
      </c>
      <c r="U2109" s="8" t="n"/>
      <c r="V2109" s="1" t="inlineStr">
        <is>
          <t>SIN PRECIO</t>
        </is>
      </c>
    </row>
    <row r="2110">
      <c r="A2110" s="1" t="inlineStr">
        <is>
          <t>91345323704269</t>
        </is>
      </c>
      <c r="B2110" s="1" t="inlineStr">
        <is>
          <t>RELOJ C BAIGNOIRE ROSEGOLD</t>
        </is>
      </c>
      <c r="C2110" s="1" t="inlineStr">
        <is>
          <t>Default Title</t>
        </is>
      </c>
      <c r="D2110" s="1" t="inlineStr">
        <is>
          <t>ZOEY</t>
        </is>
      </c>
      <c r="E2110" s="4">
        <f>COUNTIF('DETALLE CRONOLÓGICO'!$A$2:$A$4919,$A2110)</f>
        <v/>
      </c>
      <c r="F2110" s="4">
        <f>SUMIFS('DETALLE CRONOLÓGICO'!$I$2:$I$4919,'DETALLE CRONOLÓGICO'!$A$2:$A$4919,$A2110)</f>
        <v/>
      </c>
      <c r="G2110" s="1">
        <f>INDEX('DETALLE CRONOLÓGICO'!$D$2:$D$4919,MATCH($A2110,'DETALLE CRONOLÓGICO'!$A$2:$A$4919,0))</f>
        <v/>
      </c>
      <c r="H2110" s="1">
        <f>INDEX('DETALLE CRONOLÓGICO'!$D$2:$D$4919,MATCH($A2110,'DETALLE CRONOLÓGICO'!$A$2:$A$4919,0)+$E2110-1)</f>
        <v/>
      </c>
      <c r="I2110" s="5">
        <f>IFERROR(SUMIFS('DETALLE CRONOLÓGICO'!$L$2:$L$4919,'DETALLE CRONOLÓGICO'!$A$2:$A$4919,$A2110)/$F2110,"")</f>
        <v/>
      </c>
      <c r="J2110" s="6">
        <f>IFERROR(SUMIFS('DETALLE CRONOLÓGICO'!$K$2:$K$4919,'DETALLE CRONOLÓGICO'!$A$2:$A$4919,$A2110)/$E2110,"")</f>
        <v/>
      </c>
      <c r="K2110" s="6">
        <f>_xlfn.MINIFS('DETALLE CRONOLÓGICO'!$K$2:$K$4919,'DETALLE CRONOLÓGICO'!$A$2:$A$4919,$A2110)</f>
        <v/>
      </c>
      <c r="L2110" s="6">
        <f>_xlfn.MAXIFS('DETALLE CRONOLÓGICO'!$K$2:$K$4919,'DETALLE CRONOLÓGICO'!$A$2:$A$4919,$A2110)</f>
        <v/>
      </c>
      <c r="M2110" s="6">
        <f>INDEX('DETALLE CRONOLÓGICO'!$K$2:$K$4919,MATCH($A2110,'DETALLE CRONOLÓGICO'!$A$2:$A$4919,0)+$E2110-1)</f>
        <v/>
      </c>
      <c r="N2110" s="7">
        <f>IFERROR($M2110/INDEX('DETALLE CRONOLÓGICO'!$K$2:$K$4919,MATCH($A2110,'DETALLE CRONOLÓGICO'!$A$2:$A$4919,0))-1,"")</f>
        <v/>
      </c>
      <c r="O2110" s="6">
        <f>IFERROR($I2110*3,"")</f>
        <v/>
      </c>
      <c r="P2110" s="6">
        <f>IFERROR($I2110*3.5,"")</f>
        <v/>
      </c>
      <c r="Q2110" s="6">
        <f>IFERROR($I2110*4,"")</f>
        <v/>
      </c>
      <c r="R2110" s="6" t="n">
        <v>7349</v>
      </c>
      <c r="S2110" s="4" t="n">
        <v>2</v>
      </c>
      <c r="T2110" s="1" t="inlineStr">
        <is>
          <t>draft</t>
        </is>
      </c>
      <c r="U2110" s="8" t="n"/>
      <c r="V2110" s="1" t="inlineStr">
        <is>
          <t>SIN PRECIO</t>
        </is>
      </c>
    </row>
    <row r="2111">
      <c r="A2111" s="1" t="inlineStr">
        <is>
          <t>93098781071405</t>
        </is>
      </c>
      <c r="B2111" s="1" t="inlineStr">
        <is>
          <t>PULSERA LV SAILOR SOO</t>
        </is>
      </c>
      <c r="C2111" s="1" t="inlineStr">
        <is>
          <t>Default Title</t>
        </is>
      </c>
      <c r="D2111" s="1" t="inlineStr">
        <is>
          <t>ZOEY</t>
        </is>
      </c>
      <c r="E2111" s="4">
        <f>COUNTIF('DETALLE CRONOLÓGICO'!$A$2:$A$4919,$A2111)</f>
        <v/>
      </c>
      <c r="F2111" s="4">
        <f>SUMIFS('DETALLE CRONOLÓGICO'!$I$2:$I$4919,'DETALLE CRONOLÓGICO'!$A$2:$A$4919,$A2111)</f>
        <v/>
      </c>
      <c r="G2111" s="1">
        <f>INDEX('DETALLE CRONOLÓGICO'!$D$2:$D$4919,MATCH($A2111,'DETALLE CRONOLÓGICO'!$A$2:$A$4919,0))</f>
        <v/>
      </c>
      <c r="H2111" s="1">
        <f>INDEX('DETALLE CRONOLÓGICO'!$D$2:$D$4919,MATCH($A2111,'DETALLE CRONOLÓGICO'!$A$2:$A$4919,0)+$E2111-1)</f>
        <v/>
      </c>
      <c r="I2111" s="5">
        <f>IFERROR(SUMIFS('DETALLE CRONOLÓGICO'!$L$2:$L$4919,'DETALLE CRONOLÓGICO'!$A$2:$A$4919,$A2111)/$F2111,"")</f>
        <v/>
      </c>
      <c r="J2111" s="6">
        <f>IFERROR(SUMIFS('DETALLE CRONOLÓGICO'!$K$2:$K$4919,'DETALLE CRONOLÓGICO'!$A$2:$A$4919,$A2111)/$E2111,"")</f>
        <v/>
      </c>
      <c r="K2111" s="6">
        <f>_xlfn.MINIFS('DETALLE CRONOLÓGICO'!$K$2:$K$4919,'DETALLE CRONOLÓGICO'!$A$2:$A$4919,$A2111)</f>
        <v/>
      </c>
      <c r="L2111" s="6">
        <f>_xlfn.MAXIFS('DETALLE CRONOLÓGICO'!$K$2:$K$4919,'DETALLE CRONOLÓGICO'!$A$2:$A$4919,$A2111)</f>
        <v/>
      </c>
      <c r="M2111" s="6">
        <f>INDEX('DETALLE CRONOLÓGICO'!$K$2:$K$4919,MATCH($A2111,'DETALLE CRONOLÓGICO'!$A$2:$A$4919,0)+$E2111-1)</f>
        <v/>
      </c>
      <c r="N2111" s="7">
        <f>IFERROR($M2111/INDEX('DETALLE CRONOLÓGICO'!$K$2:$K$4919,MATCH($A2111,'DETALLE CRONOLÓGICO'!$A$2:$A$4919,0))-1,"")</f>
        <v/>
      </c>
      <c r="O2111" s="6">
        <f>IFERROR($I2111*3,"")</f>
        <v/>
      </c>
      <c r="P2111" s="6">
        <f>IFERROR($I2111*3.5,"")</f>
        <v/>
      </c>
      <c r="Q2111" s="6">
        <f>IFERROR($I2111*4,"")</f>
        <v/>
      </c>
      <c r="R2111" s="6" t="n">
        <v>899</v>
      </c>
      <c r="S2111" s="4" t="n">
        <v>2</v>
      </c>
      <c r="T2111" s="1" t="inlineStr">
        <is>
          <t>active</t>
        </is>
      </c>
      <c r="U2111" s="8" t="n"/>
      <c r="V2111" s="1" t="inlineStr">
        <is>
          <t>SIN PRECIO</t>
        </is>
      </c>
    </row>
    <row r="2112">
      <c r="A2112" s="1" t="inlineStr">
        <is>
          <t>93098781173101</t>
        </is>
      </c>
      <c r="B2112" s="1" t="inlineStr">
        <is>
          <t>LENTES LV ESCAPE SQUARE</t>
        </is>
      </c>
      <c r="C2112" s="1" t="inlineStr">
        <is>
          <t>BLACK</t>
        </is>
      </c>
      <c r="D2112" s="1" t="inlineStr">
        <is>
          <t>ZOEY</t>
        </is>
      </c>
      <c r="E2112" s="4">
        <f>COUNTIF('DETALLE CRONOLÓGICO'!$A$2:$A$4919,$A2112)</f>
        <v/>
      </c>
      <c r="F2112" s="4">
        <f>SUMIFS('DETALLE CRONOLÓGICO'!$I$2:$I$4919,'DETALLE CRONOLÓGICO'!$A$2:$A$4919,$A2112)</f>
        <v/>
      </c>
      <c r="G2112" s="1">
        <f>INDEX('DETALLE CRONOLÓGICO'!$D$2:$D$4919,MATCH($A2112,'DETALLE CRONOLÓGICO'!$A$2:$A$4919,0))</f>
        <v/>
      </c>
      <c r="H2112" s="1">
        <f>INDEX('DETALLE CRONOLÓGICO'!$D$2:$D$4919,MATCH($A2112,'DETALLE CRONOLÓGICO'!$A$2:$A$4919,0)+$E2112-1)</f>
        <v/>
      </c>
      <c r="I2112" s="5">
        <f>IFERROR(SUMIFS('DETALLE CRONOLÓGICO'!$L$2:$L$4919,'DETALLE CRONOLÓGICO'!$A$2:$A$4919,$A2112)/$F2112,"")</f>
        <v/>
      </c>
      <c r="J2112" s="6">
        <f>IFERROR(SUMIFS('DETALLE CRONOLÓGICO'!$K$2:$K$4919,'DETALLE CRONOLÓGICO'!$A$2:$A$4919,$A2112)/$E2112,"")</f>
        <v/>
      </c>
      <c r="K2112" s="6">
        <f>_xlfn.MINIFS('DETALLE CRONOLÓGICO'!$K$2:$K$4919,'DETALLE CRONOLÓGICO'!$A$2:$A$4919,$A2112)</f>
        <v/>
      </c>
      <c r="L2112" s="6">
        <f>_xlfn.MAXIFS('DETALLE CRONOLÓGICO'!$K$2:$K$4919,'DETALLE CRONOLÓGICO'!$A$2:$A$4919,$A2112)</f>
        <v/>
      </c>
      <c r="M2112" s="6">
        <f>INDEX('DETALLE CRONOLÓGICO'!$K$2:$K$4919,MATCH($A2112,'DETALLE CRONOLÓGICO'!$A$2:$A$4919,0)+$E2112-1)</f>
        <v/>
      </c>
      <c r="N2112" s="7">
        <f>IFERROR($M2112/INDEX('DETALLE CRONOLÓGICO'!$K$2:$K$4919,MATCH($A2112,'DETALLE CRONOLÓGICO'!$A$2:$A$4919,0))-1,"")</f>
        <v/>
      </c>
      <c r="O2112" s="6">
        <f>IFERROR($I2112*3,"")</f>
        <v/>
      </c>
      <c r="P2112" s="6">
        <f>IFERROR($I2112*3.5,"")</f>
        <v/>
      </c>
      <c r="Q2112" s="6">
        <f>IFERROR($I2112*4,"")</f>
        <v/>
      </c>
      <c r="R2112" s="6" t="n">
        <v>3369</v>
      </c>
      <c r="S2112" s="4" t="n">
        <v>0</v>
      </c>
      <c r="T2112" s="1" t="inlineStr">
        <is>
          <t>active</t>
        </is>
      </c>
      <c r="U2112" s="8" t="n"/>
      <c r="V2112" s="1" t="inlineStr">
        <is>
          <t>SIN PRECIO</t>
        </is>
      </c>
    </row>
    <row r="2113">
      <c r="A2113" s="1" t="inlineStr">
        <is>
          <t>93098781240333</t>
        </is>
      </c>
      <c r="B2113" s="1" t="inlineStr">
        <is>
          <t>PULSERA LV SPIKE SOO</t>
        </is>
      </c>
      <c r="C2113" s="1" t="inlineStr">
        <is>
          <t>SILVER</t>
        </is>
      </c>
      <c r="D2113" s="1" t="inlineStr">
        <is>
          <t>ZOEY</t>
        </is>
      </c>
      <c r="E2113" s="4">
        <f>COUNTIF('DETALLE CRONOLÓGICO'!$A$2:$A$4919,$A2113)</f>
        <v/>
      </c>
      <c r="F2113" s="4">
        <f>SUMIFS('DETALLE CRONOLÓGICO'!$I$2:$I$4919,'DETALLE CRONOLÓGICO'!$A$2:$A$4919,$A2113)</f>
        <v/>
      </c>
      <c r="G2113" s="1">
        <f>INDEX('DETALLE CRONOLÓGICO'!$D$2:$D$4919,MATCH($A2113,'DETALLE CRONOLÓGICO'!$A$2:$A$4919,0))</f>
        <v/>
      </c>
      <c r="H2113" s="1">
        <f>INDEX('DETALLE CRONOLÓGICO'!$D$2:$D$4919,MATCH($A2113,'DETALLE CRONOLÓGICO'!$A$2:$A$4919,0)+$E2113-1)</f>
        <v/>
      </c>
      <c r="I2113" s="5">
        <f>IFERROR(SUMIFS('DETALLE CRONOLÓGICO'!$L$2:$L$4919,'DETALLE CRONOLÓGICO'!$A$2:$A$4919,$A2113)/$F2113,"")</f>
        <v/>
      </c>
      <c r="J2113" s="6">
        <f>IFERROR(SUMIFS('DETALLE CRONOLÓGICO'!$K$2:$K$4919,'DETALLE CRONOLÓGICO'!$A$2:$A$4919,$A2113)/$E2113,"")</f>
        <v/>
      </c>
      <c r="K2113" s="6">
        <f>_xlfn.MINIFS('DETALLE CRONOLÓGICO'!$K$2:$K$4919,'DETALLE CRONOLÓGICO'!$A$2:$A$4919,$A2113)</f>
        <v/>
      </c>
      <c r="L2113" s="6">
        <f>_xlfn.MAXIFS('DETALLE CRONOLÓGICO'!$K$2:$K$4919,'DETALLE CRONOLÓGICO'!$A$2:$A$4919,$A2113)</f>
        <v/>
      </c>
      <c r="M2113" s="6">
        <f>INDEX('DETALLE CRONOLÓGICO'!$K$2:$K$4919,MATCH($A2113,'DETALLE CRONOLÓGICO'!$A$2:$A$4919,0)+$E2113-1)</f>
        <v/>
      </c>
      <c r="N2113" s="7">
        <f>IFERROR($M2113/INDEX('DETALLE CRONOLÓGICO'!$K$2:$K$4919,MATCH($A2113,'DETALLE CRONOLÓGICO'!$A$2:$A$4919,0))-1,"")</f>
        <v/>
      </c>
      <c r="O2113" s="6">
        <f>IFERROR($I2113*3,"")</f>
        <v/>
      </c>
      <c r="P2113" s="6">
        <f>IFERROR($I2113*3.5,"")</f>
        <v/>
      </c>
      <c r="Q2113" s="6">
        <f>IFERROR($I2113*4,"")</f>
        <v/>
      </c>
      <c r="R2113" s="6" t="n">
        <v>1190</v>
      </c>
      <c r="S2113" s="4" t="n">
        <v>0</v>
      </c>
      <c r="T2113" s="1" t="inlineStr">
        <is>
          <t>active</t>
        </is>
      </c>
      <c r="U2113" s="8" t="n"/>
      <c r="V2113" s="1" t="inlineStr">
        <is>
          <t>SIN PRECIO</t>
        </is>
      </c>
    </row>
    <row r="2114">
      <c r="A2114" s="1" t="inlineStr">
        <is>
          <t>93098781301933</t>
        </is>
      </c>
      <c r="B2114" s="1" t="inlineStr">
        <is>
          <t>LENTES LV HIT SOO</t>
        </is>
      </c>
      <c r="C2114" s="1" t="inlineStr">
        <is>
          <t>Default Title</t>
        </is>
      </c>
      <c r="D2114" s="1" t="inlineStr">
        <is>
          <t>ZOEY</t>
        </is>
      </c>
      <c r="E2114" s="4">
        <f>COUNTIF('DETALLE CRONOLÓGICO'!$A$2:$A$4919,$A2114)</f>
        <v/>
      </c>
      <c r="F2114" s="4">
        <f>SUMIFS('DETALLE CRONOLÓGICO'!$I$2:$I$4919,'DETALLE CRONOLÓGICO'!$A$2:$A$4919,$A2114)</f>
        <v/>
      </c>
      <c r="G2114" s="1">
        <f>INDEX('DETALLE CRONOLÓGICO'!$D$2:$D$4919,MATCH($A2114,'DETALLE CRONOLÓGICO'!$A$2:$A$4919,0))</f>
        <v/>
      </c>
      <c r="H2114" s="1">
        <f>INDEX('DETALLE CRONOLÓGICO'!$D$2:$D$4919,MATCH($A2114,'DETALLE CRONOLÓGICO'!$A$2:$A$4919,0)+$E2114-1)</f>
        <v/>
      </c>
      <c r="I2114" s="5">
        <f>IFERROR(SUMIFS('DETALLE CRONOLÓGICO'!$L$2:$L$4919,'DETALLE CRONOLÓGICO'!$A$2:$A$4919,$A2114)/$F2114,"")</f>
        <v/>
      </c>
      <c r="J2114" s="6">
        <f>IFERROR(SUMIFS('DETALLE CRONOLÓGICO'!$K$2:$K$4919,'DETALLE CRONOLÓGICO'!$A$2:$A$4919,$A2114)/$E2114,"")</f>
        <v/>
      </c>
      <c r="K2114" s="6">
        <f>_xlfn.MINIFS('DETALLE CRONOLÓGICO'!$K$2:$K$4919,'DETALLE CRONOLÓGICO'!$A$2:$A$4919,$A2114)</f>
        <v/>
      </c>
      <c r="L2114" s="6">
        <f>_xlfn.MAXIFS('DETALLE CRONOLÓGICO'!$K$2:$K$4919,'DETALLE CRONOLÓGICO'!$A$2:$A$4919,$A2114)</f>
        <v/>
      </c>
      <c r="M2114" s="6">
        <f>INDEX('DETALLE CRONOLÓGICO'!$K$2:$K$4919,MATCH($A2114,'DETALLE CRONOLÓGICO'!$A$2:$A$4919,0)+$E2114-1)</f>
        <v/>
      </c>
      <c r="N2114" s="7">
        <f>IFERROR($M2114/INDEX('DETALLE CRONOLÓGICO'!$K$2:$K$4919,MATCH($A2114,'DETALLE CRONOLÓGICO'!$A$2:$A$4919,0))-1,"")</f>
        <v/>
      </c>
      <c r="O2114" s="6">
        <f>IFERROR($I2114*3,"")</f>
        <v/>
      </c>
      <c r="P2114" s="6">
        <f>IFERROR($I2114*3.5,"")</f>
        <v/>
      </c>
      <c r="Q2114" s="6">
        <f>IFERROR($I2114*4,"")</f>
        <v/>
      </c>
      <c r="R2114" s="6" t="n">
        <v>3399</v>
      </c>
      <c r="S2114" s="4" t="n">
        <v>3</v>
      </c>
      <c r="T2114" s="1" t="inlineStr">
        <is>
          <t>active</t>
        </is>
      </c>
      <c r="U2114" s="8" t="n"/>
      <c r="V2114" s="1" t="inlineStr">
        <is>
          <t>SIN PRECIO</t>
        </is>
      </c>
    </row>
    <row r="2115">
      <c r="A2115" s="1" t="inlineStr">
        <is>
          <t>93098781469165</t>
        </is>
      </c>
      <c r="B2115" s="1" t="inlineStr">
        <is>
          <t>PULSERA LV CATCH IT BLACK</t>
        </is>
      </c>
      <c r="C2115" s="1" t="inlineStr">
        <is>
          <t>Default Title</t>
        </is>
      </c>
      <c r="D2115" s="1" t="inlineStr">
        <is>
          <t>ZOEY</t>
        </is>
      </c>
      <c r="E2115" s="4">
        <f>COUNTIF('DETALLE CRONOLÓGICO'!$A$2:$A$4919,$A2115)</f>
        <v/>
      </c>
      <c r="F2115" s="4">
        <f>SUMIFS('DETALLE CRONOLÓGICO'!$I$2:$I$4919,'DETALLE CRONOLÓGICO'!$A$2:$A$4919,$A2115)</f>
        <v/>
      </c>
      <c r="G2115" s="1">
        <f>INDEX('DETALLE CRONOLÓGICO'!$D$2:$D$4919,MATCH($A2115,'DETALLE CRONOLÓGICO'!$A$2:$A$4919,0))</f>
        <v/>
      </c>
      <c r="H2115" s="1">
        <f>INDEX('DETALLE CRONOLÓGICO'!$D$2:$D$4919,MATCH($A2115,'DETALLE CRONOLÓGICO'!$A$2:$A$4919,0)+$E2115-1)</f>
        <v/>
      </c>
      <c r="I2115" s="5">
        <f>IFERROR(SUMIFS('DETALLE CRONOLÓGICO'!$L$2:$L$4919,'DETALLE CRONOLÓGICO'!$A$2:$A$4919,$A2115)/$F2115,"")</f>
        <v/>
      </c>
      <c r="J2115" s="6">
        <f>IFERROR(SUMIFS('DETALLE CRONOLÓGICO'!$K$2:$K$4919,'DETALLE CRONOLÓGICO'!$A$2:$A$4919,$A2115)/$E2115,"")</f>
        <v/>
      </c>
      <c r="K2115" s="6">
        <f>_xlfn.MINIFS('DETALLE CRONOLÓGICO'!$K$2:$K$4919,'DETALLE CRONOLÓGICO'!$A$2:$A$4919,$A2115)</f>
        <v/>
      </c>
      <c r="L2115" s="6">
        <f>_xlfn.MAXIFS('DETALLE CRONOLÓGICO'!$K$2:$K$4919,'DETALLE CRONOLÓGICO'!$A$2:$A$4919,$A2115)</f>
        <v/>
      </c>
      <c r="M2115" s="6">
        <f>INDEX('DETALLE CRONOLÓGICO'!$K$2:$K$4919,MATCH($A2115,'DETALLE CRONOLÓGICO'!$A$2:$A$4919,0)+$E2115-1)</f>
        <v/>
      </c>
      <c r="N2115" s="7">
        <f>IFERROR($M2115/INDEX('DETALLE CRONOLÓGICO'!$K$2:$K$4919,MATCH($A2115,'DETALLE CRONOLÓGICO'!$A$2:$A$4919,0))-1,"")</f>
        <v/>
      </c>
      <c r="O2115" s="6">
        <f>IFERROR($I2115*3,"")</f>
        <v/>
      </c>
      <c r="P2115" s="6">
        <f>IFERROR($I2115*3.5,"")</f>
        <v/>
      </c>
      <c r="Q2115" s="6">
        <f>IFERROR($I2115*4,"")</f>
        <v/>
      </c>
      <c r="R2115" s="6" t="n">
        <v>1069</v>
      </c>
      <c r="S2115" s="4" t="n">
        <v>0</v>
      </c>
      <c r="T2115" s="1" t="inlineStr">
        <is>
          <t>active</t>
        </is>
      </c>
      <c r="U2115" s="8" t="n"/>
      <c r="V2115" s="1" t="inlineStr">
        <is>
          <t>SIN PRECIO</t>
        </is>
      </c>
    </row>
    <row r="2116">
      <c r="A2116" s="1" t="inlineStr">
        <is>
          <t>93098781536397</t>
        </is>
      </c>
      <c r="B2116" s="1" t="inlineStr">
        <is>
          <t>LENTES LV ATTITUDE SOO</t>
        </is>
      </c>
      <c r="C2116" s="1" t="inlineStr">
        <is>
          <t>Default Title</t>
        </is>
      </c>
      <c r="D2116" s="1" t="inlineStr">
        <is>
          <t>ZOEY</t>
        </is>
      </c>
      <c r="E2116" s="4">
        <f>COUNTIF('DETALLE CRONOLÓGICO'!$A$2:$A$4919,$A2116)</f>
        <v/>
      </c>
      <c r="F2116" s="4">
        <f>SUMIFS('DETALLE CRONOLÓGICO'!$I$2:$I$4919,'DETALLE CRONOLÓGICO'!$A$2:$A$4919,$A2116)</f>
        <v/>
      </c>
      <c r="G2116" s="1">
        <f>INDEX('DETALLE CRONOLÓGICO'!$D$2:$D$4919,MATCH($A2116,'DETALLE CRONOLÓGICO'!$A$2:$A$4919,0))</f>
        <v/>
      </c>
      <c r="H2116" s="1">
        <f>INDEX('DETALLE CRONOLÓGICO'!$D$2:$D$4919,MATCH($A2116,'DETALLE CRONOLÓGICO'!$A$2:$A$4919,0)+$E2116-1)</f>
        <v/>
      </c>
      <c r="I2116" s="5">
        <f>IFERROR(SUMIFS('DETALLE CRONOLÓGICO'!$L$2:$L$4919,'DETALLE CRONOLÓGICO'!$A$2:$A$4919,$A2116)/$F2116,"")</f>
        <v/>
      </c>
      <c r="J2116" s="6">
        <f>IFERROR(SUMIFS('DETALLE CRONOLÓGICO'!$K$2:$K$4919,'DETALLE CRONOLÓGICO'!$A$2:$A$4919,$A2116)/$E2116,"")</f>
        <v/>
      </c>
      <c r="K2116" s="6">
        <f>_xlfn.MINIFS('DETALLE CRONOLÓGICO'!$K$2:$K$4919,'DETALLE CRONOLÓGICO'!$A$2:$A$4919,$A2116)</f>
        <v/>
      </c>
      <c r="L2116" s="6">
        <f>_xlfn.MAXIFS('DETALLE CRONOLÓGICO'!$K$2:$K$4919,'DETALLE CRONOLÓGICO'!$A$2:$A$4919,$A2116)</f>
        <v/>
      </c>
      <c r="M2116" s="6">
        <f>INDEX('DETALLE CRONOLÓGICO'!$K$2:$K$4919,MATCH($A2116,'DETALLE CRONOLÓGICO'!$A$2:$A$4919,0)+$E2116-1)</f>
        <v/>
      </c>
      <c r="N2116" s="7">
        <f>IFERROR($M2116/INDEX('DETALLE CRONOLÓGICO'!$K$2:$K$4919,MATCH($A2116,'DETALLE CRONOLÓGICO'!$A$2:$A$4919,0))-1,"")</f>
        <v/>
      </c>
      <c r="O2116" s="6">
        <f>IFERROR($I2116*3,"")</f>
        <v/>
      </c>
      <c r="P2116" s="6">
        <f>IFERROR($I2116*3.5,"")</f>
        <v/>
      </c>
      <c r="Q2116" s="6">
        <f>IFERROR($I2116*4,"")</f>
        <v/>
      </c>
      <c r="R2116" s="6" t="n">
        <v>3399</v>
      </c>
      <c r="S2116" s="4" t="n">
        <v>0</v>
      </c>
      <c r="T2116" s="1" t="inlineStr">
        <is>
          <t>active</t>
        </is>
      </c>
      <c r="U2116" s="8" t="n"/>
      <c r="V2116" s="1" t="inlineStr">
        <is>
          <t>SIN PRECIO</t>
        </is>
      </c>
    </row>
    <row r="2117">
      <c r="A2117" s="1" t="inlineStr">
        <is>
          <t>93098781603629</t>
        </is>
      </c>
      <c r="B2117" s="1" t="inlineStr">
        <is>
          <t>CARTERA LV MULTIPLE MONOGRAM</t>
        </is>
      </c>
      <c r="C2117" s="1" t="inlineStr">
        <is>
          <t>Default Title</t>
        </is>
      </c>
      <c r="D2117" s="1" t="inlineStr">
        <is>
          <t>ZOEY</t>
        </is>
      </c>
      <c r="E2117" s="4">
        <f>COUNTIF('DETALLE CRONOLÓGICO'!$A$2:$A$4919,$A2117)</f>
        <v/>
      </c>
      <c r="F2117" s="4">
        <f>SUMIFS('DETALLE CRONOLÓGICO'!$I$2:$I$4919,'DETALLE CRONOLÓGICO'!$A$2:$A$4919,$A2117)</f>
        <v/>
      </c>
      <c r="G2117" s="1">
        <f>INDEX('DETALLE CRONOLÓGICO'!$D$2:$D$4919,MATCH($A2117,'DETALLE CRONOLÓGICO'!$A$2:$A$4919,0))</f>
        <v/>
      </c>
      <c r="H2117" s="1">
        <f>INDEX('DETALLE CRONOLÓGICO'!$D$2:$D$4919,MATCH($A2117,'DETALLE CRONOLÓGICO'!$A$2:$A$4919,0)+$E2117-1)</f>
        <v/>
      </c>
      <c r="I2117" s="5">
        <f>IFERROR(SUMIFS('DETALLE CRONOLÓGICO'!$L$2:$L$4919,'DETALLE CRONOLÓGICO'!$A$2:$A$4919,$A2117)/$F2117,"")</f>
        <v/>
      </c>
      <c r="J2117" s="6">
        <f>IFERROR(SUMIFS('DETALLE CRONOLÓGICO'!$K$2:$K$4919,'DETALLE CRONOLÓGICO'!$A$2:$A$4919,$A2117)/$E2117,"")</f>
        <v/>
      </c>
      <c r="K2117" s="6">
        <f>_xlfn.MINIFS('DETALLE CRONOLÓGICO'!$K$2:$K$4919,'DETALLE CRONOLÓGICO'!$A$2:$A$4919,$A2117)</f>
        <v/>
      </c>
      <c r="L2117" s="6">
        <f>_xlfn.MAXIFS('DETALLE CRONOLÓGICO'!$K$2:$K$4919,'DETALLE CRONOLÓGICO'!$A$2:$A$4919,$A2117)</f>
        <v/>
      </c>
      <c r="M2117" s="6">
        <f>INDEX('DETALLE CRONOLÓGICO'!$K$2:$K$4919,MATCH($A2117,'DETALLE CRONOLÓGICO'!$A$2:$A$4919,0)+$E2117-1)</f>
        <v/>
      </c>
      <c r="N2117" s="7">
        <f>IFERROR($M2117/INDEX('DETALLE CRONOLÓGICO'!$K$2:$K$4919,MATCH($A2117,'DETALLE CRONOLÓGICO'!$A$2:$A$4919,0))-1,"")</f>
        <v/>
      </c>
      <c r="O2117" s="6">
        <f>IFERROR($I2117*3,"")</f>
        <v/>
      </c>
      <c r="P2117" s="6">
        <f>IFERROR($I2117*3.5,"")</f>
        <v/>
      </c>
      <c r="Q2117" s="6">
        <f>IFERROR($I2117*4,"")</f>
        <v/>
      </c>
      <c r="R2117" s="6" t="n">
        <v>1699</v>
      </c>
      <c r="S2117" s="4" t="n">
        <v>1</v>
      </c>
      <c r="T2117" s="1" t="inlineStr">
        <is>
          <t>active</t>
        </is>
      </c>
      <c r="U2117" s="8" t="n"/>
      <c r="V2117" s="1" t="inlineStr">
        <is>
          <t>SIN PRECIO</t>
        </is>
      </c>
    </row>
    <row r="2118">
      <c r="A2118" s="1" t="inlineStr">
        <is>
          <t>93098781770861</t>
        </is>
      </c>
      <c r="B2118" s="1" t="inlineStr">
        <is>
          <t>CARTERA LV EMPREINTE BLACK</t>
        </is>
      </c>
      <c r="C2118" s="1" t="inlineStr">
        <is>
          <t>Default Title</t>
        </is>
      </c>
      <c r="D2118" s="1" t="inlineStr">
        <is>
          <t>ZOEY</t>
        </is>
      </c>
      <c r="E2118" s="4">
        <f>COUNTIF('DETALLE CRONOLÓGICO'!$A$2:$A$4919,$A2118)</f>
        <v/>
      </c>
      <c r="F2118" s="4">
        <f>SUMIFS('DETALLE CRONOLÓGICO'!$I$2:$I$4919,'DETALLE CRONOLÓGICO'!$A$2:$A$4919,$A2118)</f>
        <v/>
      </c>
      <c r="G2118" s="1">
        <f>INDEX('DETALLE CRONOLÓGICO'!$D$2:$D$4919,MATCH($A2118,'DETALLE CRONOLÓGICO'!$A$2:$A$4919,0))</f>
        <v/>
      </c>
      <c r="H2118" s="1">
        <f>INDEX('DETALLE CRONOLÓGICO'!$D$2:$D$4919,MATCH($A2118,'DETALLE CRONOLÓGICO'!$A$2:$A$4919,0)+$E2118-1)</f>
        <v/>
      </c>
      <c r="I2118" s="5">
        <f>IFERROR(SUMIFS('DETALLE CRONOLÓGICO'!$L$2:$L$4919,'DETALLE CRONOLÓGICO'!$A$2:$A$4919,$A2118)/$F2118,"")</f>
        <v/>
      </c>
      <c r="J2118" s="6">
        <f>IFERROR(SUMIFS('DETALLE CRONOLÓGICO'!$K$2:$K$4919,'DETALLE CRONOLÓGICO'!$A$2:$A$4919,$A2118)/$E2118,"")</f>
        <v/>
      </c>
      <c r="K2118" s="6">
        <f>_xlfn.MINIFS('DETALLE CRONOLÓGICO'!$K$2:$K$4919,'DETALLE CRONOLÓGICO'!$A$2:$A$4919,$A2118)</f>
        <v/>
      </c>
      <c r="L2118" s="6">
        <f>_xlfn.MAXIFS('DETALLE CRONOLÓGICO'!$K$2:$K$4919,'DETALLE CRONOLÓGICO'!$A$2:$A$4919,$A2118)</f>
        <v/>
      </c>
      <c r="M2118" s="6">
        <f>INDEX('DETALLE CRONOLÓGICO'!$K$2:$K$4919,MATCH($A2118,'DETALLE CRONOLÓGICO'!$A$2:$A$4919,0)+$E2118-1)</f>
        <v/>
      </c>
      <c r="N2118" s="7">
        <f>IFERROR($M2118/INDEX('DETALLE CRONOLÓGICO'!$K$2:$K$4919,MATCH($A2118,'DETALLE CRONOLÓGICO'!$A$2:$A$4919,0))-1,"")</f>
        <v/>
      </c>
      <c r="O2118" s="6">
        <f>IFERROR($I2118*3,"")</f>
        <v/>
      </c>
      <c r="P2118" s="6">
        <f>IFERROR($I2118*3.5,"")</f>
        <v/>
      </c>
      <c r="Q2118" s="6">
        <f>IFERROR($I2118*4,"")</f>
        <v/>
      </c>
      <c r="R2118" s="6" t="n">
        <v>1810</v>
      </c>
      <c r="S2118" s="4" t="n">
        <v>0</v>
      </c>
      <c r="T2118" s="1" t="inlineStr">
        <is>
          <t>active</t>
        </is>
      </c>
      <c r="U2118" s="8" t="n"/>
      <c r="V2118" s="1" t="inlineStr">
        <is>
          <t>SIN PRECIO</t>
        </is>
      </c>
    </row>
    <row r="2119">
      <c r="A2119" s="1" t="inlineStr">
        <is>
          <t>93098781839789</t>
        </is>
      </c>
      <c r="B2119" s="1" t="inlineStr">
        <is>
          <t>PORTADOCUMENTOS LV VOYAGE</t>
        </is>
      </c>
      <c r="C2119" s="1" t="inlineStr">
        <is>
          <t>Default Title</t>
        </is>
      </c>
      <c r="D2119" s="1" t="inlineStr">
        <is>
          <t>ZOEY</t>
        </is>
      </c>
      <c r="E2119" s="4">
        <f>COUNTIF('DETALLE CRONOLÓGICO'!$A$2:$A$4919,$A2119)</f>
        <v/>
      </c>
      <c r="F2119" s="4">
        <f>SUMIFS('DETALLE CRONOLÓGICO'!$I$2:$I$4919,'DETALLE CRONOLÓGICO'!$A$2:$A$4919,$A2119)</f>
        <v/>
      </c>
      <c r="G2119" s="1">
        <f>INDEX('DETALLE CRONOLÓGICO'!$D$2:$D$4919,MATCH($A2119,'DETALLE CRONOLÓGICO'!$A$2:$A$4919,0))</f>
        <v/>
      </c>
      <c r="H2119" s="1">
        <f>INDEX('DETALLE CRONOLÓGICO'!$D$2:$D$4919,MATCH($A2119,'DETALLE CRONOLÓGICO'!$A$2:$A$4919,0)+$E2119-1)</f>
        <v/>
      </c>
      <c r="I2119" s="5">
        <f>IFERROR(SUMIFS('DETALLE CRONOLÓGICO'!$L$2:$L$4919,'DETALLE CRONOLÓGICO'!$A$2:$A$4919,$A2119)/$F2119,"")</f>
        <v/>
      </c>
      <c r="J2119" s="6">
        <f>IFERROR(SUMIFS('DETALLE CRONOLÓGICO'!$K$2:$K$4919,'DETALLE CRONOLÓGICO'!$A$2:$A$4919,$A2119)/$E2119,"")</f>
        <v/>
      </c>
      <c r="K2119" s="6">
        <f>_xlfn.MINIFS('DETALLE CRONOLÓGICO'!$K$2:$K$4919,'DETALLE CRONOLÓGICO'!$A$2:$A$4919,$A2119)</f>
        <v/>
      </c>
      <c r="L2119" s="6">
        <f>_xlfn.MAXIFS('DETALLE CRONOLÓGICO'!$K$2:$K$4919,'DETALLE CRONOLÓGICO'!$A$2:$A$4919,$A2119)</f>
        <v/>
      </c>
      <c r="M2119" s="6">
        <f>INDEX('DETALLE CRONOLÓGICO'!$K$2:$K$4919,MATCH($A2119,'DETALLE CRONOLÓGICO'!$A$2:$A$4919,0)+$E2119-1)</f>
        <v/>
      </c>
      <c r="N2119" s="7">
        <f>IFERROR($M2119/INDEX('DETALLE CRONOLÓGICO'!$K$2:$K$4919,MATCH($A2119,'DETALLE CRONOLÓGICO'!$A$2:$A$4919,0))-1,"")</f>
        <v/>
      </c>
      <c r="O2119" s="6">
        <f>IFERROR($I2119*3,"")</f>
        <v/>
      </c>
      <c r="P2119" s="6">
        <f>IFERROR($I2119*3.5,"")</f>
        <v/>
      </c>
      <c r="Q2119" s="6">
        <f>IFERROR($I2119*4,"")</f>
        <v/>
      </c>
      <c r="R2119" s="6" t="n">
        <v>5839</v>
      </c>
      <c r="S2119" s="4" t="n">
        <v>1</v>
      </c>
      <c r="T2119" s="1" t="inlineStr">
        <is>
          <t>active</t>
        </is>
      </c>
      <c r="U2119" s="8" t="n"/>
      <c r="V2119" s="1" t="inlineStr">
        <is>
          <t>SIN PRECIO</t>
        </is>
      </c>
    </row>
    <row r="2120">
      <c r="A2120" s="1" t="inlineStr">
        <is>
          <t>93098781907021</t>
        </is>
      </c>
      <c r="B2120" s="1" t="inlineStr">
        <is>
          <t>CARTERA LV GASTON MONOGRAM</t>
        </is>
      </c>
      <c r="C2120" s="1" t="inlineStr">
        <is>
          <t>Default Title</t>
        </is>
      </c>
      <c r="D2120" s="1" t="inlineStr">
        <is>
          <t>ZOEY</t>
        </is>
      </c>
      <c r="E2120" s="4">
        <f>COUNTIF('DETALLE CRONOLÓGICO'!$A$2:$A$4919,$A2120)</f>
        <v/>
      </c>
      <c r="F2120" s="4">
        <f>SUMIFS('DETALLE CRONOLÓGICO'!$I$2:$I$4919,'DETALLE CRONOLÓGICO'!$A$2:$A$4919,$A2120)</f>
        <v/>
      </c>
      <c r="G2120" s="1">
        <f>INDEX('DETALLE CRONOLÓGICO'!$D$2:$D$4919,MATCH($A2120,'DETALLE CRONOLÓGICO'!$A$2:$A$4919,0))</f>
        <v/>
      </c>
      <c r="H2120" s="1">
        <f>INDEX('DETALLE CRONOLÓGICO'!$D$2:$D$4919,MATCH($A2120,'DETALLE CRONOLÓGICO'!$A$2:$A$4919,0)+$E2120-1)</f>
        <v/>
      </c>
      <c r="I2120" s="5">
        <f>IFERROR(SUMIFS('DETALLE CRONOLÓGICO'!$L$2:$L$4919,'DETALLE CRONOLÓGICO'!$A$2:$A$4919,$A2120)/$F2120,"")</f>
        <v/>
      </c>
      <c r="J2120" s="6">
        <f>IFERROR(SUMIFS('DETALLE CRONOLÓGICO'!$K$2:$K$4919,'DETALLE CRONOLÓGICO'!$A$2:$A$4919,$A2120)/$E2120,"")</f>
        <v/>
      </c>
      <c r="K2120" s="6">
        <f>_xlfn.MINIFS('DETALLE CRONOLÓGICO'!$K$2:$K$4919,'DETALLE CRONOLÓGICO'!$A$2:$A$4919,$A2120)</f>
        <v/>
      </c>
      <c r="L2120" s="6">
        <f>_xlfn.MAXIFS('DETALLE CRONOLÓGICO'!$K$2:$K$4919,'DETALLE CRONOLÓGICO'!$A$2:$A$4919,$A2120)</f>
        <v/>
      </c>
      <c r="M2120" s="6">
        <f>INDEX('DETALLE CRONOLÓGICO'!$K$2:$K$4919,MATCH($A2120,'DETALLE CRONOLÓGICO'!$A$2:$A$4919,0)+$E2120-1)</f>
        <v/>
      </c>
      <c r="N2120" s="7">
        <f>IFERROR($M2120/INDEX('DETALLE CRONOLÓGICO'!$K$2:$K$4919,MATCH($A2120,'DETALLE CRONOLÓGICO'!$A$2:$A$4919,0))-1,"")</f>
        <v/>
      </c>
      <c r="O2120" s="6">
        <f>IFERROR($I2120*3,"")</f>
        <v/>
      </c>
      <c r="P2120" s="6">
        <f>IFERROR($I2120*3.5,"")</f>
        <v/>
      </c>
      <c r="Q2120" s="6">
        <f>IFERROR($I2120*4,"")</f>
        <v/>
      </c>
      <c r="R2120" s="6" t="n">
        <v>4779</v>
      </c>
      <c r="S2120" s="4" t="n">
        <v>2</v>
      </c>
      <c r="T2120" s="1" t="inlineStr">
        <is>
          <t>active</t>
        </is>
      </c>
      <c r="U2120" s="8" t="n"/>
      <c r="V2120" s="1" t="inlineStr">
        <is>
          <t>SIN PRECIO</t>
        </is>
      </c>
    </row>
    <row r="2121">
      <c r="A2121" s="1" t="inlineStr">
        <is>
          <t>93098782074253</t>
        </is>
      </c>
      <c r="B2121" s="1" t="inlineStr">
        <is>
          <t>BOLSO LV CHRISTOPHER MESSENGER</t>
        </is>
      </c>
      <c r="C2121" s="1" t="inlineStr">
        <is>
          <t>Default Title</t>
        </is>
      </c>
      <c r="D2121" s="1" t="inlineStr">
        <is>
          <t>ZOEY</t>
        </is>
      </c>
      <c r="E2121" s="4">
        <f>COUNTIF('DETALLE CRONOLÓGICO'!$A$2:$A$4919,$A2121)</f>
        <v/>
      </c>
      <c r="F2121" s="4">
        <f>SUMIFS('DETALLE CRONOLÓGICO'!$I$2:$I$4919,'DETALLE CRONOLÓGICO'!$A$2:$A$4919,$A2121)</f>
        <v/>
      </c>
      <c r="G2121" s="1">
        <f>INDEX('DETALLE CRONOLÓGICO'!$D$2:$D$4919,MATCH($A2121,'DETALLE CRONOLÓGICO'!$A$2:$A$4919,0))</f>
        <v/>
      </c>
      <c r="H2121" s="1">
        <f>INDEX('DETALLE CRONOLÓGICO'!$D$2:$D$4919,MATCH($A2121,'DETALLE CRONOLÓGICO'!$A$2:$A$4919,0)+$E2121-1)</f>
        <v/>
      </c>
      <c r="I2121" s="5">
        <f>IFERROR(SUMIFS('DETALLE CRONOLÓGICO'!$L$2:$L$4919,'DETALLE CRONOLÓGICO'!$A$2:$A$4919,$A2121)/$F2121,"")</f>
        <v/>
      </c>
      <c r="J2121" s="6">
        <f>IFERROR(SUMIFS('DETALLE CRONOLÓGICO'!$K$2:$K$4919,'DETALLE CRONOLÓGICO'!$A$2:$A$4919,$A2121)/$E2121,"")</f>
        <v/>
      </c>
      <c r="K2121" s="6">
        <f>_xlfn.MINIFS('DETALLE CRONOLÓGICO'!$K$2:$K$4919,'DETALLE CRONOLÓGICO'!$A$2:$A$4919,$A2121)</f>
        <v/>
      </c>
      <c r="L2121" s="6">
        <f>_xlfn.MAXIFS('DETALLE CRONOLÓGICO'!$K$2:$K$4919,'DETALLE CRONOLÓGICO'!$A$2:$A$4919,$A2121)</f>
        <v/>
      </c>
      <c r="M2121" s="6">
        <f>INDEX('DETALLE CRONOLÓGICO'!$K$2:$K$4919,MATCH($A2121,'DETALLE CRONOLÓGICO'!$A$2:$A$4919,0)+$E2121-1)</f>
        <v/>
      </c>
      <c r="N2121" s="7">
        <f>IFERROR($M2121/INDEX('DETALLE CRONOLÓGICO'!$K$2:$K$4919,MATCH($A2121,'DETALLE CRONOLÓGICO'!$A$2:$A$4919,0))-1,"")</f>
        <v/>
      </c>
      <c r="O2121" s="6">
        <f>IFERROR($I2121*3,"")</f>
        <v/>
      </c>
      <c r="P2121" s="6">
        <f>IFERROR($I2121*3.5,"")</f>
        <v/>
      </c>
      <c r="Q2121" s="6">
        <f>IFERROR($I2121*4,"")</f>
        <v/>
      </c>
      <c r="R2121" s="6" t="n">
        <v>4779</v>
      </c>
      <c r="S2121" s="4" t="n">
        <v>1</v>
      </c>
      <c r="T2121" s="1" t="inlineStr">
        <is>
          <t>active</t>
        </is>
      </c>
      <c r="U2121" s="8" t="n"/>
      <c r="V2121" s="1" t="inlineStr">
        <is>
          <t>SIN PRECIO</t>
        </is>
      </c>
    </row>
    <row r="2122">
      <c r="A2122" s="1" t="inlineStr">
        <is>
          <t>93098782175949</t>
        </is>
      </c>
      <c r="B2122" s="1" t="inlineStr">
        <is>
          <t>CANGURERA LV HIGH RISE PM</t>
        </is>
      </c>
      <c r="C2122" s="1" t="inlineStr">
        <is>
          <t>Default Title</t>
        </is>
      </c>
      <c r="D2122" s="1" t="inlineStr">
        <is>
          <t>ZOEY</t>
        </is>
      </c>
      <c r="E2122" s="4">
        <f>COUNTIF('DETALLE CRONOLÓGICO'!$A$2:$A$4919,$A2122)</f>
        <v/>
      </c>
      <c r="F2122" s="4">
        <f>SUMIFS('DETALLE CRONOLÓGICO'!$I$2:$I$4919,'DETALLE CRONOLÓGICO'!$A$2:$A$4919,$A2122)</f>
        <v/>
      </c>
      <c r="G2122" s="1">
        <f>INDEX('DETALLE CRONOLÓGICO'!$D$2:$D$4919,MATCH($A2122,'DETALLE CRONOLÓGICO'!$A$2:$A$4919,0))</f>
        <v/>
      </c>
      <c r="H2122" s="1">
        <f>INDEX('DETALLE CRONOLÓGICO'!$D$2:$D$4919,MATCH($A2122,'DETALLE CRONOLÓGICO'!$A$2:$A$4919,0)+$E2122-1)</f>
        <v/>
      </c>
      <c r="I2122" s="5">
        <f>IFERROR(SUMIFS('DETALLE CRONOLÓGICO'!$L$2:$L$4919,'DETALLE CRONOLÓGICO'!$A$2:$A$4919,$A2122)/$F2122,"")</f>
        <v/>
      </c>
      <c r="J2122" s="6">
        <f>IFERROR(SUMIFS('DETALLE CRONOLÓGICO'!$K$2:$K$4919,'DETALLE CRONOLÓGICO'!$A$2:$A$4919,$A2122)/$E2122,"")</f>
        <v/>
      </c>
      <c r="K2122" s="6">
        <f>_xlfn.MINIFS('DETALLE CRONOLÓGICO'!$K$2:$K$4919,'DETALLE CRONOLÓGICO'!$A$2:$A$4919,$A2122)</f>
        <v/>
      </c>
      <c r="L2122" s="6">
        <f>_xlfn.MAXIFS('DETALLE CRONOLÓGICO'!$K$2:$K$4919,'DETALLE CRONOLÓGICO'!$A$2:$A$4919,$A2122)</f>
        <v/>
      </c>
      <c r="M2122" s="6">
        <f>INDEX('DETALLE CRONOLÓGICO'!$K$2:$K$4919,MATCH($A2122,'DETALLE CRONOLÓGICO'!$A$2:$A$4919,0)+$E2122-1)</f>
        <v/>
      </c>
      <c r="N2122" s="7">
        <f>IFERROR($M2122/INDEX('DETALLE CRONOLÓGICO'!$K$2:$K$4919,MATCH($A2122,'DETALLE CRONOLÓGICO'!$A$2:$A$4919,0))-1,"")</f>
        <v/>
      </c>
      <c r="O2122" s="6">
        <f>IFERROR($I2122*3,"")</f>
        <v/>
      </c>
      <c r="P2122" s="6">
        <f>IFERROR($I2122*3.5,"")</f>
        <v/>
      </c>
      <c r="Q2122" s="6">
        <f>IFERROR($I2122*4,"")</f>
        <v/>
      </c>
      <c r="R2122" s="6" t="n">
        <v>4249</v>
      </c>
      <c r="S2122" s="4" t="n">
        <v>1</v>
      </c>
      <c r="T2122" s="1" t="inlineStr">
        <is>
          <t>active</t>
        </is>
      </c>
      <c r="U2122" s="8" t="n"/>
      <c r="V2122" s="1" t="inlineStr">
        <is>
          <t>SIN PRECIO</t>
        </is>
      </c>
    </row>
    <row r="2123">
      <c r="A2123" s="1" t="inlineStr">
        <is>
          <t>93098782243181</t>
        </is>
      </c>
      <c r="B2123" s="1" t="inlineStr">
        <is>
          <t>BOLSO LV ALMA BB BLACK</t>
        </is>
      </c>
      <c r="C2123" s="1" t="inlineStr">
        <is>
          <t>Default Title</t>
        </is>
      </c>
      <c r="D2123" s="1" t="inlineStr">
        <is>
          <t>ZOEY</t>
        </is>
      </c>
      <c r="E2123" s="4">
        <f>COUNTIF('DETALLE CRONOLÓGICO'!$A$2:$A$4919,$A2123)</f>
        <v/>
      </c>
      <c r="F2123" s="4">
        <f>SUMIFS('DETALLE CRONOLÓGICO'!$I$2:$I$4919,'DETALLE CRONOLÓGICO'!$A$2:$A$4919,$A2123)</f>
        <v/>
      </c>
      <c r="G2123" s="1">
        <f>INDEX('DETALLE CRONOLÓGICO'!$D$2:$D$4919,MATCH($A2123,'DETALLE CRONOLÓGICO'!$A$2:$A$4919,0))</f>
        <v/>
      </c>
      <c r="H2123" s="1">
        <f>INDEX('DETALLE CRONOLÓGICO'!$D$2:$D$4919,MATCH($A2123,'DETALLE CRONOLÓGICO'!$A$2:$A$4919,0)+$E2123-1)</f>
        <v/>
      </c>
      <c r="I2123" s="5">
        <f>IFERROR(SUMIFS('DETALLE CRONOLÓGICO'!$L$2:$L$4919,'DETALLE CRONOLÓGICO'!$A$2:$A$4919,$A2123)/$F2123,"")</f>
        <v/>
      </c>
      <c r="J2123" s="6">
        <f>IFERROR(SUMIFS('DETALLE CRONOLÓGICO'!$K$2:$K$4919,'DETALLE CRONOLÓGICO'!$A$2:$A$4919,$A2123)/$E2123,"")</f>
        <v/>
      </c>
      <c r="K2123" s="6">
        <f>_xlfn.MINIFS('DETALLE CRONOLÓGICO'!$K$2:$K$4919,'DETALLE CRONOLÓGICO'!$A$2:$A$4919,$A2123)</f>
        <v/>
      </c>
      <c r="L2123" s="6">
        <f>_xlfn.MAXIFS('DETALLE CRONOLÓGICO'!$K$2:$K$4919,'DETALLE CRONOLÓGICO'!$A$2:$A$4919,$A2123)</f>
        <v/>
      </c>
      <c r="M2123" s="6">
        <f>INDEX('DETALLE CRONOLÓGICO'!$K$2:$K$4919,MATCH($A2123,'DETALLE CRONOLÓGICO'!$A$2:$A$4919,0)+$E2123-1)</f>
        <v/>
      </c>
      <c r="N2123" s="7">
        <f>IFERROR($M2123/INDEX('DETALLE CRONOLÓGICO'!$K$2:$K$4919,MATCH($A2123,'DETALLE CRONOLÓGICO'!$A$2:$A$4919,0))-1,"")</f>
        <v/>
      </c>
      <c r="O2123" s="6">
        <f>IFERROR($I2123*3,"")</f>
        <v/>
      </c>
      <c r="P2123" s="6">
        <f>IFERROR($I2123*3.5,"")</f>
        <v/>
      </c>
      <c r="Q2123" s="6">
        <f>IFERROR($I2123*4,"")</f>
        <v/>
      </c>
      <c r="R2123" s="6" t="n">
        <v>4989</v>
      </c>
      <c r="S2123" s="4" t="n">
        <v>4</v>
      </c>
      <c r="T2123" s="1" t="inlineStr">
        <is>
          <t>active</t>
        </is>
      </c>
      <c r="U2123" s="8" t="n"/>
      <c r="V2123" s="1" t="inlineStr">
        <is>
          <t>SIN PRECIO</t>
        </is>
      </c>
    </row>
    <row r="2124">
      <c r="A2124" s="1" t="inlineStr">
        <is>
          <t>93098782381037</t>
        </is>
      </c>
      <c r="B2124" s="1" t="inlineStr">
        <is>
          <t>BOLSO LV LOW KEY HOBO</t>
        </is>
      </c>
      <c r="C2124" s="1" t="inlineStr">
        <is>
          <t>Default Title</t>
        </is>
      </c>
      <c r="D2124" s="1" t="inlineStr">
        <is>
          <t>ZOEY</t>
        </is>
      </c>
      <c r="E2124" s="4">
        <f>COUNTIF('DETALLE CRONOLÓGICO'!$A$2:$A$4919,$A2124)</f>
        <v/>
      </c>
      <c r="F2124" s="4">
        <f>SUMIFS('DETALLE CRONOLÓGICO'!$I$2:$I$4919,'DETALLE CRONOLÓGICO'!$A$2:$A$4919,$A2124)</f>
        <v/>
      </c>
      <c r="G2124" s="1">
        <f>INDEX('DETALLE CRONOLÓGICO'!$D$2:$D$4919,MATCH($A2124,'DETALLE CRONOLÓGICO'!$A$2:$A$4919,0))</f>
        <v/>
      </c>
      <c r="H2124" s="1">
        <f>INDEX('DETALLE CRONOLÓGICO'!$D$2:$D$4919,MATCH($A2124,'DETALLE CRONOLÓGICO'!$A$2:$A$4919,0)+$E2124-1)</f>
        <v/>
      </c>
      <c r="I2124" s="5">
        <f>IFERROR(SUMIFS('DETALLE CRONOLÓGICO'!$L$2:$L$4919,'DETALLE CRONOLÓGICO'!$A$2:$A$4919,$A2124)/$F2124,"")</f>
        <v/>
      </c>
      <c r="J2124" s="6">
        <f>IFERROR(SUMIFS('DETALLE CRONOLÓGICO'!$K$2:$K$4919,'DETALLE CRONOLÓGICO'!$A$2:$A$4919,$A2124)/$E2124,"")</f>
        <v/>
      </c>
      <c r="K2124" s="6">
        <f>_xlfn.MINIFS('DETALLE CRONOLÓGICO'!$K$2:$K$4919,'DETALLE CRONOLÓGICO'!$A$2:$A$4919,$A2124)</f>
        <v/>
      </c>
      <c r="L2124" s="6">
        <f>_xlfn.MAXIFS('DETALLE CRONOLÓGICO'!$K$2:$K$4919,'DETALLE CRONOLÓGICO'!$A$2:$A$4919,$A2124)</f>
        <v/>
      </c>
      <c r="M2124" s="6">
        <f>INDEX('DETALLE CRONOLÓGICO'!$K$2:$K$4919,MATCH($A2124,'DETALLE CRONOLÓGICO'!$A$2:$A$4919,0)+$E2124-1)</f>
        <v/>
      </c>
      <c r="N2124" s="7">
        <f>IFERROR($M2124/INDEX('DETALLE CRONOLÓGICO'!$K$2:$K$4919,MATCH($A2124,'DETALLE CRONOLÓGICO'!$A$2:$A$4919,0))-1,"")</f>
        <v/>
      </c>
      <c r="O2124" s="6">
        <f>IFERROR($I2124*3,"")</f>
        <v/>
      </c>
      <c r="P2124" s="6">
        <f>IFERROR($I2124*3.5,"")</f>
        <v/>
      </c>
      <c r="Q2124" s="6">
        <f>IFERROR($I2124*4,"")</f>
        <v/>
      </c>
      <c r="R2124" s="6" t="n">
        <v>5729</v>
      </c>
      <c r="S2124" s="4" t="n">
        <v>5</v>
      </c>
      <c r="T2124" s="1" t="inlineStr">
        <is>
          <t>active</t>
        </is>
      </c>
      <c r="U2124" s="8" t="n"/>
      <c r="V2124" s="1" t="inlineStr">
        <is>
          <t>SIN PRECIO</t>
        </is>
      </c>
    </row>
    <row r="2125">
      <c r="A2125" s="1" t="inlineStr">
        <is>
          <t>93098782449965</t>
        </is>
      </c>
      <c r="B2125" s="1" t="inlineStr">
        <is>
          <t>GORRA LV MY PARIS</t>
        </is>
      </c>
      <c r="C2125" s="1" t="inlineStr">
        <is>
          <t>Default Title</t>
        </is>
      </c>
      <c r="D2125" s="1" t="inlineStr">
        <is>
          <t>ZOEY</t>
        </is>
      </c>
      <c r="E2125" s="4">
        <f>COUNTIF('DETALLE CRONOLÓGICO'!$A$2:$A$4919,$A2125)</f>
        <v/>
      </c>
      <c r="F2125" s="4">
        <f>SUMIFS('DETALLE CRONOLÓGICO'!$I$2:$I$4919,'DETALLE CRONOLÓGICO'!$A$2:$A$4919,$A2125)</f>
        <v/>
      </c>
      <c r="G2125" s="1">
        <f>INDEX('DETALLE CRONOLÓGICO'!$D$2:$D$4919,MATCH($A2125,'DETALLE CRONOLÓGICO'!$A$2:$A$4919,0))</f>
        <v/>
      </c>
      <c r="H2125" s="1">
        <f>INDEX('DETALLE CRONOLÓGICO'!$D$2:$D$4919,MATCH($A2125,'DETALLE CRONOLÓGICO'!$A$2:$A$4919,0)+$E2125-1)</f>
        <v/>
      </c>
      <c r="I2125" s="5">
        <f>IFERROR(SUMIFS('DETALLE CRONOLÓGICO'!$L$2:$L$4919,'DETALLE CRONOLÓGICO'!$A$2:$A$4919,$A2125)/$F2125,"")</f>
        <v/>
      </c>
      <c r="J2125" s="6">
        <f>IFERROR(SUMIFS('DETALLE CRONOLÓGICO'!$K$2:$K$4919,'DETALLE CRONOLÓGICO'!$A$2:$A$4919,$A2125)/$E2125,"")</f>
        <v/>
      </c>
      <c r="K2125" s="6">
        <f>_xlfn.MINIFS('DETALLE CRONOLÓGICO'!$K$2:$K$4919,'DETALLE CRONOLÓGICO'!$A$2:$A$4919,$A2125)</f>
        <v/>
      </c>
      <c r="L2125" s="6">
        <f>_xlfn.MAXIFS('DETALLE CRONOLÓGICO'!$K$2:$K$4919,'DETALLE CRONOLÓGICO'!$A$2:$A$4919,$A2125)</f>
        <v/>
      </c>
      <c r="M2125" s="6">
        <f>INDEX('DETALLE CRONOLÓGICO'!$K$2:$K$4919,MATCH($A2125,'DETALLE CRONOLÓGICO'!$A$2:$A$4919,0)+$E2125-1)</f>
        <v/>
      </c>
      <c r="N2125" s="7">
        <f>IFERROR($M2125/INDEX('DETALLE CRONOLÓGICO'!$K$2:$K$4919,MATCH($A2125,'DETALLE CRONOLÓGICO'!$A$2:$A$4919,0))-1,"")</f>
        <v/>
      </c>
      <c r="O2125" s="6">
        <f>IFERROR($I2125*3,"")</f>
        <v/>
      </c>
      <c r="P2125" s="6">
        <f>IFERROR($I2125*3.5,"")</f>
        <v/>
      </c>
      <c r="Q2125" s="6">
        <f>IFERROR($I2125*4,"")</f>
        <v/>
      </c>
      <c r="R2125" s="6" t="n">
        <v>2125</v>
      </c>
      <c r="S2125" s="4" t="n">
        <v>4</v>
      </c>
      <c r="T2125" s="1" t="inlineStr">
        <is>
          <t>active</t>
        </is>
      </c>
      <c r="U2125" s="8" t="n"/>
      <c r="V2125" s="1" t="inlineStr">
        <is>
          <t>SIN PRECIO</t>
        </is>
      </c>
    </row>
    <row r="2126">
      <c r="A2126" s="1" t="inlineStr">
        <is>
          <t>93098782555053</t>
        </is>
      </c>
      <c r="B2126" s="1" t="inlineStr">
        <is>
          <t>CINTO LV REVERSIBLE MINI</t>
        </is>
      </c>
      <c r="C2126" s="1" t="inlineStr">
        <is>
          <t>BLACK</t>
        </is>
      </c>
      <c r="D2126" s="1" t="inlineStr">
        <is>
          <t>ZOEY</t>
        </is>
      </c>
      <c r="E2126" s="4">
        <f>COUNTIF('DETALLE CRONOLÓGICO'!$A$2:$A$4919,$A2126)</f>
        <v/>
      </c>
      <c r="F2126" s="4">
        <f>SUMIFS('DETALLE CRONOLÓGICO'!$I$2:$I$4919,'DETALLE CRONOLÓGICO'!$A$2:$A$4919,$A2126)</f>
        <v/>
      </c>
      <c r="G2126" s="1">
        <f>INDEX('DETALLE CRONOLÓGICO'!$D$2:$D$4919,MATCH($A2126,'DETALLE CRONOLÓGICO'!$A$2:$A$4919,0))</f>
        <v/>
      </c>
      <c r="H2126" s="1">
        <f>INDEX('DETALLE CRONOLÓGICO'!$D$2:$D$4919,MATCH($A2126,'DETALLE CRONOLÓGICO'!$A$2:$A$4919,0)+$E2126-1)</f>
        <v/>
      </c>
      <c r="I2126" s="5">
        <f>IFERROR(SUMIFS('DETALLE CRONOLÓGICO'!$L$2:$L$4919,'DETALLE CRONOLÓGICO'!$A$2:$A$4919,$A2126)/$F2126,"")</f>
        <v/>
      </c>
      <c r="J2126" s="6">
        <f>IFERROR(SUMIFS('DETALLE CRONOLÓGICO'!$K$2:$K$4919,'DETALLE CRONOLÓGICO'!$A$2:$A$4919,$A2126)/$E2126,"")</f>
        <v/>
      </c>
      <c r="K2126" s="6">
        <f>_xlfn.MINIFS('DETALLE CRONOLÓGICO'!$K$2:$K$4919,'DETALLE CRONOLÓGICO'!$A$2:$A$4919,$A2126)</f>
        <v/>
      </c>
      <c r="L2126" s="6">
        <f>_xlfn.MAXIFS('DETALLE CRONOLÓGICO'!$K$2:$K$4919,'DETALLE CRONOLÓGICO'!$A$2:$A$4919,$A2126)</f>
        <v/>
      </c>
      <c r="M2126" s="6">
        <f>INDEX('DETALLE CRONOLÓGICO'!$K$2:$K$4919,MATCH($A2126,'DETALLE CRONOLÓGICO'!$A$2:$A$4919,0)+$E2126-1)</f>
        <v/>
      </c>
      <c r="N2126" s="7">
        <f>IFERROR($M2126/INDEX('DETALLE CRONOLÓGICO'!$K$2:$K$4919,MATCH($A2126,'DETALLE CRONOLÓGICO'!$A$2:$A$4919,0))-1,"")</f>
        <v/>
      </c>
      <c r="O2126" s="6">
        <f>IFERROR($I2126*3,"")</f>
        <v/>
      </c>
      <c r="P2126" s="6">
        <f>IFERROR($I2126*3.5,"")</f>
        <v/>
      </c>
      <c r="Q2126" s="6">
        <f>IFERROR($I2126*4,"")</f>
        <v/>
      </c>
      <c r="R2126" s="6" t="n">
        <v>4138.62</v>
      </c>
      <c r="S2126" s="4" t="n">
        <v>0</v>
      </c>
      <c r="T2126" s="1" t="inlineStr">
        <is>
          <t>active</t>
        </is>
      </c>
      <c r="U2126" s="8" t="n"/>
      <c r="V2126" s="1" t="inlineStr">
        <is>
          <t>SIN PRECIO</t>
        </is>
      </c>
    </row>
    <row r="2127">
      <c r="A2127" s="1" t="inlineStr">
        <is>
          <t>93098782656749</t>
        </is>
      </c>
      <c r="B2127" s="1" t="inlineStr">
        <is>
          <t>CINTO LV REVERSIBLE PRETTY</t>
        </is>
      </c>
      <c r="C2127" s="1" t="inlineStr">
        <is>
          <t>BLACK</t>
        </is>
      </c>
      <c r="D2127" s="1" t="inlineStr">
        <is>
          <t>ZOEY</t>
        </is>
      </c>
      <c r="E2127" s="4">
        <f>COUNTIF('DETALLE CRONOLÓGICO'!$A$2:$A$4919,$A2127)</f>
        <v/>
      </c>
      <c r="F2127" s="4">
        <f>SUMIFS('DETALLE CRONOLÓGICO'!$I$2:$I$4919,'DETALLE CRONOLÓGICO'!$A$2:$A$4919,$A2127)</f>
        <v/>
      </c>
      <c r="G2127" s="1">
        <f>INDEX('DETALLE CRONOLÓGICO'!$D$2:$D$4919,MATCH($A2127,'DETALLE CRONOLÓGICO'!$A$2:$A$4919,0))</f>
        <v/>
      </c>
      <c r="H2127" s="1">
        <f>INDEX('DETALLE CRONOLÓGICO'!$D$2:$D$4919,MATCH($A2127,'DETALLE CRONOLÓGICO'!$A$2:$A$4919,0)+$E2127-1)</f>
        <v/>
      </c>
      <c r="I2127" s="5">
        <f>IFERROR(SUMIFS('DETALLE CRONOLÓGICO'!$L$2:$L$4919,'DETALLE CRONOLÓGICO'!$A$2:$A$4919,$A2127)/$F2127,"")</f>
        <v/>
      </c>
      <c r="J2127" s="6">
        <f>IFERROR(SUMIFS('DETALLE CRONOLÓGICO'!$K$2:$K$4919,'DETALLE CRONOLÓGICO'!$A$2:$A$4919,$A2127)/$E2127,"")</f>
        <v/>
      </c>
      <c r="K2127" s="6">
        <f>_xlfn.MINIFS('DETALLE CRONOLÓGICO'!$K$2:$K$4919,'DETALLE CRONOLÓGICO'!$A$2:$A$4919,$A2127)</f>
        <v/>
      </c>
      <c r="L2127" s="6">
        <f>_xlfn.MAXIFS('DETALLE CRONOLÓGICO'!$K$2:$K$4919,'DETALLE CRONOLÓGICO'!$A$2:$A$4919,$A2127)</f>
        <v/>
      </c>
      <c r="M2127" s="6">
        <f>INDEX('DETALLE CRONOLÓGICO'!$K$2:$K$4919,MATCH($A2127,'DETALLE CRONOLÓGICO'!$A$2:$A$4919,0)+$E2127-1)</f>
        <v/>
      </c>
      <c r="N2127" s="7">
        <f>IFERROR($M2127/INDEX('DETALLE CRONOLÓGICO'!$K$2:$K$4919,MATCH($A2127,'DETALLE CRONOLÓGICO'!$A$2:$A$4919,0))-1,"")</f>
        <v/>
      </c>
      <c r="O2127" s="6">
        <f>IFERROR($I2127*3,"")</f>
        <v/>
      </c>
      <c r="P2127" s="6">
        <f>IFERROR($I2127*3.5,"")</f>
        <v/>
      </c>
      <c r="Q2127" s="6">
        <f>IFERROR($I2127*4,"")</f>
        <v/>
      </c>
      <c r="R2127" s="6" t="n">
        <v>4138.62</v>
      </c>
      <c r="S2127" s="4" t="n">
        <v>0</v>
      </c>
      <c r="T2127" s="1" t="inlineStr">
        <is>
          <t>active</t>
        </is>
      </c>
      <c r="U2127" s="8" t="n"/>
      <c r="V2127" s="1" t="inlineStr">
        <is>
          <t>SIN PRECIO</t>
        </is>
      </c>
    </row>
    <row r="2128">
      <c r="A2128" s="1" t="inlineStr">
        <is>
          <t>93098782758445</t>
        </is>
      </c>
      <c r="B2128" s="1" t="inlineStr">
        <is>
          <t>CINTO LV REVERSIBLE INITIALES</t>
        </is>
      </c>
      <c r="C2128" s="1" t="inlineStr">
        <is>
          <t>100CM</t>
        </is>
      </c>
      <c r="D2128" s="1" t="inlineStr">
        <is>
          <t>ZOEY</t>
        </is>
      </c>
      <c r="E2128" s="4">
        <f>COUNTIF('DETALLE CRONOLÓGICO'!$A$2:$A$4919,$A2128)</f>
        <v/>
      </c>
      <c r="F2128" s="4">
        <f>SUMIFS('DETALLE CRONOLÓGICO'!$I$2:$I$4919,'DETALLE CRONOLÓGICO'!$A$2:$A$4919,$A2128)</f>
        <v/>
      </c>
      <c r="G2128" s="1">
        <f>INDEX('DETALLE CRONOLÓGICO'!$D$2:$D$4919,MATCH($A2128,'DETALLE CRONOLÓGICO'!$A$2:$A$4919,0))</f>
        <v/>
      </c>
      <c r="H2128" s="1">
        <f>INDEX('DETALLE CRONOLÓGICO'!$D$2:$D$4919,MATCH($A2128,'DETALLE CRONOLÓGICO'!$A$2:$A$4919,0)+$E2128-1)</f>
        <v/>
      </c>
      <c r="I2128" s="5">
        <f>IFERROR(SUMIFS('DETALLE CRONOLÓGICO'!$L$2:$L$4919,'DETALLE CRONOLÓGICO'!$A$2:$A$4919,$A2128)/$F2128,"")</f>
        <v/>
      </c>
      <c r="J2128" s="6">
        <f>IFERROR(SUMIFS('DETALLE CRONOLÓGICO'!$K$2:$K$4919,'DETALLE CRONOLÓGICO'!$A$2:$A$4919,$A2128)/$E2128,"")</f>
        <v/>
      </c>
      <c r="K2128" s="6">
        <f>_xlfn.MINIFS('DETALLE CRONOLÓGICO'!$K$2:$K$4919,'DETALLE CRONOLÓGICO'!$A$2:$A$4919,$A2128)</f>
        <v/>
      </c>
      <c r="L2128" s="6">
        <f>_xlfn.MAXIFS('DETALLE CRONOLÓGICO'!$K$2:$K$4919,'DETALLE CRONOLÓGICO'!$A$2:$A$4919,$A2128)</f>
        <v/>
      </c>
      <c r="M2128" s="6">
        <f>INDEX('DETALLE CRONOLÓGICO'!$K$2:$K$4919,MATCH($A2128,'DETALLE CRONOLÓGICO'!$A$2:$A$4919,0)+$E2128-1)</f>
        <v/>
      </c>
      <c r="N2128" s="7">
        <f>IFERROR($M2128/INDEX('DETALLE CRONOLÓGICO'!$K$2:$K$4919,MATCH($A2128,'DETALLE CRONOLÓGICO'!$A$2:$A$4919,0))-1,"")</f>
        <v/>
      </c>
      <c r="O2128" s="6">
        <f>IFERROR($I2128*3,"")</f>
        <v/>
      </c>
      <c r="P2128" s="6">
        <f>IFERROR($I2128*3.5,"")</f>
        <v/>
      </c>
      <c r="Q2128" s="6">
        <f>IFERROR($I2128*4,"")</f>
        <v/>
      </c>
      <c r="R2128" s="6" t="n">
        <v>3720</v>
      </c>
      <c r="S2128" s="4" t="n">
        <v>3</v>
      </c>
      <c r="T2128" s="1" t="inlineStr">
        <is>
          <t>active</t>
        </is>
      </c>
      <c r="U2128" s="8" t="n"/>
      <c r="V2128" s="1" t="inlineStr">
        <is>
          <t>SIN PRECIO</t>
        </is>
      </c>
    </row>
    <row r="2129">
      <c r="A2129" s="1" t="inlineStr">
        <is>
          <t>93098782860141</t>
        </is>
      </c>
      <c r="B2129" s="1" t="inlineStr">
        <is>
          <t>CINTO LV SKYLINE BLACK</t>
        </is>
      </c>
      <c r="C2129" s="1" t="inlineStr">
        <is>
          <t>BLACK</t>
        </is>
      </c>
      <c r="D2129" s="1" t="inlineStr">
        <is>
          <t>ZOEY</t>
        </is>
      </c>
      <c r="E2129" s="4">
        <f>COUNTIF('DETALLE CRONOLÓGICO'!$A$2:$A$4919,$A2129)</f>
        <v/>
      </c>
      <c r="F2129" s="4">
        <f>SUMIFS('DETALLE CRONOLÓGICO'!$I$2:$I$4919,'DETALLE CRONOLÓGICO'!$A$2:$A$4919,$A2129)</f>
        <v/>
      </c>
      <c r="G2129" s="1">
        <f>INDEX('DETALLE CRONOLÓGICO'!$D$2:$D$4919,MATCH($A2129,'DETALLE CRONOLÓGICO'!$A$2:$A$4919,0))</f>
        <v/>
      </c>
      <c r="H2129" s="1">
        <f>INDEX('DETALLE CRONOLÓGICO'!$D$2:$D$4919,MATCH($A2129,'DETALLE CRONOLÓGICO'!$A$2:$A$4919,0)+$E2129-1)</f>
        <v/>
      </c>
      <c r="I2129" s="5">
        <f>IFERROR(SUMIFS('DETALLE CRONOLÓGICO'!$L$2:$L$4919,'DETALLE CRONOLÓGICO'!$A$2:$A$4919,$A2129)/$F2129,"")</f>
        <v/>
      </c>
      <c r="J2129" s="6">
        <f>IFERROR(SUMIFS('DETALLE CRONOLÓGICO'!$K$2:$K$4919,'DETALLE CRONOLÓGICO'!$A$2:$A$4919,$A2129)/$E2129,"")</f>
        <v/>
      </c>
      <c r="K2129" s="6">
        <f>_xlfn.MINIFS('DETALLE CRONOLÓGICO'!$K$2:$K$4919,'DETALLE CRONOLÓGICO'!$A$2:$A$4919,$A2129)</f>
        <v/>
      </c>
      <c r="L2129" s="6">
        <f>_xlfn.MAXIFS('DETALLE CRONOLÓGICO'!$K$2:$K$4919,'DETALLE CRONOLÓGICO'!$A$2:$A$4919,$A2129)</f>
        <v/>
      </c>
      <c r="M2129" s="6">
        <f>INDEX('DETALLE CRONOLÓGICO'!$K$2:$K$4919,MATCH($A2129,'DETALLE CRONOLÓGICO'!$A$2:$A$4919,0)+$E2129-1)</f>
        <v/>
      </c>
      <c r="N2129" s="7">
        <f>IFERROR($M2129/INDEX('DETALLE CRONOLÓGICO'!$K$2:$K$4919,MATCH($A2129,'DETALLE CRONOLÓGICO'!$A$2:$A$4919,0))-1,"")</f>
        <v/>
      </c>
      <c r="O2129" s="6">
        <f>IFERROR($I2129*3,"")</f>
        <v/>
      </c>
      <c r="P2129" s="6">
        <f>IFERROR($I2129*3.5,"")</f>
        <v/>
      </c>
      <c r="Q2129" s="6">
        <f>IFERROR($I2129*4,"")</f>
        <v/>
      </c>
      <c r="R2129" s="6" t="n">
        <v>3679</v>
      </c>
      <c r="S2129" s="4" t="n">
        <v>1</v>
      </c>
      <c r="T2129" s="1" t="inlineStr">
        <is>
          <t>active</t>
        </is>
      </c>
      <c r="U2129" s="8" t="n"/>
      <c r="V2129" s="1" t="inlineStr">
        <is>
          <t>SIN PRECIO</t>
        </is>
      </c>
    </row>
    <row r="2130">
      <c r="A2130" s="1" t="inlineStr">
        <is>
          <t>93098782959597</t>
        </is>
      </c>
      <c r="B2130" s="1" t="inlineStr">
        <is>
          <t>CINTO LV PONT NEUF BLACK</t>
        </is>
      </c>
      <c r="C2130" s="1" t="inlineStr">
        <is>
          <t>BLACK</t>
        </is>
      </c>
      <c r="D2130" s="1" t="inlineStr">
        <is>
          <t>ZOEY</t>
        </is>
      </c>
      <c r="E2130" s="4">
        <f>COUNTIF('DETALLE CRONOLÓGICO'!$A$2:$A$4919,$A2130)</f>
        <v/>
      </c>
      <c r="F2130" s="4">
        <f>SUMIFS('DETALLE CRONOLÓGICO'!$I$2:$I$4919,'DETALLE CRONOLÓGICO'!$A$2:$A$4919,$A2130)</f>
        <v/>
      </c>
      <c r="G2130" s="1">
        <f>INDEX('DETALLE CRONOLÓGICO'!$D$2:$D$4919,MATCH($A2130,'DETALLE CRONOLÓGICO'!$A$2:$A$4919,0))</f>
        <v/>
      </c>
      <c r="H2130" s="1">
        <f>INDEX('DETALLE CRONOLÓGICO'!$D$2:$D$4919,MATCH($A2130,'DETALLE CRONOLÓGICO'!$A$2:$A$4919,0)+$E2130-1)</f>
        <v/>
      </c>
      <c r="I2130" s="5">
        <f>IFERROR(SUMIFS('DETALLE CRONOLÓGICO'!$L$2:$L$4919,'DETALLE CRONOLÓGICO'!$A$2:$A$4919,$A2130)/$F2130,"")</f>
        <v/>
      </c>
      <c r="J2130" s="6">
        <f>IFERROR(SUMIFS('DETALLE CRONOLÓGICO'!$K$2:$K$4919,'DETALLE CRONOLÓGICO'!$A$2:$A$4919,$A2130)/$E2130,"")</f>
        <v/>
      </c>
      <c r="K2130" s="6">
        <f>_xlfn.MINIFS('DETALLE CRONOLÓGICO'!$K$2:$K$4919,'DETALLE CRONOLÓGICO'!$A$2:$A$4919,$A2130)</f>
        <v/>
      </c>
      <c r="L2130" s="6">
        <f>_xlfn.MAXIFS('DETALLE CRONOLÓGICO'!$K$2:$K$4919,'DETALLE CRONOLÓGICO'!$A$2:$A$4919,$A2130)</f>
        <v/>
      </c>
      <c r="M2130" s="6">
        <f>INDEX('DETALLE CRONOLÓGICO'!$K$2:$K$4919,MATCH($A2130,'DETALLE CRONOLÓGICO'!$A$2:$A$4919,0)+$E2130-1)</f>
        <v/>
      </c>
      <c r="N2130" s="7">
        <f>IFERROR($M2130/INDEX('DETALLE CRONOLÓGICO'!$K$2:$K$4919,MATCH($A2130,'DETALLE CRONOLÓGICO'!$A$2:$A$4919,0))-1,"")</f>
        <v/>
      </c>
      <c r="O2130" s="6">
        <f>IFERROR($I2130*3,"")</f>
        <v/>
      </c>
      <c r="P2130" s="6">
        <f>IFERROR($I2130*3.5,"")</f>
        <v/>
      </c>
      <c r="Q2130" s="6">
        <f>IFERROR($I2130*4,"")</f>
        <v/>
      </c>
      <c r="R2130" s="6" t="n">
        <v>3679</v>
      </c>
      <c r="S2130" s="4" t="n">
        <v>1</v>
      </c>
      <c r="T2130" s="1" t="inlineStr">
        <is>
          <t>active</t>
        </is>
      </c>
      <c r="U2130" s="8" t="n"/>
      <c r="V2130" s="1" t="inlineStr">
        <is>
          <t>SIN PRECIO</t>
        </is>
      </c>
    </row>
    <row r="2131">
      <c r="A2131" s="1" t="inlineStr">
        <is>
          <t>93098783094061</t>
        </is>
      </c>
      <c r="B2131" s="1" t="inlineStr">
        <is>
          <t>BOLSO LV POCHETTE FELICIE</t>
        </is>
      </c>
      <c r="C2131" s="1" t="inlineStr">
        <is>
          <t>Default Title</t>
        </is>
      </c>
      <c r="D2131" s="1" t="inlineStr">
        <is>
          <t>ZOEY</t>
        </is>
      </c>
      <c r="E2131" s="4">
        <f>COUNTIF('DETALLE CRONOLÓGICO'!$A$2:$A$4919,$A2131)</f>
        <v/>
      </c>
      <c r="F2131" s="4">
        <f>SUMIFS('DETALLE CRONOLÓGICO'!$I$2:$I$4919,'DETALLE CRONOLÓGICO'!$A$2:$A$4919,$A2131)</f>
        <v/>
      </c>
      <c r="G2131" s="1">
        <f>INDEX('DETALLE CRONOLÓGICO'!$D$2:$D$4919,MATCH($A2131,'DETALLE CRONOLÓGICO'!$A$2:$A$4919,0))</f>
        <v/>
      </c>
      <c r="H2131" s="1">
        <f>INDEX('DETALLE CRONOLÓGICO'!$D$2:$D$4919,MATCH($A2131,'DETALLE CRONOLÓGICO'!$A$2:$A$4919,0)+$E2131-1)</f>
        <v/>
      </c>
      <c r="I2131" s="5">
        <f>IFERROR(SUMIFS('DETALLE CRONOLÓGICO'!$L$2:$L$4919,'DETALLE CRONOLÓGICO'!$A$2:$A$4919,$A2131)/$F2131,"")</f>
        <v/>
      </c>
      <c r="J2131" s="6">
        <f>IFERROR(SUMIFS('DETALLE CRONOLÓGICO'!$K$2:$K$4919,'DETALLE CRONOLÓGICO'!$A$2:$A$4919,$A2131)/$E2131,"")</f>
        <v/>
      </c>
      <c r="K2131" s="6">
        <f>_xlfn.MINIFS('DETALLE CRONOLÓGICO'!$K$2:$K$4919,'DETALLE CRONOLÓGICO'!$A$2:$A$4919,$A2131)</f>
        <v/>
      </c>
      <c r="L2131" s="6">
        <f>_xlfn.MAXIFS('DETALLE CRONOLÓGICO'!$K$2:$K$4919,'DETALLE CRONOLÓGICO'!$A$2:$A$4919,$A2131)</f>
        <v/>
      </c>
      <c r="M2131" s="6">
        <f>INDEX('DETALLE CRONOLÓGICO'!$K$2:$K$4919,MATCH($A2131,'DETALLE CRONOLÓGICO'!$A$2:$A$4919,0)+$E2131-1)</f>
        <v/>
      </c>
      <c r="N2131" s="7">
        <f>IFERROR($M2131/INDEX('DETALLE CRONOLÓGICO'!$K$2:$K$4919,MATCH($A2131,'DETALLE CRONOLÓGICO'!$A$2:$A$4919,0))-1,"")</f>
        <v/>
      </c>
      <c r="O2131" s="6">
        <f>IFERROR($I2131*3,"")</f>
        <v/>
      </c>
      <c r="P2131" s="6">
        <f>IFERROR($I2131*3.5,"")</f>
        <v/>
      </c>
      <c r="Q2131" s="6">
        <f>IFERROR($I2131*4,"")</f>
        <v/>
      </c>
      <c r="R2131" s="6" t="n">
        <v>2500</v>
      </c>
      <c r="S2131" s="4" t="n">
        <v>0</v>
      </c>
      <c r="T2131" s="1" t="inlineStr">
        <is>
          <t>active</t>
        </is>
      </c>
      <c r="U2131" s="8" t="n"/>
      <c r="V2131" s="1" t="inlineStr">
        <is>
          <t>SIN PRECIO</t>
        </is>
      </c>
    </row>
    <row r="2132">
      <c r="A2132" s="1" t="inlineStr">
        <is>
          <t>93098783161293</t>
        </is>
      </c>
      <c r="B2132" s="1" t="inlineStr">
        <is>
          <t>BOLSO LV POCHETTE HILLS</t>
        </is>
      </c>
      <c r="C2132" s="1" t="inlineStr">
        <is>
          <t>Default Title</t>
        </is>
      </c>
      <c r="D2132" s="1" t="inlineStr">
        <is>
          <t>ZOEY</t>
        </is>
      </c>
      <c r="E2132" s="4">
        <f>COUNTIF('DETALLE CRONOLÓGICO'!$A$2:$A$4919,$A2132)</f>
        <v/>
      </c>
      <c r="F2132" s="4">
        <f>SUMIFS('DETALLE CRONOLÓGICO'!$I$2:$I$4919,'DETALLE CRONOLÓGICO'!$A$2:$A$4919,$A2132)</f>
        <v/>
      </c>
      <c r="G2132" s="1">
        <f>INDEX('DETALLE CRONOLÓGICO'!$D$2:$D$4919,MATCH($A2132,'DETALLE CRONOLÓGICO'!$A$2:$A$4919,0))</f>
        <v/>
      </c>
      <c r="H2132" s="1">
        <f>INDEX('DETALLE CRONOLÓGICO'!$D$2:$D$4919,MATCH($A2132,'DETALLE CRONOLÓGICO'!$A$2:$A$4919,0)+$E2132-1)</f>
        <v/>
      </c>
      <c r="I2132" s="5">
        <f>IFERROR(SUMIFS('DETALLE CRONOLÓGICO'!$L$2:$L$4919,'DETALLE CRONOLÓGICO'!$A$2:$A$4919,$A2132)/$F2132,"")</f>
        <v/>
      </c>
      <c r="J2132" s="6">
        <f>IFERROR(SUMIFS('DETALLE CRONOLÓGICO'!$K$2:$K$4919,'DETALLE CRONOLÓGICO'!$A$2:$A$4919,$A2132)/$E2132,"")</f>
        <v/>
      </c>
      <c r="K2132" s="6">
        <f>_xlfn.MINIFS('DETALLE CRONOLÓGICO'!$K$2:$K$4919,'DETALLE CRONOLÓGICO'!$A$2:$A$4919,$A2132)</f>
        <v/>
      </c>
      <c r="L2132" s="6">
        <f>_xlfn.MAXIFS('DETALLE CRONOLÓGICO'!$K$2:$K$4919,'DETALLE CRONOLÓGICO'!$A$2:$A$4919,$A2132)</f>
        <v/>
      </c>
      <c r="M2132" s="6">
        <f>INDEX('DETALLE CRONOLÓGICO'!$K$2:$K$4919,MATCH($A2132,'DETALLE CRONOLÓGICO'!$A$2:$A$4919,0)+$E2132-1)</f>
        <v/>
      </c>
      <c r="N2132" s="7">
        <f>IFERROR($M2132/INDEX('DETALLE CRONOLÓGICO'!$K$2:$K$4919,MATCH($A2132,'DETALLE CRONOLÓGICO'!$A$2:$A$4919,0))-1,"")</f>
        <v/>
      </c>
      <c r="O2132" s="6">
        <f>IFERROR($I2132*3,"")</f>
        <v/>
      </c>
      <c r="P2132" s="6">
        <f>IFERROR($I2132*3.5,"")</f>
        <v/>
      </c>
      <c r="Q2132" s="6">
        <f>IFERROR($I2132*4,"")</f>
        <v/>
      </c>
      <c r="R2132" s="6" t="n">
        <v>4349</v>
      </c>
      <c r="S2132" s="4" t="n">
        <v>0</v>
      </c>
      <c r="T2132" s="1" t="inlineStr">
        <is>
          <t>active</t>
        </is>
      </c>
      <c r="U2132" s="8" t="n"/>
      <c r="V2132" s="1" t="inlineStr">
        <is>
          <t>SIN PRECIO</t>
        </is>
      </c>
    </row>
    <row r="2133">
      <c r="A2133" s="1" t="inlineStr">
        <is>
          <t>93098783231917</t>
        </is>
      </c>
      <c r="B2133" s="1" t="inlineStr">
        <is>
          <t>MONEDERO LV ROSALIE BLACK</t>
        </is>
      </c>
      <c r="C2133" s="1" t="inlineStr">
        <is>
          <t>Default Title</t>
        </is>
      </c>
      <c r="D2133" s="1" t="inlineStr">
        <is>
          <t>ZOEY</t>
        </is>
      </c>
      <c r="E2133" s="4">
        <f>COUNTIF('DETALLE CRONOLÓGICO'!$A$2:$A$4919,$A2133)</f>
        <v/>
      </c>
      <c r="F2133" s="4">
        <f>SUMIFS('DETALLE CRONOLÓGICO'!$I$2:$I$4919,'DETALLE CRONOLÓGICO'!$A$2:$A$4919,$A2133)</f>
        <v/>
      </c>
      <c r="G2133" s="1">
        <f>INDEX('DETALLE CRONOLÓGICO'!$D$2:$D$4919,MATCH($A2133,'DETALLE CRONOLÓGICO'!$A$2:$A$4919,0))</f>
        <v/>
      </c>
      <c r="H2133" s="1">
        <f>INDEX('DETALLE CRONOLÓGICO'!$D$2:$D$4919,MATCH($A2133,'DETALLE CRONOLÓGICO'!$A$2:$A$4919,0)+$E2133-1)</f>
        <v/>
      </c>
      <c r="I2133" s="5">
        <f>IFERROR(SUMIFS('DETALLE CRONOLÓGICO'!$L$2:$L$4919,'DETALLE CRONOLÓGICO'!$A$2:$A$4919,$A2133)/$F2133,"")</f>
        <v/>
      </c>
      <c r="J2133" s="6">
        <f>IFERROR(SUMIFS('DETALLE CRONOLÓGICO'!$K$2:$K$4919,'DETALLE CRONOLÓGICO'!$A$2:$A$4919,$A2133)/$E2133,"")</f>
        <v/>
      </c>
      <c r="K2133" s="6">
        <f>_xlfn.MINIFS('DETALLE CRONOLÓGICO'!$K$2:$K$4919,'DETALLE CRONOLÓGICO'!$A$2:$A$4919,$A2133)</f>
        <v/>
      </c>
      <c r="L2133" s="6">
        <f>_xlfn.MAXIFS('DETALLE CRONOLÓGICO'!$K$2:$K$4919,'DETALLE CRONOLÓGICO'!$A$2:$A$4919,$A2133)</f>
        <v/>
      </c>
      <c r="M2133" s="6">
        <f>INDEX('DETALLE CRONOLÓGICO'!$K$2:$K$4919,MATCH($A2133,'DETALLE CRONOLÓGICO'!$A$2:$A$4919,0)+$E2133-1)</f>
        <v/>
      </c>
      <c r="N2133" s="7">
        <f>IFERROR($M2133/INDEX('DETALLE CRONOLÓGICO'!$K$2:$K$4919,MATCH($A2133,'DETALLE CRONOLÓGICO'!$A$2:$A$4919,0))-1,"")</f>
        <v/>
      </c>
      <c r="O2133" s="6">
        <f>IFERROR($I2133*3,"")</f>
        <v/>
      </c>
      <c r="P2133" s="6">
        <f>IFERROR($I2133*3.5,"")</f>
        <v/>
      </c>
      <c r="Q2133" s="6">
        <f>IFERROR($I2133*4,"")</f>
        <v/>
      </c>
      <c r="R2133" s="6" t="n">
        <v>1810</v>
      </c>
      <c r="S2133" s="4" t="n">
        <v>1</v>
      </c>
      <c r="T2133" s="1" t="inlineStr">
        <is>
          <t>active</t>
        </is>
      </c>
      <c r="U2133" s="8" t="n"/>
      <c r="V2133" s="1" t="inlineStr">
        <is>
          <t>SIN PRECIO</t>
        </is>
      </c>
    </row>
    <row r="2134">
      <c r="A2134" s="1" t="inlineStr">
        <is>
          <t>93098783399149</t>
        </is>
      </c>
      <c r="B2134" s="1" t="inlineStr">
        <is>
          <t>CARTERA LV ZIPPY CLIP</t>
        </is>
      </c>
      <c r="C2134" s="1" t="inlineStr">
        <is>
          <t>Default Title</t>
        </is>
      </c>
      <c r="D2134" s="1" t="inlineStr">
        <is>
          <t>ZOEY</t>
        </is>
      </c>
      <c r="E2134" s="4">
        <f>COUNTIF('DETALLE CRONOLÓGICO'!$A$2:$A$4919,$A2134)</f>
        <v/>
      </c>
      <c r="F2134" s="4">
        <f>SUMIFS('DETALLE CRONOLÓGICO'!$I$2:$I$4919,'DETALLE CRONOLÓGICO'!$A$2:$A$4919,$A2134)</f>
        <v/>
      </c>
      <c r="G2134" s="1">
        <f>INDEX('DETALLE CRONOLÓGICO'!$D$2:$D$4919,MATCH($A2134,'DETALLE CRONOLÓGICO'!$A$2:$A$4919,0))</f>
        <v/>
      </c>
      <c r="H2134" s="1">
        <f>INDEX('DETALLE CRONOLÓGICO'!$D$2:$D$4919,MATCH($A2134,'DETALLE CRONOLÓGICO'!$A$2:$A$4919,0)+$E2134-1)</f>
        <v/>
      </c>
      <c r="I2134" s="5">
        <f>IFERROR(SUMIFS('DETALLE CRONOLÓGICO'!$L$2:$L$4919,'DETALLE CRONOLÓGICO'!$A$2:$A$4919,$A2134)/$F2134,"")</f>
        <v/>
      </c>
      <c r="J2134" s="6">
        <f>IFERROR(SUMIFS('DETALLE CRONOLÓGICO'!$K$2:$K$4919,'DETALLE CRONOLÓGICO'!$A$2:$A$4919,$A2134)/$E2134,"")</f>
        <v/>
      </c>
      <c r="K2134" s="6">
        <f>_xlfn.MINIFS('DETALLE CRONOLÓGICO'!$K$2:$K$4919,'DETALLE CRONOLÓGICO'!$A$2:$A$4919,$A2134)</f>
        <v/>
      </c>
      <c r="L2134" s="6">
        <f>_xlfn.MAXIFS('DETALLE CRONOLÓGICO'!$K$2:$K$4919,'DETALLE CRONOLÓGICO'!$A$2:$A$4919,$A2134)</f>
        <v/>
      </c>
      <c r="M2134" s="6">
        <f>INDEX('DETALLE CRONOLÓGICO'!$K$2:$K$4919,MATCH($A2134,'DETALLE CRONOLÓGICO'!$A$2:$A$4919,0)+$E2134-1)</f>
        <v/>
      </c>
      <c r="N2134" s="7">
        <f>IFERROR($M2134/INDEX('DETALLE CRONOLÓGICO'!$K$2:$K$4919,MATCH($A2134,'DETALLE CRONOLÓGICO'!$A$2:$A$4919,0))-1,"")</f>
        <v/>
      </c>
      <c r="O2134" s="6">
        <f>IFERROR($I2134*3,"")</f>
        <v/>
      </c>
      <c r="P2134" s="6">
        <f>IFERROR($I2134*3.5,"")</f>
        <v/>
      </c>
      <c r="Q2134" s="6">
        <f>IFERROR($I2134*4,"")</f>
        <v/>
      </c>
      <c r="R2134" s="6" t="n">
        <v>1499</v>
      </c>
      <c r="S2134" s="4" t="n">
        <v>4</v>
      </c>
      <c r="T2134" s="1" t="inlineStr">
        <is>
          <t>active</t>
        </is>
      </c>
      <c r="U2134" s="8" t="n"/>
      <c r="V2134" s="1" t="inlineStr">
        <is>
          <t>SIN PRECIO</t>
        </is>
      </c>
    </row>
    <row r="2135">
      <c r="A2135" s="1" t="inlineStr">
        <is>
          <t>93098783400845</t>
        </is>
      </c>
      <c r="B2135" s="1" t="inlineStr">
        <is>
          <t>MONEDERO LV ZIPPY</t>
        </is>
      </c>
      <c r="C2135" s="1" t="inlineStr">
        <is>
          <t>BROWN</t>
        </is>
      </c>
      <c r="D2135" s="1" t="inlineStr">
        <is>
          <t>ZOEY</t>
        </is>
      </c>
      <c r="E2135" s="4">
        <f>COUNTIF('DETALLE CRONOLÓGICO'!$A$2:$A$4919,$A2135)</f>
        <v/>
      </c>
      <c r="F2135" s="4">
        <f>SUMIFS('DETALLE CRONOLÓGICO'!$I$2:$I$4919,'DETALLE CRONOLÓGICO'!$A$2:$A$4919,$A2135)</f>
        <v/>
      </c>
      <c r="G2135" s="1">
        <f>INDEX('DETALLE CRONOLÓGICO'!$D$2:$D$4919,MATCH($A2135,'DETALLE CRONOLÓGICO'!$A$2:$A$4919,0))</f>
        <v/>
      </c>
      <c r="H2135" s="1">
        <f>INDEX('DETALLE CRONOLÓGICO'!$D$2:$D$4919,MATCH($A2135,'DETALLE CRONOLÓGICO'!$A$2:$A$4919,0)+$E2135-1)</f>
        <v/>
      </c>
      <c r="I2135" s="5">
        <f>IFERROR(SUMIFS('DETALLE CRONOLÓGICO'!$L$2:$L$4919,'DETALLE CRONOLÓGICO'!$A$2:$A$4919,$A2135)/$F2135,"")</f>
        <v/>
      </c>
      <c r="J2135" s="6">
        <f>IFERROR(SUMIFS('DETALLE CRONOLÓGICO'!$K$2:$K$4919,'DETALLE CRONOLÓGICO'!$A$2:$A$4919,$A2135)/$E2135,"")</f>
        <v/>
      </c>
      <c r="K2135" s="6">
        <f>_xlfn.MINIFS('DETALLE CRONOLÓGICO'!$K$2:$K$4919,'DETALLE CRONOLÓGICO'!$A$2:$A$4919,$A2135)</f>
        <v/>
      </c>
      <c r="L2135" s="6">
        <f>_xlfn.MAXIFS('DETALLE CRONOLÓGICO'!$K$2:$K$4919,'DETALLE CRONOLÓGICO'!$A$2:$A$4919,$A2135)</f>
        <v/>
      </c>
      <c r="M2135" s="6">
        <f>INDEX('DETALLE CRONOLÓGICO'!$K$2:$K$4919,MATCH($A2135,'DETALLE CRONOLÓGICO'!$A$2:$A$4919,0)+$E2135-1)</f>
        <v/>
      </c>
      <c r="N2135" s="7">
        <f>IFERROR($M2135/INDEX('DETALLE CRONOLÓGICO'!$K$2:$K$4919,MATCH($A2135,'DETALLE CRONOLÓGICO'!$A$2:$A$4919,0))-1,"")</f>
        <v/>
      </c>
      <c r="O2135" s="6">
        <f>IFERROR($I2135*3,"")</f>
        <v/>
      </c>
      <c r="P2135" s="6">
        <f>IFERROR($I2135*3.5,"")</f>
        <v/>
      </c>
      <c r="Q2135" s="6">
        <f>IFERROR($I2135*4,"")</f>
        <v/>
      </c>
      <c r="R2135" s="6" t="n">
        <v>1475</v>
      </c>
      <c r="S2135" s="4" t="n">
        <v>1</v>
      </c>
      <c r="T2135" s="1" t="inlineStr">
        <is>
          <t>active</t>
        </is>
      </c>
      <c r="U2135" s="8" t="n"/>
      <c r="V2135" s="1" t="inlineStr">
        <is>
          <t>SIN PRECIO</t>
        </is>
      </c>
    </row>
    <row r="2136">
      <c r="A2136" s="1" t="inlineStr">
        <is>
          <t>93378831084685</t>
        </is>
      </c>
      <c r="B2136" s="1" t="inlineStr">
        <is>
          <t>BALLERINAS CC BEIGE BLACK</t>
        </is>
      </c>
      <c r="C2136" s="1" t="inlineStr">
        <is>
          <t>23cm</t>
        </is>
      </c>
      <c r="D2136" s="1" t="inlineStr">
        <is>
          <t>ZOEY</t>
        </is>
      </c>
      <c r="E2136" s="4">
        <f>COUNTIF('DETALLE CRONOLÓGICO'!$A$2:$A$4919,$A2136)</f>
        <v/>
      </c>
      <c r="F2136" s="4">
        <f>SUMIFS('DETALLE CRONOLÓGICO'!$I$2:$I$4919,'DETALLE CRONOLÓGICO'!$A$2:$A$4919,$A2136)</f>
        <v/>
      </c>
      <c r="G2136" s="1">
        <f>INDEX('DETALLE CRONOLÓGICO'!$D$2:$D$4919,MATCH($A2136,'DETALLE CRONOLÓGICO'!$A$2:$A$4919,0))</f>
        <v/>
      </c>
      <c r="H2136" s="1">
        <f>INDEX('DETALLE CRONOLÓGICO'!$D$2:$D$4919,MATCH($A2136,'DETALLE CRONOLÓGICO'!$A$2:$A$4919,0)+$E2136-1)</f>
        <v/>
      </c>
      <c r="I2136" s="5">
        <f>IFERROR(SUMIFS('DETALLE CRONOLÓGICO'!$L$2:$L$4919,'DETALLE CRONOLÓGICO'!$A$2:$A$4919,$A2136)/$F2136,"")</f>
        <v/>
      </c>
      <c r="J2136" s="6">
        <f>IFERROR(SUMIFS('DETALLE CRONOLÓGICO'!$K$2:$K$4919,'DETALLE CRONOLÓGICO'!$A$2:$A$4919,$A2136)/$E2136,"")</f>
        <v/>
      </c>
      <c r="K2136" s="6">
        <f>_xlfn.MINIFS('DETALLE CRONOLÓGICO'!$K$2:$K$4919,'DETALLE CRONOLÓGICO'!$A$2:$A$4919,$A2136)</f>
        <v/>
      </c>
      <c r="L2136" s="6">
        <f>_xlfn.MAXIFS('DETALLE CRONOLÓGICO'!$K$2:$K$4919,'DETALLE CRONOLÓGICO'!$A$2:$A$4919,$A2136)</f>
        <v/>
      </c>
      <c r="M2136" s="6">
        <f>INDEX('DETALLE CRONOLÓGICO'!$K$2:$K$4919,MATCH($A2136,'DETALLE CRONOLÓGICO'!$A$2:$A$4919,0)+$E2136-1)</f>
        <v/>
      </c>
      <c r="N2136" s="7">
        <f>IFERROR($M2136/INDEX('DETALLE CRONOLÓGICO'!$K$2:$K$4919,MATCH($A2136,'DETALLE CRONOLÓGICO'!$A$2:$A$4919,0))-1,"")</f>
        <v/>
      </c>
      <c r="O2136" s="6">
        <f>IFERROR($I2136*3,"")</f>
        <v/>
      </c>
      <c r="P2136" s="6">
        <f>IFERROR($I2136*3.5,"")</f>
        <v/>
      </c>
      <c r="Q2136" s="6">
        <f>IFERROR($I2136*4,"")</f>
        <v/>
      </c>
      <c r="R2136" s="6" t="n">
        <v>5840</v>
      </c>
      <c r="S2136" s="4" t="n">
        <v>3</v>
      </c>
      <c r="T2136" s="1" t="inlineStr">
        <is>
          <t>active</t>
        </is>
      </c>
      <c r="U2136" s="8" t="n"/>
      <c r="V2136" s="1" t="inlineStr">
        <is>
          <t>SIN PRECIO</t>
        </is>
      </c>
    </row>
    <row r="2137">
      <c r="A2137" s="1" t="inlineStr">
        <is>
          <t>93378841117453</t>
        </is>
      </c>
      <c r="B2137" s="1" t="inlineStr">
        <is>
          <t>BALLERINAS CC BEIGE BLACK</t>
        </is>
      </c>
      <c r="C2137" s="1" t="inlineStr">
        <is>
          <t>24-cm</t>
        </is>
      </c>
      <c r="D2137" s="1" t="inlineStr">
        <is>
          <t>ZOEY</t>
        </is>
      </c>
      <c r="E2137" s="4">
        <f>COUNTIF('DETALLE CRONOLÓGICO'!$A$2:$A$4919,$A2137)</f>
        <v/>
      </c>
      <c r="F2137" s="4">
        <f>SUMIFS('DETALLE CRONOLÓGICO'!$I$2:$I$4919,'DETALLE CRONOLÓGICO'!$A$2:$A$4919,$A2137)</f>
        <v/>
      </c>
      <c r="G2137" s="1">
        <f>INDEX('DETALLE CRONOLÓGICO'!$D$2:$D$4919,MATCH($A2137,'DETALLE CRONOLÓGICO'!$A$2:$A$4919,0))</f>
        <v/>
      </c>
      <c r="H2137" s="1">
        <f>INDEX('DETALLE CRONOLÓGICO'!$D$2:$D$4919,MATCH($A2137,'DETALLE CRONOLÓGICO'!$A$2:$A$4919,0)+$E2137-1)</f>
        <v/>
      </c>
      <c r="I2137" s="5">
        <f>IFERROR(SUMIFS('DETALLE CRONOLÓGICO'!$L$2:$L$4919,'DETALLE CRONOLÓGICO'!$A$2:$A$4919,$A2137)/$F2137,"")</f>
        <v/>
      </c>
      <c r="J2137" s="6">
        <f>IFERROR(SUMIFS('DETALLE CRONOLÓGICO'!$K$2:$K$4919,'DETALLE CRONOLÓGICO'!$A$2:$A$4919,$A2137)/$E2137,"")</f>
        <v/>
      </c>
      <c r="K2137" s="6">
        <f>_xlfn.MINIFS('DETALLE CRONOLÓGICO'!$K$2:$K$4919,'DETALLE CRONOLÓGICO'!$A$2:$A$4919,$A2137)</f>
        <v/>
      </c>
      <c r="L2137" s="6">
        <f>_xlfn.MAXIFS('DETALLE CRONOLÓGICO'!$K$2:$K$4919,'DETALLE CRONOLÓGICO'!$A$2:$A$4919,$A2137)</f>
        <v/>
      </c>
      <c r="M2137" s="6">
        <f>INDEX('DETALLE CRONOLÓGICO'!$K$2:$K$4919,MATCH($A2137,'DETALLE CRONOLÓGICO'!$A$2:$A$4919,0)+$E2137-1)</f>
        <v/>
      </c>
      <c r="N2137" s="7">
        <f>IFERROR($M2137/INDEX('DETALLE CRONOLÓGICO'!$K$2:$K$4919,MATCH($A2137,'DETALLE CRONOLÓGICO'!$A$2:$A$4919,0))-1,"")</f>
        <v/>
      </c>
      <c r="O2137" s="6">
        <f>IFERROR($I2137*3,"")</f>
        <v/>
      </c>
      <c r="P2137" s="6">
        <f>IFERROR($I2137*3.5,"")</f>
        <v/>
      </c>
      <c r="Q2137" s="6">
        <f>IFERROR($I2137*4,"")</f>
        <v/>
      </c>
      <c r="R2137" s="6" t="n">
        <v>5840</v>
      </c>
      <c r="S2137" s="4" t="n">
        <v>1</v>
      </c>
      <c r="T2137" s="1" t="inlineStr">
        <is>
          <t>active</t>
        </is>
      </c>
      <c r="U2137" s="8" t="n"/>
      <c r="V2137" s="1" t="inlineStr">
        <is>
          <t>SIN PRECIO</t>
        </is>
      </c>
    </row>
    <row r="2138">
      <c r="A2138" s="1" t="inlineStr">
        <is>
          <t>93378841221933</t>
        </is>
      </c>
      <c r="B2138" s="1" t="inlineStr">
        <is>
          <t>BALLERINAS LV BROWN CON INSIGNIAS</t>
        </is>
      </c>
      <c r="C2138" s="1" t="inlineStr">
        <is>
          <t>24cm</t>
        </is>
      </c>
      <c r="D2138" s="1" t="inlineStr">
        <is>
          <t>ZOEY</t>
        </is>
      </c>
      <c r="E2138" s="4">
        <f>COUNTIF('DETALLE CRONOLÓGICO'!$A$2:$A$4919,$A2138)</f>
        <v/>
      </c>
      <c r="F2138" s="4">
        <f>SUMIFS('DETALLE CRONOLÓGICO'!$I$2:$I$4919,'DETALLE CRONOLÓGICO'!$A$2:$A$4919,$A2138)</f>
        <v/>
      </c>
      <c r="G2138" s="1">
        <f>INDEX('DETALLE CRONOLÓGICO'!$D$2:$D$4919,MATCH($A2138,'DETALLE CRONOLÓGICO'!$A$2:$A$4919,0))</f>
        <v/>
      </c>
      <c r="H2138" s="1">
        <f>INDEX('DETALLE CRONOLÓGICO'!$D$2:$D$4919,MATCH($A2138,'DETALLE CRONOLÓGICO'!$A$2:$A$4919,0)+$E2138-1)</f>
        <v/>
      </c>
      <c r="I2138" s="5">
        <f>IFERROR(SUMIFS('DETALLE CRONOLÓGICO'!$L$2:$L$4919,'DETALLE CRONOLÓGICO'!$A$2:$A$4919,$A2138)/$F2138,"")</f>
        <v/>
      </c>
      <c r="J2138" s="6">
        <f>IFERROR(SUMIFS('DETALLE CRONOLÓGICO'!$K$2:$K$4919,'DETALLE CRONOLÓGICO'!$A$2:$A$4919,$A2138)/$E2138,"")</f>
        <v/>
      </c>
      <c r="K2138" s="6">
        <f>_xlfn.MINIFS('DETALLE CRONOLÓGICO'!$K$2:$K$4919,'DETALLE CRONOLÓGICO'!$A$2:$A$4919,$A2138)</f>
        <v/>
      </c>
      <c r="L2138" s="6">
        <f>_xlfn.MAXIFS('DETALLE CRONOLÓGICO'!$K$2:$K$4919,'DETALLE CRONOLÓGICO'!$A$2:$A$4919,$A2138)</f>
        <v/>
      </c>
      <c r="M2138" s="6">
        <f>INDEX('DETALLE CRONOLÓGICO'!$K$2:$K$4919,MATCH($A2138,'DETALLE CRONOLÓGICO'!$A$2:$A$4919,0)+$E2138-1)</f>
        <v/>
      </c>
      <c r="N2138" s="7">
        <f>IFERROR($M2138/INDEX('DETALLE CRONOLÓGICO'!$K$2:$K$4919,MATCH($A2138,'DETALLE CRONOLÓGICO'!$A$2:$A$4919,0))-1,"")</f>
        <v/>
      </c>
      <c r="O2138" s="6">
        <f>IFERROR($I2138*3,"")</f>
        <v/>
      </c>
      <c r="P2138" s="6">
        <f>IFERROR($I2138*3.5,"")</f>
        <v/>
      </c>
      <c r="Q2138" s="6">
        <f>IFERROR($I2138*4,"")</f>
        <v/>
      </c>
      <c r="R2138" s="6" t="n">
        <v>6669</v>
      </c>
      <c r="S2138" s="4" t="n">
        <v>1</v>
      </c>
      <c r="T2138" s="1" t="inlineStr">
        <is>
          <t>active</t>
        </is>
      </c>
      <c r="U2138" s="8" t="n"/>
      <c r="V2138" s="1" t="inlineStr">
        <is>
          <t>SIN PRECIO</t>
        </is>
      </c>
    </row>
    <row r="2139">
      <c r="A2139" s="1" t="inlineStr">
        <is>
          <t>93378841354701</t>
        </is>
      </c>
      <c r="B2139" s="1" t="inlineStr">
        <is>
          <t>BALLERINAS LV BROWN CON INSIGNIAS</t>
        </is>
      </c>
      <c r="C2139" s="1" t="inlineStr">
        <is>
          <t>25cm</t>
        </is>
      </c>
      <c r="D2139" s="1" t="inlineStr">
        <is>
          <t>ZOEY</t>
        </is>
      </c>
      <c r="E2139" s="4">
        <f>COUNTIF('DETALLE CRONOLÓGICO'!$A$2:$A$4919,$A2139)</f>
        <v/>
      </c>
      <c r="F2139" s="4">
        <f>SUMIFS('DETALLE CRONOLÓGICO'!$I$2:$I$4919,'DETALLE CRONOLÓGICO'!$A$2:$A$4919,$A2139)</f>
        <v/>
      </c>
      <c r="G2139" s="1">
        <f>INDEX('DETALLE CRONOLÓGICO'!$D$2:$D$4919,MATCH($A2139,'DETALLE CRONOLÓGICO'!$A$2:$A$4919,0))</f>
        <v/>
      </c>
      <c r="H2139" s="1">
        <f>INDEX('DETALLE CRONOLÓGICO'!$D$2:$D$4919,MATCH($A2139,'DETALLE CRONOLÓGICO'!$A$2:$A$4919,0)+$E2139-1)</f>
        <v/>
      </c>
      <c r="I2139" s="5">
        <f>IFERROR(SUMIFS('DETALLE CRONOLÓGICO'!$L$2:$L$4919,'DETALLE CRONOLÓGICO'!$A$2:$A$4919,$A2139)/$F2139,"")</f>
        <v/>
      </c>
      <c r="J2139" s="6">
        <f>IFERROR(SUMIFS('DETALLE CRONOLÓGICO'!$K$2:$K$4919,'DETALLE CRONOLÓGICO'!$A$2:$A$4919,$A2139)/$E2139,"")</f>
        <v/>
      </c>
      <c r="K2139" s="6">
        <f>_xlfn.MINIFS('DETALLE CRONOLÓGICO'!$K$2:$K$4919,'DETALLE CRONOLÓGICO'!$A$2:$A$4919,$A2139)</f>
        <v/>
      </c>
      <c r="L2139" s="6">
        <f>_xlfn.MAXIFS('DETALLE CRONOLÓGICO'!$K$2:$K$4919,'DETALLE CRONOLÓGICO'!$A$2:$A$4919,$A2139)</f>
        <v/>
      </c>
      <c r="M2139" s="6">
        <f>INDEX('DETALLE CRONOLÓGICO'!$K$2:$K$4919,MATCH($A2139,'DETALLE CRONOLÓGICO'!$A$2:$A$4919,0)+$E2139-1)</f>
        <v/>
      </c>
      <c r="N2139" s="7">
        <f>IFERROR($M2139/INDEX('DETALLE CRONOLÓGICO'!$K$2:$K$4919,MATCH($A2139,'DETALLE CRONOLÓGICO'!$A$2:$A$4919,0))-1,"")</f>
        <v/>
      </c>
      <c r="O2139" s="6">
        <f>IFERROR($I2139*3,"")</f>
        <v/>
      </c>
      <c r="P2139" s="6">
        <f>IFERROR($I2139*3.5,"")</f>
        <v/>
      </c>
      <c r="Q2139" s="6">
        <f>IFERROR($I2139*4,"")</f>
        <v/>
      </c>
      <c r="R2139" s="6" t="n">
        <v>6669</v>
      </c>
      <c r="S2139" s="4" t="n">
        <v>2</v>
      </c>
      <c r="T2139" s="1" t="inlineStr">
        <is>
          <t>active</t>
        </is>
      </c>
      <c r="U2139" s="8" t="n"/>
      <c r="V2139" s="1" t="inlineStr">
        <is>
          <t>SIN PRECIO</t>
        </is>
      </c>
    </row>
    <row r="2140">
      <c r="A2140" s="1" t="inlineStr">
        <is>
          <t>93378841495885</t>
        </is>
      </c>
      <c r="B2140" s="1" t="inlineStr">
        <is>
          <t>BALLERINAS MM BLACK CON ZIRCONIAS</t>
        </is>
      </c>
      <c r="C2140" s="1" t="inlineStr">
        <is>
          <t>24CM</t>
        </is>
      </c>
      <c r="D2140" s="1" t="inlineStr">
        <is>
          <t>ZOEY</t>
        </is>
      </c>
      <c r="E2140" s="4">
        <f>COUNTIF('DETALLE CRONOLÓGICO'!$A$2:$A$4919,$A2140)</f>
        <v/>
      </c>
      <c r="F2140" s="4">
        <f>SUMIFS('DETALLE CRONOLÓGICO'!$I$2:$I$4919,'DETALLE CRONOLÓGICO'!$A$2:$A$4919,$A2140)</f>
        <v/>
      </c>
      <c r="G2140" s="1">
        <f>INDEX('DETALLE CRONOLÓGICO'!$D$2:$D$4919,MATCH($A2140,'DETALLE CRONOLÓGICO'!$A$2:$A$4919,0))</f>
        <v/>
      </c>
      <c r="H2140" s="1">
        <f>INDEX('DETALLE CRONOLÓGICO'!$D$2:$D$4919,MATCH($A2140,'DETALLE CRONOLÓGICO'!$A$2:$A$4919,0)+$E2140-1)</f>
        <v/>
      </c>
      <c r="I2140" s="5">
        <f>IFERROR(SUMIFS('DETALLE CRONOLÓGICO'!$L$2:$L$4919,'DETALLE CRONOLÓGICO'!$A$2:$A$4919,$A2140)/$F2140,"")</f>
        <v/>
      </c>
      <c r="J2140" s="6">
        <f>IFERROR(SUMIFS('DETALLE CRONOLÓGICO'!$K$2:$K$4919,'DETALLE CRONOLÓGICO'!$A$2:$A$4919,$A2140)/$E2140,"")</f>
        <v/>
      </c>
      <c r="K2140" s="6">
        <f>_xlfn.MINIFS('DETALLE CRONOLÓGICO'!$K$2:$K$4919,'DETALLE CRONOLÓGICO'!$A$2:$A$4919,$A2140)</f>
        <v/>
      </c>
      <c r="L2140" s="6">
        <f>_xlfn.MAXIFS('DETALLE CRONOLÓGICO'!$K$2:$K$4919,'DETALLE CRONOLÓGICO'!$A$2:$A$4919,$A2140)</f>
        <v/>
      </c>
      <c r="M2140" s="6">
        <f>INDEX('DETALLE CRONOLÓGICO'!$K$2:$K$4919,MATCH($A2140,'DETALLE CRONOLÓGICO'!$A$2:$A$4919,0)+$E2140-1)</f>
        <v/>
      </c>
      <c r="N2140" s="7">
        <f>IFERROR($M2140/INDEX('DETALLE CRONOLÓGICO'!$K$2:$K$4919,MATCH($A2140,'DETALLE CRONOLÓGICO'!$A$2:$A$4919,0))-1,"")</f>
        <v/>
      </c>
      <c r="O2140" s="6">
        <f>IFERROR($I2140*3,"")</f>
        <v/>
      </c>
      <c r="P2140" s="6">
        <f>IFERROR($I2140*3.5,"")</f>
        <v/>
      </c>
      <c r="Q2140" s="6">
        <f>IFERROR($I2140*4,"")</f>
        <v/>
      </c>
      <c r="R2140" s="6" t="n">
        <v>5240</v>
      </c>
      <c r="S2140" s="4" t="n">
        <v>1</v>
      </c>
      <c r="T2140" s="1" t="inlineStr">
        <is>
          <t>active</t>
        </is>
      </c>
      <c r="U2140" s="8" t="n"/>
      <c r="V2140" s="1" t="inlineStr">
        <is>
          <t>SIN PRECIO</t>
        </is>
      </c>
    </row>
    <row r="2141">
      <c r="A2141" s="1" t="inlineStr">
        <is>
          <t>93378841508909</t>
        </is>
      </c>
      <c r="B2141" s="1" t="inlineStr">
        <is>
          <t>BALLERINAS PR BLACK CON LOGO</t>
        </is>
      </c>
      <c r="C2141" s="1" t="inlineStr">
        <is>
          <t>24cm</t>
        </is>
      </c>
      <c r="D2141" s="1" t="inlineStr">
        <is>
          <t>ZOEY</t>
        </is>
      </c>
      <c r="E2141" s="4">
        <f>COUNTIF('DETALLE CRONOLÓGICO'!$A$2:$A$4919,$A2141)</f>
        <v/>
      </c>
      <c r="F2141" s="4">
        <f>SUMIFS('DETALLE CRONOLÓGICO'!$I$2:$I$4919,'DETALLE CRONOLÓGICO'!$A$2:$A$4919,$A2141)</f>
        <v/>
      </c>
      <c r="G2141" s="1">
        <f>INDEX('DETALLE CRONOLÓGICO'!$D$2:$D$4919,MATCH($A2141,'DETALLE CRONOLÓGICO'!$A$2:$A$4919,0))</f>
        <v/>
      </c>
      <c r="H2141" s="1">
        <f>INDEX('DETALLE CRONOLÓGICO'!$D$2:$D$4919,MATCH($A2141,'DETALLE CRONOLÓGICO'!$A$2:$A$4919,0)+$E2141-1)</f>
        <v/>
      </c>
      <c r="I2141" s="5">
        <f>IFERROR(SUMIFS('DETALLE CRONOLÓGICO'!$L$2:$L$4919,'DETALLE CRONOLÓGICO'!$A$2:$A$4919,$A2141)/$F2141,"")</f>
        <v/>
      </c>
      <c r="J2141" s="6">
        <f>IFERROR(SUMIFS('DETALLE CRONOLÓGICO'!$K$2:$K$4919,'DETALLE CRONOLÓGICO'!$A$2:$A$4919,$A2141)/$E2141,"")</f>
        <v/>
      </c>
      <c r="K2141" s="6">
        <f>_xlfn.MINIFS('DETALLE CRONOLÓGICO'!$K$2:$K$4919,'DETALLE CRONOLÓGICO'!$A$2:$A$4919,$A2141)</f>
        <v/>
      </c>
      <c r="L2141" s="6">
        <f>_xlfn.MAXIFS('DETALLE CRONOLÓGICO'!$K$2:$K$4919,'DETALLE CRONOLÓGICO'!$A$2:$A$4919,$A2141)</f>
        <v/>
      </c>
      <c r="M2141" s="6">
        <f>INDEX('DETALLE CRONOLÓGICO'!$K$2:$K$4919,MATCH($A2141,'DETALLE CRONOLÓGICO'!$A$2:$A$4919,0)+$E2141-1)</f>
        <v/>
      </c>
      <c r="N2141" s="7">
        <f>IFERROR($M2141/INDEX('DETALLE CRONOLÓGICO'!$K$2:$K$4919,MATCH($A2141,'DETALLE CRONOLÓGICO'!$A$2:$A$4919,0))-1,"")</f>
        <v/>
      </c>
      <c r="O2141" s="6">
        <f>IFERROR($I2141*3,"")</f>
        <v/>
      </c>
      <c r="P2141" s="6">
        <f>IFERROR($I2141*3.5,"")</f>
        <v/>
      </c>
      <c r="Q2141" s="6">
        <f>IFERROR($I2141*4,"")</f>
        <v/>
      </c>
      <c r="R2141" s="6" t="n">
        <v>5949</v>
      </c>
      <c r="S2141" s="4" t="n">
        <v>0</v>
      </c>
      <c r="T2141" s="1" t="inlineStr">
        <is>
          <t>active</t>
        </is>
      </c>
      <c r="U2141" s="8" t="n"/>
      <c r="V2141" s="1" t="inlineStr">
        <is>
          <t>SIN PRECIO</t>
        </is>
      </c>
    </row>
    <row r="2142">
      <c r="A2142" s="1" t="inlineStr">
        <is>
          <t>93378841641677</t>
        </is>
      </c>
      <c r="B2142" s="1" t="inlineStr">
        <is>
          <t>BALLERINAS PR BLACK CON LOGO</t>
        </is>
      </c>
      <c r="C2142" s="1" t="inlineStr">
        <is>
          <t>25-cm</t>
        </is>
      </c>
      <c r="D2142" s="1" t="inlineStr">
        <is>
          <t>ZOEY</t>
        </is>
      </c>
      <c r="E2142" s="4">
        <f>COUNTIF('DETALLE CRONOLÓGICO'!$A$2:$A$4919,$A2142)</f>
        <v/>
      </c>
      <c r="F2142" s="4">
        <f>SUMIFS('DETALLE CRONOLÓGICO'!$I$2:$I$4919,'DETALLE CRONOLÓGICO'!$A$2:$A$4919,$A2142)</f>
        <v/>
      </c>
      <c r="G2142" s="1">
        <f>INDEX('DETALLE CRONOLÓGICO'!$D$2:$D$4919,MATCH($A2142,'DETALLE CRONOLÓGICO'!$A$2:$A$4919,0))</f>
        <v/>
      </c>
      <c r="H2142" s="1">
        <f>INDEX('DETALLE CRONOLÓGICO'!$D$2:$D$4919,MATCH($A2142,'DETALLE CRONOLÓGICO'!$A$2:$A$4919,0)+$E2142-1)</f>
        <v/>
      </c>
      <c r="I2142" s="5">
        <f>IFERROR(SUMIFS('DETALLE CRONOLÓGICO'!$L$2:$L$4919,'DETALLE CRONOLÓGICO'!$A$2:$A$4919,$A2142)/$F2142,"")</f>
        <v/>
      </c>
      <c r="J2142" s="6">
        <f>IFERROR(SUMIFS('DETALLE CRONOLÓGICO'!$K$2:$K$4919,'DETALLE CRONOLÓGICO'!$A$2:$A$4919,$A2142)/$E2142,"")</f>
        <v/>
      </c>
      <c r="K2142" s="6">
        <f>_xlfn.MINIFS('DETALLE CRONOLÓGICO'!$K$2:$K$4919,'DETALLE CRONOLÓGICO'!$A$2:$A$4919,$A2142)</f>
        <v/>
      </c>
      <c r="L2142" s="6">
        <f>_xlfn.MAXIFS('DETALLE CRONOLÓGICO'!$K$2:$K$4919,'DETALLE CRONOLÓGICO'!$A$2:$A$4919,$A2142)</f>
        <v/>
      </c>
      <c r="M2142" s="6">
        <f>INDEX('DETALLE CRONOLÓGICO'!$K$2:$K$4919,MATCH($A2142,'DETALLE CRONOLÓGICO'!$A$2:$A$4919,0)+$E2142-1)</f>
        <v/>
      </c>
      <c r="N2142" s="7">
        <f>IFERROR($M2142/INDEX('DETALLE CRONOLÓGICO'!$K$2:$K$4919,MATCH($A2142,'DETALLE CRONOLÓGICO'!$A$2:$A$4919,0))-1,"")</f>
        <v/>
      </c>
      <c r="O2142" s="6">
        <f>IFERROR($I2142*3,"")</f>
        <v/>
      </c>
      <c r="P2142" s="6">
        <f>IFERROR($I2142*3.5,"")</f>
        <v/>
      </c>
      <c r="Q2142" s="6">
        <f>IFERROR($I2142*4,"")</f>
        <v/>
      </c>
      <c r="R2142" s="6" t="n">
        <v>5949</v>
      </c>
      <c r="S2142" s="4" t="n">
        <v>0</v>
      </c>
      <c r="T2142" s="1" t="inlineStr">
        <is>
          <t>active</t>
        </is>
      </c>
      <c r="U2142" s="8" t="n"/>
      <c r="V2142" s="1" t="inlineStr">
        <is>
          <t>SIN PRECIO</t>
        </is>
      </c>
    </row>
    <row r="2143">
      <c r="A2143" s="1" t="inlineStr">
        <is>
          <t>93794531066669</t>
        </is>
      </c>
      <c r="B2143" s="1" t="inlineStr">
        <is>
          <t>LENTES CD M1U</t>
        </is>
      </c>
      <c r="C2143" s="1" t="inlineStr">
        <is>
          <t>Default Title</t>
        </is>
      </c>
      <c r="D2143" s="1" t="inlineStr">
        <is>
          <t>ZOEY</t>
        </is>
      </c>
      <c r="E2143" s="4">
        <f>COUNTIF('DETALLE CRONOLÓGICO'!$A$2:$A$4919,$A2143)</f>
        <v/>
      </c>
      <c r="F2143" s="4">
        <f>SUMIFS('DETALLE CRONOLÓGICO'!$I$2:$I$4919,'DETALLE CRONOLÓGICO'!$A$2:$A$4919,$A2143)</f>
        <v/>
      </c>
      <c r="G2143" s="1">
        <f>INDEX('DETALLE CRONOLÓGICO'!$D$2:$D$4919,MATCH($A2143,'DETALLE CRONOLÓGICO'!$A$2:$A$4919,0))</f>
        <v/>
      </c>
      <c r="H2143" s="1">
        <f>INDEX('DETALLE CRONOLÓGICO'!$D$2:$D$4919,MATCH($A2143,'DETALLE CRONOLÓGICO'!$A$2:$A$4919,0)+$E2143-1)</f>
        <v/>
      </c>
      <c r="I2143" s="5">
        <f>IFERROR(SUMIFS('DETALLE CRONOLÓGICO'!$L$2:$L$4919,'DETALLE CRONOLÓGICO'!$A$2:$A$4919,$A2143)/$F2143,"")</f>
        <v/>
      </c>
      <c r="J2143" s="6">
        <f>IFERROR(SUMIFS('DETALLE CRONOLÓGICO'!$K$2:$K$4919,'DETALLE CRONOLÓGICO'!$A$2:$A$4919,$A2143)/$E2143,"")</f>
        <v/>
      </c>
      <c r="K2143" s="6">
        <f>_xlfn.MINIFS('DETALLE CRONOLÓGICO'!$K$2:$K$4919,'DETALLE CRONOLÓGICO'!$A$2:$A$4919,$A2143)</f>
        <v/>
      </c>
      <c r="L2143" s="6">
        <f>_xlfn.MAXIFS('DETALLE CRONOLÓGICO'!$K$2:$K$4919,'DETALLE CRONOLÓGICO'!$A$2:$A$4919,$A2143)</f>
        <v/>
      </c>
      <c r="M2143" s="6">
        <f>INDEX('DETALLE CRONOLÓGICO'!$K$2:$K$4919,MATCH($A2143,'DETALLE CRONOLÓGICO'!$A$2:$A$4919,0)+$E2143-1)</f>
        <v/>
      </c>
      <c r="N2143" s="7">
        <f>IFERROR($M2143/INDEX('DETALLE CRONOLÓGICO'!$K$2:$K$4919,MATCH($A2143,'DETALLE CRONOLÓGICO'!$A$2:$A$4919,0))-1,"")</f>
        <v/>
      </c>
      <c r="O2143" s="6">
        <f>IFERROR($I2143*3,"")</f>
        <v/>
      </c>
      <c r="P2143" s="6">
        <f>IFERROR($I2143*3.5,"")</f>
        <v/>
      </c>
      <c r="Q2143" s="6">
        <f>IFERROR($I2143*4,"")</f>
        <v/>
      </c>
      <c r="R2143" s="6" t="n">
        <v>3279</v>
      </c>
      <c r="S2143" s="4" t="n">
        <v>0</v>
      </c>
      <c r="T2143" s="1" t="inlineStr">
        <is>
          <t>active</t>
        </is>
      </c>
      <c r="U2143" s="8" t="n"/>
      <c r="V2143" s="1" t="inlineStr">
        <is>
          <t>SIN PRECIO</t>
        </is>
      </c>
    </row>
    <row r="2144">
      <c r="A2144" s="1" t="inlineStr">
        <is>
          <t>93794531735053</t>
        </is>
      </c>
      <c r="B2144" s="1" t="inlineStr">
        <is>
          <t>CARTERA PR SAFFIANO</t>
        </is>
      </c>
      <c r="C2144" s="1" t="inlineStr">
        <is>
          <t>Default Title</t>
        </is>
      </c>
      <c r="D2144" s="1" t="inlineStr">
        <is>
          <t>ZOEY</t>
        </is>
      </c>
      <c r="E2144" s="4">
        <f>COUNTIF('DETALLE CRONOLÓGICO'!$A$2:$A$4919,$A2144)</f>
        <v/>
      </c>
      <c r="F2144" s="4">
        <f>SUMIFS('DETALLE CRONOLÓGICO'!$I$2:$I$4919,'DETALLE CRONOLÓGICO'!$A$2:$A$4919,$A2144)</f>
        <v/>
      </c>
      <c r="G2144" s="1">
        <f>INDEX('DETALLE CRONOLÓGICO'!$D$2:$D$4919,MATCH($A2144,'DETALLE CRONOLÓGICO'!$A$2:$A$4919,0))</f>
        <v/>
      </c>
      <c r="H2144" s="1">
        <f>INDEX('DETALLE CRONOLÓGICO'!$D$2:$D$4919,MATCH($A2144,'DETALLE CRONOLÓGICO'!$A$2:$A$4919,0)+$E2144-1)</f>
        <v/>
      </c>
      <c r="I2144" s="5">
        <f>IFERROR(SUMIFS('DETALLE CRONOLÓGICO'!$L$2:$L$4919,'DETALLE CRONOLÓGICO'!$A$2:$A$4919,$A2144)/$F2144,"")</f>
        <v/>
      </c>
      <c r="J2144" s="6">
        <f>IFERROR(SUMIFS('DETALLE CRONOLÓGICO'!$K$2:$K$4919,'DETALLE CRONOLÓGICO'!$A$2:$A$4919,$A2144)/$E2144,"")</f>
        <v/>
      </c>
      <c r="K2144" s="6">
        <f>_xlfn.MINIFS('DETALLE CRONOLÓGICO'!$K$2:$K$4919,'DETALLE CRONOLÓGICO'!$A$2:$A$4919,$A2144)</f>
        <v/>
      </c>
      <c r="L2144" s="6">
        <f>_xlfn.MAXIFS('DETALLE CRONOLÓGICO'!$K$2:$K$4919,'DETALLE CRONOLÓGICO'!$A$2:$A$4919,$A2144)</f>
        <v/>
      </c>
      <c r="M2144" s="6">
        <f>INDEX('DETALLE CRONOLÓGICO'!$K$2:$K$4919,MATCH($A2144,'DETALLE CRONOLÓGICO'!$A$2:$A$4919,0)+$E2144-1)</f>
        <v/>
      </c>
      <c r="N2144" s="7">
        <f>IFERROR($M2144/INDEX('DETALLE CRONOLÓGICO'!$K$2:$K$4919,MATCH($A2144,'DETALLE CRONOLÓGICO'!$A$2:$A$4919,0))-1,"")</f>
        <v/>
      </c>
      <c r="O2144" s="6">
        <f>IFERROR($I2144*3,"")</f>
        <v/>
      </c>
      <c r="P2144" s="6">
        <f>IFERROR($I2144*3.5,"")</f>
        <v/>
      </c>
      <c r="Q2144" s="6">
        <f>IFERROR($I2144*4,"")</f>
        <v/>
      </c>
      <c r="R2144" s="6" t="n">
        <v>1999</v>
      </c>
      <c r="S2144" s="4" t="n">
        <v>2</v>
      </c>
      <c r="T2144" s="1" t="inlineStr">
        <is>
          <t>active</t>
        </is>
      </c>
      <c r="U2144" s="8" t="n"/>
      <c r="V2144" s="1" t="inlineStr">
        <is>
          <t>SIN PRECIO</t>
        </is>
      </c>
    </row>
    <row r="2145">
      <c r="A2145" s="1" t="inlineStr">
        <is>
          <t>94122711058029</t>
        </is>
      </c>
      <c r="B2145" s="1" t="inlineStr">
        <is>
          <t>ANILLO BV ZERO 1 SILVER</t>
        </is>
      </c>
      <c r="C2145" s="1" t="inlineStr">
        <is>
          <t>7</t>
        </is>
      </c>
      <c r="D2145" s="1" t="inlineStr">
        <is>
          <t>HAIFENG</t>
        </is>
      </c>
      <c r="E2145" s="4">
        <f>COUNTIF('DETALLE CRONOLÓGICO'!$A$2:$A$4919,$A2145)</f>
        <v/>
      </c>
      <c r="F2145" s="4">
        <f>SUMIFS('DETALLE CRONOLÓGICO'!$I$2:$I$4919,'DETALLE CRONOLÓGICO'!$A$2:$A$4919,$A2145)</f>
        <v/>
      </c>
      <c r="G2145" s="1">
        <f>INDEX('DETALLE CRONOLÓGICO'!$D$2:$D$4919,MATCH($A2145,'DETALLE CRONOLÓGICO'!$A$2:$A$4919,0))</f>
        <v/>
      </c>
      <c r="H2145" s="1">
        <f>INDEX('DETALLE CRONOLÓGICO'!$D$2:$D$4919,MATCH($A2145,'DETALLE CRONOLÓGICO'!$A$2:$A$4919,0)+$E2145-1)</f>
        <v/>
      </c>
      <c r="I2145" s="5">
        <f>IFERROR(SUMIFS('DETALLE CRONOLÓGICO'!$L$2:$L$4919,'DETALLE CRONOLÓGICO'!$A$2:$A$4919,$A2145)/$F2145,"")</f>
        <v/>
      </c>
      <c r="J2145" s="6">
        <f>IFERROR(SUMIFS('DETALLE CRONOLÓGICO'!$K$2:$K$4919,'DETALLE CRONOLÓGICO'!$A$2:$A$4919,$A2145)/$E2145,"")</f>
        <v/>
      </c>
      <c r="K2145" s="6">
        <f>_xlfn.MINIFS('DETALLE CRONOLÓGICO'!$K$2:$K$4919,'DETALLE CRONOLÓGICO'!$A$2:$A$4919,$A2145)</f>
        <v/>
      </c>
      <c r="L2145" s="6">
        <f>_xlfn.MAXIFS('DETALLE CRONOLÓGICO'!$K$2:$K$4919,'DETALLE CRONOLÓGICO'!$A$2:$A$4919,$A2145)</f>
        <v/>
      </c>
      <c r="M2145" s="6">
        <f>INDEX('DETALLE CRONOLÓGICO'!$K$2:$K$4919,MATCH($A2145,'DETALLE CRONOLÓGICO'!$A$2:$A$4919,0)+$E2145-1)</f>
        <v/>
      </c>
      <c r="N2145" s="7">
        <f>IFERROR($M2145/INDEX('DETALLE CRONOLÓGICO'!$K$2:$K$4919,MATCH($A2145,'DETALLE CRONOLÓGICO'!$A$2:$A$4919,0))-1,"")</f>
        <v/>
      </c>
      <c r="O2145" s="6">
        <f>IFERROR($I2145*3,"")</f>
        <v/>
      </c>
      <c r="P2145" s="6">
        <f>IFERROR($I2145*3.5,"")</f>
        <v/>
      </c>
      <c r="Q2145" s="6">
        <f>IFERROR($I2145*4,"")</f>
        <v/>
      </c>
      <c r="R2145" s="6" t="n">
        <v>500</v>
      </c>
      <c r="S2145" s="4" t="n">
        <v>1</v>
      </c>
      <c r="T2145" s="1" t="inlineStr">
        <is>
          <t>active</t>
        </is>
      </c>
      <c r="U2145" s="8" t="n"/>
      <c r="V2145" s="1" t="inlineStr">
        <is>
          <t>SIN PRECIO</t>
        </is>
      </c>
    </row>
    <row r="2146">
      <c r="A2146" s="1" t="inlineStr">
        <is>
          <t>94122711058030</t>
        </is>
      </c>
      <c r="B2146" s="1" t="inlineStr">
        <is>
          <t>ANILLO BV ZERO 1 SILVER</t>
        </is>
      </c>
      <c r="C2146" s="1" t="inlineStr">
        <is>
          <t>8</t>
        </is>
      </c>
      <c r="D2146" s="1" t="inlineStr">
        <is>
          <t>HAIFENG</t>
        </is>
      </c>
      <c r="E2146" s="4">
        <f>COUNTIF('DETALLE CRONOLÓGICO'!$A$2:$A$4919,$A2146)</f>
        <v/>
      </c>
      <c r="F2146" s="4">
        <f>SUMIFS('DETALLE CRONOLÓGICO'!$I$2:$I$4919,'DETALLE CRONOLÓGICO'!$A$2:$A$4919,$A2146)</f>
        <v/>
      </c>
      <c r="G2146" s="1">
        <f>INDEX('DETALLE CRONOLÓGICO'!$D$2:$D$4919,MATCH($A2146,'DETALLE CRONOLÓGICO'!$A$2:$A$4919,0))</f>
        <v/>
      </c>
      <c r="H2146" s="1">
        <f>INDEX('DETALLE CRONOLÓGICO'!$D$2:$D$4919,MATCH($A2146,'DETALLE CRONOLÓGICO'!$A$2:$A$4919,0)+$E2146-1)</f>
        <v/>
      </c>
      <c r="I2146" s="5">
        <f>IFERROR(SUMIFS('DETALLE CRONOLÓGICO'!$L$2:$L$4919,'DETALLE CRONOLÓGICO'!$A$2:$A$4919,$A2146)/$F2146,"")</f>
        <v/>
      </c>
      <c r="J2146" s="6">
        <f>IFERROR(SUMIFS('DETALLE CRONOLÓGICO'!$K$2:$K$4919,'DETALLE CRONOLÓGICO'!$A$2:$A$4919,$A2146)/$E2146,"")</f>
        <v/>
      </c>
      <c r="K2146" s="6">
        <f>_xlfn.MINIFS('DETALLE CRONOLÓGICO'!$K$2:$K$4919,'DETALLE CRONOLÓGICO'!$A$2:$A$4919,$A2146)</f>
        <v/>
      </c>
      <c r="L2146" s="6">
        <f>_xlfn.MAXIFS('DETALLE CRONOLÓGICO'!$K$2:$K$4919,'DETALLE CRONOLÓGICO'!$A$2:$A$4919,$A2146)</f>
        <v/>
      </c>
      <c r="M2146" s="6">
        <f>INDEX('DETALLE CRONOLÓGICO'!$K$2:$K$4919,MATCH($A2146,'DETALLE CRONOLÓGICO'!$A$2:$A$4919,0)+$E2146-1)</f>
        <v/>
      </c>
      <c r="N2146" s="7">
        <f>IFERROR($M2146/INDEX('DETALLE CRONOLÓGICO'!$K$2:$K$4919,MATCH($A2146,'DETALLE CRONOLÓGICO'!$A$2:$A$4919,0))-1,"")</f>
        <v/>
      </c>
      <c r="O2146" s="6">
        <f>IFERROR($I2146*3,"")</f>
        <v/>
      </c>
      <c r="P2146" s="6">
        <f>IFERROR($I2146*3.5,"")</f>
        <v/>
      </c>
      <c r="Q2146" s="6">
        <f>IFERROR($I2146*4,"")</f>
        <v/>
      </c>
      <c r="R2146" s="6" t="n">
        <v>500</v>
      </c>
      <c r="S2146" s="4" t="n">
        <v>2</v>
      </c>
      <c r="T2146" s="1" t="inlineStr">
        <is>
          <t>active</t>
        </is>
      </c>
      <c r="U2146" s="8" t="n"/>
      <c r="V2146" s="1" t="inlineStr">
        <is>
          <t>SIN PRECIO</t>
        </is>
      </c>
    </row>
    <row r="2147">
      <c r="A2147" s="1" t="inlineStr">
        <is>
          <t>94122711058031</t>
        </is>
      </c>
      <c r="B2147" s="1" t="inlineStr">
        <is>
          <t>ANILLO BV ZERO 1 SILVER</t>
        </is>
      </c>
      <c r="C2147" s="1" t="inlineStr">
        <is>
          <t>9</t>
        </is>
      </c>
      <c r="D2147" s="1" t="inlineStr">
        <is>
          <t>HAIFENG</t>
        </is>
      </c>
      <c r="E2147" s="4">
        <f>COUNTIF('DETALLE CRONOLÓGICO'!$A$2:$A$4919,$A2147)</f>
        <v/>
      </c>
      <c r="F2147" s="4">
        <f>SUMIFS('DETALLE CRONOLÓGICO'!$I$2:$I$4919,'DETALLE CRONOLÓGICO'!$A$2:$A$4919,$A2147)</f>
        <v/>
      </c>
      <c r="G2147" s="1">
        <f>INDEX('DETALLE CRONOLÓGICO'!$D$2:$D$4919,MATCH($A2147,'DETALLE CRONOLÓGICO'!$A$2:$A$4919,0))</f>
        <v/>
      </c>
      <c r="H2147" s="1">
        <f>INDEX('DETALLE CRONOLÓGICO'!$D$2:$D$4919,MATCH($A2147,'DETALLE CRONOLÓGICO'!$A$2:$A$4919,0)+$E2147-1)</f>
        <v/>
      </c>
      <c r="I2147" s="5">
        <f>IFERROR(SUMIFS('DETALLE CRONOLÓGICO'!$L$2:$L$4919,'DETALLE CRONOLÓGICO'!$A$2:$A$4919,$A2147)/$F2147,"")</f>
        <v/>
      </c>
      <c r="J2147" s="6">
        <f>IFERROR(SUMIFS('DETALLE CRONOLÓGICO'!$K$2:$K$4919,'DETALLE CRONOLÓGICO'!$A$2:$A$4919,$A2147)/$E2147,"")</f>
        <v/>
      </c>
      <c r="K2147" s="6">
        <f>_xlfn.MINIFS('DETALLE CRONOLÓGICO'!$K$2:$K$4919,'DETALLE CRONOLÓGICO'!$A$2:$A$4919,$A2147)</f>
        <v/>
      </c>
      <c r="L2147" s="6">
        <f>_xlfn.MAXIFS('DETALLE CRONOLÓGICO'!$K$2:$K$4919,'DETALLE CRONOLÓGICO'!$A$2:$A$4919,$A2147)</f>
        <v/>
      </c>
      <c r="M2147" s="6">
        <f>INDEX('DETALLE CRONOLÓGICO'!$K$2:$K$4919,MATCH($A2147,'DETALLE CRONOLÓGICO'!$A$2:$A$4919,0)+$E2147-1)</f>
        <v/>
      </c>
      <c r="N2147" s="7">
        <f>IFERROR($M2147/INDEX('DETALLE CRONOLÓGICO'!$K$2:$K$4919,MATCH($A2147,'DETALLE CRONOLÓGICO'!$A$2:$A$4919,0))-1,"")</f>
        <v/>
      </c>
      <c r="O2147" s="6">
        <f>IFERROR($I2147*3,"")</f>
        <v/>
      </c>
      <c r="P2147" s="6">
        <f>IFERROR($I2147*3.5,"")</f>
        <v/>
      </c>
      <c r="Q2147" s="6">
        <f>IFERROR($I2147*4,"")</f>
        <v/>
      </c>
      <c r="R2147" s="6" t="n">
        <v>500</v>
      </c>
      <c r="S2147" s="4" t="n">
        <v>3</v>
      </c>
      <c r="T2147" s="1" t="inlineStr">
        <is>
          <t>active</t>
        </is>
      </c>
      <c r="U2147" s="8" t="n"/>
      <c r="V2147" s="1" t="inlineStr">
        <is>
          <t>SIN PRECIO</t>
        </is>
      </c>
    </row>
    <row r="2148">
      <c r="A2148" s="1" t="inlineStr">
        <is>
          <t>94256261066701</t>
        </is>
      </c>
      <c r="B2148" s="1" t="inlineStr">
        <is>
          <t>ANILLO LV IDYLLE BLOSSOM TRICOLOR</t>
        </is>
      </c>
      <c r="C2148" s="1" t="inlineStr">
        <is>
          <t>Default Title</t>
        </is>
      </c>
      <c r="D2148" s="1" t="inlineStr">
        <is>
          <t>HAIFENG</t>
        </is>
      </c>
      <c r="E2148" s="4">
        <f>COUNTIF('DETALLE CRONOLÓGICO'!$A$2:$A$4919,$A2148)</f>
        <v/>
      </c>
      <c r="F2148" s="4">
        <f>SUMIFS('DETALLE CRONOLÓGICO'!$I$2:$I$4919,'DETALLE CRONOLÓGICO'!$A$2:$A$4919,$A2148)</f>
        <v/>
      </c>
      <c r="G2148" s="1">
        <f>INDEX('DETALLE CRONOLÓGICO'!$D$2:$D$4919,MATCH($A2148,'DETALLE CRONOLÓGICO'!$A$2:$A$4919,0))</f>
        <v/>
      </c>
      <c r="H2148" s="1">
        <f>INDEX('DETALLE CRONOLÓGICO'!$D$2:$D$4919,MATCH($A2148,'DETALLE CRONOLÓGICO'!$A$2:$A$4919,0)+$E2148-1)</f>
        <v/>
      </c>
      <c r="I2148" s="5">
        <f>IFERROR(SUMIFS('DETALLE CRONOLÓGICO'!$L$2:$L$4919,'DETALLE CRONOLÓGICO'!$A$2:$A$4919,$A2148)/$F2148,"")</f>
        <v/>
      </c>
      <c r="J2148" s="6">
        <f>IFERROR(SUMIFS('DETALLE CRONOLÓGICO'!$K$2:$K$4919,'DETALLE CRONOLÓGICO'!$A$2:$A$4919,$A2148)/$E2148,"")</f>
        <v/>
      </c>
      <c r="K2148" s="6">
        <f>_xlfn.MINIFS('DETALLE CRONOLÓGICO'!$K$2:$K$4919,'DETALLE CRONOLÓGICO'!$A$2:$A$4919,$A2148)</f>
        <v/>
      </c>
      <c r="L2148" s="6">
        <f>_xlfn.MAXIFS('DETALLE CRONOLÓGICO'!$K$2:$K$4919,'DETALLE CRONOLÓGICO'!$A$2:$A$4919,$A2148)</f>
        <v/>
      </c>
      <c r="M2148" s="6">
        <f>INDEX('DETALLE CRONOLÓGICO'!$K$2:$K$4919,MATCH($A2148,'DETALLE CRONOLÓGICO'!$A$2:$A$4919,0)+$E2148-1)</f>
        <v/>
      </c>
      <c r="N2148" s="7">
        <f>IFERROR($M2148/INDEX('DETALLE CRONOLÓGICO'!$K$2:$K$4919,MATCH($A2148,'DETALLE CRONOLÓGICO'!$A$2:$A$4919,0))-1,"")</f>
        <v/>
      </c>
      <c r="O2148" s="6">
        <f>IFERROR($I2148*3,"")</f>
        <v/>
      </c>
      <c r="P2148" s="6">
        <f>IFERROR($I2148*3.5,"")</f>
        <v/>
      </c>
      <c r="Q2148" s="6">
        <f>IFERROR($I2148*4,"")</f>
        <v/>
      </c>
      <c r="R2148" s="6" t="n">
        <v>1250</v>
      </c>
      <c r="S2148" s="4" t="n">
        <v>0</v>
      </c>
      <c r="T2148" s="1" t="inlineStr">
        <is>
          <t>active</t>
        </is>
      </c>
      <c r="U2148" s="8" t="n"/>
      <c r="V2148" s="1" t="inlineStr">
        <is>
          <t>SIN PRECIO</t>
        </is>
      </c>
    </row>
    <row r="2149">
      <c r="A2149" s="1" t="inlineStr">
        <is>
          <t>94350532835596</t>
        </is>
      </c>
      <c r="B2149" s="1" t="inlineStr">
        <is>
          <t>BOLSO YSL CON CADENA NUDE</t>
        </is>
      </c>
      <c r="C2149" s="1" t="inlineStr">
        <is>
          <t>REGULAR</t>
        </is>
      </c>
      <c r="D2149" s="1" t="inlineStr">
        <is>
          <t>DINA DU</t>
        </is>
      </c>
      <c r="E2149" s="4">
        <f>COUNTIF('DETALLE CRONOLÓGICO'!$A$2:$A$4919,$A2149)</f>
        <v/>
      </c>
      <c r="F2149" s="4">
        <f>SUMIFS('DETALLE CRONOLÓGICO'!$I$2:$I$4919,'DETALLE CRONOLÓGICO'!$A$2:$A$4919,$A2149)</f>
        <v/>
      </c>
      <c r="G2149" s="1">
        <f>INDEX('DETALLE CRONOLÓGICO'!$D$2:$D$4919,MATCH($A2149,'DETALLE CRONOLÓGICO'!$A$2:$A$4919,0))</f>
        <v/>
      </c>
      <c r="H2149" s="1">
        <f>INDEX('DETALLE CRONOLÓGICO'!$D$2:$D$4919,MATCH($A2149,'DETALLE CRONOLÓGICO'!$A$2:$A$4919,0)+$E2149-1)</f>
        <v/>
      </c>
      <c r="I2149" s="5">
        <f>IFERROR(SUMIFS('DETALLE CRONOLÓGICO'!$L$2:$L$4919,'DETALLE CRONOLÓGICO'!$A$2:$A$4919,$A2149)/$F2149,"")</f>
        <v/>
      </c>
      <c r="J2149" s="6">
        <f>IFERROR(SUMIFS('DETALLE CRONOLÓGICO'!$K$2:$K$4919,'DETALLE CRONOLÓGICO'!$A$2:$A$4919,$A2149)/$E2149,"")</f>
        <v/>
      </c>
      <c r="K2149" s="6">
        <f>_xlfn.MINIFS('DETALLE CRONOLÓGICO'!$K$2:$K$4919,'DETALLE CRONOLÓGICO'!$A$2:$A$4919,$A2149)</f>
        <v/>
      </c>
      <c r="L2149" s="6">
        <f>_xlfn.MAXIFS('DETALLE CRONOLÓGICO'!$K$2:$K$4919,'DETALLE CRONOLÓGICO'!$A$2:$A$4919,$A2149)</f>
        <v/>
      </c>
      <c r="M2149" s="6">
        <f>INDEX('DETALLE CRONOLÓGICO'!$K$2:$K$4919,MATCH($A2149,'DETALLE CRONOLÓGICO'!$A$2:$A$4919,0)+$E2149-1)</f>
        <v/>
      </c>
      <c r="N2149" s="7">
        <f>IFERROR($M2149/INDEX('DETALLE CRONOLÓGICO'!$K$2:$K$4919,MATCH($A2149,'DETALLE CRONOLÓGICO'!$A$2:$A$4919,0))-1,"")</f>
        <v/>
      </c>
      <c r="O2149" s="6">
        <f>IFERROR($I2149*3,"")</f>
        <v/>
      </c>
      <c r="P2149" s="6">
        <f>IFERROR($I2149*3.5,"")</f>
        <v/>
      </c>
      <c r="Q2149" s="6">
        <f>IFERROR($I2149*4,"")</f>
        <v/>
      </c>
      <c r="R2149" s="6" t="n">
        <v>3850</v>
      </c>
      <c r="S2149" s="4" t="n">
        <v>0</v>
      </c>
      <c r="T2149" s="1" t="inlineStr">
        <is>
          <t>active</t>
        </is>
      </c>
      <c r="U2149" s="8" t="n"/>
      <c r="V2149" s="1" t="inlineStr">
        <is>
          <t>SIN PRECIO</t>
        </is>
      </c>
    </row>
    <row r="2150">
      <c r="A2150" s="1" t="inlineStr">
        <is>
          <t>94350543859468</t>
        </is>
      </c>
      <c r="B2150" s="1" t="inlineStr">
        <is>
          <t>BOLSO YSL CHAROL WHITE</t>
        </is>
      </c>
      <c r="C2150" s="1" t="inlineStr">
        <is>
          <t>24cm x 15cm</t>
        </is>
      </c>
      <c r="D2150" s="1" t="inlineStr">
        <is>
          <t>CYNTHIA</t>
        </is>
      </c>
      <c r="E2150" s="4">
        <f>COUNTIF('DETALLE CRONOLÓGICO'!$A$2:$A$4919,$A2150)</f>
        <v/>
      </c>
      <c r="F2150" s="4">
        <f>SUMIFS('DETALLE CRONOLÓGICO'!$I$2:$I$4919,'DETALLE CRONOLÓGICO'!$A$2:$A$4919,$A2150)</f>
        <v/>
      </c>
      <c r="G2150" s="1">
        <f>INDEX('DETALLE CRONOLÓGICO'!$D$2:$D$4919,MATCH($A2150,'DETALLE CRONOLÓGICO'!$A$2:$A$4919,0))</f>
        <v/>
      </c>
      <c r="H2150" s="1">
        <f>INDEX('DETALLE CRONOLÓGICO'!$D$2:$D$4919,MATCH($A2150,'DETALLE CRONOLÓGICO'!$A$2:$A$4919,0)+$E2150-1)</f>
        <v/>
      </c>
      <c r="I2150" s="5">
        <f>IFERROR(SUMIFS('DETALLE CRONOLÓGICO'!$L$2:$L$4919,'DETALLE CRONOLÓGICO'!$A$2:$A$4919,$A2150)/$F2150,"")</f>
        <v/>
      </c>
      <c r="J2150" s="6">
        <f>IFERROR(SUMIFS('DETALLE CRONOLÓGICO'!$K$2:$K$4919,'DETALLE CRONOLÓGICO'!$A$2:$A$4919,$A2150)/$E2150,"")</f>
        <v/>
      </c>
      <c r="K2150" s="6">
        <f>_xlfn.MINIFS('DETALLE CRONOLÓGICO'!$K$2:$K$4919,'DETALLE CRONOLÓGICO'!$A$2:$A$4919,$A2150)</f>
        <v/>
      </c>
      <c r="L2150" s="6">
        <f>_xlfn.MAXIFS('DETALLE CRONOLÓGICO'!$K$2:$K$4919,'DETALLE CRONOLÓGICO'!$A$2:$A$4919,$A2150)</f>
        <v/>
      </c>
      <c r="M2150" s="6">
        <f>INDEX('DETALLE CRONOLÓGICO'!$K$2:$K$4919,MATCH($A2150,'DETALLE CRONOLÓGICO'!$A$2:$A$4919,0)+$E2150-1)</f>
        <v/>
      </c>
      <c r="N2150" s="7">
        <f>IFERROR($M2150/INDEX('DETALLE CRONOLÓGICO'!$K$2:$K$4919,MATCH($A2150,'DETALLE CRONOLÓGICO'!$A$2:$A$4919,0))-1,"")</f>
        <v/>
      </c>
      <c r="O2150" s="6">
        <f>IFERROR($I2150*3,"")</f>
        <v/>
      </c>
      <c r="P2150" s="6">
        <f>IFERROR($I2150*3.5,"")</f>
        <v/>
      </c>
      <c r="Q2150" s="6">
        <f>IFERROR($I2150*4,"")</f>
        <v/>
      </c>
      <c r="R2150" s="6" t="n">
        <v>5209</v>
      </c>
      <c r="S2150" s="4" t="n">
        <v>3</v>
      </c>
      <c r="T2150" s="1" t="inlineStr">
        <is>
          <t>active</t>
        </is>
      </c>
      <c r="U2150" s="8" t="n"/>
      <c r="V2150" s="1" t="inlineStr">
        <is>
          <t>SIN PRECIO</t>
        </is>
      </c>
    </row>
    <row r="2151">
      <c r="A2151" s="1" t="inlineStr">
        <is>
          <t>94350549840780</t>
        </is>
      </c>
      <c r="B2151" s="1" t="inlineStr">
        <is>
          <t>BOLSO A TIEDIE</t>
        </is>
      </c>
      <c r="C2151" s="1" t="inlineStr">
        <is>
          <t>31cm de alto x 45.5cm de largo x 18cm de ancho</t>
        </is>
      </c>
      <c r="D2151" s="1" t="inlineStr">
        <is>
          <t>ZOEY</t>
        </is>
      </c>
      <c r="E2151" s="4">
        <f>COUNTIF('DETALLE CRONOLÓGICO'!$A$2:$A$4919,$A2151)</f>
        <v/>
      </c>
      <c r="F2151" s="4">
        <f>SUMIFS('DETALLE CRONOLÓGICO'!$I$2:$I$4919,'DETALLE CRONOLÓGICO'!$A$2:$A$4919,$A2151)</f>
        <v/>
      </c>
      <c r="G2151" s="1">
        <f>INDEX('DETALLE CRONOLÓGICO'!$D$2:$D$4919,MATCH($A2151,'DETALLE CRONOLÓGICO'!$A$2:$A$4919,0))</f>
        <v/>
      </c>
      <c r="H2151" s="1">
        <f>INDEX('DETALLE CRONOLÓGICO'!$D$2:$D$4919,MATCH($A2151,'DETALLE CRONOLÓGICO'!$A$2:$A$4919,0)+$E2151-1)</f>
        <v/>
      </c>
      <c r="I2151" s="5">
        <f>IFERROR(SUMIFS('DETALLE CRONOLÓGICO'!$L$2:$L$4919,'DETALLE CRONOLÓGICO'!$A$2:$A$4919,$A2151)/$F2151,"")</f>
        <v/>
      </c>
      <c r="J2151" s="6">
        <f>IFERROR(SUMIFS('DETALLE CRONOLÓGICO'!$K$2:$K$4919,'DETALLE CRONOLÓGICO'!$A$2:$A$4919,$A2151)/$E2151,"")</f>
        <v/>
      </c>
      <c r="K2151" s="6">
        <f>_xlfn.MINIFS('DETALLE CRONOLÓGICO'!$K$2:$K$4919,'DETALLE CRONOLÓGICO'!$A$2:$A$4919,$A2151)</f>
        <v/>
      </c>
      <c r="L2151" s="6">
        <f>_xlfn.MAXIFS('DETALLE CRONOLÓGICO'!$K$2:$K$4919,'DETALLE CRONOLÓGICO'!$A$2:$A$4919,$A2151)</f>
        <v/>
      </c>
      <c r="M2151" s="6">
        <f>INDEX('DETALLE CRONOLÓGICO'!$K$2:$K$4919,MATCH($A2151,'DETALLE CRONOLÓGICO'!$A$2:$A$4919,0)+$E2151-1)</f>
        <v/>
      </c>
      <c r="N2151" s="7">
        <f>IFERROR($M2151/INDEX('DETALLE CRONOLÓGICO'!$K$2:$K$4919,MATCH($A2151,'DETALLE CRONOLÓGICO'!$A$2:$A$4919,0))-1,"")</f>
        <v/>
      </c>
      <c r="O2151" s="6">
        <f>IFERROR($I2151*3,"")</f>
        <v/>
      </c>
      <c r="P2151" s="6">
        <f>IFERROR($I2151*3.5,"")</f>
        <v/>
      </c>
      <c r="Q2151" s="6">
        <f>IFERROR($I2151*4,"")</f>
        <v/>
      </c>
      <c r="R2151" s="6" t="n">
        <v>1069</v>
      </c>
      <c r="S2151" s="4" t="n">
        <v>6</v>
      </c>
      <c r="T2151" s="1" t="inlineStr">
        <is>
          <t>active</t>
        </is>
      </c>
      <c r="U2151" s="8" t="n"/>
      <c r="V2151" s="1" t="inlineStr">
        <is>
          <t>SIN PRECIO</t>
        </is>
      </c>
    </row>
    <row r="2152">
      <c r="A2152" s="1" t="inlineStr">
        <is>
          <t>94530225617804</t>
        </is>
      </c>
      <c r="B2152" s="1" t="inlineStr">
        <is>
          <t>ARETES TRIBALES CD</t>
        </is>
      </c>
      <c r="C2152" s="1" t="inlineStr">
        <is>
          <t>Default Title</t>
        </is>
      </c>
      <c r="D2152" s="1" t="inlineStr">
        <is>
          <t>CYNTHIA</t>
        </is>
      </c>
      <c r="E2152" s="4">
        <f>COUNTIF('DETALLE CRONOLÓGICO'!$A$2:$A$4919,$A2152)</f>
        <v/>
      </c>
      <c r="F2152" s="4">
        <f>SUMIFS('DETALLE CRONOLÓGICO'!$I$2:$I$4919,'DETALLE CRONOLÓGICO'!$A$2:$A$4919,$A2152)</f>
        <v/>
      </c>
      <c r="G2152" s="1">
        <f>INDEX('DETALLE CRONOLÓGICO'!$D$2:$D$4919,MATCH($A2152,'DETALLE CRONOLÓGICO'!$A$2:$A$4919,0))</f>
        <v/>
      </c>
      <c r="H2152" s="1">
        <f>INDEX('DETALLE CRONOLÓGICO'!$D$2:$D$4919,MATCH($A2152,'DETALLE CRONOLÓGICO'!$A$2:$A$4919,0)+$E2152-1)</f>
        <v/>
      </c>
      <c r="I2152" s="5">
        <f>IFERROR(SUMIFS('DETALLE CRONOLÓGICO'!$L$2:$L$4919,'DETALLE CRONOLÓGICO'!$A$2:$A$4919,$A2152)/$F2152,"")</f>
        <v/>
      </c>
      <c r="J2152" s="6">
        <f>IFERROR(SUMIFS('DETALLE CRONOLÓGICO'!$K$2:$K$4919,'DETALLE CRONOLÓGICO'!$A$2:$A$4919,$A2152)/$E2152,"")</f>
        <v/>
      </c>
      <c r="K2152" s="6">
        <f>_xlfn.MINIFS('DETALLE CRONOLÓGICO'!$K$2:$K$4919,'DETALLE CRONOLÓGICO'!$A$2:$A$4919,$A2152)</f>
        <v/>
      </c>
      <c r="L2152" s="6">
        <f>_xlfn.MAXIFS('DETALLE CRONOLÓGICO'!$K$2:$K$4919,'DETALLE CRONOLÓGICO'!$A$2:$A$4919,$A2152)</f>
        <v/>
      </c>
      <c r="M2152" s="6">
        <f>INDEX('DETALLE CRONOLÓGICO'!$K$2:$K$4919,MATCH($A2152,'DETALLE CRONOLÓGICO'!$A$2:$A$4919,0)+$E2152-1)</f>
        <v/>
      </c>
      <c r="N2152" s="7">
        <f>IFERROR($M2152/INDEX('DETALLE CRONOLÓGICO'!$K$2:$K$4919,MATCH($A2152,'DETALLE CRONOLÓGICO'!$A$2:$A$4919,0))-1,"")</f>
        <v/>
      </c>
      <c r="O2152" s="6">
        <f>IFERROR($I2152*3,"")</f>
        <v/>
      </c>
      <c r="P2152" s="6">
        <f>IFERROR($I2152*3.5,"")</f>
        <v/>
      </c>
      <c r="Q2152" s="6">
        <f>IFERROR($I2152*4,"")</f>
        <v/>
      </c>
      <c r="R2152" s="6" t="n">
        <v>250</v>
      </c>
      <c r="S2152" s="4" t="n">
        <v>2</v>
      </c>
      <c r="T2152" s="1" t="inlineStr">
        <is>
          <t>draft</t>
        </is>
      </c>
      <c r="U2152" s="8" t="n"/>
      <c r="V2152" s="1" t="inlineStr">
        <is>
          <t>SIN PRECIO</t>
        </is>
      </c>
    </row>
    <row r="2153">
      <c r="A2153" s="1" t="inlineStr">
        <is>
          <t>94663831026189</t>
        </is>
      </c>
      <c r="B2153" s="1" t="inlineStr">
        <is>
          <t>ARETES MM ROSEGOLD</t>
        </is>
      </c>
      <c r="C2153" s="1" t="inlineStr">
        <is>
          <t>Default Title</t>
        </is>
      </c>
      <c r="D2153" s="1" t="inlineStr">
        <is>
          <t>HAIFENG</t>
        </is>
      </c>
      <c r="E2153" s="4">
        <f>COUNTIF('DETALLE CRONOLÓGICO'!$A$2:$A$4919,$A2153)</f>
        <v/>
      </c>
      <c r="F2153" s="4">
        <f>SUMIFS('DETALLE CRONOLÓGICO'!$I$2:$I$4919,'DETALLE CRONOLÓGICO'!$A$2:$A$4919,$A2153)</f>
        <v/>
      </c>
      <c r="G2153" s="1">
        <f>INDEX('DETALLE CRONOLÓGICO'!$D$2:$D$4919,MATCH($A2153,'DETALLE CRONOLÓGICO'!$A$2:$A$4919,0))</f>
        <v/>
      </c>
      <c r="H2153" s="1">
        <f>INDEX('DETALLE CRONOLÓGICO'!$D$2:$D$4919,MATCH($A2153,'DETALLE CRONOLÓGICO'!$A$2:$A$4919,0)+$E2153-1)</f>
        <v/>
      </c>
      <c r="I2153" s="5">
        <f>IFERROR(SUMIFS('DETALLE CRONOLÓGICO'!$L$2:$L$4919,'DETALLE CRONOLÓGICO'!$A$2:$A$4919,$A2153)/$F2153,"")</f>
        <v/>
      </c>
      <c r="J2153" s="6">
        <f>IFERROR(SUMIFS('DETALLE CRONOLÓGICO'!$K$2:$K$4919,'DETALLE CRONOLÓGICO'!$A$2:$A$4919,$A2153)/$E2153,"")</f>
        <v/>
      </c>
      <c r="K2153" s="6">
        <f>_xlfn.MINIFS('DETALLE CRONOLÓGICO'!$K$2:$K$4919,'DETALLE CRONOLÓGICO'!$A$2:$A$4919,$A2153)</f>
        <v/>
      </c>
      <c r="L2153" s="6">
        <f>_xlfn.MAXIFS('DETALLE CRONOLÓGICO'!$K$2:$K$4919,'DETALLE CRONOLÓGICO'!$A$2:$A$4919,$A2153)</f>
        <v/>
      </c>
      <c r="M2153" s="6">
        <f>INDEX('DETALLE CRONOLÓGICO'!$K$2:$K$4919,MATCH($A2153,'DETALLE CRONOLÓGICO'!$A$2:$A$4919,0)+$E2153-1)</f>
        <v/>
      </c>
      <c r="N2153" s="7">
        <f>IFERROR($M2153/INDEX('DETALLE CRONOLÓGICO'!$K$2:$K$4919,MATCH($A2153,'DETALLE CRONOLÓGICO'!$A$2:$A$4919,0))-1,"")</f>
        <v/>
      </c>
      <c r="O2153" s="6">
        <f>IFERROR($I2153*3,"")</f>
        <v/>
      </c>
      <c r="P2153" s="6">
        <f>IFERROR($I2153*3.5,"")</f>
        <v/>
      </c>
      <c r="Q2153" s="6">
        <f>IFERROR($I2153*4,"")</f>
        <v/>
      </c>
      <c r="R2153" s="6" t="n">
        <v>599</v>
      </c>
      <c r="S2153" s="4" t="n">
        <v>0</v>
      </c>
      <c r="T2153" s="1" t="inlineStr">
        <is>
          <t>active</t>
        </is>
      </c>
      <c r="U2153" s="8" t="n"/>
      <c r="V2153" s="1" t="inlineStr">
        <is>
          <t>SIN PRECIO</t>
        </is>
      </c>
    </row>
    <row r="2154">
      <c r="A2154" s="1" t="inlineStr">
        <is>
          <t>94758097365260</t>
        </is>
      </c>
      <c r="B2154" s="1" t="inlineStr">
        <is>
          <t>CARTERA G SAINT-MARC GREY</t>
        </is>
      </c>
      <c r="C2154" s="1" t="inlineStr">
        <is>
          <t>11cm x 8cm</t>
        </is>
      </c>
      <c r="D2154" s="1" t="inlineStr">
        <is>
          <t>ZOEY</t>
        </is>
      </c>
      <c r="E2154" s="4">
        <f>COUNTIF('DETALLE CRONOLÓGICO'!$A$2:$A$4919,$A2154)</f>
        <v/>
      </c>
      <c r="F2154" s="4">
        <f>SUMIFS('DETALLE CRONOLÓGICO'!$I$2:$I$4919,'DETALLE CRONOLÓGICO'!$A$2:$A$4919,$A2154)</f>
        <v/>
      </c>
      <c r="G2154" s="1">
        <f>INDEX('DETALLE CRONOLÓGICO'!$D$2:$D$4919,MATCH($A2154,'DETALLE CRONOLÓGICO'!$A$2:$A$4919,0))</f>
        <v/>
      </c>
      <c r="H2154" s="1">
        <f>INDEX('DETALLE CRONOLÓGICO'!$D$2:$D$4919,MATCH($A2154,'DETALLE CRONOLÓGICO'!$A$2:$A$4919,0)+$E2154-1)</f>
        <v/>
      </c>
      <c r="I2154" s="5">
        <f>IFERROR(SUMIFS('DETALLE CRONOLÓGICO'!$L$2:$L$4919,'DETALLE CRONOLÓGICO'!$A$2:$A$4919,$A2154)/$F2154,"")</f>
        <v/>
      </c>
      <c r="J2154" s="6">
        <f>IFERROR(SUMIFS('DETALLE CRONOLÓGICO'!$K$2:$K$4919,'DETALLE CRONOLÓGICO'!$A$2:$A$4919,$A2154)/$E2154,"")</f>
        <v/>
      </c>
      <c r="K2154" s="6">
        <f>_xlfn.MINIFS('DETALLE CRONOLÓGICO'!$K$2:$K$4919,'DETALLE CRONOLÓGICO'!$A$2:$A$4919,$A2154)</f>
        <v/>
      </c>
      <c r="L2154" s="6">
        <f>_xlfn.MAXIFS('DETALLE CRONOLÓGICO'!$K$2:$K$4919,'DETALLE CRONOLÓGICO'!$A$2:$A$4919,$A2154)</f>
        <v/>
      </c>
      <c r="M2154" s="6">
        <f>INDEX('DETALLE CRONOLÓGICO'!$K$2:$K$4919,MATCH($A2154,'DETALLE CRONOLÓGICO'!$A$2:$A$4919,0)+$E2154-1)</f>
        <v/>
      </c>
      <c r="N2154" s="7">
        <f>IFERROR($M2154/INDEX('DETALLE CRONOLÓGICO'!$K$2:$K$4919,MATCH($A2154,'DETALLE CRONOLÓGICO'!$A$2:$A$4919,0))-1,"")</f>
        <v/>
      </c>
      <c r="O2154" s="6">
        <f>IFERROR($I2154*3,"")</f>
        <v/>
      </c>
      <c r="P2154" s="6">
        <f>IFERROR($I2154*3.5,"")</f>
        <v/>
      </c>
      <c r="Q2154" s="6">
        <f>IFERROR($I2154*4,"")</f>
        <v/>
      </c>
      <c r="R2154" s="6" t="n">
        <v>1599</v>
      </c>
      <c r="S2154" s="4" t="n">
        <v>0</v>
      </c>
      <c r="T2154" s="1" t="inlineStr">
        <is>
          <t>active</t>
        </is>
      </c>
      <c r="U2154" s="8" t="n"/>
      <c r="V2154" s="1" t="inlineStr">
        <is>
          <t>SIN PRECIO</t>
        </is>
      </c>
    </row>
    <row r="2155">
      <c r="A2155" s="1" t="inlineStr">
        <is>
          <t>94792221051565</t>
        </is>
      </c>
      <c r="B2155" s="1" t="inlineStr">
        <is>
          <t>ARETES BLOSSOM STAR GOLD</t>
        </is>
      </c>
      <c r="C2155" s="1" t="inlineStr">
        <is>
          <t>REGULAR</t>
        </is>
      </c>
      <c r="D2155" s="1" t="inlineStr">
        <is>
          <t>CYNTHIA</t>
        </is>
      </c>
      <c r="E2155" s="4">
        <f>COUNTIF('DETALLE CRONOLÓGICO'!$A$2:$A$4919,$A2155)</f>
        <v/>
      </c>
      <c r="F2155" s="4">
        <f>SUMIFS('DETALLE CRONOLÓGICO'!$I$2:$I$4919,'DETALLE CRONOLÓGICO'!$A$2:$A$4919,$A2155)</f>
        <v/>
      </c>
      <c r="G2155" s="1">
        <f>INDEX('DETALLE CRONOLÓGICO'!$D$2:$D$4919,MATCH($A2155,'DETALLE CRONOLÓGICO'!$A$2:$A$4919,0))</f>
        <v/>
      </c>
      <c r="H2155" s="1">
        <f>INDEX('DETALLE CRONOLÓGICO'!$D$2:$D$4919,MATCH($A2155,'DETALLE CRONOLÓGICO'!$A$2:$A$4919,0)+$E2155-1)</f>
        <v/>
      </c>
      <c r="I2155" s="5">
        <f>IFERROR(SUMIFS('DETALLE CRONOLÓGICO'!$L$2:$L$4919,'DETALLE CRONOLÓGICO'!$A$2:$A$4919,$A2155)/$F2155,"")</f>
        <v/>
      </c>
      <c r="J2155" s="6">
        <f>IFERROR(SUMIFS('DETALLE CRONOLÓGICO'!$K$2:$K$4919,'DETALLE CRONOLÓGICO'!$A$2:$A$4919,$A2155)/$E2155,"")</f>
        <v/>
      </c>
      <c r="K2155" s="6">
        <f>_xlfn.MINIFS('DETALLE CRONOLÓGICO'!$K$2:$K$4919,'DETALLE CRONOLÓGICO'!$A$2:$A$4919,$A2155)</f>
        <v/>
      </c>
      <c r="L2155" s="6">
        <f>_xlfn.MAXIFS('DETALLE CRONOLÓGICO'!$K$2:$K$4919,'DETALLE CRONOLÓGICO'!$A$2:$A$4919,$A2155)</f>
        <v/>
      </c>
      <c r="M2155" s="6">
        <f>INDEX('DETALLE CRONOLÓGICO'!$K$2:$K$4919,MATCH($A2155,'DETALLE CRONOLÓGICO'!$A$2:$A$4919,0)+$E2155-1)</f>
        <v/>
      </c>
      <c r="N2155" s="7">
        <f>IFERROR($M2155/INDEX('DETALLE CRONOLÓGICO'!$K$2:$K$4919,MATCH($A2155,'DETALLE CRONOLÓGICO'!$A$2:$A$4919,0))-1,"")</f>
        <v/>
      </c>
      <c r="O2155" s="6">
        <f>IFERROR($I2155*3,"")</f>
        <v/>
      </c>
      <c r="P2155" s="6">
        <f>IFERROR($I2155*3.5,"")</f>
        <v/>
      </c>
      <c r="Q2155" s="6">
        <f>IFERROR($I2155*4,"")</f>
        <v/>
      </c>
      <c r="R2155" s="6" t="n">
        <v>722</v>
      </c>
      <c r="S2155" s="4" t="n">
        <v>2</v>
      </c>
      <c r="T2155" s="1" t="inlineStr">
        <is>
          <t>active</t>
        </is>
      </c>
      <c r="U2155" s="8" t="n"/>
      <c r="V2155" s="1" t="inlineStr">
        <is>
          <t>SIN PRECIO</t>
        </is>
      </c>
    </row>
    <row r="2156">
      <c r="A2156" s="1" t="inlineStr">
        <is>
          <t>94956734303628</t>
        </is>
      </c>
      <c r="B2156" s="1" t="inlineStr">
        <is>
          <t>MONEDERO LV</t>
        </is>
      </c>
      <c r="C2156" s="1" t="inlineStr">
        <is>
          <t>15.5cm de largo x 11cm de alto</t>
        </is>
      </c>
      <c r="D2156" s="1" t="inlineStr">
        <is>
          <t>DINA DU</t>
        </is>
      </c>
      <c r="E2156" s="4">
        <f>COUNTIF('DETALLE CRONOLÓGICO'!$A$2:$A$4919,$A2156)</f>
        <v/>
      </c>
      <c r="F2156" s="4">
        <f>SUMIFS('DETALLE CRONOLÓGICO'!$I$2:$I$4919,'DETALLE CRONOLÓGICO'!$A$2:$A$4919,$A2156)</f>
        <v/>
      </c>
      <c r="G2156" s="1">
        <f>INDEX('DETALLE CRONOLÓGICO'!$D$2:$D$4919,MATCH($A2156,'DETALLE CRONOLÓGICO'!$A$2:$A$4919,0))</f>
        <v/>
      </c>
      <c r="H2156" s="1">
        <f>INDEX('DETALLE CRONOLÓGICO'!$D$2:$D$4919,MATCH($A2156,'DETALLE CRONOLÓGICO'!$A$2:$A$4919,0)+$E2156-1)</f>
        <v/>
      </c>
      <c r="I2156" s="5">
        <f>IFERROR(SUMIFS('DETALLE CRONOLÓGICO'!$L$2:$L$4919,'DETALLE CRONOLÓGICO'!$A$2:$A$4919,$A2156)/$F2156,"")</f>
        <v/>
      </c>
      <c r="J2156" s="6">
        <f>IFERROR(SUMIFS('DETALLE CRONOLÓGICO'!$K$2:$K$4919,'DETALLE CRONOLÓGICO'!$A$2:$A$4919,$A2156)/$E2156,"")</f>
        <v/>
      </c>
      <c r="K2156" s="6">
        <f>_xlfn.MINIFS('DETALLE CRONOLÓGICO'!$K$2:$K$4919,'DETALLE CRONOLÓGICO'!$A$2:$A$4919,$A2156)</f>
        <v/>
      </c>
      <c r="L2156" s="6">
        <f>_xlfn.MAXIFS('DETALLE CRONOLÓGICO'!$K$2:$K$4919,'DETALLE CRONOLÓGICO'!$A$2:$A$4919,$A2156)</f>
        <v/>
      </c>
      <c r="M2156" s="6">
        <f>INDEX('DETALLE CRONOLÓGICO'!$K$2:$K$4919,MATCH($A2156,'DETALLE CRONOLÓGICO'!$A$2:$A$4919,0)+$E2156-1)</f>
        <v/>
      </c>
      <c r="N2156" s="7">
        <f>IFERROR($M2156/INDEX('DETALLE CRONOLÓGICO'!$K$2:$K$4919,MATCH($A2156,'DETALLE CRONOLÓGICO'!$A$2:$A$4919,0))-1,"")</f>
        <v/>
      </c>
      <c r="O2156" s="6">
        <f>IFERROR($I2156*3,"")</f>
        <v/>
      </c>
      <c r="P2156" s="6">
        <f>IFERROR($I2156*3.5,"")</f>
        <v/>
      </c>
      <c r="Q2156" s="6">
        <f>IFERROR($I2156*4,"")</f>
        <v/>
      </c>
      <c r="R2156" s="6" t="n">
        <v>1410</v>
      </c>
      <c r="S2156" s="4" t="n">
        <v>2</v>
      </c>
      <c r="T2156" s="1" t="inlineStr">
        <is>
          <t>active</t>
        </is>
      </c>
      <c r="U2156" s="8" t="n"/>
      <c r="V2156" s="1" t="inlineStr">
        <is>
          <t>SIN PRECIO</t>
        </is>
      </c>
    </row>
    <row r="2157">
      <c r="A2157" s="1" t="inlineStr">
        <is>
          <t>94956736687244</t>
        </is>
      </c>
      <c r="B2157" s="1" t="inlineStr">
        <is>
          <t>BOLSA MINI POCHETTE LV</t>
        </is>
      </c>
      <c r="C2157" s="1" t="inlineStr">
        <is>
          <t>9cm de alto x 15cm de largo x 3cm de ancho</t>
        </is>
      </c>
      <c r="D2157" s="1" t="inlineStr">
        <is>
          <t>DINA DU</t>
        </is>
      </c>
      <c r="E2157" s="4">
        <f>COUNTIF('DETALLE CRONOLÓGICO'!$A$2:$A$4919,$A2157)</f>
        <v/>
      </c>
      <c r="F2157" s="4">
        <f>SUMIFS('DETALLE CRONOLÓGICO'!$I$2:$I$4919,'DETALLE CRONOLÓGICO'!$A$2:$A$4919,$A2157)</f>
        <v/>
      </c>
      <c r="G2157" s="1">
        <f>INDEX('DETALLE CRONOLÓGICO'!$D$2:$D$4919,MATCH($A2157,'DETALLE CRONOLÓGICO'!$A$2:$A$4919,0))</f>
        <v/>
      </c>
      <c r="H2157" s="1">
        <f>INDEX('DETALLE CRONOLÓGICO'!$D$2:$D$4919,MATCH($A2157,'DETALLE CRONOLÓGICO'!$A$2:$A$4919,0)+$E2157-1)</f>
        <v/>
      </c>
      <c r="I2157" s="5">
        <f>IFERROR(SUMIFS('DETALLE CRONOLÓGICO'!$L$2:$L$4919,'DETALLE CRONOLÓGICO'!$A$2:$A$4919,$A2157)/$F2157,"")</f>
        <v/>
      </c>
      <c r="J2157" s="6">
        <f>IFERROR(SUMIFS('DETALLE CRONOLÓGICO'!$K$2:$K$4919,'DETALLE CRONOLÓGICO'!$A$2:$A$4919,$A2157)/$E2157,"")</f>
        <v/>
      </c>
      <c r="K2157" s="6">
        <f>_xlfn.MINIFS('DETALLE CRONOLÓGICO'!$K$2:$K$4919,'DETALLE CRONOLÓGICO'!$A$2:$A$4919,$A2157)</f>
        <v/>
      </c>
      <c r="L2157" s="6">
        <f>_xlfn.MAXIFS('DETALLE CRONOLÓGICO'!$K$2:$K$4919,'DETALLE CRONOLÓGICO'!$A$2:$A$4919,$A2157)</f>
        <v/>
      </c>
      <c r="M2157" s="6">
        <f>INDEX('DETALLE CRONOLÓGICO'!$K$2:$K$4919,MATCH($A2157,'DETALLE CRONOLÓGICO'!$A$2:$A$4919,0)+$E2157-1)</f>
        <v/>
      </c>
      <c r="N2157" s="7">
        <f>IFERROR($M2157/INDEX('DETALLE CRONOLÓGICO'!$K$2:$K$4919,MATCH($A2157,'DETALLE CRONOLÓGICO'!$A$2:$A$4919,0))-1,"")</f>
        <v/>
      </c>
      <c r="O2157" s="6">
        <f>IFERROR($I2157*3,"")</f>
        <v/>
      </c>
      <c r="P2157" s="6">
        <f>IFERROR($I2157*3.5,"")</f>
        <v/>
      </c>
      <c r="Q2157" s="6">
        <f>IFERROR($I2157*4,"")</f>
        <v/>
      </c>
      <c r="R2157" s="6" t="n">
        <v>2380</v>
      </c>
      <c r="S2157" s="4" t="n">
        <v>1</v>
      </c>
      <c r="T2157" s="1" t="inlineStr">
        <is>
          <t>active</t>
        </is>
      </c>
      <c r="U2157" s="8" t="n"/>
      <c r="V2157" s="1" t="inlineStr">
        <is>
          <t>SIN PRECIO</t>
        </is>
      </c>
    </row>
    <row r="2158">
      <c r="A2158" s="1" t="inlineStr">
        <is>
          <t>95383471436684</t>
        </is>
      </c>
      <c r="B2158" s="1" t="inlineStr">
        <is>
          <t>HOODIE C BLACK</t>
        </is>
      </c>
      <c r="C2158" s="1" t="inlineStr">
        <is>
          <t>L</t>
        </is>
      </c>
      <c r="D2158" s="1" t="inlineStr">
        <is>
          <t>DINA DU</t>
        </is>
      </c>
      <c r="E2158" s="4">
        <f>COUNTIF('DETALLE CRONOLÓGICO'!$A$2:$A$4919,$A2158)</f>
        <v/>
      </c>
      <c r="F2158" s="4">
        <f>SUMIFS('DETALLE CRONOLÓGICO'!$I$2:$I$4919,'DETALLE CRONOLÓGICO'!$A$2:$A$4919,$A2158)</f>
        <v/>
      </c>
      <c r="G2158" s="1">
        <f>INDEX('DETALLE CRONOLÓGICO'!$D$2:$D$4919,MATCH($A2158,'DETALLE CRONOLÓGICO'!$A$2:$A$4919,0))</f>
        <v/>
      </c>
      <c r="H2158" s="1">
        <f>INDEX('DETALLE CRONOLÓGICO'!$D$2:$D$4919,MATCH($A2158,'DETALLE CRONOLÓGICO'!$A$2:$A$4919,0)+$E2158-1)</f>
        <v/>
      </c>
      <c r="I2158" s="5">
        <f>IFERROR(SUMIFS('DETALLE CRONOLÓGICO'!$L$2:$L$4919,'DETALLE CRONOLÓGICO'!$A$2:$A$4919,$A2158)/$F2158,"")</f>
        <v/>
      </c>
      <c r="J2158" s="6">
        <f>IFERROR(SUMIFS('DETALLE CRONOLÓGICO'!$K$2:$K$4919,'DETALLE CRONOLÓGICO'!$A$2:$A$4919,$A2158)/$E2158,"")</f>
        <v/>
      </c>
      <c r="K2158" s="6">
        <f>_xlfn.MINIFS('DETALLE CRONOLÓGICO'!$K$2:$K$4919,'DETALLE CRONOLÓGICO'!$A$2:$A$4919,$A2158)</f>
        <v/>
      </c>
      <c r="L2158" s="6">
        <f>_xlfn.MAXIFS('DETALLE CRONOLÓGICO'!$K$2:$K$4919,'DETALLE CRONOLÓGICO'!$A$2:$A$4919,$A2158)</f>
        <v/>
      </c>
      <c r="M2158" s="6">
        <f>INDEX('DETALLE CRONOLÓGICO'!$K$2:$K$4919,MATCH($A2158,'DETALLE CRONOLÓGICO'!$A$2:$A$4919,0)+$E2158-1)</f>
        <v/>
      </c>
      <c r="N2158" s="7">
        <f>IFERROR($M2158/INDEX('DETALLE CRONOLÓGICO'!$K$2:$K$4919,MATCH($A2158,'DETALLE CRONOLÓGICO'!$A$2:$A$4919,0))-1,"")</f>
        <v/>
      </c>
      <c r="O2158" s="6">
        <f>IFERROR($I2158*3,"")</f>
        <v/>
      </c>
      <c r="P2158" s="6">
        <f>IFERROR($I2158*3.5,"")</f>
        <v/>
      </c>
      <c r="Q2158" s="6">
        <f>IFERROR($I2158*4,"")</f>
        <v/>
      </c>
      <c r="R2158" s="6" t="n">
        <v>1285</v>
      </c>
      <c r="S2158" s="4" t="n">
        <v>1</v>
      </c>
      <c r="T2158" s="1" t="inlineStr">
        <is>
          <t>active</t>
        </is>
      </c>
      <c r="U2158" s="8" t="n"/>
      <c r="V2158" s="1" t="inlineStr">
        <is>
          <t>SIN PRECIO</t>
        </is>
      </c>
    </row>
    <row r="2159">
      <c r="A2159" s="1" t="inlineStr">
        <is>
          <t>95510921069549</t>
        </is>
      </c>
      <c r="B2159" s="1" t="inlineStr">
        <is>
          <t>PERFUME YSL BLACK OPIUM OVER RED</t>
        </is>
      </c>
      <c r="C2159" s="1" t="inlineStr">
        <is>
          <t>Default Title</t>
        </is>
      </c>
      <c r="D2159" s="1" t="inlineStr">
        <is>
          <t>ZOEY</t>
        </is>
      </c>
      <c r="E2159" s="4">
        <f>COUNTIF('DETALLE CRONOLÓGICO'!$A$2:$A$4919,$A2159)</f>
        <v/>
      </c>
      <c r="F2159" s="4">
        <f>SUMIFS('DETALLE CRONOLÓGICO'!$I$2:$I$4919,'DETALLE CRONOLÓGICO'!$A$2:$A$4919,$A2159)</f>
        <v/>
      </c>
      <c r="G2159" s="1">
        <f>INDEX('DETALLE CRONOLÓGICO'!$D$2:$D$4919,MATCH($A2159,'DETALLE CRONOLÓGICO'!$A$2:$A$4919,0))</f>
        <v/>
      </c>
      <c r="H2159" s="1">
        <f>INDEX('DETALLE CRONOLÓGICO'!$D$2:$D$4919,MATCH($A2159,'DETALLE CRONOLÓGICO'!$A$2:$A$4919,0)+$E2159-1)</f>
        <v/>
      </c>
      <c r="I2159" s="5">
        <f>IFERROR(SUMIFS('DETALLE CRONOLÓGICO'!$L$2:$L$4919,'DETALLE CRONOLÓGICO'!$A$2:$A$4919,$A2159)/$F2159,"")</f>
        <v/>
      </c>
      <c r="J2159" s="6">
        <f>IFERROR(SUMIFS('DETALLE CRONOLÓGICO'!$K$2:$K$4919,'DETALLE CRONOLÓGICO'!$A$2:$A$4919,$A2159)/$E2159,"")</f>
        <v/>
      </c>
      <c r="K2159" s="6">
        <f>_xlfn.MINIFS('DETALLE CRONOLÓGICO'!$K$2:$K$4919,'DETALLE CRONOLÓGICO'!$A$2:$A$4919,$A2159)</f>
        <v/>
      </c>
      <c r="L2159" s="6">
        <f>_xlfn.MAXIFS('DETALLE CRONOLÓGICO'!$K$2:$K$4919,'DETALLE CRONOLÓGICO'!$A$2:$A$4919,$A2159)</f>
        <v/>
      </c>
      <c r="M2159" s="6">
        <f>INDEX('DETALLE CRONOLÓGICO'!$K$2:$K$4919,MATCH($A2159,'DETALLE CRONOLÓGICO'!$A$2:$A$4919,0)+$E2159-1)</f>
        <v/>
      </c>
      <c r="N2159" s="7">
        <f>IFERROR($M2159/INDEX('DETALLE CRONOLÓGICO'!$K$2:$K$4919,MATCH($A2159,'DETALLE CRONOLÓGICO'!$A$2:$A$4919,0))-1,"")</f>
        <v/>
      </c>
      <c r="O2159" s="6">
        <f>IFERROR($I2159*3,"")</f>
        <v/>
      </c>
      <c r="P2159" s="6">
        <f>IFERROR($I2159*3.5,"")</f>
        <v/>
      </c>
      <c r="Q2159" s="6">
        <f>IFERROR($I2159*4,"")</f>
        <v/>
      </c>
      <c r="R2159" s="6" t="n">
        <v>1849</v>
      </c>
      <c r="S2159" s="4" t="n">
        <v>1</v>
      </c>
      <c r="T2159" s="1" t="inlineStr">
        <is>
          <t>active</t>
        </is>
      </c>
      <c r="U2159" s="8" t="n"/>
      <c r="V2159" s="1" t="inlineStr">
        <is>
          <t>SIN PRECIO</t>
        </is>
      </c>
    </row>
    <row r="2160">
      <c r="A2160" s="1" t="inlineStr">
        <is>
          <t>95510921204013</t>
        </is>
      </c>
      <c r="B2160" s="1" t="inlineStr">
        <is>
          <t>PERFUME CD HOMME INTENSE</t>
        </is>
      </c>
      <c r="C2160" s="1" t="inlineStr">
        <is>
          <t>Default Title</t>
        </is>
      </c>
      <c r="D2160" s="1" t="inlineStr">
        <is>
          <t>ZOEY</t>
        </is>
      </c>
      <c r="E2160" s="4">
        <f>COUNTIF('DETALLE CRONOLÓGICO'!$A$2:$A$4919,$A2160)</f>
        <v/>
      </c>
      <c r="F2160" s="4">
        <f>SUMIFS('DETALLE CRONOLÓGICO'!$I$2:$I$4919,'DETALLE CRONOLÓGICO'!$A$2:$A$4919,$A2160)</f>
        <v/>
      </c>
      <c r="G2160" s="1">
        <f>INDEX('DETALLE CRONOLÓGICO'!$D$2:$D$4919,MATCH($A2160,'DETALLE CRONOLÓGICO'!$A$2:$A$4919,0))</f>
        <v/>
      </c>
      <c r="H2160" s="1">
        <f>INDEX('DETALLE CRONOLÓGICO'!$D$2:$D$4919,MATCH($A2160,'DETALLE CRONOLÓGICO'!$A$2:$A$4919,0)+$E2160-1)</f>
        <v/>
      </c>
      <c r="I2160" s="5">
        <f>IFERROR(SUMIFS('DETALLE CRONOLÓGICO'!$L$2:$L$4919,'DETALLE CRONOLÓGICO'!$A$2:$A$4919,$A2160)/$F2160,"")</f>
        <v/>
      </c>
      <c r="J2160" s="6">
        <f>IFERROR(SUMIFS('DETALLE CRONOLÓGICO'!$K$2:$K$4919,'DETALLE CRONOLÓGICO'!$A$2:$A$4919,$A2160)/$E2160,"")</f>
        <v/>
      </c>
      <c r="K2160" s="6">
        <f>_xlfn.MINIFS('DETALLE CRONOLÓGICO'!$K$2:$K$4919,'DETALLE CRONOLÓGICO'!$A$2:$A$4919,$A2160)</f>
        <v/>
      </c>
      <c r="L2160" s="6">
        <f>_xlfn.MAXIFS('DETALLE CRONOLÓGICO'!$K$2:$K$4919,'DETALLE CRONOLÓGICO'!$A$2:$A$4919,$A2160)</f>
        <v/>
      </c>
      <c r="M2160" s="6">
        <f>INDEX('DETALLE CRONOLÓGICO'!$K$2:$K$4919,MATCH($A2160,'DETALLE CRONOLÓGICO'!$A$2:$A$4919,0)+$E2160-1)</f>
        <v/>
      </c>
      <c r="N2160" s="7">
        <f>IFERROR($M2160/INDEX('DETALLE CRONOLÓGICO'!$K$2:$K$4919,MATCH($A2160,'DETALLE CRONOLÓGICO'!$A$2:$A$4919,0))-1,"")</f>
        <v/>
      </c>
      <c r="O2160" s="6">
        <f>IFERROR($I2160*3,"")</f>
        <v/>
      </c>
      <c r="P2160" s="6">
        <f>IFERROR($I2160*3.5,"")</f>
        <v/>
      </c>
      <c r="Q2160" s="6">
        <f>IFERROR($I2160*4,"")</f>
        <v/>
      </c>
      <c r="R2160" s="6" t="n">
        <v>1999</v>
      </c>
      <c r="S2160" s="4" t="n">
        <v>0</v>
      </c>
      <c r="T2160" s="1" t="inlineStr">
        <is>
          <t>active</t>
        </is>
      </c>
      <c r="U2160" s="8" t="n"/>
      <c r="V2160" s="1" t="inlineStr">
        <is>
          <t>SIN PRECIO</t>
        </is>
      </c>
    </row>
    <row r="2161">
      <c r="A2161" s="1" t="inlineStr">
        <is>
          <t>95510921488205</t>
        </is>
      </c>
      <c r="B2161" s="1" t="inlineStr">
        <is>
          <t>PERFUME JEAN PAUL LE MALE</t>
        </is>
      </c>
      <c r="C2161" s="1" t="inlineStr">
        <is>
          <t>Default Title</t>
        </is>
      </c>
      <c r="D2161" s="1" t="inlineStr">
        <is>
          <t>ZOEY</t>
        </is>
      </c>
      <c r="E2161" s="4">
        <f>COUNTIF('DETALLE CRONOLÓGICO'!$A$2:$A$4919,$A2161)</f>
        <v/>
      </c>
      <c r="F2161" s="4">
        <f>SUMIFS('DETALLE CRONOLÓGICO'!$I$2:$I$4919,'DETALLE CRONOLÓGICO'!$A$2:$A$4919,$A2161)</f>
        <v/>
      </c>
      <c r="G2161" s="1">
        <f>INDEX('DETALLE CRONOLÓGICO'!$D$2:$D$4919,MATCH($A2161,'DETALLE CRONOLÓGICO'!$A$2:$A$4919,0))</f>
        <v/>
      </c>
      <c r="H2161" s="1">
        <f>INDEX('DETALLE CRONOLÓGICO'!$D$2:$D$4919,MATCH($A2161,'DETALLE CRONOLÓGICO'!$A$2:$A$4919,0)+$E2161-1)</f>
        <v/>
      </c>
      <c r="I2161" s="5">
        <f>IFERROR(SUMIFS('DETALLE CRONOLÓGICO'!$L$2:$L$4919,'DETALLE CRONOLÓGICO'!$A$2:$A$4919,$A2161)/$F2161,"")</f>
        <v/>
      </c>
      <c r="J2161" s="6">
        <f>IFERROR(SUMIFS('DETALLE CRONOLÓGICO'!$K$2:$K$4919,'DETALLE CRONOLÓGICO'!$A$2:$A$4919,$A2161)/$E2161,"")</f>
        <v/>
      </c>
      <c r="K2161" s="6">
        <f>_xlfn.MINIFS('DETALLE CRONOLÓGICO'!$K$2:$K$4919,'DETALLE CRONOLÓGICO'!$A$2:$A$4919,$A2161)</f>
        <v/>
      </c>
      <c r="L2161" s="6">
        <f>_xlfn.MAXIFS('DETALLE CRONOLÓGICO'!$K$2:$K$4919,'DETALLE CRONOLÓGICO'!$A$2:$A$4919,$A2161)</f>
        <v/>
      </c>
      <c r="M2161" s="6">
        <f>INDEX('DETALLE CRONOLÓGICO'!$K$2:$K$4919,MATCH($A2161,'DETALLE CRONOLÓGICO'!$A$2:$A$4919,0)+$E2161-1)</f>
        <v/>
      </c>
      <c r="N2161" s="7">
        <f>IFERROR($M2161/INDEX('DETALLE CRONOLÓGICO'!$K$2:$K$4919,MATCH($A2161,'DETALLE CRONOLÓGICO'!$A$2:$A$4919,0))-1,"")</f>
        <v/>
      </c>
      <c r="O2161" s="6">
        <f>IFERROR($I2161*3,"")</f>
        <v/>
      </c>
      <c r="P2161" s="6">
        <f>IFERROR($I2161*3.5,"")</f>
        <v/>
      </c>
      <c r="Q2161" s="6">
        <f>IFERROR($I2161*4,"")</f>
        <v/>
      </c>
      <c r="R2161" s="6" t="n">
        <v>1849</v>
      </c>
      <c r="S2161" s="4" t="n">
        <v>2</v>
      </c>
      <c r="T2161" s="1" t="inlineStr">
        <is>
          <t>active</t>
        </is>
      </c>
      <c r="U2161" s="8" t="n"/>
      <c r="V2161" s="1" t="inlineStr">
        <is>
          <t>SIN PRECIO</t>
        </is>
      </c>
    </row>
    <row r="2162">
      <c r="A2162" s="1" t="inlineStr">
        <is>
          <t>95510921532845</t>
        </is>
      </c>
      <c r="B2162" s="1" t="inlineStr">
        <is>
          <t>PERFUME CD HYPNOTIC POISON</t>
        </is>
      </c>
      <c r="C2162" s="1" t="inlineStr">
        <is>
          <t>Default Title</t>
        </is>
      </c>
      <c r="D2162" s="1" t="inlineStr">
        <is>
          <t>ZOEY</t>
        </is>
      </c>
      <c r="E2162" s="4">
        <f>COUNTIF('DETALLE CRONOLÓGICO'!$A$2:$A$4919,$A2162)</f>
        <v/>
      </c>
      <c r="F2162" s="4">
        <f>SUMIFS('DETALLE CRONOLÓGICO'!$I$2:$I$4919,'DETALLE CRONOLÓGICO'!$A$2:$A$4919,$A2162)</f>
        <v/>
      </c>
      <c r="G2162" s="1">
        <f>INDEX('DETALLE CRONOLÓGICO'!$D$2:$D$4919,MATCH($A2162,'DETALLE CRONOLÓGICO'!$A$2:$A$4919,0))</f>
        <v/>
      </c>
      <c r="H2162" s="1">
        <f>INDEX('DETALLE CRONOLÓGICO'!$D$2:$D$4919,MATCH($A2162,'DETALLE CRONOLÓGICO'!$A$2:$A$4919,0)+$E2162-1)</f>
        <v/>
      </c>
      <c r="I2162" s="5">
        <f>IFERROR(SUMIFS('DETALLE CRONOLÓGICO'!$L$2:$L$4919,'DETALLE CRONOLÓGICO'!$A$2:$A$4919,$A2162)/$F2162,"")</f>
        <v/>
      </c>
      <c r="J2162" s="6">
        <f>IFERROR(SUMIFS('DETALLE CRONOLÓGICO'!$K$2:$K$4919,'DETALLE CRONOLÓGICO'!$A$2:$A$4919,$A2162)/$E2162,"")</f>
        <v/>
      </c>
      <c r="K2162" s="6">
        <f>_xlfn.MINIFS('DETALLE CRONOLÓGICO'!$K$2:$K$4919,'DETALLE CRONOLÓGICO'!$A$2:$A$4919,$A2162)</f>
        <v/>
      </c>
      <c r="L2162" s="6">
        <f>_xlfn.MAXIFS('DETALLE CRONOLÓGICO'!$K$2:$K$4919,'DETALLE CRONOLÓGICO'!$A$2:$A$4919,$A2162)</f>
        <v/>
      </c>
      <c r="M2162" s="6">
        <f>INDEX('DETALLE CRONOLÓGICO'!$K$2:$K$4919,MATCH($A2162,'DETALLE CRONOLÓGICO'!$A$2:$A$4919,0)+$E2162-1)</f>
        <v/>
      </c>
      <c r="N2162" s="7">
        <f>IFERROR($M2162/INDEX('DETALLE CRONOLÓGICO'!$K$2:$K$4919,MATCH($A2162,'DETALLE CRONOLÓGICO'!$A$2:$A$4919,0))-1,"")</f>
        <v/>
      </c>
      <c r="O2162" s="6">
        <f>IFERROR($I2162*3,"")</f>
        <v/>
      </c>
      <c r="P2162" s="6">
        <f>IFERROR($I2162*3.5,"")</f>
        <v/>
      </c>
      <c r="Q2162" s="6">
        <f>IFERROR($I2162*4,"")</f>
        <v/>
      </c>
      <c r="R2162" s="6" t="n">
        <v>1849</v>
      </c>
      <c r="S2162" s="4" t="n">
        <v>2</v>
      </c>
      <c r="T2162" s="1" t="inlineStr">
        <is>
          <t>active</t>
        </is>
      </c>
      <c r="U2162" s="8" t="n"/>
      <c r="V2162" s="1" t="inlineStr">
        <is>
          <t>SIN PRECIO</t>
        </is>
      </c>
    </row>
    <row r="2163">
      <c r="A2163" s="1" t="inlineStr">
        <is>
          <t>95510922056045</t>
        </is>
      </c>
      <c r="B2163" s="1" t="inlineStr">
        <is>
          <t>PERFUME YSL MYSLF</t>
        </is>
      </c>
      <c r="C2163" s="1" t="inlineStr">
        <is>
          <t>Default Title</t>
        </is>
      </c>
      <c r="D2163" s="1" t="inlineStr">
        <is>
          <t>ZOEY</t>
        </is>
      </c>
      <c r="E2163" s="4">
        <f>COUNTIF('DETALLE CRONOLÓGICO'!$A$2:$A$4919,$A2163)</f>
        <v/>
      </c>
      <c r="F2163" s="4">
        <f>SUMIFS('DETALLE CRONOLÓGICO'!$I$2:$I$4919,'DETALLE CRONOLÓGICO'!$A$2:$A$4919,$A2163)</f>
        <v/>
      </c>
      <c r="G2163" s="1">
        <f>INDEX('DETALLE CRONOLÓGICO'!$D$2:$D$4919,MATCH($A2163,'DETALLE CRONOLÓGICO'!$A$2:$A$4919,0))</f>
        <v/>
      </c>
      <c r="H2163" s="1">
        <f>INDEX('DETALLE CRONOLÓGICO'!$D$2:$D$4919,MATCH($A2163,'DETALLE CRONOLÓGICO'!$A$2:$A$4919,0)+$E2163-1)</f>
        <v/>
      </c>
      <c r="I2163" s="5">
        <f>IFERROR(SUMIFS('DETALLE CRONOLÓGICO'!$L$2:$L$4919,'DETALLE CRONOLÓGICO'!$A$2:$A$4919,$A2163)/$F2163,"")</f>
        <v/>
      </c>
      <c r="J2163" s="6">
        <f>IFERROR(SUMIFS('DETALLE CRONOLÓGICO'!$K$2:$K$4919,'DETALLE CRONOLÓGICO'!$A$2:$A$4919,$A2163)/$E2163,"")</f>
        <v/>
      </c>
      <c r="K2163" s="6">
        <f>_xlfn.MINIFS('DETALLE CRONOLÓGICO'!$K$2:$K$4919,'DETALLE CRONOLÓGICO'!$A$2:$A$4919,$A2163)</f>
        <v/>
      </c>
      <c r="L2163" s="6">
        <f>_xlfn.MAXIFS('DETALLE CRONOLÓGICO'!$K$2:$K$4919,'DETALLE CRONOLÓGICO'!$A$2:$A$4919,$A2163)</f>
        <v/>
      </c>
      <c r="M2163" s="6">
        <f>INDEX('DETALLE CRONOLÓGICO'!$K$2:$K$4919,MATCH($A2163,'DETALLE CRONOLÓGICO'!$A$2:$A$4919,0)+$E2163-1)</f>
        <v/>
      </c>
      <c r="N2163" s="7">
        <f>IFERROR($M2163/INDEX('DETALLE CRONOLÓGICO'!$K$2:$K$4919,MATCH($A2163,'DETALLE CRONOLÓGICO'!$A$2:$A$4919,0))-1,"")</f>
        <v/>
      </c>
      <c r="O2163" s="6">
        <f>IFERROR($I2163*3,"")</f>
        <v/>
      </c>
      <c r="P2163" s="6">
        <f>IFERROR($I2163*3.5,"")</f>
        <v/>
      </c>
      <c r="Q2163" s="6">
        <f>IFERROR($I2163*4,"")</f>
        <v/>
      </c>
      <c r="R2163" s="6" t="n">
        <v>1849</v>
      </c>
      <c r="S2163" s="4" t="n">
        <v>1</v>
      </c>
      <c r="T2163" s="1" t="inlineStr">
        <is>
          <t>active</t>
        </is>
      </c>
      <c r="U2163" s="8" t="n"/>
      <c r="V2163" s="1" t="inlineStr">
        <is>
          <t>SIN PRECIO</t>
        </is>
      </c>
    </row>
    <row r="2164">
      <c r="A2164" s="1" t="inlineStr">
        <is>
          <t>95662171066189</t>
        </is>
      </c>
      <c r="B2164" s="1" t="inlineStr">
        <is>
          <t>CARTERA C TRIOMPHE CON SOLAPA</t>
        </is>
      </c>
      <c r="C2164" s="1" t="inlineStr">
        <is>
          <t>Default Title</t>
        </is>
      </c>
      <c r="D2164" s="1" t="inlineStr">
        <is>
          <t>ZOEY</t>
        </is>
      </c>
      <c r="E2164" s="4">
        <f>COUNTIF('DETALLE CRONOLÓGICO'!$A$2:$A$4919,$A2164)</f>
        <v/>
      </c>
      <c r="F2164" s="4">
        <f>SUMIFS('DETALLE CRONOLÓGICO'!$I$2:$I$4919,'DETALLE CRONOLÓGICO'!$A$2:$A$4919,$A2164)</f>
        <v/>
      </c>
      <c r="G2164" s="1">
        <f>INDEX('DETALLE CRONOLÓGICO'!$D$2:$D$4919,MATCH($A2164,'DETALLE CRONOLÓGICO'!$A$2:$A$4919,0))</f>
        <v/>
      </c>
      <c r="H2164" s="1">
        <f>INDEX('DETALLE CRONOLÓGICO'!$D$2:$D$4919,MATCH($A2164,'DETALLE CRONOLÓGICO'!$A$2:$A$4919,0)+$E2164-1)</f>
        <v/>
      </c>
      <c r="I2164" s="5">
        <f>IFERROR(SUMIFS('DETALLE CRONOLÓGICO'!$L$2:$L$4919,'DETALLE CRONOLÓGICO'!$A$2:$A$4919,$A2164)/$F2164,"")</f>
        <v/>
      </c>
      <c r="J2164" s="6">
        <f>IFERROR(SUMIFS('DETALLE CRONOLÓGICO'!$K$2:$K$4919,'DETALLE CRONOLÓGICO'!$A$2:$A$4919,$A2164)/$E2164,"")</f>
        <v/>
      </c>
      <c r="K2164" s="6">
        <f>_xlfn.MINIFS('DETALLE CRONOLÓGICO'!$K$2:$K$4919,'DETALLE CRONOLÓGICO'!$A$2:$A$4919,$A2164)</f>
        <v/>
      </c>
      <c r="L2164" s="6">
        <f>_xlfn.MAXIFS('DETALLE CRONOLÓGICO'!$K$2:$K$4919,'DETALLE CRONOLÓGICO'!$A$2:$A$4919,$A2164)</f>
        <v/>
      </c>
      <c r="M2164" s="6">
        <f>INDEX('DETALLE CRONOLÓGICO'!$K$2:$K$4919,MATCH($A2164,'DETALLE CRONOLÓGICO'!$A$2:$A$4919,0)+$E2164-1)</f>
        <v/>
      </c>
      <c r="N2164" s="7">
        <f>IFERROR($M2164/INDEX('DETALLE CRONOLÓGICO'!$K$2:$K$4919,MATCH($A2164,'DETALLE CRONOLÓGICO'!$A$2:$A$4919,0))-1,"")</f>
        <v/>
      </c>
      <c r="O2164" s="6">
        <f>IFERROR($I2164*3,"")</f>
        <v/>
      </c>
      <c r="P2164" s="6">
        <f>IFERROR($I2164*3.5,"")</f>
        <v/>
      </c>
      <c r="Q2164" s="6">
        <f>IFERROR($I2164*4,"")</f>
        <v/>
      </c>
      <c r="R2164" s="6" t="n">
        <v>2339</v>
      </c>
      <c r="S2164" s="4" t="n">
        <v>0</v>
      </c>
      <c r="T2164" s="1" t="inlineStr">
        <is>
          <t>active</t>
        </is>
      </c>
      <c r="U2164" s="8" t="n"/>
      <c r="V2164" s="1" t="inlineStr">
        <is>
          <t>SIN PRECIO</t>
        </is>
      </c>
    </row>
    <row r="2165">
      <c r="A2165" s="1" t="inlineStr">
        <is>
          <t>95854371043949</t>
        </is>
      </c>
      <c r="B2165" s="1" t="inlineStr">
        <is>
          <t>PULSERA GC BLONDIE GOLD</t>
        </is>
      </c>
      <c r="C2165" s="1" t="inlineStr">
        <is>
          <t>Default Title</t>
        </is>
      </c>
      <c r="D2165" s="1" t="inlineStr">
        <is>
          <t>HAIFENG</t>
        </is>
      </c>
      <c r="E2165" s="4">
        <f>COUNTIF('DETALLE CRONOLÓGICO'!$A$2:$A$4919,$A2165)</f>
        <v/>
      </c>
      <c r="F2165" s="4">
        <f>SUMIFS('DETALLE CRONOLÓGICO'!$I$2:$I$4919,'DETALLE CRONOLÓGICO'!$A$2:$A$4919,$A2165)</f>
        <v/>
      </c>
      <c r="G2165" s="1">
        <f>INDEX('DETALLE CRONOLÓGICO'!$D$2:$D$4919,MATCH($A2165,'DETALLE CRONOLÓGICO'!$A$2:$A$4919,0))</f>
        <v/>
      </c>
      <c r="H2165" s="1">
        <f>INDEX('DETALLE CRONOLÓGICO'!$D$2:$D$4919,MATCH($A2165,'DETALLE CRONOLÓGICO'!$A$2:$A$4919,0)+$E2165-1)</f>
        <v/>
      </c>
      <c r="I2165" s="5">
        <f>IFERROR(SUMIFS('DETALLE CRONOLÓGICO'!$L$2:$L$4919,'DETALLE CRONOLÓGICO'!$A$2:$A$4919,$A2165)/$F2165,"")</f>
        <v/>
      </c>
      <c r="J2165" s="6">
        <f>IFERROR(SUMIFS('DETALLE CRONOLÓGICO'!$K$2:$K$4919,'DETALLE CRONOLÓGICO'!$A$2:$A$4919,$A2165)/$E2165,"")</f>
        <v/>
      </c>
      <c r="K2165" s="6">
        <f>_xlfn.MINIFS('DETALLE CRONOLÓGICO'!$K$2:$K$4919,'DETALLE CRONOLÓGICO'!$A$2:$A$4919,$A2165)</f>
        <v/>
      </c>
      <c r="L2165" s="6">
        <f>_xlfn.MAXIFS('DETALLE CRONOLÓGICO'!$K$2:$K$4919,'DETALLE CRONOLÓGICO'!$A$2:$A$4919,$A2165)</f>
        <v/>
      </c>
      <c r="M2165" s="6">
        <f>INDEX('DETALLE CRONOLÓGICO'!$K$2:$K$4919,MATCH($A2165,'DETALLE CRONOLÓGICO'!$A$2:$A$4919,0)+$E2165-1)</f>
        <v/>
      </c>
      <c r="N2165" s="7">
        <f>IFERROR($M2165/INDEX('DETALLE CRONOLÓGICO'!$K$2:$K$4919,MATCH($A2165,'DETALLE CRONOLÓGICO'!$A$2:$A$4919,0))-1,"")</f>
        <v/>
      </c>
      <c r="O2165" s="6">
        <f>IFERROR($I2165*3,"")</f>
        <v/>
      </c>
      <c r="P2165" s="6">
        <f>IFERROR($I2165*3.5,"")</f>
        <v/>
      </c>
      <c r="Q2165" s="6">
        <f>IFERROR($I2165*4,"")</f>
        <v/>
      </c>
      <c r="R2165" s="6" t="n">
        <v>499</v>
      </c>
      <c r="S2165" s="4" t="n">
        <v>2</v>
      </c>
      <c r="T2165" s="1" t="inlineStr">
        <is>
          <t>draft</t>
        </is>
      </c>
      <c r="U2165" s="8" t="n"/>
      <c r="V2165" s="1" t="inlineStr">
        <is>
          <t>SIN PRECIO</t>
        </is>
      </c>
    </row>
    <row r="2166">
      <c r="A2166" s="1" t="inlineStr">
        <is>
          <t>95854381181805</t>
        </is>
      </c>
      <c r="B2166" s="1" t="inlineStr">
        <is>
          <t>ANILLO VF PERLEE CLOVERS</t>
        </is>
      </c>
      <c r="C2166" s="1" t="inlineStr">
        <is>
          <t>7</t>
        </is>
      </c>
      <c r="D2166" s="1" t="inlineStr">
        <is>
          <t>HAIFENG</t>
        </is>
      </c>
      <c r="E2166" s="4">
        <f>COUNTIF('DETALLE CRONOLÓGICO'!$A$2:$A$4919,$A2166)</f>
        <v/>
      </c>
      <c r="F2166" s="4">
        <f>SUMIFS('DETALLE CRONOLÓGICO'!$I$2:$I$4919,'DETALLE CRONOLÓGICO'!$A$2:$A$4919,$A2166)</f>
        <v/>
      </c>
      <c r="G2166" s="1">
        <f>INDEX('DETALLE CRONOLÓGICO'!$D$2:$D$4919,MATCH($A2166,'DETALLE CRONOLÓGICO'!$A$2:$A$4919,0))</f>
        <v/>
      </c>
      <c r="H2166" s="1">
        <f>INDEX('DETALLE CRONOLÓGICO'!$D$2:$D$4919,MATCH($A2166,'DETALLE CRONOLÓGICO'!$A$2:$A$4919,0)+$E2166-1)</f>
        <v/>
      </c>
      <c r="I2166" s="5">
        <f>IFERROR(SUMIFS('DETALLE CRONOLÓGICO'!$L$2:$L$4919,'DETALLE CRONOLÓGICO'!$A$2:$A$4919,$A2166)/$F2166,"")</f>
        <v/>
      </c>
      <c r="J2166" s="6">
        <f>IFERROR(SUMIFS('DETALLE CRONOLÓGICO'!$K$2:$K$4919,'DETALLE CRONOLÓGICO'!$A$2:$A$4919,$A2166)/$E2166,"")</f>
        <v/>
      </c>
      <c r="K2166" s="6">
        <f>_xlfn.MINIFS('DETALLE CRONOLÓGICO'!$K$2:$K$4919,'DETALLE CRONOLÓGICO'!$A$2:$A$4919,$A2166)</f>
        <v/>
      </c>
      <c r="L2166" s="6">
        <f>_xlfn.MAXIFS('DETALLE CRONOLÓGICO'!$K$2:$K$4919,'DETALLE CRONOLÓGICO'!$A$2:$A$4919,$A2166)</f>
        <v/>
      </c>
      <c r="M2166" s="6">
        <f>INDEX('DETALLE CRONOLÓGICO'!$K$2:$K$4919,MATCH($A2166,'DETALLE CRONOLÓGICO'!$A$2:$A$4919,0)+$E2166-1)</f>
        <v/>
      </c>
      <c r="N2166" s="7">
        <f>IFERROR($M2166/INDEX('DETALLE CRONOLÓGICO'!$K$2:$K$4919,MATCH($A2166,'DETALLE CRONOLÓGICO'!$A$2:$A$4919,0))-1,"")</f>
        <v/>
      </c>
      <c r="O2166" s="6">
        <f>IFERROR($I2166*3,"")</f>
        <v/>
      </c>
      <c r="P2166" s="6">
        <f>IFERROR($I2166*3.5,"")</f>
        <v/>
      </c>
      <c r="Q2166" s="6">
        <f>IFERROR($I2166*4,"")</f>
        <v/>
      </c>
      <c r="R2166" s="6" t="n">
        <v>599</v>
      </c>
      <c r="S2166" s="4" t="n">
        <v>1</v>
      </c>
      <c r="T2166" s="1" t="inlineStr">
        <is>
          <t>draft</t>
        </is>
      </c>
      <c r="U2166" s="8" t="n"/>
      <c r="V2166" s="1" t="inlineStr">
        <is>
          <t>SIN PRECIO</t>
        </is>
      </c>
    </row>
    <row r="2167">
      <c r="A2167" s="1" t="inlineStr">
        <is>
          <t>95854381283501</t>
        </is>
      </c>
      <c r="B2167" s="1" t="inlineStr">
        <is>
          <t>ANILLO VF 1FLOR</t>
        </is>
      </c>
      <c r="C2167" s="1" t="inlineStr">
        <is>
          <t>7</t>
        </is>
      </c>
      <c r="D2167" s="1" t="inlineStr">
        <is>
          <t>HAIFENG</t>
        </is>
      </c>
      <c r="E2167" s="4">
        <f>COUNTIF('DETALLE CRONOLÓGICO'!$A$2:$A$4919,$A2167)</f>
        <v/>
      </c>
      <c r="F2167" s="4">
        <f>SUMIFS('DETALLE CRONOLÓGICO'!$I$2:$I$4919,'DETALLE CRONOLÓGICO'!$A$2:$A$4919,$A2167)</f>
        <v/>
      </c>
      <c r="G2167" s="1">
        <f>INDEX('DETALLE CRONOLÓGICO'!$D$2:$D$4919,MATCH($A2167,'DETALLE CRONOLÓGICO'!$A$2:$A$4919,0))</f>
        <v/>
      </c>
      <c r="H2167" s="1">
        <f>INDEX('DETALLE CRONOLÓGICO'!$D$2:$D$4919,MATCH($A2167,'DETALLE CRONOLÓGICO'!$A$2:$A$4919,0)+$E2167-1)</f>
        <v/>
      </c>
      <c r="I2167" s="5">
        <f>IFERROR(SUMIFS('DETALLE CRONOLÓGICO'!$L$2:$L$4919,'DETALLE CRONOLÓGICO'!$A$2:$A$4919,$A2167)/$F2167,"")</f>
        <v/>
      </c>
      <c r="J2167" s="6">
        <f>IFERROR(SUMIFS('DETALLE CRONOLÓGICO'!$K$2:$K$4919,'DETALLE CRONOLÓGICO'!$A$2:$A$4919,$A2167)/$E2167,"")</f>
        <v/>
      </c>
      <c r="K2167" s="6">
        <f>_xlfn.MINIFS('DETALLE CRONOLÓGICO'!$K$2:$K$4919,'DETALLE CRONOLÓGICO'!$A$2:$A$4919,$A2167)</f>
        <v/>
      </c>
      <c r="L2167" s="6">
        <f>_xlfn.MAXIFS('DETALLE CRONOLÓGICO'!$K$2:$K$4919,'DETALLE CRONOLÓGICO'!$A$2:$A$4919,$A2167)</f>
        <v/>
      </c>
      <c r="M2167" s="6">
        <f>INDEX('DETALLE CRONOLÓGICO'!$K$2:$K$4919,MATCH($A2167,'DETALLE CRONOLÓGICO'!$A$2:$A$4919,0)+$E2167-1)</f>
        <v/>
      </c>
      <c r="N2167" s="7">
        <f>IFERROR($M2167/INDEX('DETALLE CRONOLÓGICO'!$K$2:$K$4919,MATCH($A2167,'DETALLE CRONOLÓGICO'!$A$2:$A$4919,0))-1,"")</f>
        <v/>
      </c>
      <c r="O2167" s="6">
        <f>IFERROR($I2167*3,"")</f>
        <v/>
      </c>
      <c r="P2167" s="6">
        <f>IFERROR($I2167*3.5,"")</f>
        <v/>
      </c>
      <c r="Q2167" s="6">
        <f>IFERROR($I2167*4,"")</f>
        <v/>
      </c>
      <c r="R2167" s="6" t="n">
        <v>599</v>
      </c>
      <c r="S2167" s="4" t="n">
        <v>2</v>
      </c>
      <c r="T2167" s="1" t="inlineStr">
        <is>
          <t>active</t>
        </is>
      </c>
      <c r="U2167" s="8" t="n"/>
      <c r="V2167" s="1" t="inlineStr">
        <is>
          <t>SIN PRECIO</t>
        </is>
      </c>
    </row>
    <row r="2168">
      <c r="A2168" s="1" t="inlineStr">
        <is>
          <t>95854381352429</t>
        </is>
      </c>
      <c r="B2168" s="1" t="inlineStr">
        <is>
          <t>ANILLO VF VINTAGE ALHAMBRA</t>
        </is>
      </c>
      <c r="C2168" s="1" t="inlineStr">
        <is>
          <t>7</t>
        </is>
      </c>
      <c r="D2168" s="1" t="inlineStr">
        <is>
          <t>HAIFENG</t>
        </is>
      </c>
      <c r="E2168" s="4">
        <f>COUNTIF('DETALLE CRONOLÓGICO'!$A$2:$A$4919,$A2168)</f>
        <v/>
      </c>
      <c r="F2168" s="4">
        <f>SUMIFS('DETALLE CRONOLÓGICO'!$I$2:$I$4919,'DETALLE CRONOLÓGICO'!$A$2:$A$4919,$A2168)</f>
        <v/>
      </c>
      <c r="G2168" s="1">
        <f>INDEX('DETALLE CRONOLÓGICO'!$D$2:$D$4919,MATCH($A2168,'DETALLE CRONOLÓGICO'!$A$2:$A$4919,0))</f>
        <v/>
      </c>
      <c r="H2168" s="1">
        <f>INDEX('DETALLE CRONOLÓGICO'!$D$2:$D$4919,MATCH($A2168,'DETALLE CRONOLÓGICO'!$A$2:$A$4919,0)+$E2168-1)</f>
        <v/>
      </c>
      <c r="I2168" s="5">
        <f>IFERROR(SUMIFS('DETALLE CRONOLÓGICO'!$L$2:$L$4919,'DETALLE CRONOLÓGICO'!$A$2:$A$4919,$A2168)/$F2168,"")</f>
        <v/>
      </c>
      <c r="J2168" s="6">
        <f>IFERROR(SUMIFS('DETALLE CRONOLÓGICO'!$K$2:$K$4919,'DETALLE CRONOLÓGICO'!$A$2:$A$4919,$A2168)/$E2168,"")</f>
        <v/>
      </c>
      <c r="K2168" s="6">
        <f>_xlfn.MINIFS('DETALLE CRONOLÓGICO'!$K$2:$K$4919,'DETALLE CRONOLÓGICO'!$A$2:$A$4919,$A2168)</f>
        <v/>
      </c>
      <c r="L2168" s="6">
        <f>_xlfn.MAXIFS('DETALLE CRONOLÓGICO'!$K$2:$K$4919,'DETALLE CRONOLÓGICO'!$A$2:$A$4919,$A2168)</f>
        <v/>
      </c>
      <c r="M2168" s="6">
        <f>INDEX('DETALLE CRONOLÓGICO'!$K$2:$K$4919,MATCH($A2168,'DETALLE CRONOLÓGICO'!$A$2:$A$4919,0)+$E2168-1)</f>
        <v/>
      </c>
      <c r="N2168" s="7">
        <f>IFERROR($M2168/INDEX('DETALLE CRONOLÓGICO'!$K$2:$K$4919,MATCH($A2168,'DETALLE CRONOLÓGICO'!$A$2:$A$4919,0))-1,"")</f>
        <v/>
      </c>
      <c r="O2168" s="6">
        <f>IFERROR($I2168*3,"")</f>
        <v/>
      </c>
      <c r="P2168" s="6">
        <f>IFERROR($I2168*3.5,"")</f>
        <v/>
      </c>
      <c r="Q2168" s="6">
        <f>IFERROR($I2168*4,"")</f>
        <v/>
      </c>
      <c r="R2168" s="6" t="n">
        <v>499</v>
      </c>
      <c r="S2168" s="4" t="n">
        <v>2</v>
      </c>
      <c r="T2168" s="1" t="inlineStr">
        <is>
          <t>draft</t>
        </is>
      </c>
      <c r="U2168" s="8" t="n"/>
      <c r="V2168" s="1" t="inlineStr">
        <is>
          <t>SIN PRECIO</t>
        </is>
      </c>
    </row>
    <row r="2169">
      <c r="A2169" s="1" t="inlineStr">
        <is>
          <t>95854381428141</t>
        </is>
      </c>
      <c r="B2169" s="1" t="inlineStr">
        <is>
          <t>PULSERA VF FRIVOLE</t>
        </is>
      </c>
      <c r="C2169" s="1" t="inlineStr">
        <is>
          <t>Default Title</t>
        </is>
      </c>
      <c r="D2169" s="1" t="inlineStr">
        <is>
          <t>HAIFENG</t>
        </is>
      </c>
      <c r="E2169" s="4">
        <f>COUNTIF('DETALLE CRONOLÓGICO'!$A$2:$A$4919,$A2169)</f>
        <v/>
      </c>
      <c r="F2169" s="4">
        <f>SUMIFS('DETALLE CRONOLÓGICO'!$I$2:$I$4919,'DETALLE CRONOLÓGICO'!$A$2:$A$4919,$A2169)</f>
        <v/>
      </c>
      <c r="G2169" s="1">
        <f>INDEX('DETALLE CRONOLÓGICO'!$D$2:$D$4919,MATCH($A2169,'DETALLE CRONOLÓGICO'!$A$2:$A$4919,0))</f>
        <v/>
      </c>
      <c r="H2169" s="1">
        <f>INDEX('DETALLE CRONOLÓGICO'!$D$2:$D$4919,MATCH($A2169,'DETALLE CRONOLÓGICO'!$A$2:$A$4919,0)+$E2169-1)</f>
        <v/>
      </c>
      <c r="I2169" s="5">
        <f>IFERROR(SUMIFS('DETALLE CRONOLÓGICO'!$L$2:$L$4919,'DETALLE CRONOLÓGICO'!$A$2:$A$4919,$A2169)/$F2169,"")</f>
        <v/>
      </c>
      <c r="J2169" s="6">
        <f>IFERROR(SUMIFS('DETALLE CRONOLÓGICO'!$K$2:$K$4919,'DETALLE CRONOLÓGICO'!$A$2:$A$4919,$A2169)/$E2169,"")</f>
        <v/>
      </c>
      <c r="K2169" s="6">
        <f>_xlfn.MINIFS('DETALLE CRONOLÓGICO'!$K$2:$K$4919,'DETALLE CRONOLÓGICO'!$A$2:$A$4919,$A2169)</f>
        <v/>
      </c>
      <c r="L2169" s="6">
        <f>_xlfn.MAXIFS('DETALLE CRONOLÓGICO'!$K$2:$K$4919,'DETALLE CRONOLÓGICO'!$A$2:$A$4919,$A2169)</f>
        <v/>
      </c>
      <c r="M2169" s="6">
        <f>INDEX('DETALLE CRONOLÓGICO'!$K$2:$K$4919,MATCH($A2169,'DETALLE CRONOLÓGICO'!$A$2:$A$4919,0)+$E2169-1)</f>
        <v/>
      </c>
      <c r="N2169" s="7">
        <f>IFERROR($M2169/INDEX('DETALLE CRONOLÓGICO'!$K$2:$K$4919,MATCH($A2169,'DETALLE CRONOLÓGICO'!$A$2:$A$4919,0))-1,"")</f>
        <v/>
      </c>
      <c r="O2169" s="6">
        <f>IFERROR($I2169*3,"")</f>
        <v/>
      </c>
      <c r="P2169" s="6">
        <f>IFERROR($I2169*3.5,"")</f>
        <v/>
      </c>
      <c r="Q2169" s="6">
        <f>IFERROR($I2169*4,"")</f>
        <v/>
      </c>
      <c r="R2169" s="6" t="n">
        <v>499</v>
      </c>
      <c r="S2169" s="4" t="n">
        <v>3</v>
      </c>
      <c r="T2169" s="1" t="inlineStr">
        <is>
          <t>draft</t>
        </is>
      </c>
      <c r="U2169" s="8" t="n"/>
      <c r="V2169" s="1" t="inlineStr">
        <is>
          <t>SIN PRECIO</t>
        </is>
      </c>
    </row>
    <row r="2170">
      <c r="A2170" s="1" t="inlineStr">
        <is>
          <t>95854381581261</t>
        </is>
      </c>
      <c r="B2170" s="1" t="inlineStr">
        <is>
          <t>PULSERA VF VINTAGE ALHAMBRA</t>
        </is>
      </c>
      <c r="C2170" s="1" t="inlineStr">
        <is>
          <t>Default Title</t>
        </is>
      </c>
      <c r="D2170" s="1" t="inlineStr">
        <is>
          <t>HAIFENG</t>
        </is>
      </c>
      <c r="E2170" s="4">
        <f>COUNTIF('DETALLE CRONOLÓGICO'!$A$2:$A$4919,$A2170)</f>
        <v/>
      </c>
      <c r="F2170" s="4">
        <f>SUMIFS('DETALLE CRONOLÓGICO'!$I$2:$I$4919,'DETALLE CRONOLÓGICO'!$A$2:$A$4919,$A2170)</f>
        <v/>
      </c>
      <c r="G2170" s="1">
        <f>INDEX('DETALLE CRONOLÓGICO'!$D$2:$D$4919,MATCH($A2170,'DETALLE CRONOLÓGICO'!$A$2:$A$4919,0))</f>
        <v/>
      </c>
      <c r="H2170" s="1">
        <f>INDEX('DETALLE CRONOLÓGICO'!$D$2:$D$4919,MATCH($A2170,'DETALLE CRONOLÓGICO'!$A$2:$A$4919,0)+$E2170-1)</f>
        <v/>
      </c>
      <c r="I2170" s="5">
        <f>IFERROR(SUMIFS('DETALLE CRONOLÓGICO'!$L$2:$L$4919,'DETALLE CRONOLÓGICO'!$A$2:$A$4919,$A2170)/$F2170,"")</f>
        <v/>
      </c>
      <c r="J2170" s="6">
        <f>IFERROR(SUMIFS('DETALLE CRONOLÓGICO'!$K$2:$K$4919,'DETALLE CRONOLÓGICO'!$A$2:$A$4919,$A2170)/$E2170,"")</f>
        <v/>
      </c>
      <c r="K2170" s="6">
        <f>_xlfn.MINIFS('DETALLE CRONOLÓGICO'!$K$2:$K$4919,'DETALLE CRONOLÓGICO'!$A$2:$A$4919,$A2170)</f>
        <v/>
      </c>
      <c r="L2170" s="6">
        <f>_xlfn.MAXIFS('DETALLE CRONOLÓGICO'!$K$2:$K$4919,'DETALLE CRONOLÓGICO'!$A$2:$A$4919,$A2170)</f>
        <v/>
      </c>
      <c r="M2170" s="6">
        <f>INDEX('DETALLE CRONOLÓGICO'!$K$2:$K$4919,MATCH($A2170,'DETALLE CRONOLÓGICO'!$A$2:$A$4919,0)+$E2170-1)</f>
        <v/>
      </c>
      <c r="N2170" s="7">
        <f>IFERROR($M2170/INDEX('DETALLE CRONOLÓGICO'!$K$2:$K$4919,MATCH($A2170,'DETALLE CRONOLÓGICO'!$A$2:$A$4919,0))-1,"")</f>
        <v/>
      </c>
      <c r="O2170" s="6">
        <f>IFERROR($I2170*3,"")</f>
        <v/>
      </c>
      <c r="P2170" s="6">
        <f>IFERROR($I2170*3.5,"")</f>
        <v/>
      </c>
      <c r="Q2170" s="6">
        <f>IFERROR($I2170*4,"")</f>
        <v/>
      </c>
      <c r="R2170" s="6" t="n">
        <v>599</v>
      </c>
      <c r="S2170" s="4" t="n">
        <v>0</v>
      </c>
      <c r="T2170" s="1" t="inlineStr">
        <is>
          <t>active</t>
        </is>
      </c>
      <c r="U2170" s="8" t="n"/>
      <c r="V2170" s="1" t="inlineStr">
        <is>
          <t>SIN PRECIO</t>
        </is>
      </c>
    </row>
    <row r="2171">
      <c r="A2171" s="1" t="inlineStr">
        <is>
          <t>95854381684653</t>
        </is>
      </c>
      <c r="B2171" s="1" t="inlineStr">
        <is>
          <t>PULSERA VF LUCKY SPRING SINGLE ROSE GOLD</t>
        </is>
      </c>
      <c r="C2171" s="1" t="inlineStr">
        <is>
          <t>Default Title</t>
        </is>
      </c>
      <c r="D2171" s="1" t="inlineStr">
        <is>
          <t>HAIFENG</t>
        </is>
      </c>
      <c r="E2171" s="4">
        <f>COUNTIF('DETALLE CRONOLÓGICO'!$A$2:$A$4919,$A2171)</f>
        <v/>
      </c>
      <c r="F2171" s="4">
        <f>SUMIFS('DETALLE CRONOLÓGICO'!$I$2:$I$4919,'DETALLE CRONOLÓGICO'!$A$2:$A$4919,$A2171)</f>
        <v/>
      </c>
      <c r="G2171" s="1">
        <f>INDEX('DETALLE CRONOLÓGICO'!$D$2:$D$4919,MATCH($A2171,'DETALLE CRONOLÓGICO'!$A$2:$A$4919,0))</f>
        <v/>
      </c>
      <c r="H2171" s="1">
        <f>INDEX('DETALLE CRONOLÓGICO'!$D$2:$D$4919,MATCH($A2171,'DETALLE CRONOLÓGICO'!$A$2:$A$4919,0)+$E2171-1)</f>
        <v/>
      </c>
      <c r="I2171" s="5">
        <f>IFERROR(SUMIFS('DETALLE CRONOLÓGICO'!$L$2:$L$4919,'DETALLE CRONOLÓGICO'!$A$2:$A$4919,$A2171)/$F2171,"")</f>
        <v/>
      </c>
      <c r="J2171" s="6">
        <f>IFERROR(SUMIFS('DETALLE CRONOLÓGICO'!$K$2:$K$4919,'DETALLE CRONOLÓGICO'!$A$2:$A$4919,$A2171)/$E2171,"")</f>
        <v/>
      </c>
      <c r="K2171" s="6">
        <f>_xlfn.MINIFS('DETALLE CRONOLÓGICO'!$K$2:$K$4919,'DETALLE CRONOLÓGICO'!$A$2:$A$4919,$A2171)</f>
        <v/>
      </c>
      <c r="L2171" s="6">
        <f>_xlfn.MAXIFS('DETALLE CRONOLÓGICO'!$K$2:$K$4919,'DETALLE CRONOLÓGICO'!$A$2:$A$4919,$A2171)</f>
        <v/>
      </c>
      <c r="M2171" s="6">
        <f>INDEX('DETALLE CRONOLÓGICO'!$K$2:$K$4919,MATCH($A2171,'DETALLE CRONOLÓGICO'!$A$2:$A$4919,0)+$E2171-1)</f>
        <v/>
      </c>
      <c r="N2171" s="7">
        <f>IFERROR($M2171/INDEX('DETALLE CRONOLÓGICO'!$K$2:$K$4919,MATCH($A2171,'DETALLE CRONOLÓGICO'!$A$2:$A$4919,0))-1,"")</f>
        <v/>
      </c>
      <c r="O2171" s="6">
        <f>IFERROR($I2171*3,"")</f>
        <v/>
      </c>
      <c r="P2171" s="6">
        <f>IFERROR($I2171*3.5,"")</f>
        <v/>
      </c>
      <c r="Q2171" s="6">
        <f>IFERROR($I2171*4,"")</f>
        <v/>
      </c>
      <c r="R2171" s="6" t="n">
        <v>400</v>
      </c>
      <c r="S2171" s="4" t="n">
        <v>2</v>
      </c>
      <c r="T2171" s="1" t="inlineStr">
        <is>
          <t>active</t>
        </is>
      </c>
      <c r="U2171" s="8" t="n"/>
      <c r="V2171" s="1" t="inlineStr">
        <is>
          <t>SIN PRECIO</t>
        </is>
      </c>
    </row>
    <row r="2172">
      <c r="A2172" s="1" t="inlineStr">
        <is>
          <t>95854381747949</t>
        </is>
      </c>
      <c r="B2172" s="1" t="inlineStr">
        <is>
          <t>COLLAR VF PERLEE GOLD</t>
        </is>
      </c>
      <c r="C2172" s="1" t="inlineStr">
        <is>
          <t>Default Title</t>
        </is>
      </c>
      <c r="D2172" s="1" t="inlineStr">
        <is>
          <t>HAIFENG</t>
        </is>
      </c>
      <c r="E2172" s="4">
        <f>COUNTIF('DETALLE CRONOLÓGICO'!$A$2:$A$4919,$A2172)</f>
        <v/>
      </c>
      <c r="F2172" s="4">
        <f>SUMIFS('DETALLE CRONOLÓGICO'!$I$2:$I$4919,'DETALLE CRONOLÓGICO'!$A$2:$A$4919,$A2172)</f>
        <v/>
      </c>
      <c r="G2172" s="1">
        <f>INDEX('DETALLE CRONOLÓGICO'!$D$2:$D$4919,MATCH($A2172,'DETALLE CRONOLÓGICO'!$A$2:$A$4919,0))</f>
        <v/>
      </c>
      <c r="H2172" s="1">
        <f>INDEX('DETALLE CRONOLÓGICO'!$D$2:$D$4919,MATCH($A2172,'DETALLE CRONOLÓGICO'!$A$2:$A$4919,0)+$E2172-1)</f>
        <v/>
      </c>
      <c r="I2172" s="5">
        <f>IFERROR(SUMIFS('DETALLE CRONOLÓGICO'!$L$2:$L$4919,'DETALLE CRONOLÓGICO'!$A$2:$A$4919,$A2172)/$F2172,"")</f>
        <v/>
      </c>
      <c r="J2172" s="6">
        <f>IFERROR(SUMIFS('DETALLE CRONOLÓGICO'!$K$2:$K$4919,'DETALLE CRONOLÓGICO'!$A$2:$A$4919,$A2172)/$E2172,"")</f>
        <v/>
      </c>
      <c r="K2172" s="6">
        <f>_xlfn.MINIFS('DETALLE CRONOLÓGICO'!$K$2:$K$4919,'DETALLE CRONOLÓGICO'!$A$2:$A$4919,$A2172)</f>
        <v/>
      </c>
      <c r="L2172" s="6">
        <f>_xlfn.MAXIFS('DETALLE CRONOLÓGICO'!$K$2:$K$4919,'DETALLE CRONOLÓGICO'!$A$2:$A$4919,$A2172)</f>
        <v/>
      </c>
      <c r="M2172" s="6">
        <f>INDEX('DETALLE CRONOLÓGICO'!$K$2:$K$4919,MATCH($A2172,'DETALLE CRONOLÓGICO'!$A$2:$A$4919,0)+$E2172-1)</f>
        <v/>
      </c>
      <c r="N2172" s="7">
        <f>IFERROR($M2172/INDEX('DETALLE CRONOLÓGICO'!$K$2:$K$4919,MATCH($A2172,'DETALLE CRONOLÓGICO'!$A$2:$A$4919,0))-1,"")</f>
        <v/>
      </c>
      <c r="O2172" s="6">
        <f>IFERROR($I2172*3,"")</f>
        <v/>
      </c>
      <c r="P2172" s="6">
        <f>IFERROR($I2172*3.5,"")</f>
        <v/>
      </c>
      <c r="Q2172" s="6">
        <f>IFERROR($I2172*4,"")</f>
        <v/>
      </c>
      <c r="R2172" s="6" t="n">
        <v>550</v>
      </c>
      <c r="S2172" s="4" t="n">
        <v>2</v>
      </c>
      <c r="T2172" s="1" t="inlineStr">
        <is>
          <t>draft</t>
        </is>
      </c>
      <c r="U2172" s="8" t="n"/>
      <c r="V2172" s="1" t="inlineStr">
        <is>
          <t>SIN PRECIO</t>
        </is>
      </c>
    </row>
    <row r="2173">
      <c r="A2173" s="1" t="inlineStr">
        <is>
          <t>95854381915181</t>
        </is>
      </c>
      <c r="B2173" s="1" t="inlineStr">
        <is>
          <t>COLLAR VF SWEET HEARTS ROSE GOLD</t>
        </is>
      </c>
      <c r="C2173" s="1" t="inlineStr">
        <is>
          <t>Default Title</t>
        </is>
      </c>
      <c r="D2173" s="1" t="inlineStr">
        <is>
          <t>HAIFENG</t>
        </is>
      </c>
      <c r="E2173" s="4">
        <f>COUNTIF('DETALLE CRONOLÓGICO'!$A$2:$A$4919,$A2173)</f>
        <v/>
      </c>
      <c r="F2173" s="4">
        <f>SUMIFS('DETALLE CRONOLÓGICO'!$I$2:$I$4919,'DETALLE CRONOLÓGICO'!$A$2:$A$4919,$A2173)</f>
        <v/>
      </c>
      <c r="G2173" s="1">
        <f>INDEX('DETALLE CRONOLÓGICO'!$D$2:$D$4919,MATCH($A2173,'DETALLE CRONOLÓGICO'!$A$2:$A$4919,0))</f>
        <v/>
      </c>
      <c r="H2173" s="1">
        <f>INDEX('DETALLE CRONOLÓGICO'!$D$2:$D$4919,MATCH($A2173,'DETALLE CRONOLÓGICO'!$A$2:$A$4919,0)+$E2173-1)</f>
        <v/>
      </c>
      <c r="I2173" s="5">
        <f>IFERROR(SUMIFS('DETALLE CRONOLÓGICO'!$L$2:$L$4919,'DETALLE CRONOLÓGICO'!$A$2:$A$4919,$A2173)/$F2173,"")</f>
        <v/>
      </c>
      <c r="J2173" s="6">
        <f>IFERROR(SUMIFS('DETALLE CRONOLÓGICO'!$K$2:$K$4919,'DETALLE CRONOLÓGICO'!$A$2:$A$4919,$A2173)/$E2173,"")</f>
        <v/>
      </c>
      <c r="K2173" s="6">
        <f>_xlfn.MINIFS('DETALLE CRONOLÓGICO'!$K$2:$K$4919,'DETALLE CRONOLÓGICO'!$A$2:$A$4919,$A2173)</f>
        <v/>
      </c>
      <c r="L2173" s="6">
        <f>_xlfn.MAXIFS('DETALLE CRONOLÓGICO'!$K$2:$K$4919,'DETALLE CRONOLÓGICO'!$A$2:$A$4919,$A2173)</f>
        <v/>
      </c>
      <c r="M2173" s="6">
        <f>INDEX('DETALLE CRONOLÓGICO'!$K$2:$K$4919,MATCH($A2173,'DETALLE CRONOLÓGICO'!$A$2:$A$4919,0)+$E2173-1)</f>
        <v/>
      </c>
      <c r="N2173" s="7">
        <f>IFERROR($M2173/INDEX('DETALLE CRONOLÓGICO'!$K$2:$K$4919,MATCH($A2173,'DETALLE CRONOLÓGICO'!$A$2:$A$4919,0))-1,"")</f>
        <v/>
      </c>
      <c r="O2173" s="6">
        <f>IFERROR($I2173*3,"")</f>
        <v/>
      </c>
      <c r="P2173" s="6">
        <f>IFERROR($I2173*3.5,"")</f>
        <v/>
      </c>
      <c r="Q2173" s="6">
        <f>IFERROR($I2173*4,"")</f>
        <v/>
      </c>
      <c r="R2173" s="6" t="n">
        <v>400</v>
      </c>
      <c r="S2173" s="4" t="n">
        <v>2</v>
      </c>
      <c r="T2173" s="1" t="inlineStr">
        <is>
          <t>draft</t>
        </is>
      </c>
      <c r="U2173" s="8" t="n"/>
      <c r="V2173" s="1" t="inlineStr">
        <is>
          <t>SIN PRECIO</t>
        </is>
      </c>
    </row>
    <row r="2174">
      <c r="A2174" s="1" t="inlineStr">
        <is>
          <t>95854382018573</t>
        </is>
      </c>
      <c r="B2174" s="1" t="inlineStr">
        <is>
          <t>COLLAR VF BUTTERFLIES</t>
        </is>
      </c>
      <c r="C2174" s="1" t="inlineStr">
        <is>
          <t>Default Title</t>
        </is>
      </c>
      <c r="D2174" s="1" t="inlineStr">
        <is>
          <t>HAIFENG</t>
        </is>
      </c>
      <c r="E2174" s="4">
        <f>COUNTIF('DETALLE CRONOLÓGICO'!$A$2:$A$4919,$A2174)</f>
        <v/>
      </c>
      <c r="F2174" s="4">
        <f>SUMIFS('DETALLE CRONOLÓGICO'!$I$2:$I$4919,'DETALLE CRONOLÓGICO'!$A$2:$A$4919,$A2174)</f>
        <v/>
      </c>
      <c r="G2174" s="1">
        <f>INDEX('DETALLE CRONOLÓGICO'!$D$2:$D$4919,MATCH($A2174,'DETALLE CRONOLÓGICO'!$A$2:$A$4919,0))</f>
        <v/>
      </c>
      <c r="H2174" s="1">
        <f>INDEX('DETALLE CRONOLÓGICO'!$D$2:$D$4919,MATCH($A2174,'DETALLE CRONOLÓGICO'!$A$2:$A$4919,0)+$E2174-1)</f>
        <v/>
      </c>
      <c r="I2174" s="5">
        <f>IFERROR(SUMIFS('DETALLE CRONOLÓGICO'!$L$2:$L$4919,'DETALLE CRONOLÓGICO'!$A$2:$A$4919,$A2174)/$F2174,"")</f>
        <v/>
      </c>
      <c r="J2174" s="6">
        <f>IFERROR(SUMIFS('DETALLE CRONOLÓGICO'!$K$2:$K$4919,'DETALLE CRONOLÓGICO'!$A$2:$A$4919,$A2174)/$E2174,"")</f>
        <v/>
      </c>
      <c r="K2174" s="6">
        <f>_xlfn.MINIFS('DETALLE CRONOLÓGICO'!$K$2:$K$4919,'DETALLE CRONOLÓGICO'!$A$2:$A$4919,$A2174)</f>
        <v/>
      </c>
      <c r="L2174" s="6">
        <f>_xlfn.MAXIFS('DETALLE CRONOLÓGICO'!$K$2:$K$4919,'DETALLE CRONOLÓGICO'!$A$2:$A$4919,$A2174)</f>
        <v/>
      </c>
      <c r="M2174" s="6">
        <f>INDEX('DETALLE CRONOLÓGICO'!$K$2:$K$4919,MATCH($A2174,'DETALLE CRONOLÓGICO'!$A$2:$A$4919,0)+$E2174-1)</f>
        <v/>
      </c>
      <c r="N2174" s="7">
        <f>IFERROR($M2174/INDEX('DETALLE CRONOLÓGICO'!$K$2:$K$4919,MATCH($A2174,'DETALLE CRONOLÓGICO'!$A$2:$A$4919,0))-1,"")</f>
        <v/>
      </c>
      <c r="O2174" s="6">
        <f>IFERROR($I2174*3,"")</f>
        <v/>
      </c>
      <c r="P2174" s="6">
        <f>IFERROR($I2174*3.5,"")</f>
        <v/>
      </c>
      <c r="Q2174" s="6">
        <f>IFERROR($I2174*4,"")</f>
        <v/>
      </c>
      <c r="R2174" s="6" t="n">
        <v>450</v>
      </c>
      <c r="S2174" s="4" t="n">
        <v>2</v>
      </c>
      <c r="T2174" s="1" t="inlineStr">
        <is>
          <t>draft</t>
        </is>
      </c>
      <c r="U2174" s="8" t="n"/>
      <c r="V2174" s="1" t="inlineStr">
        <is>
          <t>SIN PRECIO</t>
        </is>
      </c>
    </row>
    <row r="2175">
      <c r="A2175" s="1" t="inlineStr">
        <is>
          <t>95854382120269</t>
        </is>
      </c>
      <c r="B2175" s="1" t="inlineStr">
        <is>
          <t>COLLAR VF BUTTERFLY SILVER</t>
        </is>
      </c>
      <c r="C2175" s="1" t="inlineStr">
        <is>
          <t>Default Title</t>
        </is>
      </c>
      <c r="D2175" s="1" t="inlineStr">
        <is>
          <t>HAIFENG</t>
        </is>
      </c>
      <c r="E2175" s="4">
        <f>COUNTIF('DETALLE CRONOLÓGICO'!$A$2:$A$4919,$A2175)</f>
        <v/>
      </c>
      <c r="F2175" s="4">
        <f>SUMIFS('DETALLE CRONOLÓGICO'!$I$2:$I$4919,'DETALLE CRONOLÓGICO'!$A$2:$A$4919,$A2175)</f>
        <v/>
      </c>
      <c r="G2175" s="1">
        <f>INDEX('DETALLE CRONOLÓGICO'!$D$2:$D$4919,MATCH($A2175,'DETALLE CRONOLÓGICO'!$A$2:$A$4919,0))</f>
        <v/>
      </c>
      <c r="H2175" s="1">
        <f>INDEX('DETALLE CRONOLÓGICO'!$D$2:$D$4919,MATCH($A2175,'DETALLE CRONOLÓGICO'!$A$2:$A$4919,0)+$E2175-1)</f>
        <v/>
      </c>
      <c r="I2175" s="5">
        <f>IFERROR(SUMIFS('DETALLE CRONOLÓGICO'!$L$2:$L$4919,'DETALLE CRONOLÓGICO'!$A$2:$A$4919,$A2175)/$F2175,"")</f>
        <v/>
      </c>
      <c r="J2175" s="6">
        <f>IFERROR(SUMIFS('DETALLE CRONOLÓGICO'!$K$2:$K$4919,'DETALLE CRONOLÓGICO'!$A$2:$A$4919,$A2175)/$E2175,"")</f>
        <v/>
      </c>
      <c r="K2175" s="6">
        <f>_xlfn.MINIFS('DETALLE CRONOLÓGICO'!$K$2:$K$4919,'DETALLE CRONOLÓGICO'!$A$2:$A$4919,$A2175)</f>
        <v/>
      </c>
      <c r="L2175" s="6">
        <f>_xlfn.MAXIFS('DETALLE CRONOLÓGICO'!$K$2:$K$4919,'DETALLE CRONOLÓGICO'!$A$2:$A$4919,$A2175)</f>
        <v/>
      </c>
      <c r="M2175" s="6">
        <f>INDEX('DETALLE CRONOLÓGICO'!$K$2:$K$4919,MATCH($A2175,'DETALLE CRONOLÓGICO'!$A$2:$A$4919,0)+$E2175-1)</f>
        <v/>
      </c>
      <c r="N2175" s="7">
        <f>IFERROR($M2175/INDEX('DETALLE CRONOLÓGICO'!$K$2:$K$4919,MATCH($A2175,'DETALLE CRONOLÓGICO'!$A$2:$A$4919,0))-1,"")</f>
        <v/>
      </c>
      <c r="O2175" s="6">
        <f>IFERROR($I2175*3,"")</f>
        <v/>
      </c>
      <c r="P2175" s="6">
        <f>IFERROR($I2175*3.5,"")</f>
        <v/>
      </c>
      <c r="Q2175" s="6">
        <f>IFERROR($I2175*4,"")</f>
        <v/>
      </c>
      <c r="R2175" s="6" t="n">
        <v>499</v>
      </c>
      <c r="S2175" s="4" t="n">
        <v>2</v>
      </c>
      <c r="T2175" s="1" t="inlineStr">
        <is>
          <t>draft</t>
        </is>
      </c>
      <c r="U2175" s="8" t="n"/>
      <c r="V2175" s="1" t="inlineStr">
        <is>
          <t>SIN PRECIO</t>
        </is>
      </c>
    </row>
    <row r="2176">
      <c r="A2176" s="1" t="inlineStr">
        <is>
          <t>95854382223661</t>
        </is>
      </c>
      <c r="B2176" s="1" t="inlineStr">
        <is>
          <t>COLLAR VF FRIVOLE GOLD</t>
        </is>
      </c>
      <c r="C2176" s="1" t="inlineStr">
        <is>
          <t>Default Title</t>
        </is>
      </c>
      <c r="D2176" s="1" t="inlineStr">
        <is>
          <t>HAIFENG</t>
        </is>
      </c>
      <c r="E2176" s="4">
        <f>COUNTIF('DETALLE CRONOLÓGICO'!$A$2:$A$4919,$A2176)</f>
        <v/>
      </c>
      <c r="F2176" s="4">
        <f>SUMIFS('DETALLE CRONOLÓGICO'!$I$2:$I$4919,'DETALLE CRONOLÓGICO'!$A$2:$A$4919,$A2176)</f>
        <v/>
      </c>
      <c r="G2176" s="1">
        <f>INDEX('DETALLE CRONOLÓGICO'!$D$2:$D$4919,MATCH($A2176,'DETALLE CRONOLÓGICO'!$A$2:$A$4919,0))</f>
        <v/>
      </c>
      <c r="H2176" s="1">
        <f>INDEX('DETALLE CRONOLÓGICO'!$D$2:$D$4919,MATCH($A2176,'DETALLE CRONOLÓGICO'!$A$2:$A$4919,0)+$E2176-1)</f>
        <v/>
      </c>
      <c r="I2176" s="5">
        <f>IFERROR(SUMIFS('DETALLE CRONOLÓGICO'!$L$2:$L$4919,'DETALLE CRONOLÓGICO'!$A$2:$A$4919,$A2176)/$F2176,"")</f>
        <v/>
      </c>
      <c r="J2176" s="6">
        <f>IFERROR(SUMIFS('DETALLE CRONOLÓGICO'!$K$2:$K$4919,'DETALLE CRONOLÓGICO'!$A$2:$A$4919,$A2176)/$E2176,"")</f>
        <v/>
      </c>
      <c r="K2176" s="6">
        <f>_xlfn.MINIFS('DETALLE CRONOLÓGICO'!$K$2:$K$4919,'DETALLE CRONOLÓGICO'!$A$2:$A$4919,$A2176)</f>
        <v/>
      </c>
      <c r="L2176" s="6">
        <f>_xlfn.MAXIFS('DETALLE CRONOLÓGICO'!$K$2:$K$4919,'DETALLE CRONOLÓGICO'!$A$2:$A$4919,$A2176)</f>
        <v/>
      </c>
      <c r="M2176" s="6">
        <f>INDEX('DETALLE CRONOLÓGICO'!$K$2:$K$4919,MATCH($A2176,'DETALLE CRONOLÓGICO'!$A$2:$A$4919,0)+$E2176-1)</f>
        <v/>
      </c>
      <c r="N2176" s="7">
        <f>IFERROR($M2176/INDEX('DETALLE CRONOLÓGICO'!$K$2:$K$4919,MATCH($A2176,'DETALLE CRONOLÓGICO'!$A$2:$A$4919,0))-1,"")</f>
        <v/>
      </c>
      <c r="O2176" s="6">
        <f>IFERROR($I2176*3,"")</f>
        <v/>
      </c>
      <c r="P2176" s="6">
        <f>IFERROR($I2176*3.5,"")</f>
        <v/>
      </c>
      <c r="Q2176" s="6">
        <f>IFERROR($I2176*4,"")</f>
        <v/>
      </c>
      <c r="R2176" s="6" t="n">
        <v>499</v>
      </c>
      <c r="S2176" s="4" t="n">
        <v>2</v>
      </c>
      <c r="T2176" s="1" t="inlineStr">
        <is>
          <t>draft</t>
        </is>
      </c>
      <c r="U2176" s="8" t="n"/>
      <c r="V2176" s="1" t="inlineStr">
        <is>
          <t>SIN PRECIO</t>
        </is>
      </c>
    </row>
    <row r="2177">
      <c r="A2177" s="1" t="inlineStr">
        <is>
          <t>95854382325357</t>
        </is>
      </c>
      <c r="B2177" s="1" t="inlineStr">
        <is>
          <t>COLLAR VF VINTAGE GOLD</t>
        </is>
      </c>
      <c r="C2177" s="1" t="inlineStr">
        <is>
          <t>Default Title</t>
        </is>
      </c>
      <c r="D2177" s="1" t="inlineStr">
        <is>
          <t>HAIFENG</t>
        </is>
      </c>
      <c r="E2177" s="4">
        <f>COUNTIF('DETALLE CRONOLÓGICO'!$A$2:$A$4919,$A2177)</f>
        <v/>
      </c>
      <c r="F2177" s="4">
        <f>SUMIFS('DETALLE CRONOLÓGICO'!$I$2:$I$4919,'DETALLE CRONOLÓGICO'!$A$2:$A$4919,$A2177)</f>
        <v/>
      </c>
      <c r="G2177" s="1">
        <f>INDEX('DETALLE CRONOLÓGICO'!$D$2:$D$4919,MATCH($A2177,'DETALLE CRONOLÓGICO'!$A$2:$A$4919,0))</f>
        <v/>
      </c>
      <c r="H2177" s="1">
        <f>INDEX('DETALLE CRONOLÓGICO'!$D$2:$D$4919,MATCH($A2177,'DETALLE CRONOLÓGICO'!$A$2:$A$4919,0)+$E2177-1)</f>
        <v/>
      </c>
      <c r="I2177" s="5">
        <f>IFERROR(SUMIFS('DETALLE CRONOLÓGICO'!$L$2:$L$4919,'DETALLE CRONOLÓGICO'!$A$2:$A$4919,$A2177)/$F2177,"")</f>
        <v/>
      </c>
      <c r="J2177" s="6">
        <f>IFERROR(SUMIFS('DETALLE CRONOLÓGICO'!$K$2:$K$4919,'DETALLE CRONOLÓGICO'!$A$2:$A$4919,$A2177)/$E2177,"")</f>
        <v/>
      </c>
      <c r="K2177" s="6">
        <f>_xlfn.MINIFS('DETALLE CRONOLÓGICO'!$K$2:$K$4919,'DETALLE CRONOLÓGICO'!$A$2:$A$4919,$A2177)</f>
        <v/>
      </c>
      <c r="L2177" s="6">
        <f>_xlfn.MAXIFS('DETALLE CRONOLÓGICO'!$K$2:$K$4919,'DETALLE CRONOLÓGICO'!$A$2:$A$4919,$A2177)</f>
        <v/>
      </c>
      <c r="M2177" s="6">
        <f>INDEX('DETALLE CRONOLÓGICO'!$K$2:$K$4919,MATCH($A2177,'DETALLE CRONOLÓGICO'!$A$2:$A$4919,0)+$E2177-1)</f>
        <v/>
      </c>
      <c r="N2177" s="7">
        <f>IFERROR($M2177/INDEX('DETALLE CRONOLÓGICO'!$K$2:$K$4919,MATCH($A2177,'DETALLE CRONOLÓGICO'!$A$2:$A$4919,0))-1,"")</f>
        <v/>
      </c>
      <c r="O2177" s="6">
        <f>IFERROR($I2177*3,"")</f>
        <v/>
      </c>
      <c r="P2177" s="6">
        <f>IFERROR($I2177*3.5,"")</f>
        <v/>
      </c>
      <c r="Q2177" s="6">
        <f>IFERROR($I2177*4,"")</f>
        <v/>
      </c>
      <c r="R2177" s="6" t="n">
        <v>400</v>
      </c>
      <c r="S2177" s="4" t="n">
        <v>2</v>
      </c>
      <c r="T2177" s="1" t="inlineStr">
        <is>
          <t>draft</t>
        </is>
      </c>
      <c r="U2177" s="8" t="n"/>
      <c r="V2177" s="1" t="inlineStr">
        <is>
          <t>SIN PRECIO</t>
        </is>
      </c>
    </row>
    <row r="2178">
      <c r="A2178" s="1" t="inlineStr">
        <is>
          <t>95854382461517</t>
        </is>
      </c>
      <c r="B2178" s="1" t="inlineStr">
        <is>
          <t>ARETES VF BUTTERFLIES</t>
        </is>
      </c>
      <c r="C2178" s="1" t="inlineStr">
        <is>
          <t>Default Title</t>
        </is>
      </c>
      <c r="D2178" s="1" t="inlineStr">
        <is>
          <t>HAIFENG</t>
        </is>
      </c>
      <c r="E2178" s="4">
        <f>COUNTIF('DETALLE CRONOLÓGICO'!$A$2:$A$4919,$A2178)</f>
        <v/>
      </c>
      <c r="F2178" s="4">
        <f>SUMIFS('DETALLE CRONOLÓGICO'!$I$2:$I$4919,'DETALLE CRONOLÓGICO'!$A$2:$A$4919,$A2178)</f>
        <v/>
      </c>
      <c r="G2178" s="1">
        <f>INDEX('DETALLE CRONOLÓGICO'!$D$2:$D$4919,MATCH($A2178,'DETALLE CRONOLÓGICO'!$A$2:$A$4919,0))</f>
        <v/>
      </c>
      <c r="H2178" s="1">
        <f>INDEX('DETALLE CRONOLÓGICO'!$D$2:$D$4919,MATCH($A2178,'DETALLE CRONOLÓGICO'!$A$2:$A$4919,0)+$E2178-1)</f>
        <v/>
      </c>
      <c r="I2178" s="5">
        <f>IFERROR(SUMIFS('DETALLE CRONOLÓGICO'!$L$2:$L$4919,'DETALLE CRONOLÓGICO'!$A$2:$A$4919,$A2178)/$F2178,"")</f>
        <v/>
      </c>
      <c r="J2178" s="6">
        <f>IFERROR(SUMIFS('DETALLE CRONOLÓGICO'!$K$2:$K$4919,'DETALLE CRONOLÓGICO'!$A$2:$A$4919,$A2178)/$E2178,"")</f>
        <v/>
      </c>
      <c r="K2178" s="6">
        <f>_xlfn.MINIFS('DETALLE CRONOLÓGICO'!$K$2:$K$4919,'DETALLE CRONOLÓGICO'!$A$2:$A$4919,$A2178)</f>
        <v/>
      </c>
      <c r="L2178" s="6">
        <f>_xlfn.MAXIFS('DETALLE CRONOLÓGICO'!$K$2:$K$4919,'DETALLE CRONOLÓGICO'!$A$2:$A$4919,$A2178)</f>
        <v/>
      </c>
      <c r="M2178" s="6">
        <f>INDEX('DETALLE CRONOLÓGICO'!$K$2:$K$4919,MATCH($A2178,'DETALLE CRONOLÓGICO'!$A$2:$A$4919,0)+$E2178-1)</f>
        <v/>
      </c>
      <c r="N2178" s="7">
        <f>IFERROR($M2178/INDEX('DETALLE CRONOLÓGICO'!$K$2:$K$4919,MATCH($A2178,'DETALLE CRONOLÓGICO'!$A$2:$A$4919,0))-1,"")</f>
        <v/>
      </c>
      <c r="O2178" s="6">
        <f>IFERROR($I2178*3,"")</f>
        <v/>
      </c>
      <c r="P2178" s="6">
        <f>IFERROR($I2178*3.5,"")</f>
        <v/>
      </c>
      <c r="Q2178" s="6">
        <f>IFERROR($I2178*4,"")</f>
        <v/>
      </c>
      <c r="R2178" s="6" t="n">
        <v>499</v>
      </c>
      <c r="S2178" s="4" t="n">
        <v>3</v>
      </c>
      <c r="T2178" s="1" t="inlineStr">
        <is>
          <t>active</t>
        </is>
      </c>
      <c r="U2178" s="8" t="n"/>
      <c r="V2178" s="1" t="inlineStr">
        <is>
          <t>SIN PRECIO</t>
        </is>
      </c>
    </row>
    <row r="2179">
      <c r="A2179" s="1" t="inlineStr">
        <is>
          <t>95854382554189</t>
        </is>
      </c>
      <c r="B2179" s="1" t="inlineStr">
        <is>
          <t>ANILLO TRINITY TRICOLOR</t>
        </is>
      </c>
      <c r="C2179" s="1" t="inlineStr">
        <is>
          <t>7</t>
        </is>
      </c>
      <c r="D2179" s="1" t="inlineStr">
        <is>
          <t>HAIFENG</t>
        </is>
      </c>
      <c r="E2179" s="4">
        <f>COUNTIF('DETALLE CRONOLÓGICO'!$A$2:$A$4919,$A2179)</f>
        <v/>
      </c>
      <c r="F2179" s="4">
        <f>SUMIFS('DETALLE CRONOLÓGICO'!$I$2:$I$4919,'DETALLE CRONOLÓGICO'!$A$2:$A$4919,$A2179)</f>
        <v/>
      </c>
      <c r="G2179" s="1">
        <f>INDEX('DETALLE CRONOLÓGICO'!$D$2:$D$4919,MATCH($A2179,'DETALLE CRONOLÓGICO'!$A$2:$A$4919,0))</f>
        <v/>
      </c>
      <c r="H2179" s="1">
        <f>INDEX('DETALLE CRONOLÓGICO'!$D$2:$D$4919,MATCH($A2179,'DETALLE CRONOLÓGICO'!$A$2:$A$4919,0)+$E2179-1)</f>
        <v/>
      </c>
      <c r="I2179" s="5">
        <f>IFERROR(SUMIFS('DETALLE CRONOLÓGICO'!$L$2:$L$4919,'DETALLE CRONOLÓGICO'!$A$2:$A$4919,$A2179)/$F2179,"")</f>
        <v/>
      </c>
      <c r="J2179" s="6">
        <f>IFERROR(SUMIFS('DETALLE CRONOLÓGICO'!$K$2:$K$4919,'DETALLE CRONOLÓGICO'!$A$2:$A$4919,$A2179)/$E2179,"")</f>
        <v/>
      </c>
      <c r="K2179" s="6">
        <f>_xlfn.MINIFS('DETALLE CRONOLÓGICO'!$K$2:$K$4919,'DETALLE CRONOLÓGICO'!$A$2:$A$4919,$A2179)</f>
        <v/>
      </c>
      <c r="L2179" s="6">
        <f>_xlfn.MAXIFS('DETALLE CRONOLÓGICO'!$K$2:$K$4919,'DETALLE CRONOLÓGICO'!$A$2:$A$4919,$A2179)</f>
        <v/>
      </c>
      <c r="M2179" s="6">
        <f>INDEX('DETALLE CRONOLÓGICO'!$K$2:$K$4919,MATCH($A2179,'DETALLE CRONOLÓGICO'!$A$2:$A$4919,0)+$E2179-1)</f>
        <v/>
      </c>
      <c r="N2179" s="7">
        <f>IFERROR($M2179/INDEX('DETALLE CRONOLÓGICO'!$K$2:$K$4919,MATCH($A2179,'DETALLE CRONOLÓGICO'!$A$2:$A$4919,0))-1,"")</f>
        <v/>
      </c>
      <c r="O2179" s="6">
        <f>IFERROR($I2179*3,"")</f>
        <v/>
      </c>
      <c r="P2179" s="6">
        <f>IFERROR($I2179*3.5,"")</f>
        <v/>
      </c>
      <c r="Q2179" s="6">
        <f>IFERROR($I2179*4,"")</f>
        <v/>
      </c>
      <c r="R2179" s="6" t="n">
        <v>650</v>
      </c>
      <c r="S2179" s="4" t="n">
        <v>2</v>
      </c>
      <c r="T2179" s="1" t="inlineStr">
        <is>
          <t>draft</t>
        </is>
      </c>
      <c r="U2179" s="8" t="n"/>
      <c r="V2179" s="1" t="inlineStr">
        <is>
          <t>SIN PRECIO</t>
        </is>
      </c>
    </row>
    <row r="2180">
      <c r="A2180" s="1" t="inlineStr">
        <is>
          <t>96547211050721</t>
        </is>
      </c>
      <c r="B2180" s="1" t="inlineStr">
        <is>
          <t>ANILLO ONE T GOLD</t>
        </is>
      </c>
      <c r="C2180" s="1" t="inlineStr">
        <is>
          <t>6 titanio</t>
        </is>
      </c>
      <c r="D2180" s="1" t="inlineStr">
        <is>
          <t>HAIFENG</t>
        </is>
      </c>
      <c r="E2180" s="4">
        <f>COUNTIF('DETALLE CRONOLÓGICO'!$A$2:$A$4919,$A2180)</f>
        <v/>
      </c>
      <c r="F2180" s="4">
        <f>SUMIFS('DETALLE CRONOLÓGICO'!$I$2:$I$4919,'DETALLE CRONOLÓGICO'!$A$2:$A$4919,$A2180)</f>
        <v/>
      </c>
      <c r="G2180" s="1">
        <f>INDEX('DETALLE CRONOLÓGICO'!$D$2:$D$4919,MATCH($A2180,'DETALLE CRONOLÓGICO'!$A$2:$A$4919,0))</f>
        <v/>
      </c>
      <c r="H2180" s="1">
        <f>INDEX('DETALLE CRONOLÓGICO'!$D$2:$D$4919,MATCH($A2180,'DETALLE CRONOLÓGICO'!$A$2:$A$4919,0)+$E2180-1)</f>
        <v/>
      </c>
      <c r="I2180" s="5">
        <f>IFERROR(SUMIFS('DETALLE CRONOLÓGICO'!$L$2:$L$4919,'DETALLE CRONOLÓGICO'!$A$2:$A$4919,$A2180)/$F2180,"")</f>
        <v/>
      </c>
      <c r="J2180" s="6">
        <f>IFERROR(SUMIFS('DETALLE CRONOLÓGICO'!$K$2:$K$4919,'DETALLE CRONOLÓGICO'!$A$2:$A$4919,$A2180)/$E2180,"")</f>
        <v/>
      </c>
      <c r="K2180" s="6">
        <f>_xlfn.MINIFS('DETALLE CRONOLÓGICO'!$K$2:$K$4919,'DETALLE CRONOLÓGICO'!$A$2:$A$4919,$A2180)</f>
        <v/>
      </c>
      <c r="L2180" s="6">
        <f>_xlfn.MAXIFS('DETALLE CRONOLÓGICO'!$K$2:$K$4919,'DETALLE CRONOLÓGICO'!$A$2:$A$4919,$A2180)</f>
        <v/>
      </c>
      <c r="M2180" s="6">
        <f>INDEX('DETALLE CRONOLÓGICO'!$K$2:$K$4919,MATCH($A2180,'DETALLE CRONOLÓGICO'!$A$2:$A$4919,0)+$E2180-1)</f>
        <v/>
      </c>
      <c r="N2180" s="7">
        <f>IFERROR($M2180/INDEX('DETALLE CRONOLÓGICO'!$K$2:$K$4919,MATCH($A2180,'DETALLE CRONOLÓGICO'!$A$2:$A$4919,0))-1,"")</f>
        <v/>
      </c>
      <c r="O2180" s="6">
        <f>IFERROR($I2180*3,"")</f>
        <v/>
      </c>
      <c r="P2180" s="6">
        <f>IFERROR($I2180*3.5,"")</f>
        <v/>
      </c>
      <c r="Q2180" s="6">
        <f>IFERROR($I2180*4,"")</f>
        <v/>
      </c>
      <c r="R2180" s="6" t="n">
        <v>572</v>
      </c>
      <c r="S2180" s="4" t="n">
        <v>2</v>
      </c>
      <c r="T2180" s="1" t="inlineStr">
        <is>
          <t>active</t>
        </is>
      </c>
      <c r="U2180" s="8" t="n"/>
      <c r="V2180" s="1" t="inlineStr">
        <is>
          <t>SIN PRECIO</t>
        </is>
      </c>
    </row>
    <row r="2181">
      <c r="A2181" s="1" t="inlineStr">
        <is>
          <t>96676174592652</t>
        </is>
      </c>
      <c r="B2181" s="1" t="inlineStr">
        <is>
          <t>BOLSO C CLAUDE BLACK</t>
        </is>
      </c>
      <c r="C2181" s="1" t="n"/>
      <c r="D2181" s="1" t="inlineStr">
        <is>
          <t>CYNTHIA</t>
        </is>
      </c>
      <c r="E2181" s="4">
        <f>COUNTIF('DETALLE CRONOLÓGICO'!$A$2:$A$4919,$A2181)</f>
        <v/>
      </c>
      <c r="F2181" s="4">
        <f>SUMIFS('DETALLE CRONOLÓGICO'!$I$2:$I$4919,'DETALLE CRONOLÓGICO'!$A$2:$A$4919,$A2181)</f>
        <v/>
      </c>
      <c r="G2181" s="1">
        <f>INDEX('DETALLE CRONOLÓGICO'!$D$2:$D$4919,MATCH($A2181,'DETALLE CRONOLÓGICO'!$A$2:$A$4919,0))</f>
        <v/>
      </c>
      <c r="H2181" s="1">
        <f>INDEX('DETALLE CRONOLÓGICO'!$D$2:$D$4919,MATCH($A2181,'DETALLE CRONOLÓGICO'!$A$2:$A$4919,0)+$E2181-1)</f>
        <v/>
      </c>
      <c r="I2181" s="5">
        <f>IFERROR(SUMIFS('DETALLE CRONOLÓGICO'!$L$2:$L$4919,'DETALLE CRONOLÓGICO'!$A$2:$A$4919,$A2181)/$F2181,"")</f>
        <v/>
      </c>
      <c r="J2181" s="6">
        <f>IFERROR(SUMIFS('DETALLE CRONOLÓGICO'!$K$2:$K$4919,'DETALLE CRONOLÓGICO'!$A$2:$A$4919,$A2181)/$E2181,"")</f>
        <v/>
      </c>
      <c r="K2181" s="6">
        <f>_xlfn.MINIFS('DETALLE CRONOLÓGICO'!$K$2:$K$4919,'DETALLE CRONOLÓGICO'!$A$2:$A$4919,$A2181)</f>
        <v/>
      </c>
      <c r="L2181" s="6">
        <f>_xlfn.MAXIFS('DETALLE CRONOLÓGICO'!$K$2:$K$4919,'DETALLE CRONOLÓGICO'!$A$2:$A$4919,$A2181)</f>
        <v/>
      </c>
      <c r="M2181" s="6">
        <f>INDEX('DETALLE CRONOLÓGICO'!$K$2:$K$4919,MATCH($A2181,'DETALLE CRONOLÓGICO'!$A$2:$A$4919,0)+$E2181-1)</f>
        <v/>
      </c>
      <c r="N2181" s="7">
        <f>IFERROR($M2181/INDEX('DETALLE CRONOLÓGICO'!$K$2:$K$4919,MATCH($A2181,'DETALLE CRONOLÓGICO'!$A$2:$A$4919,0))-1,"")</f>
        <v/>
      </c>
      <c r="O2181" s="6">
        <f>IFERROR($I2181*3,"")</f>
        <v/>
      </c>
      <c r="P2181" s="6">
        <f>IFERROR($I2181*3.5,"")</f>
        <v/>
      </c>
      <c r="Q2181" s="6">
        <f>IFERROR($I2181*4,"")</f>
        <v/>
      </c>
      <c r="R2181" s="6" t="n"/>
      <c r="S2181" s="4" t="n"/>
      <c r="T2181" s="1" t="inlineStr">
        <is>
          <t>YA NO EXISTE EN SHOPIFY</t>
        </is>
      </c>
      <c r="U2181" s="8" t="n"/>
      <c r="V2181" s="1" t="inlineStr">
        <is>
          <t>SIN PRECIO</t>
        </is>
      </c>
    </row>
    <row r="2182">
      <c r="A2182" s="1" t="inlineStr">
        <is>
          <t>97902501045901</t>
        </is>
      </c>
      <c r="B2182" s="1" t="inlineStr">
        <is>
          <t>ANILLO TB GOLD</t>
        </is>
      </c>
      <c r="C2182" s="1" t="n">
        <v>6</v>
      </c>
      <c r="D2182" s="1" t="inlineStr">
        <is>
          <t>NANCY</t>
        </is>
      </c>
      <c r="E2182" s="4">
        <f>COUNTIF('DETALLE CRONOLÓGICO'!$A$2:$A$4919,$A2182)</f>
        <v/>
      </c>
      <c r="F2182" s="4">
        <f>SUMIFS('DETALLE CRONOLÓGICO'!$I$2:$I$4919,'DETALLE CRONOLÓGICO'!$A$2:$A$4919,$A2182)</f>
        <v/>
      </c>
      <c r="G2182" s="1">
        <f>INDEX('DETALLE CRONOLÓGICO'!$D$2:$D$4919,MATCH($A2182,'DETALLE CRONOLÓGICO'!$A$2:$A$4919,0))</f>
        <v/>
      </c>
      <c r="H2182" s="1">
        <f>INDEX('DETALLE CRONOLÓGICO'!$D$2:$D$4919,MATCH($A2182,'DETALLE CRONOLÓGICO'!$A$2:$A$4919,0)+$E2182-1)</f>
        <v/>
      </c>
      <c r="I2182" s="5">
        <f>IFERROR(SUMIFS('DETALLE CRONOLÓGICO'!$L$2:$L$4919,'DETALLE CRONOLÓGICO'!$A$2:$A$4919,$A2182)/$F2182,"")</f>
        <v/>
      </c>
      <c r="J2182" s="6">
        <f>IFERROR(SUMIFS('DETALLE CRONOLÓGICO'!$K$2:$K$4919,'DETALLE CRONOLÓGICO'!$A$2:$A$4919,$A2182)/$E2182,"")</f>
        <v/>
      </c>
      <c r="K2182" s="6">
        <f>_xlfn.MINIFS('DETALLE CRONOLÓGICO'!$K$2:$K$4919,'DETALLE CRONOLÓGICO'!$A$2:$A$4919,$A2182)</f>
        <v/>
      </c>
      <c r="L2182" s="6">
        <f>_xlfn.MAXIFS('DETALLE CRONOLÓGICO'!$K$2:$K$4919,'DETALLE CRONOLÓGICO'!$A$2:$A$4919,$A2182)</f>
        <v/>
      </c>
      <c r="M2182" s="6">
        <f>INDEX('DETALLE CRONOLÓGICO'!$K$2:$K$4919,MATCH($A2182,'DETALLE CRONOLÓGICO'!$A$2:$A$4919,0)+$E2182-1)</f>
        <v/>
      </c>
      <c r="N2182" s="7">
        <f>IFERROR($M2182/INDEX('DETALLE CRONOLÓGICO'!$K$2:$K$4919,MATCH($A2182,'DETALLE CRONOLÓGICO'!$A$2:$A$4919,0))-1,"")</f>
        <v/>
      </c>
      <c r="O2182" s="6">
        <f>IFERROR($I2182*3,"")</f>
        <v/>
      </c>
      <c r="P2182" s="6">
        <f>IFERROR($I2182*3.5,"")</f>
        <v/>
      </c>
      <c r="Q2182" s="6">
        <f>IFERROR($I2182*4,"")</f>
        <v/>
      </c>
      <c r="R2182" s="6" t="n">
        <v>292</v>
      </c>
      <c r="S2182" s="4" t="n">
        <v>3</v>
      </c>
      <c r="T2182" s="1" t="inlineStr">
        <is>
          <t>active</t>
        </is>
      </c>
      <c r="U2182" s="8" t="n"/>
      <c r="V2182" s="1" t="inlineStr">
        <is>
          <t>SIN PRECIO</t>
        </is>
      </c>
    </row>
    <row r="2183">
      <c r="A2183" s="1" t="inlineStr">
        <is>
          <t>98043701041197</t>
        </is>
      </c>
      <c r="B2183" s="1" t="inlineStr">
        <is>
          <t>PULSERA DE TENNIS ESSENTIAL GOLD</t>
        </is>
      </c>
      <c r="C2183" s="1" t="inlineStr">
        <is>
          <t>16.5</t>
        </is>
      </c>
      <c r="D2183" s="1" t="inlineStr">
        <is>
          <t>CYNTHIA</t>
        </is>
      </c>
      <c r="E2183" s="4">
        <f>COUNTIF('DETALLE CRONOLÓGICO'!$A$2:$A$4919,$A2183)</f>
        <v/>
      </c>
      <c r="F2183" s="4">
        <f>SUMIFS('DETALLE CRONOLÓGICO'!$I$2:$I$4919,'DETALLE CRONOLÓGICO'!$A$2:$A$4919,$A2183)</f>
        <v/>
      </c>
      <c r="G2183" s="1">
        <f>INDEX('DETALLE CRONOLÓGICO'!$D$2:$D$4919,MATCH($A2183,'DETALLE CRONOLÓGICO'!$A$2:$A$4919,0))</f>
        <v/>
      </c>
      <c r="H2183" s="1">
        <f>INDEX('DETALLE CRONOLÓGICO'!$D$2:$D$4919,MATCH($A2183,'DETALLE CRONOLÓGICO'!$A$2:$A$4919,0)+$E2183-1)</f>
        <v/>
      </c>
      <c r="I2183" s="5">
        <f>IFERROR(SUMIFS('DETALLE CRONOLÓGICO'!$L$2:$L$4919,'DETALLE CRONOLÓGICO'!$A$2:$A$4919,$A2183)/$F2183,"")</f>
        <v/>
      </c>
      <c r="J2183" s="6">
        <f>IFERROR(SUMIFS('DETALLE CRONOLÓGICO'!$K$2:$K$4919,'DETALLE CRONOLÓGICO'!$A$2:$A$4919,$A2183)/$E2183,"")</f>
        <v/>
      </c>
      <c r="K2183" s="6">
        <f>_xlfn.MINIFS('DETALLE CRONOLÓGICO'!$K$2:$K$4919,'DETALLE CRONOLÓGICO'!$A$2:$A$4919,$A2183)</f>
        <v/>
      </c>
      <c r="L2183" s="6">
        <f>_xlfn.MAXIFS('DETALLE CRONOLÓGICO'!$K$2:$K$4919,'DETALLE CRONOLÓGICO'!$A$2:$A$4919,$A2183)</f>
        <v/>
      </c>
      <c r="M2183" s="6">
        <f>INDEX('DETALLE CRONOLÓGICO'!$K$2:$K$4919,MATCH($A2183,'DETALLE CRONOLÓGICO'!$A$2:$A$4919,0)+$E2183-1)</f>
        <v/>
      </c>
      <c r="N2183" s="7">
        <f>IFERROR($M2183/INDEX('DETALLE CRONOLÓGICO'!$K$2:$K$4919,MATCH($A2183,'DETALLE CRONOLÓGICO'!$A$2:$A$4919,0))-1,"")</f>
        <v/>
      </c>
      <c r="O2183" s="6">
        <f>IFERROR($I2183*3,"")</f>
        <v/>
      </c>
      <c r="P2183" s="6">
        <f>IFERROR($I2183*3.5,"")</f>
        <v/>
      </c>
      <c r="Q2183" s="6">
        <f>IFERROR($I2183*4,"")</f>
        <v/>
      </c>
      <c r="R2183" s="6" t="n">
        <v>540</v>
      </c>
      <c r="S2183" s="4" t="n">
        <v>0</v>
      </c>
      <c r="T2183" s="1" t="inlineStr">
        <is>
          <t>active</t>
        </is>
      </c>
      <c r="U2183" s="8" t="n"/>
      <c r="V2183" s="1" t="inlineStr">
        <is>
          <t>SIN PRECIO</t>
        </is>
      </c>
    </row>
    <row r="2184">
      <c r="A2184" s="1" t="inlineStr">
        <is>
          <t>98043701173965</t>
        </is>
      </c>
      <c r="B2184" s="1" t="inlineStr">
        <is>
          <t>PULSERA DE TENNIS ESSENTIAL GOLD</t>
        </is>
      </c>
      <c r="C2184" s="1" t="inlineStr">
        <is>
          <t>17.5</t>
        </is>
      </c>
      <c r="D2184" s="1" t="inlineStr">
        <is>
          <t>CYNTHIA</t>
        </is>
      </c>
      <c r="E2184" s="4">
        <f>COUNTIF('DETALLE CRONOLÓGICO'!$A$2:$A$4919,$A2184)</f>
        <v/>
      </c>
      <c r="F2184" s="4">
        <f>SUMIFS('DETALLE CRONOLÓGICO'!$I$2:$I$4919,'DETALLE CRONOLÓGICO'!$A$2:$A$4919,$A2184)</f>
        <v/>
      </c>
      <c r="G2184" s="1">
        <f>INDEX('DETALLE CRONOLÓGICO'!$D$2:$D$4919,MATCH($A2184,'DETALLE CRONOLÓGICO'!$A$2:$A$4919,0))</f>
        <v/>
      </c>
      <c r="H2184" s="1">
        <f>INDEX('DETALLE CRONOLÓGICO'!$D$2:$D$4919,MATCH($A2184,'DETALLE CRONOLÓGICO'!$A$2:$A$4919,0)+$E2184-1)</f>
        <v/>
      </c>
      <c r="I2184" s="5">
        <f>IFERROR(SUMIFS('DETALLE CRONOLÓGICO'!$L$2:$L$4919,'DETALLE CRONOLÓGICO'!$A$2:$A$4919,$A2184)/$F2184,"")</f>
        <v/>
      </c>
      <c r="J2184" s="6">
        <f>IFERROR(SUMIFS('DETALLE CRONOLÓGICO'!$K$2:$K$4919,'DETALLE CRONOLÓGICO'!$A$2:$A$4919,$A2184)/$E2184,"")</f>
        <v/>
      </c>
      <c r="K2184" s="6">
        <f>_xlfn.MINIFS('DETALLE CRONOLÓGICO'!$K$2:$K$4919,'DETALLE CRONOLÓGICO'!$A$2:$A$4919,$A2184)</f>
        <v/>
      </c>
      <c r="L2184" s="6">
        <f>_xlfn.MAXIFS('DETALLE CRONOLÓGICO'!$K$2:$K$4919,'DETALLE CRONOLÓGICO'!$A$2:$A$4919,$A2184)</f>
        <v/>
      </c>
      <c r="M2184" s="6">
        <f>INDEX('DETALLE CRONOLÓGICO'!$K$2:$K$4919,MATCH($A2184,'DETALLE CRONOLÓGICO'!$A$2:$A$4919,0)+$E2184-1)</f>
        <v/>
      </c>
      <c r="N2184" s="7">
        <f>IFERROR($M2184/INDEX('DETALLE CRONOLÓGICO'!$K$2:$K$4919,MATCH($A2184,'DETALLE CRONOLÓGICO'!$A$2:$A$4919,0))-1,"")</f>
        <v/>
      </c>
      <c r="O2184" s="6">
        <f>IFERROR($I2184*3,"")</f>
        <v/>
      </c>
      <c r="P2184" s="6">
        <f>IFERROR($I2184*3.5,"")</f>
        <v/>
      </c>
      <c r="Q2184" s="6">
        <f>IFERROR($I2184*4,"")</f>
        <v/>
      </c>
      <c r="R2184" s="6" t="n">
        <v>540</v>
      </c>
      <c r="S2184" s="4" t="n">
        <v>2</v>
      </c>
      <c r="T2184" s="1" t="inlineStr">
        <is>
          <t>active</t>
        </is>
      </c>
      <c r="U2184" s="8" t="n"/>
      <c r="V2184" s="1" t="inlineStr">
        <is>
          <t>SIN PRECIO</t>
        </is>
      </c>
    </row>
    <row r="2185">
      <c r="A2185" s="1" t="inlineStr">
        <is>
          <t>98043701215213</t>
        </is>
      </c>
      <c r="B2185" s="1" t="inlineStr">
        <is>
          <t>PULSERA DE TENNIS ESSENTIAL SILVER</t>
        </is>
      </c>
      <c r="C2185" s="1" t="inlineStr">
        <is>
          <t>16.5</t>
        </is>
      </c>
      <c r="D2185" s="1" t="inlineStr">
        <is>
          <t>CYNTHIA / HAIFENG</t>
        </is>
      </c>
      <c r="E2185" s="4">
        <f>COUNTIF('DETALLE CRONOLÓGICO'!$A$2:$A$4919,$A2185)</f>
        <v/>
      </c>
      <c r="F2185" s="4">
        <f>SUMIFS('DETALLE CRONOLÓGICO'!$I$2:$I$4919,'DETALLE CRONOLÓGICO'!$A$2:$A$4919,$A2185)</f>
        <v/>
      </c>
      <c r="G2185" s="1">
        <f>INDEX('DETALLE CRONOLÓGICO'!$D$2:$D$4919,MATCH($A2185,'DETALLE CRONOLÓGICO'!$A$2:$A$4919,0))</f>
        <v/>
      </c>
      <c r="H2185" s="1">
        <f>INDEX('DETALLE CRONOLÓGICO'!$D$2:$D$4919,MATCH($A2185,'DETALLE CRONOLÓGICO'!$A$2:$A$4919,0)+$E2185-1)</f>
        <v/>
      </c>
      <c r="I2185" s="5">
        <f>IFERROR(SUMIFS('DETALLE CRONOLÓGICO'!$L$2:$L$4919,'DETALLE CRONOLÓGICO'!$A$2:$A$4919,$A2185)/$F2185,"")</f>
        <v/>
      </c>
      <c r="J2185" s="6">
        <f>IFERROR(SUMIFS('DETALLE CRONOLÓGICO'!$K$2:$K$4919,'DETALLE CRONOLÓGICO'!$A$2:$A$4919,$A2185)/$E2185,"")</f>
        <v/>
      </c>
      <c r="K2185" s="6">
        <f>_xlfn.MINIFS('DETALLE CRONOLÓGICO'!$K$2:$K$4919,'DETALLE CRONOLÓGICO'!$A$2:$A$4919,$A2185)</f>
        <v/>
      </c>
      <c r="L2185" s="6">
        <f>_xlfn.MAXIFS('DETALLE CRONOLÓGICO'!$K$2:$K$4919,'DETALLE CRONOLÓGICO'!$A$2:$A$4919,$A2185)</f>
        <v/>
      </c>
      <c r="M2185" s="6">
        <f>INDEX('DETALLE CRONOLÓGICO'!$K$2:$K$4919,MATCH($A2185,'DETALLE CRONOLÓGICO'!$A$2:$A$4919,0)+$E2185-1)</f>
        <v/>
      </c>
      <c r="N2185" s="7">
        <f>IFERROR($M2185/INDEX('DETALLE CRONOLÓGICO'!$K$2:$K$4919,MATCH($A2185,'DETALLE CRONOLÓGICO'!$A$2:$A$4919,0))-1,"")</f>
        <v/>
      </c>
      <c r="O2185" s="6">
        <f>IFERROR($I2185*3,"")</f>
        <v/>
      </c>
      <c r="P2185" s="6">
        <f>IFERROR($I2185*3.5,"")</f>
        <v/>
      </c>
      <c r="Q2185" s="6">
        <f>IFERROR($I2185*4,"")</f>
        <v/>
      </c>
      <c r="R2185" s="6" t="n">
        <v>540</v>
      </c>
      <c r="S2185" s="4" t="n">
        <v>0</v>
      </c>
      <c r="T2185" s="1" t="inlineStr">
        <is>
          <t>active</t>
        </is>
      </c>
      <c r="U2185" s="8" t="n"/>
      <c r="V2185" s="1" t="inlineStr">
        <is>
          <t>SIN PRECIO</t>
        </is>
      </c>
    </row>
    <row r="2186">
      <c r="A2186" s="1" t="inlineStr">
        <is>
          <t>98043701347981</t>
        </is>
      </c>
      <c r="B2186" s="1" t="inlineStr">
        <is>
          <t>PULSERA DE TENNIS ESSENTIAL SILVER</t>
        </is>
      </c>
      <c r="C2186" s="1" t="inlineStr">
        <is>
          <t>17.5</t>
        </is>
      </c>
      <c r="D2186" s="1" t="inlineStr">
        <is>
          <t>CYNTHIA</t>
        </is>
      </c>
      <c r="E2186" s="4">
        <f>COUNTIF('DETALLE CRONOLÓGICO'!$A$2:$A$4919,$A2186)</f>
        <v/>
      </c>
      <c r="F2186" s="4">
        <f>SUMIFS('DETALLE CRONOLÓGICO'!$I$2:$I$4919,'DETALLE CRONOLÓGICO'!$A$2:$A$4919,$A2186)</f>
        <v/>
      </c>
      <c r="G2186" s="1">
        <f>INDEX('DETALLE CRONOLÓGICO'!$D$2:$D$4919,MATCH($A2186,'DETALLE CRONOLÓGICO'!$A$2:$A$4919,0))</f>
        <v/>
      </c>
      <c r="H2186" s="1">
        <f>INDEX('DETALLE CRONOLÓGICO'!$D$2:$D$4919,MATCH($A2186,'DETALLE CRONOLÓGICO'!$A$2:$A$4919,0)+$E2186-1)</f>
        <v/>
      </c>
      <c r="I2186" s="5">
        <f>IFERROR(SUMIFS('DETALLE CRONOLÓGICO'!$L$2:$L$4919,'DETALLE CRONOLÓGICO'!$A$2:$A$4919,$A2186)/$F2186,"")</f>
        <v/>
      </c>
      <c r="J2186" s="6">
        <f>IFERROR(SUMIFS('DETALLE CRONOLÓGICO'!$K$2:$K$4919,'DETALLE CRONOLÓGICO'!$A$2:$A$4919,$A2186)/$E2186,"")</f>
        <v/>
      </c>
      <c r="K2186" s="6">
        <f>_xlfn.MINIFS('DETALLE CRONOLÓGICO'!$K$2:$K$4919,'DETALLE CRONOLÓGICO'!$A$2:$A$4919,$A2186)</f>
        <v/>
      </c>
      <c r="L2186" s="6">
        <f>_xlfn.MAXIFS('DETALLE CRONOLÓGICO'!$K$2:$K$4919,'DETALLE CRONOLÓGICO'!$A$2:$A$4919,$A2186)</f>
        <v/>
      </c>
      <c r="M2186" s="6">
        <f>INDEX('DETALLE CRONOLÓGICO'!$K$2:$K$4919,MATCH($A2186,'DETALLE CRONOLÓGICO'!$A$2:$A$4919,0)+$E2186-1)</f>
        <v/>
      </c>
      <c r="N2186" s="7">
        <f>IFERROR($M2186/INDEX('DETALLE CRONOLÓGICO'!$K$2:$K$4919,MATCH($A2186,'DETALLE CRONOLÓGICO'!$A$2:$A$4919,0))-1,"")</f>
        <v/>
      </c>
      <c r="O2186" s="6">
        <f>IFERROR($I2186*3,"")</f>
        <v/>
      </c>
      <c r="P2186" s="6">
        <f>IFERROR($I2186*3.5,"")</f>
        <v/>
      </c>
      <c r="Q2186" s="6">
        <f>IFERROR($I2186*4,"")</f>
        <v/>
      </c>
      <c r="R2186" s="6" t="n">
        <v>540</v>
      </c>
      <c r="S2186" s="4" t="n">
        <v>0</v>
      </c>
      <c r="T2186" s="1" t="inlineStr">
        <is>
          <t>active</t>
        </is>
      </c>
      <c r="U2186" s="8" t="n"/>
      <c r="V2186" s="1" t="inlineStr">
        <is>
          <t>SIN PRECIO</t>
        </is>
      </c>
    </row>
    <row r="2187">
      <c r="A2187" s="1" t="inlineStr">
        <is>
          <t>98043701458157</t>
        </is>
      </c>
      <c r="B2187" s="1" t="inlineStr">
        <is>
          <t>BOLSO CD HOBO DIORSTAR</t>
        </is>
      </c>
      <c r="C2187" s="1" t="inlineStr">
        <is>
          <t>Default Title</t>
        </is>
      </c>
      <c r="D2187" s="1" t="inlineStr">
        <is>
          <t>CYNTHIA</t>
        </is>
      </c>
      <c r="E2187" s="4">
        <f>COUNTIF('DETALLE CRONOLÓGICO'!$A$2:$A$4919,$A2187)</f>
        <v/>
      </c>
      <c r="F2187" s="4">
        <f>SUMIFS('DETALLE CRONOLÓGICO'!$I$2:$I$4919,'DETALLE CRONOLÓGICO'!$A$2:$A$4919,$A2187)</f>
        <v/>
      </c>
      <c r="G2187" s="1">
        <f>INDEX('DETALLE CRONOLÓGICO'!$D$2:$D$4919,MATCH($A2187,'DETALLE CRONOLÓGICO'!$A$2:$A$4919,0))</f>
        <v/>
      </c>
      <c r="H2187" s="1">
        <f>INDEX('DETALLE CRONOLÓGICO'!$D$2:$D$4919,MATCH($A2187,'DETALLE CRONOLÓGICO'!$A$2:$A$4919,0)+$E2187-1)</f>
        <v/>
      </c>
      <c r="I2187" s="5">
        <f>IFERROR(SUMIFS('DETALLE CRONOLÓGICO'!$L$2:$L$4919,'DETALLE CRONOLÓGICO'!$A$2:$A$4919,$A2187)/$F2187,"")</f>
        <v/>
      </c>
      <c r="J2187" s="6">
        <f>IFERROR(SUMIFS('DETALLE CRONOLÓGICO'!$K$2:$K$4919,'DETALLE CRONOLÓGICO'!$A$2:$A$4919,$A2187)/$E2187,"")</f>
        <v/>
      </c>
      <c r="K2187" s="6">
        <f>_xlfn.MINIFS('DETALLE CRONOLÓGICO'!$K$2:$K$4919,'DETALLE CRONOLÓGICO'!$A$2:$A$4919,$A2187)</f>
        <v/>
      </c>
      <c r="L2187" s="6">
        <f>_xlfn.MAXIFS('DETALLE CRONOLÓGICO'!$K$2:$K$4919,'DETALLE CRONOLÓGICO'!$A$2:$A$4919,$A2187)</f>
        <v/>
      </c>
      <c r="M2187" s="6">
        <f>INDEX('DETALLE CRONOLÓGICO'!$K$2:$K$4919,MATCH($A2187,'DETALLE CRONOLÓGICO'!$A$2:$A$4919,0)+$E2187-1)</f>
        <v/>
      </c>
      <c r="N2187" s="7">
        <f>IFERROR($M2187/INDEX('DETALLE CRONOLÓGICO'!$K$2:$K$4919,MATCH($A2187,'DETALLE CRONOLÓGICO'!$A$2:$A$4919,0))-1,"")</f>
        <v/>
      </c>
      <c r="O2187" s="6">
        <f>IFERROR($I2187*3,"")</f>
        <v/>
      </c>
      <c r="P2187" s="6">
        <f>IFERROR($I2187*3.5,"")</f>
        <v/>
      </c>
      <c r="Q2187" s="6">
        <f>IFERROR($I2187*4,"")</f>
        <v/>
      </c>
      <c r="R2187" s="6" t="n">
        <v>6500</v>
      </c>
      <c r="S2187" s="4" t="n">
        <v>3</v>
      </c>
      <c r="T2187" s="1" t="inlineStr">
        <is>
          <t>active</t>
        </is>
      </c>
      <c r="U2187" s="8" t="n"/>
      <c r="V2187" s="1" t="inlineStr">
        <is>
          <t>SIN PRECIO</t>
        </is>
      </c>
    </row>
    <row r="2188">
      <c r="A2188" s="1" t="inlineStr">
        <is>
          <t>98219285835148</t>
        </is>
      </c>
      <c r="B2188" s="1" t="inlineStr">
        <is>
          <t>MINI BOLSO LV STEAMER</t>
        </is>
      </c>
      <c r="C2188" s="1" t="inlineStr">
        <is>
          <t>17cm de largo x 10cm de alto x 7cm de ancho</t>
        </is>
      </c>
      <c r="D2188" s="1" t="inlineStr">
        <is>
          <t>ZOEY</t>
        </is>
      </c>
      <c r="E2188" s="4">
        <f>COUNTIF('DETALLE CRONOLÓGICO'!$A$2:$A$4919,$A2188)</f>
        <v/>
      </c>
      <c r="F2188" s="4">
        <f>SUMIFS('DETALLE CRONOLÓGICO'!$I$2:$I$4919,'DETALLE CRONOLÓGICO'!$A$2:$A$4919,$A2188)</f>
        <v/>
      </c>
      <c r="G2188" s="1">
        <f>INDEX('DETALLE CRONOLÓGICO'!$D$2:$D$4919,MATCH($A2188,'DETALLE CRONOLÓGICO'!$A$2:$A$4919,0))</f>
        <v/>
      </c>
      <c r="H2188" s="1">
        <f>INDEX('DETALLE CRONOLÓGICO'!$D$2:$D$4919,MATCH($A2188,'DETALLE CRONOLÓGICO'!$A$2:$A$4919,0)+$E2188-1)</f>
        <v/>
      </c>
      <c r="I2188" s="5">
        <f>IFERROR(SUMIFS('DETALLE CRONOLÓGICO'!$L$2:$L$4919,'DETALLE CRONOLÓGICO'!$A$2:$A$4919,$A2188)/$F2188,"")</f>
        <v/>
      </c>
      <c r="J2188" s="6">
        <f>IFERROR(SUMIFS('DETALLE CRONOLÓGICO'!$K$2:$K$4919,'DETALLE CRONOLÓGICO'!$A$2:$A$4919,$A2188)/$E2188,"")</f>
        <v/>
      </c>
      <c r="K2188" s="6">
        <f>_xlfn.MINIFS('DETALLE CRONOLÓGICO'!$K$2:$K$4919,'DETALLE CRONOLÓGICO'!$A$2:$A$4919,$A2188)</f>
        <v/>
      </c>
      <c r="L2188" s="6">
        <f>_xlfn.MAXIFS('DETALLE CRONOLÓGICO'!$K$2:$K$4919,'DETALLE CRONOLÓGICO'!$A$2:$A$4919,$A2188)</f>
        <v/>
      </c>
      <c r="M2188" s="6">
        <f>INDEX('DETALLE CRONOLÓGICO'!$K$2:$K$4919,MATCH($A2188,'DETALLE CRONOLÓGICO'!$A$2:$A$4919,0)+$E2188-1)</f>
        <v/>
      </c>
      <c r="N2188" s="7">
        <f>IFERROR($M2188/INDEX('DETALLE CRONOLÓGICO'!$K$2:$K$4919,MATCH($A2188,'DETALLE CRONOLÓGICO'!$A$2:$A$4919,0))-1,"")</f>
        <v/>
      </c>
      <c r="O2188" s="6">
        <f>IFERROR($I2188*3,"")</f>
        <v/>
      </c>
      <c r="P2188" s="6">
        <f>IFERROR($I2188*3.5,"")</f>
        <v/>
      </c>
      <c r="Q2188" s="6">
        <f>IFERROR($I2188*4,"")</f>
        <v/>
      </c>
      <c r="R2188" s="6" t="n">
        <v>3741</v>
      </c>
      <c r="S2188" s="4" t="n">
        <v>6</v>
      </c>
      <c r="T2188" s="1" t="inlineStr">
        <is>
          <t>active</t>
        </is>
      </c>
      <c r="U2188" s="8" t="n"/>
      <c r="V2188" s="1" t="inlineStr">
        <is>
          <t>SIN PRECIO</t>
        </is>
      </c>
    </row>
    <row r="2189">
      <c r="A2189" s="1" t="inlineStr">
        <is>
          <t>98269341086957</t>
        </is>
      </c>
      <c r="B2189" s="1" t="inlineStr">
        <is>
          <t>CINTO C TRIOMPHE BROWN</t>
        </is>
      </c>
      <c r="C2189" s="1" t="inlineStr">
        <is>
          <t>Default Title</t>
        </is>
      </c>
      <c r="D2189" s="1" t="inlineStr">
        <is>
          <t>CYNTHIA</t>
        </is>
      </c>
      <c r="E2189" s="4">
        <f>COUNTIF('DETALLE CRONOLÓGICO'!$A$2:$A$4919,$A2189)</f>
        <v/>
      </c>
      <c r="F2189" s="4">
        <f>SUMIFS('DETALLE CRONOLÓGICO'!$I$2:$I$4919,'DETALLE CRONOLÓGICO'!$A$2:$A$4919,$A2189)</f>
        <v/>
      </c>
      <c r="G2189" s="1">
        <f>INDEX('DETALLE CRONOLÓGICO'!$D$2:$D$4919,MATCH($A2189,'DETALLE CRONOLÓGICO'!$A$2:$A$4919,0))</f>
        <v/>
      </c>
      <c r="H2189" s="1">
        <f>INDEX('DETALLE CRONOLÓGICO'!$D$2:$D$4919,MATCH($A2189,'DETALLE CRONOLÓGICO'!$A$2:$A$4919,0)+$E2189-1)</f>
        <v/>
      </c>
      <c r="I2189" s="5">
        <f>IFERROR(SUMIFS('DETALLE CRONOLÓGICO'!$L$2:$L$4919,'DETALLE CRONOLÓGICO'!$A$2:$A$4919,$A2189)/$F2189,"")</f>
        <v/>
      </c>
      <c r="J2189" s="6">
        <f>IFERROR(SUMIFS('DETALLE CRONOLÓGICO'!$K$2:$K$4919,'DETALLE CRONOLÓGICO'!$A$2:$A$4919,$A2189)/$E2189,"")</f>
        <v/>
      </c>
      <c r="K2189" s="6">
        <f>_xlfn.MINIFS('DETALLE CRONOLÓGICO'!$K$2:$K$4919,'DETALLE CRONOLÓGICO'!$A$2:$A$4919,$A2189)</f>
        <v/>
      </c>
      <c r="L2189" s="6">
        <f>_xlfn.MAXIFS('DETALLE CRONOLÓGICO'!$K$2:$K$4919,'DETALLE CRONOLÓGICO'!$A$2:$A$4919,$A2189)</f>
        <v/>
      </c>
      <c r="M2189" s="6">
        <f>INDEX('DETALLE CRONOLÓGICO'!$K$2:$K$4919,MATCH($A2189,'DETALLE CRONOLÓGICO'!$A$2:$A$4919,0)+$E2189-1)</f>
        <v/>
      </c>
      <c r="N2189" s="7">
        <f>IFERROR($M2189/INDEX('DETALLE CRONOLÓGICO'!$K$2:$K$4919,MATCH($A2189,'DETALLE CRONOLÓGICO'!$A$2:$A$4919,0))-1,"")</f>
        <v/>
      </c>
      <c r="O2189" s="6">
        <f>IFERROR($I2189*3,"")</f>
        <v/>
      </c>
      <c r="P2189" s="6">
        <f>IFERROR($I2189*3.5,"")</f>
        <v/>
      </c>
      <c r="Q2189" s="6">
        <f>IFERROR($I2189*4,"")</f>
        <v/>
      </c>
      <c r="R2189" s="6" t="n">
        <v>999</v>
      </c>
      <c r="S2189" s="4" t="n">
        <v>13</v>
      </c>
      <c r="T2189" s="1" t="inlineStr">
        <is>
          <t>active</t>
        </is>
      </c>
      <c r="U2189" s="8" t="n"/>
      <c r="V2189" s="1" t="inlineStr">
        <is>
          <t>SIN PRECIO</t>
        </is>
      </c>
    </row>
    <row r="2190">
      <c r="A2190" s="1" t="inlineStr">
        <is>
          <t>98269341115213</t>
        </is>
      </c>
      <c r="B2190" s="1" t="inlineStr">
        <is>
          <t>BOLSA CC Nº25 BURDEOS</t>
        </is>
      </c>
      <c r="C2190" s="1" t="inlineStr">
        <is>
          <t>Default Title</t>
        </is>
      </c>
      <c r="D2190" s="1" t="inlineStr">
        <is>
          <t>CYNTHIA</t>
        </is>
      </c>
      <c r="E2190" s="4">
        <f>COUNTIF('DETALLE CRONOLÓGICO'!$A$2:$A$4919,$A2190)</f>
        <v/>
      </c>
      <c r="F2190" s="4">
        <f>SUMIFS('DETALLE CRONOLÓGICO'!$I$2:$I$4919,'DETALLE CRONOLÓGICO'!$A$2:$A$4919,$A2190)</f>
        <v/>
      </c>
      <c r="G2190" s="1">
        <f>INDEX('DETALLE CRONOLÓGICO'!$D$2:$D$4919,MATCH($A2190,'DETALLE CRONOLÓGICO'!$A$2:$A$4919,0))</f>
        <v/>
      </c>
      <c r="H2190" s="1">
        <f>INDEX('DETALLE CRONOLÓGICO'!$D$2:$D$4919,MATCH($A2190,'DETALLE CRONOLÓGICO'!$A$2:$A$4919,0)+$E2190-1)</f>
        <v/>
      </c>
      <c r="I2190" s="5">
        <f>IFERROR(SUMIFS('DETALLE CRONOLÓGICO'!$L$2:$L$4919,'DETALLE CRONOLÓGICO'!$A$2:$A$4919,$A2190)/$F2190,"")</f>
        <v/>
      </c>
      <c r="J2190" s="6">
        <f>IFERROR(SUMIFS('DETALLE CRONOLÓGICO'!$K$2:$K$4919,'DETALLE CRONOLÓGICO'!$A$2:$A$4919,$A2190)/$E2190,"")</f>
        <v/>
      </c>
      <c r="K2190" s="6">
        <f>_xlfn.MINIFS('DETALLE CRONOLÓGICO'!$K$2:$K$4919,'DETALLE CRONOLÓGICO'!$A$2:$A$4919,$A2190)</f>
        <v/>
      </c>
      <c r="L2190" s="6">
        <f>_xlfn.MAXIFS('DETALLE CRONOLÓGICO'!$K$2:$K$4919,'DETALLE CRONOLÓGICO'!$A$2:$A$4919,$A2190)</f>
        <v/>
      </c>
      <c r="M2190" s="6">
        <f>INDEX('DETALLE CRONOLÓGICO'!$K$2:$K$4919,MATCH($A2190,'DETALLE CRONOLÓGICO'!$A$2:$A$4919,0)+$E2190-1)</f>
        <v/>
      </c>
      <c r="N2190" s="7">
        <f>IFERROR($M2190/INDEX('DETALLE CRONOLÓGICO'!$K$2:$K$4919,MATCH($A2190,'DETALLE CRONOLÓGICO'!$A$2:$A$4919,0))-1,"")</f>
        <v/>
      </c>
      <c r="O2190" s="6">
        <f>IFERROR($I2190*3,"")</f>
        <v/>
      </c>
      <c r="P2190" s="6">
        <f>IFERROR($I2190*3.5,"")</f>
        <v/>
      </c>
      <c r="Q2190" s="6">
        <f>IFERROR($I2190*4,"")</f>
        <v/>
      </c>
      <c r="R2190" s="6" t="n">
        <v>6999.6</v>
      </c>
      <c r="S2190" s="4" t="n">
        <v>9</v>
      </c>
      <c r="T2190" s="1" t="inlineStr">
        <is>
          <t>active</t>
        </is>
      </c>
      <c r="U2190" s="8" t="n"/>
      <c r="V2190" s="1" t="inlineStr">
        <is>
          <t>SIN PRECIO</t>
        </is>
      </c>
    </row>
    <row r="2191">
      <c r="A2191" s="1" t="inlineStr">
        <is>
          <t>98269341208877</t>
        </is>
      </c>
      <c r="B2191" s="1" t="inlineStr">
        <is>
          <t>BOLSO GC APHRODITE BROWN</t>
        </is>
      </c>
      <c r="C2191" s="1" t="inlineStr">
        <is>
          <t>Default Title</t>
        </is>
      </c>
      <c r="D2191" s="1" t="inlineStr">
        <is>
          <t>CYNTHIA</t>
        </is>
      </c>
      <c r="E2191" s="4">
        <f>COUNTIF('DETALLE CRONOLÓGICO'!$A$2:$A$4919,$A2191)</f>
        <v/>
      </c>
      <c r="F2191" s="4">
        <f>SUMIFS('DETALLE CRONOLÓGICO'!$I$2:$I$4919,'DETALLE CRONOLÓGICO'!$A$2:$A$4919,$A2191)</f>
        <v/>
      </c>
      <c r="G2191" s="1">
        <f>INDEX('DETALLE CRONOLÓGICO'!$D$2:$D$4919,MATCH($A2191,'DETALLE CRONOLÓGICO'!$A$2:$A$4919,0))</f>
        <v/>
      </c>
      <c r="H2191" s="1">
        <f>INDEX('DETALLE CRONOLÓGICO'!$D$2:$D$4919,MATCH($A2191,'DETALLE CRONOLÓGICO'!$A$2:$A$4919,0)+$E2191-1)</f>
        <v/>
      </c>
      <c r="I2191" s="5">
        <f>IFERROR(SUMIFS('DETALLE CRONOLÓGICO'!$L$2:$L$4919,'DETALLE CRONOLÓGICO'!$A$2:$A$4919,$A2191)/$F2191,"")</f>
        <v/>
      </c>
      <c r="J2191" s="6">
        <f>IFERROR(SUMIFS('DETALLE CRONOLÓGICO'!$K$2:$K$4919,'DETALLE CRONOLÓGICO'!$A$2:$A$4919,$A2191)/$E2191,"")</f>
        <v/>
      </c>
      <c r="K2191" s="6">
        <f>_xlfn.MINIFS('DETALLE CRONOLÓGICO'!$K$2:$K$4919,'DETALLE CRONOLÓGICO'!$A$2:$A$4919,$A2191)</f>
        <v/>
      </c>
      <c r="L2191" s="6">
        <f>_xlfn.MAXIFS('DETALLE CRONOLÓGICO'!$K$2:$K$4919,'DETALLE CRONOLÓGICO'!$A$2:$A$4919,$A2191)</f>
        <v/>
      </c>
      <c r="M2191" s="6">
        <f>INDEX('DETALLE CRONOLÓGICO'!$K$2:$K$4919,MATCH($A2191,'DETALLE CRONOLÓGICO'!$A$2:$A$4919,0)+$E2191-1)</f>
        <v/>
      </c>
      <c r="N2191" s="7">
        <f>IFERROR($M2191/INDEX('DETALLE CRONOLÓGICO'!$K$2:$K$4919,MATCH($A2191,'DETALLE CRONOLÓGICO'!$A$2:$A$4919,0))-1,"")</f>
        <v/>
      </c>
      <c r="O2191" s="6">
        <f>IFERROR($I2191*3,"")</f>
        <v/>
      </c>
      <c r="P2191" s="6">
        <f>IFERROR($I2191*3.5,"")</f>
        <v/>
      </c>
      <c r="Q2191" s="6">
        <f>IFERROR($I2191*4,"")</f>
        <v/>
      </c>
      <c r="R2191" s="6" t="n">
        <v>6500</v>
      </c>
      <c r="S2191" s="4" t="n">
        <v>3</v>
      </c>
      <c r="T2191" s="1" t="inlineStr">
        <is>
          <t>active</t>
        </is>
      </c>
      <c r="U2191" s="8" t="n"/>
      <c r="V2191" s="1" t="inlineStr">
        <is>
          <t>SIN PRECIO</t>
        </is>
      </c>
    </row>
    <row r="2192">
      <c r="A2192" s="1" t="inlineStr">
        <is>
          <t>98269351344877</t>
        </is>
      </c>
      <c r="B2192" s="1" t="inlineStr">
        <is>
          <t>BOLSO CC MINI KELLY BURDEOS</t>
        </is>
      </c>
      <c r="C2192" s="1" t="inlineStr">
        <is>
          <t>Default Title</t>
        </is>
      </c>
      <c r="D2192" s="1" t="inlineStr">
        <is>
          <t>CYNTHIA</t>
        </is>
      </c>
      <c r="E2192" s="4">
        <f>COUNTIF('DETALLE CRONOLÓGICO'!$A$2:$A$4919,$A2192)</f>
        <v/>
      </c>
      <c r="F2192" s="4">
        <f>SUMIFS('DETALLE CRONOLÓGICO'!$I$2:$I$4919,'DETALLE CRONOLÓGICO'!$A$2:$A$4919,$A2192)</f>
        <v/>
      </c>
      <c r="G2192" s="1">
        <f>INDEX('DETALLE CRONOLÓGICO'!$D$2:$D$4919,MATCH($A2192,'DETALLE CRONOLÓGICO'!$A$2:$A$4919,0))</f>
        <v/>
      </c>
      <c r="H2192" s="1">
        <f>INDEX('DETALLE CRONOLÓGICO'!$D$2:$D$4919,MATCH($A2192,'DETALLE CRONOLÓGICO'!$A$2:$A$4919,0)+$E2192-1)</f>
        <v/>
      </c>
      <c r="I2192" s="5">
        <f>IFERROR(SUMIFS('DETALLE CRONOLÓGICO'!$L$2:$L$4919,'DETALLE CRONOLÓGICO'!$A$2:$A$4919,$A2192)/$F2192,"")</f>
        <v/>
      </c>
      <c r="J2192" s="6">
        <f>IFERROR(SUMIFS('DETALLE CRONOLÓGICO'!$K$2:$K$4919,'DETALLE CRONOLÓGICO'!$A$2:$A$4919,$A2192)/$E2192,"")</f>
        <v/>
      </c>
      <c r="K2192" s="6">
        <f>_xlfn.MINIFS('DETALLE CRONOLÓGICO'!$K$2:$K$4919,'DETALLE CRONOLÓGICO'!$A$2:$A$4919,$A2192)</f>
        <v/>
      </c>
      <c r="L2192" s="6">
        <f>_xlfn.MAXIFS('DETALLE CRONOLÓGICO'!$K$2:$K$4919,'DETALLE CRONOLÓGICO'!$A$2:$A$4919,$A2192)</f>
        <v/>
      </c>
      <c r="M2192" s="6">
        <f>INDEX('DETALLE CRONOLÓGICO'!$K$2:$K$4919,MATCH($A2192,'DETALLE CRONOLÓGICO'!$A$2:$A$4919,0)+$E2192-1)</f>
        <v/>
      </c>
      <c r="N2192" s="7">
        <f>IFERROR($M2192/INDEX('DETALLE CRONOLÓGICO'!$K$2:$K$4919,MATCH($A2192,'DETALLE CRONOLÓGICO'!$A$2:$A$4919,0))-1,"")</f>
        <v/>
      </c>
      <c r="O2192" s="6">
        <f>IFERROR($I2192*3,"")</f>
        <v/>
      </c>
      <c r="P2192" s="6">
        <f>IFERROR($I2192*3.5,"")</f>
        <v/>
      </c>
      <c r="Q2192" s="6">
        <f>IFERROR($I2192*4,"")</f>
        <v/>
      </c>
      <c r="R2192" s="6" t="n">
        <v>5629</v>
      </c>
      <c r="S2192" s="4" t="n">
        <v>4</v>
      </c>
      <c r="T2192" s="1" t="inlineStr">
        <is>
          <t>active</t>
        </is>
      </c>
      <c r="U2192" s="8" t="n"/>
      <c r="V2192" s="1" t="inlineStr">
        <is>
          <t>SIN PRECIO</t>
        </is>
      </c>
    </row>
    <row r="2193">
      <c r="A2193" s="1" t="inlineStr">
        <is>
          <t>98269351492173</t>
        </is>
      </c>
      <c r="B2193" s="1" t="inlineStr">
        <is>
          <t>BOLSO C CLAUDE BURDEOS</t>
        </is>
      </c>
      <c r="C2193" s="1" t="inlineStr">
        <is>
          <t>Default Title</t>
        </is>
      </c>
      <c r="D2193" s="1" t="inlineStr">
        <is>
          <t>CYNTHIA</t>
        </is>
      </c>
      <c r="E2193" s="4">
        <f>COUNTIF('DETALLE CRONOLÓGICO'!$A$2:$A$4919,$A2193)</f>
        <v/>
      </c>
      <c r="F2193" s="4">
        <f>SUMIFS('DETALLE CRONOLÓGICO'!$I$2:$I$4919,'DETALLE CRONOLÓGICO'!$A$2:$A$4919,$A2193)</f>
        <v/>
      </c>
      <c r="G2193" s="1">
        <f>INDEX('DETALLE CRONOLÓGICO'!$D$2:$D$4919,MATCH($A2193,'DETALLE CRONOLÓGICO'!$A$2:$A$4919,0))</f>
        <v/>
      </c>
      <c r="H2193" s="1">
        <f>INDEX('DETALLE CRONOLÓGICO'!$D$2:$D$4919,MATCH($A2193,'DETALLE CRONOLÓGICO'!$A$2:$A$4919,0)+$E2193-1)</f>
        <v/>
      </c>
      <c r="I2193" s="5">
        <f>IFERROR(SUMIFS('DETALLE CRONOLÓGICO'!$L$2:$L$4919,'DETALLE CRONOLÓGICO'!$A$2:$A$4919,$A2193)/$F2193,"")</f>
        <v/>
      </c>
      <c r="J2193" s="6">
        <f>IFERROR(SUMIFS('DETALLE CRONOLÓGICO'!$K$2:$K$4919,'DETALLE CRONOLÓGICO'!$A$2:$A$4919,$A2193)/$E2193,"")</f>
        <v/>
      </c>
      <c r="K2193" s="6">
        <f>_xlfn.MINIFS('DETALLE CRONOLÓGICO'!$K$2:$K$4919,'DETALLE CRONOLÓGICO'!$A$2:$A$4919,$A2193)</f>
        <v/>
      </c>
      <c r="L2193" s="6">
        <f>_xlfn.MAXIFS('DETALLE CRONOLÓGICO'!$K$2:$K$4919,'DETALLE CRONOLÓGICO'!$A$2:$A$4919,$A2193)</f>
        <v/>
      </c>
      <c r="M2193" s="6">
        <f>INDEX('DETALLE CRONOLÓGICO'!$K$2:$K$4919,MATCH($A2193,'DETALLE CRONOLÓGICO'!$A$2:$A$4919,0)+$E2193-1)</f>
        <v/>
      </c>
      <c r="N2193" s="7">
        <f>IFERROR($M2193/INDEX('DETALLE CRONOLÓGICO'!$K$2:$K$4919,MATCH($A2193,'DETALLE CRONOLÓGICO'!$A$2:$A$4919,0))-1,"")</f>
        <v/>
      </c>
      <c r="O2193" s="6">
        <f>IFERROR($I2193*3,"")</f>
        <v/>
      </c>
      <c r="P2193" s="6">
        <f>IFERROR($I2193*3.5,"")</f>
        <v/>
      </c>
      <c r="Q2193" s="6">
        <f>IFERROR($I2193*4,"")</f>
        <v/>
      </c>
      <c r="R2193" s="6" t="n">
        <v>5200</v>
      </c>
      <c r="S2193" s="4" t="n">
        <v>3</v>
      </c>
      <c r="T2193" s="1" t="inlineStr">
        <is>
          <t>active</t>
        </is>
      </c>
      <c r="U2193" s="8" t="n"/>
      <c r="V2193" s="1" t="inlineStr">
        <is>
          <t>SIN PRECIO</t>
        </is>
      </c>
    </row>
    <row r="2194">
      <c r="A2194" s="1" t="inlineStr">
        <is>
          <t>98269351593261</t>
        </is>
      </c>
      <c r="B2194" s="1" t="inlineStr">
        <is>
          <t>SUETER PR BLACK CON PLACA DEL LOGO</t>
        </is>
      </c>
      <c r="C2194" s="1" t="inlineStr">
        <is>
          <t>S</t>
        </is>
      </c>
      <c r="D2194" s="1" t="inlineStr">
        <is>
          <t>CYNTHIA</t>
        </is>
      </c>
      <c r="E2194" s="4">
        <f>COUNTIF('DETALLE CRONOLÓGICO'!$A$2:$A$4919,$A2194)</f>
        <v/>
      </c>
      <c r="F2194" s="4">
        <f>SUMIFS('DETALLE CRONOLÓGICO'!$I$2:$I$4919,'DETALLE CRONOLÓGICO'!$A$2:$A$4919,$A2194)</f>
        <v/>
      </c>
      <c r="G2194" s="1">
        <f>INDEX('DETALLE CRONOLÓGICO'!$D$2:$D$4919,MATCH($A2194,'DETALLE CRONOLÓGICO'!$A$2:$A$4919,0))</f>
        <v/>
      </c>
      <c r="H2194" s="1">
        <f>INDEX('DETALLE CRONOLÓGICO'!$D$2:$D$4919,MATCH($A2194,'DETALLE CRONOLÓGICO'!$A$2:$A$4919,0)+$E2194-1)</f>
        <v/>
      </c>
      <c r="I2194" s="5">
        <f>IFERROR(SUMIFS('DETALLE CRONOLÓGICO'!$L$2:$L$4919,'DETALLE CRONOLÓGICO'!$A$2:$A$4919,$A2194)/$F2194,"")</f>
        <v/>
      </c>
      <c r="J2194" s="6">
        <f>IFERROR(SUMIFS('DETALLE CRONOLÓGICO'!$K$2:$K$4919,'DETALLE CRONOLÓGICO'!$A$2:$A$4919,$A2194)/$E2194,"")</f>
        <v/>
      </c>
      <c r="K2194" s="6">
        <f>_xlfn.MINIFS('DETALLE CRONOLÓGICO'!$K$2:$K$4919,'DETALLE CRONOLÓGICO'!$A$2:$A$4919,$A2194)</f>
        <v/>
      </c>
      <c r="L2194" s="6">
        <f>_xlfn.MAXIFS('DETALLE CRONOLÓGICO'!$K$2:$K$4919,'DETALLE CRONOLÓGICO'!$A$2:$A$4919,$A2194)</f>
        <v/>
      </c>
      <c r="M2194" s="6">
        <f>INDEX('DETALLE CRONOLÓGICO'!$K$2:$K$4919,MATCH($A2194,'DETALLE CRONOLÓGICO'!$A$2:$A$4919,0)+$E2194-1)</f>
        <v/>
      </c>
      <c r="N2194" s="7">
        <f>IFERROR($M2194/INDEX('DETALLE CRONOLÓGICO'!$K$2:$K$4919,MATCH($A2194,'DETALLE CRONOLÓGICO'!$A$2:$A$4919,0))-1,"")</f>
        <v/>
      </c>
      <c r="O2194" s="6">
        <f>IFERROR($I2194*3,"")</f>
        <v/>
      </c>
      <c r="P2194" s="6">
        <f>IFERROR($I2194*3.5,"")</f>
        <v/>
      </c>
      <c r="Q2194" s="6">
        <f>IFERROR($I2194*4,"")</f>
        <v/>
      </c>
      <c r="R2194" s="6" t="n">
        <v>2499</v>
      </c>
      <c r="S2194" s="4" t="n">
        <v>0</v>
      </c>
      <c r="T2194" s="1" t="inlineStr">
        <is>
          <t>active</t>
        </is>
      </c>
      <c r="U2194" s="8" t="n"/>
      <c r="V2194" s="1" t="inlineStr">
        <is>
          <t>SIN PRECIO</t>
        </is>
      </c>
    </row>
    <row r="2195">
      <c r="A2195" s="1" t="inlineStr">
        <is>
          <t>98269351593262</t>
        </is>
      </c>
      <c r="B2195" s="1" t="inlineStr">
        <is>
          <t>SUETER PR BLACK CON PLACA DEL LOGO</t>
        </is>
      </c>
      <c r="C2195" s="1" t="inlineStr">
        <is>
          <t>M</t>
        </is>
      </c>
      <c r="D2195" s="1" t="inlineStr">
        <is>
          <t>CYNTHIA</t>
        </is>
      </c>
      <c r="E2195" s="4">
        <f>COUNTIF('DETALLE CRONOLÓGICO'!$A$2:$A$4919,$A2195)</f>
        <v/>
      </c>
      <c r="F2195" s="4">
        <f>SUMIFS('DETALLE CRONOLÓGICO'!$I$2:$I$4919,'DETALLE CRONOLÓGICO'!$A$2:$A$4919,$A2195)</f>
        <v/>
      </c>
      <c r="G2195" s="1">
        <f>INDEX('DETALLE CRONOLÓGICO'!$D$2:$D$4919,MATCH($A2195,'DETALLE CRONOLÓGICO'!$A$2:$A$4919,0))</f>
        <v/>
      </c>
      <c r="H2195" s="1">
        <f>INDEX('DETALLE CRONOLÓGICO'!$D$2:$D$4919,MATCH($A2195,'DETALLE CRONOLÓGICO'!$A$2:$A$4919,0)+$E2195-1)</f>
        <v/>
      </c>
      <c r="I2195" s="5">
        <f>IFERROR(SUMIFS('DETALLE CRONOLÓGICO'!$L$2:$L$4919,'DETALLE CRONOLÓGICO'!$A$2:$A$4919,$A2195)/$F2195,"")</f>
        <v/>
      </c>
      <c r="J2195" s="6">
        <f>IFERROR(SUMIFS('DETALLE CRONOLÓGICO'!$K$2:$K$4919,'DETALLE CRONOLÓGICO'!$A$2:$A$4919,$A2195)/$E2195,"")</f>
        <v/>
      </c>
      <c r="K2195" s="6">
        <f>_xlfn.MINIFS('DETALLE CRONOLÓGICO'!$K$2:$K$4919,'DETALLE CRONOLÓGICO'!$A$2:$A$4919,$A2195)</f>
        <v/>
      </c>
      <c r="L2195" s="6">
        <f>_xlfn.MAXIFS('DETALLE CRONOLÓGICO'!$K$2:$K$4919,'DETALLE CRONOLÓGICO'!$A$2:$A$4919,$A2195)</f>
        <v/>
      </c>
      <c r="M2195" s="6">
        <f>INDEX('DETALLE CRONOLÓGICO'!$K$2:$K$4919,MATCH($A2195,'DETALLE CRONOLÓGICO'!$A$2:$A$4919,0)+$E2195-1)</f>
        <v/>
      </c>
      <c r="N2195" s="7">
        <f>IFERROR($M2195/INDEX('DETALLE CRONOLÓGICO'!$K$2:$K$4919,MATCH($A2195,'DETALLE CRONOLÓGICO'!$A$2:$A$4919,0))-1,"")</f>
        <v/>
      </c>
      <c r="O2195" s="6">
        <f>IFERROR($I2195*3,"")</f>
        <v/>
      </c>
      <c r="P2195" s="6">
        <f>IFERROR($I2195*3.5,"")</f>
        <v/>
      </c>
      <c r="Q2195" s="6">
        <f>IFERROR($I2195*4,"")</f>
        <v/>
      </c>
      <c r="R2195" s="6" t="n">
        <v>2499</v>
      </c>
      <c r="S2195" s="4" t="n">
        <v>0</v>
      </c>
      <c r="T2195" s="1" t="inlineStr">
        <is>
          <t>active</t>
        </is>
      </c>
      <c r="U2195" s="8" t="n"/>
      <c r="V2195" s="1" t="inlineStr">
        <is>
          <t>SIN PRECIO</t>
        </is>
      </c>
    </row>
    <row r="2196">
      <c r="A2196" s="1" t="inlineStr">
        <is>
          <t>98946151012205</t>
        </is>
      </c>
      <c r="B2196" s="1" t="inlineStr">
        <is>
          <t>COLLAR CON PASADOR Y PLACA ESTILO CORAZÓN CON ZIRCONIA</t>
        </is>
      </c>
      <c r="C2196" s="1" t="inlineStr">
        <is>
          <t>Default Title</t>
        </is>
      </c>
      <c r="D2196" s="1" t="inlineStr">
        <is>
          <t>ZOEY</t>
        </is>
      </c>
      <c r="E2196" s="4">
        <f>COUNTIF('DETALLE CRONOLÓGICO'!$A$2:$A$4919,$A2196)</f>
        <v/>
      </c>
      <c r="F2196" s="4">
        <f>SUMIFS('DETALLE CRONOLÓGICO'!$I$2:$I$4919,'DETALLE CRONOLÓGICO'!$A$2:$A$4919,$A2196)</f>
        <v/>
      </c>
      <c r="G2196" s="1">
        <f>INDEX('DETALLE CRONOLÓGICO'!$D$2:$D$4919,MATCH($A2196,'DETALLE CRONOLÓGICO'!$A$2:$A$4919,0))</f>
        <v/>
      </c>
      <c r="H2196" s="1">
        <f>INDEX('DETALLE CRONOLÓGICO'!$D$2:$D$4919,MATCH($A2196,'DETALLE CRONOLÓGICO'!$A$2:$A$4919,0)+$E2196-1)</f>
        <v/>
      </c>
      <c r="I2196" s="5">
        <f>IFERROR(SUMIFS('DETALLE CRONOLÓGICO'!$L$2:$L$4919,'DETALLE CRONOLÓGICO'!$A$2:$A$4919,$A2196)/$F2196,"")</f>
        <v/>
      </c>
      <c r="J2196" s="6">
        <f>IFERROR(SUMIFS('DETALLE CRONOLÓGICO'!$K$2:$K$4919,'DETALLE CRONOLÓGICO'!$A$2:$A$4919,$A2196)/$E2196,"")</f>
        <v/>
      </c>
      <c r="K2196" s="6">
        <f>_xlfn.MINIFS('DETALLE CRONOLÓGICO'!$K$2:$K$4919,'DETALLE CRONOLÓGICO'!$A$2:$A$4919,$A2196)</f>
        <v/>
      </c>
      <c r="L2196" s="6">
        <f>_xlfn.MAXIFS('DETALLE CRONOLÓGICO'!$K$2:$K$4919,'DETALLE CRONOLÓGICO'!$A$2:$A$4919,$A2196)</f>
        <v/>
      </c>
      <c r="M2196" s="6">
        <f>INDEX('DETALLE CRONOLÓGICO'!$K$2:$K$4919,MATCH($A2196,'DETALLE CRONOLÓGICO'!$A$2:$A$4919,0)+$E2196-1)</f>
        <v/>
      </c>
      <c r="N2196" s="7">
        <f>IFERROR($M2196/INDEX('DETALLE CRONOLÓGICO'!$K$2:$K$4919,MATCH($A2196,'DETALLE CRONOLÓGICO'!$A$2:$A$4919,0))-1,"")</f>
        <v/>
      </c>
      <c r="O2196" s="6">
        <f>IFERROR($I2196*3,"")</f>
        <v/>
      </c>
      <c r="P2196" s="6">
        <f>IFERROR($I2196*3.5,"")</f>
        <v/>
      </c>
      <c r="Q2196" s="6">
        <f>IFERROR($I2196*4,"")</f>
        <v/>
      </c>
      <c r="R2196" s="6" t="n">
        <v>899</v>
      </c>
      <c r="S2196" s="4" t="n">
        <v>0</v>
      </c>
      <c r="T2196" s="1" t="inlineStr">
        <is>
          <t>active</t>
        </is>
      </c>
      <c r="U2196" s="8" t="n"/>
      <c r="V2196" s="1" t="inlineStr">
        <is>
          <t>SIN PRECIO</t>
        </is>
      </c>
    </row>
    <row r="2197">
      <c r="A2197" s="1" t="inlineStr">
        <is>
          <t>99045341185485</t>
        </is>
      </c>
      <c r="B2197" s="1" t="inlineStr">
        <is>
          <t>ANILLO TRÉBOL CON ZIRCONIA GOLD VF</t>
        </is>
      </c>
      <c r="C2197" s="1" t="inlineStr">
        <is>
          <t>7</t>
        </is>
      </c>
      <c r="D2197" s="1" t="inlineStr">
        <is>
          <t>HAIFENG</t>
        </is>
      </c>
      <c r="E2197" s="4">
        <f>COUNTIF('DETALLE CRONOLÓGICO'!$A$2:$A$4919,$A2197)</f>
        <v/>
      </c>
      <c r="F2197" s="4">
        <f>SUMIFS('DETALLE CRONOLÓGICO'!$I$2:$I$4919,'DETALLE CRONOLÓGICO'!$A$2:$A$4919,$A2197)</f>
        <v/>
      </c>
      <c r="G2197" s="1">
        <f>INDEX('DETALLE CRONOLÓGICO'!$D$2:$D$4919,MATCH($A2197,'DETALLE CRONOLÓGICO'!$A$2:$A$4919,0))</f>
        <v/>
      </c>
      <c r="H2197" s="1">
        <f>INDEX('DETALLE CRONOLÓGICO'!$D$2:$D$4919,MATCH($A2197,'DETALLE CRONOLÓGICO'!$A$2:$A$4919,0)+$E2197-1)</f>
        <v/>
      </c>
      <c r="I2197" s="5">
        <f>IFERROR(SUMIFS('DETALLE CRONOLÓGICO'!$L$2:$L$4919,'DETALLE CRONOLÓGICO'!$A$2:$A$4919,$A2197)/$F2197,"")</f>
        <v/>
      </c>
      <c r="J2197" s="6">
        <f>IFERROR(SUMIFS('DETALLE CRONOLÓGICO'!$K$2:$K$4919,'DETALLE CRONOLÓGICO'!$A$2:$A$4919,$A2197)/$E2197,"")</f>
        <v/>
      </c>
      <c r="K2197" s="6">
        <f>_xlfn.MINIFS('DETALLE CRONOLÓGICO'!$K$2:$K$4919,'DETALLE CRONOLÓGICO'!$A$2:$A$4919,$A2197)</f>
        <v/>
      </c>
      <c r="L2197" s="6">
        <f>_xlfn.MAXIFS('DETALLE CRONOLÓGICO'!$K$2:$K$4919,'DETALLE CRONOLÓGICO'!$A$2:$A$4919,$A2197)</f>
        <v/>
      </c>
      <c r="M2197" s="6">
        <f>INDEX('DETALLE CRONOLÓGICO'!$K$2:$K$4919,MATCH($A2197,'DETALLE CRONOLÓGICO'!$A$2:$A$4919,0)+$E2197-1)</f>
        <v/>
      </c>
      <c r="N2197" s="7">
        <f>IFERROR($M2197/INDEX('DETALLE CRONOLÓGICO'!$K$2:$K$4919,MATCH($A2197,'DETALLE CRONOLÓGICO'!$A$2:$A$4919,0))-1,"")</f>
        <v/>
      </c>
      <c r="O2197" s="6">
        <f>IFERROR($I2197*3,"")</f>
        <v/>
      </c>
      <c r="P2197" s="6">
        <f>IFERROR($I2197*3.5,"")</f>
        <v/>
      </c>
      <c r="Q2197" s="6">
        <f>IFERROR($I2197*4,"")</f>
        <v/>
      </c>
      <c r="R2197" s="6" t="n">
        <v>480</v>
      </c>
      <c r="S2197" s="4" t="n">
        <v>3</v>
      </c>
      <c r="T2197" s="1" t="inlineStr">
        <is>
          <t>active</t>
        </is>
      </c>
      <c r="U2197" s="8" t="n"/>
      <c r="V2197" s="1" t="inlineStr">
        <is>
          <t>SIN PRECIO</t>
        </is>
      </c>
    </row>
    <row r="2198">
      <c r="A2198" s="1" t="inlineStr">
        <is>
          <t>99507971069997</t>
        </is>
      </c>
      <c r="B2198" s="1" t="inlineStr">
        <is>
          <t>ARETES TRES AROS CON ZIRCONIA</t>
        </is>
      </c>
      <c r="C2198" s="1" t="inlineStr">
        <is>
          <t>2cm</t>
        </is>
      </c>
      <c r="D2198" s="1" t="inlineStr">
        <is>
          <t>HAIFENG</t>
        </is>
      </c>
      <c r="E2198" s="4">
        <f>COUNTIF('DETALLE CRONOLÓGICO'!$A$2:$A$4919,$A2198)</f>
        <v/>
      </c>
      <c r="F2198" s="4">
        <f>SUMIFS('DETALLE CRONOLÓGICO'!$I$2:$I$4919,'DETALLE CRONOLÓGICO'!$A$2:$A$4919,$A2198)</f>
        <v/>
      </c>
      <c r="G2198" s="1">
        <f>INDEX('DETALLE CRONOLÓGICO'!$D$2:$D$4919,MATCH($A2198,'DETALLE CRONOLÓGICO'!$A$2:$A$4919,0))</f>
        <v/>
      </c>
      <c r="H2198" s="1">
        <f>INDEX('DETALLE CRONOLÓGICO'!$D$2:$D$4919,MATCH($A2198,'DETALLE CRONOLÓGICO'!$A$2:$A$4919,0)+$E2198-1)</f>
        <v/>
      </c>
      <c r="I2198" s="5">
        <f>IFERROR(SUMIFS('DETALLE CRONOLÓGICO'!$L$2:$L$4919,'DETALLE CRONOLÓGICO'!$A$2:$A$4919,$A2198)/$F2198,"")</f>
        <v/>
      </c>
      <c r="J2198" s="6">
        <f>IFERROR(SUMIFS('DETALLE CRONOLÓGICO'!$K$2:$K$4919,'DETALLE CRONOLÓGICO'!$A$2:$A$4919,$A2198)/$E2198,"")</f>
        <v/>
      </c>
      <c r="K2198" s="6">
        <f>_xlfn.MINIFS('DETALLE CRONOLÓGICO'!$K$2:$K$4919,'DETALLE CRONOLÓGICO'!$A$2:$A$4919,$A2198)</f>
        <v/>
      </c>
      <c r="L2198" s="6">
        <f>_xlfn.MAXIFS('DETALLE CRONOLÓGICO'!$K$2:$K$4919,'DETALLE CRONOLÓGICO'!$A$2:$A$4919,$A2198)</f>
        <v/>
      </c>
      <c r="M2198" s="6">
        <f>INDEX('DETALLE CRONOLÓGICO'!$K$2:$K$4919,MATCH($A2198,'DETALLE CRONOLÓGICO'!$A$2:$A$4919,0)+$E2198-1)</f>
        <v/>
      </c>
      <c r="N2198" s="7">
        <f>IFERROR($M2198/INDEX('DETALLE CRONOLÓGICO'!$K$2:$K$4919,MATCH($A2198,'DETALLE CRONOLÓGICO'!$A$2:$A$4919,0))-1,"")</f>
        <v/>
      </c>
      <c r="O2198" s="6">
        <f>IFERROR($I2198*3,"")</f>
        <v/>
      </c>
      <c r="P2198" s="6">
        <f>IFERROR($I2198*3.5,"")</f>
        <v/>
      </c>
      <c r="Q2198" s="6">
        <f>IFERROR($I2198*4,"")</f>
        <v/>
      </c>
      <c r="R2198" s="6" t="n">
        <v>906</v>
      </c>
      <c r="S2198" s="4" t="n">
        <v>7</v>
      </c>
      <c r="T2198" s="1" t="inlineStr">
        <is>
          <t>active</t>
        </is>
      </c>
      <c r="U2198" s="8" t="n"/>
      <c r="V2198" s="1" t="inlineStr">
        <is>
          <t>SIN PRECIO</t>
        </is>
      </c>
    </row>
    <row r="2199">
      <c r="A2199" s="1" t="inlineStr">
        <is>
          <t>99781781012045</t>
        </is>
      </c>
      <c r="B2199" s="1" t="inlineStr">
        <is>
          <t>CINTO GC DELGADO MARMONT</t>
        </is>
      </c>
      <c r="C2199" s="1" t="inlineStr">
        <is>
          <t>100CM</t>
        </is>
      </c>
      <c r="D2199" s="1" t="inlineStr">
        <is>
          <t>ZOEY</t>
        </is>
      </c>
      <c r="E2199" s="4">
        <f>COUNTIF('DETALLE CRONOLÓGICO'!$A$2:$A$4919,$A2199)</f>
        <v/>
      </c>
      <c r="F2199" s="4">
        <f>SUMIFS('DETALLE CRONOLÓGICO'!$I$2:$I$4919,'DETALLE CRONOLÓGICO'!$A$2:$A$4919,$A2199)</f>
        <v/>
      </c>
      <c r="G2199" s="1">
        <f>INDEX('DETALLE CRONOLÓGICO'!$D$2:$D$4919,MATCH($A2199,'DETALLE CRONOLÓGICO'!$A$2:$A$4919,0))</f>
        <v/>
      </c>
      <c r="H2199" s="1">
        <f>INDEX('DETALLE CRONOLÓGICO'!$D$2:$D$4919,MATCH($A2199,'DETALLE CRONOLÓGICO'!$A$2:$A$4919,0)+$E2199-1)</f>
        <v/>
      </c>
      <c r="I2199" s="5">
        <f>IFERROR(SUMIFS('DETALLE CRONOLÓGICO'!$L$2:$L$4919,'DETALLE CRONOLÓGICO'!$A$2:$A$4919,$A2199)/$F2199,"")</f>
        <v/>
      </c>
      <c r="J2199" s="6">
        <f>IFERROR(SUMIFS('DETALLE CRONOLÓGICO'!$K$2:$K$4919,'DETALLE CRONOLÓGICO'!$A$2:$A$4919,$A2199)/$E2199,"")</f>
        <v/>
      </c>
      <c r="K2199" s="6">
        <f>_xlfn.MINIFS('DETALLE CRONOLÓGICO'!$K$2:$K$4919,'DETALLE CRONOLÓGICO'!$A$2:$A$4919,$A2199)</f>
        <v/>
      </c>
      <c r="L2199" s="6">
        <f>_xlfn.MAXIFS('DETALLE CRONOLÓGICO'!$K$2:$K$4919,'DETALLE CRONOLÓGICO'!$A$2:$A$4919,$A2199)</f>
        <v/>
      </c>
      <c r="M2199" s="6">
        <f>INDEX('DETALLE CRONOLÓGICO'!$K$2:$K$4919,MATCH($A2199,'DETALLE CRONOLÓGICO'!$A$2:$A$4919,0)+$E2199-1)</f>
        <v/>
      </c>
      <c r="N2199" s="7">
        <f>IFERROR($M2199/INDEX('DETALLE CRONOLÓGICO'!$K$2:$K$4919,MATCH($A2199,'DETALLE CRONOLÓGICO'!$A$2:$A$4919,0))-1,"")</f>
        <v/>
      </c>
      <c r="O2199" s="6">
        <f>IFERROR($I2199*3,"")</f>
        <v/>
      </c>
      <c r="P2199" s="6">
        <f>IFERROR($I2199*3.5,"")</f>
        <v/>
      </c>
      <c r="Q2199" s="6">
        <f>IFERROR($I2199*4,"")</f>
        <v/>
      </c>
      <c r="R2199" s="6" t="n">
        <v>4779</v>
      </c>
      <c r="S2199" s="4" t="n">
        <v>2</v>
      </c>
      <c r="T2199" s="1" t="inlineStr">
        <is>
          <t>active</t>
        </is>
      </c>
      <c r="U2199" s="8" t="n"/>
      <c r="V2199" s="1" t="inlineStr">
        <is>
          <t>SIN PRECIO</t>
        </is>
      </c>
    </row>
    <row r="2200">
      <c r="A2200" s="1" t="inlineStr">
        <is>
          <t>99781781126317</t>
        </is>
      </c>
      <c r="B2200" s="1" t="inlineStr">
        <is>
          <t>CINTO GC REVERSIBLE HEBILLA</t>
        </is>
      </c>
      <c r="C2200" s="1" t="inlineStr">
        <is>
          <t>100CM</t>
        </is>
      </c>
      <c r="D2200" s="1" t="inlineStr">
        <is>
          <t>ZOEY</t>
        </is>
      </c>
      <c r="E2200" s="4">
        <f>COUNTIF('DETALLE CRONOLÓGICO'!$A$2:$A$4919,$A2200)</f>
        <v/>
      </c>
      <c r="F2200" s="4">
        <f>SUMIFS('DETALLE CRONOLÓGICO'!$I$2:$I$4919,'DETALLE CRONOLÓGICO'!$A$2:$A$4919,$A2200)</f>
        <v/>
      </c>
      <c r="G2200" s="1">
        <f>INDEX('DETALLE CRONOLÓGICO'!$D$2:$D$4919,MATCH($A2200,'DETALLE CRONOLÓGICO'!$A$2:$A$4919,0))</f>
        <v/>
      </c>
      <c r="H2200" s="1">
        <f>INDEX('DETALLE CRONOLÓGICO'!$D$2:$D$4919,MATCH($A2200,'DETALLE CRONOLÓGICO'!$A$2:$A$4919,0)+$E2200-1)</f>
        <v/>
      </c>
      <c r="I2200" s="5">
        <f>IFERROR(SUMIFS('DETALLE CRONOLÓGICO'!$L$2:$L$4919,'DETALLE CRONOLÓGICO'!$A$2:$A$4919,$A2200)/$F2200,"")</f>
        <v/>
      </c>
      <c r="J2200" s="6">
        <f>IFERROR(SUMIFS('DETALLE CRONOLÓGICO'!$K$2:$K$4919,'DETALLE CRONOLÓGICO'!$A$2:$A$4919,$A2200)/$E2200,"")</f>
        <v/>
      </c>
      <c r="K2200" s="6">
        <f>_xlfn.MINIFS('DETALLE CRONOLÓGICO'!$K$2:$K$4919,'DETALLE CRONOLÓGICO'!$A$2:$A$4919,$A2200)</f>
        <v/>
      </c>
      <c r="L2200" s="6">
        <f>_xlfn.MAXIFS('DETALLE CRONOLÓGICO'!$K$2:$K$4919,'DETALLE CRONOLÓGICO'!$A$2:$A$4919,$A2200)</f>
        <v/>
      </c>
      <c r="M2200" s="6">
        <f>INDEX('DETALLE CRONOLÓGICO'!$K$2:$K$4919,MATCH($A2200,'DETALLE CRONOLÓGICO'!$A$2:$A$4919,0)+$E2200-1)</f>
        <v/>
      </c>
      <c r="N2200" s="7">
        <f>IFERROR($M2200/INDEX('DETALLE CRONOLÓGICO'!$K$2:$K$4919,MATCH($A2200,'DETALLE CRONOLÓGICO'!$A$2:$A$4919,0))-1,"")</f>
        <v/>
      </c>
      <c r="O2200" s="6">
        <f>IFERROR($I2200*3,"")</f>
        <v/>
      </c>
      <c r="P2200" s="6">
        <f>IFERROR($I2200*3.5,"")</f>
        <v/>
      </c>
      <c r="Q2200" s="6">
        <f>IFERROR($I2200*4,"")</f>
        <v/>
      </c>
      <c r="R2200" s="6" t="n">
        <v>4779</v>
      </c>
      <c r="S2200" s="4" t="n">
        <v>4</v>
      </c>
      <c r="T2200" s="1" t="inlineStr">
        <is>
          <t>active</t>
        </is>
      </c>
      <c r="U2200" s="8" t="n"/>
      <c r="V2200" s="1" t="inlineStr">
        <is>
          <t>SIN PRECIO</t>
        </is>
      </c>
    </row>
    <row r="2201">
      <c r="A2201" s="1" t="inlineStr">
        <is>
          <t>99781781282669</t>
        </is>
      </c>
      <c r="B2201" s="1" t="inlineStr">
        <is>
          <t>CARTERA GC CONTINENTAL BICOLOR</t>
        </is>
      </c>
      <c r="C2201" s="1" t="inlineStr">
        <is>
          <t>Default Title</t>
        </is>
      </c>
      <c r="D2201" s="1" t="inlineStr">
        <is>
          <t>ZOEY</t>
        </is>
      </c>
      <c r="E2201" s="4">
        <f>COUNTIF('DETALLE CRONOLÓGICO'!$A$2:$A$4919,$A2201)</f>
        <v/>
      </c>
      <c r="F2201" s="4">
        <f>SUMIFS('DETALLE CRONOLÓGICO'!$I$2:$I$4919,'DETALLE CRONOLÓGICO'!$A$2:$A$4919,$A2201)</f>
        <v/>
      </c>
      <c r="G2201" s="1">
        <f>INDEX('DETALLE CRONOLÓGICO'!$D$2:$D$4919,MATCH($A2201,'DETALLE CRONOLÓGICO'!$A$2:$A$4919,0))</f>
        <v/>
      </c>
      <c r="H2201" s="1">
        <f>INDEX('DETALLE CRONOLÓGICO'!$D$2:$D$4919,MATCH($A2201,'DETALLE CRONOLÓGICO'!$A$2:$A$4919,0)+$E2201-1)</f>
        <v/>
      </c>
      <c r="I2201" s="5">
        <f>IFERROR(SUMIFS('DETALLE CRONOLÓGICO'!$L$2:$L$4919,'DETALLE CRONOLÓGICO'!$A$2:$A$4919,$A2201)/$F2201,"")</f>
        <v/>
      </c>
      <c r="J2201" s="6">
        <f>IFERROR(SUMIFS('DETALLE CRONOLÓGICO'!$K$2:$K$4919,'DETALLE CRONOLÓGICO'!$A$2:$A$4919,$A2201)/$E2201,"")</f>
        <v/>
      </c>
      <c r="K2201" s="6">
        <f>_xlfn.MINIFS('DETALLE CRONOLÓGICO'!$K$2:$K$4919,'DETALLE CRONOLÓGICO'!$A$2:$A$4919,$A2201)</f>
        <v/>
      </c>
      <c r="L2201" s="6">
        <f>_xlfn.MAXIFS('DETALLE CRONOLÓGICO'!$K$2:$K$4919,'DETALLE CRONOLÓGICO'!$A$2:$A$4919,$A2201)</f>
        <v/>
      </c>
      <c r="M2201" s="6">
        <f>INDEX('DETALLE CRONOLÓGICO'!$K$2:$K$4919,MATCH($A2201,'DETALLE CRONOLÓGICO'!$A$2:$A$4919,0)+$E2201-1)</f>
        <v/>
      </c>
      <c r="N2201" s="7">
        <f>IFERROR($M2201/INDEX('DETALLE CRONOLÓGICO'!$K$2:$K$4919,MATCH($A2201,'DETALLE CRONOLÓGICO'!$A$2:$A$4919,0))-1,"")</f>
        <v/>
      </c>
      <c r="O2201" s="6">
        <f>IFERROR($I2201*3,"")</f>
        <v/>
      </c>
      <c r="P2201" s="6">
        <f>IFERROR($I2201*3.5,"")</f>
        <v/>
      </c>
      <c r="Q2201" s="6">
        <f>IFERROR($I2201*4,"")</f>
        <v/>
      </c>
      <c r="R2201" s="6" t="n">
        <v>2869</v>
      </c>
      <c r="S2201" s="4" t="n">
        <v>0</v>
      </c>
      <c r="T2201" s="1" t="inlineStr">
        <is>
          <t>active</t>
        </is>
      </c>
      <c r="U2201" s="8" t="n"/>
      <c r="V2201" s="1" t="inlineStr">
        <is>
          <t>SIN PRECIO</t>
        </is>
      </c>
    </row>
    <row r="2202">
      <c r="A2202" s="1" t="inlineStr">
        <is>
          <t>99781781384365</t>
        </is>
      </c>
      <c r="B2202" s="1" t="inlineStr">
        <is>
          <t>TARJETERO GC MARMONT</t>
        </is>
      </c>
      <c r="C2202" s="1" t="inlineStr">
        <is>
          <t>Default Title</t>
        </is>
      </c>
      <c r="D2202" s="1" t="inlineStr">
        <is>
          <t>ZOEY</t>
        </is>
      </c>
      <c r="E2202" s="4">
        <f>COUNTIF('DETALLE CRONOLÓGICO'!$A$2:$A$4919,$A2202)</f>
        <v/>
      </c>
      <c r="F2202" s="4">
        <f>SUMIFS('DETALLE CRONOLÓGICO'!$I$2:$I$4919,'DETALLE CRONOLÓGICO'!$A$2:$A$4919,$A2202)</f>
        <v/>
      </c>
      <c r="G2202" s="1">
        <f>INDEX('DETALLE CRONOLÓGICO'!$D$2:$D$4919,MATCH($A2202,'DETALLE CRONOLÓGICO'!$A$2:$A$4919,0))</f>
        <v/>
      </c>
      <c r="H2202" s="1">
        <f>INDEX('DETALLE CRONOLÓGICO'!$D$2:$D$4919,MATCH($A2202,'DETALLE CRONOLÓGICO'!$A$2:$A$4919,0)+$E2202-1)</f>
        <v/>
      </c>
      <c r="I2202" s="5">
        <f>IFERROR(SUMIFS('DETALLE CRONOLÓGICO'!$L$2:$L$4919,'DETALLE CRONOLÓGICO'!$A$2:$A$4919,$A2202)/$F2202,"")</f>
        <v/>
      </c>
      <c r="J2202" s="6">
        <f>IFERROR(SUMIFS('DETALLE CRONOLÓGICO'!$K$2:$K$4919,'DETALLE CRONOLÓGICO'!$A$2:$A$4919,$A2202)/$E2202,"")</f>
        <v/>
      </c>
      <c r="K2202" s="6">
        <f>_xlfn.MINIFS('DETALLE CRONOLÓGICO'!$K$2:$K$4919,'DETALLE CRONOLÓGICO'!$A$2:$A$4919,$A2202)</f>
        <v/>
      </c>
      <c r="L2202" s="6">
        <f>_xlfn.MAXIFS('DETALLE CRONOLÓGICO'!$K$2:$K$4919,'DETALLE CRONOLÓGICO'!$A$2:$A$4919,$A2202)</f>
        <v/>
      </c>
      <c r="M2202" s="6">
        <f>INDEX('DETALLE CRONOLÓGICO'!$K$2:$K$4919,MATCH($A2202,'DETALLE CRONOLÓGICO'!$A$2:$A$4919,0)+$E2202-1)</f>
        <v/>
      </c>
      <c r="N2202" s="7">
        <f>IFERROR($M2202/INDEX('DETALLE CRONOLÓGICO'!$K$2:$K$4919,MATCH($A2202,'DETALLE CRONOLÓGICO'!$A$2:$A$4919,0))-1,"")</f>
        <v/>
      </c>
      <c r="O2202" s="6">
        <f>IFERROR($I2202*3,"")</f>
        <v/>
      </c>
      <c r="P2202" s="6">
        <f>IFERROR($I2202*3.5,"")</f>
        <v/>
      </c>
      <c r="Q2202" s="6">
        <f>IFERROR($I2202*4,"")</f>
        <v/>
      </c>
      <c r="R2202" s="6" t="n">
        <v>1399</v>
      </c>
      <c r="S2202" s="4" t="n">
        <v>3</v>
      </c>
      <c r="T2202" s="1" t="inlineStr">
        <is>
          <t>active</t>
        </is>
      </c>
      <c r="U2202" s="8" t="n"/>
      <c r="V2202" s="1" t="inlineStr">
        <is>
          <t>SIN PRECIO</t>
        </is>
      </c>
    </row>
    <row r="2203">
      <c r="A2203" s="1" t="inlineStr">
        <is>
          <t>99781781418829</t>
        </is>
      </c>
      <c r="B2203" s="1" t="inlineStr">
        <is>
          <t>CARTERA GC PLEGABLE</t>
        </is>
      </c>
      <c r="C2203" s="1" t="inlineStr">
        <is>
          <t>BLACK</t>
        </is>
      </c>
      <c r="D2203" s="1" t="inlineStr">
        <is>
          <t>ZOEY</t>
        </is>
      </c>
      <c r="E2203" s="4">
        <f>COUNTIF('DETALLE CRONOLÓGICO'!$A$2:$A$4919,$A2203)</f>
        <v/>
      </c>
      <c r="F2203" s="4">
        <f>SUMIFS('DETALLE CRONOLÓGICO'!$I$2:$I$4919,'DETALLE CRONOLÓGICO'!$A$2:$A$4919,$A2203)</f>
        <v/>
      </c>
      <c r="G2203" s="1">
        <f>INDEX('DETALLE CRONOLÓGICO'!$D$2:$D$4919,MATCH($A2203,'DETALLE CRONOLÓGICO'!$A$2:$A$4919,0))</f>
        <v/>
      </c>
      <c r="H2203" s="1">
        <f>INDEX('DETALLE CRONOLÓGICO'!$D$2:$D$4919,MATCH($A2203,'DETALLE CRONOLÓGICO'!$A$2:$A$4919,0)+$E2203-1)</f>
        <v/>
      </c>
      <c r="I2203" s="5">
        <f>IFERROR(SUMIFS('DETALLE CRONOLÓGICO'!$L$2:$L$4919,'DETALLE CRONOLÓGICO'!$A$2:$A$4919,$A2203)/$F2203,"")</f>
        <v/>
      </c>
      <c r="J2203" s="6">
        <f>IFERROR(SUMIFS('DETALLE CRONOLÓGICO'!$K$2:$K$4919,'DETALLE CRONOLÓGICO'!$A$2:$A$4919,$A2203)/$E2203,"")</f>
        <v/>
      </c>
      <c r="K2203" s="6">
        <f>_xlfn.MINIFS('DETALLE CRONOLÓGICO'!$K$2:$K$4919,'DETALLE CRONOLÓGICO'!$A$2:$A$4919,$A2203)</f>
        <v/>
      </c>
      <c r="L2203" s="6">
        <f>_xlfn.MAXIFS('DETALLE CRONOLÓGICO'!$K$2:$K$4919,'DETALLE CRONOLÓGICO'!$A$2:$A$4919,$A2203)</f>
        <v/>
      </c>
      <c r="M2203" s="6">
        <f>INDEX('DETALLE CRONOLÓGICO'!$K$2:$K$4919,MATCH($A2203,'DETALLE CRONOLÓGICO'!$A$2:$A$4919,0)+$E2203-1)</f>
        <v/>
      </c>
      <c r="N2203" s="7">
        <f>IFERROR($M2203/INDEX('DETALLE CRONOLÓGICO'!$K$2:$K$4919,MATCH($A2203,'DETALLE CRONOLÓGICO'!$A$2:$A$4919,0))-1,"")</f>
        <v/>
      </c>
      <c r="O2203" s="6">
        <f>IFERROR($I2203*3,"")</f>
        <v/>
      </c>
      <c r="P2203" s="6">
        <f>IFERROR($I2203*3.5,"")</f>
        <v/>
      </c>
      <c r="Q2203" s="6">
        <f>IFERROR($I2203*4,"")</f>
        <v/>
      </c>
      <c r="R2203" s="6" t="n">
        <v>1999</v>
      </c>
      <c r="S2203" s="4" t="n">
        <v>2</v>
      </c>
      <c r="T2203" s="1" t="inlineStr">
        <is>
          <t>active</t>
        </is>
      </c>
      <c r="U2203" s="8" t="n"/>
      <c r="V2203" s="1" t="inlineStr">
        <is>
          <t>SIN PRECIO</t>
        </is>
      </c>
    </row>
    <row r="2204">
      <c r="A2204" s="1" t="inlineStr">
        <is>
          <t>99781781554989</t>
        </is>
      </c>
      <c r="B2204" s="1" t="inlineStr">
        <is>
          <t>CARTERA GC CADENA OPHIDIA</t>
        </is>
      </c>
      <c r="C2204" s="1" t="inlineStr">
        <is>
          <t>Default Title</t>
        </is>
      </c>
      <c r="D2204" s="1" t="inlineStr">
        <is>
          <t>ZOEY</t>
        </is>
      </c>
      <c r="E2204" s="4">
        <f>COUNTIF('DETALLE CRONOLÓGICO'!$A$2:$A$4919,$A2204)</f>
        <v/>
      </c>
      <c r="F2204" s="4">
        <f>SUMIFS('DETALLE CRONOLÓGICO'!$I$2:$I$4919,'DETALLE CRONOLÓGICO'!$A$2:$A$4919,$A2204)</f>
        <v/>
      </c>
      <c r="G2204" s="1">
        <f>INDEX('DETALLE CRONOLÓGICO'!$D$2:$D$4919,MATCH($A2204,'DETALLE CRONOLÓGICO'!$A$2:$A$4919,0))</f>
        <v/>
      </c>
      <c r="H2204" s="1">
        <f>INDEX('DETALLE CRONOLÓGICO'!$D$2:$D$4919,MATCH($A2204,'DETALLE CRONOLÓGICO'!$A$2:$A$4919,0)+$E2204-1)</f>
        <v/>
      </c>
      <c r="I2204" s="5">
        <f>IFERROR(SUMIFS('DETALLE CRONOLÓGICO'!$L$2:$L$4919,'DETALLE CRONOLÓGICO'!$A$2:$A$4919,$A2204)/$F2204,"")</f>
        <v/>
      </c>
      <c r="J2204" s="6">
        <f>IFERROR(SUMIFS('DETALLE CRONOLÓGICO'!$K$2:$K$4919,'DETALLE CRONOLÓGICO'!$A$2:$A$4919,$A2204)/$E2204,"")</f>
        <v/>
      </c>
      <c r="K2204" s="6">
        <f>_xlfn.MINIFS('DETALLE CRONOLÓGICO'!$K$2:$K$4919,'DETALLE CRONOLÓGICO'!$A$2:$A$4919,$A2204)</f>
        <v/>
      </c>
      <c r="L2204" s="6">
        <f>_xlfn.MAXIFS('DETALLE CRONOLÓGICO'!$K$2:$K$4919,'DETALLE CRONOLÓGICO'!$A$2:$A$4919,$A2204)</f>
        <v/>
      </c>
      <c r="M2204" s="6">
        <f>INDEX('DETALLE CRONOLÓGICO'!$K$2:$K$4919,MATCH($A2204,'DETALLE CRONOLÓGICO'!$A$2:$A$4919,0)+$E2204-1)</f>
        <v/>
      </c>
      <c r="N2204" s="7">
        <f>IFERROR($M2204/INDEX('DETALLE CRONOLÓGICO'!$K$2:$K$4919,MATCH($A2204,'DETALLE CRONOLÓGICO'!$A$2:$A$4919,0))-1,"")</f>
        <v/>
      </c>
      <c r="O2204" s="6">
        <f>IFERROR($I2204*3,"")</f>
        <v/>
      </c>
      <c r="P2204" s="6">
        <f>IFERROR($I2204*3.5,"")</f>
        <v/>
      </c>
      <c r="Q2204" s="6">
        <f>IFERROR($I2204*4,"")</f>
        <v/>
      </c>
      <c r="R2204" s="6" t="n">
        <v>2869</v>
      </c>
      <c r="S2204" s="4" t="n">
        <v>0</v>
      </c>
      <c r="T2204" s="1" t="inlineStr">
        <is>
          <t>active</t>
        </is>
      </c>
      <c r="U2204" s="8" t="n"/>
      <c r="V2204" s="1" t="inlineStr">
        <is>
          <t>SIN PRECIO</t>
        </is>
      </c>
    </row>
    <row r="2205">
      <c r="A2205" s="1" t="inlineStr">
        <is>
          <t>99781781623917</t>
        </is>
      </c>
      <c r="B2205" s="1" t="inlineStr">
        <is>
          <t>TARJETERO GC LEATHER LOGO SILVER</t>
        </is>
      </c>
      <c r="C2205" s="1" t="inlineStr">
        <is>
          <t>BLACK</t>
        </is>
      </c>
      <c r="D2205" s="1" t="inlineStr">
        <is>
          <t>ZOEY</t>
        </is>
      </c>
      <c r="E2205" s="4">
        <f>COUNTIF('DETALLE CRONOLÓGICO'!$A$2:$A$4919,$A2205)</f>
        <v/>
      </c>
      <c r="F2205" s="4">
        <f>SUMIFS('DETALLE CRONOLÓGICO'!$I$2:$I$4919,'DETALLE CRONOLÓGICO'!$A$2:$A$4919,$A2205)</f>
        <v/>
      </c>
      <c r="G2205" s="1">
        <f>INDEX('DETALLE CRONOLÓGICO'!$D$2:$D$4919,MATCH($A2205,'DETALLE CRONOLÓGICO'!$A$2:$A$4919,0))</f>
        <v/>
      </c>
      <c r="H2205" s="1">
        <f>INDEX('DETALLE CRONOLÓGICO'!$D$2:$D$4919,MATCH($A2205,'DETALLE CRONOLÓGICO'!$A$2:$A$4919,0)+$E2205-1)</f>
        <v/>
      </c>
      <c r="I2205" s="5">
        <f>IFERROR(SUMIFS('DETALLE CRONOLÓGICO'!$L$2:$L$4919,'DETALLE CRONOLÓGICO'!$A$2:$A$4919,$A2205)/$F2205,"")</f>
        <v/>
      </c>
      <c r="J2205" s="6">
        <f>IFERROR(SUMIFS('DETALLE CRONOLÓGICO'!$K$2:$K$4919,'DETALLE CRONOLÓGICO'!$A$2:$A$4919,$A2205)/$E2205,"")</f>
        <v/>
      </c>
      <c r="K2205" s="6">
        <f>_xlfn.MINIFS('DETALLE CRONOLÓGICO'!$K$2:$K$4919,'DETALLE CRONOLÓGICO'!$A$2:$A$4919,$A2205)</f>
        <v/>
      </c>
      <c r="L2205" s="6">
        <f>_xlfn.MAXIFS('DETALLE CRONOLÓGICO'!$K$2:$K$4919,'DETALLE CRONOLÓGICO'!$A$2:$A$4919,$A2205)</f>
        <v/>
      </c>
      <c r="M2205" s="6">
        <f>INDEX('DETALLE CRONOLÓGICO'!$K$2:$K$4919,MATCH($A2205,'DETALLE CRONOLÓGICO'!$A$2:$A$4919,0)+$E2205-1)</f>
        <v/>
      </c>
      <c r="N2205" s="7">
        <f>IFERROR($M2205/INDEX('DETALLE CRONOLÓGICO'!$K$2:$K$4919,MATCH($A2205,'DETALLE CRONOLÓGICO'!$A$2:$A$4919,0))-1,"")</f>
        <v/>
      </c>
      <c r="O2205" s="6">
        <f>IFERROR($I2205*3,"")</f>
        <v/>
      </c>
      <c r="P2205" s="6">
        <f>IFERROR($I2205*3.5,"")</f>
        <v/>
      </c>
      <c r="Q2205" s="6">
        <f>IFERROR($I2205*4,"")</f>
        <v/>
      </c>
      <c r="R2205" s="6" t="n">
        <v>1999</v>
      </c>
      <c r="S2205" s="4" t="n">
        <v>2</v>
      </c>
      <c r="T2205" s="1" t="inlineStr">
        <is>
          <t>active</t>
        </is>
      </c>
      <c r="U2205" s="8" t="n"/>
      <c r="V2205" s="1" t="inlineStr">
        <is>
          <t>SIN PRECIO</t>
        </is>
      </c>
    </row>
    <row r="2206">
      <c r="A2206" s="1" t="inlineStr">
        <is>
          <t>99781781725613</t>
        </is>
      </c>
      <c r="B2206" s="1" t="inlineStr">
        <is>
          <t>CARTERA GC LEATHER</t>
        </is>
      </c>
      <c r="C2206" s="1" t="inlineStr">
        <is>
          <t>Default Title</t>
        </is>
      </c>
      <c r="D2206" s="1" t="inlineStr">
        <is>
          <t>ZOEY</t>
        </is>
      </c>
      <c r="E2206" s="4">
        <f>COUNTIF('DETALLE CRONOLÓGICO'!$A$2:$A$4919,$A2206)</f>
        <v/>
      </c>
      <c r="F2206" s="4">
        <f>SUMIFS('DETALLE CRONOLÓGICO'!$I$2:$I$4919,'DETALLE CRONOLÓGICO'!$A$2:$A$4919,$A2206)</f>
        <v/>
      </c>
      <c r="G2206" s="1">
        <f>INDEX('DETALLE CRONOLÓGICO'!$D$2:$D$4919,MATCH($A2206,'DETALLE CRONOLÓGICO'!$A$2:$A$4919,0))</f>
        <v/>
      </c>
      <c r="H2206" s="1">
        <f>INDEX('DETALLE CRONOLÓGICO'!$D$2:$D$4919,MATCH($A2206,'DETALLE CRONOLÓGICO'!$A$2:$A$4919,0)+$E2206-1)</f>
        <v/>
      </c>
      <c r="I2206" s="5">
        <f>IFERROR(SUMIFS('DETALLE CRONOLÓGICO'!$L$2:$L$4919,'DETALLE CRONOLÓGICO'!$A$2:$A$4919,$A2206)/$F2206,"")</f>
        <v/>
      </c>
      <c r="J2206" s="6">
        <f>IFERROR(SUMIFS('DETALLE CRONOLÓGICO'!$K$2:$K$4919,'DETALLE CRONOLÓGICO'!$A$2:$A$4919,$A2206)/$E2206,"")</f>
        <v/>
      </c>
      <c r="K2206" s="6">
        <f>_xlfn.MINIFS('DETALLE CRONOLÓGICO'!$K$2:$K$4919,'DETALLE CRONOLÓGICO'!$A$2:$A$4919,$A2206)</f>
        <v/>
      </c>
      <c r="L2206" s="6">
        <f>_xlfn.MAXIFS('DETALLE CRONOLÓGICO'!$K$2:$K$4919,'DETALLE CRONOLÓGICO'!$A$2:$A$4919,$A2206)</f>
        <v/>
      </c>
      <c r="M2206" s="6">
        <f>INDEX('DETALLE CRONOLÓGICO'!$K$2:$K$4919,MATCH($A2206,'DETALLE CRONOLÓGICO'!$A$2:$A$4919,0)+$E2206-1)</f>
        <v/>
      </c>
      <c r="N2206" s="7">
        <f>IFERROR($M2206/INDEX('DETALLE CRONOLÓGICO'!$K$2:$K$4919,MATCH($A2206,'DETALLE CRONOLÓGICO'!$A$2:$A$4919,0))-1,"")</f>
        <v/>
      </c>
      <c r="O2206" s="6">
        <f>IFERROR($I2206*3,"")</f>
        <v/>
      </c>
      <c r="P2206" s="6">
        <f>IFERROR($I2206*3.5,"")</f>
        <v/>
      </c>
      <c r="Q2206" s="6">
        <f>IFERROR($I2206*4,"")</f>
        <v/>
      </c>
      <c r="R2206" s="6" t="n">
        <v>2020</v>
      </c>
      <c r="S2206" s="4" t="n">
        <v>2</v>
      </c>
      <c r="T2206" s="1" t="inlineStr">
        <is>
          <t>active</t>
        </is>
      </c>
      <c r="U2206" s="8" t="n"/>
      <c r="V2206" s="1" t="inlineStr">
        <is>
          <t>SIN PRECIO</t>
        </is>
      </c>
    </row>
    <row r="2207">
      <c r="A2207" s="1" t="inlineStr">
        <is>
          <t>99781781861773</t>
        </is>
      </c>
      <c r="B2207" s="1" t="inlineStr">
        <is>
          <t>TARJETERO GC EBANO</t>
        </is>
      </c>
      <c r="C2207" s="1" t="inlineStr">
        <is>
          <t>BROWN</t>
        </is>
      </c>
      <c r="D2207" s="1" t="inlineStr">
        <is>
          <t>ZOEY</t>
        </is>
      </c>
      <c r="E2207" s="4">
        <f>COUNTIF('DETALLE CRONOLÓGICO'!$A$2:$A$4919,$A2207)</f>
        <v/>
      </c>
      <c r="F2207" s="4">
        <f>SUMIFS('DETALLE CRONOLÓGICO'!$I$2:$I$4919,'DETALLE CRONOLÓGICO'!$A$2:$A$4919,$A2207)</f>
        <v/>
      </c>
      <c r="G2207" s="1">
        <f>INDEX('DETALLE CRONOLÓGICO'!$D$2:$D$4919,MATCH($A2207,'DETALLE CRONOLÓGICO'!$A$2:$A$4919,0))</f>
        <v/>
      </c>
      <c r="H2207" s="1">
        <f>INDEX('DETALLE CRONOLÓGICO'!$D$2:$D$4919,MATCH($A2207,'DETALLE CRONOLÓGICO'!$A$2:$A$4919,0)+$E2207-1)</f>
        <v/>
      </c>
      <c r="I2207" s="5">
        <f>IFERROR(SUMIFS('DETALLE CRONOLÓGICO'!$L$2:$L$4919,'DETALLE CRONOLÓGICO'!$A$2:$A$4919,$A2207)/$F2207,"")</f>
        <v/>
      </c>
      <c r="J2207" s="6">
        <f>IFERROR(SUMIFS('DETALLE CRONOLÓGICO'!$K$2:$K$4919,'DETALLE CRONOLÓGICO'!$A$2:$A$4919,$A2207)/$E2207,"")</f>
        <v/>
      </c>
      <c r="K2207" s="6">
        <f>_xlfn.MINIFS('DETALLE CRONOLÓGICO'!$K$2:$K$4919,'DETALLE CRONOLÓGICO'!$A$2:$A$4919,$A2207)</f>
        <v/>
      </c>
      <c r="L2207" s="6">
        <f>_xlfn.MAXIFS('DETALLE CRONOLÓGICO'!$K$2:$K$4919,'DETALLE CRONOLÓGICO'!$A$2:$A$4919,$A2207)</f>
        <v/>
      </c>
      <c r="M2207" s="6">
        <f>INDEX('DETALLE CRONOLÓGICO'!$K$2:$K$4919,MATCH($A2207,'DETALLE CRONOLÓGICO'!$A$2:$A$4919,0)+$E2207-1)</f>
        <v/>
      </c>
      <c r="N2207" s="7">
        <f>IFERROR($M2207/INDEX('DETALLE CRONOLÓGICO'!$K$2:$K$4919,MATCH($A2207,'DETALLE CRONOLÓGICO'!$A$2:$A$4919,0))-1,"")</f>
        <v/>
      </c>
      <c r="O2207" s="6">
        <f>IFERROR($I2207*3,"")</f>
        <v/>
      </c>
      <c r="P2207" s="6">
        <f>IFERROR($I2207*3.5,"")</f>
        <v/>
      </c>
      <c r="Q2207" s="6">
        <f>IFERROR($I2207*4,"")</f>
        <v/>
      </c>
      <c r="R2207" s="6" t="n">
        <v>2350</v>
      </c>
      <c r="S2207" s="4" t="n">
        <v>0</v>
      </c>
      <c r="T2207" s="1" t="inlineStr">
        <is>
          <t>active</t>
        </is>
      </c>
      <c r="U2207" s="8" t="n"/>
      <c r="V2207" s="1" t="inlineStr">
        <is>
          <t>SIN PRECIO</t>
        </is>
      </c>
    </row>
    <row r="2208">
      <c r="A2208" s="1" t="inlineStr">
        <is>
          <t>99781781934093</t>
        </is>
      </c>
      <c r="B2208" s="1" t="inlineStr">
        <is>
          <t>TARJETERO GC OPHIDIA SUPREME</t>
        </is>
      </c>
      <c r="C2208" s="1" t="inlineStr">
        <is>
          <t>BROWN</t>
        </is>
      </c>
      <c r="D2208" s="1" t="inlineStr">
        <is>
          <t>ZOEY</t>
        </is>
      </c>
      <c r="E2208" s="4">
        <f>COUNTIF('DETALLE CRONOLÓGICO'!$A$2:$A$4919,$A2208)</f>
        <v/>
      </c>
      <c r="F2208" s="4">
        <f>SUMIFS('DETALLE CRONOLÓGICO'!$I$2:$I$4919,'DETALLE CRONOLÓGICO'!$A$2:$A$4919,$A2208)</f>
        <v/>
      </c>
      <c r="G2208" s="1">
        <f>INDEX('DETALLE CRONOLÓGICO'!$D$2:$D$4919,MATCH($A2208,'DETALLE CRONOLÓGICO'!$A$2:$A$4919,0))</f>
        <v/>
      </c>
      <c r="H2208" s="1">
        <f>INDEX('DETALLE CRONOLÓGICO'!$D$2:$D$4919,MATCH($A2208,'DETALLE CRONOLÓGICO'!$A$2:$A$4919,0)+$E2208-1)</f>
        <v/>
      </c>
      <c r="I2208" s="5">
        <f>IFERROR(SUMIFS('DETALLE CRONOLÓGICO'!$L$2:$L$4919,'DETALLE CRONOLÓGICO'!$A$2:$A$4919,$A2208)/$F2208,"")</f>
        <v/>
      </c>
      <c r="J2208" s="6">
        <f>IFERROR(SUMIFS('DETALLE CRONOLÓGICO'!$K$2:$K$4919,'DETALLE CRONOLÓGICO'!$A$2:$A$4919,$A2208)/$E2208,"")</f>
        <v/>
      </c>
      <c r="K2208" s="6">
        <f>_xlfn.MINIFS('DETALLE CRONOLÓGICO'!$K$2:$K$4919,'DETALLE CRONOLÓGICO'!$A$2:$A$4919,$A2208)</f>
        <v/>
      </c>
      <c r="L2208" s="6">
        <f>_xlfn.MAXIFS('DETALLE CRONOLÓGICO'!$K$2:$K$4919,'DETALLE CRONOLÓGICO'!$A$2:$A$4919,$A2208)</f>
        <v/>
      </c>
      <c r="M2208" s="6">
        <f>INDEX('DETALLE CRONOLÓGICO'!$K$2:$K$4919,MATCH($A2208,'DETALLE CRONOLÓGICO'!$A$2:$A$4919,0)+$E2208-1)</f>
        <v/>
      </c>
      <c r="N2208" s="7">
        <f>IFERROR($M2208/INDEX('DETALLE CRONOLÓGICO'!$K$2:$K$4919,MATCH($A2208,'DETALLE CRONOLÓGICO'!$A$2:$A$4919,0))-1,"")</f>
        <v/>
      </c>
      <c r="O2208" s="6">
        <f>IFERROR($I2208*3,"")</f>
        <v/>
      </c>
      <c r="P2208" s="6">
        <f>IFERROR($I2208*3.5,"")</f>
        <v/>
      </c>
      <c r="Q2208" s="6">
        <f>IFERROR($I2208*4,"")</f>
        <v/>
      </c>
      <c r="R2208" s="6" t="n">
        <v>1475</v>
      </c>
      <c r="S2208" s="4" t="n">
        <v>0</v>
      </c>
      <c r="T2208" s="1" t="inlineStr">
        <is>
          <t>active</t>
        </is>
      </c>
      <c r="U2208" s="8" t="n"/>
      <c r="V2208" s="1" t="inlineStr">
        <is>
          <t>SIN PRECIO</t>
        </is>
      </c>
    </row>
    <row r="2209">
      <c r="A2209" s="1" t="inlineStr">
        <is>
          <t>99781782096237</t>
        </is>
      </c>
      <c r="B2209" s="1" t="inlineStr">
        <is>
          <t>TARJETERO GC SUPREME</t>
        </is>
      </c>
      <c r="C2209" s="1" t="inlineStr">
        <is>
          <t>BROWN</t>
        </is>
      </c>
      <c r="D2209" s="1" t="inlineStr">
        <is>
          <t>ZOEY</t>
        </is>
      </c>
      <c r="E2209" s="4">
        <f>COUNTIF('DETALLE CRONOLÓGICO'!$A$2:$A$4919,$A2209)</f>
        <v/>
      </c>
      <c r="F2209" s="4">
        <f>SUMIFS('DETALLE CRONOLÓGICO'!$I$2:$I$4919,'DETALLE CRONOLÓGICO'!$A$2:$A$4919,$A2209)</f>
        <v/>
      </c>
      <c r="G2209" s="1">
        <f>INDEX('DETALLE CRONOLÓGICO'!$D$2:$D$4919,MATCH($A2209,'DETALLE CRONOLÓGICO'!$A$2:$A$4919,0))</f>
        <v/>
      </c>
      <c r="H2209" s="1">
        <f>INDEX('DETALLE CRONOLÓGICO'!$D$2:$D$4919,MATCH($A2209,'DETALLE CRONOLÓGICO'!$A$2:$A$4919,0)+$E2209-1)</f>
        <v/>
      </c>
      <c r="I2209" s="5">
        <f>IFERROR(SUMIFS('DETALLE CRONOLÓGICO'!$L$2:$L$4919,'DETALLE CRONOLÓGICO'!$A$2:$A$4919,$A2209)/$F2209,"")</f>
        <v/>
      </c>
      <c r="J2209" s="6">
        <f>IFERROR(SUMIFS('DETALLE CRONOLÓGICO'!$K$2:$K$4919,'DETALLE CRONOLÓGICO'!$A$2:$A$4919,$A2209)/$E2209,"")</f>
        <v/>
      </c>
      <c r="K2209" s="6">
        <f>_xlfn.MINIFS('DETALLE CRONOLÓGICO'!$K$2:$K$4919,'DETALLE CRONOLÓGICO'!$A$2:$A$4919,$A2209)</f>
        <v/>
      </c>
      <c r="L2209" s="6">
        <f>_xlfn.MAXIFS('DETALLE CRONOLÓGICO'!$K$2:$K$4919,'DETALLE CRONOLÓGICO'!$A$2:$A$4919,$A2209)</f>
        <v/>
      </c>
      <c r="M2209" s="6">
        <f>INDEX('DETALLE CRONOLÓGICO'!$K$2:$K$4919,MATCH($A2209,'DETALLE CRONOLÓGICO'!$A$2:$A$4919,0)+$E2209-1)</f>
        <v/>
      </c>
      <c r="N2209" s="7">
        <f>IFERROR($M2209/INDEX('DETALLE CRONOLÓGICO'!$K$2:$K$4919,MATCH($A2209,'DETALLE CRONOLÓGICO'!$A$2:$A$4919,0))-1,"")</f>
        <v/>
      </c>
      <c r="O2209" s="6">
        <f>IFERROR($I2209*3,"")</f>
        <v/>
      </c>
      <c r="P2209" s="6">
        <f>IFERROR($I2209*3.5,"")</f>
        <v/>
      </c>
      <c r="Q2209" s="6">
        <f>IFERROR($I2209*4,"")</f>
        <v/>
      </c>
      <c r="R2209" s="6" t="n">
        <v>1685</v>
      </c>
      <c r="S2209" s="4" t="n">
        <v>2</v>
      </c>
      <c r="T2209" s="1" t="inlineStr">
        <is>
          <t>active</t>
        </is>
      </c>
      <c r="U2209" s="8" t="n"/>
      <c r="V2209" s="1" t="inlineStr">
        <is>
          <t>SIN PRECIO</t>
        </is>
      </c>
    </row>
    <row r="2210">
      <c r="A2210" s="1" t="inlineStr">
        <is>
          <t>99781782139949</t>
        </is>
      </c>
      <c r="B2210" s="1" t="inlineStr">
        <is>
          <t>TARJETERO GC EMBLEM</t>
        </is>
      </c>
      <c r="C2210" s="1" t="inlineStr">
        <is>
          <t>Default Title</t>
        </is>
      </c>
      <c r="D2210" s="1" t="inlineStr">
        <is>
          <t>ZOEY</t>
        </is>
      </c>
      <c r="E2210" s="4">
        <f>COUNTIF('DETALLE CRONOLÓGICO'!$A$2:$A$4919,$A2210)</f>
        <v/>
      </c>
      <c r="F2210" s="4">
        <f>SUMIFS('DETALLE CRONOLÓGICO'!$I$2:$I$4919,'DETALLE CRONOLÓGICO'!$A$2:$A$4919,$A2210)</f>
        <v/>
      </c>
      <c r="G2210" s="1">
        <f>INDEX('DETALLE CRONOLÓGICO'!$D$2:$D$4919,MATCH($A2210,'DETALLE CRONOLÓGICO'!$A$2:$A$4919,0))</f>
        <v/>
      </c>
      <c r="H2210" s="1">
        <f>INDEX('DETALLE CRONOLÓGICO'!$D$2:$D$4919,MATCH($A2210,'DETALLE CRONOLÓGICO'!$A$2:$A$4919,0)+$E2210-1)</f>
        <v/>
      </c>
      <c r="I2210" s="5">
        <f>IFERROR(SUMIFS('DETALLE CRONOLÓGICO'!$L$2:$L$4919,'DETALLE CRONOLÓGICO'!$A$2:$A$4919,$A2210)/$F2210,"")</f>
        <v/>
      </c>
      <c r="J2210" s="6">
        <f>IFERROR(SUMIFS('DETALLE CRONOLÓGICO'!$K$2:$K$4919,'DETALLE CRONOLÓGICO'!$A$2:$A$4919,$A2210)/$E2210,"")</f>
        <v/>
      </c>
      <c r="K2210" s="6">
        <f>_xlfn.MINIFS('DETALLE CRONOLÓGICO'!$K$2:$K$4919,'DETALLE CRONOLÓGICO'!$A$2:$A$4919,$A2210)</f>
        <v/>
      </c>
      <c r="L2210" s="6">
        <f>_xlfn.MAXIFS('DETALLE CRONOLÓGICO'!$K$2:$K$4919,'DETALLE CRONOLÓGICO'!$A$2:$A$4919,$A2210)</f>
        <v/>
      </c>
      <c r="M2210" s="6">
        <f>INDEX('DETALLE CRONOLÓGICO'!$K$2:$K$4919,MATCH($A2210,'DETALLE CRONOLÓGICO'!$A$2:$A$4919,0)+$E2210-1)</f>
        <v/>
      </c>
      <c r="N2210" s="7">
        <f>IFERROR($M2210/INDEX('DETALLE CRONOLÓGICO'!$K$2:$K$4919,MATCH($A2210,'DETALLE CRONOLÓGICO'!$A$2:$A$4919,0))-1,"")</f>
        <v/>
      </c>
      <c r="O2210" s="6">
        <f>IFERROR($I2210*3,"")</f>
        <v/>
      </c>
      <c r="P2210" s="6">
        <f>IFERROR($I2210*3.5,"")</f>
        <v/>
      </c>
      <c r="Q2210" s="6">
        <f>IFERROR($I2210*4,"")</f>
        <v/>
      </c>
      <c r="R2210" s="6" t="n">
        <v>1399</v>
      </c>
      <c r="S2210" s="4" t="n">
        <v>4</v>
      </c>
      <c r="T2210" s="1" t="inlineStr">
        <is>
          <t>active</t>
        </is>
      </c>
      <c r="U2210" s="8" t="n"/>
      <c r="V2210" s="1" t="inlineStr">
        <is>
          <t>SIN PRECIO</t>
        </is>
      </c>
    </row>
    <row r="2211">
      <c r="A2211" s="1" t="inlineStr">
        <is>
          <t>99781782263469</t>
        </is>
      </c>
      <c r="B2211" s="1" t="inlineStr">
        <is>
          <t>CARTERA GC ALARGADA</t>
        </is>
      </c>
      <c r="C2211" s="1" t="inlineStr">
        <is>
          <t>Default Title</t>
        </is>
      </c>
      <c r="D2211" s="1" t="inlineStr">
        <is>
          <t>ZOEY</t>
        </is>
      </c>
      <c r="E2211" s="4">
        <f>COUNTIF('DETALLE CRONOLÓGICO'!$A$2:$A$4919,$A2211)</f>
        <v/>
      </c>
      <c r="F2211" s="4">
        <f>SUMIFS('DETALLE CRONOLÓGICO'!$I$2:$I$4919,'DETALLE CRONOLÓGICO'!$A$2:$A$4919,$A2211)</f>
        <v/>
      </c>
      <c r="G2211" s="1">
        <f>INDEX('DETALLE CRONOLÓGICO'!$D$2:$D$4919,MATCH($A2211,'DETALLE CRONOLÓGICO'!$A$2:$A$4919,0))</f>
        <v/>
      </c>
      <c r="H2211" s="1">
        <f>INDEX('DETALLE CRONOLÓGICO'!$D$2:$D$4919,MATCH($A2211,'DETALLE CRONOLÓGICO'!$A$2:$A$4919,0)+$E2211-1)</f>
        <v/>
      </c>
      <c r="I2211" s="5">
        <f>IFERROR(SUMIFS('DETALLE CRONOLÓGICO'!$L$2:$L$4919,'DETALLE CRONOLÓGICO'!$A$2:$A$4919,$A2211)/$F2211,"")</f>
        <v/>
      </c>
      <c r="J2211" s="6">
        <f>IFERROR(SUMIFS('DETALLE CRONOLÓGICO'!$K$2:$K$4919,'DETALLE CRONOLÓGICO'!$A$2:$A$4919,$A2211)/$E2211,"")</f>
        <v/>
      </c>
      <c r="K2211" s="6">
        <f>_xlfn.MINIFS('DETALLE CRONOLÓGICO'!$K$2:$K$4919,'DETALLE CRONOLÓGICO'!$A$2:$A$4919,$A2211)</f>
        <v/>
      </c>
      <c r="L2211" s="6">
        <f>_xlfn.MAXIFS('DETALLE CRONOLÓGICO'!$K$2:$K$4919,'DETALLE CRONOLÓGICO'!$A$2:$A$4919,$A2211)</f>
        <v/>
      </c>
      <c r="M2211" s="6">
        <f>INDEX('DETALLE CRONOLÓGICO'!$K$2:$K$4919,MATCH($A2211,'DETALLE CRONOLÓGICO'!$A$2:$A$4919,0)+$E2211-1)</f>
        <v/>
      </c>
      <c r="N2211" s="7">
        <f>IFERROR($M2211/INDEX('DETALLE CRONOLÓGICO'!$K$2:$K$4919,MATCH($A2211,'DETALLE CRONOLÓGICO'!$A$2:$A$4919,0))-1,"")</f>
        <v/>
      </c>
      <c r="O2211" s="6">
        <f>IFERROR($I2211*3,"")</f>
        <v/>
      </c>
      <c r="P2211" s="6">
        <f>IFERROR($I2211*3.5,"")</f>
        <v/>
      </c>
      <c r="Q2211" s="6">
        <f>IFERROR($I2211*4,"")</f>
        <v/>
      </c>
      <c r="R2211" s="6" t="n">
        <v>1800</v>
      </c>
      <c r="S2211" s="4" t="n">
        <v>0</v>
      </c>
      <c r="T2211" s="1" t="inlineStr">
        <is>
          <t>active</t>
        </is>
      </c>
      <c r="U2211" s="8" t="n"/>
      <c r="V2211" s="1" t="inlineStr">
        <is>
          <t>SIN PRECIO</t>
        </is>
      </c>
    </row>
    <row r="2212">
      <c r="A2212" s="1" t="inlineStr">
        <is>
          <t>99781782370253</t>
        </is>
      </c>
      <c r="B2212" s="1" t="inlineStr">
        <is>
          <t>BOLSO GC BUCKET MARMONT</t>
        </is>
      </c>
      <c r="C2212" s="1" t="inlineStr">
        <is>
          <t>Default Title</t>
        </is>
      </c>
      <c r="D2212" s="1" t="inlineStr">
        <is>
          <t>ZOEY</t>
        </is>
      </c>
      <c r="E2212" s="4">
        <f>COUNTIF('DETALLE CRONOLÓGICO'!$A$2:$A$4919,$A2212)</f>
        <v/>
      </c>
      <c r="F2212" s="4">
        <f>SUMIFS('DETALLE CRONOLÓGICO'!$I$2:$I$4919,'DETALLE CRONOLÓGICO'!$A$2:$A$4919,$A2212)</f>
        <v/>
      </c>
      <c r="G2212" s="1">
        <f>INDEX('DETALLE CRONOLÓGICO'!$D$2:$D$4919,MATCH($A2212,'DETALLE CRONOLÓGICO'!$A$2:$A$4919,0))</f>
        <v/>
      </c>
      <c r="H2212" s="1">
        <f>INDEX('DETALLE CRONOLÓGICO'!$D$2:$D$4919,MATCH($A2212,'DETALLE CRONOLÓGICO'!$A$2:$A$4919,0)+$E2212-1)</f>
        <v/>
      </c>
      <c r="I2212" s="5">
        <f>IFERROR(SUMIFS('DETALLE CRONOLÓGICO'!$L$2:$L$4919,'DETALLE CRONOLÓGICO'!$A$2:$A$4919,$A2212)/$F2212,"")</f>
        <v/>
      </c>
      <c r="J2212" s="6">
        <f>IFERROR(SUMIFS('DETALLE CRONOLÓGICO'!$K$2:$K$4919,'DETALLE CRONOLÓGICO'!$A$2:$A$4919,$A2212)/$E2212,"")</f>
        <v/>
      </c>
      <c r="K2212" s="6">
        <f>_xlfn.MINIFS('DETALLE CRONOLÓGICO'!$K$2:$K$4919,'DETALLE CRONOLÓGICO'!$A$2:$A$4919,$A2212)</f>
        <v/>
      </c>
      <c r="L2212" s="6">
        <f>_xlfn.MAXIFS('DETALLE CRONOLÓGICO'!$K$2:$K$4919,'DETALLE CRONOLÓGICO'!$A$2:$A$4919,$A2212)</f>
        <v/>
      </c>
      <c r="M2212" s="6">
        <f>INDEX('DETALLE CRONOLÓGICO'!$K$2:$K$4919,MATCH($A2212,'DETALLE CRONOLÓGICO'!$A$2:$A$4919,0)+$E2212-1)</f>
        <v/>
      </c>
      <c r="N2212" s="7">
        <f>IFERROR($M2212/INDEX('DETALLE CRONOLÓGICO'!$K$2:$K$4919,MATCH($A2212,'DETALLE CRONOLÓGICO'!$A$2:$A$4919,0))-1,"")</f>
        <v/>
      </c>
      <c r="O2212" s="6">
        <f>IFERROR($I2212*3,"")</f>
        <v/>
      </c>
      <c r="P2212" s="6">
        <f>IFERROR($I2212*3.5,"")</f>
        <v/>
      </c>
      <c r="Q2212" s="6">
        <f>IFERROR($I2212*4,"")</f>
        <v/>
      </c>
      <c r="R2212" s="6" t="n">
        <v>4453</v>
      </c>
      <c r="S2212" s="4" t="n">
        <v>3</v>
      </c>
      <c r="T2212" s="1" t="inlineStr">
        <is>
          <t>active</t>
        </is>
      </c>
      <c r="U2212" s="8" t="n"/>
      <c r="V2212" s="1" t="inlineStr">
        <is>
          <t>SIN PRECIO</t>
        </is>
      </c>
    </row>
    <row r="2213">
      <c r="A2213" s="1" t="inlineStr">
        <is>
          <t>99781782406413</t>
        </is>
      </c>
      <c r="B2213" s="1" t="inlineStr">
        <is>
          <t>BOLSO GC BUCKET EMBLEM</t>
        </is>
      </c>
      <c r="C2213" s="1" t="inlineStr">
        <is>
          <t>Default Title</t>
        </is>
      </c>
      <c r="D2213" s="1" t="inlineStr">
        <is>
          <t>ZOEY</t>
        </is>
      </c>
      <c r="E2213" s="4">
        <f>COUNTIF('DETALLE CRONOLÓGICO'!$A$2:$A$4919,$A2213)</f>
        <v/>
      </c>
      <c r="F2213" s="4">
        <f>SUMIFS('DETALLE CRONOLÓGICO'!$I$2:$I$4919,'DETALLE CRONOLÓGICO'!$A$2:$A$4919,$A2213)</f>
        <v/>
      </c>
      <c r="G2213" s="1">
        <f>INDEX('DETALLE CRONOLÓGICO'!$D$2:$D$4919,MATCH($A2213,'DETALLE CRONOLÓGICO'!$A$2:$A$4919,0))</f>
        <v/>
      </c>
      <c r="H2213" s="1">
        <f>INDEX('DETALLE CRONOLÓGICO'!$D$2:$D$4919,MATCH($A2213,'DETALLE CRONOLÓGICO'!$A$2:$A$4919,0)+$E2213-1)</f>
        <v/>
      </c>
      <c r="I2213" s="5">
        <f>IFERROR(SUMIFS('DETALLE CRONOLÓGICO'!$L$2:$L$4919,'DETALLE CRONOLÓGICO'!$A$2:$A$4919,$A2213)/$F2213,"")</f>
        <v/>
      </c>
      <c r="J2213" s="6">
        <f>IFERROR(SUMIFS('DETALLE CRONOLÓGICO'!$K$2:$K$4919,'DETALLE CRONOLÓGICO'!$A$2:$A$4919,$A2213)/$E2213,"")</f>
        <v/>
      </c>
      <c r="K2213" s="6">
        <f>_xlfn.MINIFS('DETALLE CRONOLÓGICO'!$K$2:$K$4919,'DETALLE CRONOLÓGICO'!$A$2:$A$4919,$A2213)</f>
        <v/>
      </c>
      <c r="L2213" s="6">
        <f>_xlfn.MAXIFS('DETALLE CRONOLÓGICO'!$K$2:$K$4919,'DETALLE CRONOLÓGICO'!$A$2:$A$4919,$A2213)</f>
        <v/>
      </c>
      <c r="M2213" s="6">
        <f>INDEX('DETALLE CRONOLÓGICO'!$K$2:$K$4919,MATCH($A2213,'DETALLE CRONOLÓGICO'!$A$2:$A$4919,0)+$E2213-1)</f>
        <v/>
      </c>
      <c r="N2213" s="7">
        <f>IFERROR($M2213/INDEX('DETALLE CRONOLÓGICO'!$K$2:$K$4919,MATCH($A2213,'DETALLE CRONOLÓGICO'!$A$2:$A$4919,0))-1,"")</f>
        <v/>
      </c>
      <c r="O2213" s="6">
        <f>IFERROR($I2213*3,"")</f>
        <v/>
      </c>
      <c r="P2213" s="6">
        <f>IFERROR($I2213*3.5,"")</f>
        <v/>
      </c>
      <c r="Q2213" s="6">
        <f>IFERROR($I2213*4,"")</f>
        <v/>
      </c>
      <c r="R2213" s="6" t="n">
        <v>5699</v>
      </c>
      <c r="S2213" s="4" t="n">
        <v>4</v>
      </c>
      <c r="T2213" s="1" t="inlineStr">
        <is>
          <t>active</t>
        </is>
      </c>
      <c r="U2213" s="8" t="n"/>
      <c r="V2213" s="1" t="inlineStr">
        <is>
          <t>SIN PRECIO</t>
        </is>
      </c>
    </row>
    <row r="2214">
      <c r="A2214" s="1" t="inlineStr">
        <is>
          <t>99781782573645</t>
        </is>
      </c>
      <c r="B2214" s="1" t="inlineStr">
        <is>
          <t>BOLSO C TANK TOP</t>
        </is>
      </c>
      <c r="C2214" s="1" t="inlineStr">
        <is>
          <t>Default Title</t>
        </is>
      </c>
      <c r="D2214" s="1" t="inlineStr">
        <is>
          <t>ZOEY</t>
        </is>
      </c>
      <c r="E2214" s="4">
        <f>COUNTIF('DETALLE CRONOLÓGICO'!$A$2:$A$4919,$A2214)</f>
        <v/>
      </c>
      <c r="F2214" s="4">
        <f>SUMIFS('DETALLE CRONOLÓGICO'!$I$2:$I$4919,'DETALLE CRONOLÓGICO'!$A$2:$A$4919,$A2214)</f>
        <v/>
      </c>
      <c r="G2214" s="1">
        <f>INDEX('DETALLE CRONOLÓGICO'!$D$2:$D$4919,MATCH($A2214,'DETALLE CRONOLÓGICO'!$A$2:$A$4919,0))</f>
        <v/>
      </c>
      <c r="H2214" s="1">
        <f>INDEX('DETALLE CRONOLÓGICO'!$D$2:$D$4919,MATCH($A2214,'DETALLE CRONOLÓGICO'!$A$2:$A$4919,0)+$E2214-1)</f>
        <v/>
      </c>
      <c r="I2214" s="5">
        <f>IFERROR(SUMIFS('DETALLE CRONOLÓGICO'!$L$2:$L$4919,'DETALLE CRONOLÓGICO'!$A$2:$A$4919,$A2214)/$F2214,"")</f>
        <v/>
      </c>
      <c r="J2214" s="6">
        <f>IFERROR(SUMIFS('DETALLE CRONOLÓGICO'!$K$2:$K$4919,'DETALLE CRONOLÓGICO'!$A$2:$A$4919,$A2214)/$E2214,"")</f>
        <v/>
      </c>
      <c r="K2214" s="6">
        <f>_xlfn.MINIFS('DETALLE CRONOLÓGICO'!$K$2:$K$4919,'DETALLE CRONOLÓGICO'!$A$2:$A$4919,$A2214)</f>
        <v/>
      </c>
      <c r="L2214" s="6">
        <f>_xlfn.MAXIFS('DETALLE CRONOLÓGICO'!$K$2:$K$4919,'DETALLE CRONOLÓGICO'!$A$2:$A$4919,$A2214)</f>
        <v/>
      </c>
      <c r="M2214" s="6">
        <f>INDEX('DETALLE CRONOLÓGICO'!$K$2:$K$4919,MATCH($A2214,'DETALLE CRONOLÓGICO'!$A$2:$A$4919,0)+$E2214-1)</f>
        <v/>
      </c>
      <c r="N2214" s="7">
        <f>IFERROR($M2214/INDEX('DETALLE CRONOLÓGICO'!$K$2:$K$4919,MATCH($A2214,'DETALLE CRONOLÓGICO'!$A$2:$A$4919,0))-1,"")</f>
        <v/>
      </c>
      <c r="O2214" s="6">
        <f>IFERROR($I2214*3,"")</f>
        <v/>
      </c>
      <c r="P2214" s="6">
        <f>IFERROR($I2214*3.5,"")</f>
        <v/>
      </c>
      <c r="Q2214" s="6">
        <f>IFERROR($I2214*4,"")</f>
        <v/>
      </c>
      <c r="R2214" s="6" t="n">
        <v>5839</v>
      </c>
      <c r="S2214" s="4" t="n">
        <v>0</v>
      </c>
      <c r="T2214" s="1" t="inlineStr">
        <is>
          <t>active</t>
        </is>
      </c>
      <c r="U2214" s="8" t="n"/>
      <c r="V2214" s="1" t="inlineStr">
        <is>
          <t>SIN PRECIO</t>
        </is>
      </c>
    </row>
    <row r="2215">
      <c r="A2215" s="1" t="inlineStr">
        <is>
          <t>99781782675341</t>
        </is>
      </c>
      <c r="B2215" s="1" t="inlineStr">
        <is>
          <t>CINTO C TRIOMPHIE BUCKLE</t>
        </is>
      </c>
      <c r="C2215" s="1" t="inlineStr">
        <is>
          <t>100CM</t>
        </is>
      </c>
      <c r="D2215" s="1" t="inlineStr">
        <is>
          <t>ZOEY</t>
        </is>
      </c>
      <c r="E2215" s="4">
        <f>COUNTIF('DETALLE CRONOLÓGICO'!$A$2:$A$4919,$A2215)</f>
        <v/>
      </c>
      <c r="F2215" s="4">
        <f>SUMIFS('DETALLE CRONOLÓGICO'!$I$2:$I$4919,'DETALLE CRONOLÓGICO'!$A$2:$A$4919,$A2215)</f>
        <v/>
      </c>
      <c r="G2215" s="1">
        <f>INDEX('DETALLE CRONOLÓGICO'!$D$2:$D$4919,MATCH($A2215,'DETALLE CRONOLÓGICO'!$A$2:$A$4919,0))</f>
        <v/>
      </c>
      <c r="H2215" s="1">
        <f>INDEX('DETALLE CRONOLÓGICO'!$D$2:$D$4919,MATCH($A2215,'DETALLE CRONOLÓGICO'!$A$2:$A$4919,0)+$E2215-1)</f>
        <v/>
      </c>
      <c r="I2215" s="5">
        <f>IFERROR(SUMIFS('DETALLE CRONOLÓGICO'!$L$2:$L$4919,'DETALLE CRONOLÓGICO'!$A$2:$A$4919,$A2215)/$F2215,"")</f>
        <v/>
      </c>
      <c r="J2215" s="6">
        <f>IFERROR(SUMIFS('DETALLE CRONOLÓGICO'!$K$2:$K$4919,'DETALLE CRONOLÓGICO'!$A$2:$A$4919,$A2215)/$E2215,"")</f>
        <v/>
      </c>
      <c r="K2215" s="6">
        <f>_xlfn.MINIFS('DETALLE CRONOLÓGICO'!$K$2:$K$4919,'DETALLE CRONOLÓGICO'!$A$2:$A$4919,$A2215)</f>
        <v/>
      </c>
      <c r="L2215" s="6">
        <f>_xlfn.MAXIFS('DETALLE CRONOLÓGICO'!$K$2:$K$4919,'DETALLE CRONOLÓGICO'!$A$2:$A$4919,$A2215)</f>
        <v/>
      </c>
      <c r="M2215" s="6">
        <f>INDEX('DETALLE CRONOLÓGICO'!$K$2:$K$4919,MATCH($A2215,'DETALLE CRONOLÓGICO'!$A$2:$A$4919,0)+$E2215-1)</f>
        <v/>
      </c>
      <c r="N2215" s="7">
        <f>IFERROR($M2215/INDEX('DETALLE CRONOLÓGICO'!$K$2:$K$4919,MATCH($A2215,'DETALLE CRONOLÓGICO'!$A$2:$A$4919,0))-1,"")</f>
        <v/>
      </c>
      <c r="O2215" s="6">
        <f>IFERROR($I2215*3,"")</f>
        <v/>
      </c>
      <c r="P2215" s="6">
        <f>IFERROR($I2215*3.5,"")</f>
        <v/>
      </c>
      <c r="Q2215" s="6">
        <f>IFERROR($I2215*4,"")</f>
        <v/>
      </c>
      <c r="R2215" s="6" t="n">
        <v>4779</v>
      </c>
      <c r="S2215" s="4" t="n">
        <v>3</v>
      </c>
      <c r="T2215" s="1" t="inlineStr">
        <is>
          <t>active</t>
        </is>
      </c>
      <c r="U2215" s="8" t="n"/>
      <c r="V2215" s="1" t="inlineStr">
        <is>
          <t>SIN PRECIO</t>
        </is>
      </c>
    </row>
    <row r="2216">
      <c r="A2216" s="1" t="inlineStr">
        <is>
          <t>99781782742573</t>
        </is>
      </c>
      <c r="B2216" s="1" t="inlineStr">
        <is>
          <t>GORRA C DENIM LAVADO</t>
        </is>
      </c>
      <c r="C2216" s="1" t="inlineStr">
        <is>
          <t>Default Title</t>
        </is>
      </c>
      <c r="D2216" s="1" t="inlineStr">
        <is>
          <t>ZOEY</t>
        </is>
      </c>
      <c r="E2216" s="4">
        <f>COUNTIF('DETALLE CRONOLÓGICO'!$A$2:$A$4919,$A2216)</f>
        <v/>
      </c>
      <c r="F2216" s="4">
        <f>SUMIFS('DETALLE CRONOLÓGICO'!$I$2:$I$4919,'DETALLE CRONOLÓGICO'!$A$2:$A$4919,$A2216)</f>
        <v/>
      </c>
      <c r="G2216" s="1">
        <f>INDEX('DETALLE CRONOLÓGICO'!$D$2:$D$4919,MATCH($A2216,'DETALLE CRONOLÓGICO'!$A$2:$A$4919,0))</f>
        <v/>
      </c>
      <c r="H2216" s="1">
        <f>INDEX('DETALLE CRONOLÓGICO'!$D$2:$D$4919,MATCH($A2216,'DETALLE CRONOLÓGICO'!$A$2:$A$4919,0)+$E2216-1)</f>
        <v/>
      </c>
      <c r="I2216" s="5">
        <f>IFERROR(SUMIFS('DETALLE CRONOLÓGICO'!$L$2:$L$4919,'DETALLE CRONOLÓGICO'!$A$2:$A$4919,$A2216)/$F2216,"")</f>
        <v/>
      </c>
      <c r="J2216" s="6">
        <f>IFERROR(SUMIFS('DETALLE CRONOLÓGICO'!$K$2:$K$4919,'DETALLE CRONOLÓGICO'!$A$2:$A$4919,$A2216)/$E2216,"")</f>
        <v/>
      </c>
      <c r="K2216" s="6">
        <f>_xlfn.MINIFS('DETALLE CRONOLÓGICO'!$K$2:$K$4919,'DETALLE CRONOLÓGICO'!$A$2:$A$4919,$A2216)</f>
        <v/>
      </c>
      <c r="L2216" s="6">
        <f>_xlfn.MAXIFS('DETALLE CRONOLÓGICO'!$K$2:$K$4919,'DETALLE CRONOLÓGICO'!$A$2:$A$4919,$A2216)</f>
        <v/>
      </c>
      <c r="M2216" s="6">
        <f>INDEX('DETALLE CRONOLÓGICO'!$K$2:$K$4919,MATCH($A2216,'DETALLE CRONOLÓGICO'!$A$2:$A$4919,0)+$E2216-1)</f>
        <v/>
      </c>
      <c r="N2216" s="7">
        <f>IFERROR($M2216/INDEX('DETALLE CRONOLÓGICO'!$K$2:$K$4919,MATCH($A2216,'DETALLE CRONOLÓGICO'!$A$2:$A$4919,0))-1,"")</f>
        <v/>
      </c>
      <c r="O2216" s="6">
        <f>IFERROR($I2216*3,"")</f>
        <v/>
      </c>
      <c r="P2216" s="6">
        <f>IFERROR($I2216*3.5,"")</f>
        <v/>
      </c>
      <c r="Q2216" s="6">
        <f>IFERROR($I2216*4,"")</f>
        <v/>
      </c>
      <c r="R2216" s="6" t="n">
        <v>1699</v>
      </c>
      <c r="S2216" s="4" t="n">
        <v>0</v>
      </c>
      <c r="T2216" s="1" t="inlineStr">
        <is>
          <t>active</t>
        </is>
      </c>
      <c r="U2216" s="8" t="n"/>
      <c r="V2216" s="1" t="inlineStr">
        <is>
          <t>SIN PRECIO</t>
        </is>
      </c>
    </row>
    <row r="2217">
      <c r="A2217" s="1" t="inlineStr">
        <is>
          <t>99781782880429</t>
        </is>
      </c>
      <c r="B2217" s="1" t="inlineStr">
        <is>
          <t>CINTO C HERITAGE</t>
        </is>
      </c>
      <c r="C2217" s="1" t="inlineStr">
        <is>
          <t>100CM</t>
        </is>
      </c>
      <c r="D2217" s="1" t="inlineStr">
        <is>
          <t>ZOEY</t>
        </is>
      </c>
      <c r="E2217" s="4">
        <f>COUNTIF('DETALLE CRONOLÓGICO'!$A$2:$A$4919,$A2217)</f>
        <v/>
      </c>
      <c r="F2217" s="4">
        <f>SUMIFS('DETALLE CRONOLÓGICO'!$I$2:$I$4919,'DETALLE CRONOLÓGICO'!$A$2:$A$4919,$A2217)</f>
        <v/>
      </c>
      <c r="G2217" s="1">
        <f>INDEX('DETALLE CRONOLÓGICO'!$D$2:$D$4919,MATCH($A2217,'DETALLE CRONOLÓGICO'!$A$2:$A$4919,0))</f>
        <v/>
      </c>
      <c r="H2217" s="1">
        <f>INDEX('DETALLE CRONOLÓGICO'!$D$2:$D$4919,MATCH($A2217,'DETALLE CRONOLÓGICO'!$A$2:$A$4919,0)+$E2217-1)</f>
        <v/>
      </c>
      <c r="I2217" s="5">
        <f>IFERROR(SUMIFS('DETALLE CRONOLÓGICO'!$L$2:$L$4919,'DETALLE CRONOLÓGICO'!$A$2:$A$4919,$A2217)/$F2217,"")</f>
        <v/>
      </c>
      <c r="J2217" s="6">
        <f>IFERROR(SUMIFS('DETALLE CRONOLÓGICO'!$K$2:$K$4919,'DETALLE CRONOLÓGICO'!$A$2:$A$4919,$A2217)/$E2217,"")</f>
        <v/>
      </c>
      <c r="K2217" s="6">
        <f>_xlfn.MINIFS('DETALLE CRONOLÓGICO'!$K$2:$K$4919,'DETALLE CRONOLÓGICO'!$A$2:$A$4919,$A2217)</f>
        <v/>
      </c>
      <c r="L2217" s="6">
        <f>_xlfn.MAXIFS('DETALLE CRONOLÓGICO'!$K$2:$K$4919,'DETALLE CRONOLÓGICO'!$A$2:$A$4919,$A2217)</f>
        <v/>
      </c>
      <c r="M2217" s="6">
        <f>INDEX('DETALLE CRONOLÓGICO'!$K$2:$K$4919,MATCH($A2217,'DETALLE CRONOLÓGICO'!$A$2:$A$4919,0)+$E2217-1)</f>
        <v/>
      </c>
      <c r="N2217" s="7">
        <f>IFERROR($M2217/INDEX('DETALLE CRONOLÓGICO'!$K$2:$K$4919,MATCH($A2217,'DETALLE CRONOLÓGICO'!$A$2:$A$4919,0))-1,"")</f>
        <v/>
      </c>
      <c r="O2217" s="6">
        <f>IFERROR($I2217*3,"")</f>
        <v/>
      </c>
      <c r="P2217" s="6">
        <f>IFERROR($I2217*3.5,"")</f>
        <v/>
      </c>
      <c r="Q2217" s="6">
        <f>IFERROR($I2217*4,"")</f>
        <v/>
      </c>
      <c r="R2217" s="6" t="n">
        <v>4779</v>
      </c>
      <c r="S2217" s="4" t="n">
        <v>4</v>
      </c>
      <c r="T2217" s="1" t="inlineStr">
        <is>
          <t>active</t>
        </is>
      </c>
      <c r="U2217" s="8" t="n"/>
      <c r="V2217" s="1" t="inlineStr">
        <is>
          <t>SIN PRECIO</t>
        </is>
      </c>
    </row>
    <row r="2218">
      <c r="A2218" s="1" t="inlineStr">
        <is>
          <t>99781782982125</t>
        </is>
      </c>
      <c r="B2218" s="1" t="inlineStr">
        <is>
          <t>CINTO C VIVIENNE 25</t>
        </is>
      </c>
      <c r="C2218" s="1" t="inlineStr">
        <is>
          <t>100cm</t>
        </is>
      </c>
      <c r="D2218" s="1" t="inlineStr">
        <is>
          <t>ZOEY</t>
        </is>
      </c>
      <c r="E2218" s="4">
        <f>COUNTIF('DETALLE CRONOLÓGICO'!$A$2:$A$4919,$A2218)</f>
        <v/>
      </c>
      <c r="F2218" s="4">
        <f>SUMIFS('DETALLE CRONOLÓGICO'!$I$2:$I$4919,'DETALLE CRONOLÓGICO'!$A$2:$A$4919,$A2218)</f>
        <v/>
      </c>
      <c r="G2218" s="1">
        <f>INDEX('DETALLE CRONOLÓGICO'!$D$2:$D$4919,MATCH($A2218,'DETALLE CRONOLÓGICO'!$A$2:$A$4919,0))</f>
        <v/>
      </c>
      <c r="H2218" s="1">
        <f>INDEX('DETALLE CRONOLÓGICO'!$D$2:$D$4919,MATCH($A2218,'DETALLE CRONOLÓGICO'!$A$2:$A$4919,0)+$E2218-1)</f>
        <v/>
      </c>
      <c r="I2218" s="5">
        <f>IFERROR(SUMIFS('DETALLE CRONOLÓGICO'!$L$2:$L$4919,'DETALLE CRONOLÓGICO'!$A$2:$A$4919,$A2218)/$F2218,"")</f>
        <v/>
      </c>
      <c r="J2218" s="6">
        <f>IFERROR(SUMIFS('DETALLE CRONOLÓGICO'!$K$2:$K$4919,'DETALLE CRONOLÓGICO'!$A$2:$A$4919,$A2218)/$E2218,"")</f>
        <v/>
      </c>
      <c r="K2218" s="6">
        <f>_xlfn.MINIFS('DETALLE CRONOLÓGICO'!$K$2:$K$4919,'DETALLE CRONOLÓGICO'!$A$2:$A$4919,$A2218)</f>
        <v/>
      </c>
      <c r="L2218" s="6">
        <f>_xlfn.MAXIFS('DETALLE CRONOLÓGICO'!$K$2:$K$4919,'DETALLE CRONOLÓGICO'!$A$2:$A$4919,$A2218)</f>
        <v/>
      </c>
      <c r="M2218" s="6">
        <f>INDEX('DETALLE CRONOLÓGICO'!$K$2:$K$4919,MATCH($A2218,'DETALLE CRONOLÓGICO'!$A$2:$A$4919,0)+$E2218-1)</f>
        <v/>
      </c>
      <c r="N2218" s="7">
        <f>IFERROR($M2218/INDEX('DETALLE CRONOLÓGICO'!$K$2:$K$4919,MATCH($A2218,'DETALLE CRONOLÓGICO'!$A$2:$A$4919,0))-1,"")</f>
        <v/>
      </c>
      <c r="O2218" s="6">
        <f>IFERROR($I2218*3,"")</f>
        <v/>
      </c>
      <c r="P2218" s="6">
        <f>IFERROR($I2218*3.5,"")</f>
        <v/>
      </c>
      <c r="Q2218" s="6">
        <f>IFERROR($I2218*4,"")</f>
        <v/>
      </c>
      <c r="R2218" s="6" t="n">
        <v>4450</v>
      </c>
      <c r="S2218" s="4" t="n">
        <v>6</v>
      </c>
      <c r="T2218" s="1" t="inlineStr">
        <is>
          <t>active</t>
        </is>
      </c>
      <c r="U2218" s="8" t="n"/>
      <c r="V2218" s="1" t="inlineStr">
        <is>
          <t>SIN PRECIO</t>
        </is>
      </c>
    </row>
    <row r="2219">
      <c r="A2219" s="1" t="inlineStr">
        <is>
          <t>99781783009805</t>
        </is>
      </c>
      <c r="B2219" s="1" t="inlineStr">
        <is>
          <t>CINTO C VIVIENNE 25 BLACK</t>
        </is>
      </c>
      <c r="C2219" s="1" t="inlineStr">
        <is>
          <t>100cm</t>
        </is>
      </c>
      <c r="D2219" s="1" t="inlineStr">
        <is>
          <t>ZOEY</t>
        </is>
      </c>
      <c r="E2219" s="4">
        <f>COUNTIF('DETALLE CRONOLÓGICO'!$A$2:$A$4919,$A2219)</f>
        <v/>
      </c>
      <c r="F2219" s="4">
        <f>SUMIFS('DETALLE CRONOLÓGICO'!$I$2:$I$4919,'DETALLE CRONOLÓGICO'!$A$2:$A$4919,$A2219)</f>
        <v/>
      </c>
      <c r="G2219" s="1">
        <f>INDEX('DETALLE CRONOLÓGICO'!$D$2:$D$4919,MATCH($A2219,'DETALLE CRONOLÓGICO'!$A$2:$A$4919,0))</f>
        <v/>
      </c>
      <c r="H2219" s="1">
        <f>INDEX('DETALLE CRONOLÓGICO'!$D$2:$D$4919,MATCH($A2219,'DETALLE CRONOLÓGICO'!$A$2:$A$4919,0)+$E2219-1)</f>
        <v/>
      </c>
      <c r="I2219" s="5">
        <f>IFERROR(SUMIFS('DETALLE CRONOLÓGICO'!$L$2:$L$4919,'DETALLE CRONOLÓGICO'!$A$2:$A$4919,$A2219)/$F2219,"")</f>
        <v/>
      </c>
      <c r="J2219" s="6">
        <f>IFERROR(SUMIFS('DETALLE CRONOLÓGICO'!$K$2:$K$4919,'DETALLE CRONOLÓGICO'!$A$2:$A$4919,$A2219)/$E2219,"")</f>
        <v/>
      </c>
      <c r="K2219" s="6">
        <f>_xlfn.MINIFS('DETALLE CRONOLÓGICO'!$K$2:$K$4919,'DETALLE CRONOLÓGICO'!$A$2:$A$4919,$A2219)</f>
        <v/>
      </c>
      <c r="L2219" s="6">
        <f>_xlfn.MAXIFS('DETALLE CRONOLÓGICO'!$K$2:$K$4919,'DETALLE CRONOLÓGICO'!$A$2:$A$4919,$A2219)</f>
        <v/>
      </c>
      <c r="M2219" s="6">
        <f>INDEX('DETALLE CRONOLÓGICO'!$K$2:$K$4919,MATCH($A2219,'DETALLE CRONOLÓGICO'!$A$2:$A$4919,0)+$E2219-1)</f>
        <v/>
      </c>
      <c r="N2219" s="7">
        <f>IFERROR($M2219/INDEX('DETALLE CRONOLÓGICO'!$K$2:$K$4919,MATCH($A2219,'DETALLE CRONOLÓGICO'!$A$2:$A$4919,0))-1,"")</f>
        <v/>
      </c>
      <c r="O2219" s="6">
        <f>IFERROR($I2219*3,"")</f>
        <v/>
      </c>
      <c r="P2219" s="6">
        <f>IFERROR($I2219*3.5,"")</f>
        <v/>
      </c>
      <c r="Q2219" s="6">
        <f>IFERROR($I2219*4,"")</f>
        <v/>
      </c>
      <c r="R2219" s="6" t="n">
        <v>4450</v>
      </c>
      <c r="S2219" s="4" t="n">
        <v>5</v>
      </c>
      <c r="T2219" s="1" t="inlineStr">
        <is>
          <t>active</t>
        </is>
      </c>
      <c r="U2219" s="8" t="n"/>
      <c r="V2219" s="1" t="inlineStr">
        <is>
          <t>SIN PRECIO</t>
        </is>
      </c>
    </row>
    <row r="2220">
      <c r="A2220" s="1" t="inlineStr">
        <is>
          <t>99781783183821</t>
        </is>
      </c>
      <c r="B2220" s="1" t="inlineStr">
        <is>
          <t>CARTERA C FLAP TRIOMPHIE</t>
        </is>
      </c>
      <c r="C2220" s="1" t="inlineStr">
        <is>
          <t>Default Title</t>
        </is>
      </c>
      <c r="D2220" s="1" t="inlineStr">
        <is>
          <t>ZOEY</t>
        </is>
      </c>
      <c r="E2220" s="4">
        <f>COUNTIF('DETALLE CRONOLÓGICO'!$A$2:$A$4919,$A2220)</f>
        <v/>
      </c>
      <c r="F2220" s="4">
        <f>SUMIFS('DETALLE CRONOLÓGICO'!$I$2:$I$4919,'DETALLE CRONOLÓGICO'!$A$2:$A$4919,$A2220)</f>
        <v/>
      </c>
      <c r="G2220" s="1">
        <f>INDEX('DETALLE CRONOLÓGICO'!$D$2:$D$4919,MATCH($A2220,'DETALLE CRONOLÓGICO'!$A$2:$A$4919,0))</f>
        <v/>
      </c>
      <c r="H2220" s="1">
        <f>INDEX('DETALLE CRONOLÓGICO'!$D$2:$D$4919,MATCH($A2220,'DETALLE CRONOLÓGICO'!$A$2:$A$4919,0)+$E2220-1)</f>
        <v/>
      </c>
      <c r="I2220" s="5">
        <f>IFERROR(SUMIFS('DETALLE CRONOLÓGICO'!$L$2:$L$4919,'DETALLE CRONOLÓGICO'!$A$2:$A$4919,$A2220)/$F2220,"")</f>
        <v/>
      </c>
      <c r="J2220" s="6">
        <f>IFERROR(SUMIFS('DETALLE CRONOLÓGICO'!$K$2:$K$4919,'DETALLE CRONOLÓGICO'!$A$2:$A$4919,$A2220)/$E2220,"")</f>
        <v/>
      </c>
      <c r="K2220" s="6">
        <f>_xlfn.MINIFS('DETALLE CRONOLÓGICO'!$K$2:$K$4919,'DETALLE CRONOLÓGICO'!$A$2:$A$4919,$A2220)</f>
        <v/>
      </c>
      <c r="L2220" s="6">
        <f>_xlfn.MAXIFS('DETALLE CRONOLÓGICO'!$K$2:$K$4919,'DETALLE CRONOLÓGICO'!$A$2:$A$4919,$A2220)</f>
        <v/>
      </c>
      <c r="M2220" s="6">
        <f>INDEX('DETALLE CRONOLÓGICO'!$K$2:$K$4919,MATCH($A2220,'DETALLE CRONOLÓGICO'!$A$2:$A$4919,0)+$E2220-1)</f>
        <v/>
      </c>
      <c r="N2220" s="7">
        <f>IFERROR($M2220/INDEX('DETALLE CRONOLÓGICO'!$K$2:$K$4919,MATCH($A2220,'DETALLE CRONOLÓGICO'!$A$2:$A$4919,0))-1,"")</f>
        <v/>
      </c>
      <c r="O2220" s="6">
        <f>IFERROR($I2220*3,"")</f>
        <v/>
      </c>
      <c r="P2220" s="6">
        <f>IFERROR($I2220*3.5,"")</f>
        <v/>
      </c>
      <c r="Q2220" s="6">
        <f>IFERROR($I2220*4,"")</f>
        <v/>
      </c>
      <c r="R2220" s="6" t="n">
        <v>2339</v>
      </c>
      <c r="S2220" s="4" t="n">
        <v>1</v>
      </c>
      <c r="T2220" s="1" t="inlineStr">
        <is>
          <t>active</t>
        </is>
      </c>
      <c r="U2220" s="8" t="n"/>
      <c r="V2220" s="1" t="inlineStr">
        <is>
          <t>SIN PRECIO</t>
        </is>
      </c>
    </row>
    <row r="2221">
      <c r="A2221" s="1" t="inlineStr">
        <is>
          <t>99781783219981</t>
        </is>
      </c>
      <c r="B2221" s="1" t="inlineStr">
        <is>
          <t>LENTES C TRIOMPHIE 01</t>
        </is>
      </c>
      <c r="C2221" s="1" t="inlineStr">
        <is>
          <t>BLACK</t>
        </is>
      </c>
      <c r="D2221" s="1" t="inlineStr">
        <is>
          <t>ZOEY</t>
        </is>
      </c>
      <c r="E2221" s="4">
        <f>COUNTIF('DETALLE CRONOLÓGICO'!$A$2:$A$4919,$A2221)</f>
        <v/>
      </c>
      <c r="F2221" s="4">
        <f>SUMIFS('DETALLE CRONOLÓGICO'!$I$2:$I$4919,'DETALLE CRONOLÓGICO'!$A$2:$A$4919,$A2221)</f>
        <v/>
      </c>
      <c r="G2221" s="1">
        <f>INDEX('DETALLE CRONOLÓGICO'!$D$2:$D$4919,MATCH($A2221,'DETALLE CRONOLÓGICO'!$A$2:$A$4919,0))</f>
        <v/>
      </c>
      <c r="H2221" s="1">
        <f>INDEX('DETALLE CRONOLÓGICO'!$D$2:$D$4919,MATCH($A2221,'DETALLE CRONOLÓGICO'!$A$2:$A$4919,0)+$E2221-1)</f>
        <v/>
      </c>
      <c r="I2221" s="5">
        <f>IFERROR(SUMIFS('DETALLE CRONOLÓGICO'!$L$2:$L$4919,'DETALLE CRONOLÓGICO'!$A$2:$A$4919,$A2221)/$F2221,"")</f>
        <v/>
      </c>
      <c r="J2221" s="6">
        <f>IFERROR(SUMIFS('DETALLE CRONOLÓGICO'!$K$2:$K$4919,'DETALLE CRONOLÓGICO'!$A$2:$A$4919,$A2221)/$E2221,"")</f>
        <v/>
      </c>
      <c r="K2221" s="6">
        <f>_xlfn.MINIFS('DETALLE CRONOLÓGICO'!$K$2:$K$4919,'DETALLE CRONOLÓGICO'!$A$2:$A$4919,$A2221)</f>
        <v/>
      </c>
      <c r="L2221" s="6">
        <f>_xlfn.MAXIFS('DETALLE CRONOLÓGICO'!$K$2:$K$4919,'DETALLE CRONOLÓGICO'!$A$2:$A$4919,$A2221)</f>
        <v/>
      </c>
      <c r="M2221" s="6">
        <f>INDEX('DETALLE CRONOLÓGICO'!$K$2:$K$4919,MATCH($A2221,'DETALLE CRONOLÓGICO'!$A$2:$A$4919,0)+$E2221-1)</f>
        <v/>
      </c>
      <c r="N2221" s="7">
        <f>IFERROR($M2221/INDEX('DETALLE CRONOLÓGICO'!$K$2:$K$4919,MATCH($A2221,'DETALLE CRONOLÓGICO'!$A$2:$A$4919,0))-1,"")</f>
        <v/>
      </c>
      <c r="O2221" s="6">
        <f>IFERROR($I2221*3,"")</f>
        <v/>
      </c>
      <c r="P2221" s="6">
        <f>IFERROR($I2221*3.5,"")</f>
        <v/>
      </c>
      <c r="Q2221" s="6">
        <f>IFERROR($I2221*4,"")</f>
        <v/>
      </c>
      <c r="R2221" s="6" t="n">
        <v>2943.02</v>
      </c>
      <c r="S2221" s="4" t="n">
        <v>1</v>
      </c>
      <c r="T2221" s="1" t="inlineStr">
        <is>
          <t>active</t>
        </is>
      </c>
      <c r="U2221" s="8" t="n"/>
      <c r="V2221" s="1" t="inlineStr">
        <is>
          <t>SIN PRECIO</t>
        </is>
      </c>
    </row>
    <row r="2222">
      <c r="A2222" s="1" t="inlineStr">
        <is>
          <t>99781783326765</t>
        </is>
      </c>
      <c r="B2222" s="1" t="inlineStr">
        <is>
          <t>LENTES PANTHERE GOLD</t>
        </is>
      </c>
      <c r="C2222" s="1" t="inlineStr">
        <is>
          <t>GOLD</t>
        </is>
      </c>
      <c r="D2222" s="1" t="inlineStr">
        <is>
          <t>ZOEY</t>
        </is>
      </c>
      <c r="E2222" s="4">
        <f>COUNTIF('DETALLE CRONOLÓGICO'!$A$2:$A$4919,$A2222)</f>
        <v/>
      </c>
      <c r="F2222" s="4">
        <f>SUMIFS('DETALLE CRONOLÓGICO'!$I$2:$I$4919,'DETALLE CRONOLÓGICO'!$A$2:$A$4919,$A2222)</f>
        <v/>
      </c>
      <c r="G2222" s="1">
        <f>INDEX('DETALLE CRONOLÓGICO'!$D$2:$D$4919,MATCH($A2222,'DETALLE CRONOLÓGICO'!$A$2:$A$4919,0))</f>
        <v/>
      </c>
      <c r="H2222" s="1">
        <f>INDEX('DETALLE CRONOLÓGICO'!$D$2:$D$4919,MATCH($A2222,'DETALLE CRONOLÓGICO'!$A$2:$A$4919,0)+$E2222-1)</f>
        <v/>
      </c>
      <c r="I2222" s="5">
        <f>IFERROR(SUMIFS('DETALLE CRONOLÓGICO'!$L$2:$L$4919,'DETALLE CRONOLÓGICO'!$A$2:$A$4919,$A2222)/$F2222,"")</f>
        <v/>
      </c>
      <c r="J2222" s="6">
        <f>IFERROR(SUMIFS('DETALLE CRONOLÓGICO'!$K$2:$K$4919,'DETALLE CRONOLÓGICO'!$A$2:$A$4919,$A2222)/$E2222,"")</f>
        <v/>
      </c>
      <c r="K2222" s="6">
        <f>_xlfn.MINIFS('DETALLE CRONOLÓGICO'!$K$2:$K$4919,'DETALLE CRONOLÓGICO'!$A$2:$A$4919,$A2222)</f>
        <v/>
      </c>
      <c r="L2222" s="6">
        <f>_xlfn.MAXIFS('DETALLE CRONOLÓGICO'!$K$2:$K$4919,'DETALLE CRONOLÓGICO'!$A$2:$A$4919,$A2222)</f>
        <v/>
      </c>
      <c r="M2222" s="6">
        <f>INDEX('DETALLE CRONOLÓGICO'!$K$2:$K$4919,MATCH($A2222,'DETALLE CRONOLÓGICO'!$A$2:$A$4919,0)+$E2222-1)</f>
        <v/>
      </c>
      <c r="N2222" s="7">
        <f>IFERROR($M2222/INDEX('DETALLE CRONOLÓGICO'!$K$2:$K$4919,MATCH($A2222,'DETALLE CRONOLÓGICO'!$A$2:$A$4919,0))-1,"")</f>
        <v/>
      </c>
      <c r="O2222" s="6">
        <f>IFERROR($I2222*3,"")</f>
        <v/>
      </c>
      <c r="P2222" s="6">
        <f>IFERROR($I2222*3.5,"")</f>
        <v/>
      </c>
      <c r="Q2222" s="6">
        <f>IFERROR($I2222*4,"")</f>
        <v/>
      </c>
      <c r="R2222" s="6" t="n">
        <v>3365</v>
      </c>
      <c r="S2222" s="4" t="n">
        <v>2</v>
      </c>
      <c r="T2222" s="1" t="inlineStr">
        <is>
          <t>active</t>
        </is>
      </c>
      <c r="U2222" s="8" t="n"/>
      <c r="V2222" s="1" t="inlineStr">
        <is>
          <t>SIN PRECIO</t>
        </is>
      </c>
    </row>
    <row r="2223">
      <c r="A2223" s="1" t="inlineStr">
        <is>
          <t>99781783430157</t>
        </is>
      </c>
      <c r="B2223" s="1" t="inlineStr">
        <is>
          <t>COLLAR LV SAILOR SOO</t>
        </is>
      </c>
      <c r="C2223" s="1" t="inlineStr">
        <is>
          <t>Default Title</t>
        </is>
      </c>
      <c r="D2223" s="1" t="inlineStr">
        <is>
          <t>ZOEY</t>
        </is>
      </c>
      <c r="E2223" s="4">
        <f>COUNTIF('DETALLE CRONOLÓGICO'!$A$2:$A$4919,$A2223)</f>
        <v/>
      </c>
      <c r="F2223" s="4">
        <f>SUMIFS('DETALLE CRONOLÓGICO'!$I$2:$I$4919,'DETALLE CRONOLÓGICO'!$A$2:$A$4919,$A2223)</f>
        <v/>
      </c>
      <c r="G2223" s="1">
        <f>INDEX('DETALLE CRONOLÓGICO'!$D$2:$D$4919,MATCH($A2223,'DETALLE CRONOLÓGICO'!$A$2:$A$4919,0))</f>
        <v/>
      </c>
      <c r="H2223" s="1">
        <f>INDEX('DETALLE CRONOLÓGICO'!$D$2:$D$4919,MATCH($A2223,'DETALLE CRONOLÓGICO'!$A$2:$A$4919,0)+$E2223-1)</f>
        <v/>
      </c>
      <c r="I2223" s="5">
        <f>IFERROR(SUMIFS('DETALLE CRONOLÓGICO'!$L$2:$L$4919,'DETALLE CRONOLÓGICO'!$A$2:$A$4919,$A2223)/$F2223,"")</f>
        <v/>
      </c>
      <c r="J2223" s="6">
        <f>IFERROR(SUMIFS('DETALLE CRONOLÓGICO'!$K$2:$K$4919,'DETALLE CRONOLÓGICO'!$A$2:$A$4919,$A2223)/$E2223,"")</f>
        <v/>
      </c>
      <c r="K2223" s="6">
        <f>_xlfn.MINIFS('DETALLE CRONOLÓGICO'!$K$2:$K$4919,'DETALLE CRONOLÓGICO'!$A$2:$A$4919,$A2223)</f>
        <v/>
      </c>
      <c r="L2223" s="6">
        <f>_xlfn.MAXIFS('DETALLE CRONOLÓGICO'!$K$2:$K$4919,'DETALLE CRONOLÓGICO'!$A$2:$A$4919,$A2223)</f>
        <v/>
      </c>
      <c r="M2223" s="6">
        <f>INDEX('DETALLE CRONOLÓGICO'!$K$2:$K$4919,MATCH($A2223,'DETALLE CRONOLÓGICO'!$A$2:$A$4919,0)+$E2223-1)</f>
        <v/>
      </c>
      <c r="N2223" s="7">
        <f>IFERROR($M2223/INDEX('DETALLE CRONOLÓGICO'!$K$2:$K$4919,MATCH($A2223,'DETALLE CRONOLÓGICO'!$A$2:$A$4919,0))-1,"")</f>
        <v/>
      </c>
      <c r="O2223" s="6">
        <f>IFERROR($I2223*3,"")</f>
        <v/>
      </c>
      <c r="P2223" s="6">
        <f>IFERROR($I2223*3.5,"")</f>
        <v/>
      </c>
      <c r="Q2223" s="6">
        <f>IFERROR($I2223*4,"")</f>
        <v/>
      </c>
      <c r="R2223" s="6" t="n">
        <v>1299</v>
      </c>
      <c r="S2223" s="4" t="n">
        <v>1</v>
      </c>
      <c r="T2223" s="1" t="inlineStr">
        <is>
          <t>active</t>
        </is>
      </c>
      <c r="U2223" s="8" t="n"/>
      <c r="V2223" s="1" t="inlineStr">
        <is>
          <t>SIN PRECIO</t>
        </is>
      </c>
    </row>
    <row r="2224">
      <c r="A2224" s="1" t="inlineStr">
        <is>
          <t>99824591015117</t>
        </is>
      </c>
      <c r="B2224" s="1" t="inlineStr">
        <is>
          <t>ANILLO TRES AROS CON ZIRCONIA</t>
        </is>
      </c>
      <c r="C2224" s="1" t="inlineStr">
        <is>
          <t>5</t>
        </is>
      </c>
      <c r="D2224" s="1" t="inlineStr">
        <is>
          <t>HAIFENG</t>
        </is>
      </c>
      <c r="E2224" s="4">
        <f>COUNTIF('DETALLE CRONOLÓGICO'!$A$2:$A$4919,$A2224)</f>
        <v/>
      </c>
      <c r="F2224" s="4">
        <f>SUMIFS('DETALLE CRONOLÓGICO'!$I$2:$I$4919,'DETALLE CRONOLÓGICO'!$A$2:$A$4919,$A2224)</f>
        <v/>
      </c>
      <c r="G2224" s="1">
        <f>INDEX('DETALLE CRONOLÓGICO'!$D$2:$D$4919,MATCH($A2224,'DETALLE CRONOLÓGICO'!$A$2:$A$4919,0))</f>
        <v/>
      </c>
      <c r="H2224" s="1">
        <f>INDEX('DETALLE CRONOLÓGICO'!$D$2:$D$4919,MATCH($A2224,'DETALLE CRONOLÓGICO'!$A$2:$A$4919,0)+$E2224-1)</f>
        <v/>
      </c>
      <c r="I2224" s="5">
        <f>IFERROR(SUMIFS('DETALLE CRONOLÓGICO'!$L$2:$L$4919,'DETALLE CRONOLÓGICO'!$A$2:$A$4919,$A2224)/$F2224,"")</f>
        <v/>
      </c>
      <c r="J2224" s="6">
        <f>IFERROR(SUMIFS('DETALLE CRONOLÓGICO'!$K$2:$K$4919,'DETALLE CRONOLÓGICO'!$A$2:$A$4919,$A2224)/$E2224,"")</f>
        <v/>
      </c>
      <c r="K2224" s="6">
        <f>_xlfn.MINIFS('DETALLE CRONOLÓGICO'!$K$2:$K$4919,'DETALLE CRONOLÓGICO'!$A$2:$A$4919,$A2224)</f>
        <v/>
      </c>
      <c r="L2224" s="6">
        <f>_xlfn.MAXIFS('DETALLE CRONOLÓGICO'!$K$2:$K$4919,'DETALLE CRONOLÓGICO'!$A$2:$A$4919,$A2224)</f>
        <v/>
      </c>
      <c r="M2224" s="6">
        <f>INDEX('DETALLE CRONOLÓGICO'!$K$2:$K$4919,MATCH($A2224,'DETALLE CRONOLÓGICO'!$A$2:$A$4919,0)+$E2224-1)</f>
        <v/>
      </c>
      <c r="N2224" s="7">
        <f>IFERROR($M2224/INDEX('DETALLE CRONOLÓGICO'!$K$2:$K$4919,MATCH($A2224,'DETALLE CRONOLÓGICO'!$A$2:$A$4919,0))-1,"")</f>
        <v/>
      </c>
      <c r="O2224" s="6">
        <f>IFERROR($I2224*3,"")</f>
        <v/>
      </c>
      <c r="P2224" s="6">
        <f>IFERROR($I2224*3.5,"")</f>
        <v/>
      </c>
      <c r="Q2224" s="6">
        <f>IFERROR($I2224*4,"")</f>
        <v/>
      </c>
      <c r="R2224" s="6" t="n">
        <v>850</v>
      </c>
      <c r="S2224" s="4" t="n">
        <v>1</v>
      </c>
      <c r="T2224" s="1" t="inlineStr">
        <is>
          <t>active</t>
        </is>
      </c>
      <c r="U2224" s="8" t="n"/>
      <c r="V2224" s="1" t="inlineStr">
        <is>
          <t>SIN PRECIO</t>
        </is>
      </c>
    </row>
  </sheetData>
  <autoFilter ref="A1:V2224"/>
  <conditionalFormatting sqref="V2:V2224">
    <cfRule type="cellIs" priority="2" operator="equal" dxfId="3">
      <formula>"1-CRÍTICO"</formula>
    </cfRule>
    <cfRule type="cellIs" priority="3" operator="equal" dxfId="2">
      <formula>"2-BAJO"</formula>
    </cfRule>
    <cfRule type="cellIs" priority="4" operator="equal" dxfId="1">
      <formula>"3-CASI OK"</formula>
    </cfRule>
    <cfRule type="cellIs" priority="5" operator="equal" dxfId="0">
      <formula>"4-OK"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919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1" sqref="A1"/>
    </sheetView>
  </sheetViews>
  <sheetFormatPr baseColWidth="10" defaultColWidth="8.6640625" defaultRowHeight="15"/>
  <cols>
    <col width="17" customWidth="1" min="1" max="1"/>
    <col width="42" customWidth="1" min="2" max="2"/>
    <col width="30" customWidth="1" min="3" max="3"/>
    <col width="12" customWidth="1" min="4" max="4"/>
    <col width="7" customWidth="1" min="5" max="5"/>
    <col width="13" customWidth="1" min="6" max="6"/>
    <col width="12" customWidth="1" min="7" max="7"/>
    <col width="22" customWidth="1" min="8" max="8"/>
    <col width="8" customWidth="1" min="9" max="9"/>
    <col width="14" customWidth="1" min="10" max="10"/>
    <col width="18" customWidth="1" min="11" max="11"/>
    <col width="17" customWidth="1" min="12" max="12"/>
    <col width="15" customWidth="1" min="13" max="13"/>
    <col width="22" customWidth="1" min="14" max="14"/>
  </cols>
  <sheetData>
    <row r="1" ht="31.5" customHeight="1">
      <c r="A1" s="3" t="inlineStr">
        <is>
          <t>SKU</t>
        </is>
      </c>
      <c r="B1" s="3" t="inlineStr">
        <is>
          <t>PRODUCTO</t>
        </is>
      </c>
      <c r="C1" s="3" t="inlineStr">
        <is>
          <t>VARIANTE</t>
        </is>
      </c>
      <c r="D1" s="3" t="inlineStr">
        <is>
          <t>FECHA</t>
        </is>
      </c>
      <c r="E1" s="3" t="inlineStr">
        <is>
          <t>AÑO</t>
        </is>
      </c>
      <c r="F1" s="3" t="inlineStr">
        <is>
          <t>MES</t>
        </is>
      </c>
      <c r="G1" s="3" t="inlineStr">
        <is>
          <t>PROVEEDOR</t>
        </is>
      </c>
      <c r="H1" s="3" t="inlineStr">
        <is>
          <t>ORDEN DE COMPRA</t>
        </is>
      </c>
      <c r="I1" s="3" t="inlineStr">
        <is>
          <t>PIEZAS</t>
        </is>
      </c>
      <c r="J1" s="3" t="inlineStr">
        <is>
          <t>COSTO UNIT USD</t>
        </is>
      </c>
      <c r="K1" s="3" t="inlineStr">
        <is>
          <t>COSTO UNIT TOTAL MXN</t>
        </is>
      </c>
      <c r="L1" s="3" t="inlineStr">
        <is>
          <t>COSTO x PIEZAS (MXN)</t>
        </is>
      </c>
      <c r="M1" s="3" t="inlineStr">
        <is>
          <t>ROAS 4 DE ESA ORDEN</t>
        </is>
      </c>
      <c r="N1" s="3" t="inlineStr">
        <is>
          <t>PRECIO QUE TENÍA EN ESA ORDEN</t>
        </is>
      </c>
    </row>
    <row r="2">
      <c r="A2" s="1" t="inlineStr">
        <is>
          <t>10065591041229</t>
        </is>
      </c>
      <c r="B2" s="1" t="inlineStr">
        <is>
          <t>TRAJE DE BAÑO COMPLETO TRIOMPHE</t>
        </is>
      </c>
      <c r="C2" s="1" t="inlineStr">
        <is>
          <t>M</t>
        </is>
      </c>
      <c r="D2" s="1" t="inlineStr">
        <is>
          <t>19/03/2026</t>
        </is>
      </c>
      <c r="E2" s="1" t="n">
        <v>2026</v>
      </c>
      <c r="F2" s="1" t="inlineStr">
        <is>
          <t>MARZO</t>
        </is>
      </c>
      <c r="G2" s="1" t="inlineStr">
        <is>
          <t>ZOEY</t>
        </is>
      </c>
      <c r="H2" s="1" t="inlineStr">
        <is>
          <t>ZOEY 19/03/2026</t>
        </is>
      </c>
      <c r="I2" s="4" t="n">
        <v>2</v>
      </c>
      <c r="J2" s="6" t="n">
        <v>25</v>
      </c>
      <c r="K2" s="6" t="n">
        <v>644.5512403</v>
      </c>
      <c r="L2" s="6">
        <f>I2*K2</f>
        <v/>
      </c>
      <c r="M2" s="6">
        <f>K2*4</f>
        <v/>
      </c>
      <c r="N2" s="6" t="n">
        <v>2499</v>
      </c>
    </row>
    <row r="3">
      <c r="A3" s="1" t="inlineStr">
        <is>
          <t>10065591041229</t>
        </is>
      </c>
      <c r="B3" s="1" t="inlineStr">
        <is>
          <t>TRAJE DE BAÑO COMPLETO TRIOMPHE</t>
        </is>
      </c>
      <c r="C3" s="1" t="inlineStr">
        <is>
          <t>M</t>
        </is>
      </c>
      <c r="D3" s="1" t="inlineStr">
        <is>
          <t>08/06/2026</t>
        </is>
      </c>
      <c r="E3" s="1" t="n">
        <v>2026</v>
      </c>
      <c r="F3" s="1" t="inlineStr">
        <is>
          <t>JUNIO</t>
        </is>
      </c>
      <c r="G3" s="1" t="inlineStr">
        <is>
          <t>ZOEY</t>
        </is>
      </c>
      <c r="H3" s="1" t="inlineStr">
        <is>
          <t>ZOEY 08/06/2026</t>
        </is>
      </c>
      <c r="I3" s="4" t="n">
        <v>2</v>
      </c>
      <c r="J3" s="6" t="n">
        <v>25</v>
      </c>
      <c r="K3" s="6" t="n">
        <v>612.7859114</v>
      </c>
      <c r="L3" s="6">
        <f>I3*K3</f>
        <v/>
      </c>
      <c r="M3" s="6">
        <f>K3*4</f>
        <v/>
      </c>
      <c r="N3" s="6" t="n">
        <v>2499</v>
      </c>
    </row>
    <row r="4">
      <c r="A4" s="1" t="inlineStr">
        <is>
          <t>10065591106765</t>
        </is>
      </c>
      <c r="B4" s="1" t="inlineStr">
        <is>
          <t>TRAJE DE BAÑO C TRIOMPHE ALL BLACK</t>
        </is>
      </c>
      <c r="C4" s="1" t="inlineStr">
        <is>
          <t>M</t>
        </is>
      </c>
      <c r="D4" s="1" t="inlineStr">
        <is>
          <t>19/03/2026</t>
        </is>
      </c>
      <c r="E4" s="1" t="n">
        <v>2026</v>
      </c>
      <c r="F4" s="1" t="inlineStr">
        <is>
          <t>MARZO</t>
        </is>
      </c>
      <c r="G4" s="1" t="inlineStr">
        <is>
          <t>ZOEY</t>
        </is>
      </c>
      <c r="H4" s="1" t="inlineStr">
        <is>
          <t>ZOEY 19/03/2026</t>
        </is>
      </c>
      <c r="I4" s="4" t="n">
        <v>2</v>
      </c>
      <c r="J4" s="6" t="n">
        <v>25</v>
      </c>
      <c r="K4" s="6" t="n">
        <v>644.5512403</v>
      </c>
      <c r="L4" s="6">
        <f>I4*K4</f>
        <v/>
      </c>
      <c r="M4" s="6">
        <f>K4*4</f>
        <v/>
      </c>
      <c r="N4" s="6" t="n">
        <v>2579</v>
      </c>
    </row>
    <row r="5">
      <c r="A5" s="1" t="inlineStr">
        <is>
          <t>10065591251949</t>
        </is>
      </c>
      <c r="B5" s="1" t="inlineStr">
        <is>
          <t>TRAJE DE BAÑO GC PINK</t>
        </is>
      </c>
      <c r="C5" s="1" t="inlineStr">
        <is>
          <t>M</t>
        </is>
      </c>
      <c r="D5" s="1" t="inlineStr">
        <is>
          <t>19/03/2026</t>
        </is>
      </c>
      <c r="E5" s="1" t="n">
        <v>2026</v>
      </c>
      <c r="F5" s="1" t="inlineStr">
        <is>
          <t>MARZO</t>
        </is>
      </c>
      <c r="G5" s="1" t="inlineStr">
        <is>
          <t>ZOEY</t>
        </is>
      </c>
      <c r="H5" s="1" t="inlineStr">
        <is>
          <t>ZOEY 19/03/2026</t>
        </is>
      </c>
      <c r="I5" s="4" t="n">
        <v>2</v>
      </c>
      <c r="J5" s="6" t="n">
        <v>25</v>
      </c>
      <c r="K5" s="6" t="n">
        <v>644.5512403</v>
      </c>
      <c r="L5" s="6">
        <f>I5*K5</f>
        <v/>
      </c>
      <c r="M5" s="6">
        <f>K5*4</f>
        <v/>
      </c>
      <c r="N5" s="6" t="n">
        <v>2579</v>
      </c>
    </row>
    <row r="6">
      <c r="A6" s="1" t="inlineStr">
        <is>
          <t>10065591348557</t>
        </is>
      </c>
      <c r="B6" s="1" t="inlineStr">
        <is>
          <t>TRAJE DE BAÑO COMPLETO CD</t>
        </is>
      </c>
      <c r="C6" s="1" t="inlineStr">
        <is>
          <t>M</t>
        </is>
      </c>
      <c r="D6" s="1" t="inlineStr">
        <is>
          <t>19/03/2026</t>
        </is>
      </c>
      <c r="E6" s="1" t="n">
        <v>2026</v>
      </c>
      <c r="F6" s="1" t="inlineStr">
        <is>
          <t>MARZO</t>
        </is>
      </c>
      <c r="G6" s="1" t="inlineStr">
        <is>
          <t>ZOEY</t>
        </is>
      </c>
      <c r="H6" s="1" t="inlineStr">
        <is>
          <t>ZOEY 19/03/2026</t>
        </is>
      </c>
      <c r="I6" s="4" t="n">
        <v>2</v>
      </c>
      <c r="J6" s="6" t="n">
        <v>25</v>
      </c>
      <c r="K6" s="6" t="n">
        <v>644.5512403</v>
      </c>
      <c r="L6" s="6">
        <f>I6*K6</f>
        <v/>
      </c>
      <c r="M6" s="6">
        <f>K6*4</f>
        <v/>
      </c>
      <c r="N6" s="6" t="n">
        <v>2579</v>
      </c>
    </row>
    <row r="7">
      <c r="A7" s="1" t="inlineStr">
        <is>
          <t>10132411046285</t>
        </is>
      </c>
      <c r="B7" s="1" t="inlineStr">
        <is>
          <t>SANDALIAS CD DIORACT BLACK</t>
        </is>
      </c>
      <c r="C7" s="1" t="inlineStr">
        <is>
          <t>38/25mx</t>
        </is>
      </c>
      <c r="D7" s="1" t="inlineStr">
        <is>
          <t>27/04/2026</t>
        </is>
      </c>
      <c r="E7" s="1" t="n">
        <v>2026</v>
      </c>
      <c r="F7" s="1" t="inlineStr">
        <is>
          <t>ABRIL</t>
        </is>
      </c>
      <c r="G7" s="1" t="inlineStr">
        <is>
          <t>DINA DU</t>
        </is>
      </c>
      <c r="H7" s="1" t="inlineStr">
        <is>
          <t>DINA DU 27/04/2026</t>
        </is>
      </c>
      <c r="I7" s="4" t="n">
        <v>2</v>
      </c>
      <c r="J7" s="6" t="n">
        <v>35</v>
      </c>
      <c r="K7" s="6" t="n">
        <v>946.5509462</v>
      </c>
      <c r="L7" s="6">
        <f>I7*K7</f>
        <v/>
      </c>
      <c r="M7" s="6">
        <f>K7*4</f>
        <v/>
      </c>
      <c r="N7" s="6" t="n">
        <v>3789</v>
      </c>
    </row>
    <row r="8">
      <c r="A8" s="1" t="inlineStr">
        <is>
          <t>10132411116909</t>
        </is>
      </c>
      <c r="B8" s="1" t="inlineStr">
        <is>
          <t>BOLSO CD SADDLE ALL BLACK</t>
        </is>
      </c>
      <c r="C8" s="1" t="inlineStr">
        <is>
          <t>Default Title</t>
        </is>
      </c>
      <c r="D8" s="1" t="inlineStr">
        <is>
          <t>27/04/2026</t>
        </is>
      </c>
      <c r="E8" s="1" t="n">
        <v>2026</v>
      </c>
      <c r="F8" s="1" t="inlineStr">
        <is>
          <t>ABRIL</t>
        </is>
      </c>
      <c r="G8" s="1" t="inlineStr">
        <is>
          <t>DINA DU</t>
        </is>
      </c>
      <c r="H8" s="1" t="inlineStr">
        <is>
          <t>DINA DU 27/04/2026</t>
        </is>
      </c>
      <c r="I8" s="4" t="n">
        <v>2</v>
      </c>
      <c r="J8" s="6" t="n">
        <v>63</v>
      </c>
      <c r="K8" s="6" t="n">
        <v>1703.791703</v>
      </c>
      <c r="L8" s="6">
        <f>I8*K8</f>
        <v/>
      </c>
      <c r="M8" s="6">
        <f>K8*4</f>
        <v/>
      </c>
      <c r="N8" s="6" t="n">
        <v>5999</v>
      </c>
    </row>
    <row r="9">
      <c r="A9" s="1" t="inlineStr">
        <is>
          <t>10132411251373</t>
        </is>
      </c>
      <c r="B9" s="1" t="inlineStr">
        <is>
          <t>BOLSO CD BOW BURGUNDY</t>
        </is>
      </c>
      <c r="C9" s="1" t="inlineStr">
        <is>
          <t>Default Title</t>
        </is>
      </c>
      <c r="D9" s="1" t="inlineStr">
        <is>
          <t>27/04/2026</t>
        </is>
      </c>
      <c r="E9" s="1" t="n">
        <v>2026</v>
      </c>
      <c r="F9" s="1" t="inlineStr">
        <is>
          <t>ABRIL</t>
        </is>
      </c>
      <c r="G9" s="1" t="inlineStr">
        <is>
          <t>DINA DU</t>
        </is>
      </c>
      <c r="H9" s="1" t="inlineStr">
        <is>
          <t>DINA DU 27/04/2026</t>
        </is>
      </c>
      <c r="I9" s="4" t="n">
        <v>3</v>
      </c>
      <c r="J9" s="6" t="n">
        <v>71</v>
      </c>
      <c r="K9" s="6" t="n">
        <v>1920.146205</v>
      </c>
      <c r="L9" s="6">
        <f>I9*K9</f>
        <v/>
      </c>
      <c r="M9" s="6">
        <f>K9*4</f>
        <v/>
      </c>
      <c r="N9" s="6" t="n">
        <v>6720.51</v>
      </c>
    </row>
    <row r="10">
      <c r="A10" s="1" t="inlineStr">
        <is>
          <t>10132411318605</t>
        </is>
      </c>
      <c r="B10" s="1" t="inlineStr">
        <is>
          <t>BOLSO CD BOW BLACK</t>
        </is>
      </c>
      <c r="C10" s="1" t="inlineStr">
        <is>
          <t>Default Title</t>
        </is>
      </c>
      <c r="D10" s="1" t="inlineStr">
        <is>
          <t>27/04/2026</t>
        </is>
      </c>
      <c r="E10" s="1" t="n">
        <v>2026</v>
      </c>
      <c r="F10" s="1" t="inlineStr">
        <is>
          <t>ABRIL</t>
        </is>
      </c>
      <c r="G10" s="1" t="inlineStr">
        <is>
          <t>DINA DU</t>
        </is>
      </c>
      <c r="H10" s="1" t="inlineStr">
        <is>
          <t>DINA DU 27/04/2026</t>
        </is>
      </c>
      <c r="I10" s="4" t="n">
        <v>3</v>
      </c>
      <c r="J10" s="6" t="n">
        <v>71</v>
      </c>
      <c r="K10" s="6" t="n">
        <v>1920.146205</v>
      </c>
      <c r="L10" s="6">
        <f>I10*K10</f>
        <v/>
      </c>
      <c r="M10" s="6">
        <f>K10*4</f>
        <v/>
      </c>
      <c r="N10" s="6" t="n">
        <v>6720.51</v>
      </c>
    </row>
    <row r="11">
      <c r="A11" s="1" t="inlineStr">
        <is>
          <t>10132411463245</t>
        </is>
      </c>
      <c r="B11" s="1" t="inlineStr">
        <is>
          <t>GORRO F LOGOS</t>
        </is>
      </c>
      <c r="C11" s="1" t="inlineStr">
        <is>
          <t>Default Title</t>
        </is>
      </c>
      <c r="D11" s="1" t="inlineStr">
        <is>
          <t>27/04/2026</t>
        </is>
      </c>
      <c r="E11" s="1" t="n">
        <v>2026</v>
      </c>
      <c r="F11" s="1" t="inlineStr">
        <is>
          <t>ABRIL</t>
        </is>
      </c>
      <c r="G11" s="1" t="inlineStr">
        <is>
          <t>DINA DU</t>
        </is>
      </c>
      <c r="H11" s="1" t="inlineStr">
        <is>
          <t>DINA DU 27/04/2026</t>
        </is>
      </c>
      <c r="I11" s="4" t="n">
        <v>2</v>
      </c>
      <c r="J11" s="6" t="n">
        <v>10</v>
      </c>
      <c r="K11" s="6" t="n">
        <v>270.4431275</v>
      </c>
      <c r="L11" s="6">
        <f>I11*K11</f>
        <v/>
      </c>
      <c r="M11" s="6">
        <f>K11*4</f>
        <v/>
      </c>
      <c r="N11" s="6" t="n">
        <v>1089</v>
      </c>
    </row>
    <row r="12">
      <c r="A12" s="1" t="inlineStr">
        <is>
          <t>10132411501101</t>
        </is>
      </c>
      <c r="B12" s="1" t="inlineStr">
        <is>
          <t>CARTERA F GRAPHY WHITE</t>
        </is>
      </c>
      <c r="C12" s="1" t="inlineStr">
        <is>
          <t>Default Title</t>
        </is>
      </c>
      <c r="D12" s="1" t="inlineStr">
        <is>
          <t>27/04/2026</t>
        </is>
      </c>
      <c r="E12" s="1" t="n">
        <v>2026</v>
      </c>
      <c r="F12" s="1" t="inlineStr">
        <is>
          <t>ABRIL</t>
        </is>
      </c>
      <c r="G12" s="1" t="inlineStr">
        <is>
          <t>DINA DU</t>
        </is>
      </c>
      <c r="H12" s="1" t="inlineStr">
        <is>
          <t>DINA DU 27/04/2026</t>
        </is>
      </c>
      <c r="I12" s="4" t="n">
        <v>2</v>
      </c>
      <c r="J12" s="6" t="n">
        <v>52</v>
      </c>
      <c r="K12" s="6" t="n">
        <v>1406.304263</v>
      </c>
      <c r="L12" s="6">
        <f>I12*K12</f>
        <v/>
      </c>
      <c r="M12" s="6">
        <f>K12*4</f>
        <v/>
      </c>
      <c r="N12" s="6" t="n">
        <v>4300</v>
      </c>
    </row>
    <row r="13">
      <c r="A13" s="1" t="inlineStr">
        <is>
          <t>10132411606189</t>
        </is>
      </c>
      <c r="B13" s="1" t="inlineStr">
        <is>
          <t>CARTERA F BAGUETTE MINI</t>
        </is>
      </c>
      <c r="C13" s="1" t="inlineStr">
        <is>
          <t>Default Title</t>
        </is>
      </c>
      <c r="D13" s="1" t="inlineStr">
        <is>
          <t>27/04/2026</t>
        </is>
      </c>
      <c r="E13" s="1" t="n">
        <v>2026</v>
      </c>
      <c r="F13" s="1" t="inlineStr">
        <is>
          <t>ABRIL</t>
        </is>
      </c>
      <c r="G13" s="1" t="inlineStr">
        <is>
          <t>DINA DU</t>
        </is>
      </c>
      <c r="H13" s="1" t="inlineStr">
        <is>
          <t>DINA DU 27/04/2026</t>
        </is>
      </c>
      <c r="I13" s="4" t="n">
        <v>2</v>
      </c>
      <c r="J13" s="6" t="n">
        <v>75</v>
      </c>
      <c r="K13" s="6" t="n">
        <v>2028.323456</v>
      </c>
      <c r="L13" s="6">
        <f>I13*K13</f>
        <v/>
      </c>
      <c r="M13" s="6">
        <f>K13*4</f>
        <v/>
      </c>
      <c r="N13" s="6" t="n">
        <v>6500</v>
      </c>
    </row>
    <row r="14">
      <c r="A14" s="1" t="inlineStr">
        <is>
          <t>10132411776813</t>
        </is>
      </c>
      <c r="B14" s="1" t="inlineStr">
        <is>
          <t>BOLSO F GRAPHY LOGOS</t>
        </is>
      </c>
      <c r="C14" s="1" t="inlineStr">
        <is>
          <t>Default Title</t>
        </is>
      </c>
      <c r="D14" s="1" t="inlineStr">
        <is>
          <t>27/04/2026</t>
        </is>
      </c>
      <c r="E14" s="1" t="n">
        <v>2026</v>
      </c>
      <c r="F14" s="1" t="inlineStr">
        <is>
          <t>ABRIL</t>
        </is>
      </c>
      <c r="G14" s="1" t="inlineStr">
        <is>
          <t>DINA DU</t>
        </is>
      </c>
      <c r="H14" s="1" t="inlineStr">
        <is>
          <t>DINA DU 27/04/2026</t>
        </is>
      </c>
      <c r="I14" s="4" t="n">
        <v>2</v>
      </c>
      <c r="J14" s="6" t="n">
        <v>78</v>
      </c>
      <c r="K14" s="6" t="n">
        <v>2109.456394</v>
      </c>
      <c r="L14" s="6">
        <f>I14*K14</f>
        <v/>
      </c>
      <c r="M14" s="6">
        <f>K14*4</f>
        <v/>
      </c>
      <c r="N14" s="6" t="n">
        <v>7383.0973802679</v>
      </c>
    </row>
    <row r="15">
      <c r="A15" s="1" t="inlineStr">
        <is>
          <t>10427542282892</t>
        </is>
      </c>
      <c r="B15" s="1" t="inlineStr">
        <is>
          <t>RELOJ SANTOS SILVER</t>
        </is>
      </c>
      <c r="C15" s="1" t="inlineStr">
        <is>
          <t>Default Title</t>
        </is>
      </c>
      <c r="D15" s="1" t="inlineStr">
        <is>
          <t>01/09/2025</t>
        </is>
      </c>
      <c r="E15" s="1" t="n">
        <v>2025</v>
      </c>
      <c r="F15" s="1" t="inlineStr">
        <is>
          <t>SEPTIEMBRE</t>
        </is>
      </c>
      <c r="G15" s="1" t="inlineStr">
        <is>
          <t>ZOEY</t>
        </is>
      </c>
      <c r="H15" s="1" t="inlineStr">
        <is>
          <t>ZOEY 01/09/2025</t>
        </is>
      </c>
      <c r="I15" s="4" t="n">
        <v>2</v>
      </c>
      <c r="J15" s="6" t="n">
        <v>68</v>
      </c>
      <c r="K15" s="6" t="n">
        <v>1708.013433</v>
      </c>
      <c r="L15" s="6">
        <f>I15*K15</f>
        <v/>
      </c>
      <c r="M15" s="6">
        <f>K15*4</f>
        <v/>
      </c>
      <c r="N15" s="6" t="n">
        <v>5650</v>
      </c>
    </row>
    <row r="16">
      <c r="A16" s="1" t="inlineStr">
        <is>
          <t>10427542282892</t>
        </is>
      </c>
      <c r="B16" s="1" t="inlineStr">
        <is>
          <t>RELOJ SANTOS SILVER</t>
        </is>
      </c>
      <c r="C16" s="1" t="inlineStr">
        <is>
          <t>34mm Mujer Con Caja</t>
        </is>
      </c>
      <c r="D16" s="1" t="inlineStr">
        <is>
          <t>02/10/2025</t>
        </is>
      </c>
      <c r="E16" s="1" t="n">
        <v>2025</v>
      </c>
      <c r="F16" s="1" t="inlineStr">
        <is>
          <t>OCTUBRE</t>
        </is>
      </c>
      <c r="G16" s="1" t="inlineStr">
        <is>
          <t>ZOEY</t>
        </is>
      </c>
      <c r="H16" s="1" t="inlineStr">
        <is>
          <t>ZOEY 02/10/2025</t>
        </is>
      </c>
      <c r="I16" s="4" t="n">
        <v>2</v>
      </c>
      <c r="J16" s="6" t="n">
        <v>58</v>
      </c>
      <c r="K16" s="6" t="n">
        <v>1370.188288</v>
      </c>
      <c r="L16" s="6">
        <f>I16*K16</f>
        <v/>
      </c>
      <c r="M16" s="6">
        <f>K16*4</f>
        <v/>
      </c>
      <c r="N16" s="6" t="n">
        <v>5650</v>
      </c>
    </row>
    <row r="17">
      <c r="A17" s="1" t="inlineStr">
        <is>
          <t>10427542282892</t>
        </is>
      </c>
      <c r="B17" s="1" t="inlineStr">
        <is>
          <t>RELOJ SANTOS SILVER</t>
        </is>
      </c>
      <c r="C17" s="1" t="inlineStr">
        <is>
          <t>men</t>
        </is>
      </c>
      <c r="D17" s="1" t="inlineStr">
        <is>
          <t>25/10/2025</t>
        </is>
      </c>
      <c r="E17" s="1" t="n">
        <v>2025</v>
      </c>
      <c r="F17" s="1" t="inlineStr">
        <is>
          <t>OCTUBRE</t>
        </is>
      </c>
      <c r="G17" s="1" t="inlineStr">
        <is>
          <t>ZOEY</t>
        </is>
      </c>
      <c r="H17" s="1" t="inlineStr">
        <is>
          <t>ZOEY 25/10/2025</t>
        </is>
      </c>
      <c r="I17" s="4" t="n">
        <v>4</v>
      </c>
      <c r="J17" s="6" t="n">
        <v>68</v>
      </c>
      <c r="K17" s="6" t="n">
        <v>1686.407433</v>
      </c>
      <c r="L17" s="6">
        <f>I17*K17</f>
        <v/>
      </c>
      <c r="M17" s="6">
        <f>K17*4</f>
        <v/>
      </c>
      <c r="N17" s="6" t="n">
        <v>5650</v>
      </c>
    </row>
    <row r="18">
      <c r="A18" s="1" t="inlineStr">
        <is>
          <t>10427542282892</t>
        </is>
      </c>
      <c r="B18" s="1" t="inlineStr">
        <is>
          <t>RELOJ SANTOS SILVER</t>
        </is>
      </c>
      <c r="C18" s="1" t="inlineStr">
        <is>
          <t>34mm Mujer Con Caja</t>
        </is>
      </c>
      <c r="D18" s="1" t="inlineStr">
        <is>
          <t>02/03/2026</t>
        </is>
      </c>
      <c r="E18" s="1" t="n">
        <v>2026</v>
      </c>
      <c r="F18" s="1" t="inlineStr">
        <is>
          <t>MARZO</t>
        </is>
      </c>
      <c r="G18" s="1" t="inlineStr">
        <is>
          <t>ZOEY</t>
        </is>
      </c>
      <c r="H18" s="1" t="inlineStr">
        <is>
          <t>ZOEY 02/03/2026</t>
        </is>
      </c>
      <c r="I18" s="4" t="n">
        <v>1</v>
      </c>
      <c r="J18" s="6" t="n">
        <v>68</v>
      </c>
      <c r="K18" s="6" t="n">
        <v>1786.834349</v>
      </c>
      <c r="L18" s="6">
        <f>I18*K18</f>
        <v/>
      </c>
      <c r="M18" s="6">
        <f>K18*4</f>
        <v/>
      </c>
      <c r="N18" s="6" t="n">
        <v>6699</v>
      </c>
    </row>
    <row r="19">
      <c r="A19" s="1" t="inlineStr">
        <is>
          <t>10427542282892</t>
        </is>
      </c>
      <c r="B19" s="1" t="inlineStr">
        <is>
          <t>RELOJ SANTOS SILVER</t>
        </is>
      </c>
      <c r="C19" s="1" t="inlineStr">
        <is>
          <t>34mm Mujer Con Caja</t>
        </is>
      </c>
      <c r="D19" s="1" t="inlineStr">
        <is>
          <t>08/06/2026</t>
        </is>
      </c>
      <c r="E19" s="1" t="n">
        <v>2026</v>
      </c>
      <c r="F19" s="1" t="inlineStr">
        <is>
          <t>JUNIO</t>
        </is>
      </c>
      <c r="G19" s="1" t="inlineStr">
        <is>
          <t>ZOEY</t>
        </is>
      </c>
      <c r="H19" s="1" t="inlineStr">
        <is>
          <t>ZOEY 08/06/2026</t>
        </is>
      </c>
      <c r="I19" s="4" t="n">
        <v>3</v>
      </c>
      <c r="J19" s="6" t="n">
        <v>68</v>
      </c>
      <c r="K19" s="6" t="n">
        <v>1666.777679</v>
      </c>
      <c r="L19" s="6">
        <f>I19*K19</f>
        <v/>
      </c>
      <c r="M19" s="6">
        <f>K19*4</f>
        <v/>
      </c>
      <c r="N19" s="6" t="n">
        <v>6699</v>
      </c>
    </row>
    <row r="20">
      <c r="A20" s="1" t="inlineStr">
        <is>
          <t>10427542282893</t>
        </is>
      </c>
      <c r="B20" s="1" t="n"/>
      <c r="C20" s="1" t="inlineStr">
        <is>
          <t>39mm Hombre Con Caja</t>
        </is>
      </c>
      <c r="D20" s="1" t="inlineStr">
        <is>
          <t>02/10/2025</t>
        </is>
      </c>
      <c r="E20" s="1" t="n">
        <v>2025</v>
      </c>
      <c r="F20" s="1" t="inlineStr">
        <is>
          <t>OCTUBRE</t>
        </is>
      </c>
      <c r="G20" s="1" t="inlineStr">
        <is>
          <t>ZOEY</t>
        </is>
      </c>
      <c r="H20" s="1" t="inlineStr">
        <is>
          <t>ZOEY 02/10/2025</t>
        </is>
      </c>
      <c r="I20" s="4" t="n">
        <v>5</v>
      </c>
      <c r="J20" s="6" t="n">
        <v>68</v>
      </c>
      <c r="K20" s="6" t="n">
        <v>1606.427648</v>
      </c>
      <c r="L20" s="6">
        <f>I20*K20</f>
        <v/>
      </c>
      <c r="M20" s="6">
        <f>K20*4</f>
        <v/>
      </c>
      <c r="N20" s="6" t="n">
        <v>5650</v>
      </c>
    </row>
    <row r="21">
      <c r="A21" s="1" t="inlineStr">
        <is>
          <t>10427542282893</t>
        </is>
      </c>
      <c r="B21" s="1" t="inlineStr">
        <is>
          <t>RELOJ SANTOS SILVER</t>
        </is>
      </c>
      <c r="C21" s="1" t="inlineStr">
        <is>
          <t>women</t>
        </is>
      </c>
      <c r="D21" s="1" t="inlineStr">
        <is>
          <t>25/10/2025</t>
        </is>
      </c>
      <c r="E21" s="1" t="n">
        <v>2025</v>
      </c>
      <c r="F21" s="1" t="inlineStr">
        <is>
          <t>OCTUBRE</t>
        </is>
      </c>
      <c r="G21" s="1" t="inlineStr">
        <is>
          <t>ZOEY</t>
        </is>
      </c>
      <c r="H21" s="1" t="inlineStr">
        <is>
          <t>ZOEY 25/10/2025</t>
        </is>
      </c>
      <c r="I21" s="4" t="n">
        <v>4</v>
      </c>
      <c r="J21" s="6" t="n">
        <v>58</v>
      </c>
      <c r="K21" s="6" t="n">
        <v>1438.40634</v>
      </c>
      <c r="L21" s="6">
        <f>I21*K21</f>
        <v/>
      </c>
      <c r="M21" s="6">
        <f>K21*4</f>
        <v/>
      </c>
      <c r="N21" s="6" t="n">
        <v>5650</v>
      </c>
    </row>
    <row r="22">
      <c r="A22" s="1" t="inlineStr">
        <is>
          <t>10427542282893</t>
        </is>
      </c>
      <c r="B22" s="1" t="inlineStr">
        <is>
          <t>RELOJ SANTOS SILVER</t>
        </is>
      </c>
      <c r="C22" s="1" t="inlineStr">
        <is>
          <t>39mm Hombre Con Caja</t>
        </is>
      </c>
      <c r="D22" s="1" t="inlineStr">
        <is>
          <t>08/06/2026</t>
        </is>
      </c>
      <c r="E22" s="1" t="n">
        <v>2026</v>
      </c>
      <c r="F22" s="1" t="inlineStr">
        <is>
          <t>JUNIO</t>
        </is>
      </c>
      <c r="G22" s="1" t="inlineStr">
        <is>
          <t>ZOEY</t>
        </is>
      </c>
      <c r="H22" s="1" t="inlineStr">
        <is>
          <t>ZOEY 08/06/2026</t>
        </is>
      </c>
      <c r="I22" s="4" t="n">
        <v>3</v>
      </c>
      <c r="J22" s="6" t="n">
        <v>68</v>
      </c>
      <c r="K22" s="6" t="n">
        <v>1666.777679</v>
      </c>
      <c r="L22" s="6">
        <f>I22*K22</f>
        <v/>
      </c>
      <c r="M22" s="6">
        <f>K22*4</f>
        <v/>
      </c>
      <c r="N22" s="6" t="n">
        <v>6699</v>
      </c>
    </row>
    <row r="23">
      <c r="A23" s="1" t="inlineStr">
        <is>
          <t>10473111097537</t>
        </is>
      </c>
      <c r="B23" s="1" t="inlineStr">
        <is>
          <t>PULSERA DE CUENTAS ROSEGOLD</t>
        </is>
      </c>
      <c r="C23" s="1" t="inlineStr">
        <is>
          <t>17cm</t>
        </is>
      </c>
      <c r="D23" s="1" t="inlineStr">
        <is>
          <t>01/09/2025</t>
        </is>
      </c>
      <c r="E23" s="1" t="n">
        <v>2025</v>
      </c>
      <c r="F23" s="1" t="inlineStr">
        <is>
          <t>SEPTIEMBRE</t>
        </is>
      </c>
      <c r="G23" s="1" t="inlineStr">
        <is>
          <t>ZOEY</t>
        </is>
      </c>
      <c r="H23" s="1" t="inlineStr">
        <is>
          <t>ZOEY 01/09/2025</t>
        </is>
      </c>
      <c r="I23" s="4" t="n">
        <v>4</v>
      </c>
      <c r="J23" s="6" t="n">
        <v>9</v>
      </c>
      <c r="K23" s="6" t="n">
        <v>226.0606014</v>
      </c>
      <c r="L23" s="6">
        <f>I23*K23</f>
        <v/>
      </c>
      <c r="M23" s="6">
        <f>K23*4</f>
        <v/>
      </c>
      <c r="N23" s="6" t="n">
        <v>750</v>
      </c>
    </row>
    <row r="24">
      <c r="A24" s="1" t="inlineStr">
        <is>
          <t>10473111097537</t>
        </is>
      </c>
      <c r="B24" s="1" t="inlineStr">
        <is>
          <t>PULSERA DE CUENTAS ROSEGOLD</t>
        </is>
      </c>
      <c r="C24" s="1" t="inlineStr">
        <is>
          <t>17cm</t>
        </is>
      </c>
      <c r="D24" s="1" t="inlineStr">
        <is>
          <t>25/10/2025</t>
        </is>
      </c>
      <c r="E24" s="1" t="n">
        <v>2025</v>
      </c>
      <c r="F24" s="1" t="inlineStr">
        <is>
          <t>OCTUBRE</t>
        </is>
      </c>
      <c r="G24" s="1" t="inlineStr">
        <is>
          <t>ZOEY</t>
        </is>
      </c>
      <c r="H24" s="1" t="inlineStr">
        <is>
          <t>ZOEY 25/10/2025</t>
        </is>
      </c>
      <c r="I24" s="4" t="n">
        <v>8</v>
      </c>
      <c r="J24" s="6" t="n">
        <v>9</v>
      </c>
      <c r="K24" s="6" t="n">
        <v>223.2009837</v>
      </c>
      <c r="L24" s="6">
        <f>I24*K24</f>
        <v/>
      </c>
      <c r="M24" s="6">
        <f>K24*4</f>
        <v/>
      </c>
      <c r="N24" s="6" t="n">
        <v>750</v>
      </c>
    </row>
    <row r="25">
      <c r="A25" s="1" t="inlineStr">
        <is>
          <t>10473111097537</t>
        </is>
      </c>
      <c r="B25" s="1" t="inlineStr">
        <is>
          <t>PULSERA DE CUENTAS ROSEGOLD</t>
        </is>
      </c>
      <c r="C25" s="1" t="inlineStr">
        <is>
          <t>17cm</t>
        </is>
      </c>
      <c r="D25" s="1" t="inlineStr">
        <is>
          <t>20/01/2026</t>
        </is>
      </c>
      <c r="E25" s="1" t="n">
        <v>2026</v>
      </c>
      <c r="F25" s="1" t="inlineStr">
        <is>
          <t>ENERO</t>
        </is>
      </c>
      <c r="G25" s="1" t="inlineStr">
        <is>
          <t>ZOEY</t>
        </is>
      </c>
      <c r="H25" s="1" t="inlineStr">
        <is>
          <t>ZOEY 20/01/2026</t>
        </is>
      </c>
      <c r="I25" s="4" t="n">
        <v>2</v>
      </c>
      <c r="J25" s="6" t="n">
        <v>9</v>
      </c>
      <c r="K25" s="6" t="n">
        <v>234.2843943</v>
      </c>
      <c r="L25" s="6">
        <f>I25*K25</f>
        <v/>
      </c>
      <c r="M25" s="6">
        <f>K25*4</f>
        <v/>
      </c>
      <c r="N25" s="6" t="n">
        <v>899</v>
      </c>
    </row>
    <row r="26">
      <c r="A26" s="1" t="inlineStr">
        <is>
          <t>10473111097537</t>
        </is>
      </c>
      <c r="B26" s="1" t="inlineStr">
        <is>
          <t>PULSERA DE CUENTAS ROSEGOLD</t>
        </is>
      </c>
      <c r="C26" s="1" t="inlineStr">
        <is>
          <t>17cm</t>
        </is>
      </c>
      <c r="D26" s="1" t="inlineStr">
        <is>
          <t>02/03/2026</t>
        </is>
      </c>
      <c r="E26" s="1" t="n">
        <v>2026</v>
      </c>
      <c r="F26" s="1" t="inlineStr">
        <is>
          <t>MARZO</t>
        </is>
      </c>
      <c r="G26" s="1" t="inlineStr">
        <is>
          <t>ZOEY</t>
        </is>
      </c>
      <c r="H26" s="1" t="inlineStr">
        <is>
          <t>ZOEY 02/03/2026</t>
        </is>
      </c>
      <c r="I26" s="4" t="n">
        <v>2</v>
      </c>
      <c r="J26" s="6" t="n">
        <v>6</v>
      </c>
      <c r="K26" s="6" t="n">
        <v>157.6618543</v>
      </c>
      <c r="L26" s="6">
        <f>I26*K26</f>
        <v/>
      </c>
      <c r="M26" s="6">
        <f>K26*4</f>
        <v/>
      </c>
      <c r="N26" s="6" t="n">
        <v>899</v>
      </c>
    </row>
    <row r="27">
      <c r="A27" s="1" t="inlineStr">
        <is>
          <t>10473111097537</t>
        </is>
      </c>
      <c r="B27" s="1" t="inlineStr">
        <is>
          <t>PULSERA DE CUENTAS ROSEGOLD</t>
        </is>
      </c>
      <c r="C27" s="1" t="inlineStr">
        <is>
          <t>17cm</t>
        </is>
      </c>
      <c r="D27" s="1" t="inlineStr">
        <is>
          <t>08/06/2026</t>
        </is>
      </c>
      <c r="E27" s="1" t="n">
        <v>2026</v>
      </c>
      <c r="F27" s="1" t="inlineStr">
        <is>
          <t>JUNIO</t>
        </is>
      </c>
      <c r="G27" s="1" t="inlineStr">
        <is>
          <t>ZOEY</t>
        </is>
      </c>
      <c r="H27" s="1" t="inlineStr">
        <is>
          <t>ZOEY 08/06/2026</t>
        </is>
      </c>
      <c r="I27" s="4" t="n">
        <v>6</v>
      </c>
      <c r="J27" s="6" t="n">
        <v>9</v>
      </c>
      <c r="K27" s="6" t="n">
        <v>220.6029281</v>
      </c>
      <c r="L27" s="6">
        <f>I27*K27</f>
        <v/>
      </c>
      <c r="M27" s="6">
        <f>K27*4</f>
        <v/>
      </c>
      <c r="N27" s="6" t="n">
        <v>899</v>
      </c>
    </row>
    <row r="28">
      <c r="A28" s="1" t="inlineStr">
        <is>
          <t>10717801055213</t>
        </is>
      </c>
      <c r="B28" s="1" t="inlineStr">
        <is>
          <t>ANILLO CD ZIRCONIAS GOLD-BLACK</t>
        </is>
      </c>
      <c r="C28" s="1" t="inlineStr">
        <is>
          <t>7</t>
        </is>
      </c>
      <c r="D28" s="1" t="inlineStr">
        <is>
          <t>20/01/2026</t>
        </is>
      </c>
      <c r="E28" s="1" t="n">
        <v>2026</v>
      </c>
      <c r="F28" s="1" t="inlineStr">
        <is>
          <t>ENERO</t>
        </is>
      </c>
      <c r="G28" s="1" t="inlineStr">
        <is>
          <t>HAIFENG</t>
        </is>
      </c>
      <c r="H28" s="1" t="inlineStr">
        <is>
          <t>HAIFENG 20/01/2026</t>
        </is>
      </c>
      <c r="I28" s="4" t="n">
        <v>1</v>
      </c>
      <c r="J28" s="6" t="n">
        <v>9.5</v>
      </c>
      <c r="K28" s="6" t="n">
        <v>201.403969</v>
      </c>
      <c r="L28" s="6">
        <f>I28*K28</f>
        <v/>
      </c>
      <c r="M28" s="6">
        <f>K28*4</f>
        <v/>
      </c>
      <c r="N28" s="6" t="n">
        <v>790.5</v>
      </c>
    </row>
    <row r="29">
      <c r="A29" s="1" t="inlineStr">
        <is>
          <t>10717801055213</t>
        </is>
      </c>
      <c r="B29" s="1" t="n"/>
      <c r="C29" s="1" t="inlineStr">
        <is>
          <t>7</t>
        </is>
      </c>
      <c r="D29" s="1" t="inlineStr">
        <is>
          <t>10/02/2026</t>
        </is>
      </c>
      <c r="E29" s="1" t="n">
        <v>2026</v>
      </c>
      <c r="F29" s="1" t="inlineStr">
        <is>
          <t>FEBRERO</t>
        </is>
      </c>
      <c r="G29" s="1" t="inlineStr">
        <is>
          <t>HAIFENG</t>
        </is>
      </c>
      <c r="H29" s="1" t="inlineStr">
        <is>
          <t>HAIFENG 10/02/2026</t>
        </is>
      </c>
      <c r="I29" s="4" t="n">
        <v>2</v>
      </c>
      <c r="J29" s="6" t="n">
        <v>9.5</v>
      </c>
      <c r="K29" s="6" t="n">
        <v>200.1507126</v>
      </c>
      <c r="L29" s="6">
        <f>I29*K29</f>
        <v/>
      </c>
      <c r="M29" s="6">
        <f>K29*4</f>
        <v/>
      </c>
      <c r="N29" s="6" t="n">
        <v>790.5</v>
      </c>
    </row>
    <row r="30">
      <c r="A30" s="1" t="inlineStr">
        <is>
          <t>10956321024557</t>
        </is>
      </c>
      <c r="B30" s="1" t="inlineStr">
        <is>
          <t>ANILLO BV BUMPS GOLD ZIRCONIAS-6</t>
        </is>
      </c>
      <c r="C30" s="1" t="n">
        <v>6</v>
      </c>
      <c r="D30" s="1" t="inlineStr">
        <is>
          <t>25/09/2025</t>
        </is>
      </c>
      <c r="E30" s="1" t="n">
        <v>2025</v>
      </c>
      <c r="F30" s="1" t="inlineStr">
        <is>
          <t>SEPTIEMBRE</t>
        </is>
      </c>
      <c r="G30" s="1" t="inlineStr">
        <is>
          <t>HAIFENG</t>
        </is>
      </c>
      <c r="H30" s="1" t="inlineStr">
        <is>
          <t>HAIFENG 25/09/2025</t>
        </is>
      </c>
      <c r="I30" s="4" t="n">
        <v>2</v>
      </c>
      <c r="J30" s="6" t="n">
        <v>10</v>
      </c>
      <c r="K30" s="6" t="n">
        <v>210.9688577</v>
      </c>
      <c r="L30" s="6">
        <f>I30*K30</f>
        <v/>
      </c>
      <c r="M30" s="6">
        <f>K30*4</f>
        <v/>
      </c>
      <c r="N30" s="6" t="n">
        <v>999</v>
      </c>
    </row>
    <row r="31">
      <c r="A31" s="1" t="inlineStr">
        <is>
          <t>10956321024557</t>
        </is>
      </c>
      <c r="B31" s="1" t="inlineStr">
        <is>
          <t>ANILLO BV BUMPS GOLD ZIRCONIAS</t>
        </is>
      </c>
      <c r="C31" s="1" t="inlineStr">
        <is>
          <t>6</t>
        </is>
      </c>
      <c r="D31" s="1" t="inlineStr">
        <is>
          <t>11/03/2026</t>
        </is>
      </c>
      <c r="E31" s="1" t="n">
        <v>2026</v>
      </c>
      <c r="F31" s="1" t="inlineStr">
        <is>
          <t>MARZO</t>
        </is>
      </c>
      <c r="G31" s="1" t="inlineStr">
        <is>
          <t>HAIFENG</t>
        </is>
      </c>
      <c r="H31" s="1" t="inlineStr">
        <is>
          <t>HAIFENG 11/03/2026</t>
        </is>
      </c>
      <c r="I31" s="4" t="n">
        <v>2</v>
      </c>
      <c r="J31" s="6" t="n">
        <v>11</v>
      </c>
      <c r="K31" s="6" t="n">
        <v>234.3428584</v>
      </c>
      <c r="L31" s="6">
        <f>I31*K31</f>
        <v/>
      </c>
      <c r="M31" s="6">
        <f>K31*4</f>
        <v/>
      </c>
      <c r="N31" s="6" t="n">
        <v>999</v>
      </c>
    </row>
    <row r="32">
      <c r="A32" s="1" t="inlineStr">
        <is>
          <t>10956321157325</t>
        </is>
      </c>
      <c r="B32" s="1" t="inlineStr">
        <is>
          <t>ANILLO BV BUMPS GOLD ZIRCONIAS.7</t>
        </is>
      </c>
      <c r="C32" s="1" t="n">
        <v>7</v>
      </c>
      <c r="D32" s="1" t="inlineStr">
        <is>
          <t>25/09/2025</t>
        </is>
      </c>
      <c r="E32" s="1" t="n">
        <v>2025</v>
      </c>
      <c r="F32" s="1" t="inlineStr">
        <is>
          <t>SEPTIEMBRE</t>
        </is>
      </c>
      <c r="G32" s="1" t="inlineStr">
        <is>
          <t>HAIFENG</t>
        </is>
      </c>
      <c r="H32" s="1" t="inlineStr">
        <is>
          <t>HAIFENG 25/09/2025</t>
        </is>
      </c>
      <c r="I32" s="4" t="n">
        <v>2</v>
      </c>
      <c r="J32" s="6" t="n">
        <v>10</v>
      </c>
      <c r="K32" s="6" t="n">
        <v>210.9688577</v>
      </c>
      <c r="L32" s="6">
        <f>I32*K32</f>
        <v/>
      </c>
      <c r="M32" s="6">
        <f>K32*4</f>
        <v/>
      </c>
      <c r="N32" s="6" t="n">
        <v>999</v>
      </c>
    </row>
    <row r="33">
      <c r="A33" s="1" t="inlineStr">
        <is>
          <t>10956321157325</t>
        </is>
      </c>
      <c r="B33" s="1" t="n"/>
      <c r="C33" s="1" t="inlineStr">
        <is>
          <t>7</t>
        </is>
      </c>
      <c r="D33" s="1" t="inlineStr">
        <is>
          <t>10/02/2026</t>
        </is>
      </c>
      <c r="E33" s="1" t="n">
        <v>2026</v>
      </c>
      <c r="F33" s="1" t="inlineStr">
        <is>
          <t>FEBRERO</t>
        </is>
      </c>
      <c r="G33" s="1" t="inlineStr">
        <is>
          <t>HAIFENG</t>
        </is>
      </c>
      <c r="H33" s="1" t="inlineStr">
        <is>
          <t>HAIFENG 10/02/2026</t>
        </is>
      </c>
      <c r="I33" s="4" t="n">
        <v>2</v>
      </c>
      <c r="J33" s="6" t="n">
        <v>11</v>
      </c>
      <c r="K33" s="6" t="n">
        <v>231.7534567</v>
      </c>
      <c r="L33" s="6">
        <f>I33*K33</f>
        <v/>
      </c>
      <c r="M33" s="6">
        <f>K33*4</f>
        <v/>
      </c>
      <c r="N33" s="6" t="n">
        <v>999</v>
      </c>
    </row>
    <row r="34">
      <c r="A34" s="1" t="inlineStr">
        <is>
          <t>10956321157325</t>
        </is>
      </c>
      <c r="B34" s="1" t="inlineStr">
        <is>
          <t>ANILLO BV BUMPS GOLD ZIRCONIAS</t>
        </is>
      </c>
      <c r="C34" s="1" t="inlineStr">
        <is>
          <t>7</t>
        </is>
      </c>
      <c r="D34" s="1" t="inlineStr">
        <is>
          <t>06/05/2026</t>
        </is>
      </c>
      <c r="E34" s="1" t="n">
        <v>2026</v>
      </c>
      <c r="F34" s="1" t="inlineStr">
        <is>
          <t>MAYO</t>
        </is>
      </c>
      <c r="G34" s="1" t="inlineStr">
        <is>
          <t>HAIFENG</t>
        </is>
      </c>
      <c r="H34" s="1" t="inlineStr">
        <is>
          <t>HAIFENG 06/05/2026</t>
        </is>
      </c>
      <c r="I34" s="4" t="n">
        <v>2</v>
      </c>
      <c r="J34" s="6" t="n">
        <v>12</v>
      </c>
      <c r="K34" s="6" t="n">
        <v>254.6237072</v>
      </c>
      <c r="L34" s="6">
        <f>I34*K34</f>
        <v/>
      </c>
      <c r="M34" s="6">
        <f>K34*4</f>
        <v/>
      </c>
      <c r="N34" s="6" t="n">
        <v>999</v>
      </c>
    </row>
    <row r="35">
      <c r="A35" s="1" t="inlineStr">
        <is>
          <t>10956321291309</t>
        </is>
      </c>
      <c r="B35" s="1" t="inlineStr">
        <is>
          <t>ANILLO BV BUMPS SILVER ZIRCONIAS-6</t>
        </is>
      </c>
      <c r="C35" s="1" t="n">
        <v>6</v>
      </c>
      <c r="D35" s="1" t="inlineStr">
        <is>
          <t>25/09/2025</t>
        </is>
      </c>
      <c r="E35" s="1" t="n">
        <v>2025</v>
      </c>
      <c r="F35" s="1" t="inlineStr">
        <is>
          <t>SEPTIEMBRE</t>
        </is>
      </c>
      <c r="G35" s="1" t="inlineStr">
        <is>
          <t>HAIFENG</t>
        </is>
      </c>
      <c r="H35" s="1" t="inlineStr">
        <is>
          <t>HAIFENG 25/09/2025</t>
        </is>
      </c>
      <c r="I35" s="4" t="n">
        <v>2</v>
      </c>
      <c r="J35" s="6" t="n">
        <v>10</v>
      </c>
      <c r="K35" s="6" t="n">
        <v>210.9688577</v>
      </c>
      <c r="L35" s="6">
        <f>I35*K35</f>
        <v/>
      </c>
      <c r="M35" s="6">
        <f>K35*4</f>
        <v/>
      </c>
      <c r="N35" s="6" t="n">
        <v>850</v>
      </c>
    </row>
    <row r="36">
      <c r="A36" s="1" t="inlineStr">
        <is>
          <t>10956321324077</t>
        </is>
      </c>
      <c r="B36" s="1" t="inlineStr">
        <is>
          <t>ANILLO BV BUMPS SILVER ZIRCONIAS-7</t>
        </is>
      </c>
      <c r="C36" s="1" t="n">
        <v>7</v>
      </c>
      <c r="D36" s="1" t="inlineStr">
        <is>
          <t>25/09/2025</t>
        </is>
      </c>
      <c r="E36" s="1" t="n">
        <v>2025</v>
      </c>
      <c r="F36" s="1" t="inlineStr">
        <is>
          <t>SEPTIEMBRE</t>
        </is>
      </c>
      <c r="G36" s="1" t="inlineStr">
        <is>
          <t>HAIFENG</t>
        </is>
      </c>
      <c r="H36" s="1" t="inlineStr">
        <is>
          <t>HAIFENG 25/09/2025</t>
        </is>
      </c>
      <c r="I36" s="4" t="n">
        <v>2</v>
      </c>
      <c r="J36" s="6" t="n">
        <v>10</v>
      </c>
      <c r="K36" s="6" t="n">
        <v>210.9688577</v>
      </c>
      <c r="L36" s="6">
        <f>I36*K36</f>
        <v/>
      </c>
      <c r="M36" s="6">
        <f>K36*4</f>
        <v/>
      </c>
      <c r="N36" s="6" t="n">
        <v>850</v>
      </c>
    </row>
    <row r="37">
      <c r="A37" s="1" t="inlineStr">
        <is>
          <t>10956321324077</t>
        </is>
      </c>
      <c r="B37" s="1" t="inlineStr">
        <is>
          <t>ANILLO BV BUMPS SILVER ZIRCONIAS</t>
        </is>
      </c>
      <c r="C37" s="1" t="inlineStr">
        <is>
          <t>7</t>
        </is>
      </c>
      <c r="D37" s="1" t="inlineStr">
        <is>
          <t>16/04/2026</t>
        </is>
      </c>
      <c r="E37" s="1" t="n">
        <v>2026</v>
      </c>
      <c r="F37" s="1" t="inlineStr">
        <is>
          <t>ABRIL</t>
        </is>
      </c>
      <c r="G37" s="1" t="inlineStr">
        <is>
          <t>HAIFENG</t>
        </is>
      </c>
      <c r="H37" s="1" t="inlineStr">
        <is>
          <t>HAIFENG 16/04/2026</t>
        </is>
      </c>
      <c r="I37" s="4" t="n">
        <v>1</v>
      </c>
      <c r="J37" s="6" t="n">
        <v>10</v>
      </c>
      <c r="K37" s="6" t="n">
        <v>210.3147359</v>
      </c>
      <c r="L37" s="6">
        <f>I37*K37</f>
        <v/>
      </c>
      <c r="M37" s="6">
        <f>K37*4</f>
        <v/>
      </c>
      <c r="N37" s="6" t="n">
        <v>850</v>
      </c>
    </row>
    <row r="38">
      <c r="A38" s="1" t="inlineStr">
        <is>
          <t>11078751761037</t>
        </is>
      </c>
      <c r="B38" s="1" t="inlineStr">
        <is>
          <t>COLLAR C GOLD ZIRCONIAS</t>
        </is>
      </c>
      <c r="C38" s="1" t="inlineStr">
        <is>
          <t>Default Title</t>
        </is>
      </c>
      <c r="D38" s="1" t="inlineStr">
        <is>
          <t>22/10/2025</t>
        </is>
      </c>
      <c r="E38" s="1" t="n">
        <v>2025</v>
      </c>
      <c r="F38" s="1" t="inlineStr">
        <is>
          <t>OCTUBRE</t>
        </is>
      </c>
      <c r="G38" s="1" t="inlineStr">
        <is>
          <t>HAIFENG</t>
        </is>
      </c>
      <c r="H38" s="1" t="inlineStr">
        <is>
          <t>HAIFENG 22/10/2025</t>
        </is>
      </c>
      <c r="I38" s="4" t="n">
        <v>2</v>
      </c>
      <c r="J38" s="6" t="n">
        <v>5.99</v>
      </c>
      <c r="K38" s="6" t="n">
        <v>126.5582895</v>
      </c>
      <c r="L38" s="6">
        <f>I38*K38</f>
        <v/>
      </c>
      <c r="M38" s="6">
        <f>K38*4</f>
        <v/>
      </c>
      <c r="N38" s="6" t="n">
        <v>550</v>
      </c>
    </row>
    <row r="39">
      <c r="A39" s="1" t="inlineStr">
        <is>
          <t>11078751761037</t>
        </is>
      </c>
      <c r="B39" s="1" t="inlineStr">
        <is>
          <t>COLLAR C GOLD ZIRCONIAS</t>
        </is>
      </c>
      <c r="C39" s="1" t="inlineStr">
        <is>
          <t>Default Title</t>
        </is>
      </c>
      <c r="D39" s="1" t="inlineStr">
        <is>
          <t>10/02/2026</t>
        </is>
      </c>
      <c r="E39" s="1" t="n">
        <v>2026</v>
      </c>
      <c r="F39" s="1" t="inlineStr">
        <is>
          <t>FEBRERO</t>
        </is>
      </c>
      <c r="G39" s="1" t="inlineStr">
        <is>
          <t>HAIFENG</t>
        </is>
      </c>
      <c r="H39" s="1" t="inlineStr">
        <is>
          <t>HAIFENG 10/02/2026</t>
        </is>
      </c>
      <c r="I39" s="4" t="n">
        <v>3</v>
      </c>
      <c r="J39" s="6" t="n">
        <v>5.99</v>
      </c>
      <c r="K39" s="6" t="n">
        <v>126.2002914</v>
      </c>
      <c r="L39" s="6">
        <f>I39*K39</f>
        <v/>
      </c>
      <c r="M39" s="6">
        <f>K39*4</f>
        <v/>
      </c>
      <c r="N39" s="6" t="n">
        <v>550</v>
      </c>
    </row>
    <row r="40">
      <c r="A40" s="1" t="inlineStr">
        <is>
          <t>11078751761037</t>
        </is>
      </c>
      <c r="B40" s="1" t="inlineStr">
        <is>
          <t>COLLAR C GOLD ZIRCONIAS</t>
        </is>
      </c>
      <c r="C40" s="1" t="inlineStr">
        <is>
          <t>Default Title</t>
        </is>
      </c>
      <c r="D40" s="1" t="inlineStr">
        <is>
          <t>16/04/2026</t>
        </is>
      </c>
      <c r="E40" s="1" t="n">
        <v>2026</v>
      </c>
      <c r="F40" s="1" t="inlineStr">
        <is>
          <t>ABRIL</t>
        </is>
      </c>
      <c r="G40" s="1" t="inlineStr">
        <is>
          <t>HAIFENG</t>
        </is>
      </c>
      <c r="H40" s="1" t="inlineStr">
        <is>
          <t>HAIFENG 16/04/2026</t>
        </is>
      </c>
      <c r="I40" s="4" t="n">
        <v>8</v>
      </c>
      <c r="J40" s="6" t="n">
        <v>5.99</v>
      </c>
      <c r="K40" s="6" t="n">
        <v>125.9785268</v>
      </c>
      <c r="L40" s="6">
        <f>I40*K40</f>
        <v/>
      </c>
      <c r="M40" s="6">
        <f>K40*4</f>
        <v/>
      </c>
      <c r="N40" s="6" t="n">
        <v>550</v>
      </c>
    </row>
    <row r="41">
      <c r="A41" s="1" t="inlineStr">
        <is>
          <t>11078751761037</t>
        </is>
      </c>
      <c r="B41" s="1" t="inlineStr">
        <is>
          <t>COLLAR C GOLD ZIRCONIAS</t>
        </is>
      </c>
      <c r="C41" s="1" t="inlineStr">
        <is>
          <t>Default Title</t>
        </is>
      </c>
      <c r="D41" s="1" t="inlineStr">
        <is>
          <t>26/05/2026</t>
        </is>
      </c>
      <c r="E41" s="1" t="n">
        <v>2026</v>
      </c>
      <c r="F41" s="1" t="inlineStr">
        <is>
          <t>MAYO</t>
        </is>
      </c>
      <c r="G41" s="1" t="inlineStr">
        <is>
          <t>HAIFENG</t>
        </is>
      </c>
      <c r="H41" s="1" t="inlineStr">
        <is>
          <t>HAIFENG 26/05/2026</t>
        </is>
      </c>
      <c r="I41" s="4" t="n">
        <v>5</v>
      </c>
      <c r="J41" s="6" t="n">
        <v>5.99</v>
      </c>
      <c r="K41" s="6" t="n">
        <v>125.7258788</v>
      </c>
      <c r="L41" s="6">
        <f>I41*K41</f>
        <v/>
      </c>
      <c r="M41" s="6">
        <f>K41*4</f>
        <v/>
      </c>
      <c r="N41" s="6" t="n">
        <v>550</v>
      </c>
    </row>
    <row r="42">
      <c r="A42" s="1" t="inlineStr">
        <is>
          <t>11078751910221</t>
        </is>
      </c>
      <c r="B42" s="1" t="inlineStr">
        <is>
          <t>ARETES C GOLD ZIRCONIAS</t>
        </is>
      </c>
      <c r="C42" s="1" t="inlineStr">
        <is>
          <t>Default Title</t>
        </is>
      </c>
      <c r="D42" s="1" t="inlineStr">
        <is>
          <t>22/10/2025</t>
        </is>
      </c>
      <c r="E42" s="1" t="n">
        <v>2025</v>
      </c>
      <c r="F42" s="1" t="inlineStr">
        <is>
          <t>OCTUBRE</t>
        </is>
      </c>
      <c r="G42" s="1" t="inlineStr">
        <is>
          <t>HAIFENG</t>
        </is>
      </c>
      <c r="H42" s="1" t="inlineStr">
        <is>
          <t>HAIFENG 22/10/2025</t>
        </is>
      </c>
      <c r="I42" s="4" t="n">
        <v>3</v>
      </c>
      <c r="J42" s="6" t="n">
        <v>5.99</v>
      </c>
      <c r="K42" s="6" t="n">
        <v>126.5582895</v>
      </c>
      <c r="L42" s="6">
        <f>I42*K42</f>
        <v/>
      </c>
      <c r="M42" s="6">
        <f>K42*4</f>
        <v/>
      </c>
      <c r="N42" s="6" t="n">
        <v>575</v>
      </c>
    </row>
    <row r="43">
      <c r="A43" s="1" t="inlineStr">
        <is>
          <t>11078751910221</t>
        </is>
      </c>
      <c r="B43" s="1" t="inlineStr">
        <is>
          <t>ARETES C GOLD ZIRCONIAS</t>
        </is>
      </c>
      <c r="C43" s="1" t="inlineStr">
        <is>
          <t>Default Title</t>
        </is>
      </c>
      <c r="D43" s="1" t="inlineStr">
        <is>
          <t>20/01/2026</t>
        </is>
      </c>
      <c r="E43" s="1" t="n">
        <v>2026</v>
      </c>
      <c r="F43" s="1" t="inlineStr">
        <is>
          <t>ENERO</t>
        </is>
      </c>
      <c r="G43" s="1" t="inlineStr">
        <is>
          <t>HAIFENG</t>
        </is>
      </c>
      <c r="H43" s="1" t="inlineStr">
        <is>
          <t>HAIFENG 20/01/2026</t>
        </is>
      </c>
      <c r="I43" s="4" t="n">
        <v>3</v>
      </c>
      <c r="J43" s="6" t="n">
        <v>5.99</v>
      </c>
      <c r="K43" s="6" t="n">
        <v>126.9905026</v>
      </c>
      <c r="L43" s="6">
        <f>I43*K43</f>
        <v/>
      </c>
      <c r="M43" s="6">
        <f>K43*4</f>
        <v/>
      </c>
      <c r="N43" s="6" t="n">
        <v>575</v>
      </c>
    </row>
    <row r="44">
      <c r="A44" s="1" t="inlineStr">
        <is>
          <t>11078751910221</t>
        </is>
      </c>
      <c r="B44" s="1" t="inlineStr">
        <is>
          <t>ARETES C GOLD ZIRCONIAS</t>
        </is>
      </c>
      <c r="C44" s="1" t="inlineStr">
        <is>
          <t>Default Title</t>
        </is>
      </c>
      <c r="D44" s="1" t="inlineStr">
        <is>
          <t>10/02/2026</t>
        </is>
      </c>
      <c r="E44" s="1" t="n">
        <v>2026</v>
      </c>
      <c r="F44" s="1" t="inlineStr">
        <is>
          <t>FEBRERO</t>
        </is>
      </c>
      <c r="G44" s="1" t="inlineStr">
        <is>
          <t>HAIFENG</t>
        </is>
      </c>
      <c r="H44" s="1" t="inlineStr">
        <is>
          <t>HAIFENG 10/02/2026</t>
        </is>
      </c>
      <c r="I44" s="4" t="n">
        <v>3</v>
      </c>
      <c r="J44" s="6" t="n">
        <v>5.99</v>
      </c>
      <c r="K44" s="6" t="n">
        <v>126.2002914</v>
      </c>
      <c r="L44" s="6">
        <f>I44*K44</f>
        <v/>
      </c>
      <c r="M44" s="6">
        <f>K44*4</f>
        <v/>
      </c>
      <c r="N44" s="6" t="n">
        <v>575</v>
      </c>
    </row>
    <row r="45">
      <c r="A45" s="1" t="inlineStr">
        <is>
          <t>11078751910221</t>
        </is>
      </c>
      <c r="B45" s="1" t="inlineStr">
        <is>
          <t>ARETES C GOLD ZIRCONIAS</t>
        </is>
      </c>
      <c r="C45" s="1" t="inlineStr">
        <is>
          <t>Default Title</t>
        </is>
      </c>
      <c r="D45" s="1" t="inlineStr">
        <is>
          <t>16/04/2026</t>
        </is>
      </c>
      <c r="E45" s="1" t="n">
        <v>2026</v>
      </c>
      <c r="F45" s="1" t="inlineStr">
        <is>
          <t>ABRIL</t>
        </is>
      </c>
      <c r="G45" s="1" t="inlineStr">
        <is>
          <t>HAIFENG</t>
        </is>
      </c>
      <c r="H45" s="1" t="inlineStr">
        <is>
          <t>HAIFENG 16/04/2026</t>
        </is>
      </c>
      <c r="I45" s="4" t="n">
        <v>7</v>
      </c>
      <c r="J45" s="6" t="n">
        <v>5.99</v>
      </c>
      <c r="K45" s="6" t="n">
        <v>125.9785268</v>
      </c>
      <c r="L45" s="6">
        <f>I45*K45</f>
        <v/>
      </c>
      <c r="M45" s="6">
        <f>K45*4</f>
        <v/>
      </c>
      <c r="N45" s="6" t="n">
        <v>575</v>
      </c>
    </row>
    <row r="46">
      <c r="A46" s="1" t="inlineStr">
        <is>
          <t>11078751910221</t>
        </is>
      </c>
      <c r="B46" s="1" t="inlineStr">
        <is>
          <t>ARETES C GOLD ZIRCONIAS</t>
        </is>
      </c>
      <c r="C46" s="1" t="inlineStr">
        <is>
          <t>Default Title</t>
        </is>
      </c>
      <c r="D46" s="1" t="inlineStr">
        <is>
          <t>26/05/2026</t>
        </is>
      </c>
      <c r="E46" s="1" t="n">
        <v>2026</v>
      </c>
      <c r="F46" s="1" t="inlineStr">
        <is>
          <t>MAYO</t>
        </is>
      </c>
      <c r="G46" s="1" t="inlineStr">
        <is>
          <t>HAIFENG</t>
        </is>
      </c>
      <c r="H46" s="1" t="inlineStr">
        <is>
          <t>HAIFENG 26/05/2026</t>
        </is>
      </c>
      <c r="I46" s="4" t="n">
        <v>3</v>
      </c>
      <c r="J46" s="6" t="n">
        <v>5.99</v>
      </c>
      <c r="K46" s="6" t="n">
        <v>125.7258788</v>
      </c>
      <c r="L46" s="6">
        <f>I46*K46</f>
        <v/>
      </c>
      <c r="M46" s="6">
        <f>K46*4</f>
        <v/>
      </c>
      <c r="N46" s="6" t="n">
        <v>575</v>
      </c>
    </row>
    <row r="47">
      <c r="A47" s="1" t="inlineStr">
        <is>
          <t>11078752382541</t>
        </is>
      </c>
      <c r="B47" s="1" t="inlineStr">
        <is>
          <t>ARETES C GOLD PEARL</t>
        </is>
      </c>
      <c r="C47" s="1" t="inlineStr">
        <is>
          <t>Default Title</t>
        </is>
      </c>
      <c r="D47" s="1" t="inlineStr">
        <is>
          <t>22/10/2025</t>
        </is>
      </c>
      <c r="E47" s="1" t="n">
        <v>2025</v>
      </c>
      <c r="F47" s="1" t="inlineStr">
        <is>
          <t>OCTUBRE</t>
        </is>
      </c>
      <c r="G47" s="1" t="inlineStr">
        <is>
          <t>HAIFENG</t>
        </is>
      </c>
      <c r="H47" s="1" t="inlineStr">
        <is>
          <t>HAIFENG 22/10/2025</t>
        </is>
      </c>
      <c r="I47" s="4" t="n">
        <v>2</v>
      </c>
      <c r="J47" s="6" t="n">
        <v>5.99</v>
      </c>
      <c r="K47" s="6" t="n">
        <v>126.5582895</v>
      </c>
      <c r="L47" s="6">
        <f>I47*K47</f>
        <v/>
      </c>
      <c r="M47" s="6">
        <f>K47*4</f>
        <v/>
      </c>
      <c r="N47" s="6" t="n">
        <v>499</v>
      </c>
    </row>
    <row r="48">
      <c r="A48" s="1" t="inlineStr">
        <is>
          <t>11078752382541</t>
        </is>
      </c>
      <c r="B48" s="1" t="inlineStr">
        <is>
          <t>ARETES C GOLD PEARL</t>
        </is>
      </c>
      <c r="C48" s="1" t="inlineStr">
        <is>
          <t>Default Title</t>
        </is>
      </c>
      <c r="D48" s="1" t="inlineStr">
        <is>
          <t>20/01/2026</t>
        </is>
      </c>
      <c r="E48" s="1" t="n">
        <v>2026</v>
      </c>
      <c r="F48" s="1" t="inlineStr">
        <is>
          <t>ENERO</t>
        </is>
      </c>
      <c r="G48" s="1" t="inlineStr">
        <is>
          <t>HAIFENG</t>
        </is>
      </c>
      <c r="H48" s="1" t="inlineStr">
        <is>
          <t>HAIFENG 20/01/2026</t>
        </is>
      </c>
      <c r="I48" s="4" t="n">
        <v>5</v>
      </c>
      <c r="J48" s="6" t="n">
        <v>5.99</v>
      </c>
      <c r="K48" s="6" t="n">
        <v>126.9905026</v>
      </c>
      <c r="L48" s="6">
        <f>I48*K48</f>
        <v/>
      </c>
      <c r="M48" s="6">
        <f>K48*4</f>
        <v/>
      </c>
      <c r="N48" s="6" t="n">
        <v>499</v>
      </c>
    </row>
    <row r="49">
      <c r="A49" s="1" t="inlineStr">
        <is>
          <t>11078752382541</t>
        </is>
      </c>
      <c r="B49" s="1" t="inlineStr">
        <is>
          <t>ARETES C GOLD PEARL</t>
        </is>
      </c>
      <c r="C49" s="1" t="inlineStr">
        <is>
          <t>Default Title</t>
        </is>
      </c>
      <c r="D49" s="1" t="inlineStr">
        <is>
          <t>10/02/2026</t>
        </is>
      </c>
      <c r="E49" s="1" t="n">
        <v>2026</v>
      </c>
      <c r="F49" s="1" t="inlineStr">
        <is>
          <t>FEBRERO</t>
        </is>
      </c>
      <c r="G49" s="1" t="inlineStr">
        <is>
          <t>HAIFENG</t>
        </is>
      </c>
      <c r="H49" s="1" t="inlineStr">
        <is>
          <t>HAIFENG 10/02/2026</t>
        </is>
      </c>
      <c r="I49" s="4" t="n">
        <v>3</v>
      </c>
      <c r="J49" s="6" t="n">
        <v>5.99</v>
      </c>
      <c r="K49" s="6" t="n">
        <v>126.2002914</v>
      </c>
      <c r="L49" s="6">
        <f>I49*K49</f>
        <v/>
      </c>
      <c r="M49" s="6">
        <f>K49*4</f>
        <v/>
      </c>
      <c r="N49" s="6" t="n">
        <v>499</v>
      </c>
    </row>
    <row r="50">
      <c r="A50" s="1" t="inlineStr">
        <is>
          <t>11078752382541</t>
        </is>
      </c>
      <c r="B50" s="1" t="inlineStr">
        <is>
          <t>ARETES C GOLD PEARL</t>
        </is>
      </c>
      <c r="C50" s="1" t="inlineStr">
        <is>
          <t>Default Title</t>
        </is>
      </c>
      <c r="D50" s="1" t="inlineStr">
        <is>
          <t>16/04/2026</t>
        </is>
      </c>
      <c r="E50" s="1" t="n">
        <v>2026</v>
      </c>
      <c r="F50" s="1" t="inlineStr">
        <is>
          <t>ABRIL</t>
        </is>
      </c>
      <c r="G50" s="1" t="inlineStr">
        <is>
          <t>HAIFENG</t>
        </is>
      </c>
      <c r="H50" s="1" t="inlineStr">
        <is>
          <t>HAIFENG 16/04/2026</t>
        </is>
      </c>
      <c r="I50" s="4" t="n">
        <v>3</v>
      </c>
      <c r="J50" s="6" t="n">
        <v>5.99</v>
      </c>
      <c r="K50" s="6" t="n">
        <v>125.9785268</v>
      </c>
      <c r="L50" s="6">
        <f>I50*K50</f>
        <v/>
      </c>
      <c r="M50" s="6">
        <f>K50*4</f>
        <v/>
      </c>
      <c r="N50" s="6" t="n">
        <v>499</v>
      </c>
    </row>
    <row r="51">
      <c r="A51" s="1" t="inlineStr">
        <is>
          <t>11078752382541</t>
        </is>
      </c>
      <c r="B51" s="1" t="inlineStr">
        <is>
          <t>ARETES C GOLD PEARL</t>
        </is>
      </c>
      <c r="C51" s="1" t="inlineStr">
        <is>
          <t>Default Title</t>
        </is>
      </c>
      <c r="D51" s="1" t="inlineStr">
        <is>
          <t>16/06/2026</t>
        </is>
      </c>
      <c r="E51" s="1" t="n">
        <v>2026</v>
      </c>
      <c r="F51" s="1" t="inlineStr">
        <is>
          <t>JUNIO</t>
        </is>
      </c>
      <c r="G51" s="1" t="inlineStr">
        <is>
          <t>HAIFENG</t>
        </is>
      </c>
      <c r="H51" s="1" t="inlineStr">
        <is>
          <t>HAIFENG 16/06/2026</t>
        </is>
      </c>
      <c r="I51" s="4" t="n">
        <v>5</v>
      </c>
      <c r="J51" s="6" t="n">
        <v>5.99</v>
      </c>
      <c r="K51" s="6" t="n">
        <v>125.8774927</v>
      </c>
      <c r="L51" s="6">
        <f>I51*K51</f>
        <v/>
      </c>
      <c r="M51" s="6">
        <f>K51*4</f>
        <v/>
      </c>
      <c r="N51" s="6" t="n">
        <v>499</v>
      </c>
    </row>
    <row r="52">
      <c r="A52" s="1" t="inlineStr">
        <is>
          <t>11453671120077</t>
        </is>
      </c>
      <c r="B52" s="1" t="inlineStr">
        <is>
          <t>ARETES FR GOLD ONE PEARL</t>
        </is>
      </c>
      <c r="C52" s="1" t="inlineStr">
        <is>
          <t>PRODUCTO NUEVO</t>
        </is>
      </c>
      <c r="D52" s="1" t="inlineStr">
        <is>
          <t>20/01/2026</t>
        </is>
      </c>
      <c r="E52" s="1" t="n">
        <v>2026</v>
      </c>
      <c r="F52" s="1" t="inlineStr">
        <is>
          <t>ENERO</t>
        </is>
      </c>
      <c r="G52" s="1" t="inlineStr">
        <is>
          <t>HAIFENG</t>
        </is>
      </c>
      <c r="H52" s="1" t="inlineStr">
        <is>
          <t>HAIFENG 20/01/2026</t>
        </is>
      </c>
      <c r="I52" s="4" t="n">
        <v>10</v>
      </c>
      <c r="J52" s="6" t="n">
        <v>6</v>
      </c>
      <c r="K52" s="6" t="n">
        <v>127.2025068</v>
      </c>
      <c r="L52" s="6">
        <f>I52*K52</f>
        <v/>
      </c>
      <c r="M52" s="6">
        <f>K52*4</f>
        <v/>
      </c>
      <c r="N52" s="6" t="n">
        <v>499</v>
      </c>
    </row>
    <row r="53">
      <c r="A53" s="1" t="inlineStr">
        <is>
          <t>11915813184811</t>
        </is>
      </c>
      <c r="B53" s="1" t="inlineStr">
        <is>
          <t>LENTES DE SOL MM BROWN</t>
        </is>
      </c>
      <c r="C53" s="1" t="inlineStr">
        <is>
          <t>Default Title</t>
        </is>
      </c>
      <c r="D53" s="1" t="inlineStr">
        <is>
          <t>05/09/2025</t>
        </is>
      </c>
      <c r="E53" s="1" t="n">
        <v>2025</v>
      </c>
      <c r="F53" s="1" t="inlineStr">
        <is>
          <t>SEPTIEMBRE</t>
        </is>
      </c>
      <c r="G53" s="1" t="inlineStr">
        <is>
          <t>CYNTHIA</t>
        </is>
      </c>
      <c r="H53" s="1" t="inlineStr">
        <is>
          <t>CYNTHIA 05/09/2025</t>
        </is>
      </c>
      <c r="I53" s="4" t="n">
        <v>2</v>
      </c>
      <c r="J53" s="6" t="n">
        <v>28</v>
      </c>
      <c r="K53" s="6" t="n">
        <v>705.014714</v>
      </c>
      <c r="L53" s="6">
        <f>I53*K53</f>
        <v/>
      </c>
      <c r="M53" s="6">
        <f>K53*4</f>
        <v/>
      </c>
      <c r="N53" s="6" t="n">
        <v>2450</v>
      </c>
    </row>
    <row r="54">
      <c r="A54" s="1" t="inlineStr">
        <is>
          <t>11915813184811</t>
        </is>
      </c>
      <c r="B54" s="1" t="inlineStr">
        <is>
          <t>LENTES DE SOL MM BROWN</t>
        </is>
      </c>
      <c r="C54" s="1" t="inlineStr">
        <is>
          <t>Default Title</t>
        </is>
      </c>
      <c r="D54" s="1" t="inlineStr">
        <is>
          <t>19/03/2026</t>
        </is>
      </c>
      <c r="E54" s="1" t="n">
        <v>2026</v>
      </c>
      <c r="F54" s="1" t="inlineStr">
        <is>
          <t>MARZO</t>
        </is>
      </c>
      <c r="G54" s="1" t="inlineStr">
        <is>
          <t>CYNTHIA</t>
        </is>
      </c>
      <c r="H54" s="1" t="inlineStr">
        <is>
          <t>CYNTHIA 19/03/2026</t>
        </is>
      </c>
      <c r="I54" s="4" t="n">
        <v>2</v>
      </c>
      <c r="J54" s="6" t="n">
        <v>29</v>
      </c>
      <c r="K54" s="6" t="n">
        <v>778.865058</v>
      </c>
      <c r="L54" s="6">
        <f>I54*K54</f>
        <v/>
      </c>
      <c r="M54" s="6">
        <f>K54*4</f>
        <v/>
      </c>
      <c r="N54" s="6" t="n">
        <v>2730</v>
      </c>
    </row>
    <row r="55">
      <c r="A55" s="1" t="inlineStr">
        <is>
          <t>11915820343339</t>
        </is>
      </c>
      <c r="B55" s="1" t="inlineStr">
        <is>
          <t>LENTES MM HAVANA</t>
        </is>
      </c>
      <c r="C55" s="1" t="inlineStr">
        <is>
          <t>Default Title</t>
        </is>
      </c>
      <c r="D55" s="1" t="inlineStr">
        <is>
          <t>05/09/2025</t>
        </is>
      </c>
      <c r="E55" s="1" t="n">
        <v>2025</v>
      </c>
      <c r="F55" s="1" t="inlineStr">
        <is>
          <t>SEPTIEMBRE</t>
        </is>
      </c>
      <c r="G55" s="1" t="inlineStr">
        <is>
          <t>CYNTHIA</t>
        </is>
      </c>
      <c r="H55" s="1" t="inlineStr">
        <is>
          <t>CYNTHIA 05/09/2025</t>
        </is>
      </c>
      <c r="I55" s="4" t="n">
        <v>3</v>
      </c>
      <c r="J55" s="6" t="n">
        <v>27</v>
      </c>
      <c r="K55" s="6" t="n">
        <v>679.8356171</v>
      </c>
      <c r="L55" s="6">
        <f>I55*K55</f>
        <v/>
      </c>
      <c r="M55" s="6">
        <f>K55*4</f>
        <v/>
      </c>
      <c r="N55" s="6" t="n">
        <v>2250</v>
      </c>
    </row>
    <row r="56">
      <c r="A56" s="1" t="inlineStr">
        <is>
          <t>11915820343339</t>
        </is>
      </c>
      <c r="B56" s="1" t="inlineStr">
        <is>
          <t>LENTES MM HAVANA</t>
        </is>
      </c>
      <c r="C56" s="1" t="inlineStr">
        <is>
          <t>Default Title</t>
        </is>
      </c>
      <c r="D56" s="1" t="inlineStr">
        <is>
          <t>25/10/2025</t>
        </is>
      </c>
      <c r="E56" s="1" t="n">
        <v>2025</v>
      </c>
      <c r="F56" s="1" t="inlineStr">
        <is>
          <t>OCTUBRE</t>
        </is>
      </c>
      <c r="G56" s="1" t="inlineStr">
        <is>
          <t>CYNTHIA</t>
        </is>
      </c>
      <c r="H56" s="1" t="inlineStr">
        <is>
          <t>CYNTHIA 25/10/2025</t>
        </is>
      </c>
      <c r="I56" s="4" t="n">
        <v>2</v>
      </c>
      <c r="J56" s="6" t="n">
        <v>27</v>
      </c>
      <c r="K56" s="6" t="n">
        <v>707.4492369</v>
      </c>
      <c r="L56" s="6">
        <f>I56*K56</f>
        <v/>
      </c>
      <c r="M56" s="6">
        <f>K56*4</f>
        <v/>
      </c>
      <c r="N56" s="6" t="n">
        <v>2250</v>
      </c>
    </row>
    <row r="57">
      <c r="A57" s="1" t="inlineStr">
        <is>
          <t>11915820343339</t>
        </is>
      </c>
      <c r="B57" s="1" t="inlineStr">
        <is>
          <t>LENTES MM HAVANA</t>
        </is>
      </c>
      <c r="C57" s="1" t="inlineStr">
        <is>
          <t>Default Title</t>
        </is>
      </c>
      <c r="D57" s="1" t="inlineStr">
        <is>
          <t>07/01/2026</t>
        </is>
      </c>
      <c r="E57" s="1" t="n">
        <v>2026</v>
      </c>
      <c r="F57" s="1" t="inlineStr">
        <is>
          <t>ENERO</t>
        </is>
      </c>
      <c r="G57" s="1" t="inlineStr">
        <is>
          <t>CYNTHIA</t>
        </is>
      </c>
      <c r="H57" s="1" t="inlineStr">
        <is>
          <t>CYNTHIA 07/01/2026</t>
        </is>
      </c>
      <c r="I57" s="4" t="n">
        <v>5</v>
      </c>
      <c r="J57" s="6" t="n">
        <v>27</v>
      </c>
      <c r="K57" s="6" t="n">
        <v>717.8605472</v>
      </c>
      <c r="L57" s="6">
        <f>I57*K57</f>
        <v/>
      </c>
      <c r="M57" s="6">
        <f>K57*4</f>
        <v/>
      </c>
      <c r="N57" s="6" t="n">
        <v>2899</v>
      </c>
    </row>
    <row r="58">
      <c r="A58" s="1" t="inlineStr">
        <is>
          <t>11915820343339</t>
        </is>
      </c>
      <c r="B58" s="1" t="inlineStr">
        <is>
          <t>LENTES MM HAVANA</t>
        </is>
      </c>
      <c r="C58" s="1" t="inlineStr">
        <is>
          <t>Default Title</t>
        </is>
      </c>
      <c r="D58" s="1" t="inlineStr">
        <is>
          <t>31/05/2026</t>
        </is>
      </c>
      <c r="E58" s="1" t="n">
        <v>2026</v>
      </c>
      <c r="F58" s="1" t="inlineStr">
        <is>
          <t>MAYO</t>
        </is>
      </c>
      <c r="G58" s="1" t="inlineStr">
        <is>
          <t>CYNTHIA</t>
        </is>
      </c>
      <c r="H58" s="1" t="inlineStr">
        <is>
          <t>CYNTHIA 31/05/2026</t>
        </is>
      </c>
      <c r="I58" s="4" t="n">
        <v>4</v>
      </c>
      <c r="J58" s="6" t="n">
        <v>27</v>
      </c>
      <c r="K58" s="6" t="n">
        <v>715.5282144</v>
      </c>
      <c r="L58" s="6">
        <f>I58*K58</f>
        <v/>
      </c>
      <c r="M58" s="6">
        <f>K58*4</f>
        <v/>
      </c>
      <c r="N58" s="6" t="n">
        <v>2899</v>
      </c>
    </row>
    <row r="59">
      <c r="A59" s="1" t="inlineStr">
        <is>
          <t>11915825730987</t>
        </is>
      </c>
      <c r="B59" s="1" t="inlineStr">
        <is>
          <t>TRAJE DE BAÑO C</t>
        </is>
      </c>
      <c r="C59" s="1" t="inlineStr">
        <is>
          <t>M</t>
        </is>
      </c>
      <c r="D59" s="1" t="inlineStr">
        <is>
          <t>19/03/2026</t>
        </is>
      </c>
      <c r="E59" s="1" t="n">
        <v>2026</v>
      </c>
      <c r="F59" s="1" t="inlineStr">
        <is>
          <t>MARZO</t>
        </is>
      </c>
      <c r="G59" s="1" t="inlineStr">
        <is>
          <t>CYNTHIA</t>
        </is>
      </c>
      <c r="H59" s="1" t="inlineStr">
        <is>
          <t>CYNTHIA 19/03/2026</t>
        </is>
      </c>
      <c r="I59" s="4" t="n">
        <v>1</v>
      </c>
      <c r="J59" s="6" t="n">
        <v>32</v>
      </c>
      <c r="K59" s="6" t="n">
        <v>859.4373054</v>
      </c>
      <c r="L59" s="6">
        <f>I59*K59</f>
        <v/>
      </c>
      <c r="M59" s="6">
        <f>K59*4</f>
        <v/>
      </c>
      <c r="N59" s="6" t="n"/>
    </row>
    <row r="60">
      <c r="A60" s="1" t="inlineStr">
        <is>
          <t>11915825763755</t>
        </is>
      </c>
      <c r="B60" s="1" t="inlineStr">
        <is>
          <t>TRAJE DE BAÑO C</t>
        </is>
      </c>
      <c r="C60" s="1" t="inlineStr">
        <is>
          <t>L</t>
        </is>
      </c>
      <c r="D60" s="1" t="inlineStr">
        <is>
          <t>27/04/2026</t>
        </is>
      </c>
      <c r="E60" s="1" t="n">
        <v>2026</v>
      </c>
      <c r="F60" s="1" t="inlineStr">
        <is>
          <t>ABRIL</t>
        </is>
      </c>
      <c r="G60" s="1" t="inlineStr">
        <is>
          <t>CYNTHIA</t>
        </is>
      </c>
      <c r="H60" s="1" t="inlineStr">
        <is>
          <t>CYNTHIA 27/04/2026</t>
        </is>
      </c>
      <c r="I60" s="4" t="n">
        <v>3</v>
      </c>
      <c r="J60" s="6" t="n">
        <v>32</v>
      </c>
      <c r="K60" s="6" t="n">
        <v>830.4029637</v>
      </c>
      <c r="L60" s="6">
        <f>I60*K60</f>
        <v/>
      </c>
      <c r="M60" s="6">
        <f>K60*4</f>
        <v/>
      </c>
      <c r="N60" s="6" t="n">
        <v>1099</v>
      </c>
    </row>
    <row r="61">
      <c r="A61" s="1" t="inlineStr">
        <is>
          <t>11915826071979</t>
        </is>
      </c>
      <c r="B61" s="1" t="inlineStr">
        <is>
          <t>LENTES LV EVIDENCE</t>
        </is>
      </c>
      <c r="C61" s="1" t="inlineStr">
        <is>
          <t>HIGH QUALITY</t>
        </is>
      </c>
      <c r="D61" s="1" t="inlineStr">
        <is>
          <t>05/09/2025</t>
        </is>
      </c>
      <c r="E61" s="1" t="n">
        <v>2025</v>
      </c>
      <c r="F61" s="1" t="inlineStr">
        <is>
          <t>SEPTIEMBRE</t>
        </is>
      </c>
      <c r="G61" s="1" t="inlineStr">
        <is>
          <t>CYNTHIA</t>
        </is>
      </c>
      <c r="H61" s="1" t="inlineStr">
        <is>
          <t>CYNTHIA 05/09/2025</t>
        </is>
      </c>
      <c r="I61" s="4" t="n">
        <v>4</v>
      </c>
      <c r="J61" s="6" t="n">
        <v>9</v>
      </c>
      <c r="K61" s="6" t="n">
        <v>226.6118724</v>
      </c>
      <c r="L61" s="6">
        <f>I61*K61</f>
        <v/>
      </c>
      <c r="M61" s="6">
        <f>K61*4</f>
        <v/>
      </c>
      <c r="N61" s="6" t="n">
        <v>860</v>
      </c>
    </row>
    <row r="62">
      <c r="A62" s="1" t="inlineStr">
        <is>
          <t>11915826071979</t>
        </is>
      </c>
      <c r="B62" s="1" t="inlineStr">
        <is>
          <t>LENTES LV EVIDENCE</t>
        </is>
      </c>
      <c r="C62" s="1" t="inlineStr">
        <is>
          <t>HIGH QUALITY</t>
        </is>
      </c>
      <c r="D62" s="1" t="inlineStr">
        <is>
          <t>07/01/2026</t>
        </is>
      </c>
      <c r="E62" s="1" t="n">
        <v>2026</v>
      </c>
      <c r="F62" s="1" t="inlineStr">
        <is>
          <t>ENERO</t>
        </is>
      </c>
      <c r="G62" s="1" t="inlineStr">
        <is>
          <t>CYNTHIA</t>
        </is>
      </c>
      <c r="H62" s="1" t="inlineStr">
        <is>
          <t>CYNTHIA 07/01/2026</t>
        </is>
      </c>
      <c r="I62" s="4" t="n">
        <v>3</v>
      </c>
      <c r="J62" s="6" t="n">
        <v>9</v>
      </c>
      <c r="K62" s="6" t="n">
        <v>239.2868491</v>
      </c>
      <c r="L62" s="6">
        <f>I62*K62</f>
        <v/>
      </c>
      <c r="M62" s="6">
        <f>K62*4</f>
        <v/>
      </c>
      <c r="N62" s="6" t="n">
        <v>955</v>
      </c>
    </row>
    <row r="63">
      <c r="A63" s="1" t="inlineStr">
        <is>
          <t>11915826071979</t>
        </is>
      </c>
      <c r="B63" s="1" t="inlineStr">
        <is>
          <t>LENTES LV EVIDENCE</t>
        </is>
      </c>
      <c r="C63" s="1" t="inlineStr">
        <is>
          <t>HIGH QUALITY</t>
        </is>
      </c>
      <c r="D63" s="1" t="inlineStr">
        <is>
          <t>19/03/2026</t>
        </is>
      </c>
      <c r="E63" s="1" t="n">
        <v>2026</v>
      </c>
      <c r="F63" s="1" t="inlineStr">
        <is>
          <t>MARZO</t>
        </is>
      </c>
      <c r="G63" s="1" t="inlineStr">
        <is>
          <t>CYNTHIA</t>
        </is>
      </c>
      <c r="H63" s="1" t="inlineStr">
        <is>
          <t>CYNTHIA 19/03/2026</t>
        </is>
      </c>
      <c r="I63" s="4" t="n">
        <v>5</v>
      </c>
      <c r="J63" s="6" t="n">
        <v>9</v>
      </c>
      <c r="K63" s="6" t="n">
        <v>241.7167421</v>
      </c>
      <c r="L63" s="6">
        <f>I63*K63</f>
        <v/>
      </c>
      <c r="M63" s="6">
        <f>K63*4</f>
        <v/>
      </c>
      <c r="N63" s="6" t="n">
        <v>955</v>
      </c>
    </row>
    <row r="64">
      <c r="A64" s="1" t="inlineStr">
        <is>
          <t>11915826071979</t>
        </is>
      </c>
      <c r="B64" s="1" t="inlineStr">
        <is>
          <t>LENTES LV EVIDENCE</t>
        </is>
      </c>
      <c r="C64" s="1" t="inlineStr">
        <is>
          <t>HIGH QUALITY</t>
        </is>
      </c>
      <c r="D64" s="1" t="inlineStr">
        <is>
          <t>31/05/2026</t>
        </is>
      </c>
      <c r="E64" s="1" t="n">
        <v>2026</v>
      </c>
      <c r="F64" s="1" t="inlineStr">
        <is>
          <t>MAYO</t>
        </is>
      </c>
      <c r="G64" s="1" t="inlineStr">
        <is>
          <t>CYNTHIA</t>
        </is>
      </c>
      <c r="H64" s="1" t="inlineStr">
        <is>
          <t>CYNTHIA 31/05/2026</t>
        </is>
      </c>
      <c r="I64" s="4" t="n">
        <v>1</v>
      </c>
      <c r="J64" s="6" t="n">
        <v>9</v>
      </c>
      <c r="K64" s="6" t="n">
        <v>238.5094048</v>
      </c>
      <c r="L64" s="6">
        <f>I64*K64</f>
        <v/>
      </c>
      <c r="M64" s="6">
        <f>K64*4</f>
        <v/>
      </c>
      <c r="N64" s="6" t="n">
        <v>955</v>
      </c>
    </row>
    <row r="65">
      <c r="A65" s="1" t="inlineStr">
        <is>
          <t>11915826071979</t>
        </is>
      </c>
      <c r="B65" s="1" t="inlineStr">
        <is>
          <t>LENTES LV EVIDENCE</t>
        </is>
      </c>
      <c r="C65" s="1" t="inlineStr">
        <is>
          <t>HIGH QUALITY</t>
        </is>
      </c>
      <c r="D65" s="1" t="inlineStr">
        <is>
          <t>31/05/2026</t>
        </is>
      </c>
      <c r="E65" s="1" t="n">
        <v>2026</v>
      </c>
      <c r="F65" s="1" t="inlineStr">
        <is>
          <t>MAYO</t>
        </is>
      </c>
      <c r="G65" s="1" t="inlineStr">
        <is>
          <t>CYNTHIA</t>
        </is>
      </c>
      <c r="H65" s="1" t="inlineStr">
        <is>
          <t>CYNTHIA 31/05/2026</t>
        </is>
      </c>
      <c r="I65" s="4" t="n">
        <v>2</v>
      </c>
      <c r="J65" s="6" t="n">
        <v>9</v>
      </c>
      <c r="K65" s="6" t="n">
        <v>238.5094048</v>
      </c>
      <c r="L65" s="6">
        <f>I65*K65</f>
        <v/>
      </c>
      <c r="M65" s="6">
        <f>K65*4</f>
        <v/>
      </c>
      <c r="N65" s="6" t="n">
        <v>955</v>
      </c>
    </row>
    <row r="66">
      <c r="A66" s="1" t="inlineStr">
        <is>
          <t>11915826071979</t>
        </is>
      </c>
      <c r="B66" s="1" t="inlineStr">
        <is>
          <t>LENTES LV EVIDENCE</t>
        </is>
      </c>
      <c r="C66" s="1" t="inlineStr">
        <is>
          <t>HIGH QUALITY</t>
        </is>
      </c>
      <c r="D66" s="1" t="inlineStr">
        <is>
          <t>31/05/2026</t>
        </is>
      </c>
      <c r="E66" s="1" t="n">
        <v>2026</v>
      </c>
      <c r="F66" s="1" t="inlineStr">
        <is>
          <t>MAYO</t>
        </is>
      </c>
      <c r="G66" s="1" t="inlineStr">
        <is>
          <t>CYNTHIA</t>
        </is>
      </c>
      <c r="H66" s="1" t="inlineStr">
        <is>
          <t>CYNTHIA 31/05/2026</t>
        </is>
      </c>
      <c r="I66" s="4" t="n">
        <v>5</v>
      </c>
      <c r="J66" s="6" t="n">
        <v>9</v>
      </c>
      <c r="K66" s="6" t="n">
        <v>238.5094048</v>
      </c>
      <c r="L66" s="6">
        <f>I66*K66</f>
        <v/>
      </c>
      <c r="M66" s="6">
        <f>K66*4</f>
        <v/>
      </c>
      <c r="N66" s="6" t="n">
        <v>955</v>
      </c>
    </row>
    <row r="67">
      <c r="A67" s="1" t="inlineStr">
        <is>
          <t>11915828032299</t>
        </is>
      </c>
      <c r="B67" s="1" t="inlineStr">
        <is>
          <t>BOLSO DE VIAJE G BOWLING 55 GREEN</t>
        </is>
      </c>
      <c r="C67" s="1" t="inlineStr">
        <is>
          <t>Default Title</t>
        </is>
      </c>
      <c r="D67" s="1" t="inlineStr">
        <is>
          <t>31/05/2026</t>
        </is>
      </c>
      <c r="E67" s="1" t="n">
        <v>2026</v>
      </c>
      <c r="F67" s="1" t="inlineStr">
        <is>
          <t>MAYO</t>
        </is>
      </c>
      <c r="G67" s="1" t="inlineStr">
        <is>
          <t>CYNTHIA</t>
        </is>
      </c>
      <c r="H67" s="1" t="inlineStr">
        <is>
          <t>CYNTHIA 31/05/2026</t>
        </is>
      </c>
      <c r="I67" s="4" t="n">
        <v>2</v>
      </c>
      <c r="J67" s="6" t="n">
        <v>75</v>
      </c>
      <c r="K67" s="6" t="n">
        <v>1987.578373</v>
      </c>
      <c r="L67" s="6">
        <f>I67*K67</f>
        <v/>
      </c>
      <c r="M67" s="6">
        <f>K67*4</f>
        <v/>
      </c>
      <c r="N67" s="6" t="n">
        <v>7999</v>
      </c>
    </row>
    <row r="68">
      <c r="A68" s="1" t="inlineStr">
        <is>
          <t>11915828105387</t>
        </is>
      </c>
      <c r="B68" s="1" t="inlineStr">
        <is>
          <t>TRAJE DE BAÑO V</t>
        </is>
      </c>
      <c r="C68" s="1" t="inlineStr">
        <is>
          <t>M</t>
        </is>
      </c>
      <c r="D68" s="1" t="inlineStr">
        <is>
          <t>05/09/2025</t>
        </is>
      </c>
      <c r="E68" s="1" t="n">
        <v>2025</v>
      </c>
      <c r="F68" s="1" t="inlineStr">
        <is>
          <t>SEPTIEMBRE</t>
        </is>
      </c>
      <c r="G68" s="1" t="inlineStr">
        <is>
          <t>CYNTHIA</t>
        </is>
      </c>
      <c r="H68" s="1" t="inlineStr">
        <is>
          <t>CYNTHIA 05/09/2025</t>
        </is>
      </c>
      <c r="I68" s="4" t="n">
        <v>2</v>
      </c>
      <c r="J68" s="6" t="n">
        <v>9.800000000000001</v>
      </c>
      <c r="K68" s="6" t="n">
        <v>246.7551499</v>
      </c>
      <c r="L68" s="6">
        <f>I68*K68</f>
        <v/>
      </c>
      <c r="M68" s="6">
        <f>K68*4</f>
        <v/>
      </c>
      <c r="N68" s="6" t="n">
        <v>1099</v>
      </c>
    </row>
    <row r="69">
      <c r="A69" s="1" t="inlineStr">
        <is>
          <t>11915828105387</t>
        </is>
      </c>
      <c r="B69" s="1" t="inlineStr">
        <is>
          <t>TRAJE DE BAÑO V</t>
        </is>
      </c>
      <c r="C69" s="1" t="inlineStr">
        <is>
          <t>M</t>
        </is>
      </c>
      <c r="D69" s="1" t="inlineStr">
        <is>
          <t>19/03/2026</t>
        </is>
      </c>
      <c r="E69" s="1" t="n">
        <v>2026</v>
      </c>
      <c r="F69" s="1" t="inlineStr">
        <is>
          <t>MARZO</t>
        </is>
      </c>
      <c r="G69" s="1" t="inlineStr">
        <is>
          <t>CYNTHIA</t>
        </is>
      </c>
      <c r="H69" s="1" t="inlineStr">
        <is>
          <t>CYNTHIA 19/03/2026</t>
        </is>
      </c>
      <c r="I69" s="4" t="n">
        <v>2</v>
      </c>
      <c r="J69" s="6" t="n">
        <v>10.8</v>
      </c>
      <c r="K69" s="6" t="n">
        <v>290.0600906</v>
      </c>
      <c r="L69" s="6">
        <f>I69*K69</f>
        <v/>
      </c>
      <c r="M69" s="6">
        <f>K69*4</f>
        <v/>
      </c>
      <c r="N69" s="6" t="n">
        <v>1149</v>
      </c>
    </row>
    <row r="70">
      <c r="A70" s="1" t="inlineStr">
        <is>
          <t>11915828105387</t>
        </is>
      </c>
      <c r="B70" s="1" t="inlineStr">
        <is>
          <t>TRAJE DE BAÑO V</t>
        </is>
      </c>
      <c r="C70" s="1" t="inlineStr">
        <is>
          <t>M</t>
        </is>
      </c>
      <c r="D70" s="1" t="inlineStr">
        <is>
          <t>27/04/2026</t>
        </is>
      </c>
      <c r="E70" s="1" t="n">
        <v>2026</v>
      </c>
      <c r="F70" s="1" t="inlineStr">
        <is>
          <t>ABRIL</t>
        </is>
      </c>
      <c r="G70" s="1" t="inlineStr">
        <is>
          <t>CYNTHIA</t>
        </is>
      </c>
      <c r="H70" s="1" t="inlineStr">
        <is>
          <t>CYNTHIA 27/04/2026</t>
        </is>
      </c>
      <c r="I70" s="4" t="n">
        <v>5</v>
      </c>
      <c r="J70" s="6" t="n">
        <v>10.8</v>
      </c>
      <c r="K70" s="6" t="n">
        <v>280.2610003</v>
      </c>
      <c r="L70" s="6">
        <f>I70*K70</f>
        <v/>
      </c>
      <c r="M70" s="6">
        <f>K70*4</f>
        <v/>
      </c>
      <c r="N70" s="6" t="n">
        <v>1149</v>
      </c>
    </row>
    <row r="71">
      <c r="A71" s="1" t="inlineStr">
        <is>
          <t>11915828138155</t>
        </is>
      </c>
      <c r="B71" s="1" t="inlineStr">
        <is>
          <t>TRAJE DE BAÑO V</t>
        </is>
      </c>
      <c r="C71" s="1" t="inlineStr">
        <is>
          <t>L</t>
        </is>
      </c>
      <c r="D71" s="1" t="inlineStr">
        <is>
          <t>05/09/2025</t>
        </is>
      </c>
      <c r="E71" s="1" t="n">
        <v>2025</v>
      </c>
      <c r="F71" s="1" t="inlineStr">
        <is>
          <t>SEPTIEMBRE</t>
        </is>
      </c>
      <c r="G71" s="1" t="inlineStr">
        <is>
          <t>CYNTHIA</t>
        </is>
      </c>
      <c r="H71" s="1" t="inlineStr">
        <is>
          <t>CYNTHIA 05/09/2025</t>
        </is>
      </c>
      <c r="I71" s="4" t="n">
        <v>1</v>
      </c>
      <c r="J71" s="6" t="n">
        <v>9.800000000000001</v>
      </c>
      <c r="K71" s="6" t="n">
        <v>246.7551499</v>
      </c>
      <c r="L71" s="6">
        <f>I71*K71</f>
        <v/>
      </c>
      <c r="M71" s="6">
        <f>K71*4</f>
        <v/>
      </c>
      <c r="N71" s="6" t="n">
        <v>1099</v>
      </c>
    </row>
    <row r="72">
      <c r="A72" s="1" t="inlineStr">
        <is>
          <t>11915828138155</t>
        </is>
      </c>
      <c r="B72" s="1" t="inlineStr">
        <is>
          <t>TRAJE DE BAÑO V</t>
        </is>
      </c>
      <c r="C72" s="1" t="inlineStr">
        <is>
          <t>L</t>
        </is>
      </c>
      <c r="D72" s="1" t="inlineStr">
        <is>
          <t>31/05/2026</t>
        </is>
      </c>
      <c r="E72" s="1" t="n">
        <v>2026</v>
      </c>
      <c r="F72" s="1" t="inlineStr">
        <is>
          <t>MAYO</t>
        </is>
      </c>
      <c r="G72" s="1" t="inlineStr">
        <is>
          <t>CYNTHIA</t>
        </is>
      </c>
      <c r="H72" s="1" t="inlineStr">
        <is>
          <t>CYNTHIA 31/05/2026</t>
        </is>
      </c>
      <c r="I72" s="4" t="n">
        <v>2</v>
      </c>
      <c r="J72" s="6" t="n">
        <v>10.8</v>
      </c>
      <c r="K72" s="6" t="n">
        <v>286.2112858</v>
      </c>
      <c r="L72" s="6">
        <f>I72*K72</f>
        <v/>
      </c>
      <c r="M72" s="6">
        <f>K72*4</f>
        <v/>
      </c>
      <c r="N72" s="6" t="n">
        <v>1149</v>
      </c>
    </row>
    <row r="73">
      <c r="A73" s="1" t="inlineStr">
        <is>
          <t>11966951169965</t>
        </is>
      </c>
      <c r="B73" s="1" t="inlineStr">
        <is>
          <t>PULSERA DE CUENTAS CON INSIGNIA DE CORAZÓN BLUE</t>
        </is>
      </c>
      <c r="C73" s="1" t="inlineStr">
        <is>
          <t>20 cm</t>
        </is>
      </c>
      <c r="D73" s="1" t="inlineStr">
        <is>
          <t>16/06/2026</t>
        </is>
      </c>
      <c r="E73" s="1" t="n">
        <v>2026</v>
      </c>
      <c r="F73" s="1" t="inlineStr">
        <is>
          <t>JUNIO</t>
        </is>
      </c>
      <c r="G73" s="1" t="inlineStr">
        <is>
          <t>HAIFENG</t>
        </is>
      </c>
      <c r="H73" s="1" t="inlineStr">
        <is>
          <t>HAIFENG 16/06/2026</t>
        </is>
      </c>
      <c r="I73" s="4" t="n">
        <v>2</v>
      </c>
      <c r="J73" s="6" t="n">
        <v>5</v>
      </c>
      <c r="K73" s="6" t="n">
        <v>105.0730323</v>
      </c>
      <c r="L73" s="6">
        <f>I73*K73</f>
        <v/>
      </c>
      <c r="M73" s="6">
        <f>K73*4</f>
        <v/>
      </c>
      <c r="N73" s="6" t="n">
        <v>550</v>
      </c>
    </row>
    <row r="74">
      <c r="A74" s="1" t="inlineStr">
        <is>
          <t>12314361063501</t>
        </is>
      </c>
      <c r="B74" s="1" t="inlineStr">
        <is>
          <t>ANILLO F DOBLE GOLD</t>
        </is>
      </c>
      <c r="C74" s="1" t="inlineStr">
        <is>
          <t>AJUSTABLE</t>
        </is>
      </c>
      <c r="D74" s="1" t="inlineStr">
        <is>
          <t>22/10/2025</t>
        </is>
      </c>
      <c r="E74" s="1" t="n">
        <v>2025</v>
      </c>
      <c r="F74" s="1" t="inlineStr">
        <is>
          <t>OCTUBRE</t>
        </is>
      </c>
      <c r="G74" s="1" t="inlineStr">
        <is>
          <t>HAIFENG</t>
        </is>
      </c>
      <c r="H74" s="1" t="inlineStr">
        <is>
          <t>HAIFENG 22/10/2025</t>
        </is>
      </c>
      <c r="I74" s="4" t="n">
        <v>2</v>
      </c>
      <c r="J74" s="6" t="n">
        <v>7</v>
      </c>
      <c r="K74" s="6" t="n">
        <v>147.8978341</v>
      </c>
      <c r="L74" s="6">
        <f>I74*K74</f>
        <v/>
      </c>
      <c r="M74" s="6">
        <f>K74*4</f>
        <v/>
      </c>
      <c r="N74" s="6" t="n">
        <v>620</v>
      </c>
    </row>
    <row r="75">
      <c r="A75" s="1" t="inlineStr">
        <is>
          <t>12314361063501</t>
        </is>
      </c>
      <c r="B75" s="1" t="inlineStr">
        <is>
          <t>ANILLO F DOBLE GOLD</t>
        </is>
      </c>
      <c r="C75" s="1" t="inlineStr">
        <is>
          <t>AJUSTABLE</t>
        </is>
      </c>
      <c r="D75" s="1" t="inlineStr">
        <is>
          <t>22/10/2025</t>
        </is>
      </c>
      <c r="E75" s="1" t="n">
        <v>2025</v>
      </c>
      <c r="F75" s="1" t="inlineStr">
        <is>
          <t>OCTUBRE</t>
        </is>
      </c>
      <c r="G75" s="1" t="inlineStr">
        <is>
          <t>HAIFENG</t>
        </is>
      </c>
      <c r="H75" s="1" t="inlineStr">
        <is>
          <t>HAIFENG 22/10/2025</t>
        </is>
      </c>
      <c r="I75" s="4" t="n">
        <v>2</v>
      </c>
      <c r="J75" s="6" t="n">
        <v>7</v>
      </c>
      <c r="K75" s="6" t="n">
        <v>147.8978341</v>
      </c>
      <c r="L75" s="6">
        <f>I75*K75</f>
        <v/>
      </c>
      <c r="M75" s="6">
        <f>K75*4</f>
        <v/>
      </c>
      <c r="N75" s="6" t="n">
        <v>620</v>
      </c>
    </row>
    <row r="76">
      <c r="A76" s="1" t="inlineStr">
        <is>
          <t>12314361063501</t>
        </is>
      </c>
      <c r="B76" s="1" t="inlineStr">
        <is>
          <t>ANILLO F DOBLE GOLD</t>
        </is>
      </c>
      <c r="C76" s="1" t="inlineStr">
        <is>
          <t>AJUSTABLE</t>
        </is>
      </c>
      <c r="D76" s="1" t="inlineStr">
        <is>
          <t>20/01/2026</t>
        </is>
      </c>
      <c r="E76" s="1" t="n">
        <v>2026</v>
      </c>
      <c r="F76" s="1" t="inlineStr">
        <is>
          <t>ENERO</t>
        </is>
      </c>
      <c r="G76" s="1" t="inlineStr">
        <is>
          <t>HAIFENG</t>
        </is>
      </c>
      <c r="H76" s="1" t="inlineStr">
        <is>
          <t>HAIFENG 20/01/2026</t>
        </is>
      </c>
      <c r="I76" s="4" t="n">
        <v>4</v>
      </c>
      <c r="J76" s="6" t="n">
        <v>7</v>
      </c>
      <c r="K76" s="6" t="n">
        <v>148.4029245</v>
      </c>
      <c r="L76" s="6">
        <f>I76*K76</f>
        <v/>
      </c>
      <c r="M76" s="6">
        <f>K76*4</f>
        <v/>
      </c>
      <c r="N76" s="6" t="n">
        <v>620</v>
      </c>
    </row>
    <row r="77">
      <c r="A77" s="1" t="inlineStr">
        <is>
          <t>12314361063501</t>
        </is>
      </c>
      <c r="B77" s="1" t="inlineStr">
        <is>
          <t>ANILLO F DOBLE GOLD</t>
        </is>
      </c>
      <c r="C77" s="1" t="inlineStr">
        <is>
          <t>AJUSTABLE</t>
        </is>
      </c>
      <c r="D77" s="1" t="inlineStr">
        <is>
          <t>10/02/2026</t>
        </is>
      </c>
      <c r="E77" s="1" t="n">
        <v>2026</v>
      </c>
      <c r="F77" s="1" t="inlineStr">
        <is>
          <t>FEBRERO</t>
        </is>
      </c>
      <c r="G77" s="1" t="inlineStr">
        <is>
          <t>HAIFENG</t>
        </is>
      </c>
      <c r="H77" s="1" t="inlineStr">
        <is>
          <t>HAIFENG 10/02/2026</t>
        </is>
      </c>
      <c r="I77" s="4" t="n">
        <v>2</v>
      </c>
      <c r="J77" s="6" t="n">
        <v>7</v>
      </c>
      <c r="K77" s="6" t="n">
        <v>147.4794725</v>
      </c>
      <c r="L77" s="6">
        <f>I77*K77</f>
        <v/>
      </c>
      <c r="M77" s="6">
        <f>K77*4</f>
        <v/>
      </c>
      <c r="N77" s="6" t="n">
        <v>620</v>
      </c>
    </row>
    <row r="78">
      <c r="A78" s="1" t="inlineStr">
        <is>
          <t>12314361063501</t>
        </is>
      </c>
      <c r="B78" s="1" t="inlineStr">
        <is>
          <t>ANILLO F DOBLE GOLD</t>
        </is>
      </c>
      <c r="C78" s="1" t="inlineStr">
        <is>
          <t>AJUSTABLE</t>
        </is>
      </c>
      <c r="D78" s="1" t="inlineStr">
        <is>
          <t>16/04/2026</t>
        </is>
      </c>
      <c r="E78" s="1" t="n">
        <v>2026</v>
      </c>
      <c r="F78" s="1" t="inlineStr">
        <is>
          <t>ABRIL</t>
        </is>
      </c>
      <c r="G78" s="1" t="inlineStr">
        <is>
          <t>HAIFENG</t>
        </is>
      </c>
      <c r="H78" s="1" t="inlineStr">
        <is>
          <t>HAIFENG 16/04/2026</t>
        </is>
      </c>
      <c r="I78" s="4" t="n">
        <v>3</v>
      </c>
      <c r="J78" s="6" t="n">
        <v>7</v>
      </c>
      <c r="K78" s="6" t="n">
        <v>147.2203151</v>
      </c>
      <c r="L78" s="6">
        <f>I78*K78</f>
        <v/>
      </c>
      <c r="M78" s="6">
        <f>K78*4</f>
        <v/>
      </c>
      <c r="N78" s="6" t="n">
        <v>620</v>
      </c>
    </row>
    <row r="79">
      <c r="A79" s="1" t="inlineStr">
        <is>
          <t>12314361063501</t>
        </is>
      </c>
      <c r="B79" s="1" t="inlineStr">
        <is>
          <t>ANILLO F DOBLE GOLD</t>
        </is>
      </c>
      <c r="C79" s="1" t="inlineStr">
        <is>
          <t>AJUSTABLE</t>
        </is>
      </c>
      <c r="D79" s="1" t="inlineStr">
        <is>
          <t>06/05/2026</t>
        </is>
      </c>
      <c r="E79" s="1" t="n">
        <v>2026</v>
      </c>
      <c r="F79" s="1" t="inlineStr">
        <is>
          <t>MAYO</t>
        </is>
      </c>
      <c r="G79" s="1" t="inlineStr">
        <is>
          <t>HAIFENG</t>
        </is>
      </c>
      <c r="H79" s="1" t="inlineStr">
        <is>
          <t>HAIFENG 06/05/2026</t>
        </is>
      </c>
      <c r="I79" s="4" t="n">
        <v>2</v>
      </c>
      <c r="J79" s="6" t="n">
        <v>7</v>
      </c>
      <c r="K79" s="6" t="n">
        <v>148.5304959</v>
      </c>
      <c r="L79" s="6">
        <f>I79*K79</f>
        <v/>
      </c>
      <c r="M79" s="6">
        <f>K79*4</f>
        <v/>
      </c>
      <c r="N79" s="6" t="n">
        <v>620</v>
      </c>
    </row>
    <row r="80">
      <c r="A80" s="1" t="inlineStr">
        <is>
          <t>12314361063501</t>
        </is>
      </c>
      <c r="B80" s="1" t="inlineStr">
        <is>
          <t>ANILLO F DOBLE GOLD</t>
        </is>
      </c>
      <c r="C80" s="1" t="inlineStr">
        <is>
          <t>AJUSTABLE</t>
        </is>
      </c>
      <c r="D80" s="1" t="inlineStr">
        <is>
          <t>16/06/2026</t>
        </is>
      </c>
      <c r="E80" s="1" t="n">
        <v>2026</v>
      </c>
      <c r="F80" s="1" t="inlineStr">
        <is>
          <t>JUNIO</t>
        </is>
      </c>
      <c r="G80" s="1" t="inlineStr">
        <is>
          <t>HAIFENG</t>
        </is>
      </c>
      <c r="H80" s="1" t="inlineStr">
        <is>
          <t>HAIFENG 16/06/2026</t>
        </is>
      </c>
      <c r="I80" s="4" t="n">
        <v>4</v>
      </c>
      <c r="J80" s="6" t="n">
        <v>7</v>
      </c>
      <c r="K80" s="6" t="n">
        <v>147.1022452</v>
      </c>
      <c r="L80" s="6">
        <f>I80*K80</f>
        <v/>
      </c>
      <c r="M80" s="6">
        <f>K80*4</f>
        <v/>
      </c>
      <c r="N80" s="6" t="n">
        <v>620</v>
      </c>
    </row>
    <row r="81">
      <c r="A81" s="1" t="inlineStr">
        <is>
          <t>12314361226797</t>
        </is>
      </c>
      <c r="B81" s="1" t="inlineStr">
        <is>
          <t>ARRACADAS COLGANTES F ZIRCONIA</t>
        </is>
      </c>
      <c r="C81" s="1" t="inlineStr">
        <is>
          <t>Default Title</t>
        </is>
      </c>
      <c r="D81" s="1" t="inlineStr">
        <is>
          <t>22/10/2025</t>
        </is>
      </c>
      <c r="E81" s="1" t="n">
        <v>2025</v>
      </c>
      <c r="F81" s="1" t="inlineStr">
        <is>
          <t>OCTUBRE</t>
        </is>
      </c>
      <c r="G81" s="1" t="inlineStr">
        <is>
          <t>HAIFENG</t>
        </is>
      </c>
      <c r="H81" s="1" t="inlineStr">
        <is>
          <t>HAIFENG 22/10/2025</t>
        </is>
      </c>
      <c r="I81" s="4" t="n">
        <v>1</v>
      </c>
      <c r="J81" s="6" t="n">
        <v>8</v>
      </c>
      <c r="K81" s="6" t="n">
        <v>169.0260961</v>
      </c>
      <c r="L81" s="6">
        <f>I81*K81</f>
        <v/>
      </c>
      <c r="M81" s="6">
        <f>K81*4</f>
        <v/>
      </c>
      <c r="N81" s="6" t="n">
        <v>670</v>
      </c>
    </row>
    <row r="82">
      <c r="A82" s="1" t="inlineStr">
        <is>
          <t>12314361226797</t>
        </is>
      </c>
      <c r="B82" s="1" t="inlineStr">
        <is>
          <t>ARRACADAS COLGANTES F ZIRCONIA</t>
        </is>
      </c>
      <c r="C82" s="1" t="inlineStr">
        <is>
          <t>Default Title</t>
        </is>
      </c>
      <c r="D82" s="1" t="inlineStr">
        <is>
          <t>20/01/2026</t>
        </is>
      </c>
      <c r="E82" s="1" t="n">
        <v>2026</v>
      </c>
      <c r="F82" s="1" t="inlineStr">
        <is>
          <t>ENERO</t>
        </is>
      </c>
      <c r="G82" s="1" t="inlineStr">
        <is>
          <t>HAIFENG</t>
        </is>
      </c>
      <c r="H82" s="1" t="inlineStr">
        <is>
          <t>HAIFENG 20/01/2026</t>
        </is>
      </c>
      <c r="I82" s="4" t="n">
        <v>1</v>
      </c>
      <c r="J82" s="6" t="n">
        <v>8</v>
      </c>
      <c r="K82" s="6" t="n">
        <v>169.6033423</v>
      </c>
      <c r="L82" s="6">
        <f>I82*K82</f>
        <v/>
      </c>
      <c r="M82" s="6">
        <f>K82*4</f>
        <v/>
      </c>
      <c r="N82" s="6" t="n">
        <v>435</v>
      </c>
    </row>
    <row r="83">
      <c r="A83" s="1" t="inlineStr">
        <is>
          <t>12314361226797</t>
        </is>
      </c>
      <c r="B83" s="1" t="inlineStr">
        <is>
          <t>ARRACADAS COLGANTES F ZIRCONIA</t>
        </is>
      </c>
      <c r="C83" s="1" t="inlineStr">
        <is>
          <t>Default Title</t>
        </is>
      </c>
      <c r="D83" s="1" t="inlineStr">
        <is>
          <t>10/02/2026</t>
        </is>
      </c>
      <c r="E83" s="1" t="n">
        <v>2026</v>
      </c>
      <c r="F83" s="1" t="inlineStr">
        <is>
          <t>FEBRERO</t>
        </is>
      </c>
      <c r="G83" s="1" t="inlineStr">
        <is>
          <t>HAIFENG</t>
        </is>
      </c>
      <c r="H83" s="1" t="inlineStr">
        <is>
          <t>HAIFENG 10/02/2026</t>
        </is>
      </c>
      <c r="I83" s="4" t="n">
        <v>1</v>
      </c>
      <c r="J83" s="6" t="n">
        <v>8</v>
      </c>
      <c r="K83" s="6" t="n">
        <v>168.5479685</v>
      </c>
      <c r="L83" s="6">
        <f>I83*K83</f>
        <v/>
      </c>
      <c r="M83" s="6">
        <f>K83*4</f>
        <v/>
      </c>
      <c r="N83" s="6" t="n">
        <v>435</v>
      </c>
    </row>
    <row r="84">
      <c r="A84" s="1" t="inlineStr">
        <is>
          <t>12314361364653</t>
        </is>
      </c>
      <c r="B84" s="1" t="inlineStr">
        <is>
          <t>ARETES F GOLD PEARL</t>
        </is>
      </c>
      <c r="C84" s="1" t="inlineStr">
        <is>
          <t>Default Title</t>
        </is>
      </c>
      <c r="D84" s="1" t="inlineStr">
        <is>
          <t>22/10/2025</t>
        </is>
      </c>
      <c r="E84" s="1" t="n">
        <v>2025</v>
      </c>
      <c r="F84" s="1" t="inlineStr">
        <is>
          <t>OCTUBRE</t>
        </is>
      </c>
      <c r="G84" s="1" t="inlineStr">
        <is>
          <t>HAIFENG</t>
        </is>
      </c>
      <c r="H84" s="1" t="inlineStr">
        <is>
          <t>HAIFENG 22/10/2025</t>
        </is>
      </c>
      <c r="I84" s="4" t="n">
        <v>2</v>
      </c>
      <c r="J84" s="6" t="n">
        <v>8</v>
      </c>
      <c r="K84" s="6" t="n">
        <v>169.0260961</v>
      </c>
      <c r="L84" s="6">
        <f>I84*K84</f>
        <v/>
      </c>
      <c r="M84" s="6">
        <f>K84*4</f>
        <v/>
      </c>
      <c r="N84" s="6" t="n">
        <v>699</v>
      </c>
    </row>
    <row r="85">
      <c r="A85" s="1" t="inlineStr">
        <is>
          <t>12314361364653</t>
        </is>
      </c>
      <c r="B85" s="1" t="inlineStr">
        <is>
          <t>ARETES F GOLD PEARL</t>
        </is>
      </c>
      <c r="C85" s="1" t="inlineStr">
        <is>
          <t>Default Title</t>
        </is>
      </c>
      <c r="D85" s="1" t="inlineStr">
        <is>
          <t>20/01/2026</t>
        </is>
      </c>
      <c r="E85" s="1" t="n">
        <v>2026</v>
      </c>
      <c r="F85" s="1" t="inlineStr">
        <is>
          <t>ENERO</t>
        </is>
      </c>
      <c r="G85" s="1" t="inlineStr">
        <is>
          <t>HAIFENG</t>
        </is>
      </c>
      <c r="H85" s="1" t="inlineStr">
        <is>
          <t>HAIFENG 20/01/2026</t>
        </is>
      </c>
      <c r="I85" s="4" t="n">
        <v>2</v>
      </c>
      <c r="J85" s="6" t="n">
        <v>8</v>
      </c>
      <c r="K85" s="6" t="n">
        <v>169.6033423</v>
      </c>
      <c r="L85" s="6">
        <f>I85*K85</f>
        <v/>
      </c>
      <c r="M85" s="6">
        <f>K85*4</f>
        <v/>
      </c>
      <c r="N85" s="6" t="n">
        <v>699</v>
      </c>
    </row>
    <row r="86">
      <c r="A86" s="1" t="inlineStr">
        <is>
          <t>12314361364653</t>
        </is>
      </c>
      <c r="B86" s="1" t="inlineStr">
        <is>
          <t>ARETES F GOLD PEARL</t>
        </is>
      </c>
      <c r="C86" s="1" t="inlineStr">
        <is>
          <t>Default Title</t>
        </is>
      </c>
      <c r="D86" s="1" t="inlineStr">
        <is>
          <t>10/02/2026</t>
        </is>
      </c>
      <c r="E86" s="1" t="n">
        <v>2026</v>
      </c>
      <c r="F86" s="1" t="inlineStr">
        <is>
          <t>FEBRERO</t>
        </is>
      </c>
      <c r="G86" s="1" t="inlineStr">
        <is>
          <t>HAIFENG</t>
        </is>
      </c>
      <c r="H86" s="1" t="inlineStr">
        <is>
          <t>HAIFENG 10/02/2026</t>
        </is>
      </c>
      <c r="I86" s="4" t="n">
        <v>2</v>
      </c>
      <c r="J86" s="6" t="n">
        <v>8</v>
      </c>
      <c r="K86" s="6" t="n">
        <v>168.5479685</v>
      </c>
      <c r="L86" s="6">
        <f>I86*K86</f>
        <v/>
      </c>
      <c r="M86" s="6">
        <f>K86*4</f>
        <v/>
      </c>
      <c r="N86" s="6" t="n">
        <v>699</v>
      </c>
    </row>
    <row r="87">
      <c r="A87" s="1" t="inlineStr">
        <is>
          <t>12314361364653</t>
        </is>
      </c>
      <c r="B87" s="1" t="inlineStr">
        <is>
          <t>ARETES F GOLD PEARL</t>
        </is>
      </c>
      <c r="C87" s="1" t="inlineStr">
        <is>
          <t>Default Title</t>
        </is>
      </c>
      <c r="D87" s="1" t="inlineStr">
        <is>
          <t>26/05/2026</t>
        </is>
      </c>
      <c r="E87" s="1" t="n">
        <v>2026</v>
      </c>
      <c r="F87" s="1" t="inlineStr">
        <is>
          <t>MAYO</t>
        </is>
      </c>
      <c r="G87" s="1" t="inlineStr">
        <is>
          <t>HAIFENG</t>
        </is>
      </c>
      <c r="H87" s="1" t="inlineStr">
        <is>
          <t>HAIFENG 26/05/2026</t>
        </is>
      </c>
      <c r="I87" s="4" t="n">
        <v>2</v>
      </c>
      <c r="J87" s="6" t="n">
        <v>8</v>
      </c>
      <c r="K87" s="6" t="n">
        <v>167.9143624</v>
      </c>
      <c r="L87" s="6">
        <f>I87*K87</f>
        <v/>
      </c>
      <c r="M87" s="6">
        <f>K87*4</f>
        <v/>
      </c>
      <c r="N87" s="6" t="n">
        <v>699</v>
      </c>
    </row>
    <row r="88">
      <c r="A88" s="1" t="inlineStr">
        <is>
          <t>12314361364653</t>
        </is>
      </c>
      <c r="B88" s="1" t="inlineStr">
        <is>
          <t>ARETES F GOLD PEARL</t>
        </is>
      </c>
      <c r="C88" s="1" t="inlineStr">
        <is>
          <t>Default Title</t>
        </is>
      </c>
      <c r="D88" s="1" t="inlineStr">
        <is>
          <t>16/06/2026</t>
        </is>
      </c>
      <c r="E88" s="1" t="n">
        <v>2026</v>
      </c>
      <c r="F88" s="1" t="inlineStr">
        <is>
          <t>JUNIO</t>
        </is>
      </c>
      <c r="G88" s="1" t="inlineStr">
        <is>
          <t>HAIFENG</t>
        </is>
      </c>
      <c r="H88" s="1" t="inlineStr">
        <is>
          <t>HAIFENG 16/06/2026</t>
        </is>
      </c>
      <c r="I88" s="4" t="n">
        <v>1</v>
      </c>
      <c r="J88" s="6" t="n">
        <v>8</v>
      </c>
      <c r="K88" s="6" t="n">
        <v>168.1168517</v>
      </c>
      <c r="L88" s="6">
        <f>I88*K88</f>
        <v/>
      </c>
      <c r="M88" s="6">
        <f>K88*4</f>
        <v/>
      </c>
      <c r="N88" s="6" t="n">
        <v>699</v>
      </c>
    </row>
    <row r="89">
      <c r="A89" s="1" t="inlineStr">
        <is>
          <t>12314361469741</t>
        </is>
      </c>
      <c r="B89" s="1" t="inlineStr">
        <is>
          <t>ARETES F FILO GOLD</t>
        </is>
      </c>
      <c r="C89" s="1" t="inlineStr">
        <is>
          <t>Default Title</t>
        </is>
      </c>
      <c r="D89" s="1" t="inlineStr">
        <is>
          <t>22/10/2025</t>
        </is>
      </c>
      <c r="E89" s="1" t="n">
        <v>2025</v>
      </c>
      <c r="F89" s="1" t="inlineStr">
        <is>
          <t>OCTUBRE</t>
        </is>
      </c>
      <c r="G89" s="1" t="inlineStr">
        <is>
          <t>HAIFENG</t>
        </is>
      </c>
      <c r="H89" s="1" t="inlineStr">
        <is>
          <t>HAIFENG 22/10/2025</t>
        </is>
      </c>
      <c r="I89" s="4" t="n">
        <v>2</v>
      </c>
      <c r="J89" s="6" t="n">
        <v>6</v>
      </c>
      <c r="K89" s="6" t="n">
        <v>126.7695721</v>
      </c>
      <c r="L89" s="6">
        <f>I89*K89</f>
        <v/>
      </c>
      <c r="M89" s="6">
        <f>K89*4</f>
        <v/>
      </c>
      <c r="N89" s="6" t="n">
        <v>699</v>
      </c>
    </row>
    <row r="90">
      <c r="A90" s="1" t="inlineStr">
        <is>
          <t>12314361469741</t>
        </is>
      </c>
      <c r="B90" s="1" t="inlineStr">
        <is>
          <t>ARETES F FILO GOLD</t>
        </is>
      </c>
      <c r="C90" s="1" t="inlineStr">
        <is>
          <t>Default Title</t>
        </is>
      </c>
      <c r="D90" s="1" t="inlineStr">
        <is>
          <t>26/05/2026</t>
        </is>
      </c>
      <c r="E90" s="1" t="n">
        <v>2026</v>
      </c>
      <c r="F90" s="1" t="inlineStr">
        <is>
          <t>MAYO</t>
        </is>
      </c>
      <c r="G90" s="1" t="inlineStr">
        <is>
          <t>HAIFENG</t>
        </is>
      </c>
      <c r="H90" s="1" t="inlineStr">
        <is>
          <t>HAIFENG 26/05/2026</t>
        </is>
      </c>
      <c r="I90" s="4" t="n">
        <v>2</v>
      </c>
      <c r="J90" s="6" t="n">
        <v>7.99</v>
      </c>
      <c r="K90" s="6" t="n">
        <v>167.7044694</v>
      </c>
      <c r="L90" s="6">
        <f>I90*K90</f>
        <v/>
      </c>
      <c r="M90" s="6">
        <f>K90*4</f>
        <v/>
      </c>
      <c r="N90" s="6" t="n">
        <v>699</v>
      </c>
    </row>
    <row r="91">
      <c r="A91" s="1" t="inlineStr">
        <is>
          <t>12314361504205</t>
        </is>
      </c>
      <c r="B91" s="1" t="inlineStr">
        <is>
          <t>ANILLO F SILVER ZIRCONIAS</t>
        </is>
      </c>
      <c r="C91" s="1" t="n">
        <v>8</v>
      </c>
      <c r="D91" s="1" t="inlineStr">
        <is>
          <t>22/10/2025</t>
        </is>
      </c>
      <c r="E91" s="1" t="n">
        <v>2025</v>
      </c>
      <c r="F91" s="1" t="inlineStr">
        <is>
          <t>OCTUBRE</t>
        </is>
      </c>
      <c r="G91" s="1" t="inlineStr">
        <is>
          <t>HAIFENG</t>
        </is>
      </c>
      <c r="H91" s="1" t="inlineStr">
        <is>
          <t>HAIFENG 22/10/2025</t>
        </is>
      </c>
      <c r="I91" s="4" t="n">
        <v>2</v>
      </c>
      <c r="J91" s="6" t="n">
        <v>7</v>
      </c>
      <c r="K91" s="6" t="n">
        <v>147.8978341</v>
      </c>
      <c r="L91" s="6">
        <f>I91*K91</f>
        <v/>
      </c>
      <c r="M91" s="6">
        <f>K91*4</f>
        <v/>
      </c>
      <c r="N91" s="6" t="n">
        <v>404</v>
      </c>
    </row>
    <row r="92">
      <c r="A92" s="1" t="inlineStr">
        <is>
          <t>12314361504205</t>
        </is>
      </c>
      <c r="B92" s="1" t="inlineStr">
        <is>
          <t>ANILLO F SILVER ZIRCONIAS</t>
        </is>
      </c>
      <c r="C92" s="1" t="inlineStr">
        <is>
          <t>8</t>
        </is>
      </c>
      <c r="D92" s="1" t="inlineStr">
        <is>
          <t>16/06/2026</t>
        </is>
      </c>
      <c r="E92" s="1" t="n">
        <v>2026</v>
      </c>
      <c r="F92" s="1" t="inlineStr">
        <is>
          <t>JUNIO</t>
        </is>
      </c>
      <c r="G92" s="1" t="inlineStr">
        <is>
          <t>HAIFENG</t>
        </is>
      </c>
      <c r="H92" s="1" t="inlineStr">
        <is>
          <t>HAIFENG 16/06/2026</t>
        </is>
      </c>
      <c r="I92" s="4" t="n">
        <v>2</v>
      </c>
      <c r="J92" s="6" t="n">
        <v>7</v>
      </c>
      <c r="K92" s="6" t="n">
        <v>147.1022452</v>
      </c>
      <c r="L92" s="6">
        <f>I92*K92</f>
        <v/>
      </c>
      <c r="M92" s="6">
        <f>K92*4</f>
        <v/>
      </c>
      <c r="N92" s="6" t="n">
        <v>404</v>
      </c>
    </row>
    <row r="93">
      <c r="A93" s="1" t="inlineStr">
        <is>
          <t>12314361636973</t>
        </is>
      </c>
      <c r="B93" s="1" t="inlineStr">
        <is>
          <t>ANILLO F SILVER ZIRCONIAS</t>
        </is>
      </c>
      <c r="C93" s="1" t="n">
        <v>9</v>
      </c>
      <c r="D93" s="1" t="inlineStr">
        <is>
          <t>22/10/2025</t>
        </is>
      </c>
      <c r="E93" s="1" t="n">
        <v>2025</v>
      </c>
      <c r="F93" s="1" t="inlineStr">
        <is>
          <t>OCTUBRE</t>
        </is>
      </c>
      <c r="G93" s="1" t="inlineStr">
        <is>
          <t>HAIFENG</t>
        </is>
      </c>
      <c r="H93" s="1" t="inlineStr">
        <is>
          <t>HAIFENG 22/10/2025</t>
        </is>
      </c>
      <c r="I93" s="4" t="n">
        <v>2</v>
      </c>
      <c r="J93" s="6" t="n">
        <v>7</v>
      </c>
      <c r="K93" s="6" t="n">
        <v>147.8978341</v>
      </c>
      <c r="L93" s="6">
        <f>I93*K93</f>
        <v/>
      </c>
      <c r="M93" s="6">
        <f>K93*4</f>
        <v/>
      </c>
      <c r="N93" s="6" t="n">
        <v>404</v>
      </c>
    </row>
    <row r="94">
      <c r="A94" s="1" t="inlineStr">
        <is>
          <t>12314361740365</t>
        </is>
      </c>
      <c r="B94" s="1" t="inlineStr">
        <is>
          <t>COLLAR F GOLD ZIRCONIAS</t>
        </is>
      </c>
      <c r="C94" s="1" t="inlineStr">
        <is>
          <t>Default Title</t>
        </is>
      </c>
      <c r="D94" s="1" t="inlineStr">
        <is>
          <t>22/10/2025</t>
        </is>
      </c>
      <c r="E94" s="1" t="n">
        <v>2025</v>
      </c>
      <c r="F94" s="1" t="inlineStr">
        <is>
          <t>OCTUBRE</t>
        </is>
      </c>
      <c r="G94" s="1" t="inlineStr">
        <is>
          <t>HAIFENG</t>
        </is>
      </c>
      <c r="H94" s="1" t="inlineStr">
        <is>
          <t>HAIFENG 22/10/2025</t>
        </is>
      </c>
      <c r="I94" s="4" t="n">
        <v>2</v>
      </c>
      <c r="J94" s="6" t="n">
        <v>8</v>
      </c>
      <c r="K94" s="6" t="n">
        <v>169.0260961</v>
      </c>
      <c r="L94" s="6">
        <f>I94*K94</f>
        <v/>
      </c>
      <c r="M94" s="6">
        <f>K94*4</f>
        <v/>
      </c>
      <c r="N94" s="6" t="n">
        <v>660</v>
      </c>
    </row>
    <row r="95">
      <c r="A95" s="1" t="inlineStr">
        <is>
          <t>12314361740365</t>
        </is>
      </c>
      <c r="B95" s="1" t="inlineStr">
        <is>
          <t>COLLAR F GOLD ZIRCONIAS</t>
        </is>
      </c>
      <c r="C95" s="1" t="inlineStr">
        <is>
          <t>Default Title</t>
        </is>
      </c>
      <c r="D95" s="1" t="inlineStr">
        <is>
          <t>20/01/2026</t>
        </is>
      </c>
      <c r="E95" s="1" t="n">
        <v>2026</v>
      </c>
      <c r="F95" s="1" t="inlineStr">
        <is>
          <t>ENERO</t>
        </is>
      </c>
      <c r="G95" s="1" t="inlineStr">
        <is>
          <t>HAIFENG</t>
        </is>
      </c>
      <c r="H95" s="1" t="inlineStr">
        <is>
          <t>HAIFENG 20/01/2026</t>
        </is>
      </c>
      <c r="I95" s="4" t="n">
        <v>4</v>
      </c>
      <c r="J95" s="6" t="n">
        <v>8</v>
      </c>
      <c r="K95" s="6" t="n">
        <v>169.6033423</v>
      </c>
      <c r="L95" s="6">
        <f>I95*K95</f>
        <v/>
      </c>
      <c r="M95" s="6">
        <f>K95*4</f>
        <v/>
      </c>
      <c r="N95" s="6" t="n">
        <v>660</v>
      </c>
    </row>
    <row r="96">
      <c r="A96" s="1" t="inlineStr">
        <is>
          <t>12314361740365</t>
        </is>
      </c>
      <c r="B96" s="1" t="inlineStr">
        <is>
          <t>COLLAR F GOLD ZIRCONIAS</t>
        </is>
      </c>
      <c r="C96" s="1" t="inlineStr">
        <is>
          <t>Default Title</t>
        </is>
      </c>
      <c r="D96" s="1" t="inlineStr">
        <is>
          <t>10/02/2026</t>
        </is>
      </c>
      <c r="E96" s="1" t="n">
        <v>2026</v>
      </c>
      <c r="F96" s="1" t="inlineStr">
        <is>
          <t>FEBRERO</t>
        </is>
      </c>
      <c r="G96" s="1" t="inlineStr">
        <is>
          <t>HAIFENG</t>
        </is>
      </c>
      <c r="H96" s="1" t="inlineStr">
        <is>
          <t>HAIFENG 10/02/2026</t>
        </is>
      </c>
      <c r="I96" s="4" t="n">
        <v>2</v>
      </c>
      <c r="J96" s="6" t="n">
        <v>8</v>
      </c>
      <c r="K96" s="6" t="n">
        <v>168.5479685</v>
      </c>
      <c r="L96" s="6">
        <f>I96*K96</f>
        <v/>
      </c>
      <c r="M96" s="6">
        <f>K96*4</f>
        <v/>
      </c>
      <c r="N96" s="6" t="n">
        <v>660</v>
      </c>
    </row>
    <row r="97">
      <c r="A97" s="1" t="inlineStr">
        <is>
          <t>12314361978221</t>
        </is>
      </c>
      <c r="B97" s="1" t="inlineStr">
        <is>
          <t>ARETES F SILVER ZIRCONIAS</t>
        </is>
      </c>
      <c r="C97" s="1" t="inlineStr">
        <is>
          <t>Default Title</t>
        </is>
      </c>
      <c r="D97" s="1" t="inlineStr">
        <is>
          <t>22/10/2025</t>
        </is>
      </c>
      <c r="E97" s="1" t="n">
        <v>2025</v>
      </c>
      <c r="F97" s="1" t="inlineStr">
        <is>
          <t>OCTUBRE</t>
        </is>
      </c>
      <c r="G97" s="1" t="inlineStr">
        <is>
          <t>HAIFENG</t>
        </is>
      </c>
      <c r="H97" s="1" t="inlineStr">
        <is>
          <t>HAIFENG 22/10/2025</t>
        </is>
      </c>
      <c r="I97" s="4" t="n">
        <v>2</v>
      </c>
      <c r="J97" s="6" t="n">
        <v>7</v>
      </c>
      <c r="K97" s="6" t="n">
        <v>147.8978341</v>
      </c>
      <c r="L97" s="6">
        <f>I97*K97</f>
        <v/>
      </c>
      <c r="M97" s="6">
        <f>K97*4</f>
        <v/>
      </c>
      <c r="N97" s="6" t="n">
        <v>580</v>
      </c>
    </row>
    <row r="98">
      <c r="A98" s="1" t="inlineStr">
        <is>
          <t>12314361978221</t>
        </is>
      </c>
      <c r="B98" s="1" t="inlineStr">
        <is>
          <t>ARETES F SILVER ZIRCONIAS</t>
        </is>
      </c>
      <c r="C98" s="1" t="inlineStr">
        <is>
          <t>Default Title</t>
        </is>
      </c>
      <c r="D98" s="1" t="inlineStr">
        <is>
          <t>20/01/2026</t>
        </is>
      </c>
      <c r="E98" s="1" t="n">
        <v>2026</v>
      </c>
      <c r="F98" s="1" t="inlineStr">
        <is>
          <t>ENERO</t>
        </is>
      </c>
      <c r="G98" s="1" t="inlineStr">
        <is>
          <t>HAIFENG</t>
        </is>
      </c>
      <c r="H98" s="1" t="inlineStr">
        <is>
          <t>HAIFENG 20/01/2026</t>
        </is>
      </c>
      <c r="I98" s="4" t="n">
        <v>2</v>
      </c>
      <c r="J98" s="6" t="n">
        <v>7</v>
      </c>
      <c r="K98" s="6" t="n">
        <v>148.4029245</v>
      </c>
      <c r="L98" s="6">
        <f>I98*K98</f>
        <v/>
      </c>
      <c r="M98" s="6">
        <f>K98*4</f>
        <v/>
      </c>
      <c r="N98" s="6" t="n">
        <v>580</v>
      </c>
    </row>
    <row r="99">
      <c r="A99" s="1" t="inlineStr">
        <is>
          <t>12314361978221</t>
        </is>
      </c>
      <c r="B99" s="1" t="inlineStr">
        <is>
          <t>ARETES F SILVER ZIRCONIAS</t>
        </is>
      </c>
      <c r="C99" s="1" t="inlineStr">
        <is>
          <t>Default Title</t>
        </is>
      </c>
      <c r="D99" s="1" t="inlineStr">
        <is>
          <t>10/02/2026</t>
        </is>
      </c>
      <c r="E99" s="1" t="n">
        <v>2026</v>
      </c>
      <c r="F99" s="1" t="inlineStr">
        <is>
          <t>FEBRERO</t>
        </is>
      </c>
      <c r="G99" s="1" t="inlineStr">
        <is>
          <t>HAIFENG</t>
        </is>
      </c>
      <c r="H99" s="1" t="inlineStr">
        <is>
          <t>HAIFENG 10/02/2026</t>
        </is>
      </c>
      <c r="I99" s="4" t="n">
        <v>2</v>
      </c>
      <c r="J99" s="6" t="n">
        <v>7</v>
      </c>
      <c r="K99" s="6" t="n">
        <v>147.4794725</v>
      </c>
      <c r="L99" s="6">
        <f>I99*K99</f>
        <v/>
      </c>
      <c r="M99" s="6">
        <f>K99*4</f>
        <v/>
      </c>
      <c r="N99" s="6" t="n">
        <v>580</v>
      </c>
    </row>
    <row r="100">
      <c r="A100" s="1" t="inlineStr">
        <is>
          <t>12314361978221</t>
        </is>
      </c>
      <c r="B100" s="1" t="inlineStr">
        <is>
          <t>ARETES F SILVER ZIRCONIAS</t>
        </is>
      </c>
      <c r="C100" s="1" t="inlineStr">
        <is>
          <t>Default Title</t>
        </is>
      </c>
      <c r="D100" s="1" t="inlineStr">
        <is>
          <t>16/06/2026</t>
        </is>
      </c>
      <c r="E100" s="1" t="n">
        <v>2026</v>
      </c>
      <c r="F100" s="1" t="inlineStr">
        <is>
          <t>JUNIO</t>
        </is>
      </c>
      <c r="G100" s="1" t="inlineStr">
        <is>
          <t>HAIFENG</t>
        </is>
      </c>
      <c r="H100" s="1" t="inlineStr">
        <is>
          <t>HAIFENG 16/06/2026</t>
        </is>
      </c>
      <c r="I100" s="4" t="n">
        <v>2</v>
      </c>
      <c r="J100" s="6" t="n">
        <v>7</v>
      </c>
      <c r="K100" s="6" t="n">
        <v>147.1022452</v>
      </c>
      <c r="L100" s="6">
        <f>I100*K100</f>
        <v/>
      </c>
      <c r="M100" s="6">
        <f>K100*4</f>
        <v/>
      </c>
      <c r="N100" s="6" t="n">
        <v>580</v>
      </c>
    </row>
    <row r="101">
      <c r="A101" s="1" t="inlineStr">
        <is>
          <t>12314362081613</t>
        </is>
      </c>
      <c r="B101" s="1" t="inlineStr">
        <is>
          <t>ARETES F GOLD ZIRCONIAS</t>
        </is>
      </c>
      <c r="C101" s="1" t="inlineStr">
        <is>
          <t>Default Title</t>
        </is>
      </c>
      <c r="D101" s="1" t="inlineStr">
        <is>
          <t>22/10/2025</t>
        </is>
      </c>
      <c r="E101" s="1" t="n">
        <v>2025</v>
      </c>
      <c r="F101" s="1" t="inlineStr">
        <is>
          <t>OCTUBRE</t>
        </is>
      </c>
      <c r="G101" s="1" t="inlineStr">
        <is>
          <t>HAIFENG</t>
        </is>
      </c>
      <c r="H101" s="1" t="inlineStr">
        <is>
          <t>HAIFENG 22/10/2025</t>
        </is>
      </c>
      <c r="I101" s="4" t="n">
        <v>2</v>
      </c>
      <c r="J101" s="6" t="n">
        <v>7</v>
      </c>
      <c r="K101" s="6" t="n">
        <v>147.8978341</v>
      </c>
      <c r="L101" s="6">
        <f>I101*K101</f>
        <v/>
      </c>
      <c r="M101" s="6">
        <f>K101*4</f>
        <v/>
      </c>
      <c r="N101" s="6" t="n">
        <v>580</v>
      </c>
    </row>
    <row r="102">
      <c r="A102" s="1" t="inlineStr">
        <is>
          <t>12314362081613</t>
        </is>
      </c>
      <c r="B102" s="1" t="inlineStr">
        <is>
          <t>ARETES F GOLD ZIRCONIAS</t>
        </is>
      </c>
      <c r="C102" s="1" t="inlineStr">
        <is>
          <t>Default Title</t>
        </is>
      </c>
      <c r="D102" s="1" t="inlineStr">
        <is>
          <t>20/01/2026</t>
        </is>
      </c>
      <c r="E102" s="1" t="n">
        <v>2026</v>
      </c>
      <c r="F102" s="1" t="inlineStr">
        <is>
          <t>ENERO</t>
        </is>
      </c>
      <c r="G102" s="1" t="inlineStr">
        <is>
          <t>HAIFENG</t>
        </is>
      </c>
      <c r="H102" s="1" t="inlineStr">
        <is>
          <t>HAIFENG 20/01/2026</t>
        </is>
      </c>
      <c r="I102" s="4" t="n">
        <v>2</v>
      </c>
      <c r="J102" s="6" t="n">
        <v>7</v>
      </c>
      <c r="K102" s="6" t="n">
        <v>148.4029245</v>
      </c>
      <c r="L102" s="6">
        <f>I102*K102</f>
        <v/>
      </c>
      <c r="M102" s="6">
        <f>K102*4</f>
        <v/>
      </c>
      <c r="N102" s="6" t="n">
        <v>580</v>
      </c>
    </row>
    <row r="103">
      <c r="A103" s="1" t="inlineStr">
        <is>
          <t>12314362081613</t>
        </is>
      </c>
      <c r="B103" s="1" t="inlineStr">
        <is>
          <t>ARETES F GOLD ZIRCONIAS</t>
        </is>
      </c>
      <c r="C103" s="1" t="inlineStr">
        <is>
          <t>Default Title</t>
        </is>
      </c>
      <c r="D103" s="1" t="inlineStr">
        <is>
          <t>10/02/2026</t>
        </is>
      </c>
      <c r="E103" s="1" t="n">
        <v>2026</v>
      </c>
      <c r="F103" s="1" t="inlineStr">
        <is>
          <t>FEBRERO</t>
        </is>
      </c>
      <c r="G103" s="1" t="inlineStr">
        <is>
          <t>HAIFENG</t>
        </is>
      </c>
      <c r="H103" s="1" t="inlineStr">
        <is>
          <t>HAIFENG 10/02/2026</t>
        </is>
      </c>
      <c r="I103" s="4" t="n">
        <v>1</v>
      </c>
      <c r="J103" s="6" t="n">
        <v>7</v>
      </c>
      <c r="K103" s="6" t="n">
        <v>147.4794725</v>
      </c>
      <c r="L103" s="6">
        <f>I103*K103</f>
        <v/>
      </c>
      <c r="M103" s="6">
        <f>K103*4</f>
        <v/>
      </c>
      <c r="N103" s="6" t="n">
        <v>580</v>
      </c>
    </row>
    <row r="104">
      <c r="A104" s="1" t="inlineStr">
        <is>
          <t>12314362081613</t>
        </is>
      </c>
      <c r="B104" s="1" t="inlineStr">
        <is>
          <t>ARETES F GOLD ZIRCONIAS</t>
        </is>
      </c>
      <c r="C104" s="1" t="inlineStr">
        <is>
          <t>Default Title</t>
        </is>
      </c>
      <c r="D104" s="1" t="inlineStr">
        <is>
          <t>16/04/2026</t>
        </is>
      </c>
      <c r="E104" s="1" t="n">
        <v>2026</v>
      </c>
      <c r="F104" s="1" t="inlineStr">
        <is>
          <t>ABRIL</t>
        </is>
      </c>
      <c r="G104" s="1" t="inlineStr">
        <is>
          <t>HAIFENG</t>
        </is>
      </c>
      <c r="H104" s="1" t="inlineStr">
        <is>
          <t>HAIFENG 16/04/2026</t>
        </is>
      </c>
      <c r="I104" s="4" t="n">
        <v>1</v>
      </c>
      <c r="J104" s="6" t="n">
        <v>7</v>
      </c>
      <c r="K104" s="6" t="n">
        <v>147.2203151</v>
      </c>
      <c r="L104" s="6">
        <f>I104*K104</f>
        <v/>
      </c>
      <c r="M104" s="6">
        <f>K104*4</f>
        <v/>
      </c>
      <c r="N104" s="6" t="n">
        <v>580</v>
      </c>
    </row>
    <row r="105">
      <c r="A105" s="1" t="inlineStr">
        <is>
          <t>12314362081613</t>
        </is>
      </c>
      <c r="B105" s="1" t="inlineStr">
        <is>
          <t>ARETES F GOLD ZIRCONIAS</t>
        </is>
      </c>
      <c r="C105" s="1" t="inlineStr">
        <is>
          <t>Default Title</t>
        </is>
      </c>
      <c r="D105" s="1" t="inlineStr">
        <is>
          <t>16/06/2026</t>
        </is>
      </c>
      <c r="E105" s="1" t="n">
        <v>2026</v>
      </c>
      <c r="F105" s="1" t="inlineStr">
        <is>
          <t>JUNIO</t>
        </is>
      </c>
      <c r="G105" s="1" t="inlineStr">
        <is>
          <t>HAIFENG</t>
        </is>
      </c>
      <c r="H105" s="1" t="inlineStr">
        <is>
          <t>HAIFENG 16/06/2026</t>
        </is>
      </c>
      <c r="I105" s="4" t="n">
        <v>2</v>
      </c>
      <c r="J105" s="6" t="n">
        <v>7</v>
      </c>
      <c r="K105" s="6" t="n">
        <v>147.1022452</v>
      </c>
      <c r="L105" s="6">
        <f>I105*K105</f>
        <v/>
      </c>
      <c r="M105" s="6">
        <f>K105*4</f>
        <v/>
      </c>
      <c r="N105" s="6" t="n">
        <v>580</v>
      </c>
    </row>
    <row r="106">
      <c r="A106" s="1" t="inlineStr">
        <is>
          <t>12314362119469</t>
        </is>
      </c>
      <c r="B106" s="1" t="inlineStr">
        <is>
          <t>PULSERA F O'LOCK GOLD</t>
        </is>
      </c>
      <c r="C106" s="1" t="inlineStr">
        <is>
          <t>Default Title</t>
        </is>
      </c>
      <c r="D106" s="1" t="inlineStr">
        <is>
          <t>22/10/2025</t>
        </is>
      </c>
      <c r="E106" s="1" t="n">
        <v>2025</v>
      </c>
      <c r="F106" s="1" t="inlineStr">
        <is>
          <t>OCTUBRE</t>
        </is>
      </c>
      <c r="G106" s="1" t="inlineStr">
        <is>
          <t>HAIFENG</t>
        </is>
      </c>
      <c r="H106" s="1" t="inlineStr">
        <is>
          <t>HAIFENG 22/10/2025</t>
        </is>
      </c>
      <c r="I106" s="4" t="n">
        <v>1</v>
      </c>
      <c r="J106" s="6" t="n">
        <v>7</v>
      </c>
      <c r="K106" s="6" t="n">
        <v>147.8978341</v>
      </c>
      <c r="L106" s="6">
        <f>I106*K106</f>
        <v/>
      </c>
      <c r="M106" s="6">
        <f>K106*4</f>
        <v/>
      </c>
      <c r="N106" s="6" t="n">
        <v>580</v>
      </c>
    </row>
    <row r="107">
      <c r="A107" s="1" t="inlineStr">
        <is>
          <t>12314362119469</t>
        </is>
      </c>
      <c r="B107" s="1" t="inlineStr">
        <is>
          <t>PULSERA F O'LOCK GOLD</t>
        </is>
      </c>
      <c r="C107" s="1" t="inlineStr">
        <is>
          <t>Default Title</t>
        </is>
      </c>
      <c r="D107" s="1" t="inlineStr">
        <is>
          <t>20/01/2026</t>
        </is>
      </c>
      <c r="E107" s="1" t="n">
        <v>2026</v>
      </c>
      <c r="F107" s="1" t="inlineStr">
        <is>
          <t>ENERO</t>
        </is>
      </c>
      <c r="G107" s="1" t="inlineStr">
        <is>
          <t>HAIFENG</t>
        </is>
      </c>
      <c r="H107" s="1" t="inlineStr">
        <is>
          <t>HAIFENG 20/01/2026</t>
        </is>
      </c>
      <c r="I107" s="4" t="n">
        <v>2</v>
      </c>
      <c r="J107" s="6" t="n">
        <v>7</v>
      </c>
      <c r="K107" s="6" t="n">
        <v>148.4029245</v>
      </c>
      <c r="L107" s="6">
        <f>I107*K107</f>
        <v/>
      </c>
      <c r="M107" s="6">
        <f>K107*4</f>
        <v/>
      </c>
      <c r="N107" s="6" t="n">
        <v>580</v>
      </c>
    </row>
    <row r="108">
      <c r="A108" s="1" t="inlineStr">
        <is>
          <t>12314362119469</t>
        </is>
      </c>
      <c r="B108" s="1" t="inlineStr">
        <is>
          <t>PULSERA F O'LOCK GOLD</t>
        </is>
      </c>
      <c r="C108" s="1" t="inlineStr">
        <is>
          <t>Default Title</t>
        </is>
      </c>
      <c r="D108" s="1" t="inlineStr">
        <is>
          <t>10/02/2026</t>
        </is>
      </c>
      <c r="E108" s="1" t="n">
        <v>2026</v>
      </c>
      <c r="F108" s="1" t="inlineStr">
        <is>
          <t>FEBRERO</t>
        </is>
      </c>
      <c r="G108" s="1" t="inlineStr">
        <is>
          <t>HAIFENG</t>
        </is>
      </c>
      <c r="H108" s="1" t="inlineStr">
        <is>
          <t>HAIFENG 10/02/2026</t>
        </is>
      </c>
      <c r="I108" s="4" t="n">
        <v>2</v>
      </c>
      <c r="J108" s="6" t="n">
        <v>7</v>
      </c>
      <c r="K108" s="6" t="n">
        <v>147.4794725</v>
      </c>
      <c r="L108" s="6">
        <f>I108*K108</f>
        <v/>
      </c>
      <c r="M108" s="6">
        <f>K108*4</f>
        <v/>
      </c>
      <c r="N108" s="6" t="n">
        <v>580</v>
      </c>
    </row>
    <row r="109">
      <c r="A109" s="1" t="inlineStr">
        <is>
          <t>12314362492941</t>
        </is>
      </c>
      <c r="B109" s="1" t="inlineStr">
        <is>
          <t>ARETES F GOLD</t>
        </is>
      </c>
      <c r="C109" s="1" t="inlineStr">
        <is>
          <t>Default Title</t>
        </is>
      </c>
      <c r="D109" s="1" t="inlineStr">
        <is>
          <t>22/10/2025</t>
        </is>
      </c>
      <c r="E109" s="1" t="n">
        <v>2025</v>
      </c>
      <c r="F109" s="1" t="inlineStr">
        <is>
          <t>OCTUBRE</t>
        </is>
      </c>
      <c r="G109" s="1" t="inlineStr">
        <is>
          <t>HAIFENG</t>
        </is>
      </c>
      <c r="H109" s="1" t="inlineStr">
        <is>
          <t>HAIFENG 22/10/2025</t>
        </is>
      </c>
      <c r="I109" s="4" t="n">
        <v>2</v>
      </c>
      <c r="J109" s="6" t="n">
        <v>6</v>
      </c>
      <c r="K109" s="6" t="n">
        <v>126.7695721</v>
      </c>
      <c r="L109" s="6">
        <f>I109*K109</f>
        <v/>
      </c>
      <c r="M109" s="6">
        <f>K109*4</f>
        <v/>
      </c>
      <c r="N109" s="6" t="n">
        <v>499</v>
      </c>
    </row>
    <row r="110">
      <c r="A110" s="1" t="inlineStr">
        <is>
          <t>12314362492941</t>
        </is>
      </c>
      <c r="B110" s="1" t="inlineStr">
        <is>
          <t>ARETES F GOLD</t>
        </is>
      </c>
      <c r="C110" s="1" t="inlineStr">
        <is>
          <t>Default Title</t>
        </is>
      </c>
      <c r="D110" s="1" t="inlineStr">
        <is>
          <t>20/01/2026</t>
        </is>
      </c>
      <c r="E110" s="1" t="n">
        <v>2026</v>
      </c>
      <c r="F110" s="1" t="inlineStr">
        <is>
          <t>ENERO</t>
        </is>
      </c>
      <c r="G110" s="1" t="inlineStr">
        <is>
          <t>HAIFENG</t>
        </is>
      </c>
      <c r="H110" s="1" t="inlineStr">
        <is>
          <t>HAIFENG 20/01/2026</t>
        </is>
      </c>
      <c r="I110" s="4" t="n">
        <v>2</v>
      </c>
      <c r="J110" s="6" t="n">
        <v>6</v>
      </c>
      <c r="K110" s="6" t="n">
        <v>127.2025068</v>
      </c>
      <c r="L110" s="6">
        <f>I110*K110</f>
        <v/>
      </c>
      <c r="M110" s="6">
        <f>K110*4</f>
        <v/>
      </c>
      <c r="N110" s="6" t="n">
        <v>499</v>
      </c>
    </row>
    <row r="111">
      <c r="A111" s="1" t="inlineStr">
        <is>
          <t>12314362492941</t>
        </is>
      </c>
      <c r="B111" s="1" t="inlineStr">
        <is>
          <t>ARETES F GOLD</t>
        </is>
      </c>
      <c r="C111" s="1" t="inlineStr">
        <is>
          <t>Default Title</t>
        </is>
      </c>
      <c r="D111" s="1" t="inlineStr">
        <is>
          <t>10/02/2026</t>
        </is>
      </c>
      <c r="E111" s="1" t="n">
        <v>2026</v>
      </c>
      <c r="F111" s="1" t="inlineStr">
        <is>
          <t>FEBRERO</t>
        </is>
      </c>
      <c r="G111" s="1" t="inlineStr">
        <is>
          <t>HAIFENG</t>
        </is>
      </c>
      <c r="H111" s="1" t="inlineStr">
        <is>
          <t>HAIFENG 10/02/2026</t>
        </is>
      </c>
      <c r="I111" s="4" t="n">
        <v>1</v>
      </c>
      <c r="J111" s="6" t="n">
        <v>6</v>
      </c>
      <c r="K111" s="6" t="n">
        <v>126.4109764</v>
      </c>
      <c r="L111" s="6">
        <f>I111*K111</f>
        <v/>
      </c>
      <c r="M111" s="6">
        <f>K111*4</f>
        <v/>
      </c>
      <c r="N111" s="6" t="n">
        <v>499</v>
      </c>
    </row>
    <row r="112">
      <c r="A112" s="1" t="inlineStr">
        <is>
          <t>12314362492941</t>
        </is>
      </c>
      <c r="B112" s="1" t="inlineStr">
        <is>
          <t>ARETES F GOLD</t>
        </is>
      </c>
      <c r="C112" s="1" t="inlineStr">
        <is>
          <t>Default Title</t>
        </is>
      </c>
      <c r="D112" s="1" t="inlineStr">
        <is>
          <t>11/03/2026</t>
        </is>
      </c>
      <c r="E112" s="1" t="n">
        <v>2026</v>
      </c>
      <c r="F112" s="1" t="inlineStr">
        <is>
          <t>MARZO</t>
        </is>
      </c>
      <c r="G112" s="1" t="inlineStr">
        <is>
          <t>HAIFENG</t>
        </is>
      </c>
      <c r="H112" s="1" t="inlineStr">
        <is>
          <t>HAIFENG 11/03/2026</t>
        </is>
      </c>
      <c r="I112" s="4" t="n">
        <v>2</v>
      </c>
      <c r="J112" s="6" t="n">
        <v>6</v>
      </c>
      <c r="K112" s="6" t="n">
        <v>127.8233773</v>
      </c>
      <c r="L112" s="6">
        <f>I112*K112</f>
        <v/>
      </c>
      <c r="M112" s="6">
        <f>K112*4</f>
        <v/>
      </c>
      <c r="N112" s="6" t="n">
        <v>499</v>
      </c>
    </row>
    <row r="113">
      <c r="A113" s="1" t="inlineStr">
        <is>
          <t>12314362492941</t>
        </is>
      </c>
      <c r="B113" s="1" t="inlineStr">
        <is>
          <t>ARETES F GOLD</t>
        </is>
      </c>
      <c r="C113" s="1" t="inlineStr">
        <is>
          <t>Default Title</t>
        </is>
      </c>
      <c r="D113" s="1" t="inlineStr">
        <is>
          <t>06/05/2026</t>
        </is>
      </c>
      <c r="E113" s="1" t="n">
        <v>2026</v>
      </c>
      <c r="F113" s="1" t="inlineStr">
        <is>
          <t>MAYO</t>
        </is>
      </c>
      <c r="G113" s="1" t="inlineStr">
        <is>
          <t>HAIFENG</t>
        </is>
      </c>
      <c r="H113" s="1" t="inlineStr">
        <is>
          <t>HAIFENG 06/05/2026</t>
        </is>
      </c>
      <c r="I113" s="4" t="n">
        <v>4</v>
      </c>
      <c r="J113" s="6" t="n">
        <v>6</v>
      </c>
      <c r="K113" s="6" t="n">
        <v>127.3118536</v>
      </c>
      <c r="L113" s="6">
        <f>I113*K113</f>
        <v/>
      </c>
      <c r="M113" s="6">
        <f>K113*4</f>
        <v/>
      </c>
      <c r="N113" s="6" t="n">
        <v>499</v>
      </c>
    </row>
    <row r="114">
      <c r="A114" s="1" t="inlineStr">
        <is>
          <t>12314362492941</t>
        </is>
      </c>
      <c r="B114" s="1" t="inlineStr">
        <is>
          <t>ARETES F GOLD</t>
        </is>
      </c>
      <c r="C114" s="1" t="inlineStr">
        <is>
          <t>Default Title</t>
        </is>
      </c>
      <c r="D114" s="1" t="inlineStr">
        <is>
          <t>26/05/2026</t>
        </is>
      </c>
      <c r="E114" s="1" t="n">
        <v>2026</v>
      </c>
      <c r="F114" s="1" t="inlineStr">
        <is>
          <t>MAYO</t>
        </is>
      </c>
      <c r="G114" s="1" t="inlineStr">
        <is>
          <t>HAIFENG</t>
        </is>
      </c>
      <c r="H114" s="1" t="inlineStr">
        <is>
          <t>HAIFENG 26/05/2026</t>
        </is>
      </c>
      <c r="I114" s="4" t="n">
        <v>2</v>
      </c>
      <c r="J114" s="6" t="n">
        <v>6</v>
      </c>
      <c r="K114" s="6" t="n">
        <v>125.9357718</v>
      </c>
      <c r="L114" s="6">
        <f>I114*K114</f>
        <v/>
      </c>
      <c r="M114" s="6">
        <f>K114*4</f>
        <v/>
      </c>
      <c r="N114" s="6" t="n">
        <v>499</v>
      </c>
    </row>
    <row r="115">
      <c r="A115" s="1" t="inlineStr">
        <is>
          <t>12314362540493</t>
        </is>
      </c>
      <c r="B115" s="1" t="inlineStr">
        <is>
          <t>ARRACADAS F GOLD-BLACK</t>
        </is>
      </c>
      <c r="C115" s="1" t="inlineStr">
        <is>
          <t>Default Title</t>
        </is>
      </c>
      <c r="D115" s="1" t="inlineStr">
        <is>
          <t>22/10/2025</t>
        </is>
      </c>
      <c r="E115" s="1" t="n">
        <v>2025</v>
      </c>
      <c r="F115" s="1" t="inlineStr">
        <is>
          <t>OCTUBRE</t>
        </is>
      </c>
      <c r="G115" s="1" t="inlineStr">
        <is>
          <t>HAIFENG</t>
        </is>
      </c>
      <c r="H115" s="1" t="inlineStr">
        <is>
          <t>HAIFENG 22/10/2025</t>
        </is>
      </c>
      <c r="I115" s="4" t="n">
        <v>2</v>
      </c>
      <c r="J115" s="6" t="n">
        <v>7</v>
      </c>
      <c r="K115" s="6" t="n">
        <v>147.8978341</v>
      </c>
      <c r="L115" s="6">
        <f>I115*K115</f>
        <v/>
      </c>
      <c r="M115" s="6">
        <f>K115*4</f>
        <v/>
      </c>
      <c r="N115" s="6" t="n">
        <v>670</v>
      </c>
    </row>
    <row r="116">
      <c r="A116" s="1" t="inlineStr">
        <is>
          <t>12314362540493</t>
        </is>
      </c>
      <c r="B116" s="1" t="inlineStr">
        <is>
          <t>ARRACADAS F GOLD-BLACK</t>
        </is>
      </c>
      <c r="C116" s="1" t="inlineStr">
        <is>
          <t>Default Title</t>
        </is>
      </c>
      <c r="D116" s="1" t="inlineStr">
        <is>
          <t>10/02/2026</t>
        </is>
      </c>
      <c r="E116" s="1" t="n">
        <v>2026</v>
      </c>
      <c r="F116" s="1" t="inlineStr">
        <is>
          <t>FEBRERO</t>
        </is>
      </c>
      <c r="G116" s="1" t="inlineStr">
        <is>
          <t>HAIFENG</t>
        </is>
      </c>
      <c r="H116" s="1" t="inlineStr">
        <is>
          <t>HAIFENG 10/02/2026</t>
        </is>
      </c>
      <c r="I116" s="4" t="n">
        <v>4</v>
      </c>
      <c r="J116" s="6" t="n">
        <v>7</v>
      </c>
      <c r="K116" s="6" t="n">
        <v>147.4794725</v>
      </c>
      <c r="L116" s="6">
        <f>I116*K116</f>
        <v/>
      </c>
      <c r="M116" s="6">
        <f>K116*4</f>
        <v/>
      </c>
      <c r="N116" s="6" t="n">
        <v>670</v>
      </c>
    </row>
    <row r="117">
      <c r="A117" s="1" t="inlineStr">
        <is>
          <t>12314362540493</t>
        </is>
      </c>
      <c r="B117" s="1" t="inlineStr">
        <is>
          <t>ARRACADAS F GOLD-BLACK</t>
        </is>
      </c>
      <c r="C117" s="1" t="inlineStr">
        <is>
          <t>Default Title</t>
        </is>
      </c>
      <c r="D117" s="1" t="inlineStr">
        <is>
          <t>16/04/2026</t>
        </is>
      </c>
      <c r="E117" s="1" t="n">
        <v>2026</v>
      </c>
      <c r="F117" s="1" t="inlineStr">
        <is>
          <t>ABRIL</t>
        </is>
      </c>
      <c r="G117" s="1" t="inlineStr">
        <is>
          <t>HAIFENG</t>
        </is>
      </c>
      <c r="H117" s="1" t="inlineStr">
        <is>
          <t>HAIFENG 16/04/2026</t>
        </is>
      </c>
      <c r="I117" s="4" t="n">
        <v>2</v>
      </c>
      <c r="J117" s="6" t="n">
        <v>7</v>
      </c>
      <c r="K117" s="6" t="n">
        <v>147.2203151</v>
      </c>
      <c r="L117" s="6">
        <f>I117*K117</f>
        <v/>
      </c>
      <c r="M117" s="6">
        <f>K117*4</f>
        <v/>
      </c>
      <c r="N117" s="6" t="n">
        <v>670</v>
      </c>
    </row>
    <row r="118">
      <c r="A118" s="1" t="inlineStr">
        <is>
          <t>12314362665261</t>
        </is>
      </c>
      <c r="B118" s="1" t="inlineStr">
        <is>
          <t>BRAZALETE F GOLD ZIRCONIAS</t>
        </is>
      </c>
      <c r="C118" s="1" t="inlineStr">
        <is>
          <t>0.5 cm</t>
        </is>
      </c>
      <c r="D118" s="1" t="inlineStr">
        <is>
          <t>22/10/2025</t>
        </is>
      </c>
      <c r="E118" s="1" t="n">
        <v>2025</v>
      </c>
      <c r="F118" s="1" t="inlineStr">
        <is>
          <t>OCTUBRE</t>
        </is>
      </c>
      <c r="G118" s="1" t="inlineStr">
        <is>
          <t>HAIFENG</t>
        </is>
      </c>
      <c r="H118" s="1" t="inlineStr">
        <is>
          <t>HAIFENG 22/10/2025</t>
        </is>
      </c>
      <c r="I118" s="4" t="n">
        <v>1</v>
      </c>
      <c r="J118" s="6" t="n">
        <v>10</v>
      </c>
      <c r="K118" s="6" t="n">
        <v>211.2826202</v>
      </c>
      <c r="L118" s="6">
        <f>I118*K118</f>
        <v/>
      </c>
      <c r="M118" s="6">
        <f>K118*4</f>
        <v/>
      </c>
      <c r="N118" s="6" t="n">
        <v>840</v>
      </c>
    </row>
    <row r="119">
      <c r="A119" s="1" t="inlineStr">
        <is>
          <t>12314362665261</t>
        </is>
      </c>
      <c r="B119" s="1" t="inlineStr">
        <is>
          <t>BRAZALETE F GOLD ZIRCONIAS</t>
        </is>
      </c>
      <c r="C119" s="1" t="inlineStr">
        <is>
          <t>Default Title</t>
        </is>
      </c>
      <c r="D119" s="1" t="inlineStr">
        <is>
          <t>20/01/2026</t>
        </is>
      </c>
      <c r="E119" s="1" t="n">
        <v>2026</v>
      </c>
      <c r="F119" s="1" t="inlineStr">
        <is>
          <t>ENERO</t>
        </is>
      </c>
      <c r="G119" s="1" t="inlineStr">
        <is>
          <t>HAIFENG</t>
        </is>
      </c>
      <c r="H119" s="1" t="inlineStr">
        <is>
          <t>HAIFENG 20/01/2026</t>
        </is>
      </c>
      <c r="I119" s="4" t="n">
        <v>2</v>
      </c>
      <c r="J119" s="6" t="n">
        <v>10</v>
      </c>
      <c r="K119" s="6" t="n">
        <v>212.0041779</v>
      </c>
      <c r="L119" s="6">
        <f>I119*K119</f>
        <v/>
      </c>
      <c r="M119" s="6">
        <f>K119*4</f>
        <v/>
      </c>
      <c r="N119" s="6" t="n">
        <v>840</v>
      </c>
    </row>
    <row r="120">
      <c r="A120" s="1" t="inlineStr">
        <is>
          <t>12314362665261</t>
        </is>
      </c>
      <c r="B120" s="1" t="inlineStr">
        <is>
          <t>BRAZALETE F GOLD ZIRCONIAS</t>
        </is>
      </c>
      <c r="C120" s="1" t="inlineStr">
        <is>
          <t>0.5 cm</t>
        </is>
      </c>
      <c r="D120" s="1" t="inlineStr">
        <is>
          <t>10/02/2026</t>
        </is>
      </c>
      <c r="E120" s="1" t="n">
        <v>2026</v>
      </c>
      <c r="F120" s="1" t="inlineStr">
        <is>
          <t>FEBRERO</t>
        </is>
      </c>
      <c r="G120" s="1" t="inlineStr">
        <is>
          <t>HAIFENG</t>
        </is>
      </c>
      <c r="H120" s="1" t="inlineStr">
        <is>
          <t>HAIFENG 10/02/2026</t>
        </is>
      </c>
      <c r="I120" s="4" t="n">
        <v>1</v>
      </c>
      <c r="J120" s="6" t="n">
        <v>10</v>
      </c>
      <c r="K120" s="6" t="n">
        <v>210.6849607</v>
      </c>
      <c r="L120" s="6">
        <f>I120*K120</f>
        <v/>
      </c>
      <c r="M120" s="6">
        <f>K120*4</f>
        <v/>
      </c>
      <c r="N120" s="6" t="n">
        <v>840</v>
      </c>
    </row>
    <row r="121">
      <c r="A121" s="1" t="inlineStr">
        <is>
          <t>12314362703117</t>
        </is>
      </c>
      <c r="B121" s="1" t="inlineStr">
        <is>
          <t>ANILLO F GOLD ZIRCONIAS</t>
        </is>
      </c>
      <c r="C121" s="1" t="n">
        <v>6</v>
      </c>
      <c r="D121" s="1" t="inlineStr">
        <is>
          <t>22/10/2025</t>
        </is>
      </c>
      <c r="E121" s="1" t="n">
        <v>2025</v>
      </c>
      <c r="F121" s="1" t="inlineStr">
        <is>
          <t>OCTUBRE</t>
        </is>
      </c>
      <c r="G121" s="1" t="inlineStr">
        <is>
          <t>HAIFENG</t>
        </is>
      </c>
      <c r="H121" s="1" t="inlineStr">
        <is>
          <t>HAIFENG 22/10/2025</t>
        </is>
      </c>
      <c r="I121" s="4" t="n">
        <v>2</v>
      </c>
      <c r="J121" s="6" t="n">
        <v>7</v>
      </c>
      <c r="K121" s="6" t="n">
        <v>147.8978341</v>
      </c>
      <c r="L121" s="6">
        <f>I121*K121</f>
        <v/>
      </c>
      <c r="M121" s="6">
        <f>K121*4</f>
        <v/>
      </c>
      <c r="N121" s="6" t="n">
        <v>576.8</v>
      </c>
    </row>
    <row r="122">
      <c r="A122" s="1" t="inlineStr">
        <is>
          <t>12314362703117</t>
        </is>
      </c>
      <c r="B122" s="1" t="inlineStr">
        <is>
          <t>ANILLO F GOLD ZIRCONIAS</t>
        </is>
      </c>
      <c r="C122" s="1" t="inlineStr">
        <is>
          <t>6</t>
        </is>
      </c>
      <c r="D122" s="1" t="inlineStr">
        <is>
          <t>11/03/2026</t>
        </is>
      </c>
      <c r="E122" s="1" t="n">
        <v>2026</v>
      </c>
      <c r="F122" s="1" t="inlineStr">
        <is>
          <t>MARZO</t>
        </is>
      </c>
      <c r="G122" s="1" t="inlineStr">
        <is>
          <t>HAIFENG</t>
        </is>
      </c>
      <c r="H122" s="1" t="inlineStr">
        <is>
          <t>HAIFENG 11/03/2026</t>
        </is>
      </c>
      <c r="I122" s="4" t="n">
        <v>2</v>
      </c>
      <c r="J122" s="6" t="n">
        <v>7</v>
      </c>
      <c r="K122" s="6" t="n">
        <v>149.1272735</v>
      </c>
      <c r="L122" s="6">
        <f>I122*K122</f>
        <v/>
      </c>
      <c r="M122" s="6">
        <f>K122*4</f>
        <v/>
      </c>
      <c r="N122" s="6" t="n">
        <v>576.8</v>
      </c>
    </row>
    <row r="123">
      <c r="A123" s="1" t="inlineStr">
        <is>
          <t>12314362835885</t>
        </is>
      </c>
      <c r="B123" s="1" t="inlineStr">
        <is>
          <t>ANILLO F GOLD ZIRCONIAS</t>
        </is>
      </c>
      <c r="C123" s="1" t="inlineStr">
        <is>
          <t>7</t>
        </is>
      </c>
      <c r="D123" s="1" t="inlineStr">
        <is>
          <t>16/06/2026</t>
        </is>
      </c>
      <c r="E123" s="1" t="n">
        <v>2026</v>
      </c>
      <c r="F123" s="1" t="inlineStr">
        <is>
          <t>JUNIO</t>
        </is>
      </c>
      <c r="G123" s="1" t="inlineStr">
        <is>
          <t>HAIFENG</t>
        </is>
      </c>
      <c r="H123" s="1" t="inlineStr">
        <is>
          <t>HAIFENG 16/06/2026</t>
        </is>
      </c>
      <c r="I123" s="4" t="n">
        <v>2</v>
      </c>
      <c r="J123" s="6" t="n">
        <v>7</v>
      </c>
      <c r="K123" s="6" t="n">
        <v>147.1022452</v>
      </c>
      <c r="L123" s="6">
        <f>I123*K123</f>
        <v/>
      </c>
      <c r="M123" s="6">
        <f>K123*4</f>
        <v/>
      </c>
      <c r="N123" s="6" t="n">
        <v>576.8</v>
      </c>
    </row>
    <row r="124">
      <c r="A124" s="1" t="inlineStr">
        <is>
          <t>12314363483981</t>
        </is>
      </c>
      <c r="B124" s="1" t="inlineStr">
        <is>
          <t>PULSERA F LOGOS GOLD-BLACK</t>
        </is>
      </c>
      <c r="C124" s="1" t="inlineStr">
        <is>
          <t>HIGH QUALITY</t>
        </is>
      </c>
      <c r="D124" s="1" t="inlineStr">
        <is>
          <t>22/10/2025</t>
        </is>
      </c>
      <c r="E124" s="1" t="n">
        <v>2025</v>
      </c>
      <c r="F124" s="1" t="inlineStr">
        <is>
          <t>OCTUBRE</t>
        </is>
      </c>
      <c r="G124" s="1" t="inlineStr">
        <is>
          <t>HAIFENG</t>
        </is>
      </c>
      <c r="H124" s="1" t="inlineStr">
        <is>
          <t>HAIFENG 22/10/2025</t>
        </is>
      </c>
      <c r="I124" s="4" t="n">
        <v>3</v>
      </c>
      <c r="J124" s="6" t="n">
        <v>12</v>
      </c>
      <c r="K124" s="6" t="n">
        <v>253.5391442</v>
      </c>
      <c r="L124" s="6">
        <f>I124*K124</f>
        <v/>
      </c>
      <c r="M124" s="6">
        <f>K124*4</f>
        <v/>
      </c>
      <c r="N124" s="6" t="n">
        <v>988</v>
      </c>
    </row>
    <row r="125">
      <c r="A125" s="1" t="inlineStr">
        <is>
          <t>12314363483981</t>
        </is>
      </c>
      <c r="B125" s="1" t="inlineStr">
        <is>
          <t>PULSERA F LOGOS GOLD-BLACK</t>
        </is>
      </c>
      <c r="C125" s="1" t="inlineStr">
        <is>
          <t>Default Title</t>
        </is>
      </c>
      <c r="D125" s="1" t="inlineStr">
        <is>
          <t>20/01/2026</t>
        </is>
      </c>
      <c r="E125" s="1" t="n">
        <v>2026</v>
      </c>
      <c r="F125" s="1" t="inlineStr">
        <is>
          <t>ENERO</t>
        </is>
      </c>
      <c r="G125" s="1" t="inlineStr">
        <is>
          <t>HAIFENG</t>
        </is>
      </c>
      <c r="H125" s="1" t="inlineStr">
        <is>
          <t>HAIFENG 20/01/2026</t>
        </is>
      </c>
      <c r="I125" s="4" t="n">
        <v>4</v>
      </c>
      <c r="J125" s="6" t="n">
        <v>10</v>
      </c>
      <c r="K125" s="6" t="n">
        <v>212.0041779</v>
      </c>
      <c r="L125" s="6">
        <f>I125*K125</f>
        <v/>
      </c>
      <c r="M125" s="6">
        <f>K125*4</f>
        <v/>
      </c>
      <c r="N125" s="6" t="n">
        <v>988</v>
      </c>
    </row>
    <row r="126">
      <c r="A126" s="1" t="inlineStr">
        <is>
          <t>12314363483981</t>
        </is>
      </c>
      <c r="B126" s="1" t="inlineStr">
        <is>
          <t>PULSERA F LOGOS GOLD-BLACK</t>
        </is>
      </c>
      <c r="C126" s="1" t="inlineStr">
        <is>
          <t>HIGH QUALITY</t>
        </is>
      </c>
      <c r="D126" s="1" t="inlineStr">
        <is>
          <t>10/02/2026</t>
        </is>
      </c>
      <c r="E126" s="1" t="n">
        <v>2026</v>
      </c>
      <c r="F126" s="1" t="inlineStr">
        <is>
          <t>FEBRERO</t>
        </is>
      </c>
      <c r="G126" s="1" t="inlineStr">
        <is>
          <t>HAIFENG</t>
        </is>
      </c>
      <c r="H126" s="1" t="inlineStr">
        <is>
          <t>HAIFENG 10/02/2026</t>
        </is>
      </c>
      <c r="I126" s="4" t="n">
        <v>3</v>
      </c>
      <c r="J126" s="6" t="n">
        <v>10</v>
      </c>
      <c r="K126" s="6" t="n">
        <v>210.6849607</v>
      </c>
      <c r="L126" s="6">
        <f>I126*K126</f>
        <v/>
      </c>
      <c r="M126" s="6">
        <f>K126*4</f>
        <v/>
      </c>
      <c r="N126" s="6" t="n">
        <v>988</v>
      </c>
    </row>
    <row r="127">
      <c r="A127" s="1" t="inlineStr">
        <is>
          <t>12314363576653</t>
        </is>
      </c>
      <c r="B127" s="1" t="inlineStr">
        <is>
          <t>BRAZALETE F LOGOS GOLD</t>
        </is>
      </c>
      <c r="C127" s="1" t="inlineStr">
        <is>
          <t>Default Title</t>
        </is>
      </c>
      <c r="D127" s="1" t="inlineStr">
        <is>
          <t>22/10/2025</t>
        </is>
      </c>
      <c r="E127" s="1" t="n">
        <v>2025</v>
      </c>
      <c r="F127" s="1" t="inlineStr">
        <is>
          <t>OCTUBRE</t>
        </is>
      </c>
      <c r="G127" s="1" t="inlineStr">
        <is>
          <t>HAIFENG</t>
        </is>
      </c>
      <c r="H127" s="1" t="inlineStr">
        <is>
          <t>HAIFENG 22/10/2025</t>
        </is>
      </c>
      <c r="I127" s="4" t="n">
        <v>2</v>
      </c>
      <c r="J127" s="6" t="n">
        <v>10</v>
      </c>
      <c r="K127" s="6" t="n">
        <v>211.2826202</v>
      </c>
      <c r="L127" s="6">
        <f>I127*K127</f>
        <v/>
      </c>
      <c r="M127" s="6">
        <f>K127*4</f>
        <v/>
      </c>
      <c r="N127" s="6" t="n">
        <v>840</v>
      </c>
    </row>
    <row r="128">
      <c r="A128" s="1" t="inlineStr">
        <is>
          <t>12314363576653</t>
        </is>
      </c>
      <c r="B128" s="1" t="inlineStr">
        <is>
          <t>BRAZALETE F LOGOS GOLD</t>
        </is>
      </c>
      <c r="C128" s="1" t="inlineStr">
        <is>
          <t>Default Title</t>
        </is>
      </c>
      <c r="D128" s="1" t="inlineStr">
        <is>
          <t>20/01/2026</t>
        </is>
      </c>
      <c r="E128" s="1" t="n">
        <v>2026</v>
      </c>
      <c r="F128" s="1" t="inlineStr">
        <is>
          <t>ENERO</t>
        </is>
      </c>
      <c r="G128" s="1" t="inlineStr">
        <is>
          <t>HAIFENG</t>
        </is>
      </c>
      <c r="H128" s="1" t="inlineStr">
        <is>
          <t>HAIFENG 20/01/2026</t>
        </is>
      </c>
      <c r="I128" s="4" t="n">
        <v>3</v>
      </c>
      <c r="J128" s="6" t="n">
        <v>10</v>
      </c>
      <c r="K128" s="6" t="n">
        <v>212.0041779</v>
      </c>
      <c r="L128" s="6">
        <f>I128*K128</f>
        <v/>
      </c>
      <c r="M128" s="6">
        <f>K128*4</f>
        <v/>
      </c>
      <c r="N128" s="6" t="n">
        <v>840</v>
      </c>
    </row>
    <row r="129">
      <c r="A129" s="1" t="inlineStr">
        <is>
          <t>12314363576653</t>
        </is>
      </c>
      <c r="B129" s="1" t="inlineStr">
        <is>
          <t>BRAZALETE F LOGOS GOLD</t>
        </is>
      </c>
      <c r="C129" s="1" t="inlineStr">
        <is>
          <t>Default Title</t>
        </is>
      </c>
      <c r="D129" s="1" t="inlineStr">
        <is>
          <t>10/02/2026</t>
        </is>
      </c>
      <c r="E129" s="1" t="n">
        <v>2026</v>
      </c>
      <c r="F129" s="1" t="inlineStr">
        <is>
          <t>FEBRERO</t>
        </is>
      </c>
      <c r="G129" s="1" t="inlineStr">
        <is>
          <t>HAIFENG</t>
        </is>
      </c>
      <c r="H129" s="1" t="inlineStr">
        <is>
          <t>HAIFENG 10/02/2026</t>
        </is>
      </c>
      <c r="I129" s="4" t="n">
        <v>2</v>
      </c>
      <c r="J129" s="6" t="n">
        <v>10</v>
      </c>
      <c r="K129" s="6" t="n">
        <v>210.6849607</v>
      </c>
      <c r="L129" s="6">
        <f>I129*K129</f>
        <v/>
      </c>
      <c r="M129" s="6">
        <f>K129*4</f>
        <v/>
      </c>
      <c r="N129" s="6" t="n">
        <v>840</v>
      </c>
    </row>
    <row r="130">
      <c r="A130" s="1" t="inlineStr">
        <is>
          <t>12314363611117</t>
        </is>
      </c>
      <c r="B130" s="1" t="inlineStr">
        <is>
          <t>PULSERA MM SILVER-WHITE</t>
        </is>
      </c>
      <c r="C130" s="1" t="inlineStr">
        <is>
          <t>Default Title</t>
        </is>
      </c>
      <c r="D130" s="1" t="inlineStr">
        <is>
          <t>22/10/2025</t>
        </is>
      </c>
      <c r="E130" s="1" t="n">
        <v>2025</v>
      </c>
      <c r="F130" s="1" t="inlineStr">
        <is>
          <t>OCTUBRE</t>
        </is>
      </c>
      <c r="G130" s="1" t="inlineStr">
        <is>
          <t>HAIFENG</t>
        </is>
      </c>
      <c r="H130" s="1" t="inlineStr">
        <is>
          <t>HAIFENG 22/10/2025</t>
        </is>
      </c>
      <c r="I130" s="4" t="n">
        <v>3</v>
      </c>
      <c r="J130" s="6" t="n">
        <v>6.99</v>
      </c>
      <c r="K130" s="6" t="n">
        <v>147.6865515</v>
      </c>
      <c r="L130" s="6">
        <f>I130*K130</f>
        <v/>
      </c>
      <c r="M130" s="6">
        <f>K130*4</f>
        <v/>
      </c>
      <c r="N130" s="6" t="n">
        <v>599</v>
      </c>
    </row>
    <row r="131">
      <c r="A131" s="1" t="inlineStr">
        <is>
          <t>12314363611117</t>
        </is>
      </c>
      <c r="B131" s="1" t="inlineStr">
        <is>
          <t>PULSERA MM SILVER-WHITE</t>
        </is>
      </c>
      <c r="C131" s="1" t="inlineStr">
        <is>
          <t>Default Title</t>
        </is>
      </c>
      <c r="D131" s="1" t="inlineStr">
        <is>
          <t>20/01/2026</t>
        </is>
      </c>
      <c r="E131" s="1" t="n">
        <v>2026</v>
      </c>
      <c r="F131" s="1" t="inlineStr">
        <is>
          <t>ENERO</t>
        </is>
      </c>
      <c r="G131" s="1" t="inlineStr">
        <is>
          <t>HAIFENG</t>
        </is>
      </c>
      <c r="H131" s="1" t="inlineStr">
        <is>
          <t>HAIFENG 20/01/2026</t>
        </is>
      </c>
      <c r="I131" s="4" t="n">
        <v>1</v>
      </c>
      <c r="J131" s="6" t="n">
        <v>6.99</v>
      </c>
      <c r="K131" s="6" t="n">
        <v>148.1909204</v>
      </c>
      <c r="L131" s="6">
        <f>I131*K131</f>
        <v/>
      </c>
      <c r="M131" s="6">
        <f>K131*4</f>
        <v/>
      </c>
      <c r="N131" s="6" t="n">
        <v>599</v>
      </c>
    </row>
    <row r="132">
      <c r="A132" s="1" t="inlineStr">
        <is>
          <t>12314363611117</t>
        </is>
      </c>
      <c r="B132" s="1" t="inlineStr">
        <is>
          <t>PULSERA MM SILVER-WHITE</t>
        </is>
      </c>
      <c r="C132" s="1" t="inlineStr">
        <is>
          <t>Default Title</t>
        </is>
      </c>
      <c r="D132" s="1" t="inlineStr">
        <is>
          <t>16/04/2026</t>
        </is>
      </c>
      <c r="E132" s="1" t="n">
        <v>2026</v>
      </c>
      <c r="F132" s="1" t="inlineStr">
        <is>
          <t>ABRIL</t>
        </is>
      </c>
      <c r="G132" s="1" t="inlineStr">
        <is>
          <t>HAIFENG</t>
        </is>
      </c>
      <c r="H132" s="1" t="inlineStr">
        <is>
          <t>HAIFENG 16/04/2026</t>
        </is>
      </c>
      <c r="I132" s="4" t="n">
        <v>1</v>
      </c>
      <c r="J132" s="6" t="n">
        <v>6.99</v>
      </c>
      <c r="K132" s="6" t="n">
        <v>147.0100004</v>
      </c>
      <c r="L132" s="6">
        <f>I132*K132</f>
        <v/>
      </c>
      <c r="M132" s="6">
        <f>K132*4</f>
        <v/>
      </c>
      <c r="N132" s="6" t="n">
        <v>599</v>
      </c>
    </row>
    <row r="133">
      <c r="A133" s="1" t="inlineStr">
        <is>
          <t>12314363883437</t>
        </is>
      </c>
      <c r="B133" s="1" t="inlineStr">
        <is>
          <t>PULSERA MM GOLD-WHITE</t>
        </is>
      </c>
      <c r="C133" s="1" t="inlineStr">
        <is>
          <t>Default Title</t>
        </is>
      </c>
      <c r="D133" s="1" t="inlineStr">
        <is>
          <t>20/01/2026</t>
        </is>
      </c>
      <c r="E133" s="1" t="n">
        <v>2026</v>
      </c>
      <c r="F133" s="1" t="inlineStr">
        <is>
          <t>ENERO</t>
        </is>
      </c>
      <c r="G133" s="1" t="inlineStr">
        <is>
          <t>HAIFENG</t>
        </is>
      </c>
      <c r="H133" s="1" t="inlineStr">
        <is>
          <t>HAIFENG 20/01/2026</t>
        </is>
      </c>
      <c r="I133" s="4" t="n">
        <v>4</v>
      </c>
      <c r="J133" s="6" t="n">
        <v>6.99</v>
      </c>
      <c r="K133" s="6" t="n">
        <v>148.1909204</v>
      </c>
      <c r="L133" s="6">
        <f>I133*K133</f>
        <v/>
      </c>
      <c r="M133" s="6">
        <f>K133*4</f>
        <v/>
      </c>
      <c r="N133" s="6" t="n"/>
    </row>
    <row r="134">
      <c r="A134" s="1" t="inlineStr">
        <is>
          <t>12314363883437</t>
        </is>
      </c>
      <c r="B134" s="1" t="inlineStr">
        <is>
          <t>PULSERA MM GOLD-WHITE</t>
        </is>
      </c>
      <c r="C134" s="1" t="n"/>
      <c r="D134" s="1" t="inlineStr">
        <is>
          <t>06/05/2026</t>
        </is>
      </c>
      <c r="E134" s="1" t="n">
        <v>2026</v>
      </c>
      <c r="F134" s="1" t="inlineStr">
        <is>
          <t>MAYO</t>
        </is>
      </c>
      <c r="G134" s="1" t="inlineStr">
        <is>
          <t>HAIFENG</t>
        </is>
      </c>
      <c r="H134" s="1" t="inlineStr">
        <is>
          <t>HAIFENG 06/05/2026</t>
        </is>
      </c>
      <c r="I134" s="4" t="n">
        <v>3</v>
      </c>
      <c r="J134" s="6" t="n">
        <v>6.99</v>
      </c>
      <c r="K134" s="6" t="n">
        <v>148.3183094</v>
      </c>
      <c r="L134" s="6">
        <f>I134*K134</f>
        <v/>
      </c>
      <c r="M134" s="6">
        <f>K134*4</f>
        <v/>
      </c>
      <c r="N134" s="6" t="n"/>
    </row>
    <row r="135">
      <c r="A135" s="1" t="inlineStr">
        <is>
          <t>12314363985133</t>
        </is>
      </c>
      <c r="B135" s="1" t="inlineStr">
        <is>
          <t>ARRACADAS MM GOLD-BLACK</t>
        </is>
      </c>
      <c r="C135" s="1" t="inlineStr">
        <is>
          <t>Default Title</t>
        </is>
      </c>
      <c r="D135" s="1" t="inlineStr">
        <is>
          <t>22/10/2025</t>
        </is>
      </c>
      <c r="E135" s="1" t="n">
        <v>2025</v>
      </c>
      <c r="F135" s="1" t="inlineStr">
        <is>
          <t>OCTUBRE</t>
        </is>
      </c>
      <c r="G135" s="1" t="inlineStr">
        <is>
          <t>HAIFENG</t>
        </is>
      </c>
      <c r="H135" s="1" t="inlineStr">
        <is>
          <t>HAIFENG 22/10/2025</t>
        </is>
      </c>
      <c r="I135" s="4" t="n">
        <v>3</v>
      </c>
      <c r="J135" s="6" t="n">
        <v>7.99</v>
      </c>
      <c r="K135" s="6" t="n">
        <v>168.8148135</v>
      </c>
      <c r="L135" s="6">
        <f>I135*K135</f>
        <v/>
      </c>
      <c r="M135" s="6">
        <f>K135*4</f>
        <v/>
      </c>
      <c r="N135" s="6" t="n">
        <v>680</v>
      </c>
    </row>
    <row r="136">
      <c r="A136" s="1" t="inlineStr">
        <is>
          <t>12314363985133</t>
        </is>
      </c>
      <c r="B136" s="1" t="inlineStr">
        <is>
          <t>ARRACADAS MM GOLD-BLACK</t>
        </is>
      </c>
      <c r="C136" s="1" t="inlineStr">
        <is>
          <t>Default Title</t>
        </is>
      </c>
      <c r="D136" s="1" t="inlineStr">
        <is>
          <t>20/01/2026</t>
        </is>
      </c>
      <c r="E136" s="1" t="n">
        <v>2026</v>
      </c>
      <c r="F136" s="1" t="inlineStr">
        <is>
          <t>ENERO</t>
        </is>
      </c>
      <c r="G136" s="1" t="inlineStr">
        <is>
          <t>HAIFENG</t>
        </is>
      </c>
      <c r="H136" s="1" t="inlineStr">
        <is>
          <t>HAIFENG 20/01/2026</t>
        </is>
      </c>
      <c r="I136" s="4" t="n">
        <v>6</v>
      </c>
      <c r="J136" s="6" t="n">
        <v>7.99</v>
      </c>
      <c r="K136" s="6" t="n">
        <v>169.3913382</v>
      </c>
      <c r="L136" s="6">
        <f>I136*K136</f>
        <v/>
      </c>
      <c r="M136" s="6">
        <f>K136*4</f>
        <v/>
      </c>
      <c r="N136" s="6" t="n">
        <v>680</v>
      </c>
    </row>
    <row r="137">
      <c r="A137" s="1" t="inlineStr">
        <is>
          <t>12314363985133</t>
        </is>
      </c>
      <c r="B137" s="1" t="inlineStr">
        <is>
          <t>ARRACADAS MM GOLD-BLACK</t>
        </is>
      </c>
      <c r="C137" s="1" t="inlineStr">
        <is>
          <t>Default Title</t>
        </is>
      </c>
      <c r="D137" s="1" t="inlineStr">
        <is>
          <t>16/04/2026</t>
        </is>
      </c>
      <c r="E137" s="1" t="n">
        <v>2026</v>
      </c>
      <c r="F137" s="1" t="inlineStr">
        <is>
          <t>ABRIL</t>
        </is>
      </c>
      <c r="G137" s="1" t="inlineStr">
        <is>
          <t>HAIFENG</t>
        </is>
      </c>
      <c r="H137" s="1" t="inlineStr">
        <is>
          <t>HAIFENG 16/04/2026</t>
        </is>
      </c>
      <c r="I137" s="4" t="n">
        <v>3</v>
      </c>
      <c r="J137" s="6" t="n">
        <v>7.99</v>
      </c>
      <c r="K137" s="6" t="n">
        <v>168.041474</v>
      </c>
      <c r="L137" s="6">
        <f>I137*K137</f>
        <v/>
      </c>
      <c r="M137" s="6">
        <f>K137*4</f>
        <v/>
      </c>
      <c r="N137" s="6" t="n">
        <v>680</v>
      </c>
    </row>
    <row r="138">
      <c r="A138" s="1" t="inlineStr">
        <is>
          <t>12314364086829</t>
        </is>
      </c>
      <c r="B138" s="1" t="inlineStr">
        <is>
          <t>ARRACADAS MM GOLD-WHITE</t>
        </is>
      </c>
      <c r="C138" s="1" t="inlineStr">
        <is>
          <t>Default Title</t>
        </is>
      </c>
      <c r="D138" s="1" t="inlineStr">
        <is>
          <t>22/10/2025</t>
        </is>
      </c>
      <c r="E138" s="1" t="n">
        <v>2025</v>
      </c>
      <c r="F138" s="1" t="inlineStr">
        <is>
          <t>OCTUBRE</t>
        </is>
      </c>
      <c r="G138" s="1" t="inlineStr">
        <is>
          <t>HAIFENG</t>
        </is>
      </c>
      <c r="H138" s="1" t="inlineStr">
        <is>
          <t>HAIFENG 22/10/2025</t>
        </is>
      </c>
      <c r="I138" s="4" t="n">
        <v>3</v>
      </c>
      <c r="J138" s="6" t="n">
        <v>7.99</v>
      </c>
      <c r="K138" s="6" t="n">
        <v>168.8148135</v>
      </c>
      <c r="L138" s="6">
        <f>I138*K138</f>
        <v/>
      </c>
      <c r="M138" s="6">
        <f>K138*4</f>
        <v/>
      </c>
      <c r="N138" s="6" t="n">
        <v>680</v>
      </c>
    </row>
    <row r="139">
      <c r="A139" s="1" t="inlineStr">
        <is>
          <t>12314364086829</t>
        </is>
      </c>
      <c r="B139" s="1" t="inlineStr">
        <is>
          <t>ARRACADAS MM GOLD-WHITE</t>
        </is>
      </c>
      <c r="C139" s="1" t="inlineStr">
        <is>
          <t>Default Title</t>
        </is>
      </c>
      <c r="D139" s="1" t="inlineStr">
        <is>
          <t>20/01/2026</t>
        </is>
      </c>
      <c r="E139" s="1" t="n">
        <v>2026</v>
      </c>
      <c r="F139" s="1" t="inlineStr">
        <is>
          <t>ENERO</t>
        </is>
      </c>
      <c r="G139" s="1" t="inlineStr">
        <is>
          <t>HAIFENG</t>
        </is>
      </c>
      <c r="H139" s="1" t="inlineStr">
        <is>
          <t>HAIFENG 20/01/2026</t>
        </is>
      </c>
      <c r="I139" s="4" t="n">
        <v>6</v>
      </c>
      <c r="J139" s="6" t="n">
        <v>7.99</v>
      </c>
      <c r="K139" s="6" t="n">
        <v>169.3913382</v>
      </c>
      <c r="L139" s="6">
        <f>I139*K139</f>
        <v/>
      </c>
      <c r="M139" s="6">
        <f>K139*4</f>
        <v/>
      </c>
      <c r="N139" s="6" t="n">
        <v>680</v>
      </c>
    </row>
    <row r="140">
      <c r="A140" s="1" t="inlineStr">
        <is>
          <t>12731906776716</t>
        </is>
      </c>
      <c r="B140" s="1" t="inlineStr">
        <is>
          <t>COLLAR CORAZÓN SILVER</t>
        </is>
      </c>
      <c r="C140" s="1" t="inlineStr">
        <is>
          <t>44 cm / dije 2.5cm</t>
        </is>
      </c>
      <c r="D140" s="1" t="inlineStr">
        <is>
          <t>02/03/2026</t>
        </is>
      </c>
      <c r="E140" s="1" t="n">
        <v>2026</v>
      </c>
      <c r="F140" s="1" t="inlineStr">
        <is>
          <t>MARZO</t>
        </is>
      </c>
      <c r="G140" s="1" t="inlineStr">
        <is>
          <t>ZOEY</t>
        </is>
      </c>
      <c r="H140" s="1" t="inlineStr">
        <is>
          <t>ZOEY 02/03/2026</t>
        </is>
      </c>
      <c r="I140" s="4" t="n">
        <v>2</v>
      </c>
      <c r="J140" s="6" t="n">
        <v>9</v>
      </c>
      <c r="K140" s="6" t="n">
        <v>236.4927815</v>
      </c>
      <c r="L140" s="6">
        <f>I140*K140</f>
        <v/>
      </c>
      <c r="M140" s="6">
        <f>K140*4</f>
        <v/>
      </c>
      <c r="N140" s="6" t="n">
        <v>950</v>
      </c>
    </row>
    <row r="141">
      <c r="A141" s="1" t="inlineStr">
        <is>
          <t>13667531088813</t>
        </is>
      </c>
      <c r="B141" s="1" t="inlineStr">
        <is>
          <t>ANILLO BV BUMPS GOLD-BLACK-8</t>
        </is>
      </c>
      <c r="C141" s="1" t="n">
        <v>8</v>
      </c>
      <c r="D141" s="1" t="inlineStr">
        <is>
          <t>25/09/2025</t>
        </is>
      </c>
      <c r="E141" s="1" t="n">
        <v>2025</v>
      </c>
      <c r="F141" s="1" t="inlineStr">
        <is>
          <t>SEPTIEMBRE</t>
        </is>
      </c>
      <c r="G141" s="1" t="inlineStr">
        <is>
          <t>HAIFENG</t>
        </is>
      </c>
      <c r="H141" s="1" t="inlineStr">
        <is>
          <t>HAIFENG 25/09/2025</t>
        </is>
      </c>
      <c r="I141" s="4" t="n">
        <v>1</v>
      </c>
      <c r="J141" s="6" t="n">
        <v>9</v>
      </c>
      <c r="K141" s="6" t="n">
        <v>189.8719719</v>
      </c>
      <c r="L141" s="6">
        <f>I141*K141</f>
        <v/>
      </c>
      <c r="M141" s="6">
        <f>K141*4</f>
        <v/>
      </c>
      <c r="N141" s="6" t="n">
        <v>750</v>
      </c>
    </row>
    <row r="142">
      <c r="A142" s="1" t="inlineStr">
        <is>
          <t>13667531088813</t>
        </is>
      </c>
      <c r="B142" s="1" t="inlineStr">
        <is>
          <t>ANILLO BV BUMPS GOLD-BLACK</t>
        </is>
      </c>
      <c r="C142" s="1" t="inlineStr">
        <is>
          <t>8</t>
        </is>
      </c>
      <c r="D142" s="1" t="inlineStr">
        <is>
          <t>10/02/2026</t>
        </is>
      </c>
      <c r="E142" s="1" t="n">
        <v>2026</v>
      </c>
      <c r="F142" s="1" t="inlineStr">
        <is>
          <t>FEBRERO</t>
        </is>
      </c>
      <c r="G142" s="1" t="inlineStr">
        <is>
          <t>HAIFENG</t>
        </is>
      </c>
      <c r="H142" s="1" t="inlineStr">
        <is>
          <t>HAIFENG 10/02/2026</t>
        </is>
      </c>
      <c r="I142" s="4" t="n">
        <v>1</v>
      </c>
      <c r="J142" s="6" t="n">
        <v>9</v>
      </c>
      <c r="K142" s="6" t="n">
        <v>189.6164646</v>
      </c>
      <c r="L142" s="6">
        <f>I142*K142</f>
        <v/>
      </c>
      <c r="M142" s="6">
        <f>K142*4</f>
        <v/>
      </c>
      <c r="N142" s="6" t="n">
        <v>750</v>
      </c>
    </row>
    <row r="143">
      <c r="A143" s="1" t="inlineStr">
        <is>
          <t>13794531858861</t>
        </is>
      </c>
      <c r="B143" s="1" t="inlineStr">
        <is>
          <t>CARTERA PR SAFFIANO DARKBLUE</t>
        </is>
      </c>
      <c r="C143" s="1" t="inlineStr">
        <is>
          <t>BLUE</t>
        </is>
      </c>
      <c r="D143" s="1" t="inlineStr">
        <is>
          <t>02/03/2026</t>
        </is>
      </c>
      <c r="E143" s="1" t="n">
        <v>2026</v>
      </c>
      <c r="F143" s="1" t="inlineStr">
        <is>
          <t>MARZO</t>
        </is>
      </c>
      <c r="G143" s="1" t="inlineStr">
        <is>
          <t>ZOEY</t>
        </is>
      </c>
      <c r="H143" s="1" t="inlineStr">
        <is>
          <t>ZOEY 02/03/2026</t>
        </is>
      </c>
      <c r="I143" s="4" t="n">
        <v>2</v>
      </c>
      <c r="J143" s="6" t="n">
        <v>19</v>
      </c>
      <c r="K143" s="6" t="n">
        <v>499.2625387</v>
      </c>
      <c r="L143" s="6">
        <f>I143*K143</f>
        <v/>
      </c>
      <c r="M143" s="6">
        <f>K143*4</f>
        <v/>
      </c>
      <c r="N143" s="6" t="n">
        <v>1999</v>
      </c>
    </row>
    <row r="144">
      <c r="A144" s="1" t="inlineStr">
        <is>
          <t>13794532310349</t>
        </is>
      </c>
      <c r="B144" s="1" t="inlineStr">
        <is>
          <t>CARTERA MM NAPA PINK</t>
        </is>
      </c>
      <c r="C144" s="1" t="inlineStr">
        <is>
          <t>PINK</t>
        </is>
      </c>
      <c r="D144" s="1" t="inlineStr">
        <is>
          <t>02/03/2026</t>
        </is>
      </c>
      <c r="E144" s="1" t="n">
        <v>2026</v>
      </c>
      <c r="F144" s="1" t="inlineStr">
        <is>
          <t>MARZO</t>
        </is>
      </c>
      <c r="G144" s="1" t="inlineStr">
        <is>
          <t>ZOEY</t>
        </is>
      </c>
      <c r="H144" s="1" t="inlineStr">
        <is>
          <t>ZOEY 02/03/2026</t>
        </is>
      </c>
      <c r="I144" s="4" t="n">
        <v>2</v>
      </c>
      <c r="J144" s="6" t="n">
        <v>23</v>
      </c>
      <c r="K144" s="6" t="n">
        <v>604.3704416</v>
      </c>
      <c r="L144" s="6">
        <f>I144*K144</f>
        <v/>
      </c>
      <c r="M144" s="6">
        <f>K144*4</f>
        <v/>
      </c>
      <c r="N144" s="6" t="n">
        <v>2440</v>
      </c>
    </row>
    <row r="145">
      <c r="A145" s="1" t="inlineStr">
        <is>
          <t>13794532310349</t>
        </is>
      </c>
      <c r="B145" s="1" t="inlineStr">
        <is>
          <t>CARTERA MM NAPA PINK</t>
        </is>
      </c>
      <c r="C145" s="1" t="inlineStr">
        <is>
          <t>Default Title</t>
        </is>
      </c>
      <c r="D145" s="1" t="inlineStr">
        <is>
          <t>15/05/2026</t>
        </is>
      </c>
      <c r="E145" s="1" t="n">
        <v>2026</v>
      </c>
      <c r="F145" s="1" t="inlineStr">
        <is>
          <t>MAYO</t>
        </is>
      </c>
      <c r="G145" s="1" t="inlineStr">
        <is>
          <t>ZOEY</t>
        </is>
      </c>
      <c r="H145" s="1" t="inlineStr">
        <is>
          <t>ZOEY 15/05/2026</t>
        </is>
      </c>
      <c r="I145" s="4" t="n">
        <v>1</v>
      </c>
      <c r="J145" s="6" t="n">
        <v>23</v>
      </c>
      <c r="K145" s="6" t="n">
        <v>609.6063632</v>
      </c>
      <c r="L145" s="6">
        <f>I145*K145</f>
        <v/>
      </c>
      <c r="M145" s="6">
        <f>K145*4</f>
        <v/>
      </c>
      <c r="N145" s="6" t="n">
        <v>2440</v>
      </c>
    </row>
    <row r="146">
      <c r="A146" s="1" t="inlineStr">
        <is>
          <t>13794532310349</t>
        </is>
      </c>
      <c r="B146" s="1" t="inlineStr">
        <is>
          <t>CARTERA MM NAPA PINK</t>
        </is>
      </c>
      <c r="C146" s="1" t="inlineStr">
        <is>
          <t>Default Title</t>
        </is>
      </c>
      <c r="D146" s="1" t="inlineStr">
        <is>
          <t>08/06/2026</t>
        </is>
      </c>
      <c r="E146" s="1" t="n">
        <v>2026</v>
      </c>
      <c r="F146" s="1" t="inlineStr">
        <is>
          <t>JUNIO</t>
        </is>
      </c>
      <c r="G146" s="1" t="inlineStr">
        <is>
          <t>ZOEY</t>
        </is>
      </c>
      <c r="H146" s="1" t="inlineStr">
        <is>
          <t>ZOEY 08/06/2026</t>
        </is>
      </c>
      <c r="I146" s="4" t="n">
        <v>2</v>
      </c>
      <c r="J146" s="6" t="n">
        <v>23</v>
      </c>
      <c r="K146" s="6" t="n">
        <v>563.7630385</v>
      </c>
      <c r="L146" s="6">
        <f>I146*K146</f>
        <v/>
      </c>
      <c r="M146" s="6">
        <f>K146*4</f>
        <v/>
      </c>
      <c r="N146" s="6" t="n">
        <v>2240</v>
      </c>
    </row>
    <row r="147">
      <c r="A147" s="1" t="inlineStr">
        <is>
          <t>13798161017037</t>
        </is>
      </c>
      <c r="B147" s="1" t="inlineStr">
        <is>
          <t>CADENA H GOLD</t>
        </is>
      </c>
      <c r="C147" s="1" t="inlineStr">
        <is>
          <t>Default Title</t>
        </is>
      </c>
      <c r="D147" s="1" t="inlineStr">
        <is>
          <t>25/09/2025</t>
        </is>
      </c>
      <c r="E147" s="1" t="n">
        <v>2025</v>
      </c>
      <c r="F147" s="1" t="inlineStr">
        <is>
          <t>SEPTIEMBRE</t>
        </is>
      </c>
      <c r="G147" s="1" t="inlineStr">
        <is>
          <t>HAIFENG</t>
        </is>
      </c>
      <c r="H147" s="1" t="inlineStr">
        <is>
          <t>HAIFENG 25/09/2025</t>
        </is>
      </c>
      <c r="I147" s="4" t="n">
        <v>2</v>
      </c>
      <c r="J147" s="6" t="n">
        <v>12.99</v>
      </c>
      <c r="K147" s="6" t="n">
        <v>274.0485461</v>
      </c>
      <c r="L147" s="6">
        <f>I147*K147</f>
        <v/>
      </c>
      <c r="M147" s="6">
        <f>K147*4</f>
        <v/>
      </c>
      <c r="N147" s="6" t="n">
        <v>1099</v>
      </c>
    </row>
    <row r="148">
      <c r="A148" s="1" t="inlineStr">
        <is>
          <t>13798161017037</t>
        </is>
      </c>
      <c r="B148" s="1" t="inlineStr">
        <is>
          <t>CADENA H GOLD</t>
        </is>
      </c>
      <c r="C148" s="1" t="inlineStr">
        <is>
          <t>Default Title</t>
        </is>
      </c>
      <c r="D148" s="1" t="inlineStr">
        <is>
          <t>26/05/2026</t>
        </is>
      </c>
      <c r="E148" s="1" t="n">
        <v>2026</v>
      </c>
      <c r="F148" s="1" t="inlineStr">
        <is>
          <t>MAYO</t>
        </is>
      </c>
      <c r="G148" s="1" t="inlineStr">
        <is>
          <t>HAIFENG</t>
        </is>
      </c>
      <c r="H148" s="1" t="inlineStr">
        <is>
          <t>HAIFENG 26/05/2026</t>
        </is>
      </c>
      <c r="I148" s="4" t="n">
        <v>2</v>
      </c>
      <c r="J148" s="6" t="n">
        <v>12.99</v>
      </c>
      <c r="K148" s="6" t="n">
        <v>272.6509459</v>
      </c>
      <c r="L148" s="6">
        <f>I148*K148</f>
        <v/>
      </c>
      <c r="M148" s="6">
        <f>K148*4</f>
        <v/>
      </c>
      <c r="N148" s="6" t="n">
        <v>1099</v>
      </c>
    </row>
    <row r="149">
      <c r="A149" s="1" t="inlineStr">
        <is>
          <t>13863311065325</t>
        </is>
      </c>
      <c r="B149" s="1" t="inlineStr">
        <is>
          <t>BOLSO CD MESSENGER SADDLE BLACK</t>
        </is>
      </c>
      <c r="C149" s="1" t="inlineStr">
        <is>
          <t>Default Title</t>
        </is>
      </c>
      <c r="D149" s="1" t="inlineStr">
        <is>
          <t>07/01/2026</t>
        </is>
      </c>
      <c r="E149" s="1" t="n">
        <v>2026</v>
      </c>
      <c r="F149" s="1" t="inlineStr">
        <is>
          <t>ENERO</t>
        </is>
      </c>
      <c r="G149" s="1" t="inlineStr">
        <is>
          <t>CYNTHIA</t>
        </is>
      </c>
      <c r="H149" s="1" t="inlineStr">
        <is>
          <t>CYNTHIA 07/01/2026</t>
        </is>
      </c>
      <c r="I149" s="4" t="n">
        <v>3</v>
      </c>
      <c r="J149" s="6" t="n">
        <v>49</v>
      </c>
      <c r="K149" s="6" t="n">
        <v>1302.783956</v>
      </c>
      <c r="L149" s="6">
        <f>I149*K149</f>
        <v/>
      </c>
      <c r="M149" s="6">
        <f>K149*4</f>
        <v/>
      </c>
      <c r="N149" s="6" t="n">
        <v>4700</v>
      </c>
    </row>
    <row r="150">
      <c r="A150" s="1" t="inlineStr">
        <is>
          <t>13863311065325</t>
        </is>
      </c>
      <c r="B150" s="1" t="inlineStr">
        <is>
          <t>BOLSO CD MESSENGER SADDLE BLACK</t>
        </is>
      </c>
      <c r="C150" s="1" t="inlineStr">
        <is>
          <t>Default Title</t>
        </is>
      </c>
      <c r="D150" s="1" t="inlineStr">
        <is>
          <t>19/03/2026</t>
        </is>
      </c>
      <c r="E150" s="1" t="n">
        <v>2026</v>
      </c>
      <c r="F150" s="1" t="inlineStr">
        <is>
          <t>MARZO</t>
        </is>
      </c>
      <c r="G150" s="1" t="inlineStr">
        <is>
          <t>CYNTHIA</t>
        </is>
      </c>
      <c r="H150" s="1" t="inlineStr">
        <is>
          <t>CYNTHIA 19/03/2026</t>
        </is>
      </c>
      <c r="I150" s="4" t="n">
        <v>2</v>
      </c>
      <c r="J150" s="6" t="n">
        <v>49</v>
      </c>
      <c r="K150" s="6" t="n">
        <v>1316.013374</v>
      </c>
      <c r="L150" s="6">
        <f>I150*K150</f>
        <v/>
      </c>
      <c r="M150" s="6">
        <f>K150*4</f>
        <v/>
      </c>
      <c r="N150" s="6" t="n">
        <v>4700</v>
      </c>
    </row>
    <row r="151">
      <c r="A151" s="1" t="inlineStr">
        <is>
          <t>14156151055725</t>
        </is>
      </c>
      <c r="B151" s="1" t="inlineStr">
        <is>
          <t>RELOJ PANTHERE SILVER</t>
        </is>
      </c>
      <c r="C151" s="1" t="inlineStr">
        <is>
          <t>RELOJ SIN CAJA</t>
        </is>
      </c>
      <c r="D151" s="1" t="inlineStr">
        <is>
          <t>25/10/2025</t>
        </is>
      </c>
      <c r="E151" s="1" t="n">
        <v>2025</v>
      </c>
      <c r="F151" s="1" t="inlineStr">
        <is>
          <t>OCTUBRE</t>
        </is>
      </c>
      <c r="G151" s="1" t="inlineStr">
        <is>
          <t>ZOEY</t>
        </is>
      </c>
      <c r="H151" s="1" t="inlineStr">
        <is>
          <t>ZOEY 25/10/2025</t>
        </is>
      </c>
      <c r="I151" s="4" t="n">
        <v>2</v>
      </c>
      <c r="J151" s="6" t="n">
        <v>58</v>
      </c>
      <c r="K151" s="6" t="n">
        <v>1438.40634</v>
      </c>
      <c r="L151" s="6">
        <f>I151*K151</f>
        <v/>
      </c>
      <c r="M151" s="6">
        <f>K151*4</f>
        <v/>
      </c>
      <c r="N151" s="6" t="n">
        <v>4829</v>
      </c>
    </row>
    <row r="152">
      <c r="A152" s="1" t="inlineStr">
        <is>
          <t>14156151055725</t>
        </is>
      </c>
      <c r="B152" s="1" t="inlineStr">
        <is>
          <t>RELOJ PANTHERE SILVER</t>
        </is>
      </c>
      <c r="C152" s="1" t="inlineStr">
        <is>
          <t>RELOJ SIN CAJA</t>
        </is>
      </c>
      <c r="D152" s="1" t="inlineStr">
        <is>
          <t>20/01/2026</t>
        </is>
      </c>
      <c r="E152" s="1" t="n">
        <v>2026</v>
      </c>
      <c r="F152" s="1" t="inlineStr">
        <is>
          <t>ENERO</t>
        </is>
      </c>
      <c r="G152" s="1" t="inlineStr">
        <is>
          <t>ZOEY</t>
        </is>
      </c>
      <c r="H152" s="1" t="inlineStr">
        <is>
          <t>ZOEY 20/01/2026</t>
        </is>
      </c>
      <c r="I152" s="4" t="n">
        <v>2</v>
      </c>
      <c r="J152" s="6" t="n">
        <v>58</v>
      </c>
      <c r="K152" s="6" t="n">
        <v>1509.832763</v>
      </c>
      <c r="L152" s="6">
        <f>I152*K152</f>
        <v/>
      </c>
      <c r="M152" s="6">
        <f>K152*4</f>
        <v/>
      </c>
      <c r="N152" s="6" t="n">
        <v>4829</v>
      </c>
    </row>
    <row r="153">
      <c r="A153" s="1" t="inlineStr">
        <is>
          <t>14247351086093</t>
        </is>
      </c>
      <c r="B153" s="1" t="inlineStr">
        <is>
          <t>ARETES F O'LOCK SILVER</t>
        </is>
      </c>
      <c r="C153" s="1" t="inlineStr">
        <is>
          <t>Default Title</t>
        </is>
      </c>
      <c r="D153" s="1" t="inlineStr">
        <is>
          <t>22/10/2025</t>
        </is>
      </c>
      <c r="E153" s="1" t="n">
        <v>2025</v>
      </c>
      <c r="F153" s="1" t="inlineStr">
        <is>
          <t>OCTUBRE</t>
        </is>
      </c>
      <c r="G153" s="1" t="inlineStr">
        <is>
          <t>HAIFENG</t>
        </is>
      </c>
      <c r="H153" s="1" t="inlineStr">
        <is>
          <t>HAIFENG 22/10/2025</t>
        </is>
      </c>
      <c r="I153" s="4" t="n">
        <v>2</v>
      </c>
      <c r="J153" s="6" t="n">
        <v>8</v>
      </c>
      <c r="K153" s="6" t="n">
        <v>169.0260961</v>
      </c>
      <c r="L153" s="6">
        <f>I153*K153</f>
        <v/>
      </c>
      <c r="M153" s="6">
        <f>K153*4</f>
        <v/>
      </c>
      <c r="N153" s="6" t="n">
        <v>670</v>
      </c>
    </row>
    <row r="154">
      <c r="A154" s="1" t="inlineStr">
        <is>
          <t>14247351086093</t>
        </is>
      </c>
      <c r="B154" s="1" t="inlineStr">
        <is>
          <t>ARETES F O'LOCK SILVER</t>
        </is>
      </c>
      <c r="C154" s="1" t="inlineStr">
        <is>
          <t>Default Title</t>
        </is>
      </c>
      <c r="D154" s="1" t="inlineStr">
        <is>
          <t>20/01/2026</t>
        </is>
      </c>
      <c r="E154" s="1" t="n">
        <v>2026</v>
      </c>
      <c r="F154" s="1" t="inlineStr">
        <is>
          <t>ENERO</t>
        </is>
      </c>
      <c r="G154" s="1" t="inlineStr">
        <is>
          <t>HAIFENG</t>
        </is>
      </c>
      <c r="H154" s="1" t="inlineStr">
        <is>
          <t>HAIFENG 20/01/2026</t>
        </is>
      </c>
      <c r="I154" s="4" t="n">
        <v>2</v>
      </c>
      <c r="J154" s="6" t="n">
        <v>8</v>
      </c>
      <c r="K154" s="6" t="n">
        <v>169.6033423</v>
      </c>
      <c r="L154" s="6">
        <f>I154*K154</f>
        <v/>
      </c>
      <c r="M154" s="6">
        <f>K154*4</f>
        <v/>
      </c>
      <c r="N154" s="6" t="n">
        <v>670</v>
      </c>
    </row>
    <row r="155">
      <c r="A155" s="1" t="inlineStr">
        <is>
          <t>14247351086093</t>
        </is>
      </c>
      <c r="B155" s="1" t="inlineStr">
        <is>
          <t>ARETES F O'LOCK SILVER</t>
        </is>
      </c>
      <c r="C155" s="1" t="inlineStr">
        <is>
          <t>Default Title</t>
        </is>
      </c>
      <c r="D155" s="1" t="inlineStr">
        <is>
          <t>10/02/2026</t>
        </is>
      </c>
      <c r="E155" s="1" t="n">
        <v>2026</v>
      </c>
      <c r="F155" s="1" t="inlineStr">
        <is>
          <t>FEBRERO</t>
        </is>
      </c>
      <c r="G155" s="1" t="inlineStr">
        <is>
          <t>HAIFENG</t>
        </is>
      </c>
      <c r="H155" s="1" t="inlineStr">
        <is>
          <t>HAIFENG 10/02/2026</t>
        </is>
      </c>
      <c r="I155" s="4" t="n">
        <v>1</v>
      </c>
      <c r="J155" s="6" t="n">
        <v>8</v>
      </c>
      <c r="K155" s="6" t="n">
        <v>168.5479685</v>
      </c>
      <c r="L155" s="6">
        <f>I155*K155</f>
        <v/>
      </c>
      <c r="M155" s="6">
        <f>K155*4</f>
        <v/>
      </c>
      <c r="N155" s="6" t="n">
        <v>670</v>
      </c>
    </row>
    <row r="156">
      <c r="A156" s="1" t="inlineStr">
        <is>
          <t>14247351086093</t>
        </is>
      </c>
      <c r="B156" s="1" t="inlineStr">
        <is>
          <t>ARETES F O'LOCK SILVER</t>
        </is>
      </c>
      <c r="C156" s="1" t="inlineStr">
        <is>
          <t>Default Title</t>
        </is>
      </c>
      <c r="D156" s="1" t="inlineStr">
        <is>
          <t>16/04/2026</t>
        </is>
      </c>
      <c r="E156" s="1" t="n">
        <v>2026</v>
      </c>
      <c r="F156" s="1" t="inlineStr">
        <is>
          <t>ABRIL</t>
        </is>
      </c>
      <c r="G156" s="1" t="inlineStr">
        <is>
          <t>HAIFENG</t>
        </is>
      </c>
      <c r="H156" s="1" t="inlineStr">
        <is>
          <t>HAIFENG 16/04/2026</t>
        </is>
      </c>
      <c r="I156" s="4" t="n">
        <v>1</v>
      </c>
      <c r="J156" s="6" t="n">
        <v>75</v>
      </c>
      <c r="K156" s="6" t="n">
        <v>1577.360519</v>
      </c>
      <c r="L156" s="6">
        <f>I156*K156</f>
        <v/>
      </c>
      <c r="M156" s="6">
        <f>K156*4</f>
        <v/>
      </c>
      <c r="N156" s="6" t="n">
        <v>670</v>
      </c>
    </row>
    <row r="157">
      <c r="A157" s="1" t="inlineStr">
        <is>
          <t>14247351086093</t>
        </is>
      </c>
      <c r="B157" s="1" t="inlineStr">
        <is>
          <t>ARETES F O'LOCK SILVER</t>
        </is>
      </c>
      <c r="C157" s="1" t="inlineStr">
        <is>
          <t>Default Title</t>
        </is>
      </c>
      <c r="D157" s="1" t="inlineStr">
        <is>
          <t>16/06/2026</t>
        </is>
      </c>
      <c r="E157" s="1" t="n">
        <v>2026</v>
      </c>
      <c r="F157" s="1" t="inlineStr">
        <is>
          <t>JUNIO</t>
        </is>
      </c>
      <c r="G157" s="1" t="inlineStr">
        <is>
          <t>HAIFENG</t>
        </is>
      </c>
      <c r="H157" s="1" t="inlineStr">
        <is>
          <t>HAIFENG 16/06/2026</t>
        </is>
      </c>
      <c r="I157" s="4" t="n">
        <v>2</v>
      </c>
      <c r="J157" s="6" t="n">
        <v>8</v>
      </c>
      <c r="K157" s="6" t="n">
        <v>168.1168517</v>
      </c>
      <c r="L157" s="6">
        <f>I157*K157</f>
        <v/>
      </c>
      <c r="M157" s="6">
        <f>K157*4</f>
        <v/>
      </c>
      <c r="N157" s="6" t="n">
        <v>670</v>
      </c>
    </row>
    <row r="158">
      <c r="A158" s="1" t="inlineStr">
        <is>
          <t>14361211269805</t>
        </is>
      </c>
      <c r="B158" s="1" t="inlineStr">
        <is>
          <t>BRAZALETE BV SILVER WHITE</t>
        </is>
      </c>
      <c r="C158" s="1" t="n">
        <v>17</v>
      </c>
      <c r="D158" s="1" t="inlineStr">
        <is>
          <t>25/09/2025</t>
        </is>
      </c>
      <c r="E158" s="1" t="n">
        <v>2025</v>
      </c>
      <c r="F158" s="1" t="inlineStr">
        <is>
          <t>SEPTIEMBRE</t>
        </is>
      </c>
      <c r="G158" s="1" t="inlineStr">
        <is>
          <t>HAIFENG</t>
        </is>
      </c>
      <c r="H158" s="1" t="inlineStr">
        <is>
          <t>HAIFENG 25/09/2025</t>
        </is>
      </c>
      <c r="I158" s="4" t="n">
        <v>2</v>
      </c>
      <c r="J158" s="6" t="n">
        <v>10</v>
      </c>
      <c r="K158" s="6" t="n">
        <v>210.9688577</v>
      </c>
      <c r="L158" s="6">
        <f>I158*K158</f>
        <v/>
      </c>
      <c r="M158" s="6">
        <f>K158*4</f>
        <v/>
      </c>
      <c r="N158" s="6" t="n">
        <v>850</v>
      </c>
    </row>
    <row r="159">
      <c r="A159" s="1" t="inlineStr">
        <is>
          <t>14361211269805</t>
        </is>
      </c>
      <c r="B159" s="1" t="inlineStr">
        <is>
          <t>BRAZALETE BV SILVER WHITE</t>
        </is>
      </c>
      <c r="C159" s="1" t="inlineStr">
        <is>
          <t>17</t>
        </is>
      </c>
      <c r="D159" s="1" t="inlineStr">
        <is>
          <t>16/04/2026</t>
        </is>
      </c>
      <c r="E159" s="1" t="n">
        <v>2026</v>
      </c>
      <c r="F159" s="1" t="inlineStr">
        <is>
          <t>ABRIL</t>
        </is>
      </c>
      <c r="G159" s="1" t="inlineStr">
        <is>
          <t>HAIFENG</t>
        </is>
      </c>
      <c r="H159" s="1" t="inlineStr">
        <is>
          <t>HAIFENG 16/04/2026</t>
        </is>
      </c>
      <c r="I159" s="4" t="n">
        <v>1</v>
      </c>
      <c r="J159" s="6" t="n">
        <v>10</v>
      </c>
      <c r="K159" s="6" t="n">
        <v>210.3147359</v>
      </c>
      <c r="L159" s="6">
        <f>I159*K159</f>
        <v/>
      </c>
      <c r="M159" s="6">
        <f>K159*4</f>
        <v/>
      </c>
      <c r="N159" s="6" t="n">
        <v>850</v>
      </c>
    </row>
    <row r="160">
      <c r="A160" s="1" t="inlineStr">
        <is>
          <t>14361211408813</t>
        </is>
      </c>
      <c r="B160" s="1" t="inlineStr">
        <is>
          <t>BRAZALETE BV ROSEGOLD WHITE</t>
        </is>
      </c>
      <c r="C160" s="1" t="n">
        <v>17</v>
      </c>
      <c r="D160" s="1" t="inlineStr">
        <is>
          <t>25/09/2025</t>
        </is>
      </c>
      <c r="E160" s="1" t="n">
        <v>2025</v>
      </c>
      <c r="F160" s="1" t="inlineStr">
        <is>
          <t>SEPTIEMBRE</t>
        </is>
      </c>
      <c r="G160" s="1" t="inlineStr">
        <is>
          <t>HAIFENG</t>
        </is>
      </c>
      <c r="H160" s="1" t="inlineStr">
        <is>
          <t>HAIFENG 25/09/2025</t>
        </is>
      </c>
      <c r="I160" s="4" t="n">
        <v>2</v>
      </c>
      <c r="J160" s="6" t="n">
        <v>10</v>
      </c>
      <c r="K160" s="6" t="n">
        <v>210.9688577</v>
      </c>
      <c r="L160" s="6">
        <f>I160*K160</f>
        <v/>
      </c>
      <c r="M160" s="6">
        <f>K160*4</f>
        <v/>
      </c>
      <c r="N160" s="6" t="n">
        <v>850</v>
      </c>
    </row>
    <row r="161">
      <c r="A161" s="1" t="inlineStr">
        <is>
          <t>14361211408813</t>
        </is>
      </c>
      <c r="B161" s="1" t="inlineStr">
        <is>
          <t>BRAZALETE BV ROSEGOLD WHITE</t>
        </is>
      </c>
      <c r="C161" s="1" t="inlineStr">
        <is>
          <t>17</t>
        </is>
      </c>
      <c r="D161" s="1" t="inlineStr">
        <is>
          <t>16/04/2026</t>
        </is>
      </c>
      <c r="E161" s="1" t="n">
        <v>2026</v>
      </c>
      <c r="F161" s="1" t="inlineStr">
        <is>
          <t>ABRIL</t>
        </is>
      </c>
      <c r="G161" s="1" t="inlineStr">
        <is>
          <t>HAIFENG</t>
        </is>
      </c>
      <c r="H161" s="1" t="inlineStr">
        <is>
          <t>HAIFENG 16/04/2026</t>
        </is>
      </c>
      <c r="I161" s="4" t="n">
        <v>2</v>
      </c>
      <c r="J161" s="6" t="n">
        <v>10</v>
      </c>
      <c r="K161" s="6" t="n">
        <v>210.3147359</v>
      </c>
      <c r="L161" s="6">
        <f>I161*K161</f>
        <v/>
      </c>
      <c r="M161" s="6">
        <f>K161*4</f>
        <v/>
      </c>
      <c r="N161" s="6" t="n">
        <v>850</v>
      </c>
    </row>
    <row r="162">
      <c r="A162" s="1" t="inlineStr">
        <is>
          <t>14401521021389</t>
        </is>
      </c>
      <c r="B162" s="1" t="inlineStr">
        <is>
          <t>CINTO LV REVERSIBLE HERITAGE</t>
        </is>
      </c>
      <c r="C162" s="1" t="inlineStr">
        <is>
          <t>Default Title</t>
        </is>
      </c>
      <c r="D162" s="1" t="inlineStr">
        <is>
          <t>18/02/2026</t>
        </is>
      </c>
      <c r="E162" s="1" t="n">
        <v>2026</v>
      </c>
      <c r="F162" s="1" t="inlineStr">
        <is>
          <t>FEBRERO</t>
        </is>
      </c>
      <c r="G162" s="1" t="inlineStr">
        <is>
          <t>CYNTHIA</t>
        </is>
      </c>
      <c r="H162" s="1" t="inlineStr">
        <is>
          <t>CYNTHIA 18/02/2026</t>
        </is>
      </c>
      <c r="I162" s="4" t="n">
        <v>2</v>
      </c>
      <c r="J162" s="6" t="n">
        <v>8.800000000000001</v>
      </c>
      <c r="K162" s="6" t="n">
        <v>237.9816137</v>
      </c>
      <c r="L162" s="6">
        <f>I162*K162</f>
        <v/>
      </c>
      <c r="M162" s="6">
        <f>K162*4</f>
        <v/>
      </c>
      <c r="N162" s="6" t="n">
        <v>1199</v>
      </c>
    </row>
    <row r="163">
      <c r="A163" s="1" t="inlineStr">
        <is>
          <t>14401521021389</t>
        </is>
      </c>
      <c r="B163" s="1" t="inlineStr">
        <is>
          <t>CINTO LV REVERSIBLE HERITAGE</t>
        </is>
      </c>
      <c r="C163" s="1" t="inlineStr">
        <is>
          <t>Default Title</t>
        </is>
      </c>
      <c r="D163" s="1" t="inlineStr">
        <is>
          <t>27/04/2026</t>
        </is>
      </c>
      <c r="E163" s="1" t="n">
        <v>2026</v>
      </c>
      <c r="F163" s="1" t="inlineStr">
        <is>
          <t>ABRIL</t>
        </is>
      </c>
      <c r="G163" s="1" t="inlineStr">
        <is>
          <t>CYNTHIA</t>
        </is>
      </c>
      <c r="H163" s="1" t="inlineStr">
        <is>
          <t>CYNTHIA 27/04/2026</t>
        </is>
      </c>
      <c r="I163" s="4" t="n">
        <v>4</v>
      </c>
      <c r="J163" s="6" t="n">
        <v>8.800000000000001</v>
      </c>
      <c r="K163" s="6" t="n">
        <v>228.360815</v>
      </c>
      <c r="L163" s="6">
        <f>I163*K163</f>
        <v/>
      </c>
      <c r="M163" s="6">
        <f>K163*4</f>
        <v/>
      </c>
      <c r="N163" s="6" t="n">
        <v>1199</v>
      </c>
    </row>
    <row r="164">
      <c r="A164" s="1" t="inlineStr">
        <is>
          <t>14401521186925</t>
        </is>
      </c>
      <c r="B164" s="1" t="inlineStr">
        <is>
          <t>CARTERA LV STREAMER MOCASIN</t>
        </is>
      </c>
      <c r="C164" s="1" t="inlineStr">
        <is>
          <t>Default Title</t>
        </is>
      </c>
      <c r="D164" s="1" t="inlineStr">
        <is>
          <t>18/02/2026</t>
        </is>
      </c>
      <c r="E164" s="1" t="n">
        <v>2026</v>
      </c>
      <c r="F164" s="1" t="inlineStr">
        <is>
          <t>FEBRERO</t>
        </is>
      </c>
      <c r="G164" s="1" t="inlineStr">
        <is>
          <t>CYNTHIA</t>
        </is>
      </c>
      <c r="H164" s="1" t="inlineStr">
        <is>
          <t>CYNTHIA 18/02/2026</t>
        </is>
      </c>
      <c r="I164" s="4" t="n">
        <v>1</v>
      </c>
      <c r="J164" s="6" t="n">
        <v>39</v>
      </c>
      <c r="K164" s="6" t="n">
        <v>1054.691243</v>
      </c>
      <c r="L164" s="6">
        <f>I164*K164</f>
        <v/>
      </c>
      <c r="M164" s="6">
        <f>K164*4</f>
        <v/>
      </c>
      <c r="N164" s="6" t="n">
        <v>4199</v>
      </c>
    </row>
    <row r="165">
      <c r="A165" s="1" t="inlineStr">
        <is>
          <t>14401521186925</t>
        </is>
      </c>
      <c r="B165" s="1" t="inlineStr">
        <is>
          <t>CARTERA LV STREAMER MOCASIN</t>
        </is>
      </c>
      <c r="C165" s="1" t="inlineStr">
        <is>
          <t>Default Title</t>
        </is>
      </c>
      <c r="D165" s="1" t="inlineStr">
        <is>
          <t>31/05/2026</t>
        </is>
      </c>
      <c r="E165" s="1" t="n">
        <v>2026</v>
      </c>
      <c r="F165" s="1" t="inlineStr">
        <is>
          <t>MAYO</t>
        </is>
      </c>
      <c r="G165" s="1" t="inlineStr">
        <is>
          <t>CYNTHIA</t>
        </is>
      </c>
      <c r="H165" s="1" t="inlineStr">
        <is>
          <t>CYNTHIA 31/05/2026</t>
        </is>
      </c>
      <c r="I165" s="4" t="n">
        <v>3</v>
      </c>
      <c r="J165" s="6" t="n">
        <v>39</v>
      </c>
      <c r="K165" s="6" t="n">
        <v>1033.540754</v>
      </c>
      <c r="L165" s="6">
        <f>I165*K165</f>
        <v/>
      </c>
      <c r="M165" s="6">
        <f>K165*4</f>
        <v/>
      </c>
      <c r="N165" s="6" t="n">
        <v>3699</v>
      </c>
    </row>
    <row r="166">
      <c r="A166" s="1" t="inlineStr">
        <is>
          <t>14401521219693</t>
        </is>
      </c>
      <c r="B166" s="1" t="inlineStr">
        <is>
          <t>LENTES C SANTOS</t>
        </is>
      </c>
      <c r="C166" s="1" t="inlineStr">
        <is>
          <t>Default Title</t>
        </is>
      </c>
      <c r="D166" s="1" t="inlineStr">
        <is>
          <t>18/02/2026</t>
        </is>
      </c>
      <c r="E166" s="1" t="n">
        <v>2026</v>
      </c>
      <c r="F166" s="1" t="inlineStr">
        <is>
          <t>FEBRERO</t>
        </is>
      </c>
      <c r="G166" s="1" t="inlineStr">
        <is>
          <t>CYNTHIA</t>
        </is>
      </c>
      <c r="H166" s="1" t="inlineStr">
        <is>
          <t>CYNTHIA 18/02/2026</t>
        </is>
      </c>
      <c r="I166" s="4" t="n">
        <v>2</v>
      </c>
      <c r="J166" s="6" t="n">
        <v>32.5</v>
      </c>
      <c r="K166" s="6" t="n">
        <v>878.909369</v>
      </c>
      <c r="L166" s="6">
        <f>I166*K166</f>
        <v/>
      </c>
      <c r="M166" s="6">
        <f>K166*4</f>
        <v/>
      </c>
      <c r="N166" s="6" t="n">
        <v>3079</v>
      </c>
    </row>
    <row r="167">
      <c r="A167" s="1" t="inlineStr">
        <is>
          <t>14401521352461</t>
        </is>
      </c>
      <c r="B167" s="1" t="inlineStr">
        <is>
          <t>LENTES C TRIOMPHE GOLD CAT</t>
        </is>
      </c>
      <c r="C167" s="1" t="inlineStr">
        <is>
          <t>Default Title</t>
        </is>
      </c>
      <c r="D167" s="1" t="inlineStr">
        <is>
          <t>18/02/2026</t>
        </is>
      </c>
      <c r="E167" s="1" t="n">
        <v>2026</v>
      </c>
      <c r="F167" s="1" t="inlineStr">
        <is>
          <t>FEBRERO</t>
        </is>
      </c>
      <c r="G167" s="1" t="inlineStr">
        <is>
          <t>CYNTHIA</t>
        </is>
      </c>
      <c r="H167" s="1" t="inlineStr">
        <is>
          <t>CYNTHIA 18/02/2026</t>
        </is>
      </c>
      <c r="I167" s="4" t="n">
        <v>2</v>
      </c>
      <c r="J167" s="6" t="n">
        <v>29.5</v>
      </c>
      <c r="K167" s="6" t="n">
        <v>797.7792734</v>
      </c>
      <c r="L167" s="6">
        <f>I167*K167</f>
        <v/>
      </c>
      <c r="M167" s="6">
        <f>K167*4</f>
        <v/>
      </c>
      <c r="N167" s="6" t="n">
        <v>2799</v>
      </c>
    </row>
    <row r="168">
      <c r="A168" s="1" t="inlineStr">
        <is>
          <t>14401521483533</t>
        </is>
      </c>
      <c r="B168" s="1" t="inlineStr">
        <is>
          <t>CINTO C TRIOMPHE LOGOS</t>
        </is>
      </c>
      <c r="C168" s="1" t="inlineStr">
        <is>
          <t>Default Title</t>
        </is>
      </c>
      <c r="D168" s="1" t="inlineStr">
        <is>
          <t>18/02/2026</t>
        </is>
      </c>
      <c r="E168" s="1" t="n">
        <v>2026</v>
      </c>
      <c r="F168" s="1" t="inlineStr">
        <is>
          <t>FEBRERO</t>
        </is>
      </c>
      <c r="G168" s="1" t="inlineStr">
        <is>
          <t>CYNTHIA</t>
        </is>
      </c>
      <c r="H168" s="1" t="inlineStr">
        <is>
          <t>CYNTHIA 18/02/2026</t>
        </is>
      </c>
      <c r="I168" s="4" t="n">
        <v>2</v>
      </c>
      <c r="J168" s="6" t="n">
        <v>8.800000000000001</v>
      </c>
      <c r="K168" s="6" t="n">
        <v>237.9816137</v>
      </c>
      <c r="L168" s="6">
        <f>I168*K168</f>
        <v/>
      </c>
      <c r="M168" s="6">
        <f>K168*4</f>
        <v/>
      </c>
      <c r="N168" s="6" t="n">
        <v>915</v>
      </c>
    </row>
    <row r="169">
      <c r="A169" s="1" t="inlineStr">
        <is>
          <t>14401521483533</t>
        </is>
      </c>
      <c r="B169" s="1" t="inlineStr">
        <is>
          <t>CINTO C TRIOMPHE LOGOS</t>
        </is>
      </c>
      <c r="C169" s="1" t="inlineStr">
        <is>
          <t>Default Title</t>
        </is>
      </c>
      <c r="D169" s="1" t="inlineStr">
        <is>
          <t>27/04/2026</t>
        </is>
      </c>
      <c r="E169" s="1" t="n">
        <v>2026</v>
      </c>
      <c r="F169" s="1" t="inlineStr">
        <is>
          <t>ABRIL</t>
        </is>
      </c>
      <c r="G169" s="1" t="inlineStr">
        <is>
          <t>CYNTHIA</t>
        </is>
      </c>
      <c r="H169" s="1" t="inlineStr">
        <is>
          <t>CYNTHIA 27/04/2026</t>
        </is>
      </c>
      <c r="I169" s="4" t="n">
        <v>5</v>
      </c>
      <c r="J169" s="6" t="n">
        <v>8.800000000000001</v>
      </c>
      <c r="K169" s="6" t="n">
        <v>228.360815</v>
      </c>
      <c r="L169" s="6">
        <f>I169*K169</f>
        <v/>
      </c>
      <c r="M169" s="6">
        <f>K169*4</f>
        <v/>
      </c>
      <c r="N169" s="6" t="n">
        <v>915</v>
      </c>
    </row>
    <row r="170">
      <c r="A170" s="1" t="inlineStr">
        <is>
          <t>14401521547373</t>
        </is>
      </c>
      <c r="B170" s="1" t="inlineStr">
        <is>
          <t>BOLSO C CABAS PANIER BLACK</t>
        </is>
      </c>
      <c r="C170" s="1" t="inlineStr">
        <is>
          <t>Default Title</t>
        </is>
      </c>
      <c r="D170" s="1" t="inlineStr">
        <is>
          <t>18/02/2026</t>
        </is>
      </c>
      <c r="E170" s="1" t="n">
        <v>2026</v>
      </c>
      <c r="F170" s="1" t="inlineStr">
        <is>
          <t>FEBRERO</t>
        </is>
      </c>
      <c r="G170" s="1" t="inlineStr">
        <is>
          <t>CYNTHIA</t>
        </is>
      </c>
      <c r="H170" s="1" t="inlineStr">
        <is>
          <t>CYNTHIA 18/02/2026</t>
        </is>
      </c>
      <c r="I170" s="4" t="n">
        <v>2</v>
      </c>
      <c r="J170" s="6" t="n">
        <v>43</v>
      </c>
      <c r="K170" s="6" t="n">
        <v>1162.864704</v>
      </c>
      <c r="L170" s="6">
        <f>I170*K170</f>
        <v/>
      </c>
      <c r="M170" s="6">
        <f>K170*4</f>
        <v/>
      </c>
      <c r="N170" s="6" t="n">
        <v>4469</v>
      </c>
    </row>
    <row r="171">
      <c r="A171" s="1" t="inlineStr">
        <is>
          <t>14401521547373</t>
        </is>
      </c>
      <c r="B171" s="1" t="inlineStr">
        <is>
          <t>BOLSO C CABAS PANIER BLACK16cm</t>
        </is>
      </c>
      <c r="C171" s="1" t="inlineStr">
        <is>
          <t>Default Title</t>
        </is>
      </c>
      <c r="D171" s="1" t="inlineStr">
        <is>
          <t>27/04/2026</t>
        </is>
      </c>
      <c r="E171" s="1" t="n">
        <v>2026</v>
      </c>
      <c r="F171" s="1" t="inlineStr">
        <is>
          <t>ABRIL</t>
        </is>
      </c>
      <c r="G171" s="1" t="inlineStr">
        <is>
          <t>CYNTHIA</t>
        </is>
      </c>
      <c r="H171" s="1" t="inlineStr">
        <is>
          <t>CYNTHIA 27/04/2026</t>
        </is>
      </c>
      <c r="I171" s="4" t="n">
        <v>5</v>
      </c>
      <c r="J171" s="6" t="n">
        <v>43</v>
      </c>
      <c r="K171" s="6" t="n">
        <v>1115.853983</v>
      </c>
      <c r="L171" s="6">
        <f>I171*K171</f>
        <v/>
      </c>
      <c r="M171" s="6">
        <f>K171*4</f>
        <v/>
      </c>
      <c r="N171" s="6" t="n">
        <v>4469</v>
      </c>
    </row>
    <row r="172">
      <c r="A172" s="1" t="inlineStr">
        <is>
          <t>14401521612909</t>
        </is>
      </c>
      <c r="B172" s="1" t="inlineStr">
        <is>
          <t>BOLSO C PANIER HOBO</t>
        </is>
      </c>
      <c r="C172" s="1" t="inlineStr">
        <is>
          <t>Default Title</t>
        </is>
      </c>
      <c r="D172" s="1" t="inlineStr">
        <is>
          <t>18/02/2026</t>
        </is>
      </c>
      <c r="E172" s="1" t="n">
        <v>2026</v>
      </c>
      <c r="F172" s="1" t="inlineStr">
        <is>
          <t>FEBRERO</t>
        </is>
      </c>
      <c r="G172" s="1" t="inlineStr">
        <is>
          <t>CYNTHIA</t>
        </is>
      </c>
      <c r="H172" s="1" t="inlineStr">
        <is>
          <t>CYNTHIA 18/02/2026</t>
        </is>
      </c>
      <c r="I172" s="4" t="n">
        <v>1</v>
      </c>
      <c r="J172" s="6" t="n">
        <v>42</v>
      </c>
      <c r="K172" s="6" t="n">
        <v>1135.821338</v>
      </c>
      <c r="L172" s="6">
        <f>I172*K172</f>
        <v/>
      </c>
      <c r="M172" s="6">
        <f>K172*4</f>
        <v/>
      </c>
      <c r="N172" s="6" t="n">
        <v>4459</v>
      </c>
    </row>
    <row r="173">
      <c r="A173" s="1" t="inlineStr">
        <is>
          <t>14401521612909</t>
        </is>
      </c>
      <c r="B173" s="1" t="inlineStr">
        <is>
          <t>BOLSO C PANIER HOBO</t>
        </is>
      </c>
      <c r="C173" s="1" t="inlineStr">
        <is>
          <t>Default Title</t>
        </is>
      </c>
      <c r="D173" s="1" t="inlineStr">
        <is>
          <t>31/05/2026</t>
        </is>
      </c>
      <c r="E173" s="1" t="n">
        <v>2026</v>
      </c>
      <c r="F173" s="1" t="inlineStr">
        <is>
          <t>MAYO</t>
        </is>
      </c>
      <c r="G173" s="1" t="inlineStr">
        <is>
          <t>CYNTHIA</t>
        </is>
      </c>
      <c r="H173" s="1" t="inlineStr">
        <is>
          <t>CYNTHIA 31/05/2026</t>
        </is>
      </c>
      <c r="I173" s="4" t="n">
        <v>3</v>
      </c>
      <c r="J173" s="6" t="n">
        <v>42</v>
      </c>
      <c r="K173" s="6" t="n">
        <v>1113.043889</v>
      </c>
      <c r="L173" s="6">
        <f>I173*K173</f>
        <v/>
      </c>
      <c r="M173" s="6">
        <f>K173*4</f>
        <v/>
      </c>
      <c r="N173" s="6" t="n">
        <v>4459</v>
      </c>
    </row>
    <row r="174">
      <c r="A174" s="1" t="inlineStr">
        <is>
          <t>14401521745677</t>
        </is>
      </c>
      <c r="B174" s="1" t="inlineStr">
        <is>
          <t>BOLSO C CABAS PANIER BROWN</t>
        </is>
      </c>
      <c r="C174" s="1" t="inlineStr">
        <is>
          <t>Default Title</t>
        </is>
      </c>
      <c r="D174" s="1" t="inlineStr">
        <is>
          <t>18/02/2026</t>
        </is>
      </c>
      <c r="E174" s="1" t="n">
        <v>2026</v>
      </c>
      <c r="F174" s="1" t="inlineStr">
        <is>
          <t>FEBRERO</t>
        </is>
      </c>
      <c r="G174" s="1" t="inlineStr">
        <is>
          <t>CYNTHIA</t>
        </is>
      </c>
      <c r="H174" s="1" t="inlineStr">
        <is>
          <t>CYNTHIA 18/02/2026</t>
        </is>
      </c>
      <c r="I174" s="4" t="n">
        <v>1</v>
      </c>
      <c r="J174" s="6" t="n">
        <v>43</v>
      </c>
      <c r="K174" s="6" t="n">
        <v>1162.864704</v>
      </c>
      <c r="L174" s="6">
        <f>I174*K174</f>
        <v/>
      </c>
      <c r="M174" s="6">
        <f>K174*4</f>
        <v/>
      </c>
      <c r="N174" s="6" t="n">
        <v>4469</v>
      </c>
    </row>
    <row r="175">
      <c r="A175" s="1" t="inlineStr">
        <is>
          <t>14401521745677</t>
        </is>
      </c>
      <c r="B175" s="1" t="inlineStr">
        <is>
          <t>BOLSO C CABAS PANIER BROWN</t>
        </is>
      </c>
      <c r="C175" s="1" t="inlineStr">
        <is>
          <t>Default Title</t>
        </is>
      </c>
      <c r="D175" s="1" t="inlineStr">
        <is>
          <t>27/04/2026</t>
        </is>
      </c>
      <c r="E175" s="1" t="n">
        <v>2026</v>
      </c>
      <c r="F175" s="1" t="inlineStr">
        <is>
          <t>ABRIL</t>
        </is>
      </c>
      <c r="G175" s="1" t="inlineStr">
        <is>
          <t>CYNTHIA</t>
        </is>
      </c>
      <c r="H175" s="1" t="inlineStr">
        <is>
          <t>CYNTHIA 27/04/2026</t>
        </is>
      </c>
      <c r="I175" s="4" t="n">
        <v>5</v>
      </c>
      <c r="J175" s="6" t="n">
        <v>43</v>
      </c>
      <c r="K175" s="6" t="n">
        <v>1115.853983</v>
      </c>
      <c r="L175" s="6">
        <f>I175*K175</f>
        <v/>
      </c>
      <c r="M175" s="6">
        <f>K175*4</f>
        <v/>
      </c>
      <c r="N175" s="6" t="n">
        <v>4469</v>
      </c>
    </row>
    <row r="176">
      <c r="A176" s="1" t="inlineStr">
        <is>
          <t>14401521878445</t>
        </is>
      </c>
      <c r="B176" s="1" t="inlineStr">
        <is>
          <t>BOLSO C HALFMOON BLACK</t>
        </is>
      </c>
      <c r="C176" s="1" t="inlineStr">
        <is>
          <t>Default Title</t>
        </is>
      </c>
      <c r="D176" s="1" t="inlineStr">
        <is>
          <t>18/02/2026</t>
        </is>
      </c>
      <c r="E176" s="1" t="n">
        <v>2026</v>
      </c>
      <c r="F176" s="1" t="inlineStr">
        <is>
          <t>FEBRERO</t>
        </is>
      </c>
      <c r="G176" s="1" t="inlineStr">
        <is>
          <t>CYNTHIA</t>
        </is>
      </c>
      <c r="H176" s="1" t="inlineStr">
        <is>
          <t>CYNTHIA 18/02/2026</t>
        </is>
      </c>
      <c r="I176" s="4" t="n">
        <v>1</v>
      </c>
      <c r="J176" s="6" t="n">
        <v>65</v>
      </c>
      <c r="K176" s="6" t="n">
        <v>1757.818738</v>
      </c>
      <c r="L176" s="6">
        <f>I176*K176</f>
        <v/>
      </c>
      <c r="M176" s="6">
        <f>K176*4</f>
        <v/>
      </c>
      <c r="N176" s="6" t="n">
        <v>5910</v>
      </c>
    </row>
    <row r="177">
      <c r="A177" s="1" t="inlineStr">
        <is>
          <t>14401521878445</t>
        </is>
      </c>
      <c r="B177" s="1" t="inlineStr">
        <is>
          <t>BOLSO C HALFMOON BLACK</t>
        </is>
      </c>
      <c r="C177" s="1" t="inlineStr">
        <is>
          <t>Default Title</t>
        </is>
      </c>
      <c r="D177" s="1" t="inlineStr">
        <is>
          <t>27/04/2026</t>
        </is>
      </c>
      <c r="E177" s="1" t="n">
        <v>2026</v>
      </c>
      <c r="F177" s="1" t="inlineStr">
        <is>
          <t>ABRIL</t>
        </is>
      </c>
      <c r="G177" s="1" t="inlineStr">
        <is>
          <t>CYNTHIA</t>
        </is>
      </c>
      <c r="H177" s="1" t="inlineStr">
        <is>
          <t>CYNTHIA 27/04/2026</t>
        </is>
      </c>
      <c r="I177" s="4" t="n">
        <v>2</v>
      </c>
      <c r="J177" s="6" t="n">
        <v>65</v>
      </c>
      <c r="K177" s="6" t="n">
        <v>1686.75602</v>
      </c>
      <c r="L177" s="6">
        <f>I177*K177</f>
        <v/>
      </c>
      <c r="M177" s="6">
        <f>K177*4</f>
        <v/>
      </c>
      <c r="N177" s="6" t="n">
        <v>5910</v>
      </c>
    </row>
    <row r="178">
      <c r="A178" s="1" t="inlineStr">
        <is>
          <t>14401521907821</t>
        </is>
      </c>
      <c r="B178" s="1" t="inlineStr">
        <is>
          <t>BOLSO GC SHOULDER BLACK</t>
        </is>
      </c>
      <c r="C178" s="1" t="inlineStr">
        <is>
          <t>Default Title</t>
        </is>
      </c>
      <c r="D178" s="1" t="inlineStr">
        <is>
          <t>18/02/2026</t>
        </is>
      </c>
      <c r="E178" s="1" t="n">
        <v>2026</v>
      </c>
      <c r="F178" s="1" t="inlineStr">
        <is>
          <t>FEBRERO</t>
        </is>
      </c>
      <c r="G178" s="1" t="inlineStr">
        <is>
          <t>CYNTHIA</t>
        </is>
      </c>
      <c r="H178" s="1" t="inlineStr">
        <is>
          <t>CYNTHIA 18/02/2026</t>
        </is>
      </c>
      <c r="I178" s="4" t="n">
        <v>1</v>
      </c>
      <c r="J178" s="6" t="n">
        <v>56</v>
      </c>
      <c r="K178" s="6" t="n">
        <v>1514.428451</v>
      </c>
      <c r="L178" s="6">
        <f>I178*K178</f>
        <v/>
      </c>
      <c r="M178" s="6">
        <f>K178*4</f>
        <v/>
      </c>
      <c r="N178" s="6" t="n">
        <v>5815</v>
      </c>
    </row>
    <row r="179">
      <c r="A179" s="1" t="inlineStr">
        <is>
          <t>14401521907821</t>
        </is>
      </c>
      <c r="B179" s="1" t="inlineStr">
        <is>
          <t>BOLSO GC SHOULDER BLACK</t>
        </is>
      </c>
      <c r="C179" s="1" t="inlineStr">
        <is>
          <t>Default Title</t>
        </is>
      </c>
      <c r="D179" s="1" t="inlineStr">
        <is>
          <t>27/04/2026</t>
        </is>
      </c>
      <c r="E179" s="1" t="n">
        <v>2026</v>
      </c>
      <c r="F179" s="1" t="inlineStr">
        <is>
          <t>ABRIL</t>
        </is>
      </c>
      <c r="G179" s="1" t="inlineStr">
        <is>
          <t>CYNTHIA</t>
        </is>
      </c>
      <c r="H179" s="1" t="inlineStr">
        <is>
          <t>CYNTHIA 27/04/2026</t>
        </is>
      </c>
      <c r="I179" s="4" t="n">
        <v>2</v>
      </c>
      <c r="J179" s="6" t="n">
        <v>56</v>
      </c>
      <c r="K179" s="6" t="n">
        <v>1453.205187</v>
      </c>
      <c r="L179" s="6">
        <f>I179*K179</f>
        <v/>
      </c>
      <c r="M179" s="6">
        <f>K179*4</f>
        <v/>
      </c>
      <c r="N179" s="6" t="n">
        <v>5815</v>
      </c>
    </row>
    <row r="180">
      <c r="A180" s="1" t="inlineStr">
        <is>
          <t>14401522038893</t>
        </is>
      </c>
      <c r="B180" s="1" t="inlineStr">
        <is>
          <t>BOLSO GC TOTE BEATRIX BROWN</t>
        </is>
      </c>
      <c r="C180" s="1" t="inlineStr">
        <is>
          <t>Default Title</t>
        </is>
      </c>
      <c r="D180" s="1" t="inlineStr">
        <is>
          <t>18/02/2026</t>
        </is>
      </c>
      <c r="E180" s="1" t="n">
        <v>2026</v>
      </c>
      <c r="F180" s="1" t="inlineStr">
        <is>
          <t>FEBRERO</t>
        </is>
      </c>
      <c r="G180" s="1" t="inlineStr">
        <is>
          <t>CYNTHIA</t>
        </is>
      </c>
      <c r="H180" s="1" t="inlineStr">
        <is>
          <t>CYNTHIA 18/02/2026</t>
        </is>
      </c>
      <c r="I180" s="4" t="n">
        <v>2</v>
      </c>
      <c r="J180" s="6" t="n">
        <v>53</v>
      </c>
      <c r="K180" s="6" t="n">
        <v>1433.298356</v>
      </c>
      <c r="L180" s="6">
        <f>I180*K180</f>
        <v/>
      </c>
      <c r="M180" s="6">
        <f>K180*4</f>
        <v/>
      </c>
      <c r="N180" s="6" t="n">
        <v>5505</v>
      </c>
    </row>
    <row r="181">
      <c r="A181" s="1" t="inlineStr">
        <is>
          <t>14401522038893</t>
        </is>
      </c>
      <c r="B181" s="1" t="inlineStr">
        <is>
          <t>BOLSO GC TOTE BEATRIX BROWN</t>
        </is>
      </c>
      <c r="C181" s="1" t="inlineStr">
        <is>
          <t>Default Title</t>
        </is>
      </c>
      <c r="D181" s="1" t="inlineStr">
        <is>
          <t>27/04/2026</t>
        </is>
      </c>
      <c r="E181" s="1" t="n">
        <v>2026</v>
      </c>
      <c r="F181" s="1" t="inlineStr">
        <is>
          <t>ABRIL</t>
        </is>
      </c>
      <c r="G181" s="1" t="inlineStr">
        <is>
          <t>CYNTHIA</t>
        </is>
      </c>
      <c r="H181" s="1" t="inlineStr">
        <is>
          <t>CYNTHIA 27/04/2026</t>
        </is>
      </c>
      <c r="I181" s="4" t="n">
        <v>4</v>
      </c>
      <c r="J181" s="6" t="n">
        <v>53</v>
      </c>
      <c r="K181" s="6" t="n">
        <v>1375.354909</v>
      </c>
      <c r="L181" s="6">
        <f>I181*K181</f>
        <v/>
      </c>
      <c r="M181" s="6">
        <f>K181*4</f>
        <v/>
      </c>
      <c r="N181" s="6" t="n">
        <v>5505</v>
      </c>
    </row>
    <row r="182">
      <c r="A182" s="1" t="inlineStr">
        <is>
          <t>14401522171661</t>
        </is>
      </c>
      <c r="B182" s="1" t="inlineStr">
        <is>
          <t>CARTERA GC PLEGABLE ALL BLACK</t>
        </is>
      </c>
      <c r="C182" s="1" t="inlineStr">
        <is>
          <t>Default Title</t>
        </is>
      </c>
      <c r="D182" s="1" t="inlineStr">
        <is>
          <t>18/02/2026</t>
        </is>
      </c>
      <c r="E182" s="1" t="n">
        <v>2026</v>
      </c>
      <c r="F182" s="1" t="inlineStr">
        <is>
          <t>FEBRERO</t>
        </is>
      </c>
      <c r="G182" s="1" t="inlineStr">
        <is>
          <t>CYNTHIA</t>
        </is>
      </c>
      <c r="H182" s="1" t="inlineStr">
        <is>
          <t>CYNTHIA 18/02/2026</t>
        </is>
      </c>
      <c r="I182" s="4" t="n">
        <v>2</v>
      </c>
      <c r="J182" s="6" t="n">
        <v>22</v>
      </c>
      <c r="K182" s="6" t="n">
        <v>594.9540344</v>
      </c>
      <c r="L182" s="6">
        <f>I182*K182</f>
        <v/>
      </c>
      <c r="M182" s="6">
        <f>K182*4</f>
        <v/>
      </c>
      <c r="N182" s="6" t="n">
        <v>2380</v>
      </c>
    </row>
    <row r="183">
      <c r="A183" s="1" t="inlineStr">
        <is>
          <t>14401522235501</t>
        </is>
      </c>
      <c r="B183" s="1" t="inlineStr">
        <is>
          <t>TARJETERO GC HORSEBIT 1955</t>
        </is>
      </c>
      <c r="C183" s="1" t="inlineStr">
        <is>
          <t>Default Title</t>
        </is>
      </c>
      <c r="D183" s="1" t="inlineStr">
        <is>
          <t>18/02/2026</t>
        </is>
      </c>
      <c r="E183" s="1" t="n">
        <v>2026</v>
      </c>
      <c r="F183" s="1" t="inlineStr">
        <is>
          <t>FEBRERO</t>
        </is>
      </c>
      <c r="G183" s="1" t="inlineStr">
        <is>
          <t>CYNTHIA</t>
        </is>
      </c>
      <c r="H183" s="1" t="inlineStr">
        <is>
          <t>CYNTHIA 18/02/2026</t>
        </is>
      </c>
      <c r="I183" s="4" t="n">
        <v>2</v>
      </c>
      <c r="J183" s="6" t="n">
        <v>33</v>
      </c>
      <c r="K183" s="6" t="n">
        <v>892.4310516</v>
      </c>
      <c r="L183" s="6">
        <f>I183*K183</f>
        <v/>
      </c>
      <c r="M183" s="6">
        <f>K183*4</f>
        <v/>
      </c>
      <c r="N183" s="6" t="n">
        <v>3499</v>
      </c>
    </row>
    <row r="184">
      <c r="A184" s="1" t="inlineStr">
        <is>
          <t>14401522235501</t>
        </is>
      </c>
      <c r="B184" s="1" t="inlineStr">
        <is>
          <t>TARJETERO GC HORSEBIT 1955</t>
        </is>
      </c>
      <c r="C184" s="1" t="inlineStr">
        <is>
          <t>Default Title</t>
        </is>
      </c>
      <c r="D184" s="1" t="inlineStr">
        <is>
          <t>31/05/2026</t>
        </is>
      </c>
      <c r="E184" s="1" t="n">
        <v>2026</v>
      </c>
      <c r="F184" s="1" t="inlineStr">
        <is>
          <t>MAYO</t>
        </is>
      </c>
      <c r="G184" s="1" t="inlineStr">
        <is>
          <t>CYNTHIA</t>
        </is>
      </c>
      <c r="H184" s="1" t="inlineStr">
        <is>
          <t>CYNTHIA 31/05/2026</t>
        </is>
      </c>
      <c r="I184" s="4" t="n">
        <v>3</v>
      </c>
      <c r="J184" s="6" t="n">
        <v>33</v>
      </c>
      <c r="K184" s="6" t="n">
        <v>874.5344843</v>
      </c>
      <c r="L184" s="6">
        <f>I184*K184</f>
        <v/>
      </c>
      <c r="M184" s="6">
        <f>K184*4</f>
        <v/>
      </c>
      <c r="N184" s="6" t="n">
        <v>3499</v>
      </c>
    </row>
    <row r="185">
      <c r="A185" s="1" t="inlineStr">
        <is>
          <t>14401522366573</t>
        </is>
      </c>
      <c r="B185" s="1" t="inlineStr">
        <is>
          <t>CARTERA GC ZIP MARMONT BLACK</t>
        </is>
      </c>
      <c r="C185" s="1" t="inlineStr">
        <is>
          <t>Default Title</t>
        </is>
      </c>
      <c r="D185" s="1" t="inlineStr">
        <is>
          <t>18/02/2026</t>
        </is>
      </c>
      <c r="E185" s="1" t="n">
        <v>2026</v>
      </c>
      <c r="F185" s="1" t="inlineStr">
        <is>
          <t>FEBRERO</t>
        </is>
      </c>
      <c r="G185" s="1" t="inlineStr">
        <is>
          <t>CYNTHIA</t>
        </is>
      </c>
      <c r="H185" s="1" t="inlineStr">
        <is>
          <t>CYNTHIA 18/02/2026</t>
        </is>
      </c>
      <c r="I185" s="4" t="n">
        <v>2</v>
      </c>
      <c r="J185" s="6" t="n">
        <v>29</v>
      </c>
      <c r="K185" s="6" t="n">
        <v>784.2575908</v>
      </c>
      <c r="L185" s="6">
        <f>I185*K185</f>
        <v/>
      </c>
      <c r="M185" s="6">
        <f>K185*4</f>
        <v/>
      </c>
      <c r="N185" s="6" t="n">
        <v>3099</v>
      </c>
    </row>
    <row r="186">
      <c r="A186" s="1" t="inlineStr">
        <is>
          <t>14401522366573</t>
        </is>
      </c>
      <c r="B186" s="1" t="inlineStr">
        <is>
          <t>CARTERA GC ZIP MARMONT BLACK</t>
        </is>
      </c>
      <c r="C186" s="1" t="inlineStr">
        <is>
          <t>Default Title</t>
        </is>
      </c>
      <c r="D186" s="1" t="inlineStr">
        <is>
          <t>31/05/2026</t>
        </is>
      </c>
      <c r="E186" s="1" t="n">
        <v>2026</v>
      </c>
      <c r="F186" s="1" t="inlineStr">
        <is>
          <t>MAYO</t>
        </is>
      </c>
      <c r="G186" s="1" t="inlineStr">
        <is>
          <t>CYNTHIA</t>
        </is>
      </c>
      <c r="H186" s="1" t="inlineStr">
        <is>
          <t>CYNTHIA 31/05/2026</t>
        </is>
      </c>
      <c r="I186" s="4" t="n">
        <v>1</v>
      </c>
      <c r="J186" s="6" t="n">
        <v>29</v>
      </c>
      <c r="K186" s="6" t="n">
        <v>768.5303043</v>
      </c>
      <c r="L186" s="6">
        <f>I186*K186</f>
        <v/>
      </c>
      <c r="M186" s="6">
        <f>K186*4</f>
        <v/>
      </c>
      <c r="N186" s="6" t="n">
        <v>3099</v>
      </c>
    </row>
    <row r="187">
      <c r="A187" s="1" t="inlineStr">
        <is>
          <t>14401522499341</t>
        </is>
      </c>
      <c r="B187" s="1" t="inlineStr">
        <is>
          <t>BOLSO GC SHOULDER SUPREME</t>
        </is>
      </c>
      <c r="C187" s="1" t="inlineStr">
        <is>
          <t>Default Title</t>
        </is>
      </c>
      <c r="D187" s="1" t="inlineStr">
        <is>
          <t>18/02/2026</t>
        </is>
      </c>
      <c r="E187" s="1" t="n">
        <v>2026</v>
      </c>
      <c r="F187" s="1" t="inlineStr">
        <is>
          <t>FEBRERO</t>
        </is>
      </c>
      <c r="G187" s="1" t="inlineStr">
        <is>
          <t>CYNTHIA</t>
        </is>
      </c>
      <c r="H187" s="1" t="inlineStr">
        <is>
          <t>CYNTHIA 18/02/2026</t>
        </is>
      </c>
      <c r="I187" s="4" t="n">
        <v>1</v>
      </c>
      <c r="J187" s="6" t="n">
        <v>49</v>
      </c>
      <c r="K187" s="6" t="n">
        <v>1325.124895</v>
      </c>
      <c r="L187" s="6">
        <f>I187*K187</f>
        <v/>
      </c>
      <c r="M187" s="6">
        <f>K187*4</f>
        <v/>
      </c>
      <c r="N187" s="6" t="n">
        <v>5300</v>
      </c>
    </row>
    <row r="188">
      <c r="A188" s="1" t="inlineStr">
        <is>
          <t>14401522525325</t>
        </is>
      </c>
      <c r="B188" s="1" t="inlineStr">
        <is>
          <t>CARTERA GC PLEGABLE LOGOS</t>
        </is>
      </c>
      <c r="C188" s="1" t="inlineStr">
        <is>
          <t>Default Title</t>
        </is>
      </c>
      <c r="D188" s="1" t="inlineStr">
        <is>
          <t>18/02/2026</t>
        </is>
      </c>
      <c r="E188" s="1" t="n">
        <v>2026</v>
      </c>
      <c r="F188" s="1" t="inlineStr">
        <is>
          <t>FEBRERO</t>
        </is>
      </c>
      <c r="G188" s="1" t="inlineStr">
        <is>
          <t>CYNTHIA</t>
        </is>
      </c>
      <c r="H188" s="1" t="inlineStr">
        <is>
          <t>CYNTHIA 18/02/2026</t>
        </is>
      </c>
      <c r="I188" s="4" t="n">
        <v>2</v>
      </c>
      <c r="J188" s="6" t="n">
        <v>25</v>
      </c>
      <c r="K188" s="6" t="n">
        <v>676.08413</v>
      </c>
      <c r="L188" s="6">
        <f>I188*K188</f>
        <v/>
      </c>
      <c r="M188" s="6">
        <f>K188*4</f>
        <v/>
      </c>
      <c r="N188" s="6" t="n">
        <v>2799</v>
      </c>
    </row>
    <row r="189">
      <c r="A189" s="1" t="inlineStr">
        <is>
          <t>14401522621933</t>
        </is>
      </c>
      <c r="B189" s="1" t="inlineStr">
        <is>
          <t>LENTES GC EYEWEAR NEW POP</t>
        </is>
      </c>
      <c r="C189" s="1" t="inlineStr">
        <is>
          <t>Default Title</t>
        </is>
      </c>
      <c r="D189" s="1" t="inlineStr">
        <is>
          <t>18/02/2026</t>
        </is>
      </c>
      <c r="E189" s="1" t="n">
        <v>2026</v>
      </c>
      <c r="F189" s="1" t="inlineStr">
        <is>
          <t>FEBRERO</t>
        </is>
      </c>
      <c r="G189" s="1" t="inlineStr">
        <is>
          <t>CYNTHIA</t>
        </is>
      </c>
      <c r="H189" s="1" t="inlineStr">
        <is>
          <t>CYNTHIA 18/02/2026</t>
        </is>
      </c>
      <c r="I189" s="4" t="n">
        <v>2</v>
      </c>
      <c r="J189" s="6" t="n">
        <v>33</v>
      </c>
      <c r="K189" s="6" t="n">
        <v>892.4310516</v>
      </c>
      <c r="L189" s="6">
        <f>I189*K189</f>
        <v/>
      </c>
      <c r="M189" s="6">
        <f>K189*4</f>
        <v/>
      </c>
      <c r="N189" s="6" t="n">
        <v>3125</v>
      </c>
    </row>
    <row r="190">
      <c r="A190" s="1" t="inlineStr">
        <is>
          <t>14401522754701</t>
        </is>
      </c>
      <c r="B190" s="1" t="inlineStr">
        <is>
          <t>LENTES GC ALL BLACK</t>
        </is>
      </c>
      <c r="C190" s="1" t="inlineStr">
        <is>
          <t>Default Title</t>
        </is>
      </c>
      <c r="D190" s="1" t="inlineStr">
        <is>
          <t>18/02/2026</t>
        </is>
      </c>
      <c r="E190" s="1" t="n">
        <v>2026</v>
      </c>
      <c r="F190" s="1" t="inlineStr">
        <is>
          <t>FEBRERO</t>
        </is>
      </c>
      <c r="G190" s="1" t="inlineStr">
        <is>
          <t>CYNTHIA</t>
        </is>
      </c>
      <c r="H190" s="1" t="inlineStr">
        <is>
          <t>CYNTHIA 18/02/2026</t>
        </is>
      </c>
      <c r="I190" s="4" t="n">
        <v>2</v>
      </c>
      <c r="J190" s="6" t="n">
        <v>42</v>
      </c>
      <c r="K190" s="6" t="n">
        <v>1135.821338</v>
      </c>
      <c r="L190" s="6">
        <f>I190*K190</f>
        <v/>
      </c>
      <c r="M190" s="6">
        <f>K190*4</f>
        <v/>
      </c>
      <c r="N190" s="6" t="n">
        <v>4450</v>
      </c>
    </row>
    <row r="191">
      <c r="A191" s="1" t="inlineStr">
        <is>
          <t>14401522887469</t>
        </is>
      </c>
      <c r="B191" s="1" t="inlineStr">
        <is>
          <t>CINTO GC WHITE</t>
        </is>
      </c>
      <c r="C191" s="1" t="inlineStr">
        <is>
          <t>Default Title</t>
        </is>
      </c>
      <c r="D191" s="1" t="inlineStr">
        <is>
          <t>18/02/2026</t>
        </is>
      </c>
      <c r="E191" s="1" t="n">
        <v>2026</v>
      </c>
      <c r="F191" s="1" t="inlineStr">
        <is>
          <t>FEBRERO</t>
        </is>
      </c>
      <c r="G191" s="1" t="inlineStr">
        <is>
          <t>CYNTHIA</t>
        </is>
      </c>
      <c r="H191" s="1" t="inlineStr">
        <is>
          <t>CYNTHIA 18/02/2026</t>
        </is>
      </c>
      <c r="I191" s="4" t="n">
        <v>2</v>
      </c>
      <c r="J191" s="6" t="n">
        <v>8</v>
      </c>
      <c r="K191" s="6" t="n">
        <v>216.3469216</v>
      </c>
      <c r="L191" s="6">
        <f>I191*K191</f>
        <v/>
      </c>
      <c r="M191" s="6">
        <f>K191*4</f>
        <v/>
      </c>
      <c r="N191" s="6" t="n">
        <v>899</v>
      </c>
    </row>
    <row r="192">
      <c r="A192" s="1" t="inlineStr">
        <is>
          <t>14401522887469</t>
        </is>
      </c>
      <c r="B192" s="1" t="inlineStr">
        <is>
          <t>CINTO GC WHITE</t>
        </is>
      </c>
      <c r="C192" s="1" t="inlineStr">
        <is>
          <t>Default Title</t>
        </is>
      </c>
      <c r="D192" s="1" t="inlineStr">
        <is>
          <t>27/04/2026</t>
        </is>
      </c>
      <c r="E192" s="1" t="n">
        <v>2026</v>
      </c>
      <c r="F192" s="1" t="inlineStr">
        <is>
          <t>ABRIL</t>
        </is>
      </c>
      <c r="G192" s="1" t="inlineStr">
        <is>
          <t>CYNTHIA</t>
        </is>
      </c>
      <c r="H192" s="1" t="inlineStr">
        <is>
          <t>CYNTHIA 27/04/2026</t>
        </is>
      </c>
      <c r="I192" s="4" t="n">
        <v>1</v>
      </c>
      <c r="J192" s="6" t="n">
        <v>8</v>
      </c>
      <c r="K192" s="6" t="n">
        <v>207.6007409</v>
      </c>
      <c r="L192" s="6">
        <f>I192*K192</f>
        <v/>
      </c>
      <c r="M192" s="6">
        <f>K192*4</f>
        <v/>
      </c>
      <c r="N192" s="6" t="n">
        <v>899</v>
      </c>
    </row>
    <row r="193">
      <c r="A193" s="1" t="inlineStr">
        <is>
          <t>14401522887469</t>
        </is>
      </c>
      <c r="B193" s="1" t="inlineStr">
        <is>
          <t>CINTO GC WHITE</t>
        </is>
      </c>
      <c r="C193" s="1" t="inlineStr">
        <is>
          <t>Default Title</t>
        </is>
      </c>
      <c r="D193" s="1" t="inlineStr">
        <is>
          <t>31/05/2026</t>
        </is>
      </c>
      <c r="E193" s="1" t="n">
        <v>2026</v>
      </c>
      <c r="F193" s="1" t="inlineStr">
        <is>
          <t>MAYO</t>
        </is>
      </c>
      <c r="G193" s="1" t="inlineStr">
        <is>
          <t>CYNTHIA</t>
        </is>
      </c>
      <c r="H193" s="1" t="inlineStr">
        <is>
          <t>CYNTHIA 31/05/2026</t>
        </is>
      </c>
      <c r="I193" s="4" t="n">
        <v>4</v>
      </c>
      <c r="J193" s="6" t="n">
        <v>8</v>
      </c>
      <c r="K193" s="6" t="n">
        <v>212.0083598</v>
      </c>
      <c r="L193" s="6">
        <f>I193*K193</f>
        <v/>
      </c>
      <c r="M193" s="6">
        <f>K193*4</f>
        <v/>
      </c>
      <c r="N193" s="6" t="n">
        <v>899</v>
      </c>
    </row>
    <row r="194">
      <c r="A194" s="1" t="inlineStr">
        <is>
          <t>14401522920237</t>
        </is>
      </c>
      <c r="B194" s="1" t="inlineStr">
        <is>
          <t>BOLSO CC DOUBLE FLAP</t>
        </is>
      </c>
      <c r="C194" s="1" t="inlineStr">
        <is>
          <t>Default Title</t>
        </is>
      </c>
      <c r="D194" s="1" t="inlineStr">
        <is>
          <t>18/02/2026</t>
        </is>
      </c>
      <c r="E194" s="1" t="n">
        <v>2026</v>
      </c>
      <c r="F194" s="1" t="inlineStr">
        <is>
          <t>FEBRERO</t>
        </is>
      </c>
      <c r="G194" s="1" t="inlineStr">
        <is>
          <t>CYNTHIA</t>
        </is>
      </c>
      <c r="H194" s="1" t="inlineStr">
        <is>
          <t>CYNTHIA 18/02/2026</t>
        </is>
      </c>
      <c r="I194" s="4" t="n">
        <v>1</v>
      </c>
      <c r="J194" s="6" t="n">
        <v>72</v>
      </c>
      <c r="K194" s="6" t="n">
        <v>1947.122294</v>
      </c>
      <c r="L194" s="6">
        <f>I194*K194</f>
        <v/>
      </c>
      <c r="M194" s="6">
        <f>K194*4</f>
        <v/>
      </c>
      <c r="N194" s="6" t="n">
        <v>6540</v>
      </c>
    </row>
    <row r="195">
      <c r="A195" s="1" t="inlineStr">
        <is>
          <t>14401522920237</t>
        </is>
      </c>
      <c r="B195" s="1" t="inlineStr">
        <is>
          <t>BOLSO CC DOUBLE FLAP</t>
        </is>
      </c>
      <c r="C195" s="1" t="inlineStr">
        <is>
          <t>Default Title</t>
        </is>
      </c>
      <c r="D195" s="1" t="inlineStr">
        <is>
          <t>27/04/2026</t>
        </is>
      </c>
      <c r="E195" s="1" t="n">
        <v>2026</v>
      </c>
      <c r="F195" s="1" t="inlineStr">
        <is>
          <t>ABRIL</t>
        </is>
      </c>
      <c r="G195" s="1" t="inlineStr">
        <is>
          <t>CYNTHIA</t>
        </is>
      </c>
      <c r="H195" s="1" t="inlineStr">
        <is>
          <t>CYNTHIA 27/04/2026</t>
        </is>
      </c>
      <c r="I195" s="4" t="n">
        <v>3</v>
      </c>
      <c r="J195" s="6" t="n">
        <v>72</v>
      </c>
      <c r="K195" s="6" t="n">
        <v>1868.406668</v>
      </c>
      <c r="L195" s="6">
        <f>I195*K195</f>
        <v/>
      </c>
      <c r="M195" s="6">
        <f>K195*4</f>
        <v/>
      </c>
      <c r="N195" s="6" t="n">
        <v>6540</v>
      </c>
    </row>
    <row r="196">
      <c r="A196" s="1" t="inlineStr">
        <is>
          <t>14401523053005</t>
        </is>
      </c>
      <c r="B196" s="1" t="inlineStr">
        <is>
          <t>CARTERA MM BLACK</t>
        </is>
      </c>
      <c r="C196" s="1" t="inlineStr">
        <is>
          <t>Default Title</t>
        </is>
      </c>
      <c r="D196" s="1" t="inlineStr">
        <is>
          <t>18/02/2026</t>
        </is>
      </c>
      <c r="E196" s="1" t="n">
        <v>2026</v>
      </c>
      <c r="F196" s="1" t="inlineStr">
        <is>
          <t>FEBRERO</t>
        </is>
      </c>
      <c r="G196" s="1" t="inlineStr">
        <is>
          <t>CYNTHIA</t>
        </is>
      </c>
      <c r="H196" s="1" t="inlineStr">
        <is>
          <t>CYNTHIA 18/02/2026</t>
        </is>
      </c>
      <c r="I196" s="4" t="n">
        <v>2</v>
      </c>
      <c r="J196" s="6" t="n">
        <v>33</v>
      </c>
      <c r="K196" s="6" t="n">
        <v>892.4310516</v>
      </c>
      <c r="L196" s="6">
        <f>I196*K196</f>
        <v/>
      </c>
      <c r="M196" s="6">
        <f>K196*4</f>
        <v/>
      </c>
      <c r="N196" s="6" t="n">
        <v>3125</v>
      </c>
    </row>
    <row r="197">
      <c r="A197" s="1" t="inlineStr">
        <is>
          <t>14401523185773</t>
        </is>
      </c>
      <c r="B197" s="1" t="inlineStr">
        <is>
          <t>TARJETERO MM BLACK</t>
        </is>
      </c>
      <c r="C197" s="1" t="inlineStr">
        <is>
          <t>Default Title</t>
        </is>
      </c>
      <c r="D197" s="1" t="inlineStr">
        <is>
          <t>18/02/2026</t>
        </is>
      </c>
      <c r="E197" s="1" t="n">
        <v>2026</v>
      </c>
      <c r="F197" s="1" t="inlineStr">
        <is>
          <t>FEBRERO</t>
        </is>
      </c>
      <c r="G197" s="1" t="inlineStr">
        <is>
          <t>CYNTHIA</t>
        </is>
      </c>
      <c r="H197" s="1" t="inlineStr">
        <is>
          <t>CYNTHIA 18/02/2026</t>
        </is>
      </c>
      <c r="I197" s="4" t="n">
        <v>2</v>
      </c>
      <c r="J197" s="6" t="n">
        <v>25</v>
      </c>
      <c r="K197" s="6" t="n">
        <v>676.08413</v>
      </c>
      <c r="L197" s="6">
        <f>I197*K197</f>
        <v/>
      </c>
      <c r="M197" s="6">
        <f>K197*4</f>
        <v/>
      </c>
      <c r="N197" s="6" t="n">
        <v>2799</v>
      </c>
    </row>
    <row r="198">
      <c r="A198" s="1" t="inlineStr">
        <is>
          <t>14401523218541</t>
        </is>
      </c>
      <c r="B198" s="1" t="inlineStr">
        <is>
          <t>BOLSO PR RE-NYLON</t>
        </is>
      </c>
      <c r="C198" s="1" t="inlineStr">
        <is>
          <t>Default Title</t>
        </is>
      </c>
      <c r="D198" s="1" t="inlineStr">
        <is>
          <t>18/02/2026</t>
        </is>
      </c>
      <c r="E198" s="1" t="n">
        <v>2026</v>
      </c>
      <c r="F198" s="1" t="inlineStr">
        <is>
          <t>FEBRERO</t>
        </is>
      </c>
      <c r="G198" s="1" t="inlineStr">
        <is>
          <t>CYNTHIA</t>
        </is>
      </c>
      <c r="H198" s="1" t="inlineStr">
        <is>
          <t>CYNTHIA 18/02/2026</t>
        </is>
      </c>
      <c r="I198" s="4" t="n">
        <v>2</v>
      </c>
      <c r="J198" s="6" t="n">
        <v>49</v>
      </c>
      <c r="K198" s="6" t="n">
        <v>1325.124895</v>
      </c>
      <c r="L198" s="6">
        <f>I198*K198</f>
        <v/>
      </c>
      <c r="M198" s="6">
        <f>K198*4</f>
        <v/>
      </c>
      <c r="N198" s="6" t="n">
        <v>0</v>
      </c>
    </row>
    <row r="199">
      <c r="A199" s="1" t="inlineStr">
        <is>
          <t>14401523316845</t>
        </is>
      </c>
      <c r="B199" s="1" t="inlineStr">
        <is>
          <t>MOCHILA PR RE-NYLON</t>
        </is>
      </c>
      <c r="C199" s="1" t="inlineStr">
        <is>
          <t>Default Title</t>
        </is>
      </c>
      <c r="D199" s="1" t="inlineStr">
        <is>
          <t>18/02/2026</t>
        </is>
      </c>
      <c r="E199" s="1" t="n">
        <v>2026</v>
      </c>
      <c r="F199" s="1" t="inlineStr">
        <is>
          <t>FEBRERO</t>
        </is>
      </c>
      <c r="G199" s="1" t="inlineStr">
        <is>
          <t>CYNTHIA</t>
        </is>
      </c>
      <c r="H199" s="1" t="inlineStr">
        <is>
          <t>CYNTHIA 18/02/2026</t>
        </is>
      </c>
      <c r="I199" s="4" t="n">
        <v>2</v>
      </c>
      <c r="J199" s="6" t="n">
        <v>53</v>
      </c>
      <c r="K199" s="6" t="n">
        <v>1433.298356</v>
      </c>
      <c r="L199" s="6">
        <f>I199*K199</f>
        <v/>
      </c>
      <c r="M199" s="6">
        <f>K199*4</f>
        <v/>
      </c>
      <c r="N199" s="6" t="n">
        <v>5999</v>
      </c>
    </row>
    <row r="200">
      <c r="A200" s="1" t="inlineStr">
        <is>
          <t>14401523449613</t>
        </is>
      </c>
      <c r="B200" s="1" t="inlineStr">
        <is>
          <t>BOLSO CD CON CREMALLERA</t>
        </is>
      </c>
      <c r="C200" s="1" t="inlineStr">
        <is>
          <t>Default Title</t>
        </is>
      </c>
      <c r="D200" s="1" t="inlineStr">
        <is>
          <t>18/02/2026</t>
        </is>
      </c>
      <c r="E200" s="1" t="n">
        <v>2026</v>
      </c>
      <c r="F200" s="1" t="inlineStr">
        <is>
          <t>FEBRERO</t>
        </is>
      </c>
      <c r="G200" s="1" t="inlineStr">
        <is>
          <t>CYNTHIA</t>
        </is>
      </c>
      <c r="H200" s="1" t="inlineStr">
        <is>
          <t>CYNTHIA 18/02/2026</t>
        </is>
      </c>
      <c r="I200" s="4" t="n">
        <v>2</v>
      </c>
      <c r="J200" s="6" t="n">
        <v>48</v>
      </c>
      <c r="K200" s="6" t="n">
        <v>1298.08153</v>
      </c>
      <c r="L200" s="6">
        <f>I200*K200</f>
        <v/>
      </c>
      <c r="M200" s="6">
        <f>K200*4</f>
        <v/>
      </c>
      <c r="N200" s="6" t="n">
        <v>5095</v>
      </c>
    </row>
    <row r="201">
      <c r="A201" s="1" t="inlineStr">
        <is>
          <t>14401523449613</t>
        </is>
      </c>
      <c r="B201" s="1" t="inlineStr">
        <is>
          <t>BOLSO CD CON CREMALLERA</t>
        </is>
      </c>
      <c r="C201" s="1" t="inlineStr">
        <is>
          <t>Default Title</t>
        </is>
      </c>
      <c r="D201" s="1" t="inlineStr">
        <is>
          <t>27/04/2026</t>
        </is>
      </c>
      <c r="E201" s="1" t="n">
        <v>2026</v>
      </c>
      <c r="F201" s="1" t="inlineStr">
        <is>
          <t>ABRIL</t>
        </is>
      </c>
      <c r="G201" s="1" t="inlineStr">
        <is>
          <t>CYNTHIA</t>
        </is>
      </c>
      <c r="H201" s="1" t="inlineStr">
        <is>
          <t>CYNTHIA 27/04/2026</t>
        </is>
      </c>
      <c r="I201" s="4" t="n">
        <v>2</v>
      </c>
      <c r="J201" s="6" t="n">
        <v>48</v>
      </c>
      <c r="K201" s="6" t="n">
        <v>1245.604446</v>
      </c>
      <c r="L201" s="6">
        <f>I201*K201</f>
        <v/>
      </c>
      <c r="M201" s="6">
        <f>K201*4</f>
        <v/>
      </c>
      <c r="N201" s="6" t="n">
        <v>5095</v>
      </c>
    </row>
    <row r="202">
      <c r="A202" s="1" t="inlineStr">
        <is>
          <t>14401523449613</t>
        </is>
      </c>
      <c r="B202" s="1" t="inlineStr">
        <is>
          <t>BOLSO CD CON CREMALLERA</t>
        </is>
      </c>
      <c r="C202" s="1" t="inlineStr">
        <is>
          <t>Default Title</t>
        </is>
      </c>
      <c r="D202" s="1" t="inlineStr">
        <is>
          <t>31/05/2026</t>
        </is>
      </c>
      <c r="E202" s="1" t="n">
        <v>2026</v>
      </c>
      <c r="F202" s="1" t="inlineStr">
        <is>
          <t>MAYO</t>
        </is>
      </c>
      <c r="G202" s="1" t="inlineStr">
        <is>
          <t>CYNTHIA</t>
        </is>
      </c>
      <c r="H202" s="1" t="inlineStr">
        <is>
          <t>CYNTHIA 31/05/2026</t>
        </is>
      </c>
      <c r="I202" s="4" t="n">
        <v>3</v>
      </c>
      <c r="J202" s="6" t="n">
        <v>48</v>
      </c>
      <c r="K202" s="6" t="n">
        <v>1272.050159</v>
      </c>
      <c r="L202" s="6">
        <f>I202*K202</f>
        <v/>
      </c>
      <c r="M202" s="6">
        <f>K202*4</f>
        <v/>
      </c>
      <c r="N202" s="6" t="n">
        <v>5095</v>
      </c>
    </row>
    <row r="203">
      <c r="A203" s="1" t="inlineStr">
        <is>
          <t>14512841047597</t>
        </is>
      </c>
      <c r="B203" s="1" t="inlineStr">
        <is>
          <t>PULSERA LV IDYLLE BLOSSOM GOLD</t>
        </is>
      </c>
      <c r="C203" s="1" t="inlineStr">
        <is>
          <t>Default Title</t>
        </is>
      </c>
      <c r="D203" s="1" t="inlineStr">
        <is>
          <t>25/09/2025</t>
        </is>
      </c>
      <c r="E203" s="1" t="n">
        <v>2025</v>
      </c>
      <c r="F203" s="1" t="inlineStr">
        <is>
          <t>SEPTIEMBRE</t>
        </is>
      </c>
      <c r="G203" s="1" t="inlineStr">
        <is>
          <t>HAIFENG</t>
        </is>
      </c>
      <c r="H203" s="1" t="inlineStr">
        <is>
          <t>HAIFENG 25/09/2025</t>
        </is>
      </c>
      <c r="I203" s="4" t="n">
        <v>3</v>
      </c>
      <c r="J203" s="6" t="n">
        <v>11</v>
      </c>
      <c r="K203" s="6" t="n">
        <v>232.0657435</v>
      </c>
      <c r="L203" s="6">
        <f>I203*K203</f>
        <v/>
      </c>
      <c r="M203" s="6">
        <f>K203*4</f>
        <v/>
      </c>
      <c r="N203" s="6" t="n">
        <v>950</v>
      </c>
    </row>
    <row r="204">
      <c r="A204" s="1" t="inlineStr">
        <is>
          <t>14512841047597</t>
        </is>
      </c>
      <c r="B204" s="1" t="inlineStr">
        <is>
          <t>PULSERA LV IDYLLE BLOSSOM GOLD</t>
        </is>
      </c>
      <c r="C204" s="1" t="inlineStr">
        <is>
          <t>Default Title</t>
        </is>
      </c>
      <c r="D204" s="1" t="inlineStr">
        <is>
          <t>16/04/2026</t>
        </is>
      </c>
      <c r="E204" s="1" t="n">
        <v>2026</v>
      </c>
      <c r="F204" s="1" t="inlineStr">
        <is>
          <t>ABRIL</t>
        </is>
      </c>
      <c r="G204" s="1" t="inlineStr">
        <is>
          <t>HAIFENG</t>
        </is>
      </c>
      <c r="H204" s="1" t="inlineStr">
        <is>
          <t>HAIFENG 16/04/2026</t>
        </is>
      </c>
      <c r="I204" s="4" t="n">
        <v>2</v>
      </c>
      <c r="J204" s="6" t="n">
        <v>11</v>
      </c>
      <c r="K204" s="6" t="n">
        <v>231.3462095</v>
      </c>
      <c r="L204" s="6">
        <f>I204*K204</f>
        <v/>
      </c>
      <c r="M204" s="6">
        <f>K204*4</f>
        <v/>
      </c>
      <c r="N204" s="6" t="n">
        <v>950</v>
      </c>
    </row>
    <row r="205">
      <c r="A205" s="1" t="inlineStr">
        <is>
          <t>14679511089581</t>
        </is>
      </c>
      <c r="B205" s="1" t="inlineStr">
        <is>
          <t>PULSERA H SILVER</t>
        </is>
      </c>
      <c r="C205" s="1" t="inlineStr">
        <is>
          <t>Default Title</t>
        </is>
      </c>
      <c r="D205" s="1" t="inlineStr">
        <is>
          <t>16/04/2026</t>
        </is>
      </c>
      <c r="E205" s="1" t="n">
        <v>2026</v>
      </c>
      <c r="F205" s="1" t="inlineStr">
        <is>
          <t>ABRIL</t>
        </is>
      </c>
      <c r="G205" s="1" t="inlineStr">
        <is>
          <t>HAIFENG</t>
        </is>
      </c>
      <c r="H205" s="1" t="inlineStr">
        <is>
          <t>HAIFENG 16/04/2026</t>
        </is>
      </c>
      <c r="I205" s="4" t="n">
        <v>2</v>
      </c>
      <c r="J205" s="6" t="n">
        <v>12.99</v>
      </c>
      <c r="K205" s="6" t="n">
        <v>273.1988419</v>
      </c>
      <c r="L205" s="6">
        <f>I205*K205</f>
        <v/>
      </c>
      <c r="M205" s="6">
        <f>K205*4</f>
        <v/>
      </c>
      <c r="N205" s="6" t="n">
        <v>460</v>
      </c>
    </row>
    <row r="206">
      <c r="A206" s="1" t="inlineStr">
        <is>
          <t>15104851060781</t>
        </is>
      </c>
      <c r="B206" s="1" t="inlineStr">
        <is>
          <t>COLLAR ALHAMBRA GOLD</t>
        </is>
      </c>
      <c r="C206" s="1" t="inlineStr">
        <is>
          <t>Default Title</t>
        </is>
      </c>
      <c r="D206" s="1" t="inlineStr">
        <is>
          <t>05/02/2026</t>
        </is>
      </c>
      <c r="E206" s="1" t="n">
        <v>2026</v>
      </c>
      <c r="F206" s="1" t="inlineStr">
        <is>
          <t>FEBRERO</t>
        </is>
      </c>
      <c r="G206" s="1" t="inlineStr">
        <is>
          <t>HAIFENG</t>
        </is>
      </c>
      <c r="H206" s="1" t="inlineStr">
        <is>
          <t>HAIFENG 05/02/2026</t>
        </is>
      </c>
      <c r="I206" s="4" t="n">
        <v>3</v>
      </c>
      <c r="J206" s="6" t="n">
        <v>5</v>
      </c>
      <c r="K206" s="6" t="n">
        <v>106.7714619</v>
      </c>
      <c r="L206" s="6">
        <f>I206*K206</f>
        <v/>
      </c>
      <c r="M206" s="6">
        <f>K206*4</f>
        <v/>
      </c>
      <c r="N206" s="6" t="n">
        <v>450</v>
      </c>
    </row>
    <row r="207">
      <c r="A207" s="1" t="inlineStr">
        <is>
          <t>15104851060781</t>
        </is>
      </c>
      <c r="B207" s="1" t="inlineStr">
        <is>
          <t>COLLAR ALHAMBRA GOLD</t>
        </is>
      </c>
      <c r="C207" s="1" t="inlineStr">
        <is>
          <t>Default Title</t>
        </is>
      </c>
      <c r="D207" s="1" t="inlineStr">
        <is>
          <t>16/06/2026</t>
        </is>
      </c>
      <c r="E207" s="1" t="n">
        <v>2026</v>
      </c>
      <c r="F207" s="1" t="inlineStr">
        <is>
          <t>JUNIO</t>
        </is>
      </c>
      <c r="G207" s="1" t="inlineStr">
        <is>
          <t>HAIFENG</t>
        </is>
      </c>
      <c r="H207" s="1" t="inlineStr">
        <is>
          <t>HAIFENG 16/06/2026</t>
        </is>
      </c>
      <c r="I207" s="4" t="n">
        <v>3</v>
      </c>
      <c r="J207" s="6" t="n">
        <v>5</v>
      </c>
      <c r="K207" s="6" t="n">
        <v>105.0730323</v>
      </c>
      <c r="L207" s="6">
        <f>I207*K207</f>
        <v/>
      </c>
      <c r="M207" s="6">
        <f>K207*4</f>
        <v/>
      </c>
      <c r="N207" s="6" t="n">
        <v>450</v>
      </c>
    </row>
    <row r="208">
      <c r="A208" s="1" t="inlineStr">
        <is>
          <t>15104861195245</t>
        </is>
      </c>
      <c r="B208" s="1" t="inlineStr">
        <is>
          <t>ANILLO LV RED BLOSSOM STAR ROSE GOLD</t>
        </is>
      </c>
      <c r="C208" s="1" t="inlineStr">
        <is>
          <t>6</t>
        </is>
      </c>
      <c r="D208" s="1" t="inlineStr">
        <is>
          <t>05/02/2026</t>
        </is>
      </c>
      <c r="E208" s="1" t="n">
        <v>2026</v>
      </c>
      <c r="F208" s="1" t="inlineStr">
        <is>
          <t>FEBRERO</t>
        </is>
      </c>
      <c r="G208" s="1" t="inlineStr">
        <is>
          <t>HAIFENG</t>
        </is>
      </c>
      <c r="H208" s="1" t="inlineStr">
        <is>
          <t>HAIFENG 05/02/2026</t>
        </is>
      </c>
      <c r="I208" s="4" t="n">
        <v>1</v>
      </c>
      <c r="J208" s="6" t="n">
        <v>8.99</v>
      </c>
      <c r="K208" s="6" t="n">
        <v>191.9750886</v>
      </c>
      <c r="L208" s="6">
        <f>I208*K208</f>
        <v/>
      </c>
      <c r="M208" s="6">
        <f>K208*4</f>
        <v/>
      </c>
      <c r="N208" s="6" t="n">
        <v>820</v>
      </c>
    </row>
    <row r="209">
      <c r="A209" s="1" t="inlineStr">
        <is>
          <t>15104861228013</t>
        </is>
      </c>
      <c r="B209" s="1" t="inlineStr">
        <is>
          <t>ANILLO LV RED BLOSSOM STAR ROSE GOLD</t>
        </is>
      </c>
      <c r="C209" s="1" t="inlineStr">
        <is>
          <t>7</t>
        </is>
      </c>
      <c r="D209" s="1" t="inlineStr">
        <is>
          <t>05/02/2026</t>
        </is>
      </c>
      <c r="E209" s="1" t="n">
        <v>2026</v>
      </c>
      <c r="F209" s="1" t="inlineStr">
        <is>
          <t>FEBRERO</t>
        </is>
      </c>
      <c r="G209" s="1" t="inlineStr">
        <is>
          <t>HAIFENG</t>
        </is>
      </c>
      <c r="H209" s="1" t="inlineStr">
        <is>
          <t>HAIFENG 05/02/2026</t>
        </is>
      </c>
      <c r="I209" s="4" t="n">
        <v>1</v>
      </c>
      <c r="J209" s="6" t="n">
        <v>8.99</v>
      </c>
      <c r="K209" s="6" t="n">
        <v>191.9750886</v>
      </c>
      <c r="L209" s="6">
        <f>I209*K209</f>
        <v/>
      </c>
      <c r="M209" s="6">
        <f>K209*4</f>
        <v/>
      </c>
      <c r="N209" s="6" t="n">
        <v>820</v>
      </c>
    </row>
    <row r="210">
      <c r="A210" s="1" t="inlineStr">
        <is>
          <t>15104861228013</t>
        </is>
      </c>
      <c r="B210" s="1" t="inlineStr">
        <is>
          <t>ANILLO LV RED BLOSSOM STAR ROSE GOLD</t>
        </is>
      </c>
      <c r="C210" s="1" t="inlineStr">
        <is>
          <t>7</t>
        </is>
      </c>
      <c r="D210" s="1" t="inlineStr">
        <is>
          <t>26/05/2026</t>
        </is>
      </c>
      <c r="E210" s="1" t="n">
        <v>2026</v>
      </c>
      <c r="F210" s="1" t="inlineStr">
        <is>
          <t>MAYO</t>
        </is>
      </c>
      <c r="G210" s="1" t="inlineStr">
        <is>
          <t>HAIFENG</t>
        </is>
      </c>
      <c r="H210" s="1" t="inlineStr">
        <is>
          <t>HAIFENG 26/05/2026</t>
        </is>
      </c>
      <c r="I210" s="4" t="n">
        <v>2</v>
      </c>
      <c r="J210" s="6" t="n">
        <v>8.99</v>
      </c>
      <c r="K210" s="6" t="n">
        <v>188.6937647</v>
      </c>
      <c r="L210" s="6">
        <f>I210*K210</f>
        <v/>
      </c>
      <c r="M210" s="6">
        <f>K210*4</f>
        <v/>
      </c>
      <c r="N210" s="6" t="n">
        <v>820</v>
      </c>
    </row>
    <row r="211">
      <c r="A211" s="1" t="inlineStr">
        <is>
          <t>15104861336493</t>
        </is>
      </c>
      <c r="B211" s="1" t="inlineStr">
        <is>
          <t>ANILLO LV GREEN BLOSSOM STAR ROSE GOLD</t>
        </is>
      </c>
      <c r="C211" s="1" t="inlineStr">
        <is>
          <t>6</t>
        </is>
      </c>
      <c r="D211" s="1" t="inlineStr">
        <is>
          <t>05/02/2026</t>
        </is>
      </c>
      <c r="E211" s="1" t="n">
        <v>2026</v>
      </c>
      <c r="F211" s="1" t="inlineStr">
        <is>
          <t>FEBRERO</t>
        </is>
      </c>
      <c r="G211" s="1" t="inlineStr">
        <is>
          <t>HAIFENG</t>
        </is>
      </c>
      <c r="H211" s="1" t="inlineStr">
        <is>
          <t>HAIFENG 05/02/2026</t>
        </is>
      </c>
      <c r="I211" s="4" t="n">
        <v>1</v>
      </c>
      <c r="J211" s="6" t="n">
        <v>8.99</v>
      </c>
      <c r="K211" s="6" t="n">
        <v>191.9750886</v>
      </c>
      <c r="L211" s="6">
        <f>I211*K211</f>
        <v/>
      </c>
      <c r="M211" s="6">
        <f>K211*4</f>
        <v/>
      </c>
      <c r="N211" s="6" t="n">
        <v>820</v>
      </c>
    </row>
    <row r="212">
      <c r="A212" s="1" t="inlineStr">
        <is>
          <t>15104861469261</t>
        </is>
      </c>
      <c r="B212" s="1" t="inlineStr">
        <is>
          <t>ANILLO LV GREEN BLOSSOM STAR ROSE GOLD</t>
        </is>
      </c>
      <c r="C212" s="1" t="inlineStr">
        <is>
          <t>7</t>
        </is>
      </c>
      <c r="D212" s="1" t="inlineStr">
        <is>
          <t>05/02/2026</t>
        </is>
      </c>
      <c r="E212" s="1" t="n">
        <v>2026</v>
      </c>
      <c r="F212" s="1" t="inlineStr">
        <is>
          <t>FEBRERO</t>
        </is>
      </c>
      <c r="G212" s="1" t="inlineStr">
        <is>
          <t>HAIFENG</t>
        </is>
      </c>
      <c r="H212" s="1" t="inlineStr">
        <is>
          <t>HAIFENG 05/02/2026</t>
        </is>
      </c>
      <c r="I212" s="4" t="n">
        <v>1</v>
      </c>
      <c r="J212" s="6" t="n">
        <v>8.99</v>
      </c>
      <c r="K212" s="6" t="n">
        <v>191.9750886</v>
      </c>
      <c r="L212" s="6">
        <f>I212*K212</f>
        <v/>
      </c>
      <c r="M212" s="6">
        <f>K212*4</f>
        <v/>
      </c>
      <c r="N212" s="6" t="n">
        <v>820</v>
      </c>
    </row>
    <row r="213">
      <c r="A213" s="1" t="inlineStr">
        <is>
          <t>15104861469261</t>
        </is>
      </c>
      <c r="B213" s="1" t="inlineStr">
        <is>
          <t>ANILLO LV GREEN BLOSSOM STAR ROSE GOLD</t>
        </is>
      </c>
      <c r="C213" s="1" t="inlineStr">
        <is>
          <t>7</t>
        </is>
      </c>
      <c r="D213" s="1" t="inlineStr">
        <is>
          <t>26/05/2026</t>
        </is>
      </c>
      <c r="E213" s="1" t="n">
        <v>2026</v>
      </c>
      <c r="F213" s="1" t="inlineStr">
        <is>
          <t>MAYO</t>
        </is>
      </c>
      <c r="G213" s="1" t="inlineStr">
        <is>
          <t>HAIFENG</t>
        </is>
      </c>
      <c r="H213" s="1" t="inlineStr">
        <is>
          <t>HAIFENG 26/05/2026</t>
        </is>
      </c>
      <c r="I213" s="4" t="n">
        <v>2</v>
      </c>
      <c r="J213" s="6" t="n">
        <v>8.99</v>
      </c>
      <c r="K213" s="6" t="n">
        <v>188.6937647</v>
      </c>
      <c r="L213" s="6">
        <f>I213*K213</f>
        <v/>
      </c>
      <c r="M213" s="6">
        <f>K213*4</f>
        <v/>
      </c>
      <c r="N213" s="6" t="n">
        <v>820</v>
      </c>
    </row>
    <row r="214">
      <c r="A214" s="1" t="inlineStr">
        <is>
          <t>15104861551757</t>
        </is>
      </c>
      <c r="B214" s="1" t="inlineStr">
        <is>
          <t>BRAZALETE IDYLLE ROSE GOLD ZIRCONIAS</t>
        </is>
      </c>
      <c r="C214" s="1" t="inlineStr">
        <is>
          <t>Default Title</t>
        </is>
      </c>
      <c r="D214" s="1" t="inlineStr">
        <is>
          <t>05/02/2026</t>
        </is>
      </c>
      <c r="E214" s="1" t="n">
        <v>2026</v>
      </c>
      <c r="F214" s="1" t="inlineStr">
        <is>
          <t>FEBRERO</t>
        </is>
      </c>
      <c r="G214" s="1" t="inlineStr">
        <is>
          <t>HAIFENG</t>
        </is>
      </c>
      <c r="H214" s="1" t="inlineStr">
        <is>
          <t>HAIFENG 05/02/2026</t>
        </is>
      </c>
      <c r="I214" s="4" t="n">
        <v>2</v>
      </c>
      <c r="J214" s="6" t="n">
        <v>15</v>
      </c>
      <c r="K214" s="6" t="n">
        <v>320.3143858</v>
      </c>
      <c r="L214" s="6">
        <f>I214*K214</f>
        <v/>
      </c>
      <c r="M214" s="6">
        <f>K214*4</f>
        <v/>
      </c>
      <c r="N214" s="6" t="n">
        <v>1299</v>
      </c>
    </row>
    <row r="215">
      <c r="A215" s="1" t="inlineStr">
        <is>
          <t>15104861551757</t>
        </is>
      </c>
      <c r="B215" s="1" t="inlineStr">
        <is>
          <t>BRAZALETE IDYLLE ROSE GOLD ZIRCONIAS</t>
        </is>
      </c>
      <c r="C215" s="1" t="inlineStr">
        <is>
          <t>Default Title</t>
        </is>
      </c>
      <c r="D215" s="1" t="inlineStr">
        <is>
          <t>26/05/2026</t>
        </is>
      </c>
      <c r="E215" s="1" t="n">
        <v>2026</v>
      </c>
      <c r="F215" s="1" t="inlineStr">
        <is>
          <t>MAYO</t>
        </is>
      </c>
      <c r="G215" s="1" t="inlineStr">
        <is>
          <t>HAIFENG</t>
        </is>
      </c>
      <c r="H215" s="1" t="inlineStr">
        <is>
          <t>HAIFENG 26/05/2026</t>
        </is>
      </c>
      <c r="I215" s="4" t="n">
        <v>2</v>
      </c>
      <c r="J215" s="6" t="n">
        <v>15</v>
      </c>
      <c r="K215" s="6" t="n">
        <v>314.8394294</v>
      </c>
      <c r="L215" s="6">
        <f>I215*K215</f>
        <v/>
      </c>
      <c r="M215" s="6">
        <f>K215*4</f>
        <v/>
      </c>
      <c r="N215" s="6" t="n">
        <v>1299</v>
      </c>
    </row>
    <row r="216">
      <c r="A216" s="1" t="inlineStr">
        <is>
          <t>15104861653453</t>
        </is>
      </c>
      <c r="B216" s="1" t="inlineStr">
        <is>
          <t>PULSERA LV BLOSSOM ROSE GOLD RED</t>
        </is>
      </c>
      <c r="C216" s="1" t="inlineStr">
        <is>
          <t>Default Title</t>
        </is>
      </c>
      <c r="D216" s="1" t="inlineStr">
        <is>
          <t>05/02/2026</t>
        </is>
      </c>
      <c r="E216" s="1" t="n">
        <v>2026</v>
      </c>
      <c r="F216" s="1" t="inlineStr">
        <is>
          <t>FEBRERO</t>
        </is>
      </c>
      <c r="G216" s="1" t="inlineStr">
        <is>
          <t>HAIFENG</t>
        </is>
      </c>
      <c r="H216" s="1" t="inlineStr">
        <is>
          <t>HAIFENG 05/02/2026</t>
        </is>
      </c>
      <c r="I216" s="4" t="n">
        <v>2</v>
      </c>
      <c r="J216" s="6" t="n">
        <v>11</v>
      </c>
      <c r="K216" s="6" t="n">
        <v>234.8972162</v>
      </c>
      <c r="L216" s="6">
        <f>I216*K216</f>
        <v/>
      </c>
      <c r="M216" s="6">
        <f>K216*4</f>
        <v/>
      </c>
      <c r="N216" s="6" t="n">
        <v>1199</v>
      </c>
    </row>
    <row r="217">
      <c r="A217" s="1" t="inlineStr">
        <is>
          <t>15104861653453</t>
        </is>
      </c>
      <c r="B217" s="1" t="inlineStr">
        <is>
          <t>PULSERA LV BLOSSOM ROSE GOLD RED</t>
        </is>
      </c>
      <c r="C217" s="1" t="inlineStr">
        <is>
          <t>Default Title</t>
        </is>
      </c>
      <c r="D217" s="1" t="inlineStr">
        <is>
          <t>16/04/2026</t>
        </is>
      </c>
      <c r="E217" s="1" t="n">
        <v>2026</v>
      </c>
      <c r="F217" s="1" t="inlineStr">
        <is>
          <t>ABRIL</t>
        </is>
      </c>
      <c r="G217" s="1" t="inlineStr">
        <is>
          <t>HAIFENG</t>
        </is>
      </c>
      <c r="H217" s="1" t="inlineStr">
        <is>
          <t>HAIFENG 16/04/2026</t>
        </is>
      </c>
      <c r="I217" s="4" t="n">
        <v>2</v>
      </c>
      <c r="J217" s="6" t="n">
        <v>11</v>
      </c>
      <c r="K217" s="6" t="n">
        <v>231.3462095</v>
      </c>
      <c r="L217" s="6">
        <f>I217*K217</f>
        <v/>
      </c>
      <c r="M217" s="6">
        <f>K217*4</f>
        <v/>
      </c>
      <c r="N217" s="6" t="n">
        <v>1199</v>
      </c>
    </row>
    <row r="218">
      <c r="A218" s="1" t="inlineStr">
        <is>
          <t>15104861720685</t>
        </is>
      </c>
      <c r="B218" s="1" t="inlineStr">
        <is>
          <t>PULSERA LV SILVER LOGOS PEARL</t>
        </is>
      </c>
      <c r="C218" s="1" t="inlineStr">
        <is>
          <t>Default Title</t>
        </is>
      </c>
      <c r="D218" s="1" t="inlineStr">
        <is>
          <t>05/02/2026</t>
        </is>
      </c>
      <c r="E218" s="1" t="n">
        <v>2026</v>
      </c>
      <c r="F218" s="1" t="inlineStr">
        <is>
          <t>FEBRERO</t>
        </is>
      </c>
      <c r="G218" s="1" t="inlineStr">
        <is>
          <t>HAIFENG</t>
        </is>
      </c>
      <c r="H218" s="1" t="inlineStr">
        <is>
          <t>HAIFENG 05/02/2026</t>
        </is>
      </c>
      <c r="I218" s="4" t="n">
        <v>2</v>
      </c>
      <c r="J218" s="6" t="n">
        <v>13</v>
      </c>
      <c r="K218" s="6" t="n">
        <v>277.605801</v>
      </c>
      <c r="L218" s="6">
        <f>I218*K218</f>
        <v/>
      </c>
      <c r="M218" s="6">
        <f>K218*4</f>
        <v/>
      </c>
      <c r="N218" s="6" t="n">
        <v>1071.2</v>
      </c>
    </row>
    <row r="219">
      <c r="A219" s="1" t="inlineStr">
        <is>
          <t>15104861829165</t>
        </is>
      </c>
      <c r="B219" s="1" t="inlineStr">
        <is>
          <t>COLLAR SUN BLACK BLOSSOM GOLD</t>
        </is>
      </c>
      <c r="C219" s="1" t="inlineStr">
        <is>
          <t>Default Title</t>
        </is>
      </c>
      <c r="D219" s="1" t="inlineStr">
        <is>
          <t>05/02/2026</t>
        </is>
      </c>
      <c r="E219" s="1" t="n">
        <v>2026</v>
      </c>
      <c r="F219" s="1" t="inlineStr">
        <is>
          <t>FEBRERO</t>
        </is>
      </c>
      <c r="G219" s="1" t="inlineStr">
        <is>
          <t>HAIFENG</t>
        </is>
      </c>
      <c r="H219" s="1" t="inlineStr">
        <is>
          <t>HAIFENG 05/02/2026</t>
        </is>
      </c>
      <c r="I219" s="4" t="n">
        <v>2</v>
      </c>
      <c r="J219" s="6" t="n">
        <v>5.99</v>
      </c>
      <c r="K219" s="6" t="n">
        <v>127.9122114</v>
      </c>
      <c r="L219" s="6">
        <f>I219*K219</f>
        <v/>
      </c>
      <c r="M219" s="6">
        <f>K219*4</f>
        <v/>
      </c>
      <c r="N219" s="6" t="n">
        <v>680</v>
      </c>
    </row>
    <row r="220">
      <c r="A220" s="1" t="inlineStr">
        <is>
          <t>15104861829165</t>
        </is>
      </c>
      <c r="B220" s="1" t="inlineStr">
        <is>
          <t>COLLAR SUN BLACK BLOSSOM GOLD</t>
        </is>
      </c>
      <c r="C220" s="1" t="inlineStr">
        <is>
          <t>Default Title</t>
        </is>
      </c>
      <c r="D220" s="1" t="inlineStr">
        <is>
          <t>26/05/2026</t>
        </is>
      </c>
      <c r="E220" s="1" t="n">
        <v>2026</v>
      </c>
      <c r="F220" s="1" t="inlineStr">
        <is>
          <t>MAYO</t>
        </is>
      </c>
      <c r="G220" s="1" t="inlineStr">
        <is>
          <t>HAIFENG</t>
        </is>
      </c>
      <c r="H220" s="1" t="inlineStr">
        <is>
          <t>HAIFENG 26/05/2026</t>
        </is>
      </c>
      <c r="I220" s="4" t="n">
        <v>2</v>
      </c>
      <c r="J220" s="6" t="n">
        <v>5.99</v>
      </c>
      <c r="K220" s="6" t="n">
        <v>125.7258788</v>
      </c>
      <c r="L220" s="6">
        <f>I220*K220</f>
        <v/>
      </c>
      <c r="M220" s="6">
        <f>K220*4</f>
        <v/>
      </c>
      <c r="N220" s="6" t="n">
        <v>680</v>
      </c>
    </row>
    <row r="221">
      <c r="A221" s="1" t="inlineStr">
        <is>
          <t>15104861996397</t>
        </is>
      </c>
      <c r="B221" s="1" t="inlineStr">
        <is>
          <t>COLLAR SUN BLACK BLOSSOM ROSE GOLD</t>
        </is>
      </c>
      <c r="C221" s="1" t="inlineStr">
        <is>
          <t>Default Title</t>
        </is>
      </c>
      <c r="D221" s="1" t="inlineStr">
        <is>
          <t>05/02/2026</t>
        </is>
      </c>
      <c r="E221" s="1" t="n">
        <v>2026</v>
      </c>
      <c r="F221" s="1" t="inlineStr">
        <is>
          <t>FEBRERO</t>
        </is>
      </c>
      <c r="G221" s="1" t="inlineStr">
        <is>
          <t>HAIFENG</t>
        </is>
      </c>
      <c r="H221" s="1" t="inlineStr">
        <is>
          <t>HAIFENG 05/02/2026</t>
        </is>
      </c>
      <c r="I221" s="4" t="n">
        <v>1</v>
      </c>
      <c r="J221" s="6" t="n">
        <v>5.99</v>
      </c>
      <c r="K221" s="6" t="n">
        <v>127.9122114</v>
      </c>
      <c r="L221" s="6">
        <f>I221*K221</f>
        <v/>
      </c>
      <c r="M221" s="6">
        <f>K221*4</f>
        <v/>
      </c>
      <c r="N221" s="6" t="n">
        <v>680</v>
      </c>
    </row>
    <row r="222">
      <c r="A222" s="1" t="inlineStr">
        <is>
          <t>15104862051213</t>
        </is>
      </c>
      <c r="B222" s="1" t="inlineStr">
        <is>
          <t>COLLAR SUN GREEN BLOSSOM GOLD</t>
        </is>
      </c>
      <c r="C222" s="1" t="inlineStr">
        <is>
          <t>Default Title</t>
        </is>
      </c>
      <c r="D222" s="1" t="inlineStr">
        <is>
          <t>05/02/2026</t>
        </is>
      </c>
      <c r="E222" s="1" t="n">
        <v>2026</v>
      </c>
      <c r="F222" s="1" t="inlineStr">
        <is>
          <t>FEBRERO</t>
        </is>
      </c>
      <c r="G222" s="1" t="inlineStr">
        <is>
          <t>HAIFENG</t>
        </is>
      </c>
      <c r="H222" s="1" t="inlineStr">
        <is>
          <t>HAIFENG 05/02/2026</t>
        </is>
      </c>
      <c r="I222" s="4" t="n">
        <v>2</v>
      </c>
      <c r="J222" s="6" t="n">
        <v>5.99</v>
      </c>
      <c r="K222" s="6" t="n">
        <v>127.9122114</v>
      </c>
      <c r="L222" s="6">
        <f>I222*K222</f>
        <v/>
      </c>
      <c r="M222" s="6">
        <f>K222*4</f>
        <v/>
      </c>
      <c r="N222" s="6" t="n">
        <v>680</v>
      </c>
    </row>
    <row r="223">
      <c r="A223" s="1" t="inlineStr">
        <is>
          <t>15104862051213</t>
        </is>
      </c>
      <c r="B223" s="1" t="inlineStr">
        <is>
          <t>COLLAR SUN GREEN BLOSSOM GOLD</t>
        </is>
      </c>
      <c r="C223" s="1" t="inlineStr">
        <is>
          <t>Default Title</t>
        </is>
      </c>
      <c r="D223" s="1" t="inlineStr">
        <is>
          <t>26/05/2026</t>
        </is>
      </c>
      <c r="E223" s="1" t="n">
        <v>2026</v>
      </c>
      <c r="F223" s="1" t="inlineStr">
        <is>
          <t>MAYO</t>
        </is>
      </c>
      <c r="G223" s="1" t="inlineStr">
        <is>
          <t>HAIFENG</t>
        </is>
      </c>
      <c r="H223" s="1" t="inlineStr">
        <is>
          <t>HAIFENG 26/05/2026</t>
        </is>
      </c>
      <c r="I223" s="4" t="n">
        <v>2</v>
      </c>
      <c r="J223" s="6" t="n">
        <v>5.99</v>
      </c>
      <c r="K223" s="6" t="n">
        <v>125.7258788</v>
      </c>
      <c r="L223" s="6">
        <f>I223*K223</f>
        <v/>
      </c>
      <c r="M223" s="6">
        <f>K223*4</f>
        <v/>
      </c>
      <c r="N223" s="6" t="n">
        <v>680</v>
      </c>
    </row>
    <row r="224">
      <c r="A224" s="1" t="inlineStr">
        <is>
          <t>15104862187373</t>
        </is>
      </c>
      <c r="B224" s="1" t="inlineStr">
        <is>
          <t>COLLAR SUN GREEN BLOSSOM ROSE GOLD</t>
        </is>
      </c>
      <c r="C224" s="1" t="inlineStr">
        <is>
          <t>Default Title</t>
        </is>
      </c>
      <c r="D224" s="1" t="inlineStr">
        <is>
          <t>05/02/2026</t>
        </is>
      </c>
      <c r="E224" s="1" t="n">
        <v>2026</v>
      </c>
      <c r="F224" s="1" t="inlineStr">
        <is>
          <t>FEBRERO</t>
        </is>
      </c>
      <c r="G224" s="1" t="inlineStr">
        <is>
          <t>HAIFENG</t>
        </is>
      </c>
      <c r="H224" s="1" t="inlineStr">
        <is>
          <t>HAIFENG 05/02/2026</t>
        </is>
      </c>
      <c r="I224" s="4" t="n">
        <v>1</v>
      </c>
      <c r="J224" s="6" t="n">
        <v>5.99</v>
      </c>
      <c r="K224" s="6" t="n">
        <v>127.9122114</v>
      </c>
      <c r="L224" s="6">
        <f>I224*K224</f>
        <v/>
      </c>
      <c r="M224" s="6">
        <f>K224*4</f>
        <v/>
      </c>
      <c r="N224" s="6" t="n">
        <v>442</v>
      </c>
    </row>
    <row r="225">
      <c r="A225" s="1" t="inlineStr">
        <is>
          <t>15104862263629</t>
        </is>
      </c>
      <c r="B225" s="1" t="inlineStr">
        <is>
          <t>COLLAR SUN RED BLOSSOM GOLD</t>
        </is>
      </c>
      <c r="C225" s="1" t="inlineStr">
        <is>
          <t>Default Title</t>
        </is>
      </c>
      <c r="D225" s="1" t="inlineStr">
        <is>
          <t>05/02/2026</t>
        </is>
      </c>
      <c r="E225" s="1" t="n">
        <v>2026</v>
      </c>
      <c r="F225" s="1" t="inlineStr">
        <is>
          <t>FEBRERO</t>
        </is>
      </c>
      <c r="G225" s="1" t="inlineStr">
        <is>
          <t>HAIFENG</t>
        </is>
      </c>
      <c r="H225" s="1" t="inlineStr">
        <is>
          <t>HAIFENG 05/02/2026</t>
        </is>
      </c>
      <c r="I225" s="4" t="n">
        <v>2</v>
      </c>
      <c r="J225" s="6" t="n">
        <v>5.99</v>
      </c>
      <c r="K225" s="6" t="n">
        <v>127.9122114</v>
      </c>
      <c r="L225" s="6">
        <f>I225*K225</f>
        <v/>
      </c>
      <c r="M225" s="6">
        <f>K225*4</f>
        <v/>
      </c>
      <c r="N225" s="6" t="n">
        <v>680</v>
      </c>
    </row>
    <row r="226">
      <c r="A226" s="1" t="inlineStr">
        <is>
          <t>15104862263629</t>
        </is>
      </c>
      <c r="B226" s="1" t="inlineStr">
        <is>
          <t>COLLAR SUN RED BLOSSOM GOLD</t>
        </is>
      </c>
      <c r="C226" s="1" t="inlineStr">
        <is>
          <t>Default Title</t>
        </is>
      </c>
      <c r="D226" s="1" t="inlineStr">
        <is>
          <t>26/05/2026</t>
        </is>
      </c>
      <c r="E226" s="1" t="n">
        <v>2026</v>
      </c>
      <c r="F226" s="1" t="inlineStr">
        <is>
          <t>MAYO</t>
        </is>
      </c>
      <c r="G226" s="1" t="inlineStr">
        <is>
          <t>HAIFENG</t>
        </is>
      </c>
      <c r="H226" s="1" t="inlineStr">
        <is>
          <t>HAIFENG 26/05/2026</t>
        </is>
      </c>
      <c r="I226" s="4" t="n">
        <v>3</v>
      </c>
      <c r="J226" s="6" t="n">
        <v>5.99</v>
      </c>
      <c r="K226" s="6" t="n">
        <v>125.7258788</v>
      </c>
      <c r="L226" s="6">
        <f>I226*K226</f>
        <v/>
      </c>
      <c r="M226" s="6">
        <f>K226*4</f>
        <v/>
      </c>
      <c r="N226" s="6" t="n">
        <v>680</v>
      </c>
    </row>
    <row r="227">
      <c r="A227" s="1" t="inlineStr">
        <is>
          <t>15104862383981</t>
        </is>
      </c>
      <c r="B227" s="1" t="inlineStr">
        <is>
          <t>COLLAR SUN RED BLOSSOM ROSE GOLD</t>
        </is>
      </c>
      <c r="C227" s="1" t="inlineStr">
        <is>
          <t>Default Title</t>
        </is>
      </c>
      <c r="D227" s="1" t="inlineStr">
        <is>
          <t>05/02/2026</t>
        </is>
      </c>
      <c r="E227" s="1" t="n">
        <v>2026</v>
      </c>
      <c r="F227" s="1" t="inlineStr">
        <is>
          <t>FEBRERO</t>
        </is>
      </c>
      <c r="G227" s="1" t="inlineStr">
        <is>
          <t>HAIFENG</t>
        </is>
      </c>
      <c r="H227" s="1" t="inlineStr">
        <is>
          <t>HAIFENG 05/02/2026</t>
        </is>
      </c>
      <c r="I227" s="4" t="n">
        <v>1</v>
      </c>
      <c r="J227" s="6" t="n">
        <v>5.99</v>
      </c>
      <c r="K227" s="6" t="n">
        <v>127.9122114</v>
      </c>
      <c r="L227" s="6">
        <f>I227*K227</f>
        <v/>
      </c>
      <c r="M227" s="6">
        <f>K227*4</f>
        <v/>
      </c>
      <c r="N227" s="6" t="n">
        <v>680</v>
      </c>
    </row>
    <row r="228">
      <c r="A228" s="1" t="inlineStr">
        <is>
          <t>15104862383981</t>
        </is>
      </c>
      <c r="B228" s="1" t="inlineStr">
        <is>
          <t>COLLAR SUN RED BLOSSOM ROSE GOLD</t>
        </is>
      </c>
      <c r="C228" s="1" t="inlineStr">
        <is>
          <t>Default Title</t>
        </is>
      </c>
      <c r="D228" s="1" t="inlineStr">
        <is>
          <t>06/05/2026</t>
        </is>
      </c>
      <c r="E228" s="1" t="n">
        <v>2026</v>
      </c>
      <c r="F228" s="1" t="inlineStr">
        <is>
          <t>MAYO</t>
        </is>
      </c>
      <c r="G228" s="1" t="inlineStr">
        <is>
          <t>HAIFENG</t>
        </is>
      </c>
      <c r="H228" s="1" t="inlineStr">
        <is>
          <t>HAIFENG 06/05/2026</t>
        </is>
      </c>
      <c r="I228" s="4" t="n">
        <v>2</v>
      </c>
      <c r="J228" s="6" t="n">
        <v>5.99</v>
      </c>
      <c r="K228" s="6" t="n">
        <v>127.0996672</v>
      </c>
      <c r="L228" s="6">
        <f>I228*K228</f>
        <v/>
      </c>
      <c r="M228" s="6">
        <f>K228*4</f>
        <v/>
      </c>
      <c r="N228" s="6" t="n">
        <v>680</v>
      </c>
    </row>
    <row r="229">
      <c r="A229" s="1" t="inlineStr">
        <is>
          <t>15104862489069</t>
        </is>
      </c>
      <c r="B229" s="1" t="inlineStr">
        <is>
          <t>ARETES LV FLOWERGRAM GOLD</t>
        </is>
      </c>
      <c r="C229" s="1" t="inlineStr">
        <is>
          <t>Default Title</t>
        </is>
      </c>
      <c r="D229" s="1" t="inlineStr">
        <is>
          <t>05/02/2026</t>
        </is>
      </c>
      <c r="E229" s="1" t="n">
        <v>2026</v>
      </c>
      <c r="F229" s="1" t="inlineStr">
        <is>
          <t>FEBRERO</t>
        </is>
      </c>
      <c r="G229" s="1" t="inlineStr">
        <is>
          <t>HAIFENG</t>
        </is>
      </c>
      <c r="H229" s="1" t="inlineStr">
        <is>
          <t>HAIFENG 05/02/2026</t>
        </is>
      </c>
      <c r="I229" s="4" t="n">
        <v>3</v>
      </c>
      <c r="J229" s="6" t="n">
        <v>8.99</v>
      </c>
      <c r="K229" s="6" t="n">
        <v>191.9750886</v>
      </c>
      <c r="L229" s="6">
        <f>I229*K229</f>
        <v/>
      </c>
      <c r="M229" s="6">
        <f>K229*4</f>
        <v/>
      </c>
      <c r="N229" s="6" t="n">
        <v>820</v>
      </c>
    </row>
    <row r="230">
      <c r="A230" s="1" t="inlineStr">
        <is>
          <t>15104862489069</t>
        </is>
      </c>
      <c r="B230" s="1" t="inlineStr">
        <is>
          <t>ARETES LV FLOWERGRAM GOLD</t>
        </is>
      </c>
      <c r="C230" s="1" t="inlineStr">
        <is>
          <t>Default Title</t>
        </is>
      </c>
      <c r="D230" s="1" t="inlineStr">
        <is>
          <t>06/05/2026</t>
        </is>
      </c>
      <c r="E230" s="1" t="n">
        <v>2026</v>
      </c>
      <c r="F230" s="1" t="inlineStr">
        <is>
          <t>MAYO</t>
        </is>
      </c>
      <c r="G230" s="1" t="inlineStr">
        <is>
          <t>HAIFENG</t>
        </is>
      </c>
      <c r="H230" s="1" t="inlineStr">
        <is>
          <t>HAIFENG 06/05/2026</t>
        </is>
      </c>
      <c r="I230" s="4" t="n">
        <v>1</v>
      </c>
      <c r="J230" s="6" t="n">
        <v>8.99</v>
      </c>
      <c r="K230" s="6" t="n">
        <v>190.755594</v>
      </c>
      <c r="L230" s="6">
        <f>I230*K230</f>
        <v/>
      </c>
      <c r="M230" s="6">
        <f>K230*4</f>
        <v/>
      </c>
      <c r="N230" s="6" t="n">
        <v>820</v>
      </c>
    </row>
    <row r="231">
      <c r="A231" s="1" t="inlineStr">
        <is>
          <t>15104862489069</t>
        </is>
      </c>
      <c r="B231" s="1" t="inlineStr">
        <is>
          <t>ARETES LV FLOWERGRAM GOLD</t>
        </is>
      </c>
      <c r="C231" s="1" t="inlineStr">
        <is>
          <t>Default Title</t>
        </is>
      </c>
      <c r="D231" s="1" t="inlineStr">
        <is>
          <t>16/06/2026</t>
        </is>
      </c>
      <c r="E231" s="1" t="n">
        <v>2026</v>
      </c>
      <c r="F231" s="1" t="inlineStr">
        <is>
          <t>JUNIO</t>
        </is>
      </c>
      <c r="G231" s="1" t="inlineStr">
        <is>
          <t>HAIFENG</t>
        </is>
      </c>
      <c r="H231" s="1" t="inlineStr">
        <is>
          <t>HAIFENG 16/06/2026</t>
        </is>
      </c>
      <c r="I231" s="4" t="n">
        <v>2</v>
      </c>
      <c r="J231" s="6" t="n">
        <v>8.99</v>
      </c>
      <c r="K231" s="6" t="n">
        <v>188.9213121</v>
      </c>
      <c r="L231" s="6">
        <f>I231*K231</f>
        <v/>
      </c>
      <c r="M231" s="6">
        <f>K231*4</f>
        <v/>
      </c>
      <c r="N231" s="6" t="n">
        <v>820</v>
      </c>
    </row>
    <row r="232">
      <c r="A232" s="1" t="inlineStr">
        <is>
          <t>15104862595853</t>
        </is>
      </c>
      <c r="B232" s="1" t="inlineStr">
        <is>
          <t>ARETES LV LOGO PEARL</t>
        </is>
      </c>
      <c r="C232" s="1" t="inlineStr">
        <is>
          <t>Default Title</t>
        </is>
      </c>
      <c r="D232" s="1" t="inlineStr">
        <is>
          <t>05/02/2026</t>
        </is>
      </c>
      <c r="E232" s="1" t="n">
        <v>2026</v>
      </c>
      <c r="F232" s="1" t="inlineStr">
        <is>
          <t>FEBRERO</t>
        </is>
      </c>
      <c r="G232" s="1" t="inlineStr">
        <is>
          <t>HAIFENG</t>
        </is>
      </c>
      <c r="H232" s="1" t="inlineStr">
        <is>
          <t>HAIFENG 05/02/2026</t>
        </is>
      </c>
      <c r="I232" s="4" t="n">
        <v>2</v>
      </c>
      <c r="J232" s="6" t="n">
        <v>8.99</v>
      </c>
      <c r="K232" s="6" t="n">
        <v>191.9750886</v>
      </c>
      <c r="L232" s="6">
        <f>I232*K232</f>
        <v/>
      </c>
      <c r="M232" s="6">
        <f>K232*4</f>
        <v/>
      </c>
      <c r="N232" s="6" t="n">
        <v>750</v>
      </c>
    </row>
    <row r="233">
      <c r="A233" s="1" t="inlineStr">
        <is>
          <t>15104862595853</t>
        </is>
      </c>
      <c r="B233" s="1" t="inlineStr">
        <is>
          <t>ARETES LV LOGO PEARL</t>
        </is>
      </c>
      <c r="C233" s="1" t="inlineStr">
        <is>
          <t>Default Title</t>
        </is>
      </c>
      <c r="D233" s="1" t="inlineStr">
        <is>
          <t>16/04/2026</t>
        </is>
      </c>
      <c r="E233" s="1" t="n">
        <v>2026</v>
      </c>
      <c r="F233" s="1" t="inlineStr">
        <is>
          <t>ABRIL</t>
        </is>
      </c>
      <c r="G233" s="1" t="inlineStr">
        <is>
          <t>HAIFENG</t>
        </is>
      </c>
      <c r="H233" s="1" t="inlineStr">
        <is>
          <t>HAIFENG 16/04/2026</t>
        </is>
      </c>
      <c r="I233" s="4" t="n">
        <v>2</v>
      </c>
      <c r="J233" s="6" t="n">
        <v>8.99</v>
      </c>
      <c r="K233" s="6" t="n">
        <v>189.0729476</v>
      </c>
      <c r="L233" s="6">
        <f>I233*K233</f>
        <v/>
      </c>
      <c r="M233" s="6">
        <f>K233*4</f>
        <v/>
      </c>
      <c r="N233" s="6" t="n">
        <v>750</v>
      </c>
    </row>
    <row r="234">
      <c r="A234" s="1" t="inlineStr">
        <is>
          <t>15104862595853</t>
        </is>
      </c>
      <c r="B234" s="1" t="inlineStr">
        <is>
          <t>ARETES LV LOGO PEARL</t>
        </is>
      </c>
      <c r="C234" s="1" t="inlineStr">
        <is>
          <t>Default Title</t>
        </is>
      </c>
      <c r="D234" s="1" t="inlineStr">
        <is>
          <t>06/05/2026</t>
        </is>
      </c>
      <c r="E234" s="1" t="n">
        <v>2026</v>
      </c>
      <c r="F234" s="1" t="inlineStr">
        <is>
          <t>MAYO</t>
        </is>
      </c>
      <c r="G234" s="1" t="inlineStr">
        <is>
          <t>HAIFENG</t>
        </is>
      </c>
      <c r="H234" s="1" t="inlineStr">
        <is>
          <t>HAIFENG 06/05/2026</t>
        </is>
      </c>
      <c r="I234" s="4" t="n">
        <v>2</v>
      </c>
      <c r="J234" s="6" t="n">
        <v>8.99</v>
      </c>
      <c r="K234" s="6" t="n">
        <v>190.755594</v>
      </c>
      <c r="L234" s="6">
        <f>I234*K234</f>
        <v/>
      </c>
      <c r="M234" s="6">
        <f>K234*4</f>
        <v/>
      </c>
      <c r="N234" s="6" t="n">
        <v>750</v>
      </c>
    </row>
    <row r="235">
      <c r="A235" s="1" t="inlineStr">
        <is>
          <t>15104862595853</t>
        </is>
      </c>
      <c r="B235" s="1" t="inlineStr">
        <is>
          <t>ARETES LV LOGO PEARL</t>
        </is>
      </c>
      <c r="C235" s="1" t="inlineStr">
        <is>
          <t>Default Title</t>
        </is>
      </c>
      <c r="D235" s="1" t="inlineStr">
        <is>
          <t>16/06/2026</t>
        </is>
      </c>
      <c r="E235" s="1" t="n">
        <v>2026</v>
      </c>
      <c r="F235" s="1" t="inlineStr">
        <is>
          <t>JUNIO</t>
        </is>
      </c>
      <c r="G235" s="1" t="inlineStr">
        <is>
          <t>HAIFENG</t>
        </is>
      </c>
      <c r="H235" s="1" t="inlineStr">
        <is>
          <t>HAIFENG 16/06/2026</t>
        </is>
      </c>
      <c r="I235" s="4" t="n">
        <v>2</v>
      </c>
      <c r="J235" s="6" t="n">
        <v>8.99</v>
      </c>
      <c r="K235" s="6" t="n">
        <v>188.9213121</v>
      </c>
      <c r="L235" s="6">
        <f>I235*K235</f>
        <v/>
      </c>
      <c r="M235" s="6">
        <f>K235*4</f>
        <v/>
      </c>
      <c r="N235" s="6" t="n">
        <v>750</v>
      </c>
    </row>
    <row r="236">
      <c r="A236" s="1" t="inlineStr">
        <is>
          <t>15104862668173</t>
        </is>
      </c>
      <c r="B236" s="1" t="inlineStr">
        <is>
          <t>COLLAR KELLY ROSE GOLD</t>
        </is>
      </c>
      <c r="C236" s="1" t="inlineStr">
        <is>
          <t>Default Title</t>
        </is>
      </c>
      <c r="D236" s="1" t="inlineStr">
        <is>
          <t>05/02/2026</t>
        </is>
      </c>
      <c r="E236" s="1" t="n">
        <v>2026</v>
      </c>
      <c r="F236" s="1" t="inlineStr">
        <is>
          <t>FEBRERO</t>
        </is>
      </c>
      <c r="G236" s="1" t="inlineStr">
        <is>
          <t>HAIFENG</t>
        </is>
      </c>
      <c r="H236" s="1" t="inlineStr">
        <is>
          <t>HAIFENG 05/02/2026</t>
        </is>
      </c>
      <c r="I236" s="4" t="n">
        <v>2</v>
      </c>
      <c r="J236" s="6" t="n">
        <v>6</v>
      </c>
      <c r="K236" s="6" t="n">
        <v>128.1257543</v>
      </c>
      <c r="L236" s="6">
        <f>I236*K236</f>
        <v/>
      </c>
      <c r="M236" s="6">
        <f>K236*4</f>
        <v/>
      </c>
      <c r="N236" s="6" t="n">
        <v>499</v>
      </c>
    </row>
    <row r="237">
      <c r="A237" s="1" t="inlineStr">
        <is>
          <t>15104862668173</t>
        </is>
      </c>
      <c r="B237" s="1" t="inlineStr">
        <is>
          <t>COLLAR KELLY ROSE GOLD</t>
        </is>
      </c>
      <c r="C237" s="1" t="inlineStr">
        <is>
          <t>Default Title</t>
        </is>
      </c>
      <c r="D237" s="1" t="inlineStr">
        <is>
          <t>26/05/2026</t>
        </is>
      </c>
      <c r="E237" s="1" t="n">
        <v>2026</v>
      </c>
      <c r="F237" s="1" t="inlineStr">
        <is>
          <t>MAYO</t>
        </is>
      </c>
      <c r="G237" s="1" t="inlineStr">
        <is>
          <t>HAIFENG</t>
        </is>
      </c>
      <c r="H237" s="1" t="inlineStr">
        <is>
          <t>HAIFENG 26/05/2026</t>
        </is>
      </c>
      <c r="I237" s="4" t="n">
        <v>2</v>
      </c>
      <c r="J237" s="6" t="n">
        <v>6</v>
      </c>
      <c r="K237" s="6" t="n">
        <v>125.9357718</v>
      </c>
      <c r="L237" s="6">
        <f>I237*K237</f>
        <v/>
      </c>
      <c r="M237" s="6">
        <f>K237*4</f>
        <v/>
      </c>
      <c r="N237" s="6" t="n">
        <v>499</v>
      </c>
    </row>
    <row r="238">
      <c r="A238" s="1" t="inlineStr">
        <is>
          <t>15104862702637</t>
        </is>
      </c>
      <c r="B238" s="1" t="inlineStr">
        <is>
          <t>ARETES H GOLD</t>
        </is>
      </c>
      <c r="C238" s="1" t="inlineStr">
        <is>
          <t>Default Title</t>
        </is>
      </c>
      <c r="D238" s="1" t="inlineStr">
        <is>
          <t>05/02/2026</t>
        </is>
      </c>
      <c r="E238" s="1" t="n">
        <v>2026</v>
      </c>
      <c r="F238" s="1" t="inlineStr">
        <is>
          <t>FEBRERO</t>
        </is>
      </c>
      <c r="G238" s="1" t="inlineStr">
        <is>
          <t>HAIFENG</t>
        </is>
      </c>
      <c r="H238" s="1" t="inlineStr">
        <is>
          <t>HAIFENG 05/02/2026</t>
        </is>
      </c>
      <c r="I238" s="4" t="n">
        <v>3</v>
      </c>
      <c r="J238" s="6" t="n">
        <v>8.9</v>
      </c>
      <c r="K238" s="6" t="n">
        <v>190.0532022</v>
      </c>
      <c r="L238" s="6">
        <f>I238*K238</f>
        <v/>
      </c>
      <c r="M238" s="6">
        <f>K238*4</f>
        <v/>
      </c>
      <c r="N238" s="6" t="n">
        <v>780</v>
      </c>
    </row>
    <row r="239">
      <c r="A239" s="1" t="inlineStr">
        <is>
          <t>15104862702637</t>
        </is>
      </c>
      <c r="B239" s="1" t="inlineStr">
        <is>
          <t>ARETES H GOLD</t>
        </is>
      </c>
      <c r="C239" s="1" t="inlineStr">
        <is>
          <t>Default Title</t>
        </is>
      </c>
      <c r="D239" s="1" t="inlineStr">
        <is>
          <t>16/04/2026</t>
        </is>
      </c>
      <c r="E239" s="1" t="n">
        <v>2026</v>
      </c>
      <c r="F239" s="1" t="inlineStr">
        <is>
          <t>ABRIL</t>
        </is>
      </c>
      <c r="G239" s="1" t="inlineStr">
        <is>
          <t>HAIFENG</t>
        </is>
      </c>
      <c r="H239" s="1" t="inlineStr">
        <is>
          <t>HAIFENG 16/04/2026</t>
        </is>
      </c>
      <c r="I239" s="4" t="n">
        <v>3</v>
      </c>
      <c r="J239" s="6" t="n">
        <v>8.9</v>
      </c>
      <c r="K239" s="6" t="n">
        <v>187.1801149</v>
      </c>
      <c r="L239" s="6">
        <f>I239*K239</f>
        <v/>
      </c>
      <c r="M239" s="6">
        <f>K239*4</f>
        <v/>
      </c>
      <c r="N239" s="6" t="n">
        <v>780</v>
      </c>
    </row>
    <row r="240">
      <c r="A240" s="1" t="inlineStr">
        <is>
          <t>15104862702637</t>
        </is>
      </c>
      <c r="B240" s="1" t="inlineStr">
        <is>
          <t>ARETES H GOLD</t>
        </is>
      </c>
      <c r="C240" s="1" t="inlineStr">
        <is>
          <t>Default Title</t>
        </is>
      </c>
      <c r="D240" s="1" t="inlineStr">
        <is>
          <t>06/05/2026</t>
        </is>
      </c>
      <c r="E240" s="1" t="n">
        <v>2026</v>
      </c>
      <c r="F240" s="1" t="inlineStr">
        <is>
          <t>MAYO</t>
        </is>
      </c>
      <c r="G240" s="1" t="inlineStr">
        <is>
          <t>HAIFENG</t>
        </is>
      </c>
      <c r="H240" s="1" t="inlineStr">
        <is>
          <t>HAIFENG 06/05/2026</t>
        </is>
      </c>
      <c r="I240" s="4" t="n">
        <v>3</v>
      </c>
      <c r="J240" s="6" t="n">
        <v>8.9</v>
      </c>
      <c r="K240" s="6" t="n">
        <v>188.8459162</v>
      </c>
      <c r="L240" s="6">
        <f>I240*K240</f>
        <v/>
      </c>
      <c r="M240" s="6">
        <f>K240*4</f>
        <v/>
      </c>
      <c r="N240" s="6" t="n">
        <v>780</v>
      </c>
    </row>
    <row r="241">
      <c r="A241" s="1" t="inlineStr">
        <is>
          <t>15104862806029</t>
        </is>
      </c>
      <c r="B241" s="1" t="inlineStr">
        <is>
          <t>ARETES LOGO H ROSE GOLD ZIRCONIAS</t>
        </is>
      </c>
      <c r="C241" s="1" t="inlineStr">
        <is>
          <t>Default Title</t>
        </is>
      </c>
      <c r="D241" s="1" t="inlineStr">
        <is>
          <t>05/02/2026</t>
        </is>
      </c>
      <c r="E241" s="1" t="n">
        <v>2026</v>
      </c>
      <c r="F241" s="1" t="inlineStr">
        <is>
          <t>FEBRERO</t>
        </is>
      </c>
      <c r="G241" s="1" t="inlineStr">
        <is>
          <t>HAIFENG</t>
        </is>
      </c>
      <c r="H241" s="1" t="inlineStr">
        <is>
          <t>HAIFENG 05/02/2026</t>
        </is>
      </c>
      <c r="I241" s="4" t="n">
        <v>3</v>
      </c>
      <c r="J241" s="6" t="n">
        <v>8</v>
      </c>
      <c r="K241" s="6" t="n">
        <v>170.8343391</v>
      </c>
      <c r="L241" s="6">
        <f>I241*K241</f>
        <v/>
      </c>
      <c r="M241" s="6">
        <f>K241*4</f>
        <v/>
      </c>
      <c r="N241" s="6" t="n">
        <v>669.2</v>
      </c>
    </row>
    <row r="242">
      <c r="A242" s="1" t="inlineStr">
        <is>
          <t>15104862909421</t>
        </is>
      </c>
      <c r="B242" s="1" t="inlineStr">
        <is>
          <t>COLLAR PANTHERE LISO GOLD</t>
        </is>
      </c>
      <c r="C242" s="1" t="inlineStr">
        <is>
          <t>Default Title</t>
        </is>
      </c>
      <c r="D242" s="1" t="inlineStr">
        <is>
          <t>05/02/2026</t>
        </is>
      </c>
      <c r="E242" s="1" t="n">
        <v>2026</v>
      </c>
      <c r="F242" s="1" t="inlineStr">
        <is>
          <t>FEBRERO</t>
        </is>
      </c>
      <c r="G242" s="1" t="inlineStr">
        <is>
          <t>HAIFENG</t>
        </is>
      </c>
      <c r="H242" s="1" t="inlineStr">
        <is>
          <t>HAIFENG 05/02/2026</t>
        </is>
      </c>
      <c r="I242" s="4" t="n">
        <v>2</v>
      </c>
      <c r="J242" s="6" t="n">
        <v>9</v>
      </c>
      <c r="K242" s="6" t="n">
        <v>192.1886315</v>
      </c>
      <c r="L242" s="6">
        <f>I242*K242</f>
        <v/>
      </c>
      <c r="M242" s="6">
        <f>K242*4</f>
        <v/>
      </c>
      <c r="N242" s="6" t="n">
        <v>750</v>
      </c>
    </row>
    <row r="243">
      <c r="A243" s="1" t="inlineStr">
        <is>
          <t>15104862909421</t>
        </is>
      </c>
      <c r="B243" s="1" t="inlineStr">
        <is>
          <t>COLLAR PANTHERE LISO GOLD</t>
        </is>
      </c>
      <c r="C243" s="1" t="inlineStr">
        <is>
          <t>Default Title</t>
        </is>
      </c>
      <c r="D243" s="1" t="inlineStr">
        <is>
          <t>16/06/2026</t>
        </is>
      </c>
      <c r="E243" s="1" t="n">
        <v>2026</v>
      </c>
      <c r="F243" s="1" t="inlineStr">
        <is>
          <t>JUNIO</t>
        </is>
      </c>
      <c r="G243" s="1" t="inlineStr">
        <is>
          <t>HAIFENG</t>
        </is>
      </c>
      <c r="H243" s="1" t="inlineStr">
        <is>
          <t>HAIFENG 16/06/2026</t>
        </is>
      </c>
      <c r="I243" s="4" t="n">
        <v>2</v>
      </c>
      <c r="J243" s="6" t="n">
        <v>9</v>
      </c>
      <c r="K243" s="6" t="n">
        <v>189.1314581</v>
      </c>
      <c r="L243" s="6">
        <f>I243*K243</f>
        <v/>
      </c>
      <c r="M243" s="6">
        <f>K243*4</f>
        <v/>
      </c>
      <c r="N243" s="6" t="n">
        <v>750</v>
      </c>
    </row>
    <row r="244">
      <c r="A244" s="1" t="inlineStr">
        <is>
          <t>15104863078349</t>
        </is>
      </c>
      <c r="B244" s="1" t="inlineStr">
        <is>
          <t>COLLAR PANTHERE LISO SILVER</t>
        </is>
      </c>
      <c r="C244" s="1" t="inlineStr">
        <is>
          <t>Default Title</t>
        </is>
      </c>
      <c r="D244" s="1" t="inlineStr">
        <is>
          <t>05/02/2026</t>
        </is>
      </c>
      <c r="E244" s="1" t="n">
        <v>2026</v>
      </c>
      <c r="F244" s="1" t="inlineStr">
        <is>
          <t>FEBRERO</t>
        </is>
      </c>
      <c r="G244" s="1" t="inlineStr">
        <is>
          <t>HAIFENG</t>
        </is>
      </c>
      <c r="H244" s="1" t="inlineStr">
        <is>
          <t>HAIFENG 05/02/2026</t>
        </is>
      </c>
      <c r="I244" s="4" t="n">
        <v>2</v>
      </c>
      <c r="J244" s="6" t="n">
        <v>9</v>
      </c>
      <c r="K244" s="6" t="n">
        <v>192.1886315</v>
      </c>
      <c r="L244" s="6">
        <f>I244*K244</f>
        <v/>
      </c>
      <c r="M244" s="6">
        <f>K244*4</f>
        <v/>
      </c>
      <c r="N244" s="6" t="n">
        <v>741.6</v>
      </c>
    </row>
    <row r="245">
      <c r="A245" s="1" t="inlineStr">
        <is>
          <t>15104863162605</t>
        </is>
      </c>
      <c r="B245" s="1" t="inlineStr">
        <is>
          <t>COLLAR T KEY HEART</t>
        </is>
      </c>
      <c r="C245" s="1" t="inlineStr">
        <is>
          <t>Default Title</t>
        </is>
      </c>
      <c r="D245" s="1" t="inlineStr">
        <is>
          <t>05/02/2026</t>
        </is>
      </c>
      <c r="E245" s="1" t="n">
        <v>2026</v>
      </c>
      <c r="F245" s="1" t="inlineStr">
        <is>
          <t>FEBRERO</t>
        </is>
      </c>
      <c r="G245" s="1" t="inlineStr">
        <is>
          <t>HAIFENG</t>
        </is>
      </c>
      <c r="H245" s="1" t="inlineStr">
        <is>
          <t>HAIFENG 05/02/2026</t>
        </is>
      </c>
      <c r="I245" s="4" t="n">
        <v>3</v>
      </c>
      <c r="J245" s="6" t="n">
        <v>7.5</v>
      </c>
      <c r="K245" s="6" t="n">
        <v>160.1571929</v>
      </c>
      <c r="L245" s="6">
        <f>I245*K245</f>
        <v/>
      </c>
      <c r="M245" s="6">
        <f>K245*4</f>
        <v/>
      </c>
      <c r="N245" s="6" t="n">
        <v>750</v>
      </c>
    </row>
    <row r="246">
      <c r="A246" s="1" t="inlineStr">
        <is>
          <t>15104863162605</t>
        </is>
      </c>
      <c r="B246" s="1" t="inlineStr">
        <is>
          <t>COLLAR T KEY HEART</t>
        </is>
      </c>
      <c r="C246" s="1" t="inlineStr">
        <is>
          <t>Default Title</t>
        </is>
      </c>
      <c r="D246" s="1" t="inlineStr">
        <is>
          <t>06/05/2026</t>
        </is>
      </c>
      <c r="E246" s="1" t="n">
        <v>2026</v>
      </c>
      <c r="F246" s="1" t="inlineStr">
        <is>
          <t>MAYO</t>
        </is>
      </c>
      <c r="G246" s="1" t="inlineStr">
        <is>
          <t>HAIFENG</t>
        </is>
      </c>
      <c r="H246" s="1" t="inlineStr">
        <is>
          <t>HAIFENG 06/05/2026</t>
        </is>
      </c>
      <c r="I246" s="4" t="n">
        <v>5</v>
      </c>
      <c r="J246" s="6" t="n">
        <v>7.5</v>
      </c>
      <c r="K246" s="6" t="n">
        <v>159.139817</v>
      </c>
      <c r="L246" s="6">
        <f>I246*K246</f>
        <v/>
      </c>
      <c r="M246" s="6">
        <f>K246*4</f>
        <v/>
      </c>
      <c r="N246" s="6" t="n">
        <v>750</v>
      </c>
    </row>
    <row r="247">
      <c r="A247" s="1" t="inlineStr">
        <is>
          <t>15104863274477</t>
        </is>
      </c>
      <c r="B247" s="1" t="inlineStr">
        <is>
          <t>COLLAR KNOT SILVER ZIRCONIAS</t>
        </is>
      </c>
      <c r="C247" s="1" t="inlineStr">
        <is>
          <t>Default Title</t>
        </is>
      </c>
      <c r="D247" s="1" t="inlineStr">
        <is>
          <t>05/02/2026</t>
        </is>
      </c>
      <c r="E247" s="1" t="n">
        <v>2026</v>
      </c>
      <c r="F247" s="1" t="inlineStr">
        <is>
          <t>FEBRERO</t>
        </is>
      </c>
      <c r="G247" s="1" t="inlineStr">
        <is>
          <t>HAIFENG</t>
        </is>
      </c>
      <c r="H247" s="1" t="inlineStr">
        <is>
          <t>HAIFENG 05/02/2026</t>
        </is>
      </c>
      <c r="I247" s="4" t="n">
        <v>3</v>
      </c>
      <c r="J247" s="6" t="n">
        <v>7</v>
      </c>
      <c r="K247" s="6" t="n">
        <v>149.4800467</v>
      </c>
      <c r="L247" s="6">
        <f>I247*K247</f>
        <v/>
      </c>
      <c r="M247" s="6">
        <f>K247*4</f>
        <v/>
      </c>
      <c r="N247" s="6" t="n">
        <v>599</v>
      </c>
    </row>
    <row r="248">
      <c r="A248" s="1" t="inlineStr">
        <is>
          <t>15104863274477</t>
        </is>
      </c>
      <c r="B248" s="1" t="inlineStr">
        <is>
          <t>COLLAR KNOT SILVER ZIRCONIAS</t>
        </is>
      </c>
      <c r="C248" s="1" t="inlineStr">
        <is>
          <t>Default Title</t>
        </is>
      </c>
      <c r="D248" s="1" t="inlineStr">
        <is>
          <t>16/06/2026</t>
        </is>
      </c>
      <c r="E248" s="1" t="n">
        <v>2026</v>
      </c>
      <c r="F248" s="1" t="inlineStr">
        <is>
          <t>JUNIO</t>
        </is>
      </c>
      <c r="G248" s="1" t="inlineStr">
        <is>
          <t>HAIFENG</t>
        </is>
      </c>
      <c r="H248" s="1" t="inlineStr">
        <is>
          <t>HAIFENG 16/06/2026</t>
        </is>
      </c>
      <c r="I248" s="4" t="n">
        <v>5</v>
      </c>
      <c r="J248" s="6" t="n">
        <v>7</v>
      </c>
      <c r="K248" s="6" t="n">
        <v>147.1022452</v>
      </c>
      <c r="L248" s="6">
        <f>I248*K248</f>
        <v/>
      </c>
      <c r="M248" s="6">
        <f>K248*4</f>
        <v/>
      </c>
      <c r="N248" s="6" t="n">
        <v>599</v>
      </c>
    </row>
    <row r="249">
      <c r="A249" s="1" t="inlineStr">
        <is>
          <t>15104863347341</t>
        </is>
      </c>
      <c r="B249" s="1" t="inlineStr">
        <is>
          <t>COLLAR KNOT GOLD HALF ZIRCONIAS</t>
        </is>
      </c>
      <c r="C249" s="1" t="inlineStr">
        <is>
          <t>Default Title</t>
        </is>
      </c>
      <c r="D249" s="1" t="inlineStr">
        <is>
          <t>05/02/2026</t>
        </is>
      </c>
      <c r="E249" s="1" t="n">
        <v>2026</v>
      </c>
      <c r="F249" s="1" t="inlineStr">
        <is>
          <t>FEBRERO</t>
        </is>
      </c>
      <c r="G249" s="1" t="inlineStr">
        <is>
          <t>HAIFENG</t>
        </is>
      </c>
      <c r="H249" s="1" t="inlineStr">
        <is>
          <t>HAIFENG 05/02/2026</t>
        </is>
      </c>
      <c r="I249" s="4" t="n">
        <v>3</v>
      </c>
      <c r="J249" s="6" t="n">
        <v>6.5</v>
      </c>
      <c r="K249" s="6" t="n">
        <v>138.8029005</v>
      </c>
      <c r="L249" s="6">
        <f>I249*K249</f>
        <v/>
      </c>
      <c r="M249" s="6">
        <f>K249*4</f>
        <v/>
      </c>
      <c r="N249" s="6" t="n">
        <v>550</v>
      </c>
    </row>
    <row r="250">
      <c r="A250" s="1" t="inlineStr">
        <is>
          <t>15104863347341</t>
        </is>
      </c>
      <c r="B250" s="1" t="inlineStr">
        <is>
          <t>COLLAR KNOT ROSEGOLD HALF ZIRCONIAS</t>
        </is>
      </c>
      <c r="C250" s="1" t="inlineStr">
        <is>
          <t>Default Title</t>
        </is>
      </c>
      <c r="D250" s="1" t="inlineStr">
        <is>
          <t>16/06/2026</t>
        </is>
      </c>
      <c r="E250" s="1" t="n">
        <v>2026</v>
      </c>
      <c r="F250" s="1" t="inlineStr">
        <is>
          <t>JUNIO</t>
        </is>
      </c>
      <c r="G250" s="1" t="inlineStr">
        <is>
          <t>HAIFENG</t>
        </is>
      </c>
      <c r="H250" s="1" t="inlineStr">
        <is>
          <t>HAIFENG 16/06/2026</t>
        </is>
      </c>
      <c r="I250" s="4" t="n">
        <v>3</v>
      </c>
      <c r="J250" s="6" t="n">
        <v>6.5</v>
      </c>
      <c r="K250" s="6" t="n">
        <v>136.594942</v>
      </c>
      <c r="L250" s="6">
        <f>I250*K250</f>
        <v/>
      </c>
      <c r="M250" s="6">
        <f>K250*4</f>
        <v/>
      </c>
      <c r="N250" s="6" t="n">
        <v>550</v>
      </c>
    </row>
    <row r="251">
      <c r="A251" s="1" t="inlineStr">
        <is>
          <t>15104863437293</t>
        </is>
      </c>
      <c r="B251" s="1" t="inlineStr">
        <is>
          <t>COLLAR KNOT GOLD ZIRCONIAS</t>
        </is>
      </c>
      <c r="C251" s="1" t="inlineStr">
        <is>
          <t>Default Title</t>
        </is>
      </c>
      <c r="D251" s="1" t="inlineStr">
        <is>
          <t>05/02/2026</t>
        </is>
      </c>
      <c r="E251" s="1" t="n">
        <v>2026</v>
      </c>
      <c r="F251" s="1" t="inlineStr">
        <is>
          <t>FEBRERO</t>
        </is>
      </c>
      <c r="G251" s="1" t="inlineStr">
        <is>
          <t>HAIFENG</t>
        </is>
      </c>
      <c r="H251" s="1" t="inlineStr">
        <is>
          <t>HAIFENG 05/02/2026</t>
        </is>
      </c>
      <c r="I251" s="4" t="n">
        <v>3</v>
      </c>
      <c r="J251" s="6" t="n">
        <v>7</v>
      </c>
      <c r="K251" s="6" t="n">
        <v>149.4800467</v>
      </c>
      <c r="L251" s="6">
        <f>I251*K251</f>
        <v/>
      </c>
      <c r="M251" s="6">
        <f>K251*4</f>
        <v/>
      </c>
      <c r="N251" s="6" t="n">
        <v>680</v>
      </c>
    </row>
    <row r="252">
      <c r="A252" s="1" t="inlineStr">
        <is>
          <t>15104863437293</t>
        </is>
      </c>
      <c r="B252" s="1" t="inlineStr">
        <is>
          <t>COLLAR KNOT GOLD ZIRCONIAS</t>
        </is>
      </c>
      <c r="C252" s="1" t="inlineStr">
        <is>
          <t>Default Title</t>
        </is>
      </c>
      <c r="D252" s="1" t="inlineStr">
        <is>
          <t>06/05/2026</t>
        </is>
      </c>
      <c r="E252" s="1" t="n">
        <v>2026</v>
      </c>
      <c r="F252" s="1" t="inlineStr">
        <is>
          <t>MAYO</t>
        </is>
      </c>
      <c r="G252" s="1" t="inlineStr">
        <is>
          <t>HAIFENG</t>
        </is>
      </c>
      <c r="H252" s="1" t="inlineStr">
        <is>
          <t>HAIFENG 06/05/2026</t>
        </is>
      </c>
      <c r="I252" s="4" t="n">
        <v>2</v>
      </c>
      <c r="J252" s="6" t="n">
        <v>7</v>
      </c>
      <c r="K252" s="6" t="n">
        <v>148.5304959</v>
      </c>
      <c r="L252" s="6">
        <f>I252*K252</f>
        <v/>
      </c>
      <c r="M252" s="6">
        <f>K252*4</f>
        <v/>
      </c>
      <c r="N252" s="6" t="n">
        <v>680</v>
      </c>
    </row>
    <row r="253">
      <c r="A253" s="1" t="inlineStr">
        <is>
          <t>15104863595501</t>
        </is>
      </c>
      <c r="B253" s="1" t="inlineStr">
        <is>
          <t>PULSERA T HEART</t>
        </is>
      </c>
      <c r="C253" s="1" t="inlineStr">
        <is>
          <t>Default Title</t>
        </is>
      </c>
      <c r="D253" s="1" t="inlineStr">
        <is>
          <t>05/02/2026</t>
        </is>
      </c>
      <c r="E253" s="1" t="n">
        <v>2026</v>
      </c>
      <c r="F253" s="1" t="inlineStr">
        <is>
          <t>FEBRERO</t>
        </is>
      </c>
      <c r="G253" s="1" t="inlineStr">
        <is>
          <t>HAIFENG</t>
        </is>
      </c>
      <c r="H253" s="1" t="inlineStr">
        <is>
          <t>HAIFENG 05/02/2026</t>
        </is>
      </c>
      <c r="I253" s="4" t="n">
        <v>3</v>
      </c>
      <c r="J253" s="6" t="n">
        <v>7</v>
      </c>
      <c r="K253" s="6" t="n">
        <v>149.4800467</v>
      </c>
      <c r="L253" s="6">
        <f>I253*K253</f>
        <v/>
      </c>
      <c r="M253" s="6">
        <f>K253*4</f>
        <v/>
      </c>
      <c r="N253" s="6" t="n">
        <v>599</v>
      </c>
    </row>
    <row r="254">
      <c r="A254" s="1" t="inlineStr">
        <is>
          <t>15104863595501</t>
        </is>
      </c>
      <c r="B254" s="1" t="inlineStr">
        <is>
          <t>PULSERA T HEART</t>
        </is>
      </c>
      <c r="C254" s="1" t="inlineStr">
        <is>
          <t>Default Title</t>
        </is>
      </c>
      <c r="D254" s="1" t="inlineStr">
        <is>
          <t>26/05/2026</t>
        </is>
      </c>
      <c r="E254" s="1" t="n">
        <v>2026</v>
      </c>
      <c r="F254" s="1" t="inlineStr">
        <is>
          <t>MAYO</t>
        </is>
      </c>
      <c r="G254" s="1" t="inlineStr">
        <is>
          <t>HAIFENG</t>
        </is>
      </c>
      <c r="H254" s="1" t="inlineStr">
        <is>
          <t>HAIFENG 26/05/2026</t>
        </is>
      </c>
      <c r="I254" s="4" t="n">
        <v>3</v>
      </c>
      <c r="J254" s="6" t="n">
        <v>7</v>
      </c>
      <c r="K254" s="6" t="n">
        <v>146.9250671</v>
      </c>
      <c r="L254" s="6">
        <f>I254*K254</f>
        <v/>
      </c>
      <c r="M254" s="6">
        <f>K254*4</f>
        <v/>
      </c>
      <c r="N254" s="6" t="n">
        <v>599</v>
      </c>
    </row>
    <row r="255">
      <c r="A255" s="1" t="inlineStr">
        <is>
          <t>15104863678477</t>
        </is>
      </c>
      <c r="B255" s="1" t="inlineStr">
        <is>
          <t>ARETES CC BOUTON CAMELIA GOLD</t>
        </is>
      </c>
      <c r="C255" s="1" t="inlineStr">
        <is>
          <t>Default Title</t>
        </is>
      </c>
      <c r="D255" s="1" t="inlineStr">
        <is>
          <t>05/02/2026</t>
        </is>
      </c>
      <c r="E255" s="1" t="n">
        <v>2026</v>
      </c>
      <c r="F255" s="1" t="inlineStr">
        <is>
          <t>FEBRERO</t>
        </is>
      </c>
      <c r="G255" s="1" t="inlineStr">
        <is>
          <t>HAIFENG</t>
        </is>
      </c>
      <c r="H255" s="1" t="inlineStr">
        <is>
          <t>HAIFENG 05/02/2026</t>
        </is>
      </c>
      <c r="I255" s="4" t="n">
        <v>3</v>
      </c>
      <c r="J255" s="6" t="n">
        <v>8.99</v>
      </c>
      <c r="K255" s="6" t="n">
        <v>191.9750886</v>
      </c>
      <c r="L255" s="6">
        <f>I255*K255</f>
        <v/>
      </c>
      <c r="M255" s="6">
        <f>K255*4</f>
        <v/>
      </c>
      <c r="N255" s="6" t="n">
        <v>0</v>
      </c>
    </row>
    <row r="256">
      <c r="A256" s="1" t="inlineStr">
        <is>
          <t>15118061083949</t>
        </is>
      </c>
      <c r="B256" s="1" t="inlineStr">
        <is>
          <t>ARETES T CORAZÓN CON FLECHA</t>
        </is>
      </c>
      <c r="C256" s="1" t="inlineStr">
        <is>
          <t>Default Title</t>
        </is>
      </c>
      <c r="D256" s="1" t="inlineStr">
        <is>
          <t>11/11/2025</t>
        </is>
      </c>
      <c r="E256" s="1" t="n">
        <v>2025</v>
      </c>
      <c r="F256" s="1" t="inlineStr">
        <is>
          <t>NOVIEMBRE</t>
        </is>
      </c>
      <c r="G256" s="1" t="inlineStr">
        <is>
          <t>HAIFENG</t>
        </is>
      </c>
      <c r="H256" s="1" t="inlineStr">
        <is>
          <t>HAIFENG 11/11/2025</t>
        </is>
      </c>
      <c r="I256" s="4" t="n">
        <v>8</v>
      </c>
      <c r="J256" s="6" t="n">
        <v>5</v>
      </c>
      <c r="K256" s="6" t="n">
        <v>105.3024922</v>
      </c>
      <c r="L256" s="6">
        <f>I256*K256</f>
        <v/>
      </c>
      <c r="M256" s="6">
        <f>K256*4</f>
        <v/>
      </c>
      <c r="N256" s="6" t="n">
        <v>450</v>
      </c>
    </row>
    <row r="257">
      <c r="A257" s="1" t="inlineStr">
        <is>
          <t>15118061083949</t>
        </is>
      </c>
      <c r="B257" s="1" t="inlineStr">
        <is>
          <t>ARETES T CORAZÓN CON FLECHA</t>
        </is>
      </c>
      <c r="C257" s="1" t="inlineStr">
        <is>
          <t>Default Title</t>
        </is>
      </c>
      <c r="D257" s="1" t="inlineStr">
        <is>
          <t>03/12/2025</t>
        </is>
      </c>
      <c r="E257" s="1" t="n">
        <v>2025</v>
      </c>
      <c r="F257" s="1" t="inlineStr">
        <is>
          <t>DICIEMBRE</t>
        </is>
      </c>
      <c r="G257" s="1" t="inlineStr">
        <is>
          <t>HAIFENG</t>
        </is>
      </c>
      <c r="H257" s="1" t="inlineStr">
        <is>
          <t>HAIFENG 03/12/2025</t>
        </is>
      </c>
      <c r="I257" s="4" t="n">
        <v>4</v>
      </c>
      <c r="J257" s="6" t="n">
        <v>5</v>
      </c>
      <c r="K257" s="6" t="n">
        <v>104.5858001</v>
      </c>
      <c r="L257" s="6">
        <f>I257*K257</f>
        <v/>
      </c>
      <c r="M257" s="6">
        <f>K257*4</f>
        <v/>
      </c>
      <c r="N257" s="6" t="n">
        <v>450</v>
      </c>
    </row>
    <row r="258">
      <c r="A258" s="1" t="inlineStr">
        <is>
          <t>15118061083949</t>
        </is>
      </c>
      <c r="B258" s="1" t="inlineStr">
        <is>
          <t>ARETES T CORAZÓN CON FLECHA</t>
        </is>
      </c>
      <c r="C258" s="1" t="inlineStr">
        <is>
          <t>Default Title</t>
        </is>
      </c>
      <c r="D258" s="1" t="inlineStr">
        <is>
          <t>20/01/2026</t>
        </is>
      </c>
      <c r="E258" s="1" t="n">
        <v>2026</v>
      </c>
      <c r="F258" s="1" t="inlineStr">
        <is>
          <t>ENERO</t>
        </is>
      </c>
      <c r="G258" s="1" t="inlineStr">
        <is>
          <t>HAIFENG</t>
        </is>
      </c>
      <c r="H258" s="1" t="inlineStr">
        <is>
          <t>HAIFENG 20/01/2026</t>
        </is>
      </c>
      <c r="I258" s="4" t="n">
        <v>2</v>
      </c>
      <c r="J258" s="6" t="n">
        <v>5</v>
      </c>
      <c r="K258" s="6" t="n">
        <v>106.002089</v>
      </c>
      <c r="L258" s="6">
        <f>I258*K258</f>
        <v/>
      </c>
      <c r="M258" s="6">
        <f>K258*4</f>
        <v/>
      </c>
      <c r="N258" s="6" t="n">
        <v>450</v>
      </c>
    </row>
    <row r="259">
      <c r="A259" s="1" t="inlineStr">
        <is>
          <t>15118061083949</t>
        </is>
      </c>
      <c r="B259" s="1" t="inlineStr">
        <is>
          <t>ARETES T CORAZÓN CON FLECHA</t>
        </is>
      </c>
      <c r="C259" s="1" t="inlineStr">
        <is>
          <t>Default Title</t>
        </is>
      </c>
      <c r="D259" s="1" t="inlineStr">
        <is>
          <t>10/02/2026</t>
        </is>
      </c>
      <c r="E259" s="1" t="n">
        <v>2026</v>
      </c>
      <c r="F259" s="1" t="inlineStr">
        <is>
          <t>FEBRERO</t>
        </is>
      </c>
      <c r="G259" s="1" t="inlineStr">
        <is>
          <t>HAIFENG</t>
        </is>
      </c>
      <c r="H259" s="1" t="inlineStr">
        <is>
          <t>HAIFENG 10/02/2026</t>
        </is>
      </c>
      <c r="I259" s="4" t="n">
        <v>6</v>
      </c>
      <c r="J259" s="6" t="n">
        <v>5</v>
      </c>
      <c r="K259" s="6" t="n">
        <v>105.3424803</v>
      </c>
      <c r="L259" s="6">
        <f>I259*K259</f>
        <v/>
      </c>
      <c r="M259" s="6">
        <f>K259*4</f>
        <v/>
      </c>
      <c r="N259" s="6" t="n">
        <v>450</v>
      </c>
    </row>
    <row r="260">
      <c r="A260" s="1" t="inlineStr">
        <is>
          <t>15118061083949</t>
        </is>
      </c>
      <c r="B260" s="1" t="inlineStr">
        <is>
          <t>ARETES T CORAZÓN CON FLECHA</t>
        </is>
      </c>
      <c r="C260" s="1" t="inlineStr">
        <is>
          <t>Default Title</t>
        </is>
      </c>
      <c r="D260" s="1" t="inlineStr">
        <is>
          <t>11/03/2026</t>
        </is>
      </c>
      <c r="E260" s="1" t="n">
        <v>2026</v>
      </c>
      <c r="F260" s="1" t="inlineStr">
        <is>
          <t>MARZO</t>
        </is>
      </c>
      <c r="G260" s="1" t="inlineStr">
        <is>
          <t>HAIFENG</t>
        </is>
      </c>
      <c r="H260" s="1" t="inlineStr">
        <is>
          <t>HAIFENG 11/03/2026</t>
        </is>
      </c>
      <c r="I260" s="4" t="n">
        <v>6</v>
      </c>
      <c r="J260" s="6" t="n">
        <v>5</v>
      </c>
      <c r="K260" s="6" t="n">
        <v>106.5194811</v>
      </c>
      <c r="L260" s="6">
        <f>I260*K260</f>
        <v/>
      </c>
      <c r="M260" s="6">
        <f>K260*4</f>
        <v/>
      </c>
      <c r="N260" s="6" t="n">
        <v>450</v>
      </c>
    </row>
    <row r="261">
      <c r="A261" s="1" t="inlineStr">
        <is>
          <t>15118061083949</t>
        </is>
      </c>
      <c r="B261" s="1" t="inlineStr">
        <is>
          <t>ARETES T CORAZÓN CON FLECHA</t>
        </is>
      </c>
      <c r="C261" s="1" t="inlineStr">
        <is>
          <t>Default Title</t>
        </is>
      </c>
      <c r="D261" s="1" t="inlineStr">
        <is>
          <t>26/05/2026</t>
        </is>
      </c>
      <c r="E261" s="1" t="n">
        <v>2026</v>
      </c>
      <c r="F261" s="1" t="inlineStr">
        <is>
          <t>MAYO</t>
        </is>
      </c>
      <c r="G261" s="1" t="inlineStr">
        <is>
          <t>HAIFENG</t>
        </is>
      </c>
      <c r="H261" s="1" t="inlineStr">
        <is>
          <t>HAIFENG 26/05/2026</t>
        </is>
      </c>
      <c r="I261" s="4" t="n">
        <v>4</v>
      </c>
      <c r="J261" s="6" t="n">
        <v>5</v>
      </c>
      <c r="K261" s="6" t="n">
        <v>104.9464765</v>
      </c>
      <c r="L261" s="6">
        <f>I261*K261</f>
        <v/>
      </c>
      <c r="M261" s="6">
        <f>K261*4</f>
        <v/>
      </c>
      <c r="N261" s="6" t="n">
        <v>450</v>
      </c>
    </row>
    <row r="262">
      <c r="A262" s="1" t="inlineStr">
        <is>
          <t>15489301069581</t>
        </is>
      </c>
      <c r="B262" s="1" t="inlineStr">
        <is>
          <t>COLLAR TRES AROS ROSE GOLD</t>
        </is>
      </c>
      <c r="C262" s="1" t="inlineStr">
        <is>
          <t>Default Title</t>
        </is>
      </c>
      <c r="D262" s="1" t="inlineStr">
        <is>
          <t>16/04/2026</t>
        </is>
      </c>
      <c r="E262" s="1" t="n">
        <v>2026</v>
      </c>
      <c r="F262" s="1" t="inlineStr">
        <is>
          <t>ABRIL</t>
        </is>
      </c>
      <c r="G262" s="1" t="inlineStr">
        <is>
          <t>HAIFENG</t>
        </is>
      </c>
      <c r="H262" s="1" t="inlineStr">
        <is>
          <t>HAIFENG 16/04/2026</t>
        </is>
      </c>
      <c r="I262" s="4" t="n">
        <v>1</v>
      </c>
      <c r="J262" s="6" t="n">
        <v>29.95</v>
      </c>
      <c r="K262" s="6" t="n">
        <v>629.892634</v>
      </c>
      <c r="L262" s="6">
        <f>I262*K262</f>
        <v/>
      </c>
      <c r="M262" s="6">
        <f>K262*4</f>
        <v/>
      </c>
      <c r="N262" s="6" t="n">
        <v>0</v>
      </c>
    </row>
    <row r="263">
      <c r="A263" s="1" t="inlineStr">
        <is>
          <t>15554121015853</t>
        </is>
      </c>
      <c r="B263" s="1" t="inlineStr">
        <is>
          <t>ANILLO MOVE PAVE GOLD</t>
        </is>
      </c>
      <c r="C263" s="1" t="inlineStr">
        <is>
          <t>6</t>
        </is>
      </c>
      <c r="D263" s="1" t="inlineStr">
        <is>
          <t>16/04/2026</t>
        </is>
      </c>
      <c r="E263" s="1" t="n">
        <v>2026</v>
      </c>
      <c r="F263" s="1" t="inlineStr">
        <is>
          <t>ABRIL</t>
        </is>
      </c>
      <c r="G263" s="1" t="inlineStr">
        <is>
          <t>HAIFENG</t>
        </is>
      </c>
      <c r="H263" s="1" t="inlineStr">
        <is>
          <t>HAIFENG 16/04/2026</t>
        </is>
      </c>
      <c r="I263" s="4" t="n">
        <v>2</v>
      </c>
      <c r="J263" s="6" t="n">
        <v>6</v>
      </c>
      <c r="K263" s="6" t="n">
        <v>126.1888415</v>
      </c>
      <c r="L263" s="6">
        <f>I263*K263</f>
        <v/>
      </c>
      <c r="M263" s="6">
        <f>K263*4</f>
        <v/>
      </c>
      <c r="N263" s="6" t="n">
        <v>499</v>
      </c>
    </row>
    <row r="264">
      <c r="A264" s="1" t="inlineStr">
        <is>
          <t>15554121148621</t>
        </is>
      </c>
      <c r="B264" s="1" t="inlineStr">
        <is>
          <t>ANILLO MOVE PAVE GOLD</t>
        </is>
      </c>
      <c r="C264" s="1" t="inlineStr">
        <is>
          <t>7</t>
        </is>
      </c>
      <c r="D264" s="1" t="inlineStr">
        <is>
          <t>16/04/2026</t>
        </is>
      </c>
      <c r="E264" s="1" t="n">
        <v>2026</v>
      </c>
      <c r="F264" s="1" t="inlineStr">
        <is>
          <t>ABRIL</t>
        </is>
      </c>
      <c r="G264" s="1" t="inlineStr">
        <is>
          <t>HAIFENG</t>
        </is>
      </c>
      <c r="H264" s="1" t="inlineStr">
        <is>
          <t>HAIFENG 16/04/2026</t>
        </is>
      </c>
      <c r="I264" s="4" t="n">
        <v>2</v>
      </c>
      <c r="J264" s="6" t="n">
        <v>6</v>
      </c>
      <c r="K264" s="6" t="n">
        <v>126.1888415</v>
      </c>
      <c r="L264" s="6">
        <f>I264*K264</f>
        <v/>
      </c>
      <c r="M264" s="6">
        <f>K264*4</f>
        <v/>
      </c>
      <c r="N264" s="6" t="n">
        <v>499</v>
      </c>
    </row>
    <row r="265">
      <c r="A265" s="1" t="inlineStr">
        <is>
          <t>15554121245229</t>
        </is>
      </c>
      <c r="B265" s="1" t="inlineStr">
        <is>
          <t>ANILLO MOVE UNO PAVE DROP GOLD</t>
        </is>
      </c>
      <c r="C265" s="1" t="inlineStr">
        <is>
          <t>7</t>
        </is>
      </c>
      <c r="D265" s="1" t="inlineStr">
        <is>
          <t>16/04/2026</t>
        </is>
      </c>
      <c r="E265" s="1" t="n">
        <v>2026</v>
      </c>
      <c r="F265" s="1" t="inlineStr">
        <is>
          <t>ABRIL</t>
        </is>
      </c>
      <c r="G265" s="1" t="inlineStr">
        <is>
          <t>HAIFENG</t>
        </is>
      </c>
      <c r="H265" s="1" t="inlineStr">
        <is>
          <t>HAIFENG 16/04/2026</t>
        </is>
      </c>
      <c r="I265" s="4" t="n">
        <v>2</v>
      </c>
      <c r="J265" s="6" t="n">
        <v>7</v>
      </c>
      <c r="K265" s="6" t="n">
        <v>147.2203151</v>
      </c>
      <c r="L265" s="6">
        <f>I265*K265</f>
        <v/>
      </c>
      <c r="M265" s="6">
        <f>K265*4</f>
        <v/>
      </c>
      <c r="N265" s="6" t="n">
        <v>599</v>
      </c>
    </row>
    <row r="266">
      <c r="A266" s="1" t="inlineStr">
        <is>
          <t>15554121358797</t>
        </is>
      </c>
      <c r="B266" s="1" t="inlineStr">
        <is>
          <t>BRAZALETE MOVE NOA CISELE GOLD</t>
        </is>
      </c>
      <c r="C266" s="1" t="inlineStr">
        <is>
          <t>Default Title</t>
        </is>
      </c>
      <c r="D266" s="1" t="inlineStr">
        <is>
          <t>16/04/2026</t>
        </is>
      </c>
      <c r="E266" s="1" t="n">
        <v>2026</v>
      </c>
      <c r="F266" s="1" t="inlineStr">
        <is>
          <t>ABRIL</t>
        </is>
      </c>
      <c r="G266" s="1" t="inlineStr">
        <is>
          <t>HAIFENG</t>
        </is>
      </c>
      <c r="H266" s="1" t="inlineStr">
        <is>
          <t>HAIFENG 16/04/2026</t>
        </is>
      </c>
      <c r="I266" s="4" t="n">
        <v>2</v>
      </c>
      <c r="J266" s="6" t="n">
        <v>18</v>
      </c>
      <c r="K266" s="6" t="n">
        <v>378.5665246</v>
      </c>
      <c r="L266" s="6">
        <f>I266*K266</f>
        <v/>
      </c>
      <c r="M266" s="6">
        <f>K266*4</f>
        <v/>
      </c>
      <c r="N266" s="6" t="n">
        <v>1499</v>
      </c>
    </row>
    <row r="267">
      <c r="A267" s="1" t="inlineStr">
        <is>
          <t>15554121422637</t>
        </is>
      </c>
      <c r="B267" s="1" t="inlineStr">
        <is>
          <t>ANILLO MOVE PAVE SILVER</t>
        </is>
      </c>
      <c r="C267" s="1" t="inlineStr">
        <is>
          <t>6</t>
        </is>
      </c>
      <c r="D267" s="1" t="inlineStr">
        <is>
          <t>16/04/2026</t>
        </is>
      </c>
      <c r="E267" s="1" t="n">
        <v>2026</v>
      </c>
      <c r="F267" s="1" t="inlineStr">
        <is>
          <t>ABRIL</t>
        </is>
      </c>
      <c r="G267" s="1" t="inlineStr">
        <is>
          <t>HAIFENG</t>
        </is>
      </c>
      <c r="H267" s="1" t="inlineStr">
        <is>
          <t>HAIFENG 16/04/2026</t>
        </is>
      </c>
      <c r="I267" s="4" t="n">
        <v>2</v>
      </c>
      <c r="J267" s="6" t="n">
        <v>6.5</v>
      </c>
      <c r="K267" s="6" t="n">
        <v>136.7045783</v>
      </c>
      <c r="L267" s="6">
        <f>I267*K267</f>
        <v/>
      </c>
      <c r="M267" s="6">
        <f>K267*4</f>
        <v/>
      </c>
      <c r="N267" s="6" t="n">
        <v>550</v>
      </c>
    </row>
    <row r="268">
      <c r="A268" s="1" t="inlineStr">
        <is>
          <t>15554121555405</t>
        </is>
      </c>
      <c r="B268" s="1" t="inlineStr">
        <is>
          <t>ANILLO MOVE PAVE SILVER</t>
        </is>
      </c>
      <c r="C268" s="1" t="inlineStr">
        <is>
          <t>7</t>
        </is>
      </c>
      <c r="D268" s="1" t="inlineStr">
        <is>
          <t>16/04/2026</t>
        </is>
      </c>
      <c r="E268" s="1" t="n">
        <v>2026</v>
      </c>
      <c r="F268" s="1" t="inlineStr">
        <is>
          <t>ABRIL</t>
        </is>
      </c>
      <c r="G268" s="1" t="inlineStr">
        <is>
          <t>HAIFENG</t>
        </is>
      </c>
      <c r="H268" s="1" t="inlineStr">
        <is>
          <t>HAIFENG 16/04/2026</t>
        </is>
      </c>
      <c r="I268" s="4" t="n">
        <v>2</v>
      </c>
      <c r="J268" s="6" t="n">
        <v>6.5</v>
      </c>
      <c r="K268" s="6" t="n">
        <v>136.7045783</v>
      </c>
      <c r="L268" s="6">
        <f>I268*K268</f>
        <v/>
      </c>
      <c r="M268" s="6">
        <f>K268*4</f>
        <v/>
      </c>
      <c r="N268" s="6" t="n">
        <v>550</v>
      </c>
    </row>
    <row r="269">
      <c r="A269" s="1" t="inlineStr">
        <is>
          <t>15554121626029</t>
        </is>
      </c>
      <c r="B269" s="1" t="inlineStr">
        <is>
          <t>BRAZALETE MOVE UNO GOLD ZIRCONIAS</t>
        </is>
      </c>
      <c r="C269" s="1" t="inlineStr">
        <is>
          <t>Default Title</t>
        </is>
      </c>
      <c r="D269" s="1" t="inlineStr">
        <is>
          <t>16/04/2026</t>
        </is>
      </c>
      <c r="E269" s="1" t="n">
        <v>2026</v>
      </c>
      <c r="F269" s="1" t="inlineStr">
        <is>
          <t>ABRIL</t>
        </is>
      </c>
      <c r="G269" s="1" t="inlineStr">
        <is>
          <t>HAIFENG</t>
        </is>
      </c>
      <c r="H269" s="1" t="inlineStr">
        <is>
          <t>HAIFENG 16/04/2026</t>
        </is>
      </c>
      <c r="I269" s="4" t="n">
        <v>2</v>
      </c>
      <c r="J269" s="6" t="n">
        <v>10</v>
      </c>
      <c r="K269" s="6" t="n">
        <v>210.3147359</v>
      </c>
      <c r="L269" s="6">
        <f>I269*K269</f>
        <v/>
      </c>
      <c r="M269" s="6">
        <f>K269*4</f>
        <v/>
      </c>
      <c r="N269" s="6" t="n">
        <v>850</v>
      </c>
    </row>
    <row r="270">
      <c r="A270" s="1" t="inlineStr">
        <is>
          <t>15554121796653</t>
        </is>
      </c>
      <c r="B270" s="1" t="inlineStr">
        <is>
          <t>PULSERA MOVE CORDON PAVÉ</t>
        </is>
      </c>
      <c r="C270" s="1" t="inlineStr">
        <is>
          <t>Default Title</t>
        </is>
      </c>
      <c r="D270" s="1" t="inlineStr">
        <is>
          <t>16/04/2026</t>
        </is>
      </c>
      <c r="E270" s="1" t="n">
        <v>2026</v>
      </c>
      <c r="F270" s="1" t="inlineStr">
        <is>
          <t>ABRIL</t>
        </is>
      </c>
      <c r="G270" s="1" t="inlineStr">
        <is>
          <t>HAIFENG</t>
        </is>
      </c>
      <c r="H270" s="1" t="inlineStr">
        <is>
          <t>HAIFENG 16/04/2026</t>
        </is>
      </c>
      <c r="I270" s="4" t="n">
        <v>2</v>
      </c>
      <c r="J270" s="6" t="n">
        <v>8</v>
      </c>
      <c r="K270" s="6" t="n">
        <v>168.2517887</v>
      </c>
      <c r="L270" s="6">
        <f>I270*K270</f>
        <v/>
      </c>
      <c r="M270" s="6">
        <f>K270*4</f>
        <v/>
      </c>
      <c r="N270" s="6" t="n">
        <v>699</v>
      </c>
    </row>
    <row r="271">
      <c r="A271" s="1" t="inlineStr">
        <is>
          <t>15554121831117</t>
        </is>
      </c>
      <c r="B271" s="1" t="inlineStr">
        <is>
          <t>COLLAR MSS SILVER CON ZIRCONIA</t>
        </is>
      </c>
      <c r="C271" s="1" t="inlineStr">
        <is>
          <t>Default Title</t>
        </is>
      </c>
      <c r="D271" s="1" t="inlineStr">
        <is>
          <t>16/04/2026</t>
        </is>
      </c>
      <c r="E271" s="1" t="n">
        <v>2026</v>
      </c>
      <c r="F271" s="1" t="inlineStr">
        <is>
          <t>ABRIL</t>
        </is>
      </c>
      <c r="G271" s="1" t="inlineStr">
        <is>
          <t>HAIFENG</t>
        </is>
      </c>
      <c r="H271" s="1" t="inlineStr">
        <is>
          <t>HAIFENG 16/04/2026</t>
        </is>
      </c>
      <c r="I271" s="4" t="n">
        <v>2</v>
      </c>
      <c r="J271" s="6" t="n">
        <v>8</v>
      </c>
      <c r="K271" s="6" t="n">
        <v>168.2517887</v>
      </c>
      <c r="L271" s="6">
        <f>I271*K271</f>
        <v/>
      </c>
      <c r="M271" s="6">
        <f>K271*4</f>
        <v/>
      </c>
      <c r="N271" s="6" t="n">
        <v>699</v>
      </c>
    </row>
    <row r="272">
      <c r="A272" s="1" t="inlineStr">
        <is>
          <t>15554122051469</t>
        </is>
      </c>
      <c r="B272" s="1" t="inlineStr">
        <is>
          <t>BRAZALETE MOVE NOA GOLD</t>
        </is>
      </c>
      <c r="C272" s="1" t="inlineStr">
        <is>
          <t>Default Title</t>
        </is>
      </c>
      <c r="D272" s="1" t="inlineStr">
        <is>
          <t>16/04/2026</t>
        </is>
      </c>
      <c r="E272" s="1" t="n">
        <v>2026</v>
      </c>
      <c r="F272" s="1" t="inlineStr">
        <is>
          <t>ABRIL</t>
        </is>
      </c>
      <c r="G272" s="1" t="inlineStr">
        <is>
          <t>HAIFENG</t>
        </is>
      </c>
      <c r="H272" s="1" t="inlineStr">
        <is>
          <t>HAIFENG 16/04/2026</t>
        </is>
      </c>
      <c r="I272" s="4" t="n">
        <v>2</v>
      </c>
      <c r="J272" s="6" t="n">
        <v>10</v>
      </c>
      <c r="K272" s="6" t="n">
        <v>210.3147359</v>
      </c>
      <c r="L272" s="6">
        <f>I272*K272</f>
        <v/>
      </c>
      <c r="M272" s="6">
        <f>K272*4</f>
        <v/>
      </c>
      <c r="N272" s="6" t="n">
        <v>850</v>
      </c>
    </row>
    <row r="273">
      <c r="A273" s="1" t="inlineStr">
        <is>
          <t>15554122051469</t>
        </is>
      </c>
      <c r="B273" s="1" t="inlineStr">
        <is>
          <t>BRAZALETE MOVE NOA GOLD</t>
        </is>
      </c>
      <c r="C273" s="1" t="inlineStr">
        <is>
          <t>Default Title</t>
        </is>
      </c>
      <c r="D273" s="1" t="inlineStr">
        <is>
          <t>16/06/2026</t>
        </is>
      </c>
      <c r="E273" s="1" t="n">
        <v>2026</v>
      </c>
      <c r="F273" s="1" t="inlineStr">
        <is>
          <t>JUNIO</t>
        </is>
      </c>
      <c r="G273" s="1" t="inlineStr">
        <is>
          <t>HAIFENG</t>
        </is>
      </c>
      <c r="H273" s="1" t="inlineStr">
        <is>
          <t>HAIFENG 16/06/2026</t>
        </is>
      </c>
      <c r="I273" s="4" t="n">
        <v>2</v>
      </c>
      <c r="J273" s="6" t="n">
        <v>10</v>
      </c>
      <c r="K273" s="6" t="n">
        <v>210.1460646</v>
      </c>
      <c r="L273" s="6">
        <f>I273*K273</f>
        <v/>
      </c>
      <c r="M273" s="6">
        <f>K273*4</f>
        <v/>
      </c>
      <c r="N273" s="6" t="n">
        <v>850</v>
      </c>
    </row>
    <row r="274">
      <c r="A274" s="1" t="inlineStr">
        <is>
          <t>15554122120397</t>
        </is>
      </c>
      <c r="B274" s="1" t="inlineStr">
        <is>
          <t>COLLAR MOVE UNO DOBLE ZIRCONIAS ROSE GOLD</t>
        </is>
      </c>
      <c r="C274" s="1" t="inlineStr">
        <is>
          <t>Default Title</t>
        </is>
      </c>
      <c r="D274" s="1" t="inlineStr">
        <is>
          <t>16/04/2026</t>
        </is>
      </c>
      <c r="E274" s="1" t="n">
        <v>2026</v>
      </c>
      <c r="F274" s="1" t="inlineStr">
        <is>
          <t>ABRIL</t>
        </is>
      </c>
      <c r="G274" s="1" t="inlineStr">
        <is>
          <t>HAIFENG</t>
        </is>
      </c>
      <c r="H274" s="1" t="inlineStr">
        <is>
          <t>HAIFENG 16/04/2026</t>
        </is>
      </c>
      <c r="I274" s="4" t="n">
        <v>2</v>
      </c>
      <c r="J274" s="6" t="n">
        <v>11</v>
      </c>
      <c r="K274" s="6" t="n">
        <v>231.3462095</v>
      </c>
      <c r="L274" s="6">
        <f>I274*K274</f>
        <v/>
      </c>
      <c r="M274" s="6">
        <f>K274*4</f>
        <v/>
      </c>
      <c r="N274" s="6" t="n">
        <v>950</v>
      </c>
    </row>
    <row r="275">
      <c r="A275" s="1" t="inlineStr">
        <is>
          <t>15554122254861</t>
        </is>
      </c>
      <c r="B275" s="1" t="inlineStr">
        <is>
          <t>COLLAR MOVE UNO SILVER</t>
        </is>
      </c>
      <c r="C275" s="1" t="inlineStr">
        <is>
          <t>Default Title</t>
        </is>
      </c>
      <c r="D275" s="1" t="inlineStr">
        <is>
          <t>16/04/2026</t>
        </is>
      </c>
      <c r="E275" s="1" t="n">
        <v>2026</v>
      </c>
      <c r="F275" s="1" t="inlineStr">
        <is>
          <t>ABRIL</t>
        </is>
      </c>
      <c r="G275" s="1" t="inlineStr">
        <is>
          <t>HAIFENG</t>
        </is>
      </c>
      <c r="H275" s="1" t="inlineStr">
        <is>
          <t>HAIFENG 16/04/2026</t>
        </is>
      </c>
      <c r="I275" s="4" t="n">
        <v>2</v>
      </c>
      <c r="J275" s="6" t="n">
        <v>7</v>
      </c>
      <c r="K275" s="6" t="n">
        <v>147.2203151</v>
      </c>
      <c r="L275" s="6">
        <f>I275*K275</f>
        <v/>
      </c>
      <c r="M275" s="6">
        <f>K275*4</f>
        <v/>
      </c>
      <c r="N275" s="6" t="n">
        <v>599</v>
      </c>
    </row>
    <row r="276">
      <c r="A276" s="1" t="inlineStr">
        <is>
          <t>15554122489325</t>
        </is>
      </c>
      <c r="B276" s="1" t="inlineStr">
        <is>
          <t>COLLAR MOVE UNO GOLD</t>
        </is>
      </c>
      <c r="C276" s="1" t="inlineStr">
        <is>
          <t>Default Title</t>
        </is>
      </c>
      <c r="D276" s="1" t="inlineStr">
        <is>
          <t>16/04/2026</t>
        </is>
      </c>
      <c r="E276" s="1" t="n">
        <v>2026</v>
      </c>
      <c r="F276" s="1" t="inlineStr">
        <is>
          <t>ABRIL</t>
        </is>
      </c>
      <c r="G276" s="1" t="inlineStr">
        <is>
          <t>HAIFENG</t>
        </is>
      </c>
      <c r="H276" s="1" t="inlineStr">
        <is>
          <t>HAIFENG 16/04/2026</t>
        </is>
      </c>
      <c r="I276" s="4" t="n">
        <v>2</v>
      </c>
      <c r="J276" s="6" t="n">
        <v>7</v>
      </c>
      <c r="K276" s="6" t="n">
        <v>147.2203151</v>
      </c>
      <c r="L276" s="6">
        <f>I276*K276</f>
        <v/>
      </c>
      <c r="M276" s="6">
        <f>K276*4</f>
        <v/>
      </c>
      <c r="N276" s="6" t="n">
        <v>599</v>
      </c>
    </row>
    <row r="277">
      <c r="A277" s="1" t="inlineStr">
        <is>
          <t>15554122553165</t>
        </is>
      </c>
      <c r="B277" s="1" t="inlineStr">
        <is>
          <t>COLLAR MOVE UNO GOLD ZIRCONIAS</t>
        </is>
      </c>
      <c r="C277" s="1" t="inlineStr">
        <is>
          <t>Default Title</t>
        </is>
      </c>
      <c r="D277" s="1" t="inlineStr">
        <is>
          <t>16/04/2026</t>
        </is>
      </c>
      <c r="E277" s="1" t="n">
        <v>2026</v>
      </c>
      <c r="F277" s="1" t="inlineStr">
        <is>
          <t>ABRIL</t>
        </is>
      </c>
      <c r="G277" s="1" t="inlineStr">
        <is>
          <t>HAIFENG</t>
        </is>
      </c>
      <c r="H277" s="1" t="inlineStr">
        <is>
          <t>HAIFENG 16/04/2026</t>
        </is>
      </c>
      <c r="I277" s="4" t="n">
        <v>2</v>
      </c>
      <c r="J277" s="6" t="n">
        <v>8</v>
      </c>
      <c r="K277" s="6" t="n">
        <v>168.2517887</v>
      </c>
      <c r="L277" s="6">
        <f>I277*K277</f>
        <v/>
      </c>
      <c r="M277" s="6">
        <f>K277*4</f>
        <v/>
      </c>
      <c r="N277" s="6" t="n">
        <v>699</v>
      </c>
    </row>
    <row r="278">
      <c r="A278" s="1" t="inlineStr">
        <is>
          <t>15554122623789</t>
        </is>
      </c>
      <c r="B278" s="1" t="inlineStr">
        <is>
          <t>COLLAR MOVE CIRCLE SILVER</t>
        </is>
      </c>
      <c r="C278" s="1" t="inlineStr">
        <is>
          <t>Default Title</t>
        </is>
      </c>
      <c r="D278" s="1" t="inlineStr">
        <is>
          <t>16/04/2026</t>
        </is>
      </c>
      <c r="E278" s="1" t="n">
        <v>2026</v>
      </c>
      <c r="F278" s="1" t="inlineStr">
        <is>
          <t>ABRIL</t>
        </is>
      </c>
      <c r="G278" s="1" t="inlineStr">
        <is>
          <t>HAIFENG</t>
        </is>
      </c>
      <c r="H278" s="1" t="inlineStr">
        <is>
          <t>HAIFENG 16/04/2026</t>
        </is>
      </c>
      <c r="I278" s="4" t="n">
        <v>2</v>
      </c>
      <c r="J278" s="6" t="n">
        <v>8</v>
      </c>
      <c r="K278" s="6" t="n">
        <v>168.2517887</v>
      </c>
      <c r="L278" s="6">
        <f>I278*K278</f>
        <v/>
      </c>
      <c r="M278" s="6">
        <f>K278*4</f>
        <v/>
      </c>
      <c r="N278" s="6" t="n">
        <v>599</v>
      </c>
    </row>
    <row r="279">
      <c r="A279" s="1" t="inlineStr">
        <is>
          <t>15554122759949</t>
        </is>
      </c>
      <c r="B279" s="1" t="inlineStr">
        <is>
          <t>ARETES MOVE UNO STUD SILVER</t>
        </is>
      </c>
      <c r="C279" s="1" t="inlineStr">
        <is>
          <t>Default Title</t>
        </is>
      </c>
      <c r="D279" s="1" t="inlineStr">
        <is>
          <t>16/04/2026</t>
        </is>
      </c>
      <c r="E279" s="1" t="n">
        <v>2026</v>
      </c>
      <c r="F279" s="1" t="inlineStr">
        <is>
          <t>ABRIL</t>
        </is>
      </c>
      <c r="G279" s="1" t="inlineStr">
        <is>
          <t>HAIFENG</t>
        </is>
      </c>
      <c r="H279" s="1" t="inlineStr">
        <is>
          <t>HAIFENG 16/04/2026</t>
        </is>
      </c>
      <c r="I279" s="4" t="n">
        <v>2</v>
      </c>
      <c r="J279" s="6" t="n">
        <v>8.99</v>
      </c>
      <c r="K279" s="6" t="n">
        <v>189.0729476</v>
      </c>
      <c r="L279" s="6">
        <f>I279*K279</f>
        <v/>
      </c>
      <c r="M279" s="6">
        <f>K279*4</f>
        <v/>
      </c>
      <c r="N279" s="6" t="n">
        <v>799</v>
      </c>
    </row>
    <row r="280">
      <c r="A280" s="1" t="inlineStr">
        <is>
          <t>15554122891021</t>
        </is>
      </c>
      <c r="B280" s="1" t="inlineStr">
        <is>
          <t>COLLAR MOVE 10TH SILVER</t>
        </is>
      </c>
      <c r="C280" s="1" t="inlineStr">
        <is>
          <t>Default Title</t>
        </is>
      </c>
      <c r="D280" s="1" t="inlineStr">
        <is>
          <t>16/04/2026</t>
        </is>
      </c>
      <c r="E280" s="1" t="n">
        <v>2026</v>
      </c>
      <c r="F280" s="1" t="inlineStr">
        <is>
          <t>ABRIL</t>
        </is>
      </c>
      <c r="G280" s="1" t="inlineStr">
        <is>
          <t>HAIFENG</t>
        </is>
      </c>
      <c r="H280" s="1" t="inlineStr">
        <is>
          <t>HAIFENG 16/04/2026</t>
        </is>
      </c>
      <c r="I280" s="4" t="n">
        <v>2</v>
      </c>
      <c r="J280" s="6" t="n">
        <v>8</v>
      </c>
      <c r="K280" s="6" t="n">
        <v>168.2517887</v>
      </c>
      <c r="L280" s="6">
        <f>I280*K280</f>
        <v/>
      </c>
      <c r="M280" s="6">
        <f>K280*4</f>
        <v/>
      </c>
      <c r="N280" s="6" t="n">
        <v>699</v>
      </c>
    </row>
    <row r="281">
      <c r="A281" s="1" t="inlineStr">
        <is>
          <t>15554122997805</t>
        </is>
      </c>
      <c r="B281" s="1" t="inlineStr">
        <is>
          <t>ARETES MOVE UNO LISO GOLD</t>
        </is>
      </c>
      <c r="C281" s="1" t="inlineStr">
        <is>
          <t>Default Title</t>
        </is>
      </c>
      <c r="D281" s="1" t="inlineStr">
        <is>
          <t>16/04/2026</t>
        </is>
      </c>
      <c r="E281" s="1" t="n">
        <v>2026</v>
      </c>
      <c r="F281" s="1" t="inlineStr">
        <is>
          <t>ABRIL</t>
        </is>
      </c>
      <c r="G281" s="1" t="inlineStr">
        <is>
          <t>HAIFENG</t>
        </is>
      </c>
      <c r="H281" s="1" t="inlineStr">
        <is>
          <t>HAIFENG 16/04/2026</t>
        </is>
      </c>
      <c r="I281" s="4" t="n">
        <v>2</v>
      </c>
      <c r="J281" s="6" t="n">
        <v>5.99</v>
      </c>
      <c r="K281" s="6" t="n">
        <v>125.9785268</v>
      </c>
      <c r="L281" s="6">
        <f>I281*K281</f>
        <v/>
      </c>
      <c r="M281" s="6">
        <f>K281*4</f>
        <v/>
      </c>
      <c r="N281" s="6" t="n">
        <v>499</v>
      </c>
    </row>
    <row r="282">
      <c r="A282" s="1" t="inlineStr">
        <is>
          <t>15554123061645</t>
        </is>
      </c>
      <c r="B282" s="1" t="inlineStr">
        <is>
          <t>ARETES MOVE UNO LISO ROSE GOLD</t>
        </is>
      </c>
      <c r="C282" s="1" t="inlineStr">
        <is>
          <t>Default Title</t>
        </is>
      </c>
      <c r="D282" s="1" t="inlineStr">
        <is>
          <t>16/04/2026</t>
        </is>
      </c>
      <c r="E282" s="1" t="n">
        <v>2026</v>
      </c>
      <c r="F282" s="1" t="inlineStr">
        <is>
          <t>ABRIL</t>
        </is>
      </c>
      <c r="G282" s="1" t="inlineStr">
        <is>
          <t>HAIFENG</t>
        </is>
      </c>
      <c r="H282" s="1" t="inlineStr">
        <is>
          <t>HAIFENG 16/04/2026</t>
        </is>
      </c>
      <c r="I282" s="4" t="n">
        <v>2</v>
      </c>
      <c r="J282" s="6" t="n">
        <v>5.99</v>
      </c>
      <c r="K282" s="6" t="n">
        <v>125.9785268</v>
      </c>
      <c r="L282" s="6">
        <f>I282*K282</f>
        <v/>
      </c>
      <c r="M282" s="6">
        <f>K282*4</f>
        <v/>
      </c>
      <c r="N282" s="6" t="n">
        <v>499</v>
      </c>
    </row>
    <row r="283">
      <c r="A283" s="1" t="inlineStr">
        <is>
          <t>15554123135661</t>
        </is>
      </c>
      <c r="B283" s="1" t="inlineStr">
        <is>
          <t>ARETES MOVE UNO LISO SILVER</t>
        </is>
      </c>
      <c r="C283" s="1" t="inlineStr">
        <is>
          <t>Default Title</t>
        </is>
      </c>
      <c r="D283" s="1" t="inlineStr">
        <is>
          <t>16/04/2026</t>
        </is>
      </c>
      <c r="E283" s="1" t="n">
        <v>2026</v>
      </c>
      <c r="F283" s="1" t="inlineStr">
        <is>
          <t>ABRIL</t>
        </is>
      </c>
      <c r="G283" s="1" t="inlineStr">
        <is>
          <t>HAIFENG</t>
        </is>
      </c>
      <c r="H283" s="1" t="inlineStr">
        <is>
          <t>HAIFENG 16/04/2026</t>
        </is>
      </c>
      <c r="I283" s="4" t="n">
        <v>2</v>
      </c>
      <c r="J283" s="6" t="n">
        <v>5.99</v>
      </c>
      <c r="K283" s="6" t="n">
        <v>125.9785268</v>
      </c>
      <c r="L283" s="6">
        <f>I283*K283</f>
        <v/>
      </c>
      <c r="M283" s="6">
        <f>K283*4</f>
        <v/>
      </c>
      <c r="N283" s="6" t="n">
        <v>499</v>
      </c>
    </row>
    <row r="284">
      <c r="A284" s="1" t="inlineStr">
        <is>
          <t>15554123135661</t>
        </is>
      </c>
      <c r="B284" s="1" t="inlineStr">
        <is>
          <t>ARETES MOVE UNO LISO SILVER</t>
        </is>
      </c>
      <c r="C284" s="1" t="inlineStr">
        <is>
          <t>Default Title</t>
        </is>
      </c>
      <c r="D284" s="1" t="inlineStr">
        <is>
          <t>16/06/2026</t>
        </is>
      </c>
      <c r="E284" s="1" t="n">
        <v>2026</v>
      </c>
      <c r="F284" s="1" t="inlineStr">
        <is>
          <t>JUNIO</t>
        </is>
      </c>
      <c r="G284" s="1" t="inlineStr">
        <is>
          <t>HAIFENG</t>
        </is>
      </c>
      <c r="H284" s="1" t="inlineStr">
        <is>
          <t>HAIFENG 16/06/2026</t>
        </is>
      </c>
      <c r="I284" s="4" t="n">
        <v>3</v>
      </c>
      <c r="J284" s="6" t="n">
        <v>5.99</v>
      </c>
      <c r="K284" s="6" t="n">
        <v>125.8774927</v>
      </c>
      <c r="L284" s="6">
        <f>I284*K284</f>
        <v/>
      </c>
      <c r="M284" s="6">
        <f>K284*4</f>
        <v/>
      </c>
      <c r="N284" s="6" t="n">
        <v>499</v>
      </c>
    </row>
    <row r="285">
      <c r="A285" s="1" t="inlineStr">
        <is>
          <t>15554123204589</t>
        </is>
      </c>
      <c r="B285" s="1" t="inlineStr">
        <is>
          <t>ARETES MOVE UNO Y UNO GOLD</t>
        </is>
      </c>
      <c r="C285" s="1" t="inlineStr">
        <is>
          <t>Default Title</t>
        </is>
      </c>
      <c r="D285" s="1" t="inlineStr">
        <is>
          <t>16/04/2026</t>
        </is>
      </c>
      <c r="E285" s="1" t="n">
        <v>2026</v>
      </c>
      <c r="F285" s="1" t="inlineStr">
        <is>
          <t>ABRIL</t>
        </is>
      </c>
      <c r="G285" s="1" t="inlineStr">
        <is>
          <t>HAIFENG</t>
        </is>
      </c>
      <c r="H285" s="1" t="inlineStr">
        <is>
          <t>HAIFENG 16/04/2026</t>
        </is>
      </c>
      <c r="I285" s="4" t="n">
        <v>2</v>
      </c>
      <c r="J285" s="6" t="n">
        <v>6</v>
      </c>
      <c r="K285" s="6" t="n">
        <v>126.1888415</v>
      </c>
      <c r="L285" s="6">
        <f>I285*K285</f>
        <v/>
      </c>
      <c r="M285" s="6">
        <f>K285*4</f>
        <v/>
      </c>
      <c r="N285" s="6" t="n">
        <v>499</v>
      </c>
    </row>
    <row r="286">
      <c r="A286" s="1" t="inlineStr">
        <is>
          <t>15554123342445</t>
        </is>
      </c>
      <c r="B286" s="1" t="inlineStr">
        <is>
          <t>ARETES MOVE UNO Y UNO SILVER</t>
        </is>
      </c>
      <c r="C286" s="1" t="inlineStr">
        <is>
          <t>Default Title</t>
        </is>
      </c>
      <c r="D286" s="1" t="inlineStr">
        <is>
          <t>16/04/2026</t>
        </is>
      </c>
      <c r="E286" s="1" t="n">
        <v>2026</v>
      </c>
      <c r="F286" s="1" t="inlineStr">
        <is>
          <t>ABRIL</t>
        </is>
      </c>
      <c r="G286" s="1" t="inlineStr">
        <is>
          <t>HAIFENG</t>
        </is>
      </c>
      <c r="H286" s="1" t="inlineStr">
        <is>
          <t>HAIFENG 16/04/2026</t>
        </is>
      </c>
      <c r="I286" s="4" t="n">
        <v>2</v>
      </c>
      <c r="J286" s="6" t="n">
        <v>6</v>
      </c>
      <c r="K286" s="6" t="n">
        <v>126.1888415</v>
      </c>
      <c r="L286" s="6">
        <f>I286*K286</f>
        <v/>
      </c>
      <c r="M286" s="6">
        <f>K286*4</f>
        <v/>
      </c>
      <c r="N286" s="6" t="n">
        <v>499</v>
      </c>
    </row>
    <row r="287">
      <c r="A287" s="1" t="inlineStr">
        <is>
          <t>15554123342445</t>
        </is>
      </c>
      <c r="B287" s="1" t="inlineStr">
        <is>
          <t>ARETES MOVE UNO Y UNO SILVER</t>
        </is>
      </c>
      <c r="C287" s="1" t="inlineStr">
        <is>
          <t>Default Title</t>
        </is>
      </c>
      <c r="D287" s="1" t="inlineStr">
        <is>
          <t>16/06/2026</t>
        </is>
      </c>
      <c r="E287" s="1" t="n">
        <v>2026</v>
      </c>
      <c r="F287" s="1" t="inlineStr">
        <is>
          <t>JUNIO</t>
        </is>
      </c>
      <c r="G287" s="1" t="inlineStr">
        <is>
          <t>HAIFENG</t>
        </is>
      </c>
      <c r="H287" s="1" t="inlineStr">
        <is>
          <t>HAIFENG 16/06/2026</t>
        </is>
      </c>
      <c r="I287" s="4" t="n">
        <v>2</v>
      </c>
      <c r="J287" s="6" t="n">
        <v>6</v>
      </c>
      <c r="K287" s="6" t="n">
        <v>126.0876388</v>
      </c>
      <c r="L287" s="6">
        <f>I287*K287</f>
        <v/>
      </c>
      <c r="M287" s="6">
        <f>K287*4</f>
        <v/>
      </c>
      <c r="N287" s="6" t="n">
        <v>499</v>
      </c>
    </row>
    <row r="288">
      <c r="A288" s="1" t="inlineStr">
        <is>
          <t>15554123464493</t>
        </is>
      </c>
      <c r="B288" s="1" t="inlineStr">
        <is>
          <t>ARETES MOVE UNO GOLD ZIRCONIAS</t>
        </is>
      </c>
      <c r="C288" s="1" t="inlineStr">
        <is>
          <t>Default Title</t>
        </is>
      </c>
      <c r="D288" s="1" t="inlineStr">
        <is>
          <t>16/04/2026</t>
        </is>
      </c>
      <c r="E288" s="1" t="n">
        <v>2026</v>
      </c>
      <c r="F288" s="1" t="inlineStr">
        <is>
          <t>ABRIL</t>
        </is>
      </c>
      <c r="G288" s="1" t="inlineStr">
        <is>
          <t>HAIFENG</t>
        </is>
      </c>
      <c r="H288" s="1" t="inlineStr">
        <is>
          <t>HAIFENG 16/04/2026</t>
        </is>
      </c>
      <c r="I288" s="4" t="n">
        <v>2</v>
      </c>
      <c r="J288" s="6" t="n">
        <v>5</v>
      </c>
      <c r="K288" s="6" t="n">
        <v>105.1573679</v>
      </c>
      <c r="L288" s="6">
        <f>I288*K288</f>
        <v/>
      </c>
      <c r="M288" s="6">
        <f>K288*4</f>
        <v/>
      </c>
      <c r="N288" s="6" t="n">
        <v>450</v>
      </c>
    </row>
    <row r="289">
      <c r="A289" s="1" t="inlineStr">
        <is>
          <t>15554123566189</t>
        </is>
      </c>
      <c r="B289" s="1" t="inlineStr">
        <is>
          <t>ARETES MOVE CIRCLE GOLD</t>
        </is>
      </c>
      <c r="C289" s="1" t="inlineStr">
        <is>
          <t>Default Title</t>
        </is>
      </c>
      <c r="D289" s="1" t="inlineStr">
        <is>
          <t>16/04/2026</t>
        </is>
      </c>
      <c r="E289" s="1" t="n">
        <v>2026</v>
      </c>
      <c r="F289" s="1" t="inlineStr">
        <is>
          <t>ABRIL</t>
        </is>
      </c>
      <c r="G289" s="1" t="inlineStr">
        <is>
          <t>HAIFENG</t>
        </is>
      </c>
      <c r="H289" s="1" t="inlineStr">
        <is>
          <t>HAIFENG 16/04/2026</t>
        </is>
      </c>
      <c r="I289" s="4" t="n">
        <v>2</v>
      </c>
      <c r="J289" s="6" t="n">
        <v>8</v>
      </c>
      <c r="K289" s="6" t="n">
        <v>168.2517887</v>
      </c>
      <c r="L289" s="6">
        <f>I289*K289</f>
        <v/>
      </c>
      <c r="M289" s="6">
        <f>K289*4</f>
        <v/>
      </c>
      <c r="N289" s="6" t="n">
        <v>680</v>
      </c>
    </row>
    <row r="290">
      <c r="A290" s="1" t="inlineStr">
        <is>
          <t>15554123602349</t>
        </is>
      </c>
      <c r="B290" s="1" t="inlineStr">
        <is>
          <t>ARETES MOVE CIRCLE SILVER</t>
        </is>
      </c>
      <c r="C290" s="1" t="inlineStr">
        <is>
          <t>Default Title</t>
        </is>
      </c>
      <c r="D290" s="1" t="inlineStr">
        <is>
          <t>16/04/2026</t>
        </is>
      </c>
      <c r="E290" s="1" t="n">
        <v>2026</v>
      </c>
      <c r="F290" s="1" t="inlineStr">
        <is>
          <t>ABRIL</t>
        </is>
      </c>
      <c r="G290" s="1" t="inlineStr">
        <is>
          <t>HAIFENG</t>
        </is>
      </c>
      <c r="H290" s="1" t="inlineStr">
        <is>
          <t>HAIFENG 16/04/2026</t>
        </is>
      </c>
      <c r="I290" s="4" t="n">
        <v>2</v>
      </c>
      <c r="J290" s="6" t="n">
        <v>8</v>
      </c>
      <c r="K290" s="6" t="n">
        <v>168.2517887</v>
      </c>
      <c r="L290" s="6">
        <f>I290*K290</f>
        <v/>
      </c>
      <c r="M290" s="6">
        <f>K290*4</f>
        <v/>
      </c>
      <c r="N290" s="6" t="n">
        <v>680</v>
      </c>
    </row>
    <row r="291">
      <c r="A291" s="1" t="inlineStr">
        <is>
          <t>15565825325196</t>
        </is>
      </c>
      <c r="B291" s="1" t="inlineStr">
        <is>
          <t>CARTERA GC BI-FOLD</t>
        </is>
      </c>
      <c r="C291" s="1" t="inlineStr">
        <is>
          <t>9.5cm x 10cm</t>
        </is>
      </c>
      <c r="D291" s="1" t="inlineStr">
        <is>
          <t>02/03/2026</t>
        </is>
      </c>
      <c r="E291" s="1" t="n">
        <v>2026</v>
      </c>
      <c r="F291" s="1" t="inlineStr">
        <is>
          <t>MARZO</t>
        </is>
      </c>
      <c r="G291" s="1" t="inlineStr">
        <is>
          <t>ZOEY</t>
        </is>
      </c>
      <c r="H291" s="1" t="inlineStr">
        <is>
          <t>ZOEY 02/03/2026</t>
        </is>
      </c>
      <c r="I291" s="4" t="n">
        <v>2</v>
      </c>
      <c r="J291" s="6" t="n">
        <v>18</v>
      </c>
      <c r="K291" s="6" t="n">
        <v>472.985563</v>
      </c>
      <c r="L291" s="6">
        <f>I291*K291</f>
        <v/>
      </c>
      <c r="M291" s="6">
        <f>K291*4</f>
        <v/>
      </c>
      <c r="N291" s="6" t="n">
        <v>1859</v>
      </c>
    </row>
    <row r="292">
      <c r="A292" s="1" t="inlineStr">
        <is>
          <t>15565825325196</t>
        </is>
      </c>
      <c r="B292" s="1" t="inlineStr">
        <is>
          <t>CARTERA GC BI-FOLD</t>
        </is>
      </c>
      <c r="C292" s="1" t="inlineStr">
        <is>
          <t>9.5cm x 10cm</t>
        </is>
      </c>
      <c r="D292" s="1" t="inlineStr">
        <is>
          <t>19/03/2026</t>
        </is>
      </c>
      <c r="E292" s="1" t="n">
        <v>2026</v>
      </c>
      <c r="F292" s="1" t="inlineStr">
        <is>
          <t>MARZO</t>
        </is>
      </c>
      <c r="G292" s="1" t="inlineStr">
        <is>
          <t>ZOEY</t>
        </is>
      </c>
      <c r="H292" s="1" t="inlineStr">
        <is>
          <t>ZOEY 19/03/2026</t>
        </is>
      </c>
      <c r="I292" s="4" t="n">
        <v>2</v>
      </c>
      <c r="J292" s="6" t="n">
        <v>18</v>
      </c>
      <c r="K292" s="6" t="n">
        <v>464.076893</v>
      </c>
      <c r="L292" s="6">
        <f>I292*K292</f>
        <v/>
      </c>
      <c r="M292" s="6">
        <f>K292*4</f>
        <v/>
      </c>
      <c r="N292" s="6" t="n">
        <v>1859</v>
      </c>
    </row>
    <row r="293">
      <c r="A293" s="1" t="inlineStr">
        <is>
          <t>15711171018701</t>
        </is>
      </c>
      <c r="B293" s="1" t="inlineStr">
        <is>
          <t>ANILLO DOBLE T GOLD</t>
        </is>
      </c>
      <c r="C293" s="1" t="inlineStr">
        <is>
          <t>6</t>
        </is>
      </c>
      <c r="D293" s="1" t="inlineStr">
        <is>
          <t>11/11/2025</t>
        </is>
      </c>
      <c r="E293" s="1" t="n">
        <v>2025</v>
      </c>
      <c r="F293" s="1" t="inlineStr">
        <is>
          <t>NOVIEMBRE</t>
        </is>
      </c>
      <c r="G293" s="1" t="inlineStr">
        <is>
          <t>HAIFENG</t>
        </is>
      </c>
      <c r="H293" s="1" t="inlineStr">
        <is>
          <t>HAIFENG 11/11/2025</t>
        </is>
      </c>
      <c r="I293" s="4" t="n">
        <v>3</v>
      </c>
      <c r="J293" s="6" t="n">
        <v>5</v>
      </c>
      <c r="K293" s="6" t="n">
        <v>105.3024922</v>
      </c>
      <c r="L293" s="6">
        <f>I293*K293</f>
        <v/>
      </c>
      <c r="M293" s="6">
        <f>K293*4</f>
        <v/>
      </c>
      <c r="N293" s="6" t="n">
        <v>480</v>
      </c>
    </row>
    <row r="294">
      <c r="A294" s="1" t="inlineStr">
        <is>
          <t>15711171018701</t>
        </is>
      </c>
      <c r="B294" s="1" t="inlineStr">
        <is>
          <t>ANILLO DOBLE T GOLD</t>
        </is>
      </c>
      <c r="C294" s="1" t="inlineStr">
        <is>
          <t>6</t>
        </is>
      </c>
      <c r="D294" s="1" t="inlineStr">
        <is>
          <t>03/12/2025</t>
        </is>
      </c>
      <c r="E294" s="1" t="n">
        <v>2025</v>
      </c>
      <c r="F294" s="1" t="inlineStr">
        <is>
          <t>DICIEMBRE</t>
        </is>
      </c>
      <c r="G294" s="1" t="inlineStr">
        <is>
          <t>HAIFENG</t>
        </is>
      </c>
      <c r="H294" s="1" t="inlineStr">
        <is>
          <t>HAIFENG 03/12/2025</t>
        </is>
      </c>
      <c r="I294" s="4" t="n">
        <v>3</v>
      </c>
      <c r="J294" s="6" t="n">
        <v>5</v>
      </c>
      <c r="K294" s="6" t="n">
        <v>104.5858001</v>
      </c>
      <c r="L294" s="6">
        <f>I294*K294</f>
        <v/>
      </c>
      <c r="M294" s="6">
        <f>K294*4</f>
        <v/>
      </c>
      <c r="N294" s="6" t="n">
        <v>312</v>
      </c>
    </row>
    <row r="295">
      <c r="A295" s="1" t="inlineStr">
        <is>
          <t>15711171151469</t>
        </is>
      </c>
      <c r="B295" s="1" t="inlineStr">
        <is>
          <t>ANILLO DOBLE T GOLD</t>
        </is>
      </c>
      <c r="C295" s="1" t="inlineStr">
        <is>
          <t>7</t>
        </is>
      </c>
      <c r="D295" s="1" t="inlineStr">
        <is>
          <t>20/01/2026</t>
        </is>
      </c>
      <c r="E295" s="1" t="n">
        <v>2026</v>
      </c>
      <c r="F295" s="1" t="inlineStr">
        <is>
          <t>ENERO</t>
        </is>
      </c>
      <c r="G295" s="1" t="inlineStr">
        <is>
          <t>HAIFENG</t>
        </is>
      </c>
      <c r="H295" s="1" t="inlineStr">
        <is>
          <t>HAIFENG 20/01/2026</t>
        </is>
      </c>
      <c r="I295" s="4" t="n">
        <v>3</v>
      </c>
      <c r="J295" s="6" t="n">
        <v>5</v>
      </c>
      <c r="K295" s="6" t="n">
        <v>106.002089</v>
      </c>
      <c r="L295" s="6">
        <f>I295*K295</f>
        <v/>
      </c>
      <c r="M295" s="6">
        <f>K295*4</f>
        <v/>
      </c>
      <c r="N295" s="6" t="n">
        <v>480</v>
      </c>
    </row>
    <row r="296">
      <c r="A296" s="1" t="inlineStr">
        <is>
          <t>15711171151469</t>
        </is>
      </c>
      <c r="B296" s="1" t="n"/>
      <c r="C296" s="1" t="inlineStr">
        <is>
          <t>7</t>
        </is>
      </c>
      <c r="D296" s="1" t="inlineStr">
        <is>
          <t>10/02/2026</t>
        </is>
      </c>
      <c r="E296" s="1" t="n">
        <v>2026</v>
      </c>
      <c r="F296" s="1" t="inlineStr">
        <is>
          <t>FEBRERO</t>
        </is>
      </c>
      <c r="G296" s="1" t="inlineStr">
        <is>
          <t>HAIFENG</t>
        </is>
      </c>
      <c r="H296" s="1" t="inlineStr">
        <is>
          <t>HAIFENG 10/02/2026</t>
        </is>
      </c>
      <c r="I296" s="4" t="n">
        <v>2</v>
      </c>
      <c r="J296" s="6" t="n">
        <v>5</v>
      </c>
      <c r="K296" s="6" t="n">
        <v>105.3424803</v>
      </c>
      <c r="L296" s="6">
        <f>I296*K296</f>
        <v/>
      </c>
      <c r="M296" s="6">
        <f>K296*4</f>
        <v/>
      </c>
      <c r="N296" s="6" t="n">
        <v>480</v>
      </c>
    </row>
    <row r="297">
      <c r="A297" s="1" t="inlineStr">
        <is>
          <t>15711171284237</t>
        </is>
      </c>
      <c r="B297" s="1" t="inlineStr">
        <is>
          <t>ANILLO DOBLE T GOLD</t>
        </is>
      </c>
      <c r="C297" s="1" t="inlineStr">
        <is>
          <t>8</t>
        </is>
      </c>
      <c r="D297" s="1" t="inlineStr">
        <is>
          <t>11/11/2025</t>
        </is>
      </c>
      <c r="E297" s="1" t="n">
        <v>2025</v>
      </c>
      <c r="F297" s="1" t="inlineStr">
        <is>
          <t>NOVIEMBRE</t>
        </is>
      </c>
      <c r="G297" s="1" t="inlineStr">
        <is>
          <t>HAIFENG</t>
        </is>
      </c>
      <c r="H297" s="1" t="inlineStr">
        <is>
          <t>HAIFENG 11/11/2025</t>
        </is>
      </c>
      <c r="I297" s="4" t="n">
        <v>3</v>
      </c>
      <c r="J297" s="6" t="n">
        <v>5</v>
      </c>
      <c r="K297" s="6" t="n">
        <v>105.3024922</v>
      </c>
      <c r="L297" s="6">
        <f>I297*K297</f>
        <v/>
      </c>
      <c r="M297" s="6">
        <f>K297*4</f>
        <v/>
      </c>
      <c r="N297" s="6" t="n">
        <v>480</v>
      </c>
    </row>
    <row r="298">
      <c r="A298" s="1" t="inlineStr">
        <is>
          <t>15711171284237</t>
        </is>
      </c>
      <c r="B298" s="1" t="inlineStr">
        <is>
          <t>ANILLO DOBLE T GOLD</t>
        </is>
      </c>
      <c r="C298" s="1" t="inlineStr">
        <is>
          <t>8</t>
        </is>
      </c>
      <c r="D298" s="1" t="inlineStr">
        <is>
          <t>03/12/2025</t>
        </is>
      </c>
      <c r="E298" s="1" t="n">
        <v>2025</v>
      </c>
      <c r="F298" s="1" t="inlineStr">
        <is>
          <t>DICIEMBRE</t>
        </is>
      </c>
      <c r="G298" s="1" t="inlineStr">
        <is>
          <t>HAIFENG</t>
        </is>
      </c>
      <c r="H298" s="1" t="inlineStr">
        <is>
          <t>HAIFENG 03/12/2025</t>
        </is>
      </c>
      <c r="I298" s="4" t="n">
        <v>2</v>
      </c>
      <c r="J298" s="6" t="n">
        <v>5</v>
      </c>
      <c r="K298" s="6" t="n">
        <v>104.5858001</v>
      </c>
      <c r="L298" s="6">
        <f>I298*K298</f>
        <v/>
      </c>
      <c r="M298" s="6">
        <f>K298*4</f>
        <v/>
      </c>
      <c r="N298" s="6" t="n">
        <v>480</v>
      </c>
    </row>
    <row r="299">
      <c r="A299" s="1" t="inlineStr">
        <is>
          <t>15711171284237</t>
        </is>
      </c>
      <c r="B299" s="1" t="n"/>
      <c r="C299" s="1" t="inlineStr">
        <is>
          <t>8</t>
        </is>
      </c>
      <c r="D299" s="1" t="inlineStr">
        <is>
          <t>10/02/2026</t>
        </is>
      </c>
      <c r="E299" s="1" t="n">
        <v>2026</v>
      </c>
      <c r="F299" s="1" t="inlineStr">
        <is>
          <t>FEBRERO</t>
        </is>
      </c>
      <c r="G299" s="1" t="inlineStr">
        <is>
          <t>HAIFENG</t>
        </is>
      </c>
      <c r="H299" s="1" t="inlineStr">
        <is>
          <t>HAIFENG 10/02/2026</t>
        </is>
      </c>
      <c r="I299" s="4" t="n">
        <v>3</v>
      </c>
      <c r="J299" s="6" t="n">
        <v>5</v>
      </c>
      <c r="K299" s="6" t="n">
        <v>105.3424803</v>
      </c>
      <c r="L299" s="6">
        <f>I299*K299</f>
        <v/>
      </c>
      <c r="M299" s="6">
        <f>K299*4</f>
        <v/>
      </c>
      <c r="N299" s="6" t="n">
        <v>480</v>
      </c>
    </row>
    <row r="300">
      <c r="A300" s="1" t="inlineStr">
        <is>
          <t>15711171284237</t>
        </is>
      </c>
      <c r="B300" s="1" t="inlineStr">
        <is>
          <t>ANILLO DOBLE T GOLD</t>
        </is>
      </c>
      <c r="C300" s="1" t="inlineStr">
        <is>
          <t>8</t>
        </is>
      </c>
      <c r="D300" s="1" t="inlineStr">
        <is>
          <t>11/03/2026</t>
        </is>
      </c>
      <c r="E300" s="1" t="n">
        <v>2026</v>
      </c>
      <c r="F300" s="1" t="inlineStr">
        <is>
          <t>MARZO</t>
        </is>
      </c>
      <c r="G300" s="1" t="inlineStr">
        <is>
          <t>HAIFENG</t>
        </is>
      </c>
      <c r="H300" s="1" t="inlineStr">
        <is>
          <t>HAIFENG 11/03/2026</t>
        </is>
      </c>
      <c r="I300" s="4" t="n">
        <v>1</v>
      </c>
      <c r="J300" s="6" t="n">
        <v>5</v>
      </c>
      <c r="K300" s="6" t="n">
        <v>106.5194811</v>
      </c>
      <c r="L300" s="6">
        <f>I300*K300</f>
        <v/>
      </c>
      <c r="M300" s="6">
        <f>K300*4</f>
        <v/>
      </c>
      <c r="N300" s="6" t="n">
        <v>480</v>
      </c>
    </row>
    <row r="301">
      <c r="A301" s="1" t="inlineStr">
        <is>
          <t>15711171284237</t>
        </is>
      </c>
      <c r="B301" s="1" t="inlineStr">
        <is>
          <t>ANILLO DOBLE T GOLD</t>
        </is>
      </c>
      <c r="C301" s="1" t="inlineStr">
        <is>
          <t>8</t>
        </is>
      </c>
      <c r="D301" s="1" t="inlineStr">
        <is>
          <t>06/05/2026</t>
        </is>
      </c>
      <c r="E301" s="1" t="n">
        <v>2026</v>
      </c>
      <c r="F301" s="1" t="inlineStr">
        <is>
          <t>MAYO</t>
        </is>
      </c>
      <c r="G301" s="1" t="inlineStr">
        <is>
          <t>HAIFENG</t>
        </is>
      </c>
      <c r="H301" s="1" t="inlineStr">
        <is>
          <t>HAIFENG 06/05/2026</t>
        </is>
      </c>
      <c r="I301" s="4" t="n">
        <v>3</v>
      </c>
      <c r="J301" s="6" t="n">
        <v>5</v>
      </c>
      <c r="K301" s="6" t="n">
        <v>106.0932113</v>
      </c>
      <c r="L301" s="6">
        <f>I301*K301</f>
        <v/>
      </c>
      <c r="M301" s="6">
        <f>K301*4</f>
        <v/>
      </c>
      <c r="N301" s="6" t="n">
        <v>480</v>
      </c>
    </row>
    <row r="302">
      <c r="A302" s="1" t="inlineStr">
        <is>
          <t>15711171361197</t>
        </is>
      </c>
      <c r="B302" s="1" t="inlineStr">
        <is>
          <t>ANILLO DOBLE T ROSE GOLD</t>
        </is>
      </c>
      <c r="C302" s="1" t="inlineStr">
        <is>
          <t>6</t>
        </is>
      </c>
      <c r="D302" s="1" t="inlineStr">
        <is>
          <t>11/03/2026</t>
        </is>
      </c>
      <c r="E302" s="1" t="n">
        <v>2026</v>
      </c>
      <c r="F302" s="1" t="inlineStr">
        <is>
          <t>MARZO</t>
        </is>
      </c>
      <c r="G302" s="1" t="inlineStr">
        <is>
          <t>HAIFENG</t>
        </is>
      </c>
      <c r="H302" s="1" t="inlineStr">
        <is>
          <t>HAIFENG 11/03/2026</t>
        </is>
      </c>
      <c r="I302" s="4" t="n">
        <v>2</v>
      </c>
      <c r="J302" s="6" t="n">
        <v>5</v>
      </c>
      <c r="K302" s="6" t="n">
        <v>106.5194811</v>
      </c>
      <c r="L302" s="6">
        <f>I302*K302</f>
        <v/>
      </c>
      <c r="M302" s="6">
        <f>K302*4</f>
        <v/>
      </c>
      <c r="N302" s="6" t="n">
        <v>312</v>
      </c>
    </row>
    <row r="303">
      <c r="A303" s="1" t="inlineStr">
        <is>
          <t>15711171493965</t>
        </is>
      </c>
      <c r="B303" s="1" t="inlineStr">
        <is>
          <t>ANILLO DOBLE T ROSE GOLD</t>
        </is>
      </c>
      <c r="C303" s="1" t="inlineStr">
        <is>
          <t>7</t>
        </is>
      </c>
      <c r="D303" s="1" t="inlineStr">
        <is>
          <t>03/12/2025</t>
        </is>
      </c>
      <c r="E303" s="1" t="n">
        <v>2025</v>
      </c>
      <c r="F303" s="1" t="inlineStr">
        <is>
          <t>DICIEMBRE</t>
        </is>
      </c>
      <c r="G303" s="1" t="inlineStr">
        <is>
          <t>HAIFENG</t>
        </is>
      </c>
      <c r="H303" s="1" t="inlineStr">
        <is>
          <t>HAIFENG 03/12/2025</t>
        </is>
      </c>
      <c r="I303" s="4" t="n">
        <v>2</v>
      </c>
      <c r="J303" s="6" t="n">
        <v>5</v>
      </c>
      <c r="K303" s="6" t="n">
        <v>104.5858001</v>
      </c>
      <c r="L303" s="6">
        <f>I303*K303</f>
        <v/>
      </c>
      <c r="M303" s="6">
        <f>K303*4</f>
        <v/>
      </c>
      <c r="N303" s="6" t="n">
        <v>480</v>
      </c>
    </row>
    <row r="304">
      <c r="A304" s="1" t="inlineStr">
        <is>
          <t>15711171526733</t>
        </is>
      </c>
      <c r="B304" s="1" t="inlineStr">
        <is>
          <t>ANILLO DOBLE T ROSE GOLD</t>
        </is>
      </c>
      <c r="C304" s="1" t="inlineStr">
        <is>
          <t>8</t>
        </is>
      </c>
      <c r="D304" s="1" t="inlineStr">
        <is>
          <t>11/11/2025</t>
        </is>
      </c>
      <c r="E304" s="1" t="n">
        <v>2025</v>
      </c>
      <c r="F304" s="1" t="inlineStr">
        <is>
          <t>NOVIEMBRE</t>
        </is>
      </c>
      <c r="G304" s="1" t="inlineStr">
        <is>
          <t>HAIFENG</t>
        </is>
      </c>
      <c r="H304" s="1" t="inlineStr">
        <is>
          <t>HAIFENG 11/11/2025</t>
        </is>
      </c>
      <c r="I304" s="4" t="n">
        <v>3</v>
      </c>
      <c r="J304" s="6" t="n">
        <v>5</v>
      </c>
      <c r="K304" s="6" t="n">
        <v>105.3024922</v>
      </c>
      <c r="L304" s="6">
        <f>I304*K304</f>
        <v/>
      </c>
      <c r="M304" s="6">
        <f>K304*4</f>
        <v/>
      </c>
      <c r="N304" s="6" t="n">
        <v>480</v>
      </c>
    </row>
    <row r="305">
      <c r="A305" s="1" t="inlineStr">
        <is>
          <t>15711171526733</t>
        </is>
      </c>
      <c r="B305" s="1" t="inlineStr">
        <is>
          <t>ANILLO DOBLE T ROSE GOLD</t>
        </is>
      </c>
      <c r="C305" s="1" t="inlineStr">
        <is>
          <t>8</t>
        </is>
      </c>
      <c r="D305" s="1" t="inlineStr">
        <is>
          <t>03/12/2025</t>
        </is>
      </c>
      <c r="E305" s="1" t="n">
        <v>2025</v>
      </c>
      <c r="F305" s="1" t="inlineStr">
        <is>
          <t>DICIEMBRE</t>
        </is>
      </c>
      <c r="G305" s="1" t="inlineStr">
        <is>
          <t>HAIFENG</t>
        </is>
      </c>
      <c r="H305" s="1" t="inlineStr">
        <is>
          <t>HAIFENG 03/12/2025</t>
        </is>
      </c>
      <c r="I305" s="4" t="n">
        <v>1</v>
      </c>
      <c r="J305" s="6" t="n">
        <v>5</v>
      </c>
      <c r="K305" s="6" t="n">
        <v>104.5858001</v>
      </c>
      <c r="L305" s="6">
        <f>I305*K305</f>
        <v/>
      </c>
      <c r="M305" s="6">
        <f>K305*4</f>
        <v/>
      </c>
      <c r="N305" s="6" t="n">
        <v>312</v>
      </c>
    </row>
    <row r="306">
      <c r="A306" s="1" t="inlineStr">
        <is>
          <t>15711171526733</t>
        </is>
      </c>
      <c r="B306" s="1" t="inlineStr">
        <is>
          <t>ANILLO DOBLE T ROSE GOLD</t>
        </is>
      </c>
      <c r="C306" s="1" t="inlineStr">
        <is>
          <t>8</t>
        </is>
      </c>
      <c r="D306" s="1" t="inlineStr">
        <is>
          <t>20/01/2026</t>
        </is>
      </c>
      <c r="E306" s="1" t="n">
        <v>2026</v>
      </c>
      <c r="F306" s="1" t="inlineStr">
        <is>
          <t>ENERO</t>
        </is>
      </c>
      <c r="G306" s="1" t="inlineStr">
        <is>
          <t>HAIFENG</t>
        </is>
      </c>
      <c r="H306" s="1" t="inlineStr">
        <is>
          <t>HAIFENG 20/01/2026</t>
        </is>
      </c>
      <c r="I306" s="4" t="n">
        <v>2</v>
      </c>
      <c r="J306" s="6" t="n">
        <v>5</v>
      </c>
      <c r="K306" s="6" t="n">
        <v>106.002089</v>
      </c>
      <c r="L306" s="6">
        <f>I306*K306</f>
        <v/>
      </c>
      <c r="M306" s="6">
        <f>K306*4</f>
        <v/>
      </c>
      <c r="N306" s="6" t="n">
        <v>312</v>
      </c>
    </row>
    <row r="307">
      <c r="A307" s="1" t="inlineStr">
        <is>
          <t>15711171624141</t>
        </is>
      </c>
      <c r="B307" s="1" t="inlineStr">
        <is>
          <t>ANILLO DOBLE T SILVER</t>
        </is>
      </c>
      <c r="C307" s="1" t="inlineStr">
        <is>
          <t>6</t>
        </is>
      </c>
      <c r="D307" s="1" t="inlineStr">
        <is>
          <t>11/11/2025</t>
        </is>
      </c>
      <c r="E307" s="1" t="n">
        <v>2025</v>
      </c>
      <c r="F307" s="1" t="inlineStr">
        <is>
          <t>NOVIEMBRE</t>
        </is>
      </c>
      <c r="G307" s="1" t="inlineStr">
        <is>
          <t>HAIFENG</t>
        </is>
      </c>
      <c r="H307" s="1" t="inlineStr">
        <is>
          <t>HAIFENG 11/11/2025</t>
        </is>
      </c>
      <c r="I307" s="4" t="n">
        <v>3</v>
      </c>
      <c r="J307" s="6" t="n">
        <v>5</v>
      </c>
      <c r="K307" s="6" t="n">
        <v>105.3024922</v>
      </c>
      <c r="L307" s="6">
        <f>I307*K307</f>
        <v/>
      </c>
      <c r="M307" s="6">
        <f>K307*4</f>
        <v/>
      </c>
      <c r="N307" s="6" t="n">
        <v>450</v>
      </c>
    </row>
    <row r="308">
      <c r="A308" s="1" t="inlineStr">
        <is>
          <t>15711171624141</t>
        </is>
      </c>
      <c r="B308" s="1" t="inlineStr">
        <is>
          <t>ANILLO DOBLE T SILVER</t>
        </is>
      </c>
      <c r="C308" s="1" t="inlineStr">
        <is>
          <t>6</t>
        </is>
      </c>
      <c r="D308" s="1" t="inlineStr">
        <is>
          <t>03/12/2025</t>
        </is>
      </c>
      <c r="E308" s="1" t="n">
        <v>2025</v>
      </c>
      <c r="F308" s="1" t="inlineStr">
        <is>
          <t>DICIEMBRE</t>
        </is>
      </c>
      <c r="G308" s="1" t="inlineStr">
        <is>
          <t>HAIFENG</t>
        </is>
      </c>
      <c r="H308" s="1" t="inlineStr">
        <is>
          <t>HAIFENG 03/12/2025</t>
        </is>
      </c>
      <c r="I308" s="4" t="n">
        <v>1</v>
      </c>
      <c r="J308" s="6" t="n">
        <v>5</v>
      </c>
      <c r="K308" s="6" t="n">
        <v>104.5858001</v>
      </c>
      <c r="L308" s="6">
        <f>I308*K308</f>
        <v/>
      </c>
      <c r="M308" s="6">
        <f>K308*4</f>
        <v/>
      </c>
      <c r="N308" s="6" t="n">
        <v>450</v>
      </c>
    </row>
    <row r="309">
      <c r="A309" s="1" t="inlineStr">
        <is>
          <t>15711171624141</t>
        </is>
      </c>
      <c r="B309" s="1" t="inlineStr">
        <is>
          <t>ANILLO DOBLE T SILVER</t>
        </is>
      </c>
      <c r="C309" s="1" t="inlineStr">
        <is>
          <t>6</t>
        </is>
      </c>
      <c r="D309" s="1" t="inlineStr">
        <is>
          <t>16/06/2026</t>
        </is>
      </c>
      <c r="E309" s="1" t="n">
        <v>2026</v>
      </c>
      <c r="F309" s="1" t="inlineStr">
        <is>
          <t>JUNIO</t>
        </is>
      </c>
      <c r="G309" s="1" t="inlineStr">
        <is>
          <t>HAIFENG</t>
        </is>
      </c>
      <c r="H309" s="1" t="inlineStr">
        <is>
          <t>HAIFENG 16/06/2026</t>
        </is>
      </c>
      <c r="I309" s="4" t="n">
        <v>1</v>
      </c>
      <c r="J309" s="6" t="n">
        <v>5</v>
      </c>
      <c r="K309" s="6" t="n">
        <v>105.0730323</v>
      </c>
      <c r="L309" s="6">
        <f>I309*K309</f>
        <v/>
      </c>
      <c r="M309" s="6">
        <f>K309*4</f>
        <v/>
      </c>
      <c r="N309" s="6" t="n">
        <v>450</v>
      </c>
    </row>
    <row r="310">
      <c r="A310" s="1" t="inlineStr">
        <is>
          <t>15711171756909</t>
        </is>
      </c>
      <c r="B310" s="1" t="n"/>
      <c r="C310" s="1" t="inlineStr">
        <is>
          <t>7</t>
        </is>
      </c>
      <c r="D310" s="1" t="inlineStr">
        <is>
          <t>10/02/2026</t>
        </is>
      </c>
      <c r="E310" s="1" t="n">
        <v>2026</v>
      </c>
      <c r="F310" s="1" t="inlineStr">
        <is>
          <t>FEBRERO</t>
        </is>
      </c>
      <c r="G310" s="1" t="inlineStr">
        <is>
          <t>HAIFENG</t>
        </is>
      </c>
      <c r="H310" s="1" t="inlineStr">
        <is>
          <t>HAIFENG 10/02/2026</t>
        </is>
      </c>
      <c r="I310" s="4" t="n">
        <v>3</v>
      </c>
      <c r="J310" s="6" t="n">
        <v>5</v>
      </c>
      <c r="K310" s="6" t="n">
        <v>105.3424803</v>
      </c>
      <c r="L310" s="6">
        <f>I310*K310</f>
        <v/>
      </c>
      <c r="M310" s="6">
        <f>K310*4</f>
        <v/>
      </c>
      <c r="N310" s="6" t="n">
        <v>450</v>
      </c>
    </row>
    <row r="311">
      <c r="A311" s="1" t="inlineStr">
        <is>
          <t>15711171889677</t>
        </is>
      </c>
      <c r="B311" s="1" t="inlineStr">
        <is>
          <t>ANILLO DOBLE T SILVER</t>
        </is>
      </c>
      <c r="C311" s="1" t="inlineStr">
        <is>
          <t>8</t>
        </is>
      </c>
      <c r="D311" s="1" t="inlineStr">
        <is>
          <t>03/12/2025</t>
        </is>
      </c>
      <c r="E311" s="1" t="n">
        <v>2025</v>
      </c>
      <c r="F311" s="1" t="inlineStr">
        <is>
          <t>DICIEMBRE</t>
        </is>
      </c>
      <c r="G311" s="1" t="inlineStr">
        <is>
          <t>HAIFENG</t>
        </is>
      </c>
      <c r="H311" s="1" t="inlineStr">
        <is>
          <t>HAIFENG 03/12/2025</t>
        </is>
      </c>
      <c r="I311" s="4" t="n">
        <v>2</v>
      </c>
      <c r="J311" s="6" t="n">
        <v>5</v>
      </c>
      <c r="K311" s="6" t="n">
        <v>104.5858001</v>
      </c>
      <c r="L311" s="6">
        <f>I311*K311</f>
        <v/>
      </c>
      <c r="M311" s="6">
        <f>K311*4</f>
        <v/>
      </c>
      <c r="N311" s="6" t="n">
        <v>450</v>
      </c>
    </row>
    <row r="312">
      <c r="A312" s="1" t="inlineStr">
        <is>
          <t>15711171889677</t>
        </is>
      </c>
      <c r="B312" s="1" t="inlineStr">
        <is>
          <t>ANILLO DOBLE T SILVER</t>
        </is>
      </c>
      <c r="C312" s="1" t="inlineStr">
        <is>
          <t>8</t>
        </is>
      </c>
      <c r="D312" s="1" t="inlineStr">
        <is>
          <t>20/01/2026</t>
        </is>
      </c>
      <c r="E312" s="1" t="n">
        <v>2026</v>
      </c>
      <c r="F312" s="1" t="inlineStr">
        <is>
          <t>ENERO</t>
        </is>
      </c>
      <c r="G312" s="1" t="inlineStr">
        <is>
          <t>HAIFENG</t>
        </is>
      </c>
      <c r="H312" s="1" t="inlineStr">
        <is>
          <t>HAIFENG 20/01/2026</t>
        </is>
      </c>
      <c r="I312" s="4" t="n">
        <v>2</v>
      </c>
      <c r="J312" s="6" t="n">
        <v>5</v>
      </c>
      <c r="K312" s="6" t="n">
        <v>106.002089</v>
      </c>
      <c r="L312" s="6">
        <f>I312*K312</f>
        <v/>
      </c>
      <c r="M312" s="6">
        <f>K312*4</f>
        <v/>
      </c>
      <c r="N312" s="6" t="n">
        <v>450</v>
      </c>
    </row>
    <row r="313">
      <c r="A313" s="1" t="inlineStr">
        <is>
          <t>15711171972493</t>
        </is>
      </c>
      <c r="B313" s="1" t="inlineStr">
        <is>
          <t>PULSERA PANTHERE DOBLE CADENA C</t>
        </is>
      </c>
      <c r="C313" s="1" t="inlineStr">
        <is>
          <t>Default Title</t>
        </is>
      </c>
      <c r="D313" s="1" t="inlineStr">
        <is>
          <t>11/11/2025</t>
        </is>
      </c>
      <c r="E313" s="1" t="n">
        <v>2025</v>
      </c>
      <c r="F313" s="1" t="inlineStr">
        <is>
          <t>NOVIEMBRE</t>
        </is>
      </c>
      <c r="G313" s="1" t="inlineStr">
        <is>
          <t>HAIFENG</t>
        </is>
      </c>
      <c r="H313" s="1" t="inlineStr">
        <is>
          <t>HAIFENG 11/11/2025</t>
        </is>
      </c>
      <c r="I313" s="4" t="n">
        <v>3</v>
      </c>
      <c r="J313" s="6" t="n">
        <v>7</v>
      </c>
      <c r="K313" s="6" t="n">
        <v>147.4234891</v>
      </c>
      <c r="L313" s="6">
        <f>I313*K313</f>
        <v/>
      </c>
      <c r="M313" s="6">
        <f>K313*4</f>
        <v/>
      </c>
      <c r="N313" s="6" t="n">
        <v>599</v>
      </c>
    </row>
    <row r="314">
      <c r="A314" s="1" t="inlineStr">
        <is>
          <t>15711171972493</t>
        </is>
      </c>
      <c r="B314" s="1" t="inlineStr">
        <is>
          <t>PULSERA PANTHERE DOBLE CADENA C</t>
        </is>
      </c>
      <c r="C314" s="1" t="inlineStr">
        <is>
          <t>Default Title</t>
        </is>
      </c>
      <c r="D314" s="1" t="inlineStr">
        <is>
          <t>03/12/2025</t>
        </is>
      </c>
      <c r="E314" s="1" t="n">
        <v>2025</v>
      </c>
      <c r="F314" s="1" t="inlineStr">
        <is>
          <t>DICIEMBRE</t>
        </is>
      </c>
      <c r="G314" s="1" t="inlineStr">
        <is>
          <t>HAIFENG</t>
        </is>
      </c>
      <c r="H314" s="1" t="inlineStr">
        <is>
          <t>HAIFENG 03/12/2025</t>
        </is>
      </c>
      <c r="I314" s="4" t="n">
        <v>4</v>
      </c>
      <c r="J314" s="6" t="n">
        <v>7</v>
      </c>
      <c r="K314" s="6" t="n">
        <v>146.4201201</v>
      </c>
      <c r="L314" s="6">
        <f>I314*K314</f>
        <v/>
      </c>
      <c r="M314" s="6">
        <f>K314*4</f>
        <v/>
      </c>
      <c r="N314" s="6" t="n">
        <v>599</v>
      </c>
    </row>
    <row r="315">
      <c r="A315" s="1" t="inlineStr">
        <is>
          <t>15711171972493</t>
        </is>
      </c>
      <c r="B315" s="1" t="inlineStr">
        <is>
          <t>PULSERA PANTHERE DOBLE CADENA C</t>
        </is>
      </c>
      <c r="C315" s="1" t="inlineStr">
        <is>
          <t>Default Title</t>
        </is>
      </c>
      <c r="D315" s="1" t="inlineStr">
        <is>
          <t>16/06/2026</t>
        </is>
      </c>
      <c r="E315" s="1" t="n">
        <v>2026</v>
      </c>
      <c r="F315" s="1" t="inlineStr">
        <is>
          <t>JUNIO</t>
        </is>
      </c>
      <c r="G315" s="1" t="inlineStr">
        <is>
          <t>HAIFENG</t>
        </is>
      </c>
      <c r="H315" s="1" t="inlineStr">
        <is>
          <t>HAIFENG 16/06/2026</t>
        </is>
      </c>
      <c r="I315" s="4" t="n">
        <v>2</v>
      </c>
      <c r="J315" s="6" t="n">
        <v>7</v>
      </c>
      <c r="K315" s="6" t="n">
        <v>147.1022452</v>
      </c>
      <c r="L315" s="6">
        <f>I315*K315</f>
        <v/>
      </c>
      <c r="M315" s="6">
        <f>K315*4</f>
        <v/>
      </c>
      <c r="N315" s="6" t="n">
        <v>599</v>
      </c>
    </row>
    <row r="316">
      <c r="A316" s="1" t="inlineStr">
        <is>
          <t>15711172030349</t>
        </is>
      </c>
      <c r="B316" s="1" t="inlineStr">
        <is>
          <t>ARETES BEAN GOLD T</t>
        </is>
      </c>
      <c r="C316" s="1" t="inlineStr">
        <is>
          <t>Default Title</t>
        </is>
      </c>
      <c r="D316" s="1" t="inlineStr">
        <is>
          <t>05/09/2025</t>
        </is>
      </c>
      <c r="E316" s="1" t="n">
        <v>2025</v>
      </c>
      <c r="F316" s="1" t="inlineStr">
        <is>
          <t>SEPTIEMBRE</t>
        </is>
      </c>
      <c r="G316" s="1" t="inlineStr">
        <is>
          <t>CYNTHIA</t>
        </is>
      </c>
      <c r="H316" s="1" t="inlineStr">
        <is>
          <t>CYNTHIA 05/09/2025</t>
        </is>
      </c>
      <c r="I316" s="4" t="n">
        <v>3</v>
      </c>
      <c r="J316" s="6" t="n">
        <v>8</v>
      </c>
      <c r="K316" s="6" t="n">
        <v>201.4327754</v>
      </c>
      <c r="L316" s="6">
        <f>I316*K316</f>
        <v/>
      </c>
      <c r="M316" s="6">
        <f>K316*4</f>
        <v/>
      </c>
      <c r="N316" s="6" t="n">
        <v>935</v>
      </c>
    </row>
    <row r="317">
      <c r="A317" s="1" t="inlineStr">
        <is>
          <t>15711172030349</t>
        </is>
      </c>
      <c r="B317" s="1" t="inlineStr">
        <is>
          <t>ARETES BEAN GOLD T</t>
        </is>
      </c>
      <c r="C317" s="1" t="inlineStr">
        <is>
          <t>Default Title</t>
        </is>
      </c>
      <c r="D317" s="1" t="inlineStr">
        <is>
          <t>25/10/2025</t>
        </is>
      </c>
      <c r="E317" s="1" t="n">
        <v>2025</v>
      </c>
      <c r="F317" s="1" t="inlineStr">
        <is>
          <t>OCTUBRE</t>
        </is>
      </c>
      <c r="G317" s="1" t="inlineStr">
        <is>
          <t>CYNTHIA</t>
        </is>
      </c>
      <c r="H317" s="1" t="inlineStr">
        <is>
          <t>CYNTHIA 25/10/2025</t>
        </is>
      </c>
      <c r="I317" s="4" t="n">
        <v>5</v>
      </c>
      <c r="J317" s="6" t="n">
        <v>8</v>
      </c>
      <c r="K317" s="6" t="n">
        <v>209.6145887</v>
      </c>
      <c r="L317" s="6">
        <f>I317*K317</f>
        <v/>
      </c>
      <c r="M317" s="6">
        <f>K317*4</f>
        <v/>
      </c>
      <c r="N317" s="6" t="n">
        <v>935</v>
      </c>
    </row>
    <row r="318">
      <c r="A318" s="1" t="inlineStr">
        <is>
          <t>15711172030349</t>
        </is>
      </c>
      <c r="B318" s="1" t="inlineStr">
        <is>
          <t>ARETES BEAN GOLD T</t>
        </is>
      </c>
      <c r="C318" s="1" t="inlineStr">
        <is>
          <t>Default Title</t>
        </is>
      </c>
      <c r="D318" s="1" t="inlineStr">
        <is>
          <t>18/02/2026</t>
        </is>
      </c>
      <c r="E318" s="1" t="n">
        <v>2026</v>
      </c>
      <c r="F318" s="1" t="inlineStr">
        <is>
          <t>FEBRERO</t>
        </is>
      </c>
      <c r="G318" s="1" t="inlineStr">
        <is>
          <t>CYNTHIA</t>
        </is>
      </c>
      <c r="H318" s="1" t="inlineStr">
        <is>
          <t>CYNTHIA 18/02/2026</t>
        </is>
      </c>
      <c r="I318" s="4" t="n">
        <v>10</v>
      </c>
      <c r="J318" s="6" t="n">
        <v>7.5</v>
      </c>
      <c r="K318" s="6" t="n">
        <v>202.825239</v>
      </c>
      <c r="L318" s="6">
        <f>I318*K318</f>
        <v/>
      </c>
      <c r="M318" s="6">
        <f>K318*4</f>
        <v/>
      </c>
      <c r="N318" s="6" t="n">
        <v>935</v>
      </c>
    </row>
    <row r="319">
      <c r="A319" s="1" t="inlineStr">
        <is>
          <t>15711172030349</t>
        </is>
      </c>
      <c r="B319" s="1" t="inlineStr">
        <is>
          <t>ARETES BEAN GOLD T</t>
        </is>
      </c>
      <c r="C319" s="1" t="inlineStr">
        <is>
          <t>Default Title</t>
        </is>
      </c>
      <c r="D319" s="1" t="inlineStr">
        <is>
          <t>19/03/2026</t>
        </is>
      </c>
      <c r="E319" s="1" t="n">
        <v>2026</v>
      </c>
      <c r="F319" s="1" t="inlineStr">
        <is>
          <t>MARZO</t>
        </is>
      </c>
      <c r="G319" s="1" t="inlineStr">
        <is>
          <t>CYNTHIA</t>
        </is>
      </c>
      <c r="H319" s="1" t="inlineStr">
        <is>
          <t>CYNTHIA 19/03/2026</t>
        </is>
      </c>
      <c r="I319" s="4" t="n">
        <v>2</v>
      </c>
      <c r="J319" s="6" t="n">
        <v>8</v>
      </c>
      <c r="K319" s="6" t="n">
        <v>214.8593263</v>
      </c>
      <c r="L319" s="6">
        <f>I319*K319</f>
        <v/>
      </c>
      <c r="M319" s="6">
        <f>K319*4</f>
        <v/>
      </c>
      <c r="N319" s="6" t="n">
        <v>935</v>
      </c>
    </row>
    <row r="320">
      <c r="A320" s="1" t="inlineStr">
        <is>
          <t>15711172030349</t>
        </is>
      </c>
      <c r="B320" s="1" t="inlineStr">
        <is>
          <t>ARETES BEAN GOLD T</t>
        </is>
      </c>
      <c r="C320" s="1" t="inlineStr">
        <is>
          <t>Default Title</t>
        </is>
      </c>
      <c r="D320" s="1" t="inlineStr">
        <is>
          <t>31/05/2026</t>
        </is>
      </c>
      <c r="E320" s="1" t="n">
        <v>2026</v>
      </c>
      <c r="F320" s="1" t="inlineStr">
        <is>
          <t>MAYO</t>
        </is>
      </c>
      <c r="G320" s="1" t="inlineStr">
        <is>
          <t>CYNTHIA</t>
        </is>
      </c>
      <c r="H320" s="1" t="inlineStr">
        <is>
          <t>CYNTHIA 31/05/2026</t>
        </is>
      </c>
      <c r="I320" s="4" t="n">
        <v>5</v>
      </c>
      <c r="J320" s="6" t="n">
        <v>8.800000000000001</v>
      </c>
      <c r="K320" s="6" t="n">
        <v>233.2091958</v>
      </c>
      <c r="L320" s="6">
        <f>I320*K320</f>
        <v/>
      </c>
      <c r="M320" s="6">
        <f>K320*4</f>
        <v/>
      </c>
      <c r="N320" s="6" t="n">
        <v>935</v>
      </c>
    </row>
    <row r="321">
      <c r="A321" s="1" t="inlineStr">
        <is>
          <t>15711172175405</t>
        </is>
      </c>
      <c r="B321" s="1" t="inlineStr">
        <is>
          <t>ARETES DIORIVIERA GOLD CD</t>
        </is>
      </c>
      <c r="C321" s="1" t="inlineStr">
        <is>
          <t>Default Title</t>
        </is>
      </c>
      <c r="D321" s="1" t="inlineStr">
        <is>
          <t>25/10/2025</t>
        </is>
      </c>
      <c r="E321" s="1" t="n">
        <v>2025</v>
      </c>
      <c r="F321" s="1" t="inlineStr">
        <is>
          <t>OCTUBRE</t>
        </is>
      </c>
      <c r="G321" s="1" t="inlineStr">
        <is>
          <t>CYNTHIA</t>
        </is>
      </c>
      <c r="H321" s="1" t="inlineStr">
        <is>
          <t>CYNTHIA 25/10/2025</t>
        </is>
      </c>
      <c r="I321" s="4" t="n">
        <v>2</v>
      </c>
      <c r="J321" s="6" t="n">
        <v>10</v>
      </c>
      <c r="K321" s="6" t="n">
        <v>262.0182359</v>
      </c>
      <c r="L321" s="6">
        <f>I321*K321</f>
        <v/>
      </c>
      <c r="M321" s="6">
        <f>K321*4</f>
        <v/>
      </c>
      <c r="N321" s="6" t="n">
        <v>850</v>
      </c>
    </row>
    <row r="322">
      <c r="A322" s="1" t="inlineStr">
        <is>
          <t>15711172175405</t>
        </is>
      </c>
      <c r="B322" s="1" t="inlineStr">
        <is>
          <t>ARETES DIORIVIERA GOLD CD</t>
        </is>
      </c>
      <c r="C322" s="1" t="inlineStr">
        <is>
          <t>Default Title</t>
        </is>
      </c>
      <c r="D322" s="1" t="inlineStr">
        <is>
          <t>18/02/2026</t>
        </is>
      </c>
      <c r="E322" s="1" t="n">
        <v>2026</v>
      </c>
      <c r="F322" s="1" t="inlineStr">
        <is>
          <t>FEBRERO</t>
        </is>
      </c>
      <c r="G322" s="1" t="inlineStr">
        <is>
          <t>CYNTHIA</t>
        </is>
      </c>
      <c r="H322" s="1" t="inlineStr">
        <is>
          <t>CYNTHIA 18/02/2026</t>
        </is>
      </c>
      <c r="I322" s="4" t="n">
        <v>4</v>
      </c>
      <c r="J322" s="6" t="n">
        <v>10</v>
      </c>
      <c r="K322" s="6" t="n">
        <v>270.433652</v>
      </c>
      <c r="L322" s="6">
        <f>I322*K322</f>
        <v/>
      </c>
      <c r="M322" s="6">
        <f>K322*4</f>
        <v/>
      </c>
      <c r="N322" s="6" t="n">
        <v>950</v>
      </c>
    </row>
    <row r="323">
      <c r="A323" s="1" t="inlineStr">
        <is>
          <t>15711172277517</t>
        </is>
      </c>
      <c r="B323" s="1" t="inlineStr">
        <is>
          <t>ARETES CD SADDLE GOLD</t>
        </is>
      </c>
      <c r="C323" s="1" t="inlineStr">
        <is>
          <t>3 cm</t>
        </is>
      </c>
      <c r="D323" s="1" t="inlineStr">
        <is>
          <t>25/10/2025</t>
        </is>
      </c>
      <c r="E323" s="1" t="n">
        <v>2025</v>
      </c>
      <c r="F323" s="1" t="inlineStr">
        <is>
          <t>OCTUBRE</t>
        </is>
      </c>
      <c r="G323" s="1" t="inlineStr">
        <is>
          <t>CYNTHIA</t>
        </is>
      </c>
      <c r="H323" s="1" t="inlineStr">
        <is>
          <t>CYNTHIA 25/10/2025</t>
        </is>
      </c>
      <c r="I323" s="4" t="n">
        <v>3</v>
      </c>
      <c r="J323" s="6" t="n">
        <v>7</v>
      </c>
      <c r="K323" s="6" t="n">
        <v>183.4127651</v>
      </c>
      <c r="L323" s="6">
        <f>I323*K323</f>
        <v/>
      </c>
      <c r="M323" s="6">
        <f>K323*4</f>
        <v/>
      </c>
      <c r="N323" s="6" t="n">
        <v>582.47</v>
      </c>
    </row>
    <row r="324">
      <c r="A324" s="1" t="inlineStr">
        <is>
          <t>15711172330573</t>
        </is>
      </c>
      <c r="B324" s="1" t="inlineStr">
        <is>
          <t>ARETES CD PETIT JOLIE GOLD</t>
        </is>
      </c>
      <c r="C324" s="1" t="inlineStr">
        <is>
          <t>Default Title</t>
        </is>
      </c>
      <c r="D324" s="1" t="inlineStr">
        <is>
          <t>25/10/2025</t>
        </is>
      </c>
      <c r="E324" s="1" t="n">
        <v>2025</v>
      </c>
      <c r="F324" s="1" t="inlineStr">
        <is>
          <t>OCTUBRE</t>
        </is>
      </c>
      <c r="G324" s="1" t="inlineStr">
        <is>
          <t>CYNTHIA</t>
        </is>
      </c>
      <c r="H324" s="1" t="inlineStr">
        <is>
          <t>CYNTHIA 25/10/2025</t>
        </is>
      </c>
      <c r="I324" s="4" t="n">
        <v>10</v>
      </c>
      <c r="J324" s="6" t="n">
        <v>5.5</v>
      </c>
      <c r="K324" s="6" t="n">
        <v>144.1100297</v>
      </c>
      <c r="L324" s="6">
        <f>I324*K324</f>
        <v/>
      </c>
      <c r="M324" s="6">
        <f>K324*4</f>
        <v/>
      </c>
      <c r="N324" s="6" t="n">
        <v>520</v>
      </c>
    </row>
    <row r="325">
      <c r="A325" s="1" t="inlineStr">
        <is>
          <t>15711172330573</t>
        </is>
      </c>
      <c r="B325" s="1" t="inlineStr">
        <is>
          <t>ARETES CD PETIT JOLIE GOLD</t>
        </is>
      </c>
      <c r="C325" s="1" t="inlineStr">
        <is>
          <t>Default Title</t>
        </is>
      </c>
      <c r="D325" s="1" t="inlineStr">
        <is>
          <t>07/01/2026</t>
        </is>
      </c>
      <c r="E325" s="1" t="n">
        <v>2026</v>
      </c>
      <c r="F325" s="1" t="inlineStr">
        <is>
          <t>ENERO</t>
        </is>
      </c>
      <c r="G325" s="1" t="inlineStr">
        <is>
          <t>CYNTHIA</t>
        </is>
      </c>
      <c r="H325" s="1" t="inlineStr">
        <is>
          <t>CYNTHIA 07/01/2026</t>
        </is>
      </c>
      <c r="I325" s="4" t="n">
        <v>3</v>
      </c>
      <c r="J325" s="6" t="n">
        <v>6</v>
      </c>
      <c r="K325" s="6" t="n">
        <v>159.524566</v>
      </c>
      <c r="L325" s="6">
        <f>I325*K325</f>
        <v/>
      </c>
      <c r="M325" s="6">
        <f>K325*4</f>
        <v/>
      </c>
      <c r="N325" s="6" t="n">
        <v>709</v>
      </c>
    </row>
    <row r="326">
      <c r="A326" s="1" t="inlineStr">
        <is>
          <t>15711172330573</t>
        </is>
      </c>
      <c r="B326" s="1" t="inlineStr">
        <is>
          <t>ARETES CD PETIT JOLIE GOLD</t>
        </is>
      </c>
      <c r="C326" s="1" t="inlineStr">
        <is>
          <t>Default Title</t>
        </is>
      </c>
      <c r="D326" s="1" t="inlineStr">
        <is>
          <t>18/02/2026</t>
        </is>
      </c>
      <c r="E326" s="1" t="n">
        <v>2026</v>
      </c>
      <c r="F326" s="1" t="inlineStr">
        <is>
          <t>FEBRERO</t>
        </is>
      </c>
      <c r="G326" s="1" t="inlineStr">
        <is>
          <t>CYNTHIA</t>
        </is>
      </c>
      <c r="H326" s="1" t="inlineStr">
        <is>
          <t>CYNTHIA 18/02/2026</t>
        </is>
      </c>
      <c r="I326" s="4" t="n">
        <v>2</v>
      </c>
      <c r="J326" s="6" t="n">
        <v>6</v>
      </c>
      <c r="K326" s="6" t="n">
        <v>162.2601912</v>
      </c>
      <c r="L326" s="6">
        <f>I326*K326</f>
        <v/>
      </c>
      <c r="M326" s="6">
        <f>K326*4</f>
        <v/>
      </c>
      <c r="N326" s="6" t="n">
        <v>709</v>
      </c>
    </row>
    <row r="327">
      <c r="A327" s="1" t="inlineStr">
        <is>
          <t>15711172330573</t>
        </is>
      </c>
      <c r="B327" s="1" t="inlineStr">
        <is>
          <t>ARETES CD PETIT JOLIE GOLD</t>
        </is>
      </c>
      <c r="C327" s="1" t="inlineStr">
        <is>
          <t>Default Title</t>
        </is>
      </c>
      <c r="D327" s="1" t="inlineStr">
        <is>
          <t>27/04/2026</t>
        </is>
      </c>
      <c r="E327" s="1" t="n">
        <v>2026</v>
      </c>
      <c r="F327" s="1" t="inlineStr">
        <is>
          <t>ABRIL</t>
        </is>
      </c>
      <c r="G327" s="1" t="inlineStr">
        <is>
          <t>CYNTHIA</t>
        </is>
      </c>
      <c r="H327" s="1" t="inlineStr">
        <is>
          <t>CYNTHIA 27/04/2026</t>
        </is>
      </c>
      <c r="I327" s="4" t="n">
        <v>4</v>
      </c>
      <c r="J327" s="6" t="n">
        <v>6.8</v>
      </c>
      <c r="K327" s="6" t="n">
        <v>176.4606298</v>
      </c>
      <c r="L327" s="6">
        <f>I327*K327</f>
        <v/>
      </c>
      <c r="M327" s="6">
        <f>K327*4</f>
        <v/>
      </c>
      <c r="N327" s="6" t="n">
        <v>709</v>
      </c>
    </row>
    <row r="328">
      <c r="A328" s="1" t="inlineStr">
        <is>
          <t>15711172404461</t>
        </is>
      </c>
      <c r="B328" s="1" t="inlineStr">
        <is>
          <t>PULSERA PETIT CD JOLIE GOLD</t>
        </is>
      </c>
      <c r="C328" s="1" t="inlineStr">
        <is>
          <t>20 cm</t>
        </is>
      </c>
      <c r="D328" s="1" t="inlineStr">
        <is>
          <t>05/09/2025</t>
        </is>
      </c>
      <c r="E328" s="1" t="n">
        <v>2025</v>
      </c>
      <c r="F328" s="1" t="inlineStr">
        <is>
          <t>SEPTIEMBRE</t>
        </is>
      </c>
      <c r="G328" s="1" t="inlineStr">
        <is>
          <t>CYNTHIA</t>
        </is>
      </c>
      <c r="H328" s="1" t="inlineStr">
        <is>
          <t>CYNTHIA 05/09/2025</t>
        </is>
      </c>
      <c r="I328" s="4" t="n">
        <v>2</v>
      </c>
      <c r="J328" s="6" t="n">
        <v>8.800000000000001</v>
      </c>
      <c r="K328" s="6" t="n">
        <v>221.576053</v>
      </c>
      <c r="L328" s="6">
        <f>I328*K328</f>
        <v/>
      </c>
      <c r="M328" s="6">
        <f>K328*4</f>
        <v/>
      </c>
      <c r="N328" s="6" t="n">
        <v>750</v>
      </c>
    </row>
    <row r="329">
      <c r="A329" s="1" t="inlineStr">
        <is>
          <t>15711172404461</t>
        </is>
      </c>
      <c r="B329" s="1" t="inlineStr">
        <is>
          <t>PULSERA PETIT CD JOLIE GOLD</t>
        </is>
      </c>
      <c r="C329" s="1" t="inlineStr">
        <is>
          <t>20 cm</t>
        </is>
      </c>
      <c r="D329" s="1" t="inlineStr">
        <is>
          <t>07/01/2026</t>
        </is>
      </c>
      <c r="E329" s="1" t="n">
        <v>2026</v>
      </c>
      <c r="F329" s="1" t="inlineStr">
        <is>
          <t>ENERO</t>
        </is>
      </c>
      <c r="G329" s="1" t="inlineStr">
        <is>
          <t>CYNTHIA</t>
        </is>
      </c>
      <c r="H329" s="1" t="inlineStr">
        <is>
          <t>CYNTHIA 07/01/2026</t>
        </is>
      </c>
      <c r="I329" s="4" t="n">
        <v>4</v>
      </c>
      <c r="J329" s="6" t="n">
        <v>8.800000000000001</v>
      </c>
      <c r="K329" s="6" t="n">
        <v>233.9693635</v>
      </c>
      <c r="L329" s="6">
        <f>I329*K329</f>
        <v/>
      </c>
      <c r="M329" s="6">
        <f>K329*4</f>
        <v/>
      </c>
      <c r="N329" s="6" t="n">
        <v>935</v>
      </c>
    </row>
    <row r="330">
      <c r="A330" s="1" t="inlineStr">
        <is>
          <t>15711172573869</t>
        </is>
      </c>
      <c r="B330" s="1" t="inlineStr">
        <is>
          <t>COLLAR JOLIE CD GOLD</t>
        </is>
      </c>
      <c r="C330" s="1" t="inlineStr">
        <is>
          <t>Default Title</t>
        </is>
      </c>
      <c r="D330" s="1" t="inlineStr">
        <is>
          <t>05/09/2025</t>
        </is>
      </c>
      <c r="E330" s="1" t="n">
        <v>2025</v>
      </c>
      <c r="F330" s="1" t="inlineStr">
        <is>
          <t>SEPTIEMBRE</t>
        </is>
      </c>
      <c r="G330" s="1" t="inlineStr">
        <is>
          <t>CYNTHIA</t>
        </is>
      </c>
      <c r="H330" s="1" t="inlineStr">
        <is>
          <t>CYNTHIA 05/09/2025</t>
        </is>
      </c>
      <c r="I330" s="4" t="n">
        <v>2</v>
      </c>
      <c r="J330" s="6" t="n">
        <v>8.800000000000001</v>
      </c>
      <c r="K330" s="6" t="n">
        <v>221.576053</v>
      </c>
      <c r="L330" s="6">
        <f>I330*K330</f>
        <v/>
      </c>
      <c r="M330" s="6">
        <f>K330*4</f>
        <v/>
      </c>
      <c r="N330" s="6" t="n">
        <v>760</v>
      </c>
    </row>
    <row r="331">
      <c r="A331" s="1" t="inlineStr">
        <is>
          <t>15711172573869</t>
        </is>
      </c>
      <c r="B331" s="1" t="inlineStr">
        <is>
          <t>COLLAR JOLIE CD GOLD</t>
        </is>
      </c>
      <c r="C331" s="1" t="inlineStr">
        <is>
          <t>Default Title</t>
        </is>
      </c>
      <c r="D331" s="1" t="inlineStr">
        <is>
          <t>07/01/2026</t>
        </is>
      </c>
      <c r="E331" s="1" t="n">
        <v>2026</v>
      </c>
      <c r="F331" s="1" t="inlineStr">
        <is>
          <t>ENERO</t>
        </is>
      </c>
      <c r="G331" s="1" t="inlineStr">
        <is>
          <t>CYNTHIA</t>
        </is>
      </c>
      <c r="H331" s="1" t="inlineStr">
        <is>
          <t>CYNTHIA 07/01/2026</t>
        </is>
      </c>
      <c r="I331" s="4" t="n">
        <v>7</v>
      </c>
      <c r="J331" s="6" t="n">
        <v>8.800000000000001</v>
      </c>
      <c r="K331" s="6" t="n">
        <v>233.9693635</v>
      </c>
      <c r="L331" s="6">
        <f>I331*K331</f>
        <v/>
      </c>
      <c r="M331" s="6">
        <f>K331*4</f>
        <v/>
      </c>
      <c r="N331" s="6" t="n">
        <v>820</v>
      </c>
    </row>
    <row r="332">
      <c r="A332" s="1" t="inlineStr">
        <is>
          <t>15711172684525</t>
        </is>
      </c>
      <c r="B332" s="1" t="inlineStr">
        <is>
          <t>COLLAR LOGO CD CON ZIRCONIA SILVER</t>
        </is>
      </c>
      <c r="C332" s="1" t="inlineStr">
        <is>
          <t>Default Title</t>
        </is>
      </c>
      <c r="D332" s="1" t="inlineStr">
        <is>
          <t>05/09/2025</t>
        </is>
      </c>
      <c r="E332" s="1" t="n">
        <v>2025</v>
      </c>
      <c r="F332" s="1" t="inlineStr">
        <is>
          <t>SEPTIEMBRE</t>
        </is>
      </c>
      <c r="G332" s="1" t="inlineStr">
        <is>
          <t>CYNTHIA</t>
        </is>
      </c>
      <c r="H332" s="1" t="inlineStr">
        <is>
          <t>CYNTHIA 05/09/2025</t>
        </is>
      </c>
      <c r="I332" s="4" t="n">
        <v>2</v>
      </c>
      <c r="J332" s="6" t="n">
        <v>8.800000000000001</v>
      </c>
      <c r="K332" s="6" t="n">
        <v>221.576053</v>
      </c>
      <c r="L332" s="6">
        <f>I332*K332</f>
        <v/>
      </c>
      <c r="M332" s="6">
        <f>K332*4</f>
        <v/>
      </c>
      <c r="N332" s="6" t="n">
        <v>528</v>
      </c>
    </row>
    <row r="333">
      <c r="A333" s="1" t="inlineStr">
        <is>
          <t>15711172766221</t>
        </is>
      </c>
      <c r="B333" s="1" t="inlineStr">
        <is>
          <t>PULSERA C GOLD</t>
        </is>
      </c>
      <c r="C333" s="1" t="inlineStr">
        <is>
          <t>Default Title</t>
        </is>
      </c>
      <c r="D333" s="1" t="inlineStr">
        <is>
          <t>25/10/2025</t>
        </is>
      </c>
      <c r="E333" s="1" t="n">
        <v>2025</v>
      </c>
      <c r="F333" s="1" t="inlineStr">
        <is>
          <t>OCTUBRE</t>
        </is>
      </c>
      <c r="G333" s="1" t="inlineStr">
        <is>
          <t>CYNTHIA</t>
        </is>
      </c>
      <c r="H333" s="1" t="inlineStr">
        <is>
          <t>CYNTHIA 25/10/2025</t>
        </is>
      </c>
      <c r="I333" s="4" t="n">
        <v>3</v>
      </c>
      <c r="J333" s="6" t="n">
        <v>8.800000000000001</v>
      </c>
      <c r="K333" s="6" t="n">
        <v>230.5760476</v>
      </c>
      <c r="L333" s="6">
        <f>I333*K333</f>
        <v/>
      </c>
      <c r="M333" s="6">
        <f>K333*4</f>
        <v/>
      </c>
      <c r="N333" s="6" t="n">
        <v>750</v>
      </c>
    </row>
    <row r="334">
      <c r="A334" s="1" t="inlineStr">
        <is>
          <t>15711172766221</t>
        </is>
      </c>
      <c r="B334" s="1" t="inlineStr">
        <is>
          <t>PULSERA C GOLD</t>
        </is>
      </c>
      <c r="C334" s="1" t="inlineStr">
        <is>
          <t>Default Title</t>
        </is>
      </c>
      <c r="D334" s="1" t="inlineStr">
        <is>
          <t>18/02/2026</t>
        </is>
      </c>
      <c r="E334" s="1" t="n">
        <v>2026</v>
      </c>
      <c r="F334" s="1" t="inlineStr">
        <is>
          <t>FEBRERO</t>
        </is>
      </c>
      <c r="G334" s="1" t="inlineStr">
        <is>
          <t>CYNTHIA</t>
        </is>
      </c>
      <c r="H334" s="1" t="inlineStr">
        <is>
          <t>CYNTHIA 18/02/2026</t>
        </is>
      </c>
      <c r="I334" s="4" t="n">
        <v>2</v>
      </c>
      <c r="J334" s="6" t="n">
        <v>8.800000000000001</v>
      </c>
      <c r="K334" s="6" t="n">
        <v>237.9816137</v>
      </c>
      <c r="L334" s="6">
        <f>I334*K334</f>
        <v/>
      </c>
      <c r="M334" s="6">
        <f>K334*4</f>
        <v/>
      </c>
      <c r="N334" s="6" t="n">
        <v>939</v>
      </c>
    </row>
    <row r="335">
      <c r="A335" s="1" t="inlineStr">
        <is>
          <t>15711172766221</t>
        </is>
      </c>
      <c r="B335" s="1" t="inlineStr">
        <is>
          <t>PULSERA C GOLD</t>
        </is>
      </c>
      <c r="C335" s="1" t="inlineStr">
        <is>
          <t>Default Title</t>
        </is>
      </c>
      <c r="D335" s="1" t="inlineStr">
        <is>
          <t>31/05/2026</t>
        </is>
      </c>
      <c r="E335" s="1" t="n">
        <v>2026</v>
      </c>
      <c r="F335" s="1" t="inlineStr">
        <is>
          <t>MAYO</t>
        </is>
      </c>
      <c r="G335" s="1" t="inlineStr">
        <is>
          <t>CYNTHIA</t>
        </is>
      </c>
      <c r="H335" s="1" t="inlineStr">
        <is>
          <t>CYNTHIA 31/05/2026</t>
        </is>
      </c>
      <c r="I335" s="4" t="n">
        <v>4</v>
      </c>
      <c r="J335" s="6" t="n">
        <v>8.800000000000001</v>
      </c>
      <c r="K335" s="6" t="n">
        <v>233.2091958</v>
      </c>
      <c r="L335" s="6">
        <f>I335*K335</f>
        <v/>
      </c>
      <c r="M335" s="6">
        <f>K335*4</f>
        <v/>
      </c>
      <c r="N335" s="6" t="n">
        <v>939</v>
      </c>
    </row>
    <row r="336">
      <c r="A336" s="1" t="inlineStr">
        <is>
          <t>15711172845805</t>
        </is>
      </c>
      <c r="B336" s="1" t="inlineStr">
        <is>
          <t>PULSERA C SILVER</t>
        </is>
      </c>
      <c r="C336" s="1" t="inlineStr">
        <is>
          <t>16 cm</t>
        </is>
      </c>
      <c r="D336" s="1" t="inlineStr">
        <is>
          <t>07/01/2026</t>
        </is>
      </c>
      <c r="E336" s="1" t="n">
        <v>2026</v>
      </c>
      <c r="F336" s="1" t="inlineStr">
        <is>
          <t>ENERO</t>
        </is>
      </c>
      <c r="G336" s="1" t="inlineStr">
        <is>
          <t>CYNTHIA</t>
        </is>
      </c>
      <c r="H336" s="1" t="inlineStr">
        <is>
          <t>CYNTHIA 07/01/2026</t>
        </is>
      </c>
      <c r="I336" s="4" t="n">
        <v>3</v>
      </c>
      <c r="J336" s="6" t="n">
        <v>8.800000000000001</v>
      </c>
      <c r="K336" s="6" t="n">
        <v>233.9693635</v>
      </c>
      <c r="L336" s="6">
        <f>I336*K336</f>
        <v/>
      </c>
      <c r="M336" s="6">
        <f>K336*4</f>
        <v/>
      </c>
      <c r="N336" s="6" t="n">
        <v>820</v>
      </c>
    </row>
    <row r="337">
      <c r="A337" s="1" t="inlineStr">
        <is>
          <t>15711173032365</t>
        </is>
      </c>
      <c r="B337" s="1" t="inlineStr">
        <is>
          <t>PERFUME DEVOTION, EAU DE PARFUM 100ML</t>
        </is>
      </c>
      <c r="C337" s="1" t="inlineStr">
        <is>
          <t>Default Title</t>
        </is>
      </c>
      <c r="D337" s="1" t="inlineStr">
        <is>
          <t>25/10/2025</t>
        </is>
      </c>
      <c r="E337" s="1" t="n">
        <v>2025</v>
      </c>
      <c r="F337" s="1" t="inlineStr">
        <is>
          <t>OCTUBRE</t>
        </is>
      </c>
      <c r="G337" s="1" t="inlineStr">
        <is>
          <t>ZOEY</t>
        </is>
      </c>
      <c r="H337" s="1" t="inlineStr">
        <is>
          <t>ZOEY 25/10/2025</t>
        </is>
      </c>
      <c r="I337" s="4" t="n">
        <v>2</v>
      </c>
      <c r="J337" s="6" t="n">
        <v>18</v>
      </c>
      <c r="K337" s="6" t="n">
        <v>446.4019675</v>
      </c>
      <c r="L337" s="6">
        <f>I337*K337</f>
        <v/>
      </c>
      <c r="M337" s="6">
        <f>K337*4</f>
        <v/>
      </c>
      <c r="N337" s="6" t="n">
        <v>1499</v>
      </c>
    </row>
    <row r="338">
      <c r="A338" s="1" t="inlineStr">
        <is>
          <t>15711173123085</t>
        </is>
      </c>
      <c r="B338" s="1" t="inlineStr">
        <is>
          <t>PERFUME LAYTON DE MARLY 125ML</t>
        </is>
      </c>
      <c r="C338" s="1" t="inlineStr">
        <is>
          <t>Default Title</t>
        </is>
      </c>
      <c r="D338" s="1" t="inlineStr">
        <is>
          <t>25/10/2025</t>
        </is>
      </c>
      <c r="E338" s="1" t="n">
        <v>2025</v>
      </c>
      <c r="F338" s="1" t="inlineStr">
        <is>
          <t>OCTUBRE</t>
        </is>
      </c>
      <c r="G338" s="1" t="inlineStr">
        <is>
          <t>ZOEY</t>
        </is>
      </c>
      <c r="H338" s="1" t="inlineStr">
        <is>
          <t>ZOEY 25/10/2025</t>
        </is>
      </c>
      <c r="I338" s="4" t="n">
        <v>2</v>
      </c>
      <c r="J338" s="6" t="n">
        <v>18</v>
      </c>
      <c r="K338" s="6" t="n">
        <v>446.4019675</v>
      </c>
      <c r="L338" s="6">
        <f>I338*K338</f>
        <v/>
      </c>
      <c r="M338" s="6">
        <f>K338*4</f>
        <v/>
      </c>
      <c r="N338" s="6" t="n">
        <v>1499</v>
      </c>
    </row>
    <row r="339">
      <c r="A339" s="1" t="inlineStr">
        <is>
          <t>15711173123085</t>
        </is>
      </c>
      <c r="B339" s="1" t="inlineStr">
        <is>
          <t>PERFUME LAYTON DE MARLY 125ML</t>
        </is>
      </c>
      <c r="C339" s="1" t="inlineStr">
        <is>
          <t>Default Title</t>
        </is>
      </c>
      <c r="D339" s="1" t="inlineStr">
        <is>
          <t>02/03/2026</t>
        </is>
      </c>
      <c r="E339" s="1" t="n">
        <v>2026</v>
      </c>
      <c r="F339" s="1" t="inlineStr">
        <is>
          <t>MARZO</t>
        </is>
      </c>
      <c r="G339" s="1" t="inlineStr">
        <is>
          <t>ZOEY</t>
        </is>
      </c>
      <c r="H339" s="1" t="inlineStr">
        <is>
          <t>ZOEY 02/03/2026</t>
        </is>
      </c>
      <c r="I339" s="4" t="n">
        <v>1</v>
      </c>
      <c r="J339" s="6" t="n">
        <v>18</v>
      </c>
      <c r="K339" s="6" t="n">
        <v>472.985563</v>
      </c>
      <c r="L339" s="6">
        <f>I339*K339</f>
        <v/>
      </c>
      <c r="M339" s="6">
        <f>K339*4</f>
        <v/>
      </c>
      <c r="N339" s="6" t="n">
        <v>1899</v>
      </c>
    </row>
    <row r="340">
      <c r="A340" s="1" t="inlineStr">
        <is>
          <t>15711173123085</t>
        </is>
      </c>
      <c r="B340" s="1" t="inlineStr">
        <is>
          <t>PERFUME LAYTON DE MARLY 125ML</t>
        </is>
      </c>
      <c r="C340" s="1" t="inlineStr">
        <is>
          <t>Default Title</t>
        </is>
      </c>
      <c r="D340" s="1" t="inlineStr">
        <is>
          <t>08/06/2026</t>
        </is>
      </c>
      <c r="E340" s="1" t="n">
        <v>2026</v>
      </c>
      <c r="F340" s="1" t="inlineStr">
        <is>
          <t>JUNIO</t>
        </is>
      </c>
      <c r="G340" s="1" t="inlineStr">
        <is>
          <t>ZOEY</t>
        </is>
      </c>
      <c r="H340" s="1" t="inlineStr">
        <is>
          <t>ZOEY 08/06/2026</t>
        </is>
      </c>
      <c r="I340" s="4" t="n">
        <v>2</v>
      </c>
      <c r="J340" s="6" t="n">
        <v>18</v>
      </c>
      <c r="K340" s="6" t="n">
        <v>441.2058562</v>
      </c>
      <c r="L340" s="6">
        <f>I340*K340</f>
        <v/>
      </c>
      <c r="M340" s="6">
        <f>K340*4</f>
        <v/>
      </c>
      <c r="N340" s="6" t="n">
        <v>1899</v>
      </c>
    </row>
    <row r="341">
      <c r="A341" s="1" t="inlineStr">
        <is>
          <t>15711173203885</t>
        </is>
      </c>
      <c r="B341" s="1" t="inlineStr">
        <is>
          <t>PERFUME LES SABLES ROSES</t>
        </is>
      </c>
      <c r="C341" s="1" t="inlineStr">
        <is>
          <t>Default Title</t>
        </is>
      </c>
      <c r="D341" s="1" t="inlineStr">
        <is>
          <t>15/05/2026</t>
        </is>
      </c>
      <c r="E341" s="1" t="n">
        <v>2026</v>
      </c>
      <c r="F341" s="1" t="inlineStr">
        <is>
          <t>MAYO</t>
        </is>
      </c>
      <c r="G341" s="1" t="inlineStr">
        <is>
          <t>ZOEY</t>
        </is>
      </c>
      <c r="H341" s="1" t="inlineStr">
        <is>
          <t>ZOEY 15/05/2026</t>
        </is>
      </c>
      <c r="I341" s="4" t="n">
        <v>1</v>
      </c>
      <c r="J341" s="6" t="n">
        <v>34</v>
      </c>
      <c r="K341" s="6" t="n">
        <v>901.1572326</v>
      </c>
      <c r="L341" s="6">
        <f>I341*K341</f>
        <v/>
      </c>
      <c r="M341" s="6">
        <f>K341*4</f>
        <v/>
      </c>
      <c r="N341" s="6" t="n">
        <v>3610</v>
      </c>
    </row>
    <row r="342">
      <c r="A342" s="1" t="inlineStr">
        <is>
          <t>15711173374893</t>
        </is>
      </c>
      <c r="B342" s="1" t="inlineStr">
        <is>
          <t>PERFUME PARADOXE, EAU DE PARFUM 90ML</t>
        </is>
      </c>
      <c r="C342" s="1" t="inlineStr">
        <is>
          <t>90 ml</t>
        </is>
      </c>
      <c r="D342" s="1" t="inlineStr">
        <is>
          <t>15/05/2026</t>
        </is>
      </c>
      <c r="E342" s="1" t="n">
        <v>2026</v>
      </c>
      <c r="F342" s="1" t="inlineStr">
        <is>
          <t>MAYO</t>
        </is>
      </c>
      <c r="G342" s="1" t="inlineStr">
        <is>
          <t>ZOEY</t>
        </is>
      </c>
      <c r="H342" s="1" t="inlineStr">
        <is>
          <t>ZOEY 15/05/2026</t>
        </is>
      </c>
      <c r="I342" s="4" t="n">
        <v>2</v>
      </c>
      <c r="J342" s="6" t="n">
        <v>18</v>
      </c>
      <c r="K342" s="6" t="n">
        <v>477.0832408</v>
      </c>
      <c r="L342" s="6">
        <f>I342*K342</f>
        <v/>
      </c>
      <c r="M342" s="6">
        <f>K342*4</f>
        <v/>
      </c>
      <c r="N342" s="6" t="n">
        <v>1910</v>
      </c>
    </row>
    <row r="343">
      <c r="A343" s="1" t="inlineStr">
        <is>
          <t>15711173480813</t>
        </is>
      </c>
      <c r="B343" s="1" t="inlineStr">
        <is>
          <t>PERFUME TERRE H</t>
        </is>
      </c>
      <c r="C343" s="1" t="inlineStr">
        <is>
          <t>100 ml</t>
        </is>
      </c>
      <c r="D343" s="1" t="inlineStr">
        <is>
          <t>01/09/2025</t>
        </is>
      </c>
      <c r="E343" s="1" t="n">
        <v>2025</v>
      </c>
      <c r="F343" s="1" t="inlineStr">
        <is>
          <t>SEPTIEMBRE</t>
        </is>
      </c>
      <c r="G343" s="1" t="inlineStr">
        <is>
          <t>ZOEY</t>
        </is>
      </c>
      <c r="H343" s="1" t="inlineStr">
        <is>
          <t>ZOEY 01/09/2025</t>
        </is>
      </c>
      <c r="I343" s="4" t="n">
        <v>2</v>
      </c>
      <c r="J343" s="6" t="n">
        <v>18</v>
      </c>
      <c r="K343" s="6" t="n">
        <v>452.1212029</v>
      </c>
      <c r="L343" s="6">
        <f>I343*K343</f>
        <v/>
      </c>
      <c r="M343" s="6">
        <f>K343*4</f>
        <v/>
      </c>
      <c r="N343" s="6" t="n">
        <v>1565</v>
      </c>
    </row>
    <row r="344">
      <c r="A344" s="1" t="inlineStr">
        <is>
          <t>15711173551373</t>
        </is>
      </c>
      <c r="B344" s="1" t="inlineStr">
        <is>
          <t>PERFUME TF COSTA AZZURRA 100ML</t>
        </is>
      </c>
      <c r="C344" s="1" t="inlineStr">
        <is>
          <t>Default Title</t>
        </is>
      </c>
      <c r="D344" s="1" t="inlineStr">
        <is>
          <t>19/03/2026</t>
        </is>
      </c>
      <c r="E344" s="1" t="n">
        <v>2026</v>
      </c>
      <c r="F344" s="1" t="inlineStr">
        <is>
          <t>MARZO</t>
        </is>
      </c>
      <c r="G344" s="1" t="inlineStr">
        <is>
          <t>ZOEY</t>
        </is>
      </c>
      <c r="H344" s="1" t="inlineStr">
        <is>
          <t>ZOEY 19/03/2026</t>
        </is>
      </c>
      <c r="I344" s="4" t="n">
        <v>5</v>
      </c>
      <c r="J344" s="6" t="n">
        <v>18</v>
      </c>
      <c r="K344" s="6" t="n">
        <v>464.076893</v>
      </c>
      <c r="L344" s="6">
        <f>I344*K344</f>
        <v/>
      </c>
      <c r="M344" s="6">
        <f>K344*4</f>
        <v/>
      </c>
      <c r="N344" s="6" t="n">
        <v>1859</v>
      </c>
    </row>
    <row r="345">
      <c r="A345" s="1" t="inlineStr">
        <is>
          <t>15711173666157</t>
        </is>
      </c>
      <c r="B345" s="1" t="inlineStr">
        <is>
          <t>PERFUME, DELINA EXCLUSIF EAU DE PARFUM, 75 ML</t>
        </is>
      </c>
      <c r="C345" s="1" t="inlineStr">
        <is>
          <t>75 ml</t>
        </is>
      </c>
      <c r="D345" s="1" t="inlineStr">
        <is>
          <t>01/09/2025</t>
        </is>
      </c>
      <c r="E345" s="1" t="n">
        <v>2025</v>
      </c>
      <c r="F345" s="1" t="inlineStr">
        <is>
          <t>SEPTIEMBRE</t>
        </is>
      </c>
      <c r="G345" s="1" t="inlineStr">
        <is>
          <t>ZOEY</t>
        </is>
      </c>
      <c r="H345" s="1" t="inlineStr">
        <is>
          <t>ZOEY 01/09/2025</t>
        </is>
      </c>
      <c r="I345" s="4" t="n">
        <v>1</v>
      </c>
      <c r="J345" s="6" t="n">
        <v>18</v>
      </c>
      <c r="K345" s="6" t="n">
        <v>452.1212029</v>
      </c>
      <c r="L345" s="6">
        <f>I345*K345</f>
        <v/>
      </c>
      <c r="M345" s="6">
        <f>K345*4</f>
        <v/>
      </c>
      <c r="N345" s="6" t="n">
        <v>1599</v>
      </c>
    </row>
    <row r="346">
      <c r="A346" s="1" t="inlineStr">
        <is>
          <t>15711173666157</t>
        </is>
      </c>
      <c r="B346" s="1" t="inlineStr">
        <is>
          <t>PERFUME, DELINA EXCLUSIF EAU DE PARFUM, 75 ML</t>
        </is>
      </c>
      <c r="C346" s="1" t="inlineStr">
        <is>
          <t>Default Title</t>
        </is>
      </c>
      <c r="D346" s="1" t="inlineStr">
        <is>
          <t>19/03/2026</t>
        </is>
      </c>
      <c r="E346" s="1" t="n">
        <v>2026</v>
      </c>
      <c r="F346" s="1" t="inlineStr">
        <is>
          <t>MARZO</t>
        </is>
      </c>
      <c r="G346" s="1" t="inlineStr">
        <is>
          <t>ZOEY</t>
        </is>
      </c>
      <c r="H346" s="1" t="inlineStr">
        <is>
          <t>ZOEY 19/03/2026</t>
        </is>
      </c>
      <c r="I346" s="4" t="n">
        <v>3</v>
      </c>
      <c r="J346" s="6" t="n">
        <v>18</v>
      </c>
      <c r="K346" s="6" t="n">
        <v>464.076893</v>
      </c>
      <c r="L346" s="6">
        <f>I346*K346</f>
        <v/>
      </c>
      <c r="M346" s="6">
        <f>K346*4</f>
        <v/>
      </c>
      <c r="N346" s="6" t="n">
        <v>1910</v>
      </c>
    </row>
    <row r="347">
      <c r="A347" s="1" t="inlineStr">
        <is>
          <t>15711173666157</t>
        </is>
      </c>
      <c r="B347" s="1" t="inlineStr">
        <is>
          <t>PERFUME, DELINA EXCLUSIF EAU DE PARFUM, 75 ML</t>
        </is>
      </c>
      <c r="C347" s="1" t="inlineStr">
        <is>
          <t>Default Title</t>
        </is>
      </c>
      <c r="D347" s="1" t="inlineStr">
        <is>
          <t>15/05/2026</t>
        </is>
      </c>
      <c r="E347" s="1" t="n">
        <v>2026</v>
      </c>
      <c r="F347" s="1" t="inlineStr">
        <is>
          <t>MAYO</t>
        </is>
      </c>
      <c r="G347" s="1" t="inlineStr">
        <is>
          <t>ZOEY</t>
        </is>
      </c>
      <c r="H347" s="1" t="inlineStr">
        <is>
          <t>ZOEY 15/05/2026</t>
        </is>
      </c>
      <c r="I347" s="4" t="n">
        <v>5</v>
      </c>
      <c r="J347" s="6" t="n">
        <v>18</v>
      </c>
      <c r="K347" s="6" t="n">
        <v>477.0832408</v>
      </c>
      <c r="L347" s="6">
        <f>I347*K347</f>
        <v/>
      </c>
      <c r="M347" s="6">
        <f>K347*4</f>
        <v/>
      </c>
      <c r="N347" s="6" t="n">
        <v>1910</v>
      </c>
    </row>
    <row r="348">
      <c r="A348" s="1" t="inlineStr">
        <is>
          <t>15857683908876</t>
        </is>
      </c>
      <c r="B348" s="1" t="inlineStr">
        <is>
          <t>ANILLO TRES AROS</t>
        </is>
      </c>
      <c r="C348" s="1" t="inlineStr">
        <is>
          <t>7</t>
        </is>
      </c>
      <c r="D348" s="1" t="inlineStr">
        <is>
          <t>25/09/2025</t>
        </is>
      </c>
      <c r="E348" s="1" t="n">
        <v>2025</v>
      </c>
      <c r="F348" s="1" t="inlineStr">
        <is>
          <t>SEPTIEMBRE</t>
        </is>
      </c>
      <c r="G348" s="1" t="inlineStr">
        <is>
          <t>HAIFENG</t>
        </is>
      </c>
      <c r="H348" s="1" t="inlineStr">
        <is>
          <t>HAIFENG 25/09/2025</t>
        </is>
      </c>
      <c r="I348" s="4" t="n">
        <v>3</v>
      </c>
      <c r="J348" s="6" t="n">
        <v>4.7</v>
      </c>
      <c r="K348" s="6" t="n">
        <v>99.15536311</v>
      </c>
      <c r="L348" s="6">
        <f>I348*K348</f>
        <v/>
      </c>
      <c r="M348" s="6">
        <f>K348*4</f>
        <v/>
      </c>
      <c r="N348" s="6" t="n">
        <v>650</v>
      </c>
    </row>
    <row r="349">
      <c r="A349" s="1" t="inlineStr">
        <is>
          <t>15857683908876</t>
        </is>
      </c>
      <c r="B349" s="1" t="inlineStr">
        <is>
          <t>ANILLO TRES AROS</t>
        </is>
      </c>
      <c r="C349" s="1" t="inlineStr">
        <is>
          <t>7</t>
        </is>
      </c>
      <c r="D349" s="1" t="inlineStr">
        <is>
          <t>03/12/2025</t>
        </is>
      </c>
      <c r="E349" s="1" t="n">
        <v>2025</v>
      </c>
      <c r="F349" s="1" t="inlineStr">
        <is>
          <t>DICIEMBRE</t>
        </is>
      </c>
      <c r="G349" s="1" t="inlineStr">
        <is>
          <t>HAIFENG</t>
        </is>
      </c>
      <c r="H349" s="1" t="inlineStr">
        <is>
          <t>HAIFENG 03/12/2025</t>
        </is>
      </c>
      <c r="I349" s="4" t="n">
        <v>3</v>
      </c>
      <c r="J349" s="6" t="n">
        <v>4.7</v>
      </c>
      <c r="K349" s="6" t="n">
        <v>98.31065205</v>
      </c>
      <c r="L349" s="6">
        <f>I349*K349</f>
        <v/>
      </c>
      <c r="M349" s="6">
        <f>K349*4</f>
        <v/>
      </c>
      <c r="N349" s="6" t="n">
        <v>650</v>
      </c>
    </row>
    <row r="350">
      <c r="A350" s="1" t="inlineStr">
        <is>
          <t>15857683908876</t>
        </is>
      </c>
      <c r="B350" s="1" t="inlineStr">
        <is>
          <t>ANILLO TRES AROS</t>
        </is>
      </c>
      <c r="C350" s="1" t="inlineStr">
        <is>
          <t>7</t>
        </is>
      </c>
      <c r="D350" s="1" t="inlineStr">
        <is>
          <t>20/01/2026</t>
        </is>
      </c>
      <c r="E350" s="1" t="n">
        <v>2026</v>
      </c>
      <c r="F350" s="1" t="inlineStr">
        <is>
          <t>ENERO</t>
        </is>
      </c>
      <c r="G350" s="1" t="inlineStr">
        <is>
          <t>HAIFENG</t>
        </is>
      </c>
      <c r="H350" s="1" t="inlineStr">
        <is>
          <t>HAIFENG 20/01/2026</t>
        </is>
      </c>
      <c r="I350" s="4" t="n">
        <v>8</v>
      </c>
      <c r="J350" s="6" t="n">
        <v>4.7</v>
      </c>
      <c r="K350" s="6" t="n">
        <v>99.64196362</v>
      </c>
      <c r="L350" s="6">
        <f>I350*K350</f>
        <v/>
      </c>
      <c r="M350" s="6">
        <f>K350*4</f>
        <v/>
      </c>
      <c r="N350" s="6" t="n">
        <v>650</v>
      </c>
    </row>
    <row r="351">
      <c r="A351" s="1" t="inlineStr">
        <is>
          <t>15857683908876</t>
        </is>
      </c>
      <c r="B351" s="1" t="inlineStr">
        <is>
          <t>ANILLO TRES AROS</t>
        </is>
      </c>
      <c r="C351" s="1" t="inlineStr">
        <is>
          <t>7</t>
        </is>
      </c>
      <c r="D351" s="1" t="inlineStr">
        <is>
          <t>26/05/2026</t>
        </is>
      </c>
      <c r="E351" s="1" t="n">
        <v>2026</v>
      </c>
      <c r="F351" s="1" t="inlineStr">
        <is>
          <t>MAYO</t>
        </is>
      </c>
      <c r="G351" s="1" t="inlineStr">
        <is>
          <t>HAIFENG</t>
        </is>
      </c>
      <c r="H351" s="1" t="inlineStr">
        <is>
          <t>HAIFENG 26/05/2026</t>
        </is>
      </c>
      <c r="I351" s="4" t="n">
        <v>8</v>
      </c>
      <c r="J351" s="6" t="n">
        <v>4.7</v>
      </c>
      <c r="K351" s="6" t="n">
        <v>98.64968789</v>
      </c>
      <c r="L351" s="6">
        <f>I351*K351</f>
        <v/>
      </c>
      <c r="M351" s="6">
        <f>K351*4</f>
        <v/>
      </c>
      <c r="N351" s="6" t="n">
        <v>650</v>
      </c>
    </row>
    <row r="352">
      <c r="A352" s="1" t="inlineStr">
        <is>
          <t>15857685448972</t>
        </is>
      </c>
      <c r="B352" s="1" t="inlineStr">
        <is>
          <t>ANILLO TRES AROS</t>
        </is>
      </c>
      <c r="C352" s="1" t="inlineStr">
        <is>
          <t>8</t>
        </is>
      </c>
      <c r="D352" s="1" t="inlineStr">
        <is>
          <t>11/11/2025</t>
        </is>
      </c>
      <c r="E352" s="1" t="n">
        <v>2025</v>
      </c>
      <c r="F352" s="1" t="inlineStr">
        <is>
          <t>NOVIEMBRE</t>
        </is>
      </c>
      <c r="G352" s="1" t="inlineStr">
        <is>
          <t>HAIFENG</t>
        </is>
      </c>
      <c r="H352" s="1" t="inlineStr">
        <is>
          <t>HAIFENG 11/11/2025</t>
        </is>
      </c>
      <c r="I352" s="4" t="n">
        <v>2</v>
      </c>
      <c r="J352" s="6" t="n">
        <v>4.7</v>
      </c>
      <c r="K352" s="6" t="n">
        <v>98.98434268</v>
      </c>
      <c r="L352" s="6">
        <f>I352*K352</f>
        <v/>
      </c>
      <c r="M352" s="6">
        <f>K352*4</f>
        <v/>
      </c>
      <c r="N352" s="6" t="n">
        <v>650</v>
      </c>
    </row>
    <row r="353">
      <c r="A353" s="1" t="inlineStr">
        <is>
          <t>15857685448972</t>
        </is>
      </c>
      <c r="B353" s="1" t="inlineStr">
        <is>
          <t>ANILLO TRES AROS</t>
        </is>
      </c>
      <c r="C353" s="1" t="inlineStr">
        <is>
          <t>8</t>
        </is>
      </c>
      <c r="D353" s="1" t="inlineStr">
        <is>
          <t>03/12/2025</t>
        </is>
      </c>
      <c r="E353" s="1" t="n">
        <v>2025</v>
      </c>
      <c r="F353" s="1" t="inlineStr">
        <is>
          <t>DICIEMBRE</t>
        </is>
      </c>
      <c r="G353" s="1" t="inlineStr">
        <is>
          <t>HAIFENG</t>
        </is>
      </c>
      <c r="H353" s="1" t="inlineStr">
        <is>
          <t>HAIFENG 03/12/2025</t>
        </is>
      </c>
      <c r="I353" s="4" t="n">
        <v>3</v>
      </c>
      <c r="J353" s="6" t="n">
        <v>4.7</v>
      </c>
      <c r="K353" s="6" t="n">
        <v>98.31065205</v>
      </c>
      <c r="L353" s="6">
        <f>I353*K353</f>
        <v/>
      </c>
      <c r="M353" s="6">
        <f>K353*4</f>
        <v/>
      </c>
      <c r="N353" s="6" t="n">
        <v>650</v>
      </c>
    </row>
    <row r="354">
      <c r="A354" s="1" t="inlineStr">
        <is>
          <t>15857685448972</t>
        </is>
      </c>
      <c r="B354" s="1" t="inlineStr">
        <is>
          <t>ANILLO TRES AROS</t>
        </is>
      </c>
      <c r="C354" s="1" t="inlineStr">
        <is>
          <t>8</t>
        </is>
      </c>
      <c r="D354" s="1" t="inlineStr">
        <is>
          <t>20/01/2026</t>
        </is>
      </c>
      <c r="E354" s="1" t="n">
        <v>2026</v>
      </c>
      <c r="F354" s="1" t="inlineStr">
        <is>
          <t>ENERO</t>
        </is>
      </c>
      <c r="G354" s="1" t="inlineStr">
        <is>
          <t>HAIFENG</t>
        </is>
      </c>
      <c r="H354" s="1" t="inlineStr">
        <is>
          <t>HAIFENG 20/01/2026</t>
        </is>
      </c>
      <c r="I354" s="4" t="n">
        <v>5</v>
      </c>
      <c r="J354" s="6" t="n">
        <v>4.7</v>
      </c>
      <c r="K354" s="6" t="n">
        <v>99.64196362</v>
      </c>
      <c r="L354" s="6">
        <f>I354*K354</f>
        <v/>
      </c>
      <c r="M354" s="6">
        <f>K354*4</f>
        <v/>
      </c>
      <c r="N354" s="6" t="n">
        <v>650</v>
      </c>
    </row>
    <row r="355">
      <c r="A355" s="1" t="inlineStr">
        <is>
          <t>15857685448972</t>
        </is>
      </c>
      <c r="B355" s="1" t="inlineStr">
        <is>
          <t>ANILLO TRES AROS</t>
        </is>
      </c>
      <c r="C355" s="1" t="inlineStr">
        <is>
          <t>8</t>
        </is>
      </c>
      <c r="D355" s="1" t="inlineStr">
        <is>
          <t>06/05/2026</t>
        </is>
      </c>
      <c r="E355" s="1" t="n">
        <v>2026</v>
      </c>
      <c r="F355" s="1" t="inlineStr">
        <is>
          <t>MAYO</t>
        </is>
      </c>
      <c r="G355" s="1" t="inlineStr">
        <is>
          <t>HAIFENG</t>
        </is>
      </c>
      <c r="H355" s="1" t="inlineStr">
        <is>
          <t>HAIFENG 06/05/2026</t>
        </is>
      </c>
      <c r="I355" s="4" t="n">
        <v>3</v>
      </c>
      <c r="J355" s="6" t="n">
        <v>4.7</v>
      </c>
      <c r="K355" s="6" t="n">
        <v>99.72761865</v>
      </c>
      <c r="L355" s="6">
        <f>I355*K355</f>
        <v/>
      </c>
      <c r="M355" s="6">
        <f>K355*4</f>
        <v/>
      </c>
      <c r="N355" s="6" t="n">
        <v>650</v>
      </c>
    </row>
    <row r="356">
      <c r="A356" s="1" t="inlineStr">
        <is>
          <t>15857685448972</t>
        </is>
      </c>
      <c r="B356" s="1" t="inlineStr">
        <is>
          <t>ANILLO TRES AROS</t>
        </is>
      </c>
      <c r="C356" s="1" t="inlineStr">
        <is>
          <t>8</t>
        </is>
      </c>
      <c r="D356" s="1" t="inlineStr">
        <is>
          <t>16/06/2026</t>
        </is>
      </c>
      <c r="E356" s="1" t="n">
        <v>2026</v>
      </c>
      <c r="F356" s="1" t="inlineStr">
        <is>
          <t>JUNIO</t>
        </is>
      </c>
      <c r="G356" s="1" t="inlineStr">
        <is>
          <t>HAIFENG</t>
        </is>
      </c>
      <c r="H356" s="1" t="inlineStr">
        <is>
          <t>HAIFENG 16/06/2026</t>
        </is>
      </c>
      <c r="I356" s="4" t="n">
        <v>4</v>
      </c>
      <c r="J356" s="6" t="n">
        <v>4.7</v>
      </c>
      <c r="K356" s="6" t="n">
        <v>98.76865036</v>
      </c>
      <c r="L356" s="6">
        <f>I356*K356</f>
        <v/>
      </c>
      <c r="M356" s="6">
        <f>K356*4</f>
        <v/>
      </c>
      <c r="N356" s="6" t="n">
        <v>650</v>
      </c>
    </row>
    <row r="357">
      <c r="A357" s="1" t="inlineStr">
        <is>
          <t>15857685585804</t>
        </is>
      </c>
      <c r="B357" s="1" t="inlineStr">
        <is>
          <t>ANILLO TRES AROS</t>
        </is>
      </c>
      <c r="C357" s="1" t="inlineStr">
        <is>
          <t>6</t>
        </is>
      </c>
      <c r="D357" s="1" t="inlineStr">
        <is>
          <t>01/09/2025</t>
        </is>
      </c>
      <c r="E357" s="1" t="n">
        <v>2025</v>
      </c>
      <c r="F357" s="1" t="inlineStr">
        <is>
          <t>SEPTIEMBRE</t>
        </is>
      </c>
      <c r="G357" s="1" t="inlineStr">
        <is>
          <t>HAIFENG</t>
        </is>
      </c>
      <c r="H357" s="1" t="inlineStr">
        <is>
          <t>HAIFENG 01/09/2025</t>
        </is>
      </c>
      <c r="I357" s="4" t="n">
        <v>4</v>
      </c>
      <c r="J357" s="6" t="n">
        <v>5</v>
      </c>
      <c r="K357" s="6" t="n">
        <v>106.2783553</v>
      </c>
      <c r="L357" s="6">
        <f>I357*K357</f>
        <v/>
      </c>
      <c r="M357" s="6">
        <f>K357*4</f>
        <v/>
      </c>
      <c r="N357" s="6" t="n">
        <v>650</v>
      </c>
    </row>
    <row r="358">
      <c r="A358" s="1" t="inlineStr">
        <is>
          <t>15857685585804</t>
        </is>
      </c>
      <c r="B358" s="1" t="inlineStr">
        <is>
          <t>ANILLO TRES AROS</t>
        </is>
      </c>
      <c r="C358" s="1" t="inlineStr">
        <is>
          <t>6</t>
        </is>
      </c>
      <c r="D358" s="1" t="inlineStr">
        <is>
          <t>03/12/2025</t>
        </is>
      </c>
      <c r="E358" s="1" t="n">
        <v>2025</v>
      </c>
      <c r="F358" s="1" t="inlineStr">
        <is>
          <t>DICIEMBRE</t>
        </is>
      </c>
      <c r="G358" s="1" t="inlineStr">
        <is>
          <t>HAIFENG</t>
        </is>
      </c>
      <c r="H358" s="1" t="inlineStr">
        <is>
          <t>HAIFENG 03/12/2025</t>
        </is>
      </c>
      <c r="I358" s="4" t="n">
        <v>8</v>
      </c>
      <c r="J358" s="6" t="n">
        <v>4.7</v>
      </c>
      <c r="K358" s="6" t="n">
        <v>98.31065205</v>
      </c>
      <c r="L358" s="6">
        <f>I358*K358</f>
        <v/>
      </c>
      <c r="M358" s="6">
        <f>K358*4</f>
        <v/>
      </c>
      <c r="N358" s="6" t="n">
        <v>650</v>
      </c>
    </row>
    <row r="359">
      <c r="A359" s="1" t="inlineStr">
        <is>
          <t>15857685585804</t>
        </is>
      </c>
      <c r="B359" s="1" t="inlineStr">
        <is>
          <t>ANILLO TRES AROS</t>
        </is>
      </c>
      <c r="C359" s="1" t="inlineStr">
        <is>
          <t>6</t>
        </is>
      </c>
      <c r="D359" s="1" t="inlineStr">
        <is>
          <t>20/01/2026</t>
        </is>
      </c>
      <c r="E359" s="1" t="n">
        <v>2026</v>
      </c>
      <c r="F359" s="1" t="inlineStr">
        <is>
          <t>ENERO</t>
        </is>
      </c>
      <c r="G359" s="1" t="inlineStr">
        <is>
          <t>HAIFENG</t>
        </is>
      </c>
      <c r="H359" s="1" t="inlineStr">
        <is>
          <t>HAIFENG 20/01/2026</t>
        </is>
      </c>
      <c r="I359" s="4" t="n">
        <v>5</v>
      </c>
      <c r="J359" s="6" t="n">
        <v>4.7</v>
      </c>
      <c r="K359" s="6" t="n">
        <v>99.64196362</v>
      </c>
      <c r="L359" s="6">
        <f>I359*K359</f>
        <v/>
      </c>
      <c r="M359" s="6">
        <f>K359*4</f>
        <v/>
      </c>
      <c r="N359" s="6" t="n">
        <v>650</v>
      </c>
    </row>
    <row r="360">
      <c r="A360" s="1" t="inlineStr">
        <is>
          <t>15857685585804</t>
        </is>
      </c>
      <c r="B360" s="1" t="inlineStr">
        <is>
          <t>ANILLO TRES AROS</t>
        </is>
      </c>
      <c r="C360" s="1" t="inlineStr">
        <is>
          <t>6</t>
        </is>
      </c>
      <c r="D360" s="1" t="inlineStr">
        <is>
          <t>16/04/2026</t>
        </is>
      </c>
      <c r="E360" s="1" t="n">
        <v>2026</v>
      </c>
      <c r="F360" s="1" t="inlineStr">
        <is>
          <t>ABRIL</t>
        </is>
      </c>
      <c r="G360" s="1" t="inlineStr">
        <is>
          <t>HAIFENG</t>
        </is>
      </c>
      <c r="H360" s="1" t="inlineStr">
        <is>
          <t>HAIFENG 16/04/2026</t>
        </is>
      </c>
      <c r="I360" s="4" t="n">
        <v>4</v>
      </c>
      <c r="J360" s="6" t="n">
        <v>4.7</v>
      </c>
      <c r="K360" s="6" t="n">
        <v>98.84792587</v>
      </c>
      <c r="L360" s="6">
        <f>I360*K360</f>
        <v/>
      </c>
      <c r="M360" s="6">
        <f>K360*4</f>
        <v/>
      </c>
      <c r="N360" s="6" t="n">
        <v>650</v>
      </c>
    </row>
    <row r="361">
      <c r="A361" s="1" t="inlineStr">
        <is>
          <t>15857685585804</t>
        </is>
      </c>
      <c r="B361" s="1" t="inlineStr">
        <is>
          <t>ANILLO TRES AROS</t>
        </is>
      </c>
      <c r="C361" s="1" t="inlineStr">
        <is>
          <t>6</t>
        </is>
      </c>
      <c r="D361" s="1" t="inlineStr">
        <is>
          <t>15/05/2026</t>
        </is>
      </c>
      <c r="E361" s="1" t="n">
        <v>2026</v>
      </c>
      <c r="F361" s="1" t="inlineStr">
        <is>
          <t>MAYO</t>
        </is>
      </c>
      <c r="G361" s="1" t="inlineStr">
        <is>
          <t>ZOEY</t>
        </is>
      </c>
      <c r="H361" s="1" t="inlineStr">
        <is>
          <t>ZOEY 15/05/2026</t>
        </is>
      </c>
      <c r="I361" s="4" t="n">
        <v>2</v>
      </c>
      <c r="J361" s="6" t="n">
        <v>6</v>
      </c>
      <c r="K361" s="6" t="n">
        <v>159.0277469</v>
      </c>
      <c r="L361" s="6">
        <f>I361*K361</f>
        <v/>
      </c>
      <c r="M361" s="6">
        <f>K361*4</f>
        <v/>
      </c>
      <c r="N361" s="6" t="n">
        <v>650</v>
      </c>
    </row>
    <row r="362">
      <c r="A362" s="1" t="inlineStr">
        <is>
          <t>15857685585804</t>
        </is>
      </c>
      <c r="B362" s="1" t="inlineStr">
        <is>
          <t>ANILLO TRES AROS</t>
        </is>
      </c>
      <c r="C362" s="1" t="inlineStr">
        <is>
          <t>6</t>
        </is>
      </c>
      <c r="D362" s="1" t="inlineStr">
        <is>
          <t>26/05/2026</t>
        </is>
      </c>
      <c r="E362" s="1" t="n">
        <v>2026</v>
      </c>
      <c r="F362" s="1" t="inlineStr">
        <is>
          <t>MAYO</t>
        </is>
      </c>
      <c r="G362" s="1" t="inlineStr">
        <is>
          <t>HAIFENG</t>
        </is>
      </c>
      <c r="H362" s="1" t="inlineStr">
        <is>
          <t>HAIFENG 26/05/2026</t>
        </is>
      </c>
      <c r="I362" s="4" t="n">
        <v>2</v>
      </c>
      <c r="J362" s="6" t="n">
        <v>4.7</v>
      </c>
      <c r="K362" s="6" t="n">
        <v>98.64968789</v>
      </c>
      <c r="L362" s="6">
        <f>I362*K362</f>
        <v/>
      </c>
      <c r="M362" s="6">
        <f>K362*4</f>
        <v/>
      </c>
      <c r="N362" s="6" t="n">
        <v>650</v>
      </c>
    </row>
    <row r="363">
      <c r="A363" s="1" t="inlineStr">
        <is>
          <t>15857685585804</t>
        </is>
      </c>
      <c r="B363" s="1" t="inlineStr">
        <is>
          <t>ANILLO TRES AROS</t>
        </is>
      </c>
      <c r="C363" s="1" t="inlineStr">
        <is>
          <t>6</t>
        </is>
      </c>
      <c r="D363" s="1" t="inlineStr">
        <is>
          <t>16/06/2026</t>
        </is>
      </c>
      <c r="E363" s="1" t="n">
        <v>2026</v>
      </c>
      <c r="F363" s="1" t="inlineStr">
        <is>
          <t>JUNIO</t>
        </is>
      </c>
      <c r="G363" s="1" t="inlineStr">
        <is>
          <t>HAIFENG</t>
        </is>
      </c>
      <c r="H363" s="1" t="inlineStr">
        <is>
          <t>HAIFENG 16/06/2026</t>
        </is>
      </c>
      <c r="I363" s="4" t="n">
        <v>4</v>
      </c>
      <c r="J363" s="6" t="n">
        <v>4.7</v>
      </c>
      <c r="K363" s="6" t="n">
        <v>98.76865036</v>
      </c>
      <c r="L363" s="6">
        <f>I363*K363</f>
        <v/>
      </c>
      <c r="M363" s="6">
        <f>K363*4</f>
        <v/>
      </c>
      <c r="N363" s="6" t="n">
        <v>650</v>
      </c>
    </row>
    <row r="364">
      <c r="A364" s="1" t="inlineStr">
        <is>
          <t>15857686786700</t>
        </is>
      </c>
      <c r="B364" s="1" t="inlineStr">
        <is>
          <t>ANILLO TRES AROS</t>
        </is>
      </c>
      <c r="C364" s="1" t="inlineStr">
        <is>
          <t>9</t>
        </is>
      </c>
      <c r="D364" s="1" t="inlineStr">
        <is>
          <t>11/11/2025</t>
        </is>
      </c>
      <c r="E364" s="1" t="n">
        <v>2025</v>
      </c>
      <c r="F364" s="1" t="inlineStr">
        <is>
          <t>NOVIEMBRE</t>
        </is>
      </c>
      <c r="G364" s="1" t="inlineStr">
        <is>
          <t>HAIFENG</t>
        </is>
      </c>
      <c r="H364" s="1" t="inlineStr">
        <is>
          <t>HAIFENG 11/11/2025</t>
        </is>
      </c>
      <c r="I364" s="4" t="n">
        <v>1</v>
      </c>
      <c r="J364" s="6" t="n">
        <v>4.7</v>
      </c>
      <c r="K364" s="6" t="n">
        <v>98.98434268</v>
      </c>
      <c r="L364" s="6">
        <f>I364*K364</f>
        <v/>
      </c>
      <c r="M364" s="6">
        <f>K364*4</f>
        <v/>
      </c>
      <c r="N364" s="6" t="n">
        <v>650</v>
      </c>
    </row>
    <row r="365">
      <c r="A365" s="1" t="inlineStr">
        <is>
          <t>15857686786700</t>
        </is>
      </c>
      <c r="B365" s="1" t="inlineStr">
        <is>
          <t>ANILLO TRES AROS</t>
        </is>
      </c>
      <c r="C365" s="1" t="inlineStr">
        <is>
          <t>9</t>
        </is>
      </c>
      <c r="D365" s="1" t="inlineStr">
        <is>
          <t>20/01/2026</t>
        </is>
      </c>
      <c r="E365" s="1" t="n">
        <v>2026</v>
      </c>
      <c r="F365" s="1" t="inlineStr">
        <is>
          <t>ENERO</t>
        </is>
      </c>
      <c r="G365" s="1" t="inlineStr">
        <is>
          <t>HAIFENG</t>
        </is>
      </c>
      <c r="H365" s="1" t="inlineStr">
        <is>
          <t>HAIFENG 20/01/2026</t>
        </is>
      </c>
      <c r="I365" s="4" t="n">
        <v>6</v>
      </c>
      <c r="J365" s="6" t="n">
        <v>4.7</v>
      </c>
      <c r="K365" s="6" t="n">
        <v>99.64196362</v>
      </c>
      <c r="L365" s="6">
        <f>I365*K365</f>
        <v/>
      </c>
      <c r="M365" s="6">
        <f>K365*4</f>
        <v/>
      </c>
      <c r="N365" s="6" t="n">
        <v>650</v>
      </c>
    </row>
    <row r="366">
      <c r="A366" s="1" t="inlineStr">
        <is>
          <t>15857686786700</t>
        </is>
      </c>
      <c r="B366" s="1" t="inlineStr">
        <is>
          <t>ANILLO TRES AROS</t>
        </is>
      </c>
      <c r="C366" s="1" t="inlineStr">
        <is>
          <t>9</t>
        </is>
      </c>
      <c r="D366" s="1" t="inlineStr">
        <is>
          <t>11/03/2026</t>
        </is>
      </c>
      <c r="E366" s="1" t="n">
        <v>2026</v>
      </c>
      <c r="F366" s="1" t="inlineStr">
        <is>
          <t>MARZO</t>
        </is>
      </c>
      <c r="G366" s="1" t="inlineStr">
        <is>
          <t>HAIFENG</t>
        </is>
      </c>
      <c r="H366" s="1" t="inlineStr">
        <is>
          <t>HAIFENG 11/03/2026</t>
        </is>
      </c>
      <c r="I366" s="4" t="n">
        <v>2</v>
      </c>
      <c r="J366" s="6" t="n">
        <v>4.7</v>
      </c>
      <c r="K366" s="6" t="n">
        <v>100.1283122</v>
      </c>
      <c r="L366" s="6">
        <f>I366*K366</f>
        <v/>
      </c>
      <c r="M366" s="6">
        <f>K366*4</f>
        <v/>
      </c>
      <c r="N366" s="6" t="n">
        <v>650</v>
      </c>
    </row>
    <row r="367">
      <c r="A367" s="1" t="inlineStr">
        <is>
          <t>15857686786700</t>
        </is>
      </c>
      <c r="B367" s="1" t="inlineStr">
        <is>
          <t>ANILLO TRES AROS</t>
        </is>
      </c>
      <c r="C367" s="1" t="inlineStr">
        <is>
          <t>9</t>
        </is>
      </c>
      <c r="D367" s="1" t="inlineStr">
        <is>
          <t>16/04/2026</t>
        </is>
      </c>
      <c r="E367" s="1" t="n">
        <v>2026</v>
      </c>
      <c r="F367" s="1" t="inlineStr">
        <is>
          <t>ABRIL</t>
        </is>
      </c>
      <c r="G367" s="1" t="inlineStr">
        <is>
          <t>HAIFENG</t>
        </is>
      </c>
      <c r="H367" s="1" t="inlineStr">
        <is>
          <t>HAIFENG 16/04/2026</t>
        </is>
      </c>
      <c r="I367" s="4" t="n">
        <v>2</v>
      </c>
      <c r="J367" s="6" t="n">
        <v>4.7</v>
      </c>
      <c r="K367" s="6" t="n">
        <v>98.84792587</v>
      </c>
      <c r="L367" s="6">
        <f>I367*K367</f>
        <v/>
      </c>
      <c r="M367" s="6">
        <f>K367*4</f>
        <v/>
      </c>
      <c r="N367" s="6" t="n">
        <v>650</v>
      </c>
    </row>
    <row r="368">
      <c r="A368" s="1" t="inlineStr">
        <is>
          <t>15857686786700</t>
        </is>
      </c>
      <c r="B368" s="1" t="inlineStr">
        <is>
          <t>ANILLO TRES AROS</t>
        </is>
      </c>
      <c r="C368" s="1" t="inlineStr">
        <is>
          <t>9</t>
        </is>
      </c>
      <c r="D368" s="1" t="inlineStr">
        <is>
          <t>06/05/2026</t>
        </is>
      </c>
      <c r="E368" s="1" t="n">
        <v>2026</v>
      </c>
      <c r="F368" s="1" t="inlineStr">
        <is>
          <t>MAYO</t>
        </is>
      </c>
      <c r="G368" s="1" t="inlineStr">
        <is>
          <t>HAIFENG</t>
        </is>
      </c>
      <c r="H368" s="1" t="inlineStr">
        <is>
          <t>HAIFENG 06/05/2026</t>
        </is>
      </c>
      <c r="I368" s="4" t="n">
        <v>3</v>
      </c>
      <c r="J368" s="6" t="n">
        <v>4.7</v>
      </c>
      <c r="K368" s="6" t="n">
        <v>99.72761865</v>
      </c>
      <c r="L368" s="6">
        <f>I368*K368</f>
        <v/>
      </c>
      <c r="M368" s="6">
        <f>K368*4</f>
        <v/>
      </c>
      <c r="N368" s="6" t="n">
        <v>650</v>
      </c>
    </row>
    <row r="369">
      <c r="A369" s="1" t="inlineStr">
        <is>
          <t>16048621033133</t>
        </is>
      </c>
      <c r="B369" s="1" t="inlineStr">
        <is>
          <t>COLLAR MSS MOVE ROSE GOLD LISO</t>
        </is>
      </c>
      <c r="C369" s="1" t="inlineStr">
        <is>
          <t>Default Title</t>
        </is>
      </c>
      <c r="D369" s="1" t="inlineStr">
        <is>
          <t>01/09/2025</t>
        </is>
      </c>
      <c r="E369" s="1" t="n">
        <v>2025</v>
      </c>
      <c r="F369" s="1" t="inlineStr">
        <is>
          <t>SEPTIEMBRE</t>
        </is>
      </c>
      <c r="G369" s="1" t="inlineStr">
        <is>
          <t>HAIFENG</t>
        </is>
      </c>
      <c r="H369" s="1" t="inlineStr">
        <is>
          <t>HAIFENG 01/09/2025</t>
        </is>
      </c>
      <c r="I369" s="4" t="n">
        <v>3</v>
      </c>
      <c r="J369" s="6" t="n">
        <v>8</v>
      </c>
      <c r="K369" s="6" t="n">
        <v>170.0453685</v>
      </c>
      <c r="L369" s="6">
        <f>I369*K369</f>
        <v/>
      </c>
      <c r="M369" s="6">
        <f>K369*4</f>
        <v/>
      </c>
      <c r="N369" s="6" t="n">
        <v>659.2</v>
      </c>
    </row>
    <row r="370">
      <c r="A370" s="1" t="inlineStr">
        <is>
          <t>16048621033133</t>
        </is>
      </c>
      <c r="B370" s="1" t="inlineStr">
        <is>
          <t>COLLAR MSS MOVE ROSEGOLD LISO</t>
        </is>
      </c>
      <c r="C370" s="1" t="inlineStr">
        <is>
          <t>Default Title</t>
        </is>
      </c>
      <c r="D370" s="1" t="inlineStr">
        <is>
          <t>11/03/2026</t>
        </is>
      </c>
      <c r="E370" s="1" t="n">
        <v>2026</v>
      </c>
      <c r="F370" s="1" t="inlineStr">
        <is>
          <t>MARZO</t>
        </is>
      </c>
      <c r="G370" s="1" t="inlineStr">
        <is>
          <t>HAIFENG</t>
        </is>
      </c>
      <c r="H370" s="1" t="inlineStr">
        <is>
          <t>HAIFENG 11/03/2026</t>
        </is>
      </c>
      <c r="I370" s="4" t="n">
        <v>2</v>
      </c>
      <c r="J370" s="6" t="n">
        <v>8</v>
      </c>
      <c r="K370" s="6" t="n">
        <v>170.4311697</v>
      </c>
      <c r="L370" s="6">
        <f>I370*K370</f>
        <v/>
      </c>
      <c r="M370" s="6">
        <f>K370*4</f>
        <v/>
      </c>
      <c r="N370" s="6" t="n">
        <v>659.2</v>
      </c>
    </row>
    <row r="371">
      <c r="A371" s="1" t="inlineStr">
        <is>
          <t>16048621033133</t>
        </is>
      </c>
      <c r="B371" s="1" t="inlineStr">
        <is>
          <t>COLLAR MSS MOVE ROSEGOLD LISO</t>
        </is>
      </c>
      <c r="C371" s="1" t="inlineStr">
        <is>
          <t>Default Title</t>
        </is>
      </c>
      <c r="D371" s="1" t="inlineStr">
        <is>
          <t>16/04/2026</t>
        </is>
      </c>
      <c r="E371" s="1" t="n">
        <v>2026</v>
      </c>
      <c r="F371" s="1" t="inlineStr">
        <is>
          <t>ABRIL</t>
        </is>
      </c>
      <c r="G371" s="1" t="inlineStr">
        <is>
          <t>HAIFENG</t>
        </is>
      </c>
      <c r="H371" s="1" t="inlineStr">
        <is>
          <t>HAIFENG 16/04/2026</t>
        </is>
      </c>
      <c r="I371" s="4" t="n">
        <v>2</v>
      </c>
      <c r="J371" s="6" t="n">
        <v>80</v>
      </c>
      <c r="K371" s="6" t="n">
        <v>1682.517887</v>
      </c>
      <c r="L371" s="6">
        <f>I371*K371</f>
        <v/>
      </c>
      <c r="M371" s="6">
        <f>K371*4</f>
        <v/>
      </c>
      <c r="N371" s="6" t="n">
        <v>659.2</v>
      </c>
    </row>
    <row r="372">
      <c r="A372" s="1" t="inlineStr">
        <is>
          <t>16048621033133</t>
        </is>
      </c>
      <c r="B372" s="1" t="inlineStr">
        <is>
          <t>COLLAR MSS MOVE ROSEGOLD LISO</t>
        </is>
      </c>
      <c r="C372" s="1" t="inlineStr">
        <is>
          <t>Default Title</t>
        </is>
      </c>
      <c r="D372" s="1" t="inlineStr">
        <is>
          <t>06/05/2026</t>
        </is>
      </c>
      <c r="E372" s="1" t="n">
        <v>2026</v>
      </c>
      <c r="F372" s="1" t="inlineStr">
        <is>
          <t>MAYO</t>
        </is>
      </c>
      <c r="G372" s="1" t="inlineStr">
        <is>
          <t>HAIFENG</t>
        </is>
      </c>
      <c r="H372" s="1" t="inlineStr">
        <is>
          <t>HAIFENG 06/05/2026</t>
        </is>
      </c>
      <c r="I372" s="4" t="n">
        <v>5</v>
      </c>
      <c r="J372" s="6" t="n">
        <v>8</v>
      </c>
      <c r="K372" s="6" t="n">
        <v>169.7491381</v>
      </c>
      <c r="L372" s="6">
        <f>I372*K372</f>
        <v/>
      </c>
      <c r="M372" s="6">
        <f>K372*4</f>
        <v/>
      </c>
      <c r="N372" s="6" t="n">
        <v>659.2</v>
      </c>
    </row>
    <row r="373">
      <c r="A373" s="1" t="inlineStr">
        <is>
          <t>16048621033133</t>
        </is>
      </c>
      <c r="B373" s="1" t="inlineStr">
        <is>
          <t>COLLAR MSS MOVE ROSEGOLD LISO</t>
        </is>
      </c>
      <c r="C373" s="1" t="inlineStr">
        <is>
          <t>Default Title</t>
        </is>
      </c>
      <c r="D373" s="1" t="inlineStr">
        <is>
          <t>16/06/2026</t>
        </is>
      </c>
      <c r="E373" s="1" t="n">
        <v>2026</v>
      </c>
      <c r="F373" s="1" t="inlineStr">
        <is>
          <t>JUNIO</t>
        </is>
      </c>
      <c r="G373" s="1" t="inlineStr">
        <is>
          <t>HAIFENG</t>
        </is>
      </c>
      <c r="H373" s="1" t="inlineStr">
        <is>
          <t>HAIFENG 16/06/2026</t>
        </is>
      </c>
      <c r="I373" s="4" t="n">
        <v>8</v>
      </c>
      <c r="J373" s="6" t="n">
        <v>8</v>
      </c>
      <c r="K373" s="6" t="n">
        <v>168.1168517</v>
      </c>
      <c r="L373" s="6">
        <f>I373*K373</f>
        <v/>
      </c>
      <c r="M373" s="6">
        <f>K373*4</f>
        <v/>
      </c>
      <c r="N373" s="6" t="n">
        <v>659.2</v>
      </c>
    </row>
    <row r="374">
      <c r="A374" s="1" t="inlineStr">
        <is>
          <t>16117871063213</t>
        </is>
      </c>
      <c r="B374" s="1" t="inlineStr">
        <is>
          <t>ARETES CD SASOM PEARL BLUE</t>
        </is>
      </c>
      <c r="C374" s="1" t="inlineStr">
        <is>
          <t>Default Title</t>
        </is>
      </c>
      <c r="D374" s="1" t="inlineStr">
        <is>
          <t>25/09/2025</t>
        </is>
      </c>
      <c r="E374" s="1" t="n">
        <v>2025</v>
      </c>
      <c r="F374" s="1" t="inlineStr">
        <is>
          <t>SEPTIEMBRE</t>
        </is>
      </c>
      <c r="G374" s="1" t="inlineStr">
        <is>
          <t>HAIFENG</t>
        </is>
      </c>
      <c r="H374" s="1" t="inlineStr">
        <is>
          <t>HAIFENG 25/09/2025</t>
        </is>
      </c>
      <c r="I374" s="4" t="n">
        <v>3</v>
      </c>
      <c r="J374" s="6" t="n">
        <v>6</v>
      </c>
      <c r="K374" s="6" t="n">
        <v>126.5813146</v>
      </c>
      <c r="L374" s="6">
        <f>I374*K374</f>
        <v/>
      </c>
      <c r="M374" s="6">
        <f>K374*4</f>
        <v/>
      </c>
      <c r="N374" s="6" t="n">
        <v>0</v>
      </c>
    </row>
    <row r="375">
      <c r="A375" s="1" t="inlineStr">
        <is>
          <t>16117871175085</t>
        </is>
      </c>
      <c r="B375" s="1" t="inlineStr">
        <is>
          <t>ARRACADAS CD GOLD BLACK ZIRCONIAS</t>
        </is>
      </c>
      <c r="C375" s="1" t="n"/>
      <c r="D375" s="1" t="inlineStr">
        <is>
          <t>25/09/2025</t>
        </is>
      </c>
      <c r="E375" s="1" t="n">
        <v>2025</v>
      </c>
      <c r="F375" s="1" t="inlineStr">
        <is>
          <t>SEPTIEMBRE</t>
        </is>
      </c>
      <c r="G375" s="1" t="inlineStr">
        <is>
          <t>HAIFENG</t>
        </is>
      </c>
      <c r="H375" s="1" t="inlineStr">
        <is>
          <t>HAIFENG 25/09/2025</t>
        </is>
      </c>
      <c r="I375" s="4" t="n">
        <v>3</v>
      </c>
      <c r="J375" s="6" t="n">
        <v>7</v>
      </c>
      <c r="K375" s="6" t="n">
        <v>147.6782004</v>
      </c>
      <c r="L375" s="6">
        <f>I375*K375</f>
        <v/>
      </c>
      <c r="M375" s="6">
        <f>K375*4</f>
        <v/>
      </c>
      <c r="N375" s="6" t="n"/>
    </row>
    <row r="376">
      <c r="A376" s="1" t="inlineStr">
        <is>
          <t>16117871480237</t>
        </is>
      </c>
      <c r="B376" s="1" t="inlineStr">
        <is>
          <t>PULSERA KNOT ONE ROSE GOLD CON ZIRCONIA</t>
        </is>
      </c>
      <c r="C376" s="1" t="inlineStr">
        <is>
          <t>Default Title</t>
        </is>
      </c>
      <c r="D376" s="1" t="inlineStr">
        <is>
          <t>25/09/2025</t>
        </is>
      </c>
      <c r="E376" s="1" t="n">
        <v>2025</v>
      </c>
      <c r="F376" s="1" t="inlineStr">
        <is>
          <t>SEPTIEMBRE</t>
        </is>
      </c>
      <c r="G376" s="1" t="inlineStr">
        <is>
          <t>HAIFENG</t>
        </is>
      </c>
      <c r="H376" s="1" t="inlineStr">
        <is>
          <t>HAIFENG 25/09/2025</t>
        </is>
      </c>
      <c r="I376" s="4" t="n">
        <v>2</v>
      </c>
      <c r="J376" s="6" t="n">
        <v>10</v>
      </c>
      <c r="K376" s="6" t="n">
        <v>210.9688577</v>
      </c>
      <c r="L376" s="6">
        <f>I376*K376</f>
        <v/>
      </c>
      <c r="M376" s="6">
        <f>K376*4</f>
        <v/>
      </c>
      <c r="N376" s="6" t="n">
        <v>577</v>
      </c>
    </row>
    <row r="377">
      <c r="A377" s="1" t="inlineStr">
        <is>
          <t>16117871577997</t>
        </is>
      </c>
      <c r="B377" s="1" t="inlineStr">
        <is>
          <t>ANILLO BV ZERO 1 BLACK-ROSEGOLD-7</t>
        </is>
      </c>
      <c r="C377" s="1" t="n">
        <v>7</v>
      </c>
      <c r="D377" s="1" t="inlineStr">
        <is>
          <t>25/09/2025</t>
        </is>
      </c>
      <c r="E377" s="1" t="n">
        <v>2025</v>
      </c>
      <c r="F377" s="1" t="inlineStr">
        <is>
          <t>SEPTIEMBRE</t>
        </is>
      </c>
      <c r="G377" s="1" t="inlineStr">
        <is>
          <t>HAIFENG</t>
        </is>
      </c>
      <c r="H377" s="1" t="inlineStr">
        <is>
          <t>HAIFENG 25/09/2025</t>
        </is>
      </c>
      <c r="I377" s="4" t="n">
        <v>1</v>
      </c>
      <c r="J377" s="6" t="n">
        <v>9</v>
      </c>
      <c r="K377" s="6" t="n">
        <v>189.8719719</v>
      </c>
      <c r="L377" s="6">
        <f>I377*K377</f>
        <v/>
      </c>
      <c r="M377" s="6">
        <f>K377*4</f>
        <v/>
      </c>
      <c r="N377" s="6" t="n">
        <v>580</v>
      </c>
    </row>
    <row r="378">
      <c r="A378" s="1" t="inlineStr">
        <is>
          <t>16117871577997</t>
        </is>
      </c>
      <c r="B378" s="1" t="inlineStr">
        <is>
          <t>ANILLO BV ZERO 1 BLACK-ROSEGOLD</t>
        </is>
      </c>
      <c r="C378" s="1" t="inlineStr">
        <is>
          <t>7</t>
        </is>
      </c>
      <c r="D378" s="1" t="inlineStr">
        <is>
          <t>10/02/2026</t>
        </is>
      </c>
      <c r="E378" s="1" t="n">
        <v>2026</v>
      </c>
      <c r="F378" s="1" t="inlineStr">
        <is>
          <t>FEBRERO</t>
        </is>
      </c>
      <c r="G378" s="1" t="inlineStr">
        <is>
          <t>HAIFENG</t>
        </is>
      </c>
      <c r="H378" s="1" t="inlineStr">
        <is>
          <t>HAIFENG 10/02/2026</t>
        </is>
      </c>
      <c r="I378" s="4" t="n">
        <v>1</v>
      </c>
      <c r="J378" s="6" t="n">
        <v>7</v>
      </c>
      <c r="K378" s="6" t="n">
        <v>147.4794725</v>
      </c>
      <c r="L378" s="6">
        <f>I378*K378</f>
        <v/>
      </c>
      <c r="M378" s="6">
        <f>K378*4</f>
        <v/>
      </c>
      <c r="N378" s="6" t="n">
        <v>580</v>
      </c>
    </row>
    <row r="379">
      <c r="A379" s="1" t="inlineStr">
        <is>
          <t>16117871577997</t>
        </is>
      </c>
      <c r="B379" s="1" t="inlineStr">
        <is>
          <t>ANILLO BV ZERO 1 BLACK-ROSEGOLD</t>
        </is>
      </c>
      <c r="C379" s="1" t="inlineStr">
        <is>
          <t>7</t>
        </is>
      </c>
      <c r="D379" s="1" t="inlineStr">
        <is>
          <t>16/04/2026</t>
        </is>
      </c>
      <c r="E379" s="1" t="n">
        <v>2026</v>
      </c>
      <c r="F379" s="1" t="inlineStr">
        <is>
          <t>ABRIL</t>
        </is>
      </c>
      <c r="G379" s="1" t="inlineStr">
        <is>
          <t>HAIFENG</t>
        </is>
      </c>
      <c r="H379" s="1" t="inlineStr">
        <is>
          <t>HAIFENG 16/04/2026</t>
        </is>
      </c>
      <c r="I379" s="4" t="n">
        <v>1</v>
      </c>
      <c r="J379" s="6" t="n">
        <v>7</v>
      </c>
      <c r="K379" s="6" t="n">
        <v>147.2203151</v>
      </c>
      <c r="L379" s="6">
        <f>I379*K379</f>
        <v/>
      </c>
      <c r="M379" s="6">
        <f>K379*4</f>
        <v/>
      </c>
      <c r="N379" s="6" t="n">
        <v>580</v>
      </c>
    </row>
    <row r="380">
      <c r="A380" s="1" t="inlineStr">
        <is>
          <t>16117871610765</t>
        </is>
      </c>
      <c r="B380" s="1" t="inlineStr">
        <is>
          <t>ANILLO BV ZERO 1 BLACK-ROSEGOLD-8</t>
        </is>
      </c>
      <c r="C380" s="1" t="n">
        <v>8</v>
      </c>
      <c r="D380" s="1" t="inlineStr">
        <is>
          <t>25/09/2025</t>
        </is>
      </c>
      <c r="E380" s="1" t="n">
        <v>2025</v>
      </c>
      <c r="F380" s="1" t="inlineStr">
        <is>
          <t>SEPTIEMBRE</t>
        </is>
      </c>
      <c r="G380" s="1" t="inlineStr">
        <is>
          <t>HAIFENG</t>
        </is>
      </c>
      <c r="H380" s="1" t="inlineStr">
        <is>
          <t>HAIFENG 25/09/2025</t>
        </is>
      </c>
      <c r="I380" s="4" t="n">
        <v>2</v>
      </c>
      <c r="J380" s="6" t="n">
        <v>9</v>
      </c>
      <c r="K380" s="6" t="n">
        <v>189.8719719</v>
      </c>
      <c r="L380" s="6">
        <f>I380*K380</f>
        <v/>
      </c>
      <c r="M380" s="6">
        <f>K380*4</f>
        <v/>
      </c>
      <c r="N380" s="6" t="n">
        <v>580</v>
      </c>
    </row>
    <row r="381">
      <c r="A381" s="1" t="inlineStr">
        <is>
          <t>16117871610765</t>
        </is>
      </c>
      <c r="B381" s="1" t="n"/>
      <c r="C381" s="1" t="inlineStr">
        <is>
          <t>8</t>
        </is>
      </c>
      <c r="D381" s="1" t="inlineStr">
        <is>
          <t>10/02/2026</t>
        </is>
      </c>
      <c r="E381" s="1" t="n">
        <v>2026</v>
      </c>
      <c r="F381" s="1" t="inlineStr">
        <is>
          <t>FEBRERO</t>
        </is>
      </c>
      <c r="G381" s="1" t="inlineStr">
        <is>
          <t>HAIFENG</t>
        </is>
      </c>
      <c r="H381" s="1" t="inlineStr">
        <is>
          <t>HAIFENG 10/02/2026</t>
        </is>
      </c>
      <c r="I381" s="4" t="n">
        <v>2</v>
      </c>
      <c r="J381" s="6" t="n">
        <v>7</v>
      </c>
      <c r="K381" s="6" t="n">
        <v>147.4794725</v>
      </c>
      <c r="L381" s="6">
        <f>I381*K381</f>
        <v/>
      </c>
      <c r="M381" s="6">
        <f>K381*4</f>
        <v/>
      </c>
      <c r="N381" s="6" t="n">
        <v>580</v>
      </c>
    </row>
    <row r="382">
      <c r="A382" s="1" t="inlineStr">
        <is>
          <t>16117871610765</t>
        </is>
      </c>
      <c r="B382" s="1" t="inlineStr">
        <is>
          <t>ANILLO BV ZERO 1 BLACK-ROSEGOLD</t>
        </is>
      </c>
      <c r="C382" s="1" t="inlineStr">
        <is>
          <t>8</t>
        </is>
      </c>
      <c r="D382" s="1" t="inlineStr">
        <is>
          <t>16/06/2026</t>
        </is>
      </c>
      <c r="E382" s="1" t="n">
        <v>2026</v>
      </c>
      <c r="F382" s="1" t="inlineStr">
        <is>
          <t>JUNIO</t>
        </is>
      </c>
      <c r="G382" s="1" t="inlineStr">
        <is>
          <t>HAIFENG</t>
        </is>
      </c>
      <c r="H382" s="1" t="inlineStr">
        <is>
          <t>HAIFENG 16/06/2026</t>
        </is>
      </c>
      <c r="I382" s="4" t="n">
        <v>2</v>
      </c>
      <c r="J382" s="6" t="n">
        <v>9</v>
      </c>
      <c r="K382" s="6" t="n">
        <v>189.1314581</v>
      </c>
      <c r="L382" s="6">
        <f>I382*K382</f>
        <v/>
      </c>
      <c r="M382" s="6">
        <f>K382*4</f>
        <v/>
      </c>
      <c r="N382" s="6" t="n">
        <v>580</v>
      </c>
    </row>
    <row r="383">
      <c r="A383" s="1" t="inlineStr">
        <is>
          <t>16117871722093</t>
        </is>
      </c>
      <c r="B383" s="1" t="inlineStr">
        <is>
          <t>PULSERA BV GOLD CON ZIRCONIA</t>
        </is>
      </c>
      <c r="C383" s="1" t="inlineStr">
        <is>
          <t>Default Title</t>
        </is>
      </c>
      <c r="D383" s="1" t="inlineStr">
        <is>
          <t>25/09/2025</t>
        </is>
      </c>
      <c r="E383" s="1" t="n">
        <v>2025</v>
      </c>
      <c r="F383" s="1" t="inlineStr">
        <is>
          <t>SEPTIEMBRE</t>
        </is>
      </c>
      <c r="G383" s="1" t="inlineStr">
        <is>
          <t>HAIFENG</t>
        </is>
      </c>
      <c r="H383" s="1" t="inlineStr">
        <is>
          <t>HAIFENG 25/09/2025</t>
        </is>
      </c>
      <c r="I383" s="4" t="n">
        <v>3</v>
      </c>
      <c r="J383" s="6" t="n">
        <v>7</v>
      </c>
      <c r="K383" s="6" t="n">
        <v>147.6782004</v>
      </c>
      <c r="L383" s="6">
        <f>I383*K383</f>
        <v/>
      </c>
      <c r="M383" s="6">
        <f>K383*4</f>
        <v/>
      </c>
      <c r="N383" s="6" t="n">
        <v>430</v>
      </c>
    </row>
    <row r="384">
      <c r="A384" s="1" t="inlineStr">
        <is>
          <t>16483891088621</t>
        </is>
      </c>
      <c r="B384" s="1" t="inlineStr">
        <is>
          <t>CINTO LV HERITAGE LOGO SILVER</t>
        </is>
      </c>
      <c r="C384" s="1" t="inlineStr">
        <is>
          <t>Default Title</t>
        </is>
      </c>
      <c r="D384" s="1" t="inlineStr">
        <is>
          <t>18/02/2026</t>
        </is>
      </c>
      <c r="E384" s="1" t="n">
        <v>2026</v>
      </c>
      <c r="F384" s="1" t="inlineStr">
        <is>
          <t>FEBRERO</t>
        </is>
      </c>
      <c r="G384" s="1" t="inlineStr">
        <is>
          <t>CYNTHIA</t>
        </is>
      </c>
      <c r="H384" s="1" t="inlineStr">
        <is>
          <t>CYNTHIA 18/02/2026</t>
        </is>
      </c>
      <c r="I384" s="4" t="n">
        <v>2</v>
      </c>
      <c r="J384" s="6" t="n">
        <v>8.800000000000001</v>
      </c>
      <c r="K384" s="6" t="n">
        <v>237.9816137</v>
      </c>
      <c r="L384" s="6">
        <f>I384*K384</f>
        <v/>
      </c>
      <c r="M384" s="6">
        <f>K384*4</f>
        <v/>
      </c>
      <c r="N384" s="6" t="n">
        <v>915</v>
      </c>
    </row>
    <row r="385">
      <c r="A385" s="1" t="inlineStr">
        <is>
          <t>16483891088621</t>
        </is>
      </c>
      <c r="B385" s="1" t="inlineStr">
        <is>
          <t>CINTO LV HERITAGE LOGO SILVER</t>
        </is>
      </c>
      <c r="C385" s="1" t="inlineStr">
        <is>
          <t>Default Title</t>
        </is>
      </c>
      <c r="D385" s="1" t="inlineStr">
        <is>
          <t>27/04/2026</t>
        </is>
      </c>
      <c r="E385" s="1" t="n">
        <v>2026</v>
      </c>
      <c r="F385" s="1" t="inlineStr">
        <is>
          <t>ABRIL</t>
        </is>
      </c>
      <c r="G385" s="1" t="inlineStr">
        <is>
          <t>CYNTHIA</t>
        </is>
      </c>
      <c r="H385" s="1" t="inlineStr">
        <is>
          <t>CYNTHIA 27/04/2026</t>
        </is>
      </c>
      <c r="I385" s="4" t="n">
        <v>2</v>
      </c>
      <c r="J385" s="6" t="n">
        <v>8.800000000000001</v>
      </c>
      <c r="K385" s="6" t="n">
        <v>228.360815</v>
      </c>
      <c r="L385" s="6">
        <f>I385*K385</f>
        <v/>
      </c>
      <c r="M385" s="6">
        <f>K385*4</f>
        <v/>
      </c>
      <c r="N385" s="6" t="n">
        <v>915</v>
      </c>
    </row>
    <row r="386">
      <c r="A386" s="1" t="inlineStr">
        <is>
          <t>16498231076513</t>
        </is>
      </c>
      <c r="B386" s="1" t="inlineStr">
        <is>
          <t>SET DE COLLAR Y PULSERA CORAZÓN CON ZIRCONIA. Titanio</t>
        </is>
      </c>
      <c r="C386" s="1" t="inlineStr">
        <is>
          <t>Default Title</t>
        </is>
      </c>
      <c r="D386" s="1" t="inlineStr">
        <is>
          <t>02/03/2026</t>
        </is>
      </c>
      <c r="E386" s="1" t="n">
        <v>2026</v>
      </c>
      <c r="F386" s="1" t="inlineStr">
        <is>
          <t>MARZO</t>
        </is>
      </c>
      <c r="G386" s="1" t="inlineStr">
        <is>
          <t>ZOEY</t>
        </is>
      </c>
      <c r="H386" s="1" t="inlineStr">
        <is>
          <t>ZOEY 02/03/2026</t>
        </is>
      </c>
      <c r="I386" s="4" t="n">
        <v>2</v>
      </c>
      <c r="J386" s="6" t="n">
        <v>9</v>
      </c>
      <c r="K386" s="6" t="n">
        <v>236.4927815</v>
      </c>
      <c r="L386" s="6">
        <f>I386*K386</f>
        <v/>
      </c>
      <c r="M386" s="6">
        <f>K386*4</f>
        <v/>
      </c>
      <c r="N386" s="6" t="n">
        <v>1299</v>
      </c>
    </row>
    <row r="387">
      <c r="A387" s="1" t="inlineStr">
        <is>
          <t>16498231076513</t>
        </is>
      </c>
      <c r="B387" s="1" t="inlineStr">
        <is>
          <t>SET DE COLLAR Y PULSERA CORAZÓN CON ZIRCONIA. Titanio</t>
        </is>
      </c>
      <c r="C387" s="1" t="inlineStr">
        <is>
          <t>Default Title</t>
        </is>
      </c>
      <c r="D387" s="1" t="inlineStr">
        <is>
          <t>08/06/2026</t>
        </is>
      </c>
      <c r="E387" s="1" t="n">
        <v>2026</v>
      </c>
      <c r="F387" s="1" t="inlineStr">
        <is>
          <t>JUNIO</t>
        </is>
      </c>
      <c r="G387" s="1" t="inlineStr">
        <is>
          <t>ZOEY</t>
        </is>
      </c>
      <c r="H387" s="1" t="inlineStr">
        <is>
          <t>ZOEY 08/06/2026</t>
        </is>
      </c>
      <c r="I387" s="4" t="n">
        <v>3</v>
      </c>
      <c r="J387" s="6" t="n">
        <v>9</v>
      </c>
      <c r="K387" s="6" t="n">
        <v>220.6029281</v>
      </c>
      <c r="L387" s="6">
        <f>I387*K387</f>
        <v/>
      </c>
      <c r="M387" s="6">
        <f>K387*4</f>
        <v/>
      </c>
      <c r="N387" s="6" t="n">
        <v>879</v>
      </c>
    </row>
    <row r="388">
      <c r="A388" s="1" t="inlineStr">
        <is>
          <t>16498231076513</t>
        </is>
      </c>
      <c r="B388" s="1" t="inlineStr">
        <is>
          <t>SET DE COLLAR Y PULSERA CORAZÓN CON ZIRCONIA. Titanio</t>
        </is>
      </c>
      <c r="C388" s="1" t="n"/>
      <c r="D388" s="1" t="inlineStr">
        <is>
          <t>08/06/2026</t>
        </is>
      </c>
      <c r="E388" s="1" t="n">
        <v>2026</v>
      </c>
      <c r="F388" s="1" t="inlineStr">
        <is>
          <t>JUNIO</t>
        </is>
      </c>
      <c r="G388" s="1" t="inlineStr">
        <is>
          <t>ZOEY</t>
        </is>
      </c>
      <c r="H388" s="1" t="inlineStr">
        <is>
          <t>ZOEY 08/06/2026</t>
        </is>
      </c>
      <c r="I388" s="4" t="n">
        <v>3</v>
      </c>
      <c r="J388" s="6" t="n">
        <v>8</v>
      </c>
      <c r="K388" s="6" t="n">
        <v>196.0914916</v>
      </c>
      <c r="L388" s="6">
        <f>I388*K388</f>
        <v/>
      </c>
      <c r="M388" s="6">
        <f>K388*4</f>
        <v/>
      </c>
      <c r="N388" s="6" t="n">
        <v>779</v>
      </c>
    </row>
    <row r="389">
      <c r="A389" s="1" t="inlineStr">
        <is>
          <t>16572644570636</t>
        </is>
      </c>
      <c r="B389" s="1" t="n"/>
      <c r="C389" s="1" t="inlineStr">
        <is>
          <t>L</t>
        </is>
      </c>
      <c r="D389" s="1" t="inlineStr">
        <is>
          <t>07/01/2026</t>
        </is>
      </c>
      <c r="E389" s="1" t="n">
        <v>2026</v>
      </c>
      <c r="F389" s="1" t="inlineStr">
        <is>
          <t>ENERO</t>
        </is>
      </c>
      <c r="G389" s="1" t="inlineStr">
        <is>
          <t>CYNTHIA</t>
        </is>
      </c>
      <c r="H389" s="1" t="inlineStr">
        <is>
          <t>CYNTHIA 07/01/2026</t>
        </is>
      </c>
      <c r="I389" s="4" t="n">
        <v>1</v>
      </c>
      <c r="J389" s="6" t="n">
        <v>10.8</v>
      </c>
      <c r="K389" s="6" t="n">
        <v>287.1442189</v>
      </c>
      <c r="L389" s="6">
        <f>I389*K389</f>
        <v/>
      </c>
      <c r="M389" s="6">
        <f>K389*4</f>
        <v/>
      </c>
      <c r="N389" s="6" t="n">
        <v>1129</v>
      </c>
    </row>
    <row r="390">
      <c r="A390" s="1" t="inlineStr">
        <is>
          <t>16572644570636</t>
        </is>
      </c>
      <c r="B390" s="1" t="n"/>
      <c r="C390" s="1" t="inlineStr">
        <is>
          <t>L</t>
        </is>
      </c>
      <c r="D390" s="1" t="inlineStr">
        <is>
          <t>18/02/2026</t>
        </is>
      </c>
      <c r="E390" s="1" t="n">
        <v>2026</v>
      </c>
      <c r="F390" s="1" t="inlineStr">
        <is>
          <t>FEBRERO</t>
        </is>
      </c>
      <c r="G390" s="1" t="inlineStr">
        <is>
          <t>CYNTHIA</t>
        </is>
      </c>
      <c r="H390" s="1" t="inlineStr">
        <is>
          <t>CYNTHIA 18/02/2026</t>
        </is>
      </c>
      <c r="I390" s="4" t="n">
        <v>2</v>
      </c>
      <c r="J390" s="6" t="n">
        <v>10.8</v>
      </c>
      <c r="K390" s="6" t="n">
        <v>292.0683441</v>
      </c>
      <c r="L390" s="6">
        <f>I390*K390</f>
        <v/>
      </c>
      <c r="M390" s="6">
        <f>K390*4</f>
        <v/>
      </c>
      <c r="N390" s="6" t="n">
        <v>1129</v>
      </c>
    </row>
    <row r="391">
      <c r="A391" s="1" t="inlineStr">
        <is>
          <t>16572644570636</t>
        </is>
      </c>
      <c r="B391" s="1" t="inlineStr">
        <is>
          <t>TRAJE DE BAÑO GC</t>
        </is>
      </c>
      <c r="C391" s="1" t="inlineStr">
        <is>
          <t>L</t>
        </is>
      </c>
      <c r="D391" s="1" t="inlineStr">
        <is>
          <t>27/04/2026</t>
        </is>
      </c>
      <c r="E391" s="1" t="n">
        <v>2026</v>
      </c>
      <c r="F391" s="1" t="inlineStr">
        <is>
          <t>ABRIL</t>
        </is>
      </c>
      <c r="G391" s="1" t="inlineStr">
        <is>
          <t>CYNTHIA</t>
        </is>
      </c>
      <c r="H391" s="1" t="inlineStr">
        <is>
          <t>CYNTHIA 27/04/2026</t>
        </is>
      </c>
      <c r="I391" s="4" t="n">
        <v>3</v>
      </c>
      <c r="J391" s="6" t="n">
        <v>10.8</v>
      </c>
      <c r="K391" s="6" t="n">
        <v>280.2610003</v>
      </c>
      <c r="L391" s="6">
        <f>I391*K391</f>
        <v/>
      </c>
      <c r="M391" s="6">
        <f>K391*4</f>
        <v/>
      </c>
      <c r="N391" s="6" t="n">
        <v>1129</v>
      </c>
    </row>
    <row r="392">
      <c r="A392" s="1" t="inlineStr">
        <is>
          <t>16572644603404</t>
        </is>
      </c>
      <c r="B392" s="1" t="inlineStr">
        <is>
          <t>TRAJE DE BANO GC</t>
        </is>
      </c>
      <c r="C392" s="1" t="inlineStr">
        <is>
          <t>XL</t>
        </is>
      </c>
      <c r="D392" s="1" t="inlineStr">
        <is>
          <t>05/09/2025</t>
        </is>
      </c>
      <c r="E392" s="1" t="n">
        <v>2025</v>
      </c>
      <c r="F392" s="1" t="inlineStr">
        <is>
          <t>SEPTIEMBRE</t>
        </is>
      </c>
      <c r="G392" s="1" t="inlineStr">
        <is>
          <t>CYNTHIA</t>
        </is>
      </c>
      <c r="H392" s="1" t="inlineStr">
        <is>
          <t>CYNTHIA 05/09/2025</t>
        </is>
      </c>
      <c r="I392" s="4" t="n">
        <v>2</v>
      </c>
      <c r="J392" s="6" t="n">
        <v>10.8</v>
      </c>
      <c r="K392" s="6" t="n">
        <v>271.9342468</v>
      </c>
      <c r="L392" s="6">
        <f>I392*K392</f>
        <v/>
      </c>
      <c r="M392" s="6">
        <f>K392*4</f>
        <v/>
      </c>
      <c r="N392" s="6" t="n">
        <v>1099</v>
      </c>
    </row>
    <row r="393">
      <c r="A393" s="1" t="inlineStr">
        <is>
          <t>16572647978508</t>
        </is>
      </c>
      <c r="B393" s="1" t="inlineStr">
        <is>
          <t>TRAJE DE BAÑO COMPLETO VC</t>
        </is>
      </c>
      <c r="C393" s="1" t="inlineStr">
        <is>
          <t>L</t>
        </is>
      </c>
      <c r="D393" s="1" t="inlineStr">
        <is>
          <t>05/09/2025</t>
        </is>
      </c>
      <c r="E393" s="1" t="n">
        <v>2025</v>
      </c>
      <c r="F393" s="1" t="inlineStr">
        <is>
          <t>SEPTIEMBRE</t>
        </is>
      </c>
      <c r="G393" s="1" t="inlineStr">
        <is>
          <t>CYNTHIA</t>
        </is>
      </c>
      <c r="H393" s="1" t="inlineStr">
        <is>
          <t>CYNTHIA 05/09/2025</t>
        </is>
      </c>
      <c r="I393" s="4" t="n">
        <v>2</v>
      </c>
      <c r="J393" s="6" t="n">
        <v>12.8</v>
      </c>
      <c r="K393" s="6" t="n">
        <v>322.2924407</v>
      </c>
      <c r="L393" s="6">
        <f>I393*K393</f>
        <v/>
      </c>
      <c r="M393" s="6">
        <f>K393*4</f>
        <v/>
      </c>
      <c r="N393" s="6" t="n">
        <v>1066</v>
      </c>
    </row>
    <row r="394">
      <c r="A394" s="1" t="inlineStr">
        <is>
          <t>16572647978508</t>
        </is>
      </c>
      <c r="B394" s="1" t="inlineStr">
        <is>
          <t>TRAJE DE BAÑO COMPLETO VC</t>
        </is>
      </c>
      <c r="C394" s="1" t="inlineStr">
        <is>
          <t>L</t>
        </is>
      </c>
      <c r="D394" s="1" t="inlineStr">
        <is>
          <t>27/04/2026</t>
        </is>
      </c>
      <c r="E394" s="1" t="n">
        <v>2026</v>
      </c>
      <c r="F394" s="1" t="inlineStr">
        <is>
          <t>ABRIL</t>
        </is>
      </c>
      <c r="G394" s="1" t="inlineStr">
        <is>
          <t>CYNTHIA</t>
        </is>
      </c>
      <c r="H394" s="1" t="inlineStr">
        <is>
          <t>CYNTHIA 27/04/2026</t>
        </is>
      </c>
      <c r="I394" s="4" t="n">
        <v>3</v>
      </c>
      <c r="J394" s="6" t="n">
        <v>12.8</v>
      </c>
      <c r="K394" s="6" t="n">
        <v>332.1611855</v>
      </c>
      <c r="L394" s="6">
        <f>I394*K394</f>
        <v/>
      </c>
      <c r="M394" s="6">
        <f>K394*4</f>
        <v/>
      </c>
      <c r="N394" s="6" t="n">
        <v>1359</v>
      </c>
    </row>
    <row r="395">
      <c r="A395" s="1" t="inlineStr">
        <is>
          <t>16572648011276</t>
        </is>
      </c>
      <c r="B395" s="1" t="inlineStr">
        <is>
          <t>TRAJE DE BAÑO COMPLETO VC</t>
        </is>
      </c>
      <c r="C395" s="1" t="inlineStr">
        <is>
          <t>XL</t>
        </is>
      </c>
      <c r="D395" s="1" t="inlineStr">
        <is>
          <t>05/09/2025</t>
        </is>
      </c>
      <c r="E395" s="1" t="n">
        <v>2025</v>
      </c>
      <c r="F395" s="1" t="inlineStr">
        <is>
          <t>SEPTIEMBRE</t>
        </is>
      </c>
      <c r="G395" s="1" t="inlineStr">
        <is>
          <t>CYNTHIA</t>
        </is>
      </c>
      <c r="H395" s="1" t="inlineStr">
        <is>
          <t>CYNTHIA 05/09/2025</t>
        </is>
      </c>
      <c r="I395" s="4" t="n">
        <v>1</v>
      </c>
      <c r="J395" s="6" t="n">
        <v>12.8</v>
      </c>
      <c r="K395" s="6" t="n">
        <v>322.2924407</v>
      </c>
      <c r="L395" s="6">
        <f>I395*K395</f>
        <v/>
      </c>
      <c r="M395" s="6">
        <f>K395*4</f>
        <v/>
      </c>
      <c r="N395" s="6" t="n">
        <v>858</v>
      </c>
    </row>
    <row r="396">
      <c r="A396" s="1" t="inlineStr">
        <is>
          <t>16572648011276</t>
        </is>
      </c>
      <c r="B396" s="1" t="inlineStr">
        <is>
          <t>TRAJE DE BAÑO COMPLETO VC</t>
        </is>
      </c>
      <c r="C396" s="1" t="inlineStr">
        <is>
          <t>XL</t>
        </is>
      </c>
      <c r="D396" s="1" t="inlineStr">
        <is>
          <t>31/05/2026</t>
        </is>
      </c>
      <c r="E396" s="1" t="n">
        <v>2026</v>
      </c>
      <c r="F396" s="1" t="inlineStr">
        <is>
          <t>MAYO</t>
        </is>
      </c>
      <c r="G396" s="1" t="inlineStr">
        <is>
          <t>CYNTHIA</t>
        </is>
      </c>
      <c r="H396" s="1" t="inlineStr">
        <is>
          <t>CYNTHIA 31/05/2026</t>
        </is>
      </c>
      <c r="I396" s="4" t="n">
        <v>2</v>
      </c>
      <c r="J396" s="6" t="n">
        <v>12.8</v>
      </c>
      <c r="K396" s="6" t="n">
        <v>339.2133757</v>
      </c>
      <c r="L396" s="6">
        <f>I396*K396</f>
        <v/>
      </c>
      <c r="M396" s="6">
        <f>K396*4</f>
        <v/>
      </c>
      <c r="N396" s="6" t="n">
        <v>1359</v>
      </c>
    </row>
    <row r="397">
      <c r="A397" s="1" t="inlineStr">
        <is>
          <t>16572648568332</t>
        </is>
      </c>
      <c r="B397" s="1" t="inlineStr">
        <is>
          <t>TRAJE DE BAÑO PR BLACK</t>
        </is>
      </c>
      <c r="C397" s="1" t="inlineStr">
        <is>
          <t>L</t>
        </is>
      </c>
      <c r="D397" s="1" t="inlineStr">
        <is>
          <t>27/04/2026</t>
        </is>
      </c>
      <c r="E397" s="1" t="n">
        <v>2026</v>
      </c>
      <c r="F397" s="1" t="inlineStr">
        <is>
          <t>ABRIL</t>
        </is>
      </c>
      <c r="G397" s="1" t="inlineStr">
        <is>
          <t>CYNTHIA</t>
        </is>
      </c>
      <c r="H397" s="1" t="inlineStr">
        <is>
          <t>CYNTHIA 27/04/2026</t>
        </is>
      </c>
      <c r="I397" s="4" t="n">
        <v>4</v>
      </c>
      <c r="J397" s="6" t="n">
        <v>10.8</v>
      </c>
      <c r="K397" s="6" t="n">
        <v>280.2610003</v>
      </c>
      <c r="L397" s="6">
        <f>I397*K397</f>
        <v/>
      </c>
      <c r="M397" s="6">
        <f>K397*4</f>
        <v/>
      </c>
      <c r="N397" s="6" t="n">
        <v>1199</v>
      </c>
    </row>
    <row r="398">
      <c r="A398" s="1" t="inlineStr">
        <is>
          <t>16572648601100</t>
        </is>
      </c>
      <c r="B398" s="1" t="inlineStr">
        <is>
          <t>TRAJE DE BAÑO PR BLACK</t>
        </is>
      </c>
      <c r="C398" s="1" t="inlineStr">
        <is>
          <t>XL</t>
        </is>
      </c>
      <c r="D398" s="1" t="inlineStr">
        <is>
          <t>27/04/2026</t>
        </is>
      </c>
      <c r="E398" s="1" t="n">
        <v>2026</v>
      </c>
      <c r="F398" s="1" t="inlineStr">
        <is>
          <t>ABRIL</t>
        </is>
      </c>
      <c r="G398" s="1" t="inlineStr">
        <is>
          <t>CYNTHIA</t>
        </is>
      </c>
      <c r="H398" s="1" t="inlineStr">
        <is>
          <t>CYNTHIA 27/04/2026</t>
        </is>
      </c>
      <c r="I398" s="4" t="n">
        <v>1</v>
      </c>
      <c r="J398" s="6" t="n">
        <v>10.8</v>
      </c>
      <c r="K398" s="6" t="n">
        <v>280.2610003</v>
      </c>
      <c r="L398" s="6">
        <f>I398*K398</f>
        <v/>
      </c>
      <c r="M398" s="6">
        <f>K398*4</f>
        <v/>
      </c>
      <c r="N398" s="6" t="n">
        <v>1199</v>
      </c>
    </row>
    <row r="399">
      <c r="A399" s="1" t="inlineStr">
        <is>
          <t>16572648601100</t>
        </is>
      </c>
      <c r="B399" s="1" t="inlineStr">
        <is>
          <t>TRAJE DE BAÑO PR BLACK</t>
        </is>
      </c>
      <c r="C399" s="1" t="inlineStr">
        <is>
          <t>XL</t>
        </is>
      </c>
      <c r="D399" s="1" t="inlineStr">
        <is>
          <t>31/05/2026</t>
        </is>
      </c>
      <c r="E399" s="1" t="n">
        <v>2026</v>
      </c>
      <c r="F399" s="1" t="inlineStr">
        <is>
          <t>MAYO</t>
        </is>
      </c>
      <c r="G399" s="1" t="inlineStr">
        <is>
          <t>CYNTHIA</t>
        </is>
      </c>
      <c r="H399" s="1" t="inlineStr">
        <is>
          <t>CYNTHIA 31/05/2026</t>
        </is>
      </c>
      <c r="I399" s="4" t="n">
        <v>2</v>
      </c>
      <c r="J399" s="6" t="n">
        <v>10.8</v>
      </c>
      <c r="K399" s="6" t="n">
        <v>286.2112858</v>
      </c>
      <c r="L399" s="6">
        <f>I399*K399</f>
        <v/>
      </c>
      <c r="M399" s="6">
        <f>K399*4</f>
        <v/>
      </c>
      <c r="N399" s="6" t="n">
        <v>1199</v>
      </c>
    </row>
    <row r="400">
      <c r="A400" s="1" t="inlineStr">
        <is>
          <t>17235661006529</t>
        </is>
      </c>
      <c r="B400" s="1" t="inlineStr">
        <is>
          <t>ARETES CD TRIBALES</t>
        </is>
      </c>
      <c r="C400" s="1" t="inlineStr">
        <is>
          <t>Default Title</t>
        </is>
      </c>
      <c r="D400" s="1" t="inlineStr">
        <is>
          <t>07/01/2026</t>
        </is>
      </c>
      <c r="E400" s="1" t="n">
        <v>2026</v>
      </c>
      <c r="F400" s="1" t="inlineStr">
        <is>
          <t>ENERO</t>
        </is>
      </c>
      <c r="G400" s="1" t="inlineStr">
        <is>
          <t>CYNTHIA</t>
        </is>
      </c>
      <c r="H400" s="1" t="inlineStr">
        <is>
          <t>CYNTHIA 07/01/2026</t>
        </is>
      </c>
      <c r="I400" s="4" t="n">
        <v>2</v>
      </c>
      <c r="J400" s="6" t="n">
        <v>8.800000000000001</v>
      </c>
      <c r="K400" s="6" t="n">
        <v>233.9693635</v>
      </c>
      <c r="L400" s="6">
        <f>I400*K400</f>
        <v/>
      </c>
      <c r="M400" s="6">
        <f>K400*4</f>
        <v/>
      </c>
      <c r="N400" s="6" t="n">
        <v>935</v>
      </c>
    </row>
    <row r="401">
      <c r="A401" s="1" t="inlineStr">
        <is>
          <t>17235661006529</t>
        </is>
      </c>
      <c r="B401" s="1" t="inlineStr">
        <is>
          <t>ARETES CD TRIBALES</t>
        </is>
      </c>
      <c r="C401" s="1" t="inlineStr">
        <is>
          <t>Default Title</t>
        </is>
      </c>
      <c r="D401" s="1" t="inlineStr">
        <is>
          <t>18/02/2026</t>
        </is>
      </c>
      <c r="E401" s="1" t="n">
        <v>2026</v>
      </c>
      <c r="F401" s="1" t="inlineStr">
        <is>
          <t>FEBRERO</t>
        </is>
      </c>
      <c r="G401" s="1" t="inlineStr">
        <is>
          <t>CYNTHIA</t>
        </is>
      </c>
      <c r="H401" s="1" t="inlineStr">
        <is>
          <t>CYNTHIA 18/02/2026</t>
        </is>
      </c>
      <c r="I401" s="4" t="n">
        <v>1</v>
      </c>
      <c r="J401" s="6" t="n">
        <v>8.800000000000001</v>
      </c>
      <c r="K401" s="6" t="n">
        <v>237.9816137</v>
      </c>
      <c r="L401" s="6">
        <f>I401*K401</f>
        <v/>
      </c>
      <c r="M401" s="6">
        <f>K401*4</f>
        <v/>
      </c>
      <c r="N401" s="6" t="n">
        <v>935</v>
      </c>
    </row>
    <row r="402">
      <c r="A402" s="1" t="inlineStr">
        <is>
          <t>17235661006529</t>
        </is>
      </c>
      <c r="B402" s="1" t="inlineStr">
        <is>
          <t>ARETES CD TRIBALES</t>
        </is>
      </c>
      <c r="C402" s="1" t="inlineStr">
        <is>
          <t>Default Title</t>
        </is>
      </c>
      <c r="D402" s="1" t="inlineStr">
        <is>
          <t>31/05/2026</t>
        </is>
      </c>
      <c r="E402" s="1" t="n">
        <v>2026</v>
      </c>
      <c r="F402" s="1" t="inlineStr">
        <is>
          <t>MAYO</t>
        </is>
      </c>
      <c r="G402" s="1" t="inlineStr">
        <is>
          <t>CYNTHIA</t>
        </is>
      </c>
      <c r="H402" s="1" t="inlineStr">
        <is>
          <t>CYNTHIA 31/05/2026</t>
        </is>
      </c>
      <c r="I402" s="4" t="n">
        <v>6</v>
      </c>
      <c r="J402" s="6" t="n">
        <v>8.800000000000001</v>
      </c>
      <c r="K402" s="6" t="n">
        <v>233.2091958</v>
      </c>
      <c r="L402" s="6">
        <f>I402*K402</f>
        <v/>
      </c>
      <c r="M402" s="6">
        <f>K402*4</f>
        <v/>
      </c>
      <c r="N402" s="6" t="n">
        <v>935</v>
      </c>
    </row>
    <row r="403">
      <c r="A403" s="1" t="inlineStr">
        <is>
          <t>17360611039917</t>
        </is>
      </c>
      <c r="B403" s="1" t="inlineStr">
        <is>
          <t>ANILLO DOBLE T CON ZIRCONIAS SILVER</t>
        </is>
      </c>
      <c r="C403" s="1" t="inlineStr">
        <is>
          <t>7</t>
        </is>
      </c>
      <c r="D403" s="1" t="inlineStr">
        <is>
          <t>11/11/2025</t>
        </is>
      </c>
      <c r="E403" s="1" t="n">
        <v>2025</v>
      </c>
      <c r="F403" s="1" t="inlineStr">
        <is>
          <t>NOVIEMBRE</t>
        </is>
      </c>
      <c r="G403" s="1" t="inlineStr">
        <is>
          <t>HAIFENG</t>
        </is>
      </c>
      <c r="H403" s="1" t="inlineStr">
        <is>
          <t>HAIFENG 11/11/2025</t>
        </is>
      </c>
      <c r="I403" s="4" t="n">
        <v>3</v>
      </c>
      <c r="J403" s="6" t="n">
        <v>7</v>
      </c>
      <c r="K403" s="6" t="n">
        <v>147.4234891</v>
      </c>
      <c r="L403" s="6">
        <f>I403*K403</f>
        <v/>
      </c>
      <c r="M403" s="6">
        <f>K403*4</f>
        <v/>
      </c>
      <c r="N403" s="6" t="n">
        <v>580</v>
      </c>
    </row>
    <row r="404">
      <c r="A404" s="1" t="inlineStr">
        <is>
          <t>17360611039917</t>
        </is>
      </c>
      <c r="B404" s="1" t="inlineStr">
        <is>
          <t>ANILLO DOBLE T CON ZIRCONIAS SILVER</t>
        </is>
      </c>
      <c r="C404" s="1" t="inlineStr">
        <is>
          <t>7</t>
        </is>
      </c>
      <c r="D404" s="1" t="inlineStr">
        <is>
          <t>03/12/2025</t>
        </is>
      </c>
      <c r="E404" s="1" t="n">
        <v>2025</v>
      </c>
      <c r="F404" s="1" t="inlineStr">
        <is>
          <t>DICIEMBRE</t>
        </is>
      </c>
      <c r="G404" s="1" t="inlineStr">
        <is>
          <t>HAIFENG</t>
        </is>
      </c>
      <c r="H404" s="1" t="inlineStr">
        <is>
          <t>HAIFENG 03/12/2025</t>
        </is>
      </c>
      <c r="I404" s="4" t="n">
        <v>2</v>
      </c>
      <c r="J404" s="6" t="n">
        <v>7</v>
      </c>
      <c r="K404" s="6" t="n">
        <v>146.4201201</v>
      </c>
      <c r="L404" s="6">
        <f>I404*K404</f>
        <v/>
      </c>
      <c r="M404" s="6">
        <f>K404*4</f>
        <v/>
      </c>
      <c r="N404" s="6" t="n">
        <v>580</v>
      </c>
    </row>
    <row r="405">
      <c r="A405" s="1" t="inlineStr">
        <is>
          <t>17360611172685</t>
        </is>
      </c>
      <c r="B405" s="1" t="inlineStr">
        <is>
          <t>ANILLO DOBLE T CON ZIRCONIAS SILVER</t>
        </is>
      </c>
      <c r="C405" s="1" t="inlineStr">
        <is>
          <t>8</t>
        </is>
      </c>
      <c r="D405" s="1" t="inlineStr">
        <is>
          <t>26/05/2026</t>
        </is>
      </c>
      <c r="E405" s="1" t="n">
        <v>2026</v>
      </c>
      <c r="F405" s="1" t="inlineStr">
        <is>
          <t>MAYO</t>
        </is>
      </c>
      <c r="G405" s="1" t="inlineStr">
        <is>
          <t>HAIFENG</t>
        </is>
      </c>
      <c r="H405" s="1" t="inlineStr">
        <is>
          <t>HAIFENG 26/05/2026</t>
        </is>
      </c>
      <c r="I405" s="4" t="n">
        <v>2</v>
      </c>
      <c r="J405" s="6" t="n">
        <v>6</v>
      </c>
      <c r="K405" s="6" t="n">
        <v>125.9357718</v>
      </c>
      <c r="L405" s="6">
        <f>I405*K405</f>
        <v/>
      </c>
      <c r="M405" s="6">
        <f>K405*4</f>
        <v/>
      </c>
      <c r="N405" s="6" t="n">
        <v>580</v>
      </c>
    </row>
    <row r="406">
      <c r="A406" s="1" t="inlineStr">
        <is>
          <t>17360611212237</t>
        </is>
      </c>
      <c r="B406" s="1" t="inlineStr">
        <is>
          <t>RELOJ BALLON BLUE C</t>
        </is>
      </c>
      <c r="C406" s="1" t="inlineStr">
        <is>
          <t>RELOJ SIN CAJA</t>
        </is>
      </c>
      <c r="D406" s="1" t="inlineStr">
        <is>
          <t>02/10/2025</t>
        </is>
      </c>
      <c r="E406" s="1" t="n">
        <v>2025</v>
      </c>
      <c r="F406" s="1" t="inlineStr">
        <is>
          <t>OCTUBRE</t>
        </is>
      </c>
      <c r="G406" s="1" t="inlineStr">
        <is>
          <t>ZOEY</t>
        </is>
      </c>
      <c r="H406" s="1" t="inlineStr">
        <is>
          <t>ZOEY 02/10/2025</t>
        </is>
      </c>
      <c r="I406" s="4" t="n">
        <v>3</v>
      </c>
      <c r="J406" s="6" t="n">
        <v>68</v>
      </c>
      <c r="K406" s="6" t="n">
        <v>1606.427648</v>
      </c>
      <c r="L406" s="6">
        <f>I406*K406</f>
        <v/>
      </c>
      <c r="M406" s="6">
        <f>K406*4</f>
        <v/>
      </c>
      <c r="N406" s="6" t="n">
        <v>3999</v>
      </c>
    </row>
    <row r="407">
      <c r="A407" s="1" t="inlineStr">
        <is>
          <t>17360611212237</t>
        </is>
      </c>
      <c r="B407" s="1" t="inlineStr">
        <is>
          <t>RELOJ BALLON BLUE C</t>
        </is>
      </c>
      <c r="C407" s="1" t="inlineStr">
        <is>
          <t>RELOJ SIN CAJA</t>
        </is>
      </c>
      <c r="D407" s="1" t="inlineStr">
        <is>
          <t>20/01/2026</t>
        </is>
      </c>
      <c r="E407" s="1" t="n">
        <v>2026</v>
      </c>
      <c r="F407" s="1" t="inlineStr">
        <is>
          <t>ENERO</t>
        </is>
      </c>
      <c r="G407" s="1" t="inlineStr">
        <is>
          <t>ZOEY</t>
        </is>
      </c>
      <c r="H407" s="1" t="inlineStr">
        <is>
          <t>ZOEY 20/01/2026</t>
        </is>
      </c>
      <c r="I407" s="4" t="n">
        <v>5</v>
      </c>
      <c r="J407" s="6" t="n">
        <v>28</v>
      </c>
      <c r="K407" s="6" t="n">
        <v>728.8847823</v>
      </c>
      <c r="L407" s="6">
        <f>I407*K407</f>
        <v/>
      </c>
      <c r="M407" s="6">
        <f>K407*4</f>
        <v/>
      </c>
      <c r="N407" s="6" t="n">
        <v>3999</v>
      </c>
    </row>
    <row r="408">
      <c r="A408" s="1" t="inlineStr">
        <is>
          <t>17360611212237</t>
        </is>
      </c>
      <c r="B408" s="1" t="inlineStr">
        <is>
          <t>RELOJ BALLON BLUE C</t>
        </is>
      </c>
      <c r="C408" s="1" t="inlineStr">
        <is>
          <t>RELOJ SIN CAJA</t>
        </is>
      </c>
      <c r="D408" s="1" t="inlineStr">
        <is>
          <t>20/04/2026</t>
        </is>
      </c>
      <c r="E408" s="1" t="n">
        <v>2026</v>
      </c>
      <c r="F408" s="1" t="inlineStr">
        <is>
          <t>ABRIL</t>
        </is>
      </c>
      <c r="G408" s="1" t="inlineStr">
        <is>
          <t>ZOEY</t>
        </is>
      </c>
      <c r="H408" s="1" t="inlineStr">
        <is>
          <t>ZOEY 20/04/2026</t>
        </is>
      </c>
      <c r="I408" s="4" t="n">
        <v>6</v>
      </c>
      <c r="J408" s="6" t="n">
        <v>28</v>
      </c>
      <c r="K408" s="6" t="n">
        <v>717.0457934</v>
      </c>
      <c r="L408" s="6">
        <f>I408*K408</f>
        <v/>
      </c>
      <c r="M408" s="6">
        <f>K408*4</f>
        <v/>
      </c>
      <c r="N408" s="6" t="n">
        <v>3999</v>
      </c>
    </row>
    <row r="409">
      <c r="A409" s="1" t="inlineStr">
        <is>
          <t>17360611212237</t>
        </is>
      </c>
      <c r="B409" s="1" t="inlineStr">
        <is>
          <t>RELOJ BALLON BLUE C</t>
        </is>
      </c>
      <c r="C409" s="1" t="inlineStr">
        <is>
          <t>RELOJ SIN CAJA</t>
        </is>
      </c>
      <c r="D409" s="1" t="inlineStr">
        <is>
          <t>08/06/2026</t>
        </is>
      </c>
      <c r="E409" s="1" t="n">
        <v>2026</v>
      </c>
      <c r="F409" s="1" t="inlineStr">
        <is>
          <t>JUNIO</t>
        </is>
      </c>
      <c r="G409" s="1" t="inlineStr">
        <is>
          <t>ZOEY</t>
        </is>
      </c>
      <c r="H409" s="1" t="inlineStr">
        <is>
          <t>ZOEY 08/06/2026</t>
        </is>
      </c>
      <c r="I409" s="4" t="n">
        <v>3</v>
      </c>
      <c r="J409" s="6" t="n">
        <v>28</v>
      </c>
      <c r="K409" s="6" t="n">
        <v>686.3202207</v>
      </c>
      <c r="L409" s="6">
        <f>I409*K409</f>
        <v/>
      </c>
      <c r="M409" s="6">
        <f>K409*4</f>
        <v/>
      </c>
      <c r="N409" s="6" t="n">
        <v>3999</v>
      </c>
    </row>
    <row r="410">
      <c r="A410" s="1" t="inlineStr">
        <is>
          <t>17360611212238</t>
        </is>
      </c>
      <c r="B410" s="1" t="inlineStr">
        <is>
          <t>RELOJ BALLON BLUE C</t>
        </is>
      </c>
      <c r="C410" s="1" t="inlineStr">
        <is>
          <t>RELOJ CON CAJA</t>
        </is>
      </c>
      <c r="D410" s="1" t="inlineStr">
        <is>
          <t>15/05/2026</t>
        </is>
      </c>
      <c r="E410" s="1" t="n">
        <v>2026</v>
      </c>
      <c r="F410" s="1" t="inlineStr">
        <is>
          <t>MAYO</t>
        </is>
      </c>
      <c r="G410" s="1" t="inlineStr">
        <is>
          <t>ZOEY</t>
        </is>
      </c>
      <c r="H410" s="1" t="inlineStr">
        <is>
          <t>ZOEY 15/05/2026</t>
        </is>
      </c>
      <c r="I410" s="4" t="n">
        <v>4</v>
      </c>
      <c r="J410" s="6" t="n">
        <v>28</v>
      </c>
      <c r="K410" s="6" t="n">
        <v>742.1294856</v>
      </c>
      <c r="L410" s="6">
        <f>I410*K410</f>
        <v/>
      </c>
      <c r="M410" s="6">
        <f>K410*4</f>
        <v/>
      </c>
      <c r="N410" s="6" t="n">
        <v>4100</v>
      </c>
    </row>
    <row r="411">
      <c r="A411" s="1" t="inlineStr">
        <is>
          <t>17360611377165</t>
        </is>
      </c>
      <c r="B411" s="1" t="inlineStr">
        <is>
          <t>RELOJ COSMOGRAPH DAYTONA GREEN DIAL R</t>
        </is>
      </c>
      <c r="C411" s="1" t="inlineStr">
        <is>
          <t>RELOJ SIN CAJA</t>
        </is>
      </c>
      <c r="D411" s="1" t="inlineStr">
        <is>
          <t>20/04/2026</t>
        </is>
      </c>
      <c r="E411" s="1" t="n">
        <v>2026</v>
      </c>
      <c r="F411" s="1" t="inlineStr">
        <is>
          <t>ABRIL</t>
        </is>
      </c>
      <c r="G411" s="1" t="inlineStr">
        <is>
          <t>ZOEY</t>
        </is>
      </c>
      <c r="H411" s="1" t="inlineStr">
        <is>
          <t>ZOEY 20/04/2026</t>
        </is>
      </c>
      <c r="I411" s="4" t="n">
        <v>1</v>
      </c>
      <c r="J411" s="6" t="n">
        <v>48</v>
      </c>
      <c r="K411" s="6" t="n">
        <v>1229.22136</v>
      </c>
      <c r="L411" s="6">
        <f>I411*K411</f>
        <v/>
      </c>
      <c r="M411" s="6">
        <f>K411*4</f>
        <v/>
      </c>
      <c r="N411" s="6" t="n">
        <v>4999</v>
      </c>
    </row>
    <row r="412">
      <c r="A412" s="1" t="inlineStr">
        <is>
          <t>17360611377166</t>
        </is>
      </c>
      <c r="B412" s="1" t="inlineStr">
        <is>
          <t>RELOJ COSMOGRAPH DAYTONA GREEN DIAL R</t>
        </is>
      </c>
      <c r="C412" s="1" t="inlineStr">
        <is>
          <t>RELOJ CON CAJA</t>
        </is>
      </c>
      <c r="D412" s="1" t="inlineStr">
        <is>
          <t>15/05/2026</t>
        </is>
      </c>
      <c r="E412" s="1" t="n">
        <v>2026</v>
      </c>
      <c r="F412" s="1" t="inlineStr">
        <is>
          <t>MAYO</t>
        </is>
      </c>
      <c r="G412" s="1" t="inlineStr">
        <is>
          <t>ZOEY</t>
        </is>
      </c>
      <c r="H412" s="1" t="inlineStr">
        <is>
          <t>ZOEY 15/05/2026</t>
        </is>
      </c>
      <c r="I412" s="4" t="n">
        <v>2</v>
      </c>
      <c r="J412" s="6" t="n">
        <v>48</v>
      </c>
      <c r="K412" s="6" t="n">
        <v>1272.221975</v>
      </c>
      <c r="L412" s="6">
        <f>I412*K412</f>
        <v/>
      </c>
      <c r="M412" s="6">
        <f>K412*4</f>
        <v/>
      </c>
      <c r="N412" s="6" t="n">
        <v>6150</v>
      </c>
    </row>
    <row r="413">
      <c r="A413" s="1" t="inlineStr">
        <is>
          <t>17360611474253</t>
        </is>
      </c>
      <c r="B413" s="1" t="inlineStr">
        <is>
          <t>RELOJ LADY DATEJUST GOLD RX</t>
        </is>
      </c>
      <c r="C413" s="1" t="inlineStr">
        <is>
          <t>RELOJ SIN CAJA</t>
        </is>
      </c>
      <c r="D413" s="1" t="inlineStr">
        <is>
          <t>02/03/2026</t>
        </is>
      </c>
      <c r="E413" s="1" t="n">
        <v>2026</v>
      </c>
      <c r="F413" s="1" t="inlineStr">
        <is>
          <t>MARZO</t>
        </is>
      </c>
      <c r="G413" s="1" t="inlineStr">
        <is>
          <t>ZOEY</t>
        </is>
      </c>
      <c r="H413" s="1" t="inlineStr">
        <is>
          <t>ZOEY 02/03/2026</t>
        </is>
      </c>
      <c r="I413" s="4" t="n">
        <v>2</v>
      </c>
      <c r="J413" s="6" t="n">
        <v>48</v>
      </c>
      <c r="K413" s="6" t="n">
        <v>1261.294835</v>
      </c>
      <c r="L413" s="6">
        <f>I413*K413</f>
        <v/>
      </c>
      <c r="M413" s="6">
        <f>K413*4</f>
        <v/>
      </c>
      <c r="N413" s="6" t="n">
        <v>5045</v>
      </c>
    </row>
    <row r="414">
      <c r="A414" s="1" t="inlineStr">
        <is>
          <t>17360611572910</t>
        </is>
      </c>
      <c r="B414" s="1" t="inlineStr">
        <is>
          <t>RELOJ NAUTILUS PP</t>
        </is>
      </c>
      <c r="C414" s="1" t="inlineStr">
        <is>
          <t>RELOJ CON CAJA</t>
        </is>
      </c>
      <c r="D414" s="1" t="inlineStr">
        <is>
          <t>20/04/2026</t>
        </is>
      </c>
      <c r="E414" s="1" t="n">
        <v>2026</v>
      </c>
      <c r="F414" s="1" t="inlineStr">
        <is>
          <t>ABRIL</t>
        </is>
      </c>
      <c r="G414" s="1" t="inlineStr">
        <is>
          <t>ZOEY</t>
        </is>
      </c>
      <c r="H414" s="1" t="inlineStr">
        <is>
          <t>ZOEY 20/04/2026</t>
        </is>
      </c>
      <c r="I414" s="4" t="n">
        <v>3</v>
      </c>
      <c r="J414" s="6" t="n">
        <v>58</v>
      </c>
      <c r="K414" s="6" t="n">
        <v>1485.309144</v>
      </c>
      <c r="L414" s="6">
        <f>I414*K414</f>
        <v/>
      </c>
      <c r="M414" s="6">
        <f>K414*4</f>
        <v/>
      </c>
      <c r="N414" s="6" t="n">
        <v>5199</v>
      </c>
    </row>
    <row r="415">
      <c r="A415" s="1" t="inlineStr">
        <is>
          <t>17360611631597</t>
        </is>
      </c>
      <c r="B415" s="1" t="inlineStr">
        <is>
          <t>RELOJ GENEVA PP</t>
        </is>
      </c>
      <c r="C415" s="1" t="inlineStr">
        <is>
          <t>RELOJ CON CAJA</t>
        </is>
      </c>
      <c r="D415" s="1" t="inlineStr">
        <is>
          <t>15/05/2026</t>
        </is>
      </c>
      <c r="E415" s="1" t="n">
        <v>2026</v>
      </c>
      <c r="F415" s="1" t="inlineStr">
        <is>
          <t>MAYO</t>
        </is>
      </c>
      <c r="G415" s="1" t="inlineStr">
        <is>
          <t>ZOEY</t>
        </is>
      </c>
      <c r="H415" s="1" t="inlineStr">
        <is>
          <t>ZOEY 15/05/2026</t>
        </is>
      </c>
      <c r="I415" s="4" t="n">
        <v>2</v>
      </c>
      <c r="J415" s="6" t="n">
        <v>68</v>
      </c>
      <c r="K415" s="6" t="n">
        <v>1802.314465</v>
      </c>
      <c r="L415" s="6">
        <f>I415*K415</f>
        <v/>
      </c>
      <c r="M415" s="6">
        <f>K415*4</f>
        <v/>
      </c>
      <c r="N415" s="6" t="n">
        <v>7209</v>
      </c>
    </row>
    <row r="416">
      <c r="A416" s="1" t="inlineStr">
        <is>
          <t>17360611631598</t>
        </is>
      </c>
      <c r="B416" s="1" t="inlineStr">
        <is>
          <t>RELOJ GENEVA PP</t>
        </is>
      </c>
      <c r="C416" s="1" t="inlineStr">
        <is>
          <t>RELOJ SIN CAJA</t>
        </is>
      </c>
      <c r="D416" s="1" t="inlineStr">
        <is>
          <t>20/04/2026</t>
        </is>
      </c>
      <c r="E416" s="1" t="n">
        <v>2026</v>
      </c>
      <c r="F416" s="1" t="inlineStr">
        <is>
          <t>ABRIL</t>
        </is>
      </c>
      <c r="G416" s="1" t="inlineStr">
        <is>
          <t>ZOEY</t>
        </is>
      </c>
      <c r="H416" s="1" t="inlineStr">
        <is>
          <t>ZOEY 20/04/2026</t>
        </is>
      </c>
      <c r="I416" s="4" t="n">
        <v>2</v>
      </c>
      <c r="J416" s="6" t="n">
        <v>68</v>
      </c>
      <c r="K416" s="6" t="n">
        <v>1741.396927</v>
      </c>
      <c r="L416" s="6">
        <f>I416*K416</f>
        <v/>
      </c>
      <c r="M416" s="6">
        <f>K416*4</f>
        <v/>
      </c>
      <c r="N416" s="6" t="n">
        <v>6099</v>
      </c>
    </row>
    <row r="417">
      <c r="A417" s="1" t="inlineStr">
        <is>
          <t>17416232396428</t>
        </is>
      </c>
      <c r="B417" s="1" t="inlineStr">
        <is>
          <t>BOLSO CD TOTE</t>
        </is>
      </c>
      <c r="C417" s="1" t="inlineStr">
        <is>
          <t>36.5cm x 28cm x 10cm</t>
        </is>
      </c>
      <c r="D417" s="1" t="inlineStr">
        <is>
          <t>01/09/2025</t>
        </is>
      </c>
      <c r="E417" s="1" t="n">
        <v>2025</v>
      </c>
      <c r="F417" s="1" t="inlineStr">
        <is>
          <t>SEPTIEMBRE</t>
        </is>
      </c>
      <c r="G417" s="1" t="inlineStr">
        <is>
          <t>ZOEY</t>
        </is>
      </c>
      <c r="H417" s="1" t="inlineStr">
        <is>
          <t>ZOEY 01/09/2025</t>
        </is>
      </c>
      <c r="I417" s="4" t="n">
        <v>3</v>
      </c>
      <c r="J417" s="6" t="n">
        <v>45</v>
      </c>
      <c r="K417" s="6" t="n">
        <v>1130.303007</v>
      </c>
      <c r="L417" s="6">
        <f>I417*K417</f>
        <v/>
      </c>
      <c r="M417" s="6">
        <f>K417*4</f>
        <v/>
      </c>
      <c r="N417" s="6" t="n">
        <v>3799</v>
      </c>
    </row>
    <row r="418">
      <c r="A418" s="1" t="inlineStr">
        <is>
          <t>17416232396428</t>
        </is>
      </c>
      <c r="B418" s="1" t="inlineStr">
        <is>
          <t>BOLSO CD TOTE</t>
        </is>
      </c>
      <c r="C418" s="1" t="inlineStr">
        <is>
          <t>36.5cm x 28cm x 10cm</t>
        </is>
      </c>
      <c r="D418" s="1" t="inlineStr">
        <is>
          <t>25/10/2025</t>
        </is>
      </c>
      <c r="E418" s="1" t="n">
        <v>2025</v>
      </c>
      <c r="F418" s="1" t="inlineStr">
        <is>
          <t>OCTUBRE</t>
        </is>
      </c>
      <c r="G418" s="1" t="inlineStr">
        <is>
          <t>ZOEY</t>
        </is>
      </c>
      <c r="H418" s="1" t="inlineStr">
        <is>
          <t>ZOEY 25/10/2025</t>
        </is>
      </c>
      <c r="I418" s="4" t="n">
        <v>6</v>
      </c>
      <c r="J418" s="6" t="n">
        <v>45</v>
      </c>
      <c r="K418" s="6" t="n">
        <v>1116.004919</v>
      </c>
      <c r="L418" s="6">
        <f>I418*K418</f>
        <v/>
      </c>
      <c r="M418" s="6">
        <f>K418*4</f>
        <v/>
      </c>
      <c r="N418" s="6" t="n">
        <v>3799</v>
      </c>
    </row>
    <row r="419">
      <c r="A419" s="1" t="inlineStr">
        <is>
          <t>17416232396428</t>
        </is>
      </c>
      <c r="B419" s="1" t="inlineStr">
        <is>
          <t>BOLSO CD TOTE</t>
        </is>
      </c>
      <c r="C419" s="1" t="inlineStr">
        <is>
          <t>36.5cm x 28cm x 10cm</t>
        </is>
      </c>
      <c r="D419" s="1" t="inlineStr">
        <is>
          <t>02/03/2026</t>
        </is>
      </c>
      <c r="E419" s="1" t="n">
        <v>2026</v>
      </c>
      <c r="F419" s="1" t="inlineStr">
        <is>
          <t>MARZO</t>
        </is>
      </c>
      <c r="G419" s="1" t="inlineStr">
        <is>
          <t>ZOEY</t>
        </is>
      </c>
      <c r="H419" s="1" t="inlineStr">
        <is>
          <t>ZOEY 02/03/2026</t>
        </is>
      </c>
      <c r="I419" s="4" t="n">
        <v>2</v>
      </c>
      <c r="J419" s="6" t="n">
        <v>45</v>
      </c>
      <c r="K419" s="6" t="n">
        <v>1182.463908</v>
      </c>
      <c r="L419" s="6">
        <f>I419*K419</f>
        <v/>
      </c>
      <c r="M419" s="6">
        <f>K419*4</f>
        <v/>
      </c>
      <c r="N419" s="6" t="n">
        <v>4069</v>
      </c>
    </row>
    <row r="420">
      <c r="A420" s="1" t="inlineStr">
        <is>
          <t>17416232396428</t>
        </is>
      </c>
      <c r="B420" s="1" t="inlineStr">
        <is>
          <t>BOLSO CD TOTE</t>
        </is>
      </c>
      <c r="C420" s="1" t="inlineStr">
        <is>
          <t>36.5cm x 28cm x 10cm</t>
        </is>
      </c>
      <c r="D420" s="1" t="inlineStr">
        <is>
          <t>19/03/2026</t>
        </is>
      </c>
      <c r="E420" s="1" t="n">
        <v>2026</v>
      </c>
      <c r="F420" s="1" t="inlineStr">
        <is>
          <t>MARZO</t>
        </is>
      </c>
      <c r="G420" s="1" t="inlineStr">
        <is>
          <t>ZOEY</t>
        </is>
      </c>
      <c r="H420" s="1" t="inlineStr">
        <is>
          <t>ZOEY 19/03/2026</t>
        </is>
      </c>
      <c r="I420" s="4" t="n">
        <v>2</v>
      </c>
      <c r="J420" s="6" t="n">
        <v>45</v>
      </c>
      <c r="K420" s="6" t="n">
        <v>1160.192233</v>
      </c>
      <c r="L420" s="6">
        <f>I420*K420</f>
        <v/>
      </c>
      <c r="M420" s="6">
        <f>K420*4</f>
        <v/>
      </c>
      <c r="N420" s="6" t="n">
        <v>4069</v>
      </c>
    </row>
    <row r="421">
      <c r="A421" s="1" t="inlineStr">
        <is>
          <t>17760786033676</t>
        </is>
      </c>
      <c r="B421" s="1" t="inlineStr">
        <is>
          <t>BOLSO CC 22 SILVER</t>
        </is>
      </c>
      <c r="C421" s="1" t="inlineStr">
        <is>
          <t>19cm de alto x 23.5cm de ancho</t>
        </is>
      </c>
      <c r="D421" s="1" t="inlineStr">
        <is>
          <t>25/10/2025</t>
        </is>
      </c>
      <c r="E421" s="1" t="n">
        <v>2025</v>
      </c>
      <c r="F421" s="1" t="inlineStr">
        <is>
          <t>OCTUBRE</t>
        </is>
      </c>
      <c r="G421" s="1" t="inlineStr">
        <is>
          <t>ZOEY</t>
        </is>
      </c>
      <c r="H421" s="1" t="inlineStr">
        <is>
          <t>ZOEY 25/10/2025</t>
        </is>
      </c>
      <c r="I421" s="4" t="n">
        <v>4</v>
      </c>
      <c r="J421" s="6" t="n">
        <v>50</v>
      </c>
      <c r="K421" s="6" t="n">
        <v>1240.005465</v>
      </c>
      <c r="L421" s="6">
        <f>I421*K421</f>
        <v/>
      </c>
      <c r="M421" s="6">
        <f>K421*4</f>
        <v/>
      </c>
      <c r="N421" s="6" t="n">
        <v>4190</v>
      </c>
    </row>
    <row r="422">
      <c r="A422" s="1" t="inlineStr">
        <is>
          <t>17760786033676</t>
        </is>
      </c>
      <c r="B422" s="1" t="inlineStr">
        <is>
          <t>BOLSO CC 22 SILVER</t>
        </is>
      </c>
      <c r="C422" s="1" t="inlineStr">
        <is>
          <t>19cm de alto x 23.5cm de ancho</t>
        </is>
      </c>
      <c r="D422" s="1" t="inlineStr">
        <is>
          <t>20/01/2026</t>
        </is>
      </c>
      <c r="E422" s="1" t="n">
        <v>2026</v>
      </c>
      <c r="F422" s="1" t="inlineStr">
        <is>
          <t>ENERO</t>
        </is>
      </c>
      <c r="G422" s="1" t="inlineStr">
        <is>
          <t>ZOEY</t>
        </is>
      </c>
      <c r="H422" s="1" t="inlineStr">
        <is>
          <t>ZOEY 20/01/2026</t>
        </is>
      </c>
      <c r="I422" s="4" t="n">
        <v>4</v>
      </c>
      <c r="J422" s="6" t="n">
        <v>50</v>
      </c>
      <c r="K422" s="6" t="n">
        <v>1301.579968</v>
      </c>
      <c r="L422" s="6">
        <f>I422*K422</f>
        <v/>
      </c>
      <c r="M422" s="6">
        <f>K422*4</f>
        <v/>
      </c>
      <c r="N422" s="6" t="n">
        <v>4519</v>
      </c>
    </row>
    <row r="423">
      <c r="A423" s="1" t="inlineStr">
        <is>
          <t>17760786033676</t>
        </is>
      </c>
      <c r="B423" s="1" t="inlineStr">
        <is>
          <t>BOLSO CC 22 SILVER</t>
        </is>
      </c>
      <c r="C423" s="1" t="inlineStr">
        <is>
          <t>19cm de alto x 23.5cm de ancho</t>
        </is>
      </c>
      <c r="D423" s="1" t="inlineStr">
        <is>
          <t>19/03/2026</t>
        </is>
      </c>
      <c r="E423" s="1" t="n">
        <v>2026</v>
      </c>
      <c r="F423" s="1" t="inlineStr">
        <is>
          <t>MARZO</t>
        </is>
      </c>
      <c r="G423" s="1" t="inlineStr">
        <is>
          <t>ZOEY</t>
        </is>
      </c>
      <c r="H423" s="1" t="inlineStr">
        <is>
          <t>ZOEY 19/03/2026</t>
        </is>
      </c>
      <c r="I423" s="4" t="n">
        <v>2</v>
      </c>
      <c r="J423" s="6" t="n">
        <v>50</v>
      </c>
      <c r="K423" s="6" t="n">
        <v>1289.102481</v>
      </c>
      <c r="L423" s="6">
        <f>I423*K423</f>
        <v/>
      </c>
      <c r="M423" s="6">
        <f>K423*4</f>
        <v/>
      </c>
      <c r="N423" s="6" t="n">
        <v>4519</v>
      </c>
    </row>
    <row r="424">
      <c r="A424" s="1" t="inlineStr">
        <is>
          <t>17872087535244</t>
        </is>
      </c>
      <c r="B424" s="1" t="inlineStr">
        <is>
          <t>BOLSO LW ANAGRAM</t>
        </is>
      </c>
      <c r="C424" s="1" t="inlineStr">
        <is>
          <t>50cm x 26cm x 15cm</t>
        </is>
      </c>
      <c r="D424" s="1" t="inlineStr">
        <is>
          <t>01/09/2025</t>
        </is>
      </c>
      <c r="E424" s="1" t="n">
        <v>2025</v>
      </c>
      <c r="F424" s="1" t="inlineStr">
        <is>
          <t>SEPTIEMBRE</t>
        </is>
      </c>
      <c r="G424" s="1" t="inlineStr">
        <is>
          <t>ZOEY</t>
        </is>
      </c>
      <c r="H424" s="1" t="inlineStr">
        <is>
          <t>ZOEY 01/09/2025</t>
        </is>
      </c>
      <c r="I424" s="4" t="n">
        <v>5</v>
      </c>
      <c r="J424" s="6" t="n">
        <v>35</v>
      </c>
      <c r="K424" s="6" t="n">
        <v>879.1245611000001</v>
      </c>
      <c r="L424" s="6">
        <f>I424*K424</f>
        <v/>
      </c>
      <c r="M424" s="6">
        <f>K424*4</f>
        <v/>
      </c>
      <c r="N424" s="6" t="n">
        <v>3780</v>
      </c>
    </row>
    <row r="425">
      <c r="A425" s="1" t="inlineStr">
        <is>
          <t>17872087535244</t>
        </is>
      </c>
      <c r="B425" s="1" t="inlineStr">
        <is>
          <t>BOLSO LW ANAGRAM</t>
        </is>
      </c>
      <c r="C425" s="1" t="inlineStr">
        <is>
          <t>50cm x 26cm x 15cm</t>
        </is>
      </c>
      <c r="D425" s="1" t="inlineStr">
        <is>
          <t>02/03/2026</t>
        </is>
      </c>
      <c r="E425" s="1" t="n">
        <v>2026</v>
      </c>
      <c r="F425" s="1" t="inlineStr">
        <is>
          <t>MARZO</t>
        </is>
      </c>
      <c r="G425" s="1" t="inlineStr">
        <is>
          <t>ZOEY</t>
        </is>
      </c>
      <c r="H425" s="1" t="inlineStr">
        <is>
          <t>ZOEY 02/03/2026</t>
        </is>
      </c>
      <c r="I425" s="4" t="n">
        <v>4</v>
      </c>
      <c r="J425" s="6" t="n">
        <v>35</v>
      </c>
      <c r="K425" s="6" t="n">
        <v>919.6941503</v>
      </c>
      <c r="L425" s="6">
        <f>I425*K425</f>
        <v/>
      </c>
      <c r="M425" s="6">
        <f>K425*4</f>
        <v/>
      </c>
      <c r="N425" s="6" t="n">
        <v>3780</v>
      </c>
    </row>
    <row r="426">
      <c r="A426" s="1" t="inlineStr">
        <is>
          <t>17872087535244</t>
        </is>
      </c>
      <c r="B426" s="1" t="inlineStr">
        <is>
          <t>BOLSO LW ANAGRAM</t>
        </is>
      </c>
      <c r="C426" s="1" t="inlineStr">
        <is>
          <t>50cm x 26cm x 15cm</t>
        </is>
      </c>
      <c r="D426" s="1" t="inlineStr">
        <is>
          <t>19/03/2026</t>
        </is>
      </c>
      <c r="E426" s="1" t="n">
        <v>2026</v>
      </c>
      <c r="F426" s="1" t="inlineStr">
        <is>
          <t>MARZO</t>
        </is>
      </c>
      <c r="G426" s="1" t="inlineStr">
        <is>
          <t>ZOEY</t>
        </is>
      </c>
      <c r="H426" s="1" t="inlineStr">
        <is>
          <t>ZOEY 19/03/2026</t>
        </is>
      </c>
      <c r="I426" s="4" t="n">
        <v>4</v>
      </c>
      <c r="J426" s="6" t="n">
        <v>35</v>
      </c>
      <c r="K426" s="6" t="n">
        <v>902.3717365</v>
      </c>
      <c r="L426" s="6">
        <f>I426*K426</f>
        <v/>
      </c>
      <c r="M426" s="6">
        <f>K426*4</f>
        <v/>
      </c>
      <c r="N426" s="6" t="n">
        <v>3780</v>
      </c>
    </row>
    <row r="427">
      <c r="A427" s="1" t="inlineStr">
        <is>
          <t>17872087535244</t>
        </is>
      </c>
      <c r="B427" s="1" t="inlineStr">
        <is>
          <t>BOLSO LW ANAGRAM</t>
        </is>
      </c>
      <c r="C427" s="1" t="inlineStr">
        <is>
          <t>50cm x 26cm x 15cm</t>
        </is>
      </c>
      <c r="D427" s="1" t="inlineStr">
        <is>
          <t>20/04/2026</t>
        </is>
      </c>
      <c r="E427" s="1" t="n">
        <v>2026</v>
      </c>
      <c r="F427" s="1" t="inlineStr">
        <is>
          <t>ABRIL</t>
        </is>
      </c>
      <c r="G427" s="1" t="inlineStr">
        <is>
          <t>ZOEY</t>
        </is>
      </c>
      <c r="H427" s="1" t="inlineStr">
        <is>
          <t>ZOEY 20/04/2026</t>
        </is>
      </c>
      <c r="I427" s="4" t="n">
        <v>8</v>
      </c>
      <c r="J427" s="6" t="n">
        <v>35</v>
      </c>
      <c r="K427" s="6" t="n">
        <v>896.3072418</v>
      </c>
      <c r="L427" s="6">
        <f>I427*K427</f>
        <v/>
      </c>
      <c r="M427" s="6">
        <f>K427*4</f>
        <v/>
      </c>
      <c r="N427" s="6" t="n">
        <v>3780</v>
      </c>
    </row>
    <row r="428">
      <c r="A428" s="1" t="inlineStr">
        <is>
          <t>17872087535244</t>
        </is>
      </c>
      <c r="B428" s="1" t="inlineStr">
        <is>
          <t>BOLSO LW ANAGRAM</t>
        </is>
      </c>
      <c r="C428" s="1" t="inlineStr">
        <is>
          <t>50cm x 26cm x 15cm</t>
        </is>
      </c>
      <c r="D428" s="1" t="inlineStr">
        <is>
          <t>15/05/2026</t>
        </is>
      </c>
      <c r="E428" s="1" t="n">
        <v>2026</v>
      </c>
      <c r="F428" s="1" t="inlineStr">
        <is>
          <t>MAYO</t>
        </is>
      </c>
      <c r="G428" s="1" t="inlineStr">
        <is>
          <t>ZOEY</t>
        </is>
      </c>
      <c r="H428" s="1" t="inlineStr">
        <is>
          <t>ZOEY 15/05/2026</t>
        </is>
      </c>
      <c r="I428" s="4" t="n">
        <v>6</v>
      </c>
      <c r="J428" s="6" t="n">
        <v>35</v>
      </c>
      <c r="K428" s="6" t="n">
        <v>927.6618571</v>
      </c>
      <c r="L428" s="6">
        <f>I428*K428</f>
        <v/>
      </c>
      <c r="M428" s="6">
        <f>K428*4</f>
        <v/>
      </c>
      <c r="N428" s="6" t="n">
        <v>3780</v>
      </c>
    </row>
    <row r="429">
      <c r="A429" s="1" t="inlineStr">
        <is>
          <t>17964141062349</t>
        </is>
      </c>
      <c r="B429" s="1" t="inlineStr">
        <is>
          <t>BRAZALETE LV TAILOR SOO</t>
        </is>
      </c>
      <c r="C429" s="1" t="inlineStr">
        <is>
          <t>Default Title</t>
        </is>
      </c>
      <c r="D429" s="1" t="inlineStr">
        <is>
          <t>06/05/2026</t>
        </is>
      </c>
      <c r="E429" s="1" t="n">
        <v>2026</v>
      </c>
      <c r="F429" s="1" t="inlineStr">
        <is>
          <t>MAYO</t>
        </is>
      </c>
      <c r="G429" s="1" t="inlineStr">
        <is>
          <t>HAIFENG</t>
        </is>
      </c>
      <c r="H429" s="1" t="inlineStr">
        <is>
          <t>HAIFENG 06/05/2026</t>
        </is>
      </c>
      <c r="I429" s="4" t="n">
        <v>2</v>
      </c>
      <c r="J429" s="6" t="n">
        <v>8</v>
      </c>
      <c r="K429" s="6" t="n">
        <v>169.7491381</v>
      </c>
      <c r="L429" s="6">
        <f>I429*K429</f>
        <v/>
      </c>
      <c r="M429" s="6">
        <f>K429*4</f>
        <v/>
      </c>
      <c r="N429" s="6" t="n">
        <v>0</v>
      </c>
    </row>
    <row r="430">
      <c r="A430" s="1" t="inlineStr">
        <is>
          <t>17964141190029</t>
        </is>
      </c>
      <c r="B430" s="1" t="inlineStr">
        <is>
          <t>ANILLO LV TAILOR SOO</t>
        </is>
      </c>
      <c r="C430" s="1" t="inlineStr">
        <is>
          <t>AJUSTABLE</t>
        </is>
      </c>
      <c r="D430" s="1" t="inlineStr">
        <is>
          <t>06/05/2026</t>
        </is>
      </c>
      <c r="E430" s="1" t="n">
        <v>2026</v>
      </c>
      <c r="F430" s="1" t="inlineStr">
        <is>
          <t>MAYO</t>
        </is>
      </c>
      <c r="G430" s="1" t="inlineStr">
        <is>
          <t>HAIFENG</t>
        </is>
      </c>
      <c r="H430" s="1" t="inlineStr">
        <is>
          <t>HAIFENG 06/05/2026</t>
        </is>
      </c>
      <c r="I430" s="4" t="n">
        <v>2</v>
      </c>
      <c r="J430" s="6" t="n">
        <v>6</v>
      </c>
      <c r="K430" s="6" t="n">
        <v>127.3118536</v>
      </c>
      <c r="L430" s="6">
        <f>I430*K430</f>
        <v/>
      </c>
      <c r="M430" s="6">
        <f>K430*4</f>
        <v/>
      </c>
      <c r="N430" s="6" t="n">
        <v>750</v>
      </c>
    </row>
    <row r="431">
      <c r="A431" s="1" t="inlineStr">
        <is>
          <t>17964141219949</t>
        </is>
      </c>
      <c r="B431" s="1" t="inlineStr">
        <is>
          <t>PULSERA LV MONOGRAM BOLD SOO</t>
        </is>
      </c>
      <c r="C431" s="1" t="inlineStr">
        <is>
          <t>Default Title</t>
        </is>
      </c>
      <c r="D431" s="1" t="inlineStr">
        <is>
          <t>06/05/2026</t>
        </is>
      </c>
      <c r="E431" s="1" t="n">
        <v>2026</v>
      </c>
      <c r="F431" s="1" t="inlineStr">
        <is>
          <t>MAYO</t>
        </is>
      </c>
      <c r="G431" s="1" t="inlineStr">
        <is>
          <t>HAIFENG</t>
        </is>
      </c>
      <c r="H431" s="1" t="inlineStr">
        <is>
          <t>HAIFENG 06/05/2026</t>
        </is>
      </c>
      <c r="I431" s="4" t="n">
        <v>2</v>
      </c>
      <c r="J431" s="6" t="n">
        <v>8.99</v>
      </c>
      <c r="K431" s="6" t="n">
        <v>190.755594</v>
      </c>
      <c r="L431" s="6">
        <f>I431*K431</f>
        <v/>
      </c>
      <c r="M431" s="6">
        <f>K431*4</f>
        <v/>
      </c>
      <c r="N431" s="6" t="n">
        <v>750</v>
      </c>
    </row>
    <row r="432">
      <c r="A432" s="1" t="inlineStr">
        <is>
          <t>17964141313165</t>
        </is>
      </c>
      <c r="B432" s="1" t="inlineStr">
        <is>
          <t>PULSERA LV DAMIER STAPLES SOO</t>
        </is>
      </c>
      <c r="C432" s="1" t="inlineStr">
        <is>
          <t>Default Title</t>
        </is>
      </c>
      <c r="D432" s="1" t="inlineStr">
        <is>
          <t>06/05/2026</t>
        </is>
      </c>
      <c r="E432" s="1" t="n">
        <v>2026</v>
      </c>
      <c r="F432" s="1" t="inlineStr">
        <is>
          <t>MAYO</t>
        </is>
      </c>
      <c r="G432" s="1" t="inlineStr">
        <is>
          <t>HAIFENG</t>
        </is>
      </c>
      <c r="H432" s="1" t="inlineStr">
        <is>
          <t>HAIFENG 06/05/2026</t>
        </is>
      </c>
      <c r="I432" s="4" t="n">
        <v>2</v>
      </c>
      <c r="J432" s="6" t="n">
        <v>9</v>
      </c>
      <c r="K432" s="6" t="n">
        <v>190.9677804</v>
      </c>
      <c r="L432" s="6">
        <f>I432*K432</f>
        <v/>
      </c>
      <c r="M432" s="6">
        <f>K432*4</f>
        <v/>
      </c>
      <c r="N432" s="6" t="n">
        <v>750</v>
      </c>
    </row>
    <row r="433">
      <c r="A433" s="1" t="inlineStr">
        <is>
          <t>17964141440845</t>
        </is>
      </c>
      <c r="B433" s="1" t="inlineStr">
        <is>
          <t>ANILLO LV MOSAIC SOO</t>
        </is>
      </c>
      <c r="C433" s="1" t="inlineStr">
        <is>
          <t>8</t>
        </is>
      </c>
      <c r="D433" s="1" t="inlineStr">
        <is>
          <t>06/05/2026</t>
        </is>
      </c>
      <c r="E433" s="1" t="n">
        <v>2026</v>
      </c>
      <c r="F433" s="1" t="inlineStr">
        <is>
          <t>MAYO</t>
        </is>
      </c>
      <c r="G433" s="1" t="inlineStr">
        <is>
          <t>HAIFENG</t>
        </is>
      </c>
      <c r="H433" s="1" t="inlineStr">
        <is>
          <t>HAIFENG 06/05/2026</t>
        </is>
      </c>
      <c r="I433" s="4" t="n">
        <v>2</v>
      </c>
      <c r="J433" s="6" t="n">
        <v>6</v>
      </c>
      <c r="K433" s="6" t="n">
        <v>127.3118536</v>
      </c>
      <c r="L433" s="6">
        <f>I433*K433</f>
        <v/>
      </c>
      <c r="M433" s="6">
        <f>K433*4</f>
        <v/>
      </c>
      <c r="N433" s="6" t="n">
        <v>499</v>
      </c>
    </row>
    <row r="434">
      <c r="A434" s="1" t="inlineStr">
        <is>
          <t>17964141539149</t>
        </is>
      </c>
      <c r="B434" s="1" t="inlineStr">
        <is>
          <t>LENTES LV WAIMEA</t>
        </is>
      </c>
      <c r="C434" s="1" t="inlineStr">
        <is>
          <t>Default Title</t>
        </is>
      </c>
      <c r="D434" s="1" t="inlineStr">
        <is>
          <t>06/05/2026</t>
        </is>
      </c>
      <c r="E434" s="1" t="n">
        <v>2026</v>
      </c>
      <c r="F434" s="1" t="inlineStr">
        <is>
          <t>MAYO</t>
        </is>
      </c>
      <c r="G434" s="1" t="inlineStr">
        <is>
          <t>HAIFENG</t>
        </is>
      </c>
      <c r="H434" s="1" t="inlineStr">
        <is>
          <t>HAIFENG 06/05/2026</t>
        </is>
      </c>
      <c r="I434" s="4" t="n">
        <v>2</v>
      </c>
      <c r="J434" s="6" t="n">
        <v>28</v>
      </c>
      <c r="K434" s="6" t="n">
        <v>594.1219835000001</v>
      </c>
      <c r="L434" s="6">
        <f>I434*K434</f>
        <v/>
      </c>
      <c r="M434" s="6">
        <f>K434*4</f>
        <v/>
      </c>
      <c r="N434" s="6" t="n">
        <v>2350</v>
      </c>
    </row>
    <row r="435">
      <c r="A435" s="1" t="inlineStr">
        <is>
          <t>17964141660045</t>
        </is>
      </c>
      <c r="B435" s="1" t="inlineStr">
        <is>
          <t>ANILLO F FF</t>
        </is>
      </c>
      <c r="C435" s="1" t="inlineStr">
        <is>
          <t>8</t>
        </is>
      </c>
      <c r="D435" s="1" t="inlineStr">
        <is>
          <t>06/05/2026</t>
        </is>
      </c>
      <c r="E435" s="1" t="n">
        <v>2026</v>
      </c>
      <c r="F435" s="1" t="inlineStr">
        <is>
          <t>MAYO</t>
        </is>
      </c>
      <c r="G435" s="1" t="inlineStr">
        <is>
          <t>HAIFENG</t>
        </is>
      </c>
      <c r="H435" s="1" t="inlineStr">
        <is>
          <t>HAIFENG 06/05/2026</t>
        </is>
      </c>
      <c r="I435" s="4" t="n">
        <v>2</v>
      </c>
      <c r="J435" s="6" t="n">
        <v>6</v>
      </c>
      <c r="K435" s="6" t="n">
        <v>127.3118536</v>
      </c>
      <c r="L435" s="6">
        <f>I435*K435</f>
        <v/>
      </c>
      <c r="M435" s="6">
        <f>K435*4</f>
        <v/>
      </c>
      <c r="N435" s="6" t="n">
        <v>499</v>
      </c>
    </row>
    <row r="436">
      <c r="A436" s="1" t="inlineStr">
        <is>
          <t>17964141754957</t>
        </is>
      </c>
      <c r="B436" s="1" t="inlineStr">
        <is>
          <t>LENTES CD OBLIQUE S1</t>
        </is>
      </c>
      <c r="C436" s="1" t="inlineStr">
        <is>
          <t>Default Title</t>
        </is>
      </c>
      <c r="D436" s="1" t="inlineStr">
        <is>
          <t>06/05/2026</t>
        </is>
      </c>
      <c r="E436" s="1" t="n">
        <v>2026</v>
      </c>
      <c r="F436" s="1" t="inlineStr">
        <is>
          <t>MAYO</t>
        </is>
      </c>
      <c r="G436" s="1" t="inlineStr">
        <is>
          <t>HAIFENG</t>
        </is>
      </c>
      <c r="H436" s="1" t="inlineStr">
        <is>
          <t>HAIFENG 06/05/2026</t>
        </is>
      </c>
      <c r="I436" s="4" t="n">
        <v>2</v>
      </c>
      <c r="J436" s="6" t="n">
        <v>35</v>
      </c>
      <c r="K436" s="6" t="n">
        <v>742.6524793</v>
      </c>
      <c r="L436" s="6">
        <f>I436*K436</f>
        <v/>
      </c>
      <c r="M436" s="6">
        <f>K436*4</f>
        <v/>
      </c>
      <c r="N436" s="6" t="n">
        <v>2899</v>
      </c>
    </row>
    <row r="437">
      <c r="A437" s="1" t="inlineStr">
        <is>
          <t>17964141887725</t>
        </is>
      </c>
      <c r="B437" s="1" t="inlineStr">
        <is>
          <t>LENTES CD LINK A1U</t>
        </is>
      </c>
      <c r="C437" s="1" t="inlineStr">
        <is>
          <t>Default Title</t>
        </is>
      </c>
      <c r="D437" s="1" t="inlineStr">
        <is>
          <t>06/05/2026</t>
        </is>
      </c>
      <c r="E437" s="1" t="n">
        <v>2026</v>
      </c>
      <c r="F437" s="1" t="inlineStr">
        <is>
          <t>MAYO</t>
        </is>
      </c>
      <c r="G437" s="1" t="inlineStr">
        <is>
          <t>HAIFENG</t>
        </is>
      </c>
      <c r="H437" s="1" t="inlineStr">
        <is>
          <t>HAIFENG 06/05/2026</t>
        </is>
      </c>
      <c r="I437" s="4" t="n">
        <v>2</v>
      </c>
      <c r="J437" s="6" t="n">
        <v>35</v>
      </c>
      <c r="K437" s="6" t="n">
        <v>742.6524793</v>
      </c>
      <c r="L437" s="6">
        <f>I437*K437</f>
        <v/>
      </c>
      <c r="M437" s="6">
        <f>K437*4</f>
        <v/>
      </c>
      <c r="N437" s="6" t="n">
        <v>2899</v>
      </c>
    </row>
    <row r="438">
      <c r="A438" s="1" t="inlineStr">
        <is>
          <t>17964141953261</t>
        </is>
      </c>
      <c r="B438" s="1" t="inlineStr">
        <is>
          <t>PULSERA PR SYMBOLE</t>
        </is>
      </c>
      <c r="C438" s="1" t="inlineStr">
        <is>
          <t>18CM</t>
        </is>
      </c>
      <c r="D438" s="1" t="inlineStr">
        <is>
          <t>06/05/2026</t>
        </is>
      </c>
      <c r="E438" s="1" t="n">
        <v>2026</v>
      </c>
      <c r="F438" s="1" t="inlineStr">
        <is>
          <t>MAYO</t>
        </is>
      </c>
      <c r="G438" s="1" t="inlineStr">
        <is>
          <t>HAIFENG</t>
        </is>
      </c>
      <c r="H438" s="1" t="inlineStr">
        <is>
          <t>HAIFENG 06/05/2026</t>
        </is>
      </c>
      <c r="I438" s="4" t="n">
        <v>2</v>
      </c>
      <c r="J438" s="6" t="n">
        <v>8.99</v>
      </c>
      <c r="K438" s="6" t="n">
        <v>190.755594</v>
      </c>
      <c r="L438" s="6">
        <f>I438*K438</f>
        <v/>
      </c>
      <c r="M438" s="6">
        <f>K438*4</f>
        <v/>
      </c>
      <c r="N438" s="6" t="n">
        <v>750</v>
      </c>
    </row>
    <row r="439">
      <c r="A439" s="1" t="inlineStr">
        <is>
          <t>17964142049869</t>
        </is>
      </c>
      <c r="B439" s="1" t="inlineStr">
        <is>
          <t>PULSERA BV GOLD BLACK-WHITE</t>
        </is>
      </c>
      <c r="C439" s="1" t="inlineStr">
        <is>
          <t>16CM</t>
        </is>
      </c>
      <c r="D439" s="1" t="inlineStr">
        <is>
          <t>06/05/2026</t>
        </is>
      </c>
      <c r="E439" s="1" t="n">
        <v>2026</v>
      </c>
      <c r="F439" s="1" t="inlineStr">
        <is>
          <t>MAYO</t>
        </is>
      </c>
      <c r="G439" s="1" t="inlineStr">
        <is>
          <t>HAIFENG</t>
        </is>
      </c>
      <c r="H439" s="1" t="inlineStr">
        <is>
          <t>HAIFENG 06/05/2026</t>
        </is>
      </c>
      <c r="I439" s="4" t="n">
        <v>2</v>
      </c>
      <c r="J439" s="6" t="n">
        <v>7.5</v>
      </c>
      <c r="K439" s="6" t="n">
        <v>159.139817</v>
      </c>
      <c r="L439" s="6">
        <f>I439*K439</f>
        <v/>
      </c>
      <c r="M439" s="6">
        <f>K439*4</f>
        <v/>
      </c>
      <c r="N439" s="6" t="n">
        <v>650</v>
      </c>
    </row>
    <row r="440">
      <c r="A440" s="1" t="inlineStr">
        <is>
          <t>17964142179245</t>
        </is>
      </c>
      <c r="B440" s="1" t="inlineStr">
        <is>
          <t>ANILLO BV ANISH KAPOOR</t>
        </is>
      </c>
      <c r="C440" s="1" t="inlineStr">
        <is>
          <t>7</t>
        </is>
      </c>
      <c r="D440" s="1" t="inlineStr">
        <is>
          <t>06/05/2026</t>
        </is>
      </c>
      <c r="E440" s="1" t="n">
        <v>2026</v>
      </c>
      <c r="F440" s="1" t="inlineStr">
        <is>
          <t>MAYO</t>
        </is>
      </c>
      <c r="G440" s="1" t="inlineStr">
        <is>
          <t>HAIFENG</t>
        </is>
      </c>
      <c r="H440" s="1" t="inlineStr">
        <is>
          <t>HAIFENG 06/05/2026</t>
        </is>
      </c>
      <c r="I440" s="4" t="n">
        <v>2</v>
      </c>
      <c r="J440" s="6" t="n">
        <v>8</v>
      </c>
      <c r="K440" s="6" t="n">
        <v>169.7491381</v>
      </c>
      <c r="L440" s="6">
        <f>I440*K440</f>
        <v/>
      </c>
      <c r="M440" s="6">
        <f>K440*4</f>
        <v/>
      </c>
      <c r="N440" s="6" t="n">
        <v>699</v>
      </c>
    </row>
    <row r="441">
      <c r="A441" s="1" t="inlineStr">
        <is>
          <t>17964142243085</t>
        </is>
      </c>
      <c r="B441" s="1" t="inlineStr">
        <is>
          <t>ANILLO BV SORTIJA SILVER</t>
        </is>
      </c>
      <c r="C441" s="1" t="inlineStr">
        <is>
          <t>7</t>
        </is>
      </c>
      <c r="D441" s="1" t="inlineStr">
        <is>
          <t>06/05/2026</t>
        </is>
      </c>
      <c r="E441" s="1" t="n">
        <v>2026</v>
      </c>
      <c r="F441" s="1" t="inlineStr">
        <is>
          <t>MAYO</t>
        </is>
      </c>
      <c r="G441" s="1" t="inlineStr">
        <is>
          <t>HAIFENG</t>
        </is>
      </c>
      <c r="H441" s="1" t="inlineStr">
        <is>
          <t>HAIFENG 06/05/2026</t>
        </is>
      </c>
      <c r="I441" s="4" t="n">
        <v>2</v>
      </c>
      <c r="J441" s="6" t="n">
        <v>7</v>
      </c>
      <c r="K441" s="6" t="n">
        <v>148.5304959</v>
      </c>
      <c r="L441" s="6">
        <f>I441*K441</f>
        <v/>
      </c>
      <c r="M441" s="6">
        <f>K441*4</f>
        <v/>
      </c>
      <c r="N441" s="6" t="n">
        <v>599</v>
      </c>
    </row>
    <row r="442">
      <c r="A442" s="1" t="inlineStr">
        <is>
          <t>17964142322733</t>
        </is>
      </c>
      <c r="B442" s="1" t="inlineStr">
        <is>
          <t>COLLAR LV SPIKE SILVER</t>
        </is>
      </c>
      <c r="C442" s="1" t="inlineStr">
        <is>
          <t>Default Title</t>
        </is>
      </c>
      <c r="D442" s="1" t="inlineStr">
        <is>
          <t>06/05/2026</t>
        </is>
      </c>
      <c r="E442" s="1" t="n">
        <v>2026</v>
      </c>
      <c r="F442" s="1" t="inlineStr">
        <is>
          <t>MAYO</t>
        </is>
      </c>
      <c r="G442" s="1" t="inlineStr">
        <is>
          <t>HAIFENG</t>
        </is>
      </c>
      <c r="H442" s="1" t="inlineStr">
        <is>
          <t>HAIFENG 06/05/2026</t>
        </is>
      </c>
      <c r="I442" s="4" t="n">
        <v>2</v>
      </c>
      <c r="J442" s="6" t="n">
        <v>12</v>
      </c>
      <c r="K442" s="6" t="n">
        <v>254.6237072</v>
      </c>
      <c r="L442" s="6">
        <f>I442*K442</f>
        <v/>
      </c>
      <c r="M442" s="6">
        <f>K442*4</f>
        <v/>
      </c>
      <c r="N442" s="6" t="n">
        <v>999</v>
      </c>
    </row>
    <row r="443">
      <c r="A443" s="1" t="inlineStr">
        <is>
          <t>17964142322733</t>
        </is>
      </c>
      <c r="B443" s="1" t="inlineStr">
        <is>
          <t>COLLAR LV SPIKE SILVER</t>
        </is>
      </c>
      <c r="C443" s="1" t="inlineStr">
        <is>
          <t>Default Title</t>
        </is>
      </c>
      <c r="D443" s="1" t="inlineStr">
        <is>
          <t>26/05/2026</t>
        </is>
      </c>
      <c r="E443" s="1" t="n">
        <v>2026</v>
      </c>
      <c r="F443" s="1" t="inlineStr">
        <is>
          <t>MAYO</t>
        </is>
      </c>
      <c r="G443" s="1" t="inlineStr">
        <is>
          <t>HAIFENG</t>
        </is>
      </c>
      <c r="H443" s="1" t="inlineStr">
        <is>
          <t>HAIFENG 26/05/2026</t>
        </is>
      </c>
      <c r="I443" s="4" t="n">
        <v>2</v>
      </c>
      <c r="J443" s="6" t="n">
        <v>12</v>
      </c>
      <c r="K443" s="6" t="n">
        <v>251.8715435</v>
      </c>
      <c r="L443" s="6">
        <f>I443*K443</f>
        <v/>
      </c>
      <c r="M443" s="6">
        <f>K443*4</f>
        <v/>
      </c>
      <c r="N443" s="6" t="n">
        <v>999</v>
      </c>
    </row>
    <row r="444">
      <c r="A444" s="1" t="inlineStr">
        <is>
          <t>17964142453805</t>
        </is>
      </c>
      <c r="B444" s="1" t="inlineStr">
        <is>
          <t>COLLAR LV BLOSSOM BB STAR SILVER</t>
        </is>
      </c>
      <c r="C444" s="1" t="inlineStr">
        <is>
          <t>Default Title</t>
        </is>
      </c>
      <c r="D444" s="1" t="inlineStr">
        <is>
          <t>06/05/2026</t>
        </is>
      </c>
      <c r="E444" s="1" t="n">
        <v>2026</v>
      </c>
      <c r="F444" s="1" t="inlineStr">
        <is>
          <t>MAYO</t>
        </is>
      </c>
      <c r="G444" s="1" t="inlineStr">
        <is>
          <t>HAIFENG</t>
        </is>
      </c>
      <c r="H444" s="1" t="inlineStr">
        <is>
          <t>HAIFENG 06/05/2026</t>
        </is>
      </c>
      <c r="I444" s="4" t="n">
        <v>2</v>
      </c>
      <c r="J444" s="6" t="n">
        <v>5.99</v>
      </c>
      <c r="K444" s="6" t="n">
        <v>127.0996672</v>
      </c>
      <c r="L444" s="6">
        <f>I444*K444</f>
        <v/>
      </c>
      <c r="M444" s="6">
        <f>K444*4</f>
        <v/>
      </c>
      <c r="N444" s="6" t="n">
        <v>499</v>
      </c>
    </row>
    <row r="445">
      <c r="A445" s="1" t="inlineStr">
        <is>
          <t>17964142517645</t>
        </is>
      </c>
      <c r="B445" s="1" t="inlineStr">
        <is>
          <t>COLLAR LV BLOSSOM BB STAR GOLD</t>
        </is>
      </c>
      <c r="C445" s="1" t="inlineStr">
        <is>
          <t>Default Title</t>
        </is>
      </c>
      <c r="D445" s="1" t="inlineStr">
        <is>
          <t>06/05/2026</t>
        </is>
      </c>
      <c r="E445" s="1" t="n">
        <v>2026</v>
      </c>
      <c r="F445" s="1" t="inlineStr">
        <is>
          <t>MAYO</t>
        </is>
      </c>
      <c r="G445" s="1" t="inlineStr">
        <is>
          <t>HAIFENG</t>
        </is>
      </c>
      <c r="H445" s="1" t="inlineStr">
        <is>
          <t>HAIFENG 06/05/2026</t>
        </is>
      </c>
      <c r="I445" s="4" t="n">
        <v>2</v>
      </c>
      <c r="J445" s="6" t="n">
        <v>5.99</v>
      </c>
      <c r="K445" s="6" t="n">
        <v>127.0996672</v>
      </c>
      <c r="L445" s="6">
        <f>I445*K445</f>
        <v/>
      </c>
      <c r="M445" s="6">
        <f>K445*4</f>
        <v/>
      </c>
      <c r="N445" s="6" t="n">
        <v>0</v>
      </c>
    </row>
    <row r="446">
      <c r="A446" s="1" t="inlineStr">
        <is>
          <t>17964142645325</t>
        </is>
      </c>
      <c r="B446" s="1" t="inlineStr">
        <is>
          <t>PULSERA LV MONOGRAM CHAIN SOO</t>
        </is>
      </c>
      <c r="C446" s="1" t="inlineStr">
        <is>
          <t>18CM</t>
        </is>
      </c>
      <c r="D446" s="1" t="inlineStr">
        <is>
          <t>06/05/2026</t>
        </is>
      </c>
      <c r="E446" s="1" t="n">
        <v>2026</v>
      </c>
      <c r="F446" s="1" t="inlineStr">
        <is>
          <t>MAYO</t>
        </is>
      </c>
      <c r="G446" s="1" t="inlineStr">
        <is>
          <t>HAIFENG</t>
        </is>
      </c>
      <c r="H446" s="1" t="inlineStr">
        <is>
          <t>HAIFENG 06/05/2026</t>
        </is>
      </c>
      <c r="I446" s="4" t="n">
        <v>2</v>
      </c>
      <c r="J446" s="6" t="n">
        <v>18</v>
      </c>
      <c r="K446" s="6" t="n">
        <v>381.9355608</v>
      </c>
      <c r="L446" s="6">
        <f>I446*K446</f>
        <v/>
      </c>
      <c r="M446" s="6">
        <f>K446*4</f>
        <v/>
      </c>
      <c r="N446" s="6" t="n">
        <v>1499</v>
      </c>
    </row>
    <row r="447">
      <c r="A447" s="1" t="inlineStr">
        <is>
          <t>17964142645325</t>
        </is>
      </c>
      <c r="B447" s="1" t="inlineStr">
        <is>
          <t>PULSERA LV MONOGRAM CHAIN SOO</t>
        </is>
      </c>
      <c r="C447" s="1" t="inlineStr">
        <is>
          <t>18CM</t>
        </is>
      </c>
      <c r="D447" s="1" t="inlineStr">
        <is>
          <t>26/05/2026</t>
        </is>
      </c>
      <c r="E447" s="1" t="n">
        <v>2026</v>
      </c>
      <c r="F447" s="1" t="inlineStr">
        <is>
          <t>MAYO</t>
        </is>
      </c>
      <c r="G447" s="1" t="inlineStr">
        <is>
          <t>HAIFENG</t>
        </is>
      </c>
      <c r="H447" s="1" t="inlineStr">
        <is>
          <t>HAIFENG 26/05/2026</t>
        </is>
      </c>
      <c r="I447" s="4" t="n">
        <v>2</v>
      </c>
      <c r="J447" s="6" t="n">
        <v>18</v>
      </c>
      <c r="K447" s="6" t="n">
        <v>377.8073153</v>
      </c>
      <c r="L447" s="6">
        <f>I447*K447</f>
        <v/>
      </c>
      <c r="M447" s="6">
        <f>K447*4</f>
        <v/>
      </c>
      <c r="N447" s="6" t="n">
        <v>1499</v>
      </c>
    </row>
    <row r="448">
      <c r="A448" s="1" t="inlineStr">
        <is>
          <t>17964142743629</t>
        </is>
      </c>
      <c r="B448" s="1" t="inlineStr">
        <is>
          <t>PULSERA LV DAMIER MONOGRAM</t>
        </is>
      </c>
      <c r="C448" s="1" t="inlineStr">
        <is>
          <t>18CM</t>
        </is>
      </c>
      <c r="D448" s="1" t="inlineStr">
        <is>
          <t>06/05/2026</t>
        </is>
      </c>
      <c r="E448" s="1" t="n">
        <v>2026</v>
      </c>
      <c r="F448" s="1" t="inlineStr">
        <is>
          <t>MAYO</t>
        </is>
      </c>
      <c r="G448" s="1" t="inlineStr">
        <is>
          <t>HAIFENG</t>
        </is>
      </c>
      <c r="H448" s="1" t="inlineStr">
        <is>
          <t>HAIFENG 06/05/2026</t>
        </is>
      </c>
      <c r="I448" s="4" t="n">
        <v>2</v>
      </c>
      <c r="J448" s="6" t="n">
        <v>15</v>
      </c>
      <c r="K448" s="6" t="n">
        <v>318.279634</v>
      </c>
      <c r="L448" s="6">
        <f>I448*K448</f>
        <v/>
      </c>
      <c r="M448" s="6">
        <f>K448*4</f>
        <v/>
      </c>
      <c r="N448" s="6" t="n">
        <v>1250</v>
      </c>
    </row>
    <row r="449">
      <c r="A449" s="1" t="inlineStr">
        <is>
          <t>17964142743629</t>
        </is>
      </c>
      <c r="B449" s="1" t="inlineStr">
        <is>
          <t>PULSERA LV DAMIER MONOGRAM</t>
        </is>
      </c>
      <c r="C449" s="1" t="inlineStr">
        <is>
          <t>18CM</t>
        </is>
      </c>
      <c r="D449" s="1" t="inlineStr">
        <is>
          <t>26/05/2026</t>
        </is>
      </c>
      <c r="E449" s="1" t="n">
        <v>2026</v>
      </c>
      <c r="F449" s="1" t="inlineStr">
        <is>
          <t>MAYO</t>
        </is>
      </c>
      <c r="G449" s="1" t="inlineStr">
        <is>
          <t>HAIFENG</t>
        </is>
      </c>
      <c r="H449" s="1" t="inlineStr">
        <is>
          <t>HAIFENG 26/05/2026</t>
        </is>
      </c>
      <c r="I449" s="4" t="n">
        <v>2</v>
      </c>
      <c r="J449" s="6" t="n">
        <v>15</v>
      </c>
      <c r="K449" s="6" t="n">
        <v>314.8394294</v>
      </c>
      <c r="L449" s="6">
        <f>I449*K449</f>
        <v/>
      </c>
      <c r="M449" s="6">
        <f>K449*4</f>
        <v/>
      </c>
      <c r="N449" s="6" t="n">
        <v>1250</v>
      </c>
    </row>
    <row r="450">
      <c r="A450" s="1" t="inlineStr">
        <is>
          <t>17964142823277</t>
        </is>
      </c>
      <c r="B450" s="1" t="inlineStr">
        <is>
          <t>GORRA C BEIS BABY BLUE</t>
        </is>
      </c>
      <c r="C450" s="1" t="inlineStr">
        <is>
          <t>Default Title</t>
        </is>
      </c>
      <c r="D450" s="1" t="inlineStr">
        <is>
          <t>06/05/2026</t>
        </is>
      </c>
      <c r="E450" s="1" t="n">
        <v>2026</v>
      </c>
      <c r="F450" s="1" t="inlineStr">
        <is>
          <t>MAYO</t>
        </is>
      </c>
      <c r="G450" s="1" t="inlineStr">
        <is>
          <t>HAIFENG</t>
        </is>
      </c>
      <c r="H450" s="1" t="inlineStr">
        <is>
          <t>HAIFENG 06/05/2026</t>
        </is>
      </c>
      <c r="I450" s="4" t="n">
        <v>2</v>
      </c>
      <c r="J450" s="6" t="n">
        <v>24</v>
      </c>
      <c r="K450" s="6" t="n">
        <v>509.2474144</v>
      </c>
      <c r="L450" s="6">
        <f>I450*K450</f>
        <v/>
      </c>
      <c r="M450" s="6">
        <f>K450*4</f>
        <v/>
      </c>
      <c r="N450" s="6" t="n">
        <v>1999</v>
      </c>
    </row>
    <row r="451">
      <c r="A451" s="1" t="inlineStr">
        <is>
          <t>17964142921581</t>
        </is>
      </c>
      <c r="B451" s="1" t="inlineStr">
        <is>
          <t>GORRA MM DRILL BLUE</t>
        </is>
      </c>
      <c r="C451" s="1" t="inlineStr">
        <is>
          <t>Default Title</t>
        </is>
      </c>
      <c r="D451" s="1" t="inlineStr">
        <is>
          <t>06/05/2026</t>
        </is>
      </c>
      <c r="E451" s="1" t="n">
        <v>2026</v>
      </c>
      <c r="F451" s="1" t="inlineStr">
        <is>
          <t>MAYO</t>
        </is>
      </c>
      <c r="G451" s="1" t="inlineStr">
        <is>
          <t>HAIFENG</t>
        </is>
      </c>
      <c r="H451" s="1" t="inlineStr">
        <is>
          <t>HAIFENG 06/05/2026</t>
        </is>
      </c>
      <c r="I451" s="4" t="n">
        <v>2</v>
      </c>
      <c r="J451" s="6" t="n">
        <v>24</v>
      </c>
      <c r="K451" s="6" t="n">
        <v>509.2474144</v>
      </c>
      <c r="L451" s="6">
        <f>I451*K451</f>
        <v/>
      </c>
      <c r="M451" s="6">
        <f>K451*4</f>
        <v/>
      </c>
      <c r="N451" s="6" t="n">
        <v>1999</v>
      </c>
    </row>
    <row r="452">
      <c r="A452" s="1" t="inlineStr">
        <is>
          <t>17964143087117</t>
        </is>
      </c>
      <c r="B452" s="1" t="inlineStr">
        <is>
          <t>GORRA MM DRILL PINK</t>
        </is>
      </c>
      <c r="C452" s="1" t="inlineStr">
        <is>
          <t>Default Title</t>
        </is>
      </c>
      <c r="D452" s="1" t="inlineStr">
        <is>
          <t>06/05/2026</t>
        </is>
      </c>
      <c r="E452" s="1" t="n">
        <v>2026</v>
      </c>
      <c r="F452" s="1" t="inlineStr">
        <is>
          <t>MAYO</t>
        </is>
      </c>
      <c r="G452" s="1" t="inlineStr">
        <is>
          <t>HAIFENG</t>
        </is>
      </c>
      <c r="H452" s="1" t="inlineStr">
        <is>
          <t>HAIFENG 06/05/2026</t>
        </is>
      </c>
      <c r="I452" s="4" t="n">
        <v>2</v>
      </c>
      <c r="J452" s="6" t="n">
        <v>24</v>
      </c>
      <c r="K452" s="6" t="n">
        <v>509.2474144</v>
      </c>
      <c r="L452" s="6">
        <f>I452*K452</f>
        <v/>
      </c>
      <c r="M452" s="6">
        <f>K452*4</f>
        <v/>
      </c>
      <c r="N452" s="6" t="n">
        <v>1999</v>
      </c>
    </row>
    <row r="453">
      <c r="A453" s="1" t="inlineStr">
        <is>
          <t>17964143087117</t>
        </is>
      </c>
      <c r="B453" s="1" t="inlineStr">
        <is>
          <t>GORRA MM DRILL PINK</t>
        </is>
      </c>
      <c r="C453" s="1" t="inlineStr">
        <is>
          <t>Default Title</t>
        </is>
      </c>
      <c r="D453" s="1" t="inlineStr">
        <is>
          <t>26/05/2026</t>
        </is>
      </c>
      <c r="E453" s="1" t="n">
        <v>2026</v>
      </c>
      <c r="F453" s="1" t="inlineStr">
        <is>
          <t>MAYO</t>
        </is>
      </c>
      <c r="G453" s="1" t="inlineStr">
        <is>
          <t>HAIFENG</t>
        </is>
      </c>
      <c r="H453" s="1" t="inlineStr">
        <is>
          <t>HAIFENG 26/05/2026</t>
        </is>
      </c>
      <c r="I453" s="4" t="n">
        <v>2</v>
      </c>
      <c r="J453" s="6" t="n">
        <v>24</v>
      </c>
      <c r="K453" s="6" t="n">
        <v>503.7430871</v>
      </c>
      <c r="L453" s="6">
        <f>I453*K453</f>
        <v/>
      </c>
      <c r="M453" s="6">
        <f>K453*4</f>
        <v/>
      </c>
      <c r="N453" s="6" t="n">
        <v>1999</v>
      </c>
    </row>
    <row r="454">
      <c r="A454" s="1" t="inlineStr">
        <is>
          <t>18652671095713</t>
        </is>
      </c>
      <c r="B454" s="1" t="inlineStr">
        <is>
          <t>PULSERA DE TELA TRES AROS GREY</t>
        </is>
      </c>
      <c r="C454" s="1" t="inlineStr">
        <is>
          <t>Default Title</t>
        </is>
      </c>
      <c r="D454" s="1" t="inlineStr">
        <is>
          <t>25/09/2025</t>
        </is>
      </c>
      <c r="E454" s="1" t="n">
        <v>2025</v>
      </c>
      <c r="F454" s="1" t="inlineStr">
        <is>
          <t>SEPTIEMBRE</t>
        </is>
      </c>
      <c r="G454" s="1" t="inlineStr">
        <is>
          <t>HAIFENG</t>
        </is>
      </c>
      <c r="H454" s="1" t="inlineStr">
        <is>
          <t>HAIFENG 25/09/2025</t>
        </is>
      </c>
      <c r="I454" s="4" t="n">
        <v>4</v>
      </c>
      <c r="J454" s="6" t="n">
        <v>4.7</v>
      </c>
      <c r="K454" s="6" t="n">
        <v>99.15536311</v>
      </c>
      <c r="L454" s="6">
        <f>I454*K454</f>
        <v/>
      </c>
      <c r="M454" s="6">
        <f>K454*4</f>
        <v/>
      </c>
      <c r="N454" s="6" t="n">
        <v>399</v>
      </c>
    </row>
    <row r="455">
      <c r="A455" s="1" t="inlineStr">
        <is>
          <t>18652671095713</t>
        </is>
      </c>
      <c r="B455" s="1" t="inlineStr">
        <is>
          <t>PULSERA DE TELA TRES AROS GREY</t>
        </is>
      </c>
      <c r="C455" s="1" t="inlineStr">
        <is>
          <t>Default Title</t>
        </is>
      </c>
      <c r="D455" s="1" t="inlineStr">
        <is>
          <t>03/12/2025</t>
        </is>
      </c>
      <c r="E455" s="1" t="n">
        <v>2025</v>
      </c>
      <c r="F455" s="1" t="inlineStr">
        <is>
          <t>DICIEMBRE</t>
        </is>
      </c>
      <c r="G455" s="1" t="inlineStr">
        <is>
          <t>HAIFENG</t>
        </is>
      </c>
      <c r="H455" s="1" t="inlineStr">
        <is>
          <t>HAIFENG 03/12/2025</t>
        </is>
      </c>
      <c r="I455" s="4" t="n">
        <v>3</v>
      </c>
      <c r="J455" s="6" t="n">
        <v>4.7</v>
      </c>
      <c r="K455" s="6" t="n">
        <v>98.31065205</v>
      </c>
      <c r="L455" s="6">
        <f>I455*K455</f>
        <v/>
      </c>
      <c r="M455" s="6">
        <f>K455*4</f>
        <v/>
      </c>
      <c r="N455" s="6" t="n">
        <v>399</v>
      </c>
    </row>
    <row r="456">
      <c r="A456" s="1" t="inlineStr">
        <is>
          <t>18652671095713</t>
        </is>
      </c>
      <c r="B456" s="1" t="inlineStr">
        <is>
          <t>PULSERA DE TELA TRES AROS GREY</t>
        </is>
      </c>
      <c r="C456" s="1" t="inlineStr">
        <is>
          <t>Default Title</t>
        </is>
      </c>
      <c r="D456" s="1" t="inlineStr">
        <is>
          <t>11/03/2026</t>
        </is>
      </c>
      <c r="E456" s="1" t="n">
        <v>2026</v>
      </c>
      <c r="F456" s="1" t="inlineStr">
        <is>
          <t>MARZO</t>
        </is>
      </c>
      <c r="G456" s="1" t="inlineStr">
        <is>
          <t>HAIFENG</t>
        </is>
      </c>
      <c r="H456" s="1" t="inlineStr">
        <is>
          <t>HAIFENG 11/03/2026</t>
        </is>
      </c>
      <c r="I456" s="4" t="n">
        <v>2</v>
      </c>
      <c r="J456" s="6" t="n">
        <v>4.7</v>
      </c>
      <c r="K456" s="6" t="n">
        <v>100.1283122</v>
      </c>
      <c r="L456" s="6">
        <f>I456*K456</f>
        <v/>
      </c>
      <c r="M456" s="6">
        <f>K456*4</f>
        <v/>
      </c>
      <c r="N456" s="6" t="n">
        <v>399</v>
      </c>
    </row>
    <row r="457">
      <c r="A457" s="1" t="inlineStr">
        <is>
          <t>18652671095713</t>
        </is>
      </c>
      <c r="B457" s="1" t="inlineStr">
        <is>
          <t>PULSERA DE TELA TRES AROS GREY</t>
        </is>
      </c>
      <c r="C457" s="1" t="inlineStr">
        <is>
          <t>Default Title</t>
        </is>
      </c>
      <c r="D457" s="1" t="inlineStr">
        <is>
          <t>06/05/2026</t>
        </is>
      </c>
      <c r="E457" s="1" t="n">
        <v>2026</v>
      </c>
      <c r="F457" s="1" t="inlineStr">
        <is>
          <t>MAYO</t>
        </is>
      </c>
      <c r="G457" s="1" t="inlineStr">
        <is>
          <t>HAIFENG</t>
        </is>
      </c>
      <c r="H457" s="1" t="inlineStr">
        <is>
          <t>HAIFENG 06/05/2026</t>
        </is>
      </c>
      <c r="I457" s="4" t="n">
        <v>3</v>
      </c>
      <c r="J457" s="6" t="n">
        <v>4.7</v>
      </c>
      <c r="K457" s="6" t="n">
        <v>99.72761865</v>
      </c>
      <c r="L457" s="6">
        <f>I457*K457</f>
        <v/>
      </c>
      <c r="M457" s="6">
        <f>K457*4</f>
        <v/>
      </c>
      <c r="N457" s="6" t="n">
        <v>399</v>
      </c>
    </row>
    <row r="458">
      <c r="A458" s="1" t="inlineStr">
        <is>
          <t>18936841085197</t>
        </is>
      </c>
      <c r="B458" s="1" t="inlineStr">
        <is>
          <t>GORRA A BLACK AND WHITE</t>
        </is>
      </c>
      <c r="C458" s="1" t="inlineStr">
        <is>
          <t>Default Title</t>
        </is>
      </c>
      <c r="D458" s="1" t="inlineStr">
        <is>
          <t>02/10/2025</t>
        </is>
      </c>
      <c r="E458" s="1" t="n">
        <v>2025</v>
      </c>
      <c r="F458" s="1" t="inlineStr">
        <is>
          <t>OCTUBRE</t>
        </is>
      </c>
      <c r="G458" s="1" t="inlineStr">
        <is>
          <t>ZOEY</t>
        </is>
      </c>
      <c r="H458" s="1" t="inlineStr">
        <is>
          <t>ZOEY 02/10/2025</t>
        </is>
      </c>
      <c r="I458" s="4" t="n">
        <v>4</v>
      </c>
      <c r="J458" s="6" t="n">
        <v>10</v>
      </c>
      <c r="K458" s="6" t="n">
        <v>236.23936</v>
      </c>
      <c r="L458" s="6">
        <f>I458*K458</f>
        <v/>
      </c>
      <c r="M458" s="6">
        <f>K458*4</f>
        <v/>
      </c>
      <c r="N458" s="6" t="n">
        <v>850</v>
      </c>
    </row>
    <row r="459">
      <c r="A459" s="1" t="inlineStr">
        <is>
          <t>18936841085197</t>
        </is>
      </c>
      <c r="B459" s="1" t="inlineStr">
        <is>
          <t>GORRA A BLACK AND WHITE</t>
        </is>
      </c>
      <c r="C459" s="1" t="inlineStr">
        <is>
          <t>Default Title</t>
        </is>
      </c>
      <c r="D459" s="1" t="inlineStr">
        <is>
          <t>20/04/2026</t>
        </is>
      </c>
      <c r="E459" s="1" t="n">
        <v>2026</v>
      </c>
      <c r="F459" s="1" t="inlineStr">
        <is>
          <t>ABRIL</t>
        </is>
      </c>
      <c r="G459" s="1" t="inlineStr">
        <is>
          <t>ZOEY</t>
        </is>
      </c>
      <c r="H459" s="1" t="inlineStr">
        <is>
          <t>ZOEY 20/04/2026</t>
        </is>
      </c>
      <c r="I459" s="4" t="n">
        <v>1</v>
      </c>
      <c r="J459" s="6" t="n">
        <v>10</v>
      </c>
      <c r="K459" s="6" t="n">
        <v>256.0877834</v>
      </c>
      <c r="L459" s="6">
        <f>I459*K459</f>
        <v/>
      </c>
      <c r="M459" s="6">
        <f>K459*4</f>
        <v/>
      </c>
      <c r="N459" s="6" t="n">
        <v>1069</v>
      </c>
    </row>
    <row r="460" ht="29" customHeight="1">
      <c r="A460" s="1" t="inlineStr">
        <is>
          <t>19693770314380</t>
        </is>
      </c>
      <c r="B460" s="9" t="inlineStr">
        <is>
          <t>BOLSO DE VIAJE BROWN LV
55cm</t>
        </is>
      </c>
      <c r="C460" s="1" t="inlineStr">
        <is>
          <t>HIGH QUALITY</t>
        </is>
      </c>
      <c r="D460" s="1" t="inlineStr">
        <is>
          <t>27/04/2026</t>
        </is>
      </c>
      <c r="E460" s="1" t="n">
        <v>2026</v>
      </c>
      <c r="F460" s="1" t="inlineStr">
        <is>
          <t>ABRIL</t>
        </is>
      </c>
      <c r="G460" s="1" t="inlineStr">
        <is>
          <t>DINA DU</t>
        </is>
      </c>
      <c r="H460" s="1" t="inlineStr">
        <is>
          <t>DINA DU 27/04/2026</t>
        </is>
      </c>
      <c r="I460" s="4" t="n">
        <v>2</v>
      </c>
      <c r="J460" s="6" t="n">
        <v>63</v>
      </c>
      <c r="K460" s="6" t="n">
        <v>1703.791703</v>
      </c>
      <c r="L460" s="6">
        <f>I460*K460</f>
        <v/>
      </c>
      <c r="M460" s="6">
        <f>K460*4</f>
        <v/>
      </c>
      <c r="N460" s="6" t="n">
        <v>5963.27096098561</v>
      </c>
    </row>
    <row r="461">
      <c r="A461" s="1" t="inlineStr">
        <is>
          <t>19874081084045</t>
        </is>
      </c>
      <c r="B461" s="1" t="inlineStr">
        <is>
          <t>GORRA A WHITE</t>
        </is>
      </c>
      <c r="C461" s="1" t="inlineStr">
        <is>
          <t>Default Title</t>
        </is>
      </c>
      <c r="D461" s="1" t="inlineStr">
        <is>
          <t>02/10/2025</t>
        </is>
      </c>
      <c r="E461" s="1" t="n">
        <v>2025</v>
      </c>
      <c r="F461" s="1" t="inlineStr">
        <is>
          <t>OCTUBRE</t>
        </is>
      </c>
      <c r="G461" s="1" t="inlineStr">
        <is>
          <t>ZOEY</t>
        </is>
      </c>
      <c r="H461" s="1" t="inlineStr">
        <is>
          <t>ZOEY 02/10/2025</t>
        </is>
      </c>
      <c r="I461" s="4" t="n">
        <v>2</v>
      </c>
      <c r="J461" s="6" t="n">
        <v>40</v>
      </c>
      <c r="K461" s="6" t="n">
        <v>944.95744</v>
      </c>
      <c r="L461" s="6">
        <f>I461*K461</f>
        <v/>
      </c>
      <c r="M461" s="6">
        <f>K461*4</f>
        <v/>
      </c>
      <c r="N461" s="6" t="n">
        <v>1069</v>
      </c>
    </row>
    <row r="462">
      <c r="A462" s="1" t="inlineStr">
        <is>
          <t>19874081084045</t>
        </is>
      </c>
      <c r="B462" s="1" t="inlineStr">
        <is>
          <t>GORRA A WHITE</t>
        </is>
      </c>
      <c r="C462" s="1" t="inlineStr">
        <is>
          <t>Default Title</t>
        </is>
      </c>
      <c r="D462" s="1" t="inlineStr">
        <is>
          <t>15/05/2026</t>
        </is>
      </c>
      <c r="E462" s="1" t="n">
        <v>2026</v>
      </c>
      <c r="F462" s="1" t="inlineStr">
        <is>
          <t>MAYO</t>
        </is>
      </c>
      <c r="G462" s="1" t="inlineStr">
        <is>
          <t>ZOEY</t>
        </is>
      </c>
      <c r="H462" s="1" t="inlineStr">
        <is>
          <t>ZOEY 15/05/2026</t>
        </is>
      </c>
      <c r="I462" s="4" t="n">
        <v>4</v>
      </c>
      <c r="J462" s="6" t="n">
        <v>10</v>
      </c>
      <c r="K462" s="6" t="n">
        <v>265.0462449</v>
      </c>
      <c r="L462" s="6">
        <f>I462*K462</f>
        <v/>
      </c>
      <c r="M462" s="6">
        <f>K462*4</f>
        <v/>
      </c>
      <c r="N462" s="6" t="n">
        <v>1069</v>
      </c>
    </row>
    <row r="463">
      <c r="A463" s="1" t="inlineStr">
        <is>
          <t>19976221521036</t>
        </is>
      </c>
      <c r="B463" s="1" t="n"/>
      <c r="C463" s="1" t="inlineStr">
        <is>
          <t>HIGH QUALITY</t>
        </is>
      </c>
      <c r="D463" s="1" t="inlineStr">
        <is>
          <t>07/01/2026</t>
        </is>
      </c>
      <c r="E463" s="1" t="n">
        <v>2026</v>
      </c>
      <c r="F463" s="1" t="inlineStr">
        <is>
          <t>ENERO</t>
        </is>
      </c>
      <c r="G463" s="1" t="inlineStr">
        <is>
          <t>CYNTHIA</t>
        </is>
      </c>
      <c r="H463" s="1" t="inlineStr">
        <is>
          <t>CYNTHIA 07/01/2026</t>
        </is>
      </c>
      <c r="I463" s="4" t="n">
        <v>1</v>
      </c>
      <c r="J463" s="6" t="n">
        <v>54</v>
      </c>
      <c r="K463" s="6" t="n">
        <v>1435.721094</v>
      </c>
      <c r="L463" s="6">
        <f>I463*K463</f>
        <v/>
      </c>
      <c r="M463" s="6">
        <f>K463*4</f>
        <v/>
      </c>
      <c r="N463" s="6" t="n">
        <v>5609</v>
      </c>
    </row>
    <row r="464">
      <c r="A464" s="1" t="inlineStr">
        <is>
          <t>19976221521036</t>
        </is>
      </c>
      <c r="B464" s="1" t="n"/>
      <c r="C464" s="1" t="inlineStr">
        <is>
          <t>HIGH QUALITY</t>
        </is>
      </c>
      <c r="D464" s="1" t="inlineStr">
        <is>
          <t>18/02/2026</t>
        </is>
      </c>
      <c r="E464" s="1" t="n">
        <v>2026</v>
      </c>
      <c r="F464" s="1" t="inlineStr">
        <is>
          <t>FEBRERO</t>
        </is>
      </c>
      <c r="G464" s="1" t="inlineStr">
        <is>
          <t>CYNTHIA</t>
        </is>
      </c>
      <c r="H464" s="1" t="inlineStr">
        <is>
          <t>CYNTHIA 18/02/2026</t>
        </is>
      </c>
      <c r="I464" s="4" t="n">
        <v>1</v>
      </c>
      <c r="J464" s="6" t="n">
        <v>54</v>
      </c>
      <c r="K464" s="6" t="n">
        <v>1460.341721</v>
      </c>
      <c r="L464" s="6">
        <f>I464*K464</f>
        <v/>
      </c>
      <c r="M464" s="6">
        <f>K464*4</f>
        <v/>
      </c>
      <c r="N464" s="6" t="n">
        <v>5609</v>
      </c>
    </row>
    <row r="465">
      <c r="A465" s="1" t="inlineStr">
        <is>
          <t>19976221521036</t>
        </is>
      </c>
      <c r="B465" s="1" t="inlineStr">
        <is>
          <t>BOLSO DE VIAJE BLACK PÉGASE LV</t>
        </is>
      </c>
      <c r="C465" s="1" t="inlineStr">
        <is>
          <t>HIGH QUALITY</t>
        </is>
      </c>
      <c r="D465" s="1" t="inlineStr">
        <is>
          <t>19/03/2026</t>
        </is>
      </c>
      <c r="E465" s="1" t="n">
        <v>2026</v>
      </c>
      <c r="F465" s="1" t="inlineStr">
        <is>
          <t>MARZO</t>
        </is>
      </c>
      <c r="G465" s="1" t="inlineStr">
        <is>
          <t>CYNTHIA</t>
        </is>
      </c>
      <c r="H465" s="1" t="inlineStr">
        <is>
          <t>CYNTHIA 19/03/2026</t>
        </is>
      </c>
      <c r="I465" s="4" t="n">
        <v>2</v>
      </c>
      <c r="J465" s="6" t="n">
        <v>54</v>
      </c>
      <c r="K465" s="6" t="n">
        <v>1450.300453</v>
      </c>
      <c r="L465" s="6">
        <f>I465*K465</f>
        <v/>
      </c>
      <c r="M465" s="6">
        <f>K465*4</f>
        <v/>
      </c>
      <c r="N465" s="6" t="n">
        <v>5609</v>
      </c>
    </row>
    <row r="466">
      <c r="A466" s="1" t="inlineStr">
        <is>
          <t>19976221521036</t>
        </is>
      </c>
      <c r="B466" s="1" t="inlineStr">
        <is>
          <t>BOLSO DE VIAJE BLACK PÉGASE LV</t>
        </is>
      </c>
      <c r="C466" s="1" t="inlineStr">
        <is>
          <t>HIGH QUALITY</t>
        </is>
      </c>
      <c r="D466" s="1" t="inlineStr">
        <is>
          <t>27/04/2026</t>
        </is>
      </c>
      <c r="E466" s="1" t="n">
        <v>2026</v>
      </c>
      <c r="F466" s="1" t="inlineStr">
        <is>
          <t>ABRIL</t>
        </is>
      </c>
      <c r="G466" s="1" t="inlineStr">
        <is>
          <t>CYNTHIA</t>
        </is>
      </c>
      <c r="H466" s="1" t="inlineStr">
        <is>
          <t>CYNTHIA 27/04/2026</t>
        </is>
      </c>
      <c r="I466" s="4" t="n">
        <v>1</v>
      </c>
      <c r="J466" s="6" t="n">
        <v>54</v>
      </c>
      <c r="K466" s="6" t="n">
        <v>1401.305001</v>
      </c>
      <c r="L466" s="6">
        <f>I466*K466</f>
        <v/>
      </c>
      <c r="M466" s="6">
        <f>K466*4</f>
        <v/>
      </c>
      <c r="N466" s="6" t="n">
        <v>5609</v>
      </c>
    </row>
    <row r="467">
      <c r="A467" s="1" t="inlineStr">
        <is>
          <t>20002741079437</t>
        </is>
      </c>
      <c r="B467" s="1" t="inlineStr">
        <is>
          <t>ARETES LV PADLOCK SILVER CON ZIRCONIA</t>
        </is>
      </c>
      <c r="C467" s="1" t="inlineStr">
        <is>
          <t>Default Title</t>
        </is>
      </c>
      <c r="D467" s="1" t="inlineStr">
        <is>
          <t>25/09/2025</t>
        </is>
      </c>
      <c r="E467" s="1" t="n">
        <v>2025</v>
      </c>
      <c r="F467" s="1" t="inlineStr">
        <is>
          <t>SEPTIEMBRE</t>
        </is>
      </c>
      <c r="G467" s="1" t="inlineStr">
        <is>
          <t>HAIFENG</t>
        </is>
      </c>
      <c r="H467" s="1" t="inlineStr">
        <is>
          <t>HAIFENG 25/09/2025</t>
        </is>
      </c>
      <c r="I467" s="4" t="n">
        <v>2</v>
      </c>
      <c r="J467" s="6" t="n">
        <v>15</v>
      </c>
      <c r="K467" s="6" t="n">
        <v>316.4532865</v>
      </c>
      <c r="L467" s="6">
        <f>I467*K467</f>
        <v/>
      </c>
      <c r="M467" s="6">
        <f>K467*4</f>
        <v/>
      </c>
      <c r="N467" s="6" t="n">
        <v>1236</v>
      </c>
    </row>
    <row r="468">
      <c r="A468" s="1" t="inlineStr">
        <is>
          <t>21078752836941</t>
        </is>
      </c>
      <c r="B468" s="1" t="inlineStr">
        <is>
          <t>ARRACADAS C GOLD ZIRCONIAS</t>
        </is>
      </c>
      <c r="C468" s="1" t="inlineStr">
        <is>
          <t>Default Title</t>
        </is>
      </c>
      <c r="D468" s="1" t="inlineStr">
        <is>
          <t>22/10/2025</t>
        </is>
      </c>
      <c r="E468" s="1" t="n">
        <v>2025</v>
      </c>
      <c r="F468" s="1" t="inlineStr">
        <is>
          <t>OCTUBRE</t>
        </is>
      </c>
      <c r="G468" s="1" t="inlineStr">
        <is>
          <t>HAIFENG</t>
        </is>
      </c>
      <c r="H468" s="1" t="inlineStr">
        <is>
          <t>HAIFENG 22/10/2025</t>
        </is>
      </c>
      <c r="I468" s="4" t="n">
        <v>2</v>
      </c>
      <c r="J468" s="6" t="n">
        <v>7</v>
      </c>
      <c r="K468" s="6" t="n">
        <v>147.8978341</v>
      </c>
      <c r="L468" s="6">
        <f>I468*K468</f>
        <v/>
      </c>
      <c r="M468" s="6">
        <f>K468*4</f>
        <v/>
      </c>
      <c r="N468" s="6" t="n">
        <v>620</v>
      </c>
    </row>
    <row r="469">
      <c r="A469" s="1" t="inlineStr">
        <is>
          <t>21078752836941</t>
        </is>
      </c>
      <c r="B469" s="1" t="inlineStr">
        <is>
          <t>ARRACADAS C GOLD ZIRCONIAS</t>
        </is>
      </c>
      <c r="C469" s="1" t="inlineStr">
        <is>
          <t>Default Title</t>
        </is>
      </c>
      <c r="D469" s="1" t="inlineStr">
        <is>
          <t>10/02/2026</t>
        </is>
      </c>
      <c r="E469" s="1" t="n">
        <v>2026</v>
      </c>
      <c r="F469" s="1" t="inlineStr">
        <is>
          <t>FEBRERO</t>
        </is>
      </c>
      <c r="G469" s="1" t="inlineStr">
        <is>
          <t>HAIFENG</t>
        </is>
      </c>
      <c r="H469" s="1" t="inlineStr">
        <is>
          <t>HAIFENG 10/02/2026</t>
        </is>
      </c>
      <c r="I469" s="4" t="n">
        <v>4</v>
      </c>
      <c r="J469" s="6" t="n">
        <v>7</v>
      </c>
      <c r="K469" s="6" t="n">
        <v>147.4794725</v>
      </c>
      <c r="L469" s="6">
        <f>I469*K469</f>
        <v/>
      </c>
      <c r="M469" s="6">
        <f>K469*4</f>
        <v/>
      </c>
      <c r="N469" s="6" t="n">
        <v>620</v>
      </c>
    </row>
    <row r="470">
      <c r="A470" s="1" t="inlineStr">
        <is>
          <t>21078752836941</t>
        </is>
      </c>
      <c r="B470" s="1" t="inlineStr">
        <is>
          <t>ARRACADAS C GOLD ZIRCONIAS</t>
        </is>
      </c>
      <c r="C470" s="1" t="inlineStr">
        <is>
          <t>Default Title</t>
        </is>
      </c>
      <c r="D470" s="1" t="inlineStr">
        <is>
          <t>16/04/2026</t>
        </is>
      </c>
      <c r="E470" s="1" t="n">
        <v>2026</v>
      </c>
      <c r="F470" s="1" t="inlineStr">
        <is>
          <t>ABRIL</t>
        </is>
      </c>
      <c r="G470" s="1" t="inlineStr">
        <is>
          <t>HAIFENG</t>
        </is>
      </c>
      <c r="H470" s="1" t="inlineStr">
        <is>
          <t>HAIFENG 16/04/2026</t>
        </is>
      </c>
      <c r="I470" s="4" t="n">
        <v>5</v>
      </c>
      <c r="J470" s="6" t="n">
        <v>7</v>
      </c>
      <c r="K470" s="6" t="n">
        <v>147.2203151</v>
      </c>
      <c r="L470" s="6">
        <f>I470*K470</f>
        <v/>
      </c>
      <c r="M470" s="6">
        <f>K470*4</f>
        <v/>
      </c>
      <c r="N470" s="6" t="n">
        <v>620</v>
      </c>
    </row>
    <row r="471">
      <c r="A471" s="1" t="inlineStr">
        <is>
          <t>21120091008141</t>
        </is>
      </c>
      <c r="B471" s="1" t="n"/>
      <c r="C471" s="1" t="inlineStr">
        <is>
          <t>L</t>
        </is>
      </c>
      <c r="D471" s="1" t="inlineStr">
        <is>
          <t>02/10/2025</t>
        </is>
      </c>
      <c r="E471" s="1" t="n">
        <v>2025</v>
      </c>
      <c r="F471" s="1" t="inlineStr">
        <is>
          <t>OCTUBRE</t>
        </is>
      </c>
      <c r="G471" s="1" t="inlineStr">
        <is>
          <t>ZOEY</t>
        </is>
      </c>
      <c r="H471" s="1" t="inlineStr">
        <is>
          <t>ZOEY 02/10/2025</t>
        </is>
      </c>
      <c r="I471" s="4" t="n">
        <v>2</v>
      </c>
      <c r="J471" s="6" t="n">
        <v>35</v>
      </c>
      <c r="K471" s="6" t="n">
        <v>826.83776</v>
      </c>
      <c r="L471" s="6">
        <f>I471*K471</f>
        <v/>
      </c>
      <c r="M471" s="6">
        <f>K471*4</f>
        <v/>
      </c>
      <c r="N471" s="6" t="n">
        <v>2899</v>
      </c>
    </row>
    <row r="472">
      <c r="A472" s="1" t="inlineStr">
        <is>
          <t>21206411051949</t>
        </is>
      </c>
      <c r="B472" s="1" t="inlineStr">
        <is>
          <t>ANILLO LOVE UNLIMITED ROSEGOLD</t>
        </is>
      </c>
      <c r="C472" s="1" t="inlineStr">
        <is>
          <t>6</t>
        </is>
      </c>
      <c r="D472" s="1" t="inlineStr">
        <is>
          <t>10/02/2026</t>
        </is>
      </c>
      <c r="E472" s="1" t="n">
        <v>2026</v>
      </c>
      <c r="F472" s="1" t="inlineStr">
        <is>
          <t>FEBRERO</t>
        </is>
      </c>
      <c r="G472" s="1" t="inlineStr">
        <is>
          <t>HAIFENG</t>
        </is>
      </c>
      <c r="H472" s="1" t="inlineStr">
        <is>
          <t>HAIFENG 10/02/2026</t>
        </is>
      </c>
      <c r="I472" s="4" t="n">
        <v>4</v>
      </c>
      <c r="J472" s="6" t="n">
        <v>5</v>
      </c>
      <c r="K472" s="6" t="n">
        <v>105.3424803</v>
      </c>
      <c r="L472" s="6">
        <f>I472*K472</f>
        <v/>
      </c>
      <c r="M472" s="6">
        <f>K472*4</f>
        <v/>
      </c>
      <c r="N472" s="6" t="n">
        <v>550</v>
      </c>
    </row>
    <row r="473">
      <c r="A473" s="1" t="inlineStr">
        <is>
          <t>21206411051949</t>
        </is>
      </c>
      <c r="B473" s="1" t="inlineStr">
        <is>
          <t>ANILLO LOVE UNLIMITED ROSEGOLD</t>
        </is>
      </c>
      <c r="C473" s="1" t="inlineStr">
        <is>
          <t>6</t>
        </is>
      </c>
      <c r="D473" s="1" t="inlineStr">
        <is>
          <t>11/03/2026</t>
        </is>
      </c>
      <c r="E473" s="1" t="n">
        <v>2026</v>
      </c>
      <c r="F473" s="1" t="inlineStr">
        <is>
          <t>MARZO</t>
        </is>
      </c>
      <c r="G473" s="1" t="inlineStr">
        <is>
          <t>HAIFENG</t>
        </is>
      </c>
      <c r="H473" s="1" t="inlineStr">
        <is>
          <t>HAIFENG 11/03/2026</t>
        </is>
      </c>
      <c r="I473" s="4" t="n">
        <v>2</v>
      </c>
      <c r="J473" s="6" t="n">
        <v>5</v>
      </c>
      <c r="K473" s="6" t="n">
        <v>106.5194811</v>
      </c>
      <c r="L473" s="6">
        <f>I473*K473</f>
        <v/>
      </c>
      <c r="M473" s="6">
        <f>K473*4</f>
        <v/>
      </c>
      <c r="N473" s="6" t="n">
        <v>550</v>
      </c>
    </row>
    <row r="474">
      <c r="A474" s="1" t="inlineStr">
        <is>
          <t>21206411184717</t>
        </is>
      </c>
      <c r="B474" s="1" t="inlineStr">
        <is>
          <t>ANILLO LOVE UNLIMITED ROSE GOLD</t>
        </is>
      </c>
      <c r="C474" s="1" t="inlineStr">
        <is>
          <t>7</t>
        </is>
      </c>
      <c r="D474" s="1" t="inlineStr">
        <is>
          <t>11/11/2025</t>
        </is>
      </c>
      <c r="E474" s="1" t="n">
        <v>2025</v>
      </c>
      <c r="F474" s="1" t="inlineStr">
        <is>
          <t>NOVIEMBRE</t>
        </is>
      </c>
      <c r="G474" s="1" t="inlineStr">
        <is>
          <t>HAIFENG</t>
        </is>
      </c>
      <c r="H474" s="1" t="inlineStr">
        <is>
          <t>HAIFENG 11/11/2025</t>
        </is>
      </c>
      <c r="I474" s="4" t="n">
        <v>3</v>
      </c>
      <c r="J474" s="6" t="n">
        <v>5</v>
      </c>
      <c r="K474" s="6" t="n">
        <v>105.3024922</v>
      </c>
      <c r="L474" s="6">
        <f>I474*K474</f>
        <v/>
      </c>
      <c r="M474" s="6">
        <f>K474*4</f>
        <v/>
      </c>
      <c r="N474" s="6" t="n">
        <v>550</v>
      </c>
    </row>
    <row r="475">
      <c r="A475" s="1" t="inlineStr">
        <is>
          <t>21206411184717</t>
        </is>
      </c>
      <c r="B475" s="1" t="inlineStr">
        <is>
          <t>ANILLO LOVE UNLIMITED ROSEGOLD</t>
        </is>
      </c>
      <c r="C475" s="1" t="inlineStr">
        <is>
          <t>7</t>
        </is>
      </c>
      <c r="D475" s="1" t="inlineStr">
        <is>
          <t>11/03/2026</t>
        </is>
      </c>
      <c r="E475" s="1" t="n">
        <v>2026</v>
      </c>
      <c r="F475" s="1" t="inlineStr">
        <is>
          <t>MARZO</t>
        </is>
      </c>
      <c r="G475" s="1" t="inlineStr">
        <is>
          <t>HAIFENG</t>
        </is>
      </c>
      <c r="H475" s="1" t="inlineStr">
        <is>
          <t>HAIFENG 11/03/2026</t>
        </is>
      </c>
      <c r="I475" s="4" t="n">
        <v>2</v>
      </c>
      <c r="J475" s="6" t="n">
        <v>5</v>
      </c>
      <c r="K475" s="6" t="n">
        <v>106.5194811</v>
      </c>
      <c r="L475" s="6">
        <f>I475*K475</f>
        <v/>
      </c>
      <c r="M475" s="6">
        <f>K475*4</f>
        <v/>
      </c>
      <c r="N475" s="6" t="n">
        <v>550</v>
      </c>
    </row>
    <row r="476">
      <c r="A476" s="1" t="inlineStr">
        <is>
          <t>21206411184717</t>
        </is>
      </c>
      <c r="B476" s="1" t="inlineStr">
        <is>
          <t>ANILLO LOVE UNLIMITED ROSEGOLD</t>
        </is>
      </c>
      <c r="C476" s="1" t="inlineStr">
        <is>
          <t>7</t>
        </is>
      </c>
      <c r="D476" s="1" t="inlineStr">
        <is>
          <t>16/04/2026</t>
        </is>
      </c>
      <c r="E476" s="1" t="n">
        <v>2026</v>
      </c>
      <c r="F476" s="1" t="inlineStr">
        <is>
          <t>ABRIL</t>
        </is>
      </c>
      <c r="G476" s="1" t="inlineStr">
        <is>
          <t>HAIFENG</t>
        </is>
      </c>
      <c r="H476" s="1" t="inlineStr">
        <is>
          <t>HAIFENG 16/04/2026</t>
        </is>
      </c>
      <c r="I476" s="4" t="n">
        <v>2</v>
      </c>
      <c r="J476" s="6" t="n">
        <v>5</v>
      </c>
      <c r="K476" s="6" t="n">
        <v>105.1573679</v>
      </c>
      <c r="L476" s="6">
        <f>I476*K476</f>
        <v/>
      </c>
      <c r="M476" s="6">
        <f>K476*4</f>
        <v/>
      </c>
      <c r="N476" s="6" t="n">
        <v>550</v>
      </c>
    </row>
    <row r="477">
      <c r="A477" s="1" t="inlineStr">
        <is>
          <t>21206411294893</t>
        </is>
      </c>
      <c r="B477" s="1" t="inlineStr">
        <is>
          <t>ANILLO LOVE UNLIMITED GOLD</t>
        </is>
      </c>
      <c r="C477" s="1" t="inlineStr">
        <is>
          <t>6</t>
        </is>
      </c>
      <c r="D477" s="1" t="inlineStr">
        <is>
          <t>11/11/2025</t>
        </is>
      </c>
      <c r="E477" s="1" t="n">
        <v>2025</v>
      </c>
      <c r="F477" s="1" t="inlineStr">
        <is>
          <t>NOVIEMBRE</t>
        </is>
      </c>
      <c r="G477" s="1" t="inlineStr">
        <is>
          <t>HAIFENG</t>
        </is>
      </c>
      <c r="H477" s="1" t="inlineStr">
        <is>
          <t>HAIFENG 11/11/2025</t>
        </is>
      </c>
      <c r="I477" s="4" t="n">
        <v>4</v>
      </c>
      <c r="J477" s="6" t="n">
        <v>5</v>
      </c>
      <c r="K477" s="6" t="n">
        <v>105.3024922</v>
      </c>
      <c r="L477" s="6">
        <f>I477*K477</f>
        <v/>
      </c>
      <c r="M477" s="6">
        <f>K477*4</f>
        <v/>
      </c>
      <c r="N477" s="6" t="n">
        <v>550</v>
      </c>
    </row>
    <row r="478">
      <c r="A478" s="1" t="inlineStr">
        <is>
          <t>21206411294893</t>
        </is>
      </c>
      <c r="B478" s="1" t="inlineStr">
        <is>
          <t>ANILLO LOVE UNLIMITED GOLD</t>
        </is>
      </c>
      <c r="C478" s="1" t="inlineStr">
        <is>
          <t>6</t>
        </is>
      </c>
      <c r="D478" s="1" t="inlineStr">
        <is>
          <t>06/05/2026</t>
        </is>
      </c>
      <c r="E478" s="1" t="n">
        <v>2026</v>
      </c>
      <c r="F478" s="1" t="inlineStr">
        <is>
          <t>MAYO</t>
        </is>
      </c>
      <c r="G478" s="1" t="inlineStr">
        <is>
          <t>HAIFENG</t>
        </is>
      </c>
      <c r="H478" s="1" t="inlineStr">
        <is>
          <t>HAIFENG 06/05/2026</t>
        </is>
      </c>
      <c r="I478" s="4" t="n">
        <v>3</v>
      </c>
      <c r="J478" s="6" t="n">
        <v>5.99</v>
      </c>
      <c r="K478" s="6" t="n">
        <v>127.0996672</v>
      </c>
      <c r="L478" s="6">
        <f>I478*K478</f>
        <v/>
      </c>
      <c r="M478" s="6">
        <f>K478*4</f>
        <v/>
      </c>
      <c r="N478" s="6" t="n">
        <v>550</v>
      </c>
    </row>
    <row r="479">
      <c r="A479" s="1" t="inlineStr">
        <is>
          <t>21206411294893</t>
        </is>
      </c>
      <c r="B479" s="1" t="inlineStr">
        <is>
          <t>ANILLO LOVE UNLIMITED GOLD</t>
        </is>
      </c>
      <c r="C479" s="1" t="inlineStr">
        <is>
          <t>6</t>
        </is>
      </c>
      <c r="D479" s="1" t="inlineStr">
        <is>
          <t>26/05/2026</t>
        </is>
      </c>
      <c r="E479" s="1" t="n">
        <v>2026</v>
      </c>
      <c r="F479" s="1" t="inlineStr">
        <is>
          <t>MAYO</t>
        </is>
      </c>
      <c r="G479" s="1" t="inlineStr">
        <is>
          <t>HAIFENG</t>
        </is>
      </c>
      <c r="H479" s="1" t="inlineStr">
        <is>
          <t>HAIFENG 26/05/2026</t>
        </is>
      </c>
      <c r="I479" s="4" t="n">
        <v>3</v>
      </c>
      <c r="J479" s="6" t="n">
        <v>5</v>
      </c>
      <c r="K479" s="6" t="n">
        <v>104.9464765</v>
      </c>
      <c r="L479" s="6">
        <f>I479*K479</f>
        <v/>
      </c>
      <c r="M479" s="6">
        <f>K479*4</f>
        <v/>
      </c>
      <c r="N479" s="6" t="n">
        <v>550</v>
      </c>
    </row>
    <row r="480">
      <c r="A480" s="1" t="inlineStr">
        <is>
          <t>21206411327661</t>
        </is>
      </c>
      <c r="B480" s="1" t="inlineStr">
        <is>
          <t>ANILLO LOVE UNLIMITED GOLD</t>
        </is>
      </c>
      <c r="C480" s="1" t="inlineStr">
        <is>
          <t>7</t>
        </is>
      </c>
      <c r="D480" s="1" t="inlineStr">
        <is>
          <t>11/11/2025</t>
        </is>
      </c>
      <c r="E480" s="1" t="n">
        <v>2025</v>
      </c>
      <c r="F480" s="1" t="inlineStr">
        <is>
          <t>NOVIEMBRE</t>
        </is>
      </c>
      <c r="G480" s="1" t="inlineStr">
        <is>
          <t>HAIFENG</t>
        </is>
      </c>
      <c r="H480" s="1" t="inlineStr">
        <is>
          <t>HAIFENG 11/11/2025</t>
        </is>
      </c>
      <c r="I480" s="4" t="n">
        <v>3</v>
      </c>
      <c r="J480" s="6" t="n">
        <v>5</v>
      </c>
      <c r="K480" s="6" t="n">
        <v>105.3024922</v>
      </c>
      <c r="L480" s="6">
        <f>I480*K480</f>
        <v/>
      </c>
      <c r="M480" s="6">
        <f>K480*4</f>
        <v/>
      </c>
      <c r="N480" s="6" t="n">
        <v>550</v>
      </c>
    </row>
    <row r="481">
      <c r="A481" s="1" t="inlineStr">
        <is>
          <t>21206411327661</t>
        </is>
      </c>
      <c r="B481" s="1" t="inlineStr">
        <is>
          <t>ANILLO LOVE UNLIMITED GOLD</t>
        </is>
      </c>
      <c r="C481" s="1" t="inlineStr">
        <is>
          <t>7</t>
        </is>
      </c>
      <c r="D481" s="1" t="inlineStr">
        <is>
          <t>16/04/2026</t>
        </is>
      </c>
      <c r="E481" s="1" t="n">
        <v>2026</v>
      </c>
      <c r="F481" s="1" t="inlineStr">
        <is>
          <t>ABRIL</t>
        </is>
      </c>
      <c r="G481" s="1" t="inlineStr">
        <is>
          <t>HAIFENG</t>
        </is>
      </c>
      <c r="H481" s="1" t="inlineStr">
        <is>
          <t>HAIFENG 16/04/2026</t>
        </is>
      </c>
      <c r="I481" s="4" t="n">
        <v>5</v>
      </c>
      <c r="J481" s="6" t="n">
        <v>5</v>
      </c>
      <c r="K481" s="6" t="n">
        <v>105.1573679</v>
      </c>
      <c r="L481" s="6">
        <f>I481*K481</f>
        <v/>
      </c>
      <c r="M481" s="6">
        <f>K481*4</f>
        <v/>
      </c>
      <c r="N481" s="6" t="n">
        <v>550</v>
      </c>
    </row>
    <row r="482">
      <c r="A482" s="1" t="inlineStr">
        <is>
          <t>21206411327661</t>
        </is>
      </c>
      <c r="B482" s="1" t="inlineStr">
        <is>
          <t>ANILLO LOVE UNLIMITED GOLD</t>
        </is>
      </c>
      <c r="C482" s="1" t="inlineStr">
        <is>
          <t>7</t>
        </is>
      </c>
      <c r="D482" s="1" t="inlineStr">
        <is>
          <t>16/06/2026</t>
        </is>
      </c>
      <c r="E482" s="1" t="n">
        <v>2026</v>
      </c>
      <c r="F482" s="1" t="inlineStr">
        <is>
          <t>JUNIO</t>
        </is>
      </c>
      <c r="G482" s="1" t="inlineStr">
        <is>
          <t>HAIFENG</t>
        </is>
      </c>
      <c r="H482" s="1" t="inlineStr">
        <is>
          <t>HAIFENG 16/06/2026</t>
        </is>
      </c>
      <c r="I482" s="4" t="n">
        <v>3</v>
      </c>
      <c r="J482" s="6" t="n">
        <v>5</v>
      </c>
      <c r="K482" s="6" t="n">
        <v>105.0730323</v>
      </c>
      <c r="L482" s="6">
        <f>I482*K482</f>
        <v/>
      </c>
      <c r="M482" s="6">
        <f>K482*4</f>
        <v/>
      </c>
      <c r="N482" s="6" t="n">
        <v>550</v>
      </c>
    </row>
    <row r="483">
      <c r="A483" s="1" t="inlineStr">
        <is>
          <t>21206411460429</t>
        </is>
      </c>
      <c r="B483" s="1" t="inlineStr">
        <is>
          <t>ANILLO LOVE UNLIMITED GOLD</t>
        </is>
      </c>
      <c r="C483" s="1" t="inlineStr">
        <is>
          <t>8</t>
        </is>
      </c>
      <c r="D483" s="1" t="inlineStr">
        <is>
          <t>11/11/2025</t>
        </is>
      </c>
      <c r="E483" s="1" t="n">
        <v>2025</v>
      </c>
      <c r="F483" s="1" t="inlineStr">
        <is>
          <t>NOVIEMBRE</t>
        </is>
      </c>
      <c r="G483" s="1" t="inlineStr">
        <is>
          <t>HAIFENG</t>
        </is>
      </c>
      <c r="H483" s="1" t="inlineStr">
        <is>
          <t>HAIFENG 11/11/2025</t>
        </is>
      </c>
      <c r="I483" s="4" t="n">
        <v>3</v>
      </c>
      <c r="J483" s="6" t="n">
        <v>5</v>
      </c>
      <c r="K483" s="6" t="n">
        <v>105.3024922</v>
      </c>
      <c r="L483" s="6">
        <f>I483*K483</f>
        <v/>
      </c>
      <c r="M483" s="6">
        <f>K483*4</f>
        <v/>
      </c>
      <c r="N483" s="6" t="n">
        <v>550</v>
      </c>
    </row>
    <row r="484">
      <c r="A484" s="1" t="inlineStr">
        <is>
          <t>21206411460429</t>
        </is>
      </c>
      <c r="B484" s="1" t="inlineStr">
        <is>
          <t>ANILLO LOVE UNLIMITED GOLD</t>
        </is>
      </c>
      <c r="C484" s="1" t="inlineStr">
        <is>
          <t>8</t>
        </is>
      </c>
      <c r="D484" s="1" t="inlineStr">
        <is>
          <t>20/01/2026</t>
        </is>
      </c>
      <c r="E484" s="1" t="n">
        <v>2026</v>
      </c>
      <c r="F484" s="1" t="inlineStr">
        <is>
          <t>ENERO</t>
        </is>
      </c>
      <c r="G484" s="1" t="inlineStr">
        <is>
          <t>HAIFENG</t>
        </is>
      </c>
      <c r="H484" s="1" t="inlineStr">
        <is>
          <t>HAIFENG 20/01/2026</t>
        </is>
      </c>
      <c r="I484" s="4" t="n">
        <v>3</v>
      </c>
      <c r="J484" s="6" t="n">
        <v>5</v>
      </c>
      <c r="K484" s="6" t="n">
        <v>106.002089</v>
      </c>
      <c r="L484" s="6">
        <f>I484*K484</f>
        <v/>
      </c>
      <c r="M484" s="6">
        <f>K484*4</f>
        <v/>
      </c>
      <c r="N484" s="6" t="n">
        <v>550</v>
      </c>
    </row>
    <row r="485">
      <c r="A485" s="1" t="inlineStr">
        <is>
          <t>21206411460429</t>
        </is>
      </c>
      <c r="B485" s="1" t="n"/>
      <c r="C485" s="1" t="inlineStr">
        <is>
          <t>8</t>
        </is>
      </c>
      <c r="D485" s="1" t="inlineStr">
        <is>
          <t>10/02/2026</t>
        </is>
      </c>
      <c r="E485" s="1" t="n">
        <v>2026</v>
      </c>
      <c r="F485" s="1" t="inlineStr">
        <is>
          <t>FEBRERO</t>
        </is>
      </c>
      <c r="G485" s="1" t="inlineStr">
        <is>
          <t>HAIFENG</t>
        </is>
      </c>
      <c r="H485" s="1" t="inlineStr">
        <is>
          <t>HAIFENG 10/02/2026</t>
        </is>
      </c>
      <c r="I485" s="4" t="n">
        <v>3</v>
      </c>
      <c r="J485" s="6" t="n">
        <v>5</v>
      </c>
      <c r="K485" s="6" t="n">
        <v>105.3424803</v>
      </c>
      <c r="L485" s="6">
        <f>I485*K485</f>
        <v/>
      </c>
      <c r="M485" s="6">
        <f>K485*4</f>
        <v/>
      </c>
      <c r="N485" s="6" t="n">
        <v>550</v>
      </c>
    </row>
    <row r="486">
      <c r="A486" s="1" t="inlineStr">
        <is>
          <t>21206411460429</t>
        </is>
      </c>
      <c r="B486" s="1" t="inlineStr">
        <is>
          <t>ANILLO LOVE UNLIMITED GOLD</t>
        </is>
      </c>
      <c r="C486" s="1" t="inlineStr">
        <is>
          <t>8</t>
        </is>
      </c>
      <c r="D486" s="1" t="inlineStr">
        <is>
          <t>16/04/2026</t>
        </is>
      </c>
      <c r="E486" s="1" t="n">
        <v>2026</v>
      </c>
      <c r="F486" s="1" t="inlineStr">
        <is>
          <t>ABRIL</t>
        </is>
      </c>
      <c r="G486" s="1" t="inlineStr">
        <is>
          <t>HAIFENG</t>
        </is>
      </c>
      <c r="H486" s="1" t="inlineStr">
        <is>
          <t>HAIFENG 16/04/2026</t>
        </is>
      </c>
      <c r="I486" s="4" t="n">
        <v>4</v>
      </c>
      <c r="J486" s="6" t="n">
        <v>5</v>
      </c>
      <c r="K486" s="6" t="n">
        <v>105.1573679</v>
      </c>
      <c r="L486" s="6">
        <f>I486*K486</f>
        <v/>
      </c>
      <c r="M486" s="6">
        <f>K486*4</f>
        <v/>
      </c>
      <c r="N486" s="6" t="n">
        <v>550</v>
      </c>
    </row>
    <row r="487">
      <c r="A487" s="1" t="inlineStr">
        <is>
          <t>21206411515789</t>
        </is>
      </c>
      <c r="B487" s="1" t="inlineStr">
        <is>
          <t>ANILLO LOVE UNLIMITED SILVER</t>
        </is>
      </c>
      <c r="C487" s="1" t="inlineStr">
        <is>
          <t>6</t>
        </is>
      </c>
      <c r="D487" s="1" t="inlineStr">
        <is>
          <t>11/11/2025</t>
        </is>
      </c>
      <c r="E487" s="1" t="n">
        <v>2025</v>
      </c>
      <c r="F487" s="1" t="inlineStr">
        <is>
          <t>NOVIEMBRE</t>
        </is>
      </c>
      <c r="G487" s="1" t="inlineStr">
        <is>
          <t>HAIFENG</t>
        </is>
      </c>
      <c r="H487" s="1" t="inlineStr">
        <is>
          <t>HAIFENG 11/11/2025</t>
        </is>
      </c>
      <c r="I487" s="4" t="n">
        <v>3</v>
      </c>
      <c r="J487" s="6" t="n">
        <v>5</v>
      </c>
      <c r="K487" s="6" t="n">
        <v>105.3024922</v>
      </c>
      <c r="L487" s="6">
        <f>I487*K487</f>
        <v/>
      </c>
      <c r="M487" s="6">
        <f>K487*4</f>
        <v/>
      </c>
      <c r="N487" s="6" t="n">
        <v>550</v>
      </c>
    </row>
    <row r="488">
      <c r="A488" s="1" t="inlineStr">
        <is>
          <t>21206411515789</t>
        </is>
      </c>
      <c r="B488" s="1" t="inlineStr">
        <is>
          <t>ANILLO LOVE UNLIMITED SILVER</t>
        </is>
      </c>
      <c r="C488" s="1" t="inlineStr">
        <is>
          <t>6</t>
        </is>
      </c>
      <c r="D488" s="1" t="inlineStr">
        <is>
          <t>26/05/2026</t>
        </is>
      </c>
      <c r="E488" s="1" t="n">
        <v>2026</v>
      </c>
      <c r="F488" s="1" t="inlineStr">
        <is>
          <t>MAYO</t>
        </is>
      </c>
      <c r="G488" s="1" t="inlineStr">
        <is>
          <t>HAIFENG</t>
        </is>
      </c>
      <c r="H488" s="1" t="inlineStr">
        <is>
          <t>HAIFENG 26/05/2026</t>
        </is>
      </c>
      <c r="I488" s="4" t="n">
        <v>3</v>
      </c>
      <c r="J488" s="6" t="n">
        <v>5</v>
      </c>
      <c r="K488" s="6" t="n">
        <v>104.9464765</v>
      </c>
      <c r="L488" s="6">
        <f>I488*K488</f>
        <v/>
      </c>
      <c r="M488" s="6">
        <f>K488*4</f>
        <v/>
      </c>
      <c r="N488" s="6" t="n">
        <v>550</v>
      </c>
    </row>
    <row r="489">
      <c r="A489" s="1" t="inlineStr">
        <is>
          <t>21206421648557</t>
        </is>
      </c>
      <c r="B489" s="1" t="inlineStr">
        <is>
          <t>ANILLO LOVE UNLIMITED SILVER</t>
        </is>
      </c>
      <c r="C489" s="1" t="inlineStr">
        <is>
          <t>7</t>
        </is>
      </c>
      <c r="D489" s="1" t="inlineStr">
        <is>
          <t>11/11/2025</t>
        </is>
      </c>
      <c r="E489" s="1" t="n">
        <v>2025</v>
      </c>
      <c r="F489" s="1" t="inlineStr">
        <is>
          <t>NOVIEMBRE</t>
        </is>
      </c>
      <c r="G489" s="1" t="inlineStr">
        <is>
          <t>HAIFENG</t>
        </is>
      </c>
      <c r="H489" s="1" t="inlineStr">
        <is>
          <t>HAIFENG 11/11/2025</t>
        </is>
      </c>
      <c r="I489" s="4" t="n">
        <v>3</v>
      </c>
      <c r="J489" s="6" t="n">
        <v>5</v>
      </c>
      <c r="K489" s="6" t="n">
        <v>105.3024922</v>
      </c>
      <c r="L489" s="6">
        <f>I489*K489</f>
        <v/>
      </c>
      <c r="M489" s="6">
        <f>K489*4</f>
        <v/>
      </c>
      <c r="N489" s="6" t="n">
        <v>550</v>
      </c>
    </row>
    <row r="490">
      <c r="A490" s="1" t="inlineStr">
        <is>
          <t>21206421648557</t>
        </is>
      </c>
      <c r="B490" s="1" t="inlineStr">
        <is>
          <t>ANILLO LOVE UNLIMITED SILVER</t>
        </is>
      </c>
      <c r="C490" s="1" t="inlineStr">
        <is>
          <t>7</t>
        </is>
      </c>
      <c r="D490" s="1" t="inlineStr">
        <is>
          <t>16/04/2026</t>
        </is>
      </c>
      <c r="E490" s="1" t="n">
        <v>2026</v>
      </c>
      <c r="F490" s="1" t="inlineStr">
        <is>
          <t>ABRIL</t>
        </is>
      </c>
      <c r="G490" s="1" t="inlineStr">
        <is>
          <t>HAIFENG</t>
        </is>
      </c>
      <c r="H490" s="1" t="inlineStr">
        <is>
          <t>HAIFENG 16/04/2026</t>
        </is>
      </c>
      <c r="I490" s="4" t="n">
        <v>4</v>
      </c>
      <c r="J490" s="6" t="n">
        <v>5</v>
      </c>
      <c r="K490" s="6" t="n">
        <v>105.1573679</v>
      </c>
      <c r="L490" s="6">
        <f>I490*K490</f>
        <v/>
      </c>
      <c r="M490" s="6">
        <f>K490*4</f>
        <v/>
      </c>
      <c r="N490" s="6" t="n">
        <v>550</v>
      </c>
    </row>
    <row r="491">
      <c r="A491" s="1" t="inlineStr">
        <is>
          <t>21206421781325</t>
        </is>
      </c>
      <c r="B491" s="1" t="inlineStr">
        <is>
          <t>ANILLO LOVE UNLIMITED SILVER</t>
        </is>
      </c>
      <c r="C491" s="1" t="inlineStr">
        <is>
          <t>8</t>
        </is>
      </c>
      <c r="D491" s="1" t="inlineStr">
        <is>
          <t>11/11/2025</t>
        </is>
      </c>
      <c r="E491" s="1" t="n">
        <v>2025</v>
      </c>
      <c r="F491" s="1" t="inlineStr">
        <is>
          <t>NOVIEMBRE</t>
        </is>
      </c>
      <c r="G491" s="1" t="inlineStr">
        <is>
          <t>HAIFENG</t>
        </is>
      </c>
      <c r="H491" s="1" t="inlineStr">
        <is>
          <t>HAIFENG 11/11/2025</t>
        </is>
      </c>
      <c r="I491" s="4" t="n">
        <v>3</v>
      </c>
      <c r="J491" s="6" t="n">
        <v>5</v>
      </c>
      <c r="K491" s="6" t="n">
        <v>105.3024922</v>
      </c>
      <c r="L491" s="6">
        <f>I491*K491</f>
        <v/>
      </c>
      <c r="M491" s="6">
        <f>K491*4</f>
        <v/>
      </c>
      <c r="N491" s="6" t="n">
        <v>550</v>
      </c>
    </row>
    <row r="492">
      <c r="A492" s="1" t="inlineStr">
        <is>
          <t>21206421781325</t>
        </is>
      </c>
      <c r="B492" s="1" t="inlineStr">
        <is>
          <t>ANILLO LOVE UNLIMITED SILVER</t>
        </is>
      </c>
      <c r="C492" s="1" t="inlineStr">
        <is>
          <t>8</t>
        </is>
      </c>
      <c r="D492" s="1" t="inlineStr">
        <is>
          <t>11/03/2026</t>
        </is>
      </c>
      <c r="E492" s="1" t="n">
        <v>2026</v>
      </c>
      <c r="F492" s="1" t="inlineStr">
        <is>
          <t>MARZO</t>
        </is>
      </c>
      <c r="G492" s="1" t="inlineStr">
        <is>
          <t>HAIFENG</t>
        </is>
      </c>
      <c r="H492" s="1" t="inlineStr">
        <is>
          <t>HAIFENG 11/03/2026</t>
        </is>
      </c>
      <c r="I492" s="4" t="n">
        <v>4</v>
      </c>
      <c r="J492" s="6" t="n">
        <v>5</v>
      </c>
      <c r="K492" s="6" t="n">
        <v>106.5194811</v>
      </c>
      <c r="L492" s="6">
        <f>I492*K492</f>
        <v/>
      </c>
      <c r="M492" s="6">
        <f>K492*4</f>
        <v/>
      </c>
      <c r="N492" s="6" t="n">
        <v>550</v>
      </c>
    </row>
    <row r="493">
      <c r="A493" s="1" t="inlineStr">
        <is>
          <t>21206421781325</t>
        </is>
      </c>
      <c r="B493" s="1" t="inlineStr">
        <is>
          <t>ANILLO LOVE UNLIMITED SILVER</t>
        </is>
      </c>
      <c r="C493" s="1" t="inlineStr">
        <is>
          <t>8</t>
        </is>
      </c>
      <c r="D493" s="1" t="inlineStr">
        <is>
          <t>26/05/2026</t>
        </is>
      </c>
      <c r="E493" s="1" t="n">
        <v>2026</v>
      </c>
      <c r="F493" s="1" t="inlineStr">
        <is>
          <t>MAYO</t>
        </is>
      </c>
      <c r="G493" s="1" t="inlineStr">
        <is>
          <t>HAIFENG</t>
        </is>
      </c>
      <c r="H493" s="1" t="inlineStr">
        <is>
          <t>HAIFENG 26/05/2026</t>
        </is>
      </c>
      <c r="I493" s="4" t="n">
        <v>3</v>
      </c>
      <c r="J493" s="6" t="n">
        <v>5</v>
      </c>
      <c r="K493" s="6" t="n">
        <v>104.9464765</v>
      </c>
      <c r="L493" s="6">
        <f>I493*K493</f>
        <v/>
      </c>
      <c r="M493" s="6">
        <f>K493*4</f>
        <v/>
      </c>
      <c r="N493" s="6" t="n">
        <v>550</v>
      </c>
    </row>
    <row r="494">
      <c r="A494" s="1" t="inlineStr">
        <is>
          <t>21605761269037</t>
        </is>
      </c>
      <c r="B494" s="1" t="inlineStr">
        <is>
          <t>ANILLO BACK SOON T ROSE GOLD</t>
        </is>
      </c>
      <c r="C494" s="1" t="inlineStr">
        <is>
          <t>5</t>
        </is>
      </c>
      <c r="D494" s="1" t="inlineStr">
        <is>
          <t>25/09/2025</t>
        </is>
      </c>
      <c r="E494" s="1" t="n">
        <v>2025</v>
      </c>
      <c r="F494" s="1" t="inlineStr">
        <is>
          <t>SEPTIEMBRE</t>
        </is>
      </c>
      <c r="G494" s="1" t="inlineStr">
        <is>
          <t>HAIFENG</t>
        </is>
      </c>
      <c r="H494" s="1" t="inlineStr">
        <is>
          <t>HAIFENG 25/09/2025</t>
        </is>
      </c>
      <c r="I494" s="4" t="n">
        <v>3</v>
      </c>
      <c r="J494" s="6" t="n">
        <v>3</v>
      </c>
      <c r="K494" s="6" t="n">
        <v>63.29065731</v>
      </c>
      <c r="L494" s="6">
        <f>I494*K494</f>
        <v/>
      </c>
      <c r="M494" s="6">
        <f>K494*4</f>
        <v/>
      </c>
      <c r="N494" s="6" t="n">
        <v>400</v>
      </c>
    </row>
    <row r="495">
      <c r="A495" s="1" t="inlineStr">
        <is>
          <t>21605761269037</t>
        </is>
      </c>
      <c r="B495" s="1" t="inlineStr">
        <is>
          <t>ANILLO BACK SOON T ROSE GOLD</t>
        </is>
      </c>
      <c r="C495" s="1" t="inlineStr">
        <is>
          <t>5</t>
        </is>
      </c>
      <c r="D495" s="1" t="inlineStr">
        <is>
          <t>16/04/2026</t>
        </is>
      </c>
      <c r="E495" s="1" t="n">
        <v>2026</v>
      </c>
      <c r="F495" s="1" t="inlineStr">
        <is>
          <t>ABRIL</t>
        </is>
      </c>
      <c r="G495" s="1" t="inlineStr">
        <is>
          <t>HAIFENG</t>
        </is>
      </c>
      <c r="H495" s="1" t="inlineStr">
        <is>
          <t>HAIFENG 16/04/2026</t>
        </is>
      </c>
      <c r="I495" s="4" t="n">
        <v>2</v>
      </c>
      <c r="J495" s="6" t="n">
        <v>3</v>
      </c>
      <c r="K495" s="6" t="n">
        <v>63.09442077</v>
      </c>
      <c r="L495" s="6">
        <f>I495*K495</f>
        <v/>
      </c>
      <c r="M495" s="6">
        <f>K495*4</f>
        <v/>
      </c>
      <c r="N495" s="6" t="n">
        <v>400</v>
      </c>
    </row>
    <row r="496">
      <c r="A496" s="1" t="inlineStr">
        <is>
          <t>21605771301805</t>
        </is>
      </c>
      <c r="B496" s="1" t="inlineStr">
        <is>
          <t>ANILLO BACK SOON T ROSE GOLD</t>
        </is>
      </c>
      <c r="C496" s="1" t="inlineStr">
        <is>
          <t>6</t>
        </is>
      </c>
      <c r="D496" s="1" t="inlineStr">
        <is>
          <t>25/09/2025</t>
        </is>
      </c>
      <c r="E496" s="1" t="n">
        <v>2025</v>
      </c>
      <c r="F496" s="1" t="inlineStr">
        <is>
          <t>SEPTIEMBRE</t>
        </is>
      </c>
      <c r="G496" s="1" t="inlineStr">
        <is>
          <t>HAIFENG</t>
        </is>
      </c>
      <c r="H496" s="1" t="inlineStr">
        <is>
          <t>HAIFENG 25/09/2025</t>
        </is>
      </c>
      <c r="I496" s="4" t="n">
        <v>3</v>
      </c>
      <c r="J496" s="6" t="n">
        <v>3</v>
      </c>
      <c r="K496" s="6" t="n">
        <v>63.29065731</v>
      </c>
      <c r="L496" s="6">
        <f>I496*K496</f>
        <v/>
      </c>
      <c r="M496" s="6">
        <f>K496*4</f>
        <v/>
      </c>
      <c r="N496" s="6" t="n">
        <v>400</v>
      </c>
    </row>
    <row r="497">
      <c r="A497" s="1" t="inlineStr">
        <is>
          <t>21605771301805</t>
        </is>
      </c>
      <c r="B497" s="1" t="inlineStr">
        <is>
          <t>ANILLO BACK SOON T ROSE GOLD</t>
        </is>
      </c>
      <c r="C497" s="1" t="inlineStr">
        <is>
          <t>6</t>
        </is>
      </c>
      <c r="D497" s="1" t="inlineStr">
        <is>
          <t>11/03/2026</t>
        </is>
      </c>
      <c r="E497" s="1" t="n">
        <v>2026</v>
      </c>
      <c r="F497" s="1" t="inlineStr">
        <is>
          <t>MARZO</t>
        </is>
      </c>
      <c r="G497" s="1" t="inlineStr">
        <is>
          <t>HAIFENG</t>
        </is>
      </c>
      <c r="H497" s="1" t="inlineStr">
        <is>
          <t>HAIFENG 11/03/2026</t>
        </is>
      </c>
      <c r="I497" s="4" t="n">
        <v>1</v>
      </c>
      <c r="J497" s="6" t="n">
        <v>3</v>
      </c>
      <c r="K497" s="6" t="n">
        <v>63.91168865</v>
      </c>
      <c r="L497" s="6">
        <f>I497*K497</f>
        <v/>
      </c>
      <c r="M497" s="6">
        <f>K497*4</f>
        <v/>
      </c>
      <c r="N497" s="6" t="n">
        <v>400</v>
      </c>
    </row>
    <row r="498">
      <c r="A498" s="1" t="inlineStr">
        <is>
          <t>21605771301805</t>
        </is>
      </c>
      <c r="B498" s="1" t="inlineStr">
        <is>
          <t>ANILLO BACK SOON T ROSE GOLD</t>
        </is>
      </c>
      <c r="C498" s="1" t="inlineStr">
        <is>
          <t>6</t>
        </is>
      </c>
      <c r="D498" s="1" t="inlineStr">
        <is>
          <t>16/06/2026</t>
        </is>
      </c>
      <c r="E498" s="1" t="n">
        <v>2026</v>
      </c>
      <c r="F498" s="1" t="inlineStr">
        <is>
          <t>JUNIO</t>
        </is>
      </c>
      <c r="G498" s="1" t="inlineStr">
        <is>
          <t>HAIFENG</t>
        </is>
      </c>
      <c r="H498" s="1" t="inlineStr">
        <is>
          <t>HAIFENG 16/06/2026</t>
        </is>
      </c>
      <c r="I498" s="4" t="n">
        <v>2</v>
      </c>
      <c r="J498" s="6" t="n">
        <v>3</v>
      </c>
      <c r="K498" s="6" t="n">
        <v>63.04381938</v>
      </c>
      <c r="L498" s="6">
        <f>I498*K498</f>
        <v/>
      </c>
      <c r="M498" s="6">
        <f>K498*4</f>
        <v/>
      </c>
      <c r="N498" s="6" t="n">
        <v>400</v>
      </c>
    </row>
    <row r="499">
      <c r="A499" s="1" t="inlineStr">
        <is>
          <t>21605771334573</t>
        </is>
      </c>
      <c r="B499" s="1" t="inlineStr">
        <is>
          <t>ANILLO BACK SOON T ROSE GOLD</t>
        </is>
      </c>
      <c r="C499" s="1" t="inlineStr">
        <is>
          <t>7</t>
        </is>
      </c>
      <c r="D499" s="1" t="inlineStr">
        <is>
          <t>11/11/2025</t>
        </is>
      </c>
      <c r="E499" s="1" t="n">
        <v>2025</v>
      </c>
      <c r="F499" s="1" t="inlineStr">
        <is>
          <t>NOVIEMBRE</t>
        </is>
      </c>
      <c r="G499" s="1" t="inlineStr">
        <is>
          <t>HAIFENG</t>
        </is>
      </c>
      <c r="H499" s="1" t="inlineStr">
        <is>
          <t>HAIFENG 11/11/2025</t>
        </is>
      </c>
      <c r="I499" s="4" t="n">
        <v>4</v>
      </c>
      <c r="J499" s="6" t="n">
        <v>3</v>
      </c>
      <c r="K499" s="6" t="n">
        <v>63.18149533</v>
      </c>
      <c r="L499" s="6">
        <f>I499*K499</f>
        <v/>
      </c>
      <c r="M499" s="6">
        <f>K499*4</f>
        <v/>
      </c>
      <c r="N499" s="6" t="n">
        <v>400</v>
      </c>
    </row>
    <row r="500">
      <c r="A500" s="1" t="inlineStr">
        <is>
          <t>21605771334573</t>
        </is>
      </c>
      <c r="B500" s="1" t="inlineStr">
        <is>
          <t>ANILLO BACK SOON T ROSE GOLD</t>
        </is>
      </c>
      <c r="C500" s="1" t="inlineStr">
        <is>
          <t>7</t>
        </is>
      </c>
      <c r="D500" s="1" t="inlineStr">
        <is>
          <t>03/12/2025</t>
        </is>
      </c>
      <c r="E500" s="1" t="n">
        <v>2025</v>
      </c>
      <c r="F500" s="1" t="inlineStr">
        <is>
          <t>DICIEMBRE</t>
        </is>
      </c>
      <c r="G500" s="1" t="inlineStr">
        <is>
          <t>HAIFENG</t>
        </is>
      </c>
      <c r="H500" s="1" t="inlineStr">
        <is>
          <t>HAIFENG 03/12/2025</t>
        </is>
      </c>
      <c r="I500" s="4" t="n">
        <v>2</v>
      </c>
      <c r="J500" s="6" t="n">
        <v>3</v>
      </c>
      <c r="K500" s="6" t="n">
        <v>62.75148003</v>
      </c>
      <c r="L500" s="6">
        <f>I500*K500</f>
        <v/>
      </c>
      <c r="M500" s="6">
        <f>K500*4</f>
        <v/>
      </c>
      <c r="N500" s="6" t="n">
        <v>400</v>
      </c>
    </row>
    <row r="501">
      <c r="A501" s="1" t="inlineStr">
        <is>
          <t>21605774283693</t>
        </is>
      </c>
      <c r="B501" s="1" t="inlineStr">
        <is>
          <t>ANILLO BACK SOON T SILVER</t>
        </is>
      </c>
      <c r="C501" s="1" t="inlineStr">
        <is>
          <t>6</t>
        </is>
      </c>
      <c r="D501" s="1" t="inlineStr">
        <is>
          <t>25/09/2025</t>
        </is>
      </c>
      <c r="E501" s="1" t="n">
        <v>2025</v>
      </c>
      <c r="F501" s="1" t="inlineStr">
        <is>
          <t>SEPTIEMBRE</t>
        </is>
      </c>
      <c r="G501" s="1" t="inlineStr">
        <is>
          <t>HAIFENG</t>
        </is>
      </c>
      <c r="H501" s="1" t="inlineStr">
        <is>
          <t>HAIFENG 25/09/2025</t>
        </is>
      </c>
      <c r="I501" s="4" t="n">
        <v>3</v>
      </c>
      <c r="J501" s="6" t="n">
        <v>3</v>
      </c>
      <c r="K501" s="6" t="n">
        <v>63.29065731</v>
      </c>
      <c r="L501" s="6">
        <f>I501*K501</f>
        <v/>
      </c>
      <c r="M501" s="6">
        <f>K501*4</f>
        <v/>
      </c>
      <c r="N501" s="6" t="n">
        <v>450</v>
      </c>
    </row>
    <row r="502">
      <c r="A502" s="1" t="inlineStr">
        <is>
          <t>21605774283693</t>
        </is>
      </c>
      <c r="B502" s="1" t="inlineStr">
        <is>
          <t>ANILLO BACK SOON T SILVER</t>
        </is>
      </c>
      <c r="C502" s="1" t="inlineStr">
        <is>
          <t>6</t>
        </is>
      </c>
      <c r="D502" s="1" t="inlineStr">
        <is>
          <t>03/12/2025</t>
        </is>
      </c>
      <c r="E502" s="1" t="n">
        <v>2025</v>
      </c>
      <c r="F502" s="1" t="inlineStr">
        <is>
          <t>DICIEMBRE</t>
        </is>
      </c>
      <c r="G502" s="1" t="inlineStr">
        <is>
          <t>HAIFENG</t>
        </is>
      </c>
      <c r="H502" s="1" t="inlineStr">
        <is>
          <t>HAIFENG 03/12/2025</t>
        </is>
      </c>
      <c r="I502" s="4" t="n">
        <v>4</v>
      </c>
      <c r="J502" s="6" t="n">
        <v>3</v>
      </c>
      <c r="K502" s="6" t="n">
        <v>62.75148003</v>
      </c>
      <c r="L502" s="6">
        <f>I502*K502</f>
        <v/>
      </c>
      <c r="M502" s="6">
        <f>K502*4</f>
        <v/>
      </c>
      <c r="N502" s="6" t="n">
        <v>450</v>
      </c>
    </row>
    <row r="503">
      <c r="A503" s="1" t="inlineStr">
        <is>
          <t>21605774283693</t>
        </is>
      </c>
      <c r="B503" s="1" t="inlineStr">
        <is>
          <t>ANILLO BACK SOON T SILVER</t>
        </is>
      </c>
      <c r="C503" s="1" t="inlineStr">
        <is>
          <t>6</t>
        </is>
      </c>
      <c r="D503" s="1" t="inlineStr">
        <is>
          <t>20/01/2026</t>
        </is>
      </c>
      <c r="E503" s="1" t="n">
        <v>2026</v>
      </c>
      <c r="F503" s="1" t="inlineStr">
        <is>
          <t>ENERO</t>
        </is>
      </c>
      <c r="G503" s="1" t="inlineStr">
        <is>
          <t>HAIFENG</t>
        </is>
      </c>
      <c r="H503" s="1" t="inlineStr">
        <is>
          <t>HAIFENG 20/01/2026</t>
        </is>
      </c>
      <c r="I503" s="4" t="n">
        <v>2</v>
      </c>
      <c r="J503" s="6" t="n">
        <v>3</v>
      </c>
      <c r="K503" s="6" t="n">
        <v>63.60125338</v>
      </c>
      <c r="L503" s="6">
        <f>I503*K503</f>
        <v/>
      </c>
      <c r="M503" s="6">
        <f>K503*4</f>
        <v/>
      </c>
      <c r="N503" s="6" t="n">
        <v>450</v>
      </c>
    </row>
    <row r="504">
      <c r="A504" s="1" t="inlineStr">
        <is>
          <t>21605774283693</t>
        </is>
      </c>
      <c r="B504" s="1" t="inlineStr">
        <is>
          <t>ANILLO BACK SOON T SILVER</t>
        </is>
      </c>
      <c r="C504" s="1" t="inlineStr">
        <is>
          <t>6</t>
        </is>
      </c>
      <c r="D504" s="1" t="inlineStr">
        <is>
          <t>06/05/2026</t>
        </is>
      </c>
      <c r="E504" s="1" t="n">
        <v>2026</v>
      </c>
      <c r="F504" s="1" t="inlineStr">
        <is>
          <t>MAYO</t>
        </is>
      </c>
      <c r="G504" s="1" t="inlineStr">
        <is>
          <t>HAIFENG</t>
        </is>
      </c>
      <c r="H504" s="1" t="inlineStr">
        <is>
          <t>HAIFENG 06/05/2026</t>
        </is>
      </c>
      <c r="I504" s="4" t="n">
        <v>2</v>
      </c>
      <c r="J504" s="6" t="n">
        <v>3</v>
      </c>
      <c r="K504" s="6" t="n">
        <v>63.6559268</v>
      </c>
      <c r="L504" s="6">
        <f>I504*K504</f>
        <v/>
      </c>
      <c r="M504" s="6">
        <f>K504*4</f>
        <v/>
      </c>
      <c r="N504" s="6" t="n">
        <v>450</v>
      </c>
    </row>
    <row r="505">
      <c r="A505" s="1" t="inlineStr">
        <is>
          <t>21605774283693</t>
        </is>
      </c>
      <c r="B505" s="1" t="inlineStr">
        <is>
          <t>ANILLO BACK SOON T SILVER</t>
        </is>
      </c>
      <c r="C505" s="1" t="inlineStr">
        <is>
          <t>6</t>
        </is>
      </c>
      <c r="D505" s="1" t="inlineStr">
        <is>
          <t>26/05/2026</t>
        </is>
      </c>
      <c r="E505" s="1" t="n">
        <v>2026</v>
      </c>
      <c r="F505" s="1" t="inlineStr">
        <is>
          <t>MAYO</t>
        </is>
      </c>
      <c r="G505" s="1" t="inlineStr">
        <is>
          <t>HAIFENG</t>
        </is>
      </c>
      <c r="H505" s="1" t="inlineStr">
        <is>
          <t>HAIFENG 26/05/2026</t>
        </is>
      </c>
      <c r="I505" s="4" t="n">
        <v>2</v>
      </c>
      <c r="J505" s="6" t="n">
        <v>3</v>
      </c>
      <c r="K505" s="6" t="n">
        <v>62.96788589</v>
      </c>
      <c r="L505" s="6">
        <f>I505*K505</f>
        <v/>
      </c>
      <c r="M505" s="6">
        <f>K505*4</f>
        <v/>
      </c>
      <c r="N505" s="6" t="n">
        <v>450</v>
      </c>
    </row>
    <row r="506">
      <c r="A506" s="1" t="inlineStr">
        <is>
          <t>21605774316461</t>
        </is>
      </c>
      <c r="B506" s="1" t="inlineStr">
        <is>
          <t>ANILLO BACK SOON T SILVER</t>
        </is>
      </c>
      <c r="C506" s="1" t="inlineStr">
        <is>
          <t>7</t>
        </is>
      </c>
      <c r="D506" s="1" t="inlineStr">
        <is>
          <t>11/11/2025</t>
        </is>
      </c>
      <c r="E506" s="1" t="n">
        <v>2025</v>
      </c>
      <c r="F506" s="1" t="inlineStr">
        <is>
          <t>NOVIEMBRE</t>
        </is>
      </c>
      <c r="G506" s="1" t="inlineStr">
        <is>
          <t>HAIFENG</t>
        </is>
      </c>
      <c r="H506" s="1" t="inlineStr">
        <is>
          <t>HAIFENG 11/11/2025</t>
        </is>
      </c>
      <c r="I506" s="4" t="n">
        <v>3</v>
      </c>
      <c r="J506" s="6" t="n">
        <v>3</v>
      </c>
      <c r="K506" s="6" t="n">
        <v>63.18149533</v>
      </c>
      <c r="L506" s="6">
        <f>I506*K506</f>
        <v/>
      </c>
      <c r="M506" s="6">
        <f>K506*4</f>
        <v/>
      </c>
      <c r="N506" s="6" t="n">
        <v>450</v>
      </c>
    </row>
    <row r="507">
      <c r="A507" s="1" t="inlineStr">
        <is>
          <t>21605774316461</t>
        </is>
      </c>
      <c r="B507" s="1" t="inlineStr">
        <is>
          <t>ANILLO BACK SOON T SILVER</t>
        </is>
      </c>
      <c r="C507" s="1" t="inlineStr">
        <is>
          <t>7</t>
        </is>
      </c>
      <c r="D507" s="1" t="inlineStr">
        <is>
          <t>03/12/2025</t>
        </is>
      </c>
      <c r="E507" s="1" t="n">
        <v>2025</v>
      </c>
      <c r="F507" s="1" t="inlineStr">
        <is>
          <t>DICIEMBRE</t>
        </is>
      </c>
      <c r="G507" s="1" t="inlineStr">
        <is>
          <t>HAIFENG</t>
        </is>
      </c>
      <c r="H507" s="1" t="inlineStr">
        <is>
          <t>HAIFENG 03/12/2025</t>
        </is>
      </c>
      <c r="I507" s="4" t="n">
        <v>2</v>
      </c>
      <c r="J507" s="6" t="n">
        <v>3</v>
      </c>
      <c r="K507" s="6" t="n">
        <v>62.75148003</v>
      </c>
      <c r="L507" s="6">
        <f>I507*K507</f>
        <v/>
      </c>
      <c r="M507" s="6">
        <f>K507*4</f>
        <v/>
      </c>
      <c r="N507" s="6" t="n">
        <v>450</v>
      </c>
    </row>
    <row r="508">
      <c r="A508" s="1" t="inlineStr">
        <is>
          <t>21605774316461</t>
        </is>
      </c>
      <c r="B508" s="1" t="inlineStr">
        <is>
          <t>ANILLO BACK SOON T SILVER</t>
        </is>
      </c>
      <c r="C508" s="1" t="inlineStr">
        <is>
          <t>7</t>
        </is>
      </c>
      <c r="D508" s="1" t="inlineStr">
        <is>
          <t>20/01/2026</t>
        </is>
      </c>
      <c r="E508" s="1" t="n">
        <v>2026</v>
      </c>
      <c r="F508" s="1" t="inlineStr">
        <is>
          <t>ENERO</t>
        </is>
      </c>
      <c r="G508" s="1" t="inlineStr">
        <is>
          <t>HAIFENG</t>
        </is>
      </c>
      <c r="H508" s="1" t="inlineStr">
        <is>
          <t>HAIFENG 20/01/2026</t>
        </is>
      </c>
      <c r="I508" s="4" t="n">
        <v>2</v>
      </c>
      <c r="J508" s="6" t="n">
        <v>3</v>
      </c>
      <c r="K508" s="6" t="n">
        <v>63.60125338</v>
      </c>
      <c r="L508" s="6">
        <f>I508*K508</f>
        <v/>
      </c>
      <c r="M508" s="6">
        <f>K508*4</f>
        <v/>
      </c>
      <c r="N508" s="6" t="n">
        <v>450</v>
      </c>
    </row>
    <row r="509">
      <c r="A509" s="1" t="inlineStr">
        <is>
          <t>21605774316461</t>
        </is>
      </c>
      <c r="B509" s="1" t="n"/>
      <c r="C509" s="1" t="inlineStr">
        <is>
          <t>7</t>
        </is>
      </c>
      <c r="D509" s="1" t="inlineStr">
        <is>
          <t>10/02/2026</t>
        </is>
      </c>
      <c r="E509" s="1" t="n">
        <v>2026</v>
      </c>
      <c r="F509" s="1" t="inlineStr">
        <is>
          <t>FEBRERO</t>
        </is>
      </c>
      <c r="G509" s="1" t="inlineStr">
        <is>
          <t>HAIFENG</t>
        </is>
      </c>
      <c r="H509" s="1" t="inlineStr">
        <is>
          <t>HAIFENG 10/02/2026</t>
        </is>
      </c>
      <c r="I509" s="4" t="n">
        <v>2</v>
      </c>
      <c r="J509" s="6" t="n">
        <v>3</v>
      </c>
      <c r="K509" s="6" t="n">
        <v>63.2054882</v>
      </c>
      <c r="L509" s="6">
        <f>I509*K509</f>
        <v/>
      </c>
      <c r="M509" s="6">
        <f>K509*4</f>
        <v/>
      </c>
      <c r="N509" s="6" t="n">
        <v>450</v>
      </c>
    </row>
    <row r="510">
      <c r="A510" s="1" t="inlineStr">
        <is>
          <t>21605774316461</t>
        </is>
      </c>
      <c r="B510" s="1" t="inlineStr">
        <is>
          <t>ANILLO BACK SOON T SILVER</t>
        </is>
      </c>
      <c r="C510" s="1" t="inlineStr">
        <is>
          <t>7</t>
        </is>
      </c>
      <c r="D510" s="1" t="inlineStr">
        <is>
          <t>16/04/2026</t>
        </is>
      </c>
      <c r="E510" s="1" t="n">
        <v>2026</v>
      </c>
      <c r="F510" s="1" t="inlineStr">
        <is>
          <t>ABRIL</t>
        </is>
      </c>
      <c r="G510" s="1" t="inlineStr">
        <is>
          <t>HAIFENG</t>
        </is>
      </c>
      <c r="H510" s="1" t="inlineStr">
        <is>
          <t>HAIFENG 16/04/2026</t>
        </is>
      </c>
      <c r="I510" s="4" t="n">
        <v>3</v>
      </c>
      <c r="J510" s="6" t="n">
        <v>3</v>
      </c>
      <c r="K510" s="6" t="n">
        <v>63.09442077</v>
      </c>
      <c r="L510" s="6">
        <f>I510*K510</f>
        <v/>
      </c>
      <c r="M510" s="6">
        <f>K510*4</f>
        <v/>
      </c>
      <c r="N510" s="6" t="n">
        <v>450</v>
      </c>
    </row>
    <row r="511">
      <c r="A511" s="1" t="inlineStr">
        <is>
          <t>21605774349229</t>
        </is>
      </c>
      <c r="B511" s="1" t="inlineStr">
        <is>
          <t>ANILLO BACK SOON T SILVER</t>
        </is>
      </c>
      <c r="C511" s="1" t="inlineStr">
        <is>
          <t>8</t>
        </is>
      </c>
      <c r="D511" s="1" t="inlineStr">
        <is>
          <t>25/09/2025</t>
        </is>
      </c>
      <c r="E511" s="1" t="n">
        <v>2025</v>
      </c>
      <c r="F511" s="1" t="inlineStr">
        <is>
          <t>SEPTIEMBRE</t>
        </is>
      </c>
      <c r="G511" s="1" t="inlineStr">
        <is>
          <t>HAIFENG</t>
        </is>
      </c>
      <c r="H511" s="1" t="inlineStr">
        <is>
          <t>HAIFENG 25/09/2025</t>
        </is>
      </c>
      <c r="I511" s="4" t="n">
        <v>8</v>
      </c>
      <c r="J511" s="6" t="n">
        <v>3</v>
      </c>
      <c r="K511" s="6" t="n">
        <v>63.29065731</v>
      </c>
      <c r="L511" s="6">
        <f>I511*K511</f>
        <v/>
      </c>
      <c r="M511" s="6">
        <f>K511*4</f>
        <v/>
      </c>
      <c r="N511" s="6" t="n">
        <v>450</v>
      </c>
    </row>
    <row r="512">
      <c r="A512" s="1" t="inlineStr">
        <is>
          <t>21605774349229</t>
        </is>
      </c>
      <c r="B512" s="1" t="inlineStr">
        <is>
          <t>ANILLO BACK SOON T SILVER</t>
        </is>
      </c>
      <c r="C512" s="1" t="inlineStr">
        <is>
          <t>8</t>
        </is>
      </c>
      <c r="D512" s="1" t="inlineStr">
        <is>
          <t>11/11/2025</t>
        </is>
      </c>
      <c r="E512" s="1" t="n">
        <v>2025</v>
      </c>
      <c r="F512" s="1" t="inlineStr">
        <is>
          <t>NOVIEMBRE</t>
        </is>
      </c>
      <c r="G512" s="1" t="inlineStr">
        <is>
          <t>HAIFENG</t>
        </is>
      </c>
      <c r="H512" s="1" t="inlineStr">
        <is>
          <t>HAIFENG 11/11/2025</t>
        </is>
      </c>
      <c r="I512" s="4" t="n">
        <v>5</v>
      </c>
      <c r="J512" s="6" t="n">
        <v>3</v>
      </c>
      <c r="K512" s="6" t="n">
        <v>63.18149533</v>
      </c>
      <c r="L512" s="6">
        <f>I512*K512</f>
        <v/>
      </c>
      <c r="M512" s="6">
        <f>K512*4</f>
        <v/>
      </c>
      <c r="N512" s="6" t="n">
        <v>450</v>
      </c>
    </row>
    <row r="513">
      <c r="A513" s="1" t="inlineStr">
        <is>
          <t>21605774349229</t>
        </is>
      </c>
      <c r="B513" s="1" t="inlineStr">
        <is>
          <t>ANILLO BACK SOON T SILVER</t>
        </is>
      </c>
      <c r="C513" s="1" t="inlineStr">
        <is>
          <t>8</t>
        </is>
      </c>
      <c r="D513" s="1" t="inlineStr">
        <is>
          <t>03/12/2025</t>
        </is>
      </c>
      <c r="E513" s="1" t="n">
        <v>2025</v>
      </c>
      <c r="F513" s="1" t="inlineStr">
        <is>
          <t>DICIEMBRE</t>
        </is>
      </c>
      <c r="G513" s="1" t="inlineStr">
        <is>
          <t>HAIFENG</t>
        </is>
      </c>
      <c r="H513" s="1" t="inlineStr">
        <is>
          <t>HAIFENG 03/12/2025</t>
        </is>
      </c>
      <c r="I513" s="4" t="n">
        <v>1</v>
      </c>
      <c r="J513" s="6" t="n">
        <v>3</v>
      </c>
      <c r="K513" s="6" t="n">
        <v>62.75148003</v>
      </c>
      <c r="L513" s="6">
        <f>I513*K513</f>
        <v/>
      </c>
      <c r="M513" s="6">
        <f>K513*4</f>
        <v/>
      </c>
      <c r="N513" s="6" t="n">
        <v>450</v>
      </c>
    </row>
    <row r="514">
      <c r="A514" s="1" t="inlineStr">
        <is>
          <t>21605774349229</t>
        </is>
      </c>
      <c r="B514" s="1" t="inlineStr">
        <is>
          <t>ANILLO BACK SOON T SILVER</t>
        </is>
      </c>
      <c r="C514" s="1" t="inlineStr">
        <is>
          <t>8</t>
        </is>
      </c>
      <c r="D514" s="1" t="inlineStr">
        <is>
          <t>16/04/2026</t>
        </is>
      </c>
      <c r="E514" s="1" t="n">
        <v>2026</v>
      </c>
      <c r="F514" s="1" t="inlineStr">
        <is>
          <t>ABRIL</t>
        </is>
      </c>
      <c r="G514" s="1" t="inlineStr">
        <is>
          <t>HAIFENG</t>
        </is>
      </c>
      <c r="H514" s="1" t="inlineStr">
        <is>
          <t>HAIFENG 16/04/2026</t>
        </is>
      </c>
      <c r="I514" s="4" t="n">
        <v>1</v>
      </c>
      <c r="J514" s="6" t="n">
        <v>3</v>
      </c>
      <c r="K514" s="6" t="n">
        <v>63.09442077</v>
      </c>
      <c r="L514" s="6">
        <f>I514*K514</f>
        <v/>
      </c>
      <c r="M514" s="6">
        <f>K514*4</f>
        <v/>
      </c>
      <c r="N514" s="6" t="n">
        <v>450</v>
      </c>
    </row>
    <row r="515">
      <c r="A515" s="1" t="inlineStr">
        <is>
          <t>22064321023405</t>
        </is>
      </c>
      <c r="B515" s="1" t="inlineStr">
        <is>
          <t>BRAZALETE LOVE GOLD</t>
        </is>
      </c>
      <c r="C515" s="1" t="inlineStr">
        <is>
          <t>16CM</t>
        </is>
      </c>
      <c r="D515" s="1" t="inlineStr">
        <is>
          <t>05/02/2026</t>
        </is>
      </c>
      <c r="E515" s="1" t="n">
        <v>2026</v>
      </c>
      <c r="F515" s="1" t="inlineStr">
        <is>
          <t>FEBRERO</t>
        </is>
      </c>
      <c r="G515" s="1" t="inlineStr">
        <is>
          <t>HAIFENG</t>
        </is>
      </c>
      <c r="H515" s="1" t="inlineStr">
        <is>
          <t>HAIFENG 05/02/2026</t>
        </is>
      </c>
      <c r="I515" s="4" t="n">
        <v>3</v>
      </c>
      <c r="J515" s="6" t="n">
        <v>2.99</v>
      </c>
      <c r="K515" s="6" t="n">
        <v>63.84933424</v>
      </c>
      <c r="L515" s="6">
        <f>I515*K515</f>
        <v/>
      </c>
      <c r="M515" s="6">
        <f>K515*4</f>
        <v/>
      </c>
      <c r="N515" s="6" t="n">
        <v>450</v>
      </c>
    </row>
    <row r="516">
      <c r="A516" s="1" t="inlineStr">
        <is>
          <t>22064321023405</t>
        </is>
      </c>
      <c r="B516" s="1" t="inlineStr">
        <is>
          <t>BRAZALETE LOVE GOLD</t>
        </is>
      </c>
      <c r="C516" s="1" t="inlineStr">
        <is>
          <t>16CM</t>
        </is>
      </c>
      <c r="D516" s="1" t="inlineStr">
        <is>
          <t>26/05/2026</t>
        </is>
      </c>
      <c r="E516" s="1" t="n">
        <v>2026</v>
      </c>
      <c r="F516" s="1" t="inlineStr">
        <is>
          <t>MAYO</t>
        </is>
      </c>
      <c r="G516" s="1" t="inlineStr">
        <is>
          <t>HAIFENG</t>
        </is>
      </c>
      <c r="H516" s="1" t="inlineStr">
        <is>
          <t>HAIFENG 26/05/2026</t>
        </is>
      </c>
      <c r="I516" s="4" t="n">
        <v>3</v>
      </c>
      <c r="J516" s="6" t="n">
        <v>2.99</v>
      </c>
      <c r="K516" s="6" t="n">
        <v>62.75799293</v>
      </c>
      <c r="L516" s="6">
        <f>I516*K516</f>
        <v/>
      </c>
      <c r="M516" s="6">
        <f>K516*4</f>
        <v/>
      </c>
      <c r="N516" s="6" t="n">
        <v>450</v>
      </c>
    </row>
    <row r="517">
      <c r="A517" s="1" t="inlineStr">
        <is>
          <t>22064321131885</t>
        </is>
      </c>
      <c r="B517" s="1" t="inlineStr">
        <is>
          <t>PULSERA LOVE SILVER-BLACK MICROZIRCONIAS</t>
        </is>
      </c>
      <c r="C517" s="1" t="inlineStr">
        <is>
          <t>17CM</t>
        </is>
      </c>
      <c r="D517" s="1" t="inlineStr">
        <is>
          <t>05/02/2026</t>
        </is>
      </c>
      <c r="E517" s="1" t="n">
        <v>2026</v>
      </c>
      <c r="F517" s="1" t="inlineStr">
        <is>
          <t>FEBRERO</t>
        </is>
      </c>
      <c r="G517" s="1" t="inlineStr">
        <is>
          <t>HAIFENG</t>
        </is>
      </c>
      <c r="H517" s="1" t="inlineStr">
        <is>
          <t>HAIFENG 05/02/2026</t>
        </is>
      </c>
      <c r="I517" s="4" t="n">
        <v>2</v>
      </c>
      <c r="J517" s="6" t="n">
        <v>25</v>
      </c>
      <c r="K517" s="6" t="n">
        <v>533.8573097</v>
      </c>
      <c r="L517" s="6">
        <f>I517*K517</f>
        <v/>
      </c>
      <c r="M517" s="6">
        <f>K517*4</f>
        <v/>
      </c>
      <c r="N517" s="6" t="n">
        <v>2060</v>
      </c>
    </row>
    <row r="518">
      <c r="A518" s="1" t="inlineStr">
        <is>
          <t>22064321264653</t>
        </is>
      </c>
      <c r="B518" s="1" t="inlineStr">
        <is>
          <t>PULSERA LOVE SILVER-BLACK MICROZIRCONIAS</t>
        </is>
      </c>
      <c r="C518" s="1" t="inlineStr">
        <is>
          <t>18CM</t>
        </is>
      </c>
      <c r="D518" s="1" t="inlineStr">
        <is>
          <t>05/02/2026</t>
        </is>
      </c>
      <c r="E518" s="1" t="n">
        <v>2026</v>
      </c>
      <c r="F518" s="1" t="inlineStr">
        <is>
          <t>FEBRERO</t>
        </is>
      </c>
      <c r="G518" s="1" t="inlineStr">
        <is>
          <t>HAIFENG</t>
        </is>
      </c>
      <c r="H518" s="1" t="inlineStr">
        <is>
          <t>HAIFENG 05/02/2026</t>
        </is>
      </c>
      <c r="I518" s="4" t="n">
        <v>2</v>
      </c>
      <c r="J518" s="6" t="n">
        <v>25</v>
      </c>
      <c r="K518" s="6" t="n">
        <v>533.8573097</v>
      </c>
      <c r="L518" s="6">
        <f>I518*K518</f>
        <v/>
      </c>
      <c r="M518" s="6">
        <f>K518*4</f>
        <v/>
      </c>
      <c r="N518" s="6" t="n">
        <v>2060</v>
      </c>
    </row>
    <row r="519">
      <c r="A519" s="1" t="inlineStr">
        <is>
          <t>22064321264653</t>
        </is>
      </c>
      <c r="B519" s="1" t="inlineStr">
        <is>
          <t>PULSERA LOVE SILVER-BLACK MICROZIRCONIAS</t>
        </is>
      </c>
      <c r="C519" s="1" t="inlineStr">
        <is>
          <t>18CM</t>
        </is>
      </c>
      <c r="D519" s="1" t="inlineStr">
        <is>
          <t>16/04/2026</t>
        </is>
      </c>
      <c r="E519" s="1" t="n">
        <v>2026</v>
      </c>
      <c r="F519" s="1" t="inlineStr">
        <is>
          <t>ABRIL</t>
        </is>
      </c>
      <c r="G519" s="1" t="inlineStr">
        <is>
          <t>HAIFENG</t>
        </is>
      </c>
      <c r="H519" s="1" t="inlineStr">
        <is>
          <t>HAIFENG 16/04/2026</t>
        </is>
      </c>
      <c r="I519" s="4" t="n">
        <v>2</v>
      </c>
      <c r="J519" s="6" t="n">
        <v>25</v>
      </c>
      <c r="K519" s="6" t="n">
        <v>525.7868397</v>
      </c>
      <c r="L519" s="6">
        <f>I519*K519</f>
        <v/>
      </c>
      <c r="M519" s="6">
        <f>K519*4</f>
        <v/>
      </c>
      <c r="N519" s="6" t="n">
        <v>2060</v>
      </c>
    </row>
    <row r="520">
      <c r="A520" s="1" t="inlineStr">
        <is>
          <t>22064321319469</t>
        </is>
      </c>
      <c r="B520" s="1" t="inlineStr">
        <is>
          <t>ANILLO LOVE SILVER-BLACK MICROZIRCONIAS</t>
        </is>
      </c>
      <c r="C520" s="1" t="inlineStr">
        <is>
          <t>8</t>
        </is>
      </c>
      <c r="D520" s="1" t="inlineStr">
        <is>
          <t>05/02/2026</t>
        </is>
      </c>
      <c r="E520" s="1" t="n">
        <v>2026</v>
      </c>
      <c r="F520" s="1" t="inlineStr">
        <is>
          <t>FEBRERO</t>
        </is>
      </c>
      <c r="G520" s="1" t="inlineStr">
        <is>
          <t>HAIFENG</t>
        </is>
      </c>
      <c r="H520" s="1" t="inlineStr">
        <is>
          <t>HAIFENG 05/02/2026</t>
        </is>
      </c>
      <c r="I520" s="4" t="n">
        <v>2</v>
      </c>
      <c r="J520" s="6" t="n">
        <v>8</v>
      </c>
      <c r="K520" s="6" t="n">
        <v>170.8343391</v>
      </c>
      <c r="L520" s="6">
        <f>I520*K520</f>
        <v/>
      </c>
      <c r="M520" s="6">
        <f>K520*4</f>
        <v/>
      </c>
      <c r="N520" s="6" t="n">
        <v>999</v>
      </c>
    </row>
    <row r="521">
      <c r="A521" s="1" t="inlineStr">
        <is>
          <t>22064321319469</t>
        </is>
      </c>
      <c r="B521" s="1" t="inlineStr">
        <is>
          <t>ANILLO LOVE SILVER-BLACK MICROZIRCONIAS</t>
        </is>
      </c>
      <c r="C521" s="1" t="inlineStr">
        <is>
          <t>8</t>
        </is>
      </c>
      <c r="D521" s="1" t="inlineStr">
        <is>
          <t>26/05/2026</t>
        </is>
      </c>
      <c r="E521" s="1" t="n">
        <v>2026</v>
      </c>
      <c r="F521" s="1" t="inlineStr">
        <is>
          <t>MAYO</t>
        </is>
      </c>
      <c r="G521" s="1" t="inlineStr">
        <is>
          <t>HAIFENG</t>
        </is>
      </c>
      <c r="H521" s="1" t="inlineStr">
        <is>
          <t>HAIFENG 26/05/2026</t>
        </is>
      </c>
      <c r="I521" s="4" t="n">
        <v>2</v>
      </c>
      <c r="J521" s="6" t="n">
        <v>12</v>
      </c>
      <c r="K521" s="6" t="n">
        <v>251.8715435</v>
      </c>
      <c r="L521" s="6">
        <f>I521*K521</f>
        <v/>
      </c>
      <c r="M521" s="6">
        <f>K521*4</f>
        <v/>
      </c>
      <c r="N521" s="6" t="n">
        <v>999</v>
      </c>
    </row>
    <row r="522">
      <c r="A522" s="1" t="inlineStr">
        <is>
          <t>22064321452237</t>
        </is>
      </c>
      <c r="B522" s="1" t="inlineStr">
        <is>
          <t>ANILLO LOVE SILVER-BLACK MICROZIRCONIAS</t>
        </is>
      </c>
      <c r="C522" s="1" t="inlineStr">
        <is>
          <t>9</t>
        </is>
      </c>
      <c r="D522" s="1" t="inlineStr">
        <is>
          <t>05/02/2026</t>
        </is>
      </c>
      <c r="E522" s="1" t="n">
        <v>2026</v>
      </c>
      <c r="F522" s="1" t="inlineStr">
        <is>
          <t>FEBRERO</t>
        </is>
      </c>
      <c r="G522" s="1" t="inlineStr">
        <is>
          <t>HAIFENG</t>
        </is>
      </c>
      <c r="H522" s="1" t="inlineStr">
        <is>
          <t>HAIFENG 05/02/2026</t>
        </is>
      </c>
      <c r="I522" s="4" t="n">
        <v>2</v>
      </c>
      <c r="J522" s="6" t="n">
        <v>8</v>
      </c>
      <c r="K522" s="6" t="n">
        <v>170.8343391</v>
      </c>
      <c r="L522" s="6">
        <f>I522*K522</f>
        <v/>
      </c>
      <c r="M522" s="6">
        <f>K522*4</f>
        <v/>
      </c>
      <c r="N522" s="6" t="n">
        <v>999</v>
      </c>
    </row>
    <row r="523">
      <c r="A523" s="1" t="inlineStr">
        <is>
          <t>22064321560717</t>
        </is>
      </c>
      <c r="B523" s="1" t="inlineStr">
        <is>
          <t>PULSERA LOVE-LOVE GOLD ZIRCONIAS</t>
        </is>
      </c>
      <c r="C523" s="1" t="inlineStr">
        <is>
          <t>Default Title</t>
        </is>
      </c>
      <c r="D523" s="1" t="inlineStr">
        <is>
          <t>05/02/2026</t>
        </is>
      </c>
      <c r="E523" s="1" t="n">
        <v>2026</v>
      </c>
      <c r="F523" s="1" t="inlineStr">
        <is>
          <t>FEBRERO</t>
        </is>
      </c>
      <c r="G523" s="1" t="inlineStr">
        <is>
          <t>HAIFENG</t>
        </is>
      </c>
      <c r="H523" s="1" t="inlineStr">
        <is>
          <t>HAIFENG 05/02/2026</t>
        </is>
      </c>
      <c r="I523" s="4" t="n">
        <v>3</v>
      </c>
      <c r="J523" s="6" t="n">
        <v>5</v>
      </c>
      <c r="K523" s="6" t="n">
        <v>106.7714619</v>
      </c>
      <c r="L523" s="6">
        <f>I523*K523</f>
        <v/>
      </c>
      <c r="M523" s="6">
        <f>K523*4</f>
        <v/>
      </c>
      <c r="N523" s="6" t="n">
        <v>450</v>
      </c>
    </row>
    <row r="524">
      <c r="A524" s="1" t="inlineStr">
        <is>
          <t>22064321560717</t>
        </is>
      </c>
      <c r="B524" s="1" t="inlineStr">
        <is>
          <t>PULSERA LOVE-LOVE GOLD ZIRCONIAS</t>
        </is>
      </c>
      <c r="C524" s="1" t="inlineStr">
        <is>
          <t>Default Title</t>
        </is>
      </c>
      <c r="D524" s="1" t="inlineStr">
        <is>
          <t>16/06/2026</t>
        </is>
      </c>
      <c r="E524" s="1" t="n">
        <v>2026</v>
      </c>
      <c r="F524" s="1" t="inlineStr">
        <is>
          <t>JUNIO</t>
        </is>
      </c>
      <c r="G524" s="1" t="inlineStr">
        <is>
          <t>HAIFENG</t>
        </is>
      </c>
      <c r="H524" s="1" t="inlineStr">
        <is>
          <t>HAIFENG 16/06/2026</t>
        </is>
      </c>
      <c r="I524" s="4" t="n">
        <v>2</v>
      </c>
      <c r="J524" s="6" t="n">
        <v>5</v>
      </c>
      <c r="K524" s="6" t="n">
        <v>105.0730323</v>
      </c>
      <c r="L524" s="6">
        <f>I524*K524</f>
        <v/>
      </c>
      <c r="M524" s="6">
        <f>K524*4</f>
        <v/>
      </c>
      <c r="N524" s="6" t="n">
        <v>450</v>
      </c>
    </row>
    <row r="525">
      <c r="A525" s="1" t="inlineStr">
        <is>
          <t>22064321629645</t>
        </is>
      </c>
      <c r="B525" s="1" t="inlineStr">
        <is>
          <t>ANILLO DOBLE PANTHERE GOLD</t>
        </is>
      </c>
      <c r="C525" s="1" t="inlineStr">
        <is>
          <t>6</t>
        </is>
      </c>
      <c r="D525" s="1" t="inlineStr">
        <is>
          <t>05/02/2026</t>
        </is>
      </c>
      <c r="E525" s="1" t="n">
        <v>2026</v>
      </c>
      <c r="F525" s="1" t="inlineStr">
        <is>
          <t>FEBRERO</t>
        </is>
      </c>
      <c r="G525" s="1" t="inlineStr">
        <is>
          <t>HAIFENG</t>
        </is>
      </c>
      <c r="H525" s="1" t="inlineStr">
        <is>
          <t>HAIFENG 05/02/2026</t>
        </is>
      </c>
      <c r="I525" s="4" t="n">
        <v>2</v>
      </c>
      <c r="J525" s="6" t="n">
        <v>9</v>
      </c>
      <c r="K525" s="6" t="n">
        <v>192.1886315</v>
      </c>
      <c r="L525" s="6">
        <f>I525*K525</f>
        <v/>
      </c>
      <c r="M525" s="6">
        <f>K525*4</f>
        <v/>
      </c>
      <c r="N525" s="6" t="n">
        <v>750</v>
      </c>
    </row>
    <row r="526">
      <c r="A526" s="1" t="inlineStr">
        <is>
          <t>22064321629645</t>
        </is>
      </c>
      <c r="B526" s="1" t="inlineStr">
        <is>
          <t>ANILLO DOBLE PANTHERE GOLD</t>
        </is>
      </c>
      <c r="C526" s="1" t="inlineStr">
        <is>
          <t>6</t>
        </is>
      </c>
      <c r="D526" s="1" t="inlineStr">
        <is>
          <t>16/06/2026</t>
        </is>
      </c>
      <c r="E526" s="1" t="n">
        <v>2026</v>
      </c>
      <c r="F526" s="1" t="inlineStr">
        <is>
          <t>JUNIO</t>
        </is>
      </c>
      <c r="G526" s="1" t="inlineStr">
        <is>
          <t>HAIFENG</t>
        </is>
      </c>
      <c r="H526" s="1" t="inlineStr">
        <is>
          <t>HAIFENG 16/06/2026</t>
        </is>
      </c>
      <c r="I526" s="4" t="n">
        <v>4</v>
      </c>
      <c r="J526" s="6" t="n">
        <v>9</v>
      </c>
      <c r="K526" s="6" t="n">
        <v>189.1314581</v>
      </c>
      <c r="L526" s="6">
        <f>I526*K526</f>
        <v/>
      </c>
      <c r="M526" s="6">
        <f>K526*4</f>
        <v/>
      </c>
      <c r="N526" s="6" t="n">
        <v>750</v>
      </c>
    </row>
    <row r="527">
      <c r="A527" s="1" t="inlineStr">
        <is>
          <t>22064321762413</t>
        </is>
      </c>
      <c r="B527" s="1" t="inlineStr">
        <is>
          <t>ANILLO DOBLE PANTHERE GOLD</t>
        </is>
      </c>
      <c r="C527" s="1" t="inlineStr">
        <is>
          <t>7</t>
        </is>
      </c>
      <c r="D527" s="1" t="inlineStr">
        <is>
          <t>05/02/2026</t>
        </is>
      </c>
      <c r="E527" s="1" t="n">
        <v>2026</v>
      </c>
      <c r="F527" s="1" t="inlineStr">
        <is>
          <t>FEBRERO</t>
        </is>
      </c>
      <c r="G527" s="1" t="inlineStr">
        <is>
          <t>HAIFENG</t>
        </is>
      </c>
      <c r="H527" s="1" t="inlineStr">
        <is>
          <t>HAIFENG 05/02/2026</t>
        </is>
      </c>
      <c r="I527" s="4" t="n">
        <v>2</v>
      </c>
      <c r="J527" s="6" t="n">
        <v>9</v>
      </c>
      <c r="K527" s="6" t="n">
        <v>192.1886315</v>
      </c>
      <c r="L527" s="6">
        <f>I527*K527</f>
        <v/>
      </c>
      <c r="M527" s="6">
        <f>K527*4</f>
        <v/>
      </c>
      <c r="N527" s="6" t="n">
        <v>750</v>
      </c>
    </row>
    <row r="528">
      <c r="A528" s="1" t="inlineStr">
        <is>
          <t>22064321762413</t>
        </is>
      </c>
      <c r="B528" s="1" t="inlineStr">
        <is>
          <t>ANILLO DOBLE PANTHERE GOLD</t>
        </is>
      </c>
      <c r="C528" s="1" t="inlineStr">
        <is>
          <t>7</t>
        </is>
      </c>
      <c r="D528" s="1" t="inlineStr">
        <is>
          <t>16/06/2026</t>
        </is>
      </c>
      <c r="E528" s="1" t="n">
        <v>2026</v>
      </c>
      <c r="F528" s="1" t="inlineStr">
        <is>
          <t>JUNIO</t>
        </is>
      </c>
      <c r="G528" s="1" t="inlineStr">
        <is>
          <t>HAIFENG</t>
        </is>
      </c>
      <c r="H528" s="1" t="inlineStr">
        <is>
          <t>HAIFENG 16/06/2026</t>
        </is>
      </c>
      <c r="I528" s="4" t="n">
        <v>3</v>
      </c>
      <c r="J528" s="6" t="n">
        <v>9</v>
      </c>
      <c r="K528" s="6" t="n">
        <v>189.1314581</v>
      </c>
      <c r="L528" s="6">
        <f>I528*K528</f>
        <v/>
      </c>
      <c r="M528" s="6">
        <f>K528*4</f>
        <v/>
      </c>
      <c r="N528" s="6" t="n">
        <v>750</v>
      </c>
    </row>
    <row r="529">
      <c r="A529" s="1" t="inlineStr">
        <is>
          <t>22064321801965</t>
        </is>
      </c>
      <c r="B529" s="1" t="inlineStr">
        <is>
          <t>ANILLO TRINITY</t>
        </is>
      </c>
      <c r="C529" s="1" t="inlineStr">
        <is>
          <t>6</t>
        </is>
      </c>
      <c r="D529" s="1" t="inlineStr">
        <is>
          <t>05/02/2026</t>
        </is>
      </c>
      <c r="E529" s="1" t="n">
        <v>2026</v>
      </c>
      <c r="F529" s="1" t="inlineStr">
        <is>
          <t>FEBRERO</t>
        </is>
      </c>
      <c r="G529" s="1" t="inlineStr">
        <is>
          <t>HAIFENG</t>
        </is>
      </c>
      <c r="H529" s="1" t="inlineStr">
        <is>
          <t>HAIFENG 05/02/2026</t>
        </is>
      </c>
      <c r="I529" s="4" t="n">
        <v>2</v>
      </c>
      <c r="J529" s="6" t="n">
        <v>8</v>
      </c>
      <c r="K529" s="6" t="n">
        <v>170.8343391</v>
      </c>
      <c r="L529" s="6">
        <f>I529*K529</f>
        <v/>
      </c>
      <c r="M529" s="6">
        <f>K529*4</f>
        <v/>
      </c>
      <c r="N529" s="6" t="n">
        <v>699</v>
      </c>
    </row>
    <row r="530">
      <c r="A530" s="1" t="inlineStr">
        <is>
          <t>22064321934733</t>
        </is>
      </c>
      <c r="B530" s="1" t="inlineStr">
        <is>
          <t>ANILLO TRINITY</t>
        </is>
      </c>
      <c r="C530" s="1" t="inlineStr">
        <is>
          <t>7</t>
        </is>
      </c>
      <c r="D530" s="1" t="inlineStr">
        <is>
          <t>05/02/2026</t>
        </is>
      </c>
      <c r="E530" s="1" t="n">
        <v>2026</v>
      </c>
      <c r="F530" s="1" t="inlineStr">
        <is>
          <t>FEBRERO</t>
        </is>
      </c>
      <c r="G530" s="1" t="inlineStr">
        <is>
          <t>HAIFENG</t>
        </is>
      </c>
      <c r="H530" s="1" t="inlineStr">
        <is>
          <t>HAIFENG 05/02/2026</t>
        </is>
      </c>
      <c r="I530" s="4" t="n">
        <v>2</v>
      </c>
      <c r="J530" s="6" t="n">
        <v>8</v>
      </c>
      <c r="K530" s="6" t="n">
        <v>170.8343391</v>
      </c>
      <c r="L530" s="6">
        <f>I530*K530</f>
        <v/>
      </c>
      <c r="M530" s="6">
        <f>K530*4</f>
        <v/>
      </c>
      <c r="N530" s="6" t="n">
        <v>699</v>
      </c>
    </row>
    <row r="531">
      <c r="A531" s="1" t="inlineStr">
        <is>
          <t>22064321934733</t>
        </is>
      </c>
      <c r="B531" s="1" t="inlineStr">
        <is>
          <t>ANILLO TRINITY</t>
        </is>
      </c>
      <c r="C531" s="1" t="inlineStr">
        <is>
          <t>7</t>
        </is>
      </c>
      <c r="D531" s="1" t="inlineStr">
        <is>
          <t>16/06/2026</t>
        </is>
      </c>
      <c r="E531" s="1" t="n">
        <v>2026</v>
      </c>
      <c r="F531" s="1" t="inlineStr">
        <is>
          <t>JUNIO</t>
        </is>
      </c>
      <c r="G531" s="1" t="inlineStr">
        <is>
          <t>HAIFENG</t>
        </is>
      </c>
      <c r="H531" s="1" t="inlineStr">
        <is>
          <t>HAIFENG 16/06/2026</t>
        </is>
      </c>
      <c r="I531" s="4" t="n">
        <v>2</v>
      </c>
      <c r="J531" s="6" t="n">
        <v>8</v>
      </c>
      <c r="K531" s="6" t="n">
        <v>168.1168517</v>
      </c>
      <c r="L531" s="6">
        <f>I531*K531</f>
        <v/>
      </c>
      <c r="M531" s="6">
        <f>K531*4</f>
        <v/>
      </c>
      <c r="N531" s="6" t="n">
        <v>699</v>
      </c>
    </row>
    <row r="532">
      <c r="A532" s="1" t="inlineStr">
        <is>
          <t>22064322048301</t>
        </is>
      </c>
      <c r="B532" s="1" t="inlineStr">
        <is>
          <t>ANILLO CLASH DOBLE ROSE GOLD</t>
        </is>
      </c>
      <c r="C532" s="1" t="inlineStr">
        <is>
          <t>6</t>
        </is>
      </c>
      <c r="D532" s="1" t="inlineStr">
        <is>
          <t>05/02/2026</t>
        </is>
      </c>
      <c r="E532" s="1" t="n">
        <v>2026</v>
      </c>
      <c r="F532" s="1" t="inlineStr">
        <is>
          <t>FEBRERO</t>
        </is>
      </c>
      <c r="G532" s="1" t="inlineStr">
        <is>
          <t>HAIFENG</t>
        </is>
      </c>
      <c r="H532" s="1" t="inlineStr">
        <is>
          <t>HAIFENG 05/02/2026</t>
        </is>
      </c>
      <c r="I532" s="4" t="n">
        <v>1</v>
      </c>
      <c r="J532" s="6" t="n">
        <v>10</v>
      </c>
      <c r="K532" s="6" t="n">
        <v>213.5429239</v>
      </c>
      <c r="L532" s="6">
        <f>I532*K532</f>
        <v/>
      </c>
      <c r="M532" s="6">
        <f>K532*4</f>
        <v/>
      </c>
      <c r="N532" s="6" t="n">
        <v>830</v>
      </c>
    </row>
    <row r="533">
      <c r="A533" s="1" t="inlineStr">
        <is>
          <t>22064322181069</t>
        </is>
      </c>
      <c r="B533" s="1" t="inlineStr">
        <is>
          <t>ANILLO CLASH DOBLE ROSE GOLD</t>
        </is>
      </c>
      <c r="C533" s="1" t="inlineStr">
        <is>
          <t>7</t>
        </is>
      </c>
      <c r="D533" s="1" t="inlineStr">
        <is>
          <t>05/02/2026</t>
        </is>
      </c>
      <c r="E533" s="1" t="n">
        <v>2026</v>
      </c>
      <c r="F533" s="1" t="inlineStr">
        <is>
          <t>FEBRERO</t>
        </is>
      </c>
      <c r="G533" s="1" t="inlineStr">
        <is>
          <t>HAIFENG</t>
        </is>
      </c>
      <c r="H533" s="1" t="inlineStr">
        <is>
          <t>HAIFENG 05/02/2026</t>
        </is>
      </c>
      <c r="I533" s="4" t="n">
        <v>2</v>
      </c>
      <c r="J533" s="6" t="n">
        <v>10</v>
      </c>
      <c r="K533" s="6" t="n">
        <v>213.5429239</v>
      </c>
      <c r="L533" s="6">
        <f>I533*K533</f>
        <v/>
      </c>
      <c r="M533" s="6">
        <f>K533*4</f>
        <v/>
      </c>
      <c r="N533" s="6" t="n">
        <v>830</v>
      </c>
    </row>
    <row r="534">
      <c r="A534" s="1" t="inlineStr">
        <is>
          <t>22064322217229</t>
        </is>
      </c>
      <c r="B534" s="1" t="inlineStr">
        <is>
          <t>LENTES F LOGO</t>
        </is>
      </c>
      <c r="C534" s="1" t="inlineStr">
        <is>
          <t>Default Title</t>
        </is>
      </c>
      <c r="D534" s="1" t="inlineStr">
        <is>
          <t>05/02/2026</t>
        </is>
      </c>
      <c r="E534" s="1" t="n">
        <v>2026</v>
      </c>
      <c r="F534" s="1" t="inlineStr">
        <is>
          <t>FEBRERO</t>
        </is>
      </c>
      <c r="G534" s="1" t="inlineStr">
        <is>
          <t>HAIFENG</t>
        </is>
      </c>
      <c r="H534" s="1" t="inlineStr">
        <is>
          <t>HAIFENG 05/02/2026</t>
        </is>
      </c>
      <c r="I534" s="4" t="n">
        <v>2</v>
      </c>
      <c r="J534" s="6" t="n">
        <v>30</v>
      </c>
      <c r="K534" s="6" t="n">
        <v>640.6287716000001</v>
      </c>
      <c r="L534" s="6">
        <f>I534*K534</f>
        <v/>
      </c>
      <c r="M534" s="6">
        <f>K534*4</f>
        <v/>
      </c>
      <c r="N534" s="6" t="n">
        <v>2500</v>
      </c>
    </row>
    <row r="535">
      <c r="A535" s="1" t="inlineStr">
        <is>
          <t>22064322217229</t>
        </is>
      </c>
      <c r="B535" s="1" t="inlineStr">
        <is>
          <t>LENTES F LOGO</t>
        </is>
      </c>
      <c r="C535" s="1" t="inlineStr">
        <is>
          <t>Default Title</t>
        </is>
      </c>
      <c r="D535" s="1" t="inlineStr">
        <is>
          <t>16/06/2026</t>
        </is>
      </c>
      <c r="E535" s="1" t="n">
        <v>2026</v>
      </c>
      <c r="F535" s="1" t="inlineStr">
        <is>
          <t>JUNIO</t>
        </is>
      </c>
      <c r="G535" s="1" t="inlineStr">
        <is>
          <t>HAIFENG</t>
        </is>
      </c>
      <c r="H535" s="1" t="inlineStr">
        <is>
          <t>HAIFENG 16/06/2026</t>
        </is>
      </c>
      <c r="I535" s="4" t="n">
        <v>2</v>
      </c>
      <c r="J535" s="6" t="n">
        <v>30</v>
      </c>
      <c r="K535" s="6" t="n">
        <v>630.4381938</v>
      </c>
      <c r="L535" s="6">
        <f>I535*K535</f>
        <v/>
      </c>
      <c r="M535" s="6">
        <f>K535*4</f>
        <v/>
      </c>
      <c r="N535" s="6" t="n">
        <v>2500</v>
      </c>
    </row>
    <row r="536">
      <c r="A536" s="1" t="inlineStr">
        <is>
          <t>22064322363565</t>
        </is>
      </c>
      <c r="B536" s="1" t="inlineStr">
        <is>
          <t>LENTES LV SQUARE</t>
        </is>
      </c>
      <c r="C536" s="1" t="inlineStr">
        <is>
          <t>Default Title</t>
        </is>
      </c>
      <c r="D536" s="1" t="inlineStr">
        <is>
          <t>05/02/2026</t>
        </is>
      </c>
      <c r="E536" s="1" t="n">
        <v>2026</v>
      </c>
      <c r="F536" s="1" t="inlineStr">
        <is>
          <t>FEBRERO</t>
        </is>
      </c>
      <c r="G536" s="1" t="inlineStr">
        <is>
          <t>HAIFENG</t>
        </is>
      </c>
      <c r="H536" s="1" t="inlineStr">
        <is>
          <t>HAIFENG 05/02/2026</t>
        </is>
      </c>
      <c r="I536" s="4" t="n">
        <v>2</v>
      </c>
      <c r="J536" s="6" t="n">
        <v>58</v>
      </c>
      <c r="K536" s="6" t="n">
        <v>1238.548958</v>
      </c>
      <c r="L536" s="6">
        <f>I536*K536</f>
        <v/>
      </c>
      <c r="M536" s="6">
        <f>K536*4</f>
        <v/>
      </c>
      <c r="N536" s="6" t="n">
        <v>4799</v>
      </c>
    </row>
    <row r="537">
      <c r="A537" s="1" t="inlineStr">
        <is>
          <t>22064322363565</t>
        </is>
      </c>
      <c r="B537" s="1" t="inlineStr">
        <is>
          <t>LENTES LV SQUARE</t>
        </is>
      </c>
      <c r="C537" s="1" t="inlineStr">
        <is>
          <t>Default Title</t>
        </is>
      </c>
      <c r="D537" s="1" t="inlineStr">
        <is>
          <t>26/05/2026</t>
        </is>
      </c>
      <c r="E537" s="1" t="n">
        <v>2026</v>
      </c>
      <c r="F537" s="1" t="inlineStr">
        <is>
          <t>MAYO</t>
        </is>
      </c>
      <c r="G537" s="1" t="inlineStr">
        <is>
          <t>HAIFENG</t>
        </is>
      </c>
      <c r="H537" s="1" t="inlineStr">
        <is>
          <t>HAIFENG 26/05/2026</t>
        </is>
      </c>
      <c r="I537" s="4" t="n">
        <v>2</v>
      </c>
      <c r="J537" s="6" t="n">
        <v>58</v>
      </c>
      <c r="K537" s="6" t="n">
        <v>1217.379127</v>
      </c>
      <c r="L537" s="6">
        <f>I537*K537</f>
        <v/>
      </c>
      <c r="M537" s="6">
        <f>K537*4</f>
        <v/>
      </c>
      <c r="N537" s="6" t="n">
        <v>4799</v>
      </c>
    </row>
    <row r="538">
      <c r="A538" s="1" t="inlineStr">
        <is>
          <t>22064322466957</t>
        </is>
      </c>
      <c r="B538" s="1" t="inlineStr">
        <is>
          <t>LENTES MM RUNWAY</t>
        </is>
      </c>
      <c r="C538" s="1" t="inlineStr">
        <is>
          <t>Default Title</t>
        </is>
      </c>
      <c r="D538" s="1" t="inlineStr">
        <is>
          <t>05/02/2026</t>
        </is>
      </c>
      <c r="E538" s="1" t="n">
        <v>2026</v>
      </c>
      <c r="F538" s="1" t="inlineStr">
        <is>
          <t>FEBRERO</t>
        </is>
      </c>
      <c r="G538" s="1" t="inlineStr">
        <is>
          <t>HAIFENG</t>
        </is>
      </c>
      <c r="H538" s="1" t="inlineStr">
        <is>
          <t>HAIFENG 05/02/2026</t>
        </is>
      </c>
      <c r="I538" s="4" t="n">
        <v>2</v>
      </c>
      <c r="J538" s="6" t="n">
        <v>35</v>
      </c>
      <c r="K538" s="6" t="n">
        <v>747.4002335</v>
      </c>
      <c r="L538" s="6">
        <f>I538*K538</f>
        <v/>
      </c>
      <c r="M538" s="6">
        <f>K538*4</f>
        <v/>
      </c>
      <c r="N538" s="6" t="n">
        <v>2899</v>
      </c>
    </row>
    <row r="539">
      <c r="A539" s="1" t="inlineStr">
        <is>
          <t>22064322466957</t>
        </is>
      </c>
      <c r="B539" s="1" t="inlineStr">
        <is>
          <t>LENTES MM RUNWAY</t>
        </is>
      </c>
      <c r="C539" s="1" t="inlineStr">
        <is>
          <t>Default Title</t>
        </is>
      </c>
      <c r="D539" s="1" t="inlineStr">
        <is>
          <t>16/06/2026</t>
        </is>
      </c>
      <c r="E539" s="1" t="n">
        <v>2026</v>
      </c>
      <c r="F539" s="1" t="inlineStr">
        <is>
          <t>JUNIO</t>
        </is>
      </c>
      <c r="G539" s="1" t="inlineStr">
        <is>
          <t>HAIFENG</t>
        </is>
      </c>
      <c r="H539" s="1" t="inlineStr">
        <is>
          <t>HAIFENG 16/06/2026</t>
        </is>
      </c>
      <c r="I539" s="4" t="n">
        <v>2</v>
      </c>
      <c r="J539" s="6" t="n">
        <v>35</v>
      </c>
      <c r="K539" s="6" t="n">
        <v>735.5112261</v>
      </c>
      <c r="L539" s="6">
        <f>I539*K539</f>
        <v/>
      </c>
      <c r="M539" s="6">
        <f>K539*4</f>
        <v/>
      </c>
      <c r="N539" s="6" t="n">
        <v>2899</v>
      </c>
    </row>
    <row r="540">
      <c r="A540" s="1" t="inlineStr">
        <is>
          <t>22064322578829</t>
        </is>
      </c>
      <c r="B540" s="1" t="inlineStr">
        <is>
          <t>ARETES BV B.ZERO ROSE GOLD</t>
        </is>
      </c>
      <c r="C540" s="1" t="inlineStr">
        <is>
          <t>Default Title</t>
        </is>
      </c>
      <c r="D540" s="1" t="inlineStr">
        <is>
          <t>05/02/2026</t>
        </is>
      </c>
      <c r="E540" s="1" t="n">
        <v>2026</v>
      </c>
      <c r="F540" s="1" t="inlineStr">
        <is>
          <t>FEBRERO</t>
        </is>
      </c>
      <c r="G540" s="1" t="inlineStr">
        <is>
          <t>HAIFENG</t>
        </is>
      </c>
      <c r="H540" s="1" t="inlineStr">
        <is>
          <t>HAIFENG 05/02/2026</t>
        </is>
      </c>
      <c r="I540" s="4" t="n">
        <v>2</v>
      </c>
      <c r="J540" s="6" t="n">
        <v>10</v>
      </c>
      <c r="K540" s="6" t="n">
        <v>213.5429239</v>
      </c>
      <c r="L540" s="6">
        <f>I540*K540</f>
        <v/>
      </c>
      <c r="M540" s="6">
        <f>K540*4</f>
        <v/>
      </c>
      <c r="N540" s="6" t="n">
        <v>824</v>
      </c>
    </row>
    <row r="541">
      <c r="A541" s="1" t="inlineStr">
        <is>
          <t>22064322680525</t>
        </is>
      </c>
      <c r="B541" s="1" t="inlineStr">
        <is>
          <t>ANILLO BV ROSE GOLD PEARL</t>
        </is>
      </c>
      <c r="C541" s="1" t="inlineStr">
        <is>
          <t>6</t>
        </is>
      </c>
      <c r="D541" s="1" t="inlineStr">
        <is>
          <t>05/02/2026</t>
        </is>
      </c>
      <c r="E541" s="1" t="n">
        <v>2026</v>
      </c>
      <c r="F541" s="1" t="inlineStr">
        <is>
          <t>FEBRERO</t>
        </is>
      </c>
      <c r="G541" s="1" t="inlineStr">
        <is>
          <t>HAIFENG</t>
        </is>
      </c>
      <c r="H541" s="1" t="inlineStr">
        <is>
          <t>HAIFENG 05/02/2026</t>
        </is>
      </c>
      <c r="I541" s="4" t="n">
        <v>1</v>
      </c>
      <c r="J541" s="6" t="n">
        <v>8</v>
      </c>
      <c r="K541" s="6" t="n">
        <v>170.8343391</v>
      </c>
      <c r="L541" s="6">
        <f>I541*K541</f>
        <v/>
      </c>
      <c r="M541" s="6">
        <f>K541*4</f>
        <v/>
      </c>
      <c r="N541" s="6" t="n">
        <v>750</v>
      </c>
    </row>
    <row r="542">
      <c r="A542" s="1" t="inlineStr">
        <is>
          <t>22064322713293</t>
        </is>
      </c>
      <c r="B542" s="1" t="inlineStr">
        <is>
          <t>ANILLO BV ROSE GOLD PEARL</t>
        </is>
      </c>
      <c r="C542" s="1" t="inlineStr">
        <is>
          <t>7</t>
        </is>
      </c>
      <c r="D542" s="1" t="inlineStr">
        <is>
          <t>05/02/2026</t>
        </is>
      </c>
      <c r="E542" s="1" t="n">
        <v>2026</v>
      </c>
      <c r="F542" s="1" t="inlineStr">
        <is>
          <t>FEBRERO</t>
        </is>
      </c>
      <c r="G542" s="1" t="inlineStr">
        <is>
          <t>HAIFENG</t>
        </is>
      </c>
      <c r="H542" s="1" t="inlineStr">
        <is>
          <t>HAIFENG 05/02/2026</t>
        </is>
      </c>
      <c r="I542" s="4" t="n">
        <v>1</v>
      </c>
      <c r="J542" s="6" t="n">
        <v>8</v>
      </c>
      <c r="K542" s="6" t="n">
        <v>170.8343391</v>
      </c>
      <c r="L542" s="6">
        <f>I542*K542</f>
        <v/>
      </c>
      <c r="M542" s="6">
        <f>K542*4</f>
        <v/>
      </c>
      <c r="N542" s="6" t="n">
        <v>750</v>
      </c>
    </row>
    <row r="543">
      <c r="A543" s="1" t="inlineStr">
        <is>
          <t>22064322713293</t>
        </is>
      </c>
      <c r="B543" s="1" t="inlineStr">
        <is>
          <t>ANILLO BV ROSE GOLD PEARL</t>
        </is>
      </c>
      <c r="C543" s="1" t="inlineStr">
        <is>
          <t>7</t>
        </is>
      </c>
      <c r="D543" s="1" t="inlineStr">
        <is>
          <t>26/05/2026</t>
        </is>
      </c>
      <c r="E543" s="1" t="n">
        <v>2026</v>
      </c>
      <c r="F543" s="1" t="inlineStr">
        <is>
          <t>MAYO</t>
        </is>
      </c>
      <c r="G543" s="1" t="inlineStr">
        <is>
          <t>HAIFENG</t>
        </is>
      </c>
      <c r="H543" s="1" t="inlineStr">
        <is>
          <t>HAIFENG 26/05/2026</t>
        </is>
      </c>
      <c r="I543" s="4" t="n">
        <v>2</v>
      </c>
      <c r="J543" s="6" t="n">
        <v>8</v>
      </c>
      <c r="K543" s="6" t="n">
        <v>167.9143624</v>
      </c>
      <c r="L543" s="6">
        <f>I543*K543</f>
        <v/>
      </c>
      <c r="M543" s="6">
        <f>K543*4</f>
        <v/>
      </c>
      <c r="N543" s="6" t="n">
        <v>750</v>
      </c>
    </row>
    <row r="544">
      <c r="A544" s="1" t="inlineStr">
        <is>
          <t>22064322816685</t>
        </is>
      </c>
      <c r="B544" s="1" t="inlineStr">
        <is>
          <t>ANILLO SERPENTI VIPER ROSE GOLD GREEN</t>
        </is>
      </c>
      <c r="C544" s="1" t="inlineStr">
        <is>
          <t>7</t>
        </is>
      </c>
      <c r="D544" s="1" t="inlineStr">
        <is>
          <t>05/02/2026</t>
        </is>
      </c>
      <c r="E544" s="1" t="n">
        <v>2026</v>
      </c>
      <c r="F544" s="1" t="inlineStr">
        <is>
          <t>FEBRERO</t>
        </is>
      </c>
      <c r="G544" s="1" t="inlineStr">
        <is>
          <t>HAIFENG</t>
        </is>
      </c>
      <c r="H544" s="1" t="inlineStr">
        <is>
          <t>HAIFENG 05/02/2026</t>
        </is>
      </c>
      <c r="I544" s="4" t="n">
        <v>1</v>
      </c>
      <c r="J544" s="6" t="n">
        <v>9</v>
      </c>
      <c r="K544" s="6" t="n">
        <v>192.1886315</v>
      </c>
      <c r="L544" s="6">
        <f>I544*K544</f>
        <v/>
      </c>
      <c r="M544" s="6">
        <f>K544*4</f>
        <v/>
      </c>
      <c r="N544" s="6" t="n">
        <v>899</v>
      </c>
    </row>
    <row r="545">
      <c r="A545" s="1" t="inlineStr">
        <is>
          <t>22064322816685</t>
        </is>
      </c>
      <c r="B545" s="1" t="inlineStr">
        <is>
          <t>ANILLO SERPENTI VIPER ROSE GOLD GREEN</t>
        </is>
      </c>
      <c r="C545" s="1" t="inlineStr">
        <is>
          <t>7</t>
        </is>
      </c>
      <c r="D545" s="1" t="inlineStr">
        <is>
          <t>06/05/2026</t>
        </is>
      </c>
      <c r="E545" s="1" t="n">
        <v>2026</v>
      </c>
      <c r="F545" s="1" t="inlineStr">
        <is>
          <t>MAYO</t>
        </is>
      </c>
      <c r="G545" s="1" t="inlineStr">
        <is>
          <t>HAIFENG</t>
        </is>
      </c>
      <c r="H545" s="1" t="inlineStr">
        <is>
          <t>HAIFENG 06/05/2026</t>
        </is>
      </c>
      <c r="I545" s="4" t="n">
        <v>2</v>
      </c>
      <c r="J545" s="6" t="n">
        <v>9</v>
      </c>
      <c r="K545" s="6" t="n">
        <v>190.9677804</v>
      </c>
      <c r="L545" s="6">
        <f>I545*K545</f>
        <v/>
      </c>
      <c r="M545" s="6">
        <f>K545*4</f>
        <v/>
      </c>
      <c r="N545" s="6" t="n">
        <v>899</v>
      </c>
    </row>
    <row r="546">
      <c r="A546" s="1" t="inlineStr">
        <is>
          <t>22064322949453</t>
        </is>
      </c>
      <c r="B546" s="1" t="inlineStr">
        <is>
          <t>ANILLO SERPENTI VIPER ROSE GOLD GREEN</t>
        </is>
      </c>
      <c r="C546" s="1" t="inlineStr">
        <is>
          <t>8</t>
        </is>
      </c>
      <c r="D546" s="1" t="inlineStr">
        <is>
          <t>05/02/2026</t>
        </is>
      </c>
      <c r="E546" s="1" t="n">
        <v>2026</v>
      </c>
      <c r="F546" s="1" t="inlineStr">
        <is>
          <t>FEBRERO</t>
        </is>
      </c>
      <c r="G546" s="1" t="inlineStr">
        <is>
          <t>HAIFENG</t>
        </is>
      </c>
      <c r="H546" s="1" t="inlineStr">
        <is>
          <t>HAIFENG 05/02/2026</t>
        </is>
      </c>
      <c r="I546" s="4" t="n">
        <v>1</v>
      </c>
      <c r="J546" s="6" t="n">
        <v>9</v>
      </c>
      <c r="K546" s="6" t="n">
        <v>192.1886315</v>
      </c>
      <c r="L546" s="6">
        <f>I546*K546</f>
        <v/>
      </c>
      <c r="M546" s="6">
        <f>K546*4</f>
        <v/>
      </c>
      <c r="N546" s="6" t="n">
        <v>899</v>
      </c>
    </row>
    <row r="547">
      <c r="A547" s="1" t="inlineStr">
        <is>
          <t>22064322949453</t>
        </is>
      </c>
      <c r="B547" s="1" t="inlineStr">
        <is>
          <t>ANILLO SERPENTI VIPER ROSE GOLD GREEN</t>
        </is>
      </c>
      <c r="C547" s="1" t="inlineStr">
        <is>
          <t>8</t>
        </is>
      </c>
      <c r="D547" s="1" t="inlineStr">
        <is>
          <t>16/06/2026</t>
        </is>
      </c>
      <c r="E547" s="1" t="n">
        <v>2026</v>
      </c>
      <c r="F547" s="1" t="inlineStr">
        <is>
          <t>JUNIO</t>
        </is>
      </c>
      <c r="G547" s="1" t="inlineStr">
        <is>
          <t>HAIFENG</t>
        </is>
      </c>
      <c r="H547" s="1" t="inlineStr">
        <is>
          <t>HAIFENG 16/06/2026</t>
        </is>
      </c>
      <c r="I547" s="4" t="n">
        <v>2</v>
      </c>
      <c r="J547" s="6" t="n">
        <v>9</v>
      </c>
      <c r="K547" s="6" t="n">
        <v>189.1314581</v>
      </c>
      <c r="L547" s="6">
        <f>I547*K547</f>
        <v/>
      </c>
      <c r="M547" s="6">
        <f>K547*4</f>
        <v/>
      </c>
      <c r="N547" s="6" t="n">
        <v>899</v>
      </c>
    </row>
    <row r="548">
      <c r="A548" s="1" t="inlineStr">
        <is>
          <t>22064323054541</t>
        </is>
      </c>
      <c r="B548" s="1" t="inlineStr">
        <is>
          <t>ANILLO SERPENTI VIPER ROSE GOLD WHITE</t>
        </is>
      </c>
      <c r="C548" s="1" t="inlineStr">
        <is>
          <t>7</t>
        </is>
      </c>
      <c r="D548" s="1" t="inlineStr">
        <is>
          <t>05/02/2026</t>
        </is>
      </c>
      <c r="E548" s="1" t="n">
        <v>2026</v>
      </c>
      <c r="F548" s="1" t="inlineStr">
        <is>
          <t>FEBRERO</t>
        </is>
      </c>
      <c r="G548" s="1" t="inlineStr">
        <is>
          <t>HAIFENG</t>
        </is>
      </c>
      <c r="H548" s="1" t="inlineStr">
        <is>
          <t>HAIFENG 05/02/2026</t>
        </is>
      </c>
      <c r="I548" s="4" t="n">
        <v>2</v>
      </c>
      <c r="J548" s="6" t="n">
        <v>9</v>
      </c>
      <c r="K548" s="6" t="n">
        <v>192.1886315</v>
      </c>
      <c r="L548" s="6">
        <f>I548*K548</f>
        <v/>
      </c>
      <c r="M548" s="6">
        <f>K548*4</f>
        <v/>
      </c>
      <c r="N548" s="6" t="n">
        <v>899</v>
      </c>
    </row>
    <row r="549">
      <c r="A549" s="1" t="inlineStr">
        <is>
          <t>22064323187309</t>
        </is>
      </c>
      <c r="B549" s="1" t="inlineStr">
        <is>
          <t>ANILLO SERPENTI VIPER ROSE GOLD WHITE</t>
        </is>
      </c>
      <c r="C549" s="1" t="inlineStr">
        <is>
          <t>8</t>
        </is>
      </c>
      <c r="D549" s="1" t="inlineStr">
        <is>
          <t>05/02/2026</t>
        </is>
      </c>
      <c r="E549" s="1" t="n">
        <v>2026</v>
      </c>
      <c r="F549" s="1" t="inlineStr">
        <is>
          <t>FEBRERO</t>
        </is>
      </c>
      <c r="G549" s="1" t="inlineStr">
        <is>
          <t>HAIFENG</t>
        </is>
      </c>
      <c r="H549" s="1" t="inlineStr">
        <is>
          <t>HAIFENG 05/02/2026</t>
        </is>
      </c>
      <c r="I549" s="4" t="n">
        <v>2</v>
      </c>
      <c r="J549" s="6" t="n">
        <v>9</v>
      </c>
      <c r="K549" s="6" t="n">
        <v>192.1886315</v>
      </c>
      <c r="L549" s="6">
        <f>I549*K549</f>
        <v/>
      </c>
      <c r="M549" s="6">
        <f>K549*4</f>
        <v/>
      </c>
      <c r="N549" s="6" t="n">
        <v>899</v>
      </c>
    </row>
    <row r="550">
      <c r="A550" s="1" t="inlineStr">
        <is>
          <t>22064323225165</t>
        </is>
      </c>
      <c r="B550" s="1" t="inlineStr">
        <is>
          <t>ANILLO DIVAS DREAM ROSE GOLD</t>
        </is>
      </c>
      <c r="C550" s="1" t="inlineStr">
        <is>
          <t>6</t>
        </is>
      </c>
      <c r="D550" s="1" t="inlineStr">
        <is>
          <t>05/02/2026</t>
        </is>
      </c>
      <c r="E550" s="1" t="n">
        <v>2026</v>
      </c>
      <c r="F550" s="1" t="inlineStr">
        <is>
          <t>FEBRERO</t>
        </is>
      </c>
      <c r="G550" s="1" t="inlineStr">
        <is>
          <t>HAIFENG</t>
        </is>
      </c>
      <c r="H550" s="1" t="inlineStr">
        <is>
          <t>HAIFENG 05/02/2026</t>
        </is>
      </c>
      <c r="I550" s="4" t="n">
        <v>2</v>
      </c>
      <c r="J550" s="6" t="n">
        <v>6</v>
      </c>
      <c r="K550" s="6" t="n">
        <v>128.1257543</v>
      </c>
      <c r="L550" s="6">
        <f>I550*K550</f>
        <v/>
      </c>
      <c r="M550" s="6">
        <f>K550*4</f>
        <v/>
      </c>
      <c r="N550" s="6" t="n">
        <v>599</v>
      </c>
    </row>
    <row r="551">
      <c r="A551" s="1" t="inlineStr">
        <is>
          <t>22064323357933</t>
        </is>
      </c>
      <c r="B551" s="1" t="inlineStr">
        <is>
          <t>ANILLO DIVAS DREAM ROSE GOLD</t>
        </is>
      </c>
      <c r="C551" s="1" t="inlineStr">
        <is>
          <t>7</t>
        </is>
      </c>
      <c r="D551" s="1" t="inlineStr">
        <is>
          <t>05/02/2026</t>
        </is>
      </c>
      <c r="E551" s="1" t="n">
        <v>2026</v>
      </c>
      <c r="F551" s="1" t="inlineStr">
        <is>
          <t>FEBRERO</t>
        </is>
      </c>
      <c r="G551" s="1" t="inlineStr">
        <is>
          <t>HAIFENG</t>
        </is>
      </c>
      <c r="H551" s="1" t="inlineStr">
        <is>
          <t>HAIFENG 05/02/2026</t>
        </is>
      </c>
      <c r="I551" s="4" t="n">
        <v>2</v>
      </c>
      <c r="J551" s="6" t="n">
        <v>6</v>
      </c>
      <c r="K551" s="6" t="n">
        <v>128.1257543</v>
      </c>
      <c r="L551" s="6">
        <f>I551*K551</f>
        <v/>
      </c>
      <c r="M551" s="6">
        <f>K551*4</f>
        <v/>
      </c>
      <c r="N551" s="6" t="n">
        <v>599</v>
      </c>
    </row>
    <row r="552">
      <c r="A552" s="1" t="inlineStr">
        <is>
          <t>22064323404269</t>
        </is>
      </c>
      <c r="B552" s="1" t="inlineStr">
        <is>
          <t>ANILLO FLOWER DOBLE SILVER</t>
        </is>
      </c>
      <c r="C552" s="1" t="inlineStr">
        <is>
          <t>Default Title</t>
        </is>
      </c>
      <c r="D552" s="1" t="inlineStr">
        <is>
          <t>05/02/2026</t>
        </is>
      </c>
      <c r="E552" s="1" t="n">
        <v>2026</v>
      </c>
      <c r="F552" s="1" t="inlineStr">
        <is>
          <t>FEBRERO</t>
        </is>
      </c>
      <c r="G552" s="1" t="inlineStr">
        <is>
          <t>HAIFENG</t>
        </is>
      </c>
      <c r="H552" s="1" t="inlineStr">
        <is>
          <t>HAIFENG 05/02/2026</t>
        </is>
      </c>
      <c r="I552" s="4" t="n">
        <v>2</v>
      </c>
      <c r="J552" s="6" t="n">
        <v>8.9</v>
      </c>
      <c r="K552" s="6" t="n">
        <v>190.0532022</v>
      </c>
      <c r="L552" s="6">
        <f>I552*K552</f>
        <v/>
      </c>
      <c r="M552" s="6">
        <f>K552*4</f>
        <v/>
      </c>
      <c r="N552" s="6" t="n">
        <v>799</v>
      </c>
    </row>
    <row r="553">
      <c r="A553" s="1" t="inlineStr">
        <is>
          <t>22064323404269</t>
        </is>
      </c>
      <c r="B553" s="1" t="inlineStr">
        <is>
          <t>ANILLO FLOWER DOBLE SILVER</t>
        </is>
      </c>
      <c r="C553" s="1" t="inlineStr">
        <is>
          <t>Default Title</t>
        </is>
      </c>
      <c r="D553" s="1" t="inlineStr">
        <is>
          <t>26/05/2026</t>
        </is>
      </c>
      <c r="E553" s="1" t="n">
        <v>2026</v>
      </c>
      <c r="F553" s="1" t="inlineStr">
        <is>
          <t>MAYO</t>
        </is>
      </c>
      <c r="G553" s="1" t="inlineStr">
        <is>
          <t>HAIFENG</t>
        </is>
      </c>
      <c r="H553" s="1" t="inlineStr">
        <is>
          <t>HAIFENG 26/05/2026</t>
        </is>
      </c>
      <c r="I553" s="4" t="n">
        <v>2</v>
      </c>
      <c r="J553" s="6" t="n">
        <v>8.9</v>
      </c>
      <c r="K553" s="6" t="n">
        <v>186.8047281</v>
      </c>
      <c r="L553" s="6">
        <f>I553*K553</f>
        <v/>
      </c>
      <c r="M553" s="6">
        <f>K553*4</f>
        <v/>
      </c>
      <c r="N553" s="6" t="n">
        <v>799</v>
      </c>
    </row>
    <row r="554">
      <c r="A554" s="1" t="inlineStr">
        <is>
          <t>22064323571501</t>
        </is>
      </c>
      <c r="B554" s="1" t="inlineStr">
        <is>
          <t>ANILLO FLOWER DOBLE GOLD</t>
        </is>
      </c>
      <c r="C554" s="1" t="inlineStr">
        <is>
          <t>Default Title</t>
        </is>
      </c>
      <c r="D554" s="1" t="inlineStr">
        <is>
          <t>05/02/2026</t>
        </is>
      </c>
      <c r="E554" s="1" t="n">
        <v>2026</v>
      </c>
      <c r="F554" s="1" t="inlineStr">
        <is>
          <t>FEBRERO</t>
        </is>
      </c>
      <c r="G554" s="1" t="inlineStr">
        <is>
          <t>HAIFENG</t>
        </is>
      </c>
      <c r="H554" s="1" t="inlineStr">
        <is>
          <t>HAIFENG 05/02/2026</t>
        </is>
      </c>
      <c r="I554" s="4" t="n">
        <v>2</v>
      </c>
      <c r="J554" s="6" t="n">
        <v>8.9</v>
      </c>
      <c r="K554" s="6" t="n">
        <v>190.0532022</v>
      </c>
      <c r="L554" s="6">
        <f>I554*K554</f>
        <v/>
      </c>
      <c r="M554" s="6">
        <f>K554*4</f>
        <v/>
      </c>
      <c r="N554" s="6" t="n">
        <v>750</v>
      </c>
    </row>
    <row r="555">
      <c r="A555" s="1" t="inlineStr">
        <is>
          <t>22064323571501</t>
        </is>
      </c>
      <c r="B555" s="1" t="inlineStr">
        <is>
          <t>ANILLO FLOWER DOBLE GOLD</t>
        </is>
      </c>
      <c r="C555" s="1" t="inlineStr">
        <is>
          <t>Default Title</t>
        </is>
      </c>
      <c r="D555" s="1" t="inlineStr">
        <is>
          <t>16/06/2026</t>
        </is>
      </c>
      <c r="E555" s="1" t="n">
        <v>2026</v>
      </c>
      <c r="F555" s="1" t="inlineStr">
        <is>
          <t>JUNIO</t>
        </is>
      </c>
      <c r="G555" s="1" t="inlineStr">
        <is>
          <t>HAIFENG</t>
        </is>
      </c>
      <c r="H555" s="1" t="inlineStr">
        <is>
          <t>HAIFENG 16/06/2026</t>
        </is>
      </c>
      <c r="I555" s="4" t="n">
        <v>3</v>
      </c>
      <c r="J555" s="6" t="n">
        <v>8.9</v>
      </c>
      <c r="K555" s="6" t="n">
        <v>187.0299975</v>
      </c>
      <c r="L555" s="6">
        <f>I555*K555</f>
        <v/>
      </c>
      <c r="M555" s="6">
        <f>K555*4</f>
        <v/>
      </c>
      <c r="N555" s="6" t="n">
        <v>750</v>
      </c>
    </row>
    <row r="556">
      <c r="A556" s="1" t="inlineStr">
        <is>
          <t>22064323607661</t>
        </is>
      </c>
      <c r="B556" s="1" t="inlineStr">
        <is>
          <t>ANILLO MARIPOSA DOBLE SILVER</t>
        </is>
      </c>
      <c r="C556" s="1" t="inlineStr">
        <is>
          <t>Default Title</t>
        </is>
      </c>
      <c r="D556" s="1" t="inlineStr">
        <is>
          <t>05/02/2026</t>
        </is>
      </c>
      <c r="E556" s="1" t="n">
        <v>2026</v>
      </c>
      <c r="F556" s="1" t="inlineStr">
        <is>
          <t>FEBRERO</t>
        </is>
      </c>
      <c r="G556" s="1" t="inlineStr">
        <is>
          <t>HAIFENG</t>
        </is>
      </c>
      <c r="H556" s="1" t="inlineStr">
        <is>
          <t>HAIFENG 05/02/2026</t>
        </is>
      </c>
      <c r="I556" s="4" t="n">
        <v>2</v>
      </c>
      <c r="J556" s="6" t="n">
        <v>8.9</v>
      </c>
      <c r="K556" s="6" t="n">
        <v>190.0532022</v>
      </c>
      <c r="L556" s="6">
        <f>I556*K556</f>
        <v/>
      </c>
      <c r="M556" s="6">
        <f>K556*4</f>
        <v/>
      </c>
      <c r="N556" s="6" t="n">
        <v>750</v>
      </c>
    </row>
    <row r="557">
      <c r="A557" s="1" t="inlineStr">
        <is>
          <t>22064323607661</t>
        </is>
      </c>
      <c r="B557" s="1" t="inlineStr">
        <is>
          <t>ANILLO MARIPOSA DOBLE SILVER</t>
        </is>
      </c>
      <c r="C557" s="1" t="inlineStr">
        <is>
          <t>Default Title</t>
        </is>
      </c>
      <c r="D557" s="1" t="inlineStr">
        <is>
          <t>26/05/2026</t>
        </is>
      </c>
      <c r="E557" s="1" t="n">
        <v>2026</v>
      </c>
      <c r="F557" s="1" t="inlineStr">
        <is>
          <t>MAYO</t>
        </is>
      </c>
      <c r="G557" s="1" t="inlineStr">
        <is>
          <t>HAIFENG</t>
        </is>
      </c>
      <c r="H557" s="1" t="inlineStr">
        <is>
          <t>HAIFENG 26/05/2026</t>
        </is>
      </c>
      <c r="I557" s="4" t="n">
        <v>1</v>
      </c>
      <c r="J557" s="6" t="n">
        <v>8.9</v>
      </c>
      <c r="K557" s="6" t="n">
        <v>186.8047281</v>
      </c>
      <c r="L557" s="6">
        <f>I557*K557</f>
        <v/>
      </c>
      <c r="M557" s="6">
        <f>K557*4</f>
        <v/>
      </c>
      <c r="N557" s="6" t="n">
        <v>750</v>
      </c>
    </row>
    <row r="558">
      <c r="A558" s="1" t="inlineStr">
        <is>
          <t>22064323607661</t>
        </is>
      </c>
      <c r="B558" s="1" t="inlineStr">
        <is>
          <t>ANILLO MARIPOSA DOBLE SILVER</t>
        </is>
      </c>
      <c r="C558" s="1" t="inlineStr">
        <is>
          <t>Default Title</t>
        </is>
      </c>
      <c r="D558" s="1" t="inlineStr">
        <is>
          <t>16/06/2026</t>
        </is>
      </c>
      <c r="E558" s="1" t="n">
        <v>2026</v>
      </c>
      <c r="F558" s="1" t="inlineStr">
        <is>
          <t>JUNIO</t>
        </is>
      </c>
      <c r="G558" s="1" t="inlineStr">
        <is>
          <t>HAIFENG</t>
        </is>
      </c>
      <c r="H558" s="1" t="inlineStr">
        <is>
          <t>HAIFENG 16/06/2026</t>
        </is>
      </c>
      <c r="I558" s="4" t="n">
        <v>2</v>
      </c>
      <c r="J558" s="6" t="n">
        <v>8.9</v>
      </c>
      <c r="K558" s="6" t="n">
        <v>187.0299975</v>
      </c>
      <c r="L558" s="6">
        <f>I558*K558</f>
        <v/>
      </c>
      <c r="M558" s="6">
        <f>K558*4</f>
        <v/>
      </c>
      <c r="N558" s="6" t="n">
        <v>750</v>
      </c>
    </row>
    <row r="559">
      <c r="A559" s="1" t="inlineStr">
        <is>
          <t>22064323778285</t>
        </is>
      </c>
      <c r="B559" s="1" t="inlineStr">
        <is>
          <t>ANILLO FLOWER HALF ZIRCONIAS GOLD</t>
        </is>
      </c>
      <c r="C559" s="1" t="inlineStr">
        <is>
          <t>Default Title</t>
        </is>
      </c>
      <c r="D559" s="1" t="inlineStr">
        <is>
          <t>05/02/2026</t>
        </is>
      </c>
      <c r="E559" s="1" t="n">
        <v>2026</v>
      </c>
      <c r="F559" s="1" t="inlineStr">
        <is>
          <t>FEBRERO</t>
        </is>
      </c>
      <c r="G559" s="1" t="inlineStr">
        <is>
          <t>HAIFENG</t>
        </is>
      </c>
      <c r="H559" s="1" t="inlineStr">
        <is>
          <t>HAIFENG 05/02/2026</t>
        </is>
      </c>
      <c r="I559" s="4" t="n">
        <v>2</v>
      </c>
      <c r="J559" s="6" t="n">
        <v>8.9</v>
      </c>
      <c r="K559" s="6" t="n">
        <v>190.0532022</v>
      </c>
      <c r="L559" s="6">
        <f>I559*K559</f>
        <v/>
      </c>
      <c r="M559" s="6">
        <f>K559*4</f>
        <v/>
      </c>
      <c r="N559" s="6" t="n">
        <v>799</v>
      </c>
    </row>
    <row r="560">
      <c r="A560" s="1" t="inlineStr">
        <is>
          <t>22064323778285</t>
        </is>
      </c>
      <c r="B560" s="1" t="inlineStr">
        <is>
          <t>ANILLO FLOWER HALF ZIRCONIAS GOLD</t>
        </is>
      </c>
      <c r="C560" s="1" t="inlineStr">
        <is>
          <t>Default Title</t>
        </is>
      </c>
      <c r="D560" s="1" t="inlineStr">
        <is>
          <t>26/05/2026</t>
        </is>
      </c>
      <c r="E560" s="1" t="n">
        <v>2026</v>
      </c>
      <c r="F560" s="1" t="inlineStr">
        <is>
          <t>MAYO</t>
        </is>
      </c>
      <c r="G560" s="1" t="inlineStr">
        <is>
          <t>HAIFENG</t>
        </is>
      </c>
      <c r="H560" s="1" t="inlineStr">
        <is>
          <t>HAIFENG 26/05/2026</t>
        </is>
      </c>
      <c r="I560" s="4" t="n">
        <v>2</v>
      </c>
      <c r="J560" s="6" t="n">
        <v>8.9</v>
      </c>
      <c r="K560" s="6" t="n">
        <v>186.8047281</v>
      </c>
      <c r="L560" s="6">
        <f>I560*K560</f>
        <v/>
      </c>
      <c r="M560" s="6">
        <f>K560*4</f>
        <v/>
      </c>
      <c r="N560" s="6" t="n">
        <v>799</v>
      </c>
    </row>
    <row r="561">
      <c r="A561" s="1" t="inlineStr">
        <is>
          <t>22064323845517</t>
        </is>
      </c>
      <c r="B561" s="1" t="inlineStr">
        <is>
          <t>ANILLO MARIQUITA ROSE GOLD</t>
        </is>
      </c>
      <c r="C561" s="1" t="inlineStr">
        <is>
          <t>Default Title</t>
        </is>
      </c>
      <c r="D561" s="1" t="inlineStr">
        <is>
          <t>05/02/2026</t>
        </is>
      </c>
      <c r="E561" s="1" t="n">
        <v>2026</v>
      </c>
      <c r="F561" s="1" t="inlineStr">
        <is>
          <t>FEBRERO</t>
        </is>
      </c>
      <c r="G561" s="1" t="inlineStr">
        <is>
          <t>HAIFENG</t>
        </is>
      </c>
      <c r="H561" s="1" t="inlineStr">
        <is>
          <t>HAIFENG 05/02/2026</t>
        </is>
      </c>
      <c r="I561" s="4" t="n">
        <v>3</v>
      </c>
      <c r="J561" s="6" t="n">
        <v>8.9</v>
      </c>
      <c r="K561" s="6" t="n">
        <v>190.0532022</v>
      </c>
      <c r="L561" s="6">
        <f>I561*K561</f>
        <v/>
      </c>
      <c r="M561" s="6">
        <f>K561*4</f>
        <v/>
      </c>
      <c r="N561" s="6" t="n">
        <v>799</v>
      </c>
    </row>
    <row r="562">
      <c r="A562" s="1" t="inlineStr">
        <is>
          <t>22064323845517</t>
        </is>
      </c>
      <c r="B562" s="1" t="inlineStr">
        <is>
          <t>ANILLO MARIQUITA ROSE GOLD</t>
        </is>
      </c>
      <c r="C562" s="1" t="inlineStr">
        <is>
          <t>Default Title</t>
        </is>
      </c>
      <c r="D562" s="1" t="inlineStr">
        <is>
          <t>06/05/2026</t>
        </is>
      </c>
      <c r="E562" s="1" t="n">
        <v>2026</v>
      </c>
      <c r="F562" s="1" t="inlineStr">
        <is>
          <t>MAYO</t>
        </is>
      </c>
      <c r="G562" s="1" t="inlineStr">
        <is>
          <t>HAIFENG</t>
        </is>
      </c>
      <c r="H562" s="1" t="inlineStr">
        <is>
          <t>HAIFENG 06/05/2026</t>
        </is>
      </c>
      <c r="I562" s="4" t="n">
        <v>3</v>
      </c>
      <c r="J562" s="6" t="n">
        <v>8.9</v>
      </c>
      <c r="K562" s="6" t="n">
        <v>188.8459162</v>
      </c>
      <c r="L562" s="6">
        <f>I562*K562</f>
        <v/>
      </c>
      <c r="M562" s="6">
        <f>K562*4</f>
        <v/>
      </c>
      <c r="N562" s="6" t="n">
        <v>799</v>
      </c>
    </row>
    <row r="563">
      <c r="A563" s="1" t="inlineStr">
        <is>
          <t>22064323845517</t>
        </is>
      </c>
      <c r="B563" s="1" t="inlineStr">
        <is>
          <t>ANILLO MARIQUITA ROSE GOLD</t>
        </is>
      </c>
      <c r="C563" s="1" t="inlineStr">
        <is>
          <t>Default Title</t>
        </is>
      </c>
      <c r="D563" s="1" t="inlineStr">
        <is>
          <t>26/05/2026</t>
        </is>
      </c>
      <c r="E563" s="1" t="n">
        <v>2026</v>
      </c>
      <c r="F563" s="1" t="inlineStr">
        <is>
          <t>MAYO</t>
        </is>
      </c>
      <c r="G563" s="1" t="inlineStr">
        <is>
          <t>HAIFENG</t>
        </is>
      </c>
      <c r="H563" s="1" t="inlineStr">
        <is>
          <t>HAIFENG 26/05/2026</t>
        </is>
      </c>
      <c r="I563" s="4" t="n">
        <v>3</v>
      </c>
      <c r="J563" s="6" t="n">
        <v>8.9</v>
      </c>
      <c r="K563" s="6" t="n">
        <v>186.8047281</v>
      </c>
      <c r="L563" s="6">
        <f>I563*K563</f>
        <v/>
      </c>
      <c r="M563" s="6">
        <f>K563*4</f>
        <v/>
      </c>
      <c r="N563" s="6" t="n">
        <v>799</v>
      </c>
    </row>
    <row r="564">
      <c r="A564" s="1" t="inlineStr">
        <is>
          <t>22064323912749</t>
        </is>
      </c>
      <c r="B564" s="1" t="inlineStr">
        <is>
          <t>PULSERA HEART ROSE GOLD</t>
        </is>
      </c>
      <c r="C564" s="1" t="inlineStr">
        <is>
          <t>Default Title</t>
        </is>
      </c>
      <c r="D564" s="1" t="inlineStr">
        <is>
          <t>05/02/2026</t>
        </is>
      </c>
      <c r="E564" s="1" t="n">
        <v>2026</v>
      </c>
      <c r="F564" s="1" t="inlineStr">
        <is>
          <t>FEBRERO</t>
        </is>
      </c>
      <c r="G564" s="1" t="inlineStr">
        <is>
          <t>HAIFENG</t>
        </is>
      </c>
      <c r="H564" s="1" t="inlineStr">
        <is>
          <t>HAIFENG 05/02/2026</t>
        </is>
      </c>
      <c r="I564" s="4" t="n">
        <v>3</v>
      </c>
      <c r="J564" s="6" t="n">
        <v>4</v>
      </c>
      <c r="K564" s="6" t="n">
        <v>85.41716955</v>
      </c>
      <c r="L564" s="6">
        <f>I564*K564</f>
        <v/>
      </c>
      <c r="M564" s="6">
        <f>K564*4</f>
        <v/>
      </c>
      <c r="N564" s="6" t="n">
        <v>499</v>
      </c>
    </row>
    <row r="565">
      <c r="A565" s="1" t="inlineStr">
        <is>
          <t>22064323912749</t>
        </is>
      </c>
      <c r="B565" s="1" t="inlineStr">
        <is>
          <t>PULSERA HEART ROSE GOLD</t>
        </is>
      </c>
      <c r="C565" s="1" t="inlineStr">
        <is>
          <t>Default Title</t>
        </is>
      </c>
      <c r="D565" s="1" t="inlineStr">
        <is>
          <t>16/04/2026</t>
        </is>
      </c>
      <c r="E565" s="1" t="n">
        <v>2026</v>
      </c>
      <c r="F565" s="1" t="inlineStr">
        <is>
          <t>ABRIL</t>
        </is>
      </c>
      <c r="G565" s="1" t="inlineStr">
        <is>
          <t>HAIFENG</t>
        </is>
      </c>
      <c r="H565" s="1" t="inlineStr">
        <is>
          <t>HAIFENG 16/04/2026</t>
        </is>
      </c>
      <c r="I565" s="4" t="n">
        <v>5</v>
      </c>
      <c r="J565" s="6" t="n">
        <v>4</v>
      </c>
      <c r="K565" s="6" t="n">
        <v>84.12589436</v>
      </c>
      <c r="L565" s="6">
        <f>I565*K565</f>
        <v/>
      </c>
      <c r="M565" s="6">
        <f>K565*4</f>
        <v/>
      </c>
      <c r="N565" s="6" t="n">
        <v>499</v>
      </c>
    </row>
    <row r="566">
      <c r="A566" s="1" t="inlineStr">
        <is>
          <t>22064323912749</t>
        </is>
      </c>
      <c r="B566" s="1" t="inlineStr">
        <is>
          <t>PULSERA HEART ROSE GOLD</t>
        </is>
      </c>
      <c r="C566" s="1" t="inlineStr">
        <is>
          <t>Default Title</t>
        </is>
      </c>
      <c r="D566" s="1" t="inlineStr">
        <is>
          <t>16/06/2026</t>
        </is>
      </c>
      <c r="E566" s="1" t="n">
        <v>2026</v>
      </c>
      <c r="F566" s="1" t="inlineStr">
        <is>
          <t>JUNIO</t>
        </is>
      </c>
      <c r="G566" s="1" t="inlineStr">
        <is>
          <t>HAIFENG</t>
        </is>
      </c>
      <c r="H566" s="1" t="inlineStr">
        <is>
          <t>HAIFENG 16/06/2026</t>
        </is>
      </c>
      <c r="I566" s="4" t="n">
        <v>3</v>
      </c>
      <c r="J566" s="6" t="n">
        <v>4</v>
      </c>
      <c r="K566" s="6" t="n">
        <v>84.05842584</v>
      </c>
      <c r="L566" s="6">
        <f>I566*K566</f>
        <v/>
      </c>
      <c r="M566" s="6">
        <f>K566*4</f>
        <v/>
      </c>
      <c r="N566" s="6" t="n">
        <v>499</v>
      </c>
    </row>
    <row r="567">
      <c r="A567" s="1" t="inlineStr">
        <is>
          <t>22064324048909</t>
        </is>
      </c>
      <c r="B567" s="1" t="inlineStr">
        <is>
          <t>COLLAR MARIPOSA ROSE GOLD WHITE</t>
        </is>
      </c>
      <c r="C567" s="1" t="inlineStr">
        <is>
          <t>Default Title</t>
        </is>
      </c>
      <c r="D567" s="1" t="inlineStr">
        <is>
          <t>05/02/2026</t>
        </is>
      </c>
      <c r="E567" s="1" t="n">
        <v>2026</v>
      </c>
      <c r="F567" s="1" t="inlineStr">
        <is>
          <t>FEBRERO</t>
        </is>
      </c>
      <c r="G567" s="1" t="inlineStr">
        <is>
          <t>HAIFENG</t>
        </is>
      </c>
      <c r="H567" s="1" t="inlineStr">
        <is>
          <t>HAIFENG 05/02/2026</t>
        </is>
      </c>
      <c r="I567" s="4" t="n">
        <v>3</v>
      </c>
      <c r="J567" s="6" t="n">
        <v>6</v>
      </c>
      <c r="K567" s="6" t="n">
        <v>128.1257543</v>
      </c>
      <c r="L567" s="6">
        <f>I567*K567</f>
        <v/>
      </c>
      <c r="M567" s="6">
        <f>K567*4</f>
        <v/>
      </c>
      <c r="N567" s="6" t="n">
        <v>499</v>
      </c>
    </row>
    <row r="568">
      <c r="A568" s="1" t="inlineStr">
        <is>
          <t>22064324048909</t>
        </is>
      </c>
      <c r="B568" s="1" t="inlineStr">
        <is>
          <t>COLLAR MARIPOSA ROSE GOLD WHITE</t>
        </is>
      </c>
      <c r="C568" s="1" t="inlineStr">
        <is>
          <t>Default Title</t>
        </is>
      </c>
      <c r="D568" s="1" t="inlineStr">
        <is>
          <t>26/05/2026</t>
        </is>
      </c>
      <c r="E568" s="1" t="n">
        <v>2026</v>
      </c>
      <c r="F568" s="1" t="inlineStr">
        <is>
          <t>MAYO</t>
        </is>
      </c>
      <c r="G568" s="1" t="inlineStr">
        <is>
          <t>HAIFENG</t>
        </is>
      </c>
      <c r="H568" s="1" t="inlineStr">
        <is>
          <t>HAIFENG 26/05/2026</t>
        </is>
      </c>
      <c r="I568" s="4" t="n">
        <v>6</v>
      </c>
      <c r="J568" s="6" t="n">
        <v>6</v>
      </c>
      <c r="K568" s="6" t="n">
        <v>125.9357718</v>
      </c>
      <c r="L568" s="6">
        <f>I568*K568</f>
        <v/>
      </c>
      <c r="M568" s="6">
        <f>K568*4</f>
        <v/>
      </c>
      <c r="N568" s="6" t="n">
        <v>499</v>
      </c>
    </row>
    <row r="569">
      <c r="A569" s="1" t="inlineStr">
        <is>
          <t>22064324185069</t>
        </is>
      </c>
      <c r="B569" s="1" t="inlineStr">
        <is>
          <t>COLLAR MARIPOSA SILVER ZIRCONIAS</t>
        </is>
      </c>
      <c r="C569" s="1" t="inlineStr">
        <is>
          <t>Default Title</t>
        </is>
      </c>
      <c r="D569" s="1" t="inlineStr">
        <is>
          <t>05/02/2026</t>
        </is>
      </c>
      <c r="E569" s="1" t="n">
        <v>2026</v>
      </c>
      <c r="F569" s="1" t="inlineStr">
        <is>
          <t>FEBRERO</t>
        </is>
      </c>
      <c r="G569" s="1" t="inlineStr">
        <is>
          <t>HAIFENG</t>
        </is>
      </c>
      <c r="H569" s="1" t="inlineStr">
        <is>
          <t>HAIFENG 05/02/2026</t>
        </is>
      </c>
      <c r="I569" s="4" t="n">
        <v>3</v>
      </c>
      <c r="J569" s="6" t="n">
        <v>6</v>
      </c>
      <c r="K569" s="6" t="n">
        <v>128.1257543</v>
      </c>
      <c r="L569" s="6">
        <f>I569*K569</f>
        <v/>
      </c>
      <c r="M569" s="6">
        <f>K569*4</f>
        <v/>
      </c>
      <c r="N569" s="6" t="n">
        <v>599</v>
      </c>
    </row>
    <row r="570">
      <c r="A570" s="1" t="inlineStr">
        <is>
          <t>22064324293549</t>
        </is>
      </c>
      <c r="B570" s="1" t="inlineStr">
        <is>
          <t>COLLAR MARIPOSA TURQUESA GOLD</t>
        </is>
      </c>
      <c r="C570" s="1" t="inlineStr">
        <is>
          <t>Default Title</t>
        </is>
      </c>
      <c r="D570" s="1" t="inlineStr">
        <is>
          <t>05/02/2026</t>
        </is>
      </c>
      <c r="E570" s="1" t="n">
        <v>2026</v>
      </c>
      <c r="F570" s="1" t="inlineStr">
        <is>
          <t>FEBRERO</t>
        </is>
      </c>
      <c r="G570" s="1" t="inlineStr">
        <is>
          <t>HAIFENG</t>
        </is>
      </c>
      <c r="H570" s="1" t="inlineStr">
        <is>
          <t>HAIFENG 05/02/2026</t>
        </is>
      </c>
      <c r="I570" s="4" t="n">
        <v>3</v>
      </c>
      <c r="J570" s="6" t="n">
        <v>6</v>
      </c>
      <c r="K570" s="6" t="n">
        <v>128.1257543</v>
      </c>
      <c r="L570" s="6">
        <f>I570*K570</f>
        <v/>
      </c>
      <c r="M570" s="6">
        <f>K570*4</f>
        <v/>
      </c>
      <c r="N570" s="6" t="n">
        <v>499</v>
      </c>
    </row>
    <row r="571">
      <c r="A571" s="1" t="inlineStr">
        <is>
          <t>22064324293549</t>
        </is>
      </c>
      <c r="B571" s="1" t="inlineStr">
        <is>
          <t>COLLAR MARIPOSA TURQUESA GOLD</t>
        </is>
      </c>
      <c r="C571" s="1" t="inlineStr">
        <is>
          <t>Default Title</t>
        </is>
      </c>
      <c r="D571" s="1" t="inlineStr">
        <is>
          <t>26/05/2026</t>
        </is>
      </c>
      <c r="E571" s="1" t="n">
        <v>2026</v>
      </c>
      <c r="F571" s="1" t="inlineStr">
        <is>
          <t>MAYO</t>
        </is>
      </c>
      <c r="G571" s="1" t="inlineStr">
        <is>
          <t>HAIFENG</t>
        </is>
      </c>
      <c r="H571" s="1" t="inlineStr">
        <is>
          <t>HAIFENG 26/05/2026</t>
        </is>
      </c>
      <c r="I571" s="4" t="n">
        <v>6</v>
      </c>
      <c r="J571" s="6" t="n">
        <v>6</v>
      </c>
      <c r="K571" s="6" t="n">
        <v>125.9357718</v>
      </c>
      <c r="L571" s="6">
        <f>I571*K571</f>
        <v/>
      </c>
      <c r="M571" s="6">
        <f>K571*4</f>
        <v/>
      </c>
      <c r="N571" s="6" t="n">
        <v>499</v>
      </c>
    </row>
    <row r="572">
      <c r="A572" s="1" t="inlineStr">
        <is>
          <t>22064324357101</t>
        </is>
      </c>
      <c r="B572" s="1" t="inlineStr">
        <is>
          <t>PULSERA T SILVER PADLOCK</t>
        </is>
      </c>
      <c r="C572" s="1" t="inlineStr">
        <is>
          <t>Default Title</t>
        </is>
      </c>
      <c r="D572" s="1" t="inlineStr">
        <is>
          <t>05/02/2026</t>
        </is>
      </c>
      <c r="E572" s="1" t="n">
        <v>2026</v>
      </c>
      <c r="F572" s="1" t="inlineStr">
        <is>
          <t>FEBRERO</t>
        </is>
      </c>
      <c r="G572" s="1" t="inlineStr">
        <is>
          <t>HAIFENG</t>
        </is>
      </c>
      <c r="H572" s="1" t="inlineStr">
        <is>
          <t>HAIFENG 05/02/2026</t>
        </is>
      </c>
      <c r="I572" s="4" t="n">
        <v>2</v>
      </c>
      <c r="J572" s="6" t="n">
        <v>6</v>
      </c>
      <c r="K572" s="6" t="n">
        <v>128.1257543</v>
      </c>
      <c r="L572" s="6">
        <f>I572*K572</f>
        <v/>
      </c>
      <c r="M572" s="6">
        <f>K572*4</f>
        <v/>
      </c>
      <c r="N572" s="6" t="n">
        <v>499</v>
      </c>
    </row>
    <row r="573">
      <c r="A573" s="1" t="inlineStr">
        <is>
          <t>22064324357101</t>
        </is>
      </c>
      <c r="B573" s="1" t="inlineStr">
        <is>
          <t>PULSERA T SILVER PADLOCK</t>
        </is>
      </c>
      <c r="C573" s="1" t="inlineStr">
        <is>
          <t>Default Title</t>
        </is>
      </c>
      <c r="D573" s="1" t="inlineStr">
        <is>
          <t>26/05/2026</t>
        </is>
      </c>
      <c r="E573" s="1" t="n">
        <v>2026</v>
      </c>
      <c r="F573" s="1" t="inlineStr">
        <is>
          <t>MAYO</t>
        </is>
      </c>
      <c r="G573" s="1" t="inlineStr">
        <is>
          <t>HAIFENG</t>
        </is>
      </c>
      <c r="H573" s="1" t="inlineStr">
        <is>
          <t>HAIFENG 26/05/2026</t>
        </is>
      </c>
      <c r="I573" s="4" t="n">
        <v>2</v>
      </c>
      <c r="J573" s="6" t="n">
        <v>6</v>
      </c>
      <c r="K573" s="6" t="n">
        <v>125.9357718</v>
      </c>
      <c r="L573" s="6">
        <f>I573*K573</f>
        <v/>
      </c>
      <c r="M573" s="6">
        <f>K573*4</f>
        <v/>
      </c>
      <c r="N573" s="6" t="n">
        <v>499</v>
      </c>
    </row>
    <row r="574">
      <c r="A574" s="1" t="inlineStr">
        <is>
          <t>22154981086081</t>
        </is>
      </c>
      <c r="B574" s="1" t="inlineStr">
        <is>
          <t>COLLAR DOBLE PLACA - GOLD PINK</t>
        </is>
      </c>
      <c r="C574" s="1" t="inlineStr">
        <is>
          <t>44.5cm</t>
        </is>
      </c>
      <c r="D574" s="1" t="inlineStr">
        <is>
          <t>01/09/2025</t>
        </is>
      </c>
      <c r="E574" s="1" t="n">
        <v>2025</v>
      </c>
      <c r="F574" s="1" t="inlineStr">
        <is>
          <t>SEPTIEMBRE</t>
        </is>
      </c>
      <c r="G574" s="1" t="inlineStr">
        <is>
          <t>ZOEY</t>
        </is>
      </c>
      <c r="H574" s="1" t="inlineStr">
        <is>
          <t>ZOEY 01/09/2025</t>
        </is>
      </c>
      <c r="I574" s="4" t="n">
        <v>10</v>
      </c>
      <c r="J574" s="6" t="n">
        <v>9</v>
      </c>
      <c r="K574" s="6" t="n">
        <v>226.0606014</v>
      </c>
      <c r="L574" s="6">
        <f>I574*K574</f>
        <v/>
      </c>
      <c r="M574" s="6">
        <f>K574*4</f>
        <v/>
      </c>
      <c r="N574" s="6" t="n">
        <v>750</v>
      </c>
    </row>
    <row r="575">
      <c r="A575" s="1" t="inlineStr">
        <is>
          <t>22154981086081</t>
        </is>
      </c>
      <c r="B575" s="1" t="inlineStr">
        <is>
          <t>COLLAR DOBLE PLACA - GOLD PINK</t>
        </is>
      </c>
      <c r="C575" s="1" t="inlineStr">
        <is>
          <t>44.5cm</t>
        </is>
      </c>
      <c r="D575" s="1" t="inlineStr">
        <is>
          <t>20/01/2026</t>
        </is>
      </c>
      <c r="E575" s="1" t="n">
        <v>2026</v>
      </c>
      <c r="F575" s="1" t="inlineStr">
        <is>
          <t>ENERO</t>
        </is>
      </c>
      <c r="G575" s="1" t="inlineStr">
        <is>
          <t>ZOEY</t>
        </is>
      </c>
      <c r="H575" s="1" t="inlineStr">
        <is>
          <t>ZOEY 20/01/2026</t>
        </is>
      </c>
      <c r="I575" s="4" t="n">
        <v>18</v>
      </c>
      <c r="J575" s="6" t="n">
        <v>9</v>
      </c>
      <c r="K575" s="6" t="n">
        <v>234.2843943</v>
      </c>
      <c r="L575" s="6">
        <f>I575*K575</f>
        <v/>
      </c>
      <c r="M575" s="6">
        <f>K575*4</f>
        <v/>
      </c>
      <c r="N575" s="6" t="n">
        <v>820</v>
      </c>
    </row>
    <row r="576">
      <c r="A576" s="1" t="inlineStr">
        <is>
          <t>22214572663341</t>
        </is>
      </c>
      <c r="B576" s="1" t="inlineStr">
        <is>
          <t>ANILLO SIXTEEN STONE SILVER</t>
        </is>
      </c>
      <c r="C576" s="1" t="inlineStr">
        <is>
          <t>REGULAR 6</t>
        </is>
      </c>
      <c r="D576" s="1" t="inlineStr">
        <is>
          <t>11/03/2026</t>
        </is>
      </c>
      <c r="E576" s="1" t="n">
        <v>2026</v>
      </c>
      <c r="F576" s="1" t="inlineStr">
        <is>
          <t>MARZO</t>
        </is>
      </c>
      <c r="G576" s="1" t="inlineStr">
        <is>
          <t>HAIFENG</t>
        </is>
      </c>
      <c r="H576" s="1" t="inlineStr">
        <is>
          <t>HAIFENG 11/03/2026</t>
        </is>
      </c>
      <c r="I576" s="4" t="n">
        <v>2</v>
      </c>
      <c r="J576" s="6" t="n">
        <v>6</v>
      </c>
      <c r="K576" s="6" t="n">
        <v>127.8233773</v>
      </c>
      <c r="L576" s="6">
        <f>I576*K576</f>
        <v/>
      </c>
      <c r="M576" s="6">
        <f>K576*4</f>
        <v/>
      </c>
      <c r="N576" s="6" t="n">
        <v>500</v>
      </c>
    </row>
    <row r="577">
      <c r="A577" s="1" t="inlineStr">
        <is>
          <t>22351461089709</t>
        </is>
      </c>
      <c r="B577" s="1" t="inlineStr">
        <is>
          <t>PULSERA BV ROSEGOLD WHITE CON ZIRCONIA</t>
        </is>
      </c>
      <c r="C577" s="1" t="inlineStr">
        <is>
          <t>Default Title</t>
        </is>
      </c>
      <c r="D577" s="1" t="inlineStr">
        <is>
          <t>25/09/2025</t>
        </is>
      </c>
      <c r="E577" s="1" t="n">
        <v>2025</v>
      </c>
      <c r="F577" s="1" t="inlineStr">
        <is>
          <t>SEPTIEMBRE</t>
        </is>
      </c>
      <c r="G577" s="1" t="inlineStr">
        <is>
          <t>HAIFENG</t>
        </is>
      </c>
      <c r="H577" s="1" t="inlineStr">
        <is>
          <t>HAIFENG 25/09/2025</t>
        </is>
      </c>
      <c r="I577" s="4" t="n">
        <v>3</v>
      </c>
      <c r="J577" s="6" t="n">
        <v>8</v>
      </c>
      <c r="K577" s="6" t="n">
        <v>168.7750861</v>
      </c>
      <c r="L577" s="6">
        <f>I577*K577</f>
        <v/>
      </c>
      <c r="M577" s="6">
        <f>K577*4</f>
        <v/>
      </c>
      <c r="N577" s="6" t="n">
        <v>699</v>
      </c>
    </row>
    <row r="578">
      <c r="A578" s="1" t="inlineStr">
        <is>
          <t>22351461089709</t>
        </is>
      </c>
      <c r="B578" s="1" t="inlineStr">
        <is>
          <t>PULSERA BV ROSEGOLD WHITE CON ZIRCONIA</t>
        </is>
      </c>
      <c r="C578" s="1" t="inlineStr">
        <is>
          <t>high quality</t>
        </is>
      </c>
      <c r="D578" s="1" t="inlineStr">
        <is>
          <t>26/05/2026</t>
        </is>
      </c>
      <c r="E578" s="1" t="n">
        <v>2026</v>
      </c>
      <c r="F578" s="1" t="inlineStr">
        <is>
          <t>MAYO</t>
        </is>
      </c>
      <c r="G578" s="1" t="inlineStr">
        <is>
          <t>HAIFENG</t>
        </is>
      </c>
      <c r="H578" s="1" t="inlineStr">
        <is>
          <t>HAIFENG 26/05/2026</t>
        </is>
      </c>
      <c r="I578" s="4" t="n">
        <v>2</v>
      </c>
      <c r="J578" s="6" t="n">
        <v>8</v>
      </c>
      <c r="K578" s="6" t="n">
        <v>167.9143624</v>
      </c>
      <c r="L578" s="6">
        <f>I578*K578</f>
        <v/>
      </c>
      <c r="M578" s="6">
        <f>K578*4</f>
        <v/>
      </c>
      <c r="N578" s="6" t="n">
        <v>699</v>
      </c>
    </row>
    <row r="579">
      <c r="A579" s="1" t="inlineStr">
        <is>
          <t>22649971041005</t>
        </is>
      </c>
      <c r="B579" s="1" t="inlineStr">
        <is>
          <t>CADENA H SILVER</t>
        </is>
      </c>
      <c r="C579" s="1" t="inlineStr">
        <is>
          <t>Default Title</t>
        </is>
      </c>
      <c r="D579" s="1" t="inlineStr">
        <is>
          <t>25/09/2025</t>
        </is>
      </c>
      <c r="E579" s="1" t="n">
        <v>2025</v>
      </c>
      <c r="F579" s="1" t="inlineStr">
        <is>
          <t>SEPTIEMBRE</t>
        </is>
      </c>
      <c r="G579" s="1" t="inlineStr">
        <is>
          <t>HAIFENG</t>
        </is>
      </c>
      <c r="H579" s="1" t="inlineStr">
        <is>
          <t>HAIFENG 25/09/2025</t>
        </is>
      </c>
      <c r="I579" s="4" t="n">
        <v>1</v>
      </c>
      <c r="J579" s="6" t="n">
        <v>12.99</v>
      </c>
      <c r="K579" s="6" t="n">
        <v>274.0485461</v>
      </c>
      <c r="L579" s="6">
        <f>I579*K579</f>
        <v/>
      </c>
      <c r="M579" s="6">
        <f>K579*4</f>
        <v/>
      </c>
      <c r="N579" s="6" t="n">
        <v>1099</v>
      </c>
    </row>
    <row r="580">
      <c r="A580" s="1" t="inlineStr">
        <is>
          <t>22649971041005</t>
        </is>
      </c>
      <c r="B580" s="1" t="inlineStr">
        <is>
          <t>CADENA H SILVER</t>
        </is>
      </c>
      <c r="C580" s="1" t="inlineStr">
        <is>
          <t>Default Title</t>
        </is>
      </c>
      <c r="D580" s="1" t="inlineStr">
        <is>
          <t>26/05/2026</t>
        </is>
      </c>
      <c r="E580" s="1" t="n">
        <v>2026</v>
      </c>
      <c r="F580" s="1" t="inlineStr">
        <is>
          <t>MAYO</t>
        </is>
      </c>
      <c r="G580" s="1" t="inlineStr">
        <is>
          <t>HAIFENG</t>
        </is>
      </c>
      <c r="H580" s="1" t="inlineStr">
        <is>
          <t>HAIFENG 26/05/2026</t>
        </is>
      </c>
      <c r="I580" s="4" t="n">
        <v>3</v>
      </c>
      <c r="J580" s="6" t="n">
        <v>12.99</v>
      </c>
      <c r="K580" s="6" t="n">
        <v>272.6509459</v>
      </c>
      <c r="L580" s="6">
        <f>I580*K580</f>
        <v/>
      </c>
      <c r="M580" s="6">
        <f>K580*4</f>
        <v/>
      </c>
      <c r="N580" s="6" t="n">
        <v>1099</v>
      </c>
    </row>
    <row r="581">
      <c r="A581" s="1" t="inlineStr">
        <is>
          <t>22731921054541</t>
        </is>
      </c>
      <c r="B581" s="1" t="inlineStr">
        <is>
          <t>PULSERA BV ROSEGOLD BLACK CON ZIRCONIA</t>
        </is>
      </c>
      <c r="C581" s="1" t="inlineStr">
        <is>
          <t>Default Title</t>
        </is>
      </c>
      <c r="D581" s="1" t="inlineStr">
        <is>
          <t>25/09/2025</t>
        </is>
      </c>
      <c r="E581" s="1" t="n">
        <v>2025</v>
      </c>
      <c r="F581" s="1" t="inlineStr">
        <is>
          <t>SEPTIEMBRE</t>
        </is>
      </c>
      <c r="G581" s="1" t="inlineStr">
        <is>
          <t>HAIFENG</t>
        </is>
      </c>
      <c r="H581" s="1" t="inlineStr">
        <is>
          <t>HAIFENG 25/09/2025</t>
        </is>
      </c>
      <c r="I581" s="4" t="n">
        <v>3</v>
      </c>
      <c r="J581" s="6" t="n">
        <v>8</v>
      </c>
      <c r="K581" s="6" t="n">
        <v>168.7750861</v>
      </c>
      <c r="L581" s="6">
        <f>I581*K581</f>
        <v/>
      </c>
      <c r="M581" s="6">
        <f>K581*4</f>
        <v/>
      </c>
      <c r="N581" s="6" t="n">
        <v>670</v>
      </c>
    </row>
    <row r="582">
      <c r="A582" s="1" t="inlineStr">
        <is>
          <t>22731921054541</t>
        </is>
      </c>
      <c r="B582" s="1" t="inlineStr">
        <is>
          <t>PULSERA BV ROSEGOLD BLACK CON ZIRCONIA</t>
        </is>
      </c>
      <c r="C582" s="1" t="inlineStr">
        <is>
          <t>Default Title</t>
        </is>
      </c>
      <c r="D582" s="1" t="inlineStr">
        <is>
          <t>20/01/2026</t>
        </is>
      </c>
      <c r="E582" s="1" t="n">
        <v>2026</v>
      </c>
      <c r="F582" s="1" t="inlineStr">
        <is>
          <t>ENERO</t>
        </is>
      </c>
      <c r="G582" s="1" t="inlineStr">
        <is>
          <t>HAIFENG</t>
        </is>
      </c>
      <c r="H582" s="1" t="inlineStr">
        <is>
          <t>HAIFENG 20/01/2026</t>
        </is>
      </c>
      <c r="I582" s="4" t="n">
        <v>1</v>
      </c>
      <c r="J582" s="6" t="n">
        <v>8</v>
      </c>
      <c r="K582" s="6" t="n">
        <v>169.6033423</v>
      </c>
      <c r="L582" s="6">
        <f>I582*K582</f>
        <v/>
      </c>
      <c r="M582" s="6">
        <f>K582*4</f>
        <v/>
      </c>
      <c r="N582" s="6" t="n">
        <v>670</v>
      </c>
    </row>
    <row r="583">
      <c r="A583" s="1" t="inlineStr">
        <is>
          <t>22731921054541</t>
        </is>
      </c>
      <c r="B583" s="1" t="inlineStr">
        <is>
          <t>PULSERA BV ROSEGOLD BLACK CON ZIRCONIA</t>
        </is>
      </c>
      <c r="C583" s="1" t="inlineStr">
        <is>
          <t>Default Title</t>
        </is>
      </c>
      <c r="D583" s="1" t="inlineStr">
        <is>
          <t>26/05/2026</t>
        </is>
      </c>
      <c r="E583" s="1" t="n">
        <v>2026</v>
      </c>
      <c r="F583" s="1" t="inlineStr">
        <is>
          <t>MAYO</t>
        </is>
      </c>
      <c r="G583" s="1" t="inlineStr">
        <is>
          <t>HAIFENG</t>
        </is>
      </c>
      <c r="H583" s="1" t="inlineStr">
        <is>
          <t>HAIFENG 26/05/2026</t>
        </is>
      </c>
      <c r="I583" s="4" t="n">
        <v>2</v>
      </c>
      <c r="J583" s="6" t="n">
        <v>8</v>
      </c>
      <c r="K583" s="6" t="n">
        <v>167.9143624</v>
      </c>
      <c r="L583" s="6">
        <f>I583*K583</f>
        <v/>
      </c>
      <c r="M583" s="6">
        <f>K583*4</f>
        <v/>
      </c>
      <c r="N583" s="6" t="n">
        <v>670</v>
      </c>
    </row>
    <row r="584">
      <c r="A584" s="1" t="inlineStr">
        <is>
          <t>22974391090893</t>
        </is>
      </c>
      <c r="B584" s="1" t="inlineStr">
        <is>
          <t>COLLAR LV LADY GOLD</t>
        </is>
      </c>
      <c r="C584" s="1" t="inlineStr">
        <is>
          <t>Default Title</t>
        </is>
      </c>
      <c r="D584" s="1" t="inlineStr">
        <is>
          <t>01/04/2026</t>
        </is>
      </c>
      <c r="E584" s="1" t="n">
        <v>2026</v>
      </c>
      <c r="F584" s="1" t="inlineStr">
        <is>
          <t>ABRIL</t>
        </is>
      </c>
      <c r="G584" s="1" t="inlineStr">
        <is>
          <t>NANCY</t>
        </is>
      </c>
      <c r="H584" s="1" t="inlineStr">
        <is>
          <t>NANCY 01/04/2026</t>
        </is>
      </c>
      <c r="I584" s="4" t="n">
        <v>2</v>
      </c>
      <c r="J584" s="6" t="n">
        <v>9.99</v>
      </c>
      <c r="K584" s="6" t="n">
        <v>239.1656907</v>
      </c>
      <c r="L584" s="6">
        <f>I584*K584</f>
        <v/>
      </c>
      <c r="M584" s="6">
        <f>K584*4</f>
        <v/>
      </c>
      <c r="N584" s="6" t="n">
        <v>850</v>
      </c>
    </row>
    <row r="585">
      <c r="A585" s="1" t="inlineStr">
        <is>
          <t>22974391090893</t>
        </is>
      </c>
      <c r="B585" s="1" t="inlineStr">
        <is>
          <t>COLLAR LV LADY GOLD</t>
        </is>
      </c>
      <c r="C585" s="1" t="inlineStr">
        <is>
          <t>Default Title</t>
        </is>
      </c>
      <c r="D585" s="1" t="inlineStr">
        <is>
          <t>09/07/2026</t>
        </is>
      </c>
      <c r="E585" s="1" t="n">
        <v>2026</v>
      </c>
      <c r="F585" s="1" t="inlineStr">
        <is>
          <t>JULIO</t>
        </is>
      </c>
      <c r="G585" s="1" t="inlineStr">
        <is>
          <t>NANCY</t>
        </is>
      </c>
      <c r="H585" s="1" t="inlineStr">
        <is>
          <t>NANCY 09/07/2026</t>
        </is>
      </c>
      <c r="I585" s="4" t="n">
        <v>3</v>
      </c>
      <c r="J585" s="6" t="n">
        <v>9.59</v>
      </c>
      <c r="K585" s="6" t="n">
        <v>233.6648888</v>
      </c>
      <c r="L585" s="6">
        <f>I585*K585</f>
        <v/>
      </c>
      <c r="M585" s="6">
        <f>K585*4</f>
        <v/>
      </c>
      <c r="N585" s="6" t="n">
        <v>850</v>
      </c>
    </row>
    <row r="586">
      <c r="A586" s="1" t="inlineStr">
        <is>
          <t>22974391120269</t>
        </is>
      </c>
      <c r="B586" s="1" t="inlineStr">
        <is>
          <t>COLLAR LV GO-SOO GOLD</t>
        </is>
      </c>
      <c r="C586" s="1" t="inlineStr">
        <is>
          <t>Default Title</t>
        </is>
      </c>
      <c r="D586" s="1" t="inlineStr">
        <is>
          <t>01/04/2026</t>
        </is>
      </c>
      <c r="E586" s="1" t="n">
        <v>2026</v>
      </c>
      <c r="F586" s="1" t="inlineStr">
        <is>
          <t>ABRIL</t>
        </is>
      </c>
      <c r="G586" s="1" t="inlineStr">
        <is>
          <t>NANCY</t>
        </is>
      </c>
      <c r="H586" s="1" t="inlineStr">
        <is>
          <t>NANCY 01/04/2026</t>
        </is>
      </c>
      <c r="I586" s="4" t="n">
        <v>2</v>
      </c>
      <c r="J586" s="6" t="n">
        <v>5.59</v>
      </c>
      <c r="K586" s="6" t="n">
        <v>133.8274486</v>
      </c>
      <c r="L586" s="6">
        <f>I586*K586</f>
        <v/>
      </c>
      <c r="M586" s="6">
        <f>K586*4</f>
        <v/>
      </c>
      <c r="N586" s="6" t="n">
        <v>599</v>
      </c>
    </row>
    <row r="587">
      <c r="A587" s="1" t="inlineStr">
        <is>
          <t>22974391279021</t>
        </is>
      </c>
      <c r="B587" s="1" t="inlineStr">
        <is>
          <t>COLLAR LV ICONIC LOUISA SILVER</t>
        </is>
      </c>
      <c r="C587" s="1" t="inlineStr">
        <is>
          <t>Default Title</t>
        </is>
      </c>
      <c r="D587" s="1" t="inlineStr">
        <is>
          <t>01/04/2026</t>
        </is>
      </c>
      <c r="E587" s="1" t="n">
        <v>2026</v>
      </c>
      <c r="F587" s="1" t="inlineStr">
        <is>
          <t>ABRIL</t>
        </is>
      </c>
      <c r="G587" s="1" t="inlineStr">
        <is>
          <t>NANCY</t>
        </is>
      </c>
      <c r="H587" s="1" t="inlineStr">
        <is>
          <t>NANCY 01/04/2026</t>
        </is>
      </c>
      <c r="I587" s="4" t="n">
        <v>2</v>
      </c>
      <c r="J587" s="6" t="n">
        <v>7.99</v>
      </c>
      <c r="K587" s="6" t="n">
        <v>191.2846715</v>
      </c>
      <c r="L587" s="6">
        <f>I587*K587</f>
        <v/>
      </c>
      <c r="M587" s="6">
        <f>K587*4</f>
        <v/>
      </c>
      <c r="N587" s="6" t="n">
        <v>699</v>
      </c>
    </row>
    <row r="588">
      <c r="A588" s="1" t="inlineStr">
        <is>
          <t>22974391301613</t>
        </is>
      </c>
      <c r="B588" s="1" t="inlineStr">
        <is>
          <t>PULSERA LV ICONIC LOUISA SILVER</t>
        </is>
      </c>
      <c r="C588" s="1" t="inlineStr">
        <is>
          <t>Default Title</t>
        </is>
      </c>
      <c r="D588" s="1" t="inlineStr">
        <is>
          <t>01/04/2026</t>
        </is>
      </c>
      <c r="E588" s="1" t="n">
        <v>2026</v>
      </c>
      <c r="F588" s="1" t="inlineStr">
        <is>
          <t>ABRIL</t>
        </is>
      </c>
      <c r="G588" s="1" t="inlineStr">
        <is>
          <t>NANCY</t>
        </is>
      </c>
      <c r="H588" s="1" t="inlineStr">
        <is>
          <t>NANCY 01/04/2026</t>
        </is>
      </c>
      <c r="I588" s="4" t="n">
        <v>2</v>
      </c>
      <c r="J588" s="6" t="n">
        <v>7.59</v>
      </c>
      <c r="K588" s="6" t="n">
        <v>181.7084677</v>
      </c>
      <c r="L588" s="6">
        <f>I588*K588</f>
        <v/>
      </c>
      <c r="M588" s="6">
        <f>K588*4</f>
        <v/>
      </c>
      <c r="N588" s="6" t="n">
        <v>650</v>
      </c>
    </row>
    <row r="589">
      <c r="A589" s="1" t="inlineStr">
        <is>
          <t>22974391456973</t>
        </is>
      </c>
      <c r="B589" s="1" t="inlineStr">
        <is>
          <t>BRAZALETE LV EMPREINTE SILVER</t>
        </is>
      </c>
      <c r="C589" s="1" t="inlineStr">
        <is>
          <t>Default Title</t>
        </is>
      </c>
      <c r="D589" s="1" t="inlineStr">
        <is>
          <t>01/04/2026</t>
        </is>
      </c>
      <c r="E589" s="1" t="n">
        <v>2026</v>
      </c>
      <c r="F589" s="1" t="inlineStr">
        <is>
          <t>ABRIL</t>
        </is>
      </c>
      <c r="G589" s="1" t="inlineStr">
        <is>
          <t>NANCY</t>
        </is>
      </c>
      <c r="H589" s="1" t="inlineStr">
        <is>
          <t>NANCY 01/04/2026</t>
        </is>
      </c>
      <c r="I589" s="4" t="n">
        <v>2</v>
      </c>
      <c r="J589" s="6" t="n">
        <v>5.99</v>
      </c>
      <c r="K589" s="6" t="n">
        <v>143.4036524</v>
      </c>
      <c r="L589" s="6">
        <f>I589*K589</f>
        <v/>
      </c>
      <c r="M589" s="6">
        <f>K589*4</f>
        <v/>
      </c>
      <c r="N589" s="6" t="n">
        <v>499</v>
      </c>
    </row>
    <row r="590">
      <c r="A590" s="1" t="inlineStr">
        <is>
          <t>22974391456973</t>
        </is>
      </c>
      <c r="B590" s="1" t="inlineStr">
        <is>
          <t>BRAZALETE LV EMPREINTE SILVER</t>
        </is>
      </c>
      <c r="C590" s="1" t="inlineStr">
        <is>
          <t>Default Title</t>
        </is>
      </c>
      <c r="D590" s="1" t="inlineStr">
        <is>
          <t>09/07/2026</t>
        </is>
      </c>
      <c r="E590" s="1" t="n">
        <v>2026</v>
      </c>
      <c r="F590" s="1" t="inlineStr">
        <is>
          <t>JULIO</t>
        </is>
      </c>
      <c r="G590" s="1" t="inlineStr">
        <is>
          <t>NANCY</t>
        </is>
      </c>
      <c r="H590" s="1" t="inlineStr">
        <is>
          <t>NANCY 09/07/2026</t>
        </is>
      </c>
      <c r="I590" s="4" t="n">
        <v>3</v>
      </c>
      <c r="J590" s="6" t="n">
        <v>8.59</v>
      </c>
      <c r="K590" s="6" t="n">
        <v>209.2994156</v>
      </c>
      <c r="L590" s="6">
        <f>I590*K590</f>
        <v/>
      </c>
      <c r="M590" s="6">
        <f>K590*4</f>
        <v/>
      </c>
      <c r="N590" s="6" t="n">
        <v>499</v>
      </c>
    </row>
    <row r="591">
      <c r="A591" s="1" t="inlineStr">
        <is>
          <t>22974391600461</t>
        </is>
      </c>
      <c r="B591" s="1" t="inlineStr">
        <is>
          <t>ARETES LV LADY GOLD</t>
        </is>
      </c>
      <c r="C591" s="1" t="inlineStr">
        <is>
          <t>Default Title</t>
        </is>
      </c>
      <c r="D591" s="1" t="inlineStr">
        <is>
          <t>01/04/2026</t>
        </is>
      </c>
      <c r="E591" s="1" t="n">
        <v>2026</v>
      </c>
      <c r="F591" s="1" t="inlineStr">
        <is>
          <t>ABRIL</t>
        </is>
      </c>
      <c r="G591" s="1" t="inlineStr">
        <is>
          <t>NANCY</t>
        </is>
      </c>
      <c r="H591" s="1" t="inlineStr">
        <is>
          <t>NANCY 01/04/2026</t>
        </is>
      </c>
      <c r="I591" s="4" t="n">
        <v>2</v>
      </c>
      <c r="J591" s="6" t="n">
        <v>6.89</v>
      </c>
      <c r="K591" s="6" t="n">
        <v>164.950111</v>
      </c>
      <c r="L591" s="6">
        <f>I591*K591</f>
        <v/>
      </c>
      <c r="M591" s="6">
        <f>K591*4</f>
        <v/>
      </c>
      <c r="N591" s="6" t="n">
        <v>599</v>
      </c>
    </row>
    <row r="592">
      <c r="A592" s="1" t="inlineStr">
        <is>
          <t>22974391930381</t>
        </is>
      </c>
      <c r="B592" s="1" t="inlineStr">
        <is>
          <t>COLLAR CC CAMELIA ROSE GOLD</t>
        </is>
      </c>
      <c r="C592" s="1" t="inlineStr">
        <is>
          <t>Default Title</t>
        </is>
      </c>
      <c r="D592" s="1" t="inlineStr">
        <is>
          <t>01/04/2026</t>
        </is>
      </c>
      <c r="E592" s="1" t="n">
        <v>2026</v>
      </c>
      <c r="F592" s="1" t="inlineStr">
        <is>
          <t>ABRIL</t>
        </is>
      </c>
      <c r="G592" s="1" t="inlineStr">
        <is>
          <t>NANCY</t>
        </is>
      </c>
      <c r="H592" s="1" t="inlineStr">
        <is>
          <t>NANCY 01/04/2026</t>
        </is>
      </c>
      <c r="I592" s="4" t="n">
        <v>2</v>
      </c>
      <c r="J592" s="6" t="n">
        <v>8.49</v>
      </c>
      <c r="K592" s="6" t="n">
        <v>203.2549263</v>
      </c>
      <c r="L592" s="6">
        <f>I592*K592</f>
        <v/>
      </c>
      <c r="M592" s="6">
        <f>K592*4</f>
        <v/>
      </c>
      <c r="N592" s="6" t="n">
        <v>750</v>
      </c>
    </row>
    <row r="593">
      <c r="A593" s="1" t="inlineStr">
        <is>
          <t>22974392089133</t>
        </is>
      </c>
      <c r="B593" s="1" t="inlineStr">
        <is>
          <t>PULSERA CC COMETE GEODE SILVER</t>
        </is>
      </c>
      <c r="C593" s="1" t="inlineStr">
        <is>
          <t>Default Title</t>
        </is>
      </c>
      <c r="D593" s="1" t="inlineStr">
        <is>
          <t>01/04/2026</t>
        </is>
      </c>
      <c r="E593" s="1" t="n">
        <v>2026</v>
      </c>
      <c r="F593" s="1" t="inlineStr">
        <is>
          <t>ABRIL</t>
        </is>
      </c>
      <c r="G593" s="1" t="inlineStr">
        <is>
          <t>NANCY</t>
        </is>
      </c>
      <c r="H593" s="1" t="inlineStr">
        <is>
          <t>NANCY 01/04/2026</t>
        </is>
      </c>
      <c r="I593" s="4" t="n">
        <v>2</v>
      </c>
      <c r="J593" s="6" t="n">
        <v>6.29</v>
      </c>
      <c r="K593" s="6" t="n">
        <v>150.5858053</v>
      </c>
      <c r="L593" s="6">
        <f>I593*K593</f>
        <v/>
      </c>
      <c r="M593" s="6">
        <f>K593*4</f>
        <v/>
      </c>
      <c r="N593" s="6" t="n">
        <v>550</v>
      </c>
    </row>
    <row r="594">
      <c r="A594" s="1" t="inlineStr">
        <is>
          <t>22974392089133</t>
        </is>
      </c>
      <c r="B594" s="1" t="inlineStr">
        <is>
          <t>PULSERA CC COMETE GEODE SILVER</t>
        </is>
      </c>
      <c r="C594" s="1" t="inlineStr">
        <is>
          <t>Default Title</t>
        </is>
      </c>
      <c r="D594" s="1" t="inlineStr">
        <is>
          <t>09/07/2026</t>
        </is>
      </c>
      <c r="E594" s="1" t="n">
        <v>2026</v>
      </c>
      <c r="F594" s="1" t="inlineStr">
        <is>
          <t>JULIO</t>
        </is>
      </c>
      <c r="G594" s="1" t="inlineStr">
        <is>
          <t>NANCY</t>
        </is>
      </c>
      <c r="H594" s="1" t="inlineStr">
        <is>
          <t>NANCY 09/07/2026</t>
        </is>
      </c>
      <c r="I594" s="4" t="n">
        <v>4</v>
      </c>
      <c r="J594" s="6" t="n">
        <v>6.29</v>
      </c>
      <c r="K594" s="6" t="n">
        <v>153.258827</v>
      </c>
      <c r="L594" s="6">
        <f>I594*K594</f>
        <v/>
      </c>
      <c r="M594" s="6">
        <f>K594*4</f>
        <v/>
      </c>
      <c r="N594" s="6" t="n">
        <v>550</v>
      </c>
    </row>
    <row r="595">
      <c r="A595" s="1" t="inlineStr">
        <is>
          <t>22974392136013</t>
        </is>
      </c>
      <c r="B595" s="1" t="inlineStr">
        <is>
          <t>BRAZALETE CC WHITE LOGOS</t>
        </is>
      </c>
      <c r="C595" s="1" t="inlineStr">
        <is>
          <t>Default Title</t>
        </is>
      </c>
      <c r="D595" s="1" t="inlineStr">
        <is>
          <t>01/04/2026</t>
        </is>
      </c>
      <c r="E595" s="1" t="n">
        <v>2026</v>
      </c>
      <c r="F595" s="1" t="inlineStr">
        <is>
          <t>ABRIL</t>
        </is>
      </c>
      <c r="G595" s="1" t="inlineStr">
        <is>
          <t>NANCY</t>
        </is>
      </c>
      <c r="H595" s="1" t="inlineStr">
        <is>
          <t>NANCY 01/04/2026</t>
        </is>
      </c>
      <c r="I595" s="4" t="n">
        <v>2</v>
      </c>
      <c r="J595" s="6" t="n">
        <v>7.29</v>
      </c>
      <c r="K595" s="6" t="n">
        <v>174.5263148</v>
      </c>
      <c r="L595" s="6">
        <f>I595*K595</f>
        <v/>
      </c>
      <c r="M595" s="6">
        <f>K595*4</f>
        <v/>
      </c>
      <c r="N595" s="6" t="n">
        <v>650</v>
      </c>
    </row>
    <row r="596">
      <c r="A596" s="1" t="inlineStr">
        <is>
          <t>22974392136013</t>
        </is>
      </c>
      <c r="B596" s="1" t="inlineStr">
        <is>
          <t>BRAZALETE CC WHITE LOGOS</t>
        </is>
      </c>
      <c r="C596" s="1" t="inlineStr">
        <is>
          <t>Default Title</t>
        </is>
      </c>
      <c r="D596" s="1" t="inlineStr">
        <is>
          <t>09/07/2026</t>
        </is>
      </c>
      <c r="E596" s="1" t="n">
        <v>2026</v>
      </c>
      <c r="F596" s="1" t="inlineStr">
        <is>
          <t>JULIO</t>
        </is>
      </c>
      <c r="G596" s="1" t="inlineStr">
        <is>
          <t>NANCY</t>
        </is>
      </c>
      <c r="H596" s="1" t="inlineStr">
        <is>
          <t>NANCY 09/07/2026</t>
        </is>
      </c>
      <c r="I596" s="4" t="n">
        <v>2</v>
      </c>
      <c r="J596" s="6" t="n">
        <v>6.99</v>
      </c>
      <c r="K596" s="6" t="n">
        <v>170.3146583</v>
      </c>
      <c r="L596" s="6">
        <f>I596*K596</f>
        <v/>
      </c>
      <c r="M596" s="6">
        <f>K596*4</f>
        <v/>
      </c>
      <c r="N596" s="6" t="n">
        <v>650</v>
      </c>
    </row>
    <row r="597">
      <c r="A597" s="1" t="inlineStr">
        <is>
          <t>22974392232621</t>
        </is>
      </c>
      <c r="B597" s="1" t="inlineStr">
        <is>
          <t>ARETES CC RESIN PEARL SILVER</t>
        </is>
      </c>
      <c r="C597" s="1" t="inlineStr">
        <is>
          <t>Default Title</t>
        </is>
      </c>
      <c r="D597" s="1" t="inlineStr">
        <is>
          <t>01/04/2026</t>
        </is>
      </c>
      <c r="E597" s="1" t="n">
        <v>2026</v>
      </c>
      <c r="F597" s="1" t="inlineStr">
        <is>
          <t>ABRIL</t>
        </is>
      </c>
      <c r="G597" s="1" t="inlineStr">
        <is>
          <t>NANCY</t>
        </is>
      </c>
      <c r="H597" s="1" t="inlineStr">
        <is>
          <t>NANCY 01/04/2026</t>
        </is>
      </c>
      <c r="I597" s="4" t="n">
        <v>2</v>
      </c>
      <c r="J597" s="6" t="n">
        <v>2.99</v>
      </c>
      <c r="K597" s="6" t="n">
        <v>71.58212365</v>
      </c>
      <c r="L597" s="6">
        <f>I597*K597</f>
        <v/>
      </c>
      <c r="M597" s="6">
        <f>K597*4</f>
        <v/>
      </c>
      <c r="N597" s="6" t="n">
        <v>499</v>
      </c>
    </row>
    <row r="598">
      <c r="A598" s="1" t="inlineStr">
        <is>
          <t>22974392394765</t>
        </is>
      </c>
      <c r="B598" s="1" t="inlineStr">
        <is>
          <t>BRAZALETE GG HORSEBIT GOLD</t>
        </is>
      </c>
      <c r="C598" s="1" t="inlineStr">
        <is>
          <t>Default Title</t>
        </is>
      </c>
      <c r="D598" s="1" t="inlineStr">
        <is>
          <t>01/04/2026</t>
        </is>
      </c>
      <c r="E598" s="1" t="n">
        <v>2026</v>
      </c>
      <c r="F598" s="1" t="inlineStr">
        <is>
          <t>ABRIL</t>
        </is>
      </c>
      <c r="G598" s="1" t="inlineStr">
        <is>
          <t>NANCY</t>
        </is>
      </c>
      <c r="H598" s="1" t="inlineStr">
        <is>
          <t>NANCY 01/04/2026</t>
        </is>
      </c>
      <c r="I598" s="4" t="n">
        <v>2</v>
      </c>
      <c r="J598" s="6" t="n">
        <v>5.59</v>
      </c>
      <c r="K598" s="6" t="n">
        <v>133.8274486</v>
      </c>
      <c r="L598" s="6">
        <f>I598*K598</f>
        <v/>
      </c>
      <c r="M598" s="6">
        <f>K598*4</f>
        <v/>
      </c>
      <c r="N598" s="6" t="n">
        <v>599</v>
      </c>
    </row>
    <row r="599">
      <c r="A599" s="1" t="inlineStr">
        <is>
          <t>22974392487981</t>
        </is>
      </c>
      <c r="B599" s="1" t="inlineStr">
        <is>
          <t>ARRACADAS GG BLONDIE GOLD</t>
        </is>
      </c>
      <c r="C599" s="1" t="inlineStr">
        <is>
          <t>Default Title</t>
        </is>
      </c>
      <c r="D599" s="1" t="inlineStr">
        <is>
          <t>01/04/2026</t>
        </is>
      </c>
      <c r="E599" s="1" t="n">
        <v>2026</v>
      </c>
      <c r="F599" s="1" t="inlineStr">
        <is>
          <t>ABRIL</t>
        </is>
      </c>
      <c r="G599" s="1" t="inlineStr">
        <is>
          <t>NANCY</t>
        </is>
      </c>
      <c r="H599" s="1" t="inlineStr">
        <is>
          <t>NANCY 01/04/2026</t>
        </is>
      </c>
      <c r="I599" s="4" t="n">
        <v>2</v>
      </c>
      <c r="J599" s="6" t="n">
        <v>5.59</v>
      </c>
      <c r="K599" s="6" t="n">
        <v>133.8274486</v>
      </c>
      <c r="L599" s="6">
        <f>I599*K599</f>
        <v/>
      </c>
      <c r="M599" s="6">
        <f>K599*4</f>
        <v/>
      </c>
      <c r="N599" s="6" t="n">
        <v>499</v>
      </c>
    </row>
    <row r="600">
      <c r="A600" s="1" t="inlineStr">
        <is>
          <t>22974392487981</t>
        </is>
      </c>
      <c r="B600" s="1" t="inlineStr">
        <is>
          <t>ARRACADAS GG BLONDIE GOLD</t>
        </is>
      </c>
      <c r="C600" s="1" t="inlineStr">
        <is>
          <t>Default Title</t>
        </is>
      </c>
      <c r="D600" s="1" t="inlineStr">
        <is>
          <t>31/05/2026</t>
        </is>
      </c>
      <c r="E600" s="1" t="n">
        <v>2026</v>
      </c>
      <c r="F600" s="1" t="inlineStr">
        <is>
          <t>MAYO</t>
        </is>
      </c>
      <c r="G600" s="1" t="inlineStr">
        <is>
          <t>NANCY</t>
        </is>
      </c>
      <c r="H600" s="1" t="inlineStr">
        <is>
          <t>NANCY 31/05/2026</t>
        </is>
      </c>
      <c r="I600" s="4" t="n">
        <v>2</v>
      </c>
      <c r="J600" s="6" t="n">
        <v>5.99</v>
      </c>
      <c r="K600" s="6" t="n">
        <v>145.3628624</v>
      </c>
      <c r="L600" s="6">
        <f>I600*K600</f>
        <v/>
      </c>
      <c r="M600" s="6">
        <f>K600*4</f>
        <v/>
      </c>
      <c r="N600" s="6" t="n">
        <v>499</v>
      </c>
    </row>
    <row r="601">
      <c r="A601" s="1" t="inlineStr">
        <is>
          <t>22974392517357</t>
        </is>
      </c>
      <c r="B601" s="1" t="inlineStr">
        <is>
          <t>GARGANTILLA CD BLACK</t>
        </is>
      </c>
      <c r="C601" s="1" t="inlineStr">
        <is>
          <t>Default Title</t>
        </is>
      </c>
      <c r="D601" s="1" t="inlineStr">
        <is>
          <t>01/04/2026</t>
        </is>
      </c>
      <c r="E601" s="1" t="n">
        <v>2026</v>
      </c>
      <c r="F601" s="1" t="inlineStr">
        <is>
          <t>ABRIL</t>
        </is>
      </c>
      <c r="G601" s="1" t="inlineStr">
        <is>
          <t>NANCY</t>
        </is>
      </c>
      <c r="H601" s="1" t="inlineStr">
        <is>
          <t>NANCY 01/04/2026</t>
        </is>
      </c>
      <c r="I601" s="4" t="n">
        <v>2</v>
      </c>
      <c r="J601" s="6" t="n">
        <v>5.59</v>
      </c>
      <c r="K601" s="6" t="n">
        <v>133.8274486</v>
      </c>
      <c r="L601" s="6">
        <f>I601*K601</f>
        <v/>
      </c>
      <c r="M601" s="6">
        <f>K601*4</f>
        <v/>
      </c>
      <c r="N601" s="6" t="n">
        <v>499</v>
      </c>
    </row>
    <row r="602">
      <c r="A602" s="1" t="inlineStr">
        <is>
          <t>22974392517357</t>
        </is>
      </c>
      <c r="B602" s="1" t="inlineStr">
        <is>
          <t>GARGANTILLA CD BLACK</t>
        </is>
      </c>
      <c r="C602" s="1" t="inlineStr">
        <is>
          <t>Default Title</t>
        </is>
      </c>
      <c r="D602" s="1" t="inlineStr">
        <is>
          <t>31/05/2026</t>
        </is>
      </c>
      <c r="E602" s="1" t="n">
        <v>2026</v>
      </c>
      <c r="F602" s="1" t="inlineStr">
        <is>
          <t>MAYO</t>
        </is>
      </c>
      <c r="G602" s="1" t="inlineStr">
        <is>
          <t>NANCY</t>
        </is>
      </c>
      <c r="H602" s="1" t="inlineStr">
        <is>
          <t>NANCY 31/05/2026</t>
        </is>
      </c>
      <c r="I602" s="4" t="n">
        <v>2</v>
      </c>
      <c r="J602" s="6" t="n">
        <v>5.59</v>
      </c>
      <c r="K602" s="6" t="n">
        <v>135.6558265</v>
      </c>
      <c r="L602" s="6">
        <f>I602*K602</f>
        <v/>
      </c>
      <c r="M602" s="6">
        <f>K602*4</f>
        <v/>
      </c>
      <c r="N602" s="6" t="n">
        <v>499</v>
      </c>
    </row>
    <row r="603">
      <c r="A603" s="1" t="inlineStr">
        <is>
          <t>22974392517357</t>
        </is>
      </c>
      <c r="B603" s="1" t="inlineStr">
        <is>
          <t>GARGANTILLA CD BLACK</t>
        </is>
      </c>
      <c r="C603" s="1" t="inlineStr">
        <is>
          <t>Default Title</t>
        </is>
      </c>
      <c r="D603" s="1" t="inlineStr">
        <is>
          <t>09/07/2026</t>
        </is>
      </c>
      <c r="E603" s="1" t="n">
        <v>2026</v>
      </c>
      <c r="F603" s="1" t="inlineStr">
        <is>
          <t>JULIO</t>
        </is>
      </c>
      <c r="G603" s="1" t="inlineStr">
        <is>
          <t>NANCY</t>
        </is>
      </c>
      <c r="H603" s="1" t="inlineStr">
        <is>
          <t>NANCY 09/07/2026</t>
        </is>
      </c>
      <c r="I603" s="4" t="n">
        <v>7</v>
      </c>
      <c r="J603" s="6" t="n">
        <v>5.59</v>
      </c>
      <c r="K603" s="6" t="n">
        <v>136.2029957</v>
      </c>
      <c r="L603" s="6">
        <f>I603*K603</f>
        <v/>
      </c>
      <c r="M603" s="6">
        <f>K603*4</f>
        <v/>
      </c>
      <c r="N603" s="6" t="n">
        <v>499</v>
      </c>
    </row>
    <row r="604">
      <c r="A604" s="1" t="inlineStr">
        <is>
          <t>22974392600397</t>
        </is>
      </c>
      <c r="B604" s="1" t="inlineStr">
        <is>
          <t>BRAZALETE CD PETIT MULTI GOLD</t>
        </is>
      </c>
      <c r="C604" s="1" t="inlineStr">
        <is>
          <t>Default Title</t>
        </is>
      </c>
      <c r="D604" s="1" t="inlineStr">
        <is>
          <t>01/04/2026</t>
        </is>
      </c>
      <c r="E604" s="1" t="n">
        <v>2026</v>
      </c>
      <c r="F604" s="1" t="inlineStr">
        <is>
          <t>ABRIL</t>
        </is>
      </c>
      <c r="G604" s="1" t="inlineStr">
        <is>
          <t>NANCY</t>
        </is>
      </c>
      <c r="H604" s="1" t="inlineStr">
        <is>
          <t>NANCY 01/04/2026</t>
        </is>
      </c>
      <c r="I604" s="4" t="n">
        <v>2</v>
      </c>
      <c r="J604" s="6" t="n">
        <v>7.79</v>
      </c>
      <c r="K604" s="6" t="n">
        <v>186.4965696</v>
      </c>
      <c r="L604" s="6">
        <f>I604*K604</f>
        <v/>
      </c>
      <c r="M604" s="6">
        <f>K604*4</f>
        <v/>
      </c>
      <c r="N604" s="6" t="n">
        <v>650</v>
      </c>
    </row>
    <row r="605">
      <c r="A605" s="1" t="inlineStr">
        <is>
          <t>22974392600397</t>
        </is>
      </c>
      <c r="B605" s="1" t="inlineStr">
        <is>
          <t>BRAZALETE CD PETIT MULTI GOLD</t>
        </is>
      </c>
      <c r="C605" s="1" t="inlineStr">
        <is>
          <t>Default Title</t>
        </is>
      </c>
      <c r="D605" s="1" t="inlineStr">
        <is>
          <t>09/07/2026</t>
        </is>
      </c>
      <c r="E605" s="1" t="n">
        <v>2026</v>
      </c>
      <c r="F605" s="1" t="inlineStr">
        <is>
          <t>JULIO</t>
        </is>
      </c>
      <c r="G605" s="1" t="inlineStr">
        <is>
          <t>NANCY</t>
        </is>
      </c>
      <c r="H605" s="1" t="inlineStr">
        <is>
          <t>NANCY 09/07/2026</t>
        </is>
      </c>
      <c r="I605" s="4" t="n">
        <v>4</v>
      </c>
      <c r="J605" s="6" t="n">
        <v>7.99</v>
      </c>
      <c r="K605" s="6" t="n">
        <v>194.6801316</v>
      </c>
      <c r="L605" s="6">
        <f>I605*K605</f>
        <v/>
      </c>
      <c r="M605" s="6">
        <f>K605*4</f>
        <v/>
      </c>
      <c r="N605" s="6" t="n">
        <v>650</v>
      </c>
    </row>
    <row r="606">
      <c r="A606" s="1" t="inlineStr">
        <is>
          <t>22974392766477</t>
        </is>
      </c>
      <c r="B606" s="1" t="inlineStr">
        <is>
          <t>ARRACADAS CD NEW LOOK GOLD</t>
        </is>
      </c>
      <c r="C606" s="1" t="inlineStr">
        <is>
          <t>HIGH QUALITY</t>
        </is>
      </c>
      <c r="D606" s="1" t="inlineStr">
        <is>
          <t>01/04/2026</t>
        </is>
      </c>
      <c r="E606" s="1" t="n">
        <v>2026</v>
      </c>
      <c r="F606" s="1" t="inlineStr">
        <is>
          <t>ABRIL</t>
        </is>
      </c>
      <c r="G606" s="1" t="inlineStr">
        <is>
          <t>NANCY</t>
        </is>
      </c>
      <c r="H606" s="1" t="inlineStr">
        <is>
          <t>NANCY 01/04/2026</t>
        </is>
      </c>
      <c r="I606" s="4" t="n">
        <v>2</v>
      </c>
      <c r="J606" s="6" t="n">
        <v>6.29</v>
      </c>
      <c r="K606" s="6" t="n">
        <v>150.5858053</v>
      </c>
      <c r="L606" s="6">
        <f>I606*K606</f>
        <v/>
      </c>
      <c r="M606" s="6">
        <f>K606*4</f>
        <v/>
      </c>
      <c r="N606" s="6" t="n">
        <v>550</v>
      </c>
    </row>
    <row r="607">
      <c r="A607" s="1" t="inlineStr">
        <is>
          <t>22974393035949</t>
        </is>
      </c>
      <c r="B607" s="1" t="inlineStr">
        <is>
          <t>ARETES V MEDUSA GOLD</t>
        </is>
      </c>
      <c r="C607" s="1" t="inlineStr">
        <is>
          <t>Default Title</t>
        </is>
      </c>
      <c r="D607" s="1" t="inlineStr">
        <is>
          <t>01/04/2026</t>
        </is>
      </c>
      <c r="E607" s="1" t="n">
        <v>2026</v>
      </c>
      <c r="F607" s="1" t="inlineStr">
        <is>
          <t>ABRIL</t>
        </is>
      </c>
      <c r="G607" s="1" t="inlineStr">
        <is>
          <t>NANCY</t>
        </is>
      </c>
      <c r="H607" s="1" t="inlineStr">
        <is>
          <t>NANCY 01/04/2026</t>
        </is>
      </c>
      <c r="I607" s="4" t="n">
        <v>2</v>
      </c>
      <c r="J607" s="6" t="n">
        <v>5.58</v>
      </c>
      <c r="K607" s="6" t="n">
        <v>133.5880435</v>
      </c>
      <c r="L607" s="6">
        <f>I607*K607</f>
        <v/>
      </c>
      <c r="M607" s="6">
        <f>K607*4</f>
        <v/>
      </c>
      <c r="N607" s="6" t="n">
        <v>499</v>
      </c>
    </row>
    <row r="608">
      <c r="A608" s="1" t="inlineStr">
        <is>
          <t>22974393035949</t>
        </is>
      </c>
      <c r="B608" s="1" t="inlineStr">
        <is>
          <t>ARETES V MEDUSA GOLD</t>
        </is>
      </c>
      <c r="C608" s="1" t="inlineStr">
        <is>
          <t>Default Title</t>
        </is>
      </c>
      <c r="D608" s="1" t="inlineStr">
        <is>
          <t>31/05/2026</t>
        </is>
      </c>
      <c r="E608" s="1" t="n">
        <v>2026</v>
      </c>
      <c r="F608" s="1" t="inlineStr">
        <is>
          <t>MAYO</t>
        </is>
      </c>
      <c r="G608" s="1" t="inlineStr">
        <is>
          <t>NANCY</t>
        </is>
      </c>
      <c r="H608" s="1" t="inlineStr">
        <is>
          <t>NANCY 31/05/2026</t>
        </is>
      </c>
      <c r="I608" s="4" t="n">
        <v>2</v>
      </c>
      <c r="J608" s="6" t="n">
        <v>5.58</v>
      </c>
      <c r="K608" s="6" t="n">
        <v>135.4131506</v>
      </c>
      <c r="L608" s="6">
        <f>I608*K608</f>
        <v/>
      </c>
      <c r="M608" s="6">
        <f>K608*4</f>
        <v/>
      </c>
      <c r="N608" s="6" t="n">
        <v>499</v>
      </c>
    </row>
    <row r="609">
      <c r="A609" s="1" t="inlineStr">
        <is>
          <t>22974393134797</t>
        </is>
      </c>
      <c r="B609" s="1" t="inlineStr">
        <is>
          <t>BRAZALETE V B.ZERO1 ROSE GOLD</t>
        </is>
      </c>
      <c r="C609" s="1" t="inlineStr">
        <is>
          <t>Default Title</t>
        </is>
      </c>
      <c r="D609" s="1" t="inlineStr">
        <is>
          <t>01/04/2026</t>
        </is>
      </c>
      <c r="E609" s="1" t="n">
        <v>2026</v>
      </c>
      <c r="F609" s="1" t="inlineStr">
        <is>
          <t>ABRIL</t>
        </is>
      </c>
      <c r="G609" s="1" t="inlineStr">
        <is>
          <t>NANCY</t>
        </is>
      </c>
      <c r="H609" s="1" t="inlineStr">
        <is>
          <t>NANCY 01/04/2026</t>
        </is>
      </c>
      <c r="I609" s="4" t="n">
        <v>3</v>
      </c>
      <c r="J609" s="6" t="n">
        <v>5.99</v>
      </c>
      <c r="K609" s="6" t="n">
        <v>143.4036524</v>
      </c>
      <c r="L609" s="6">
        <f>I609*K609</f>
        <v/>
      </c>
      <c r="M609" s="6">
        <f>K609*4</f>
        <v/>
      </c>
      <c r="N609" s="6" t="n">
        <v>499</v>
      </c>
    </row>
    <row r="610">
      <c r="A610" s="1" t="inlineStr">
        <is>
          <t>22974393293549</t>
        </is>
      </c>
      <c r="B610" s="1" t="inlineStr">
        <is>
          <t>BRAZALETE V B.ZERO1 ALL GOLD</t>
        </is>
      </c>
      <c r="C610" s="1" t="inlineStr">
        <is>
          <t>Default Title</t>
        </is>
      </c>
      <c r="D610" s="1" t="inlineStr">
        <is>
          <t>01/04/2026</t>
        </is>
      </c>
      <c r="E610" s="1" t="n">
        <v>2026</v>
      </c>
      <c r="F610" s="1" t="inlineStr">
        <is>
          <t>ABRIL</t>
        </is>
      </c>
      <c r="G610" s="1" t="inlineStr">
        <is>
          <t>NANCY</t>
        </is>
      </c>
      <c r="H610" s="1" t="inlineStr">
        <is>
          <t>NANCY 01/04/2026</t>
        </is>
      </c>
      <c r="I610" s="4" t="n">
        <v>3</v>
      </c>
      <c r="J610" s="6" t="n">
        <v>5.59</v>
      </c>
      <c r="K610" s="6" t="n">
        <v>133.8274486</v>
      </c>
      <c r="L610" s="6">
        <f>I610*K610</f>
        <v/>
      </c>
      <c r="M610" s="6">
        <f>K610*4</f>
        <v/>
      </c>
      <c r="N610" s="6" t="n">
        <v>499</v>
      </c>
    </row>
    <row r="611">
      <c r="A611" s="1" t="inlineStr">
        <is>
          <t>23025461018285</t>
        </is>
      </c>
      <c r="B611" s="1" t="inlineStr">
        <is>
          <t>TENIS LV CLASSIC</t>
        </is>
      </c>
      <c r="C611" s="1" t="inlineStr">
        <is>
          <t>42/8MX</t>
        </is>
      </c>
      <c r="D611" s="1" t="inlineStr">
        <is>
          <t>15/05/2026</t>
        </is>
      </c>
      <c r="E611" s="1" t="n">
        <v>2026</v>
      </c>
      <c r="F611" s="1" t="inlineStr">
        <is>
          <t>MAYO</t>
        </is>
      </c>
      <c r="G611" s="1" t="inlineStr">
        <is>
          <t>ZOEY</t>
        </is>
      </c>
      <c r="H611" s="1" t="inlineStr">
        <is>
          <t>ZOEY 15/05/2026</t>
        </is>
      </c>
      <c r="I611" s="4" t="n">
        <v>1</v>
      </c>
      <c r="J611" s="6" t="n">
        <v>63</v>
      </c>
      <c r="K611" s="6" t="n">
        <v>1669.791343</v>
      </c>
      <c r="L611" s="6">
        <f>I611*K611</f>
        <v/>
      </c>
      <c r="M611" s="6">
        <f>K611*4</f>
        <v/>
      </c>
      <c r="N611" s="6" t="n">
        <v>6680</v>
      </c>
    </row>
    <row r="612">
      <c r="A612" s="1" t="inlineStr">
        <is>
          <t>23025461105261</t>
        </is>
      </c>
      <c r="B612" s="1" t="inlineStr">
        <is>
          <t>SANDALIAS H CHYPRE</t>
        </is>
      </c>
      <c r="C612" s="1" t="inlineStr">
        <is>
          <t>42/8MX</t>
        </is>
      </c>
      <c r="D612" s="1" t="inlineStr">
        <is>
          <t>15/05/2026</t>
        </is>
      </c>
      <c r="E612" s="1" t="n">
        <v>2026</v>
      </c>
      <c r="F612" s="1" t="inlineStr">
        <is>
          <t>MAYO</t>
        </is>
      </c>
      <c r="G612" s="1" t="inlineStr">
        <is>
          <t>ZOEY</t>
        </is>
      </c>
      <c r="H612" s="1" t="inlineStr">
        <is>
          <t>ZOEY 15/05/2026</t>
        </is>
      </c>
      <c r="I612" s="4" t="n">
        <v>1</v>
      </c>
      <c r="J612" s="6" t="n">
        <v>45</v>
      </c>
      <c r="K612" s="6" t="n">
        <v>1192.708102</v>
      </c>
      <c r="L612" s="6">
        <f>I612*K612</f>
        <v/>
      </c>
      <c r="M612" s="6">
        <f>K612*4</f>
        <v/>
      </c>
      <c r="N612" s="6" t="n">
        <v>4775</v>
      </c>
    </row>
    <row r="613">
      <c r="A613" s="1" t="inlineStr">
        <is>
          <t>23025461238029</t>
        </is>
      </c>
      <c r="B613" s="1" t="inlineStr">
        <is>
          <t>SANDALIAS H CHYPRE</t>
        </is>
      </c>
      <c r="C613" s="1" t="inlineStr">
        <is>
          <t>44/9MX</t>
        </is>
      </c>
      <c r="D613" s="1" t="inlineStr">
        <is>
          <t>15/05/2026</t>
        </is>
      </c>
      <c r="E613" s="1" t="n">
        <v>2026</v>
      </c>
      <c r="F613" s="1" t="inlineStr">
        <is>
          <t>MAYO</t>
        </is>
      </c>
      <c r="G613" s="1" t="inlineStr">
        <is>
          <t>ZOEY</t>
        </is>
      </c>
      <c r="H613" s="1" t="inlineStr">
        <is>
          <t>ZOEY 15/05/2026</t>
        </is>
      </c>
      <c r="I613" s="4" t="n">
        <v>1</v>
      </c>
      <c r="J613" s="6" t="n">
        <v>45</v>
      </c>
      <c r="K613" s="6" t="n">
        <v>1192.708102</v>
      </c>
      <c r="L613" s="6">
        <f>I613*K613</f>
        <v/>
      </c>
      <c r="M613" s="6">
        <f>K613*4</f>
        <v/>
      </c>
      <c r="N613" s="6" t="n">
        <v>4775</v>
      </c>
    </row>
    <row r="614">
      <c r="A614" s="1" t="inlineStr">
        <is>
          <t>23025461332941</t>
        </is>
      </c>
      <c r="B614" s="1" t="inlineStr">
        <is>
          <t>TENIS H BOUNCING WHITE</t>
        </is>
      </c>
      <c r="C614" s="1" t="inlineStr">
        <is>
          <t>42/8MX</t>
        </is>
      </c>
      <c r="D614" s="1" t="inlineStr">
        <is>
          <t>15/05/2026</t>
        </is>
      </c>
      <c r="E614" s="1" t="n">
        <v>2026</v>
      </c>
      <c r="F614" s="1" t="inlineStr">
        <is>
          <t>MAYO</t>
        </is>
      </c>
      <c r="G614" s="1" t="inlineStr">
        <is>
          <t>ZOEY</t>
        </is>
      </c>
      <c r="H614" s="1" t="inlineStr">
        <is>
          <t>ZOEY 15/05/2026</t>
        </is>
      </c>
      <c r="I614" s="4" t="n">
        <v>1</v>
      </c>
      <c r="J614" s="6" t="n">
        <v>60</v>
      </c>
      <c r="K614" s="6" t="n">
        <v>1590.277469</v>
      </c>
      <c r="L614" s="6">
        <f>I614*K614</f>
        <v/>
      </c>
      <c r="M614" s="6">
        <f>K614*4</f>
        <v/>
      </c>
      <c r="N614" s="6" t="n">
        <v>6369</v>
      </c>
    </row>
    <row r="615">
      <c r="A615" s="1" t="inlineStr">
        <is>
          <t>23025461465709</t>
        </is>
      </c>
      <c r="B615" s="1" t="inlineStr">
        <is>
          <t>TENIS H BOUNCING WHITE</t>
        </is>
      </c>
      <c r="C615" s="1" t="inlineStr">
        <is>
          <t>44/9MX</t>
        </is>
      </c>
      <c r="D615" s="1" t="inlineStr">
        <is>
          <t>15/05/2026</t>
        </is>
      </c>
      <c r="E615" s="1" t="n">
        <v>2026</v>
      </c>
      <c r="F615" s="1" t="inlineStr">
        <is>
          <t>MAYO</t>
        </is>
      </c>
      <c r="G615" s="1" t="inlineStr">
        <is>
          <t>ZOEY</t>
        </is>
      </c>
      <c r="H615" s="1" t="inlineStr">
        <is>
          <t>ZOEY 15/05/2026</t>
        </is>
      </c>
      <c r="I615" s="4" t="n">
        <v>1</v>
      </c>
      <c r="J615" s="6" t="n">
        <v>60</v>
      </c>
      <c r="K615" s="6" t="n">
        <v>1590.277469</v>
      </c>
      <c r="L615" s="6">
        <f>I615*K615</f>
        <v/>
      </c>
      <c r="M615" s="6">
        <f>K615*4</f>
        <v/>
      </c>
      <c r="N615" s="6" t="n">
        <v>6369</v>
      </c>
    </row>
    <row r="616">
      <c r="A616" s="1" t="inlineStr">
        <is>
          <t>23025461529549</t>
        </is>
      </c>
      <c r="B616" s="1" t="inlineStr">
        <is>
          <t>TENIS H BOUNCING BLACK</t>
        </is>
      </c>
      <c r="C616" s="1" t="inlineStr">
        <is>
          <t>42/8MX</t>
        </is>
      </c>
      <c r="D616" s="1" t="inlineStr">
        <is>
          <t>15/05/2026</t>
        </is>
      </c>
      <c r="E616" s="1" t="n">
        <v>2026</v>
      </c>
      <c r="F616" s="1" t="inlineStr">
        <is>
          <t>MAYO</t>
        </is>
      </c>
      <c r="G616" s="1" t="inlineStr">
        <is>
          <t>ZOEY</t>
        </is>
      </c>
      <c r="H616" s="1" t="inlineStr">
        <is>
          <t>ZOEY 15/05/2026</t>
        </is>
      </c>
      <c r="I616" s="4" t="n">
        <v>1</v>
      </c>
      <c r="J616" s="6" t="n">
        <v>60</v>
      </c>
      <c r="K616" s="6" t="n">
        <v>1590.277469</v>
      </c>
      <c r="L616" s="6">
        <f>I616*K616</f>
        <v/>
      </c>
      <c r="M616" s="6">
        <f>K616*4</f>
        <v/>
      </c>
      <c r="N616" s="6" t="n">
        <v>6369</v>
      </c>
    </row>
    <row r="617">
      <c r="A617" s="1" t="inlineStr">
        <is>
          <t>23025461662317</t>
        </is>
      </c>
      <c r="B617" s="1" t="inlineStr">
        <is>
          <t>TENIS H BOUNCING BLACK</t>
        </is>
      </c>
      <c r="C617" s="1" t="inlineStr">
        <is>
          <t>44/9MX</t>
        </is>
      </c>
      <c r="D617" s="1" t="inlineStr">
        <is>
          <t>15/05/2026</t>
        </is>
      </c>
      <c r="E617" s="1" t="n">
        <v>2026</v>
      </c>
      <c r="F617" s="1" t="inlineStr">
        <is>
          <t>MAYO</t>
        </is>
      </c>
      <c r="G617" s="1" t="inlineStr">
        <is>
          <t>ZOEY</t>
        </is>
      </c>
      <c r="H617" s="1" t="inlineStr">
        <is>
          <t>ZOEY 15/05/2026</t>
        </is>
      </c>
      <c r="I617" s="4" t="n">
        <v>1</v>
      </c>
      <c r="J617" s="6" t="n">
        <v>60</v>
      </c>
      <c r="K617" s="6" t="n">
        <v>1590.277469</v>
      </c>
      <c r="L617" s="6">
        <f>I617*K617</f>
        <v/>
      </c>
      <c r="M617" s="6">
        <f>K617*4</f>
        <v/>
      </c>
      <c r="N617" s="6" t="n">
        <v>6369</v>
      </c>
    </row>
    <row r="618">
      <c r="A618" s="1" t="inlineStr">
        <is>
          <t>23025461724461</t>
        </is>
      </c>
      <c r="B618" s="1" t="inlineStr">
        <is>
          <t>MOCASINES GC HORSEBIT</t>
        </is>
      </c>
      <c r="C618" s="1" t="inlineStr">
        <is>
          <t>42/8MX</t>
        </is>
      </c>
      <c r="D618" s="1" t="inlineStr">
        <is>
          <t>15/05/2026</t>
        </is>
      </c>
      <c r="E618" s="1" t="n">
        <v>2026</v>
      </c>
      <c r="F618" s="1" t="inlineStr">
        <is>
          <t>MAYO</t>
        </is>
      </c>
      <c r="G618" s="1" t="inlineStr">
        <is>
          <t>ZOEY</t>
        </is>
      </c>
      <c r="H618" s="1" t="inlineStr">
        <is>
          <t>ZOEY 15/05/2026</t>
        </is>
      </c>
      <c r="I618" s="4" t="n">
        <v>1</v>
      </c>
      <c r="J618" s="6" t="n">
        <v>58</v>
      </c>
      <c r="K618" s="6" t="n">
        <v>1537.26822</v>
      </c>
      <c r="L618" s="6">
        <f>I618*K618</f>
        <v/>
      </c>
      <c r="M618" s="6">
        <f>K618*4</f>
        <v/>
      </c>
      <c r="N618" s="6" t="n">
        <v>6150</v>
      </c>
    </row>
    <row r="619">
      <c r="A619" s="1" t="inlineStr">
        <is>
          <t>23025461857229</t>
        </is>
      </c>
      <c r="B619" s="1" t="inlineStr">
        <is>
          <t>MOCASINES GC HORSEBIT</t>
        </is>
      </c>
      <c r="C619" s="1" t="inlineStr">
        <is>
          <t>44/9MX</t>
        </is>
      </c>
      <c r="D619" s="1" t="inlineStr">
        <is>
          <t>15/05/2026</t>
        </is>
      </c>
      <c r="E619" s="1" t="n">
        <v>2026</v>
      </c>
      <c r="F619" s="1" t="inlineStr">
        <is>
          <t>MAYO</t>
        </is>
      </c>
      <c r="G619" s="1" t="inlineStr">
        <is>
          <t>ZOEY</t>
        </is>
      </c>
      <c r="H619" s="1" t="inlineStr">
        <is>
          <t>ZOEY 15/05/2026</t>
        </is>
      </c>
      <c r="I619" s="4" t="n">
        <v>1</v>
      </c>
      <c r="J619" s="6" t="n">
        <v>58</v>
      </c>
      <c r="K619" s="6" t="n">
        <v>1537.26822</v>
      </c>
      <c r="L619" s="6">
        <f>I619*K619</f>
        <v/>
      </c>
      <c r="M619" s="6">
        <f>K619*4</f>
        <v/>
      </c>
      <c r="N619" s="6" t="n">
        <v>6150</v>
      </c>
    </row>
    <row r="620">
      <c r="A620" s="1" t="inlineStr">
        <is>
          <t>2314362835885</t>
        </is>
      </c>
      <c r="B620" s="1" t="n"/>
      <c r="C620" s="1" t="n"/>
      <c r="D620" s="1" t="inlineStr">
        <is>
          <t>22/10/2025</t>
        </is>
      </c>
      <c r="E620" s="1" t="n">
        <v>2025</v>
      </c>
      <c r="F620" s="1" t="inlineStr">
        <is>
          <t>OCTUBRE</t>
        </is>
      </c>
      <c r="G620" s="1" t="inlineStr">
        <is>
          <t>HAIFENG</t>
        </is>
      </c>
      <c r="H620" s="1" t="inlineStr">
        <is>
          <t>HAIFENG 22/10/2025</t>
        </is>
      </c>
      <c r="I620" s="4" t="n">
        <v>1</v>
      </c>
      <c r="J620" s="6" t="n">
        <v>7</v>
      </c>
      <c r="K620" s="6" t="n">
        <v>147.8978341</v>
      </c>
      <c r="L620" s="6">
        <f>I620*K620</f>
        <v/>
      </c>
      <c r="M620" s="6">
        <f>K620*4</f>
        <v/>
      </c>
      <c r="N620" s="6" t="n"/>
    </row>
    <row r="621">
      <c r="A621" s="1" t="inlineStr">
        <is>
          <t>23663391024461</t>
        </is>
      </c>
      <c r="B621" s="1" t="inlineStr">
        <is>
          <t>COLLAR LOVE ROSEGOLD CON ZIRCONIA</t>
        </is>
      </c>
      <c r="C621" s="1" t="inlineStr">
        <is>
          <t>Default Title</t>
        </is>
      </c>
      <c r="D621" s="1" t="inlineStr">
        <is>
          <t>25/09/2025</t>
        </is>
      </c>
      <c r="E621" s="1" t="n">
        <v>2025</v>
      </c>
      <c r="F621" s="1" t="inlineStr">
        <is>
          <t>SEPTIEMBRE</t>
        </is>
      </c>
      <c r="G621" s="1" t="inlineStr">
        <is>
          <t>HAIFENG</t>
        </is>
      </c>
      <c r="H621" s="1" t="inlineStr">
        <is>
          <t>HAIFENG 25/09/2025</t>
        </is>
      </c>
      <c r="I621" s="4" t="n">
        <v>3</v>
      </c>
      <c r="J621" s="6" t="n">
        <v>5</v>
      </c>
      <c r="K621" s="6" t="n">
        <v>105.4844288</v>
      </c>
      <c r="L621" s="6">
        <f>I621*K621</f>
        <v/>
      </c>
      <c r="M621" s="6">
        <f>K621*4</f>
        <v/>
      </c>
      <c r="N621" s="6" t="n">
        <v>450</v>
      </c>
    </row>
    <row r="622">
      <c r="A622" s="1" t="inlineStr">
        <is>
          <t>23663391024461</t>
        </is>
      </c>
      <c r="B622" s="1" t="inlineStr">
        <is>
          <t>COLLAR LOVE ROSEGOLD CON ZIRCONIA</t>
        </is>
      </c>
      <c r="C622" s="1" t="inlineStr">
        <is>
          <t>Default Title</t>
        </is>
      </c>
      <c r="D622" s="1" t="inlineStr">
        <is>
          <t>06/05/2026</t>
        </is>
      </c>
      <c r="E622" s="1" t="n">
        <v>2026</v>
      </c>
      <c r="F622" s="1" t="inlineStr">
        <is>
          <t>MAYO</t>
        </is>
      </c>
      <c r="G622" s="1" t="inlineStr">
        <is>
          <t>HAIFENG</t>
        </is>
      </c>
      <c r="H622" s="1" t="inlineStr">
        <is>
          <t>HAIFENG 06/05/2026</t>
        </is>
      </c>
      <c r="I622" s="4" t="n">
        <v>5</v>
      </c>
      <c r="J622" s="6" t="n">
        <v>5</v>
      </c>
      <c r="K622" s="6" t="n">
        <v>106.0932113</v>
      </c>
      <c r="L622" s="6">
        <f>I622*K622</f>
        <v/>
      </c>
      <c r="M622" s="6">
        <f>K622*4</f>
        <v/>
      </c>
      <c r="N622" s="6" t="n">
        <v>450</v>
      </c>
    </row>
    <row r="623">
      <c r="A623" s="1" t="inlineStr">
        <is>
          <t>23794532108653</t>
        </is>
      </c>
      <c r="B623" s="1" t="inlineStr">
        <is>
          <t>CARTERA MM MATELASSE</t>
        </is>
      </c>
      <c r="C623" s="1" t="inlineStr">
        <is>
          <t>BLACK</t>
        </is>
      </c>
      <c r="D623" s="1" t="inlineStr">
        <is>
          <t>02/03/2026</t>
        </is>
      </c>
      <c r="E623" s="1" t="n">
        <v>2026</v>
      </c>
      <c r="F623" s="1" t="inlineStr">
        <is>
          <t>MARZO</t>
        </is>
      </c>
      <c r="G623" s="1" t="inlineStr">
        <is>
          <t>ZOEY</t>
        </is>
      </c>
      <c r="H623" s="1" t="inlineStr">
        <is>
          <t>ZOEY 02/03/2026</t>
        </is>
      </c>
      <c r="I623" s="4" t="n">
        <v>2</v>
      </c>
      <c r="J623" s="6" t="n">
        <v>22</v>
      </c>
      <c r="K623" s="6" t="n">
        <v>578.0934659</v>
      </c>
      <c r="L623" s="6">
        <f>I623*K623</f>
        <v/>
      </c>
      <c r="M623" s="6">
        <f>K623*4</f>
        <v/>
      </c>
      <c r="N623" s="6" t="n">
        <v>2339</v>
      </c>
    </row>
    <row r="624">
      <c r="A624" s="1" t="inlineStr">
        <is>
          <t>23794532108653</t>
        </is>
      </c>
      <c r="B624" s="1" t="inlineStr">
        <is>
          <t>CARTERA MM MATELASSE</t>
        </is>
      </c>
      <c r="C624" s="1" t="inlineStr">
        <is>
          <t>Default Title</t>
        </is>
      </c>
      <c r="D624" s="1" t="inlineStr">
        <is>
          <t>15/05/2026</t>
        </is>
      </c>
      <c r="E624" s="1" t="n">
        <v>2026</v>
      </c>
      <c r="F624" s="1" t="inlineStr">
        <is>
          <t>MAYO</t>
        </is>
      </c>
      <c r="G624" s="1" t="inlineStr">
        <is>
          <t>ZOEY</t>
        </is>
      </c>
      <c r="H624" s="1" t="inlineStr">
        <is>
          <t>ZOEY 15/05/2026</t>
        </is>
      </c>
      <c r="I624" s="4" t="n">
        <v>2</v>
      </c>
      <c r="J624" s="6" t="n">
        <v>22</v>
      </c>
      <c r="K624" s="6" t="n">
        <v>583.1017387000001</v>
      </c>
      <c r="L624" s="6">
        <f>I624*K624</f>
        <v/>
      </c>
      <c r="M624" s="6">
        <f>K624*4</f>
        <v/>
      </c>
      <c r="N624" s="6" t="n">
        <v>2339</v>
      </c>
    </row>
    <row r="625">
      <c r="A625" s="1" t="inlineStr">
        <is>
          <t>24072851084557</t>
        </is>
      </c>
      <c r="B625" s="1" t="inlineStr">
        <is>
          <t>BOLSO CC MINI KELLY WHITE</t>
        </is>
      </c>
      <c r="C625" s="1" t="inlineStr">
        <is>
          <t>Default Title</t>
        </is>
      </c>
      <c r="D625" s="1" t="inlineStr">
        <is>
          <t>07/01/2026</t>
        </is>
      </c>
      <c r="E625" s="1" t="n">
        <v>2026</v>
      </c>
      <c r="F625" s="1" t="inlineStr">
        <is>
          <t>ENERO</t>
        </is>
      </c>
      <c r="G625" s="1" t="inlineStr">
        <is>
          <t>CYNTHIA</t>
        </is>
      </c>
      <c r="H625" s="1" t="inlineStr">
        <is>
          <t>CYNTHIA 07/01/2026</t>
        </is>
      </c>
      <c r="I625" s="4" t="n">
        <v>3</v>
      </c>
      <c r="J625" s="6" t="n">
        <v>51</v>
      </c>
      <c r="K625" s="6" t="n">
        <v>1355.958811</v>
      </c>
      <c r="L625" s="6">
        <f>I625*K625</f>
        <v/>
      </c>
      <c r="M625" s="6">
        <f>K625*4</f>
        <v/>
      </c>
      <c r="N625" s="6" t="n">
        <v>5629</v>
      </c>
    </row>
    <row r="626">
      <c r="A626" s="1" t="inlineStr">
        <is>
          <t>24072851084557</t>
        </is>
      </c>
      <c r="B626" s="1" t="inlineStr">
        <is>
          <t>BOLSO CC MINI KELLY WHITE</t>
        </is>
      </c>
      <c r="C626" s="1" t="inlineStr">
        <is>
          <t>Default Title</t>
        </is>
      </c>
      <c r="D626" s="1" t="inlineStr">
        <is>
          <t>31/05/2026</t>
        </is>
      </c>
      <c r="E626" s="1" t="n">
        <v>2026</v>
      </c>
      <c r="F626" s="1" t="inlineStr">
        <is>
          <t>MAYO</t>
        </is>
      </c>
      <c r="G626" s="1" t="inlineStr">
        <is>
          <t>CYNTHIA</t>
        </is>
      </c>
      <c r="H626" s="1" t="inlineStr">
        <is>
          <t>CYNTHIA 31/05/2026</t>
        </is>
      </c>
      <c r="I626" s="4" t="n">
        <v>3</v>
      </c>
      <c r="J626" s="6" t="n">
        <v>53</v>
      </c>
      <c r="K626" s="6" t="n">
        <v>1404.555384</v>
      </c>
      <c r="L626" s="6">
        <f>I626*K626</f>
        <v/>
      </c>
      <c r="M626" s="6">
        <f>K626*4</f>
        <v/>
      </c>
      <c r="N626" s="6" t="n">
        <v>5629</v>
      </c>
    </row>
    <row r="627">
      <c r="A627" s="1" t="inlineStr">
        <is>
          <t>24072851105773</t>
        </is>
      </c>
      <c r="B627" s="1" t="inlineStr">
        <is>
          <t>BOLSO CC MINI KELLY BLACK</t>
        </is>
      </c>
      <c r="C627" s="1" t="inlineStr">
        <is>
          <t>Default Title</t>
        </is>
      </c>
      <c r="D627" s="1" t="inlineStr">
        <is>
          <t>07/01/2026</t>
        </is>
      </c>
      <c r="E627" s="1" t="n">
        <v>2026</v>
      </c>
      <c r="F627" s="1" t="inlineStr">
        <is>
          <t>ENERO</t>
        </is>
      </c>
      <c r="G627" s="1" t="inlineStr">
        <is>
          <t>CYNTHIA</t>
        </is>
      </c>
      <c r="H627" s="1" t="inlineStr">
        <is>
          <t>CYNTHIA 07/01/2026</t>
        </is>
      </c>
      <c r="I627" s="4" t="n">
        <v>2</v>
      </c>
      <c r="J627" s="6" t="n">
        <v>51</v>
      </c>
      <c r="K627" s="6" t="n">
        <v>1355.958811</v>
      </c>
      <c r="L627" s="6">
        <f>I627*K627</f>
        <v/>
      </c>
      <c r="M627" s="6">
        <f>K627*4</f>
        <v/>
      </c>
      <c r="N627" s="6" t="n">
        <v>4819</v>
      </c>
    </row>
    <row r="628">
      <c r="A628" s="1" t="inlineStr">
        <is>
          <t>24072851105773</t>
        </is>
      </c>
      <c r="B628" s="1" t="inlineStr">
        <is>
          <t>BOLSO CC MINI KELLY BLACK</t>
        </is>
      </c>
      <c r="C628" s="1" t="inlineStr">
        <is>
          <t>Default Title</t>
        </is>
      </c>
      <c r="D628" s="1" t="inlineStr">
        <is>
          <t>27/04/2026</t>
        </is>
      </c>
      <c r="E628" s="1" t="n">
        <v>2026</v>
      </c>
      <c r="F628" s="1" t="inlineStr">
        <is>
          <t>ABRIL</t>
        </is>
      </c>
      <c r="G628" s="1" t="inlineStr">
        <is>
          <t>CYNTHIA</t>
        </is>
      </c>
      <c r="H628" s="1" t="inlineStr">
        <is>
          <t>CYNTHIA 27/04/2026</t>
        </is>
      </c>
      <c r="I628" s="4" t="n">
        <v>2</v>
      </c>
      <c r="J628" s="6" t="n">
        <v>53</v>
      </c>
      <c r="K628" s="6" t="n">
        <v>1375.354909</v>
      </c>
      <c r="L628" s="6">
        <f>I628*K628</f>
        <v/>
      </c>
      <c r="M628" s="6">
        <f>K628*4</f>
        <v/>
      </c>
      <c r="N628" s="6" t="n">
        <v>4819</v>
      </c>
    </row>
    <row r="629">
      <c r="A629" s="1" t="inlineStr">
        <is>
          <t>24469401092557</t>
        </is>
      </c>
      <c r="B629" s="1" t="inlineStr">
        <is>
          <t>UGG PANTUFLAS TAZZ II</t>
        </is>
      </c>
      <c r="C629" s="1" t="inlineStr">
        <is>
          <t>24CM</t>
        </is>
      </c>
      <c r="D629" s="1" t="inlineStr">
        <is>
          <t>25/10/2025</t>
        </is>
      </c>
      <c r="E629" s="1" t="n">
        <v>2025</v>
      </c>
      <c r="F629" s="1" t="inlineStr">
        <is>
          <t>OCTUBRE</t>
        </is>
      </c>
      <c r="G629" s="1" t="inlineStr">
        <is>
          <t>CYNTHIA</t>
        </is>
      </c>
      <c r="H629" s="1" t="inlineStr">
        <is>
          <t>CYNTHIA 25/10/2025</t>
        </is>
      </c>
      <c r="I629" s="4" t="n">
        <v>2</v>
      </c>
      <c r="J629" s="6" t="n">
        <v>32</v>
      </c>
      <c r="K629" s="6" t="n">
        <v>838.4583549</v>
      </c>
      <c r="L629" s="6">
        <f>I629*K629</f>
        <v/>
      </c>
      <c r="M629" s="6">
        <f>K629*4</f>
        <v/>
      </c>
      <c r="N629" s="6" t="n">
        <v>3989.04</v>
      </c>
    </row>
    <row r="630">
      <c r="A630" s="1" t="inlineStr">
        <is>
          <t>24469401092557</t>
        </is>
      </c>
      <c r="B630" s="1" t="inlineStr">
        <is>
          <t>UGG PANTUFLAS TAZZ II</t>
        </is>
      </c>
      <c r="C630" s="1" t="inlineStr">
        <is>
          <t>24CM</t>
        </is>
      </c>
      <c r="D630" s="1" t="inlineStr">
        <is>
          <t>25/10/2025</t>
        </is>
      </c>
      <c r="E630" s="1" t="n">
        <v>2025</v>
      </c>
      <c r="F630" s="1" t="inlineStr">
        <is>
          <t>OCTUBRE</t>
        </is>
      </c>
      <c r="G630" s="1" t="inlineStr">
        <is>
          <t>ZOEY</t>
        </is>
      </c>
      <c r="H630" s="1" t="inlineStr">
        <is>
          <t>ZOEY 25/10/2025</t>
        </is>
      </c>
      <c r="I630" s="4" t="n">
        <v>2</v>
      </c>
      <c r="J630" s="6" t="n">
        <v>48</v>
      </c>
      <c r="K630" s="6" t="n">
        <v>1190.405247</v>
      </c>
      <c r="L630" s="6">
        <f>I630*K630</f>
        <v/>
      </c>
      <c r="M630" s="6">
        <f>K630*4</f>
        <v/>
      </c>
      <c r="N630" s="6" t="n">
        <v>3989.04</v>
      </c>
    </row>
    <row r="631">
      <c r="A631" s="1" t="inlineStr">
        <is>
          <t>24469411243981</t>
        </is>
      </c>
      <c r="B631" s="1" t="inlineStr">
        <is>
          <t>BOLSO MM AVENTURE BROWN</t>
        </is>
      </c>
      <c r="C631" s="1" t="inlineStr">
        <is>
          <t>Café</t>
        </is>
      </c>
      <c r="D631" s="1" t="inlineStr">
        <is>
          <t>25/10/2025</t>
        </is>
      </c>
      <c r="E631" s="1" t="n">
        <v>2025</v>
      </c>
      <c r="F631" s="1" t="inlineStr">
        <is>
          <t>OCTUBRE</t>
        </is>
      </c>
      <c r="G631" s="1" t="inlineStr">
        <is>
          <t>CYNTHIA</t>
        </is>
      </c>
      <c r="H631" s="1" t="inlineStr">
        <is>
          <t>CYNTHIA 25/10/2025</t>
        </is>
      </c>
      <c r="I631" s="4" t="n">
        <v>3</v>
      </c>
      <c r="J631" s="6" t="n">
        <v>69</v>
      </c>
      <c r="K631" s="6" t="n">
        <v>1807.925828</v>
      </c>
      <c r="L631" s="6">
        <f>I631*K631</f>
        <v/>
      </c>
      <c r="M631" s="6">
        <f>K631*4</f>
        <v/>
      </c>
      <c r="N631" s="6" t="n">
        <v>5750</v>
      </c>
    </row>
    <row r="632">
      <c r="A632" s="1" t="inlineStr">
        <is>
          <t>24469411243981</t>
        </is>
      </c>
      <c r="B632" s="1" t="inlineStr">
        <is>
          <t>BOLSO MM AVENTURE BROWN</t>
        </is>
      </c>
      <c r="C632" s="1" t="inlineStr">
        <is>
          <t>Café</t>
        </is>
      </c>
      <c r="D632" s="1" t="inlineStr">
        <is>
          <t>18/02/2026</t>
        </is>
      </c>
      <c r="E632" s="1" t="n">
        <v>2026</v>
      </c>
      <c r="F632" s="1" t="inlineStr">
        <is>
          <t>FEBRERO</t>
        </is>
      </c>
      <c r="G632" s="1" t="inlineStr">
        <is>
          <t>CYNTHIA</t>
        </is>
      </c>
      <c r="H632" s="1" t="inlineStr">
        <is>
          <t>CYNTHIA 18/02/2026</t>
        </is>
      </c>
      <c r="I632" s="4" t="n">
        <v>2</v>
      </c>
      <c r="J632" s="6" t="n">
        <v>69</v>
      </c>
      <c r="K632" s="6" t="n">
        <v>1865.992199</v>
      </c>
      <c r="L632" s="6">
        <f>I632*K632</f>
        <v/>
      </c>
      <c r="M632" s="6">
        <f>K632*4</f>
        <v/>
      </c>
      <c r="N632" s="6" t="n">
        <v>6535</v>
      </c>
    </row>
    <row r="633">
      <c r="A633" s="1" t="inlineStr">
        <is>
          <t>24469411303885</t>
        </is>
      </c>
      <c r="B633" s="1" t="inlineStr">
        <is>
          <t>BOLSO CC CLASIC NUDE</t>
        </is>
      </c>
      <c r="C633" s="1" t="inlineStr">
        <is>
          <t>Default Title</t>
        </is>
      </c>
      <c r="D633" s="1" t="inlineStr">
        <is>
          <t>25/10/2025</t>
        </is>
      </c>
      <c r="E633" s="1" t="n">
        <v>2025</v>
      </c>
      <c r="F633" s="1" t="inlineStr">
        <is>
          <t>OCTUBRE</t>
        </is>
      </c>
      <c r="G633" s="1" t="inlineStr">
        <is>
          <t>CYNTHIA</t>
        </is>
      </c>
      <c r="H633" s="1" t="inlineStr">
        <is>
          <t>CYNTHIA 25/10/2025</t>
        </is>
      </c>
      <c r="I633" s="4" t="n">
        <v>3</v>
      </c>
      <c r="J633" s="6" t="n">
        <v>54</v>
      </c>
      <c r="K633" s="6" t="n">
        <v>1414.898474</v>
      </c>
      <c r="L633" s="6">
        <f>I633*K633</f>
        <v/>
      </c>
      <c r="M633" s="6">
        <f>K633*4</f>
        <v/>
      </c>
      <c r="N633" s="6" t="n">
        <v>4449</v>
      </c>
    </row>
    <row r="634">
      <c r="A634" s="1" t="inlineStr">
        <is>
          <t>24469411472813</t>
        </is>
      </c>
      <c r="B634" s="1" t="inlineStr">
        <is>
          <t>BOLSO CC CLASIC BROWN</t>
        </is>
      </c>
      <c r="C634" s="1" t="inlineStr">
        <is>
          <t>Default Title</t>
        </is>
      </c>
      <c r="D634" s="1" t="inlineStr">
        <is>
          <t>25/10/2025</t>
        </is>
      </c>
      <c r="E634" s="1" t="n">
        <v>2025</v>
      </c>
      <c r="F634" s="1" t="inlineStr">
        <is>
          <t>OCTUBRE</t>
        </is>
      </c>
      <c r="G634" s="1" t="inlineStr">
        <is>
          <t>CYNTHIA</t>
        </is>
      </c>
      <c r="H634" s="1" t="inlineStr">
        <is>
          <t>CYNTHIA 25/10/2025</t>
        </is>
      </c>
      <c r="I634" s="4" t="n">
        <v>3</v>
      </c>
      <c r="J634" s="6" t="n">
        <v>54</v>
      </c>
      <c r="K634" s="6" t="n">
        <v>1414.898474</v>
      </c>
      <c r="L634" s="6">
        <f>I634*K634</f>
        <v/>
      </c>
      <c r="M634" s="6">
        <f>K634*4</f>
        <v/>
      </c>
      <c r="N634" s="6" t="n">
        <v>4499</v>
      </c>
    </row>
    <row r="635">
      <c r="A635" s="1" t="inlineStr">
        <is>
          <t>24469411472813</t>
        </is>
      </c>
      <c r="B635" s="1" t="inlineStr">
        <is>
          <t>BOLSO CC CLASIC BROWN</t>
        </is>
      </c>
      <c r="C635" s="1" t="inlineStr">
        <is>
          <t>Default Title</t>
        </is>
      </c>
      <c r="D635" s="1" t="inlineStr">
        <is>
          <t>07/01/2026</t>
        </is>
      </c>
      <c r="E635" s="1" t="n">
        <v>2026</v>
      </c>
      <c r="F635" s="1" t="inlineStr">
        <is>
          <t>ENERO</t>
        </is>
      </c>
      <c r="G635" s="1" t="inlineStr">
        <is>
          <t>CYNTHIA</t>
        </is>
      </c>
      <c r="H635" s="1" t="inlineStr">
        <is>
          <t>CYNTHIA 07/01/2026</t>
        </is>
      </c>
      <c r="I635" s="4" t="n">
        <v>1</v>
      </c>
      <c r="J635" s="6" t="n">
        <v>54</v>
      </c>
      <c r="K635" s="6" t="n">
        <v>1435.721094</v>
      </c>
      <c r="L635" s="6">
        <f>I635*K635</f>
        <v/>
      </c>
      <c r="M635" s="6">
        <f>K635*4</f>
        <v/>
      </c>
      <c r="N635" s="6" t="n">
        <v>4999</v>
      </c>
    </row>
    <row r="636">
      <c r="A636" s="1" t="inlineStr">
        <is>
          <t>24469411472813</t>
        </is>
      </c>
      <c r="B636" s="1" t="inlineStr">
        <is>
          <t>BOLSO CC CLASIC BROWN</t>
        </is>
      </c>
      <c r="C636" s="1" t="inlineStr">
        <is>
          <t>Default Title</t>
        </is>
      </c>
      <c r="D636" s="1" t="inlineStr">
        <is>
          <t>07/01/2026</t>
        </is>
      </c>
      <c r="E636" s="1" t="n">
        <v>2026</v>
      </c>
      <c r="F636" s="1" t="inlineStr">
        <is>
          <t>ENERO</t>
        </is>
      </c>
      <c r="G636" s="1" t="inlineStr">
        <is>
          <t>CYNTHIA</t>
        </is>
      </c>
      <c r="H636" s="1" t="inlineStr">
        <is>
          <t>CYNTHIA 07/01/2026</t>
        </is>
      </c>
      <c r="I636" s="4" t="n">
        <v>3</v>
      </c>
      <c r="J636" s="6" t="n">
        <v>54</v>
      </c>
      <c r="K636" s="6" t="n">
        <v>1435.721094</v>
      </c>
      <c r="L636" s="6">
        <f>I636*K636</f>
        <v/>
      </c>
      <c r="M636" s="6">
        <f>K636*4</f>
        <v/>
      </c>
      <c r="N636" s="6" t="n">
        <v>4999</v>
      </c>
    </row>
    <row r="637">
      <c r="A637" s="1" t="inlineStr">
        <is>
          <t>24469411472813</t>
        </is>
      </c>
      <c r="B637" s="1" t="inlineStr">
        <is>
          <t>BOLSO CC CLASIC BROWN</t>
        </is>
      </c>
      <c r="C637" s="1" t="inlineStr">
        <is>
          <t>Default Title</t>
        </is>
      </c>
      <c r="D637" s="1" t="inlineStr">
        <is>
          <t>18/02/2026</t>
        </is>
      </c>
      <c r="E637" s="1" t="n">
        <v>2026</v>
      </c>
      <c r="F637" s="1" t="inlineStr">
        <is>
          <t>FEBRERO</t>
        </is>
      </c>
      <c r="G637" s="1" t="inlineStr">
        <is>
          <t>CYNTHIA</t>
        </is>
      </c>
      <c r="H637" s="1" t="inlineStr">
        <is>
          <t>CYNTHIA 18/02/2026</t>
        </is>
      </c>
      <c r="I637" s="4" t="n">
        <v>3</v>
      </c>
      <c r="J637" s="6" t="n">
        <v>54</v>
      </c>
      <c r="K637" s="6" t="n">
        <v>1460.341721</v>
      </c>
      <c r="L637" s="6">
        <f>I637*K637</f>
        <v/>
      </c>
      <c r="M637" s="6">
        <f>K637*4</f>
        <v/>
      </c>
      <c r="N637" s="6" t="n">
        <v>4999</v>
      </c>
    </row>
    <row r="638">
      <c r="A638" s="1" t="inlineStr">
        <is>
          <t>24469411472813</t>
        </is>
      </c>
      <c r="B638" s="1" t="inlineStr">
        <is>
          <t>BOLSO CC CLASIC BROWN</t>
        </is>
      </c>
      <c r="C638" s="1" t="inlineStr">
        <is>
          <t>Default Title</t>
        </is>
      </c>
      <c r="D638" s="1" t="inlineStr">
        <is>
          <t>27/04/2026</t>
        </is>
      </c>
      <c r="E638" s="1" t="n">
        <v>2026</v>
      </c>
      <c r="F638" s="1" t="inlineStr">
        <is>
          <t>ABRIL</t>
        </is>
      </c>
      <c r="G638" s="1" t="inlineStr">
        <is>
          <t>CYNTHIA</t>
        </is>
      </c>
      <c r="H638" s="1" t="inlineStr">
        <is>
          <t>CYNTHIA 27/04/2026</t>
        </is>
      </c>
      <c r="I638" s="4" t="n">
        <v>3</v>
      </c>
      <c r="J638" s="6" t="n">
        <v>54</v>
      </c>
      <c r="K638" s="6" t="n">
        <v>1401.305001</v>
      </c>
      <c r="L638" s="6">
        <f>I638*K638</f>
        <v/>
      </c>
      <c r="M638" s="6">
        <f>K638*4</f>
        <v/>
      </c>
      <c r="N638" s="6" t="n">
        <v>4999</v>
      </c>
    </row>
    <row r="639">
      <c r="A639" s="1" t="inlineStr">
        <is>
          <t>24469411540045</t>
        </is>
      </c>
      <c r="B639" s="1" t="inlineStr">
        <is>
          <t>BOLSO ZV BLACK</t>
        </is>
      </c>
      <c r="C639" s="1" t="inlineStr">
        <is>
          <t>Default Title</t>
        </is>
      </c>
      <c r="D639" s="1" t="inlineStr">
        <is>
          <t>25/10/2025</t>
        </is>
      </c>
      <c r="E639" s="1" t="n">
        <v>2025</v>
      </c>
      <c r="F639" s="1" t="inlineStr">
        <is>
          <t>OCTUBRE</t>
        </is>
      </c>
      <c r="G639" s="1" t="inlineStr">
        <is>
          <t>CYNTHIA</t>
        </is>
      </c>
      <c r="H639" s="1" t="inlineStr">
        <is>
          <t>CYNTHIA 25/10/2025</t>
        </is>
      </c>
      <c r="I639" s="4" t="n">
        <v>3</v>
      </c>
      <c r="J639" s="6" t="n">
        <v>30</v>
      </c>
      <c r="K639" s="6" t="n">
        <v>786.0547077</v>
      </c>
      <c r="L639" s="6">
        <f>I639*K639</f>
        <v/>
      </c>
      <c r="M639" s="6">
        <f>K639*4</f>
        <v/>
      </c>
      <c r="N639" s="6" t="n">
        <v>2499</v>
      </c>
    </row>
    <row r="640">
      <c r="A640" s="1" t="inlineStr">
        <is>
          <t>24469411540045</t>
        </is>
      </c>
      <c r="B640" s="1" t="inlineStr">
        <is>
          <t>BOLSO ZV BLACK</t>
        </is>
      </c>
      <c r="C640" s="1" t="inlineStr">
        <is>
          <t>Default Title</t>
        </is>
      </c>
      <c r="D640" s="1" t="inlineStr">
        <is>
          <t>18/02/2026</t>
        </is>
      </c>
      <c r="E640" s="1" t="n">
        <v>2026</v>
      </c>
      <c r="F640" s="1" t="inlineStr">
        <is>
          <t>FEBRERO</t>
        </is>
      </c>
      <c r="G640" s="1" t="inlineStr">
        <is>
          <t>CYNTHIA</t>
        </is>
      </c>
      <c r="H640" s="1" t="inlineStr">
        <is>
          <t>CYNTHIA 18/02/2026</t>
        </is>
      </c>
      <c r="I640" s="4" t="n">
        <v>2</v>
      </c>
      <c r="J640" s="6" t="n">
        <v>30</v>
      </c>
      <c r="K640" s="6" t="n">
        <v>811.300956</v>
      </c>
      <c r="L640" s="6">
        <f>I640*K640</f>
        <v/>
      </c>
      <c r="M640" s="6">
        <f>K640*4</f>
        <v/>
      </c>
      <c r="N640" s="6" t="n">
        <v>3200</v>
      </c>
    </row>
    <row r="641">
      <c r="A641" s="1" t="inlineStr">
        <is>
          <t>24469411540045</t>
        </is>
      </c>
      <c r="B641" s="1" t="inlineStr">
        <is>
          <t>BOLSO ZV BLACK</t>
        </is>
      </c>
      <c r="C641" s="1" t="inlineStr">
        <is>
          <t>Default Title</t>
        </is>
      </c>
      <c r="D641" s="1" t="inlineStr">
        <is>
          <t>31/05/2026</t>
        </is>
      </c>
      <c r="E641" s="1" t="n">
        <v>2026</v>
      </c>
      <c r="F641" s="1" t="inlineStr">
        <is>
          <t>MAYO</t>
        </is>
      </c>
      <c r="G641" s="1" t="inlineStr">
        <is>
          <t>CYNTHIA</t>
        </is>
      </c>
      <c r="H641" s="1" t="inlineStr">
        <is>
          <t>CYNTHIA 31/05/2026</t>
        </is>
      </c>
      <c r="I641" s="4" t="n">
        <v>3</v>
      </c>
      <c r="J641" s="6" t="n">
        <v>30</v>
      </c>
      <c r="K641" s="6" t="n">
        <v>795.0313493</v>
      </c>
      <c r="L641" s="6">
        <f>I641*K641</f>
        <v/>
      </c>
      <c r="M641" s="6">
        <f>K641*4</f>
        <v/>
      </c>
      <c r="N641" s="6" t="n">
        <v>3200</v>
      </c>
    </row>
    <row r="642">
      <c r="A642" s="1" t="inlineStr">
        <is>
          <t>24703361096333</t>
        </is>
      </c>
      <c r="B642" s="1" t="inlineStr">
        <is>
          <t>ANILLO DELGADO T TRUE GOLD</t>
        </is>
      </c>
      <c r="C642" s="1" t="n">
        <v>7</v>
      </c>
      <c r="D642" s="1" t="inlineStr">
        <is>
          <t>22/10/2025</t>
        </is>
      </c>
      <c r="E642" s="1" t="n">
        <v>2025</v>
      </c>
      <c r="F642" s="1" t="inlineStr">
        <is>
          <t>OCTUBRE</t>
        </is>
      </c>
      <c r="G642" s="1" t="inlineStr">
        <is>
          <t>HAIFENG</t>
        </is>
      </c>
      <c r="H642" s="1" t="inlineStr">
        <is>
          <t>HAIFENG 22/10/2025</t>
        </is>
      </c>
      <c r="I642" s="4" t="n">
        <v>2</v>
      </c>
      <c r="J642" s="6" t="n">
        <v>6.5</v>
      </c>
      <c r="K642" s="6" t="n">
        <v>137.3337031</v>
      </c>
      <c r="L642" s="6">
        <f>I642*K642</f>
        <v/>
      </c>
      <c r="M642" s="6">
        <f>K642*4</f>
        <v/>
      </c>
      <c r="N642" s="6" t="n">
        <v>535.6</v>
      </c>
    </row>
    <row r="643">
      <c r="A643" s="1" t="inlineStr">
        <is>
          <t>24703361096333</t>
        </is>
      </c>
      <c r="B643" s="1" t="inlineStr">
        <is>
          <t>ANILLO DELGADO T TRUE GOLD</t>
        </is>
      </c>
      <c r="C643" s="1" t="inlineStr">
        <is>
          <t>7</t>
        </is>
      </c>
      <c r="D643" s="1" t="inlineStr">
        <is>
          <t>16/04/2026</t>
        </is>
      </c>
      <c r="E643" s="1" t="n">
        <v>2026</v>
      </c>
      <c r="F643" s="1" t="inlineStr">
        <is>
          <t>ABRIL</t>
        </is>
      </c>
      <c r="G643" s="1" t="inlineStr">
        <is>
          <t>HAIFENG</t>
        </is>
      </c>
      <c r="H643" s="1" t="inlineStr">
        <is>
          <t>HAIFENG 16/04/2026</t>
        </is>
      </c>
      <c r="I643" s="4" t="n">
        <v>3</v>
      </c>
      <c r="J643" s="6" t="n">
        <v>2</v>
      </c>
      <c r="K643" s="6" t="n">
        <v>42.06294718</v>
      </c>
      <c r="L643" s="6">
        <f>I643*K643</f>
        <v/>
      </c>
      <c r="M643" s="6">
        <f>K643*4</f>
        <v/>
      </c>
      <c r="N643" s="6" t="n">
        <v>535.6</v>
      </c>
    </row>
    <row r="644">
      <c r="A644" s="1" t="inlineStr">
        <is>
          <t>24703361129101</t>
        </is>
      </c>
      <c r="B644" s="1" t="inlineStr">
        <is>
          <t>ANILLO DELGADO T TRUE GOLD</t>
        </is>
      </c>
      <c r="C644" s="1" t="n">
        <v>8</v>
      </c>
      <c r="D644" s="1" t="inlineStr">
        <is>
          <t>22/10/2025</t>
        </is>
      </c>
      <c r="E644" s="1" t="n">
        <v>2025</v>
      </c>
      <c r="F644" s="1" t="inlineStr">
        <is>
          <t>OCTUBRE</t>
        </is>
      </c>
      <c r="G644" s="1" t="inlineStr">
        <is>
          <t>HAIFENG</t>
        </is>
      </c>
      <c r="H644" s="1" t="inlineStr">
        <is>
          <t>HAIFENG 22/10/2025</t>
        </is>
      </c>
      <c r="I644" s="4" t="n">
        <v>2</v>
      </c>
      <c r="J644" s="6" t="n">
        <v>6.5</v>
      </c>
      <c r="K644" s="6" t="n">
        <v>137.3337031</v>
      </c>
      <c r="L644" s="6">
        <f>I644*K644</f>
        <v/>
      </c>
      <c r="M644" s="6">
        <f>K644*4</f>
        <v/>
      </c>
      <c r="N644" s="6" t="n">
        <v>535.6</v>
      </c>
    </row>
    <row r="645">
      <c r="A645" s="1" t="inlineStr">
        <is>
          <t>24780441054861</t>
        </is>
      </c>
      <c r="B645" s="1" t="inlineStr">
        <is>
          <t>CARTERA LV VICTORINE MONOGRAM EMPREINTE</t>
        </is>
      </c>
      <c r="C645" s="1" t="n"/>
      <c r="D645" s="1" t="inlineStr">
        <is>
          <t>08/06/2026</t>
        </is>
      </c>
      <c r="E645" s="1" t="n">
        <v>2026</v>
      </c>
      <c r="F645" s="1" t="inlineStr">
        <is>
          <t>JUNIO</t>
        </is>
      </c>
      <c r="G645" s="1" t="inlineStr">
        <is>
          <t>ZOEY</t>
        </is>
      </c>
      <c r="H645" s="1" t="inlineStr">
        <is>
          <t>ZOEY 08/06/2026</t>
        </is>
      </c>
      <c r="I645" s="4" t="n">
        <v>2</v>
      </c>
      <c r="J645" s="6" t="n">
        <v>16</v>
      </c>
      <c r="K645" s="6" t="n">
        <v>392.1829833</v>
      </c>
      <c r="L645" s="6">
        <f>I645*K645</f>
        <v/>
      </c>
      <c r="M645" s="6">
        <f>K645*4</f>
        <v/>
      </c>
      <c r="N645" s="6" t="n">
        <v>1569</v>
      </c>
    </row>
    <row r="646">
      <c r="A646" s="1" t="inlineStr">
        <is>
          <t>24780441141293</t>
        </is>
      </c>
      <c r="B646" s="1" t="inlineStr">
        <is>
          <t>CARTERA LV BLOOM H36</t>
        </is>
      </c>
      <c r="C646" s="1" t="n"/>
      <c r="D646" s="1" t="inlineStr">
        <is>
          <t>08/06/2026</t>
        </is>
      </c>
      <c r="E646" s="1" t="n">
        <v>2026</v>
      </c>
      <c r="F646" s="1" t="inlineStr">
        <is>
          <t>JUNIO</t>
        </is>
      </c>
      <c r="G646" s="1" t="inlineStr">
        <is>
          <t>ZOEY</t>
        </is>
      </c>
      <c r="H646" s="1" t="inlineStr">
        <is>
          <t>ZOEY 08/06/2026</t>
        </is>
      </c>
      <c r="I646" s="4" t="n">
        <v>2</v>
      </c>
      <c r="J646" s="6" t="n">
        <v>16</v>
      </c>
      <c r="K646" s="6" t="n">
        <v>392.1829833</v>
      </c>
      <c r="L646" s="6">
        <f>I646*K646</f>
        <v/>
      </c>
      <c r="M646" s="6">
        <f>K646*4</f>
        <v/>
      </c>
      <c r="N646" s="6" t="n">
        <v>1373</v>
      </c>
    </row>
    <row r="647">
      <c r="A647" s="1" t="inlineStr">
        <is>
          <t>24780441200045</t>
        </is>
      </c>
      <c r="B647" s="1" t="inlineStr">
        <is>
          <t>CARTERA LV EMILIE REVERSO</t>
        </is>
      </c>
      <c r="C647" s="1" t="n"/>
      <c r="D647" s="1" t="inlineStr">
        <is>
          <t>08/06/2026</t>
        </is>
      </c>
      <c r="E647" s="1" t="n">
        <v>2026</v>
      </c>
      <c r="F647" s="1" t="inlineStr">
        <is>
          <t>JUNIO</t>
        </is>
      </c>
      <c r="G647" s="1" t="inlineStr">
        <is>
          <t>ZOEY</t>
        </is>
      </c>
      <c r="H647" s="1" t="inlineStr">
        <is>
          <t>ZOEY 08/06/2026</t>
        </is>
      </c>
      <c r="I647" s="4" t="n">
        <v>2</v>
      </c>
      <c r="J647" s="6" t="n">
        <v>16</v>
      </c>
      <c r="K647" s="6" t="n">
        <v>392.1829833</v>
      </c>
      <c r="L647" s="6">
        <f>I647*K647</f>
        <v/>
      </c>
      <c r="M647" s="6">
        <f>K647*4</f>
        <v/>
      </c>
      <c r="N647" s="6" t="n">
        <v>1559</v>
      </c>
    </row>
    <row r="648">
      <c r="A648" s="1" t="inlineStr">
        <is>
          <t>24780441331117</t>
        </is>
      </c>
      <c r="B648" s="1" t="inlineStr">
        <is>
          <t>BOLSO LV NANO DIANE MONOGRAM</t>
        </is>
      </c>
      <c r="C648" s="1" t="n"/>
      <c r="D648" s="1" t="inlineStr">
        <is>
          <t>08/06/2026</t>
        </is>
      </c>
      <c r="E648" s="1" t="n">
        <v>2026</v>
      </c>
      <c r="F648" s="1" t="inlineStr">
        <is>
          <t>JUNIO</t>
        </is>
      </c>
      <c r="G648" s="1" t="inlineStr">
        <is>
          <t>ZOEY</t>
        </is>
      </c>
      <c r="H648" s="1" t="inlineStr">
        <is>
          <t>ZOEY 08/06/2026</t>
        </is>
      </c>
      <c r="I648" s="4" t="n">
        <v>1</v>
      </c>
      <c r="J648" s="6" t="n">
        <v>38</v>
      </c>
      <c r="K648" s="6" t="n">
        <v>931.4345853</v>
      </c>
      <c r="L648" s="6">
        <f>I648*K648</f>
        <v/>
      </c>
      <c r="M648" s="6">
        <f>K648*4</f>
        <v/>
      </c>
      <c r="N648" s="6" t="n">
        <v>3260</v>
      </c>
    </row>
    <row r="649">
      <c r="A649" s="1" t="inlineStr">
        <is>
          <t>24780441426573</t>
        </is>
      </c>
      <c r="B649" s="1" t="inlineStr">
        <is>
          <t>CINTO LV MINI FLOWERGRAM</t>
        </is>
      </c>
      <c r="C649" s="1" t="inlineStr">
        <is>
          <t>100 cm</t>
        </is>
      </c>
      <c r="D649" s="1" t="inlineStr">
        <is>
          <t>08/06/2026</t>
        </is>
      </c>
      <c r="E649" s="1" t="n">
        <v>2026</v>
      </c>
      <c r="F649" s="1" t="inlineStr">
        <is>
          <t>JUNIO</t>
        </is>
      </c>
      <c r="G649" s="1" t="inlineStr">
        <is>
          <t>ZOEY</t>
        </is>
      </c>
      <c r="H649" s="1" t="inlineStr">
        <is>
          <t>ZOEY 08/06/2026</t>
        </is>
      </c>
      <c r="I649" s="4" t="n">
        <v>1</v>
      </c>
      <c r="J649" s="6" t="n">
        <v>65</v>
      </c>
      <c r="K649" s="6" t="n">
        <v>1593.24337</v>
      </c>
      <c r="L649" s="6">
        <f>I649*K649</f>
        <v/>
      </c>
      <c r="M649" s="6">
        <f>K649*4</f>
        <v/>
      </c>
      <c r="N649" s="6" t="n">
        <v>5579</v>
      </c>
    </row>
    <row r="650">
      <c r="A650" s="1" t="inlineStr">
        <is>
          <t>24780441590413</t>
        </is>
      </c>
      <c r="B650" s="1" t="inlineStr">
        <is>
          <t>CINTO LV DARLING ARD</t>
        </is>
      </c>
      <c r="C650" s="1" t="inlineStr">
        <is>
          <t>100 cm</t>
        </is>
      </c>
      <c r="D650" s="1" t="inlineStr">
        <is>
          <t>08/06/2026</t>
        </is>
      </c>
      <c r="E650" s="1" t="n">
        <v>2026</v>
      </c>
      <c r="F650" s="1" t="inlineStr">
        <is>
          <t>JUNIO</t>
        </is>
      </c>
      <c r="G650" s="1" t="inlineStr">
        <is>
          <t>ZOEY</t>
        </is>
      </c>
      <c r="H650" s="1" t="inlineStr">
        <is>
          <t>ZOEY 08/06/2026</t>
        </is>
      </c>
      <c r="I650" s="4" t="n">
        <v>2</v>
      </c>
      <c r="J650" s="6" t="n">
        <v>52</v>
      </c>
      <c r="K650" s="6" t="n">
        <v>1274.594696</v>
      </c>
      <c r="L650" s="6">
        <f>I650*K650</f>
        <v/>
      </c>
      <c r="M650" s="6">
        <f>K650*4</f>
        <v/>
      </c>
      <c r="N650" s="6" t="n">
        <v>5099</v>
      </c>
    </row>
    <row r="651">
      <c r="A651" s="1" t="inlineStr">
        <is>
          <t>24780441651405</t>
        </is>
      </c>
      <c r="B651" s="1" t="inlineStr">
        <is>
          <t>CINTO LV S-LOCK REVERSIBLE</t>
        </is>
      </c>
      <c r="C651" s="1" t="inlineStr">
        <is>
          <t>100 cm</t>
        </is>
      </c>
      <c r="D651" s="1" t="inlineStr">
        <is>
          <t>08/06/2026</t>
        </is>
      </c>
      <c r="E651" s="1" t="n">
        <v>2026</v>
      </c>
      <c r="F651" s="1" t="inlineStr">
        <is>
          <t>JUNIO</t>
        </is>
      </c>
      <c r="G651" s="1" t="inlineStr">
        <is>
          <t>ZOEY</t>
        </is>
      </c>
      <c r="H651" s="1" t="inlineStr">
        <is>
          <t>ZOEY 08/06/2026</t>
        </is>
      </c>
      <c r="I651" s="4" t="n">
        <v>2</v>
      </c>
      <c r="J651" s="6" t="n">
        <v>52</v>
      </c>
      <c r="K651" s="6" t="n">
        <v>1274.594696</v>
      </c>
      <c r="L651" s="6">
        <f>I651*K651</f>
        <v/>
      </c>
      <c r="M651" s="6">
        <f>K651*4</f>
        <v/>
      </c>
      <c r="N651" s="6" t="n">
        <v>4469</v>
      </c>
    </row>
    <row r="652">
      <c r="A652" s="1" t="inlineStr">
        <is>
          <t>24780441715245</t>
        </is>
      </c>
      <c r="B652" s="1" t="inlineStr">
        <is>
          <t>CINTO LV REVERSIBLE DAMOFLAJE</t>
        </is>
      </c>
      <c r="C652" s="1" t="inlineStr">
        <is>
          <t>110cm</t>
        </is>
      </c>
      <c r="D652" s="1" t="inlineStr">
        <is>
          <t>08/06/2026</t>
        </is>
      </c>
      <c r="E652" s="1" t="n">
        <v>2026</v>
      </c>
      <c r="F652" s="1" t="inlineStr">
        <is>
          <t>JUNIO</t>
        </is>
      </c>
      <c r="G652" s="1" t="inlineStr">
        <is>
          <t>ZOEY</t>
        </is>
      </c>
      <c r="H652" s="1" t="inlineStr">
        <is>
          <t>ZOEY 08/06/2026</t>
        </is>
      </c>
      <c r="I652" s="4" t="n">
        <v>2</v>
      </c>
      <c r="J652" s="6" t="n">
        <v>45</v>
      </c>
      <c r="K652" s="6" t="n">
        <v>1103.01464</v>
      </c>
      <c r="L652" s="6">
        <f>I652*K652</f>
        <v/>
      </c>
      <c r="M652" s="6">
        <f>K652*4</f>
        <v/>
      </c>
      <c r="N652" s="6" t="n">
        <v>3899</v>
      </c>
    </row>
    <row r="653">
      <c r="A653" s="1" t="inlineStr">
        <is>
          <t>24780441879085</t>
        </is>
      </c>
      <c r="B653" s="1" t="inlineStr">
        <is>
          <t>CINTO LV REVERSIBLE FROG</t>
        </is>
      </c>
      <c r="C653" s="1" t="inlineStr">
        <is>
          <t>110cm</t>
        </is>
      </c>
      <c r="D653" s="1" t="inlineStr">
        <is>
          <t>08/06/2026</t>
        </is>
      </c>
      <c r="E653" s="1" t="n">
        <v>2026</v>
      </c>
      <c r="F653" s="1" t="inlineStr">
        <is>
          <t>JUNIO</t>
        </is>
      </c>
      <c r="G653" s="1" t="inlineStr">
        <is>
          <t>ZOEY</t>
        </is>
      </c>
      <c r="H653" s="1" t="inlineStr">
        <is>
          <t>ZOEY 08/06/2026</t>
        </is>
      </c>
      <c r="I653" s="4" t="n">
        <v>2</v>
      </c>
      <c r="J653" s="6" t="n">
        <v>48</v>
      </c>
      <c r="K653" s="6" t="n">
        <v>1176.54895</v>
      </c>
      <c r="L653" s="6">
        <f>I653*K653</f>
        <v/>
      </c>
      <c r="M653" s="6">
        <f>K653*4</f>
        <v/>
      </c>
      <c r="N653" s="6" t="n">
        <v>4710</v>
      </c>
    </row>
    <row r="654">
      <c r="A654" s="1" t="inlineStr">
        <is>
          <t>24780441910157</t>
        </is>
      </c>
      <c r="B654" s="1" t="inlineStr">
        <is>
          <t>CINTO LV REVERSIBLE OPTIC</t>
        </is>
      </c>
      <c r="C654" s="1" t="inlineStr">
        <is>
          <t>110cm</t>
        </is>
      </c>
      <c r="D654" s="1" t="inlineStr">
        <is>
          <t>08/06/2026</t>
        </is>
      </c>
      <c r="E654" s="1" t="n">
        <v>2026</v>
      </c>
      <c r="F654" s="1" t="inlineStr">
        <is>
          <t>JUNIO</t>
        </is>
      </c>
      <c r="G654" s="1" t="inlineStr">
        <is>
          <t>ZOEY</t>
        </is>
      </c>
      <c r="H654" s="1" t="inlineStr">
        <is>
          <t>ZOEY 08/06/2026</t>
        </is>
      </c>
      <c r="I654" s="4" t="n">
        <v>2</v>
      </c>
      <c r="J654" s="6" t="n">
        <v>48</v>
      </c>
      <c r="K654" s="6" t="n">
        <v>1176.54895</v>
      </c>
      <c r="L654" s="6">
        <f>I654*K654</f>
        <v/>
      </c>
      <c r="M654" s="6">
        <f>K654*4</f>
        <v/>
      </c>
      <c r="N654" s="6" t="n">
        <v>4710</v>
      </c>
    </row>
    <row r="655">
      <c r="A655" s="1" t="inlineStr">
        <is>
          <t>24780442041229</t>
        </is>
      </c>
      <c r="B655" s="1" t="inlineStr">
        <is>
          <t>BOLSO CC SHOPPING TOTE</t>
        </is>
      </c>
      <c r="C655" s="1" t="n"/>
      <c r="D655" s="1" t="inlineStr">
        <is>
          <t>08/06/2026</t>
        </is>
      </c>
      <c r="E655" s="1" t="n">
        <v>2026</v>
      </c>
      <c r="F655" s="1" t="inlineStr">
        <is>
          <t>JUNIO</t>
        </is>
      </c>
      <c r="G655" s="1" t="inlineStr">
        <is>
          <t>ZOEY</t>
        </is>
      </c>
      <c r="H655" s="1" t="inlineStr">
        <is>
          <t>ZOEY 08/06/2026</t>
        </is>
      </c>
      <c r="I655" s="4" t="n">
        <v>2</v>
      </c>
      <c r="J655" s="6" t="n">
        <v>55</v>
      </c>
      <c r="K655" s="6" t="n">
        <v>1348.129005</v>
      </c>
      <c r="L655" s="6">
        <f>I655*K655</f>
        <v/>
      </c>
      <c r="M655" s="6">
        <f>K655*4</f>
        <v/>
      </c>
      <c r="N655" s="6" t="n">
        <v>5399</v>
      </c>
    </row>
    <row r="656">
      <c r="A656" s="1" t="inlineStr">
        <is>
          <t>24780442101677</t>
        </is>
      </c>
      <c r="B656" s="1" t="inlineStr">
        <is>
          <t>BOLSO CC N°25 WHITE BROWN</t>
        </is>
      </c>
      <c r="C656" s="1" t="n"/>
      <c r="D656" s="1" t="inlineStr">
        <is>
          <t>08/06/2026</t>
        </is>
      </c>
      <c r="E656" s="1" t="n">
        <v>2026</v>
      </c>
      <c r="F656" s="1" t="inlineStr">
        <is>
          <t>JUNIO</t>
        </is>
      </c>
      <c r="G656" s="1" t="inlineStr">
        <is>
          <t>ZOEY</t>
        </is>
      </c>
      <c r="H656" s="1" t="inlineStr">
        <is>
          <t>ZOEY 08/06/2026</t>
        </is>
      </c>
      <c r="I656" s="4" t="n">
        <v>2</v>
      </c>
      <c r="J656" s="6" t="n">
        <v>69</v>
      </c>
      <c r="K656" s="6" t="n">
        <v>1691.289115</v>
      </c>
      <c r="L656" s="6">
        <f>I656*K656</f>
        <v/>
      </c>
      <c r="M656" s="6">
        <f>K656*4</f>
        <v/>
      </c>
      <c r="N656" s="6" t="n">
        <v>5999</v>
      </c>
    </row>
    <row r="657">
      <c r="A657" s="1" t="inlineStr">
        <is>
          <t>24780442224269</t>
        </is>
      </c>
      <c r="B657" s="1" t="inlineStr">
        <is>
          <t>BOLSO CC MARY JANES</t>
        </is>
      </c>
      <c r="C657" s="1" t="n"/>
      <c r="D657" s="1" t="inlineStr">
        <is>
          <t>08/06/2026</t>
        </is>
      </c>
      <c r="E657" s="1" t="n">
        <v>2026</v>
      </c>
      <c r="F657" s="1" t="inlineStr">
        <is>
          <t>JUNIO</t>
        </is>
      </c>
      <c r="G657" s="1" t="inlineStr">
        <is>
          <t>ZOEY</t>
        </is>
      </c>
      <c r="H657" s="1" t="inlineStr">
        <is>
          <t>ZOEY 08/06/2026</t>
        </is>
      </c>
      <c r="I657" s="4" t="n">
        <v>2</v>
      </c>
      <c r="J657" s="6" t="n">
        <v>58</v>
      </c>
      <c r="K657" s="6" t="n">
        <v>1421.663314</v>
      </c>
      <c r="L657" s="6">
        <f>I657*K657</f>
        <v/>
      </c>
      <c r="M657" s="6">
        <f>K657*4</f>
        <v/>
      </c>
      <c r="N657" s="6" t="n">
        <v>5689</v>
      </c>
    </row>
    <row r="658">
      <c r="A658" s="1" t="inlineStr">
        <is>
          <t>24780442388109</t>
        </is>
      </c>
      <c r="B658" s="1" t="inlineStr">
        <is>
          <t>BOLSO CC LARGE TOTE</t>
        </is>
      </c>
      <c r="C658" s="1" t="n"/>
      <c r="D658" s="1" t="inlineStr">
        <is>
          <t>08/06/2026</t>
        </is>
      </c>
      <c r="E658" s="1" t="n">
        <v>2026</v>
      </c>
      <c r="F658" s="1" t="inlineStr">
        <is>
          <t>JUNIO</t>
        </is>
      </c>
      <c r="G658" s="1" t="inlineStr">
        <is>
          <t>ZOEY</t>
        </is>
      </c>
      <c r="H658" s="1" t="inlineStr">
        <is>
          <t>ZOEY 08/06/2026</t>
        </is>
      </c>
      <c r="I658" s="4" t="n">
        <v>2</v>
      </c>
      <c r="J658" s="6" t="n">
        <v>69</v>
      </c>
      <c r="K658" s="6" t="n">
        <v>1691.289115</v>
      </c>
      <c r="L658" s="6">
        <f>I658*K658</f>
        <v/>
      </c>
      <c r="M658" s="6">
        <f>K658*4</f>
        <v/>
      </c>
      <c r="N658" s="6" t="n">
        <v>6500</v>
      </c>
    </row>
    <row r="659">
      <c r="A659" s="1" t="inlineStr">
        <is>
          <t>24780442420877</t>
        </is>
      </c>
      <c r="B659" s="1" t="inlineStr">
        <is>
          <t>BOLSO C N°25 DENIM</t>
        </is>
      </c>
      <c r="C659" s="1" t="n"/>
      <c r="D659" s="1" t="inlineStr">
        <is>
          <t>08/06/2026</t>
        </is>
      </c>
      <c r="E659" s="1" t="n">
        <v>2026</v>
      </c>
      <c r="F659" s="1" t="inlineStr">
        <is>
          <t>JUNIO</t>
        </is>
      </c>
      <c r="G659" s="1" t="inlineStr">
        <is>
          <t>ZOEY</t>
        </is>
      </c>
      <c r="H659" s="1" t="inlineStr">
        <is>
          <t>ZOEY 08/06/2026</t>
        </is>
      </c>
      <c r="I659" s="4" t="n">
        <v>2</v>
      </c>
      <c r="J659" s="6" t="n">
        <v>65</v>
      </c>
      <c r="K659" s="6" t="n">
        <v>1593.24337</v>
      </c>
      <c r="L659" s="6">
        <f>I659*K659</f>
        <v/>
      </c>
      <c r="M659" s="6">
        <f>K659*4</f>
        <v/>
      </c>
      <c r="N659" s="6" t="n">
        <v>6339</v>
      </c>
    </row>
    <row r="660">
      <c r="A660" s="1" t="inlineStr">
        <is>
          <t>24780442584717</t>
        </is>
      </c>
      <c r="B660" s="1" t="inlineStr">
        <is>
          <t>BOLSO C N°25 GOLD</t>
        </is>
      </c>
      <c r="C660" s="1" t="n"/>
      <c r="D660" s="1" t="inlineStr">
        <is>
          <t>08/06/2026</t>
        </is>
      </c>
      <c r="E660" s="1" t="n">
        <v>2026</v>
      </c>
      <c r="F660" s="1" t="inlineStr">
        <is>
          <t>JUNIO</t>
        </is>
      </c>
      <c r="G660" s="1" t="inlineStr">
        <is>
          <t>ZOEY</t>
        </is>
      </c>
      <c r="H660" s="1" t="inlineStr">
        <is>
          <t>ZOEY 08/06/2026</t>
        </is>
      </c>
      <c r="I660" s="4" t="n">
        <v>2</v>
      </c>
      <c r="J660" s="6" t="n">
        <v>65</v>
      </c>
      <c r="K660" s="6" t="n">
        <v>1593.24337</v>
      </c>
      <c r="L660" s="6">
        <f>I660*K660</f>
        <v/>
      </c>
      <c r="M660" s="6">
        <f>K660*4</f>
        <v/>
      </c>
      <c r="N660" s="6" t="n">
        <v>6000</v>
      </c>
    </row>
    <row r="661">
      <c r="A661" s="1" t="inlineStr">
        <is>
          <t>24780442614093</t>
        </is>
      </c>
      <c r="B661" s="1" t="inlineStr">
        <is>
          <t>BOLSO CC MINITASKE</t>
        </is>
      </c>
      <c r="C661" s="1" t="n"/>
      <c r="D661" s="1" t="inlineStr">
        <is>
          <t>08/06/2026</t>
        </is>
      </c>
      <c r="E661" s="1" t="n">
        <v>2026</v>
      </c>
      <c r="F661" s="1" t="inlineStr">
        <is>
          <t>JUNIO</t>
        </is>
      </c>
      <c r="G661" s="1" t="inlineStr">
        <is>
          <t>ZOEY</t>
        </is>
      </c>
      <c r="H661" s="1" t="inlineStr">
        <is>
          <t>ZOEY 08/06/2026</t>
        </is>
      </c>
      <c r="I661" s="4" t="n">
        <v>2</v>
      </c>
      <c r="J661" s="6" t="n">
        <v>65</v>
      </c>
      <c r="K661" s="6" t="n">
        <v>1593.24337</v>
      </c>
      <c r="L661" s="6">
        <f>I661*K661</f>
        <v/>
      </c>
      <c r="M661" s="6">
        <f>K661*4</f>
        <v/>
      </c>
      <c r="N661" s="6" t="n">
        <v>6379</v>
      </c>
    </row>
    <row r="662">
      <c r="A662" s="1" t="inlineStr">
        <is>
          <t>24780442777933</t>
        </is>
      </c>
      <c r="B662" s="1" t="inlineStr">
        <is>
          <t>BOLSO CC CLUTCH WHITE PEARL</t>
        </is>
      </c>
      <c r="C662" s="1" t="n"/>
      <c r="D662" s="1" t="inlineStr">
        <is>
          <t>08/06/2026</t>
        </is>
      </c>
      <c r="E662" s="1" t="n">
        <v>2026</v>
      </c>
      <c r="F662" s="1" t="inlineStr">
        <is>
          <t>JUNIO</t>
        </is>
      </c>
      <c r="G662" s="1" t="inlineStr">
        <is>
          <t>ZOEY</t>
        </is>
      </c>
      <c r="H662" s="1" t="inlineStr">
        <is>
          <t>ZOEY 08/06/2026</t>
        </is>
      </c>
      <c r="I662" s="4" t="n">
        <v>2</v>
      </c>
      <c r="J662" s="6" t="n">
        <v>58</v>
      </c>
      <c r="K662" s="6" t="n">
        <v>1421.663314</v>
      </c>
      <c r="L662" s="6">
        <f>I662*K662</f>
        <v/>
      </c>
      <c r="M662" s="6">
        <f>K662*4</f>
        <v/>
      </c>
      <c r="N662" s="6" t="n">
        <v>5649</v>
      </c>
    </row>
    <row r="663">
      <c r="A663" s="1" t="inlineStr">
        <is>
          <t>24780442803917</t>
        </is>
      </c>
      <c r="B663" s="1" t="inlineStr">
        <is>
          <t>CARTERA CC CON SOLAPA BLACK</t>
        </is>
      </c>
      <c r="C663" s="1" t="n"/>
      <c r="D663" s="1" t="inlineStr">
        <is>
          <t>08/06/2026</t>
        </is>
      </c>
      <c r="E663" s="1" t="n">
        <v>2026</v>
      </c>
      <c r="F663" s="1" t="inlineStr">
        <is>
          <t>JUNIO</t>
        </is>
      </c>
      <c r="G663" s="1" t="inlineStr">
        <is>
          <t>ZOEY</t>
        </is>
      </c>
      <c r="H663" s="1" t="inlineStr">
        <is>
          <t>ZOEY 08/06/2026</t>
        </is>
      </c>
      <c r="I663" s="4" t="n">
        <v>2</v>
      </c>
      <c r="J663" s="6" t="n">
        <v>22</v>
      </c>
      <c r="K663" s="6" t="n">
        <v>539.251602</v>
      </c>
      <c r="L663" s="6">
        <f>I663*K663</f>
        <v/>
      </c>
      <c r="M663" s="6">
        <f>K663*4</f>
        <v/>
      </c>
      <c r="N663" s="6" t="n">
        <v>2159</v>
      </c>
    </row>
    <row r="664">
      <c r="A664" s="1" t="inlineStr">
        <is>
          <t>24780442908333</t>
        </is>
      </c>
      <c r="B664" s="1" t="inlineStr">
        <is>
          <t>BALLERINAS CC COCO MARK</t>
        </is>
      </c>
      <c r="C664" s="1" t="inlineStr">
        <is>
          <t>38/25MX</t>
        </is>
      </c>
      <c r="D664" s="1" t="inlineStr">
        <is>
          <t>08/06/2026</t>
        </is>
      </c>
      <c r="E664" s="1" t="n">
        <v>2026</v>
      </c>
      <c r="F664" s="1" t="inlineStr">
        <is>
          <t>JUNIO</t>
        </is>
      </c>
      <c r="G664" s="1" t="inlineStr">
        <is>
          <t>ZOEY</t>
        </is>
      </c>
      <c r="H664" s="1" t="inlineStr">
        <is>
          <t>ZOEY 08/06/2026</t>
        </is>
      </c>
      <c r="I664" s="4" t="n">
        <v>1</v>
      </c>
      <c r="J664" s="6" t="n">
        <v>60</v>
      </c>
      <c r="K664" s="6" t="n">
        <v>1470.686187</v>
      </c>
      <c r="L664" s="6">
        <f>I664*K664</f>
        <v/>
      </c>
      <c r="M664" s="6">
        <f>K664*4</f>
        <v/>
      </c>
      <c r="N664" s="6" t="n">
        <v>5888</v>
      </c>
    </row>
    <row r="665">
      <c r="A665" s="1" t="inlineStr">
        <is>
          <t>24780443041101</t>
        </is>
      </c>
      <c r="B665" s="1" t="inlineStr">
        <is>
          <t>BALLERINAS CC COCO MARK</t>
        </is>
      </c>
      <c r="C665" s="1" t="inlineStr">
        <is>
          <t>35/254MX</t>
        </is>
      </c>
      <c r="D665" s="1" t="inlineStr">
        <is>
          <t>08/06/2026</t>
        </is>
      </c>
      <c r="E665" s="1" t="n">
        <v>2026</v>
      </c>
      <c r="F665" s="1" t="inlineStr">
        <is>
          <t>JUNIO</t>
        </is>
      </c>
      <c r="G665" s="1" t="inlineStr">
        <is>
          <t>ZOEY</t>
        </is>
      </c>
      <c r="H665" s="1" t="inlineStr">
        <is>
          <t>ZOEY 08/06/2026</t>
        </is>
      </c>
      <c r="I665" s="4" t="n">
        <v>1</v>
      </c>
      <c r="J665" s="6" t="n">
        <v>60</v>
      </c>
      <c r="K665" s="6" t="n">
        <v>1470.686187</v>
      </c>
      <c r="L665" s="6">
        <f>I665*K665</f>
        <v/>
      </c>
      <c r="M665" s="6">
        <f>K665*4</f>
        <v/>
      </c>
      <c r="N665" s="6" t="n">
        <v>5849</v>
      </c>
    </row>
    <row r="666">
      <c r="A666" s="1" t="inlineStr">
        <is>
          <t>24780443136013</t>
        </is>
      </c>
      <c r="B666" s="1" t="inlineStr">
        <is>
          <t>CINTO CC LEATHER BLACK</t>
        </is>
      </c>
      <c r="C666" s="1" t="inlineStr">
        <is>
          <t>100cm</t>
        </is>
      </c>
      <c r="D666" s="1" t="inlineStr">
        <is>
          <t>08/06/2026</t>
        </is>
      </c>
      <c r="E666" s="1" t="n">
        <v>2026</v>
      </c>
      <c r="F666" s="1" t="inlineStr">
        <is>
          <t>JUNIO</t>
        </is>
      </c>
      <c r="G666" s="1" t="inlineStr">
        <is>
          <t>ZOEY</t>
        </is>
      </c>
      <c r="H666" s="1" t="inlineStr">
        <is>
          <t>ZOEY 08/06/2026</t>
        </is>
      </c>
      <c r="I666" s="4" t="n">
        <v>2</v>
      </c>
      <c r="J666" s="6" t="n">
        <v>48</v>
      </c>
      <c r="K666" s="6" t="n">
        <v>1176.54895</v>
      </c>
      <c r="L666" s="6">
        <f>I666*K666</f>
        <v/>
      </c>
      <c r="M666" s="6">
        <f>K666*4</f>
        <v/>
      </c>
      <c r="N666" s="6" t="n">
        <v>4120</v>
      </c>
    </row>
    <row r="667">
      <c r="A667" s="1" t="inlineStr">
        <is>
          <t>24780443296461</t>
        </is>
      </c>
      <c r="B667" s="1" t="inlineStr">
        <is>
          <t>CINTO CC LEATHER</t>
        </is>
      </c>
      <c r="C667" s="1" t="inlineStr">
        <is>
          <t>100cm</t>
        </is>
      </c>
      <c r="D667" s="1" t="inlineStr">
        <is>
          <t>08/06/2026</t>
        </is>
      </c>
      <c r="E667" s="1" t="n">
        <v>2026</v>
      </c>
      <c r="F667" s="1" t="inlineStr">
        <is>
          <t>JUNIO</t>
        </is>
      </c>
      <c r="G667" s="1" t="inlineStr">
        <is>
          <t>ZOEY</t>
        </is>
      </c>
      <c r="H667" s="1" t="inlineStr">
        <is>
          <t>ZOEY 08/06/2026</t>
        </is>
      </c>
      <c r="I667" s="4" t="n">
        <v>2</v>
      </c>
      <c r="J667" s="6" t="n">
        <v>48</v>
      </c>
      <c r="K667" s="6" t="n">
        <v>1176.54895</v>
      </c>
      <c r="L667" s="6">
        <f>I667*K667</f>
        <v/>
      </c>
      <c r="M667" s="6">
        <f>K667*4</f>
        <v/>
      </c>
      <c r="N667" s="6" t="n">
        <v>4120</v>
      </c>
    </row>
    <row r="668">
      <c r="A668" s="1" t="inlineStr">
        <is>
          <t>24780443358605</t>
        </is>
      </c>
      <c r="B668" s="1" t="inlineStr">
        <is>
          <t>CINTO CC SLINGBACK</t>
        </is>
      </c>
      <c r="C668" s="1" t="inlineStr">
        <is>
          <t>100cm</t>
        </is>
      </c>
      <c r="D668" s="1" t="inlineStr">
        <is>
          <t>08/06/2026</t>
        </is>
      </c>
      <c r="E668" s="1" t="n">
        <v>2026</v>
      </c>
      <c r="F668" s="1" t="inlineStr">
        <is>
          <t>JUNIO</t>
        </is>
      </c>
      <c r="G668" s="1" t="inlineStr">
        <is>
          <t>ZOEY</t>
        </is>
      </c>
      <c r="H668" s="1" t="inlineStr">
        <is>
          <t>ZOEY 08/06/2026</t>
        </is>
      </c>
      <c r="I668" s="4" t="n">
        <v>2</v>
      </c>
      <c r="J668" s="6" t="n">
        <v>48</v>
      </c>
      <c r="K668" s="6" t="n">
        <v>1176.54895</v>
      </c>
      <c r="L668" s="6">
        <f>I668*K668</f>
        <v/>
      </c>
      <c r="M668" s="6">
        <f>K668*4</f>
        <v/>
      </c>
      <c r="N668" s="6" t="n">
        <v>4710</v>
      </c>
    </row>
    <row r="669">
      <c r="A669" s="1" t="inlineStr">
        <is>
          <t>24780443453517</t>
        </is>
      </c>
      <c r="B669" s="1" t="inlineStr">
        <is>
          <t>CINTO CC CHAIN</t>
        </is>
      </c>
      <c r="C669" s="1" t="inlineStr">
        <is>
          <t>100cm</t>
        </is>
      </c>
      <c r="D669" s="1" t="inlineStr">
        <is>
          <t>08/06/2026</t>
        </is>
      </c>
      <c r="E669" s="1" t="n">
        <v>2026</v>
      </c>
      <c r="F669" s="1" t="inlineStr">
        <is>
          <t>JUNIO</t>
        </is>
      </c>
      <c r="G669" s="1" t="inlineStr">
        <is>
          <t>ZOEY</t>
        </is>
      </c>
      <c r="H669" s="1" t="inlineStr">
        <is>
          <t>ZOEY 08/06/2026</t>
        </is>
      </c>
      <c r="I669" s="4" t="n">
        <v>2</v>
      </c>
      <c r="J669" s="6" t="n">
        <v>65</v>
      </c>
      <c r="K669" s="6" t="n">
        <v>1593.24337</v>
      </c>
      <c r="L669" s="6">
        <f>I669*K669</f>
        <v/>
      </c>
      <c r="M669" s="6">
        <f>K669*4</f>
        <v/>
      </c>
      <c r="N669" s="6" t="n">
        <v>5579</v>
      </c>
    </row>
    <row r="670">
      <c r="A670" s="1" t="inlineStr">
        <is>
          <t>24780443529645</t>
        </is>
      </c>
      <c r="B670" s="1" t="inlineStr">
        <is>
          <t>CINTO CC CLASSIC</t>
        </is>
      </c>
      <c r="C670" s="1" t="inlineStr">
        <is>
          <t>100cm</t>
        </is>
      </c>
      <c r="D670" s="1" t="inlineStr">
        <is>
          <t>08/06/2026</t>
        </is>
      </c>
      <c r="E670" s="1" t="n">
        <v>2026</v>
      </c>
      <c r="F670" s="1" t="inlineStr">
        <is>
          <t>JUNIO</t>
        </is>
      </c>
      <c r="G670" s="1" t="inlineStr">
        <is>
          <t>ZOEY</t>
        </is>
      </c>
      <c r="H670" s="1" t="inlineStr">
        <is>
          <t>ZOEY 08/06/2026</t>
        </is>
      </c>
      <c r="I670" s="4" t="n">
        <v>2</v>
      </c>
      <c r="J670" s="6" t="n">
        <v>45</v>
      </c>
      <c r="K670" s="6" t="n">
        <v>1103.01464</v>
      </c>
      <c r="L670" s="6">
        <f>I670*K670</f>
        <v/>
      </c>
      <c r="M670" s="6">
        <f>K670*4</f>
        <v/>
      </c>
      <c r="N670" s="6" t="n">
        <v>3899</v>
      </c>
    </row>
    <row r="671">
      <c r="A671" s="1" t="inlineStr">
        <is>
          <t>25156441068705</t>
        </is>
      </c>
      <c r="B671" s="1" t="inlineStr">
        <is>
          <t>COLLAR DOBLE PLACA-GOLD TURQUESA</t>
        </is>
      </c>
      <c r="C671" s="1" t="inlineStr">
        <is>
          <t>44.5cm</t>
        </is>
      </c>
      <c r="D671" s="1" t="inlineStr">
        <is>
          <t>01/09/2025</t>
        </is>
      </c>
      <c r="E671" s="1" t="n">
        <v>2025</v>
      </c>
      <c r="F671" s="1" t="inlineStr">
        <is>
          <t>SEPTIEMBRE</t>
        </is>
      </c>
      <c r="G671" s="1" t="inlineStr">
        <is>
          <t>ZOEY</t>
        </is>
      </c>
      <c r="H671" s="1" t="inlineStr">
        <is>
          <t>ZOEY 01/09/2025</t>
        </is>
      </c>
      <c r="I671" s="4" t="n">
        <v>10</v>
      </c>
      <c r="J671" s="6" t="n">
        <v>9</v>
      </c>
      <c r="K671" s="6" t="n">
        <v>226.0606014</v>
      </c>
      <c r="L671" s="6">
        <f>I671*K671</f>
        <v/>
      </c>
      <c r="M671" s="6">
        <f>K671*4</f>
        <v/>
      </c>
      <c r="N671" s="6" t="n">
        <v>750</v>
      </c>
    </row>
    <row r="672">
      <c r="A672" s="1" t="inlineStr">
        <is>
          <t>25156441068705</t>
        </is>
      </c>
      <c r="B672" s="1" t="inlineStr">
        <is>
          <t>COLLAR DOBLE PLACA-GOLD TURQUESA</t>
        </is>
      </c>
      <c r="C672" s="1" t="inlineStr">
        <is>
          <t>44.5cm</t>
        </is>
      </c>
      <c r="D672" s="1" t="inlineStr">
        <is>
          <t>20/01/2026</t>
        </is>
      </c>
      <c r="E672" s="1" t="n">
        <v>2026</v>
      </c>
      <c r="F672" s="1" t="inlineStr">
        <is>
          <t>ENERO</t>
        </is>
      </c>
      <c r="G672" s="1" t="inlineStr">
        <is>
          <t>ZOEY</t>
        </is>
      </c>
      <c r="H672" s="1" t="inlineStr">
        <is>
          <t>ZOEY 20/01/2026</t>
        </is>
      </c>
      <c r="I672" s="4" t="n">
        <v>3</v>
      </c>
      <c r="J672" s="6" t="n">
        <v>9</v>
      </c>
      <c r="K672" s="6" t="n">
        <v>234.2843943</v>
      </c>
      <c r="L672" s="6">
        <f>I672*K672</f>
        <v/>
      </c>
      <c r="M672" s="6">
        <f>K672*4</f>
        <v/>
      </c>
      <c r="N672" s="6" t="n">
        <v>925</v>
      </c>
    </row>
    <row r="673">
      <c r="A673" s="1" t="inlineStr">
        <is>
          <t>25156441068705</t>
        </is>
      </c>
      <c r="B673" s="1" t="inlineStr">
        <is>
          <t>COLLAR DOBLE PLACA-GOLD TURQUESA</t>
        </is>
      </c>
      <c r="C673" s="1" t="inlineStr">
        <is>
          <t>44.5cm</t>
        </is>
      </c>
      <c r="D673" s="1" t="inlineStr">
        <is>
          <t>20/04/2026</t>
        </is>
      </c>
      <c r="E673" s="1" t="n">
        <v>2026</v>
      </c>
      <c r="F673" s="1" t="inlineStr">
        <is>
          <t>ABRIL</t>
        </is>
      </c>
      <c r="G673" s="1" t="inlineStr">
        <is>
          <t>ZOEY</t>
        </is>
      </c>
      <c r="H673" s="1" t="inlineStr">
        <is>
          <t>ZOEY 20/04/2026</t>
        </is>
      </c>
      <c r="I673" s="4" t="n">
        <v>8</v>
      </c>
      <c r="J673" s="6" t="n">
        <v>9</v>
      </c>
      <c r="K673" s="6" t="n">
        <v>230.479005</v>
      </c>
      <c r="L673" s="6">
        <f>I673*K673</f>
        <v/>
      </c>
      <c r="M673" s="6">
        <f>K673*4</f>
        <v/>
      </c>
      <c r="N673" s="6" t="n">
        <v>925</v>
      </c>
    </row>
    <row r="674">
      <c r="A674" s="1" t="inlineStr">
        <is>
          <t>26487151099425</t>
        </is>
      </c>
      <c r="B674" s="1" t="inlineStr">
        <is>
          <t>PULSERAS BEAN GOLD</t>
        </is>
      </c>
      <c r="C674" s="1" t="inlineStr">
        <is>
          <t>16 CM</t>
        </is>
      </c>
      <c r="D674" s="1" t="inlineStr">
        <is>
          <t>01/09/2025</t>
        </is>
      </c>
      <c r="E674" s="1" t="n">
        <v>2025</v>
      </c>
      <c r="F674" s="1" t="inlineStr">
        <is>
          <t>SEPTIEMBRE</t>
        </is>
      </c>
      <c r="G674" s="1" t="inlineStr">
        <is>
          <t>HAIFENG</t>
        </is>
      </c>
      <c r="H674" s="1" t="inlineStr">
        <is>
          <t>HAIFENG 01/09/2025</t>
        </is>
      </c>
      <c r="I674" s="4" t="n">
        <v>4</v>
      </c>
      <c r="J674" s="6" t="n">
        <v>7.5</v>
      </c>
      <c r="K674" s="6" t="n">
        <v>159.417533</v>
      </c>
      <c r="L674" s="6">
        <f>I674*K674</f>
        <v/>
      </c>
      <c r="M674" s="6">
        <f>K674*4</f>
        <v/>
      </c>
      <c r="N674" s="6" t="n">
        <v>650</v>
      </c>
    </row>
    <row r="675">
      <c r="A675" s="1" t="inlineStr">
        <is>
          <t>26487151099425</t>
        </is>
      </c>
      <c r="B675" s="1" t="inlineStr">
        <is>
          <t>PULSERA BEAN GOLD</t>
        </is>
      </c>
      <c r="C675" s="1" t="inlineStr">
        <is>
          <t>16 CM</t>
        </is>
      </c>
      <c r="D675" s="1" t="inlineStr">
        <is>
          <t>11/11/2025</t>
        </is>
      </c>
      <c r="E675" s="1" t="n">
        <v>2025</v>
      </c>
      <c r="F675" s="1" t="inlineStr">
        <is>
          <t>NOVIEMBRE</t>
        </is>
      </c>
      <c r="G675" s="1" t="inlineStr">
        <is>
          <t>HAIFENG</t>
        </is>
      </c>
      <c r="H675" s="1" t="inlineStr">
        <is>
          <t>HAIFENG 11/11/2025</t>
        </is>
      </c>
      <c r="I675" s="4" t="n">
        <v>2</v>
      </c>
      <c r="J675" s="6" t="n">
        <v>7.5</v>
      </c>
      <c r="K675" s="6" t="n">
        <v>157.9537383</v>
      </c>
      <c r="L675" s="6">
        <f>I675*K675</f>
        <v/>
      </c>
      <c r="M675" s="6">
        <f>K675*4</f>
        <v/>
      </c>
      <c r="N675" s="6" t="n">
        <v>650</v>
      </c>
    </row>
    <row r="676">
      <c r="A676" s="1" t="inlineStr">
        <is>
          <t>26487151099425</t>
        </is>
      </c>
      <c r="B676" s="1" t="inlineStr">
        <is>
          <t>PULSERA BEAN GOLD</t>
        </is>
      </c>
      <c r="C676" s="1" t="inlineStr">
        <is>
          <t>16 CM</t>
        </is>
      </c>
      <c r="D676" s="1" t="inlineStr">
        <is>
          <t>03/12/2025</t>
        </is>
      </c>
      <c r="E676" s="1" t="n">
        <v>2025</v>
      </c>
      <c r="F676" s="1" t="inlineStr">
        <is>
          <t>DICIEMBRE</t>
        </is>
      </c>
      <c r="G676" s="1" t="inlineStr">
        <is>
          <t>HAIFENG</t>
        </is>
      </c>
      <c r="H676" s="1" t="inlineStr">
        <is>
          <t>HAIFENG 03/12/2025</t>
        </is>
      </c>
      <c r="I676" s="4" t="n">
        <v>3</v>
      </c>
      <c r="J676" s="6" t="n">
        <v>7.5</v>
      </c>
      <c r="K676" s="6" t="n">
        <v>156.8787001</v>
      </c>
      <c r="L676" s="6">
        <f>I676*K676</f>
        <v/>
      </c>
      <c r="M676" s="6">
        <f>K676*4</f>
        <v/>
      </c>
      <c r="N676" s="6" t="n">
        <v>650</v>
      </c>
    </row>
    <row r="677">
      <c r="A677" s="1" t="inlineStr">
        <is>
          <t>26487151099425</t>
        </is>
      </c>
      <c r="B677" s="1" t="inlineStr">
        <is>
          <t>PULSERA BEAN GOLD</t>
        </is>
      </c>
      <c r="C677" s="1" t="inlineStr">
        <is>
          <t>16 CM</t>
        </is>
      </c>
      <c r="D677" s="1" t="inlineStr">
        <is>
          <t>16/06/2026</t>
        </is>
      </c>
      <c r="E677" s="1" t="n">
        <v>2026</v>
      </c>
      <c r="F677" s="1" t="inlineStr">
        <is>
          <t>JUNIO</t>
        </is>
      </c>
      <c r="G677" s="1" t="inlineStr">
        <is>
          <t>HAIFENG</t>
        </is>
      </c>
      <c r="H677" s="1" t="inlineStr">
        <is>
          <t>HAIFENG 16/06/2026</t>
        </is>
      </c>
      <c r="I677" s="4" t="n">
        <v>3</v>
      </c>
      <c r="J677" s="6" t="n">
        <v>7.5</v>
      </c>
      <c r="K677" s="6" t="n">
        <v>157.6095484</v>
      </c>
      <c r="L677" s="6">
        <f>I677*K677</f>
        <v/>
      </c>
      <c r="M677" s="6">
        <f>K677*4</f>
        <v/>
      </c>
      <c r="N677" s="6" t="n">
        <v>650</v>
      </c>
    </row>
    <row r="678">
      <c r="A678" s="1" t="inlineStr">
        <is>
          <t>26487151166497</t>
        </is>
      </c>
      <c r="B678" s="1" t="inlineStr">
        <is>
          <t>ARETES TRINITY</t>
        </is>
      </c>
      <c r="C678" s="1" t="inlineStr">
        <is>
          <t>1 cm</t>
        </is>
      </c>
      <c r="D678" s="1" t="inlineStr">
        <is>
          <t>03/12/2025</t>
        </is>
      </c>
      <c r="E678" s="1" t="n">
        <v>2025</v>
      </c>
      <c r="F678" s="1" t="inlineStr">
        <is>
          <t>DICIEMBRE</t>
        </is>
      </c>
      <c r="G678" s="1" t="inlineStr">
        <is>
          <t>NANCY</t>
        </is>
      </c>
      <c r="H678" s="1" t="inlineStr">
        <is>
          <t>NANCY 03/12/2025</t>
        </is>
      </c>
      <c r="I678" s="4" t="n">
        <v>5</v>
      </c>
      <c r="J678" s="6" t="n">
        <v>4.99</v>
      </c>
      <c r="K678" s="6" t="n">
        <v>118.0471396</v>
      </c>
      <c r="L678" s="6">
        <f>I678*K678</f>
        <v/>
      </c>
      <c r="M678" s="6">
        <f>K678*4</f>
        <v/>
      </c>
      <c r="N678" s="6" t="n">
        <v>576.8</v>
      </c>
    </row>
    <row r="679">
      <c r="A679" s="1" t="inlineStr">
        <is>
          <t>2653019476748</t>
        </is>
      </c>
      <c r="B679" s="1" t="inlineStr">
        <is>
          <t>ANILLO SIXTEEN STONE SILVER</t>
        </is>
      </c>
      <c r="C679" s="1" t="inlineStr">
        <is>
          <t>HIGH QUALITY 5</t>
        </is>
      </c>
      <c r="D679" s="1" t="inlineStr">
        <is>
          <t>01/09/2025</t>
        </is>
      </c>
      <c r="E679" s="1" t="n">
        <v>2025</v>
      </c>
      <c r="F679" s="1" t="inlineStr">
        <is>
          <t>SEPTIEMBRE</t>
        </is>
      </c>
      <c r="G679" s="1" t="inlineStr">
        <is>
          <t>HAIFENG</t>
        </is>
      </c>
      <c r="H679" s="1" t="inlineStr">
        <is>
          <t>HAIFENG 01/09/2025</t>
        </is>
      </c>
      <c r="I679" s="4" t="n">
        <v>3</v>
      </c>
      <c r="J679" s="6" t="n">
        <v>6</v>
      </c>
      <c r="K679" s="6" t="n">
        <v>127.5340264</v>
      </c>
      <c r="L679" s="6">
        <f>I679*K679</f>
        <v/>
      </c>
      <c r="M679" s="6">
        <f>K679*4</f>
        <v/>
      </c>
      <c r="N679" s="6" t="n">
        <v>999</v>
      </c>
    </row>
    <row r="680">
      <c r="A680" s="1" t="inlineStr">
        <is>
          <t>2653019476748</t>
        </is>
      </c>
      <c r="B680" s="1" t="inlineStr">
        <is>
          <t>ANILLO SIXTEEN STONE SILVER</t>
        </is>
      </c>
      <c r="C680" s="1" t="inlineStr">
        <is>
          <t>HIGH QUALITY 5</t>
        </is>
      </c>
      <c r="D680" s="1" t="inlineStr">
        <is>
          <t>11/11/2025</t>
        </is>
      </c>
      <c r="E680" s="1" t="n">
        <v>2025</v>
      </c>
      <c r="F680" s="1" t="inlineStr">
        <is>
          <t>NOVIEMBRE</t>
        </is>
      </c>
      <c r="G680" s="1" t="inlineStr">
        <is>
          <t>HAIFENG</t>
        </is>
      </c>
      <c r="H680" s="1" t="inlineStr">
        <is>
          <t>HAIFENG 11/11/2025</t>
        </is>
      </c>
      <c r="I680" s="4" t="n">
        <v>4</v>
      </c>
      <c r="J680" s="6" t="n">
        <v>6</v>
      </c>
      <c r="K680" s="6" t="n">
        <v>126.3629907</v>
      </c>
      <c r="L680" s="6">
        <f>I680*K680</f>
        <v/>
      </c>
      <c r="M680" s="6">
        <f>K680*4</f>
        <v/>
      </c>
      <c r="N680" s="6" t="n">
        <v>999</v>
      </c>
    </row>
    <row r="681">
      <c r="A681" s="1" t="inlineStr">
        <is>
          <t>2653019476748</t>
        </is>
      </c>
      <c r="B681" s="1" t="inlineStr">
        <is>
          <t>ANILLO SIXTEEN STONE SILVER</t>
        </is>
      </c>
      <c r="C681" s="1" t="inlineStr">
        <is>
          <t>HIGH QUALITY 5</t>
        </is>
      </c>
      <c r="D681" s="1" t="inlineStr">
        <is>
          <t>03/12/2025</t>
        </is>
      </c>
      <c r="E681" s="1" t="n">
        <v>2025</v>
      </c>
      <c r="F681" s="1" t="inlineStr">
        <is>
          <t>DICIEMBRE</t>
        </is>
      </c>
      <c r="G681" s="1" t="inlineStr">
        <is>
          <t>HAIFENG</t>
        </is>
      </c>
      <c r="H681" s="1" t="inlineStr">
        <is>
          <t>HAIFENG 03/12/2025</t>
        </is>
      </c>
      <c r="I681" s="4" t="n">
        <v>2</v>
      </c>
      <c r="J681" s="6" t="n">
        <v>6</v>
      </c>
      <c r="K681" s="6" t="n">
        <v>125.5029601</v>
      </c>
      <c r="L681" s="6">
        <f>I681*K681</f>
        <v/>
      </c>
      <c r="M681" s="6">
        <f>K681*4</f>
        <v/>
      </c>
      <c r="N681" s="6" t="n">
        <v>999</v>
      </c>
    </row>
    <row r="682">
      <c r="A682" s="1" t="inlineStr">
        <is>
          <t>2653019476748</t>
        </is>
      </c>
      <c r="B682" s="1" t="inlineStr">
        <is>
          <t>ANILLO SIXTEEN STONE SILVER</t>
        </is>
      </c>
      <c r="C682" s="1" t="inlineStr">
        <is>
          <t>HIGH QUALITY 5</t>
        </is>
      </c>
      <c r="D682" s="1" t="inlineStr">
        <is>
          <t>16/06/2026</t>
        </is>
      </c>
      <c r="E682" s="1" t="n">
        <v>2026</v>
      </c>
      <c r="F682" s="1" t="inlineStr">
        <is>
          <t>JUNIO</t>
        </is>
      </c>
      <c r="G682" s="1" t="inlineStr">
        <is>
          <t>HAIFENG</t>
        </is>
      </c>
      <c r="H682" s="1" t="inlineStr">
        <is>
          <t>HAIFENG 16/06/2026</t>
        </is>
      </c>
      <c r="I682" s="4" t="n">
        <v>3</v>
      </c>
      <c r="J682" s="6" t="n">
        <v>6</v>
      </c>
      <c r="K682" s="6" t="n">
        <v>126.0876388</v>
      </c>
      <c r="L682" s="6">
        <f>I682*K682</f>
        <v/>
      </c>
      <c r="M682" s="6">
        <f>K682*4</f>
        <v/>
      </c>
      <c r="N682" s="6" t="n">
        <v>999</v>
      </c>
    </row>
    <row r="683">
      <c r="A683" s="1" t="inlineStr">
        <is>
          <t>2653019509516</t>
        </is>
      </c>
      <c r="B683" s="1" t="inlineStr">
        <is>
          <t>ANILLO SIXTEEN STONE SILVER</t>
        </is>
      </c>
      <c r="C683" s="1" t="inlineStr">
        <is>
          <t>HIGH QUALITY 6</t>
        </is>
      </c>
      <c r="D683" s="1" t="inlineStr">
        <is>
          <t>11/11/2025</t>
        </is>
      </c>
      <c r="E683" s="1" t="n">
        <v>2025</v>
      </c>
      <c r="F683" s="1" t="inlineStr">
        <is>
          <t>NOVIEMBRE</t>
        </is>
      </c>
      <c r="G683" s="1" t="inlineStr">
        <is>
          <t>HAIFENG</t>
        </is>
      </c>
      <c r="H683" s="1" t="inlineStr">
        <is>
          <t>HAIFENG 11/11/2025</t>
        </is>
      </c>
      <c r="I683" s="4" t="n">
        <v>3</v>
      </c>
      <c r="J683" s="6" t="n">
        <v>6</v>
      </c>
      <c r="K683" s="6" t="n">
        <v>126.3629907</v>
      </c>
      <c r="L683" s="6">
        <f>I683*K683</f>
        <v/>
      </c>
      <c r="M683" s="6">
        <f>K683*4</f>
        <v/>
      </c>
      <c r="N683" s="6" t="n">
        <v>999</v>
      </c>
    </row>
    <row r="684">
      <c r="A684" s="1" t="inlineStr">
        <is>
          <t>2653019509516</t>
        </is>
      </c>
      <c r="B684" s="1" t="inlineStr">
        <is>
          <t>ANILLO SIXTEEN STONE SILVER</t>
        </is>
      </c>
      <c r="C684" s="1" t="inlineStr">
        <is>
          <t>HIGH QUALITY 6</t>
        </is>
      </c>
      <c r="D684" s="1" t="inlineStr">
        <is>
          <t>03/12/2025</t>
        </is>
      </c>
      <c r="E684" s="1" t="n">
        <v>2025</v>
      </c>
      <c r="F684" s="1" t="inlineStr">
        <is>
          <t>DICIEMBRE</t>
        </is>
      </c>
      <c r="G684" s="1" t="inlineStr">
        <is>
          <t>HAIFENG</t>
        </is>
      </c>
      <c r="H684" s="1" t="inlineStr">
        <is>
          <t>HAIFENG 03/12/2025</t>
        </is>
      </c>
      <c r="I684" s="4" t="n">
        <v>3</v>
      </c>
      <c r="J684" s="6" t="n">
        <v>6</v>
      </c>
      <c r="K684" s="6" t="n">
        <v>125.5029601</v>
      </c>
      <c r="L684" s="6">
        <f>I684*K684</f>
        <v/>
      </c>
      <c r="M684" s="6">
        <f>K684*4</f>
        <v/>
      </c>
      <c r="N684" s="6" t="n">
        <v>999</v>
      </c>
    </row>
    <row r="685">
      <c r="A685" s="1" t="inlineStr">
        <is>
          <t>2653019542284</t>
        </is>
      </c>
      <c r="B685" s="1" t="inlineStr">
        <is>
          <t>ANILLO SIXTEEN STONE SILVER</t>
        </is>
      </c>
      <c r="C685" s="1" t="inlineStr">
        <is>
          <t>HIGH QUALITY 7</t>
        </is>
      </c>
      <c r="D685" s="1" t="inlineStr">
        <is>
          <t>25/09/2025</t>
        </is>
      </c>
      <c r="E685" s="1" t="n">
        <v>2025</v>
      </c>
      <c r="F685" s="1" t="inlineStr">
        <is>
          <t>SEPTIEMBRE</t>
        </is>
      </c>
      <c r="G685" s="1" t="inlineStr">
        <is>
          <t>HAIFENG</t>
        </is>
      </c>
      <c r="H685" s="1" t="inlineStr">
        <is>
          <t>HAIFENG 25/09/2025</t>
        </is>
      </c>
      <c r="I685" s="4" t="n">
        <v>2</v>
      </c>
      <c r="J685" s="6" t="n">
        <v>6</v>
      </c>
      <c r="K685" s="6" t="n">
        <v>126.5813146</v>
      </c>
      <c r="L685" s="6">
        <f>I685*K685</f>
        <v/>
      </c>
      <c r="M685" s="6">
        <f>K685*4</f>
        <v/>
      </c>
      <c r="N685" s="6" t="n">
        <v>999</v>
      </c>
    </row>
    <row r="686">
      <c r="A686" s="1" t="inlineStr">
        <is>
          <t>2653019542284</t>
        </is>
      </c>
      <c r="B686" s="1" t="inlineStr">
        <is>
          <t>ANILLO SIXTEEN STONE SILVER</t>
        </is>
      </c>
      <c r="C686" s="1" t="inlineStr">
        <is>
          <t>HIGH QUALITY 7</t>
        </is>
      </c>
      <c r="D686" s="1" t="inlineStr">
        <is>
          <t>11/11/2025</t>
        </is>
      </c>
      <c r="E686" s="1" t="n">
        <v>2025</v>
      </c>
      <c r="F686" s="1" t="inlineStr">
        <is>
          <t>NOVIEMBRE</t>
        </is>
      </c>
      <c r="G686" s="1" t="inlineStr">
        <is>
          <t>HAIFENG</t>
        </is>
      </c>
      <c r="H686" s="1" t="inlineStr">
        <is>
          <t>HAIFENG 11/11/2025</t>
        </is>
      </c>
      <c r="I686" s="4" t="n">
        <v>2</v>
      </c>
      <c r="J686" s="6" t="n">
        <v>6</v>
      </c>
      <c r="K686" s="6" t="n">
        <v>126.3629907</v>
      </c>
      <c r="L686" s="6">
        <f>I686*K686</f>
        <v/>
      </c>
      <c r="M686" s="6">
        <f>K686*4</f>
        <v/>
      </c>
      <c r="N686" s="6" t="n">
        <v>999</v>
      </c>
    </row>
    <row r="687">
      <c r="A687" s="1" t="inlineStr">
        <is>
          <t>2653020127500</t>
        </is>
      </c>
      <c r="B687" s="1" t="n"/>
      <c r="C687" s="1" t="n">
        <v>8</v>
      </c>
      <c r="D687" s="1" t="inlineStr">
        <is>
          <t>03/12/2025</t>
        </is>
      </c>
      <c r="E687" s="1" t="n">
        <v>2025</v>
      </c>
      <c r="F687" s="1" t="inlineStr">
        <is>
          <t>DICIEMBRE</t>
        </is>
      </c>
      <c r="G687" s="1" t="inlineStr">
        <is>
          <t>NANCY</t>
        </is>
      </c>
      <c r="H687" s="1" t="inlineStr">
        <is>
          <t>NANCY 03/12/2025</t>
        </is>
      </c>
      <c r="I687" s="4" t="n">
        <v>3</v>
      </c>
      <c r="J687" s="6" t="n">
        <v>5.59</v>
      </c>
      <c r="K687" s="6" t="n">
        <v>132.2411844</v>
      </c>
      <c r="L687" s="6">
        <f>I687*K687</f>
        <v/>
      </c>
      <c r="M687" s="6">
        <f>K687*4</f>
        <v/>
      </c>
      <c r="N687" s="6" t="n">
        <v>599</v>
      </c>
    </row>
    <row r="688">
      <c r="A688" s="1" t="inlineStr">
        <is>
          <t>2653020127500</t>
        </is>
      </c>
      <c r="B688" s="1" t="inlineStr">
        <is>
          <t>ANILLO TREBOL GOLD BLACK</t>
        </is>
      </c>
      <c r="C688" s="1" t="n">
        <v>8</v>
      </c>
      <c r="D688" s="1" t="inlineStr">
        <is>
          <t>08/05/2026</t>
        </is>
      </c>
      <c r="E688" s="1" t="n">
        <v>2026</v>
      </c>
      <c r="F688" s="1" t="inlineStr">
        <is>
          <t>MAYO</t>
        </is>
      </c>
      <c r="G688" s="1" t="inlineStr">
        <is>
          <t>NANCY</t>
        </is>
      </c>
      <c r="H688" s="1" t="inlineStr">
        <is>
          <t>NANCY 08/05/2026</t>
        </is>
      </c>
      <c r="I688" s="4" t="n">
        <v>2</v>
      </c>
      <c r="J688" s="6" t="n">
        <v>5.59</v>
      </c>
      <c r="K688" s="6" t="n">
        <v>132.2468818</v>
      </c>
      <c r="L688" s="6">
        <f>I688*K688</f>
        <v/>
      </c>
      <c r="M688" s="6">
        <f>K688*4</f>
        <v/>
      </c>
      <c r="N688" s="6" t="n">
        <v>599</v>
      </c>
    </row>
    <row r="689">
      <c r="A689" s="1" t="inlineStr">
        <is>
          <t>2653021417996</t>
        </is>
      </c>
      <c r="B689" s="1" t="inlineStr">
        <is>
          <t>ANILLO LOVE GOLD ANCHO</t>
        </is>
      </c>
      <c r="C689" s="1" t="inlineStr">
        <is>
          <t>5</t>
        </is>
      </c>
      <c r="D689" s="1" t="inlineStr">
        <is>
          <t>01/09/2025</t>
        </is>
      </c>
      <c r="E689" s="1" t="n">
        <v>2025</v>
      </c>
      <c r="F689" s="1" t="inlineStr">
        <is>
          <t>SEPTIEMBRE</t>
        </is>
      </c>
      <c r="G689" s="1" t="inlineStr">
        <is>
          <t>HAIFENG</t>
        </is>
      </c>
      <c r="H689" s="1" t="inlineStr">
        <is>
          <t>HAIFENG 01/09/2025</t>
        </is>
      </c>
      <c r="I689" s="4" t="n">
        <v>4</v>
      </c>
      <c r="J689" s="6" t="n">
        <v>1.8</v>
      </c>
      <c r="K689" s="6" t="n">
        <v>38.26020791</v>
      </c>
      <c r="L689" s="6">
        <f>I689*K689</f>
        <v/>
      </c>
      <c r="M689" s="6">
        <f>K689*4</f>
        <v/>
      </c>
      <c r="N689" s="6" t="n">
        <v>400</v>
      </c>
    </row>
    <row r="690">
      <c r="A690" s="1" t="inlineStr">
        <is>
          <t>2653021417996</t>
        </is>
      </c>
      <c r="B690" s="1" t="inlineStr">
        <is>
          <t>ANILLO LOVE GOLD ANCHO</t>
        </is>
      </c>
      <c r="C690" s="1" t="inlineStr">
        <is>
          <t>5</t>
        </is>
      </c>
      <c r="D690" s="1" t="inlineStr">
        <is>
          <t>03/12/2025</t>
        </is>
      </c>
      <c r="E690" s="1" t="n">
        <v>2025</v>
      </c>
      <c r="F690" s="1" t="inlineStr">
        <is>
          <t>DICIEMBRE</t>
        </is>
      </c>
      <c r="G690" s="1" t="inlineStr">
        <is>
          <t>HAIFENG</t>
        </is>
      </c>
      <c r="H690" s="1" t="inlineStr">
        <is>
          <t>HAIFENG 03/12/2025</t>
        </is>
      </c>
      <c r="I690" s="4" t="n">
        <v>5</v>
      </c>
      <c r="J690" s="6" t="n">
        <v>1.8</v>
      </c>
      <c r="K690" s="6" t="n">
        <v>37.65088802</v>
      </c>
      <c r="L690" s="6">
        <f>I690*K690</f>
        <v/>
      </c>
      <c r="M690" s="6">
        <f>K690*4</f>
        <v/>
      </c>
      <c r="N690" s="6" t="n">
        <v>400</v>
      </c>
    </row>
    <row r="691">
      <c r="A691" s="1" t="inlineStr">
        <is>
          <t>2653021417996</t>
        </is>
      </c>
      <c r="B691" s="1" t="inlineStr">
        <is>
          <t>ANILLO LOVE GOLD ANCHO</t>
        </is>
      </c>
      <c r="C691" s="1" t="inlineStr">
        <is>
          <t>5</t>
        </is>
      </c>
      <c r="D691" s="1" t="inlineStr">
        <is>
          <t>20/01/2026</t>
        </is>
      </c>
      <c r="E691" s="1" t="n">
        <v>2026</v>
      </c>
      <c r="F691" s="1" t="inlineStr">
        <is>
          <t>ENERO</t>
        </is>
      </c>
      <c r="G691" s="1" t="inlineStr">
        <is>
          <t>HAIFENG</t>
        </is>
      </c>
      <c r="H691" s="1" t="inlineStr">
        <is>
          <t>HAIFENG 20/01/2026</t>
        </is>
      </c>
      <c r="I691" s="4" t="n">
        <v>5</v>
      </c>
      <c r="J691" s="6" t="n">
        <v>1.8</v>
      </c>
      <c r="K691" s="6" t="n">
        <v>38.16075203</v>
      </c>
      <c r="L691" s="6">
        <f>I691*K691</f>
        <v/>
      </c>
      <c r="M691" s="6">
        <f>K691*4</f>
        <v/>
      </c>
      <c r="N691" s="6" t="n">
        <v>400</v>
      </c>
    </row>
    <row r="692">
      <c r="A692" s="1" t="inlineStr">
        <is>
          <t>2653021417996</t>
        </is>
      </c>
      <c r="B692" s="1" t="inlineStr">
        <is>
          <t>ANILLO LOVE GOLD ANCHO</t>
        </is>
      </c>
      <c r="C692" s="1" t="inlineStr">
        <is>
          <t>5</t>
        </is>
      </c>
      <c r="D692" s="1" t="inlineStr">
        <is>
          <t>06/05/2026</t>
        </is>
      </c>
      <c r="E692" s="1" t="n">
        <v>2026</v>
      </c>
      <c r="F692" s="1" t="inlineStr">
        <is>
          <t>MAYO</t>
        </is>
      </c>
      <c r="G692" s="1" t="inlineStr">
        <is>
          <t>HAIFENG</t>
        </is>
      </c>
      <c r="H692" s="1" t="inlineStr">
        <is>
          <t>HAIFENG 06/05/2026</t>
        </is>
      </c>
      <c r="I692" s="4" t="n">
        <v>2</v>
      </c>
      <c r="J692" s="6" t="n">
        <v>1.8</v>
      </c>
      <c r="K692" s="6" t="n">
        <v>38.19355608</v>
      </c>
      <c r="L692" s="6">
        <f>I692*K692</f>
        <v/>
      </c>
      <c r="M692" s="6">
        <f>K692*4</f>
        <v/>
      </c>
      <c r="N692" s="6" t="n">
        <v>400</v>
      </c>
    </row>
    <row r="693">
      <c r="A693" s="1" t="inlineStr">
        <is>
          <t>2653021417996</t>
        </is>
      </c>
      <c r="B693" s="1" t="inlineStr">
        <is>
          <t>ANILLO LOVE GOLD ANCHO (WIDE)</t>
        </is>
      </c>
      <c r="C693" s="1" t="inlineStr">
        <is>
          <t>5</t>
        </is>
      </c>
      <c r="D693" s="1" t="inlineStr">
        <is>
          <t>16/06/2026</t>
        </is>
      </c>
      <c r="E693" s="1" t="n">
        <v>2026</v>
      </c>
      <c r="F693" s="1" t="inlineStr">
        <is>
          <t>JUNIO</t>
        </is>
      </c>
      <c r="G693" s="1" t="inlineStr">
        <is>
          <t>HAIFENG</t>
        </is>
      </c>
      <c r="H693" s="1" t="inlineStr">
        <is>
          <t>HAIFENG 16/06/2026</t>
        </is>
      </c>
      <c r="I693" s="4" t="n">
        <v>2</v>
      </c>
      <c r="J693" s="6" t="n">
        <v>1.8</v>
      </c>
      <c r="K693" s="6" t="n">
        <v>37.82629163</v>
      </c>
      <c r="L693" s="6">
        <f>I693*K693</f>
        <v/>
      </c>
      <c r="M693" s="6">
        <f>K693*4</f>
        <v/>
      </c>
      <c r="N693" s="6" t="n">
        <v>400</v>
      </c>
    </row>
    <row r="694">
      <c r="A694" s="1" t="inlineStr">
        <is>
          <t>2653021450764</t>
        </is>
      </c>
      <c r="B694" s="1" t="inlineStr">
        <is>
          <t>ANILLO LOVE GOLD ANCHO</t>
        </is>
      </c>
      <c r="C694" s="1" t="inlineStr">
        <is>
          <t>6</t>
        </is>
      </c>
      <c r="D694" s="1" t="inlineStr">
        <is>
          <t>01/09/2025</t>
        </is>
      </c>
      <c r="E694" s="1" t="n">
        <v>2025</v>
      </c>
      <c r="F694" s="1" t="inlineStr">
        <is>
          <t>SEPTIEMBRE</t>
        </is>
      </c>
      <c r="G694" s="1" t="inlineStr">
        <is>
          <t>HAIFENG</t>
        </is>
      </c>
      <c r="H694" s="1" t="inlineStr">
        <is>
          <t>HAIFENG 01/09/2025</t>
        </is>
      </c>
      <c r="I694" s="4" t="n">
        <v>4</v>
      </c>
      <c r="J694" s="6" t="n">
        <v>1.8</v>
      </c>
      <c r="K694" s="6" t="n">
        <v>38.26020791</v>
      </c>
      <c r="L694" s="6">
        <f>I694*K694</f>
        <v/>
      </c>
      <c r="M694" s="6">
        <f>K694*4</f>
        <v/>
      </c>
      <c r="N694" s="6" t="n">
        <v>400</v>
      </c>
    </row>
    <row r="695">
      <c r="A695" s="1" t="inlineStr">
        <is>
          <t>2653021450764</t>
        </is>
      </c>
      <c r="B695" s="1" t="inlineStr">
        <is>
          <t>ANILLO LOVE GOLD ANCHO</t>
        </is>
      </c>
      <c r="C695" s="1" t="inlineStr">
        <is>
          <t>6</t>
        </is>
      </c>
      <c r="D695" s="1" t="inlineStr">
        <is>
          <t>03/12/2025</t>
        </is>
      </c>
      <c r="E695" s="1" t="n">
        <v>2025</v>
      </c>
      <c r="F695" s="1" t="inlineStr">
        <is>
          <t>DICIEMBRE</t>
        </is>
      </c>
      <c r="G695" s="1" t="inlineStr">
        <is>
          <t>HAIFENG</t>
        </is>
      </c>
      <c r="H695" s="1" t="inlineStr">
        <is>
          <t>HAIFENG 03/12/2025</t>
        </is>
      </c>
      <c r="I695" s="4" t="n">
        <v>5</v>
      </c>
      <c r="J695" s="6" t="n">
        <v>1.8</v>
      </c>
      <c r="K695" s="6" t="n">
        <v>37.65088802</v>
      </c>
      <c r="L695" s="6">
        <f>I695*K695</f>
        <v/>
      </c>
      <c r="M695" s="6">
        <f>K695*4</f>
        <v/>
      </c>
      <c r="N695" s="6" t="n">
        <v>400</v>
      </c>
    </row>
    <row r="696">
      <c r="A696" s="1" t="inlineStr">
        <is>
          <t>2653021450764</t>
        </is>
      </c>
      <c r="B696" s="1" t="inlineStr">
        <is>
          <t>ANILLO LOVE GOLD ANCHO</t>
        </is>
      </c>
      <c r="C696" s="1" t="inlineStr">
        <is>
          <t>6</t>
        </is>
      </c>
      <c r="D696" s="1" t="inlineStr">
        <is>
          <t>20/01/2026</t>
        </is>
      </c>
      <c r="E696" s="1" t="n">
        <v>2026</v>
      </c>
      <c r="F696" s="1" t="inlineStr">
        <is>
          <t>ENERO</t>
        </is>
      </c>
      <c r="G696" s="1" t="inlineStr">
        <is>
          <t>HAIFENG</t>
        </is>
      </c>
      <c r="H696" s="1" t="inlineStr">
        <is>
          <t>HAIFENG 20/01/2026</t>
        </is>
      </c>
      <c r="I696" s="4" t="n">
        <v>6</v>
      </c>
      <c r="J696" s="6" t="n">
        <v>1.8</v>
      </c>
      <c r="K696" s="6" t="n">
        <v>38.16075203</v>
      </c>
      <c r="L696" s="6">
        <f>I696*K696</f>
        <v/>
      </c>
      <c r="M696" s="6">
        <f>K696*4</f>
        <v/>
      </c>
      <c r="N696" s="6" t="n">
        <v>400</v>
      </c>
    </row>
    <row r="697">
      <c r="A697" s="1" t="inlineStr">
        <is>
          <t>2653021450764</t>
        </is>
      </c>
      <c r="B697" s="1" t="inlineStr">
        <is>
          <t>ANILLO LOVE GOLD ANCHO (WIDHT WITHOUT ZIRCONIAS)</t>
        </is>
      </c>
      <c r="C697" s="1" t="inlineStr">
        <is>
          <t>6</t>
        </is>
      </c>
      <c r="D697" s="1" t="inlineStr">
        <is>
          <t>16/04/2026</t>
        </is>
      </c>
      <c r="E697" s="1" t="n">
        <v>2026</v>
      </c>
      <c r="F697" s="1" t="inlineStr">
        <is>
          <t>ABRIL</t>
        </is>
      </c>
      <c r="G697" s="1" t="inlineStr">
        <is>
          <t>HAIFENG</t>
        </is>
      </c>
      <c r="H697" s="1" t="inlineStr">
        <is>
          <t>HAIFENG 16/04/2026</t>
        </is>
      </c>
      <c r="I697" s="4" t="n">
        <v>5</v>
      </c>
      <c r="J697" s="6" t="n">
        <v>1.8</v>
      </c>
      <c r="K697" s="6" t="n">
        <v>37.85665246</v>
      </c>
      <c r="L697" s="6">
        <f>I697*K697</f>
        <v/>
      </c>
      <c r="M697" s="6">
        <f>K697*4</f>
        <v/>
      </c>
      <c r="N697" s="6" t="n">
        <v>400</v>
      </c>
    </row>
    <row r="698">
      <c r="A698" s="1" t="inlineStr">
        <is>
          <t>2653021450764</t>
        </is>
      </c>
      <c r="B698" s="1" t="inlineStr">
        <is>
          <t>ANILLO LOVE GOLD ANCHO (WIDE)</t>
        </is>
      </c>
      <c r="C698" s="1" t="inlineStr">
        <is>
          <t>6</t>
        </is>
      </c>
      <c r="D698" s="1" t="inlineStr">
        <is>
          <t>16/06/2026</t>
        </is>
      </c>
      <c r="E698" s="1" t="n">
        <v>2026</v>
      </c>
      <c r="F698" s="1" t="inlineStr">
        <is>
          <t>JUNIO</t>
        </is>
      </c>
      <c r="G698" s="1" t="inlineStr">
        <is>
          <t>HAIFENG</t>
        </is>
      </c>
      <c r="H698" s="1" t="inlineStr">
        <is>
          <t>HAIFENG 16/06/2026</t>
        </is>
      </c>
      <c r="I698" s="4" t="n">
        <v>3</v>
      </c>
      <c r="J698" s="6" t="n">
        <v>1.8</v>
      </c>
      <c r="K698" s="6" t="n">
        <v>37.82629163</v>
      </c>
      <c r="L698" s="6">
        <f>I698*K698</f>
        <v/>
      </c>
      <c r="M698" s="6">
        <f>K698*4</f>
        <v/>
      </c>
      <c r="N698" s="6" t="n">
        <v>400</v>
      </c>
    </row>
    <row r="699">
      <c r="A699" s="1" t="inlineStr">
        <is>
          <t>2653021483532</t>
        </is>
      </c>
      <c r="B699" s="1" t="inlineStr">
        <is>
          <t>ANILLO LOVE GOLD ANCHO</t>
        </is>
      </c>
      <c r="C699" s="1" t="inlineStr">
        <is>
          <t>7</t>
        </is>
      </c>
      <c r="D699" s="1" t="inlineStr">
        <is>
          <t>25/09/2025</t>
        </is>
      </c>
      <c r="E699" s="1" t="n">
        <v>2025</v>
      </c>
      <c r="F699" s="1" t="inlineStr">
        <is>
          <t>SEPTIEMBRE</t>
        </is>
      </c>
      <c r="G699" s="1" t="inlineStr">
        <is>
          <t>HAIFENG</t>
        </is>
      </c>
      <c r="H699" s="1" t="inlineStr">
        <is>
          <t>HAIFENG 25/09/2025</t>
        </is>
      </c>
      <c r="I699" s="4" t="n">
        <v>2</v>
      </c>
      <c r="J699" s="6" t="n">
        <v>1.8</v>
      </c>
      <c r="K699" s="6" t="n">
        <v>37.97439438</v>
      </c>
      <c r="L699" s="6">
        <f>I699*K699</f>
        <v/>
      </c>
      <c r="M699" s="6">
        <f>K699*4</f>
        <v/>
      </c>
      <c r="N699" s="6" t="n">
        <v>400</v>
      </c>
    </row>
    <row r="700">
      <c r="A700" s="1" t="inlineStr">
        <is>
          <t>2653021483532</t>
        </is>
      </c>
      <c r="B700" s="1" t="inlineStr">
        <is>
          <t>ANILLO LOVE GOLD ANCHO</t>
        </is>
      </c>
      <c r="C700" s="1" t="inlineStr">
        <is>
          <t>7</t>
        </is>
      </c>
      <c r="D700" s="1" t="inlineStr">
        <is>
          <t>11/11/2025</t>
        </is>
      </c>
      <c r="E700" s="1" t="n">
        <v>2025</v>
      </c>
      <c r="F700" s="1" t="inlineStr">
        <is>
          <t>NOVIEMBRE</t>
        </is>
      </c>
      <c r="G700" s="1" t="inlineStr">
        <is>
          <t>HAIFENG</t>
        </is>
      </c>
      <c r="H700" s="1" t="inlineStr">
        <is>
          <t>HAIFENG 11/11/2025</t>
        </is>
      </c>
      <c r="I700" s="4" t="n">
        <v>1</v>
      </c>
      <c r="J700" s="6" t="n">
        <v>1.8</v>
      </c>
      <c r="K700" s="6" t="n">
        <v>37.9088972</v>
      </c>
      <c r="L700" s="6">
        <f>I700*K700</f>
        <v/>
      </c>
      <c r="M700" s="6">
        <f>K700*4</f>
        <v/>
      </c>
      <c r="N700" s="6" t="n">
        <v>400</v>
      </c>
    </row>
    <row r="701">
      <c r="A701" s="1" t="inlineStr">
        <is>
          <t>2653021483532</t>
        </is>
      </c>
      <c r="B701" s="1" t="inlineStr">
        <is>
          <t>ANILLO LOVE GOLD ANCHO</t>
        </is>
      </c>
      <c r="C701" s="1" t="inlineStr">
        <is>
          <t>7</t>
        </is>
      </c>
      <c r="D701" s="1" t="inlineStr">
        <is>
          <t>03/12/2025</t>
        </is>
      </c>
      <c r="E701" s="1" t="n">
        <v>2025</v>
      </c>
      <c r="F701" s="1" t="inlineStr">
        <is>
          <t>DICIEMBRE</t>
        </is>
      </c>
      <c r="G701" s="1" t="inlineStr">
        <is>
          <t>HAIFENG</t>
        </is>
      </c>
      <c r="H701" s="1" t="inlineStr">
        <is>
          <t>HAIFENG 03/12/2025</t>
        </is>
      </c>
      <c r="I701" s="4" t="n">
        <v>4</v>
      </c>
      <c r="J701" s="6" t="n">
        <v>1.8</v>
      </c>
      <c r="K701" s="6" t="n">
        <v>37.65088802</v>
      </c>
      <c r="L701" s="6">
        <f>I701*K701</f>
        <v/>
      </c>
      <c r="M701" s="6">
        <f>K701*4</f>
        <v/>
      </c>
      <c r="N701" s="6" t="n">
        <v>400</v>
      </c>
    </row>
    <row r="702">
      <c r="A702" s="1" t="inlineStr">
        <is>
          <t>2653021483532</t>
        </is>
      </c>
      <c r="B702" s="1" t="inlineStr">
        <is>
          <t>ANILLO LOVE GOLD ANCHO</t>
        </is>
      </c>
      <c r="C702" s="1" t="inlineStr">
        <is>
          <t>7</t>
        </is>
      </c>
      <c r="D702" s="1" t="inlineStr">
        <is>
          <t>20/01/2026</t>
        </is>
      </c>
      <c r="E702" s="1" t="n">
        <v>2026</v>
      </c>
      <c r="F702" s="1" t="inlineStr">
        <is>
          <t>ENERO</t>
        </is>
      </c>
      <c r="G702" s="1" t="inlineStr">
        <is>
          <t>HAIFENG</t>
        </is>
      </c>
      <c r="H702" s="1" t="inlineStr">
        <is>
          <t>HAIFENG 20/01/2026</t>
        </is>
      </c>
      <c r="I702" s="4" t="n">
        <v>6</v>
      </c>
      <c r="J702" s="6" t="n">
        <v>1.8</v>
      </c>
      <c r="K702" s="6" t="n">
        <v>38.16075203</v>
      </c>
      <c r="L702" s="6">
        <f>I702*K702</f>
        <v/>
      </c>
      <c r="M702" s="6">
        <f>K702*4</f>
        <v/>
      </c>
      <c r="N702" s="6" t="n">
        <v>400</v>
      </c>
    </row>
    <row r="703">
      <c r="A703" s="1" t="inlineStr">
        <is>
          <t>2653021483532</t>
        </is>
      </c>
      <c r="B703" s="1" t="inlineStr">
        <is>
          <t>ANILLO LOVE GOLD ANCHO (WIDHT WITHOUT ZIRCONIAS)</t>
        </is>
      </c>
      <c r="C703" s="1" t="inlineStr">
        <is>
          <t>7</t>
        </is>
      </c>
      <c r="D703" s="1" t="inlineStr">
        <is>
          <t>16/04/2026</t>
        </is>
      </c>
      <c r="E703" s="1" t="n">
        <v>2026</v>
      </c>
      <c r="F703" s="1" t="inlineStr">
        <is>
          <t>ABRIL</t>
        </is>
      </c>
      <c r="G703" s="1" t="inlineStr">
        <is>
          <t>HAIFENG</t>
        </is>
      </c>
      <c r="H703" s="1" t="inlineStr">
        <is>
          <t>HAIFENG 16/04/2026</t>
        </is>
      </c>
      <c r="I703" s="4" t="n">
        <v>5</v>
      </c>
      <c r="J703" s="6" t="n">
        <v>1.8</v>
      </c>
      <c r="K703" s="6" t="n">
        <v>37.85665246</v>
      </c>
      <c r="L703" s="6">
        <f>I703*K703</f>
        <v/>
      </c>
      <c r="M703" s="6">
        <f>K703*4</f>
        <v/>
      </c>
      <c r="N703" s="6" t="n">
        <v>400</v>
      </c>
    </row>
    <row r="704">
      <c r="A704" s="1" t="inlineStr">
        <is>
          <t>2653021516300</t>
        </is>
      </c>
      <c r="B704" s="1" t="inlineStr">
        <is>
          <t>ANILLO LOVE GOLD ANCHO</t>
        </is>
      </c>
      <c r="C704" s="1" t="inlineStr">
        <is>
          <t>8</t>
        </is>
      </c>
      <c r="D704" s="1" t="inlineStr">
        <is>
          <t>25/09/2025</t>
        </is>
      </c>
      <c r="E704" s="1" t="n">
        <v>2025</v>
      </c>
      <c r="F704" s="1" t="inlineStr">
        <is>
          <t>SEPTIEMBRE</t>
        </is>
      </c>
      <c r="G704" s="1" t="inlineStr">
        <is>
          <t>HAIFENG</t>
        </is>
      </c>
      <c r="H704" s="1" t="inlineStr">
        <is>
          <t>HAIFENG 25/09/2025</t>
        </is>
      </c>
      <c r="I704" s="4" t="n">
        <v>4</v>
      </c>
      <c r="J704" s="6" t="n">
        <v>1.8</v>
      </c>
      <c r="K704" s="6" t="n">
        <v>37.97439438</v>
      </c>
      <c r="L704" s="6">
        <f>I704*K704</f>
        <v/>
      </c>
      <c r="M704" s="6">
        <f>K704*4</f>
        <v/>
      </c>
      <c r="N704" s="6" t="n">
        <v>400</v>
      </c>
    </row>
    <row r="705">
      <c r="A705" s="1" t="inlineStr">
        <is>
          <t>2653021516300</t>
        </is>
      </c>
      <c r="B705" s="1" t="inlineStr">
        <is>
          <t>ANILLO LOVE GOLD ANCHO</t>
        </is>
      </c>
      <c r="C705" s="1" t="inlineStr">
        <is>
          <t>8</t>
        </is>
      </c>
      <c r="D705" s="1" t="inlineStr">
        <is>
          <t>11/11/2025</t>
        </is>
      </c>
      <c r="E705" s="1" t="n">
        <v>2025</v>
      </c>
      <c r="F705" s="1" t="inlineStr">
        <is>
          <t>NOVIEMBRE</t>
        </is>
      </c>
      <c r="G705" s="1" t="inlineStr">
        <is>
          <t>HAIFENG</t>
        </is>
      </c>
      <c r="H705" s="1" t="inlineStr">
        <is>
          <t>HAIFENG 11/11/2025</t>
        </is>
      </c>
      <c r="I705" s="4" t="n">
        <v>2</v>
      </c>
      <c r="J705" s="6" t="n">
        <v>1.8</v>
      </c>
      <c r="K705" s="6" t="n">
        <v>37.9088972</v>
      </c>
      <c r="L705" s="6">
        <f>I705*K705</f>
        <v/>
      </c>
      <c r="M705" s="6">
        <f>K705*4</f>
        <v/>
      </c>
      <c r="N705" s="6" t="n">
        <v>400</v>
      </c>
    </row>
    <row r="706">
      <c r="A706" s="1" t="inlineStr">
        <is>
          <t>2653021516300</t>
        </is>
      </c>
      <c r="B706" s="1" t="inlineStr">
        <is>
          <t>ANILLO LOVE GOLD ANCHO</t>
        </is>
      </c>
      <c r="C706" s="1" t="inlineStr">
        <is>
          <t>8</t>
        </is>
      </c>
      <c r="D706" s="1" t="inlineStr">
        <is>
          <t>03/12/2025</t>
        </is>
      </c>
      <c r="E706" s="1" t="n">
        <v>2025</v>
      </c>
      <c r="F706" s="1" t="inlineStr">
        <is>
          <t>DICIEMBRE</t>
        </is>
      </c>
      <c r="G706" s="1" t="inlineStr">
        <is>
          <t>HAIFENG</t>
        </is>
      </c>
      <c r="H706" s="1" t="inlineStr">
        <is>
          <t>HAIFENG 03/12/2025</t>
        </is>
      </c>
      <c r="I706" s="4" t="n">
        <v>1</v>
      </c>
      <c r="J706" s="6" t="n">
        <v>1.8</v>
      </c>
      <c r="K706" s="6" t="n">
        <v>37.65088802</v>
      </c>
      <c r="L706" s="6">
        <f>I706*K706</f>
        <v/>
      </c>
      <c r="M706" s="6">
        <f>K706*4</f>
        <v/>
      </c>
      <c r="N706" s="6" t="n">
        <v>400</v>
      </c>
    </row>
    <row r="707">
      <c r="A707" s="1" t="inlineStr">
        <is>
          <t>2653021516300</t>
        </is>
      </c>
      <c r="B707" s="1" t="inlineStr">
        <is>
          <t>ANILLO LOVE GOLD ANCHO</t>
        </is>
      </c>
      <c r="C707" s="1" t="inlineStr">
        <is>
          <t>8</t>
        </is>
      </c>
      <c r="D707" s="1" t="inlineStr">
        <is>
          <t>20/01/2026</t>
        </is>
      </c>
      <c r="E707" s="1" t="n">
        <v>2026</v>
      </c>
      <c r="F707" s="1" t="inlineStr">
        <is>
          <t>ENERO</t>
        </is>
      </c>
      <c r="G707" s="1" t="inlineStr">
        <is>
          <t>HAIFENG</t>
        </is>
      </c>
      <c r="H707" s="1" t="inlineStr">
        <is>
          <t>HAIFENG 20/01/2026</t>
        </is>
      </c>
      <c r="I707" s="4" t="n">
        <v>3</v>
      </c>
      <c r="J707" s="6" t="n">
        <v>1.8</v>
      </c>
      <c r="K707" s="6" t="n">
        <v>38.16075203</v>
      </c>
      <c r="L707" s="6">
        <f>I707*K707</f>
        <v/>
      </c>
      <c r="M707" s="6">
        <f>K707*4</f>
        <v/>
      </c>
      <c r="N707" s="6" t="n">
        <v>400</v>
      </c>
    </row>
    <row r="708">
      <c r="A708" s="1" t="inlineStr">
        <is>
          <t>2653021516300</t>
        </is>
      </c>
      <c r="B708" s="1" t="inlineStr">
        <is>
          <t>ANILLO LOVE GOLD ANCHO</t>
        </is>
      </c>
      <c r="C708" s="1" t="inlineStr">
        <is>
          <t>8</t>
        </is>
      </c>
      <c r="D708" s="1" t="inlineStr">
        <is>
          <t>06/05/2026</t>
        </is>
      </c>
      <c r="E708" s="1" t="n">
        <v>2026</v>
      </c>
      <c r="F708" s="1" t="inlineStr">
        <is>
          <t>MAYO</t>
        </is>
      </c>
      <c r="G708" s="1" t="inlineStr">
        <is>
          <t>HAIFENG</t>
        </is>
      </c>
      <c r="H708" s="1" t="inlineStr">
        <is>
          <t>HAIFENG 06/05/2026</t>
        </is>
      </c>
      <c r="I708" s="4" t="n">
        <v>2</v>
      </c>
      <c r="J708" s="6" t="n">
        <v>1.8</v>
      </c>
      <c r="K708" s="6" t="n">
        <v>38.19355608</v>
      </c>
      <c r="L708" s="6">
        <f>I708*K708</f>
        <v/>
      </c>
      <c r="M708" s="6">
        <f>K708*4</f>
        <v/>
      </c>
      <c r="N708" s="6" t="n">
        <v>400</v>
      </c>
    </row>
    <row r="709">
      <c r="A709" s="1" t="inlineStr">
        <is>
          <t>2653021516300</t>
        </is>
      </c>
      <c r="B709" s="1" t="inlineStr">
        <is>
          <t>ANILLO LOVE GOLD ANCHO (WIDE)</t>
        </is>
      </c>
      <c r="C709" s="1" t="inlineStr">
        <is>
          <t>8</t>
        </is>
      </c>
      <c r="D709" s="1" t="inlineStr">
        <is>
          <t>16/06/2026</t>
        </is>
      </c>
      <c r="E709" s="1" t="n">
        <v>2026</v>
      </c>
      <c r="F709" s="1" t="inlineStr">
        <is>
          <t>JUNIO</t>
        </is>
      </c>
      <c r="G709" s="1" t="inlineStr">
        <is>
          <t>HAIFENG</t>
        </is>
      </c>
      <c r="H709" s="1" t="inlineStr">
        <is>
          <t>HAIFENG 16/06/2026</t>
        </is>
      </c>
      <c r="I709" s="4" t="n">
        <v>3</v>
      </c>
      <c r="J709" s="6" t="n">
        <v>1.8</v>
      </c>
      <c r="K709" s="6" t="n">
        <v>37.82629163</v>
      </c>
      <c r="L709" s="6">
        <f>I709*K709</f>
        <v/>
      </c>
      <c r="M709" s="6">
        <f>K709*4</f>
        <v/>
      </c>
      <c r="N709" s="6" t="n">
        <v>400</v>
      </c>
    </row>
    <row r="710">
      <c r="A710" s="1" t="inlineStr">
        <is>
          <t>2653021549068</t>
        </is>
      </c>
      <c r="B710" s="1" t="inlineStr">
        <is>
          <t>ANILLO LOVE GOLD ANCHO</t>
        </is>
      </c>
      <c r="C710" s="1" t="inlineStr">
        <is>
          <t>9</t>
        </is>
      </c>
      <c r="D710" s="1" t="inlineStr">
        <is>
          <t>25/09/2025</t>
        </is>
      </c>
      <c r="E710" s="1" t="n">
        <v>2025</v>
      </c>
      <c r="F710" s="1" t="inlineStr">
        <is>
          <t>SEPTIEMBRE</t>
        </is>
      </c>
      <c r="G710" s="1" t="inlineStr">
        <is>
          <t>HAIFENG</t>
        </is>
      </c>
      <c r="H710" s="1" t="inlineStr">
        <is>
          <t>HAIFENG 25/09/2025</t>
        </is>
      </c>
      <c r="I710" s="4" t="n">
        <v>2</v>
      </c>
      <c r="J710" s="6" t="n">
        <v>1.8</v>
      </c>
      <c r="K710" s="6" t="n">
        <v>37.97439438</v>
      </c>
      <c r="L710" s="6">
        <f>I710*K710</f>
        <v/>
      </c>
      <c r="M710" s="6">
        <f>K710*4</f>
        <v/>
      </c>
      <c r="N710" s="6" t="n">
        <v>400</v>
      </c>
    </row>
    <row r="711">
      <c r="A711" s="1" t="inlineStr">
        <is>
          <t>2653021549068</t>
        </is>
      </c>
      <c r="B711" s="1" t="inlineStr">
        <is>
          <t>ANILLO LOVE GOLD ANCHO</t>
        </is>
      </c>
      <c r="C711" s="1" t="inlineStr">
        <is>
          <t>9</t>
        </is>
      </c>
      <c r="D711" s="1" t="inlineStr">
        <is>
          <t>11/11/2025</t>
        </is>
      </c>
      <c r="E711" s="1" t="n">
        <v>2025</v>
      </c>
      <c r="F711" s="1" t="inlineStr">
        <is>
          <t>NOVIEMBRE</t>
        </is>
      </c>
      <c r="G711" s="1" t="inlineStr">
        <is>
          <t>HAIFENG</t>
        </is>
      </c>
      <c r="H711" s="1" t="inlineStr">
        <is>
          <t>HAIFENG 11/11/2025</t>
        </is>
      </c>
      <c r="I711" s="4" t="n">
        <v>1</v>
      </c>
      <c r="J711" s="6" t="n">
        <v>1.8</v>
      </c>
      <c r="K711" s="6" t="n">
        <v>37.9088972</v>
      </c>
      <c r="L711" s="6">
        <f>I711*K711</f>
        <v/>
      </c>
      <c r="M711" s="6">
        <f>K711*4</f>
        <v/>
      </c>
      <c r="N711" s="6" t="n">
        <v>400</v>
      </c>
    </row>
    <row r="712">
      <c r="A712" s="1" t="inlineStr">
        <is>
          <t>2653021549068</t>
        </is>
      </c>
      <c r="B712" s="1" t="inlineStr">
        <is>
          <t>ANILLO LOVE GOLD ANCHO</t>
        </is>
      </c>
      <c r="C712" s="1" t="inlineStr">
        <is>
          <t>9</t>
        </is>
      </c>
      <c r="D712" s="1" t="inlineStr">
        <is>
          <t>20/01/2026</t>
        </is>
      </c>
      <c r="E712" s="1" t="n">
        <v>2026</v>
      </c>
      <c r="F712" s="1" t="inlineStr">
        <is>
          <t>ENERO</t>
        </is>
      </c>
      <c r="G712" s="1" t="inlineStr">
        <is>
          <t>HAIFENG</t>
        </is>
      </c>
      <c r="H712" s="1" t="inlineStr">
        <is>
          <t>HAIFENG 20/01/2026</t>
        </is>
      </c>
      <c r="I712" s="4" t="n">
        <v>6</v>
      </c>
      <c r="J712" s="6" t="n">
        <v>1.8</v>
      </c>
      <c r="K712" s="6" t="n">
        <v>38.16075203</v>
      </c>
      <c r="L712" s="6">
        <f>I712*K712</f>
        <v/>
      </c>
      <c r="M712" s="6">
        <f>K712*4</f>
        <v/>
      </c>
      <c r="N712" s="6" t="n">
        <v>400</v>
      </c>
    </row>
    <row r="713">
      <c r="A713" s="1" t="inlineStr">
        <is>
          <t>2653021549068</t>
        </is>
      </c>
      <c r="B713" s="1" t="inlineStr">
        <is>
          <t>ANILLO LOVE GOLD ANCHO (WIDHT WITHOUT ZIRCONIAS)</t>
        </is>
      </c>
      <c r="C713" s="1" t="inlineStr">
        <is>
          <t>9</t>
        </is>
      </c>
      <c r="D713" s="1" t="inlineStr">
        <is>
          <t>16/04/2026</t>
        </is>
      </c>
      <c r="E713" s="1" t="n">
        <v>2026</v>
      </c>
      <c r="F713" s="1" t="inlineStr">
        <is>
          <t>ABRIL</t>
        </is>
      </c>
      <c r="G713" s="1" t="inlineStr">
        <is>
          <t>HAIFENG</t>
        </is>
      </c>
      <c r="H713" s="1" t="inlineStr">
        <is>
          <t>HAIFENG 16/04/2026</t>
        </is>
      </c>
      <c r="I713" s="4" t="n">
        <v>3</v>
      </c>
      <c r="J713" s="6" t="n">
        <v>1.8</v>
      </c>
      <c r="K713" s="6" t="n">
        <v>37.85665246</v>
      </c>
      <c r="L713" s="6">
        <f>I713*K713</f>
        <v/>
      </c>
      <c r="M713" s="6">
        <f>K713*4</f>
        <v/>
      </c>
      <c r="N713" s="6" t="n">
        <v>400</v>
      </c>
    </row>
    <row r="714">
      <c r="A714" s="1" t="inlineStr">
        <is>
          <t>2653021549068</t>
        </is>
      </c>
      <c r="B714" s="1" t="inlineStr">
        <is>
          <t>ANILLO LOVE GOLD ANCHO (WIDE)</t>
        </is>
      </c>
      <c r="C714" s="1" t="inlineStr">
        <is>
          <t>9</t>
        </is>
      </c>
      <c r="D714" s="1" t="inlineStr">
        <is>
          <t>16/06/2026</t>
        </is>
      </c>
      <c r="E714" s="1" t="n">
        <v>2026</v>
      </c>
      <c r="F714" s="1" t="inlineStr">
        <is>
          <t>JUNIO</t>
        </is>
      </c>
      <c r="G714" s="1" t="inlineStr">
        <is>
          <t>HAIFENG</t>
        </is>
      </c>
      <c r="H714" s="1" t="inlineStr">
        <is>
          <t>HAIFENG 16/06/2026</t>
        </is>
      </c>
      <c r="I714" s="4" t="n">
        <v>3</v>
      </c>
      <c r="J714" s="6" t="n">
        <v>1.8</v>
      </c>
      <c r="K714" s="6" t="n">
        <v>37.82629163</v>
      </c>
      <c r="L714" s="6">
        <f>I714*K714</f>
        <v/>
      </c>
      <c r="M714" s="6">
        <f>K714*4</f>
        <v/>
      </c>
      <c r="N714" s="6" t="n">
        <v>400</v>
      </c>
    </row>
    <row r="715">
      <c r="A715" s="1" t="inlineStr">
        <is>
          <t>2653021581836</t>
        </is>
      </c>
      <c r="B715" s="1" t="inlineStr">
        <is>
          <t>ANILLO LOVE GOLD ANCHO</t>
        </is>
      </c>
      <c r="C715" s="1" t="inlineStr">
        <is>
          <t>10</t>
        </is>
      </c>
      <c r="D715" s="1" t="inlineStr">
        <is>
          <t>25/09/2025</t>
        </is>
      </c>
      <c r="E715" s="1" t="n">
        <v>2025</v>
      </c>
      <c r="F715" s="1" t="inlineStr">
        <is>
          <t>SEPTIEMBRE</t>
        </is>
      </c>
      <c r="G715" s="1" t="inlineStr">
        <is>
          <t>HAIFENG</t>
        </is>
      </c>
      <c r="H715" s="1" t="inlineStr">
        <is>
          <t>HAIFENG 25/09/2025</t>
        </is>
      </c>
      <c r="I715" s="4" t="n">
        <v>1</v>
      </c>
      <c r="J715" s="6" t="n">
        <v>1.8</v>
      </c>
      <c r="K715" s="6" t="n">
        <v>37.97439438</v>
      </c>
      <c r="L715" s="6">
        <f>I715*K715</f>
        <v/>
      </c>
      <c r="M715" s="6">
        <f>K715*4</f>
        <v/>
      </c>
      <c r="N715" s="6" t="n">
        <v>400</v>
      </c>
    </row>
    <row r="716">
      <c r="A716" s="1" t="inlineStr">
        <is>
          <t>2653021581836</t>
        </is>
      </c>
      <c r="B716" s="1" t="inlineStr">
        <is>
          <t>ANILLO LOVE GOLD ANCHO</t>
        </is>
      </c>
      <c r="C716" s="1" t="inlineStr">
        <is>
          <t>10</t>
        </is>
      </c>
      <c r="D716" s="1" t="inlineStr">
        <is>
          <t>20/01/2026</t>
        </is>
      </c>
      <c r="E716" s="1" t="n">
        <v>2026</v>
      </c>
      <c r="F716" s="1" t="inlineStr">
        <is>
          <t>ENERO</t>
        </is>
      </c>
      <c r="G716" s="1" t="inlineStr">
        <is>
          <t>HAIFENG</t>
        </is>
      </c>
      <c r="H716" s="1" t="inlineStr">
        <is>
          <t>HAIFENG 20/01/2026</t>
        </is>
      </c>
      <c r="I716" s="4" t="n">
        <v>1</v>
      </c>
      <c r="J716" s="6" t="n">
        <v>1.8</v>
      </c>
      <c r="K716" s="6" t="n">
        <v>38.16075203</v>
      </c>
      <c r="L716" s="6">
        <f>I716*K716</f>
        <v/>
      </c>
      <c r="M716" s="6">
        <f>K716*4</f>
        <v/>
      </c>
      <c r="N716" s="6" t="n">
        <v>400</v>
      </c>
    </row>
    <row r="717">
      <c r="A717" s="1" t="inlineStr">
        <is>
          <t>2653021581836</t>
        </is>
      </c>
      <c r="B717" s="1" t="inlineStr">
        <is>
          <t>ANILLO LOVE GOLD ANCHO</t>
        </is>
      </c>
      <c r="C717" s="1" t="inlineStr">
        <is>
          <t>10</t>
        </is>
      </c>
      <c r="D717" s="1" t="inlineStr">
        <is>
          <t>06/05/2026</t>
        </is>
      </c>
      <c r="E717" s="1" t="n">
        <v>2026</v>
      </c>
      <c r="F717" s="1" t="inlineStr">
        <is>
          <t>MAYO</t>
        </is>
      </c>
      <c r="G717" s="1" t="inlineStr">
        <is>
          <t>HAIFENG</t>
        </is>
      </c>
      <c r="H717" s="1" t="inlineStr">
        <is>
          <t>HAIFENG 06/05/2026</t>
        </is>
      </c>
      <c r="I717" s="4" t="n">
        <v>2</v>
      </c>
      <c r="J717" s="6" t="n">
        <v>1.8</v>
      </c>
      <c r="K717" s="6" t="n">
        <v>38.19355608</v>
      </c>
      <c r="L717" s="6">
        <f>I717*K717</f>
        <v/>
      </c>
      <c r="M717" s="6">
        <f>K717*4</f>
        <v/>
      </c>
      <c r="N717" s="6" t="n">
        <v>400</v>
      </c>
    </row>
    <row r="718">
      <c r="A718" s="1" t="inlineStr">
        <is>
          <t>2653021614604</t>
        </is>
      </c>
      <c r="B718" s="1" t="inlineStr">
        <is>
          <t>ANILLO LOVE GOLD ANCHO</t>
        </is>
      </c>
      <c r="C718" s="1" t="inlineStr">
        <is>
          <t>11</t>
        </is>
      </c>
      <c r="D718" s="1" t="inlineStr">
        <is>
          <t>01/09/2025</t>
        </is>
      </c>
      <c r="E718" s="1" t="n">
        <v>2025</v>
      </c>
      <c r="F718" s="1" t="inlineStr">
        <is>
          <t>SEPTIEMBRE</t>
        </is>
      </c>
      <c r="G718" s="1" t="inlineStr">
        <is>
          <t>HAIFENG</t>
        </is>
      </c>
      <c r="H718" s="1" t="inlineStr">
        <is>
          <t>HAIFENG 01/09/2025</t>
        </is>
      </c>
      <c r="I718" s="4" t="n">
        <v>3</v>
      </c>
      <c r="J718" s="6" t="n">
        <v>1.8</v>
      </c>
      <c r="K718" s="6" t="n">
        <v>38.26020791</v>
      </c>
      <c r="L718" s="6">
        <f>I718*K718</f>
        <v/>
      </c>
      <c r="M718" s="6">
        <f>K718*4</f>
        <v/>
      </c>
      <c r="N718" s="6" t="n">
        <v>400</v>
      </c>
    </row>
    <row r="719">
      <c r="A719" s="1" t="inlineStr">
        <is>
          <t>2653021614604</t>
        </is>
      </c>
      <c r="B719" s="1" t="inlineStr">
        <is>
          <t>ANILLO LOVE GOLD ANCHO</t>
        </is>
      </c>
      <c r="C719" s="1" t="inlineStr">
        <is>
          <t>11</t>
        </is>
      </c>
      <c r="D719" s="1" t="inlineStr">
        <is>
          <t>20/01/2026</t>
        </is>
      </c>
      <c r="E719" s="1" t="n">
        <v>2026</v>
      </c>
      <c r="F719" s="1" t="inlineStr">
        <is>
          <t>ENERO</t>
        </is>
      </c>
      <c r="G719" s="1" t="inlineStr">
        <is>
          <t>HAIFENG</t>
        </is>
      </c>
      <c r="H719" s="1" t="inlineStr">
        <is>
          <t>HAIFENG 20/01/2026</t>
        </is>
      </c>
      <c r="I719" s="4" t="n">
        <v>6</v>
      </c>
      <c r="J719" s="6" t="n">
        <v>1.8</v>
      </c>
      <c r="K719" s="6" t="n">
        <v>38.16075203</v>
      </c>
      <c r="L719" s="6">
        <f>I719*K719</f>
        <v/>
      </c>
      <c r="M719" s="6">
        <f>K719*4</f>
        <v/>
      </c>
      <c r="N719" s="6" t="n">
        <v>400</v>
      </c>
    </row>
    <row r="720">
      <c r="A720" s="1" t="inlineStr">
        <is>
          <t>2653021614604</t>
        </is>
      </c>
      <c r="B720" s="1" t="inlineStr">
        <is>
          <t>ANILLO LOVE GOLD ANCHO</t>
        </is>
      </c>
      <c r="C720" s="1" t="inlineStr">
        <is>
          <t>11</t>
        </is>
      </c>
      <c r="D720" s="1" t="inlineStr">
        <is>
          <t>06/05/2026</t>
        </is>
      </c>
      <c r="E720" s="1" t="n">
        <v>2026</v>
      </c>
      <c r="F720" s="1" t="inlineStr">
        <is>
          <t>MAYO</t>
        </is>
      </c>
      <c r="G720" s="1" t="inlineStr">
        <is>
          <t>HAIFENG</t>
        </is>
      </c>
      <c r="H720" s="1" t="inlineStr">
        <is>
          <t>HAIFENG 06/05/2026</t>
        </is>
      </c>
      <c r="I720" s="4" t="n">
        <v>2</v>
      </c>
      <c r="J720" s="6" t="n">
        <v>1.8</v>
      </c>
      <c r="K720" s="6" t="n">
        <v>38.19355608</v>
      </c>
      <c r="L720" s="6">
        <f>I720*K720</f>
        <v/>
      </c>
      <c r="M720" s="6">
        <f>K720*4</f>
        <v/>
      </c>
      <c r="N720" s="6" t="n">
        <v>400</v>
      </c>
    </row>
    <row r="721">
      <c r="A721" s="1" t="inlineStr">
        <is>
          <t>2653021614604</t>
        </is>
      </c>
      <c r="B721" s="1" t="inlineStr">
        <is>
          <t>ANILLO LOVE GOLD ANCHO</t>
        </is>
      </c>
      <c r="C721" s="1" t="inlineStr">
        <is>
          <t>11</t>
        </is>
      </c>
      <c r="D721" s="1" t="inlineStr">
        <is>
          <t>26/05/2026</t>
        </is>
      </c>
      <c r="E721" s="1" t="n">
        <v>2026</v>
      </c>
      <c r="F721" s="1" t="inlineStr">
        <is>
          <t>MAYO</t>
        </is>
      </c>
      <c r="G721" s="1" t="inlineStr">
        <is>
          <t>HAIFENG</t>
        </is>
      </c>
      <c r="H721" s="1" t="inlineStr">
        <is>
          <t>HAIFENG 26/05/2026</t>
        </is>
      </c>
      <c r="I721" s="4" t="n">
        <v>3</v>
      </c>
      <c r="J721" s="6" t="n">
        <v>1.8</v>
      </c>
      <c r="K721" s="6" t="n">
        <v>37.78073153</v>
      </c>
      <c r="L721" s="6">
        <f>I721*K721</f>
        <v/>
      </c>
      <c r="M721" s="6">
        <f>K721*4</f>
        <v/>
      </c>
      <c r="N721" s="6" t="n">
        <v>400</v>
      </c>
    </row>
    <row r="722">
      <c r="A722" s="1" t="inlineStr">
        <is>
          <t>2653025069708</t>
        </is>
      </c>
      <c r="B722" s="1" t="inlineStr">
        <is>
          <t>ANILLO TREBOL GOLD WHITE</t>
        </is>
      </c>
      <c r="C722" s="1" t="n"/>
      <c r="D722" s="1" t="inlineStr">
        <is>
          <t>08/05/2026</t>
        </is>
      </c>
      <c r="E722" s="1" t="n">
        <v>2026</v>
      </c>
      <c r="F722" s="1" t="inlineStr">
        <is>
          <t>MAYO</t>
        </is>
      </c>
      <c r="G722" s="1" t="inlineStr">
        <is>
          <t>NANCY</t>
        </is>
      </c>
      <c r="H722" s="1" t="inlineStr">
        <is>
          <t>NANCY 08/05/2026</t>
        </is>
      </c>
      <c r="I722" s="4" t="n">
        <v>2</v>
      </c>
      <c r="J722" s="6" t="n">
        <v>5.59</v>
      </c>
      <c r="K722" s="6" t="n">
        <v>132.2468818</v>
      </c>
      <c r="L722" s="6">
        <f>I722*K722</f>
        <v/>
      </c>
      <c r="M722" s="6">
        <f>K722*4</f>
        <v/>
      </c>
      <c r="N722" s="6" t="n"/>
    </row>
    <row r="723">
      <c r="A723" s="1" t="inlineStr">
        <is>
          <t>2653026071052</t>
        </is>
      </c>
      <c r="B723" s="1" t="inlineStr">
        <is>
          <t>ANILLO LOVE SILVER ANCHO</t>
        </is>
      </c>
      <c r="C723" s="1" t="inlineStr">
        <is>
          <t>5</t>
        </is>
      </c>
      <c r="D723" s="1" t="inlineStr">
        <is>
          <t>06/05/2026</t>
        </is>
      </c>
      <c r="E723" s="1" t="n">
        <v>2026</v>
      </c>
      <c r="F723" s="1" t="inlineStr">
        <is>
          <t>MAYO</t>
        </is>
      </c>
      <c r="G723" s="1" t="inlineStr">
        <is>
          <t>HAIFENG</t>
        </is>
      </c>
      <c r="H723" s="1" t="inlineStr">
        <is>
          <t>HAIFENG 06/05/2026</t>
        </is>
      </c>
      <c r="I723" s="4" t="n">
        <v>2</v>
      </c>
      <c r="J723" s="6" t="n">
        <v>1.8</v>
      </c>
      <c r="K723" s="6" t="n">
        <v>38.19355608</v>
      </c>
      <c r="L723" s="6">
        <f>I723*K723</f>
        <v/>
      </c>
      <c r="M723" s="6">
        <f>K723*4</f>
        <v/>
      </c>
      <c r="N723" s="6" t="n">
        <v>400</v>
      </c>
    </row>
    <row r="724">
      <c r="A724" s="1" t="inlineStr">
        <is>
          <t>2653026103820</t>
        </is>
      </c>
      <c r="B724" s="1" t="inlineStr">
        <is>
          <t>ANILLO LOVE SILVER ANCHO</t>
        </is>
      </c>
      <c r="C724" s="1" t="inlineStr">
        <is>
          <t>6</t>
        </is>
      </c>
      <c r="D724" s="1" t="inlineStr">
        <is>
          <t>11/03/2026</t>
        </is>
      </c>
      <c r="E724" s="1" t="n">
        <v>2026</v>
      </c>
      <c r="F724" s="1" t="inlineStr">
        <is>
          <t>MARZO</t>
        </is>
      </c>
      <c r="G724" s="1" t="inlineStr">
        <is>
          <t>HAIFENG</t>
        </is>
      </c>
      <c r="H724" s="1" t="inlineStr">
        <is>
          <t>HAIFENG 11/03/2026</t>
        </is>
      </c>
      <c r="I724" s="4" t="n">
        <v>3</v>
      </c>
      <c r="J724" s="6" t="n">
        <v>1.8</v>
      </c>
      <c r="K724" s="6" t="n">
        <v>38.34701319</v>
      </c>
      <c r="L724" s="6">
        <f>I724*K724</f>
        <v/>
      </c>
      <c r="M724" s="6">
        <f>K724*4</f>
        <v/>
      </c>
      <c r="N724" s="6" t="n">
        <v>400</v>
      </c>
    </row>
    <row r="725">
      <c r="A725" s="1" t="inlineStr">
        <is>
          <t>2653026103820</t>
        </is>
      </c>
      <c r="B725" s="1" t="inlineStr">
        <is>
          <t>ANILLO LOVE SILVER ANCHO</t>
        </is>
      </c>
      <c r="C725" s="1" t="inlineStr">
        <is>
          <t>6</t>
        </is>
      </c>
      <c r="D725" s="1" t="inlineStr">
        <is>
          <t>06/05/2026</t>
        </is>
      </c>
      <c r="E725" s="1" t="n">
        <v>2026</v>
      </c>
      <c r="F725" s="1" t="inlineStr">
        <is>
          <t>MAYO</t>
        </is>
      </c>
      <c r="G725" s="1" t="inlineStr">
        <is>
          <t>HAIFENG</t>
        </is>
      </c>
      <c r="H725" s="1" t="inlineStr">
        <is>
          <t>HAIFENG 06/05/2026</t>
        </is>
      </c>
      <c r="I725" s="4" t="n">
        <v>2</v>
      </c>
      <c r="J725" s="6" t="n">
        <v>1.8</v>
      </c>
      <c r="K725" s="6" t="n">
        <v>38.19355608</v>
      </c>
      <c r="L725" s="6">
        <f>I725*K725</f>
        <v/>
      </c>
      <c r="M725" s="6">
        <f>K725*4</f>
        <v/>
      </c>
      <c r="N725" s="6" t="n">
        <v>400</v>
      </c>
    </row>
    <row r="726">
      <c r="A726" s="1" t="inlineStr">
        <is>
          <t>2653026136588</t>
        </is>
      </c>
      <c r="B726" s="1" t="inlineStr">
        <is>
          <t>ANILLO LOVE SILVER ANCHO</t>
        </is>
      </c>
      <c r="C726" s="1" t="inlineStr">
        <is>
          <t>7</t>
        </is>
      </c>
      <c r="D726" s="1" t="inlineStr">
        <is>
          <t>11/03/2026</t>
        </is>
      </c>
      <c r="E726" s="1" t="n">
        <v>2026</v>
      </c>
      <c r="F726" s="1" t="inlineStr">
        <is>
          <t>MARZO</t>
        </is>
      </c>
      <c r="G726" s="1" t="inlineStr">
        <is>
          <t>HAIFENG</t>
        </is>
      </c>
      <c r="H726" s="1" t="inlineStr">
        <is>
          <t>HAIFENG 11/03/2026</t>
        </is>
      </c>
      <c r="I726" s="4" t="n">
        <v>1</v>
      </c>
      <c r="J726" s="6" t="n">
        <v>1.8</v>
      </c>
      <c r="K726" s="6" t="n">
        <v>38.34701319</v>
      </c>
      <c r="L726" s="6">
        <f>I726*K726</f>
        <v/>
      </c>
      <c r="M726" s="6">
        <f>K726*4</f>
        <v/>
      </c>
      <c r="N726" s="6" t="n">
        <v>400</v>
      </c>
    </row>
    <row r="727">
      <c r="A727" s="1" t="inlineStr">
        <is>
          <t>2653026136588</t>
        </is>
      </c>
      <c r="B727" s="1" t="inlineStr">
        <is>
          <t>ANILLO LOVE SILVER ANCHO (WIDHT WIHTOUT ZIRCONIAS)</t>
        </is>
      </c>
      <c r="C727" s="1" t="inlineStr">
        <is>
          <t>7</t>
        </is>
      </c>
      <c r="D727" s="1" t="inlineStr">
        <is>
          <t>16/04/2026</t>
        </is>
      </c>
      <c r="E727" s="1" t="n">
        <v>2026</v>
      </c>
      <c r="F727" s="1" t="inlineStr">
        <is>
          <t>ABRIL</t>
        </is>
      </c>
      <c r="G727" s="1" t="inlineStr">
        <is>
          <t>HAIFENG</t>
        </is>
      </c>
      <c r="H727" s="1" t="inlineStr">
        <is>
          <t>HAIFENG 16/04/2026</t>
        </is>
      </c>
      <c r="I727" s="4" t="n">
        <v>7</v>
      </c>
      <c r="J727" s="6" t="n">
        <v>1.8</v>
      </c>
      <c r="K727" s="6" t="n">
        <v>37.85665246</v>
      </c>
      <c r="L727" s="6">
        <f>I727*K727</f>
        <v/>
      </c>
      <c r="M727" s="6">
        <f>K727*4</f>
        <v/>
      </c>
      <c r="N727" s="6" t="n">
        <v>400</v>
      </c>
    </row>
    <row r="728">
      <c r="A728" s="1" t="inlineStr">
        <is>
          <t>2653027325964</t>
        </is>
      </c>
      <c r="B728" s="1" t="inlineStr">
        <is>
          <t>ANILLO KNOT GOLD</t>
        </is>
      </c>
      <c r="C728" s="1" t="n">
        <v>8</v>
      </c>
      <c r="D728" s="1" t="inlineStr">
        <is>
          <t>01/03/2026</t>
        </is>
      </c>
      <c r="E728" s="1" t="n">
        <v>2026</v>
      </c>
      <c r="F728" s="1" t="inlineStr">
        <is>
          <t>MARZO</t>
        </is>
      </c>
      <c r="G728" s="1" t="inlineStr">
        <is>
          <t>NANCY</t>
        </is>
      </c>
      <c r="H728" s="1" t="inlineStr">
        <is>
          <t>NANCY 01/03/2026</t>
        </is>
      </c>
      <c r="I728" s="4" t="n">
        <v>2</v>
      </c>
      <c r="J728" s="6" t="n">
        <v>5.59</v>
      </c>
      <c r="K728" s="6" t="n">
        <v>141.4477855</v>
      </c>
      <c r="L728" s="6">
        <f>I728*K728</f>
        <v/>
      </c>
      <c r="M728" s="6">
        <f>K728*4</f>
        <v/>
      </c>
      <c r="N728" s="6" t="n">
        <v>480</v>
      </c>
    </row>
    <row r="729">
      <c r="A729" s="1" t="inlineStr">
        <is>
          <t>2653027325964</t>
        </is>
      </c>
      <c r="B729" s="1" t="inlineStr">
        <is>
          <t>ANILLO KNOT GOLD</t>
        </is>
      </c>
      <c r="C729" s="1" t="n">
        <v>8</v>
      </c>
      <c r="D729" s="1" t="inlineStr">
        <is>
          <t>08/05/2026</t>
        </is>
      </c>
      <c r="E729" s="1" t="n">
        <v>2026</v>
      </c>
      <c r="F729" s="1" t="inlineStr">
        <is>
          <t>MAYO</t>
        </is>
      </c>
      <c r="G729" s="1" t="inlineStr">
        <is>
          <t>NANCY</t>
        </is>
      </c>
      <c r="H729" s="1" t="inlineStr">
        <is>
          <t>NANCY 08/05/2026</t>
        </is>
      </c>
      <c r="I729" s="4" t="n">
        <v>4</v>
      </c>
      <c r="J729" s="6" t="n">
        <v>5.59</v>
      </c>
      <c r="K729" s="6" t="n">
        <v>132.2468818</v>
      </c>
      <c r="L729" s="6">
        <f>I729*K729</f>
        <v/>
      </c>
      <c r="M729" s="6">
        <f>K729*4</f>
        <v/>
      </c>
      <c r="N729" s="6" t="n">
        <v>480</v>
      </c>
    </row>
    <row r="730">
      <c r="A730" s="1" t="inlineStr">
        <is>
          <t>2653027325964</t>
        </is>
      </c>
      <c r="B730" s="1" t="inlineStr">
        <is>
          <t>ANILLO KNOT GOLD</t>
        </is>
      </c>
      <c r="C730" s="1" t="n">
        <v>8</v>
      </c>
      <c r="D730" s="1" t="inlineStr">
        <is>
          <t>09/07/2026</t>
        </is>
      </c>
      <c r="E730" s="1" t="n">
        <v>2026</v>
      </c>
      <c r="F730" s="1" t="inlineStr">
        <is>
          <t>JULIO</t>
        </is>
      </c>
      <c r="G730" s="1" t="inlineStr">
        <is>
          <t>NANCY</t>
        </is>
      </c>
      <c r="H730" s="1" t="inlineStr">
        <is>
          <t>NANCY 09/07/2026</t>
        </is>
      </c>
      <c r="I730" s="4" t="n">
        <v>3</v>
      </c>
      <c r="J730" s="6" t="n">
        <v>4.99</v>
      </c>
      <c r="K730" s="6" t="n">
        <v>121.5837117</v>
      </c>
      <c r="L730" s="6">
        <f>I730*K730</f>
        <v/>
      </c>
      <c r="M730" s="6">
        <f>K730*4</f>
        <v/>
      </c>
      <c r="N730" s="6" t="n">
        <v>480</v>
      </c>
    </row>
    <row r="731">
      <c r="A731" s="1" t="inlineStr">
        <is>
          <t>2653028529932</t>
        </is>
      </c>
      <c r="B731" s="1" t="inlineStr">
        <is>
          <t>ANILLO SIXTEEN STONE SILVER</t>
        </is>
      </c>
      <c r="C731" s="1" t="inlineStr">
        <is>
          <t>HIGH QUALITY 8</t>
        </is>
      </c>
      <c r="D731" s="1" t="inlineStr">
        <is>
          <t>20/01/2026</t>
        </is>
      </c>
      <c r="E731" s="1" t="n">
        <v>2026</v>
      </c>
      <c r="F731" s="1" t="inlineStr">
        <is>
          <t>ENERO</t>
        </is>
      </c>
      <c r="G731" s="1" t="inlineStr">
        <is>
          <t>HAIFENG</t>
        </is>
      </c>
      <c r="H731" s="1" t="inlineStr">
        <is>
          <t>HAIFENG 20/01/2026</t>
        </is>
      </c>
      <c r="I731" s="4" t="n">
        <v>3</v>
      </c>
      <c r="J731" s="6" t="n">
        <v>6</v>
      </c>
      <c r="K731" s="6" t="n">
        <v>127.2025068</v>
      </c>
      <c r="L731" s="6">
        <f>I731*K731</f>
        <v/>
      </c>
      <c r="M731" s="6">
        <f>K731*4</f>
        <v/>
      </c>
      <c r="N731" s="6" t="n">
        <v>999</v>
      </c>
    </row>
    <row r="732">
      <c r="A732" s="1" t="inlineStr">
        <is>
          <t>2653028882316</t>
        </is>
      </c>
      <c r="B732" s="1" t="inlineStr">
        <is>
          <t>ANILLO TREBOL GOLD BLACK</t>
        </is>
      </c>
      <c r="C732" s="1" t="n">
        <v>6</v>
      </c>
      <c r="D732" s="1" t="inlineStr">
        <is>
          <t>01/03/2026</t>
        </is>
      </c>
      <c r="E732" s="1" t="n">
        <v>2026</v>
      </c>
      <c r="F732" s="1" t="inlineStr">
        <is>
          <t>MARZO</t>
        </is>
      </c>
      <c r="G732" s="1" t="inlineStr">
        <is>
          <t>NANCY</t>
        </is>
      </c>
      <c r="H732" s="1" t="inlineStr">
        <is>
          <t>NANCY 01/03/2026</t>
        </is>
      </c>
      <c r="I732" s="4" t="n">
        <v>2</v>
      </c>
      <c r="J732" s="6" t="n">
        <v>5.59</v>
      </c>
      <c r="K732" s="6" t="n">
        <v>141.4477855</v>
      </c>
      <c r="L732" s="6">
        <f>I732*K732</f>
        <v/>
      </c>
      <c r="M732" s="6">
        <f>K732*4</f>
        <v/>
      </c>
      <c r="N732" s="6" t="n">
        <v>599</v>
      </c>
    </row>
    <row r="733">
      <c r="A733" s="1" t="inlineStr">
        <is>
          <t>2653032923532</t>
        </is>
      </c>
      <c r="B733" s="1" t="n"/>
      <c r="C733" s="1" t="n">
        <v>6</v>
      </c>
      <c r="D733" s="1" t="inlineStr">
        <is>
          <t>03/12/2025</t>
        </is>
      </c>
      <c r="E733" s="1" t="n">
        <v>2025</v>
      </c>
      <c r="F733" s="1" t="inlineStr">
        <is>
          <t>DICIEMBRE</t>
        </is>
      </c>
      <c r="G733" s="1" t="inlineStr">
        <is>
          <t>NANCY</t>
        </is>
      </c>
      <c r="H733" s="1" t="inlineStr">
        <is>
          <t>NANCY 03/12/2025</t>
        </is>
      </c>
      <c r="I733" s="4" t="n">
        <v>2</v>
      </c>
      <c r="J733" s="6" t="n">
        <v>5.59</v>
      </c>
      <c r="K733" s="6" t="n">
        <v>132.2411844</v>
      </c>
      <c r="L733" s="6">
        <f>I733*K733</f>
        <v/>
      </c>
      <c r="M733" s="6">
        <f>K733*4</f>
        <v/>
      </c>
      <c r="N733" s="6" t="n">
        <v>499</v>
      </c>
    </row>
    <row r="734">
      <c r="A734" s="1" t="inlineStr">
        <is>
          <t>2653036169356</t>
        </is>
      </c>
      <c r="B734" s="1" t="inlineStr">
        <is>
          <t>ANILLO LOVE SILVER ANCHO</t>
        </is>
      </c>
      <c r="C734" s="1" t="inlineStr">
        <is>
          <t>8</t>
        </is>
      </c>
      <c r="D734" s="1" t="inlineStr">
        <is>
          <t>11/11/2025</t>
        </is>
      </c>
      <c r="E734" s="1" t="n">
        <v>2025</v>
      </c>
      <c r="F734" s="1" t="inlineStr">
        <is>
          <t>NOVIEMBRE</t>
        </is>
      </c>
      <c r="G734" s="1" t="inlineStr">
        <is>
          <t>HAIFENG</t>
        </is>
      </c>
      <c r="H734" s="1" t="inlineStr">
        <is>
          <t>HAIFENG 11/11/2025</t>
        </is>
      </c>
      <c r="I734" s="4" t="n">
        <v>5</v>
      </c>
      <c r="J734" s="6" t="n">
        <v>1.8</v>
      </c>
      <c r="K734" s="6" t="n">
        <v>37.9088972</v>
      </c>
      <c r="L734" s="6">
        <f>I734*K734</f>
        <v/>
      </c>
      <c r="M734" s="6">
        <f>K734*4</f>
        <v/>
      </c>
      <c r="N734" s="6" t="n">
        <v>400</v>
      </c>
    </row>
    <row r="735">
      <c r="A735" s="1" t="inlineStr">
        <is>
          <t>2653036169356</t>
        </is>
      </c>
      <c r="B735" s="1" t="inlineStr">
        <is>
          <t>ANILLO LOVE SILVER ANCHO</t>
        </is>
      </c>
      <c r="C735" s="1" t="inlineStr">
        <is>
          <t>8</t>
        </is>
      </c>
      <c r="D735" s="1" t="inlineStr">
        <is>
          <t>11/11/2025</t>
        </is>
      </c>
      <c r="E735" s="1" t="n">
        <v>2025</v>
      </c>
      <c r="F735" s="1" t="inlineStr">
        <is>
          <t>NOVIEMBRE</t>
        </is>
      </c>
      <c r="G735" s="1" t="inlineStr">
        <is>
          <t>HAIFENG</t>
        </is>
      </c>
      <c r="H735" s="1" t="inlineStr">
        <is>
          <t>HAIFENG 11/11/2025</t>
        </is>
      </c>
      <c r="I735" s="4" t="n">
        <v>4</v>
      </c>
      <c r="J735" s="6" t="n">
        <v>1.8</v>
      </c>
      <c r="K735" s="6" t="n">
        <v>37.9088972</v>
      </c>
      <c r="L735" s="6">
        <f>I735*K735</f>
        <v/>
      </c>
      <c r="M735" s="6">
        <f>K735*4</f>
        <v/>
      </c>
      <c r="N735" s="6" t="n">
        <v>400</v>
      </c>
    </row>
    <row r="736">
      <c r="A736" s="1" t="inlineStr">
        <is>
          <t>2653036169356</t>
        </is>
      </c>
      <c r="B736" s="1" t="inlineStr">
        <is>
          <t>ANILLO LOVE SILVER ANCHO</t>
        </is>
      </c>
      <c r="C736" s="1" t="inlineStr">
        <is>
          <t>8</t>
        </is>
      </c>
      <c r="D736" s="1" t="inlineStr">
        <is>
          <t>03/12/2025</t>
        </is>
      </c>
      <c r="E736" s="1" t="n">
        <v>2025</v>
      </c>
      <c r="F736" s="1" t="inlineStr">
        <is>
          <t>DICIEMBRE</t>
        </is>
      </c>
      <c r="G736" s="1" t="inlineStr">
        <is>
          <t>HAIFENG</t>
        </is>
      </c>
      <c r="H736" s="1" t="inlineStr">
        <is>
          <t>HAIFENG 03/12/2025</t>
        </is>
      </c>
      <c r="I736" s="4" t="n">
        <v>2</v>
      </c>
      <c r="J736" s="6" t="n">
        <v>1.8</v>
      </c>
      <c r="K736" s="6" t="n">
        <v>37.65088802</v>
      </c>
      <c r="L736" s="6">
        <f>I736*K736</f>
        <v/>
      </c>
      <c r="M736" s="6">
        <f>K736*4</f>
        <v/>
      </c>
      <c r="N736" s="6" t="n">
        <v>400</v>
      </c>
    </row>
    <row r="737">
      <c r="A737" s="1" t="inlineStr">
        <is>
          <t>2653036169356</t>
        </is>
      </c>
      <c r="B737" s="1" t="inlineStr">
        <is>
          <t>ANILLO LOVE SILVER ANCHO</t>
        </is>
      </c>
      <c r="C737" s="1" t="inlineStr">
        <is>
          <t>8</t>
        </is>
      </c>
      <c r="D737" s="1" t="inlineStr">
        <is>
          <t>11/03/2026</t>
        </is>
      </c>
      <c r="E737" s="1" t="n">
        <v>2026</v>
      </c>
      <c r="F737" s="1" t="inlineStr">
        <is>
          <t>MARZO</t>
        </is>
      </c>
      <c r="G737" s="1" t="inlineStr">
        <is>
          <t>HAIFENG</t>
        </is>
      </c>
      <c r="H737" s="1" t="inlineStr">
        <is>
          <t>HAIFENG 11/03/2026</t>
        </is>
      </c>
      <c r="I737" s="4" t="n">
        <v>2</v>
      </c>
      <c r="J737" s="6" t="n">
        <v>1.8</v>
      </c>
      <c r="K737" s="6" t="n">
        <v>38.34701319</v>
      </c>
      <c r="L737" s="6">
        <f>I737*K737</f>
        <v/>
      </c>
      <c r="M737" s="6">
        <f>K737*4</f>
        <v/>
      </c>
      <c r="N737" s="6" t="n">
        <v>400</v>
      </c>
    </row>
    <row r="738">
      <c r="A738" s="1" t="inlineStr">
        <is>
          <t>2653036202124</t>
        </is>
      </c>
      <c r="B738" s="1" t="inlineStr">
        <is>
          <t>ANILLO LOVE SILVER ANCHO</t>
        </is>
      </c>
      <c r="C738" s="1" t="inlineStr">
        <is>
          <t>9</t>
        </is>
      </c>
      <c r="D738" s="1" t="inlineStr">
        <is>
          <t>01/09/2025</t>
        </is>
      </c>
      <c r="E738" s="1" t="n">
        <v>2025</v>
      </c>
      <c r="F738" s="1" t="inlineStr">
        <is>
          <t>SEPTIEMBRE</t>
        </is>
      </c>
      <c r="G738" s="1" t="inlineStr">
        <is>
          <t>HAIFENG</t>
        </is>
      </c>
      <c r="H738" s="1" t="inlineStr">
        <is>
          <t>HAIFENG 01/09/2025</t>
        </is>
      </c>
      <c r="I738" s="4" t="n">
        <v>2</v>
      </c>
      <c r="J738" s="6" t="n">
        <v>1.8</v>
      </c>
      <c r="K738" s="6" t="n">
        <v>38.26020791</v>
      </c>
      <c r="L738" s="6">
        <f>I738*K738</f>
        <v/>
      </c>
      <c r="M738" s="6">
        <f>K738*4</f>
        <v/>
      </c>
      <c r="N738" s="6" t="n">
        <v>400</v>
      </c>
    </row>
    <row r="739">
      <c r="A739" s="1" t="inlineStr">
        <is>
          <t>2653036202124</t>
        </is>
      </c>
      <c r="B739" s="1" t="inlineStr">
        <is>
          <t>ANILLO LOVE SILVER ANCHO</t>
        </is>
      </c>
      <c r="C739" s="1" t="inlineStr">
        <is>
          <t>9</t>
        </is>
      </c>
      <c r="D739" s="1" t="inlineStr">
        <is>
          <t>11/11/2025</t>
        </is>
      </c>
      <c r="E739" s="1" t="n">
        <v>2025</v>
      </c>
      <c r="F739" s="1" t="inlineStr">
        <is>
          <t>NOVIEMBRE</t>
        </is>
      </c>
      <c r="G739" s="1" t="inlineStr">
        <is>
          <t>HAIFENG</t>
        </is>
      </c>
      <c r="H739" s="1" t="inlineStr">
        <is>
          <t>HAIFENG 11/11/2025</t>
        </is>
      </c>
      <c r="I739" s="4" t="n">
        <v>4</v>
      </c>
      <c r="J739" s="6" t="n">
        <v>1.8</v>
      </c>
      <c r="K739" s="6" t="n">
        <v>37.9088972</v>
      </c>
      <c r="L739" s="6">
        <f>I739*K739</f>
        <v/>
      </c>
      <c r="M739" s="6">
        <f>K739*4</f>
        <v/>
      </c>
      <c r="N739" s="6" t="n">
        <v>400</v>
      </c>
    </row>
    <row r="740">
      <c r="A740" s="1" t="inlineStr">
        <is>
          <t>2653036202124</t>
        </is>
      </c>
      <c r="B740" s="1" t="inlineStr">
        <is>
          <t>ANILLO LOVE SILVER ANCHO</t>
        </is>
      </c>
      <c r="C740" s="1" t="inlineStr">
        <is>
          <t>9</t>
        </is>
      </c>
      <c r="D740" s="1" t="inlineStr">
        <is>
          <t>03/12/2025</t>
        </is>
      </c>
      <c r="E740" s="1" t="n">
        <v>2025</v>
      </c>
      <c r="F740" s="1" t="inlineStr">
        <is>
          <t>DICIEMBRE</t>
        </is>
      </c>
      <c r="G740" s="1" t="inlineStr">
        <is>
          <t>HAIFENG</t>
        </is>
      </c>
      <c r="H740" s="1" t="inlineStr">
        <is>
          <t>HAIFENG 03/12/2025</t>
        </is>
      </c>
      <c r="I740" s="4" t="n">
        <v>5</v>
      </c>
      <c r="J740" s="6" t="n">
        <v>1.8</v>
      </c>
      <c r="K740" s="6" t="n">
        <v>37.65088802</v>
      </c>
      <c r="L740" s="6">
        <f>I740*K740</f>
        <v/>
      </c>
      <c r="M740" s="6">
        <f>K740*4</f>
        <v/>
      </c>
      <c r="N740" s="6" t="n">
        <v>400</v>
      </c>
    </row>
    <row r="741">
      <c r="A741" s="1" t="inlineStr">
        <is>
          <t>2653036234892</t>
        </is>
      </c>
      <c r="B741" s="1" t="inlineStr">
        <is>
          <t>ANILLO LOVE SILVER ANCHO (WIDHT WIHTOUT ZIRCONIAS)</t>
        </is>
      </c>
      <c r="C741" s="1" t="inlineStr">
        <is>
          <t>10</t>
        </is>
      </c>
      <c r="D741" s="1" t="inlineStr">
        <is>
          <t>16/04/2026</t>
        </is>
      </c>
      <c r="E741" s="1" t="n">
        <v>2026</v>
      </c>
      <c r="F741" s="1" t="inlineStr">
        <is>
          <t>ABRIL</t>
        </is>
      </c>
      <c r="G741" s="1" t="inlineStr">
        <is>
          <t>HAIFENG</t>
        </is>
      </c>
      <c r="H741" s="1" t="inlineStr">
        <is>
          <t>HAIFENG 16/04/2026</t>
        </is>
      </c>
      <c r="I741" s="4" t="n">
        <v>3</v>
      </c>
      <c r="J741" s="6" t="n">
        <v>1.8</v>
      </c>
      <c r="K741" s="6" t="n">
        <v>37.85665246</v>
      </c>
      <c r="L741" s="6">
        <f>I741*K741</f>
        <v/>
      </c>
      <c r="M741" s="6">
        <f>K741*4</f>
        <v/>
      </c>
      <c r="N741" s="6" t="n">
        <v>400</v>
      </c>
    </row>
    <row r="742">
      <c r="A742" s="1" t="inlineStr">
        <is>
          <t>2653036267660</t>
        </is>
      </c>
      <c r="B742" s="1" t="inlineStr">
        <is>
          <t>ANILLO LOVE SILVER ANCHO</t>
        </is>
      </c>
      <c r="C742" s="1" t="inlineStr">
        <is>
          <t>11</t>
        </is>
      </c>
      <c r="D742" s="1" t="inlineStr">
        <is>
          <t>11/03/2026</t>
        </is>
      </c>
      <c r="E742" s="1" t="n">
        <v>2026</v>
      </c>
      <c r="F742" s="1" t="inlineStr">
        <is>
          <t>MARZO</t>
        </is>
      </c>
      <c r="G742" s="1" t="inlineStr">
        <is>
          <t>HAIFENG</t>
        </is>
      </c>
      <c r="H742" s="1" t="inlineStr">
        <is>
          <t>HAIFENG 11/03/2026</t>
        </is>
      </c>
      <c r="I742" s="4" t="n">
        <v>1</v>
      </c>
      <c r="J742" s="6" t="n">
        <v>1.8</v>
      </c>
      <c r="K742" s="6" t="n">
        <v>38.34701319</v>
      </c>
      <c r="L742" s="6">
        <f>I742*K742</f>
        <v/>
      </c>
      <c r="M742" s="6">
        <f>K742*4</f>
        <v/>
      </c>
      <c r="N742" s="6" t="n">
        <v>400</v>
      </c>
    </row>
    <row r="743">
      <c r="A743" s="1" t="inlineStr">
        <is>
          <t>2653036267660</t>
        </is>
      </c>
      <c r="B743" s="1" t="inlineStr">
        <is>
          <t>ANILLO LOVE SILVER ANCHO</t>
        </is>
      </c>
      <c r="C743" s="1" t="inlineStr">
        <is>
          <t>11</t>
        </is>
      </c>
      <c r="D743" s="1" t="inlineStr">
        <is>
          <t>26/05/2026</t>
        </is>
      </c>
      <c r="E743" s="1" t="n">
        <v>2026</v>
      </c>
      <c r="F743" s="1" t="inlineStr">
        <is>
          <t>MAYO</t>
        </is>
      </c>
      <c r="G743" s="1" t="inlineStr">
        <is>
          <t>HAIFENG</t>
        </is>
      </c>
      <c r="H743" s="1" t="inlineStr">
        <is>
          <t>HAIFENG 26/05/2026</t>
        </is>
      </c>
      <c r="I743" s="4" t="n">
        <v>2</v>
      </c>
      <c r="J743" s="6" t="n">
        <v>1.8</v>
      </c>
      <c r="K743" s="6" t="n">
        <v>37.78073153</v>
      </c>
      <c r="L743" s="6">
        <f>I743*K743</f>
        <v/>
      </c>
      <c r="M743" s="6">
        <f>K743*4</f>
        <v/>
      </c>
      <c r="N743" s="6" t="n">
        <v>400</v>
      </c>
    </row>
    <row r="744">
      <c r="A744" s="1" t="inlineStr">
        <is>
          <t>2653039338124</t>
        </is>
      </c>
      <c r="B744" s="1" t="inlineStr">
        <is>
          <t>ANILLO BV GOLD</t>
        </is>
      </c>
      <c r="C744" s="1" t="inlineStr">
        <is>
          <t>5</t>
        </is>
      </c>
      <c r="D744" s="1" t="inlineStr">
        <is>
          <t>20/01/2026</t>
        </is>
      </c>
      <c r="E744" s="1" t="n">
        <v>2026</v>
      </c>
      <c r="F744" s="1" t="inlineStr">
        <is>
          <t>ENERO</t>
        </is>
      </c>
      <c r="G744" s="1" t="inlineStr">
        <is>
          <t>COCOMA</t>
        </is>
      </c>
      <c r="H744" s="1" t="inlineStr">
        <is>
          <t>COCOMA 20/01/2026</t>
        </is>
      </c>
      <c r="I744" s="4" t="n">
        <v>10</v>
      </c>
      <c r="J744" s="6" t="n">
        <v>4.3</v>
      </c>
      <c r="K744" s="6" t="n">
        <v>103.9090874</v>
      </c>
      <c r="L744" s="6">
        <f>I744*K744</f>
        <v/>
      </c>
      <c r="M744" s="6">
        <f>K744*4</f>
        <v/>
      </c>
      <c r="N744" s="6" t="n">
        <v>550</v>
      </c>
    </row>
    <row r="745">
      <c r="A745" s="1" t="inlineStr">
        <is>
          <t>2653039370892</t>
        </is>
      </c>
      <c r="B745" s="1" t="inlineStr">
        <is>
          <t>ANILLO BV GOLD</t>
        </is>
      </c>
      <c r="C745" s="1" t="inlineStr">
        <is>
          <t>6</t>
        </is>
      </c>
      <c r="D745" s="1" t="inlineStr">
        <is>
          <t>01/05/2025</t>
        </is>
      </c>
      <c r="E745" s="1" t="n">
        <v>2025</v>
      </c>
      <c r="F745" s="1" t="inlineStr">
        <is>
          <t>MAYO</t>
        </is>
      </c>
      <c r="G745" s="1" t="inlineStr">
        <is>
          <t>COCOMA</t>
        </is>
      </c>
      <c r="H745" s="1" t="inlineStr">
        <is>
          <t>COCOMA MAYO 2025</t>
        </is>
      </c>
      <c r="I745" s="4" t="n">
        <v>7</v>
      </c>
      <c r="J745" s="6" t="n">
        <v>4.06</v>
      </c>
      <c r="K745" s="6" t="n">
        <v>99.45060599999999</v>
      </c>
      <c r="L745" s="6">
        <f>I745*K745</f>
        <v/>
      </c>
      <c r="M745" s="6">
        <f>K745*4</f>
        <v/>
      </c>
      <c r="N745" s="6" t="n">
        <v>550</v>
      </c>
    </row>
    <row r="746">
      <c r="A746" s="1" t="inlineStr">
        <is>
          <t>2653039370892</t>
        </is>
      </c>
      <c r="B746" s="1" t="inlineStr">
        <is>
          <t>ANILLO BV GOLD</t>
        </is>
      </c>
      <c r="C746" s="1" t="inlineStr">
        <is>
          <t>6</t>
        </is>
      </c>
      <c r="D746" s="1" t="inlineStr">
        <is>
          <t>20/01/2026</t>
        </is>
      </c>
      <c r="E746" s="1" t="n">
        <v>2026</v>
      </c>
      <c r="F746" s="1" t="inlineStr">
        <is>
          <t>ENERO</t>
        </is>
      </c>
      <c r="G746" s="1" t="inlineStr">
        <is>
          <t>COCOMA</t>
        </is>
      </c>
      <c r="H746" s="1" t="inlineStr">
        <is>
          <t>COCOMA 20/01/2026</t>
        </is>
      </c>
      <c r="I746" s="4" t="n">
        <v>10</v>
      </c>
      <c r="J746" s="6" t="n">
        <v>4.3</v>
      </c>
      <c r="K746" s="6" t="n">
        <v>103.9090874</v>
      </c>
      <c r="L746" s="6">
        <f>I746*K746</f>
        <v/>
      </c>
      <c r="M746" s="6">
        <f>K746*4</f>
        <v/>
      </c>
      <c r="N746" s="6" t="n">
        <v>550</v>
      </c>
    </row>
    <row r="747">
      <c r="A747" s="1" t="inlineStr">
        <is>
          <t>2653039403660</t>
        </is>
      </c>
      <c r="B747" s="1" t="inlineStr">
        <is>
          <t>ANILLO BV GOLD</t>
        </is>
      </c>
      <c r="C747" s="1" t="inlineStr">
        <is>
          <t>7</t>
        </is>
      </c>
      <c r="D747" s="1" t="inlineStr">
        <is>
          <t>01/05/2025</t>
        </is>
      </c>
      <c r="E747" s="1" t="n">
        <v>2025</v>
      </c>
      <c r="F747" s="1" t="inlineStr">
        <is>
          <t>MAYO</t>
        </is>
      </c>
      <c r="G747" s="1" t="inlineStr">
        <is>
          <t>COCOMA</t>
        </is>
      </c>
      <c r="H747" s="1" t="inlineStr">
        <is>
          <t>COCOMA MAYO 2025</t>
        </is>
      </c>
      <c r="I747" s="4" t="n">
        <v>3</v>
      </c>
      <c r="J747" s="6" t="n">
        <v>4.06</v>
      </c>
      <c r="K747" s="6" t="n">
        <v>99.45060599999999</v>
      </c>
      <c r="L747" s="6">
        <f>I747*K747</f>
        <v/>
      </c>
      <c r="M747" s="6">
        <f>K747*4</f>
        <v/>
      </c>
      <c r="N747" s="6" t="n">
        <v>550</v>
      </c>
    </row>
    <row r="748">
      <c r="A748" s="1" t="inlineStr">
        <is>
          <t>2653039403660</t>
        </is>
      </c>
      <c r="B748" s="1" t="inlineStr">
        <is>
          <t>ANILLO BV GOLD</t>
        </is>
      </c>
      <c r="C748" s="1" t="inlineStr">
        <is>
          <t>7</t>
        </is>
      </c>
      <c r="D748" s="1" t="inlineStr">
        <is>
          <t>20/01/2026</t>
        </is>
      </c>
      <c r="E748" s="1" t="n">
        <v>2026</v>
      </c>
      <c r="F748" s="1" t="inlineStr">
        <is>
          <t>ENERO</t>
        </is>
      </c>
      <c r="G748" s="1" t="inlineStr">
        <is>
          <t>COCOMA</t>
        </is>
      </c>
      <c r="H748" s="1" t="inlineStr">
        <is>
          <t>COCOMA 20/01/2026</t>
        </is>
      </c>
      <c r="I748" s="4" t="n">
        <v>10</v>
      </c>
      <c r="J748" s="6" t="n">
        <v>4.3</v>
      </c>
      <c r="K748" s="6" t="n">
        <v>103.9090874</v>
      </c>
      <c r="L748" s="6">
        <f>I748*K748</f>
        <v/>
      </c>
      <c r="M748" s="6">
        <f>K748*4</f>
        <v/>
      </c>
      <c r="N748" s="6" t="n">
        <v>550</v>
      </c>
    </row>
    <row r="749">
      <c r="A749" s="1" t="inlineStr">
        <is>
          <t>2653039436428</t>
        </is>
      </c>
      <c r="B749" s="1" t="inlineStr">
        <is>
          <t>ANILLO BV GOLD</t>
        </is>
      </c>
      <c r="C749" s="1" t="inlineStr">
        <is>
          <t>8</t>
        </is>
      </c>
      <c r="D749" s="1" t="inlineStr">
        <is>
          <t>01/05/2025</t>
        </is>
      </c>
      <c r="E749" s="1" t="n">
        <v>2025</v>
      </c>
      <c r="F749" s="1" t="inlineStr">
        <is>
          <t>MAYO</t>
        </is>
      </c>
      <c r="G749" s="1" t="inlineStr">
        <is>
          <t>COCOMA</t>
        </is>
      </c>
      <c r="H749" s="1" t="inlineStr">
        <is>
          <t>COCOMA MAYO 2025</t>
        </is>
      </c>
      <c r="I749" s="4" t="n">
        <v>2</v>
      </c>
      <c r="J749" s="6" t="n">
        <v>4.06</v>
      </c>
      <c r="K749" s="6" t="n">
        <v>99.45060599999999</v>
      </c>
      <c r="L749" s="6">
        <f>I749*K749</f>
        <v/>
      </c>
      <c r="M749" s="6">
        <f>K749*4</f>
        <v/>
      </c>
      <c r="N749" s="6" t="n">
        <v>550</v>
      </c>
    </row>
    <row r="750">
      <c r="A750" s="1" t="inlineStr">
        <is>
          <t>2653039436428</t>
        </is>
      </c>
      <c r="B750" s="1" t="inlineStr">
        <is>
          <t>ANILLO BV GOLD</t>
        </is>
      </c>
      <c r="C750" s="1" t="inlineStr">
        <is>
          <t>8</t>
        </is>
      </c>
      <c r="D750" s="1" t="inlineStr">
        <is>
          <t>20/01/2026</t>
        </is>
      </c>
      <c r="E750" s="1" t="n">
        <v>2026</v>
      </c>
      <c r="F750" s="1" t="inlineStr">
        <is>
          <t>ENERO</t>
        </is>
      </c>
      <c r="G750" s="1" t="inlineStr">
        <is>
          <t>COCOMA</t>
        </is>
      </c>
      <c r="H750" s="1" t="inlineStr">
        <is>
          <t>COCOMA 20/01/2026</t>
        </is>
      </c>
      <c r="I750" s="4" t="n">
        <v>10</v>
      </c>
      <c r="J750" s="6" t="n">
        <v>4.3</v>
      </c>
      <c r="K750" s="6" t="n">
        <v>103.9090874</v>
      </c>
      <c r="L750" s="6">
        <f>I750*K750</f>
        <v/>
      </c>
      <c r="M750" s="6">
        <f>K750*4</f>
        <v/>
      </c>
      <c r="N750" s="6" t="n">
        <v>550</v>
      </c>
    </row>
    <row r="751">
      <c r="A751" s="1" t="inlineStr">
        <is>
          <t>2653039469196</t>
        </is>
      </c>
      <c r="B751" s="1" t="inlineStr">
        <is>
          <t>ANILLO BV GOLD</t>
        </is>
      </c>
      <c r="C751" s="1" t="inlineStr">
        <is>
          <t>9</t>
        </is>
      </c>
      <c r="D751" s="1" t="inlineStr">
        <is>
          <t>20/01/2026</t>
        </is>
      </c>
      <c r="E751" s="1" t="n">
        <v>2026</v>
      </c>
      <c r="F751" s="1" t="inlineStr">
        <is>
          <t>ENERO</t>
        </is>
      </c>
      <c r="G751" s="1" t="inlineStr">
        <is>
          <t>COCOMA</t>
        </is>
      </c>
      <c r="H751" s="1" t="inlineStr">
        <is>
          <t>COCOMA 20/01/2026</t>
        </is>
      </c>
      <c r="I751" s="4" t="n">
        <v>6</v>
      </c>
      <c r="J751" s="6" t="n">
        <v>4.3</v>
      </c>
      <c r="K751" s="6" t="n">
        <v>103.9090874</v>
      </c>
      <c r="L751" s="6">
        <f>I751*K751</f>
        <v/>
      </c>
      <c r="M751" s="6">
        <f>K751*4</f>
        <v/>
      </c>
      <c r="N751" s="6" t="n">
        <v>550</v>
      </c>
    </row>
    <row r="752">
      <c r="A752" s="1" t="inlineStr">
        <is>
          <t>2653039501964</t>
        </is>
      </c>
      <c r="B752" s="1" t="inlineStr">
        <is>
          <t>ANILLO BV GOLD</t>
        </is>
      </c>
      <c r="C752" s="1" t="inlineStr">
        <is>
          <t>10</t>
        </is>
      </c>
      <c r="D752" s="1" t="inlineStr">
        <is>
          <t>01/05/2025</t>
        </is>
      </c>
      <c r="E752" s="1" t="n">
        <v>2025</v>
      </c>
      <c r="F752" s="1" t="inlineStr">
        <is>
          <t>MAYO</t>
        </is>
      </c>
      <c r="G752" s="1" t="inlineStr">
        <is>
          <t>COCOMA</t>
        </is>
      </c>
      <c r="H752" s="1" t="inlineStr">
        <is>
          <t>COCOMA MAYO 2025</t>
        </is>
      </c>
      <c r="I752" s="4" t="n">
        <v>3</v>
      </c>
      <c r="J752" s="6" t="n">
        <v>4.06</v>
      </c>
      <c r="K752" s="6" t="n">
        <v>99.45060599999999</v>
      </c>
      <c r="L752" s="6">
        <f>I752*K752</f>
        <v/>
      </c>
      <c r="M752" s="6">
        <f>K752*4</f>
        <v/>
      </c>
      <c r="N752" s="6" t="n">
        <v>550</v>
      </c>
    </row>
    <row r="753">
      <c r="A753" s="1" t="inlineStr">
        <is>
          <t>2653039501964</t>
        </is>
      </c>
      <c r="B753" s="1" t="inlineStr">
        <is>
          <t>ANILLO BV GOLD</t>
        </is>
      </c>
      <c r="C753" s="1" t="inlineStr">
        <is>
          <t>10</t>
        </is>
      </c>
      <c r="D753" s="1" t="inlineStr">
        <is>
          <t>20/01/2026</t>
        </is>
      </c>
      <c r="E753" s="1" t="n">
        <v>2026</v>
      </c>
      <c r="F753" s="1" t="inlineStr">
        <is>
          <t>ENERO</t>
        </is>
      </c>
      <c r="G753" s="1" t="inlineStr">
        <is>
          <t>COCOMA</t>
        </is>
      </c>
      <c r="H753" s="1" t="inlineStr">
        <is>
          <t>COCOMA 20/01/2026</t>
        </is>
      </c>
      <c r="I753" s="4" t="n">
        <v>6</v>
      </c>
      <c r="J753" s="6" t="n">
        <v>4.3</v>
      </c>
      <c r="K753" s="6" t="n">
        <v>103.9090874</v>
      </c>
      <c r="L753" s="6">
        <f>I753*K753</f>
        <v/>
      </c>
      <c r="M753" s="6">
        <f>K753*4</f>
        <v/>
      </c>
      <c r="N753" s="6" t="n">
        <v>550</v>
      </c>
    </row>
    <row r="754">
      <c r="A754" s="1" t="inlineStr">
        <is>
          <t>2653039534732</t>
        </is>
      </c>
      <c r="B754" s="1" t="inlineStr">
        <is>
          <t>ANILLO BV GOLD</t>
        </is>
      </c>
      <c r="C754" s="1" t="inlineStr">
        <is>
          <t>11</t>
        </is>
      </c>
      <c r="D754" s="1" t="inlineStr">
        <is>
          <t>20/01/2026</t>
        </is>
      </c>
      <c r="E754" s="1" t="n">
        <v>2026</v>
      </c>
      <c r="F754" s="1" t="inlineStr">
        <is>
          <t>ENERO</t>
        </is>
      </c>
      <c r="G754" s="1" t="inlineStr">
        <is>
          <t>COCOMA</t>
        </is>
      </c>
      <c r="H754" s="1" t="inlineStr">
        <is>
          <t>COCOMA 20/01/2026</t>
        </is>
      </c>
      <c r="I754" s="4" t="n">
        <v>4</v>
      </c>
      <c r="J754" s="6" t="n">
        <v>4.3</v>
      </c>
      <c r="K754" s="6" t="n">
        <v>103.9090874</v>
      </c>
      <c r="L754" s="6">
        <f>I754*K754</f>
        <v/>
      </c>
      <c r="M754" s="6">
        <f>K754*4</f>
        <v/>
      </c>
      <c r="N754" s="6" t="n">
        <v>550</v>
      </c>
    </row>
    <row r="755">
      <c r="A755" s="1" t="inlineStr">
        <is>
          <t>2653039567500</t>
        </is>
      </c>
      <c r="B755" s="1" t="inlineStr">
        <is>
          <t>ANILLO BV GOLD</t>
        </is>
      </c>
      <c r="C755" s="1" t="inlineStr">
        <is>
          <t>12</t>
        </is>
      </c>
      <c r="D755" s="1" t="inlineStr">
        <is>
          <t>20/01/2026</t>
        </is>
      </c>
      <c r="E755" s="1" t="n">
        <v>2026</v>
      </c>
      <c r="F755" s="1" t="inlineStr">
        <is>
          <t>ENERO</t>
        </is>
      </c>
      <c r="G755" s="1" t="inlineStr">
        <is>
          <t>COCOMA</t>
        </is>
      </c>
      <c r="H755" s="1" t="inlineStr">
        <is>
          <t>COCOMA 20/01/2026</t>
        </is>
      </c>
      <c r="I755" s="4" t="n">
        <v>4</v>
      </c>
      <c r="J755" s="6" t="n">
        <v>4.3</v>
      </c>
      <c r="K755" s="6" t="n">
        <v>103.9090874</v>
      </c>
      <c r="L755" s="6">
        <f>I755*K755</f>
        <v/>
      </c>
      <c r="M755" s="6">
        <f>K755*4</f>
        <v/>
      </c>
      <c r="N755" s="6" t="n">
        <v>550</v>
      </c>
    </row>
    <row r="756">
      <c r="A756" s="1" t="inlineStr">
        <is>
          <t>26853591099213</t>
        </is>
      </c>
      <c r="B756" s="1" t="inlineStr">
        <is>
          <t>GORRA BARBAS EL MAGO</t>
        </is>
      </c>
      <c r="C756" s="1" t="inlineStr">
        <is>
          <t>Default Title</t>
        </is>
      </c>
      <c r="D756" s="1" t="inlineStr">
        <is>
          <t>16/02/2026</t>
        </is>
      </c>
      <c r="E756" s="1" t="n">
        <v>2026</v>
      </c>
      <c r="F756" s="1" t="inlineStr">
        <is>
          <t>FEBRERO</t>
        </is>
      </c>
      <c r="G756" s="1" t="inlineStr">
        <is>
          <t>COCO ZHANG</t>
        </is>
      </c>
      <c r="H756" s="1" t="inlineStr">
        <is>
          <t>COCO ZHANG 16/02/2026</t>
        </is>
      </c>
      <c r="I756" s="4" t="n">
        <v>2</v>
      </c>
      <c r="J756" s="6" t="n">
        <v>15</v>
      </c>
      <c r="K756" s="6" t="n">
        <v>309</v>
      </c>
      <c r="L756" s="6">
        <f>I756*K756</f>
        <v/>
      </c>
      <c r="M756" s="6">
        <f>K756*4</f>
        <v/>
      </c>
      <c r="N756" s="6" t="n">
        <v>1007</v>
      </c>
    </row>
    <row r="757">
      <c r="A757" s="1" t="inlineStr">
        <is>
          <t>26853591164749</t>
        </is>
      </c>
      <c r="B757" s="1" t="inlineStr">
        <is>
          <t>GORRA THIRTY ONE FOREVER</t>
        </is>
      </c>
      <c r="C757" s="1" t="inlineStr">
        <is>
          <t>Default Title</t>
        </is>
      </c>
      <c r="D757" s="1" t="inlineStr">
        <is>
          <t>16/02/2026</t>
        </is>
      </c>
      <c r="E757" s="1" t="n">
        <v>2026</v>
      </c>
      <c r="F757" s="1" t="inlineStr">
        <is>
          <t>FEBRERO</t>
        </is>
      </c>
      <c r="G757" s="1" t="inlineStr">
        <is>
          <t>COCO ZHANG</t>
        </is>
      </c>
      <c r="H757" s="1" t="inlineStr">
        <is>
          <t>COCO ZHANG 16/02/2026</t>
        </is>
      </c>
      <c r="I757" s="4" t="n">
        <v>2</v>
      </c>
      <c r="J757" s="6" t="n">
        <v>15</v>
      </c>
      <c r="K757" s="6" t="n">
        <v>309</v>
      </c>
      <c r="L757" s="6">
        <f>I757*K757</f>
        <v/>
      </c>
      <c r="M757" s="6">
        <f>K757*4</f>
        <v/>
      </c>
      <c r="N757" s="6" t="n">
        <v>1550</v>
      </c>
    </row>
    <row r="758">
      <c r="A758" s="1" t="inlineStr">
        <is>
          <t>26853591295821</t>
        </is>
      </c>
      <c r="B758" s="1" t="inlineStr">
        <is>
          <t>GORRA EL BARBAS CHROME X CT</t>
        </is>
      </c>
      <c r="C758" s="1" t="inlineStr">
        <is>
          <t>Default Title</t>
        </is>
      </c>
      <c r="D758" s="1" t="inlineStr">
        <is>
          <t>16/02/2026</t>
        </is>
      </c>
      <c r="E758" s="1" t="n">
        <v>2026</v>
      </c>
      <c r="F758" s="1" t="inlineStr">
        <is>
          <t>FEBRERO</t>
        </is>
      </c>
      <c r="G758" s="1" t="inlineStr">
        <is>
          <t>COCO ZHANG</t>
        </is>
      </c>
      <c r="H758" s="1" t="inlineStr">
        <is>
          <t>COCO ZHANG 16/02/2026</t>
        </is>
      </c>
      <c r="I758" s="4" t="n">
        <v>2</v>
      </c>
      <c r="J758" s="6" t="n">
        <v>15</v>
      </c>
      <c r="K758" s="6" t="n">
        <v>309</v>
      </c>
      <c r="L758" s="6">
        <f>I758*K758</f>
        <v/>
      </c>
      <c r="M758" s="6">
        <f>K758*4</f>
        <v/>
      </c>
      <c r="N758" s="6" t="n">
        <v>1550</v>
      </c>
    </row>
    <row r="759">
      <c r="A759" s="1" t="inlineStr">
        <is>
          <t>26853591330285</t>
        </is>
      </c>
      <c r="B759" s="1" t="inlineStr">
        <is>
          <t>GORRA EL BARBAS CHROME</t>
        </is>
      </c>
      <c r="C759" s="1" t="inlineStr">
        <is>
          <t>Default Title</t>
        </is>
      </c>
      <c r="D759" s="1" t="inlineStr">
        <is>
          <t>16/02/2026</t>
        </is>
      </c>
      <c r="E759" s="1" t="n">
        <v>2026</v>
      </c>
      <c r="F759" s="1" t="inlineStr">
        <is>
          <t>FEBRERO</t>
        </is>
      </c>
      <c r="G759" s="1" t="inlineStr">
        <is>
          <t>COCO ZHANG</t>
        </is>
      </c>
      <c r="H759" s="1" t="inlineStr">
        <is>
          <t>COCO ZHANG 16/02/2026</t>
        </is>
      </c>
      <c r="I759" s="4" t="n">
        <v>2</v>
      </c>
      <c r="J759" s="6" t="n">
        <v>15</v>
      </c>
      <c r="K759" s="6" t="n">
        <v>309</v>
      </c>
      <c r="L759" s="6">
        <f>I759*K759</f>
        <v/>
      </c>
      <c r="M759" s="6">
        <f>K759*4</f>
        <v/>
      </c>
      <c r="N759" s="6" t="n">
        <v>1007</v>
      </c>
    </row>
    <row r="760">
      <c r="A760" s="1" t="inlineStr">
        <is>
          <t>26853591497517</t>
        </is>
      </c>
      <c r="B760" s="1" t="inlineStr">
        <is>
          <t>GORRA DANDY ONYX</t>
        </is>
      </c>
      <c r="C760" s="1" t="inlineStr">
        <is>
          <t>Default Title</t>
        </is>
      </c>
      <c r="D760" s="1" t="inlineStr">
        <is>
          <t>16/02/2026</t>
        </is>
      </c>
      <c r="E760" s="1" t="n">
        <v>2026</v>
      </c>
      <c r="F760" s="1" t="inlineStr">
        <is>
          <t>FEBRERO</t>
        </is>
      </c>
      <c r="G760" s="1" t="inlineStr">
        <is>
          <t>COCO ZHANG</t>
        </is>
      </c>
      <c r="H760" s="1" t="inlineStr">
        <is>
          <t>COCO ZHANG 16/02/2026</t>
        </is>
      </c>
      <c r="I760" s="4" t="n">
        <v>2</v>
      </c>
      <c r="J760" s="6" t="n">
        <v>15</v>
      </c>
      <c r="K760" s="6" t="n">
        <v>309</v>
      </c>
      <c r="L760" s="6">
        <f>I760*K760</f>
        <v/>
      </c>
      <c r="M760" s="6">
        <f>K760*4</f>
        <v/>
      </c>
      <c r="N760" s="6" t="n">
        <v>1550</v>
      </c>
    </row>
    <row r="761">
      <c r="A761" s="1" t="inlineStr">
        <is>
          <t>26853591559661</t>
        </is>
      </c>
      <c r="B761" s="1" t="inlineStr">
        <is>
          <t>GORRA EL BARBAS X RICH THE KID STATE</t>
        </is>
      </c>
      <c r="C761" s="1" t="inlineStr">
        <is>
          <t>Default Title</t>
        </is>
      </c>
      <c r="D761" s="1" t="inlineStr">
        <is>
          <t>16/02/2026</t>
        </is>
      </c>
      <c r="E761" s="1" t="n">
        <v>2026</v>
      </c>
      <c r="F761" s="1" t="inlineStr">
        <is>
          <t>FEBRERO</t>
        </is>
      </c>
      <c r="G761" s="1" t="inlineStr">
        <is>
          <t>COCO ZHANG</t>
        </is>
      </c>
      <c r="H761" s="1" t="inlineStr">
        <is>
          <t>COCO ZHANG 16/02/2026</t>
        </is>
      </c>
      <c r="I761" s="4" t="n">
        <v>2</v>
      </c>
      <c r="J761" s="6" t="n">
        <v>15</v>
      </c>
      <c r="K761" s="6" t="n">
        <v>309</v>
      </c>
      <c r="L761" s="6">
        <f>I761*K761</f>
        <v/>
      </c>
      <c r="M761" s="6">
        <f>K761*4</f>
        <v/>
      </c>
      <c r="N761" s="6" t="n">
        <v>1550</v>
      </c>
    </row>
    <row r="762">
      <c r="A762" s="1" t="inlineStr">
        <is>
          <t>26853591657965</t>
        </is>
      </c>
      <c r="B762" s="1" t="inlineStr">
        <is>
          <t>GORRA DANDY X JUNIOR EL AZUL</t>
        </is>
      </c>
      <c r="C762" s="1" t="inlineStr">
        <is>
          <t>Default Title</t>
        </is>
      </c>
      <c r="D762" s="1" t="inlineStr">
        <is>
          <t>16/02/2026</t>
        </is>
      </c>
      <c r="E762" s="1" t="n">
        <v>2026</v>
      </c>
      <c r="F762" s="1" t="inlineStr">
        <is>
          <t>FEBRERO</t>
        </is>
      </c>
      <c r="G762" s="1" t="inlineStr">
        <is>
          <t>COCO ZHANG</t>
        </is>
      </c>
      <c r="H762" s="1" t="inlineStr">
        <is>
          <t>COCO ZHANG 16/02/2026</t>
        </is>
      </c>
      <c r="I762" s="4" t="n">
        <v>1</v>
      </c>
      <c r="J762" s="6" t="n">
        <v>15</v>
      </c>
      <c r="K762" s="6" t="n">
        <v>309</v>
      </c>
      <c r="L762" s="6">
        <f>I762*K762</f>
        <v/>
      </c>
      <c r="M762" s="6">
        <f>K762*4</f>
        <v/>
      </c>
      <c r="N762" s="6" t="n">
        <v>1550</v>
      </c>
    </row>
    <row r="763">
      <c r="A763" s="1" t="inlineStr">
        <is>
          <t>26853591721805</t>
        </is>
      </c>
      <c r="B763" s="1" t="inlineStr">
        <is>
          <t>GORRA DANDY X JUNIOR CLAVE ALI</t>
        </is>
      </c>
      <c r="C763" s="1" t="inlineStr">
        <is>
          <t>Default Title</t>
        </is>
      </c>
      <c r="D763" s="1" t="inlineStr">
        <is>
          <t>16/02/2026</t>
        </is>
      </c>
      <c r="E763" s="1" t="n">
        <v>2026</v>
      </c>
      <c r="F763" s="1" t="inlineStr">
        <is>
          <t>FEBRERO</t>
        </is>
      </c>
      <c r="G763" s="1" t="inlineStr">
        <is>
          <t>COCO ZHANG</t>
        </is>
      </c>
      <c r="H763" s="1" t="inlineStr">
        <is>
          <t>COCO ZHANG 16/02/2026</t>
        </is>
      </c>
      <c r="I763" s="4" t="n">
        <v>1</v>
      </c>
      <c r="J763" s="6" t="n">
        <v>15</v>
      </c>
      <c r="K763" s="6" t="n">
        <v>309</v>
      </c>
      <c r="L763" s="6">
        <f>I763*K763</f>
        <v/>
      </c>
      <c r="M763" s="6">
        <f>K763*4</f>
        <v/>
      </c>
      <c r="N763" s="6" t="n">
        <v>1007</v>
      </c>
    </row>
    <row r="764">
      <c r="A764" s="1" t="inlineStr">
        <is>
          <t>26853591847789</t>
        </is>
      </c>
      <c r="B764" s="1" t="inlineStr">
        <is>
          <t>GORRA EL BARBAS GALAXY</t>
        </is>
      </c>
      <c r="C764" s="1" t="inlineStr">
        <is>
          <t>Default Title</t>
        </is>
      </c>
      <c r="D764" s="1" t="inlineStr">
        <is>
          <t>16/02/2026</t>
        </is>
      </c>
      <c r="E764" s="1" t="n">
        <v>2026</v>
      </c>
      <c r="F764" s="1" t="inlineStr">
        <is>
          <t>FEBRERO</t>
        </is>
      </c>
      <c r="G764" s="1" t="inlineStr">
        <is>
          <t>COCO ZHANG</t>
        </is>
      </c>
      <c r="H764" s="1" t="inlineStr">
        <is>
          <t>COCO ZHANG 16/02/2026</t>
        </is>
      </c>
      <c r="I764" s="4" t="n">
        <v>2</v>
      </c>
      <c r="J764" s="6" t="n">
        <v>15</v>
      </c>
      <c r="K764" s="6" t="n">
        <v>309</v>
      </c>
      <c r="L764" s="6">
        <f>I764*K764</f>
        <v/>
      </c>
      <c r="M764" s="6">
        <f>K764*4</f>
        <v/>
      </c>
      <c r="N764" s="6" t="n">
        <v>1550</v>
      </c>
    </row>
    <row r="765">
      <c r="A765" s="1" t="inlineStr">
        <is>
          <t>26853591980557</t>
        </is>
      </c>
      <c r="B765" s="1" t="inlineStr">
        <is>
          <t>GORRA BARBAS B CHROME</t>
        </is>
      </c>
      <c r="C765" s="1" t="inlineStr">
        <is>
          <t>Default Title</t>
        </is>
      </c>
      <c r="D765" s="1" t="inlineStr">
        <is>
          <t>16/02/2026</t>
        </is>
      </c>
      <c r="E765" s="1" t="n">
        <v>2026</v>
      </c>
      <c r="F765" s="1" t="inlineStr">
        <is>
          <t>FEBRERO</t>
        </is>
      </c>
      <c r="G765" s="1" t="inlineStr">
        <is>
          <t>COCO ZHANG</t>
        </is>
      </c>
      <c r="H765" s="1" t="inlineStr">
        <is>
          <t>COCO ZHANG 16/02/2026</t>
        </is>
      </c>
      <c r="I765" s="4" t="n">
        <v>1</v>
      </c>
      <c r="J765" s="6" t="n">
        <v>15</v>
      </c>
      <c r="K765" s="6" t="n">
        <v>309</v>
      </c>
      <c r="L765" s="6">
        <f>I765*K765</f>
        <v/>
      </c>
      <c r="M765" s="6">
        <f>K765*4</f>
        <v/>
      </c>
      <c r="N765" s="6" t="n">
        <v>1199</v>
      </c>
    </row>
    <row r="766">
      <c r="A766" s="1" t="inlineStr">
        <is>
          <t>26853592046093</t>
        </is>
      </c>
      <c r="B766" s="1" t="inlineStr">
        <is>
          <t>GORRA DANDY X LOST HILLS LH CHROME</t>
        </is>
      </c>
      <c r="C766" s="1" t="inlineStr">
        <is>
          <t>Default Title</t>
        </is>
      </c>
      <c r="D766" s="1" t="inlineStr">
        <is>
          <t>16/02/2026</t>
        </is>
      </c>
      <c r="E766" s="1" t="n">
        <v>2026</v>
      </c>
      <c r="F766" s="1" t="inlineStr">
        <is>
          <t>FEBRERO</t>
        </is>
      </c>
      <c r="G766" s="1" t="inlineStr">
        <is>
          <t>COCO ZHANG</t>
        </is>
      </c>
      <c r="H766" s="1" t="inlineStr">
        <is>
          <t>COCO ZHANG 16/02/2026</t>
        </is>
      </c>
      <c r="I766" s="4" t="n">
        <v>1</v>
      </c>
      <c r="J766" s="6" t="n">
        <v>15</v>
      </c>
      <c r="K766" s="6" t="n">
        <v>309</v>
      </c>
      <c r="L766" s="6">
        <f>I766*K766</f>
        <v/>
      </c>
      <c r="M766" s="6">
        <f>K766*4</f>
        <v/>
      </c>
      <c r="N766" s="6" t="n">
        <v>1550</v>
      </c>
    </row>
    <row r="767">
      <c r="A767" s="1" t="inlineStr">
        <is>
          <t>26853592178861</t>
        </is>
      </c>
      <c r="B767" s="1" t="inlineStr">
        <is>
          <t>GORRA 31 FOREVER BLACK</t>
        </is>
      </c>
      <c r="C767" s="1" t="inlineStr">
        <is>
          <t>Default Title</t>
        </is>
      </c>
      <c r="D767" s="1" t="inlineStr">
        <is>
          <t>16/02/2026</t>
        </is>
      </c>
      <c r="E767" s="1" t="n">
        <v>2026</v>
      </c>
      <c r="F767" s="1" t="inlineStr">
        <is>
          <t>FEBRERO</t>
        </is>
      </c>
      <c r="G767" s="1" t="inlineStr">
        <is>
          <t>COCO ZHANG</t>
        </is>
      </c>
      <c r="H767" s="1" t="inlineStr">
        <is>
          <t>COCO ZHANG 16/02/2026</t>
        </is>
      </c>
      <c r="I767" s="4" t="n">
        <v>1</v>
      </c>
      <c r="J767" s="6" t="n">
        <v>15</v>
      </c>
      <c r="K767" s="6" t="n">
        <v>309</v>
      </c>
      <c r="L767" s="6">
        <f>I767*K767</f>
        <v/>
      </c>
      <c r="M767" s="6">
        <f>K767*4</f>
        <v/>
      </c>
      <c r="N767" s="6" t="n">
        <v>1550</v>
      </c>
    </row>
    <row r="768">
      <c r="A768" s="1" t="inlineStr">
        <is>
          <t>26853592244397</t>
        </is>
      </c>
      <c r="B768" s="1" t="inlineStr">
        <is>
          <t>GORRA EL BARBAS 77</t>
        </is>
      </c>
      <c r="C768" s="1" t="inlineStr">
        <is>
          <t>Default Title</t>
        </is>
      </c>
      <c r="D768" s="1" t="inlineStr">
        <is>
          <t>16/02/2026</t>
        </is>
      </c>
      <c r="E768" s="1" t="n">
        <v>2026</v>
      </c>
      <c r="F768" s="1" t="inlineStr">
        <is>
          <t>FEBRERO</t>
        </is>
      </c>
      <c r="G768" s="1" t="inlineStr">
        <is>
          <t>COCO ZHANG</t>
        </is>
      </c>
      <c r="H768" s="1" t="inlineStr">
        <is>
          <t>COCO ZHANG 16/02/2026</t>
        </is>
      </c>
      <c r="I768" s="4" t="n">
        <v>1</v>
      </c>
      <c r="J768" s="6" t="n">
        <v>15</v>
      </c>
      <c r="K768" s="6" t="n">
        <v>309</v>
      </c>
      <c r="L768" s="6">
        <f>I768*K768</f>
        <v/>
      </c>
      <c r="M768" s="6">
        <f>K768*4</f>
        <v/>
      </c>
      <c r="N768" s="6" t="n">
        <v>1550</v>
      </c>
    </row>
    <row r="769">
      <c r="A769" s="1" t="inlineStr">
        <is>
          <t>27009181053197</t>
        </is>
      </c>
      <c r="B769" s="1" t="inlineStr">
        <is>
          <t>ANILLO PANTHERE BIG SILVER C</t>
        </is>
      </c>
      <c r="C769" s="1" t="inlineStr">
        <is>
          <t>Default Title</t>
        </is>
      </c>
      <c r="D769" s="1" t="inlineStr">
        <is>
          <t>11/11/2025</t>
        </is>
      </c>
      <c r="E769" s="1" t="n">
        <v>2025</v>
      </c>
      <c r="F769" s="1" t="inlineStr">
        <is>
          <t>NOVIEMBRE</t>
        </is>
      </c>
      <c r="G769" s="1" t="inlineStr">
        <is>
          <t>HAIFENG</t>
        </is>
      </c>
      <c r="H769" s="1" t="inlineStr">
        <is>
          <t>HAIFENG 11/11/2025</t>
        </is>
      </c>
      <c r="I769" s="4" t="n">
        <v>4</v>
      </c>
      <c r="J769" s="6" t="n">
        <v>9</v>
      </c>
      <c r="K769" s="6" t="n">
        <v>189.544486</v>
      </c>
      <c r="L769" s="6">
        <f>I769*K769</f>
        <v/>
      </c>
      <c r="M769" s="6">
        <f>K769*4</f>
        <v/>
      </c>
      <c r="N769" s="6" t="n">
        <v>750</v>
      </c>
    </row>
    <row r="770">
      <c r="A770" s="1" t="inlineStr">
        <is>
          <t>27009181053197</t>
        </is>
      </c>
      <c r="B770" s="1" t="inlineStr">
        <is>
          <t>ANILLO PANTHERE BIG SILVER C</t>
        </is>
      </c>
      <c r="C770" s="1" t="inlineStr">
        <is>
          <t>Default Title</t>
        </is>
      </c>
      <c r="D770" s="1" t="inlineStr">
        <is>
          <t>03/12/2025</t>
        </is>
      </c>
      <c r="E770" s="1" t="n">
        <v>2025</v>
      </c>
      <c r="F770" s="1" t="inlineStr">
        <is>
          <t>DICIEMBRE</t>
        </is>
      </c>
      <c r="G770" s="1" t="inlineStr">
        <is>
          <t>HAIFENG</t>
        </is>
      </c>
      <c r="H770" s="1" t="inlineStr">
        <is>
          <t>HAIFENG 03/12/2025</t>
        </is>
      </c>
      <c r="I770" s="4" t="n">
        <v>2</v>
      </c>
      <c r="J770" s="6" t="n">
        <v>9</v>
      </c>
      <c r="K770" s="6" t="n">
        <v>188.2544401</v>
      </c>
      <c r="L770" s="6">
        <f>I770*K770</f>
        <v/>
      </c>
      <c r="M770" s="6">
        <f>K770*4</f>
        <v/>
      </c>
      <c r="N770" s="6" t="n">
        <v>750</v>
      </c>
    </row>
    <row r="771">
      <c r="A771" s="1" t="inlineStr">
        <is>
          <t>27127011173132</t>
        </is>
      </c>
      <c r="B771" s="1" t="inlineStr">
        <is>
          <t>COLLAR Bzero SILVER BLACK</t>
        </is>
      </c>
      <c r="C771" s="1" t="inlineStr">
        <is>
          <t>41cm de largo con 8cm de Extension.</t>
        </is>
      </c>
      <c r="D771" s="1" t="inlineStr">
        <is>
          <t>03/12/2025</t>
        </is>
      </c>
      <c r="E771" s="1" t="n">
        <v>2025</v>
      </c>
      <c r="F771" s="1" t="inlineStr">
        <is>
          <t>DICIEMBRE</t>
        </is>
      </c>
      <c r="G771" s="1" t="inlineStr">
        <is>
          <t>HAIFENG</t>
        </is>
      </c>
      <c r="H771" s="1" t="inlineStr">
        <is>
          <t>HAIFENG 03/12/2025</t>
        </is>
      </c>
      <c r="I771" s="4" t="n">
        <v>2</v>
      </c>
      <c r="J771" s="6" t="n">
        <v>5</v>
      </c>
      <c r="K771" s="6" t="n">
        <v>104.5858001</v>
      </c>
      <c r="L771" s="6">
        <f>I771*K771</f>
        <v/>
      </c>
      <c r="M771" s="6">
        <f>K771*4</f>
        <v/>
      </c>
      <c r="N771" s="6" t="n">
        <v>550</v>
      </c>
    </row>
    <row r="772">
      <c r="A772" s="1" t="inlineStr">
        <is>
          <t>27127011173132</t>
        </is>
      </c>
      <c r="B772" s="1" t="inlineStr">
        <is>
          <t>COLLAR Bzero SILVER BLACK</t>
        </is>
      </c>
      <c r="C772" s="1" t="inlineStr">
        <is>
          <t>41cm de largo con 8cm de Extension.</t>
        </is>
      </c>
      <c r="D772" s="1" t="inlineStr">
        <is>
          <t>16/04/2026</t>
        </is>
      </c>
      <c r="E772" s="1" t="n">
        <v>2026</v>
      </c>
      <c r="F772" s="1" t="inlineStr">
        <is>
          <t>ABRIL</t>
        </is>
      </c>
      <c r="G772" s="1" t="inlineStr">
        <is>
          <t>HAIFENG</t>
        </is>
      </c>
      <c r="H772" s="1" t="inlineStr">
        <is>
          <t>HAIFENG 16/04/2026</t>
        </is>
      </c>
      <c r="I772" s="4" t="n">
        <v>5</v>
      </c>
      <c r="J772" s="6" t="n">
        <v>5</v>
      </c>
      <c r="K772" s="6" t="n">
        <v>105.1573679</v>
      </c>
      <c r="L772" s="6">
        <f>I772*K772</f>
        <v/>
      </c>
      <c r="M772" s="6">
        <f>K772*4</f>
        <v/>
      </c>
      <c r="N772" s="6" t="n">
        <v>550</v>
      </c>
    </row>
    <row r="773">
      <c r="A773" s="1" t="inlineStr">
        <is>
          <t>27127011173132</t>
        </is>
      </c>
      <c r="B773" s="1" t="inlineStr">
        <is>
          <t>COLLAR Bzero SILVER BLACK</t>
        </is>
      </c>
      <c r="C773" s="1" t="inlineStr">
        <is>
          <t>41cm de largo con 8cm de Extension.</t>
        </is>
      </c>
      <c r="D773" s="1" t="inlineStr">
        <is>
          <t>16/06/2026</t>
        </is>
      </c>
      <c r="E773" s="1" t="n">
        <v>2026</v>
      </c>
      <c r="F773" s="1" t="inlineStr">
        <is>
          <t>JUNIO</t>
        </is>
      </c>
      <c r="G773" s="1" t="inlineStr">
        <is>
          <t>HAIFENG</t>
        </is>
      </c>
      <c r="H773" s="1" t="inlineStr">
        <is>
          <t>HAIFENG 16/06/2026</t>
        </is>
      </c>
      <c r="I773" s="4" t="n">
        <v>6</v>
      </c>
      <c r="J773" s="6" t="n">
        <v>5</v>
      </c>
      <c r="K773" s="6" t="n">
        <v>105.0730323</v>
      </c>
      <c r="L773" s="6">
        <f>I773*K773</f>
        <v/>
      </c>
      <c r="M773" s="6">
        <f>K773*4</f>
        <v/>
      </c>
      <c r="N773" s="6" t="n">
        <v>550</v>
      </c>
    </row>
    <row r="774">
      <c r="A774" s="1" t="inlineStr">
        <is>
          <t>27127017235212</t>
        </is>
      </c>
      <c r="B774" s="1" t="inlineStr">
        <is>
          <t>COLLAR Bzero ROSEGOLD BLACK</t>
        </is>
      </c>
      <c r="C774" s="1" t="inlineStr">
        <is>
          <t>41cm de largo con 8cm de extensión</t>
        </is>
      </c>
      <c r="D774" s="1" t="inlineStr">
        <is>
          <t>11/11/2025</t>
        </is>
      </c>
      <c r="E774" s="1" t="n">
        <v>2025</v>
      </c>
      <c r="F774" s="1" t="inlineStr">
        <is>
          <t>NOVIEMBRE</t>
        </is>
      </c>
      <c r="G774" s="1" t="inlineStr">
        <is>
          <t>HAIFENG</t>
        </is>
      </c>
      <c r="H774" s="1" t="inlineStr">
        <is>
          <t>HAIFENG 11/11/2025</t>
        </is>
      </c>
      <c r="I774" s="4" t="n">
        <v>2</v>
      </c>
      <c r="J774" s="6" t="n">
        <v>3.99</v>
      </c>
      <c r="K774" s="6" t="n">
        <v>84.03138878999999</v>
      </c>
      <c r="L774" s="6">
        <f>I774*K774</f>
        <v/>
      </c>
      <c r="M774" s="6">
        <f>K774*4</f>
        <v/>
      </c>
      <c r="N774" s="6" t="n">
        <v>550</v>
      </c>
    </row>
    <row r="775">
      <c r="A775" s="1" t="inlineStr">
        <is>
          <t>27127017235212</t>
        </is>
      </c>
      <c r="B775" s="1" t="inlineStr">
        <is>
          <t>COLLAR Bzero ROSEGOLD BLACK</t>
        </is>
      </c>
      <c r="C775" s="1" t="inlineStr">
        <is>
          <t>41cm de largo con 8cm de extensión</t>
        </is>
      </c>
      <c r="D775" s="1" t="inlineStr">
        <is>
          <t>10/02/2026</t>
        </is>
      </c>
      <c r="E775" s="1" t="n">
        <v>2026</v>
      </c>
      <c r="F775" s="1" t="inlineStr">
        <is>
          <t>FEBRERO</t>
        </is>
      </c>
      <c r="G775" s="1" t="inlineStr">
        <is>
          <t>HAIFENG</t>
        </is>
      </c>
      <c r="H775" s="1" t="inlineStr">
        <is>
          <t>HAIFENG 10/02/2026</t>
        </is>
      </c>
      <c r="I775" s="4" t="n">
        <v>3</v>
      </c>
      <c r="J775" s="6" t="n">
        <v>3.99</v>
      </c>
      <c r="K775" s="6" t="n">
        <v>84.0632993</v>
      </c>
      <c r="L775" s="6">
        <f>I775*K775</f>
        <v/>
      </c>
      <c r="M775" s="6">
        <f>K775*4</f>
        <v/>
      </c>
      <c r="N775" s="6" t="n">
        <v>550</v>
      </c>
    </row>
    <row r="776">
      <c r="A776" s="1" t="inlineStr">
        <is>
          <t>27168511089165</t>
        </is>
      </c>
      <c r="B776" s="1" t="inlineStr">
        <is>
          <t>BOLSA GG SMALL BROWN</t>
        </is>
      </c>
      <c r="C776" s="1" t="inlineStr">
        <is>
          <t>Default Title</t>
        </is>
      </c>
      <c r="D776" s="1" t="inlineStr">
        <is>
          <t>02/10/2025</t>
        </is>
      </c>
      <c r="E776" s="1" t="n">
        <v>2025</v>
      </c>
      <c r="F776" s="1" t="inlineStr">
        <is>
          <t>OCTUBRE</t>
        </is>
      </c>
      <c r="G776" s="1" t="inlineStr">
        <is>
          <t>ZOEY</t>
        </is>
      </c>
      <c r="H776" s="1" t="inlineStr">
        <is>
          <t>ZOEY 02/10/2025</t>
        </is>
      </c>
      <c r="I776" s="4" t="n">
        <v>3</v>
      </c>
      <c r="J776" s="6" t="n">
        <v>28</v>
      </c>
      <c r="K776" s="6" t="n">
        <v>661.470208</v>
      </c>
      <c r="L776" s="6">
        <f>I776*K776</f>
        <v/>
      </c>
      <c r="M776" s="6">
        <f>K776*4</f>
        <v/>
      </c>
      <c r="N776" s="6" t="n">
        <v>3850</v>
      </c>
    </row>
    <row r="777">
      <c r="A777" s="1" t="inlineStr">
        <is>
          <t>27168511089165</t>
        </is>
      </c>
      <c r="B777" s="1" t="inlineStr">
        <is>
          <t>BOLSA GG SMALL BROWN</t>
        </is>
      </c>
      <c r="C777" s="1" t="inlineStr">
        <is>
          <t>Default Title</t>
        </is>
      </c>
      <c r="D777" s="1" t="inlineStr">
        <is>
          <t>20/01/2026</t>
        </is>
      </c>
      <c r="E777" s="1" t="n">
        <v>2026</v>
      </c>
      <c r="F777" s="1" t="inlineStr">
        <is>
          <t>ENERO</t>
        </is>
      </c>
      <c r="G777" s="1" t="inlineStr">
        <is>
          <t>ZOEY</t>
        </is>
      </c>
      <c r="H777" s="1" t="inlineStr">
        <is>
          <t>ZOEY 20/01/2026</t>
        </is>
      </c>
      <c r="I777" s="4" t="n">
        <v>5</v>
      </c>
      <c r="J777" s="6" t="n">
        <v>46</v>
      </c>
      <c r="K777" s="6" t="n">
        <v>1197.453571</v>
      </c>
      <c r="L777" s="6">
        <f>I777*K777</f>
        <v/>
      </c>
      <c r="M777" s="6">
        <f>K777*4</f>
        <v/>
      </c>
      <c r="N777" s="6" t="n">
        <v>4230.59</v>
      </c>
    </row>
    <row r="778">
      <c r="A778" s="1" t="inlineStr">
        <is>
          <t>27168511089165</t>
        </is>
      </c>
      <c r="B778" s="1" t="inlineStr">
        <is>
          <t>BOLSA GG SMALL BROWN</t>
        </is>
      </c>
      <c r="C778" s="1" t="inlineStr">
        <is>
          <t>Default Title</t>
        </is>
      </c>
      <c r="D778" s="1" t="inlineStr">
        <is>
          <t>02/03/2026</t>
        </is>
      </c>
      <c r="E778" s="1" t="n">
        <v>2026</v>
      </c>
      <c r="F778" s="1" t="inlineStr">
        <is>
          <t>MARZO</t>
        </is>
      </c>
      <c r="G778" s="1" t="inlineStr">
        <is>
          <t>ZOEY</t>
        </is>
      </c>
      <c r="H778" s="1" t="inlineStr">
        <is>
          <t>ZOEY 02/03/2026</t>
        </is>
      </c>
      <c r="I778" s="4" t="n">
        <v>4</v>
      </c>
      <c r="J778" s="6" t="n">
        <v>46</v>
      </c>
      <c r="K778" s="6" t="n">
        <v>1208.740883</v>
      </c>
      <c r="L778" s="6">
        <f>I778*K778</f>
        <v/>
      </c>
      <c r="M778" s="6">
        <f>K778*4</f>
        <v/>
      </c>
      <c r="N778" s="6" t="n">
        <v>4230.59309132948</v>
      </c>
    </row>
    <row r="779">
      <c r="A779" s="1" t="inlineStr">
        <is>
          <t>27854241086413</t>
        </is>
      </c>
      <c r="B779" s="1" t="inlineStr">
        <is>
          <t>ARETES T KNOT GOLD</t>
        </is>
      </c>
      <c r="C779" s="1" t="inlineStr">
        <is>
          <t>Default Title</t>
        </is>
      </c>
      <c r="D779" s="1" t="inlineStr">
        <is>
          <t>11/11/2025</t>
        </is>
      </c>
      <c r="E779" s="1" t="n">
        <v>2025</v>
      </c>
      <c r="F779" s="1" t="inlineStr">
        <is>
          <t>NOVIEMBRE</t>
        </is>
      </c>
      <c r="G779" s="1" t="inlineStr">
        <is>
          <t>HAIFENG</t>
        </is>
      </c>
      <c r="H779" s="1" t="inlineStr">
        <is>
          <t>HAIFENG 11/11/2025</t>
        </is>
      </c>
      <c r="I779" s="4" t="n">
        <v>4</v>
      </c>
      <c r="J779" s="6" t="n">
        <v>5.5</v>
      </c>
      <c r="K779" s="6" t="n">
        <v>115.8327414</v>
      </c>
      <c r="L779" s="6">
        <f>I779*K779</f>
        <v/>
      </c>
      <c r="M779" s="6">
        <f>K779*4</f>
        <v/>
      </c>
      <c r="N779" s="6" t="n">
        <v>250</v>
      </c>
    </row>
    <row r="780">
      <c r="A780" s="1" t="inlineStr">
        <is>
          <t>27854241086413</t>
        </is>
      </c>
      <c r="B780" s="1" t="inlineStr">
        <is>
          <t>ARETES KNOT GOLD</t>
        </is>
      </c>
      <c r="C780" s="1" t="inlineStr">
        <is>
          <t>Default Title</t>
        </is>
      </c>
      <c r="D780" s="1" t="inlineStr">
        <is>
          <t>16/06/2026</t>
        </is>
      </c>
      <c r="E780" s="1" t="n">
        <v>2026</v>
      </c>
      <c r="F780" s="1" t="inlineStr">
        <is>
          <t>JUNIO</t>
        </is>
      </c>
      <c r="G780" s="1" t="inlineStr">
        <is>
          <t>HAIFENG</t>
        </is>
      </c>
      <c r="H780" s="1" t="inlineStr">
        <is>
          <t>HAIFENG 16/06/2026</t>
        </is>
      </c>
      <c r="I780" s="4" t="n">
        <v>3</v>
      </c>
      <c r="J780" s="6" t="n">
        <v>5.5</v>
      </c>
      <c r="K780" s="6" t="n">
        <v>115.5803355</v>
      </c>
      <c r="L780" s="6">
        <f>I780*K780</f>
        <v/>
      </c>
      <c r="M780" s="6">
        <f>K780*4</f>
        <v/>
      </c>
      <c r="N780" s="6" t="n">
        <v>250</v>
      </c>
    </row>
    <row r="781">
      <c r="A781" s="1" t="inlineStr">
        <is>
          <t>29024531094765</t>
        </is>
      </c>
      <c r="B781" s="1" t="inlineStr">
        <is>
          <t>UGG PANTUFLAS TAZZ II</t>
        </is>
      </c>
      <c r="C781" s="1" t="inlineStr">
        <is>
          <t>23CM</t>
        </is>
      </c>
      <c r="D781" s="1" t="inlineStr">
        <is>
          <t>25/10/2025</t>
        </is>
      </c>
      <c r="E781" s="1" t="n">
        <v>2025</v>
      </c>
      <c r="F781" s="1" t="inlineStr">
        <is>
          <t>OCTUBRE</t>
        </is>
      </c>
      <c r="G781" s="1" t="inlineStr">
        <is>
          <t>ZOEY</t>
        </is>
      </c>
      <c r="H781" s="1" t="inlineStr">
        <is>
          <t>ZOEY 25/10/2025</t>
        </is>
      </c>
      <c r="I781" s="4" t="n">
        <v>2</v>
      </c>
      <c r="J781" s="6" t="n">
        <v>48</v>
      </c>
      <c r="K781" s="6" t="n">
        <v>1190.405247</v>
      </c>
      <c r="L781" s="6">
        <f>I781*K781</f>
        <v/>
      </c>
      <c r="M781" s="6">
        <f>K781*4</f>
        <v/>
      </c>
      <c r="N781" s="6" t="n">
        <v>2793</v>
      </c>
    </row>
    <row r="782">
      <c r="A782" s="1" t="inlineStr">
        <is>
          <t>29502191036205</t>
        </is>
      </c>
      <c r="B782" s="1" t="inlineStr">
        <is>
          <t>ANILLO LV LES GASTONS SILVER</t>
        </is>
      </c>
      <c r="C782" s="1" t="n">
        <v>8</v>
      </c>
      <c r="D782" s="1" t="inlineStr">
        <is>
          <t>02/10/2025</t>
        </is>
      </c>
      <c r="E782" s="1" t="n">
        <v>2025</v>
      </c>
      <c r="F782" s="1" t="inlineStr">
        <is>
          <t>OCTUBRE</t>
        </is>
      </c>
      <c r="G782" s="1" t="inlineStr">
        <is>
          <t>ZOEY</t>
        </is>
      </c>
      <c r="H782" s="1" t="inlineStr">
        <is>
          <t>ZOEY 02/10/2025</t>
        </is>
      </c>
      <c r="I782" s="4" t="n">
        <v>3</v>
      </c>
      <c r="J782" s="6" t="n">
        <v>9</v>
      </c>
      <c r="K782" s="6" t="n">
        <v>212.615424</v>
      </c>
      <c r="L782" s="6">
        <f>I782*K782</f>
        <v/>
      </c>
      <c r="M782" s="6">
        <f>K782*4</f>
        <v/>
      </c>
      <c r="N782" s="6" t="n">
        <v>652</v>
      </c>
    </row>
    <row r="783">
      <c r="A783" s="1" t="inlineStr">
        <is>
          <t>29502191036206</t>
        </is>
      </c>
      <c r="B783" s="1" t="n"/>
      <c r="C783" s="1" t="n">
        <v>9</v>
      </c>
      <c r="D783" s="1" t="inlineStr">
        <is>
          <t>02/10/2025</t>
        </is>
      </c>
      <c r="E783" s="1" t="n">
        <v>2025</v>
      </c>
      <c r="F783" s="1" t="inlineStr">
        <is>
          <t>OCTUBRE</t>
        </is>
      </c>
      <c r="G783" s="1" t="inlineStr">
        <is>
          <t>ZOEY</t>
        </is>
      </c>
      <c r="H783" s="1" t="inlineStr">
        <is>
          <t>ZOEY 02/10/2025</t>
        </is>
      </c>
      <c r="I783" s="4" t="n">
        <v>2</v>
      </c>
      <c r="J783" s="6" t="n">
        <v>9</v>
      </c>
      <c r="K783" s="6" t="n">
        <v>212.615424</v>
      </c>
      <c r="L783" s="6">
        <f>I783*K783</f>
        <v/>
      </c>
      <c r="M783" s="6">
        <f>K783*4</f>
        <v/>
      </c>
      <c r="N783" s="6" t="n">
        <v>652</v>
      </c>
    </row>
    <row r="784">
      <c r="A784" s="1" t="inlineStr">
        <is>
          <t>29603521001805</t>
        </is>
      </c>
      <c r="B784" s="1" t="inlineStr">
        <is>
          <t>ARRACADAS CD LOGO CON ZIRCONIAS</t>
        </is>
      </c>
      <c r="C784" s="1" t="inlineStr">
        <is>
          <t>Default Title</t>
        </is>
      </c>
      <c r="D784" s="1" t="inlineStr">
        <is>
          <t>25/10/2025</t>
        </is>
      </c>
      <c r="E784" s="1" t="n">
        <v>2025</v>
      </c>
      <c r="F784" s="1" t="inlineStr">
        <is>
          <t>OCTUBRE</t>
        </is>
      </c>
      <c r="G784" s="1" t="inlineStr">
        <is>
          <t>CYNTHIA</t>
        </is>
      </c>
      <c r="H784" s="1" t="inlineStr">
        <is>
          <t>CYNTHIA 25/10/2025</t>
        </is>
      </c>
      <c r="I784" s="4" t="n">
        <v>3</v>
      </c>
      <c r="J784" s="6" t="n">
        <v>8.800000000000001</v>
      </c>
      <c r="K784" s="6" t="n">
        <v>230.5760476</v>
      </c>
      <c r="L784" s="6">
        <f>I784*K784</f>
        <v/>
      </c>
      <c r="M784" s="6">
        <f>K784*4</f>
        <v/>
      </c>
      <c r="N784" s="6" t="n">
        <v>750</v>
      </c>
    </row>
    <row r="785">
      <c r="A785" s="1" t="inlineStr">
        <is>
          <t>29603521001805</t>
        </is>
      </c>
      <c r="B785" s="1" t="inlineStr">
        <is>
          <t>ARRACADAS CD LOGO CON ZIRCONIAS</t>
        </is>
      </c>
      <c r="C785" s="1" t="inlineStr">
        <is>
          <t>Default Title</t>
        </is>
      </c>
      <c r="D785" s="1" t="inlineStr">
        <is>
          <t>27/04/2026</t>
        </is>
      </c>
      <c r="E785" s="1" t="n">
        <v>2026</v>
      </c>
      <c r="F785" s="1" t="inlineStr">
        <is>
          <t>ABRIL</t>
        </is>
      </c>
      <c r="G785" s="1" t="inlineStr">
        <is>
          <t>CYNTHIA</t>
        </is>
      </c>
      <c r="H785" s="1" t="inlineStr">
        <is>
          <t>CYNTHIA 27/04/2026</t>
        </is>
      </c>
      <c r="I785" s="4" t="n">
        <v>2</v>
      </c>
      <c r="J785" s="6" t="n">
        <v>8.800000000000001</v>
      </c>
      <c r="K785" s="6" t="n">
        <v>228.360815</v>
      </c>
      <c r="L785" s="6">
        <f>I785*K785</f>
        <v/>
      </c>
      <c r="M785" s="6">
        <f>K785*4</f>
        <v/>
      </c>
      <c r="N785" s="6" t="n">
        <v>915</v>
      </c>
    </row>
    <row r="786">
      <c r="A786" s="1" t="inlineStr">
        <is>
          <t>29736661018765</t>
        </is>
      </c>
      <c r="B786" s="1" t="inlineStr">
        <is>
          <t>PULSERA CD D-LUCK GOLD</t>
        </is>
      </c>
      <c r="C786" s="1" t="inlineStr">
        <is>
          <t>Default Title</t>
        </is>
      </c>
      <c r="D786" s="1" t="inlineStr">
        <is>
          <t>05/02/2026</t>
        </is>
      </c>
      <c r="E786" s="1" t="n">
        <v>2026</v>
      </c>
      <c r="F786" s="1" t="inlineStr">
        <is>
          <t>FEBRERO</t>
        </is>
      </c>
      <c r="G786" s="1" t="inlineStr">
        <is>
          <t>HAIFENG</t>
        </is>
      </c>
      <c r="H786" s="1" t="inlineStr">
        <is>
          <t>HAIFENG 05/02/2026</t>
        </is>
      </c>
      <c r="I786" s="4" t="n">
        <v>2</v>
      </c>
      <c r="J786" s="6" t="n">
        <v>18</v>
      </c>
      <c r="K786" s="6" t="n">
        <v>384.377263</v>
      </c>
      <c r="L786" s="6">
        <f>I786*K786</f>
        <v/>
      </c>
      <c r="M786" s="6">
        <f>K786*4</f>
        <v/>
      </c>
      <c r="N786" s="6" t="n">
        <v>963</v>
      </c>
    </row>
    <row r="787">
      <c r="A787" s="1" t="inlineStr">
        <is>
          <t>29736661175277</t>
        </is>
      </c>
      <c r="B787" s="1" t="inlineStr">
        <is>
          <t>COLLAR CD FLEUR GOLD</t>
        </is>
      </c>
      <c r="C787" s="1" t="inlineStr">
        <is>
          <t>Default Title</t>
        </is>
      </c>
      <c r="D787" s="1" t="inlineStr">
        <is>
          <t>05/02/2026</t>
        </is>
      </c>
      <c r="E787" s="1" t="n">
        <v>2026</v>
      </c>
      <c r="F787" s="1" t="inlineStr">
        <is>
          <t>FEBRERO</t>
        </is>
      </c>
      <c r="G787" s="1" t="inlineStr">
        <is>
          <t>HAIFENG</t>
        </is>
      </c>
      <c r="H787" s="1" t="inlineStr">
        <is>
          <t>HAIFENG 05/02/2026</t>
        </is>
      </c>
      <c r="I787" s="4" t="n">
        <v>3</v>
      </c>
      <c r="J787" s="6" t="n">
        <v>12</v>
      </c>
      <c r="K787" s="6" t="n">
        <v>256.2515086</v>
      </c>
      <c r="L787" s="6">
        <f>I787*K787</f>
        <v/>
      </c>
      <c r="M787" s="6">
        <f>K787*4</f>
        <v/>
      </c>
      <c r="N787" s="6" t="n">
        <v>999</v>
      </c>
    </row>
    <row r="788">
      <c r="A788" s="1" t="inlineStr">
        <is>
          <t>29736661175277</t>
        </is>
      </c>
      <c r="B788" s="1" t="inlineStr">
        <is>
          <t>COLLAR CD FLEUR GOLD</t>
        </is>
      </c>
      <c r="C788" s="1" t="inlineStr">
        <is>
          <t>Default Title</t>
        </is>
      </c>
      <c r="D788" s="1" t="inlineStr">
        <is>
          <t>16/06/2026</t>
        </is>
      </c>
      <c r="E788" s="1" t="n">
        <v>2026</v>
      </c>
      <c r="F788" s="1" t="inlineStr">
        <is>
          <t>JUNIO</t>
        </is>
      </c>
      <c r="G788" s="1" t="inlineStr">
        <is>
          <t>HAIFENG</t>
        </is>
      </c>
      <c r="H788" s="1" t="inlineStr">
        <is>
          <t>HAIFENG 16/06/2026</t>
        </is>
      </c>
      <c r="I788" s="4" t="n">
        <v>2</v>
      </c>
      <c r="J788" s="6" t="n">
        <v>12</v>
      </c>
      <c r="K788" s="6" t="n">
        <v>252.1752775</v>
      </c>
      <c r="L788" s="6">
        <f>I788*K788</f>
        <v/>
      </c>
      <c r="M788" s="6">
        <f>K788*4</f>
        <v/>
      </c>
      <c r="N788" s="6" t="n">
        <v>999</v>
      </c>
    </row>
    <row r="789">
      <c r="A789" s="1" t="inlineStr">
        <is>
          <t>29736661267949</t>
        </is>
      </c>
      <c r="B789" s="1" t="inlineStr">
        <is>
          <t>PULSERA CD PETIT JOLIE METAL GOLD</t>
        </is>
      </c>
      <c r="C789" s="1" t="inlineStr">
        <is>
          <t>Default Title</t>
        </is>
      </c>
      <c r="D789" s="1" t="inlineStr">
        <is>
          <t>05/02/2026</t>
        </is>
      </c>
      <c r="E789" s="1" t="n">
        <v>2026</v>
      </c>
      <c r="F789" s="1" t="inlineStr">
        <is>
          <t>FEBRERO</t>
        </is>
      </c>
      <c r="G789" s="1" t="inlineStr">
        <is>
          <t>HAIFENG</t>
        </is>
      </c>
      <c r="H789" s="1" t="inlineStr">
        <is>
          <t>HAIFENG 05/02/2026</t>
        </is>
      </c>
      <c r="I789" s="4" t="n">
        <v>3</v>
      </c>
      <c r="J789" s="6" t="n">
        <v>10</v>
      </c>
      <c r="K789" s="6" t="n">
        <v>213.5429239</v>
      </c>
      <c r="L789" s="6">
        <f>I789*K789</f>
        <v/>
      </c>
      <c r="M789" s="6">
        <f>K789*4</f>
        <v/>
      </c>
      <c r="N789" s="6" t="n">
        <v>850</v>
      </c>
    </row>
    <row r="790">
      <c r="A790" s="1" t="inlineStr">
        <is>
          <t>29736661267949</t>
        </is>
      </c>
      <c r="B790" s="1" t="inlineStr">
        <is>
          <t>PULSERA CD PETIT JOLIE METAL GOLD</t>
        </is>
      </c>
      <c r="C790" s="1" t="inlineStr">
        <is>
          <t>Default Title</t>
        </is>
      </c>
      <c r="D790" s="1" t="inlineStr">
        <is>
          <t>16/06/2026</t>
        </is>
      </c>
      <c r="E790" s="1" t="n">
        <v>2026</v>
      </c>
      <c r="F790" s="1" t="inlineStr">
        <is>
          <t>JUNIO</t>
        </is>
      </c>
      <c r="G790" s="1" t="inlineStr">
        <is>
          <t>HAIFENG</t>
        </is>
      </c>
      <c r="H790" s="1" t="inlineStr">
        <is>
          <t>HAIFENG 16/06/2026</t>
        </is>
      </c>
      <c r="I790" s="4" t="n">
        <v>5</v>
      </c>
      <c r="J790" s="6" t="n">
        <v>10</v>
      </c>
      <c r="K790" s="6" t="n">
        <v>210.1460646</v>
      </c>
      <c r="L790" s="6">
        <f>I790*K790</f>
        <v/>
      </c>
      <c r="M790" s="6">
        <f>K790*4</f>
        <v/>
      </c>
      <c r="N790" s="6" t="n">
        <v>850</v>
      </c>
    </row>
    <row r="791">
      <c r="A791" s="1" t="inlineStr">
        <is>
          <t>29736661383277</t>
        </is>
      </c>
      <c r="B791" s="1" t="inlineStr">
        <is>
          <t>PULSERA CD PETIT CIRCLE GOLD</t>
        </is>
      </c>
      <c r="C791" s="1" t="inlineStr">
        <is>
          <t>Default Title</t>
        </is>
      </c>
      <c r="D791" s="1" t="inlineStr">
        <is>
          <t>05/02/2026</t>
        </is>
      </c>
      <c r="E791" s="1" t="n">
        <v>2026</v>
      </c>
      <c r="F791" s="1" t="inlineStr">
        <is>
          <t>FEBRERO</t>
        </is>
      </c>
      <c r="G791" s="1" t="inlineStr">
        <is>
          <t>HAIFENG</t>
        </is>
      </c>
      <c r="H791" s="1" t="inlineStr">
        <is>
          <t>HAIFENG 05/02/2026</t>
        </is>
      </c>
      <c r="I791" s="4" t="n">
        <v>3</v>
      </c>
      <c r="J791" s="6" t="n">
        <v>7</v>
      </c>
      <c r="K791" s="6" t="n">
        <v>149.4800467</v>
      </c>
      <c r="L791" s="6">
        <f>I791*K791</f>
        <v/>
      </c>
      <c r="M791" s="6">
        <f>K791*4</f>
        <v/>
      </c>
      <c r="N791" s="6" t="n">
        <v>580</v>
      </c>
    </row>
    <row r="792">
      <c r="A792" s="1" t="inlineStr">
        <is>
          <t>29736661383277</t>
        </is>
      </c>
      <c r="B792" s="1" t="inlineStr">
        <is>
          <t>PULSERA CD PETIT CIRCLE GOLD</t>
        </is>
      </c>
      <c r="C792" s="1" t="inlineStr">
        <is>
          <t>Default Title</t>
        </is>
      </c>
      <c r="D792" s="1" t="inlineStr">
        <is>
          <t>16/06/2026</t>
        </is>
      </c>
      <c r="E792" s="1" t="n">
        <v>2026</v>
      </c>
      <c r="F792" s="1" t="inlineStr">
        <is>
          <t>JUNIO</t>
        </is>
      </c>
      <c r="G792" s="1" t="inlineStr">
        <is>
          <t>HAIFENG</t>
        </is>
      </c>
      <c r="H792" s="1" t="inlineStr">
        <is>
          <t>HAIFENG 16/06/2026</t>
        </is>
      </c>
      <c r="I792" s="4" t="n">
        <v>2</v>
      </c>
      <c r="J792" s="6" t="n">
        <v>7</v>
      </c>
      <c r="K792" s="6" t="n">
        <v>147.1022452</v>
      </c>
      <c r="L792" s="6">
        <f>I792*K792</f>
        <v/>
      </c>
      <c r="M792" s="6">
        <f>K792*4</f>
        <v/>
      </c>
      <c r="N792" s="6" t="n">
        <v>580</v>
      </c>
    </row>
    <row r="793">
      <c r="A793" s="1" t="inlineStr">
        <is>
          <t>29736661440333</t>
        </is>
      </c>
      <c r="B793" s="1" t="inlineStr">
        <is>
          <t>ARETES CD PETIT DUO GOLD</t>
        </is>
      </c>
      <c r="C793" s="1" t="inlineStr">
        <is>
          <t>Default Title</t>
        </is>
      </c>
      <c r="D793" s="1" t="inlineStr">
        <is>
          <t>05/02/2026</t>
        </is>
      </c>
      <c r="E793" s="1" t="n">
        <v>2026</v>
      </c>
      <c r="F793" s="1" t="inlineStr">
        <is>
          <t>FEBRERO</t>
        </is>
      </c>
      <c r="G793" s="1" t="inlineStr">
        <is>
          <t>HAIFENG</t>
        </is>
      </c>
      <c r="H793" s="1" t="inlineStr">
        <is>
          <t>HAIFENG 05/02/2026</t>
        </is>
      </c>
      <c r="I793" s="4" t="n">
        <v>3</v>
      </c>
      <c r="J793" s="6" t="n">
        <v>10</v>
      </c>
      <c r="K793" s="6" t="n">
        <v>213.5429239</v>
      </c>
      <c r="L793" s="6">
        <f>I793*K793</f>
        <v/>
      </c>
      <c r="M793" s="6">
        <f>K793*4</f>
        <v/>
      </c>
      <c r="N793" s="6" t="n">
        <v>850</v>
      </c>
    </row>
    <row r="794">
      <c r="A794" s="1" t="inlineStr">
        <is>
          <t>29736661440333</t>
        </is>
      </c>
      <c r="B794" s="1" t="inlineStr">
        <is>
          <t>ARETES CD PETIT DUO GOLD</t>
        </is>
      </c>
      <c r="C794" s="1" t="inlineStr">
        <is>
          <t>Default Title</t>
        </is>
      </c>
      <c r="D794" s="1" t="inlineStr">
        <is>
          <t>26/05/2026</t>
        </is>
      </c>
      <c r="E794" s="1" t="n">
        <v>2026</v>
      </c>
      <c r="F794" s="1" t="inlineStr">
        <is>
          <t>MAYO</t>
        </is>
      </c>
      <c r="G794" s="1" t="inlineStr">
        <is>
          <t>HAIFENG</t>
        </is>
      </c>
      <c r="H794" s="1" t="inlineStr">
        <is>
          <t>HAIFENG 26/05/2026</t>
        </is>
      </c>
      <c r="I794" s="4" t="n">
        <v>6</v>
      </c>
      <c r="J794" s="6" t="n">
        <v>10</v>
      </c>
      <c r="K794" s="6" t="n">
        <v>209.892953</v>
      </c>
      <c r="L794" s="6">
        <f>I794*K794</f>
        <v/>
      </c>
      <c r="M794" s="6">
        <f>K794*4</f>
        <v/>
      </c>
      <c r="N794" s="6" t="n">
        <v>850</v>
      </c>
    </row>
    <row r="795">
      <c r="A795" s="1" t="inlineStr">
        <is>
          <t>29736661558989</t>
        </is>
      </c>
      <c r="B795" s="1" t="inlineStr">
        <is>
          <t>ARETES CD D-LUCK GOLD</t>
        </is>
      </c>
      <c r="C795" s="1" t="inlineStr">
        <is>
          <t>Default Title</t>
        </is>
      </c>
      <c r="D795" s="1" t="inlineStr">
        <is>
          <t>05/02/2026</t>
        </is>
      </c>
      <c r="E795" s="1" t="n">
        <v>2026</v>
      </c>
      <c r="F795" s="1" t="inlineStr">
        <is>
          <t>FEBRERO</t>
        </is>
      </c>
      <c r="G795" s="1" t="inlineStr">
        <is>
          <t>HAIFENG</t>
        </is>
      </c>
      <c r="H795" s="1" t="inlineStr">
        <is>
          <t>HAIFENG 05/02/2026</t>
        </is>
      </c>
      <c r="I795" s="4" t="n">
        <v>3</v>
      </c>
      <c r="J795" s="6" t="n">
        <v>6</v>
      </c>
      <c r="K795" s="6" t="n">
        <v>128.1257543</v>
      </c>
      <c r="L795" s="6">
        <f>I795*K795</f>
        <v/>
      </c>
      <c r="M795" s="6">
        <f>K795*4</f>
        <v/>
      </c>
      <c r="N795" s="6" t="n">
        <v>620</v>
      </c>
    </row>
    <row r="796">
      <c r="A796" s="1" t="inlineStr">
        <is>
          <t>29736661558989</t>
        </is>
      </c>
      <c r="B796" s="1" t="inlineStr">
        <is>
          <t>ARETES CD D-LUCK GOLD</t>
        </is>
      </c>
      <c r="C796" s="1" t="inlineStr">
        <is>
          <t>Default Title</t>
        </is>
      </c>
      <c r="D796" s="1" t="inlineStr">
        <is>
          <t>26/05/2026</t>
        </is>
      </c>
      <c r="E796" s="1" t="n">
        <v>2026</v>
      </c>
      <c r="F796" s="1" t="inlineStr">
        <is>
          <t>MAYO</t>
        </is>
      </c>
      <c r="G796" s="1" t="inlineStr">
        <is>
          <t>HAIFENG</t>
        </is>
      </c>
      <c r="H796" s="1" t="inlineStr">
        <is>
          <t>HAIFENG 26/05/2026</t>
        </is>
      </c>
      <c r="I796" s="4" t="n">
        <v>6</v>
      </c>
      <c r="J796" s="6" t="n">
        <v>6</v>
      </c>
      <c r="K796" s="6" t="n">
        <v>125.9357718</v>
      </c>
      <c r="L796" s="6">
        <f>I796*K796</f>
        <v/>
      </c>
      <c r="M796" s="6">
        <f>K796*4</f>
        <v/>
      </c>
      <c r="N796" s="6" t="n">
        <v>620</v>
      </c>
    </row>
    <row r="797">
      <c r="A797" s="1" t="inlineStr">
        <is>
          <t>29736661629069</t>
        </is>
      </c>
      <c r="B797" s="1" t="inlineStr">
        <is>
          <t>BROCHE CD PETIT PEARL GOLD</t>
        </is>
      </c>
      <c r="C797" s="1" t="inlineStr">
        <is>
          <t>Default Title</t>
        </is>
      </c>
      <c r="D797" s="1" t="inlineStr">
        <is>
          <t>05/02/2026</t>
        </is>
      </c>
      <c r="E797" s="1" t="n">
        <v>2026</v>
      </c>
      <c r="F797" s="1" t="inlineStr">
        <is>
          <t>FEBRERO</t>
        </is>
      </c>
      <c r="G797" s="1" t="inlineStr">
        <is>
          <t>HAIFENG</t>
        </is>
      </c>
      <c r="H797" s="1" t="inlineStr">
        <is>
          <t>HAIFENG 05/02/2026</t>
        </is>
      </c>
      <c r="I797" s="4" t="n">
        <v>2</v>
      </c>
      <c r="J797" s="6" t="n">
        <v>6</v>
      </c>
      <c r="K797" s="6" t="n">
        <v>128.1257543</v>
      </c>
      <c r="L797" s="6">
        <f>I797*K797</f>
        <v/>
      </c>
      <c r="M797" s="6">
        <f>K797*4</f>
        <v/>
      </c>
      <c r="N797" s="6" t="n">
        <v>550</v>
      </c>
    </row>
    <row r="798">
      <c r="A798" s="1" t="inlineStr">
        <is>
          <t>29736661772013</t>
        </is>
      </c>
      <c r="B798" s="1" t="inlineStr">
        <is>
          <t>COLLAR CD DOBLE PETIT GOLD</t>
        </is>
      </c>
      <c r="C798" s="1" t="inlineStr">
        <is>
          <t>Default Title</t>
        </is>
      </c>
      <c r="D798" s="1" t="inlineStr">
        <is>
          <t>05/02/2026</t>
        </is>
      </c>
      <c r="E798" s="1" t="n">
        <v>2026</v>
      </c>
      <c r="F798" s="1" t="inlineStr">
        <is>
          <t>FEBRERO</t>
        </is>
      </c>
      <c r="G798" s="1" t="inlineStr">
        <is>
          <t>HAIFENG</t>
        </is>
      </c>
      <c r="H798" s="1" t="inlineStr">
        <is>
          <t>HAIFENG 05/02/2026</t>
        </is>
      </c>
      <c r="I798" s="4" t="n">
        <v>3</v>
      </c>
      <c r="J798" s="6" t="n">
        <v>6</v>
      </c>
      <c r="K798" s="6" t="n">
        <v>128.1257543</v>
      </c>
      <c r="L798" s="6">
        <f>I798*K798</f>
        <v/>
      </c>
      <c r="M798" s="6">
        <f>K798*4</f>
        <v/>
      </c>
      <c r="N798" s="6" t="n">
        <v>550</v>
      </c>
    </row>
    <row r="799">
      <c r="A799" s="1" t="inlineStr">
        <is>
          <t>29736661772013</t>
        </is>
      </c>
      <c r="B799" s="1" t="inlineStr">
        <is>
          <t>COLLAR CD DOBLE PETIT GOLD</t>
        </is>
      </c>
      <c r="C799" s="1" t="inlineStr">
        <is>
          <t>Default Title</t>
        </is>
      </c>
      <c r="D799" s="1" t="inlineStr">
        <is>
          <t>06/05/2026</t>
        </is>
      </c>
      <c r="E799" s="1" t="n">
        <v>2026</v>
      </c>
      <c r="F799" s="1" t="inlineStr">
        <is>
          <t>MAYO</t>
        </is>
      </c>
      <c r="G799" s="1" t="inlineStr">
        <is>
          <t>HAIFENG</t>
        </is>
      </c>
      <c r="H799" s="1" t="inlineStr">
        <is>
          <t>HAIFENG 06/05/2026</t>
        </is>
      </c>
      <c r="I799" s="4" t="n">
        <v>5</v>
      </c>
      <c r="J799" s="6" t="n">
        <v>6</v>
      </c>
      <c r="K799" s="6" t="n">
        <v>127.3118536</v>
      </c>
      <c r="L799" s="6">
        <f>I799*K799</f>
        <v/>
      </c>
      <c r="M799" s="6">
        <f>K799*4</f>
        <v/>
      </c>
      <c r="N799" s="6" t="n">
        <v>550</v>
      </c>
    </row>
    <row r="800">
      <c r="A800" s="1" t="inlineStr">
        <is>
          <t>29736661818349</t>
        </is>
      </c>
      <c r="B800" s="1" t="inlineStr">
        <is>
          <t>ANILLO T X GOLD</t>
        </is>
      </c>
      <c r="C800" s="1" t="inlineStr">
        <is>
          <t>6</t>
        </is>
      </c>
      <c r="D800" s="1" t="inlineStr">
        <is>
          <t>05/02/2026</t>
        </is>
      </c>
      <c r="E800" s="1" t="n">
        <v>2026</v>
      </c>
      <c r="F800" s="1" t="inlineStr">
        <is>
          <t>FEBRERO</t>
        </is>
      </c>
      <c r="G800" s="1" t="inlineStr">
        <is>
          <t>HAIFENG</t>
        </is>
      </c>
      <c r="H800" s="1" t="inlineStr">
        <is>
          <t>HAIFENG 05/02/2026</t>
        </is>
      </c>
      <c r="I800" s="4" t="n">
        <v>3</v>
      </c>
      <c r="J800" s="6" t="n">
        <v>6</v>
      </c>
      <c r="K800" s="6" t="n">
        <v>128.1257543</v>
      </c>
      <c r="L800" s="6">
        <f>I800*K800</f>
        <v/>
      </c>
      <c r="M800" s="6">
        <f>K800*4</f>
        <v/>
      </c>
      <c r="N800" s="6" t="n">
        <v>550</v>
      </c>
    </row>
    <row r="801">
      <c r="A801" s="1" t="inlineStr">
        <is>
          <t>29736661818349</t>
        </is>
      </c>
      <c r="B801" s="1" t="inlineStr">
        <is>
          <t>ANILLO T X GOLD</t>
        </is>
      </c>
      <c r="C801" s="1" t="inlineStr">
        <is>
          <t>6</t>
        </is>
      </c>
      <c r="D801" s="1" t="inlineStr">
        <is>
          <t>26/05/2026</t>
        </is>
      </c>
      <c r="E801" s="1" t="n">
        <v>2026</v>
      </c>
      <c r="F801" s="1" t="inlineStr">
        <is>
          <t>MAYO</t>
        </is>
      </c>
      <c r="G801" s="1" t="inlineStr">
        <is>
          <t>HAIFENG</t>
        </is>
      </c>
      <c r="H801" s="1" t="inlineStr">
        <is>
          <t>HAIFENG 26/05/2026</t>
        </is>
      </c>
      <c r="I801" s="4" t="n">
        <v>3</v>
      </c>
      <c r="J801" s="6" t="n">
        <v>6</v>
      </c>
      <c r="K801" s="6" t="n">
        <v>125.9357718</v>
      </c>
      <c r="L801" s="6">
        <f>I801*K801</f>
        <v/>
      </c>
      <c r="M801" s="6">
        <f>K801*4</f>
        <v/>
      </c>
      <c r="N801" s="6" t="n">
        <v>550</v>
      </c>
    </row>
    <row r="802">
      <c r="A802" s="1" t="inlineStr">
        <is>
          <t>29736661951117</t>
        </is>
      </c>
      <c r="B802" s="1" t="inlineStr">
        <is>
          <t>ANILLO T X GOLD</t>
        </is>
      </c>
      <c r="C802" s="1" t="inlineStr">
        <is>
          <t>7</t>
        </is>
      </c>
      <c r="D802" s="1" t="inlineStr">
        <is>
          <t>05/02/2026</t>
        </is>
      </c>
      <c r="E802" s="1" t="n">
        <v>2026</v>
      </c>
      <c r="F802" s="1" t="inlineStr">
        <is>
          <t>FEBRERO</t>
        </is>
      </c>
      <c r="G802" s="1" t="inlineStr">
        <is>
          <t>HAIFENG</t>
        </is>
      </c>
      <c r="H802" s="1" t="inlineStr">
        <is>
          <t>HAIFENG 05/02/2026</t>
        </is>
      </c>
      <c r="I802" s="4" t="n">
        <v>3</v>
      </c>
      <c r="J802" s="6" t="n">
        <v>6</v>
      </c>
      <c r="K802" s="6" t="n">
        <v>128.1257543</v>
      </c>
      <c r="L802" s="6">
        <f>I802*K802</f>
        <v/>
      </c>
      <c r="M802" s="6">
        <f>K802*4</f>
        <v/>
      </c>
      <c r="N802" s="6" t="n">
        <v>550</v>
      </c>
    </row>
    <row r="803">
      <c r="A803" s="1" t="inlineStr">
        <is>
          <t>29736662086733</t>
        </is>
      </c>
      <c r="B803" s="1" t="inlineStr">
        <is>
          <t>ANILLO T SERPIENTE GOLD</t>
        </is>
      </c>
      <c r="C803" s="1" t="inlineStr">
        <is>
          <t>7</t>
        </is>
      </c>
      <c r="D803" s="1" t="inlineStr">
        <is>
          <t>05/02/2026</t>
        </is>
      </c>
      <c r="E803" s="1" t="n">
        <v>2026</v>
      </c>
      <c r="F803" s="1" t="inlineStr">
        <is>
          <t>FEBRERO</t>
        </is>
      </c>
      <c r="G803" s="1" t="inlineStr">
        <is>
          <t>HAIFENG</t>
        </is>
      </c>
      <c r="H803" s="1" t="inlineStr">
        <is>
          <t>HAIFENG 05/02/2026</t>
        </is>
      </c>
      <c r="I803" s="4" t="n">
        <v>3</v>
      </c>
      <c r="J803" s="6" t="n">
        <v>5</v>
      </c>
      <c r="K803" s="6" t="n">
        <v>106.7714619</v>
      </c>
      <c r="L803" s="6">
        <f>I803*K803</f>
        <v/>
      </c>
      <c r="M803" s="6">
        <f>K803*4</f>
        <v/>
      </c>
      <c r="N803" s="6" t="n">
        <v>600</v>
      </c>
    </row>
    <row r="804">
      <c r="A804" s="1" t="inlineStr">
        <is>
          <t>29736662086733</t>
        </is>
      </c>
      <c r="B804" s="1" t="inlineStr">
        <is>
          <t>ANILLO T SERPIENTE GOLD</t>
        </is>
      </c>
      <c r="C804" s="1" t="inlineStr">
        <is>
          <t>7</t>
        </is>
      </c>
      <c r="D804" s="1" t="inlineStr">
        <is>
          <t>26/05/2026</t>
        </is>
      </c>
      <c r="E804" s="1" t="n">
        <v>2026</v>
      </c>
      <c r="F804" s="1" t="inlineStr">
        <is>
          <t>MAYO</t>
        </is>
      </c>
      <c r="G804" s="1" t="inlineStr">
        <is>
          <t>HAIFENG</t>
        </is>
      </c>
      <c r="H804" s="1" t="inlineStr">
        <is>
          <t>HAIFENG 26/05/2026</t>
        </is>
      </c>
      <c r="I804" s="4" t="n">
        <v>2</v>
      </c>
      <c r="J804" s="6" t="n">
        <v>5</v>
      </c>
      <c r="K804" s="6" t="n">
        <v>104.9464765</v>
      </c>
      <c r="L804" s="6">
        <f>I804*K804</f>
        <v/>
      </c>
      <c r="M804" s="6">
        <f>K804*4</f>
        <v/>
      </c>
      <c r="N804" s="6" t="n">
        <v>600</v>
      </c>
    </row>
    <row r="805">
      <c r="A805" s="1" t="inlineStr">
        <is>
          <t>29736662119501</t>
        </is>
      </c>
      <c r="B805" s="1" t="inlineStr">
        <is>
          <t>ANILLO T SERPIENTE GOLD</t>
        </is>
      </c>
      <c r="C805" s="1" t="inlineStr">
        <is>
          <t>8</t>
        </is>
      </c>
      <c r="D805" s="1" t="inlineStr">
        <is>
          <t>05/02/2026</t>
        </is>
      </c>
      <c r="E805" s="1" t="n">
        <v>2026</v>
      </c>
      <c r="F805" s="1" t="inlineStr">
        <is>
          <t>FEBRERO</t>
        </is>
      </c>
      <c r="G805" s="1" t="inlineStr">
        <is>
          <t>HAIFENG</t>
        </is>
      </c>
      <c r="H805" s="1" t="inlineStr">
        <is>
          <t>HAIFENG 05/02/2026</t>
        </is>
      </c>
      <c r="I805" s="4" t="n">
        <v>3</v>
      </c>
      <c r="J805" s="6" t="n">
        <v>5</v>
      </c>
      <c r="K805" s="6" t="n">
        <v>106.7714619</v>
      </c>
      <c r="L805" s="6">
        <f>I805*K805</f>
        <v/>
      </c>
      <c r="M805" s="6">
        <f>K805*4</f>
        <v/>
      </c>
      <c r="N805" s="6" t="n">
        <v>600</v>
      </c>
    </row>
    <row r="806">
      <c r="A806" s="1" t="inlineStr">
        <is>
          <t>29736662119501</t>
        </is>
      </c>
      <c r="B806" s="1" t="inlineStr">
        <is>
          <t>ANILLO T SERPIENTE GOLD</t>
        </is>
      </c>
      <c r="C806" s="1" t="inlineStr">
        <is>
          <t>8</t>
        </is>
      </c>
      <c r="D806" s="1" t="inlineStr">
        <is>
          <t>06/05/2026</t>
        </is>
      </c>
      <c r="E806" s="1" t="n">
        <v>2026</v>
      </c>
      <c r="F806" s="1" t="inlineStr">
        <is>
          <t>MAYO</t>
        </is>
      </c>
      <c r="G806" s="1" t="inlineStr">
        <is>
          <t>HAIFENG</t>
        </is>
      </c>
      <c r="H806" s="1" t="inlineStr">
        <is>
          <t>HAIFENG 06/05/2026</t>
        </is>
      </c>
      <c r="I806" s="4" t="n">
        <v>2</v>
      </c>
      <c r="J806" s="6" t="n">
        <v>6.99</v>
      </c>
      <c r="K806" s="6" t="n">
        <v>148.3183094</v>
      </c>
      <c r="L806" s="6">
        <f>I806*K806</f>
        <v/>
      </c>
      <c r="M806" s="6">
        <f>K806*4</f>
        <v/>
      </c>
      <c r="N806" s="6" t="n">
        <v>600</v>
      </c>
    </row>
    <row r="807">
      <c r="A807" s="1" t="inlineStr">
        <is>
          <t>29736662234765</t>
        </is>
      </c>
      <c r="B807" s="1" t="inlineStr">
        <is>
          <t>ANILLO CD TRIBALES GOLD</t>
        </is>
      </c>
      <c r="C807" s="1" t="inlineStr">
        <is>
          <t>7</t>
        </is>
      </c>
      <c r="D807" s="1" t="inlineStr">
        <is>
          <t>05/02/2026</t>
        </is>
      </c>
      <c r="E807" s="1" t="n">
        <v>2026</v>
      </c>
      <c r="F807" s="1" t="inlineStr">
        <is>
          <t>FEBRERO</t>
        </is>
      </c>
      <c r="G807" s="1" t="inlineStr">
        <is>
          <t>HAIFENG</t>
        </is>
      </c>
      <c r="H807" s="1" t="inlineStr">
        <is>
          <t>HAIFENG 05/02/2026</t>
        </is>
      </c>
      <c r="I807" s="4" t="n">
        <v>2</v>
      </c>
      <c r="J807" s="6" t="n">
        <v>6.99</v>
      </c>
      <c r="K807" s="6" t="n">
        <v>149.2665038</v>
      </c>
      <c r="L807" s="6">
        <f>I807*K807</f>
        <v/>
      </c>
      <c r="M807" s="6">
        <f>K807*4</f>
        <v/>
      </c>
      <c r="N807" s="6" t="n">
        <v>599</v>
      </c>
    </row>
    <row r="808">
      <c r="A808" s="1" t="inlineStr">
        <is>
          <t>29736662234765</t>
        </is>
      </c>
      <c r="B808" s="1" t="inlineStr">
        <is>
          <t>ANILLO CD TRIBALES GOLD</t>
        </is>
      </c>
      <c r="C808" s="1" t="inlineStr">
        <is>
          <t>7</t>
        </is>
      </c>
      <c r="D808" s="1" t="inlineStr">
        <is>
          <t>26/05/2026</t>
        </is>
      </c>
      <c r="E808" s="1" t="n">
        <v>2026</v>
      </c>
      <c r="F808" s="1" t="inlineStr">
        <is>
          <t>MAYO</t>
        </is>
      </c>
      <c r="G808" s="1" t="inlineStr">
        <is>
          <t>HAIFENG</t>
        </is>
      </c>
      <c r="H808" s="1" t="inlineStr">
        <is>
          <t>HAIFENG 26/05/2026</t>
        </is>
      </c>
      <c r="I808" s="4" t="n">
        <v>2</v>
      </c>
      <c r="J808" s="6" t="n">
        <v>6.99</v>
      </c>
      <c r="K808" s="6" t="n">
        <v>146.7151741</v>
      </c>
      <c r="L808" s="6">
        <f>I808*K808</f>
        <v/>
      </c>
      <c r="M808" s="6">
        <f>K808*4</f>
        <v/>
      </c>
      <c r="N808" s="6" t="n">
        <v>599</v>
      </c>
    </row>
    <row r="809">
      <c r="A809" s="1" t="inlineStr">
        <is>
          <t>29736662373773</t>
        </is>
      </c>
      <c r="B809" s="1" t="inlineStr">
        <is>
          <t>ANILLO T CIERRE DOBLE SILVER</t>
        </is>
      </c>
      <c r="C809" s="1" t="inlineStr">
        <is>
          <t>6</t>
        </is>
      </c>
      <c r="D809" s="1" t="inlineStr">
        <is>
          <t>05/02/2026</t>
        </is>
      </c>
      <c r="E809" s="1" t="n">
        <v>2026</v>
      </c>
      <c r="F809" s="1" t="inlineStr">
        <is>
          <t>FEBRERO</t>
        </is>
      </c>
      <c r="G809" s="1" t="inlineStr">
        <is>
          <t>HAIFENG</t>
        </is>
      </c>
      <c r="H809" s="1" t="inlineStr">
        <is>
          <t>HAIFENG 05/02/2026</t>
        </is>
      </c>
      <c r="I809" s="4" t="n">
        <v>3</v>
      </c>
      <c r="J809" s="6" t="n">
        <v>5</v>
      </c>
      <c r="K809" s="6" t="n">
        <v>106.7714619</v>
      </c>
      <c r="L809" s="6">
        <f>I809*K809</f>
        <v/>
      </c>
      <c r="M809" s="6">
        <f>K809*4</f>
        <v/>
      </c>
      <c r="N809" s="6" t="n">
        <v>0</v>
      </c>
    </row>
    <row r="810">
      <c r="A810" s="1" t="inlineStr">
        <is>
          <t>29736662406541</t>
        </is>
      </c>
      <c r="B810" s="1" t="inlineStr">
        <is>
          <t>ANILLO T CIERRE DOBLE SILVER</t>
        </is>
      </c>
      <c r="C810" s="1" t="inlineStr">
        <is>
          <t>8</t>
        </is>
      </c>
      <c r="D810" s="1" t="inlineStr">
        <is>
          <t>05/02/2026</t>
        </is>
      </c>
      <c r="E810" s="1" t="n">
        <v>2026</v>
      </c>
      <c r="F810" s="1" t="inlineStr">
        <is>
          <t>FEBRERO</t>
        </is>
      </c>
      <c r="G810" s="1" t="inlineStr">
        <is>
          <t>HAIFENG</t>
        </is>
      </c>
      <c r="H810" s="1" t="inlineStr">
        <is>
          <t>HAIFENG 05/02/2026</t>
        </is>
      </c>
      <c r="I810" s="4" t="n">
        <v>3</v>
      </c>
      <c r="J810" s="6" t="n">
        <v>5</v>
      </c>
      <c r="K810" s="6" t="n">
        <v>106.7714619</v>
      </c>
      <c r="L810" s="6">
        <f>I810*K810</f>
        <v/>
      </c>
      <c r="M810" s="6">
        <f>K810*4</f>
        <v/>
      </c>
      <c r="N810" s="6" t="n">
        <v>650</v>
      </c>
    </row>
    <row r="811">
      <c r="A811" s="1" t="inlineStr">
        <is>
          <t>29736662528589</t>
        </is>
      </c>
      <c r="B811" s="1" t="inlineStr">
        <is>
          <t>ANILLO OPEN HEART SILVER</t>
        </is>
      </c>
      <c r="C811" s="1" t="inlineStr">
        <is>
          <t>7</t>
        </is>
      </c>
      <c r="D811" s="1" t="inlineStr">
        <is>
          <t>05/02/2026</t>
        </is>
      </c>
      <c r="E811" s="1" t="n">
        <v>2026</v>
      </c>
      <c r="F811" s="1" t="inlineStr">
        <is>
          <t>FEBRERO</t>
        </is>
      </c>
      <c r="G811" s="1" t="inlineStr">
        <is>
          <t>HAIFENG</t>
        </is>
      </c>
      <c r="H811" s="1" t="inlineStr">
        <is>
          <t>HAIFENG 05/02/2026</t>
        </is>
      </c>
      <c r="I811" s="4" t="n">
        <v>2</v>
      </c>
      <c r="J811" s="6" t="n">
        <v>6.99</v>
      </c>
      <c r="K811" s="6" t="n">
        <v>149.2665038</v>
      </c>
      <c r="L811" s="6">
        <f>I811*K811</f>
        <v/>
      </c>
      <c r="M811" s="6">
        <f>K811*4</f>
        <v/>
      </c>
      <c r="N811" s="6" t="n">
        <v>599</v>
      </c>
    </row>
    <row r="812">
      <c r="A812" s="1" t="inlineStr">
        <is>
          <t>29736662661357</t>
        </is>
      </c>
      <c r="B812" s="1" t="inlineStr">
        <is>
          <t>ANILLO OPEN HEART SILVER</t>
        </is>
      </c>
      <c r="C812" s="1" t="inlineStr">
        <is>
          <t>8</t>
        </is>
      </c>
      <c r="D812" s="1" t="inlineStr">
        <is>
          <t>05/02/2026</t>
        </is>
      </c>
      <c r="E812" s="1" t="n">
        <v>2026</v>
      </c>
      <c r="F812" s="1" t="inlineStr">
        <is>
          <t>FEBRERO</t>
        </is>
      </c>
      <c r="G812" s="1" t="inlineStr">
        <is>
          <t>HAIFENG</t>
        </is>
      </c>
      <c r="H812" s="1" t="inlineStr">
        <is>
          <t>HAIFENG 05/02/2026</t>
        </is>
      </c>
      <c r="I812" s="4" t="n">
        <v>2</v>
      </c>
      <c r="J812" s="6" t="n">
        <v>6.99</v>
      </c>
      <c r="K812" s="6" t="n">
        <v>149.2665038</v>
      </c>
      <c r="L812" s="6">
        <f>I812*K812</f>
        <v/>
      </c>
      <c r="M812" s="6">
        <f>K812*4</f>
        <v/>
      </c>
      <c r="N812" s="6" t="n">
        <v>599</v>
      </c>
    </row>
    <row r="813">
      <c r="A813" s="1" t="inlineStr">
        <is>
          <t>29736662661357</t>
        </is>
      </c>
      <c r="B813" s="1" t="inlineStr">
        <is>
          <t>ANILLO OPEN HEART SILVER</t>
        </is>
      </c>
      <c r="C813" s="1" t="inlineStr">
        <is>
          <t>8</t>
        </is>
      </c>
      <c r="D813" s="1" t="inlineStr">
        <is>
          <t>26/05/2026</t>
        </is>
      </c>
      <c r="E813" s="1" t="n">
        <v>2026</v>
      </c>
      <c r="F813" s="1" t="inlineStr">
        <is>
          <t>MAYO</t>
        </is>
      </c>
      <c r="G813" s="1" t="inlineStr">
        <is>
          <t>HAIFENG</t>
        </is>
      </c>
      <c r="H813" s="1" t="inlineStr">
        <is>
          <t>HAIFENG 26/05/2026</t>
        </is>
      </c>
      <c r="I813" s="4" t="n">
        <v>2</v>
      </c>
      <c r="J813" s="6" t="n">
        <v>6.99</v>
      </c>
      <c r="K813" s="6" t="n">
        <v>146.7151741</v>
      </c>
      <c r="L813" s="6">
        <f>I813*K813</f>
        <v/>
      </c>
      <c r="M813" s="6">
        <f>K813*4</f>
        <v/>
      </c>
      <c r="N813" s="6" t="n">
        <v>599</v>
      </c>
    </row>
    <row r="814">
      <c r="A814" s="1" t="inlineStr">
        <is>
          <t>29736662661357</t>
        </is>
      </c>
      <c r="B814" s="1" t="inlineStr">
        <is>
          <t>ANILLO OPEN HEART SILVER</t>
        </is>
      </c>
      <c r="C814" s="1" t="inlineStr">
        <is>
          <t>8</t>
        </is>
      </c>
      <c r="D814" s="1" t="inlineStr">
        <is>
          <t>16/06/2026</t>
        </is>
      </c>
      <c r="E814" s="1" t="n">
        <v>2026</v>
      </c>
      <c r="F814" s="1" t="inlineStr">
        <is>
          <t>JUNIO</t>
        </is>
      </c>
      <c r="G814" s="1" t="inlineStr">
        <is>
          <t>HAIFENG</t>
        </is>
      </c>
      <c r="H814" s="1" t="inlineStr">
        <is>
          <t>HAIFENG 16/06/2026</t>
        </is>
      </c>
      <c r="I814" s="4" t="n">
        <v>1</v>
      </c>
      <c r="J814" s="6" t="n">
        <v>6.99</v>
      </c>
      <c r="K814" s="6" t="n">
        <v>146.8920992</v>
      </c>
      <c r="L814" s="6">
        <f>I814*K814</f>
        <v/>
      </c>
      <c r="M814" s="6">
        <f>K814*4</f>
        <v/>
      </c>
      <c r="N814" s="6" t="n">
        <v>599</v>
      </c>
    </row>
    <row r="815">
      <c r="A815" s="1" t="inlineStr">
        <is>
          <t>29736662752941</t>
        </is>
      </c>
      <c r="B815" s="1" t="inlineStr">
        <is>
          <t>ANILLO T SILVER ZIRCONIAS</t>
        </is>
      </c>
      <c r="C815" s="1" t="inlineStr">
        <is>
          <t>7</t>
        </is>
      </c>
      <c r="D815" s="1" t="inlineStr">
        <is>
          <t>05/02/2026</t>
        </is>
      </c>
      <c r="E815" s="1" t="n">
        <v>2026</v>
      </c>
      <c r="F815" s="1" t="inlineStr">
        <is>
          <t>FEBRERO</t>
        </is>
      </c>
      <c r="G815" s="1" t="inlineStr">
        <is>
          <t>HAIFENG</t>
        </is>
      </c>
      <c r="H815" s="1" t="inlineStr">
        <is>
          <t>HAIFENG 05/02/2026</t>
        </is>
      </c>
      <c r="I815" s="4" t="n">
        <v>3</v>
      </c>
      <c r="J815" s="6" t="n">
        <v>4</v>
      </c>
      <c r="K815" s="6" t="n">
        <v>85.41716955</v>
      </c>
      <c r="L815" s="6">
        <f>I815*K815</f>
        <v/>
      </c>
      <c r="M815" s="6">
        <f>K815*4</f>
        <v/>
      </c>
      <c r="N815" s="6" t="n">
        <v>650</v>
      </c>
    </row>
    <row r="816">
      <c r="A816" s="1" t="inlineStr">
        <is>
          <t>29736662752941</t>
        </is>
      </c>
      <c r="B816" s="1" t="inlineStr">
        <is>
          <t>ANILLO T SILVER CON ZIRCONIA</t>
        </is>
      </c>
      <c r="C816" s="1" t="inlineStr">
        <is>
          <t>7</t>
        </is>
      </c>
      <c r="D816" s="1" t="inlineStr">
        <is>
          <t>26/05/2026</t>
        </is>
      </c>
      <c r="E816" s="1" t="n">
        <v>2026</v>
      </c>
      <c r="F816" s="1" t="inlineStr">
        <is>
          <t>MAYO</t>
        </is>
      </c>
      <c r="G816" s="1" t="inlineStr">
        <is>
          <t>HAIFENG</t>
        </is>
      </c>
      <c r="H816" s="1" t="inlineStr">
        <is>
          <t>HAIFENG 26/05/2026</t>
        </is>
      </c>
      <c r="I816" s="4" t="n">
        <v>3</v>
      </c>
      <c r="J816" s="6" t="n">
        <v>4</v>
      </c>
      <c r="K816" s="6" t="n">
        <v>83.95718118000001</v>
      </c>
      <c r="L816" s="6">
        <f>I816*K816</f>
        <v/>
      </c>
      <c r="M816" s="6">
        <f>K816*4</f>
        <v/>
      </c>
      <c r="N816" s="6" t="n">
        <v>650</v>
      </c>
    </row>
    <row r="817">
      <c r="A817" s="1" t="inlineStr">
        <is>
          <t>29736662885709</t>
        </is>
      </c>
      <c r="B817" s="1" t="inlineStr">
        <is>
          <t>ANILLO T SILVER ZIRCONIAS</t>
        </is>
      </c>
      <c r="C817" s="1" t="inlineStr">
        <is>
          <t>8</t>
        </is>
      </c>
      <c r="D817" s="1" t="inlineStr">
        <is>
          <t>05/02/2026</t>
        </is>
      </c>
      <c r="E817" s="1" t="n">
        <v>2026</v>
      </c>
      <c r="F817" s="1" t="inlineStr">
        <is>
          <t>FEBRERO</t>
        </is>
      </c>
      <c r="G817" s="1" t="inlineStr">
        <is>
          <t>HAIFENG</t>
        </is>
      </c>
      <c r="H817" s="1" t="inlineStr">
        <is>
          <t>HAIFENG 05/02/2026</t>
        </is>
      </c>
      <c r="I817" s="4" t="n">
        <v>3</v>
      </c>
      <c r="J817" s="6" t="n">
        <v>4</v>
      </c>
      <c r="K817" s="6" t="n">
        <v>85.41716955</v>
      </c>
      <c r="L817" s="6">
        <f>I817*K817</f>
        <v/>
      </c>
      <c r="M817" s="6">
        <f>K817*4</f>
        <v/>
      </c>
      <c r="N817" s="6" t="n">
        <v>650</v>
      </c>
    </row>
    <row r="818">
      <c r="A818" s="1" t="inlineStr">
        <is>
          <t>29736672903821</t>
        </is>
      </c>
      <c r="B818" s="1" t="inlineStr">
        <is>
          <t>ANILLO T PEARL ROSE GOLD</t>
        </is>
      </c>
      <c r="C818" s="1" t="inlineStr">
        <is>
          <t>6</t>
        </is>
      </c>
      <c r="D818" s="1" t="inlineStr">
        <is>
          <t>05/02/2026</t>
        </is>
      </c>
      <c r="E818" s="1" t="n">
        <v>2026</v>
      </c>
      <c r="F818" s="1" t="inlineStr">
        <is>
          <t>FEBRERO</t>
        </is>
      </c>
      <c r="G818" s="1" t="inlineStr">
        <is>
          <t>HAIFENG</t>
        </is>
      </c>
      <c r="H818" s="1" t="inlineStr">
        <is>
          <t>HAIFENG 05/02/2026</t>
        </is>
      </c>
      <c r="I818" s="4" t="n">
        <v>2</v>
      </c>
      <c r="J818" s="6" t="n">
        <v>5</v>
      </c>
      <c r="K818" s="6" t="n">
        <v>106.7714619</v>
      </c>
      <c r="L818" s="6">
        <f>I818*K818</f>
        <v/>
      </c>
      <c r="M818" s="6">
        <f>K818*4</f>
        <v/>
      </c>
      <c r="N818" s="6" t="n">
        <v>650</v>
      </c>
    </row>
    <row r="819">
      <c r="A819" s="1" t="inlineStr">
        <is>
          <t>29736672903821</t>
        </is>
      </c>
      <c r="B819" s="1" t="inlineStr">
        <is>
          <t>ANILLO T PEARL ROSE GOLD</t>
        </is>
      </c>
      <c r="C819" s="1" t="inlineStr">
        <is>
          <t>6</t>
        </is>
      </c>
      <c r="D819" s="1" t="inlineStr">
        <is>
          <t>16/06/2026</t>
        </is>
      </c>
      <c r="E819" s="1" t="n">
        <v>2026</v>
      </c>
      <c r="F819" s="1" t="inlineStr">
        <is>
          <t>JUNIO</t>
        </is>
      </c>
      <c r="G819" s="1" t="inlineStr">
        <is>
          <t>HAIFENG</t>
        </is>
      </c>
      <c r="H819" s="1" t="inlineStr">
        <is>
          <t>HAIFENG 16/06/2026</t>
        </is>
      </c>
      <c r="I819" s="4" t="n">
        <v>2</v>
      </c>
      <c r="J819" s="6" t="n">
        <v>5</v>
      </c>
      <c r="K819" s="6" t="n">
        <v>105.0730323</v>
      </c>
      <c r="L819" s="6">
        <f>I819*K819</f>
        <v/>
      </c>
      <c r="M819" s="6">
        <f>K819*4</f>
        <v/>
      </c>
      <c r="N819" s="6" t="n">
        <v>650</v>
      </c>
    </row>
    <row r="820">
      <c r="A820" s="1" t="inlineStr">
        <is>
          <t>29736673036589</t>
        </is>
      </c>
      <c r="B820" s="1" t="inlineStr">
        <is>
          <t>ANILLO T PEARL ROSE GOLD</t>
        </is>
      </c>
      <c r="C820" s="1" t="inlineStr">
        <is>
          <t>7</t>
        </is>
      </c>
      <c r="D820" s="1" t="inlineStr">
        <is>
          <t>05/02/2026</t>
        </is>
      </c>
      <c r="E820" s="1" t="n">
        <v>2026</v>
      </c>
      <c r="F820" s="1" t="inlineStr">
        <is>
          <t>FEBRERO</t>
        </is>
      </c>
      <c r="G820" s="1" t="inlineStr">
        <is>
          <t>HAIFENG</t>
        </is>
      </c>
      <c r="H820" s="1" t="inlineStr">
        <is>
          <t>HAIFENG 05/02/2026</t>
        </is>
      </c>
      <c r="I820" s="4" t="n">
        <v>2</v>
      </c>
      <c r="J820" s="6" t="n">
        <v>5</v>
      </c>
      <c r="K820" s="6" t="n">
        <v>106.7714619</v>
      </c>
      <c r="L820" s="6">
        <f>I820*K820</f>
        <v/>
      </c>
      <c r="M820" s="6">
        <f>K820*4</f>
        <v/>
      </c>
      <c r="N820" s="6" t="n">
        <v>422</v>
      </c>
    </row>
    <row r="821">
      <c r="A821" s="1" t="inlineStr">
        <is>
          <t>29736673163725</t>
        </is>
      </c>
      <c r="B821" s="1" t="inlineStr">
        <is>
          <t>ANILLO T BONE SILVER</t>
        </is>
      </c>
      <c r="C821" s="1" t="inlineStr">
        <is>
          <t>Default Title</t>
        </is>
      </c>
      <c r="D821" s="1" t="inlineStr">
        <is>
          <t>05/02/2026</t>
        </is>
      </c>
      <c r="E821" s="1" t="n">
        <v>2026</v>
      </c>
      <c r="F821" s="1" t="inlineStr">
        <is>
          <t>FEBRERO</t>
        </is>
      </c>
      <c r="G821" s="1" t="inlineStr">
        <is>
          <t>HAIFENG</t>
        </is>
      </c>
      <c r="H821" s="1" t="inlineStr">
        <is>
          <t>HAIFENG 05/02/2026</t>
        </is>
      </c>
      <c r="I821" s="4" t="n">
        <v>3</v>
      </c>
      <c r="J821" s="6" t="n">
        <v>8</v>
      </c>
      <c r="K821" s="6" t="n">
        <v>170.8343391</v>
      </c>
      <c r="L821" s="6">
        <f>I821*K821</f>
        <v/>
      </c>
      <c r="M821" s="6">
        <f>K821*4</f>
        <v/>
      </c>
      <c r="N821" s="6" t="n">
        <v>0</v>
      </c>
    </row>
    <row r="822">
      <c r="A822" s="1" t="inlineStr">
        <is>
          <t>29736673276749</t>
        </is>
      </c>
      <c r="B822" s="1" t="inlineStr">
        <is>
          <t>ANILLO T ZIRCONIAS GOLD</t>
        </is>
      </c>
      <c r="C822" s="1" t="inlineStr">
        <is>
          <t>6</t>
        </is>
      </c>
      <c r="D822" s="1" t="inlineStr">
        <is>
          <t>05/02/2026</t>
        </is>
      </c>
      <c r="E822" s="1" t="n">
        <v>2026</v>
      </c>
      <c r="F822" s="1" t="inlineStr">
        <is>
          <t>FEBRERO</t>
        </is>
      </c>
      <c r="G822" s="1" t="inlineStr">
        <is>
          <t>HAIFENG</t>
        </is>
      </c>
      <c r="H822" s="1" t="inlineStr">
        <is>
          <t>HAIFENG 05/02/2026</t>
        </is>
      </c>
      <c r="I822" s="4" t="n">
        <v>3</v>
      </c>
      <c r="J822" s="6" t="n">
        <v>4</v>
      </c>
      <c r="K822" s="6" t="n">
        <v>85.41716955</v>
      </c>
      <c r="L822" s="6">
        <f>I822*K822</f>
        <v/>
      </c>
      <c r="M822" s="6">
        <f>K822*4</f>
        <v/>
      </c>
      <c r="N822" s="6" t="n">
        <v>499</v>
      </c>
    </row>
    <row r="823">
      <c r="A823" s="1" t="inlineStr">
        <is>
          <t>29736673309517</t>
        </is>
      </c>
      <c r="B823" s="1" t="inlineStr">
        <is>
          <t>ANILLO T ZIRCONIAS GOLD</t>
        </is>
      </c>
      <c r="C823" s="1" t="inlineStr">
        <is>
          <t>7</t>
        </is>
      </c>
      <c r="D823" s="1" t="inlineStr">
        <is>
          <t>05/02/2026</t>
        </is>
      </c>
      <c r="E823" s="1" t="n">
        <v>2026</v>
      </c>
      <c r="F823" s="1" t="inlineStr">
        <is>
          <t>FEBRERO</t>
        </is>
      </c>
      <c r="G823" s="1" t="inlineStr">
        <is>
          <t>HAIFENG</t>
        </is>
      </c>
      <c r="H823" s="1" t="inlineStr">
        <is>
          <t>HAIFENG 05/02/2026</t>
        </is>
      </c>
      <c r="I823" s="4" t="n">
        <v>3</v>
      </c>
      <c r="J823" s="6" t="n">
        <v>4</v>
      </c>
      <c r="K823" s="6" t="n">
        <v>85.41716955</v>
      </c>
      <c r="L823" s="6">
        <f>I823*K823</f>
        <v/>
      </c>
      <c r="M823" s="6">
        <f>K823*4</f>
        <v/>
      </c>
      <c r="N823" s="6" t="n">
        <v>499</v>
      </c>
    </row>
    <row r="824">
      <c r="A824" s="1" t="inlineStr">
        <is>
          <t>29736673439437</t>
        </is>
      </c>
      <c r="B824" s="1" t="inlineStr">
        <is>
          <t>ANILLO T ZIRCONIAS ROSE GOLD</t>
        </is>
      </c>
      <c r="C824" s="1" t="inlineStr">
        <is>
          <t>6</t>
        </is>
      </c>
      <c r="D824" s="1" t="inlineStr">
        <is>
          <t>05/02/2026</t>
        </is>
      </c>
      <c r="E824" s="1" t="n">
        <v>2026</v>
      </c>
      <c r="F824" s="1" t="inlineStr">
        <is>
          <t>FEBRERO</t>
        </is>
      </c>
      <c r="G824" s="1" t="inlineStr">
        <is>
          <t>HAIFENG</t>
        </is>
      </c>
      <c r="H824" s="1" t="inlineStr">
        <is>
          <t>HAIFENG 05/02/2026</t>
        </is>
      </c>
      <c r="I824" s="4" t="n">
        <v>2</v>
      </c>
      <c r="J824" s="6" t="n">
        <v>4</v>
      </c>
      <c r="K824" s="6" t="n">
        <v>85.41716955</v>
      </c>
      <c r="L824" s="6">
        <f>I824*K824</f>
        <v/>
      </c>
      <c r="M824" s="6">
        <f>K824*4</f>
        <v/>
      </c>
      <c r="N824" s="6" t="n">
        <v>650</v>
      </c>
    </row>
    <row r="825">
      <c r="A825" s="1" t="inlineStr">
        <is>
          <t>29736673572205</t>
        </is>
      </c>
      <c r="B825" s="1" t="inlineStr">
        <is>
          <t>ANILLO T ZIRCONIAS ROSE GOLD</t>
        </is>
      </c>
      <c r="C825" s="1" t="inlineStr">
        <is>
          <t>7</t>
        </is>
      </c>
      <c r="D825" s="1" t="inlineStr">
        <is>
          <t>05/02/2026</t>
        </is>
      </c>
      <c r="E825" s="1" t="n">
        <v>2026</v>
      </c>
      <c r="F825" s="1" t="inlineStr">
        <is>
          <t>FEBRERO</t>
        </is>
      </c>
      <c r="G825" s="1" t="inlineStr">
        <is>
          <t>HAIFENG</t>
        </is>
      </c>
      <c r="H825" s="1" t="inlineStr">
        <is>
          <t>HAIFENG 05/02/2026</t>
        </is>
      </c>
      <c r="I825" s="4" t="n">
        <v>2</v>
      </c>
      <c r="J825" s="6" t="n">
        <v>4</v>
      </c>
      <c r="K825" s="6" t="n">
        <v>85.41716955</v>
      </c>
      <c r="L825" s="6">
        <f>I825*K825</f>
        <v/>
      </c>
      <c r="M825" s="6">
        <f>K825*4</f>
        <v/>
      </c>
      <c r="N825" s="6" t="n">
        <v>650</v>
      </c>
    </row>
    <row r="826">
      <c r="A826" s="1" t="inlineStr">
        <is>
          <t>29736673659245</t>
        </is>
      </c>
      <c r="B826" s="1" t="inlineStr">
        <is>
          <t>ARETES T SMILE HALF ZIRCONIAS GOLD</t>
        </is>
      </c>
      <c r="C826" s="1" t="inlineStr">
        <is>
          <t>Default Title</t>
        </is>
      </c>
      <c r="D826" s="1" t="inlineStr">
        <is>
          <t>05/02/2026</t>
        </is>
      </c>
      <c r="E826" s="1" t="n">
        <v>2026</v>
      </c>
      <c r="F826" s="1" t="inlineStr">
        <is>
          <t>FEBRERO</t>
        </is>
      </c>
      <c r="G826" s="1" t="inlineStr">
        <is>
          <t>HAIFENG</t>
        </is>
      </c>
      <c r="H826" s="1" t="inlineStr">
        <is>
          <t>HAIFENG 05/02/2026</t>
        </is>
      </c>
      <c r="I826" s="4" t="n">
        <v>3</v>
      </c>
      <c r="J826" s="6" t="n">
        <v>4.99</v>
      </c>
      <c r="K826" s="6" t="n">
        <v>106.557919</v>
      </c>
      <c r="L826" s="6">
        <f>I826*K826</f>
        <v/>
      </c>
      <c r="M826" s="6">
        <f>K826*4</f>
        <v/>
      </c>
      <c r="N826" s="6" t="n">
        <v>450</v>
      </c>
    </row>
    <row r="827">
      <c r="A827" s="1" t="inlineStr">
        <is>
          <t>29736673659245</t>
        </is>
      </c>
      <c r="B827" s="1" t="inlineStr">
        <is>
          <t>ARETES T SMILE HALF ZIRCONIAS GOLD</t>
        </is>
      </c>
      <c r="C827" s="1" t="inlineStr">
        <is>
          <t>Default Title</t>
        </is>
      </c>
      <c r="D827" s="1" t="inlineStr">
        <is>
          <t>26/05/2026</t>
        </is>
      </c>
      <c r="E827" s="1" t="n">
        <v>2026</v>
      </c>
      <c r="F827" s="1" t="inlineStr">
        <is>
          <t>MAYO</t>
        </is>
      </c>
      <c r="G827" s="1" t="inlineStr">
        <is>
          <t>HAIFENG</t>
        </is>
      </c>
      <c r="H827" s="1" t="inlineStr">
        <is>
          <t>HAIFENG 26/05/2026</t>
        </is>
      </c>
      <c r="I827" s="4" t="n">
        <v>3</v>
      </c>
      <c r="J827" s="6" t="n">
        <v>4.99</v>
      </c>
      <c r="K827" s="6" t="n">
        <v>104.7365835</v>
      </c>
      <c r="L827" s="6">
        <f>I827*K827</f>
        <v/>
      </c>
      <c r="M827" s="6">
        <f>K827*4</f>
        <v/>
      </c>
      <c r="N827" s="6" t="n">
        <v>450</v>
      </c>
    </row>
    <row r="828">
      <c r="A828" s="1" t="inlineStr">
        <is>
          <t>29736673659245</t>
        </is>
      </c>
      <c r="B828" s="1" t="inlineStr">
        <is>
          <t>ARETES T SMILE HALF ZIRCONIAS GOLD</t>
        </is>
      </c>
      <c r="C828" s="1" t="inlineStr">
        <is>
          <t>Default Title</t>
        </is>
      </c>
      <c r="D828" s="1" t="inlineStr">
        <is>
          <t>16/06/2026</t>
        </is>
      </c>
      <c r="E828" s="1" t="n">
        <v>2026</v>
      </c>
      <c r="F828" s="1" t="inlineStr">
        <is>
          <t>JUNIO</t>
        </is>
      </c>
      <c r="G828" s="1" t="inlineStr">
        <is>
          <t>HAIFENG</t>
        </is>
      </c>
      <c r="H828" s="1" t="inlineStr">
        <is>
          <t>HAIFENG 16/06/2026</t>
        </is>
      </c>
      <c r="I828" s="4" t="n">
        <v>2</v>
      </c>
      <c r="J828" s="6" t="n">
        <v>4.99</v>
      </c>
      <c r="K828" s="6" t="n">
        <v>104.8628862</v>
      </c>
      <c r="L828" s="6">
        <f>I828*K828</f>
        <v/>
      </c>
      <c r="M828" s="6">
        <f>K828*4</f>
        <v/>
      </c>
      <c r="N828" s="6" t="n">
        <v>450</v>
      </c>
    </row>
    <row r="829">
      <c r="A829" s="1" t="inlineStr">
        <is>
          <t>29736673779597</t>
        </is>
      </c>
      <c r="B829" s="1" t="inlineStr">
        <is>
          <t>ARETES T VICTORIA</t>
        </is>
      </c>
      <c r="C829" s="1" t="inlineStr">
        <is>
          <t>Default Title</t>
        </is>
      </c>
      <c r="D829" s="1" t="inlineStr">
        <is>
          <t>05/02/2026</t>
        </is>
      </c>
      <c r="E829" s="1" t="n">
        <v>2026</v>
      </c>
      <c r="F829" s="1" t="inlineStr">
        <is>
          <t>FEBRERO</t>
        </is>
      </c>
      <c r="G829" s="1" t="inlineStr">
        <is>
          <t>HAIFENG</t>
        </is>
      </c>
      <c r="H829" s="1" t="inlineStr">
        <is>
          <t>HAIFENG 05/02/2026</t>
        </is>
      </c>
      <c r="I829" s="4" t="n">
        <v>3</v>
      </c>
      <c r="J829" s="6" t="n">
        <v>6</v>
      </c>
      <c r="K829" s="6" t="n">
        <v>128.1257543</v>
      </c>
      <c r="L829" s="6">
        <f>I829*K829</f>
        <v/>
      </c>
      <c r="M829" s="6">
        <f>K829*4</f>
        <v/>
      </c>
      <c r="N829" s="6" t="n">
        <v>699</v>
      </c>
    </row>
    <row r="830">
      <c r="A830" s="1" t="inlineStr">
        <is>
          <t>29736673779597</t>
        </is>
      </c>
      <c r="B830" s="1" t="inlineStr">
        <is>
          <t>ARETES T VICTORIA</t>
        </is>
      </c>
      <c r="C830" s="1" t="inlineStr">
        <is>
          <t>Default Title</t>
        </is>
      </c>
      <c r="D830" s="1" t="inlineStr">
        <is>
          <t>26/05/2026</t>
        </is>
      </c>
      <c r="E830" s="1" t="n">
        <v>2026</v>
      </c>
      <c r="F830" s="1" t="inlineStr">
        <is>
          <t>MAYO</t>
        </is>
      </c>
      <c r="G830" s="1" t="inlineStr">
        <is>
          <t>HAIFENG</t>
        </is>
      </c>
      <c r="H830" s="1" t="inlineStr">
        <is>
          <t>HAIFENG 26/05/2026</t>
        </is>
      </c>
      <c r="I830" s="4" t="n">
        <v>5</v>
      </c>
      <c r="J830" s="6" t="n">
        <v>6</v>
      </c>
      <c r="K830" s="6" t="n">
        <v>125.9357718</v>
      </c>
      <c r="L830" s="6">
        <f>I830*K830</f>
        <v/>
      </c>
      <c r="M830" s="6">
        <f>K830*4</f>
        <v/>
      </c>
      <c r="N830" s="6" t="n">
        <v>699</v>
      </c>
    </row>
    <row r="831">
      <c r="A831" s="1" t="inlineStr">
        <is>
          <t>29736673893165</t>
        </is>
      </c>
      <c r="B831" s="1" t="inlineStr">
        <is>
          <t>ARETES T SQUARE SIXTEEN STONE SILVER</t>
        </is>
      </c>
      <c r="C831" s="1" t="inlineStr">
        <is>
          <t>Default Title</t>
        </is>
      </c>
      <c r="D831" s="1" t="inlineStr">
        <is>
          <t>05/02/2026</t>
        </is>
      </c>
      <c r="E831" s="1" t="n">
        <v>2026</v>
      </c>
      <c r="F831" s="1" t="inlineStr">
        <is>
          <t>FEBRERO</t>
        </is>
      </c>
      <c r="G831" s="1" t="inlineStr">
        <is>
          <t>HAIFENG</t>
        </is>
      </c>
      <c r="H831" s="1" t="inlineStr">
        <is>
          <t>HAIFENG 05/02/2026</t>
        </is>
      </c>
      <c r="I831" s="4" t="n">
        <v>3</v>
      </c>
      <c r="J831" s="6" t="n">
        <v>6.5</v>
      </c>
      <c r="K831" s="6" t="n">
        <v>138.8029005</v>
      </c>
      <c r="L831" s="6">
        <f>I831*K831</f>
        <v/>
      </c>
      <c r="M831" s="6">
        <f>K831*4</f>
        <v/>
      </c>
      <c r="N831" s="6" t="n">
        <v>599</v>
      </c>
    </row>
    <row r="832">
      <c r="A832" s="1" t="inlineStr">
        <is>
          <t>29736673893165</t>
        </is>
      </c>
      <c r="B832" s="1" t="inlineStr">
        <is>
          <t>ARETES T SQUARE SIXTEEN STONE SILVER</t>
        </is>
      </c>
      <c r="C832" s="1" t="inlineStr">
        <is>
          <t>Default Title</t>
        </is>
      </c>
      <c r="D832" s="1" t="inlineStr">
        <is>
          <t>16/04/2026</t>
        </is>
      </c>
      <c r="E832" s="1" t="n">
        <v>2026</v>
      </c>
      <c r="F832" s="1" t="inlineStr">
        <is>
          <t>ABRIL</t>
        </is>
      </c>
      <c r="G832" s="1" t="inlineStr">
        <is>
          <t>HAIFENG</t>
        </is>
      </c>
      <c r="H832" s="1" t="inlineStr">
        <is>
          <t>HAIFENG 16/04/2026</t>
        </is>
      </c>
      <c r="I832" s="4" t="n">
        <v>4</v>
      </c>
      <c r="J832" s="6" t="n">
        <v>6.5</v>
      </c>
      <c r="K832" s="6" t="n">
        <v>136.7045783</v>
      </c>
      <c r="L832" s="6">
        <f>I832*K832</f>
        <v/>
      </c>
      <c r="M832" s="6">
        <f>K832*4</f>
        <v/>
      </c>
      <c r="N832" s="6" t="n">
        <v>599</v>
      </c>
    </row>
    <row r="833">
      <c r="A833" s="1" t="inlineStr">
        <is>
          <t>29736673893165</t>
        </is>
      </c>
      <c r="B833" s="1" t="inlineStr">
        <is>
          <t>ARETES T SQUARE SIXTEEN STONE SILVER</t>
        </is>
      </c>
      <c r="C833" s="1" t="inlineStr">
        <is>
          <t>Default Title</t>
        </is>
      </c>
      <c r="D833" s="1" t="inlineStr">
        <is>
          <t>06/05/2026</t>
        </is>
      </c>
      <c r="E833" s="1" t="n">
        <v>2026</v>
      </c>
      <c r="F833" s="1" t="inlineStr">
        <is>
          <t>MAYO</t>
        </is>
      </c>
      <c r="G833" s="1" t="inlineStr">
        <is>
          <t>HAIFENG</t>
        </is>
      </c>
      <c r="H833" s="1" t="inlineStr">
        <is>
          <t>HAIFENG 06/05/2026</t>
        </is>
      </c>
      <c r="I833" s="4" t="n">
        <v>2</v>
      </c>
      <c r="J833" s="6" t="n">
        <v>6.5</v>
      </c>
      <c r="K833" s="6" t="n">
        <v>137.9211747</v>
      </c>
      <c r="L833" s="6">
        <f>I833*K833</f>
        <v/>
      </c>
      <c r="M833" s="6">
        <f>K833*4</f>
        <v/>
      </c>
      <c r="N833" s="6" t="n">
        <v>599</v>
      </c>
    </row>
    <row r="834">
      <c r="A834" s="1" t="inlineStr">
        <is>
          <t>29736673893165</t>
        </is>
      </c>
      <c r="B834" s="1" t="inlineStr">
        <is>
          <t>ARETES T SQUARE SIXTEEN STONE SILVER</t>
        </is>
      </c>
      <c r="C834" s="1" t="inlineStr">
        <is>
          <t>Default Title</t>
        </is>
      </c>
      <c r="D834" s="1" t="inlineStr">
        <is>
          <t>16/06/2026</t>
        </is>
      </c>
      <c r="E834" s="1" t="n">
        <v>2026</v>
      </c>
      <c r="F834" s="1" t="inlineStr">
        <is>
          <t>JUNIO</t>
        </is>
      </c>
      <c r="G834" s="1" t="inlineStr">
        <is>
          <t>HAIFENG</t>
        </is>
      </c>
      <c r="H834" s="1" t="inlineStr">
        <is>
          <t>HAIFENG 16/06/2026</t>
        </is>
      </c>
      <c r="I834" s="4" t="n">
        <v>5</v>
      </c>
      <c r="J834" s="6" t="n">
        <v>6.5</v>
      </c>
      <c r="K834" s="6" t="n">
        <v>136.594942</v>
      </c>
      <c r="L834" s="6">
        <f>I834*K834</f>
        <v/>
      </c>
      <c r="M834" s="6">
        <f>K834*4</f>
        <v/>
      </c>
      <c r="N834" s="6" t="n">
        <v>599</v>
      </c>
    </row>
    <row r="835">
      <c r="A835" s="1" t="inlineStr">
        <is>
          <t>29736673965485</t>
        </is>
      </c>
      <c r="B835" s="1" t="inlineStr">
        <is>
          <t>ARETES KNOT SMALL GOLD</t>
        </is>
      </c>
      <c r="C835" s="1" t="inlineStr">
        <is>
          <t>Default Title</t>
        </is>
      </c>
      <c r="D835" s="1" t="inlineStr">
        <is>
          <t>05/02/2026</t>
        </is>
      </c>
      <c r="E835" s="1" t="n">
        <v>2026</v>
      </c>
      <c r="F835" s="1" t="inlineStr">
        <is>
          <t>FEBRERO</t>
        </is>
      </c>
      <c r="G835" s="1" t="inlineStr">
        <is>
          <t>HAIFENG</t>
        </is>
      </c>
      <c r="H835" s="1" t="inlineStr">
        <is>
          <t>HAIFENG 05/02/2026</t>
        </is>
      </c>
      <c r="I835" s="4" t="n">
        <v>3</v>
      </c>
      <c r="J835" s="6" t="n">
        <v>6</v>
      </c>
      <c r="K835" s="6" t="n">
        <v>128.1257543</v>
      </c>
      <c r="L835" s="6">
        <f>I835*K835</f>
        <v/>
      </c>
      <c r="M835" s="6">
        <f>K835*4</f>
        <v/>
      </c>
      <c r="N835" s="6" t="n">
        <v>599</v>
      </c>
    </row>
    <row r="836">
      <c r="A836" s="1" t="inlineStr">
        <is>
          <t>29736673965485</t>
        </is>
      </c>
      <c r="B836" s="1" t="inlineStr">
        <is>
          <t>ARETES KNOT SMALL GOLD</t>
        </is>
      </c>
      <c r="C836" s="1" t="inlineStr">
        <is>
          <t>Default Title</t>
        </is>
      </c>
      <c r="D836" s="1" t="inlineStr">
        <is>
          <t>16/04/2026</t>
        </is>
      </c>
      <c r="E836" s="1" t="n">
        <v>2026</v>
      </c>
      <c r="F836" s="1" t="inlineStr">
        <is>
          <t>ABRIL</t>
        </is>
      </c>
      <c r="G836" s="1" t="inlineStr">
        <is>
          <t>HAIFENG</t>
        </is>
      </c>
      <c r="H836" s="1" t="inlineStr">
        <is>
          <t>HAIFENG 16/04/2026</t>
        </is>
      </c>
      <c r="I836" s="4" t="n">
        <v>4</v>
      </c>
      <c r="J836" s="6" t="n">
        <v>6</v>
      </c>
      <c r="K836" s="6" t="n">
        <v>126.1888415</v>
      </c>
      <c r="L836" s="6">
        <f>I836*K836</f>
        <v/>
      </c>
      <c r="M836" s="6">
        <f>K836*4</f>
        <v/>
      </c>
      <c r="N836" s="6" t="n">
        <v>599</v>
      </c>
    </row>
    <row r="837">
      <c r="A837" s="1" t="inlineStr">
        <is>
          <t>29736673965485</t>
        </is>
      </c>
      <c r="B837" s="1" t="inlineStr">
        <is>
          <t>ARETES KNOT SMALL GOLD</t>
        </is>
      </c>
      <c r="C837" s="1" t="inlineStr">
        <is>
          <t>Default Title</t>
        </is>
      </c>
      <c r="D837" s="1" t="inlineStr">
        <is>
          <t>06/05/2026</t>
        </is>
      </c>
      <c r="E837" s="1" t="n">
        <v>2026</v>
      </c>
      <c r="F837" s="1" t="inlineStr">
        <is>
          <t>MAYO</t>
        </is>
      </c>
      <c r="G837" s="1" t="inlineStr">
        <is>
          <t>HAIFENG</t>
        </is>
      </c>
      <c r="H837" s="1" t="inlineStr">
        <is>
          <t>HAIFENG 06/05/2026</t>
        </is>
      </c>
      <c r="I837" s="4" t="n">
        <v>2</v>
      </c>
      <c r="J837" s="6" t="n">
        <v>6</v>
      </c>
      <c r="K837" s="6" t="n">
        <v>127.3118536</v>
      </c>
      <c r="L837" s="6">
        <f>I837*K837</f>
        <v/>
      </c>
      <c r="M837" s="6">
        <f>K837*4</f>
        <v/>
      </c>
      <c r="N837" s="6" t="n">
        <v>599</v>
      </c>
    </row>
    <row r="838">
      <c r="A838" s="1" t="inlineStr">
        <is>
          <t>29736673965485</t>
        </is>
      </c>
      <c r="B838" s="1" t="inlineStr">
        <is>
          <t>ARETES KNOT SMALL GOLD</t>
        </is>
      </c>
      <c r="C838" s="1" t="inlineStr">
        <is>
          <t>Default Title</t>
        </is>
      </c>
      <c r="D838" s="1" t="inlineStr">
        <is>
          <t>16/06/2026</t>
        </is>
      </c>
      <c r="E838" s="1" t="n">
        <v>2026</v>
      </c>
      <c r="F838" s="1" t="inlineStr">
        <is>
          <t>JUNIO</t>
        </is>
      </c>
      <c r="G838" s="1" t="inlineStr">
        <is>
          <t>HAIFENG</t>
        </is>
      </c>
      <c r="H838" s="1" t="inlineStr">
        <is>
          <t>HAIFENG 16/06/2026</t>
        </is>
      </c>
      <c r="I838" s="4" t="n">
        <v>2</v>
      </c>
      <c r="J838" s="6" t="n">
        <v>6</v>
      </c>
      <c r="K838" s="6" t="n">
        <v>126.0876388</v>
      </c>
      <c r="L838" s="6">
        <f>I838*K838</f>
        <v/>
      </c>
      <c r="M838" s="6">
        <f>K838*4</f>
        <v/>
      </c>
      <c r="N838" s="6" t="n">
        <v>599</v>
      </c>
    </row>
    <row r="839">
      <c r="A839" s="1" t="inlineStr">
        <is>
          <t>29736674042893</t>
        </is>
      </c>
      <c r="B839" s="1" t="inlineStr">
        <is>
          <t>ARETES T CIRCULARES ROSE GOLD</t>
        </is>
      </c>
      <c r="C839" s="1" t="inlineStr">
        <is>
          <t>Default Title</t>
        </is>
      </c>
      <c r="D839" s="1" t="inlineStr">
        <is>
          <t>05/02/2026</t>
        </is>
      </c>
      <c r="E839" s="1" t="n">
        <v>2026</v>
      </c>
      <c r="F839" s="1" t="inlineStr">
        <is>
          <t>FEBRERO</t>
        </is>
      </c>
      <c r="G839" s="1" t="inlineStr">
        <is>
          <t>HAIFENG</t>
        </is>
      </c>
      <c r="H839" s="1" t="inlineStr">
        <is>
          <t>HAIFENG 05/02/2026</t>
        </is>
      </c>
      <c r="I839" s="4" t="n">
        <v>3</v>
      </c>
      <c r="J839" s="6" t="n">
        <v>8</v>
      </c>
      <c r="K839" s="6" t="n">
        <v>170.8343391</v>
      </c>
      <c r="L839" s="6">
        <f>I839*K839</f>
        <v/>
      </c>
      <c r="M839" s="6">
        <f>K839*4</f>
        <v/>
      </c>
      <c r="N839" s="6" t="n">
        <v>799</v>
      </c>
    </row>
    <row r="840">
      <c r="A840" s="1" t="inlineStr">
        <is>
          <t>29736674042893</t>
        </is>
      </c>
      <c r="B840" s="1" t="inlineStr">
        <is>
          <t>ARETES T CIRCULARES ROSE GOLD</t>
        </is>
      </c>
      <c r="C840" s="1" t="inlineStr">
        <is>
          <t>Default Title</t>
        </is>
      </c>
      <c r="D840" s="1" t="inlineStr">
        <is>
          <t>16/06/2026</t>
        </is>
      </c>
      <c r="E840" s="1" t="n">
        <v>2026</v>
      </c>
      <c r="F840" s="1" t="inlineStr">
        <is>
          <t>JUNIO</t>
        </is>
      </c>
      <c r="G840" s="1" t="inlineStr">
        <is>
          <t>HAIFENG</t>
        </is>
      </c>
      <c r="H840" s="1" t="inlineStr">
        <is>
          <t>HAIFENG 16/06/2026</t>
        </is>
      </c>
      <c r="I840" s="4" t="n">
        <v>2</v>
      </c>
      <c r="J840" s="6" t="n">
        <v>8</v>
      </c>
      <c r="K840" s="6" t="n">
        <v>168.1168517</v>
      </c>
      <c r="L840" s="6">
        <f>I840*K840</f>
        <v/>
      </c>
      <c r="M840" s="6">
        <f>K840*4</f>
        <v/>
      </c>
      <c r="N840" s="6" t="n">
        <v>799</v>
      </c>
    </row>
    <row r="841">
      <c r="A841" s="1" t="inlineStr">
        <is>
          <t>29736674158157</t>
        </is>
      </c>
      <c r="B841" s="1" t="inlineStr">
        <is>
          <t>COLLAR OPEN HEAR GOLD ZIRCONIAS</t>
        </is>
      </c>
      <c r="C841" s="1" t="inlineStr">
        <is>
          <t>Default Title</t>
        </is>
      </c>
      <c r="D841" s="1" t="inlineStr">
        <is>
          <t>05/02/2026</t>
        </is>
      </c>
      <c r="E841" s="1" t="n">
        <v>2026</v>
      </c>
      <c r="F841" s="1" t="inlineStr">
        <is>
          <t>FEBRERO</t>
        </is>
      </c>
      <c r="G841" s="1" t="inlineStr">
        <is>
          <t>HAIFENG</t>
        </is>
      </c>
      <c r="H841" s="1" t="inlineStr">
        <is>
          <t>HAIFENG 05/02/2026</t>
        </is>
      </c>
      <c r="I841" s="4" t="n">
        <v>3</v>
      </c>
      <c r="J841" s="6" t="n">
        <v>8</v>
      </c>
      <c r="K841" s="6" t="n">
        <v>170.8343391</v>
      </c>
      <c r="L841" s="6">
        <f>I841*K841</f>
        <v/>
      </c>
      <c r="M841" s="6">
        <f>K841*4</f>
        <v/>
      </c>
      <c r="N841" s="6" t="n">
        <v>699</v>
      </c>
    </row>
    <row r="842">
      <c r="A842" s="1" t="inlineStr">
        <is>
          <t>29736674158157</t>
        </is>
      </c>
      <c r="B842" s="1" t="inlineStr">
        <is>
          <t>COLLAR OPEN HEAR GOLD ZIRCONIAS</t>
        </is>
      </c>
      <c r="C842" s="1" t="inlineStr">
        <is>
          <t>Default Title</t>
        </is>
      </c>
      <c r="D842" s="1" t="inlineStr">
        <is>
          <t>06/05/2026</t>
        </is>
      </c>
      <c r="E842" s="1" t="n">
        <v>2026</v>
      </c>
      <c r="F842" s="1" t="inlineStr">
        <is>
          <t>MAYO</t>
        </is>
      </c>
      <c r="G842" s="1" t="inlineStr">
        <is>
          <t>HAIFENG</t>
        </is>
      </c>
      <c r="H842" s="1" t="inlineStr">
        <is>
          <t>HAIFENG 06/05/2026</t>
        </is>
      </c>
      <c r="I842" s="4" t="n">
        <v>1</v>
      </c>
      <c r="J842" s="6" t="n">
        <v>8</v>
      </c>
      <c r="K842" s="6" t="n">
        <v>169.7491381</v>
      </c>
      <c r="L842" s="6">
        <f>I842*K842</f>
        <v/>
      </c>
      <c r="M842" s="6">
        <f>K842*4</f>
        <v/>
      </c>
      <c r="N842" s="6" t="n">
        <v>699</v>
      </c>
    </row>
    <row r="843">
      <c r="A843" s="1" t="inlineStr">
        <is>
          <t>29736674296013</t>
        </is>
      </c>
      <c r="B843" s="1" t="inlineStr">
        <is>
          <t>COLLAR COLGANTE LOVE</t>
        </is>
      </c>
      <c r="C843" s="1" t="inlineStr">
        <is>
          <t>Default Title</t>
        </is>
      </c>
      <c r="D843" s="1" t="inlineStr">
        <is>
          <t>05/02/2026</t>
        </is>
      </c>
      <c r="E843" s="1" t="n">
        <v>2026</v>
      </c>
      <c r="F843" s="1" t="inlineStr">
        <is>
          <t>FEBRERO</t>
        </is>
      </c>
      <c r="G843" s="1" t="inlineStr">
        <is>
          <t>HAIFENG</t>
        </is>
      </c>
      <c r="H843" s="1" t="inlineStr">
        <is>
          <t>HAIFENG 05/02/2026</t>
        </is>
      </c>
      <c r="I843" s="4" t="n">
        <v>2</v>
      </c>
      <c r="J843" s="6" t="n">
        <v>10</v>
      </c>
      <c r="K843" s="6" t="n">
        <v>213.5429239</v>
      </c>
      <c r="L843" s="6">
        <f>I843*K843</f>
        <v/>
      </c>
      <c r="M843" s="6">
        <f>K843*4</f>
        <v/>
      </c>
      <c r="N843" s="6" t="n">
        <v>824</v>
      </c>
    </row>
    <row r="844">
      <c r="A844" s="1" t="inlineStr">
        <is>
          <t>29852177262732</t>
        </is>
      </c>
      <c r="B844" s="1" t="inlineStr">
        <is>
          <t>PULSERA TRÉBOL GOLD VF</t>
        </is>
      </c>
      <c r="C844" s="1" t="inlineStr">
        <is>
          <t>18cm</t>
        </is>
      </c>
      <c r="D844" s="1" t="inlineStr">
        <is>
          <t>03/12/2025</t>
        </is>
      </c>
      <c r="E844" s="1" t="n">
        <v>2025</v>
      </c>
      <c r="F844" s="1" t="inlineStr">
        <is>
          <t>DICIEMBRE</t>
        </is>
      </c>
      <c r="G844" s="1" t="inlineStr">
        <is>
          <t>HAIFENG</t>
        </is>
      </c>
      <c r="H844" s="1" t="inlineStr">
        <is>
          <t>HAIFENG 03/12/2025</t>
        </is>
      </c>
      <c r="I844" s="4" t="n">
        <v>10</v>
      </c>
      <c r="J844" s="6" t="n">
        <v>34</v>
      </c>
      <c r="K844" s="6" t="n">
        <v>711.1834404</v>
      </c>
      <c r="L844" s="6">
        <f>I844*K844</f>
        <v/>
      </c>
      <c r="M844" s="6">
        <f>K844*4</f>
        <v/>
      </c>
      <c r="N844" s="6" t="n">
        <v>900</v>
      </c>
    </row>
    <row r="845">
      <c r="A845" s="1" t="inlineStr">
        <is>
          <t>29852177262732</t>
        </is>
      </c>
      <c r="B845" s="1" t="inlineStr">
        <is>
          <t>PULSERA TREBOL GOLD VF</t>
        </is>
      </c>
      <c r="C845" s="1" t="inlineStr">
        <is>
          <t>18cm</t>
        </is>
      </c>
      <c r="D845" s="1" t="inlineStr">
        <is>
          <t>16/04/2026</t>
        </is>
      </c>
      <c r="E845" s="1" t="n">
        <v>2026</v>
      </c>
      <c r="F845" s="1" t="inlineStr">
        <is>
          <t>ABRIL</t>
        </is>
      </c>
      <c r="G845" s="1" t="inlineStr">
        <is>
          <t>HAIFENG</t>
        </is>
      </c>
      <c r="H845" s="1" t="inlineStr">
        <is>
          <t>HAIFENG 16/04/2026</t>
        </is>
      </c>
      <c r="I845" s="4" t="n">
        <v>5</v>
      </c>
      <c r="J845" s="6" t="n">
        <v>7</v>
      </c>
      <c r="K845" s="6" t="n">
        <v>147.2203151</v>
      </c>
      <c r="L845" s="6">
        <f>I845*K845</f>
        <v/>
      </c>
      <c r="M845" s="6">
        <f>K845*4</f>
        <v/>
      </c>
      <c r="N845" s="6" t="n">
        <v>900</v>
      </c>
    </row>
    <row r="846">
      <c r="A846" s="1" t="inlineStr">
        <is>
          <t>29852177262732</t>
        </is>
      </c>
      <c r="B846" s="1" t="inlineStr">
        <is>
          <t>PULSERA TREBOL GOLD VF</t>
        </is>
      </c>
      <c r="C846" s="1" t="inlineStr">
        <is>
          <t>18cm</t>
        </is>
      </c>
      <c r="D846" s="1" t="inlineStr">
        <is>
          <t>26/05/2026</t>
        </is>
      </c>
      <c r="E846" s="1" t="n">
        <v>2026</v>
      </c>
      <c r="F846" s="1" t="inlineStr">
        <is>
          <t>MAYO</t>
        </is>
      </c>
      <c r="G846" s="1" t="inlineStr">
        <is>
          <t>HAIFENG</t>
        </is>
      </c>
      <c r="H846" s="1" t="inlineStr">
        <is>
          <t>HAIFENG 26/05/2026</t>
        </is>
      </c>
      <c r="I846" s="4" t="n">
        <v>4</v>
      </c>
      <c r="J846" s="6" t="n">
        <v>7</v>
      </c>
      <c r="K846" s="6" t="n">
        <v>146.9250671</v>
      </c>
      <c r="L846" s="6">
        <f>I846*K846</f>
        <v/>
      </c>
      <c r="M846" s="6">
        <f>K846*4</f>
        <v/>
      </c>
      <c r="N846" s="6" t="n">
        <v>900</v>
      </c>
    </row>
    <row r="847">
      <c r="A847" s="1" t="inlineStr">
        <is>
          <t>29857041083437</t>
        </is>
      </c>
      <c r="B847" s="1" t="inlineStr">
        <is>
          <t>PULSERA CHROMES</t>
        </is>
      </c>
      <c r="C847" s="1" t="inlineStr">
        <is>
          <t>Default Title</t>
        </is>
      </c>
      <c r="D847" s="1" t="inlineStr">
        <is>
          <t>01/04/2026</t>
        </is>
      </c>
      <c r="E847" s="1" t="n">
        <v>2026</v>
      </c>
      <c r="F847" s="1" t="inlineStr">
        <is>
          <t>ABRIL</t>
        </is>
      </c>
      <c r="G847" s="1" t="inlineStr">
        <is>
          <t>NANCY</t>
        </is>
      </c>
      <c r="H847" s="1" t="inlineStr">
        <is>
          <t>NANCY 01/04/2026</t>
        </is>
      </c>
      <c r="I847" s="4" t="n">
        <v>4</v>
      </c>
      <c r="J847" s="6" t="n">
        <v>6.59</v>
      </c>
      <c r="K847" s="6" t="n">
        <v>157.7679581</v>
      </c>
      <c r="L847" s="6">
        <f>I847*K847</f>
        <v/>
      </c>
      <c r="M847" s="6">
        <f>K847*4</f>
        <v/>
      </c>
      <c r="N847" s="6" t="n">
        <v>550</v>
      </c>
    </row>
    <row r="848">
      <c r="A848" s="1" t="inlineStr">
        <is>
          <t>29857041083437</t>
        </is>
      </c>
      <c r="B848" s="1" t="inlineStr">
        <is>
          <t>PULSERA CHROMES</t>
        </is>
      </c>
      <c r="C848" s="1" t="inlineStr">
        <is>
          <t>Default Title</t>
        </is>
      </c>
      <c r="D848" s="1" t="inlineStr">
        <is>
          <t>31/05/2026</t>
        </is>
      </c>
      <c r="E848" s="1" t="n">
        <v>2026</v>
      </c>
      <c r="F848" s="1" t="inlineStr">
        <is>
          <t>MAYO</t>
        </is>
      </c>
      <c r="G848" s="1" t="inlineStr">
        <is>
          <t>NANCY</t>
        </is>
      </c>
      <c r="H848" s="1" t="inlineStr">
        <is>
          <t>NANCY 31/05/2026</t>
        </is>
      </c>
      <c r="I848" s="4" t="n">
        <v>2</v>
      </c>
      <c r="J848" s="6" t="n">
        <v>6.59</v>
      </c>
      <c r="K848" s="6" t="n">
        <v>159.9234162</v>
      </c>
      <c r="L848" s="6">
        <f>I848*K848</f>
        <v/>
      </c>
      <c r="M848" s="6">
        <f>K848*4</f>
        <v/>
      </c>
      <c r="N848" s="6" t="n">
        <v>550</v>
      </c>
    </row>
    <row r="849">
      <c r="A849" s="1" t="inlineStr">
        <is>
          <t>29953901022861</t>
        </is>
      </c>
      <c r="B849" s="1" t="inlineStr">
        <is>
          <t>GORRA CC WHITE</t>
        </is>
      </c>
      <c r="C849" s="1" t="n"/>
      <c r="D849" s="1" t="inlineStr">
        <is>
          <t>08/06/2026</t>
        </is>
      </c>
      <c r="E849" s="1" t="n">
        <v>2026</v>
      </c>
      <c r="F849" s="1" t="inlineStr">
        <is>
          <t>JUNIO</t>
        </is>
      </c>
      <c r="G849" s="1" t="inlineStr">
        <is>
          <t>ZOEY</t>
        </is>
      </c>
      <c r="H849" s="1" t="inlineStr">
        <is>
          <t>ZOEY 08/06/2026</t>
        </is>
      </c>
      <c r="I849" s="4" t="n">
        <v>2</v>
      </c>
      <c r="J849" s="6" t="n">
        <v>18</v>
      </c>
      <c r="K849" s="6" t="n">
        <v>441.2058562</v>
      </c>
      <c r="L849" s="6">
        <f>I849*K849</f>
        <v/>
      </c>
      <c r="M849" s="6">
        <f>K849*4</f>
        <v/>
      </c>
      <c r="N849" s="6" t="n">
        <v>1759</v>
      </c>
    </row>
    <row r="850">
      <c r="A850" s="1" t="inlineStr">
        <is>
          <t>29953901152237</t>
        </is>
      </c>
      <c r="B850" s="1" t="inlineStr">
        <is>
          <t>BOLSO CD CRUNCHY MILLY</t>
        </is>
      </c>
      <c r="C850" s="1" t="n"/>
      <c r="D850" s="1" t="inlineStr">
        <is>
          <t>08/06/2026</t>
        </is>
      </c>
      <c r="E850" s="1" t="n">
        <v>2026</v>
      </c>
      <c r="F850" s="1" t="inlineStr">
        <is>
          <t>JUNIO</t>
        </is>
      </c>
      <c r="G850" s="1" t="inlineStr">
        <is>
          <t>ZOEY</t>
        </is>
      </c>
      <c r="H850" s="1" t="inlineStr">
        <is>
          <t>ZOEY 08/06/2026</t>
        </is>
      </c>
      <c r="I850" s="4" t="n">
        <v>2</v>
      </c>
      <c r="J850" s="6" t="n">
        <v>65</v>
      </c>
      <c r="K850" s="6" t="n">
        <v>1593.24337</v>
      </c>
      <c r="L850" s="6">
        <f>I850*K850</f>
        <v/>
      </c>
      <c r="M850" s="6">
        <f>K850*4</f>
        <v/>
      </c>
      <c r="N850" s="6" t="n">
        <v>6379</v>
      </c>
    </row>
    <row r="851">
      <c r="A851" s="1" t="inlineStr">
        <is>
          <t>29953901285005</t>
        </is>
      </c>
      <c r="B851" s="1" t="inlineStr">
        <is>
          <t>CINTO CD MEDALLON</t>
        </is>
      </c>
      <c r="C851" s="1" t="inlineStr">
        <is>
          <t>100cm</t>
        </is>
      </c>
      <c r="D851" s="1" t="inlineStr">
        <is>
          <t>08/06/2026</t>
        </is>
      </c>
      <c r="E851" s="1" t="n">
        <v>2026</v>
      </c>
      <c r="F851" s="1" t="inlineStr">
        <is>
          <t>JUNIO</t>
        </is>
      </c>
      <c r="G851" s="1" t="inlineStr">
        <is>
          <t>ZOEY</t>
        </is>
      </c>
      <c r="H851" s="1" t="inlineStr">
        <is>
          <t>ZOEY 08/06/2026</t>
        </is>
      </c>
      <c r="I851" s="4" t="n">
        <v>2</v>
      </c>
      <c r="J851" s="6" t="n">
        <v>53</v>
      </c>
      <c r="K851" s="6" t="n">
        <v>1299.106132</v>
      </c>
      <c r="L851" s="6">
        <f>I851*K851</f>
        <v/>
      </c>
      <c r="M851" s="6">
        <f>K851*4</f>
        <v/>
      </c>
      <c r="N851" s="6" t="n">
        <v>4550</v>
      </c>
    </row>
    <row r="852">
      <c r="A852" s="1" t="inlineStr">
        <is>
          <t>29953901383309</t>
        </is>
      </c>
      <c r="B852" s="1" t="inlineStr">
        <is>
          <t>BOLSO CD BOOK TOTE BANDOLERA</t>
        </is>
      </c>
      <c r="C852" s="1" t="n"/>
      <c r="D852" s="1" t="inlineStr">
        <is>
          <t>08/06/2026</t>
        </is>
      </c>
      <c r="E852" s="1" t="n">
        <v>2026</v>
      </c>
      <c r="F852" s="1" t="inlineStr">
        <is>
          <t>JUNIO</t>
        </is>
      </c>
      <c r="G852" s="1" t="inlineStr">
        <is>
          <t>ZOEY</t>
        </is>
      </c>
      <c r="H852" s="1" t="inlineStr">
        <is>
          <t>ZOEY 08/06/2026</t>
        </is>
      </c>
      <c r="I852" s="4" t="n">
        <v>1</v>
      </c>
      <c r="J852" s="6" t="n">
        <v>88</v>
      </c>
      <c r="K852" s="6" t="n">
        <v>2157.006408</v>
      </c>
      <c r="L852" s="6">
        <f>I852*K852</f>
        <v/>
      </c>
      <c r="M852" s="6">
        <f>K852*4</f>
        <v/>
      </c>
      <c r="N852" s="6" t="n">
        <v>8572</v>
      </c>
    </row>
    <row r="853">
      <c r="A853" s="1" t="inlineStr">
        <is>
          <t>29953901454477</t>
        </is>
      </c>
      <c r="B853" s="1" t="inlineStr">
        <is>
          <t>BOLSO CD MESSENGER SADDLE ALL BLACK</t>
        </is>
      </c>
      <c r="C853" s="1" t="n"/>
      <c r="D853" s="1" t="inlineStr">
        <is>
          <t>08/06/2026</t>
        </is>
      </c>
      <c r="E853" s="1" t="n">
        <v>2026</v>
      </c>
      <c r="F853" s="1" t="inlineStr">
        <is>
          <t>JUNIO</t>
        </is>
      </c>
      <c r="G853" s="1" t="inlineStr">
        <is>
          <t>ZOEY</t>
        </is>
      </c>
      <c r="H853" s="1" t="inlineStr">
        <is>
          <t>ZOEY 08/06/2026</t>
        </is>
      </c>
      <c r="I853" s="4" t="n">
        <v>2</v>
      </c>
      <c r="J853" s="6" t="n">
        <v>64</v>
      </c>
      <c r="K853" s="6" t="n">
        <v>1568.731933</v>
      </c>
      <c r="L853" s="6">
        <f>I853*K853</f>
        <v/>
      </c>
      <c r="M853" s="6">
        <f>K853*4</f>
        <v/>
      </c>
      <c r="N853" s="6" t="n">
        <v>5499</v>
      </c>
    </row>
    <row r="854">
      <c r="A854" s="1" t="inlineStr">
        <is>
          <t>29953901549389</t>
        </is>
      </c>
      <c r="B854" s="1" t="inlineStr">
        <is>
          <t>CARTERA CD DAHLIA OBLIQUE</t>
        </is>
      </c>
      <c r="C854" s="1" t="n"/>
      <c r="D854" s="1" t="inlineStr">
        <is>
          <t>08/06/2026</t>
        </is>
      </c>
      <c r="E854" s="1" t="n">
        <v>2026</v>
      </c>
      <c r="F854" s="1" t="inlineStr">
        <is>
          <t>JUNIO</t>
        </is>
      </c>
      <c r="G854" s="1" t="inlineStr">
        <is>
          <t>ZOEY</t>
        </is>
      </c>
      <c r="H854" s="1" t="inlineStr">
        <is>
          <t>ZOEY 08/06/2026</t>
        </is>
      </c>
      <c r="I854" s="4" t="n">
        <v>2</v>
      </c>
      <c r="J854" s="6" t="n">
        <v>22</v>
      </c>
      <c r="K854" s="6" t="n">
        <v>539.251602</v>
      </c>
      <c r="L854" s="6">
        <f>I854*K854</f>
        <v/>
      </c>
      <c r="M854" s="6">
        <f>K854*4</f>
        <v/>
      </c>
      <c r="N854" s="6" t="n">
        <v>2159</v>
      </c>
    </row>
    <row r="855">
      <c r="A855" s="1" t="inlineStr">
        <is>
          <t>29953901642605</t>
        </is>
      </c>
      <c r="B855" s="1" t="inlineStr">
        <is>
          <t>CARTERA CD LADY D GLYCINE</t>
        </is>
      </c>
      <c r="C855" s="1" t="n"/>
      <c r="D855" s="1" t="inlineStr">
        <is>
          <t>08/06/2026</t>
        </is>
      </c>
      <c r="E855" s="1" t="n">
        <v>2026</v>
      </c>
      <c r="F855" s="1" t="inlineStr">
        <is>
          <t>JUNIO</t>
        </is>
      </c>
      <c r="G855" s="1" t="inlineStr">
        <is>
          <t>ZOEY</t>
        </is>
      </c>
      <c r="H855" s="1" t="inlineStr">
        <is>
          <t>ZOEY 08/06/2026</t>
        </is>
      </c>
      <c r="I855" s="4" t="n">
        <v>2</v>
      </c>
      <c r="J855" s="6" t="n">
        <v>22</v>
      </c>
      <c r="K855" s="6" t="n">
        <v>539.251602</v>
      </c>
      <c r="L855" s="6">
        <f>I855*K855</f>
        <v/>
      </c>
      <c r="M855" s="6">
        <f>K855*4</f>
        <v/>
      </c>
      <c r="N855" s="6" t="n">
        <v>2159</v>
      </c>
    </row>
    <row r="856">
      <c r="A856" s="1" t="inlineStr">
        <is>
          <t>29953901737517</t>
        </is>
      </c>
      <c r="B856" s="1" t="inlineStr">
        <is>
          <t>CARTERA CD CARO CANNAGE</t>
        </is>
      </c>
      <c r="C856" s="1" t="n"/>
      <c r="D856" s="1" t="inlineStr">
        <is>
          <t>08/06/2026</t>
        </is>
      </c>
      <c r="E856" s="1" t="n">
        <v>2026</v>
      </c>
      <c r="F856" s="1" t="inlineStr">
        <is>
          <t>JUNIO</t>
        </is>
      </c>
      <c r="G856" s="1" t="inlineStr">
        <is>
          <t>ZOEY</t>
        </is>
      </c>
      <c r="H856" s="1" t="inlineStr">
        <is>
          <t>ZOEY 08/06/2026</t>
        </is>
      </c>
      <c r="I856" s="4" t="n">
        <v>2</v>
      </c>
      <c r="J856" s="6" t="n">
        <v>22</v>
      </c>
      <c r="K856" s="6" t="n">
        <v>539.251602</v>
      </c>
      <c r="L856" s="6">
        <f>I856*K856</f>
        <v/>
      </c>
      <c r="M856" s="6">
        <f>K856*4</f>
        <v/>
      </c>
      <c r="N856" s="6" t="n">
        <v>2159</v>
      </c>
    </row>
    <row r="857">
      <c r="A857" s="1" t="inlineStr">
        <is>
          <t>29953901866893</t>
        </is>
      </c>
      <c r="B857" s="1" t="inlineStr">
        <is>
          <t>CARTERA CD ALARGADA CARO ORCHID</t>
        </is>
      </c>
      <c r="C857" s="1" t="n"/>
      <c r="D857" s="1" t="inlineStr">
        <is>
          <t>08/06/2026</t>
        </is>
      </c>
      <c r="E857" s="1" t="n">
        <v>2026</v>
      </c>
      <c r="F857" s="1" t="inlineStr">
        <is>
          <t>JUNIO</t>
        </is>
      </c>
      <c r="G857" s="1" t="inlineStr">
        <is>
          <t>ZOEY</t>
        </is>
      </c>
      <c r="H857" s="1" t="inlineStr">
        <is>
          <t>ZOEY 08/06/2026</t>
        </is>
      </c>
      <c r="I857" s="4" t="n">
        <v>2</v>
      </c>
      <c r="J857" s="6" t="n">
        <v>22</v>
      </c>
      <c r="K857" s="6" t="n">
        <v>539.251602</v>
      </c>
      <c r="L857" s="6">
        <f>I857*K857</f>
        <v/>
      </c>
      <c r="M857" s="6">
        <f>K857*4</f>
        <v/>
      </c>
      <c r="N857" s="6" t="n">
        <v>2159</v>
      </c>
    </row>
    <row r="858">
      <c r="A858" s="1" t="inlineStr">
        <is>
          <t>29953901989485</t>
        </is>
      </c>
      <c r="B858" s="1" t="inlineStr">
        <is>
          <t>CARTERA CD LOTUS SADDLE OBLIQUE</t>
        </is>
      </c>
      <c r="C858" s="1" t="n"/>
      <c r="D858" s="1" t="inlineStr">
        <is>
          <t>08/06/2026</t>
        </is>
      </c>
      <c r="E858" s="1" t="n">
        <v>2026</v>
      </c>
      <c r="F858" s="1" t="inlineStr">
        <is>
          <t>JUNIO</t>
        </is>
      </c>
      <c r="G858" s="1" t="inlineStr">
        <is>
          <t>ZOEY</t>
        </is>
      </c>
      <c r="H858" s="1" t="inlineStr">
        <is>
          <t>ZOEY 08/06/2026</t>
        </is>
      </c>
      <c r="I858" s="4" t="n">
        <v>2</v>
      </c>
      <c r="J858" s="6" t="n">
        <v>22</v>
      </c>
      <c r="K858" s="6" t="n">
        <v>539.251602</v>
      </c>
      <c r="L858" s="6">
        <f>I858*K858</f>
        <v/>
      </c>
      <c r="M858" s="6">
        <f>K858*4</f>
        <v/>
      </c>
      <c r="N858" s="6" t="n">
        <v>2159</v>
      </c>
    </row>
    <row r="859">
      <c r="A859" s="1" t="inlineStr">
        <is>
          <t>29953902018861</t>
        </is>
      </c>
      <c r="B859" s="1" t="inlineStr">
        <is>
          <t>CARTERA CD LOTUS SADDLE</t>
        </is>
      </c>
      <c r="C859" s="1" t="n"/>
      <c r="D859" s="1" t="inlineStr">
        <is>
          <t>08/06/2026</t>
        </is>
      </c>
      <c r="E859" s="1" t="n">
        <v>2026</v>
      </c>
      <c r="F859" s="1" t="inlineStr">
        <is>
          <t>JUNIO</t>
        </is>
      </c>
      <c r="G859" s="1" t="inlineStr">
        <is>
          <t>ZOEY</t>
        </is>
      </c>
      <c r="H859" s="1" t="inlineStr">
        <is>
          <t>ZOEY 08/06/2026</t>
        </is>
      </c>
      <c r="I859" s="4" t="n">
        <v>2</v>
      </c>
      <c r="J859" s="6" t="n">
        <v>22</v>
      </c>
      <c r="K859" s="6" t="n">
        <v>539.251602</v>
      </c>
      <c r="L859" s="6">
        <f>I859*K859</f>
        <v/>
      </c>
      <c r="M859" s="6">
        <f>K859*4</f>
        <v/>
      </c>
      <c r="N859" s="6" t="n">
        <v>2159</v>
      </c>
    </row>
    <row r="860">
      <c r="A860" s="1" t="inlineStr">
        <is>
          <t>29953902146541</t>
        </is>
      </c>
      <c r="B860" s="1" t="inlineStr">
        <is>
          <t>MONEDERO CD MYRTE OBLIQUE</t>
        </is>
      </c>
      <c r="C860" s="1" t="n"/>
      <c r="D860" s="1" t="inlineStr">
        <is>
          <t>08/06/2026</t>
        </is>
      </c>
      <c r="E860" s="1" t="n">
        <v>2026</v>
      </c>
      <c r="F860" s="1" t="inlineStr">
        <is>
          <t>JUNIO</t>
        </is>
      </c>
      <c r="G860" s="1" t="inlineStr">
        <is>
          <t>ZOEY</t>
        </is>
      </c>
      <c r="H860" s="1" t="inlineStr">
        <is>
          <t>ZOEY 08/06/2026</t>
        </is>
      </c>
      <c r="I860" s="4" t="n">
        <v>2</v>
      </c>
      <c r="J860" s="6" t="n">
        <v>19</v>
      </c>
      <c r="K860" s="6" t="n">
        <v>465.7172926</v>
      </c>
      <c r="L860" s="6">
        <f>I860*K860</f>
        <v/>
      </c>
      <c r="M860" s="6">
        <f>K860*4</f>
        <v/>
      </c>
      <c r="N860" s="6" t="n">
        <v>1869</v>
      </c>
    </row>
    <row r="861">
      <c r="A861" s="1" t="inlineStr">
        <is>
          <t>29953902272525</t>
        </is>
      </c>
      <c r="B861" s="1" t="inlineStr">
        <is>
          <t>BOLSO YSL JAMIE SHOPPING</t>
        </is>
      </c>
      <c r="C861" s="1" t="n"/>
      <c r="D861" s="1" t="inlineStr">
        <is>
          <t>08/06/2026</t>
        </is>
      </c>
      <c r="E861" s="1" t="n">
        <v>2026</v>
      </c>
      <c r="F861" s="1" t="inlineStr">
        <is>
          <t>JUNIO</t>
        </is>
      </c>
      <c r="G861" s="1" t="inlineStr">
        <is>
          <t>ZOEY</t>
        </is>
      </c>
      <c r="H861" s="1" t="inlineStr">
        <is>
          <t>ZOEY 08/06/2026</t>
        </is>
      </c>
      <c r="I861" s="4" t="n">
        <v>2</v>
      </c>
      <c r="J861" s="6" t="n">
        <v>69</v>
      </c>
      <c r="K861" s="6" t="n">
        <v>1691.289115</v>
      </c>
      <c r="L861" s="6">
        <f>I861*K861</f>
        <v/>
      </c>
      <c r="M861" s="6">
        <f>K861*4</f>
        <v/>
      </c>
      <c r="N861" s="6" t="n">
        <v>6769</v>
      </c>
    </row>
    <row r="862">
      <c r="A862" s="1" t="inlineStr">
        <is>
          <t>29953902351501</t>
        </is>
      </c>
      <c r="B862" s="1" t="inlineStr">
        <is>
          <t>BOLSO YSL JAMIE SHOPPING ALL BLACK</t>
        </is>
      </c>
      <c r="C862" s="1" t="n"/>
      <c r="D862" s="1" t="inlineStr">
        <is>
          <t>08/06/2026</t>
        </is>
      </c>
      <c r="E862" s="1" t="n">
        <v>2026</v>
      </c>
      <c r="F862" s="1" t="inlineStr">
        <is>
          <t>JUNIO</t>
        </is>
      </c>
      <c r="G862" s="1" t="inlineStr">
        <is>
          <t>ZOEY</t>
        </is>
      </c>
      <c r="H862" s="1" t="inlineStr">
        <is>
          <t>ZOEY 08/06/2026</t>
        </is>
      </c>
      <c r="I862" s="4" t="n">
        <v>1</v>
      </c>
      <c r="J862" s="6" t="n">
        <v>69</v>
      </c>
      <c r="K862" s="6" t="n">
        <v>1691.289115</v>
      </c>
      <c r="L862" s="6">
        <f>I862*K862</f>
        <v/>
      </c>
      <c r="M862" s="6">
        <f>K862*4</f>
        <v/>
      </c>
      <c r="N862" s="6" t="n">
        <v>6721</v>
      </c>
    </row>
    <row r="863">
      <c r="A863" s="1" t="inlineStr">
        <is>
          <t>29953902481485</t>
        </is>
      </c>
      <c r="B863" s="1" t="inlineStr">
        <is>
          <t>BOLSO YSL JAMIE SHOPPING BURGUNDY</t>
        </is>
      </c>
      <c r="C863" s="1" t="n"/>
      <c r="D863" s="1" t="inlineStr">
        <is>
          <t>08/06/2026</t>
        </is>
      </c>
      <c r="E863" s="1" t="n">
        <v>2026</v>
      </c>
      <c r="F863" s="1" t="inlineStr">
        <is>
          <t>JUNIO</t>
        </is>
      </c>
      <c r="G863" s="1" t="inlineStr">
        <is>
          <t>ZOEY</t>
        </is>
      </c>
      <c r="H863" s="1" t="inlineStr">
        <is>
          <t>ZOEY 08/06/2026</t>
        </is>
      </c>
      <c r="I863" s="4" t="n">
        <v>2</v>
      </c>
      <c r="J863" s="6" t="n">
        <v>65</v>
      </c>
      <c r="K863" s="6" t="n">
        <v>1593.24337</v>
      </c>
      <c r="L863" s="6">
        <f>I863*K863</f>
        <v/>
      </c>
      <c r="M863" s="6">
        <f>K863*4</f>
        <v/>
      </c>
      <c r="N863" s="6" t="n">
        <v>5579</v>
      </c>
    </row>
    <row r="864">
      <c r="A864" s="1" t="inlineStr">
        <is>
          <t>29953902560653</t>
        </is>
      </c>
      <c r="B864" s="1" t="inlineStr">
        <is>
          <t>BOLSO YSL ICARE NAPA</t>
        </is>
      </c>
      <c r="C864" s="1" t="n"/>
      <c r="D864" s="1" t="inlineStr">
        <is>
          <t>08/06/2026</t>
        </is>
      </c>
      <c r="E864" s="1" t="n">
        <v>2026</v>
      </c>
      <c r="F864" s="1" t="inlineStr">
        <is>
          <t>JUNIO</t>
        </is>
      </c>
      <c r="G864" s="1" t="inlineStr">
        <is>
          <t>ZOEY</t>
        </is>
      </c>
      <c r="H864" s="1" t="inlineStr">
        <is>
          <t>ZOEY 08/06/2026</t>
        </is>
      </c>
      <c r="I864" s="4" t="n">
        <v>2</v>
      </c>
      <c r="J864" s="6" t="n">
        <v>58</v>
      </c>
      <c r="K864" s="6" t="n">
        <v>1421.663314</v>
      </c>
      <c r="L864" s="6">
        <f>I864*K864</f>
        <v/>
      </c>
      <c r="M864" s="6">
        <f>K864*4</f>
        <v/>
      </c>
      <c r="N864" s="6" t="n">
        <v>5689</v>
      </c>
    </row>
    <row r="865">
      <c r="A865" s="1" t="inlineStr">
        <is>
          <t>29953902655501</t>
        </is>
      </c>
      <c r="B865" s="1" t="inlineStr">
        <is>
          <t>BOLSO YSL ICARE NAPA BLACK</t>
        </is>
      </c>
      <c r="C865" s="1" t="n"/>
      <c r="D865" s="1" t="inlineStr">
        <is>
          <t>08/06/2026</t>
        </is>
      </c>
      <c r="E865" s="1" t="n">
        <v>2026</v>
      </c>
      <c r="F865" s="1" t="inlineStr">
        <is>
          <t>JUNIO</t>
        </is>
      </c>
      <c r="G865" s="1" t="inlineStr">
        <is>
          <t>ZOEY</t>
        </is>
      </c>
      <c r="H865" s="1" t="inlineStr">
        <is>
          <t>ZOEY 08/06/2026</t>
        </is>
      </c>
      <c r="I865" s="4" t="n">
        <v>2</v>
      </c>
      <c r="J865" s="6" t="n">
        <v>59</v>
      </c>
      <c r="K865" s="6" t="n">
        <v>1446.174751</v>
      </c>
      <c r="L865" s="6">
        <f>I865*K865</f>
        <v/>
      </c>
      <c r="M865" s="6">
        <f>K865*4</f>
        <v/>
      </c>
      <c r="N865" s="6" t="n">
        <v>5789</v>
      </c>
    </row>
    <row r="866">
      <c r="A866" s="1" t="inlineStr">
        <is>
          <t>29953902748109</t>
        </is>
      </c>
      <c r="B866" s="1" t="inlineStr">
        <is>
          <t>BOLSO POCHETTE YSL CASSANDRE</t>
        </is>
      </c>
      <c r="C866" s="1" t="n"/>
      <c r="D866" s="1" t="inlineStr">
        <is>
          <t>08/06/2026</t>
        </is>
      </c>
      <c r="E866" s="1" t="n">
        <v>2026</v>
      </c>
      <c r="F866" s="1" t="inlineStr">
        <is>
          <t>JUNIO</t>
        </is>
      </c>
      <c r="G866" s="1" t="inlineStr">
        <is>
          <t>ZOEY</t>
        </is>
      </c>
      <c r="H866" s="1" t="inlineStr">
        <is>
          <t>ZOEY 08/06/2026</t>
        </is>
      </c>
      <c r="I866" s="4" t="n">
        <v>1</v>
      </c>
      <c r="J866" s="6" t="n">
        <v>75</v>
      </c>
      <c r="K866" s="6" t="n">
        <v>1838.357734</v>
      </c>
      <c r="L866" s="6">
        <f>I866*K866</f>
        <v/>
      </c>
      <c r="M866" s="6">
        <f>K866*4</f>
        <v/>
      </c>
      <c r="N866" s="6" t="n">
        <v>7299</v>
      </c>
    </row>
    <row r="867">
      <c r="A867" s="1" t="inlineStr">
        <is>
          <t>29953902810253</t>
        </is>
      </c>
      <c r="B867" s="1" t="inlineStr">
        <is>
          <t>BOLSO YSL LOULOU BLACK GOLD</t>
        </is>
      </c>
      <c r="C867" s="1" t="n"/>
      <c r="D867" s="1" t="inlineStr">
        <is>
          <t>08/06/2026</t>
        </is>
      </c>
      <c r="E867" s="1" t="n">
        <v>2026</v>
      </c>
      <c r="F867" s="1" t="inlineStr">
        <is>
          <t>JUNIO</t>
        </is>
      </c>
      <c r="G867" s="1" t="inlineStr">
        <is>
          <t>ZOEY</t>
        </is>
      </c>
      <c r="H867" s="1" t="inlineStr">
        <is>
          <t>ZOEY 08/06/2026</t>
        </is>
      </c>
      <c r="I867" s="4" t="n">
        <v>2</v>
      </c>
      <c r="J867" s="6" t="n">
        <v>58</v>
      </c>
      <c r="K867" s="6" t="n">
        <v>1421.663314</v>
      </c>
      <c r="L867" s="6">
        <f>I867*K867</f>
        <v/>
      </c>
      <c r="M867" s="6">
        <f>K867*4</f>
        <v/>
      </c>
      <c r="N867" s="6" t="n">
        <v>4999</v>
      </c>
    </row>
    <row r="868">
      <c r="A868" s="1" t="inlineStr">
        <is>
          <t>29953902939629</t>
        </is>
      </c>
      <c r="B868" s="1" t="inlineStr">
        <is>
          <t>BOLSO YSL LOULOU WHITE</t>
        </is>
      </c>
      <c r="C868" s="1" t="n"/>
      <c r="D868" s="1" t="inlineStr">
        <is>
          <t>08/06/2026</t>
        </is>
      </c>
      <c r="E868" s="1" t="n">
        <v>2026</v>
      </c>
      <c r="F868" s="1" t="inlineStr">
        <is>
          <t>JUNIO</t>
        </is>
      </c>
      <c r="G868" s="1" t="inlineStr">
        <is>
          <t>ZOEY</t>
        </is>
      </c>
      <c r="H868" s="1" t="inlineStr">
        <is>
          <t>ZOEY 08/06/2026</t>
        </is>
      </c>
      <c r="I868" s="4" t="n">
        <v>2</v>
      </c>
      <c r="J868" s="6" t="n">
        <v>56</v>
      </c>
      <c r="K868" s="6" t="n">
        <v>1372.640441</v>
      </c>
      <c r="L868" s="6">
        <f>I868*K868</f>
        <v/>
      </c>
      <c r="M868" s="6">
        <f>K868*4</f>
        <v/>
      </c>
      <c r="N868" s="6" t="n">
        <v>4810</v>
      </c>
    </row>
    <row r="869">
      <c r="A869" s="1" t="inlineStr">
        <is>
          <t>29953903034541</t>
        </is>
      </c>
      <c r="B869" s="1" t="inlineStr">
        <is>
          <t>BOLSO YSL LOULOU BLACK SILVER</t>
        </is>
      </c>
      <c r="C869" s="1" t="n"/>
      <c r="D869" s="1" t="inlineStr">
        <is>
          <t>08/06/2026</t>
        </is>
      </c>
      <c r="E869" s="1" t="n">
        <v>2026</v>
      </c>
      <c r="F869" s="1" t="inlineStr">
        <is>
          <t>JUNIO</t>
        </is>
      </c>
      <c r="G869" s="1" t="inlineStr">
        <is>
          <t>ZOEY</t>
        </is>
      </c>
      <c r="H869" s="1" t="inlineStr">
        <is>
          <t>ZOEY 08/06/2026</t>
        </is>
      </c>
      <c r="I869" s="4" t="n">
        <v>2</v>
      </c>
      <c r="J869" s="6" t="n">
        <v>56</v>
      </c>
      <c r="K869" s="6" t="n">
        <v>1372.640441</v>
      </c>
      <c r="L869" s="6">
        <f>I869*K869</f>
        <v/>
      </c>
      <c r="M869" s="6">
        <f>K869*4</f>
        <v/>
      </c>
      <c r="N869" s="6" t="n">
        <v>4810</v>
      </c>
    </row>
    <row r="870">
      <c r="A870" s="1" t="inlineStr">
        <is>
          <t>29953903165613</t>
        </is>
      </c>
      <c r="B870" s="1" t="inlineStr">
        <is>
          <t>BOLSO YSL LOULOU BURGUNDY</t>
        </is>
      </c>
      <c r="C870" s="1" t="n"/>
      <c r="D870" s="1" t="inlineStr">
        <is>
          <t>08/06/2026</t>
        </is>
      </c>
      <c r="E870" s="1" t="n">
        <v>2026</v>
      </c>
      <c r="F870" s="1" t="inlineStr">
        <is>
          <t>JUNIO</t>
        </is>
      </c>
      <c r="G870" s="1" t="inlineStr">
        <is>
          <t>ZOEY</t>
        </is>
      </c>
      <c r="H870" s="1" t="inlineStr">
        <is>
          <t>ZOEY 08/06/2026</t>
        </is>
      </c>
      <c r="I870" s="4" t="n">
        <v>1</v>
      </c>
      <c r="J870" s="6" t="n">
        <v>59</v>
      </c>
      <c r="K870" s="6" t="n">
        <v>1446.174751</v>
      </c>
      <c r="L870" s="6">
        <f>I870*K870</f>
        <v/>
      </c>
      <c r="M870" s="6">
        <f>K870*4</f>
        <v/>
      </c>
      <c r="N870" s="6" t="n">
        <v>5799</v>
      </c>
    </row>
    <row r="871">
      <c r="A871" s="1" t="inlineStr">
        <is>
          <t>29953903227757</t>
        </is>
      </c>
      <c r="B871" s="1" t="inlineStr">
        <is>
          <t>BOLSO YSL KATE CLASSIC</t>
        </is>
      </c>
      <c r="C871" s="1" t="n"/>
      <c r="D871" s="1" t="inlineStr">
        <is>
          <t>08/06/2026</t>
        </is>
      </c>
      <c r="E871" s="1" t="n">
        <v>2026</v>
      </c>
      <c r="F871" s="1" t="inlineStr">
        <is>
          <t>JUNIO</t>
        </is>
      </c>
      <c r="G871" s="1" t="inlineStr">
        <is>
          <t>ZOEY</t>
        </is>
      </c>
      <c r="H871" s="1" t="inlineStr">
        <is>
          <t>ZOEY 08/06/2026</t>
        </is>
      </c>
      <c r="I871" s="4" t="n">
        <v>2</v>
      </c>
      <c r="J871" s="6" t="n">
        <v>49</v>
      </c>
      <c r="K871" s="6" t="n">
        <v>1201.060386</v>
      </c>
      <c r="L871" s="6">
        <f>I871*K871</f>
        <v/>
      </c>
      <c r="M871" s="6">
        <f>K871*4</f>
        <v/>
      </c>
      <c r="N871" s="6" t="n">
        <v>4850</v>
      </c>
    </row>
    <row r="872">
      <c r="A872" s="1" t="inlineStr">
        <is>
          <t>29953903326061</t>
        </is>
      </c>
      <c r="B872" s="1" t="inlineStr">
        <is>
          <t>BOLSO YSL GABY VANITY</t>
        </is>
      </c>
      <c r="C872" s="1" t="n"/>
      <c r="D872" s="1" t="inlineStr">
        <is>
          <t>08/06/2026</t>
        </is>
      </c>
      <c r="E872" s="1" t="n">
        <v>2026</v>
      </c>
      <c r="F872" s="1" t="inlineStr">
        <is>
          <t>JUNIO</t>
        </is>
      </c>
      <c r="G872" s="1" t="inlineStr">
        <is>
          <t>ZOEY</t>
        </is>
      </c>
      <c r="H872" s="1" t="inlineStr">
        <is>
          <t>ZOEY 08/06/2026</t>
        </is>
      </c>
      <c r="I872" s="4" t="n">
        <v>2</v>
      </c>
      <c r="J872" s="6" t="n">
        <v>53</v>
      </c>
      <c r="K872" s="6" t="n">
        <v>1299.106132</v>
      </c>
      <c r="L872" s="6">
        <f>I872*K872</f>
        <v/>
      </c>
      <c r="M872" s="6">
        <f>K872*4</f>
        <v/>
      </c>
      <c r="N872" s="6" t="n">
        <v>3999</v>
      </c>
    </row>
    <row r="873">
      <c r="A873" s="1" t="inlineStr">
        <is>
          <t>29953903457133</t>
        </is>
      </c>
      <c r="B873" s="1" t="inlineStr">
        <is>
          <t>BOLSO YSL SAC DE JOUR</t>
        </is>
      </c>
      <c r="C873" s="1" t="n"/>
      <c r="D873" s="1" t="inlineStr">
        <is>
          <t>08/06/2026</t>
        </is>
      </c>
      <c r="E873" s="1" t="n">
        <v>2026</v>
      </c>
      <c r="F873" s="1" t="inlineStr">
        <is>
          <t>JUNIO</t>
        </is>
      </c>
      <c r="G873" s="1" t="inlineStr">
        <is>
          <t>ZOEY</t>
        </is>
      </c>
      <c r="H873" s="1" t="inlineStr">
        <is>
          <t>ZOEY 08/06/2026</t>
        </is>
      </c>
      <c r="I873" s="4" t="n">
        <v>1</v>
      </c>
      <c r="J873" s="6" t="n">
        <v>85</v>
      </c>
      <c r="K873" s="6" t="n">
        <v>2083.472099</v>
      </c>
      <c r="L873" s="6">
        <f>I873*K873</f>
        <v/>
      </c>
      <c r="M873" s="6">
        <f>K873*4</f>
        <v/>
      </c>
      <c r="N873" s="6" t="n">
        <v>7299</v>
      </c>
    </row>
    <row r="874">
      <c r="A874" s="1" t="inlineStr">
        <is>
          <t>29973521015533</t>
        </is>
      </c>
      <c r="B874" s="1" t="inlineStr">
        <is>
          <t>ANILLO TRÉBOL SILVER</t>
        </is>
      </c>
      <c r="C874" s="1" t="inlineStr">
        <is>
          <t>6</t>
        </is>
      </c>
      <c r="D874" s="1" t="inlineStr">
        <is>
          <t>11/11/2025</t>
        </is>
      </c>
      <c r="E874" s="1" t="n">
        <v>2025</v>
      </c>
      <c r="F874" s="1" t="inlineStr">
        <is>
          <t>NOVIEMBRE</t>
        </is>
      </c>
      <c r="G874" s="1" t="inlineStr">
        <is>
          <t>HAIFENG</t>
        </is>
      </c>
      <c r="H874" s="1" t="inlineStr">
        <is>
          <t>HAIFENG 11/11/2025</t>
        </is>
      </c>
      <c r="I874" s="4" t="n">
        <v>1</v>
      </c>
      <c r="J874" s="6" t="n">
        <v>5.99</v>
      </c>
      <c r="K874" s="6" t="n">
        <v>126.1523857</v>
      </c>
      <c r="L874" s="6">
        <f>I874*K874</f>
        <v/>
      </c>
      <c r="M874" s="6">
        <f>K874*4</f>
        <v/>
      </c>
      <c r="N874" s="6" t="n">
        <v>599</v>
      </c>
    </row>
    <row r="875">
      <c r="A875" s="1" t="inlineStr">
        <is>
          <t>30410821083277</t>
        </is>
      </c>
      <c r="B875" s="1" t="inlineStr">
        <is>
          <t>PULSERA KNOT ONE GOLD CON ZIRCONIA</t>
        </is>
      </c>
      <c r="C875" s="1" t="inlineStr">
        <is>
          <t>Default Title</t>
        </is>
      </c>
      <c r="D875" s="1" t="inlineStr">
        <is>
          <t>25/09/2025</t>
        </is>
      </c>
      <c r="E875" s="1" t="n">
        <v>2025</v>
      </c>
      <c r="F875" s="1" t="inlineStr">
        <is>
          <t>SEPTIEMBRE</t>
        </is>
      </c>
      <c r="G875" s="1" t="inlineStr">
        <is>
          <t>HAIFENG</t>
        </is>
      </c>
      <c r="H875" s="1" t="inlineStr">
        <is>
          <t>HAIFENG 25/09/2025</t>
        </is>
      </c>
      <c r="I875" s="4" t="n">
        <v>2</v>
      </c>
      <c r="J875" s="6" t="n">
        <v>10</v>
      </c>
      <c r="K875" s="6" t="n">
        <v>210.9688577</v>
      </c>
      <c r="L875" s="6">
        <f>I875*K875</f>
        <v/>
      </c>
      <c r="M875" s="6">
        <f>K875*4</f>
        <v/>
      </c>
      <c r="N875" s="6" t="n">
        <v>577</v>
      </c>
    </row>
    <row r="876">
      <c r="A876" s="1" t="inlineStr">
        <is>
          <t>30615281046477</t>
        </is>
      </c>
      <c r="B876" s="1" t="inlineStr">
        <is>
          <t>ANILLO T SERPIENTE GOLD</t>
        </is>
      </c>
      <c r="C876" s="1" t="inlineStr">
        <is>
          <t>6</t>
        </is>
      </c>
      <c r="D876" s="1" t="inlineStr">
        <is>
          <t>16/06/2026</t>
        </is>
      </c>
      <c r="E876" s="1" t="n">
        <v>2026</v>
      </c>
      <c r="F876" s="1" t="inlineStr">
        <is>
          <t>JUNIO</t>
        </is>
      </c>
      <c r="G876" s="1" t="inlineStr">
        <is>
          <t>HAIFENG</t>
        </is>
      </c>
      <c r="H876" s="1" t="inlineStr">
        <is>
          <t>HAIFENG 16/06/2026</t>
        </is>
      </c>
      <c r="I876" s="4" t="n">
        <v>2</v>
      </c>
      <c r="J876" s="6" t="n">
        <v>6.99</v>
      </c>
      <c r="K876" s="6" t="n">
        <v>146.8920992</v>
      </c>
      <c r="L876" s="6">
        <f>I876*K876</f>
        <v/>
      </c>
      <c r="M876" s="6">
        <f>K876*4</f>
        <v/>
      </c>
      <c r="N876" s="6" t="n">
        <v>600</v>
      </c>
    </row>
    <row r="877">
      <c r="A877" s="1" t="inlineStr">
        <is>
          <t>31058341012141</t>
        </is>
      </c>
      <c r="B877" s="1" t="inlineStr">
        <is>
          <t>ANILLO KNOT DOBLE SILVER ZIRCONIAS</t>
        </is>
      </c>
      <c r="C877" s="1" t="inlineStr">
        <is>
          <t>7</t>
        </is>
      </c>
      <c r="D877" s="1" t="inlineStr">
        <is>
          <t>16/06/2026</t>
        </is>
      </c>
      <c r="E877" s="1" t="n">
        <v>2026</v>
      </c>
      <c r="F877" s="1" t="inlineStr">
        <is>
          <t>JUNIO</t>
        </is>
      </c>
      <c r="G877" s="1" t="inlineStr">
        <is>
          <t>HAIFENG</t>
        </is>
      </c>
      <c r="H877" s="1" t="inlineStr">
        <is>
          <t>HAIFENG 16/06/2026</t>
        </is>
      </c>
      <c r="I877" s="4" t="n">
        <v>1</v>
      </c>
      <c r="J877" s="6" t="n">
        <v>6.5</v>
      </c>
      <c r="K877" s="6" t="n">
        <v>136.594942</v>
      </c>
      <c r="L877" s="6">
        <f>I877*K877</f>
        <v/>
      </c>
      <c r="M877" s="6">
        <f>K877*4</f>
        <v/>
      </c>
      <c r="N877" s="6" t="n">
        <v>550</v>
      </c>
    </row>
    <row r="878">
      <c r="A878" s="1" t="inlineStr">
        <is>
          <t>31058341012142</t>
        </is>
      </c>
      <c r="B878" s="1" t="inlineStr">
        <is>
          <t>ANILLO KNOT DOBLE SILVER ZIRCONIAS</t>
        </is>
      </c>
      <c r="C878" s="1" t="inlineStr">
        <is>
          <t>8</t>
        </is>
      </c>
      <c r="D878" s="1" t="inlineStr">
        <is>
          <t>16/04/2026</t>
        </is>
      </c>
      <c r="E878" s="1" t="n">
        <v>2026</v>
      </c>
      <c r="F878" s="1" t="inlineStr">
        <is>
          <t>ABRIL</t>
        </is>
      </c>
      <c r="G878" s="1" t="inlineStr">
        <is>
          <t>HAIFENG</t>
        </is>
      </c>
      <c r="H878" s="1" t="inlineStr">
        <is>
          <t>HAIFENG 16/04/2026</t>
        </is>
      </c>
      <c r="I878" s="4" t="n">
        <v>2</v>
      </c>
      <c r="J878" s="6" t="n">
        <v>6.5</v>
      </c>
      <c r="K878" s="6" t="n">
        <v>136.7045783</v>
      </c>
      <c r="L878" s="6">
        <f>I878*K878</f>
        <v/>
      </c>
      <c r="M878" s="6">
        <f>K878*4</f>
        <v/>
      </c>
      <c r="N878" s="6" t="n">
        <v>550</v>
      </c>
    </row>
    <row r="879">
      <c r="A879" s="1" t="inlineStr">
        <is>
          <t>31078752039597</t>
        </is>
      </c>
      <c r="B879" s="1" t="inlineStr">
        <is>
          <t>ARETES C SILVER ZIRCONIAS</t>
        </is>
      </c>
      <c r="C879" s="1" t="inlineStr">
        <is>
          <t>Default Title</t>
        </is>
      </c>
      <c r="D879" s="1" t="inlineStr">
        <is>
          <t>22/10/2025</t>
        </is>
      </c>
      <c r="E879" s="1" t="n">
        <v>2025</v>
      </c>
      <c r="F879" s="1" t="inlineStr">
        <is>
          <t>OCTUBRE</t>
        </is>
      </c>
      <c r="G879" s="1" t="inlineStr">
        <is>
          <t>HAIFENG</t>
        </is>
      </c>
      <c r="H879" s="1" t="inlineStr">
        <is>
          <t>HAIFENG 22/10/2025</t>
        </is>
      </c>
      <c r="I879" s="4" t="n">
        <v>3</v>
      </c>
      <c r="J879" s="6" t="n">
        <v>5.99</v>
      </c>
      <c r="K879" s="6" t="n">
        <v>126.5582895</v>
      </c>
      <c r="L879" s="6">
        <f>I879*K879</f>
        <v/>
      </c>
      <c r="M879" s="6">
        <f>K879*4</f>
        <v/>
      </c>
      <c r="N879" s="6" t="n">
        <v>575</v>
      </c>
    </row>
    <row r="880">
      <c r="A880" s="1" t="inlineStr">
        <is>
          <t>31078752039597</t>
        </is>
      </c>
      <c r="B880" s="1" t="inlineStr">
        <is>
          <t>ARETES C SILVER ZIRCONIAS</t>
        </is>
      </c>
      <c r="C880" s="1" t="inlineStr">
        <is>
          <t>Default Title</t>
        </is>
      </c>
      <c r="D880" s="1" t="inlineStr">
        <is>
          <t>11/03/2026</t>
        </is>
      </c>
      <c r="E880" s="1" t="n">
        <v>2026</v>
      </c>
      <c r="F880" s="1" t="inlineStr">
        <is>
          <t>MARZO</t>
        </is>
      </c>
      <c r="G880" s="1" t="inlineStr">
        <is>
          <t>HAIFENG</t>
        </is>
      </c>
      <c r="H880" s="1" t="inlineStr">
        <is>
          <t>HAIFENG 11/03/2026</t>
        </is>
      </c>
      <c r="I880" s="4" t="n">
        <v>1</v>
      </c>
      <c r="J880" s="6" t="n">
        <v>5.99</v>
      </c>
      <c r="K880" s="6" t="n">
        <v>127.6103383</v>
      </c>
      <c r="L880" s="6">
        <f>I880*K880</f>
        <v/>
      </c>
      <c r="M880" s="6">
        <f>K880*4</f>
        <v/>
      </c>
      <c r="N880" s="6" t="n">
        <v>575</v>
      </c>
    </row>
    <row r="881">
      <c r="A881" s="1" t="inlineStr">
        <is>
          <t>31078752039597</t>
        </is>
      </c>
      <c r="B881" s="1" t="inlineStr">
        <is>
          <t>ARETES C SILVER ZIRCONIAS</t>
        </is>
      </c>
      <c r="C881" s="1" t="inlineStr">
        <is>
          <t>Default Title</t>
        </is>
      </c>
      <c r="D881" s="1" t="inlineStr">
        <is>
          <t>06/05/2026</t>
        </is>
      </c>
      <c r="E881" s="1" t="n">
        <v>2026</v>
      </c>
      <c r="F881" s="1" t="inlineStr">
        <is>
          <t>MAYO</t>
        </is>
      </c>
      <c r="G881" s="1" t="inlineStr">
        <is>
          <t>HAIFENG</t>
        </is>
      </c>
      <c r="H881" s="1" t="inlineStr">
        <is>
          <t>HAIFENG 06/05/2026</t>
        </is>
      </c>
      <c r="I881" s="4" t="n">
        <v>2</v>
      </c>
      <c r="J881" s="6" t="n">
        <v>5.99</v>
      </c>
      <c r="K881" s="6" t="n">
        <v>127.0996672</v>
      </c>
      <c r="L881" s="6">
        <f>I881*K881</f>
        <v/>
      </c>
      <c r="M881" s="6">
        <f>K881*4</f>
        <v/>
      </c>
      <c r="N881" s="6" t="n">
        <v>575</v>
      </c>
    </row>
    <row r="882">
      <c r="A882" s="1" t="inlineStr">
        <is>
          <t>31078752039597</t>
        </is>
      </c>
      <c r="B882" s="1" t="inlineStr">
        <is>
          <t>ARETES C SILVER ZIRCONIAS</t>
        </is>
      </c>
      <c r="C882" s="1" t="inlineStr">
        <is>
          <t>Default Title</t>
        </is>
      </c>
      <c r="D882" s="1" t="inlineStr">
        <is>
          <t>16/06/2026</t>
        </is>
      </c>
      <c r="E882" s="1" t="n">
        <v>2026</v>
      </c>
      <c r="F882" s="1" t="inlineStr">
        <is>
          <t>JUNIO</t>
        </is>
      </c>
      <c r="G882" s="1" t="inlineStr">
        <is>
          <t>HAIFENG</t>
        </is>
      </c>
      <c r="H882" s="1" t="inlineStr">
        <is>
          <t>HAIFENG 16/06/2026</t>
        </is>
      </c>
      <c r="I882" s="4" t="n">
        <v>2</v>
      </c>
      <c r="J882" s="6" t="n">
        <v>5.99</v>
      </c>
      <c r="K882" s="6" t="n">
        <v>125.8774927</v>
      </c>
      <c r="L882" s="6">
        <f>I882*K882</f>
        <v/>
      </c>
      <c r="M882" s="6">
        <f>K882*4</f>
        <v/>
      </c>
      <c r="N882" s="6" t="n">
        <v>575</v>
      </c>
    </row>
    <row r="883">
      <c r="A883" s="1" t="inlineStr">
        <is>
          <t>31078752766317</t>
        </is>
      </c>
      <c r="B883" s="1" t="inlineStr">
        <is>
          <t>PULSERA C LOGO GOLD</t>
        </is>
      </c>
      <c r="C883" s="1" t="inlineStr">
        <is>
          <t>Dije 7mm 16cm de largo con 2cm de extensión</t>
        </is>
      </c>
      <c r="D883" s="1" t="inlineStr">
        <is>
          <t>22/10/2025</t>
        </is>
      </c>
      <c r="E883" s="1" t="n">
        <v>2025</v>
      </c>
      <c r="F883" s="1" t="inlineStr">
        <is>
          <t>OCTUBRE</t>
        </is>
      </c>
      <c r="G883" s="1" t="inlineStr">
        <is>
          <t>HAIFENG</t>
        </is>
      </c>
      <c r="H883" s="1" t="inlineStr">
        <is>
          <t>HAIFENG 22/10/2025</t>
        </is>
      </c>
      <c r="I883" s="4" t="n">
        <v>2</v>
      </c>
      <c r="J883" s="6" t="n">
        <v>7.99</v>
      </c>
      <c r="K883" s="6" t="n">
        <v>168.8148135</v>
      </c>
      <c r="L883" s="6">
        <f>I883*K883</f>
        <v/>
      </c>
      <c r="M883" s="6">
        <f>K883*4</f>
        <v/>
      </c>
      <c r="N883" s="6" t="n">
        <v>660</v>
      </c>
    </row>
    <row r="884">
      <c r="A884" s="1" t="inlineStr">
        <is>
          <t>31078752766317</t>
        </is>
      </c>
      <c r="B884" s="1" t="inlineStr">
        <is>
          <t>PULSERA C LOGO GOLD</t>
        </is>
      </c>
      <c r="C884" s="1" t="inlineStr">
        <is>
          <t>Dije 7mm 16cm de largo con 2cm de extensión</t>
        </is>
      </c>
      <c r="D884" s="1" t="inlineStr">
        <is>
          <t>11/03/2026</t>
        </is>
      </c>
      <c r="E884" s="1" t="n">
        <v>2026</v>
      </c>
      <c r="F884" s="1" t="inlineStr">
        <is>
          <t>MARZO</t>
        </is>
      </c>
      <c r="G884" s="1" t="inlineStr">
        <is>
          <t>HAIFENG</t>
        </is>
      </c>
      <c r="H884" s="1" t="inlineStr">
        <is>
          <t>HAIFENG 11/03/2026</t>
        </is>
      </c>
      <c r="I884" s="4" t="n">
        <v>1</v>
      </c>
      <c r="J884" s="6" t="n">
        <v>7.9</v>
      </c>
      <c r="K884" s="6" t="n">
        <v>168.3007801</v>
      </c>
      <c r="L884" s="6">
        <f>I884*K884</f>
        <v/>
      </c>
      <c r="M884" s="6">
        <f>K884*4</f>
        <v/>
      </c>
      <c r="N884" s="6" t="n">
        <v>660</v>
      </c>
    </row>
    <row r="885">
      <c r="A885" s="1" t="inlineStr">
        <is>
          <t>31078752766317</t>
        </is>
      </c>
      <c r="B885" s="1" t="inlineStr">
        <is>
          <t>PULSERA C LOGO GOLD</t>
        </is>
      </c>
      <c r="C885" s="1" t="inlineStr">
        <is>
          <t>Dije 7mm 16cm de largo con 2cm de extensión</t>
        </is>
      </c>
      <c r="D885" s="1" t="inlineStr">
        <is>
          <t>16/04/2026</t>
        </is>
      </c>
      <c r="E885" s="1" t="n">
        <v>2026</v>
      </c>
      <c r="F885" s="1" t="inlineStr">
        <is>
          <t>ABRIL</t>
        </is>
      </c>
      <c r="G885" s="1" t="inlineStr">
        <is>
          <t>HAIFENG</t>
        </is>
      </c>
      <c r="H885" s="1" t="inlineStr">
        <is>
          <t>HAIFENG 16/04/2026</t>
        </is>
      </c>
      <c r="I885" s="4" t="n">
        <v>2</v>
      </c>
      <c r="J885" s="6" t="n">
        <v>7.9</v>
      </c>
      <c r="K885" s="6" t="n">
        <v>166.1486414</v>
      </c>
      <c r="L885" s="6">
        <f>I885*K885</f>
        <v/>
      </c>
      <c r="M885" s="6">
        <f>K885*4</f>
        <v/>
      </c>
      <c r="N885" s="6" t="n">
        <v>660</v>
      </c>
    </row>
    <row r="886">
      <c r="A886" s="1" t="inlineStr">
        <is>
          <t>31078753113261</t>
        </is>
      </c>
      <c r="B886" s="1" t="inlineStr">
        <is>
          <t>PULSERA BV.ZERO GAPS GOLD</t>
        </is>
      </c>
      <c r="C886" s="1" t="inlineStr">
        <is>
          <t>Default Title</t>
        </is>
      </c>
      <c r="D886" s="1" t="inlineStr">
        <is>
          <t>22/10/2025</t>
        </is>
      </c>
      <c r="E886" s="1" t="n">
        <v>2025</v>
      </c>
      <c r="F886" s="1" t="inlineStr">
        <is>
          <t>OCTUBRE</t>
        </is>
      </c>
      <c r="G886" s="1" t="inlineStr">
        <is>
          <t>HAIFENG</t>
        </is>
      </c>
      <c r="H886" s="1" t="inlineStr">
        <is>
          <t>HAIFENG 22/10/2025</t>
        </is>
      </c>
      <c r="I886" s="4" t="n">
        <v>2</v>
      </c>
      <c r="J886" s="6" t="n">
        <v>8.5</v>
      </c>
      <c r="K886" s="6" t="n">
        <v>179.5902272</v>
      </c>
      <c r="L886" s="6">
        <f>I886*K886</f>
        <v/>
      </c>
      <c r="M886" s="6">
        <f>K886*4</f>
        <v/>
      </c>
      <c r="N886" s="6" t="n">
        <v>720</v>
      </c>
    </row>
    <row r="887">
      <c r="A887" s="1" t="inlineStr">
        <is>
          <t>31078753113261</t>
        </is>
      </c>
      <c r="B887" s="1" t="inlineStr">
        <is>
          <t>PULSERA BV.ZERO GAPS GOLD</t>
        </is>
      </c>
      <c r="C887" s="1" t="inlineStr">
        <is>
          <t>Default Title</t>
        </is>
      </c>
      <c r="D887" s="1" t="inlineStr">
        <is>
          <t>11/03/2026</t>
        </is>
      </c>
      <c r="E887" s="1" t="n">
        <v>2026</v>
      </c>
      <c r="F887" s="1" t="inlineStr">
        <is>
          <t>MARZO</t>
        </is>
      </c>
      <c r="G887" s="1" t="inlineStr">
        <is>
          <t>HAIFENG</t>
        </is>
      </c>
      <c r="H887" s="1" t="inlineStr">
        <is>
          <t>HAIFENG 11/03/2026</t>
        </is>
      </c>
      <c r="I887" s="4" t="n">
        <v>2</v>
      </c>
      <c r="J887" s="6" t="n">
        <v>8.5</v>
      </c>
      <c r="K887" s="6" t="n">
        <v>181.0831178</v>
      </c>
      <c r="L887" s="6">
        <f>I887*K887</f>
        <v/>
      </c>
      <c r="M887" s="6">
        <f>K887*4</f>
        <v/>
      </c>
      <c r="N887" s="6" t="n">
        <v>720</v>
      </c>
    </row>
    <row r="888">
      <c r="A888" s="1" t="inlineStr">
        <is>
          <t>31078753113261</t>
        </is>
      </c>
      <c r="B888" s="1" t="inlineStr">
        <is>
          <t>PULSERA BV.ZERO GAPS GOLD</t>
        </is>
      </c>
      <c r="C888" s="1" t="inlineStr">
        <is>
          <t>Default Title</t>
        </is>
      </c>
      <c r="D888" s="1" t="inlineStr">
        <is>
          <t>16/06/2026</t>
        </is>
      </c>
      <c r="E888" s="1" t="n">
        <v>2026</v>
      </c>
      <c r="F888" s="1" t="inlineStr">
        <is>
          <t>JUNIO</t>
        </is>
      </c>
      <c r="G888" s="1" t="inlineStr">
        <is>
          <t>HAIFENG</t>
        </is>
      </c>
      <c r="H888" s="1" t="inlineStr">
        <is>
          <t>HAIFENG 16/06/2026</t>
        </is>
      </c>
      <c r="I888" s="4" t="n">
        <v>2</v>
      </c>
      <c r="J888" s="6" t="n">
        <v>8.5</v>
      </c>
      <c r="K888" s="6" t="n">
        <v>178.6241549</v>
      </c>
      <c r="L888" s="6">
        <f>I888*K888</f>
        <v/>
      </c>
      <c r="M888" s="6">
        <f>K888*4</f>
        <v/>
      </c>
      <c r="N888" s="6" t="n">
        <v>720</v>
      </c>
    </row>
    <row r="889">
      <c r="A889" s="1" t="inlineStr">
        <is>
          <t>31453671066413</t>
        </is>
      </c>
      <c r="B889" s="1" t="inlineStr">
        <is>
          <t>COLLAR FR GOLD CON PERLA</t>
        </is>
      </c>
      <c r="C889" s="1" t="inlineStr">
        <is>
          <t>PRODUCTO NUEVO</t>
        </is>
      </c>
      <c r="D889" s="1" t="inlineStr">
        <is>
          <t>20/01/2026</t>
        </is>
      </c>
      <c r="E889" s="1" t="n">
        <v>2026</v>
      </c>
      <c r="F889" s="1" t="inlineStr">
        <is>
          <t>ENERO</t>
        </is>
      </c>
      <c r="G889" s="1" t="inlineStr">
        <is>
          <t>HAIFENG</t>
        </is>
      </c>
      <c r="H889" s="1" t="inlineStr">
        <is>
          <t>HAIFENG 20/01/2026</t>
        </is>
      </c>
      <c r="I889" s="4" t="n">
        <v>15</v>
      </c>
      <c r="J889" s="6" t="n">
        <v>6.9</v>
      </c>
      <c r="K889" s="6" t="n">
        <v>146.2828828</v>
      </c>
      <c r="L889" s="6">
        <f>I889*K889</f>
        <v/>
      </c>
      <c r="M889" s="6">
        <f>K889*4</f>
        <v/>
      </c>
      <c r="N889" s="6" t="n">
        <v>599</v>
      </c>
    </row>
    <row r="890">
      <c r="A890" s="1" t="inlineStr">
        <is>
          <t>31453671341517</t>
        </is>
      </c>
      <c r="B890" s="1" t="inlineStr">
        <is>
          <t>ARETES FR SILVER ZIRCONIAS</t>
        </is>
      </c>
      <c r="C890" s="1" t="inlineStr">
        <is>
          <t>PRODUCTO NUEVO</t>
        </is>
      </c>
      <c r="D890" s="1" t="inlineStr">
        <is>
          <t>20/01/2026</t>
        </is>
      </c>
      <c r="E890" s="1" t="n">
        <v>2026</v>
      </c>
      <c r="F890" s="1" t="inlineStr">
        <is>
          <t>ENERO</t>
        </is>
      </c>
      <c r="G890" s="1" t="inlineStr">
        <is>
          <t>HAIFENG</t>
        </is>
      </c>
      <c r="H890" s="1" t="inlineStr">
        <is>
          <t>HAIFENG 20/01/2026</t>
        </is>
      </c>
      <c r="I890" s="4" t="n">
        <v>15</v>
      </c>
      <c r="J890" s="6" t="n">
        <v>6</v>
      </c>
      <c r="K890" s="6" t="n">
        <v>127.2025068</v>
      </c>
      <c r="L890" s="6">
        <f>I890*K890</f>
        <v/>
      </c>
      <c r="M890" s="6">
        <f>K890*4</f>
        <v/>
      </c>
      <c r="N890" s="6" t="n">
        <v>499</v>
      </c>
    </row>
    <row r="891">
      <c r="A891" s="1" t="inlineStr">
        <is>
          <t>31453671341517</t>
        </is>
      </c>
      <c r="B891" s="1" t="inlineStr">
        <is>
          <t>ARETES FR SILVER ZIRCONIAS</t>
        </is>
      </c>
      <c r="C891" s="1" t="inlineStr">
        <is>
          <t>Default Title</t>
        </is>
      </c>
      <c r="D891" s="1" t="inlineStr">
        <is>
          <t>16/04/2026</t>
        </is>
      </c>
      <c r="E891" s="1" t="n">
        <v>2026</v>
      </c>
      <c r="F891" s="1" t="inlineStr">
        <is>
          <t>ABRIL</t>
        </is>
      </c>
      <c r="G891" s="1" t="inlineStr">
        <is>
          <t>HAIFENG</t>
        </is>
      </c>
      <c r="H891" s="1" t="inlineStr">
        <is>
          <t>HAIFENG 16/04/2026</t>
        </is>
      </c>
      <c r="I891" s="4" t="n">
        <v>10</v>
      </c>
      <c r="J891" s="6" t="n">
        <v>6</v>
      </c>
      <c r="K891" s="6" t="n">
        <v>126.1888415</v>
      </c>
      <c r="L891" s="6">
        <f>I891*K891</f>
        <v/>
      </c>
      <c r="M891" s="6">
        <f>K891*4</f>
        <v/>
      </c>
      <c r="N891" s="6" t="n">
        <v>499</v>
      </c>
    </row>
    <row r="892">
      <c r="A892" s="1" t="inlineStr">
        <is>
          <t>31453671341517</t>
        </is>
      </c>
      <c r="B892" s="1" t="inlineStr">
        <is>
          <t>ARETES FR SILVER ZIRCONIAS</t>
        </is>
      </c>
      <c r="C892" s="1" t="inlineStr">
        <is>
          <t>Default Title</t>
        </is>
      </c>
      <c r="D892" s="1" t="inlineStr">
        <is>
          <t>16/06/2026</t>
        </is>
      </c>
      <c r="E892" s="1" t="n">
        <v>2026</v>
      </c>
      <c r="F892" s="1" t="inlineStr">
        <is>
          <t>JUNIO</t>
        </is>
      </c>
      <c r="G892" s="1" t="inlineStr">
        <is>
          <t>HAIFENG</t>
        </is>
      </c>
      <c r="H892" s="1" t="inlineStr">
        <is>
          <t>HAIFENG 16/06/2026</t>
        </is>
      </c>
      <c r="I892" s="4" t="n">
        <v>6</v>
      </c>
      <c r="J892" s="6" t="n">
        <v>6</v>
      </c>
      <c r="K892" s="6" t="n">
        <v>126.0876388</v>
      </c>
      <c r="L892" s="6">
        <f>I892*K892</f>
        <v/>
      </c>
      <c r="M892" s="6">
        <f>K892*4</f>
        <v/>
      </c>
      <c r="N892" s="6" t="n">
        <v>499</v>
      </c>
    </row>
    <row r="893">
      <c r="A893" s="1" t="inlineStr">
        <is>
          <t>31704301081517</t>
        </is>
      </c>
      <c r="B893" s="1" t="inlineStr">
        <is>
          <t>BOLSO CC DENIM</t>
        </is>
      </c>
      <c r="C893" s="1" t="inlineStr">
        <is>
          <t>Default Title</t>
        </is>
      </c>
      <c r="D893" s="1" t="inlineStr">
        <is>
          <t>16/06/2026</t>
        </is>
      </c>
      <c r="E893" s="1" t="n">
        <v>2026</v>
      </c>
      <c r="F893" s="1" t="inlineStr">
        <is>
          <t>JUNIO</t>
        </is>
      </c>
      <c r="G893" s="1" t="inlineStr">
        <is>
          <t>HAIFENG</t>
        </is>
      </c>
      <c r="H893" s="1" t="inlineStr">
        <is>
          <t>HAIFENG 16/06/2026</t>
        </is>
      </c>
      <c r="I893" s="4" t="n">
        <v>1</v>
      </c>
      <c r="J893" s="6" t="n">
        <v>85</v>
      </c>
      <c r="K893" s="6" t="n">
        <v>1786.241549</v>
      </c>
      <c r="L893" s="6">
        <f>I893*K893</f>
        <v/>
      </c>
      <c r="M893" s="6">
        <f>K893*4</f>
        <v/>
      </c>
      <c r="N893" s="6" t="n">
        <v>0</v>
      </c>
    </row>
    <row r="894">
      <c r="A894" s="1" t="inlineStr">
        <is>
          <t>32044741019373</t>
        </is>
      </c>
      <c r="B894" s="1" t="inlineStr">
        <is>
          <t>BOLSO CC SEQUINS WHITE</t>
        </is>
      </c>
      <c r="C894" s="1" t="inlineStr">
        <is>
          <t>Default Title</t>
        </is>
      </c>
      <c r="D894" s="1" t="inlineStr">
        <is>
          <t>16/06/2026</t>
        </is>
      </c>
      <c r="E894" s="1" t="n">
        <v>2026</v>
      </c>
      <c r="F894" s="1" t="inlineStr">
        <is>
          <t>JUNIO</t>
        </is>
      </c>
      <c r="G894" s="1" t="inlineStr">
        <is>
          <t>HAIFENG</t>
        </is>
      </c>
      <c r="H894" s="1" t="inlineStr">
        <is>
          <t>HAIFENG 16/06/2026</t>
        </is>
      </c>
      <c r="I894" s="4" t="n">
        <v>2</v>
      </c>
      <c r="J894" s="6" t="n">
        <v>90</v>
      </c>
      <c r="K894" s="6" t="n">
        <v>1891.314581</v>
      </c>
      <c r="L894" s="6">
        <f>I894*K894</f>
        <v/>
      </c>
      <c r="M894" s="6">
        <f>K894*4</f>
        <v/>
      </c>
      <c r="N894" s="6" t="n">
        <v>0</v>
      </c>
    </row>
    <row r="895">
      <c r="A895" s="1" t="inlineStr">
        <is>
          <t>33089531091469</t>
        </is>
      </c>
      <c r="B895" s="1" t="inlineStr">
        <is>
          <t>COLLAR BV ROSEGOLD CON ZIRCONIA ALREDEDOR</t>
        </is>
      </c>
      <c r="C895" s="1" t="inlineStr">
        <is>
          <t>Default Title</t>
        </is>
      </c>
      <c r="D895" s="1" t="inlineStr">
        <is>
          <t>25/09/2025</t>
        </is>
      </c>
      <c r="E895" s="1" t="n">
        <v>2025</v>
      </c>
      <c r="F895" s="1" t="inlineStr">
        <is>
          <t>SEPTIEMBRE</t>
        </is>
      </c>
      <c r="G895" s="1" t="inlineStr">
        <is>
          <t>HAIFENG</t>
        </is>
      </c>
      <c r="H895" s="1" t="inlineStr">
        <is>
          <t>HAIFENG 25/09/2025</t>
        </is>
      </c>
      <c r="I895" s="4" t="n">
        <v>2</v>
      </c>
      <c r="J895" s="6" t="n">
        <v>7.5</v>
      </c>
      <c r="K895" s="6" t="n">
        <v>158.2266433</v>
      </c>
      <c r="L895" s="6">
        <f>I895*K895</f>
        <v/>
      </c>
      <c r="M895" s="6">
        <f>K895*4</f>
        <v/>
      </c>
      <c r="N895" s="6" t="n">
        <v>335</v>
      </c>
    </row>
    <row r="896">
      <c r="A896" s="1" t="inlineStr">
        <is>
          <t>33089531091469</t>
        </is>
      </c>
      <c r="B896" s="1" t="inlineStr">
        <is>
          <t>COLLAR BV ROSEGOLD CON ZIRCONIA ALREDEDOR</t>
        </is>
      </c>
      <c r="C896" s="1" t="inlineStr">
        <is>
          <t>Default Title</t>
        </is>
      </c>
      <c r="D896" s="1" t="inlineStr">
        <is>
          <t>22/10/2025</t>
        </is>
      </c>
      <c r="E896" s="1" t="n">
        <v>2025</v>
      </c>
      <c r="F896" s="1" t="inlineStr">
        <is>
          <t>OCTUBRE</t>
        </is>
      </c>
      <c r="G896" s="1" t="inlineStr">
        <is>
          <t>HAIFENG</t>
        </is>
      </c>
      <c r="H896" s="1" t="inlineStr">
        <is>
          <t>HAIFENG 22/10/2025</t>
        </is>
      </c>
      <c r="I896" s="4" t="n">
        <v>2</v>
      </c>
      <c r="J896" s="6" t="n">
        <v>8</v>
      </c>
      <c r="K896" s="6" t="n">
        <v>169.0260961</v>
      </c>
      <c r="L896" s="6">
        <f>I896*K896</f>
        <v/>
      </c>
      <c r="M896" s="6">
        <f>K896*4</f>
        <v/>
      </c>
      <c r="N896" s="6" t="n">
        <v>335</v>
      </c>
    </row>
    <row r="897">
      <c r="A897" s="1" t="inlineStr">
        <is>
          <t>33089531091469</t>
        </is>
      </c>
      <c r="B897" s="1" t="inlineStr">
        <is>
          <t>COLLAR BV ROSEGOLD CON ZIRCONIA ALREDEDOR</t>
        </is>
      </c>
      <c r="C897" s="1" t="inlineStr">
        <is>
          <t>Default Title</t>
        </is>
      </c>
      <c r="D897" s="1" t="inlineStr">
        <is>
          <t>16/06/2026</t>
        </is>
      </c>
      <c r="E897" s="1" t="n">
        <v>2026</v>
      </c>
      <c r="F897" s="1" t="inlineStr">
        <is>
          <t>JUNIO</t>
        </is>
      </c>
      <c r="G897" s="1" t="inlineStr">
        <is>
          <t>HAIFENG</t>
        </is>
      </c>
      <c r="H897" s="1" t="inlineStr">
        <is>
          <t>HAIFENG 16/06/2026</t>
        </is>
      </c>
      <c r="I897" s="4" t="n">
        <v>5</v>
      </c>
      <c r="J897" s="6" t="n">
        <v>7.5</v>
      </c>
      <c r="K897" s="6" t="n">
        <v>157.6095484</v>
      </c>
      <c r="L897" s="6">
        <f>I897*K897</f>
        <v/>
      </c>
      <c r="M897" s="6">
        <f>K897*4</f>
        <v/>
      </c>
      <c r="N897" s="6" t="n">
        <v>335</v>
      </c>
    </row>
    <row r="898">
      <c r="A898" s="1" t="inlineStr">
        <is>
          <t>33644561048589</t>
        </is>
      </c>
      <c r="B898" s="1" t="inlineStr">
        <is>
          <t>BOLSO F FENDIGRAPHY WHITE</t>
        </is>
      </c>
      <c r="C898" s="1" t="inlineStr">
        <is>
          <t>Default Title</t>
        </is>
      </c>
      <c r="D898" s="1" t="inlineStr">
        <is>
          <t>27/04/2026</t>
        </is>
      </c>
      <c r="E898" s="1" t="n">
        <v>2026</v>
      </c>
      <c r="F898" s="1" t="inlineStr">
        <is>
          <t>ABRIL</t>
        </is>
      </c>
      <c r="G898" s="1" t="inlineStr">
        <is>
          <t>CYNTHIA</t>
        </is>
      </c>
      <c r="H898" s="1" t="inlineStr">
        <is>
          <t>CYNTHIA 27/04/2026</t>
        </is>
      </c>
      <c r="I898" s="4" t="n">
        <v>2</v>
      </c>
      <c r="J898" s="6" t="n">
        <v>52</v>
      </c>
      <c r="K898" s="6" t="n">
        <v>1349.404816</v>
      </c>
      <c r="L898" s="6">
        <f>I898*K898</f>
        <v/>
      </c>
      <c r="M898" s="6">
        <f>K898*4</f>
        <v/>
      </c>
      <c r="N898" s="6" t="n">
        <v>4725</v>
      </c>
    </row>
    <row r="899">
      <c r="A899" s="1" t="inlineStr">
        <is>
          <t>33644561183053</t>
        </is>
      </c>
      <c r="B899" s="1" t="inlineStr">
        <is>
          <t>BOLSO F CHAIN LOGOS</t>
        </is>
      </c>
      <c r="C899" s="1" t="inlineStr">
        <is>
          <t>Default Title</t>
        </is>
      </c>
      <c r="D899" s="1" t="inlineStr">
        <is>
          <t>27/04/2026</t>
        </is>
      </c>
      <c r="E899" s="1" t="n">
        <v>2026</v>
      </c>
      <c r="F899" s="1" t="inlineStr">
        <is>
          <t>ABRIL</t>
        </is>
      </c>
      <c r="G899" s="1" t="inlineStr">
        <is>
          <t>CYNTHIA</t>
        </is>
      </c>
      <c r="H899" s="1" t="inlineStr">
        <is>
          <t>CYNTHIA 27/04/2026</t>
        </is>
      </c>
      <c r="I899" s="4" t="n">
        <v>3</v>
      </c>
      <c r="J899" s="6" t="n">
        <v>46</v>
      </c>
      <c r="K899" s="6" t="n">
        <v>1193.70426</v>
      </c>
      <c r="L899" s="6">
        <f>I899*K899</f>
        <v/>
      </c>
      <c r="M899" s="6">
        <f>K899*4</f>
        <v/>
      </c>
      <c r="N899" s="6" t="n">
        <v>4179</v>
      </c>
    </row>
    <row r="900">
      <c r="A900" s="1" t="inlineStr">
        <is>
          <t>33644561253677</t>
        </is>
      </c>
      <c r="B900" s="1" t="inlineStr">
        <is>
          <t>BOLSO MM TOTE DE TELA</t>
        </is>
      </c>
      <c r="C900" s="1" t="inlineStr">
        <is>
          <t>Default Title</t>
        </is>
      </c>
      <c r="D900" s="1" t="inlineStr">
        <is>
          <t>27/04/2026</t>
        </is>
      </c>
      <c r="E900" s="1" t="n">
        <v>2026</v>
      </c>
      <c r="F900" s="1" t="inlineStr">
        <is>
          <t>ABRIL</t>
        </is>
      </c>
      <c r="G900" s="1" t="inlineStr">
        <is>
          <t>CYNTHIA</t>
        </is>
      </c>
      <c r="H900" s="1" t="inlineStr">
        <is>
          <t>CYNTHIA 27/04/2026</t>
        </is>
      </c>
      <c r="I900" s="4" t="n">
        <v>2</v>
      </c>
      <c r="J900" s="6" t="n">
        <v>43</v>
      </c>
      <c r="K900" s="6" t="n">
        <v>1115.853983</v>
      </c>
      <c r="L900" s="6">
        <f>I900*K900</f>
        <v/>
      </c>
      <c r="M900" s="6">
        <f>K900*4</f>
        <v/>
      </c>
      <c r="N900" s="6" t="n">
        <v>2339</v>
      </c>
    </row>
    <row r="901">
      <c r="A901" s="1" t="inlineStr">
        <is>
          <t>33644561374637</t>
        </is>
      </c>
      <c r="B901" s="1" t="inlineStr">
        <is>
          <t>SOMBRERO MM BEACH RAFFIA</t>
        </is>
      </c>
      <c r="C901" s="1" t="inlineStr">
        <is>
          <t>Default Title</t>
        </is>
      </c>
      <c r="D901" s="1" t="inlineStr">
        <is>
          <t>27/04/2026</t>
        </is>
      </c>
      <c r="E901" s="1" t="n">
        <v>2026</v>
      </c>
      <c r="F901" s="1" t="inlineStr">
        <is>
          <t>ABRIL</t>
        </is>
      </c>
      <c r="G901" s="1" t="inlineStr">
        <is>
          <t>CYNTHIA</t>
        </is>
      </c>
      <c r="H901" s="1" t="inlineStr">
        <is>
          <t>CYNTHIA 27/04/2026</t>
        </is>
      </c>
      <c r="I901" s="4" t="n">
        <v>2</v>
      </c>
      <c r="J901" s="6" t="n">
        <v>16</v>
      </c>
      <c r="K901" s="6" t="n">
        <v>415.2014819</v>
      </c>
      <c r="L901" s="6">
        <f>I901*K901</f>
        <v/>
      </c>
      <c r="M901" s="6">
        <f>K901*4</f>
        <v/>
      </c>
      <c r="N901" s="6" t="n">
        <v>1699</v>
      </c>
    </row>
    <row r="902">
      <c r="A902" s="1" t="inlineStr">
        <is>
          <t>33644561374637</t>
        </is>
      </c>
      <c r="B902" s="1" t="inlineStr">
        <is>
          <t>SOMBRERO MM BEACH RAFFIA</t>
        </is>
      </c>
      <c r="C902" s="1" t="n">
        <v>33644561374637</v>
      </c>
      <c r="D902" s="1" t="inlineStr">
        <is>
          <t>31/05/2026</t>
        </is>
      </c>
      <c r="E902" s="1" t="n">
        <v>2026</v>
      </c>
      <c r="F902" s="1" t="inlineStr">
        <is>
          <t>MAYO</t>
        </is>
      </c>
      <c r="G902" s="1" t="inlineStr">
        <is>
          <t>CYNTHIA</t>
        </is>
      </c>
      <c r="H902" s="1" t="inlineStr">
        <is>
          <t>CYNTHIA 31/05/2026</t>
        </is>
      </c>
      <c r="I902" s="4" t="n">
        <v>2</v>
      </c>
      <c r="J902" s="6" t="n">
        <v>16</v>
      </c>
      <c r="K902" s="6" t="n">
        <v>424.0167196</v>
      </c>
      <c r="L902" s="6">
        <f>I902*K902</f>
        <v/>
      </c>
      <c r="M902" s="6">
        <f>K902*4</f>
        <v/>
      </c>
      <c r="N902" s="6" t="n">
        <v>1699</v>
      </c>
    </row>
    <row r="903">
      <c r="A903" s="1" t="inlineStr">
        <is>
          <t>33644561498925</t>
        </is>
      </c>
      <c r="B903" s="1" t="inlineStr">
        <is>
          <t>SOMBRERO MM BEACH RAFFIA BROWN</t>
        </is>
      </c>
      <c r="C903" s="1" t="inlineStr">
        <is>
          <t>Default Title</t>
        </is>
      </c>
      <c r="D903" s="1" t="inlineStr">
        <is>
          <t>27/04/2026</t>
        </is>
      </c>
      <c r="E903" s="1" t="n">
        <v>2026</v>
      </c>
      <c r="F903" s="1" t="inlineStr">
        <is>
          <t>ABRIL</t>
        </is>
      </c>
      <c r="G903" s="1" t="inlineStr">
        <is>
          <t>CYNTHIA</t>
        </is>
      </c>
      <c r="H903" s="1" t="inlineStr">
        <is>
          <t>CYNTHIA 27/04/2026</t>
        </is>
      </c>
      <c r="I903" s="4" t="n">
        <v>2</v>
      </c>
      <c r="J903" s="6" t="n">
        <v>16</v>
      </c>
      <c r="K903" s="6" t="n">
        <v>415.2014819</v>
      </c>
      <c r="L903" s="6">
        <f>I903*K903</f>
        <v/>
      </c>
      <c r="M903" s="6">
        <f>K903*4</f>
        <v/>
      </c>
      <c r="N903" s="6" t="n">
        <v>1699</v>
      </c>
    </row>
    <row r="904">
      <c r="A904" s="1" t="inlineStr">
        <is>
          <t>33644561498925</t>
        </is>
      </c>
      <c r="B904" s="1" t="inlineStr">
        <is>
          <t>SOMBRERO MM BEACH RAFFIA BROWN</t>
        </is>
      </c>
      <c r="C904" s="1" t="n">
        <v>33644561498925</v>
      </c>
      <c r="D904" s="1" t="inlineStr">
        <is>
          <t>31/05/2026</t>
        </is>
      </c>
      <c r="E904" s="1" t="n">
        <v>2026</v>
      </c>
      <c r="F904" s="1" t="inlineStr">
        <is>
          <t>MAYO</t>
        </is>
      </c>
      <c r="G904" s="1" t="inlineStr">
        <is>
          <t>CYNTHIA</t>
        </is>
      </c>
      <c r="H904" s="1" t="inlineStr">
        <is>
          <t>CYNTHIA 31/05/2026</t>
        </is>
      </c>
      <c r="I904" s="4" t="n">
        <v>2</v>
      </c>
      <c r="J904" s="6" t="n">
        <v>16</v>
      </c>
      <c r="K904" s="6" t="n">
        <v>424.0167196</v>
      </c>
      <c r="L904" s="6">
        <f>I904*K904</f>
        <v/>
      </c>
      <c r="M904" s="6">
        <f>K904*4</f>
        <v/>
      </c>
      <c r="N904" s="6" t="n">
        <v>1699</v>
      </c>
    </row>
    <row r="905">
      <c r="A905" s="1" t="inlineStr">
        <is>
          <t>33644561555373</t>
        </is>
      </c>
      <c r="B905" s="1" t="inlineStr">
        <is>
          <t>SOMBRERO MM RAFFIA</t>
        </is>
      </c>
      <c r="C905" s="1" t="inlineStr">
        <is>
          <t>Default Title</t>
        </is>
      </c>
      <c r="D905" s="1" t="inlineStr">
        <is>
          <t>27/04/2026</t>
        </is>
      </c>
      <c r="E905" s="1" t="n">
        <v>2026</v>
      </c>
      <c r="F905" s="1" t="inlineStr">
        <is>
          <t>ABRIL</t>
        </is>
      </c>
      <c r="G905" s="1" t="inlineStr">
        <is>
          <t>CYNTHIA</t>
        </is>
      </c>
      <c r="H905" s="1" t="inlineStr">
        <is>
          <t>CYNTHIA 27/04/2026</t>
        </is>
      </c>
      <c r="I905" s="4" t="n">
        <v>2</v>
      </c>
      <c r="J905" s="6" t="n">
        <v>10</v>
      </c>
      <c r="K905" s="6" t="n">
        <v>259.5009262</v>
      </c>
      <c r="L905" s="6">
        <f>I905*K905</f>
        <v/>
      </c>
      <c r="M905" s="6">
        <f>K905*4</f>
        <v/>
      </c>
      <c r="N905" s="6" t="n">
        <v>1039</v>
      </c>
    </row>
    <row r="906">
      <c r="A906" s="1" t="inlineStr">
        <is>
          <t>33644561619885</t>
        </is>
      </c>
      <c r="B906" s="1" t="inlineStr">
        <is>
          <t>SOMBRERO MM RAFFIA BEIGE/RED</t>
        </is>
      </c>
      <c r="C906" s="1" t="inlineStr">
        <is>
          <t>Default Title</t>
        </is>
      </c>
      <c r="D906" s="1" t="inlineStr">
        <is>
          <t>20/04/2026</t>
        </is>
      </c>
      <c r="E906" s="1" t="n">
        <v>2026</v>
      </c>
      <c r="F906" s="1" t="inlineStr">
        <is>
          <t>ABRIL</t>
        </is>
      </c>
      <c r="G906" s="1" t="inlineStr">
        <is>
          <t>ZOEY</t>
        </is>
      </c>
      <c r="H906" s="1" t="inlineStr">
        <is>
          <t>ZOEY 20/04/2026</t>
        </is>
      </c>
      <c r="I906" s="4" t="n">
        <v>1</v>
      </c>
      <c r="J906" s="6" t="n">
        <v>32</v>
      </c>
      <c r="K906" s="6" t="n">
        <v>819.4809068</v>
      </c>
      <c r="L906" s="6">
        <f>I906*K906</f>
        <v/>
      </c>
      <c r="M906" s="6">
        <f>K906*4</f>
        <v/>
      </c>
      <c r="N906" s="6" t="n">
        <v>3499</v>
      </c>
    </row>
    <row r="907">
      <c r="A907" s="1" t="inlineStr">
        <is>
          <t>33644561619885</t>
        </is>
      </c>
      <c r="B907" s="1" t="inlineStr">
        <is>
          <t>SOMBRERO MM RAFFIA BEIGE/RED</t>
        </is>
      </c>
      <c r="C907" s="1" t="inlineStr">
        <is>
          <t>Default Title</t>
        </is>
      </c>
      <c r="D907" s="1" t="inlineStr">
        <is>
          <t>27/04/2026</t>
        </is>
      </c>
      <c r="E907" s="1" t="n">
        <v>2026</v>
      </c>
      <c r="F907" s="1" t="inlineStr">
        <is>
          <t>ABRIL</t>
        </is>
      </c>
      <c r="G907" s="1" t="inlineStr">
        <is>
          <t>CYNTHIA</t>
        </is>
      </c>
      <c r="H907" s="1" t="inlineStr">
        <is>
          <t>CYNTHIA 27/04/2026</t>
        </is>
      </c>
      <c r="I907" s="4" t="n">
        <v>2</v>
      </c>
      <c r="J907" s="6" t="n">
        <v>41.8</v>
      </c>
      <c r="K907" s="6" t="n">
        <v>1084.713871</v>
      </c>
      <c r="L907" s="6">
        <f>I907*K907</f>
        <v/>
      </c>
      <c r="M907" s="6">
        <f>K907*4</f>
        <v/>
      </c>
      <c r="N907" s="6" t="n">
        <v>3799</v>
      </c>
    </row>
    <row r="908">
      <c r="A908" s="1" t="inlineStr">
        <is>
          <t>33644561748045</t>
        </is>
      </c>
      <c r="B908" s="1" t="inlineStr">
        <is>
          <t>SOMBRERO MM DENIM BLUE</t>
        </is>
      </c>
      <c r="C908" s="1" t="inlineStr">
        <is>
          <t>Default Title</t>
        </is>
      </c>
      <c r="D908" s="1" t="inlineStr">
        <is>
          <t>27/04/2026</t>
        </is>
      </c>
      <c r="E908" s="1" t="n">
        <v>2026</v>
      </c>
      <c r="F908" s="1" t="inlineStr">
        <is>
          <t>ABRIL</t>
        </is>
      </c>
      <c r="G908" s="1" t="inlineStr">
        <is>
          <t>CYNTHIA</t>
        </is>
      </c>
      <c r="H908" s="1" t="inlineStr">
        <is>
          <t>CYNTHIA 27/04/2026</t>
        </is>
      </c>
      <c r="I908" s="4" t="n">
        <v>2</v>
      </c>
      <c r="J908" s="6" t="n">
        <v>9.800000000000001</v>
      </c>
      <c r="K908" s="6" t="n">
        <v>254.3109076</v>
      </c>
      <c r="L908" s="6">
        <f>I908*K908</f>
        <v/>
      </c>
      <c r="M908" s="6">
        <f>K908*4</f>
        <v/>
      </c>
      <c r="N908" s="6" t="n">
        <v>1019</v>
      </c>
    </row>
    <row r="909">
      <c r="A909" s="1" t="inlineStr">
        <is>
          <t>33644561853133</t>
        </is>
      </c>
      <c r="B909" s="1" t="inlineStr">
        <is>
          <t>BOLSO MM TOTE RAFFIA</t>
        </is>
      </c>
      <c r="C909" s="1" t="inlineStr">
        <is>
          <t>Default Title</t>
        </is>
      </c>
      <c r="D909" s="1" t="inlineStr">
        <is>
          <t>27/04/2026</t>
        </is>
      </c>
      <c r="E909" s="1" t="n">
        <v>2026</v>
      </c>
      <c r="F909" s="1" t="inlineStr">
        <is>
          <t>ABRIL</t>
        </is>
      </c>
      <c r="G909" s="1" t="inlineStr">
        <is>
          <t>CYNTHIA</t>
        </is>
      </c>
      <c r="H909" s="1" t="inlineStr">
        <is>
          <t>CYNTHIA 27/04/2026</t>
        </is>
      </c>
      <c r="I909" s="4" t="n">
        <v>2</v>
      </c>
      <c r="J909" s="6" t="n">
        <v>55</v>
      </c>
      <c r="K909" s="6" t="n">
        <v>1427.255094</v>
      </c>
      <c r="L909" s="6">
        <f>I909*K909</f>
        <v/>
      </c>
      <c r="M909" s="6">
        <f>K909*4</f>
        <v/>
      </c>
      <c r="N909" s="6" t="n">
        <v>4999</v>
      </c>
    </row>
    <row r="910">
      <c r="A910" s="1" t="inlineStr">
        <is>
          <t>33644561954829</t>
        </is>
      </c>
      <c r="B910" s="1" t="inlineStr">
        <is>
          <t>BOLSO MM DENIM BLUE</t>
        </is>
      </c>
      <c r="C910" s="1" t="inlineStr">
        <is>
          <t>Default Title</t>
        </is>
      </c>
      <c r="D910" s="1" t="inlineStr">
        <is>
          <t>27/04/2026</t>
        </is>
      </c>
      <c r="E910" s="1" t="n">
        <v>2026</v>
      </c>
      <c r="F910" s="1" t="inlineStr">
        <is>
          <t>ABRIL</t>
        </is>
      </c>
      <c r="G910" s="1" t="inlineStr">
        <is>
          <t>CYNTHIA</t>
        </is>
      </c>
      <c r="H910" s="1" t="inlineStr">
        <is>
          <t>CYNTHIA 27/04/2026</t>
        </is>
      </c>
      <c r="I910" s="4" t="n">
        <v>2</v>
      </c>
      <c r="J910" s="6" t="n">
        <v>65</v>
      </c>
      <c r="K910" s="6" t="n">
        <v>1686.75602</v>
      </c>
      <c r="L910" s="6">
        <f>I910*K910</f>
        <v/>
      </c>
      <c r="M910" s="6">
        <f>K910*4</f>
        <v/>
      </c>
      <c r="N910" s="6" t="n">
        <v>5910</v>
      </c>
    </row>
    <row r="911">
      <c r="A911" s="1" t="inlineStr">
        <is>
          <t>33644562004557</t>
        </is>
      </c>
      <c r="B911" s="1" t="inlineStr">
        <is>
          <t>LENTES MM OVAL BLACK</t>
        </is>
      </c>
      <c r="C911" s="1" t="inlineStr">
        <is>
          <t>Default Title</t>
        </is>
      </c>
      <c r="D911" s="1" t="inlineStr">
        <is>
          <t>27/04/2026</t>
        </is>
      </c>
      <c r="E911" s="1" t="n">
        <v>2026</v>
      </c>
      <c r="F911" s="1" t="inlineStr">
        <is>
          <t>ABRIL</t>
        </is>
      </c>
      <c r="G911" s="1" t="inlineStr">
        <is>
          <t>CYNTHIA</t>
        </is>
      </c>
      <c r="H911" s="1" t="inlineStr">
        <is>
          <t>CYNTHIA 27/04/2026</t>
        </is>
      </c>
      <c r="I911" s="4" t="n">
        <v>2</v>
      </c>
      <c r="J911" s="6" t="n">
        <v>28</v>
      </c>
      <c r="K911" s="6" t="n">
        <v>726.6025933</v>
      </c>
      <c r="L911" s="6">
        <f>I911*K911</f>
        <v/>
      </c>
      <c r="M911" s="6">
        <f>K911*4</f>
        <v/>
      </c>
      <c r="N911" s="6" t="n">
        <v>2910</v>
      </c>
    </row>
    <row r="912">
      <c r="A912" s="1" t="inlineStr">
        <is>
          <t>33644562259373</t>
        </is>
      </c>
      <c r="B912" s="1" t="inlineStr">
        <is>
          <t>GORRA MM BROWN</t>
        </is>
      </c>
      <c r="C912" s="1" t="inlineStr">
        <is>
          <t>Default Title</t>
        </is>
      </c>
      <c r="D912" s="1" t="inlineStr">
        <is>
          <t>27/04/2026</t>
        </is>
      </c>
      <c r="E912" s="1" t="n">
        <v>2026</v>
      </c>
      <c r="F912" s="1" t="inlineStr">
        <is>
          <t>ABRIL</t>
        </is>
      </c>
      <c r="G912" s="1" t="inlineStr">
        <is>
          <t>CYNTHIA</t>
        </is>
      </c>
      <c r="H912" s="1" t="inlineStr">
        <is>
          <t>CYNTHIA 27/04/2026</t>
        </is>
      </c>
      <c r="I912" s="4" t="n">
        <v>3</v>
      </c>
      <c r="J912" s="6" t="n">
        <v>9</v>
      </c>
      <c r="K912" s="6" t="n">
        <v>233.5508336</v>
      </c>
      <c r="L912" s="6">
        <f>I912*K912</f>
        <v/>
      </c>
      <c r="M912" s="6">
        <f>K912*4</f>
        <v/>
      </c>
      <c r="N912" s="6" t="n">
        <v>935</v>
      </c>
    </row>
    <row r="913">
      <c r="A913" s="1" t="inlineStr">
        <is>
          <t>33765241120301</t>
        </is>
      </c>
      <c r="B913" s="1" t="inlineStr">
        <is>
          <t>ANILLO LV INSTICT SILVER-9</t>
        </is>
      </c>
      <c r="C913" s="1" t="n">
        <v>9</v>
      </c>
      <c r="D913" s="1" t="inlineStr">
        <is>
          <t>25/09/2025</t>
        </is>
      </c>
      <c r="E913" s="1" t="n">
        <v>2025</v>
      </c>
      <c r="F913" s="1" t="inlineStr">
        <is>
          <t>SEPTIEMBRE</t>
        </is>
      </c>
      <c r="G913" s="1" t="inlineStr">
        <is>
          <t>HAIFENG</t>
        </is>
      </c>
      <c r="H913" s="1" t="inlineStr">
        <is>
          <t>HAIFENG 25/09/2025</t>
        </is>
      </c>
      <c r="I913" s="4" t="n">
        <v>2</v>
      </c>
      <c r="J913" s="6" t="n">
        <v>5.99</v>
      </c>
      <c r="K913" s="6" t="n">
        <v>126.3703458</v>
      </c>
      <c r="L913" s="6">
        <f>I913*K913</f>
        <v/>
      </c>
      <c r="M913" s="6">
        <f>K913*4</f>
        <v/>
      </c>
      <c r="N913" s="6" t="n">
        <v>560</v>
      </c>
    </row>
    <row r="914">
      <c r="A914" s="1" t="inlineStr">
        <is>
          <t>33765241120301</t>
        </is>
      </c>
      <c r="B914" s="1" t="n"/>
      <c r="C914" s="1" t="inlineStr">
        <is>
          <t>9</t>
        </is>
      </c>
      <c r="D914" s="1" t="inlineStr">
        <is>
          <t>10/02/2026</t>
        </is>
      </c>
      <c r="E914" s="1" t="n">
        <v>2026</v>
      </c>
      <c r="F914" s="1" t="inlineStr">
        <is>
          <t>FEBRERO</t>
        </is>
      </c>
      <c r="G914" s="1" t="inlineStr">
        <is>
          <t>HAIFENG</t>
        </is>
      </c>
      <c r="H914" s="1" t="inlineStr">
        <is>
          <t>HAIFENG 10/02/2026</t>
        </is>
      </c>
      <c r="I914" s="4" t="n">
        <v>2</v>
      </c>
      <c r="J914" s="6" t="n">
        <v>5.99</v>
      </c>
      <c r="K914" s="6" t="n">
        <v>126.2002914</v>
      </c>
      <c r="L914" s="6">
        <f>I914*K914</f>
        <v/>
      </c>
      <c r="M914" s="6">
        <f>K914*4</f>
        <v/>
      </c>
      <c r="N914" s="6" t="n">
        <v>560</v>
      </c>
    </row>
    <row r="915">
      <c r="A915" s="1" t="inlineStr">
        <is>
          <t>3378841221933</t>
        </is>
      </c>
      <c r="B915" s="1" t="inlineStr">
        <is>
          <t>BALLERINAS LV BROWN CON INSIGNIAS</t>
        </is>
      </c>
      <c r="C915" s="1" t="inlineStr">
        <is>
          <t>24CM</t>
        </is>
      </c>
      <c r="D915" s="1" t="inlineStr">
        <is>
          <t>25/10/2025</t>
        </is>
      </c>
      <c r="E915" s="1" t="n">
        <v>2025</v>
      </c>
      <c r="F915" s="1" t="inlineStr">
        <is>
          <t>OCTUBRE</t>
        </is>
      </c>
      <c r="G915" s="1" t="inlineStr">
        <is>
          <t>ZOEY</t>
        </is>
      </c>
      <c r="H915" s="1" t="inlineStr">
        <is>
          <t>ZOEY 25/10/2025</t>
        </is>
      </c>
      <c r="I915" s="4" t="n">
        <v>1</v>
      </c>
      <c r="J915" s="6" t="n">
        <v>68</v>
      </c>
      <c r="K915" s="6" t="n">
        <v>1686.407433</v>
      </c>
      <c r="L915" s="6">
        <f>I915*K915</f>
        <v/>
      </c>
      <c r="M915" s="6">
        <f>K915*4</f>
        <v/>
      </c>
      <c r="N915" s="6" t="n"/>
    </row>
    <row r="916">
      <c r="A916" s="1" t="inlineStr">
        <is>
          <t>33794531202829</t>
        </is>
      </c>
      <c r="B916" s="1" t="inlineStr">
        <is>
          <t>LENTES CD GLOW S1</t>
        </is>
      </c>
      <c r="C916" s="1" t="n"/>
      <c r="D916" s="1" t="inlineStr">
        <is>
          <t>02/03/2026</t>
        </is>
      </c>
      <c r="E916" s="1" t="n">
        <v>2026</v>
      </c>
      <c r="F916" s="1" t="inlineStr">
        <is>
          <t>MARZO</t>
        </is>
      </c>
      <c r="G916" s="1" t="inlineStr">
        <is>
          <t>ZOEY</t>
        </is>
      </c>
      <c r="H916" s="1" t="inlineStr">
        <is>
          <t>ZOEY 02/03/2026</t>
        </is>
      </c>
      <c r="I916" s="4" t="n">
        <v>2</v>
      </c>
      <c r="J916" s="6" t="n">
        <v>32</v>
      </c>
      <c r="K916" s="6" t="n">
        <v>840.8632231</v>
      </c>
      <c r="L916" s="6">
        <f>I916*K916</f>
        <v/>
      </c>
      <c r="M916" s="6">
        <f>K916*4</f>
        <v/>
      </c>
      <c r="N916" s="6" t="n">
        <v>3399</v>
      </c>
    </row>
    <row r="917">
      <c r="A917" s="1" t="inlineStr">
        <is>
          <t>33794531202829</t>
        </is>
      </c>
      <c r="B917" s="1" t="inlineStr">
        <is>
          <t>LENTES CD GLOW S1</t>
        </is>
      </c>
      <c r="C917" s="1" t="inlineStr">
        <is>
          <t>Default Title</t>
        </is>
      </c>
      <c r="D917" s="1" t="inlineStr">
        <is>
          <t>15/05/2026</t>
        </is>
      </c>
      <c r="E917" s="1" t="n">
        <v>2026</v>
      </c>
      <c r="F917" s="1" t="inlineStr">
        <is>
          <t>MAYO</t>
        </is>
      </c>
      <c r="G917" s="1" t="inlineStr">
        <is>
          <t>ZOEY</t>
        </is>
      </c>
      <c r="H917" s="1" t="inlineStr">
        <is>
          <t>ZOEY 15/05/2026</t>
        </is>
      </c>
      <c r="I917" s="4" t="n">
        <v>4</v>
      </c>
      <c r="J917" s="6" t="n">
        <v>32</v>
      </c>
      <c r="K917" s="6" t="n">
        <v>848.1479836</v>
      </c>
      <c r="L917" s="6">
        <f>I917*K917</f>
        <v/>
      </c>
      <c r="M917" s="6">
        <f>K917*4</f>
        <v/>
      </c>
      <c r="N917" s="6" t="n">
        <v>3399</v>
      </c>
    </row>
    <row r="918">
      <c r="A918" s="1" t="inlineStr">
        <is>
          <t>33794532055533</t>
        </is>
      </c>
      <c r="B918" s="1" t="inlineStr">
        <is>
          <t>TARJETERO MM NAPA</t>
        </is>
      </c>
      <c r="C918" s="1" t="inlineStr">
        <is>
          <t>BLACK</t>
        </is>
      </c>
      <c r="D918" s="1" t="inlineStr">
        <is>
          <t>02/03/2026</t>
        </is>
      </c>
      <c r="E918" s="1" t="n">
        <v>2026</v>
      </c>
      <c r="F918" s="1" t="inlineStr">
        <is>
          <t>MARZO</t>
        </is>
      </c>
      <c r="G918" s="1" t="inlineStr">
        <is>
          <t>ZOEY</t>
        </is>
      </c>
      <c r="H918" s="1" t="inlineStr">
        <is>
          <t>ZOEY 02/03/2026</t>
        </is>
      </c>
      <c r="I918" s="4" t="n">
        <v>2</v>
      </c>
      <c r="J918" s="6" t="n">
        <v>15</v>
      </c>
      <c r="K918" s="6" t="n">
        <v>394.1546358</v>
      </c>
      <c r="L918" s="6">
        <f>I918*K918</f>
        <v/>
      </c>
      <c r="M918" s="6">
        <f>K918*4</f>
        <v/>
      </c>
      <c r="N918" s="6" t="n">
        <v>1599</v>
      </c>
    </row>
    <row r="919">
      <c r="A919" s="1" t="inlineStr">
        <is>
          <t>33794532055533</t>
        </is>
      </c>
      <c r="B919" s="1" t="inlineStr">
        <is>
          <t>TARJETERO MM NAPA</t>
        </is>
      </c>
      <c r="C919" s="1" t="inlineStr">
        <is>
          <t>Default Title</t>
        </is>
      </c>
      <c r="D919" s="1" t="inlineStr">
        <is>
          <t>15/05/2026</t>
        </is>
      </c>
      <c r="E919" s="1" t="n">
        <v>2026</v>
      </c>
      <c r="F919" s="1" t="inlineStr">
        <is>
          <t>MAYO</t>
        </is>
      </c>
      <c r="G919" s="1" t="inlineStr">
        <is>
          <t>ZOEY</t>
        </is>
      </c>
      <c r="H919" s="1" t="inlineStr">
        <is>
          <t>ZOEY 15/05/2026</t>
        </is>
      </c>
      <c r="I919" s="4" t="n">
        <v>2</v>
      </c>
      <c r="J919" s="6" t="n">
        <v>15</v>
      </c>
      <c r="K919" s="6" t="n">
        <v>397.5693673</v>
      </c>
      <c r="L919" s="6">
        <f>I919*K919</f>
        <v/>
      </c>
      <c r="M919" s="6">
        <f>K919*4</f>
        <v/>
      </c>
      <c r="N919" s="6" t="n">
        <v>1599</v>
      </c>
    </row>
    <row r="920">
      <c r="A920" s="1" t="inlineStr">
        <is>
          <t>33794532055533</t>
        </is>
      </c>
      <c r="B920" s="1" t="inlineStr">
        <is>
          <t>TARJETERO MM NAPA</t>
        </is>
      </c>
      <c r="C920" s="1" t="inlineStr">
        <is>
          <t>Default Title</t>
        </is>
      </c>
      <c r="D920" s="1" t="inlineStr">
        <is>
          <t>08/06/2026</t>
        </is>
      </c>
      <c r="E920" s="1" t="n">
        <v>2026</v>
      </c>
      <c r="F920" s="1" t="inlineStr">
        <is>
          <t>JUNIO</t>
        </is>
      </c>
      <c r="G920" s="1" t="inlineStr">
        <is>
          <t>ZOEY</t>
        </is>
      </c>
      <c r="H920" s="1" t="inlineStr">
        <is>
          <t>ZOEY 08/06/2026</t>
        </is>
      </c>
      <c r="I920" s="4" t="n">
        <v>3</v>
      </c>
      <c r="J920" s="6" t="n">
        <v>15</v>
      </c>
      <c r="K920" s="6" t="n">
        <v>367.6715468</v>
      </c>
      <c r="L920" s="6">
        <f>I920*K920</f>
        <v/>
      </c>
      <c r="M920" s="6">
        <f>K920*4</f>
        <v/>
      </c>
      <c r="N920" s="6" t="n">
        <v>1599</v>
      </c>
    </row>
    <row r="921">
      <c r="A921" s="1" t="inlineStr">
        <is>
          <t>33801891077645</t>
        </is>
      </c>
      <c r="B921" s="1" t="inlineStr">
        <is>
          <t>COLLAR BV SILVER SERPIENTE</t>
        </is>
      </c>
      <c r="C921" s="1" t="inlineStr">
        <is>
          <t>Default Title</t>
        </is>
      </c>
      <c r="D921" s="1" t="inlineStr">
        <is>
          <t>25/09/2025</t>
        </is>
      </c>
      <c r="E921" s="1" t="n">
        <v>2025</v>
      </c>
      <c r="F921" s="1" t="inlineStr">
        <is>
          <t>SEPTIEMBRE</t>
        </is>
      </c>
      <c r="G921" s="1" t="inlineStr">
        <is>
          <t>HAIFENG</t>
        </is>
      </c>
      <c r="H921" s="1" t="inlineStr">
        <is>
          <t>HAIFENG 25/09/2025</t>
        </is>
      </c>
      <c r="I921" s="4" t="n">
        <v>2</v>
      </c>
      <c r="J921" s="6" t="n">
        <v>7</v>
      </c>
      <c r="K921" s="6" t="n">
        <v>147.6782004</v>
      </c>
      <c r="L921" s="6">
        <f>I921*K921</f>
        <v/>
      </c>
      <c r="M921" s="6">
        <f>K921*4</f>
        <v/>
      </c>
      <c r="N921" s="6" t="n">
        <v>576.8</v>
      </c>
    </row>
    <row r="922">
      <c r="A922" s="1" t="inlineStr">
        <is>
          <t>33801891077645</t>
        </is>
      </c>
      <c r="B922" s="1" t="inlineStr">
        <is>
          <t>COLLAR BV SILVER SERPIENTE</t>
        </is>
      </c>
      <c r="C922" s="1" t="inlineStr">
        <is>
          <t>Default Title</t>
        </is>
      </c>
      <c r="D922" s="1" t="inlineStr">
        <is>
          <t>11/03/2026</t>
        </is>
      </c>
      <c r="E922" s="1" t="n">
        <v>2026</v>
      </c>
      <c r="F922" s="1" t="inlineStr">
        <is>
          <t>MARZO</t>
        </is>
      </c>
      <c r="G922" s="1" t="inlineStr">
        <is>
          <t>HAIFENG</t>
        </is>
      </c>
      <c r="H922" s="1" t="inlineStr">
        <is>
          <t>HAIFENG 11/03/2026</t>
        </is>
      </c>
      <c r="I922" s="4" t="n">
        <v>3</v>
      </c>
      <c r="J922" s="6" t="n">
        <v>7</v>
      </c>
      <c r="K922" s="6" t="n">
        <v>149.1272735</v>
      </c>
      <c r="L922" s="6">
        <f>I922*K922</f>
        <v/>
      </c>
      <c r="M922" s="6">
        <f>K922*4</f>
        <v/>
      </c>
      <c r="N922" s="6" t="n">
        <v>576.8</v>
      </c>
    </row>
    <row r="923">
      <c r="A923" s="1" t="inlineStr">
        <is>
          <t>33801891077645</t>
        </is>
      </c>
      <c r="B923" s="1" t="inlineStr">
        <is>
          <t>COLLAR BV SILVER SERPIENTE</t>
        </is>
      </c>
      <c r="C923" s="1" t="inlineStr">
        <is>
          <t>Default Title</t>
        </is>
      </c>
      <c r="D923" s="1" t="inlineStr">
        <is>
          <t>06/05/2026</t>
        </is>
      </c>
      <c r="E923" s="1" t="n">
        <v>2026</v>
      </c>
      <c r="F923" s="1" t="inlineStr">
        <is>
          <t>MAYO</t>
        </is>
      </c>
      <c r="G923" s="1" t="inlineStr">
        <is>
          <t>HAIFENG</t>
        </is>
      </c>
      <c r="H923" s="1" t="inlineStr">
        <is>
          <t>HAIFENG 06/05/2026</t>
        </is>
      </c>
      <c r="I923" s="4" t="n">
        <v>1</v>
      </c>
      <c r="J923" s="6" t="n">
        <v>7</v>
      </c>
      <c r="K923" s="6" t="n">
        <v>148.5304959</v>
      </c>
      <c r="L923" s="6">
        <f>I923*K923</f>
        <v/>
      </c>
      <c r="M923" s="6">
        <f>K923*4</f>
        <v/>
      </c>
      <c r="N923" s="6" t="n">
        <v>576.8</v>
      </c>
    </row>
    <row r="924">
      <c r="A924" s="1" t="inlineStr">
        <is>
          <t>3382853668492</t>
        </is>
      </c>
      <c r="B924" s="1" t="inlineStr">
        <is>
          <t>GORRA C BLACK</t>
        </is>
      </c>
      <c r="C924" s="1" t="inlineStr">
        <is>
          <t>M (AJUSTABLE)</t>
        </is>
      </c>
      <c r="D924" s="1" t="inlineStr">
        <is>
          <t>25/10/2025</t>
        </is>
      </c>
      <c r="E924" s="1" t="n">
        <v>2025</v>
      </c>
      <c r="F924" s="1" t="inlineStr">
        <is>
          <t>OCTUBRE</t>
        </is>
      </c>
      <c r="G924" s="1" t="inlineStr">
        <is>
          <t>ZOEY</t>
        </is>
      </c>
      <c r="H924" s="1" t="inlineStr">
        <is>
          <t>ZOEY 25/10/2025</t>
        </is>
      </c>
      <c r="I924" s="4" t="n">
        <v>8</v>
      </c>
      <c r="J924" s="6" t="n">
        <v>18</v>
      </c>
      <c r="K924" s="6" t="n">
        <v>446.4019675</v>
      </c>
      <c r="L924" s="6">
        <f>I924*K924</f>
        <v/>
      </c>
      <c r="M924" s="6">
        <f>K924*4</f>
        <v/>
      </c>
      <c r="N924" s="6" t="n">
        <v>1510</v>
      </c>
    </row>
    <row r="925">
      <c r="A925" s="1" t="inlineStr">
        <is>
          <t>3382853668492</t>
        </is>
      </c>
      <c r="B925" s="1" t="inlineStr">
        <is>
          <t>GORRA C BLACK</t>
        </is>
      </c>
      <c r="C925" s="1" t="inlineStr">
        <is>
          <t>M (AJUSTABLE)</t>
        </is>
      </c>
      <c r="D925" s="1" t="inlineStr">
        <is>
          <t>20/01/2026</t>
        </is>
      </c>
      <c r="E925" s="1" t="n">
        <v>2026</v>
      </c>
      <c r="F925" s="1" t="inlineStr">
        <is>
          <t>ENERO</t>
        </is>
      </c>
      <c r="G925" s="1" t="inlineStr">
        <is>
          <t>ZOEY</t>
        </is>
      </c>
      <c r="H925" s="1" t="inlineStr">
        <is>
          <t>ZOEY 20/01/2026</t>
        </is>
      </c>
      <c r="I925" s="4" t="n">
        <v>5</v>
      </c>
      <c r="J925" s="6" t="n">
        <v>18</v>
      </c>
      <c r="K925" s="6" t="n">
        <v>468.5687886</v>
      </c>
      <c r="L925" s="6">
        <f>I925*K925</f>
        <v/>
      </c>
      <c r="M925" s="6">
        <f>K925*4</f>
        <v/>
      </c>
      <c r="N925" s="6" t="n">
        <v>1859</v>
      </c>
    </row>
    <row r="926">
      <c r="A926" s="1" t="inlineStr">
        <is>
          <t>3382853668492</t>
        </is>
      </c>
      <c r="B926" s="1" t="inlineStr">
        <is>
          <t>GORRA C BLACK</t>
        </is>
      </c>
      <c r="C926" s="1" t="inlineStr">
        <is>
          <t>M (AJUSTABLE)</t>
        </is>
      </c>
      <c r="D926" s="1" t="inlineStr">
        <is>
          <t>20/01/2026</t>
        </is>
      </c>
      <c r="E926" s="1" t="n">
        <v>2026</v>
      </c>
      <c r="F926" s="1" t="inlineStr">
        <is>
          <t>ENERO</t>
        </is>
      </c>
      <c r="G926" s="1" t="inlineStr">
        <is>
          <t>ZOEY</t>
        </is>
      </c>
      <c r="H926" s="1" t="inlineStr">
        <is>
          <t>ZOEY 20/01/2026</t>
        </is>
      </c>
      <c r="I926" s="4" t="n">
        <v>5</v>
      </c>
      <c r="J926" s="6" t="n">
        <v>18</v>
      </c>
      <c r="K926" s="6" t="n">
        <v>468.5687886</v>
      </c>
      <c r="L926" s="6">
        <f>I926*K926</f>
        <v/>
      </c>
      <c r="M926" s="6">
        <f>K926*4</f>
        <v/>
      </c>
      <c r="N926" s="6" t="n">
        <v>1859</v>
      </c>
    </row>
    <row r="927">
      <c r="A927" s="1" t="inlineStr">
        <is>
          <t>3382853668492</t>
        </is>
      </c>
      <c r="B927" s="1" t="inlineStr">
        <is>
          <t>GORRA C BLACK</t>
        </is>
      </c>
      <c r="C927" s="1" t="inlineStr">
        <is>
          <t>M (AJUSTABLE)</t>
        </is>
      </c>
      <c r="D927" s="1" t="inlineStr">
        <is>
          <t>02/03/2026</t>
        </is>
      </c>
      <c r="E927" s="1" t="n">
        <v>2026</v>
      </c>
      <c r="F927" s="1" t="inlineStr">
        <is>
          <t>MARZO</t>
        </is>
      </c>
      <c r="G927" s="1" t="inlineStr">
        <is>
          <t>ZOEY</t>
        </is>
      </c>
      <c r="H927" s="1" t="inlineStr">
        <is>
          <t>ZOEY 02/03/2026</t>
        </is>
      </c>
      <c r="I927" s="4" t="n">
        <v>3</v>
      </c>
      <c r="J927" s="6" t="n">
        <v>18</v>
      </c>
      <c r="K927" s="6" t="n">
        <v>472.985563</v>
      </c>
      <c r="L927" s="6">
        <f>I927*K927</f>
        <v/>
      </c>
      <c r="M927" s="6">
        <f>K927*4</f>
        <v/>
      </c>
      <c r="N927" s="6" t="n">
        <v>1859</v>
      </c>
    </row>
    <row r="928">
      <c r="A928" s="1" t="inlineStr">
        <is>
          <t>3382853668492</t>
        </is>
      </c>
      <c r="B928" s="1" t="inlineStr">
        <is>
          <t>GORRA C BLACK</t>
        </is>
      </c>
      <c r="C928" s="1" t="inlineStr">
        <is>
          <t>M (AJUSTABLE)</t>
        </is>
      </c>
      <c r="D928" s="1" t="inlineStr">
        <is>
          <t>19/03/2026</t>
        </is>
      </c>
      <c r="E928" s="1" t="n">
        <v>2026</v>
      </c>
      <c r="F928" s="1" t="inlineStr">
        <is>
          <t>MARZO</t>
        </is>
      </c>
      <c r="G928" s="1" t="inlineStr">
        <is>
          <t>ZOEY</t>
        </is>
      </c>
      <c r="H928" s="1" t="inlineStr">
        <is>
          <t>ZOEY 19/03/2026</t>
        </is>
      </c>
      <c r="I928" s="4" t="n">
        <v>12</v>
      </c>
      <c r="J928" s="6" t="n">
        <v>18</v>
      </c>
      <c r="K928" s="6" t="n">
        <v>464.076893</v>
      </c>
      <c r="L928" s="6">
        <f>I928*K928</f>
        <v/>
      </c>
      <c r="M928" s="6">
        <f>K928*4</f>
        <v/>
      </c>
      <c r="N928" s="6" t="n">
        <v>1859</v>
      </c>
    </row>
    <row r="929">
      <c r="A929" s="1" t="inlineStr">
        <is>
          <t>3382860722828</t>
        </is>
      </c>
      <c r="B929" s="1" t="inlineStr">
        <is>
          <t>GORRA C LOGO BLACK</t>
        </is>
      </c>
      <c r="C929" s="1" t="inlineStr">
        <is>
          <t>AJUSTABLE</t>
        </is>
      </c>
      <c r="D929" s="1" t="inlineStr">
        <is>
          <t>07/01/2026</t>
        </is>
      </c>
      <c r="E929" s="1" t="n">
        <v>2026</v>
      </c>
      <c r="F929" s="1" t="inlineStr">
        <is>
          <t>ENERO</t>
        </is>
      </c>
      <c r="G929" s="1" t="inlineStr">
        <is>
          <t>CYNTHIA</t>
        </is>
      </c>
      <c r="H929" s="1" t="inlineStr">
        <is>
          <t>CYNTHIA 07/01/2026</t>
        </is>
      </c>
      <c r="I929" s="4" t="n">
        <v>3</v>
      </c>
      <c r="J929" s="6" t="n">
        <v>8.300000000000001</v>
      </c>
      <c r="K929" s="6" t="n">
        <v>220.6756497</v>
      </c>
      <c r="L929" s="6">
        <f>I929*K929</f>
        <v/>
      </c>
      <c r="M929" s="6">
        <f>K929*4</f>
        <v/>
      </c>
      <c r="N929" s="6" t="n">
        <v>899</v>
      </c>
    </row>
    <row r="930">
      <c r="A930" s="1" t="inlineStr">
        <is>
          <t>3382860722828</t>
        </is>
      </c>
      <c r="B930" s="1" t="inlineStr">
        <is>
          <t>GORRA C LOGO BLACK</t>
        </is>
      </c>
      <c r="C930" s="1" t="inlineStr">
        <is>
          <t>AJUSTABLE</t>
        </is>
      </c>
      <c r="D930" s="1" t="inlineStr">
        <is>
          <t>18/02/2026</t>
        </is>
      </c>
      <c r="E930" s="1" t="n">
        <v>2026</v>
      </c>
      <c r="F930" s="1" t="inlineStr">
        <is>
          <t>FEBRERO</t>
        </is>
      </c>
      <c r="G930" s="1" t="inlineStr">
        <is>
          <t>CYNTHIA</t>
        </is>
      </c>
      <c r="H930" s="1" t="inlineStr">
        <is>
          <t>CYNTHIA 18/02/2026</t>
        </is>
      </c>
      <c r="I930" s="4" t="n">
        <v>2</v>
      </c>
      <c r="J930" s="6" t="n">
        <v>8.300000000000001</v>
      </c>
      <c r="K930" s="6" t="n">
        <v>224.4599311</v>
      </c>
      <c r="L930" s="6">
        <f>I930*K930</f>
        <v/>
      </c>
      <c r="M930" s="6">
        <f>K930*4</f>
        <v/>
      </c>
      <c r="N930" s="6" t="n">
        <v>899</v>
      </c>
    </row>
    <row r="931">
      <c r="A931" s="1" t="inlineStr">
        <is>
          <t>3382860722828</t>
        </is>
      </c>
      <c r="B931" s="1" t="inlineStr">
        <is>
          <t>GORRA C LOGO BLACK</t>
        </is>
      </c>
      <c r="C931" s="1" t="inlineStr">
        <is>
          <t>AJUSTABLE</t>
        </is>
      </c>
      <c r="D931" s="1" t="inlineStr">
        <is>
          <t>19/03/2026</t>
        </is>
      </c>
      <c r="E931" s="1" t="n">
        <v>2026</v>
      </c>
      <c r="F931" s="1" t="inlineStr">
        <is>
          <t>MARZO</t>
        </is>
      </c>
      <c r="G931" s="1" t="inlineStr">
        <is>
          <t>CYNTHIA</t>
        </is>
      </c>
      <c r="H931" s="1" t="inlineStr">
        <is>
          <t>CYNTHIA 19/03/2026</t>
        </is>
      </c>
      <c r="I931" s="4" t="n">
        <v>8</v>
      </c>
      <c r="J931" s="6" t="n">
        <v>8.300000000000001</v>
      </c>
      <c r="K931" s="6" t="n">
        <v>222.9165511</v>
      </c>
      <c r="L931" s="6">
        <f>I931*K931</f>
        <v/>
      </c>
      <c r="M931" s="6">
        <f>K931*4</f>
        <v/>
      </c>
      <c r="N931" s="6" t="n">
        <v>899</v>
      </c>
    </row>
    <row r="932">
      <c r="A932" s="1" t="inlineStr">
        <is>
          <t>3382867546764</t>
        </is>
      </c>
      <c r="B932" s="1" t="inlineStr">
        <is>
          <t>GORRA C BEIGE</t>
        </is>
      </c>
      <c r="C932" s="1" t="inlineStr">
        <is>
          <t>M (AJUSTABLE</t>
        </is>
      </c>
      <c r="D932" s="1" t="inlineStr">
        <is>
          <t>01/09/2025</t>
        </is>
      </c>
      <c r="E932" s="1" t="n">
        <v>2025</v>
      </c>
      <c r="F932" s="1" t="inlineStr">
        <is>
          <t>SEPTIEMBRE</t>
        </is>
      </c>
      <c r="G932" s="1" t="inlineStr">
        <is>
          <t>ZOEY</t>
        </is>
      </c>
      <c r="H932" s="1" t="inlineStr">
        <is>
          <t>ZOEY 01/09/2025</t>
        </is>
      </c>
      <c r="I932" s="4" t="n">
        <v>4</v>
      </c>
      <c r="J932" s="6" t="n">
        <v>18</v>
      </c>
      <c r="K932" s="6" t="n">
        <v>452.1212029</v>
      </c>
      <c r="L932" s="6">
        <f>I932*K932</f>
        <v/>
      </c>
      <c r="M932" s="6">
        <f>K932*4</f>
        <v/>
      </c>
      <c r="N932" s="6" t="n">
        <v>1500</v>
      </c>
    </row>
    <row r="933">
      <c r="A933" s="1" t="inlineStr">
        <is>
          <t>3382867546764</t>
        </is>
      </c>
      <c r="B933" s="1" t="inlineStr">
        <is>
          <t>GORRA C BEIGE</t>
        </is>
      </c>
      <c r="C933" s="1" t="inlineStr">
        <is>
          <t>M (AJUSTABLE</t>
        </is>
      </c>
      <c r="D933" s="1" t="inlineStr">
        <is>
          <t>20/01/2026</t>
        </is>
      </c>
      <c r="E933" s="1" t="n">
        <v>2026</v>
      </c>
      <c r="F933" s="1" t="inlineStr">
        <is>
          <t>ENERO</t>
        </is>
      </c>
      <c r="G933" s="1" t="inlineStr">
        <is>
          <t>ZOEY</t>
        </is>
      </c>
      <c r="H933" s="1" t="inlineStr">
        <is>
          <t>ZOEY 20/01/2026</t>
        </is>
      </c>
      <c r="I933" s="4" t="n">
        <v>2</v>
      </c>
      <c r="J933" s="6" t="n">
        <v>18</v>
      </c>
      <c r="K933" s="6" t="n">
        <v>468.5687886</v>
      </c>
      <c r="L933" s="6">
        <f>I933*K933</f>
        <v/>
      </c>
      <c r="M933" s="6">
        <f>K933*4</f>
        <v/>
      </c>
      <c r="N933" s="6" t="n">
        <v>1845</v>
      </c>
    </row>
    <row r="934">
      <c r="A934" s="1" t="inlineStr">
        <is>
          <t>3382867546764</t>
        </is>
      </c>
      <c r="B934" s="1" t="inlineStr">
        <is>
          <t>GORRA C BEIGE</t>
        </is>
      </c>
      <c r="C934" s="1" t="inlineStr">
        <is>
          <t>M (AJUSTABLE</t>
        </is>
      </c>
      <c r="D934" s="1" t="inlineStr">
        <is>
          <t>20/04/2026</t>
        </is>
      </c>
      <c r="E934" s="1" t="n">
        <v>2026</v>
      </c>
      <c r="F934" s="1" t="inlineStr">
        <is>
          <t>ABRIL</t>
        </is>
      </c>
      <c r="G934" s="1" t="inlineStr">
        <is>
          <t>ZOEY</t>
        </is>
      </c>
      <c r="H934" s="1" t="inlineStr">
        <is>
          <t>ZOEY 20/04/2026</t>
        </is>
      </c>
      <c r="I934" s="4" t="n">
        <v>9</v>
      </c>
      <c r="J934" s="6" t="n">
        <v>18</v>
      </c>
      <c r="K934" s="6" t="n">
        <v>460.9580101</v>
      </c>
      <c r="L934" s="6">
        <f>I934*K934</f>
        <v/>
      </c>
      <c r="M934" s="6">
        <f>K934*4</f>
        <v/>
      </c>
      <c r="N934" s="6" t="n">
        <v>1845</v>
      </c>
    </row>
    <row r="935">
      <c r="A935" s="1" t="inlineStr">
        <is>
          <t>33891171089901</t>
        </is>
      </c>
      <c r="B935" s="1" t="inlineStr">
        <is>
          <t>BOLSO YSL CHAROL CHERRY 37</t>
        </is>
      </c>
      <c r="C935" s="1" t="n"/>
      <c r="D935" s="1" t="inlineStr">
        <is>
          <t>08/06/2026</t>
        </is>
      </c>
      <c r="E935" s="1" t="n">
        <v>2026</v>
      </c>
      <c r="F935" s="1" t="inlineStr">
        <is>
          <t>JUNIO</t>
        </is>
      </c>
      <c r="G935" s="1" t="inlineStr">
        <is>
          <t>ZOEY</t>
        </is>
      </c>
      <c r="H935" s="1" t="inlineStr">
        <is>
          <t>ZOEY 08/06/2026</t>
        </is>
      </c>
      <c r="I935" s="4" t="n">
        <v>1</v>
      </c>
      <c r="J935" s="6" t="n">
        <v>55</v>
      </c>
      <c r="K935" s="6" t="n">
        <v>1348.129005</v>
      </c>
      <c r="L935" s="6">
        <f>I935*K935</f>
        <v/>
      </c>
      <c r="M935" s="6">
        <f>K935*4</f>
        <v/>
      </c>
      <c r="N935" s="6" t="n">
        <v>4720</v>
      </c>
    </row>
    <row r="936">
      <c r="A936" s="1" t="inlineStr">
        <is>
          <t>33891171186509</t>
        </is>
      </c>
      <c r="B936" s="1" t="inlineStr">
        <is>
          <t>BOLSO YSL VOLTAIRE BOX</t>
        </is>
      </c>
      <c r="C936" s="1" t="n"/>
      <c r="D936" s="1" t="inlineStr">
        <is>
          <t>08/06/2026</t>
        </is>
      </c>
      <c r="E936" s="1" t="n">
        <v>2026</v>
      </c>
      <c r="F936" s="1" t="inlineStr">
        <is>
          <t>JUNIO</t>
        </is>
      </c>
      <c r="G936" s="1" t="inlineStr">
        <is>
          <t>ZOEY</t>
        </is>
      </c>
      <c r="H936" s="1" t="inlineStr">
        <is>
          <t>ZOEY 08/06/2026</t>
        </is>
      </c>
      <c r="I936" s="4" t="n">
        <v>1</v>
      </c>
      <c r="J936" s="6" t="n">
        <v>65</v>
      </c>
      <c r="K936" s="6" t="n">
        <v>1593.24337</v>
      </c>
      <c r="L936" s="6">
        <f>I936*K936</f>
        <v/>
      </c>
      <c r="M936" s="6">
        <f>K936*4</f>
        <v/>
      </c>
      <c r="N936" s="6" t="n">
        <v>5579</v>
      </c>
    </row>
    <row r="937">
      <c r="A937" s="1" t="inlineStr">
        <is>
          <t>33891171250349</t>
        </is>
      </c>
      <c r="B937" s="1" t="inlineStr">
        <is>
          <t>BOLSO H EVELYNE 29</t>
        </is>
      </c>
      <c r="C937" s="1" t="n"/>
      <c r="D937" s="1" t="inlineStr">
        <is>
          <t>08/06/2026</t>
        </is>
      </c>
      <c r="E937" s="1" t="n">
        <v>2026</v>
      </c>
      <c r="F937" s="1" t="inlineStr">
        <is>
          <t>JUNIO</t>
        </is>
      </c>
      <c r="G937" s="1" t="inlineStr">
        <is>
          <t>ZOEY</t>
        </is>
      </c>
      <c r="H937" s="1" t="inlineStr">
        <is>
          <t>ZOEY 08/06/2026</t>
        </is>
      </c>
      <c r="I937" s="4" t="n">
        <v>2</v>
      </c>
      <c r="J937" s="6" t="n">
        <v>69</v>
      </c>
      <c r="K937" s="6" t="n">
        <v>1691.289115</v>
      </c>
      <c r="L937" s="6">
        <f>I937*K937</f>
        <v/>
      </c>
      <c r="M937" s="6">
        <f>K937*4</f>
        <v/>
      </c>
      <c r="N937" s="6" t="n">
        <v>5920</v>
      </c>
    </row>
    <row r="938">
      <c r="A938" s="1" t="inlineStr">
        <is>
          <t>33891171359725</t>
        </is>
      </c>
      <c r="B938" s="1" t="inlineStr">
        <is>
          <t>CARTERA CD LIBRO ALARGADA SADDLE</t>
        </is>
      </c>
      <c r="C938" s="1" t="n"/>
      <c r="D938" s="1" t="inlineStr">
        <is>
          <t>08/06/2026</t>
        </is>
      </c>
      <c r="E938" s="1" t="n">
        <v>2026</v>
      </c>
      <c r="F938" s="1" t="inlineStr">
        <is>
          <t>JUNIO</t>
        </is>
      </c>
      <c r="G938" s="1" t="inlineStr">
        <is>
          <t>ZOEY</t>
        </is>
      </c>
      <c r="H938" s="1" t="inlineStr">
        <is>
          <t>ZOEY 08/06/2026</t>
        </is>
      </c>
      <c r="I938" s="4" t="n">
        <v>2</v>
      </c>
      <c r="J938" s="6" t="n">
        <v>22</v>
      </c>
      <c r="K938" s="6" t="n">
        <v>539.251602</v>
      </c>
      <c r="L938" s="6">
        <f>I938*K938</f>
        <v/>
      </c>
      <c r="M938" s="6">
        <f>K938*4</f>
        <v/>
      </c>
      <c r="N938" s="6" t="n">
        <v>2159</v>
      </c>
    </row>
    <row r="939">
      <c r="A939" s="1" t="inlineStr">
        <is>
          <t>33891171489101</t>
        </is>
      </c>
      <c r="B939" s="1" t="inlineStr">
        <is>
          <t>CARTERA CD LIBRO ALARGADA OBLIQUE</t>
        </is>
      </c>
      <c r="C939" s="1" t="n"/>
      <c r="D939" s="1" t="inlineStr">
        <is>
          <t>08/06/2026</t>
        </is>
      </c>
      <c r="E939" s="1" t="n">
        <v>2026</v>
      </c>
      <c r="F939" s="1" t="inlineStr">
        <is>
          <t>JUNIO</t>
        </is>
      </c>
      <c r="G939" s="1" t="inlineStr">
        <is>
          <t>ZOEY</t>
        </is>
      </c>
      <c r="H939" s="1" t="inlineStr">
        <is>
          <t>ZOEY 08/06/2026</t>
        </is>
      </c>
      <c r="I939" s="4" t="n">
        <v>2</v>
      </c>
      <c r="J939" s="6" t="n">
        <v>22</v>
      </c>
      <c r="K939" s="6" t="n">
        <v>539.251602</v>
      </c>
      <c r="L939" s="6">
        <f>I939*K939</f>
        <v/>
      </c>
      <c r="M939" s="6">
        <f>K939*4</f>
        <v/>
      </c>
      <c r="N939" s="6" t="n">
        <v>2200</v>
      </c>
    </row>
    <row r="940">
      <c r="A940" s="1" t="inlineStr">
        <is>
          <t>33891171584013</t>
        </is>
      </c>
      <c r="B940" s="1" t="inlineStr">
        <is>
          <t>CARTERA H SELLIER COMPACT</t>
        </is>
      </c>
      <c r="C940" s="1" t="n"/>
      <c r="D940" s="1" t="inlineStr">
        <is>
          <t>08/06/2026</t>
        </is>
      </c>
      <c r="E940" s="1" t="n">
        <v>2026</v>
      </c>
      <c r="F940" s="1" t="inlineStr">
        <is>
          <t>JUNIO</t>
        </is>
      </c>
      <c r="G940" s="1" t="inlineStr">
        <is>
          <t>ZOEY</t>
        </is>
      </c>
      <c r="H940" s="1" t="inlineStr">
        <is>
          <t>ZOEY 08/06/2026</t>
        </is>
      </c>
      <c r="I940" s="4" t="n">
        <v>2</v>
      </c>
      <c r="J940" s="6" t="n">
        <v>24</v>
      </c>
      <c r="K940" s="6" t="n">
        <v>588.2744749</v>
      </c>
      <c r="L940" s="6">
        <f>I940*K940</f>
        <v/>
      </c>
      <c r="M940" s="6">
        <f>K940*4</f>
        <v/>
      </c>
      <c r="N940" s="6" t="n">
        <v>2059</v>
      </c>
    </row>
    <row r="941">
      <c r="A941" s="1" t="inlineStr">
        <is>
          <t>33891171670445</t>
        </is>
      </c>
      <c r="B941" s="1" t="inlineStr">
        <is>
          <t>CARTERA H SELLIER COMPACT BLACK</t>
        </is>
      </c>
      <c r="C941" s="1" t="n"/>
      <c r="D941" s="1" t="inlineStr">
        <is>
          <t>08/06/2026</t>
        </is>
      </c>
      <c r="E941" s="1" t="n">
        <v>2026</v>
      </c>
      <c r="F941" s="1" t="inlineStr">
        <is>
          <t>JUNIO</t>
        </is>
      </c>
      <c r="G941" s="1" t="inlineStr">
        <is>
          <t>ZOEY</t>
        </is>
      </c>
      <c r="H941" s="1" t="inlineStr">
        <is>
          <t>ZOEY 08/06/2026</t>
        </is>
      </c>
      <c r="I941" s="4" t="n">
        <v>2</v>
      </c>
      <c r="J941" s="6" t="n">
        <v>24</v>
      </c>
      <c r="K941" s="6" t="n">
        <v>588.2744749</v>
      </c>
      <c r="L941" s="6">
        <f>I941*K941</f>
        <v/>
      </c>
      <c r="M941" s="6">
        <f>K941*4</f>
        <v/>
      </c>
      <c r="N941" s="6" t="n">
        <v>2059</v>
      </c>
    </row>
    <row r="942">
      <c r="A942" s="1" t="inlineStr">
        <is>
          <t>33891171713389</t>
        </is>
      </c>
      <c r="B942" s="1" t="inlineStr">
        <is>
          <t>CARTERA H BEARN BLACK</t>
        </is>
      </c>
      <c r="C942" s="1" t="n"/>
      <c r="D942" s="1" t="inlineStr">
        <is>
          <t>08/06/2026</t>
        </is>
      </c>
      <c r="E942" s="1" t="n">
        <v>2026</v>
      </c>
      <c r="F942" s="1" t="inlineStr">
        <is>
          <t>JUNIO</t>
        </is>
      </c>
      <c r="G942" s="1" t="inlineStr">
        <is>
          <t>ZOEY</t>
        </is>
      </c>
      <c r="H942" s="1" t="inlineStr">
        <is>
          <t>ZOEY 08/06/2026</t>
        </is>
      </c>
      <c r="I942" s="4" t="n">
        <v>2</v>
      </c>
      <c r="J942" s="6" t="n">
        <v>24</v>
      </c>
      <c r="K942" s="6" t="n">
        <v>588.2744749</v>
      </c>
      <c r="L942" s="6">
        <f>I942*K942</f>
        <v/>
      </c>
      <c r="M942" s="6">
        <f>K942*4</f>
        <v/>
      </c>
      <c r="N942" s="6" t="n">
        <v>2355</v>
      </c>
    </row>
    <row r="943">
      <c r="A943" s="1" t="inlineStr">
        <is>
          <t>33891171856877</t>
        </is>
      </c>
      <c r="B943" s="1" t="inlineStr">
        <is>
          <t>CINTO GC HEBILLA OVALADA</t>
        </is>
      </c>
      <c r="C943" s="1" t="inlineStr">
        <is>
          <t>100cm</t>
        </is>
      </c>
      <c r="D943" s="1" t="inlineStr">
        <is>
          <t>08/06/2026</t>
        </is>
      </c>
      <c r="E943" s="1" t="n">
        <v>2026</v>
      </c>
      <c r="F943" s="1" t="inlineStr">
        <is>
          <t>JUNIO</t>
        </is>
      </c>
      <c r="G943" s="1" t="inlineStr">
        <is>
          <t>ZOEY</t>
        </is>
      </c>
      <c r="H943" s="1" t="inlineStr">
        <is>
          <t>ZOEY 08/06/2026</t>
        </is>
      </c>
      <c r="I943" s="4" t="n">
        <v>2</v>
      </c>
      <c r="J943" s="6" t="n">
        <v>48</v>
      </c>
      <c r="K943" s="6" t="n">
        <v>1176.54895</v>
      </c>
      <c r="L943" s="6">
        <f>I943*K943</f>
        <v/>
      </c>
      <c r="M943" s="6">
        <f>K943*4</f>
        <v/>
      </c>
      <c r="N943" s="6" t="n">
        <v>4710</v>
      </c>
    </row>
    <row r="944">
      <c r="A944" s="1" t="inlineStr">
        <is>
          <t>33891171950093</t>
        </is>
      </c>
      <c r="B944" s="1" t="inlineStr">
        <is>
          <t>CINTO GC HORSEBIT BROWN</t>
        </is>
      </c>
      <c r="C944" s="1" t="inlineStr">
        <is>
          <t>100cm</t>
        </is>
      </c>
      <c r="D944" s="1" t="inlineStr">
        <is>
          <t>08/06/2026</t>
        </is>
      </c>
      <c r="E944" s="1" t="n">
        <v>2026</v>
      </c>
      <c r="F944" s="1" t="inlineStr">
        <is>
          <t>JUNIO</t>
        </is>
      </c>
      <c r="G944" s="1" t="inlineStr">
        <is>
          <t>ZOEY</t>
        </is>
      </c>
      <c r="H944" s="1" t="inlineStr">
        <is>
          <t>ZOEY 08/06/2026</t>
        </is>
      </c>
      <c r="I944" s="4" t="n">
        <v>2</v>
      </c>
      <c r="J944" s="6" t="n">
        <v>48</v>
      </c>
      <c r="K944" s="6" t="n">
        <v>1176.54895</v>
      </c>
      <c r="L944" s="6">
        <f>I944*K944</f>
        <v/>
      </c>
      <c r="M944" s="6">
        <f>K944*4</f>
        <v/>
      </c>
      <c r="N944" s="6" t="n">
        <v>4710</v>
      </c>
    </row>
    <row r="945">
      <c r="A945" s="1" t="inlineStr">
        <is>
          <t>33891172043309</t>
        </is>
      </c>
      <c r="B945" s="1" t="inlineStr">
        <is>
          <t>CINTO GC HORSEBIT</t>
        </is>
      </c>
      <c r="C945" s="1" t="inlineStr">
        <is>
          <t>100cm</t>
        </is>
      </c>
      <c r="D945" s="1" t="inlineStr">
        <is>
          <t>08/06/2026</t>
        </is>
      </c>
      <c r="E945" s="1" t="n">
        <v>2026</v>
      </c>
      <c r="F945" s="1" t="inlineStr">
        <is>
          <t>JUNIO</t>
        </is>
      </c>
      <c r="G945" s="1" t="inlineStr">
        <is>
          <t>ZOEY</t>
        </is>
      </c>
      <c r="H945" s="1" t="inlineStr">
        <is>
          <t>ZOEY 08/06/2026</t>
        </is>
      </c>
      <c r="I945" s="4" t="n">
        <v>2</v>
      </c>
      <c r="J945" s="6" t="n">
        <v>48</v>
      </c>
      <c r="K945" s="6" t="n">
        <v>1176.54895</v>
      </c>
      <c r="L945" s="6">
        <f>I945*K945</f>
        <v/>
      </c>
      <c r="M945" s="6">
        <f>K945*4</f>
        <v/>
      </c>
      <c r="N945" s="6" t="n">
        <v>4710</v>
      </c>
    </row>
    <row r="946">
      <c r="A946" s="1" t="inlineStr">
        <is>
          <t>33891172105453</t>
        </is>
      </c>
      <c r="B946" s="1" t="inlineStr">
        <is>
          <t>CINTO GC CON HEBILLA REDONDA</t>
        </is>
      </c>
      <c r="C946" s="1" t="inlineStr">
        <is>
          <t>100cm</t>
        </is>
      </c>
      <c r="D946" s="1" t="inlineStr">
        <is>
          <t>08/06/2026</t>
        </is>
      </c>
      <c r="E946" s="1" t="n">
        <v>2026</v>
      </c>
      <c r="F946" s="1" t="inlineStr">
        <is>
          <t>JUNIO</t>
        </is>
      </c>
      <c r="G946" s="1" t="inlineStr">
        <is>
          <t>ZOEY</t>
        </is>
      </c>
      <c r="H946" s="1" t="inlineStr">
        <is>
          <t>ZOEY 08/06/2026</t>
        </is>
      </c>
      <c r="I946" s="4" t="n">
        <v>2</v>
      </c>
      <c r="J946" s="6" t="n">
        <v>48</v>
      </c>
      <c r="K946" s="6" t="n">
        <v>1176.54895</v>
      </c>
      <c r="L946" s="6">
        <f>I946*K946</f>
        <v/>
      </c>
      <c r="M946" s="6">
        <f>K946*4</f>
        <v/>
      </c>
      <c r="N946" s="6" t="n">
        <v>4675</v>
      </c>
    </row>
    <row r="947">
      <c r="A947" s="1" t="inlineStr">
        <is>
          <t>33891172265901</t>
        </is>
      </c>
      <c r="B947" s="1" t="inlineStr">
        <is>
          <t>CINTO GC ENTRELAZADA SILVER</t>
        </is>
      </c>
      <c r="C947" s="1" t="inlineStr">
        <is>
          <t>100cm</t>
        </is>
      </c>
      <c r="D947" s="1" t="inlineStr">
        <is>
          <t>08/06/2026</t>
        </is>
      </c>
      <c r="E947" s="1" t="n">
        <v>2026</v>
      </c>
      <c r="F947" s="1" t="inlineStr">
        <is>
          <t>JUNIO</t>
        </is>
      </c>
      <c r="G947" s="1" t="inlineStr">
        <is>
          <t>ZOEY</t>
        </is>
      </c>
      <c r="H947" s="1" t="inlineStr">
        <is>
          <t>ZOEY 08/06/2026</t>
        </is>
      </c>
      <c r="I947" s="4" t="n">
        <v>2</v>
      </c>
      <c r="J947" s="6" t="n">
        <v>48</v>
      </c>
      <c r="K947" s="6" t="n">
        <v>1176.54895</v>
      </c>
      <c r="L947" s="6">
        <f>I947*K947</f>
        <v/>
      </c>
      <c r="M947" s="6">
        <f>K947*4</f>
        <v/>
      </c>
      <c r="N947" s="6" t="n">
        <v>4000</v>
      </c>
    </row>
    <row r="948">
      <c r="A948" s="1" t="inlineStr">
        <is>
          <t>33891172393581</t>
        </is>
      </c>
      <c r="B948" s="1" t="inlineStr">
        <is>
          <t>CINTO GC ENTRELAZADA GOLD</t>
        </is>
      </c>
      <c r="C948" s="1" t="inlineStr">
        <is>
          <t>100cm</t>
        </is>
      </c>
      <c r="D948" s="1" t="inlineStr">
        <is>
          <t>08/06/2026</t>
        </is>
      </c>
      <c r="E948" s="1" t="n">
        <v>2026</v>
      </c>
      <c r="F948" s="1" t="inlineStr">
        <is>
          <t>JUNIO</t>
        </is>
      </c>
      <c r="G948" s="1" t="inlineStr">
        <is>
          <t>ZOEY</t>
        </is>
      </c>
      <c r="H948" s="1" t="inlineStr">
        <is>
          <t>ZOEY 08/06/2026</t>
        </is>
      </c>
      <c r="I948" s="4" t="n">
        <v>2</v>
      </c>
      <c r="J948" s="6" t="n">
        <v>48</v>
      </c>
      <c r="K948" s="6" t="n">
        <v>1176.54895</v>
      </c>
      <c r="L948" s="6">
        <f>I948*K948</f>
        <v/>
      </c>
      <c r="M948" s="6">
        <f>K948*4</f>
        <v/>
      </c>
      <c r="N948" s="6" t="n">
        <v>4000</v>
      </c>
    </row>
    <row r="949">
      <c r="A949" s="1" t="inlineStr">
        <is>
          <t>33891172488493</t>
        </is>
      </c>
      <c r="B949" s="1" t="inlineStr">
        <is>
          <t>CINTO FR ALL BLACK</t>
        </is>
      </c>
      <c r="C949" s="1" t="inlineStr">
        <is>
          <t>110cm</t>
        </is>
      </c>
      <c r="D949" s="1" t="inlineStr">
        <is>
          <t>08/06/2026</t>
        </is>
      </c>
      <c r="E949" s="1" t="n">
        <v>2026</v>
      </c>
      <c r="F949" s="1" t="inlineStr">
        <is>
          <t>JUNIO</t>
        </is>
      </c>
      <c r="G949" s="1" t="inlineStr">
        <is>
          <t>ZOEY</t>
        </is>
      </c>
      <c r="H949" s="1" t="inlineStr">
        <is>
          <t>ZOEY 08/06/2026</t>
        </is>
      </c>
      <c r="I949" s="4" t="n">
        <v>2</v>
      </c>
      <c r="J949" s="6" t="n">
        <v>45</v>
      </c>
      <c r="K949" s="6" t="n">
        <v>1103.01464</v>
      </c>
      <c r="L949" s="6">
        <f>I949*K949</f>
        <v/>
      </c>
      <c r="M949" s="6">
        <f>K949*4</f>
        <v/>
      </c>
      <c r="N949" s="6" t="n">
        <v>4420</v>
      </c>
    </row>
    <row r="950">
      <c r="A950" s="1" t="inlineStr">
        <is>
          <t>33891172512781</t>
        </is>
      </c>
      <c r="B950" s="1" t="inlineStr">
        <is>
          <t>CINTO FR REVERSIBLE BROWN</t>
        </is>
      </c>
      <c r="C950" s="1" t="inlineStr">
        <is>
          <t>110cm</t>
        </is>
      </c>
      <c r="D950" s="1" t="inlineStr">
        <is>
          <t>08/06/2026</t>
        </is>
      </c>
      <c r="E950" s="1" t="n">
        <v>2026</v>
      </c>
      <c r="F950" s="1" t="inlineStr">
        <is>
          <t>JUNIO</t>
        </is>
      </c>
      <c r="G950" s="1" t="inlineStr">
        <is>
          <t>ZOEY</t>
        </is>
      </c>
      <c r="H950" s="1" t="inlineStr">
        <is>
          <t>ZOEY 08/06/2026</t>
        </is>
      </c>
      <c r="I950" s="4" t="n">
        <v>2</v>
      </c>
      <c r="J950" s="6" t="n">
        <v>45</v>
      </c>
      <c r="K950" s="6" t="n">
        <v>1103.01464</v>
      </c>
      <c r="L950" s="6">
        <f>I950*K950</f>
        <v/>
      </c>
      <c r="M950" s="6">
        <f>K950*4</f>
        <v/>
      </c>
      <c r="N950" s="6" t="n">
        <v>4420</v>
      </c>
    </row>
    <row r="951">
      <c r="A951" s="1" t="inlineStr">
        <is>
          <t>33891172607693</t>
        </is>
      </c>
      <c r="B951" s="1" t="inlineStr">
        <is>
          <t>CINTO FR BLACK GANCINI</t>
        </is>
      </c>
      <c r="C951" s="1" t="inlineStr">
        <is>
          <t>110cm</t>
        </is>
      </c>
      <c r="D951" s="1" t="inlineStr">
        <is>
          <t>08/06/2026</t>
        </is>
      </c>
      <c r="E951" s="1" t="n">
        <v>2026</v>
      </c>
      <c r="F951" s="1" t="inlineStr">
        <is>
          <t>JUNIO</t>
        </is>
      </c>
      <c r="G951" s="1" t="inlineStr">
        <is>
          <t>ZOEY</t>
        </is>
      </c>
      <c r="H951" s="1" t="inlineStr">
        <is>
          <t>ZOEY 08/06/2026</t>
        </is>
      </c>
      <c r="I951" s="4" t="n">
        <v>2</v>
      </c>
      <c r="J951" s="6" t="n">
        <v>45</v>
      </c>
      <c r="K951" s="6" t="n">
        <v>1103.01464</v>
      </c>
      <c r="L951" s="6">
        <f>I951*K951</f>
        <v/>
      </c>
      <c r="M951" s="6">
        <f>K951*4</f>
        <v/>
      </c>
      <c r="N951" s="6" t="n">
        <v>4415</v>
      </c>
    </row>
    <row r="952">
      <c r="A952" s="1" t="inlineStr">
        <is>
          <t>33891172797517</t>
        </is>
      </c>
      <c r="B952" s="1" t="inlineStr">
        <is>
          <t>CINTO CD SADDLE OBLIQUE</t>
        </is>
      </c>
      <c r="C952" s="1" t="inlineStr">
        <is>
          <t>100cm</t>
        </is>
      </c>
      <c r="D952" s="1" t="inlineStr">
        <is>
          <t>08/06/2026</t>
        </is>
      </c>
      <c r="E952" s="1" t="n">
        <v>2026</v>
      </c>
      <c r="F952" s="1" t="inlineStr">
        <is>
          <t>JUNIO</t>
        </is>
      </c>
      <c r="G952" s="1" t="inlineStr">
        <is>
          <t>ZOEY</t>
        </is>
      </c>
      <c r="H952" s="1" t="inlineStr">
        <is>
          <t>ZOEY 08/06/2026</t>
        </is>
      </c>
      <c r="I952" s="4" t="n">
        <v>2</v>
      </c>
      <c r="J952" s="6" t="n">
        <v>48</v>
      </c>
      <c r="K952" s="6" t="n">
        <v>1176.54895</v>
      </c>
      <c r="L952" s="6">
        <f>I952*K952</f>
        <v/>
      </c>
      <c r="M952" s="6">
        <f>K952*4</f>
        <v/>
      </c>
      <c r="N952" s="6" t="n">
        <v>4500</v>
      </c>
    </row>
    <row r="953">
      <c r="A953" s="1" t="inlineStr">
        <is>
          <t>33891172826893</t>
        </is>
      </c>
      <c r="B953" s="1" t="inlineStr">
        <is>
          <t>CINTO CD MONTAIGNE 30</t>
        </is>
      </c>
      <c r="C953" s="1" t="inlineStr">
        <is>
          <t>100cm</t>
        </is>
      </c>
      <c r="D953" s="1" t="inlineStr">
        <is>
          <t>08/06/2026</t>
        </is>
      </c>
      <c r="E953" s="1" t="n">
        <v>2026</v>
      </c>
      <c r="F953" s="1" t="inlineStr">
        <is>
          <t>JUNIO</t>
        </is>
      </c>
      <c r="G953" s="1" t="inlineStr">
        <is>
          <t>ZOEY</t>
        </is>
      </c>
      <c r="H953" s="1" t="inlineStr">
        <is>
          <t>ZOEY 08/06/2026</t>
        </is>
      </c>
      <c r="I953" s="4" t="n">
        <v>2</v>
      </c>
      <c r="J953" s="6" t="n">
        <v>48</v>
      </c>
      <c r="K953" s="6" t="n">
        <v>1176.54895</v>
      </c>
      <c r="L953" s="6">
        <f>I953*K953</f>
        <v/>
      </c>
      <c r="M953" s="6">
        <f>K953*4</f>
        <v/>
      </c>
      <c r="N953" s="6" t="n">
        <v>4118</v>
      </c>
    </row>
    <row r="954">
      <c r="A954" s="1" t="inlineStr">
        <is>
          <t>33943761064813</t>
        </is>
      </c>
      <c r="B954" s="1" t="inlineStr">
        <is>
          <t>ANILLO TRES AROS SILVER/BLACK</t>
        </is>
      </c>
      <c r="C954" s="1" t="inlineStr">
        <is>
          <t>7</t>
        </is>
      </c>
      <c r="D954" s="1" t="inlineStr">
        <is>
          <t>26/05/2026</t>
        </is>
      </c>
      <c r="E954" s="1" t="n">
        <v>2026</v>
      </c>
      <c r="F954" s="1" t="inlineStr">
        <is>
          <t>MAYO</t>
        </is>
      </c>
      <c r="G954" s="1" t="inlineStr">
        <is>
          <t>HAIFENG</t>
        </is>
      </c>
      <c r="H954" s="1" t="inlineStr">
        <is>
          <t>HAIFENG 26/05/2026</t>
        </is>
      </c>
      <c r="I954" s="4" t="n">
        <v>2</v>
      </c>
      <c r="J954" s="6" t="n">
        <v>5</v>
      </c>
      <c r="K954" s="6" t="n">
        <v>104.9464765</v>
      </c>
      <c r="L954" s="6">
        <f>I954*K954</f>
        <v/>
      </c>
      <c r="M954" s="6">
        <f>K954*4</f>
        <v/>
      </c>
      <c r="N954" s="6" t="n">
        <v>500</v>
      </c>
    </row>
    <row r="955">
      <c r="A955" s="1" t="inlineStr">
        <is>
          <t>34163621043821</t>
        </is>
      </c>
      <c r="B955" s="1" t="inlineStr">
        <is>
          <t>PERFUME CREED SILVER MOUNTAIN WATER</t>
        </is>
      </c>
      <c r="C955" s="1" t="inlineStr">
        <is>
          <t>Default Title</t>
        </is>
      </c>
      <c r="D955" s="1" t="inlineStr">
        <is>
          <t>20/04/2026</t>
        </is>
      </c>
      <c r="E955" s="1" t="n">
        <v>2026</v>
      </c>
      <c r="F955" s="1" t="inlineStr">
        <is>
          <t>ABRIL</t>
        </is>
      </c>
      <c r="G955" s="1" t="inlineStr">
        <is>
          <t>ZOEY</t>
        </is>
      </c>
      <c r="H955" s="1" t="inlineStr">
        <is>
          <t>ZOEY 20/04/2026</t>
        </is>
      </c>
      <c r="I955" s="4" t="n">
        <v>2</v>
      </c>
      <c r="J955" s="6" t="n">
        <v>18</v>
      </c>
      <c r="K955" s="6" t="n">
        <v>460.9580101</v>
      </c>
      <c r="L955" s="6">
        <f>I955*K955</f>
        <v/>
      </c>
      <c r="M955" s="6">
        <f>K955*4</f>
        <v/>
      </c>
      <c r="N955" s="6" t="n">
        <v>1500</v>
      </c>
    </row>
    <row r="956">
      <c r="A956" s="1" t="inlineStr">
        <is>
          <t>34163621043821</t>
        </is>
      </c>
      <c r="B956" s="1" t="inlineStr">
        <is>
          <t>PERFUME CREED SILVER MOUNTAIN WATER</t>
        </is>
      </c>
      <c r="C956" s="1" t="inlineStr">
        <is>
          <t>Default Title</t>
        </is>
      </c>
      <c r="D956" s="1" t="inlineStr">
        <is>
          <t>08/06/2026</t>
        </is>
      </c>
      <c r="E956" s="1" t="n">
        <v>2026</v>
      </c>
      <c r="F956" s="1" t="inlineStr">
        <is>
          <t>JUNIO</t>
        </is>
      </c>
      <c r="G956" s="1" t="inlineStr">
        <is>
          <t>ZOEY</t>
        </is>
      </c>
      <c r="H956" s="1" t="inlineStr">
        <is>
          <t>ZOEY 08/06/2026</t>
        </is>
      </c>
      <c r="I956" s="4" t="n">
        <v>2</v>
      </c>
      <c r="J956" s="6" t="n">
        <v>18</v>
      </c>
      <c r="K956" s="6" t="n">
        <v>441.2058562</v>
      </c>
      <c r="L956" s="6">
        <f>I956*K956</f>
        <v/>
      </c>
      <c r="M956" s="6">
        <f>K956*4</f>
        <v/>
      </c>
      <c r="N956" s="6" t="n">
        <v>1799</v>
      </c>
    </row>
    <row r="957">
      <c r="A957" s="1" t="inlineStr">
        <is>
          <t>34163621292397</t>
        </is>
      </c>
      <c r="B957" s="1" t="inlineStr">
        <is>
          <t>PERFUME YSL MEN</t>
        </is>
      </c>
      <c r="C957" s="1" t="inlineStr">
        <is>
          <t>Default Title</t>
        </is>
      </c>
      <c r="D957" s="1" t="inlineStr">
        <is>
          <t>20/04/2026</t>
        </is>
      </c>
      <c r="E957" s="1" t="n">
        <v>2026</v>
      </c>
      <c r="F957" s="1" t="inlineStr">
        <is>
          <t>ABRIL</t>
        </is>
      </c>
      <c r="G957" s="1" t="inlineStr">
        <is>
          <t>ZOEY</t>
        </is>
      </c>
      <c r="H957" s="1" t="inlineStr">
        <is>
          <t>ZOEY 20/04/2026</t>
        </is>
      </c>
      <c r="I957" s="4" t="n">
        <v>2</v>
      </c>
      <c r="J957" s="6" t="n">
        <v>18</v>
      </c>
      <c r="K957" s="6" t="n">
        <v>460.9580101</v>
      </c>
      <c r="L957" s="6">
        <f>I957*K957</f>
        <v/>
      </c>
      <c r="M957" s="6">
        <f>K957*4</f>
        <v/>
      </c>
      <c r="N957" s="6" t="n">
        <v>1849</v>
      </c>
    </row>
    <row r="958">
      <c r="A958" s="1" t="inlineStr">
        <is>
          <t>34163621325165</t>
        </is>
      </c>
      <c r="B958" s="1" t="inlineStr">
        <is>
          <t>PERFUME GIORGO PASSIONE</t>
        </is>
      </c>
      <c r="C958" s="1" t="inlineStr">
        <is>
          <t>Default Title</t>
        </is>
      </c>
      <c r="D958" s="1" t="inlineStr">
        <is>
          <t>20/04/2026</t>
        </is>
      </c>
      <c r="E958" s="1" t="n">
        <v>2026</v>
      </c>
      <c r="F958" s="1" t="inlineStr">
        <is>
          <t>ABRIL</t>
        </is>
      </c>
      <c r="G958" s="1" t="inlineStr">
        <is>
          <t>ZOEY</t>
        </is>
      </c>
      <c r="H958" s="1" t="inlineStr">
        <is>
          <t>ZOEY 20/04/2026</t>
        </is>
      </c>
      <c r="I958" s="4" t="n">
        <v>2</v>
      </c>
      <c r="J958" s="6" t="n">
        <v>18</v>
      </c>
      <c r="K958" s="6" t="n">
        <v>460.9580101</v>
      </c>
      <c r="L958" s="6">
        <f>I958*K958</f>
        <v/>
      </c>
      <c r="M958" s="6">
        <f>K958*4</f>
        <v/>
      </c>
      <c r="N958" s="6" t="n">
        <v>1849</v>
      </c>
    </row>
    <row r="959">
      <c r="A959" s="1" t="inlineStr">
        <is>
          <t>34163621418381</t>
        </is>
      </c>
      <c r="B959" s="1" t="inlineStr">
        <is>
          <t>PERUFUME JEAN PAUL SCANDAL WOMEN</t>
        </is>
      </c>
      <c r="C959" s="1" t="inlineStr">
        <is>
          <t>REGULAR</t>
        </is>
      </c>
      <c r="D959" s="1" t="inlineStr">
        <is>
          <t>20/04/2026</t>
        </is>
      </c>
      <c r="E959" s="1" t="n">
        <v>2026</v>
      </c>
      <c r="F959" s="1" t="inlineStr">
        <is>
          <t>ABRIL</t>
        </is>
      </c>
      <c r="G959" s="1" t="inlineStr">
        <is>
          <t>ZOEY</t>
        </is>
      </c>
      <c r="H959" s="1" t="inlineStr">
        <is>
          <t>ZOEY 20/04/2026</t>
        </is>
      </c>
      <c r="I959" s="4" t="n">
        <v>2</v>
      </c>
      <c r="J959" s="6" t="n">
        <v>18</v>
      </c>
      <c r="K959" s="6" t="n">
        <v>460.9580101</v>
      </c>
      <c r="L959" s="6">
        <f>I959*K959</f>
        <v/>
      </c>
      <c r="M959" s="6">
        <f>K959*4</f>
        <v/>
      </c>
      <c r="N959" s="6" t="n">
        <v>1849</v>
      </c>
    </row>
    <row r="960">
      <c r="A960" s="1" t="inlineStr">
        <is>
          <t>34163621682221</t>
        </is>
      </c>
      <c r="B960" s="1" t="inlineStr">
        <is>
          <t>PERFUME VERSACE CRYSTAL NOIR</t>
        </is>
      </c>
      <c r="C960" s="1" t="inlineStr">
        <is>
          <t>Default Title</t>
        </is>
      </c>
      <c r="D960" s="1" t="inlineStr">
        <is>
          <t>20/04/2026</t>
        </is>
      </c>
      <c r="E960" s="1" t="n">
        <v>2026</v>
      </c>
      <c r="F960" s="1" t="inlineStr">
        <is>
          <t>ABRIL</t>
        </is>
      </c>
      <c r="G960" s="1" t="inlineStr">
        <is>
          <t>ZOEY</t>
        </is>
      </c>
      <c r="H960" s="1" t="inlineStr">
        <is>
          <t>ZOEY 20/04/2026</t>
        </is>
      </c>
      <c r="I960" s="4" t="n">
        <v>2</v>
      </c>
      <c r="J960" s="6" t="n">
        <v>18</v>
      </c>
      <c r="K960" s="6" t="n">
        <v>460.9580101</v>
      </c>
      <c r="L960" s="6">
        <f>I960*K960</f>
        <v/>
      </c>
      <c r="M960" s="6">
        <f>K960*4</f>
        <v/>
      </c>
      <c r="N960" s="6" t="n">
        <v>1849</v>
      </c>
    </row>
    <row r="961">
      <c r="A961" s="1" t="inlineStr">
        <is>
          <t>34163621960461</t>
        </is>
      </c>
      <c r="B961" s="1" t="inlineStr">
        <is>
          <t>CARTERA F BAGUETTE BLACK</t>
        </is>
      </c>
      <c r="C961" s="1" t="inlineStr">
        <is>
          <t>HIGH QUALITY</t>
        </is>
      </c>
      <c r="D961" s="1" t="inlineStr">
        <is>
          <t>20/04/2026</t>
        </is>
      </c>
      <c r="E961" s="1" t="n">
        <v>2026</v>
      </c>
      <c r="F961" s="1" t="inlineStr">
        <is>
          <t>ABRIL</t>
        </is>
      </c>
      <c r="G961" s="1" t="inlineStr">
        <is>
          <t>ZOEY</t>
        </is>
      </c>
      <c r="H961" s="1" t="inlineStr">
        <is>
          <t>ZOEY 20/04/2026</t>
        </is>
      </c>
      <c r="I961" s="4" t="n">
        <v>2</v>
      </c>
      <c r="J961" s="6" t="n">
        <v>46</v>
      </c>
      <c r="K961" s="6" t="n">
        <v>1178.003803</v>
      </c>
      <c r="L961" s="6">
        <f>I961*K961</f>
        <v/>
      </c>
      <c r="M961" s="6">
        <f>K961*4</f>
        <v/>
      </c>
      <c r="N961" s="6" t="n">
        <v>4719</v>
      </c>
    </row>
    <row r="962">
      <c r="A962" s="1" t="inlineStr">
        <is>
          <t>34163622017517</t>
        </is>
      </c>
      <c r="B962" s="1" t="inlineStr">
        <is>
          <t>CARTERA F BAGUETTE WHITE</t>
        </is>
      </c>
      <c r="C962" s="1" t="inlineStr">
        <is>
          <t>HIGH QUALITY</t>
        </is>
      </c>
      <c r="D962" s="1" t="inlineStr">
        <is>
          <t>20/04/2026</t>
        </is>
      </c>
      <c r="E962" s="1" t="n">
        <v>2026</v>
      </c>
      <c r="F962" s="1" t="inlineStr">
        <is>
          <t>ABRIL</t>
        </is>
      </c>
      <c r="G962" s="1" t="inlineStr">
        <is>
          <t>ZOEY</t>
        </is>
      </c>
      <c r="H962" s="1" t="inlineStr">
        <is>
          <t>ZOEY 20/04/2026</t>
        </is>
      </c>
      <c r="I962" s="4" t="n">
        <v>2</v>
      </c>
      <c r="J962" s="6" t="n">
        <v>52</v>
      </c>
      <c r="K962" s="6" t="n">
        <v>1331.656473</v>
      </c>
      <c r="L962" s="6">
        <f>I962*K962</f>
        <v/>
      </c>
      <c r="M962" s="6">
        <f>K962*4</f>
        <v/>
      </c>
      <c r="N962" s="6" t="n">
        <v>4660</v>
      </c>
    </row>
    <row r="963">
      <c r="A963" s="1" t="inlineStr">
        <is>
          <t>34163622177965</t>
        </is>
      </c>
      <c r="B963" s="1" t="inlineStr">
        <is>
          <t>SANDALIAS F FEEL BLACK</t>
        </is>
      </c>
      <c r="C963" s="1" t="inlineStr">
        <is>
          <t>38/25mx</t>
        </is>
      </c>
      <c r="D963" s="1" t="inlineStr">
        <is>
          <t>20/04/2026</t>
        </is>
      </c>
      <c r="E963" s="1" t="n">
        <v>2026</v>
      </c>
      <c r="F963" s="1" t="inlineStr">
        <is>
          <t>ABRIL</t>
        </is>
      </c>
      <c r="G963" s="1" t="inlineStr">
        <is>
          <t>ZOEY</t>
        </is>
      </c>
      <c r="H963" s="1" t="inlineStr">
        <is>
          <t>ZOEY 20/04/2026</t>
        </is>
      </c>
      <c r="I963" s="4" t="n">
        <v>2</v>
      </c>
      <c r="J963" s="6" t="n">
        <v>55</v>
      </c>
      <c r="K963" s="6" t="n">
        <v>1408.482808</v>
      </c>
      <c r="L963" s="6">
        <f>I963*K963</f>
        <v/>
      </c>
      <c r="M963" s="6">
        <f>K963*4</f>
        <v/>
      </c>
      <c r="N963" s="6" t="n">
        <v>5399</v>
      </c>
    </row>
    <row r="964">
      <c r="A964" s="1" t="inlineStr">
        <is>
          <t>34163622177965</t>
        </is>
      </c>
      <c r="B964" s="1" t="inlineStr">
        <is>
          <t>SANDALIAS F FEEL BLACK</t>
        </is>
      </c>
      <c r="C964" s="1" t="inlineStr">
        <is>
          <t>38/25mx</t>
        </is>
      </c>
      <c r="D964" s="1" t="inlineStr">
        <is>
          <t>08/06/2026</t>
        </is>
      </c>
      <c r="E964" s="1" t="n">
        <v>2026</v>
      </c>
      <c r="F964" s="1" t="inlineStr">
        <is>
          <t>JUNIO</t>
        </is>
      </c>
      <c r="G964" s="1" t="inlineStr">
        <is>
          <t>ZOEY</t>
        </is>
      </c>
      <c r="H964" s="1" t="inlineStr">
        <is>
          <t>ZOEY 08/06/2026</t>
        </is>
      </c>
      <c r="I964" s="4" t="n">
        <v>4</v>
      </c>
      <c r="J964" s="6" t="n">
        <v>55</v>
      </c>
      <c r="K964" s="6" t="n">
        <v>1348.129005</v>
      </c>
      <c r="L964" s="6">
        <f>I964*K964</f>
        <v/>
      </c>
      <c r="M964" s="6">
        <f>K964*4</f>
        <v/>
      </c>
      <c r="N964" s="6" t="n">
        <v>5399</v>
      </c>
    </row>
    <row r="965">
      <c r="A965" s="1" t="inlineStr">
        <is>
          <t>34163622241805</t>
        </is>
      </c>
      <c r="B965" s="1" t="inlineStr">
        <is>
          <t>LENTES F OVAL CRYSTAL BLACK</t>
        </is>
      </c>
      <c r="C965" s="1" t="inlineStr">
        <is>
          <t>Default Title</t>
        </is>
      </c>
      <c r="D965" s="1" t="inlineStr">
        <is>
          <t>20/04/2026</t>
        </is>
      </c>
      <c r="E965" s="1" t="n">
        <v>2026</v>
      </c>
      <c r="F965" s="1" t="inlineStr">
        <is>
          <t>ABRIL</t>
        </is>
      </c>
      <c r="G965" s="1" t="inlineStr">
        <is>
          <t>ZOEY</t>
        </is>
      </c>
      <c r="H965" s="1" t="inlineStr">
        <is>
          <t>ZOEY 20/04/2026</t>
        </is>
      </c>
      <c r="I965" s="4" t="n">
        <v>2</v>
      </c>
      <c r="J965" s="6" t="n">
        <v>32</v>
      </c>
      <c r="K965" s="6" t="n">
        <v>819.4809068</v>
      </c>
      <c r="L965" s="6">
        <f>I965*K965</f>
        <v/>
      </c>
      <c r="M965" s="6">
        <f>K965*4</f>
        <v/>
      </c>
      <c r="N965" s="6" t="n">
        <v>3279</v>
      </c>
    </row>
    <row r="966">
      <c r="A966" s="1" t="inlineStr">
        <is>
          <t>34163622302253</t>
        </is>
      </c>
      <c r="B966" s="1" t="inlineStr">
        <is>
          <t>LENTES F OVAL CRYSTAL</t>
        </is>
      </c>
      <c r="C966" s="1" t="inlineStr">
        <is>
          <t>Default Title</t>
        </is>
      </c>
      <c r="D966" s="1" t="inlineStr">
        <is>
          <t>20/04/2026</t>
        </is>
      </c>
      <c r="E966" s="1" t="n">
        <v>2026</v>
      </c>
      <c r="F966" s="1" t="inlineStr">
        <is>
          <t>ABRIL</t>
        </is>
      </c>
      <c r="G966" s="1" t="inlineStr">
        <is>
          <t>ZOEY</t>
        </is>
      </c>
      <c r="H966" s="1" t="inlineStr">
        <is>
          <t>ZOEY 20/04/2026</t>
        </is>
      </c>
      <c r="I966" s="4" t="n">
        <v>2</v>
      </c>
      <c r="J966" s="6" t="n">
        <v>32</v>
      </c>
      <c r="K966" s="6" t="n">
        <v>819.4809068</v>
      </c>
      <c r="L966" s="6">
        <f>I966*K966</f>
        <v/>
      </c>
      <c r="M966" s="6">
        <f>K966*4</f>
        <v/>
      </c>
      <c r="N966" s="6" t="n">
        <v>3279</v>
      </c>
    </row>
    <row r="967">
      <c r="A967" s="1" t="inlineStr">
        <is>
          <t>34163622492077</t>
        </is>
      </c>
      <c r="B967" s="1" t="inlineStr">
        <is>
          <t>SANDALIAS CD DIORACT WHITE</t>
        </is>
      </c>
      <c r="C967" s="1" t="inlineStr">
        <is>
          <t>38/25mx</t>
        </is>
      </c>
      <c r="D967" s="1" t="inlineStr">
        <is>
          <t>20/04/2026</t>
        </is>
      </c>
      <c r="E967" s="1" t="n">
        <v>2026</v>
      </c>
      <c r="F967" s="1" t="inlineStr">
        <is>
          <t>ABRIL</t>
        </is>
      </c>
      <c r="G967" s="1" t="inlineStr">
        <is>
          <t>ZOEY</t>
        </is>
      </c>
      <c r="H967" s="1" t="inlineStr">
        <is>
          <t>ZOEY 20/04/2026</t>
        </is>
      </c>
      <c r="I967" s="4" t="n">
        <v>2</v>
      </c>
      <c r="J967" s="6" t="n">
        <v>60</v>
      </c>
      <c r="K967" s="6" t="n">
        <v>1536.5267</v>
      </c>
      <c r="L967" s="6">
        <f>I967*K967</f>
        <v/>
      </c>
      <c r="M967" s="6">
        <f>K967*4</f>
        <v/>
      </c>
      <c r="N967" s="6" t="n">
        <v>5899</v>
      </c>
    </row>
    <row r="968">
      <c r="A968" s="1" t="inlineStr">
        <is>
          <t>34163622492077</t>
        </is>
      </c>
      <c r="B968" s="1" t="inlineStr">
        <is>
          <t>SANDALIAS CD DIORACT WHITE</t>
        </is>
      </c>
      <c r="C968" s="1" t="inlineStr">
        <is>
          <t>38/25mx</t>
        </is>
      </c>
      <c r="D968" s="1" t="inlineStr">
        <is>
          <t>08/06/2026</t>
        </is>
      </c>
      <c r="E968" s="1" t="n">
        <v>2026</v>
      </c>
      <c r="F968" s="1" t="inlineStr">
        <is>
          <t>JUNIO</t>
        </is>
      </c>
      <c r="G968" s="1" t="inlineStr">
        <is>
          <t>ZOEY</t>
        </is>
      </c>
      <c r="H968" s="1" t="inlineStr">
        <is>
          <t>ZOEY 08/06/2026</t>
        </is>
      </c>
      <c r="I968" s="4" t="n">
        <v>2</v>
      </c>
      <c r="J968" s="6" t="n">
        <v>60</v>
      </c>
      <c r="K968" s="6" t="n">
        <v>1470.686187</v>
      </c>
      <c r="L968" s="6">
        <f>I968*K968</f>
        <v/>
      </c>
      <c r="M968" s="6">
        <f>K968*4</f>
        <v/>
      </c>
      <c r="N968" s="6" t="n">
        <v>5899</v>
      </c>
    </row>
    <row r="969">
      <c r="A969" s="1" t="inlineStr">
        <is>
          <t>34163622524845</t>
        </is>
      </c>
      <c r="B969" s="1" t="inlineStr">
        <is>
          <t>SANDALIAS CD DIORACT WHITE</t>
        </is>
      </c>
      <c r="C969" s="1" t="inlineStr">
        <is>
          <t>36/24mx</t>
        </is>
      </c>
      <c r="D969" s="1" t="inlineStr">
        <is>
          <t>20/04/2026</t>
        </is>
      </c>
      <c r="E969" s="1" t="n">
        <v>2026</v>
      </c>
      <c r="F969" s="1" t="inlineStr">
        <is>
          <t>ABRIL</t>
        </is>
      </c>
      <c r="G969" s="1" t="inlineStr">
        <is>
          <t>ZOEY</t>
        </is>
      </c>
      <c r="H969" s="1" t="inlineStr">
        <is>
          <t>ZOEY 20/04/2026</t>
        </is>
      </c>
      <c r="I969" s="4" t="n">
        <v>2</v>
      </c>
      <c r="J969" s="6" t="n">
        <v>60</v>
      </c>
      <c r="K969" s="6" t="n">
        <v>1536.5267</v>
      </c>
      <c r="L969" s="6">
        <f>I969*K969</f>
        <v/>
      </c>
      <c r="M969" s="6">
        <f>K969*4</f>
        <v/>
      </c>
      <c r="N969" s="6" t="n">
        <v>5379</v>
      </c>
    </row>
    <row r="970">
      <c r="A970" s="1" t="inlineStr">
        <is>
          <t>34163622623149</t>
        </is>
      </c>
      <c r="B970" s="1" t="inlineStr">
        <is>
          <t>SANDALIAS LV MULE BOM DIA</t>
        </is>
      </c>
      <c r="C970" s="1" t="inlineStr">
        <is>
          <t>38/24mx</t>
        </is>
      </c>
      <c r="D970" s="1" t="inlineStr">
        <is>
          <t>20/04/2026</t>
        </is>
      </c>
      <c r="E970" s="1" t="n">
        <v>2026</v>
      </c>
      <c r="F970" s="1" t="inlineStr">
        <is>
          <t>ABRIL</t>
        </is>
      </c>
      <c r="G970" s="1" t="inlineStr">
        <is>
          <t>ZOEY</t>
        </is>
      </c>
      <c r="H970" s="1" t="inlineStr">
        <is>
          <t>ZOEY 20/04/2026</t>
        </is>
      </c>
      <c r="I970" s="4" t="n">
        <v>2</v>
      </c>
      <c r="J970" s="6" t="n">
        <v>50</v>
      </c>
      <c r="K970" s="6" t="n">
        <v>1280.438917</v>
      </c>
      <c r="L970" s="6">
        <f>I970*K970</f>
        <v/>
      </c>
      <c r="M970" s="6">
        <f>K970*4</f>
        <v/>
      </c>
      <c r="N970" s="6" t="n">
        <v>5122</v>
      </c>
    </row>
    <row r="971">
      <c r="A971" s="1" t="inlineStr">
        <is>
          <t>34163622623149</t>
        </is>
      </c>
      <c r="B971" s="1" t="inlineStr">
        <is>
          <t>SANDALIAS LV MULE BOM DIA</t>
        </is>
      </c>
      <c r="C971" s="1" t="inlineStr">
        <is>
          <t>38/25mx</t>
        </is>
      </c>
      <c r="D971" s="1" t="inlineStr">
        <is>
          <t>08/06/2026</t>
        </is>
      </c>
      <c r="E971" s="1" t="n">
        <v>2026</v>
      </c>
      <c r="F971" s="1" t="inlineStr">
        <is>
          <t>JUNIO</t>
        </is>
      </c>
      <c r="G971" s="1" t="inlineStr">
        <is>
          <t>ZOEY</t>
        </is>
      </c>
      <c r="H971" s="1" t="inlineStr">
        <is>
          <t>ZOEY 08/06/2026</t>
        </is>
      </c>
      <c r="I971" s="4" t="n">
        <v>4</v>
      </c>
      <c r="J971" s="6" t="n">
        <v>50</v>
      </c>
      <c r="K971" s="6" t="n">
        <v>1225.571823</v>
      </c>
      <c r="L971" s="6">
        <f>I971*K971</f>
        <v/>
      </c>
      <c r="M971" s="6">
        <f>K971*4</f>
        <v/>
      </c>
      <c r="N971" s="6" t="n">
        <v>5122</v>
      </c>
    </row>
    <row r="972">
      <c r="A972" s="1" t="inlineStr">
        <is>
          <t>34163622788685</t>
        </is>
      </c>
      <c r="B972" s="1" t="inlineStr">
        <is>
          <t>BOLSO YSL ICARINO NAPA BLACK</t>
        </is>
      </c>
      <c r="C972" s="1" t="inlineStr">
        <is>
          <t>Default Title</t>
        </is>
      </c>
      <c r="D972" s="1" t="inlineStr">
        <is>
          <t>20/04/2026</t>
        </is>
      </c>
      <c r="E972" s="1" t="n">
        <v>2026</v>
      </c>
      <c r="F972" s="1" t="inlineStr">
        <is>
          <t>ABRIL</t>
        </is>
      </c>
      <c r="G972" s="1" t="inlineStr">
        <is>
          <t>ZOEY</t>
        </is>
      </c>
      <c r="H972" s="1" t="inlineStr">
        <is>
          <t>ZOEY 20/04/2026</t>
        </is>
      </c>
      <c r="I972" s="4" t="n">
        <v>2</v>
      </c>
      <c r="J972" s="6" t="n">
        <v>55</v>
      </c>
      <c r="K972" s="6" t="n">
        <v>1408.482808</v>
      </c>
      <c r="L972" s="6">
        <f>I972*K972</f>
        <v/>
      </c>
      <c r="M972" s="6">
        <f>K972*4</f>
        <v/>
      </c>
      <c r="N972" s="6" t="n">
        <v>5399</v>
      </c>
    </row>
    <row r="973">
      <c r="A973" s="1" t="inlineStr">
        <is>
          <t>34163622788685</t>
        </is>
      </c>
      <c r="B973" s="1" t="inlineStr">
        <is>
          <t>BOLSO YSL ICARINO NAPA BLACK</t>
        </is>
      </c>
      <c r="C973" s="1" t="inlineStr">
        <is>
          <t>Default Title</t>
        </is>
      </c>
      <c r="D973" s="1" t="inlineStr">
        <is>
          <t>08/06/2026</t>
        </is>
      </c>
      <c r="E973" s="1" t="n">
        <v>2026</v>
      </c>
      <c r="F973" s="1" t="inlineStr">
        <is>
          <t>JUNIO</t>
        </is>
      </c>
      <c r="G973" s="1" t="inlineStr">
        <is>
          <t>ZOEY</t>
        </is>
      </c>
      <c r="H973" s="1" t="inlineStr">
        <is>
          <t>ZOEY 08/06/2026</t>
        </is>
      </c>
      <c r="I973" s="4" t="n">
        <v>2</v>
      </c>
      <c r="J973" s="6" t="n">
        <v>55</v>
      </c>
      <c r="K973" s="6" t="n">
        <v>1348.129005</v>
      </c>
      <c r="L973" s="6">
        <f>I973*K973</f>
        <v/>
      </c>
      <c r="M973" s="6">
        <f>K973*4</f>
        <v/>
      </c>
      <c r="N973" s="6" t="n">
        <v>5399</v>
      </c>
    </row>
    <row r="974">
      <c r="A974" s="1" t="inlineStr">
        <is>
          <t>34163622850829</t>
        </is>
      </c>
      <c r="B974" s="1" t="inlineStr">
        <is>
          <t>LENTES YSL SL 914 BROWN</t>
        </is>
      </c>
      <c r="C974" s="1" t="inlineStr">
        <is>
          <t>Default Title</t>
        </is>
      </c>
      <c r="D974" s="1" t="inlineStr">
        <is>
          <t>20/04/2026</t>
        </is>
      </c>
      <c r="E974" s="1" t="n">
        <v>2026</v>
      </c>
      <c r="F974" s="1" t="inlineStr">
        <is>
          <t>ABRIL</t>
        </is>
      </c>
      <c r="G974" s="1" t="inlineStr">
        <is>
          <t>ZOEY</t>
        </is>
      </c>
      <c r="H974" s="1" t="inlineStr">
        <is>
          <t>ZOEY 20/04/2026</t>
        </is>
      </c>
      <c r="I974" s="4" t="n">
        <v>2</v>
      </c>
      <c r="J974" s="6" t="n">
        <v>40</v>
      </c>
      <c r="K974" s="6" t="n">
        <v>1024.351133</v>
      </c>
      <c r="L974" s="6">
        <f>I974*K974</f>
        <v/>
      </c>
      <c r="M974" s="6">
        <f>K974*4</f>
        <v/>
      </c>
      <c r="N974" s="6" t="n">
        <v>3585</v>
      </c>
    </row>
    <row r="975">
      <c r="A975" s="1" t="inlineStr">
        <is>
          <t>34163622950605</t>
        </is>
      </c>
      <c r="B975" s="1" t="inlineStr">
        <is>
          <t>PERFUME YOU STRONGER TOBACCO</t>
        </is>
      </c>
      <c r="C975" s="1" t="inlineStr">
        <is>
          <t>Default Title</t>
        </is>
      </c>
      <c r="D975" s="1" t="inlineStr">
        <is>
          <t>20/04/2026</t>
        </is>
      </c>
      <c r="E975" s="1" t="n">
        <v>2026</v>
      </c>
      <c r="F975" s="1" t="inlineStr">
        <is>
          <t>ABRIL</t>
        </is>
      </c>
      <c r="G975" s="1" t="inlineStr">
        <is>
          <t>ZOEY</t>
        </is>
      </c>
      <c r="H975" s="1" t="inlineStr">
        <is>
          <t>ZOEY 20/04/2026</t>
        </is>
      </c>
      <c r="I975" s="4" t="n">
        <v>2</v>
      </c>
      <c r="J975" s="6" t="n">
        <v>18</v>
      </c>
      <c r="K975" s="6" t="n">
        <v>460.9580101</v>
      </c>
      <c r="L975" s="6">
        <f>I975*K975</f>
        <v/>
      </c>
      <c r="M975" s="6">
        <f>K975*4</f>
        <v/>
      </c>
      <c r="N975" s="6" t="n">
        <v>1849</v>
      </c>
    </row>
    <row r="976">
      <c r="A976" s="1" t="inlineStr">
        <is>
          <t>34163623006797</t>
        </is>
      </c>
      <c r="B976" s="1" t="inlineStr">
        <is>
          <t>BOLSO F BAGUETTE TEJIDO</t>
        </is>
      </c>
      <c r="C976" s="1" t="inlineStr">
        <is>
          <t>Default Title</t>
        </is>
      </c>
      <c r="D976" s="1" t="inlineStr">
        <is>
          <t>20/04/2026</t>
        </is>
      </c>
      <c r="E976" s="1" t="n">
        <v>2026</v>
      </c>
      <c r="F976" s="1" t="inlineStr">
        <is>
          <t>ABRIL</t>
        </is>
      </c>
      <c r="G976" s="1" t="inlineStr">
        <is>
          <t>ZOEY</t>
        </is>
      </c>
      <c r="H976" s="1" t="inlineStr">
        <is>
          <t>ZOEY 20/04/2026</t>
        </is>
      </c>
      <c r="I976" s="4" t="n">
        <v>2</v>
      </c>
      <c r="J976" s="6" t="n">
        <v>46</v>
      </c>
      <c r="K976" s="6" t="n">
        <v>1178.003803</v>
      </c>
      <c r="L976" s="6">
        <f>I976*K976</f>
        <v/>
      </c>
      <c r="M976" s="6">
        <f>K976*4</f>
        <v/>
      </c>
      <c r="N976" s="6" t="n">
        <v>4680</v>
      </c>
    </row>
    <row r="977">
      <c r="A977" s="1" t="inlineStr">
        <is>
          <t>34163623137869</t>
        </is>
      </c>
      <c r="B977" s="1" t="inlineStr">
        <is>
          <t>BOLSO F SUNSHINE BLACK</t>
        </is>
      </c>
      <c r="C977" s="1" t="inlineStr">
        <is>
          <t>Default Title</t>
        </is>
      </c>
      <c r="D977" s="1" t="inlineStr">
        <is>
          <t>20/04/2026</t>
        </is>
      </c>
      <c r="E977" s="1" t="n">
        <v>2026</v>
      </c>
      <c r="F977" s="1" t="inlineStr">
        <is>
          <t>ABRIL</t>
        </is>
      </c>
      <c r="G977" s="1" t="inlineStr">
        <is>
          <t>ZOEY</t>
        </is>
      </c>
      <c r="H977" s="1" t="inlineStr">
        <is>
          <t>ZOEY 20/04/2026</t>
        </is>
      </c>
      <c r="I977" s="4" t="n">
        <v>2</v>
      </c>
      <c r="J977" s="6" t="n">
        <v>56</v>
      </c>
      <c r="K977" s="6" t="n">
        <v>1434.091587</v>
      </c>
      <c r="L977" s="6">
        <f>I977*K977</f>
        <v/>
      </c>
      <c r="M977" s="6">
        <f>K977*4</f>
        <v/>
      </c>
      <c r="N977" s="6" t="n">
        <v>5019</v>
      </c>
    </row>
    <row r="978">
      <c r="A978" s="1" t="inlineStr">
        <is>
          <t>34163623210189</t>
        </is>
      </c>
      <c r="B978" s="1" t="inlineStr">
        <is>
          <t>ZAPATILLAS V ROCKSTUD BEIGE</t>
        </is>
      </c>
      <c r="C978" s="1" t="inlineStr">
        <is>
          <t>38/24mx</t>
        </is>
      </c>
      <c r="D978" s="1" t="inlineStr">
        <is>
          <t>20/04/2026</t>
        </is>
      </c>
      <c r="E978" s="1" t="n">
        <v>2026</v>
      </c>
      <c r="F978" s="1" t="inlineStr">
        <is>
          <t>ABRIL</t>
        </is>
      </c>
      <c r="G978" s="1" t="inlineStr">
        <is>
          <t>ZOEY</t>
        </is>
      </c>
      <c r="H978" s="1" t="inlineStr">
        <is>
          <t>ZOEY 20/04/2026</t>
        </is>
      </c>
      <c r="I978" s="4" t="n">
        <v>2</v>
      </c>
      <c r="J978" s="6" t="n">
        <v>55</v>
      </c>
      <c r="K978" s="6" t="n">
        <v>1408.482808</v>
      </c>
      <c r="L978" s="6">
        <f>I978*K978</f>
        <v/>
      </c>
      <c r="M978" s="6">
        <f>K978*4</f>
        <v/>
      </c>
      <c r="N978" s="6" t="n">
        <v>5359</v>
      </c>
    </row>
    <row r="979">
      <c r="A979" s="1" t="inlineStr">
        <is>
          <t>34163623342957</t>
        </is>
      </c>
      <c r="B979" s="1" t="inlineStr">
        <is>
          <t>ZAPATILLAS V ROCKSTUD BEIGE</t>
        </is>
      </c>
      <c r="C979" s="1" t="inlineStr">
        <is>
          <t>36/23mx</t>
        </is>
      </c>
      <c r="D979" s="1" t="inlineStr">
        <is>
          <t>20/04/2026</t>
        </is>
      </c>
      <c r="E979" s="1" t="n">
        <v>2026</v>
      </c>
      <c r="F979" s="1" t="inlineStr">
        <is>
          <t>ABRIL</t>
        </is>
      </c>
      <c r="G979" s="1" t="inlineStr">
        <is>
          <t>ZOEY</t>
        </is>
      </c>
      <c r="H979" s="1" t="inlineStr">
        <is>
          <t>ZOEY 20/04/2026</t>
        </is>
      </c>
      <c r="I979" s="4" t="n">
        <v>2</v>
      </c>
      <c r="J979" s="6" t="n">
        <v>55</v>
      </c>
      <c r="K979" s="6" t="n">
        <v>1408.482808</v>
      </c>
      <c r="L979" s="6">
        <f>I979*K979</f>
        <v/>
      </c>
      <c r="M979" s="6">
        <f>K979*4</f>
        <v/>
      </c>
      <c r="N979" s="6" t="n">
        <v>5359</v>
      </c>
    </row>
    <row r="980">
      <c r="A980" s="1" t="inlineStr">
        <is>
          <t>34163623342957</t>
        </is>
      </c>
      <c r="B980" s="1" t="inlineStr">
        <is>
          <t>ZAPATILLAS V ROCKSTUD BEIGE</t>
        </is>
      </c>
      <c r="C980" s="1" t="inlineStr">
        <is>
          <t>36/24mx</t>
        </is>
      </c>
      <c r="D980" s="1" t="inlineStr">
        <is>
          <t>08/06/2026</t>
        </is>
      </c>
      <c r="E980" s="1" t="n">
        <v>2026</v>
      </c>
      <c r="F980" s="1" t="inlineStr">
        <is>
          <t>JUNIO</t>
        </is>
      </c>
      <c r="G980" s="1" t="inlineStr">
        <is>
          <t>ZOEY</t>
        </is>
      </c>
      <c r="H980" s="1" t="inlineStr">
        <is>
          <t>ZOEY 08/06/2026</t>
        </is>
      </c>
      <c r="I980" s="4" t="n">
        <v>1</v>
      </c>
      <c r="J980" s="6" t="n">
        <v>55</v>
      </c>
      <c r="K980" s="6" t="n">
        <v>1348.129005</v>
      </c>
      <c r="L980" s="6">
        <f>I980*K980</f>
        <v/>
      </c>
      <c r="M980" s="6">
        <f>K980*4</f>
        <v/>
      </c>
      <c r="N980" s="6" t="n">
        <v>5399</v>
      </c>
    </row>
    <row r="981">
      <c r="A981" s="1" t="inlineStr">
        <is>
          <t>34163623457677</t>
        </is>
      </c>
      <c r="B981" s="1" t="inlineStr">
        <is>
          <t>PULSERA DE TENNIS DIAMONDS BLUE</t>
        </is>
      </c>
      <c r="C981" s="1" t="inlineStr">
        <is>
          <t>Default Title</t>
        </is>
      </c>
      <c r="D981" s="1" t="inlineStr">
        <is>
          <t>20/04/2026</t>
        </is>
      </c>
      <c r="E981" s="1" t="n">
        <v>2026</v>
      </c>
      <c r="F981" s="1" t="inlineStr">
        <is>
          <t>ABRIL</t>
        </is>
      </c>
      <c r="G981" s="1" t="inlineStr">
        <is>
          <t>ZOEY</t>
        </is>
      </c>
      <c r="H981" s="1" t="inlineStr">
        <is>
          <t>ZOEY 20/04/2026</t>
        </is>
      </c>
      <c r="I981" s="4" t="n">
        <v>2</v>
      </c>
      <c r="J981" s="6" t="n">
        <v>12</v>
      </c>
      <c r="K981" s="6" t="n">
        <v>307.30534</v>
      </c>
      <c r="L981" s="6">
        <f>I981*K981</f>
        <v/>
      </c>
      <c r="M981" s="6">
        <f>K981*4</f>
        <v/>
      </c>
      <c r="N981" s="6" t="n">
        <v>1075</v>
      </c>
    </row>
    <row r="982">
      <c r="A982" s="1" t="inlineStr">
        <is>
          <t>34163623595533</t>
        </is>
      </c>
      <c r="B982" s="1" t="inlineStr">
        <is>
          <t>PULSERA DE TENNIS DIAMONDS GOLD</t>
        </is>
      </c>
      <c r="C982" s="1" t="inlineStr">
        <is>
          <t>Default Title</t>
        </is>
      </c>
      <c r="D982" s="1" t="inlineStr">
        <is>
          <t>20/04/2026</t>
        </is>
      </c>
      <c r="E982" s="1" t="n">
        <v>2026</v>
      </c>
      <c r="F982" s="1" t="inlineStr">
        <is>
          <t>ABRIL</t>
        </is>
      </c>
      <c r="G982" s="1" t="inlineStr">
        <is>
          <t>ZOEY</t>
        </is>
      </c>
      <c r="H982" s="1" t="inlineStr">
        <is>
          <t>ZOEY 20/04/2026</t>
        </is>
      </c>
      <c r="I982" s="4" t="n">
        <v>2</v>
      </c>
      <c r="J982" s="6" t="n">
        <v>10</v>
      </c>
      <c r="K982" s="6" t="n">
        <v>256.0877834</v>
      </c>
      <c r="L982" s="6">
        <f>I982*K982</f>
        <v/>
      </c>
      <c r="M982" s="6">
        <f>K982*4</f>
        <v/>
      </c>
      <c r="N982" s="6" t="n">
        <v>899</v>
      </c>
    </row>
    <row r="983">
      <c r="A983" s="1" t="inlineStr">
        <is>
          <t>34163623621517</t>
        </is>
      </c>
      <c r="B983" s="1" t="inlineStr">
        <is>
          <t>PULSERA DE TENNIS DIAMONDS SILVER</t>
        </is>
      </c>
      <c r="C983" s="1" t="inlineStr">
        <is>
          <t>Default Title</t>
        </is>
      </c>
      <c r="D983" s="1" t="inlineStr">
        <is>
          <t>20/04/2026</t>
        </is>
      </c>
      <c r="E983" s="1" t="n">
        <v>2026</v>
      </c>
      <c r="F983" s="1" t="inlineStr">
        <is>
          <t>ABRIL</t>
        </is>
      </c>
      <c r="G983" s="1" t="inlineStr">
        <is>
          <t>ZOEY</t>
        </is>
      </c>
      <c r="H983" s="1" t="inlineStr">
        <is>
          <t>ZOEY 20/04/2026</t>
        </is>
      </c>
      <c r="I983" s="4" t="n">
        <v>2</v>
      </c>
      <c r="J983" s="6" t="n">
        <v>9</v>
      </c>
      <c r="K983" s="6" t="n">
        <v>230.479005</v>
      </c>
      <c r="L983" s="6">
        <f>I983*K983</f>
        <v/>
      </c>
      <c r="M983" s="6">
        <f>K983*4</f>
        <v/>
      </c>
      <c r="N983" s="6" t="n">
        <v>809</v>
      </c>
    </row>
    <row r="984">
      <c r="A984" s="1" t="inlineStr">
        <is>
          <t>34163623705709</t>
        </is>
      </c>
      <c r="B984" s="1" t="inlineStr">
        <is>
          <t>RELOJ C BAIGNOIRE BLACK-GOLD</t>
        </is>
      </c>
      <c r="C984" s="1" t="inlineStr">
        <is>
          <t>Default Title</t>
        </is>
      </c>
      <c r="D984" s="1" t="inlineStr">
        <is>
          <t>20/04/2026</t>
        </is>
      </c>
      <c r="E984" s="1" t="n">
        <v>2026</v>
      </c>
      <c r="F984" s="1" t="inlineStr">
        <is>
          <t>ABRIL</t>
        </is>
      </c>
      <c r="G984" s="1" t="inlineStr">
        <is>
          <t>ZOEY</t>
        </is>
      </c>
      <c r="H984" s="1" t="inlineStr">
        <is>
          <t>ZOEY 20/04/2026</t>
        </is>
      </c>
      <c r="I984" s="4" t="n">
        <v>2</v>
      </c>
      <c r="J984" s="6" t="n">
        <v>65</v>
      </c>
      <c r="K984" s="6" t="n">
        <v>1664.570592</v>
      </c>
      <c r="L984" s="6">
        <f>I984*K984</f>
        <v/>
      </c>
      <c r="M984" s="6">
        <f>K984*4</f>
        <v/>
      </c>
      <c r="N984" s="6" t="n">
        <v>6399</v>
      </c>
    </row>
    <row r="985">
      <c r="A985" s="1" t="inlineStr">
        <is>
          <t>34163623705709</t>
        </is>
      </c>
      <c r="B985" s="1" t="inlineStr">
        <is>
          <t>RELOJ C BAIGNOIRE BLACK-GOLD</t>
        </is>
      </c>
      <c r="C985" s="1" t="inlineStr">
        <is>
          <t>Default Title</t>
        </is>
      </c>
      <c r="D985" s="1" t="inlineStr">
        <is>
          <t>08/06/2026</t>
        </is>
      </c>
      <c r="E985" s="1" t="n">
        <v>2026</v>
      </c>
      <c r="F985" s="1" t="inlineStr">
        <is>
          <t>JUNIO</t>
        </is>
      </c>
      <c r="G985" s="1" t="inlineStr">
        <is>
          <t>ZOEY</t>
        </is>
      </c>
      <c r="H985" s="1" t="inlineStr">
        <is>
          <t>ZOEY 08/06/2026</t>
        </is>
      </c>
      <c r="I985" s="4" t="n">
        <v>5</v>
      </c>
      <c r="J985" s="6" t="n">
        <v>65</v>
      </c>
      <c r="K985" s="6" t="n">
        <v>1593.24337</v>
      </c>
      <c r="L985" s="6">
        <f>I985*K985</f>
        <v/>
      </c>
      <c r="M985" s="6">
        <f>K985*4</f>
        <v/>
      </c>
      <c r="N985" s="6" t="n">
        <v>6399</v>
      </c>
    </row>
    <row r="986">
      <c r="A986" s="1" t="inlineStr">
        <is>
          <t>34241171019789</t>
        </is>
      </c>
      <c r="B986" s="1" t="inlineStr">
        <is>
          <t>COLLAR MM LOGO SILVER CON ZIRCONIA</t>
        </is>
      </c>
      <c r="C986" s="1" t="inlineStr">
        <is>
          <t>Default Title</t>
        </is>
      </c>
      <c r="D986" s="1" t="inlineStr">
        <is>
          <t>02/10/2025</t>
        </is>
      </c>
      <c r="E986" s="1" t="n">
        <v>2025</v>
      </c>
      <c r="F986" s="1" t="inlineStr">
        <is>
          <t>OCTUBRE</t>
        </is>
      </c>
      <c r="G986" s="1" t="inlineStr">
        <is>
          <t>ZOEY</t>
        </is>
      </c>
      <c r="H986" s="1" t="inlineStr">
        <is>
          <t>ZOEY 02/10/2025</t>
        </is>
      </c>
      <c r="I986" s="4" t="n">
        <v>3</v>
      </c>
      <c r="J986" s="6" t="n">
        <v>10</v>
      </c>
      <c r="K986" s="6" t="n">
        <v>236.23936</v>
      </c>
      <c r="L986" s="6">
        <f>I986*K986</f>
        <v/>
      </c>
      <c r="M986" s="6">
        <f>K986*4</f>
        <v/>
      </c>
      <c r="N986" s="6" t="n">
        <v>725</v>
      </c>
    </row>
    <row r="987">
      <c r="A987" s="1" t="inlineStr">
        <is>
          <t>34313011061229</t>
        </is>
      </c>
      <c r="B987" s="1" t="inlineStr">
        <is>
          <t>BOLSO PR HANDBAG BROWN</t>
        </is>
      </c>
      <c r="C987" s="1" t="inlineStr">
        <is>
          <t>BIG</t>
        </is>
      </c>
      <c r="D987" s="1" t="inlineStr">
        <is>
          <t>07/01/2026</t>
        </is>
      </c>
      <c r="E987" s="1" t="n">
        <v>2026</v>
      </c>
      <c r="F987" s="1" t="inlineStr">
        <is>
          <t>ENERO</t>
        </is>
      </c>
      <c r="G987" s="1" t="inlineStr">
        <is>
          <t>CYNTHIA</t>
        </is>
      </c>
      <c r="H987" s="1" t="inlineStr">
        <is>
          <t>CYNTHIA 07/01/2026</t>
        </is>
      </c>
      <c r="I987" s="4" t="n">
        <v>2</v>
      </c>
      <c r="J987" s="6" t="n">
        <v>52</v>
      </c>
      <c r="K987" s="6" t="n">
        <v>1382.546239</v>
      </c>
      <c r="L987" s="6">
        <f>I987*K987</f>
        <v/>
      </c>
      <c r="M987" s="6">
        <f>K987*4</f>
        <v/>
      </c>
      <c r="N987" s="6" t="n">
        <v>5099</v>
      </c>
    </row>
    <row r="988">
      <c r="A988" s="1" t="inlineStr">
        <is>
          <t>34313011061229</t>
        </is>
      </c>
      <c r="B988" s="1" t="inlineStr">
        <is>
          <t>BOLSO PR HANDBAG BROWN</t>
        </is>
      </c>
      <c r="C988" s="1" t="inlineStr">
        <is>
          <t>BIG</t>
        </is>
      </c>
      <c r="D988" s="1" t="inlineStr">
        <is>
          <t>19/03/2026</t>
        </is>
      </c>
      <c r="E988" s="1" t="n">
        <v>2026</v>
      </c>
      <c r="F988" s="1" t="inlineStr">
        <is>
          <t>MARZO</t>
        </is>
      </c>
      <c r="G988" s="1" t="inlineStr">
        <is>
          <t>CYNTHIA</t>
        </is>
      </c>
      <c r="H988" s="1" t="inlineStr">
        <is>
          <t>CYNTHIA 19/03/2026</t>
        </is>
      </c>
      <c r="I988" s="4" t="n">
        <v>2</v>
      </c>
      <c r="J988" s="6" t="n">
        <v>50</v>
      </c>
      <c r="K988" s="6" t="n">
        <v>1342.87079</v>
      </c>
      <c r="L988" s="6">
        <f>I988*K988</f>
        <v/>
      </c>
      <c r="M988" s="6">
        <f>K988*4</f>
        <v/>
      </c>
      <c r="N988" s="6" t="n">
        <v>5099</v>
      </c>
    </row>
    <row r="989">
      <c r="A989" s="1" t="inlineStr">
        <is>
          <t>34313011061229</t>
        </is>
      </c>
      <c r="B989" s="1" t="inlineStr">
        <is>
          <t>BOLSO PR HANDBAG BROWN</t>
        </is>
      </c>
      <c r="C989" s="1" t="inlineStr">
        <is>
          <t>BIG</t>
        </is>
      </c>
      <c r="D989" s="1" t="inlineStr">
        <is>
          <t>31/05/2026</t>
        </is>
      </c>
      <c r="E989" s="1" t="n">
        <v>2026</v>
      </c>
      <c r="F989" s="1" t="inlineStr">
        <is>
          <t>MAYO</t>
        </is>
      </c>
      <c r="G989" s="1" t="inlineStr">
        <is>
          <t>CYNTHIA</t>
        </is>
      </c>
      <c r="H989" s="1" t="inlineStr">
        <is>
          <t>CYNTHIA 31/05/2026</t>
        </is>
      </c>
      <c r="I989" s="4" t="n">
        <v>3</v>
      </c>
      <c r="J989" s="6" t="n">
        <v>52</v>
      </c>
      <c r="K989" s="6" t="n">
        <v>1378.054339</v>
      </c>
      <c r="L989" s="6">
        <f>I989*K989</f>
        <v/>
      </c>
      <c r="M989" s="6">
        <f>K989*4</f>
        <v/>
      </c>
      <c r="N989" s="6" t="n">
        <v>5099</v>
      </c>
    </row>
    <row r="990">
      <c r="A990" s="1" t="inlineStr">
        <is>
          <t>34361211039213</t>
        </is>
      </c>
      <c r="B990" s="1" t="inlineStr">
        <is>
          <t>PULSERA DIVAS DREAM SILVER</t>
        </is>
      </c>
      <c r="C990" s="1" t="inlineStr">
        <is>
          <t>Default Title</t>
        </is>
      </c>
      <c r="D990" s="1" t="inlineStr">
        <is>
          <t>25/09/2025</t>
        </is>
      </c>
      <c r="E990" s="1" t="n">
        <v>2025</v>
      </c>
      <c r="F990" s="1" t="inlineStr">
        <is>
          <t>SEPTIEMBRE</t>
        </is>
      </c>
      <c r="G990" s="1" t="inlineStr">
        <is>
          <t>HAIFENG</t>
        </is>
      </c>
      <c r="H990" s="1" t="inlineStr">
        <is>
          <t>HAIFENG 25/09/2025</t>
        </is>
      </c>
      <c r="I990" s="4" t="n">
        <v>2</v>
      </c>
      <c r="J990" s="6" t="n">
        <v>7.5</v>
      </c>
      <c r="K990" s="6" t="n">
        <v>158.2266433</v>
      </c>
      <c r="L990" s="6">
        <f>I990*K990</f>
        <v/>
      </c>
      <c r="M990" s="6">
        <f>K990*4</f>
        <v/>
      </c>
      <c r="N990" s="6" t="n">
        <v>620</v>
      </c>
    </row>
    <row r="991">
      <c r="A991" s="1" t="inlineStr">
        <is>
          <t>34361211039213</t>
        </is>
      </c>
      <c r="B991" s="1" t="inlineStr">
        <is>
          <t>PULSERA DIVAS DREAM SILVER</t>
        </is>
      </c>
      <c r="C991" s="1" t="inlineStr">
        <is>
          <t>Default Title</t>
        </is>
      </c>
      <c r="D991" s="1" t="inlineStr">
        <is>
          <t>10/02/2026</t>
        </is>
      </c>
      <c r="E991" s="1" t="n">
        <v>2026</v>
      </c>
      <c r="F991" s="1" t="inlineStr">
        <is>
          <t>FEBRERO</t>
        </is>
      </c>
      <c r="G991" s="1" t="inlineStr">
        <is>
          <t>HAIFENG</t>
        </is>
      </c>
      <c r="H991" s="1" t="inlineStr">
        <is>
          <t>HAIFENG 10/02/2026</t>
        </is>
      </c>
      <c r="I991" s="4" t="n">
        <v>2</v>
      </c>
      <c r="J991" s="6" t="n">
        <v>7.5</v>
      </c>
      <c r="K991" s="6" t="n">
        <v>158.0137205</v>
      </c>
      <c r="L991" s="6">
        <f>I991*K991</f>
        <v/>
      </c>
      <c r="M991" s="6">
        <f>K991*4</f>
        <v/>
      </c>
      <c r="N991" s="6" t="n">
        <v>620</v>
      </c>
    </row>
    <row r="992">
      <c r="A992" s="1" t="inlineStr">
        <is>
          <t>34361211039213</t>
        </is>
      </c>
      <c r="B992" s="1" t="inlineStr">
        <is>
          <t>PULSERA DIVAS DREAM SILVER</t>
        </is>
      </c>
      <c r="C992" s="1" t="inlineStr">
        <is>
          <t>Default Title</t>
        </is>
      </c>
      <c r="D992" s="1" t="inlineStr">
        <is>
          <t>16/04/2026</t>
        </is>
      </c>
      <c r="E992" s="1" t="n">
        <v>2026</v>
      </c>
      <c r="F992" s="1" t="inlineStr">
        <is>
          <t>ABRIL</t>
        </is>
      </c>
      <c r="G992" s="1" t="inlineStr">
        <is>
          <t>HAIFENG</t>
        </is>
      </c>
      <c r="H992" s="1" t="inlineStr">
        <is>
          <t>HAIFENG 16/04/2026</t>
        </is>
      </c>
      <c r="I992" s="4" t="n">
        <v>2</v>
      </c>
      <c r="J992" s="6" t="n">
        <v>7.5</v>
      </c>
      <c r="K992" s="6" t="n">
        <v>157.7360519</v>
      </c>
      <c r="L992" s="6">
        <f>I992*K992</f>
        <v/>
      </c>
      <c r="M992" s="6">
        <f>K992*4</f>
        <v/>
      </c>
      <c r="N992" s="6" t="n">
        <v>620</v>
      </c>
    </row>
    <row r="993">
      <c r="A993" s="1" t="inlineStr">
        <is>
          <t>34762981018093</t>
        </is>
      </c>
      <c r="B993" s="1" t="inlineStr">
        <is>
          <t>RELOJ TANK CR BLACK GOLD CROCODILE</t>
        </is>
      </c>
      <c r="C993" s="1" t="n"/>
      <c r="D993" s="1" t="inlineStr">
        <is>
          <t>15/05/2026</t>
        </is>
      </c>
      <c r="E993" s="1" t="n">
        <v>2026</v>
      </c>
      <c r="F993" s="1" t="inlineStr">
        <is>
          <t>MAYO</t>
        </is>
      </c>
      <c r="G993" s="1" t="inlineStr">
        <is>
          <t>ZOEY</t>
        </is>
      </c>
      <c r="H993" s="1" t="inlineStr">
        <is>
          <t>ZOEY 15/05/2026</t>
        </is>
      </c>
      <c r="I993" s="4" t="n">
        <v>3</v>
      </c>
      <c r="J993" s="6" t="n">
        <v>35</v>
      </c>
      <c r="K993" s="6" t="n">
        <v>927.6618571</v>
      </c>
      <c r="L993" s="6">
        <f>I993*K993</f>
        <v/>
      </c>
      <c r="M993" s="6">
        <f>K993*4</f>
        <v/>
      </c>
      <c r="N993" s="6" t="n">
        <v>3720</v>
      </c>
    </row>
    <row r="994">
      <c r="A994" s="1" t="inlineStr">
        <is>
          <t>34876761034381</t>
        </is>
      </c>
      <c r="B994" s="1" t="inlineStr">
        <is>
          <t>COLLAR DE CUENTAS BLUE T</t>
        </is>
      </c>
      <c r="C994" s="1" t="inlineStr">
        <is>
          <t>Default Title</t>
        </is>
      </c>
      <c r="D994" s="1" t="inlineStr">
        <is>
          <t>25/10/2025</t>
        </is>
      </c>
      <c r="E994" s="1" t="n">
        <v>2025</v>
      </c>
      <c r="F994" s="1" t="inlineStr">
        <is>
          <t>OCTUBRE</t>
        </is>
      </c>
      <c r="G994" s="1" t="inlineStr">
        <is>
          <t>CYNTHIA</t>
        </is>
      </c>
      <c r="H994" s="1" t="inlineStr">
        <is>
          <t>CYNTHIA 25/10/2025</t>
        </is>
      </c>
      <c r="I994" s="4" t="n">
        <v>3</v>
      </c>
      <c r="J994" s="6" t="n">
        <v>9.800000000000001</v>
      </c>
      <c r="K994" s="6" t="n">
        <v>256.7778712</v>
      </c>
      <c r="L994" s="6">
        <f>I994*K994</f>
        <v/>
      </c>
      <c r="M994" s="6">
        <f>K994*4</f>
        <v/>
      </c>
      <c r="N994" s="6" t="n">
        <v>850</v>
      </c>
    </row>
    <row r="995">
      <c r="A995" s="1" t="inlineStr">
        <is>
          <t>34876761034381</t>
        </is>
      </c>
      <c r="B995" s="1" t="inlineStr">
        <is>
          <t>COLLAR DE CUENTAS BLUE T</t>
        </is>
      </c>
      <c r="C995" s="1" t="inlineStr">
        <is>
          <t>Default Title</t>
        </is>
      </c>
      <c r="D995" s="1" t="inlineStr">
        <is>
          <t>18/02/2026</t>
        </is>
      </c>
      <c r="E995" s="1" t="n">
        <v>2026</v>
      </c>
      <c r="F995" s="1" t="inlineStr">
        <is>
          <t>FEBRERO</t>
        </is>
      </c>
      <c r="G995" s="1" t="inlineStr">
        <is>
          <t>CYNTHIA</t>
        </is>
      </c>
      <c r="H995" s="1" t="inlineStr">
        <is>
          <t>CYNTHIA 18/02/2026</t>
        </is>
      </c>
      <c r="I995" s="4" t="n">
        <v>4</v>
      </c>
      <c r="J995" s="6" t="n">
        <v>9.800000000000001</v>
      </c>
      <c r="K995" s="6" t="n">
        <v>265.0249789</v>
      </c>
      <c r="L995" s="6">
        <f>I995*K995</f>
        <v/>
      </c>
      <c r="M995" s="6">
        <f>K995*4</f>
        <v/>
      </c>
      <c r="N995" s="6" t="n">
        <v>1040</v>
      </c>
    </row>
    <row r="996">
      <c r="A996" s="1" t="inlineStr">
        <is>
          <t>34876761034381</t>
        </is>
      </c>
      <c r="B996" s="1" t="inlineStr">
        <is>
          <t>COLLAR DE CUENTAS BLUE T</t>
        </is>
      </c>
      <c r="C996" s="1" t="inlineStr">
        <is>
          <t>Default Title</t>
        </is>
      </c>
      <c r="D996" s="1" t="inlineStr">
        <is>
          <t>31/05/2026</t>
        </is>
      </c>
      <c r="E996" s="1" t="n">
        <v>2026</v>
      </c>
      <c r="F996" s="1" t="inlineStr">
        <is>
          <t>MAYO</t>
        </is>
      </c>
      <c r="G996" s="1" t="inlineStr">
        <is>
          <t>CYNTHIA</t>
        </is>
      </c>
      <c r="H996" s="1" t="inlineStr">
        <is>
          <t>CYNTHIA 31/05/2026</t>
        </is>
      </c>
      <c r="I996" s="4" t="n">
        <v>5</v>
      </c>
      <c r="J996" s="6" t="n">
        <v>9.800000000000001</v>
      </c>
      <c r="K996" s="6" t="n">
        <v>259.7102408</v>
      </c>
      <c r="L996" s="6">
        <f>I996*K996</f>
        <v/>
      </c>
      <c r="M996" s="6">
        <f>K996*4</f>
        <v/>
      </c>
      <c r="N996" s="6" t="n">
        <v>1040</v>
      </c>
    </row>
    <row r="997">
      <c r="A997" s="1" t="inlineStr">
        <is>
          <t>34876761146797</t>
        </is>
      </c>
      <c r="B997" s="1" t="inlineStr">
        <is>
          <t>COLLAR DE CUENTAS PINK T</t>
        </is>
      </c>
      <c r="C997" s="1" t="inlineStr">
        <is>
          <t>Default Title</t>
        </is>
      </c>
      <c r="D997" s="1" t="inlineStr">
        <is>
          <t>19/03/2026</t>
        </is>
      </c>
      <c r="E997" s="1" t="n">
        <v>2026</v>
      </c>
      <c r="F997" s="1" t="inlineStr">
        <is>
          <t>MARZO</t>
        </is>
      </c>
      <c r="G997" s="1" t="inlineStr">
        <is>
          <t>CYNTHIA</t>
        </is>
      </c>
      <c r="H997" s="1" t="inlineStr">
        <is>
          <t>CYNTHIA 19/03/2026</t>
        </is>
      </c>
      <c r="I997" s="4" t="n">
        <v>2</v>
      </c>
      <c r="J997" s="6" t="n">
        <v>9.800000000000001</v>
      </c>
      <c r="K997" s="6" t="n">
        <v>263.2026748</v>
      </c>
      <c r="L997" s="6">
        <f>I997*K997</f>
        <v/>
      </c>
      <c r="M997" s="6">
        <f>K997*4</f>
        <v/>
      </c>
      <c r="N997" s="6" t="n">
        <v>1040</v>
      </c>
    </row>
    <row r="998">
      <c r="A998" s="1" t="inlineStr">
        <is>
          <t>34876761146797</t>
        </is>
      </c>
      <c r="B998" s="1" t="inlineStr">
        <is>
          <t>COLLAR DE CUENTAS PINK T</t>
        </is>
      </c>
      <c r="C998" s="1" t="inlineStr">
        <is>
          <t>Default Title</t>
        </is>
      </c>
      <c r="D998" s="1" t="inlineStr">
        <is>
          <t>31/05/2026</t>
        </is>
      </c>
      <c r="E998" s="1" t="n">
        <v>2026</v>
      </c>
      <c r="F998" s="1" t="inlineStr">
        <is>
          <t>MAYO</t>
        </is>
      </c>
      <c r="G998" s="1" t="inlineStr">
        <is>
          <t>CYNTHIA</t>
        </is>
      </c>
      <c r="H998" s="1" t="inlineStr">
        <is>
          <t>CYNTHIA 31/05/2026</t>
        </is>
      </c>
      <c r="I998" s="4" t="n">
        <v>2</v>
      </c>
      <c r="J998" s="6" t="n">
        <v>9.800000000000001</v>
      </c>
      <c r="K998" s="6" t="n">
        <v>259.7102408</v>
      </c>
      <c r="L998" s="6">
        <f>I998*K998</f>
        <v/>
      </c>
      <c r="M998" s="6">
        <f>K998*4</f>
        <v/>
      </c>
      <c r="N998" s="6" t="n">
        <v>1040</v>
      </c>
    </row>
    <row r="999">
      <c r="A999" s="1" t="inlineStr">
        <is>
          <t>34876761251373</t>
        </is>
      </c>
      <c r="B999" s="1" t="inlineStr">
        <is>
          <t>ARETES T SQUARE SIXTEEN STONE</t>
        </is>
      </c>
      <c r="C999" s="1" t="inlineStr">
        <is>
          <t>Default Title</t>
        </is>
      </c>
      <c r="D999" s="1" t="inlineStr">
        <is>
          <t>25/10/2025</t>
        </is>
      </c>
      <c r="E999" s="1" t="n">
        <v>2025</v>
      </c>
      <c r="F999" s="1" t="inlineStr">
        <is>
          <t>OCTUBRE</t>
        </is>
      </c>
      <c r="G999" s="1" t="inlineStr">
        <is>
          <t>CYNTHIA</t>
        </is>
      </c>
      <c r="H999" s="1" t="inlineStr">
        <is>
          <t>CYNTHIA 25/10/2025</t>
        </is>
      </c>
      <c r="I999" s="4" t="n">
        <v>10</v>
      </c>
      <c r="J999" s="6" t="n">
        <v>7</v>
      </c>
      <c r="K999" s="6" t="n">
        <v>183.4127651</v>
      </c>
      <c r="L999" s="6">
        <f>I999*K999</f>
        <v/>
      </c>
      <c r="M999" s="6">
        <f>K999*4</f>
        <v/>
      </c>
      <c r="N999" s="6" t="n">
        <v>750</v>
      </c>
    </row>
    <row r="1000">
      <c r="A1000" s="1" t="inlineStr">
        <is>
          <t>34876761251373</t>
        </is>
      </c>
      <c r="B1000" s="1" t="inlineStr">
        <is>
          <t>ARETES T SQUARE SIXTEEN STONE</t>
        </is>
      </c>
      <c r="C1000" s="1" t="inlineStr">
        <is>
          <t>Default Title</t>
        </is>
      </c>
      <c r="D1000" s="1" t="inlineStr">
        <is>
          <t>07/01/2026</t>
        </is>
      </c>
      <c r="E1000" s="1" t="n">
        <v>2026</v>
      </c>
      <c r="F1000" s="1" t="inlineStr">
        <is>
          <t>ENERO</t>
        </is>
      </c>
      <c r="G1000" s="1" t="inlineStr">
        <is>
          <t>CYNTHIA</t>
        </is>
      </c>
      <c r="H1000" s="1" t="inlineStr">
        <is>
          <t>CYNTHIA 07/01/2026</t>
        </is>
      </c>
      <c r="I1000" s="4" t="n">
        <v>5</v>
      </c>
      <c r="J1000" s="6" t="n">
        <v>7</v>
      </c>
      <c r="K1000" s="6" t="n">
        <v>186.1119937</v>
      </c>
      <c r="L1000" s="6">
        <f>I1000*K1000</f>
        <v/>
      </c>
      <c r="M1000" s="6">
        <f>K1000*4</f>
        <v/>
      </c>
      <c r="N1000" s="6" t="n">
        <v>750</v>
      </c>
    </row>
    <row r="1001">
      <c r="A1001" s="1" t="inlineStr">
        <is>
          <t>34876761251373</t>
        </is>
      </c>
      <c r="B1001" s="1" t="inlineStr">
        <is>
          <t>ARETES T SQUARE SIXTEEN STONE</t>
        </is>
      </c>
      <c r="C1001" s="1" t="inlineStr">
        <is>
          <t>Default Title</t>
        </is>
      </c>
      <c r="D1001" s="1" t="inlineStr">
        <is>
          <t>18/02/2026</t>
        </is>
      </c>
      <c r="E1001" s="1" t="n">
        <v>2026</v>
      </c>
      <c r="F1001" s="1" t="inlineStr">
        <is>
          <t>FEBRERO</t>
        </is>
      </c>
      <c r="G1001" s="1" t="inlineStr">
        <is>
          <t>CYNTHIA</t>
        </is>
      </c>
      <c r="H1001" s="1" t="inlineStr">
        <is>
          <t>CYNTHIA 18/02/2026</t>
        </is>
      </c>
      <c r="I1001" s="4" t="n">
        <v>4</v>
      </c>
      <c r="J1001" s="6" t="n">
        <v>7</v>
      </c>
      <c r="K1001" s="6" t="n">
        <v>189.3035564</v>
      </c>
      <c r="L1001" s="6">
        <f>I1001*K1001</f>
        <v/>
      </c>
      <c r="M1001" s="6">
        <f>K1001*4</f>
        <v/>
      </c>
      <c r="N1001" s="6" t="n">
        <v>750</v>
      </c>
    </row>
    <row r="1002">
      <c r="A1002" s="1" t="inlineStr">
        <is>
          <t>34876761251373</t>
        </is>
      </c>
      <c r="B1002" s="1" t="inlineStr">
        <is>
          <t>ARETES T SQUARE SIXTEEN STONE</t>
        </is>
      </c>
      <c r="C1002" s="1" t="inlineStr">
        <is>
          <t>Default Title</t>
        </is>
      </c>
      <c r="D1002" s="1" t="inlineStr">
        <is>
          <t>27/04/2026</t>
        </is>
      </c>
      <c r="E1002" s="1" t="n">
        <v>2026</v>
      </c>
      <c r="F1002" s="1" t="inlineStr">
        <is>
          <t>ABRIL</t>
        </is>
      </c>
      <c r="G1002" s="1" t="inlineStr">
        <is>
          <t>CYNTHIA</t>
        </is>
      </c>
      <c r="H1002" s="1" t="inlineStr">
        <is>
          <t>CYNTHIA 27/04/2026</t>
        </is>
      </c>
      <c r="I1002" s="4" t="n">
        <v>1</v>
      </c>
      <c r="J1002" s="6" t="n">
        <v>7</v>
      </c>
      <c r="K1002" s="6" t="n">
        <v>181.6506483</v>
      </c>
      <c r="L1002" s="6">
        <f>I1002*K1002</f>
        <v/>
      </c>
      <c r="M1002" s="6">
        <f>K1002*4</f>
        <v/>
      </c>
      <c r="N1002" s="6" t="n">
        <v>750</v>
      </c>
    </row>
    <row r="1003">
      <c r="A1003" s="1" t="inlineStr">
        <is>
          <t>34876761251373</t>
        </is>
      </c>
      <c r="B1003" s="1" t="inlineStr">
        <is>
          <t>ARETES T SQUARE SIXTEEN STONE</t>
        </is>
      </c>
      <c r="C1003" s="1" t="inlineStr">
        <is>
          <t>Default Title</t>
        </is>
      </c>
      <c r="D1003" s="1" t="inlineStr">
        <is>
          <t>31/05/2026</t>
        </is>
      </c>
      <c r="E1003" s="1" t="n">
        <v>2026</v>
      </c>
      <c r="F1003" s="1" t="inlineStr">
        <is>
          <t>MAYO</t>
        </is>
      </c>
      <c r="G1003" s="1" t="inlineStr">
        <is>
          <t>CYNTHIA</t>
        </is>
      </c>
      <c r="H1003" s="1" t="inlineStr">
        <is>
          <t>CYNTHIA 31/05/2026</t>
        </is>
      </c>
      <c r="I1003" s="4" t="n">
        <v>8</v>
      </c>
      <c r="J1003" s="6" t="n">
        <v>7</v>
      </c>
      <c r="K1003" s="6" t="n">
        <v>185.5073148</v>
      </c>
      <c r="L1003" s="6">
        <f>I1003*K1003</f>
        <v/>
      </c>
      <c r="M1003" s="6">
        <f>K1003*4</f>
        <v/>
      </c>
      <c r="N1003" s="6" t="n">
        <v>750</v>
      </c>
    </row>
    <row r="1004">
      <c r="A1004" s="1" t="inlineStr">
        <is>
          <t>34876761335341</t>
        </is>
      </c>
      <c r="B1004" s="1" t="inlineStr">
        <is>
          <t>ANILLO T LOVESTRUCK SILVER-ROSE GOLD</t>
        </is>
      </c>
      <c r="C1004" s="1" t="n">
        <v>6</v>
      </c>
      <c r="D1004" s="1" t="inlineStr">
        <is>
          <t>25/10/2025</t>
        </is>
      </c>
      <c r="E1004" s="1" t="n">
        <v>2025</v>
      </c>
      <c r="F1004" s="1" t="inlineStr">
        <is>
          <t>OCTUBRE</t>
        </is>
      </c>
      <c r="G1004" s="1" t="inlineStr">
        <is>
          <t>CYNTHIA</t>
        </is>
      </c>
      <c r="H1004" s="1" t="inlineStr">
        <is>
          <t>CYNTHIA 25/10/2025</t>
        </is>
      </c>
      <c r="I1004" s="4" t="n">
        <v>4</v>
      </c>
      <c r="J1004" s="6" t="n">
        <v>8.800000000000001</v>
      </c>
      <c r="K1004" s="6" t="n">
        <v>230.5760476</v>
      </c>
      <c r="L1004" s="6">
        <f>I1004*K1004</f>
        <v/>
      </c>
      <c r="M1004" s="6">
        <f>K1004*4</f>
        <v/>
      </c>
      <c r="N1004" s="6" t="n">
        <v>750</v>
      </c>
    </row>
    <row r="1005">
      <c r="A1005" s="1" t="inlineStr">
        <is>
          <t>34876761335341</t>
        </is>
      </c>
      <c r="B1005" s="1" t="inlineStr">
        <is>
          <t>ANILLO T LOVESTRUCK SILVER-ROSE GOLD</t>
        </is>
      </c>
      <c r="C1005" s="1" t="n">
        <v>6</v>
      </c>
      <c r="D1005" s="1" t="inlineStr">
        <is>
          <t>07/01/2026</t>
        </is>
      </c>
      <c r="E1005" s="1" t="n">
        <v>2026</v>
      </c>
      <c r="F1005" s="1" t="inlineStr">
        <is>
          <t>ENERO</t>
        </is>
      </c>
      <c r="G1005" s="1" t="inlineStr">
        <is>
          <t>CYNTHIA</t>
        </is>
      </c>
      <c r="H1005" s="1" t="inlineStr">
        <is>
          <t>CYNTHIA 07/01/2026</t>
        </is>
      </c>
      <c r="I1005" s="4" t="n">
        <v>4</v>
      </c>
      <c r="J1005" s="6" t="n">
        <v>8.800000000000001</v>
      </c>
      <c r="K1005" s="6" t="n">
        <v>233.9693635</v>
      </c>
      <c r="L1005" s="6">
        <f>I1005*K1005</f>
        <v/>
      </c>
      <c r="M1005" s="6">
        <f>K1005*4</f>
        <v/>
      </c>
      <c r="N1005" s="6" t="n">
        <v>915</v>
      </c>
    </row>
    <row r="1006">
      <c r="A1006" s="1" t="inlineStr">
        <is>
          <t>34876761335341</t>
        </is>
      </c>
      <c r="B1006" s="1" t="inlineStr">
        <is>
          <t>ANILLO T LOVESTRUCK SILVER-ROSE GOLD</t>
        </is>
      </c>
      <c r="C1006" s="1" t="inlineStr">
        <is>
          <t>6</t>
        </is>
      </c>
      <c r="D1006" s="1" t="inlineStr">
        <is>
          <t>19/03/2026</t>
        </is>
      </c>
      <c r="E1006" s="1" t="n">
        <v>2026</v>
      </c>
      <c r="F1006" s="1" t="inlineStr">
        <is>
          <t>MARZO</t>
        </is>
      </c>
      <c r="G1006" s="1" t="inlineStr">
        <is>
          <t>CYNTHIA</t>
        </is>
      </c>
      <c r="H1006" s="1" t="inlineStr">
        <is>
          <t>CYNTHIA 19/03/2026</t>
        </is>
      </c>
      <c r="I1006" s="4" t="n">
        <v>4</v>
      </c>
      <c r="J1006" s="6" t="n">
        <v>8.800000000000001</v>
      </c>
      <c r="K1006" s="6" t="n">
        <v>236.345259</v>
      </c>
      <c r="L1006" s="6">
        <f>I1006*K1006</f>
        <v/>
      </c>
      <c r="M1006" s="6">
        <f>K1006*4</f>
        <v/>
      </c>
      <c r="N1006" s="6" t="n">
        <v>915</v>
      </c>
    </row>
    <row r="1007">
      <c r="A1007" s="1" t="inlineStr">
        <is>
          <t>34876761335341</t>
        </is>
      </c>
      <c r="B1007" s="1" t="inlineStr">
        <is>
          <t>ANILLO T LOVESTRUCK SILVER-ROSE GOLD</t>
        </is>
      </c>
      <c r="C1007" s="1" t="n">
        <v>6</v>
      </c>
      <c r="D1007" s="1" t="inlineStr">
        <is>
          <t>27/04/2026</t>
        </is>
      </c>
      <c r="E1007" s="1" t="n">
        <v>2026</v>
      </c>
      <c r="F1007" s="1" t="inlineStr">
        <is>
          <t>ABRIL</t>
        </is>
      </c>
      <c r="G1007" s="1" t="inlineStr">
        <is>
          <t>CYNTHIA</t>
        </is>
      </c>
      <c r="H1007" s="1" t="inlineStr">
        <is>
          <t>CYNTHIA 27/04/2026</t>
        </is>
      </c>
      <c r="I1007" s="4" t="n">
        <v>3</v>
      </c>
      <c r="J1007" s="6" t="n">
        <v>8.800000000000001</v>
      </c>
      <c r="K1007" s="6" t="n">
        <v>228.360815</v>
      </c>
      <c r="L1007" s="6">
        <f>I1007*K1007</f>
        <v/>
      </c>
      <c r="M1007" s="6">
        <f>K1007*4</f>
        <v/>
      </c>
      <c r="N1007" s="6" t="n">
        <v>915</v>
      </c>
    </row>
    <row r="1008">
      <c r="A1008" s="1" t="inlineStr">
        <is>
          <t>34876761468109</t>
        </is>
      </c>
      <c r="B1008" s="1" t="n"/>
      <c r="C1008" s="1" t="n">
        <v>7</v>
      </c>
      <c r="D1008" s="1" t="inlineStr">
        <is>
          <t>07/01/2026</t>
        </is>
      </c>
      <c r="E1008" s="1" t="n">
        <v>2026</v>
      </c>
      <c r="F1008" s="1" t="inlineStr">
        <is>
          <t>ENERO</t>
        </is>
      </c>
      <c r="G1008" s="1" t="inlineStr">
        <is>
          <t>CYNTHIA</t>
        </is>
      </c>
      <c r="H1008" s="1" t="inlineStr">
        <is>
          <t>CYNTHIA 07/01/2026</t>
        </is>
      </c>
      <c r="I1008" s="4" t="n">
        <v>2</v>
      </c>
      <c r="J1008" s="6" t="n">
        <v>8.800000000000001</v>
      </c>
      <c r="K1008" s="6" t="n">
        <v>233.9693635</v>
      </c>
      <c r="L1008" s="6">
        <f>I1008*K1008</f>
        <v/>
      </c>
      <c r="M1008" s="6">
        <f>K1008*4</f>
        <v/>
      </c>
      <c r="N1008" s="6" t="n">
        <v>915</v>
      </c>
    </row>
    <row r="1009">
      <c r="A1009" s="1" t="inlineStr">
        <is>
          <t>34876761468109</t>
        </is>
      </c>
      <c r="B1009" s="1" t="inlineStr">
        <is>
          <t>ANILLO LOVESTRUCK</t>
        </is>
      </c>
      <c r="C1009" s="1" t="inlineStr">
        <is>
          <t>7</t>
        </is>
      </c>
      <c r="D1009" s="1" t="inlineStr">
        <is>
          <t>05/02/2026</t>
        </is>
      </c>
      <c r="E1009" s="1" t="n">
        <v>2026</v>
      </c>
      <c r="F1009" s="1" t="inlineStr">
        <is>
          <t>FEBRERO</t>
        </is>
      </c>
      <c r="G1009" s="1" t="inlineStr">
        <is>
          <t>HAIFENG</t>
        </is>
      </c>
      <c r="H1009" s="1" t="inlineStr">
        <is>
          <t>HAIFENG 05/02/2026</t>
        </is>
      </c>
      <c r="I1009" s="4" t="n">
        <v>1</v>
      </c>
      <c r="J1009" s="6" t="n">
        <v>5</v>
      </c>
      <c r="K1009" s="6" t="n">
        <v>106.7714619</v>
      </c>
      <c r="L1009" s="6">
        <f>I1009*K1009</f>
        <v/>
      </c>
      <c r="M1009" s="6">
        <f>K1009*4</f>
        <v/>
      </c>
      <c r="N1009" s="6" t="n">
        <v>750</v>
      </c>
    </row>
    <row r="1010">
      <c r="A1010" s="1" t="inlineStr">
        <is>
          <t>34876761468109</t>
        </is>
      </c>
      <c r="B1010" s="1" t="inlineStr">
        <is>
          <t>ANILLO T LOVESTRUCK SILVER-ROSE GOLD</t>
        </is>
      </c>
      <c r="C1010" s="1" t="n">
        <v>7</v>
      </c>
      <c r="D1010" s="1" t="inlineStr">
        <is>
          <t>27/04/2026</t>
        </is>
      </c>
      <c r="E1010" s="1" t="n">
        <v>2026</v>
      </c>
      <c r="F1010" s="1" t="inlineStr">
        <is>
          <t>ABRIL</t>
        </is>
      </c>
      <c r="G1010" s="1" t="inlineStr">
        <is>
          <t>CYNTHIA</t>
        </is>
      </c>
      <c r="H1010" s="1" t="inlineStr">
        <is>
          <t>CYNTHIA 27/04/2026</t>
        </is>
      </c>
      <c r="I1010" s="4" t="n">
        <v>2</v>
      </c>
      <c r="J1010" s="6" t="n">
        <v>8.800000000000001</v>
      </c>
      <c r="K1010" s="6" t="n">
        <v>228.360815</v>
      </c>
      <c r="L1010" s="6">
        <f>I1010*K1010</f>
        <v/>
      </c>
      <c r="M1010" s="6">
        <f>K1010*4</f>
        <v/>
      </c>
      <c r="N1010" s="6" t="n">
        <v>915</v>
      </c>
    </row>
    <row r="1011">
      <c r="A1011" s="1" t="inlineStr">
        <is>
          <t>35127151093997</t>
        </is>
      </c>
      <c r="B1011" s="1" t="inlineStr">
        <is>
          <t>BOLSO PR HANDBAG BROWN</t>
        </is>
      </c>
      <c r="C1011" s="1" t="inlineStr">
        <is>
          <t>MEDIUM</t>
        </is>
      </c>
      <c r="D1011" s="1" t="inlineStr">
        <is>
          <t>25/10/2025</t>
        </is>
      </c>
      <c r="E1011" s="1" t="n">
        <v>2025</v>
      </c>
      <c r="F1011" s="1" t="inlineStr">
        <is>
          <t>OCTUBRE</t>
        </is>
      </c>
      <c r="G1011" s="1" t="inlineStr">
        <is>
          <t>CYNTHIA</t>
        </is>
      </c>
      <c r="H1011" s="1" t="inlineStr">
        <is>
          <t>CYNTHIA 25/10/2025</t>
        </is>
      </c>
      <c r="I1011" s="4" t="n">
        <v>3</v>
      </c>
      <c r="J1011" s="6" t="n">
        <v>48</v>
      </c>
      <c r="K1011" s="6" t="n">
        <v>1257.687532</v>
      </c>
      <c r="L1011" s="6">
        <f>I1011*K1011</f>
        <v/>
      </c>
      <c r="M1011" s="6">
        <f>K1011*4</f>
        <v/>
      </c>
      <c r="N1011" s="6" t="n">
        <v>3999</v>
      </c>
    </row>
    <row r="1012">
      <c r="A1012" s="1" t="inlineStr">
        <is>
          <t>35127151093997</t>
        </is>
      </c>
      <c r="B1012" s="1" t="n"/>
      <c r="C1012" s="1" t="inlineStr">
        <is>
          <t>MEDIUM</t>
        </is>
      </c>
      <c r="D1012" s="1" t="inlineStr">
        <is>
          <t>07/01/2026</t>
        </is>
      </c>
      <c r="E1012" s="1" t="n">
        <v>2026</v>
      </c>
      <c r="F1012" s="1" t="inlineStr">
        <is>
          <t>ENERO</t>
        </is>
      </c>
      <c r="G1012" s="1" t="inlineStr">
        <is>
          <t>CYNTHIA</t>
        </is>
      </c>
      <c r="H1012" s="1" t="inlineStr">
        <is>
          <t>CYNTHIA 07/01/2026</t>
        </is>
      </c>
      <c r="I1012" s="4" t="n">
        <v>3</v>
      </c>
      <c r="J1012" s="6" t="n">
        <v>48</v>
      </c>
      <c r="K1012" s="6" t="n">
        <v>1276.196528</v>
      </c>
      <c r="L1012" s="6">
        <f>I1012*K1012</f>
        <v/>
      </c>
      <c r="M1012" s="6">
        <f>K1012*4</f>
        <v/>
      </c>
      <c r="N1012" s="6" t="n">
        <v>4599</v>
      </c>
    </row>
    <row r="1013">
      <c r="A1013" s="1" t="inlineStr">
        <is>
          <t>35127151093997</t>
        </is>
      </c>
      <c r="B1013" s="1" t="inlineStr">
        <is>
          <t>BOLSO PR HANDBAG BROWN</t>
        </is>
      </c>
      <c r="C1013" s="1" t="inlineStr">
        <is>
          <t>MEDIUM</t>
        </is>
      </c>
      <c r="D1013" s="1" t="inlineStr">
        <is>
          <t>31/05/2026</t>
        </is>
      </c>
      <c r="E1013" s="1" t="n">
        <v>2026</v>
      </c>
      <c r="F1013" s="1" t="inlineStr">
        <is>
          <t>MAYO</t>
        </is>
      </c>
      <c r="G1013" s="1" t="inlineStr">
        <is>
          <t>CYNTHIA</t>
        </is>
      </c>
      <c r="H1013" s="1" t="inlineStr">
        <is>
          <t>CYNTHIA 31/05/2026</t>
        </is>
      </c>
      <c r="I1013" s="4" t="n">
        <v>3</v>
      </c>
      <c r="J1013" s="6" t="n">
        <v>48</v>
      </c>
      <c r="K1013" s="6" t="n">
        <v>1272.050159</v>
      </c>
      <c r="L1013" s="6">
        <f>I1013*K1013</f>
        <v/>
      </c>
      <c r="M1013" s="6">
        <f>K1013*4</f>
        <v/>
      </c>
      <c r="N1013" s="6" t="n">
        <v>4599</v>
      </c>
    </row>
    <row r="1014">
      <c r="A1014" s="1" t="inlineStr">
        <is>
          <t>35245867974284</t>
        </is>
      </c>
      <c r="B1014" s="1" t="inlineStr">
        <is>
          <t>BOLSO YSL SHOPER ICARE</t>
        </is>
      </c>
      <c r="C1014" s="1" t="inlineStr">
        <is>
          <t>51cm x 58cm</t>
        </is>
      </c>
      <c r="D1014" s="1" t="inlineStr">
        <is>
          <t>07/01/2026</t>
        </is>
      </c>
      <c r="E1014" s="1" t="n">
        <v>2026</v>
      </c>
      <c r="F1014" s="1" t="inlineStr">
        <is>
          <t>ENERO</t>
        </is>
      </c>
      <c r="G1014" s="1" t="inlineStr">
        <is>
          <t>CYNTHIA</t>
        </is>
      </c>
      <c r="H1014" s="1" t="inlineStr">
        <is>
          <t>CYNTHIA 07/01/2026</t>
        </is>
      </c>
      <c r="I1014" s="4" t="n">
        <v>4</v>
      </c>
      <c r="J1014" s="6" t="n">
        <v>55</v>
      </c>
      <c r="K1014" s="6" t="n">
        <v>1462.308522</v>
      </c>
      <c r="L1014" s="6">
        <f>I1014*K1014</f>
        <v/>
      </c>
      <c r="M1014" s="6">
        <f>K1014*4</f>
        <v/>
      </c>
      <c r="N1014" s="6" t="n">
        <v>5840</v>
      </c>
    </row>
    <row r="1015">
      <c r="A1015" s="1" t="inlineStr">
        <is>
          <t>35245867974284</t>
        </is>
      </c>
      <c r="B1015" s="1" t="inlineStr">
        <is>
          <t>BOLSO YSL SHOPER ICARE</t>
        </is>
      </c>
      <c r="C1015" s="1" t="inlineStr">
        <is>
          <t>51cm x 58cm</t>
        </is>
      </c>
      <c r="D1015" s="1" t="inlineStr">
        <is>
          <t>19/03/2026</t>
        </is>
      </c>
      <c r="E1015" s="1" t="n">
        <v>2026</v>
      </c>
      <c r="F1015" s="1" t="inlineStr">
        <is>
          <t>MARZO</t>
        </is>
      </c>
      <c r="G1015" s="1" t="inlineStr">
        <is>
          <t>CYNTHIA</t>
        </is>
      </c>
      <c r="H1015" s="1" t="inlineStr">
        <is>
          <t>CYNTHIA 19/03/2026</t>
        </is>
      </c>
      <c r="I1015" s="4" t="n">
        <v>9</v>
      </c>
      <c r="J1015" s="6" t="n">
        <v>55</v>
      </c>
      <c r="K1015" s="6" t="n">
        <v>1477.157869</v>
      </c>
      <c r="L1015" s="6">
        <f>I1015*K1015</f>
        <v/>
      </c>
      <c r="M1015" s="6">
        <f>K1015*4</f>
        <v/>
      </c>
      <c r="N1015" s="6" t="n">
        <v>5840</v>
      </c>
    </row>
    <row r="1016">
      <c r="A1016" s="1" t="inlineStr">
        <is>
          <t>35245867974284</t>
        </is>
      </c>
      <c r="B1016" s="1" t="inlineStr">
        <is>
          <t>BOLSO YSL SHOPER ICARE</t>
        </is>
      </c>
      <c r="C1016" s="1" t="inlineStr">
        <is>
          <t>42cm x 42cm</t>
        </is>
      </c>
      <c r="D1016" s="1" t="inlineStr">
        <is>
          <t>31/05/2026</t>
        </is>
      </c>
      <c r="E1016" s="1" t="n">
        <v>2026</v>
      </c>
      <c r="F1016" s="1" t="inlineStr">
        <is>
          <t>MAYO</t>
        </is>
      </c>
      <c r="G1016" s="1" t="inlineStr">
        <is>
          <t>CYNTHIA</t>
        </is>
      </c>
      <c r="H1016" s="1" t="inlineStr">
        <is>
          <t>CYNTHIA 31/05/2026</t>
        </is>
      </c>
      <c r="I1016" s="4" t="n">
        <v>3</v>
      </c>
      <c r="J1016" s="6" t="n">
        <v>55</v>
      </c>
      <c r="K1016" s="6" t="n">
        <v>1457.557474</v>
      </c>
      <c r="L1016" s="6">
        <f>I1016*K1016</f>
        <v/>
      </c>
      <c r="M1016" s="6">
        <f>K1016*4</f>
        <v/>
      </c>
      <c r="N1016" s="6" t="n">
        <v>5840</v>
      </c>
    </row>
    <row r="1017">
      <c r="A1017" s="1" t="inlineStr">
        <is>
          <t>35245867974284</t>
        </is>
      </c>
      <c r="B1017" s="1" t="inlineStr">
        <is>
          <t>BOLSO YSL SHOPER ICARE</t>
        </is>
      </c>
      <c r="C1017" s="1" t="inlineStr">
        <is>
          <t>42cm x 42cm</t>
        </is>
      </c>
      <c r="D1017" s="1" t="inlineStr">
        <is>
          <t>31/05/2026</t>
        </is>
      </c>
      <c r="E1017" s="1" t="n">
        <v>2026</v>
      </c>
      <c r="F1017" s="1" t="inlineStr">
        <is>
          <t>MAYO</t>
        </is>
      </c>
      <c r="G1017" s="1" t="inlineStr">
        <is>
          <t>CYNTHIA</t>
        </is>
      </c>
      <c r="H1017" s="1" t="inlineStr">
        <is>
          <t>CYNTHIA 31/05/2026</t>
        </is>
      </c>
      <c r="I1017" s="4" t="n">
        <v>2</v>
      </c>
      <c r="J1017" s="6" t="n">
        <v>55</v>
      </c>
      <c r="K1017" s="6" t="n">
        <v>1457.557474</v>
      </c>
      <c r="L1017" s="6">
        <f>I1017*K1017</f>
        <v/>
      </c>
      <c r="M1017" s="6">
        <f>K1017*4</f>
        <v/>
      </c>
      <c r="N1017" s="6" t="n">
        <v>5840</v>
      </c>
    </row>
    <row r="1018">
      <c r="A1018" s="1" t="inlineStr">
        <is>
          <t>35432871092045</t>
        </is>
      </c>
      <c r="B1018" s="1" t="inlineStr">
        <is>
          <t>BRAZALETE CC COCO RUSH SILVER</t>
        </is>
      </c>
      <c r="C1018" s="1" t="inlineStr">
        <is>
          <t>Default Title</t>
        </is>
      </c>
      <c r="D1018" s="1" t="inlineStr">
        <is>
          <t>05/02/2026</t>
        </is>
      </c>
      <c r="E1018" s="1" t="n">
        <v>2026</v>
      </c>
      <c r="F1018" s="1" t="inlineStr">
        <is>
          <t>FEBRERO</t>
        </is>
      </c>
      <c r="G1018" s="1" t="inlineStr">
        <is>
          <t>HAIFENG</t>
        </is>
      </c>
      <c r="H1018" s="1" t="inlineStr">
        <is>
          <t>HAIFENG 05/02/2026</t>
        </is>
      </c>
      <c r="I1018" s="4" t="n">
        <v>3</v>
      </c>
      <c r="J1018" s="6" t="n">
        <v>8.99</v>
      </c>
      <c r="K1018" s="6" t="n">
        <v>191.9750886</v>
      </c>
      <c r="L1018" s="6">
        <f>I1018*K1018</f>
        <v/>
      </c>
      <c r="M1018" s="6">
        <f>K1018*4</f>
        <v/>
      </c>
      <c r="N1018" s="6" t="n">
        <v>740.78</v>
      </c>
    </row>
    <row r="1019">
      <c r="A1019" s="1" t="inlineStr">
        <is>
          <t>35432871136685</t>
        </is>
      </c>
      <c r="B1019" s="1" t="inlineStr">
        <is>
          <t>COLLAR CC BOUTON CAMELIA GOLD</t>
        </is>
      </c>
      <c r="C1019" s="1" t="inlineStr">
        <is>
          <t>Default Title</t>
        </is>
      </c>
      <c r="D1019" s="1" t="inlineStr">
        <is>
          <t>05/02/2026</t>
        </is>
      </c>
      <c r="E1019" s="1" t="n">
        <v>2026</v>
      </c>
      <c r="F1019" s="1" t="inlineStr">
        <is>
          <t>FEBRERO</t>
        </is>
      </c>
      <c r="G1019" s="1" t="inlineStr">
        <is>
          <t>HAIFENG</t>
        </is>
      </c>
      <c r="H1019" s="1" t="inlineStr">
        <is>
          <t>HAIFENG 05/02/2026</t>
        </is>
      </c>
      <c r="I1019" s="4" t="n">
        <v>3</v>
      </c>
      <c r="J1019" s="6" t="n">
        <v>12</v>
      </c>
      <c r="K1019" s="6" t="n">
        <v>256.2515086</v>
      </c>
      <c r="L1019" s="6">
        <f>I1019*K1019</f>
        <v/>
      </c>
      <c r="M1019" s="6">
        <f>K1019*4</f>
        <v/>
      </c>
      <c r="N1019" s="6" t="n">
        <v>0</v>
      </c>
    </row>
    <row r="1020">
      <c r="A1020" s="1" t="inlineStr">
        <is>
          <t>35432871289805</t>
        </is>
      </c>
      <c r="B1020" s="1" t="inlineStr">
        <is>
          <t>ANILLO CC COCO CRUSH ROSE GOLD</t>
        </is>
      </c>
      <c r="C1020" s="1" t="inlineStr">
        <is>
          <t>6</t>
        </is>
      </c>
      <c r="D1020" s="1" t="inlineStr">
        <is>
          <t>05/02/2026</t>
        </is>
      </c>
      <c r="E1020" s="1" t="n">
        <v>2026</v>
      </c>
      <c r="F1020" s="1" t="inlineStr">
        <is>
          <t>FEBRERO</t>
        </is>
      </c>
      <c r="G1020" s="1" t="inlineStr">
        <is>
          <t>HAIFENG</t>
        </is>
      </c>
      <c r="H1020" s="1" t="inlineStr">
        <is>
          <t>HAIFENG 05/02/2026</t>
        </is>
      </c>
      <c r="I1020" s="4" t="n">
        <v>3</v>
      </c>
      <c r="J1020" s="6" t="n">
        <v>10</v>
      </c>
      <c r="K1020" s="6" t="n">
        <v>213.5429239</v>
      </c>
      <c r="L1020" s="6">
        <f>I1020*K1020</f>
        <v/>
      </c>
      <c r="M1020" s="6">
        <f>K1020*4</f>
        <v/>
      </c>
      <c r="N1020" s="6" t="n">
        <v>850</v>
      </c>
    </row>
    <row r="1021">
      <c r="A1021" s="1" t="inlineStr">
        <is>
          <t>35432871322573</t>
        </is>
      </c>
      <c r="B1021" s="1" t="inlineStr">
        <is>
          <t>ANILLO CC COCO CRUSH ROSE GOLD</t>
        </is>
      </c>
      <c r="C1021" s="1" t="inlineStr">
        <is>
          <t>7</t>
        </is>
      </c>
      <c r="D1021" s="1" t="inlineStr">
        <is>
          <t>05/02/2026</t>
        </is>
      </c>
      <c r="E1021" s="1" t="n">
        <v>2026</v>
      </c>
      <c r="F1021" s="1" t="inlineStr">
        <is>
          <t>FEBRERO</t>
        </is>
      </c>
      <c r="G1021" s="1" t="inlineStr">
        <is>
          <t>HAIFENG</t>
        </is>
      </c>
      <c r="H1021" s="1" t="inlineStr">
        <is>
          <t>HAIFENG 05/02/2026</t>
        </is>
      </c>
      <c r="I1021" s="4" t="n">
        <v>3</v>
      </c>
      <c r="J1021" s="6" t="n">
        <v>10</v>
      </c>
      <c r="K1021" s="6" t="n">
        <v>213.5429239</v>
      </c>
      <c r="L1021" s="6">
        <f>I1021*K1021</f>
        <v/>
      </c>
      <c r="M1021" s="6">
        <f>K1021*4</f>
        <v/>
      </c>
      <c r="N1021" s="6" t="n">
        <v>850</v>
      </c>
    </row>
    <row r="1022">
      <c r="A1022" s="1" t="inlineStr">
        <is>
          <t>35432871441773</t>
        </is>
      </c>
      <c r="B1022" s="1" t="inlineStr">
        <is>
          <t>ANILLO CC COCO CRUSH ROSE GOLD-SILVER</t>
        </is>
      </c>
      <c r="C1022" s="1" t="inlineStr">
        <is>
          <t>6</t>
        </is>
      </c>
      <c r="D1022" s="1" t="inlineStr">
        <is>
          <t>05/02/2026</t>
        </is>
      </c>
      <c r="E1022" s="1" t="n">
        <v>2026</v>
      </c>
      <c r="F1022" s="1" t="inlineStr">
        <is>
          <t>FEBRERO</t>
        </is>
      </c>
      <c r="G1022" s="1" t="inlineStr">
        <is>
          <t>HAIFENG</t>
        </is>
      </c>
      <c r="H1022" s="1" t="inlineStr">
        <is>
          <t>HAIFENG 05/02/2026</t>
        </is>
      </c>
      <c r="I1022" s="4" t="n">
        <v>2</v>
      </c>
      <c r="J1022" s="6" t="n">
        <v>10</v>
      </c>
      <c r="K1022" s="6" t="n">
        <v>213.5429239</v>
      </c>
      <c r="L1022" s="6">
        <f>I1022*K1022</f>
        <v/>
      </c>
      <c r="M1022" s="6">
        <f>K1022*4</f>
        <v/>
      </c>
      <c r="N1022" s="6" t="n">
        <v>850</v>
      </c>
    </row>
    <row r="1023">
      <c r="A1023" s="1" t="inlineStr">
        <is>
          <t>35432871441773</t>
        </is>
      </c>
      <c r="B1023" s="1" t="inlineStr">
        <is>
          <t>ANILLO CC COCO CRUSH ROSE GOLD-SILVER</t>
        </is>
      </c>
      <c r="C1023" s="1" t="inlineStr">
        <is>
          <t>6</t>
        </is>
      </c>
      <c r="D1023" s="1" t="inlineStr">
        <is>
          <t>26/05/2026</t>
        </is>
      </c>
      <c r="E1023" s="1" t="n">
        <v>2026</v>
      </c>
      <c r="F1023" s="1" t="inlineStr">
        <is>
          <t>MAYO</t>
        </is>
      </c>
      <c r="G1023" s="1" t="inlineStr">
        <is>
          <t>HAIFENG</t>
        </is>
      </c>
      <c r="H1023" s="1" t="inlineStr">
        <is>
          <t>HAIFENG 26/05/2026</t>
        </is>
      </c>
      <c r="I1023" s="4" t="n">
        <v>2</v>
      </c>
      <c r="J1023" s="6" t="n">
        <v>10</v>
      </c>
      <c r="K1023" s="6" t="n">
        <v>209.892953</v>
      </c>
      <c r="L1023" s="6">
        <f>I1023*K1023</f>
        <v/>
      </c>
      <c r="M1023" s="6">
        <f>K1023*4</f>
        <v/>
      </c>
      <c r="N1023" s="6" t="n">
        <v>850</v>
      </c>
    </row>
    <row r="1024">
      <c r="A1024" s="1" t="inlineStr">
        <is>
          <t>35432871574541</t>
        </is>
      </c>
      <c r="B1024" s="1" t="inlineStr">
        <is>
          <t>ANILLO CC COCO CRUSH ROSE GOLD-SILVER</t>
        </is>
      </c>
      <c r="C1024" s="1" t="inlineStr">
        <is>
          <t>7</t>
        </is>
      </c>
      <c r="D1024" s="1" t="inlineStr">
        <is>
          <t>05/02/2026</t>
        </is>
      </c>
      <c r="E1024" s="1" t="n">
        <v>2026</v>
      </c>
      <c r="F1024" s="1" t="inlineStr">
        <is>
          <t>FEBRERO</t>
        </is>
      </c>
      <c r="G1024" s="1" t="inlineStr">
        <is>
          <t>HAIFENG</t>
        </is>
      </c>
      <c r="H1024" s="1" t="inlineStr">
        <is>
          <t>HAIFENG 05/02/2026</t>
        </is>
      </c>
      <c r="I1024" s="4" t="n">
        <v>2</v>
      </c>
      <c r="J1024" s="6" t="n">
        <v>10</v>
      </c>
      <c r="K1024" s="6" t="n">
        <v>213.5429239</v>
      </c>
      <c r="L1024" s="6">
        <f>I1024*K1024</f>
        <v/>
      </c>
      <c r="M1024" s="6">
        <f>K1024*4</f>
        <v/>
      </c>
      <c r="N1024" s="6" t="n">
        <v>850</v>
      </c>
    </row>
    <row r="1025">
      <c r="A1025" s="1" t="inlineStr">
        <is>
          <t>35432871574541</t>
        </is>
      </c>
      <c r="B1025" s="1" t="inlineStr">
        <is>
          <t>ANILLO CC COCO CRUSH ROSE GOLD-SILVER</t>
        </is>
      </c>
      <c r="C1025" s="1" t="inlineStr">
        <is>
          <t>7</t>
        </is>
      </c>
      <c r="D1025" s="1" t="inlineStr">
        <is>
          <t>26/05/2026</t>
        </is>
      </c>
      <c r="E1025" s="1" t="n">
        <v>2026</v>
      </c>
      <c r="F1025" s="1" t="inlineStr">
        <is>
          <t>MAYO</t>
        </is>
      </c>
      <c r="G1025" s="1" t="inlineStr">
        <is>
          <t>HAIFENG</t>
        </is>
      </c>
      <c r="H1025" s="1" t="inlineStr">
        <is>
          <t>HAIFENG 26/05/2026</t>
        </is>
      </c>
      <c r="I1025" s="4" t="n">
        <v>2</v>
      </c>
      <c r="J1025" s="6" t="n">
        <v>10</v>
      </c>
      <c r="K1025" s="6" t="n">
        <v>209.892953</v>
      </c>
      <c r="L1025" s="6">
        <f>I1025*K1025</f>
        <v/>
      </c>
      <c r="M1025" s="6">
        <f>K1025*4</f>
        <v/>
      </c>
      <c r="N1025" s="6" t="n">
        <v>850</v>
      </c>
    </row>
    <row r="1026">
      <c r="A1026" s="1" t="inlineStr">
        <is>
          <t>35432871634445</t>
        </is>
      </c>
      <c r="B1026" s="1" t="inlineStr">
        <is>
          <t>COLLAR CC COCO CRUSH GOLD</t>
        </is>
      </c>
      <c r="C1026" s="1" t="inlineStr">
        <is>
          <t>Default Title</t>
        </is>
      </c>
      <c r="D1026" s="1" t="inlineStr">
        <is>
          <t>05/02/2026</t>
        </is>
      </c>
      <c r="E1026" s="1" t="n">
        <v>2026</v>
      </c>
      <c r="F1026" s="1" t="inlineStr">
        <is>
          <t>FEBRERO</t>
        </is>
      </c>
      <c r="G1026" s="1" t="inlineStr">
        <is>
          <t>HAIFENG</t>
        </is>
      </c>
      <c r="H1026" s="1" t="inlineStr">
        <is>
          <t>HAIFENG 05/02/2026</t>
        </is>
      </c>
      <c r="I1026" s="4" t="n">
        <v>3</v>
      </c>
      <c r="J1026" s="6" t="n">
        <v>7.99</v>
      </c>
      <c r="K1026" s="6" t="n">
        <v>170.6207962</v>
      </c>
      <c r="L1026" s="6">
        <f>I1026*K1026</f>
        <v/>
      </c>
      <c r="M1026" s="6">
        <f>K1026*4</f>
        <v/>
      </c>
      <c r="N1026" s="6" t="n">
        <v>680</v>
      </c>
    </row>
    <row r="1027">
      <c r="A1027" s="1" t="inlineStr">
        <is>
          <t>35432871634445</t>
        </is>
      </c>
      <c r="B1027" s="1" t="inlineStr">
        <is>
          <t>COLLAR CC COCO CRUSH GOLD</t>
        </is>
      </c>
      <c r="C1027" s="1" t="inlineStr">
        <is>
          <t>Default Title</t>
        </is>
      </c>
      <c r="D1027" s="1" t="inlineStr">
        <is>
          <t>16/06/2026</t>
        </is>
      </c>
      <c r="E1027" s="1" t="n">
        <v>2026</v>
      </c>
      <c r="F1027" s="1" t="inlineStr">
        <is>
          <t>JUNIO</t>
        </is>
      </c>
      <c r="G1027" s="1" t="inlineStr">
        <is>
          <t>HAIFENG</t>
        </is>
      </c>
      <c r="H1027" s="1" t="inlineStr">
        <is>
          <t>HAIFENG 16/06/2026</t>
        </is>
      </c>
      <c r="I1027" s="4" t="n">
        <v>3</v>
      </c>
      <c r="J1027" s="6" t="n">
        <v>7.99</v>
      </c>
      <c r="K1027" s="6" t="n">
        <v>167.9067056</v>
      </c>
      <c r="L1027" s="6">
        <f>I1027*K1027</f>
        <v/>
      </c>
      <c r="M1027" s="6">
        <f>K1027*4</f>
        <v/>
      </c>
      <c r="N1027" s="6" t="n">
        <v>680</v>
      </c>
    </row>
    <row r="1028">
      <c r="A1028" s="1" t="inlineStr">
        <is>
          <t>35432871709069</t>
        </is>
      </c>
      <c r="B1028" s="1" t="inlineStr">
        <is>
          <t>COLLAR CC COCO GOLD</t>
        </is>
      </c>
      <c r="C1028" s="1" t="inlineStr">
        <is>
          <t>Default Title</t>
        </is>
      </c>
      <c r="D1028" s="1" t="inlineStr">
        <is>
          <t>05/02/2026</t>
        </is>
      </c>
      <c r="E1028" s="1" t="n">
        <v>2026</v>
      </c>
      <c r="F1028" s="1" t="inlineStr">
        <is>
          <t>FEBRERO</t>
        </is>
      </c>
      <c r="G1028" s="1" t="inlineStr">
        <is>
          <t>HAIFENG</t>
        </is>
      </c>
      <c r="H1028" s="1" t="inlineStr">
        <is>
          <t>HAIFENG 05/02/2026</t>
        </is>
      </c>
      <c r="I1028" s="4" t="n">
        <v>3</v>
      </c>
      <c r="J1028" s="6" t="n">
        <v>7.99</v>
      </c>
      <c r="K1028" s="6" t="n">
        <v>170.6207962</v>
      </c>
      <c r="L1028" s="6">
        <f>I1028*K1028</f>
        <v/>
      </c>
      <c r="M1028" s="6">
        <f>K1028*4</f>
        <v/>
      </c>
      <c r="N1028" s="6" t="n">
        <v>680</v>
      </c>
    </row>
    <row r="1029">
      <c r="A1029" s="1" t="inlineStr">
        <is>
          <t>35432871814157</t>
        </is>
      </c>
      <c r="B1029" s="1" t="inlineStr">
        <is>
          <t>ARETES H MINI MAILLON GOLD-BLACK</t>
        </is>
      </c>
      <c r="C1029" s="1" t="inlineStr">
        <is>
          <t>Default Title</t>
        </is>
      </c>
      <c r="D1029" s="1" t="inlineStr">
        <is>
          <t>05/02/2026</t>
        </is>
      </c>
      <c r="E1029" s="1" t="n">
        <v>2026</v>
      </c>
      <c r="F1029" s="1" t="inlineStr">
        <is>
          <t>FEBRERO</t>
        </is>
      </c>
      <c r="G1029" s="1" t="inlineStr">
        <is>
          <t>HAIFENG</t>
        </is>
      </c>
      <c r="H1029" s="1" t="inlineStr">
        <is>
          <t>HAIFENG 05/02/2026</t>
        </is>
      </c>
      <c r="I1029" s="4" t="n">
        <v>3</v>
      </c>
      <c r="J1029" s="6" t="n">
        <v>8.9</v>
      </c>
      <c r="K1029" s="6" t="n">
        <v>190.0532022</v>
      </c>
      <c r="L1029" s="6">
        <f>I1029*K1029</f>
        <v/>
      </c>
      <c r="M1029" s="6">
        <f>K1029*4</f>
        <v/>
      </c>
      <c r="N1029" s="6" t="n">
        <v>750</v>
      </c>
    </row>
    <row r="1030">
      <c r="A1030" s="1" t="inlineStr">
        <is>
          <t>35432871939597</t>
        </is>
      </c>
      <c r="B1030" s="1" t="inlineStr">
        <is>
          <t>ARETES H MINI MAILLON ROSE GOLD-WHITE</t>
        </is>
      </c>
      <c r="C1030" s="1" t="inlineStr">
        <is>
          <t>Default Title</t>
        </is>
      </c>
      <c r="D1030" s="1" t="inlineStr">
        <is>
          <t>05/02/2026</t>
        </is>
      </c>
      <c r="E1030" s="1" t="n">
        <v>2026</v>
      </c>
      <c r="F1030" s="1" t="inlineStr">
        <is>
          <t>FEBRERO</t>
        </is>
      </c>
      <c r="G1030" s="1" t="inlineStr">
        <is>
          <t>HAIFENG</t>
        </is>
      </c>
      <c r="H1030" s="1" t="inlineStr">
        <is>
          <t>HAIFENG 05/02/2026</t>
        </is>
      </c>
      <c r="I1030" s="4" t="n">
        <v>3</v>
      </c>
      <c r="J1030" s="6" t="n">
        <v>8.9</v>
      </c>
      <c r="K1030" s="6" t="n">
        <v>190.0532022</v>
      </c>
      <c r="L1030" s="6">
        <f>I1030*K1030</f>
        <v/>
      </c>
      <c r="M1030" s="6">
        <f>K1030*4</f>
        <v/>
      </c>
      <c r="N1030" s="6" t="n">
        <v>750</v>
      </c>
    </row>
    <row r="1031">
      <c r="A1031" s="1" t="inlineStr">
        <is>
          <t>35432872053165</t>
        </is>
      </c>
      <c r="B1031" s="1" t="inlineStr">
        <is>
          <t>ARETES POP H SILVER-BLACK</t>
        </is>
      </c>
      <c r="C1031" s="1" t="inlineStr">
        <is>
          <t>Default Title</t>
        </is>
      </c>
      <c r="D1031" s="1" t="inlineStr">
        <is>
          <t>05/02/2026</t>
        </is>
      </c>
      <c r="E1031" s="1" t="n">
        <v>2026</v>
      </c>
      <c r="F1031" s="1" t="inlineStr">
        <is>
          <t>FEBRERO</t>
        </is>
      </c>
      <c r="G1031" s="1" t="inlineStr">
        <is>
          <t>HAIFENG</t>
        </is>
      </c>
      <c r="H1031" s="1" t="inlineStr">
        <is>
          <t>HAIFENG 05/02/2026</t>
        </is>
      </c>
      <c r="I1031" s="4" t="n">
        <v>3</v>
      </c>
      <c r="J1031" s="6" t="n">
        <v>8.9</v>
      </c>
      <c r="K1031" s="6" t="n">
        <v>190.0532022</v>
      </c>
      <c r="L1031" s="6">
        <f>I1031*K1031</f>
        <v/>
      </c>
      <c r="M1031" s="6">
        <f>K1031*4</f>
        <v/>
      </c>
      <c r="N1031" s="6" t="n">
        <v>750</v>
      </c>
    </row>
    <row r="1032">
      <c r="A1032" s="1" t="inlineStr">
        <is>
          <t>35432872053165</t>
        </is>
      </c>
      <c r="B1032" s="1" t="inlineStr">
        <is>
          <t>ARETES POP H SILVER-BLACK</t>
        </is>
      </c>
      <c r="C1032" s="1" t="inlineStr">
        <is>
          <t>Default Title</t>
        </is>
      </c>
      <c r="D1032" s="1" t="inlineStr">
        <is>
          <t>16/06/2026</t>
        </is>
      </c>
      <c r="E1032" s="1" t="n">
        <v>2026</v>
      </c>
      <c r="F1032" s="1" t="inlineStr">
        <is>
          <t>JUNIO</t>
        </is>
      </c>
      <c r="G1032" s="1" t="inlineStr">
        <is>
          <t>HAIFENG</t>
        </is>
      </c>
      <c r="H1032" s="1" t="inlineStr">
        <is>
          <t>HAIFENG 16/06/2026</t>
        </is>
      </c>
      <c r="I1032" s="4" t="n">
        <v>2</v>
      </c>
      <c r="J1032" s="6" t="n">
        <v>8.9</v>
      </c>
      <c r="K1032" s="6" t="n">
        <v>187.0299975</v>
      </c>
      <c r="L1032" s="6">
        <f>I1032*K1032</f>
        <v/>
      </c>
      <c r="M1032" s="6">
        <f>K1032*4</f>
        <v/>
      </c>
      <c r="N1032" s="6" t="n">
        <v>750</v>
      </c>
    </row>
    <row r="1033">
      <c r="A1033" s="1" t="inlineStr">
        <is>
          <t>35432872130573</t>
        </is>
      </c>
      <c r="B1033" s="1" t="inlineStr">
        <is>
          <t>ARETES POP H SILVER-WHITE</t>
        </is>
      </c>
      <c r="C1033" s="1" t="inlineStr">
        <is>
          <t>Default Title</t>
        </is>
      </c>
      <c r="D1033" s="1" t="inlineStr">
        <is>
          <t>05/02/2026</t>
        </is>
      </c>
      <c r="E1033" s="1" t="n">
        <v>2026</v>
      </c>
      <c r="F1033" s="1" t="inlineStr">
        <is>
          <t>FEBRERO</t>
        </is>
      </c>
      <c r="G1033" s="1" t="inlineStr">
        <is>
          <t>HAIFENG</t>
        </is>
      </c>
      <c r="H1033" s="1" t="inlineStr">
        <is>
          <t>HAIFENG 05/02/2026</t>
        </is>
      </c>
      <c r="I1033" s="4" t="n">
        <v>3</v>
      </c>
      <c r="J1033" s="6" t="n">
        <v>8.9</v>
      </c>
      <c r="K1033" s="6" t="n">
        <v>190.0532022</v>
      </c>
      <c r="L1033" s="6">
        <f>I1033*K1033</f>
        <v/>
      </c>
      <c r="M1033" s="6">
        <f>K1033*4</f>
        <v/>
      </c>
      <c r="N1033" s="6" t="n">
        <v>750</v>
      </c>
    </row>
    <row r="1034">
      <c r="A1034" s="1" t="inlineStr">
        <is>
          <t>35432872130573</t>
        </is>
      </c>
      <c r="B1034" s="1" t="inlineStr">
        <is>
          <t>ARETES POP H SILVER-WHITE</t>
        </is>
      </c>
      <c r="C1034" s="1" t="inlineStr">
        <is>
          <t>Default Title</t>
        </is>
      </c>
      <c r="D1034" s="1" t="inlineStr">
        <is>
          <t>16/06/2026</t>
        </is>
      </c>
      <c r="E1034" s="1" t="n">
        <v>2026</v>
      </c>
      <c r="F1034" s="1" t="inlineStr">
        <is>
          <t>JUNIO</t>
        </is>
      </c>
      <c r="G1034" s="1" t="inlineStr">
        <is>
          <t>HAIFENG</t>
        </is>
      </c>
      <c r="H1034" s="1" t="inlineStr">
        <is>
          <t>HAIFENG 16/06/2026</t>
        </is>
      </c>
      <c r="I1034" s="4" t="n">
        <v>2</v>
      </c>
      <c r="J1034" s="6" t="n">
        <v>8.9</v>
      </c>
      <c r="K1034" s="6" t="n">
        <v>187.0299975</v>
      </c>
      <c r="L1034" s="6">
        <f>I1034*K1034</f>
        <v/>
      </c>
      <c r="M1034" s="6">
        <f>K1034*4</f>
        <v/>
      </c>
      <c r="N1034" s="6" t="n">
        <v>750</v>
      </c>
    </row>
    <row r="1035">
      <c r="A1035" s="1" t="inlineStr">
        <is>
          <t>35432872271821</t>
        </is>
      </c>
      <c r="B1035" s="1" t="inlineStr">
        <is>
          <t>COLLAR H MINI MAILLON ROSE GOLD</t>
        </is>
      </c>
      <c r="C1035" s="1" t="inlineStr">
        <is>
          <t>Default Title</t>
        </is>
      </c>
      <c r="D1035" s="1" t="inlineStr">
        <is>
          <t>05/02/2026</t>
        </is>
      </c>
      <c r="E1035" s="1" t="n">
        <v>2026</v>
      </c>
      <c r="F1035" s="1" t="inlineStr">
        <is>
          <t>FEBRERO</t>
        </is>
      </c>
      <c r="G1035" s="1" t="inlineStr">
        <is>
          <t>HAIFENG</t>
        </is>
      </c>
      <c r="H1035" s="1" t="inlineStr">
        <is>
          <t>HAIFENG 05/02/2026</t>
        </is>
      </c>
      <c r="I1035" s="4" t="n">
        <v>3</v>
      </c>
      <c r="J1035" s="6" t="n">
        <v>6.99</v>
      </c>
      <c r="K1035" s="6" t="n">
        <v>149.2665038</v>
      </c>
      <c r="L1035" s="6">
        <f>I1035*K1035</f>
        <v/>
      </c>
      <c r="M1035" s="6">
        <f>K1035*4</f>
        <v/>
      </c>
      <c r="N1035" s="6" t="n">
        <v>575.98</v>
      </c>
    </row>
    <row r="1036">
      <c r="A1036" s="1" t="inlineStr">
        <is>
          <t>35432872383693</t>
        </is>
      </c>
      <c r="B1036" s="1" t="inlineStr">
        <is>
          <t>COLLAR H MINI MAILLON GOLD-BLACK</t>
        </is>
      </c>
      <c r="C1036" s="1" t="inlineStr">
        <is>
          <t>Default Title</t>
        </is>
      </c>
      <c r="D1036" s="1" t="inlineStr">
        <is>
          <t>05/02/2026</t>
        </is>
      </c>
      <c r="E1036" s="1" t="n">
        <v>2026</v>
      </c>
      <c r="F1036" s="1" t="inlineStr">
        <is>
          <t>FEBRERO</t>
        </is>
      </c>
      <c r="G1036" s="1" t="inlineStr">
        <is>
          <t>HAIFENG</t>
        </is>
      </c>
      <c r="H1036" s="1" t="inlineStr">
        <is>
          <t>HAIFENG 05/02/2026</t>
        </is>
      </c>
      <c r="I1036" s="4" t="n">
        <v>3</v>
      </c>
      <c r="J1036" s="6" t="n">
        <v>6.99</v>
      </c>
      <c r="K1036" s="6" t="n">
        <v>149.2665038</v>
      </c>
      <c r="L1036" s="6">
        <f>I1036*K1036</f>
        <v/>
      </c>
      <c r="M1036" s="6">
        <f>K1036*4</f>
        <v/>
      </c>
      <c r="N1036" s="6" t="n">
        <v>599</v>
      </c>
    </row>
    <row r="1037">
      <c r="A1037" s="1" t="inlineStr">
        <is>
          <t>35432872383693</t>
        </is>
      </c>
      <c r="B1037" s="1" t="inlineStr">
        <is>
          <t>COLLAR H MINI MAILLON GOLD-BLACK</t>
        </is>
      </c>
      <c r="C1037" s="1" t="inlineStr">
        <is>
          <t>Default Title</t>
        </is>
      </c>
      <c r="D1037" s="1" t="inlineStr">
        <is>
          <t>16/06/2026</t>
        </is>
      </c>
      <c r="E1037" s="1" t="n">
        <v>2026</v>
      </c>
      <c r="F1037" s="1" t="inlineStr">
        <is>
          <t>JUNIO</t>
        </is>
      </c>
      <c r="G1037" s="1" t="inlineStr">
        <is>
          <t>HAIFENG</t>
        </is>
      </c>
      <c r="H1037" s="1" t="inlineStr">
        <is>
          <t>HAIFENG 16/06/2026</t>
        </is>
      </c>
      <c r="I1037" s="4" t="n">
        <v>2</v>
      </c>
      <c r="J1037" s="6" t="n">
        <v>6.99</v>
      </c>
      <c r="K1037" s="6" t="n">
        <v>146.8920992</v>
      </c>
      <c r="L1037" s="6">
        <f>I1037*K1037</f>
        <v/>
      </c>
      <c r="M1037" s="6">
        <f>K1037*4</f>
        <v/>
      </c>
      <c r="N1037" s="6" t="n">
        <v>599</v>
      </c>
    </row>
    <row r="1038">
      <c r="A1038" s="1" t="inlineStr">
        <is>
          <t>35432872421549</t>
        </is>
      </c>
      <c r="B1038" s="1" t="inlineStr">
        <is>
          <t>ARETES POP H ROSE GOLD PINK</t>
        </is>
      </c>
      <c r="C1038" s="1" t="inlineStr">
        <is>
          <t>Default Title</t>
        </is>
      </c>
      <c r="D1038" s="1" t="inlineStr">
        <is>
          <t>05/02/2026</t>
        </is>
      </c>
      <c r="E1038" s="1" t="n">
        <v>2026</v>
      </c>
      <c r="F1038" s="1" t="inlineStr">
        <is>
          <t>FEBRERO</t>
        </is>
      </c>
      <c r="G1038" s="1" t="inlineStr">
        <is>
          <t>HAIFENG</t>
        </is>
      </c>
      <c r="H1038" s="1" t="inlineStr">
        <is>
          <t>HAIFENG 05/02/2026</t>
        </is>
      </c>
      <c r="I1038" s="4" t="n">
        <v>3</v>
      </c>
      <c r="J1038" s="6" t="n">
        <v>8.9</v>
      </c>
      <c r="K1038" s="6" t="n">
        <v>190.0532022</v>
      </c>
      <c r="L1038" s="6">
        <f>I1038*K1038</f>
        <v/>
      </c>
      <c r="M1038" s="6">
        <f>K1038*4</f>
        <v/>
      </c>
      <c r="N1038" s="6" t="n">
        <v>0</v>
      </c>
    </row>
    <row r="1039">
      <c r="A1039" s="1" t="inlineStr">
        <is>
          <t>35432872592173</t>
        </is>
      </c>
      <c r="B1039" s="1" t="inlineStr">
        <is>
          <t>BRAZALETE MINI CLIC CHAINE GOLD-BLACK</t>
        </is>
      </c>
      <c r="C1039" s="1" t="inlineStr">
        <is>
          <t>Default Title</t>
        </is>
      </c>
      <c r="D1039" s="1" t="inlineStr">
        <is>
          <t>05/02/2026</t>
        </is>
      </c>
      <c r="E1039" s="1" t="n">
        <v>2026</v>
      </c>
      <c r="F1039" s="1" t="inlineStr">
        <is>
          <t>FEBRERO</t>
        </is>
      </c>
      <c r="G1039" s="1" t="inlineStr">
        <is>
          <t>HAIFENG</t>
        </is>
      </c>
      <c r="H1039" s="1" t="inlineStr">
        <is>
          <t>HAIFENG 05/02/2026</t>
        </is>
      </c>
      <c r="I1039" s="4" t="n">
        <v>3</v>
      </c>
      <c r="J1039" s="6" t="n">
        <v>18</v>
      </c>
      <c r="K1039" s="6" t="n">
        <v>384.377263</v>
      </c>
      <c r="L1039" s="6">
        <f>I1039*K1039</f>
        <v/>
      </c>
      <c r="M1039" s="6">
        <f>K1039*4</f>
        <v/>
      </c>
      <c r="N1039" s="6" t="n">
        <v>1499</v>
      </c>
    </row>
    <row r="1040">
      <c r="A1040" s="1" t="inlineStr">
        <is>
          <t>35432872592173</t>
        </is>
      </c>
      <c r="B1040" s="1" t="inlineStr">
        <is>
          <t>BRAZALETE MINI CLIC CHAINE GOLD-BLACK</t>
        </is>
      </c>
      <c r="C1040" s="1" t="inlineStr">
        <is>
          <t>Default Title</t>
        </is>
      </c>
      <c r="D1040" s="1" t="inlineStr">
        <is>
          <t>16/06/2026</t>
        </is>
      </c>
      <c r="E1040" s="1" t="n">
        <v>2026</v>
      </c>
      <c r="F1040" s="1" t="inlineStr">
        <is>
          <t>JUNIO</t>
        </is>
      </c>
      <c r="G1040" s="1" t="inlineStr">
        <is>
          <t>HAIFENG</t>
        </is>
      </c>
      <c r="H1040" s="1" t="inlineStr">
        <is>
          <t>HAIFENG 16/06/2026</t>
        </is>
      </c>
      <c r="I1040" s="4" t="n">
        <v>2</v>
      </c>
      <c r="J1040" s="6" t="n">
        <v>18</v>
      </c>
      <c r="K1040" s="6" t="n">
        <v>378.2629163</v>
      </c>
      <c r="L1040" s="6">
        <f>I1040*K1040</f>
        <v/>
      </c>
      <c r="M1040" s="6">
        <f>K1040*4</f>
        <v/>
      </c>
      <c r="N1040" s="6" t="n">
        <v>1499</v>
      </c>
    </row>
    <row r="1041">
      <c r="A1041" s="1" t="inlineStr">
        <is>
          <t>35432872669581</t>
        </is>
      </c>
      <c r="B1041" s="1" t="inlineStr">
        <is>
          <t>BRAZALETE MINI CLIC KELLY ROSE GOLD</t>
        </is>
      </c>
      <c r="C1041" s="1" t="inlineStr">
        <is>
          <t>Default Title</t>
        </is>
      </c>
      <c r="D1041" s="1" t="inlineStr">
        <is>
          <t>05/02/2026</t>
        </is>
      </c>
      <c r="E1041" s="1" t="n">
        <v>2026</v>
      </c>
      <c r="F1041" s="1" t="inlineStr">
        <is>
          <t>FEBRERO</t>
        </is>
      </c>
      <c r="G1041" s="1" t="inlineStr">
        <is>
          <t>HAIFENG</t>
        </is>
      </c>
      <c r="H1041" s="1" t="inlineStr">
        <is>
          <t>HAIFENG 05/02/2026</t>
        </is>
      </c>
      <c r="I1041" s="4" t="n">
        <v>3</v>
      </c>
      <c r="J1041" s="6" t="n">
        <v>18</v>
      </c>
      <c r="K1041" s="6" t="n">
        <v>384.377263</v>
      </c>
      <c r="L1041" s="6">
        <f>I1041*K1041</f>
        <v/>
      </c>
      <c r="M1041" s="6">
        <f>K1041*4</f>
        <v/>
      </c>
      <c r="N1041" s="6" t="n">
        <v>1499</v>
      </c>
    </row>
    <row r="1042">
      <c r="A1042" s="1" t="inlineStr">
        <is>
          <t>35432872669581</t>
        </is>
      </c>
      <c r="B1042" s="1" t="inlineStr">
        <is>
          <t>BRAZALETE MINI CLIC KELLY ROSE GOLD</t>
        </is>
      </c>
      <c r="C1042" s="1" t="inlineStr">
        <is>
          <t>Default Title</t>
        </is>
      </c>
      <c r="D1042" s="1" t="inlineStr">
        <is>
          <t>26/05/2026</t>
        </is>
      </c>
      <c r="E1042" s="1" t="n">
        <v>2026</v>
      </c>
      <c r="F1042" s="1" t="inlineStr">
        <is>
          <t>MAYO</t>
        </is>
      </c>
      <c r="G1042" s="1" t="inlineStr">
        <is>
          <t>HAIFENG</t>
        </is>
      </c>
      <c r="H1042" s="1" t="inlineStr">
        <is>
          <t>HAIFENG 26/05/2026</t>
        </is>
      </c>
      <c r="I1042" s="4" t="n">
        <v>5</v>
      </c>
      <c r="J1042" s="6" t="n">
        <v>18</v>
      </c>
      <c r="K1042" s="6" t="n">
        <v>377.8073153</v>
      </c>
      <c r="L1042" s="6">
        <f>I1042*K1042</f>
        <v/>
      </c>
      <c r="M1042" s="6">
        <f>K1042*4</f>
        <v/>
      </c>
      <c r="N1042" s="6" t="n">
        <v>1499</v>
      </c>
    </row>
    <row r="1043">
      <c r="A1043" s="1" t="inlineStr">
        <is>
          <t>35432872781453</t>
        </is>
      </c>
      <c r="B1043" s="1" t="inlineStr">
        <is>
          <t>BRAZALETE ELSA PERETTI SILVER</t>
        </is>
      </c>
      <c r="C1043" s="1" t="inlineStr">
        <is>
          <t>Default Title</t>
        </is>
      </c>
      <c r="D1043" s="1" t="inlineStr">
        <is>
          <t>05/02/2026</t>
        </is>
      </c>
      <c r="E1043" s="1" t="n">
        <v>2026</v>
      </c>
      <c r="F1043" s="1" t="inlineStr">
        <is>
          <t>FEBRERO</t>
        </is>
      </c>
      <c r="G1043" s="1" t="inlineStr">
        <is>
          <t>HAIFENG</t>
        </is>
      </c>
      <c r="H1043" s="1" t="inlineStr">
        <is>
          <t>HAIFENG 05/02/2026</t>
        </is>
      </c>
      <c r="I1043" s="4" t="n">
        <v>3</v>
      </c>
      <c r="J1043" s="6" t="n">
        <v>6</v>
      </c>
      <c r="K1043" s="6" t="n">
        <v>128.1257543</v>
      </c>
      <c r="L1043" s="6">
        <f>I1043*K1043</f>
        <v/>
      </c>
      <c r="M1043" s="6">
        <f>K1043*4</f>
        <v/>
      </c>
      <c r="N1043" s="6" t="n">
        <v>0</v>
      </c>
    </row>
    <row r="1044">
      <c r="A1044" s="1" t="inlineStr">
        <is>
          <t>35432872862253</t>
        </is>
      </c>
      <c r="B1044" s="1" t="inlineStr">
        <is>
          <t>PULSERA CD D-LUCK GOLD WHITE</t>
        </is>
      </c>
      <c r="C1044" s="1" t="inlineStr">
        <is>
          <t>Default Title</t>
        </is>
      </c>
      <c r="D1044" s="1" t="inlineStr">
        <is>
          <t>05/02/2026</t>
        </is>
      </c>
      <c r="E1044" s="1" t="n">
        <v>2026</v>
      </c>
      <c r="F1044" s="1" t="inlineStr">
        <is>
          <t>FEBRERO</t>
        </is>
      </c>
      <c r="G1044" s="1" t="inlineStr">
        <is>
          <t>HAIFENG</t>
        </is>
      </c>
      <c r="H1044" s="1" t="inlineStr">
        <is>
          <t>HAIFENG 05/02/2026</t>
        </is>
      </c>
      <c r="I1044" s="4" t="n">
        <v>2</v>
      </c>
      <c r="J1044" s="6" t="n">
        <v>18</v>
      </c>
      <c r="K1044" s="6" t="n">
        <v>384.377263</v>
      </c>
      <c r="L1044" s="6">
        <f>I1044*K1044</f>
        <v/>
      </c>
      <c r="M1044" s="6">
        <f>K1044*4</f>
        <v/>
      </c>
      <c r="N1044" s="6" t="n">
        <v>1483</v>
      </c>
    </row>
    <row r="1045">
      <c r="A1045" s="1" t="inlineStr">
        <is>
          <t>35997321035725</t>
        </is>
      </c>
      <c r="B1045" s="1" t="inlineStr">
        <is>
          <t>ANILLO JUSTE UN CLOU SILVER CON ZIRCONIA-6</t>
        </is>
      </c>
      <c r="C1045" s="1" t="n">
        <v>6</v>
      </c>
      <c r="D1045" s="1" t="inlineStr">
        <is>
          <t>25/09/2025</t>
        </is>
      </c>
      <c r="E1045" s="1" t="n">
        <v>2025</v>
      </c>
      <c r="F1045" s="1" t="inlineStr">
        <is>
          <t>SEPTIEMBRE</t>
        </is>
      </c>
      <c r="G1045" s="1" t="inlineStr">
        <is>
          <t>HAIFENG</t>
        </is>
      </c>
      <c r="H1045" s="1" t="inlineStr">
        <is>
          <t>HAIFENG 25/09/2025</t>
        </is>
      </c>
      <c r="I1045" s="4" t="n">
        <v>2</v>
      </c>
      <c r="J1045" s="6" t="n">
        <v>7.5</v>
      </c>
      <c r="K1045" s="6" t="n">
        <v>158.2266433</v>
      </c>
      <c r="L1045" s="6">
        <f>I1045*K1045</f>
        <v/>
      </c>
      <c r="M1045" s="6">
        <f>K1045*4</f>
        <v/>
      </c>
      <c r="N1045" s="6" t="n">
        <v>650</v>
      </c>
    </row>
    <row r="1046">
      <c r="A1046" s="1" t="inlineStr">
        <is>
          <t>36002950539532</t>
        </is>
      </c>
      <c r="B1046" s="1" t="inlineStr">
        <is>
          <t>COLLAR T CORAZÓN</t>
        </is>
      </c>
      <c r="C1046" s="1" t="inlineStr">
        <is>
          <t>Default Title</t>
        </is>
      </c>
      <c r="D1046" s="1" t="inlineStr">
        <is>
          <t>06/09/2025</t>
        </is>
      </c>
      <c r="E1046" s="1" t="n">
        <v>2025</v>
      </c>
      <c r="F1046" s="1" t="inlineStr">
        <is>
          <t>SEPTIEMBRE</t>
        </is>
      </c>
      <c r="G1046" s="1" t="inlineStr">
        <is>
          <t>NANCY</t>
        </is>
      </c>
      <c r="H1046" s="1" t="inlineStr">
        <is>
          <t>NANCY 06/09/2025</t>
        </is>
      </c>
      <c r="I1046" s="4" t="n">
        <v>3</v>
      </c>
      <c r="J1046" s="6" t="n">
        <v>6.99</v>
      </c>
      <c r="K1046" s="6" t="n">
        <v>162.7667605</v>
      </c>
      <c r="L1046" s="6">
        <f>I1046*K1046</f>
        <v/>
      </c>
      <c r="M1046" s="6">
        <f>K1046*4</f>
        <v/>
      </c>
      <c r="N1046" s="6" t="n">
        <v>850</v>
      </c>
    </row>
    <row r="1047">
      <c r="A1047" s="1" t="inlineStr">
        <is>
          <t>36002950539532</t>
        </is>
      </c>
      <c r="B1047" s="1" t="inlineStr">
        <is>
          <t>COLLAR T CORAZÓN</t>
        </is>
      </c>
      <c r="C1047" s="1" t="inlineStr">
        <is>
          <t>Default Title</t>
        </is>
      </c>
      <c r="D1047" s="1" t="inlineStr">
        <is>
          <t>01/03/2026</t>
        </is>
      </c>
      <c r="E1047" s="1" t="n">
        <v>2026</v>
      </c>
      <c r="F1047" s="1" t="inlineStr">
        <is>
          <t>MARZO</t>
        </is>
      </c>
      <c r="G1047" s="1" t="inlineStr">
        <is>
          <t>NANCY</t>
        </is>
      </c>
      <c r="H1047" s="1" t="inlineStr">
        <is>
          <t>NANCY 01/03/2026</t>
        </is>
      </c>
      <c r="I1047" s="4" t="n">
        <v>3</v>
      </c>
      <c r="J1047" s="6" t="n">
        <v>8.59</v>
      </c>
      <c r="K1047" s="6" t="n">
        <v>217.3589405</v>
      </c>
      <c r="L1047" s="6">
        <f>I1047*K1047</f>
        <v/>
      </c>
      <c r="M1047" s="6">
        <f>K1047*4</f>
        <v/>
      </c>
      <c r="N1047" s="6" t="n">
        <v>850</v>
      </c>
    </row>
    <row r="1048">
      <c r="A1048" s="1" t="inlineStr">
        <is>
          <t>36002950539532</t>
        </is>
      </c>
      <c r="B1048" s="1" t="inlineStr">
        <is>
          <t>COLLAR T CORAZÓN</t>
        </is>
      </c>
      <c r="C1048" s="1" t="inlineStr">
        <is>
          <t>Default Title</t>
        </is>
      </c>
      <c r="D1048" s="1" t="inlineStr">
        <is>
          <t>08/05/2026</t>
        </is>
      </c>
      <c r="E1048" s="1" t="n">
        <v>2026</v>
      </c>
      <c r="F1048" s="1" t="inlineStr">
        <is>
          <t>MAYO</t>
        </is>
      </c>
      <c r="G1048" s="1" t="inlineStr">
        <is>
          <t>NANCY</t>
        </is>
      </c>
      <c r="H1048" s="1" t="inlineStr">
        <is>
          <t>NANCY 08/05/2026</t>
        </is>
      </c>
      <c r="I1048" s="4" t="n">
        <v>10</v>
      </c>
      <c r="J1048" s="6" t="n">
        <v>9.99</v>
      </c>
      <c r="K1048" s="6" t="n">
        <v>236.3410285</v>
      </c>
      <c r="L1048" s="6">
        <f>I1048*K1048</f>
        <v/>
      </c>
      <c r="M1048" s="6">
        <f>K1048*4</f>
        <v/>
      </c>
      <c r="N1048" s="6" t="n">
        <v>850</v>
      </c>
    </row>
    <row r="1049">
      <c r="A1049" s="1" t="inlineStr">
        <is>
          <t>36002951405580</t>
        </is>
      </c>
      <c r="B1049" s="1" t="inlineStr">
        <is>
          <t>COLLAR CLAVO GOLD CON ZIRCONIA</t>
        </is>
      </c>
      <c r="C1049" s="1" t="inlineStr">
        <is>
          <t>40cm de largo x 5cm de extensión</t>
        </is>
      </c>
      <c r="D1049" s="1" t="inlineStr">
        <is>
          <t>01/09/2025</t>
        </is>
      </c>
      <c r="E1049" s="1" t="n">
        <v>2025</v>
      </c>
      <c r="F1049" s="1" t="inlineStr">
        <is>
          <t>SEPTIEMBRE</t>
        </is>
      </c>
      <c r="G1049" s="1" t="inlineStr">
        <is>
          <t>HAIFENG</t>
        </is>
      </c>
      <c r="H1049" s="1" t="inlineStr">
        <is>
          <t>HAIFENG 01/09/2025</t>
        </is>
      </c>
      <c r="I1049" s="4" t="n">
        <v>3</v>
      </c>
      <c r="J1049" s="6" t="n">
        <v>6</v>
      </c>
      <c r="K1049" s="6" t="n">
        <v>127.5340264</v>
      </c>
      <c r="L1049" s="6">
        <f>I1049*K1049</f>
        <v/>
      </c>
      <c r="M1049" s="6">
        <f>K1049*4</f>
        <v/>
      </c>
      <c r="N1049" s="6" t="n">
        <v>618</v>
      </c>
    </row>
    <row r="1050">
      <c r="A1050" s="1" t="inlineStr">
        <is>
          <t>36002951405580</t>
        </is>
      </c>
      <c r="B1050" s="1" t="inlineStr">
        <is>
          <t>COLLAR CLAVO GOLD CON ZIRCONIA</t>
        </is>
      </c>
      <c r="C1050" s="1" t="inlineStr">
        <is>
          <t>40cm de largo x 5cm de extensión</t>
        </is>
      </c>
      <c r="D1050" s="1" t="inlineStr">
        <is>
          <t>25/09/2025</t>
        </is>
      </c>
      <c r="E1050" s="1" t="n">
        <v>2025</v>
      </c>
      <c r="F1050" s="1" t="inlineStr">
        <is>
          <t>SEPTIEMBRE</t>
        </is>
      </c>
      <c r="G1050" s="1" t="inlineStr">
        <is>
          <t>HAIFENG</t>
        </is>
      </c>
      <c r="H1050" s="1" t="inlineStr">
        <is>
          <t>HAIFENG 25/09/2025</t>
        </is>
      </c>
      <c r="I1050" s="4" t="n">
        <v>3</v>
      </c>
      <c r="J1050" s="6" t="n">
        <v>7.5</v>
      </c>
      <c r="K1050" s="6" t="n">
        <v>158.2266433</v>
      </c>
      <c r="L1050" s="6">
        <f>I1050*K1050</f>
        <v/>
      </c>
      <c r="M1050" s="6">
        <f>K1050*4</f>
        <v/>
      </c>
      <c r="N1050" s="6" t="n">
        <v>618</v>
      </c>
    </row>
    <row r="1051">
      <c r="A1051" s="1" t="inlineStr">
        <is>
          <t>36002951405580</t>
        </is>
      </c>
      <c r="B1051" s="1" t="inlineStr">
        <is>
          <t>COLLAR CLAVO GOLD CON ZIRCONIA</t>
        </is>
      </c>
      <c r="C1051" s="1" t="inlineStr">
        <is>
          <t>40cm de largo x 5cm de extensión</t>
        </is>
      </c>
      <c r="D1051" s="1" t="inlineStr">
        <is>
          <t>11/11/2025</t>
        </is>
      </c>
      <c r="E1051" s="1" t="n">
        <v>2025</v>
      </c>
      <c r="F1051" s="1" t="inlineStr">
        <is>
          <t>NOVIEMBRE</t>
        </is>
      </c>
      <c r="G1051" s="1" t="inlineStr">
        <is>
          <t>HAIFENG</t>
        </is>
      </c>
      <c r="H1051" s="1" t="inlineStr">
        <is>
          <t>HAIFENG 11/11/2025</t>
        </is>
      </c>
      <c r="I1051" s="4" t="n">
        <v>5</v>
      </c>
      <c r="J1051" s="6" t="n">
        <v>6</v>
      </c>
      <c r="K1051" s="6" t="n">
        <v>126.3629907</v>
      </c>
      <c r="L1051" s="6">
        <f>I1051*K1051</f>
        <v/>
      </c>
      <c r="M1051" s="6">
        <f>K1051*4</f>
        <v/>
      </c>
      <c r="N1051" s="6" t="n">
        <v>618</v>
      </c>
    </row>
    <row r="1052">
      <c r="A1052" s="1" t="inlineStr">
        <is>
          <t>36002951405580</t>
        </is>
      </c>
      <c r="B1052" s="1" t="inlineStr">
        <is>
          <t>COLLAR CLAVO GOLD CON ZIRCONIA</t>
        </is>
      </c>
      <c r="C1052" s="1" t="inlineStr">
        <is>
          <t>40cm de largo x 5cm de extensión</t>
        </is>
      </c>
      <c r="D1052" s="1" t="inlineStr">
        <is>
          <t>03/12/2025</t>
        </is>
      </c>
      <c r="E1052" s="1" t="n">
        <v>2025</v>
      </c>
      <c r="F1052" s="1" t="inlineStr">
        <is>
          <t>DICIEMBRE</t>
        </is>
      </c>
      <c r="G1052" s="1" t="inlineStr">
        <is>
          <t>HAIFENG</t>
        </is>
      </c>
      <c r="H1052" s="1" t="inlineStr">
        <is>
          <t>HAIFENG 03/12/2025</t>
        </is>
      </c>
      <c r="I1052" s="4" t="n">
        <v>5</v>
      </c>
      <c r="J1052" s="6" t="n">
        <v>6</v>
      </c>
      <c r="K1052" s="6" t="n">
        <v>125.5029601</v>
      </c>
      <c r="L1052" s="6">
        <f>I1052*K1052</f>
        <v/>
      </c>
      <c r="M1052" s="6">
        <f>K1052*4</f>
        <v/>
      </c>
      <c r="N1052" s="6" t="n">
        <v>618</v>
      </c>
    </row>
    <row r="1053">
      <c r="A1053" s="1" t="inlineStr">
        <is>
          <t>36002951405580</t>
        </is>
      </c>
      <c r="B1053" s="1" t="inlineStr">
        <is>
          <t>COLLAR CLAVO GOLD CON ZIRCONIA</t>
        </is>
      </c>
      <c r="C1053" s="1" t="inlineStr">
        <is>
          <t>40cm de largo x 5cm de extensión</t>
        </is>
      </c>
      <c r="D1053" s="1" t="inlineStr">
        <is>
          <t>16/04/2026</t>
        </is>
      </c>
      <c r="E1053" s="1" t="n">
        <v>2026</v>
      </c>
      <c r="F1053" s="1" t="inlineStr">
        <is>
          <t>ABRIL</t>
        </is>
      </c>
      <c r="G1053" s="1" t="inlineStr">
        <is>
          <t>HAIFENG</t>
        </is>
      </c>
      <c r="H1053" s="1" t="inlineStr">
        <is>
          <t>HAIFENG 16/04/2026</t>
        </is>
      </c>
      <c r="I1053" s="4" t="n">
        <v>15</v>
      </c>
      <c r="J1053" s="6" t="n">
        <v>6</v>
      </c>
      <c r="K1053" s="6" t="n">
        <v>126.1888415</v>
      </c>
      <c r="L1053" s="6">
        <f>I1053*K1053</f>
        <v/>
      </c>
      <c r="M1053" s="6">
        <f>K1053*4</f>
        <v/>
      </c>
      <c r="N1053" s="6" t="n">
        <v>618</v>
      </c>
    </row>
    <row r="1054">
      <c r="A1054" s="1" t="inlineStr">
        <is>
          <t>36002955634060</t>
        </is>
      </c>
      <c r="B1054" s="1" t="n"/>
      <c r="C1054" s="1" t="inlineStr">
        <is>
          <t>45cm</t>
        </is>
      </c>
      <c r="D1054" s="1" t="inlineStr">
        <is>
          <t>07/01/2026</t>
        </is>
      </c>
      <c r="E1054" s="1" t="n">
        <v>2026</v>
      </c>
      <c r="F1054" s="1" t="inlineStr">
        <is>
          <t>ENERO</t>
        </is>
      </c>
      <c r="G1054" s="1" t="inlineStr">
        <is>
          <t>CYNTHIA</t>
        </is>
      </c>
      <c r="H1054" s="1" t="inlineStr">
        <is>
          <t>CYNTHIA 07/01/2026</t>
        </is>
      </c>
      <c r="I1054" s="4" t="n">
        <v>5</v>
      </c>
      <c r="J1054" s="6" t="n">
        <v>12.8</v>
      </c>
      <c r="K1054" s="6" t="n">
        <v>340.3190742</v>
      </c>
      <c r="L1054" s="6">
        <f>I1054*K1054</f>
        <v/>
      </c>
      <c r="M1054" s="6">
        <f>K1054*4</f>
        <v/>
      </c>
      <c r="N1054" s="6" t="n">
        <v>1099</v>
      </c>
    </row>
    <row r="1055">
      <c r="A1055" s="1" t="inlineStr">
        <is>
          <t>36002958128780</t>
        </is>
      </c>
      <c r="B1055" s="1" t="inlineStr">
        <is>
          <t>COLLAR CLAVO GOLD MZ</t>
        </is>
      </c>
      <c r="C1055" s="1" t="inlineStr">
        <is>
          <t>40cm de largo x 5cm de extensión</t>
        </is>
      </c>
      <c r="D1055" s="1" t="inlineStr">
        <is>
          <t>25/09/2025</t>
        </is>
      </c>
      <c r="E1055" s="1" t="n">
        <v>2025</v>
      </c>
      <c r="F1055" s="1" t="inlineStr">
        <is>
          <t>SEPTIEMBRE</t>
        </is>
      </c>
      <c r="G1055" s="1" t="inlineStr">
        <is>
          <t>HAIFENG</t>
        </is>
      </c>
      <c r="H1055" s="1" t="inlineStr">
        <is>
          <t>HAIFENG 25/09/2025</t>
        </is>
      </c>
      <c r="I1055" s="4" t="n">
        <v>3</v>
      </c>
      <c r="J1055" s="6" t="n">
        <v>7</v>
      </c>
      <c r="K1055" s="6" t="n">
        <v>147.6782004</v>
      </c>
      <c r="L1055" s="6">
        <f>I1055*K1055</f>
        <v/>
      </c>
      <c r="M1055" s="6">
        <f>K1055*4</f>
        <v/>
      </c>
      <c r="N1055" s="6" t="n">
        <v>599</v>
      </c>
    </row>
    <row r="1056">
      <c r="A1056" s="1" t="inlineStr">
        <is>
          <t>36002958128780</t>
        </is>
      </c>
      <c r="B1056" s="1" t="inlineStr">
        <is>
          <t>COLLAR CLAVO GOLD MZ</t>
        </is>
      </c>
      <c r="C1056" s="1" t="inlineStr">
        <is>
          <t>42cm de largo x 3cm de extensión</t>
        </is>
      </c>
      <c r="D1056" s="1" t="inlineStr">
        <is>
          <t>16/04/2026</t>
        </is>
      </c>
      <c r="E1056" s="1" t="n">
        <v>2026</v>
      </c>
      <c r="F1056" s="1" t="inlineStr">
        <is>
          <t>ABRIL</t>
        </is>
      </c>
      <c r="G1056" s="1" t="inlineStr">
        <is>
          <t>HAIFENG</t>
        </is>
      </c>
      <c r="H1056" s="1" t="inlineStr">
        <is>
          <t>HAIFENG 16/04/2026</t>
        </is>
      </c>
      <c r="I1056" s="4" t="n">
        <v>4</v>
      </c>
      <c r="J1056" s="6" t="n">
        <v>7</v>
      </c>
      <c r="K1056" s="6" t="n">
        <v>147.2203151</v>
      </c>
      <c r="L1056" s="6">
        <f>I1056*K1056</f>
        <v/>
      </c>
      <c r="M1056" s="6">
        <f>K1056*4</f>
        <v/>
      </c>
      <c r="N1056" s="6" t="n">
        <v>599</v>
      </c>
    </row>
    <row r="1057">
      <c r="A1057" s="1" t="inlineStr">
        <is>
          <t>36002958128780</t>
        </is>
      </c>
      <c r="B1057" s="1" t="inlineStr">
        <is>
          <t>COLLAR CLAVO GOLD MZ</t>
        </is>
      </c>
      <c r="C1057" s="1" t="inlineStr">
        <is>
          <t>42cm de largo x 3cm de extensión</t>
        </is>
      </c>
      <c r="D1057" s="1" t="inlineStr">
        <is>
          <t>06/05/2026</t>
        </is>
      </c>
      <c r="E1057" s="1" t="n">
        <v>2026</v>
      </c>
      <c r="F1057" s="1" t="inlineStr">
        <is>
          <t>MAYO</t>
        </is>
      </c>
      <c r="G1057" s="1" t="inlineStr">
        <is>
          <t>HAIFENG</t>
        </is>
      </c>
      <c r="H1057" s="1" t="inlineStr">
        <is>
          <t>HAIFENG 06/05/2026</t>
        </is>
      </c>
      <c r="I1057" s="4" t="n">
        <v>3</v>
      </c>
      <c r="J1057" s="6" t="n">
        <v>7</v>
      </c>
      <c r="K1057" s="6" t="n">
        <v>148.5304959</v>
      </c>
      <c r="L1057" s="6">
        <f>I1057*K1057</f>
        <v/>
      </c>
      <c r="M1057" s="6">
        <f>K1057*4</f>
        <v/>
      </c>
      <c r="N1057" s="6" t="n">
        <v>599</v>
      </c>
    </row>
    <row r="1058">
      <c r="A1058" s="1" t="inlineStr">
        <is>
          <t>36568531067821</t>
        </is>
      </c>
      <c r="B1058" s="1" t="inlineStr">
        <is>
          <t>ARETES MM SILVER</t>
        </is>
      </c>
      <c r="C1058" s="1" t="inlineStr">
        <is>
          <t>Default Title</t>
        </is>
      </c>
      <c r="D1058" s="1" t="inlineStr">
        <is>
          <t>01/09/2025</t>
        </is>
      </c>
      <c r="E1058" s="1" t="n">
        <v>2025</v>
      </c>
      <c r="F1058" s="1" t="inlineStr">
        <is>
          <t>SEPTIEMBRE</t>
        </is>
      </c>
      <c r="G1058" s="1" t="inlineStr">
        <is>
          <t>HAIFENG</t>
        </is>
      </c>
      <c r="H1058" s="1" t="inlineStr">
        <is>
          <t>HAIFENG 01/09/2025</t>
        </is>
      </c>
      <c r="I1058" s="4" t="n">
        <v>2</v>
      </c>
      <c r="J1058" s="6" t="n">
        <v>7</v>
      </c>
      <c r="K1058" s="6" t="n">
        <v>148.7896974</v>
      </c>
      <c r="L1058" s="6">
        <f>I1058*K1058</f>
        <v/>
      </c>
      <c r="M1058" s="6">
        <f>K1058*4</f>
        <v/>
      </c>
      <c r="N1058" s="6" t="n">
        <v>599</v>
      </c>
    </row>
    <row r="1059">
      <c r="A1059" s="1" t="inlineStr">
        <is>
          <t>36568531067821</t>
        </is>
      </c>
      <c r="B1059" s="1" t="inlineStr">
        <is>
          <t>ARETES MM SILVER</t>
        </is>
      </c>
      <c r="C1059" s="1" t="inlineStr">
        <is>
          <t>Default Title</t>
        </is>
      </c>
      <c r="D1059" s="1" t="inlineStr">
        <is>
          <t>03/12/2025</t>
        </is>
      </c>
      <c r="E1059" s="1" t="n">
        <v>2025</v>
      </c>
      <c r="F1059" s="1" t="inlineStr">
        <is>
          <t>DICIEMBRE</t>
        </is>
      </c>
      <c r="G1059" s="1" t="inlineStr">
        <is>
          <t>HAIFENG</t>
        </is>
      </c>
      <c r="H1059" s="1" t="inlineStr">
        <is>
          <t>HAIFENG 03/12/2025</t>
        </is>
      </c>
      <c r="I1059" s="4" t="n">
        <v>6</v>
      </c>
      <c r="J1059" s="6" t="n">
        <v>7</v>
      </c>
      <c r="K1059" s="6" t="n">
        <v>146.4201201</v>
      </c>
      <c r="L1059" s="6">
        <f>I1059*K1059</f>
        <v/>
      </c>
      <c r="M1059" s="6">
        <f>K1059*4</f>
        <v/>
      </c>
      <c r="N1059" s="6" t="n">
        <v>599</v>
      </c>
    </row>
    <row r="1060">
      <c r="A1060" s="1" t="inlineStr">
        <is>
          <t>36568531067821</t>
        </is>
      </c>
      <c r="B1060" s="1" t="inlineStr">
        <is>
          <t>ARETES MM SILVER</t>
        </is>
      </c>
      <c r="C1060" s="1" t="inlineStr">
        <is>
          <t>Default Title</t>
        </is>
      </c>
      <c r="D1060" s="1" t="inlineStr">
        <is>
          <t>11/03/2026</t>
        </is>
      </c>
      <c r="E1060" s="1" t="n">
        <v>2026</v>
      </c>
      <c r="F1060" s="1" t="inlineStr">
        <is>
          <t>MARZO</t>
        </is>
      </c>
      <c r="G1060" s="1" t="inlineStr">
        <is>
          <t>HAIFENG</t>
        </is>
      </c>
      <c r="H1060" s="1" t="inlineStr">
        <is>
          <t>HAIFENG 11/03/2026</t>
        </is>
      </c>
      <c r="I1060" s="4" t="n">
        <v>10</v>
      </c>
      <c r="J1060" s="6" t="n">
        <v>7</v>
      </c>
      <c r="K1060" s="6" t="n">
        <v>149.1272735</v>
      </c>
      <c r="L1060" s="6">
        <f>I1060*K1060</f>
        <v/>
      </c>
      <c r="M1060" s="6">
        <f>K1060*4</f>
        <v/>
      </c>
      <c r="N1060" s="6" t="n">
        <v>599</v>
      </c>
    </row>
    <row r="1061">
      <c r="A1061" s="1" t="inlineStr">
        <is>
          <t>36568531067821</t>
        </is>
      </c>
      <c r="B1061" s="1" t="inlineStr">
        <is>
          <t>ARETES MM SILVER</t>
        </is>
      </c>
      <c r="C1061" s="1" t="inlineStr">
        <is>
          <t>Default Title</t>
        </is>
      </c>
      <c r="D1061" s="1" t="inlineStr">
        <is>
          <t>26/05/2026</t>
        </is>
      </c>
      <c r="E1061" s="1" t="n">
        <v>2026</v>
      </c>
      <c r="F1061" s="1" t="inlineStr">
        <is>
          <t>MAYO</t>
        </is>
      </c>
      <c r="G1061" s="1" t="inlineStr">
        <is>
          <t>HAIFENG</t>
        </is>
      </c>
      <c r="H1061" s="1" t="inlineStr">
        <is>
          <t>HAIFENG 26/05/2026</t>
        </is>
      </c>
      <c r="I1061" s="4" t="n">
        <v>3</v>
      </c>
      <c r="J1061" s="6" t="n">
        <v>7</v>
      </c>
      <c r="K1061" s="6" t="n">
        <v>146.9250671</v>
      </c>
      <c r="L1061" s="6">
        <f>I1061*K1061</f>
        <v/>
      </c>
      <c r="M1061" s="6">
        <f>K1061*4</f>
        <v/>
      </c>
      <c r="N1061" s="6" t="n">
        <v>599</v>
      </c>
    </row>
    <row r="1062">
      <c r="A1062" s="1" t="inlineStr">
        <is>
          <t>37309581067981</t>
        </is>
      </c>
      <c r="B1062" s="1" t="inlineStr">
        <is>
          <t>HOODIE ALLS BLACK</t>
        </is>
      </c>
      <c r="C1062" s="1" t="inlineStr">
        <is>
          <t>M</t>
        </is>
      </c>
      <c r="D1062" s="1" t="inlineStr">
        <is>
          <t>02/10/2025</t>
        </is>
      </c>
      <c r="E1062" s="1" t="n">
        <v>2025</v>
      </c>
      <c r="F1062" s="1" t="inlineStr">
        <is>
          <t>OCTUBRE</t>
        </is>
      </c>
      <c r="G1062" s="1" t="inlineStr">
        <is>
          <t>ZOEY</t>
        </is>
      </c>
      <c r="H1062" s="1" t="inlineStr">
        <is>
          <t>ZOEY 02/10/2025</t>
        </is>
      </c>
      <c r="I1062" s="4" t="n">
        <v>2</v>
      </c>
      <c r="J1062" s="6" t="n">
        <v>35</v>
      </c>
      <c r="K1062" s="6" t="n">
        <v>826.83776</v>
      </c>
      <c r="L1062" s="6">
        <f>I1062*K1062</f>
        <v/>
      </c>
      <c r="M1062" s="6">
        <f>K1062*4</f>
        <v/>
      </c>
      <c r="N1062" s="6" t="n">
        <v>1449</v>
      </c>
    </row>
    <row r="1063">
      <c r="A1063" s="1" t="inlineStr">
        <is>
          <t>37319811028493</t>
        </is>
      </c>
      <c r="B1063" s="1" t="inlineStr">
        <is>
          <t>BOLSO LADY D NUDE</t>
        </is>
      </c>
      <c r="C1063" s="1" t="inlineStr">
        <is>
          <t>15 cm alto x 17.5 cm de largo x 8 cm de ancho</t>
        </is>
      </c>
      <c r="D1063" s="1" t="inlineStr">
        <is>
          <t>20/04/2026</t>
        </is>
      </c>
      <c r="E1063" s="1" t="n">
        <v>2026</v>
      </c>
      <c r="F1063" s="1" t="inlineStr">
        <is>
          <t>ABRIL</t>
        </is>
      </c>
      <c r="G1063" s="1" t="inlineStr">
        <is>
          <t>ZOEY</t>
        </is>
      </c>
      <c r="H1063" s="1" t="inlineStr">
        <is>
          <t>ZOEY 20/04/2026</t>
        </is>
      </c>
      <c r="I1063" s="4" t="n">
        <v>1</v>
      </c>
      <c r="J1063" s="6" t="n">
        <v>56</v>
      </c>
      <c r="K1063" s="6" t="n">
        <v>1434.091587</v>
      </c>
      <c r="L1063" s="6">
        <f>I1063*K1063</f>
        <v/>
      </c>
      <c r="M1063" s="6">
        <f>K1063*4</f>
        <v/>
      </c>
      <c r="N1063" s="6" t="n">
        <v>5739</v>
      </c>
    </row>
    <row r="1064">
      <c r="A1064" s="1" t="inlineStr">
        <is>
          <t>37491240998540</t>
        </is>
      </c>
      <c r="B1064" s="1" t="inlineStr">
        <is>
          <t>PULSERA C D’AMOUR GOLD</t>
        </is>
      </c>
      <c r="C1064" s="1" t="inlineStr">
        <is>
          <t>16cm con 3cm de extensión</t>
        </is>
      </c>
      <c r="D1064" s="1" t="inlineStr">
        <is>
          <t>01/09/2025</t>
        </is>
      </c>
      <c r="E1064" s="1" t="n">
        <v>2025</v>
      </c>
      <c r="F1064" s="1" t="inlineStr">
        <is>
          <t>SEPTIEMBRE</t>
        </is>
      </c>
      <c r="G1064" s="1" t="inlineStr">
        <is>
          <t>HAIFENG</t>
        </is>
      </c>
      <c r="H1064" s="1" t="inlineStr">
        <is>
          <t>HAIFENG 01/09/2025</t>
        </is>
      </c>
      <c r="I1064" s="4" t="n">
        <v>3</v>
      </c>
      <c r="J1064" s="6" t="n">
        <v>5</v>
      </c>
      <c r="K1064" s="6" t="n">
        <v>106.2783553</v>
      </c>
      <c r="L1064" s="6">
        <f>I1064*K1064</f>
        <v/>
      </c>
      <c r="M1064" s="6">
        <f>K1064*4</f>
        <v/>
      </c>
      <c r="N1064" s="6" t="n">
        <v>450</v>
      </c>
    </row>
    <row r="1065">
      <c r="A1065" s="1" t="inlineStr">
        <is>
          <t>37491240998540</t>
        </is>
      </c>
      <c r="B1065" s="1" t="inlineStr">
        <is>
          <t>PULSERAS C D‚'AMOUR GOLD</t>
        </is>
      </c>
      <c r="C1065" s="1" t="inlineStr">
        <is>
          <t>16cm con 3cm de extensión</t>
        </is>
      </c>
      <c r="D1065" s="1" t="inlineStr">
        <is>
          <t>01/09/2025</t>
        </is>
      </c>
      <c r="E1065" s="1" t="n">
        <v>2025</v>
      </c>
      <c r="F1065" s="1" t="inlineStr">
        <is>
          <t>SEPTIEMBRE</t>
        </is>
      </c>
      <c r="G1065" s="1" t="inlineStr">
        <is>
          <t>HAIFENG</t>
        </is>
      </c>
      <c r="H1065" s="1" t="inlineStr">
        <is>
          <t>HAIFENG 01/09/2025</t>
        </is>
      </c>
      <c r="I1065" s="4" t="n">
        <v>5</v>
      </c>
      <c r="J1065" s="6" t="n">
        <v>5</v>
      </c>
      <c r="K1065" s="6" t="n">
        <v>106.2783553</v>
      </c>
      <c r="L1065" s="6">
        <f>I1065*K1065</f>
        <v/>
      </c>
      <c r="M1065" s="6">
        <f>K1065*4</f>
        <v/>
      </c>
      <c r="N1065" s="6" t="n">
        <v>450</v>
      </c>
    </row>
    <row r="1066">
      <c r="A1066" s="1" t="inlineStr">
        <is>
          <t>37491240998540</t>
        </is>
      </c>
      <c r="B1066" s="1" t="inlineStr">
        <is>
          <t>PULSERA C D’AMOUR GOLD</t>
        </is>
      </c>
      <c r="C1066" s="1" t="inlineStr">
        <is>
          <t>16cm con 3cm de extensión</t>
        </is>
      </c>
      <c r="D1066" s="1" t="inlineStr">
        <is>
          <t>06/05/2026</t>
        </is>
      </c>
      <c r="E1066" s="1" t="n">
        <v>2026</v>
      </c>
      <c r="F1066" s="1" t="inlineStr">
        <is>
          <t>MAYO</t>
        </is>
      </c>
      <c r="G1066" s="1" t="inlineStr">
        <is>
          <t>HAIFENG</t>
        </is>
      </c>
      <c r="H1066" s="1" t="inlineStr">
        <is>
          <t>HAIFENG 06/05/2026</t>
        </is>
      </c>
      <c r="I1066" s="4" t="n">
        <v>2</v>
      </c>
      <c r="J1066" s="6" t="n">
        <v>5</v>
      </c>
      <c r="K1066" s="6" t="n">
        <v>106.0932113</v>
      </c>
      <c r="L1066" s="6">
        <f>I1066*K1066</f>
        <v/>
      </c>
      <c r="M1066" s="6">
        <f>K1066*4</f>
        <v/>
      </c>
      <c r="N1066" s="6" t="n">
        <v>450</v>
      </c>
    </row>
    <row r="1067">
      <c r="A1067" s="1" t="inlineStr">
        <is>
          <t>37491240998540</t>
        </is>
      </c>
      <c r="B1067" s="1" t="inlineStr">
        <is>
          <t>PULSERA C D’AMOUR GOLD</t>
        </is>
      </c>
      <c r="C1067" s="1" t="inlineStr">
        <is>
          <t>16cm con 3cm de extensión</t>
        </is>
      </c>
      <c r="D1067" s="1" t="inlineStr">
        <is>
          <t>26/05/2026</t>
        </is>
      </c>
      <c r="E1067" s="1" t="n">
        <v>2026</v>
      </c>
      <c r="F1067" s="1" t="inlineStr">
        <is>
          <t>MAYO</t>
        </is>
      </c>
      <c r="G1067" s="1" t="inlineStr">
        <is>
          <t>HAIFENG</t>
        </is>
      </c>
      <c r="H1067" s="1" t="inlineStr">
        <is>
          <t>HAIFENG 26/05/2026</t>
        </is>
      </c>
      <c r="I1067" s="4" t="n">
        <v>3</v>
      </c>
      <c r="J1067" s="6" t="n">
        <v>5</v>
      </c>
      <c r="K1067" s="6" t="n">
        <v>104.9464765</v>
      </c>
      <c r="L1067" s="6">
        <f>I1067*K1067</f>
        <v/>
      </c>
      <c r="M1067" s="6">
        <f>K1067*4</f>
        <v/>
      </c>
      <c r="N1067" s="6" t="n">
        <v>450</v>
      </c>
    </row>
    <row r="1068">
      <c r="A1068" s="1" t="inlineStr">
        <is>
          <t>37491250366220</t>
        </is>
      </c>
      <c r="B1068" s="1" t="inlineStr">
        <is>
          <t>ARETES FLOWER VF</t>
        </is>
      </c>
      <c r="C1068" s="1" t="inlineStr">
        <is>
          <t>Default Title</t>
        </is>
      </c>
      <c r="D1068" s="1" t="inlineStr">
        <is>
          <t>25/09/2025</t>
        </is>
      </c>
      <c r="E1068" s="1" t="n">
        <v>2025</v>
      </c>
      <c r="F1068" s="1" t="inlineStr">
        <is>
          <t>SEPTIEMBRE</t>
        </is>
      </c>
      <c r="G1068" s="1" t="inlineStr">
        <is>
          <t>HAIFENG</t>
        </is>
      </c>
      <c r="H1068" s="1" t="inlineStr">
        <is>
          <t>HAIFENG 25/09/2025</t>
        </is>
      </c>
      <c r="I1068" s="4" t="n">
        <v>2</v>
      </c>
      <c r="J1068" s="6" t="n">
        <v>8</v>
      </c>
      <c r="K1068" s="6" t="n">
        <v>168.7750861</v>
      </c>
      <c r="L1068" s="6">
        <f>I1068*K1068</f>
        <v/>
      </c>
      <c r="M1068" s="6">
        <f>K1068*4</f>
        <v/>
      </c>
      <c r="N1068" s="6" t="n">
        <v>699</v>
      </c>
    </row>
    <row r="1069">
      <c r="A1069" s="1" t="inlineStr">
        <is>
          <t>37491250366220</t>
        </is>
      </c>
      <c r="B1069" s="1" t="inlineStr">
        <is>
          <t>ARETES FLOWER VF</t>
        </is>
      </c>
      <c r="C1069" s="1" t="inlineStr">
        <is>
          <t>rose gold</t>
        </is>
      </c>
      <c r="D1069" s="1" t="inlineStr">
        <is>
          <t>11/11/2025</t>
        </is>
      </c>
      <c r="E1069" s="1" t="n">
        <v>2025</v>
      </c>
      <c r="F1069" s="1" t="inlineStr">
        <is>
          <t>NOVIEMBRE</t>
        </is>
      </c>
      <c r="G1069" s="1" t="inlineStr">
        <is>
          <t>HAIFENG</t>
        </is>
      </c>
      <c r="H1069" s="1" t="inlineStr">
        <is>
          <t>HAIFENG 11/11/2025</t>
        </is>
      </c>
      <c r="I1069" s="4" t="n">
        <v>6</v>
      </c>
      <c r="J1069" s="6" t="n">
        <v>8</v>
      </c>
      <c r="K1069" s="6" t="n">
        <v>168.4839875</v>
      </c>
      <c r="L1069" s="6">
        <f>I1069*K1069</f>
        <v/>
      </c>
      <c r="M1069" s="6">
        <f>K1069*4</f>
        <v/>
      </c>
      <c r="N1069" s="6" t="n">
        <v>699</v>
      </c>
    </row>
    <row r="1070">
      <c r="A1070" s="1" t="inlineStr">
        <is>
          <t>37491250366220</t>
        </is>
      </c>
      <c r="B1070" s="1" t="inlineStr">
        <is>
          <t>ARETES FLOWER VF</t>
        </is>
      </c>
      <c r="C1070" s="1" t="inlineStr">
        <is>
          <t>Default Title</t>
        </is>
      </c>
      <c r="D1070" s="1" t="inlineStr">
        <is>
          <t>03/12/2025</t>
        </is>
      </c>
      <c r="E1070" s="1" t="n">
        <v>2025</v>
      </c>
      <c r="F1070" s="1" t="inlineStr">
        <is>
          <t>DICIEMBRE</t>
        </is>
      </c>
      <c r="G1070" s="1" t="inlineStr">
        <is>
          <t>HAIFENG</t>
        </is>
      </c>
      <c r="H1070" s="1" t="inlineStr">
        <is>
          <t>HAIFENG 03/12/2025</t>
        </is>
      </c>
      <c r="I1070" s="4" t="n">
        <v>6</v>
      </c>
      <c r="J1070" s="6" t="n">
        <v>8</v>
      </c>
      <c r="K1070" s="6" t="n">
        <v>167.3372801</v>
      </c>
      <c r="L1070" s="6">
        <f>I1070*K1070</f>
        <v/>
      </c>
      <c r="M1070" s="6">
        <f>K1070*4</f>
        <v/>
      </c>
      <c r="N1070" s="6" t="n">
        <v>699</v>
      </c>
    </row>
    <row r="1071">
      <c r="A1071" s="1" t="inlineStr">
        <is>
          <t>37491250366220</t>
        </is>
      </c>
      <c r="B1071" s="1" t="inlineStr">
        <is>
          <t>ARETES FLOWER VF</t>
        </is>
      </c>
      <c r="C1071" s="1" t="inlineStr">
        <is>
          <t>Default Title</t>
        </is>
      </c>
      <c r="D1071" s="1" t="inlineStr">
        <is>
          <t>26/05/2026</t>
        </is>
      </c>
      <c r="E1071" s="1" t="n">
        <v>2026</v>
      </c>
      <c r="F1071" s="1" t="inlineStr">
        <is>
          <t>MAYO</t>
        </is>
      </c>
      <c r="G1071" s="1" t="inlineStr">
        <is>
          <t>HAIFENG</t>
        </is>
      </c>
      <c r="H1071" s="1" t="inlineStr">
        <is>
          <t>HAIFENG 26/05/2026</t>
        </is>
      </c>
      <c r="I1071" s="4" t="n">
        <v>1</v>
      </c>
      <c r="J1071" s="6" t="n">
        <v>8</v>
      </c>
      <c r="K1071" s="6" t="n">
        <v>167.9143624</v>
      </c>
      <c r="L1071" s="6">
        <f>I1071*K1071</f>
        <v/>
      </c>
      <c r="M1071" s="6">
        <f>K1071*4</f>
        <v/>
      </c>
      <c r="N1071" s="6" t="n">
        <v>699</v>
      </c>
    </row>
    <row r="1072">
      <c r="A1072" s="1" t="inlineStr">
        <is>
          <t>37491253271052</t>
        </is>
      </c>
      <c r="B1072" s="1" t="inlineStr">
        <is>
          <t>PULSERA MARIQUITA VF</t>
        </is>
      </c>
      <c r="C1072" s="1" t="inlineStr">
        <is>
          <t>17cm con 2cm de extensión</t>
        </is>
      </c>
      <c r="D1072" s="1" t="inlineStr">
        <is>
          <t>01/09/2025</t>
        </is>
      </c>
      <c r="E1072" s="1" t="n">
        <v>2025</v>
      </c>
      <c r="F1072" s="1" t="inlineStr">
        <is>
          <t>SEPTIEMBRE</t>
        </is>
      </c>
      <c r="G1072" s="1" t="inlineStr">
        <is>
          <t>HAIFENG</t>
        </is>
      </c>
      <c r="H1072" s="1" t="inlineStr">
        <is>
          <t>HAIFENG 01/09/2025</t>
        </is>
      </c>
      <c r="I1072" s="4" t="n">
        <v>8</v>
      </c>
      <c r="J1072" s="6" t="n">
        <v>6</v>
      </c>
      <c r="K1072" s="6" t="n">
        <v>127.5340264</v>
      </c>
      <c r="L1072" s="6">
        <f>I1072*K1072</f>
        <v/>
      </c>
      <c r="M1072" s="6">
        <f>K1072*4</f>
        <v/>
      </c>
      <c r="N1072" s="6" t="n">
        <v>520</v>
      </c>
    </row>
    <row r="1073">
      <c r="A1073" s="1" t="inlineStr">
        <is>
          <t>37491253271052</t>
        </is>
      </c>
      <c r="B1073" s="1" t="inlineStr">
        <is>
          <t>PULSERA MARIQUITA VF</t>
        </is>
      </c>
      <c r="C1073" s="1" t="inlineStr">
        <is>
          <t>17cm con 2cm de extensión</t>
        </is>
      </c>
      <c r="D1073" s="1" t="inlineStr">
        <is>
          <t>11/11/2025</t>
        </is>
      </c>
      <c r="E1073" s="1" t="n">
        <v>2025</v>
      </c>
      <c r="F1073" s="1" t="inlineStr">
        <is>
          <t>NOVIEMBRE</t>
        </is>
      </c>
      <c r="G1073" s="1" t="inlineStr">
        <is>
          <t>HAIFENG</t>
        </is>
      </c>
      <c r="H1073" s="1" t="inlineStr">
        <is>
          <t>HAIFENG 11/11/2025</t>
        </is>
      </c>
      <c r="I1073" s="4" t="n">
        <v>7</v>
      </c>
      <c r="J1073" s="6" t="n">
        <v>6</v>
      </c>
      <c r="K1073" s="6" t="n">
        <v>126.3629907</v>
      </c>
      <c r="L1073" s="6">
        <f>I1073*K1073</f>
        <v/>
      </c>
      <c r="M1073" s="6">
        <f>K1073*4</f>
        <v/>
      </c>
      <c r="N1073" s="6" t="n">
        <v>520</v>
      </c>
    </row>
    <row r="1074">
      <c r="A1074" s="1" t="inlineStr">
        <is>
          <t>37491253271052</t>
        </is>
      </c>
      <c r="B1074" s="1" t="inlineStr">
        <is>
          <t>PULSERA MARIQUITA VF</t>
        </is>
      </c>
      <c r="C1074" s="1" t="inlineStr">
        <is>
          <t>17cm con 2cm de extensión</t>
        </is>
      </c>
      <c r="D1074" s="1" t="inlineStr">
        <is>
          <t>03/12/2025</t>
        </is>
      </c>
      <c r="E1074" s="1" t="n">
        <v>2025</v>
      </c>
      <c r="F1074" s="1" t="inlineStr">
        <is>
          <t>DICIEMBRE</t>
        </is>
      </c>
      <c r="G1074" s="1" t="inlineStr">
        <is>
          <t>HAIFENG</t>
        </is>
      </c>
      <c r="H1074" s="1" t="inlineStr">
        <is>
          <t>HAIFENG 03/12/2025</t>
        </is>
      </c>
      <c r="I1074" s="4" t="n">
        <v>3</v>
      </c>
      <c r="J1074" s="6" t="n">
        <v>6</v>
      </c>
      <c r="K1074" s="6" t="n">
        <v>125.5029601</v>
      </c>
      <c r="L1074" s="6">
        <f>I1074*K1074</f>
        <v/>
      </c>
      <c r="M1074" s="6">
        <f>K1074*4</f>
        <v/>
      </c>
      <c r="N1074" s="6" t="n">
        <v>520</v>
      </c>
    </row>
    <row r="1075">
      <c r="A1075" s="1" t="inlineStr">
        <is>
          <t>37491253271052</t>
        </is>
      </c>
      <c r="B1075" s="1" t="inlineStr">
        <is>
          <t>PULSERA MARIQUITA VF</t>
        </is>
      </c>
      <c r="C1075" s="1" t="inlineStr">
        <is>
          <t>17cm con 2cm de extensión</t>
        </is>
      </c>
      <c r="D1075" s="1" t="inlineStr">
        <is>
          <t>20/01/2026</t>
        </is>
      </c>
      <c r="E1075" s="1" t="n">
        <v>2026</v>
      </c>
      <c r="F1075" s="1" t="inlineStr">
        <is>
          <t>ENERO</t>
        </is>
      </c>
      <c r="G1075" s="1" t="inlineStr">
        <is>
          <t>HAIFENG</t>
        </is>
      </c>
      <c r="H1075" s="1" t="inlineStr">
        <is>
          <t>HAIFENG 20/01/2026</t>
        </is>
      </c>
      <c r="I1075" s="4" t="n">
        <v>10</v>
      </c>
      <c r="J1075" s="6" t="n">
        <v>6</v>
      </c>
      <c r="K1075" s="6" t="n">
        <v>127.2025068</v>
      </c>
      <c r="L1075" s="6">
        <f>I1075*K1075</f>
        <v/>
      </c>
      <c r="M1075" s="6">
        <f>K1075*4</f>
        <v/>
      </c>
      <c r="N1075" s="6" t="n">
        <v>520</v>
      </c>
    </row>
    <row r="1076">
      <c r="A1076" s="1" t="inlineStr">
        <is>
          <t>37491253271052</t>
        </is>
      </c>
      <c r="B1076" s="1" t="inlineStr">
        <is>
          <t>PULSERA MARIQUITA VF</t>
        </is>
      </c>
      <c r="C1076" s="1" t="inlineStr">
        <is>
          <t>17cm con 2cm de extensión</t>
        </is>
      </c>
      <c r="D1076" s="1" t="inlineStr">
        <is>
          <t>10/02/2026</t>
        </is>
      </c>
      <c r="E1076" s="1" t="n">
        <v>2026</v>
      </c>
      <c r="F1076" s="1" t="inlineStr">
        <is>
          <t>FEBRERO</t>
        </is>
      </c>
      <c r="G1076" s="1" t="inlineStr">
        <is>
          <t>HAIFENG</t>
        </is>
      </c>
      <c r="H1076" s="1" t="inlineStr">
        <is>
          <t>HAIFENG 10/02/2026</t>
        </is>
      </c>
      <c r="I1076" s="4" t="n">
        <v>5</v>
      </c>
      <c r="J1076" s="6" t="n">
        <v>6</v>
      </c>
      <c r="K1076" s="6" t="n">
        <v>126.4109764</v>
      </c>
      <c r="L1076" s="6">
        <f>I1076*K1076</f>
        <v/>
      </c>
      <c r="M1076" s="6">
        <f>K1076*4</f>
        <v/>
      </c>
      <c r="N1076" s="6" t="n">
        <v>520</v>
      </c>
    </row>
    <row r="1077">
      <c r="A1077" s="1" t="inlineStr">
        <is>
          <t>37491253271052</t>
        </is>
      </c>
      <c r="B1077" s="1" t="inlineStr">
        <is>
          <t>PULSERA MARIQUITA VF</t>
        </is>
      </c>
      <c r="C1077" s="1" t="inlineStr">
        <is>
          <t>17cm con 2cm de extensión</t>
        </is>
      </c>
      <c r="D1077" s="1" t="inlineStr">
        <is>
          <t>16/06/2026</t>
        </is>
      </c>
      <c r="E1077" s="1" t="n">
        <v>2026</v>
      </c>
      <c r="F1077" s="1" t="inlineStr">
        <is>
          <t>JUNIO</t>
        </is>
      </c>
      <c r="G1077" s="1" t="inlineStr">
        <is>
          <t>HAIFENG</t>
        </is>
      </c>
      <c r="H1077" s="1" t="inlineStr">
        <is>
          <t>HAIFENG 16/06/2026</t>
        </is>
      </c>
      <c r="I1077" s="4" t="n">
        <v>5</v>
      </c>
      <c r="J1077" s="6" t="n">
        <v>6</v>
      </c>
      <c r="K1077" s="6" t="n">
        <v>126.0876388</v>
      </c>
      <c r="L1077" s="6">
        <f>I1077*K1077</f>
        <v/>
      </c>
      <c r="M1077" s="6">
        <f>K1077*4</f>
        <v/>
      </c>
      <c r="N1077" s="6" t="n">
        <v>520</v>
      </c>
    </row>
    <row r="1078">
      <c r="A1078" s="1" t="inlineStr">
        <is>
          <t>37491254947980</t>
        </is>
      </c>
      <c r="B1078" s="1" t="inlineStr">
        <is>
          <t>COLLAR MARIQUITA VF</t>
        </is>
      </c>
      <c r="C1078" s="1" t="inlineStr">
        <is>
          <t>47cm</t>
        </is>
      </c>
      <c r="D1078" s="1" t="inlineStr">
        <is>
          <t>01/09/2025</t>
        </is>
      </c>
      <c r="E1078" s="1" t="n">
        <v>2025</v>
      </c>
      <c r="F1078" s="1" t="inlineStr">
        <is>
          <t>SEPTIEMBRE</t>
        </is>
      </c>
      <c r="G1078" s="1" t="inlineStr">
        <is>
          <t>HAIFENG</t>
        </is>
      </c>
      <c r="H1078" s="1" t="inlineStr">
        <is>
          <t>HAIFENG 01/09/2025</t>
        </is>
      </c>
      <c r="I1078" s="4" t="n">
        <v>6</v>
      </c>
      <c r="J1078" s="6" t="n">
        <v>7</v>
      </c>
      <c r="K1078" s="6" t="n">
        <v>148.7896974</v>
      </c>
      <c r="L1078" s="6">
        <f>I1078*K1078</f>
        <v/>
      </c>
      <c r="M1078" s="6">
        <f>K1078*4</f>
        <v/>
      </c>
      <c r="N1078" s="6" t="n">
        <v>580</v>
      </c>
    </row>
    <row r="1079">
      <c r="A1079" s="1" t="inlineStr">
        <is>
          <t>37491254947980</t>
        </is>
      </c>
      <c r="B1079" s="1" t="inlineStr">
        <is>
          <t>COLLAR MARIQUITA VF</t>
        </is>
      </c>
      <c r="C1079" s="1" t="inlineStr">
        <is>
          <t>47cm</t>
        </is>
      </c>
      <c r="D1079" s="1" t="inlineStr">
        <is>
          <t>11/11/2025</t>
        </is>
      </c>
      <c r="E1079" s="1" t="n">
        <v>2025</v>
      </c>
      <c r="F1079" s="1" t="inlineStr">
        <is>
          <t>NOVIEMBRE</t>
        </is>
      </c>
      <c r="G1079" s="1" t="inlineStr">
        <is>
          <t>HAIFENG</t>
        </is>
      </c>
      <c r="H1079" s="1" t="inlineStr">
        <is>
          <t>HAIFENG 11/11/2025</t>
        </is>
      </c>
      <c r="I1079" s="4" t="n">
        <v>6</v>
      </c>
      <c r="J1079" s="6" t="n">
        <v>7</v>
      </c>
      <c r="K1079" s="6" t="n">
        <v>147.4234891</v>
      </c>
      <c r="L1079" s="6">
        <f>I1079*K1079</f>
        <v/>
      </c>
      <c r="M1079" s="6">
        <f>K1079*4</f>
        <v/>
      </c>
      <c r="N1079" s="6" t="n">
        <v>580</v>
      </c>
    </row>
    <row r="1080">
      <c r="A1080" s="1" t="inlineStr">
        <is>
          <t>37491254947980</t>
        </is>
      </c>
      <c r="B1080" s="1" t="inlineStr">
        <is>
          <t>COLLAR MARIQUITA VF</t>
        </is>
      </c>
      <c r="C1080" s="1" t="inlineStr">
        <is>
          <t>47cm</t>
        </is>
      </c>
      <c r="D1080" s="1" t="inlineStr">
        <is>
          <t>03/12/2025</t>
        </is>
      </c>
      <c r="E1080" s="1" t="n">
        <v>2025</v>
      </c>
      <c r="F1080" s="1" t="inlineStr">
        <is>
          <t>DICIEMBRE</t>
        </is>
      </c>
      <c r="G1080" s="1" t="inlineStr">
        <is>
          <t>HAIFENG</t>
        </is>
      </c>
      <c r="H1080" s="1" t="inlineStr">
        <is>
          <t>HAIFENG 03/12/2025</t>
        </is>
      </c>
      <c r="I1080" s="4" t="n">
        <v>4</v>
      </c>
      <c r="J1080" s="6" t="n">
        <v>7</v>
      </c>
      <c r="K1080" s="6" t="n">
        <v>146.4201201</v>
      </c>
      <c r="L1080" s="6">
        <f>I1080*K1080</f>
        <v/>
      </c>
      <c r="M1080" s="6">
        <f>K1080*4</f>
        <v/>
      </c>
      <c r="N1080" s="6" t="n">
        <v>580</v>
      </c>
    </row>
    <row r="1081">
      <c r="A1081" s="1" t="inlineStr">
        <is>
          <t>37491254947980</t>
        </is>
      </c>
      <c r="B1081" s="1" t="inlineStr">
        <is>
          <t>COLLAR MARIQUITA VF</t>
        </is>
      </c>
      <c r="C1081" s="1" t="inlineStr">
        <is>
          <t>47cm</t>
        </is>
      </c>
      <c r="D1081" s="1" t="inlineStr">
        <is>
          <t>20/01/2026</t>
        </is>
      </c>
      <c r="E1081" s="1" t="n">
        <v>2026</v>
      </c>
      <c r="F1081" s="1" t="inlineStr">
        <is>
          <t>ENERO</t>
        </is>
      </c>
      <c r="G1081" s="1" t="inlineStr">
        <is>
          <t>HAIFENG</t>
        </is>
      </c>
      <c r="H1081" s="1" t="inlineStr">
        <is>
          <t>HAIFENG 20/01/2026</t>
        </is>
      </c>
      <c r="I1081" s="4" t="n">
        <v>5</v>
      </c>
      <c r="J1081" s="6" t="n">
        <v>7</v>
      </c>
      <c r="K1081" s="6" t="n">
        <v>148.4029245</v>
      </c>
      <c r="L1081" s="6">
        <f>I1081*K1081</f>
        <v/>
      </c>
      <c r="M1081" s="6">
        <f>K1081*4</f>
        <v/>
      </c>
      <c r="N1081" s="6" t="n">
        <v>580</v>
      </c>
    </row>
    <row r="1082">
      <c r="A1082" s="1" t="inlineStr">
        <is>
          <t>37491254947980</t>
        </is>
      </c>
      <c r="B1082" s="1" t="inlineStr">
        <is>
          <t>COLLAR MARIQUITA VF</t>
        </is>
      </c>
      <c r="C1082" s="1" t="inlineStr">
        <is>
          <t>47cm</t>
        </is>
      </c>
      <c r="D1082" s="1" t="inlineStr">
        <is>
          <t>10/02/2026</t>
        </is>
      </c>
      <c r="E1082" s="1" t="n">
        <v>2026</v>
      </c>
      <c r="F1082" s="1" t="inlineStr">
        <is>
          <t>FEBRERO</t>
        </is>
      </c>
      <c r="G1082" s="1" t="inlineStr">
        <is>
          <t>HAIFENG</t>
        </is>
      </c>
      <c r="H1082" s="1" t="inlineStr">
        <is>
          <t>HAIFENG 10/02/2026</t>
        </is>
      </c>
      <c r="I1082" s="4" t="n">
        <v>5</v>
      </c>
      <c r="J1082" s="6" t="n">
        <v>7</v>
      </c>
      <c r="K1082" s="6" t="n">
        <v>147.4794725</v>
      </c>
      <c r="L1082" s="6">
        <f>I1082*K1082</f>
        <v/>
      </c>
      <c r="M1082" s="6">
        <f>K1082*4</f>
        <v/>
      </c>
      <c r="N1082" s="6" t="n">
        <v>580</v>
      </c>
    </row>
    <row r="1083">
      <c r="A1083" s="1" t="inlineStr">
        <is>
          <t>37491254947980</t>
        </is>
      </c>
      <c r="B1083" s="1" t="inlineStr">
        <is>
          <t>COLLAR MARIQUITA VF</t>
        </is>
      </c>
      <c r="C1083" s="1" t="inlineStr">
        <is>
          <t>47cm</t>
        </is>
      </c>
      <c r="D1083" s="1" t="inlineStr">
        <is>
          <t>16/04/2026</t>
        </is>
      </c>
      <c r="E1083" s="1" t="n">
        <v>2026</v>
      </c>
      <c r="F1083" s="1" t="inlineStr">
        <is>
          <t>ABRIL</t>
        </is>
      </c>
      <c r="G1083" s="1" t="inlineStr">
        <is>
          <t>HAIFENG</t>
        </is>
      </c>
      <c r="H1083" s="1" t="inlineStr">
        <is>
          <t>HAIFENG 16/04/2026</t>
        </is>
      </c>
      <c r="I1083" s="4" t="n">
        <v>7</v>
      </c>
      <c r="J1083" s="6" t="n">
        <v>7</v>
      </c>
      <c r="K1083" s="6" t="n">
        <v>147.2203151</v>
      </c>
      <c r="L1083" s="6">
        <f>I1083*K1083</f>
        <v/>
      </c>
      <c r="M1083" s="6">
        <f>K1083*4</f>
        <v/>
      </c>
      <c r="N1083" s="6" t="n">
        <v>580</v>
      </c>
    </row>
    <row r="1084">
      <c r="A1084" s="1" t="inlineStr">
        <is>
          <t>37491254947980</t>
        </is>
      </c>
      <c r="B1084" s="1" t="inlineStr">
        <is>
          <t>COLLAR MARIQUITA VF</t>
        </is>
      </c>
      <c r="C1084" s="1" t="inlineStr">
        <is>
          <t>47cm</t>
        </is>
      </c>
      <c r="D1084" s="1" t="inlineStr">
        <is>
          <t>16/06/2026</t>
        </is>
      </c>
      <c r="E1084" s="1" t="n">
        <v>2026</v>
      </c>
      <c r="F1084" s="1" t="inlineStr">
        <is>
          <t>JUNIO</t>
        </is>
      </c>
      <c r="G1084" s="1" t="inlineStr">
        <is>
          <t>HAIFENG</t>
        </is>
      </c>
      <c r="H1084" s="1" t="inlineStr">
        <is>
          <t>HAIFENG 16/06/2026</t>
        </is>
      </c>
      <c r="I1084" s="4" t="n">
        <v>5</v>
      </c>
      <c r="J1084" s="6" t="n">
        <v>7</v>
      </c>
      <c r="K1084" s="6" t="n">
        <v>147.1022452</v>
      </c>
      <c r="L1084" s="6">
        <f>I1084*K1084</f>
        <v/>
      </c>
      <c r="M1084" s="6">
        <f>K1084*4</f>
        <v/>
      </c>
      <c r="N1084" s="6" t="n">
        <v>580</v>
      </c>
    </row>
    <row r="1085">
      <c r="A1085" s="1" t="inlineStr">
        <is>
          <t>37491258087948</t>
        </is>
      </c>
      <c r="B1085" s="1" t="inlineStr">
        <is>
          <t>ARETES TRINITY DIAMOND</t>
        </is>
      </c>
      <c r="C1085" s="1" t="inlineStr">
        <is>
          <t>Default Title</t>
        </is>
      </c>
      <c r="D1085" s="1" t="inlineStr">
        <is>
          <t>01/09/2025</t>
        </is>
      </c>
      <c r="E1085" s="1" t="n">
        <v>2025</v>
      </c>
      <c r="F1085" s="1" t="inlineStr">
        <is>
          <t>SEPTIEMBRE</t>
        </is>
      </c>
      <c r="G1085" s="1" t="inlineStr">
        <is>
          <t>HAIFENG</t>
        </is>
      </c>
      <c r="H1085" s="1" t="inlineStr">
        <is>
          <t>HAIFENG 01/09/2025</t>
        </is>
      </c>
      <c r="I1085" s="4" t="n">
        <v>8</v>
      </c>
      <c r="J1085" s="6" t="n">
        <v>7</v>
      </c>
      <c r="K1085" s="6" t="n">
        <v>148.7896974</v>
      </c>
      <c r="L1085" s="6">
        <f>I1085*K1085</f>
        <v/>
      </c>
      <c r="M1085" s="6">
        <f>K1085*4</f>
        <v/>
      </c>
      <c r="N1085" s="6" t="n">
        <v>599</v>
      </c>
    </row>
    <row r="1086">
      <c r="A1086" s="1" t="inlineStr">
        <is>
          <t>37491258087948</t>
        </is>
      </c>
      <c r="B1086" s="1" t="inlineStr">
        <is>
          <t>ARETES TRINITY DIAMOND</t>
        </is>
      </c>
      <c r="C1086" s="1" t="inlineStr">
        <is>
          <t>Default Title</t>
        </is>
      </c>
      <c r="D1086" s="1" t="inlineStr">
        <is>
          <t>11/11/2025</t>
        </is>
      </c>
      <c r="E1086" s="1" t="n">
        <v>2025</v>
      </c>
      <c r="F1086" s="1" t="inlineStr">
        <is>
          <t>NOVIEMBRE</t>
        </is>
      </c>
      <c r="G1086" s="1" t="inlineStr">
        <is>
          <t>HAIFENG</t>
        </is>
      </c>
      <c r="H1086" s="1" t="inlineStr">
        <is>
          <t>HAIFENG 11/11/2025</t>
        </is>
      </c>
      <c r="I1086" s="4" t="n">
        <v>5</v>
      </c>
      <c r="J1086" s="6" t="n">
        <v>7</v>
      </c>
      <c r="K1086" s="6" t="n">
        <v>147.4234891</v>
      </c>
      <c r="L1086" s="6">
        <f>I1086*K1086</f>
        <v/>
      </c>
      <c r="M1086" s="6">
        <f>K1086*4</f>
        <v/>
      </c>
      <c r="N1086" s="6" t="n">
        <v>599</v>
      </c>
    </row>
    <row r="1087">
      <c r="A1087" s="1" t="inlineStr">
        <is>
          <t>37491258087948</t>
        </is>
      </c>
      <c r="B1087" s="1" t="inlineStr">
        <is>
          <t>ARETES TRINITY DIAMOND</t>
        </is>
      </c>
      <c r="C1087" s="1" t="inlineStr">
        <is>
          <t>Default Title</t>
        </is>
      </c>
      <c r="D1087" s="1" t="inlineStr">
        <is>
          <t>03/12/2025</t>
        </is>
      </c>
      <c r="E1087" s="1" t="n">
        <v>2025</v>
      </c>
      <c r="F1087" s="1" t="inlineStr">
        <is>
          <t>DICIEMBRE</t>
        </is>
      </c>
      <c r="G1087" s="1" t="inlineStr">
        <is>
          <t>HAIFENG</t>
        </is>
      </c>
      <c r="H1087" s="1" t="inlineStr">
        <is>
          <t>HAIFENG 03/12/2025</t>
        </is>
      </c>
      <c r="I1087" s="4" t="n">
        <v>10</v>
      </c>
      <c r="J1087" s="6" t="n">
        <v>7</v>
      </c>
      <c r="K1087" s="6" t="n">
        <v>146.4201201</v>
      </c>
      <c r="L1087" s="6">
        <f>I1087*K1087</f>
        <v/>
      </c>
      <c r="M1087" s="6">
        <f>K1087*4</f>
        <v/>
      </c>
      <c r="N1087" s="6" t="n">
        <v>599</v>
      </c>
    </row>
    <row r="1088">
      <c r="A1088" s="1" t="inlineStr">
        <is>
          <t>37491258087948</t>
        </is>
      </c>
      <c r="B1088" s="1" t="inlineStr">
        <is>
          <t>ARETES TRINITY DIAMOND</t>
        </is>
      </c>
      <c r="C1088" s="1" t="inlineStr">
        <is>
          <t>Default Title</t>
        </is>
      </c>
      <c r="D1088" s="1" t="inlineStr">
        <is>
          <t>16/04/2026</t>
        </is>
      </c>
      <c r="E1088" s="1" t="n">
        <v>2026</v>
      </c>
      <c r="F1088" s="1" t="inlineStr">
        <is>
          <t>ABRIL</t>
        </is>
      </c>
      <c r="G1088" s="1" t="inlineStr">
        <is>
          <t>HAIFENG</t>
        </is>
      </c>
      <c r="H1088" s="1" t="inlineStr">
        <is>
          <t>HAIFENG 16/04/2026</t>
        </is>
      </c>
      <c r="I1088" s="4" t="n">
        <v>6</v>
      </c>
      <c r="J1088" s="6" t="n">
        <v>7</v>
      </c>
      <c r="K1088" s="6" t="n">
        <v>147.2203151</v>
      </c>
      <c r="L1088" s="6">
        <f>I1088*K1088</f>
        <v/>
      </c>
      <c r="M1088" s="6">
        <f>K1088*4</f>
        <v/>
      </c>
      <c r="N1088" s="6" t="n">
        <v>599</v>
      </c>
    </row>
    <row r="1089">
      <c r="A1089" s="1" t="inlineStr">
        <is>
          <t>37491258087948</t>
        </is>
      </c>
      <c r="B1089" s="1" t="inlineStr">
        <is>
          <t>ARETES TRINITY DIAMOND</t>
        </is>
      </c>
      <c r="C1089" s="1" t="inlineStr">
        <is>
          <t>Default Title</t>
        </is>
      </c>
      <c r="D1089" s="1" t="inlineStr">
        <is>
          <t>26/05/2026</t>
        </is>
      </c>
      <c r="E1089" s="1" t="n">
        <v>2026</v>
      </c>
      <c r="F1089" s="1" t="inlineStr">
        <is>
          <t>MAYO</t>
        </is>
      </c>
      <c r="G1089" s="1" t="inlineStr">
        <is>
          <t>HAIFENG</t>
        </is>
      </c>
      <c r="H1089" s="1" t="inlineStr">
        <is>
          <t>HAIFENG 26/05/2026</t>
        </is>
      </c>
      <c r="I1089" s="4" t="n">
        <v>2</v>
      </c>
      <c r="J1089" s="6" t="n">
        <v>7</v>
      </c>
      <c r="K1089" s="6" t="n">
        <v>146.9250671</v>
      </c>
      <c r="L1089" s="6">
        <f>I1089*K1089</f>
        <v/>
      </c>
      <c r="M1089" s="6">
        <f>K1089*4</f>
        <v/>
      </c>
      <c r="N1089" s="6" t="n">
        <v>599</v>
      </c>
    </row>
    <row r="1090">
      <c r="A1090" s="1" t="inlineStr">
        <is>
          <t>37491258087948</t>
        </is>
      </c>
      <c r="B1090" s="1" t="inlineStr">
        <is>
          <t>ARETES TRINITY DIAMOND</t>
        </is>
      </c>
      <c r="C1090" s="1" t="inlineStr">
        <is>
          <t>Default Title</t>
        </is>
      </c>
      <c r="D1090" s="1" t="inlineStr">
        <is>
          <t>16/06/2026</t>
        </is>
      </c>
      <c r="E1090" s="1" t="n">
        <v>2026</v>
      </c>
      <c r="F1090" s="1" t="inlineStr">
        <is>
          <t>JUNIO</t>
        </is>
      </c>
      <c r="G1090" s="1" t="inlineStr">
        <is>
          <t>HAIFENG</t>
        </is>
      </c>
      <c r="H1090" s="1" t="inlineStr">
        <is>
          <t>HAIFENG 16/06/2026</t>
        </is>
      </c>
      <c r="I1090" s="4" t="n">
        <v>3</v>
      </c>
      <c r="J1090" s="6" t="n">
        <v>7</v>
      </c>
      <c r="K1090" s="6" t="n">
        <v>147.1022452</v>
      </c>
      <c r="L1090" s="6">
        <f>I1090*K1090</f>
        <v/>
      </c>
      <c r="M1090" s="6">
        <f>K1090*4</f>
        <v/>
      </c>
      <c r="N1090" s="6" t="n">
        <v>599</v>
      </c>
    </row>
    <row r="1091">
      <c r="A1091" s="1" t="inlineStr">
        <is>
          <t>37491258394380</t>
        </is>
      </c>
      <c r="B1091" s="1" t="inlineStr">
        <is>
          <t>COLLAR FLOWER VF</t>
        </is>
      </c>
      <c r="C1091" s="1" t="inlineStr">
        <is>
          <t>45cm</t>
        </is>
      </c>
      <c r="D1091" s="1" t="inlineStr">
        <is>
          <t>01/09/2025</t>
        </is>
      </c>
      <c r="E1091" s="1" t="n">
        <v>2025</v>
      </c>
      <c r="F1091" s="1" t="inlineStr">
        <is>
          <t>SEPTIEMBRE</t>
        </is>
      </c>
      <c r="G1091" s="1" t="inlineStr">
        <is>
          <t>HAIFENG</t>
        </is>
      </c>
      <c r="H1091" s="1" t="inlineStr">
        <is>
          <t>HAIFENG 01/09/2025</t>
        </is>
      </c>
      <c r="I1091" s="4" t="n">
        <v>5</v>
      </c>
      <c r="J1091" s="6" t="n">
        <v>5</v>
      </c>
      <c r="K1091" s="6" t="n">
        <v>106.2783553</v>
      </c>
      <c r="L1091" s="6">
        <f>I1091*K1091</f>
        <v/>
      </c>
      <c r="M1091" s="6">
        <f>K1091*4</f>
        <v/>
      </c>
      <c r="N1091" s="6" t="n">
        <v>432.6</v>
      </c>
    </row>
    <row r="1092">
      <c r="A1092" s="1" t="inlineStr">
        <is>
          <t>37491258394380</t>
        </is>
      </c>
      <c r="B1092" s="1" t="inlineStr">
        <is>
          <t>COLLAR FLOWER VF</t>
        </is>
      </c>
      <c r="C1092" s="1" t="inlineStr">
        <is>
          <t>45cm</t>
        </is>
      </c>
      <c r="D1092" s="1" t="inlineStr">
        <is>
          <t>11/11/2025</t>
        </is>
      </c>
      <c r="E1092" s="1" t="n">
        <v>2025</v>
      </c>
      <c r="F1092" s="1" t="inlineStr">
        <is>
          <t>NOVIEMBRE</t>
        </is>
      </c>
      <c r="G1092" s="1" t="inlineStr">
        <is>
          <t>HAIFENG</t>
        </is>
      </c>
      <c r="H1092" s="1" t="inlineStr">
        <is>
          <t>HAIFENG 11/11/2025</t>
        </is>
      </c>
      <c r="I1092" s="4" t="n">
        <v>5</v>
      </c>
      <c r="J1092" s="6" t="n">
        <v>5</v>
      </c>
      <c r="K1092" s="6" t="n">
        <v>105.3024922</v>
      </c>
      <c r="L1092" s="6">
        <f>I1092*K1092</f>
        <v/>
      </c>
      <c r="M1092" s="6">
        <f>K1092*4</f>
        <v/>
      </c>
      <c r="N1092" s="6" t="n">
        <v>432.6</v>
      </c>
    </row>
    <row r="1093">
      <c r="A1093" s="1" t="inlineStr">
        <is>
          <t>37491258394380</t>
        </is>
      </c>
      <c r="B1093" s="1" t="inlineStr">
        <is>
          <t>COLLAR FLOWER VF</t>
        </is>
      </c>
      <c r="C1093" s="1" t="inlineStr">
        <is>
          <t>45cm</t>
        </is>
      </c>
      <c r="D1093" s="1" t="inlineStr">
        <is>
          <t>03/12/2025</t>
        </is>
      </c>
      <c r="E1093" s="1" t="n">
        <v>2025</v>
      </c>
      <c r="F1093" s="1" t="inlineStr">
        <is>
          <t>DICIEMBRE</t>
        </is>
      </c>
      <c r="G1093" s="1" t="inlineStr">
        <is>
          <t>HAIFENG</t>
        </is>
      </c>
      <c r="H1093" s="1" t="inlineStr">
        <is>
          <t>HAIFENG 03/12/2025</t>
        </is>
      </c>
      <c r="I1093" s="4" t="n">
        <v>3</v>
      </c>
      <c r="J1093" s="6" t="n">
        <v>5</v>
      </c>
      <c r="K1093" s="6" t="n">
        <v>104.5858001</v>
      </c>
      <c r="L1093" s="6">
        <f>I1093*K1093</f>
        <v/>
      </c>
      <c r="M1093" s="6">
        <f>K1093*4</f>
        <v/>
      </c>
      <c r="N1093" s="6" t="n">
        <v>432.6</v>
      </c>
    </row>
    <row r="1094">
      <c r="A1094" s="1" t="inlineStr">
        <is>
          <t>37491258394380</t>
        </is>
      </c>
      <c r="B1094" s="1" t="inlineStr">
        <is>
          <t>COLLAR FLOWER VF</t>
        </is>
      </c>
      <c r="C1094" s="1" t="inlineStr">
        <is>
          <t>45cm</t>
        </is>
      </c>
      <c r="D1094" s="1" t="inlineStr">
        <is>
          <t>20/01/2026</t>
        </is>
      </c>
      <c r="E1094" s="1" t="n">
        <v>2026</v>
      </c>
      <c r="F1094" s="1" t="inlineStr">
        <is>
          <t>ENERO</t>
        </is>
      </c>
      <c r="G1094" s="1" t="inlineStr">
        <is>
          <t>HAIFENG</t>
        </is>
      </c>
      <c r="H1094" s="1" t="inlineStr">
        <is>
          <t>HAIFENG 20/01/2026</t>
        </is>
      </c>
      <c r="I1094" s="4" t="n">
        <v>4</v>
      </c>
      <c r="J1094" s="6" t="n">
        <v>5</v>
      </c>
      <c r="K1094" s="6" t="n">
        <v>106.002089</v>
      </c>
      <c r="L1094" s="6">
        <f>I1094*K1094</f>
        <v/>
      </c>
      <c r="M1094" s="6">
        <f>K1094*4</f>
        <v/>
      </c>
      <c r="N1094" s="6" t="n">
        <v>432.6</v>
      </c>
    </row>
    <row r="1095">
      <c r="A1095" s="1" t="inlineStr">
        <is>
          <t>37491258394380</t>
        </is>
      </c>
      <c r="B1095" s="1" t="inlineStr">
        <is>
          <t>COLLAR FLOWER VF</t>
        </is>
      </c>
      <c r="C1095" s="1" t="inlineStr">
        <is>
          <t>45cm</t>
        </is>
      </c>
      <c r="D1095" s="1" t="inlineStr">
        <is>
          <t>10/02/2026</t>
        </is>
      </c>
      <c r="E1095" s="1" t="n">
        <v>2026</v>
      </c>
      <c r="F1095" s="1" t="inlineStr">
        <is>
          <t>FEBRERO</t>
        </is>
      </c>
      <c r="G1095" s="1" t="inlineStr">
        <is>
          <t>HAIFENG</t>
        </is>
      </c>
      <c r="H1095" s="1" t="inlineStr">
        <is>
          <t>HAIFENG 10/02/2026</t>
        </is>
      </c>
      <c r="I1095" s="4" t="n">
        <v>4</v>
      </c>
      <c r="J1095" s="6" t="n">
        <v>5</v>
      </c>
      <c r="K1095" s="6" t="n">
        <v>105.3424803</v>
      </c>
      <c r="L1095" s="6">
        <f>I1095*K1095</f>
        <v/>
      </c>
      <c r="M1095" s="6">
        <f>K1095*4</f>
        <v/>
      </c>
      <c r="N1095" s="6" t="n">
        <v>432.6</v>
      </c>
    </row>
    <row r="1096">
      <c r="A1096" s="1" t="inlineStr">
        <is>
          <t>37491258394380</t>
        </is>
      </c>
      <c r="B1096" s="1" t="inlineStr">
        <is>
          <t>COLLAR FLOWER VF</t>
        </is>
      </c>
      <c r="C1096" s="1" t="inlineStr">
        <is>
          <t>45cm</t>
        </is>
      </c>
      <c r="D1096" s="1" t="inlineStr">
        <is>
          <t>06/05/2026</t>
        </is>
      </c>
      <c r="E1096" s="1" t="n">
        <v>2026</v>
      </c>
      <c r="F1096" s="1" t="inlineStr">
        <is>
          <t>MAYO</t>
        </is>
      </c>
      <c r="G1096" s="1" t="inlineStr">
        <is>
          <t>HAIFENG</t>
        </is>
      </c>
      <c r="H1096" s="1" t="inlineStr">
        <is>
          <t>HAIFENG 06/05/2026</t>
        </is>
      </c>
      <c r="I1096" s="4" t="n">
        <v>8</v>
      </c>
      <c r="J1096" s="6" t="n">
        <v>5</v>
      </c>
      <c r="K1096" s="6" t="n">
        <v>106.0932113</v>
      </c>
      <c r="L1096" s="6">
        <f>I1096*K1096</f>
        <v/>
      </c>
      <c r="M1096" s="6">
        <f>K1096*4</f>
        <v/>
      </c>
      <c r="N1096" s="6" t="n">
        <v>432.6</v>
      </c>
    </row>
    <row r="1097">
      <c r="A1097" s="1" t="inlineStr">
        <is>
          <t>37635091051341</t>
        </is>
      </c>
      <c r="B1097" s="1" t="inlineStr">
        <is>
          <t>LENTES PR EYEWEAR PILOTO</t>
        </is>
      </c>
      <c r="C1097" s="1" t="inlineStr">
        <is>
          <t>Default Title</t>
        </is>
      </c>
      <c r="D1097" s="1" t="inlineStr">
        <is>
          <t>16/04/2026</t>
        </is>
      </c>
      <c r="E1097" s="1" t="n">
        <v>2026</v>
      </c>
      <c r="F1097" s="1" t="inlineStr">
        <is>
          <t>ABRIL</t>
        </is>
      </c>
      <c r="G1097" s="1" t="inlineStr">
        <is>
          <t>HAIFENG</t>
        </is>
      </c>
      <c r="H1097" s="1" t="inlineStr">
        <is>
          <t>HAIFENG 16/04/2026</t>
        </is>
      </c>
      <c r="I1097" s="4" t="n">
        <v>2</v>
      </c>
      <c r="J1097" s="6" t="n">
        <v>32</v>
      </c>
      <c r="K1097" s="6" t="n">
        <v>673.0071549</v>
      </c>
      <c r="L1097" s="6">
        <f>I1097*K1097</f>
        <v/>
      </c>
      <c r="M1097" s="6">
        <f>K1097*4</f>
        <v/>
      </c>
      <c r="N1097" s="6" t="n">
        <v>2650</v>
      </c>
    </row>
    <row r="1098">
      <c r="A1098" s="1" t="inlineStr">
        <is>
          <t>38332091054029</t>
        </is>
      </c>
      <c r="B1098" s="1" t="inlineStr">
        <is>
          <t>ANILLO T EDGE SILVER</t>
        </is>
      </c>
      <c r="C1098" s="1" t="n">
        <v>6</v>
      </c>
      <c r="D1098" s="1" t="inlineStr">
        <is>
          <t>07/01/2026</t>
        </is>
      </c>
      <c r="E1098" s="1" t="n">
        <v>2026</v>
      </c>
      <c r="F1098" s="1" t="inlineStr">
        <is>
          <t>ENERO</t>
        </is>
      </c>
      <c r="G1098" s="1" t="inlineStr">
        <is>
          <t>CYNTHIA</t>
        </is>
      </c>
      <c r="H1098" s="1" t="inlineStr">
        <is>
          <t>CYNTHIA 07/01/2026</t>
        </is>
      </c>
      <c r="I1098" s="4" t="n">
        <v>2</v>
      </c>
      <c r="J1098" s="6" t="n">
        <v>10.8</v>
      </c>
      <c r="K1098" s="6" t="n">
        <v>287.1442189</v>
      </c>
      <c r="L1098" s="6">
        <f>I1098*K1098</f>
        <v/>
      </c>
      <c r="M1098" s="6">
        <f>K1098*4</f>
        <v/>
      </c>
      <c r="N1098" s="6" t="n">
        <v>1149</v>
      </c>
    </row>
    <row r="1099">
      <c r="A1099" s="1" t="inlineStr">
        <is>
          <t>38332091054029</t>
        </is>
      </c>
      <c r="B1099" s="1" t="inlineStr">
        <is>
          <t>ANILLO T EDGE SILVER</t>
        </is>
      </c>
      <c r="C1099" s="1" t="inlineStr">
        <is>
          <t>6</t>
        </is>
      </c>
      <c r="D1099" s="1" t="inlineStr">
        <is>
          <t>31/05/2026</t>
        </is>
      </c>
      <c r="E1099" s="1" t="n">
        <v>2026</v>
      </c>
      <c r="F1099" s="1" t="inlineStr">
        <is>
          <t>MAYO</t>
        </is>
      </c>
      <c r="G1099" s="1" t="inlineStr">
        <is>
          <t>CYNTHIA</t>
        </is>
      </c>
      <c r="H1099" s="1" t="inlineStr">
        <is>
          <t>CYNTHIA 31/05/2026</t>
        </is>
      </c>
      <c r="I1099" s="4" t="n">
        <v>2</v>
      </c>
      <c r="J1099" s="6" t="n">
        <v>10.8</v>
      </c>
      <c r="K1099" s="6" t="n">
        <v>286.2112858</v>
      </c>
      <c r="L1099" s="6">
        <f>I1099*K1099</f>
        <v/>
      </c>
      <c r="M1099" s="6">
        <f>K1099*4</f>
        <v/>
      </c>
      <c r="N1099" s="6" t="n">
        <v>1149</v>
      </c>
    </row>
    <row r="1100">
      <c r="A1100" s="1" t="inlineStr">
        <is>
          <t>38332091186797</t>
        </is>
      </c>
      <c r="B1100" s="1" t="inlineStr">
        <is>
          <t>ANILLO T EDGE SILVER</t>
        </is>
      </c>
      <c r="C1100" s="1" t="n">
        <v>7</v>
      </c>
      <c r="D1100" s="1" t="inlineStr">
        <is>
          <t>25/10/2025</t>
        </is>
      </c>
      <c r="E1100" s="1" t="n">
        <v>2025</v>
      </c>
      <c r="F1100" s="1" t="inlineStr">
        <is>
          <t>OCTUBRE</t>
        </is>
      </c>
      <c r="G1100" s="1" t="inlineStr">
        <is>
          <t>CYNTHIA</t>
        </is>
      </c>
      <c r="H1100" s="1" t="inlineStr">
        <is>
          <t>CYNTHIA 25/10/2025</t>
        </is>
      </c>
      <c r="I1100" s="4" t="n">
        <v>1</v>
      </c>
      <c r="J1100" s="6" t="n">
        <v>10.8</v>
      </c>
      <c r="K1100" s="6" t="n">
        <v>282.9796948</v>
      </c>
      <c r="L1100" s="6">
        <f>I1100*K1100</f>
        <v/>
      </c>
      <c r="M1100" s="6">
        <f>K1100*4</f>
        <v/>
      </c>
      <c r="N1100" s="6" t="n">
        <v>1099</v>
      </c>
    </row>
    <row r="1101">
      <c r="A1101" s="1" t="inlineStr">
        <is>
          <t>38332091186797</t>
        </is>
      </c>
      <c r="B1101" s="1" t="n"/>
      <c r="C1101" s="1" t="n">
        <v>7</v>
      </c>
      <c r="D1101" s="1" t="inlineStr">
        <is>
          <t>07/01/2026</t>
        </is>
      </c>
      <c r="E1101" s="1" t="n">
        <v>2026</v>
      </c>
      <c r="F1101" s="1" t="inlineStr">
        <is>
          <t>ENERO</t>
        </is>
      </c>
      <c r="G1101" s="1" t="inlineStr">
        <is>
          <t>CYNTHIA</t>
        </is>
      </c>
      <c r="H1101" s="1" t="inlineStr">
        <is>
          <t>CYNTHIA 07/01/2026</t>
        </is>
      </c>
      <c r="I1101" s="4" t="n">
        <v>2</v>
      </c>
      <c r="J1101" s="6" t="n">
        <v>10.8</v>
      </c>
      <c r="K1101" s="6" t="n">
        <v>287.1442189</v>
      </c>
      <c r="L1101" s="6">
        <f>I1101*K1101</f>
        <v/>
      </c>
      <c r="M1101" s="6">
        <f>K1101*4</f>
        <v/>
      </c>
      <c r="N1101" s="6" t="n">
        <v>1149</v>
      </c>
    </row>
    <row r="1102">
      <c r="A1102" s="1" t="inlineStr">
        <is>
          <t>38332091186797</t>
        </is>
      </c>
      <c r="B1102" s="1" t="inlineStr">
        <is>
          <t>ANILLO T EDGE SILVER</t>
        </is>
      </c>
      <c r="C1102" s="1" t="n">
        <v>7</v>
      </c>
      <c r="D1102" s="1" t="inlineStr">
        <is>
          <t>27/04/2026</t>
        </is>
      </c>
      <c r="E1102" s="1" t="n">
        <v>2026</v>
      </c>
      <c r="F1102" s="1" t="inlineStr">
        <is>
          <t>ABRIL</t>
        </is>
      </c>
      <c r="G1102" s="1" t="inlineStr">
        <is>
          <t>CYNTHIA</t>
        </is>
      </c>
      <c r="H1102" s="1" t="inlineStr">
        <is>
          <t>CYNTHIA 27/04/2026</t>
        </is>
      </c>
      <c r="I1102" s="4" t="n">
        <v>2</v>
      </c>
      <c r="J1102" s="6" t="n">
        <v>10.8</v>
      </c>
      <c r="K1102" s="6" t="n">
        <v>280.2610003</v>
      </c>
      <c r="L1102" s="6">
        <f>I1102*K1102</f>
        <v/>
      </c>
      <c r="M1102" s="6">
        <f>K1102*4</f>
        <v/>
      </c>
      <c r="N1102" s="6" t="n">
        <v>1099</v>
      </c>
    </row>
    <row r="1103">
      <c r="A1103" s="1" t="inlineStr">
        <is>
          <t>38332091487821</t>
        </is>
      </c>
      <c r="B1103" s="1" t="inlineStr">
        <is>
          <t>PULSERA LV DOUBLE HEART GOLD-SILVER</t>
        </is>
      </c>
      <c r="C1103" s="1" t="inlineStr">
        <is>
          <t>Default Title</t>
        </is>
      </c>
      <c r="D1103" s="1" t="inlineStr">
        <is>
          <t>07/01/2026</t>
        </is>
      </c>
      <c r="E1103" s="1" t="n">
        <v>2026</v>
      </c>
      <c r="F1103" s="1" t="inlineStr">
        <is>
          <t>ENERO</t>
        </is>
      </c>
      <c r="G1103" s="1" t="inlineStr">
        <is>
          <t>CYNTHIA</t>
        </is>
      </c>
      <c r="H1103" s="1" t="inlineStr">
        <is>
          <t>CYNTHIA 07/01/2026</t>
        </is>
      </c>
      <c r="I1103" s="4" t="n">
        <v>3</v>
      </c>
      <c r="J1103" s="6" t="n">
        <v>4.5</v>
      </c>
      <c r="K1103" s="6" t="n">
        <v>119.6434245</v>
      </c>
      <c r="L1103" s="6">
        <f>I1103*K1103</f>
        <v/>
      </c>
      <c r="M1103" s="6">
        <f>K1103*4</f>
        <v/>
      </c>
      <c r="N1103" s="6" t="n">
        <v>479</v>
      </c>
    </row>
    <row r="1104">
      <c r="A1104" s="1" t="inlineStr">
        <is>
          <t>38332091513773</t>
        </is>
      </c>
      <c r="B1104" s="1" t="inlineStr">
        <is>
          <t>ARETES LOGO CC GOLD CON ZIRCONIAS</t>
        </is>
      </c>
      <c r="C1104" s="1" t="inlineStr">
        <is>
          <t>Default Title</t>
        </is>
      </c>
      <c r="D1104" s="1" t="inlineStr">
        <is>
          <t>25/10/2025</t>
        </is>
      </c>
      <c r="E1104" s="1" t="n">
        <v>2025</v>
      </c>
      <c r="F1104" s="1" t="inlineStr">
        <is>
          <t>OCTUBRE</t>
        </is>
      </c>
      <c r="G1104" s="1" t="inlineStr">
        <is>
          <t>CYNTHIA</t>
        </is>
      </c>
      <c r="H1104" s="1" t="inlineStr">
        <is>
          <t>CYNTHIA 25/10/2025</t>
        </is>
      </c>
      <c r="I1104" s="4" t="n">
        <v>4</v>
      </c>
      <c r="J1104" s="6" t="n">
        <v>3.78</v>
      </c>
      <c r="K1104" s="6" t="n">
        <v>99.04289317</v>
      </c>
      <c r="L1104" s="6">
        <f>I1104*K1104</f>
        <v/>
      </c>
      <c r="M1104" s="6">
        <f>K1104*4</f>
        <v/>
      </c>
      <c r="N1104" s="6" t="n">
        <v>399</v>
      </c>
    </row>
    <row r="1105">
      <c r="A1105" s="1" t="inlineStr">
        <is>
          <t>38332091513773</t>
        </is>
      </c>
      <c r="B1105" s="1" t="inlineStr">
        <is>
          <t>ARETES LOGO CC GOLD CON ZIRCONIAS</t>
        </is>
      </c>
      <c r="C1105" s="1" t="inlineStr">
        <is>
          <t>Default Title</t>
        </is>
      </c>
      <c r="D1105" s="1" t="inlineStr">
        <is>
          <t>07/01/2026</t>
        </is>
      </c>
      <c r="E1105" s="1" t="n">
        <v>2026</v>
      </c>
      <c r="F1105" s="1" t="inlineStr">
        <is>
          <t>ENERO</t>
        </is>
      </c>
      <c r="G1105" s="1" t="inlineStr">
        <is>
          <t>CYNTHIA</t>
        </is>
      </c>
      <c r="H1105" s="1" t="inlineStr">
        <is>
          <t>CYNTHIA 07/01/2026</t>
        </is>
      </c>
      <c r="I1105" s="4" t="n">
        <v>8</v>
      </c>
      <c r="J1105" s="6" t="n">
        <v>3.78</v>
      </c>
      <c r="K1105" s="6" t="n">
        <v>100.5004766</v>
      </c>
      <c r="L1105" s="6">
        <f>I1105*K1105</f>
        <v/>
      </c>
      <c r="M1105" s="6">
        <f>K1105*4</f>
        <v/>
      </c>
      <c r="N1105" s="6" t="n">
        <v>399</v>
      </c>
    </row>
    <row r="1106">
      <c r="A1106" s="1" t="inlineStr">
        <is>
          <t>38332091513773</t>
        </is>
      </c>
      <c r="B1106" s="1" t="inlineStr">
        <is>
          <t>ARETES LOGO CC GOLD CON ZIRCONIAS</t>
        </is>
      </c>
      <c r="C1106" s="1" t="inlineStr">
        <is>
          <t>Default Title</t>
        </is>
      </c>
      <c r="D1106" s="1" t="inlineStr">
        <is>
          <t>27/04/2026</t>
        </is>
      </c>
      <c r="E1106" s="1" t="n">
        <v>2026</v>
      </c>
      <c r="F1106" s="1" t="inlineStr">
        <is>
          <t>ABRIL</t>
        </is>
      </c>
      <c r="G1106" s="1" t="inlineStr">
        <is>
          <t>CYNTHIA</t>
        </is>
      </c>
      <c r="H1106" s="1" t="inlineStr">
        <is>
          <t>CYNTHIA 27/04/2026</t>
        </is>
      </c>
      <c r="I1106" s="4" t="n">
        <v>10</v>
      </c>
      <c r="J1106" s="6" t="n">
        <v>3.78</v>
      </c>
      <c r="K1106" s="6" t="n">
        <v>98.09135009000001</v>
      </c>
      <c r="L1106" s="6">
        <f>I1106*K1106</f>
        <v/>
      </c>
      <c r="M1106" s="6">
        <f>K1106*4</f>
        <v/>
      </c>
      <c r="N1106" s="6" t="n">
        <v>399</v>
      </c>
    </row>
    <row r="1107">
      <c r="A1107" s="1" t="inlineStr">
        <is>
          <t>38332091841901</t>
        </is>
      </c>
      <c r="B1107" s="1" t="inlineStr">
        <is>
          <t>ARETES LW ANAGRAM GOLD</t>
        </is>
      </c>
      <c r="C1107" s="1" t="inlineStr">
        <is>
          <t>Default Title</t>
        </is>
      </c>
      <c r="D1107" s="1" t="inlineStr">
        <is>
          <t>25/10/2025</t>
        </is>
      </c>
      <c r="E1107" s="1" t="n">
        <v>2025</v>
      </c>
      <c r="F1107" s="1" t="inlineStr">
        <is>
          <t>OCTUBRE</t>
        </is>
      </c>
      <c r="G1107" s="1" t="inlineStr">
        <is>
          <t>CYNTHIA</t>
        </is>
      </c>
      <c r="H1107" s="1" t="inlineStr">
        <is>
          <t>CYNTHIA 25/10/2025</t>
        </is>
      </c>
      <c r="I1107" s="4" t="n">
        <v>10</v>
      </c>
      <c r="J1107" s="6" t="n">
        <v>3.5</v>
      </c>
      <c r="K1107" s="6" t="n">
        <v>91.70638255999999</v>
      </c>
      <c r="L1107" s="6">
        <f>I1107*K1107</f>
        <v/>
      </c>
      <c r="M1107" s="6">
        <f>K1107*4</f>
        <v/>
      </c>
      <c r="N1107" s="6" t="n">
        <v>450</v>
      </c>
    </row>
    <row r="1108">
      <c r="A1108" s="1" t="inlineStr">
        <is>
          <t>38332091841901</t>
        </is>
      </c>
      <c r="B1108" s="1" t="inlineStr">
        <is>
          <t>ARETES LW ANAGRAM GOLD</t>
        </is>
      </c>
      <c r="C1108" s="1" t="inlineStr">
        <is>
          <t>Default Title</t>
        </is>
      </c>
      <c r="D1108" s="1" t="inlineStr">
        <is>
          <t>07/01/2026</t>
        </is>
      </c>
      <c r="E1108" s="1" t="n">
        <v>2026</v>
      </c>
      <c r="F1108" s="1" t="inlineStr">
        <is>
          <t>ENERO</t>
        </is>
      </c>
      <c r="G1108" s="1" t="inlineStr">
        <is>
          <t>CYNTHIA</t>
        </is>
      </c>
      <c r="H1108" s="1" t="inlineStr">
        <is>
          <t>CYNTHIA 07/01/2026</t>
        </is>
      </c>
      <c r="I1108" s="4" t="n">
        <v>20</v>
      </c>
      <c r="J1108" s="6" t="n">
        <v>3.5</v>
      </c>
      <c r="K1108" s="6" t="n">
        <v>93.05599685999999</v>
      </c>
      <c r="L1108" s="6">
        <f>I1108*K1108</f>
        <v/>
      </c>
      <c r="M1108" s="6">
        <f>K1108*4</f>
        <v/>
      </c>
      <c r="N1108" s="6" t="n">
        <v>450</v>
      </c>
    </row>
    <row r="1109">
      <c r="A1109" s="1" t="inlineStr">
        <is>
          <t>38332091841901</t>
        </is>
      </c>
      <c r="B1109" s="1" t="inlineStr">
        <is>
          <t>ARETES LW ANAGRAM GOLD</t>
        </is>
      </c>
      <c r="C1109" s="1" t="inlineStr">
        <is>
          <t>Default Title</t>
        </is>
      </c>
      <c r="D1109" s="1" t="inlineStr">
        <is>
          <t>19/03/2026</t>
        </is>
      </c>
      <c r="E1109" s="1" t="n">
        <v>2026</v>
      </c>
      <c r="F1109" s="1" t="inlineStr">
        <is>
          <t>MARZO</t>
        </is>
      </c>
      <c r="G1109" s="1" t="inlineStr">
        <is>
          <t>CYNTHIA</t>
        </is>
      </c>
      <c r="H1109" s="1" t="inlineStr">
        <is>
          <t>CYNTHIA 19/03/2026</t>
        </is>
      </c>
      <c r="I1109" s="4" t="n">
        <v>30</v>
      </c>
      <c r="J1109" s="6" t="n">
        <v>4</v>
      </c>
      <c r="K1109" s="6" t="n">
        <v>107.4296632</v>
      </c>
      <c r="L1109" s="6">
        <f>I1109*K1109</f>
        <v/>
      </c>
      <c r="M1109" s="6">
        <f>K1109*4</f>
        <v/>
      </c>
      <c r="N1109" s="6" t="n">
        <v>450</v>
      </c>
    </row>
    <row r="1110">
      <c r="A1110" s="1" t="inlineStr">
        <is>
          <t>38332091841901</t>
        </is>
      </c>
      <c r="B1110" s="1" t="inlineStr">
        <is>
          <t>ARETES LW ANAGRAM GOLD</t>
        </is>
      </c>
      <c r="C1110" s="1" t="inlineStr">
        <is>
          <t>Default Title</t>
        </is>
      </c>
      <c r="D1110" s="1" t="inlineStr">
        <is>
          <t>31/05/2026</t>
        </is>
      </c>
      <c r="E1110" s="1" t="n">
        <v>2026</v>
      </c>
      <c r="F1110" s="1" t="inlineStr">
        <is>
          <t>MAYO</t>
        </is>
      </c>
      <c r="G1110" s="1" t="inlineStr">
        <is>
          <t>CYNTHIA</t>
        </is>
      </c>
      <c r="H1110" s="1" t="inlineStr">
        <is>
          <t>CYNTHIA 31/05/2026</t>
        </is>
      </c>
      <c r="I1110" s="4" t="n">
        <v>15</v>
      </c>
      <c r="J1110" s="6" t="n">
        <v>4</v>
      </c>
      <c r="K1110" s="6" t="n">
        <v>106.0041799</v>
      </c>
      <c r="L1110" s="6">
        <f>I1110*K1110</f>
        <v/>
      </c>
      <c r="M1110" s="6">
        <f>K1110*4</f>
        <v/>
      </c>
      <c r="N1110" s="6" t="n">
        <v>450</v>
      </c>
    </row>
    <row r="1111">
      <c r="A1111" s="1" t="inlineStr">
        <is>
          <t>38332091970605</t>
        </is>
      </c>
      <c r="B1111" s="1" t="inlineStr">
        <is>
          <t>ARETES DG CON PERLA GOLD</t>
        </is>
      </c>
      <c r="C1111" s="1" t="inlineStr">
        <is>
          <t>Default Title</t>
        </is>
      </c>
      <c r="D1111" s="1" t="inlineStr">
        <is>
          <t>07/01/2026</t>
        </is>
      </c>
      <c r="E1111" s="1" t="n">
        <v>2026</v>
      </c>
      <c r="F1111" s="1" t="inlineStr">
        <is>
          <t>ENERO</t>
        </is>
      </c>
      <c r="G1111" s="1" t="inlineStr">
        <is>
          <t>CYNTHIA</t>
        </is>
      </c>
      <c r="H1111" s="1" t="inlineStr">
        <is>
          <t>CYNTHIA 07/01/2026</t>
        </is>
      </c>
      <c r="I1111" s="4" t="n">
        <v>3</v>
      </c>
      <c r="J1111" s="6" t="n">
        <v>8.800000000000001</v>
      </c>
      <c r="K1111" s="6" t="n">
        <v>233.9693635</v>
      </c>
      <c r="L1111" s="6">
        <f>I1111*K1111</f>
        <v/>
      </c>
      <c r="M1111" s="6">
        <f>K1111*4</f>
        <v/>
      </c>
      <c r="N1111" s="6" t="n">
        <v>850</v>
      </c>
    </row>
    <row r="1112">
      <c r="A1112" s="1" t="inlineStr">
        <is>
          <t>38332091970605</t>
        </is>
      </c>
      <c r="B1112" s="1" t="inlineStr">
        <is>
          <t>ARETES DG CON PERLA GOLD</t>
        </is>
      </c>
      <c r="C1112" s="1" t="inlineStr">
        <is>
          <t>Default Title</t>
        </is>
      </c>
      <c r="D1112" s="1" t="inlineStr">
        <is>
          <t>31/05/2026</t>
        </is>
      </c>
      <c r="E1112" s="1" t="n">
        <v>2026</v>
      </c>
      <c r="F1112" s="1" t="inlineStr">
        <is>
          <t>MAYO</t>
        </is>
      </c>
      <c r="G1112" s="1" t="inlineStr">
        <is>
          <t>CYNTHIA</t>
        </is>
      </c>
      <c r="H1112" s="1" t="inlineStr">
        <is>
          <t>CYNTHIA 31/05/2026</t>
        </is>
      </c>
      <c r="I1112" s="4" t="n">
        <v>3</v>
      </c>
      <c r="J1112" s="6" t="n">
        <v>8.800000000000001</v>
      </c>
      <c r="K1112" s="6" t="n">
        <v>233.2091958</v>
      </c>
      <c r="L1112" s="6">
        <f>I1112*K1112</f>
        <v/>
      </c>
      <c r="M1112" s="6">
        <f>K1112*4</f>
        <v/>
      </c>
      <c r="N1112" s="6" t="n">
        <v>850</v>
      </c>
    </row>
    <row r="1113">
      <c r="A1113" s="1" t="inlineStr">
        <is>
          <t>38332092017357</t>
        </is>
      </c>
      <c r="B1113" s="1" t="inlineStr">
        <is>
          <t>LENTES LV MILIONAIRES SQUARE</t>
        </is>
      </c>
      <c r="C1113" s="1" t="inlineStr">
        <is>
          <t>Default Title</t>
        </is>
      </c>
      <c r="D1113" s="1" t="inlineStr">
        <is>
          <t>07/01/2026</t>
        </is>
      </c>
      <c r="E1113" s="1" t="n">
        <v>2026</v>
      </c>
      <c r="F1113" s="1" t="inlineStr">
        <is>
          <t>ENERO</t>
        </is>
      </c>
      <c r="G1113" s="1" t="inlineStr">
        <is>
          <t>CYNTHIA</t>
        </is>
      </c>
      <c r="H1113" s="1" t="inlineStr">
        <is>
          <t>CYNTHIA 07/01/2026</t>
        </is>
      </c>
      <c r="I1113" s="4" t="n">
        <v>2</v>
      </c>
      <c r="J1113" s="6" t="n">
        <v>30</v>
      </c>
      <c r="K1113" s="6" t="n">
        <v>797.6228302</v>
      </c>
      <c r="L1113" s="6">
        <f>I1113*K1113</f>
        <v/>
      </c>
      <c r="M1113" s="6">
        <f>K1113*4</f>
        <v/>
      </c>
      <c r="N1113" s="6" t="n">
        <v>3115</v>
      </c>
    </row>
    <row r="1114">
      <c r="A1114" s="1" t="inlineStr">
        <is>
          <t>38332092017357</t>
        </is>
      </c>
      <c r="B1114" s="1" t="inlineStr">
        <is>
          <t>LENTES LV MILIONAIRES SQUARE</t>
        </is>
      </c>
      <c r="C1114" s="1" t="inlineStr">
        <is>
          <t>Default Title</t>
        </is>
      </c>
      <c r="D1114" s="1" t="inlineStr">
        <is>
          <t>18/02/2026</t>
        </is>
      </c>
      <c r="E1114" s="1" t="n">
        <v>2026</v>
      </c>
      <c r="F1114" s="1" t="inlineStr">
        <is>
          <t>FEBRERO</t>
        </is>
      </c>
      <c r="G1114" s="1" t="inlineStr">
        <is>
          <t>CYNTHIA</t>
        </is>
      </c>
      <c r="H1114" s="1" t="inlineStr">
        <is>
          <t>CYNTHIA 18/02/2026</t>
        </is>
      </c>
      <c r="I1114" s="4" t="n">
        <v>2</v>
      </c>
      <c r="J1114" s="6" t="n">
        <v>30</v>
      </c>
      <c r="K1114" s="6" t="n">
        <v>811.300956</v>
      </c>
      <c r="L1114" s="6">
        <f>I1114*K1114</f>
        <v/>
      </c>
      <c r="M1114" s="6">
        <f>K1114*4</f>
        <v/>
      </c>
      <c r="N1114" s="6" t="n">
        <v>3115</v>
      </c>
    </row>
    <row r="1115">
      <c r="A1115" s="1" t="inlineStr">
        <is>
          <t>38332092017357</t>
        </is>
      </c>
      <c r="B1115" s="1" t="inlineStr">
        <is>
          <t>LENTES LV MILIONAIRES SQUARE</t>
        </is>
      </c>
      <c r="C1115" s="1" t="inlineStr">
        <is>
          <t>Default Title</t>
        </is>
      </c>
      <c r="D1115" s="1" t="inlineStr">
        <is>
          <t>27/04/2026</t>
        </is>
      </c>
      <c r="E1115" s="1" t="n">
        <v>2026</v>
      </c>
      <c r="F1115" s="1" t="inlineStr">
        <is>
          <t>ABRIL</t>
        </is>
      </c>
      <c r="G1115" s="1" t="inlineStr">
        <is>
          <t>CYNTHIA</t>
        </is>
      </c>
      <c r="H1115" s="1" t="inlineStr">
        <is>
          <t>CYNTHIA 27/04/2026</t>
        </is>
      </c>
      <c r="I1115" s="4" t="n">
        <v>2</v>
      </c>
      <c r="J1115" s="6" t="n">
        <v>30</v>
      </c>
      <c r="K1115" s="6" t="n">
        <v>778.5027785</v>
      </c>
      <c r="L1115" s="6">
        <f>I1115*K1115</f>
        <v/>
      </c>
      <c r="M1115" s="6">
        <f>K1115*4</f>
        <v/>
      </c>
      <c r="N1115" s="6" t="n">
        <v>3115</v>
      </c>
    </row>
    <row r="1116">
      <c r="A1116" s="1" t="inlineStr">
        <is>
          <t>38334521007073</t>
        </is>
      </c>
      <c r="B1116" s="1" t="inlineStr">
        <is>
          <t>ANILLO TREBOL GOLD</t>
        </is>
      </c>
      <c r="C1116" s="1" t="inlineStr">
        <is>
          <t>7</t>
        </is>
      </c>
      <c r="D1116" s="1" t="inlineStr">
        <is>
          <t>25/09/2025</t>
        </is>
      </c>
      <c r="E1116" s="1" t="n">
        <v>2025</v>
      </c>
      <c r="F1116" s="1" t="inlineStr">
        <is>
          <t>SEPTIEMBRE</t>
        </is>
      </c>
      <c r="G1116" s="1" t="inlineStr">
        <is>
          <t>HAIFENG</t>
        </is>
      </c>
      <c r="H1116" s="1" t="inlineStr">
        <is>
          <t>HAIFENG 25/09/2025</t>
        </is>
      </c>
      <c r="I1116" s="4" t="n">
        <v>4</v>
      </c>
      <c r="J1116" s="6" t="n">
        <v>5.99</v>
      </c>
      <c r="K1116" s="6" t="n">
        <v>126.3703458</v>
      </c>
      <c r="L1116" s="6">
        <f>I1116*K1116</f>
        <v/>
      </c>
      <c r="M1116" s="6">
        <f>K1116*4</f>
        <v/>
      </c>
      <c r="N1116" s="6" t="n">
        <v>599</v>
      </c>
    </row>
    <row r="1117">
      <c r="A1117" s="1" t="inlineStr">
        <is>
          <t>38334521007073</t>
        </is>
      </c>
      <c r="B1117" s="1" t="inlineStr">
        <is>
          <t>ANILLO TRÉBOL GOLD</t>
        </is>
      </c>
      <c r="C1117" s="1" t="inlineStr">
        <is>
          <t>7</t>
        </is>
      </c>
      <c r="D1117" s="1" t="inlineStr">
        <is>
          <t>20/01/2026</t>
        </is>
      </c>
      <c r="E1117" s="1" t="n">
        <v>2026</v>
      </c>
      <c r="F1117" s="1" t="inlineStr">
        <is>
          <t>ENERO</t>
        </is>
      </c>
      <c r="G1117" s="1" t="inlineStr">
        <is>
          <t>HAIFENG</t>
        </is>
      </c>
      <c r="H1117" s="1" t="inlineStr">
        <is>
          <t>HAIFENG 20/01/2026</t>
        </is>
      </c>
      <c r="I1117" s="4" t="n">
        <v>4</v>
      </c>
      <c r="J1117" s="6" t="n">
        <v>5.99</v>
      </c>
      <c r="K1117" s="6" t="n">
        <v>126.9905026</v>
      </c>
      <c r="L1117" s="6">
        <f>I1117*K1117</f>
        <v/>
      </c>
      <c r="M1117" s="6">
        <f>K1117*4</f>
        <v/>
      </c>
      <c r="N1117" s="6" t="n">
        <v>599</v>
      </c>
    </row>
    <row r="1118">
      <c r="A1118" s="1" t="inlineStr">
        <is>
          <t>38334521007073</t>
        </is>
      </c>
      <c r="B1118" s="1" t="inlineStr">
        <is>
          <t>ANILLO TRÉBOL GOLD</t>
        </is>
      </c>
      <c r="C1118" s="1" t="inlineStr">
        <is>
          <t>7</t>
        </is>
      </c>
      <c r="D1118" s="1" t="inlineStr">
        <is>
          <t>10/02/2026</t>
        </is>
      </c>
      <c r="E1118" s="1" t="n">
        <v>2026</v>
      </c>
      <c r="F1118" s="1" t="inlineStr">
        <is>
          <t>FEBRERO</t>
        </is>
      </c>
      <c r="G1118" s="1" t="inlineStr">
        <is>
          <t>HAIFENG</t>
        </is>
      </c>
      <c r="H1118" s="1" t="inlineStr">
        <is>
          <t>HAIFENG 10/02/2026</t>
        </is>
      </c>
      <c r="I1118" s="4" t="n">
        <v>2</v>
      </c>
      <c r="J1118" s="6" t="n">
        <v>5.99</v>
      </c>
      <c r="K1118" s="6" t="n">
        <v>126.2002914</v>
      </c>
      <c r="L1118" s="6">
        <f>I1118*K1118</f>
        <v/>
      </c>
      <c r="M1118" s="6">
        <f>K1118*4</f>
        <v/>
      </c>
      <c r="N1118" s="6" t="n">
        <v>599</v>
      </c>
    </row>
    <row r="1119">
      <c r="A1119" s="1" t="inlineStr">
        <is>
          <t>38334521007073</t>
        </is>
      </c>
      <c r="B1119" s="1" t="inlineStr">
        <is>
          <t>ANILLO TRÉBOL GOLD</t>
        </is>
      </c>
      <c r="C1119" s="1" t="inlineStr">
        <is>
          <t>7</t>
        </is>
      </c>
      <c r="D1119" s="1" t="inlineStr">
        <is>
          <t>26/05/2026</t>
        </is>
      </c>
      <c r="E1119" s="1" t="n">
        <v>2026</v>
      </c>
      <c r="F1119" s="1" t="inlineStr">
        <is>
          <t>MAYO</t>
        </is>
      </c>
      <c r="G1119" s="1" t="inlineStr">
        <is>
          <t>HAIFENG</t>
        </is>
      </c>
      <c r="H1119" s="1" t="inlineStr">
        <is>
          <t>HAIFENG 26/05/2026</t>
        </is>
      </c>
      <c r="I1119" s="4" t="n">
        <v>3</v>
      </c>
      <c r="J1119" s="6" t="n">
        <v>5.99</v>
      </c>
      <c r="K1119" s="6" t="n">
        <v>125.7258788</v>
      </c>
      <c r="L1119" s="6">
        <f>I1119*K1119</f>
        <v/>
      </c>
      <c r="M1119" s="6">
        <f>K1119*4</f>
        <v/>
      </c>
      <c r="N1119" s="6" t="n">
        <v>599</v>
      </c>
    </row>
    <row r="1120">
      <c r="A1120" s="1" t="inlineStr">
        <is>
          <t>38334521139841</t>
        </is>
      </c>
      <c r="B1120" s="1" t="inlineStr">
        <is>
          <t>ANILLO TRÉBOL GOLD</t>
        </is>
      </c>
      <c r="C1120" s="1" t="inlineStr">
        <is>
          <t>6</t>
        </is>
      </c>
      <c r="D1120" s="1" t="inlineStr">
        <is>
          <t>01/09/2025</t>
        </is>
      </c>
      <c r="E1120" s="1" t="n">
        <v>2025</v>
      </c>
      <c r="F1120" s="1" t="inlineStr">
        <is>
          <t>SEPTIEMBRE</t>
        </is>
      </c>
      <c r="G1120" s="1" t="inlineStr">
        <is>
          <t>HAIFENG</t>
        </is>
      </c>
      <c r="H1120" s="1" t="inlineStr">
        <is>
          <t>HAIFENG 01/09/2025</t>
        </is>
      </c>
      <c r="I1120" s="4" t="n">
        <v>4</v>
      </c>
      <c r="J1120" s="6" t="n">
        <v>5.99</v>
      </c>
      <c r="K1120" s="6" t="n">
        <v>127.3214697</v>
      </c>
      <c r="L1120" s="6">
        <f>I1120*K1120</f>
        <v/>
      </c>
      <c r="M1120" s="6">
        <f>K1120*4</f>
        <v/>
      </c>
      <c r="N1120" s="6" t="n">
        <v>599</v>
      </c>
    </row>
    <row r="1121">
      <c r="A1121" s="1" t="inlineStr">
        <is>
          <t>38334521139841</t>
        </is>
      </c>
      <c r="B1121" s="1" t="inlineStr">
        <is>
          <t>ANILLO TREBOL GOLD</t>
        </is>
      </c>
      <c r="C1121" s="1" t="inlineStr">
        <is>
          <t>6</t>
        </is>
      </c>
      <c r="D1121" s="1" t="inlineStr">
        <is>
          <t>11/11/2025</t>
        </is>
      </c>
      <c r="E1121" s="1" t="n">
        <v>2025</v>
      </c>
      <c r="F1121" s="1" t="inlineStr">
        <is>
          <t>NOVIEMBRE</t>
        </is>
      </c>
      <c r="G1121" s="1" t="inlineStr">
        <is>
          <t>HAIFENG</t>
        </is>
      </c>
      <c r="H1121" s="1" t="inlineStr">
        <is>
          <t>HAIFENG 11/11/2025</t>
        </is>
      </c>
      <c r="I1121" s="4" t="n">
        <v>2</v>
      </c>
      <c r="J1121" s="6" t="n">
        <v>5.99</v>
      </c>
      <c r="K1121" s="6" t="n">
        <v>126.1523857</v>
      </c>
      <c r="L1121" s="6">
        <f>I1121*K1121</f>
        <v/>
      </c>
      <c r="M1121" s="6">
        <f>K1121*4</f>
        <v/>
      </c>
      <c r="N1121" s="6" t="n">
        <v>599</v>
      </c>
    </row>
    <row r="1122">
      <c r="A1122" s="1" t="inlineStr">
        <is>
          <t>38334521369409</t>
        </is>
      </c>
      <c r="B1122" s="1" t="inlineStr">
        <is>
          <t>ANILLO TRÉBOL SILVER</t>
        </is>
      </c>
      <c r="C1122" s="1" t="inlineStr">
        <is>
          <t>7</t>
        </is>
      </c>
      <c r="D1122" s="1" t="inlineStr">
        <is>
          <t>11/11/2025</t>
        </is>
      </c>
      <c r="E1122" s="1" t="n">
        <v>2025</v>
      </c>
      <c r="F1122" s="1" t="inlineStr">
        <is>
          <t>NOVIEMBRE</t>
        </is>
      </c>
      <c r="G1122" s="1" t="inlineStr">
        <is>
          <t>HAIFENG</t>
        </is>
      </c>
      <c r="H1122" s="1" t="inlineStr">
        <is>
          <t>HAIFENG 11/11/2025</t>
        </is>
      </c>
      <c r="I1122" s="4" t="n">
        <v>1</v>
      </c>
      <c r="J1122" s="6" t="n">
        <v>5.99</v>
      </c>
      <c r="K1122" s="6" t="n">
        <v>126.1523857</v>
      </c>
      <c r="L1122" s="6">
        <f>I1122*K1122</f>
        <v/>
      </c>
      <c r="M1122" s="6">
        <f>K1122*4</f>
        <v/>
      </c>
      <c r="N1122" s="6" t="n">
        <v>599</v>
      </c>
    </row>
    <row r="1123">
      <c r="A1123" s="1" t="inlineStr">
        <is>
          <t>38334521369409</t>
        </is>
      </c>
      <c r="B1123" s="1" t="inlineStr">
        <is>
          <t>ANILLO TRÉBOL SILVER</t>
        </is>
      </c>
      <c r="C1123" s="1" t="inlineStr">
        <is>
          <t>7</t>
        </is>
      </c>
      <c r="D1123" s="1" t="inlineStr">
        <is>
          <t>03/12/2025</t>
        </is>
      </c>
      <c r="E1123" s="1" t="n">
        <v>2025</v>
      </c>
      <c r="F1123" s="1" t="inlineStr">
        <is>
          <t>DICIEMBRE</t>
        </is>
      </c>
      <c r="G1123" s="1" t="inlineStr">
        <is>
          <t>HAIFENG</t>
        </is>
      </c>
      <c r="H1123" s="1" t="inlineStr">
        <is>
          <t>HAIFENG 03/12/2025</t>
        </is>
      </c>
      <c r="I1123" s="4" t="n">
        <v>2</v>
      </c>
      <c r="J1123" s="6" t="n">
        <v>5.99</v>
      </c>
      <c r="K1123" s="6" t="n">
        <v>125.2937885</v>
      </c>
      <c r="L1123" s="6">
        <f>I1123*K1123</f>
        <v/>
      </c>
      <c r="M1123" s="6">
        <f>K1123*4</f>
        <v/>
      </c>
      <c r="N1123" s="6" t="n">
        <v>599</v>
      </c>
    </row>
    <row r="1124">
      <c r="A1124" s="1" t="inlineStr">
        <is>
          <t>38334521369409</t>
        </is>
      </c>
      <c r="B1124" s="1" t="inlineStr">
        <is>
          <t>ANILLO TRÉBOL SILVER</t>
        </is>
      </c>
      <c r="C1124" s="1" t="inlineStr">
        <is>
          <t>7</t>
        </is>
      </c>
      <c r="D1124" s="1" t="inlineStr">
        <is>
          <t>20/01/2026</t>
        </is>
      </c>
      <c r="E1124" s="1" t="n">
        <v>2026</v>
      </c>
      <c r="F1124" s="1" t="inlineStr">
        <is>
          <t>ENERO</t>
        </is>
      </c>
      <c r="G1124" s="1" t="inlineStr">
        <is>
          <t>HAIFENG</t>
        </is>
      </c>
      <c r="H1124" s="1" t="inlineStr">
        <is>
          <t>HAIFENG 20/01/2026</t>
        </is>
      </c>
      <c r="I1124" s="4" t="n">
        <v>1</v>
      </c>
      <c r="J1124" s="6" t="n">
        <v>5.99</v>
      </c>
      <c r="K1124" s="6" t="n">
        <v>126.9905026</v>
      </c>
      <c r="L1124" s="6">
        <f>I1124*K1124</f>
        <v/>
      </c>
      <c r="M1124" s="6">
        <f>K1124*4</f>
        <v/>
      </c>
      <c r="N1124" s="6" t="n">
        <v>599</v>
      </c>
    </row>
    <row r="1125">
      <c r="A1125" s="1" t="inlineStr">
        <is>
          <t>38334521369409</t>
        </is>
      </c>
      <c r="B1125" s="1" t="inlineStr">
        <is>
          <t>ANILLO TRÉBOL SILVER</t>
        </is>
      </c>
      <c r="C1125" s="1" t="inlineStr">
        <is>
          <t>7</t>
        </is>
      </c>
      <c r="D1125" s="1" t="inlineStr">
        <is>
          <t>16/04/2026</t>
        </is>
      </c>
      <c r="E1125" s="1" t="n">
        <v>2026</v>
      </c>
      <c r="F1125" s="1" t="inlineStr">
        <is>
          <t>ABRIL</t>
        </is>
      </c>
      <c r="G1125" s="1" t="inlineStr">
        <is>
          <t>HAIFENG</t>
        </is>
      </c>
      <c r="H1125" s="1" t="inlineStr">
        <is>
          <t>HAIFENG 16/04/2026</t>
        </is>
      </c>
      <c r="I1125" s="4" t="n">
        <v>2</v>
      </c>
      <c r="J1125" s="6" t="n">
        <v>5.99</v>
      </c>
      <c r="K1125" s="6" t="n">
        <v>125.9785268</v>
      </c>
      <c r="L1125" s="6">
        <f>I1125*K1125</f>
        <v/>
      </c>
      <c r="M1125" s="6">
        <f>K1125*4</f>
        <v/>
      </c>
      <c r="N1125" s="6" t="n">
        <v>599</v>
      </c>
    </row>
    <row r="1126">
      <c r="A1126" s="1" t="inlineStr">
        <is>
          <t>38367871068493</t>
        </is>
      </c>
      <c r="B1126" s="1" t="inlineStr">
        <is>
          <t>ANILLO JUSTE UN CLOU SILVER CON ZIRCONIA-7</t>
        </is>
      </c>
      <c r="C1126" s="1" t="n">
        <v>7</v>
      </c>
      <c r="D1126" s="1" t="inlineStr">
        <is>
          <t>25/09/2025</t>
        </is>
      </c>
      <c r="E1126" s="1" t="n">
        <v>2025</v>
      </c>
      <c r="F1126" s="1" t="inlineStr">
        <is>
          <t>SEPTIEMBRE</t>
        </is>
      </c>
      <c r="G1126" s="1" t="inlineStr">
        <is>
          <t>HAIFENG</t>
        </is>
      </c>
      <c r="H1126" s="1" t="inlineStr">
        <is>
          <t>HAIFENG 25/09/2025</t>
        </is>
      </c>
      <c r="I1126" s="4" t="n">
        <v>2</v>
      </c>
      <c r="J1126" s="6" t="n">
        <v>7.5</v>
      </c>
      <c r="K1126" s="6" t="n">
        <v>158.2266433</v>
      </c>
      <c r="L1126" s="6">
        <f>I1126*K1126</f>
        <v/>
      </c>
      <c r="M1126" s="6">
        <f>K1126*4</f>
        <v/>
      </c>
      <c r="N1126" s="6" t="n">
        <v>650</v>
      </c>
    </row>
    <row r="1127">
      <c r="A1127" s="1" t="inlineStr">
        <is>
          <t>38563859802892</t>
        </is>
      </c>
      <c r="B1127" s="1" t="inlineStr">
        <is>
          <t>COLLAR CORAZÓN GOLD</t>
        </is>
      </c>
      <c r="C1127" s="1" t="inlineStr">
        <is>
          <t>44 cm / dije 2.5cm</t>
        </is>
      </c>
      <c r="D1127" s="1" t="inlineStr">
        <is>
          <t>02/03/2026</t>
        </is>
      </c>
      <c r="E1127" s="1" t="n">
        <v>2026</v>
      </c>
      <c r="F1127" s="1" t="inlineStr">
        <is>
          <t>MARZO</t>
        </is>
      </c>
      <c r="G1127" s="1" t="inlineStr">
        <is>
          <t>ZOEY</t>
        </is>
      </c>
      <c r="H1127" s="1" t="inlineStr">
        <is>
          <t>ZOEY 02/03/2026</t>
        </is>
      </c>
      <c r="I1127" s="4" t="n">
        <v>2</v>
      </c>
      <c r="J1127" s="6" t="n">
        <v>9</v>
      </c>
      <c r="K1127" s="6" t="n">
        <v>236.4927815</v>
      </c>
      <c r="L1127" s="6">
        <f>I1127*K1127</f>
        <v/>
      </c>
      <c r="M1127" s="6">
        <f>K1127*4</f>
        <v/>
      </c>
      <c r="N1127" s="6" t="n">
        <v>950</v>
      </c>
    </row>
    <row r="1128">
      <c r="A1128" s="1" t="inlineStr">
        <is>
          <t>3886385575564</t>
        </is>
      </c>
      <c r="B1128" s="1" t="inlineStr">
        <is>
          <t>COLLAR TREBOL SILVER BLACK</t>
        </is>
      </c>
      <c r="C1128" s="1" t="inlineStr">
        <is>
          <t>45cm</t>
        </is>
      </c>
      <c r="D1128" s="1" t="inlineStr">
        <is>
          <t>11/11/2025</t>
        </is>
      </c>
      <c r="E1128" s="1" t="n">
        <v>2025</v>
      </c>
      <c r="F1128" s="1" t="inlineStr">
        <is>
          <t>NOVIEMBRE</t>
        </is>
      </c>
      <c r="G1128" s="1" t="inlineStr">
        <is>
          <t>HAIFENG</t>
        </is>
      </c>
      <c r="H1128" s="1" t="inlineStr">
        <is>
          <t>HAIFENG 11/11/2025</t>
        </is>
      </c>
      <c r="I1128" s="4" t="n">
        <v>2</v>
      </c>
      <c r="J1128" s="6" t="n">
        <v>12</v>
      </c>
      <c r="K1128" s="6" t="n">
        <v>252.7259813</v>
      </c>
      <c r="L1128" s="6">
        <f>I1128*K1128</f>
        <v/>
      </c>
      <c r="M1128" s="6">
        <f>K1128*4</f>
        <v/>
      </c>
      <c r="N1128" s="6" t="n">
        <v>989</v>
      </c>
    </row>
    <row r="1129">
      <c r="A1129" s="1" t="inlineStr">
        <is>
          <t>3886385575564</t>
        </is>
      </c>
      <c r="B1129" s="1" t="inlineStr">
        <is>
          <t>COLLAR TREBOL SILVER BLACK</t>
        </is>
      </c>
      <c r="C1129" s="1" t="inlineStr">
        <is>
          <t>45cm</t>
        </is>
      </c>
      <c r="D1129" s="1" t="inlineStr">
        <is>
          <t>03/12/2025</t>
        </is>
      </c>
      <c r="E1129" s="1" t="n">
        <v>2025</v>
      </c>
      <c r="F1129" s="1" t="inlineStr">
        <is>
          <t>DICIEMBRE</t>
        </is>
      </c>
      <c r="G1129" s="1" t="inlineStr">
        <is>
          <t>HAIFENG</t>
        </is>
      </c>
      <c r="H1129" s="1" t="inlineStr">
        <is>
          <t>HAIFENG 03/12/2025</t>
        </is>
      </c>
      <c r="I1129" s="4" t="n">
        <v>4</v>
      </c>
      <c r="J1129" s="6" t="n">
        <v>12</v>
      </c>
      <c r="K1129" s="6" t="n">
        <v>251.0059201</v>
      </c>
      <c r="L1129" s="6">
        <f>I1129*K1129</f>
        <v/>
      </c>
      <c r="M1129" s="6">
        <f>K1129*4</f>
        <v/>
      </c>
      <c r="N1129" s="6" t="n">
        <v>989</v>
      </c>
    </row>
    <row r="1130">
      <c r="A1130" s="1" t="inlineStr">
        <is>
          <t>38991221063565</t>
        </is>
      </c>
      <c r="B1130" s="1" t="inlineStr">
        <is>
          <t>PERFUME JEAN PAUL SCANDAL GAUTTER MEN</t>
        </is>
      </c>
      <c r="C1130" s="1" t="inlineStr">
        <is>
          <t>Default Title</t>
        </is>
      </c>
      <c r="D1130" s="1" t="inlineStr">
        <is>
          <t>20/04/2026</t>
        </is>
      </c>
      <c r="E1130" s="1" t="n">
        <v>2026</v>
      </c>
      <c r="F1130" s="1" t="inlineStr">
        <is>
          <t>ABRIL</t>
        </is>
      </c>
      <c r="G1130" s="1" t="inlineStr">
        <is>
          <t>ZOEY</t>
        </is>
      </c>
      <c r="H1130" s="1" t="inlineStr">
        <is>
          <t>ZOEY 20/04/2026</t>
        </is>
      </c>
      <c r="I1130" s="4" t="n">
        <v>2</v>
      </c>
      <c r="J1130" s="6" t="n">
        <v>18</v>
      </c>
      <c r="K1130" s="6" t="n">
        <v>460.9580101</v>
      </c>
      <c r="L1130" s="6">
        <f>I1130*K1130</f>
        <v/>
      </c>
      <c r="M1130" s="6">
        <f>K1130*4</f>
        <v/>
      </c>
      <c r="N1130" s="6" t="n">
        <v>1849</v>
      </c>
    </row>
    <row r="1131">
      <c r="A1131" s="1" t="inlineStr">
        <is>
          <t>38991221168653</t>
        </is>
      </c>
      <c r="B1131" s="1" t="inlineStr">
        <is>
          <t>PERFUME JEAN PAUL LE BELLE</t>
        </is>
      </c>
      <c r="C1131" s="1" t="inlineStr">
        <is>
          <t>Default Title</t>
        </is>
      </c>
      <c r="D1131" s="1" t="inlineStr">
        <is>
          <t>20/04/2026</t>
        </is>
      </c>
      <c r="E1131" s="1" t="n">
        <v>2026</v>
      </c>
      <c r="F1131" s="1" t="inlineStr">
        <is>
          <t>ABRIL</t>
        </is>
      </c>
      <c r="G1131" s="1" t="inlineStr">
        <is>
          <t>ZOEY</t>
        </is>
      </c>
      <c r="H1131" s="1" t="inlineStr">
        <is>
          <t>ZOEY 20/04/2026</t>
        </is>
      </c>
      <c r="I1131" s="4" t="n">
        <v>2</v>
      </c>
      <c r="J1131" s="6" t="n">
        <v>18</v>
      </c>
      <c r="K1131" s="6" t="n">
        <v>460.9580101</v>
      </c>
      <c r="L1131" s="6">
        <f>I1131*K1131</f>
        <v/>
      </c>
      <c r="M1131" s="6">
        <f>K1131*4</f>
        <v/>
      </c>
      <c r="N1131" s="6" t="n">
        <v>1849</v>
      </c>
    </row>
    <row r="1132">
      <c r="A1132" s="1" t="inlineStr">
        <is>
          <t>39129741001261</t>
        </is>
      </c>
      <c r="B1132" s="1" t="inlineStr">
        <is>
          <t>ANILLO JUSTE UN CLOU SILVER CON ZIRCONIA-8</t>
        </is>
      </c>
      <c r="C1132" s="1" t="n">
        <v>8</v>
      </c>
      <c r="D1132" s="1" t="inlineStr">
        <is>
          <t>25/09/2025</t>
        </is>
      </c>
      <c r="E1132" s="1" t="n">
        <v>2025</v>
      </c>
      <c r="F1132" s="1" t="inlineStr">
        <is>
          <t>SEPTIEMBRE</t>
        </is>
      </c>
      <c r="G1132" s="1" t="inlineStr">
        <is>
          <t>HAIFENG</t>
        </is>
      </c>
      <c r="H1132" s="1" t="inlineStr">
        <is>
          <t>HAIFENG 25/09/2025</t>
        </is>
      </c>
      <c r="I1132" s="4" t="n">
        <v>2</v>
      </c>
      <c r="J1132" s="6" t="n">
        <v>7.5</v>
      </c>
      <c r="K1132" s="6" t="n">
        <v>158.2266433</v>
      </c>
      <c r="L1132" s="6">
        <f>I1132*K1132</f>
        <v/>
      </c>
      <c r="M1132" s="6">
        <f>K1132*4</f>
        <v/>
      </c>
      <c r="N1132" s="6" t="n">
        <v>650</v>
      </c>
    </row>
    <row r="1133">
      <c r="A1133" s="1" t="inlineStr">
        <is>
          <t>39129741001261</t>
        </is>
      </c>
      <c r="B1133" s="1" t="inlineStr">
        <is>
          <t>ANILLO CLAVO SPIRAL SILVER CON ZIRCONIA</t>
        </is>
      </c>
      <c r="C1133" s="1" t="inlineStr">
        <is>
          <t>8</t>
        </is>
      </c>
      <c r="D1133" s="1" t="inlineStr">
        <is>
          <t>16/04/2026</t>
        </is>
      </c>
      <c r="E1133" s="1" t="n">
        <v>2026</v>
      </c>
      <c r="F1133" s="1" t="inlineStr">
        <is>
          <t>ABRIL</t>
        </is>
      </c>
      <c r="G1133" s="1" t="inlineStr">
        <is>
          <t>HAIFENG</t>
        </is>
      </c>
      <c r="H1133" s="1" t="inlineStr">
        <is>
          <t>HAIFENG 16/04/2026</t>
        </is>
      </c>
      <c r="I1133" s="4" t="n">
        <v>1</v>
      </c>
      <c r="J1133" s="6" t="n">
        <v>7.5</v>
      </c>
      <c r="K1133" s="6" t="n">
        <v>157.7360519</v>
      </c>
      <c r="L1133" s="6">
        <f>I1133*K1133</f>
        <v/>
      </c>
      <c r="M1133" s="6">
        <f>K1133*4</f>
        <v/>
      </c>
      <c r="N1133" s="6" t="n">
        <v>650</v>
      </c>
    </row>
    <row r="1134">
      <c r="A1134" s="1" t="inlineStr">
        <is>
          <t>39129741001261</t>
        </is>
      </c>
      <c r="B1134" s="1" t="inlineStr">
        <is>
          <t>ANILLO CLAVO SPIRAL SILVER CON ZIRCONIA</t>
        </is>
      </c>
      <c r="C1134" s="1" t="inlineStr">
        <is>
          <t>8</t>
        </is>
      </c>
      <c r="D1134" s="1" t="inlineStr">
        <is>
          <t>16/06/2026</t>
        </is>
      </c>
      <c r="E1134" s="1" t="n">
        <v>2026</v>
      </c>
      <c r="F1134" s="1" t="inlineStr">
        <is>
          <t>JUNIO</t>
        </is>
      </c>
      <c r="G1134" s="1" t="inlineStr">
        <is>
          <t>HAIFENG</t>
        </is>
      </c>
      <c r="H1134" s="1" t="inlineStr">
        <is>
          <t>HAIFENG 16/06/2026</t>
        </is>
      </c>
      <c r="I1134" s="4" t="n">
        <v>3</v>
      </c>
      <c r="J1134" s="6" t="n">
        <v>7.5</v>
      </c>
      <c r="K1134" s="6" t="n">
        <v>157.6095484</v>
      </c>
      <c r="L1134" s="6">
        <f>I1134*K1134</f>
        <v/>
      </c>
      <c r="M1134" s="6">
        <f>K1134*4</f>
        <v/>
      </c>
      <c r="N1134" s="6" t="n">
        <v>650</v>
      </c>
    </row>
    <row r="1135">
      <c r="A1135" s="1" t="inlineStr">
        <is>
          <t>39252671092621</t>
        </is>
      </c>
      <c r="B1135" s="1" t="inlineStr">
        <is>
          <t>ANILLO LV LETTER SILVER</t>
        </is>
      </c>
      <c r="C1135" s="1" t="n">
        <v>7</v>
      </c>
      <c r="D1135" s="1" t="inlineStr">
        <is>
          <t>25/10/2025</t>
        </is>
      </c>
      <c r="E1135" s="1" t="n">
        <v>2025</v>
      </c>
      <c r="F1135" s="1" t="inlineStr">
        <is>
          <t>OCTUBRE</t>
        </is>
      </c>
      <c r="G1135" s="1" t="inlineStr">
        <is>
          <t>CYNTHIA</t>
        </is>
      </c>
      <c r="H1135" s="1" t="inlineStr">
        <is>
          <t>CYNTHIA 25/10/2025</t>
        </is>
      </c>
      <c r="I1135" s="4" t="n">
        <v>2</v>
      </c>
      <c r="J1135" s="6" t="n">
        <v>5.28</v>
      </c>
      <c r="K1135" s="6" t="n">
        <v>138.3456286</v>
      </c>
      <c r="L1135" s="6">
        <f>I1135*K1135</f>
        <v/>
      </c>
      <c r="M1135" s="6">
        <f>K1135*4</f>
        <v/>
      </c>
      <c r="N1135" s="6" t="n">
        <v>450</v>
      </c>
    </row>
    <row r="1136">
      <c r="A1136" s="1" t="inlineStr">
        <is>
          <t>39252671092621</t>
        </is>
      </c>
      <c r="B1136" s="1" t="inlineStr">
        <is>
          <t>ANILLO LV LETTER SILVER</t>
        </is>
      </c>
      <c r="C1136" s="1" t="n">
        <v>7</v>
      </c>
      <c r="D1136" s="1" t="inlineStr">
        <is>
          <t>18/02/2026</t>
        </is>
      </c>
      <c r="E1136" s="1" t="n">
        <v>2026</v>
      </c>
      <c r="F1136" s="1" t="inlineStr">
        <is>
          <t>FEBRERO</t>
        </is>
      </c>
      <c r="G1136" s="1" t="inlineStr">
        <is>
          <t>CYNTHIA</t>
        </is>
      </c>
      <c r="H1136" s="1" t="inlineStr">
        <is>
          <t>CYNTHIA 18/02/2026</t>
        </is>
      </c>
      <c r="I1136" s="4" t="n">
        <v>1</v>
      </c>
      <c r="J1136" s="6" t="n">
        <v>5.28</v>
      </c>
      <c r="K1136" s="6" t="n">
        <v>142.7889682</v>
      </c>
      <c r="L1136" s="6">
        <f>I1136*K1136</f>
        <v/>
      </c>
      <c r="M1136" s="6">
        <f>K1136*4</f>
        <v/>
      </c>
      <c r="N1136" s="6" t="n">
        <v>575</v>
      </c>
    </row>
    <row r="1137">
      <c r="A1137" s="1" t="inlineStr">
        <is>
          <t>39252671125389</t>
        </is>
      </c>
      <c r="B1137" s="1" t="inlineStr">
        <is>
          <t>ANILLO LV LETTER SILVER</t>
        </is>
      </c>
      <c r="C1137" s="1" t="n">
        <v>8</v>
      </c>
      <c r="D1137" s="1" t="inlineStr">
        <is>
          <t>25/10/2025</t>
        </is>
      </c>
      <c r="E1137" s="1" t="n">
        <v>2025</v>
      </c>
      <c r="F1137" s="1" t="inlineStr">
        <is>
          <t>OCTUBRE</t>
        </is>
      </c>
      <c r="G1137" s="1" t="inlineStr">
        <is>
          <t>CYNTHIA</t>
        </is>
      </c>
      <c r="H1137" s="1" t="inlineStr">
        <is>
          <t>CYNTHIA 25/10/2025</t>
        </is>
      </c>
      <c r="I1137" s="4" t="n">
        <v>2</v>
      </c>
      <c r="J1137" s="6" t="n">
        <v>5.28</v>
      </c>
      <c r="K1137" s="6" t="n">
        <v>138.3456286</v>
      </c>
      <c r="L1137" s="6">
        <f>I1137*K1137</f>
        <v/>
      </c>
      <c r="M1137" s="6">
        <f>K1137*4</f>
        <v/>
      </c>
      <c r="N1137" s="6" t="n">
        <v>440</v>
      </c>
    </row>
    <row r="1138">
      <c r="A1138" s="1" t="inlineStr">
        <is>
          <t>39252671264941</t>
        </is>
      </c>
      <c r="B1138" s="1" t="inlineStr">
        <is>
          <t>ANILLO LV LETTER GOLD</t>
        </is>
      </c>
      <c r="C1138" s="1" t="n">
        <v>7</v>
      </c>
      <c r="D1138" s="1" t="inlineStr">
        <is>
          <t>25/10/2025</t>
        </is>
      </c>
      <c r="E1138" s="1" t="n">
        <v>2025</v>
      </c>
      <c r="F1138" s="1" t="inlineStr">
        <is>
          <t>OCTUBRE</t>
        </is>
      </c>
      <c r="G1138" s="1" t="inlineStr">
        <is>
          <t>CYNTHIA</t>
        </is>
      </c>
      <c r="H1138" s="1" t="inlineStr">
        <is>
          <t>CYNTHIA 25/10/2025</t>
        </is>
      </c>
      <c r="I1138" s="4" t="n">
        <v>2</v>
      </c>
      <c r="J1138" s="6" t="n">
        <v>5.28</v>
      </c>
      <c r="K1138" s="6" t="n">
        <v>138.3456286</v>
      </c>
      <c r="L1138" s="6">
        <f>I1138*K1138</f>
        <v/>
      </c>
      <c r="M1138" s="6">
        <f>K1138*4</f>
        <v/>
      </c>
      <c r="N1138" s="6" t="n">
        <v>440</v>
      </c>
    </row>
    <row r="1139">
      <c r="A1139" s="1" t="inlineStr">
        <is>
          <t>39252671264941</t>
        </is>
      </c>
      <c r="B1139" s="1" t="inlineStr">
        <is>
          <t>ANILLO LV LETTER GOLD</t>
        </is>
      </c>
      <c r="C1139" s="1" t="n">
        <v>7</v>
      </c>
      <c r="D1139" s="1" t="inlineStr">
        <is>
          <t>18/02/2026</t>
        </is>
      </c>
      <c r="E1139" s="1" t="n">
        <v>2026</v>
      </c>
      <c r="F1139" s="1" t="inlineStr">
        <is>
          <t>FEBRERO</t>
        </is>
      </c>
      <c r="G1139" s="1" t="inlineStr">
        <is>
          <t>CYNTHIA</t>
        </is>
      </c>
      <c r="H1139" s="1" t="inlineStr">
        <is>
          <t>CYNTHIA 18/02/2026</t>
        </is>
      </c>
      <c r="I1139" s="4" t="n">
        <v>2</v>
      </c>
      <c r="J1139" s="6" t="n">
        <v>5.28</v>
      </c>
      <c r="K1139" s="6" t="n">
        <v>142.7889682</v>
      </c>
      <c r="L1139" s="6">
        <f>I1139*K1139</f>
        <v/>
      </c>
      <c r="M1139" s="6">
        <f>K1139*4</f>
        <v/>
      </c>
      <c r="N1139" s="6" t="n">
        <v>499</v>
      </c>
    </row>
    <row r="1140">
      <c r="A1140" s="1" t="inlineStr">
        <is>
          <t>39252671264941</t>
        </is>
      </c>
      <c r="B1140" s="1" t="inlineStr">
        <is>
          <t>ANILLO LV LETTER GOLD</t>
        </is>
      </c>
      <c r="C1140" s="1" t="inlineStr">
        <is>
          <t>7</t>
        </is>
      </c>
      <c r="D1140" s="1" t="inlineStr">
        <is>
          <t>19/03/2026</t>
        </is>
      </c>
      <c r="E1140" s="1" t="n">
        <v>2026</v>
      </c>
      <c r="F1140" s="1" t="inlineStr">
        <is>
          <t>MARZO</t>
        </is>
      </c>
      <c r="G1140" s="1" t="inlineStr">
        <is>
          <t>CYNTHIA</t>
        </is>
      </c>
      <c r="H1140" s="1" t="inlineStr">
        <is>
          <t>CYNTHIA 19/03/2026</t>
        </is>
      </c>
      <c r="I1140" s="4" t="n">
        <v>2</v>
      </c>
      <c r="J1140" s="6" t="n">
        <v>5.28</v>
      </c>
      <c r="K1140" s="6" t="n">
        <v>141.8071554</v>
      </c>
      <c r="L1140" s="6">
        <f>I1140*K1140</f>
        <v/>
      </c>
      <c r="M1140" s="6">
        <f>K1140*4</f>
        <v/>
      </c>
      <c r="N1140" s="6" t="n">
        <v>499</v>
      </c>
    </row>
    <row r="1141">
      <c r="A1141" s="1" t="inlineStr">
        <is>
          <t>39252671397709</t>
        </is>
      </c>
      <c r="B1141" s="1" t="inlineStr">
        <is>
          <t>ANILLO LV LETTER GOLD</t>
        </is>
      </c>
      <c r="C1141" s="1" t="n">
        <v>8</v>
      </c>
      <c r="D1141" s="1" t="inlineStr">
        <is>
          <t>25/10/2025</t>
        </is>
      </c>
      <c r="E1141" s="1" t="n">
        <v>2025</v>
      </c>
      <c r="F1141" s="1" t="inlineStr">
        <is>
          <t>OCTUBRE</t>
        </is>
      </c>
      <c r="G1141" s="1" t="inlineStr">
        <is>
          <t>CYNTHIA</t>
        </is>
      </c>
      <c r="H1141" s="1" t="inlineStr">
        <is>
          <t>CYNTHIA 25/10/2025</t>
        </is>
      </c>
      <c r="I1141" s="4" t="n">
        <v>2</v>
      </c>
      <c r="J1141" s="6" t="n">
        <v>5.28</v>
      </c>
      <c r="K1141" s="6" t="n">
        <v>138.3456286</v>
      </c>
      <c r="L1141" s="6">
        <f>I1141*K1141</f>
        <v/>
      </c>
      <c r="M1141" s="6">
        <f>K1141*4</f>
        <v/>
      </c>
      <c r="N1141" s="6" t="n">
        <v>440</v>
      </c>
    </row>
    <row r="1142">
      <c r="A1142" s="1" t="inlineStr">
        <is>
          <t>39252671397709</t>
        </is>
      </c>
      <c r="B1142" s="1" t="inlineStr">
        <is>
          <t>ANILLO LV LETTER GOLD</t>
        </is>
      </c>
      <c r="C1142" s="1" t="inlineStr">
        <is>
          <t>8</t>
        </is>
      </c>
      <c r="D1142" s="1" t="inlineStr">
        <is>
          <t>19/03/2026</t>
        </is>
      </c>
      <c r="E1142" s="1" t="n">
        <v>2026</v>
      </c>
      <c r="F1142" s="1" t="inlineStr">
        <is>
          <t>MARZO</t>
        </is>
      </c>
      <c r="G1142" s="1" t="inlineStr">
        <is>
          <t>CYNTHIA</t>
        </is>
      </c>
      <c r="H1142" s="1" t="inlineStr">
        <is>
          <t>CYNTHIA 19/03/2026</t>
        </is>
      </c>
      <c r="I1142" s="4" t="n">
        <v>1</v>
      </c>
      <c r="J1142" s="6" t="n">
        <v>5.28</v>
      </c>
      <c r="K1142" s="6" t="n">
        <v>141.8071554</v>
      </c>
      <c r="L1142" s="6">
        <f>I1142*K1142</f>
        <v/>
      </c>
      <c r="M1142" s="6">
        <f>K1142*4</f>
        <v/>
      </c>
      <c r="N1142" s="6" t="n">
        <v>499</v>
      </c>
    </row>
    <row r="1143">
      <c r="A1143" s="1" t="inlineStr">
        <is>
          <t>39252671462093</t>
        </is>
      </c>
      <c r="B1143" s="1" t="inlineStr">
        <is>
          <t>LENTES GC 1SN BLACK</t>
        </is>
      </c>
      <c r="C1143" s="1" t="inlineStr">
        <is>
          <t>Default Title</t>
        </is>
      </c>
      <c r="D1143" s="1" t="inlineStr">
        <is>
          <t>25/10/2025</t>
        </is>
      </c>
      <c r="E1143" s="1" t="n">
        <v>2025</v>
      </c>
      <c r="F1143" s="1" t="inlineStr">
        <is>
          <t>OCTUBRE</t>
        </is>
      </c>
      <c r="G1143" s="1" t="inlineStr">
        <is>
          <t>CYNTHIA</t>
        </is>
      </c>
      <c r="H1143" s="1" t="inlineStr">
        <is>
          <t>CYNTHIA 25/10/2025</t>
        </is>
      </c>
      <c r="I1143" s="4" t="n">
        <v>3</v>
      </c>
      <c r="J1143" s="6" t="n">
        <v>36</v>
      </c>
      <c r="K1143" s="6" t="n">
        <v>943.2656492</v>
      </c>
      <c r="L1143" s="6">
        <f>I1143*K1143</f>
        <v/>
      </c>
      <c r="M1143" s="6">
        <f>K1143*4</f>
        <v/>
      </c>
      <c r="N1143" s="6" t="n">
        <v>2461</v>
      </c>
    </row>
    <row r="1144">
      <c r="A1144" s="1" t="inlineStr">
        <is>
          <t>39252671591341</t>
        </is>
      </c>
      <c r="B1144" s="1" t="inlineStr">
        <is>
          <t>GORRA LULU WHITE</t>
        </is>
      </c>
      <c r="C1144" s="1" t="inlineStr">
        <is>
          <t>Default Title</t>
        </is>
      </c>
      <c r="D1144" s="1" t="inlineStr">
        <is>
          <t>25/10/2025</t>
        </is>
      </c>
      <c r="E1144" s="1" t="n">
        <v>2025</v>
      </c>
      <c r="F1144" s="1" t="inlineStr">
        <is>
          <t>OCTUBRE</t>
        </is>
      </c>
      <c r="G1144" s="1" t="inlineStr">
        <is>
          <t>CYNTHIA</t>
        </is>
      </c>
      <c r="H1144" s="1" t="inlineStr">
        <is>
          <t>CYNTHIA 25/10/2025</t>
        </is>
      </c>
      <c r="I1144" s="4" t="n">
        <v>4</v>
      </c>
      <c r="J1144" s="6" t="n">
        <v>10.8</v>
      </c>
      <c r="K1144" s="6" t="n">
        <v>282.9796948</v>
      </c>
      <c r="L1144" s="6">
        <f>I1144*K1144</f>
        <v/>
      </c>
      <c r="M1144" s="6">
        <f>K1144*4</f>
        <v/>
      </c>
      <c r="N1144" s="6" t="n">
        <v>898.67</v>
      </c>
    </row>
    <row r="1145">
      <c r="A1145" s="1" t="inlineStr">
        <is>
          <t>39252671787533</t>
        </is>
      </c>
      <c r="B1145" s="1" t="inlineStr">
        <is>
          <t>ARRACADAS F GOLD</t>
        </is>
      </c>
      <c r="C1145" s="1" t="inlineStr">
        <is>
          <t>Default Title</t>
        </is>
      </c>
      <c r="D1145" s="1" t="inlineStr">
        <is>
          <t>25/10/2025</t>
        </is>
      </c>
      <c r="E1145" s="1" t="n">
        <v>2025</v>
      </c>
      <c r="F1145" s="1" t="inlineStr">
        <is>
          <t>OCTUBRE</t>
        </is>
      </c>
      <c r="G1145" s="1" t="inlineStr">
        <is>
          <t>CYNTHIA</t>
        </is>
      </c>
      <c r="H1145" s="1" t="inlineStr">
        <is>
          <t>CYNTHIA 25/10/2025</t>
        </is>
      </c>
      <c r="I1145" s="4" t="n">
        <v>2</v>
      </c>
      <c r="J1145" s="6" t="n">
        <v>9.800000000000001</v>
      </c>
      <c r="K1145" s="6" t="n">
        <v>256.7778712</v>
      </c>
      <c r="L1145" s="6">
        <f>I1145*K1145</f>
        <v/>
      </c>
      <c r="M1145" s="6">
        <f>K1145*4</f>
        <v/>
      </c>
      <c r="N1145" s="6" t="n">
        <v>910</v>
      </c>
    </row>
    <row r="1146">
      <c r="A1146" s="1" t="inlineStr">
        <is>
          <t>39252671787533</t>
        </is>
      </c>
      <c r="B1146" s="1" t="inlineStr">
        <is>
          <t>ARRACADAS F GOLD</t>
        </is>
      </c>
      <c r="C1146" s="1" t="inlineStr">
        <is>
          <t>Default Title</t>
        </is>
      </c>
      <c r="D1146" s="1" t="inlineStr">
        <is>
          <t>31/05/2026</t>
        </is>
      </c>
      <c r="E1146" s="1" t="n">
        <v>2026</v>
      </c>
      <c r="F1146" s="1" t="inlineStr">
        <is>
          <t>MAYO</t>
        </is>
      </c>
      <c r="G1146" s="1" t="inlineStr">
        <is>
          <t>CYNTHIA</t>
        </is>
      </c>
      <c r="H1146" s="1" t="inlineStr">
        <is>
          <t>CYNTHIA 31/05/2026</t>
        </is>
      </c>
      <c r="I1146" s="4" t="n">
        <v>2</v>
      </c>
      <c r="J1146" s="6" t="n">
        <v>9.800000000000001</v>
      </c>
      <c r="K1146" s="6" t="n">
        <v>259.7102408</v>
      </c>
      <c r="L1146" s="6">
        <f>I1146*K1146</f>
        <v/>
      </c>
      <c r="M1146" s="6">
        <f>K1146*4</f>
        <v/>
      </c>
      <c r="N1146" s="6" t="n">
        <v>910</v>
      </c>
    </row>
    <row r="1147">
      <c r="A1147" s="1" t="inlineStr">
        <is>
          <t>39252671833741</t>
        </is>
      </c>
      <c r="B1147" s="1" t="inlineStr">
        <is>
          <t>COLLAR F GOLD</t>
        </is>
      </c>
      <c r="C1147" s="1" t="inlineStr">
        <is>
          <t>Default Title</t>
        </is>
      </c>
      <c r="D1147" s="1" t="inlineStr">
        <is>
          <t>25/10/2025</t>
        </is>
      </c>
      <c r="E1147" s="1" t="n">
        <v>2025</v>
      </c>
      <c r="F1147" s="1" t="inlineStr">
        <is>
          <t>OCTUBRE</t>
        </is>
      </c>
      <c r="G1147" s="1" t="inlineStr">
        <is>
          <t>CYNTHIA</t>
        </is>
      </c>
      <c r="H1147" s="1" t="inlineStr">
        <is>
          <t>CYNTHIA 25/10/2025</t>
        </is>
      </c>
      <c r="I1147" s="4" t="n">
        <v>2</v>
      </c>
      <c r="J1147" s="6" t="n">
        <v>7</v>
      </c>
      <c r="K1147" s="6" t="n">
        <v>183.4127651</v>
      </c>
      <c r="L1147" s="6">
        <f>I1147*K1147</f>
        <v/>
      </c>
      <c r="M1147" s="6">
        <f>K1147*4</f>
        <v/>
      </c>
      <c r="N1147" s="6" t="n">
        <v>750</v>
      </c>
    </row>
    <row r="1148">
      <c r="A1148" s="1" t="inlineStr">
        <is>
          <t>39252671833741</t>
        </is>
      </c>
      <c r="B1148" s="1" t="inlineStr">
        <is>
          <t>COLLAR F GOLD</t>
        </is>
      </c>
      <c r="C1148" s="1" t="inlineStr">
        <is>
          <t>Default Title</t>
        </is>
      </c>
      <c r="D1148" s="1" t="inlineStr">
        <is>
          <t>27/04/2026</t>
        </is>
      </c>
      <c r="E1148" s="1" t="n">
        <v>2026</v>
      </c>
      <c r="F1148" s="1" t="inlineStr">
        <is>
          <t>ABRIL</t>
        </is>
      </c>
      <c r="G1148" s="1" t="inlineStr">
        <is>
          <t>CYNTHIA</t>
        </is>
      </c>
      <c r="H1148" s="1" t="inlineStr">
        <is>
          <t>CYNTHIA 27/04/2026</t>
        </is>
      </c>
      <c r="I1148" s="4" t="n">
        <v>3</v>
      </c>
      <c r="J1148" s="6" t="n">
        <v>8.800000000000001</v>
      </c>
      <c r="K1148" s="6" t="n">
        <v>228.360815</v>
      </c>
      <c r="L1148" s="6">
        <f>I1148*K1148</f>
        <v/>
      </c>
      <c r="M1148" s="6">
        <f>K1148*4</f>
        <v/>
      </c>
      <c r="N1148" s="6" t="n">
        <v>915</v>
      </c>
    </row>
    <row r="1149">
      <c r="A1149" s="1" t="inlineStr">
        <is>
          <t>39252671973293</t>
        </is>
      </c>
      <c r="B1149" s="1" t="inlineStr">
        <is>
          <t>BRAZALETE BLOSSOM ROSEGOLD ZIRCONIA</t>
        </is>
      </c>
      <c r="C1149" s="1" t="inlineStr">
        <is>
          <t>Default Title</t>
        </is>
      </c>
      <c r="D1149" s="1" t="inlineStr">
        <is>
          <t>25/10/2025</t>
        </is>
      </c>
      <c r="E1149" s="1" t="n">
        <v>2025</v>
      </c>
      <c r="F1149" s="1" t="inlineStr">
        <is>
          <t>OCTUBRE</t>
        </is>
      </c>
      <c r="G1149" s="1" t="inlineStr">
        <is>
          <t>CYNTHIA</t>
        </is>
      </c>
      <c r="H1149" s="1" t="inlineStr">
        <is>
          <t>CYNTHIA 25/10/2025</t>
        </is>
      </c>
      <c r="I1149" s="4" t="n">
        <v>2</v>
      </c>
      <c r="J1149" s="6" t="n">
        <v>8.800000000000001</v>
      </c>
      <c r="K1149" s="6" t="n">
        <v>230.5760476</v>
      </c>
      <c r="L1149" s="6">
        <f>I1149*K1149</f>
        <v/>
      </c>
      <c r="M1149" s="6">
        <f>K1149*4</f>
        <v/>
      </c>
      <c r="N1149" s="6" t="n">
        <v>750</v>
      </c>
    </row>
    <row r="1150">
      <c r="A1150" s="1" t="inlineStr">
        <is>
          <t>39252671973293</t>
        </is>
      </c>
      <c r="B1150" s="1" t="inlineStr">
        <is>
          <t>BRAZALETE BLOSSOM ROSEGOLD ZIRCONIA</t>
        </is>
      </c>
      <c r="C1150" s="1" t="inlineStr">
        <is>
          <t>Default Title</t>
        </is>
      </c>
      <c r="D1150" s="1" t="inlineStr">
        <is>
          <t>18/02/2026</t>
        </is>
      </c>
      <c r="E1150" s="1" t="n">
        <v>2026</v>
      </c>
      <c r="F1150" s="1" t="inlineStr">
        <is>
          <t>FEBRERO</t>
        </is>
      </c>
      <c r="G1150" s="1" t="inlineStr">
        <is>
          <t>CYNTHIA</t>
        </is>
      </c>
      <c r="H1150" s="1" t="inlineStr">
        <is>
          <t>CYNTHIA 18/02/2026</t>
        </is>
      </c>
      <c r="I1150" s="4" t="n">
        <v>1</v>
      </c>
      <c r="J1150" s="6" t="n">
        <v>8.800000000000001</v>
      </c>
      <c r="K1150" s="6" t="n">
        <v>237.9816137</v>
      </c>
      <c r="L1150" s="6">
        <f>I1150*K1150</f>
        <v/>
      </c>
      <c r="M1150" s="6">
        <f>K1150*4</f>
        <v/>
      </c>
      <c r="N1150" s="6" t="n">
        <v>950</v>
      </c>
    </row>
    <row r="1151">
      <c r="A1151" s="1" t="inlineStr">
        <is>
          <t>39252671973293</t>
        </is>
      </c>
      <c r="B1151" s="1" t="inlineStr">
        <is>
          <t>BRAZALETE BLOSSOM ROSEGOLD ZIRCONIA</t>
        </is>
      </c>
      <c r="C1151" s="1" t="inlineStr">
        <is>
          <t>Default Title</t>
        </is>
      </c>
      <c r="D1151" s="1" t="inlineStr">
        <is>
          <t>19/03/2026</t>
        </is>
      </c>
      <c r="E1151" s="1" t="n">
        <v>2026</v>
      </c>
      <c r="F1151" s="1" t="inlineStr">
        <is>
          <t>MARZO</t>
        </is>
      </c>
      <c r="G1151" s="1" t="inlineStr">
        <is>
          <t>CYNTHIA</t>
        </is>
      </c>
      <c r="H1151" s="1" t="inlineStr">
        <is>
          <t>CYNTHIA 19/03/2026</t>
        </is>
      </c>
      <c r="I1151" s="4" t="n">
        <v>2</v>
      </c>
      <c r="J1151" s="6" t="n">
        <v>8.800000000000001</v>
      </c>
      <c r="K1151" s="6" t="n">
        <v>236.345259</v>
      </c>
      <c r="L1151" s="6">
        <f>I1151*K1151</f>
        <v/>
      </c>
      <c r="M1151" s="6">
        <f>K1151*4</f>
        <v/>
      </c>
      <c r="N1151" s="6" t="n">
        <v>950</v>
      </c>
    </row>
    <row r="1152">
      <c r="A1152" s="1" t="inlineStr">
        <is>
          <t>39252672009453</t>
        </is>
      </c>
      <c r="B1152" s="1" t="inlineStr">
        <is>
          <t>BRAZALETE BLOSSOM GOLD ZIRCONIA</t>
        </is>
      </c>
      <c r="C1152" s="1" t="inlineStr">
        <is>
          <t>Default Title</t>
        </is>
      </c>
      <c r="D1152" s="1" t="inlineStr">
        <is>
          <t>18/02/2026</t>
        </is>
      </c>
      <c r="E1152" s="1" t="n">
        <v>2026</v>
      </c>
      <c r="F1152" s="1" t="inlineStr">
        <is>
          <t>FEBRERO</t>
        </is>
      </c>
      <c r="G1152" s="1" t="inlineStr">
        <is>
          <t>CYNTHIA</t>
        </is>
      </c>
      <c r="H1152" s="1" t="inlineStr">
        <is>
          <t>CYNTHIA 18/02/2026</t>
        </is>
      </c>
      <c r="I1152" s="4" t="n">
        <v>1</v>
      </c>
      <c r="J1152" s="6" t="n">
        <v>8.800000000000001</v>
      </c>
      <c r="K1152" s="6" t="n">
        <v>237.9816137</v>
      </c>
      <c r="L1152" s="6">
        <f>I1152*K1152</f>
        <v/>
      </c>
      <c r="M1152" s="6">
        <f>K1152*4</f>
        <v/>
      </c>
      <c r="N1152" s="6" t="n">
        <v>955</v>
      </c>
    </row>
    <row r="1153">
      <c r="A1153" s="1" t="inlineStr">
        <is>
          <t>39252672178381</t>
        </is>
      </c>
      <c r="B1153" s="1" t="inlineStr">
        <is>
          <t>ARRACADAS BLOSSOM GOLD ZIRCONIAS</t>
        </is>
      </c>
      <c r="C1153" s="1" t="inlineStr">
        <is>
          <t>Default Title</t>
        </is>
      </c>
      <c r="D1153" s="1" t="inlineStr">
        <is>
          <t>25/10/2025</t>
        </is>
      </c>
      <c r="E1153" s="1" t="n">
        <v>2025</v>
      </c>
      <c r="F1153" s="1" t="inlineStr">
        <is>
          <t>OCTUBRE</t>
        </is>
      </c>
      <c r="G1153" s="1" t="inlineStr">
        <is>
          <t>CYNTHIA</t>
        </is>
      </c>
      <c r="H1153" s="1" t="inlineStr">
        <is>
          <t>CYNTHIA 25/10/2025</t>
        </is>
      </c>
      <c r="I1153" s="4" t="n">
        <v>2</v>
      </c>
      <c r="J1153" s="6" t="n">
        <v>9.800000000000001</v>
      </c>
      <c r="K1153" s="6" t="n">
        <v>256.7778712</v>
      </c>
      <c r="L1153" s="6">
        <f>I1153*K1153</f>
        <v/>
      </c>
      <c r="M1153" s="6">
        <f>K1153*4</f>
        <v/>
      </c>
      <c r="N1153" s="6" t="n">
        <v>850</v>
      </c>
    </row>
    <row r="1154">
      <c r="A1154" s="1" t="inlineStr">
        <is>
          <t>39252672178381</t>
        </is>
      </c>
      <c r="B1154" s="1" t="inlineStr">
        <is>
          <t>ARRACADAS BLOSSOM GOLD ZIRCONIAS</t>
        </is>
      </c>
      <c r="C1154" s="1" t="inlineStr">
        <is>
          <t>Default Title</t>
        </is>
      </c>
      <c r="D1154" s="1" t="inlineStr">
        <is>
          <t>19/03/2026</t>
        </is>
      </c>
      <c r="E1154" s="1" t="n">
        <v>2026</v>
      </c>
      <c r="F1154" s="1" t="inlineStr">
        <is>
          <t>MARZO</t>
        </is>
      </c>
      <c r="G1154" s="1" t="inlineStr">
        <is>
          <t>CYNTHIA</t>
        </is>
      </c>
      <c r="H1154" s="1" t="inlineStr">
        <is>
          <t>CYNTHIA 19/03/2026</t>
        </is>
      </c>
      <c r="I1154" s="4" t="n">
        <v>2</v>
      </c>
      <c r="J1154" s="6" t="n">
        <v>9.800000000000001</v>
      </c>
      <c r="K1154" s="6" t="n">
        <v>263.2026748</v>
      </c>
      <c r="L1154" s="6">
        <f>I1154*K1154</f>
        <v/>
      </c>
      <c r="M1154" s="6">
        <f>K1154*4</f>
        <v/>
      </c>
      <c r="N1154" s="6" t="n">
        <v>925</v>
      </c>
    </row>
    <row r="1155">
      <c r="A1155" s="1" t="inlineStr">
        <is>
          <t>39396101044045</t>
        </is>
      </c>
      <c r="B1155" s="1" t="inlineStr">
        <is>
          <t>PULSERA KNOT GOLD CON ZIRCONIA</t>
        </is>
      </c>
      <c r="C1155" s="1" t="inlineStr">
        <is>
          <t>Default Title</t>
        </is>
      </c>
      <c r="D1155" s="1" t="inlineStr">
        <is>
          <t>25/09/2025</t>
        </is>
      </c>
      <c r="E1155" s="1" t="n">
        <v>2025</v>
      </c>
      <c r="F1155" s="1" t="inlineStr">
        <is>
          <t>SEPTIEMBRE</t>
        </is>
      </c>
      <c r="G1155" s="1" t="inlineStr">
        <is>
          <t>HAIFENG</t>
        </is>
      </c>
      <c r="H1155" s="1" t="inlineStr">
        <is>
          <t>HAIFENG 25/09/2025</t>
        </is>
      </c>
      <c r="I1155" s="4" t="n">
        <v>2</v>
      </c>
      <c r="J1155" s="6" t="n">
        <v>13</v>
      </c>
      <c r="K1155" s="6" t="n">
        <v>274.259515</v>
      </c>
      <c r="L1155" s="6">
        <f>I1155*K1155</f>
        <v/>
      </c>
      <c r="M1155" s="6">
        <f>K1155*4</f>
        <v/>
      </c>
      <c r="N1155" s="6" t="n">
        <v>1199</v>
      </c>
    </row>
    <row r="1156">
      <c r="A1156" s="1" t="inlineStr">
        <is>
          <t>39396101044045</t>
        </is>
      </c>
      <c r="B1156" s="1" t="inlineStr">
        <is>
          <t>PULSERA KNOT GOLD CON ZIRCONIA</t>
        </is>
      </c>
      <c r="C1156" s="1" t="inlineStr">
        <is>
          <t>Default Title</t>
        </is>
      </c>
      <c r="D1156" s="1" t="inlineStr">
        <is>
          <t>10/02/2026</t>
        </is>
      </c>
      <c r="E1156" s="1" t="n">
        <v>2026</v>
      </c>
      <c r="F1156" s="1" t="inlineStr">
        <is>
          <t>FEBRERO</t>
        </is>
      </c>
      <c r="G1156" s="1" t="inlineStr">
        <is>
          <t>HAIFENG</t>
        </is>
      </c>
      <c r="H1156" s="1" t="inlineStr">
        <is>
          <t>HAIFENG 10/02/2026</t>
        </is>
      </c>
      <c r="I1156" s="4" t="n">
        <v>2</v>
      </c>
      <c r="J1156" s="6" t="n">
        <v>13</v>
      </c>
      <c r="K1156" s="6" t="n">
        <v>273.8904489</v>
      </c>
      <c r="L1156" s="6">
        <f>I1156*K1156</f>
        <v/>
      </c>
      <c r="M1156" s="6">
        <f>K1156*4</f>
        <v/>
      </c>
      <c r="N1156" s="6" t="n">
        <v>1199</v>
      </c>
    </row>
    <row r="1157">
      <c r="A1157" s="1" t="inlineStr">
        <is>
          <t>39966871032781</t>
        </is>
      </c>
      <c r="B1157" s="1" t="inlineStr">
        <is>
          <t>COLLAR MSS GOLD CON ZIRCONIA</t>
        </is>
      </c>
      <c r="C1157" s="1" t="inlineStr">
        <is>
          <t>Default Title</t>
        </is>
      </c>
      <c r="D1157" s="1" t="inlineStr">
        <is>
          <t>01/09/2025</t>
        </is>
      </c>
      <c r="E1157" s="1" t="n">
        <v>2025</v>
      </c>
      <c r="F1157" s="1" t="inlineStr">
        <is>
          <t>SEPTIEMBRE</t>
        </is>
      </c>
      <c r="G1157" s="1" t="inlineStr">
        <is>
          <t>HAIFENG</t>
        </is>
      </c>
      <c r="H1157" s="1" t="inlineStr">
        <is>
          <t>HAIFENG 01/09/2025</t>
        </is>
      </c>
      <c r="I1157" s="4" t="n">
        <v>3</v>
      </c>
      <c r="J1157" s="6" t="n">
        <v>8</v>
      </c>
      <c r="K1157" s="6" t="n">
        <v>170.0453685</v>
      </c>
      <c r="L1157" s="6">
        <f>I1157*K1157</f>
        <v/>
      </c>
      <c r="M1157" s="6">
        <f>K1157*4</f>
        <v/>
      </c>
      <c r="N1157" s="6" t="n">
        <v>660</v>
      </c>
    </row>
    <row r="1158">
      <c r="A1158" s="1" t="inlineStr">
        <is>
          <t>39966871032781</t>
        </is>
      </c>
      <c r="B1158" s="1" t="inlineStr">
        <is>
          <t>COLLAR MSS GOLD CON ZIRCONIA</t>
        </is>
      </c>
      <c r="C1158" s="1" t="inlineStr">
        <is>
          <t>Default Title</t>
        </is>
      </c>
      <c r="D1158" s="1" t="inlineStr">
        <is>
          <t>03/12/2025</t>
        </is>
      </c>
      <c r="E1158" s="1" t="n">
        <v>2025</v>
      </c>
      <c r="F1158" s="1" t="inlineStr">
        <is>
          <t>DICIEMBRE</t>
        </is>
      </c>
      <c r="G1158" s="1" t="inlineStr">
        <is>
          <t>HAIFENG</t>
        </is>
      </c>
      <c r="H1158" s="1" t="inlineStr">
        <is>
          <t>HAIFENG 03/12/2025</t>
        </is>
      </c>
      <c r="I1158" s="4" t="n">
        <v>8</v>
      </c>
      <c r="J1158" s="6" t="n">
        <v>8</v>
      </c>
      <c r="K1158" s="6" t="n">
        <v>167.3372801</v>
      </c>
      <c r="L1158" s="6">
        <f>I1158*K1158</f>
        <v/>
      </c>
      <c r="M1158" s="6">
        <f>K1158*4</f>
        <v/>
      </c>
      <c r="N1158" s="6" t="n">
        <v>660</v>
      </c>
    </row>
    <row r="1159">
      <c r="A1159" s="1" t="inlineStr">
        <is>
          <t>39966871032781</t>
        </is>
      </c>
      <c r="B1159" s="1" t="inlineStr">
        <is>
          <t>COLLAR MSS GOLD CON ZIRCONIA</t>
        </is>
      </c>
      <c r="C1159" s="1" t="inlineStr">
        <is>
          <t>Default Title</t>
        </is>
      </c>
      <c r="D1159" s="1" t="inlineStr">
        <is>
          <t>10/02/2026</t>
        </is>
      </c>
      <c r="E1159" s="1" t="n">
        <v>2026</v>
      </c>
      <c r="F1159" s="1" t="inlineStr">
        <is>
          <t>FEBRERO</t>
        </is>
      </c>
      <c r="G1159" s="1" t="inlineStr">
        <is>
          <t>HAIFENG</t>
        </is>
      </c>
      <c r="H1159" s="1" t="inlineStr">
        <is>
          <t>HAIFENG 10/02/2026</t>
        </is>
      </c>
      <c r="I1159" s="4" t="n">
        <v>13</v>
      </c>
      <c r="J1159" s="6" t="n">
        <v>8</v>
      </c>
      <c r="K1159" s="6" t="n">
        <v>168.5479685</v>
      </c>
      <c r="L1159" s="6">
        <f>I1159*K1159</f>
        <v/>
      </c>
      <c r="M1159" s="6">
        <f>K1159*4</f>
        <v/>
      </c>
      <c r="N1159" s="6" t="n">
        <v>660</v>
      </c>
    </row>
    <row r="1160">
      <c r="A1160" s="1" t="inlineStr">
        <is>
          <t>39966871032781</t>
        </is>
      </c>
      <c r="B1160" s="1" t="inlineStr">
        <is>
          <t>COLLAR MSS GOLD CON ZIRCONIA</t>
        </is>
      </c>
      <c r="C1160" s="1" t="inlineStr">
        <is>
          <t>Default Title</t>
        </is>
      </c>
      <c r="D1160" s="1" t="inlineStr">
        <is>
          <t>16/04/2026</t>
        </is>
      </c>
      <c r="E1160" s="1" t="n">
        <v>2026</v>
      </c>
      <c r="F1160" s="1" t="inlineStr">
        <is>
          <t>ABRIL</t>
        </is>
      </c>
      <c r="G1160" s="1" t="inlineStr">
        <is>
          <t>HAIFENG</t>
        </is>
      </c>
      <c r="H1160" s="1" t="inlineStr">
        <is>
          <t>HAIFENG 16/04/2026</t>
        </is>
      </c>
      <c r="I1160" s="4" t="n">
        <v>2</v>
      </c>
      <c r="J1160" s="6" t="n">
        <v>8</v>
      </c>
      <c r="K1160" s="6" t="n">
        <v>168.2517887</v>
      </c>
      <c r="L1160" s="6">
        <f>I1160*K1160</f>
        <v/>
      </c>
      <c r="M1160" s="6">
        <f>K1160*4</f>
        <v/>
      </c>
      <c r="N1160" s="6" t="n">
        <v>660</v>
      </c>
    </row>
    <row r="1161">
      <c r="A1161" s="1" t="inlineStr">
        <is>
          <t>39966871032781</t>
        </is>
      </c>
      <c r="B1161" s="1" t="inlineStr">
        <is>
          <t>COLLAR MSS GOLD CON ZIRCONIA</t>
        </is>
      </c>
      <c r="C1161" s="1" t="inlineStr">
        <is>
          <t>Default Title</t>
        </is>
      </c>
      <c r="D1161" s="1" t="inlineStr">
        <is>
          <t>06/05/2026</t>
        </is>
      </c>
      <c r="E1161" s="1" t="n">
        <v>2026</v>
      </c>
      <c r="F1161" s="1" t="inlineStr">
        <is>
          <t>MAYO</t>
        </is>
      </c>
      <c r="G1161" s="1" t="inlineStr">
        <is>
          <t>HAIFENG</t>
        </is>
      </c>
      <c r="H1161" s="1" t="inlineStr">
        <is>
          <t>HAIFENG 06/05/2026</t>
        </is>
      </c>
      <c r="I1161" s="4" t="n">
        <v>20</v>
      </c>
      <c r="J1161" s="6" t="n">
        <v>8</v>
      </c>
      <c r="K1161" s="6" t="n">
        <v>169.7491381</v>
      </c>
      <c r="L1161" s="6">
        <f>I1161*K1161</f>
        <v/>
      </c>
      <c r="M1161" s="6">
        <f>K1161*4</f>
        <v/>
      </c>
      <c r="N1161" s="6" t="n">
        <v>660</v>
      </c>
    </row>
    <row r="1162">
      <c r="A1162" s="1" t="inlineStr">
        <is>
          <t>40049131038989</t>
        </is>
      </c>
      <c r="B1162" s="1" t="inlineStr">
        <is>
          <t>TARJETERO CD OBLIQUE BLACK</t>
        </is>
      </c>
      <c r="C1162" s="1" t="inlineStr">
        <is>
          <t>Default Title</t>
        </is>
      </c>
      <c r="D1162" s="1" t="inlineStr">
        <is>
          <t>08/05/2026</t>
        </is>
      </c>
      <c r="E1162" s="1" t="n">
        <v>2026</v>
      </c>
      <c r="F1162" s="1" t="inlineStr">
        <is>
          <t>MAYO</t>
        </is>
      </c>
      <c r="G1162" s="1" t="inlineStr">
        <is>
          <t>NANCY</t>
        </is>
      </c>
      <c r="H1162" s="1" t="inlineStr">
        <is>
          <t>NANCY 08/05/2026</t>
        </is>
      </c>
      <c r="I1162" s="4" t="n">
        <v>2</v>
      </c>
      <c r="J1162" s="6" t="n">
        <v>11.69</v>
      </c>
      <c r="K1162" s="6" t="n">
        <v>276.5592215</v>
      </c>
      <c r="L1162" s="6">
        <f>I1162*K1162</f>
        <v/>
      </c>
      <c r="M1162" s="6">
        <f>K1162*4</f>
        <v/>
      </c>
      <c r="N1162" s="6" t="n">
        <v>0</v>
      </c>
    </row>
    <row r="1163">
      <c r="A1163" s="1" t="inlineStr">
        <is>
          <t>40049131140685</t>
        </is>
      </c>
      <c r="B1163" s="1" t="inlineStr">
        <is>
          <t>CARTERA LV X MURKAMI</t>
        </is>
      </c>
      <c r="C1163" s="1" t="inlineStr">
        <is>
          <t>Default Title</t>
        </is>
      </c>
      <c r="D1163" s="1" t="inlineStr">
        <is>
          <t>08/05/2026</t>
        </is>
      </c>
      <c r="E1163" s="1" t="n">
        <v>2026</v>
      </c>
      <c r="F1163" s="1" t="inlineStr">
        <is>
          <t>MAYO</t>
        </is>
      </c>
      <c r="G1163" s="1" t="inlineStr">
        <is>
          <t>NANCY</t>
        </is>
      </c>
      <c r="H1163" s="1" t="inlineStr">
        <is>
          <t>NANCY 08/05/2026</t>
        </is>
      </c>
      <c r="I1163" s="4" t="n">
        <v>2</v>
      </c>
      <c r="J1163" s="6" t="n">
        <v>15.79</v>
      </c>
      <c r="K1163" s="6" t="n">
        <v>373.5560401</v>
      </c>
      <c r="L1163" s="6">
        <f>I1163*K1163</f>
        <v/>
      </c>
      <c r="M1163" s="6">
        <f>K1163*4</f>
        <v/>
      </c>
      <c r="N1163" s="6" t="n">
        <v>0</v>
      </c>
    </row>
    <row r="1164">
      <c r="A1164" s="1" t="inlineStr">
        <is>
          <t>40049131275149</t>
        </is>
      </c>
      <c r="B1164" s="1" t="inlineStr">
        <is>
          <t>CARTERA LV VICTOIRE BICOLOR</t>
        </is>
      </c>
      <c r="C1164" s="1" t="inlineStr">
        <is>
          <t>Default Title</t>
        </is>
      </c>
      <c r="D1164" s="1" t="inlineStr">
        <is>
          <t>08/05/2026</t>
        </is>
      </c>
      <c r="E1164" s="1" t="n">
        <v>2026</v>
      </c>
      <c r="F1164" s="1" t="inlineStr">
        <is>
          <t>MAYO</t>
        </is>
      </c>
      <c r="G1164" s="1" t="inlineStr">
        <is>
          <t>NANCY</t>
        </is>
      </c>
      <c r="H1164" s="1" t="inlineStr">
        <is>
          <t>NANCY 08/05/2026</t>
        </is>
      </c>
      <c r="I1164" s="4" t="n">
        <v>2</v>
      </c>
      <c r="J1164" s="6" t="n">
        <v>16.79</v>
      </c>
      <c r="K1164" s="6" t="n">
        <v>397.2138007</v>
      </c>
      <c r="L1164" s="6">
        <f>I1164*K1164</f>
        <v/>
      </c>
      <c r="M1164" s="6">
        <f>K1164*4</f>
        <v/>
      </c>
      <c r="N1164" s="6" t="n">
        <v>0</v>
      </c>
    </row>
    <row r="1165">
      <c r="A1165" s="1" t="inlineStr">
        <is>
          <t>40049131342381</t>
        </is>
      </c>
      <c r="B1165" s="1" t="inlineStr">
        <is>
          <t>MONEDERO LV MONOGRAM BLACK</t>
        </is>
      </c>
      <c r="C1165" s="1" t="inlineStr">
        <is>
          <t>Default Title</t>
        </is>
      </c>
      <c r="D1165" s="1" t="inlineStr">
        <is>
          <t>08/05/2026</t>
        </is>
      </c>
      <c r="E1165" s="1" t="n">
        <v>2026</v>
      </c>
      <c r="F1165" s="1" t="inlineStr">
        <is>
          <t>MAYO</t>
        </is>
      </c>
      <c r="G1165" s="1" t="inlineStr">
        <is>
          <t>NANCY</t>
        </is>
      </c>
      <c r="H1165" s="1" t="inlineStr">
        <is>
          <t>NANCY 08/05/2026</t>
        </is>
      </c>
      <c r="I1165" s="4" t="n">
        <v>2</v>
      </c>
      <c r="J1165" s="6" t="n">
        <v>9.390000000000001</v>
      </c>
      <c r="K1165" s="6" t="n">
        <v>222.1463721</v>
      </c>
      <c r="L1165" s="6">
        <f>I1165*K1165</f>
        <v/>
      </c>
      <c r="M1165" s="6">
        <f>K1165*4</f>
        <v/>
      </c>
      <c r="N1165" s="6" t="n">
        <v>0</v>
      </c>
    </row>
    <row r="1166">
      <c r="A1166" s="1" t="inlineStr">
        <is>
          <t>40049131409613</t>
        </is>
      </c>
      <c r="B1166" s="1" t="inlineStr">
        <is>
          <t>MONEDERO LV ROSALIE DAMIER</t>
        </is>
      </c>
      <c r="C1166" s="1" t="inlineStr">
        <is>
          <t>Default Title</t>
        </is>
      </c>
      <c r="D1166" s="1" t="inlineStr">
        <is>
          <t>08/05/2026</t>
        </is>
      </c>
      <c r="E1166" s="1" t="n">
        <v>2026</v>
      </c>
      <c r="F1166" s="1" t="inlineStr">
        <is>
          <t>MAYO</t>
        </is>
      </c>
      <c r="G1166" s="1" t="inlineStr">
        <is>
          <t>NANCY</t>
        </is>
      </c>
      <c r="H1166" s="1" t="inlineStr">
        <is>
          <t>NANCY 08/05/2026</t>
        </is>
      </c>
      <c r="I1166" s="4" t="n">
        <v>2</v>
      </c>
      <c r="J1166" s="6" t="n">
        <v>9.390000000000001</v>
      </c>
      <c r="K1166" s="6" t="n">
        <v>222.1463721</v>
      </c>
      <c r="L1166" s="6">
        <f>I1166*K1166</f>
        <v/>
      </c>
      <c r="M1166" s="6">
        <f>K1166*4</f>
        <v/>
      </c>
      <c r="N1166" s="6" t="n">
        <v>0</v>
      </c>
    </row>
    <row r="1167">
      <c r="A1167" s="1" t="inlineStr">
        <is>
          <t>40049131576845</t>
        </is>
      </c>
      <c r="B1167" s="1" t="inlineStr">
        <is>
          <t>MONEDERO LV MONOGRAM</t>
        </is>
      </c>
      <c r="C1167" s="1" t="inlineStr">
        <is>
          <t>Default Title</t>
        </is>
      </c>
      <c r="D1167" s="1" t="inlineStr">
        <is>
          <t>08/05/2026</t>
        </is>
      </c>
      <c r="E1167" s="1" t="n">
        <v>2026</v>
      </c>
      <c r="F1167" s="1" t="inlineStr">
        <is>
          <t>MAYO</t>
        </is>
      </c>
      <c r="G1167" s="1" t="inlineStr">
        <is>
          <t>NANCY</t>
        </is>
      </c>
      <c r="H1167" s="1" t="inlineStr">
        <is>
          <t>NANCY 08/05/2026</t>
        </is>
      </c>
      <c r="I1167" s="4" t="n">
        <v>2</v>
      </c>
      <c r="J1167" s="6" t="n">
        <v>11.69</v>
      </c>
      <c r="K1167" s="6" t="n">
        <v>276.5592215</v>
      </c>
      <c r="L1167" s="6">
        <f>I1167*K1167</f>
        <v/>
      </c>
      <c r="M1167" s="6">
        <f>K1167*4</f>
        <v/>
      </c>
      <c r="N1167" s="6" t="n">
        <v>0</v>
      </c>
    </row>
    <row r="1168">
      <c r="A1168" s="1" t="inlineStr">
        <is>
          <t>40071861011917</t>
        </is>
      </c>
      <c r="B1168" s="1" t="inlineStr">
        <is>
          <t>CONJUNTO DEPORTIVO A NEGRO</t>
        </is>
      </c>
      <c r="C1168" s="1" t="inlineStr">
        <is>
          <t>M</t>
        </is>
      </c>
      <c r="D1168" s="1" t="inlineStr">
        <is>
          <t>15/05/2026</t>
        </is>
      </c>
      <c r="E1168" s="1" t="n">
        <v>2026</v>
      </c>
      <c r="F1168" s="1" t="inlineStr">
        <is>
          <t>MAYO</t>
        </is>
      </c>
      <c r="G1168" s="1" t="inlineStr">
        <is>
          <t>ZOEY</t>
        </is>
      </c>
      <c r="H1168" s="1" t="inlineStr">
        <is>
          <t>ZOEY 15/05/2026</t>
        </is>
      </c>
      <c r="I1168" s="4" t="n">
        <v>2</v>
      </c>
      <c r="J1168" s="6" t="n">
        <v>24</v>
      </c>
      <c r="K1168" s="6" t="n">
        <v>636.1109877</v>
      </c>
      <c r="L1168" s="6">
        <f>I1168*K1168</f>
        <v/>
      </c>
      <c r="M1168" s="6">
        <f>K1168*4</f>
        <v/>
      </c>
      <c r="N1168" s="6" t="n">
        <v>2599</v>
      </c>
    </row>
    <row r="1169">
      <c r="A1169" s="1" t="inlineStr">
        <is>
          <t>40154171040653</t>
        </is>
      </c>
      <c r="B1169" s="1" t="inlineStr">
        <is>
          <t>COLLAR T OPEN HEART PERETTI</t>
        </is>
      </c>
      <c r="C1169" s="1" t="inlineStr">
        <is>
          <t>Default Title</t>
        </is>
      </c>
      <c r="D1169" s="1" t="inlineStr">
        <is>
          <t>05/02/2026</t>
        </is>
      </c>
      <c r="E1169" s="1" t="n">
        <v>2026</v>
      </c>
      <c r="F1169" s="1" t="inlineStr">
        <is>
          <t>FEBRERO</t>
        </is>
      </c>
      <c r="G1169" s="1" t="inlineStr">
        <is>
          <t>HAIFENG</t>
        </is>
      </c>
      <c r="H1169" s="1" t="inlineStr">
        <is>
          <t>HAIFENG 05/02/2026</t>
        </is>
      </c>
      <c r="I1169" s="4" t="n">
        <v>3</v>
      </c>
      <c r="J1169" s="6" t="n">
        <v>10</v>
      </c>
      <c r="K1169" s="6" t="n">
        <v>213.5429239</v>
      </c>
      <c r="L1169" s="6">
        <f>I1169*K1169</f>
        <v/>
      </c>
      <c r="M1169" s="6">
        <f>K1169*4</f>
        <v/>
      </c>
      <c r="N1169" s="6" t="n">
        <v>850</v>
      </c>
    </row>
    <row r="1170">
      <c r="A1170" s="1" t="inlineStr">
        <is>
          <t>40154171040653</t>
        </is>
      </c>
      <c r="B1170" s="1" t="inlineStr">
        <is>
          <t>COLLAR T OPEN HEART PERETTI</t>
        </is>
      </c>
      <c r="C1170" s="1" t="inlineStr">
        <is>
          <t>Default Title</t>
        </is>
      </c>
      <c r="D1170" s="1" t="inlineStr">
        <is>
          <t>16/06/2026</t>
        </is>
      </c>
      <c r="E1170" s="1" t="n">
        <v>2026</v>
      </c>
      <c r="F1170" s="1" t="inlineStr">
        <is>
          <t>JUNIO</t>
        </is>
      </c>
      <c r="G1170" s="1" t="inlineStr">
        <is>
          <t>HAIFENG</t>
        </is>
      </c>
      <c r="H1170" s="1" t="inlineStr">
        <is>
          <t>HAIFENG 16/06/2026</t>
        </is>
      </c>
      <c r="I1170" s="4" t="n">
        <v>2</v>
      </c>
      <c r="J1170" s="6" t="n">
        <v>10</v>
      </c>
      <c r="K1170" s="6" t="n">
        <v>210.1460646</v>
      </c>
      <c r="L1170" s="6">
        <f>I1170*K1170</f>
        <v/>
      </c>
      <c r="M1170" s="6">
        <f>K1170*4</f>
        <v/>
      </c>
      <c r="N1170" s="6" t="n">
        <v>850</v>
      </c>
    </row>
    <row r="1171">
      <c r="A1171" s="1" t="inlineStr">
        <is>
          <t>40154171145741</t>
        </is>
      </c>
      <c r="B1171" s="1" t="inlineStr">
        <is>
          <t>COLLAR T ESLABONES HARDWEAR</t>
        </is>
      </c>
      <c r="C1171" s="1" t="inlineStr">
        <is>
          <t>Default Title</t>
        </is>
      </c>
      <c r="D1171" s="1" t="inlineStr">
        <is>
          <t>05/02/2026</t>
        </is>
      </c>
      <c r="E1171" s="1" t="n">
        <v>2026</v>
      </c>
      <c r="F1171" s="1" t="inlineStr">
        <is>
          <t>FEBRERO</t>
        </is>
      </c>
      <c r="G1171" s="1" t="inlineStr">
        <is>
          <t>HAIFENG</t>
        </is>
      </c>
      <c r="H1171" s="1" t="inlineStr">
        <is>
          <t>HAIFENG 05/02/2026</t>
        </is>
      </c>
      <c r="I1171" s="4" t="n">
        <v>3</v>
      </c>
      <c r="J1171" s="6" t="n">
        <v>7</v>
      </c>
      <c r="K1171" s="6" t="n">
        <v>149.4800467</v>
      </c>
      <c r="L1171" s="6">
        <f>I1171*K1171</f>
        <v/>
      </c>
      <c r="M1171" s="6">
        <f>K1171*4</f>
        <v/>
      </c>
      <c r="N1171" s="6" t="n">
        <v>599</v>
      </c>
    </row>
    <row r="1172">
      <c r="A1172" s="1" t="inlineStr">
        <is>
          <t>40154171145741</t>
        </is>
      </c>
      <c r="B1172" s="1" t="inlineStr">
        <is>
          <t>COLLAR T ESLABONES HARDWEAR</t>
        </is>
      </c>
      <c r="C1172" s="1" t="inlineStr">
        <is>
          <t>Default Title</t>
        </is>
      </c>
      <c r="D1172" s="1" t="inlineStr">
        <is>
          <t>26/05/2026</t>
        </is>
      </c>
      <c r="E1172" s="1" t="n">
        <v>2026</v>
      </c>
      <c r="F1172" s="1" t="inlineStr">
        <is>
          <t>MAYO</t>
        </is>
      </c>
      <c r="G1172" s="1" t="inlineStr">
        <is>
          <t>HAIFENG</t>
        </is>
      </c>
      <c r="H1172" s="1" t="inlineStr">
        <is>
          <t>HAIFENG 26/05/2026</t>
        </is>
      </c>
      <c r="I1172" s="4" t="n">
        <v>3</v>
      </c>
      <c r="J1172" s="6" t="n">
        <v>7</v>
      </c>
      <c r="K1172" s="6" t="n">
        <v>146.9250671</v>
      </c>
      <c r="L1172" s="6">
        <f>I1172*K1172</f>
        <v/>
      </c>
      <c r="M1172" s="6">
        <f>K1172*4</f>
        <v/>
      </c>
      <c r="N1172" s="6" t="n">
        <v>599</v>
      </c>
    </row>
    <row r="1173">
      <c r="A1173" s="1" t="inlineStr">
        <is>
          <t>40154171267789</t>
        </is>
      </c>
      <c r="B1173" s="1" t="inlineStr">
        <is>
          <t>BRAZALETE T ELSA PERETTI GOLD</t>
        </is>
      </c>
      <c r="C1173" s="1" t="inlineStr">
        <is>
          <t>Default Title</t>
        </is>
      </c>
      <c r="D1173" s="1" t="inlineStr">
        <is>
          <t>05/02/2026</t>
        </is>
      </c>
      <c r="E1173" s="1" t="n">
        <v>2026</v>
      </c>
      <c r="F1173" s="1" t="inlineStr">
        <is>
          <t>FEBRERO</t>
        </is>
      </c>
      <c r="G1173" s="1" t="inlineStr">
        <is>
          <t>HAIFENG</t>
        </is>
      </c>
      <c r="H1173" s="1" t="inlineStr">
        <is>
          <t>HAIFENG 05/02/2026</t>
        </is>
      </c>
      <c r="I1173" s="4" t="n">
        <v>3</v>
      </c>
      <c r="J1173" s="6" t="n">
        <v>7.5</v>
      </c>
      <c r="K1173" s="6" t="n">
        <v>160.1571929</v>
      </c>
      <c r="L1173" s="6">
        <f>I1173*K1173</f>
        <v/>
      </c>
      <c r="M1173" s="6">
        <f>K1173*4</f>
        <v/>
      </c>
      <c r="N1173" s="6" t="n">
        <v>650</v>
      </c>
    </row>
    <row r="1174">
      <c r="A1174" s="1" t="inlineStr">
        <is>
          <t>40154171267789</t>
        </is>
      </c>
      <c r="B1174" s="1" t="inlineStr">
        <is>
          <t>BRAZALETE T ELSA PERETTI GOLD</t>
        </is>
      </c>
      <c r="C1174" s="1" t="inlineStr">
        <is>
          <t>Default Title</t>
        </is>
      </c>
      <c r="D1174" s="1" t="inlineStr">
        <is>
          <t>16/04/2026</t>
        </is>
      </c>
      <c r="E1174" s="1" t="n">
        <v>2026</v>
      </c>
      <c r="F1174" s="1" t="inlineStr">
        <is>
          <t>ABRIL</t>
        </is>
      </c>
      <c r="G1174" s="1" t="inlineStr">
        <is>
          <t>HAIFENG</t>
        </is>
      </c>
      <c r="H1174" s="1" t="inlineStr">
        <is>
          <t>HAIFENG 16/04/2026</t>
        </is>
      </c>
      <c r="I1174" s="4" t="n">
        <v>1</v>
      </c>
      <c r="J1174" s="6" t="n">
        <v>7.5</v>
      </c>
      <c r="K1174" s="6" t="n">
        <v>157.7360519</v>
      </c>
      <c r="L1174" s="6">
        <f>I1174*K1174</f>
        <v/>
      </c>
      <c r="M1174" s="6">
        <f>K1174*4</f>
        <v/>
      </c>
      <c r="N1174" s="6" t="n">
        <v>650</v>
      </c>
    </row>
    <row r="1175">
      <c r="A1175" s="1" t="inlineStr">
        <is>
          <t>40154171379661</t>
        </is>
      </c>
      <c r="B1175" s="1" t="inlineStr">
        <is>
          <t>BRAZALETE T MULTIPLES PLACAS</t>
        </is>
      </c>
      <c r="C1175" s="1" t="inlineStr">
        <is>
          <t>Default Title</t>
        </is>
      </c>
      <c r="D1175" s="1" t="inlineStr">
        <is>
          <t>05/02/2026</t>
        </is>
      </c>
      <c r="E1175" s="1" t="n">
        <v>2026</v>
      </c>
      <c r="F1175" s="1" t="inlineStr">
        <is>
          <t>FEBRERO</t>
        </is>
      </c>
      <c r="G1175" s="1" t="inlineStr">
        <is>
          <t>HAIFENG</t>
        </is>
      </c>
      <c r="H1175" s="1" t="inlineStr">
        <is>
          <t>HAIFENG 05/02/2026</t>
        </is>
      </c>
      <c r="I1175" s="4" t="n">
        <v>3</v>
      </c>
      <c r="J1175" s="6" t="n">
        <v>12</v>
      </c>
      <c r="K1175" s="6" t="n">
        <v>256.2515086</v>
      </c>
      <c r="L1175" s="6">
        <f>I1175*K1175</f>
        <v/>
      </c>
      <c r="M1175" s="6">
        <f>K1175*4</f>
        <v/>
      </c>
      <c r="N1175" s="6" t="n">
        <v>999</v>
      </c>
    </row>
    <row r="1176">
      <c r="A1176" s="1" t="inlineStr">
        <is>
          <t>40154171379661</t>
        </is>
      </c>
      <c r="B1176" s="1" t="inlineStr">
        <is>
          <t>BRAZALETE T MULTIPLES PLACAS</t>
        </is>
      </c>
      <c r="C1176" s="1" t="inlineStr">
        <is>
          <t>Default Title</t>
        </is>
      </c>
      <c r="D1176" s="1" t="inlineStr">
        <is>
          <t>06/05/2026</t>
        </is>
      </c>
      <c r="E1176" s="1" t="n">
        <v>2026</v>
      </c>
      <c r="F1176" s="1" t="inlineStr">
        <is>
          <t>MAYO</t>
        </is>
      </c>
      <c r="G1176" s="1" t="inlineStr">
        <is>
          <t>HAIFENG</t>
        </is>
      </c>
      <c r="H1176" s="1" t="inlineStr">
        <is>
          <t>HAIFENG 06/05/2026</t>
        </is>
      </c>
      <c r="I1176" s="4" t="n">
        <v>8</v>
      </c>
      <c r="J1176" s="6" t="n">
        <v>12</v>
      </c>
      <c r="K1176" s="6" t="n">
        <v>254.6237072</v>
      </c>
      <c r="L1176" s="6">
        <f>I1176*K1176</f>
        <v/>
      </c>
      <c r="M1176" s="6">
        <f>K1176*4</f>
        <v/>
      </c>
      <c r="N1176" s="6" t="n">
        <v>999</v>
      </c>
    </row>
    <row r="1177">
      <c r="A1177" s="1" t="inlineStr">
        <is>
          <t>40154171489837</t>
        </is>
      </c>
      <c r="B1177" s="1" t="inlineStr">
        <is>
          <t>PULSERA LOVE SILVER LOVE ROSE GOLD</t>
        </is>
      </c>
      <c r="C1177" s="1" t="inlineStr">
        <is>
          <t>Default Title</t>
        </is>
      </c>
      <c r="D1177" s="1" t="inlineStr">
        <is>
          <t>05/02/2026</t>
        </is>
      </c>
      <c r="E1177" s="1" t="n">
        <v>2026</v>
      </c>
      <c r="F1177" s="1" t="inlineStr">
        <is>
          <t>FEBRERO</t>
        </is>
      </c>
      <c r="G1177" s="1" t="inlineStr">
        <is>
          <t>HAIFENG</t>
        </is>
      </c>
      <c r="H1177" s="1" t="inlineStr">
        <is>
          <t>HAIFENG 05/02/2026</t>
        </is>
      </c>
      <c r="I1177" s="4" t="n">
        <v>3</v>
      </c>
      <c r="J1177" s="6" t="n">
        <v>6</v>
      </c>
      <c r="K1177" s="6" t="n">
        <v>128.1257543</v>
      </c>
      <c r="L1177" s="6">
        <f>I1177*K1177</f>
        <v/>
      </c>
      <c r="M1177" s="6">
        <f>K1177*4</f>
        <v/>
      </c>
      <c r="N1177" s="6" t="n">
        <v>990</v>
      </c>
    </row>
    <row r="1178">
      <c r="A1178" s="1" t="inlineStr">
        <is>
          <t>40154171506797</t>
        </is>
      </c>
      <c r="B1178" s="1" t="inlineStr">
        <is>
          <t>BRAZALETE OPEN HEART GOLD</t>
        </is>
      </c>
      <c r="C1178" s="1" t="inlineStr">
        <is>
          <t>Default Title</t>
        </is>
      </c>
      <c r="D1178" s="1" t="inlineStr">
        <is>
          <t>22/10/2025</t>
        </is>
      </c>
      <c r="E1178" s="1" t="n">
        <v>2025</v>
      </c>
      <c r="F1178" s="1" t="inlineStr">
        <is>
          <t>OCTUBRE</t>
        </is>
      </c>
      <c r="G1178" s="1" t="inlineStr">
        <is>
          <t>HAIFENG</t>
        </is>
      </c>
      <c r="H1178" s="1" t="inlineStr">
        <is>
          <t>HAIFENG 22/10/2025</t>
        </is>
      </c>
      <c r="I1178" s="4" t="n">
        <v>2</v>
      </c>
      <c r="J1178" s="6" t="n">
        <v>8.99</v>
      </c>
      <c r="K1178" s="6" t="n">
        <v>189.9430755</v>
      </c>
      <c r="L1178" s="6">
        <f>I1178*K1178</f>
        <v/>
      </c>
      <c r="M1178" s="6">
        <f>K1178*4</f>
        <v/>
      </c>
      <c r="N1178" s="6" t="n">
        <v>620</v>
      </c>
    </row>
    <row r="1179">
      <c r="A1179" s="1" t="inlineStr">
        <is>
          <t>40154171506797</t>
        </is>
      </c>
      <c r="B1179" s="1" t="inlineStr">
        <is>
          <t>BRAZALETE OPEN HEART GOLD</t>
        </is>
      </c>
      <c r="C1179" s="1" t="inlineStr">
        <is>
          <t>Default Title</t>
        </is>
      </c>
      <c r="D1179" s="1" t="inlineStr">
        <is>
          <t>05/02/2026</t>
        </is>
      </c>
      <c r="E1179" s="1" t="n">
        <v>2026</v>
      </c>
      <c r="F1179" s="1" t="inlineStr">
        <is>
          <t>FEBRERO</t>
        </is>
      </c>
      <c r="G1179" s="1" t="inlineStr">
        <is>
          <t>HAIFENG</t>
        </is>
      </c>
      <c r="H1179" s="1" t="inlineStr">
        <is>
          <t>HAIFENG 05/02/2026</t>
        </is>
      </c>
      <c r="I1179" s="4" t="n">
        <v>3</v>
      </c>
      <c r="J1179" s="6" t="n">
        <v>10</v>
      </c>
      <c r="K1179" s="6" t="n">
        <v>213.5429239</v>
      </c>
      <c r="L1179" s="6">
        <f>I1179*K1179</f>
        <v/>
      </c>
      <c r="M1179" s="6">
        <f>K1179*4</f>
        <v/>
      </c>
      <c r="N1179" s="6" t="n">
        <v>620</v>
      </c>
    </row>
    <row r="1180">
      <c r="A1180" s="1" t="inlineStr">
        <is>
          <t>40154171618669</t>
        </is>
      </c>
      <c r="B1180" s="1" t="inlineStr">
        <is>
          <t>PULSERA CLAIRE D LUNE DOBLE SILVER</t>
        </is>
      </c>
      <c r="C1180" s="1" t="inlineStr">
        <is>
          <t>Default Title</t>
        </is>
      </c>
      <c r="D1180" s="1" t="inlineStr">
        <is>
          <t>05/02/2026</t>
        </is>
      </c>
      <c r="E1180" s="1" t="n">
        <v>2026</v>
      </c>
      <c r="F1180" s="1" t="inlineStr">
        <is>
          <t>FEBRERO</t>
        </is>
      </c>
      <c r="G1180" s="1" t="inlineStr">
        <is>
          <t>HAIFENG</t>
        </is>
      </c>
      <c r="H1180" s="1" t="inlineStr">
        <is>
          <t>HAIFENG 05/02/2026</t>
        </is>
      </c>
      <c r="I1180" s="4" t="n">
        <v>3</v>
      </c>
      <c r="J1180" s="6" t="n">
        <v>6</v>
      </c>
      <c r="K1180" s="6" t="n">
        <v>128.1257543</v>
      </c>
      <c r="L1180" s="6">
        <f>I1180*K1180</f>
        <v/>
      </c>
      <c r="M1180" s="6">
        <f>K1180*4</f>
        <v/>
      </c>
      <c r="N1180" s="6" t="n">
        <v>499</v>
      </c>
    </row>
    <row r="1181">
      <c r="A1181" s="1" t="inlineStr">
        <is>
          <t>40154171618669</t>
        </is>
      </c>
      <c r="B1181" s="1" t="inlineStr">
        <is>
          <t>PULSERA CLAIRE D LUNE DOBLE SILVER</t>
        </is>
      </c>
      <c r="C1181" s="1" t="inlineStr">
        <is>
          <t>Default Title</t>
        </is>
      </c>
      <c r="D1181" s="1" t="inlineStr">
        <is>
          <t>16/04/2026</t>
        </is>
      </c>
      <c r="E1181" s="1" t="n">
        <v>2026</v>
      </c>
      <c r="F1181" s="1" t="inlineStr">
        <is>
          <t>ABRIL</t>
        </is>
      </c>
      <c r="G1181" s="1" t="inlineStr">
        <is>
          <t>HAIFENG</t>
        </is>
      </c>
      <c r="H1181" s="1" t="inlineStr">
        <is>
          <t>HAIFENG 16/04/2026</t>
        </is>
      </c>
      <c r="I1181" s="4" t="n">
        <v>2</v>
      </c>
      <c r="J1181" s="6" t="n">
        <v>6</v>
      </c>
      <c r="K1181" s="6" t="n">
        <v>126.1888415</v>
      </c>
      <c r="L1181" s="6">
        <f>I1181*K1181</f>
        <v/>
      </c>
      <c r="M1181" s="6">
        <f>K1181*4</f>
        <v/>
      </c>
      <c r="N1181" s="6" t="n">
        <v>499</v>
      </c>
    </row>
    <row r="1182">
      <c r="A1182" s="1" t="inlineStr">
        <is>
          <t>40154171618669</t>
        </is>
      </c>
      <c r="B1182" s="1" t="inlineStr">
        <is>
          <t>PULSERA CLAIRE D LUNE DOBLE SILVER</t>
        </is>
      </c>
      <c r="C1182" s="1" t="inlineStr">
        <is>
          <t>Default Title</t>
        </is>
      </c>
      <c r="D1182" s="1" t="inlineStr">
        <is>
          <t>16/06/2026</t>
        </is>
      </c>
      <c r="E1182" s="1" t="n">
        <v>2026</v>
      </c>
      <c r="F1182" s="1" t="inlineStr">
        <is>
          <t>JUNIO</t>
        </is>
      </c>
      <c r="G1182" s="1" t="inlineStr">
        <is>
          <t>HAIFENG</t>
        </is>
      </c>
      <c r="H1182" s="1" t="inlineStr">
        <is>
          <t>HAIFENG 16/06/2026</t>
        </is>
      </c>
      <c r="I1182" s="4" t="n">
        <v>3</v>
      </c>
      <c r="J1182" s="6" t="n">
        <v>6</v>
      </c>
      <c r="K1182" s="6" t="n">
        <v>126.0876388</v>
      </c>
      <c r="L1182" s="6">
        <f>I1182*K1182</f>
        <v/>
      </c>
      <c r="M1182" s="6">
        <f>K1182*4</f>
        <v/>
      </c>
      <c r="N1182" s="6" t="n">
        <v>499</v>
      </c>
    </row>
    <row r="1183">
      <c r="A1183" s="1" t="inlineStr">
        <is>
          <t>40154171763309</t>
        </is>
      </c>
      <c r="B1183" s="1" t="inlineStr">
        <is>
          <t>BRAZALETE T ELSA PERETTI SILVER</t>
        </is>
      </c>
      <c r="C1183" s="1" t="inlineStr">
        <is>
          <t>Default Title</t>
        </is>
      </c>
      <c r="D1183" s="1" t="inlineStr">
        <is>
          <t>05/02/2026</t>
        </is>
      </c>
      <c r="E1183" s="1" t="n">
        <v>2026</v>
      </c>
      <c r="F1183" s="1" t="inlineStr">
        <is>
          <t>FEBRERO</t>
        </is>
      </c>
      <c r="G1183" s="1" t="inlineStr">
        <is>
          <t>HAIFENG</t>
        </is>
      </c>
      <c r="H1183" s="1" t="inlineStr">
        <is>
          <t>HAIFENG 05/02/2026</t>
        </is>
      </c>
      <c r="I1183" s="4" t="n">
        <v>3</v>
      </c>
      <c r="J1183" s="6" t="n">
        <v>6</v>
      </c>
      <c r="K1183" s="6" t="n">
        <v>128.1257543</v>
      </c>
      <c r="L1183" s="6">
        <f>I1183*K1183</f>
        <v/>
      </c>
      <c r="M1183" s="6">
        <f>K1183*4</f>
        <v/>
      </c>
      <c r="N1183" s="6" t="n">
        <v>599</v>
      </c>
    </row>
    <row r="1184">
      <c r="A1184" s="1" t="inlineStr">
        <is>
          <t>40154171869549</t>
        </is>
      </c>
      <c r="B1184" s="1" t="inlineStr">
        <is>
          <t>PULSERA KNOT CADENA ROSE GOLD</t>
        </is>
      </c>
      <c r="C1184" s="1" t="inlineStr">
        <is>
          <t>Default Title</t>
        </is>
      </c>
      <c r="D1184" s="1" t="inlineStr">
        <is>
          <t>05/02/2026</t>
        </is>
      </c>
      <c r="E1184" s="1" t="n">
        <v>2026</v>
      </c>
      <c r="F1184" s="1" t="inlineStr">
        <is>
          <t>FEBRERO</t>
        </is>
      </c>
      <c r="G1184" s="1" t="inlineStr">
        <is>
          <t>HAIFENG</t>
        </is>
      </c>
      <c r="H1184" s="1" t="inlineStr">
        <is>
          <t>HAIFENG 05/02/2026</t>
        </is>
      </c>
      <c r="I1184" s="4" t="n">
        <v>3</v>
      </c>
      <c r="J1184" s="6" t="n">
        <v>7</v>
      </c>
      <c r="K1184" s="6" t="n">
        <v>149.4800467</v>
      </c>
      <c r="L1184" s="6">
        <f>I1184*K1184</f>
        <v/>
      </c>
      <c r="M1184" s="6">
        <f>K1184*4</f>
        <v/>
      </c>
      <c r="N1184" s="6" t="n">
        <v>576.8</v>
      </c>
    </row>
    <row r="1185">
      <c r="A1185" s="1" t="inlineStr">
        <is>
          <t>40154171869549</t>
        </is>
      </c>
      <c r="B1185" s="1" t="inlineStr">
        <is>
          <t>PULSERA KNOT CADENA ROSE GOLD</t>
        </is>
      </c>
      <c r="C1185" s="1" t="inlineStr">
        <is>
          <t>Default Title</t>
        </is>
      </c>
      <c r="D1185" s="1" t="inlineStr">
        <is>
          <t>06/05/2026</t>
        </is>
      </c>
      <c r="E1185" s="1" t="n">
        <v>2026</v>
      </c>
      <c r="F1185" s="1" t="inlineStr">
        <is>
          <t>MAYO</t>
        </is>
      </c>
      <c r="G1185" s="1" t="inlineStr">
        <is>
          <t>HAIFENG</t>
        </is>
      </c>
      <c r="H1185" s="1" t="inlineStr">
        <is>
          <t>HAIFENG 06/05/2026</t>
        </is>
      </c>
      <c r="I1185" s="4" t="n">
        <v>3</v>
      </c>
      <c r="J1185" s="6" t="n">
        <v>7</v>
      </c>
      <c r="K1185" s="6" t="n">
        <v>148.5304959</v>
      </c>
      <c r="L1185" s="6">
        <f>I1185*K1185</f>
        <v/>
      </c>
      <c r="M1185" s="6">
        <f>K1185*4</f>
        <v/>
      </c>
      <c r="N1185" s="6" t="n">
        <v>576.8</v>
      </c>
    </row>
    <row r="1186">
      <c r="A1186" s="1" t="inlineStr">
        <is>
          <t>40154171915885</t>
        </is>
      </c>
      <c r="B1186" s="1" t="inlineStr">
        <is>
          <t>BRAZALETE DOBLE ESLABON GOLD</t>
        </is>
      </c>
      <c r="C1186" s="1" t="inlineStr">
        <is>
          <t>Default Title</t>
        </is>
      </c>
      <c r="D1186" s="1" t="inlineStr">
        <is>
          <t>05/02/2026</t>
        </is>
      </c>
      <c r="E1186" s="1" t="n">
        <v>2026</v>
      </c>
      <c r="F1186" s="1" t="inlineStr">
        <is>
          <t>FEBRERO</t>
        </is>
      </c>
      <c r="G1186" s="1" t="inlineStr">
        <is>
          <t>HAIFENG</t>
        </is>
      </c>
      <c r="H1186" s="1" t="inlineStr">
        <is>
          <t>HAIFENG 05/02/2026</t>
        </is>
      </c>
      <c r="I1186" s="4" t="n">
        <v>3</v>
      </c>
      <c r="J1186" s="6" t="n">
        <v>7</v>
      </c>
      <c r="K1186" s="6" t="n">
        <v>149.4800467</v>
      </c>
      <c r="L1186" s="6">
        <f>I1186*K1186</f>
        <v/>
      </c>
      <c r="M1186" s="6">
        <f>K1186*4</f>
        <v/>
      </c>
      <c r="N1186" s="6" t="n">
        <v>599</v>
      </c>
    </row>
    <row r="1187">
      <c r="A1187" s="1" t="inlineStr">
        <is>
          <t>40154171915885</t>
        </is>
      </c>
      <c r="B1187" s="1" t="inlineStr">
        <is>
          <t>BRAZALETE DOBLE ESLABON GOLD</t>
        </is>
      </c>
      <c r="C1187" s="1" t="inlineStr">
        <is>
          <t>Default Title</t>
        </is>
      </c>
      <c r="D1187" s="1" t="inlineStr">
        <is>
          <t>16/06/2026</t>
        </is>
      </c>
      <c r="E1187" s="1" t="n">
        <v>2026</v>
      </c>
      <c r="F1187" s="1" t="inlineStr">
        <is>
          <t>JUNIO</t>
        </is>
      </c>
      <c r="G1187" s="1" t="inlineStr">
        <is>
          <t>HAIFENG</t>
        </is>
      </c>
      <c r="H1187" s="1" t="inlineStr">
        <is>
          <t>HAIFENG 16/06/2026</t>
        </is>
      </c>
      <c r="I1187" s="4" t="n">
        <v>2</v>
      </c>
      <c r="J1187" s="6" t="n">
        <v>7</v>
      </c>
      <c r="K1187" s="6" t="n">
        <v>147.1022452</v>
      </c>
      <c r="L1187" s="6">
        <f>I1187*K1187</f>
        <v/>
      </c>
      <c r="M1187" s="6">
        <f>K1187*4</f>
        <v/>
      </c>
      <c r="N1187" s="6" t="n">
        <v>599</v>
      </c>
    </row>
    <row r="1188">
      <c r="A1188" s="1" t="inlineStr">
        <is>
          <t>40154172024365</t>
        </is>
      </c>
      <c r="B1188" s="1" t="inlineStr">
        <is>
          <t>BRAZALETE T BONE GOLD</t>
        </is>
      </c>
      <c r="C1188" s="1" t="inlineStr">
        <is>
          <t>Default Title</t>
        </is>
      </c>
      <c r="D1188" s="1" t="inlineStr">
        <is>
          <t>05/02/2026</t>
        </is>
      </c>
      <c r="E1188" s="1" t="n">
        <v>2026</v>
      </c>
      <c r="F1188" s="1" t="inlineStr">
        <is>
          <t>FEBRERO</t>
        </is>
      </c>
      <c r="G1188" s="1" t="inlineStr">
        <is>
          <t>HAIFENG</t>
        </is>
      </c>
      <c r="H1188" s="1" t="inlineStr">
        <is>
          <t>HAIFENG 05/02/2026</t>
        </is>
      </c>
      <c r="I1188" s="4" t="n">
        <v>1</v>
      </c>
      <c r="J1188" s="6" t="n">
        <v>35</v>
      </c>
      <c r="K1188" s="6" t="n">
        <v>747.4002335</v>
      </c>
      <c r="L1188" s="6">
        <f>I1188*K1188</f>
        <v/>
      </c>
      <c r="M1188" s="6">
        <f>K1188*4</f>
        <v/>
      </c>
      <c r="N1188" s="6" t="n">
        <v>2899</v>
      </c>
    </row>
    <row r="1189">
      <c r="A1189" s="1" t="inlineStr">
        <is>
          <t>40154172024365</t>
        </is>
      </c>
      <c r="B1189" s="1" t="inlineStr">
        <is>
          <t>BRAZALETE T BONE GOLD</t>
        </is>
      </c>
      <c r="C1189" s="1" t="inlineStr">
        <is>
          <t>Default Title</t>
        </is>
      </c>
      <c r="D1189" s="1" t="inlineStr">
        <is>
          <t>16/06/2026</t>
        </is>
      </c>
      <c r="E1189" s="1" t="n">
        <v>2026</v>
      </c>
      <c r="F1189" s="1" t="inlineStr">
        <is>
          <t>JUNIO</t>
        </is>
      </c>
      <c r="G1189" s="1" t="inlineStr">
        <is>
          <t>HAIFENG</t>
        </is>
      </c>
      <c r="H1189" s="1" t="inlineStr">
        <is>
          <t>HAIFENG 16/06/2026</t>
        </is>
      </c>
      <c r="I1189" s="4" t="n">
        <v>2</v>
      </c>
      <c r="J1189" s="6" t="n">
        <v>35</v>
      </c>
      <c r="K1189" s="6" t="n">
        <v>735.5112261</v>
      </c>
      <c r="L1189" s="6">
        <f>I1189*K1189</f>
        <v/>
      </c>
      <c r="M1189" s="6">
        <f>K1189*4</f>
        <v/>
      </c>
      <c r="N1189" s="6" t="n">
        <v>2899</v>
      </c>
    </row>
    <row r="1190">
      <c r="A1190" s="1" t="inlineStr">
        <is>
          <t>40154172105165</t>
        </is>
      </c>
      <c r="B1190" s="1" t="inlineStr">
        <is>
          <t>BRAZALETE T ESLABONES PEARL</t>
        </is>
      </c>
      <c r="C1190" s="1" t="inlineStr">
        <is>
          <t>Default Title</t>
        </is>
      </c>
      <c r="D1190" s="1" t="inlineStr">
        <is>
          <t>05/02/2026</t>
        </is>
      </c>
      <c r="E1190" s="1" t="n">
        <v>2026</v>
      </c>
      <c r="F1190" s="1" t="inlineStr">
        <is>
          <t>FEBRERO</t>
        </is>
      </c>
      <c r="G1190" s="1" t="inlineStr">
        <is>
          <t>HAIFENG</t>
        </is>
      </c>
      <c r="H1190" s="1" t="inlineStr">
        <is>
          <t>HAIFENG 05/02/2026</t>
        </is>
      </c>
      <c r="I1190" s="4" t="n">
        <v>3</v>
      </c>
      <c r="J1190" s="6" t="n">
        <v>1</v>
      </c>
      <c r="K1190" s="6" t="n">
        <v>21.35429239</v>
      </c>
      <c r="L1190" s="6">
        <f>I1190*K1190</f>
        <v/>
      </c>
      <c r="M1190" s="6">
        <f>K1190*4</f>
        <v/>
      </c>
      <c r="N1190" s="6" t="n">
        <v>850</v>
      </c>
    </row>
    <row r="1191">
      <c r="A1191" s="1" t="inlineStr">
        <is>
          <t>40154172105165</t>
        </is>
      </c>
      <c r="B1191" s="1" t="inlineStr">
        <is>
          <t>BRAZALETE T ESLABONES PEARL</t>
        </is>
      </c>
      <c r="C1191" s="1" t="inlineStr">
        <is>
          <t>Default Title</t>
        </is>
      </c>
      <c r="D1191" s="1" t="inlineStr">
        <is>
          <t>16/04/2026</t>
        </is>
      </c>
      <c r="E1191" s="1" t="n">
        <v>2026</v>
      </c>
      <c r="F1191" s="1" t="inlineStr">
        <is>
          <t>ABRIL</t>
        </is>
      </c>
      <c r="G1191" s="1" t="inlineStr">
        <is>
          <t>HAIFENG</t>
        </is>
      </c>
      <c r="H1191" s="1" t="inlineStr">
        <is>
          <t>HAIFENG 16/04/2026</t>
        </is>
      </c>
      <c r="I1191" s="4" t="n">
        <v>1</v>
      </c>
      <c r="J1191" s="6" t="n">
        <v>3</v>
      </c>
      <c r="K1191" s="6" t="n">
        <v>63.09442077</v>
      </c>
      <c r="L1191" s="6">
        <f>I1191*K1191</f>
        <v/>
      </c>
      <c r="M1191" s="6">
        <f>K1191*4</f>
        <v/>
      </c>
      <c r="N1191" s="6" t="n">
        <v>850</v>
      </c>
    </row>
    <row r="1192">
      <c r="A1192" s="1" t="inlineStr">
        <is>
          <t>40154172105165</t>
        </is>
      </c>
      <c r="B1192" s="1" t="inlineStr">
        <is>
          <t>BRAZALETE T ESLABONES PEARL</t>
        </is>
      </c>
      <c r="C1192" s="1" t="inlineStr">
        <is>
          <t>Default Title</t>
        </is>
      </c>
      <c r="D1192" s="1" t="inlineStr">
        <is>
          <t>06/05/2026</t>
        </is>
      </c>
      <c r="E1192" s="1" t="n">
        <v>2026</v>
      </c>
      <c r="F1192" s="1" t="inlineStr">
        <is>
          <t>MAYO</t>
        </is>
      </c>
      <c r="G1192" s="1" t="inlineStr">
        <is>
          <t>HAIFENG</t>
        </is>
      </c>
      <c r="H1192" s="1" t="inlineStr">
        <is>
          <t>HAIFENG 06/05/2026</t>
        </is>
      </c>
      <c r="I1192" s="4" t="n">
        <v>2</v>
      </c>
      <c r="J1192" s="6" t="n">
        <v>10</v>
      </c>
      <c r="K1192" s="6" t="n">
        <v>212.1864227</v>
      </c>
      <c r="L1192" s="6">
        <f>I1192*K1192</f>
        <v/>
      </c>
      <c r="M1192" s="6">
        <f>K1192*4</f>
        <v/>
      </c>
      <c r="N1192" s="6" t="n">
        <v>850</v>
      </c>
    </row>
    <row r="1193">
      <c r="A1193" s="1" t="inlineStr">
        <is>
          <t>40154172246477</t>
        </is>
      </c>
      <c r="B1193" s="1" t="inlineStr">
        <is>
          <t>BRAZALETE T BONE SILVER</t>
        </is>
      </c>
      <c r="C1193" s="1" t="inlineStr">
        <is>
          <t>Default Title</t>
        </is>
      </c>
      <c r="D1193" s="1" t="inlineStr">
        <is>
          <t>05/02/2026</t>
        </is>
      </c>
      <c r="E1193" s="1" t="n">
        <v>2026</v>
      </c>
      <c r="F1193" s="1" t="inlineStr">
        <is>
          <t>FEBRERO</t>
        </is>
      </c>
      <c r="G1193" s="1" t="inlineStr">
        <is>
          <t>HAIFENG</t>
        </is>
      </c>
      <c r="H1193" s="1" t="inlineStr">
        <is>
          <t>HAIFENG 05/02/2026</t>
        </is>
      </c>
      <c r="I1193" s="4" t="n">
        <v>1</v>
      </c>
      <c r="J1193" s="6" t="n">
        <v>35</v>
      </c>
      <c r="K1193" s="6" t="n">
        <v>747.4002335</v>
      </c>
      <c r="L1193" s="6">
        <f>I1193*K1193</f>
        <v/>
      </c>
      <c r="M1193" s="6">
        <f>K1193*4</f>
        <v/>
      </c>
      <c r="N1193" s="6" t="n">
        <v>2885</v>
      </c>
    </row>
    <row r="1194">
      <c r="A1194" s="1" t="inlineStr">
        <is>
          <t>40154172394509</t>
        </is>
      </c>
      <c r="B1194" s="1" t="inlineStr">
        <is>
          <t>BRAZALETE T DOBLE PALOMA SILVER</t>
        </is>
      </c>
      <c r="C1194" s="1" t="inlineStr">
        <is>
          <t>Default Title</t>
        </is>
      </c>
      <c r="D1194" s="1" t="inlineStr">
        <is>
          <t>05/02/2026</t>
        </is>
      </c>
      <c r="E1194" s="1" t="n">
        <v>2026</v>
      </c>
      <c r="F1194" s="1" t="inlineStr">
        <is>
          <t>FEBRERO</t>
        </is>
      </c>
      <c r="G1194" s="1" t="inlineStr">
        <is>
          <t>HAIFENG</t>
        </is>
      </c>
      <c r="H1194" s="1" t="inlineStr">
        <is>
          <t>HAIFENG 05/02/2026</t>
        </is>
      </c>
      <c r="I1194" s="4" t="n">
        <v>3</v>
      </c>
      <c r="J1194" s="6" t="n">
        <v>8</v>
      </c>
      <c r="K1194" s="6" t="n">
        <v>170.8343391</v>
      </c>
      <c r="L1194" s="6">
        <f>I1194*K1194</f>
        <v/>
      </c>
      <c r="M1194" s="6">
        <f>K1194*4</f>
        <v/>
      </c>
      <c r="N1194" s="6" t="n">
        <v>659.2</v>
      </c>
    </row>
    <row r="1195">
      <c r="A1195" s="1" t="inlineStr">
        <is>
          <t>40154172453261</t>
        </is>
      </c>
      <c r="B1195" s="1" t="inlineStr">
        <is>
          <t>BRAZALETE T PALOMA SILVER</t>
        </is>
      </c>
      <c r="C1195" s="1" t="inlineStr">
        <is>
          <t>Default Title</t>
        </is>
      </c>
      <c r="D1195" s="1" t="inlineStr">
        <is>
          <t>05/02/2026</t>
        </is>
      </c>
      <c r="E1195" s="1" t="n">
        <v>2026</v>
      </c>
      <c r="F1195" s="1" t="inlineStr">
        <is>
          <t>FEBRERO</t>
        </is>
      </c>
      <c r="G1195" s="1" t="inlineStr">
        <is>
          <t>HAIFENG</t>
        </is>
      </c>
      <c r="H1195" s="1" t="inlineStr">
        <is>
          <t>HAIFENG 05/02/2026</t>
        </is>
      </c>
      <c r="I1195" s="4" t="n">
        <v>3</v>
      </c>
      <c r="J1195" s="6" t="n">
        <v>7</v>
      </c>
      <c r="K1195" s="6" t="n">
        <v>149.4800467</v>
      </c>
      <c r="L1195" s="6">
        <f>I1195*K1195</f>
        <v/>
      </c>
      <c r="M1195" s="6">
        <f>K1195*4</f>
        <v/>
      </c>
      <c r="N1195" s="6" t="n">
        <v>0</v>
      </c>
    </row>
    <row r="1196">
      <c r="A1196" s="1" t="inlineStr">
        <is>
          <t>40154172563437</t>
        </is>
      </c>
      <c r="B1196" s="1" t="inlineStr">
        <is>
          <t>BRAZALETE T DOBLE PALOMA GOLD</t>
        </is>
      </c>
      <c r="C1196" s="1" t="inlineStr">
        <is>
          <t>Default Title</t>
        </is>
      </c>
      <c r="D1196" s="1" t="inlineStr">
        <is>
          <t>05/02/2026</t>
        </is>
      </c>
      <c r="E1196" s="1" t="n">
        <v>2026</v>
      </c>
      <c r="F1196" s="1" t="inlineStr">
        <is>
          <t>FEBRERO</t>
        </is>
      </c>
      <c r="G1196" s="1" t="inlineStr">
        <is>
          <t>HAIFENG</t>
        </is>
      </c>
      <c r="H1196" s="1" t="inlineStr">
        <is>
          <t>HAIFENG 05/02/2026</t>
        </is>
      </c>
      <c r="I1196" s="4" t="n">
        <v>3</v>
      </c>
      <c r="J1196" s="6" t="n">
        <v>8</v>
      </c>
      <c r="K1196" s="6" t="n">
        <v>170.8343391</v>
      </c>
      <c r="L1196" s="6">
        <f>I1196*K1196</f>
        <v/>
      </c>
      <c r="M1196" s="6">
        <f>K1196*4</f>
        <v/>
      </c>
      <c r="N1196" s="6" t="n">
        <v>659.2</v>
      </c>
    </row>
    <row r="1197">
      <c r="A1197" s="1" t="inlineStr">
        <is>
          <t>40154172642541</t>
        </is>
      </c>
      <c r="B1197" s="1" t="inlineStr">
        <is>
          <t>PULSERA T ROSE GOLD PEARL ZIRCONIAS</t>
        </is>
      </c>
      <c r="C1197" s="1" t="inlineStr">
        <is>
          <t>Default Title</t>
        </is>
      </c>
      <c r="D1197" s="1" t="inlineStr">
        <is>
          <t>05/02/2026</t>
        </is>
      </c>
      <c r="E1197" s="1" t="n">
        <v>2026</v>
      </c>
      <c r="F1197" s="1" t="inlineStr">
        <is>
          <t>FEBRERO</t>
        </is>
      </c>
      <c r="G1197" s="1" t="inlineStr">
        <is>
          <t>HAIFENG</t>
        </is>
      </c>
      <c r="H1197" s="1" t="inlineStr">
        <is>
          <t>HAIFENG 05/02/2026</t>
        </is>
      </c>
      <c r="I1197" s="4" t="n">
        <v>3</v>
      </c>
      <c r="J1197" s="6" t="n">
        <v>6</v>
      </c>
      <c r="K1197" s="6" t="n">
        <v>128.1257543</v>
      </c>
      <c r="L1197" s="6">
        <f>I1197*K1197</f>
        <v/>
      </c>
      <c r="M1197" s="6">
        <f>K1197*4</f>
        <v/>
      </c>
      <c r="N1197" s="6" t="n">
        <v>500</v>
      </c>
    </row>
    <row r="1198">
      <c r="A1198" s="1" t="inlineStr">
        <is>
          <t>40154172642541</t>
        </is>
      </c>
      <c r="B1198" s="1" t="inlineStr">
        <is>
          <t>PULSERA T ROSE GOLD PEARL ZIRCONIAS</t>
        </is>
      </c>
      <c r="C1198" s="1" t="inlineStr">
        <is>
          <t>Default Title</t>
        </is>
      </c>
      <c r="D1198" s="1" t="inlineStr">
        <is>
          <t>16/04/2026</t>
        </is>
      </c>
      <c r="E1198" s="1" t="n">
        <v>2026</v>
      </c>
      <c r="F1198" s="1" t="inlineStr">
        <is>
          <t>ABRIL</t>
        </is>
      </c>
      <c r="G1198" s="1" t="inlineStr">
        <is>
          <t>HAIFENG</t>
        </is>
      </c>
      <c r="H1198" s="1" t="inlineStr">
        <is>
          <t>HAIFENG 16/04/2026</t>
        </is>
      </c>
      <c r="I1198" s="4" t="n">
        <v>3</v>
      </c>
      <c r="J1198" s="6" t="n">
        <v>6</v>
      </c>
      <c r="K1198" s="6" t="n">
        <v>126.1888415</v>
      </c>
      <c r="L1198" s="6">
        <f>I1198*K1198</f>
        <v/>
      </c>
      <c r="M1198" s="6">
        <f>K1198*4</f>
        <v/>
      </c>
      <c r="N1198" s="6" t="n">
        <v>500</v>
      </c>
    </row>
    <row r="1199">
      <c r="A1199" s="1" t="inlineStr">
        <is>
          <t>40154172721645</t>
        </is>
      </c>
      <c r="B1199" s="1" t="inlineStr">
        <is>
          <t>COLLAR T ENVOLVENTE</t>
        </is>
      </c>
      <c r="C1199" s="1" t="inlineStr">
        <is>
          <t>Default Title</t>
        </is>
      </c>
      <c r="D1199" s="1" t="inlineStr">
        <is>
          <t>05/02/2026</t>
        </is>
      </c>
      <c r="E1199" s="1" t="n">
        <v>2026</v>
      </c>
      <c r="F1199" s="1" t="inlineStr">
        <is>
          <t>FEBRERO</t>
        </is>
      </c>
      <c r="G1199" s="1" t="inlineStr">
        <is>
          <t>HAIFENG</t>
        </is>
      </c>
      <c r="H1199" s="1" t="inlineStr">
        <is>
          <t>HAIFENG 05/02/2026</t>
        </is>
      </c>
      <c r="I1199" s="4" t="n">
        <v>3</v>
      </c>
      <c r="J1199" s="6" t="n">
        <v>12</v>
      </c>
      <c r="K1199" s="6" t="n">
        <v>256.2515086</v>
      </c>
      <c r="L1199" s="6">
        <f>I1199*K1199</f>
        <v/>
      </c>
      <c r="M1199" s="6">
        <f>K1199*4</f>
        <v/>
      </c>
      <c r="N1199" s="6" t="n">
        <v>999</v>
      </c>
    </row>
    <row r="1200">
      <c r="A1200" s="1" t="inlineStr">
        <is>
          <t>40154172721645</t>
        </is>
      </c>
      <c r="B1200" s="1" t="inlineStr">
        <is>
          <t>COLLAR T ENVOLVENTE</t>
        </is>
      </c>
      <c r="C1200" s="1" t="inlineStr">
        <is>
          <t>Default Title</t>
        </is>
      </c>
      <c r="D1200" s="1" t="inlineStr">
        <is>
          <t>26/05/2026</t>
        </is>
      </c>
      <c r="E1200" s="1" t="n">
        <v>2026</v>
      </c>
      <c r="F1200" s="1" t="inlineStr">
        <is>
          <t>MAYO</t>
        </is>
      </c>
      <c r="G1200" s="1" t="inlineStr">
        <is>
          <t>HAIFENG</t>
        </is>
      </c>
      <c r="H1200" s="1" t="inlineStr">
        <is>
          <t>HAIFENG 26/05/2026</t>
        </is>
      </c>
      <c r="I1200" s="4" t="n">
        <v>6</v>
      </c>
      <c r="J1200" s="6" t="n">
        <v>12</v>
      </c>
      <c r="K1200" s="6" t="n">
        <v>251.8715435</v>
      </c>
      <c r="L1200" s="6">
        <f>I1200*K1200</f>
        <v/>
      </c>
      <c r="M1200" s="6">
        <f>K1200*4</f>
        <v/>
      </c>
      <c r="N1200" s="6" t="n">
        <v>999</v>
      </c>
    </row>
    <row r="1201">
      <c r="A1201" s="1" t="inlineStr">
        <is>
          <t>40154172899053</t>
        </is>
      </c>
      <c r="B1201" s="1" t="inlineStr">
        <is>
          <t>ANILLO SERPENTI VIPER SILVER</t>
        </is>
      </c>
      <c r="C1201" s="1" t="inlineStr">
        <is>
          <t>6</t>
        </is>
      </c>
      <c r="D1201" s="1" t="inlineStr">
        <is>
          <t>05/02/2026</t>
        </is>
      </c>
      <c r="E1201" s="1" t="n">
        <v>2026</v>
      </c>
      <c r="F1201" s="1" t="inlineStr">
        <is>
          <t>FEBRERO</t>
        </is>
      </c>
      <c r="G1201" s="1" t="inlineStr">
        <is>
          <t>HAIFENG</t>
        </is>
      </c>
      <c r="H1201" s="1" t="inlineStr">
        <is>
          <t>HAIFENG 05/02/2026</t>
        </is>
      </c>
      <c r="I1201" s="4" t="n">
        <v>3</v>
      </c>
      <c r="J1201" s="6" t="n">
        <v>7</v>
      </c>
      <c r="K1201" s="6" t="n">
        <v>149.4800467</v>
      </c>
      <c r="L1201" s="6">
        <f>I1201*K1201</f>
        <v/>
      </c>
      <c r="M1201" s="6">
        <f>K1201*4</f>
        <v/>
      </c>
      <c r="N1201" s="6" t="n">
        <v>599</v>
      </c>
    </row>
    <row r="1202">
      <c r="A1202" s="1" t="inlineStr">
        <is>
          <t>40154172931821</t>
        </is>
      </c>
      <c r="B1202" s="1" t="inlineStr">
        <is>
          <t>ANILLO SERPENTI VIPER SILVER</t>
        </is>
      </c>
      <c r="C1202" s="1" t="inlineStr">
        <is>
          <t>7</t>
        </is>
      </c>
      <c r="D1202" s="1" t="inlineStr">
        <is>
          <t>05/02/2026</t>
        </is>
      </c>
      <c r="E1202" s="1" t="n">
        <v>2026</v>
      </c>
      <c r="F1202" s="1" t="inlineStr">
        <is>
          <t>FEBRERO</t>
        </is>
      </c>
      <c r="G1202" s="1" t="inlineStr">
        <is>
          <t>HAIFENG</t>
        </is>
      </c>
      <c r="H1202" s="1" t="inlineStr">
        <is>
          <t>HAIFENG 05/02/2026</t>
        </is>
      </c>
      <c r="I1202" s="4" t="n">
        <v>3</v>
      </c>
      <c r="J1202" s="6" t="n">
        <v>7</v>
      </c>
      <c r="K1202" s="6" t="n">
        <v>149.4800467</v>
      </c>
      <c r="L1202" s="6">
        <f>I1202*K1202</f>
        <v/>
      </c>
      <c r="M1202" s="6">
        <f>K1202*4</f>
        <v/>
      </c>
      <c r="N1202" s="6" t="n">
        <v>599</v>
      </c>
    </row>
    <row r="1203">
      <c r="A1203" s="1" t="inlineStr">
        <is>
          <t>40154172931821</t>
        </is>
      </c>
      <c r="B1203" s="1" t="inlineStr">
        <is>
          <t>ANILLO SERPENTI VIPER SILVER</t>
        </is>
      </c>
      <c r="C1203" s="1" t="inlineStr">
        <is>
          <t>7</t>
        </is>
      </c>
      <c r="D1203" s="1" t="inlineStr">
        <is>
          <t>16/06/2026</t>
        </is>
      </c>
      <c r="E1203" s="1" t="n">
        <v>2026</v>
      </c>
      <c r="F1203" s="1" t="inlineStr">
        <is>
          <t>JUNIO</t>
        </is>
      </c>
      <c r="G1203" s="1" t="inlineStr">
        <is>
          <t>HAIFENG</t>
        </is>
      </c>
      <c r="H1203" s="1" t="inlineStr">
        <is>
          <t>HAIFENG 16/06/2026</t>
        </is>
      </c>
      <c r="I1203" s="4" t="n">
        <v>1</v>
      </c>
      <c r="J1203" s="6" t="n">
        <v>7</v>
      </c>
      <c r="K1203" s="6" t="n">
        <v>147.1022452</v>
      </c>
      <c r="L1203" s="6">
        <f>I1203*K1203</f>
        <v/>
      </c>
      <c r="M1203" s="6">
        <f>K1203*4</f>
        <v/>
      </c>
      <c r="N1203" s="6" t="n">
        <v>599</v>
      </c>
    </row>
    <row r="1204">
      <c r="A1204" s="1" t="inlineStr">
        <is>
          <t>40154173040301</t>
        </is>
      </c>
      <c r="B1204" s="1" t="inlineStr">
        <is>
          <t>ANILLO BV B.ZERO1 DELGADO SILVER</t>
        </is>
      </c>
      <c r="C1204" s="1" t="inlineStr">
        <is>
          <t>6</t>
        </is>
      </c>
      <c r="D1204" s="1" t="inlineStr">
        <is>
          <t>05/02/2026</t>
        </is>
      </c>
      <c r="E1204" s="1" t="n">
        <v>2026</v>
      </c>
      <c r="F1204" s="1" t="inlineStr">
        <is>
          <t>FEBRERO</t>
        </is>
      </c>
      <c r="G1204" s="1" t="inlineStr">
        <is>
          <t>HAIFENG</t>
        </is>
      </c>
      <c r="H1204" s="1" t="inlineStr">
        <is>
          <t>HAIFENG 05/02/2026</t>
        </is>
      </c>
      <c r="I1204" s="4" t="n">
        <v>3</v>
      </c>
      <c r="J1204" s="6" t="n">
        <v>7</v>
      </c>
      <c r="K1204" s="6" t="n">
        <v>149.4800467</v>
      </c>
      <c r="L1204" s="6">
        <f>I1204*K1204</f>
        <v/>
      </c>
      <c r="M1204" s="6">
        <f>K1204*4</f>
        <v/>
      </c>
      <c r="N1204" s="6" t="n">
        <v>454</v>
      </c>
    </row>
    <row r="1205">
      <c r="A1205" s="1" t="inlineStr">
        <is>
          <t>40154173173069</t>
        </is>
      </c>
      <c r="B1205" s="1" t="inlineStr">
        <is>
          <t>ANILLO BV B.ZERO1 DELGADO SILVER</t>
        </is>
      </c>
      <c r="C1205" s="1" t="inlineStr">
        <is>
          <t>7</t>
        </is>
      </c>
      <c r="D1205" s="1" t="inlineStr">
        <is>
          <t>05/02/2026</t>
        </is>
      </c>
      <c r="E1205" s="1" t="n">
        <v>2026</v>
      </c>
      <c r="F1205" s="1" t="inlineStr">
        <is>
          <t>FEBRERO</t>
        </is>
      </c>
      <c r="G1205" s="1" t="inlineStr">
        <is>
          <t>HAIFENG</t>
        </is>
      </c>
      <c r="H1205" s="1" t="inlineStr">
        <is>
          <t>HAIFENG 05/02/2026</t>
        </is>
      </c>
      <c r="I1205" s="4" t="n">
        <v>3</v>
      </c>
      <c r="J1205" s="6" t="n">
        <v>7</v>
      </c>
      <c r="K1205" s="6" t="n">
        <v>149.4800467</v>
      </c>
      <c r="L1205" s="6">
        <f>I1205*K1205</f>
        <v/>
      </c>
      <c r="M1205" s="6">
        <f>K1205*4</f>
        <v/>
      </c>
      <c r="N1205" s="6" t="n">
        <v>699</v>
      </c>
    </row>
    <row r="1206">
      <c r="A1206" s="1" t="inlineStr">
        <is>
          <t>40154173241997</t>
        </is>
      </c>
      <c r="B1206" s="1" t="inlineStr">
        <is>
          <t>COLLAR JUSTE UN CLOU ROSE GOLD</t>
        </is>
      </c>
      <c r="C1206" s="1" t="inlineStr">
        <is>
          <t>Default Title</t>
        </is>
      </c>
      <c r="D1206" s="1" t="inlineStr">
        <is>
          <t>05/02/2026</t>
        </is>
      </c>
      <c r="E1206" s="1" t="n">
        <v>2026</v>
      </c>
      <c r="F1206" s="1" t="inlineStr">
        <is>
          <t>FEBRERO</t>
        </is>
      </c>
      <c r="G1206" s="1" t="inlineStr">
        <is>
          <t>HAIFENG</t>
        </is>
      </c>
      <c r="H1206" s="1" t="inlineStr">
        <is>
          <t>HAIFENG 05/02/2026</t>
        </is>
      </c>
      <c r="I1206" s="4" t="n">
        <v>2</v>
      </c>
      <c r="J1206" s="6" t="n">
        <v>10.5</v>
      </c>
      <c r="K1206" s="6" t="n">
        <v>224.2200701</v>
      </c>
      <c r="L1206" s="6">
        <f>I1206*K1206</f>
        <v/>
      </c>
      <c r="M1206" s="6">
        <f>K1206*4</f>
        <v/>
      </c>
      <c r="N1206" s="6" t="n">
        <v>870</v>
      </c>
    </row>
    <row r="1207">
      <c r="A1207" s="1" t="inlineStr">
        <is>
          <t>40154173365741</t>
        </is>
      </c>
      <c r="B1207" s="1" t="inlineStr">
        <is>
          <t>ANILLO CLAVO DOBLE SILVER ZIRCONIAS</t>
        </is>
      </c>
      <c r="C1207" s="1" t="inlineStr">
        <is>
          <t>6</t>
        </is>
      </c>
      <c r="D1207" s="1" t="inlineStr">
        <is>
          <t>05/02/2026</t>
        </is>
      </c>
      <c r="E1207" s="1" t="n">
        <v>2026</v>
      </c>
      <c r="F1207" s="1" t="inlineStr">
        <is>
          <t>FEBRERO</t>
        </is>
      </c>
      <c r="G1207" s="1" t="inlineStr">
        <is>
          <t>HAIFENG</t>
        </is>
      </c>
      <c r="H1207" s="1" t="inlineStr">
        <is>
          <t>HAIFENG 05/02/2026</t>
        </is>
      </c>
      <c r="I1207" s="4" t="n">
        <v>2</v>
      </c>
      <c r="J1207" s="6" t="n">
        <v>5</v>
      </c>
      <c r="K1207" s="6" t="n">
        <v>106.7714619</v>
      </c>
      <c r="L1207" s="6">
        <f>I1207*K1207</f>
        <v/>
      </c>
      <c r="M1207" s="6">
        <f>K1207*4</f>
        <v/>
      </c>
      <c r="N1207" s="6" t="n">
        <v>700</v>
      </c>
    </row>
    <row r="1208">
      <c r="A1208" s="1" t="inlineStr">
        <is>
          <t>40154173498509</t>
        </is>
      </c>
      <c r="B1208" s="1" t="inlineStr">
        <is>
          <t>ANILLO CLAVO DOBLE SILVER ZIRCONIAS</t>
        </is>
      </c>
      <c r="C1208" s="1" t="inlineStr">
        <is>
          <t>7</t>
        </is>
      </c>
      <c r="D1208" s="1" t="inlineStr">
        <is>
          <t>05/02/2026</t>
        </is>
      </c>
      <c r="E1208" s="1" t="n">
        <v>2026</v>
      </c>
      <c r="F1208" s="1" t="inlineStr">
        <is>
          <t>FEBRERO</t>
        </is>
      </c>
      <c r="G1208" s="1" t="inlineStr">
        <is>
          <t>HAIFENG</t>
        </is>
      </c>
      <c r="H1208" s="1" t="inlineStr">
        <is>
          <t>HAIFENG 05/02/2026</t>
        </is>
      </c>
      <c r="I1208" s="4" t="n">
        <v>2</v>
      </c>
      <c r="J1208" s="6" t="n">
        <v>5</v>
      </c>
      <c r="K1208" s="6" t="n">
        <v>106.7714619</v>
      </c>
      <c r="L1208" s="6">
        <f>I1208*K1208</f>
        <v/>
      </c>
      <c r="M1208" s="6">
        <f>K1208*4</f>
        <v/>
      </c>
      <c r="N1208" s="6" t="n">
        <v>700</v>
      </c>
    </row>
    <row r="1209">
      <c r="A1209" s="1" t="inlineStr">
        <is>
          <t>40154173560109</t>
        </is>
      </c>
      <c r="B1209" s="1" t="inlineStr">
        <is>
          <t>ANILLO CLAVO DOBLE GOLD ZIRCONIAS</t>
        </is>
      </c>
      <c r="C1209" s="1" t="inlineStr">
        <is>
          <t>6</t>
        </is>
      </c>
      <c r="D1209" s="1" t="inlineStr">
        <is>
          <t>05/02/2026</t>
        </is>
      </c>
      <c r="E1209" s="1" t="n">
        <v>2026</v>
      </c>
      <c r="F1209" s="1" t="inlineStr">
        <is>
          <t>FEBRERO</t>
        </is>
      </c>
      <c r="G1209" s="1" t="inlineStr">
        <is>
          <t>HAIFENG</t>
        </is>
      </c>
      <c r="H1209" s="1" t="inlineStr">
        <is>
          <t>HAIFENG 05/02/2026</t>
        </is>
      </c>
      <c r="I1209" s="4" t="n">
        <v>2</v>
      </c>
      <c r="J1209" s="6" t="n">
        <v>5</v>
      </c>
      <c r="K1209" s="6" t="n">
        <v>106.7714619</v>
      </c>
      <c r="L1209" s="6">
        <f>I1209*K1209</f>
        <v/>
      </c>
      <c r="M1209" s="6">
        <f>K1209*4</f>
        <v/>
      </c>
      <c r="N1209" s="6" t="n">
        <v>600</v>
      </c>
    </row>
    <row r="1210">
      <c r="A1210" s="1" t="inlineStr">
        <is>
          <t>40154173692877</t>
        </is>
      </c>
      <c r="B1210" s="1" t="inlineStr">
        <is>
          <t>ANILLO CLAVO DOBLE GOLD ZIRCONIAS</t>
        </is>
      </c>
      <c r="C1210" s="1" t="inlineStr">
        <is>
          <t>7</t>
        </is>
      </c>
      <c r="D1210" s="1" t="inlineStr">
        <is>
          <t>05/02/2026</t>
        </is>
      </c>
      <c r="E1210" s="1" t="n">
        <v>2026</v>
      </c>
      <c r="F1210" s="1" t="inlineStr">
        <is>
          <t>FEBRERO</t>
        </is>
      </c>
      <c r="G1210" s="1" t="inlineStr">
        <is>
          <t>HAIFENG</t>
        </is>
      </c>
      <c r="H1210" s="1" t="inlineStr">
        <is>
          <t>HAIFENG 05/02/2026</t>
        </is>
      </c>
      <c r="I1210" s="4" t="n">
        <v>2</v>
      </c>
      <c r="J1210" s="6" t="n">
        <v>5</v>
      </c>
      <c r="K1210" s="6" t="n">
        <v>106.7714619</v>
      </c>
      <c r="L1210" s="6">
        <f>I1210*K1210</f>
        <v/>
      </c>
      <c r="M1210" s="6">
        <f>K1210*4</f>
        <v/>
      </c>
      <c r="N1210" s="6" t="n">
        <v>600</v>
      </c>
    </row>
    <row r="1211">
      <c r="A1211" s="1" t="inlineStr">
        <is>
          <t>40154173692877</t>
        </is>
      </c>
      <c r="B1211" s="1" t="inlineStr">
        <is>
          <t>ANILLO CLAVO DOBLE GOLD ZIRCONIAS</t>
        </is>
      </c>
      <c r="C1211" s="1" t="inlineStr">
        <is>
          <t>7</t>
        </is>
      </c>
      <c r="D1211" s="1" t="inlineStr">
        <is>
          <t>26/05/2026</t>
        </is>
      </c>
      <c r="E1211" s="1" t="n">
        <v>2026</v>
      </c>
      <c r="F1211" s="1" t="inlineStr">
        <is>
          <t>MAYO</t>
        </is>
      </c>
      <c r="G1211" s="1" t="inlineStr">
        <is>
          <t>HAIFENG</t>
        </is>
      </c>
      <c r="H1211" s="1" t="inlineStr">
        <is>
          <t>HAIFENG 26/05/2026</t>
        </is>
      </c>
      <c r="I1211" s="4" t="n">
        <v>2</v>
      </c>
      <c r="J1211" s="6" t="n">
        <v>5</v>
      </c>
      <c r="K1211" s="6" t="n">
        <v>104.9464765</v>
      </c>
      <c r="L1211" s="6">
        <f>I1211*K1211</f>
        <v/>
      </c>
      <c r="M1211" s="6">
        <f>K1211*4</f>
        <v/>
      </c>
      <c r="N1211" s="6" t="n">
        <v>600</v>
      </c>
    </row>
    <row r="1212">
      <c r="A1212" s="1" t="inlineStr">
        <is>
          <t>40154173742605</t>
        </is>
      </c>
      <c r="B1212" s="1" t="inlineStr">
        <is>
          <t>ARRACADAS CLAVO JUSTE GOLD</t>
        </is>
      </c>
      <c r="C1212" s="1" t="inlineStr">
        <is>
          <t>Default Title</t>
        </is>
      </c>
      <c r="D1212" s="1" t="inlineStr">
        <is>
          <t>05/02/2026</t>
        </is>
      </c>
      <c r="E1212" s="1" t="n">
        <v>2026</v>
      </c>
      <c r="F1212" s="1" t="inlineStr">
        <is>
          <t>FEBRERO</t>
        </is>
      </c>
      <c r="G1212" s="1" t="inlineStr">
        <is>
          <t>HAIFENG</t>
        </is>
      </c>
      <c r="H1212" s="1" t="inlineStr">
        <is>
          <t>HAIFENG 05/02/2026</t>
        </is>
      </c>
      <c r="I1212" s="4" t="n">
        <v>3</v>
      </c>
      <c r="J1212" s="6" t="n">
        <v>10</v>
      </c>
      <c r="K1212" s="6" t="n">
        <v>213.5429239</v>
      </c>
      <c r="L1212" s="6">
        <f>I1212*K1212</f>
        <v/>
      </c>
      <c r="M1212" s="6">
        <f>K1212*4</f>
        <v/>
      </c>
      <c r="N1212" s="6" t="n">
        <v>850</v>
      </c>
    </row>
    <row r="1213">
      <c r="A1213" s="1" t="inlineStr">
        <is>
          <t>40154173820013</t>
        </is>
      </c>
      <c r="B1213" s="1" t="inlineStr">
        <is>
          <t>ARRACADAS CLAVO JUSTE SILVER</t>
        </is>
      </c>
      <c r="C1213" s="1" t="inlineStr">
        <is>
          <t>Default Title</t>
        </is>
      </c>
      <c r="D1213" s="1" t="inlineStr">
        <is>
          <t>05/02/2026</t>
        </is>
      </c>
      <c r="E1213" s="1" t="n">
        <v>2026</v>
      </c>
      <c r="F1213" s="1" t="inlineStr">
        <is>
          <t>FEBRERO</t>
        </is>
      </c>
      <c r="G1213" s="1" t="inlineStr">
        <is>
          <t>HAIFENG</t>
        </is>
      </c>
      <c r="H1213" s="1" t="inlineStr">
        <is>
          <t>HAIFENG 05/02/2026</t>
        </is>
      </c>
      <c r="I1213" s="4" t="n">
        <v>3</v>
      </c>
      <c r="J1213" s="6" t="n">
        <v>10</v>
      </c>
      <c r="K1213" s="6" t="n">
        <v>213.5429239</v>
      </c>
      <c r="L1213" s="6">
        <f>I1213*K1213</f>
        <v/>
      </c>
      <c r="M1213" s="6">
        <f>K1213*4</f>
        <v/>
      </c>
      <c r="N1213" s="6" t="n">
        <v>850</v>
      </c>
    </row>
    <row r="1214">
      <c r="A1214" s="1" t="inlineStr">
        <is>
          <t>40495211029965</t>
        </is>
      </c>
      <c r="B1214" s="1" t="inlineStr">
        <is>
          <t>PERFUME  BV LE GEMME TYGAR EAU DE PARFUM</t>
        </is>
      </c>
      <c r="C1214" s="1" t="inlineStr">
        <is>
          <t>100ML</t>
        </is>
      </c>
      <c r="D1214" s="1" t="inlineStr">
        <is>
          <t>25/10/2025</t>
        </is>
      </c>
      <c r="E1214" s="1" t="n">
        <v>2025</v>
      </c>
      <c r="F1214" s="1" t="inlineStr">
        <is>
          <t>OCTUBRE</t>
        </is>
      </c>
      <c r="G1214" s="1" t="inlineStr">
        <is>
          <t>ZOEY</t>
        </is>
      </c>
      <c r="H1214" s="1" t="inlineStr">
        <is>
          <t>ZOEY 25/10/2025</t>
        </is>
      </c>
      <c r="I1214" s="4" t="n">
        <v>2</v>
      </c>
      <c r="J1214" s="6" t="n">
        <v>18</v>
      </c>
      <c r="K1214" s="6" t="n">
        <v>446.4019675</v>
      </c>
      <c r="L1214" s="6">
        <f>I1214*K1214</f>
        <v/>
      </c>
      <c r="M1214" s="6">
        <f>K1214*4</f>
        <v/>
      </c>
      <c r="N1214" s="6" t="n">
        <v>1310.71</v>
      </c>
    </row>
    <row r="1215">
      <c r="A1215" s="1" t="inlineStr">
        <is>
          <t>40495211029965</t>
        </is>
      </c>
      <c r="B1215" s="1" t="inlineStr">
        <is>
          <t>PERFUME  BV LE GEMME TYGAR EAU DE PARFUM</t>
        </is>
      </c>
      <c r="C1215" s="1" t="inlineStr">
        <is>
          <t>100 ml</t>
        </is>
      </c>
      <c r="D1215" s="1" t="inlineStr">
        <is>
          <t>20/01/2026</t>
        </is>
      </c>
      <c r="E1215" s="1" t="n">
        <v>2026</v>
      </c>
      <c r="F1215" s="1" t="inlineStr">
        <is>
          <t>ENERO</t>
        </is>
      </c>
      <c r="G1215" s="1" t="inlineStr">
        <is>
          <t>ZOEY</t>
        </is>
      </c>
      <c r="H1215" s="1" t="inlineStr">
        <is>
          <t>ZOEY 20/01/2026</t>
        </is>
      </c>
      <c r="I1215" s="4" t="n">
        <v>4</v>
      </c>
      <c r="J1215" s="6" t="n">
        <v>18</v>
      </c>
      <c r="K1215" s="6" t="n">
        <v>468.5687886</v>
      </c>
      <c r="L1215" s="6">
        <f>I1215*K1215</f>
        <v/>
      </c>
      <c r="M1215" s="6">
        <f>K1215*4</f>
        <v/>
      </c>
      <c r="N1215" s="6" t="n">
        <v>1875</v>
      </c>
    </row>
    <row r="1216">
      <c r="A1216" s="1" t="inlineStr">
        <is>
          <t>40495211154861</t>
        </is>
      </c>
      <c r="B1216" s="1" t="inlineStr">
        <is>
          <t>PERFUME CREED AVENTUS EAU DE PARFUM</t>
        </is>
      </c>
      <c r="C1216" s="1" t="inlineStr">
        <is>
          <t>100ML</t>
        </is>
      </c>
      <c r="D1216" s="1" t="inlineStr">
        <is>
          <t>25/10/2025</t>
        </is>
      </c>
      <c r="E1216" s="1" t="n">
        <v>2025</v>
      </c>
      <c r="F1216" s="1" t="inlineStr">
        <is>
          <t>OCTUBRE</t>
        </is>
      </c>
      <c r="G1216" s="1" t="inlineStr">
        <is>
          <t>ZOEY</t>
        </is>
      </c>
      <c r="H1216" s="1" t="inlineStr">
        <is>
          <t>ZOEY 25/10/2025</t>
        </is>
      </c>
      <c r="I1216" s="4" t="n">
        <v>2</v>
      </c>
      <c r="J1216" s="6" t="n">
        <v>18</v>
      </c>
      <c r="K1216" s="6" t="n">
        <v>446.4019675</v>
      </c>
      <c r="L1216" s="6">
        <f>I1216*K1216</f>
        <v/>
      </c>
      <c r="M1216" s="6">
        <f>K1216*4</f>
        <v/>
      </c>
      <c r="N1216" s="6" t="n">
        <v>1499</v>
      </c>
    </row>
    <row r="1217">
      <c r="A1217" s="1" t="inlineStr">
        <is>
          <t>40495211154861</t>
        </is>
      </c>
      <c r="B1217" s="1" t="inlineStr">
        <is>
          <t>PERFUME CREED AVENTUS EAU DE PARFUM</t>
        </is>
      </c>
      <c r="C1217" s="1" t="inlineStr">
        <is>
          <t>100 ml</t>
        </is>
      </c>
      <c r="D1217" s="1" t="inlineStr">
        <is>
          <t>20/04/2026</t>
        </is>
      </c>
      <c r="E1217" s="1" t="n">
        <v>2026</v>
      </c>
      <c r="F1217" s="1" t="inlineStr">
        <is>
          <t>ABRIL</t>
        </is>
      </c>
      <c r="G1217" s="1" t="inlineStr">
        <is>
          <t>ZOEY</t>
        </is>
      </c>
      <c r="H1217" s="1" t="inlineStr">
        <is>
          <t>ZOEY 20/04/2026</t>
        </is>
      </c>
      <c r="I1217" s="4" t="n">
        <v>1</v>
      </c>
      <c r="J1217" s="6" t="n">
        <v>18</v>
      </c>
      <c r="K1217" s="6" t="n">
        <v>460.9580101</v>
      </c>
      <c r="L1217" s="6">
        <f>I1217*K1217</f>
        <v/>
      </c>
      <c r="M1217" s="6">
        <f>K1217*4</f>
        <v/>
      </c>
      <c r="N1217" s="6" t="n">
        <v>1799</v>
      </c>
    </row>
    <row r="1218">
      <c r="A1218" s="1" t="inlineStr">
        <is>
          <t>40495211154861</t>
        </is>
      </c>
      <c r="B1218" s="1" t="inlineStr">
        <is>
          <t>PERFUME CREED AVENTUS EAU DE PARFUM</t>
        </is>
      </c>
      <c r="C1218" s="1" t="inlineStr">
        <is>
          <t>100 ml</t>
        </is>
      </c>
      <c r="D1218" s="1" t="inlineStr">
        <is>
          <t>08/06/2026</t>
        </is>
      </c>
      <c r="E1218" s="1" t="n">
        <v>2026</v>
      </c>
      <c r="F1218" s="1" t="inlineStr">
        <is>
          <t>JUNIO</t>
        </is>
      </c>
      <c r="G1218" s="1" t="inlineStr">
        <is>
          <t>ZOEY</t>
        </is>
      </c>
      <c r="H1218" s="1" t="inlineStr">
        <is>
          <t>ZOEY 08/06/2026</t>
        </is>
      </c>
      <c r="I1218" s="4" t="n">
        <v>3</v>
      </c>
      <c r="J1218" s="6" t="n">
        <v>18</v>
      </c>
      <c r="K1218" s="6" t="n">
        <v>441.2058562</v>
      </c>
      <c r="L1218" s="6">
        <f>I1218*K1218</f>
        <v/>
      </c>
      <c r="M1218" s="6">
        <f>K1218*4</f>
        <v/>
      </c>
      <c r="N1218" s="6" t="n">
        <v>1799</v>
      </c>
    </row>
    <row r="1219">
      <c r="A1219" s="1" t="inlineStr">
        <is>
          <t>40495211254925</t>
        </is>
      </c>
      <c r="B1219" s="1" t="inlineStr">
        <is>
          <t>PERFUME V BORN IN ROMA THE GOLD DONNA</t>
        </is>
      </c>
      <c r="C1219" s="1" t="inlineStr">
        <is>
          <t>100ML</t>
        </is>
      </c>
      <c r="D1219" s="1" t="inlineStr">
        <is>
          <t>25/10/2025</t>
        </is>
      </c>
      <c r="E1219" s="1" t="n">
        <v>2025</v>
      </c>
      <c r="F1219" s="1" t="inlineStr">
        <is>
          <t>OCTUBRE</t>
        </is>
      </c>
      <c r="G1219" s="1" t="inlineStr">
        <is>
          <t>ZOEY</t>
        </is>
      </c>
      <c r="H1219" s="1" t="inlineStr">
        <is>
          <t>ZOEY 25/10/2025</t>
        </is>
      </c>
      <c r="I1219" s="4" t="n">
        <v>2</v>
      </c>
      <c r="J1219" s="6" t="n">
        <v>18</v>
      </c>
      <c r="K1219" s="6" t="n">
        <v>446.4019675</v>
      </c>
      <c r="L1219" s="6">
        <f>I1219*K1219</f>
        <v/>
      </c>
      <c r="M1219" s="6">
        <f>K1219*4</f>
        <v/>
      </c>
      <c r="N1219" s="6" t="n">
        <v>1599</v>
      </c>
    </row>
    <row r="1220">
      <c r="A1220" s="1" t="inlineStr">
        <is>
          <t>40495211254925</t>
        </is>
      </c>
      <c r="B1220" s="1" t="inlineStr">
        <is>
          <t>PERFUME V BORN IN ROMA THE GOLD DONNA</t>
        </is>
      </c>
      <c r="C1220" s="1" t="inlineStr">
        <is>
          <t>100 ml</t>
        </is>
      </c>
      <c r="D1220" s="1" t="inlineStr">
        <is>
          <t>02/03/2026</t>
        </is>
      </c>
      <c r="E1220" s="1" t="n">
        <v>2026</v>
      </c>
      <c r="F1220" s="1" t="inlineStr">
        <is>
          <t>MARZO</t>
        </is>
      </c>
      <c r="G1220" s="1" t="inlineStr">
        <is>
          <t>ZOEY</t>
        </is>
      </c>
      <c r="H1220" s="1" t="inlineStr">
        <is>
          <t>ZOEY 02/03/2026</t>
        </is>
      </c>
      <c r="I1220" s="4" t="n">
        <v>4</v>
      </c>
      <c r="J1220" s="6" t="n">
        <v>18</v>
      </c>
      <c r="K1220" s="6" t="n">
        <v>472.985563</v>
      </c>
      <c r="L1220" s="6">
        <f>I1220*K1220</f>
        <v/>
      </c>
      <c r="M1220" s="6">
        <f>K1220*4</f>
        <v/>
      </c>
      <c r="N1220" s="6" t="n">
        <v>1910</v>
      </c>
    </row>
    <row r="1221">
      <c r="A1221" s="1" t="inlineStr">
        <is>
          <t>40495211254925</t>
        </is>
      </c>
      <c r="B1221" s="1" t="inlineStr">
        <is>
          <t>PERFUME V BORN IN ROMA THE GOLD DONNA</t>
        </is>
      </c>
      <c r="C1221" s="1" t="inlineStr">
        <is>
          <t>100 ml</t>
        </is>
      </c>
      <c r="D1221" s="1" t="inlineStr">
        <is>
          <t>15/05/2026</t>
        </is>
      </c>
      <c r="E1221" s="1" t="n">
        <v>2026</v>
      </c>
      <c r="F1221" s="1" t="inlineStr">
        <is>
          <t>MAYO</t>
        </is>
      </c>
      <c r="G1221" s="1" t="inlineStr">
        <is>
          <t>ZOEY</t>
        </is>
      </c>
      <c r="H1221" s="1" t="inlineStr">
        <is>
          <t>ZOEY 15/05/2026</t>
        </is>
      </c>
      <c r="I1221" s="4" t="n">
        <v>3</v>
      </c>
      <c r="J1221" s="6" t="n">
        <v>18</v>
      </c>
      <c r="K1221" s="6" t="n">
        <v>477.0832408</v>
      </c>
      <c r="L1221" s="6">
        <f>I1221*K1221</f>
        <v/>
      </c>
      <c r="M1221" s="6">
        <f>K1221*4</f>
        <v/>
      </c>
      <c r="N1221" s="6" t="n">
        <v>1910</v>
      </c>
    </row>
    <row r="1222">
      <c r="A1222" s="1" t="inlineStr">
        <is>
          <t>40495211372301</t>
        </is>
      </c>
      <c r="B1222" s="1" t="inlineStr">
        <is>
          <t>PERFUME VC EROS EAU DE PARFUM</t>
        </is>
      </c>
      <c r="C1222" s="1" t="inlineStr">
        <is>
          <t>100ML</t>
        </is>
      </c>
      <c r="D1222" s="1" t="inlineStr">
        <is>
          <t>25/10/2025</t>
        </is>
      </c>
      <c r="E1222" s="1" t="n">
        <v>2025</v>
      </c>
      <c r="F1222" s="1" t="inlineStr">
        <is>
          <t>OCTUBRE</t>
        </is>
      </c>
      <c r="G1222" s="1" t="inlineStr">
        <is>
          <t>ZOEY</t>
        </is>
      </c>
      <c r="H1222" s="1" t="inlineStr">
        <is>
          <t>ZOEY 25/10/2025</t>
        </is>
      </c>
      <c r="I1222" s="4" t="n">
        <v>2</v>
      </c>
      <c r="J1222" s="6" t="n">
        <v>18</v>
      </c>
      <c r="K1222" s="6" t="n">
        <v>446.4019675</v>
      </c>
      <c r="L1222" s="6">
        <f>I1222*K1222</f>
        <v/>
      </c>
      <c r="M1222" s="6">
        <f>K1222*4</f>
        <v/>
      </c>
      <c r="N1222" s="6" t="n">
        <v>1050</v>
      </c>
    </row>
    <row r="1223">
      <c r="A1223" s="1" t="inlineStr">
        <is>
          <t>40495211372301</t>
        </is>
      </c>
      <c r="B1223" s="1" t="inlineStr">
        <is>
          <t>PERFUME VC EROS EAU DE PARFUM</t>
        </is>
      </c>
      <c r="C1223" s="1" t="inlineStr">
        <is>
          <t>100 ml</t>
        </is>
      </c>
      <c r="D1223" s="1" t="inlineStr">
        <is>
          <t>20/04/2026</t>
        </is>
      </c>
      <c r="E1223" s="1" t="n">
        <v>2026</v>
      </c>
      <c r="F1223" s="1" t="inlineStr">
        <is>
          <t>ABRIL</t>
        </is>
      </c>
      <c r="G1223" s="1" t="inlineStr">
        <is>
          <t>ZOEY</t>
        </is>
      </c>
      <c r="H1223" s="1" t="inlineStr">
        <is>
          <t>ZOEY 20/04/2026</t>
        </is>
      </c>
      <c r="I1223" s="4" t="n">
        <v>1</v>
      </c>
      <c r="J1223" s="6" t="n">
        <v>18</v>
      </c>
      <c r="K1223" s="6" t="n">
        <v>460.9580101</v>
      </c>
      <c r="L1223" s="6">
        <f>I1223*K1223</f>
        <v/>
      </c>
      <c r="M1223" s="6">
        <f>K1223*4</f>
        <v/>
      </c>
      <c r="N1223" s="6" t="n">
        <v>1845</v>
      </c>
    </row>
    <row r="1224">
      <c r="A1224" s="1" t="inlineStr">
        <is>
          <t>41078751514701</t>
        </is>
      </c>
      <c r="B1224" s="1" t="inlineStr">
        <is>
          <t>ANILLO LV GRABADO SILVER</t>
        </is>
      </c>
      <c r="C1224" s="1" t="n">
        <v>9</v>
      </c>
      <c r="D1224" s="1" t="inlineStr">
        <is>
          <t>22/10/2025</t>
        </is>
      </c>
      <c r="E1224" s="1" t="n">
        <v>2025</v>
      </c>
      <c r="F1224" s="1" t="inlineStr">
        <is>
          <t>OCTUBRE</t>
        </is>
      </c>
      <c r="G1224" s="1" t="inlineStr">
        <is>
          <t>HAIFENG</t>
        </is>
      </c>
      <c r="H1224" s="1" t="inlineStr">
        <is>
          <t>HAIFENG 22/10/2025</t>
        </is>
      </c>
      <c r="I1224" s="4" t="n">
        <v>2</v>
      </c>
      <c r="J1224" s="6" t="n">
        <v>5.99</v>
      </c>
      <c r="K1224" s="6" t="n">
        <v>126.5582895</v>
      </c>
      <c r="L1224" s="6">
        <f>I1224*K1224</f>
        <v/>
      </c>
      <c r="M1224" s="6">
        <f>K1224*4</f>
        <v/>
      </c>
      <c r="N1224" s="6" t="n">
        <v>599</v>
      </c>
    </row>
    <row r="1225">
      <c r="A1225" s="1" t="inlineStr">
        <is>
          <t>41078751514701</t>
        </is>
      </c>
      <c r="B1225" s="1" t="n"/>
      <c r="C1225" s="1" t="inlineStr">
        <is>
          <t>9</t>
        </is>
      </c>
      <c r="D1225" s="1" t="inlineStr">
        <is>
          <t>10/02/2026</t>
        </is>
      </c>
      <c r="E1225" s="1" t="n">
        <v>2026</v>
      </c>
      <c r="F1225" s="1" t="inlineStr">
        <is>
          <t>FEBRERO</t>
        </is>
      </c>
      <c r="G1225" s="1" t="inlineStr">
        <is>
          <t>HAIFENG</t>
        </is>
      </c>
      <c r="H1225" s="1" t="inlineStr">
        <is>
          <t>HAIFENG 10/02/2026</t>
        </is>
      </c>
      <c r="I1225" s="4" t="n">
        <v>1</v>
      </c>
      <c r="J1225" s="6" t="n">
        <v>6.99</v>
      </c>
      <c r="K1225" s="6" t="n">
        <v>147.2687875</v>
      </c>
      <c r="L1225" s="6">
        <f>I1225*K1225</f>
        <v/>
      </c>
      <c r="M1225" s="6">
        <f>K1225*4</f>
        <v/>
      </c>
      <c r="N1225" s="6" t="n">
        <v>599</v>
      </c>
    </row>
    <row r="1226">
      <c r="A1226" s="1" t="inlineStr">
        <is>
          <t>41078751514701</t>
        </is>
      </c>
      <c r="B1226" s="1" t="inlineStr">
        <is>
          <t>ANILLO LV GRABADO SILVER</t>
        </is>
      </c>
      <c r="C1226" s="1" t="inlineStr">
        <is>
          <t>9</t>
        </is>
      </c>
      <c r="D1226" s="1" t="inlineStr">
        <is>
          <t>26/05/2026</t>
        </is>
      </c>
      <c r="E1226" s="1" t="n">
        <v>2026</v>
      </c>
      <c r="F1226" s="1" t="inlineStr">
        <is>
          <t>MAYO</t>
        </is>
      </c>
      <c r="G1226" s="1" t="inlineStr">
        <is>
          <t>HAIFENG</t>
        </is>
      </c>
      <c r="H1226" s="1" t="inlineStr">
        <is>
          <t>HAIFENG 26/05/2026</t>
        </is>
      </c>
      <c r="I1226" s="4" t="n">
        <v>2</v>
      </c>
      <c r="J1226" s="6" t="n">
        <v>6.99</v>
      </c>
      <c r="K1226" s="6" t="n">
        <v>146.7151741</v>
      </c>
      <c r="L1226" s="6">
        <f>I1226*K1226</f>
        <v/>
      </c>
      <c r="M1226" s="6">
        <f>K1226*4</f>
        <v/>
      </c>
      <c r="N1226" s="6" t="n">
        <v>599</v>
      </c>
    </row>
    <row r="1227">
      <c r="A1227" s="1" t="inlineStr">
        <is>
          <t>41078752148077</t>
        </is>
      </c>
      <c r="B1227" s="1" t="inlineStr">
        <is>
          <t>BRAZALETE C SILVER</t>
        </is>
      </c>
      <c r="C1227" s="1" t="inlineStr">
        <is>
          <t>Default Title</t>
        </is>
      </c>
      <c r="D1227" s="1" t="inlineStr">
        <is>
          <t>22/10/2025</t>
        </is>
      </c>
      <c r="E1227" s="1" t="n">
        <v>2025</v>
      </c>
      <c r="F1227" s="1" t="inlineStr">
        <is>
          <t>OCTUBRE</t>
        </is>
      </c>
      <c r="G1227" s="1" t="inlineStr">
        <is>
          <t>HAIFENG</t>
        </is>
      </c>
      <c r="H1227" s="1" t="inlineStr">
        <is>
          <t>HAIFENG 22/10/2025</t>
        </is>
      </c>
      <c r="I1227" s="4" t="n">
        <v>3</v>
      </c>
      <c r="J1227" s="6" t="n">
        <v>7</v>
      </c>
      <c r="K1227" s="6" t="n">
        <v>147.8978341</v>
      </c>
      <c r="L1227" s="6">
        <f>I1227*K1227</f>
        <v/>
      </c>
      <c r="M1227" s="6">
        <f>K1227*4</f>
        <v/>
      </c>
      <c r="N1227" s="6" t="n">
        <v>576.8</v>
      </c>
    </row>
    <row r="1228">
      <c r="A1228" s="1" t="inlineStr">
        <is>
          <t>41353991048077</t>
        </is>
      </c>
      <c r="B1228" s="1" t="inlineStr">
        <is>
          <t>CINTO C TRIOMPHE BLACK</t>
        </is>
      </c>
      <c r="C1228" s="1" t="inlineStr">
        <is>
          <t>Default Title</t>
        </is>
      </c>
      <c r="D1228" s="1" t="inlineStr">
        <is>
          <t>07/01/2026</t>
        </is>
      </c>
      <c r="E1228" s="1" t="n">
        <v>2026</v>
      </c>
      <c r="F1228" s="1" t="inlineStr">
        <is>
          <t>ENERO</t>
        </is>
      </c>
      <c r="G1228" s="1" t="inlineStr">
        <is>
          <t>CYNTHIA</t>
        </is>
      </c>
      <c r="H1228" s="1" t="inlineStr">
        <is>
          <t>CYNTHIA 07/01/2026</t>
        </is>
      </c>
      <c r="I1228" s="4" t="n">
        <v>10</v>
      </c>
      <c r="J1228" s="6" t="n">
        <v>7.5</v>
      </c>
      <c r="K1228" s="6" t="n">
        <v>199.4057076</v>
      </c>
      <c r="L1228" s="6">
        <f>I1228*K1228</f>
        <v/>
      </c>
      <c r="M1228" s="6">
        <f>K1228*4</f>
        <v/>
      </c>
      <c r="N1228" s="6" t="n">
        <v>999</v>
      </c>
    </row>
    <row r="1229">
      <c r="A1229" s="1" t="inlineStr">
        <is>
          <t>41353991048077</t>
        </is>
      </c>
      <c r="B1229" s="1" t="inlineStr">
        <is>
          <t>CINTO C TRIOMPHE BLACK</t>
        </is>
      </c>
      <c r="C1229" s="1" t="inlineStr">
        <is>
          <t>Default Title</t>
        </is>
      </c>
      <c r="D1229" s="1" t="inlineStr">
        <is>
          <t>19/03/2026</t>
        </is>
      </c>
      <c r="E1229" s="1" t="n">
        <v>2026</v>
      </c>
      <c r="F1229" s="1" t="inlineStr">
        <is>
          <t>MARZO</t>
        </is>
      </c>
      <c r="G1229" s="1" t="inlineStr">
        <is>
          <t>CYNTHIA</t>
        </is>
      </c>
      <c r="H1229" s="1" t="inlineStr">
        <is>
          <t>CYNTHIA 19/03/2026</t>
        </is>
      </c>
      <c r="I1229" s="4" t="n">
        <v>20</v>
      </c>
      <c r="J1229" s="6" t="n">
        <v>8</v>
      </c>
      <c r="K1229" s="6" t="n">
        <v>214.8593263</v>
      </c>
      <c r="L1229" s="6">
        <f>I1229*K1229</f>
        <v/>
      </c>
      <c r="M1229" s="6">
        <f>K1229*4</f>
        <v/>
      </c>
      <c r="N1229" s="6" t="n">
        <v>999</v>
      </c>
    </row>
    <row r="1230">
      <c r="A1230" s="1" t="inlineStr">
        <is>
          <t>41353991048077</t>
        </is>
      </c>
      <c r="B1230" s="1" t="inlineStr">
        <is>
          <t>CINTO C TRIOMPHE BLACK</t>
        </is>
      </c>
      <c r="C1230" s="1" t="inlineStr">
        <is>
          <t>Default Title</t>
        </is>
      </c>
      <c r="D1230" s="1" t="inlineStr">
        <is>
          <t>31/05/2026</t>
        </is>
      </c>
      <c r="E1230" s="1" t="n">
        <v>2026</v>
      </c>
      <c r="F1230" s="1" t="inlineStr">
        <is>
          <t>MAYO</t>
        </is>
      </c>
      <c r="G1230" s="1" t="inlineStr">
        <is>
          <t>CYNTHIA</t>
        </is>
      </c>
      <c r="H1230" s="1" t="inlineStr">
        <is>
          <t>CYNTHIA 31/05/2026</t>
        </is>
      </c>
      <c r="I1230" s="4" t="n">
        <v>20</v>
      </c>
      <c r="J1230" s="6" t="n">
        <v>8</v>
      </c>
      <c r="K1230" s="6" t="n">
        <v>212.0083598</v>
      </c>
      <c r="L1230" s="6">
        <f>I1230*K1230</f>
        <v/>
      </c>
      <c r="M1230" s="6">
        <f>K1230*4</f>
        <v/>
      </c>
      <c r="N1230" s="6" t="n">
        <v>999</v>
      </c>
    </row>
    <row r="1231">
      <c r="A1231" s="1" t="inlineStr">
        <is>
          <t>41353991156557</t>
        </is>
      </c>
      <c r="B1231" s="1" t="inlineStr">
        <is>
          <t>CINTO C TRIOMPHE BURDEOS</t>
        </is>
      </c>
      <c r="C1231" s="1" t="inlineStr">
        <is>
          <t>Default Title</t>
        </is>
      </c>
      <c r="D1231" s="1" t="inlineStr">
        <is>
          <t>07/01/2026</t>
        </is>
      </c>
      <c r="E1231" s="1" t="n">
        <v>2026</v>
      </c>
      <c r="F1231" s="1" t="inlineStr">
        <is>
          <t>ENERO</t>
        </is>
      </c>
      <c r="G1231" s="1" t="inlineStr">
        <is>
          <t>CYNTHIA</t>
        </is>
      </c>
      <c r="H1231" s="1" t="inlineStr">
        <is>
          <t>CYNTHIA 07/01/2026</t>
        </is>
      </c>
      <c r="I1231" s="4" t="n">
        <v>5</v>
      </c>
      <c r="J1231" s="6" t="n">
        <v>7.5</v>
      </c>
      <c r="K1231" s="6" t="n">
        <v>199.4057076</v>
      </c>
      <c r="L1231" s="6">
        <f>I1231*K1231</f>
        <v/>
      </c>
      <c r="M1231" s="6">
        <f>K1231*4</f>
        <v/>
      </c>
      <c r="N1231" s="6" t="n">
        <v>999</v>
      </c>
    </row>
    <row r="1232">
      <c r="A1232" s="1" t="inlineStr">
        <is>
          <t>41353991156557</t>
        </is>
      </c>
      <c r="B1232" s="1" t="inlineStr">
        <is>
          <t>CINTO C TRIOMPHE BURDEOS</t>
        </is>
      </c>
      <c r="C1232" s="1" t="inlineStr">
        <is>
          <t>Default Title</t>
        </is>
      </c>
      <c r="D1232" s="1" t="inlineStr">
        <is>
          <t>19/03/2026</t>
        </is>
      </c>
      <c r="E1232" s="1" t="n">
        <v>2026</v>
      </c>
      <c r="F1232" s="1" t="inlineStr">
        <is>
          <t>MARZO</t>
        </is>
      </c>
      <c r="G1232" s="1" t="inlineStr">
        <is>
          <t>CYNTHIA</t>
        </is>
      </c>
      <c r="H1232" s="1" t="inlineStr">
        <is>
          <t>CYNTHIA 19/03/2026</t>
        </is>
      </c>
      <c r="I1232" s="4" t="n">
        <v>10</v>
      </c>
      <c r="J1232" s="6" t="n">
        <v>8</v>
      </c>
      <c r="K1232" s="6" t="n">
        <v>214.8593263</v>
      </c>
      <c r="L1232" s="6">
        <f>I1232*K1232</f>
        <v/>
      </c>
      <c r="M1232" s="6">
        <f>K1232*4</f>
        <v/>
      </c>
      <c r="N1232" s="6" t="n">
        <v>999</v>
      </c>
    </row>
    <row r="1233">
      <c r="A1233" s="1" t="inlineStr">
        <is>
          <t>41353991156557</t>
        </is>
      </c>
      <c r="B1233" s="1" t="inlineStr">
        <is>
          <t>CINTO C TRIOMPHE BURDEOS</t>
        </is>
      </c>
      <c r="C1233" s="1" t="inlineStr">
        <is>
          <t>Default Title</t>
        </is>
      </c>
      <c r="D1233" s="1" t="inlineStr">
        <is>
          <t>31/05/2026</t>
        </is>
      </c>
      <c r="E1233" s="1" t="n">
        <v>2026</v>
      </c>
      <c r="F1233" s="1" t="inlineStr">
        <is>
          <t>MAYO</t>
        </is>
      </c>
      <c r="G1233" s="1" t="inlineStr">
        <is>
          <t>CYNTHIA</t>
        </is>
      </c>
      <c r="H1233" s="1" t="inlineStr">
        <is>
          <t>CYNTHIA 31/05/2026</t>
        </is>
      </c>
      <c r="I1233" s="4" t="n">
        <v>10</v>
      </c>
      <c r="J1233" s="6" t="n">
        <v>8</v>
      </c>
      <c r="K1233" s="6" t="n">
        <v>212.0083598</v>
      </c>
      <c r="L1233" s="6">
        <f>I1233*K1233</f>
        <v/>
      </c>
      <c r="M1233" s="6">
        <f>K1233*4</f>
        <v/>
      </c>
      <c r="N1233" s="6" t="n">
        <v>999</v>
      </c>
    </row>
    <row r="1234">
      <c r="A1234" s="1" t="inlineStr">
        <is>
          <t>41648081090125</t>
        </is>
      </c>
      <c r="B1234" s="1" t="inlineStr">
        <is>
          <t>ANILLO T LOVESTRUCK SILVER-ROSE GOLD</t>
        </is>
      </c>
      <c r="C1234" s="1" t="n">
        <v>8</v>
      </c>
      <c r="D1234" s="1" t="inlineStr">
        <is>
          <t>27/04/2026</t>
        </is>
      </c>
      <c r="E1234" s="1" t="n">
        <v>2026</v>
      </c>
      <c r="F1234" s="1" t="inlineStr">
        <is>
          <t>ABRIL</t>
        </is>
      </c>
      <c r="G1234" s="1" t="inlineStr">
        <is>
          <t>CYNTHIA</t>
        </is>
      </c>
      <c r="H1234" s="1" t="inlineStr">
        <is>
          <t>CYNTHIA 27/04/2026</t>
        </is>
      </c>
      <c r="I1234" s="4" t="n">
        <v>2</v>
      </c>
      <c r="J1234" s="6" t="n">
        <v>8.800000000000001</v>
      </c>
      <c r="K1234" s="6" t="n">
        <v>228.360815</v>
      </c>
      <c r="L1234" s="6">
        <f>I1234*K1234</f>
        <v/>
      </c>
      <c r="M1234" s="6">
        <f>K1234*4</f>
        <v/>
      </c>
      <c r="N1234" s="6" t="n">
        <v>915</v>
      </c>
    </row>
    <row r="1235">
      <c r="A1235" s="1" t="inlineStr">
        <is>
          <t>41889241004845</t>
        </is>
      </c>
      <c r="B1235" s="1" t="inlineStr">
        <is>
          <t>CHOKER KNOT ZIRCONIAS GOLD</t>
        </is>
      </c>
      <c r="C1235" s="1" t="inlineStr">
        <is>
          <t>Default Title</t>
        </is>
      </c>
      <c r="D1235" s="1" t="inlineStr">
        <is>
          <t>25/10/2025</t>
        </is>
      </c>
      <c r="E1235" s="1" t="n">
        <v>2025</v>
      </c>
      <c r="F1235" s="1" t="inlineStr">
        <is>
          <t>OCTUBRE</t>
        </is>
      </c>
      <c r="G1235" s="1" t="inlineStr">
        <is>
          <t>CYNTHIA</t>
        </is>
      </c>
      <c r="H1235" s="1" t="inlineStr">
        <is>
          <t>CYNTHIA 25/10/2025</t>
        </is>
      </c>
      <c r="I1235" s="4" t="n">
        <v>2</v>
      </c>
      <c r="J1235" s="6" t="n">
        <v>19.8</v>
      </c>
      <c r="K1235" s="6" t="n">
        <v>518.7961071</v>
      </c>
      <c r="L1235" s="6">
        <f>I1235*K1235</f>
        <v/>
      </c>
      <c r="M1235" s="6">
        <f>K1235*4</f>
        <v/>
      </c>
      <c r="N1235" s="6" t="n">
        <v>866</v>
      </c>
    </row>
    <row r="1236">
      <c r="A1236" s="1" t="inlineStr">
        <is>
          <t>41889241103149</t>
        </is>
      </c>
      <c r="B1236" s="1" t="inlineStr">
        <is>
          <t>BRAZALETE T VICTORIA SILVER</t>
        </is>
      </c>
      <c r="C1236" s="1" t="inlineStr">
        <is>
          <t>Default Title</t>
        </is>
      </c>
      <c r="D1236" s="1" t="inlineStr">
        <is>
          <t>25/10/2025</t>
        </is>
      </c>
      <c r="E1236" s="1" t="n">
        <v>2025</v>
      </c>
      <c r="F1236" s="1" t="inlineStr">
        <is>
          <t>OCTUBRE</t>
        </is>
      </c>
      <c r="G1236" s="1" t="inlineStr">
        <is>
          <t>CYNTHIA</t>
        </is>
      </c>
      <c r="H1236" s="1" t="inlineStr">
        <is>
          <t>CYNTHIA 25/10/2025</t>
        </is>
      </c>
      <c r="I1236" s="4" t="n">
        <v>2</v>
      </c>
      <c r="J1236" s="6" t="n">
        <v>24.8</v>
      </c>
      <c r="K1236" s="6" t="n">
        <v>649.805225</v>
      </c>
      <c r="L1236" s="6">
        <f>I1236*K1236</f>
        <v/>
      </c>
      <c r="M1236" s="6">
        <f>K1236*4</f>
        <v/>
      </c>
      <c r="N1236" s="6" t="n">
        <v>2065</v>
      </c>
    </row>
    <row r="1237">
      <c r="A1237" s="1" t="inlineStr">
        <is>
          <t>41889241103149</t>
        </is>
      </c>
      <c r="B1237" s="1" t="inlineStr">
        <is>
          <t>BRAZALETE T VICTORIA SILVER</t>
        </is>
      </c>
      <c r="C1237" s="1" t="inlineStr">
        <is>
          <t>Default Title</t>
        </is>
      </c>
      <c r="D1237" s="1" t="inlineStr">
        <is>
          <t>27/04/2026</t>
        </is>
      </c>
      <c r="E1237" s="1" t="n">
        <v>2026</v>
      </c>
      <c r="F1237" s="1" t="inlineStr">
        <is>
          <t>ABRIL</t>
        </is>
      </c>
      <c r="G1237" s="1" t="inlineStr">
        <is>
          <t>CYNTHIA</t>
        </is>
      </c>
      <c r="H1237" s="1" t="inlineStr">
        <is>
          <t>CYNTHIA 27/04/2026</t>
        </is>
      </c>
      <c r="I1237" s="4" t="n">
        <v>2</v>
      </c>
      <c r="J1237" s="6" t="n">
        <v>24.8</v>
      </c>
      <c r="K1237" s="6" t="n">
        <v>643.5622969</v>
      </c>
      <c r="L1237" s="6">
        <f>I1237*K1237</f>
        <v/>
      </c>
      <c r="M1237" s="6">
        <f>K1237*4</f>
        <v/>
      </c>
      <c r="N1237" s="6" t="n">
        <v>2579</v>
      </c>
    </row>
    <row r="1238">
      <c r="A1238" s="1" t="inlineStr">
        <is>
          <t>41889241279949</t>
        </is>
      </c>
      <c r="B1238" s="1" t="inlineStr">
        <is>
          <t>ANILLO T V SILVER</t>
        </is>
      </c>
      <c r="C1238" s="1" t="n">
        <v>7</v>
      </c>
      <c r="D1238" s="1" t="inlineStr">
        <is>
          <t>25/10/2025</t>
        </is>
      </c>
      <c r="E1238" s="1" t="n">
        <v>2025</v>
      </c>
      <c r="F1238" s="1" t="inlineStr">
        <is>
          <t>OCTUBRE</t>
        </is>
      </c>
      <c r="G1238" s="1" t="inlineStr">
        <is>
          <t>CYNTHIA</t>
        </is>
      </c>
      <c r="H1238" s="1" t="inlineStr">
        <is>
          <t>CYNTHIA 25/10/2025</t>
        </is>
      </c>
      <c r="I1238" s="4" t="n">
        <v>2</v>
      </c>
      <c r="J1238" s="6" t="n">
        <v>9.800000000000001</v>
      </c>
      <c r="K1238" s="6" t="n">
        <v>256.7778712</v>
      </c>
      <c r="L1238" s="6">
        <f>I1238*K1238</f>
        <v/>
      </c>
      <c r="M1238" s="6">
        <f>K1238*4</f>
        <v/>
      </c>
      <c r="N1238" s="6" t="n">
        <v>820</v>
      </c>
    </row>
    <row r="1239">
      <c r="A1239" s="1" t="inlineStr">
        <is>
          <t>41889241279949</t>
        </is>
      </c>
      <c r="B1239" s="1" t="inlineStr">
        <is>
          <t>ANILLO T V SILVER</t>
        </is>
      </c>
      <c r="C1239" s="1" t="inlineStr">
        <is>
          <t>7</t>
        </is>
      </c>
      <c r="D1239" s="1" t="inlineStr">
        <is>
          <t>19/03/2026</t>
        </is>
      </c>
      <c r="E1239" s="1" t="n">
        <v>2026</v>
      </c>
      <c r="F1239" s="1" t="inlineStr">
        <is>
          <t>MARZO</t>
        </is>
      </c>
      <c r="G1239" s="1" t="inlineStr">
        <is>
          <t>CYNTHIA</t>
        </is>
      </c>
      <c r="H1239" s="1" t="inlineStr">
        <is>
          <t>CYNTHIA 19/03/2026</t>
        </is>
      </c>
      <c r="I1239" s="4" t="n">
        <v>2</v>
      </c>
      <c r="J1239" s="6" t="n">
        <v>9.800000000000001</v>
      </c>
      <c r="K1239" s="6" t="n">
        <v>263.2026748</v>
      </c>
      <c r="L1239" s="6">
        <f>I1239*K1239</f>
        <v/>
      </c>
      <c r="M1239" s="6">
        <f>K1239*4</f>
        <v/>
      </c>
      <c r="N1239" s="6" t="n">
        <v>925</v>
      </c>
    </row>
    <row r="1240">
      <c r="A1240" s="1" t="inlineStr">
        <is>
          <t>41889241312717</t>
        </is>
      </c>
      <c r="B1240" s="1" t="inlineStr">
        <is>
          <t>ANILLO T V SILVER</t>
        </is>
      </c>
      <c r="C1240" s="1" t="n">
        <v>8</v>
      </c>
      <c r="D1240" s="1" t="inlineStr">
        <is>
          <t>25/10/2025</t>
        </is>
      </c>
      <c r="E1240" s="1" t="n">
        <v>2025</v>
      </c>
      <c r="F1240" s="1" t="inlineStr">
        <is>
          <t>OCTUBRE</t>
        </is>
      </c>
      <c r="G1240" s="1" t="inlineStr">
        <is>
          <t>CYNTHIA</t>
        </is>
      </c>
      <c r="H1240" s="1" t="inlineStr">
        <is>
          <t>CYNTHIA 25/10/2025</t>
        </is>
      </c>
      <c r="I1240" s="4" t="n">
        <v>2</v>
      </c>
      <c r="J1240" s="6" t="n">
        <v>9.800000000000001</v>
      </c>
      <c r="K1240" s="6" t="n">
        <v>256.7778712</v>
      </c>
      <c r="L1240" s="6">
        <f>I1240*K1240</f>
        <v/>
      </c>
      <c r="M1240" s="6">
        <f>K1240*4</f>
        <v/>
      </c>
      <c r="N1240" s="6" t="n">
        <v>820</v>
      </c>
    </row>
    <row r="1241">
      <c r="A1241" s="1" t="inlineStr">
        <is>
          <t>41889241312717</t>
        </is>
      </c>
      <c r="B1241" s="1" t="inlineStr">
        <is>
          <t>ANILLO T V SILVER</t>
        </is>
      </c>
      <c r="C1241" s="1" t="inlineStr">
        <is>
          <t>8</t>
        </is>
      </c>
      <c r="D1241" s="1" t="inlineStr">
        <is>
          <t>19/03/2026</t>
        </is>
      </c>
      <c r="E1241" s="1" t="n">
        <v>2026</v>
      </c>
      <c r="F1241" s="1" t="inlineStr">
        <is>
          <t>MARZO</t>
        </is>
      </c>
      <c r="G1241" s="1" t="inlineStr">
        <is>
          <t>CYNTHIA</t>
        </is>
      </c>
      <c r="H1241" s="1" t="inlineStr">
        <is>
          <t>CYNTHIA 19/03/2026</t>
        </is>
      </c>
      <c r="I1241" s="4" t="n">
        <v>2</v>
      </c>
      <c r="J1241" s="6" t="n">
        <v>9.800000000000001</v>
      </c>
      <c r="K1241" s="6" t="n">
        <v>263.2026748</v>
      </c>
      <c r="L1241" s="6">
        <f>I1241*K1241</f>
        <v/>
      </c>
      <c r="M1241" s="6">
        <f>K1241*4</f>
        <v/>
      </c>
      <c r="N1241" s="6" t="n">
        <v>925</v>
      </c>
    </row>
    <row r="1242">
      <c r="A1242" s="1" t="inlineStr">
        <is>
          <t>41889241445485</t>
        </is>
      </c>
      <c r="B1242" s="1" t="inlineStr">
        <is>
          <t>ANILLO T V SILVER</t>
        </is>
      </c>
      <c r="C1242" s="1" t="n">
        <v>9</v>
      </c>
      <c r="D1242" s="1" t="inlineStr">
        <is>
          <t>25/10/2025</t>
        </is>
      </c>
      <c r="E1242" s="1" t="n">
        <v>2025</v>
      </c>
      <c r="F1242" s="1" t="inlineStr">
        <is>
          <t>OCTUBRE</t>
        </is>
      </c>
      <c r="G1242" s="1" t="inlineStr">
        <is>
          <t>CYNTHIA</t>
        </is>
      </c>
      <c r="H1242" s="1" t="inlineStr">
        <is>
          <t>CYNTHIA 25/10/2025</t>
        </is>
      </c>
      <c r="I1242" s="4" t="n">
        <v>2</v>
      </c>
      <c r="J1242" s="6" t="n">
        <v>9.800000000000001</v>
      </c>
      <c r="K1242" s="6" t="n">
        <v>256.7778712</v>
      </c>
      <c r="L1242" s="6">
        <f>I1242*K1242</f>
        <v/>
      </c>
      <c r="M1242" s="6">
        <f>K1242*4</f>
        <v/>
      </c>
      <c r="N1242" s="6" t="n">
        <v>820</v>
      </c>
    </row>
    <row r="1243">
      <c r="A1243" s="1" t="inlineStr">
        <is>
          <t>41889241445485</t>
        </is>
      </c>
      <c r="B1243" s="1" t="inlineStr">
        <is>
          <t>ANILLO T V SILVER</t>
        </is>
      </c>
      <c r="C1243" s="1" t="inlineStr">
        <is>
          <t>9</t>
        </is>
      </c>
      <c r="D1243" s="1" t="inlineStr">
        <is>
          <t>19/03/2026</t>
        </is>
      </c>
      <c r="E1243" s="1" t="n">
        <v>2026</v>
      </c>
      <c r="F1243" s="1" t="inlineStr">
        <is>
          <t>MARZO</t>
        </is>
      </c>
      <c r="G1243" s="1" t="inlineStr">
        <is>
          <t>CYNTHIA</t>
        </is>
      </c>
      <c r="H1243" s="1" t="inlineStr">
        <is>
          <t>CYNTHIA 19/03/2026</t>
        </is>
      </c>
      <c r="I1243" s="4" t="n">
        <v>2</v>
      </c>
      <c r="J1243" s="6" t="n">
        <v>9.800000000000001</v>
      </c>
      <c r="K1243" s="6" t="n">
        <v>263.2026748</v>
      </c>
      <c r="L1243" s="6">
        <f>I1243*K1243</f>
        <v/>
      </c>
      <c r="M1243" s="6">
        <f>K1243*4</f>
        <v/>
      </c>
      <c r="N1243" s="6" t="n">
        <v>925</v>
      </c>
    </row>
    <row r="1244">
      <c r="A1244" s="1" t="inlineStr">
        <is>
          <t>41889241578253</t>
        </is>
      </c>
      <c r="B1244" s="1" t="inlineStr">
        <is>
          <t>BRAZALETE CD ZIRCONIAS GOLD-BLACK</t>
        </is>
      </c>
      <c r="C1244" s="1" t="inlineStr">
        <is>
          <t>High quality</t>
        </is>
      </c>
      <c r="D1244" s="1" t="inlineStr">
        <is>
          <t>25/10/2025</t>
        </is>
      </c>
      <c r="E1244" s="1" t="n">
        <v>2025</v>
      </c>
      <c r="F1244" s="1" t="inlineStr">
        <is>
          <t>OCTUBRE</t>
        </is>
      </c>
      <c r="G1244" s="1" t="inlineStr">
        <is>
          <t>CYNTHIA</t>
        </is>
      </c>
      <c r="H1244" s="1" t="inlineStr">
        <is>
          <t>CYNTHIA 25/10/2025</t>
        </is>
      </c>
      <c r="I1244" s="4" t="n">
        <v>2</v>
      </c>
      <c r="J1244" s="6" t="n">
        <v>10.8</v>
      </c>
      <c r="K1244" s="6" t="n">
        <v>282.9796948</v>
      </c>
      <c r="L1244" s="6">
        <f>I1244*K1244</f>
        <v/>
      </c>
      <c r="M1244" s="6">
        <f>K1244*4</f>
        <v/>
      </c>
      <c r="N1244" s="6" t="n">
        <v>920</v>
      </c>
    </row>
    <row r="1245">
      <c r="A1245" s="1" t="inlineStr">
        <is>
          <t>41889241578253</t>
        </is>
      </c>
      <c r="B1245" s="1" t="inlineStr">
        <is>
          <t>BRAZALETE CD ZIRCONIAS GOLD-BLACK</t>
        </is>
      </c>
      <c r="C1245" s="1" t="inlineStr">
        <is>
          <t>High quality</t>
        </is>
      </c>
      <c r="D1245" s="1" t="inlineStr">
        <is>
          <t>18/02/2026</t>
        </is>
      </c>
      <c r="E1245" s="1" t="n">
        <v>2026</v>
      </c>
      <c r="F1245" s="1" t="inlineStr">
        <is>
          <t>FEBRERO</t>
        </is>
      </c>
      <c r="G1245" s="1" t="inlineStr">
        <is>
          <t>CYNTHIA</t>
        </is>
      </c>
      <c r="H1245" s="1" t="inlineStr">
        <is>
          <t>CYNTHIA 18/02/2026</t>
        </is>
      </c>
      <c r="I1245" s="4" t="n">
        <v>1</v>
      </c>
      <c r="J1245" s="6" t="n">
        <v>10.8</v>
      </c>
      <c r="K1245" s="6" t="n">
        <v>292.0683441</v>
      </c>
      <c r="L1245" s="6">
        <f>I1245*K1245</f>
        <v/>
      </c>
      <c r="M1245" s="6">
        <f>K1245*4</f>
        <v/>
      </c>
      <c r="N1245" s="6" t="n">
        <v>1025</v>
      </c>
    </row>
    <row r="1246">
      <c r="A1246" s="1" t="inlineStr">
        <is>
          <t>41889241578253</t>
        </is>
      </c>
      <c r="B1246" s="1" t="inlineStr">
        <is>
          <t>BRAZALETE CD ZIRCONIAS GOLD-BLACK</t>
        </is>
      </c>
      <c r="C1246" s="1" t="inlineStr">
        <is>
          <t>High quality</t>
        </is>
      </c>
      <c r="D1246" s="1" t="inlineStr">
        <is>
          <t>19/03/2026</t>
        </is>
      </c>
      <c r="E1246" s="1" t="n">
        <v>2026</v>
      </c>
      <c r="F1246" s="1" t="inlineStr">
        <is>
          <t>MARZO</t>
        </is>
      </c>
      <c r="G1246" s="1" t="inlineStr">
        <is>
          <t>CYNTHIA</t>
        </is>
      </c>
      <c r="H1246" s="1" t="inlineStr">
        <is>
          <t>CYNTHIA 19/03/2026</t>
        </is>
      </c>
      <c r="I1246" s="4" t="n">
        <v>2</v>
      </c>
      <c r="J1246" s="6" t="n">
        <v>10.8</v>
      </c>
      <c r="K1246" s="6" t="n">
        <v>290.0600906</v>
      </c>
      <c r="L1246" s="6">
        <f>I1246*K1246</f>
        <v/>
      </c>
      <c r="M1246" s="6">
        <f>K1246*4</f>
        <v/>
      </c>
      <c r="N1246" s="6" t="n">
        <v>1020</v>
      </c>
    </row>
    <row r="1247">
      <c r="A1247" s="1" t="inlineStr">
        <is>
          <t>41889241640397</t>
        </is>
      </c>
      <c r="B1247" s="1" t="inlineStr">
        <is>
          <t>ANILLO CD ZIRCONIAS GOLD-BLACK</t>
        </is>
      </c>
      <c r="C1247" s="1" t="n">
        <v>8</v>
      </c>
      <c r="D1247" s="1" t="inlineStr">
        <is>
          <t>25/10/2025</t>
        </is>
      </c>
      <c r="E1247" s="1" t="n">
        <v>2025</v>
      </c>
      <c r="F1247" s="1" t="inlineStr">
        <is>
          <t>OCTUBRE</t>
        </is>
      </c>
      <c r="G1247" s="1" t="inlineStr">
        <is>
          <t>CYNTHIA</t>
        </is>
      </c>
      <c r="H1247" s="1" t="inlineStr">
        <is>
          <t>CYNTHIA 25/10/2025</t>
        </is>
      </c>
      <c r="I1247" s="4" t="n">
        <v>2</v>
      </c>
      <c r="J1247" s="6" t="n">
        <v>9.5</v>
      </c>
      <c r="K1247" s="6" t="n">
        <v>248.9173241</v>
      </c>
      <c r="L1247" s="6">
        <f>I1247*K1247</f>
        <v/>
      </c>
      <c r="M1247" s="6">
        <f>K1247*4</f>
        <v/>
      </c>
      <c r="N1247" s="6" t="n">
        <v>790.5</v>
      </c>
    </row>
    <row r="1248">
      <c r="A1248" s="1" t="inlineStr">
        <is>
          <t>41889241773165</t>
        </is>
      </c>
      <c r="B1248" s="1" t="inlineStr">
        <is>
          <t>BRAZALETE CD GOLD-WHITE ZIRCONIAS</t>
        </is>
      </c>
      <c r="C1248" s="1" t="inlineStr">
        <is>
          <t>ALL WHITE</t>
        </is>
      </c>
      <c r="D1248" s="1" t="inlineStr">
        <is>
          <t>25/10/2025</t>
        </is>
      </c>
      <c r="E1248" s="1" t="n">
        <v>2025</v>
      </c>
      <c r="F1248" s="1" t="inlineStr">
        <is>
          <t>OCTUBRE</t>
        </is>
      </c>
      <c r="G1248" s="1" t="inlineStr">
        <is>
          <t>CYNTHIA</t>
        </is>
      </c>
      <c r="H1248" s="1" t="inlineStr">
        <is>
          <t>CYNTHIA 25/10/2025</t>
        </is>
      </c>
      <c r="I1248" s="4" t="n">
        <v>2</v>
      </c>
      <c r="J1248" s="6" t="n">
        <v>10.8</v>
      </c>
      <c r="K1248" s="6" t="n">
        <v>282.9796948</v>
      </c>
      <c r="L1248" s="6">
        <f>I1248*K1248</f>
        <v/>
      </c>
      <c r="M1248" s="6">
        <f>K1248*4</f>
        <v/>
      </c>
      <c r="N1248" s="6" t="n">
        <v>920</v>
      </c>
    </row>
    <row r="1249">
      <c r="A1249" s="1" t="inlineStr">
        <is>
          <t>41889241773165</t>
        </is>
      </c>
      <c r="B1249" s="1" t="inlineStr">
        <is>
          <t>BRAZALETE CD GOLD-WHITE ZIRCONIAS</t>
        </is>
      </c>
      <c r="C1249" s="1" t="inlineStr">
        <is>
          <t>ALL WHITE</t>
        </is>
      </c>
      <c r="D1249" s="1" t="inlineStr">
        <is>
          <t>18/02/2026</t>
        </is>
      </c>
      <c r="E1249" s="1" t="n">
        <v>2026</v>
      </c>
      <c r="F1249" s="1" t="inlineStr">
        <is>
          <t>FEBRERO</t>
        </is>
      </c>
      <c r="G1249" s="1" t="inlineStr">
        <is>
          <t>CYNTHIA</t>
        </is>
      </c>
      <c r="H1249" s="1" t="inlineStr">
        <is>
          <t>CYNTHIA 18/02/2026</t>
        </is>
      </c>
      <c r="I1249" s="4" t="n">
        <v>3</v>
      </c>
      <c r="J1249" s="6" t="n">
        <v>10.8</v>
      </c>
      <c r="K1249" s="6" t="n">
        <v>292.0683441</v>
      </c>
      <c r="L1249" s="6">
        <f>I1249*K1249</f>
        <v/>
      </c>
      <c r="M1249" s="6">
        <f>K1249*4</f>
        <v/>
      </c>
      <c r="N1249" s="6" t="n">
        <v>1025</v>
      </c>
    </row>
    <row r="1250">
      <c r="A1250" s="1" t="inlineStr">
        <is>
          <t>41889241805933</t>
        </is>
      </c>
      <c r="B1250" s="1" t="inlineStr">
        <is>
          <t>ARRACADAS BV ZIRCONIAS ROSEGOLD</t>
        </is>
      </c>
      <c r="C1250" s="1" t="inlineStr">
        <is>
          <t>Default Title</t>
        </is>
      </c>
      <c r="D1250" s="1" t="inlineStr">
        <is>
          <t>25/10/2025</t>
        </is>
      </c>
      <c r="E1250" s="1" t="n">
        <v>2025</v>
      </c>
      <c r="F1250" s="1" t="inlineStr">
        <is>
          <t>OCTUBRE</t>
        </is>
      </c>
      <c r="G1250" s="1" t="inlineStr">
        <is>
          <t>CYNTHIA</t>
        </is>
      </c>
      <c r="H1250" s="1" t="inlineStr">
        <is>
          <t>CYNTHIA 25/10/2025</t>
        </is>
      </c>
      <c r="I1250" s="4" t="n">
        <v>2</v>
      </c>
      <c r="J1250" s="6" t="n">
        <v>14</v>
      </c>
      <c r="K1250" s="6" t="n">
        <v>366.8255303</v>
      </c>
      <c r="L1250" s="6">
        <f>I1250*K1250</f>
        <v/>
      </c>
      <c r="M1250" s="6">
        <f>K1250*4</f>
        <v/>
      </c>
      <c r="N1250" s="6" t="n">
        <v>1019.33</v>
      </c>
    </row>
    <row r="1251">
      <c r="A1251" s="1" t="inlineStr">
        <is>
          <t>42101481043501</t>
        </is>
      </c>
      <c r="B1251" s="1" t="inlineStr">
        <is>
          <t>BOLSA CC Nº25</t>
        </is>
      </c>
      <c r="C1251" s="1" t="inlineStr">
        <is>
          <t>HIGH QUALITY</t>
        </is>
      </c>
      <c r="D1251" s="1" t="inlineStr">
        <is>
          <t>05/09/2025</t>
        </is>
      </c>
      <c r="E1251" s="1" t="n">
        <v>2025</v>
      </c>
      <c r="F1251" s="1" t="inlineStr">
        <is>
          <t>SEPTIEMBRE</t>
        </is>
      </c>
      <c r="G1251" s="1" t="inlineStr">
        <is>
          <t>CYNTHIA</t>
        </is>
      </c>
      <c r="H1251" s="1" t="inlineStr">
        <is>
          <t>CYNTHIA 05/09/2025</t>
        </is>
      </c>
      <c r="I1251" s="4" t="n">
        <v>1</v>
      </c>
      <c r="J1251" s="6" t="n">
        <v>66</v>
      </c>
      <c r="K1251" s="6" t="n">
        <v>1661.820397</v>
      </c>
      <c r="L1251" s="6">
        <f>I1251*K1251</f>
        <v/>
      </c>
      <c r="M1251" s="6">
        <f>K1251*4</f>
        <v/>
      </c>
      <c r="N1251" s="6" t="n">
        <v>5499</v>
      </c>
    </row>
    <row r="1252">
      <c r="A1252" s="1" t="inlineStr">
        <is>
          <t>42101481043501</t>
        </is>
      </c>
      <c r="B1252" s="1" t="inlineStr">
        <is>
          <t>BOLSA CC Nº25</t>
        </is>
      </c>
      <c r="C1252" s="1" t="inlineStr">
        <is>
          <t>HIGH QUALITY</t>
        </is>
      </c>
      <c r="D1252" s="1" t="inlineStr">
        <is>
          <t>25/10/2025</t>
        </is>
      </c>
      <c r="E1252" s="1" t="n">
        <v>2025</v>
      </c>
      <c r="F1252" s="1" t="inlineStr">
        <is>
          <t>OCTUBRE</t>
        </is>
      </c>
      <c r="G1252" s="1" t="inlineStr">
        <is>
          <t>CYNTHIA</t>
        </is>
      </c>
      <c r="H1252" s="1" t="inlineStr">
        <is>
          <t>CYNTHIA 25/10/2025</t>
        </is>
      </c>
      <c r="I1252" s="4" t="n">
        <v>7</v>
      </c>
      <c r="J1252" s="6" t="n">
        <v>66</v>
      </c>
      <c r="K1252" s="6" t="n">
        <v>1729.320357</v>
      </c>
      <c r="L1252" s="6">
        <f>I1252*K1252</f>
        <v/>
      </c>
      <c r="M1252" s="6">
        <f>K1252*4</f>
        <v/>
      </c>
      <c r="N1252" s="6" t="n">
        <v>5499</v>
      </c>
    </row>
    <row r="1253">
      <c r="A1253" s="1" t="inlineStr">
        <is>
          <t>42101481043501</t>
        </is>
      </c>
      <c r="B1253" s="1" t="inlineStr">
        <is>
          <t>BOLSA CC Nº25</t>
        </is>
      </c>
      <c r="C1253" s="1" t="inlineStr">
        <is>
          <t>HIGH QUALITY</t>
        </is>
      </c>
      <c r="D1253" s="1" t="inlineStr">
        <is>
          <t>07/01/2026</t>
        </is>
      </c>
      <c r="E1253" s="1" t="n">
        <v>2026</v>
      </c>
      <c r="F1253" s="1" t="inlineStr">
        <is>
          <t>ENERO</t>
        </is>
      </c>
      <c r="G1253" s="1" t="inlineStr">
        <is>
          <t>CYNTHIA</t>
        </is>
      </c>
      <c r="H1253" s="1" t="inlineStr">
        <is>
          <t>CYNTHIA 07/01/2026</t>
        </is>
      </c>
      <c r="I1253" s="4" t="n">
        <v>5</v>
      </c>
      <c r="J1253" s="6" t="n">
        <v>66</v>
      </c>
      <c r="K1253" s="6" t="n">
        <v>1754.770226</v>
      </c>
      <c r="L1253" s="6">
        <f>I1253*K1253</f>
        <v/>
      </c>
      <c r="M1253" s="6">
        <f>K1253*4</f>
        <v/>
      </c>
      <c r="N1253" s="6" t="n">
        <v>5999</v>
      </c>
    </row>
    <row r="1254">
      <c r="A1254" s="1" t="inlineStr">
        <is>
          <t>42101481043501</t>
        </is>
      </c>
      <c r="B1254" s="1" t="inlineStr">
        <is>
          <t>BOLSA CC Nº25</t>
        </is>
      </c>
      <c r="C1254" s="1" t="inlineStr">
        <is>
          <t>HIGH QUALITY</t>
        </is>
      </c>
      <c r="D1254" s="1" t="inlineStr">
        <is>
          <t>07/01/2026</t>
        </is>
      </c>
      <c r="E1254" s="1" t="n">
        <v>2026</v>
      </c>
      <c r="F1254" s="1" t="inlineStr">
        <is>
          <t>ENERO</t>
        </is>
      </c>
      <c r="G1254" s="1" t="inlineStr">
        <is>
          <t>CYNTHIA</t>
        </is>
      </c>
      <c r="H1254" s="1" t="inlineStr">
        <is>
          <t>CYNTHIA 07/01/2026</t>
        </is>
      </c>
      <c r="I1254" s="4" t="n">
        <v>3</v>
      </c>
      <c r="J1254" s="6" t="n">
        <v>66</v>
      </c>
      <c r="K1254" s="6" t="n">
        <v>1754.770226</v>
      </c>
      <c r="L1254" s="6">
        <f>I1254*K1254</f>
        <v/>
      </c>
      <c r="M1254" s="6">
        <f>K1254*4</f>
        <v/>
      </c>
      <c r="N1254" s="6" t="n">
        <v>5999</v>
      </c>
    </row>
    <row r="1255">
      <c r="A1255" s="1" t="inlineStr">
        <is>
          <t>42101481043501</t>
        </is>
      </c>
      <c r="B1255" s="1" t="inlineStr">
        <is>
          <t>BOLSA CC Nº25</t>
        </is>
      </c>
      <c r="C1255" s="1" t="inlineStr">
        <is>
          <t>HIGH QUALITY</t>
        </is>
      </c>
      <c r="D1255" s="1" t="inlineStr">
        <is>
          <t>18/02/2026</t>
        </is>
      </c>
      <c r="E1255" s="1" t="n">
        <v>2026</v>
      </c>
      <c r="F1255" s="1" t="inlineStr">
        <is>
          <t>FEBRERO</t>
        </is>
      </c>
      <c r="G1255" s="1" t="inlineStr">
        <is>
          <t>CYNTHIA</t>
        </is>
      </c>
      <c r="H1255" s="1" t="inlineStr">
        <is>
          <t>CYNTHIA 18/02/2026</t>
        </is>
      </c>
      <c r="I1255" s="4" t="n">
        <v>2</v>
      </c>
      <c r="J1255" s="6" t="n">
        <v>66</v>
      </c>
      <c r="K1255" s="6" t="n">
        <v>1784.862103</v>
      </c>
      <c r="L1255" s="6">
        <f>I1255*K1255</f>
        <v/>
      </c>
      <c r="M1255" s="6">
        <f>K1255*4</f>
        <v/>
      </c>
      <c r="N1255" s="6" t="n">
        <v>5999</v>
      </c>
    </row>
    <row r="1256">
      <c r="A1256" s="1" t="inlineStr">
        <is>
          <t>42101481043501</t>
        </is>
      </c>
      <c r="B1256" s="1" t="inlineStr">
        <is>
          <t>BOLSA CC Nº25</t>
        </is>
      </c>
      <c r="C1256" s="1" t="inlineStr">
        <is>
          <t>HIGH QUALITY</t>
        </is>
      </c>
      <c r="D1256" s="1" t="inlineStr">
        <is>
          <t>27/04/2026</t>
        </is>
      </c>
      <c r="E1256" s="1" t="n">
        <v>2026</v>
      </c>
      <c r="F1256" s="1" t="inlineStr">
        <is>
          <t>ABRIL</t>
        </is>
      </c>
      <c r="G1256" s="1" t="inlineStr">
        <is>
          <t>CYNTHIA</t>
        </is>
      </c>
      <c r="H1256" s="1" t="inlineStr">
        <is>
          <t>CYNTHIA 27/04/2026</t>
        </is>
      </c>
      <c r="I1256" s="4" t="n">
        <v>10</v>
      </c>
      <c r="J1256" s="6" t="n">
        <v>66</v>
      </c>
      <c r="K1256" s="6" t="n">
        <v>1712.706113</v>
      </c>
      <c r="L1256" s="6">
        <f>I1256*K1256</f>
        <v/>
      </c>
      <c r="M1256" s="6">
        <f>K1256*4</f>
        <v/>
      </c>
      <c r="N1256" s="6" t="n">
        <v>5999</v>
      </c>
    </row>
    <row r="1257">
      <c r="A1257" s="1" t="inlineStr">
        <is>
          <t>42265107366028</t>
        </is>
      </c>
      <c r="B1257" s="1" t="inlineStr">
        <is>
          <t>HOODIE C BLACK</t>
        </is>
      </c>
      <c r="C1257" s="1" t="inlineStr">
        <is>
          <t>M</t>
        </is>
      </c>
      <c r="D1257" s="1" t="inlineStr">
        <is>
          <t>21/10/2025</t>
        </is>
      </c>
      <c r="E1257" s="1" t="n">
        <v>2025</v>
      </c>
      <c r="F1257" s="1" t="inlineStr">
        <is>
          <t>OCTUBRE</t>
        </is>
      </c>
      <c r="G1257" s="1" t="inlineStr">
        <is>
          <t>DINA DU</t>
        </is>
      </c>
      <c r="H1257" s="1" t="inlineStr">
        <is>
          <t>DINA DU 21/10/2025</t>
        </is>
      </c>
      <c r="I1257" s="4" t="n">
        <v>4</v>
      </c>
      <c r="J1257" s="6" t="n">
        <v>27</v>
      </c>
      <c r="K1257" s="6" t="n">
        <v>756.9317538</v>
      </c>
      <c r="L1257" s="6">
        <f>I1257*K1257</f>
        <v/>
      </c>
      <c r="M1257" s="6">
        <f>K1257*4</f>
        <v/>
      </c>
      <c r="N1257" s="6" t="n">
        <v>1977</v>
      </c>
    </row>
    <row r="1258">
      <c r="A1258" s="1" t="inlineStr">
        <is>
          <t>42265109266572</t>
        </is>
      </c>
      <c r="B1258" s="1" t="inlineStr">
        <is>
          <t>CINTO CD</t>
        </is>
      </c>
      <c r="C1258" s="1" t="inlineStr">
        <is>
          <t>100cm</t>
        </is>
      </c>
      <c r="D1258" s="1" t="inlineStr">
        <is>
          <t>06/02/2026</t>
        </is>
      </c>
      <c r="E1258" s="1" t="n">
        <v>2026</v>
      </c>
      <c r="F1258" s="1" t="inlineStr">
        <is>
          <t>FEBRERO</t>
        </is>
      </c>
      <c r="G1258" s="1" t="inlineStr">
        <is>
          <t>DINA DU</t>
        </is>
      </c>
      <c r="H1258" s="1" t="inlineStr">
        <is>
          <t>DINA DU 06/02/2026</t>
        </is>
      </c>
      <c r="I1258" s="4" t="n">
        <v>10</v>
      </c>
      <c r="J1258" s="6" t="n">
        <v>10</v>
      </c>
      <c r="K1258" s="6" t="n">
        <v>267.2139597</v>
      </c>
      <c r="L1258" s="6">
        <f>I1258*K1258</f>
        <v/>
      </c>
      <c r="M1258" s="6">
        <f>K1258*4</f>
        <v/>
      </c>
      <c r="N1258" s="6" t="n">
        <v>1250</v>
      </c>
    </row>
    <row r="1259">
      <c r="A1259" s="1" t="inlineStr">
        <is>
          <t>42283701061581</t>
        </is>
      </c>
      <c r="B1259" s="1" t="inlineStr">
        <is>
          <t>RELOJ TANK CR BLACK GOLD</t>
        </is>
      </c>
      <c r="C1259" s="1" t="inlineStr">
        <is>
          <t>Default Title</t>
        </is>
      </c>
      <c r="D1259" s="1" t="inlineStr">
        <is>
          <t>02/10/2025</t>
        </is>
      </c>
      <c r="E1259" s="1" t="n">
        <v>2025</v>
      </c>
      <c r="F1259" s="1" t="inlineStr">
        <is>
          <t>OCTUBRE</t>
        </is>
      </c>
      <c r="G1259" s="1" t="inlineStr">
        <is>
          <t>ZOEY</t>
        </is>
      </c>
      <c r="H1259" s="1" t="inlineStr">
        <is>
          <t>ZOEY 02/10/2025</t>
        </is>
      </c>
      <c r="I1259" s="4" t="n">
        <v>2</v>
      </c>
      <c r="J1259" s="6" t="n">
        <v>35</v>
      </c>
      <c r="K1259" s="6" t="n">
        <v>826.83776</v>
      </c>
      <c r="L1259" s="6">
        <f>I1259*K1259</f>
        <v/>
      </c>
      <c r="M1259" s="6">
        <f>K1259*4</f>
        <v/>
      </c>
      <c r="N1259" s="6" t="n">
        <v>3500</v>
      </c>
    </row>
    <row r="1260">
      <c r="A1260" s="1" t="inlineStr">
        <is>
          <t>42283701061581</t>
        </is>
      </c>
      <c r="B1260" s="1" t="inlineStr">
        <is>
          <t>RELOJ TANK CR BLACK GOLD</t>
        </is>
      </c>
      <c r="C1260" s="1" t="inlineStr">
        <is>
          <t>Default Title</t>
        </is>
      </c>
      <c r="D1260" s="1" t="inlineStr">
        <is>
          <t>20/01/2026</t>
        </is>
      </c>
      <c r="E1260" s="1" t="n">
        <v>2026</v>
      </c>
      <c r="F1260" s="1" t="inlineStr">
        <is>
          <t>ENERO</t>
        </is>
      </c>
      <c r="G1260" s="1" t="inlineStr">
        <is>
          <t>ZOEY</t>
        </is>
      </c>
      <c r="H1260" s="1" t="inlineStr">
        <is>
          <t>ZOEY 20/01/2026</t>
        </is>
      </c>
      <c r="I1260" s="4" t="n">
        <v>3</v>
      </c>
      <c r="J1260" s="6" t="n">
        <v>35</v>
      </c>
      <c r="K1260" s="6" t="n">
        <v>911.1059779</v>
      </c>
      <c r="L1260" s="6">
        <f>I1260*K1260</f>
        <v/>
      </c>
      <c r="M1260" s="6">
        <f>K1260*4</f>
        <v/>
      </c>
      <c r="N1260" s="6" t="n">
        <v>3500</v>
      </c>
    </row>
    <row r="1261">
      <c r="A1261" s="1" t="inlineStr">
        <is>
          <t>42283701061581</t>
        </is>
      </c>
      <c r="B1261" s="1" t="inlineStr">
        <is>
          <t>RELOJ TANK CR BLACK GOLD</t>
        </is>
      </c>
      <c r="C1261" s="1" t="inlineStr">
        <is>
          <t>Default Title</t>
        </is>
      </c>
      <c r="D1261" s="1" t="inlineStr">
        <is>
          <t>02/03/2026</t>
        </is>
      </c>
      <c r="E1261" s="1" t="n">
        <v>2026</v>
      </c>
      <c r="F1261" s="1" t="inlineStr">
        <is>
          <t>MARZO</t>
        </is>
      </c>
      <c r="G1261" s="1" t="inlineStr">
        <is>
          <t>ZOEY</t>
        </is>
      </c>
      <c r="H1261" s="1" t="inlineStr">
        <is>
          <t>ZOEY 02/03/2026</t>
        </is>
      </c>
      <c r="I1261" s="4" t="n">
        <v>2</v>
      </c>
      <c r="J1261" s="6" t="n">
        <v>35</v>
      </c>
      <c r="K1261" s="6" t="n">
        <v>919.6941503</v>
      </c>
      <c r="L1261" s="6">
        <f>I1261*K1261</f>
        <v/>
      </c>
      <c r="M1261" s="6">
        <f>K1261*4</f>
        <v/>
      </c>
      <c r="N1261" s="6" t="n">
        <v>3500</v>
      </c>
    </row>
    <row r="1262">
      <c r="A1262" s="1" t="inlineStr">
        <is>
          <t>42283701061581</t>
        </is>
      </c>
      <c r="B1262" s="1" t="inlineStr">
        <is>
          <t>RELOJ TANK CR BLACK GOLD</t>
        </is>
      </c>
      <c r="C1262" s="1" t="inlineStr">
        <is>
          <t>Default Title</t>
        </is>
      </c>
      <c r="D1262" s="1" t="inlineStr">
        <is>
          <t>19/03/2026</t>
        </is>
      </c>
      <c r="E1262" s="1" t="n">
        <v>2026</v>
      </c>
      <c r="F1262" s="1" t="inlineStr">
        <is>
          <t>MARZO</t>
        </is>
      </c>
      <c r="G1262" s="1" t="inlineStr">
        <is>
          <t>ZOEY</t>
        </is>
      </c>
      <c r="H1262" s="1" t="inlineStr">
        <is>
          <t>ZOEY 19/03/2026</t>
        </is>
      </c>
      <c r="I1262" s="4" t="n">
        <v>4</v>
      </c>
      <c r="J1262" s="6" t="n">
        <v>35</v>
      </c>
      <c r="K1262" s="6" t="n">
        <v>902.3717365</v>
      </c>
      <c r="L1262" s="6">
        <f>I1262*K1262</f>
        <v/>
      </c>
      <c r="M1262" s="6">
        <f>K1262*4</f>
        <v/>
      </c>
      <c r="N1262" s="6" t="n">
        <v>3500</v>
      </c>
    </row>
    <row r="1263">
      <c r="A1263" s="1" t="inlineStr">
        <is>
          <t>42283701061581</t>
        </is>
      </c>
      <c r="B1263" s="1" t="inlineStr">
        <is>
          <t>RELOJ TANK CR BLACK GOLD</t>
        </is>
      </c>
      <c r="C1263" s="1" t="inlineStr">
        <is>
          <t>Default Title</t>
        </is>
      </c>
      <c r="D1263" s="1" t="inlineStr">
        <is>
          <t>08/06/2026</t>
        </is>
      </c>
      <c r="E1263" s="1" t="n">
        <v>2026</v>
      </c>
      <c r="F1263" s="1" t="inlineStr">
        <is>
          <t>JUNIO</t>
        </is>
      </c>
      <c r="G1263" s="1" t="inlineStr">
        <is>
          <t>ZOEY</t>
        </is>
      </c>
      <c r="H1263" s="1" t="inlineStr">
        <is>
          <t>ZOEY 08/06/2026</t>
        </is>
      </c>
      <c r="I1263" s="4" t="n">
        <v>7</v>
      </c>
      <c r="J1263" s="6" t="n">
        <v>35</v>
      </c>
      <c r="K1263" s="6" t="n">
        <v>857.9002759</v>
      </c>
      <c r="L1263" s="6">
        <f>I1263*K1263</f>
        <v/>
      </c>
      <c r="M1263" s="6">
        <f>K1263*4</f>
        <v/>
      </c>
      <c r="N1263" s="6" t="n">
        <v>3500</v>
      </c>
    </row>
    <row r="1264">
      <c r="A1264" s="1" t="inlineStr">
        <is>
          <t>42340124661388</t>
        </is>
      </c>
      <c r="B1264" s="1" t="inlineStr">
        <is>
          <t>CINTO CD OBLIQUE</t>
        </is>
      </c>
      <c r="C1264" s="1" t="inlineStr">
        <is>
          <t>110cm</t>
        </is>
      </c>
      <c r="D1264" s="1" t="inlineStr">
        <is>
          <t>15/05/2026</t>
        </is>
      </c>
      <c r="E1264" s="1" t="n">
        <v>2026</v>
      </c>
      <c r="F1264" s="1" t="inlineStr">
        <is>
          <t>MAYO</t>
        </is>
      </c>
      <c r="G1264" s="1" t="inlineStr">
        <is>
          <t>ZOEY</t>
        </is>
      </c>
      <c r="H1264" s="1" t="inlineStr">
        <is>
          <t>ZOEY 15/05/2026</t>
        </is>
      </c>
      <c r="I1264" s="4" t="n">
        <v>2</v>
      </c>
      <c r="J1264" s="6" t="n">
        <v>45</v>
      </c>
      <c r="K1264" s="6" t="n">
        <v>1192.708102</v>
      </c>
      <c r="L1264" s="6">
        <f>I1264*K1264</f>
        <v/>
      </c>
      <c r="M1264" s="6">
        <f>K1264*4</f>
        <v/>
      </c>
      <c r="N1264" s="6" t="n">
        <v>4779</v>
      </c>
    </row>
    <row r="1265">
      <c r="A1265" s="1" t="inlineStr">
        <is>
          <t>42556045426828</t>
        </is>
      </c>
      <c r="B1265" s="1" t="inlineStr">
        <is>
          <t>CINTO FR ROSEGOLD</t>
        </is>
      </c>
      <c r="C1265" s="1" t="inlineStr">
        <is>
          <t>100cm</t>
        </is>
      </c>
      <c r="D1265" s="1" t="inlineStr">
        <is>
          <t>21/10/2025</t>
        </is>
      </c>
      <c r="E1265" s="1" t="n">
        <v>2025</v>
      </c>
      <c r="F1265" s="1" t="inlineStr">
        <is>
          <t>OCTUBRE</t>
        </is>
      </c>
      <c r="G1265" s="1" t="inlineStr">
        <is>
          <t>DINA DU</t>
        </is>
      </c>
      <c r="H1265" s="1" t="inlineStr">
        <is>
          <t>DINA DU 21/10/2025</t>
        </is>
      </c>
      <c r="I1265" s="4" t="n">
        <v>2</v>
      </c>
      <c r="J1265" s="6" t="n">
        <v>12</v>
      </c>
      <c r="K1265" s="6" t="n">
        <v>336.4141128</v>
      </c>
      <c r="L1265" s="6">
        <f>I1265*K1265</f>
        <v/>
      </c>
      <c r="M1265" s="6">
        <f>K1265*4</f>
        <v/>
      </c>
      <c r="N1265" s="6" t="n">
        <v>1099</v>
      </c>
    </row>
    <row r="1266">
      <c r="A1266" s="1" t="inlineStr">
        <is>
          <t>42556045426828</t>
        </is>
      </c>
      <c r="B1266" s="1" t="inlineStr">
        <is>
          <t>CINTO FR ROSEGOLD</t>
        </is>
      </c>
      <c r="C1266" s="1" t="inlineStr">
        <is>
          <t>100cm</t>
        </is>
      </c>
      <c r="D1266" s="1" t="inlineStr">
        <is>
          <t>06/02/2026</t>
        </is>
      </c>
      <c r="E1266" s="1" t="n">
        <v>2026</v>
      </c>
      <c r="F1266" s="1" t="inlineStr">
        <is>
          <t>FEBRERO</t>
        </is>
      </c>
      <c r="G1266" s="1" t="inlineStr">
        <is>
          <t>DINA DU</t>
        </is>
      </c>
      <c r="H1266" s="1" t="inlineStr">
        <is>
          <t>DINA DU 06/02/2026</t>
        </is>
      </c>
      <c r="I1266" s="4" t="n">
        <v>2</v>
      </c>
      <c r="J1266" s="6" t="n">
        <v>12</v>
      </c>
      <c r="K1266" s="6" t="n">
        <v>320.6567517</v>
      </c>
      <c r="L1266" s="6">
        <f>I1266*K1266</f>
        <v/>
      </c>
      <c r="M1266" s="6">
        <f>K1266*4</f>
        <v/>
      </c>
      <c r="N1266" s="6" t="n">
        <v>1299</v>
      </c>
    </row>
    <row r="1267">
      <c r="A1267" s="1" t="inlineStr">
        <is>
          <t>42556045426828</t>
        </is>
      </c>
      <c r="B1267" s="1" t="inlineStr">
        <is>
          <t>CINTO FR ROSEGOLD</t>
        </is>
      </c>
      <c r="C1267" s="1" t="inlineStr">
        <is>
          <t>100cm</t>
        </is>
      </c>
      <c r="D1267" s="1" t="inlineStr">
        <is>
          <t>27/04/2026</t>
        </is>
      </c>
      <c r="E1267" s="1" t="n">
        <v>2026</v>
      </c>
      <c r="F1267" s="1" t="inlineStr">
        <is>
          <t>ABRIL</t>
        </is>
      </c>
      <c r="G1267" s="1" t="inlineStr">
        <is>
          <t>DINA DU</t>
        </is>
      </c>
      <c r="H1267" s="1" t="inlineStr">
        <is>
          <t>DINA DU 27/04/2026</t>
        </is>
      </c>
      <c r="I1267" s="4" t="n">
        <v>5</v>
      </c>
      <c r="J1267" s="6" t="n">
        <v>12</v>
      </c>
      <c r="K1267" s="6" t="n">
        <v>324.531753</v>
      </c>
      <c r="L1267" s="6">
        <f>I1267*K1267</f>
        <v/>
      </c>
      <c r="M1267" s="6">
        <f>K1267*4</f>
        <v/>
      </c>
      <c r="N1267" s="6" t="n">
        <v>1299</v>
      </c>
    </row>
    <row r="1268">
      <c r="A1268" s="1" t="inlineStr">
        <is>
          <t>42556129345676</t>
        </is>
      </c>
      <c r="B1268" s="1" t="inlineStr">
        <is>
          <t>HOODIE C WHITE</t>
        </is>
      </c>
      <c r="C1268" s="1" t="inlineStr">
        <is>
          <t>M</t>
        </is>
      </c>
      <c r="D1268" s="1" t="inlineStr">
        <is>
          <t>21/10/2025</t>
        </is>
      </c>
      <c r="E1268" s="1" t="n">
        <v>2025</v>
      </c>
      <c r="F1268" s="1" t="inlineStr">
        <is>
          <t>OCTUBRE</t>
        </is>
      </c>
      <c r="G1268" s="1" t="inlineStr">
        <is>
          <t>DINA DU</t>
        </is>
      </c>
      <c r="H1268" s="1" t="inlineStr">
        <is>
          <t>DINA DU 21/10/2025</t>
        </is>
      </c>
      <c r="I1268" s="4" t="n">
        <v>4</v>
      </c>
      <c r="J1268" s="6" t="n">
        <v>27</v>
      </c>
      <c r="K1268" s="6" t="n">
        <v>756.9317538</v>
      </c>
      <c r="L1268" s="6">
        <f>I1268*K1268</f>
        <v/>
      </c>
      <c r="M1268" s="6">
        <f>K1268*4</f>
        <v/>
      </c>
      <c r="N1268" s="6" t="n">
        <v>2299</v>
      </c>
    </row>
    <row r="1269">
      <c r="A1269" s="1" t="inlineStr">
        <is>
          <t>42833577705612</t>
        </is>
      </c>
      <c r="B1269" s="1" t="inlineStr">
        <is>
          <t>COLLAR CLAVO ROUND SILVER</t>
        </is>
      </c>
      <c r="C1269" s="1" t="inlineStr">
        <is>
          <t>Stainless steel</t>
        </is>
      </c>
      <c r="D1269" s="1" t="inlineStr">
        <is>
          <t>06/09/2025</t>
        </is>
      </c>
      <c r="E1269" s="1" t="n">
        <v>2025</v>
      </c>
      <c r="F1269" s="1" t="inlineStr">
        <is>
          <t>SEPTIEMBRE</t>
        </is>
      </c>
      <c r="G1269" s="1" t="inlineStr">
        <is>
          <t>NANCY</t>
        </is>
      </c>
      <c r="H1269" s="1" t="inlineStr">
        <is>
          <t>NANCY 06/09/2025</t>
        </is>
      </c>
      <c r="I1269" s="4" t="n">
        <v>6</v>
      </c>
      <c r="J1269" s="6" t="n">
        <v>7.59</v>
      </c>
      <c r="K1269" s="6" t="n">
        <v>176.7381562</v>
      </c>
      <c r="L1269" s="6">
        <f>I1269*K1269</f>
        <v/>
      </c>
      <c r="M1269" s="6">
        <f>K1269*4</f>
        <v/>
      </c>
      <c r="N1269" s="6" t="n">
        <v>650</v>
      </c>
    </row>
    <row r="1270">
      <c r="A1270" s="1" t="inlineStr">
        <is>
          <t>42833577705612</t>
        </is>
      </c>
      <c r="B1270" s="1" t="inlineStr">
        <is>
          <t>COLLAR CLAVO ROUND SILVER</t>
        </is>
      </c>
      <c r="C1270" s="1" t="inlineStr">
        <is>
          <t>Stainless steel</t>
        </is>
      </c>
      <c r="D1270" s="1" t="inlineStr">
        <is>
          <t>03/12/2025</t>
        </is>
      </c>
      <c r="E1270" s="1" t="n">
        <v>2025</v>
      </c>
      <c r="F1270" s="1" t="inlineStr">
        <is>
          <t>DICIEMBRE</t>
        </is>
      </c>
      <c r="G1270" s="1" t="inlineStr">
        <is>
          <t>NANCY</t>
        </is>
      </c>
      <c r="H1270" s="1" t="inlineStr">
        <is>
          <t>NANCY 03/12/2025</t>
        </is>
      </c>
      <c r="I1270" s="4" t="n">
        <v>6</v>
      </c>
      <c r="J1270" s="6" t="n">
        <v>7.59</v>
      </c>
      <c r="K1270" s="6" t="n">
        <v>179.5546672</v>
      </c>
      <c r="L1270" s="6">
        <f>I1270*K1270</f>
        <v/>
      </c>
      <c r="M1270" s="6">
        <f>K1270*4</f>
        <v/>
      </c>
      <c r="N1270" s="6" t="n">
        <v>650</v>
      </c>
    </row>
    <row r="1271">
      <c r="A1271" s="1" t="inlineStr">
        <is>
          <t>42834310172300</t>
        </is>
      </c>
      <c r="B1271" s="1" t="inlineStr">
        <is>
          <t>SANDALIAS CD MULE</t>
        </is>
      </c>
      <c r="C1271" s="1" t="inlineStr">
        <is>
          <t>23cm</t>
        </is>
      </c>
      <c r="D1271" s="1" t="inlineStr">
        <is>
          <t>01/09/2025</t>
        </is>
      </c>
      <c r="E1271" s="1" t="n">
        <v>2025</v>
      </c>
      <c r="F1271" s="1" t="inlineStr">
        <is>
          <t>SEPTIEMBRE</t>
        </is>
      </c>
      <c r="G1271" s="1" t="inlineStr">
        <is>
          <t>ZOEY</t>
        </is>
      </c>
      <c r="H1271" s="1" t="inlineStr">
        <is>
          <t>ZOEY 01/09/2025</t>
        </is>
      </c>
      <c r="I1271" s="4" t="n">
        <v>2</v>
      </c>
      <c r="J1271" s="6" t="n">
        <v>35</v>
      </c>
      <c r="K1271" s="6" t="n">
        <v>879.1245611000001</v>
      </c>
      <c r="L1271" s="6">
        <f>I1271*K1271</f>
        <v/>
      </c>
      <c r="M1271" s="6">
        <f>K1271*4</f>
        <v/>
      </c>
      <c r="N1271" s="6" t="n">
        <v>3200</v>
      </c>
    </row>
    <row r="1272">
      <c r="A1272" s="1" t="inlineStr">
        <is>
          <t>42834310172300</t>
        </is>
      </c>
      <c r="B1272" s="1" t="inlineStr">
        <is>
          <t>SANDALIAS CD MULE</t>
        </is>
      </c>
      <c r="C1272" s="1" t="inlineStr">
        <is>
          <t>23cm</t>
        </is>
      </c>
      <c r="D1272" s="1" t="inlineStr">
        <is>
          <t>20/01/2026</t>
        </is>
      </c>
      <c r="E1272" s="1" t="n">
        <v>2026</v>
      </c>
      <c r="F1272" s="1" t="inlineStr">
        <is>
          <t>ENERO</t>
        </is>
      </c>
      <c r="G1272" s="1" t="inlineStr">
        <is>
          <t>ZOEY</t>
        </is>
      </c>
      <c r="H1272" s="1" t="inlineStr">
        <is>
          <t>ZOEY 20/01/2026</t>
        </is>
      </c>
      <c r="I1272" s="4" t="n">
        <v>2</v>
      </c>
      <c r="J1272" s="6" t="n">
        <v>35</v>
      </c>
      <c r="K1272" s="6" t="n">
        <v>911.1059779</v>
      </c>
      <c r="L1272" s="6">
        <f>I1272*K1272</f>
        <v/>
      </c>
      <c r="M1272" s="6">
        <f>K1272*4</f>
        <v/>
      </c>
      <c r="N1272" s="6" t="n">
        <v>3719</v>
      </c>
    </row>
    <row r="1273">
      <c r="A1273" s="1" t="inlineStr">
        <is>
          <t>42834310172300</t>
        </is>
      </c>
      <c r="B1273" s="1" t="inlineStr">
        <is>
          <t>SANDALIAS CD MULE</t>
        </is>
      </c>
      <c r="C1273" s="1" t="inlineStr">
        <is>
          <t>23cm</t>
        </is>
      </c>
      <c r="D1273" s="1" t="inlineStr">
        <is>
          <t>20/04/2026</t>
        </is>
      </c>
      <c r="E1273" s="1" t="n">
        <v>2026</v>
      </c>
      <c r="F1273" s="1" t="inlineStr">
        <is>
          <t>ABRIL</t>
        </is>
      </c>
      <c r="G1273" s="1" t="inlineStr">
        <is>
          <t>ZOEY</t>
        </is>
      </c>
      <c r="H1273" s="1" t="inlineStr">
        <is>
          <t>ZOEY 20/04/2026</t>
        </is>
      </c>
      <c r="I1273" s="4" t="n">
        <v>4</v>
      </c>
      <c r="J1273" s="6" t="n">
        <v>35</v>
      </c>
      <c r="K1273" s="6" t="n">
        <v>896.3072418</v>
      </c>
      <c r="L1273" s="6">
        <f>I1273*K1273</f>
        <v/>
      </c>
      <c r="M1273" s="6">
        <f>K1273*4</f>
        <v/>
      </c>
      <c r="N1273" s="6" t="n">
        <v>3719</v>
      </c>
    </row>
    <row r="1274">
      <c r="A1274" s="1" t="inlineStr">
        <is>
          <t>42834310205068</t>
        </is>
      </c>
      <c r="B1274" s="1" t="inlineStr">
        <is>
          <t>SANDALIAS CD MULE</t>
        </is>
      </c>
      <c r="C1274" s="1" t="inlineStr">
        <is>
          <t>24cm</t>
        </is>
      </c>
      <c r="D1274" s="1" t="inlineStr">
        <is>
          <t>25/10/2025</t>
        </is>
      </c>
      <c r="E1274" s="1" t="n">
        <v>2025</v>
      </c>
      <c r="F1274" s="1" t="inlineStr">
        <is>
          <t>OCTUBRE</t>
        </is>
      </c>
      <c r="G1274" s="1" t="inlineStr">
        <is>
          <t>ZOEY</t>
        </is>
      </c>
      <c r="H1274" s="1" t="inlineStr">
        <is>
          <t>ZOEY 25/10/2025</t>
        </is>
      </c>
      <c r="I1274" s="4" t="n">
        <v>2</v>
      </c>
      <c r="J1274" s="6" t="n">
        <v>35</v>
      </c>
      <c r="K1274" s="6" t="n">
        <v>868.0038257</v>
      </c>
      <c r="L1274" s="6">
        <f>I1274*K1274</f>
        <v/>
      </c>
      <c r="M1274" s="6">
        <f>K1274*4</f>
        <v/>
      </c>
      <c r="N1274" s="6" t="n">
        <v>3200</v>
      </c>
    </row>
    <row r="1275">
      <c r="A1275" s="1" t="inlineStr">
        <is>
          <t>42834310205068</t>
        </is>
      </c>
      <c r="B1275" s="1" t="inlineStr">
        <is>
          <t>SANDALIAS CD MULE</t>
        </is>
      </c>
      <c r="C1275" s="1" t="inlineStr">
        <is>
          <t>24cm</t>
        </is>
      </c>
      <c r="D1275" s="1" t="inlineStr">
        <is>
          <t>20/01/2026</t>
        </is>
      </c>
      <c r="E1275" s="1" t="n">
        <v>2026</v>
      </c>
      <c r="F1275" s="1" t="inlineStr">
        <is>
          <t>ENERO</t>
        </is>
      </c>
      <c r="G1275" s="1" t="inlineStr">
        <is>
          <t>ZOEY</t>
        </is>
      </c>
      <c r="H1275" s="1" t="inlineStr">
        <is>
          <t>ZOEY 20/01/2026</t>
        </is>
      </c>
      <c r="I1275" s="4" t="n">
        <v>4</v>
      </c>
      <c r="J1275" s="6" t="n">
        <v>35</v>
      </c>
      <c r="K1275" s="6" t="n">
        <v>911.1059779</v>
      </c>
      <c r="L1275" s="6">
        <f>I1275*K1275</f>
        <v/>
      </c>
      <c r="M1275" s="6">
        <f>K1275*4</f>
        <v/>
      </c>
      <c r="N1275" s="6" t="n">
        <v>3719</v>
      </c>
    </row>
    <row r="1276">
      <c r="A1276" s="1" t="inlineStr">
        <is>
          <t>42834310205068</t>
        </is>
      </c>
      <c r="B1276" s="1" t="inlineStr">
        <is>
          <t>SANDALIAS CD MULE</t>
        </is>
      </c>
      <c r="C1276" s="1" t="inlineStr">
        <is>
          <t>24cm</t>
        </is>
      </c>
      <c r="D1276" s="1" t="inlineStr">
        <is>
          <t>15/05/2026</t>
        </is>
      </c>
      <c r="E1276" s="1" t="n">
        <v>2026</v>
      </c>
      <c r="F1276" s="1" t="inlineStr">
        <is>
          <t>MAYO</t>
        </is>
      </c>
      <c r="G1276" s="1" t="inlineStr">
        <is>
          <t>ZOEY</t>
        </is>
      </c>
      <c r="H1276" s="1" t="inlineStr">
        <is>
          <t>ZOEY 15/05/2026</t>
        </is>
      </c>
      <c r="I1276" s="4" t="n">
        <v>3</v>
      </c>
      <c r="J1276" s="6" t="n">
        <v>35</v>
      </c>
      <c r="K1276" s="6" t="n">
        <v>927.6618571</v>
      </c>
      <c r="L1276" s="6">
        <f>I1276*K1276</f>
        <v/>
      </c>
      <c r="M1276" s="6">
        <f>K1276*4</f>
        <v/>
      </c>
      <c r="N1276" s="6" t="n">
        <v>3719</v>
      </c>
    </row>
    <row r="1277">
      <c r="A1277" s="1" t="inlineStr">
        <is>
          <t>42834310205068</t>
        </is>
      </c>
      <c r="B1277" s="1" t="inlineStr">
        <is>
          <t>SANDALIAS CD MULE</t>
        </is>
      </c>
      <c r="C1277" s="1" t="inlineStr">
        <is>
          <t>24cm</t>
        </is>
      </c>
      <c r="D1277" s="1" t="inlineStr">
        <is>
          <t>08/06/2026</t>
        </is>
      </c>
      <c r="E1277" s="1" t="n">
        <v>2026</v>
      </c>
      <c r="F1277" s="1" t="inlineStr">
        <is>
          <t>JUNIO</t>
        </is>
      </c>
      <c r="G1277" s="1" t="inlineStr">
        <is>
          <t>ZOEY</t>
        </is>
      </c>
      <c r="H1277" s="1" t="inlineStr">
        <is>
          <t>ZOEY 08/06/2026</t>
        </is>
      </c>
      <c r="I1277" s="4" t="n">
        <v>5</v>
      </c>
      <c r="J1277" s="6" t="n">
        <v>35</v>
      </c>
      <c r="K1277" s="6" t="n">
        <v>857.9002759</v>
      </c>
      <c r="L1277" s="6">
        <f>I1277*K1277</f>
        <v/>
      </c>
      <c r="M1277" s="6">
        <f>K1277*4</f>
        <v/>
      </c>
      <c r="N1277" s="6" t="n">
        <v>3499</v>
      </c>
    </row>
    <row r="1278">
      <c r="A1278" s="1" t="inlineStr">
        <is>
          <t>42834310205068</t>
        </is>
      </c>
      <c r="B1278" s="1" t="inlineStr">
        <is>
          <t>SANDALIAS CD MULE</t>
        </is>
      </c>
      <c r="C1278" s="1" t="inlineStr">
        <is>
          <t>25cm</t>
        </is>
      </c>
      <c r="D1278" s="1" t="inlineStr">
        <is>
          <t>08/06/2026</t>
        </is>
      </c>
      <c r="E1278" s="1" t="n">
        <v>2026</v>
      </c>
      <c r="F1278" s="1" t="inlineStr">
        <is>
          <t>JUNIO</t>
        </is>
      </c>
      <c r="G1278" s="1" t="inlineStr">
        <is>
          <t>ZOEY</t>
        </is>
      </c>
      <c r="H1278" s="1" t="inlineStr">
        <is>
          <t>ZOEY 08/06/2026</t>
        </is>
      </c>
      <c r="I1278" s="4" t="n">
        <v>4</v>
      </c>
      <c r="J1278" s="6" t="n">
        <v>35</v>
      </c>
      <c r="K1278" s="6" t="n">
        <v>857.9002759</v>
      </c>
      <c r="L1278" s="6">
        <f>I1278*K1278</f>
        <v/>
      </c>
      <c r="M1278" s="6">
        <f>K1278*4</f>
        <v/>
      </c>
      <c r="N1278" s="6" t="n">
        <v>3499</v>
      </c>
    </row>
    <row r="1279">
      <c r="A1279" s="1" t="inlineStr">
        <is>
          <t>42834310237836</t>
        </is>
      </c>
      <c r="B1279" s="1" t="inlineStr">
        <is>
          <t>SANDALIAS CD MULE</t>
        </is>
      </c>
      <c r="C1279" s="1" t="inlineStr">
        <is>
          <t>25cm</t>
        </is>
      </c>
      <c r="D1279" s="1" t="inlineStr">
        <is>
          <t>25/10/2025</t>
        </is>
      </c>
      <c r="E1279" s="1" t="n">
        <v>2025</v>
      </c>
      <c r="F1279" s="1" t="inlineStr">
        <is>
          <t>OCTUBRE</t>
        </is>
      </c>
      <c r="G1279" s="1" t="inlineStr">
        <is>
          <t>ZOEY</t>
        </is>
      </c>
      <c r="H1279" s="1" t="inlineStr">
        <is>
          <t>ZOEY 25/10/2025</t>
        </is>
      </c>
      <c r="I1279" s="4" t="n">
        <v>1</v>
      </c>
      <c r="J1279" s="6" t="n">
        <v>35</v>
      </c>
      <c r="K1279" s="6" t="n">
        <v>868.0038257</v>
      </c>
      <c r="L1279" s="6">
        <f>I1279*K1279</f>
        <v/>
      </c>
      <c r="M1279" s="6">
        <f>K1279*4</f>
        <v/>
      </c>
      <c r="N1279" s="6" t="n">
        <v>3200</v>
      </c>
    </row>
    <row r="1280">
      <c r="A1280" s="1" t="inlineStr">
        <is>
          <t>42834310237836</t>
        </is>
      </c>
      <c r="B1280" s="1" t="inlineStr">
        <is>
          <t>SANDALIAS CD MULE</t>
        </is>
      </c>
      <c r="C1280" s="1" t="inlineStr">
        <is>
          <t>25cm=39</t>
        </is>
      </c>
      <c r="D1280" s="1" t="inlineStr">
        <is>
          <t>19/03/2026</t>
        </is>
      </c>
      <c r="E1280" s="1" t="n">
        <v>2026</v>
      </c>
      <c r="F1280" s="1" t="inlineStr">
        <is>
          <t>MARZO</t>
        </is>
      </c>
      <c r="G1280" s="1" t="inlineStr">
        <is>
          <t>ZOEY</t>
        </is>
      </c>
      <c r="H1280" s="1" t="inlineStr">
        <is>
          <t>ZOEY 19/03/2026</t>
        </is>
      </c>
      <c r="I1280" s="4" t="n">
        <v>3</v>
      </c>
      <c r="J1280" s="6" t="n">
        <v>35</v>
      </c>
      <c r="K1280" s="6" t="n">
        <v>902.3717365</v>
      </c>
      <c r="L1280" s="6">
        <f>I1280*K1280</f>
        <v/>
      </c>
      <c r="M1280" s="6">
        <f>K1280*4</f>
        <v/>
      </c>
      <c r="N1280" s="6" t="n">
        <v>3719</v>
      </c>
    </row>
    <row r="1281">
      <c r="A1281" s="1" t="inlineStr">
        <is>
          <t>42834310237836</t>
        </is>
      </c>
      <c r="B1281" s="1" t="inlineStr">
        <is>
          <t>SANDALIAS CD MULE</t>
        </is>
      </c>
      <c r="C1281" s="1" t="inlineStr">
        <is>
          <t>25cm</t>
        </is>
      </c>
      <c r="D1281" s="1" t="inlineStr">
        <is>
          <t>20/04/2026</t>
        </is>
      </c>
      <c r="E1281" s="1" t="n">
        <v>2026</v>
      </c>
      <c r="F1281" s="1" t="inlineStr">
        <is>
          <t>ABRIL</t>
        </is>
      </c>
      <c r="G1281" s="1" t="inlineStr">
        <is>
          <t>ZOEY</t>
        </is>
      </c>
      <c r="H1281" s="1" t="inlineStr">
        <is>
          <t>ZOEY 20/04/2026</t>
        </is>
      </c>
      <c r="I1281" s="4" t="n">
        <v>2</v>
      </c>
      <c r="J1281" s="6" t="n">
        <v>35</v>
      </c>
      <c r="K1281" s="6" t="n">
        <v>896.3072418</v>
      </c>
      <c r="L1281" s="6">
        <f>I1281*K1281</f>
        <v/>
      </c>
      <c r="M1281" s="6">
        <f>K1281*4</f>
        <v/>
      </c>
      <c r="N1281" s="6" t="n">
        <v>3719</v>
      </c>
    </row>
    <row r="1282">
      <c r="A1282" s="1" t="inlineStr">
        <is>
          <t>42834310237836</t>
        </is>
      </c>
      <c r="B1282" s="1" t="inlineStr">
        <is>
          <t>SANDALIAS CD MULE</t>
        </is>
      </c>
      <c r="C1282" s="1" t="inlineStr">
        <is>
          <t>25cm</t>
        </is>
      </c>
      <c r="D1282" s="1" t="inlineStr">
        <is>
          <t>15/05/2026</t>
        </is>
      </c>
      <c r="E1282" s="1" t="n">
        <v>2026</v>
      </c>
      <c r="F1282" s="1" t="inlineStr">
        <is>
          <t>MAYO</t>
        </is>
      </c>
      <c r="G1282" s="1" t="inlineStr">
        <is>
          <t>ZOEY</t>
        </is>
      </c>
      <c r="H1282" s="1" t="inlineStr">
        <is>
          <t>ZOEY 15/05/2026</t>
        </is>
      </c>
      <c r="I1282" s="4" t="n">
        <v>2</v>
      </c>
      <c r="J1282" s="6" t="n">
        <v>35</v>
      </c>
      <c r="K1282" s="6" t="n">
        <v>927.6618571</v>
      </c>
      <c r="L1282" s="6">
        <f>I1282*K1282</f>
        <v/>
      </c>
      <c r="M1282" s="6">
        <f>K1282*4</f>
        <v/>
      </c>
      <c r="N1282" s="6" t="n">
        <v>3719</v>
      </c>
    </row>
    <row r="1283">
      <c r="A1283" s="1" t="inlineStr">
        <is>
          <t>42834319871628</t>
        </is>
      </c>
      <c r="B1283" s="1" t="inlineStr">
        <is>
          <t>SANDALIAS DG</t>
        </is>
      </c>
      <c r="C1283" s="1" t="inlineStr">
        <is>
          <t>27cm</t>
        </is>
      </c>
      <c r="D1283" s="1" t="inlineStr">
        <is>
          <t>01/09/2025</t>
        </is>
      </c>
      <c r="E1283" s="1" t="n">
        <v>2025</v>
      </c>
      <c r="F1283" s="1" t="inlineStr">
        <is>
          <t>SEPTIEMBRE</t>
        </is>
      </c>
      <c r="G1283" s="1" t="inlineStr">
        <is>
          <t>ZOEY</t>
        </is>
      </c>
      <c r="H1283" s="1" t="inlineStr">
        <is>
          <t>ZOEY 01/09/2025</t>
        </is>
      </c>
      <c r="I1283" s="4" t="n">
        <v>1</v>
      </c>
      <c r="J1283" s="6" t="n">
        <v>40</v>
      </c>
      <c r="K1283" s="6" t="n">
        <v>1004.713784</v>
      </c>
      <c r="L1283" s="6">
        <f>I1283*K1283</f>
        <v/>
      </c>
      <c r="M1283" s="6">
        <f>K1283*4</f>
        <v/>
      </c>
      <c r="N1283" s="6" t="n">
        <v>2999</v>
      </c>
    </row>
    <row r="1284">
      <c r="A1284" s="1" t="inlineStr">
        <is>
          <t>42834319871628</t>
        </is>
      </c>
      <c r="B1284" s="1" t="inlineStr">
        <is>
          <t>SANDALIAS DG</t>
        </is>
      </c>
      <c r="C1284" s="1" t="inlineStr">
        <is>
          <t>27cm</t>
        </is>
      </c>
      <c r="D1284" s="1" t="inlineStr">
        <is>
          <t>08/06/2026</t>
        </is>
      </c>
      <c r="E1284" s="1" t="n">
        <v>2026</v>
      </c>
      <c r="F1284" s="1" t="inlineStr">
        <is>
          <t>JUNIO</t>
        </is>
      </c>
      <c r="G1284" s="1" t="inlineStr">
        <is>
          <t>ZOEY</t>
        </is>
      </c>
      <c r="H1284" s="1" t="inlineStr">
        <is>
          <t>ZOEY 08/06/2026</t>
        </is>
      </c>
      <c r="I1284" s="4" t="n">
        <v>1</v>
      </c>
      <c r="J1284" s="6" t="n">
        <v>40</v>
      </c>
      <c r="K1284" s="6" t="n">
        <v>980.4574582</v>
      </c>
      <c r="L1284" s="6">
        <f>I1284*K1284</f>
        <v/>
      </c>
      <c r="M1284" s="6">
        <f>K1284*4</f>
        <v/>
      </c>
      <c r="N1284" s="6" t="n">
        <v>3899</v>
      </c>
    </row>
    <row r="1285">
      <c r="A1285" s="1" t="inlineStr">
        <is>
          <t>42834319904396</t>
        </is>
      </c>
      <c r="B1285" s="1" t="inlineStr">
        <is>
          <t>SANDALIAS DG</t>
        </is>
      </c>
      <c r="C1285" s="1" t="inlineStr">
        <is>
          <t>28cm</t>
        </is>
      </c>
      <c r="D1285" s="1" t="inlineStr">
        <is>
          <t>01/09/2025</t>
        </is>
      </c>
      <c r="E1285" s="1" t="n">
        <v>2025</v>
      </c>
      <c r="F1285" s="1" t="inlineStr">
        <is>
          <t>SEPTIEMBRE</t>
        </is>
      </c>
      <c r="G1285" s="1" t="inlineStr">
        <is>
          <t>ZOEY</t>
        </is>
      </c>
      <c r="H1285" s="1" t="inlineStr">
        <is>
          <t>ZOEY 01/09/2025</t>
        </is>
      </c>
      <c r="I1285" s="4" t="n">
        <v>1</v>
      </c>
      <c r="J1285" s="6" t="n">
        <v>40</v>
      </c>
      <c r="K1285" s="6" t="n">
        <v>1004.713784</v>
      </c>
      <c r="L1285" s="6">
        <f>I1285*K1285</f>
        <v/>
      </c>
      <c r="M1285" s="6">
        <f>K1285*4</f>
        <v/>
      </c>
      <c r="N1285" s="6" t="n">
        <v>2999</v>
      </c>
    </row>
    <row r="1286">
      <c r="A1286" s="1" t="inlineStr">
        <is>
          <t>42834319904396</t>
        </is>
      </c>
      <c r="B1286" s="1" t="inlineStr">
        <is>
          <t>SANDALIAS DG</t>
        </is>
      </c>
      <c r="C1286" s="1" t="inlineStr">
        <is>
          <t>28cm</t>
        </is>
      </c>
      <c r="D1286" s="1" t="inlineStr">
        <is>
          <t>08/06/2026</t>
        </is>
      </c>
      <c r="E1286" s="1" t="n">
        <v>2026</v>
      </c>
      <c r="F1286" s="1" t="inlineStr">
        <is>
          <t>JUNIO</t>
        </is>
      </c>
      <c r="G1286" s="1" t="inlineStr">
        <is>
          <t>ZOEY</t>
        </is>
      </c>
      <c r="H1286" s="1" t="inlineStr">
        <is>
          <t>ZOEY 08/06/2026</t>
        </is>
      </c>
      <c r="I1286" s="4" t="n">
        <v>1</v>
      </c>
      <c r="J1286" s="6" t="n">
        <v>40</v>
      </c>
      <c r="K1286" s="6" t="n">
        <v>980.4574582</v>
      </c>
      <c r="L1286" s="6">
        <f>I1286*K1286</f>
        <v/>
      </c>
      <c r="M1286" s="6">
        <f>K1286*4</f>
        <v/>
      </c>
      <c r="N1286" s="6" t="n">
        <v>3899</v>
      </c>
    </row>
    <row r="1287">
      <c r="A1287" s="1" t="inlineStr">
        <is>
          <t>42951540310156</t>
        </is>
      </c>
      <c r="B1287" s="1" t="inlineStr">
        <is>
          <t>ARRACADAS GC SILVER</t>
        </is>
      </c>
      <c r="C1287" s="1" t="inlineStr">
        <is>
          <t>Default Title</t>
        </is>
      </c>
      <c r="D1287" s="1" t="inlineStr">
        <is>
          <t>03/12/2025</t>
        </is>
      </c>
      <c r="E1287" s="1" t="n">
        <v>2025</v>
      </c>
      <c r="F1287" s="1" t="inlineStr">
        <is>
          <t>DICIEMBRE</t>
        </is>
      </c>
      <c r="G1287" s="1" t="inlineStr">
        <is>
          <t>NANCY</t>
        </is>
      </c>
      <c r="H1287" s="1" t="inlineStr">
        <is>
          <t>NANCY 03/12/2025</t>
        </is>
      </c>
      <c r="I1287" s="4" t="n">
        <v>2</v>
      </c>
      <c r="J1287" s="6" t="n">
        <v>6.59</v>
      </c>
      <c r="K1287" s="6" t="n">
        <v>155.8979258</v>
      </c>
      <c r="L1287" s="6">
        <f>I1287*K1287</f>
        <v/>
      </c>
      <c r="M1287" s="6">
        <f>K1287*4</f>
        <v/>
      </c>
      <c r="N1287" s="6" t="n">
        <v>699</v>
      </c>
    </row>
    <row r="1288">
      <c r="A1288" s="1" t="inlineStr">
        <is>
          <t>42951540310156</t>
        </is>
      </c>
      <c r="B1288" s="1" t="inlineStr">
        <is>
          <t>ARRACADAS GC SILVER</t>
        </is>
      </c>
      <c r="C1288" s="1" t="inlineStr">
        <is>
          <t>Default Title</t>
        </is>
      </c>
      <c r="D1288" s="1" t="inlineStr">
        <is>
          <t>31/05/2026</t>
        </is>
      </c>
      <c r="E1288" s="1" t="n">
        <v>2026</v>
      </c>
      <c r="F1288" s="1" t="inlineStr">
        <is>
          <t>MAYO</t>
        </is>
      </c>
      <c r="G1288" s="1" t="inlineStr">
        <is>
          <t>NANCY</t>
        </is>
      </c>
      <c r="H1288" s="1" t="inlineStr">
        <is>
          <t>NANCY 31/05/2026</t>
        </is>
      </c>
      <c r="I1288" s="4" t="n">
        <v>2</v>
      </c>
      <c r="J1288" s="6" t="n">
        <v>6.29</v>
      </c>
      <c r="K1288" s="6" t="n">
        <v>152.6431393</v>
      </c>
      <c r="L1288" s="6">
        <f>I1288*K1288</f>
        <v/>
      </c>
      <c r="M1288" s="6">
        <f>K1288*4</f>
        <v/>
      </c>
      <c r="N1288" s="6" t="n">
        <v>699</v>
      </c>
    </row>
    <row r="1289">
      <c r="A1289" s="1" t="inlineStr">
        <is>
          <t>42951547486348</t>
        </is>
      </c>
      <c r="B1289" s="1" t="inlineStr">
        <is>
          <t>ANILLO CD REVOLUTION</t>
        </is>
      </c>
      <c r="C1289" s="1" t="n">
        <v>8</v>
      </c>
      <c r="D1289" s="1" t="inlineStr">
        <is>
          <t>06/09/2025</t>
        </is>
      </c>
      <c r="E1289" s="1" t="n">
        <v>2025</v>
      </c>
      <c r="F1289" s="1" t="inlineStr">
        <is>
          <t>SEPTIEMBRE</t>
        </is>
      </c>
      <c r="G1289" s="1" t="inlineStr">
        <is>
          <t>NANCY</t>
        </is>
      </c>
      <c r="H1289" s="1" t="inlineStr">
        <is>
          <t>NANCY 06/09/2025</t>
        </is>
      </c>
      <c r="I1289" s="4" t="n">
        <v>2</v>
      </c>
      <c r="J1289" s="6" t="n">
        <v>3.49</v>
      </c>
      <c r="K1289" s="6" t="n">
        <v>81.26695195000001</v>
      </c>
      <c r="L1289" s="6">
        <f>I1289*K1289</f>
        <v/>
      </c>
      <c r="M1289" s="6">
        <f>K1289*4</f>
        <v/>
      </c>
      <c r="N1289" s="6" t="n">
        <v>499</v>
      </c>
    </row>
    <row r="1290">
      <c r="A1290" s="1" t="inlineStr">
        <is>
          <t>42951547486348</t>
        </is>
      </c>
      <c r="B1290" s="1" t="inlineStr">
        <is>
          <t>ANILLO CD REVOLUTION</t>
        </is>
      </c>
      <c r="C1290" s="1" t="n">
        <v>8</v>
      </c>
      <c r="D1290" s="1" t="inlineStr">
        <is>
          <t>08/05/2026</t>
        </is>
      </c>
      <c r="E1290" s="1" t="n">
        <v>2026</v>
      </c>
      <c r="F1290" s="1" t="inlineStr">
        <is>
          <t>MAYO</t>
        </is>
      </c>
      <c r="G1290" s="1" t="inlineStr">
        <is>
          <t>NANCY</t>
        </is>
      </c>
      <c r="H1290" s="1" t="inlineStr">
        <is>
          <t>NANCY 08/05/2026</t>
        </is>
      </c>
      <c r="I1290" s="4" t="n">
        <v>3</v>
      </c>
      <c r="J1290" s="6" t="n">
        <v>5.59</v>
      </c>
      <c r="K1290" s="6" t="n">
        <v>132.2468818</v>
      </c>
      <c r="L1290" s="6">
        <f>I1290*K1290</f>
        <v/>
      </c>
      <c r="M1290" s="6">
        <f>K1290*4</f>
        <v/>
      </c>
      <c r="N1290" s="6" t="n">
        <v>499</v>
      </c>
    </row>
    <row r="1291">
      <c r="A1291" s="1" t="inlineStr">
        <is>
          <t>42981553012876</t>
        </is>
      </c>
      <c r="B1291" s="1" t="inlineStr">
        <is>
          <t>ARETES ESSENTIAL LV GOLD</t>
        </is>
      </c>
      <c r="C1291" s="1" t="inlineStr">
        <is>
          <t>Default Title</t>
        </is>
      </c>
      <c r="D1291" s="1" t="inlineStr">
        <is>
          <t>06/09/2025</t>
        </is>
      </c>
      <c r="E1291" s="1" t="n">
        <v>2025</v>
      </c>
      <c r="F1291" s="1" t="inlineStr">
        <is>
          <t>SEPTIEMBRE</t>
        </is>
      </c>
      <c r="G1291" s="1" t="inlineStr">
        <is>
          <t>NANCY</t>
        </is>
      </c>
      <c r="H1291" s="1" t="inlineStr">
        <is>
          <t>NANCY 06/09/2025</t>
        </is>
      </c>
      <c r="I1291" s="4" t="n">
        <v>1</v>
      </c>
      <c r="J1291" s="6" t="n">
        <v>4.19</v>
      </c>
      <c r="K1291" s="6" t="n">
        <v>97.56691366</v>
      </c>
      <c r="L1291" s="6">
        <f>I1291*K1291</f>
        <v/>
      </c>
      <c r="M1291" s="6">
        <f>K1291*4</f>
        <v/>
      </c>
      <c r="N1291" s="6" t="n">
        <v>499</v>
      </c>
    </row>
    <row r="1292">
      <c r="A1292" s="1" t="inlineStr">
        <is>
          <t>42981553012876</t>
        </is>
      </c>
      <c r="B1292" s="1" t="inlineStr">
        <is>
          <t>ARETES ESSENTIAL LV GOLD</t>
        </is>
      </c>
      <c r="C1292" s="1" t="inlineStr">
        <is>
          <t>Default Title</t>
        </is>
      </c>
      <c r="D1292" s="1" t="inlineStr">
        <is>
          <t>03/12/2025</t>
        </is>
      </c>
      <c r="E1292" s="1" t="n">
        <v>2025</v>
      </c>
      <c r="F1292" s="1" t="inlineStr">
        <is>
          <t>DICIEMBRE</t>
        </is>
      </c>
      <c r="G1292" s="1" t="inlineStr">
        <is>
          <t>NANCY</t>
        </is>
      </c>
      <c r="H1292" s="1" t="inlineStr">
        <is>
          <t>NANCY 03/12/2025</t>
        </is>
      </c>
      <c r="I1292" s="4" t="n">
        <v>3</v>
      </c>
      <c r="J1292" s="6" t="n">
        <v>5.59</v>
      </c>
      <c r="K1292" s="6" t="n">
        <v>132.2411844</v>
      </c>
      <c r="L1292" s="6">
        <f>I1292*K1292</f>
        <v/>
      </c>
      <c r="M1292" s="6">
        <f>K1292*4</f>
        <v/>
      </c>
      <c r="N1292" s="6" t="n">
        <v>499</v>
      </c>
    </row>
    <row r="1293">
      <c r="A1293" s="1" t="inlineStr">
        <is>
          <t>42981553012876</t>
        </is>
      </c>
      <c r="B1293" s="1" t="inlineStr">
        <is>
          <t>ARETES ESSENTIAL LV GOLD</t>
        </is>
      </c>
      <c r="C1293" s="1" t="inlineStr">
        <is>
          <t>Default Title</t>
        </is>
      </c>
      <c r="D1293" s="1" t="inlineStr">
        <is>
          <t>01/03/2026</t>
        </is>
      </c>
      <c r="E1293" s="1" t="n">
        <v>2026</v>
      </c>
      <c r="F1293" s="1" t="inlineStr">
        <is>
          <t>MARZO</t>
        </is>
      </c>
      <c r="G1293" s="1" t="inlineStr">
        <is>
          <t>NANCY</t>
        </is>
      </c>
      <c r="H1293" s="1" t="inlineStr">
        <is>
          <t>NANCY 01/03/2026</t>
        </is>
      </c>
      <c r="I1293" s="4" t="n">
        <v>4</v>
      </c>
      <c r="J1293" s="6" t="n">
        <v>5.59</v>
      </c>
      <c r="K1293" s="6" t="n">
        <v>141.4477855</v>
      </c>
      <c r="L1293" s="6">
        <f>I1293*K1293</f>
        <v/>
      </c>
      <c r="M1293" s="6">
        <f>K1293*4</f>
        <v/>
      </c>
      <c r="N1293" s="6" t="n">
        <v>499</v>
      </c>
    </row>
    <row r="1294">
      <c r="A1294" s="1" t="inlineStr">
        <is>
          <t>42981553012876</t>
        </is>
      </c>
      <c r="B1294" s="1" t="inlineStr">
        <is>
          <t>ARETES ESSENTIAL LV GOLD</t>
        </is>
      </c>
      <c r="C1294" s="1" t="inlineStr">
        <is>
          <t>Default Title</t>
        </is>
      </c>
      <c r="D1294" s="1" t="inlineStr">
        <is>
          <t>01/04/2026</t>
        </is>
      </c>
      <c r="E1294" s="1" t="n">
        <v>2026</v>
      </c>
      <c r="F1294" s="1" t="inlineStr">
        <is>
          <t>ABRIL</t>
        </is>
      </c>
      <c r="G1294" s="1" t="inlineStr">
        <is>
          <t>NANCY</t>
        </is>
      </c>
      <c r="H1294" s="1" t="inlineStr">
        <is>
          <t>NANCY 01/04/2026</t>
        </is>
      </c>
      <c r="I1294" s="4" t="n">
        <v>2</v>
      </c>
      <c r="J1294" s="6" t="n">
        <v>5.59</v>
      </c>
      <c r="K1294" s="6" t="n">
        <v>133.8274486</v>
      </c>
      <c r="L1294" s="6">
        <f>I1294*K1294</f>
        <v/>
      </c>
      <c r="M1294" s="6">
        <f>K1294*4</f>
        <v/>
      </c>
      <c r="N1294" s="6" t="n">
        <v>499</v>
      </c>
    </row>
    <row r="1295">
      <c r="A1295" s="1" t="inlineStr">
        <is>
          <t>42981553012876</t>
        </is>
      </c>
      <c r="B1295" s="1" t="inlineStr">
        <is>
          <t>ARETES ESSENTIAL LV GOLD</t>
        </is>
      </c>
      <c r="C1295" s="1" t="inlineStr">
        <is>
          <t>Default Title</t>
        </is>
      </c>
      <c r="D1295" s="1" t="inlineStr">
        <is>
          <t>08/05/2026</t>
        </is>
      </c>
      <c r="E1295" s="1" t="n">
        <v>2026</v>
      </c>
      <c r="F1295" s="1" t="inlineStr">
        <is>
          <t>MAYO</t>
        </is>
      </c>
      <c r="G1295" s="1" t="inlineStr">
        <is>
          <t>NANCY</t>
        </is>
      </c>
      <c r="H1295" s="1" t="inlineStr">
        <is>
          <t>NANCY 08/05/2026</t>
        </is>
      </c>
      <c r="I1295" s="4" t="n">
        <v>2</v>
      </c>
      <c r="J1295" s="6" t="n">
        <v>5.59</v>
      </c>
      <c r="K1295" s="6" t="n">
        <v>132.2468818</v>
      </c>
      <c r="L1295" s="6">
        <f>I1295*K1295</f>
        <v/>
      </c>
      <c r="M1295" s="6">
        <f>K1295*4</f>
        <v/>
      </c>
      <c r="N1295" s="6" t="n">
        <v>499</v>
      </c>
    </row>
    <row r="1296">
      <c r="A1296" s="1" t="inlineStr">
        <is>
          <t>42981553012876</t>
        </is>
      </c>
      <c r="B1296" s="1" t="inlineStr">
        <is>
          <t>ARETES ESSENTIAL LV GOLD</t>
        </is>
      </c>
      <c r="C1296" s="1" t="inlineStr">
        <is>
          <t>Default Title</t>
        </is>
      </c>
      <c r="D1296" s="1" t="inlineStr">
        <is>
          <t>31/05/2026</t>
        </is>
      </c>
      <c r="E1296" s="1" t="n">
        <v>2026</v>
      </c>
      <c r="F1296" s="1" t="inlineStr">
        <is>
          <t>MAYO</t>
        </is>
      </c>
      <c r="G1296" s="1" t="inlineStr">
        <is>
          <t>NANCY</t>
        </is>
      </c>
      <c r="H1296" s="1" t="inlineStr">
        <is>
          <t>NANCY 31/05/2026</t>
        </is>
      </c>
      <c r="I1296" s="4" t="n">
        <v>4</v>
      </c>
      <c r="J1296" s="6" t="n">
        <v>5.59</v>
      </c>
      <c r="K1296" s="6" t="n">
        <v>135.6558265</v>
      </c>
      <c r="L1296" s="6">
        <f>I1296*K1296</f>
        <v/>
      </c>
      <c r="M1296" s="6">
        <f>K1296*4</f>
        <v/>
      </c>
      <c r="N1296" s="6" t="n">
        <v>499</v>
      </c>
    </row>
    <row r="1297">
      <c r="A1297" s="1" t="inlineStr">
        <is>
          <t>42981569396876</t>
        </is>
      </c>
      <c r="B1297" s="1" t="inlineStr">
        <is>
          <t>ARETES ESSENTIAL LV SILVER</t>
        </is>
      </c>
      <c r="C1297" s="1" t="inlineStr">
        <is>
          <t>Default Title</t>
        </is>
      </c>
      <c r="D1297" s="1" t="inlineStr">
        <is>
          <t>01/03/2026</t>
        </is>
      </c>
      <c r="E1297" s="1" t="n">
        <v>2026</v>
      </c>
      <c r="F1297" s="1" t="inlineStr">
        <is>
          <t>MARZO</t>
        </is>
      </c>
      <c r="G1297" s="1" t="inlineStr">
        <is>
          <t>NANCY</t>
        </is>
      </c>
      <c r="H1297" s="1" t="inlineStr">
        <is>
          <t>NANCY 01/03/2026</t>
        </is>
      </c>
      <c r="I1297" s="4" t="n">
        <v>3</v>
      </c>
      <c r="J1297" s="6" t="n">
        <v>5.59</v>
      </c>
      <c r="K1297" s="6" t="n">
        <v>141.4477855</v>
      </c>
      <c r="L1297" s="6">
        <f>I1297*K1297</f>
        <v/>
      </c>
      <c r="M1297" s="6">
        <f>K1297*4</f>
        <v/>
      </c>
      <c r="N1297" s="6" t="n">
        <v>499</v>
      </c>
    </row>
    <row r="1298">
      <c r="A1298" s="1" t="inlineStr">
        <is>
          <t>42981569396876</t>
        </is>
      </c>
      <c r="B1298" s="1" t="inlineStr">
        <is>
          <t>ARETES ESSENTIAL LV SILVER</t>
        </is>
      </c>
      <c r="C1298" s="1" t="inlineStr">
        <is>
          <t>Default Title</t>
        </is>
      </c>
      <c r="D1298" s="1" t="inlineStr">
        <is>
          <t>01/04/2026</t>
        </is>
      </c>
      <c r="E1298" s="1" t="n">
        <v>2026</v>
      </c>
      <c r="F1298" s="1" t="inlineStr">
        <is>
          <t>ABRIL</t>
        </is>
      </c>
      <c r="G1298" s="1" t="inlineStr">
        <is>
          <t>NANCY</t>
        </is>
      </c>
      <c r="H1298" s="1" t="inlineStr">
        <is>
          <t>NANCY 01/04/2026</t>
        </is>
      </c>
      <c r="I1298" s="4" t="n">
        <v>5</v>
      </c>
      <c r="J1298" s="6" t="n">
        <v>5.59</v>
      </c>
      <c r="K1298" s="6" t="n">
        <v>133.8274486</v>
      </c>
      <c r="L1298" s="6">
        <f>I1298*K1298</f>
        <v/>
      </c>
      <c r="M1298" s="6">
        <f>K1298*4</f>
        <v/>
      </c>
      <c r="N1298" s="6" t="n">
        <v>499</v>
      </c>
    </row>
    <row r="1299">
      <c r="A1299" s="1" t="inlineStr">
        <is>
          <t>42981569396876</t>
        </is>
      </c>
      <c r="B1299" s="1" t="inlineStr">
        <is>
          <t>ARETES ESSENTIAL LV SILVER</t>
        </is>
      </c>
      <c r="C1299" s="1" t="inlineStr">
        <is>
          <t>Default Title</t>
        </is>
      </c>
      <c r="D1299" s="1" t="inlineStr">
        <is>
          <t>08/05/2026</t>
        </is>
      </c>
      <c r="E1299" s="1" t="n">
        <v>2026</v>
      </c>
      <c r="F1299" s="1" t="inlineStr">
        <is>
          <t>MAYO</t>
        </is>
      </c>
      <c r="G1299" s="1" t="inlineStr">
        <is>
          <t>NANCY</t>
        </is>
      </c>
      <c r="H1299" s="1" t="inlineStr">
        <is>
          <t>NANCY 08/05/2026</t>
        </is>
      </c>
      <c r="I1299" s="4" t="n">
        <v>6</v>
      </c>
      <c r="J1299" s="6" t="n">
        <v>5.59</v>
      </c>
      <c r="K1299" s="6" t="n">
        <v>132.2468818</v>
      </c>
      <c r="L1299" s="6">
        <f>I1299*K1299</f>
        <v/>
      </c>
      <c r="M1299" s="6">
        <f>K1299*4</f>
        <v/>
      </c>
      <c r="N1299" s="6" t="n">
        <v>499</v>
      </c>
    </row>
    <row r="1300">
      <c r="A1300" s="1" t="inlineStr">
        <is>
          <t>42981580832908</t>
        </is>
      </c>
      <c r="B1300" s="1" t="inlineStr">
        <is>
          <t>ANILLO LV VOLT MULTI</t>
        </is>
      </c>
      <c r="C1300" s="1" t="inlineStr">
        <is>
          <t>Default Title</t>
        </is>
      </c>
      <c r="D1300" s="1" t="inlineStr">
        <is>
          <t>01/03/2026</t>
        </is>
      </c>
      <c r="E1300" s="1" t="n">
        <v>2026</v>
      </c>
      <c r="F1300" s="1" t="inlineStr">
        <is>
          <t>MARZO</t>
        </is>
      </c>
      <c r="G1300" s="1" t="inlineStr">
        <is>
          <t>NANCY</t>
        </is>
      </c>
      <c r="H1300" s="1" t="inlineStr">
        <is>
          <t>NANCY 01/03/2026</t>
        </is>
      </c>
      <c r="I1300" s="4" t="n">
        <v>2</v>
      </c>
      <c r="J1300" s="6" t="n">
        <v>5.59</v>
      </c>
      <c r="K1300" s="6" t="n">
        <v>141.4477855</v>
      </c>
      <c r="L1300" s="6">
        <f>I1300*K1300</f>
        <v/>
      </c>
      <c r="M1300" s="6">
        <f>K1300*4</f>
        <v/>
      </c>
      <c r="N1300" s="6" t="n">
        <v>466</v>
      </c>
    </row>
    <row r="1301">
      <c r="A1301" s="1" t="inlineStr">
        <is>
          <t>42981601575052</t>
        </is>
      </c>
      <c r="B1301" s="1" t="inlineStr">
        <is>
          <t>ANILLO ESSENTIAL V PERLE</t>
        </is>
      </c>
      <c r="C1301" s="1" t="inlineStr">
        <is>
          <t>Default Title</t>
        </is>
      </c>
      <c r="D1301" s="1" t="inlineStr">
        <is>
          <t>06/09/2025</t>
        </is>
      </c>
      <c r="E1301" s="1" t="n">
        <v>2025</v>
      </c>
      <c r="F1301" s="1" t="inlineStr">
        <is>
          <t>SEPTIEMBRE</t>
        </is>
      </c>
      <c r="G1301" s="1" t="inlineStr">
        <is>
          <t>NANCY</t>
        </is>
      </c>
      <c r="H1301" s="1" t="inlineStr">
        <is>
          <t>NANCY 06/09/2025</t>
        </is>
      </c>
      <c r="I1301" s="4" t="n">
        <v>2</v>
      </c>
      <c r="J1301" s="6" t="n">
        <v>4.99</v>
      </c>
      <c r="K1301" s="6" t="n">
        <v>116.1954413</v>
      </c>
      <c r="L1301" s="6">
        <f>I1301*K1301</f>
        <v/>
      </c>
      <c r="M1301" s="6">
        <f>K1301*4</f>
        <v/>
      </c>
      <c r="N1301" s="6" t="n">
        <v>250</v>
      </c>
    </row>
    <row r="1302">
      <c r="A1302" s="1" t="inlineStr">
        <is>
          <t>42981601575052</t>
        </is>
      </c>
      <c r="B1302" s="1" t="inlineStr">
        <is>
          <t>ANILLO ESSENTIAL V PERLE</t>
        </is>
      </c>
      <c r="C1302" s="1" t="inlineStr">
        <is>
          <t>Default Title</t>
        </is>
      </c>
      <c r="D1302" s="1" t="inlineStr">
        <is>
          <t>09/07/2026</t>
        </is>
      </c>
      <c r="E1302" s="1" t="n">
        <v>2026</v>
      </c>
      <c r="F1302" s="1" t="inlineStr">
        <is>
          <t>JULIO</t>
        </is>
      </c>
      <c r="G1302" s="1" t="inlineStr">
        <is>
          <t>NANCY</t>
        </is>
      </c>
      <c r="H1302" s="1" t="inlineStr">
        <is>
          <t>NANCY 09/07/2026</t>
        </is>
      </c>
      <c r="I1302" s="4" t="n">
        <v>4</v>
      </c>
      <c r="J1302" s="6" t="n">
        <v>5.59</v>
      </c>
      <c r="K1302" s="6" t="n">
        <v>136.2029957</v>
      </c>
      <c r="L1302" s="6">
        <f>I1302*K1302</f>
        <v/>
      </c>
      <c r="M1302" s="6">
        <f>K1302*4</f>
        <v/>
      </c>
      <c r="N1302" s="6" t="n">
        <v>250</v>
      </c>
    </row>
    <row r="1303">
      <c r="A1303" s="1" t="inlineStr">
        <is>
          <t>42981628018828</t>
        </is>
      </c>
      <c r="B1303" s="1" t="inlineStr">
        <is>
          <t>ANILLO BLOSSOM STAR ROSEGOLD</t>
        </is>
      </c>
      <c r="C1303" s="1" t="inlineStr">
        <is>
          <t>Regular</t>
        </is>
      </c>
      <c r="D1303" s="1" t="inlineStr">
        <is>
          <t>06/09/2025</t>
        </is>
      </c>
      <c r="E1303" s="1" t="n">
        <v>2025</v>
      </c>
      <c r="F1303" s="1" t="inlineStr">
        <is>
          <t>SEPTIEMBRE</t>
        </is>
      </c>
      <c r="G1303" s="1" t="inlineStr">
        <is>
          <t>NANCY</t>
        </is>
      </c>
      <c r="H1303" s="1" t="inlineStr">
        <is>
          <t>NANCY 06/09/2025</t>
        </is>
      </c>
      <c r="I1303" s="4" t="n">
        <v>4</v>
      </c>
      <c r="J1303" s="6" t="n">
        <v>4.99</v>
      </c>
      <c r="K1303" s="6" t="n">
        <v>116.1954413</v>
      </c>
      <c r="L1303" s="6">
        <f>I1303*K1303</f>
        <v/>
      </c>
      <c r="M1303" s="6">
        <f>K1303*4</f>
        <v/>
      </c>
      <c r="N1303" s="6" t="n">
        <v>479</v>
      </c>
    </row>
    <row r="1304">
      <c r="A1304" s="1" t="inlineStr">
        <is>
          <t>42981628018828</t>
        </is>
      </c>
      <c r="B1304" s="1" t="inlineStr">
        <is>
          <t>ANILLO BLOSSOM STAR ROSEGOLD</t>
        </is>
      </c>
      <c r="C1304" s="1" t="inlineStr">
        <is>
          <t>Regular</t>
        </is>
      </c>
      <c r="D1304" s="1" t="inlineStr">
        <is>
          <t>01/04/2026</t>
        </is>
      </c>
      <c r="E1304" s="1" t="n">
        <v>2026</v>
      </c>
      <c r="F1304" s="1" t="inlineStr">
        <is>
          <t>ABRIL</t>
        </is>
      </c>
      <c r="G1304" s="1" t="inlineStr">
        <is>
          <t>NANCY</t>
        </is>
      </c>
      <c r="H1304" s="1" t="inlineStr">
        <is>
          <t>NANCY 01/04/2026</t>
        </is>
      </c>
      <c r="I1304" s="4" t="n">
        <v>3</v>
      </c>
      <c r="J1304" s="6" t="n">
        <v>2.3</v>
      </c>
      <c r="K1304" s="6" t="n">
        <v>55.06317204</v>
      </c>
      <c r="L1304" s="6">
        <f>I1304*K1304</f>
        <v/>
      </c>
      <c r="M1304" s="6">
        <f>K1304*4</f>
        <v/>
      </c>
      <c r="N1304" s="6" t="n">
        <v>479</v>
      </c>
    </row>
    <row r="1305">
      <c r="A1305" s="1" t="inlineStr">
        <is>
          <t>42981628018828</t>
        </is>
      </c>
      <c r="B1305" s="1" t="inlineStr">
        <is>
          <t>ANILLO BLOSSOM STAR ROSEGOLD</t>
        </is>
      </c>
      <c r="C1305" s="1" t="inlineStr">
        <is>
          <t>Regular</t>
        </is>
      </c>
      <c r="D1305" s="1" t="inlineStr">
        <is>
          <t>08/05/2026</t>
        </is>
      </c>
      <c r="E1305" s="1" t="n">
        <v>2026</v>
      </c>
      <c r="F1305" s="1" t="inlineStr">
        <is>
          <t>MAYO</t>
        </is>
      </c>
      <c r="G1305" s="1" t="inlineStr">
        <is>
          <t>NANCY</t>
        </is>
      </c>
      <c r="H1305" s="1" t="inlineStr">
        <is>
          <t>NANCY 08/05/2026</t>
        </is>
      </c>
      <c r="I1305" s="4" t="n">
        <v>3</v>
      </c>
      <c r="J1305" s="6" t="n">
        <v>5.59</v>
      </c>
      <c r="K1305" s="6" t="n">
        <v>132.2468818</v>
      </c>
      <c r="L1305" s="6">
        <f>I1305*K1305</f>
        <v/>
      </c>
      <c r="M1305" s="6">
        <f>K1305*4</f>
        <v/>
      </c>
      <c r="N1305" s="6" t="n">
        <v>479</v>
      </c>
    </row>
    <row r="1306">
      <c r="A1306" s="1" t="inlineStr">
        <is>
          <t>42981640208524</t>
        </is>
      </c>
      <c r="B1306" s="1" t="inlineStr">
        <is>
          <t>ARETES CD GOLD CON PERLA COLGANTE</t>
        </is>
      </c>
      <c r="C1306" s="1" t="inlineStr">
        <is>
          <t>Default Title</t>
        </is>
      </c>
      <c r="D1306" s="1" t="inlineStr">
        <is>
          <t>06/09/2025</t>
        </is>
      </c>
      <c r="E1306" s="1" t="n">
        <v>2025</v>
      </c>
      <c r="F1306" s="1" t="inlineStr">
        <is>
          <t>SEPTIEMBRE</t>
        </is>
      </c>
      <c r="G1306" s="1" t="inlineStr">
        <is>
          <t>NANCY</t>
        </is>
      </c>
      <c r="H1306" s="1" t="inlineStr">
        <is>
          <t>NANCY 06/09/2025</t>
        </is>
      </c>
      <c r="I1306" s="4" t="n">
        <v>3</v>
      </c>
      <c r="J1306" s="6" t="n">
        <v>4.49</v>
      </c>
      <c r="K1306" s="6" t="n">
        <v>104.5526115</v>
      </c>
      <c r="L1306" s="6">
        <f>I1306*K1306</f>
        <v/>
      </c>
      <c r="M1306" s="6">
        <f>K1306*4</f>
        <v/>
      </c>
      <c r="N1306" s="6" t="n">
        <v>466</v>
      </c>
    </row>
    <row r="1307">
      <c r="A1307" s="1" t="inlineStr">
        <is>
          <t>42981640208524</t>
        </is>
      </c>
      <c r="B1307" s="1" t="inlineStr">
        <is>
          <t>ARETES CD GOLD CON PERLA COLGANTE</t>
        </is>
      </c>
      <c r="C1307" s="1" t="inlineStr">
        <is>
          <t>Default Title</t>
        </is>
      </c>
      <c r="D1307" s="1" t="inlineStr">
        <is>
          <t>03/12/2025</t>
        </is>
      </c>
      <c r="E1307" s="1" t="n">
        <v>2025</v>
      </c>
      <c r="F1307" s="1" t="inlineStr">
        <is>
          <t>DICIEMBRE</t>
        </is>
      </c>
      <c r="G1307" s="1" t="inlineStr">
        <is>
          <t>NANCY</t>
        </is>
      </c>
      <c r="H1307" s="1" t="inlineStr">
        <is>
          <t>NANCY 03/12/2025</t>
        </is>
      </c>
      <c r="I1307" s="4" t="n">
        <v>3</v>
      </c>
      <c r="J1307" s="6" t="n">
        <v>4.49</v>
      </c>
      <c r="K1307" s="6" t="n">
        <v>106.2187689</v>
      </c>
      <c r="L1307" s="6">
        <f>I1307*K1307</f>
        <v/>
      </c>
      <c r="M1307" s="6">
        <f>K1307*4</f>
        <v/>
      </c>
      <c r="N1307" s="6" t="n">
        <v>466</v>
      </c>
    </row>
    <row r="1308">
      <c r="A1308" s="1" t="inlineStr">
        <is>
          <t>42981640208524</t>
        </is>
      </c>
      <c r="B1308" s="1" t="inlineStr">
        <is>
          <t>ARETES CD GOLD CON PERLA COLGANTE</t>
        </is>
      </c>
      <c r="C1308" s="1" t="inlineStr">
        <is>
          <t>Default Title</t>
        </is>
      </c>
      <c r="D1308" s="1" t="inlineStr">
        <is>
          <t>01/03/2026</t>
        </is>
      </c>
      <c r="E1308" s="1" t="n">
        <v>2026</v>
      </c>
      <c r="F1308" s="1" t="inlineStr">
        <is>
          <t>MARZO</t>
        </is>
      </c>
      <c r="G1308" s="1" t="inlineStr">
        <is>
          <t>NANCY</t>
        </is>
      </c>
      <c r="H1308" s="1" t="inlineStr">
        <is>
          <t>NANCY 01/03/2026</t>
        </is>
      </c>
      <c r="I1308" s="4" t="n">
        <v>3</v>
      </c>
      <c r="J1308" s="6" t="n">
        <v>5.59</v>
      </c>
      <c r="K1308" s="6" t="n">
        <v>141.4477855</v>
      </c>
      <c r="L1308" s="6">
        <f>I1308*K1308</f>
        <v/>
      </c>
      <c r="M1308" s="6">
        <f>K1308*4</f>
        <v/>
      </c>
      <c r="N1308" s="6" t="n">
        <v>466</v>
      </c>
    </row>
    <row r="1309">
      <c r="A1309" s="1" t="inlineStr">
        <is>
          <t>42981640208524</t>
        </is>
      </c>
      <c r="B1309" s="1" t="inlineStr">
        <is>
          <t>ARETES CD GOLD CON PERLA COLGANTE</t>
        </is>
      </c>
      <c r="C1309" s="1" t="inlineStr">
        <is>
          <t>Default Title</t>
        </is>
      </c>
      <c r="D1309" s="1" t="inlineStr">
        <is>
          <t>01/04/2026</t>
        </is>
      </c>
      <c r="E1309" s="1" t="n">
        <v>2026</v>
      </c>
      <c r="F1309" s="1" t="inlineStr">
        <is>
          <t>ABRIL</t>
        </is>
      </c>
      <c r="G1309" s="1" t="inlineStr">
        <is>
          <t>NANCY</t>
        </is>
      </c>
      <c r="H1309" s="1" t="inlineStr">
        <is>
          <t>NANCY 01/04/2026</t>
        </is>
      </c>
      <c r="I1309" s="4" t="n">
        <v>10</v>
      </c>
      <c r="J1309" s="6" t="n">
        <v>5.59</v>
      </c>
      <c r="K1309" s="6" t="n">
        <v>133.8274486</v>
      </c>
      <c r="L1309" s="6">
        <f>I1309*K1309</f>
        <v/>
      </c>
      <c r="M1309" s="6">
        <f>K1309*4</f>
        <v/>
      </c>
      <c r="N1309" s="6" t="n">
        <v>466</v>
      </c>
    </row>
    <row r="1310">
      <c r="A1310" s="1" t="inlineStr">
        <is>
          <t>42981640208524</t>
        </is>
      </c>
      <c r="B1310" s="1" t="inlineStr">
        <is>
          <t>ARETES CD GOLD CON PERLA COLGANTE</t>
        </is>
      </c>
      <c r="C1310" s="1" t="inlineStr">
        <is>
          <t>Default Title</t>
        </is>
      </c>
      <c r="D1310" s="1" t="inlineStr">
        <is>
          <t>08/05/2026</t>
        </is>
      </c>
      <c r="E1310" s="1" t="n">
        <v>2026</v>
      </c>
      <c r="F1310" s="1" t="inlineStr">
        <is>
          <t>MAYO</t>
        </is>
      </c>
      <c r="G1310" s="1" t="inlineStr">
        <is>
          <t>NANCY</t>
        </is>
      </c>
      <c r="H1310" s="1" t="inlineStr">
        <is>
          <t>NANCY 08/05/2026</t>
        </is>
      </c>
      <c r="I1310" s="4" t="n">
        <v>4</v>
      </c>
      <c r="J1310" s="6" t="n">
        <v>4.49</v>
      </c>
      <c r="K1310" s="6" t="n">
        <v>106.2233451</v>
      </c>
      <c r="L1310" s="6">
        <f>I1310*K1310</f>
        <v/>
      </c>
      <c r="M1310" s="6">
        <f>K1310*4</f>
        <v/>
      </c>
      <c r="N1310" s="6" t="n">
        <v>466</v>
      </c>
    </row>
    <row r="1311">
      <c r="A1311" s="1" t="inlineStr">
        <is>
          <t>42981640208524</t>
        </is>
      </c>
      <c r="B1311" s="1" t="inlineStr">
        <is>
          <t>ARETES CD GOLD CON PERLA COLGANTE</t>
        </is>
      </c>
      <c r="C1311" s="1" t="inlineStr">
        <is>
          <t>Default Title</t>
        </is>
      </c>
      <c r="D1311" s="1" t="inlineStr">
        <is>
          <t>09/07/2026</t>
        </is>
      </c>
      <c r="E1311" s="1" t="n">
        <v>2026</v>
      </c>
      <c r="F1311" s="1" t="inlineStr">
        <is>
          <t>JULIO</t>
        </is>
      </c>
      <c r="G1311" s="1" t="inlineStr">
        <is>
          <t>NANCY</t>
        </is>
      </c>
      <c r="H1311" s="1" t="inlineStr">
        <is>
          <t>NANCY 09/07/2026</t>
        </is>
      </c>
      <c r="I1311" s="4" t="n">
        <v>8</v>
      </c>
      <c r="J1311" s="6" t="n">
        <v>5.59</v>
      </c>
      <c r="K1311" s="6" t="n">
        <v>136.2029957</v>
      </c>
      <c r="L1311" s="6">
        <f>I1311*K1311</f>
        <v/>
      </c>
      <c r="M1311" s="6">
        <f>K1311*4</f>
        <v/>
      </c>
      <c r="N1311" s="6" t="n">
        <v>466</v>
      </c>
    </row>
    <row r="1312">
      <c r="A1312" s="1" t="inlineStr">
        <is>
          <t>42981773246604</t>
        </is>
      </c>
      <c r="B1312" s="1" t="inlineStr">
        <is>
          <t>ANILLO PANTHERE GOLD</t>
        </is>
      </c>
      <c r="C1312" s="1" t="inlineStr">
        <is>
          <t>Regular</t>
        </is>
      </c>
      <c r="D1312" s="1" t="inlineStr">
        <is>
          <t>03/12/2025</t>
        </is>
      </c>
      <c r="E1312" s="1" t="n">
        <v>2025</v>
      </c>
      <c r="F1312" s="1" t="inlineStr">
        <is>
          <t>DICIEMBRE</t>
        </is>
      </c>
      <c r="G1312" s="1" t="inlineStr">
        <is>
          <t>NANCY</t>
        </is>
      </c>
      <c r="H1312" s="1" t="inlineStr">
        <is>
          <t>NANCY 03/12/2025</t>
        </is>
      </c>
      <c r="I1312" s="4" t="n">
        <v>2</v>
      </c>
      <c r="J1312" s="6" t="n">
        <v>5.59</v>
      </c>
      <c r="K1312" s="6" t="n">
        <v>132.2411844</v>
      </c>
      <c r="L1312" s="6">
        <f>I1312*K1312</f>
        <v/>
      </c>
      <c r="M1312" s="6">
        <f>K1312*4</f>
        <v/>
      </c>
      <c r="N1312" s="6" t="n">
        <v>480</v>
      </c>
    </row>
    <row r="1313">
      <c r="A1313" s="1" t="inlineStr">
        <is>
          <t>42981773246604</t>
        </is>
      </c>
      <c r="B1313" s="1" t="inlineStr">
        <is>
          <t>ANILLO PANTHERE GOLD</t>
        </is>
      </c>
      <c r="C1313" s="1" t="inlineStr">
        <is>
          <t>Regular</t>
        </is>
      </c>
      <c r="D1313" s="1" t="inlineStr">
        <is>
          <t>01/03/2026</t>
        </is>
      </c>
      <c r="E1313" s="1" t="n">
        <v>2026</v>
      </c>
      <c r="F1313" s="1" t="inlineStr">
        <is>
          <t>MARZO</t>
        </is>
      </c>
      <c r="G1313" s="1" t="inlineStr">
        <is>
          <t>NANCY</t>
        </is>
      </c>
      <c r="H1313" s="1" t="inlineStr">
        <is>
          <t>NANCY 01/03/2026</t>
        </is>
      </c>
      <c r="I1313" s="4" t="n">
        <v>3</v>
      </c>
      <c r="J1313" s="6" t="n">
        <v>5.59</v>
      </c>
      <c r="K1313" s="6" t="n">
        <v>141.4477855</v>
      </c>
      <c r="L1313" s="6">
        <f>I1313*K1313</f>
        <v/>
      </c>
      <c r="M1313" s="6">
        <f>K1313*4</f>
        <v/>
      </c>
      <c r="N1313" s="6" t="n">
        <v>480</v>
      </c>
    </row>
    <row r="1314">
      <c r="A1314" s="1" t="inlineStr">
        <is>
          <t>42981773246604</t>
        </is>
      </c>
      <c r="B1314" s="1" t="inlineStr">
        <is>
          <t>ANILLO PANTHERE GOLD</t>
        </is>
      </c>
      <c r="C1314" s="1" t="inlineStr">
        <is>
          <t>Regular</t>
        </is>
      </c>
      <c r="D1314" s="1" t="inlineStr">
        <is>
          <t>31/05/2026</t>
        </is>
      </c>
      <c r="E1314" s="1" t="n">
        <v>2026</v>
      </c>
      <c r="F1314" s="1" t="inlineStr">
        <is>
          <t>MAYO</t>
        </is>
      </c>
      <c r="G1314" s="1" t="inlineStr">
        <is>
          <t>NANCY</t>
        </is>
      </c>
      <c r="H1314" s="1" t="inlineStr">
        <is>
          <t>NANCY 31/05/2026</t>
        </is>
      </c>
      <c r="I1314" s="4" t="n">
        <v>1</v>
      </c>
      <c r="J1314" s="6" t="n">
        <v>5.59</v>
      </c>
      <c r="K1314" s="6" t="n">
        <v>135.6558265</v>
      </c>
      <c r="L1314" s="6">
        <f>I1314*K1314</f>
        <v/>
      </c>
      <c r="M1314" s="6">
        <f>K1314*4</f>
        <v/>
      </c>
      <c r="N1314" s="6" t="n">
        <v>480</v>
      </c>
    </row>
    <row r="1315">
      <c r="A1315" s="1" t="inlineStr">
        <is>
          <t>42981773246604</t>
        </is>
      </c>
      <c r="B1315" s="1" t="inlineStr">
        <is>
          <t>ANILLO PANTHERE GOLD</t>
        </is>
      </c>
      <c r="C1315" s="1" t="inlineStr">
        <is>
          <t>Regular</t>
        </is>
      </c>
      <c r="D1315" s="1" t="inlineStr">
        <is>
          <t>09/07/2026</t>
        </is>
      </c>
      <c r="E1315" s="1" t="n">
        <v>2026</v>
      </c>
      <c r="F1315" s="1" t="inlineStr">
        <is>
          <t>JULIO</t>
        </is>
      </c>
      <c r="G1315" s="1" t="inlineStr">
        <is>
          <t>NANCY</t>
        </is>
      </c>
      <c r="H1315" s="1" t="inlineStr">
        <is>
          <t>NANCY 09/07/2026</t>
        </is>
      </c>
      <c r="I1315" s="4" t="n">
        <v>3</v>
      </c>
      <c r="J1315" s="6" t="n">
        <v>7.29</v>
      </c>
      <c r="K1315" s="6" t="n">
        <v>177.6243003</v>
      </c>
      <c r="L1315" s="6">
        <f>I1315*K1315</f>
        <v/>
      </c>
      <c r="M1315" s="6">
        <f>K1315*4</f>
        <v/>
      </c>
      <c r="N1315" s="6" t="n">
        <v>480</v>
      </c>
    </row>
    <row r="1316">
      <c r="A1316" s="1" t="inlineStr">
        <is>
          <t>42981806637196</t>
        </is>
      </c>
      <c r="B1316" s="1" t="inlineStr">
        <is>
          <t>ANILLO PANTHERE SILVER</t>
        </is>
      </c>
      <c r="C1316" s="1" t="inlineStr">
        <is>
          <t>Default Title</t>
        </is>
      </c>
      <c r="D1316" s="1" t="inlineStr">
        <is>
          <t>01/04/2026</t>
        </is>
      </c>
      <c r="E1316" s="1" t="n">
        <v>2026</v>
      </c>
      <c r="F1316" s="1" t="inlineStr">
        <is>
          <t>ABRIL</t>
        </is>
      </c>
      <c r="G1316" s="1" t="inlineStr">
        <is>
          <t>NANCY</t>
        </is>
      </c>
      <c r="H1316" s="1" t="inlineStr">
        <is>
          <t>NANCY 01/04/2026</t>
        </is>
      </c>
      <c r="I1316" s="4" t="n">
        <v>1</v>
      </c>
      <c r="J1316" s="6" t="n">
        <v>5.59</v>
      </c>
      <c r="K1316" s="6" t="n">
        <v>133.8274486</v>
      </c>
      <c r="L1316" s="6">
        <f>I1316*K1316</f>
        <v/>
      </c>
      <c r="M1316" s="6">
        <f>K1316*4</f>
        <v/>
      </c>
      <c r="N1316" s="6" t="n">
        <v>499</v>
      </c>
    </row>
    <row r="1317">
      <c r="A1317" s="1" t="inlineStr">
        <is>
          <t>42981806637196</t>
        </is>
      </c>
      <c r="B1317" s="1" t="inlineStr">
        <is>
          <t>ANILLO PANTHERE SILVER</t>
        </is>
      </c>
      <c r="C1317" s="1" t="inlineStr">
        <is>
          <t>Default Title</t>
        </is>
      </c>
      <c r="D1317" s="1" t="inlineStr">
        <is>
          <t>08/05/2026</t>
        </is>
      </c>
      <c r="E1317" s="1" t="n">
        <v>2026</v>
      </c>
      <c r="F1317" s="1" t="inlineStr">
        <is>
          <t>MAYO</t>
        </is>
      </c>
      <c r="G1317" s="1" t="inlineStr">
        <is>
          <t>NANCY</t>
        </is>
      </c>
      <c r="H1317" s="1" t="inlineStr">
        <is>
          <t>NANCY 08/05/2026</t>
        </is>
      </c>
      <c r="I1317" s="4" t="n">
        <v>2</v>
      </c>
      <c r="J1317" s="6" t="n">
        <v>5.59</v>
      </c>
      <c r="K1317" s="6" t="n">
        <v>132.2468818</v>
      </c>
      <c r="L1317" s="6">
        <f>I1317*K1317</f>
        <v/>
      </c>
      <c r="M1317" s="6">
        <f>K1317*4</f>
        <v/>
      </c>
      <c r="N1317" s="6" t="n">
        <v>499</v>
      </c>
    </row>
    <row r="1318">
      <c r="A1318" s="1" t="inlineStr">
        <is>
          <t>42981825511564</t>
        </is>
      </c>
      <c r="B1318" s="1" t="inlineStr">
        <is>
          <t>COLLAR LOCK CON ZIRCONIAS GOLD SILVER</t>
        </is>
      </c>
      <c r="C1318" s="1" t="inlineStr">
        <is>
          <t>Default Title</t>
        </is>
      </c>
      <c r="D1318" s="1" t="inlineStr">
        <is>
          <t>01/03/2026</t>
        </is>
      </c>
      <c r="E1318" s="1" t="n">
        <v>2026</v>
      </c>
      <c r="F1318" s="1" t="inlineStr">
        <is>
          <t>MARZO</t>
        </is>
      </c>
      <c r="G1318" s="1" t="inlineStr">
        <is>
          <t>NANCY</t>
        </is>
      </c>
      <c r="H1318" s="1" t="inlineStr">
        <is>
          <t>NANCY 01/03/2026</t>
        </is>
      </c>
      <c r="I1318" s="4" t="n">
        <v>3</v>
      </c>
      <c r="J1318" s="6" t="n">
        <v>8.59</v>
      </c>
      <c r="K1318" s="6" t="n">
        <v>217.3589405</v>
      </c>
      <c r="L1318" s="6">
        <f>I1318*K1318</f>
        <v/>
      </c>
      <c r="M1318" s="6">
        <f>K1318*4</f>
        <v/>
      </c>
      <c r="N1318" s="6" t="n">
        <v>750</v>
      </c>
    </row>
    <row r="1319">
      <c r="A1319" s="1" t="inlineStr">
        <is>
          <t>42981825511564</t>
        </is>
      </c>
      <c r="B1319" s="1" t="inlineStr">
        <is>
          <t>COLLAR LOCK CON ZIRCONIAS GOLD SILVER</t>
        </is>
      </c>
      <c r="C1319" s="1" t="inlineStr">
        <is>
          <t>Default Title</t>
        </is>
      </c>
      <c r="D1319" s="1" t="inlineStr">
        <is>
          <t>01/04/2026</t>
        </is>
      </c>
      <c r="E1319" s="1" t="n">
        <v>2026</v>
      </c>
      <c r="F1319" s="1" t="inlineStr">
        <is>
          <t>ABRIL</t>
        </is>
      </c>
      <c r="G1319" s="1" t="inlineStr">
        <is>
          <t>NANCY</t>
        </is>
      </c>
      <c r="H1319" s="1" t="inlineStr">
        <is>
          <t>NANCY 01/04/2026</t>
        </is>
      </c>
      <c r="I1319" s="4" t="n">
        <v>7</v>
      </c>
      <c r="J1319" s="6" t="n">
        <v>5.59</v>
      </c>
      <c r="K1319" s="6" t="n">
        <v>133.8274486</v>
      </c>
      <c r="L1319" s="6">
        <f>I1319*K1319</f>
        <v/>
      </c>
      <c r="M1319" s="6">
        <f>K1319*4</f>
        <v/>
      </c>
      <c r="N1319" s="6" t="n">
        <v>750</v>
      </c>
    </row>
    <row r="1320">
      <c r="A1320" s="1" t="inlineStr">
        <is>
          <t>42981825511564</t>
        </is>
      </c>
      <c r="B1320" s="1" t="inlineStr">
        <is>
          <t>COLLAR LOCK CON ZIRCONIAS GOLD SILVER</t>
        </is>
      </c>
      <c r="C1320" s="1" t="inlineStr">
        <is>
          <t>Default Title</t>
        </is>
      </c>
      <c r="D1320" s="1" t="inlineStr">
        <is>
          <t>08/05/2026</t>
        </is>
      </c>
      <c r="E1320" s="1" t="n">
        <v>2026</v>
      </c>
      <c r="F1320" s="1" t="inlineStr">
        <is>
          <t>MAYO</t>
        </is>
      </c>
      <c r="G1320" s="1" t="inlineStr">
        <is>
          <t>NANCY</t>
        </is>
      </c>
      <c r="H1320" s="1" t="inlineStr">
        <is>
          <t>NANCY 08/05/2026</t>
        </is>
      </c>
      <c r="I1320" s="4" t="n">
        <v>6</v>
      </c>
      <c r="J1320" s="6" t="n">
        <v>8.59</v>
      </c>
      <c r="K1320" s="6" t="n">
        <v>203.2201637</v>
      </c>
      <c r="L1320" s="6">
        <f>I1320*K1320</f>
        <v/>
      </c>
      <c r="M1320" s="6">
        <f>K1320*4</f>
        <v/>
      </c>
      <c r="N1320" s="6" t="n">
        <v>750</v>
      </c>
    </row>
    <row r="1321">
      <c r="A1321" s="1" t="inlineStr">
        <is>
          <t>42981877514380</t>
        </is>
      </c>
      <c r="B1321" s="1" t="inlineStr">
        <is>
          <t>COLLAR LOCK CON ZIRCONIAS SILVER</t>
        </is>
      </c>
      <c r="C1321" s="1" t="inlineStr">
        <is>
          <t>Default Title</t>
        </is>
      </c>
      <c r="D1321" s="1" t="inlineStr">
        <is>
          <t>31/05/2026</t>
        </is>
      </c>
      <c r="E1321" s="1" t="n">
        <v>2026</v>
      </c>
      <c r="F1321" s="1" t="inlineStr">
        <is>
          <t>MAYO</t>
        </is>
      </c>
      <c r="G1321" s="1" t="inlineStr">
        <is>
          <t>NANCY</t>
        </is>
      </c>
      <c r="H1321" s="1" t="inlineStr">
        <is>
          <t>NANCY 31/05/2026</t>
        </is>
      </c>
      <c r="I1321" s="4" t="n">
        <v>5</v>
      </c>
      <c r="J1321" s="6" t="n">
        <v>8.59</v>
      </c>
      <c r="K1321" s="6" t="n">
        <v>208.4585956</v>
      </c>
      <c r="L1321" s="6">
        <f>I1321*K1321</f>
        <v/>
      </c>
      <c r="M1321" s="6">
        <f>K1321*4</f>
        <v/>
      </c>
      <c r="N1321" s="6" t="n">
        <v>655</v>
      </c>
    </row>
    <row r="1322">
      <c r="A1322" s="1" t="inlineStr">
        <is>
          <t>42981893177484</t>
        </is>
      </c>
      <c r="B1322" s="1" t="inlineStr">
        <is>
          <t>COLLAR LOCK CON ZIRCONIAS ROSEGOLD SILVER</t>
        </is>
      </c>
      <c r="C1322" s="1" t="inlineStr">
        <is>
          <t>Default Title</t>
        </is>
      </c>
      <c r="D1322" s="1" t="inlineStr">
        <is>
          <t>01/03/2026</t>
        </is>
      </c>
      <c r="E1322" s="1" t="n">
        <v>2026</v>
      </c>
      <c r="F1322" s="1" t="inlineStr">
        <is>
          <t>MARZO</t>
        </is>
      </c>
      <c r="G1322" s="1" t="inlineStr">
        <is>
          <t>NANCY</t>
        </is>
      </c>
      <c r="H1322" s="1" t="inlineStr">
        <is>
          <t>NANCY 01/03/2026</t>
        </is>
      </c>
      <c r="I1322" s="4" t="n">
        <v>1</v>
      </c>
      <c r="J1322" s="6" t="n">
        <v>8.59</v>
      </c>
      <c r="K1322" s="6" t="n">
        <v>217.3589405</v>
      </c>
      <c r="L1322" s="6">
        <f>I1322*K1322</f>
        <v/>
      </c>
      <c r="M1322" s="6">
        <f>K1322*4</f>
        <v/>
      </c>
      <c r="N1322" s="6" t="n">
        <v>750</v>
      </c>
    </row>
    <row r="1323">
      <c r="A1323" s="1" t="inlineStr">
        <is>
          <t>42981893177484</t>
        </is>
      </c>
      <c r="B1323" s="1" t="inlineStr">
        <is>
          <t>COLLAR LOCK CON ZIRCONIAS ROSEGOLD SILVER</t>
        </is>
      </c>
      <c r="C1323" s="1" t="inlineStr">
        <is>
          <t>Default Title</t>
        </is>
      </c>
      <c r="D1323" s="1" t="inlineStr">
        <is>
          <t>08/05/2026</t>
        </is>
      </c>
      <c r="E1323" s="1" t="n">
        <v>2026</v>
      </c>
      <c r="F1323" s="1" t="inlineStr">
        <is>
          <t>MAYO</t>
        </is>
      </c>
      <c r="G1323" s="1" t="inlineStr">
        <is>
          <t>NANCY</t>
        </is>
      </c>
      <c r="H1323" s="1" t="inlineStr">
        <is>
          <t>NANCY 08/05/2026</t>
        </is>
      </c>
      <c r="I1323" s="4" t="n">
        <v>3</v>
      </c>
      <c r="J1323" s="6" t="n">
        <v>8.59</v>
      </c>
      <c r="K1323" s="6" t="n">
        <v>203.2201637</v>
      </c>
      <c r="L1323" s="6">
        <f>I1323*K1323</f>
        <v/>
      </c>
      <c r="M1323" s="6">
        <f>K1323*4</f>
        <v/>
      </c>
      <c r="N1323" s="6" t="n">
        <v>750</v>
      </c>
    </row>
    <row r="1324">
      <c r="A1324" s="1" t="inlineStr">
        <is>
          <t>42981908742284</t>
        </is>
      </c>
      <c r="B1324" s="1" t="inlineStr">
        <is>
          <t>SET DE COLLAR Y PULSERA CORAZÓN</t>
        </is>
      </c>
      <c r="C1324" s="1" t="inlineStr">
        <is>
          <t>42 cm / 17 cm</t>
        </is>
      </c>
      <c r="D1324" s="1" t="inlineStr">
        <is>
          <t>03/12/2025</t>
        </is>
      </c>
      <c r="E1324" s="1" t="n">
        <v>2025</v>
      </c>
      <c r="F1324" s="1" t="inlineStr">
        <is>
          <t>DICIEMBRE</t>
        </is>
      </c>
      <c r="G1324" s="1" t="inlineStr">
        <is>
          <t>NANCY</t>
        </is>
      </c>
      <c r="H1324" s="1" t="inlineStr">
        <is>
          <t>NANCY 03/12/2025</t>
        </is>
      </c>
      <c r="I1324" s="4" t="n">
        <v>4</v>
      </c>
      <c r="J1324" s="6" t="n">
        <v>16.98</v>
      </c>
      <c r="K1324" s="6" t="n">
        <v>401.691469</v>
      </c>
      <c r="L1324" s="6">
        <f>I1324*K1324</f>
        <v/>
      </c>
      <c r="M1324" s="6">
        <f>K1324*4</f>
        <v/>
      </c>
      <c r="N1324" s="6" t="n">
        <v>1238</v>
      </c>
    </row>
    <row r="1325">
      <c r="A1325" s="1" t="inlineStr">
        <is>
          <t>42981908742284</t>
        </is>
      </c>
      <c r="B1325" s="1" t="inlineStr">
        <is>
          <t>SET DE COLLAR Y PULSERA CORAZÓN (NECKLACE AND BRACALET)</t>
        </is>
      </c>
      <c r="C1325" s="1" t="inlineStr">
        <is>
          <t>42 cm / 17 cm</t>
        </is>
      </c>
      <c r="D1325" s="1" t="inlineStr">
        <is>
          <t>08/05/2026</t>
        </is>
      </c>
      <c r="E1325" s="1" t="n">
        <v>2026</v>
      </c>
      <c r="F1325" s="1" t="inlineStr">
        <is>
          <t>MAYO</t>
        </is>
      </c>
      <c r="G1325" s="1" t="inlineStr">
        <is>
          <t>NANCY</t>
        </is>
      </c>
      <c r="H1325" s="1" t="inlineStr">
        <is>
          <t>NANCY 08/05/2026</t>
        </is>
      </c>
      <c r="I1325" s="4" t="n">
        <v>8</v>
      </c>
      <c r="J1325" s="6" t="n">
        <v>18.58</v>
      </c>
      <c r="K1325" s="6" t="n">
        <v>439.5611922</v>
      </c>
      <c r="L1325" s="6">
        <f>I1325*K1325</f>
        <v/>
      </c>
      <c r="M1325" s="6">
        <f>K1325*4</f>
        <v/>
      </c>
      <c r="N1325" s="6" t="n">
        <v>1238</v>
      </c>
    </row>
    <row r="1326">
      <c r="A1326" s="1" t="inlineStr">
        <is>
          <t>42981908742285</t>
        </is>
      </c>
      <c r="B1326" s="1" t="inlineStr">
        <is>
          <t>SET DE COLLAR Y PULSERA CORAZÓN</t>
        </is>
      </c>
      <c r="C1326" s="1" t="inlineStr">
        <is>
          <t>47 cm / 15 cm</t>
        </is>
      </c>
      <c r="D1326" s="1" t="inlineStr">
        <is>
          <t>31/05/2026</t>
        </is>
      </c>
      <c r="E1326" s="1" t="n">
        <v>2026</v>
      </c>
      <c r="F1326" s="1" t="inlineStr">
        <is>
          <t>MAYO</t>
        </is>
      </c>
      <c r="G1326" s="1" t="inlineStr">
        <is>
          <t>NANCY</t>
        </is>
      </c>
      <c r="H1326" s="1" t="inlineStr">
        <is>
          <t>NANCY 31/05/2026</t>
        </is>
      </c>
      <c r="I1326" s="4" t="n">
        <v>5</v>
      </c>
      <c r="J1326" s="6" t="n">
        <v>18.58</v>
      </c>
      <c r="K1326" s="6" t="n">
        <v>450.8918168</v>
      </c>
      <c r="L1326" s="6">
        <f>I1326*K1326</f>
        <v/>
      </c>
      <c r="M1326" s="6">
        <f>K1326*4</f>
        <v/>
      </c>
      <c r="N1326" s="6" t="n">
        <v>1228</v>
      </c>
    </row>
    <row r="1327">
      <c r="A1327" s="1" t="inlineStr">
        <is>
          <t>42981951111308</t>
        </is>
      </c>
      <c r="B1327" s="1" t="inlineStr">
        <is>
          <t>ANILLO TB GOLD</t>
        </is>
      </c>
      <c r="C1327" s="1" t="n">
        <v>7</v>
      </c>
      <c r="D1327" s="1" t="inlineStr">
        <is>
          <t>06/09/2025</t>
        </is>
      </c>
      <c r="E1327" s="1" t="n">
        <v>2025</v>
      </c>
      <c r="F1327" s="1" t="inlineStr">
        <is>
          <t>SEPTIEMBRE</t>
        </is>
      </c>
      <c r="G1327" s="1" t="inlineStr">
        <is>
          <t>NANCY</t>
        </is>
      </c>
      <c r="H1327" s="1" t="inlineStr">
        <is>
          <t>NANCY 06/09/2025</t>
        </is>
      </c>
      <c r="I1327" s="4" t="n">
        <v>3</v>
      </c>
      <c r="J1327" s="6" t="n">
        <v>2.99</v>
      </c>
      <c r="K1327" s="6" t="n">
        <v>69.62412216</v>
      </c>
      <c r="L1327" s="6">
        <f>I1327*K1327</f>
        <v/>
      </c>
      <c r="M1327" s="6">
        <f>K1327*4</f>
        <v/>
      </c>
      <c r="N1327" s="6" t="n">
        <v>250</v>
      </c>
    </row>
    <row r="1328">
      <c r="A1328" s="1" t="inlineStr">
        <is>
          <t>42981951111308</t>
        </is>
      </c>
      <c r="B1328" s="1" t="inlineStr">
        <is>
          <t>ANILLO TB GOLD</t>
        </is>
      </c>
      <c r="C1328" s="1" t="n">
        <v>7</v>
      </c>
      <c r="D1328" s="1" t="inlineStr">
        <is>
          <t>09/07/2026</t>
        </is>
      </c>
      <c r="E1328" s="1" t="n">
        <v>2026</v>
      </c>
      <c r="F1328" s="1" t="inlineStr">
        <is>
          <t>JULIO</t>
        </is>
      </c>
      <c r="G1328" s="1" t="inlineStr">
        <is>
          <t>NANCY</t>
        </is>
      </c>
      <c r="H1328" s="1" t="inlineStr">
        <is>
          <t>NANCY 09/07/2026</t>
        </is>
      </c>
      <c r="I1328" s="4" t="n">
        <v>4</v>
      </c>
      <c r="J1328" s="6" t="n">
        <v>2.99</v>
      </c>
      <c r="K1328" s="6" t="n">
        <v>72.85276514</v>
      </c>
      <c r="L1328" s="6">
        <f>I1328*K1328</f>
        <v/>
      </c>
      <c r="M1328" s="6">
        <f>K1328*4</f>
        <v/>
      </c>
      <c r="N1328" s="6" t="n">
        <v>250</v>
      </c>
    </row>
    <row r="1329">
      <c r="A1329" s="1" t="inlineStr">
        <is>
          <t>42981951144076</t>
        </is>
      </c>
      <c r="B1329" s="1" t="inlineStr">
        <is>
          <t>ANILLO TB GOLD</t>
        </is>
      </c>
      <c r="C1329" s="1" t="n">
        <v>8</v>
      </c>
      <c r="D1329" s="1" t="inlineStr">
        <is>
          <t>06/09/2025</t>
        </is>
      </c>
      <c r="E1329" s="1" t="n">
        <v>2025</v>
      </c>
      <c r="F1329" s="1" t="inlineStr">
        <is>
          <t>SEPTIEMBRE</t>
        </is>
      </c>
      <c r="G1329" s="1" t="inlineStr">
        <is>
          <t>NANCY</t>
        </is>
      </c>
      <c r="H1329" s="1" t="inlineStr">
        <is>
          <t>NANCY 06/09/2025</t>
        </is>
      </c>
      <c r="I1329" s="4" t="n">
        <v>3</v>
      </c>
      <c r="J1329" s="6" t="n">
        <v>2.99</v>
      </c>
      <c r="K1329" s="6" t="n">
        <v>69.62412216</v>
      </c>
      <c r="L1329" s="6">
        <f>I1329*K1329</f>
        <v/>
      </c>
      <c r="M1329" s="6">
        <f>K1329*4</f>
        <v/>
      </c>
      <c r="N1329" s="6" t="n">
        <v>200</v>
      </c>
    </row>
    <row r="1330">
      <c r="A1330" s="1" t="inlineStr">
        <is>
          <t>42981955862668</t>
        </is>
      </c>
      <c r="B1330" s="1" t="inlineStr">
        <is>
          <t>ANILLO TB SILVER</t>
        </is>
      </c>
      <c r="C1330" s="1" t="n">
        <v>6</v>
      </c>
      <c r="D1330" s="1" t="inlineStr">
        <is>
          <t>06/09/2025</t>
        </is>
      </c>
      <c r="E1330" s="1" t="n">
        <v>2025</v>
      </c>
      <c r="F1330" s="1" t="inlineStr">
        <is>
          <t>SEPTIEMBRE</t>
        </is>
      </c>
      <c r="G1330" s="1" t="inlineStr">
        <is>
          <t>NANCY</t>
        </is>
      </c>
      <c r="H1330" s="1" t="inlineStr">
        <is>
          <t>NANCY 06/09/2025</t>
        </is>
      </c>
      <c r="I1330" s="4" t="n">
        <v>3</v>
      </c>
      <c r="J1330" s="6" t="n">
        <v>2.99</v>
      </c>
      <c r="K1330" s="6" t="n">
        <v>69.62412216</v>
      </c>
      <c r="L1330" s="6">
        <f>I1330*K1330</f>
        <v/>
      </c>
      <c r="M1330" s="6">
        <f>K1330*4</f>
        <v/>
      </c>
      <c r="N1330" s="6" t="n">
        <v>450</v>
      </c>
    </row>
    <row r="1331">
      <c r="A1331" s="1" t="inlineStr">
        <is>
          <t>42981955862668</t>
        </is>
      </c>
      <c r="B1331" s="1" t="inlineStr">
        <is>
          <t>ANILLO TB SILVER</t>
        </is>
      </c>
      <c r="C1331" s="1" t="n">
        <v>6</v>
      </c>
      <c r="D1331" s="1" t="inlineStr">
        <is>
          <t>08/05/2026</t>
        </is>
      </c>
      <c r="E1331" s="1" t="n">
        <v>2026</v>
      </c>
      <c r="F1331" s="1" t="inlineStr">
        <is>
          <t>MAYO</t>
        </is>
      </c>
      <c r="G1331" s="1" t="inlineStr">
        <is>
          <t>NANCY</t>
        </is>
      </c>
      <c r="H1331" s="1" t="inlineStr">
        <is>
          <t>NANCY 08/05/2026</t>
        </is>
      </c>
      <c r="I1331" s="4" t="n">
        <v>3</v>
      </c>
      <c r="J1331" s="6" t="n">
        <v>2.99</v>
      </c>
      <c r="K1331" s="6" t="n">
        <v>70.73670423</v>
      </c>
      <c r="L1331" s="6">
        <f>I1331*K1331</f>
        <v/>
      </c>
      <c r="M1331" s="6">
        <f>K1331*4</f>
        <v/>
      </c>
      <c r="N1331" s="6" t="n">
        <v>450</v>
      </c>
    </row>
    <row r="1332">
      <c r="A1332" s="1" t="inlineStr">
        <is>
          <t>42981955895436</t>
        </is>
      </c>
      <c r="B1332" s="1" t="inlineStr">
        <is>
          <t>ANILLO TB SILVER</t>
        </is>
      </c>
      <c r="C1332" s="1" t="n">
        <v>7</v>
      </c>
      <c r="D1332" s="1" t="inlineStr">
        <is>
          <t>06/09/2025</t>
        </is>
      </c>
      <c r="E1332" s="1" t="n">
        <v>2025</v>
      </c>
      <c r="F1332" s="1" t="inlineStr">
        <is>
          <t>SEPTIEMBRE</t>
        </is>
      </c>
      <c r="G1332" s="1" t="inlineStr">
        <is>
          <t>NANCY</t>
        </is>
      </c>
      <c r="H1332" s="1" t="inlineStr">
        <is>
          <t>NANCY 06/09/2025</t>
        </is>
      </c>
      <c r="I1332" s="4" t="n">
        <v>3</v>
      </c>
      <c r="J1332" s="6" t="n">
        <v>2.99</v>
      </c>
      <c r="K1332" s="6" t="n">
        <v>69.62412216</v>
      </c>
      <c r="L1332" s="6">
        <f>I1332*K1332</f>
        <v/>
      </c>
      <c r="M1332" s="6">
        <f>K1332*4</f>
        <v/>
      </c>
      <c r="N1332" s="6" t="n">
        <v>450</v>
      </c>
    </row>
    <row r="1333">
      <c r="A1333" s="1" t="inlineStr">
        <is>
          <t>42981955895436</t>
        </is>
      </c>
      <c r="B1333" s="1" t="inlineStr">
        <is>
          <t>ANILLO TB SILVER</t>
        </is>
      </c>
      <c r="C1333" s="1" t="n">
        <v>7</v>
      </c>
      <c r="D1333" s="1" t="inlineStr">
        <is>
          <t>08/05/2026</t>
        </is>
      </c>
      <c r="E1333" s="1" t="n">
        <v>2026</v>
      </c>
      <c r="F1333" s="1" t="inlineStr">
        <is>
          <t>MAYO</t>
        </is>
      </c>
      <c r="G1333" s="1" t="inlineStr">
        <is>
          <t>NANCY</t>
        </is>
      </c>
      <c r="H1333" s="1" t="inlineStr">
        <is>
          <t>NANCY 08/05/2026</t>
        </is>
      </c>
      <c r="I1333" s="4" t="n">
        <v>3</v>
      </c>
      <c r="J1333" s="6" t="n">
        <v>2.99</v>
      </c>
      <c r="K1333" s="6" t="n">
        <v>70.73670423</v>
      </c>
      <c r="L1333" s="6">
        <f>I1333*K1333</f>
        <v/>
      </c>
      <c r="M1333" s="6">
        <f>K1333*4</f>
        <v/>
      </c>
      <c r="N1333" s="6" t="n">
        <v>450</v>
      </c>
    </row>
    <row r="1334">
      <c r="A1334" s="1" t="inlineStr">
        <is>
          <t>42981955928204</t>
        </is>
      </c>
      <c r="B1334" s="1" t="inlineStr">
        <is>
          <t>ANILLO TB SILVER</t>
        </is>
      </c>
      <c r="C1334" s="1" t="n">
        <v>8</v>
      </c>
      <c r="D1334" s="1" t="inlineStr">
        <is>
          <t>06/09/2025</t>
        </is>
      </c>
      <c r="E1334" s="1" t="n">
        <v>2025</v>
      </c>
      <c r="F1334" s="1" t="inlineStr">
        <is>
          <t>SEPTIEMBRE</t>
        </is>
      </c>
      <c r="G1334" s="1" t="inlineStr">
        <is>
          <t>NANCY</t>
        </is>
      </c>
      <c r="H1334" s="1" t="inlineStr">
        <is>
          <t>NANCY 06/09/2025</t>
        </is>
      </c>
      <c r="I1334" s="4" t="n">
        <v>3</v>
      </c>
      <c r="J1334" s="6" t="n">
        <v>2.99</v>
      </c>
      <c r="K1334" s="6" t="n">
        <v>69.62412216</v>
      </c>
      <c r="L1334" s="6">
        <f>I1334*K1334</f>
        <v/>
      </c>
      <c r="M1334" s="6">
        <f>K1334*4</f>
        <v/>
      </c>
      <c r="N1334" s="6" t="n">
        <v>225</v>
      </c>
    </row>
    <row r="1335">
      <c r="A1335" s="1" t="inlineStr">
        <is>
          <t>42981955928204</t>
        </is>
      </c>
      <c r="B1335" s="1" t="inlineStr">
        <is>
          <t>ANILLO TB SILVER</t>
        </is>
      </c>
      <c r="C1335" s="1" t="n">
        <v>8</v>
      </c>
      <c r="D1335" s="1" t="inlineStr">
        <is>
          <t>08/05/2026</t>
        </is>
      </c>
      <c r="E1335" s="1" t="n">
        <v>2026</v>
      </c>
      <c r="F1335" s="1" t="inlineStr">
        <is>
          <t>MAYO</t>
        </is>
      </c>
      <c r="G1335" s="1" t="inlineStr">
        <is>
          <t>NANCY</t>
        </is>
      </c>
      <c r="H1335" s="1" t="inlineStr">
        <is>
          <t>NANCY 08/05/2026</t>
        </is>
      </c>
      <c r="I1335" s="4" t="n">
        <v>2</v>
      </c>
      <c r="J1335" s="6" t="n">
        <v>2.99</v>
      </c>
      <c r="K1335" s="6" t="n">
        <v>70.73670423</v>
      </c>
      <c r="L1335" s="6">
        <f>I1335*K1335</f>
        <v/>
      </c>
      <c r="M1335" s="6">
        <f>K1335*4</f>
        <v/>
      </c>
      <c r="N1335" s="6" t="n">
        <v>225</v>
      </c>
    </row>
    <row r="1336">
      <c r="A1336" s="1" t="inlineStr">
        <is>
          <t>42981964578956</t>
        </is>
      </c>
      <c r="B1336" s="1" t="inlineStr">
        <is>
          <t>COLLAR POP H SILVER BLACK</t>
        </is>
      </c>
      <c r="C1336" s="1" t="inlineStr">
        <is>
          <t>MEDIUM QUALITY</t>
        </is>
      </c>
      <c r="D1336" s="1" t="inlineStr">
        <is>
          <t>06/09/2025</t>
        </is>
      </c>
      <c r="E1336" s="1" t="n">
        <v>2025</v>
      </c>
      <c r="F1336" s="1" t="inlineStr">
        <is>
          <t>SEPTIEMBRE</t>
        </is>
      </c>
      <c r="G1336" s="1" t="inlineStr">
        <is>
          <t>NANCY</t>
        </is>
      </c>
      <c r="H1336" s="1" t="inlineStr">
        <is>
          <t>NANCY 06/09/2025</t>
        </is>
      </c>
      <c r="I1336" s="4" t="n">
        <v>2</v>
      </c>
      <c r="J1336" s="6" t="n">
        <v>3.99</v>
      </c>
      <c r="K1336" s="6" t="n">
        <v>92.90978174</v>
      </c>
      <c r="L1336" s="6">
        <f>I1336*K1336</f>
        <v/>
      </c>
      <c r="M1336" s="6">
        <f>K1336*4</f>
        <v/>
      </c>
      <c r="N1336" s="6" t="n">
        <v>499</v>
      </c>
    </row>
    <row r="1337">
      <c r="A1337" s="1" t="inlineStr">
        <is>
          <t>42981964578956</t>
        </is>
      </c>
      <c r="B1337" s="1" t="inlineStr">
        <is>
          <t>COLLAR POP H SILVER BLACK</t>
        </is>
      </c>
      <c r="C1337" s="1" t="inlineStr">
        <is>
          <t>MEDIUM QUALITY</t>
        </is>
      </c>
      <c r="D1337" s="1" t="inlineStr">
        <is>
          <t>03/12/2025</t>
        </is>
      </c>
      <c r="E1337" s="1" t="n">
        <v>2025</v>
      </c>
      <c r="F1337" s="1" t="inlineStr">
        <is>
          <t>DICIEMBRE</t>
        </is>
      </c>
      <c r="G1337" s="1" t="inlineStr">
        <is>
          <t>NANCY</t>
        </is>
      </c>
      <c r="H1337" s="1" t="inlineStr">
        <is>
          <t>NANCY 03/12/2025</t>
        </is>
      </c>
      <c r="I1337" s="4" t="n">
        <v>1</v>
      </c>
      <c r="J1337" s="6" t="n">
        <v>3.99</v>
      </c>
      <c r="K1337" s="6" t="n">
        <v>94.39039819</v>
      </c>
      <c r="L1337" s="6">
        <f>I1337*K1337</f>
        <v/>
      </c>
      <c r="M1337" s="6">
        <f>K1337*4</f>
        <v/>
      </c>
      <c r="N1337" s="6" t="n">
        <v>499</v>
      </c>
    </row>
    <row r="1338">
      <c r="A1338" s="1" t="inlineStr">
        <is>
          <t>42981964578956</t>
        </is>
      </c>
      <c r="B1338" s="1" t="inlineStr">
        <is>
          <t>COLLAR POP H SILVER BLACK</t>
        </is>
      </c>
      <c r="C1338" s="1" t="inlineStr">
        <is>
          <t>MEDIUM QUALITY</t>
        </is>
      </c>
      <c r="D1338" s="1" t="inlineStr">
        <is>
          <t>01/03/2026</t>
        </is>
      </c>
      <c r="E1338" s="1" t="n">
        <v>2026</v>
      </c>
      <c r="F1338" s="1" t="inlineStr">
        <is>
          <t>MARZO</t>
        </is>
      </c>
      <c r="G1338" s="1" t="inlineStr">
        <is>
          <t>NANCY</t>
        </is>
      </c>
      <c r="H1338" s="1" t="inlineStr">
        <is>
          <t>NANCY 01/03/2026</t>
        </is>
      </c>
      <c r="I1338" s="4" t="n">
        <v>2</v>
      </c>
      <c r="J1338" s="6" t="n">
        <v>3.99</v>
      </c>
      <c r="K1338" s="6" t="n">
        <v>100.9618362</v>
      </c>
      <c r="L1338" s="6">
        <f>I1338*K1338</f>
        <v/>
      </c>
      <c r="M1338" s="6">
        <f>K1338*4</f>
        <v/>
      </c>
      <c r="N1338" s="6" t="n">
        <v>499</v>
      </c>
    </row>
    <row r="1339">
      <c r="A1339" s="1" t="inlineStr">
        <is>
          <t>42981964578956</t>
        </is>
      </c>
      <c r="B1339" s="1" t="inlineStr">
        <is>
          <t>COLLAR POP H SILVER BLACK</t>
        </is>
      </c>
      <c r="C1339" s="1" t="inlineStr">
        <is>
          <t>MEDIUM QUALITY</t>
        </is>
      </c>
      <c r="D1339" s="1" t="inlineStr">
        <is>
          <t>01/04/2026</t>
        </is>
      </c>
      <c r="E1339" s="1" t="n">
        <v>2026</v>
      </c>
      <c r="F1339" s="1" t="inlineStr">
        <is>
          <t>ABRIL</t>
        </is>
      </c>
      <c r="G1339" s="1" t="inlineStr">
        <is>
          <t>NANCY</t>
        </is>
      </c>
      <c r="H1339" s="1" t="inlineStr">
        <is>
          <t>NANCY 01/04/2026</t>
        </is>
      </c>
      <c r="I1339" s="4" t="n">
        <v>3</v>
      </c>
      <c r="J1339" s="6" t="n">
        <v>3.99</v>
      </c>
      <c r="K1339" s="6" t="n">
        <v>95.52263323</v>
      </c>
      <c r="L1339" s="6">
        <f>I1339*K1339</f>
        <v/>
      </c>
      <c r="M1339" s="6">
        <f>K1339*4</f>
        <v/>
      </c>
      <c r="N1339" s="6" t="n">
        <v>499</v>
      </c>
    </row>
    <row r="1340">
      <c r="A1340" s="1" t="inlineStr">
        <is>
          <t>42981964578956</t>
        </is>
      </c>
      <c r="B1340" s="1" t="inlineStr">
        <is>
          <t>COLLAR POP H SILVER BLACK</t>
        </is>
      </c>
      <c r="C1340" s="1" t="inlineStr">
        <is>
          <t>MEDIUM QUALITY</t>
        </is>
      </c>
      <c r="D1340" s="1" t="inlineStr">
        <is>
          <t>08/05/2026</t>
        </is>
      </c>
      <c r="E1340" s="1" t="n">
        <v>2026</v>
      </c>
      <c r="F1340" s="1" t="inlineStr">
        <is>
          <t>MAYO</t>
        </is>
      </c>
      <c r="G1340" s="1" t="inlineStr">
        <is>
          <t>NANCY</t>
        </is>
      </c>
      <c r="H1340" s="1" t="inlineStr">
        <is>
          <t>NANCY 08/05/2026</t>
        </is>
      </c>
      <c r="I1340" s="4" t="n">
        <v>4</v>
      </c>
      <c r="J1340" s="6" t="n">
        <v>3.99</v>
      </c>
      <c r="K1340" s="6" t="n">
        <v>94.39446484</v>
      </c>
      <c r="L1340" s="6">
        <f>I1340*K1340</f>
        <v/>
      </c>
      <c r="M1340" s="6">
        <f>K1340*4</f>
        <v/>
      </c>
      <c r="N1340" s="6" t="n">
        <v>499</v>
      </c>
    </row>
    <row r="1341">
      <c r="A1341" s="1" t="inlineStr">
        <is>
          <t>42981966872716</t>
        </is>
      </c>
      <c r="B1341" s="1" t="inlineStr">
        <is>
          <t>COLLAR POP H GOLD BLACK</t>
        </is>
      </c>
      <c r="C1341" s="1" t="inlineStr">
        <is>
          <t>MEDIUM QUALITY</t>
        </is>
      </c>
      <c r="D1341" s="1" t="inlineStr">
        <is>
          <t>06/09/2025</t>
        </is>
      </c>
      <c r="E1341" s="1" t="n">
        <v>2025</v>
      </c>
      <c r="F1341" s="1" t="inlineStr">
        <is>
          <t>SEPTIEMBRE</t>
        </is>
      </c>
      <c r="G1341" s="1" t="inlineStr">
        <is>
          <t>NANCY</t>
        </is>
      </c>
      <c r="H1341" s="1" t="inlineStr">
        <is>
          <t>NANCY 06/09/2025</t>
        </is>
      </c>
      <c r="I1341" s="4" t="n">
        <v>2</v>
      </c>
      <c r="J1341" s="6" t="n">
        <v>3.99</v>
      </c>
      <c r="K1341" s="6" t="n">
        <v>92.90978174</v>
      </c>
      <c r="L1341" s="6">
        <f>I1341*K1341</f>
        <v/>
      </c>
      <c r="M1341" s="6">
        <f>K1341*4</f>
        <v/>
      </c>
      <c r="N1341" s="6" t="n">
        <v>499</v>
      </c>
    </row>
    <row r="1342">
      <c r="A1342" s="1" t="inlineStr">
        <is>
          <t>42981966872716</t>
        </is>
      </c>
      <c r="B1342" s="1" t="inlineStr">
        <is>
          <t>COLLAR POP H GOLD BLACK</t>
        </is>
      </c>
      <c r="C1342" s="1" t="inlineStr">
        <is>
          <t>MEDIUM QUALITY</t>
        </is>
      </c>
      <c r="D1342" s="1" t="inlineStr">
        <is>
          <t>03/12/2025</t>
        </is>
      </c>
      <c r="E1342" s="1" t="n">
        <v>2025</v>
      </c>
      <c r="F1342" s="1" t="inlineStr">
        <is>
          <t>DICIEMBRE</t>
        </is>
      </c>
      <c r="G1342" s="1" t="inlineStr">
        <is>
          <t>NANCY</t>
        </is>
      </c>
      <c r="H1342" s="1" t="inlineStr">
        <is>
          <t>NANCY 03/12/2025</t>
        </is>
      </c>
      <c r="I1342" s="4" t="n">
        <v>3</v>
      </c>
      <c r="J1342" s="6" t="n">
        <v>3.99</v>
      </c>
      <c r="K1342" s="6" t="n">
        <v>94.39039819</v>
      </c>
      <c r="L1342" s="6">
        <f>I1342*K1342</f>
        <v/>
      </c>
      <c r="M1342" s="6">
        <f>K1342*4</f>
        <v/>
      </c>
      <c r="N1342" s="6" t="n">
        <v>499</v>
      </c>
    </row>
    <row r="1343">
      <c r="A1343" s="1" t="inlineStr">
        <is>
          <t>42981966872716</t>
        </is>
      </c>
      <c r="B1343" s="1" t="inlineStr">
        <is>
          <t>COLLAR POP H GOLD BLACK</t>
        </is>
      </c>
      <c r="C1343" s="1" t="inlineStr">
        <is>
          <t>MEDIUM QUALITY</t>
        </is>
      </c>
      <c r="D1343" s="1" t="inlineStr">
        <is>
          <t>01/04/2026</t>
        </is>
      </c>
      <c r="E1343" s="1" t="n">
        <v>2026</v>
      </c>
      <c r="F1343" s="1" t="inlineStr">
        <is>
          <t>ABRIL</t>
        </is>
      </c>
      <c r="G1343" s="1" t="inlineStr">
        <is>
          <t>NANCY</t>
        </is>
      </c>
      <c r="H1343" s="1" t="inlineStr">
        <is>
          <t>NANCY 01/04/2026</t>
        </is>
      </c>
      <c r="I1343" s="4" t="n">
        <v>1</v>
      </c>
      <c r="J1343" s="6" t="n">
        <v>3.99</v>
      </c>
      <c r="K1343" s="6" t="n">
        <v>95.52263323</v>
      </c>
      <c r="L1343" s="6">
        <f>I1343*K1343</f>
        <v/>
      </c>
      <c r="M1343" s="6">
        <f>K1343*4</f>
        <v/>
      </c>
      <c r="N1343" s="6" t="n">
        <v>499</v>
      </c>
    </row>
    <row r="1344">
      <c r="A1344" s="1" t="inlineStr">
        <is>
          <t>42981966872716</t>
        </is>
      </c>
      <c r="B1344" s="1" t="inlineStr">
        <is>
          <t>COLLAR POP H GOLD BLACK</t>
        </is>
      </c>
      <c r="C1344" s="1" t="inlineStr">
        <is>
          <t>MEDIUM QUALITY</t>
        </is>
      </c>
      <c r="D1344" s="1" t="inlineStr">
        <is>
          <t>08/05/2026</t>
        </is>
      </c>
      <c r="E1344" s="1" t="n">
        <v>2026</v>
      </c>
      <c r="F1344" s="1" t="inlineStr">
        <is>
          <t>MAYO</t>
        </is>
      </c>
      <c r="G1344" s="1" t="inlineStr">
        <is>
          <t>NANCY</t>
        </is>
      </c>
      <c r="H1344" s="1" t="inlineStr">
        <is>
          <t>NANCY 08/05/2026</t>
        </is>
      </c>
      <c r="I1344" s="4" t="n">
        <v>2</v>
      </c>
      <c r="J1344" s="6" t="n">
        <v>3.99</v>
      </c>
      <c r="K1344" s="6" t="n">
        <v>94.39446484</v>
      </c>
      <c r="L1344" s="6">
        <f>I1344*K1344</f>
        <v/>
      </c>
      <c r="M1344" s="6">
        <f>K1344*4</f>
        <v/>
      </c>
      <c r="N1344" s="6" t="n">
        <v>499</v>
      </c>
    </row>
    <row r="1345">
      <c r="A1345" s="1" t="inlineStr">
        <is>
          <t>42981971361932</t>
        </is>
      </c>
      <c r="B1345" s="1" t="inlineStr">
        <is>
          <t>COLLAR POP H ROSEGOLD WHITE</t>
        </is>
      </c>
      <c r="C1345" s="1" t="inlineStr">
        <is>
          <t>largo de Cadena 49cm  1.5cm de dije</t>
        </is>
      </c>
      <c r="D1345" s="1" t="inlineStr">
        <is>
          <t>22/10/2025</t>
        </is>
      </c>
      <c r="E1345" s="1" t="n">
        <v>2025</v>
      </c>
      <c r="F1345" s="1" t="inlineStr">
        <is>
          <t>OCTUBRE</t>
        </is>
      </c>
      <c r="G1345" s="1" t="inlineStr">
        <is>
          <t>HAIFENG</t>
        </is>
      </c>
      <c r="H1345" s="1" t="inlineStr">
        <is>
          <t>HAIFENG 22/10/2025</t>
        </is>
      </c>
      <c r="I1345" s="4" t="n">
        <v>2</v>
      </c>
      <c r="J1345" s="6" t="n">
        <v>6.99</v>
      </c>
      <c r="K1345" s="6" t="n">
        <v>147.6865515</v>
      </c>
      <c r="L1345" s="6">
        <f>I1345*K1345</f>
        <v/>
      </c>
      <c r="M1345" s="6">
        <f>K1345*4</f>
        <v/>
      </c>
      <c r="N1345" s="6" t="n">
        <v>399</v>
      </c>
    </row>
    <row r="1346">
      <c r="A1346" s="1" t="inlineStr">
        <is>
          <t>42981971361932</t>
        </is>
      </c>
      <c r="B1346" s="1" t="inlineStr">
        <is>
          <t>COLLAR POP H ROSEGOLD WHITE</t>
        </is>
      </c>
      <c r="C1346" s="1" t="inlineStr">
        <is>
          <t>largo de Cadena 49cm  1.5cm de dije</t>
        </is>
      </c>
      <c r="D1346" s="1" t="inlineStr">
        <is>
          <t>03/12/2025</t>
        </is>
      </c>
      <c r="E1346" s="1" t="n">
        <v>2025</v>
      </c>
      <c r="F1346" s="1" t="inlineStr">
        <is>
          <t>DICIEMBRE</t>
        </is>
      </c>
      <c r="G1346" s="1" t="inlineStr">
        <is>
          <t>NANCY</t>
        </is>
      </c>
      <c r="H1346" s="1" t="inlineStr">
        <is>
          <t>NANCY 03/12/2025</t>
        </is>
      </c>
      <c r="I1346" s="4" t="n">
        <v>2</v>
      </c>
      <c r="J1346" s="6" t="n">
        <v>3.99</v>
      </c>
      <c r="K1346" s="6" t="n">
        <v>94.39039819</v>
      </c>
      <c r="L1346" s="6">
        <f>I1346*K1346</f>
        <v/>
      </c>
      <c r="M1346" s="6">
        <f>K1346*4</f>
        <v/>
      </c>
      <c r="N1346" s="6" t="n">
        <v>399</v>
      </c>
    </row>
    <row r="1347">
      <c r="A1347" s="1" t="inlineStr">
        <is>
          <t>42981971361932</t>
        </is>
      </c>
      <c r="B1347" s="1" t="inlineStr">
        <is>
          <t>COLLAR POP H ROSEGOLD WHITE</t>
        </is>
      </c>
      <c r="C1347" s="1" t="inlineStr">
        <is>
          <t>largo de Cadena 49cm  1.5cm de dije</t>
        </is>
      </c>
      <c r="D1347" s="1" t="inlineStr">
        <is>
          <t>31/05/2026</t>
        </is>
      </c>
      <c r="E1347" s="1" t="n">
        <v>2026</v>
      </c>
      <c r="F1347" s="1" t="inlineStr">
        <is>
          <t>MAYO</t>
        </is>
      </c>
      <c r="G1347" s="1" t="inlineStr">
        <is>
          <t>NANCY</t>
        </is>
      </c>
      <c r="H1347" s="1" t="inlineStr">
        <is>
          <t>NANCY 31/05/2026</t>
        </is>
      </c>
      <c r="I1347" s="4" t="n">
        <v>2</v>
      </c>
      <c r="J1347" s="6" t="n">
        <v>3.99</v>
      </c>
      <c r="K1347" s="6" t="n">
        <v>96.82768294</v>
      </c>
      <c r="L1347" s="6">
        <f>I1347*K1347</f>
        <v/>
      </c>
      <c r="M1347" s="6">
        <f>K1347*4</f>
        <v/>
      </c>
      <c r="N1347" s="6" t="n">
        <v>399</v>
      </c>
    </row>
    <row r="1348">
      <c r="A1348" s="1" t="inlineStr">
        <is>
          <t>42981975064716</t>
        </is>
      </c>
      <c r="B1348" s="1" t="inlineStr">
        <is>
          <t>COLLAR POP H GOLD WHITE</t>
        </is>
      </c>
      <c r="C1348" s="1" t="inlineStr">
        <is>
          <t>Regular</t>
        </is>
      </c>
      <c r="D1348" s="1" t="inlineStr">
        <is>
          <t>06/09/2025</t>
        </is>
      </c>
      <c r="E1348" s="1" t="n">
        <v>2025</v>
      </c>
      <c r="F1348" s="1" t="inlineStr">
        <is>
          <t>SEPTIEMBRE</t>
        </is>
      </c>
      <c r="G1348" s="1" t="inlineStr">
        <is>
          <t>NANCY</t>
        </is>
      </c>
      <c r="H1348" s="1" t="inlineStr">
        <is>
          <t>NANCY 06/09/2025</t>
        </is>
      </c>
      <c r="I1348" s="4" t="n">
        <v>2</v>
      </c>
      <c r="J1348" s="6" t="n">
        <v>3.99</v>
      </c>
      <c r="K1348" s="6" t="n">
        <v>92.90978174</v>
      </c>
      <c r="L1348" s="6">
        <f>I1348*K1348</f>
        <v/>
      </c>
      <c r="M1348" s="6">
        <f>K1348*4</f>
        <v/>
      </c>
      <c r="N1348" s="6" t="n">
        <v>550</v>
      </c>
    </row>
    <row r="1349">
      <c r="A1349" s="1" t="inlineStr">
        <is>
          <t>42981975064716</t>
        </is>
      </c>
      <c r="B1349" s="1" t="inlineStr">
        <is>
          <t>COLLAR POP H GOLD WHITE</t>
        </is>
      </c>
      <c r="C1349" s="1" t="inlineStr">
        <is>
          <t>Regular</t>
        </is>
      </c>
      <c r="D1349" s="1" t="inlineStr">
        <is>
          <t>01/03/2026</t>
        </is>
      </c>
      <c r="E1349" s="1" t="n">
        <v>2026</v>
      </c>
      <c r="F1349" s="1" t="inlineStr">
        <is>
          <t>MARZO</t>
        </is>
      </c>
      <c r="G1349" s="1" t="inlineStr">
        <is>
          <t>NANCY</t>
        </is>
      </c>
      <c r="H1349" s="1" t="inlineStr">
        <is>
          <t>NANCY 01/03/2026</t>
        </is>
      </c>
      <c r="I1349" s="4" t="n">
        <v>2</v>
      </c>
      <c r="J1349" s="6" t="n">
        <v>3.99</v>
      </c>
      <c r="K1349" s="6" t="n">
        <v>100.9618362</v>
      </c>
      <c r="L1349" s="6">
        <f>I1349*K1349</f>
        <v/>
      </c>
      <c r="M1349" s="6">
        <f>K1349*4</f>
        <v/>
      </c>
      <c r="N1349" s="6" t="n">
        <v>550</v>
      </c>
    </row>
    <row r="1350">
      <c r="A1350" s="1" t="inlineStr">
        <is>
          <t>42981975064716</t>
        </is>
      </c>
      <c r="B1350" s="1" t="inlineStr">
        <is>
          <t>COLLAR POP H GOLD WHITE</t>
        </is>
      </c>
      <c r="C1350" s="1" t="inlineStr">
        <is>
          <t>Regular</t>
        </is>
      </c>
      <c r="D1350" s="1" t="inlineStr">
        <is>
          <t>08/05/2026</t>
        </is>
      </c>
      <c r="E1350" s="1" t="n">
        <v>2026</v>
      </c>
      <c r="F1350" s="1" t="inlineStr">
        <is>
          <t>MAYO</t>
        </is>
      </c>
      <c r="G1350" s="1" t="inlineStr">
        <is>
          <t>NANCY</t>
        </is>
      </c>
      <c r="H1350" s="1" t="inlineStr">
        <is>
          <t>NANCY 08/05/2026</t>
        </is>
      </c>
      <c r="I1350" s="4" t="n">
        <v>3</v>
      </c>
      <c r="J1350" s="6" t="n">
        <v>3.99</v>
      </c>
      <c r="K1350" s="6" t="n">
        <v>94.39446484</v>
      </c>
      <c r="L1350" s="6">
        <f>I1350*K1350</f>
        <v/>
      </c>
      <c r="M1350" s="6">
        <f>K1350*4</f>
        <v/>
      </c>
      <c r="N1350" s="6" t="n">
        <v>550</v>
      </c>
    </row>
    <row r="1351">
      <c r="A1351" s="1" t="inlineStr">
        <is>
          <t>42981986795660</t>
        </is>
      </c>
      <c r="B1351" s="1" t="inlineStr">
        <is>
          <t>ARETES V ROUND GOLD</t>
        </is>
      </c>
      <c r="C1351" s="1" t="inlineStr">
        <is>
          <t>Regular</t>
        </is>
      </c>
      <c r="D1351" s="1" t="inlineStr">
        <is>
          <t>01/04/2026</t>
        </is>
      </c>
      <c r="E1351" s="1" t="n">
        <v>2026</v>
      </c>
      <c r="F1351" s="1" t="inlineStr">
        <is>
          <t>ABRIL</t>
        </is>
      </c>
      <c r="G1351" s="1" t="inlineStr">
        <is>
          <t>NANCY</t>
        </is>
      </c>
      <c r="H1351" s="1" t="inlineStr">
        <is>
          <t>NANCY 01/04/2026</t>
        </is>
      </c>
      <c r="I1351" s="4" t="n">
        <v>2</v>
      </c>
      <c r="J1351" s="6" t="n">
        <v>6.29</v>
      </c>
      <c r="K1351" s="6" t="n">
        <v>150.5858053</v>
      </c>
      <c r="L1351" s="6">
        <f>I1351*K1351</f>
        <v/>
      </c>
      <c r="M1351" s="6">
        <f>K1351*4</f>
        <v/>
      </c>
      <c r="N1351" s="6" t="n">
        <v>550</v>
      </c>
    </row>
    <row r="1352">
      <c r="A1352" s="1" t="inlineStr">
        <is>
          <t>42981986795660</t>
        </is>
      </c>
      <c r="B1352" s="1" t="inlineStr">
        <is>
          <t>ARETES V ROUND GOLD</t>
        </is>
      </c>
      <c r="C1352" s="1" t="inlineStr">
        <is>
          <t>Regular</t>
        </is>
      </c>
      <c r="D1352" s="1" t="inlineStr">
        <is>
          <t>08/05/2026</t>
        </is>
      </c>
      <c r="E1352" s="1" t="n">
        <v>2026</v>
      </c>
      <c r="F1352" s="1" t="inlineStr">
        <is>
          <t>MAYO</t>
        </is>
      </c>
      <c r="G1352" s="1" t="inlineStr">
        <is>
          <t>NANCY</t>
        </is>
      </c>
      <c r="H1352" s="1" t="inlineStr">
        <is>
          <t>NANCY 08/05/2026</t>
        </is>
      </c>
      <c r="I1352" s="4" t="n">
        <v>2</v>
      </c>
      <c r="J1352" s="6" t="n">
        <v>5.59</v>
      </c>
      <c r="K1352" s="6" t="n">
        <v>132.2468818</v>
      </c>
      <c r="L1352" s="6">
        <f>I1352*K1352</f>
        <v/>
      </c>
      <c r="M1352" s="6">
        <f>K1352*4</f>
        <v/>
      </c>
      <c r="N1352" s="6" t="n">
        <v>550</v>
      </c>
    </row>
    <row r="1353">
      <c r="A1353" s="1" t="inlineStr">
        <is>
          <t>42981986795660</t>
        </is>
      </c>
      <c r="B1353" s="1" t="inlineStr">
        <is>
          <t>ARETES V ROUND GOLD</t>
        </is>
      </c>
      <c r="C1353" s="1" t="inlineStr">
        <is>
          <t>Regular</t>
        </is>
      </c>
      <c r="D1353" s="1" t="inlineStr">
        <is>
          <t>09/07/2026</t>
        </is>
      </c>
      <c r="E1353" s="1" t="n">
        <v>2026</v>
      </c>
      <c r="F1353" s="1" t="inlineStr">
        <is>
          <t>JULIO</t>
        </is>
      </c>
      <c r="G1353" s="1" t="inlineStr">
        <is>
          <t>NANCY</t>
        </is>
      </c>
      <c r="H1353" s="1" t="inlineStr">
        <is>
          <t>NANCY 09/07/2026</t>
        </is>
      </c>
      <c r="I1353" s="4" t="n">
        <v>2</v>
      </c>
      <c r="J1353" s="6" t="n">
        <v>6.29</v>
      </c>
      <c r="K1353" s="6" t="n">
        <v>153.258827</v>
      </c>
      <c r="L1353" s="6">
        <f>I1353*K1353</f>
        <v/>
      </c>
      <c r="M1353" s="6">
        <f>K1353*4</f>
        <v/>
      </c>
      <c r="N1353" s="6" t="n">
        <v>550</v>
      </c>
    </row>
    <row r="1354">
      <c r="A1354" s="1" t="inlineStr">
        <is>
          <t>42981998657676</t>
        </is>
      </c>
      <c r="B1354" s="1" t="inlineStr">
        <is>
          <t>ARETES FR GOLD</t>
        </is>
      </c>
      <c r="C1354" s="1" t="inlineStr">
        <is>
          <t>Regular</t>
        </is>
      </c>
      <c r="D1354" s="1" t="inlineStr">
        <is>
          <t>06/09/2025</t>
        </is>
      </c>
      <c r="E1354" s="1" t="n">
        <v>2025</v>
      </c>
      <c r="F1354" s="1" t="inlineStr">
        <is>
          <t>SEPTIEMBRE</t>
        </is>
      </c>
      <c r="G1354" s="1" t="inlineStr">
        <is>
          <t>NANCY</t>
        </is>
      </c>
      <c r="H1354" s="1" t="inlineStr">
        <is>
          <t>NANCY 06/09/2025</t>
        </is>
      </c>
      <c r="I1354" s="4" t="n">
        <v>30</v>
      </c>
      <c r="J1354" s="6" t="n">
        <v>4.49</v>
      </c>
      <c r="K1354" s="6" t="n">
        <v>104.5526115</v>
      </c>
      <c r="L1354" s="6">
        <f>I1354*K1354</f>
        <v/>
      </c>
      <c r="M1354" s="6">
        <f>K1354*4</f>
        <v/>
      </c>
      <c r="N1354" s="6" t="n">
        <v>499</v>
      </c>
    </row>
    <row r="1355">
      <c r="A1355" s="1" t="inlineStr">
        <is>
          <t>42981998657676</t>
        </is>
      </c>
      <c r="B1355" s="1" t="inlineStr">
        <is>
          <t>ARETES FR GOLD</t>
        </is>
      </c>
      <c r="C1355" s="1" t="inlineStr">
        <is>
          <t>Regular</t>
        </is>
      </c>
      <c r="D1355" s="1" t="inlineStr">
        <is>
          <t>03/12/2025</t>
        </is>
      </c>
      <c r="E1355" s="1" t="n">
        <v>2025</v>
      </c>
      <c r="F1355" s="1" t="inlineStr">
        <is>
          <t>DICIEMBRE</t>
        </is>
      </c>
      <c r="G1355" s="1" t="inlineStr">
        <is>
          <t>NANCY</t>
        </is>
      </c>
      <c r="H1355" s="1" t="inlineStr">
        <is>
          <t>NANCY 03/12/2025</t>
        </is>
      </c>
      <c r="I1355" s="4" t="n">
        <v>14</v>
      </c>
      <c r="J1355" s="6" t="n">
        <v>4.49</v>
      </c>
      <c r="K1355" s="6" t="n">
        <v>106.2187689</v>
      </c>
      <c r="L1355" s="6">
        <f>I1355*K1355</f>
        <v/>
      </c>
      <c r="M1355" s="6">
        <f>K1355*4</f>
        <v/>
      </c>
      <c r="N1355" s="6" t="n">
        <v>499</v>
      </c>
    </row>
    <row r="1356">
      <c r="A1356" s="1" t="inlineStr">
        <is>
          <t>42981998657676</t>
        </is>
      </c>
      <c r="B1356" s="1" t="inlineStr">
        <is>
          <t>ARETES FR GOLD</t>
        </is>
      </c>
      <c r="C1356" s="1" t="inlineStr">
        <is>
          <t>Default Title</t>
        </is>
      </c>
      <c r="D1356" s="1" t="inlineStr">
        <is>
          <t>20/01/2026</t>
        </is>
      </c>
      <c r="E1356" s="1" t="n">
        <v>2026</v>
      </c>
      <c r="F1356" s="1" t="inlineStr">
        <is>
          <t>ENERO</t>
        </is>
      </c>
      <c r="G1356" s="1" t="inlineStr">
        <is>
          <t>HAIFENG</t>
        </is>
      </c>
      <c r="H1356" s="1" t="inlineStr">
        <is>
          <t>HAIFENG 20/01/2026</t>
        </is>
      </c>
      <c r="I1356" s="4" t="n">
        <v>15</v>
      </c>
      <c r="J1356" s="6" t="n">
        <v>5</v>
      </c>
      <c r="K1356" s="6" t="n">
        <v>106.002089</v>
      </c>
      <c r="L1356" s="6">
        <f>I1356*K1356</f>
        <v/>
      </c>
      <c r="M1356" s="6">
        <f>K1356*4</f>
        <v/>
      </c>
      <c r="N1356" s="6" t="n">
        <v>499</v>
      </c>
    </row>
    <row r="1357">
      <c r="A1357" s="1" t="inlineStr">
        <is>
          <t>42981998657676</t>
        </is>
      </c>
      <c r="B1357" s="1" t="inlineStr">
        <is>
          <t>ARETES FR GOLD</t>
        </is>
      </c>
      <c r="C1357" s="1" t="inlineStr">
        <is>
          <t>Regular</t>
        </is>
      </c>
      <c r="D1357" s="1" t="inlineStr">
        <is>
          <t>01/04/2026</t>
        </is>
      </c>
      <c r="E1357" s="1" t="n">
        <v>2026</v>
      </c>
      <c r="F1357" s="1" t="inlineStr">
        <is>
          <t>ABRIL</t>
        </is>
      </c>
      <c r="G1357" s="1" t="inlineStr">
        <is>
          <t>NANCY</t>
        </is>
      </c>
      <c r="H1357" s="1" t="inlineStr">
        <is>
          <t>NANCY 01/04/2026</t>
        </is>
      </c>
      <c r="I1357" s="4" t="n">
        <v>19</v>
      </c>
      <c r="J1357" s="6" t="n">
        <v>5.59</v>
      </c>
      <c r="K1357" s="6" t="n">
        <v>133.8274486</v>
      </c>
      <c r="L1357" s="6">
        <f>I1357*K1357</f>
        <v/>
      </c>
      <c r="M1357" s="6">
        <f>K1357*4</f>
        <v/>
      </c>
      <c r="N1357" s="6" t="n">
        <v>499</v>
      </c>
    </row>
    <row r="1358">
      <c r="A1358" s="1" t="inlineStr">
        <is>
          <t>42981998657676</t>
        </is>
      </c>
      <c r="B1358" s="1" t="inlineStr">
        <is>
          <t>ARETES FR GOLD</t>
        </is>
      </c>
      <c r="C1358" s="1" t="inlineStr">
        <is>
          <t>Regular</t>
        </is>
      </c>
      <c r="D1358" s="1" t="inlineStr">
        <is>
          <t>31/05/2026</t>
        </is>
      </c>
      <c r="E1358" s="1" t="n">
        <v>2026</v>
      </c>
      <c r="F1358" s="1" t="inlineStr">
        <is>
          <t>MAYO</t>
        </is>
      </c>
      <c r="G1358" s="1" t="inlineStr">
        <is>
          <t>NANCY</t>
        </is>
      </c>
      <c r="H1358" s="1" t="inlineStr">
        <is>
          <t>NANCY 31/05/2026</t>
        </is>
      </c>
      <c r="I1358" s="4" t="n">
        <v>29</v>
      </c>
      <c r="J1358" s="6" t="n">
        <v>4.99</v>
      </c>
      <c r="K1358" s="6" t="n">
        <v>121.0952727</v>
      </c>
      <c r="L1358" s="6">
        <f>I1358*K1358</f>
        <v/>
      </c>
      <c r="M1358" s="6">
        <f>K1358*4</f>
        <v/>
      </c>
      <c r="N1358" s="6" t="n">
        <v>499</v>
      </c>
    </row>
    <row r="1359">
      <c r="A1359" s="1" t="inlineStr">
        <is>
          <t>42982006882444</t>
        </is>
      </c>
      <c r="B1359" s="1" t="inlineStr">
        <is>
          <t>ARETES FR GOLD CON PERLA</t>
        </is>
      </c>
      <c r="C1359" s="1" t="inlineStr">
        <is>
          <t>Default Title</t>
        </is>
      </c>
      <c r="D1359" s="1" t="inlineStr">
        <is>
          <t>06/09/2025</t>
        </is>
      </c>
      <c r="E1359" s="1" t="n">
        <v>2025</v>
      </c>
      <c r="F1359" s="1" t="inlineStr">
        <is>
          <t>SEPTIEMBRE</t>
        </is>
      </c>
      <c r="G1359" s="1" t="inlineStr">
        <is>
          <t>NANCY</t>
        </is>
      </c>
      <c r="H1359" s="1" t="inlineStr">
        <is>
          <t>NANCY 06/09/2025</t>
        </is>
      </c>
      <c r="I1359" s="4" t="n">
        <v>2</v>
      </c>
      <c r="J1359" s="6" t="n">
        <v>4.49</v>
      </c>
      <c r="K1359" s="6" t="n">
        <v>104.5526115</v>
      </c>
      <c r="L1359" s="6">
        <f>I1359*K1359</f>
        <v/>
      </c>
      <c r="M1359" s="6">
        <f>K1359*4</f>
        <v/>
      </c>
      <c r="N1359" s="6" t="n">
        <v>499</v>
      </c>
    </row>
    <row r="1360">
      <c r="A1360" s="1" t="inlineStr">
        <is>
          <t>42982006882444</t>
        </is>
      </c>
      <c r="B1360" s="1" t="inlineStr">
        <is>
          <t>ARETES FR GOLD CON PERLA</t>
        </is>
      </c>
      <c r="C1360" s="1" t="inlineStr">
        <is>
          <t>Default Title</t>
        </is>
      </c>
      <c r="D1360" s="1" t="inlineStr">
        <is>
          <t>03/12/2025</t>
        </is>
      </c>
      <c r="E1360" s="1" t="n">
        <v>2025</v>
      </c>
      <c r="F1360" s="1" t="inlineStr">
        <is>
          <t>DICIEMBRE</t>
        </is>
      </c>
      <c r="G1360" s="1" t="inlineStr">
        <is>
          <t>NANCY</t>
        </is>
      </c>
      <c r="H1360" s="1" t="inlineStr">
        <is>
          <t>NANCY 03/12/2025</t>
        </is>
      </c>
      <c r="I1360" s="4" t="n">
        <v>12</v>
      </c>
      <c r="J1360" s="6" t="n">
        <v>4.49</v>
      </c>
      <c r="K1360" s="6" t="n">
        <v>106.2187689</v>
      </c>
      <c r="L1360" s="6">
        <f>I1360*K1360</f>
        <v/>
      </c>
      <c r="M1360" s="6">
        <f>K1360*4</f>
        <v/>
      </c>
      <c r="N1360" s="6" t="n">
        <v>499</v>
      </c>
    </row>
    <row r="1361">
      <c r="A1361" s="1" t="inlineStr">
        <is>
          <t>42982006882444</t>
        </is>
      </c>
      <c r="B1361" s="1" t="inlineStr">
        <is>
          <t>ARETES FR GOLD CON PERLA</t>
        </is>
      </c>
      <c r="C1361" s="1" t="inlineStr">
        <is>
          <t>Default Title</t>
        </is>
      </c>
      <c r="D1361" s="1" t="inlineStr">
        <is>
          <t>20/01/2026</t>
        </is>
      </c>
      <c r="E1361" s="1" t="n">
        <v>2026</v>
      </c>
      <c r="F1361" s="1" t="inlineStr">
        <is>
          <t>ENERO</t>
        </is>
      </c>
      <c r="G1361" s="1" t="inlineStr">
        <is>
          <t>HAIFENG</t>
        </is>
      </c>
      <c r="H1361" s="1" t="inlineStr">
        <is>
          <t>HAIFENG 20/01/2026</t>
        </is>
      </c>
      <c r="I1361" s="4" t="n">
        <v>15</v>
      </c>
      <c r="J1361" s="6" t="n">
        <v>6</v>
      </c>
      <c r="K1361" s="6" t="n">
        <v>127.2025068</v>
      </c>
      <c r="L1361" s="6">
        <f>I1361*K1361</f>
        <v/>
      </c>
      <c r="M1361" s="6">
        <f>K1361*4</f>
        <v/>
      </c>
      <c r="N1361" s="6" t="n">
        <v>499</v>
      </c>
    </row>
    <row r="1362">
      <c r="A1362" s="1" t="inlineStr">
        <is>
          <t>42982006882444</t>
        </is>
      </c>
      <c r="B1362" s="1" t="inlineStr">
        <is>
          <t>ARETES FR GOLD CON PERLA</t>
        </is>
      </c>
      <c r="C1362" s="1" t="inlineStr">
        <is>
          <t>Default Title</t>
        </is>
      </c>
      <c r="D1362" s="1" t="inlineStr">
        <is>
          <t>01/04/2026</t>
        </is>
      </c>
      <c r="E1362" s="1" t="n">
        <v>2026</v>
      </c>
      <c r="F1362" s="1" t="inlineStr">
        <is>
          <t>ABRIL</t>
        </is>
      </c>
      <c r="G1362" s="1" t="inlineStr">
        <is>
          <t>NANCY</t>
        </is>
      </c>
      <c r="H1362" s="1" t="inlineStr">
        <is>
          <t>NANCY 01/04/2026</t>
        </is>
      </c>
      <c r="I1362" s="4" t="n">
        <v>6</v>
      </c>
      <c r="J1362" s="6" t="n">
        <v>5.59</v>
      </c>
      <c r="K1362" s="6" t="n">
        <v>133.8274486</v>
      </c>
      <c r="L1362" s="6">
        <f>I1362*K1362</f>
        <v/>
      </c>
      <c r="M1362" s="6">
        <f>K1362*4</f>
        <v/>
      </c>
      <c r="N1362" s="6" t="n">
        <v>499</v>
      </c>
    </row>
    <row r="1363">
      <c r="A1363" s="1" t="inlineStr">
        <is>
          <t>42982006882444</t>
        </is>
      </c>
      <c r="B1363" s="1" t="inlineStr">
        <is>
          <t>ARETES FR GOLD CON PERLA</t>
        </is>
      </c>
      <c r="C1363" s="1" t="inlineStr">
        <is>
          <t>Default Title</t>
        </is>
      </c>
      <c r="D1363" s="1" t="inlineStr">
        <is>
          <t>08/05/2026</t>
        </is>
      </c>
      <c r="E1363" s="1" t="n">
        <v>2026</v>
      </c>
      <c r="F1363" s="1" t="inlineStr">
        <is>
          <t>MAYO</t>
        </is>
      </c>
      <c r="G1363" s="1" t="inlineStr">
        <is>
          <t>NANCY</t>
        </is>
      </c>
      <c r="H1363" s="1" t="inlineStr">
        <is>
          <t>NANCY 08/05/2026</t>
        </is>
      </c>
      <c r="I1363" s="4" t="n">
        <v>8</v>
      </c>
      <c r="J1363" s="6" t="n">
        <v>4.49</v>
      </c>
      <c r="K1363" s="6" t="n">
        <v>106.2233451</v>
      </c>
      <c r="L1363" s="6">
        <f>I1363*K1363</f>
        <v/>
      </c>
      <c r="M1363" s="6">
        <f>K1363*4</f>
        <v/>
      </c>
      <c r="N1363" s="6" t="n">
        <v>499</v>
      </c>
    </row>
    <row r="1364">
      <c r="A1364" s="1" t="inlineStr">
        <is>
          <t>42982006882444</t>
        </is>
      </c>
      <c r="B1364" s="1" t="inlineStr">
        <is>
          <t>ARETES FR GOLD CON PERLA</t>
        </is>
      </c>
      <c r="C1364" s="1" t="inlineStr">
        <is>
          <t>Default Title</t>
        </is>
      </c>
      <c r="D1364" s="1" t="inlineStr">
        <is>
          <t>31/05/2026</t>
        </is>
      </c>
      <c r="E1364" s="1" t="n">
        <v>2026</v>
      </c>
      <c r="F1364" s="1" t="inlineStr">
        <is>
          <t>MAYO</t>
        </is>
      </c>
      <c r="G1364" s="1" t="inlineStr">
        <is>
          <t>NANCY</t>
        </is>
      </c>
      <c r="H1364" s="1" t="inlineStr">
        <is>
          <t>NANCY 31/05/2026</t>
        </is>
      </c>
      <c r="I1364" s="4" t="n">
        <v>3</v>
      </c>
      <c r="J1364" s="6" t="n">
        <v>4.99</v>
      </c>
      <c r="K1364" s="6" t="n">
        <v>121.0952727</v>
      </c>
      <c r="L1364" s="6">
        <f>I1364*K1364</f>
        <v/>
      </c>
      <c r="M1364" s="6">
        <f>K1364*4</f>
        <v/>
      </c>
      <c r="N1364" s="6" t="n">
        <v>499</v>
      </c>
    </row>
    <row r="1365">
      <c r="A1365" s="1" t="inlineStr">
        <is>
          <t>42982006882444</t>
        </is>
      </c>
      <c r="B1365" s="1" t="inlineStr">
        <is>
          <t>ARETES FR GOLD CON PERLA</t>
        </is>
      </c>
      <c r="C1365" s="1" t="inlineStr">
        <is>
          <t>Default Title</t>
        </is>
      </c>
      <c r="D1365" s="1" t="inlineStr">
        <is>
          <t>09/07/2026</t>
        </is>
      </c>
      <c r="E1365" s="1" t="n">
        <v>2026</v>
      </c>
      <c r="F1365" s="1" t="inlineStr">
        <is>
          <t>JULIO</t>
        </is>
      </c>
      <c r="G1365" s="1" t="inlineStr">
        <is>
          <t>NANCY</t>
        </is>
      </c>
      <c r="H1365" s="1" t="inlineStr">
        <is>
          <t>NANCY 09/07/2026</t>
        </is>
      </c>
      <c r="I1365" s="4" t="n">
        <v>7</v>
      </c>
      <c r="J1365" s="6" t="n">
        <v>4.99</v>
      </c>
      <c r="K1365" s="6" t="n">
        <v>121.5837117</v>
      </c>
      <c r="L1365" s="6">
        <f>I1365*K1365</f>
        <v/>
      </c>
      <c r="M1365" s="6">
        <f>K1365*4</f>
        <v/>
      </c>
      <c r="N1365" s="6" t="n">
        <v>499</v>
      </c>
    </row>
    <row r="1366">
      <c r="A1366" s="1" t="inlineStr">
        <is>
          <t>42982026674316</t>
        </is>
      </c>
      <c r="B1366" s="1" t="inlineStr">
        <is>
          <t>COLLAR V ROUND GOLD</t>
        </is>
      </c>
      <c r="C1366" s="1" t="inlineStr">
        <is>
          <t>51cm de largo</t>
        </is>
      </c>
      <c r="D1366" s="1" t="inlineStr">
        <is>
          <t>06/09/2025</t>
        </is>
      </c>
      <c r="E1366" s="1" t="n">
        <v>2025</v>
      </c>
      <c r="F1366" s="1" t="inlineStr">
        <is>
          <t>SEPTIEMBRE</t>
        </is>
      </c>
      <c r="G1366" s="1" t="inlineStr">
        <is>
          <t>NANCY</t>
        </is>
      </c>
      <c r="H1366" s="1" t="inlineStr">
        <is>
          <t>NANCY 06/09/2025</t>
        </is>
      </c>
      <c r="I1366" s="4" t="n">
        <v>3</v>
      </c>
      <c r="J1366" s="6" t="n">
        <v>5.59</v>
      </c>
      <c r="K1366" s="6" t="n">
        <v>130.1668371</v>
      </c>
      <c r="L1366" s="6">
        <f>I1366*K1366</f>
        <v/>
      </c>
      <c r="M1366" s="6">
        <f>K1366*4</f>
        <v/>
      </c>
      <c r="N1366" s="6" t="n">
        <v>580</v>
      </c>
    </row>
    <row r="1367">
      <c r="A1367" s="1" t="inlineStr">
        <is>
          <t>42982026674316</t>
        </is>
      </c>
      <c r="B1367" s="1" t="inlineStr">
        <is>
          <t>COLLAR V ROUND GOLD</t>
        </is>
      </c>
      <c r="C1367" s="1" t="inlineStr">
        <is>
          <t>51cm de largo</t>
        </is>
      </c>
      <c r="D1367" s="1" t="inlineStr">
        <is>
          <t>31/05/2026</t>
        </is>
      </c>
      <c r="E1367" s="1" t="n">
        <v>2026</v>
      </c>
      <c r="F1367" s="1" t="inlineStr">
        <is>
          <t>MAYO</t>
        </is>
      </c>
      <c r="G1367" s="1" t="inlineStr">
        <is>
          <t>NANCY</t>
        </is>
      </c>
      <c r="H1367" s="1" t="inlineStr">
        <is>
          <t>NANCY 31/05/2026</t>
        </is>
      </c>
      <c r="I1367" s="4" t="n">
        <v>5</v>
      </c>
      <c r="J1367" s="6" t="n">
        <v>6.29</v>
      </c>
      <c r="K1367" s="6" t="n">
        <v>152.6431393</v>
      </c>
      <c r="L1367" s="6">
        <f>I1367*K1367</f>
        <v/>
      </c>
      <c r="M1367" s="6">
        <f>K1367*4</f>
        <v/>
      </c>
      <c r="N1367" s="6" t="n">
        <v>580</v>
      </c>
    </row>
    <row r="1368">
      <c r="A1368" s="1" t="inlineStr">
        <is>
          <t>43010669576332</t>
        </is>
      </c>
      <c r="B1368" s="1" t="inlineStr">
        <is>
          <t>COLLAR TREBOL GREEN-ROSE GOLD</t>
        </is>
      </c>
      <c r="C1368" s="1" t="inlineStr">
        <is>
          <t>HIGH QUALITY 45cm</t>
        </is>
      </c>
      <c r="D1368" s="1" t="inlineStr">
        <is>
          <t>25/09/2025</t>
        </is>
      </c>
      <c r="E1368" s="1" t="n">
        <v>2025</v>
      </c>
      <c r="F1368" s="1" t="inlineStr">
        <is>
          <t>SEPTIEMBRE</t>
        </is>
      </c>
      <c r="G1368" s="1" t="inlineStr">
        <is>
          <t>HAIFENG</t>
        </is>
      </c>
      <c r="H1368" s="1" t="inlineStr">
        <is>
          <t>HAIFENG 25/09/2025</t>
        </is>
      </c>
      <c r="I1368" s="4" t="n">
        <v>4</v>
      </c>
      <c r="J1368" s="6" t="n">
        <v>11</v>
      </c>
      <c r="K1368" s="6" t="n">
        <v>232.0657435</v>
      </c>
      <c r="L1368" s="6">
        <f>I1368*K1368</f>
        <v/>
      </c>
      <c r="M1368" s="6">
        <f>K1368*4</f>
        <v/>
      </c>
      <c r="N1368" s="6" t="n">
        <v>899</v>
      </c>
    </row>
    <row r="1369">
      <c r="A1369" s="1" t="inlineStr">
        <is>
          <t>43010669576332</t>
        </is>
      </c>
      <c r="B1369" s="1" t="inlineStr">
        <is>
          <t>COLLAR TREBOL GREEN-ROSE GOLD</t>
        </is>
      </c>
      <c r="C1369" s="1" t="inlineStr">
        <is>
          <t>HIGH QUALITY 45cm</t>
        </is>
      </c>
      <c r="D1369" s="1" t="inlineStr">
        <is>
          <t>26/05/2026</t>
        </is>
      </c>
      <c r="E1369" s="1" t="n">
        <v>2026</v>
      </c>
      <c r="F1369" s="1" t="inlineStr">
        <is>
          <t>MAYO</t>
        </is>
      </c>
      <c r="G1369" s="1" t="inlineStr">
        <is>
          <t>HAIFENG</t>
        </is>
      </c>
      <c r="H1369" s="1" t="inlineStr">
        <is>
          <t>HAIFENG 26/05/2026</t>
        </is>
      </c>
      <c r="I1369" s="4" t="n">
        <v>3</v>
      </c>
      <c r="J1369" s="6" t="n">
        <v>4</v>
      </c>
      <c r="K1369" s="6" t="n">
        <v>83.95718118000001</v>
      </c>
      <c r="L1369" s="6">
        <f>I1369*K1369</f>
        <v/>
      </c>
      <c r="M1369" s="6">
        <f>K1369*4</f>
        <v/>
      </c>
      <c r="N1369" s="6" t="n">
        <v>899</v>
      </c>
    </row>
    <row r="1370">
      <c r="A1370" s="1" t="inlineStr">
        <is>
          <t>43016701149324</t>
        </is>
      </c>
      <c r="B1370" s="1" t="inlineStr">
        <is>
          <t>COLLAR ROUND T SILVER CON ZIRCONIAS</t>
        </is>
      </c>
      <c r="C1370" s="1" t="inlineStr">
        <is>
          <t>47cm de cadena dije: 3cm</t>
        </is>
      </c>
      <c r="D1370" s="1" t="inlineStr">
        <is>
          <t>03/12/2025</t>
        </is>
      </c>
      <c r="E1370" s="1" t="n">
        <v>2025</v>
      </c>
      <c r="F1370" s="1" t="inlineStr">
        <is>
          <t>DICIEMBRE</t>
        </is>
      </c>
      <c r="G1370" s="1" t="inlineStr">
        <is>
          <t>HAIFENG</t>
        </is>
      </c>
      <c r="H1370" s="1" t="inlineStr">
        <is>
          <t>HAIFENG 03/12/2025</t>
        </is>
      </c>
      <c r="I1370" s="4" t="n">
        <v>1</v>
      </c>
      <c r="J1370" s="6" t="n">
        <v>8.5</v>
      </c>
      <c r="K1370" s="6" t="n">
        <v>177.7958601</v>
      </c>
      <c r="L1370" s="6">
        <f>I1370*K1370</f>
        <v/>
      </c>
      <c r="M1370" s="6">
        <f>K1370*4</f>
        <v/>
      </c>
      <c r="N1370" s="6" t="n">
        <v>750</v>
      </c>
    </row>
    <row r="1371">
      <c r="A1371" s="1" t="inlineStr">
        <is>
          <t>43016706621580</t>
        </is>
      </c>
      <c r="B1371" s="1" t="inlineStr">
        <is>
          <t>COLLAR ROUND T ROSEGOLD CON ZIRCONIAS</t>
        </is>
      </c>
      <c r="C1371" s="1" t="inlineStr">
        <is>
          <t>47cm de cadena   dije: 3cm</t>
        </is>
      </c>
      <c r="D1371" s="1" t="inlineStr">
        <is>
          <t>25/09/2025</t>
        </is>
      </c>
      <c r="E1371" s="1" t="n">
        <v>2025</v>
      </c>
      <c r="F1371" s="1" t="inlineStr">
        <is>
          <t>SEPTIEMBRE</t>
        </is>
      </c>
      <c r="G1371" s="1" t="inlineStr">
        <is>
          <t>HAIFENG</t>
        </is>
      </c>
      <c r="H1371" s="1" t="inlineStr">
        <is>
          <t>HAIFENG 25/09/2025</t>
        </is>
      </c>
      <c r="I1371" s="4" t="n">
        <v>4</v>
      </c>
      <c r="J1371" s="6" t="n">
        <v>8.5</v>
      </c>
      <c r="K1371" s="6" t="n">
        <v>179.323529</v>
      </c>
      <c r="L1371" s="6">
        <f>I1371*K1371</f>
        <v/>
      </c>
      <c r="M1371" s="6">
        <f>K1371*4</f>
        <v/>
      </c>
      <c r="N1371" s="6" t="n">
        <v>750</v>
      </c>
    </row>
    <row r="1372">
      <c r="A1372" s="1" t="inlineStr">
        <is>
          <t>43016706621580</t>
        </is>
      </c>
      <c r="B1372" s="1" t="inlineStr">
        <is>
          <t>COLLAR ROUND T ROSEGOLD CON ZIRCONIAS</t>
        </is>
      </c>
      <c r="C1372" s="1" t="inlineStr">
        <is>
          <t>42cm de cadena dije: 3cm</t>
        </is>
      </c>
      <c r="D1372" s="1" t="inlineStr">
        <is>
          <t>16/04/2026</t>
        </is>
      </c>
      <c r="E1372" s="1" t="n">
        <v>2026</v>
      </c>
      <c r="F1372" s="1" t="inlineStr">
        <is>
          <t>ABRIL</t>
        </is>
      </c>
      <c r="G1372" s="1" t="inlineStr">
        <is>
          <t>HAIFENG</t>
        </is>
      </c>
      <c r="H1372" s="1" t="inlineStr">
        <is>
          <t>HAIFENG 16/04/2026</t>
        </is>
      </c>
      <c r="I1372" s="4" t="n">
        <v>3</v>
      </c>
      <c r="J1372" s="6" t="n">
        <v>8.5</v>
      </c>
      <c r="K1372" s="6" t="n">
        <v>178.7675255</v>
      </c>
      <c r="L1372" s="6">
        <f>I1372*K1372</f>
        <v/>
      </c>
      <c r="M1372" s="6">
        <f>K1372*4</f>
        <v/>
      </c>
      <c r="N1372" s="6" t="n">
        <v>750</v>
      </c>
    </row>
    <row r="1373">
      <c r="A1373" s="1" t="inlineStr">
        <is>
          <t>43016717566092</t>
        </is>
      </c>
      <c r="B1373" s="1" t="inlineStr">
        <is>
          <t>COLLAR CLASH ROSEGOLD</t>
        </is>
      </c>
      <c r="C1373" s="1" t="inlineStr">
        <is>
          <t>50cm</t>
        </is>
      </c>
      <c r="D1373" s="1" t="inlineStr">
        <is>
          <t>01/09/2025</t>
        </is>
      </c>
      <c r="E1373" s="1" t="n">
        <v>2025</v>
      </c>
      <c r="F1373" s="1" t="inlineStr">
        <is>
          <t>SEPTIEMBRE</t>
        </is>
      </c>
      <c r="G1373" s="1" t="inlineStr">
        <is>
          <t>HAIFENG</t>
        </is>
      </c>
      <c r="H1373" s="1" t="inlineStr">
        <is>
          <t>HAIFENG 01/09/2025</t>
        </is>
      </c>
      <c r="I1373" s="4" t="n">
        <v>3</v>
      </c>
      <c r="J1373" s="6" t="n">
        <v>7.99</v>
      </c>
      <c r="K1373" s="6" t="n">
        <v>169.8328118</v>
      </c>
      <c r="L1373" s="6">
        <f>I1373*K1373</f>
        <v/>
      </c>
      <c r="M1373" s="6">
        <f>K1373*4</f>
        <v/>
      </c>
      <c r="N1373" s="6" t="n">
        <v>700</v>
      </c>
    </row>
    <row r="1374">
      <c r="A1374" s="1" t="inlineStr">
        <is>
          <t>43016717566092</t>
        </is>
      </c>
      <c r="B1374" s="1" t="inlineStr">
        <is>
          <t>COLLAR CLASH ROSEGOLD</t>
        </is>
      </c>
      <c r="C1374" s="1" t="inlineStr">
        <is>
          <t>50cm</t>
        </is>
      </c>
      <c r="D1374" s="1" t="inlineStr">
        <is>
          <t>11/03/2026</t>
        </is>
      </c>
      <c r="E1374" s="1" t="n">
        <v>2026</v>
      </c>
      <c r="F1374" s="1" t="inlineStr">
        <is>
          <t>MARZO</t>
        </is>
      </c>
      <c r="G1374" s="1" t="inlineStr">
        <is>
          <t>HAIFENG</t>
        </is>
      </c>
      <c r="H1374" s="1" t="inlineStr">
        <is>
          <t>HAIFENG 11/03/2026</t>
        </is>
      </c>
      <c r="I1374" s="4" t="n">
        <v>1</v>
      </c>
      <c r="J1374" s="6" t="n">
        <v>8</v>
      </c>
      <c r="K1374" s="6" t="n">
        <v>170.4311697</v>
      </c>
      <c r="L1374" s="6">
        <f>I1374*K1374</f>
        <v/>
      </c>
      <c r="M1374" s="6">
        <f>K1374*4</f>
        <v/>
      </c>
      <c r="N1374" s="6" t="n">
        <v>700</v>
      </c>
    </row>
    <row r="1375">
      <c r="A1375" s="1" t="inlineStr">
        <is>
          <t>43016717566092</t>
        </is>
      </c>
      <c r="B1375" s="1" t="inlineStr">
        <is>
          <t>COLLAR CLASH ROSEGOLD</t>
        </is>
      </c>
      <c r="C1375" s="1" t="inlineStr">
        <is>
          <t>50cm</t>
        </is>
      </c>
      <c r="D1375" s="1" t="inlineStr">
        <is>
          <t>06/05/2026</t>
        </is>
      </c>
      <c r="E1375" s="1" t="n">
        <v>2026</v>
      </c>
      <c r="F1375" s="1" t="inlineStr">
        <is>
          <t>MAYO</t>
        </is>
      </c>
      <c r="G1375" s="1" t="inlineStr">
        <is>
          <t>HAIFENG</t>
        </is>
      </c>
      <c r="H1375" s="1" t="inlineStr">
        <is>
          <t>HAIFENG 06/05/2026</t>
        </is>
      </c>
      <c r="I1375" s="4" t="n">
        <v>3</v>
      </c>
      <c r="J1375" s="6" t="n">
        <v>7.99</v>
      </c>
      <c r="K1375" s="6" t="n">
        <v>169.5369517</v>
      </c>
      <c r="L1375" s="6">
        <f>I1375*K1375</f>
        <v/>
      </c>
      <c r="M1375" s="6">
        <f>K1375*4</f>
        <v/>
      </c>
      <c r="N1375" s="6" t="n">
        <v>700</v>
      </c>
    </row>
    <row r="1376">
      <c r="A1376" s="1" t="inlineStr">
        <is>
          <t>43020901133964</t>
        </is>
      </c>
      <c r="B1376" s="1" t="inlineStr">
        <is>
          <t>BOLSO LV NEVERFULL</t>
        </is>
      </c>
      <c r="C1376" s="1" t="inlineStr">
        <is>
          <t>47cm x 29cm</t>
        </is>
      </c>
      <c r="D1376" s="1" t="inlineStr">
        <is>
          <t>01/09/2025</t>
        </is>
      </c>
      <c r="E1376" s="1" t="n">
        <v>2025</v>
      </c>
      <c r="F1376" s="1" t="inlineStr">
        <is>
          <t>SEPTIEMBRE</t>
        </is>
      </c>
      <c r="G1376" s="1" t="inlineStr">
        <is>
          <t>ZOEY</t>
        </is>
      </c>
      <c r="H1376" s="1" t="inlineStr">
        <is>
          <t>ZOEY 01/09/2025</t>
        </is>
      </c>
      <c r="I1376" s="4" t="n">
        <v>10</v>
      </c>
      <c r="J1376" s="6" t="n">
        <v>40</v>
      </c>
      <c r="K1376" s="6" t="n">
        <v>1004.713784</v>
      </c>
      <c r="L1376" s="6">
        <f>I1376*K1376</f>
        <v/>
      </c>
      <c r="M1376" s="6">
        <f>K1376*4</f>
        <v/>
      </c>
      <c r="N1376" s="6" t="n">
        <v>3350</v>
      </c>
    </row>
    <row r="1377">
      <c r="A1377" s="1" t="inlineStr">
        <is>
          <t>43020901133964</t>
        </is>
      </c>
      <c r="B1377" s="1" t="inlineStr">
        <is>
          <t>BOLSO LV NEVERFULL</t>
        </is>
      </c>
      <c r="C1377" s="1" t="inlineStr">
        <is>
          <t>47cm x 29cm</t>
        </is>
      </c>
      <c r="D1377" s="1" t="inlineStr">
        <is>
          <t>20/01/2026</t>
        </is>
      </c>
      <c r="E1377" s="1" t="n">
        <v>2026</v>
      </c>
      <c r="F1377" s="1" t="inlineStr">
        <is>
          <t>ENERO</t>
        </is>
      </c>
      <c r="G1377" s="1" t="inlineStr">
        <is>
          <t>ZOEY</t>
        </is>
      </c>
      <c r="H1377" s="1" t="inlineStr">
        <is>
          <t>ZOEY 20/01/2026</t>
        </is>
      </c>
      <c r="I1377" s="4" t="n">
        <v>4</v>
      </c>
      <c r="J1377" s="6" t="n">
        <v>40</v>
      </c>
      <c r="K1377" s="6" t="n">
        <v>1041.263975</v>
      </c>
      <c r="L1377" s="6">
        <f>I1377*K1377</f>
        <v/>
      </c>
      <c r="M1377" s="6">
        <f>K1377*4</f>
        <v/>
      </c>
      <c r="N1377" s="6" t="n">
        <v>3899</v>
      </c>
    </row>
    <row r="1378">
      <c r="A1378" s="1" t="inlineStr">
        <is>
          <t>43020901133964</t>
        </is>
      </c>
      <c r="B1378" s="1" t="inlineStr">
        <is>
          <t>BOLSO LV NEVERFULL</t>
        </is>
      </c>
      <c r="C1378" s="1" t="inlineStr">
        <is>
          <t>47cm x 29cm</t>
        </is>
      </c>
      <c r="D1378" s="1" t="inlineStr">
        <is>
          <t>08/06/2026</t>
        </is>
      </c>
      <c r="E1378" s="1" t="n">
        <v>2026</v>
      </c>
      <c r="F1378" s="1" t="inlineStr">
        <is>
          <t>JUNIO</t>
        </is>
      </c>
      <c r="G1378" s="1" t="inlineStr">
        <is>
          <t>ZOEY</t>
        </is>
      </c>
      <c r="H1378" s="1" t="inlineStr">
        <is>
          <t>ZOEY 08/06/2026</t>
        </is>
      </c>
      <c r="I1378" s="4" t="n">
        <v>5</v>
      </c>
      <c r="J1378" s="6" t="n">
        <v>40</v>
      </c>
      <c r="K1378" s="6" t="n">
        <v>980.4574582</v>
      </c>
      <c r="L1378" s="6">
        <f>I1378*K1378</f>
        <v/>
      </c>
      <c r="M1378" s="6">
        <f>K1378*4</f>
        <v/>
      </c>
      <c r="N1378" s="6" t="n">
        <v>4200</v>
      </c>
    </row>
    <row r="1379">
      <c r="A1379" s="1" t="inlineStr">
        <is>
          <t>43026586435724</t>
        </is>
      </c>
      <c r="B1379" s="1" t="inlineStr">
        <is>
          <t>LENTES YSL SQUARE</t>
        </is>
      </c>
      <c r="C1379" s="1" t="inlineStr">
        <is>
          <t>HIGH QUALITY</t>
        </is>
      </c>
      <c r="D1379" s="1" t="inlineStr">
        <is>
          <t>07/01/2026</t>
        </is>
      </c>
      <c r="E1379" s="1" t="n">
        <v>2026</v>
      </c>
      <c r="F1379" s="1" t="inlineStr">
        <is>
          <t>ENERO</t>
        </is>
      </c>
      <c r="G1379" s="1" t="inlineStr">
        <is>
          <t>CYNTHIA</t>
        </is>
      </c>
      <c r="H1379" s="1" t="inlineStr">
        <is>
          <t>CYNTHIA 07/01/2026</t>
        </is>
      </c>
      <c r="I1379" s="4" t="n">
        <v>5</v>
      </c>
      <c r="J1379" s="6" t="n">
        <v>8</v>
      </c>
      <c r="K1379" s="6" t="n">
        <v>212.6994214</v>
      </c>
      <c r="L1379" s="6">
        <f>I1379*K1379</f>
        <v/>
      </c>
      <c r="M1379" s="6">
        <f>K1379*4</f>
        <v/>
      </c>
      <c r="N1379" s="6" t="n">
        <v>850</v>
      </c>
    </row>
    <row r="1380">
      <c r="A1380" s="1" t="inlineStr">
        <is>
          <t>43026586435724</t>
        </is>
      </c>
      <c r="B1380" s="1" t="inlineStr">
        <is>
          <t>LENTES YSL SQUARE</t>
        </is>
      </c>
      <c r="C1380" s="1" t="inlineStr">
        <is>
          <t>HIGH QUALITY</t>
        </is>
      </c>
      <c r="D1380" s="1" t="inlineStr">
        <is>
          <t>18/02/2026</t>
        </is>
      </c>
      <c r="E1380" s="1" t="n">
        <v>2026</v>
      </c>
      <c r="F1380" s="1" t="inlineStr">
        <is>
          <t>FEBRERO</t>
        </is>
      </c>
      <c r="G1380" s="1" t="inlineStr">
        <is>
          <t>CYNTHIA</t>
        </is>
      </c>
      <c r="H1380" s="1" t="inlineStr">
        <is>
          <t>CYNTHIA 18/02/2026</t>
        </is>
      </c>
      <c r="I1380" s="4" t="n">
        <v>5</v>
      </c>
      <c r="J1380" s="6" t="n">
        <v>8</v>
      </c>
      <c r="K1380" s="6" t="n">
        <v>216.3469216</v>
      </c>
      <c r="L1380" s="6">
        <f>I1380*K1380</f>
        <v/>
      </c>
      <c r="M1380" s="6">
        <f>K1380*4</f>
        <v/>
      </c>
      <c r="N1380" s="6" t="n">
        <v>850</v>
      </c>
    </row>
    <row r="1381">
      <c r="A1381" s="1" t="inlineStr">
        <is>
          <t>43026586435724</t>
        </is>
      </c>
      <c r="B1381" s="1" t="inlineStr">
        <is>
          <t>LENTES YSL SQUARE</t>
        </is>
      </c>
      <c r="C1381" s="1" t="inlineStr">
        <is>
          <t>HIGH QUALITY</t>
        </is>
      </c>
      <c r="D1381" s="1" t="inlineStr">
        <is>
          <t>19/03/2026</t>
        </is>
      </c>
      <c r="E1381" s="1" t="n">
        <v>2026</v>
      </c>
      <c r="F1381" s="1" t="inlineStr">
        <is>
          <t>MARZO</t>
        </is>
      </c>
      <c r="G1381" s="1" t="inlineStr">
        <is>
          <t>CYNTHIA</t>
        </is>
      </c>
      <c r="H1381" s="1" t="inlineStr">
        <is>
          <t>CYNTHIA 19/03/2026</t>
        </is>
      </c>
      <c r="I1381" s="4" t="n">
        <v>3</v>
      </c>
      <c r="J1381" s="6" t="n">
        <v>8</v>
      </c>
      <c r="K1381" s="6" t="n">
        <v>214.8593263</v>
      </c>
      <c r="L1381" s="6">
        <f>I1381*K1381</f>
        <v/>
      </c>
      <c r="M1381" s="6">
        <f>K1381*4</f>
        <v/>
      </c>
      <c r="N1381" s="6" t="n">
        <v>850</v>
      </c>
    </row>
    <row r="1382">
      <c r="A1382" s="1" t="inlineStr">
        <is>
          <t>43026586435724</t>
        </is>
      </c>
      <c r="B1382" s="1" t="inlineStr">
        <is>
          <t>LENTES YSL SQUARE</t>
        </is>
      </c>
      <c r="C1382" s="1" t="inlineStr">
        <is>
          <t>HIGH QUALITY</t>
        </is>
      </c>
      <c r="D1382" s="1" t="inlineStr">
        <is>
          <t>27/04/2026</t>
        </is>
      </c>
      <c r="E1382" s="1" t="n">
        <v>2026</v>
      </c>
      <c r="F1382" s="1" t="inlineStr">
        <is>
          <t>ABRIL</t>
        </is>
      </c>
      <c r="G1382" s="1" t="inlineStr">
        <is>
          <t>CYNTHIA</t>
        </is>
      </c>
      <c r="H1382" s="1" t="inlineStr">
        <is>
          <t>CYNTHIA 27/04/2026</t>
        </is>
      </c>
      <c r="I1382" s="4" t="n">
        <v>3</v>
      </c>
      <c r="J1382" s="6" t="n">
        <v>8</v>
      </c>
      <c r="K1382" s="6" t="n">
        <v>207.6007409</v>
      </c>
      <c r="L1382" s="6">
        <f>I1382*K1382</f>
        <v/>
      </c>
      <c r="M1382" s="6">
        <f>K1382*4</f>
        <v/>
      </c>
      <c r="N1382" s="6" t="n">
        <v>850</v>
      </c>
    </row>
    <row r="1383">
      <c r="A1383" s="1" t="inlineStr">
        <is>
          <t>43026586435724</t>
        </is>
      </c>
      <c r="B1383" s="1" t="inlineStr">
        <is>
          <t>LENTES YSL SQUARE</t>
        </is>
      </c>
      <c r="C1383" s="1" t="inlineStr">
        <is>
          <t>HIGH QUALITY</t>
        </is>
      </c>
      <c r="D1383" s="1" t="inlineStr">
        <is>
          <t>31/05/2026</t>
        </is>
      </c>
      <c r="E1383" s="1" t="n">
        <v>2026</v>
      </c>
      <c r="F1383" s="1" t="inlineStr">
        <is>
          <t>MAYO</t>
        </is>
      </c>
      <c r="G1383" s="1" t="inlineStr">
        <is>
          <t>CYNTHIA</t>
        </is>
      </c>
      <c r="H1383" s="1" t="inlineStr">
        <is>
          <t>CYNTHIA 31/05/2026</t>
        </is>
      </c>
      <c r="I1383" s="4" t="n">
        <v>3</v>
      </c>
      <c r="J1383" s="6" t="n">
        <v>8</v>
      </c>
      <c r="K1383" s="6" t="n">
        <v>212.0083598</v>
      </c>
      <c r="L1383" s="6">
        <f>I1383*K1383</f>
        <v/>
      </c>
      <c r="M1383" s="6">
        <f>K1383*4</f>
        <v/>
      </c>
      <c r="N1383" s="6" t="n">
        <v>850</v>
      </c>
    </row>
    <row r="1384">
      <c r="A1384" s="1" t="inlineStr">
        <is>
          <t>43026599575692</t>
        </is>
      </c>
      <c r="B1384" s="1" t="inlineStr">
        <is>
          <t>LENTES YSL</t>
        </is>
      </c>
      <c r="C1384" s="1" t="inlineStr">
        <is>
          <t>Regular</t>
        </is>
      </c>
      <c r="D1384" s="1" t="inlineStr">
        <is>
          <t>07/01/2026</t>
        </is>
      </c>
      <c r="E1384" s="1" t="n">
        <v>2026</v>
      </c>
      <c r="F1384" s="1" t="inlineStr">
        <is>
          <t>ENERO</t>
        </is>
      </c>
      <c r="G1384" s="1" t="inlineStr">
        <is>
          <t>CYNTHIA</t>
        </is>
      </c>
      <c r="H1384" s="1" t="inlineStr">
        <is>
          <t>CYNTHIA 07/01/2026</t>
        </is>
      </c>
      <c r="I1384" s="4" t="n">
        <v>5</v>
      </c>
      <c r="J1384" s="6" t="n">
        <v>8</v>
      </c>
      <c r="K1384" s="6" t="n">
        <v>212.6994214</v>
      </c>
      <c r="L1384" s="6">
        <f>I1384*K1384</f>
        <v/>
      </c>
      <c r="M1384" s="6">
        <f>K1384*4</f>
        <v/>
      </c>
      <c r="N1384" s="6" t="n">
        <v>860</v>
      </c>
    </row>
    <row r="1385">
      <c r="A1385" s="1" t="inlineStr">
        <is>
          <t>43026599575692</t>
        </is>
      </c>
      <c r="B1385" s="1" t="inlineStr">
        <is>
          <t>LENTES YSL</t>
        </is>
      </c>
      <c r="C1385" s="1" t="inlineStr">
        <is>
          <t>Regular</t>
        </is>
      </c>
      <c r="D1385" s="1" t="inlineStr">
        <is>
          <t>18/02/2026</t>
        </is>
      </c>
      <c r="E1385" s="1" t="n">
        <v>2026</v>
      </c>
      <c r="F1385" s="1" t="inlineStr">
        <is>
          <t>FEBRERO</t>
        </is>
      </c>
      <c r="G1385" s="1" t="inlineStr">
        <is>
          <t>CYNTHIA</t>
        </is>
      </c>
      <c r="H1385" s="1" t="inlineStr">
        <is>
          <t>CYNTHIA 18/02/2026</t>
        </is>
      </c>
      <c r="I1385" s="4" t="n">
        <v>5</v>
      </c>
      <c r="J1385" s="6" t="n">
        <v>8</v>
      </c>
      <c r="K1385" s="6" t="n">
        <v>216.3469216</v>
      </c>
      <c r="L1385" s="6">
        <f>I1385*K1385</f>
        <v/>
      </c>
      <c r="M1385" s="6">
        <f>K1385*4</f>
        <v/>
      </c>
      <c r="N1385" s="6" t="n">
        <v>860</v>
      </c>
    </row>
    <row r="1386">
      <c r="A1386" s="1" t="inlineStr">
        <is>
          <t>43026599575692</t>
        </is>
      </c>
      <c r="B1386" s="1" t="inlineStr">
        <is>
          <t>LENTES YSL</t>
        </is>
      </c>
      <c r="C1386" s="1" t="inlineStr">
        <is>
          <t>Regular</t>
        </is>
      </c>
      <c r="D1386" s="1" t="inlineStr">
        <is>
          <t>19/03/2026</t>
        </is>
      </c>
      <c r="E1386" s="1" t="n">
        <v>2026</v>
      </c>
      <c r="F1386" s="1" t="inlineStr">
        <is>
          <t>MARZO</t>
        </is>
      </c>
      <c r="G1386" s="1" t="inlineStr">
        <is>
          <t>CYNTHIA</t>
        </is>
      </c>
      <c r="H1386" s="1" t="inlineStr">
        <is>
          <t>CYNTHIA 19/03/2026</t>
        </is>
      </c>
      <c r="I1386" s="4" t="n">
        <v>10</v>
      </c>
      <c r="J1386" s="6" t="n">
        <v>8</v>
      </c>
      <c r="K1386" s="6" t="n">
        <v>214.8593263</v>
      </c>
      <c r="L1386" s="6">
        <f>I1386*K1386</f>
        <v/>
      </c>
      <c r="M1386" s="6">
        <f>K1386*4</f>
        <v/>
      </c>
      <c r="N1386" s="6" t="n">
        <v>860</v>
      </c>
    </row>
    <row r="1387">
      <c r="A1387" s="1" t="inlineStr">
        <is>
          <t>43026605146252</t>
        </is>
      </c>
      <c r="B1387" s="1" t="inlineStr">
        <is>
          <t>BOLSO G BLACK</t>
        </is>
      </c>
      <c r="C1387" s="1" t="inlineStr">
        <is>
          <t>Default Title</t>
        </is>
      </c>
      <c r="D1387" s="1" t="inlineStr">
        <is>
          <t>05/09/2025</t>
        </is>
      </c>
      <c r="E1387" s="1" t="n">
        <v>2025</v>
      </c>
      <c r="F1387" s="1" t="inlineStr">
        <is>
          <t>SEPTIEMBRE</t>
        </is>
      </c>
      <c r="G1387" s="1" t="inlineStr">
        <is>
          <t>CYNTHIA</t>
        </is>
      </c>
      <c r="H1387" s="1" t="inlineStr">
        <is>
          <t>CYNTHIA 05/09/2025</t>
        </is>
      </c>
      <c r="I1387" s="4" t="n">
        <v>3</v>
      </c>
      <c r="J1387" s="6" t="n">
        <v>40</v>
      </c>
      <c r="K1387" s="6" t="n">
        <v>1007.163877</v>
      </c>
      <c r="L1387" s="6">
        <f>I1387*K1387</f>
        <v/>
      </c>
      <c r="M1387" s="6">
        <f>K1387*4</f>
        <v/>
      </c>
      <c r="N1387" s="6" t="n">
        <v>5200</v>
      </c>
    </row>
    <row r="1388">
      <c r="A1388" s="1" t="inlineStr">
        <is>
          <t>43026605146252</t>
        </is>
      </c>
      <c r="B1388" s="1" t="inlineStr">
        <is>
          <t>BOLSO G BLACK</t>
        </is>
      </c>
      <c r="C1388" s="1" t="inlineStr">
        <is>
          <t>Default Title</t>
        </is>
      </c>
      <c r="D1388" s="1" t="inlineStr">
        <is>
          <t>07/01/2026</t>
        </is>
      </c>
      <c r="E1388" s="1" t="n">
        <v>2026</v>
      </c>
      <c r="F1388" s="1" t="inlineStr">
        <is>
          <t>ENERO</t>
        </is>
      </c>
      <c r="G1388" s="1" t="inlineStr">
        <is>
          <t>CYNTHIA</t>
        </is>
      </c>
      <c r="H1388" s="1" t="inlineStr">
        <is>
          <t>CYNTHIA 07/01/2026</t>
        </is>
      </c>
      <c r="I1388" s="4" t="n">
        <v>5</v>
      </c>
      <c r="J1388" s="6" t="n">
        <v>49</v>
      </c>
      <c r="K1388" s="6" t="n">
        <v>1302.783956</v>
      </c>
      <c r="L1388" s="6">
        <f>I1388*K1388</f>
        <v/>
      </c>
      <c r="M1388" s="6">
        <f>K1388*4</f>
        <v/>
      </c>
      <c r="N1388" s="6" t="n">
        <v>5200</v>
      </c>
    </row>
    <row r="1389">
      <c r="A1389" s="1" t="inlineStr">
        <is>
          <t>43026605146252</t>
        </is>
      </c>
      <c r="B1389" s="1" t="inlineStr">
        <is>
          <t>BOLSO G BLACK</t>
        </is>
      </c>
      <c r="C1389" s="1" t="inlineStr">
        <is>
          <t>Default Title</t>
        </is>
      </c>
      <c r="D1389" s="1" t="inlineStr">
        <is>
          <t>19/03/2026</t>
        </is>
      </c>
      <c r="E1389" s="1" t="n">
        <v>2026</v>
      </c>
      <c r="F1389" s="1" t="inlineStr">
        <is>
          <t>MARZO</t>
        </is>
      </c>
      <c r="G1389" s="1" t="inlineStr">
        <is>
          <t>CYNTHIA</t>
        </is>
      </c>
      <c r="H1389" s="1" t="inlineStr">
        <is>
          <t>CYNTHIA 19/03/2026</t>
        </is>
      </c>
      <c r="I1389" s="4" t="n">
        <v>2</v>
      </c>
      <c r="J1389" s="6" t="n">
        <v>49</v>
      </c>
      <c r="K1389" s="6" t="n">
        <v>1316.013374</v>
      </c>
      <c r="L1389" s="6">
        <f>I1389*K1389</f>
        <v/>
      </c>
      <c r="M1389" s="6">
        <f>K1389*4</f>
        <v/>
      </c>
      <c r="N1389" s="6" t="n">
        <v>5200</v>
      </c>
    </row>
    <row r="1390">
      <c r="A1390" s="1" t="inlineStr">
        <is>
          <t>43026605146252</t>
        </is>
      </c>
      <c r="B1390" s="1" t="inlineStr">
        <is>
          <t>BOLSO G BLACK</t>
        </is>
      </c>
      <c r="C1390" s="1" t="inlineStr">
        <is>
          <t>Default Title</t>
        </is>
      </c>
      <c r="D1390" s="1" t="inlineStr">
        <is>
          <t>31/05/2026</t>
        </is>
      </c>
      <c r="E1390" s="1" t="n">
        <v>2026</v>
      </c>
      <c r="F1390" s="1" t="inlineStr">
        <is>
          <t>MAYO</t>
        </is>
      </c>
      <c r="G1390" s="1" t="inlineStr">
        <is>
          <t>CYNTHIA</t>
        </is>
      </c>
      <c r="H1390" s="1" t="inlineStr">
        <is>
          <t>CYNTHIA 31/05/2026</t>
        </is>
      </c>
      <c r="I1390" s="4" t="n">
        <v>7</v>
      </c>
      <c r="J1390" s="6" t="n">
        <v>49</v>
      </c>
      <c r="K1390" s="6" t="n">
        <v>1298.551204</v>
      </c>
      <c r="L1390" s="6">
        <f>I1390*K1390</f>
        <v/>
      </c>
      <c r="M1390" s="6">
        <f>K1390*4</f>
        <v/>
      </c>
      <c r="N1390" s="6" t="n">
        <v>5200</v>
      </c>
    </row>
    <row r="1391">
      <c r="A1391" s="1" t="inlineStr">
        <is>
          <t>43026762793100</t>
        </is>
      </c>
      <c r="B1391" s="1" t="inlineStr">
        <is>
          <t>TRAJE DE BAÑO PR BLACK</t>
        </is>
      </c>
      <c r="C1391" s="1" t="inlineStr">
        <is>
          <t>M</t>
        </is>
      </c>
      <c r="D1391" s="1" t="inlineStr">
        <is>
          <t>19/03/2026</t>
        </is>
      </c>
      <c r="E1391" s="1" t="n">
        <v>2026</v>
      </c>
      <c r="F1391" s="1" t="inlineStr">
        <is>
          <t>MARZO</t>
        </is>
      </c>
      <c r="G1391" s="1" t="inlineStr">
        <is>
          <t>CYNTHIA</t>
        </is>
      </c>
      <c r="H1391" s="1" t="inlineStr">
        <is>
          <t>CYNTHIA 19/03/2026</t>
        </is>
      </c>
      <c r="I1391" s="4" t="n">
        <v>3</v>
      </c>
      <c r="J1391" s="6" t="n">
        <v>10.8</v>
      </c>
      <c r="K1391" s="6" t="n">
        <v>290.0600906</v>
      </c>
      <c r="L1391" s="6">
        <f>I1391*K1391</f>
        <v/>
      </c>
      <c r="M1391" s="6">
        <f>K1391*4</f>
        <v/>
      </c>
      <c r="N1391" s="6" t="n">
        <v>1199</v>
      </c>
    </row>
    <row r="1392">
      <c r="A1392" s="1" t="inlineStr">
        <is>
          <t>43026765774988</t>
        </is>
      </c>
      <c r="B1392" s="1" t="inlineStr">
        <is>
          <t>TRAJE DE BAÑO COMPLETO VC</t>
        </is>
      </c>
      <c r="C1392" s="1" t="inlineStr">
        <is>
          <t>M</t>
        </is>
      </c>
      <c r="D1392" s="1" t="inlineStr">
        <is>
          <t>27/04/2026</t>
        </is>
      </c>
      <c r="E1392" s="1" t="n">
        <v>2026</v>
      </c>
      <c r="F1392" s="1" t="inlineStr">
        <is>
          <t>ABRIL</t>
        </is>
      </c>
      <c r="G1392" s="1" t="inlineStr">
        <is>
          <t>CYNTHIA</t>
        </is>
      </c>
      <c r="H1392" s="1" t="inlineStr">
        <is>
          <t>CYNTHIA 27/04/2026</t>
        </is>
      </c>
      <c r="I1392" s="4" t="n">
        <v>3</v>
      </c>
      <c r="J1392" s="6" t="n">
        <v>12.8</v>
      </c>
      <c r="K1392" s="6" t="n">
        <v>332.1611855</v>
      </c>
      <c r="L1392" s="6">
        <f>I1392*K1392</f>
        <v/>
      </c>
      <c r="M1392" s="6">
        <f>K1392*4</f>
        <v/>
      </c>
      <c r="N1392" s="6" t="n">
        <v>1359</v>
      </c>
    </row>
    <row r="1393">
      <c r="A1393" s="1" t="inlineStr">
        <is>
          <t>43026767806604</t>
        </is>
      </c>
      <c r="B1393" s="1" t="inlineStr">
        <is>
          <t>TRAJE DE BAÑO GC</t>
        </is>
      </c>
      <c r="C1393" s="1" t="inlineStr">
        <is>
          <t>M</t>
        </is>
      </c>
      <c r="D1393" s="1" t="inlineStr">
        <is>
          <t>19/03/2026</t>
        </is>
      </c>
      <c r="E1393" s="1" t="n">
        <v>2026</v>
      </c>
      <c r="F1393" s="1" t="inlineStr">
        <is>
          <t>MARZO</t>
        </is>
      </c>
      <c r="G1393" s="1" t="inlineStr">
        <is>
          <t>CYNTHIA</t>
        </is>
      </c>
      <c r="H1393" s="1" t="inlineStr">
        <is>
          <t>CYNTHIA 19/03/2026</t>
        </is>
      </c>
      <c r="I1393" s="4" t="n">
        <v>3</v>
      </c>
      <c r="J1393" s="6" t="n">
        <v>10.8</v>
      </c>
      <c r="K1393" s="6" t="n">
        <v>290.0600906</v>
      </c>
      <c r="L1393" s="6">
        <f>I1393*K1393</f>
        <v/>
      </c>
      <c r="M1393" s="6">
        <f>K1393*4</f>
        <v/>
      </c>
      <c r="N1393" s="6" t="n">
        <v>1129</v>
      </c>
    </row>
    <row r="1394">
      <c r="A1394" s="1" t="inlineStr">
        <is>
          <t>43047194886284</t>
        </is>
      </c>
      <c r="B1394" s="1" t="inlineStr">
        <is>
          <t>COLLAR CORAZÓN GOLD</t>
        </is>
      </c>
      <c r="C1394" s="1" t="inlineStr">
        <is>
          <t>40cm con 6.5cm de extensión.</t>
        </is>
      </c>
      <c r="D1394" s="1" t="inlineStr">
        <is>
          <t>19/03/2026</t>
        </is>
      </c>
      <c r="E1394" s="1" t="n">
        <v>2026</v>
      </c>
      <c r="F1394" s="1" t="inlineStr">
        <is>
          <t>MARZO</t>
        </is>
      </c>
      <c r="G1394" s="1" t="inlineStr">
        <is>
          <t>ZOEY</t>
        </is>
      </c>
      <c r="H1394" s="1" t="inlineStr">
        <is>
          <t>ZOEY 19/03/2026</t>
        </is>
      </c>
      <c r="I1394" s="4" t="n">
        <v>12</v>
      </c>
      <c r="J1394" s="6" t="n">
        <v>9</v>
      </c>
      <c r="K1394" s="6" t="n">
        <v>232.0384465</v>
      </c>
      <c r="L1394" s="6">
        <f>I1394*K1394</f>
        <v/>
      </c>
      <c r="M1394" s="6">
        <f>K1394*4</f>
        <v/>
      </c>
      <c r="N1394" s="6" t="n">
        <v>975</v>
      </c>
    </row>
    <row r="1395">
      <c r="A1395" s="1" t="inlineStr">
        <is>
          <t>43047194886284</t>
        </is>
      </c>
      <c r="B1395" s="1" t="inlineStr">
        <is>
          <t>COLLAR CORAZÓN GOLD</t>
        </is>
      </c>
      <c r="C1395" s="1" t="inlineStr">
        <is>
          <t>40cm con 6.5cm de extensión.</t>
        </is>
      </c>
      <c r="D1395" s="1" t="inlineStr">
        <is>
          <t>15/05/2026</t>
        </is>
      </c>
      <c r="E1395" s="1" t="n">
        <v>2026</v>
      </c>
      <c r="F1395" s="1" t="inlineStr">
        <is>
          <t>MAYO</t>
        </is>
      </c>
      <c r="G1395" s="1" t="inlineStr">
        <is>
          <t>ZOEY</t>
        </is>
      </c>
      <c r="H1395" s="1" t="inlineStr">
        <is>
          <t>ZOEY 15/05/2026</t>
        </is>
      </c>
      <c r="I1395" s="4" t="n">
        <v>3</v>
      </c>
      <c r="J1395" s="6" t="n">
        <v>9</v>
      </c>
      <c r="K1395" s="6" t="n">
        <v>238.5416204</v>
      </c>
      <c r="L1395" s="6">
        <f>I1395*K1395</f>
        <v/>
      </c>
      <c r="M1395" s="6">
        <f>K1395*4</f>
        <v/>
      </c>
      <c r="N1395" s="6" t="n">
        <v>975</v>
      </c>
    </row>
    <row r="1396">
      <c r="A1396" s="1" t="inlineStr">
        <is>
          <t>43047195574412</t>
        </is>
      </c>
      <c r="B1396" s="1" t="inlineStr">
        <is>
          <t>PULSERA ESLABONES ROSE GOLD</t>
        </is>
      </c>
      <c r="C1396" s="1" t="inlineStr">
        <is>
          <t>17.5cm</t>
        </is>
      </c>
      <c r="D1396" s="1" t="inlineStr">
        <is>
          <t>05/09/2025</t>
        </is>
      </c>
      <c r="E1396" s="1" t="n">
        <v>2025</v>
      </c>
      <c r="F1396" s="1" t="inlineStr">
        <is>
          <t>SEPTIEMBRE</t>
        </is>
      </c>
      <c r="G1396" s="1" t="inlineStr">
        <is>
          <t>CYNTHIA</t>
        </is>
      </c>
      <c r="H1396" s="1" t="inlineStr">
        <is>
          <t>CYNTHIA 05/09/2025</t>
        </is>
      </c>
      <c r="I1396" s="4" t="n">
        <v>3</v>
      </c>
      <c r="J1396" s="6" t="n">
        <v>12.8</v>
      </c>
      <c r="K1396" s="6" t="n">
        <v>322.2924407</v>
      </c>
      <c r="L1396" s="6">
        <f>I1396*K1396</f>
        <v/>
      </c>
      <c r="M1396" s="6">
        <f>K1396*4</f>
        <v/>
      </c>
      <c r="N1396" s="6" t="n">
        <v>1200</v>
      </c>
    </row>
    <row r="1397">
      <c r="A1397" s="1" t="inlineStr">
        <is>
          <t>43047195574412</t>
        </is>
      </c>
      <c r="B1397" s="1" t="inlineStr">
        <is>
          <t>PULSERA ESLABONES ROSE GOLD</t>
        </is>
      </c>
      <c r="C1397" s="1" t="inlineStr">
        <is>
          <t>17.5cm</t>
        </is>
      </c>
      <c r="D1397" s="1" t="inlineStr">
        <is>
          <t>07/01/2026</t>
        </is>
      </c>
      <c r="E1397" s="1" t="n">
        <v>2026</v>
      </c>
      <c r="F1397" s="1" t="inlineStr">
        <is>
          <t>ENERO</t>
        </is>
      </c>
      <c r="G1397" s="1" t="inlineStr">
        <is>
          <t>CYNTHIA</t>
        </is>
      </c>
      <c r="H1397" s="1" t="inlineStr">
        <is>
          <t>CYNTHIA 07/01/2026</t>
        </is>
      </c>
      <c r="I1397" s="4" t="n">
        <v>3</v>
      </c>
      <c r="J1397" s="6" t="n">
        <v>12.8</v>
      </c>
      <c r="K1397" s="6" t="n">
        <v>340.3190742</v>
      </c>
      <c r="L1397" s="6">
        <f>I1397*K1397</f>
        <v/>
      </c>
      <c r="M1397" s="6">
        <f>K1397*4</f>
        <v/>
      </c>
      <c r="N1397" s="6" t="n">
        <v>1445</v>
      </c>
    </row>
    <row r="1398">
      <c r="A1398" s="1" t="inlineStr">
        <is>
          <t>43047195574412</t>
        </is>
      </c>
      <c r="B1398" s="1" t="inlineStr">
        <is>
          <t>PULSERA ESLABONES ROSE GOLD</t>
        </is>
      </c>
      <c r="C1398" s="1" t="inlineStr">
        <is>
          <t>17.5cm</t>
        </is>
      </c>
      <c r="D1398" s="1" t="inlineStr">
        <is>
          <t>27/04/2026</t>
        </is>
      </c>
      <c r="E1398" s="1" t="n">
        <v>2026</v>
      </c>
      <c r="F1398" s="1" t="inlineStr">
        <is>
          <t>ABRIL</t>
        </is>
      </c>
      <c r="G1398" s="1" t="inlineStr">
        <is>
          <t>CYNTHIA</t>
        </is>
      </c>
      <c r="H1398" s="1" t="inlineStr">
        <is>
          <t>CYNTHIA 27/04/2026</t>
        </is>
      </c>
      <c r="I1398" s="4" t="n">
        <v>1</v>
      </c>
      <c r="J1398" s="6" t="n">
        <v>13.8</v>
      </c>
      <c r="K1398" s="6" t="n">
        <v>358.1112781</v>
      </c>
      <c r="L1398" s="6">
        <f>I1398*K1398</f>
        <v/>
      </c>
      <c r="M1398" s="6">
        <f>K1398*4</f>
        <v/>
      </c>
      <c r="N1398" s="6" t="n">
        <v>1445</v>
      </c>
    </row>
    <row r="1399">
      <c r="A1399" s="1" t="inlineStr">
        <is>
          <t>43047195607180</t>
        </is>
      </c>
      <c r="B1399" s="1" t="inlineStr">
        <is>
          <t>PULSERA ESLABONES ROSE GOLD</t>
        </is>
      </c>
      <c r="C1399" s="1" t="inlineStr">
        <is>
          <t>20.5cm</t>
        </is>
      </c>
      <c r="D1399" s="1" t="inlineStr">
        <is>
          <t>25/10/2025</t>
        </is>
      </c>
      <c r="E1399" s="1" t="n">
        <v>2025</v>
      </c>
      <c r="F1399" s="1" t="inlineStr">
        <is>
          <t>OCTUBRE</t>
        </is>
      </c>
      <c r="G1399" s="1" t="inlineStr">
        <is>
          <t>CYNTHIA</t>
        </is>
      </c>
      <c r="H1399" s="1" t="inlineStr">
        <is>
          <t>CYNTHIA 25/10/2025</t>
        </is>
      </c>
      <c r="I1399" s="4" t="n">
        <v>3</v>
      </c>
      <c r="J1399" s="6" t="n">
        <v>15.8</v>
      </c>
      <c r="K1399" s="6" t="n">
        <v>413.9888127</v>
      </c>
      <c r="L1399" s="6">
        <f>I1399*K1399</f>
        <v/>
      </c>
      <c r="M1399" s="6">
        <f>K1399*4</f>
        <v/>
      </c>
      <c r="N1399" s="6" t="n">
        <v>1320</v>
      </c>
    </row>
    <row r="1400">
      <c r="A1400" s="1" t="inlineStr">
        <is>
          <t>43047195607180</t>
        </is>
      </c>
      <c r="B1400" s="1" t="inlineStr">
        <is>
          <t>PULSERA ESLABONES ROSE GOLD</t>
        </is>
      </c>
      <c r="C1400" s="1" t="inlineStr">
        <is>
          <t>20.5cm</t>
        </is>
      </c>
      <c r="D1400" s="1" t="inlineStr">
        <is>
          <t>27/04/2026</t>
        </is>
      </c>
      <c r="E1400" s="1" t="n">
        <v>2026</v>
      </c>
      <c r="F1400" s="1" t="inlineStr">
        <is>
          <t>ABRIL</t>
        </is>
      </c>
      <c r="G1400" s="1" t="inlineStr">
        <is>
          <t>CYNTHIA</t>
        </is>
      </c>
      <c r="H1400" s="1" t="inlineStr">
        <is>
          <t>CYNTHIA 27/04/2026</t>
        </is>
      </c>
      <c r="I1400" s="4" t="n">
        <v>3</v>
      </c>
      <c r="J1400" s="6" t="n">
        <v>15.8</v>
      </c>
      <c r="K1400" s="6" t="n">
        <v>410.0114634</v>
      </c>
      <c r="L1400" s="6">
        <f>I1400*K1400</f>
        <v/>
      </c>
      <c r="M1400" s="6">
        <f>K1400*4</f>
        <v/>
      </c>
      <c r="N1400" s="6" t="n">
        <v>1645</v>
      </c>
    </row>
    <row r="1401">
      <c r="A1401" s="1" t="inlineStr">
        <is>
          <t>43047196098700</t>
        </is>
      </c>
      <c r="B1401" s="1" t="inlineStr">
        <is>
          <t>PULSERA TRUE GOLD</t>
        </is>
      </c>
      <c r="C1401" s="1" t="inlineStr">
        <is>
          <t>20cm</t>
        </is>
      </c>
      <c r="D1401" s="1" t="inlineStr">
        <is>
          <t>19/03/2026</t>
        </is>
      </c>
      <c r="E1401" s="1" t="n">
        <v>2026</v>
      </c>
      <c r="F1401" s="1" t="inlineStr">
        <is>
          <t>MARZO</t>
        </is>
      </c>
      <c r="G1401" s="1" t="inlineStr">
        <is>
          <t>CYNTHIA</t>
        </is>
      </c>
      <c r="H1401" s="1" t="inlineStr">
        <is>
          <t>CYNTHIA 19/03/2026</t>
        </is>
      </c>
      <c r="I1401" s="4" t="n">
        <v>2</v>
      </c>
      <c r="J1401" s="6" t="n">
        <v>25.8</v>
      </c>
      <c r="K1401" s="6" t="n">
        <v>692.9213275</v>
      </c>
      <c r="L1401" s="6">
        <f>I1401*K1401</f>
        <v/>
      </c>
      <c r="M1401" s="6">
        <f>K1401*4</f>
        <v/>
      </c>
      <c r="N1401" s="6" t="n">
        <v>2399</v>
      </c>
    </row>
    <row r="1402">
      <c r="A1402" s="1" t="inlineStr">
        <is>
          <t>43047196098700</t>
        </is>
      </c>
      <c r="B1402" s="1" t="inlineStr">
        <is>
          <t>PULSERA TRUE GOLD</t>
        </is>
      </c>
      <c r="C1402" s="1" t="inlineStr">
        <is>
          <t>20cm</t>
        </is>
      </c>
      <c r="D1402" s="1" t="inlineStr">
        <is>
          <t>31/05/2026</t>
        </is>
      </c>
      <c r="E1402" s="1" t="n">
        <v>2026</v>
      </c>
      <c r="F1402" s="1" t="inlineStr">
        <is>
          <t>MAYO</t>
        </is>
      </c>
      <c r="G1402" s="1" t="inlineStr">
        <is>
          <t>CYNTHIA</t>
        </is>
      </c>
      <c r="H1402" s="1" t="inlineStr">
        <is>
          <t>CYNTHIA 31/05/2026</t>
        </is>
      </c>
      <c r="I1402" s="4" t="n">
        <v>2</v>
      </c>
      <c r="J1402" s="6" t="n">
        <v>25.8</v>
      </c>
      <c r="K1402" s="6" t="n">
        <v>683.7269604000001</v>
      </c>
      <c r="L1402" s="6">
        <f>I1402*K1402</f>
        <v/>
      </c>
      <c r="M1402" s="6">
        <f>K1402*4</f>
        <v/>
      </c>
      <c r="N1402" s="6" t="n">
        <v>2399</v>
      </c>
    </row>
    <row r="1403">
      <c r="A1403" s="1" t="inlineStr">
        <is>
          <t>43047196360844</t>
        </is>
      </c>
      <c r="B1403" s="1" t="inlineStr">
        <is>
          <t>ARETES CORAZÓN GRABADO SILVER</t>
        </is>
      </c>
      <c r="C1403" s="1" t="inlineStr">
        <is>
          <t>Default Title</t>
        </is>
      </c>
      <c r="D1403" s="1" t="inlineStr">
        <is>
          <t>05/09/2025</t>
        </is>
      </c>
      <c r="E1403" s="1" t="n">
        <v>2025</v>
      </c>
      <c r="F1403" s="1" t="inlineStr">
        <is>
          <t>SEPTIEMBRE</t>
        </is>
      </c>
      <c r="G1403" s="1" t="inlineStr">
        <is>
          <t>CYNTHIA</t>
        </is>
      </c>
      <c r="H1403" s="1" t="inlineStr">
        <is>
          <t>CYNTHIA 05/09/2025</t>
        </is>
      </c>
      <c r="I1403" s="4" t="n">
        <v>3</v>
      </c>
      <c r="J1403" s="6" t="n">
        <v>5.88</v>
      </c>
      <c r="K1403" s="6" t="n">
        <v>148.0530899</v>
      </c>
      <c r="L1403" s="6">
        <f>I1403*K1403</f>
        <v/>
      </c>
      <c r="M1403" s="6">
        <f>K1403*4</f>
        <v/>
      </c>
      <c r="N1403" s="6" t="n">
        <v>550</v>
      </c>
    </row>
    <row r="1404">
      <c r="A1404" s="1" t="inlineStr">
        <is>
          <t>43047196360844</t>
        </is>
      </c>
      <c r="B1404" s="1" t="inlineStr">
        <is>
          <t>ARETES CORAZÓN GRABADO SILVER</t>
        </is>
      </c>
      <c r="C1404" s="1" t="inlineStr">
        <is>
          <t>Default Title</t>
        </is>
      </c>
      <c r="D1404" s="1" t="inlineStr">
        <is>
          <t>06/09/2025</t>
        </is>
      </c>
      <c r="E1404" s="1" t="n">
        <v>2025</v>
      </c>
      <c r="F1404" s="1" t="inlineStr">
        <is>
          <t>SEPTIEMBRE</t>
        </is>
      </c>
      <c r="G1404" s="1" t="inlineStr">
        <is>
          <t>NANCY</t>
        </is>
      </c>
      <c r="H1404" s="1" t="inlineStr">
        <is>
          <t>NANCY 06/09/2025</t>
        </is>
      </c>
      <c r="I1404" s="4" t="n">
        <v>2</v>
      </c>
      <c r="J1404" s="6" t="n">
        <v>2.39</v>
      </c>
      <c r="K1404" s="6" t="n">
        <v>55.65272641</v>
      </c>
      <c r="L1404" s="6">
        <f>I1404*K1404</f>
        <v/>
      </c>
      <c r="M1404" s="6">
        <f>K1404*4</f>
        <v/>
      </c>
      <c r="N1404" s="6" t="n">
        <v>550</v>
      </c>
    </row>
    <row r="1405">
      <c r="A1405" s="1" t="inlineStr">
        <is>
          <t>43047196360844</t>
        </is>
      </c>
      <c r="B1405" s="1" t="inlineStr">
        <is>
          <t>ARETES CORAZÓN GRABADO SILVER</t>
        </is>
      </c>
      <c r="C1405" s="1" t="inlineStr">
        <is>
          <t>Default Title</t>
        </is>
      </c>
      <c r="D1405" s="1" t="inlineStr">
        <is>
          <t>25/10/2025</t>
        </is>
      </c>
      <c r="E1405" s="1" t="n">
        <v>2025</v>
      </c>
      <c r="F1405" s="1" t="inlineStr">
        <is>
          <t>OCTUBRE</t>
        </is>
      </c>
      <c r="G1405" s="1" t="inlineStr">
        <is>
          <t>CYNTHIA</t>
        </is>
      </c>
      <c r="H1405" s="1" t="inlineStr">
        <is>
          <t>CYNTHIA 25/10/2025</t>
        </is>
      </c>
      <c r="I1405" s="4" t="n">
        <v>1</v>
      </c>
      <c r="J1405" s="6" t="n">
        <v>5.88</v>
      </c>
      <c r="K1405" s="6" t="n">
        <v>154.0667227</v>
      </c>
      <c r="L1405" s="6">
        <f>I1405*K1405</f>
        <v/>
      </c>
      <c r="M1405" s="6">
        <f>K1405*4</f>
        <v/>
      </c>
      <c r="N1405" s="6" t="n">
        <v>550</v>
      </c>
    </row>
    <row r="1406">
      <c r="A1406" s="1" t="inlineStr">
        <is>
          <t>43047196360844</t>
        </is>
      </c>
      <c r="B1406" s="1" t="inlineStr">
        <is>
          <t>ARETES CORAZÓN GRABADO SILVER</t>
        </is>
      </c>
      <c r="C1406" s="1" t="inlineStr">
        <is>
          <t>Default Title</t>
        </is>
      </c>
      <c r="D1406" s="1" t="inlineStr">
        <is>
          <t>07/01/2026</t>
        </is>
      </c>
      <c r="E1406" s="1" t="n">
        <v>2026</v>
      </c>
      <c r="F1406" s="1" t="inlineStr">
        <is>
          <t>ENERO</t>
        </is>
      </c>
      <c r="G1406" s="1" t="inlineStr">
        <is>
          <t>CYNTHIA</t>
        </is>
      </c>
      <c r="H1406" s="1" t="inlineStr">
        <is>
          <t>CYNTHIA 07/01/2026</t>
        </is>
      </c>
      <c r="I1406" s="4" t="n">
        <v>4</v>
      </c>
      <c r="J1406" s="6" t="n">
        <v>5.88</v>
      </c>
      <c r="K1406" s="6" t="n">
        <v>156.3340747</v>
      </c>
      <c r="L1406" s="6">
        <f>I1406*K1406</f>
        <v/>
      </c>
      <c r="M1406" s="6">
        <f>K1406*4</f>
        <v/>
      </c>
      <c r="N1406" s="6" t="n">
        <v>550</v>
      </c>
    </row>
    <row r="1407">
      <c r="A1407" s="1" t="inlineStr">
        <is>
          <t>43047196360844</t>
        </is>
      </c>
      <c r="B1407" s="1" t="inlineStr">
        <is>
          <t>ARETES CORAZÓN GRABADO SILVER</t>
        </is>
      </c>
      <c r="C1407" s="1" t="inlineStr">
        <is>
          <t>Default Title</t>
        </is>
      </c>
      <c r="D1407" s="1" t="inlineStr">
        <is>
          <t>18/02/2026</t>
        </is>
      </c>
      <c r="E1407" s="1" t="n">
        <v>2026</v>
      </c>
      <c r="F1407" s="1" t="inlineStr">
        <is>
          <t>FEBRERO</t>
        </is>
      </c>
      <c r="G1407" s="1" t="inlineStr">
        <is>
          <t>CYNTHIA</t>
        </is>
      </c>
      <c r="H1407" s="1" t="inlineStr">
        <is>
          <t>CYNTHIA 18/02/2026</t>
        </is>
      </c>
      <c r="I1407" s="4" t="n">
        <v>2</v>
      </c>
      <c r="J1407" s="6" t="n">
        <v>5.4</v>
      </c>
      <c r="K1407" s="6" t="n">
        <v>146.0341721</v>
      </c>
      <c r="L1407" s="6">
        <f>I1407*K1407</f>
        <v/>
      </c>
      <c r="M1407" s="6">
        <f>K1407*4</f>
        <v/>
      </c>
      <c r="N1407" s="6" t="n">
        <v>550</v>
      </c>
    </row>
    <row r="1408">
      <c r="A1408" s="1" t="inlineStr">
        <is>
          <t>43047196360844</t>
        </is>
      </c>
      <c r="B1408" s="1" t="inlineStr">
        <is>
          <t>ARETES CORAZÓN GRABADO SILVER</t>
        </is>
      </c>
      <c r="C1408" s="1" t="inlineStr">
        <is>
          <t>Default Title</t>
        </is>
      </c>
      <c r="D1408" s="1" t="inlineStr">
        <is>
          <t>19/03/2026</t>
        </is>
      </c>
      <c r="E1408" s="1" t="n">
        <v>2026</v>
      </c>
      <c r="F1408" s="1" t="inlineStr">
        <is>
          <t>MARZO</t>
        </is>
      </c>
      <c r="G1408" s="1" t="inlineStr">
        <is>
          <t>CYNTHIA</t>
        </is>
      </c>
      <c r="H1408" s="1" t="inlineStr">
        <is>
          <t>CYNTHIA 19/03/2026</t>
        </is>
      </c>
      <c r="I1408" s="4" t="n">
        <v>8</v>
      </c>
      <c r="J1408" s="6" t="n">
        <v>5.88</v>
      </c>
      <c r="K1408" s="6" t="n">
        <v>157.9216049</v>
      </c>
      <c r="L1408" s="6">
        <f>I1408*K1408</f>
        <v/>
      </c>
      <c r="M1408" s="6">
        <f>K1408*4</f>
        <v/>
      </c>
      <c r="N1408" s="6" t="n">
        <v>550</v>
      </c>
    </row>
    <row r="1409">
      <c r="A1409" s="1" t="inlineStr">
        <is>
          <t>43047196360844</t>
        </is>
      </c>
      <c r="B1409" s="1" t="inlineStr">
        <is>
          <t>ARETES CORAZÓN GRABADO SILVER</t>
        </is>
      </c>
      <c r="C1409" s="1" t="inlineStr">
        <is>
          <t>Default Title</t>
        </is>
      </c>
      <c r="D1409" s="1" t="inlineStr">
        <is>
          <t>31/05/2026</t>
        </is>
      </c>
      <c r="E1409" s="1" t="n">
        <v>2026</v>
      </c>
      <c r="F1409" s="1" t="inlineStr">
        <is>
          <t>MAYO</t>
        </is>
      </c>
      <c r="G1409" s="1" t="inlineStr">
        <is>
          <t>CYNTHIA</t>
        </is>
      </c>
      <c r="H1409" s="1" t="inlineStr">
        <is>
          <t>CYNTHIA 31/05/2026</t>
        </is>
      </c>
      <c r="I1409" s="4" t="n">
        <v>2</v>
      </c>
      <c r="J1409" s="6" t="n">
        <v>5.88</v>
      </c>
      <c r="K1409" s="6" t="n">
        <v>155.8261445</v>
      </c>
      <c r="L1409" s="6">
        <f>I1409*K1409</f>
        <v/>
      </c>
      <c r="M1409" s="6">
        <f>K1409*4</f>
        <v/>
      </c>
      <c r="N1409" s="6" t="n">
        <v>550</v>
      </c>
    </row>
    <row r="1410">
      <c r="A1410" s="1" t="inlineStr">
        <is>
          <t>43047201243276</t>
        </is>
      </c>
      <c r="B1410" s="1" t="inlineStr">
        <is>
          <t>PULSERA LOCK SILVER CON ZIRCONIAS</t>
        </is>
      </c>
      <c r="C1410" s="1" t="inlineStr">
        <is>
          <t>17cm</t>
        </is>
      </c>
      <c r="D1410" s="1" t="inlineStr">
        <is>
          <t>06/09/2025</t>
        </is>
      </c>
      <c r="E1410" s="1" t="n">
        <v>2025</v>
      </c>
      <c r="F1410" s="1" t="inlineStr">
        <is>
          <t>SEPTIEMBRE</t>
        </is>
      </c>
      <c r="G1410" s="1" t="inlineStr">
        <is>
          <t>NANCY</t>
        </is>
      </c>
      <c r="H1410" s="1" t="inlineStr">
        <is>
          <t>NANCY 06/09/2025</t>
        </is>
      </c>
      <c r="I1410" s="4" t="n">
        <v>3</v>
      </c>
      <c r="J1410" s="6" t="n">
        <v>10.59</v>
      </c>
      <c r="K1410" s="6" t="n">
        <v>246.595135</v>
      </c>
      <c r="L1410" s="6">
        <f>I1410*K1410</f>
        <v/>
      </c>
      <c r="M1410" s="6">
        <f>K1410*4</f>
        <v/>
      </c>
      <c r="N1410" s="6" t="n">
        <v>650</v>
      </c>
    </row>
    <row r="1411">
      <c r="A1411" s="1" t="inlineStr">
        <is>
          <t>43047201243276</t>
        </is>
      </c>
      <c r="B1411" s="1" t="inlineStr">
        <is>
          <t>PULSERA LOCK SILVER CON ZIRCONIAS</t>
        </is>
      </c>
      <c r="C1411" s="1" t="inlineStr">
        <is>
          <t>17cm</t>
        </is>
      </c>
      <c r="D1411" s="1" t="inlineStr">
        <is>
          <t>31/05/2026</t>
        </is>
      </c>
      <c r="E1411" s="1" t="n">
        <v>2026</v>
      </c>
      <c r="F1411" s="1" t="inlineStr">
        <is>
          <t>MAYO</t>
        </is>
      </c>
      <c r="G1411" s="1" t="inlineStr">
        <is>
          <t>NANCY</t>
        </is>
      </c>
      <c r="H1411" s="1" t="inlineStr">
        <is>
          <t>NANCY 31/05/2026</t>
        </is>
      </c>
      <c r="I1411" s="4" t="n">
        <v>2</v>
      </c>
      <c r="J1411" s="6" t="n">
        <v>11.39</v>
      </c>
      <c r="K1411" s="6" t="n">
        <v>276.4078468</v>
      </c>
      <c r="L1411" s="6">
        <f>I1411*K1411</f>
        <v/>
      </c>
      <c r="M1411" s="6">
        <f>K1411*4</f>
        <v/>
      </c>
      <c r="N1411" s="6" t="n">
        <v>650</v>
      </c>
    </row>
    <row r="1412">
      <c r="A1412" s="1" t="inlineStr">
        <is>
          <t>43047201472652</t>
        </is>
      </c>
      <c r="B1412" s="1" t="inlineStr">
        <is>
          <t>PULSERA KNOT SILVER</t>
        </is>
      </c>
      <c r="C1412" s="1" t="inlineStr">
        <is>
          <t>17cm</t>
        </is>
      </c>
      <c r="D1412" s="1" t="inlineStr">
        <is>
          <t>01/03/2026</t>
        </is>
      </c>
      <c r="E1412" s="1" t="n">
        <v>2026</v>
      </c>
      <c r="F1412" s="1" t="inlineStr">
        <is>
          <t>MARZO</t>
        </is>
      </c>
      <c r="G1412" s="1" t="inlineStr">
        <is>
          <t>NANCY</t>
        </is>
      </c>
      <c r="H1412" s="1" t="inlineStr">
        <is>
          <t>NANCY 01/03/2026</t>
        </is>
      </c>
      <c r="I1412" s="4" t="n">
        <v>2</v>
      </c>
      <c r="J1412" s="6" t="n">
        <v>7.29</v>
      </c>
      <c r="K1412" s="6" t="n">
        <v>184.4641067</v>
      </c>
      <c r="L1412" s="6">
        <f>I1412*K1412</f>
        <v/>
      </c>
      <c r="M1412" s="6">
        <f>K1412*4</f>
        <v/>
      </c>
      <c r="N1412" s="6" t="n">
        <v>675</v>
      </c>
    </row>
    <row r="1413">
      <c r="A1413" s="1" t="inlineStr">
        <is>
          <t>43047201472652</t>
        </is>
      </c>
      <c r="B1413" s="1" t="inlineStr">
        <is>
          <t>PULSERA KNOT SILVER</t>
        </is>
      </c>
      <c r="C1413" s="1" t="inlineStr">
        <is>
          <t>17cm</t>
        </is>
      </c>
      <c r="D1413" s="1" t="inlineStr">
        <is>
          <t>31/05/2026</t>
        </is>
      </c>
      <c r="E1413" s="1" t="n">
        <v>2026</v>
      </c>
      <c r="F1413" s="1" t="inlineStr">
        <is>
          <t>MAYO</t>
        </is>
      </c>
      <c r="G1413" s="1" t="inlineStr">
        <is>
          <t>NANCY</t>
        </is>
      </c>
      <c r="H1413" s="1" t="inlineStr">
        <is>
          <t>NANCY 31/05/2026</t>
        </is>
      </c>
      <c r="I1413" s="4" t="n">
        <v>2</v>
      </c>
      <c r="J1413" s="6" t="n">
        <v>7.59</v>
      </c>
      <c r="K1413" s="6" t="n">
        <v>184.1910059</v>
      </c>
      <c r="L1413" s="6">
        <f>I1413*K1413</f>
        <v/>
      </c>
      <c r="M1413" s="6">
        <f>K1413*4</f>
        <v/>
      </c>
      <c r="N1413" s="6" t="n">
        <v>675</v>
      </c>
    </row>
    <row r="1414">
      <c r="A1414" s="1" t="inlineStr">
        <is>
          <t>43047203897484</t>
        </is>
      </c>
      <c r="B1414" s="1" t="inlineStr">
        <is>
          <t>PULSERA T ANGOSTA ROSE GOLD</t>
        </is>
      </c>
      <c r="C1414" s="1" t="inlineStr">
        <is>
          <t>16cm</t>
        </is>
      </c>
      <c r="D1414" s="1" t="inlineStr">
        <is>
          <t>25/10/2025</t>
        </is>
      </c>
      <c r="E1414" s="1" t="n">
        <v>2025</v>
      </c>
      <c r="F1414" s="1" t="inlineStr">
        <is>
          <t>OCTUBRE</t>
        </is>
      </c>
      <c r="G1414" s="1" t="inlineStr">
        <is>
          <t>CYNTHIA</t>
        </is>
      </c>
      <c r="H1414" s="1" t="inlineStr">
        <is>
          <t>CYNTHIA 25/10/2025</t>
        </is>
      </c>
      <c r="I1414" s="4" t="n">
        <v>2</v>
      </c>
      <c r="J1414" s="6" t="n">
        <v>14</v>
      </c>
      <c r="K1414" s="6" t="n">
        <v>366.8255303</v>
      </c>
      <c r="L1414" s="6">
        <f>I1414*K1414</f>
        <v/>
      </c>
      <c r="M1414" s="6">
        <f>K1414*4</f>
        <v/>
      </c>
      <c r="N1414" s="6" t="n">
        <v>1166</v>
      </c>
    </row>
    <row r="1415">
      <c r="A1415" s="1" t="inlineStr">
        <is>
          <t>43047203897484</t>
        </is>
      </c>
      <c r="B1415" s="1" t="inlineStr">
        <is>
          <t>PULSERA T ANGOSTA ROSE GOLD</t>
        </is>
      </c>
      <c r="C1415" s="1" t="inlineStr">
        <is>
          <t>16cm</t>
        </is>
      </c>
      <c r="D1415" s="1" t="inlineStr">
        <is>
          <t>07/01/2026</t>
        </is>
      </c>
      <c r="E1415" s="1" t="n">
        <v>2026</v>
      </c>
      <c r="F1415" s="1" t="inlineStr">
        <is>
          <t>ENERO</t>
        </is>
      </c>
      <c r="G1415" s="1" t="inlineStr">
        <is>
          <t>CYNTHIA</t>
        </is>
      </c>
      <c r="H1415" s="1" t="inlineStr">
        <is>
          <t>CYNTHIA 07/01/2026</t>
        </is>
      </c>
      <c r="I1415" s="4" t="n">
        <v>1</v>
      </c>
      <c r="J1415" s="6" t="n">
        <v>14</v>
      </c>
      <c r="K1415" s="6" t="n">
        <v>372.2239874</v>
      </c>
      <c r="L1415" s="6">
        <f>I1415*K1415</f>
        <v/>
      </c>
      <c r="M1415" s="6">
        <f>K1415*4</f>
        <v/>
      </c>
      <c r="N1415" s="6" t="n">
        <v>1305</v>
      </c>
    </row>
    <row r="1416">
      <c r="A1416" s="1" t="inlineStr">
        <is>
          <t>43047204716684</t>
        </is>
      </c>
      <c r="B1416" s="1" t="inlineStr">
        <is>
          <t>ARETES CORAZÓN GRABADO ROSE GOLD</t>
        </is>
      </c>
      <c r="C1416" s="1" t="inlineStr">
        <is>
          <t>Default Title</t>
        </is>
      </c>
      <c r="D1416" s="1" t="inlineStr">
        <is>
          <t>05/09/2025</t>
        </is>
      </c>
      <c r="E1416" s="1" t="n">
        <v>2025</v>
      </c>
      <c r="F1416" s="1" t="inlineStr">
        <is>
          <t>SEPTIEMBRE</t>
        </is>
      </c>
      <c r="G1416" s="1" t="inlineStr">
        <is>
          <t>CYNTHIA</t>
        </is>
      </c>
      <c r="H1416" s="1" t="inlineStr">
        <is>
          <t>CYNTHIA 05/09/2025</t>
        </is>
      </c>
      <c r="I1416" s="4" t="n">
        <v>3</v>
      </c>
      <c r="J1416" s="6" t="n">
        <v>5.88</v>
      </c>
      <c r="K1416" s="6" t="n">
        <v>148.0530899</v>
      </c>
      <c r="L1416" s="6">
        <f>I1416*K1416</f>
        <v/>
      </c>
      <c r="M1416" s="6">
        <f>K1416*4</f>
        <v/>
      </c>
      <c r="N1416" s="6" t="n">
        <v>599</v>
      </c>
    </row>
    <row r="1417">
      <c r="A1417" s="1" t="inlineStr">
        <is>
          <t>43047204716684</t>
        </is>
      </c>
      <c r="B1417" s="1" t="inlineStr">
        <is>
          <t>ARETES CORAZÓN GRABADO ROSEGOLD</t>
        </is>
      </c>
      <c r="C1417" s="1" t="inlineStr">
        <is>
          <t>Default Title</t>
        </is>
      </c>
      <c r="D1417" s="1" t="inlineStr">
        <is>
          <t>18/02/2026</t>
        </is>
      </c>
      <c r="E1417" s="1" t="n">
        <v>2026</v>
      </c>
      <c r="F1417" s="1" t="inlineStr">
        <is>
          <t>FEBRERO</t>
        </is>
      </c>
      <c r="G1417" s="1" t="inlineStr">
        <is>
          <t>CYNTHIA</t>
        </is>
      </c>
      <c r="H1417" s="1" t="inlineStr">
        <is>
          <t>CYNTHIA 18/02/2026</t>
        </is>
      </c>
      <c r="I1417" s="4" t="n">
        <v>6</v>
      </c>
      <c r="J1417" s="6" t="n">
        <v>5.4</v>
      </c>
      <c r="K1417" s="6" t="n">
        <v>146.0341721</v>
      </c>
      <c r="L1417" s="6">
        <f>I1417*K1417</f>
        <v/>
      </c>
      <c r="M1417" s="6">
        <f>K1417*4</f>
        <v/>
      </c>
      <c r="N1417" s="6" t="n">
        <v>599</v>
      </c>
    </row>
    <row r="1418">
      <c r="A1418" s="1" t="inlineStr">
        <is>
          <t>43047204749452</t>
        </is>
      </c>
      <c r="B1418" s="1" t="inlineStr">
        <is>
          <t>ARRACADAS T CORAZÓN</t>
        </is>
      </c>
      <c r="C1418" s="1" t="inlineStr">
        <is>
          <t>Regular</t>
        </is>
      </c>
      <c r="D1418" s="1" t="inlineStr">
        <is>
          <t>06/09/2025</t>
        </is>
      </c>
      <c r="E1418" s="1" t="n">
        <v>2025</v>
      </c>
      <c r="F1418" s="1" t="inlineStr">
        <is>
          <t>SEPTIEMBRE</t>
        </is>
      </c>
      <c r="G1418" s="1" t="inlineStr">
        <is>
          <t>NANCY</t>
        </is>
      </c>
      <c r="H1418" s="1" t="inlineStr">
        <is>
          <t>NANCY 06/09/2025</t>
        </is>
      </c>
      <c r="I1418" s="4" t="n">
        <v>1</v>
      </c>
      <c r="J1418" s="6" t="n">
        <v>4.29</v>
      </c>
      <c r="K1418" s="6" t="n">
        <v>99.89547962</v>
      </c>
      <c r="L1418" s="6">
        <f>I1418*K1418</f>
        <v/>
      </c>
      <c r="M1418" s="6">
        <f>K1418*4</f>
        <v/>
      </c>
      <c r="N1418" s="6" t="n">
        <v>499</v>
      </c>
    </row>
    <row r="1419">
      <c r="A1419" s="1" t="inlineStr">
        <is>
          <t>43047204749452</t>
        </is>
      </c>
      <c r="B1419" s="1" t="inlineStr">
        <is>
          <t>ARRACADAS T CORAZÓN</t>
        </is>
      </c>
      <c r="C1419" s="1" t="inlineStr">
        <is>
          <t>Regular</t>
        </is>
      </c>
      <c r="D1419" s="1" t="inlineStr">
        <is>
          <t>01/03/2026</t>
        </is>
      </c>
      <c r="E1419" s="1" t="n">
        <v>2026</v>
      </c>
      <c r="F1419" s="1" t="inlineStr">
        <is>
          <t>MARZO</t>
        </is>
      </c>
      <c r="G1419" s="1" t="inlineStr">
        <is>
          <t>NANCY</t>
        </is>
      </c>
      <c r="H1419" s="1" t="inlineStr">
        <is>
          <t>NANCY 01/03/2026</t>
        </is>
      </c>
      <c r="I1419" s="4" t="n">
        <v>4</v>
      </c>
      <c r="J1419" s="6" t="n">
        <v>5.59</v>
      </c>
      <c r="K1419" s="6" t="n">
        <v>141.4477855</v>
      </c>
      <c r="L1419" s="6">
        <f>I1419*K1419</f>
        <v/>
      </c>
      <c r="M1419" s="6">
        <f>K1419*4</f>
        <v/>
      </c>
      <c r="N1419" s="6" t="n">
        <v>499</v>
      </c>
    </row>
    <row r="1420">
      <c r="A1420" s="1" t="inlineStr">
        <is>
          <t>43047204749452</t>
        </is>
      </c>
      <c r="B1420" s="1" t="inlineStr">
        <is>
          <t>ARRACADAS T CORAZÓN</t>
        </is>
      </c>
      <c r="C1420" s="1" t="inlineStr">
        <is>
          <t>Regular</t>
        </is>
      </c>
      <c r="D1420" s="1" t="inlineStr">
        <is>
          <t>08/05/2026</t>
        </is>
      </c>
      <c r="E1420" s="1" t="n">
        <v>2026</v>
      </c>
      <c r="F1420" s="1" t="inlineStr">
        <is>
          <t>MAYO</t>
        </is>
      </c>
      <c r="G1420" s="1" t="inlineStr">
        <is>
          <t>NANCY</t>
        </is>
      </c>
      <c r="H1420" s="1" t="inlineStr">
        <is>
          <t>NANCY 08/05/2026</t>
        </is>
      </c>
      <c r="I1420" s="4" t="n">
        <v>10</v>
      </c>
      <c r="J1420" s="6" t="n">
        <v>5.59</v>
      </c>
      <c r="K1420" s="6" t="n">
        <v>132.2468818</v>
      </c>
      <c r="L1420" s="6">
        <f>I1420*K1420</f>
        <v/>
      </c>
      <c r="M1420" s="6">
        <f>K1420*4</f>
        <v/>
      </c>
      <c r="N1420" s="6" t="n">
        <v>499</v>
      </c>
    </row>
    <row r="1421">
      <c r="A1421" s="1" t="inlineStr">
        <is>
          <t>43047205109900</t>
        </is>
      </c>
      <c r="B1421" s="1" t="inlineStr">
        <is>
          <t>COLLAR KNOT ROSEGOLD</t>
        </is>
      </c>
      <c r="C1421" s="1" t="inlineStr">
        <is>
          <t>Tamaño del dije: 4.5cm  40cm con extensión de 4cm</t>
        </is>
      </c>
      <c r="D1421" s="1" t="inlineStr">
        <is>
          <t>01/04/2026</t>
        </is>
      </c>
      <c r="E1421" s="1" t="n">
        <v>2026</v>
      </c>
      <c r="F1421" s="1" t="inlineStr">
        <is>
          <t>ABRIL</t>
        </is>
      </c>
      <c r="G1421" s="1" t="inlineStr">
        <is>
          <t>NANCY</t>
        </is>
      </c>
      <c r="H1421" s="1" t="inlineStr">
        <is>
          <t>NANCY 01/04/2026</t>
        </is>
      </c>
      <c r="I1421" s="4" t="n">
        <v>2</v>
      </c>
      <c r="J1421" s="6" t="n">
        <v>5.59</v>
      </c>
      <c r="K1421" s="6" t="n">
        <v>133.8274486</v>
      </c>
      <c r="L1421" s="6">
        <f>I1421*K1421</f>
        <v/>
      </c>
      <c r="M1421" s="6">
        <f>K1421*4</f>
        <v/>
      </c>
      <c r="N1421" s="6" t="n">
        <v>520</v>
      </c>
    </row>
    <row r="1422">
      <c r="A1422" s="1" t="inlineStr">
        <is>
          <t>43047205109900</t>
        </is>
      </c>
      <c r="B1422" s="1" t="inlineStr">
        <is>
          <t>COLLAR KNOT ROSEGOLD</t>
        </is>
      </c>
      <c r="C1422" s="1" t="inlineStr">
        <is>
          <t>Tamaño del dije: 4.5cm  40cm con extensión de 4cm</t>
        </is>
      </c>
      <c r="D1422" s="1" t="inlineStr">
        <is>
          <t>31/05/2026</t>
        </is>
      </c>
      <c r="E1422" s="1" t="n">
        <v>2026</v>
      </c>
      <c r="F1422" s="1" t="inlineStr">
        <is>
          <t>MAYO</t>
        </is>
      </c>
      <c r="G1422" s="1" t="inlineStr">
        <is>
          <t>NANCY</t>
        </is>
      </c>
      <c r="H1422" s="1" t="inlineStr">
        <is>
          <t>NANCY 31/05/2026</t>
        </is>
      </c>
      <c r="I1422" s="4" t="n">
        <v>6</v>
      </c>
      <c r="J1422" s="6" t="n">
        <v>5.59</v>
      </c>
      <c r="K1422" s="6" t="n">
        <v>135.6558265</v>
      </c>
      <c r="L1422" s="6">
        <f>I1422*K1422</f>
        <v/>
      </c>
      <c r="M1422" s="6">
        <f>K1422*4</f>
        <v/>
      </c>
      <c r="N1422" s="6" t="n">
        <v>545</v>
      </c>
    </row>
    <row r="1423">
      <c r="A1423" s="1" t="inlineStr">
        <is>
          <t>43047205240972</t>
        </is>
      </c>
      <c r="B1423" s="1" t="inlineStr">
        <is>
          <t>COLLAR KNOT GOLD</t>
        </is>
      </c>
      <c r="C1423" s="1" t="inlineStr">
        <is>
          <t>Tamaño del dije: 4.5cm  40cm con extensión de 4cm</t>
        </is>
      </c>
      <c r="D1423" s="1" t="inlineStr">
        <is>
          <t>03/12/2025</t>
        </is>
      </c>
      <c r="E1423" s="1" t="n">
        <v>2025</v>
      </c>
      <c r="F1423" s="1" t="inlineStr">
        <is>
          <t>DICIEMBRE</t>
        </is>
      </c>
      <c r="G1423" s="1" t="inlineStr">
        <is>
          <t>NANCY</t>
        </is>
      </c>
      <c r="H1423" s="1" t="inlineStr">
        <is>
          <t>NANCY 03/12/2025</t>
        </is>
      </c>
      <c r="I1423" s="4" t="n">
        <v>3</v>
      </c>
      <c r="J1423" s="6" t="n">
        <v>4.99</v>
      </c>
      <c r="K1423" s="6" t="n">
        <v>118.0471396</v>
      </c>
      <c r="L1423" s="6">
        <f>I1423*K1423</f>
        <v/>
      </c>
      <c r="M1423" s="6">
        <f>K1423*4</f>
        <v/>
      </c>
      <c r="N1423" s="6" t="n">
        <v>550</v>
      </c>
    </row>
    <row r="1424">
      <c r="A1424" s="1" t="inlineStr">
        <is>
          <t>43047205240972</t>
        </is>
      </c>
      <c r="B1424" s="1" t="inlineStr">
        <is>
          <t>COLLAR KNOT GOLD</t>
        </is>
      </c>
      <c r="C1424" s="1" t="inlineStr">
        <is>
          <t>Tamaño del dije: 4.5cm  40cm con extensión de 4cm</t>
        </is>
      </c>
      <c r="D1424" s="1" t="inlineStr">
        <is>
          <t>01/04/2026</t>
        </is>
      </c>
      <c r="E1424" s="1" t="n">
        <v>2026</v>
      </c>
      <c r="F1424" s="1" t="inlineStr">
        <is>
          <t>ABRIL</t>
        </is>
      </c>
      <c r="G1424" s="1" t="inlineStr">
        <is>
          <t>NANCY</t>
        </is>
      </c>
      <c r="H1424" s="1" t="inlineStr">
        <is>
          <t>NANCY 01/04/2026</t>
        </is>
      </c>
      <c r="I1424" s="4" t="n">
        <v>5</v>
      </c>
      <c r="J1424" s="6" t="n">
        <v>5.59</v>
      </c>
      <c r="K1424" s="6" t="n">
        <v>133.8274486</v>
      </c>
      <c r="L1424" s="6">
        <f>I1424*K1424</f>
        <v/>
      </c>
      <c r="M1424" s="6">
        <f>K1424*4</f>
        <v/>
      </c>
      <c r="N1424" s="6" t="n">
        <v>550</v>
      </c>
    </row>
    <row r="1425">
      <c r="A1425" s="1" t="inlineStr">
        <is>
          <t>43047205240972</t>
        </is>
      </c>
      <c r="B1425" s="1" t="inlineStr">
        <is>
          <t>COLLAR KNOT GOLD</t>
        </is>
      </c>
      <c r="C1425" s="1" t="inlineStr">
        <is>
          <t>Tamaño del dije: 4.5cm  40cm con extensión de 4cm</t>
        </is>
      </c>
      <c r="D1425" s="1" t="inlineStr">
        <is>
          <t>08/05/2026</t>
        </is>
      </c>
      <c r="E1425" s="1" t="n">
        <v>2026</v>
      </c>
      <c r="F1425" s="1" t="inlineStr">
        <is>
          <t>MAYO</t>
        </is>
      </c>
      <c r="G1425" s="1" t="inlineStr">
        <is>
          <t>NANCY</t>
        </is>
      </c>
      <c r="H1425" s="1" t="inlineStr">
        <is>
          <t>NANCY 08/05/2026</t>
        </is>
      </c>
      <c r="I1425" s="4" t="n">
        <v>6</v>
      </c>
      <c r="J1425" s="6" t="n">
        <v>5.59</v>
      </c>
      <c r="K1425" s="6" t="n">
        <v>132.2468818</v>
      </c>
      <c r="L1425" s="6">
        <f>I1425*K1425</f>
        <v/>
      </c>
      <c r="M1425" s="6">
        <f>K1425*4</f>
        <v/>
      </c>
      <c r="N1425" s="6" t="n">
        <v>550</v>
      </c>
    </row>
    <row r="1426">
      <c r="A1426" s="1" t="inlineStr">
        <is>
          <t>43047205240972</t>
        </is>
      </c>
      <c r="B1426" s="1" t="inlineStr">
        <is>
          <t>COLLAR KNOT GOLD</t>
        </is>
      </c>
      <c r="C1426" s="1" t="inlineStr">
        <is>
          <t>Tamaño del dije: 4.5cm  40cm con extensión de 4cm</t>
        </is>
      </c>
      <c r="D1426" s="1" t="inlineStr">
        <is>
          <t>09/07/2026</t>
        </is>
      </c>
      <c r="E1426" s="1" t="n">
        <v>2026</v>
      </c>
      <c r="F1426" s="1" t="inlineStr">
        <is>
          <t>JULIO</t>
        </is>
      </c>
      <c r="G1426" s="1" t="inlineStr">
        <is>
          <t>NANCY</t>
        </is>
      </c>
      <c r="H1426" s="1" t="inlineStr">
        <is>
          <t>NANCY 09/07/2026</t>
        </is>
      </c>
      <c r="I1426" s="4" t="n">
        <v>4</v>
      </c>
      <c r="J1426" s="6" t="n">
        <v>6.59</v>
      </c>
      <c r="K1426" s="6" t="n">
        <v>160.568469</v>
      </c>
      <c r="L1426" s="6">
        <f>I1426*K1426</f>
        <v/>
      </c>
      <c r="M1426" s="6">
        <f>K1426*4</f>
        <v/>
      </c>
      <c r="N1426" s="6" t="n">
        <v>550</v>
      </c>
    </row>
    <row r="1427">
      <c r="A1427" s="1" t="inlineStr">
        <is>
          <t>43047206256780</t>
        </is>
      </c>
      <c r="B1427" s="1" t="inlineStr">
        <is>
          <t>ANILLO LOCK GOLD-SILVER CON ZIRCONIAS</t>
        </is>
      </c>
      <c r="C1427" s="1" t="n">
        <v>6</v>
      </c>
      <c r="D1427" s="1" t="inlineStr">
        <is>
          <t>07/01/2026</t>
        </is>
      </c>
      <c r="E1427" s="1" t="n">
        <v>2026</v>
      </c>
      <c r="F1427" s="1" t="inlineStr">
        <is>
          <t>ENERO</t>
        </is>
      </c>
      <c r="G1427" s="1" t="inlineStr">
        <is>
          <t>CYNTHIA</t>
        </is>
      </c>
      <c r="H1427" s="1" t="inlineStr">
        <is>
          <t>CYNTHIA 07/01/2026</t>
        </is>
      </c>
      <c r="I1427" s="4" t="n">
        <v>2</v>
      </c>
      <c r="J1427" s="6" t="n">
        <v>11.8</v>
      </c>
      <c r="K1427" s="6" t="n">
        <v>313.7316465</v>
      </c>
      <c r="L1427" s="6">
        <f>I1427*K1427</f>
        <v/>
      </c>
      <c r="M1427" s="6">
        <f>K1427*4</f>
        <v/>
      </c>
      <c r="N1427" s="6" t="n">
        <v>1189</v>
      </c>
    </row>
    <row r="1428">
      <c r="A1428" s="1" t="inlineStr">
        <is>
          <t>43047206256780</t>
        </is>
      </c>
      <c r="B1428" s="1" t="inlineStr">
        <is>
          <t>ANILLO LOCK GOLD-SILVER CON ZIRCONIAS</t>
        </is>
      </c>
      <c r="C1428" s="1" t="inlineStr">
        <is>
          <t>6</t>
        </is>
      </c>
      <c r="D1428" s="1" t="inlineStr">
        <is>
          <t>19/03/2026</t>
        </is>
      </c>
      <c r="E1428" s="1" t="n">
        <v>2026</v>
      </c>
      <c r="F1428" s="1" t="inlineStr">
        <is>
          <t>MARZO</t>
        </is>
      </c>
      <c r="G1428" s="1" t="inlineStr">
        <is>
          <t>CYNTHIA</t>
        </is>
      </c>
      <c r="H1428" s="1" t="inlineStr">
        <is>
          <t>CYNTHIA 19/03/2026</t>
        </is>
      </c>
      <c r="I1428" s="4" t="n">
        <v>2</v>
      </c>
      <c r="J1428" s="6" t="n">
        <v>12.8</v>
      </c>
      <c r="K1428" s="6" t="n">
        <v>343.7749222</v>
      </c>
      <c r="L1428" s="6">
        <f>I1428*K1428</f>
        <v/>
      </c>
      <c r="M1428" s="6">
        <f>K1428*4</f>
        <v/>
      </c>
      <c r="N1428" s="6" t="n">
        <v>1189</v>
      </c>
    </row>
    <row r="1429">
      <c r="A1429" s="1" t="inlineStr">
        <is>
          <t>43047206256780</t>
        </is>
      </c>
      <c r="B1429" s="1" t="inlineStr">
        <is>
          <t>ANILLO LOCK GOLD-SILVER CON ZIRCONIAS</t>
        </is>
      </c>
      <c r="C1429" s="1" t="n">
        <v>6</v>
      </c>
      <c r="D1429" s="1" t="inlineStr">
        <is>
          <t>27/04/2026</t>
        </is>
      </c>
      <c r="E1429" s="1" t="n">
        <v>2026</v>
      </c>
      <c r="F1429" s="1" t="inlineStr">
        <is>
          <t>ABRIL</t>
        </is>
      </c>
      <c r="G1429" s="1" t="inlineStr">
        <is>
          <t>CYNTHIA</t>
        </is>
      </c>
      <c r="H1429" s="1" t="inlineStr">
        <is>
          <t>CYNTHIA 27/04/2026</t>
        </is>
      </c>
      <c r="I1429" s="4" t="n">
        <v>2</v>
      </c>
      <c r="J1429" s="6" t="n">
        <v>12.8</v>
      </c>
      <c r="K1429" s="6" t="n">
        <v>332.1611855</v>
      </c>
      <c r="L1429" s="6">
        <f>I1429*K1429</f>
        <v/>
      </c>
      <c r="M1429" s="6">
        <f>K1429*4</f>
        <v/>
      </c>
      <c r="N1429" s="6" t="n">
        <v>1189</v>
      </c>
    </row>
    <row r="1430">
      <c r="A1430" s="1" t="inlineStr">
        <is>
          <t>43047206289548</t>
        </is>
      </c>
      <c r="B1430" s="1" t="inlineStr">
        <is>
          <t>ANILLO LOCK GOLD-SILVER CON ZIRCONIAS</t>
        </is>
      </c>
      <c r="C1430" s="1" t="n">
        <v>7</v>
      </c>
      <c r="D1430" s="1" t="inlineStr">
        <is>
          <t>25/10/2025</t>
        </is>
      </c>
      <c r="E1430" s="1" t="n">
        <v>2025</v>
      </c>
      <c r="F1430" s="1" t="inlineStr">
        <is>
          <t>OCTUBRE</t>
        </is>
      </c>
      <c r="G1430" s="1" t="inlineStr">
        <is>
          <t>CYNTHIA</t>
        </is>
      </c>
      <c r="H1430" s="1" t="inlineStr">
        <is>
          <t>CYNTHIA 25/10/2025</t>
        </is>
      </c>
      <c r="I1430" s="4" t="n">
        <v>3</v>
      </c>
      <c r="J1430" s="6" t="n">
        <v>12.8</v>
      </c>
      <c r="K1430" s="6" t="n">
        <v>335.3833419</v>
      </c>
      <c r="L1430" s="6">
        <f>I1430*K1430</f>
        <v/>
      </c>
      <c r="M1430" s="6">
        <f>K1430*4</f>
        <v/>
      </c>
      <c r="N1430" s="6" t="n">
        <v>1099</v>
      </c>
    </row>
    <row r="1431">
      <c r="A1431" s="1" t="inlineStr">
        <is>
          <t>43047206289548</t>
        </is>
      </c>
      <c r="B1431" s="1" t="n"/>
      <c r="C1431" s="1" t="n">
        <v>7</v>
      </c>
      <c r="D1431" s="1" t="inlineStr">
        <is>
          <t>07/01/2026</t>
        </is>
      </c>
      <c r="E1431" s="1" t="n">
        <v>2026</v>
      </c>
      <c r="F1431" s="1" t="inlineStr">
        <is>
          <t>ENERO</t>
        </is>
      </c>
      <c r="G1431" s="1" t="inlineStr">
        <is>
          <t>CYNTHIA</t>
        </is>
      </c>
      <c r="H1431" s="1" t="inlineStr">
        <is>
          <t>CYNTHIA 07/01/2026</t>
        </is>
      </c>
      <c r="I1431" s="4" t="n">
        <v>5</v>
      </c>
      <c r="J1431" s="6" t="n">
        <v>11.8</v>
      </c>
      <c r="K1431" s="6" t="n">
        <v>313.7316465</v>
      </c>
      <c r="L1431" s="6">
        <f>I1431*K1431</f>
        <v/>
      </c>
      <c r="M1431" s="6">
        <f>K1431*4</f>
        <v/>
      </c>
      <c r="N1431" s="6" t="n">
        <v>1189</v>
      </c>
    </row>
    <row r="1432">
      <c r="A1432" s="1" t="inlineStr">
        <is>
          <t>43047206289548</t>
        </is>
      </c>
      <c r="B1432" s="1" t="inlineStr">
        <is>
          <t>ANILLO LOCK GOLD-SILVER CON ZIRCONIAS</t>
        </is>
      </c>
      <c r="C1432" s="1" t="inlineStr">
        <is>
          <t>7</t>
        </is>
      </c>
      <c r="D1432" s="1" t="inlineStr">
        <is>
          <t>31/05/2026</t>
        </is>
      </c>
      <c r="E1432" s="1" t="n">
        <v>2026</v>
      </c>
      <c r="F1432" s="1" t="inlineStr">
        <is>
          <t>MAYO</t>
        </is>
      </c>
      <c r="G1432" s="1" t="inlineStr">
        <is>
          <t>CYNTHIA</t>
        </is>
      </c>
      <c r="H1432" s="1" t="inlineStr">
        <is>
          <t>CYNTHIA 31/05/2026</t>
        </is>
      </c>
      <c r="I1432" s="4" t="n">
        <v>1</v>
      </c>
      <c r="J1432" s="6" t="n">
        <v>12.8</v>
      </c>
      <c r="K1432" s="6" t="n">
        <v>339.2133757</v>
      </c>
      <c r="L1432" s="6">
        <f>I1432*K1432</f>
        <v/>
      </c>
      <c r="M1432" s="6">
        <f>K1432*4</f>
        <v/>
      </c>
      <c r="N1432" s="6" t="n">
        <v>1189</v>
      </c>
    </row>
    <row r="1433">
      <c r="A1433" s="1" t="inlineStr">
        <is>
          <t>43047206322316</t>
        </is>
      </c>
      <c r="B1433" s="1" t="n"/>
      <c r="C1433" s="1" t="n">
        <v>8</v>
      </c>
      <c r="D1433" s="1" t="inlineStr">
        <is>
          <t>07/01/2026</t>
        </is>
      </c>
      <c r="E1433" s="1" t="n">
        <v>2026</v>
      </c>
      <c r="F1433" s="1" t="inlineStr">
        <is>
          <t>ENERO</t>
        </is>
      </c>
      <c r="G1433" s="1" t="inlineStr">
        <is>
          <t>CYNTHIA</t>
        </is>
      </c>
      <c r="H1433" s="1" t="inlineStr">
        <is>
          <t>CYNTHIA 07/01/2026</t>
        </is>
      </c>
      <c r="I1433" s="4" t="n">
        <v>3</v>
      </c>
      <c r="J1433" s="6" t="n">
        <v>11.8</v>
      </c>
      <c r="K1433" s="6" t="n">
        <v>313.7316465</v>
      </c>
      <c r="L1433" s="6">
        <f>I1433*K1433</f>
        <v/>
      </c>
      <c r="M1433" s="6">
        <f>K1433*4</f>
        <v/>
      </c>
      <c r="N1433" s="6" t="n">
        <v>1189</v>
      </c>
    </row>
    <row r="1434">
      <c r="A1434" s="1" t="inlineStr">
        <is>
          <t>43047206682764</t>
        </is>
      </c>
      <c r="B1434" s="1" t="inlineStr">
        <is>
          <t>ANILLO LOCK ROSEGOLD-SILVER CON ZIRCONIAS</t>
        </is>
      </c>
      <c r="C1434" s="1" t="n">
        <v>6</v>
      </c>
      <c r="D1434" s="1" t="inlineStr">
        <is>
          <t>07/01/2026</t>
        </is>
      </c>
      <c r="E1434" s="1" t="n">
        <v>2026</v>
      </c>
      <c r="F1434" s="1" t="inlineStr">
        <is>
          <t>ENERO</t>
        </is>
      </c>
      <c r="G1434" s="1" t="inlineStr">
        <is>
          <t>CYNTHIA</t>
        </is>
      </c>
      <c r="H1434" s="1" t="inlineStr">
        <is>
          <t>CYNTHIA 07/01/2026</t>
        </is>
      </c>
      <c r="I1434" s="4" t="n">
        <v>3</v>
      </c>
      <c r="J1434" s="6" t="n">
        <v>11.8</v>
      </c>
      <c r="K1434" s="6" t="n">
        <v>313.7316465</v>
      </c>
      <c r="L1434" s="6">
        <f>I1434*K1434</f>
        <v/>
      </c>
      <c r="M1434" s="6">
        <f>K1434*4</f>
        <v/>
      </c>
      <c r="N1434" s="6" t="n">
        <v>1169</v>
      </c>
    </row>
    <row r="1435">
      <c r="A1435" s="1" t="inlineStr">
        <is>
          <t>43047206715532</t>
        </is>
      </c>
      <c r="B1435" s="1" t="n"/>
      <c r="C1435" s="1" t="n">
        <v>7</v>
      </c>
      <c r="D1435" s="1" t="inlineStr">
        <is>
          <t>07/01/2026</t>
        </is>
      </c>
      <c r="E1435" s="1" t="n">
        <v>2026</v>
      </c>
      <c r="F1435" s="1" t="inlineStr">
        <is>
          <t>ENERO</t>
        </is>
      </c>
      <c r="G1435" s="1" t="inlineStr">
        <is>
          <t>CYNTHIA</t>
        </is>
      </c>
      <c r="H1435" s="1" t="inlineStr">
        <is>
          <t>CYNTHIA 07/01/2026</t>
        </is>
      </c>
      <c r="I1435" s="4" t="n">
        <v>5</v>
      </c>
      <c r="J1435" s="6" t="n">
        <v>11.8</v>
      </c>
      <c r="K1435" s="6" t="n">
        <v>313.7316465</v>
      </c>
      <c r="L1435" s="6">
        <f>I1435*K1435</f>
        <v/>
      </c>
      <c r="M1435" s="6">
        <f>K1435*4</f>
        <v/>
      </c>
      <c r="N1435" s="6" t="n">
        <v>1169</v>
      </c>
    </row>
    <row r="1436">
      <c r="A1436" s="1" t="inlineStr">
        <is>
          <t>43047206748300</t>
        </is>
      </c>
      <c r="B1436" s="1" t="n"/>
      <c r="C1436" s="1" t="n">
        <v>8</v>
      </c>
      <c r="D1436" s="1" t="inlineStr">
        <is>
          <t>07/01/2026</t>
        </is>
      </c>
      <c r="E1436" s="1" t="n">
        <v>2026</v>
      </c>
      <c r="F1436" s="1" t="inlineStr">
        <is>
          <t>ENERO</t>
        </is>
      </c>
      <c r="G1436" s="1" t="inlineStr">
        <is>
          <t>CYNTHIA</t>
        </is>
      </c>
      <c r="H1436" s="1" t="inlineStr">
        <is>
          <t>CYNTHIA 07/01/2026</t>
        </is>
      </c>
      <c r="I1436" s="4" t="n">
        <v>2</v>
      </c>
      <c r="J1436" s="6" t="n">
        <v>11.8</v>
      </c>
      <c r="K1436" s="6" t="n">
        <v>313.7316465</v>
      </c>
      <c r="L1436" s="6">
        <f>I1436*K1436</f>
        <v/>
      </c>
      <c r="M1436" s="6">
        <f>K1436*4</f>
        <v/>
      </c>
      <c r="N1436" s="6" t="n">
        <v>1169</v>
      </c>
    </row>
    <row r="1437">
      <c r="A1437" s="1" t="inlineStr">
        <is>
          <t>43047206748300</t>
        </is>
      </c>
      <c r="B1437" s="1" t="inlineStr">
        <is>
          <t>ANILLO LOCK ROSEGOLD-SILVER CON ZIRCONIAS</t>
        </is>
      </c>
      <c r="C1437" s="1" t="n">
        <v>8</v>
      </c>
      <c r="D1437" s="1" t="inlineStr">
        <is>
          <t>27/04/2026</t>
        </is>
      </c>
      <c r="E1437" s="1" t="n">
        <v>2026</v>
      </c>
      <c r="F1437" s="1" t="inlineStr">
        <is>
          <t>ABRIL</t>
        </is>
      </c>
      <c r="G1437" s="1" t="inlineStr">
        <is>
          <t>CYNTHIA</t>
        </is>
      </c>
      <c r="H1437" s="1" t="inlineStr">
        <is>
          <t>CYNTHIA 27/04/2026</t>
        </is>
      </c>
      <c r="I1437" s="4" t="n">
        <v>2</v>
      </c>
      <c r="J1437" s="6" t="n">
        <v>12.8</v>
      </c>
      <c r="K1437" s="6" t="n">
        <v>332.1611855</v>
      </c>
      <c r="L1437" s="6">
        <f>I1437*K1437</f>
        <v/>
      </c>
      <c r="M1437" s="6">
        <f>K1437*4</f>
        <v/>
      </c>
      <c r="N1437" s="6" t="n">
        <v>1169</v>
      </c>
    </row>
    <row r="1438">
      <c r="A1438" s="1" t="inlineStr">
        <is>
          <t>43047207010444</t>
        </is>
      </c>
      <c r="B1438" s="1" t="inlineStr">
        <is>
          <t>PULSERA T ANGOSTA SILVER</t>
        </is>
      </c>
      <c r="C1438" s="1" t="inlineStr">
        <is>
          <t>16cm</t>
        </is>
      </c>
      <c r="D1438" s="1" t="inlineStr">
        <is>
          <t>05/09/2025</t>
        </is>
      </c>
      <c r="E1438" s="1" t="n">
        <v>2025</v>
      </c>
      <c r="F1438" s="1" t="inlineStr">
        <is>
          <t>SEPTIEMBRE</t>
        </is>
      </c>
      <c r="G1438" s="1" t="inlineStr">
        <is>
          <t>CYNTHIA</t>
        </is>
      </c>
      <c r="H1438" s="1" t="inlineStr">
        <is>
          <t>CYNTHIA 05/09/2025</t>
        </is>
      </c>
      <c r="I1438" s="4" t="n">
        <v>3</v>
      </c>
      <c r="J1438" s="6" t="n">
        <v>14</v>
      </c>
      <c r="K1438" s="6" t="n">
        <v>352.507357</v>
      </c>
      <c r="L1438" s="6">
        <f>I1438*K1438</f>
        <v/>
      </c>
      <c r="M1438" s="6">
        <f>K1438*4</f>
        <v/>
      </c>
      <c r="N1438" s="6" t="n">
        <v>1180</v>
      </c>
    </row>
    <row r="1439">
      <c r="A1439" s="1" t="inlineStr">
        <is>
          <t>43047207010444</t>
        </is>
      </c>
      <c r="B1439" s="1" t="inlineStr">
        <is>
          <t>PULSERA T ANGOSTA SILVER</t>
        </is>
      </c>
      <c r="C1439" s="1" t="inlineStr">
        <is>
          <t>16cm</t>
        </is>
      </c>
      <c r="D1439" s="1" t="inlineStr">
        <is>
          <t>18/02/2026</t>
        </is>
      </c>
      <c r="E1439" s="1" t="n">
        <v>2026</v>
      </c>
      <c r="F1439" s="1" t="inlineStr">
        <is>
          <t>FEBRERO</t>
        </is>
      </c>
      <c r="G1439" s="1" t="inlineStr">
        <is>
          <t>CYNTHIA</t>
        </is>
      </c>
      <c r="H1439" s="1" t="inlineStr">
        <is>
          <t>CYNTHIA 18/02/2026</t>
        </is>
      </c>
      <c r="I1439" s="4" t="n">
        <v>3</v>
      </c>
      <c r="J1439" s="6" t="n">
        <v>14</v>
      </c>
      <c r="K1439" s="6" t="n">
        <v>378.6071128</v>
      </c>
      <c r="L1439" s="6">
        <f>I1439*K1439</f>
        <v/>
      </c>
      <c r="M1439" s="6">
        <f>K1439*4</f>
        <v/>
      </c>
      <c r="N1439" s="6" t="n">
        <v>1330</v>
      </c>
    </row>
    <row r="1440">
      <c r="A1440" s="1" t="inlineStr">
        <is>
          <t>43047208517772</t>
        </is>
      </c>
      <c r="B1440" s="1" t="inlineStr">
        <is>
          <t>COLLAR ESLABÓN DOBLE CADENA ROSEGOLD</t>
        </is>
      </c>
      <c r="C1440" s="1" t="inlineStr">
        <is>
          <t>47cm</t>
        </is>
      </c>
      <c r="D1440" s="1" t="inlineStr">
        <is>
          <t>25/10/2025</t>
        </is>
      </c>
      <c r="E1440" s="1" t="n">
        <v>2025</v>
      </c>
      <c r="F1440" s="1" t="inlineStr">
        <is>
          <t>OCTUBRE</t>
        </is>
      </c>
      <c r="G1440" s="1" t="inlineStr">
        <is>
          <t>CYNTHIA</t>
        </is>
      </c>
      <c r="H1440" s="1" t="inlineStr">
        <is>
          <t>CYNTHIA 25/10/2025</t>
        </is>
      </c>
      <c r="I1440" s="4" t="n">
        <v>4</v>
      </c>
      <c r="J1440" s="6" t="n">
        <v>10.8</v>
      </c>
      <c r="K1440" s="6" t="n">
        <v>282.9796948</v>
      </c>
      <c r="L1440" s="6">
        <f>I1440*K1440</f>
        <v/>
      </c>
      <c r="M1440" s="6">
        <f>K1440*4</f>
        <v/>
      </c>
      <c r="N1440" s="6" t="n">
        <v>920</v>
      </c>
    </row>
    <row r="1441">
      <c r="A1441" s="1" t="inlineStr">
        <is>
          <t>43047208517772</t>
        </is>
      </c>
      <c r="B1441" s="1" t="inlineStr">
        <is>
          <t>COLLAR ESLABÓN DOBLE CADENA ROSEGOLD</t>
        </is>
      </c>
      <c r="C1441" s="1" t="inlineStr">
        <is>
          <t>47cm</t>
        </is>
      </c>
      <c r="D1441" s="1" t="inlineStr">
        <is>
          <t>18/02/2026</t>
        </is>
      </c>
      <c r="E1441" s="1" t="n">
        <v>2026</v>
      </c>
      <c r="F1441" s="1" t="inlineStr">
        <is>
          <t>FEBRERO</t>
        </is>
      </c>
      <c r="G1441" s="1" t="inlineStr">
        <is>
          <t>CYNTHIA</t>
        </is>
      </c>
      <c r="H1441" s="1" t="inlineStr">
        <is>
          <t>CYNTHIA 18/02/2026</t>
        </is>
      </c>
      <c r="I1441" s="4" t="n">
        <v>6</v>
      </c>
      <c r="J1441" s="6" t="n">
        <v>10.8</v>
      </c>
      <c r="K1441" s="6" t="n">
        <v>292.0683441</v>
      </c>
      <c r="L1441" s="6">
        <f>I1441*K1441</f>
        <v/>
      </c>
      <c r="M1441" s="6">
        <f>K1441*4</f>
        <v/>
      </c>
      <c r="N1441" s="6" t="n">
        <v>1025</v>
      </c>
    </row>
    <row r="1442">
      <c r="A1442" s="1" t="inlineStr">
        <is>
          <t>43047209828492</t>
        </is>
      </c>
      <c r="B1442" s="1" t="inlineStr">
        <is>
          <t>PULSERA DE CUENTAS GOLD CON INSIGNIA DE CORAZÓN BLUE</t>
        </is>
      </c>
      <c r="C1442" s="1" t="inlineStr">
        <is>
          <t>16 cm</t>
        </is>
      </c>
      <c r="D1442" s="1" t="inlineStr">
        <is>
          <t>01/05/2025</t>
        </is>
      </c>
      <c r="E1442" s="1" t="n">
        <v>2025</v>
      </c>
      <c r="F1442" s="1" t="inlineStr">
        <is>
          <t>MAYO</t>
        </is>
      </c>
      <c r="G1442" s="1" t="inlineStr">
        <is>
          <t>COCOMA</t>
        </is>
      </c>
      <c r="H1442" s="1" t="inlineStr">
        <is>
          <t>COCOMA MAYO 2025</t>
        </is>
      </c>
      <c r="I1442" s="4" t="n">
        <v>10</v>
      </c>
      <c r="J1442" s="6" t="n">
        <v>4.66</v>
      </c>
      <c r="K1442" s="6" t="n">
        <v>114.1477399</v>
      </c>
      <c r="L1442" s="6">
        <f>I1442*K1442</f>
        <v/>
      </c>
      <c r="M1442" s="6">
        <f>K1442*4</f>
        <v/>
      </c>
      <c r="N1442" s="6" t="n">
        <v>525</v>
      </c>
    </row>
    <row r="1443">
      <c r="A1443" s="1" t="inlineStr">
        <is>
          <t>43047209828492</t>
        </is>
      </c>
      <c r="B1443" s="1" t="inlineStr">
        <is>
          <t>PULSERA DE CUENTAS GOLD CON INSIGNIA DE CORAZÓN BLUE</t>
        </is>
      </c>
      <c r="C1443" s="1" t="inlineStr">
        <is>
          <t>16cm</t>
        </is>
      </c>
      <c r="D1443" s="1" t="inlineStr">
        <is>
          <t>20/01/2026</t>
        </is>
      </c>
      <c r="E1443" s="1" t="n">
        <v>2026</v>
      </c>
      <c r="F1443" s="1" t="inlineStr">
        <is>
          <t>ENERO</t>
        </is>
      </c>
      <c r="G1443" s="1" t="inlineStr">
        <is>
          <t>COCOMA</t>
        </is>
      </c>
      <c r="H1443" s="1" t="inlineStr">
        <is>
          <t>COCOMA 20/01/2026</t>
        </is>
      </c>
      <c r="I1443" s="4" t="n">
        <v>10</v>
      </c>
      <c r="J1443" s="6" t="n">
        <v>4.66</v>
      </c>
      <c r="K1443" s="6" t="n">
        <v>112.6084529</v>
      </c>
      <c r="L1443" s="6">
        <f>I1443*K1443</f>
        <v/>
      </c>
      <c r="M1443" s="6">
        <f>K1443*4</f>
        <v/>
      </c>
      <c r="N1443" s="6" t="n">
        <v>525</v>
      </c>
    </row>
    <row r="1444">
      <c r="A1444" s="1" t="inlineStr">
        <is>
          <t>43047210680460</t>
        </is>
      </c>
      <c r="B1444" s="1" t="inlineStr">
        <is>
          <t>PULSERA DE CUENTAS GOLD CON INSIGNIA DE CORAZÓN RED</t>
        </is>
      </c>
      <c r="C1444" s="1" t="inlineStr">
        <is>
          <t>16 cm</t>
        </is>
      </c>
      <c r="D1444" s="1" t="inlineStr">
        <is>
          <t>01/05/2025</t>
        </is>
      </c>
      <c r="E1444" s="1" t="n">
        <v>2025</v>
      </c>
      <c r="F1444" s="1" t="inlineStr">
        <is>
          <t>MAYO</t>
        </is>
      </c>
      <c r="G1444" s="1" t="inlineStr">
        <is>
          <t>COCOMA</t>
        </is>
      </c>
      <c r="H1444" s="1" t="inlineStr">
        <is>
          <t>COCOMA MAYO 2025</t>
        </is>
      </c>
      <c r="I1444" s="4" t="n">
        <v>3</v>
      </c>
      <c r="J1444" s="6" t="n">
        <v>4.66</v>
      </c>
      <c r="K1444" s="6" t="n">
        <v>114.1477399</v>
      </c>
      <c r="L1444" s="6">
        <f>I1444*K1444</f>
        <v/>
      </c>
      <c r="M1444" s="6">
        <f>K1444*4</f>
        <v/>
      </c>
      <c r="N1444" s="6" t="n">
        <v>525</v>
      </c>
    </row>
    <row r="1445">
      <c r="A1445" s="1" t="inlineStr">
        <is>
          <t>43047210680460</t>
        </is>
      </c>
      <c r="B1445" s="1" t="inlineStr">
        <is>
          <t>PULSERA DE CUENTAS GOLD CON INSIGNIA DE CORAZÓN RED</t>
        </is>
      </c>
      <c r="C1445" s="1" t="inlineStr">
        <is>
          <t>16cm</t>
        </is>
      </c>
      <c r="D1445" s="1" t="inlineStr">
        <is>
          <t>20/01/2026</t>
        </is>
      </c>
      <c r="E1445" s="1" t="n">
        <v>2026</v>
      </c>
      <c r="F1445" s="1" t="inlineStr">
        <is>
          <t>ENERO</t>
        </is>
      </c>
      <c r="G1445" s="1" t="inlineStr">
        <is>
          <t>COCOMA</t>
        </is>
      </c>
      <c r="H1445" s="1" t="inlineStr">
        <is>
          <t>COCOMA 20/01/2026</t>
        </is>
      </c>
      <c r="I1445" s="4" t="n">
        <v>3</v>
      </c>
      <c r="J1445" s="6" t="n">
        <v>4.66</v>
      </c>
      <c r="K1445" s="6" t="n">
        <v>112.6084529</v>
      </c>
      <c r="L1445" s="6">
        <f>I1445*K1445</f>
        <v/>
      </c>
      <c r="M1445" s="6">
        <f>K1445*4</f>
        <v/>
      </c>
      <c r="N1445" s="6" t="n">
        <v>525</v>
      </c>
    </row>
    <row r="1446">
      <c r="A1446" s="1" t="inlineStr">
        <is>
          <t>43047211597964</t>
        </is>
      </c>
      <c r="B1446" s="1" t="inlineStr">
        <is>
          <t>ARETES CORAZÓN PLACA GRABADO GOLD</t>
        </is>
      </c>
      <c r="C1446" s="1" t="inlineStr">
        <is>
          <t>Regular</t>
        </is>
      </c>
      <c r="D1446" s="1" t="inlineStr">
        <is>
          <t>05/09/2025</t>
        </is>
      </c>
      <c r="E1446" s="1" t="n">
        <v>2025</v>
      </c>
      <c r="F1446" s="1" t="inlineStr">
        <is>
          <t>SEPTIEMBRE</t>
        </is>
      </c>
      <c r="G1446" s="1" t="inlineStr">
        <is>
          <t>CYNTHIA</t>
        </is>
      </c>
      <c r="H1446" s="1" t="inlineStr">
        <is>
          <t>CYNTHIA 05/09/2025</t>
        </is>
      </c>
      <c r="I1446" s="4" t="n">
        <v>2</v>
      </c>
      <c r="J1446" s="6" t="n">
        <v>7</v>
      </c>
      <c r="K1446" s="6" t="n">
        <v>176.2536785</v>
      </c>
      <c r="L1446" s="6">
        <f>I1446*K1446</f>
        <v/>
      </c>
      <c r="M1446" s="6">
        <f>K1446*4</f>
        <v/>
      </c>
      <c r="N1446" s="6" t="n">
        <v>745</v>
      </c>
    </row>
    <row r="1447">
      <c r="A1447" s="1" t="inlineStr">
        <is>
          <t>43047211597964</t>
        </is>
      </c>
      <c r="B1447" s="1" t="inlineStr">
        <is>
          <t>ARETES CORAZÓN PLACA GRABADO GOLD</t>
        </is>
      </c>
      <c r="C1447" s="1" t="inlineStr">
        <is>
          <t>Regular</t>
        </is>
      </c>
      <c r="D1447" s="1" t="inlineStr">
        <is>
          <t>31/05/2026</t>
        </is>
      </c>
      <c r="E1447" s="1" t="n">
        <v>2026</v>
      </c>
      <c r="F1447" s="1" t="inlineStr">
        <is>
          <t>MAYO</t>
        </is>
      </c>
      <c r="G1447" s="1" t="inlineStr">
        <is>
          <t>CYNTHIA</t>
        </is>
      </c>
      <c r="H1447" s="1" t="inlineStr">
        <is>
          <t>CYNTHIA 31/05/2026</t>
        </is>
      </c>
      <c r="I1447" s="4" t="n">
        <v>2</v>
      </c>
      <c r="J1447" s="6" t="n">
        <v>7</v>
      </c>
      <c r="K1447" s="6" t="n">
        <v>185.5073148</v>
      </c>
      <c r="L1447" s="6">
        <f>I1447*K1447</f>
        <v/>
      </c>
      <c r="M1447" s="6">
        <f>K1447*4</f>
        <v/>
      </c>
      <c r="N1447" s="6" t="n">
        <v>745</v>
      </c>
    </row>
    <row r="1448">
      <c r="A1448" s="1" t="inlineStr">
        <is>
          <t>43047212384396</t>
        </is>
      </c>
      <c r="B1448" s="1" t="inlineStr">
        <is>
          <t>PULSERA LOCK SILVER</t>
        </is>
      </c>
      <c r="C1448" s="1" t="inlineStr">
        <is>
          <t>17.5cm</t>
        </is>
      </c>
      <c r="D1448" s="1" t="inlineStr">
        <is>
          <t>25/10/2025</t>
        </is>
      </c>
      <c r="E1448" s="1" t="n">
        <v>2025</v>
      </c>
      <c r="F1448" s="1" t="inlineStr">
        <is>
          <t>OCTUBRE</t>
        </is>
      </c>
      <c r="G1448" s="1" t="inlineStr">
        <is>
          <t>CYNTHIA</t>
        </is>
      </c>
      <c r="H1448" s="1" t="inlineStr">
        <is>
          <t>CYNTHIA 25/10/2025</t>
        </is>
      </c>
      <c r="I1448" s="4" t="n">
        <v>2</v>
      </c>
      <c r="J1448" s="6" t="n">
        <v>15.8</v>
      </c>
      <c r="K1448" s="6" t="n">
        <v>413.9888127</v>
      </c>
      <c r="L1448" s="6">
        <f>I1448*K1448</f>
        <v/>
      </c>
      <c r="M1448" s="6">
        <f>K1448*4</f>
        <v/>
      </c>
      <c r="N1448" s="6" t="n">
        <v>1350</v>
      </c>
    </row>
    <row r="1449">
      <c r="A1449" s="1" t="inlineStr">
        <is>
          <t>43047212384396</t>
        </is>
      </c>
      <c r="B1449" s="1" t="inlineStr">
        <is>
          <t>PULSERA LOCK SILVER</t>
        </is>
      </c>
      <c r="C1449" s="1" t="inlineStr">
        <is>
          <t>17.5cm</t>
        </is>
      </c>
      <c r="D1449" s="1" t="inlineStr">
        <is>
          <t>07/01/2026</t>
        </is>
      </c>
      <c r="E1449" s="1" t="n">
        <v>2026</v>
      </c>
      <c r="F1449" s="1" t="inlineStr">
        <is>
          <t>ENERO</t>
        </is>
      </c>
      <c r="G1449" s="1" t="inlineStr">
        <is>
          <t>CYNTHIA</t>
        </is>
      </c>
      <c r="H1449" s="1" t="inlineStr">
        <is>
          <t>CYNTHIA 07/01/2026</t>
        </is>
      </c>
      <c r="I1449" s="4" t="n">
        <v>3</v>
      </c>
      <c r="J1449" s="6" t="n">
        <v>15.8</v>
      </c>
      <c r="K1449" s="6" t="n">
        <v>420.0813572</v>
      </c>
      <c r="L1449" s="6">
        <f>I1449*K1449</f>
        <v/>
      </c>
      <c r="M1449" s="6">
        <f>K1449*4</f>
        <v/>
      </c>
      <c r="N1449" s="6" t="n">
        <v>1679</v>
      </c>
    </row>
    <row r="1450">
      <c r="A1450" s="1" t="inlineStr">
        <is>
          <t>43047212384396</t>
        </is>
      </c>
      <c r="B1450" s="1" t="inlineStr">
        <is>
          <t>PULSERA LOCK SILVER</t>
        </is>
      </c>
      <c r="C1450" s="1" t="inlineStr">
        <is>
          <t>17.5cm</t>
        </is>
      </c>
      <c r="D1450" s="1" t="inlineStr">
        <is>
          <t>31/05/2026</t>
        </is>
      </c>
      <c r="E1450" s="1" t="n">
        <v>2026</v>
      </c>
      <c r="F1450" s="1" t="inlineStr">
        <is>
          <t>MAYO</t>
        </is>
      </c>
      <c r="G1450" s="1" t="inlineStr">
        <is>
          <t>CYNTHIA</t>
        </is>
      </c>
      <c r="H1450" s="1" t="inlineStr">
        <is>
          <t>CYNTHIA 31/05/2026</t>
        </is>
      </c>
      <c r="I1450" s="4" t="n">
        <v>3</v>
      </c>
      <c r="J1450" s="6" t="n">
        <v>15.8</v>
      </c>
      <c r="K1450" s="6" t="n">
        <v>418.7165106</v>
      </c>
      <c r="L1450" s="6">
        <f>I1450*K1450</f>
        <v/>
      </c>
      <c r="M1450" s="6">
        <f>K1450*4</f>
        <v/>
      </c>
      <c r="N1450" s="6" t="n">
        <v>1679</v>
      </c>
    </row>
    <row r="1451">
      <c r="A1451" s="1" t="inlineStr">
        <is>
          <t>43047213301900</t>
        </is>
      </c>
      <c r="B1451" s="1" t="inlineStr">
        <is>
          <t>PULSERA KNOT GOLD</t>
        </is>
      </c>
      <c r="C1451" s="1" t="inlineStr">
        <is>
          <t>17cm</t>
        </is>
      </c>
      <c r="D1451" s="1" t="inlineStr">
        <is>
          <t>05/09/2025</t>
        </is>
      </c>
      <c r="E1451" s="1" t="n">
        <v>2025</v>
      </c>
      <c r="F1451" s="1" t="inlineStr">
        <is>
          <t>SEPTIEMBRE</t>
        </is>
      </c>
      <c r="G1451" s="1" t="inlineStr">
        <is>
          <t>CYNTHIA</t>
        </is>
      </c>
      <c r="H1451" s="1" t="inlineStr">
        <is>
          <t>CYNTHIA 05/09/2025</t>
        </is>
      </c>
      <c r="I1451" s="4" t="n">
        <v>3</v>
      </c>
      <c r="J1451" s="6" t="n">
        <v>9.5</v>
      </c>
      <c r="K1451" s="6" t="n">
        <v>239.2014208</v>
      </c>
      <c r="L1451" s="6">
        <f>I1451*K1451</f>
        <v/>
      </c>
      <c r="M1451" s="6">
        <f>K1451*4</f>
        <v/>
      </c>
      <c r="N1451" s="6" t="n">
        <v>1405</v>
      </c>
    </row>
    <row r="1452">
      <c r="A1452" s="1" t="inlineStr">
        <is>
          <t>43047213301900</t>
        </is>
      </c>
      <c r="B1452" s="1" t="inlineStr">
        <is>
          <t>PULSERA KNOT GOLD</t>
        </is>
      </c>
      <c r="C1452" s="1" t="inlineStr">
        <is>
          <t>17cm</t>
        </is>
      </c>
      <c r="D1452" s="1" t="inlineStr">
        <is>
          <t>07/01/2026</t>
        </is>
      </c>
      <c r="E1452" s="1" t="n">
        <v>2026</v>
      </c>
      <c r="F1452" s="1" t="inlineStr">
        <is>
          <t>ENERO</t>
        </is>
      </c>
      <c r="G1452" s="1" t="inlineStr">
        <is>
          <t>CYNTHIA</t>
        </is>
      </c>
      <c r="H1452" s="1" t="inlineStr">
        <is>
          <t>CYNTHIA 07/01/2026</t>
        </is>
      </c>
      <c r="I1452" s="4" t="n">
        <v>2</v>
      </c>
      <c r="J1452" s="6" t="n">
        <v>16</v>
      </c>
      <c r="K1452" s="6" t="n">
        <v>425.3988428</v>
      </c>
      <c r="L1452" s="6">
        <f>I1452*K1452</f>
        <v/>
      </c>
      <c r="M1452" s="6">
        <f>K1452*4</f>
        <v/>
      </c>
      <c r="N1452" s="6" t="n">
        <v>1699</v>
      </c>
    </row>
    <row r="1453">
      <c r="A1453" s="1" t="inlineStr">
        <is>
          <t>43047213301900</t>
        </is>
      </c>
      <c r="B1453" s="1" t="inlineStr">
        <is>
          <t>PULSERA KNOT GOLD</t>
        </is>
      </c>
      <c r="C1453" s="1" t="inlineStr">
        <is>
          <t>17cm</t>
        </is>
      </c>
      <c r="D1453" s="1" t="inlineStr">
        <is>
          <t>19/03/2026</t>
        </is>
      </c>
      <c r="E1453" s="1" t="n">
        <v>2026</v>
      </c>
      <c r="F1453" s="1" t="inlineStr">
        <is>
          <t>MARZO</t>
        </is>
      </c>
      <c r="G1453" s="1" t="inlineStr">
        <is>
          <t>CYNTHIA</t>
        </is>
      </c>
      <c r="H1453" s="1" t="inlineStr">
        <is>
          <t>CYNTHIA 19/03/2026</t>
        </is>
      </c>
      <c r="I1453" s="4" t="n">
        <v>2</v>
      </c>
      <c r="J1453" s="6" t="n">
        <v>16</v>
      </c>
      <c r="K1453" s="6" t="n">
        <v>429.7186527</v>
      </c>
      <c r="L1453" s="6">
        <f>I1453*K1453</f>
        <v/>
      </c>
      <c r="M1453" s="6">
        <f>K1453*4</f>
        <v/>
      </c>
      <c r="N1453" s="6" t="n">
        <v>1699</v>
      </c>
    </row>
    <row r="1454">
      <c r="A1454" s="1" t="inlineStr">
        <is>
          <t>43047213301900</t>
        </is>
      </c>
      <c r="B1454" s="1" t="inlineStr">
        <is>
          <t>PULSERA KNOT GOLD</t>
        </is>
      </c>
      <c r="C1454" s="1" t="n"/>
      <c r="D1454" s="1" t="inlineStr">
        <is>
          <t>15/05/2026</t>
        </is>
      </c>
      <c r="E1454" s="1" t="n">
        <v>2026</v>
      </c>
      <c r="F1454" s="1" t="inlineStr">
        <is>
          <t>MAYO</t>
        </is>
      </c>
      <c r="G1454" s="1" t="inlineStr">
        <is>
          <t>ZOEY</t>
        </is>
      </c>
      <c r="H1454" s="1" t="inlineStr">
        <is>
          <t>ZOEY 15/05/2026</t>
        </is>
      </c>
      <c r="I1454" s="4" t="n">
        <v>2</v>
      </c>
      <c r="J1454" s="6" t="n">
        <v>13</v>
      </c>
      <c r="K1454" s="6" t="n">
        <v>344.5601183</v>
      </c>
      <c r="L1454" s="6">
        <f>I1454*K1454</f>
        <v/>
      </c>
      <c r="M1454" s="6">
        <f>K1454*4</f>
        <v/>
      </c>
      <c r="N1454" s="6" t="n">
        <v>1405</v>
      </c>
    </row>
    <row r="1455">
      <c r="A1455" s="1" t="inlineStr">
        <is>
          <t>43047213301900</t>
        </is>
      </c>
      <c r="B1455" s="1" t="inlineStr">
        <is>
          <t>PULSERA KNOT GOLD</t>
        </is>
      </c>
      <c r="C1455" s="1" t="inlineStr">
        <is>
          <t>17cm</t>
        </is>
      </c>
      <c r="D1455" s="1" t="inlineStr">
        <is>
          <t>31/05/2026</t>
        </is>
      </c>
      <c r="E1455" s="1" t="n">
        <v>2026</v>
      </c>
      <c r="F1455" s="1" t="inlineStr">
        <is>
          <t>MAYO</t>
        </is>
      </c>
      <c r="G1455" s="1" t="inlineStr">
        <is>
          <t>CYNTHIA</t>
        </is>
      </c>
      <c r="H1455" s="1" t="inlineStr">
        <is>
          <t>CYNTHIA 31/05/2026</t>
        </is>
      </c>
      <c r="I1455" s="4" t="n">
        <v>3</v>
      </c>
      <c r="J1455" s="6" t="n">
        <v>16</v>
      </c>
      <c r="K1455" s="6" t="n">
        <v>424.0167196</v>
      </c>
      <c r="L1455" s="6">
        <f>I1455*K1455</f>
        <v/>
      </c>
      <c r="M1455" s="6">
        <f>K1455*4</f>
        <v/>
      </c>
      <c r="N1455" s="6" t="n">
        <v>1699</v>
      </c>
    </row>
    <row r="1456">
      <c r="A1456" s="1" t="inlineStr">
        <is>
          <t>43047214612620</t>
        </is>
      </c>
      <c r="B1456" s="1" t="inlineStr">
        <is>
          <t>ARETES SIXTEEN STONE</t>
        </is>
      </c>
      <c r="C1456" s="1" t="inlineStr">
        <is>
          <t>Default Title</t>
        </is>
      </c>
      <c r="D1456" s="1" t="inlineStr">
        <is>
          <t>05/09/2025</t>
        </is>
      </c>
      <c r="E1456" s="1" t="n">
        <v>2025</v>
      </c>
      <c r="F1456" s="1" t="inlineStr">
        <is>
          <t>SEPTIEMBRE</t>
        </is>
      </c>
      <c r="G1456" s="1" t="inlineStr">
        <is>
          <t>CYNTHIA</t>
        </is>
      </c>
      <c r="H1456" s="1" t="inlineStr">
        <is>
          <t>CYNTHIA 05/09/2025</t>
        </is>
      </c>
      <c r="I1456" s="4" t="n">
        <v>5</v>
      </c>
      <c r="J1456" s="6" t="n">
        <v>12.8</v>
      </c>
      <c r="K1456" s="6" t="n">
        <v>322.2924407</v>
      </c>
      <c r="L1456" s="6">
        <f>I1456*K1456</f>
        <v/>
      </c>
      <c r="M1456" s="6">
        <f>K1456*4</f>
        <v/>
      </c>
      <c r="N1456" s="6" t="n">
        <v>1070</v>
      </c>
    </row>
    <row r="1457">
      <c r="A1457" s="1" t="inlineStr">
        <is>
          <t>43047214612620</t>
        </is>
      </c>
      <c r="B1457" s="1" t="inlineStr">
        <is>
          <t>ARETES SIXTEEN STONE</t>
        </is>
      </c>
      <c r="C1457" s="1" t="inlineStr">
        <is>
          <t>Default Title</t>
        </is>
      </c>
      <c r="D1457" s="1" t="inlineStr">
        <is>
          <t>07/01/2026</t>
        </is>
      </c>
      <c r="E1457" s="1" t="n">
        <v>2026</v>
      </c>
      <c r="F1457" s="1" t="inlineStr">
        <is>
          <t>ENERO</t>
        </is>
      </c>
      <c r="G1457" s="1" t="inlineStr">
        <is>
          <t>CYNTHIA</t>
        </is>
      </c>
      <c r="H1457" s="1" t="inlineStr">
        <is>
          <t>CYNTHIA 07/01/2026</t>
        </is>
      </c>
      <c r="I1457" s="4" t="n">
        <v>3</v>
      </c>
      <c r="J1457" s="6" t="n">
        <v>12.8</v>
      </c>
      <c r="K1457" s="6" t="n">
        <v>340.3190742</v>
      </c>
      <c r="L1457" s="6">
        <f>I1457*K1457</f>
        <v/>
      </c>
      <c r="M1457" s="6">
        <f>K1457*4</f>
        <v/>
      </c>
      <c r="N1457" s="6" t="n">
        <v>1329</v>
      </c>
    </row>
    <row r="1458">
      <c r="A1458" s="1" t="inlineStr">
        <is>
          <t>43047214612620</t>
        </is>
      </c>
      <c r="B1458" s="1" t="inlineStr">
        <is>
          <t>ARETES SIXTEEN STONE</t>
        </is>
      </c>
      <c r="C1458" s="1" t="inlineStr">
        <is>
          <t>Default Title</t>
        </is>
      </c>
      <c r="D1458" s="1" t="inlineStr">
        <is>
          <t>18/02/2026</t>
        </is>
      </c>
      <c r="E1458" s="1" t="n">
        <v>2026</v>
      </c>
      <c r="F1458" s="1" t="inlineStr">
        <is>
          <t>FEBRERO</t>
        </is>
      </c>
      <c r="G1458" s="1" t="inlineStr">
        <is>
          <t>CYNTHIA</t>
        </is>
      </c>
      <c r="H1458" s="1" t="inlineStr">
        <is>
          <t>CYNTHIA 18/02/2026</t>
        </is>
      </c>
      <c r="I1458" s="4" t="n">
        <v>1</v>
      </c>
      <c r="J1458" s="6" t="n">
        <v>12.8</v>
      </c>
      <c r="K1458" s="6" t="n">
        <v>346.1550745</v>
      </c>
      <c r="L1458" s="6">
        <f>I1458*K1458</f>
        <v/>
      </c>
      <c r="M1458" s="6">
        <f>K1458*4</f>
        <v/>
      </c>
      <c r="N1458" s="6" t="n">
        <v>1329</v>
      </c>
    </row>
    <row r="1459">
      <c r="A1459" s="1" t="inlineStr">
        <is>
          <t>43047214612620</t>
        </is>
      </c>
      <c r="B1459" s="1" t="inlineStr">
        <is>
          <t>ARETES SIXTEEN STONE</t>
        </is>
      </c>
      <c r="C1459" s="1" t="inlineStr">
        <is>
          <t>Default Title</t>
        </is>
      </c>
      <c r="D1459" s="1" t="inlineStr">
        <is>
          <t>27/04/2026</t>
        </is>
      </c>
      <c r="E1459" s="1" t="n">
        <v>2026</v>
      </c>
      <c r="F1459" s="1" t="inlineStr">
        <is>
          <t>ABRIL</t>
        </is>
      </c>
      <c r="G1459" s="1" t="inlineStr">
        <is>
          <t>CYNTHIA</t>
        </is>
      </c>
      <c r="H1459" s="1" t="inlineStr">
        <is>
          <t>CYNTHIA 27/04/2026</t>
        </is>
      </c>
      <c r="I1459" s="4" t="n">
        <v>8</v>
      </c>
      <c r="J1459" s="6" t="n">
        <v>12.8</v>
      </c>
      <c r="K1459" s="6" t="n">
        <v>332.1611855</v>
      </c>
      <c r="L1459" s="6">
        <f>I1459*K1459</f>
        <v/>
      </c>
      <c r="M1459" s="6">
        <f>K1459*4</f>
        <v/>
      </c>
      <c r="N1459" s="6" t="n">
        <v>1329</v>
      </c>
    </row>
    <row r="1460">
      <c r="A1460" s="1" t="inlineStr">
        <is>
          <t>43047214907532</t>
        </is>
      </c>
      <c r="B1460" s="1" t="inlineStr">
        <is>
          <t>PULSERA SIXTEEN STONES</t>
        </is>
      </c>
      <c r="C1460" s="1" t="inlineStr">
        <is>
          <t>19cm</t>
        </is>
      </c>
      <c r="D1460" s="1" t="inlineStr">
        <is>
          <t>05/09/2025</t>
        </is>
      </c>
      <c r="E1460" s="1" t="n">
        <v>2025</v>
      </c>
      <c r="F1460" s="1" t="inlineStr">
        <is>
          <t>SEPTIEMBRE</t>
        </is>
      </c>
      <c r="G1460" s="1" t="inlineStr">
        <is>
          <t>CYNTHIA</t>
        </is>
      </c>
      <c r="H1460" s="1" t="inlineStr">
        <is>
          <t>CYNTHIA 05/09/2025</t>
        </is>
      </c>
      <c r="I1460" s="4" t="n">
        <v>3</v>
      </c>
      <c r="J1460" s="6" t="n">
        <v>20</v>
      </c>
      <c r="K1460" s="6" t="n">
        <v>503.5819386</v>
      </c>
      <c r="L1460" s="6">
        <f>I1460*K1460</f>
        <v/>
      </c>
      <c r="M1460" s="6">
        <f>K1460*4</f>
        <v/>
      </c>
      <c r="N1460" s="6" t="n">
        <v>1666</v>
      </c>
    </row>
    <row r="1461">
      <c r="A1461" s="1" t="inlineStr">
        <is>
          <t>43047214907532</t>
        </is>
      </c>
      <c r="B1461" s="1" t="inlineStr">
        <is>
          <t>PULSERA SIXTEEN STONES</t>
        </is>
      </c>
      <c r="C1461" s="1" t="inlineStr">
        <is>
          <t>19cm</t>
        </is>
      </c>
      <c r="D1461" s="1" t="inlineStr">
        <is>
          <t>07/01/2026</t>
        </is>
      </c>
      <c r="E1461" s="1" t="n">
        <v>2026</v>
      </c>
      <c r="F1461" s="1" t="inlineStr">
        <is>
          <t>ENERO</t>
        </is>
      </c>
      <c r="G1461" s="1" t="inlineStr">
        <is>
          <t>CYNTHIA</t>
        </is>
      </c>
      <c r="H1461" s="1" t="inlineStr">
        <is>
          <t>CYNTHIA 07/01/2026</t>
        </is>
      </c>
      <c r="I1461" s="4" t="n">
        <v>3</v>
      </c>
      <c r="J1461" s="6" t="n">
        <v>20</v>
      </c>
      <c r="K1461" s="6" t="n">
        <v>531.7485535</v>
      </c>
      <c r="L1461" s="6">
        <f>I1461*K1461</f>
        <v/>
      </c>
      <c r="M1461" s="6">
        <f>K1461*4</f>
        <v/>
      </c>
      <c r="N1461" s="6" t="n">
        <v>1816.51</v>
      </c>
    </row>
    <row r="1462">
      <c r="A1462" s="1" t="inlineStr">
        <is>
          <t>43047214907532</t>
        </is>
      </c>
      <c r="B1462" s="1" t="inlineStr">
        <is>
          <t>PULSERA SIXTEEN STONES</t>
        </is>
      </c>
      <c r="C1462" s="1" t="inlineStr">
        <is>
          <t>19cm</t>
        </is>
      </c>
      <c r="D1462" s="1" t="inlineStr">
        <is>
          <t>27/04/2026</t>
        </is>
      </c>
      <c r="E1462" s="1" t="n">
        <v>2026</v>
      </c>
      <c r="F1462" s="1" t="inlineStr">
        <is>
          <t>ABRIL</t>
        </is>
      </c>
      <c r="G1462" s="1" t="inlineStr">
        <is>
          <t>CYNTHIA</t>
        </is>
      </c>
      <c r="H1462" s="1" t="inlineStr">
        <is>
          <t>CYNTHIA 27/04/2026</t>
        </is>
      </c>
      <c r="I1462" s="4" t="n">
        <v>5</v>
      </c>
      <c r="J1462" s="6" t="n">
        <v>20</v>
      </c>
      <c r="K1462" s="6" t="n">
        <v>519.0018523</v>
      </c>
      <c r="L1462" s="6">
        <f>I1462*K1462</f>
        <v/>
      </c>
      <c r="M1462" s="6">
        <f>K1462*4</f>
        <v/>
      </c>
      <c r="N1462" s="6" t="n">
        <v>1816.51</v>
      </c>
    </row>
    <row r="1463">
      <c r="A1463" s="1" t="inlineStr">
        <is>
          <t>43047215333516</t>
        </is>
      </c>
      <c r="B1463" s="1" t="inlineStr">
        <is>
          <t>PULSERA LOCK ROSEGOLD-SILVER</t>
        </is>
      </c>
      <c r="C1463" s="1" t="inlineStr">
        <is>
          <t>17.5cm</t>
        </is>
      </c>
      <c r="D1463" s="1" t="inlineStr">
        <is>
          <t>25/10/2025</t>
        </is>
      </c>
      <c r="E1463" s="1" t="n">
        <v>2025</v>
      </c>
      <c r="F1463" s="1" t="inlineStr">
        <is>
          <t>OCTUBRE</t>
        </is>
      </c>
      <c r="G1463" s="1" t="inlineStr">
        <is>
          <t>CYNTHIA</t>
        </is>
      </c>
      <c r="H1463" s="1" t="inlineStr">
        <is>
          <t>CYNTHIA 25/10/2025</t>
        </is>
      </c>
      <c r="I1463" s="4" t="n">
        <v>1</v>
      </c>
      <c r="J1463" s="6" t="n">
        <v>16.5</v>
      </c>
      <c r="K1463" s="6" t="n">
        <v>432.3300892</v>
      </c>
      <c r="L1463" s="6">
        <f>I1463*K1463</f>
        <v/>
      </c>
      <c r="M1463" s="6">
        <f>K1463*4</f>
        <v/>
      </c>
      <c r="N1463" s="6" t="n">
        <v>1375</v>
      </c>
    </row>
    <row r="1464">
      <c r="A1464" s="1" t="inlineStr">
        <is>
          <t>43047215333516</t>
        </is>
      </c>
      <c r="B1464" s="1" t="inlineStr">
        <is>
          <t>PULSERA LOCK ROSEGOLD-SILVER</t>
        </is>
      </c>
      <c r="C1464" s="1" t="inlineStr">
        <is>
          <t>17.5cm</t>
        </is>
      </c>
      <c r="D1464" s="1" t="inlineStr">
        <is>
          <t>19/03/2026</t>
        </is>
      </c>
      <c r="E1464" s="1" t="n">
        <v>2026</v>
      </c>
      <c r="F1464" s="1" t="inlineStr">
        <is>
          <t>MARZO</t>
        </is>
      </c>
      <c r="G1464" s="1" t="inlineStr">
        <is>
          <t>CYNTHIA</t>
        </is>
      </c>
      <c r="H1464" s="1" t="inlineStr">
        <is>
          <t>CYNTHIA 19/03/2026</t>
        </is>
      </c>
      <c r="I1464" s="4" t="n">
        <v>2</v>
      </c>
      <c r="J1464" s="6" t="n">
        <v>16.5</v>
      </c>
      <c r="K1464" s="6" t="n">
        <v>443.1473606</v>
      </c>
      <c r="L1464" s="6">
        <f>I1464*K1464</f>
        <v/>
      </c>
      <c r="M1464" s="6">
        <f>K1464*4</f>
        <v/>
      </c>
      <c r="N1464" s="6" t="n">
        <v>1775</v>
      </c>
    </row>
    <row r="1465">
      <c r="A1465" s="1" t="inlineStr">
        <is>
          <t>43047215530124</t>
        </is>
      </c>
      <c r="B1465" s="1" t="inlineStr">
        <is>
          <t>PULSERA LOCK GOLD-SILVER</t>
        </is>
      </c>
      <c r="C1465" s="1" t="inlineStr">
        <is>
          <t>17.5cm</t>
        </is>
      </c>
      <c r="D1465" s="1" t="inlineStr">
        <is>
          <t>07/01/2026</t>
        </is>
      </c>
      <c r="E1465" s="1" t="n">
        <v>2026</v>
      </c>
      <c r="F1465" s="1" t="inlineStr">
        <is>
          <t>ENERO</t>
        </is>
      </c>
      <c r="G1465" s="1" t="inlineStr">
        <is>
          <t>CYNTHIA</t>
        </is>
      </c>
      <c r="H1465" s="1" t="inlineStr">
        <is>
          <t>CYNTHIA 07/01/2026</t>
        </is>
      </c>
      <c r="I1465" s="4" t="n">
        <v>4</v>
      </c>
      <c r="J1465" s="6" t="n">
        <v>16.5</v>
      </c>
      <c r="K1465" s="6" t="n">
        <v>438.6925566</v>
      </c>
      <c r="L1465" s="6">
        <f>I1465*K1465</f>
        <v/>
      </c>
      <c r="M1465" s="6">
        <f>K1465*4</f>
        <v/>
      </c>
      <c r="N1465" s="6" t="n">
        <v>1750</v>
      </c>
    </row>
    <row r="1466">
      <c r="A1466" s="1" t="inlineStr">
        <is>
          <t>43047215530124</t>
        </is>
      </c>
      <c r="B1466" s="1" t="inlineStr">
        <is>
          <t>PULSERA LOCK GOLD-SILVER</t>
        </is>
      </c>
      <c r="C1466" s="1" t="inlineStr">
        <is>
          <t>17.5cm</t>
        </is>
      </c>
      <c r="D1466" s="1" t="inlineStr">
        <is>
          <t>27/04/2026</t>
        </is>
      </c>
      <c r="E1466" s="1" t="n">
        <v>2026</v>
      </c>
      <c r="F1466" s="1" t="inlineStr">
        <is>
          <t>ABRIL</t>
        </is>
      </c>
      <c r="G1466" s="1" t="inlineStr">
        <is>
          <t>CYNTHIA</t>
        </is>
      </c>
      <c r="H1466" s="1" t="inlineStr">
        <is>
          <t>CYNTHIA 27/04/2026</t>
        </is>
      </c>
      <c r="I1466" s="4" t="n">
        <v>2</v>
      </c>
      <c r="J1466" s="6" t="n">
        <v>16.5</v>
      </c>
      <c r="K1466" s="6" t="n">
        <v>428.1765282</v>
      </c>
      <c r="L1466" s="6">
        <f>I1466*K1466</f>
        <v/>
      </c>
      <c r="M1466" s="6">
        <f>K1466*4</f>
        <v/>
      </c>
      <c r="N1466" s="6" t="n">
        <v>1750</v>
      </c>
    </row>
    <row r="1467">
      <c r="A1467" s="1" t="inlineStr">
        <is>
          <t>43047215530124</t>
        </is>
      </c>
      <c r="B1467" s="1" t="inlineStr">
        <is>
          <t>PULSERA LOCK GOLD-SILVER</t>
        </is>
      </c>
      <c r="C1467" s="1" t="inlineStr">
        <is>
          <t>17.5cm</t>
        </is>
      </c>
      <c r="D1467" s="1" t="inlineStr">
        <is>
          <t>31/05/2026</t>
        </is>
      </c>
      <c r="E1467" s="1" t="n">
        <v>2026</v>
      </c>
      <c r="F1467" s="1" t="inlineStr">
        <is>
          <t>MAYO</t>
        </is>
      </c>
      <c r="G1467" s="1" t="inlineStr">
        <is>
          <t>CYNTHIA</t>
        </is>
      </c>
      <c r="H1467" s="1" t="inlineStr">
        <is>
          <t>CYNTHIA 31/05/2026</t>
        </is>
      </c>
      <c r="I1467" s="4" t="n">
        <v>3</v>
      </c>
      <c r="J1467" s="6" t="n">
        <v>16.5</v>
      </c>
      <c r="K1467" s="6" t="n">
        <v>437.2672421</v>
      </c>
      <c r="L1467" s="6">
        <f>I1467*K1467</f>
        <v/>
      </c>
      <c r="M1467" s="6">
        <f>K1467*4</f>
        <v/>
      </c>
      <c r="N1467" s="6" t="n">
        <v>1750</v>
      </c>
    </row>
    <row r="1468">
      <c r="A1468" s="1" t="inlineStr">
        <is>
          <t>43047216218252</t>
        </is>
      </c>
      <c r="B1468" s="1" t="inlineStr">
        <is>
          <t>PULSERA LOCK GOLD GOLD</t>
        </is>
      </c>
      <c r="C1468" s="1" t="inlineStr">
        <is>
          <t>17.5cm</t>
        </is>
      </c>
      <c r="D1468" s="1" t="inlineStr">
        <is>
          <t>07/01/2026</t>
        </is>
      </c>
      <c r="E1468" s="1" t="n">
        <v>2026</v>
      </c>
      <c r="F1468" s="1" t="inlineStr">
        <is>
          <t>ENERO</t>
        </is>
      </c>
      <c r="G1468" s="1" t="inlineStr">
        <is>
          <t>CYNTHIA</t>
        </is>
      </c>
      <c r="H1468" s="1" t="inlineStr">
        <is>
          <t>CYNTHIA 07/01/2026</t>
        </is>
      </c>
      <c r="I1468" s="4" t="n">
        <v>2</v>
      </c>
      <c r="J1468" s="6" t="n">
        <v>16.5</v>
      </c>
      <c r="K1468" s="6" t="n">
        <v>438.6925566</v>
      </c>
      <c r="L1468" s="6">
        <f>I1468*K1468</f>
        <v/>
      </c>
      <c r="M1468" s="6">
        <f>K1468*4</f>
        <v/>
      </c>
      <c r="N1468" s="6" t="n">
        <v>1539</v>
      </c>
    </row>
    <row r="1469">
      <c r="A1469" s="1" t="inlineStr">
        <is>
          <t>43047216545932</t>
        </is>
      </c>
      <c r="B1469" s="1" t="inlineStr">
        <is>
          <t>ARETES ESLABON LISO ROSEGOLD</t>
        </is>
      </c>
      <c r="C1469" s="1" t="inlineStr">
        <is>
          <t>Small 3cm</t>
        </is>
      </c>
      <c r="D1469" s="1" t="inlineStr">
        <is>
          <t>01/03/2026</t>
        </is>
      </c>
      <c r="E1469" s="1" t="n">
        <v>2026</v>
      </c>
      <c r="F1469" s="1" t="inlineStr">
        <is>
          <t>MARZO</t>
        </is>
      </c>
      <c r="G1469" s="1" t="inlineStr">
        <is>
          <t>NANCY</t>
        </is>
      </c>
      <c r="H1469" s="1" t="inlineStr">
        <is>
          <t>NANCY 01/03/2026</t>
        </is>
      </c>
      <c r="I1469" s="4" t="n">
        <v>3</v>
      </c>
      <c r="J1469" s="6" t="n">
        <v>5.79</v>
      </c>
      <c r="K1469" s="6" t="n">
        <v>146.5085292</v>
      </c>
      <c r="L1469" s="6">
        <f>I1469*K1469</f>
        <v/>
      </c>
      <c r="M1469" s="6">
        <f>K1469*4</f>
        <v/>
      </c>
      <c r="N1469" s="6" t="n">
        <v>650</v>
      </c>
    </row>
    <row r="1470">
      <c r="A1470" s="1" t="inlineStr">
        <is>
          <t>43047216545932</t>
        </is>
      </c>
      <c r="B1470" s="1" t="inlineStr">
        <is>
          <t>ARETES ESLABON LISO ROSEGOLD</t>
        </is>
      </c>
      <c r="C1470" s="1" t="inlineStr">
        <is>
          <t>Small 3cm</t>
        </is>
      </c>
      <c r="D1470" s="1" t="inlineStr">
        <is>
          <t>31/05/2026</t>
        </is>
      </c>
      <c r="E1470" s="1" t="n">
        <v>2026</v>
      </c>
      <c r="F1470" s="1" t="inlineStr">
        <is>
          <t>MAYO</t>
        </is>
      </c>
      <c r="G1470" s="1" t="inlineStr">
        <is>
          <t>NANCY</t>
        </is>
      </c>
      <c r="H1470" s="1" t="inlineStr">
        <is>
          <t>NANCY 31/05/2026</t>
        </is>
      </c>
      <c r="I1470" s="4" t="n">
        <v>6</v>
      </c>
      <c r="J1470" s="6" t="n">
        <v>5.79</v>
      </c>
      <c r="K1470" s="6" t="n">
        <v>140.5093444</v>
      </c>
      <c r="L1470" s="6">
        <f>I1470*K1470</f>
        <v/>
      </c>
      <c r="M1470" s="6">
        <f>K1470*4</f>
        <v/>
      </c>
      <c r="N1470" s="6" t="n">
        <v>650</v>
      </c>
    </row>
    <row r="1471">
      <c r="A1471" s="1" t="inlineStr">
        <is>
          <t>43047216775308</t>
        </is>
      </c>
      <c r="B1471" s="1" t="inlineStr">
        <is>
          <t>ARETES ESLABON LISO  GOLD</t>
        </is>
      </c>
      <c r="C1471" s="1" t="inlineStr">
        <is>
          <t>Default Title</t>
        </is>
      </c>
      <c r="D1471" s="1" t="inlineStr">
        <is>
          <t>03/12/2025</t>
        </is>
      </c>
      <c r="E1471" s="1" t="n">
        <v>2025</v>
      </c>
      <c r="F1471" s="1" t="inlineStr">
        <is>
          <t>DICIEMBRE</t>
        </is>
      </c>
      <c r="G1471" s="1" t="inlineStr">
        <is>
          <t>NANCY</t>
        </is>
      </c>
      <c r="H1471" s="1" t="inlineStr">
        <is>
          <t>NANCY 03/12/2025</t>
        </is>
      </c>
      <c r="I1471" s="4" t="n">
        <v>4</v>
      </c>
      <c r="J1471" s="6" t="n">
        <v>5.79</v>
      </c>
      <c r="K1471" s="6" t="n">
        <v>136.9725327</v>
      </c>
      <c r="L1471" s="6">
        <f>I1471*K1471</f>
        <v/>
      </c>
      <c r="M1471" s="6">
        <f>K1471*4</f>
        <v/>
      </c>
      <c r="N1471" s="6" t="n">
        <v>650</v>
      </c>
    </row>
    <row r="1472">
      <c r="A1472" s="1" t="inlineStr">
        <is>
          <t>43047216775308</t>
        </is>
      </c>
      <c r="B1472" s="1" t="inlineStr">
        <is>
          <t>ARETES ESLABON LISO  GOLD</t>
        </is>
      </c>
      <c r="C1472" s="1" t="inlineStr">
        <is>
          <t>Default Title</t>
        </is>
      </c>
      <c r="D1472" s="1" t="inlineStr">
        <is>
          <t>01/04/2026</t>
        </is>
      </c>
      <c r="E1472" s="1" t="n">
        <v>2026</v>
      </c>
      <c r="F1472" s="1" t="inlineStr">
        <is>
          <t>ABRIL</t>
        </is>
      </c>
      <c r="G1472" s="1" t="inlineStr">
        <is>
          <t>NANCY</t>
        </is>
      </c>
      <c r="H1472" s="1" t="inlineStr">
        <is>
          <t>NANCY 01/04/2026</t>
        </is>
      </c>
      <c r="I1472" s="4" t="n">
        <v>2</v>
      </c>
      <c r="J1472" s="6" t="n">
        <v>5.79</v>
      </c>
      <c r="K1472" s="6" t="n">
        <v>138.6155505</v>
      </c>
      <c r="L1472" s="6">
        <f>I1472*K1472</f>
        <v/>
      </c>
      <c r="M1472" s="6">
        <f>K1472*4</f>
        <v/>
      </c>
      <c r="N1472" s="6" t="n">
        <v>650</v>
      </c>
    </row>
    <row r="1473">
      <c r="A1473" s="1" t="inlineStr">
        <is>
          <t>43047216775308</t>
        </is>
      </c>
      <c r="B1473" s="1" t="inlineStr">
        <is>
          <t>ARETES ESLABON LISO  GOLD</t>
        </is>
      </c>
      <c r="C1473" s="1" t="inlineStr">
        <is>
          <t>Default Title</t>
        </is>
      </c>
      <c r="D1473" s="1" t="inlineStr">
        <is>
          <t>08/05/2026</t>
        </is>
      </c>
      <c r="E1473" s="1" t="n">
        <v>2026</v>
      </c>
      <c r="F1473" s="1" t="inlineStr">
        <is>
          <t>MAYO</t>
        </is>
      </c>
      <c r="G1473" s="1" t="inlineStr">
        <is>
          <t>NANCY</t>
        </is>
      </c>
      <c r="H1473" s="1" t="inlineStr">
        <is>
          <t>NANCY 08/05/2026</t>
        </is>
      </c>
      <c r="I1473" s="4" t="n">
        <v>5</v>
      </c>
      <c r="J1473" s="6" t="n">
        <v>5.79</v>
      </c>
      <c r="K1473" s="6" t="n">
        <v>136.9784339</v>
      </c>
      <c r="L1473" s="6">
        <f>I1473*K1473</f>
        <v/>
      </c>
      <c r="M1473" s="6">
        <f>K1473*4</f>
        <v/>
      </c>
      <c r="N1473" s="6" t="n">
        <v>650</v>
      </c>
    </row>
    <row r="1474">
      <c r="A1474" s="1" t="inlineStr">
        <is>
          <t>43047217758348</t>
        </is>
      </c>
      <c r="B1474" s="1" t="inlineStr">
        <is>
          <t>ARETES CORAZÓN GRABADO GOLD</t>
        </is>
      </c>
      <c r="C1474" s="1" t="inlineStr">
        <is>
          <t>HIGH QUALITY</t>
        </is>
      </c>
      <c r="D1474" s="1" t="inlineStr">
        <is>
          <t>05/09/2025</t>
        </is>
      </c>
      <c r="E1474" s="1" t="n">
        <v>2025</v>
      </c>
      <c r="F1474" s="1" t="inlineStr">
        <is>
          <t>SEPTIEMBRE</t>
        </is>
      </c>
      <c r="G1474" s="1" t="inlineStr">
        <is>
          <t>CYNTHIA</t>
        </is>
      </c>
      <c r="H1474" s="1" t="inlineStr">
        <is>
          <t>CYNTHIA 05/09/2025</t>
        </is>
      </c>
      <c r="I1474" s="4" t="n">
        <v>3</v>
      </c>
      <c r="J1474" s="6" t="n">
        <v>5.88</v>
      </c>
      <c r="K1474" s="6" t="n">
        <v>148.0530899</v>
      </c>
      <c r="L1474" s="6">
        <f>I1474*K1474</f>
        <v/>
      </c>
      <c r="M1474" s="6">
        <f>K1474*4</f>
        <v/>
      </c>
      <c r="N1474" s="6" t="n">
        <v>550</v>
      </c>
    </row>
    <row r="1475">
      <c r="A1475" s="1" t="inlineStr">
        <is>
          <t>43047217758348</t>
        </is>
      </c>
      <c r="B1475" s="1" t="inlineStr">
        <is>
          <t>ARETES CORAZÓN GRABADO GOLD</t>
        </is>
      </c>
      <c r="C1475" s="1" t="inlineStr">
        <is>
          <t>HIGH QUALITY</t>
        </is>
      </c>
      <c r="D1475" s="1" t="inlineStr">
        <is>
          <t>25/10/2025</t>
        </is>
      </c>
      <c r="E1475" s="1" t="n">
        <v>2025</v>
      </c>
      <c r="F1475" s="1" t="inlineStr">
        <is>
          <t>OCTUBRE</t>
        </is>
      </c>
      <c r="G1475" s="1" t="inlineStr">
        <is>
          <t>CYNTHIA</t>
        </is>
      </c>
      <c r="H1475" s="1" t="inlineStr">
        <is>
          <t>CYNTHIA 25/10/2025</t>
        </is>
      </c>
      <c r="I1475" s="4" t="n">
        <v>2</v>
      </c>
      <c r="J1475" s="6" t="n">
        <v>5.88</v>
      </c>
      <c r="K1475" s="6" t="n">
        <v>154.0667227</v>
      </c>
      <c r="L1475" s="6">
        <f>I1475*K1475</f>
        <v/>
      </c>
      <c r="M1475" s="6">
        <f>K1475*4</f>
        <v/>
      </c>
      <c r="N1475" s="6" t="n">
        <v>550</v>
      </c>
    </row>
    <row r="1476">
      <c r="A1476" s="1" t="inlineStr">
        <is>
          <t>43047217758348</t>
        </is>
      </c>
      <c r="B1476" s="1" t="inlineStr">
        <is>
          <t>ARETES CORAZÓN GRABADO GOLD</t>
        </is>
      </c>
      <c r="C1476" s="1" t="inlineStr">
        <is>
          <t>HIGH QUALITY</t>
        </is>
      </c>
      <c r="D1476" s="1" t="inlineStr">
        <is>
          <t>18/02/2026</t>
        </is>
      </c>
      <c r="E1476" s="1" t="n">
        <v>2026</v>
      </c>
      <c r="F1476" s="1" t="inlineStr">
        <is>
          <t>FEBRERO</t>
        </is>
      </c>
      <c r="G1476" s="1" t="inlineStr">
        <is>
          <t>CYNTHIA</t>
        </is>
      </c>
      <c r="H1476" s="1" t="inlineStr">
        <is>
          <t>CYNTHIA 18/02/2026</t>
        </is>
      </c>
      <c r="I1476" s="4" t="n">
        <v>4</v>
      </c>
      <c r="J1476" s="6" t="n">
        <v>5.4</v>
      </c>
      <c r="K1476" s="6" t="n">
        <v>146.0341721</v>
      </c>
      <c r="L1476" s="6">
        <f>I1476*K1476</f>
        <v/>
      </c>
      <c r="M1476" s="6">
        <f>K1476*4</f>
        <v/>
      </c>
      <c r="N1476" s="6" t="n">
        <v>550</v>
      </c>
    </row>
    <row r="1477">
      <c r="A1477" s="1" t="inlineStr">
        <is>
          <t>43047217758348</t>
        </is>
      </c>
      <c r="B1477" s="1" t="inlineStr">
        <is>
          <t>ARETES CORAZÓN GRABADO GOLD</t>
        </is>
      </c>
      <c r="C1477" s="1" t="inlineStr">
        <is>
          <t>Default Title</t>
        </is>
      </c>
      <c r="D1477" s="1" t="inlineStr">
        <is>
          <t>19/03/2026</t>
        </is>
      </c>
      <c r="E1477" s="1" t="n">
        <v>2026</v>
      </c>
      <c r="F1477" s="1" t="inlineStr">
        <is>
          <t>MARZO</t>
        </is>
      </c>
      <c r="G1477" s="1" t="inlineStr">
        <is>
          <t>CYNTHIA</t>
        </is>
      </c>
      <c r="H1477" s="1" t="inlineStr">
        <is>
          <t>CYNTHIA 19/03/2026</t>
        </is>
      </c>
      <c r="I1477" s="4" t="n">
        <v>2</v>
      </c>
      <c r="J1477" s="6" t="n">
        <v>5.88</v>
      </c>
      <c r="K1477" s="6" t="n">
        <v>157.9216049</v>
      </c>
      <c r="L1477" s="6">
        <f>I1477*K1477</f>
        <v/>
      </c>
      <c r="M1477" s="6">
        <f>K1477*4</f>
        <v/>
      </c>
      <c r="N1477" s="6" t="n">
        <v>550</v>
      </c>
    </row>
    <row r="1478">
      <c r="A1478" s="1" t="inlineStr">
        <is>
          <t>43047217758348</t>
        </is>
      </c>
      <c r="B1478" s="1" t="inlineStr">
        <is>
          <t>ARETES CORAZÓN GRABADO GOLD</t>
        </is>
      </c>
      <c r="C1478" s="1" t="inlineStr">
        <is>
          <t>HIGH QUALITY</t>
        </is>
      </c>
      <c r="D1478" s="1" t="inlineStr">
        <is>
          <t>27/04/2026</t>
        </is>
      </c>
      <c r="E1478" s="1" t="n">
        <v>2026</v>
      </c>
      <c r="F1478" s="1" t="inlineStr">
        <is>
          <t>ABRIL</t>
        </is>
      </c>
      <c r="G1478" s="1" t="inlineStr">
        <is>
          <t>CYNTHIA</t>
        </is>
      </c>
      <c r="H1478" s="1" t="inlineStr">
        <is>
          <t>CYNTHIA 27/04/2026</t>
        </is>
      </c>
      <c r="I1478" s="4" t="n">
        <v>2</v>
      </c>
      <c r="J1478" s="6" t="n">
        <v>5.88</v>
      </c>
      <c r="K1478" s="6" t="n">
        <v>152.5865446</v>
      </c>
      <c r="L1478" s="6">
        <f>I1478*K1478</f>
        <v/>
      </c>
      <c r="M1478" s="6">
        <f>K1478*4</f>
        <v/>
      </c>
      <c r="N1478" s="6" t="n">
        <v>550</v>
      </c>
    </row>
    <row r="1479">
      <c r="A1479" s="1" t="inlineStr">
        <is>
          <t>43047217758348</t>
        </is>
      </c>
      <c r="B1479" s="1" t="inlineStr">
        <is>
          <t>ARETES CORAZÓN GRABADO GOLD</t>
        </is>
      </c>
      <c r="C1479" s="1" t="inlineStr">
        <is>
          <t>Default Title</t>
        </is>
      </c>
      <c r="D1479" s="1" t="inlineStr">
        <is>
          <t>31/05/2026</t>
        </is>
      </c>
      <c r="E1479" s="1" t="n">
        <v>2026</v>
      </c>
      <c r="F1479" s="1" t="inlineStr">
        <is>
          <t>MAYO</t>
        </is>
      </c>
      <c r="G1479" s="1" t="inlineStr">
        <is>
          <t>CYNTHIA</t>
        </is>
      </c>
      <c r="H1479" s="1" t="inlineStr">
        <is>
          <t>CYNTHIA 31/05/2026</t>
        </is>
      </c>
      <c r="I1479" s="4" t="n">
        <v>3</v>
      </c>
      <c r="J1479" s="6" t="n">
        <v>5.88</v>
      </c>
      <c r="K1479" s="6" t="n">
        <v>155.8261445</v>
      </c>
      <c r="L1479" s="6">
        <f>I1479*K1479</f>
        <v/>
      </c>
      <c r="M1479" s="6">
        <f>K1479*4</f>
        <v/>
      </c>
      <c r="N1479" s="6" t="n">
        <v>550</v>
      </c>
    </row>
    <row r="1480">
      <c r="A1480" s="1" t="inlineStr">
        <is>
          <t>43047218282636</t>
        </is>
      </c>
      <c r="B1480" s="1" t="inlineStr">
        <is>
          <t>ARETES CORAZÓN TURQUESA</t>
        </is>
      </c>
      <c r="C1480" s="1" t="inlineStr">
        <is>
          <t>Regular</t>
        </is>
      </c>
      <c r="D1480" s="1" t="inlineStr">
        <is>
          <t>11/11/2025</t>
        </is>
      </c>
      <c r="E1480" s="1" t="n">
        <v>2025</v>
      </c>
      <c r="F1480" s="1" t="inlineStr">
        <is>
          <t>NOVIEMBRE</t>
        </is>
      </c>
      <c r="G1480" s="1" t="inlineStr">
        <is>
          <t>HAIFENG</t>
        </is>
      </c>
      <c r="H1480" s="1" t="inlineStr">
        <is>
          <t>HAIFENG 11/11/2025</t>
        </is>
      </c>
      <c r="I1480" s="4" t="n">
        <v>5</v>
      </c>
      <c r="J1480" s="6" t="n">
        <v>6</v>
      </c>
      <c r="K1480" s="6" t="n">
        <v>126.3629907</v>
      </c>
      <c r="L1480" s="6">
        <f>I1480*K1480</f>
        <v/>
      </c>
      <c r="M1480" s="6">
        <f>K1480*4</f>
        <v/>
      </c>
      <c r="N1480" s="6" t="n">
        <v>618</v>
      </c>
    </row>
    <row r="1481">
      <c r="A1481" s="1" t="inlineStr">
        <is>
          <t>43047218282636</t>
        </is>
      </c>
      <c r="B1481" s="1" t="inlineStr">
        <is>
          <t>ARETES CORAZÓN TURQUESA</t>
        </is>
      </c>
      <c r="C1481" s="1" t="inlineStr">
        <is>
          <t>Regular</t>
        </is>
      </c>
      <c r="D1481" s="1" t="inlineStr">
        <is>
          <t>03/12/2025</t>
        </is>
      </c>
      <c r="E1481" s="1" t="n">
        <v>2025</v>
      </c>
      <c r="F1481" s="1" t="inlineStr">
        <is>
          <t>DICIEMBRE</t>
        </is>
      </c>
      <c r="G1481" s="1" t="inlineStr">
        <is>
          <t>HAIFENG</t>
        </is>
      </c>
      <c r="H1481" s="1" t="inlineStr">
        <is>
          <t>HAIFENG 03/12/2025</t>
        </is>
      </c>
      <c r="I1481" s="4" t="n">
        <v>5</v>
      </c>
      <c r="J1481" s="6" t="n">
        <v>6</v>
      </c>
      <c r="K1481" s="6" t="n">
        <v>125.5029601</v>
      </c>
      <c r="L1481" s="6">
        <f>I1481*K1481</f>
        <v/>
      </c>
      <c r="M1481" s="6">
        <f>K1481*4</f>
        <v/>
      </c>
      <c r="N1481" s="6" t="n">
        <v>618</v>
      </c>
    </row>
    <row r="1482">
      <c r="A1482" s="1" t="inlineStr">
        <is>
          <t>43047218282636</t>
        </is>
      </c>
      <c r="B1482" s="1" t="inlineStr">
        <is>
          <t>ARETES CORAZÓN TURQUESA</t>
        </is>
      </c>
      <c r="C1482" s="1" t="inlineStr">
        <is>
          <t>Regular</t>
        </is>
      </c>
      <c r="D1482" s="1" t="inlineStr">
        <is>
          <t>11/03/2026</t>
        </is>
      </c>
      <c r="E1482" s="1" t="n">
        <v>2026</v>
      </c>
      <c r="F1482" s="1" t="inlineStr">
        <is>
          <t>MARZO</t>
        </is>
      </c>
      <c r="G1482" s="1" t="inlineStr">
        <is>
          <t>HAIFENG</t>
        </is>
      </c>
      <c r="H1482" s="1" t="inlineStr">
        <is>
          <t>HAIFENG 11/03/2026</t>
        </is>
      </c>
      <c r="I1482" s="4" t="n">
        <v>5</v>
      </c>
      <c r="J1482" s="6" t="n">
        <v>6</v>
      </c>
      <c r="K1482" s="6" t="n">
        <v>127.8233773</v>
      </c>
      <c r="L1482" s="6">
        <f>I1482*K1482</f>
        <v/>
      </c>
      <c r="M1482" s="6">
        <f>K1482*4</f>
        <v/>
      </c>
      <c r="N1482" s="6" t="n">
        <v>618</v>
      </c>
    </row>
    <row r="1483">
      <c r="A1483" s="1" t="inlineStr">
        <is>
          <t>43047218282636</t>
        </is>
      </c>
      <c r="B1483" s="1" t="inlineStr">
        <is>
          <t>ARETES CORAZÓN TURQUESA</t>
        </is>
      </c>
      <c r="C1483" s="1" t="inlineStr">
        <is>
          <t>Regular</t>
        </is>
      </c>
      <c r="D1483" s="1" t="inlineStr">
        <is>
          <t>16/04/2026</t>
        </is>
      </c>
      <c r="E1483" s="1" t="n">
        <v>2026</v>
      </c>
      <c r="F1483" s="1" t="inlineStr">
        <is>
          <t>ABRIL</t>
        </is>
      </c>
      <c r="G1483" s="1" t="inlineStr">
        <is>
          <t>HAIFENG</t>
        </is>
      </c>
      <c r="H1483" s="1" t="inlineStr">
        <is>
          <t>HAIFENG 16/04/2026</t>
        </is>
      </c>
      <c r="I1483" s="4" t="n">
        <v>12</v>
      </c>
      <c r="J1483" s="6" t="n">
        <v>6</v>
      </c>
      <c r="K1483" s="6" t="n">
        <v>126.1888415</v>
      </c>
      <c r="L1483" s="6">
        <f>I1483*K1483</f>
        <v/>
      </c>
      <c r="M1483" s="6">
        <f>K1483*4</f>
        <v/>
      </c>
      <c r="N1483" s="6" t="n">
        <v>618</v>
      </c>
    </row>
    <row r="1484">
      <c r="A1484" s="1" t="inlineStr">
        <is>
          <t>43047219560588</t>
        </is>
      </c>
      <c r="B1484" s="1" t="inlineStr">
        <is>
          <t>PULSERA ONE T DOBLE ZIRCONIA ROSE GOLD</t>
        </is>
      </c>
      <c r="C1484" s="1" t="inlineStr">
        <is>
          <t>16.58cm</t>
        </is>
      </c>
      <c r="D1484" s="1" t="inlineStr">
        <is>
          <t>18/02/2026</t>
        </is>
      </c>
      <c r="E1484" s="1" t="n">
        <v>2026</v>
      </c>
      <c r="F1484" s="1" t="inlineStr">
        <is>
          <t>FEBRERO</t>
        </is>
      </c>
      <c r="G1484" s="1" t="inlineStr">
        <is>
          <t>CYNTHIA</t>
        </is>
      </c>
      <c r="H1484" s="1" t="inlineStr">
        <is>
          <t>CYNTHIA 18/02/2026</t>
        </is>
      </c>
      <c r="I1484" s="4" t="n">
        <v>1</v>
      </c>
      <c r="J1484" s="6" t="n">
        <v>14.8</v>
      </c>
      <c r="K1484" s="6" t="n">
        <v>400.2418049</v>
      </c>
      <c r="L1484" s="6">
        <f>I1484*K1484</f>
        <v/>
      </c>
      <c r="M1484" s="6">
        <f>K1484*4</f>
        <v/>
      </c>
      <c r="N1484" s="6" t="n">
        <v>1405</v>
      </c>
    </row>
    <row r="1485">
      <c r="A1485" s="1" t="inlineStr">
        <is>
          <t>43047219789964</t>
        </is>
      </c>
      <c r="B1485" s="1" t="inlineStr">
        <is>
          <t>PULSERA ONE T DOBLE ZIRCONIA SILVER</t>
        </is>
      </c>
      <c r="C1485" s="1" t="inlineStr">
        <is>
          <t>16.58cm</t>
        </is>
      </c>
      <c r="D1485" s="1" t="inlineStr">
        <is>
          <t>05/09/2025</t>
        </is>
      </c>
      <c r="E1485" s="1" t="n">
        <v>2025</v>
      </c>
      <c r="F1485" s="1" t="inlineStr">
        <is>
          <t>SEPTIEMBRE</t>
        </is>
      </c>
      <c r="G1485" s="1" t="inlineStr">
        <is>
          <t>CYNTHIA</t>
        </is>
      </c>
      <c r="H1485" s="1" t="inlineStr">
        <is>
          <t>CYNTHIA 05/09/2025</t>
        </is>
      </c>
      <c r="I1485" s="4" t="n">
        <v>2</v>
      </c>
      <c r="J1485" s="6" t="n">
        <v>14.8</v>
      </c>
      <c r="K1485" s="6" t="n">
        <v>372.6506345</v>
      </c>
      <c r="L1485" s="6">
        <f>I1485*K1485</f>
        <v/>
      </c>
      <c r="M1485" s="6">
        <f>K1485*4</f>
        <v/>
      </c>
      <c r="N1485" s="6" t="n">
        <v>1150</v>
      </c>
    </row>
    <row r="1486">
      <c r="A1486" s="1" t="inlineStr">
        <is>
          <t>43047220412556</t>
        </is>
      </c>
      <c r="B1486" s="1" t="inlineStr">
        <is>
          <t>PULSERA ONE T DOBLE ZIRCONIA GOLD</t>
        </is>
      </c>
      <c r="C1486" s="1" t="inlineStr">
        <is>
          <t>16.58cm</t>
        </is>
      </c>
      <c r="D1486" s="1" t="inlineStr">
        <is>
          <t>05/09/2025</t>
        </is>
      </c>
      <c r="E1486" s="1" t="n">
        <v>2025</v>
      </c>
      <c r="F1486" s="1" t="inlineStr">
        <is>
          <t>SEPTIEMBRE</t>
        </is>
      </c>
      <c r="G1486" s="1" t="inlineStr">
        <is>
          <t>CYNTHIA</t>
        </is>
      </c>
      <c r="H1486" s="1" t="inlineStr">
        <is>
          <t>CYNTHIA 05/09/2025</t>
        </is>
      </c>
      <c r="I1486" s="4" t="n">
        <v>2</v>
      </c>
      <c r="J1486" s="6" t="n">
        <v>14.8</v>
      </c>
      <c r="K1486" s="6" t="n">
        <v>372.6506345</v>
      </c>
      <c r="L1486" s="6">
        <f>I1486*K1486</f>
        <v/>
      </c>
      <c r="M1486" s="6">
        <f>K1486*4</f>
        <v/>
      </c>
      <c r="N1486" s="6" t="n">
        <v>1250</v>
      </c>
    </row>
    <row r="1487">
      <c r="A1487" s="1" t="inlineStr">
        <is>
          <t>43047220412556</t>
        </is>
      </c>
      <c r="B1487" s="1" t="inlineStr">
        <is>
          <t>PULSERA ONE T DOBLE ZIRCONIA GOLD</t>
        </is>
      </c>
      <c r="C1487" s="1" t="inlineStr">
        <is>
          <t>16.58cm</t>
        </is>
      </c>
      <c r="D1487" s="1" t="inlineStr">
        <is>
          <t>18/02/2026</t>
        </is>
      </c>
      <c r="E1487" s="1" t="n">
        <v>2026</v>
      </c>
      <c r="F1487" s="1" t="inlineStr">
        <is>
          <t>FEBRERO</t>
        </is>
      </c>
      <c r="G1487" s="1" t="inlineStr">
        <is>
          <t>CYNTHIA</t>
        </is>
      </c>
      <c r="H1487" s="1" t="inlineStr">
        <is>
          <t>CYNTHIA 18/02/2026</t>
        </is>
      </c>
      <c r="I1487" s="4" t="n">
        <v>2</v>
      </c>
      <c r="J1487" s="6" t="n">
        <v>14.8</v>
      </c>
      <c r="K1487" s="6" t="n">
        <v>400.2418049</v>
      </c>
      <c r="L1487" s="6">
        <f>I1487*K1487</f>
        <v/>
      </c>
      <c r="M1487" s="6">
        <f>K1487*4</f>
        <v/>
      </c>
      <c r="N1487" s="6" t="n">
        <v>1405</v>
      </c>
    </row>
    <row r="1488">
      <c r="A1488" s="1" t="inlineStr">
        <is>
          <t>43047221198988</t>
        </is>
      </c>
      <c r="B1488" s="1" t="inlineStr">
        <is>
          <t>PULSERA DE CUENTAS GOLD</t>
        </is>
      </c>
      <c r="C1488" s="1" t="inlineStr">
        <is>
          <t>16 cm</t>
        </is>
      </c>
      <c r="D1488" s="1" t="inlineStr">
        <is>
          <t>01/05/2025</t>
        </is>
      </c>
      <c r="E1488" s="1" t="n">
        <v>2025</v>
      </c>
      <c r="F1488" s="1" t="inlineStr">
        <is>
          <t>MAYO</t>
        </is>
      </c>
      <c r="G1488" s="1" t="inlineStr">
        <is>
          <t>COCOMA</t>
        </is>
      </c>
      <c r="H1488" s="1" t="inlineStr">
        <is>
          <t>COCOMA MAYO 2025</t>
        </is>
      </c>
      <c r="I1488" s="4" t="n">
        <v>20</v>
      </c>
      <c r="J1488" s="6" t="n">
        <v>4.42</v>
      </c>
      <c r="K1488" s="6" t="n">
        <v>108.2688863</v>
      </c>
      <c r="L1488" s="6">
        <f>I1488*K1488</f>
        <v/>
      </c>
      <c r="M1488" s="6">
        <f>K1488*4</f>
        <v/>
      </c>
      <c r="N1488" s="6" t="n">
        <v>525</v>
      </c>
    </row>
    <row r="1489">
      <c r="A1489" s="1" t="inlineStr">
        <is>
          <t>43047221198988</t>
        </is>
      </c>
      <c r="B1489" s="1" t="inlineStr">
        <is>
          <t>PULSERA DE CUENTAS GOLD</t>
        </is>
      </c>
      <c r="C1489" s="1" t="inlineStr">
        <is>
          <t>16cm</t>
        </is>
      </c>
      <c r="D1489" s="1" t="inlineStr">
        <is>
          <t>20/01/2026</t>
        </is>
      </c>
      <c r="E1489" s="1" t="n">
        <v>2026</v>
      </c>
      <c r="F1489" s="1" t="inlineStr">
        <is>
          <t>ENERO</t>
        </is>
      </c>
      <c r="G1489" s="1" t="inlineStr">
        <is>
          <t>COCOMA</t>
        </is>
      </c>
      <c r="H1489" s="1" t="inlineStr">
        <is>
          <t>COCOMA 20/01/2026</t>
        </is>
      </c>
      <c r="I1489" s="4" t="n">
        <v>10</v>
      </c>
      <c r="J1489" s="6" t="n">
        <v>4.42</v>
      </c>
      <c r="K1489" s="6" t="n">
        <v>106.8088759</v>
      </c>
      <c r="L1489" s="6">
        <f>I1489*K1489</f>
        <v/>
      </c>
      <c r="M1489" s="6">
        <f>K1489*4</f>
        <v/>
      </c>
      <c r="N1489" s="6" t="n">
        <v>525</v>
      </c>
    </row>
    <row r="1490">
      <c r="A1490" s="1" t="inlineStr">
        <is>
          <t>43047222083724</t>
        </is>
      </c>
      <c r="B1490" s="1" t="inlineStr">
        <is>
          <t>COLLAR SMILE ROSE GOLD CON ZIRCONIA</t>
        </is>
      </c>
      <c r="C1490" s="1" t="inlineStr">
        <is>
          <t>Ajustable</t>
        </is>
      </c>
      <c r="D1490" s="1" t="inlineStr">
        <is>
          <t>05/09/2025</t>
        </is>
      </c>
      <c r="E1490" s="1" t="n">
        <v>2025</v>
      </c>
      <c r="F1490" s="1" t="inlineStr">
        <is>
          <t>SEPTIEMBRE</t>
        </is>
      </c>
      <c r="G1490" s="1" t="inlineStr">
        <is>
          <t>CYNTHIA</t>
        </is>
      </c>
      <c r="H1490" s="1" t="inlineStr">
        <is>
          <t>CYNTHIA 05/09/2025</t>
        </is>
      </c>
      <c r="I1490" s="4" t="n">
        <v>5</v>
      </c>
      <c r="J1490" s="6" t="n">
        <v>12.8</v>
      </c>
      <c r="K1490" s="6" t="n">
        <v>322.2924407</v>
      </c>
      <c r="L1490" s="6">
        <f>I1490*K1490</f>
        <v/>
      </c>
      <c r="M1490" s="6">
        <f>K1490*4</f>
        <v/>
      </c>
      <c r="N1490" s="6" t="n">
        <v>1150</v>
      </c>
    </row>
    <row r="1491">
      <c r="A1491" s="1" t="inlineStr">
        <is>
          <t>43047222083724</t>
        </is>
      </c>
      <c r="B1491" s="1" t="inlineStr">
        <is>
          <t>COLLAR SMILE ROSE GOLD CON ZIRCONIA</t>
        </is>
      </c>
      <c r="C1491" s="1" t="inlineStr">
        <is>
          <t>Ajustable</t>
        </is>
      </c>
      <c r="D1491" s="1" t="inlineStr">
        <is>
          <t>18/02/2026</t>
        </is>
      </c>
      <c r="E1491" s="1" t="n">
        <v>2026</v>
      </c>
      <c r="F1491" s="1" t="inlineStr">
        <is>
          <t>FEBRERO</t>
        </is>
      </c>
      <c r="G1491" s="1" t="inlineStr">
        <is>
          <t>CYNTHIA</t>
        </is>
      </c>
      <c r="H1491" s="1" t="inlineStr">
        <is>
          <t>CYNTHIA 18/02/2026</t>
        </is>
      </c>
      <c r="I1491" s="4" t="n">
        <v>2</v>
      </c>
      <c r="J1491" s="6" t="n">
        <v>13.8</v>
      </c>
      <c r="K1491" s="6" t="n">
        <v>373.1984397</v>
      </c>
      <c r="L1491" s="6">
        <f>I1491*K1491</f>
        <v/>
      </c>
      <c r="M1491" s="6">
        <f>K1491*4</f>
        <v/>
      </c>
      <c r="N1491" s="6" t="n">
        <v>1485</v>
      </c>
    </row>
    <row r="1492">
      <c r="A1492" s="1" t="inlineStr">
        <is>
          <t>43047222083724</t>
        </is>
      </c>
      <c r="B1492" s="1" t="inlineStr">
        <is>
          <t>COLLAR SMILE ROSE GOLD CON ZIRCONIA</t>
        </is>
      </c>
      <c r="C1492" s="1" t="inlineStr">
        <is>
          <t>Ajustable</t>
        </is>
      </c>
      <c r="D1492" s="1" t="inlineStr">
        <is>
          <t>19/03/2026</t>
        </is>
      </c>
      <c r="E1492" s="1" t="n">
        <v>2026</v>
      </c>
      <c r="F1492" s="1" t="inlineStr">
        <is>
          <t>MARZO</t>
        </is>
      </c>
      <c r="G1492" s="1" t="inlineStr">
        <is>
          <t>CYNTHIA</t>
        </is>
      </c>
      <c r="H1492" s="1" t="inlineStr">
        <is>
          <t>CYNTHIA 19/03/2026</t>
        </is>
      </c>
      <c r="I1492" s="4" t="n">
        <v>4</v>
      </c>
      <c r="J1492" s="6" t="n">
        <v>13.8</v>
      </c>
      <c r="K1492" s="6" t="n">
        <v>370.632338</v>
      </c>
      <c r="L1492" s="6">
        <f>I1492*K1492</f>
        <v/>
      </c>
      <c r="M1492" s="6">
        <f>K1492*4</f>
        <v/>
      </c>
      <c r="N1492" s="6" t="n">
        <v>1485</v>
      </c>
    </row>
    <row r="1493">
      <c r="A1493" s="1" t="inlineStr">
        <is>
          <t>43047224508556</t>
        </is>
      </c>
      <c r="B1493" s="1" t="inlineStr">
        <is>
          <t>PULSERA DE CUENTAS CON INSIGNIA DE CORAZÓN PINK</t>
        </is>
      </c>
      <c r="C1493" s="1" t="inlineStr">
        <is>
          <t>16 cm</t>
        </is>
      </c>
      <c r="D1493" s="1" t="inlineStr">
        <is>
          <t>11/03/2026</t>
        </is>
      </c>
      <c r="E1493" s="1" t="n">
        <v>2026</v>
      </c>
      <c r="F1493" s="1" t="inlineStr">
        <is>
          <t>MARZO</t>
        </is>
      </c>
      <c r="G1493" s="1" t="inlineStr">
        <is>
          <t>HAIFENG</t>
        </is>
      </c>
      <c r="H1493" s="1" t="inlineStr">
        <is>
          <t>HAIFENG 11/03/2026</t>
        </is>
      </c>
      <c r="I1493" s="4" t="n">
        <v>12</v>
      </c>
      <c r="J1493" s="6" t="n">
        <v>5</v>
      </c>
      <c r="K1493" s="6" t="n">
        <v>106.5194811</v>
      </c>
      <c r="L1493" s="6">
        <f>I1493*K1493</f>
        <v/>
      </c>
      <c r="M1493" s="6">
        <f>K1493*4</f>
        <v/>
      </c>
      <c r="N1493" s="6" t="n">
        <v>550</v>
      </c>
    </row>
    <row r="1494">
      <c r="A1494" s="1" t="inlineStr">
        <is>
          <t>43047224508556</t>
        </is>
      </c>
      <c r="B1494" s="1" t="inlineStr">
        <is>
          <t>PULSERA DE CUENTAS CON INSIGNIA DE CORAZÓN PINK</t>
        </is>
      </c>
      <c r="C1494" s="1" t="inlineStr">
        <is>
          <t>16 cm</t>
        </is>
      </c>
      <c r="D1494" s="1" t="inlineStr">
        <is>
          <t>06/05/2026</t>
        </is>
      </c>
      <c r="E1494" s="1" t="n">
        <v>2026</v>
      </c>
      <c r="F1494" s="1" t="inlineStr">
        <is>
          <t>MAYO</t>
        </is>
      </c>
      <c r="G1494" s="1" t="inlineStr">
        <is>
          <t>HAIFENG</t>
        </is>
      </c>
      <c r="H1494" s="1" t="inlineStr">
        <is>
          <t>HAIFENG 06/05/2026</t>
        </is>
      </c>
      <c r="I1494" s="4" t="n">
        <v>12</v>
      </c>
      <c r="J1494" s="6" t="n">
        <v>5</v>
      </c>
      <c r="K1494" s="6" t="n">
        <v>106.0932113</v>
      </c>
      <c r="L1494" s="6">
        <f>I1494*K1494</f>
        <v/>
      </c>
      <c r="M1494" s="6">
        <f>K1494*4</f>
        <v/>
      </c>
      <c r="N1494" s="6" t="n">
        <v>550</v>
      </c>
    </row>
    <row r="1495">
      <c r="A1495" s="1" t="inlineStr">
        <is>
          <t>43047224541324</t>
        </is>
      </c>
      <c r="B1495" s="1" t="inlineStr">
        <is>
          <t>PULSERA DE CUENTAS CON INSIGNIA DE CORAZÓN PINK</t>
        </is>
      </c>
      <c r="C1495" s="1" t="inlineStr">
        <is>
          <t>17 cm</t>
        </is>
      </c>
      <c r="D1495" s="1" t="inlineStr">
        <is>
          <t>11/11/2025</t>
        </is>
      </c>
      <c r="E1495" s="1" t="n">
        <v>2025</v>
      </c>
      <c r="F1495" s="1" t="inlineStr">
        <is>
          <t>NOVIEMBRE</t>
        </is>
      </c>
      <c r="G1495" s="1" t="inlineStr">
        <is>
          <t>HAIFENG</t>
        </is>
      </c>
      <c r="H1495" s="1" t="inlineStr">
        <is>
          <t>HAIFENG 11/11/2025</t>
        </is>
      </c>
      <c r="I1495" s="4" t="n">
        <v>5</v>
      </c>
      <c r="J1495" s="6" t="n">
        <v>5</v>
      </c>
      <c r="K1495" s="6" t="n">
        <v>105.3024922</v>
      </c>
      <c r="L1495" s="6">
        <f>I1495*K1495</f>
        <v/>
      </c>
      <c r="M1495" s="6">
        <f>K1495*4</f>
        <v/>
      </c>
      <c r="N1495" s="6" t="n">
        <v>550</v>
      </c>
    </row>
    <row r="1496">
      <c r="A1496" s="1" t="inlineStr">
        <is>
          <t>43047224541324</t>
        </is>
      </c>
      <c r="B1496" s="1" t="inlineStr">
        <is>
          <t>PULSERA DE CUENTAS CON INSIGNIA DE CORAZÓN PINK</t>
        </is>
      </c>
      <c r="C1496" s="1" t="inlineStr">
        <is>
          <t>17 cm</t>
        </is>
      </c>
      <c r="D1496" s="1" t="inlineStr">
        <is>
          <t>03/12/2025</t>
        </is>
      </c>
      <c r="E1496" s="1" t="n">
        <v>2025</v>
      </c>
      <c r="F1496" s="1" t="inlineStr">
        <is>
          <t>DICIEMBRE</t>
        </is>
      </c>
      <c r="G1496" s="1" t="inlineStr">
        <is>
          <t>HAIFENG</t>
        </is>
      </c>
      <c r="H1496" s="1" t="inlineStr">
        <is>
          <t>HAIFENG 03/12/2025</t>
        </is>
      </c>
      <c r="I1496" s="4" t="n">
        <v>4</v>
      </c>
      <c r="J1496" s="6" t="n">
        <v>5</v>
      </c>
      <c r="K1496" s="6" t="n">
        <v>104.5858001</v>
      </c>
      <c r="L1496" s="6">
        <f>I1496*K1496</f>
        <v/>
      </c>
      <c r="M1496" s="6">
        <f>K1496*4</f>
        <v/>
      </c>
      <c r="N1496" s="6" t="n">
        <v>550</v>
      </c>
    </row>
    <row r="1497">
      <c r="A1497" s="1" t="inlineStr">
        <is>
          <t>43047224541324</t>
        </is>
      </c>
      <c r="B1497" s="1" t="inlineStr">
        <is>
          <t>PULSERA DE CUENTAS CON INSIGNIA DE CORAZÓN PINK</t>
        </is>
      </c>
      <c r="C1497" s="1" t="inlineStr">
        <is>
          <t>17 cm</t>
        </is>
      </c>
      <c r="D1497" s="1" t="inlineStr">
        <is>
          <t>20/01/2026</t>
        </is>
      </c>
      <c r="E1497" s="1" t="n">
        <v>2026</v>
      </c>
      <c r="F1497" s="1" t="inlineStr">
        <is>
          <t>ENERO</t>
        </is>
      </c>
      <c r="G1497" s="1" t="inlineStr">
        <is>
          <t>HAIFENG</t>
        </is>
      </c>
      <c r="H1497" s="1" t="inlineStr">
        <is>
          <t>HAIFENG 20/01/2026</t>
        </is>
      </c>
      <c r="I1497" s="4" t="n">
        <v>2</v>
      </c>
      <c r="J1497" s="6" t="n">
        <v>5</v>
      </c>
      <c r="K1497" s="6" t="n">
        <v>106.002089</v>
      </c>
      <c r="L1497" s="6">
        <f>I1497*K1497</f>
        <v/>
      </c>
      <c r="M1497" s="6">
        <f>K1497*4</f>
        <v/>
      </c>
      <c r="N1497" s="6" t="n">
        <v>550</v>
      </c>
    </row>
    <row r="1498">
      <c r="A1498" s="1" t="inlineStr">
        <is>
          <t>43047224541324</t>
        </is>
      </c>
      <c r="B1498" s="1" t="inlineStr">
        <is>
          <t>PULSERA DE CUENTAS CON INSIGNIA DE CORAZÓN PINK</t>
        </is>
      </c>
      <c r="C1498" s="1" t="inlineStr">
        <is>
          <t>17 cm</t>
        </is>
      </c>
      <c r="D1498" s="1" t="inlineStr">
        <is>
          <t>10/02/2026</t>
        </is>
      </c>
      <c r="E1498" s="1" t="n">
        <v>2026</v>
      </c>
      <c r="F1498" s="1" t="inlineStr">
        <is>
          <t>FEBRERO</t>
        </is>
      </c>
      <c r="G1498" s="1" t="inlineStr">
        <is>
          <t>HAIFENG</t>
        </is>
      </c>
      <c r="H1498" s="1" t="inlineStr">
        <is>
          <t>HAIFENG 10/02/2026</t>
        </is>
      </c>
      <c r="I1498" s="4" t="n">
        <v>8</v>
      </c>
      <c r="J1498" s="6" t="n">
        <v>5</v>
      </c>
      <c r="K1498" s="6" t="n">
        <v>105.3424803</v>
      </c>
      <c r="L1498" s="6">
        <f>I1498*K1498</f>
        <v/>
      </c>
      <c r="M1498" s="6">
        <f>K1498*4</f>
        <v/>
      </c>
      <c r="N1498" s="6" t="n">
        <v>550</v>
      </c>
    </row>
    <row r="1499">
      <c r="A1499" s="1" t="inlineStr">
        <is>
          <t>43047224541324</t>
        </is>
      </c>
      <c r="B1499" s="1" t="inlineStr">
        <is>
          <t>PULSERA DE CUENTAS CON INSIGNIA DE CORAZÓN PINK</t>
        </is>
      </c>
      <c r="C1499" s="1" t="inlineStr">
        <is>
          <t>17 cm</t>
        </is>
      </c>
      <c r="D1499" s="1" t="inlineStr">
        <is>
          <t>26/05/2026</t>
        </is>
      </c>
      <c r="E1499" s="1" t="n">
        <v>2026</v>
      </c>
      <c r="F1499" s="1" t="inlineStr">
        <is>
          <t>MAYO</t>
        </is>
      </c>
      <c r="G1499" s="1" t="inlineStr">
        <is>
          <t>HAIFENG</t>
        </is>
      </c>
      <c r="H1499" s="1" t="inlineStr">
        <is>
          <t>HAIFENG 26/05/2026</t>
        </is>
      </c>
      <c r="I1499" s="4" t="n">
        <v>2</v>
      </c>
      <c r="J1499" s="6" t="n">
        <v>5</v>
      </c>
      <c r="K1499" s="6" t="n">
        <v>104.9464765</v>
      </c>
      <c r="L1499" s="6">
        <f>I1499*K1499</f>
        <v/>
      </c>
      <c r="M1499" s="6">
        <f>K1499*4</f>
        <v/>
      </c>
      <c r="N1499" s="6" t="n">
        <v>550</v>
      </c>
    </row>
    <row r="1500">
      <c r="A1500" s="1" t="inlineStr">
        <is>
          <t>43047224541324</t>
        </is>
      </c>
      <c r="B1500" s="1" t="inlineStr">
        <is>
          <t>PULSERA DE CUENTAS CON INSIGNIA DE CORAZÓN PINK</t>
        </is>
      </c>
      <c r="C1500" s="1" t="inlineStr">
        <is>
          <t>17 cm</t>
        </is>
      </c>
      <c r="D1500" s="1" t="inlineStr">
        <is>
          <t>16/06/2026</t>
        </is>
      </c>
      <c r="E1500" s="1" t="n">
        <v>2026</v>
      </c>
      <c r="F1500" s="1" t="inlineStr">
        <is>
          <t>JUNIO</t>
        </is>
      </c>
      <c r="G1500" s="1" t="inlineStr">
        <is>
          <t>HAIFENG</t>
        </is>
      </c>
      <c r="H1500" s="1" t="inlineStr">
        <is>
          <t>HAIFENG 16/06/2026</t>
        </is>
      </c>
      <c r="I1500" s="4" t="n">
        <v>10</v>
      </c>
      <c r="J1500" s="6" t="n">
        <v>5</v>
      </c>
      <c r="K1500" s="6" t="n">
        <v>105.0730323</v>
      </c>
      <c r="L1500" s="6">
        <f>I1500*K1500</f>
        <v/>
      </c>
      <c r="M1500" s="6">
        <f>K1500*4</f>
        <v/>
      </c>
      <c r="N1500" s="6" t="n">
        <v>550</v>
      </c>
    </row>
    <row r="1501">
      <c r="A1501" s="1" t="inlineStr">
        <is>
          <t>43047224574092</t>
        </is>
      </c>
      <c r="B1501" s="1" t="inlineStr">
        <is>
          <t>PULSERA DE CUENTAS CON INSIGNIA DE CORAZÓN PINK</t>
        </is>
      </c>
      <c r="C1501" s="1" t="inlineStr">
        <is>
          <t>18 cm</t>
        </is>
      </c>
      <c r="D1501" s="1" t="inlineStr">
        <is>
          <t>16/04/2026</t>
        </is>
      </c>
      <c r="E1501" s="1" t="n">
        <v>2026</v>
      </c>
      <c r="F1501" s="1" t="inlineStr">
        <is>
          <t>ABRIL</t>
        </is>
      </c>
      <c r="G1501" s="1" t="inlineStr">
        <is>
          <t>HAIFENG</t>
        </is>
      </c>
      <c r="H1501" s="1" t="inlineStr">
        <is>
          <t>HAIFENG 16/04/2026</t>
        </is>
      </c>
      <c r="I1501" s="4" t="n">
        <v>5</v>
      </c>
      <c r="J1501" s="6" t="n">
        <v>5</v>
      </c>
      <c r="K1501" s="6" t="n">
        <v>105.1573679</v>
      </c>
      <c r="L1501" s="6">
        <f>I1501*K1501</f>
        <v/>
      </c>
      <c r="M1501" s="6">
        <f>K1501*4</f>
        <v/>
      </c>
      <c r="N1501" s="6" t="n">
        <v>550</v>
      </c>
    </row>
    <row r="1502">
      <c r="A1502" s="1" t="inlineStr">
        <is>
          <t>43047224606860</t>
        </is>
      </c>
      <c r="B1502" s="1" t="inlineStr">
        <is>
          <t>PULSERA DE CUENTAS CON INSIGNIA DE CORAZÓN PINK</t>
        </is>
      </c>
      <c r="C1502" s="1" t="inlineStr">
        <is>
          <t>19 cm</t>
        </is>
      </c>
      <c r="D1502" s="1" t="inlineStr">
        <is>
          <t>16/04/2026</t>
        </is>
      </c>
      <c r="E1502" s="1" t="n">
        <v>2026</v>
      </c>
      <c r="F1502" s="1" t="inlineStr">
        <is>
          <t>ABRIL</t>
        </is>
      </c>
      <c r="G1502" s="1" t="inlineStr">
        <is>
          <t>HAIFENG</t>
        </is>
      </c>
      <c r="H1502" s="1" t="inlineStr">
        <is>
          <t>HAIFENG 16/04/2026</t>
        </is>
      </c>
      <c r="I1502" s="4" t="n">
        <v>8</v>
      </c>
      <c r="J1502" s="6" t="n">
        <v>5</v>
      </c>
      <c r="K1502" s="6" t="n">
        <v>105.1573679</v>
      </c>
      <c r="L1502" s="6">
        <f>I1502*K1502</f>
        <v/>
      </c>
      <c r="M1502" s="6">
        <f>K1502*4</f>
        <v/>
      </c>
      <c r="N1502" s="6" t="n">
        <v>550</v>
      </c>
    </row>
    <row r="1503">
      <c r="A1503" s="1" t="inlineStr">
        <is>
          <t>43047225884812</t>
        </is>
      </c>
      <c r="B1503" s="1" t="inlineStr">
        <is>
          <t>ANILLO ONE T GOLD</t>
        </is>
      </c>
      <c r="C1503" s="1" t="inlineStr">
        <is>
          <t>6</t>
        </is>
      </c>
      <c r="D1503" s="1" t="inlineStr">
        <is>
          <t>11/11/2025</t>
        </is>
      </c>
      <c r="E1503" s="1" t="n">
        <v>2025</v>
      </c>
      <c r="F1503" s="1" t="inlineStr">
        <is>
          <t>NOVIEMBRE</t>
        </is>
      </c>
      <c r="G1503" s="1" t="inlineStr">
        <is>
          <t>HAIFENG</t>
        </is>
      </c>
      <c r="H1503" s="1" t="inlineStr">
        <is>
          <t>HAIFENG 11/11/2025</t>
        </is>
      </c>
      <c r="I1503" s="4" t="n">
        <v>3</v>
      </c>
      <c r="J1503" s="6" t="n">
        <v>4</v>
      </c>
      <c r="K1503" s="6" t="n">
        <v>84.24199376999999</v>
      </c>
      <c r="L1503" s="6">
        <f>I1503*K1503</f>
        <v/>
      </c>
      <c r="M1503" s="6">
        <f>K1503*4</f>
        <v/>
      </c>
      <c r="N1503" s="6" t="n">
        <v>499</v>
      </c>
    </row>
    <row r="1504">
      <c r="A1504" s="1" t="inlineStr">
        <is>
          <t>43047225884812</t>
        </is>
      </c>
      <c r="B1504" s="1" t="inlineStr">
        <is>
          <t>ANILLO ONE T GOLD</t>
        </is>
      </c>
      <c r="C1504" s="1" t="inlineStr">
        <is>
          <t>6</t>
        </is>
      </c>
      <c r="D1504" s="1" t="inlineStr">
        <is>
          <t>03/12/2025</t>
        </is>
      </c>
      <c r="E1504" s="1" t="n">
        <v>2025</v>
      </c>
      <c r="F1504" s="1" t="inlineStr">
        <is>
          <t>DICIEMBRE</t>
        </is>
      </c>
      <c r="G1504" s="1" t="inlineStr">
        <is>
          <t>HAIFENG</t>
        </is>
      </c>
      <c r="H1504" s="1" t="inlineStr">
        <is>
          <t>HAIFENG 03/12/2025</t>
        </is>
      </c>
      <c r="I1504" s="4" t="n">
        <v>1</v>
      </c>
      <c r="J1504" s="6" t="n">
        <v>4</v>
      </c>
      <c r="K1504" s="6" t="n">
        <v>83.66864004999999</v>
      </c>
      <c r="L1504" s="6">
        <f>I1504*K1504</f>
        <v/>
      </c>
      <c r="M1504" s="6">
        <f>K1504*4</f>
        <v/>
      </c>
      <c r="N1504" s="6" t="n">
        <v>499</v>
      </c>
    </row>
    <row r="1505">
      <c r="A1505" s="1" t="inlineStr">
        <is>
          <t>43047225884812</t>
        </is>
      </c>
      <c r="B1505" s="1" t="inlineStr">
        <is>
          <t>ANILLO ONE T GOLD</t>
        </is>
      </c>
      <c r="C1505" s="1" t="inlineStr">
        <is>
          <t>6</t>
        </is>
      </c>
      <c r="D1505" s="1" t="inlineStr">
        <is>
          <t>16/06/2026</t>
        </is>
      </c>
      <c r="E1505" s="1" t="n">
        <v>2026</v>
      </c>
      <c r="F1505" s="1" t="inlineStr">
        <is>
          <t>JUNIO</t>
        </is>
      </c>
      <c r="G1505" s="1" t="inlineStr">
        <is>
          <t>HAIFENG</t>
        </is>
      </c>
      <c r="H1505" s="1" t="inlineStr">
        <is>
          <t>HAIFENG 16/06/2026</t>
        </is>
      </c>
      <c r="I1505" s="4" t="n">
        <v>5</v>
      </c>
      <c r="J1505" s="6" t="n">
        <v>4</v>
      </c>
      <c r="K1505" s="6" t="n">
        <v>84.05842584</v>
      </c>
      <c r="L1505" s="6">
        <f>I1505*K1505</f>
        <v/>
      </c>
      <c r="M1505" s="6">
        <f>K1505*4</f>
        <v/>
      </c>
      <c r="N1505" s="6" t="n">
        <v>499</v>
      </c>
    </row>
    <row r="1506">
      <c r="A1506" s="1" t="inlineStr">
        <is>
          <t>43047225917580</t>
        </is>
      </c>
      <c r="B1506" s="1" t="inlineStr">
        <is>
          <t>ANILLO ONE T GOLD</t>
        </is>
      </c>
      <c r="C1506" s="1" t="inlineStr">
        <is>
          <t>7</t>
        </is>
      </c>
      <c r="D1506" s="1" t="inlineStr">
        <is>
          <t>25/09/2025</t>
        </is>
      </c>
      <c r="E1506" s="1" t="n">
        <v>2025</v>
      </c>
      <c r="F1506" s="1" t="inlineStr">
        <is>
          <t>SEPTIEMBRE</t>
        </is>
      </c>
      <c r="G1506" s="1" t="inlineStr">
        <is>
          <t>HAIFENG</t>
        </is>
      </c>
      <c r="H1506" s="1" t="inlineStr">
        <is>
          <t>HAIFENG 25/09/2025</t>
        </is>
      </c>
      <c r="I1506" s="4" t="n">
        <v>1</v>
      </c>
      <c r="J1506" s="6" t="n">
        <v>5</v>
      </c>
      <c r="K1506" s="6" t="n">
        <v>105.4844288</v>
      </c>
      <c r="L1506" s="6">
        <f>I1506*K1506</f>
        <v/>
      </c>
      <c r="M1506" s="6">
        <f>K1506*4</f>
        <v/>
      </c>
      <c r="N1506" s="6" t="n">
        <v>499</v>
      </c>
    </row>
    <row r="1507">
      <c r="A1507" s="1" t="inlineStr">
        <is>
          <t>43047225917580</t>
        </is>
      </c>
      <c r="B1507" s="1" t="n"/>
      <c r="C1507" s="1" t="inlineStr">
        <is>
          <t>7</t>
        </is>
      </c>
      <c r="D1507" s="1" t="inlineStr">
        <is>
          <t>10/02/2026</t>
        </is>
      </c>
      <c r="E1507" s="1" t="n">
        <v>2026</v>
      </c>
      <c r="F1507" s="1" t="inlineStr">
        <is>
          <t>FEBRERO</t>
        </is>
      </c>
      <c r="G1507" s="1" t="inlineStr">
        <is>
          <t>HAIFENG</t>
        </is>
      </c>
      <c r="H1507" s="1" t="inlineStr">
        <is>
          <t>HAIFENG 10/02/2026</t>
        </is>
      </c>
      <c r="I1507" s="4" t="n">
        <v>3</v>
      </c>
      <c r="J1507" s="6" t="n">
        <v>4</v>
      </c>
      <c r="K1507" s="6" t="n">
        <v>84.27398426000001</v>
      </c>
      <c r="L1507" s="6">
        <f>I1507*K1507</f>
        <v/>
      </c>
      <c r="M1507" s="6">
        <f>K1507*4</f>
        <v/>
      </c>
      <c r="N1507" s="6" t="n">
        <v>499</v>
      </c>
    </row>
    <row r="1508">
      <c r="A1508" s="1" t="inlineStr">
        <is>
          <t>43047225917580</t>
        </is>
      </c>
      <c r="B1508" s="1" t="inlineStr">
        <is>
          <t>ANILLO ONE T GOLD</t>
        </is>
      </c>
      <c r="C1508" s="1" t="inlineStr">
        <is>
          <t>7</t>
        </is>
      </c>
      <c r="D1508" s="1" t="inlineStr">
        <is>
          <t>11/03/2026</t>
        </is>
      </c>
      <c r="E1508" s="1" t="n">
        <v>2026</v>
      </c>
      <c r="F1508" s="1" t="inlineStr">
        <is>
          <t>MARZO</t>
        </is>
      </c>
      <c r="G1508" s="1" t="inlineStr">
        <is>
          <t>HAIFENG</t>
        </is>
      </c>
      <c r="H1508" s="1" t="inlineStr">
        <is>
          <t>HAIFENG 11/03/2026</t>
        </is>
      </c>
      <c r="I1508" s="4" t="n">
        <v>2</v>
      </c>
      <c r="J1508" s="6" t="n">
        <v>4</v>
      </c>
      <c r="K1508" s="6" t="n">
        <v>85.21558486000001</v>
      </c>
      <c r="L1508" s="6">
        <f>I1508*K1508</f>
        <v/>
      </c>
      <c r="M1508" s="6">
        <f>K1508*4</f>
        <v/>
      </c>
      <c r="N1508" s="6" t="n">
        <v>499</v>
      </c>
    </row>
    <row r="1509">
      <c r="A1509" s="1" t="inlineStr">
        <is>
          <t>43047225950348</t>
        </is>
      </c>
      <c r="B1509" s="1" t="inlineStr">
        <is>
          <t>ANILLO ONE T GOLD</t>
        </is>
      </c>
      <c r="C1509" s="1" t="inlineStr">
        <is>
          <t>8</t>
        </is>
      </c>
      <c r="D1509" s="1" t="inlineStr">
        <is>
          <t>06/05/2026</t>
        </is>
      </c>
      <c r="E1509" s="1" t="n">
        <v>2026</v>
      </c>
      <c r="F1509" s="1" t="inlineStr">
        <is>
          <t>MAYO</t>
        </is>
      </c>
      <c r="G1509" s="1" t="inlineStr">
        <is>
          <t>HAIFENG</t>
        </is>
      </c>
      <c r="H1509" s="1" t="inlineStr">
        <is>
          <t>HAIFENG 06/05/2026</t>
        </is>
      </c>
      <c r="I1509" s="4" t="n">
        <v>1</v>
      </c>
      <c r="J1509" s="6" t="n">
        <v>4</v>
      </c>
      <c r="K1509" s="6" t="n">
        <v>84.87456907000001</v>
      </c>
      <c r="L1509" s="6">
        <f>I1509*K1509</f>
        <v/>
      </c>
      <c r="M1509" s="6">
        <f>K1509*4</f>
        <v/>
      </c>
      <c r="N1509" s="6" t="n">
        <v>499</v>
      </c>
    </row>
    <row r="1510">
      <c r="A1510" s="1" t="inlineStr">
        <is>
          <t>43047226540172</t>
        </is>
      </c>
      <c r="B1510" s="1" t="inlineStr">
        <is>
          <t>ANILLO SIXTEEN STONE</t>
        </is>
      </c>
      <c r="C1510" s="1" t="inlineStr">
        <is>
          <t>HIGH QUALITY 6</t>
        </is>
      </c>
      <c r="D1510" s="1" t="inlineStr">
        <is>
          <t>01/09/2025</t>
        </is>
      </c>
      <c r="E1510" s="1" t="n">
        <v>2025</v>
      </c>
      <c r="F1510" s="1" t="inlineStr">
        <is>
          <t>SEPTIEMBRE</t>
        </is>
      </c>
      <c r="G1510" s="1" t="inlineStr">
        <is>
          <t>HAIFENG</t>
        </is>
      </c>
      <c r="H1510" s="1" t="inlineStr">
        <is>
          <t>HAIFENG 01/09/2025</t>
        </is>
      </c>
      <c r="I1510" s="4" t="n">
        <v>2</v>
      </c>
      <c r="J1510" s="6" t="n">
        <v>6</v>
      </c>
      <c r="K1510" s="6" t="n">
        <v>127.5340264</v>
      </c>
      <c r="L1510" s="6">
        <f>I1510*K1510</f>
        <v/>
      </c>
      <c r="M1510" s="6">
        <f>K1510*4</f>
        <v/>
      </c>
      <c r="N1510" s="6" t="n">
        <v>550</v>
      </c>
    </row>
    <row r="1511">
      <c r="A1511" s="1" t="inlineStr">
        <is>
          <t>43047226540172</t>
        </is>
      </c>
      <c r="B1511" s="1" t="inlineStr">
        <is>
          <t>ANILLO SIXTEEN STONE</t>
        </is>
      </c>
      <c r="C1511" s="1" t="inlineStr">
        <is>
          <t>HIGH QUALITY 6</t>
        </is>
      </c>
      <c r="D1511" s="1" t="inlineStr">
        <is>
          <t>10/02/2026</t>
        </is>
      </c>
      <c r="E1511" s="1" t="n">
        <v>2026</v>
      </c>
      <c r="F1511" s="1" t="inlineStr">
        <is>
          <t>FEBRERO</t>
        </is>
      </c>
      <c r="G1511" s="1" t="inlineStr">
        <is>
          <t>HAIFENG</t>
        </is>
      </c>
      <c r="H1511" s="1" t="inlineStr">
        <is>
          <t>HAIFENG 10/02/2026</t>
        </is>
      </c>
      <c r="I1511" s="4" t="n">
        <v>10</v>
      </c>
      <c r="J1511" s="6" t="n">
        <v>6</v>
      </c>
      <c r="K1511" s="6" t="n">
        <v>126.4109764</v>
      </c>
      <c r="L1511" s="6">
        <f>I1511*K1511</f>
        <v/>
      </c>
      <c r="M1511" s="6">
        <f>K1511*4</f>
        <v/>
      </c>
      <c r="N1511" s="6" t="n">
        <v>550</v>
      </c>
    </row>
    <row r="1512">
      <c r="A1512" s="1" t="inlineStr">
        <is>
          <t>43047226540172</t>
        </is>
      </c>
      <c r="B1512" s="1" t="inlineStr">
        <is>
          <t>ANILLO SIXTEEN STONE</t>
        </is>
      </c>
      <c r="C1512" s="1" t="inlineStr">
        <is>
          <t>HIGH QUALITY 6</t>
        </is>
      </c>
      <c r="D1512" s="1" t="inlineStr">
        <is>
          <t>10/02/2026</t>
        </is>
      </c>
      <c r="E1512" s="1" t="n">
        <v>2026</v>
      </c>
      <c r="F1512" s="1" t="inlineStr">
        <is>
          <t>FEBRERO</t>
        </is>
      </c>
      <c r="G1512" s="1" t="inlineStr">
        <is>
          <t>HAIFENG</t>
        </is>
      </c>
      <c r="H1512" s="1" t="inlineStr">
        <is>
          <t>HAIFENG 10/02/2026</t>
        </is>
      </c>
      <c r="I1512" s="4" t="n">
        <v>5</v>
      </c>
      <c r="J1512" s="6" t="n">
        <v>6</v>
      </c>
      <c r="K1512" s="6" t="n">
        <v>126.4109764</v>
      </c>
      <c r="L1512" s="6">
        <f>I1512*K1512</f>
        <v/>
      </c>
      <c r="M1512" s="6">
        <f>K1512*4</f>
        <v/>
      </c>
      <c r="N1512" s="6" t="n">
        <v>550</v>
      </c>
    </row>
    <row r="1513">
      <c r="A1513" s="1" t="inlineStr">
        <is>
          <t>43047226572940</t>
        </is>
      </c>
      <c r="B1513" s="1" t="inlineStr">
        <is>
          <t>ANILLO SIXTEEN STONE</t>
        </is>
      </c>
      <c r="C1513" s="1" t="inlineStr">
        <is>
          <t>HIGH QUALITY 7</t>
        </is>
      </c>
      <c r="D1513" s="1" t="inlineStr">
        <is>
          <t>01/09/2025</t>
        </is>
      </c>
      <c r="E1513" s="1" t="n">
        <v>2025</v>
      </c>
      <c r="F1513" s="1" t="inlineStr">
        <is>
          <t>SEPTIEMBRE</t>
        </is>
      </c>
      <c r="G1513" s="1" t="inlineStr">
        <is>
          <t>HAIFENG</t>
        </is>
      </c>
      <c r="H1513" s="1" t="inlineStr">
        <is>
          <t>HAIFENG 01/09/2025</t>
        </is>
      </c>
      <c r="I1513" s="4" t="n">
        <v>1</v>
      </c>
      <c r="J1513" s="6" t="n">
        <v>6</v>
      </c>
      <c r="K1513" s="6" t="n">
        <v>127.5340264</v>
      </c>
      <c r="L1513" s="6">
        <f>I1513*K1513</f>
        <v/>
      </c>
      <c r="M1513" s="6">
        <f>K1513*4</f>
        <v/>
      </c>
      <c r="N1513" s="6" t="n">
        <v>550</v>
      </c>
    </row>
    <row r="1514">
      <c r="A1514" s="1" t="inlineStr">
        <is>
          <t>43047226572940</t>
        </is>
      </c>
      <c r="B1514" s="1" t="inlineStr">
        <is>
          <t>ANILLO SIXTEEN STONE</t>
        </is>
      </c>
      <c r="C1514" s="1" t="inlineStr">
        <is>
          <t>HIGH QUALITY 7</t>
        </is>
      </c>
      <c r="D1514" s="1" t="inlineStr">
        <is>
          <t>25/09/2025</t>
        </is>
      </c>
      <c r="E1514" s="1" t="n">
        <v>2025</v>
      </c>
      <c r="F1514" s="1" t="inlineStr">
        <is>
          <t>SEPTIEMBRE</t>
        </is>
      </c>
      <c r="G1514" s="1" t="inlineStr">
        <is>
          <t>HAIFENG</t>
        </is>
      </c>
      <c r="H1514" s="1" t="inlineStr">
        <is>
          <t>HAIFENG 25/09/2025</t>
        </is>
      </c>
      <c r="I1514" s="4" t="n">
        <v>11</v>
      </c>
      <c r="J1514" s="6" t="n">
        <v>6</v>
      </c>
      <c r="K1514" s="6" t="n">
        <v>126.5813146</v>
      </c>
      <c r="L1514" s="6">
        <f>I1514*K1514</f>
        <v/>
      </c>
      <c r="M1514" s="6">
        <f>K1514*4</f>
        <v/>
      </c>
      <c r="N1514" s="6" t="n">
        <v>550</v>
      </c>
    </row>
    <row r="1515">
      <c r="A1515" s="1" t="inlineStr">
        <is>
          <t>43047226572940</t>
        </is>
      </c>
      <c r="B1515" s="1" t="inlineStr">
        <is>
          <t>ANILLO SIXTEEN STONE</t>
        </is>
      </c>
      <c r="C1515" s="1" t="inlineStr">
        <is>
          <t>HIGH QUALITY 7</t>
        </is>
      </c>
      <c r="D1515" s="1" t="inlineStr">
        <is>
          <t>20/01/2026</t>
        </is>
      </c>
      <c r="E1515" s="1" t="n">
        <v>2026</v>
      </c>
      <c r="F1515" s="1" t="inlineStr">
        <is>
          <t>ENERO</t>
        </is>
      </c>
      <c r="G1515" s="1" t="inlineStr">
        <is>
          <t>HAIFENG</t>
        </is>
      </c>
      <c r="H1515" s="1" t="inlineStr">
        <is>
          <t>HAIFENG 20/01/2026</t>
        </is>
      </c>
      <c r="I1515" s="4" t="n">
        <v>8</v>
      </c>
      <c r="J1515" s="6" t="n">
        <v>6</v>
      </c>
      <c r="K1515" s="6" t="n">
        <v>127.2025068</v>
      </c>
      <c r="L1515" s="6">
        <f>I1515*K1515</f>
        <v/>
      </c>
      <c r="M1515" s="6">
        <f>K1515*4</f>
        <v/>
      </c>
      <c r="N1515" s="6" t="n">
        <v>550</v>
      </c>
    </row>
    <row r="1516">
      <c r="A1516" s="1" t="inlineStr">
        <is>
          <t>43047226572940</t>
        </is>
      </c>
      <c r="B1516" s="1" t="inlineStr">
        <is>
          <t>ANILLO SIXTEEN STONE</t>
        </is>
      </c>
      <c r="C1516" s="1" t="inlineStr">
        <is>
          <t>HIGH QUALITY 7</t>
        </is>
      </c>
      <c r="D1516" s="1" t="inlineStr">
        <is>
          <t>16/04/2026</t>
        </is>
      </c>
      <c r="E1516" s="1" t="n">
        <v>2026</v>
      </c>
      <c r="F1516" s="1" t="inlineStr">
        <is>
          <t>ABRIL</t>
        </is>
      </c>
      <c r="G1516" s="1" t="inlineStr">
        <is>
          <t>HAIFENG</t>
        </is>
      </c>
      <c r="H1516" s="1" t="inlineStr">
        <is>
          <t>HAIFENG 16/04/2026</t>
        </is>
      </c>
      <c r="I1516" s="4" t="n">
        <v>5</v>
      </c>
      <c r="J1516" s="6" t="n">
        <v>6</v>
      </c>
      <c r="K1516" s="6" t="n">
        <v>126.1888415</v>
      </c>
      <c r="L1516" s="6">
        <f>I1516*K1516</f>
        <v/>
      </c>
      <c r="M1516" s="6">
        <f>K1516*4</f>
        <v/>
      </c>
      <c r="N1516" s="6" t="n">
        <v>550</v>
      </c>
    </row>
    <row r="1517">
      <c r="A1517" s="1" t="inlineStr">
        <is>
          <t>43047226572940</t>
        </is>
      </c>
      <c r="B1517" s="1" t="inlineStr">
        <is>
          <t>ANILLO SIXTEEN STONE</t>
        </is>
      </c>
      <c r="C1517" s="1" t="inlineStr">
        <is>
          <t>HIGH QUALITY 7</t>
        </is>
      </c>
      <c r="D1517" s="1" t="inlineStr">
        <is>
          <t>06/05/2026</t>
        </is>
      </c>
      <c r="E1517" s="1" t="n">
        <v>2026</v>
      </c>
      <c r="F1517" s="1" t="inlineStr">
        <is>
          <t>MAYO</t>
        </is>
      </c>
      <c r="G1517" s="1" t="inlineStr">
        <is>
          <t>HAIFENG</t>
        </is>
      </c>
      <c r="H1517" s="1" t="inlineStr">
        <is>
          <t>HAIFENG 06/05/2026</t>
        </is>
      </c>
      <c r="I1517" s="4" t="n">
        <v>3</v>
      </c>
      <c r="J1517" s="6" t="n">
        <v>6</v>
      </c>
      <c r="K1517" s="6" t="n">
        <v>127.3118536</v>
      </c>
      <c r="L1517" s="6">
        <f>I1517*K1517</f>
        <v/>
      </c>
      <c r="M1517" s="6">
        <f>K1517*4</f>
        <v/>
      </c>
      <c r="N1517" s="6" t="n">
        <v>550</v>
      </c>
    </row>
    <row r="1518">
      <c r="A1518" s="1" t="inlineStr">
        <is>
          <t>43047226572940</t>
        </is>
      </c>
      <c r="B1518" s="1" t="inlineStr">
        <is>
          <t>ANILLO SIXTEEN STONE</t>
        </is>
      </c>
      <c r="C1518" s="1" t="inlineStr">
        <is>
          <t>HIGH QUALITY 7</t>
        </is>
      </c>
      <c r="D1518" s="1" t="inlineStr">
        <is>
          <t>16/06/2026</t>
        </is>
      </c>
      <c r="E1518" s="1" t="n">
        <v>2026</v>
      </c>
      <c r="F1518" s="1" t="inlineStr">
        <is>
          <t>JUNIO</t>
        </is>
      </c>
      <c r="G1518" s="1" t="inlineStr">
        <is>
          <t>HAIFENG</t>
        </is>
      </c>
      <c r="H1518" s="1" t="inlineStr">
        <is>
          <t>HAIFENG 16/06/2026</t>
        </is>
      </c>
      <c r="I1518" s="4" t="n">
        <v>3</v>
      </c>
      <c r="J1518" s="6" t="n">
        <v>6</v>
      </c>
      <c r="K1518" s="6" t="n">
        <v>126.0876388</v>
      </c>
      <c r="L1518" s="6">
        <f>I1518*K1518</f>
        <v/>
      </c>
      <c r="M1518" s="6">
        <f>K1518*4</f>
        <v/>
      </c>
      <c r="N1518" s="6" t="n">
        <v>550</v>
      </c>
    </row>
    <row r="1519">
      <c r="A1519" s="1" t="inlineStr">
        <is>
          <t>43047226605708</t>
        </is>
      </c>
      <c r="B1519" s="1" t="n"/>
      <c r="C1519" s="1" t="inlineStr">
        <is>
          <t>HIGH QUALITY 8</t>
        </is>
      </c>
      <c r="D1519" s="1" t="inlineStr">
        <is>
          <t>10/02/2026</t>
        </is>
      </c>
      <c r="E1519" s="1" t="n">
        <v>2026</v>
      </c>
      <c r="F1519" s="1" t="inlineStr">
        <is>
          <t>FEBRERO</t>
        </is>
      </c>
      <c r="G1519" s="1" t="inlineStr">
        <is>
          <t>HAIFENG</t>
        </is>
      </c>
      <c r="H1519" s="1" t="inlineStr">
        <is>
          <t>HAIFENG 10/02/2026</t>
        </is>
      </c>
      <c r="I1519" s="4" t="n">
        <v>8</v>
      </c>
      <c r="J1519" s="6" t="n">
        <v>6</v>
      </c>
      <c r="K1519" s="6" t="n">
        <v>126.4109764</v>
      </c>
      <c r="L1519" s="6">
        <f>I1519*K1519</f>
        <v/>
      </c>
      <c r="M1519" s="6">
        <f>K1519*4</f>
        <v/>
      </c>
      <c r="N1519" s="6" t="n">
        <v>550</v>
      </c>
    </row>
    <row r="1520">
      <c r="A1520" s="1" t="inlineStr">
        <is>
          <t>43047226605708</t>
        </is>
      </c>
      <c r="B1520" s="1" t="inlineStr">
        <is>
          <t>ANILLO SIXTEEN STONE</t>
        </is>
      </c>
      <c r="C1520" s="1" t="inlineStr">
        <is>
          <t>HIGH QUALITY 8</t>
        </is>
      </c>
      <c r="D1520" s="1" t="inlineStr">
        <is>
          <t>06/05/2026</t>
        </is>
      </c>
      <c r="E1520" s="1" t="n">
        <v>2026</v>
      </c>
      <c r="F1520" s="1" t="inlineStr">
        <is>
          <t>MAYO</t>
        </is>
      </c>
      <c r="G1520" s="1" t="inlineStr">
        <is>
          <t>HAIFENG</t>
        </is>
      </c>
      <c r="H1520" s="1" t="inlineStr">
        <is>
          <t>HAIFENG 06/05/2026</t>
        </is>
      </c>
      <c r="I1520" s="4" t="n">
        <v>2</v>
      </c>
      <c r="J1520" s="6" t="n">
        <v>6</v>
      </c>
      <c r="K1520" s="6" t="n">
        <v>127.3118536</v>
      </c>
      <c r="L1520" s="6">
        <f>I1520*K1520</f>
        <v/>
      </c>
      <c r="M1520" s="6">
        <f>K1520*4</f>
        <v/>
      </c>
      <c r="N1520" s="6" t="n">
        <v>550</v>
      </c>
    </row>
    <row r="1521">
      <c r="A1521" s="1" t="inlineStr">
        <is>
          <t>43047226605708</t>
        </is>
      </c>
      <c r="B1521" s="1" t="inlineStr">
        <is>
          <t>ANILLO SIXTEEN STONE</t>
        </is>
      </c>
      <c r="C1521" s="1" t="inlineStr">
        <is>
          <t>HIGH QUALITY 8</t>
        </is>
      </c>
      <c r="D1521" s="1" t="inlineStr">
        <is>
          <t>26/05/2026</t>
        </is>
      </c>
      <c r="E1521" s="1" t="n">
        <v>2026</v>
      </c>
      <c r="F1521" s="1" t="inlineStr">
        <is>
          <t>MAYO</t>
        </is>
      </c>
      <c r="G1521" s="1" t="inlineStr">
        <is>
          <t>HAIFENG</t>
        </is>
      </c>
      <c r="H1521" s="1" t="inlineStr">
        <is>
          <t>HAIFENG 26/05/2026</t>
        </is>
      </c>
      <c r="I1521" s="4" t="n">
        <v>2</v>
      </c>
      <c r="J1521" s="6" t="n">
        <v>6</v>
      </c>
      <c r="K1521" s="6" t="n">
        <v>125.9357718</v>
      </c>
      <c r="L1521" s="6">
        <f>I1521*K1521</f>
        <v/>
      </c>
      <c r="M1521" s="6">
        <f>K1521*4</f>
        <v/>
      </c>
      <c r="N1521" s="6" t="n">
        <v>550</v>
      </c>
    </row>
    <row r="1522">
      <c r="A1522" s="1" t="inlineStr">
        <is>
          <t>43047226638476</t>
        </is>
      </c>
      <c r="B1522" s="1" t="inlineStr">
        <is>
          <t>ANILLO SIXTEEN STONE</t>
        </is>
      </c>
      <c r="C1522" s="1" t="inlineStr">
        <is>
          <t>HIGH QUALITY 9</t>
        </is>
      </c>
      <c r="D1522" s="1" t="inlineStr">
        <is>
          <t>01/09/2025</t>
        </is>
      </c>
      <c r="E1522" s="1" t="n">
        <v>2025</v>
      </c>
      <c r="F1522" s="1" t="inlineStr">
        <is>
          <t>SEPTIEMBRE</t>
        </is>
      </c>
      <c r="G1522" s="1" t="inlineStr">
        <is>
          <t>HAIFENG</t>
        </is>
      </c>
      <c r="H1522" s="1" t="inlineStr">
        <is>
          <t>HAIFENG 01/09/2025</t>
        </is>
      </c>
      <c r="I1522" s="4" t="n">
        <v>3</v>
      </c>
      <c r="J1522" s="6" t="n">
        <v>6</v>
      </c>
      <c r="K1522" s="6" t="n">
        <v>127.5340264</v>
      </c>
      <c r="L1522" s="6">
        <f>I1522*K1522</f>
        <v/>
      </c>
      <c r="M1522" s="6">
        <f>K1522*4</f>
        <v/>
      </c>
      <c r="N1522" s="6" t="n">
        <v>550</v>
      </c>
    </row>
    <row r="1523">
      <c r="A1523" s="1" t="inlineStr">
        <is>
          <t>43047226638476</t>
        </is>
      </c>
      <c r="B1523" s="1" t="inlineStr">
        <is>
          <t>ANILLO SIXTEEN STONE</t>
        </is>
      </c>
      <c r="C1523" s="1" t="inlineStr">
        <is>
          <t>HIGH QUALITY 9</t>
        </is>
      </c>
      <c r="D1523" s="1" t="inlineStr">
        <is>
          <t>25/09/2025</t>
        </is>
      </c>
      <c r="E1523" s="1" t="n">
        <v>2025</v>
      </c>
      <c r="F1523" s="1" t="inlineStr">
        <is>
          <t>SEPTIEMBRE</t>
        </is>
      </c>
      <c r="G1523" s="1" t="inlineStr">
        <is>
          <t>HAIFENG</t>
        </is>
      </c>
      <c r="H1523" s="1" t="inlineStr">
        <is>
          <t>HAIFENG 25/09/2025</t>
        </is>
      </c>
      <c r="I1523" s="4" t="n">
        <v>1</v>
      </c>
      <c r="J1523" s="6" t="n">
        <v>6</v>
      </c>
      <c r="K1523" s="6" t="n">
        <v>126.5813146</v>
      </c>
      <c r="L1523" s="6">
        <f>I1523*K1523</f>
        <v/>
      </c>
      <c r="M1523" s="6">
        <f>K1523*4</f>
        <v/>
      </c>
      <c r="N1523" s="6" t="n">
        <v>550</v>
      </c>
    </row>
    <row r="1524">
      <c r="A1524" s="1" t="inlineStr">
        <is>
          <t>43047226638476</t>
        </is>
      </c>
      <c r="B1524" s="1" t="inlineStr">
        <is>
          <t>ANILLO SIXTEEN STONE</t>
        </is>
      </c>
      <c r="C1524" s="1" t="inlineStr">
        <is>
          <t>HIGH QUALITY 9</t>
        </is>
      </c>
      <c r="D1524" s="1" t="inlineStr">
        <is>
          <t>20/01/2026</t>
        </is>
      </c>
      <c r="E1524" s="1" t="n">
        <v>2026</v>
      </c>
      <c r="F1524" s="1" t="inlineStr">
        <is>
          <t>ENERO</t>
        </is>
      </c>
      <c r="G1524" s="1" t="inlineStr">
        <is>
          <t>HAIFENG</t>
        </is>
      </c>
      <c r="H1524" s="1" t="inlineStr">
        <is>
          <t>HAIFENG 20/01/2026</t>
        </is>
      </c>
      <c r="I1524" s="4" t="n">
        <v>5</v>
      </c>
      <c r="J1524" s="6" t="n">
        <v>6</v>
      </c>
      <c r="K1524" s="6" t="n">
        <v>127.2025068</v>
      </c>
      <c r="L1524" s="6">
        <f>I1524*K1524</f>
        <v/>
      </c>
      <c r="M1524" s="6">
        <f>K1524*4</f>
        <v/>
      </c>
      <c r="N1524" s="6" t="n">
        <v>550</v>
      </c>
    </row>
    <row r="1525">
      <c r="A1525" s="1" t="inlineStr">
        <is>
          <t>43047226638476</t>
        </is>
      </c>
      <c r="B1525" s="1" t="inlineStr">
        <is>
          <t>ANILLO SIXTEEN STONE</t>
        </is>
      </c>
      <c r="C1525" s="1" t="inlineStr">
        <is>
          <t>HIGH QUALITY 9</t>
        </is>
      </c>
      <c r="D1525" s="1" t="inlineStr">
        <is>
          <t>26/05/2026</t>
        </is>
      </c>
      <c r="E1525" s="1" t="n">
        <v>2026</v>
      </c>
      <c r="F1525" s="1" t="inlineStr">
        <is>
          <t>MAYO</t>
        </is>
      </c>
      <c r="G1525" s="1" t="inlineStr">
        <is>
          <t>HAIFENG</t>
        </is>
      </c>
      <c r="H1525" s="1" t="inlineStr">
        <is>
          <t>HAIFENG 26/05/2026</t>
        </is>
      </c>
      <c r="I1525" s="4" t="n">
        <v>5</v>
      </c>
      <c r="J1525" s="6" t="n">
        <v>6</v>
      </c>
      <c r="K1525" s="6" t="n">
        <v>125.9357718</v>
      </c>
      <c r="L1525" s="6">
        <f>I1525*K1525</f>
        <v/>
      </c>
      <c r="M1525" s="6">
        <f>K1525*4</f>
        <v/>
      </c>
      <c r="N1525" s="6" t="n">
        <v>550</v>
      </c>
    </row>
    <row r="1526">
      <c r="A1526" s="1" t="inlineStr">
        <is>
          <t>43047227359372</t>
        </is>
      </c>
      <c r="B1526" s="1" t="inlineStr">
        <is>
          <t>ANILLO ONE T ROSE GOLD CON ZIRCONIA</t>
        </is>
      </c>
      <c r="C1526" s="1" t="inlineStr">
        <is>
          <t>6 HIGH QUALITY</t>
        </is>
      </c>
      <c r="D1526" s="1" t="inlineStr">
        <is>
          <t>16/04/2026</t>
        </is>
      </c>
      <c r="E1526" s="1" t="n">
        <v>2026</v>
      </c>
      <c r="F1526" s="1" t="inlineStr">
        <is>
          <t>ABRIL</t>
        </is>
      </c>
      <c r="G1526" s="1" t="inlineStr">
        <is>
          <t>HAIFENG</t>
        </is>
      </c>
      <c r="H1526" s="1" t="inlineStr">
        <is>
          <t>HAIFENG 16/04/2026</t>
        </is>
      </c>
      <c r="I1526" s="4" t="n">
        <v>3</v>
      </c>
      <c r="J1526" s="6" t="n">
        <v>5</v>
      </c>
      <c r="K1526" s="6" t="n">
        <v>105.1573679</v>
      </c>
      <c r="L1526" s="6">
        <f>I1526*K1526</f>
        <v/>
      </c>
      <c r="M1526" s="6">
        <f>K1526*4</f>
        <v/>
      </c>
      <c r="N1526" s="6" t="n">
        <v>599</v>
      </c>
    </row>
    <row r="1527">
      <c r="A1527" s="1" t="inlineStr">
        <is>
          <t>43047227392140</t>
        </is>
      </c>
      <c r="B1527" s="1" t="inlineStr">
        <is>
          <t>ANILLO ONE T ROSE GOLD CON ZIRCONIA</t>
        </is>
      </c>
      <c r="C1527" s="1" t="inlineStr">
        <is>
          <t>7 HIGH QUALITY</t>
        </is>
      </c>
      <c r="D1527" s="1" t="inlineStr">
        <is>
          <t>11/03/2026</t>
        </is>
      </c>
      <c r="E1527" s="1" t="n">
        <v>2026</v>
      </c>
      <c r="F1527" s="1" t="inlineStr">
        <is>
          <t>MARZO</t>
        </is>
      </c>
      <c r="G1527" s="1" t="inlineStr">
        <is>
          <t>HAIFENG</t>
        </is>
      </c>
      <c r="H1527" s="1" t="inlineStr">
        <is>
          <t>HAIFENG 11/03/2026</t>
        </is>
      </c>
      <c r="I1527" s="4" t="n">
        <v>2</v>
      </c>
      <c r="J1527" s="6" t="n">
        <v>5</v>
      </c>
      <c r="K1527" s="6" t="n">
        <v>106.5194811</v>
      </c>
      <c r="L1527" s="6">
        <f>I1527*K1527</f>
        <v/>
      </c>
      <c r="M1527" s="6">
        <f>K1527*4</f>
        <v/>
      </c>
      <c r="N1527" s="6" t="n">
        <v>599</v>
      </c>
    </row>
    <row r="1528">
      <c r="A1528" s="1" t="inlineStr">
        <is>
          <t>43047227424908</t>
        </is>
      </c>
      <c r="B1528" s="1" t="inlineStr">
        <is>
          <t>ANILLO ONE T ROSE GOLD CON ZIRCONIA</t>
        </is>
      </c>
      <c r="C1528" s="1" t="inlineStr">
        <is>
          <t>8</t>
        </is>
      </c>
      <c r="D1528" s="1" t="inlineStr">
        <is>
          <t>16/04/2026</t>
        </is>
      </c>
      <c r="E1528" s="1" t="n">
        <v>2026</v>
      </c>
      <c r="F1528" s="1" t="inlineStr">
        <is>
          <t>ABRIL</t>
        </is>
      </c>
      <c r="G1528" s="1" t="inlineStr">
        <is>
          <t>HAIFENG</t>
        </is>
      </c>
      <c r="H1528" s="1" t="inlineStr">
        <is>
          <t>HAIFENG 16/04/2026</t>
        </is>
      </c>
      <c r="I1528" s="4" t="n">
        <v>2</v>
      </c>
      <c r="J1528" s="6" t="n">
        <v>5</v>
      </c>
      <c r="K1528" s="6" t="n">
        <v>105.1573679</v>
      </c>
      <c r="L1528" s="6">
        <f>I1528*K1528</f>
        <v/>
      </c>
      <c r="M1528" s="6">
        <f>K1528*4</f>
        <v/>
      </c>
      <c r="N1528" s="6" t="n">
        <v>450</v>
      </c>
    </row>
    <row r="1529">
      <c r="A1529" s="1" t="inlineStr">
        <is>
          <t>43047228014732</t>
        </is>
      </c>
      <c r="B1529" s="1" t="inlineStr">
        <is>
          <t>ANILLO ONE T SILVER CON ZIRCONIA</t>
        </is>
      </c>
      <c r="C1529" s="1" t="n">
        <v>6</v>
      </c>
      <c r="D1529" s="1" t="inlineStr">
        <is>
          <t>05/09/2025</t>
        </is>
      </c>
      <c r="E1529" s="1" t="n">
        <v>2025</v>
      </c>
      <c r="F1529" s="1" t="inlineStr">
        <is>
          <t>SEPTIEMBRE</t>
        </is>
      </c>
      <c r="G1529" s="1" t="inlineStr">
        <is>
          <t>CYNTHIA</t>
        </is>
      </c>
      <c r="H1529" s="1" t="inlineStr">
        <is>
          <t>CYNTHIA 05/09/2025</t>
        </is>
      </c>
      <c r="I1529" s="4" t="n">
        <v>4</v>
      </c>
      <c r="J1529" s="6" t="n">
        <v>9.800000000000001</v>
      </c>
      <c r="K1529" s="6" t="n">
        <v>246.7551499</v>
      </c>
      <c r="L1529" s="6">
        <f>I1529*K1529</f>
        <v/>
      </c>
      <c r="M1529" s="6">
        <f>K1529*4</f>
        <v/>
      </c>
      <c r="N1529" s="6" t="n">
        <v>1039.33</v>
      </c>
    </row>
    <row r="1530">
      <c r="A1530" s="1" t="inlineStr">
        <is>
          <t>43047228014732</t>
        </is>
      </c>
      <c r="B1530" s="1" t="inlineStr">
        <is>
          <t>ANILLO ONE T SILVER CON ZIRCONIA</t>
        </is>
      </c>
      <c r="C1530" s="1" t="n">
        <v>6</v>
      </c>
      <c r="D1530" s="1" t="inlineStr">
        <is>
          <t>07/01/2026</t>
        </is>
      </c>
      <c r="E1530" s="1" t="n">
        <v>2026</v>
      </c>
      <c r="F1530" s="1" t="inlineStr">
        <is>
          <t>ENERO</t>
        </is>
      </c>
      <c r="G1530" s="1" t="inlineStr">
        <is>
          <t>CYNTHIA</t>
        </is>
      </c>
      <c r="H1530" s="1" t="inlineStr">
        <is>
          <t>CYNTHIA 07/01/2026</t>
        </is>
      </c>
      <c r="I1530" s="4" t="n">
        <v>3</v>
      </c>
      <c r="J1530" s="6" t="n">
        <v>9.800000000000001</v>
      </c>
      <c r="K1530" s="6" t="n">
        <v>260.5567912</v>
      </c>
      <c r="L1530" s="6">
        <f>I1530*K1530</f>
        <v/>
      </c>
      <c r="M1530" s="6">
        <f>K1530*4</f>
        <v/>
      </c>
      <c r="N1530" s="6" t="n">
        <v>1039.33</v>
      </c>
    </row>
    <row r="1531">
      <c r="A1531" s="1" t="inlineStr">
        <is>
          <t>43047228014732</t>
        </is>
      </c>
      <c r="B1531" s="1" t="inlineStr">
        <is>
          <t>ANILLO ONE T SILVER CON ZIRCONIA</t>
        </is>
      </c>
      <c r="C1531" s="1" t="inlineStr">
        <is>
          <t>6</t>
        </is>
      </c>
      <c r="D1531" s="1" t="inlineStr">
        <is>
          <t>31/05/2026</t>
        </is>
      </c>
      <c r="E1531" s="1" t="n">
        <v>2026</v>
      </c>
      <c r="F1531" s="1" t="inlineStr">
        <is>
          <t>MAYO</t>
        </is>
      </c>
      <c r="G1531" s="1" t="inlineStr">
        <is>
          <t>CYNTHIA</t>
        </is>
      </c>
      <c r="H1531" s="1" t="inlineStr">
        <is>
          <t>CYNTHIA 31/05/2026</t>
        </is>
      </c>
      <c r="I1531" s="4" t="n">
        <v>3</v>
      </c>
      <c r="J1531" s="6" t="n">
        <v>9.800000000000001</v>
      </c>
      <c r="K1531" s="6" t="n">
        <v>259.7102408</v>
      </c>
      <c r="L1531" s="6">
        <f>I1531*K1531</f>
        <v/>
      </c>
      <c r="M1531" s="6">
        <f>K1531*4</f>
        <v/>
      </c>
      <c r="N1531" s="6" t="n">
        <v>1039.33</v>
      </c>
    </row>
    <row r="1532">
      <c r="A1532" s="1" t="inlineStr">
        <is>
          <t>43047228047500</t>
        </is>
      </c>
      <c r="B1532" s="1" t="inlineStr">
        <is>
          <t>ANILLO ONE T SILVER CON ZIRCONIA</t>
        </is>
      </c>
      <c r="C1532" s="1" t="n">
        <v>7</v>
      </c>
      <c r="D1532" s="1" t="inlineStr">
        <is>
          <t>05/09/2025</t>
        </is>
      </c>
      <c r="E1532" s="1" t="n">
        <v>2025</v>
      </c>
      <c r="F1532" s="1" t="inlineStr">
        <is>
          <t>SEPTIEMBRE</t>
        </is>
      </c>
      <c r="G1532" s="1" t="inlineStr">
        <is>
          <t>CYNTHIA</t>
        </is>
      </c>
      <c r="H1532" s="1" t="inlineStr">
        <is>
          <t>CYNTHIA 05/09/2025</t>
        </is>
      </c>
      <c r="I1532" s="4" t="n">
        <v>2</v>
      </c>
      <c r="J1532" s="6" t="n">
        <v>9.800000000000001</v>
      </c>
      <c r="K1532" s="6" t="n">
        <v>246.7551499</v>
      </c>
      <c r="L1532" s="6">
        <f>I1532*K1532</f>
        <v/>
      </c>
      <c r="M1532" s="6">
        <f>K1532*4</f>
        <v/>
      </c>
      <c r="N1532" s="6" t="n">
        <v>1039.33</v>
      </c>
    </row>
    <row r="1533">
      <c r="A1533" s="1" t="inlineStr">
        <is>
          <t>43047228080268</t>
        </is>
      </c>
      <c r="B1533" s="1" t="n"/>
      <c r="C1533" s="1" t="n">
        <v>8</v>
      </c>
      <c r="D1533" s="1" t="inlineStr">
        <is>
          <t>07/01/2026</t>
        </is>
      </c>
      <c r="E1533" s="1" t="n">
        <v>2026</v>
      </c>
      <c r="F1533" s="1" t="inlineStr">
        <is>
          <t>ENERO</t>
        </is>
      </c>
      <c r="G1533" s="1" t="inlineStr">
        <is>
          <t>CYNTHIA</t>
        </is>
      </c>
      <c r="H1533" s="1" t="inlineStr">
        <is>
          <t>CYNTHIA 07/01/2026</t>
        </is>
      </c>
      <c r="I1533" s="4" t="n">
        <v>2</v>
      </c>
      <c r="J1533" s="6" t="n">
        <v>9.800000000000001</v>
      </c>
      <c r="K1533" s="6" t="n">
        <v>260.5567912</v>
      </c>
      <c r="L1533" s="6">
        <f>I1533*K1533</f>
        <v/>
      </c>
      <c r="M1533" s="6">
        <f>K1533*4</f>
        <v/>
      </c>
      <c r="N1533" s="6" t="n">
        <v>1039.33</v>
      </c>
    </row>
    <row r="1534">
      <c r="A1534" s="1" t="inlineStr">
        <is>
          <t>43047247904908</t>
        </is>
      </c>
      <c r="B1534" s="1" t="inlineStr">
        <is>
          <t>COLLAR ESLABON DOBLE CADENA SILVER</t>
        </is>
      </c>
      <c r="C1534" s="1" t="inlineStr">
        <is>
          <t>40cm</t>
        </is>
      </c>
      <c r="D1534" s="1" t="inlineStr">
        <is>
          <t>25/10/2025</t>
        </is>
      </c>
      <c r="E1534" s="1" t="n">
        <v>2025</v>
      </c>
      <c r="F1534" s="1" t="inlineStr">
        <is>
          <t>OCTUBRE</t>
        </is>
      </c>
      <c r="G1534" s="1" t="inlineStr">
        <is>
          <t>CYNTHIA</t>
        </is>
      </c>
      <c r="H1534" s="1" t="inlineStr">
        <is>
          <t>CYNTHIA 25/10/2025</t>
        </is>
      </c>
      <c r="I1534" s="4" t="n">
        <v>2</v>
      </c>
      <c r="J1534" s="6" t="n">
        <v>9.800000000000001</v>
      </c>
      <c r="K1534" s="6" t="n">
        <v>256.7778712</v>
      </c>
      <c r="L1534" s="6">
        <f>I1534*K1534</f>
        <v/>
      </c>
      <c r="M1534" s="6">
        <f>K1534*4</f>
        <v/>
      </c>
      <c r="N1534" s="6" t="n">
        <v>850</v>
      </c>
    </row>
    <row r="1535">
      <c r="A1535" s="1" t="inlineStr">
        <is>
          <t>43047247904908</t>
        </is>
      </c>
      <c r="B1535" s="1" t="inlineStr">
        <is>
          <t>COLLAR ESLABON DOBLE CADENA SILVER</t>
        </is>
      </c>
      <c r="C1535" s="1" t="inlineStr">
        <is>
          <t>40cm</t>
        </is>
      </c>
      <c r="D1535" s="1" t="inlineStr">
        <is>
          <t>18/02/2026</t>
        </is>
      </c>
      <c r="E1535" s="1" t="n">
        <v>2026</v>
      </c>
      <c r="F1535" s="1" t="inlineStr">
        <is>
          <t>FEBRERO</t>
        </is>
      </c>
      <c r="G1535" s="1" t="inlineStr">
        <is>
          <t>CYNTHIA</t>
        </is>
      </c>
      <c r="H1535" s="1" t="inlineStr">
        <is>
          <t>CYNTHIA 18/02/2026</t>
        </is>
      </c>
      <c r="I1535" s="4" t="n">
        <v>4</v>
      </c>
      <c r="J1535" s="6" t="n">
        <v>9.800000000000001</v>
      </c>
      <c r="K1535" s="6" t="n">
        <v>265.0249789</v>
      </c>
      <c r="L1535" s="6">
        <f>I1535*K1535</f>
        <v/>
      </c>
      <c r="M1535" s="6">
        <f>K1535*4</f>
        <v/>
      </c>
      <c r="N1535" s="6" t="n">
        <v>1025</v>
      </c>
    </row>
    <row r="1536">
      <c r="A1536" s="1" t="inlineStr">
        <is>
          <t>43047248920716</t>
        </is>
      </c>
      <c r="B1536" s="1" t="inlineStr">
        <is>
          <t>PULSERA KNOT ROSE GOLD</t>
        </is>
      </c>
      <c r="C1536" s="1" t="inlineStr">
        <is>
          <t>16cm</t>
        </is>
      </c>
      <c r="D1536" s="1" t="inlineStr">
        <is>
          <t>05/09/2025</t>
        </is>
      </c>
      <c r="E1536" s="1" t="n">
        <v>2025</v>
      </c>
      <c r="F1536" s="1" t="inlineStr">
        <is>
          <t>SEPTIEMBRE</t>
        </is>
      </c>
      <c r="G1536" s="1" t="inlineStr">
        <is>
          <t>CYNTHIA</t>
        </is>
      </c>
      <c r="H1536" s="1" t="inlineStr">
        <is>
          <t>CYNTHIA 05/09/2025</t>
        </is>
      </c>
      <c r="I1536" s="4" t="n">
        <v>2</v>
      </c>
      <c r="J1536" s="6" t="n">
        <v>9.5</v>
      </c>
      <c r="K1536" s="6" t="n">
        <v>239.2014208</v>
      </c>
      <c r="L1536" s="6">
        <f>I1536*K1536</f>
        <v/>
      </c>
      <c r="M1536" s="6">
        <f>K1536*4</f>
        <v/>
      </c>
      <c r="N1536" s="6" t="n">
        <v>1333</v>
      </c>
    </row>
    <row r="1537">
      <c r="A1537" s="1" t="inlineStr">
        <is>
          <t>43047248920716</t>
        </is>
      </c>
      <c r="B1537" s="1" t="inlineStr">
        <is>
          <t>PULSERA KNOT ROSE GOLD</t>
        </is>
      </c>
      <c r="C1537" s="1" t="inlineStr">
        <is>
          <t>16cm</t>
        </is>
      </c>
      <c r="D1537" s="1" t="inlineStr">
        <is>
          <t>07/01/2026</t>
        </is>
      </c>
      <c r="E1537" s="1" t="n">
        <v>2026</v>
      </c>
      <c r="F1537" s="1" t="inlineStr">
        <is>
          <t>ENERO</t>
        </is>
      </c>
      <c r="G1537" s="1" t="inlineStr">
        <is>
          <t>CYNTHIA</t>
        </is>
      </c>
      <c r="H1537" s="1" t="inlineStr">
        <is>
          <t>CYNTHIA 07/01/2026</t>
        </is>
      </c>
      <c r="I1537" s="4" t="n">
        <v>1</v>
      </c>
      <c r="J1537" s="6" t="n">
        <v>16</v>
      </c>
      <c r="K1537" s="6" t="n">
        <v>425.3988428</v>
      </c>
      <c r="L1537" s="6">
        <f>I1537*K1537</f>
        <v/>
      </c>
      <c r="M1537" s="6">
        <f>K1537*4</f>
        <v/>
      </c>
      <c r="N1537" s="6" t="n">
        <v>1720</v>
      </c>
    </row>
    <row r="1538">
      <c r="A1538" s="1" t="inlineStr">
        <is>
          <t>43047248920716</t>
        </is>
      </c>
      <c r="B1538" s="1" t="inlineStr">
        <is>
          <t>PULSERA KNOT ROSE GOLD</t>
        </is>
      </c>
      <c r="C1538" s="1" t="inlineStr">
        <is>
          <t>16cm</t>
        </is>
      </c>
      <c r="D1538" s="1" t="inlineStr">
        <is>
          <t>19/03/2026</t>
        </is>
      </c>
      <c r="E1538" s="1" t="n">
        <v>2026</v>
      </c>
      <c r="F1538" s="1" t="inlineStr">
        <is>
          <t>MARZO</t>
        </is>
      </c>
      <c r="G1538" s="1" t="inlineStr">
        <is>
          <t>CYNTHIA</t>
        </is>
      </c>
      <c r="H1538" s="1" t="inlineStr">
        <is>
          <t>CYNTHIA 19/03/2026</t>
        </is>
      </c>
      <c r="I1538" s="4" t="n">
        <v>2</v>
      </c>
      <c r="J1538" s="6" t="n">
        <v>16</v>
      </c>
      <c r="K1538" s="6" t="n">
        <v>429.7186527</v>
      </c>
      <c r="L1538" s="6">
        <f>I1538*K1538</f>
        <v/>
      </c>
      <c r="M1538" s="6">
        <f>K1538*4</f>
        <v/>
      </c>
      <c r="N1538" s="6" t="n">
        <v>1720</v>
      </c>
    </row>
    <row r="1539">
      <c r="A1539" s="1" t="inlineStr">
        <is>
          <t>43071645614220</t>
        </is>
      </c>
      <c r="B1539" s="1" t="inlineStr">
        <is>
          <t>ARETES LV CON ZIRCONIA</t>
        </is>
      </c>
      <c r="C1539" s="1" t="inlineStr">
        <is>
          <t>Default Title</t>
        </is>
      </c>
      <c r="D1539" s="1" t="inlineStr">
        <is>
          <t>05/09/2025</t>
        </is>
      </c>
      <c r="E1539" s="1" t="n">
        <v>2025</v>
      </c>
      <c r="F1539" s="1" t="inlineStr">
        <is>
          <t>SEPTIEMBRE</t>
        </is>
      </c>
      <c r="G1539" s="1" t="inlineStr">
        <is>
          <t>CYNTHIA</t>
        </is>
      </c>
      <c r="H1539" s="1" t="inlineStr">
        <is>
          <t>CYNTHIA 05/09/2025</t>
        </is>
      </c>
      <c r="I1539" s="4" t="n">
        <v>5</v>
      </c>
      <c r="J1539" s="6" t="n">
        <v>8.800000000000001</v>
      </c>
      <c r="K1539" s="6" t="n">
        <v>221.576053</v>
      </c>
      <c r="L1539" s="6">
        <f>I1539*K1539</f>
        <v/>
      </c>
      <c r="M1539" s="6">
        <f>K1539*4</f>
        <v/>
      </c>
      <c r="N1539" s="6" t="n">
        <v>935</v>
      </c>
    </row>
    <row r="1540">
      <c r="A1540" s="1" t="inlineStr">
        <is>
          <t>43071645614220</t>
        </is>
      </c>
      <c r="B1540" s="1" t="inlineStr">
        <is>
          <t>ARETES LV CON ZIRCONIA</t>
        </is>
      </c>
      <c r="C1540" s="1" t="inlineStr">
        <is>
          <t>Default Title</t>
        </is>
      </c>
      <c r="D1540" s="1" t="inlineStr">
        <is>
          <t>07/01/2026</t>
        </is>
      </c>
      <c r="E1540" s="1" t="n">
        <v>2026</v>
      </c>
      <c r="F1540" s="1" t="inlineStr">
        <is>
          <t>ENERO</t>
        </is>
      </c>
      <c r="G1540" s="1" t="inlineStr">
        <is>
          <t>CYNTHIA</t>
        </is>
      </c>
      <c r="H1540" s="1" t="inlineStr">
        <is>
          <t>CYNTHIA 07/01/2026</t>
        </is>
      </c>
      <c r="I1540" s="4" t="n">
        <v>5</v>
      </c>
      <c r="J1540" s="6" t="n">
        <v>8.800000000000001</v>
      </c>
      <c r="K1540" s="6" t="n">
        <v>233.9693635</v>
      </c>
      <c r="L1540" s="6">
        <f>I1540*K1540</f>
        <v/>
      </c>
      <c r="M1540" s="6">
        <f>K1540*4</f>
        <v/>
      </c>
      <c r="N1540" s="6" t="n">
        <v>935</v>
      </c>
    </row>
    <row r="1541">
      <c r="A1541" s="1" t="inlineStr">
        <is>
          <t>43071645614220</t>
        </is>
      </c>
      <c r="B1541" s="1" t="inlineStr">
        <is>
          <t>ARETES LV CON ZIRCONIA</t>
        </is>
      </c>
      <c r="C1541" s="1" t="inlineStr">
        <is>
          <t>Default Title</t>
        </is>
      </c>
      <c r="D1541" s="1" t="inlineStr">
        <is>
          <t>31/05/2026</t>
        </is>
      </c>
      <c r="E1541" s="1" t="n">
        <v>2026</v>
      </c>
      <c r="F1541" s="1" t="inlineStr">
        <is>
          <t>MAYO</t>
        </is>
      </c>
      <c r="G1541" s="1" t="inlineStr">
        <is>
          <t>CYNTHIA</t>
        </is>
      </c>
      <c r="H1541" s="1" t="inlineStr">
        <is>
          <t>CYNTHIA 31/05/2026</t>
        </is>
      </c>
      <c r="I1541" s="4" t="n">
        <v>3</v>
      </c>
      <c r="J1541" s="6" t="n">
        <v>8.800000000000001</v>
      </c>
      <c r="K1541" s="6" t="n">
        <v>233.2091958</v>
      </c>
      <c r="L1541" s="6">
        <f>I1541*K1541</f>
        <v/>
      </c>
      <c r="M1541" s="6">
        <f>K1541*4</f>
        <v/>
      </c>
      <c r="N1541" s="6" t="n">
        <v>935</v>
      </c>
    </row>
    <row r="1542">
      <c r="A1542" s="1" t="inlineStr">
        <is>
          <t>43071661277324</t>
        </is>
      </c>
      <c r="B1542" s="1" t="inlineStr">
        <is>
          <t>ARETES LV ROUND CON ZIRCONIA</t>
        </is>
      </c>
      <c r="C1542" s="1" t="inlineStr">
        <is>
          <t>Default Title</t>
        </is>
      </c>
      <c r="D1542" s="1" t="inlineStr">
        <is>
          <t>25/10/2025</t>
        </is>
      </c>
      <c r="E1542" s="1" t="n">
        <v>2025</v>
      </c>
      <c r="F1542" s="1" t="inlineStr">
        <is>
          <t>OCTUBRE</t>
        </is>
      </c>
      <c r="G1542" s="1" t="inlineStr">
        <is>
          <t>CYNTHIA</t>
        </is>
      </c>
      <c r="H1542" s="1" t="inlineStr">
        <is>
          <t>CYNTHIA 25/10/2025</t>
        </is>
      </c>
      <c r="I1542" s="4" t="n">
        <v>6</v>
      </c>
      <c r="J1542" s="6" t="n">
        <v>8.800000000000001</v>
      </c>
      <c r="K1542" s="6" t="n">
        <v>230.5760476</v>
      </c>
      <c r="L1542" s="6">
        <f>I1542*K1542</f>
        <v/>
      </c>
      <c r="M1542" s="6">
        <f>K1542*4</f>
        <v/>
      </c>
      <c r="N1542" s="6" t="n">
        <v>750</v>
      </c>
    </row>
    <row r="1543">
      <c r="A1543" s="1" t="inlineStr">
        <is>
          <t>43071661277324</t>
        </is>
      </c>
      <c r="B1543" s="1" t="inlineStr">
        <is>
          <t>ARETES LV ROUND CON ZIRCONIA</t>
        </is>
      </c>
      <c r="C1543" s="1" t="inlineStr">
        <is>
          <t>Default Title</t>
        </is>
      </c>
      <c r="D1543" s="1" t="inlineStr">
        <is>
          <t>27/04/2026</t>
        </is>
      </c>
      <c r="E1543" s="1" t="n">
        <v>2026</v>
      </c>
      <c r="F1543" s="1" t="inlineStr">
        <is>
          <t>ABRIL</t>
        </is>
      </c>
      <c r="G1543" s="1" t="inlineStr">
        <is>
          <t>CYNTHIA</t>
        </is>
      </c>
      <c r="H1543" s="1" t="inlineStr">
        <is>
          <t>CYNTHIA 27/04/2026</t>
        </is>
      </c>
      <c r="I1543" s="4" t="n">
        <v>6</v>
      </c>
      <c r="J1543" s="6" t="n">
        <v>8.800000000000001</v>
      </c>
      <c r="K1543" s="6" t="n">
        <v>228.360815</v>
      </c>
      <c r="L1543" s="6">
        <f>I1543*K1543</f>
        <v/>
      </c>
      <c r="M1543" s="6">
        <f>K1543*4</f>
        <v/>
      </c>
      <c r="N1543" s="6" t="n">
        <v>915</v>
      </c>
    </row>
    <row r="1544">
      <c r="A1544" s="1" t="inlineStr">
        <is>
          <t>43071749587084</t>
        </is>
      </c>
      <c r="B1544" s="1" t="inlineStr">
        <is>
          <t>ARETES V CON PERLA</t>
        </is>
      </c>
      <c r="C1544" s="1" t="inlineStr">
        <is>
          <t>Regular</t>
        </is>
      </c>
      <c r="D1544" s="1" t="inlineStr">
        <is>
          <t>07/01/2026</t>
        </is>
      </c>
      <c r="E1544" s="1" t="n">
        <v>2026</v>
      </c>
      <c r="F1544" s="1" t="inlineStr">
        <is>
          <t>ENERO</t>
        </is>
      </c>
      <c r="G1544" s="1" t="inlineStr">
        <is>
          <t>CYNTHIA</t>
        </is>
      </c>
      <c r="H1544" s="1" t="inlineStr">
        <is>
          <t>CYNTHIA 07/01/2026</t>
        </is>
      </c>
      <c r="I1544" s="4" t="n">
        <v>4</v>
      </c>
      <c r="J1544" s="6" t="n">
        <v>8.800000000000001</v>
      </c>
      <c r="K1544" s="6" t="n">
        <v>233.9693635</v>
      </c>
      <c r="L1544" s="6">
        <f>I1544*K1544</f>
        <v/>
      </c>
      <c r="M1544" s="6">
        <f>K1544*4</f>
        <v/>
      </c>
      <c r="N1544" s="6" t="n">
        <v>915</v>
      </c>
    </row>
    <row r="1545">
      <c r="A1545" s="1" t="inlineStr">
        <is>
          <t>43071749587084</t>
        </is>
      </c>
      <c r="B1545" s="1" t="inlineStr">
        <is>
          <t>ARETES V CON PERLA</t>
        </is>
      </c>
      <c r="C1545" s="1" t="inlineStr">
        <is>
          <t>Regular</t>
        </is>
      </c>
      <c r="D1545" s="1" t="inlineStr">
        <is>
          <t>19/03/2026</t>
        </is>
      </c>
      <c r="E1545" s="1" t="n">
        <v>2026</v>
      </c>
      <c r="F1545" s="1" t="inlineStr">
        <is>
          <t>MARZO</t>
        </is>
      </c>
      <c r="G1545" s="1" t="inlineStr">
        <is>
          <t>CYNTHIA</t>
        </is>
      </c>
      <c r="H1545" s="1" t="inlineStr">
        <is>
          <t>CYNTHIA 19/03/2026</t>
        </is>
      </c>
      <c r="I1545" s="4" t="n">
        <v>2</v>
      </c>
      <c r="J1545" s="6" t="n">
        <v>8.800000000000001</v>
      </c>
      <c r="K1545" s="6" t="n">
        <v>236.345259</v>
      </c>
      <c r="L1545" s="6">
        <f>I1545*K1545</f>
        <v/>
      </c>
      <c r="M1545" s="6">
        <f>K1545*4</f>
        <v/>
      </c>
      <c r="N1545" s="6" t="n">
        <v>915</v>
      </c>
    </row>
    <row r="1546">
      <c r="A1546" s="1" t="inlineStr">
        <is>
          <t>43071749587084</t>
        </is>
      </c>
      <c r="B1546" s="1" t="inlineStr">
        <is>
          <t>ARETES V CON PERLA</t>
        </is>
      </c>
      <c r="C1546" s="1" t="inlineStr">
        <is>
          <t>Regular</t>
        </is>
      </c>
      <c r="D1546" s="1" t="inlineStr">
        <is>
          <t>27/04/2026</t>
        </is>
      </c>
      <c r="E1546" s="1" t="n">
        <v>2026</v>
      </c>
      <c r="F1546" s="1" t="inlineStr">
        <is>
          <t>ABRIL</t>
        </is>
      </c>
      <c r="G1546" s="1" t="inlineStr">
        <is>
          <t>CYNTHIA</t>
        </is>
      </c>
      <c r="H1546" s="1" t="inlineStr">
        <is>
          <t>CYNTHIA 27/04/2026</t>
        </is>
      </c>
      <c r="I1546" s="4" t="n">
        <v>3</v>
      </c>
      <c r="J1546" s="6" t="n">
        <v>8.800000000000001</v>
      </c>
      <c r="K1546" s="6" t="n">
        <v>228.360815</v>
      </c>
      <c r="L1546" s="6">
        <f>I1546*K1546</f>
        <v/>
      </c>
      <c r="M1546" s="6">
        <f>K1546*4</f>
        <v/>
      </c>
      <c r="N1546" s="6" t="n">
        <v>915</v>
      </c>
    </row>
    <row r="1547">
      <c r="A1547" s="1" t="inlineStr">
        <is>
          <t>43071764562060</t>
        </is>
      </c>
      <c r="B1547" s="1" t="inlineStr">
        <is>
          <t>ARRACADAS V GOLD</t>
        </is>
      </c>
      <c r="C1547" s="1" t="inlineStr">
        <is>
          <t>Regular</t>
        </is>
      </c>
      <c r="D1547" s="1" t="inlineStr">
        <is>
          <t>27/04/2026</t>
        </is>
      </c>
      <c r="E1547" s="1" t="n">
        <v>2026</v>
      </c>
      <c r="F1547" s="1" t="inlineStr">
        <is>
          <t>ABRIL</t>
        </is>
      </c>
      <c r="G1547" s="1" t="inlineStr">
        <is>
          <t>CYNTHIA</t>
        </is>
      </c>
      <c r="H1547" s="1" t="inlineStr">
        <is>
          <t>CYNTHIA 27/04/2026</t>
        </is>
      </c>
      <c r="I1547" s="4" t="n">
        <v>2</v>
      </c>
      <c r="J1547" s="6" t="n">
        <v>8.800000000000001</v>
      </c>
      <c r="K1547" s="6" t="n">
        <v>228.360815</v>
      </c>
      <c r="L1547" s="6">
        <f>I1547*K1547</f>
        <v/>
      </c>
      <c r="M1547" s="6">
        <f>K1547*4</f>
        <v/>
      </c>
      <c r="N1547" s="6" t="n">
        <v>915</v>
      </c>
    </row>
    <row r="1548">
      <c r="A1548" s="1" t="inlineStr">
        <is>
          <t>43071800901772</t>
        </is>
      </c>
      <c r="B1548" s="1" t="inlineStr">
        <is>
          <t>ARETES F GOLD BLACK</t>
        </is>
      </c>
      <c r="C1548" s="1" t="inlineStr">
        <is>
          <t>Regular</t>
        </is>
      </c>
      <c r="D1548" s="1" t="inlineStr">
        <is>
          <t>07/01/2026</t>
        </is>
      </c>
      <c r="E1548" s="1" t="n">
        <v>2026</v>
      </c>
      <c r="F1548" s="1" t="inlineStr">
        <is>
          <t>ENERO</t>
        </is>
      </c>
      <c r="G1548" s="1" t="inlineStr">
        <is>
          <t>CYNTHIA</t>
        </is>
      </c>
      <c r="H1548" s="1" t="inlineStr">
        <is>
          <t>CYNTHIA 07/01/2026</t>
        </is>
      </c>
      <c r="I1548" s="4" t="n">
        <v>3</v>
      </c>
      <c r="J1548" s="6" t="n">
        <v>8.800000000000001</v>
      </c>
      <c r="K1548" s="6" t="n">
        <v>233.9693635</v>
      </c>
      <c r="L1548" s="6">
        <f>I1548*K1548</f>
        <v/>
      </c>
      <c r="M1548" s="6">
        <f>K1548*4</f>
        <v/>
      </c>
      <c r="N1548" s="6" t="n">
        <v>879</v>
      </c>
    </row>
    <row r="1549">
      <c r="A1549" s="1" t="inlineStr">
        <is>
          <t>43071800901772</t>
        </is>
      </c>
      <c r="B1549" s="1" t="inlineStr">
        <is>
          <t>ARETES F GOLD BLACK</t>
        </is>
      </c>
      <c r="C1549" s="1" t="inlineStr">
        <is>
          <t>Regular</t>
        </is>
      </c>
      <c r="D1549" s="1" t="inlineStr">
        <is>
          <t>31/05/2026</t>
        </is>
      </c>
      <c r="E1549" s="1" t="n">
        <v>2026</v>
      </c>
      <c r="F1549" s="1" t="inlineStr">
        <is>
          <t>MAYO</t>
        </is>
      </c>
      <c r="G1549" s="1" t="inlineStr">
        <is>
          <t>CYNTHIA</t>
        </is>
      </c>
      <c r="H1549" s="1" t="inlineStr">
        <is>
          <t>CYNTHIA 31/05/2026</t>
        </is>
      </c>
      <c r="I1549" s="4" t="n">
        <v>5</v>
      </c>
      <c r="J1549" s="6" t="n">
        <v>8.800000000000001</v>
      </c>
      <c r="K1549" s="6" t="n">
        <v>233.2091958</v>
      </c>
      <c r="L1549" s="6">
        <f>I1549*K1549</f>
        <v/>
      </c>
      <c r="M1549" s="6">
        <f>K1549*4</f>
        <v/>
      </c>
      <c r="N1549" s="6" t="n">
        <v>879</v>
      </c>
    </row>
    <row r="1550">
      <c r="A1550" s="1" t="inlineStr">
        <is>
          <t>43071835930764</t>
        </is>
      </c>
      <c r="B1550" s="1" t="inlineStr">
        <is>
          <t>ANILLO P STARS</t>
        </is>
      </c>
      <c r="C1550" s="1" t="inlineStr">
        <is>
          <t>7</t>
        </is>
      </c>
      <c r="D1550" s="1" t="inlineStr">
        <is>
          <t>19/03/2026</t>
        </is>
      </c>
      <c r="E1550" s="1" t="n">
        <v>2026</v>
      </c>
      <c r="F1550" s="1" t="inlineStr">
        <is>
          <t>MARZO</t>
        </is>
      </c>
      <c r="G1550" s="1" t="inlineStr">
        <is>
          <t>CYNTHIA</t>
        </is>
      </c>
      <c r="H1550" s="1" t="inlineStr">
        <is>
          <t>CYNTHIA 19/03/2026</t>
        </is>
      </c>
      <c r="I1550" s="4" t="n">
        <v>1</v>
      </c>
      <c r="J1550" s="6" t="n">
        <v>1.7</v>
      </c>
      <c r="K1550" s="6" t="n">
        <v>45.65760685</v>
      </c>
      <c r="L1550" s="6">
        <f>I1550*K1550</f>
        <v/>
      </c>
      <c r="M1550" s="6">
        <f>K1550*4</f>
        <v/>
      </c>
      <c r="N1550" s="6" t="n">
        <v>250</v>
      </c>
    </row>
    <row r="1551">
      <c r="A1551" s="1" t="inlineStr">
        <is>
          <t>43071835963532</t>
        </is>
      </c>
      <c r="B1551" s="1" t="n"/>
      <c r="C1551" s="1" t="n">
        <v>8</v>
      </c>
      <c r="D1551" s="1" t="inlineStr">
        <is>
          <t>18/02/2026</t>
        </is>
      </c>
      <c r="E1551" s="1" t="n">
        <v>2026</v>
      </c>
      <c r="F1551" s="1" t="inlineStr">
        <is>
          <t>FEBRERO</t>
        </is>
      </c>
      <c r="G1551" s="1" t="inlineStr">
        <is>
          <t>CYNTHIA</t>
        </is>
      </c>
      <c r="H1551" s="1" t="inlineStr">
        <is>
          <t>CYNTHIA 18/02/2026</t>
        </is>
      </c>
      <c r="I1551" s="4" t="n">
        <v>2</v>
      </c>
      <c r="J1551" s="6" t="n">
        <v>1.7</v>
      </c>
      <c r="K1551" s="6" t="n">
        <v>45.97372084</v>
      </c>
      <c r="L1551" s="6">
        <f>I1551*K1551</f>
        <v/>
      </c>
      <c r="M1551" s="6">
        <f>K1551*4</f>
        <v/>
      </c>
      <c r="N1551" s="6" t="n">
        <v>250</v>
      </c>
    </row>
    <row r="1552">
      <c r="A1552" s="1" t="inlineStr">
        <is>
          <t>43071835963532</t>
        </is>
      </c>
      <c r="B1552" s="1" t="inlineStr">
        <is>
          <t>ANILLO P STARS</t>
        </is>
      </c>
      <c r="C1552" s="1" t="inlineStr">
        <is>
          <t>8</t>
        </is>
      </c>
      <c r="D1552" s="1" t="inlineStr">
        <is>
          <t>31/05/2026</t>
        </is>
      </c>
      <c r="E1552" s="1" t="n">
        <v>2026</v>
      </c>
      <c r="F1552" s="1" t="inlineStr">
        <is>
          <t>MAYO</t>
        </is>
      </c>
      <c r="G1552" s="1" t="inlineStr">
        <is>
          <t>CYNTHIA</t>
        </is>
      </c>
      <c r="H1552" s="1" t="inlineStr">
        <is>
          <t>CYNTHIA 31/05/2026</t>
        </is>
      </c>
      <c r="I1552" s="4" t="n">
        <v>2</v>
      </c>
      <c r="J1552" s="6" t="n">
        <v>1.7</v>
      </c>
      <c r="K1552" s="6" t="n">
        <v>45.05177646</v>
      </c>
      <c r="L1552" s="6">
        <f>I1552*K1552</f>
        <v/>
      </c>
      <c r="M1552" s="6">
        <f>K1552*4</f>
        <v/>
      </c>
      <c r="N1552" s="6" t="n">
        <v>250</v>
      </c>
    </row>
    <row r="1553">
      <c r="A1553" s="1" t="inlineStr">
        <is>
          <t>43078594756748</t>
        </is>
      </c>
      <c r="B1553" s="1" t="inlineStr">
        <is>
          <t>ANILLO P SHINNY FLOWER</t>
        </is>
      </c>
      <c r="C1553" s="1" t="n">
        <v>7</v>
      </c>
      <c r="D1553" s="1" t="inlineStr">
        <is>
          <t>25/10/2025</t>
        </is>
      </c>
      <c r="E1553" s="1" t="n">
        <v>2025</v>
      </c>
      <c r="F1553" s="1" t="inlineStr">
        <is>
          <t>OCTUBRE</t>
        </is>
      </c>
      <c r="G1553" s="1" t="inlineStr">
        <is>
          <t>CYNTHIA</t>
        </is>
      </c>
      <c r="H1553" s="1" t="inlineStr">
        <is>
          <t>CYNTHIA 25/10/2025</t>
        </is>
      </c>
      <c r="I1553" s="4" t="n">
        <v>2</v>
      </c>
      <c r="J1553" s="6" t="n">
        <v>2.6</v>
      </c>
      <c r="K1553" s="6" t="n">
        <v>68.12474133000001</v>
      </c>
      <c r="L1553" s="6">
        <f>I1553*K1553</f>
        <v/>
      </c>
      <c r="M1553" s="6">
        <f>K1553*4</f>
        <v/>
      </c>
      <c r="N1553" s="6" t="n">
        <v>520</v>
      </c>
    </row>
    <row r="1554">
      <c r="A1554" s="1" t="inlineStr">
        <is>
          <t>43078594756748</t>
        </is>
      </c>
      <c r="B1554" s="1" t="inlineStr">
        <is>
          <t>ANILLO P SHINNY FLOWER</t>
        </is>
      </c>
      <c r="C1554" s="1" t="n">
        <v>7</v>
      </c>
      <c r="D1554" s="1" t="inlineStr">
        <is>
          <t>07/01/2026</t>
        </is>
      </c>
      <c r="E1554" s="1" t="n">
        <v>2026</v>
      </c>
      <c r="F1554" s="1" t="inlineStr">
        <is>
          <t>ENERO</t>
        </is>
      </c>
      <c r="G1554" s="1" t="inlineStr">
        <is>
          <t>CYNTHIA</t>
        </is>
      </c>
      <c r="H1554" s="1" t="inlineStr">
        <is>
          <t>CYNTHIA 07/01/2026</t>
        </is>
      </c>
      <c r="I1554" s="4" t="n">
        <v>2</v>
      </c>
      <c r="J1554" s="6" t="n">
        <v>2.6</v>
      </c>
      <c r="K1554" s="6" t="n">
        <v>69.12731195000001</v>
      </c>
      <c r="L1554" s="6">
        <f>I1554*K1554</f>
        <v/>
      </c>
      <c r="M1554" s="6">
        <f>K1554*4</f>
        <v/>
      </c>
      <c r="N1554" s="6" t="n">
        <v>520</v>
      </c>
    </row>
    <row r="1555">
      <c r="A1555" s="1" t="inlineStr">
        <is>
          <t>43078594789516</t>
        </is>
      </c>
      <c r="B1555" s="1" t="n"/>
      <c r="C1555" s="1" t="n">
        <v>8</v>
      </c>
      <c r="D1555" s="1" t="inlineStr">
        <is>
          <t>18/02/2026</t>
        </is>
      </c>
      <c r="E1555" s="1" t="n">
        <v>2026</v>
      </c>
      <c r="F1555" s="1" t="inlineStr">
        <is>
          <t>FEBRERO</t>
        </is>
      </c>
      <c r="G1555" s="1" t="inlineStr">
        <is>
          <t>CYNTHIA</t>
        </is>
      </c>
      <c r="H1555" s="1" t="inlineStr">
        <is>
          <t>CYNTHIA 18/02/2026</t>
        </is>
      </c>
      <c r="I1555" s="4" t="n">
        <v>1</v>
      </c>
      <c r="J1555" s="6" t="n">
        <v>2.6</v>
      </c>
      <c r="K1555" s="6" t="n">
        <v>70.31274952</v>
      </c>
      <c r="L1555" s="6">
        <f>I1555*K1555</f>
        <v/>
      </c>
      <c r="M1555" s="6">
        <f>K1555*4</f>
        <v/>
      </c>
      <c r="N1555" s="6" t="n">
        <v>520</v>
      </c>
    </row>
    <row r="1556">
      <c r="A1556" s="1" t="inlineStr">
        <is>
          <t>43078594789516</t>
        </is>
      </c>
      <c r="B1556" s="1" t="inlineStr">
        <is>
          <t>ANILLO P SHINNY FLOWER</t>
        </is>
      </c>
      <c r="C1556" s="1" t="inlineStr">
        <is>
          <t>8</t>
        </is>
      </c>
      <c r="D1556" s="1" t="inlineStr">
        <is>
          <t>19/03/2026</t>
        </is>
      </c>
      <c r="E1556" s="1" t="n">
        <v>2026</v>
      </c>
      <c r="F1556" s="1" t="inlineStr">
        <is>
          <t>MARZO</t>
        </is>
      </c>
      <c r="G1556" s="1" t="inlineStr">
        <is>
          <t>CYNTHIA</t>
        </is>
      </c>
      <c r="H1556" s="1" t="inlineStr">
        <is>
          <t>CYNTHIA 19/03/2026</t>
        </is>
      </c>
      <c r="I1556" s="4" t="n">
        <v>2</v>
      </c>
      <c r="J1556" s="6" t="n">
        <v>2.6</v>
      </c>
      <c r="K1556" s="6" t="n">
        <v>69.82928106</v>
      </c>
      <c r="L1556" s="6">
        <f>I1556*K1556</f>
        <v/>
      </c>
      <c r="M1556" s="6">
        <f>K1556*4</f>
        <v/>
      </c>
      <c r="N1556" s="6" t="n">
        <v>520</v>
      </c>
    </row>
    <row r="1557">
      <c r="A1557" s="1" t="inlineStr">
        <is>
          <t>43124008910988</t>
        </is>
      </c>
      <c r="B1557" s="1" t="inlineStr">
        <is>
          <t>BOLSO C CLAUDE</t>
        </is>
      </c>
      <c r="C1557" s="1" t="inlineStr">
        <is>
          <t>13.5cm de alto x 22cm de largo x 5cm de ancho</t>
        </is>
      </c>
      <c r="D1557" s="1" t="inlineStr">
        <is>
          <t>21/10/2025</t>
        </is>
      </c>
      <c r="E1557" s="1" t="n">
        <v>2025</v>
      </c>
      <c r="F1557" s="1" t="inlineStr">
        <is>
          <t>OCTUBRE</t>
        </is>
      </c>
      <c r="G1557" s="1" t="inlineStr">
        <is>
          <t>DINA DU</t>
        </is>
      </c>
      <c r="H1557" s="1" t="inlineStr">
        <is>
          <t>DINA DU 21/10/2025</t>
        </is>
      </c>
      <c r="I1557" s="4" t="n">
        <v>2</v>
      </c>
      <c r="J1557" s="6" t="n">
        <v>45</v>
      </c>
      <c r="K1557" s="6" t="n">
        <v>1261.552923</v>
      </c>
      <c r="L1557" s="6">
        <f>I1557*K1557</f>
        <v/>
      </c>
      <c r="M1557" s="6">
        <f>K1557*4</f>
        <v/>
      </c>
      <c r="N1557" s="6" t="n">
        <v>3999</v>
      </c>
    </row>
    <row r="1558">
      <c r="A1558" s="1" t="inlineStr">
        <is>
          <t>43124008910988</t>
        </is>
      </c>
      <c r="B1558" s="1" t="inlineStr">
        <is>
          <t>BOLSO C CLAUDE</t>
        </is>
      </c>
      <c r="C1558" s="1" t="inlineStr">
        <is>
          <t>13.5cm de alto x 22cm de largo x 5cm de ancho</t>
        </is>
      </c>
      <c r="D1558" s="1" t="inlineStr">
        <is>
          <t>06/02/2026</t>
        </is>
      </c>
      <c r="E1558" s="1" t="n">
        <v>2026</v>
      </c>
      <c r="F1558" s="1" t="inlineStr">
        <is>
          <t>FEBRERO</t>
        </is>
      </c>
      <c r="G1558" s="1" t="inlineStr">
        <is>
          <t>DINA DU</t>
        </is>
      </c>
      <c r="H1558" s="1" t="inlineStr">
        <is>
          <t>DINA DU 06/02/2026</t>
        </is>
      </c>
      <c r="I1558" s="4" t="n">
        <v>1</v>
      </c>
      <c r="J1558" s="6" t="n">
        <v>45</v>
      </c>
      <c r="K1558" s="6" t="n">
        <v>1202.462819</v>
      </c>
      <c r="L1558" s="6">
        <f>I1558*K1558</f>
        <v/>
      </c>
      <c r="M1558" s="6">
        <f>K1558*4</f>
        <v/>
      </c>
      <c r="N1558" s="6" t="n">
        <v>4810</v>
      </c>
    </row>
    <row r="1559">
      <c r="A1559" s="1" t="inlineStr">
        <is>
          <t>43124048199820</t>
        </is>
      </c>
      <c r="B1559" s="1" t="inlineStr">
        <is>
          <t>BOLSO LADY D JOY WHITE</t>
        </is>
      </c>
      <c r="C1559" s="1" t="inlineStr">
        <is>
          <t>10.5cm de alto x 16.4cm de largo x 5.5cm de ancho</t>
        </is>
      </c>
      <c r="D1559" s="1" t="inlineStr">
        <is>
          <t>02/03/2026</t>
        </is>
      </c>
      <c r="E1559" s="1" t="n">
        <v>2026</v>
      </c>
      <c r="F1559" s="1" t="inlineStr">
        <is>
          <t>MARZO</t>
        </is>
      </c>
      <c r="G1559" s="1" t="inlineStr">
        <is>
          <t>ZOEY</t>
        </is>
      </c>
      <c r="H1559" s="1" t="inlineStr">
        <is>
          <t>ZOEY 02/03/2026</t>
        </is>
      </c>
      <c r="I1559" s="4" t="n">
        <v>2</v>
      </c>
      <c r="J1559" s="6" t="n">
        <v>56</v>
      </c>
      <c r="K1559" s="6" t="n">
        <v>1471.51064</v>
      </c>
      <c r="L1559" s="6">
        <f>I1559*K1559</f>
        <v/>
      </c>
      <c r="M1559" s="6">
        <f>K1559*4</f>
        <v/>
      </c>
      <c r="N1559" s="6" t="n">
        <v>5150.29</v>
      </c>
    </row>
    <row r="1560">
      <c r="A1560" s="1" t="inlineStr">
        <is>
          <t>43124053803148</t>
        </is>
      </c>
      <c r="B1560" s="1" t="inlineStr">
        <is>
          <t>BOLSO LADY D JOY BLACK</t>
        </is>
      </c>
      <c r="C1560" s="1" t="inlineStr">
        <is>
          <t>25.5cm de largo x 14cm de alto x 6.8cm de ancho</t>
        </is>
      </c>
      <c r="D1560" s="1" t="inlineStr">
        <is>
          <t>25/10/2025</t>
        </is>
      </c>
      <c r="E1560" s="1" t="n">
        <v>2025</v>
      </c>
      <c r="F1560" s="1" t="inlineStr">
        <is>
          <t>OCTUBRE</t>
        </is>
      </c>
      <c r="G1560" s="1" t="inlineStr">
        <is>
          <t>ZOEY</t>
        </is>
      </c>
      <c r="H1560" s="1" t="inlineStr">
        <is>
          <t>ZOEY 25/10/2025</t>
        </is>
      </c>
      <c r="I1560" s="4" t="n">
        <v>2</v>
      </c>
      <c r="J1560" s="6" t="n">
        <v>56</v>
      </c>
      <c r="K1560" s="6" t="n">
        <v>1388.806121</v>
      </c>
      <c r="L1560" s="6">
        <f>I1560*K1560</f>
        <v/>
      </c>
      <c r="M1560" s="6">
        <f>K1560*4</f>
        <v/>
      </c>
      <c r="N1560" s="6" t="n">
        <v>4900</v>
      </c>
    </row>
    <row r="1561">
      <c r="A1561" s="1" t="inlineStr">
        <is>
          <t>43124053803148</t>
        </is>
      </c>
      <c r="B1561" s="1" t="inlineStr">
        <is>
          <t>BOLSO LADY D JOY BLACK</t>
        </is>
      </c>
      <c r="C1561" s="1" t="inlineStr">
        <is>
          <t>25.5cm de largo x 14cm de alto x 6.8cm de ancho</t>
        </is>
      </c>
      <c r="D1561" s="1" t="inlineStr">
        <is>
          <t>20/01/2026</t>
        </is>
      </c>
      <c r="E1561" s="1" t="n">
        <v>2026</v>
      </c>
      <c r="F1561" s="1" t="inlineStr">
        <is>
          <t>ENERO</t>
        </is>
      </c>
      <c r="G1561" s="1" t="inlineStr">
        <is>
          <t>ZOEY</t>
        </is>
      </c>
      <c r="H1561" s="1" t="inlineStr">
        <is>
          <t>ZOEY 20/01/2026</t>
        </is>
      </c>
      <c r="I1561" s="4" t="n">
        <v>4</v>
      </c>
      <c r="J1561" s="6" t="n">
        <v>56</v>
      </c>
      <c r="K1561" s="6" t="n">
        <v>1457.769565</v>
      </c>
      <c r="L1561" s="6">
        <f>I1561*K1561</f>
        <v/>
      </c>
      <c r="M1561" s="6">
        <f>K1561*4</f>
        <v/>
      </c>
      <c r="N1561" s="6" t="n">
        <v>5219</v>
      </c>
    </row>
    <row r="1562">
      <c r="A1562" s="1" t="inlineStr">
        <is>
          <t>43124053803148</t>
        </is>
      </c>
      <c r="B1562" s="1" t="inlineStr">
        <is>
          <t>BOLSO LADY D JOY BLACK</t>
        </is>
      </c>
      <c r="C1562" s="1" t="inlineStr">
        <is>
          <t>25.5cm de largo x 14cm de alto x 6.8cm de ancho</t>
        </is>
      </c>
      <c r="D1562" s="1" t="inlineStr">
        <is>
          <t>20/04/2026</t>
        </is>
      </c>
      <c r="E1562" s="1" t="n">
        <v>2026</v>
      </c>
      <c r="F1562" s="1" t="inlineStr">
        <is>
          <t>ABRIL</t>
        </is>
      </c>
      <c r="G1562" s="1" t="inlineStr">
        <is>
          <t>ZOEY</t>
        </is>
      </c>
      <c r="H1562" s="1" t="inlineStr">
        <is>
          <t>ZOEY 20/04/2026</t>
        </is>
      </c>
      <c r="I1562" s="4" t="n">
        <v>2</v>
      </c>
      <c r="J1562" s="6" t="n">
        <v>56</v>
      </c>
      <c r="K1562" s="6" t="n">
        <v>1434.091587</v>
      </c>
      <c r="L1562" s="6">
        <f>I1562*K1562</f>
        <v/>
      </c>
      <c r="M1562" s="6">
        <f>K1562*4</f>
        <v/>
      </c>
      <c r="N1562" s="6" t="n">
        <v>5219</v>
      </c>
    </row>
    <row r="1563">
      <c r="A1563" s="1" t="inlineStr">
        <is>
          <t>43267331015245</t>
        </is>
      </c>
      <c r="B1563" s="1" t="inlineStr">
        <is>
          <t>PULSERA KNOT GOLD</t>
        </is>
      </c>
      <c r="C1563" s="1" t="inlineStr">
        <is>
          <t>16CM</t>
        </is>
      </c>
      <c r="D1563" s="1" t="inlineStr">
        <is>
          <t>27/04/2026</t>
        </is>
      </c>
      <c r="E1563" s="1" t="n">
        <v>2026</v>
      </c>
      <c r="F1563" s="1" t="inlineStr">
        <is>
          <t>ABRIL</t>
        </is>
      </c>
      <c r="G1563" s="1" t="inlineStr">
        <is>
          <t>CYNTHIA</t>
        </is>
      </c>
      <c r="H1563" s="1" t="inlineStr">
        <is>
          <t>CYNTHIA 27/04/2026</t>
        </is>
      </c>
      <c r="I1563" s="4" t="n">
        <v>3</v>
      </c>
      <c r="J1563" s="6" t="n">
        <v>16</v>
      </c>
      <c r="K1563" s="6" t="n">
        <v>415.2014819</v>
      </c>
      <c r="L1563" s="6">
        <f>I1563*K1563</f>
        <v/>
      </c>
      <c r="M1563" s="6">
        <f>K1563*4</f>
        <v/>
      </c>
      <c r="N1563" s="6" t="n">
        <v>1699</v>
      </c>
    </row>
    <row r="1564">
      <c r="A1564" s="1" t="inlineStr">
        <is>
          <t>43409491041677</t>
        </is>
      </c>
      <c r="B1564" s="1" t="inlineStr">
        <is>
          <t>BOLSO YSL CON CADENA NUDE</t>
        </is>
      </c>
      <c r="C1564" s="1" t="inlineStr">
        <is>
          <t>REGULAR</t>
        </is>
      </c>
      <c r="D1564" s="1" t="inlineStr">
        <is>
          <t>27/04/2026</t>
        </is>
      </c>
      <c r="E1564" s="1" t="n">
        <v>2026</v>
      </c>
      <c r="F1564" s="1" t="inlineStr">
        <is>
          <t>ABRIL</t>
        </is>
      </c>
      <c r="G1564" s="1" t="inlineStr">
        <is>
          <t>DINA DU</t>
        </is>
      </c>
      <c r="H1564" s="1" t="inlineStr">
        <is>
          <t>DINA DU 27/04/2026</t>
        </is>
      </c>
      <c r="I1564" s="4" t="n">
        <v>2</v>
      </c>
      <c r="J1564" s="6" t="n">
        <v>46</v>
      </c>
      <c r="K1564" s="6" t="n">
        <v>1244.038386</v>
      </c>
      <c r="L1564" s="6">
        <f>I1564*K1564</f>
        <v/>
      </c>
      <c r="M1564" s="6">
        <f>K1564*4</f>
        <v/>
      </c>
      <c r="N1564" s="6" t="n">
        <v>4354.13</v>
      </c>
    </row>
    <row r="1565">
      <c r="A1565" s="1" t="inlineStr">
        <is>
          <t>43728071088236</t>
        </is>
      </c>
      <c r="B1565" s="1" t="inlineStr">
        <is>
          <t>ARRACADAS BV SERPENTI</t>
        </is>
      </c>
      <c r="C1565" s="1" t="inlineStr">
        <is>
          <t>Default Title</t>
        </is>
      </c>
      <c r="D1565" s="1" t="inlineStr">
        <is>
          <t>07/01/2026</t>
        </is>
      </c>
      <c r="E1565" s="1" t="n">
        <v>2026</v>
      </c>
      <c r="F1565" s="1" t="inlineStr">
        <is>
          <t>ENERO</t>
        </is>
      </c>
      <c r="G1565" s="1" t="inlineStr">
        <is>
          <t>CYNTHIA</t>
        </is>
      </c>
      <c r="H1565" s="1" t="inlineStr">
        <is>
          <t>CYNTHIA 07/01/2026</t>
        </is>
      </c>
      <c r="I1565" s="4" t="n">
        <v>4</v>
      </c>
      <c r="J1565" s="6" t="n">
        <v>8.800000000000001</v>
      </c>
      <c r="K1565" s="6" t="n">
        <v>233.9693635</v>
      </c>
      <c r="L1565" s="6">
        <f>I1565*K1565</f>
        <v/>
      </c>
      <c r="M1565" s="6">
        <f>K1565*4</f>
        <v/>
      </c>
      <c r="N1565" s="6" t="n">
        <v>915</v>
      </c>
    </row>
    <row r="1566">
      <c r="A1566" s="1" t="inlineStr">
        <is>
          <t>43728071088236</t>
        </is>
      </c>
      <c r="B1566" s="1" t="inlineStr">
        <is>
          <t>ARRACADAS BV SERPENTI</t>
        </is>
      </c>
      <c r="C1566" s="1" t="inlineStr">
        <is>
          <t>Default Title</t>
        </is>
      </c>
      <c r="D1566" s="1" t="inlineStr">
        <is>
          <t>19/03/2026</t>
        </is>
      </c>
      <c r="E1566" s="1" t="n">
        <v>2026</v>
      </c>
      <c r="F1566" s="1" t="inlineStr">
        <is>
          <t>MARZO</t>
        </is>
      </c>
      <c r="G1566" s="1" t="inlineStr">
        <is>
          <t>CYNTHIA</t>
        </is>
      </c>
      <c r="H1566" s="1" t="inlineStr">
        <is>
          <t>CYNTHIA 19/03/2026</t>
        </is>
      </c>
      <c r="I1566" s="4" t="n">
        <v>2</v>
      </c>
      <c r="J1566" s="6" t="n">
        <v>8.800000000000001</v>
      </c>
      <c r="K1566" s="6" t="n">
        <v>236.345259</v>
      </c>
      <c r="L1566" s="6">
        <f>I1566*K1566</f>
        <v/>
      </c>
      <c r="M1566" s="6">
        <f>K1566*4</f>
        <v/>
      </c>
      <c r="N1566" s="6" t="n">
        <v>915</v>
      </c>
    </row>
    <row r="1567">
      <c r="A1567" s="1" t="inlineStr">
        <is>
          <t>43728071088236</t>
        </is>
      </c>
      <c r="B1567" s="1" t="inlineStr">
        <is>
          <t>ARRACADAS BV SERPENTI</t>
        </is>
      </c>
      <c r="C1567" s="1" t="inlineStr">
        <is>
          <t>Default Title</t>
        </is>
      </c>
      <c r="D1567" s="1" t="inlineStr">
        <is>
          <t>27/04/2026</t>
        </is>
      </c>
      <c r="E1567" s="1" t="n">
        <v>2026</v>
      </c>
      <c r="F1567" s="1" t="inlineStr">
        <is>
          <t>ABRIL</t>
        </is>
      </c>
      <c r="G1567" s="1" t="inlineStr">
        <is>
          <t>CYNTHIA</t>
        </is>
      </c>
      <c r="H1567" s="1" t="inlineStr">
        <is>
          <t>CYNTHIA 27/04/2026</t>
        </is>
      </c>
      <c r="I1567" s="4" t="n">
        <v>4</v>
      </c>
      <c r="J1567" s="6" t="n">
        <v>8.800000000000001</v>
      </c>
      <c r="K1567" s="6" t="n">
        <v>228.360815</v>
      </c>
      <c r="L1567" s="6">
        <f>I1567*K1567</f>
        <v/>
      </c>
      <c r="M1567" s="6">
        <f>K1567*4</f>
        <v/>
      </c>
      <c r="N1567" s="6" t="n">
        <v>915</v>
      </c>
    </row>
    <row r="1568">
      <c r="A1568" s="1" t="inlineStr">
        <is>
          <t>43728071182284</t>
        </is>
      </c>
      <c r="B1568" s="1" t="inlineStr">
        <is>
          <t>ANILLO SERPENTI LISO SILVER</t>
        </is>
      </c>
      <c r="C1568" s="1" t="inlineStr">
        <is>
          <t>AJUSTABLE</t>
        </is>
      </c>
      <c r="D1568" s="1" t="inlineStr">
        <is>
          <t>19/03/2026</t>
        </is>
      </c>
      <c r="E1568" s="1" t="n">
        <v>2026</v>
      </c>
      <c r="F1568" s="1" t="inlineStr">
        <is>
          <t>MARZO</t>
        </is>
      </c>
      <c r="G1568" s="1" t="inlineStr">
        <is>
          <t>CYNTHIA</t>
        </is>
      </c>
      <c r="H1568" s="1" t="inlineStr">
        <is>
          <t>CYNTHIA 19/03/2026</t>
        </is>
      </c>
      <c r="I1568" s="4" t="n">
        <v>3</v>
      </c>
      <c r="J1568" s="6" t="n">
        <v>6.8</v>
      </c>
      <c r="K1568" s="6" t="n">
        <v>182.6304274</v>
      </c>
      <c r="L1568" s="6">
        <f>I1568*K1568</f>
        <v/>
      </c>
      <c r="M1568" s="6">
        <f>K1568*4</f>
        <v/>
      </c>
      <c r="N1568" s="6" t="n">
        <v>729</v>
      </c>
    </row>
    <row r="1569">
      <c r="A1569" s="1" t="inlineStr">
        <is>
          <t>43728071182284</t>
        </is>
      </c>
      <c r="B1569" s="1" t="inlineStr">
        <is>
          <t>ANILLO SERPENTI LISO SILVER</t>
        </is>
      </c>
      <c r="C1569" s="1" t="inlineStr">
        <is>
          <t>AJUSTABLE</t>
        </is>
      </c>
      <c r="D1569" s="1" t="inlineStr">
        <is>
          <t>27/04/2026</t>
        </is>
      </c>
      <c r="E1569" s="1" t="n">
        <v>2026</v>
      </c>
      <c r="F1569" s="1" t="inlineStr">
        <is>
          <t>ABRIL</t>
        </is>
      </c>
      <c r="G1569" s="1" t="inlineStr">
        <is>
          <t>CYNTHIA</t>
        </is>
      </c>
      <c r="H1569" s="1" t="inlineStr">
        <is>
          <t>CYNTHIA 27/04/2026</t>
        </is>
      </c>
      <c r="I1569" s="4" t="n">
        <v>3</v>
      </c>
      <c r="J1569" s="6" t="n">
        <v>6.8</v>
      </c>
      <c r="K1569" s="6" t="n">
        <v>176.4606298</v>
      </c>
      <c r="L1569" s="6">
        <f>I1569*K1569</f>
        <v/>
      </c>
      <c r="M1569" s="6">
        <f>K1569*4</f>
        <v/>
      </c>
      <c r="N1569" s="6" t="n">
        <v>729</v>
      </c>
    </row>
    <row r="1570">
      <c r="A1570" s="1" t="inlineStr">
        <is>
          <t>43728071182284</t>
        </is>
      </c>
      <c r="B1570" s="1" t="inlineStr">
        <is>
          <t>ANILLO SERPENTI LISO SILVER</t>
        </is>
      </c>
      <c r="C1570" s="1" t="inlineStr">
        <is>
          <t>AJUSTABLE</t>
        </is>
      </c>
      <c r="D1570" s="1" t="inlineStr">
        <is>
          <t>31/05/2026</t>
        </is>
      </c>
      <c r="E1570" s="1" t="n">
        <v>2026</v>
      </c>
      <c r="F1570" s="1" t="inlineStr">
        <is>
          <t>MAYO</t>
        </is>
      </c>
      <c r="G1570" s="1" t="inlineStr">
        <is>
          <t>CYNTHIA</t>
        </is>
      </c>
      <c r="H1570" s="1" t="inlineStr">
        <is>
          <t>CYNTHIA 31/05/2026</t>
        </is>
      </c>
      <c r="I1570" s="4" t="n">
        <v>3</v>
      </c>
      <c r="J1570" s="6" t="n">
        <v>6.8</v>
      </c>
      <c r="K1570" s="6" t="n">
        <v>180.2071058</v>
      </c>
      <c r="L1570" s="6">
        <f>I1570*K1570</f>
        <v/>
      </c>
      <c r="M1570" s="6">
        <f>K1570*4</f>
        <v/>
      </c>
      <c r="N1570" s="6" t="n">
        <v>729</v>
      </c>
    </row>
    <row r="1571">
      <c r="A1571" s="1" t="inlineStr">
        <is>
          <t>43728071296588</t>
        </is>
      </c>
      <c r="B1571" s="1" t="inlineStr">
        <is>
          <t>ANILLO SERPENTI LISO GOLD</t>
        </is>
      </c>
      <c r="C1571" s="1" t="inlineStr">
        <is>
          <t>AJUSTABLE</t>
        </is>
      </c>
      <c r="D1571" s="1" t="inlineStr">
        <is>
          <t>25/10/2025</t>
        </is>
      </c>
      <c r="E1571" s="1" t="n">
        <v>2025</v>
      </c>
      <c r="F1571" s="1" t="inlineStr">
        <is>
          <t>OCTUBRE</t>
        </is>
      </c>
      <c r="G1571" s="1" t="inlineStr">
        <is>
          <t>CYNTHIA</t>
        </is>
      </c>
      <c r="H1571" s="1" t="inlineStr">
        <is>
          <t>CYNTHIA 25/10/2025</t>
        </is>
      </c>
      <c r="I1571" s="4" t="n">
        <v>3</v>
      </c>
      <c r="J1571" s="6" t="n">
        <v>6.9</v>
      </c>
      <c r="K1571" s="6" t="n">
        <v>180.7925828</v>
      </c>
      <c r="L1571" s="6">
        <f>I1571*K1571</f>
        <v/>
      </c>
      <c r="M1571" s="6">
        <f>K1571*4</f>
        <v/>
      </c>
      <c r="N1571" s="6" t="n">
        <v>580</v>
      </c>
    </row>
    <row r="1572">
      <c r="A1572" s="1" t="inlineStr">
        <is>
          <t>43728071296588</t>
        </is>
      </c>
      <c r="B1572" s="1" t="inlineStr">
        <is>
          <t>ANILLO SERPENTI LISO GOLD</t>
        </is>
      </c>
      <c r="C1572" s="1" t="inlineStr">
        <is>
          <t>AJUSTABLE</t>
        </is>
      </c>
      <c r="D1572" s="1" t="inlineStr">
        <is>
          <t>27/04/2026</t>
        </is>
      </c>
      <c r="E1572" s="1" t="n">
        <v>2026</v>
      </c>
      <c r="F1572" s="1" t="inlineStr">
        <is>
          <t>ABRIL</t>
        </is>
      </c>
      <c r="G1572" s="1" t="inlineStr">
        <is>
          <t>CYNTHIA</t>
        </is>
      </c>
      <c r="H1572" s="1" t="inlineStr">
        <is>
          <t>CYNTHIA 27/04/2026</t>
        </is>
      </c>
      <c r="I1572" s="4" t="n">
        <v>3</v>
      </c>
      <c r="J1572" s="6" t="n">
        <v>6.8</v>
      </c>
      <c r="K1572" s="6" t="n">
        <v>176.4606298</v>
      </c>
      <c r="L1572" s="6">
        <f>I1572*K1572</f>
        <v/>
      </c>
      <c r="M1572" s="6">
        <f>K1572*4</f>
        <v/>
      </c>
      <c r="N1572" s="6" t="n">
        <v>709</v>
      </c>
    </row>
    <row r="1573">
      <c r="A1573" s="1" t="inlineStr">
        <is>
          <t>43728071397708</t>
        </is>
      </c>
      <c r="B1573" s="1" t="inlineStr">
        <is>
          <t>TARJETERO YSL RED</t>
        </is>
      </c>
      <c r="C1573" s="1" t="inlineStr">
        <is>
          <t>10.5cmx7.5cm</t>
        </is>
      </c>
      <c r="D1573" s="1" t="inlineStr">
        <is>
          <t>25/10/2025</t>
        </is>
      </c>
      <c r="E1573" s="1" t="n">
        <v>2025</v>
      </c>
      <c r="F1573" s="1" t="inlineStr">
        <is>
          <t>OCTUBRE</t>
        </is>
      </c>
      <c r="G1573" s="1" t="inlineStr">
        <is>
          <t>CYNTHIA</t>
        </is>
      </c>
      <c r="H1573" s="1" t="inlineStr">
        <is>
          <t>CYNTHIA 25/10/2025</t>
        </is>
      </c>
      <c r="I1573" s="4" t="n">
        <v>3</v>
      </c>
      <c r="J1573" s="6" t="n">
        <v>20</v>
      </c>
      <c r="K1573" s="6" t="n">
        <v>524.0364718</v>
      </c>
      <c r="L1573" s="6">
        <f>I1573*K1573</f>
        <v/>
      </c>
      <c r="M1573" s="6">
        <f>K1573*4</f>
        <v/>
      </c>
      <c r="N1573" s="6" t="n">
        <v>1669</v>
      </c>
    </row>
    <row r="1574">
      <c r="A1574" s="1" t="inlineStr">
        <is>
          <t>43728071397708</t>
        </is>
      </c>
      <c r="B1574" s="1" t="inlineStr">
        <is>
          <t>TARJETERO YSL RED</t>
        </is>
      </c>
      <c r="C1574" s="1" t="inlineStr">
        <is>
          <t>10.5cmx7.5cm</t>
        </is>
      </c>
      <c r="D1574" s="1" t="inlineStr">
        <is>
          <t>07/01/2026</t>
        </is>
      </c>
      <c r="E1574" s="1" t="n">
        <v>2026</v>
      </c>
      <c r="F1574" s="1" t="inlineStr">
        <is>
          <t>ENERO</t>
        </is>
      </c>
      <c r="G1574" s="1" t="inlineStr">
        <is>
          <t>CYNTHIA</t>
        </is>
      </c>
      <c r="H1574" s="1" t="inlineStr">
        <is>
          <t>CYNTHIA 07/01/2026</t>
        </is>
      </c>
      <c r="I1574" s="4" t="n">
        <v>4</v>
      </c>
      <c r="J1574" s="6" t="n">
        <v>20</v>
      </c>
      <c r="K1574" s="6" t="n">
        <v>531.7485535</v>
      </c>
      <c r="L1574" s="6">
        <f>I1574*K1574</f>
        <v/>
      </c>
      <c r="M1574" s="6">
        <f>K1574*4</f>
        <v/>
      </c>
      <c r="N1574" s="6" t="n">
        <v>2079</v>
      </c>
    </row>
    <row r="1575">
      <c r="A1575" s="1" t="inlineStr">
        <is>
          <t>43728071397708</t>
        </is>
      </c>
      <c r="B1575" s="1" t="inlineStr">
        <is>
          <t>TARJETERO YSL RED</t>
        </is>
      </c>
      <c r="C1575" s="1" t="inlineStr">
        <is>
          <t>10.5cmx7.5cm</t>
        </is>
      </c>
      <c r="D1575" s="1" t="inlineStr">
        <is>
          <t>27/04/2026</t>
        </is>
      </c>
      <c r="E1575" s="1" t="n">
        <v>2026</v>
      </c>
      <c r="F1575" s="1" t="inlineStr">
        <is>
          <t>ABRIL</t>
        </is>
      </c>
      <c r="G1575" s="1" t="inlineStr">
        <is>
          <t>CYNTHIA</t>
        </is>
      </c>
      <c r="H1575" s="1" t="inlineStr">
        <is>
          <t>CYNTHIA 27/04/2026</t>
        </is>
      </c>
      <c r="I1575" s="4" t="n">
        <v>3</v>
      </c>
      <c r="J1575" s="6" t="n">
        <v>20</v>
      </c>
      <c r="K1575" s="6" t="n">
        <v>519.0018523</v>
      </c>
      <c r="L1575" s="6">
        <f>I1575*K1575</f>
        <v/>
      </c>
      <c r="M1575" s="6">
        <f>K1575*4</f>
        <v/>
      </c>
      <c r="N1575" s="6" t="n">
        <v>2079</v>
      </c>
    </row>
    <row r="1576">
      <c r="A1576" s="1" t="inlineStr">
        <is>
          <t>43728071530988</t>
        </is>
      </c>
      <c r="B1576" s="1" t="inlineStr">
        <is>
          <t>BOLSO YSL CHAROL BLACK</t>
        </is>
      </c>
      <c r="C1576" s="1" t="inlineStr">
        <is>
          <t>24cmx15cm</t>
        </is>
      </c>
      <c r="D1576" s="1" t="inlineStr">
        <is>
          <t>25/10/2025</t>
        </is>
      </c>
      <c r="E1576" s="1" t="n">
        <v>2025</v>
      </c>
      <c r="F1576" s="1" t="inlineStr">
        <is>
          <t>OCTUBRE</t>
        </is>
      </c>
      <c r="G1576" s="1" t="inlineStr">
        <is>
          <t>CYNTHIA</t>
        </is>
      </c>
      <c r="H1576" s="1" t="inlineStr">
        <is>
          <t>CYNTHIA 25/10/2025</t>
        </is>
      </c>
      <c r="I1576" s="4" t="n">
        <v>3</v>
      </c>
      <c r="J1576" s="6" t="n">
        <v>54</v>
      </c>
      <c r="K1576" s="6" t="n">
        <v>1414.898474</v>
      </c>
      <c r="L1576" s="6">
        <f>I1576*K1576</f>
        <v/>
      </c>
      <c r="M1576" s="6">
        <f>K1576*4</f>
        <v/>
      </c>
      <c r="N1576" s="6" t="n">
        <v>4599</v>
      </c>
    </row>
    <row r="1577">
      <c r="A1577" s="1" t="inlineStr">
        <is>
          <t>43728071530988</t>
        </is>
      </c>
      <c r="B1577" s="1" t="inlineStr">
        <is>
          <t>BOLSO YSL CHAROL BLACK</t>
        </is>
      </c>
      <c r="C1577" s="1" t="inlineStr">
        <is>
          <t>24cmx15cm</t>
        </is>
      </c>
      <c r="D1577" s="1" t="inlineStr">
        <is>
          <t>31/05/2026</t>
        </is>
      </c>
      <c r="E1577" s="1" t="n">
        <v>2026</v>
      </c>
      <c r="F1577" s="1" t="inlineStr">
        <is>
          <t>MAYO</t>
        </is>
      </c>
      <c r="G1577" s="1" t="inlineStr">
        <is>
          <t>CYNTHIA</t>
        </is>
      </c>
      <c r="H1577" s="1" t="inlineStr">
        <is>
          <t>CYNTHIA 31/05/2026</t>
        </is>
      </c>
      <c r="I1577" s="4" t="n">
        <v>1</v>
      </c>
      <c r="J1577" s="6" t="n">
        <v>55</v>
      </c>
      <c r="K1577" s="6" t="n">
        <v>1457.557474</v>
      </c>
      <c r="L1577" s="6">
        <f>I1577*K1577</f>
        <v/>
      </c>
      <c r="M1577" s="6">
        <f>K1577*4</f>
        <v/>
      </c>
      <c r="N1577" s="6" t="n">
        <v>5850</v>
      </c>
    </row>
    <row r="1578">
      <c r="A1578" s="1" t="inlineStr">
        <is>
          <t>43728071667212</t>
        </is>
      </c>
      <c r="B1578" s="1" t="inlineStr">
        <is>
          <t>CINTO H KELLY BLACK</t>
        </is>
      </c>
      <c r="C1578" s="1" t="inlineStr">
        <is>
          <t>AJUSTABLE</t>
        </is>
      </c>
      <c r="D1578" s="1" t="inlineStr">
        <is>
          <t>07/01/2026</t>
        </is>
      </c>
      <c r="E1578" s="1" t="n">
        <v>2026</v>
      </c>
      <c r="F1578" s="1" t="inlineStr">
        <is>
          <t>ENERO</t>
        </is>
      </c>
      <c r="G1578" s="1" t="inlineStr">
        <is>
          <t>CYNTHIA</t>
        </is>
      </c>
      <c r="H1578" s="1" t="inlineStr">
        <is>
          <t>CYNTHIA 07/01/2026</t>
        </is>
      </c>
      <c r="I1578" s="4" t="n">
        <v>10</v>
      </c>
      <c r="J1578" s="6" t="n">
        <v>5.8</v>
      </c>
      <c r="K1578" s="6" t="n">
        <v>154.2070805</v>
      </c>
      <c r="L1578" s="6">
        <f>I1578*K1578</f>
        <v/>
      </c>
      <c r="M1578" s="6">
        <f>K1578*4</f>
        <v/>
      </c>
      <c r="N1578" s="6" t="n">
        <v>899</v>
      </c>
    </row>
    <row r="1579">
      <c r="A1579" s="1" t="inlineStr">
        <is>
          <t>43728071667212</t>
        </is>
      </c>
      <c r="B1579" s="1" t="inlineStr">
        <is>
          <t>CINTO H KELLY BLACK</t>
        </is>
      </c>
      <c r="C1579" s="1" t="inlineStr">
        <is>
          <t>AJUSTABLE</t>
        </is>
      </c>
      <c r="D1579" s="1" t="inlineStr">
        <is>
          <t>18/02/2026</t>
        </is>
      </c>
      <c r="E1579" s="1" t="n">
        <v>2026</v>
      </c>
      <c r="F1579" s="1" t="inlineStr">
        <is>
          <t>FEBRERO</t>
        </is>
      </c>
      <c r="G1579" s="1" t="inlineStr">
        <is>
          <t>CYNTHIA</t>
        </is>
      </c>
      <c r="H1579" s="1" t="inlineStr">
        <is>
          <t>CYNTHIA 18/02/2026</t>
        </is>
      </c>
      <c r="I1579" s="4" t="n">
        <v>4</v>
      </c>
      <c r="J1579" s="6" t="n">
        <v>5.8</v>
      </c>
      <c r="K1579" s="6" t="n">
        <v>156.8515182</v>
      </c>
      <c r="L1579" s="6">
        <f>I1579*K1579</f>
        <v/>
      </c>
      <c r="M1579" s="6">
        <f>K1579*4</f>
        <v/>
      </c>
      <c r="N1579" s="6" t="n">
        <v>899</v>
      </c>
    </row>
    <row r="1580">
      <c r="A1580" s="1" t="inlineStr">
        <is>
          <t>43728071667212</t>
        </is>
      </c>
      <c r="B1580" s="1" t="inlineStr">
        <is>
          <t>CINTO H KELLY BLACK</t>
        </is>
      </c>
      <c r="C1580" s="1" t="inlineStr">
        <is>
          <t>AJUSTABLE</t>
        </is>
      </c>
      <c r="D1580" s="1" t="inlineStr">
        <is>
          <t>19/03/2026</t>
        </is>
      </c>
      <c r="E1580" s="1" t="n">
        <v>2026</v>
      </c>
      <c r="F1580" s="1" t="inlineStr">
        <is>
          <t>MARZO</t>
        </is>
      </c>
      <c r="G1580" s="1" t="inlineStr">
        <is>
          <t>CYNTHIA</t>
        </is>
      </c>
      <c r="H1580" s="1" t="inlineStr">
        <is>
          <t>CYNTHIA 19/03/2026</t>
        </is>
      </c>
      <c r="I1580" s="4" t="n">
        <v>8</v>
      </c>
      <c r="J1580" s="6" t="n">
        <v>6.5</v>
      </c>
      <c r="K1580" s="6" t="n">
        <v>174.5732027</v>
      </c>
      <c r="L1580" s="6">
        <f>I1580*K1580</f>
        <v/>
      </c>
      <c r="M1580" s="6">
        <f>K1580*4</f>
        <v/>
      </c>
      <c r="N1580" s="6" t="n">
        <v>899</v>
      </c>
    </row>
    <row r="1581">
      <c r="A1581" s="1" t="inlineStr">
        <is>
          <t>43728071667212</t>
        </is>
      </c>
      <c r="B1581" s="1" t="inlineStr">
        <is>
          <t>CINTO H KELLY BLACK</t>
        </is>
      </c>
      <c r="C1581" s="1" t="inlineStr">
        <is>
          <t>AJUSTABLE</t>
        </is>
      </c>
      <c r="D1581" s="1" t="inlineStr">
        <is>
          <t>27/04/2026</t>
        </is>
      </c>
      <c r="E1581" s="1" t="n">
        <v>2026</v>
      </c>
      <c r="F1581" s="1" t="inlineStr">
        <is>
          <t>ABRIL</t>
        </is>
      </c>
      <c r="G1581" s="1" t="inlineStr">
        <is>
          <t>CYNTHIA</t>
        </is>
      </c>
      <c r="H1581" s="1" t="inlineStr">
        <is>
          <t>CYNTHIA 27/04/2026</t>
        </is>
      </c>
      <c r="I1581" s="4" t="n">
        <v>9</v>
      </c>
      <c r="J1581" s="6" t="n">
        <v>6.5</v>
      </c>
      <c r="K1581" s="6" t="n">
        <v>168.675602</v>
      </c>
      <c r="L1581" s="6">
        <f>I1581*K1581</f>
        <v/>
      </c>
      <c r="M1581" s="6">
        <f>K1581*4</f>
        <v/>
      </c>
      <c r="N1581" s="6" t="n">
        <v>899</v>
      </c>
    </row>
    <row r="1582">
      <c r="A1582" s="1" t="inlineStr">
        <is>
          <t>43728071764972</t>
        </is>
      </c>
      <c r="B1582" s="1" t="inlineStr">
        <is>
          <t>CINTO H KELLY BROWN</t>
        </is>
      </c>
      <c r="C1582" s="1" t="inlineStr">
        <is>
          <t>AJUSTABLE</t>
        </is>
      </c>
      <c r="D1582" s="1" t="inlineStr">
        <is>
          <t>18/02/2026</t>
        </is>
      </c>
      <c r="E1582" s="1" t="n">
        <v>2026</v>
      </c>
      <c r="F1582" s="1" t="inlineStr">
        <is>
          <t>FEBRERO</t>
        </is>
      </c>
      <c r="G1582" s="1" t="inlineStr">
        <is>
          <t>CYNTHIA</t>
        </is>
      </c>
      <c r="H1582" s="1" t="inlineStr">
        <is>
          <t>CYNTHIA 18/02/2026</t>
        </is>
      </c>
      <c r="I1582" s="4" t="n">
        <v>10</v>
      </c>
      <c r="J1582" s="6" t="n">
        <v>5.8</v>
      </c>
      <c r="K1582" s="6" t="n">
        <v>156.8515182</v>
      </c>
      <c r="L1582" s="6">
        <f>I1582*K1582</f>
        <v/>
      </c>
      <c r="M1582" s="6">
        <f>K1582*4</f>
        <v/>
      </c>
      <c r="N1582" s="6" t="n">
        <v>899</v>
      </c>
    </row>
    <row r="1583">
      <c r="A1583" s="1" t="inlineStr">
        <is>
          <t>43728071764972</t>
        </is>
      </c>
      <c r="B1583" s="1" t="inlineStr">
        <is>
          <t>CINTO H KELLY BROWN</t>
        </is>
      </c>
      <c r="C1583" s="1" t="inlineStr">
        <is>
          <t>AJUSTABLE</t>
        </is>
      </c>
      <c r="D1583" s="1" t="inlineStr">
        <is>
          <t>19/03/2026</t>
        </is>
      </c>
      <c r="E1583" s="1" t="n">
        <v>2026</v>
      </c>
      <c r="F1583" s="1" t="inlineStr">
        <is>
          <t>MARZO</t>
        </is>
      </c>
      <c r="G1583" s="1" t="inlineStr">
        <is>
          <t>CYNTHIA</t>
        </is>
      </c>
      <c r="H1583" s="1" t="inlineStr">
        <is>
          <t>CYNTHIA 19/03/2026</t>
        </is>
      </c>
      <c r="I1583" s="4" t="n">
        <v>3</v>
      </c>
      <c r="J1583" s="6" t="n">
        <v>6.5</v>
      </c>
      <c r="K1583" s="6" t="n">
        <v>174.5732027</v>
      </c>
      <c r="L1583" s="6">
        <f>I1583*K1583</f>
        <v/>
      </c>
      <c r="M1583" s="6">
        <f>K1583*4</f>
        <v/>
      </c>
      <c r="N1583" s="6" t="n">
        <v>899</v>
      </c>
    </row>
    <row r="1584">
      <c r="A1584" s="1" t="inlineStr">
        <is>
          <t>43728071764972</t>
        </is>
      </c>
      <c r="B1584" s="1" t="inlineStr">
        <is>
          <t>CINTO H KELLY BROWN</t>
        </is>
      </c>
      <c r="C1584" s="1" t="inlineStr">
        <is>
          <t>AJUSTABLE</t>
        </is>
      </c>
      <c r="D1584" s="1" t="inlineStr">
        <is>
          <t>27/04/2026</t>
        </is>
      </c>
      <c r="E1584" s="1" t="n">
        <v>2026</v>
      </c>
      <c r="F1584" s="1" t="inlineStr">
        <is>
          <t>ABRIL</t>
        </is>
      </c>
      <c r="G1584" s="1" t="inlineStr">
        <is>
          <t>CYNTHIA</t>
        </is>
      </c>
      <c r="H1584" s="1" t="inlineStr">
        <is>
          <t>CYNTHIA 27/04/2026</t>
        </is>
      </c>
      <c r="I1584" s="4" t="n">
        <v>6</v>
      </c>
      <c r="J1584" s="6" t="n">
        <v>6.5</v>
      </c>
      <c r="K1584" s="6" t="n">
        <v>168.675602</v>
      </c>
      <c r="L1584" s="6">
        <f>I1584*K1584</f>
        <v/>
      </c>
      <c r="M1584" s="6">
        <f>K1584*4</f>
        <v/>
      </c>
      <c r="N1584" s="6" t="n">
        <v>899</v>
      </c>
    </row>
    <row r="1585">
      <c r="A1585" s="1" t="inlineStr">
        <is>
          <t>43728071764972</t>
        </is>
      </c>
      <c r="B1585" s="1" t="inlineStr">
        <is>
          <t>CINTO H KELLY BROWN</t>
        </is>
      </c>
      <c r="C1585" s="1" t="inlineStr">
        <is>
          <t>AJUSTABLE</t>
        </is>
      </c>
      <c r="D1585" s="1" t="inlineStr">
        <is>
          <t>31/05/2026</t>
        </is>
      </c>
      <c r="E1585" s="1" t="n">
        <v>2026</v>
      </c>
      <c r="F1585" s="1" t="inlineStr">
        <is>
          <t>MAYO</t>
        </is>
      </c>
      <c r="G1585" s="1" t="inlineStr">
        <is>
          <t>CYNTHIA</t>
        </is>
      </c>
      <c r="H1585" s="1" t="inlineStr">
        <is>
          <t>CYNTHIA 31/05/2026</t>
        </is>
      </c>
      <c r="I1585" s="4" t="n">
        <v>10</v>
      </c>
      <c r="J1585" s="6" t="n">
        <v>6.5</v>
      </c>
      <c r="K1585" s="6" t="n">
        <v>172.2567924</v>
      </c>
      <c r="L1585" s="6">
        <f>I1585*K1585</f>
        <v/>
      </c>
      <c r="M1585" s="6">
        <f>K1585*4</f>
        <v/>
      </c>
      <c r="N1585" s="6" t="n">
        <v>899</v>
      </c>
    </row>
    <row r="1586">
      <c r="A1586" s="1" t="inlineStr">
        <is>
          <t>43728071845836</t>
        </is>
      </c>
      <c r="B1586" s="1" t="inlineStr">
        <is>
          <t>BOLSO C AVA TRIOMPHE BROWN</t>
        </is>
      </c>
      <c r="C1586" s="1" t="inlineStr">
        <is>
          <t>22cm de largo x 12cm de alto x 6cm de ancho</t>
        </is>
      </c>
      <c r="D1586" s="1" t="inlineStr">
        <is>
          <t>19/03/2026</t>
        </is>
      </c>
      <c r="E1586" s="1" t="n">
        <v>2026</v>
      </c>
      <c r="F1586" s="1" t="inlineStr">
        <is>
          <t>MARZO</t>
        </is>
      </c>
      <c r="G1586" s="1" t="inlineStr">
        <is>
          <t>CYNTHIA</t>
        </is>
      </c>
      <c r="H1586" s="1" t="inlineStr">
        <is>
          <t>CYNTHIA 19/03/2026</t>
        </is>
      </c>
      <c r="I1586" s="4" t="n">
        <v>3</v>
      </c>
      <c r="J1586" s="6" t="n">
        <v>46</v>
      </c>
      <c r="K1586" s="6" t="n">
        <v>1235.441127</v>
      </c>
      <c r="L1586" s="6">
        <f>I1586*K1586</f>
        <v/>
      </c>
      <c r="M1586" s="6">
        <f>K1586*4</f>
        <v/>
      </c>
      <c r="N1586" s="6" t="n">
        <v>4325</v>
      </c>
    </row>
    <row r="1587">
      <c r="A1587" s="1" t="inlineStr">
        <is>
          <t>43728071990540</t>
        </is>
      </c>
      <c r="B1587" s="1" t="inlineStr">
        <is>
          <t>BOLSO LW BLACK</t>
        </is>
      </c>
      <c r="C1587" s="1" t="inlineStr">
        <is>
          <t>28cm x 20cm</t>
        </is>
      </c>
      <c r="D1587" s="1" t="inlineStr">
        <is>
          <t>07/01/2026</t>
        </is>
      </c>
      <c r="E1587" s="1" t="n">
        <v>2026</v>
      </c>
      <c r="F1587" s="1" t="inlineStr">
        <is>
          <t>ENERO</t>
        </is>
      </c>
      <c r="G1587" s="1" t="inlineStr">
        <is>
          <t>CYNTHIA</t>
        </is>
      </c>
      <c r="H1587" s="1" t="inlineStr">
        <is>
          <t>CYNTHIA 07/01/2026</t>
        </is>
      </c>
      <c r="I1587" s="4" t="n">
        <v>3</v>
      </c>
      <c r="J1587" s="6" t="n">
        <v>74</v>
      </c>
      <c r="K1587" s="6" t="n">
        <v>1967.469648</v>
      </c>
      <c r="L1587" s="6">
        <f>I1587*K1587</f>
        <v/>
      </c>
      <c r="M1587" s="6">
        <f>K1587*4</f>
        <v/>
      </c>
      <c r="N1587" s="6" t="n">
        <v>6999</v>
      </c>
    </row>
    <row r="1588">
      <c r="A1588" s="1" t="inlineStr">
        <is>
          <t>43728071990540</t>
        </is>
      </c>
      <c r="B1588" s="1" t="inlineStr">
        <is>
          <t>BOLSO LW BLACK</t>
        </is>
      </c>
      <c r="C1588" s="1" t="inlineStr">
        <is>
          <t>28cm x 20cm</t>
        </is>
      </c>
      <c r="D1588" s="1" t="inlineStr">
        <is>
          <t>18/02/2026</t>
        </is>
      </c>
      <c r="E1588" s="1" t="n">
        <v>2026</v>
      </c>
      <c r="F1588" s="1" t="inlineStr">
        <is>
          <t>FEBRERO</t>
        </is>
      </c>
      <c r="G1588" s="1" t="inlineStr">
        <is>
          <t>CYNTHIA</t>
        </is>
      </c>
      <c r="H1588" s="1" t="inlineStr">
        <is>
          <t>CYNTHIA 18/02/2026</t>
        </is>
      </c>
      <c r="I1588" s="4" t="n">
        <v>2</v>
      </c>
      <c r="J1588" s="6" t="n">
        <v>74</v>
      </c>
      <c r="K1588" s="6" t="n">
        <v>2001.209025</v>
      </c>
      <c r="L1588" s="6">
        <f>I1588*K1588</f>
        <v/>
      </c>
      <c r="M1588" s="6">
        <f>K1588*4</f>
        <v/>
      </c>
      <c r="N1588" s="6" t="n">
        <v>6999</v>
      </c>
    </row>
    <row r="1589">
      <c r="A1589" s="1" t="inlineStr">
        <is>
          <t>43728081992652</t>
        </is>
      </c>
      <c r="B1589" s="1" t="inlineStr">
        <is>
          <t>PULSERA CON PASADOR Y PLACA ESTILO CORAZON SILVER</t>
        </is>
      </c>
      <c r="C1589" s="1" t="inlineStr">
        <is>
          <t>17cm</t>
        </is>
      </c>
      <c r="D1589" s="1" t="inlineStr">
        <is>
          <t>25/09/2025</t>
        </is>
      </c>
      <c r="E1589" s="1" t="n">
        <v>2025</v>
      </c>
      <c r="F1589" s="1" t="inlineStr">
        <is>
          <t>SEPTIEMBRE</t>
        </is>
      </c>
      <c r="G1589" s="1" t="inlineStr">
        <is>
          <t>HAIFENG</t>
        </is>
      </c>
      <c r="H1589" s="1" t="inlineStr">
        <is>
          <t>HAIFENG 25/09/2025</t>
        </is>
      </c>
      <c r="I1589" s="4" t="n">
        <v>3</v>
      </c>
      <c r="J1589" s="6" t="n">
        <v>7</v>
      </c>
      <c r="K1589" s="6" t="n">
        <v>147.6782004</v>
      </c>
      <c r="L1589" s="6">
        <f>I1589*K1589</f>
        <v/>
      </c>
      <c r="M1589" s="6">
        <f>K1589*4</f>
        <v/>
      </c>
      <c r="N1589" s="6" t="n">
        <v>699</v>
      </c>
    </row>
    <row r="1590">
      <c r="A1590" s="1" t="inlineStr">
        <is>
          <t>43728081992652</t>
        </is>
      </c>
      <c r="B1590" s="1" t="inlineStr">
        <is>
          <t>PULSERA CON PASADOR Y PLACA ESTILO CORAZON SILVER</t>
        </is>
      </c>
      <c r="C1590" s="1" t="inlineStr">
        <is>
          <t>17cm</t>
        </is>
      </c>
      <c r="D1590" s="1" t="inlineStr">
        <is>
          <t>11/11/2025</t>
        </is>
      </c>
      <c r="E1590" s="1" t="n">
        <v>2025</v>
      </c>
      <c r="F1590" s="1" t="inlineStr">
        <is>
          <t>NOVIEMBRE</t>
        </is>
      </c>
      <c r="G1590" s="1" t="inlineStr">
        <is>
          <t>HAIFENG</t>
        </is>
      </c>
      <c r="H1590" s="1" t="inlineStr">
        <is>
          <t>HAIFENG 11/11/2025</t>
        </is>
      </c>
      <c r="I1590" s="4" t="n">
        <v>3</v>
      </c>
      <c r="J1590" s="6" t="n">
        <v>7</v>
      </c>
      <c r="K1590" s="6" t="n">
        <v>147.4234891</v>
      </c>
      <c r="L1590" s="6">
        <f>I1590*K1590</f>
        <v/>
      </c>
      <c r="M1590" s="6">
        <f>K1590*4</f>
        <v/>
      </c>
      <c r="N1590" s="6" t="n">
        <v>699</v>
      </c>
    </row>
    <row r="1591">
      <c r="A1591" s="1" t="inlineStr">
        <is>
          <t>43728081992652</t>
        </is>
      </c>
      <c r="B1591" s="1" t="inlineStr">
        <is>
          <t>PULSERA CON PASADOR Y PLACA ESTILO CORAZON SILVER</t>
        </is>
      </c>
      <c r="C1591" s="1" t="inlineStr">
        <is>
          <t>17cm</t>
        </is>
      </c>
      <c r="D1591" s="1" t="inlineStr">
        <is>
          <t>03/12/2025</t>
        </is>
      </c>
      <c r="E1591" s="1" t="n">
        <v>2025</v>
      </c>
      <c r="F1591" s="1" t="inlineStr">
        <is>
          <t>DICIEMBRE</t>
        </is>
      </c>
      <c r="G1591" s="1" t="inlineStr">
        <is>
          <t>HAIFENG</t>
        </is>
      </c>
      <c r="H1591" s="1" t="inlineStr">
        <is>
          <t>HAIFENG 03/12/2025</t>
        </is>
      </c>
      <c r="I1591" s="4" t="n">
        <v>10</v>
      </c>
      <c r="J1591" s="6" t="n">
        <v>7</v>
      </c>
      <c r="K1591" s="6" t="n">
        <v>146.4201201</v>
      </c>
      <c r="L1591" s="6">
        <f>I1591*K1591</f>
        <v/>
      </c>
      <c r="M1591" s="6">
        <f>K1591*4</f>
        <v/>
      </c>
      <c r="N1591" s="6" t="n">
        <v>699</v>
      </c>
    </row>
    <row r="1592">
      <c r="A1592" s="1" t="inlineStr">
        <is>
          <t>43728081992652</t>
        </is>
      </c>
      <c r="B1592" s="1" t="inlineStr">
        <is>
          <t>PULSERA CON PASADOR Y PLACA ESTILO CORAZON SILVER</t>
        </is>
      </c>
      <c r="C1592" s="1" t="inlineStr">
        <is>
          <t>17cm</t>
        </is>
      </c>
      <c r="D1592" s="1" t="inlineStr">
        <is>
          <t>10/02/2026</t>
        </is>
      </c>
      <c r="E1592" s="1" t="n">
        <v>2026</v>
      </c>
      <c r="F1592" s="1" t="inlineStr">
        <is>
          <t>FEBRERO</t>
        </is>
      </c>
      <c r="G1592" s="1" t="inlineStr">
        <is>
          <t>HAIFENG</t>
        </is>
      </c>
      <c r="H1592" s="1" t="inlineStr">
        <is>
          <t>HAIFENG 10/02/2026</t>
        </is>
      </c>
      <c r="I1592" s="4" t="n">
        <v>10</v>
      </c>
      <c r="J1592" s="6" t="n">
        <v>7</v>
      </c>
      <c r="K1592" s="6" t="n">
        <v>147.4794725</v>
      </c>
      <c r="L1592" s="6">
        <f>I1592*K1592</f>
        <v/>
      </c>
      <c r="M1592" s="6">
        <f>K1592*4</f>
        <v/>
      </c>
      <c r="N1592" s="6" t="n">
        <v>699</v>
      </c>
    </row>
    <row r="1593">
      <c r="A1593" s="1" t="inlineStr">
        <is>
          <t>43728081992652</t>
        </is>
      </c>
      <c r="B1593" s="1" t="inlineStr">
        <is>
          <t>PULSERA CON PASADOR Y PLACA ESTILO CORAZON SILVER</t>
        </is>
      </c>
      <c r="C1593" s="1" t="inlineStr">
        <is>
          <t>17cm</t>
        </is>
      </c>
      <c r="D1593" s="1" t="inlineStr">
        <is>
          <t>06/05/2026</t>
        </is>
      </c>
      <c r="E1593" s="1" t="n">
        <v>2026</v>
      </c>
      <c r="F1593" s="1" t="inlineStr">
        <is>
          <t>MAYO</t>
        </is>
      </c>
      <c r="G1593" s="1" t="inlineStr">
        <is>
          <t>HAIFENG</t>
        </is>
      </c>
      <c r="H1593" s="1" t="inlineStr">
        <is>
          <t>HAIFENG 06/05/2026</t>
        </is>
      </c>
      <c r="I1593" s="4" t="n">
        <v>4</v>
      </c>
      <c r="J1593" s="6" t="n">
        <v>7</v>
      </c>
      <c r="K1593" s="6" t="n">
        <v>148.5304959</v>
      </c>
      <c r="L1593" s="6">
        <f>I1593*K1593</f>
        <v/>
      </c>
      <c r="M1593" s="6">
        <f>K1593*4</f>
        <v/>
      </c>
      <c r="N1593" s="6" t="n">
        <v>699</v>
      </c>
    </row>
    <row r="1594">
      <c r="A1594" s="1" t="inlineStr">
        <is>
          <t>43728081992652</t>
        </is>
      </c>
      <c r="B1594" s="1" t="inlineStr">
        <is>
          <t>PULSERA CON PASADOR Y PLACA ESTILO CORAZON SILVER</t>
        </is>
      </c>
      <c r="C1594" s="1" t="inlineStr">
        <is>
          <t>17cm</t>
        </is>
      </c>
      <c r="D1594" s="1" t="inlineStr">
        <is>
          <t>26/05/2026</t>
        </is>
      </c>
      <c r="E1594" s="1" t="n">
        <v>2026</v>
      </c>
      <c r="F1594" s="1" t="inlineStr">
        <is>
          <t>MAYO</t>
        </is>
      </c>
      <c r="G1594" s="1" t="inlineStr">
        <is>
          <t>HAIFENG</t>
        </is>
      </c>
      <c r="H1594" s="1" t="inlineStr">
        <is>
          <t>HAIFENG 26/05/2026</t>
        </is>
      </c>
      <c r="I1594" s="4" t="n">
        <v>10</v>
      </c>
      <c r="J1594" s="6" t="n">
        <v>7</v>
      </c>
      <c r="K1594" s="6" t="n">
        <v>146.9250671</v>
      </c>
      <c r="L1594" s="6">
        <f>I1594*K1594</f>
        <v/>
      </c>
      <c r="M1594" s="6">
        <f>K1594*4</f>
        <v/>
      </c>
      <c r="N1594" s="6" t="n">
        <v>699</v>
      </c>
    </row>
    <row r="1595">
      <c r="A1595" s="1" t="inlineStr">
        <is>
          <t>43728082064620</t>
        </is>
      </c>
      <c r="B1595" s="1" t="inlineStr">
        <is>
          <t>BOLSO LW CHERRY</t>
        </is>
      </c>
      <c r="C1595" s="1" t="inlineStr">
        <is>
          <t>28cmx20cm</t>
        </is>
      </c>
      <c r="D1595" s="1" t="inlineStr">
        <is>
          <t>25/10/2025</t>
        </is>
      </c>
      <c r="E1595" s="1" t="n">
        <v>2025</v>
      </c>
      <c r="F1595" s="1" t="inlineStr">
        <is>
          <t>OCTUBRE</t>
        </is>
      </c>
      <c r="G1595" s="1" t="inlineStr">
        <is>
          <t>CYNTHIA</t>
        </is>
      </c>
      <c r="H1595" s="1" t="inlineStr">
        <is>
          <t>CYNTHIA 25/10/2025</t>
        </is>
      </c>
      <c r="I1595" s="4" t="n">
        <v>4</v>
      </c>
      <c r="J1595" s="6" t="n">
        <v>75</v>
      </c>
      <c r="K1595" s="6" t="n">
        <v>1965.136769</v>
      </c>
      <c r="L1595" s="6">
        <f>I1595*K1595</f>
        <v/>
      </c>
      <c r="M1595" s="6">
        <f>K1595*4</f>
        <v/>
      </c>
      <c r="N1595" s="6" t="n">
        <v>6199</v>
      </c>
    </row>
    <row r="1596">
      <c r="A1596" s="1" t="inlineStr">
        <is>
          <t>43728082064620</t>
        </is>
      </c>
      <c r="B1596" s="1" t="inlineStr">
        <is>
          <t>BOLSO LW CHERRY</t>
        </is>
      </c>
      <c r="C1596" s="1" t="inlineStr">
        <is>
          <t>28cmx20cm</t>
        </is>
      </c>
      <c r="D1596" s="1" t="inlineStr">
        <is>
          <t>07/01/2026</t>
        </is>
      </c>
      <c r="E1596" s="1" t="n">
        <v>2026</v>
      </c>
      <c r="F1596" s="1" t="inlineStr">
        <is>
          <t>ENERO</t>
        </is>
      </c>
      <c r="G1596" s="1" t="inlineStr">
        <is>
          <t>CYNTHIA</t>
        </is>
      </c>
      <c r="H1596" s="1" t="inlineStr">
        <is>
          <t>CYNTHIA 07/01/2026</t>
        </is>
      </c>
      <c r="I1596" s="4" t="n">
        <v>3</v>
      </c>
      <c r="J1596" s="6" t="n">
        <v>74</v>
      </c>
      <c r="K1596" s="6" t="n">
        <v>1967.469648</v>
      </c>
      <c r="L1596" s="6">
        <f>I1596*K1596</f>
        <v/>
      </c>
      <c r="M1596" s="6">
        <f>K1596*4</f>
        <v/>
      </c>
      <c r="N1596" s="6" t="n">
        <v>6999</v>
      </c>
    </row>
    <row r="1597">
      <c r="A1597" s="1" t="inlineStr">
        <is>
          <t>43728082064620</t>
        </is>
      </c>
      <c r="B1597" s="1" t="inlineStr">
        <is>
          <t>BOLSO LW CHERRY</t>
        </is>
      </c>
      <c r="C1597" s="1" t="inlineStr">
        <is>
          <t>28cmx20cm</t>
        </is>
      </c>
      <c r="D1597" s="1" t="inlineStr">
        <is>
          <t>18/02/2026</t>
        </is>
      </c>
      <c r="E1597" s="1" t="n">
        <v>2026</v>
      </c>
      <c r="F1597" s="1" t="inlineStr">
        <is>
          <t>FEBRERO</t>
        </is>
      </c>
      <c r="G1597" s="1" t="inlineStr">
        <is>
          <t>CYNTHIA</t>
        </is>
      </c>
      <c r="H1597" s="1" t="inlineStr">
        <is>
          <t>CYNTHIA 18/02/2026</t>
        </is>
      </c>
      <c r="I1597" s="4" t="n">
        <v>2</v>
      </c>
      <c r="J1597" s="6" t="n">
        <v>74</v>
      </c>
      <c r="K1597" s="6" t="n">
        <v>2001.209025</v>
      </c>
      <c r="L1597" s="6">
        <f>I1597*K1597</f>
        <v/>
      </c>
      <c r="M1597" s="6">
        <f>K1597*4</f>
        <v/>
      </c>
      <c r="N1597" s="6" t="n">
        <v>6999</v>
      </c>
    </row>
    <row r="1598">
      <c r="A1598" s="1" t="inlineStr">
        <is>
          <t>43728082231852</t>
        </is>
      </c>
      <c r="B1598" s="1" t="inlineStr">
        <is>
          <t>COLLAR C D’AMOUR SILVER</t>
        </is>
      </c>
      <c r="C1598" s="1" t="inlineStr">
        <is>
          <t>44cm con 5cm de extensión</t>
        </is>
      </c>
      <c r="D1598" s="1" t="inlineStr">
        <is>
          <t>11/11/2025</t>
        </is>
      </c>
      <c r="E1598" s="1" t="n">
        <v>2025</v>
      </c>
      <c r="F1598" s="1" t="inlineStr">
        <is>
          <t>NOVIEMBRE</t>
        </is>
      </c>
      <c r="G1598" s="1" t="inlineStr">
        <is>
          <t>HAIFENG</t>
        </is>
      </c>
      <c r="H1598" s="1" t="inlineStr">
        <is>
          <t>HAIFENG 11/11/2025</t>
        </is>
      </c>
      <c r="I1598" s="4" t="n">
        <v>3</v>
      </c>
      <c r="J1598" s="6" t="n">
        <v>2.99</v>
      </c>
      <c r="K1598" s="6" t="n">
        <v>62.97089035</v>
      </c>
      <c r="L1598" s="6">
        <f>I1598*K1598</f>
        <v/>
      </c>
      <c r="M1598" s="6">
        <f>K1598*4</f>
        <v/>
      </c>
      <c r="N1598" s="6" t="n">
        <v>399</v>
      </c>
    </row>
    <row r="1599">
      <c r="A1599" s="1" t="inlineStr">
        <is>
          <t>43728082231852</t>
        </is>
      </c>
      <c r="B1599" s="1" t="inlineStr">
        <is>
          <t>COLLAR C D’AMOUR SILVER</t>
        </is>
      </c>
      <c r="C1599" s="1" t="inlineStr">
        <is>
          <t>44cm con 5cm de extensión</t>
        </is>
      </c>
      <c r="D1599" s="1" t="inlineStr">
        <is>
          <t>03/12/2025</t>
        </is>
      </c>
      <c r="E1599" s="1" t="n">
        <v>2025</v>
      </c>
      <c r="F1599" s="1" t="inlineStr">
        <is>
          <t>DICIEMBRE</t>
        </is>
      </c>
      <c r="G1599" s="1" t="inlineStr">
        <is>
          <t>HAIFENG</t>
        </is>
      </c>
      <c r="H1599" s="1" t="inlineStr">
        <is>
          <t>HAIFENG 03/12/2025</t>
        </is>
      </c>
      <c r="I1599" s="4" t="n">
        <v>4</v>
      </c>
      <c r="J1599" s="6" t="n">
        <v>2.99</v>
      </c>
      <c r="K1599" s="6" t="n">
        <v>62.54230843</v>
      </c>
      <c r="L1599" s="6">
        <f>I1599*K1599</f>
        <v/>
      </c>
      <c r="M1599" s="6">
        <f>K1599*4</f>
        <v/>
      </c>
      <c r="N1599" s="6" t="n">
        <v>399</v>
      </c>
    </row>
    <row r="1600">
      <c r="A1600" s="1" t="inlineStr">
        <is>
          <t>43728082231852</t>
        </is>
      </c>
      <c r="B1600" s="1" t="inlineStr">
        <is>
          <t>COLLAR C D’AMOUR SILVER</t>
        </is>
      </c>
      <c r="C1600" s="1" t="inlineStr">
        <is>
          <t>44cm con 5cm de extensión</t>
        </is>
      </c>
      <c r="D1600" s="1" t="inlineStr">
        <is>
          <t>10/02/2026</t>
        </is>
      </c>
      <c r="E1600" s="1" t="n">
        <v>2026</v>
      </c>
      <c r="F1600" s="1" t="inlineStr">
        <is>
          <t>FEBRERO</t>
        </is>
      </c>
      <c r="G1600" s="1" t="inlineStr">
        <is>
          <t>HAIFENG</t>
        </is>
      </c>
      <c r="H1600" s="1" t="inlineStr">
        <is>
          <t>HAIFENG 10/02/2026</t>
        </is>
      </c>
      <c r="I1600" s="4" t="n">
        <v>10</v>
      </c>
      <c r="J1600" s="6" t="n">
        <v>2.99</v>
      </c>
      <c r="K1600" s="6" t="n">
        <v>62.99480324</v>
      </c>
      <c r="L1600" s="6">
        <f>I1600*K1600</f>
        <v/>
      </c>
      <c r="M1600" s="6">
        <f>K1600*4</f>
        <v/>
      </c>
      <c r="N1600" s="6" t="n">
        <v>399</v>
      </c>
    </row>
    <row r="1601">
      <c r="A1601" s="1" t="inlineStr">
        <is>
          <t>43728082231852</t>
        </is>
      </c>
      <c r="B1601" s="1" t="inlineStr">
        <is>
          <t>COLLAR C D’AMOUR SILVER</t>
        </is>
      </c>
      <c r="C1601" s="1" t="inlineStr">
        <is>
          <t>44cm con 5cm de extensión</t>
        </is>
      </c>
      <c r="D1601" s="1" t="inlineStr">
        <is>
          <t>26/05/2026</t>
        </is>
      </c>
      <c r="E1601" s="1" t="n">
        <v>2026</v>
      </c>
      <c r="F1601" s="1" t="inlineStr">
        <is>
          <t>MAYO</t>
        </is>
      </c>
      <c r="G1601" s="1" t="inlineStr">
        <is>
          <t>HAIFENG</t>
        </is>
      </c>
      <c r="H1601" s="1" t="inlineStr">
        <is>
          <t>HAIFENG 26/05/2026</t>
        </is>
      </c>
      <c r="I1601" s="4" t="n">
        <v>5</v>
      </c>
      <c r="J1601" s="6" t="n">
        <v>2.99</v>
      </c>
      <c r="K1601" s="6" t="n">
        <v>62.75799293</v>
      </c>
      <c r="L1601" s="6">
        <f>I1601*K1601</f>
        <v/>
      </c>
      <c r="M1601" s="6">
        <f>K1601*4</f>
        <v/>
      </c>
      <c r="N1601" s="6" t="n">
        <v>399</v>
      </c>
    </row>
    <row r="1602">
      <c r="A1602" s="1" t="inlineStr">
        <is>
          <t>43728082327916</t>
        </is>
      </c>
      <c r="B1602" s="1" t="inlineStr">
        <is>
          <t>COLLAR C D´AMOUR GOLD</t>
        </is>
      </c>
      <c r="C1602" s="1" t="inlineStr">
        <is>
          <t>44cm con 5cm de extensión</t>
        </is>
      </c>
      <c r="D1602" s="1" t="inlineStr">
        <is>
          <t>11/11/2025</t>
        </is>
      </c>
      <c r="E1602" s="1" t="n">
        <v>2025</v>
      </c>
      <c r="F1602" s="1" t="inlineStr">
        <is>
          <t>NOVIEMBRE</t>
        </is>
      </c>
      <c r="G1602" s="1" t="inlineStr">
        <is>
          <t>HAIFENG</t>
        </is>
      </c>
      <c r="H1602" s="1" t="inlineStr">
        <is>
          <t>HAIFENG 11/11/2025</t>
        </is>
      </c>
      <c r="I1602" s="4" t="n">
        <v>2</v>
      </c>
      <c r="J1602" s="6" t="n">
        <v>2.99</v>
      </c>
      <c r="K1602" s="6" t="n">
        <v>62.97089035</v>
      </c>
      <c r="L1602" s="6">
        <f>I1602*K1602</f>
        <v/>
      </c>
      <c r="M1602" s="6">
        <f>K1602*4</f>
        <v/>
      </c>
      <c r="N1602" s="6" t="n">
        <v>525</v>
      </c>
    </row>
    <row r="1603">
      <c r="A1603" s="1" t="inlineStr">
        <is>
          <t>43728082327916</t>
        </is>
      </c>
      <c r="B1603" s="1" t="inlineStr">
        <is>
          <t>COLLAR C D’AMOUR GOLD</t>
        </is>
      </c>
      <c r="C1603" s="1" t="inlineStr">
        <is>
          <t>44cm con 5cm de extensión</t>
        </is>
      </c>
      <c r="D1603" s="1" t="inlineStr">
        <is>
          <t>03/12/2025</t>
        </is>
      </c>
      <c r="E1603" s="1" t="n">
        <v>2025</v>
      </c>
      <c r="F1603" s="1" t="inlineStr">
        <is>
          <t>DICIEMBRE</t>
        </is>
      </c>
      <c r="G1603" s="1" t="inlineStr">
        <is>
          <t>HAIFENG</t>
        </is>
      </c>
      <c r="H1603" s="1" t="inlineStr">
        <is>
          <t>HAIFENG 03/12/2025</t>
        </is>
      </c>
      <c r="I1603" s="4" t="n">
        <v>3</v>
      </c>
      <c r="J1603" s="6" t="n">
        <v>2.99</v>
      </c>
      <c r="K1603" s="6" t="n">
        <v>62.54230843</v>
      </c>
      <c r="L1603" s="6">
        <f>I1603*K1603</f>
        <v/>
      </c>
      <c r="M1603" s="6">
        <f>K1603*4</f>
        <v/>
      </c>
      <c r="N1603" s="6" t="n">
        <v>525</v>
      </c>
    </row>
    <row r="1604">
      <c r="A1604" s="1" t="inlineStr">
        <is>
          <t>43728082327916</t>
        </is>
      </c>
      <c r="B1604" s="1" t="inlineStr">
        <is>
          <t>COLLAR C D’AMOUR GOLD</t>
        </is>
      </c>
      <c r="C1604" s="1" t="inlineStr">
        <is>
          <t>44cm con 5cm de extensión</t>
        </is>
      </c>
      <c r="D1604" s="1" t="inlineStr">
        <is>
          <t>20/01/2026</t>
        </is>
      </c>
      <c r="E1604" s="1" t="n">
        <v>2026</v>
      </c>
      <c r="F1604" s="1" t="inlineStr">
        <is>
          <t>ENERO</t>
        </is>
      </c>
      <c r="G1604" s="1" t="inlineStr">
        <is>
          <t>HAIFENG</t>
        </is>
      </c>
      <c r="H1604" s="1" t="inlineStr">
        <is>
          <t>HAIFENG 20/01/2026</t>
        </is>
      </c>
      <c r="I1604" s="4" t="n">
        <v>2</v>
      </c>
      <c r="J1604" s="6" t="n">
        <v>2.99</v>
      </c>
      <c r="K1604" s="6" t="n">
        <v>63.3892492</v>
      </c>
      <c r="L1604" s="6">
        <f>I1604*K1604</f>
        <v/>
      </c>
      <c r="M1604" s="6">
        <f>K1604*4</f>
        <v/>
      </c>
      <c r="N1604" s="6" t="n">
        <v>525</v>
      </c>
    </row>
    <row r="1605">
      <c r="A1605" s="1" t="inlineStr">
        <is>
          <t>43728082327916</t>
        </is>
      </c>
      <c r="B1605" s="1" t="inlineStr">
        <is>
          <t>COLLAR C D’AMOUR GOLD</t>
        </is>
      </c>
      <c r="C1605" s="1" t="inlineStr">
        <is>
          <t>44cm con 5cm de extensión</t>
        </is>
      </c>
      <c r="D1605" s="1" t="inlineStr">
        <is>
          <t>11/03/2026</t>
        </is>
      </c>
      <c r="E1605" s="1" t="n">
        <v>2026</v>
      </c>
      <c r="F1605" s="1" t="inlineStr">
        <is>
          <t>MARZO</t>
        </is>
      </c>
      <c r="G1605" s="1" t="inlineStr">
        <is>
          <t>HAIFENG</t>
        </is>
      </c>
      <c r="H1605" s="1" t="inlineStr">
        <is>
          <t>HAIFENG 11/03/2026</t>
        </is>
      </c>
      <c r="I1605" s="4" t="n">
        <v>3</v>
      </c>
      <c r="J1605" s="6" t="n">
        <v>2.99</v>
      </c>
      <c r="K1605" s="6" t="n">
        <v>63.69864968</v>
      </c>
      <c r="L1605" s="6">
        <f>I1605*K1605</f>
        <v/>
      </c>
      <c r="M1605" s="6">
        <f>K1605*4</f>
        <v/>
      </c>
      <c r="N1605" s="6" t="n">
        <v>525</v>
      </c>
    </row>
    <row r="1606">
      <c r="A1606" s="1" t="inlineStr">
        <is>
          <t>43728082327916</t>
        </is>
      </c>
      <c r="B1606" s="1" t="inlineStr">
        <is>
          <t>COLLAR C D’AMOUR GOLD</t>
        </is>
      </c>
      <c r="C1606" s="1" t="inlineStr">
        <is>
          <t>44cm con 5cm de extensión</t>
        </is>
      </c>
      <c r="D1606" s="1" t="inlineStr">
        <is>
          <t>16/04/2026</t>
        </is>
      </c>
      <c r="E1606" s="1" t="n">
        <v>2026</v>
      </c>
      <c r="F1606" s="1" t="inlineStr">
        <is>
          <t>ABRIL</t>
        </is>
      </c>
      <c r="G1606" s="1" t="inlineStr">
        <is>
          <t>HAIFENG</t>
        </is>
      </c>
      <c r="H1606" s="1" t="inlineStr">
        <is>
          <t>HAIFENG 16/04/2026</t>
        </is>
      </c>
      <c r="I1606" s="4" t="n">
        <v>4</v>
      </c>
      <c r="J1606" s="6" t="n">
        <v>2.99</v>
      </c>
      <c r="K1606" s="6" t="n">
        <v>62.88410603</v>
      </c>
      <c r="L1606" s="6">
        <f>I1606*K1606</f>
        <v/>
      </c>
      <c r="M1606" s="6">
        <f>K1606*4</f>
        <v/>
      </c>
      <c r="N1606" s="6" t="n">
        <v>525</v>
      </c>
    </row>
    <row r="1607">
      <c r="A1607" s="1" t="inlineStr">
        <is>
          <t>43728082327916</t>
        </is>
      </c>
      <c r="B1607" s="1" t="inlineStr">
        <is>
          <t>COLLAR C D’AMOUR GOLD</t>
        </is>
      </c>
      <c r="C1607" s="1" t="inlineStr">
        <is>
          <t>44cm con 5cm de extensión</t>
        </is>
      </c>
      <c r="D1607" s="1" t="inlineStr">
        <is>
          <t>06/05/2026</t>
        </is>
      </c>
      <c r="E1607" s="1" t="n">
        <v>2026</v>
      </c>
      <c r="F1607" s="1" t="inlineStr">
        <is>
          <t>MAYO</t>
        </is>
      </c>
      <c r="G1607" s="1" t="inlineStr">
        <is>
          <t>HAIFENG</t>
        </is>
      </c>
      <c r="H1607" s="1" t="inlineStr">
        <is>
          <t>HAIFENG 06/05/2026</t>
        </is>
      </c>
      <c r="I1607" s="4" t="n">
        <v>2</v>
      </c>
      <c r="J1607" s="6" t="n">
        <v>2.99</v>
      </c>
      <c r="K1607" s="6" t="n">
        <v>63.44374038</v>
      </c>
      <c r="L1607" s="6">
        <f>I1607*K1607</f>
        <v/>
      </c>
      <c r="M1607" s="6">
        <f>K1607*4</f>
        <v/>
      </c>
      <c r="N1607" s="6" t="n">
        <v>525</v>
      </c>
    </row>
    <row r="1608">
      <c r="A1608" s="1" t="inlineStr">
        <is>
          <t>43728082327916</t>
        </is>
      </c>
      <c r="B1608" s="1" t="inlineStr">
        <is>
          <t>COLLAR C D’AMOUR GOLD</t>
        </is>
      </c>
      <c r="C1608" s="1" t="inlineStr">
        <is>
          <t>44cm con 5cm de extensión</t>
        </is>
      </c>
      <c r="D1608" s="1" t="inlineStr">
        <is>
          <t>16/06/2026</t>
        </is>
      </c>
      <c r="E1608" s="1" t="n">
        <v>2026</v>
      </c>
      <c r="F1608" s="1" t="inlineStr">
        <is>
          <t>JUNIO</t>
        </is>
      </c>
      <c r="G1608" s="1" t="inlineStr">
        <is>
          <t>HAIFENG</t>
        </is>
      </c>
      <c r="H1608" s="1" t="inlineStr">
        <is>
          <t>HAIFENG 16/06/2026</t>
        </is>
      </c>
      <c r="I1608" s="4" t="n">
        <v>5</v>
      </c>
      <c r="J1608" s="6" t="n">
        <v>2.99</v>
      </c>
      <c r="K1608" s="6" t="n">
        <v>62.83367331</v>
      </c>
      <c r="L1608" s="6">
        <f>I1608*K1608</f>
        <v/>
      </c>
      <c r="M1608" s="6">
        <f>K1608*4</f>
        <v/>
      </c>
      <c r="N1608" s="6" t="n">
        <v>525</v>
      </c>
    </row>
    <row r="1609">
      <c r="A1609" s="1" t="inlineStr">
        <is>
          <t>43728082412172</t>
        </is>
      </c>
      <c r="B1609" s="1" t="inlineStr">
        <is>
          <t>COLLAR C D’AMOUR ROSE GOLD</t>
        </is>
      </c>
      <c r="C1609" s="1" t="inlineStr">
        <is>
          <t>44cm con 5cm de extensión</t>
        </is>
      </c>
      <c r="D1609" s="1" t="inlineStr">
        <is>
          <t>01/09/2025</t>
        </is>
      </c>
      <c r="E1609" s="1" t="n">
        <v>2025</v>
      </c>
      <c r="F1609" s="1" t="inlineStr">
        <is>
          <t>SEPTIEMBRE</t>
        </is>
      </c>
      <c r="G1609" s="1" t="inlineStr">
        <is>
          <t>HAIFENG</t>
        </is>
      </c>
      <c r="H1609" s="1" t="inlineStr">
        <is>
          <t>HAIFENG 01/09/2025</t>
        </is>
      </c>
      <c r="I1609" s="4" t="n">
        <v>2</v>
      </c>
      <c r="J1609" s="6" t="n">
        <v>2.99</v>
      </c>
      <c r="K1609" s="6" t="n">
        <v>63.55445648</v>
      </c>
      <c r="L1609" s="6">
        <f>I1609*K1609</f>
        <v/>
      </c>
      <c r="M1609" s="6">
        <f>K1609*4</f>
        <v/>
      </c>
      <c r="N1609" s="6" t="n">
        <v>525</v>
      </c>
    </row>
    <row r="1610">
      <c r="A1610" s="1" t="inlineStr">
        <is>
          <t>43728082412172</t>
        </is>
      </c>
      <c r="B1610" s="1" t="inlineStr">
        <is>
          <t>COLLAR C D’AMOUR ROSE GOLD</t>
        </is>
      </c>
      <c r="C1610" s="1" t="inlineStr">
        <is>
          <t>44cm con 5cm de extensión</t>
        </is>
      </c>
      <c r="D1610" s="1" t="inlineStr">
        <is>
          <t>20/01/2026</t>
        </is>
      </c>
      <c r="E1610" s="1" t="n">
        <v>2026</v>
      </c>
      <c r="F1610" s="1" t="inlineStr">
        <is>
          <t>ENERO</t>
        </is>
      </c>
      <c r="G1610" s="1" t="inlineStr">
        <is>
          <t>HAIFENG</t>
        </is>
      </c>
      <c r="H1610" s="1" t="inlineStr">
        <is>
          <t>HAIFENG 20/01/2026</t>
        </is>
      </c>
      <c r="I1610" s="4" t="n">
        <v>3</v>
      </c>
      <c r="J1610" s="6" t="n">
        <v>2.99</v>
      </c>
      <c r="K1610" s="6" t="n">
        <v>63.3892492</v>
      </c>
      <c r="L1610" s="6">
        <f>I1610*K1610</f>
        <v/>
      </c>
      <c r="M1610" s="6">
        <f>K1610*4</f>
        <v/>
      </c>
      <c r="N1610" s="6" t="n">
        <v>525</v>
      </c>
    </row>
    <row r="1611">
      <c r="A1611" s="1" t="inlineStr">
        <is>
          <t>43728082412172</t>
        </is>
      </c>
      <c r="B1611" s="1" t="inlineStr">
        <is>
          <t>COLLAR C D’AMOUR ROSE GOLD</t>
        </is>
      </c>
      <c r="C1611" s="1" t="inlineStr">
        <is>
          <t>44cm con 5cm de extensión</t>
        </is>
      </c>
      <c r="D1611" s="1" t="inlineStr">
        <is>
          <t>10/02/2026</t>
        </is>
      </c>
      <c r="E1611" s="1" t="n">
        <v>2026</v>
      </c>
      <c r="F1611" s="1" t="inlineStr">
        <is>
          <t>FEBRERO</t>
        </is>
      </c>
      <c r="G1611" s="1" t="inlineStr">
        <is>
          <t>HAIFENG</t>
        </is>
      </c>
      <c r="H1611" s="1" t="inlineStr">
        <is>
          <t>HAIFENG 10/02/2026</t>
        </is>
      </c>
      <c r="I1611" s="4" t="n">
        <v>2</v>
      </c>
      <c r="J1611" s="6" t="n">
        <v>2.99</v>
      </c>
      <c r="K1611" s="6" t="n">
        <v>62.99480324</v>
      </c>
      <c r="L1611" s="6">
        <f>I1611*K1611</f>
        <v/>
      </c>
      <c r="M1611" s="6">
        <f>K1611*4</f>
        <v/>
      </c>
      <c r="N1611" s="6" t="n">
        <v>525</v>
      </c>
    </row>
    <row r="1612">
      <c r="A1612" s="1" t="inlineStr">
        <is>
          <t>43728082412172</t>
        </is>
      </c>
      <c r="B1612" s="1" t="inlineStr">
        <is>
          <t>COLLAR C D’AMOUR ROSE GOLD</t>
        </is>
      </c>
      <c r="C1612" s="1" t="inlineStr">
        <is>
          <t>44cm con 5cm de extensión</t>
        </is>
      </c>
      <c r="D1612" s="1" t="inlineStr">
        <is>
          <t>16/06/2026</t>
        </is>
      </c>
      <c r="E1612" s="1" t="n">
        <v>2026</v>
      </c>
      <c r="F1612" s="1" t="inlineStr">
        <is>
          <t>JUNIO</t>
        </is>
      </c>
      <c r="G1612" s="1" t="inlineStr">
        <is>
          <t>HAIFENG</t>
        </is>
      </c>
      <c r="H1612" s="1" t="inlineStr">
        <is>
          <t>HAIFENG 16/06/2026</t>
        </is>
      </c>
      <c r="I1612" s="4" t="n">
        <v>2</v>
      </c>
      <c r="J1612" s="6" t="n">
        <v>2.99</v>
      </c>
      <c r="K1612" s="6" t="n">
        <v>62.83367331</v>
      </c>
      <c r="L1612" s="6">
        <f>I1612*K1612</f>
        <v/>
      </c>
      <c r="M1612" s="6">
        <f>K1612*4</f>
        <v/>
      </c>
      <c r="N1612" s="6" t="n">
        <v>525</v>
      </c>
    </row>
    <row r="1613">
      <c r="A1613" s="1" t="inlineStr">
        <is>
          <t>43728083210732</t>
        </is>
      </c>
      <c r="B1613" s="1" t="inlineStr">
        <is>
          <t>BOLSO CC 22</t>
        </is>
      </c>
      <c r="C1613" s="1" t="inlineStr">
        <is>
          <t>19cm de alto x 23.5cm de ancho</t>
        </is>
      </c>
      <c r="D1613" s="1" t="inlineStr">
        <is>
          <t>01/09/2025</t>
        </is>
      </c>
      <c r="E1613" s="1" t="n">
        <v>2025</v>
      </c>
      <c r="F1613" s="1" t="inlineStr">
        <is>
          <t>SEPTIEMBRE</t>
        </is>
      </c>
      <c r="G1613" s="1" t="inlineStr">
        <is>
          <t>ZOEY</t>
        </is>
      </c>
      <c r="H1613" s="1" t="inlineStr">
        <is>
          <t>ZOEY 01/09/2025</t>
        </is>
      </c>
      <c r="I1613" s="4" t="n">
        <v>6</v>
      </c>
      <c r="J1613" s="6" t="n">
        <v>50</v>
      </c>
      <c r="K1613" s="6" t="n">
        <v>1255.89223</v>
      </c>
      <c r="L1613" s="6">
        <f>I1613*K1613</f>
        <v/>
      </c>
      <c r="M1613" s="6">
        <f>K1613*4</f>
        <v/>
      </c>
      <c r="N1613" s="6" t="n">
        <v>4190</v>
      </c>
    </row>
    <row r="1614">
      <c r="A1614" s="1" t="inlineStr">
        <is>
          <t>43728083210732</t>
        </is>
      </c>
      <c r="B1614" s="1" t="inlineStr">
        <is>
          <t>BOLSO CC 22</t>
        </is>
      </c>
      <c r="C1614" s="1" t="inlineStr">
        <is>
          <t>19cm de alto x 23.5cm de ancho</t>
        </is>
      </c>
      <c r="D1614" s="1" t="inlineStr">
        <is>
          <t>20/01/2026</t>
        </is>
      </c>
      <c r="E1614" s="1" t="n">
        <v>2026</v>
      </c>
      <c r="F1614" s="1" t="inlineStr">
        <is>
          <t>ENERO</t>
        </is>
      </c>
      <c r="G1614" s="1" t="inlineStr">
        <is>
          <t>ZOEY</t>
        </is>
      </c>
      <c r="H1614" s="1" t="inlineStr">
        <is>
          <t>ZOEY 20/01/2026</t>
        </is>
      </c>
      <c r="I1614" s="4" t="n">
        <v>3</v>
      </c>
      <c r="J1614" s="6" t="n">
        <v>50</v>
      </c>
      <c r="K1614" s="6" t="n">
        <v>1301.579968</v>
      </c>
      <c r="L1614" s="6">
        <f>I1614*K1614</f>
        <v/>
      </c>
      <c r="M1614" s="6">
        <f>K1614*4</f>
        <v/>
      </c>
      <c r="N1614" s="6" t="n">
        <v>4519</v>
      </c>
    </row>
    <row r="1615">
      <c r="A1615" s="1" t="inlineStr">
        <is>
          <t>43728083210732</t>
        </is>
      </c>
      <c r="B1615" s="1" t="inlineStr">
        <is>
          <t>BOLSO CC 22</t>
        </is>
      </c>
      <c r="C1615" s="1" t="inlineStr">
        <is>
          <t>19cm de alto x 23.5cm de ancho</t>
        </is>
      </c>
      <c r="D1615" s="1" t="inlineStr">
        <is>
          <t>19/03/2026</t>
        </is>
      </c>
      <c r="E1615" s="1" t="n">
        <v>2026</v>
      </c>
      <c r="F1615" s="1" t="inlineStr">
        <is>
          <t>MARZO</t>
        </is>
      </c>
      <c r="G1615" s="1" t="inlineStr">
        <is>
          <t>ZOEY</t>
        </is>
      </c>
      <c r="H1615" s="1" t="inlineStr">
        <is>
          <t>ZOEY 19/03/2026</t>
        </is>
      </c>
      <c r="I1615" s="4" t="n">
        <v>5</v>
      </c>
      <c r="J1615" s="6" t="n">
        <v>50</v>
      </c>
      <c r="K1615" s="6" t="n">
        <v>1289.102481</v>
      </c>
      <c r="L1615" s="6">
        <f>I1615*K1615</f>
        <v/>
      </c>
      <c r="M1615" s="6">
        <f>K1615*4</f>
        <v/>
      </c>
      <c r="N1615" s="6" t="n">
        <v>4519</v>
      </c>
    </row>
    <row r="1616">
      <c r="A1616" s="1" t="inlineStr">
        <is>
          <t>43728083428428</t>
        </is>
      </c>
      <c r="B1616" s="1" t="inlineStr">
        <is>
          <t>BOLSO CD GROOVE 20</t>
        </is>
      </c>
      <c r="C1616" s="1" t="inlineStr">
        <is>
          <t>25.5cm de largo x 21cm de alto x 15.5cm de ancho</t>
        </is>
      </c>
      <c r="D1616" s="1" t="inlineStr">
        <is>
          <t>01/09/2025</t>
        </is>
      </c>
      <c r="E1616" s="1" t="n">
        <v>2025</v>
      </c>
      <c r="F1616" s="1" t="inlineStr">
        <is>
          <t>SEPTIEMBRE</t>
        </is>
      </c>
      <c r="G1616" s="1" t="inlineStr">
        <is>
          <t>ZOEY</t>
        </is>
      </c>
      <c r="H1616" s="1" t="inlineStr">
        <is>
          <t>ZOEY 01/09/2025</t>
        </is>
      </c>
      <c r="I1616" s="4" t="n">
        <v>1</v>
      </c>
      <c r="J1616" s="6" t="n">
        <v>55</v>
      </c>
      <c r="K1616" s="6" t="n">
        <v>1381.481453</v>
      </c>
      <c r="L1616" s="6">
        <f>I1616*K1616</f>
        <v/>
      </c>
      <c r="M1616" s="6">
        <f>K1616*4</f>
        <v/>
      </c>
      <c r="N1616" s="6" t="n">
        <v>4650</v>
      </c>
    </row>
    <row r="1617">
      <c r="A1617" s="1" t="inlineStr">
        <is>
          <t>43728083428428</t>
        </is>
      </c>
      <c r="B1617" s="1" t="inlineStr">
        <is>
          <t>BOLSO CD GROOVE 20</t>
        </is>
      </c>
      <c r="C1617" s="1" t="inlineStr">
        <is>
          <t>25.5cm de largo x 21cm de alto x 15.5cm de ancho</t>
        </is>
      </c>
      <c r="D1617" s="1" t="inlineStr">
        <is>
          <t>20/01/2026</t>
        </is>
      </c>
      <c r="E1617" s="1" t="n">
        <v>2026</v>
      </c>
      <c r="F1617" s="1" t="inlineStr">
        <is>
          <t>ENERO</t>
        </is>
      </c>
      <c r="G1617" s="1" t="inlineStr">
        <is>
          <t>ZOEY</t>
        </is>
      </c>
      <c r="H1617" s="1" t="inlineStr">
        <is>
          <t>ZOEY 20/01/2026</t>
        </is>
      </c>
      <c r="I1617" s="4" t="n">
        <v>2</v>
      </c>
      <c r="J1617" s="6" t="n">
        <v>55</v>
      </c>
      <c r="K1617" s="6" t="n">
        <v>1431.737965</v>
      </c>
      <c r="L1617" s="6">
        <f>I1617*K1617</f>
        <v/>
      </c>
      <c r="M1617" s="6">
        <f>K1617*4</f>
        <v/>
      </c>
      <c r="N1617" s="6" t="n">
        <v>5058.32</v>
      </c>
    </row>
    <row r="1618">
      <c r="A1618" s="1" t="inlineStr">
        <is>
          <t>43728083428428</t>
        </is>
      </c>
      <c r="B1618" s="1" t="inlineStr">
        <is>
          <t>BOLSO CD GROOVE 20</t>
        </is>
      </c>
      <c r="C1618" s="1" t="inlineStr">
        <is>
          <t>25.5cm de largo x 21cm de alto x 15.5cm de ancho</t>
        </is>
      </c>
      <c r="D1618" s="1" t="inlineStr">
        <is>
          <t>02/03/2026</t>
        </is>
      </c>
      <c r="E1618" s="1" t="n">
        <v>2026</v>
      </c>
      <c r="F1618" s="1" t="inlineStr">
        <is>
          <t>MARZO</t>
        </is>
      </c>
      <c r="G1618" s="1" t="inlineStr">
        <is>
          <t>ZOEY</t>
        </is>
      </c>
      <c r="H1618" s="1" t="inlineStr">
        <is>
          <t>ZOEY 02/03/2026</t>
        </is>
      </c>
      <c r="I1618" s="4" t="n">
        <v>2</v>
      </c>
      <c r="J1618" s="6" t="n">
        <v>55</v>
      </c>
      <c r="K1618" s="6" t="n">
        <v>1445.233665</v>
      </c>
      <c r="L1618" s="6">
        <f>I1618*K1618</f>
        <v/>
      </c>
      <c r="M1618" s="6">
        <f>K1618*4</f>
        <v/>
      </c>
      <c r="N1618" s="6" t="n">
        <v>5058.32</v>
      </c>
    </row>
    <row r="1619">
      <c r="A1619" s="1" t="inlineStr">
        <is>
          <t>43728083615436</t>
        </is>
      </c>
      <c r="B1619" s="1" t="inlineStr">
        <is>
          <t>LENTES CD SIGNATURE SI21</t>
        </is>
      </c>
      <c r="C1619" s="1" t="inlineStr">
        <is>
          <t>Default Title</t>
        </is>
      </c>
      <c r="D1619" s="1" t="inlineStr">
        <is>
          <t>20/01/2026</t>
        </is>
      </c>
      <c r="E1619" s="1" t="n">
        <v>2026</v>
      </c>
      <c r="F1619" s="1" t="inlineStr">
        <is>
          <t>ENERO</t>
        </is>
      </c>
      <c r="G1619" s="1" t="inlineStr">
        <is>
          <t>ZOEY</t>
        </is>
      </c>
      <c r="H1619" s="1" t="inlineStr">
        <is>
          <t>ZOEY 20/01/2026</t>
        </is>
      </c>
      <c r="I1619" s="4" t="n">
        <v>3</v>
      </c>
      <c r="J1619" s="6" t="n">
        <v>36</v>
      </c>
      <c r="K1619" s="6" t="n">
        <v>937.1375773</v>
      </c>
      <c r="L1619" s="6">
        <f>I1619*K1619</f>
        <v/>
      </c>
      <c r="M1619" s="6">
        <f>K1619*4</f>
        <v/>
      </c>
      <c r="N1619" s="6" t="n">
        <v>3530</v>
      </c>
    </row>
    <row r="1620">
      <c r="A1620" s="1" t="inlineStr">
        <is>
          <t>43728083615436</t>
        </is>
      </c>
      <c r="B1620" s="1" t="inlineStr">
        <is>
          <t>LENTES CD SIGNATURE SI21</t>
        </is>
      </c>
      <c r="C1620" s="1" t="inlineStr">
        <is>
          <t>Default Title</t>
        </is>
      </c>
      <c r="D1620" s="1" t="inlineStr">
        <is>
          <t>08/06/2026</t>
        </is>
      </c>
      <c r="E1620" s="1" t="n">
        <v>2026</v>
      </c>
      <c r="F1620" s="1" t="inlineStr">
        <is>
          <t>JUNIO</t>
        </is>
      </c>
      <c r="G1620" s="1" t="inlineStr">
        <is>
          <t>ZOEY</t>
        </is>
      </c>
      <c r="H1620" s="1" t="inlineStr">
        <is>
          <t>ZOEY 08/06/2026</t>
        </is>
      </c>
      <c r="I1620" s="4" t="n">
        <v>1</v>
      </c>
      <c r="J1620" s="6" t="n">
        <v>36</v>
      </c>
      <c r="K1620" s="6" t="n">
        <v>882.4117124000001</v>
      </c>
      <c r="L1620" s="6">
        <f>I1620*K1620</f>
        <v/>
      </c>
      <c r="M1620" s="6">
        <f>K1620*4</f>
        <v/>
      </c>
      <c r="N1620" s="6" t="n">
        <v>3530</v>
      </c>
    </row>
    <row r="1621">
      <c r="A1621" s="1" t="inlineStr">
        <is>
          <t>43728083774252</t>
        </is>
      </c>
      <c r="B1621" s="1" t="inlineStr">
        <is>
          <t>BOLSO DE VIAJE  LV KEEPALL 45</t>
        </is>
      </c>
      <c r="C1621" s="1" t="inlineStr">
        <is>
          <t>44cm de largo x 25cm de alto x 20cm de ancho</t>
        </is>
      </c>
      <c r="D1621" s="1" t="inlineStr">
        <is>
          <t>20/01/2026</t>
        </is>
      </c>
      <c r="E1621" s="1" t="n">
        <v>2026</v>
      </c>
      <c r="F1621" s="1" t="inlineStr">
        <is>
          <t>ENERO</t>
        </is>
      </c>
      <c r="G1621" s="1" t="inlineStr">
        <is>
          <t>ZOEY</t>
        </is>
      </c>
      <c r="H1621" s="1" t="inlineStr">
        <is>
          <t>ZOEY 20/01/2026</t>
        </is>
      </c>
      <c r="I1621" s="4" t="n">
        <v>1</v>
      </c>
      <c r="J1621" s="6" t="n">
        <v>60</v>
      </c>
      <c r="K1621" s="6" t="n">
        <v>1561.895962</v>
      </c>
      <c r="L1621" s="6">
        <f>I1621*K1621</f>
        <v/>
      </c>
      <c r="M1621" s="6">
        <f>K1621*4</f>
        <v/>
      </c>
      <c r="N1621" s="6" t="n">
        <v>5419</v>
      </c>
    </row>
    <row r="1622">
      <c r="A1622" s="1" t="inlineStr">
        <is>
          <t>43728083774252</t>
        </is>
      </c>
      <c r="B1622" s="1" t="inlineStr">
        <is>
          <t>BOLSO DE VIAJE  LV KEEPALL 45</t>
        </is>
      </c>
      <c r="C1622" s="1" t="inlineStr">
        <is>
          <t>44cm de largo x 25cm de alto x 20cm de ancho</t>
        </is>
      </c>
      <c r="D1622" s="1" t="inlineStr">
        <is>
          <t>19/03/2026</t>
        </is>
      </c>
      <c r="E1622" s="1" t="n">
        <v>2026</v>
      </c>
      <c r="F1622" s="1" t="inlineStr">
        <is>
          <t>MARZO</t>
        </is>
      </c>
      <c r="G1622" s="1" t="inlineStr">
        <is>
          <t>ZOEY</t>
        </is>
      </c>
      <c r="H1622" s="1" t="inlineStr">
        <is>
          <t>ZOEY 19/03/2026</t>
        </is>
      </c>
      <c r="I1622" s="4" t="n">
        <v>2</v>
      </c>
      <c r="J1622" s="6" t="n">
        <v>60</v>
      </c>
      <c r="K1622" s="6" t="n">
        <v>1546.922977</v>
      </c>
      <c r="L1622" s="6">
        <f>I1622*K1622</f>
        <v/>
      </c>
      <c r="M1622" s="6">
        <f>K1622*4</f>
        <v/>
      </c>
      <c r="N1622" s="6" t="n">
        <v>5419</v>
      </c>
    </row>
    <row r="1623">
      <c r="A1623" s="1" t="inlineStr">
        <is>
          <t>43728083875724</t>
        </is>
      </c>
      <c r="B1623" s="1" t="inlineStr">
        <is>
          <t>BOLSO MISS D BLACK</t>
        </is>
      </c>
      <c r="C1623" s="1" t="inlineStr">
        <is>
          <t>21.6cm de largo x 12cm de alto x 6.7cm de ancho (REMATE)</t>
        </is>
      </c>
      <c r="D1623" s="1" t="inlineStr">
        <is>
          <t>19/03/2026</t>
        </is>
      </c>
      <c r="E1623" s="1" t="n">
        <v>2026</v>
      </c>
      <c r="F1623" s="1" t="inlineStr">
        <is>
          <t>MARZO</t>
        </is>
      </c>
      <c r="G1623" s="1" t="inlineStr">
        <is>
          <t>ZOEY</t>
        </is>
      </c>
      <c r="H1623" s="1" t="inlineStr">
        <is>
          <t>ZOEY 19/03/2026</t>
        </is>
      </c>
      <c r="I1623" s="4" t="n">
        <v>1</v>
      </c>
      <c r="J1623" s="6" t="n">
        <v>58</v>
      </c>
      <c r="K1623" s="6" t="n">
        <v>1495.358878</v>
      </c>
      <c r="L1623" s="6">
        <f>I1623*K1623</f>
        <v/>
      </c>
      <c r="M1623" s="6">
        <f>K1623*4</f>
        <v/>
      </c>
      <c r="N1623" s="6" t="n">
        <v>5239</v>
      </c>
    </row>
    <row r="1624">
      <c r="A1624" s="1" t="inlineStr">
        <is>
          <t>43728084018412</t>
        </is>
      </c>
      <c r="B1624" s="1" t="inlineStr">
        <is>
          <t>LENTES MM</t>
        </is>
      </c>
      <c r="C1624" s="1" t="inlineStr">
        <is>
          <t>Negro</t>
        </is>
      </c>
      <c r="D1624" s="1" t="inlineStr">
        <is>
          <t>25/10/2025</t>
        </is>
      </c>
      <c r="E1624" s="1" t="n">
        <v>2025</v>
      </c>
      <c r="F1624" s="1" t="inlineStr">
        <is>
          <t>OCTUBRE</t>
        </is>
      </c>
      <c r="G1624" s="1" t="inlineStr">
        <is>
          <t>CYNTHIA</t>
        </is>
      </c>
      <c r="H1624" s="1" t="inlineStr">
        <is>
          <t>CYNTHIA 25/10/2025</t>
        </is>
      </c>
      <c r="I1624" s="4" t="n">
        <v>2</v>
      </c>
      <c r="J1624" s="6" t="n">
        <v>39</v>
      </c>
      <c r="K1624" s="6" t="n">
        <v>1021.87112</v>
      </c>
      <c r="L1624" s="6">
        <f>I1624*K1624</f>
        <v/>
      </c>
      <c r="M1624" s="6">
        <f>K1624*4</f>
        <v/>
      </c>
      <c r="N1624" s="6" t="n">
        <v>3300</v>
      </c>
    </row>
    <row r="1625">
      <c r="A1625" s="1" t="inlineStr">
        <is>
          <t>43728084018412</t>
        </is>
      </c>
      <c r="B1625" s="1" t="inlineStr">
        <is>
          <t>LENTES MM</t>
        </is>
      </c>
      <c r="C1625" s="1" t="inlineStr">
        <is>
          <t>Negro</t>
        </is>
      </c>
      <c r="D1625" s="1" t="inlineStr">
        <is>
          <t>07/01/2026</t>
        </is>
      </c>
      <c r="E1625" s="1" t="n">
        <v>2026</v>
      </c>
      <c r="F1625" s="1" t="inlineStr">
        <is>
          <t>ENERO</t>
        </is>
      </c>
      <c r="G1625" s="1" t="inlineStr">
        <is>
          <t>CYNTHIA</t>
        </is>
      </c>
      <c r="H1625" s="1" t="inlineStr">
        <is>
          <t>CYNTHIA 07/01/2026</t>
        </is>
      </c>
      <c r="I1625" s="4" t="n">
        <v>3</v>
      </c>
      <c r="J1625" s="6" t="n">
        <v>39</v>
      </c>
      <c r="K1625" s="6" t="n">
        <v>1036.909679</v>
      </c>
      <c r="L1625" s="6">
        <f>I1625*K1625</f>
        <v/>
      </c>
      <c r="M1625" s="6">
        <f>K1625*4</f>
        <v/>
      </c>
      <c r="N1625" s="6" t="n">
        <v>3999</v>
      </c>
    </row>
    <row r="1626">
      <c r="A1626" s="1" t="inlineStr">
        <is>
          <t>43728084218572</t>
        </is>
      </c>
      <c r="B1626" s="1" t="inlineStr">
        <is>
          <t>BOLSO LV DISTRICT BLACK</t>
        </is>
      </c>
      <c r="C1626" s="1" t="inlineStr">
        <is>
          <t>25cm de largo x 23cm de alto x 6.5cm de ancho (REMATE)</t>
        </is>
      </c>
      <c r="D1626" s="1" t="inlineStr">
        <is>
          <t>21/10/2025</t>
        </is>
      </c>
      <c r="E1626" s="1" t="n">
        <v>2025</v>
      </c>
      <c r="F1626" s="1" t="inlineStr">
        <is>
          <t>OCTUBRE</t>
        </is>
      </c>
      <c r="G1626" s="1" t="inlineStr">
        <is>
          <t>DINA DU</t>
        </is>
      </c>
      <c r="H1626" s="1" t="inlineStr">
        <is>
          <t>DINA DU 21/10/2025</t>
        </is>
      </c>
      <c r="I1626" s="4" t="n">
        <v>5</v>
      </c>
      <c r="J1626" s="6" t="n">
        <v>21</v>
      </c>
      <c r="K1626" s="6" t="n">
        <v>588.7246974</v>
      </c>
      <c r="L1626" s="6">
        <f>I1626*K1626</f>
        <v/>
      </c>
      <c r="M1626" s="6">
        <f>K1626*4</f>
        <v/>
      </c>
      <c r="N1626" s="6" t="n">
        <v>1758</v>
      </c>
    </row>
    <row r="1627">
      <c r="A1627" s="1" t="inlineStr">
        <is>
          <t>43728084530892</t>
        </is>
      </c>
      <c r="B1627" s="1" t="inlineStr">
        <is>
          <t>SUÉTER PR MILANO WHITE</t>
        </is>
      </c>
      <c r="C1627" s="1" t="inlineStr">
        <is>
          <t>M</t>
        </is>
      </c>
      <c r="D1627" s="1" t="inlineStr">
        <is>
          <t>08/06/2026</t>
        </is>
      </c>
      <c r="E1627" s="1" t="n">
        <v>2026</v>
      </c>
      <c r="F1627" s="1" t="inlineStr">
        <is>
          <t>JUNIO</t>
        </is>
      </c>
      <c r="G1627" s="1" t="inlineStr">
        <is>
          <t>ZOEY</t>
        </is>
      </c>
      <c r="H1627" s="1" t="inlineStr">
        <is>
          <t>ZOEY 08/06/2026</t>
        </is>
      </c>
      <c r="I1627" s="4" t="n">
        <v>3</v>
      </c>
      <c r="J1627" s="6" t="n">
        <v>38</v>
      </c>
      <c r="K1627" s="6" t="n">
        <v>931.4345853</v>
      </c>
      <c r="L1627" s="6">
        <f>I1627*K1627</f>
        <v/>
      </c>
      <c r="M1627" s="6">
        <f>K1627*4</f>
        <v/>
      </c>
      <c r="N1627" s="6" t="n">
        <v>3700</v>
      </c>
    </row>
    <row r="1628">
      <c r="A1628" s="1" t="inlineStr">
        <is>
          <t>43728084634892</t>
        </is>
      </c>
      <c r="B1628" s="1" t="inlineStr">
        <is>
          <t>SUÉTER PR MILANO BLACK</t>
        </is>
      </c>
      <c r="C1628" s="1" t="inlineStr">
        <is>
          <t>M</t>
        </is>
      </c>
      <c r="D1628" s="1" t="inlineStr">
        <is>
          <t>25/10/2025</t>
        </is>
      </c>
      <c r="E1628" s="1" t="n">
        <v>2025</v>
      </c>
      <c r="F1628" s="1" t="inlineStr">
        <is>
          <t>OCTUBRE</t>
        </is>
      </c>
      <c r="G1628" s="1" t="inlineStr">
        <is>
          <t>CYNTHIA</t>
        </is>
      </c>
      <c r="H1628" s="1" t="inlineStr">
        <is>
          <t>CYNTHIA 25/10/2025</t>
        </is>
      </c>
      <c r="I1628" s="4" t="n">
        <v>2</v>
      </c>
      <c r="J1628" s="6" t="n">
        <v>22.8</v>
      </c>
      <c r="K1628" s="6" t="n">
        <v>597.4015778</v>
      </c>
      <c r="L1628" s="6">
        <f>I1628*K1628</f>
        <v/>
      </c>
      <c r="M1628" s="6">
        <f>K1628*4</f>
        <v/>
      </c>
      <c r="N1628" s="6" t="n">
        <v>2832</v>
      </c>
    </row>
    <row r="1629">
      <c r="A1629" s="1" t="inlineStr">
        <is>
          <t>43728084634892</t>
        </is>
      </c>
      <c r="B1629" s="1" t="inlineStr">
        <is>
          <t>SUÉTER PR MILANO BLACK</t>
        </is>
      </c>
      <c r="C1629" s="1" t="inlineStr">
        <is>
          <t>M</t>
        </is>
      </c>
      <c r="D1629" s="1" t="inlineStr">
        <is>
          <t>25/10/2025</t>
        </is>
      </c>
      <c r="E1629" s="1" t="n">
        <v>2025</v>
      </c>
      <c r="F1629" s="1" t="inlineStr">
        <is>
          <t>OCTUBRE</t>
        </is>
      </c>
      <c r="G1629" s="1" t="inlineStr">
        <is>
          <t>CYNTHIA</t>
        </is>
      </c>
      <c r="H1629" s="1" t="inlineStr">
        <is>
          <t>CYNTHIA 25/10/2025</t>
        </is>
      </c>
      <c r="I1629" s="4" t="n">
        <v>2</v>
      </c>
      <c r="J1629" s="6" t="n">
        <v>22.8</v>
      </c>
      <c r="K1629" s="6" t="n">
        <v>597.4015778</v>
      </c>
      <c r="L1629" s="6">
        <f>I1629*K1629</f>
        <v/>
      </c>
      <c r="M1629" s="6">
        <f>K1629*4</f>
        <v/>
      </c>
      <c r="N1629" s="6" t="n">
        <v>2832</v>
      </c>
    </row>
    <row r="1630">
      <c r="A1630" s="1" t="inlineStr">
        <is>
          <t>43728084634892</t>
        </is>
      </c>
      <c r="B1630" s="1" t="inlineStr">
        <is>
          <t>SUETER PR MILANO BLACK</t>
        </is>
      </c>
      <c r="C1630" s="1" t="inlineStr">
        <is>
          <t>M</t>
        </is>
      </c>
      <c r="D1630" s="1" t="inlineStr">
        <is>
          <t>25/10/2025</t>
        </is>
      </c>
      <c r="E1630" s="1" t="n">
        <v>2025</v>
      </c>
      <c r="F1630" s="1" t="inlineStr">
        <is>
          <t>OCTUBRE</t>
        </is>
      </c>
      <c r="G1630" s="1" t="inlineStr">
        <is>
          <t>ZOEY</t>
        </is>
      </c>
      <c r="H1630" s="1" t="inlineStr">
        <is>
          <t>ZOEY 25/10/2025</t>
        </is>
      </c>
      <c r="I1630" s="4" t="n">
        <v>5</v>
      </c>
      <c r="J1630" s="6" t="n">
        <v>38</v>
      </c>
      <c r="K1630" s="6" t="n">
        <v>942.4041536</v>
      </c>
      <c r="L1630" s="6">
        <f>I1630*K1630</f>
        <v/>
      </c>
      <c r="M1630" s="6">
        <f>K1630*4</f>
        <v/>
      </c>
      <c r="N1630" s="6" t="n">
        <v>2832</v>
      </c>
    </row>
    <row r="1631">
      <c r="A1631" s="1" t="inlineStr">
        <is>
          <t>43728084854796</t>
        </is>
      </c>
      <c r="B1631" s="1" t="inlineStr">
        <is>
          <t>SUETER YSL</t>
        </is>
      </c>
      <c r="C1631" s="1" t="inlineStr">
        <is>
          <t>M</t>
        </is>
      </c>
      <c r="D1631" s="1" t="inlineStr">
        <is>
          <t>01/09/2025</t>
        </is>
      </c>
      <c r="E1631" s="1" t="n">
        <v>2025</v>
      </c>
      <c r="F1631" s="1" t="inlineStr">
        <is>
          <t>SEPTIEMBRE</t>
        </is>
      </c>
      <c r="G1631" s="1" t="inlineStr">
        <is>
          <t>ZOEY</t>
        </is>
      </c>
      <c r="H1631" s="1" t="inlineStr">
        <is>
          <t>ZOEY 01/09/2025</t>
        </is>
      </c>
      <c r="I1631" s="4" t="n">
        <v>2</v>
      </c>
      <c r="J1631" s="6" t="n">
        <v>38</v>
      </c>
      <c r="K1631" s="6" t="n">
        <v>954.4780949</v>
      </c>
      <c r="L1631" s="6">
        <f>I1631*K1631</f>
        <v/>
      </c>
      <c r="M1631" s="6">
        <f>K1631*4</f>
        <v/>
      </c>
      <c r="N1631" s="6" t="n">
        <v>2832</v>
      </c>
    </row>
    <row r="1632">
      <c r="A1632" s="1" t="inlineStr">
        <is>
          <t>43728084854796</t>
        </is>
      </c>
      <c r="B1632" s="1" t="inlineStr">
        <is>
          <t>SUETER YSL</t>
        </is>
      </c>
      <c r="C1632" s="1" t="inlineStr">
        <is>
          <t>M</t>
        </is>
      </c>
      <c r="D1632" s="1" t="inlineStr">
        <is>
          <t>25/10/2025</t>
        </is>
      </c>
      <c r="E1632" s="1" t="n">
        <v>2025</v>
      </c>
      <c r="F1632" s="1" t="inlineStr">
        <is>
          <t>OCTUBRE</t>
        </is>
      </c>
      <c r="G1632" s="1" t="inlineStr">
        <is>
          <t>ZOEY</t>
        </is>
      </c>
      <c r="H1632" s="1" t="inlineStr">
        <is>
          <t>ZOEY 25/10/2025</t>
        </is>
      </c>
      <c r="I1632" s="4" t="n">
        <v>3</v>
      </c>
      <c r="J1632" s="6" t="n">
        <v>38</v>
      </c>
      <c r="K1632" s="6" t="n">
        <v>942.4041536</v>
      </c>
      <c r="L1632" s="6">
        <f>I1632*K1632</f>
        <v/>
      </c>
      <c r="M1632" s="6">
        <f>K1632*4</f>
        <v/>
      </c>
      <c r="N1632" s="6" t="n">
        <v>2832</v>
      </c>
    </row>
    <row r="1633">
      <c r="A1633" s="1" t="inlineStr">
        <is>
          <t>43728085170668</t>
        </is>
      </c>
      <c r="B1633" s="1" t="inlineStr">
        <is>
          <t>COLLAR ESLABON DOBLE CADENA GOLD</t>
        </is>
      </c>
      <c r="C1633" s="1" t="inlineStr">
        <is>
          <t>47cm HIGH QUALITY</t>
        </is>
      </c>
      <c r="D1633" s="1" t="inlineStr">
        <is>
          <t>05/09/2025</t>
        </is>
      </c>
      <c r="E1633" s="1" t="n">
        <v>2025</v>
      </c>
      <c r="F1633" s="1" t="inlineStr">
        <is>
          <t>SEPTIEMBRE</t>
        </is>
      </c>
      <c r="G1633" s="1" t="inlineStr">
        <is>
          <t>CYNTHIA</t>
        </is>
      </c>
      <c r="H1633" s="1" t="inlineStr">
        <is>
          <t>CYNTHIA 05/09/2025</t>
        </is>
      </c>
      <c r="I1633" s="4" t="n">
        <v>5</v>
      </c>
      <c r="J1633" s="6" t="n">
        <v>9.800000000000001</v>
      </c>
      <c r="K1633" s="6" t="n">
        <v>246.7551499</v>
      </c>
      <c r="L1633" s="6">
        <f>I1633*K1633</f>
        <v/>
      </c>
      <c r="M1633" s="6">
        <f>K1633*4</f>
        <v/>
      </c>
      <c r="N1633" s="6" t="n">
        <v>999</v>
      </c>
    </row>
    <row r="1634">
      <c r="A1634" s="1" t="inlineStr">
        <is>
          <t>43728085170668</t>
        </is>
      </c>
      <c r="B1634" s="1" t="n"/>
      <c r="C1634" s="1" t="inlineStr">
        <is>
          <t>47cm HIGH QUALITY</t>
        </is>
      </c>
      <c r="D1634" s="1" t="inlineStr">
        <is>
          <t>07/01/2026</t>
        </is>
      </c>
      <c r="E1634" s="1" t="n">
        <v>2026</v>
      </c>
      <c r="F1634" s="1" t="inlineStr">
        <is>
          <t>ENERO</t>
        </is>
      </c>
      <c r="G1634" s="1" t="inlineStr">
        <is>
          <t>CYNTHIA</t>
        </is>
      </c>
      <c r="H1634" s="1" t="inlineStr">
        <is>
          <t>CYNTHIA 07/01/2026</t>
        </is>
      </c>
      <c r="I1634" s="4" t="n">
        <v>5</v>
      </c>
      <c r="J1634" s="6" t="n">
        <v>11.8</v>
      </c>
      <c r="K1634" s="6" t="n">
        <v>313.7316465</v>
      </c>
      <c r="L1634" s="6">
        <f>I1634*K1634</f>
        <v/>
      </c>
      <c r="M1634" s="6">
        <f>K1634*4</f>
        <v/>
      </c>
      <c r="N1634" s="6" t="n">
        <v>1149</v>
      </c>
    </row>
    <row r="1635">
      <c r="A1635" s="1" t="inlineStr">
        <is>
          <t>43728085170668</t>
        </is>
      </c>
      <c r="B1635" s="1" t="inlineStr">
        <is>
          <t>COLLAR ESLABON DOBLE CADENA GOLD</t>
        </is>
      </c>
      <c r="C1635" s="1" t="inlineStr">
        <is>
          <t>47cm HIGH QUALITY</t>
        </is>
      </c>
      <c r="D1635" s="1" t="inlineStr">
        <is>
          <t>19/03/2026</t>
        </is>
      </c>
      <c r="E1635" s="1" t="n">
        <v>2026</v>
      </c>
      <c r="F1635" s="1" t="inlineStr">
        <is>
          <t>MARZO</t>
        </is>
      </c>
      <c r="G1635" s="1" t="inlineStr">
        <is>
          <t>CYNTHIA</t>
        </is>
      </c>
      <c r="H1635" s="1" t="inlineStr">
        <is>
          <t>CYNTHIA 19/03/2026</t>
        </is>
      </c>
      <c r="I1635" s="4" t="n">
        <v>3</v>
      </c>
      <c r="J1635" s="6" t="n">
        <v>10.8</v>
      </c>
      <c r="K1635" s="6" t="n">
        <v>290.0600906</v>
      </c>
      <c r="L1635" s="6">
        <f>I1635*K1635</f>
        <v/>
      </c>
      <c r="M1635" s="6">
        <f>K1635*4</f>
        <v/>
      </c>
      <c r="N1635" s="6" t="n">
        <v>1149</v>
      </c>
    </row>
    <row r="1636">
      <c r="A1636" s="1" t="inlineStr">
        <is>
          <t>43728085170668</t>
        </is>
      </c>
      <c r="B1636" s="1" t="inlineStr">
        <is>
          <t>COLLAR ESLABON DOBLE CADENA GOLD</t>
        </is>
      </c>
      <c r="C1636" s="1" t="inlineStr">
        <is>
          <t>47cm HIGH QUALITY</t>
        </is>
      </c>
      <c r="D1636" s="1" t="inlineStr">
        <is>
          <t>31/05/2026</t>
        </is>
      </c>
      <c r="E1636" s="1" t="n">
        <v>2026</v>
      </c>
      <c r="F1636" s="1" t="inlineStr">
        <is>
          <t>MAYO</t>
        </is>
      </c>
      <c r="G1636" s="1" t="inlineStr">
        <is>
          <t>CYNTHIA</t>
        </is>
      </c>
      <c r="H1636" s="1" t="inlineStr">
        <is>
          <t>CYNTHIA 31/05/2026</t>
        </is>
      </c>
      <c r="I1636" s="4" t="n">
        <v>3</v>
      </c>
      <c r="J1636" s="6" t="n">
        <v>10.8</v>
      </c>
      <c r="K1636" s="6" t="n">
        <v>286.2112858</v>
      </c>
      <c r="L1636" s="6">
        <f>I1636*K1636</f>
        <v/>
      </c>
      <c r="M1636" s="6">
        <f>K1636*4</f>
        <v/>
      </c>
      <c r="N1636" s="6" t="n">
        <v>1149</v>
      </c>
    </row>
    <row r="1637">
      <c r="A1637" s="1" t="inlineStr">
        <is>
          <t>43728085695276</t>
        </is>
      </c>
      <c r="B1637" s="1" t="inlineStr">
        <is>
          <t>BOLSO F FENDIGRAPHY BLACK</t>
        </is>
      </c>
      <c r="C1637" s="1" t="inlineStr">
        <is>
          <t>14cm de largo x 11cm de alto x 4cm de ancho</t>
        </is>
      </c>
      <c r="D1637" s="1" t="inlineStr">
        <is>
          <t>01/09/2025</t>
        </is>
      </c>
      <c r="E1637" s="1" t="n">
        <v>2025</v>
      </c>
      <c r="F1637" s="1" t="inlineStr">
        <is>
          <t>SEPTIEMBRE</t>
        </is>
      </c>
      <c r="G1637" s="1" t="inlineStr">
        <is>
          <t>ZOEY</t>
        </is>
      </c>
      <c r="H1637" s="1" t="inlineStr">
        <is>
          <t>ZOEY 01/09/2025</t>
        </is>
      </c>
      <c r="I1637" s="4" t="n">
        <v>4</v>
      </c>
      <c r="J1637" s="6" t="n">
        <v>50</v>
      </c>
      <c r="K1637" s="6" t="n">
        <v>1255.89223</v>
      </c>
      <c r="L1637" s="6">
        <f>I1637*K1637</f>
        <v/>
      </c>
      <c r="M1637" s="6">
        <f>K1637*4</f>
        <v/>
      </c>
      <c r="N1637" s="6" t="n">
        <v>3154</v>
      </c>
    </row>
    <row r="1638">
      <c r="A1638" s="1" t="inlineStr">
        <is>
          <t>43728085758636</t>
        </is>
      </c>
      <c r="B1638" s="1" t="inlineStr">
        <is>
          <t>BOLSO DE VIAJE GC LOGO</t>
        </is>
      </c>
      <c r="C1638" s="1" t="inlineStr">
        <is>
          <t>42cm de largo x 29cm de alto x 21cm de ancho</t>
        </is>
      </c>
      <c r="D1638" s="1" t="inlineStr">
        <is>
          <t>01/09/2025</t>
        </is>
      </c>
      <c r="E1638" s="1" t="n">
        <v>2025</v>
      </c>
      <c r="F1638" s="1" t="inlineStr">
        <is>
          <t>SEPTIEMBRE</t>
        </is>
      </c>
      <c r="G1638" s="1" t="inlineStr">
        <is>
          <t>ZOEY</t>
        </is>
      </c>
      <c r="H1638" s="1" t="inlineStr">
        <is>
          <t>ZOEY 01/09/2025</t>
        </is>
      </c>
      <c r="I1638" s="4" t="n">
        <v>2</v>
      </c>
      <c r="J1638" s="6" t="n">
        <v>75</v>
      </c>
      <c r="K1638" s="6" t="n">
        <v>1883.838345</v>
      </c>
      <c r="L1638" s="6">
        <f>I1638*K1638</f>
        <v/>
      </c>
      <c r="M1638" s="6">
        <f>K1638*4</f>
        <v/>
      </c>
      <c r="N1638" s="6" t="n">
        <v>6235.4</v>
      </c>
    </row>
    <row r="1639">
      <c r="A1639" s="1" t="inlineStr">
        <is>
          <t>43728085897228</t>
        </is>
      </c>
      <c r="B1639" s="1" t="inlineStr">
        <is>
          <t>CARTERA GC OPHIDIA</t>
        </is>
      </c>
      <c r="C1639" s="1" t="inlineStr">
        <is>
          <t>12cm de largo x 10cm de alto</t>
        </is>
      </c>
      <c r="D1639" s="1" t="inlineStr">
        <is>
          <t>01/09/2025</t>
        </is>
      </c>
      <c r="E1639" s="1" t="n">
        <v>2025</v>
      </c>
      <c r="F1639" s="1" t="inlineStr">
        <is>
          <t>SEPTIEMBRE</t>
        </is>
      </c>
      <c r="G1639" s="1" t="inlineStr">
        <is>
          <t>ZOEY</t>
        </is>
      </c>
      <c r="H1639" s="1" t="inlineStr">
        <is>
          <t>ZOEY 01/09/2025</t>
        </is>
      </c>
      <c r="I1639" s="4" t="n">
        <v>3</v>
      </c>
      <c r="J1639" s="6" t="n">
        <v>18</v>
      </c>
      <c r="K1639" s="6" t="n">
        <v>452.1212029</v>
      </c>
      <c r="L1639" s="6">
        <f>I1639*K1639</f>
        <v/>
      </c>
      <c r="M1639" s="6">
        <f>K1639*4</f>
        <v/>
      </c>
      <c r="N1639" s="6" t="n">
        <v>1500</v>
      </c>
    </row>
    <row r="1640">
      <c r="A1640" s="1" t="inlineStr">
        <is>
          <t>43728085897228</t>
        </is>
      </c>
      <c r="B1640" s="1" t="inlineStr">
        <is>
          <t>CARTERA GC OPHIDIA</t>
        </is>
      </c>
      <c r="C1640" s="1" t="inlineStr">
        <is>
          <t>12cm de largo x 10cm de alto</t>
        </is>
      </c>
      <c r="D1640" s="1" t="inlineStr">
        <is>
          <t>25/10/2025</t>
        </is>
      </c>
      <c r="E1640" s="1" t="n">
        <v>2025</v>
      </c>
      <c r="F1640" s="1" t="inlineStr">
        <is>
          <t>OCTUBRE</t>
        </is>
      </c>
      <c r="G1640" s="1" t="inlineStr">
        <is>
          <t>ZOEY</t>
        </is>
      </c>
      <c r="H1640" s="1" t="inlineStr">
        <is>
          <t>ZOEY 25/10/2025</t>
        </is>
      </c>
      <c r="I1640" s="4" t="n">
        <v>1</v>
      </c>
      <c r="J1640" s="6" t="n">
        <v>18</v>
      </c>
      <c r="K1640" s="6" t="n">
        <v>446.4019675</v>
      </c>
      <c r="L1640" s="6">
        <f>I1640*K1640</f>
        <v/>
      </c>
      <c r="M1640" s="6">
        <f>K1640*4</f>
        <v/>
      </c>
      <c r="N1640" s="6" t="n">
        <v>1500</v>
      </c>
    </row>
    <row r="1641">
      <c r="A1641" s="1" t="inlineStr">
        <is>
          <t>43728085897228</t>
        </is>
      </c>
      <c r="B1641" s="1" t="inlineStr">
        <is>
          <t>CARTERA GC OPHIDIA</t>
        </is>
      </c>
      <c r="C1641" s="1" t="inlineStr">
        <is>
          <t>12cm de largo x 10cm de alto</t>
        </is>
      </c>
      <c r="D1641" s="1" t="inlineStr">
        <is>
          <t>20/01/2026</t>
        </is>
      </c>
      <c r="E1641" s="1" t="n">
        <v>2026</v>
      </c>
      <c r="F1641" s="1" t="inlineStr">
        <is>
          <t>ENERO</t>
        </is>
      </c>
      <c r="G1641" s="1" t="inlineStr">
        <is>
          <t>ZOEY</t>
        </is>
      </c>
      <c r="H1641" s="1" t="inlineStr">
        <is>
          <t>ZOEY 20/01/2026</t>
        </is>
      </c>
      <c r="I1641" s="4" t="n">
        <v>2</v>
      </c>
      <c r="J1641" s="6" t="n">
        <v>18</v>
      </c>
      <c r="K1641" s="6" t="n">
        <v>468.5687886</v>
      </c>
      <c r="L1641" s="6">
        <f>I1641*K1641</f>
        <v/>
      </c>
      <c r="M1641" s="6">
        <f>K1641*4</f>
        <v/>
      </c>
      <c r="N1641" s="6" t="n">
        <v>1849</v>
      </c>
    </row>
    <row r="1642">
      <c r="A1642" s="1" t="inlineStr">
        <is>
          <t>43728085897228</t>
        </is>
      </c>
      <c r="B1642" s="1" t="inlineStr">
        <is>
          <t>CARTERA GC OPHIDIA</t>
        </is>
      </c>
      <c r="C1642" s="1" t="inlineStr">
        <is>
          <t>12cm de largo x 10cm de alto</t>
        </is>
      </c>
      <c r="D1642" s="1" t="inlineStr">
        <is>
          <t>20/04/2026</t>
        </is>
      </c>
      <c r="E1642" s="1" t="n">
        <v>2026</v>
      </c>
      <c r="F1642" s="1" t="inlineStr">
        <is>
          <t>ABRIL</t>
        </is>
      </c>
      <c r="G1642" s="1" t="inlineStr">
        <is>
          <t>ZOEY</t>
        </is>
      </c>
      <c r="H1642" s="1" t="inlineStr">
        <is>
          <t>ZOEY 20/04/2026</t>
        </is>
      </c>
      <c r="I1642" s="4" t="n">
        <v>1</v>
      </c>
      <c r="J1642" s="6" t="n">
        <v>18</v>
      </c>
      <c r="K1642" s="6" t="n">
        <v>460.9580101</v>
      </c>
      <c r="L1642" s="6">
        <f>I1642*K1642</f>
        <v/>
      </c>
      <c r="M1642" s="6">
        <f>K1642*4</f>
        <v/>
      </c>
      <c r="N1642" s="6" t="n">
        <v>1849</v>
      </c>
    </row>
    <row r="1643">
      <c r="A1643" s="1" t="inlineStr">
        <is>
          <t>43728086200460</t>
        </is>
      </c>
      <c r="B1643" s="1" t="inlineStr">
        <is>
          <t>CINTO GC MILANO</t>
        </is>
      </c>
      <c r="C1643" s="1" t="inlineStr">
        <is>
          <t>100cm</t>
        </is>
      </c>
      <c r="D1643" s="1" t="inlineStr">
        <is>
          <t>20/04/2026</t>
        </is>
      </c>
      <c r="E1643" s="1" t="n">
        <v>2026</v>
      </c>
      <c r="F1643" s="1" t="inlineStr">
        <is>
          <t>ABRIL</t>
        </is>
      </c>
      <c r="G1643" s="1" t="inlineStr">
        <is>
          <t>ZOEY</t>
        </is>
      </c>
      <c r="H1643" s="1" t="inlineStr">
        <is>
          <t>ZOEY 20/04/2026</t>
        </is>
      </c>
      <c r="I1643" s="4" t="n">
        <v>2</v>
      </c>
      <c r="J1643" s="6" t="n">
        <v>45</v>
      </c>
      <c r="K1643" s="6" t="n">
        <v>1152.395025</v>
      </c>
      <c r="L1643" s="6">
        <f>I1643*K1643</f>
        <v/>
      </c>
      <c r="M1643" s="6">
        <f>K1643*4</f>
        <v/>
      </c>
      <c r="N1643" s="6" t="n">
        <v>4039</v>
      </c>
    </row>
    <row r="1644">
      <c r="A1644" s="1" t="inlineStr">
        <is>
          <t>43728086581452</t>
        </is>
      </c>
      <c r="B1644" s="1" t="inlineStr">
        <is>
          <t>BOLSO LV LOCKIT BB</t>
        </is>
      </c>
      <c r="C1644" s="1" t="inlineStr">
        <is>
          <t>19cm de largo x 19cm de alto x 7cm de ancho</t>
        </is>
      </c>
      <c r="D1644" s="1" t="inlineStr">
        <is>
          <t>01/09/2025</t>
        </is>
      </c>
      <c r="E1644" s="1" t="n">
        <v>2025</v>
      </c>
      <c r="F1644" s="1" t="inlineStr">
        <is>
          <t>SEPTIEMBRE</t>
        </is>
      </c>
      <c r="G1644" s="1" t="inlineStr">
        <is>
          <t>ZOEY</t>
        </is>
      </c>
      <c r="H1644" s="1" t="inlineStr">
        <is>
          <t>ZOEY 01/09/2025</t>
        </is>
      </c>
      <c r="I1644" s="4" t="n">
        <v>3</v>
      </c>
      <c r="J1644" s="6" t="n">
        <v>43</v>
      </c>
      <c r="K1644" s="6" t="n">
        <v>1080.067318</v>
      </c>
      <c r="L1644" s="6">
        <f>I1644*K1644</f>
        <v/>
      </c>
      <c r="M1644" s="6">
        <f>K1644*4</f>
        <v/>
      </c>
      <c r="N1644" s="6" t="n">
        <v>3600</v>
      </c>
    </row>
    <row r="1645">
      <c r="A1645" s="1" t="inlineStr">
        <is>
          <t>43728086581452</t>
        </is>
      </c>
      <c r="B1645" s="1" t="inlineStr">
        <is>
          <t>BOLSO LV LOCKIT BB</t>
        </is>
      </c>
      <c r="C1645" s="1" t="inlineStr">
        <is>
          <t>19cm de largo x 19cm de alto x 7cm de ancho</t>
        </is>
      </c>
      <c r="D1645" s="1" t="inlineStr">
        <is>
          <t>25/10/2025</t>
        </is>
      </c>
      <c r="E1645" s="1" t="n">
        <v>2025</v>
      </c>
      <c r="F1645" s="1" t="inlineStr">
        <is>
          <t>OCTUBRE</t>
        </is>
      </c>
      <c r="G1645" s="1" t="inlineStr">
        <is>
          <t>ZOEY</t>
        </is>
      </c>
      <c r="H1645" s="1" t="inlineStr">
        <is>
          <t>ZOEY 25/10/2025</t>
        </is>
      </c>
      <c r="I1645" s="4" t="n">
        <v>4</v>
      </c>
      <c r="J1645" s="6" t="n">
        <v>43</v>
      </c>
      <c r="K1645" s="6" t="n">
        <v>1066.4047</v>
      </c>
      <c r="L1645" s="6">
        <f>I1645*K1645</f>
        <v/>
      </c>
      <c r="M1645" s="6">
        <f>K1645*4</f>
        <v/>
      </c>
      <c r="N1645" s="6" t="n">
        <v>3600</v>
      </c>
    </row>
    <row r="1646">
      <c r="A1646" s="1" t="inlineStr">
        <is>
          <t>43728086581452</t>
        </is>
      </c>
      <c r="B1646" s="1" t="inlineStr">
        <is>
          <t>BOLSO LV LOCKIT BB</t>
        </is>
      </c>
      <c r="C1646" s="1" t="inlineStr">
        <is>
          <t>19cm de largo x 19cm de alto x 7cm de ancho</t>
        </is>
      </c>
      <c r="D1646" s="1" t="inlineStr">
        <is>
          <t>20/01/2026</t>
        </is>
      </c>
      <c r="E1646" s="1" t="n">
        <v>2026</v>
      </c>
      <c r="F1646" s="1" t="inlineStr">
        <is>
          <t>ENERO</t>
        </is>
      </c>
      <c r="G1646" s="1" t="inlineStr">
        <is>
          <t>ZOEY</t>
        </is>
      </c>
      <c r="H1646" s="1" t="inlineStr">
        <is>
          <t>ZOEY 20/01/2026</t>
        </is>
      </c>
      <c r="I1646" s="4" t="n">
        <v>2</v>
      </c>
      <c r="J1646" s="6" t="n">
        <v>43</v>
      </c>
      <c r="K1646" s="6" t="n">
        <v>1119.358773</v>
      </c>
      <c r="L1646" s="6">
        <f>I1646*K1646</f>
        <v/>
      </c>
      <c r="M1646" s="6">
        <f>K1646*4</f>
        <v/>
      </c>
      <c r="N1646" s="6" t="n">
        <v>4479</v>
      </c>
    </row>
    <row r="1647">
      <c r="A1647" s="1" t="inlineStr">
        <is>
          <t>43728086795884</t>
        </is>
      </c>
      <c r="B1647" s="1" t="inlineStr">
        <is>
          <t>BOLSO GC CHERRY</t>
        </is>
      </c>
      <c r="C1647" s="1" t="inlineStr">
        <is>
          <t>25cm de largo x 16cm de alto x 7.5cm de ancho</t>
        </is>
      </c>
      <c r="D1647" s="1" t="inlineStr">
        <is>
          <t>20/01/2026</t>
        </is>
      </c>
      <c r="E1647" s="1" t="n">
        <v>2026</v>
      </c>
      <c r="F1647" s="1" t="inlineStr">
        <is>
          <t>ENERO</t>
        </is>
      </c>
      <c r="G1647" s="1" t="inlineStr">
        <is>
          <t>ZOEY</t>
        </is>
      </c>
      <c r="H1647" s="1" t="inlineStr">
        <is>
          <t>ZOEY 20/01/2026</t>
        </is>
      </c>
      <c r="I1647" s="4" t="n">
        <v>4</v>
      </c>
      <c r="J1647" s="6" t="n">
        <v>56</v>
      </c>
      <c r="K1647" s="6" t="n">
        <v>1457.769565</v>
      </c>
      <c r="L1647" s="6">
        <f>I1647*K1647</f>
        <v/>
      </c>
      <c r="M1647" s="6">
        <f>K1647*4</f>
        <v/>
      </c>
      <c r="N1647" s="6" t="n">
        <v>5775</v>
      </c>
    </row>
    <row r="1648">
      <c r="A1648" s="1" t="inlineStr">
        <is>
          <t>43728086795884</t>
        </is>
      </c>
      <c r="B1648" s="1" t="inlineStr">
        <is>
          <t>BOLSO GC CHERRY</t>
        </is>
      </c>
      <c r="C1648" s="1" t="inlineStr">
        <is>
          <t>25cm de largo x 16cm de alto x 7.5cm de ancho</t>
        </is>
      </c>
      <c r="D1648" s="1" t="inlineStr">
        <is>
          <t>19/03/2026</t>
        </is>
      </c>
      <c r="E1648" s="1" t="n">
        <v>2026</v>
      </c>
      <c r="F1648" s="1" t="inlineStr">
        <is>
          <t>MARZO</t>
        </is>
      </c>
      <c r="G1648" s="1" t="inlineStr">
        <is>
          <t>ZOEY</t>
        </is>
      </c>
      <c r="H1648" s="1" t="inlineStr">
        <is>
          <t>ZOEY 19/03/2026</t>
        </is>
      </c>
      <c r="I1648" s="4" t="n">
        <v>2</v>
      </c>
      <c r="J1648" s="6" t="n">
        <v>56</v>
      </c>
      <c r="K1648" s="6" t="n">
        <v>1443.794778</v>
      </c>
      <c r="L1648" s="6">
        <f>I1648*K1648</f>
        <v/>
      </c>
      <c r="M1648" s="6">
        <f>K1648*4</f>
        <v/>
      </c>
      <c r="N1648" s="6" t="n">
        <v>5775</v>
      </c>
    </row>
    <row r="1649">
      <c r="A1649" s="1" t="inlineStr">
        <is>
          <t>43728086947500</t>
        </is>
      </c>
      <c r="B1649" s="1" t="inlineStr">
        <is>
          <t>COLLAR SIXTEEN STONE SILVER</t>
        </is>
      </c>
      <c r="C1649" s="1" t="inlineStr">
        <is>
          <t>44.5cm de largo con extensión de 4cm</t>
        </is>
      </c>
      <c r="D1649" s="1" t="inlineStr">
        <is>
          <t>16/04/2026</t>
        </is>
      </c>
      <c r="E1649" s="1" t="n">
        <v>2026</v>
      </c>
      <c r="F1649" s="1" t="inlineStr">
        <is>
          <t>ABRIL</t>
        </is>
      </c>
      <c r="G1649" s="1" t="inlineStr">
        <is>
          <t>HAIFENG</t>
        </is>
      </c>
      <c r="H1649" s="1" t="inlineStr">
        <is>
          <t>HAIFENG 16/04/2026</t>
        </is>
      </c>
      <c r="I1649" s="4" t="n">
        <v>2</v>
      </c>
      <c r="J1649" s="6" t="n">
        <v>6</v>
      </c>
      <c r="K1649" s="6" t="n">
        <v>126.1888415</v>
      </c>
      <c r="L1649" s="6">
        <f>I1649*K1649</f>
        <v/>
      </c>
      <c r="M1649" s="6">
        <f>K1649*4</f>
        <v/>
      </c>
      <c r="N1649" s="6" t="n">
        <v>499</v>
      </c>
    </row>
    <row r="1650">
      <c r="A1650" s="1" t="inlineStr">
        <is>
          <t>43728086947500</t>
        </is>
      </c>
      <c r="B1650" s="1" t="inlineStr">
        <is>
          <t>COLLAR SIXTEEN STONE SILVER</t>
        </is>
      </c>
      <c r="C1650" s="1" t="inlineStr">
        <is>
          <t>44.5cm de largo con extensión de 4cm</t>
        </is>
      </c>
      <c r="D1650" s="1" t="inlineStr">
        <is>
          <t>16/06/2026</t>
        </is>
      </c>
      <c r="E1650" s="1" t="n">
        <v>2026</v>
      </c>
      <c r="F1650" s="1" t="inlineStr">
        <is>
          <t>JUNIO</t>
        </is>
      </c>
      <c r="G1650" s="1" t="inlineStr">
        <is>
          <t>HAIFENG</t>
        </is>
      </c>
      <c r="H1650" s="1" t="inlineStr">
        <is>
          <t>HAIFENG 16/06/2026</t>
        </is>
      </c>
      <c r="I1650" s="4" t="n">
        <v>2</v>
      </c>
      <c r="J1650" s="6" t="n">
        <v>6</v>
      </c>
      <c r="K1650" s="6" t="n">
        <v>126.0876388</v>
      </c>
      <c r="L1650" s="6">
        <f>I1650*K1650</f>
        <v/>
      </c>
      <c r="M1650" s="6">
        <f>K1650*4</f>
        <v/>
      </c>
      <c r="N1650" s="6" t="n">
        <v>499</v>
      </c>
    </row>
    <row r="1651">
      <c r="A1651" s="1" t="inlineStr">
        <is>
          <t>43728087914796</t>
        </is>
      </c>
      <c r="B1651" s="1" t="inlineStr">
        <is>
          <t>BOLSO CD 30 MONTAIGNE BLACK</t>
        </is>
      </c>
      <c r="C1651" s="1" t="inlineStr">
        <is>
          <t>12cm de alto x 20cm de largo x 4cm de ancho</t>
        </is>
      </c>
      <c r="D1651" s="1" t="inlineStr">
        <is>
          <t>01/09/2025</t>
        </is>
      </c>
      <c r="E1651" s="1" t="n">
        <v>2025</v>
      </c>
      <c r="F1651" s="1" t="inlineStr">
        <is>
          <t>SEPTIEMBRE</t>
        </is>
      </c>
      <c r="G1651" s="1" t="inlineStr">
        <is>
          <t>ZOEY</t>
        </is>
      </c>
      <c r="H1651" s="1" t="inlineStr">
        <is>
          <t>ZOEY 01/09/2025</t>
        </is>
      </c>
      <c r="I1651" s="4" t="n">
        <v>2</v>
      </c>
      <c r="J1651" s="6" t="n">
        <v>52</v>
      </c>
      <c r="K1651" s="6" t="n">
        <v>1306.127919</v>
      </c>
      <c r="L1651" s="6">
        <f>I1651*K1651</f>
        <v/>
      </c>
      <c r="M1651" s="6">
        <f>K1651*4</f>
        <v/>
      </c>
      <c r="N1651" s="6" t="n">
        <v>5520</v>
      </c>
    </row>
    <row r="1652">
      <c r="A1652" s="1" t="inlineStr">
        <is>
          <t>43728087914796</t>
        </is>
      </c>
      <c r="B1652" s="1" t="inlineStr">
        <is>
          <t>BOLSO CD 30 MONTAIGNE BLACK</t>
        </is>
      </c>
      <c r="C1652" s="1" t="inlineStr">
        <is>
          <t>12cm de alto x 20cm de largo x 4cm de ancho</t>
        </is>
      </c>
      <c r="D1652" s="1" t="inlineStr">
        <is>
          <t>15/05/2026</t>
        </is>
      </c>
      <c r="E1652" s="1" t="n">
        <v>2026</v>
      </c>
      <c r="F1652" s="1" t="inlineStr">
        <is>
          <t>MAYO</t>
        </is>
      </c>
      <c r="G1652" s="1" t="inlineStr">
        <is>
          <t>ZOEY</t>
        </is>
      </c>
      <c r="H1652" s="1" t="inlineStr">
        <is>
          <t>ZOEY 15/05/2026</t>
        </is>
      </c>
      <c r="I1652" s="4" t="n">
        <v>2</v>
      </c>
      <c r="J1652" s="6" t="n">
        <v>52</v>
      </c>
      <c r="K1652" s="6" t="n">
        <v>1378.240473</v>
      </c>
      <c r="L1652" s="6">
        <f>I1652*K1652</f>
        <v/>
      </c>
      <c r="M1652" s="6">
        <f>K1652*4</f>
        <v/>
      </c>
      <c r="N1652" s="6" t="n">
        <v>5520</v>
      </c>
    </row>
    <row r="1653">
      <c r="A1653" s="1" t="inlineStr">
        <is>
          <t>43728088191436</t>
        </is>
      </c>
      <c r="B1653" s="1" t="inlineStr">
        <is>
          <t>BOLSO LADY D CHAROL RED</t>
        </is>
      </c>
      <c r="C1653" s="1" t="inlineStr">
        <is>
          <t>23.5cm de largo x 21cm de alto x 12cm de ancho</t>
        </is>
      </c>
      <c r="D1653" s="1" t="inlineStr">
        <is>
          <t>19/03/2026</t>
        </is>
      </c>
      <c r="E1653" s="1" t="n">
        <v>2026</v>
      </c>
      <c r="F1653" s="1" t="inlineStr">
        <is>
          <t>MARZO</t>
        </is>
      </c>
      <c r="G1653" s="1" t="inlineStr">
        <is>
          <t>ZOEY</t>
        </is>
      </c>
      <c r="H1653" s="1" t="inlineStr">
        <is>
          <t>ZOEY 19/03/2026</t>
        </is>
      </c>
      <c r="I1653" s="4" t="n">
        <v>2</v>
      </c>
      <c r="J1653" s="6" t="n">
        <v>56</v>
      </c>
      <c r="K1653" s="6" t="n">
        <v>1443.794778</v>
      </c>
      <c r="L1653" s="6">
        <f>I1653*K1653</f>
        <v/>
      </c>
      <c r="M1653" s="6">
        <f>K1653*4</f>
        <v/>
      </c>
      <c r="N1653" s="6" t="n">
        <v>5775</v>
      </c>
    </row>
    <row r="1654">
      <c r="A1654" s="1" t="inlineStr">
        <is>
          <t>43728090185228</t>
        </is>
      </c>
      <c r="B1654" s="1" t="inlineStr">
        <is>
          <t>LENTES DE SOL MM GLIMPSE BLACK</t>
        </is>
      </c>
      <c r="C1654" s="1" t="inlineStr">
        <is>
          <t>REGULAR</t>
        </is>
      </c>
      <c r="D1654" s="1" t="inlineStr">
        <is>
          <t>05/09/2025</t>
        </is>
      </c>
      <c r="E1654" s="1" t="n">
        <v>2025</v>
      </c>
      <c r="F1654" s="1" t="inlineStr">
        <is>
          <t>SEPTIEMBRE</t>
        </is>
      </c>
      <c r="G1654" s="1" t="inlineStr">
        <is>
          <t>CYNTHIA</t>
        </is>
      </c>
      <c r="H1654" s="1" t="inlineStr">
        <is>
          <t>CYNTHIA 05/09/2025</t>
        </is>
      </c>
      <c r="I1654" s="4" t="n">
        <v>2</v>
      </c>
      <c r="J1654" s="6" t="n">
        <v>32</v>
      </c>
      <c r="K1654" s="6" t="n">
        <v>805.7311017</v>
      </c>
      <c r="L1654" s="6">
        <f>I1654*K1654</f>
        <v/>
      </c>
      <c r="M1654" s="6">
        <f>K1654*4</f>
        <v/>
      </c>
      <c r="N1654" s="6" t="n">
        <v>2699</v>
      </c>
    </row>
    <row r="1655">
      <c r="A1655" s="1" t="inlineStr">
        <is>
          <t>43728090185228</t>
        </is>
      </c>
      <c r="B1655" s="1" t="inlineStr">
        <is>
          <t>LENTES DE SOL MM GLIMPSE BLACK</t>
        </is>
      </c>
      <c r="C1655" s="1" t="inlineStr">
        <is>
          <t>REGULAR</t>
        </is>
      </c>
      <c r="D1655" s="1" t="inlineStr">
        <is>
          <t>18/02/2026</t>
        </is>
      </c>
      <c r="E1655" s="1" t="n">
        <v>2026</v>
      </c>
      <c r="F1655" s="1" t="inlineStr">
        <is>
          <t>FEBRERO</t>
        </is>
      </c>
      <c r="G1655" s="1" t="inlineStr">
        <is>
          <t>CYNTHIA</t>
        </is>
      </c>
      <c r="H1655" s="1" t="inlineStr">
        <is>
          <t>CYNTHIA 18/02/2026</t>
        </is>
      </c>
      <c r="I1655" s="4" t="n">
        <v>2</v>
      </c>
      <c r="J1655" s="6" t="n">
        <v>32</v>
      </c>
      <c r="K1655" s="6" t="n">
        <v>865.3876864</v>
      </c>
      <c r="L1655" s="6">
        <f>I1655*K1655</f>
        <v/>
      </c>
      <c r="M1655" s="6">
        <f>K1655*4</f>
        <v/>
      </c>
      <c r="N1655" s="6" t="n">
        <v>3399</v>
      </c>
    </row>
    <row r="1656">
      <c r="A1656" s="1" t="inlineStr">
        <is>
          <t>43728090185228</t>
        </is>
      </c>
      <c r="B1656" s="1" t="inlineStr">
        <is>
          <t>LENTES DE SOL MM GLIMPSE BLACK</t>
        </is>
      </c>
      <c r="C1656" s="1" t="inlineStr">
        <is>
          <t>REGULAR</t>
        </is>
      </c>
      <c r="D1656" s="1" t="inlineStr">
        <is>
          <t>31/05/2026</t>
        </is>
      </c>
      <c r="E1656" s="1" t="n">
        <v>2026</v>
      </c>
      <c r="F1656" s="1" t="inlineStr">
        <is>
          <t>MAYO</t>
        </is>
      </c>
      <c r="G1656" s="1" t="inlineStr">
        <is>
          <t>CYNTHIA</t>
        </is>
      </c>
      <c r="H1656" s="1" t="inlineStr">
        <is>
          <t>CYNTHIA 31/05/2026</t>
        </is>
      </c>
      <c r="I1656" s="4" t="n">
        <v>2</v>
      </c>
      <c r="J1656" s="6" t="n">
        <v>32</v>
      </c>
      <c r="K1656" s="6" t="n">
        <v>848.0334393000001</v>
      </c>
      <c r="L1656" s="6">
        <f>I1656*K1656</f>
        <v/>
      </c>
      <c r="M1656" s="6">
        <f>K1656*4</f>
        <v/>
      </c>
      <c r="N1656" s="6" t="n">
        <v>3399</v>
      </c>
    </row>
    <row r="1657">
      <c r="A1657" s="1" t="inlineStr">
        <is>
          <t>43728090715788</t>
        </is>
      </c>
      <c r="B1657" s="1" t="inlineStr">
        <is>
          <t>PULSERA LOVE SILVER</t>
        </is>
      </c>
      <c r="C1657" s="1" t="inlineStr">
        <is>
          <t>16cm</t>
        </is>
      </c>
      <c r="D1657" s="1" t="inlineStr">
        <is>
          <t>20/01/2026</t>
        </is>
      </c>
      <c r="E1657" s="1" t="n">
        <v>2026</v>
      </c>
      <c r="F1657" s="1" t="inlineStr">
        <is>
          <t>ENERO</t>
        </is>
      </c>
      <c r="G1657" s="1" t="inlineStr">
        <is>
          <t>HAIFENG</t>
        </is>
      </c>
      <c r="H1657" s="1" t="inlineStr">
        <is>
          <t>HAIFENG 20/01/2026</t>
        </is>
      </c>
      <c r="I1657" s="4" t="n">
        <v>8</v>
      </c>
      <c r="J1657" s="6" t="n">
        <v>4.5</v>
      </c>
      <c r="K1657" s="6" t="n">
        <v>95.40188006</v>
      </c>
      <c r="L1657" s="6">
        <f>I1657*K1657</f>
        <v/>
      </c>
      <c r="M1657" s="6">
        <f>K1657*4</f>
        <v/>
      </c>
      <c r="N1657" s="6" t="n">
        <v>499</v>
      </c>
    </row>
    <row r="1658">
      <c r="A1658" s="1" t="inlineStr">
        <is>
          <t>43728090715788</t>
        </is>
      </c>
      <c r="B1658" s="1" t="inlineStr">
        <is>
          <t>PULSERA LOVE SILVER</t>
        </is>
      </c>
      <c r="C1658" s="1" t="inlineStr">
        <is>
          <t>16cm</t>
        </is>
      </c>
      <c r="D1658" s="1" t="inlineStr">
        <is>
          <t>10/02/2026</t>
        </is>
      </c>
      <c r="E1658" s="1" t="n">
        <v>2026</v>
      </c>
      <c r="F1658" s="1" t="inlineStr">
        <is>
          <t>FEBRERO</t>
        </is>
      </c>
      <c r="G1658" s="1" t="inlineStr">
        <is>
          <t>HAIFENG</t>
        </is>
      </c>
      <c r="H1658" s="1" t="inlineStr">
        <is>
          <t>HAIFENG 10/02/2026</t>
        </is>
      </c>
      <c r="I1658" s="4" t="n">
        <v>8</v>
      </c>
      <c r="J1658" s="6" t="n">
        <v>4.5</v>
      </c>
      <c r="K1658" s="6" t="n">
        <v>94.8082323</v>
      </c>
      <c r="L1658" s="6">
        <f>I1658*K1658</f>
        <v/>
      </c>
      <c r="M1658" s="6">
        <f>K1658*4</f>
        <v/>
      </c>
      <c r="N1658" s="6" t="n">
        <v>499</v>
      </c>
    </row>
    <row r="1659">
      <c r="A1659" s="1" t="inlineStr">
        <is>
          <t>43728090715788</t>
        </is>
      </c>
      <c r="B1659" s="1" t="inlineStr">
        <is>
          <t>PULSERA LOVE SILVER</t>
        </is>
      </c>
      <c r="C1659" s="1" t="inlineStr">
        <is>
          <t>16cm</t>
        </is>
      </c>
      <c r="D1659" s="1" t="inlineStr">
        <is>
          <t>11/03/2026</t>
        </is>
      </c>
      <c r="E1659" s="1" t="n">
        <v>2026</v>
      </c>
      <c r="F1659" s="1" t="inlineStr">
        <is>
          <t>MARZO</t>
        </is>
      </c>
      <c r="G1659" s="1" t="inlineStr">
        <is>
          <t>HAIFENG</t>
        </is>
      </c>
      <c r="H1659" s="1" t="inlineStr">
        <is>
          <t>HAIFENG 11/03/2026</t>
        </is>
      </c>
      <c r="I1659" s="4" t="n">
        <v>2</v>
      </c>
      <c r="J1659" s="6" t="n">
        <v>4.5</v>
      </c>
      <c r="K1659" s="6" t="n">
        <v>95.86753297</v>
      </c>
      <c r="L1659" s="6">
        <f>I1659*K1659</f>
        <v/>
      </c>
      <c r="M1659" s="6">
        <f>K1659*4</f>
        <v/>
      </c>
      <c r="N1659" s="6" t="n">
        <v>499</v>
      </c>
    </row>
    <row r="1660">
      <c r="A1660" s="1" t="inlineStr">
        <is>
          <t>43728090715788</t>
        </is>
      </c>
      <c r="B1660" s="1" t="inlineStr">
        <is>
          <t>PULSERA LOVE SILVER</t>
        </is>
      </c>
      <c r="C1660" s="1" t="inlineStr">
        <is>
          <t>16cm</t>
        </is>
      </c>
      <c r="D1660" s="1" t="inlineStr">
        <is>
          <t>06/05/2026</t>
        </is>
      </c>
      <c r="E1660" s="1" t="n">
        <v>2026</v>
      </c>
      <c r="F1660" s="1" t="inlineStr">
        <is>
          <t>MAYO</t>
        </is>
      </c>
      <c r="G1660" s="1" t="inlineStr">
        <is>
          <t>HAIFENG</t>
        </is>
      </c>
      <c r="H1660" s="1" t="inlineStr">
        <is>
          <t>HAIFENG 06/05/2026</t>
        </is>
      </c>
      <c r="I1660" s="4" t="n">
        <v>4</v>
      </c>
      <c r="J1660" s="6" t="n">
        <v>4.5</v>
      </c>
      <c r="K1660" s="6" t="n">
        <v>95.4838902</v>
      </c>
      <c r="L1660" s="6">
        <f>I1660*K1660</f>
        <v/>
      </c>
      <c r="M1660" s="6">
        <f>K1660*4</f>
        <v/>
      </c>
      <c r="N1660" s="6" t="n">
        <v>499</v>
      </c>
    </row>
    <row r="1661">
      <c r="A1661" s="1" t="inlineStr">
        <is>
          <t>43728090848556</t>
        </is>
      </c>
      <c r="B1661" s="1" t="inlineStr">
        <is>
          <t>PULSERA LOVE SILVER</t>
        </is>
      </c>
      <c r="C1661" s="1" t="inlineStr">
        <is>
          <t>17cm</t>
        </is>
      </c>
      <c r="D1661" s="1" t="inlineStr">
        <is>
          <t>10/02/2026</t>
        </is>
      </c>
      <c r="E1661" s="1" t="n">
        <v>2026</v>
      </c>
      <c r="F1661" s="1" t="inlineStr">
        <is>
          <t>FEBRERO</t>
        </is>
      </c>
      <c r="G1661" s="1" t="inlineStr">
        <is>
          <t>HAIFENG</t>
        </is>
      </c>
      <c r="H1661" s="1" t="inlineStr">
        <is>
          <t>HAIFENG 10/02/2026</t>
        </is>
      </c>
      <c r="I1661" s="4" t="n">
        <v>10</v>
      </c>
      <c r="J1661" s="6" t="n">
        <v>4.5</v>
      </c>
      <c r="K1661" s="6" t="n">
        <v>94.8082323</v>
      </c>
      <c r="L1661" s="6">
        <f>I1661*K1661</f>
        <v/>
      </c>
      <c r="M1661" s="6">
        <f>K1661*4</f>
        <v/>
      </c>
      <c r="N1661" s="6" t="n">
        <v>499</v>
      </c>
    </row>
    <row r="1662">
      <c r="A1662" s="1" t="inlineStr">
        <is>
          <t>43728090848556</t>
        </is>
      </c>
      <c r="B1662" s="1" t="inlineStr">
        <is>
          <t>PULSERA LOVE SILVER</t>
        </is>
      </c>
      <c r="C1662" s="1" t="inlineStr">
        <is>
          <t>17cm</t>
        </is>
      </c>
      <c r="D1662" s="1" t="inlineStr">
        <is>
          <t>11/03/2026</t>
        </is>
      </c>
      <c r="E1662" s="1" t="n">
        <v>2026</v>
      </c>
      <c r="F1662" s="1" t="inlineStr">
        <is>
          <t>MARZO</t>
        </is>
      </c>
      <c r="G1662" s="1" t="inlineStr">
        <is>
          <t>HAIFENG</t>
        </is>
      </c>
      <c r="H1662" s="1" t="inlineStr">
        <is>
          <t>HAIFENG 11/03/2026</t>
        </is>
      </c>
      <c r="I1662" s="4" t="n">
        <v>4</v>
      </c>
      <c r="J1662" s="6" t="n">
        <v>4.5</v>
      </c>
      <c r="K1662" s="6" t="n">
        <v>95.86753297</v>
      </c>
      <c r="L1662" s="6">
        <f>I1662*K1662</f>
        <v/>
      </c>
      <c r="M1662" s="6">
        <f>K1662*4</f>
        <v/>
      </c>
      <c r="N1662" s="6" t="n">
        <v>499</v>
      </c>
    </row>
    <row r="1663">
      <c r="A1663" s="1" t="inlineStr">
        <is>
          <t>43728090848556</t>
        </is>
      </c>
      <c r="B1663" s="1" t="inlineStr">
        <is>
          <t>PULSERA LOVE SILVER</t>
        </is>
      </c>
      <c r="C1663" s="1" t="inlineStr">
        <is>
          <t>17cm</t>
        </is>
      </c>
      <c r="D1663" s="1" t="inlineStr">
        <is>
          <t>26/05/2026</t>
        </is>
      </c>
      <c r="E1663" s="1" t="n">
        <v>2026</v>
      </c>
      <c r="F1663" s="1" t="inlineStr">
        <is>
          <t>MAYO</t>
        </is>
      </c>
      <c r="G1663" s="1" t="inlineStr">
        <is>
          <t>HAIFENG</t>
        </is>
      </c>
      <c r="H1663" s="1" t="inlineStr">
        <is>
          <t>HAIFENG 26/05/2026</t>
        </is>
      </c>
      <c r="I1663" s="4" t="n">
        <v>12</v>
      </c>
      <c r="J1663" s="6" t="n">
        <v>4.5</v>
      </c>
      <c r="K1663" s="6" t="n">
        <v>94.45182883</v>
      </c>
      <c r="L1663" s="6">
        <f>I1663*K1663</f>
        <v/>
      </c>
      <c r="M1663" s="6">
        <f>K1663*4</f>
        <v/>
      </c>
      <c r="N1663" s="6" t="n">
        <v>499</v>
      </c>
    </row>
    <row r="1664">
      <c r="A1664" s="1" t="inlineStr">
        <is>
          <t>43728090848556</t>
        </is>
      </c>
      <c r="B1664" s="1" t="inlineStr">
        <is>
          <t>PULSERA LOVE SILVER</t>
        </is>
      </c>
      <c r="C1664" s="1" t="inlineStr">
        <is>
          <t>17cm</t>
        </is>
      </c>
      <c r="D1664" s="1" t="inlineStr">
        <is>
          <t>16/06/2026</t>
        </is>
      </c>
      <c r="E1664" s="1" t="n">
        <v>2026</v>
      </c>
      <c r="F1664" s="1" t="inlineStr">
        <is>
          <t>JUNIO</t>
        </is>
      </c>
      <c r="G1664" s="1" t="inlineStr">
        <is>
          <t>HAIFENG</t>
        </is>
      </c>
      <c r="H1664" s="1" t="inlineStr">
        <is>
          <t>HAIFENG 16/06/2026</t>
        </is>
      </c>
      <c r="I1664" s="4" t="n">
        <v>10</v>
      </c>
      <c r="J1664" s="6" t="n">
        <v>4.5</v>
      </c>
      <c r="K1664" s="6" t="n">
        <v>94.56572907</v>
      </c>
      <c r="L1664" s="6">
        <f>I1664*K1664</f>
        <v/>
      </c>
      <c r="M1664" s="6">
        <f>K1664*4</f>
        <v/>
      </c>
      <c r="N1664" s="6" t="n">
        <v>499</v>
      </c>
    </row>
    <row r="1665">
      <c r="A1665" s="1" t="inlineStr">
        <is>
          <t>43728090981324</t>
        </is>
      </c>
      <c r="B1665" s="1" t="inlineStr">
        <is>
          <t>PULSERA LOVE SILVER</t>
        </is>
      </c>
      <c r="C1665" s="1" t="inlineStr">
        <is>
          <t>18cm</t>
        </is>
      </c>
      <c r="D1665" s="1" t="inlineStr">
        <is>
          <t>11/03/2026</t>
        </is>
      </c>
      <c r="E1665" s="1" t="n">
        <v>2026</v>
      </c>
      <c r="F1665" s="1" t="inlineStr">
        <is>
          <t>MARZO</t>
        </is>
      </c>
      <c r="G1665" s="1" t="inlineStr">
        <is>
          <t>HAIFENG</t>
        </is>
      </c>
      <c r="H1665" s="1" t="inlineStr">
        <is>
          <t>HAIFENG 11/03/2026</t>
        </is>
      </c>
      <c r="I1665" s="4" t="n">
        <v>3</v>
      </c>
      <c r="J1665" s="6" t="n">
        <v>4.5</v>
      </c>
      <c r="K1665" s="6" t="n">
        <v>95.86753297</v>
      </c>
      <c r="L1665" s="6">
        <f>I1665*K1665</f>
        <v/>
      </c>
      <c r="M1665" s="6">
        <f>K1665*4</f>
        <v/>
      </c>
      <c r="N1665" s="6" t="n">
        <v>499</v>
      </c>
    </row>
    <row r="1666">
      <c r="A1666" s="1" t="inlineStr">
        <is>
          <t>43728090981324</t>
        </is>
      </c>
      <c r="B1666" s="1" t="inlineStr">
        <is>
          <t>PULSERA LOVE SILVER</t>
        </is>
      </c>
      <c r="C1666" s="1" t="inlineStr">
        <is>
          <t>18cm</t>
        </is>
      </c>
      <c r="D1666" s="1" t="inlineStr">
        <is>
          <t>16/04/2026</t>
        </is>
      </c>
      <c r="E1666" s="1" t="n">
        <v>2026</v>
      </c>
      <c r="F1666" s="1" t="inlineStr">
        <is>
          <t>ABRIL</t>
        </is>
      </c>
      <c r="G1666" s="1" t="inlineStr">
        <is>
          <t>HAIFENG</t>
        </is>
      </c>
      <c r="H1666" s="1" t="inlineStr">
        <is>
          <t>HAIFENG 16/04/2026</t>
        </is>
      </c>
      <c r="I1666" s="4" t="n">
        <v>8</v>
      </c>
      <c r="J1666" s="6" t="n">
        <v>4.5</v>
      </c>
      <c r="K1666" s="6" t="n">
        <v>94.64163114999999</v>
      </c>
      <c r="L1666" s="6">
        <f>I1666*K1666</f>
        <v/>
      </c>
      <c r="M1666" s="6">
        <f>K1666*4</f>
        <v/>
      </c>
      <c r="N1666" s="6" t="n">
        <v>499</v>
      </c>
    </row>
    <row r="1667">
      <c r="A1667" s="1" t="inlineStr">
        <is>
          <t>43728091014092</t>
        </is>
      </c>
      <c r="B1667" s="1" t="inlineStr">
        <is>
          <t>PULSERA LOVE SILVER</t>
        </is>
      </c>
      <c r="C1667" s="1" t="inlineStr">
        <is>
          <t>19cm</t>
        </is>
      </c>
      <c r="D1667" s="1" t="inlineStr">
        <is>
          <t>03/12/2025</t>
        </is>
      </c>
      <c r="E1667" s="1" t="n">
        <v>2025</v>
      </c>
      <c r="F1667" s="1" t="inlineStr">
        <is>
          <t>DICIEMBRE</t>
        </is>
      </c>
      <c r="G1667" s="1" t="inlineStr">
        <is>
          <t>HAIFENG</t>
        </is>
      </c>
      <c r="H1667" s="1" t="inlineStr">
        <is>
          <t>HAIFENG 03/12/2025</t>
        </is>
      </c>
      <c r="I1667" s="4" t="n">
        <v>2</v>
      </c>
      <c r="J1667" s="6" t="n">
        <v>4.5</v>
      </c>
      <c r="K1667" s="6" t="n">
        <v>94.12722005000001</v>
      </c>
      <c r="L1667" s="6">
        <f>I1667*K1667</f>
        <v/>
      </c>
      <c r="M1667" s="6">
        <f>K1667*4</f>
        <v/>
      </c>
      <c r="N1667" s="6" t="n">
        <v>499</v>
      </c>
    </row>
    <row r="1668">
      <c r="A1668" s="1" t="inlineStr">
        <is>
          <t>43728091014092</t>
        </is>
      </c>
      <c r="B1668" s="1" t="inlineStr">
        <is>
          <t>PULSERA LOVE SILVER</t>
        </is>
      </c>
      <c r="C1668" s="1" t="inlineStr">
        <is>
          <t>19cm</t>
        </is>
      </c>
      <c r="D1668" s="1" t="inlineStr">
        <is>
          <t>20/01/2026</t>
        </is>
      </c>
      <c r="E1668" s="1" t="n">
        <v>2026</v>
      </c>
      <c r="F1668" s="1" t="inlineStr">
        <is>
          <t>ENERO</t>
        </is>
      </c>
      <c r="G1668" s="1" t="inlineStr">
        <is>
          <t>HAIFENG</t>
        </is>
      </c>
      <c r="H1668" s="1" t="inlineStr">
        <is>
          <t>HAIFENG 20/01/2026</t>
        </is>
      </c>
      <c r="I1668" s="4" t="n">
        <v>1</v>
      </c>
      <c r="J1668" s="6" t="n">
        <v>4.5</v>
      </c>
      <c r="K1668" s="6" t="n">
        <v>95.40188006</v>
      </c>
      <c r="L1668" s="6">
        <f>I1668*K1668</f>
        <v/>
      </c>
      <c r="M1668" s="6">
        <f>K1668*4</f>
        <v/>
      </c>
      <c r="N1668" s="6" t="n">
        <v>499</v>
      </c>
    </row>
    <row r="1669">
      <c r="A1669" s="1" t="inlineStr">
        <is>
          <t>43728091014092</t>
        </is>
      </c>
      <c r="B1669" s="1" t="inlineStr">
        <is>
          <t>PULSERA LOVE SILVER</t>
        </is>
      </c>
      <c r="C1669" s="1" t="inlineStr">
        <is>
          <t>19cm</t>
        </is>
      </c>
      <c r="D1669" s="1" t="inlineStr">
        <is>
          <t>10/02/2026</t>
        </is>
      </c>
      <c r="E1669" s="1" t="n">
        <v>2026</v>
      </c>
      <c r="F1669" s="1" t="inlineStr">
        <is>
          <t>FEBRERO</t>
        </is>
      </c>
      <c r="G1669" s="1" t="inlineStr">
        <is>
          <t>HAIFENG</t>
        </is>
      </c>
      <c r="H1669" s="1" t="inlineStr">
        <is>
          <t>HAIFENG 10/02/2026</t>
        </is>
      </c>
      <c r="I1669" s="4" t="n">
        <v>3</v>
      </c>
      <c r="J1669" s="6" t="n">
        <v>4.5</v>
      </c>
      <c r="K1669" s="6" t="n">
        <v>94.8082323</v>
      </c>
      <c r="L1669" s="6">
        <f>I1669*K1669</f>
        <v/>
      </c>
      <c r="M1669" s="6">
        <f>K1669*4</f>
        <v/>
      </c>
      <c r="N1669" s="6" t="n">
        <v>499</v>
      </c>
    </row>
    <row r="1670">
      <c r="A1670" s="1" t="inlineStr">
        <is>
          <t>43728091014092</t>
        </is>
      </c>
      <c r="B1670" s="1" t="inlineStr">
        <is>
          <t>PULSERA LOVE SILVER</t>
        </is>
      </c>
      <c r="C1670" s="1" t="inlineStr">
        <is>
          <t>19cm</t>
        </is>
      </c>
      <c r="D1670" s="1" t="inlineStr">
        <is>
          <t>16/04/2026</t>
        </is>
      </c>
      <c r="E1670" s="1" t="n">
        <v>2026</v>
      </c>
      <c r="F1670" s="1" t="inlineStr">
        <is>
          <t>ABRIL</t>
        </is>
      </c>
      <c r="G1670" s="1" t="inlineStr">
        <is>
          <t>HAIFENG</t>
        </is>
      </c>
      <c r="H1670" s="1" t="inlineStr">
        <is>
          <t>HAIFENG 16/04/2026</t>
        </is>
      </c>
      <c r="I1670" s="4" t="n">
        <v>2</v>
      </c>
      <c r="J1670" s="6" t="n">
        <v>4.5</v>
      </c>
      <c r="K1670" s="6" t="n">
        <v>94.64163114999999</v>
      </c>
      <c r="L1670" s="6">
        <f>I1670*K1670</f>
        <v/>
      </c>
      <c r="M1670" s="6">
        <f>K1670*4</f>
        <v/>
      </c>
      <c r="N1670" s="6" t="n">
        <v>499</v>
      </c>
    </row>
    <row r="1671">
      <c r="A1671" s="1" t="inlineStr">
        <is>
          <t>43728091014092</t>
        </is>
      </c>
      <c r="B1671" s="1" t="inlineStr">
        <is>
          <t>PULSERA LOVE SILVER</t>
        </is>
      </c>
      <c r="C1671" s="1" t="inlineStr">
        <is>
          <t>19cm</t>
        </is>
      </c>
      <c r="D1671" s="1" t="inlineStr">
        <is>
          <t>26/05/2026</t>
        </is>
      </c>
      <c r="E1671" s="1" t="n">
        <v>2026</v>
      </c>
      <c r="F1671" s="1" t="inlineStr">
        <is>
          <t>MAYO</t>
        </is>
      </c>
      <c r="G1671" s="1" t="inlineStr">
        <is>
          <t>HAIFENG</t>
        </is>
      </c>
      <c r="H1671" s="1" t="inlineStr">
        <is>
          <t>HAIFENG 26/05/2026</t>
        </is>
      </c>
      <c r="I1671" s="4" t="n">
        <v>8</v>
      </c>
      <c r="J1671" s="6" t="n">
        <v>4.5</v>
      </c>
      <c r="K1671" s="6" t="n">
        <v>94.45182883</v>
      </c>
      <c r="L1671" s="6">
        <f>I1671*K1671</f>
        <v/>
      </c>
      <c r="M1671" s="6">
        <f>K1671*4</f>
        <v/>
      </c>
      <c r="N1671" s="6" t="n">
        <v>499</v>
      </c>
    </row>
    <row r="1672">
      <c r="A1672" s="1" t="inlineStr">
        <is>
          <t>43728091146860</t>
        </is>
      </c>
      <c r="B1672" s="1" t="inlineStr">
        <is>
          <t>PULSERA LOVE SILVER</t>
        </is>
      </c>
      <c r="C1672" s="1" t="inlineStr">
        <is>
          <t>20cm</t>
        </is>
      </c>
      <c r="D1672" s="1" t="inlineStr">
        <is>
          <t>03/12/2025</t>
        </is>
      </c>
      <c r="E1672" s="1" t="n">
        <v>2025</v>
      </c>
      <c r="F1672" s="1" t="inlineStr">
        <is>
          <t>DICIEMBRE</t>
        </is>
      </c>
      <c r="G1672" s="1" t="inlineStr">
        <is>
          <t>HAIFENG</t>
        </is>
      </c>
      <c r="H1672" s="1" t="inlineStr">
        <is>
          <t>HAIFENG 03/12/2025</t>
        </is>
      </c>
      <c r="I1672" s="4" t="n">
        <v>2</v>
      </c>
      <c r="J1672" s="6" t="n">
        <v>4.5</v>
      </c>
      <c r="K1672" s="6" t="n">
        <v>94.12722005000001</v>
      </c>
      <c r="L1672" s="6">
        <f>I1672*K1672</f>
        <v/>
      </c>
      <c r="M1672" s="6">
        <f>K1672*4</f>
        <v/>
      </c>
      <c r="N1672" s="6" t="n">
        <v>499</v>
      </c>
    </row>
    <row r="1673">
      <c r="A1673" s="1" t="inlineStr">
        <is>
          <t>43728091146860</t>
        </is>
      </c>
      <c r="B1673" s="1" t="inlineStr">
        <is>
          <t>PULSERA LOVE SILVER</t>
        </is>
      </c>
      <c r="C1673" s="1" t="inlineStr">
        <is>
          <t>20cm</t>
        </is>
      </c>
      <c r="D1673" s="1" t="inlineStr">
        <is>
          <t>20/01/2026</t>
        </is>
      </c>
      <c r="E1673" s="1" t="n">
        <v>2026</v>
      </c>
      <c r="F1673" s="1" t="inlineStr">
        <is>
          <t>ENERO</t>
        </is>
      </c>
      <c r="G1673" s="1" t="inlineStr">
        <is>
          <t>HAIFENG</t>
        </is>
      </c>
      <c r="H1673" s="1" t="inlineStr">
        <is>
          <t>HAIFENG 20/01/2026</t>
        </is>
      </c>
      <c r="I1673" s="4" t="n">
        <v>1</v>
      </c>
      <c r="J1673" s="6" t="n">
        <v>4.5</v>
      </c>
      <c r="K1673" s="6" t="n">
        <v>95.40188006</v>
      </c>
      <c r="L1673" s="6">
        <f>I1673*K1673</f>
        <v/>
      </c>
      <c r="M1673" s="6">
        <f>K1673*4</f>
        <v/>
      </c>
      <c r="N1673" s="6" t="n">
        <v>499</v>
      </c>
    </row>
    <row r="1674">
      <c r="A1674" s="1" t="inlineStr">
        <is>
          <t>43728091146860</t>
        </is>
      </c>
      <c r="B1674" s="1" t="inlineStr">
        <is>
          <t>PULSERA LOVE SILVER</t>
        </is>
      </c>
      <c r="C1674" s="1" t="inlineStr">
        <is>
          <t>20cm</t>
        </is>
      </c>
      <c r="D1674" s="1" t="inlineStr">
        <is>
          <t>10/02/2026</t>
        </is>
      </c>
      <c r="E1674" s="1" t="n">
        <v>2026</v>
      </c>
      <c r="F1674" s="1" t="inlineStr">
        <is>
          <t>FEBRERO</t>
        </is>
      </c>
      <c r="G1674" s="1" t="inlineStr">
        <is>
          <t>HAIFENG</t>
        </is>
      </c>
      <c r="H1674" s="1" t="inlineStr">
        <is>
          <t>HAIFENG 10/02/2026</t>
        </is>
      </c>
      <c r="I1674" s="4" t="n">
        <v>7</v>
      </c>
      <c r="J1674" s="6" t="n">
        <v>4.5</v>
      </c>
      <c r="K1674" s="6" t="n">
        <v>94.8082323</v>
      </c>
      <c r="L1674" s="6">
        <f>I1674*K1674</f>
        <v/>
      </c>
      <c r="M1674" s="6">
        <f>K1674*4</f>
        <v/>
      </c>
      <c r="N1674" s="6" t="n">
        <v>499</v>
      </c>
    </row>
    <row r="1675">
      <c r="A1675" s="1" t="inlineStr">
        <is>
          <t>43728091146860</t>
        </is>
      </c>
      <c r="B1675" s="1" t="inlineStr">
        <is>
          <t>PULSERA LOVE SILVER</t>
        </is>
      </c>
      <c r="C1675" s="1" t="inlineStr">
        <is>
          <t>20cm</t>
        </is>
      </c>
      <c r="D1675" s="1" t="inlineStr">
        <is>
          <t>26/05/2026</t>
        </is>
      </c>
      <c r="E1675" s="1" t="n">
        <v>2026</v>
      </c>
      <c r="F1675" s="1" t="inlineStr">
        <is>
          <t>MAYO</t>
        </is>
      </c>
      <c r="G1675" s="1" t="inlineStr">
        <is>
          <t>HAIFENG</t>
        </is>
      </c>
      <c r="H1675" s="1" t="inlineStr">
        <is>
          <t>HAIFENG 26/05/2026</t>
        </is>
      </c>
      <c r="I1675" s="4" t="n">
        <v>5</v>
      </c>
      <c r="J1675" s="6" t="n">
        <v>4.5</v>
      </c>
      <c r="K1675" s="6" t="n">
        <v>94.45182883</v>
      </c>
      <c r="L1675" s="6">
        <f>I1675*K1675</f>
        <v/>
      </c>
      <c r="M1675" s="6">
        <f>K1675*4</f>
        <v/>
      </c>
      <c r="N1675" s="6" t="n">
        <v>499</v>
      </c>
    </row>
    <row r="1676">
      <c r="A1676" s="1" t="inlineStr">
        <is>
          <t>43728091279628</t>
        </is>
      </c>
      <c r="B1676" s="1" t="inlineStr">
        <is>
          <t>PULSERA LOVE SILVER</t>
        </is>
      </c>
      <c r="C1676" s="1" t="inlineStr">
        <is>
          <t>21cm</t>
        </is>
      </c>
      <c r="D1676" s="1" t="inlineStr">
        <is>
          <t>20/01/2026</t>
        </is>
      </c>
      <c r="E1676" s="1" t="n">
        <v>2026</v>
      </c>
      <c r="F1676" s="1" t="inlineStr">
        <is>
          <t>ENERO</t>
        </is>
      </c>
      <c r="G1676" s="1" t="inlineStr">
        <is>
          <t>HAIFENG</t>
        </is>
      </c>
      <c r="H1676" s="1" t="inlineStr">
        <is>
          <t>HAIFENG 20/01/2026</t>
        </is>
      </c>
      <c r="I1676" s="4" t="n">
        <v>3</v>
      </c>
      <c r="J1676" s="6" t="n">
        <v>4.5</v>
      </c>
      <c r="K1676" s="6" t="n">
        <v>95.40188006</v>
      </c>
      <c r="L1676" s="6">
        <f>I1676*K1676</f>
        <v/>
      </c>
      <c r="M1676" s="6">
        <f>K1676*4</f>
        <v/>
      </c>
      <c r="N1676" s="6" t="n">
        <v>499</v>
      </c>
    </row>
    <row r="1677">
      <c r="A1677" s="1" t="inlineStr">
        <is>
          <t>43728091279628</t>
        </is>
      </c>
      <c r="B1677" s="1" t="inlineStr">
        <is>
          <t>PULSERA LOVE SILVER</t>
        </is>
      </c>
      <c r="C1677" s="1" t="inlineStr">
        <is>
          <t>21cm</t>
        </is>
      </c>
      <c r="D1677" s="1" t="inlineStr">
        <is>
          <t>16/04/2026</t>
        </is>
      </c>
      <c r="E1677" s="1" t="n">
        <v>2026</v>
      </c>
      <c r="F1677" s="1" t="inlineStr">
        <is>
          <t>ABRIL</t>
        </is>
      </c>
      <c r="G1677" s="1" t="inlineStr">
        <is>
          <t>HAIFENG</t>
        </is>
      </c>
      <c r="H1677" s="1" t="inlineStr">
        <is>
          <t>HAIFENG 16/04/2026</t>
        </is>
      </c>
      <c r="I1677" s="4" t="n">
        <v>1</v>
      </c>
      <c r="J1677" s="6" t="n">
        <v>4.5</v>
      </c>
      <c r="K1677" s="6" t="n">
        <v>94.64163114999999</v>
      </c>
      <c r="L1677" s="6">
        <f>I1677*K1677</f>
        <v/>
      </c>
      <c r="M1677" s="6">
        <f>K1677*4</f>
        <v/>
      </c>
      <c r="N1677" s="6" t="n">
        <v>499</v>
      </c>
    </row>
    <row r="1678">
      <c r="A1678" s="1" t="inlineStr">
        <is>
          <t>43728091279628</t>
        </is>
      </c>
      <c r="B1678" s="1" t="inlineStr">
        <is>
          <t>PULSERA LOVE SILVER</t>
        </is>
      </c>
      <c r="C1678" s="1" t="inlineStr">
        <is>
          <t>21cm</t>
        </is>
      </c>
      <c r="D1678" s="1" t="inlineStr">
        <is>
          <t>06/05/2026</t>
        </is>
      </c>
      <c r="E1678" s="1" t="n">
        <v>2026</v>
      </c>
      <c r="F1678" s="1" t="inlineStr">
        <is>
          <t>MAYO</t>
        </is>
      </c>
      <c r="G1678" s="1" t="inlineStr">
        <is>
          <t>HAIFENG</t>
        </is>
      </c>
      <c r="H1678" s="1" t="inlineStr">
        <is>
          <t>HAIFENG 06/05/2026</t>
        </is>
      </c>
      <c r="I1678" s="4" t="n">
        <v>3</v>
      </c>
      <c r="J1678" s="6" t="n">
        <v>4.5</v>
      </c>
      <c r="K1678" s="6" t="n">
        <v>95.4838902</v>
      </c>
      <c r="L1678" s="6">
        <f>I1678*K1678</f>
        <v/>
      </c>
      <c r="M1678" s="6">
        <f>K1678*4</f>
        <v/>
      </c>
      <c r="N1678" s="6" t="n">
        <v>499</v>
      </c>
    </row>
    <row r="1679">
      <c r="A1679" s="1" t="inlineStr">
        <is>
          <t>43728091279628</t>
        </is>
      </c>
      <c r="B1679" s="1" t="inlineStr">
        <is>
          <t>PULSERA LOVE SILVER</t>
        </is>
      </c>
      <c r="C1679" s="1" t="inlineStr">
        <is>
          <t>21cm</t>
        </is>
      </c>
      <c r="D1679" s="1" t="inlineStr">
        <is>
          <t>16/06/2026</t>
        </is>
      </c>
      <c r="E1679" s="1" t="n">
        <v>2026</v>
      </c>
      <c r="F1679" s="1" t="inlineStr">
        <is>
          <t>JUNIO</t>
        </is>
      </c>
      <c r="G1679" s="1" t="inlineStr">
        <is>
          <t>HAIFENG</t>
        </is>
      </c>
      <c r="H1679" s="1" t="inlineStr">
        <is>
          <t>HAIFENG 16/06/2026</t>
        </is>
      </c>
      <c r="I1679" s="4" t="n">
        <v>3</v>
      </c>
      <c r="J1679" s="6" t="n">
        <v>4.5</v>
      </c>
      <c r="K1679" s="6" t="n">
        <v>94.56572907</v>
      </c>
      <c r="L1679" s="6">
        <f>I1679*K1679</f>
        <v/>
      </c>
      <c r="M1679" s="6">
        <f>K1679*4</f>
        <v/>
      </c>
      <c r="N1679" s="6" t="n">
        <v>499</v>
      </c>
    </row>
    <row r="1680">
      <c r="A1680" s="1" t="inlineStr">
        <is>
          <t>43728091372908</t>
        </is>
      </c>
      <c r="B1680" s="1" t="inlineStr">
        <is>
          <t>PULSERA TRÉBOL ROSEGOLD RED VF</t>
        </is>
      </c>
      <c r="C1680" s="1" t="inlineStr">
        <is>
          <t>18cm</t>
        </is>
      </c>
      <c r="D1680" s="1" t="inlineStr">
        <is>
          <t>01/09/2025</t>
        </is>
      </c>
      <c r="E1680" s="1" t="n">
        <v>2025</v>
      </c>
      <c r="F1680" s="1" t="inlineStr">
        <is>
          <t>SEPTIEMBRE</t>
        </is>
      </c>
      <c r="G1680" s="1" t="inlineStr">
        <is>
          <t>HAIFENG</t>
        </is>
      </c>
      <c r="H1680" s="1" t="inlineStr">
        <is>
          <t>HAIFENG 01/09/2025</t>
        </is>
      </c>
      <c r="I1680" s="4" t="n">
        <v>3</v>
      </c>
      <c r="J1680" s="6" t="n">
        <v>22</v>
      </c>
      <c r="K1680" s="6" t="n">
        <v>467.6247634</v>
      </c>
      <c r="L1680" s="6">
        <f>I1680*K1680</f>
        <v/>
      </c>
      <c r="M1680" s="6">
        <f>K1680*4</f>
        <v/>
      </c>
      <c r="N1680" s="6" t="n">
        <v>1286</v>
      </c>
    </row>
    <row r="1681">
      <c r="A1681" s="1" t="inlineStr">
        <is>
          <t>43728091639180</t>
        </is>
      </c>
      <c r="B1681" s="1" t="inlineStr">
        <is>
          <t>CARTERA LV BLUE</t>
        </is>
      </c>
      <c r="C1681" s="1" t="inlineStr">
        <is>
          <t>12cmx9cm</t>
        </is>
      </c>
      <c r="D1681" s="1" t="inlineStr">
        <is>
          <t>21/10/2025</t>
        </is>
      </c>
      <c r="E1681" s="1" t="n">
        <v>2025</v>
      </c>
      <c r="F1681" s="1" t="inlineStr">
        <is>
          <t>OCTUBRE</t>
        </is>
      </c>
      <c r="G1681" s="1" t="inlineStr">
        <is>
          <t>DINA DU</t>
        </is>
      </c>
      <c r="H1681" s="1" t="inlineStr">
        <is>
          <t>DINA DU 21/10/2025</t>
        </is>
      </c>
      <c r="I1681" s="4" t="n">
        <v>5</v>
      </c>
      <c r="J1681" s="6" t="n">
        <v>13</v>
      </c>
      <c r="K1681" s="6" t="n">
        <v>364.4486222</v>
      </c>
      <c r="L1681" s="6">
        <f>I1681*K1681</f>
        <v/>
      </c>
      <c r="M1681" s="6">
        <f>K1681*4</f>
        <v/>
      </c>
      <c r="N1681" s="6" t="n">
        <v>1299</v>
      </c>
    </row>
    <row r="1682">
      <c r="A1682" s="1" t="inlineStr">
        <is>
          <t>43728091639180</t>
        </is>
      </c>
      <c r="B1682" s="1" t="inlineStr">
        <is>
          <t>CARTERA LV BLUE</t>
        </is>
      </c>
      <c r="C1682" s="1" t="inlineStr">
        <is>
          <t>12cmx9cm</t>
        </is>
      </c>
      <c r="D1682" s="1" t="inlineStr">
        <is>
          <t>27/04/2026</t>
        </is>
      </c>
      <c r="E1682" s="1" t="n">
        <v>2026</v>
      </c>
      <c r="F1682" s="1" t="inlineStr">
        <is>
          <t>ABRIL</t>
        </is>
      </c>
      <c r="G1682" s="1" t="inlineStr">
        <is>
          <t>DINA DU</t>
        </is>
      </c>
      <c r="H1682" s="1" t="inlineStr">
        <is>
          <t>DINA DU 27/04/2026</t>
        </is>
      </c>
      <c r="I1682" s="4" t="n">
        <v>2</v>
      </c>
      <c r="J1682" s="6" t="n">
        <v>13</v>
      </c>
      <c r="K1682" s="6" t="n">
        <v>351.5760657</v>
      </c>
      <c r="L1682" s="6">
        <f>I1682*K1682</f>
        <v/>
      </c>
      <c r="M1682" s="6">
        <f>K1682*4</f>
        <v/>
      </c>
      <c r="N1682" s="6" t="n">
        <v>1410</v>
      </c>
    </row>
    <row r="1683">
      <c r="A1683" s="1" t="inlineStr">
        <is>
          <t>43728091877228</t>
        </is>
      </c>
      <c r="B1683" s="1" t="inlineStr">
        <is>
          <t>CARTERA CC BLACK</t>
        </is>
      </c>
      <c r="C1683" s="1" t="inlineStr">
        <is>
          <t>13cmx13cm</t>
        </is>
      </c>
      <c r="D1683" s="1" t="inlineStr">
        <is>
          <t>21/10/2025</t>
        </is>
      </c>
      <c r="E1683" s="1" t="n">
        <v>2025</v>
      </c>
      <c r="F1683" s="1" t="inlineStr">
        <is>
          <t>OCTUBRE</t>
        </is>
      </c>
      <c r="G1683" s="1" t="inlineStr">
        <is>
          <t>DINA DU</t>
        </is>
      </c>
      <c r="H1683" s="1" t="inlineStr">
        <is>
          <t>DINA DU 21/10/2025</t>
        </is>
      </c>
      <c r="I1683" s="4" t="n">
        <v>15</v>
      </c>
      <c r="J1683" s="6" t="n">
        <v>24</v>
      </c>
      <c r="K1683" s="6" t="n">
        <v>672.8282256</v>
      </c>
      <c r="L1683" s="6">
        <f>I1683*K1683</f>
        <v/>
      </c>
      <c r="M1683" s="6">
        <f>K1683*4</f>
        <v/>
      </c>
      <c r="N1683" s="6" t="n">
        <v>2099</v>
      </c>
    </row>
    <row r="1684">
      <c r="A1684" s="1" t="inlineStr">
        <is>
          <t>43728091877228</t>
        </is>
      </c>
      <c r="B1684" s="1" t="inlineStr">
        <is>
          <t>CARTERA CC BLACK</t>
        </is>
      </c>
      <c r="C1684" s="1" t="inlineStr">
        <is>
          <t>13cmx13cm</t>
        </is>
      </c>
      <c r="D1684" s="1" t="inlineStr">
        <is>
          <t>06/02/2026</t>
        </is>
      </c>
      <c r="E1684" s="1" t="n">
        <v>2026</v>
      </c>
      <c r="F1684" s="1" t="inlineStr">
        <is>
          <t>FEBRERO</t>
        </is>
      </c>
      <c r="G1684" s="1" t="inlineStr">
        <is>
          <t>DINA DU</t>
        </is>
      </c>
      <c r="H1684" s="1" t="inlineStr">
        <is>
          <t>DINA DU 06/02/2026</t>
        </is>
      </c>
      <c r="I1684" s="4" t="n">
        <v>15</v>
      </c>
      <c r="J1684" s="6" t="n">
        <v>24</v>
      </c>
      <c r="K1684" s="6" t="n">
        <v>641.3135033999999</v>
      </c>
      <c r="L1684" s="6">
        <f>I1684*K1684</f>
        <v/>
      </c>
      <c r="M1684" s="6">
        <f>K1684*4</f>
        <v/>
      </c>
      <c r="N1684" s="6" t="n">
        <v>2599</v>
      </c>
    </row>
    <row r="1685">
      <c r="A1685" s="1" t="inlineStr">
        <is>
          <t>43728091877228</t>
        </is>
      </c>
      <c r="B1685" s="1" t="inlineStr">
        <is>
          <t>CARTERA CC BLACK</t>
        </is>
      </c>
      <c r="C1685" s="1" t="inlineStr">
        <is>
          <t>13cmx13cm</t>
        </is>
      </c>
      <c r="D1685" s="1" t="inlineStr">
        <is>
          <t>27/04/2026</t>
        </is>
      </c>
      <c r="E1685" s="1" t="n">
        <v>2026</v>
      </c>
      <c r="F1685" s="1" t="inlineStr">
        <is>
          <t>ABRIL</t>
        </is>
      </c>
      <c r="G1685" s="1" t="inlineStr">
        <is>
          <t>DINA DU</t>
        </is>
      </c>
      <c r="H1685" s="1" t="inlineStr">
        <is>
          <t>DINA DU 27/04/2026</t>
        </is>
      </c>
      <c r="I1685" s="4" t="n">
        <v>15</v>
      </c>
      <c r="J1685" s="6" t="n">
        <v>24</v>
      </c>
      <c r="K1685" s="6" t="n">
        <v>649.063506</v>
      </c>
      <c r="L1685" s="6">
        <f>I1685*K1685</f>
        <v/>
      </c>
      <c r="M1685" s="6">
        <f>K1685*4</f>
        <v/>
      </c>
      <c r="N1685" s="6" t="n">
        <v>2599</v>
      </c>
    </row>
    <row r="1686">
      <c r="A1686" s="1" t="inlineStr">
        <is>
          <t>43728095967788</t>
        </is>
      </c>
      <c r="B1686" s="1" t="inlineStr">
        <is>
          <t>PULSERA DOBLE STAR CD</t>
        </is>
      </c>
      <c r="C1686" s="1" t="inlineStr">
        <is>
          <t>16cm con extensión de 5cm</t>
        </is>
      </c>
      <c r="D1686" s="1" t="inlineStr">
        <is>
          <t>01/05/2025</t>
        </is>
      </c>
      <c r="E1686" s="1" t="n">
        <v>2025</v>
      </c>
      <c r="F1686" s="1" t="inlineStr">
        <is>
          <t>MAYO</t>
        </is>
      </c>
      <c r="G1686" s="1" t="inlineStr">
        <is>
          <t>COCOMA</t>
        </is>
      </c>
      <c r="H1686" s="1" t="inlineStr">
        <is>
          <t>COCOMA MAYO 2025</t>
        </is>
      </c>
      <c r="I1686" s="4" t="n">
        <v>5</v>
      </c>
      <c r="J1686" s="6" t="n">
        <v>3.98</v>
      </c>
      <c r="K1686" s="6" t="n">
        <v>97.49098815000001</v>
      </c>
      <c r="L1686" s="6">
        <f>I1686*K1686</f>
        <v/>
      </c>
      <c r="M1686" s="6">
        <f>K1686*4</f>
        <v/>
      </c>
      <c r="N1686" s="6" t="n">
        <v>455</v>
      </c>
    </row>
    <row r="1687">
      <c r="A1687" s="1" t="inlineStr">
        <is>
          <t>43728095967788</t>
        </is>
      </c>
      <c r="B1687" s="1" t="inlineStr">
        <is>
          <t>PULSERA DOBLE STAR CD</t>
        </is>
      </c>
      <c r="C1687" s="1" t="inlineStr">
        <is>
          <t>16cm con extensión de 5cm</t>
        </is>
      </c>
      <c r="D1687" s="1" t="inlineStr">
        <is>
          <t>20/01/2026</t>
        </is>
      </c>
      <c r="E1687" s="1" t="n">
        <v>2026</v>
      </c>
      <c r="F1687" s="1" t="inlineStr">
        <is>
          <t>ENERO</t>
        </is>
      </c>
      <c r="G1687" s="1" t="inlineStr">
        <is>
          <t>COCOMA</t>
        </is>
      </c>
      <c r="H1687" s="1" t="inlineStr">
        <is>
          <t>COCOMA 20/01/2026</t>
        </is>
      </c>
      <c r="I1687" s="4" t="n">
        <v>10</v>
      </c>
      <c r="J1687" s="6" t="n">
        <v>3.98</v>
      </c>
      <c r="K1687" s="6" t="n">
        <v>96.17631813</v>
      </c>
      <c r="L1687" s="6">
        <f>I1687*K1687</f>
        <v/>
      </c>
      <c r="M1687" s="6">
        <f>K1687*4</f>
        <v/>
      </c>
      <c r="N1687" s="6" t="n">
        <v>455</v>
      </c>
    </row>
    <row r="1688">
      <c r="A1688" s="1" t="inlineStr">
        <is>
          <t>43728096383020</t>
        </is>
      </c>
      <c r="B1688" s="1" t="inlineStr">
        <is>
          <t>COLLAR FR GOLD</t>
        </is>
      </c>
      <c r="C1688" s="1" t="inlineStr">
        <is>
          <t>46cm de largo con 5 cm de Extension</t>
        </is>
      </c>
      <c r="D1688" s="1" t="inlineStr">
        <is>
          <t>03/12/2025</t>
        </is>
      </c>
      <c r="E1688" s="1" t="n">
        <v>2025</v>
      </c>
      <c r="F1688" s="1" t="inlineStr">
        <is>
          <t>DICIEMBRE</t>
        </is>
      </c>
      <c r="G1688" s="1" t="inlineStr">
        <is>
          <t>NANCY</t>
        </is>
      </c>
      <c r="H1688" s="1" t="inlineStr">
        <is>
          <t>NANCY 03/12/2025</t>
        </is>
      </c>
      <c r="I1688" s="4" t="n">
        <v>5</v>
      </c>
      <c r="J1688" s="6" t="n">
        <v>5.59</v>
      </c>
      <c r="K1688" s="6" t="n">
        <v>132.2411844</v>
      </c>
      <c r="L1688" s="6">
        <f>I1688*K1688</f>
        <v/>
      </c>
      <c r="M1688" s="6">
        <f>K1688*4</f>
        <v/>
      </c>
      <c r="N1688" s="6" t="n">
        <v>599</v>
      </c>
    </row>
    <row r="1689">
      <c r="A1689" s="1" t="inlineStr">
        <is>
          <t>43728096383020</t>
        </is>
      </c>
      <c r="B1689" s="1" t="inlineStr">
        <is>
          <t>COLLAR FR GOLD</t>
        </is>
      </c>
      <c r="C1689" s="1" t="inlineStr">
        <is>
          <t>Default Title</t>
        </is>
      </c>
      <c r="D1689" s="1" t="inlineStr">
        <is>
          <t>20/01/2026</t>
        </is>
      </c>
      <c r="E1689" s="1" t="n">
        <v>2026</v>
      </c>
      <c r="F1689" s="1" t="inlineStr">
        <is>
          <t>ENERO</t>
        </is>
      </c>
      <c r="G1689" s="1" t="inlineStr">
        <is>
          <t>HAIFENG</t>
        </is>
      </c>
      <c r="H1689" s="1" t="inlineStr">
        <is>
          <t>HAIFENG 20/01/2026</t>
        </is>
      </c>
      <c r="I1689" s="4" t="n">
        <v>15</v>
      </c>
      <c r="J1689" s="6" t="n">
        <v>6.9</v>
      </c>
      <c r="K1689" s="6" t="n">
        <v>146.2828828</v>
      </c>
      <c r="L1689" s="6">
        <f>I1689*K1689</f>
        <v/>
      </c>
      <c r="M1689" s="6">
        <f>K1689*4</f>
        <v/>
      </c>
      <c r="N1689" s="6" t="n">
        <v>599</v>
      </c>
    </row>
    <row r="1690">
      <c r="A1690" s="1" t="inlineStr">
        <is>
          <t>43728096383020</t>
        </is>
      </c>
      <c r="B1690" s="1" t="inlineStr">
        <is>
          <t>COLLAR FR GOLD</t>
        </is>
      </c>
      <c r="C1690" s="1" t="inlineStr">
        <is>
          <t>46cm de largo con 5 cm de Extension</t>
        </is>
      </c>
      <c r="D1690" s="1" t="inlineStr">
        <is>
          <t>31/05/2026</t>
        </is>
      </c>
      <c r="E1690" s="1" t="n">
        <v>2026</v>
      </c>
      <c r="F1690" s="1" t="inlineStr">
        <is>
          <t>MAYO</t>
        </is>
      </c>
      <c r="G1690" s="1" t="inlineStr">
        <is>
          <t>NANCY</t>
        </is>
      </c>
      <c r="H1690" s="1" t="inlineStr">
        <is>
          <t>NANCY 31/05/2026</t>
        </is>
      </c>
      <c r="I1690" s="4" t="n">
        <v>10</v>
      </c>
      <c r="J1690" s="6" t="n">
        <v>6.59</v>
      </c>
      <c r="K1690" s="6" t="n">
        <v>159.9234162</v>
      </c>
      <c r="L1690" s="6">
        <f>I1690*K1690</f>
        <v/>
      </c>
      <c r="M1690" s="6">
        <f>K1690*4</f>
        <v/>
      </c>
      <c r="N1690" s="6" t="n">
        <v>599</v>
      </c>
    </row>
    <row r="1691">
      <c r="A1691" s="1" t="inlineStr">
        <is>
          <t>43728096469580</t>
        </is>
      </c>
      <c r="B1691" s="1" t="inlineStr">
        <is>
          <t>COLLAR FR SILVER</t>
        </is>
      </c>
      <c r="C1691" s="1" t="inlineStr">
        <is>
          <t>46cm de largo con 5 cm de Extension</t>
        </is>
      </c>
      <c r="D1691" s="1" t="inlineStr">
        <is>
          <t>06/09/2025</t>
        </is>
      </c>
      <c r="E1691" s="1" t="n">
        <v>2025</v>
      </c>
      <c r="F1691" s="1" t="inlineStr">
        <is>
          <t>SEPTIEMBRE</t>
        </is>
      </c>
      <c r="G1691" s="1" t="inlineStr">
        <is>
          <t>NANCY</t>
        </is>
      </c>
      <c r="H1691" s="1" t="inlineStr">
        <is>
          <t>NANCY 06/09/2025</t>
        </is>
      </c>
      <c r="I1691" s="4" t="n">
        <v>10</v>
      </c>
      <c r="J1691" s="6" t="n">
        <v>5.59</v>
      </c>
      <c r="K1691" s="6" t="n">
        <v>130.1668371</v>
      </c>
      <c r="L1691" s="6">
        <f>I1691*K1691</f>
        <v/>
      </c>
      <c r="M1691" s="6">
        <f>K1691*4</f>
        <v/>
      </c>
      <c r="N1691" s="6" t="n">
        <v>580</v>
      </c>
    </row>
    <row r="1692">
      <c r="A1692" s="1" t="inlineStr">
        <is>
          <t>43728096469580</t>
        </is>
      </c>
      <c r="B1692" s="1" t="inlineStr">
        <is>
          <t>COLLAR FR SILVER</t>
        </is>
      </c>
      <c r="C1692" s="1" t="inlineStr">
        <is>
          <t>46cm de largo con 5 cm de Extension</t>
        </is>
      </c>
      <c r="D1692" s="1" t="inlineStr">
        <is>
          <t>20/01/2026</t>
        </is>
      </c>
      <c r="E1692" s="1" t="n">
        <v>2026</v>
      </c>
      <c r="F1692" s="1" t="inlineStr">
        <is>
          <t>ENERO</t>
        </is>
      </c>
      <c r="G1692" s="1" t="inlineStr">
        <is>
          <t>HAIFENG</t>
        </is>
      </c>
      <c r="H1692" s="1" t="inlineStr">
        <is>
          <t>HAIFENG 20/01/2026</t>
        </is>
      </c>
      <c r="I1692" s="4" t="n">
        <v>15</v>
      </c>
      <c r="J1692" s="6" t="n">
        <v>6.9</v>
      </c>
      <c r="K1692" s="6" t="n">
        <v>146.2828828</v>
      </c>
      <c r="L1692" s="6">
        <f>I1692*K1692</f>
        <v/>
      </c>
      <c r="M1692" s="6">
        <f>K1692*4</f>
        <v/>
      </c>
      <c r="N1692" s="6" t="n">
        <v>580</v>
      </c>
    </row>
    <row r="1693">
      <c r="A1693" s="1" t="inlineStr">
        <is>
          <t>43728099701932</t>
        </is>
      </c>
      <c r="B1693" s="1" t="inlineStr">
        <is>
          <t>BOLSO JM WHITE</t>
        </is>
      </c>
      <c r="C1693" s="1" t="inlineStr">
        <is>
          <t>16cm de alto x 19.5cm de largo x 7cm de ancho 15cm de alto de correa</t>
        </is>
      </c>
      <c r="D1693" s="1" t="inlineStr">
        <is>
          <t>02/03/2026</t>
        </is>
      </c>
      <c r="E1693" s="1" t="n">
        <v>2026</v>
      </c>
      <c r="F1693" s="1" t="inlineStr">
        <is>
          <t>MARZO</t>
        </is>
      </c>
      <c r="G1693" s="1" t="inlineStr">
        <is>
          <t>ZOEY</t>
        </is>
      </c>
      <c r="H1693" s="1" t="inlineStr">
        <is>
          <t>ZOEY 02/03/2026</t>
        </is>
      </c>
      <c r="I1693" s="4" t="n">
        <v>2</v>
      </c>
      <c r="J1693" s="6" t="n">
        <v>56</v>
      </c>
      <c r="K1693" s="6" t="n">
        <v>1471.51064</v>
      </c>
      <c r="L1693" s="6">
        <f>I1693*K1693</f>
        <v/>
      </c>
      <c r="M1693" s="6">
        <f>K1693*4</f>
        <v/>
      </c>
      <c r="N1693" s="6" t="n">
        <v>5150.29</v>
      </c>
    </row>
    <row r="1694">
      <c r="A1694" s="1" t="inlineStr">
        <is>
          <t>43728112129132</t>
        </is>
      </c>
      <c r="B1694" s="1" t="inlineStr">
        <is>
          <t>ANILLO P SHINNY FLOWER</t>
        </is>
      </c>
      <c r="C1694" s="1" t="n">
        <v>6</v>
      </c>
      <c r="D1694" s="1" t="inlineStr">
        <is>
          <t>25/10/2025</t>
        </is>
      </c>
      <c r="E1694" s="1" t="n">
        <v>2025</v>
      </c>
      <c r="F1694" s="1" t="inlineStr">
        <is>
          <t>OCTUBRE</t>
        </is>
      </c>
      <c r="G1694" s="1" t="inlineStr">
        <is>
          <t>CYNTHIA</t>
        </is>
      </c>
      <c r="H1694" s="1" t="inlineStr">
        <is>
          <t>CYNTHIA 25/10/2025</t>
        </is>
      </c>
      <c r="I1694" s="4" t="n">
        <v>2</v>
      </c>
      <c r="J1694" s="6" t="n">
        <v>2.6</v>
      </c>
      <c r="K1694" s="6" t="n">
        <v>68.12474133000001</v>
      </c>
      <c r="L1694" s="6">
        <f>I1694*K1694</f>
        <v/>
      </c>
      <c r="M1694" s="6">
        <f>K1694*4</f>
        <v/>
      </c>
      <c r="N1694" s="6" t="n">
        <v>520</v>
      </c>
    </row>
    <row r="1695">
      <c r="A1695" s="1" t="inlineStr">
        <is>
          <t>43728112129132</t>
        </is>
      </c>
      <c r="B1695" s="1" t="inlineStr">
        <is>
          <t>ANILLO P SHINNY FLOWER</t>
        </is>
      </c>
      <c r="C1695" s="1" t="inlineStr">
        <is>
          <t>6</t>
        </is>
      </c>
      <c r="D1695" s="1" t="inlineStr">
        <is>
          <t>19/03/2026</t>
        </is>
      </c>
      <c r="E1695" s="1" t="n">
        <v>2026</v>
      </c>
      <c r="F1695" s="1" t="inlineStr">
        <is>
          <t>MARZO</t>
        </is>
      </c>
      <c r="G1695" s="1" t="inlineStr">
        <is>
          <t>CYNTHIA</t>
        </is>
      </c>
      <c r="H1695" s="1" t="inlineStr">
        <is>
          <t>CYNTHIA 19/03/2026</t>
        </is>
      </c>
      <c r="I1695" s="4" t="n">
        <v>4</v>
      </c>
      <c r="J1695" s="6" t="n">
        <v>2.6</v>
      </c>
      <c r="K1695" s="6" t="n">
        <v>69.82928106</v>
      </c>
      <c r="L1695" s="6">
        <f>I1695*K1695</f>
        <v/>
      </c>
      <c r="M1695" s="6">
        <f>K1695*4</f>
        <v/>
      </c>
      <c r="N1695" s="6" t="n">
        <v>520</v>
      </c>
    </row>
    <row r="1696">
      <c r="A1696" s="1" t="inlineStr">
        <is>
          <t>43728112856684</t>
        </is>
      </c>
      <c r="B1696" s="1" t="inlineStr">
        <is>
          <t>ANILLO P STARS</t>
        </is>
      </c>
      <c r="C1696" s="1" t="inlineStr">
        <is>
          <t>6</t>
        </is>
      </c>
      <c r="D1696" s="1" t="inlineStr">
        <is>
          <t>19/03/2026</t>
        </is>
      </c>
      <c r="E1696" s="1" t="n">
        <v>2026</v>
      </c>
      <c r="F1696" s="1" t="inlineStr">
        <is>
          <t>MARZO</t>
        </is>
      </c>
      <c r="G1696" s="1" t="inlineStr">
        <is>
          <t>CYNTHIA</t>
        </is>
      </c>
      <c r="H1696" s="1" t="inlineStr">
        <is>
          <t>CYNTHIA 19/03/2026</t>
        </is>
      </c>
      <c r="I1696" s="4" t="n">
        <v>1</v>
      </c>
      <c r="J1696" s="6" t="n">
        <v>1.7</v>
      </c>
      <c r="K1696" s="6" t="n">
        <v>45.65760685</v>
      </c>
      <c r="L1696" s="6">
        <f>I1696*K1696</f>
        <v/>
      </c>
      <c r="M1696" s="6">
        <f>K1696*4</f>
        <v/>
      </c>
      <c r="N1696" s="6" t="n">
        <v>250</v>
      </c>
    </row>
    <row r="1697">
      <c r="A1697" s="1" t="inlineStr">
        <is>
          <t>43728113631628</t>
        </is>
      </c>
      <c r="B1697" s="1" t="inlineStr">
        <is>
          <t>ARETES LV LOGO ROUND GOLD</t>
        </is>
      </c>
      <c r="C1697" s="1" t="inlineStr">
        <is>
          <t>Regular</t>
        </is>
      </c>
      <c r="D1697" s="1" t="inlineStr">
        <is>
          <t>19/03/2026</t>
        </is>
      </c>
      <c r="E1697" s="1" t="n">
        <v>2026</v>
      </c>
      <c r="F1697" s="1" t="inlineStr">
        <is>
          <t>MARZO</t>
        </is>
      </c>
      <c r="G1697" s="1" t="inlineStr">
        <is>
          <t>CYNTHIA</t>
        </is>
      </c>
      <c r="H1697" s="1" t="inlineStr">
        <is>
          <t>CYNTHIA 19/03/2026</t>
        </is>
      </c>
      <c r="I1697" s="4" t="n">
        <v>2</v>
      </c>
      <c r="J1697" s="6" t="n">
        <v>3.8</v>
      </c>
      <c r="K1697" s="6" t="n">
        <v>102.05818</v>
      </c>
      <c r="L1697" s="6">
        <f>I1697*K1697</f>
        <v/>
      </c>
      <c r="M1697" s="6">
        <f>K1697*4</f>
        <v/>
      </c>
      <c r="N1697" s="6" t="n">
        <v>499</v>
      </c>
    </row>
    <row r="1698">
      <c r="A1698" s="1" t="inlineStr">
        <is>
          <t>43728113631628</t>
        </is>
      </c>
      <c r="B1698" s="1" t="inlineStr">
        <is>
          <t>ARETES LV LOGO ROUND GOLD</t>
        </is>
      </c>
      <c r="C1698" s="1" t="inlineStr">
        <is>
          <t>Regular</t>
        </is>
      </c>
      <c r="D1698" s="1" t="inlineStr">
        <is>
          <t>27/04/2026</t>
        </is>
      </c>
      <c r="E1698" s="1" t="n">
        <v>2026</v>
      </c>
      <c r="F1698" s="1" t="inlineStr">
        <is>
          <t>ABRIL</t>
        </is>
      </c>
      <c r="G1698" s="1" t="inlineStr">
        <is>
          <t>CYNTHIA</t>
        </is>
      </c>
      <c r="H1698" s="1" t="inlineStr">
        <is>
          <t>CYNTHIA 27/04/2026</t>
        </is>
      </c>
      <c r="I1698" s="4" t="n">
        <v>3</v>
      </c>
      <c r="J1698" s="6" t="n">
        <v>3.8</v>
      </c>
      <c r="K1698" s="6" t="n">
        <v>98.61035194</v>
      </c>
      <c r="L1698" s="6">
        <f>I1698*K1698</f>
        <v/>
      </c>
      <c r="M1698" s="6">
        <f>K1698*4</f>
        <v/>
      </c>
      <c r="N1698" s="6" t="n">
        <v>499</v>
      </c>
    </row>
    <row r="1699">
      <c r="A1699" s="1" t="inlineStr">
        <is>
          <t>43728116060268</t>
        </is>
      </c>
      <c r="B1699" s="1" t="inlineStr">
        <is>
          <t>ANILLO SIXTEEN STONE SILVER</t>
        </is>
      </c>
      <c r="C1699" s="1" t="inlineStr">
        <is>
          <t>REGULAR 7</t>
        </is>
      </c>
      <c r="D1699" s="1" t="inlineStr">
        <is>
          <t>11/03/2026</t>
        </is>
      </c>
      <c r="E1699" s="1" t="n">
        <v>2026</v>
      </c>
      <c r="F1699" s="1" t="inlineStr">
        <is>
          <t>MARZO</t>
        </is>
      </c>
      <c r="G1699" s="1" t="inlineStr">
        <is>
          <t>HAIFENG</t>
        </is>
      </c>
      <c r="H1699" s="1" t="inlineStr">
        <is>
          <t>HAIFENG 11/03/2026</t>
        </is>
      </c>
      <c r="I1699" s="4" t="n">
        <v>2</v>
      </c>
      <c r="J1699" s="6" t="n">
        <v>6</v>
      </c>
      <c r="K1699" s="6" t="n">
        <v>127.8233773</v>
      </c>
      <c r="L1699" s="6">
        <f>I1699*K1699</f>
        <v/>
      </c>
      <c r="M1699" s="6">
        <f>K1699*4</f>
        <v/>
      </c>
      <c r="N1699" s="6" t="n">
        <v>700</v>
      </c>
    </row>
    <row r="1700">
      <c r="A1700" s="1" t="inlineStr">
        <is>
          <t>43728116293036</t>
        </is>
      </c>
      <c r="B1700" s="1" t="inlineStr">
        <is>
          <t>ANILLO SIXTEEN STONE SILVER</t>
        </is>
      </c>
      <c r="C1700" s="1" t="inlineStr">
        <is>
          <t>REGULAR 8</t>
        </is>
      </c>
      <c r="D1700" s="1" t="inlineStr">
        <is>
          <t>11/03/2026</t>
        </is>
      </c>
      <c r="E1700" s="1" t="n">
        <v>2026</v>
      </c>
      <c r="F1700" s="1" t="inlineStr">
        <is>
          <t>MARZO</t>
        </is>
      </c>
      <c r="G1700" s="1" t="inlineStr">
        <is>
          <t>HAIFENG</t>
        </is>
      </c>
      <c r="H1700" s="1" t="inlineStr">
        <is>
          <t>HAIFENG 11/03/2026</t>
        </is>
      </c>
      <c r="I1700" s="4" t="n">
        <v>2</v>
      </c>
      <c r="J1700" s="6" t="n">
        <v>6</v>
      </c>
      <c r="K1700" s="6" t="n">
        <v>127.8233773</v>
      </c>
      <c r="L1700" s="6">
        <f>I1700*K1700</f>
        <v/>
      </c>
      <c r="M1700" s="6">
        <f>K1700*4</f>
        <v/>
      </c>
      <c r="N1700" s="6" t="n">
        <v>742</v>
      </c>
    </row>
    <row r="1701">
      <c r="A1701" s="1" t="inlineStr">
        <is>
          <t>43728117034540</t>
        </is>
      </c>
      <c r="B1701" s="1" t="inlineStr">
        <is>
          <t>TARJETERO YSL GOLD</t>
        </is>
      </c>
      <c r="C1701" s="1" t="inlineStr">
        <is>
          <t>HIGH QUALITY</t>
        </is>
      </c>
      <c r="D1701" s="1" t="inlineStr">
        <is>
          <t>01/09/2025</t>
        </is>
      </c>
      <c r="E1701" s="1" t="n">
        <v>2025</v>
      </c>
      <c r="F1701" s="1" t="inlineStr">
        <is>
          <t>SEPTIEMBRE</t>
        </is>
      </c>
      <c r="G1701" s="1" t="inlineStr">
        <is>
          <t>ZOEY</t>
        </is>
      </c>
      <c r="H1701" s="1" t="inlineStr">
        <is>
          <t>ZOEY 01/09/2025</t>
        </is>
      </c>
      <c r="I1701" s="4" t="n">
        <v>15</v>
      </c>
      <c r="J1701" s="6" t="n">
        <v>13</v>
      </c>
      <c r="K1701" s="6" t="n">
        <v>326.5319799</v>
      </c>
      <c r="L1701" s="6">
        <f>I1701*K1701</f>
        <v/>
      </c>
      <c r="M1701" s="6">
        <f>K1701*4</f>
        <v/>
      </c>
      <c r="N1701" s="6" t="n">
        <v>1399</v>
      </c>
    </row>
    <row r="1702">
      <c r="A1702" s="1" t="inlineStr">
        <is>
          <t>43728117034540</t>
        </is>
      </c>
      <c r="B1702" s="1" t="inlineStr">
        <is>
          <t>TARJETERO YSL GOLD</t>
        </is>
      </c>
      <c r="C1702" s="1" t="inlineStr">
        <is>
          <t>HIGH QUALITY</t>
        </is>
      </c>
      <c r="D1702" s="1" t="inlineStr">
        <is>
          <t>19/03/2026</t>
        </is>
      </c>
      <c r="E1702" s="1" t="n">
        <v>2026</v>
      </c>
      <c r="F1702" s="1" t="inlineStr">
        <is>
          <t>MARZO</t>
        </is>
      </c>
      <c r="G1702" s="1" t="inlineStr">
        <is>
          <t>ZOEY</t>
        </is>
      </c>
      <c r="H1702" s="1" t="inlineStr">
        <is>
          <t>ZOEY 19/03/2026</t>
        </is>
      </c>
      <c r="I1702" s="4" t="n">
        <v>8</v>
      </c>
      <c r="J1702" s="6" t="n">
        <v>13</v>
      </c>
      <c r="K1702" s="6" t="n">
        <v>335.166645</v>
      </c>
      <c r="L1702" s="6">
        <f>I1702*K1702</f>
        <v/>
      </c>
      <c r="M1702" s="6">
        <f>K1702*4</f>
        <v/>
      </c>
      <c r="N1702" s="6" t="n">
        <v>1399</v>
      </c>
    </row>
    <row r="1703">
      <c r="A1703" s="1" t="inlineStr">
        <is>
          <t>43728117034540</t>
        </is>
      </c>
      <c r="B1703" s="1" t="inlineStr">
        <is>
          <t>TARJETERO YSL GOLD</t>
        </is>
      </c>
      <c r="C1703" s="1" t="inlineStr">
        <is>
          <t>HIGH QUALITY</t>
        </is>
      </c>
      <c r="D1703" s="1" t="inlineStr">
        <is>
          <t>20/04/2026</t>
        </is>
      </c>
      <c r="E1703" s="1" t="n">
        <v>2026</v>
      </c>
      <c r="F1703" s="1" t="inlineStr">
        <is>
          <t>ABRIL</t>
        </is>
      </c>
      <c r="G1703" s="1" t="inlineStr">
        <is>
          <t>ZOEY</t>
        </is>
      </c>
      <c r="H1703" s="1" t="inlineStr">
        <is>
          <t>ZOEY 20/04/2026</t>
        </is>
      </c>
      <c r="I1703" s="4" t="n">
        <v>8</v>
      </c>
      <c r="J1703" s="6" t="n">
        <v>13</v>
      </c>
      <c r="K1703" s="6" t="n">
        <v>332.9141184</v>
      </c>
      <c r="L1703" s="6">
        <f>I1703*K1703</f>
        <v/>
      </c>
      <c r="M1703" s="6">
        <f>K1703*4</f>
        <v/>
      </c>
      <c r="N1703" s="6" t="n">
        <v>1399</v>
      </c>
    </row>
    <row r="1704">
      <c r="A1704" s="1" t="inlineStr">
        <is>
          <t>43728117034540</t>
        </is>
      </c>
      <c r="B1704" s="1" t="inlineStr">
        <is>
          <t>TARJETERO YSL GOLD</t>
        </is>
      </c>
      <c r="C1704" s="1" t="inlineStr">
        <is>
          <t>HIGH QUALITY</t>
        </is>
      </c>
      <c r="D1704" s="1" t="inlineStr">
        <is>
          <t>08/06/2026</t>
        </is>
      </c>
      <c r="E1704" s="1" t="n">
        <v>2026</v>
      </c>
      <c r="F1704" s="1" t="inlineStr">
        <is>
          <t>JUNIO</t>
        </is>
      </c>
      <c r="G1704" s="1" t="inlineStr">
        <is>
          <t>ZOEY</t>
        </is>
      </c>
      <c r="H1704" s="1" t="inlineStr">
        <is>
          <t>ZOEY 08/06/2026</t>
        </is>
      </c>
      <c r="I1704" s="4" t="n">
        <v>11</v>
      </c>
      <c r="J1704" s="6" t="n">
        <v>13</v>
      </c>
      <c r="K1704" s="6" t="n">
        <v>318.6486739</v>
      </c>
      <c r="L1704" s="6">
        <f>I1704*K1704</f>
        <v/>
      </c>
      <c r="M1704" s="6">
        <f>K1704*4</f>
        <v/>
      </c>
      <c r="N1704" s="6" t="n">
        <v>1399</v>
      </c>
    </row>
    <row r="1705">
      <c r="A1705" s="1" t="inlineStr">
        <is>
          <t>43728133191212</t>
        </is>
      </c>
      <c r="B1705" s="1" t="inlineStr">
        <is>
          <t>COLLAR TREBOL SILVER</t>
        </is>
      </c>
      <c r="C1705" s="1" t="inlineStr">
        <is>
          <t>plata esterlina 925</t>
        </is>
      </c>
      <c r="D1705" s="1" t="inlineStr">
        <is>
          <t>01/09/2025</t>
        </is>
      </c>
      <c r="E1705" s="1" t="n">
        <v>2025</v>
      </c>
      <c r="F1705" s="1" t="inlineStr">
        <is>
          <t>SEPTIEMBRE</t>
        </is>
      </c>
      <c r="G1705" s="1" t="inlineStr">
        <is>
          <t>HAIFENG</t>
        </is>
      </c>
      <c r="H1705" s="1" t="inlineStr">
        <is>
          <t>HAIFENG 01/09/2025</t>
        </is>
      </c>
      <c r="I1705" s="4" t="n">
        <v>5</v>
      </c>
      <c r="J1705" s="6" t="n">
        <v>10</v>
      </c>
      <c r="K1705" s="6" t="n">
        <v>212.5567106</v>
      </c>
      <c r="L1705" s="6">
        <f>I1705*K1705</f>
        <v/>
      </c>
      <c r="M1705" s="6">
        <f>K1705*4</f>
        <v/>
      </c>
      <c r="N1705" s="6" t="n">
        <v>899</v>
      </c>
    </row>
    <row r="1706">
      <c r="A1706" s="1" t="inlineStr">
        <is>
          <t>43728133191212</t>
        </is>
      </c>
      <c r="B1706" s="1" t="inlineStr">
        <is>
          <t>COLLAR TREBOL SILVER</t>
        </is>
      </c>
      <c r="C1706" s="1" t="inlineStr">
        <is>
          <t>plata esterlina 925</t>
        </is>
      </c>
      <c r="D1706" s="1" t="inlineStr">
        <is>
          <t>03/12/2025</t>
        </is>
      </c>
      <c r="E1706" s="1" t="n">
        <v>2025</v>
      </c>
      <c r="F1706" s="1" t="inlineStr">
        <is>
          <t>DICIEMBRE</t>
        </is>
      </c>
      <c r="G1706" s="1" t="inlineStr">
        <is>
          <t>HAIFENG</t>
        </is>
      </c>
      <c r="H1706" s="1" t="inlineStr">
        <is>
          <t>HAIFENG 03/12/2025</t>
        </is>
      </c>
      <c r="I1706" s="4" t="n">
        <v>4</v>
      </c>
      <c r="J1706" s="6" t="n">
        <v>10</v>
      </c>
      <c r="K1706" s="6" t="n">
        <v>209.1716001</v>
      </c>
      <c r="L1706" s="6">
        <f>I1706*K1706</f>
        <v/>
      </c>
      <c r="M1706" s="6">
        <f>K1706*4</f>
        <v/>
      </c>
      <c r="N1706" s="6" t="n">
        <v>899</v>
      </c>
    </row>
    <row r="1707">
      <c r="A1707" s="1" t="inlineStr">
        <is>
          <t>43728133191212</t>
        </is>
      </c>
      <c r="B1707" s="1" t="inlineStr">
        <is>
          <t>COLLAR TREBOL SILVER</t>
        </is>
      </c>
      <c r="C1707" s="1" t="inlineStr">
        <is>
          <t>plata esterlina 925</t>
        </is>
      </c>
      <c r="D1707" s="1" t="inlineStr">
        <is>
          <t>20/01/2026</t>
        </is>
      </c>
      <c r="E1707" s="1" t="n">
        <v>2026</v>
      </c>
      <c r="F1707" s="1" t="inlineStr">
        <is>
          <t>ENERO</t>
        </is>
      </c>
      <c r="G1707" s="1" t="inlineStr">
        <is>
          <t>HAIFENG</t>
        </is>
      </c>
      <c r="H1707" s="1" t="inlineStr">
        <is>
          <t>HAIFENG 20/01/2026</t>
        </is>
      </c>
      <c r="I1707" s="4" t="n">
        <v>4</v>
      </c>
      <c r="J1707" s="6" t="n">
        <v>4</v>
      </c>
      <c r="K1707" s="6" t="n">
        <v>84.80167117000001</v>
      </c>
      <c r="L1707" s="6">
        <f>I1707*K1707</f>
        <v/>
      </c>
      <c r="M1707" s="6">
        <f>K1707*4</f>
        <v/>
      </c>
      <c r="N1707" s="6" t="n">
        <v>899</v>
      </c>
    </row>
    <row r="1708">
      <c r="A1708" s="1" t="inlineStr">
        <is>
          <t>43728133191212</t>
        </is>
      </c>
      <c r="B1708" s="1" t="inlineStr">
        <is>
          <t>COLLAR TREBOL SILVER</t>
        </is>
      </c>
      <c r="C1708" s="1" t="inlineStr">
        <is>
          <t>plata esterlina 925</t>
        </is>
      </c>
      <c r="D1708" s="1" t="inlineStr">
        <is>
          <t>06/05/2026</t>
        </is>
      </c>
      <c r="E1708" s="1" t="n">
        <v>2026</v>
      </c>
      <c r="F1708" s="1" t="inlineStr">
        <is>
          <t>MAYO</t>
        </is>
      </c>
      <c r="G1708" s="1" t="inlineStr">
        <is>
          <t>HAIFENG</t>
        </is>
      </c>
      <c r="H1708" s="1" t="inlineStr">
        <is>
          <t>HAIFENG 06/05/2026</t>
        </is>
      </c>
      <c r="I1708" s="4" t="n">
        <v>5</v>
      </c>
      <c r="J1708" s="6" t="n">
        <v>4</v>
      </c>
      <c r="K1708" s="6" t="n">
        <v>84.87456907000001</v>
      </c>
      <c r="L1708" s="6">
        <f>I1708*K1708</f>
        <v/>
      </c>
      <c r="M1708" s="6">
        <f>K1708*4</f>
        <v/>
      </c>
      <c r="N1708" s="6" t="n">
        <v>899</v>
      </c>
    </row>
    <row r="1709">
      <c r="A1709" s="1" t="inlineStr">
        <is>
          <t>43728135084716</t>
        </is>
      </c>
      <c r="B1709" s="1" t="n"/>
      <c r="C1709" s="1" t="inlineStr">
        <is>
          <t>REGULAR</t>
        </is>
      </c>
      <c r="D1709" s="1" t="inlineStr">
        <is>
          <t>03/12/2025</t>
        </is>
      </c>
      <c r="E1709" s="1" t="n">
        <v>2025</v>
      </c>
      <c r="F1709" s="1" t="inlineStr">
        <is>
          <t>DICIEMBRE</t>
        </is>
      </c>
      <c r="G1709" s="1" t="inlineStr">
        <is>
          <t>NANCY</t>
        </is>
      </c>
      <c r="H1709" s="1" t="inlineStr">
        <is>
          <t>NANCY 03/12/2025</t>
        </is>
      </c>
      <c r="I1709" s="4" t="n">
        <v>8</v>
      </c>
      <c r="J1709" s="6" t="n">
        <v>5.59</v>
      </c>
      <c r="K1709" s="6" t="n">
        <v>132.2411844</v>
      </c>
      <c r="L1709" s="6">
        <f>I1709*K1709</f>
        <v/>
      </c>
      <c r="M1709" s="6">
        <f>K1709*4</f>
        <v/>
      </c>
      <c r="N1709" s="6" t="n">
        <v>460</v>
      </c>
    </row>
    <row r="1710">
      <c r="A1710" s="1" t="inlineStr">
        <is>
          <t>43728135084716</t>
        </is>
      </c>
      <c r="B1710" s="1" t="inlineStr">
        <is>
          <t>COLLAR YSL GOLD (NECKLACE)</t>
        </is>
      </c>
      <c r="C1710" s="1" t="inlineStr">
        <is>
          <t>REGULAR</t>
        </is>
      </c>
      <c r="D1710" s="1" t="inlineStr">
        <is>
          <t>31/05/2026</t>
        </is>
      </c>
      <c r="E1710" s="1" t="n">
        <v>2026</v>
      </c>
      <c r="F1710" s="1" t="inlineStr">
        <is>
          <t>MAYO</t>
        </is>
      </c>
      <c r="G1710" s="1" t="inlineStr">
        <is>
          <t>NANCY</t>
        </is>
      </c>
      <c r="H1710" s="1" t="inlineStr">
        <is>
          <t>NANCY 31/05/2026</t>
        </is>
      </c>
      <c r="I1710" s="4" t="n">
        <v>5</v>
      </c>
      <c r="J1710" s="6" t="n">
        <v>6.29</v>
      </c>
      <c r="K1710" s="6" t="n">
        <v>152.6431393</v>
      </c>
      <c r="L1710" s="6">
        <f>I1710*K1710</f>
        <v/>
      </c>
      <c r="M1710" s="6">
        <f>K1710*4</f>
        <v/>
      </c>
      <c r="N1710" s="6" t="n">
        <v>460</v>
      </c>
    </row>
    <row r="1711">
      <c r="A1711" s="1" t="inlineStr">
        <is>
          <t>43728135385740</t>
        </is>
      </c>
      <c r="B1711" s="1" t="inlineStr">
        <is>
          <t>PULSERA TRÉBOL GOLD-GREEN VF</t>
        </is>
      </c>
      <c r="C1711" s="1" t="inlineStr">
        <is>
          <t>18cm</t>
        </is>
      </c>
      <c r="D1711" s="1" t="inlineStr">
        <is>
          <t>10/02/2026</t>
        </is>
      </c>
      <c r="E1711" s="1" t="n">
        <v>2026</v>
      </c>
      <c r="F1711" s="1" t="inlineStr">
        <is>
          <t>FEBRERO</t>
        </is>
      </c>
      <c r="G1711" s="1" t="inlineStr">
        <is>
          <t>HAIFENG</t>
        </is>
      </c>
      <c r="H1711" s="1" t="inlineStr">
        <is>
          <t>HAIFENG 10/02/2026</t>
        </is>
      </c>
      <c r="I1711" s="4" t="n">
        <v>4</v>
      </c>
      <c r="J1711" s="6" t="n">
        <v>7</v>
      </c>
      <c r="K1711" s="6" t="n">
        <v>147.4794725</v>
      </c>
      <c r="L1711" s="6">
        <f>I1711*K1711</f>
        <v/>
      </c>
      <c r="M1711" s="6">
        <f>K1711*4</f>
        <v/>
      </c>
      <c r="N1711" s="6" t="n">
        <v>599</v>
      </c>
    </row>
    <row r="1712">
      <c r="A1712" s="1" t="inlineStr">
        <is>
          <t>43728135385740</t>
        </is>
      </c>
      <c r="B1712" s="1" t="inlineStr">
        <is>
          <t>PULSERA TRÉBOL GOLD-GREEN VF</t>
        </is>
      </c>
      <c r="C1712" s="1" t="inlineStr">
        <is>
          <t>18cm</t>
        </is>
      </c>
      <c r="D1712" s="1" t="inlineStr">
        <is>
          <t>16/04/2026</t>
        </is>
      </c>
      <c r="E1712" s="1" t="n">
        <v>2026</v>
      </c>
      <c r="F1712" s="1" t="inlineStr">
        <is>
          <t>ABRIL</t>
        </is>
      </c>
      <c r="G1712" s="1" t="inlineStr">
        <is>
          <t>HAIFENG</t>
        </is>
      </c>
      <c r="H1712" s="1" t="inlineStr">
        <is>
          <t>HAIFENG 16/04/2026</t>
        </is>
      </c>
      <c r="I1712" s="4" t="n">
        <v>7</v>
      </c>
      <c r="J1712" s="6" t="n">
        <v>7</v>
      </c>
      <c r="K1712" s="6" t="n">
        <v>147.2203151</v>
      </c>
      <c r="L1712" s="6">
        <f>I1712*K1712</f>
        <v/>
      </c>
      <c r="M1712" s="6">
        <f>K1712*4</f>
        <v/>
      </c>
      <c r="N1712" s="6" t="n">
        <v>599</v>
      </c>
    </row>
    <row r="1713">
      <c r="A1713" s="1" t="inlineStr">
        <is>
          <t>43728135385740</t>
        </is>
      </c>
      <c r="B1713" s="1" t="inlineStr">
        <is>
          <t>PULSERA TRÉBOL GOLD-GREEN VF</t>
        </is>
      </c>
      <c r="C1713" s="1" t="inlineStr">
        <is>
          <t>18cm</t>
        </is>
      </c>
      <c r="D1713" s="1" t="inlineStr">
        <is>
          <t>26/05/2026</t>
        </is>
      </c>
      <c r="E1713" s="1" t="n">
        <v>2026</v>
      </c>
      <c r="F1713" s="1" t="inlineStr">
        <is>
          <t>MAYO</t>
        </is>
      </c>
      <c r="G1713" s="1" t="inlineStr">
        <is>
          <t>HAIFENG</t>
        </is>
      </c>
      <c r="H1713" s="1" t="inlineStr">
        <is>
          <t>HAIFENG 26/05/2026</t>
        </is>
      </c>
      <c r="I1713" s="4" t="n">
        <v>7</v>
      </c>
      <c r="J1713" s="6" t="n">
        <v>7</v>
      </c>
      <c r="K1713" s="6" t="n">
        <v>146.9250671</v>
      </c>
      <c r="L1713" s="6">
        <f>I1713*K1713</f>
        <v/>
      </c>
      <c r="M1713" s="6">
        <f>K1713*4</f>
        <v/>
      </c>
      <c r="N1713" s="6" t="n">
        <v>599</v>
      </c>
    </row>
    <row r="1714">
      <c r="A1714" s="1" t="inlineStr">
        <is>
          <t>43728135385740</t>
        </is>
      </c>
      <c r="B1714" s="1" t="inlineStr">
        <is>
          <t>PULSERA TRÉBOL GOLD-GREEN VF</t>
        </is>
      </c>
      <c r="C1714" s="1" t="inlineStr">
        <is>
          <t>18cm</t>
        </is>
      </c>
      <c r="D1714" s="1" t="inlineStr">
        <is>
          <t>16/06/2026</t>
        </is>
      </c>
      <c r="E1714" s="1" t="n">
        <v>2026</v>
      </c>
      <c r="F1714" s="1" t="inlineStr">
        <is>
          <t>JUNIO</t>
        </is>
      </c>
      <c r="G1714" s="1" t="inlineStr">
        <is>
          <t>HAIFENG</t>
        </is>
      </c>
      <c r="H1714" s="1" t="inlineStr">
        <is>
          <t>HAIFENG 16/06/2026</t>
        </is>
      </c>
      <c r="I1714" s="4" t="n">
        <v>7</v>
      </c>
      <c r="J1714" s="6" t="n">
        <v>7</v>
      </c>
      <c r="K1714" s="6" t="n">
        <v>147.1022452</v>
      </c>
      <c r="L1714" s="6">
        <f>I1714*K1714</f>
        <v/>
      </c>
      <c r="M1714" s="6">
        <f>K1714*4</f>
        <v/>
      </c>
      <c r="N1714" s="6" t="n">
        <v>599</v>
      </c>
    </row>
    <row r="1715">
      <c r="A1715" s="1" t="inlineStr">
        <is>
          <t>43728135714860</t>
        </is>
      </c>
      <c r="B1715" s="1" t="inlineStr">
        <is>
          <t>BOLSO YSL CHAROL CROCODILE</t>
        </is>
      </c>
      <c r="C1715" s="1" t="inlineStr">
        <is>
          <t>20 cm de largo x 13 cm de alto x 6 de ancho</t>
        </is>
      </c>
      <c r="D1715" s="1" t="inlineStr">
        <is>
          <t>18/02/2026</t>
        </is>
      </c>
      <c r="E1715" s="1" t="n">
        <v>2026</v>
      </c>
      <c r="F1715" s="1" t="inlineStr">
        <is>
          <t>FEBRERO</t>
        </is>
      </c>
      <c r="G1715" s="1" t="inlineStr">
        <is>
          <t>CYNTHIA</t>
        </is>
      </c>
      <c r="H1715" s="1" t="inlineStr">
        <is>
          <t>CYNTHIA 18/02/2026</t>
        </is>
      </c>
      <c r="I1715" s="4" t="n">
        <v>3</v>
      </c>
      <c r="J1715" s="6" t="n">
        <v>41</v>
      </c>
      <c r="K1715" s="6" t="n">
        <v>1108.777973</v>
      </c>
      <c r="L1715" s="6">
        <f>I1715*K1715</f>
        <v/>
      </c>
      <c r="M1715" s="6">
        <f>K1715*4</f>
        <v/>
      </c>
      <c r="N1715" s="6" t="n">
        <v>4500</v>
      </c>
    </row>
    <row r="1716">
      <c r="A1716" s="1" t="inlineStr">
        <is>
          <t>43728135714860</t>
        </is>
      </c>
      <c r="B1716" s="1" t="inlineStr">
        <is>
          <t>BOLSO YSL CHAROL CROCODILE</t>
        </is>
      </c>
      <c r="C1716" s="1" t="inlineStr">
        <is>
          <t>20 cm de largo x 13 cm de alto x 6 de ancho</t>
        </is>
      </c>
      <c r="D1716" s="1" t="inlineStr">
        <is>
          <t>31/05/2026</t>
        </is>
      </c>
      <c r="E1716" s="1" t="n">
        <v>2026</v>
      </c>
      <c r="F1716" s="1" t="inlineStr">
        <is>
          <t>MAYO</t>
        </is>
      </c>
      <c r="G1716" s="1" t="inlineStr">
        <is>
          <t>CYNTHIA</t>
        </is>
      </c>
      <c r="H1716" s="1" t="inlineStr">
        <is>
          <t>CYNTHIA 31/05/2026</t>
        </is>
      </c>
      <c r="I1716" s="4" t="n">
        <v>6</v>
      </c>
      <c r="J1716" s="6" t="n">
        <v>41</v>
      </c>
      <c r="K1716" s="6" t="n">
        <v>1086.542844</v>
      </c>
      <c r="L1716" s="6">
        <f>I1716*K1716</f>
        <v/>
      </c>
      <c r="M1716" s="6">
        <f>K1716*4</f>
        <v/>
      </c>
      <c r="N1716" s="6" t="n">
        <v>4500</v>
      </c>
    </row>
    <row r="1717">
      <c r="A1717" s="1" t="inlineStr">
        <is>
          <t>43728136587308</t>
        </is>
      </c>
      <c r="B1717" s="1" t="inlineStr">
        <is>
          <t>BOLSO DE VIAJE LV BLACK</t>
        </is>
      </c>
      <c r="C1717" s="1" t="inlineStr">
        <is>
          <t>HIGH QUALITY</t>
        </is>
      </c>
      <c r="D1717" s="1" t="inlineStr">
        <is>
          <t>01/09/2025</t>
        </is>
      </c>
      <c r="E1717" s="1" t="n">
        <v>2025</v>
      </c>
      <c r="F1717" s="1" t="inlineStr">
        <is>
          <t>SEPTIEMBRE</t>
        </is>
      </c>
      <c r="G1717" s="1" t="inlineStr">
        <is>
          <t>ZOEY</t>
        </is>
      </c>
      <c r="H1717" s="1" t="inlineStr">
        <is>
          <t>ZOEY 01/09/2025</t>
        </is>
      </c>
      <c r="I1717" s="4" t="n">
        <v>3</v>
      </c>
      <c r="J1717" s="6" t="n">
        <v>55</v>
      </c>
      <c r="K1717" s="6" t="n">
        <v>1381.481453</v>
      </c>
      <c r="L1717" s="6">
        <f>I1717*K1717</f>
        <v/>
      </c>
      <c r="M1717" s="6">
        <f>K1717*4</f>
        <v/>
      </c>
      <c r="N1717" s="6" t="n">
        <v>4600</v>
      </c>
    </row>
    <row r="1718">
      <c r="A1718" s="1" t="inlineStr">
        <is>
          <t>43728136587308</t>
        </is>
      </c>
      <c r="B1718" s="1" t="inlineStr">
        <is>
          <t>BOLSO DE VIAJE LV BLACK</t>
        </is>
      </c>
      <c r="C1718" s="1" t="inlineStr">
        <is>
          <t>HIGH QUALITY</t>
        </is>
      </c>
      <c r="D1718" s="1" t="inlineStr">
        <is>
          <t>19/03/2026</t>
        </is>
      </c>
      <c r="E1718" s="1" t="n">
        <v>2026</v>
      </c>
      <c r="F1718" s="1" t="inlineStr">
        <is>
          <t>MARZO</t>
        </is>
      </c>
      <c r="G1718" s="1" t="inlineStr">
        <is>
          <t>ZOEY</t>
        </is>
      </c>
      <c r="H1718" s="1" t="inlineStr">
        <is>
          <t>ZOEY 19/03/2026</t>
        </is>
      </c>
      <c r="I1718" s="4" t="n">
        <v>1</v>
      </c>
      <c r="J1718" s="6" t="n">
        <v>55</v>
      </c>
      <c r="K1718" s="6" t="n">
        <v>1418.012729</v>
      </c>
      <c r="L1718" s="6">
        <f>I1718*K1718</f>
        <v/>
      </c>
      <c r="M1718" s="6">
        <f>K1718*4</f>
        <v/>
      </c>
      <c r="N1718" s="6" t="n">
        <v>5679</v>
      </c>
    </row>
    <row r="1719">
      <c r="A1719" s="1" t="inlineStr">
        <is>
          <t>43728136587308</t>
        </is>
      </c>
      <c r="B1719" s="1" t="inlineStr">
        <is>
          <t>BOLSO DE VIAJE LV BLACK</t>
        </is>
      </c>
      <c r="C1719" s="1" t="inlineStr">
        <is>
          <t>HIGH QUALITY</t>
        </is>
      </c>
      <c r="D1719" s="1" t="inlineStr">
        <is>
          <t>20/04/2026</t>
        </is>
      </c>
      <c r="E1719" s="1" t="n">
        <v>2026</v>
      </c>
      <c r="F1719" s="1" t="inlineStr">
        <is>
          <t>ABRIL</t>
        </is>
      </c>
      <c r="G1719" s="1" t="inlineStr">
        <is>
          <t>ZOEY</t>
        </is>
      </c>
      <c r="H1719" s="1" t="inlineStr">
        <is>
          <t>ZOEY 20/04/2026</t>
        </is>
      </c>
      <c r="I1719" s="4" t="n">
        <v>5</v>
      </c>
      <c r="J1719" s="6" t="n">
        <v>55</v>
      </c>
      <c r="K1719" s="6" t="n">
        <v>1408.482808</v>
      </c>
      <c r="L1719" s="6">
        <f>I1719*K1719</f>
        <v/>
      </c>
      <c r="M1719" s="6">
        <f>K1719*4</f>
        <v/>
      </c>
      <c r="N1719" s="6" t="n">
        <v>4999</v>
      </c>
    </row>
    <row r="1720">
      <c r="A1720" s="1" t="inlineStr">
        <is>
          <t>43792107834124</t>
        </is>
      </c>
      <c r="B1720" s="1" t="inlineStr">
        <is>
          <t>CINTO CD REVOLUTION</t>
        </is>
      </c>
      <c r="C1720" s="1" t="inlineStr">
        <is>
          <t>110cm</t>
        </is>
      </c>
      <c r="D1720" s="1" t="inlineStr">
        <is>
          <t>20/01/2026</t>
        </is>
      </c>
      <c r="E1720" s="1" t="n">
        <v>2026</v>
      </c>
      <c r="F1720" s="1" t="inlineStr">
        <is>
          <t>ENERO</t>
        </is>
      </c>
      <c r="G1720" s="1" t="inlineStr">
        <is>
          <t>ZOEY</t>
        </is>
      </c>
      <c r="H1720" s="1" t="inlineStr">
        <is>
          <t>ZOEY 20/01/2026</t>
        </is>
      </c>
      <c r="I1720" s="4" t="n">
        <v>3</v>
      </c>
      <c r="J1720" s="6" t="n">
        <v>45</v>
      </c>
      <c r="K1720" s="6" t="n">
        <v>1171.421972</v>
      </c>
      <c r="L1720" s="6">
        <f>I1720*K1720</f>
        <v/>
      </c>
      <c r="M1720" s="6">
        <f>K1720*4</f>
        <v/>
      </c>
      <c r="N1720" s="6" t="n">
        <v>4399</v>
      </c>
    </row>
    <row r="1721">
      <c r="A1721" s="1" t="inlineStr">
        <is>
          <t>43792107834124</t>
        </is>
      </c>
      <c r="B1721" s="1" t="inlineStr">
        <is>
          <t>CINTO CD REVOLUTION</t>
        </is>
      </c>
      <c r="C1721" s="1" t="inlineStr">
        <is>
          <t>110cm</t>
        </is>
      </c>
      <c r="D1721" s="1" t="inlineStr">
        <is>
          <t>08/06/2026</t>
        </is>
      </c>
      <c r="E1721" s="1" t="n">
        <v>2026</v>
      </c>
      <c r="F1721" s="1" t="inlineStr">
        <is>
          <t>JUNIO</t>
        </is>
      </c>
      <c r="G1721" s="1" t="inlineStr">
        <is>
          <t>ZOEY</t>
        </is>
      </c>
      <c r="H1721" s="1" t="inlineStr">
        <is>
          <t>ZOEY 08/06/2026</t>
        </is>
      </c>
      <c r="I1721" s="4" t="n">
        <v>2</v>
      </c>
      <c r="J1721" s="6" t="n">
        <v>45</v>
      </c>
      <c r="K1721" s="6" t="n">
        <v>1103.01464</v>
      </c>
      <c r="L1721" s="6">
        <f>I1721*K1721</f>
        <v/>
      </c>
      <c r="M1721" s="6">
        <f>K1721*4</f>
        <v/>
      </c>
      <c r="N1721" s="6" t="n">
        <v>4415</v>
      </c>
    </row>
    <row r="1722">
      <c r="A1722" s="1" t="inlineStr">
        <is>
          <t>43794531550861</t>
        </is>
      </c>
      <c r="B1722" s="1" t="inlineStr">
        <is>
          <t>LENTES CD PACIFIC R1</t>
        </is>
      </c>
      <c r="C1722" s="1" t="n"/>
      <c r="D1722" s="1" t="inlineStr">
        <is>
          <t>02/03/2026</t>
        </is>
      </c>
      <c r="E1722" s="1" t="n">
        <v>2026</v>
      </c>
      <c r="F1722" s="1" t="inlineStr">
        <is>
          <t>MARZO</t>
        </is>
      </c>
      <c r="G1722" s="1" t="inlineStr">
        <is>
          <t>ZOEY</t>
        </is>
      </c>
      <c r="H1722" s="1" t="inlineStr">
        <is>
          <t>ZOEY 02/03/2026</t>
        </is>
      </c>
      <c r="I1722" s="4" t="n">
        <v>2</v>
      </c>
      <c r="J1722" s="6" t="n">
        <v>32</v>
      </c>
      <c r="K1722" s="6" t="n">
        <v>840.8632231</v>
      </c>
      <c r="L1722" s="6">
        <f>I1722*K1722</f>
        <v/>
      </c>
      <c r="M1722" s="6">
        <f>K1722*4</f>
        <v/>
      </c>
      <c r="N1722" s="6" t="n">
        <v>3199</v>
      </c>
    </row>
    <row r="1723">
      <c r="A1723" s="1" t="inlineStr">
        <is>
          <t>43794531550861</t>
        </is>
      </c>
      <c r="B1723" s="1" t="inlineStr">
        <is>
          <t>LENTES CD PACIFIC R1</t>
        </is>
      </c>
      <c r="C1723" s="1" t="inlineStr">
        <is>
          <t>Default Title</t>
        </is>
      </c>
      <c r="D1723" s="1" t="inlineStr">
        <is>
          <t>20/04/2026</t>
        </is>
      </c>
      <c r="E1723" s="1" t="n">
        <v>2026</v>
      </c>
      <c r="F1723" s="1" t="inlineStr">
        <is>
          <t>ABRIL</t>
        </is>
      </c>
      <c r="G1723" s="1" t="inlineStr">
        <is>
          <t>ZOEY</t>
        </is>
      </c>
      <c r="H1723" s="1" t="inlineStr">
        <is>
          <t>ZOEY 20/04/2026</t>
        </is>
      </c>
      <c r="I1723" s="4" t="n">
        <v>4</v>
      </c>
      <c r="J1723" s="6" t="n">
        <v>32</v>
      </c>
      <c r="K1723" s="6" t="n">
        <v>819.4809068</v>
      </c>
      <c r="L1723" s="6">
        <f>I1723*K1723</f>
        <v/>
      </c>
      <c r="M1723" s="6">
        <f>K1723*4</f>
        <v/>
      </c>
      <c r="N1723" s="6" t="n">
        <v>3199</v>
      </c>
    </row>
    <row r="1724">
      <c r="A1724" s="1" t="inlineStr">
        <is>
          <t>43794531550861</t>
        </is>
      </c>
      <c r="B1724" s="1" t="inlineStr">
        <is>
          <t>LENTES CD PACIFIC R1</t>
        </is>
      </c>
      <c r="C1724" s="1" t="inlineStr">
        <is>
          <t>Default Title</t>
        </is>
      </c>
      <c r="D1724" s="1" t="inlineStr">
        <is>
          <t>20/04/2026</t>
        </is>
      </c>
      <c r="E1724" s="1" t="n">
        <v>2026</v>
      </c>
      <c r="F1724" s="1" t="inlineStr">
        <is>
          <t>ABRIL</t>
        </is>
      </c>
      <c r="G1724" s="1" t="inlineStr">
        <is>
          <t>ZOEY</t>
        </is>
      </c>
      <c r="H1724" s="1" t="inlineStr">
        <is>
          <t>ZOEY 20/04/2026</t>
        </is>
      </c>
      <c r="I1724" s="4" t="n">
        <v>1</v>
      </c>
      <c r="J1724" s="6" t="n">
        <v>32</v>
      </c>
      <c r="K1724" s="6" t="n">
        <v>819.4809068</v>
      </c>
      <c r="L1724" s="6">
        <f>I1724*K1724</f>
        <v/>
      </c>
      <c r="M1724" s="6">
        <f>K1724*4</f>
        <v/>
      </c>
      <c r="N1724" s="6" t="n">
        <v>3199</v>
      </c>
    </row>
    <row r="1725">
      <c r="A1725" s="1" t="inlineStr">
        <is>
          <t>43794531550861</t>
        </is>
      </c>
      <c r="B1725" s="1" t="inlineStr">
        <is>
          <t>LENTES CD PACIFIC R1</t>
        </is>
      </c>
      <c r="C1725" s="1" t="inlineStr">
        <is>
          <t>Default Title</t>
        </is>
      </c>
      <c r="D1725" s="1" t="inlineStr">
        <is>
          <t>08/06/2026</t>
        </is>
      </c>
      <c r="E1725" s="1" t="n">
        <v>2026</v>
      </c>
      <c r="F1725" s="1" t="inlineStr">
        <is>
          <t>JUNIO</t>
        </is>
      </c>
      <c r="G1725" s="1" t="inlineStr">
        <is>
          <t>ZOEY</t>
        </is>
      </c>
      <c r="H1725" s="1" t="inlineStr">
        <is>
          <t>ZOEY 08/06/2026</t>
        </is>
      </c>
      <c r="I1725" s="4" t="n">
        <v>2</v>
      </c>
      <c r="J1725" s="6" t="n">
        <v>32</v>
      </c>
      <c r="K1725" s="6" t="n">
        <v>784.3659666</v>
      </c>
      <c r="L1725" s="6">
        <f>I1725*K1725</f>
        <v/>
      </c>
      <c r="M1725" s="6">
        <f>K1725*4</f>
        <v/>
      </c>
      <c r="N1725" s="6" t="n">
        <v>3199</v>
      </c>
    </row>
    <row r="1726">
      <c r="A1726" s="1" t="inlineStr">
        <is>
          <t>43794531982605</t>
        </is>
      </c>
      <c r="B1726" s="1" t="inlineStr">
        <is>
          <t>CARTERA PR LOGO TRIANGULAR</t>
        </is>
      </c>
      <c r="C1726" s="1" t="inlineStr">
        <is>
          <t>BLACK</t>
        </is>
      </c>
      <c r="D1726" s="1" t="inlineStr">
        <is>
          <t>02/03/2026</t>
        </is>
      </c>
      <c r="E1726" s="1" t="n">
        <v>2026</v>
      </c>
      <c r="F1726" s="1" t="inlineStr">
        <is>
          <t>MARZO</t>
        </is>
      </c>
      <c r="G1726" s="1" t="inlineStr">
        <is>
          <t>ZOEY</t>
        </is>
      </c>
      <c r="H1726" s="1" t="inlineStr">
        <is>
          <t>ZOEY 02/03/2026</t>
        </is>
      </c>
      <c r="I1726" s="4" t="n">
        <v>2</v>
      </c>
      <c r="J1726" s="6" t="n">
        <v>23</v>
      </c>
      <c r="K1726" s="6" t="n">
        <v>604.3704416</v>
      </c>
      <c r="L1726" s="6">
        <f>I1726*K1726</f>
        <v/>
      </c>
      <c r="M1726" s="6">
        <f>K1726*4</f>
        <v/>
      </c>
      <c r="N1726" s="6" t="n">
        <v>2440</v>
      </c>
    </row>
    <row r="1727">
      <c r="A1727" s="1" t="inlineStr">
        <is>
          <t>43794531982605</t>
        </is>
      </c>
      <c r="B1727" s="1" t="inlineStr">
        <is>
          <t>CARTERA PR LOGO TRIANGULAR</t>
        </is>
      </c>
      <c r="C1727" s="1" t="inlineStr">
        <is>
          <t>Default Title</t>
        </is>
      </c>
      <c r="D1727" s="1" t="inlineStr">
        <is>
          <t>15/05/2026</t>
        </is>
      </c>
      <c r="E1727" s="1" t="n">
        <v>2026</v>
      </c>
      <c r="F1727" s="1" t="inlineStr">
        <is>
          <t>MAYO</t>
        </is>
      </c>
      <c r="G1727" s="1" t="inlineStr">
        <is>
          <t>ZOEY</t>
        </is>
      </c>
      <c r="H1727" s="1" t="inlineStr">
        <is>
          <t>ZOEY 15/05/2026</t>
        </is>
      </c>
      <c r="I1727" s="4" t="n">
        <v>4</v>
      </c>
      <c r="J1727" s="6" t="n">
        <v>23</v>
      </c>
      <c r="K1727" s="6" t="n">
        <v>609.6063632</v>
      </c>
      <c r="L1727" s="6">
        <f>I1727*K1727</f>
        <v/>
      </c>
      <c r="M1727" s="6">
        <f>K1727*4</f>
        <v/>
      </c>
      <c r="N1727" s="6" t="n">
        <v>2440</v>
      </c>
    </row>
    <row r="1728">
      <c r="A1728" s="1" t="inlineStr">
        <is>
          <t>43794532275885</t>
        </is>
      </c>
      <c r="B1728" s="1" t="inlineStr">
        <is>
          <t>CARTERA MM NAPA BLACK</t>
        </is>
      </c>
      <c r="C1728" s="1" t="inlineStr">
        <is>
          <t>BLACK</t>
        </is>
      </c>
      <c r="D1728" s="1" t="inlineStr">
        <is>
          <t>02/03/2026</t>
        </is>
      </c>
      <c r="E1728" s="1" t="n">
        <v>2026</v>
      </c>
      <c r="F1728" s="1" t="inlineStr">
        <is>
          <t>MARZO</t>
        </is>
      </c>
      <c r="G1728" s="1" t="inlineStr">
        <is>
          <t>ZOEY</t>
        </is>
      </c>
      <c r="H1728" s="1" t="inlineStr">
        <is>
          <t>ZOEY 02/03/2026</t>
        </is>
      </c>
      <c r="I1728" s="4" t="n">
        <v>2</v>
      </c>
      <c r="J1728" s="6" t="n">
        <v>23</v>
      </c>
      <c r="K1728" s="6" t="n">
        <v>604.3704416</v>
      </c>
      <c r="L1728" s="6">
        <f>I1728*K1728</f>
        <v/>
      </c>
      <c r="M1728" s="6">
        <f>K1728*4</f>
        <v/>
      </c>
      <c r="N1728" s="6" t="n">
        <v>2440</v>
      </c>
    </row>
    <row r="1729">
      <c r="A1729" s="1" t="inlineStr">
        <is>
          <t>43794532275885</t>
        </is>
      </c>
      <c r="B1729" s="1" t="inlineStr">
        <is>
          <t>CARTERA MM NAPA BLACK</t>
        </is>
      </c>
      <c r="C1729" s="1" t="inlineStr">
        <is>
          <t>Default Title</t>
        </is>
      </c>
      <c r="D1729" s="1" t="inlineStr">
        <is>
          <t>15/05/2026</t>
        </is>
      </c>
      <c r="E1729" s="1" t="n">
        <v>2026</v>
      </c>
      <c r="F1729" s="1" t="inlineStr">
        <is>
          <t>MAYO</t>
        </is>
      </c>
      <c r="G1729" s="1" t="inlineStr">
        <is>
          <t>ZOEY</t>
        </is>
      </c>
      <c r="H1729" s="1" t="inlineStr">
        <is>
          <t>ZOEY 15/05/2026</t>
        </is>
      </c>
      <c r="I1729" s="4" t="n">
        <v>2</v>
      </c>
      <c r="J1729" s="6" t="n">
        <v>23</v>
      </c>
      <c r="K1729" s="6" t="n">
        <v>609.6063632</v>
      </c>
      <c r="L1729" s="6">
        <f>I1729*K1729</f>
        <v/>
      </c>
      <c r="M1729" s="6">
        <f>K1729*4</f>
        <v/>
      </c>
      <c r="N1729" s="6" t="n">
        <v>2440</v>
      </c>
    </row>
    <row r="1730">
      <c r="A1730" s="1" t="inlineStr">
        <is>
          <t>438973010904</t>
        </is>
      </c>
      <c r="B1730" s="1" t="inlineStr">
        <is>
          <t>BOLSA CC Nº25 YELLOW</t>
        </is>
      </c>
      <c r="C1730" s="1" t="n"/>
      <c r="D1730" s="1" t="inlineStr">
        <is>
          <t>19/03/2026</t>
        </is>
      </c>
      <c r="E1730" s="1" t="n">
        <v>2026</v>
      </c>
      <c r="F1730" s="1" t="inlineStr">
        <is>
          <t>MARZO</t>
        </is>
      </c>
      <c r="G1730" s="1" t="inlineStr">
        <is>
          <t>CYNTHIA</t>
        </is>
      </c>
      <c r="H1730" s="1" t="inlineStr">
        <is>
          <t>CYNTHIA 19/03/2026</t>
        </is>
      </c>
      <c r="I1730" s="4" t="n">
        <v>4</v>
      </c>
      <c r="J1730" s="6" t="n">
        <v>65</v>
      </c>
      <c r="K1730" s="6" t="n">
        <v>1745.732027</v>
      </c>
      <c r="L1730" s="6">
        <f>I1730*K1730</f>
        <v/>
      </c>
      <c r="M1730" s="6">
        <f>K1730*4</f>
        <v/>
      </c>
      <c r="N1730" s="6" t="n">
        <v>6989</v>
      </c>
    </row>
    <row r="1731">
      <c r="A1731" s="1" t="inlineStr">
        <is>
          <t>43897301090413</t>
        </is>
      </c>
      <c r="B1731" s="1" t="inlineStr">
        <is>
          <t>BOLSA CC Nº25 YELLOW</t>
        </is>
      </c>
      <c r="C1731" s="1" t="inlineStr">
        <is>
          <t>Default Title</t>
        </is>
      </c>
      <c r="D1731" s="1" t="inlineStr">
        <is>
          <t>07/01/2026</t>
        </is>
      </c>
      <c r="E1731" s="1" t="n">
        <v>2026</v>
      </c>
      <c r="F1731" s="1" t="inlineStr">
        <is>
          <t>ENERO</t>
        </is>
      </c>
      <c r="G1731" s="1" t="inlineStr">
        <is>
          <t>CYNTHIA</t>
        </is>
      </c>
      <c r="H1731" s="1" t="inlineStr">
        <is>
          <t>CYNTHIA 07/01/2026</t>
        </is>
      </c>
      <c r="I1731" s="4" t="n">
        <v>3</v>
      </c>
      <c r="J1731" s="6" t="n">
        <v>63</v>
      </c>
      <c r="K1731" s="6" t="n">
        <v>1675.007943</v>
      </c>
      <c r="L1731" s="6">
        <f>I1731*K1731</f>
        <v/>
      </c>
      <c r="M1731" s="6">
        <f>K1731*4</f>
        <v/>
      </c>
      <c r="N1731" s="6" t="n">
        <v>6899</v>
      </c>
    </row>
    <row r="1732">
      <c r="A1732" s="1" t="inlineStr">
        <is>
          <t>43897301090413</t>
        </is>
      </c>
      <c r="B1732" s="1" t="inlineStr">
        <is>
          <t>BOLSA CC Nº25 YELLOW</t>
        </is>
      </c>
      <c r="C1732" s="1" t="inlineStr">
        <is>
          <t>Default Title</t>
        </is>
      </c>
      <c r="D1732" s="1" t="inlineStr">
        <is>
          <t>31/05/2026</t>
        </is>
      </c>
      <c r="E1732" s="1" t="n">
        <v>2026</v>
      </c>
      <c r="F1732" s="1" t="inlineStr">
        <is>
          <t>MAYO</t>
        </is>
      </c>
      <c r="G1732" s="1" t="inlineStr">
        <is>
          <t>CYNTHIA</t>
        </is>
      </c>
      <c r="H1732" s="1" t="inlineStr">
        <is>
          <t>CYNTHIA 31/05/2026</t>
        </is>
      </c>
      <c r="I1732" s="4" t="n">
        <v>2</v>
      </c>
      <c r="J1732" s="6" t="n">
        <v>65</v>
      </c>
      <c r="K1732" s="6" t="n">
        <v>1722.567924</v>
      </c>
      <c r="L1732" s="6">
        <f>I1732*K1732</f>
        <v/>
      </c>
      <c r="M1732" s="6">
        <f>K1732*4</f>
        <v/>
      </c>
      <c r="N1732" s="6" t="n">
        <v>6899</v>
      </c>
    </row>
    <row r="1733">
      <c r="A1733" s="1" t="inlineStr">
        <is>
          <t>43897301164429</t>
        </is>
      </c>
      <c r="B1733" s="1" t="inlineStr">
        <is>
          <t>BOLSA CC Nº25 BABY BLUE</t>
        </is>
      </c>
      <c r="C1733" s="1" t="inlineStr">
        <is>
          <t>Default Title</t>
        </is>
      </c>
      <c r="D1733" s="1" t="inlineStr">
        <is>
          <t>07/01/2026</t>
        </is>
      </c>
      <c r="E1733" s="1" t="n">
        <v>2026</v>
      </c>
      <c r="F1733" s="1" t="inlineStr">
        <is>
          <t>ENERO</t>
        </is>
      </c>
      <c r="G1733" s="1" t="inlineStr">
        <is>
          <t>CYNTHIA</t>
        </is>
      </c>
      <c r="H1733" s="1" t="inlineStr">
        <is>
          <t>CYNTHIA 07/01/2026</t>
        </is>
      </c>
      <c r="I1733" s="4" t="n">
        <v>3</v>
      </c>
      <c r="J1733" s="6" t="n">
        <v>63</v>
      </c>
      <c r="K1733" s="6" t="n">
        <v>1675.007943</v>
      </c>
      <c r="L1733" s="6">
        <f>I1733*K1733</f>
        <v/>
      </c>
      <c r="M1733" s="6">
        <f>K1733*4</f>
        <v/>
      </c>
      <c r="N1733" s="6" t="n">
        <v>5999</v>
      </c>
    </row>
    <row r="1734">
      <c r="A1734" s="1" t="inlineStr">
        <is>
          <t>43897301164429</t>
        </is>
      </c>
      <c r="B1734" s="1" t="inlineStr">
        <is>
          <t>BOLSA CC Nº25 BABY BLUE</t>
        </is>
      </c>
      <c r="C1734" s="1" t="inlineStr">
        <is>
          <t>Default Title</t>
        </is>
      </c>
      <c r="D1734" s="1" t="inlineStr">
        <is>
          <t>19/03/2026</t>
        </is>
      </c>
      <c r="E1734" s="1" t="n">
        <v>2026</v>
      </c>
      <c r="F1734" s="1" t="inlineStr">
        <is>
          <t>MARZO</t>
        </is>
      </c>
      <c r="G1734" s="1" t="inlineStr">
        <is>
          <t>CYNTHIA</t>
        </is>
      </c>
      <c r="H1734" s="1" t="inlineStr">
        <is>
          <t>CYNTHIA 19/03/2026</t>
        </is>
      </c>
      <c r="I1734" s="4" t="n">
        <v>5</v>
      </c>
      <c r="J1734" s="6" t="n">
        <v>65</v>
      </c>
      <c r="K1734" s="6" t="n">
        <v>1745.732027</v>
      </c>
      <c r="L1734" s="6">
        <f>I1734*K1734</f>
        <v/>
      </c>
      <c r="M1734" s="6">
        <f>K1734*4</f>
        <v/>
      </c>
      <c r="N1734" s="6" t="n">
        <v>5999</v>
      </c>
    </row>
    <row r="1735">
      <c r="A1735" s="1" t="inlineStr">
        <is>
          <t>43897301164429</t>
        </is>
      </c>
      <c r="B1735" s="1" t="inlineStr">
        <is>
          <t>BOLSA CC Nº25 BABY BLUE</t>
        </is>
      </c>
      <c r="C1735" s="1" t="inlineStr">
        <is>
          <t>Default Title</t>
        </is>
      </c>
      <c r="D1735" s="1" t="inlineStr">
        <is>
          <t>27/04/2026</t>
        </is>
      </c>
      <c r="E1735" s="1" t="n">
        <v>2026</v>
      </c>
      <c r="F1735" s="1" t="inlineStr">
        <is>
          <t>ABRIL</t>
        </is>
      </c>
      <c r="G1735" s="1" t="inlineStr">
        <is>
          <t>CYNTHIA</t>
        </is>
      </c>
      <c r="H1735" s="1" t="inlineStr">
        <is>
          <t>CYNTHIA 27/04/2026</t>
        </is>
      </c>
      <c r="I1735" s="4" t="n">
        <v>3</v>
      </c>
      <c r="J1735" s="6" t="n">
        <v>65</v>
      </c>
      <c r="K1735" s="6" t="n">
        <v>1686.75602</v>
      </c>
      <c r="L1735" s="6">
        <f>I1735*K1735</f>
        <v/>
      </c>
      <c r="M1735" s="6">
        <f>K1735*4</f>
        <v/>
      </c>
      <c r="N1735" s="6" t="n">
        <v>5999</v>
      </c>
    </row>
    <row r="1736">
      <c r="A1736" s="1" t="inlineStr">
        <is>
          <t>43897301288173</t>
        </is>
      </c>
      <c r="B1736" s="1" t="inlineStr">
        <is>
          <t>BOLSA CC Nº25 WHITE</t>
        </is>
      </c>
      <c r="C1736" s="1" t="inlineStr">
        <is>
          <t>Default Title</t>
        </is>
      </c>
      <c r="D1736" s="1" t="inlineStr">
        <is>
          <t>07/01/2026</t>
        </is>
      </c>
      <c r="E1736" s="1" t="n">
        <v>2026</v>
      </c>
      <c r="F1736" s="1" t="inlineStr">
        <is>
          <t>ENERO</t>
        </is>
      </c>
      <c r="G1736" s="1" t="inlineStr">
        <is>
          <t>CYNTHIA</t>
        </is>
      </c>
      <c r="H1736" s="1" t="inlineStr">
        <is>
          <t>CYNTHIA 07/01/2026</t>
        </is>
      </c>
      <c r="I1736" s="4" t="n">
        <v>3</v>
      </c>
      <c r="J1736" s="6" t="n">
        <v>63</v>
      </c>
      <c r="K1736" s="6" t="n">
        <v>1675.007943</v>
      </c>
      <c r="L1736" s="6">
        <f>I1736*K1736</f>
        <v/>
      </c>
      <c r="M1736" s="6">
        <f>K1736*4</f>
        <v/>
      </c>
      <c r="N1736" s="6" t="n">
        <v>5999</v>
      </c>
    </row>
    <row r="1737">
      <c r="A1737" s="1" t="inlineStr">
        <is>
          <t>43897301288173</t>
        </is>
      </c>
      <c r="B1737" s="1" t="inlineStr">
        <is>
          <t>BOLSA CC Nº25 WHITE</t>
        </is>
      </c>
      <c r="C1737" s="1" t="inlineStr">
        <is>
          <t>Default Title</t>
        </is>
      </c>
      <c r="D1737" s="1" t="inlineStr">
        <is>
          <t>27/04/2026</t>
        </is>
      </c>
      <c r="E1737" s="1" t="n">
        <v>2026</v>
      </c>
      <c r="F1737" s="1" t="inlineStr">
        <is>
          <t>ABRIL</t>
        </is>
      </c>
      <c r="G1737" s="1" t="inlineStr">
        <is>
          <t>CYNTHIA</t>
        </is>
      </c>
      <c r="H1737" s="1" t="inlineStr">
        <is>
          <t>CYNTHIA 27/04/2026</t>
        </is>
      </c>
      <c r="I1737" s="4" t="n">
        <v>5</v>
      </c>
      <c r="J1737" s="6" t="n">
        <v>65</v>
      </c>
      <c r="K1737" s="6" t="n">
        <v>1686.75602</v>
      </c>
      <c r="L1737" s="6">
        <f>I1737*K1737</f>
        <v/>
      </c>
      <c r="M1737" s="6">
        <f>K1737*4</f>
        <v/>
      </c>
      <c r="N1737" s="6" t="n">
        <v>5999</v>
      </c>
    </row>
    <row r="1738">
      <c r="A1738" s="1" t="inlineStr">
        <is>
          <t>43986811051937</t>
        </is>
      </c>
      <c r="B1738" s="1" t="inlineStr">
        <is>
          <t>COLLAR CORAZON GOLD</t>
        </is>
      </c>
      <c r="C1738" s="1" t="inlineStr">
        <is>
          <t>Titanio 45cm / dije 1cm</t>
        </is>
      </c>
      <c r="D1738" s="1" t="inlineStr">
        <is>
          <t>25/10/2025</t>
        </is>
      </c>
      <c r="E1738" s="1" t="n">
        <v>2025</v>
      </c>
      <c r="F1738" s="1" t="inlineStr">
        <is>
          <t>OCTUBRE</t>
        </is>
      </c>
      <c r="G1738" s="1" t="inlineStr">
        <is>
          <t>ZOEY</t>
        </is>
      </c>
      <c r="H1738" s="1" t="inlineStr">
        <is>
          <t>ZOEY 25/10/2025</t>
        </is>
      </c>
      <c r="I1738" s="4" t="n">
        <v>4</v>
      </c>
      <c r="J1738" s="6" t="n">
        <v>9</v>
      </c>
      <c r="K1738" s="6" t="n">
        <v>223.2009837</v>
      </c>
      <c r="L1738" s="6">
        <f>I1738*K1738</f>
        <v/>
      </c>
      <c r="M1738" s="6">
        <f>K1738*4</f>
        <v/>
      </c>
      <c r="N1738" s="6" t="n"/>
    </row>
    <row r="1739">
      <c r="A1739" s="1" t="inlineStr">
        <is>
          <t>43986811051937</t>
        </is>
      </c>
      <c r="B1739" s="1" t="inlineStr">
        <is>
          <t>COLLAR CORAZÓN GOLD</t>
        </is>
      </c>
      <c r="C1739" s="1" t="inlineStr">
        <is>
          <t>Titanio 45cm / dije 1cm</t>
        </is>
      </c>
      <c r="D1739" s="1" t="inlineStr">
        <is>
          <t>20/01/2026</t>
        </is>
      </c>
      <c r="E1739" s="1" t="n">
        <v>2026</v>
      </c>
      <c r="F1739" s="1" t="inlineStr">
        <is>
          <t>ENERO</t>
        </is>
      </c>
      <c r="G1739" s="1" t="inlineStr">
        <is>
          <t>ZOEY</t>
        </is>
      </c>
      <c r="H1739" s="1" t="inlineStr">
        <is>
          <t>ZOEY 20/01/2026</t>
        </is>
      </c>
      <c r="I1739" s="4" t="n">
        <v>6</v>
      </c>
      <c r="J1739" s="6" t="n">
        <v>9</v>
      </c>
      <c r="K1739" s="6" t="n">
        <v>234.2843943</v>
      </c>
      <c r="L1739" s="6">
        <f>I1739*K1739</f>
        <v/>
      </c>
      <c r="M1739" s="6">
        <f>K1739*4</f>
        <v/>
      </c>
      <c r="N1739" s="6" t="n"/>
    </row>
    <row r="1740">
      <c r="A1740" s="1" t="inlineStr">
        <is>
          <t>44504631084621</t>
        </is>
      </c>
      <c r="B1740" s="1" t="inlineStr">
        <is>
          <t>BOLSO C TILLY BROWN</t>
        </is>
      </c>
      <c r="C1740" s="1" t="inlineStr">
        <is>
          <t>15cm de alto x 19.5cm de largo x 7.5cm de ancho</t>
        </is>
      </c>
      <c r="D1740" s="1" t="inlineStr">
        <is>
          <t>21/10/2025</t>
        </is>
      </c>
      <c r="E1740" s="1" t="n">
        <v>2025</v>
      </c>
      <c r="F1740" s="1" t="inlineStr">
        <is>
          <t>OCTUBRE</t>
        </is>
      </c>
      <c r="G1740" s="1" t="inlineStr">
        <is>
          <t>DINA DU</t>
        </is>
      </c>
      <c r="H1740" s="1" t="inlineStr">
        <is>
          <t>DINA DU 21/10/2025</t>
        </is>
      </c>
      <c r="I1740" s="4" t="n">
        <v>1</v>
      </c>
      <c r="J1740" s="6" t="n">
        <v>42</v>
      </c>
      <c r="K1740" s="6" t="n">
        <v>1177.449395</v>
      </c>
      <c r="L1740" s="6">
        <f>I1740*K1740</f>
        <v/>
      </c>
      <c r="M1740" s="6">
        <f>K1740*4</f>
        <v/>
      </c>
      <c r="N1740" s="6" t="n">
        <v>3076.23</v>
      </c>
    </row>
    <row r="1741">
      <c r="A1741" s="1" t="inlineStr">
        <is>
          <t>45043621046701</t>
        </is>
      </c>
      <c r="B1741" s="1" t="inlineStr">
        <is>
          <t>ARETES T GOLD CON ZIRCONIA</t>
        </is>
      </c>
      <c r="C1741" s="1" t="inlineStr">
        <is>
          <t>Default Title</t>
        </is>
      </c>
      <c r="D1741" s="1" t="inlineStr">
        <is>
          <t>25/09/2025</t>
        </is>
      </c>
      <c r="E1741" s="1" t="n">
        <v>2025</v>
      </c>
      <c r="F1741" s="1" t="inlineStr">
        <is>
          <t>SEPTIEMBRE</t>
        </is>
      </c>
      <c r="G1741" s="1" t="inlineStr">
        <is>
          <t>HAIFENG</t>
        </is>
      </c>
      <c r="H1741" s="1" t="inlineStr">
        <is>
          <t>HAIFENG 25/09/2025</t>
        </is>
      </c>
      <c r="I1741" s="4" t="n">
        <v>3</v>
      </c>
      <c r="J1741" s="6" t="n">
        <v>7</v>
      </c>
      <c r="K1741" s="6" t="n">
        <v>147.6782004</v>
      </c>
      <c r="L1741" s="6">
        <f>I1741*K1741</f>
        <v/>
      </c>
      <c r="M1741" s="6">
        <f>K1741*4</f>
        <v/>
      </c>
      <c r="N1741" s="6" t="n">
        <v>749</v>
      </c>
    </row>
    <row r="1742">
      <c r="A1742" s="1" t="inlineStr">
        <is>
          <t>45043621046701</t>
        </is>
      </c>
      <c r="B1742" s="1" t="inlineStr">
        <is>
          <t>ARETES T GOLD CON ZIRCONIA</t>
        </is>
      </c>
      <c r="C1742" s="1" t="inlineStr">
        <is>
          <t>Default Title</t>
        </is>
      </c>
      <c r="D1742" s="1" t="inlineStr">
        <is>
          <t>20/01/2026</t>
        </is>
      </c>
      <c r="E1742" s="1" t="n">
        <v>2026</v>
      </c>
      <c r="F1742" s="1" t="inlineStr">
        <is>
          <t>ENERO</t>
        </is>
      </c>
      <c r="G1742" s="1" t="inlineStr">
        <is>
          <t>HAIFENG</t>
        </is>
      </c>
      <c r="H1742" s="1" t="inlineStr">
        <is>
          <t>HAIFENG 20/01/2026</t>
        </is>
      </c>
      <c r="I1742" s="4" t="n">
        <v>2</v>
      </c>
      <c r="J1742" s="6" t="n">
        <v>10</v>
      </c>
      <c r="K1742" s="6" t="n">
        <v>212.0041779</v>
      </c>
      <c r="L1742" s="6">
        <f>I1742*K1742</f>
        <v/>
      </c>
      <c r="M1742" s="6">
        <f>K1742*4</f>
        <v/>
      </c>
      <c r="N1742" s="6" t="n">
        <v>749</v>
      </c>
    </row>
    <row r="1743">
      <c r="A1743" s="1" t="inlineStr">
        <is>
          <t>45043621046701</t>
        </is>
      </c>
      <c r="B1743" s="1" t="inlineStr">
        <is>
          <t>ARETES T GOLD CON ZIRCONIA</t>
        </is>
      </c>
      <c r="C1743" s="1" t="inlineStr">
        <is>
          <t>Default Title</t>
        </is>
      </c>
      <c r="D1743" s="1" t="inlineStr">
        <is>
          <t>10/02/2026</t>
        </is>
      </c>
      <c r="E1743" s="1" t="n">
        <v>2026</v>
      </c>
      <c r="F1743" s="1" t="inlineStr">
        <is>
          <t>FEBRERO</t>
        </is>
      </c>
      <c r="G1743" s="1" t="inlineStr">
        <is>
          <t>HAIFENG</t>
        </is>
      </c>
      <c r="H1743" s="1" t="inlineStr">
        <is>
          <t>HAIFENG 10/02/2026</t>
        </is>
      </c>
      <c r="I1743" s="4" t="n">
        <v>2</v>
      </c>
      <c r="J1743" s="6" t="n">
        <v>10</v>
      </c>
      <c r="K1743" s="6" t="n">
        <v>210.6849607</v>
      </c>
      <c r="L1743" s="6">
        <f>I1743*K1743</f>
        <v/>
      </c>
      <c r="M1743" s="6">
        <f>K1743*4</f>
        <v/>
      </c>
      <c r="N1743" s="6" t="n">
        <v>749</v>
      </c>
    </row>
    <row r="1744">
      <c r="A1744" s="1" t="inlineStr">
        <is>
          <t>45043621046701</t>
        </is>
      </c>
      <c r="B1744" s="1" t="inlineStr">
        <is>
          <t>ARETES T GOLD CON ZIRCONIA</t>
        </is>
      </c>
      <c r="C1744" s="1" t="inlineStr">
        <is>
          <t>Default Title</t>
        </is>
      </c>
      <c r="D1744" s="1" t="inlineStr">
        <is>
          <t>11/03/2026</t>
        </is>
      </c>
      <c r="E1744" s="1" t="n">
        <v>2026</v>
      </c>
      <c r="F1744" s="1" t="inlineStr">
        <is>
          <t>MARZO</t>
        </is>
      </c>
      <c r="G1744" s="1" t="inlineStr">
        <is>
          <t>HAIFENG</t>
        </is>
      </c>
      <c r="H1744" s="1" t="inlineStr">
        <is>
          <t>HAIFENG 11/03/2026</t>
        </is>
      </c>
      <c r="I1744" s="4" t="n">
        <v>3</v>
      </c>
      <c r="J1744" s="6" t="n">
        <v>10</v>
      </c>
      <c r="K1744" s="6" t="n">
        <v>213.0389622</v>
      </c>
      <c r="L1744" s="6">
        <f>I1744*K1744</f>
        <v/>
      </c>
      <c r="M1744" s="6">
        <f>K1744*4</f>
        <v/>
      </c>
      <c r="N1744" s="6" t="n">
        <v>749</v>
      </c>
    </row>
    <row r="1745">
      <c r="A1745" s="1" t="inlineStr">
        <is>
          <t>45043621046701</t>
        </is>
      </c>
      <c r="B1745" s="1" t="inlineStr">
        <is>
          <t>ARETES T GOLD CON ZIRCONIA</t>
        </is>
      </c>
      <c r="C1745" s="1" t="inlineStr">
        <is>
          <t>Default Title</t>
        </is>
      </c>
      <c r="D1745" s="1" t="inlineStr">
        <is>
          <t>06/05/2026</t>
        </is>
      </c>
      <c r="E1745" s="1" t="n">
        <v>2026</v>
      </c>
      <c r="F1745" s="1" t="inlineStr">
        <is>
          <t>MAYO</t>
        </is>
      </c>
      <c r="G1745" s="1" t="inlineStr">
        <is>
          <t>HAIFENG</t>
        </is>
      </c>
      <c r="H1745" s="1" t="inlineStr">
        <is>
          <t>HAIFENG 06/05/2026</t>
        </is>
      </c>
      <c r="I1745" s="4" t="n">
        <v>8</v>
      </c>
      <c r="J1745" s="6" t="n">
        <v>7</v>
      </c>
      <c r="K1745" s="6" t="n">
        <v>148.5304959</v>
      </c>
      <c r="L1745" s="6">
        <f>I1745*K1745</f>
        <v/>
      </c>
      <c r="M1745" s="6">
        <f>K1745*4</f>
        <v/>
      </c>
      <c r="N1745" s="6" t="n">
        <v>749</v>
      </c>
    </row>
    <row r="1746">
      <c r="A1746" s="1" t="inlineStr">
        <is>
          <t>46022281088705</t>
        </is>
      </c>
      <c r="B1746" s="1" t="inlineStr">
        <is>
          <t>COLLAR CORAZON SILVER</t>
        </is>
      </c>
      <c r="C1746" s="1" t="inlineStr">
        <is>
          <t>titanio 45cm / dije 1cm</t>
        </is>
      </c>
      <c r="D1746" s="1" t="inlineStr">
        <is>
          <t>01/09/2025</t>
        </is>
      </c>
      <c r="E1746" s="1" t="n">
        <v>2025</v>
      </c>
      <c r="F1746" s="1" t="inlineStr">
        <is>
          <t>SEPTIEMBRE</t>
        </is>
      </c>
      <c r="G1746" s="1" t="inlineStr">
        <is>
          <t>ZOEY</t>
        </is>
      </c>
      <c r="H1746" s="1" t="inlineStr">
        <is>
          <t>ZOEY 01/09/2025</t>
        </is>
      </c>
      <c r="I1746" s="4" t="n">
        <v>2</v>
      </c>
      <c r="J1746" s="6" t="n">
        <v>9</v>
      </c>
      <c r="K1746" s="6" t="n">
        <v>226.0606014</v>
      </c>
      <c r="L1746" s="6">
        <f>I1746*K1746</f>
        <v/>
      </c>
      <c r="M1746" s="6">
        <f>K1746*4</f>
        <v/>
      </c>
      <c r="N1746" s="6" t="n"/>
    </row>
    <row r="1747">
      <c r="A1747" s="1" t="inlineStr">
        <is>
          <t>46022281088705</t>
        </is>
      </c>
      <c r="B1747" s="1" t="inlineStr">
        <is>
          <t>COLLAR CORAZÓN SILVER</t>
        </is>
      </c>
      <c r="C1747" s="1" t="inlineStr">
        <is>
          <t>titanio 45cm / dije 1cm</t>
        </is>
      </c>
      <c r="D1747" s="1" t="inlineStr">
        <is>
          <t>20/01/2026</t>
        </is>
      </c>
      <c r="E1747" s="1" t="n">
        <v>2026</v>
      </c>
      <c r="F1747" s="1" t="inlineStr">
        <is>
          <t>ENERO</t>
        </is>
      </c>
      <c r="G1747" s="1" t="inlineStr">
        <is>
          <t>ZOEY</t>
        </is>
      </c>
      <c r="H1747" s="1" t="inlineStr">
        <is>
          <t>ZOEY 20/01/2026</t>
        </is>
      </c>
      <c r="I1747" s="4" t="n">
        <v>3</v>
      </c>
      <c r="J1747" s="6" t="n">
        <v>9</v>
      </c>
      <c r="K1747" s="6" t="n">
        <v>234.2843943</v>
      </c>
      <c r="L1747" s="6">
        <f>I1747*K1747</f>
        <v/>
      </c>
      <c r="M1747" s="6">
        <f>K1747*4</f>
        <v/>
      </c>
      <c r="N1747" s="6" t="n"/>
    </row>
    <row r="1748">
      <c r="A1748" s="1" t="inlineStr">
        <is>
          <t>46022281088705</t>
        </is>
      </c>
      <c r="B1748" s="1" t="inlineStr">
        <is>
          <t>COLLAR CORAZÓN SILVER</t>
        </is>
      </c>
      <c r="C1748" s="1" t="inlineStr">
        <is>
          <t>titanio 45cm / dije 1cm</t>
        </is>
      </c>
      <c r="D1748" s="1" t="inlineStr">
        <is>
          <t>02/03/2026</t>
        </is>
      </c>
      <c r="E1748" s="1" t="n">
        <v>2026</v>
      </c>
      <c r="F1748" s="1" t="inlineStr">
        <is>
          <t>MARZO</t>
        </is>
      </c>
      <c r="G1748" s="1" t="inlineStr">
        <is>
          <t>ZOEY</t>
        </is>
      </c>
      <c r="H1748" s="1" t="inlineStr">
        <is>
          <t>ZOEY 02/03/2026</t>
        </is>
      </c>
      <c r="I1748" s="4" t="n">
        <v>2</v>
      </c>
      <c r="J1748" s="6" t="n">
        <v>9</v>
      </c>
      <c r="K1748" s="6" t="n">
        <v>236.4927815</v>
      </c>
      <c r="L1748" s="6">
        <f>I1748*K1748</f>
        <v/>
      </c>
      <c r="M1748" s="6">
        <f>K1748*4</f>
        <v/>
      </c>
      <c r="N1748" s="6" t="n"/>
    </row>
    <row r="1749">
      <c r="A1749" s="1" t="inlineStr">
        <is>
          <t>46281181071009</t>
        </is>
      </c>
      <c r="B1749" s="1" t="inlineStr">
        <is>
          <t>BOLSA YSL WHITE</t>
        </is>
      </c>
      <c r="C1749" s="1" t="inlineStr">
        <is>
          <t>NUDE 24cm x 15cm</t>
        </is>
      </c>
      <c r="D1749" s="1" t="inlineStr">
        <is>
          <t>20/04/2026</t>
        </is>
      </c>
      <c r="E1749" s="1" t="n">
        <v>2026</v>
      </c>
      <c r="F1749" s="1" t="inlineStr">
        <is>
          <t>ABRIL</t>
        </is>
      </c>
      <c r="G1749" s="1" t="inlineStr">
        <is>
          <t>ZOEY</t>
        </is>
      </c>
      <c r="H1749" s="1" t="inlineStr">
        <is>
          <t>ZOEY 20/04/2026</t>
        </is>
      </c>
      <c r="I1749" s="4" t="n">
        <v>1</v>
      </c>
      <c r="J1749" s="6" t="n">
        <v>52</v>
      </c>
      <c r="K1749" s="6" t="n">
        <v>1331.656473</v>
      </c>
      <c r="L1749" s="6">
        <f>I1749*K1749</f>
        <v/>
      </c>
      <c r="M1749" s="6">
        <f>K1749*4</f>
        <v/>
      </c>
      <c r="N1749" s="6" t="n">
        <v>4660</v>
      </c>
    </row>
    <row r="1750">
      <c r="A1750" s="1" t="inlineStr">
        <is>
          <t>46509631089741</t>
        </is>
      </c>
      <c r="B1750" s="1" t="inlineStr">
        <is>
          <t>ANILLO JUSTE UN CLOU GOLD CON ZIRCONIA-6</t>
        </is>
      </c>
      <c r="C1750" s="1" t="n">
        <v>6</v>
      </c>
      <c r="D1750" s="1" t="inlineStr">
        <is>
          <t>25/09/2025</t>
        </is>
      </c>
      <c r="E1750" s="1" t="n">
        <v>2025</v>
      </c>
      <c r="F1750" s="1" t="inlineStr">
        <is>
          <t>SEPTIEMBRE</t>
        </is>
      </c>
      <c r="G1750" s="1" t="inlineStr">
        <is>
          <t>HAIFENG</t>
        </is>
      </c>
      <c r="H1750" s="1" t="inlineStr">
        <is>
          <t>HAIFENG 25/09/2025</t>
        </is>
      </c>
      <c r="I1750" s="4" t="n">
        <v>2</v>
      </c>
      <c r="J1750" s="6" t="n">
        <v>7.5</v>
      </c>
      <c r="K1750" s="6" t="n">
        <v>158.2266433</v>
      </c>
      <c r="L1750" s="6">
        <f>I1750*K1750</f>
        <v/>
      </c>
      <c r="M1750" s="6">
        <f>K1750*4</f>
        <v/>
      </c>
      <c r="N1750" s="6" t="n">
        <v>650</v>
      </c>
    </row>
    <row r="1751">
      <c r="A1751" s="1" t="inlineStr">
        <is>
          <t>46509631089741</t>
        </is>
      </c>
      <c r="B1751" s="1" t="inlineStr">
        <is>
          <t>ANILLO JUSTE UN CLOU GOLD CON ZIRCONIA</t>
        </is>
      </c>
      <c r="C1751" s="1" t="inlineStr">
        <is>
          <t>6</t>
        </is>
      </c>
      <c r="D1751" s="1" t="inlineStr">
        <is>
          <t>20/01/2026</t>
        </is>
      </c>
      <c r="E1751" s="1" t="n">
        <v>2026</v>
      </c>
      <c r="F1751" s="1" t="inlineStr">
        <is>
          <t>ENERO</t>
        </is>
      </c>
      <c r="G1751" s="1" t="inlineStr">
        <is>
          <t>HAIFENG</t>
        </is>
      </c>
      <c r="H1751" s="1" t="inlineStr">
        <is>
          <t>HAIFENG 20/01/2026</t>
        </is>
      </c>
      <c r="I1751" s="4" t="n">
        <v>1</v>
      </c>
      <c r="J1751" s="6" t="n">
        <v>7.5</v>
      </c>
      <c r="K1751" s="6" t="n">
        <v>159.0031334</v>
      </c>
      <c r="L1751" s="6">
        <f>I1751*K1751</f>
        <v/>
      </c>
      <c r="M1751" s="6">
        <f>K1751*4</f>
        <v/>
      </c>
      <c r="N1751" s="6" t="n">
        <v>422</v>
      </c>
    </row>
    <row r="1752">
      <c r="A1752" s="1" t="inlineStr">
        <is>
          <t>46509631089741</t>
        </is>
      </c>
      <c r="B1752" s="1" t="inlineStr">
        <is>
          <t>ANILLO CLAVO SPIRAL GOLD CON ZIRCONIA</t>
        </is>
      </c>
      <c r="C1752" s="1" t="inlineStr">
        <is>
          <t>6</t>
        </is>
      </c>
      <c r="D1752" s="1" t="inlineStr">
        <is>
          <t>10/02/2026</t>
        </is>
      </c>
      <c r="E1752" s="1" t="n">
        <v>2026</v>
      </c>
      <c r="F1752" s="1" t="inlineStr">
        <is>
          <t>FEBRERO</t>
        </is>
      </c>
      <c r="G1752" s="1" t="inlineStr">
        <is>
          <t>HAIFENG</t>
        </is>
      </c>
      <c r="H1752" s="1" t="inlineStr">
        <is>
          <t>HAIFENG 10/02/2026</t>
        </is>
      </c>
      <c r="I1752" s="4" t="n">
        <v>1</v>
      </c>
      <c r="J1752" s="6" t="n">
        <v>7.5</v>
      </c>
      <c r="K1752" s="6" t="n">
        <v>158.0137205</v>
      </c>
      <c r="L1752" s="6">
        <f>I1752*K1752</f>
        <v/>
      </c>
      <c r="M1752" s="6">
        <f>K1752*4</f>
        <v/>
      </c>
      <c r="N1752" s="6" t="n">
        <v>422</v>
      </c>
    </row>
    <row r="1753">
      <c r="A1753" s="1" t="inlineStr">
        <is>
          <t>46636991009581</t>
        </is>
      </c>
      <c r="B1753" s="1" t="inlineStr">
        <is>
          <t>ARETES T SILVER CON ZIRCONIA</t>
        </is>
      </c>
      <c r="C1753" s="1" t="inlineStr">
        <is>
          <t>Default Title</t>
        </is>
      </c>
      <c r="D1753" s="1" t="inlineStr">
        <is>
          <t>25/09/2025</t>
        </is>
      </c>
      <c r="E1753" s="1" t="n">
        <v>2025</v>
      </c>
      <c r="F1753" s="1" t="inlineStr">
        <is>
          <t>SEPTIEMBRE</t>
        </is>
      </c>
      <c r="G1753" s="1" t="inlineStr">
        <is>
          <t>HAIFENG</t>
        </is>
      </c>
      <c r="H1753" s="1" t="inlineStr">
        <is>
          <t>HAIFENG 25/09/2025</t>
        </is>
      </c>
      <c r="I1753" s="4" t="n">
        <v>3</v>
      </c>
      <c r="J1753" s="6" t="n">
        <v>7</v>
      </c>
      <c r="K1753" s="6" t="n">
        <v>147.6782004</v>
      </c>
      <c r="L1753" s="6">
        <f>I1753*K1753</f>
        <v/>
      </c>
      <c r="M1753" s="6">
        <f>K1753*4</f>
        <v/>
      </c>
      <c r="N1753" s="6" t="n">
        <v>749</v>
      </c>
    </row>
    <row r="1754">
      <c r="A1754" s="1" t="inlineStr">
        <is>
          <t>46636991009581</t>
        </is>
      </c>
      <c r="B1754" s="1" t="inlineStr">
        <is>
          <t>ARETES T SILVER CON ZIRCONIA</t>
        </is>
      </c>
      <c r="C1754" s="1" t="inlineStr">
        <is>
          <t>Default Title</t>
        </is>
      </c>
      <c r="D1754" s="1" t="inlineStr">
        <is>
          <t>06/05/2026</t>
        </is>
      </c>
      <c r="E1754" s="1" t="n">
        <v>2026</v>
      </c>
      <c r="F1754" s="1" t="inlineStr">
        <is>
          <t>MAYO</t>
        </is>
      </c>
      <c r="G1754" s="1" t="inlineStr">
        <is>
          <t>HAIFENG</t>
        </is>
      </c>
      <c r="H1754" s="1" t="inlineStr">
        <is>
          <t>HAIFENG 06/05/2026</t>
        </is>
      </c>
      <c r="I1754" s="4" t="n">
        <v>4</v>
      </c>
      <c r="J1754" s="6" t="n">
        <v>7</v>
      </c>
      <c r="K1754" s="6" t="n">
        <v>148.5304959</v>
      </c>
      <c r="L1754" s="6">
        <f>I1754*K1754</f>
        <v/>
      </c>
      <c r="M1754" s="6">
        <f>K1754*4</f>
        <v/>
      </c>
      <c r="N1754" s="6" t="n">
        <v>749</v>
      </c>
    </row>
    <row r="1755">
      <c r="A1755" s="1" t="inlineStr">
        <is>
          <t>46636991009581</t>
        </is>
      </c>
      <c r="B1755" s="1" t="inlineStr">
        <is>
          <t>ARETES T SILVER CON ZIRCONIA</t>
        </is>
      </c>
      <c r="C1755" s="1" t="inlineStr">
        <is>
          <t>Default Title</t>
        </is>
      </c>
      <c r="D1755" s="1" t="inlineStr">
        <is>
          <t>26/05/2026</t>
        </is>
      </c>
      <c r="E1755" s="1" t="n">
        <v>2026</v>
      </c>
      <c r="F1755" s="1" t="inlineStr">
        <is>
          <t>MAYO</t>
        </is>
      </c>
      <c r="G1755" s="1" t="inlineStr">
        <is>
          <t>HAIFENG</t>
        </is>
      </c>
      <c r="H1755" s="1" t="inlineStr">
        <is>
          <t>HAIFENG 26/05/2026</t>
        </is>
      </c>
      <c r="I1755" s="4" t="n">
        <v>2</v>
      </c>
      <c r="J1755" s="6" t="n">
        <v>7</v>
      </c>
      <c r="K1755" s="6" t="n">
        <v>146.9250671</v>
      </c>
      <c r="L1755" s="6">
        <f>I1755*K1755</f>
        <v/>
      </c>
      <c r="M1755" s="6">
        <f>K1755*4</f>
        <v/>
      </c>
      <c r="N1755" s="6" t="n">
        <v>749</v>
      </c>
    </row>
    <row r="1756">
      <c r="A1756" s="1" t="inlineStr">
        <is>
          <t>46740671064493</t>
        </is>
      </c>
      <c r="B1756" s="1" t="inlineStr">
        <is>
          <t>BOLSA DE DEPORTE BLACK</t>
        </is>
      </c>
      <c r="C1756" s="1" t="inlineStr">
        <is>
          <t>Default Title</t>
        </is>
      </c>
      <c r="D1756" s="1" t="inlineStr">
        <is>
          <t>02/10/2025</t>
        </is>
      </c>
      <c r="E1756" s="1" t="n">
        <v>2025</v>
      </c>
      <c r="F1756" s="1" t="inlineStr">
        <is>
          <t>OCTUBRE</t>
        </is>
      </c>
      <c r="G1756" s="1" t="inlineStr">
        <is>
          <t>ZOEY</t>
        </is>
      </c>
      <c r="H1756" s="1" t="inlineStr">
        <is>
          <t>ZOEY 02/10/2025</t>
        </is>
      </c>
      <c r="I1756" s="4" t="n">
        <v>2</v>
      </c>
      <c r="J1756" s="6" t="n">
        <v>15</v>
      </c>
      <c r="K1756" s="6" t="n">
        <v>354.35904</v>
      </c>
      <c r="L1756" s="6">
        <f>I1756*K1756</f>
        <v/>
      </c>
      <c r="M1756" s="6">
        <f>K1756*4</f>
        <v/>
      </c>
      <c r="N1756" s="6" t="n">
        <v>3330</v>
      </c>
    </row>
    <row r="1757">
      <c r="A1757" s="1" t="inlineStr">
        <is>
          <t>46740671064493</t>
        </is>
      </c>
      <c r="B1757" s="1" t="inlineStr">
        <is>
          <t>BOLSA DE DEPORTE BLACK</t>
        </is>
      </c>
      <c r="C1757" s="1" t="inlineStr">
        <is>
          <t>Default Title</t>
        </is>
      </c>
      <c r="D1757" s="1" t="inlineStr">
        <is>
          <t>20/01/2026</t>
        </is>
      </c>
      <c r="E1757" s="1" t="n">
        <v>2026</v>
      </c>
      <c r="F1757" s="1" t="inlineStr">
        <is>
          <t>ENERO</t>
        </is>
      </c>
      <c r="G1757" s="1" t="inlineStr">
        <is>
          <t>ZOEY</t>
        </is>
      </c>
      <c r="H1757" s="1" t="inlineStr">
        <is>
          <t>ZOEY 20/01/2026</t>
        </is>
      </c>
      <c r="I1757" s="4" t="n">
        <v>1</v>
      </c>
      <c r="J1757" s="6" t="n">
        <v>40</v>
      </c>
      <c r="K1757" s="6" t="n">
        <v>1041.263975</v>
      </c>
      <c r="L1757" s="6">
        <f>I1757*K1757</f>
        <v/>
      </c>
      <c r="M1757" s="6">
        <f>K1757*4</f>
        <v/>
      </c>
      <c r="N1757" s="6" t="n">
        <v>4169</v>
      </c>
    </row>
    <row r="1758">
      <c r="A1758" s="1" t="inlineStr">
        <is>
          <t>46912391017229</t>
        </is>
      </c>
      <c r="B1758" s="1" t="inlineStr">
        <is>
          <t>COLLAR LOVELOVE ROSE GOLD</t>
        </is>
      </c>
      <c r="C1758" s="1" t="inlineStr">
        <is>
          <t>Default Title</t>
        </is>
      </c>
      <c r="D1758" s="1" t="inlineStr">
        <is>
          <t>10/02/2026</t>
        </is>
      </c>
      <c r="E1758" s="1" t="n">
        <v>2026</v>
      </c>
      <c r="F1758" s="1" t="inlineStr">
        <is>
          <t>FEBRERO</t>
        </is>
      </c>
      <c r="G1758" s="1" t="inlineStr">
        <is>
          <t>HAIFENG</t>
        </is>
      </c>
      <c r="H1758" s="1" t="inlineStr">
        <is>
          <t>HAIFENG 10/02/2026</t>
        </is>
      </c>
      <c r="I1758" s="4" t="n">
        <v>4</v>
      </c>
      <c r="J1758" s="6" t="n">
        <v>5</v>
      </c>
      <c r="K1758" s="6" t="n">
        <v>105.3424803</v>
      </c>
      <c r="L1758" s="6">
        <f>I1758*K1758</f>
        <v/>
      </c>
      <c r="M1758" s="6">
        <f>K1758*4</f>
        <v/>
      </c>
      <c r="N1758" s="6" t="n">
        <v>550</v>
      </c>
    </row>
    <row r="1759">
      <c r="A1759" s="1" t="inlineStr">
        <is>
          <t>47030519289356</t>
        </is>
      </c>
      <c r="B1759" s="1" t="inlineStr">
        <is>
          <t>RELOJ RX OYSTER PERPETUAL GREEN</t>
        </is>
      </c>
      <c r="C1759" s="1" t="inlineStr">
        <is>
          <t>RELOJ SIN CAJA</t>
        </is>
      </c>
      <c r="D1759" s="1" t="inlineStr">
        <is>
          <t>25/10/2025</t>
        </is>
      </c>
      <c r="E1759" s="1" t="n">
        <v>2025</v>
      </c>
      <c r="F1759" s="1" t="inlineStr">
        <is>
          <t>OCTUBRE</t>
        </is>
      </c>
      <c r="G1759" s="1" t="inlineStr">
        <is>
          <t>ZOEY</t>
        </is>
      </c>
      <c r="H1759" s="1" t="inlineStr">
        <is>
          <t>ZOEY 25/10/2025</t>
        </is>
      </c>
      <c r="I1759" s="4" t="n">
        <v>6</v>
      </c>
      <c r="J1759" s="6" t="n">
        <v>42</v>
      </c>
      <c r="K1759" s="6" t="n">
        <v>1041.604591</v>
      </c>
      <c r="L1759" s="6">
        <f>I1759*K1759</f>
        <v/>
      </c>
      <c r="M1759" s="6">
        <f>K1759*4</f>
        <v/>
      </c>
      <c r="N1759" s="6" t="n">
        <v>3999</v>
      </c>
    </row>
    <row r="1760">
      <c r="A1760" s="1" t="inlineStr">
        <is>
          <t>47030519289356</t>
        </is>
      </c>
      <c r="B1760" s="1" t="inlineStr">
        <is>
          <t>RELOJ RX OYSTER PERPETUAL GREEN</t>
        </is>
      </c>
      <c r="C1760" s="1" t="inlineStr">
        <is>
          <t>RELOJ SIN CAJA</t>
        </is>
      </c>
      <c r="D1760" s="1" t="inlineStr">
        <is>
          <t>20/04/2026</t>
        </is>
      </c>
      <c r="E1760" s="1" t="n">
        <v>2026</v>
      </c>
      <c r="F1760" s="1" t="inlineStr">
        <is>
          <t>ABRIL</t>
        </is>
      </c>
      <c r="G1760" s="1" t="inlineStr">
        <is>
          <t>ZOEY</t>
        </is>
      </c>
      <c r="H1760" s="1" t="inlineStr">
        <is>
          <t>ZOEY 20/04/2026</t>
        </is>
      </c>
      <c r="I1760" s="4" t="n">
        <v>4</v>
      </c>
      <c r="J1760" s="6" t="n">
        <v>42</v>
      </c>
      <c r="K1760" s="6" t="n">
        <v>1075.56869</v>
      </c>
      <c r="L1760" s="6">
        <f>I1760*K1760</f>
        <v/>
      </c>
      <c r="M1760" s="6">
        <f>K1760*4</f>
        <v/>
      </c>
      <c r="N1760" s="6" t="n">
        <v>4309</v>
      </c>
    </row>
    <row r="1761">
      <c r="A1761" s="1" t="inlineStr">
        <is>
          <t>47076841081421</t>
        </is>
      </c>
      <c r="B1761" s="1" t="inlineStr">
        <is>
          <t>ARRACADAS T SILVER CON ZIRCONIA</t>
        </is>
      </c>
      <c r="C1761" s="1" t="inlineStr">
        <is>
          <t>Default Title</t>
        </is>
      </c>
      <c r="D1761" s="1" t="inlineStr">
        <is>
          <t>25/09/2025</t>
        </is>
      </c>
      <c r="E1761" s="1" t="n">
        <v>2025</v>
      </c>
      <c r="F1761" s="1" t="inlineStr">
        <is>
          <t>SEPTIEMBRE</t>
        </is>
      </c>
      <c r="G1761" s="1" t="inlineStr">
        <is>
          <t>HAIFENG</t>
        </is>
      </c>
      <c r="H1761" s="1" t="inlineStr">
        <is>
          <t>HAIFENG 25/09/2025</t>
        </is>
      </c>
      <c r="I1761" s="4" t="n">
        <v>2</v>
      </c>
      <c r="J1761" s="6" t="n">
        <v>7</v>
      </c>
      <c r="K1761" s="6" t="n">
        <v>147.6782004</v>
      </c>
      <c r="L1761" s="6">
        <f>I1761*K1761</f>
        <v/>
      </c>
      <c r="M1761" s="6">
        <f>K1761*4</f>
        <v/>
      </c>
      <c r="N1761" s="6" t="n">
        <v>599</v>
      </c>
    </row>
    <row r="1762">
      <c r="A1762" s="1" t="inlineStr">
        <is>
          <t>47076841081421</t>
        </is>
      </c>
      <c r="B1762" s="1" t="inlineStr">
        <is>
          <t>ARRACADAS T SILVER CON ZIRCONIA</t>
        </is>
      </c>
      <c r="C1762" s="1" t="inlineStr">
        <is>
          <t>Default Title</t>
        </is>
      </c>
      <c r="D1762" s="1" t="inlineStr">
        <is>
          <t>16/04/2026</t>
        </is>
      </c>
      <c r="E1762" s="1" t="n">
        <v>2026</v>
      </c>
      <c r="F1762" s="1" t="inlineStr">
        <is>
          <t>ABRIL</t>
        </is>
      </c>
      <c r="G1762" s="1" t="inlineStr">
        <is>
          <t>HAIFENG</t>
        </is>
      </c>
      <c r="H1762" s="1" t="inlineStr">
        <is>
          <t>HAIFENG 16/04/2026</t>
        </is>
      </c>
      <c r="I1762" s="4" t="n">
        <v>3</v>
      </c>
      <c r="J1762" s="6" t="n">
        <v>7</v>
      </c>
      <c r="K1762" s="6" t="n">
        <v>147.2203151</v>
      </c>
      <c r="L1762" s="6">
        <f>I1762*K1762</f>
        <v/>
      </c>
      <c r="M1762" s="6">
        <f>K1762*4</f>
        <v/>
      </c>
      <c r="N1762" s="6" t="n">
        <v>599</v>
      </c>
    </row>
    <row r="1763">
      <c r="A1763" s="1" t="inlineStr">
        <is>
          <t>47076841105709</t>
        </is>
      </c>
      <c r="B1763" s="1" t="inlineStr">
        <is>
          <t>ARRACADAS T ROSE GOLD CON ZIRCONIA</t>
        </is>
      </c>
      <c r="C1763" s="1" t="inlineStr">
        <is>
          <t>Default Title</t>
        </is>
      </c>
      <c r="D1763" s="1" t="inlineStr">
        <is>
          <t>25/09/2025</t>
        </is>
      </c>
      <c r="E1763" s="1" t="n">
        <v>2025</v>
      </c>
      <c r="F1763" s="1" t="inlineStr">
        <is>
          <t>SEPTIEMBRE</t>
        </is>
      </c>
      <c r="G1763" s="1" t="inlineStr">
        <is>
          <t>HAIFENG</t>
        </is>
      </c>
      <c r="H1763" s="1" t="inlineStr">
        <is>
          <t>HAIFENG 25/09/2025</t>
        </is>
      </c>
      <c r="I1763" s="4" t="n">
        <v>2</v>
      </c>
      <c r="J1763" s="6" t="n">
        <v>7</v>
      </c>
      <c r="K1763" s="6" t="n">
        <v>147.6782004</v>
      </c>
      <c r="L1763" s="6">
        <f>I1763*K1763</f>
        <v/>
      </c>
      <c r="M1763" s="6">
        <f>K1763*4</f>
        <v/>
      </c>
      <c r="N1763" s="6" t="n">
        <v>579</v>
      </c>
    </row>
    <row r="1764">
      <c r="A1764" s="1" t="inlineStr">
        <is>
          <t>47076841105709</t>
        </is>
      </c>
      <c r="B1764" s="1" t="inlineStr">
        <is>
          <t>ARRACADAS T ROSEGOLD CON ZIRCONIA</t>
        </is>
      </c>
      <c r="C1764" s="1" t="inlineStr">
        <is>
          <t>Default Title</t>
        </is>
      </c>
      <c r="D1764" s="1" t="inlineStr">
        <is>
          <t>16/04/2026</t>
        </is>
      </c>
      <c r="E1764" s="1" t="n">
        <v>2026</v>
      </c>
      <c r="F1764" s="1" t="inlineStr">
        <is>
          <t>ABRIL</t>
        </is>
      </c>
      <c r="G1764" s="1" t="inlineStr">
        <is>
          <t>HAIFENG</t>
        </is>
      </c>
      <c r="H1764" s="1" t="inlineStr">
        <is>
          <t>HAIFENG 16/04/2026</t>
        </is>
      </c>
      <c r="I1764" s="4" t="n">
        <v>2</v>
      </c>
      <c r="J1764" s="6" t="n">
        <v>7</v>
      </c>
      <c r="K1764" s="6" t="n">
        <v>147.2203151</v>
      </c>
      <c r="L1764" s="6">
        <f>I1764*K1764</f>
        <v/>
      </c>
      <c r="M1764" s="6">
        <f>K1764*4</f>
        <v/>
      </c>
      <c r="N1764" s="6" t="n">
        <v>376</v>
      </c>
    </row>
    <row r="1765">
      <c r="A1765" s="1" t="inlineStr">
        <is>
          <t>47076841262765</t>
        </is>
      </c>
      <c r="B1765" s="1" t="inlineStr">
        <is>
          <t>ARRACADAS T GOLD CON ZIRCONIA</t>
        </is>
      </c>
      <c r="C1765" s="1" t="inlineStr">
        <is>
          <t>Default Title</t>
        </is>
      </c>
      <c r="D1765" s="1" t="inlineStr">
        <is>
          <t>25/09/2025</t>
        </is>
      </c>
      <c r="E1765" s="1" t="n">
        <v>2025</v>
      </c>
      <c r="F1765" s="1" t="inlineStr">
        <is>
          <t>SEPTIEMBRE</t>
        </is>
      </c>
      <c r="G1765" s="1" t="inlineStr">
        <is>
          <t>HAIFENG</t>
        </is>
      </c>
      <c r="H1765" s="1" t="inlineStr">
        <is>
          <t>HAIFENG 25/09/2025</t>
        </is>
      </c>
      <c r="I1765" s="4" t="n">
        <v>3</v>
      </c>
      <c r="J1765" s="6" t="n">
        <v>7</v>
      </c>
      <c r="K1765" s="6" t="n">
        <v>147.6782004</v>
      </c>
      <c r="L1765" s="6">
        <f>I1765*K1765</f>
        <v/>
      </c>
      <c r="M1765" s="6">
        <f>K1765*4</f>
        <v/>
      </c>
      <c r="N1765" s="6" t="n">
        <v>580</v>
      </c>
    </row>
    <row r="1766">
      <c r="A1766" s="1" t="inlineStr">
        <is>
          <t>47076841262765</t>
        </is>
      </c>
      <c r="B1766" s="1" t="inlineStr">
        <is>
          <t>ARRACADAS T GOLD CON ZIRCONIA</t>
        </is>
      </c>
      <c r="C1766" s="1" t="inlineStr">
        <is>
          <t>Default Title</t>
        </is>
      </c>
      <c r="D1766" s="1" t="inlineStr">
        <is>
          <t>10/02/2026</t>
        </is>
      </c>
      <c r="E1766" s="1" t="n">
        <v>2026</v>
      </c>
      <c r="F1766" s="1" t="inlineStr">
        <is>
          <t>FEBRERO</t>
        </is>
      </c>
      <c r="G1766" s="1" t="inlineStr">
        <is>
          <t>HAIFENG</t>
        </is>
      </c>
      <c r="H1766" s="1" t="inlineStr">
        <is>
          <t>HAIFENG 10/02/2026</t>
        </is>
      </c>
      <c r="I1766" s="4" t="n">
        <v>2</v>
      </c>
      <c r="J1766" s="6" t="n">
        <v>7</v>
      </c>
      <c r="K1766" s="6" t="n">
        <v>147.4794725</v>
      </c>
      <c r="L1766" s="6">
        <f>I1766*K1766</f>
        <v/>
      </c>
      <c r="M1766" s="6">
        <f>K1766*4</f>
        <v/>
      </c>
      <c r="N1766" s="6" t="n">
        <v>580</v>
      </c>
    </row>
    <row r="1767">
      <c r="A1767" s="1" t="inlineStr">
        <is>
          <t>47076841262765</t>
        </is>
      </c>
      <c r="B1767" s="1" t="inlineStr">
        <is>
          <t>ARRACADAS T GOLD CON ZIRCONIA</t>
        </is>
      </c>
      <c r="C1767" s="1" t="inlineStr">
        <is>
          <t>Default Title</t>
        </is>
      </c>
      <c r="D1767" s="1" t="inlineStr">
        <is>
          <t>16/06/2026</t>
        </is>
      </c>
      <c r="E1767" s="1" t="n">
        <v>2026</v>
      </c>
      <c r="F1767" s="1" t="inlineStr">
        <is>
          <t>JUNIO</t>
        </is>
      </c>
      <c r="G1767" s="1" t="inlineStr">
        <is>
          <t>HAIFENG</t>
        </is>
      </c>
      <c r="H1767" s="1" t="inlineStr">
        <is>
          <t>HAIFENG 16/06/2026</t>
        </is>
      </c>
      <c r="I1767" s="4" t="n">
        <v>2</v>
      </c>
      <c r="J1767" s="6" t="n">
        <v>7</v>
      </c>
      <c r="K1767" s="6" t="n">
        <v>147.1022452</v>
      </c>
      <c r="L1767" s="6">
        <f>I1767*K1767</f>
        <v/>
      </c>
      <c r="M1767" s="6">
        <f>K1767*4</f>
        <v/>
      </c>
      <c r="N1767" s="6" t="n">
        <v>580</v>
      </c>
    </row>
    <row r="1768">
      <c r="A1768" s="1" t="inlineStr">
        <is>
          <t>47179791074049</t>
        </is>
      </c>
      <c r="B1768" s="1" t="inlineStr">
        <is>
          <t>PULSERA LOVE LOVE GOLD</t>
        </is>
      </c>
      <c r="C1768" s="1" t="inlineStr">
        <is>
          <t>16cm con 5cm de extensión</t>
        </is>
      </c>
      <c r="D1768" s="1" t="inlineStr">
        <is>
          <t>01/09/2025</t>
        </is>
      </c>
      <c r="E1768" s="1" t="n">
        <v>2025</v>
      </c>
      <c r="F1768" s="1" t="inlineStr">
        <is>
          <t>SEPTIEMBRE</t>
        </is>
      </c>
      <c r="G1768" s="1" t="inlineStr">
        <is>
          <t>HAIFENG</t>
        </is>
      </c>
      <c r="H1768" s="1" t="inlineStr">
        <is>
          <t>HAIFENG 01/09/2025</t>
        </is>
      </c>
      <c r="I1768" s="4" t="n">
        <v>10</v>
      </c>
      <c r="J1768" s="6" t="n">
        <v>5</v>
      </c>
      <c r="K1768" s="6" t="n">
        <v>106.2783553</v>
      </c>
      <c r="L1768" s="6">
        <f>I1768*K1768</f>
        <v/>
      </c>
      <c r="M1768" s="6">
        <f>K1768*4</f>
        <v/>
      </c>
      <c r="N1768" s="6" t="n">
        <v>499</v>
      </c>
    </row>
    <row r="1769">
      <c r="A1769" s="1" t="inlineStr">
        <is>
          <t>47179791074049</t>
        </is>
      </c>
      <c r="B1769" s="1" t="inlineStr">
        <is>
          <t>PULSERA LOVE LOVE GOLD</t>
        </is>
      </c>
      <c r="C1769" s="1" t="inlineStr">
        <is>
          <t>16cm con 5cm de extensión</t>
        </is>
      </c>
      <c r="D1769" s="1" t="inlineStr">
        <is>
          <t>20/01/2026</t>
        </is>
      </c>
      <c r="E1769" s="1" t="n">
        <v>2026</v>
      </c>
      <c r="F1769" s="1" t="inlineStr">
        <is>
          <t>ENERO</t>
        </is>
      </c>
      <c r="G1769" s="1" t="inlineStr">
        <is>
          <t>HAIFENG</t>
        </is>
      </c>
      <c r="H1769" s="1" t="inlineStr">
        <is>
          <t>HAIFENG 20/01/2026</t>
        </is>
      </c>
      <c r="I1769" s="4" t="n">
        <v>10</v>
      </c>
      <c r="J1769" s="6" t="n">
        <v>5</v>
      </c>
      <c r="K1769" s="6" t="n">
        <v>106.002089</v>
      </c>
      <c r="L1769" s="6">
        <f>I1769*K1769</f>
        <v/>
      </c>
      <c r="M1769" s="6">
        <f>K1769*4</f>
        <v/>
      </c>
      <c r="N1769" s="6" t="n">
        <v>499</v>
      </c>
    </row>
    <row r="1770">
      <c r="A1770" s="1" t="inlineStr">
        <is>
          <t>47179791074049</t>
        </is>
      </c>
      <c r="B1770" s="1" t="inlineStr">
        <is>
          <t>PULSERA LOVE DELGADA GOLD</t>
        </is>
      </c>
      <c r="C1770" s="1" t="inlineStr">
        <is>
          <t>16cm con 5cm de extensión</t>
        </is>
      </c>
      <c r="D1770" s="1" t="inlineStr">
        <is>
          <t>10/02/2026</t>
        </is>
      </c>
      <c r="E1770" s="1" t="n">
        <v>2026</v>
      </c>
      <c r="F1770" s="1" t="inlineStr">
        <is>
          <t>FEBRERO</t>
        </is>
      </c>
      <c r="G1770" s="1" t="inlineStr">
        <is>
          <t>HAIFENG</t>
        </is>
      </c>
      <c r="H1770" s="1" t="inlineStr">
        <is>
          <t>HAIFENG 10/02/2026</t>
        </is>
      </c>
      <c r="I1770" s="4" t="n">
        <v>6</v>
      </c>
      <c r="J1770" s="6" t="n">
        <v>5</v>
      </c>
      <c r="K1770" s="6" t="n">
        <v>105.3424803</v>
      </c>
      <c r="L1770" s="6">
        <f>I1770*K1770</f>
        <v/>
      </c>
      <c r="M1770" s="6">
        <f>K1770*4</f>
        <v/>
      </c>
      <c r="N1770" s="6" t="n">
        <v>499</v>
      </c>
    </row>
    <row r="1771">
      <c r="A1771" s="1" t="inlineStr">
        <is>
          <t>47179791074049</t>
        </is>
      </c>
      <c r="B1771" s="1" t="inlineStr">
        <is>
          <t>PULSERA LOVE LOVE GOLD</t>
        </is>
      </c>
      <c r="C1771" s="1" t="inlineStr">
        <is>
          <t>16cm con 5cm de extensión</t>
        </is>
      </c>
      <c r="D1771" s="1" t="inlineStr">
        <is>
          <t>16/04/2026</t>
        </is>
      </c>
      <c r="E1771" s="1" t="n">
        <v>2026</v>
      </c>
      <c r="F1771" s="1" t="inlineStr">
        <is>
          <t>ABRIL</t>
        </is>
      </c>
      <c r="G1771" s="1" t="inlineStr">
        <is>
          <t>HAIFENG</t>
        </is>
      </c>
      <c r="H1771" s="1" t="inlineStr">
        <is>
          <t>HAIFENG 16/04/2026</t>
        </is>
      </c>
      <c r="I1771" s="4" t="n">
        <v>16</v>
      </c>
      <c r="J1771" s="6" t="n">
        <v>4.5</v>
      </c>
      <c r="K1771" s="6" t="n">
        <v>94.64163114999999</v>
      </c>
      <c r="L1771" s="6">
        <f>I1771*K1771</f>
        <v/>
      </c>
      <c r="M1771" s="6">
        <f>K1771*4</f>
        <v/>
      </c>
      <c r="N1771" s="6" t="n">
        <v>499</v>
      </c>
    </row>
    <row r="1772">
      <c r="A1772" s="1" t="inlineStr">
        <is>
          <t>47179791074049</t>
        </is>
      </c>
      <c r="B1772" s="1" t="inlineStr">
        <is>
          <t>PULSERA LOVE LOVE GOLD</t>
        </is>
      </c>
      <c r="C1772" s="1" t="inlineStr">
        <is>
          <t>16cm con 5cm de extensión</t>
        </is>
      </c>
      <c r="D1772" s="1" t="inlineStr">
        <is>
          <t>06/05/2026</t>
        </is>
      </c>
      <c r="E1772" s="1" t="n">
        <v>2026</v>
      </c>
      <c r="F1772" s="1" t="inlineStr">
        <is>
          <t>MAYO</t>
        </is>
      </c>
      <c r="G1772" s="1" t="inlineStr">
        <is>
          <t>HAIFENG</t>
        </is>
      </c>
      <c r="H1772" s="1" t="inlineStr">
        <is>
          <t>HAIFENG 06/05/2026</t>
        </is>
      </c>
      <c r="I1772" s="4" t="n">
        <v>7</v>
      </c>
      <c r="J1772" s="6" t="n">
        <v>5</v>
      </c>
      <c r="K1772" s="6" t="n">
        <v>106.0932113</v>
      </c>
      <c r="L1772" s="6">
        <f>I1772*K1772</f>
        <v/>
      </c>
      <c r="M1772" s="6">
        <f>K1772*4</f>
        <v/>
      </c>
      <c r="N1772" s="6" t="n">
        <v>499</v>
      </c>
    </row>
    <row r="1773">
      <c r="A1773" s="1" t="inlineStr">
        <is>
          <t>47396161022509</t>
        </is>
      </c>
      <c r="B1773" s="1" t="inlineStr">
        <is>
          <t>ANILLO JUSTE UN CLOU GOLD CON ZIRCONIA-7</t>
        </is>
      </c>
      <c r="C1773" s="1" t="n">
        <v>7</v>
      </c>
      <c r="D1773" s="1" t="inlineStr">
        <is>
          <t>25/09/2025</t>
        </is>
      </c>
      <c r="E1773" s="1" t="n">
        <v>2025</v>
      </c>
      <c r="F1773" s="1" t="inlineStr">
        <is>
          <t>SEPTIEMBRE</t>
        </is>
      </c>
      <c r="G1773" s="1" t="inlineStr">
        <is>
          <t>HAIFENG</t>
        </is>
      </c>
      <c r="H1773" s="1" t="inlineStr">
        <is>
          <t>HAIFENG 25/09/2025</t>
        </is>
      </c>
      <c r="I1773" s="4" t="n">
        <v>2</v>
      </c>
      <c r="J1773" s="6" t="n">
        <v>7.5</v>
      </c>
      <c r="K1773" s="6" t="n">
        <v>158.2266433</v>
      </c>
      <c r="L1773" s="6">
        <f>I1773*K1773</f>
        <v/>
      </c>
      <c r="M1773" s="6">
        <f>K1773*4</f>
        <v/>
      </c>
      <c r="N1773" s="6" t="n">
        <v>650</v>
      </c>
    </row>
    <row r="1774">
      <c r="A1774" s="1" t="inlineStr">
        <is>
          <t>47396161022509</t>
        </is>
      </c>
      <c r="B1774" s="1" t="inlineStr">
        <is>
          <t>ANILLO JUSTE UN CLOU GOLD CON ZIRCONIA</t>
        </is>
      </c>
      <c r="C1774" s="1" t="inlineStr">
        <is>
          <t>7</t>
        </is>
      </c>
      <c r="D1774" s="1" t="inlineStr">
        <is>
          <t>20/01/2026</t>
        </is>
      </c>
      <c r="E1774" s="1" t="n">
        <v>2026</v>
      </c>
      <c r="F1774" s="1" t="inlineStr">
        <is>
          <t>ENERO</t>
        </is>
      </c>
      <c r="G1774" s="1" t="inlineStr">
        <is>
          <t>HAIFENG</t>
        </is>
      </c>
      <c r="H1774" s="1" t="inlineStr">
        <is>
          <t>HAIFENG 20/01/2026</t>
        </is>
      </c>
      <c r="I1774" s="4" t="n">
        <v>1</v>
      </c>
      <c r="J1774" s="6" t="n">
        <v>7.5</v>
      </c>
      <c r="K1774" s="6" t="n">
        <v>159.0031334</v>
      </c>
      <c r="L1774" s="6">
        <f>I1774*K1774</f>
        <v/>
      </c>
      <c r="M1774" s="6">
        <f>K1774*4</f>
        <v/>
      </c>
      <c r="N1774" s="6" t="n">
        <v>650</v>
      </c>
    </row>
    <row r="1775">
      <c r="A1775" s="1" t="inlineStr">
        <is>
          <t>47396161022509</t>
        </is>
      </c>
      <c r="B1775" s="1" t="inlineStr">
        <is>
          <t>ANILLO CLAVO SPIRAL GOLD CON ZIRCONIA</t>
        </is>
      </c>
      <c r="C1775" s="1" t="inlineStr">
        <is>
          <t>7</t>
        </is>
      </c>
      <c r="D1775" s="1" t="inlineStr">
        <is>
          <t>26/05/2026</t>
        </is>
      </c>
      <c r="E1775" s="1" t="n">
        <v>2026</v>
      </c>
      <c r="F1775" s="1" t="inlineStr">
        <is>
          <t>MAYO</t>
        </is>
      </c>
      <c r="G1775" s="1" t="inlineStr">
        <is>
          <t>HAIFENG</t>
        </is>
      </c>
      <c r="H1775" s="1" t="inlineStr">
        <is>
          <t>HAIFENG 26/05/2026</t>
        </is>
      </c>
      <c r="I1775" s="4" t="n">
        <v>2</v>
      </c>
      <c r="J1775" s="6" t="n">
        <v>7.5</v>
      </c>
      <c r="K1775" s="6" t="n">
        <v>157.4197147</v>
      </c>
      <c r="L1775" s="6">
        <f>I1775*K1775</f>
        <v/>
      </c>
      <c r="M1775" s="6">
        <f>K1775*4</f>
        <v/>
      </c>
      <c r="N1775" s="6" t="n">
        <v>650</v>
      </c>
    </row>
    <row r="1776">
      <c r="A1776" s="1" t="inlineStr">
        <is>
          <t>47685114092812</t>
        </is>
      </c>
      <c r="B1776" s="1" t="inlineStr">
        <is>
          <t>TRAJE DE BAÑO CD</t>
        </is>
      </c>
      <c r="C1776" s="1" t="inlineStr">
        <is>
          <t>S</t>
        </is>
      </c>
      <c r="D1776" s="1" t="inlineStr">
        <is>
          <t>15/05/2026</t>
        </is>
      </c>
      <c r="E1776" s="1" t="n">
        <v>2026</v>
      </c>
      <c r="F1776" s="1" t="inlineStr">
        <is>
          <t>MAYO</t>
        </is>
      </c>
      <c r="G1776" s="1" t="inlineStr">
        <is>
          <t>ZOEY</t>
        </is>
      </c>
      <c r="H1776" s="1" t="inlineStr">
        <is>
          <t>ZOEY 15/05/2026</t>
        </is>
      </c>
      <c r="I1776" s="4" t="n">
        <v>1</v>
      </c>
      <c r="J1776" s="6" t="n">
        <v>25</v>
      </c>
      <c r="K1776" s="6" t="n">
        <v>662.6156122</v>
      </c>
      <c r="L1776" s="6">
        <f>I1776*K1776</f>
        <v/>
      </c>
      <c r="M1776" s="6">
        <f>K1776*4</f>
        <v/>
      </c>
      <c r="N1776" s="6" t="n">
        <v>2659</v>
      </c>
    </row>
    <row r="1777">
      <c r="A1777" s="1" t="inlineStr">
        <is>
          <t>47685124125580</t>
        </is>
      </c>
      <c r="B1777" s="1" t="inlineStr">
        <is>
          <t>TRAJE DE BAÑO CD</t>
        </is>
      </c>
      <c r="C1777" s="1" t="inlineStr">
        <is>
          <t>M</t>
        </is>
      </c>
      <c r="D1777" s="1" t="inlineStr">
        <is>
          <t>20/01/2026</t>
        </is>
      </c>
      <c r="E1777" s="1" t="n">
        <v>2026</v>
      </c>
      <c r="F1777" s="1" t="inlineStr">
        <is>
          <t>ENERO</t>
        </is>
      </c>
      <c r="G1777" s="1" t="inlineStr">
        <is>
          <t>ZOEY</t>
        </is>
      </c>
      <c r="H1777" s="1" t="inlineStr">
        <is>
          <t>ZOEY 20/01/2026</t>
        </is>
      </c>
      <c r="I1777" s="4" t="n">
        <v>2</v>
      </c>
      <c r="J1777" s="6" t="n">
        <v>25</v>
      </c>
      <c r="K1777" s="6" t="n">
        <v>650.7899842</v>
      </c>
      <c r="L1777" s="6">
        <f>I1777*K1777</f>
        <v/>
      </c>
      <c r="M1777" s="6">
        <f>K1777*4</f>
        <v/>
      </c>
      <c r="N1777" s="6" t="n">
        <v>2659</v>
      </c>
    </row>
    <row r="1778">
      <c r="A1778" s="1" t="inlineStr">
        <is>
          <t>47685124125580</t>
        </is>
      </c>
      <c r="B1778" s="1" t="inlineStr">
        <is>
          <t>TRAJE DE BAÑO CD</t>
        </is>
      </c>
      <c r="C1778" s="1" t="inlineStr">
        <is>
          <t>M</t>
        </is>
      </c>
      <c r="D1778" s="1" t="inlineStr">
        <is>
          <t>15/05/2026</t>
        </is>
      </c>
      <c r="E1778" s="1" t="n">
        <v>2026</v>
      </c>
      <c r="F1778" s="1" t="inlineStr">
        <is>
          <t>MAYO</t>
        </is>
      </c>
      <c r="G1778" s="1" t="inlineStr">
        <is>
          <t>ZOEY</t>
        </is>
      </c>
      <c r="H1778" s="1" t="inlineStr">
        <is>
          <t>ZOEY 15/05/2026</t>
        </is>
      </c>
      <c r="I1778" s="4" t="n">
        <v>2</v>
      </c>
      <c r="J1778" s="6" t="n">
        <v>25</v>
      </c>
      <c r="K1778" s="6" t="n">
        <v>662.6156122</v>
      </c>
      <c r="L1778" s="6">
        <f>I1778*K1778</f>
        <v/>
      </c>
      <c r="M1778" s="6">
        <f>K1778*4</f>
        <v/>
      </c>
      <c r="N1778" s="6" t="n">
        <v>2659</v>
      </c>
    </row>
    <row r="1779">
      <c r="A1779" s="1" t="inlineStr">
        <is>
          <t>47685124125580</t>
        </is>
      </c>
      <c r="B1779" s="1" t="inlineStr">
        <is>
          <t>TRAJE DE BAÑO CD</t>
        </is>
      </c>
      <c r="C1779" s="1" t="inlineStr">
        <is>
          <t>M</t>
        </is>
      </c>
      <c r="D1779" s="1" t="inlineStr">
        <is>
          <t>08/06/2026</t>
        </is>
      </c>
      <c r="E1779" s="1" t="n">
        <v>2026</v>
      </c>
      <c r="F1779" s="1" t="inlineStr">
        <is>
          <t>JUNIO</t>
        </is>
      </c>
      <c r="G1779" s="1" t="inlineStr">
        <is>
          <t>ZOEY</t>
        </is>
      </c>
      <c r="H1779" s="1" t="inlineStr">
        <is>
          <t>ZOEY 08/06/2026</t>
        </is>
      </c>
      <c r="I1779" s="4" t="n">
        <v>3</v>
      </c>
      <c r="J1779" s="6" t="n">
        <v>25</v>
      </c>
      <c r="K1779" s="6" t="n">
        <v>612.7859114</v>
      </c>
      <c r="L1779" s="6">
        <f>I1779*K1779</f>
        <v/>
      </c>
      <c r="M1779" s="6">
        <f>K1779*4</f>
        <v/>
      </c>
      <c r="N1779" s="6" t="n">
        <v>2499</v>
      </c>
    </row>
    <row r="1780">
      <c r="A1780" s="1" t="inlineStr">
        <is>
          <t>47754352942988</t>
        </is>
      </c>
      <c r="B1780" s="1" t="inlineStr">
        <is>
          <t>TARJETERO CD FREESIA</t>
        </is>
      </c>
      <c r="C1780" s="1" t="inlineStr">
        <is>
          <t>10cm x 7.5cm</t>
        </is>
      </c>
      <c r="D1780" s="1" t="inlineStr">
        <is>
          <t>01/09/2025</t>
        </is>
      </c>
      <c r="E1780" s="1" t="n">
        <v>2025</v>
      </c>
      <c r="F1780" s="1" t="inlineStr">
        <is>
          <t>SEPTIEMBRE</t>
        </is>
      </c>
      <c r="G1780" s="1" t="inlineStr">
        <is>
          <t>ZOEY</t>
        </is>
      </c>
      <c r="H1780" s="1" t="inlineStr">
        <is>
          <t>ZOEY 01/09/2025</t>
        </is>
      </c>
      <c r="I1780" s="4" t="n">
        <v>3</v>
      </c>
      <c r="J1780" s="6" t="n">
        <v>13</v>
      </c>
      <c r="K1780" s="6" t="n">
        <v>326.5319799</v>
      </c>
      <c r="L1780" s="6">
        <f>I1780*K1780</f>
        <v/>
      </c>
      <c r="M1780" s="6">
        <f>K1780*4</f>
        <v/>
      </c>
      <c r="N1780" s="6" t="n">
        <v>1199</v>
      </c>
    </row>
    <row r="1781">
      <c r="A1781" s="1" t="inlineStr">
        <is>
          <t>47861321014669</t>
        </is>
      </c>
      <c r="B1781" s="1" t="inlineStr">
        <is>
          <t>ANILLO PANTHERE BIG GOLD C</t>
        </is>
      </c>
      <c r="C1781" s="1" t="inlineStr">
        <is>
          <t>Default Title</t>
        </is>
      </c>
      <c r="D1781" s="1" t="inlineStr">
        <is>
          <t>11/11/2025</t>
        </is>
      </c>
      <c r="E1781" s="1" t="n">
        <v>2025</v>
      </c>
      <c r="F1781" s="1" t="inlineStr">
        <is>
          <t>NOVIEMBRE</t>
        </is>
      </c>
      <c r="G1781" s="1" t="inlineStr">
        <is>
          <t>HAIFENG</t>
        </is>
      </c>
      <c r="H1781" s="1" t="inlineStr">
        <is>
          <t>HAIFENG 11/11/2025</t>
        </is>
      </c>
      <c r="I1781" s="4" t="n">
        <v>4</v>
      </c>
      <c r="J1781" s="6" t="n">
        <v>9</v>
      </c>
      <c r="K1781" s="6" t="n">
        <v>189.544486</v>
      </c>
      <c r="L1781" s="6">
        <f>I1781*K1781</f>
        <v/>
      </c>
      <c r="M1781" s="6">
        <f>K1781*4</f>
        <v/>
      </c>
      <c r="N1781" s="6" t="n">
        <v>750</v>
      </c>
    </row>
    <row r="1782">
      <c r="A1782" s="1" t="inlineStr">
        <is>
          <t>47861321014669</t>
        </is>
      </c>
      <c r="B1782" s="1" t="inlineStr">
        <is>
          <t>ANILLO PANTHERE BIG GOLD C</t>
        </is>
      </c>
      <c r="C1782" s="1" t="inlineStr">
        <is>
          <t>Default Title</t>
        </is>
      </c>
      <c r="D1782" s="1" t="inlineStr">
        <is>
          <t>03/12/2025</t>
        </is>
      </c>
      <c r="E1782" s="1" t="n">
        <v>2025</v>
      </c>
      <c r="F1782" s="1" t="inlineStr">
        <is>
          <t>DICIEMBRE</t>
        </is>
      </c>
      <c r="G1782" s="1" t="inlineStr">
        <is>
          <t>HAIFENG</t>
        </is>
      </c>
      <c r="H1782" s="1" t="inlineStr">
        <is>
          <t>HAIFENG 03/12/2025</t>
        </is>
      </c>
      <c r="I1782" s="4" t="n">
        <v>2</v>
      </c>
      <c r="J1782" s="6" t="n">
        <v>9</v>
      </c>
      <c r="K1782" s="6" t="n">
        <v>188.2544401</v>
      </c>
      <c r="L1782" s="6">
        <f>I1782*K1782</f>
        <v/>
      </c>
      <c r="M1782" s="6">
        <f>K1782*4</f>
        <v/>
      </c>
      <c r="N1782" s="6" t="n">
        <v>750</v>
      </c>
    </row>
    <row r="1783">
      <c r="A1783" s="1" t="inlineStr">
        <is>
          <t>47861321014669</t>
        </is>
      </c>
      <c r="B1783" s="1" t="inlineStr">
        <is>
          <t>ANILLO PANTHERE BIG GOLD C</t>
        </is>
      </c>
      <c r="C1783" s="1" t="inlineStr">
        <is>
          <t>8</t>
        </is>
      </c>
      <c r="D1783" s="1" t="inlineStr">
        <is>
          <t>10/02/2026</t>
        </is>
      </c>
      <c r="E1783" s="1" t="n">
        <v>2026</v>
      </c>
      <c r="F1783" s="1" t="inlineStr">
        <is>
          <t>FEBRERO</t>
        </is>
      </c>
      <c r="G1783" s="1" t="inlineStr">
        <is>
          <t>HAIFENG</t>
        </is>
      </c>
      <c r="H1783" s="1" t="inlineStr">
        <is>
          <t>HAIFENG 10/02/2026</t>
        </is>
      </c>
      <c r="I1783" s="4" t="n">
        <v>3</v>
      </c>
      <c r="J1783" s="6" t="n">
        <v>9</v>
      </c>
      <c r="K1783" s="6" t="n">
        <v>189.6164646</v>
      </c>
      <c r="L1783" s="6">
        <f>I1783*K1783</f>
        <v/>
      </c>
      <c r="M1783" s="6">
        <f>K1783*4</f>
        <v/>
      </c>
      <c r="N1783" s="6" t="n">
        <v>750</v>
      </c>
    </row>
    <row r="1784">
      <c r="A1784" s="1" t="inlineStr">
        <is>
          <t>48321436441740</t>
        </is>
      </c>
      <c r="B1784" s="1" t="inlineStr">
        <is>
          <t>PERFUME CC No 5</t>
        </is>
      </c>
      <c r="C1784" s="1" t="inlineStr">
        <is>
          <t>100ml</t>
        </is>
      </c>
      <c r="D1784" s="1" t="inlineStr">
        <is>
          <t>02/03/2026</t>
        </is>
      </c>
      <c r="E1784" s="1" t="n">
        <v>2026</v>
      </c>
      <c r="F1784" s="1" t="inlineStr">
        <is>
          <t>MARZO</t>
        </is>
      </c>
      <c r="G1784" s="1" t="inlineStr">
        <is>
          <t>ZOEY</t>
        </is>
      </c>
      <c r="H1784" s="1" t="inlineStr">
        <is>
          <t>ZOEY 02/03/2026</t>
        </is>
      </c>
      <c r="I1784" s="4" t="n">
        <v>1</v>
      </c>
      <c r="J1784" s="6" t="n">
        <v>18</v>
      </c>
      <c r="K1784" s="6" t="n">
        <v>472.985563</v>
      </c>
      <c r="L1784" s="6">
        <f>I1784*K1784</f>
        <v/>
      </c>
      <c r="M1784" s="6">
        <f>K1784*4</f>
        <v/>
      </c>
      <c r="N1784" s="6" t="n">
        <v>1899</v>
      </c>
    </row>
    <row r="1785">
      <c r="A1785" s="1" t="inlineStr">
        <is>
          <t>48321437841036</t>
        </is>
      </c>
      <c r="B1785" s="1" t="inlineStr">
        <is>
          <t>PERFUME SAUVAGE</t>
        </is>
      </c>
      <c r="C1785" s="1" t="inlineStr">
        <is>
          <t>100ml</t>
        </is>
      </c>
      <c r="D1785" s="1" t="inlineStr">
        <is>
          <t>01/09/2025</t>
        </is>
      </c>
      <c r="E1785" s="1" t="n">
        <v>2025</v>
      </c>
      <c r="F1785" s="1" t="inlineStr">
        <is>
          <t>SEPTIEMBRE</t>
        </is>
      </c>
      <c r="G1785" s="1" t="inlineStr">
        <is>
          <t>ZOEY</t>
        </is>
      </c>
      <c r="H1785" s="1" t="inlineStr">
        <is>
          <t>ZOEY 01/09/2025</t>
        </is>
      </c>
      <c r="I1785" s="4" t="n">
        <v>2</v>
      </c>
      <c r="J1785" s="6" t="n">
        <v>18</v>
      </c>
      <c r="K1785" s="6" t="n">
        <v>452.1212029</v>
      </c>
      <c r="L1785" s="6">
        <f>I1785*K1785</f>
        <v/>
      </c>
      <c r="M1785" s="6">
        <f>K1785*4</f>
        <v/>
      </c>
      <c r="N1785" s="6" t="n">
        <v>1235</v>
      </c>
    </row>
    <row r="1786">
      <c r="A1786" s="1" t="inlineStr">
        <is>
          <t>48321437841036</t>
        </is>
      </c>
      <c r="B1786" s="1" t="inlineStr">
        <is>
          <t>PERFUME SAUVAGE</t>
        </is>
      </c>
      <c r="C1786" s="1" t="inlineStr">
        <is>
          <t>100ml</t>
        </is>
      </c>
      <c r="D1786" s="1" t="inlineStr">
        <is>
          <t>15/05/2026</t>
        </is>
      </c>
      <c r="E1786" s="1" t="n">
        <v>2026</v>
      </c>
      <c r="F1786" s="1" t="inlineStr">
        <is>
          <t>MAYO</t>
        </is>
      </c>
      <c r="G1786" s="1" t="inlineStr">
        <is>
          <t>ZOEY</t>
        </is>
      </c>
      <c r="H1786" s="1" t="inlineStr">
        <is>
          <t>ZOEY 15/05/2026</t>
        </is>
      </c>
      <c r="I1786" s="4" t="n">
        <v>3</v>
      </c>
      <c r="J1786" s="6" t="n">
        <v>18</v>
      </c>
      <c r="K1786" s="6" t="n">
        <v>477.0832408</v>
      </c>
      <c r="L1786" s="6">
        <f>I1786*K1786</f>
        <v/>
      </c>
      <c r="M1786" s="6">
        <f>K1786*4</f>
        <v/>
      </c>
      <c r="N1786" s="6" t="n">
        <v>1910</v>
      </c>
    </row>
    <row r="1787">
      <c r="A1787" s="1" t="inlineStr">
        <is>
          <t>48321439631756</t>
        </is>
      </c>
      <c r="B1787" s="1" t="inlineStr">
        <is>
          <t>PERFUME TF LOST CHERRY</t>
        </is>
      </c>
      <c r="C1787" s="1" t="inlineStr">
        <is>
          <t>100ml</t>
        </is>
      </c>
      <c r="D1787" s="1" t="inlineStr">
        <is>
          <t>25/10/2025</t>
        </is>
      </c>
      <c r="E1787" s="1" t="n">
        <v>2025</v>
      </c>
      <c r="F1787" s="1" t="inlineStr">
        <is>
          <t>OCTUBRE</t>
        </is>
      </c>
      <c r="G1787" s="1" t="inlineStr">
        <is>
          <t>ZOEY</t>
        </is>
      </c>
      <c r="H1787" s="1" t="inlineStr">
        <is>
          <t>ZOEY 25/10/2025</t>
        </is>
      </c>
      <c r="I1787" s="4" t="n">
        <v>2</v>
      </c>
      <c r="J1787" s="6" t="n">
        <v>18</v>
      </c>
      <c r="K1787" s="6" t="n">
        <v>446.4019675</v>
      </c>
      <c r="L1787" s="6">
        <f>I1787*K1787</f>
        <v/>
      </c>
      <c r="M1787" s="6">
        <f>K1787*4</f>
        <v/>
      </c>
      <c r="N1787" s="6" t="n">
        <v>1599</v>
      </c>
    </row>
    <row r="1788">
      <c r="A1788" s="1" t="inlineStr">
        <is>
          <t>48321439631756</t>
        </is>
      </c>
      <c r="B1788" s="1" t="inlineStr">
        <is>
          <t>PERFUME TF LOST CHERRY</t>
        </is>
      </c>
      <c r="C1788" s="1" t="inlineStr">
        <is>
          <t>100ml</t>
        </is>
      </c>
      <c r="D1788" s="1" t="inlineStr">
        <is>
          <t>20/01/2026</t>
        </is>
      </c>
      <c r="E1788" s="1" t="n">
        <v>2026</v>
      </c>
      <c r="F1788" s="1" t="inlineStr">
        <is>
          <t>ENERO</t>
        </is>
      </c>
      <c r="G1788" s="1" t="inlineStr">
        <is>
          <t>ZOEY</t>
        </is>
      </c>
      <c r="H1788" s="1" t="inlineStr">
        <is>
          <t>ZOEY 20/01/2026</t>
        </is>
      </c>
      <c r="I1788" s="4" t="n">
        <v>3</v>
      </c>
      <c r="J1788" s="6" t="n">
        <v>18</v>
      </c>
      <c r="K1788" s="6" t="n">
        <v>468.5687886</v>
      </c>
      <c r="L1788" s="6">
        <f>I1788*K1788</f>
        <v/>
      </c>
      <c r="M1788" s="6">
        <f>K1788*4</f>
        <v/>
      </c>
      <c r="N1788" s="6" t="n">
        <v>1910</v>
      </c>
    </row>
    <row r="1789">
      <c r="A1789" s="1" t="inlineStr">
        <is>
          <t>48321439631756</t>
        </is>
      </c>
      <c r="B1789" s="1" t="inlineStr">
        <is>
          <t>PERFUME TF LOST CHERRY</t>
        </is>
      </c>
      <c r="C1789" s="1" t="inlineStr">
        <is>
          <t>100ml</t>
        </is>
      </c>
      <c r="D1789" s="1" t="inlineStr">
        <is>
          <t>19/03/2026</t>
        </is>
      </c>
      <c r="E1789" s="1" t="n">
        <v>2026</v>
      </c>
      <c r="F1789" s="1" t="inlineStr">
        <is>
          <t>MARZO</t>
        </is>
      </c>
      <c r="G1789" s="1" t="inlineStr">
        <is>
          <t>ZOEY</t>
        </is>
      </c>
      <c r="H1789" s="1" t="inlineStr">
        <is>
          <t>ZOEY 19/03/2026</t>
        </is>
      </c>
      <c r="I1789" s="4" t="n">
        <v>4</v>
      </c>
      <c r="J1789" s="6" t="n">
        <v>18</v>
      </c>
      <c r="K1789" s="6" t="n">
        <v>464.076893</v>
      </c>
      <c r="L1789" s="6">
        <f>I1789*K1789</f>
        <v/>
      </c>
      <c r="M1789" s="6">
        <f>K1789*4</f>
        <v/>
      </c>
      <c r="N1789" s="6" t="n">
        <v>1910</v>
      </c>
    </row>
    <row r="1790">
      <c r="A1790" s="1" t="inlineStr">
        <is>
          <t>48321439631756</t>
        </is>
      </c>
      <c r="B1790" s="1" t="inlineStr">
        <is>
          <t>PERFUME TF LOST CHERRY</t>
        </is>
      </c>
      <c r="C1790" s="1" t="inlineStr">
        <is>
          <t>100ml</t>
        </is>
      </c>
      <c r="D1790" s="1" t="inlineStr">
        <is>
          <t>15/05/2026</t>
        </is>
      </c>
      <c r="E1790" s="1" t="n">
        <v>2026</v>
      </c>
      <c r="F1790" s="1" t="inlineStr">
        <is>
          <t>MAYO</t>
        </is>
      </c>
      <c r="G1790" s="1" t="inlineStr">
        <is>
          <t>ZOEY</t>
        </is>
      </c>
      <c r="H1790" s="1" t="inlineStr">
        <is>
          <t>ZOEY 15/05/2026</t>
        </is>
      </c>
      <c r="I1790" s="4" t="n">
        <v>2</v>
      </c>
      <c r="J1790" s="6" t="n">
        <v>18</v>
      </c>
      <c r="K1790" s="6" t="n">
        <v>477.0832408</v>
      </c>
      <c r="L1790" s="6">
        <f>I1790*K1790</f>
        <v/>
      </c>
      <c r="M1790" s="6">
        <f>K1790*4</f>
        <v/>
      </c>
      <c r="N1790" s="6" t="n">
        <v>1910</v>
      </c>
    </row>
    <row r="1791">
      <c r="A1791" s="1" t="inlineStr">
        <is>
          <t>48321439631756</t>
        </is>
      </c>
      <c r="B1791" s="1" t="inlineStr">
        <is>
          <t>PERFUME TF LOST CHERRY</t>
        </is>
      </c>
      <c r="C1791" s="1" t="inlineStr">
        <is>
          <t>Default Title</t>
        </is>
      </c>
      <c r="D1791" s="1" t="inlineStr">
        <is>
          <t>08/06/2026</t>
        </is>
      </c>
      <c r="E1791" s="1" t="n">
        <v>2026</v>
      </c>
      <c r="F1791" s="1" t="inlineStr">
        <is>
          <t>JUNIO</t>
        </is>
      </c>
      <c r="G1791" s="1" t="inlineStr">
        <is>
          <t>ZOEY</t>
        </is>
      </c>
      <c r="H1791" s="1" t="inlineStr">
        <is>
          <t>ZOEY 08/06/2026</t>
        </is>
      </c>
      <c r="I1791" s="4" t="n">
        <v>1</v>
      </c>
      <c r="J1791" s="6" t="n">
        <v>18</v>
      </c>
      <c r="K1791" s="6" t="n">
        <v>441.2058562</v>
      </c>
      <c r="L1791" s="6">
        <f>I1791*K1791</f>
        <v/>
      </c>
      <c r="M1791" s="6">
        <f>K1791*4</f>
        <v/>
      </c>
      <c r="N1791" s="6" t="n">
        <v>1910</v>
      </c>
    </row>
    <row r="1792">
      <c r="A1792" s="1" t="inlineStr">
        <is>
          <t>48915671011501</t>
        </is>
      </c>
      <c r="B1792" s="1" t="inlineStr">
        <is>
          <t>CAMISETA CD OBLIQUE BLACK</t>
        </is>
      </c>
      <c r="C1792" s="1" t="inlineStr">
        <is>
          <t>L OVERSIZE</t>
        </is>
      </c>
      <c r="D1792" s="1" t="inlineStr">
        <is>
          <t>02/10/2025</t>
        </is>
      </c>
      <c r="E1792" s="1" t="n">
        <v>2025</v>
      </c>
      <c r="F1792" s="1" t="inlineStr">
        <is>
          <t>OCTUBRE</t>
        </is>
      </c>
      <c r="G1792" s="1" t="inlineStr">
        <is>
          <t>ZOEY</t>
        </is>
      </c>
      <c r="H1792" s="1" t="inlineStr">
        <is>
          <t>ZOEY 02/10/2025</t>
        </is>
      </c>
      <c r="I1792" s="4" t="n">
        <v>4</v>
      </c>
      <c r="J1792" s="6" t="n">
        <v>10</v>
      </c>
      <c r="K1792" s="6" t="n">
        <v>236.23936</v>
      </c>
      <c r="L1792" s="6">
        <f>I1792*K1792</f>
        <v/>
      </c>
      <c r="M1792" s="6">
        <f>K1792*4</f>
        <v/>
      </c>
      <c r="N1792" s="6" t="n">
        <v>2250</v>
      </c>
    </row>
    <row r="1793">
      <c r="A1793" s="1" t="inlineStr">
        <is>
          <t>48915671011501</t>
        </is>
      </c>
      <c r="B1793" s="1" t="inlineStr">
        <is>
          <t>CAMISETA CD OBLIQUE BLACK</t>
        </is>
      </c>
      <c r="C1793" s="1" t="inlineStr">
        <is>
          <t>L OVERSIZE</t>
        </is>
      </c>
      <c r="D1793" s="1" t="inlineStr">
        <is>
          <t>20/04/2026</t>
        </is>
      </c>
      <c r="E1793" s="1" t="n">
        <v>2026</v>
      </c>
      <c r="F1793" s="1" t="inlineStr">
        <is>
          <t>ABRIL</t>
        </is>
      </c>
      <c r="G1793" s="1" t="inlineStr">
        <is>
          <t>ZOEY</t>
        </is>
      </c>
      <c r="H1793" s="1" t="inlineStr">
        <is>
          <t>ZOEY 20/04/2026</t>
        </is>
      </c>
      <c r="I1793" s="4" t="n">
        <v>1</v>
      </c>
      <c r="J1793" s="6" t="n">
        <v>27</v>
      </c>
      <c r="K1793" s="6" t="n">
        <v>691.4370151000001</v>
      </c>
      <c r="L1793" s="6">
        <f>I1793*K1793</f>
        <v/>
      </c>
      <c r="M1793" s="6">
        <f>K1793*4</f>
        <v/>
      </c>
      <c r="N1793" s="6" t="n">
        <v>2769</v>
      </c>
    </row>
    <row r="1794">
      <c r="A1794" s="1" t="inlineStr">
        <is>
          <t>48915671144269</t>
        </is>
      </c>
      <c r="B1794" s="1" t="n"/>
      <c r="C1794" s="1" t="inlineStr">
        <is>
          <t>M OVERSIZE</t>
        </is>
      </c>
      <c r="D1794" s="1" t="inlineStr">
        <is>
          <t>02/10/2025</t>
        </is>
      </c>
      <c r="E1794" s="1" t="n">
        <v>2025</v>
      </c>
      <c r="F1794" s="1" t="inlineStr">
        <is>
          <t>OCTUBRE</t>
        </is>
      </c>
      <c r="G1794" s="1" t="inlineStr">
        <is>
          <t>ZOEY</t>
        </is>
      </c>
      <c r="H1794" s="1" t="inlineStr">
        <is>
          <t>ZOEY 02/10/2025</t>
        </is>
      </c>
      <c r="I1794" s="4" t="n">
        <v>2</v>
      </c>
      <c r="J1794" s="6" t="n">
        <v>27</v>
      </c>
      <c r="K1794" s="6" t="n">
        <v>637.846272</v>
      </c>
      <c r="L1794" s="6">
        <f>I1794*K1794</f>
        <v/>
      </c>
      <c r="M1794" s="6">
        <f>K1794*4</f>
        <v/>
      </c>
      <c r="N1794" s="6" t="n">
        <v>2250</v>
      </c>
    </row>
    <row r="1795">
      <c r="A1795" s="1" t="inlineStr">
        <is>
          <t>48915671144269</t>
        </is>
      </c>
      <c r="B1795" s="1" t="inlineStr">
        <is>
          <t>CAMISETA CD OBLIQUE BLACK</t>
        </is>
      </c>
      <c r="C1795" s="1" t="inlineStr">
        <is>
          <t>M</t>
        </is>
      </c>
      <c r="D1795" s="1" t="inlineStr">
        <is>
          <t>02/03/2026</t>
        </is>
      </c>
      <c r="E1795" s="1" t="n">
        <v>2026</v>
      </c>
      <c r="F1795" s="1" t="inlineStr">
        <is>
          <t>MARZO</t>
        </is>
      </c>
      <c r="G1795" s="1" t="inlineStr">
        <is>
          <t>ZOEY</t>
        </is>
      </c>
      <c r="H1795" s="1" t="inlineStr">
        <is>
          <t>ZOEY 02/03/2026</t>
        </is>
      </c>
      <c r="I1795" s="4" t="n">
        <v>1</v>
      </c>
      <c r="J1795" s="6" t="n">
        <v>27</v>
      </c>
      <c r="K1795" s="6" t="n">
        <v>709.4783445</v>
      </c>
      <c r="L1795" s="6">
        <f>I1795*K1795</f>
        <v/>
      </c>
      <c r="M1795" s="6">
        <f>K1795*4</f>
        <v/>
      </c>
      <c r="N1795" s="6" t="n">
        <v>2769</v>
      </c>
    </row>
    <row r="1796">
      <c r="A1796" s="1" t="inlineStr">
        <is>
          <t>48915671144269</t>
        </is>
      </c>
      <c r="B1796" s="1" t="inlineStr">
        <is>
          <t>CAMISETA CD OBLIQUE BLACK</t>
        </is>
      </c>
      <c r="C1796" s="1" t="inlineStr">
        <is>
          <t>M OVERSIZE</t>
        </is>
      </c>
      <c r="D1796" s="1" t="inlineStr">
        <is>
          <t>20/04/2026</t>
        </is>
      </c>
      <c r="E1796" s="1" t="n">
        <v>2026</v>
      </c>
      <c r="F1796" s="1" t="inlineStr">
        <is>
          <t>ABRIL</t>
        </is>
      </c>
      <c r="G1796" s="1" t="inlineStr">
        <is>
          <t>ZOEY</t>
        </is>
      </c>
      <c r="H1796" s="1" t="inlineStr">
        <is>
          <t>ZOEY 20/04/2026</t>
        </is>
      </c>
      <c r="I1796" s="4" t="n">
        <v>1</v>
      </c>
      <c r="J1796" s="6" t="n">
        <v>27</v>
      </c>
      <c r="K1796" s="6" t="n">
        <v>691.4370151000001</v>
      </c>
      <c r="L1796" s="6">
        <f>I1796*K1796</f>
        <v/>
      </c>
      <c r="M1796" s="6">
        <f>K1796*4</f>
        <v/>
      </c>
      <c r="N1796" s="6" t="n">
        <v>2769</v>
      </c>
    </row>
    <row r="1797">
      <c r="A1797" s="1" t="inlineStr">
        <is>
          <t>49680571041677</t>
        </is>
      </c>
      <c r="B1797" s="1" t="inlineStr">
        <is>
          <t>ARETES BV ROUND SILVER CON ZIRCONIA</t>
        </is>
      </c>
      <c r="C1797" s="1" t="inlineStr">
        <is>
          <t>Default Title</t>
        </is>
      </c>
      <c r="D1797" s="1" t="inlineStr">
        <is>
          <t>25/09/2025</t>
        </is>
      </c>
      <c r="E1797" s="1" t="n">
        <v>2025</v>
      </c>
      <c r="F1797" s="1" t="inlineStr">
        <is>
          <t>SEPTIEMBRE</t>
        </is>
      </c>
      <c r="G1797" s="1" t="inlineStr">
        <is>
          <t>HAIFENG</t>
        </is>
      </c>
      <c r="H1797" s="1" t="inlineStr">
        <is>
          <t>HAIFENG 25/09/2025</t>
        </is>
      </c>
      <c r="I1797" s="4" t="n">
        <v>3</v>
      </c>
      <c r="J1797" s="6" t="n">
        <v>7</v>
      </c>
      <c r="K1797" s="6" t="n">
        <v>147.6782004</v>
      </c>
      <c r="L1797" s="6">
        <f>I1797*K1797</f>
        <v/>
      </c>
      <c r="M1797" s="6">
        <f>K1797*4</f>
        <v/>
      </c>
      <c r="N1797" s="6" t="n">
        <v>576.8</v>
      </c>
    </row>
    <row r="1798">
      <c r="A1798" s="1" t="inlineStr">
        <is>
          <t>49680571041677</t>
        </is>
      </c>
      <c r="B1798" s="1" t="inlineStr">
        <is>
          <t>ARETES BV ROUND SILVER CON ZIRCONIA</t>
        </is>
      </c>
      <c r="C1798" s="1" t="inlineStr">
        <is>
          <t>Default Title</t>
        </is>
      </c>
      <c r="D1798" s="1" t="inlineStr">
        <is>
          <t>06/05/2026</t>
        </is>
      </c>
      <c r="E1798" s="1" t="n">
        <v>2026</v>
      </c>
      <c r="F1798" s="1" t="inlineStr">
        <is>
          <t>MAYO</t>
        </is>
      </c>
      <c r="G1798" s="1" t="inlineStr">
        <is>
          <t>HAIFENG</t>
        </is>
      </c>
      <c r="H1798" s="1" t="inlineStr">
        <is>
          <t>HAIFENG 06/05/2026</t>
        </is>
      </c>
      <c r="I1798" s="4" t="n">
        <v>3</v>
      </c>
      <c r="J1798" s="6" t="n">
        <v>7</v>
      </c>
      <c r="K1798" s="6" t="n">
        <v>148.5304959</v>
      </c>
      <c r="L1798" s="6">
        <f>I1798*K1798</f>
        <v/>
      </c>
      <c r="M1798" s="6">
        <f>K1798*4</f>
        <v/>
      </c>
      <c r="N1798" s="6" t="n">
        <v>576.8</v>
      </c>
    </row>
    <row r="1799">
      <c r="A1799" s="1" t="inlineStr">
        <is>
          <t>49975331055277</t>
        </is>
      </c>
      <c r="B1799" s="1" t="inlineStr">
        <is>
          <t>ANILLO JUSTE UN CLOU GOLD CON ZIRCONIA-8</t>
        </is>
      </c>
      <c r="C1799" s="1" t="n">
        <v>8</v>
      </c>
      <c r="D1799" s="1" t="inlineStr">
        <is>
          <t>25/09/2025</t>
        </is>
      </c>
      <c r="E1799" s="1" t="n">
        <v>2025</v>
      </c>
      <c r="F1799" s="1" t="inlineStr">
        <is>
          <t>SEPTIEMBRE</t>
        </is>
      </c>
      <c r="G1799" s="1" t="inlineStr">
        <is>
          <t>HAIFENG</t>
        </is>
      </c>
      <c r="H1799" s="1" t="inlineStr">
        <is>
          <t>HAIFENG 25/09/2025</t>
        </is>
      </c>
      <c r="I1799" s="4" t="n">
        <v>2</v>
      </c>
      <c r="J1799" s="6" t="n">
        <v>7.5</v>
      </c>
      <c r="K1799" s="6" t="n">
        <v>158.2266433</v>
      </c>
      <c r="L1799" s="6">
        <f>I1799*K1799</f>
        <v/>
      </c>
      <c r="M1799" s="6">
        <f>K1799*4</f>
        <v/>
      </c>
      <c r="N1799" s="6" t="n">
        <v>650</v>
      </c>
    </row>
    <row r="1800">
      <c r="A1800" s="1" t="inlineStr">
        <is>
          <t>49975331055277</t>
        </is>
      </c>
      <c r="B1800" s="1" t="inlineStr">
        <is>
          <t>ANILLO CLAVO SPIRAL GOLD CON ZIRCONIA</t>
        </is>
      </c>
      <c r="C1800" s="1" t="inlineStr">
        <is>
          <t>8</t>
        </is>
      </c>
      <c r="D1800" s="1" t="inlineStr">
        <is>
          <t>06/05/2026</t>
        </is>
      </c>
      <c r="E1800" s="1" t="n">
        <v>2026</v>
      </c>
      <c r="F1800" s="1" t="inlineStr">
        <is>
          <t>MAYO</t>
        </is>
      </c>
      <c r="G1800" s="1" t="inlineStr">
        <is>
          <t>HAIFENG</t>
        </is>
      </c>
      <c r="H1800" s="1" t="inlineStr">
        <is>
          <t>HAIFENG 06/05/2026</t>
        </is>
      </c>
      <c r="I1800" s="4" t="n">
        <v>2</v>
      </c>
      <c r="J1800" s="6" t="n">
        <v>7.5</v>
      </c>
      <c r="K1800" s="6" t="n">
        <v>159.139817</v>
      </c>
      <c r="L1800" s="6">
        <f>I1800*K1800</f>
        <v/>
      </c>
      <c r="M1800" s="6">
        <f>K1800*4</f>
        <v/>
      </c>
      <c r="N1800" s="6" t="n">
        <v>650</v>
      </c>
    </row>
    <row r="1801">
      <c r="A1801" s="1" t="inlineStr">
        <is>
          <t>50016841020461</t>
        </is>
      </c>
      <c r="B1801" s="1" t="inlineStr">
        <is>
          <t>COLLAR MSS MOVE UNO SILVER</t>
        </is>
      </c>
      <c r="C1801" s="1" t="inlineStr">
        <is>
          <t>Default Title</t>
        </is>
      </c>
      <c r="D1801" s="1" t="inlineStr">
        <is>
          <t>01/09/2025</t>
        </is>
      </c>
      <c r="E1801" s="1" t="n">
        <v>2025</v>
      </c>
      <c r="F1801" s="1" t="inlineStr">
        <is>
          <t>SEPTIEMBRE</t>
        </is>
      </c>
      <c r="G1801" s="1" t="inlineStr">
        <is>
          <t>HAIFENG</t>
        </is>
      </c>
      <c r="H1801" s="1" t="inlineStr">
        <is>
          <t>HAIFENG 01/09/2025</t>
        </is>
      </c>
      <c r="I1801" s="4" t="n">
        <v>3</v>
      </c>
      <c r="J1801" s="6" t="n">
        <v>8</v>
      </c>
      <c r="K1801" s="6" t="n">
        <v>170.0453685</v>
      </c>
      <c r="L1801" s="6">
        <f>I1801*K1801</f>
        <v/>
      </c>
      <c r="M1801" s="6">
        <f>K1801*4</f>
        <v/>
      </c>
      <c r="N1801" s="6" t="n">
        <v>659.2</v>
      </c>
    </row>
    <row r="1802">
      <c r="A1802" s="1" t="inlineStr">
        <is>
          <t>50328871088397</t>
        </is>
      </c>
      <c r="B1802" s="1" t="inlineStr">
        <is>
          <t>ANILLO PERLEE SILVER</t>
        </is>
      </c>
      <c r="C1802" s="1" t="n">
        <v>9</v>
      </c>
      <c r="D1802" s="1" t="inlineStr">
        <is>
          <t>09/07/2026</t>
        </is>
      </c>
      <c r="E1802" s="1" t="n">
        <v>2026</v>
      </c>
      <c r="F1802" s="1" t="inlineStr">
        <is>
          <t>JULIO</t>
        </is>
      </c>
      <c r="G1802" s="1" t="inlineStr">
        <is>
          <t>NANCY</t>
        </is>
      </c>
      <c r="H1802" s="1" t="inlineStr">
        <is>
          <t>NANCY 09/07/2026</t>
        </is>
      </c>
      <c r="I1802" s="4" t="n">
        <v>3</v>
      </c>
      <c r="J1802" s="6" t="n">
        <v>5.59</v>
      </c>
      <c r="K1802" s="6" t="n">
        <v>136.2029957</v>
      </c>
      <c r="L1802" s="6">
        <f>I1802*K1802</f>
        <v/>
      </c>
      <c r="M1802" s="6">
        <f>K1802*4</f>
        <v/>
      </c>
      <c r="N1802" s="6" t="n">
        <v>499</v>
      </c>
    </row>
    <row r="1803">
      <c r="A1803" s="1" t="inlineStr">
        <is>
          <t>50498801106509</t>
        </is>
      </c>
      <c r="B1803" s="1" t="inlineStr">
        <is>
          <t>ANILLO TRÉBOL CON ZIRCONIA SILVER VF</t>
        </is>
      </c>
      <c r="C1803" s="1" t="inlineStr">
        <is>
          <t>7</t>
        </is>
      </c>
      <c r="D1803" s="1" t="inlineStr">
        <is>
          <t>20/01/2026</t>
        </is>
      </c>
      <c r="E1803" s="1" t="n">
        <v>2026</v>
      </c>
      <c r="F1803" s="1" t="inlineStr">
        <is>
          <t>ENERO</t>
        </is>
      </c>
      <c r="G1803" s="1" t="inlineStr">
        <is>
          <t>HAIFENG</t>
        </is>
      </c>
      <c r="H1803" s="1" t="inlineStr">
        <is>
          <t>HAIFENG 20/01/2026</t>
        </is>
      </c>
      <c r="I1803" s="4" t="n">
        <v>2</v>
      </c>
      <c r="J1803" s="6" t="n">
        <v>5.99</v>
      </c>
      <c r="K1803" s="6" t="n">
        <v>126.9905026</v>
      </c>
      <c r="L1803" s="6">
        <f>I1803*K1803</f>
        <v/>
      </c>
      <c r="M1803" s="6">
        <f>K1803*4</f>
        <v/>
      </c>
      <c r="N1803" s="6" t="n">
        <v>510</v>
      </c>
    </row>
    <row r="1804">
      <c r="A1804" s="1" t="inlineStr">
        <is>
          <t>50498801106509</t>
        </is>
      </c>
      <c r="B1804" s="1" t="n"/>
      <c r="C1804" s="1" t="inlineStr">
        <is>
          <t>7</t>
        </is>
      </c>
      <c r="D1804" s="1" t="inlineStr">
        <is>
          <t>10/02/2026</t>
        </is>
      </c>
      <c r="E1804" s="1" t="n">
        <v>2026</v>
      </c>
      <c r="F1804" s="1" t="inlineStr">
        <is>
          <t>FEBRERO</t>
        </is>
      </c>
      <c r="G1804" s="1" t="inlineStr">
        <is>
          <t>HAIFENG</t>
        </is>
      </c>
      <c r="H1804" s="1" t="inlineStr">
        <is>
          <t>HAIFENG 10/02/2026</t>
        </is>
      </c>
      <c r="I1804" s="4" t="n">
        <v>1</v>
      </c>
      <c r="J1804" s="6" t="n">
        <v>5.99</v>
      </c>
      <c r="K1804" s="6" t="n">
        <v>126.2002914</v>
      </c>
      <c r="L1804" s="6">
        <f>I1804*K1804</f>
        <v/>
      </c>
      <c r="M1804" s="6">
        <f>K1804*4</f>
        <v/>
      </c>
      <c r="N1804" s="6" t="n">
        <v>510</v>
      </c>
    </row>
    <row r="1805">
      <c r="A1805" s="1" t="inlineStr">
        <is>
          <t>50869451078413</t>
        </is>
      </c>
      <c r="B1805" s="1" t="inlineStr">
        <is>
          <t>COLLAR MSS ROSE GOLD CON ZIRCONIA</t>
        </is>
      </c>
      <c r="C1805" s="1" t="inlineStr">
        <is>
          <t>Default Title</t>
        </is>
      </c>
      <c r="D1805" s="1" t="inlineStr">
        <is>
          <t>01/09/2025</t>
        </is>
      </c>
      <c r="E1805" s="1" t="n">
        <v>2025</v>
      </c>
      <c r="F1805" s="1" t="inlineStr">
        <is>
          <t>SEPTIEMBRE</t>
        </is>
      </c>
      <c r="G1805" s="1" t="inlineStr">
        <is>
          <t>HAIFENG</t>
        </is>
      </c>
      <c r="H1805" s="1" t="inlineStr">
        <is>
          <t>HAIFENG 01/09/2025</t>
        </is>
      </c>
      <c r="I1805" s="4" t="n">
        <v>3</v>
      </c>
      <c r="J1805" s="6" t="n">
        <v>8</v>
      </c>
      <c r="K1805" s="6" t="n">
        <v>170.0453685</v>
      </c>
      <c r="L1805" s="6">
        <f>I1805*K1805</f>
        <v/>
      </c>
      <c r="M1805" s="6">
        <f>K1805*4</f>
        <v/>
      </c>
      <c r="N1805" s="6" t="n">
        <v>660</v>
      </c>
    </row>
    <row r="1806">
      <c r="A1806" s="1" t="inlineStr">
        <is>
          <t>50869451078413</t>
        </is>
      </c>
      <c r="B1806" s="1" t="inlineStr">
        <is>
          <t>COLLAR MSS ROSEGOLD CON ZIRCONIA</t>
        </is>
      </c>
      <c r="C1806" s="1" t="inlineStr">
        <is>
          <t>Default Title</t>
        </is>
      </c>
      <c r="D1806" s="1" t="inlineStr">
        <is>
          <t>03/12/2025</t>
        </is>
      </c>
      <c r="E1806" s="1" t="n">
        <v>2025</v>
      </c>
      <c r="F1806" s="1" t="inlineStr">
        <is>
          <t>DICIEMBRE</t>
        </is>
      </c>
      <c r="G1806" s="1" t="inlineStr">
        <is>
          <t>HAIFENG</t>
        </is>
      </c>
      <c r="H1806" s="1" t="inlineStr">
        <is>
          <t>HAIFENG 03/12/2025</t>
        </is>
      </c>
      <c r="I1806" s="4" t="n">
        <v>2</v>
      </c>
      <c r="J1806" s="6" t="n">
        <v>8</v>
      </c>
      <c r="K1806" s="6" t="n">
        <v>167.3372801</v>
      </c>
      <c r="L1806" s="6">
        <f>I1806*K1806</f>
        <v/>
      </c>
      <c r="M1806" s="6">
        <f>K1806*4</f>
        <v/>
      </c>
      <c r="N1806" s="6" t="n">
        <v>660</v>
      </c>
    </row>
    <row r="1807">
      <c r="A1807" s="1" t="inlineStr">
        <is>
          <t>50869451078413</t>
        </is>
      </c>
      <c r="B1807" s="1" t="inlineStr">
        <is>
          <t>COLLAR MSS ROSEGOLD CON ZIRCONIA</t>
        </is>
      </c>
      <c r="C1807" s="1" t="inlineStr">
        <is>
          <t>Default Title</t>
        </is>
      </c>
      <c r="D1807" s="1" t="inlineStr">
        <is>
          <t>20/01/2026</t>
        </is>
      </c>
      <c r="E1807" s="1" t="n">
        <v>2026</v>
      </c>
      <c r="F1807" s="1" t="inlineStr">
        <is>
          <t>ENERO</t>
        </is>
      </c>
      <c r="G1807" s="1" t="inlineStr">
        <is>
          <t>HAIFENG</t>
        </is>
      </c>
      <c r="H1807" s="1" t="inlineStr">
        <is>
          <t>HAIFENG 20/01/2026</t>
        </is>
      </c>
      <c r="I1807" s="4" t="n">
        <v>3</v>
      </c>
      <c r="J1807" s="6" t="n">
        <v>8</v>
      </c>
      <c r="K1807" s="6" t="n">
        <v>169.6033423</v>
      </c>
      <c r="L1807" s="6">
        <f>I1807*K1807</f>
        <v/>
      </c>
      <c r="M1807" s="6">
        <f>K1807*4</f>
        <v/>
      </c>
      <c r="N1807" s="6" t="n">
        <v>660</v>
      </c>
    </row>
    <row r="1808">
      <c r="A1808" s="1" t="inlineStr">
        <is>
          <t>50869451078413</t>
        </is>
      </c>
      <c r="B1808" s="1" t="inlineStr">
        <is>
          <t>COLLAR MSS ROSEGOLD CON ZIRCONIA</t>
        </is>
      </c>
      <c r="C1808" s="1" t="inlineStr">
        <is>
          <t>Default Title</t>
        </is>
      </c>
      <c r="D1808" s="1" t="inlineStr">
        <is>
          <t>10/02/2026</t>
        </is>
      </c>
      <c r="E1808" s="1" t="n">
        <v>2026</v>
      </c>
      <c r="F1808" s="1" t="inlineStr">
        <is>
          <t>FEBRERO</t>
        </is>
      </c>
      <c r="G1808" s="1" t="inlineStr">
        <is>
          <t>HAIFENG</t>
        </is>
      </c>
      <c r="H1808" s="1" t="inlineStr">
        <is>
          <t>HAIFENG 10/02/2026</t>
        </is>
      </c>
      <c r="I1808" s="4" t="n">
        <v>2</v>
      </c>
      <c r="J1808" s="6" t="n">
        <v>8</v>
      </c>
      <c r="K1808" s="6" t="n">
        <v>168.5479685</v>
      </c>
      <c r="L1808" s="6">
        <f>I1808*K1808</f>
        <v/>
      </c>
      <c r="M1808" s="6">
        <f>K1808*4</f>
        <v/>
      </c>
      <c r="N1808" s="6" t="n">
        <v>660</v>
      </c>
    </row>
    <row r="1809">
      <c r="A1809" s="1" t="inlineStr">
        <is>
          <t>50869451078413</t>
        </is>
      </c>
      <c r="B1809" s="1" t="inlineStr">
        <is>
          <t>COLLAR MSS ROSEGOLD CON ZIRCONIA</t>
        </is>
      </c>
      <c r="C1809" s="1" t="inlineStr">
        <is>
          <t>Default Title</t>
        </is>
      </c>
      <c r="D1809" s="1" t="inlineStr">
        <is>
          <t>11/03/2026</t>
        </is>
      </c>
      <c r="E1809" s="1" t="n">
        <v>2026</v>
      </c>
      <c r="F1809" s="1" t="inlineStr">
        <is>
          <t>MARZO</t>
        </is>
      </c>
      <c r="G1809" s="1" t="inlineStr">
        <is>
          <t>HAIFENG</t>
        </is>
      </c>
      <c r="H1809" s="1" t="inlineStr">
        <is>
          <t>HAIFENG 11/03/2026</t>
        </is>
      </c>
      <c r="I1809" s="4" t="n">
        <v>3</v>
      </c>
      <c r="J1809" s="6" t="n">
        <v>8</v>
      </c>
      <c r="K1809" s="6" t="n">
        <v>170.4311697</v>
      </c>
      <c r="L1809" s="6">
        <f>I1809*K1809</f>
        <v/>
      </c>
      <c r="M1809" s="6">
        <f>K1809*4</f>
        <v/>
      </c>
      <c r="N1809" s="6" t="n">
        <v>660</v>
      </c>
    </row>
    <row r="1810">
      <c r="A1810" s="1" t="inlineStr">
        <is>
          <t>50869451078413</t>
        </is>
      </c>
      <c r="B1810" s="1" t="inlineStr">
        <is>
          <t>COLLAR MSS ROSEGOLD CON ZIRCONIA</t>
        </is>
      </c>
      <c r="C1810" s="1" t="inlineStr">
        <is>
          <t>Default Title</t>
        </is>
      </c>
      <c r="D1810" s="1" t="inlineStr">
        <is>
          <t>06/05/2026</t>
        </is>
      </c>
      <c r="E1810" s="1" t="n">
        <v>2026</v>
      </c>
      <c r="F1810" s="1" t="inlineStr">
        <is>
          <t>MAYO</t>
        </is>
      </c>
      <c r="G1810" s="1" t="inlineStr">
        <is>
          <t>HAIFENG</t>
        </is>
      </c>
      <c r="H1810" s="1" t="inlineStr">
        <is>
          <t>HAIFENG 06/05/2026</t>
        </is>
      </c>
      <c r="I1810" s="4" t="n">
        <v>8</v>
      </c>
      <c r="J1810" s="6" t="n">
        <v>8</v>
      </c>
      <c r="K1810" s="6" t="n">
        <v>169.7491381</v>
      </c>
      <c r="L1810" s="6">
        <f>I1810*K1810</f>
        <v/>
      </c>
      <c r="M1810" s="6">
        <f>K1810*4</f>
        <v/>
      </c>
      <c r="N1810" s="6" t="n">
        <v>660</v>
      </c>
    </row>
    <row r="1811">
      <c r="A1811" s="1" t="inlineStr">
        <is>
          <t>51078752492301</t>
        </is>
      </c>
      <c r="B1811" s="1" t="inlineStr">
        <is>
          <t>ARETES C GOLD</t>
        </is>
      </c>
      <c r="C1811" s="1" t="inlineStr">
        <is>
          <t>Default Title</t>
        </is>
      </c>
      <c r="D1811" s="1" t="inlineStr">
        <is>
          <t>22/10/2025</t>
        </is>
      </c>
      <c r="E1811" s="1" t="n">
        <v>2025</v>
      </c>
      <c r="F1811" s="1" t="inlineStr">
        <is>
          <t>OCTUBRE</t>
        </is>
      </c>
      <c r="G1811" s="1" t="inlineStr">
        <is>
          <t>HAIFENG</t>
        </is>
      </c>
      <c r="H1811" s="1" t="inlineStr">
        <is>
          <t>HAIFENG 22/10/2025</t>
        </is>
      </c>
      <c r="I1811" s="4" t="n">
        <v>2</v>
      </c>
      <c r="J1811" s="6" t="n">
        <v>5.99</v>
      </c>
      <c r="K1811" s="6" t="n">
        <v>126.5582895</v>
      </c>
      <c r="L1811" s="6">
        <f>I1811*K1811</f>
        <v/>
      </c>
      <c r="M1811" s="6">
        <f>K1811*4</f>
        <v/>
      </c>
      <c r="N1811" s="6" t="n">
        <v>575</v>
      </c>
    </row>
    <row r="1812">
      <c r="A1812" s="1" t="inlineStr">
        <is>
          <t>51078752492301</t>
        </is>
      </c>
      <c r="B1812" s="1" t="inlineStr">
        <is>
          <t>ARETES C GOLD</t>
        </is>
      </c>
      <c r="C1812" s="1" t="inlineStr">
        <is>
          <t>Default Title</t>
        </is>
      </c>
      <c r="D1812" s="1" t="inlineStr">
        <is>
          <t>20/01/2026</t>
        </is>
      </c>
      <c r="E1812" s="1" t="n">
        <v>2026</v>
      </c>
      <c r="F1812" s="1" t="inlineStr">
        <is>
          <t>ENERO</t>
        </is>
      </c>
      <c r="G1812" s="1" t="inlineStr">
        <is>
          <t>HAIFENG</t>
        </is>
      </c>
      <c r="H1812" s="1" t="inlineStr">
        <is>
          <t>HAIFENG 20/01/2026</t>
        </is>
      </c>
      <c r="I1812" s="4" t="n">
        <v>5</v>
      </c>
      <c r="J1812" s="6" t="n">
        <v>5.99</v>
      </c>
      <c r="K1812" s="6" t="n">
        <v>126.9905026</v>
      </c>
      <c r="L1812" s="6">
        <f>I1812*K1812</f>
        <v/>
      </c>
      <c r="M1812" s="6">
        <f>K1812*4</f>
        <v/>
      </c>
      <c r="N1812" s="6" t="n">
        <v>575</v>
      </c>
    </row>
    <row r="1813">
      <c r="A1813" s="1" t="inlineStr">
        <is>
          <t>51078752492301</t>
        </is>
      </c>
      <c r="B1813" s="1" t="inlineStr">
        <is>
          <t>ARETES C GOLD</t>
        </is>
      </c>
      <c r="C1813" s="1" t="inlineStr">
        <is>
          <t>Default Title</t>
        </is>
      </c>
      <c r="D1813" s="1" t="inlineStr">
        <is>
          <t>10/02/2026</t>
        </is>
      </c>
      <c r="E1813" s="1" t="n">
        <v>2026</v>
      </c>
      <c r="F1813" s="1" t="inlineStr">
        <is>
          <t>FEBRERO</t>
        </is>
      </c>
      <c r="G1813" s="1" t="inlineStr">
        <is>
          <t>HAIFENG</t>
        </is>
      </c>
      <c r="H1813" s="1" t="inlineStr">
        <is>
          <t>HAIFENG 10/02/2026</t>
        </is>
      </c>
      <c r="I1813" s="4" t="n">
        <v>2</v>
      </c>
      <c r="J1813" s="6" t="n">
        <v>5.99</v>
      </c>
      <c r="K1813" s="6" t="n">
        <v>126.2002914</v>
      </c>
      <c r="L1813" s="6">
        <f>I1813*K1813</f>
        <v/>
      </c>
      <c r="M1813" s="6">
        <f>K1813*4</f>
        <v/>
      </c>
      <c r="N1813" s="6" t="n">
        <v>575</v>
      </c>
    </row>
    <row r="1814">
      <c r="A1814" s="1" t="inlineStr">
        <is>
          <t>51078752492301</t>
        </is>
      </c>
      <c r="B1814" s="1" t="inlineStr">
        <is>
          <t>ARETES C GOLD</t>
        </is>
      </c>
      <c r="C1814" s="1" t="inlineStr">
        <is>
          <t>Default Title</t>
        </is>
      </c>
      <c r="D1814" s="1" t="inlineStr">
        <is>
          <t>11/03/2026</t>
        </is>
      </c>
      <c r="E1814" s="1" t="n">
        <v>2026</v>
      </c>
      <c r="F1814" s="1" t="inlineStr">
        <is>
          <t>MARZO</t>
        </is>
      </c>
      <c r="G1814" s="1" t="inlineStr">
        <is>
          <t>HAIFENG</t>
        </is>
      </c>
      <c r="H1814" s="1" t="inlineStr">
        <is>
          <t>HAIFENG 11/03/2026</t>
        </is>
      </c>
      <c r="I1814" s="4" t="n">
        <v>7</v>
      </c>
      <c r="J1814" s="6" t="n">
        <v>5.99</v>
      </c>
      <c r="K1814" s="6" t="n">
        <v>127.6103383</v>
      </c>
      <c r="L1814" s="6">
        <f>I1814*K1814</f>
        <v/>
      </c>
      <c r="M1814" s="6">
        <f>K1814*4</f>
        <v/>
      </c>
      <c r="N1814" s="6" t="n">
        <v>575</v>
      </c>
    </row>
    <row r="1815">
      <c r="A1815" s="1" t="inlineStr">
        <is>
          <t>51078752492301</t>
        </is>
      </c>
      <c r="B1815" s="1" t="inlineStr">
        <is>
          <t>ARETES C GOLD</t>
        </is>
      </c>
      <c r="C1815" s="1" t="inlineStr">
        <is>
          <t>Default Title</t>
        </is>
      </c>
      <c r="D1815" s="1" t="inlineStr">
        <is>
          <t>06/05/2026</t>
        </is>
      </c>
      <c r="E1815" s="1" t="n">
        <v>2026</v>
      </c>
      <c r="F1815" s="1" t="inlineStr">
        <is>
          <t>MAYO</t>
        </is>
      </c>
      <c r="G1815" s="1" t="inlineStr">
        <is>
          <t>HAIFENG</t>
        </is>
      </c>
      <c r="H1815" s="1" t="inlineStr">
        <is>
          <t>HAIFENG 06/05/2026</t>
        </is>
      </c>
      <c r="I1815" s="4" t="n">
        <v>1</v>
      </c>
      <c r="J1815" s="6" t="n">
        <v>5.99</v>
      </c>
      <c r="K1815" s="6" t="n">
        <v>127.0996672</v>
      </c>
      <c r="L1815" s="6">
        <f>I1815*K1815</f>
        <v/>
      </c>
      <c r="M1815" s="6">
        <f>K1815*4</f>
        <v/>
      </c>
      <c r="N1815" s="6" t="n">
        <v>575</v>
      </c>
    </row>
    <row r="1816">
      <c r="A1816" s="1" t="inlineStr">
        <is>
          <t>51078752492301</t>
        </is>
      </c>
      <c r="B1816" s="1" t="inlineStr">
        <is>
          <t>ARETES C GOLD</t>
        </is>
      </c>
      <c r="C1816" s="1" t="inlineStr">
        <is>
          <t>Default Title</t>
        </is>
      </c>
      <c r="D1816" s="1" t="inlineStr">
        <is>
          <t>26/05/2026</t>
        </is>
      </c>
      <c r="E1816" s="1" t="n">
        <v>2026</v>
      </c>
      <c r="F1816" s="1" t="inlineStr">
        <is>
          <t>MAYO</t>
        </is>
      </c>
      <c r="G1816" s="1" t="inlineStr">
        <is>
          <t>HAIFENG</t>
        </is>
      </c>
      <c r="H1816" s="1" t="inlineStr">
        <is>
          <t>HAIFENG 26/05/2026</t>
        </is>
      </c>
      <c r="I1816" s="4" t="n">
        <v>11</v>
      </c>
      <c r="J1816" s="6" t="n">
        <v>5.99</v>
      </c>
      <c r="K1816" s="6" t="n">
        <v>125.7258788</v>
      </c>
      <c r="L1816" s="6">
        <f>I1816*K1816</f>
        <v/>
      </c>
      <c r="M1816" s="6">
        <f>K1816*4</f>
        <v/>
      </c>
      <c r="N1816" s="6" t="n">
        <v>575</v>
      </c>
    </row>
    <row r="1817">
      <c r="A1817" s="1" t="inlineStr">
        <is>
          <t>52064791097837</t>
        </is>
      </c>
      <c r="B1817" s="1" t="inlineStr">
        <is>
          <t>ARETES BV GOLD-WHITE</t>
        </is>
      </c>
      <c r="C1817" s="1" t="inlineStr">
        <is>
          <t>Default Title</t>
        </is>
      </c>
      <c r="D1817" s="1" t="inlineStr">
        <is>
          <t>06/09/2025</t>
        </is>
      </c>
      <c r="E1817" s="1" t="n">
        <v>2025</v>
      </c>
      <c r="F1817" s="1" t="inlineStr">
        <is>
          <t>SEPTIEMBRE</t>
        </is>
      </c>
      <c r="G1817" s="1" t="inlineStr">
        <is>
          <t>NANCY</t>
        </is>
      </c>
      <c r="H1817" s="1" t="inlineStr">
        <is>
          <t>NANCY 06/09/2025</t>
        </is>
      </c>
      <c r="I1817" s="4" t="n">
        <v>2</v>
      </c>
      <c r="J1817" s="6" t="n">
        <v>3.69</v>
      </c>
      <c r="K1817" s="6" t="n">
        <v>85.92408387</v>
      </c>
      <c r="L1817" s="6">
        <f>I1817*K1817</f>
        <v/>
      </c>
      <c r="M1817" s="6">
        <f>K1817*4</f>
        <v/>
      </c>
      <c r="N1817" s="6" t="n">
        <v>450</v>
      </c>
    </row>
    <row r="1818">
      <c r="A1818" s="1" t="inlineStr">
        <is>
          <t>52064791097837</t>
        </is>
      </c>
      <c r="B1818" s="1" t="inlineStr">
        <is>
          <t>ARETES BV GOLD-WHITE</t>
        </is>
      </c>
      <c r="C1818" s="1" t="inlineStr">
        <is>
          <t>Default Title</t>
        </is>
      </c>
      <c r="D1818" s="1" t="inlineStr">
        <is>
          <t>01/03/2026</t>
        </is>
      </c>
      <c r="E1818" s="1" t="n">
        <v>2026</v>
      </c>
      <c r="F1818" s="1" t="inlineStr">
        <is>
          <t>MARZO</t>
        </is>
      </c>
      <c r="G1818" s="1" t="inlineStr">
        <is>
          <t>NANCY</t>
        </is>
      </c>
      <c r="H1818" s="1" t="inlineStr">
        <is>
          <t>NANCY 01/03/2026</t>
        </is>
      </c>
      <c r="I1818" s="4" t="n">
        <v>2</v>
      </c>
      <c r="J1818" s="6" t="n">
        <v>3.69</v>
      </c>
      <c r="K1818" s="6" t="n">
        <v>93.37072066</v>
      </c>
      <c r="L1818" s="6">
        <f>I1818*K1818</f>
        <v/>
      </c>
      <c r="M1818" s="6">
        <f>K1818*4</f>
        <v/>
      </c>
      <c r="N1818" s="6" t="n">
        <v>450</v>
      </c>
    </row>
    <row r="1819">
      <c r="A1819" s="1" t="inlineStr">
        <is>
          <t>52064791097837</t>
        </is>
      </c>
      <c r="B1819" s="1" t="inlineStr">
        <is>
          <t>ARETES BV GOLD-WHITE</t>
        </is>
      </c>
      <c r="C1819" s="1" t="inlineStr">
        <is>
          <t>Default Title</t>
        </is>
      </c>
      <c r="D1819" s="1" t="inlineStr">
        <is>
          <t>08/05/2026</t>
        </is>
      </c>
      <c r="E1819" s="1" t="n">
        <v>2026</v>
      </c>
      <c r="F1819" s="1" t="inlineStr">
        <is>
          <t>MAYO</t>
        </is>
      </c>
      <c r="G1819" s="1" t="inlineStr">
        <is>
          <t>NANCY</t>
        </is>
      </c>
      <c r="H1819" s="1" t="inlineStr">
        <is>
          <t>NANCY 08/05/2026</t>
        </is>
      </c>
      <c r="I1819" s="4" t="n">
        <v>2</v>
      </c>
      <c r="J1819" s="6" t="n">
        <v>3.69</v>
      </c>
      <c r="K1819" s="6" t="n">
        <v>87.29713666000001</v>
      </c>
      <c r="L1819" s="6">
        <f>I1819*K1819</f>
        <v/>
      </c>
      <c r="M1819" s="6">
        <f>K1819*4</f>
        <v/>
      </c>
      <c r="N1819" s="6" t="n">
        <v>450</v>
      </c>
    </row>
    <row r="1820">
      <c r="A1820" s="1" t="inlineStr">
        <is>
          <t>52306841075693</t>
        </is>
      </c>
      <c r="B1820" s="1" t="inlineStr">
        <is>
          <t>COLLAR BV ROSEGOLD SERPIENTE</t>
        </is>
      </c>
      <c r="C1820" s="1" t="inlineStr">
        <is>
          <t>Default Title</t>
        </is>
      </c>
      <c r="D1820" s="1" t="inlineStr">
        <is>
          <t>25/09/2025</t>
        </is>
      </c>
      <c r="E1820" s="1" t="n">
        <v>2025</v>
      </c>
      <c r="F1820" s="1" t="inlineStr">
        <is>
          <t>SEPTIEMBRE</t>
        </is>
      </c>
      <c r="G1820" s="1" t="inlineStr">
        <is>
          <t>HAIFENG</t>
        </is>
      </c>
      <c r="H1820" s="1" t="inlineStr">
        <is>
          <t>HAIFENG 25/09/2025</t>
        </is>
      </c>
      <c r="I1820" s="4" t="n">
        <v>2</v>
      </c>
      <c r="J1820" s="6" t="n">
        <v>7</v>
      </c>
      <c r="K1820" s="6" t="n">
        <v>147.6782004</v>
      </c>
      <c r="L1820" s="6">
        <f>I1820*K1820</f>
        <v/>
      </c>
      <c r="M1820" s="6">
        <f>K1820*4</f>
        <v/>
      </c>
      <c r="N1820" s="6" t="n">
        <v>576.8</v>
      </c>
    </row>
    <row r="1821">
      <c r="A1821" s="1" t="inlineStr">
        <is>
          <t>52306841075693</t>
        </is>
      </c>
      <c r="B1821" s="1" t="inlineStr">
        <is>
          <t>COLLAR BV ROSEGOLD SERPIENTE</t>
        </is>
      </c>
      <c r="C1821" s="1" t="inlineStr">
        <is>
          <t>Default Title</t>
        </is>
      </c>
      <c r="D1821" s="1" t="inlineStr">
        <is>
          <t>06/05/2026</t>
        </is>
      </c>
      <c r="E1821" s="1" t="n">
        <v>2026</v>
      </c>
      <c r="F1821" s="1" t="inlineStr">
        <is>
          <t>MAYO</t>
        </is>
      </c>
      <c r="G1821" s="1" t="inlineStr">
        <is>
          <t>HAIFENG</t>
        </is>
      </c>
      <c r="H1821" s="1" t="inlineStr">
        <is>
          <t>HAIFENG 06/05/2026</t>
        </is>
      </c>
      <c r="I1821" s="4" t="n">
        <v>2</v>
      </c>
      <c r="J1821" s="6" t="n">
        <v>7</v>
      </c>
      <c r="K1821" s="6" t="n">
        <v>148.5304959</v>
      </c>
      <c r="L1821" s="6">
        <f>I1821*K1821</f>
        <v/>
      </c>
      <c r="M1821" s="6">
        <f>K1821*4</f>
        <v/>
      </c>
      <c r="N1821" s="6" t="n">
        <v>576.8</v>
      </c>
    </row>
    <row r="1822">
      <c r="A1822" s="1" t="inlineStr">
        <is>
          <t>52394691046605</t>
        </is>
      </c>
      <c r="B1822" s="1" t="inlineStr">
        <is>
          <t>BOLSA NANO NOÉ LV BROWN</t>
        </is>
      </c>
      <c r="C1822" s="1" t="inlineStr">
        <is>
          <t>13 cm de largo x 16 cm de alto x 10cm de ancho</t>
        </is>
      </c>
      <c r="D1822" s="1" t="inlineStr">
        <is>
          <t>20/01/2026</t>
        </is>
      </c>
      <c r="E1822" s="1" t="n">
        <v>2026</v>
      </c>
      <c r="F1822" s="1" t="inlineStr">
        <is>
          <t>ENERO</t>
        </is>
      </c>
      <c r="G1822" s="1" t="inlineStr">
        <is>
          <t>ZOEY</t>
        </is>
      </c>
      <c r="H1822" s="1" t="inlineStr">
        <is>
          <t>ZOEY 20/01/2026</t>
        </is>
      </c>
      <c r="I1822" s="4" t="n">
        <v>10</v>
      </c>
      <c r="J1822" s="6" t="n">
        <v>20</v>
      </c>
      <c r="K1822" s="6" t="n">
        <v>520.6319874</v>
      </c>
      <c r="L1822" s="6">
        <f>I1822*K1822</f>
        <v/>
      </c>
      <c r="M1822" s="6">
        <f>K1822*4</f>
        <v/>
      </c>
      <c r="N1822" s="6" t="n">
        <v>2049</v>
      </c>
    </row>
    <row r="1823">
      <c r="A1823" s="1" t="inlineStr">
        <is>
          <t>52394691046605</t>
        </is>
      </c>
      <c r="B1823" s="1" t="inlineStr">
        <is>
          <t>BOLSA NANO NOÉ LV BROWN</t>
        </is>
      </c>
      <c r="C1823" s="1" t="inlineStr">
        <is>
          <t>13 cm de largo x 16 cm de alto x 10cm de ancho</t>
        </is>
      </c>
      <c r="D1823" s="1" t="inlineStr">
        <is>
          <t>20/01/2026</t>
        </is>
      </c>
      <c r="E1823" s="1" t="n">
        <v>2026</v>
      </c>
      <c r="F1823" s="1" t="inlineStr">
        <is>
          <t>ENERO</t>
        </is>
      </c>
      <c r="G1823" s="1" t="inlineStr">
        <is>
          <t>ZOEY</t>
        </is>
      </c>
      <c r="H1823" s="1" t="inlineStr">
        <is>
          <t>ZOEY 20/01/2026</t>
        </is>
      </c>
      <c r="I1823" s="4" t="n">
        <v>4</v>
      </c>
      <c r="J1823" s="6" t="n">
        <v>20</v>
      </c>
      <c r="K1823" s="6" t="n">
        <v>520.6319874</v>
      </c>
      <c r="L1823" s="6">
        <f>I1823*K1823</f>
        <v/>
      </c>
      <c r="M1823" s="6">
        <f>K1823*4</f>
        <v/>
      </c>
      <c r="N1823" s="6" t="n">
        <v>2049</v>
      </c>
    </row>
    <row r="1824">
      <c r="A1824" s="1" t="inlineStr">
        <is>
          <t>52394691046605</t>
        </is>
      </c>
      <c r="B1824" s="1" t="inlineStr">
        <is>
          <t>BOLSA NANO NOÉ LV BROWN</t>
        </is>
      </c>
      <c r="C1824" s="1" t="inlineStr">
        <is>
          <t>13 cm de largo x 16 cm de alto x 10cm de ancho</t>
        </is>
      </c>
      <c r="D1824" s="1" t="inlineStr">
        <is>
          <t>20/04/2026</t>
        </is>
      </c>
      <c r="E1824" s="1" t="n">
        <v>2026</v>
      </c>
      <c r="F1824" s="1" t="inlineStr">
        <is>
          <t>ABRIL</t>
        </is>
      </c>
      <c r="G1824" s="1" t="inlineStr">
        <is>
          <t>ZOEY</t>
        </is>
      </c>
      <c r="H1824" s="1" t="inlineStr">
        <is>
          <t>ZOEY 20/04/2026</t>
        </is>
      </c>
      <c r="I1824" s="4" t="n">
        <v>6</v>
      </c>
      <c r="J1824" s="6" t="n">
        <v>20</v>
      </c>
      <c r="K1824" s="6" t="n">
        <v>512.1755667</v>
      </c>
      <c r="L1824" s="6">
        <f>I1824*K1824</f>
        <v/>
      </c>
      <c r="M1824" s="6">
        <f>K1824*4</f>
        <v/>
      </c>
      <c r="N1824" s="6" t="n">
        <v>2049</v>
      </c>
    </row>
    <row r="1825">
      <c r="A1825" s="1" t="inlineStr">
        <is>
          <t>52394691183085</t>
        </is>
      </c>
      <c r="B1825" s="1" t="inlineStr">
        <is>
          <t>CARTERA ZIPPY LV BROWN</t>
        </is>
      </c>
      <c r="C1825" s="1" t="inlineStr">
        <is>
          <t>Default Title</t>
        </is>
      </c>
      <c r="D1825" s="1" t="inlineStr">
        <is>
          <t>20/01/2026</t>
        </is>
      </c>
      <c r="E1825" s="1" t="n">
        <v>2026</v>
      </c>
      <c r="F1825" s="1" t="inlineStr">
        <is>
          <t>ENERO</t>
        </is>
      </c>
      <c r="G1825" s="1" t="inlineStr">
        <is>
          <t>ZOEY</t>
        </is>
      </c>
      <c r="H1825" s="1" t="inlineStr">
        <is>
          <t>ZOEY 20/01/2026</t>
        </is>
      </c>
      <c r="I1825" s="4" t="n">
        <v>3</v>
      </c>
      <c r="J1825" s="6" t="n">
        <v>15</v>
      </c>
      <c r="K1825" s="6" t="n">
        <v>390.4739905</v>
      </c>
      <c r="L1825" s="6">
        <f>I1825*K1825</f>
        <v/>
      </c>
      <c r="M1825" s="6">
        <f>K1825*4</f>
        <v/>
      </c>
      <c r="N1825" s="6" t="n">
        <v>1366.66</v>
      </c>
    </row>
    <row r="1826">
      <c r="A1826" s="1" t="inlineStr">
        <is>
          <t>52394691183086</t>
        </is>
      </c>
      <c r="B1826" s="1" t="inlineStr">
        <is>
          <t>CARTERA ZIPPY LV BROWN</t>
        </is>
      </c>
      <c r="C1826" s="1" t="inlineStr">
        <is>
          <t>HIGH QUALITY</t>
        </is>
      </c>
      <c r="D1826" s="1" t="inlineStr">
        <is>
          <t>15/05/2026</t>
        </is>
      </c>
      <c r="E1826" s="1" t="n">
        <v>2026</v>
      </c>
      <c r="F1826" s="1" t="inlineStr">
        <is>
          <t>MAYO</t>
        </is>
      </c>
      <c r="G1826" s="1" t="inlineStr">
        <is>
          <t>ZOEY</t>
        </is>
      </c>
      <c r="H1826" s="1" t="inlineStr">
        <is>
          <t>ZOEY 15/05/2026</t>
        </is>
      </c>
      <c r="I1826" s="4" t="n">
        <v>4</v>
      </c>
      <c r="J1826" s="6" t="n">
        <v>13</v>
      </c>
      <c r="K1826" s="6" t="n">
        <v>344.5601183</v>
      </c>
      <c r="L1826" s="6">
        <f>I1826*K1826</f>
        <v/>
      </c>
      <c r="M1826" s="6">
        <f>K1826*4</f>
        <v/>
      </c>
      <c r="N1826" s="6" t="n">
        <v>1500</v>
      </c>
    </row>
    <row r="1827">
      <c r="A1827" s="1" t="inlineStr">
        <is>
          <t>52477061035757</t>
        </is>
      </c>
      <c r="B1827" s="1" t="inlineStr">
        <is>
          <t>PULSERA CLAVO GOLD</t>
        </is>
      </c>
      <c r="C1827" s="1" t="inlineStr">
        <is>
          <t>16 cm</t>
        </is>
      </c>
      <c r="D1827" s="1" t="inlineStr">
        <is>
          <t>01/03/2026</t>
        </is>
      </c>
      <c r="E1827" s="1" t="n">
        <v>2026</v>
      </c>
      <c r="F1827" s="1" t="inlineStr">
        <is>
          <t>MARZO</t>
        </is>
      </c>
      <c r="G1827" s="1" t="inlineStr">
        <is>
          <t>NANCY</t>
        </is>
      </c>
      <c r="H1827" s="1" t="inlineStr">
        <is>
          <t>NANCY 01/03/2026</t>
        </is>
      </c>
      <c r="I1827" s="4" t="n">
        <v>5</v>
      </c>
      <c r="J1827" s="6" t="n">
        <v>2.99</v>
      </c>
      <c r="K1827" s="6" t="n">
        <v>75.65811782</v>
      </c>
      <c r="L1827" s="6">
        <f>I1827*K1827</f>
        <v/>
      </c>
      <c r="M1827" s="6">
        <f>K1827*4</f>
        <v/>
      </c>
      <c r="N1827" s="6" t="n">
        <v>450</v>
      </c>
    </row>
    <row r="1828">
      <c r="A1828" s="1" t="inlineStr">
        <is>
          <t>52477061035757</t>
        </is>
      </c>
      <c r="B1828" s="1" t="inlineStr">
        <is>
          <t>PULSERA CLAVO GOLD</t>
        </is>
      </c>
      <c r="C1828" s="1" t="inlineStr">
        <is>
          <t>16 cm</t>
        </is>
      </c>
      <c r="D1828" s="1" t="inlineStr">
        <is>
          <t>31/05/2026</t>
        </is>
      </c>
      <c r="E1828" s="1" t="n">
        <v>2026</v>
      </c>
      <c r="F1828" s="1" t="inlineStr">
        <is>
          <t>MAYO</t>
        </is>
      </c>
      <c r="G1828" s="1" t="inlineStr">
        <is>
          <t>NANCY</t>
        </is>
      </c>
      <c r="H1828" s="1" t="inlineStr">
        <is>
          <t>NANCY 31/05/2026</t>
        </is>
      </c>
      <c r="I1828" s="4" t="n">
        <v>6</v>
      </c>
      <c r="J1828" s="6" t="n">
        <v>2.99</v>
      </c>
      <c r="K1828" s="6" t="n">
        <v>72.56009323000001</v>
      </c>
      <c r="L1828" s="6">
        <f>I1828*K1828</f>
        <v/>
      </c>
      <c r="M1828" s="6">
        <f>K1828*4</f>
        <v/>
      </c>
      <c r="N1828" s="6" t="n">
        <v>450</v>
      </c>
    </row>
    <row r="1829">
      <c r="A1829" s="1" t="inlineStr">
        <is>
          <t>53073321001165</t>
        </is>
      </c>
      <c r="B1829" s="1" t="inlineStr">
        <is>
          <t>ANILLO LV SELLO GOLD-8</t>
        </is>
      </c>
      <c r="C1829" s="1" t="n">
        <v>8</v>
      </c>
      <c r="D1829" s="1" t="inlineStr">
        <is>
          <t>25/09/2025</t>
        </is>
      </c>
      <c r="E1829" s="1" t="n">
        <v>2025</v>
      </c>
      <c r="F1829" s="1" t="inlineStr">
        <is>
          <t>SEPTIEMBRE</t>
        </is>
      </c>
      <c r="G1829" s="1" t="inlineStr">
        <is>
          <t>HAIFENG</t>
        </is>
      </c>
      <c r="H1829" s="1" t="inlineStr">
        <is>
          <t>HAIFENG 25/09/2025</t>
        </is>
      </c>
      <c r="I1829" s="4" t="n">
        <v>2</v>
      </c>
      <c r="J1829" s="6" t="n">
        <v>8.99</v>
      </c>
      <c r="K1829" s="6" t="n">
        <v>189.6610031</v>
      </c>
      <c r="L1829" s="6">
        <f>I1829*K1829</f>
        <v/>
      </c>
      <c r="M1829" s="6">
        <f>K1829*4</f>
        <v/>
      </c>
      <c r="N1829" s="6" t="n">
        <v>750</v>
      </c>
    </row>
    <row r="1830">
      <c r="A1830" s="1" t="inlineStr">
        <is>
          <t>53283371020909</t>
        </is>
      </c>
      <c r="B1830" s="1" t="inlineStr">
        <is>
          <t>PULSERA ONE TRÉBOL GOLD RED</t>
        </is>
      </c>
      <c r="C1830" s="1" t="inlineStr">
        <is>
          <t>Default Title</t>
        </is>
      </c>
      <c r="D1830" s="1" t="inlineStr">
        <is>
          <t>06/05/2026</t>
        </is>
      </c>
      <c r="E1830" s="1" t="n">
        <v>2026</v>
      </c>
      <c r="F1830" s="1" t="inlineStr">
        <is>
          <t>MAYO</t>
        </is>
      </c>
      <c r="G1830" s="1" t="inlineStr">
        <is>
          <t>HAIFENG</t>
        </is>
      </c>
      <c r="H1830" s="1" t="inlineStr">
        <is>
          <t>HAIFENG 06/05/2026</t>
        </is>
      </c>
      <c r="I1830" s="4" t="n">
        <v>2</v>
      </c>
      <c r="J1830" s="6" t="n">
        <v>4</v>
      </c>
      <c r="K1830" s="6" t="n">
        <v>84.87456907000001</v>
      </c>
      <c r="L1830" s="6">
        <f>I1830*K1830</f>
        <v/>
      </c>
      <c r="M1830" s="6">
        <f>K1830*4</f>
        <v/>
      </c>
      <c r="N1830" s="6" t="n">
        <v>500</v>
      </c>
    </row>
    <row r="1831">
      <c r="A1831" s="1" t="inlineStr">
        <is>
          <t>53283371020909</t>
        </is>
      </c>
      <c r="B1831" s="1" t="inlineStr">
        <is>
          <t>PULSERA ONE TRÉBOL GOLD RED</t>
        </is>
      </c>
      <c r="C1831" s="1" t="inlineStr">
        <is>
          <t>Default Title</t>
        </is>
      </c>
      <c r="D1831" s="1" t="inlineStr">
        <is>
          <t>16/06/2026</t>
        </is>
      </c>
      <c r="E1831" s="1" t="n">
        <v>2026</v>
      </c>
      <c r="F1831" s="1" t="inlineStr">
        <is>
          <t>JUNIO</t>
        </is>
      </c>
      <c r="G1831" s="1" t="inlineStr">
        <is>
          <t>HAIFENG</t>
        </is>
      </c>
      <c r="H1831" s="1" t="inlineStr">
        <is>
          <t>HAIFENG 16/06/2026</t>
        </is>
      </c>
      <c r="I1831" s="4" t="n">
        <v>2</v>
      </c>
      <c r="J1831" s="6" t="n">
        <v>4</v>
      </c>
      <c r="K1831" s="6" t="n">
        <v>84.05842584</v>
      </c>
      <c r="L1831" s="6">
        <f>I1831*K1831</f>
        <v/>
      </c>
      <c r="M1831" s="6">
        <f>K1831*4</f>
        <v/>
      </c>
      <c r="N1831" s="6" t="n">
        <v>500</v>
      </c>
    </row>
    <row r="1832">
      <c r="A1832" s="1" t="inlineStr">
        <is>
          <t>53794531101133</t>
        </is>
      </c>
      <c r="B1832" s="1" t="inlineStr">
        <is>
          <t>LENTES CD CANNAGE S2U</t>
        </is>
      </c>
      <c r="C1832" s="1" t="n"/>
      <c r="D1832" s="1" t="inlineStr">
        <is>
          <t>02/03/2026</t>
        </is>
      </c>
      <c r="E1832" s="1" t="n">
        <v>2026</v>
      </c>
      <c r="F1832" s="1" t="inlineStr">
        <is>
          <t>MARZO</t>
        </is>
      </c>
      <c r="G1832" s="1" t="inlineStr">
        <is>
          <t>ZOEY</t>
        </is>
      </c>
      <c r="H1832" s="1" t="inlineStr">
        <is>
          <t>ZOEY 02/03/2026</t>
        </is>
      </c>
      <c r="I1832" s="4" t="n">
        <v>2</v>
      </c>
      <c r="J1832" s="6" t="n">
        <v>32</v>
      </c>
      <c r="K1832" s="6" t="n">
        <v>840.8632231</v>
      </c>
      <c r="L1832" s="6">
        <f>I1832*K1832</f>
        <v/>
      </c>
      <c r="M1832" s="6">
        <f>K1832*4</f>
        <v/>
      </c>
      <c r="N1832" s="6" t="n">
        <v>3500</v>
      </c>
    </row>
    <row r="1833">
      <c r="A1833" s="1" t="inlineStr">
        <is>
          <t>53794531101133</t>
        </is>
      </c>
      <c r="B1833" s="1" t="inlineStr">
        <is>
          <t>LENTES CD CANNAGE S2U</t>
        </is>
      </c>
      <c r="C1833" s="1" t="inlineStr">
        <is>
          <t>Default Title</t>
        </is>
      </c>
      <c r="D1833" s="1" t="inlineStr">
        <is>
          <t>08/06/2026</t>
        </is>
      </c>
      <c r="E1833" s="1" t="n">
        <v>2026</v>
      </c>
      <c r="F1833" s="1" t="inlineStr">
        <is>
          <t>JUNIO</t>
        </is>
      </c>
      <c r="G1833" s="1" t="inlineStr">
        <is>
          <t>ZOEY</t>
        </is>
      </c>
      <c r="H1833" s="1" t="inlineStr">
        <is>
          <t>ZOEY 08/06/2026</t>
        </is>
      </c>
      <c r="I1833" s="4" t="n">
        <v>2</v>
      </c>
      <c r="J1833" s="6" t="n">
        <v>32</v>
      </c>
      <c r="K1833" s="6" t="n">
        <v>784.3659666</v>
      </c>
      <c r="L1833" s="6">
        <f>I1833*K1833</f>
        <v/>
      </c>
      <c r="M1833" s="6">
        <f>K1833*4</f>
        <v/>
      </c>
      <c r="N1833" s="6" t="n">
        <v>3500</v>
      </c>
    </row>
    <row r="1834">
      <c r="A1834" s="1" t="inlineStr">
        <is>
          <t>53794531481933</t>
        </is>
      </c>
      <c r="B1834" s="1" t="inlineStr">
        <is>
          <t>LENTES CD TREASURE R1</t>
        </is>
      </c>
      <c r="C1834" s="1" t="n"/>
      <c r="D1834" s="1" t="inlineStr">
        <is>
          <t>02/03/2026</t>
        </is>
      </c>
      <c r="E1834" s="1" t="n">
        <v>2026</v>
      </c>
      <c r="F1834" s="1" t="inlineStr">
        <is>
          <t>MARZO</t>
        </is>
      </c>
      <c r="G1834" s="1" t="inlineStr">
        <is>
          <t>ZOEY</t>
        </is>
      </c>
      <c r="H1834" s="1" t="inlineStr">
        <is>
          <t>ZOEY 02/03/2026</t>
        </is>
      </c>
      <c r="I1834" s="4" t="n">
        <v>2</v>
      </c>
      <c r="J1834" s="6" t="n">
        <v>32</v>
      </c>
      <c r="K1834" s="6" t="n">
        <v>840.8632231</v>
      </c>
      <c r="L1834" s="6">
        <f>I1834*K1834</f>
        <v/>
      </c>
      <c r="M1834" s="6">
        <f>K1834*4</f>
        <v/>
      </c>
      <c r="N1834" s="6" t="n">
        <v>3279</v>
      </c>
    </row>
    <row r="1835">
      <c r="A1835" s="1" t="inlineStr">
        <is>
          <t>53794531481933</t>
        </is>
      </c>
      <c r="B1835" s="1" t="inlineStr">
        <is>
          <t>LENTES CD TREASURE R1</t>
        </is>
      </c>
      <c r="C1835" s="1" t="inlineStr">
        <is>
          <t>Default Title</t>
        </is>
      </c>
      <c r="D1835" s="1" t="inlineStr">
        <is>
          <t>20/04/2026</t>
        </is>
      </c>
      <c r="E1835" s="1" t="n">
        <v>2026</v>
      </c>
      <c r="F1835" s="1" t="inlineStr">
        <is>
          <t>ABRIL</t>
        </is>
      </c>
      <c r="G1835" s="1" t="inlineStr">
        <is>
          <t>ZOEY</t>
        </is>
      </c>
      <c r="H1835" s="1" t="inlineStr">
        <is>
          <t>ZOEY 20/04/2026</t>
        </is>
      </c>
      <c r="I1835" s="4" t="n">
        <v>4</v>
      </c>
      <c r="J1835" s="6" t="n">
        <v>32</v>
      </c>
      <c r="K1835" s="6" t="n">
        <v>819.4809068</v>
      </c>
      <c r="L1835" s="6">
        <f>I1835*K1835</f>
        <v/>
      </c>
      <c r="M1835" s="6">
        <f>K1835*4</f>
        <v/>
      </c>
      <c r="N1835" s="6" t="n">
        <v>3279</v>
      </c>
    </row>
    <row r="1836">
      <c r="A1836" s="1" t="inlineStr">
        <is>
          <t>53794531481933</t>
        </is>
      </c>
      <c r="B1836" s="1" t="inlineStr">
        <is>
          <t>LENTES CD TREASURE R1</t>
        </is>
      </c>
      <c r="C1836" s="1" t="inlineStr">
        <is>
          <t>Default Title</t>
        </is>
      </c>
      <c r="D1836" s="1" t="inlineStr">
        <is>
          <t>20/04/2026</t>
        </is>
      </c>
      <c r="E1836" s="1" t="n">
        <v>2026</v>
      </c>
      <c r="F1836" s="1" t="inlineStr">
        <is>
          <t>ABRIL</t>
        </is>
      </c>
      <c r="G1836" s="1" t="inlineStr">
        <is>
          <t>ZOEY</t>
        </is>
      </c>
      <c r="H1836" s="1" t="inlineStr">
        <is>
          <t>ZOEY 20/04/2026</t>
        </is>
      </c>
      <c r="I1836" s="4" t="n">
        <v>1</v>
      </c>
      <c r="J1836" s="6" t="n">
        <v>32</v>
      </c>
      <c r="K1836" s="6" t="n">
        <v>819.4809068</v>
      </c>
      <c r="L1836" s="6">
        <f>I1836*K1836</f>
        <v/>
      </c>
      <c r="M1836" s="6">
        <f>K1836*4</f>
        <v/>
      </c>
      <c r="N1836" s="6" t="n">
        <v>3279</v>
      </c>
    </row>
    <row r="1837">
      <c r="A1837" s="1" t="inlineStr">
        <is>
          <t>53864631024909</t>
        </is>
      </c>
      <c r="B1837" s="1" t="inlineStr">
        <is>
          <t>COLLAR CON PASADOR Y PLACA ESTILO CORAZÓN SILVER</t>
        </is>
      </c>
      <c r="C1837" s="1" t="inlineStr">
        <is>
          <t>44 cm</t>
        </is>
      </c>
      <c r="D1837" s="1" t="inlineStr">
        <is>
          <t>11/11/2025</t>
        </is>
      </c>
      <c r="E1837" s="1" t="n">
        <v>2025</v>
      </c>
      <c r="F1837" s="1" t="inlineStr">
        <is>
          <t>NOVIEMBRE</t>
        </is>
      </c>
      <c r="G1837" s="1" t="inlineStr">
        <is>
          <t>HAIFENG</t>
        </is>
      </c>
      <c r="H1837" s="1" t="inlineStr">
        <is>
          <t>HAIFENG 11/11/2025</t>
        </is>
      </c>
      <c r="I1837" s="4" t="n">
        <v>6</v>
      </c>
      <c r="J1837" s="6" t="n">
        <v>12</v>
      </c>
      <c r="K1837" s="6" t="n">
        <v>252.7259813</v>
      </c>
      <c r="L1837" s="6">
        <f>I1837*K1837</f>
        <v/>
      </c>
      <c r="M1837" s="6">
        <f>K1837*4</f>
        <v/>
      </c>
      <c r="N1837" s="6" t="n">
        <v>989</v>
      </c>
    </row>
    <row r="1838">
      <c r="A1838" s="1" t="inlineStr">
        <is>
          <t>53864631024909</t>
        </is>
      </c>
      <c r="B1838" s="1" t="inlineStr">
        <is>
          <t>COLLAR CON PASADOR Y PLACA ESTILO CORAZÓN SILVER</t>
        </is>
      </c>
      <c r="C1838" s="1" t="inlineStr">
        <is>
          <t>44 cm</t>
        </is>
      </c>
      <c r="D1838" s="1" t="inlineStr">
        <is>
          <t>03/12/2025</t>
        </is>
      </c>
      <c r="E1838" s="1" t="n">
        <v>2025</v>
      </c>
      <c r="F1838" s="1" t="inlineStr">
        <is>
          <t>DICIEMBRE</t>
        </is>
      </c>
      <c r="G1838" s="1" t="inlineStr">
        <is>
          <t>HAIFENG</t>
        </is>
      </c>
      <c r="H1838" s="1" t="inlineStr">
        <is>
          <t>HAIFENG 03/12/2025</t>
        </is>
      </c>
      <c r="I1838" s="4" t="n">
        <v>5</v>
      </c>
      <c r="J1838" s="6" t="n">
        <v>12</v>
      </c>
      <c r="K1838" s="6" t="n">
        <v>251.0059201</v>
      </c>
      <c r="L1838" s="6">
        <f>I1838*K1838</f>
        <v/>
      </c>
      <c r="M1838" s="6">
        <f>K1838*4</f>
        <v/>
      </c>
      <c r="N1838" s="6" t="n">
        <v>989</v>
      </c>
    </row>
    <row r="1839">
      <c r="A1839" s="1" t="inlineStr">
        <is>
          <t>53864631024909</t>
        </is>
      </c>
      <c r="B1839" s="1" t="inlineStr">
        <is>
          <t>COLLAR CON PASADOR Y PLACA ESTILO CORAZÓN SILVER</t>
        </is>
      </c>
      <c r="C1839" s="1" t="inlineStr">
        <is>
          <t>44 cm</t>
        </is>
      </c>
      <c r="D1839" s="1" t="inlineStr">
        <is>
          <t>10/02/2026</t>
        </is>
      </c>
      <c r="E1839" s="1" t="n">
        <v>2026</v>
      </c>
      <c r="F1839" s="1" t="inlineStr">
        <is>
          <t>FEBRERO</t>
        </is>
      </c>
      <c r="G1839" s="1" t="inlineStr">
        <is>
          <t>HAIFENG</t>
        </is>
      </c>
      <c r="H1839" s="1" t="inlineStr">
        <is>
          <t>HAIFENG 10/02/2026</t>
        </is>
      </c>
      <c r="I1839" s="4" t="n">
        <v>6</v>
      </c>
      <c r="J1839" s="6" t="n">
        <v>12</v>
      </c>
      <c r="K1839" s="6" t="n">
        <v>252.8219528</v>
      </c>
      <c r="L1839" s="6">
        <f>I1839*K1839</f>
        <v/>
      </c>
      <c r="M1839" s="6">
        <f>K1839*4</f>
        <v/>
      </c>
      <c r="N1839" s="6" t="n">
        <v>989</v>
      </c>
    </row>
    <row r="1840">
      <c r="A1840" s="1" t="inlineStr">
        <is>
          <t>53864631024909</t>
        </is>
      </c>
      <c r="B1840" s="1" t="inlineStr">
        <is>
          <t>COLLAR CON PASADOR Y PLACA ESTILO CORAZÓN SILVER</t>
        </is>
      </c>
      <c r="C1840" s="1" t="inlineStr">
        <is>
          <t>44 cm</t>
        </is>
      </c>
      <c r="D1840" s="1" t="inlineStr">
        <is>
          <t>06/05/2026</t>
        </is>
      </c>
      <c r="E1840" s="1" t="n">
        <v>2026</v>
      </c>
      <c r="F1840" s="1" t="inlineStr">
        <is>
          <t>MAYO</t>
        </is>
      </c>
      <c r="G1840" s="1" t="inlineStr">
        <is>
          <t>HAIFENG</t>
        </is>
      </c>
      <c r="H1840" s="1" t="inlineStr">
        <is>
          <t>HAIFENG 06/05/2026</t>
        </is>
      </c>
      <c r="I1840" s="4" t="n">
        <v>8</v>
      </c>
      <c r="J1840" s="6" t="n">
        <v>12</v>
      </c>
      <c r="K1840" s="6" t="n">
        <v>254.6237072</v>
      </c>
      <c r="L1840" s="6">
        <f>I1840*K1840</f>
        <v/>
      </c>
      <c r="M1840" s="6">
        <f>K1840*4</f>
        <v/>
      </c>
      <c r="N1840" s="6" t="n">
        <v>989</v>
      </c>
    </row>
    <row r="1841">
      <c r="A1841" s="1" t="inlineStr">
        <is>
          <t>53890267165196</t>
        </is>
      </c>
      <c r="B1841" s="1" t="inlineStr">
        <is>
          <t>RELOJ PANTHERE GOLD</t>
        </is>
      </c>
      <c r="C1841" s="1" t="inlineStr">
        <is>
          <t>RELOJ SIN CAJA</t>
        </is>
      </c>
      <c r="D1841" s="1" t="inlineStr">
        <is>
          <t>20/01/2026</t>
        </is>
      </c>
      <c r="E1841" s="1" t="n">
        <v>2026</v>
      </c>
      <c r="F1841" s="1" t="inlineStr">
        <is>
          <t>ENERO</t>
        </is>
      </c>
      <c r="G1841" s="1" t="inlineStr">
        <is>
          <t>ZOEY</t>
        </is>
      </c>
      <c r="H1841" s="1" t="inlineStr">
        <is>
          <t>ZOEY 20/01/2026</t>
        </is>
      </c>
      <c r="I1841" s="4" t="n">
        <v>3</v>
      </c>
      <c r="J1841" s="6" t="n">
        <v>60</v>
      </c>
      <c r="K1841" s="6" t="n">
        <v>1561.895962</v>
      </c>
      <c r="L1841" s="6">
        <f>I1841*K1841</f>
        <v/>
      </c>
      <c r="M1841" s="6">
        <f>K1841*4</f>
        <v/>
      </c>
      <c r="N1841" s="6" t="n">
        <v>5379</v>
      </c>
    </row>
    <row r="1842">
      <c r="A1842" s="1" t="inlineStr">
        <is>
          <t>53890267165196</t>
        </is>
      </c>
      <c r="B1842" s="1" t="inlineStr">
        <is>
          <t>RELOJ PANTHERE GOLD</t>
        </is>
      </c>
      <c r="C1842" s="1" t="inlineStr">
        <is>
          <t>RELOJ SIN CAJA</t>
        </is>
      </c>
      <c r="D1842" s="1" t="inlineStr">
        <is>
          <t>02/03/2026</t>
        </is>
      </c>
      <c r="E1842" s="1" t="n">
        <v>2026</v>
      </c>
      <c r="F1842" s="1" t="inlineStr">
        <is>
          <t>MARZO</t>
        </is>
      </c>
      <c r="G1842" s="1" t="inlineStr">
        <is>
          <t>ZOEY</t>
        </is>
      </c>
      <c r="H1842" s="1" t="inlineStr">
        <is>
          <t>ZOEY 02/03/2026</t>
        </is>
      </c>
      <c r="I1842" s="4" t="n">
        <v>3</v>
      </c>
      <c r="J1842" s="6" t="n">
        <v>60</v>
      </c>
      <c r="K1842" s="6" t="n">
        <v>1576.618543</v>
      </c>
      <c r="L1842" s="6">
        <f>I1842*K1842</f>
        <v/>
      </c>
      <c r="M1842" s="6">
        <f>K1842*4</f>
        <v/>
      </c>
      <c r="N1842" s="6" t="n">
        <v>5379</v>
      </c>
    </row>
    <row r="1843">
      <c r="A1843" s="1" t="inlineStr">
        <is>
          <t>53890267165196</t>
        </is>
      </c>
      <c r="B1843" s="1" t="inlineStr">
        <is>
          <t>RELOJ PANTHERE GOLD</t>
        </is>
      </c>
      <c r="C1843" s="1" t="inlineStr">
        <is>
          <t>RELOJ SIN CAJA</t>
        </is>
      </c>
      <c r="D1843" s="1" t="inlineStr">
        <is>
          <t>20/04/2026</t>
        </is>
      </c>
      <c r="E1843" s="1" t="n">
        <v>2026</v>
      </c>
      <c r="F1843" s="1" t="inlineStr">
        <is>
          <t>ABRIL</t>
        </is>
      </c>
      <c r="G1843" s="1" t="inlineStr">
        <is>
          <t>ZOEY</t>
        </is>
      </c>
      <c r="H1843" s="1" t="inlineStr">
        <is>
          <t>ZOEY 20/04/2026</t>
        </is>
      </c>
      <c r="I1843" s="4" t="n">
        <v>5</v>
      </c>
      <c r="J1843" s="6" t="n">
        <v>60</v>
      </c>
      <c r="K1843" s="6" t="n">
        <v>1536.5267</v>
      </c>
      <c r="L1843" s="6">
        <f>I1843*K1843</f>
        <v/>
      </c>
      <c r="M1843" s="6">
        <f>K1843*4</f>
        <v/>
      </c>
      <c r="N1843" s="6" t="n">
        <v>5379</v>
      </c>
    </row>
    <row r="1844">
      <c r="A1844" s="1" t="inlineStr">
        <is>
          <t>54361211302573</t>
        </is>
      </c>
      <c r="B1844" s="1" t="inlineStr">
        <is>
          <t>BRAZALETE BV SILVER WHITE</t>
        </is>
      </c>
      <c r="C1844" s="1" t="n">
        <v>19</v>
      </c>
      <c r="D1844" s="1" t="inlineStr">
        <is>
          <t>25/09/2025</t>
        </is>
      </c>
      <c r="E1844" s="1" t="n">
        <v>2025</v>
      </c>
      <c r="F1844" s="1" t="inlineStr">
        <is>
          <t>SEPTIEMBRE</t>
        </is>
      </c>
      <c r="G1844" s="1" t="inlineStr">
        <is>
          <t>HAIFENG</t>
        </is>
      </c>
      <c r="H1844" s="1" t="inlineStr">
        <is>
          <t>HAIFENG 25/09/2025</t>
        </is>
      </c>
      <c r="I1844" s="4" t="n">
        <v>2</v>
      </c>
      <c r="J1844" s="6" t="n">
        <v>10</v>
      </c>
      <c r="K1844" s="6" t="n">
        <v>210.9688577</v>
      </c>
      <c r="L1844" s="6">
        <f>I1844*K1844</f>
        <v/>
      </c>
      <c r="M1844" s="6">
        <f>K1844*4</f>
        <v/>
      </c>
      <c r="N1844" s="6" t="n">
        <v>850</v>
      </c>
    </row>
    <row r="1845">
      <c r="A1845" s="1" t="inlineStr">
        <is>
          <t>54479961098957</t>
        </is>
      </c>
      <c r="B1845" s="1" t="inlineStr">
        <is>
          <t>COLLAR MSS SILVER CON ZIRCONIA</t>
        </is>
      </c>
      <c r="C1845" s="1" t="inlineStr">
        <is>
          <t>Default Title</t>
        </is>
      </c>
      <c r="D1845" s="1" t="inlineStr">
        <is>
          <t>01/09/2025</t>
        </is>
      </c>
      <c r="E1845" s="1" t="n">
        <v>2025</v>
      </c>
      <c r="F1845" s="1" t="inlineStr">
        <is>
          <t>SEPTIEMBRE</t>
        </is>
      </c>
      <c r="G1845" s="1" t="inlineStr">
        <is>
          <t>HAIFENG</t>
        </is>
      </c>
      <c r="H1845" s="1" t="inlineStr">
        <is>
          <t>HAIFENG 01/09/2025</t>
        </is>
      </c>
      <c r="I1845" s="4" t="n">
        <v>3</v>
      </c>
      <c r="J1845" s="6" t="n">
        <v>8</v>
      </c>
      <c r="K1845" s="6" t="n">
        <v>170.0453685</v>
      </c>
      <c r="L1845" s="6">
        <f>I1845*K1845</f>
        <v/>
      </c>
      <c r="M1845" s="6">
        <f>K1845*4</f>
        <v/>
      </c>
      <c r="N1845" s="6" t="n">
        <v>699</v>
      </c>
    </row>
    <row r="1846">
      <c r="A1846" s="1" t="inlineStr">
        <is>
          <t>54479961098957</t>
        </is>
      </c>
      <c r="B1846" s="1" t="inlineStr">
        <is>
          <t>COLLAR MSS SILVER CON ZIRCONIA</t>
        </is>
      </c>
      <c r="C1846" s="1" t="inlineStr">
        <is>
          <t>Default Title</t>
        </is>
      </c>
      <c r="D1846" s="1" t="inlineStr">
        <is>
          <t>03/12/2025</t>
        </is>
      </c>
      <c r="E1846" s="1" t="n">
        <v>2025</v>
      </c>
      <c r="F1846" s="1" t="inlineStr">
        <is>
          <t>DICIEMBRE</t>
        </is>
      </c>
      <c r="G1846" s="1" t="inlineStr">
        <is>
          <t>HAIFENG</t>
        </is>
      </c>
      <c r="H1846" s="1" t="inlineStr">
        <is>
          <t>HAIFENG 03/12/2025</t>
        </is>
      </c>
      <c r="I1846" s="4" t="n">
        <v>8</v>
      </c>
      <c r="J1846" s="6" t="n">
        <v>8</v>
      </c>
      <c r="K1846" s="6" t="n">
        <v>167.3372801</v>
      </c>
      <c r="L1846" s="6">
        <f>I1846*K1846</f>
        <v/>
      </c>
      <c r="M1846" s="6">
        <f>K1846*4</f>
        <v/>
      </c>
      <c r="N1846" s="6" t="n">
        <v>699</v>
      </c>
    </row>
    <row r="1847">
      <c r="A1847" s="1" t="inlineStr">
        <is>
          <t>54479961098957</t>
        </is>
      </c>
      <c r="B1847" s="1" t="inlineStr">
        <is>
          <t>COLLAR MSS SILVER CON ZIRCONIA</t>
        </is>
      </c>
      <c r="C1847" s="1" t="inlineStr">
        <is>
          <t>Default Title</t>
        </is>
      </c>
      <c r="D1847" s="1" t="inlineStr">
        <is>
          <t>10/02/2026</t>
        </is>
      </c>
      <c r="E1847" s="1" t="n">
        <v>2026</v>
      </c>
      <c r="F1847" s="1" t="inlineStr">
        <is>
          <t>FEBRERO</t>
        </is>
      </c>
      <c r="G1847" s="1" t="inlineStr">
        <is>
          <t>HAIFENG</t>
        </is>
      </c>
      <c r="H1847" s="1" t="inlineStr">
        <is>
          <t>HAIFENG 10/02/2026</t>
        </is>
      </c>
      <c r="I1847" s="4" t="n">
        <v>13</v>
      </c>
      <c r="J1847" s="6" t="n">
        <v>8</v>
      </c>
      <c r="K1847" s="6" t="n">
        <v>168.5479685</v>
      </c>
      <c r="L1847" s="6">
        <f>I1847*K1847</f>
        <v/>
      </c>
      <c r="M1847" s="6">
        <f>K1847*4</f>
        <v/>
      </c>
      <c r="N1847" s="6" t="n">
        <v>699</v>
      </c>
    </row>
    <row r="1848">
      <c r="A1848" s="1" t="inlineStr">
        <is>
          <t>54479961098957</t>
        </is>
      </c>
      <c r="B1848" s="1" t="inlineStr">
        <is>
          <t>COLLAR MSS SILVER CON ZIRCONIA</t>
        </is>
      </c>
      <c r="C1848" s="1" t="inlineStr">
        <is>
          <t>Default Title</t>
        </is>
      </c>
      <c r="D1848" s="1" t="inlineStr">
        <is>
          <t>06/05/2026</t>
        </is>
      </c>
      <c r="E1848" s="1" t="n">
        <v>2026</v>
      </c>
      <c r="F1848" s="1" t="inlineStr">
        <is>
          <t>MAYO</t>
        </is>
      </c>
      <c r="G1848" s="1" t="inlineStr">
        <is>
          <t>HAIFENG</t>
        </is>
      </c>
      <c r="H1848" s="1" t="inlineStr">
        <is>
          <t>HAIFENG 06/05/2026</t>
        </is>
      </c>
      <c r="I1848" s="4" t="n">
        <v>15</v>
      </c>
      <c r="J1848" s="6" t="n">
        <v>8</v>
      </c>
      <c r="K1848" s="6" t="n">
        <v>169.7491381</v>
      </c>
      <c r="L1848" s="6">
        <f>I1848*K1848</f>
        <v/>
      </c>
      <c r="M1848" s="6">
        <f>K1848*4</f>
        <v/>
      </c>
      <c r="N1848" s="6" t="n">
        <v>699</v>
      </c>
    </row>
    <row r="1849">
      <c r="A1849" s="1" t="inlineStr">
        <is>
          <t>54479961098957</t>
        </is>
      </c>
      <c r="B1849" s="1" t="inlineStr">
        <is>
          <t>COLLAR MSS SILVER CON ZIRCONIA</t>
        </is>
      </c>
      <c r="C1849" s="1" t="inlineStr">
        <is>
          <t>Default Title</t>
        </is>
      </c>
      <c r="D1849" s="1" t="inlineStr">
        <is>
          <t>26/05/2026</t>
        </is>
      </c>
      <c r="E1849" s="1" t="n">
        <v>2026</v>
      </c>
      <c r="F1849" s="1" t="inlineStr">
        <is>
          <t>MAYO</t>
        </is>
      </c>
      <c r="G1849" s="1" t="inlineStr">
        <is>
          <t>HAIFENG</t>
        </is>
      </c>
      <c r="H1849" s="1" t="inlineStr">
        <is>
          <t>HAIFENG 26/05/2026</t>
        </is>
      </c>
      <c r="I1849" s="4" t="n">
        <v>5</v>
      </c>
      <c r="J1849" s="6" t="n">
        <v>8</v>
      </c>
      <c r="K1849" s="6" t="n">
        <v>167.9143624</v>
      </c>
      <c r="L1849" s="6">
        <f>I1849*K1849</f>
        <v/>
      </c>
      <c r="M1849" s="6">
        <f>K1849*4</f>
        <v/>
      </c>
      <c r="N1849" s="6" t="n">
        <v>699</v>
      </c>
    </row>
    <row r="1850">
      <c r="A1850" s="1" t="inlineStr">
        <is>
          <t>54479961098957</t>
        </is>
      </c>
      <c r="B1850" s="1" t="inlineStr">
        <is>
          <t>COLLAR MSS SILVER CON ZIRCONIA</t>
        </is>
      </c>
      <c r="C1850" s="1" t="inlineStr">
        <is>
          <t>Default Title</t>
        </is>
      </c>
      <c r="D1850" s="1" t="inlineStr">
        <is>
          <t>26/05/2026</t>
        </is>
      </c>
      <c r="E1850" s="1" t="n">
        <v>2026</v>
      </c>
      <c r="F1850" s="1" t="inlineStr">
        <is>
          <t>MAYO</t>
        </is>
      </c>
      <c r="G1850" s="1" t="inlineStr">
        <is>
          <t>HAIFENG</t>
        </is>
      </c>
      <c r="H1850" s="1" t="inlineStr">
        <is>
          <t>HAIFENG 26/05/2026</t>
        </is>
      </c>
      <c r="I1850" s="4" t="n">
        <v>1</v>
      </c>
      <c r="J1850" s="6" t="n">
        <v>8</v>
      </c>
      <c r="K1850" s="6" t="n">
        <v>167.9143624</v>
      </c>
      <c r="L1850" s="6">
        <f>I1850*K1850</f>
        <v/>
      </c>
      <c r="M1850" s="6">
        <f>K1850*4</f>
        <v/>
      </c>
      <c r="N1850" s="6" t="n">
        <v>699</v>
      </c>
    </row>
    <row r="1851">
      <c r="A1851" s="1" t="inlineStr">
        <is>
          <t>54804110299361</t>
        </is>
      </c>
      <c r="B1851" s="1" t="inlineStr">
        <is>
          <t>COLLAR DOBLE PLACA CORAZÓN ROJO-PLATA</t>
        </is>
      </c>
      <c r="C1851" s="1" t="inlineStr">
        <is>
          <t>Con diamante</t>
        </is>
      </c>
      <c r="D1851" s="1" t="inlineStr">
        <is>
          <t>01/09/2025</t>
        </is>
      </c>
      <c r="E1851" s="1" t="n">
        <v>2025</v>
      </c>
      <c r="F1851" s="1" t="inlineStr">
        <is>
          <t>SEPTIEMBRE</t>
        </is>
      </c>
      <c r="G1851" s="1" t="inlineStr">
        <is>
          <t>HAIFENG</t>
        </is>
      </c>
      <c r="H1851" s="1" t="inlineStr">
        <is>
          <t>HAIFENG 01/09/2025</t>
        </is>
      </c>
      <c r="I1851" s="4" t="n">
        <v>4</v>
      </c>
      <c r="J1851" s="6" t="n">
        <v>5</v>
      </c>
      <c r="K1851" s="6" t="n">
        <v>106.2783553</v>
      </c>
      <c r="L1851" s="6">
        <f>I1851*K1851</f>
        <v/>
      </c>
      <c r="M1851" s="6">
        <f>K1851*4</f>
        <v/>
      </c>
      <c r="N1851" s="6" t="n">
        <v>770</v>
      </c>
    </row>
    <row r="1852">
      <c r="A1852" s="1" t="inlineStr">
        <is>
          <t>56072001110541</t>
        </is>
      </c>
      <c r="B1852" s="1" t="inlineStr">
        <is>
          <t>PULSERA F FOREVER BLACK GOLD</t>
        </is>
      </c>
      <c r="C1852" s="1" t="n"/>
      <c r="D1852" s="1" t="inlineStr">
        <is>
          <t>09/07/2026</t>
        </is>
      </c>
      <c r="E1852" s="1" t="n">
        <v>2026</v>
      </c>
      <c r="F1852" s="1" t="inlineStr">
        <is>
          <t>JULIO</t>
        </is>
      </c>
      <c r="G1852" s="1" t="inlineStr">
        <is>
          <t>NANCY</t>
        </is>
      </c>
      <c r="H1852" s="1" t="inlineStr">
        <is>
          <t>NANCY 09/07/2026</t>
        </is>
      </c>
      <c r="I1852" s="4" t="n">
        <v>2</v>
      </c>
      <c r="J1852" s="6" t="n">
        <v>6.99</v>
      </c>
      <c r="K1852" s="6" t="n">
        <v>170.3146583</v>
      </c>
      <c r="L1852" s="6">
        <f>I1852*K1852</f>
        <v/>
      </c>
      <c r="M1852" s="6">
        <f>K1852*4</f>
        <v/>
      </c>
      <c r="N1852" s="6" t="n"/>
    </row>
    <row r="1853">
      <c r="A1853" s="1" t="inlineStr">
        <is>
          <t>56481450498956</t>
        </is>
      </c>
      <c r="B1853" s="1" t="inlineStr">
        <is>
          <t>ANILLO CORAZÓN GRABADO</t>
        </is>
      </c>
      <c r="C1853" s="1" t="inlineStr">
        <is>
          <t>6</t>
        </is>
      </c>
      <c r="D1853" s="1" t="inlineStr">
        <is>
          <t>01/09/2025</t>
        </is>
      </c>
      <c r="E1853" s="1" t="n">
        <v>2025</v>
      </c>
      <c r="F1853" s="1" t="inlineStr">
        <is>
          <t>SEPTIEMBRE</t>
        </is>
      </c>
      <c r="G1853" s="1" t="inlineStr">
        <is>
          <t>HAIFENG</t>
        </is>
      </c>
      <c r="H1853" s="1" t="inlineStr">
        <is>
          <t>HAIFENG 01/09/2025</t>
        </is>
      </c>
      <c r="I1853" s="4" t="n">
        <v>3</v>
      </c>
      <c r="J1853" s="6" t="n">
        <v>5</v>
      </c>
      <c r="K1853" s="6" t="n">
        <v>106.2783553</v>
      </c>
      <c r="L1853" s="6">
        <f>I1853*K1853</f>
        <v/>
      </c>
      <c r="M1853" s="6">
        <f>K1853*4</f>
        <v/>
      </c>
      <c r="N1853" s="6" t="n">
        <v>450</v>
      </c>
    </row>
    <row r="1854">
      <c r="A1854" s="1" t="inlineStr">
        <is>
          <t>56481450498956</t>
        </is>
      </c>
      <c r="B1854" s="1" t="inlineStr">
        <is>
          <t>ANILLO CORAZÓN GRABADO</t>
        </is>
      </c>
      <c r="C1854" s="1" t="inlineStr">
        <is>
          <t>6</t>
        </is>
      </c>
      <c r="D1854" s="1" t="inlineStr">
        <is>
          <t>11/11/2025</t>
        </is>
      </c>
      <c r="E1854" s="1" t="n">
        <v>2025</v>
      </c>
      <c r="F1854" s="1" t="inlineStr">
        <is>
          <t>NOVIEMBRE</t>
        </is>
      </c>
      <c r="G1854" s="1" t="inlineStr">
        <is>
          <t>HAIFENG</t>
        </is>
      </c>
      <c r="H1854" s="1" t="inlineStr">
        <is>
          <t>HAIFENG 11/11/2025</t>
        </is>
      </c>
      <c r="I1854" s="4" t="n">
        <v>2</v>
      </c>
      <c r="J1854" s="6" t="n">
        <v>5</v>
      </c>
      <c r="K1854" s="6" t="n">
        <v>105.3024922</v>
      </c>
      <c r="L1854" s="6">
        <f>I1854*K1854</f>
        <v/>
      </c>
      <c r="M1854" s="6">
        <f>K1854*4</f>
        <v/>
      </c>
      <c r="N1854" s="6" t="n">
        <v>450</v>
      </c>
    </row>
    <row r="1855">
      <c r="A1855" s="1" t="inlineStr">
        <is>
          <t>56481450498956</t>
        </is>
      </c>
      <c r="B1855" s="1" t="inlineStr">
        <is>
          <t>ANILLO CORAZÓN GRABADO</t>
        </is>
      </c>
      <c r="C1855" s="1" t="inlineStr">
        <is>
          <t>6</t>
        </is>
      </c>
      <c r="D1855" s="1" t="inlineStr">
        <is>
          <t>03/12/2025</t>
        </is>
      </c>
      <c r="E1855" s="1" t="n">
        <v>2025</v>
      </c>
      <c r="F1855" s="1" t="inlineStr">
        <is>
          <t>DICIEMBRE</t>
        </is>
      </c>
      <c r="G1855" s="1" t="inlineStr">
        <is>
          <t>HAIFENG</t>
        </is>
      </c>
      <c r="H1855" s="1" t="inlineStr">
        <is>
          <t>HAIFENG 03/12/2025</t>
        </is>
      </c>
      <c r="I1855" s="4" t="n">
        <v>2</v>
      </c>
      <c r="J1855" s="6" t="n">
        <v>5</v>
      </c>
      <c r="K1855" s="6" t="n">
        <v>104.5858001</v>
      </c>
      <c r="L1855" s="6">
        <f>I1855*K1855</f>
        <v/>
      </c>
      <c r="M1855" s="6">
        <f>K1855*4</f>
        <v/>
      </c>
      <c r="N1855" s="6" t="n">
        <v>450</v>
      </c>
    </row>
    <row r="1856">
      <c r="A1856" s="1" t="inlineStr">
        <is>
          <t>56481450498956</t>
        </is>
      </c>
      <c r="B1856" s="1" t="inlineStr">
        <is>
          <t>ANILLO CORAZÓN GRABADO</t>
        </is>
      </c>
      <c r="C1856" s="1" t="inlineStr">
        <is>
          <t>6</t>
        </is>
      </c>
      <c r="D1856" s="1" t="inlineStr">
        <is>
          <t>20/01/2026</t>
        </is>
      </c>
      <c r="E1856" s="1" t="n">
        <v>2026</v>
      </c>
      <c r="F1856" s="1" t="inlineStr">
        <is>
          <t>ENERO</t>
        </is>
      </c>
      <c r="G1856" s="1" t="inlineStr">
        <is>
          <t>HAIFENG</t>
        </is>
      </c>
      <c r="H1856" s="1" t="inlineStr">
        <is>
          <t>HAIFENG 20/01/2026</t>
        </is>
      </c>
      <c r="I1856" s="4" t="n">
        <v>2</v>
      </c>
      <c r="J1856" s="6" t="n">
        <v>5</v>
      </c>
      <c r="K1856" s="6" t="n">
        <v>106.002089</v>
      </c>
      <c r="L1856" s="6">
        <f>I1856*K1856</f>
        <v/>
      </c>
      <c r="M1856" s="6">
        <f>K1856*4</f>
        <v/>
      </c>
      <c r="N1856" s="6" t="n">
        <v>450</v>
      </c>
    </row>
    <row r="1857">
      <c r="A1857" s="1" t="inlineStr">
        <is>
          <t>56481450498956</t>
        </is>
      </c>
      <c r="B1857" s="1" t="inlineStr">
        <is>
          <t>ANILLO CORAZÓN GRABADO</t>
        </is>
      </c>
      <c r="C1857" s="1" t="inlineStr">
        <is>
          <t>6</t>
        </is>
      </c>
      <c r="D1857" s="1" t="inlineStr">
        <is>
          <t>10/02/2026</t>
        </is>
      </c>
      <c r="E1857" s="1" t="n">
        <v>2026</v>
      </c>
      <c r="F1857" s="1" t="inlineStr">
        <is>
          <t>FEBRERO</t>
        </is>
      </c>
      <c r="G1857" s="1" t="inlineStr">
        <is>
          <t>HAIFENG</t>
        </is>
      </c>
      <c r="H1857" s="1" t="inlineStr">
        <is>
          <t>HAIFENG 10/02/2026</t>
        </is>
      </c>
      <c r="I1857" s="4" t="n">
        <v>8</v>
      </c>
      <c r="J1857" s="6" t="n">
        <v>5</v>
      </c>
      <c r="K1857" s="6" t="n">
        <v>105.3424803</v>
      </c>
      <c r="L1857" s="6">
        <f>I1857*K1857</f>
        <v/>
      </c>
      <c r="M1857" s="6">
        <f>K1857*4</f>
        <v/>
      </c>
      <c r="N1857" s="6" t="n">
        <v>450</v>
      </c>
    </row>
    <row r="1858">
      <c r="A1858" s="1" t="inlineStr">
        <is>
          <t>56481450531724</t>
        </is>
      </c>
      <c r="B1858" s="1" t="inlineStr">
        <is>
          <t>ANILLO CORAZÓN GRABADO</t>
        </is>
      </c>
      <c r="C1858" s="1" t="inlineStr">
        <is>
          <t>7</t>
        </is>
      </c>
      <c r="D1858" s="1" t="inlineStr">
        <is>
          <t>25/09/2025</t>
        </is>
      </c>
      <c r="E1858" s="1" t="n">
        <v>2025</v>
      </c>
      <c r="F1858" s="1" t="inlineStr">
        <is>
          <t>SEPTIEMBRE</t>
        </is>
      </c>
      <c r="G1858" s="1" t="inlineStr">
        <is>
          <t>HAIFENG</t>
        </is>
      </c>
      <c r="H1858" s="1" t="inlineStr">
        <is>
          <t>HAIFENG 25/09/2025</t>
        </is>
      </c>
      <c r="I1858" s="4" t="n">
        <v>1</v>
      </c>
      <c r="J1858" s="6" t="n">
        <v>5</v>
      </c>
      <c r="K1858" s="6" t="n">
        <v>105.4844288</v>
      </c>
      <c r="L1858" s="6">
        <f>I1858*K1858</f>
        <v/>
      </c>
      <c r="M1858" s="6">
        <f>K1858*4</f>
        <v/>
      </c>
      <c r="N1858" s="6" t="n">
        <v>450</v>
      </c>
    </row>
    <row r="1859">
      <c r="A1859" s="1" t="inlineStr">
        <is>
          <t>56481450531724</t>
        </is>
      </c>
      <c r="B1859" s="1" t="inlineStr">
        <is>
          <t>ANILLO CORAZÓN GRABADO</t>
        </is>
      </c>
      <c r="C1859" s="1" t="inlineStr">
        <is>
          <t>7</t>
        </is>
      </c>
      <c r="D1859" s="1" t="inlineStr">
        <is>
          <t>03/12/2025</t>
        </is>
      </c>
      <c r="E1859" s="1" t="n">
        <v>2025</v>
      </c>
      <c r="F1859" s="1" t="inlineStr">
        <is>
          <t>DICIEMBRE</t>
        </is>
      </c>
      <c r="G1859" s="1" t="inlineStr">
        <is>
          <t>HAIFENG</t>
        </is>
      </c>
      <c r="H1859" s="1" t="inlineStr">
        <is>
          <t>HAIFENG 03/12/2025</t>
        </is>
      </c>
      <c r="I1859" s="4" t="n">
        <v>1</v>
      </c>
      <c r="J1859" s="6" t="n">
        <v>5</v>
      </c>
      <c r="K1859" s="6" t="n">
        <v>104.5858001</v>
      </c>
      <c r="L1859" s="6">
        <f>I1859*K1859</f>
        <v/>
      </c>
      <c r="M1859" s="6">
        <f>K1859*4</f>
        <v/>
      </c>
      <c r="N1859" s="6" t="n">
        <v>450</v>
      </c>
    </row>
    <row r="1860">
      <c r="A1860" s="1" t="inlineStr">
        <is>
          <t>56481450531724</t>
        </is>
      </c>
      <c r="B1860" s="1" t="n"/>
      <c r="C1860" s="1" t="inlineStr">
        <is>
          <t>7</t>
        </is>
      </c>
      <c r="D1860" s="1" t="inlineStr">
        <is>
          <t>10/02/2026</t>
        </is>
      </c>
      <c r="E1860" s="1" t="n">
        <v>2026</v>
      </c>
      <c r="F1860" s="1" t="inlineStr">
        <is>
          <t>FEBRERO</t>
        </is>
      </c>
      <c r="G1860" s="1" t="inlineStr">
        <is>
          <t>HAIFENG</t>
        </is>
      </c>
      <c r="H1860" s="1" t="inlineStr">
        <is>
          <t>HAIFENG 10/02/2026</t>
        </is>
      </c>
      <c r="I1860" s="4" t="n">
        <v>4</v>
      </c>
      <c r="J1860" s="6" t="n">
        <v>5</v>
      </c>
      <c r="K1860" s="6" t="n">
        <v>105.3424803</v>
      </c>
      <c r="L1860" s="6">
        <f>I1860*K1860</f>
        <v/>
      </c>
      <c r="M1860" s="6">
        <f>K1860*4</f>
        <v/>
      </c>
      <c r="N1860" s="6" t="n">
        <v>450</v>
      </c>
    </row>
    <row r="1861">
      <c r="A1861" s="1" t="inlineStr">
        <is>
          <t>56481450531724</t>
        </is>
      </c>
      <c r="B1861" s="1" t="inlineStr">
        <is>
          <t>ANILLO CORAZÓN GRABADO</t>
        </is>
      </c>
      <c r="C1861" s="1" t="inlineStr">
        <is>
          <t>7</t>
        </is>
      </c>
      <c r="D1861" s="1" t="inlineStr">
        <is>
          <t>16/04/2026</t>
        </is>
      </c>
      <c r="E1861" s="1" t="n">
        <v>2026</v>
      </c>
      <c r="F1861" s="1" t="inlineStr">
        <is>
          <t>ABRIL</t>
        </is>
      </c>
      <c r="G1861" s="1" t="inlineStr">
        <is>
          <t>HAIFENG</t>
        </is>
      </c>
      <c r="H1861" s="1" t="inlineStr">
        <is>
          <t>HAIFENG 16/04/2026</t>
        </is>
      </c>
      <c r="I1861" s="4" t="n">
        <v>2</v>
      </c>
      <c r="J1861" s="6" t="n">
        <v>5</v>
      </c>
      <c r="K1861" s="6" t="n">
        <v>105.1573679</v>
      </c>
      <c r="L1861" s="6">
        <f>I1861*K1861</f>
        <v/>
      </c>
      <c r="M1861" s="6">
        <f>K1861*4</f>
        <v/>
      </c>
      <c r="N1861" s="6" t="n">
        <v>450</v>
      </c>
    </row>
    <row r="1862">
      <c r="A1862" s="1" t="inlineStr">
        <is>
          <t>56481450564492</t>
        </is>
      </c>
      <c r="B1862" s="1" t="inlineStr">
        <is>
          <t>ANILLO CORAZÓN GRABADO</t>
        </is>
      </c>
      <c r="C1862" s="1" t="inlineStr">
        <is>
          <t>8</t>
        </is>
      </c>
      <c r="D1862" s="1" t="inlineStr">
        <is>
          <t>25/09/2025</t>
        </is>
      </c>
      <c r="E1862" s="1" t="n">
        <v>2025</v>
      </c>
      <c r="F1862" s="1" t="inlineStr">
        <is>
          <t>SEPTIEMBRE</t>
        </is>
      </c>
      <c r="G1862" s="1" t="inlineStr">
        <is>
          <t>HAIFENG</t>
        </is>
      </c>
      <c r="H1862" s="1" t="inlineStr">
        <is>
          <t>HAIFENG 25/09/2025</t>
        </is>
      </c>
      <c r="I1862" s="4" t="n">
        <v>2</v>
      </c>
      <c r="J1862" s="6" t="n">
        <v>5</v>
      </c>
      <c r="K1862" s="6" t="n">
        <v>105.4844288</v>
      </c>
      <c r="L1862" s="6">
        <f>I1862*K1862</f>
        <v/>
      </c>
      <c r="M1862" s="6">
        <f>K1862*4</f>
        <v/>
      </c>
      <c r="N1862" s="6" t="n">
        <v>450</v>
      </c>
    </row>
    <row r="1863">
      <c r="A1863" s="1" t="inlineStr">
        <is>
          <t>56481450564492</t>
        </is>
      </c>
      <c r="B1863" s="1" t="inlineStr">
        <is>
          <t>ANILLO CORAZÓN GRABADO</t>
        </is>
      </c>
      <c r="C1863" s="1" t="inlineStr">
        <is>
          <t>8</t>
        </is>
      </c>
      <c r="D1863" s="1" t="inlineStr">
        <is>
          <t>11/11/2025</t>
        </is>
      </c>
      <c r="E1863" s="1" t="n">
        <v>2025</v>
      </c>
      <c r="F1863" s="1" t="inlineStr">
        <is>
          <t>NOVIEMBRE</t>
        </is>
      </c>
      <c r="G1863" s="1" t="inlineStr">
        <is>
          <t>HAIFENG</t>
        </is>
      </c>
      <c r="H1863" s="1" t="inlineStr">
        <is>
          <t>HAIFENG 11/11/2025</t>
        </is>
      </c>
      <c r="I1863" s="4" t="n">
        <v>2</v>
      </c>
      <c r="J1863" s="6" t="n">
        <v>5</v>
      </c>
      <c r="K1863" s="6" t="n">
        <v>105.3024922</v>
      </c>
      <c r="L1863" s="6">
        <f>I1863*K1863</f>
        <v/>
      </c>
      <c r="M1863" s="6">
        <f>K1863*4</f>
        <v/>
      </c>
      <c r="N1863" s="6" t="n">
        <v>450</v>
      </c>
    </row>
    <row r="1864">
      <c r="A1864" s="1" t="inlineStr">
        <is>
          <t>56481450564492</t>
        </is>
      </c>
      <c r="B1864" s="1" t="inlineStr">
        <is>
          <t>ANILLO CORAZÓN GRABADO</t>
        </is>
      </c>
      <c r="C1864" s="1" t="inlineStr">
        <is>
          <t>8</t>
        </is>
      </c>
      <c r="D1864" s="1" t="inlineStr">
        <is>
          <t>03/12/2025</t>
        </is>
      </c>
      <c r="E1864" s="1" t="n">
        <v>2025</v>
      </c>
      <c r="F1864" s="1" t="inlineStr">
        <is>
          <t>DICIEMBRE</t>
        </is>
      </c>
      <c r="G1864" s="1" t="inlineStr">
        <is>
          <t>HAIFENG</t>
        </is>
      </c>
      <c r="H1864" s="1" t="inlineStr">
        <is>
          <t>HAIFENG 03/12/2025</t>
        </is>
      </c>
      <c r="I1864" s="4" t="n">
        <v>5</v>
      </c>
      <c r="J1864" s="6" t="n">
        <v>5</v>
      </c>
      <c r="K1864" s="6" t="n">
        <v>104.5858001</v>
      </c>
      <c r="L1864" s="6">
        <f>I1864*K1864</f>
        <v/>
      </c>
      <c r="M1864" s="6">
        <f>K1864*4</f>
        <v/>
      </c>
      <c r="N1864" s="6" t="n">
        <v>450</v>
      </c>
    </row>
    <row r="1865">
      <c r="A1865" s="1" t="inlineStr">
        <is>
          <t>56481450564492</t>
        </is>
      </c>
      <c r="B1865" s="1" t="inlineStr">
        <is>
          <t>ANILLO CORAZÓN GRABADO</t>
        </is>
      </c>
      <c r="C1865" s="1" t="inlineStr">
        <is>
          <t>8</t>
        </is>
      </c>
      <c r="D1865" s="1" t="inlineStr">
        <is>
          <t>20/01/2026</t>
        </is>
      </c>
      <c r="E1865" s="1" t="n">
        <v>2026</v>
      </c>
      <c r="F1865" s="1" t="inlineStr">
        <is>
          <t>ENERO</t>
        </is>
      </c>
      <c r="G1865" s="1" t="inlineStr">
        <is>
          <t>HAIFENG</t>
        </is>
      </c>
      <c r="H1865" s="1" t="inlineStr">
        <is>
          <t>HAIFENG 20/01/2026</t>
        </is>
      </c>
      <c r="I1865" s="4" t="n">
        <v>5</v>
      </c>
      <c r="J1865" s="6" t="n">
        <v>5</v>
      </c>
      <c r="K1865" s="6" t="n">
        <v>106.002089</v>
      </c>
      <c r="L1865" s="6">
        <f>I1865*K1865</f>
        <v/>
      </c>
      <c r="M1865" s="6">
        <f>K1865*4</f>
        <v/>
      </c>
      <c r="N1865" s="6" t="n">
        <v>450</v>
      </c>
    </row>
    <row r="1866">
      <c r="A1866" s="1" t="inlineStr">
        <is>
          <t>56481450564492</t>
        </is>
      </c>
      <c r="B1866" s="1" t="inlineStr">
        <is>
          <t>ANILLO CORAZÓN GRABADO</t>
        </is>
      </c>
      <c r="C1866" s="1" t="inlineStr">
        <is>
          <t>8</t>
        </is>
      </c>
      <c r="D1866" s="1" t="inlineStr">
        <is>
          <t>16/06/2026</t>
        </is>
      </c>
      <c r="E1866" s="1" t="n">
        <v>2026</v>
      </c>
      <c r="F1866" s="1" t="inlineStr">
        <is>
          <t>JUNIO</t>
        </is>
      </c>
      <c r="G1866" s="1" t="inlineStr">
        <is>
          <t>HAIFENG</t>
        </is>
      </c>
      <c r="H1866" s="1" t="inlineStr">
        <is>
          <t>HAIFENG 16/06/2026</t>
        </is>
      </c>
      <c r="I1866" s="4" t="n">
        <v>3</v>
      </c>
      <c r="J1866" s="6" t="n">
        <v>5</v>
      </c>
      <c r="K1866" s="6" t="n">
        <v>105.0730323</v>
      </c>
      <c r="L1866" s="6">
        <f>I1866*K1866</f>
        <v/>
      </c>
      <c r="M1866" s="6">
        <f>K1866*4</f>
        <v/>
      </c>
      <c r="N1866" s="6" t="n">
        <v>450</v>
      </c>
    </row>
    <row r="1867">
      <c r="A1867" s="1" t="inlineStr">
        <is>
          <t>56481462558348</t>
        </is>
      </c>
      <c r="B1867" s="1" t="inlineStr">
        <is>
          <t>ANILLO ECROU SILVER</t>
        </is>
      </c>
      <c r="C1867" s="1" t="n">
        <v>6</v>
      </c>
      <c r="D1867" s="1" t="inlineStr">
        <is>
          <t>31/05/2026</t>
        </is>
      </c>
      <c r="E1867" s="1" t="n">
        <v>2026</v>
      </c>
      <c r="F1867" s="1" t="inlineStr">
        <is>
          <t>MAYO</t>
        </is>
      </c>
      <c r="G1867" s="1" t="inlineStr">
        <is>
          <t>NANCY</t>
        </is>
      </c>
      <c r="H1867" s="1" t="inlineStr">
        <is>
          <t>NANCY 31/05/2026</t>
        </is>
      </c>
      <c r="I1867" s="4" t="n">
        <v>2</v>
      </c>
      <c r="J1867" s="6" t="n">
        <v>3.29</v>
      </c>
      <c r="K1867" s="6" t="n">
        <v>79.84037015</v>
      </c>
      <c r="L1867" s="6">
        <f>I1867*K1867</f>
        <v/>
      </c>
      <c r="M1867" s="6">
        <f>K1867*4</f>
        <v/>
      </c>
      <c r="N1867" s="6" t="n">
        <v>560</v>
      </c>
    </row>
    <row r="1868">
      <c r="A1868" s="1" t="inlineStr">
        <is>
          <t>56481462591116</t>
        </is>
      </c>
      <c r="B1868" s="1" t="inlineStr">
        <is>
          <t>ANILLO ECROU SILVER</t>
        </is>
      </c>
      <c r="C1868" s="1" t="n">
        <v>7</v>
      </c>
      <c r="D1868" s="1" t="inlineStr">
        <is>
          <t>01/03/2026</t>
        </is>
      </c>
      <c r="E1868" s="1" t="n">
        <v>2026</v>
      </c>
      <c r="F1868" s="1" t="inlineStr">
        <is>
          <t>MARZO</t>
        </is>
      </c>
      <c r="G1868" s="1" t="inlineStr">
        <is>
          <t>NANCY</t>
        </is>
      </c>
      <c r="H1868" s="1" t="inlineStr">
        <is>
          <t>NANCY 01/03/2026</t>
        </is>
      </c>
      <c r="I1868" s="4" t="n">
        <v>2</v>
      </c>
      <c r="J1868" s="6" t="n">
        <v>3.29</v>
      </c>
      <c r="K1868" s="6" t="n">
        <v>83.24923332</v>
      </c>
      <c r="L1868" s="6">
        <f>I1868*K1868</f>
        <v/>
      </c>
      <c r="M1868" s="6">
        <f>K1868*4</f>
        <v/>
      </c>
      <c r="N1868" s="6" t="n">
        <v>560</v>
      </c>
    </row>
    <row r="1869">
      <c r="A1869" s="1" t="inlineStr">
        <is>
          <t>56481462591116</t>
        </is>
      </c>
      <c r="B1869" s="1" t="inlineStr">
        <is>
          <t>ANILLO ECROU SILVER</t>
        </is>
      </c>
      <c r="C1869" s="1" t="n">
        <v>7</v>
      </c>
      <c r="D1869" s="1" t="inlineStr">
        <is>
          <t>01/04/2026</t>
        </is>
      </c>
      <c r="E1869" s="1" t="n">
        <v>2026</v>
      </c>
      <c r="F1869" s="1" t="inlineStr">
        <is>
          <t>ABRIL</t>
        </is>
      </c>
      <c r="G1869" s="1" t="inlineStr">
        <is>
          <t>NANCY</t>
        </is>
      </c>
      <c r="H1869" s="1" t="inlineStr">
        <is>
          <t>NANCY 01/04/2026</t>
        </is>
      </c>
      <c r="I1869" s="4" t="n">
        <v>2</v>
      </c>
      <c r="J1869" s="6" t="n">
        <v>3.29</v>
      </c>
      <c r="K1869" s="6" t="n">
        <v>78.76427652</v>
      </c>
      <c r="L1869" s="6">
        <f>I1869*K1869</f>
        <v/>
      </c>
      <c r="M1869" s="6">
        <f>K1869*4</f>
        <v/>
      </c>
      <c r="N1869" s="6" t="n">
        <v>560</v>
      </c>
    </row>
    <row r="1870">
      <c r="A1870" s="1" t="inlineStr">
        <is>
          <t>56481462623884</t>
        </is>
      </c>
      <c r="B1870" s="1" t="inlineStr">
        <is>
          <t>ANILLO KNOT GOLD</t>
        </is>
      </c>
      <c r="C1870" s="1" t="n">
        <v>8</v>
      </c>
      <c r="D1870" s="1" t="inlineStr">
        <is>
          <t>03/12/2025</t>
        </is>
      </c>
      <c r="E1870" s="1" t="n">
        <v>2025</v>
      </c>
      <c r="F1870" s="1" t="inlineStr">
        <is>
          <t>DICIEMBRE</t>
        </is>
      </c>
      <c r="G1870" s="1" t="inlineStr">
        <is>
          <t>NANCY</t>
        </is>
      </c>
      <c r="H1870" s="1" t="inlineStr">
        <is>
          <t>NANCY 03/12/2025</t>
        </is>
      </c>
      <c r="I1870" s="4" t="n">
        <v>2</v>
      </c>
      <c r="J1870" s="6" t="n">
        <v>3.29</v>
      </c>
      <c r="K1870" s="6" t="n">
        <v>77.83067921</v>
      </c>
      <c r="L1870" s="6">
        <f>I1870*K1870</f>
        <v/>
      </c>
      <c r="M1870" s="6">
        <f>K1870*4</f>
        <v/>
      </c>
      <c r="N1870" s="6" t="n">
        <v>560</v>
      </c>
    </row>
    <row r="1871">
      <c r="A1871" s="1" t="inlineStr">
        <is>
          <t>56481462623884</t>
        </is>
      </c>
      <c r="B1871" s="1" t="inlineStr">
        <is>
          <t>ANILLO ECROU SILVER</t>
        </is>
      </c>
      <c r="C1871" s="1" t="n">
        <v>8</v>
      </c>
      <c r="D1871" s="1" t="inlineStr">
        <is>
          <t>01/04/2026</t>
        </is>
      </c>
      <c r="E1871" s="1" t="n">
        <v>2026</v>
      </c>
      <c r="F1871" s="1" t="inlineStr">
        <is>
          <t>ABRIL</t>
        </is>
      </c>
      <c r="G1871" s="1" t="inlineStr">
        <is>
          <t>NANCY</t>
        </is>
      </c>
      <c r="H1871" s="1" t="inlineStr">
        <is>
          <t>NANCY 01/04/2026</t>
        </is>
      </c>
      <c r="I1871" s="4" t="n">
        <v>1</v>
      </c>
      <c r="J1871" s="6" t="n">
        <v>3.29</v>
      </c>
      <c r="K1871" s="6" t="n">
        <v>78.76427652</v>
      </c>
      <c r="L1871" s="6">
        <f>I1871*K1871</f>
        <v/>
      </c>
      <c r="M1871" s="6">
        <f>K1871*4</f>
        <v/>
      </c>
      <c r="N1871" s="6" t="n">
        <v>560</v>
      </c>
    </row>
    <row r="1872">
      <c r="A1872" s="1" t="inlineStr">
        <is>
          <t>56481463199244</t>
        </is>
      </c>
      <c r="B1872" s="1" t="inlineStr">
        <is>
          <t>ANILLO ESLABÓN GOLD</t>
        </is>
      </c>
      <c r="C1872" s="1" t="inlineStr">
        <is>
          <t>6</t>
        </is>
      </c>
      <c r="D1872" s="1" t="inlineStr">
        <is>
          <t>01/09/2025</t>
        </is>
      </c>
      <c r="E1872" s="1" t="n">
        <v>2025</v>
      </c>
      <c r="F1872" s="1" t="inlineStr">
        <is>
          <t>SEPTIEMBRE</t>
        </is>
      </c>
      <c r="G1872" s="1" t="inlineStr">
        <is>
          <t>HAIFENG</t>
        </is>
      </c>
      <c r="H1872" s="1" t="inlineStr">
        <is>
          <t>HAIFENG 01/09/2025</t>
        </is>
      </c>
      <c r="I1872" s="4" t="n">
        <v>4</v>
      </c>
      <c r="J1872" s="6" t="n">
        <v>6</v>
      </c>
      <c r="K1872" s="6" t="n">
        <v>127.5340264</v>
      </c>
      <c r="L1872" s="6">
        <f>I1872*K1872</f>
        <v/>
      </c>
      <c r="M1872" s="6">
        <f>K1872*4</f>
        <v/>
      </c>
      <c r="N1872" s="6" t="n">
        <v>520</v>
      </c>
    </row>
    <row r="1873">
      <c r="A1873" s="1" t="inlineStr">
        <is>
          <t>56481463199244</t>
        </is>
      </c>
      <c r="B1873" s="1" t="inlineStr">
        <is>
          <t>ANILLO ESLABÓN GOLD</t>
        </is>
      </c>
      <c r="C1873" s="1" t="inlineStr">
        <is>
          <t>6</t>
        </is>
      </c>
      <c r="D1873" s="1" t="inlineStr">
        <is>
          <t>11/11/2025</t>
        </is>
      </c>
      <c r="E1873" s="1" t="n">
        <v>2025</v>
      </c>
      <c r="F1873" s="1" t="inlineStr">
        <is>
          <t>NOVIEMBRE</t>
        </is>
      </c>
      <c r="G1873" s="1" t="inlineStr">
        <is>
          <t>HAIFENG</t>
        </is>
      </c>
      <c r="H1873" s="1" t="inlineStr">
        <is>
          <t>HAIFENG 11/11/2025</t>
        </is>
      </c>
      <c r="I1873" s="4" t="n">
        <v>3</v>
      </c>
      <c r="J1873" s="6" t="n">
        <v>6</v>
      </c>
      <c r="K1873" s="6" t="n">
        <v>126.3629907</v>
      </c>
      <c r="L1873" s="6">
        <f>I1873*K1873</f>
        <v/>
      </c>
      <c r="M1873" s="6">
        <f>K1873*4</f>
        <v/>
      </c>
      <c r="N1873" s="6" t="n">
        <v>520</v>
      </c>
    </row>
    <row r="1874">
      <c r="A1874" s="1" t="inlineStr">
        <is>
          <t>56481463199244</t>
        </is>
      </c>
      <c r="B1874" s="1" t="inlineStr">
        <is>
          <t>ANILLO ESLABÓN GOLD</t>
        </is>
      </c>
      <c r="C1874" s="1" t="inlineStr">
        <is>
          <t>6</t>
        </is>
      </c>
      <c r="D1874" s="1" t="inlineStr">
        <is>
          <t>03/12/2025</t>
        </is>
      </c>
      <c r="E1874" s="1" t="n">
        <v>2025</v>
      </c>
      <c r="F1874" s="1" t="inlineStr">
        <is>
          <t>DICIEMBRE</t>
        </is>
      </c>
      <c r="G1874" s="1" t="inlineStr">
        <is>
          <t>HAIFENG</t>
        </is>
      </c>
      <c r="H1874" s="1" t="inlineStr">
        <is>
          <t>HAIFENG 03/12/2025</t>
        </is>
      </c>
      <c r="I1874" s="4" t="n">
        <v>4</v>
      </c>
      <c r="J1874" s="6" t="n">
        <v>6</v>
      </c>
      <c r="K1874" s="6" t="n">
        <v>125.5029601</v>
      </c>
      <c r="L1874" s="6">
        <f>I1874*K1874</f>
        <v/>
      </c>
      <c r="M1874" s="6">
        <f>K1874*4</f>
        <v/>
      </c>
      <c r="N1874" s="6" t="n">
        <v>520</v>
      </c>
    </row>
    <row r="1875">
      <c r="A1875" s="1" t="inlineStr">
        <is>
          <t>56481463199244</t>
        </is>
      </c>
      <c r="B1875" s="1" t="inlineStr">
        <is>
          <t>ANILLO ESLABÓN GOLD</t>
        </is>
      </c>
      <c r="C1875" s="1" t="inlineStr">
        <is>
          <t>6</t>
        </is>
      </c>
      <c r="D1875" s="1" t="inlineStr">
        <is>
          <t>11/03/2026</t>
        </is>
      </c>
      <c r="E1875" s="1" t="n">
        <v>2026</v>
      </c>
      <c r="F1875" s="1" t="inlineStr">
        <is>
          <t>MARZO</t>
        </is>
      </c>
      <c r="G1875" s="1" t="inlineStr">
        <is>
          <t>HAIFENG</t>
        </is>
      </c>
      <c r="H1875" s="1" t="inlineStr">
        <is>
          <t>HAIFENG 11/03/2026</t>
        </is>
      </c>
      <c r="I1875" s="4" t="n">
        <v>4</v>
      </c>
      <c r="J1875" s="6" t="n">
        <v>6</v>
      </c>
      <c r="K1875" s="6" t="n">
        <v>127.8233773</v>
      </c>
      <c r="L1875" s="6">
        <f>I1875*K1875</f>
        <v/>
      </c>
      <c r="M1875" s="6">
        <f>K1875*4</f>
        <v/>
      </c>
      <c r="N1875" s="6" t="n">
        <v>520</v>
      </c>
    </row>
    <row r="1876">
      <c r="A1876" s="1" t="inlineStr">
        <is>
          <t>56481463232012</t>
        </is>
      </c>
      <c r="B1876" s="1" t="inlineStr">
        <is>
          <t>ANILLO ESLABÓN GOLD</t>
        </is>
      </c>
      <c r="C1876" s="1" t="inlineStr">
        <is>
          <t>7</t>
        </is>
      </c>
      <c r="D1876" s="1" t="inlineStr">
        <is>
          <t>01/09/2025</t>
        </is>
      </c>
      <c r="E1876" s="1" t="n">
        <v>2025</v>
      </c>
      <c r="F1876" s="1" t="inlineStr">
        <is>
          <t>SEPTIEMBRE</t>
        </is>
      </c>
      <c r="G1876" s="1" t="inlineStr">
        <is>
          <t>HAIFENG</t>
        </is>
      </c>
      <c r="H1876" s="1" t="inlineStr">
        <is>
          <t>HAIFENG 01/09/2025</t>
        </is>
      </c>
      <c r="I1876" s="4" t="n">
        <v>3</v>
      </c>
      <c r="J1876" s="6" t="n">
        <v>6</v>
      </c>
      <c r="K1876" s="6" t="n">
        <v>127.5340264</v>
      </c>
      <c r="L1876" s="6">
        <f>I1876*K1876</f>
        <v/>
      </c>
      <c r="M1876" s="6">
        <f>K1876*4</f>
        <v/>
      </c>
      <c r="N1876" s="6" t="n">
        <v>520</v>
      </c>
    </row>
    <row r="1877">
      <c r="A1877" s="1" t="inlineStr">
        <is>
          <t>56481463232012</t>
        </is>
      </c>
      <c r="B1877" s="1" t="inlineStr">
        <is>
          <t>ANILLO ESLABÓN GOLD</t>
        </is>
      </c>
      <c r="C1877" s="1" t="inlineStr">
        <is>
          <t>7</t>
        </is>
      </c>
      <c r="D1877" s="1" t="inlineStr">
        <is>
          <t>11/11/2025</t>
        </is>
      </c>
      <c r="E1877" s="1" t="n">
        <v>2025</v>
      </c>
      <c r="F1877" s="1" t="inlineStr">
        <is>
          <t>NOVIEMBRE</t>
        </is>
      </c>
      <c r="G1877" s="1" t="inlineStr">
        <is>
          <t>HAIFENG</t>
        </is>
      </c>
      <c r="H1877" s="1" t="inlineStr">
        <is>
          <t>HAIFENG 11/11/2025</t>
        </is>
      </c>
      <c r="I1877" s="4" t="n">
        <v>2</v>
      </c>
      <c r="J1877" s="6" t="n">
        <v>6</v>
      </c>
      <c r="K1877" s="6" t="n">
        <v>126.3629907</v>
      </c>
      <c r="L1877" s="6">
        <f>I1877*K1877</f>
        <v/>
      </c>
      <c r="M1877" s="6">
        <f>K1877*4</f>
        <v/>
      </c>
      <c r="N1877" s="6" t="n">
        <v>520</v>
      </c>
    </row>
    <row r="1878">
      <c r="A1878" s="1" t="inlineStr">
        <is>
          <t>56481463232012</t>
        </is>
      </c>
      <c r="B1878" s="1" t="inlineStr">
        <is>
          <t>ANILLO ESLABÓN GOLD</t>
        </is>
      </c>
      <c r="C1878" s="1" t="inlineStr">
        <is>
          <t>7</t>
        </is>
      </c>
      <c r="D1878" s="1" t="inlineStr">
        <is>
          <t>03/12/2025</t>
        </is>
      </c>
      <c r="E1878" s="1" t="n">
        <v>2025</v>
      </c>
      <c r="F1878" s="1" t="inlineStr">
        <is>
          <t>DICIEMBRE</t>
        </is>
      </c>
      <c r="G1878" s="1" t="inlineStr">
        <is>
          <t>HAIFENG</t>
        </is>
      </c>
      <c r="H1878" s="1" t="inlineStr">
        <is>
          <t>HAIFENG 03/12/2025</t>
        </is>
      </c>
      <c r="I1878" s="4" t="n">
        <v>3</v>
      </c>
      <c r="J1878" s="6" t="n">
        <v>6</v>
      </c>
      <c r="K1878" s="6" t="n">
        <v>125.5029601</v>
      </c>
      <c r="L1878" s="6">
        <f>I1878*K1878</f>
        <v/>
      </c>
      <c r="M1878" s="6">
        <f>K1878*4</f>
        <v/>
      </c>
      <c r="N1878" s="6" t="n">
        <v>520</v>
      </c>
    </row>
    <row r="1879">
      <c r="A1879" s="1" t="inlineStr">
        <is>
          <t>56481463232012</t>
        </is>
      </c>
      <c r="B1879" s="1" t="n"/>
      <c r="C1879" s="1" t="inlineStr">
        <is>
          <t>7</t>
        </is>
      </c>
      <c r="D1879" s="1" t="inlineStr">
        <is>
          <t>10/02/2026</t>
        </is>
      </c>
      <c r="E1879" s="1" t="n">
        <v>2026</v>
      </c>
      <c r="F1879" s="1" t="inlineStr">
        <is>
          <t>FEBRERO</t>
        </is>
      </c>
      <c r="G1879" s="1" t="inlineStr">
        <is>
          <t>HAIFENG</t>
        </is>
      </c>
      <c r="H1879" s="1" t="inlineStr">
        <is>
          <t>HAIFENG 10/02/2026</t>
        </is>
      </c>
      <c r="I1879" s="4" t="n">
        <v>1</v>
      </c>
      <c r="J1879" s="6" t="n">
        <v>6</v>
      </c>
      <c r="K1879" s="6" t="n">
        <v>126.4109764</v>
      </c>
      <c r="L1879" s="6">
        <f>I1879*K1879</f>
        <v/>
      </c>
      <c r="M1879" s="6">
        <f>K1879*4</f>
        <v/>
      </c>
      <c r="N1879" s="6" t="n">
        <v>520</v>
      </c>
    </row>
    <row r="1880">
      <c r="A1880" s="1" t="inlineStr">
        <is>
          <t>56481463232012</t>
        </is>
      </c>
      <c r="B1880" s="1" t="inlineStr">
        <is>
          <t>ANILLO ESLABÓN GOLD</t>
        </is>
      </c>
      <c r="C1880" s="1" t="inlineStr">
        <is>
          <t>7</t>
        </is>
      </c>
      <c r="D1880" s="1" t="inlineStr">
        <is>
          <t>16/04/2026</t>
        </is>
      </c>
      <c r="E1880" s="1" t="n">
        <v>2026</v>
      </c>
      <c r="F1880" s="1" t="inlineStr">
        <is>
          <t>ABRIL</t>
        </is>
      </c>
      <c r="G1880" s="1" t="inlineStr">
        <is>
          <t>HAIFENG</t>
        </is>
      </c>
      <c r="H1880" s="1" t="inlineStr">
        <is>
          <t>HAIFENG 16/04/2026</t>
        </is>
      </c>
      <c r="I1880" s="4" t="n">
        <v>2</v>
      </c>
      <c r="J1880" s="6" t="n">
        <v>6</v>
      </c>
      <c r="K1880" s="6" t="n">
        <v>126.1888415</v>
      </c>
      <c r="L1880" s="6">
        <f>I1880*K1880</f>
        <v/>
      </c>
      <c r="M1880" s="6">
        <f>K1880*4</f>
        <v/>
      </c>
      <c r="N1880" s="6" t="n">
        <v>520</v>
      </c>
    </row>
    <row r="1881">
      <c r="A1881" s="1" t="inlineStr">
        <is>
          <t>56481463232012</t>
        </is>
      </c>
      <c r="B1881" s="1" t="inlineStr">
        <is>
          <t>ANILLO ESLABÓN GOLD</t>
        </is>
      </c>
      <c r="C1881" s="1" t="inlineStr">
        <is>
          <t>7</t>
        </is>
      </c>
      <c r="D1881" s="1" t="inlineStr">
        <is>
          <t>06/05/2026</t>
        </is>
      </c>
      <c r="E1881" s="1" t="n">
        <v>2026</v>
      </c>
      <c r="F1881" s="1" t="inlineStr">
        <is>
          <t>MAYO</t>
        </is>
      </c>
      <c r="G1881" s="1" t="inlineStr">
        <is>
          <t>HAIFENG</t>
        </is>
      </c>
      <c r="H1881" s="1" t="inlineStr">
        <is>
          <t>HAIFENG 06/05/2026</t>
        </is>
      </c>
      <c r="I1881" s="4" t="n">
        <v>2</v>
      </c>
      <c r="J1881" s="6" t="n">
        <v>6</v>
      </c>
      <c r="K1881" s="6" t="n">
        <v>127.3118536</v>
      </c>
      <c r="L1881" s="6">
        <f>I1881*K1881</f>
        <v/>
      </c>
      <c r="M1881" s="6">
        <f>K1881*4</f>
        <v/>
      </c>
      <c r="N1881" s="6" t="n">
        <v>520</v>
      </c>
    </row>
    <row r="1882">
      <c r="A1882" s="1" t="inlineStr">
        <is>
          <t>56481463232012</t>
        </is>
      </c>
      <c r="B1882" s="1" t="inlineStr">
        <is>
          <t>ANILLO ESLABÓN GOLD</t>
        </is>
      </c>
      <c r="C1882" s="1" t="inlineStr">
        <is>
          <t>7</t>
        </is>
      </c>
      <c r="D1882" s="1" t="inlineStr">
        <is>
          <t>16/06/2026</t>
        </is>
      </c>
      <c r="E1882" s="1" t="n">
        <v>2026</v>
      </c>
      <c r="F1882" s="1" t="inlineStr">
        <is>
          <t>JUNIO</t>
        </is>
      </c>
      <c r="G1882" s="1" t="inlineStr">
        <is>
          <t>HAIFENG</t>
        </is>
      </c>
      <c r="H1882" s="1" t="inlineStr">
        <is>
          <t>HAIFENG 16/06/2026</t>
        </is>
      </c>
      <c r="I1882" s="4" t="n">
        <v>2</v>
      </c>
      <c r="J1882" s="6" t="n">
        <v>6</v>
      </c>
      <c r="K1882" s="6" t="n">
        <v>126.0876388</v>
      </c>
      <c r="L1882" s="6">
        <f>I1882*K1882</f>
        <v/>
      </c>
      <c r="M1882" s="6">
        <f>K1882*4</f>
        <v/>
      </c>
      <c r="N1882" s="6" t="n">
        <v>520</v>
      </c>
    </row>
    <row r="1883">
      <c r="A1883" s="1" t="inlineStr">
        <is>
          <t>56481470225932</t>
        </is>
      </c>
      <c r="B1883" s="1" t="inlineStr">
        <is>
          <t>ARETES T LOVE</t>
        </is>
      </c>
      <c r="C1883" s="1" t="inlineStr">
        <is>
          <t>Default Title</t>
        </is>
      </c>
      <c r="D1883" s="1" t="inlineStr">
        <is>
          <t>10/02/2026</t>
        </is>
      </c>
      <c r="E1883" s="1" t="n">
        <v>2026</v>
      </c>
      <c r="F1883" s="1" t="inlineStr">
        <is>
          <t>FEBRERO</t>
        </is>
      </c>
      <c r="G1883" s="1" t="inlineStr">
        <is>
          <t>HAIFENG</t>
        </is>
      </c>
      <c r="H1883" s="1" t="inlineStr">
        <is>
          <t>HAIFENG 10/02/2026</t>
        </is>
      </c>
      <c r="I1883" s="4" t="n">
        <v>3</v>
      </c>
      <c r="J1883" s="6" t="n">
        <v>7</v>
      </c>
      <c r="K1883" s="6" t="n">
        <v>147.4794725</v>
      </c>
      <c r="L1883" s="6">
        <f>I1883*K1883</f>
        <v/>
      </c>
      <c r="M1883" s="6">
        <f>K1883*4</f>
        <v/>
      </c>
      <c r="N1883" s="6" t="n">
        <v>650</v>
      </c>
    </row>
    <row r="1884">
      <c r="A1884" s="1" t="inlineStr">
        <is>
          <t>56481470598284</t>
        </is>
      </c>
      <c r="B1884" s="1" t="inlineStr">
        <is>
          <t>PULSERA BEAN SILVER</t>
        </is>
      </c>
      <c r="C1884" s="1" t="inlineStr">
        <is>
          <t>17cm</t>
        </is>
      </c>
      <c r="D1884" s="1" t="inlineStr">
        <is>
          <t>03/12/2025</t>
        </is>
      </c>
      <c r="E1884" s="1" t="n">
        <v>2025</v>
      </c>
      <c r="F1884" s="1" t="inlineStr">
        <is>
          <t>DICIEMBRE</t>
        </is>
      </c>
      <c r="G1884" s="1" t="inlineStr">
        <is>
          <t>HAIFENG</t>
        </is>
      </c>
      <c r="H1884" s="1" t="inlineStr">
        <is>
          <t>HAIFENG 03/12/2025</t>
        </is>
      </c>
      <c r="I1884" s="4" t="n">
        <v>3</v>
      </c>
      <c r="J1884" s="6" t="n">
        <v>7.5</v>
      </c>
      <c r="K1884" s="6" t="n">
        <v>156.8787001</v>
      </c>
      <c r="L1884" s="6">
        <f>I1884*K1884</f>
        <v/>
      </c>
      <c r="M1884" s="6">
        <f>K1884*4</f>
        <v/>
      </c>
      <c r="N1884" s="6" t="n">
        <v>618</v>
      </c>
    </row>
    <row r="1885">
      <c r="A1885" s="1" t="inlineStr">
        <is>
          <t>56481470598284</t>
        </is>
      </c>
      <c r="B1885" s="1" t="inlineStr">
        <is>
          <t>PULSERA BEAN SILVER</t>
        </is>
      </c>
      <c r="C1885" s="1" t="inlineStr">
        <is>
          <t>17cm</t>
        </is>
      </c>
      <c r="D1885" s="1" t="inlineStr">
        <is>
          <t>06/05/2026</t>
        </is>
      </c>
      <c r="E1885" s="1" t="n">
        <v>2026</v>
      </c>
      <c r="F1885" s="1" t="inlineStr">
        <is>
          <t>MAYO</t>
        </is>
      </c>
      <c r="G1885" s="1" t="inlineStr">
        <is>
          <t>HAIFENG</t>
        </is>
      </c>
      <c r="H1885" s="1" t="inlineStr">
        <is>
          <t>HAIFENG 06/05/2026</t>
        </is>
      </c>
      <c r="I1885" s="4" t="n">
        <v>2</v>
      </c>
      <c r="J1885" s="6" t="n">
        <v>7.5</v>
      </c>
      <c r="K1885" s="6" t="n">
        <v>159.139817</v>
      </c>
      <c r="L1885" s="6">
        <f>I1885*K1885</f>
        <v/>
      </c>
      <c r="M1885" s="6">
        <f>K1885*4</f>
        <v/>
      </c>
      <c r="N1885" s="6" t="n">
        <v>618</v>
      </c>
    </row>
    <row r="1886">
      <c r="A1886" s="1" t="inlineStr">
        <is>
          <t>56481471411340</t>
        </is>
      </c>
      <c r="B1886" s="1" t="inlineStr">
        <is>
          <t>ARETES FULL HEART ROSE GOLD</t>
        </is>
      </c>
      <c r="C1886" s="1" t="inlineStr">
        <is>
          <t>Default Title</t>
        </is>
      </c>
      <c r="D1886" s="1" t="inlineStr">
        <is>
          <t>11/11/2025</t>
        </is>
      </c>
      <c r="E1886" s="1" t="n">
        <v>2025</v>
      </c>
      <c r="F1886" s="1" t="inlineStr">
        <is>
          <t>NOVIEMBRE</t>
        </is>
      </c>
      <c r="G1886" s="1" t="inlineStr">
        <is>
          <t>HAIFENG</t>
        </is>
      </c>
      <c r="H1886" s="1" t="inlineStr">
        <is>
          <t>HAIFENG 11/11/2025</t>
        </is>
      </c>
      <c r="I1886" s="4" t="n">
        <v>5</v>
      </c>
      <c r="J1886" s="6" t="n">
        <v>5</v>
      </c>
      <c r="K1886" s="6" t="n">
        <v>105.3024922</v>
      </c>
      <c r="L1886" s="6">
        <f>I1886*K1886</f>
        <v/>
      </c>
      <c r="M1886" s="6">
        <f>K1886*4</f>
        <v/>
      </c>
      <c r="N1886" s="6" t="n">
        <v>450</v>
      </c>
    </row>
    <row r="1887">
      <c r="A1887" s="1" t="inlineStr">
        <is>
          <t>56481471411340</t>
        </is>
      </c>
      <c r="B1887" s="1" t="inlineStr">
        <is>
          <t>ARETES FULL HEART ROSE GOLD</t>
        </is>
      </c>
      <c r="C1887" s="1" t="inlineStr">
        <is>
          <t>Default Title</t>
        </is>
      </c>
      <c r="D1887" s="1" t="inlineStr">
        <is>
          <t>03/12/2025</t>
        </is>
      </c>
      <c r="E1887" s="1" t="n">
        <v>2025</v>
      </c>
      <c r="F1887" s="1" t="inlineStr">
        <is>
          <t>DICIEMBRE</t>
        </is>
      </c>
      <c r="G1887" s="1" t="inlineStr">
        <is>
          <t>HAIFENG</t>
        </is>
      </c>
      <c r="H1887" s="1" t="inlineStr">
        <is>
          <t>HAIFENG 03/12/2025</t>
        </is>
      </c>
      <c r="I1887" s="4" t="n">
        <v>3</v>
      </c>
      <c r="J1887" s="6" t="n">
        <v>5</v>
      </c>
      <c r="K1887" s="6" t="n">
        <v>104.5858001</v>
      </c>
      <c r="L1887" s="6">
        <f>I1887*K1887</f>
        <v/>
      </c>
      <c r="M1887" s="6">
        <f>K1887*4</f>
        <v/>
      </c>
      <c r="N1887" s="6" t="n">
        <v>450</v>
      </c>
    </row>
    <row r="1888">
      <c r="A1888" s="1" t="inlineStr">
        <is>
          <t>56481472890252</t>
        </is>
      </c>
      <c r="B1888" s="1" t="inlineStr">
        <is>
          <t>PULSERA ARO LOVE GOLD</t>
        </is>
      </c>
      <c r="C1888" s="1" t="inlineStr">
        <is>
          <t>18cm con extensión de 3.5cm</t>
        </is>
      </c>
      <c r="D1888" s="1" t="inlineStr">
        <is>
          <t>20/01/2026</t>
        </is>
      </c>
      <c r="E1888" s="1" t="n">
        <v>2026</v>
      </c>
      <c r="F1888" s="1" t="inlineStr">
        <is>
          <t>ENERO</t>
        </is>
      </c>
      <c r="G1888" s="1" t="inlineStr">
        <is>
          <t>HAIFENG</t>
        </is>
      </c>
      <c r="H1888" s="1" t="inlineStr">
        <is>
          <t>HAIFENG 20/01/2026</t>
        </is>
      </c>
      <c r="I1888" s="4" t="n">
        <v>3</v>
      </c>
      <c r="J1888" s="6" t="n">
        <v>5</v>
      </c>
      <c r="K1888" s="6" t="n">
        <v>106.002089</v>
      </c>
      <c r="L1888" s="6">
        <f>I1888*K1888</f>
        <v/>
      </c>
      <c r="M1888" s="6">
        <f>K1888*4</f>
        <v/>
      </c>
      <c r="N1888" s="6" t="n">
        <v>420</v>
      </c>
    </row>
    <row r="1889">
      <c r="A1889" s="1" t="inlineStr">
        <is>
          <t>56481472890252</t>
        </is>
      </c>
      <c r="B1889" s="1" t="inlineStr">
        <is>
          <t>PULSERA ARO LOVE GOLD</t>
        </is>
      </c>
      <c r="C1889" s="1" t="inlineStr">
        <is>
          <t>18cm con extensión de 3.5cm</t>
        </is>
      </c>
      <c r="D1889" s="1" t="inlineStr">
        <is>
          <t>10/02/2026</t>
        </is>
      </c>
      <c r="E1889" s="1" t="n">
        <v>2026</v>
      </c>
      <c r="F1889" s="1" t="inlineStr">
        <is>
          <t>FEBRERO</t>
        </is>
      </c>
      <c r="G1889" s="1" t="inlineStr">
        <is>
          <t>HAIFENG</t>
        </is>
      </c>
      <c r="H1889" s="1" t="inlineStr">
        <is>
          <t>HAIFENG 10/02/2026</t>
        </is>
      </c>
      <c r="I1889" s="4" t="n">
        <v>2</v>
      </c>
      <c r="J1889" s="6" t="n">
        <v>5</v>
      </c>
      <c r="K1889" s="6" t="n">
        <v>105.3424803</v>
      </c>
      <c r="L1889" s="6">
        <f>I1889*K1889</f>
        <v/>
      </c>
      <c r="M1889" s="6">
        <f>K1889*4</f>
        <v/>
      </c>
      <c r="N1889" s="6" t="n">
        <v>420</v>
      </c>
    </row>
    <row r="1890">
      <c r="A1890" s="1" t="inlineStr">
        <is>
          <t>56481472890252</t>
        </is>
      </c>
      <c r="B1890" s="1" t="inlineStr">
        <is>
          <t>PULSERA ARO LOVE GOLD</t>
        </is>
      </c>
      <c r="C1890" s="1" t="inlineStr">
        <is>
          <t>18cm con extensión de 3.5cm</t>
        </is>
      </c>
      <c r="D1890" s="1" t="inlineStr">
        <is>
          <t>06/05/2026</t>
        </is>
      </c>
      <c r="E1890" s="1" t="n">
        <v>2026</v>
      </c>
      <c r="F1890" s="1" t="inlineStr">
        <is>
          <t>MAYO</t>
        </is>
      </c>
      <c r="G1890" s="1" t="inlineStr">
        <is>
          <t>HAIFENG</t>
        </is>
      </c>
      <c r="H1890" s="1" t="inlineStr">
        <is>
          <t>HAIFENG 06/05/2026</t>
        </is>
      </c>
      <c r="I1890" s="4" t="n">
        <v>2</v>
      </c>
      <c r="J1890" s="6" t="n">
        <v>5</v>
      </c>
      <c r="K1890" s="6" t="n">
        <v>106.0932113</v>
      </c>
      <c r="L1890" s="6">
        <f>I1890*K1890</f>
        <v/>
      </c>
      <c r="M1890" s="6">
        <f>K1890*4</f>
        <v/>
      </c>
      <c r="N1890" s="6" t="n">
        <v>420</v>
      </c>
    </row>
    <row r="1891">
      <c r="A1891" s="1" t="inlineStr">
        <is>
          <t>56481473264780</t>
        </is>
      </c>
      <c r="B1891" s="1" t="inlineStr">
        <is>
          <t>ANILLO ESLABÓN GOLD</t>
        </is>
      </c>
      <c r="C1891" s="1" t="inlineStr">
        <is>
          <t>8</t>
        </is>
      </c>
      <c r="D1891" s="1" t="inlineStr">
        <is>
          <t>25/09/2025</t>
        </is>
      </c>
      <c r="E1891" s="1" t="n">
        <v>2025</v>
      </c>
      <c r="F1891" s="1" t="inlineStr">
        <is>
          <t>SEPTIEMBRE</t>
        </is>
      </c>
      <c r="G1891" s="1" t="inlineStr">
        <is>
          <t>HAIFENG</t>
        </is>
      </c>
      <c r="H1891" s="1" t="inlineStr">
        <is>
          <t>HAIFENG 25/09/2025</t>
        </is>
      </c>
      <c r="I1891" s="4" t="n">
        <v>1</v>
      </c>
      <c r="J1891" s="6" t="n">
        <v>6</v>
      </c>
      <c r="K1891" s="6" t="n">
        <v>126.5813146</v>
      </c>
      <c r="L1891" s="6">
        <f>I1891*K1891</f>
        <v/>
      </c>
      <c r="M1891" s="6">
        <f>K1891*4</f>
        <v/>
      </c>
      <c r="N1891" s="6" t="n">
        <v>520</v>
      </c>
    </row>
    <row r="1892">
      <c r="A1892" s="1" t="inlineStr">
        <is>
          <t>56481473264780</t>
        </is>
      </c>
      <c r="B1892" s="1" t="inlineStr">
        <is>
          <t>ANILLO ESLABÓN GOLD</t>
        </is>
      </c>
      <c r="C1892" s="1" t="inlineStr">
        <is>
          <t>8</t>
        </is>
      </c>
      <c r="D1892" s="1" t="inlineStr">
        <is>
          <t>11/11/2025</t>
        </is>
      </c>
      <c r="E1892" s="1" t="n">
        <v>2025</v>
      </c>
      <c r="F1892" s="1" t="inlineStr">
        <is>
          <t>NOVIEMBRE</t>
        </is>
      </c>
      <c r="G1892" s="1" t="inlineStr">
        <is>
          <t>HAIFENG</t>
        </is>
      </c>
      <c r="H1892" s="1" t="inlineStr">
        <is>
          <t>HAIFENG 11/11/2025</t>
        </is>
      </c>
      <c r="I1892" s="4" t="n">
        <v>1</v>
      </c>
      <c r="J1892" s="6" t="n">
        <v>6</v>
      </c>
      <c r="K1892" s="6" t="n">
        <v>126.3629907</v>
      </c>
      <c r="L1892" s="6">
        <f>I1892*K1892</f>
        <v/>
      </c>
      <c r="M1892" s="6">
        <f>K1892*4</f>
        <v/>
      </c>
      <c r="N1892" s="6" t="n">
        <v>520</v>
      </c>
    </row>
    <row r="1893">
      <c r="A1893" s="1" t="inlineStr">
        <is>
          <t>56481473264780</t>
        </is>
      </c>
      <c r="B1893" s="1" t="inlineStr">
        <is>
          <t>ANILLO ESLABÓN GOLD</t>
        </is>
      </c>
      <c r="C1893" s="1" t="inlineStr">
        <is>
          <t>8</t>
        </is>
      </c>
      <c r="D1893" s="1" t="inlineStr">
        <is>
          <t>03/12/2025</t>
        </is>
      </c>
      <c r="E1893" s="1" t="n">
        <v>2025</v>
      </c>
      <c r="F1893" s="1" t="inlineStr">
        <is>
          <t>DICIEMBRE</t>
        </is>
      </c>
      <c r="G1893" s="1" t="inlineStr">
        <is>
          <t>HAIFENG</t>
        </is>
      </c>
      <c r="H1893" s="1" t="inlineStr">
        <is>
          <t>HAIFENG 03/12/2025</t>
        </is>
      </c>
      <c r="I1893" s="4" t="n">
        <v>3</v>
      </c>
      <c r="J1893" s="6" t="n">
        <v>6</v>
      </c>
      <c r="K1893" s="6" t="n">
        <v>125.5029601</v>
      </c>
      <c r="L1893" s="6">
        <f>I1893*K1893</f>
        <v/>
      </c>
      <c r="M1893" s="6">
        <f>K1893*4</f>
        <v/>
      </c>
      <c r="N1893" s="6" t="n">
        <v>520</v>
      </c>
    </row>
    <row r="1894">
      <c r="A1894" s="1" t="inlineStr">
        <is>
          <t>56481473264780</t>
        </is>
      </c>
      <c r="B1894" s="1" t="inlineStr">
        <is>
          <t>ANILLO ESLABÓN GOLD</t>
        </is>
      </c>
      <c r="C1894" s="1" t="inlineStr">
        <is>
          <t>8</t>
        </is>
      </c>
      <c r="D1894" s="1" t="inlineStr">
        <is>
          <t>16/04/2026</t>
        </is>
      </c>
      <c r="E1894" s="1" t="n">
        <v>2026</v>
      </c>
      <c r="F1894" s="1" t="inlineStr">
        <is>
          <t>ABRIL</t>
        </is>
      </c>
      <c r="G1894" s="1" t="inlineStr">
        <is>
          <t>HAIFENG</t>
        </is>
      </c>
      <c r="H1894" s="1" t="inlineStr">
        <is>
          <t>HAIFENG 16/04/2026</t>
        </is>
      </c>
      <c r="I1894" s="4" t="n">
        <v>2</v>
      </c>
      <c r="J1894" s="6" t="n">
        <v>6</v>
      </c>
      <c r="K1894" s="6" t="n">
        <v>126.1888415</v>
      </c>
      <c r="L1894" s="6">
        <f>I1894*K1894</f>
        <v/>
      </c>
      <c r="M1894" s="6">
        <f>K1894*4</f>
        <v/>
      </c>
      <c r="N1894" s="6" t="n">
        <v>520</v>
      </c>
    </row>
    <row r="1895">
      <c r="A1895" s="1" t="inlineStr">
        <is>
          <t>56481473264780</t>
        </is>
      </c>
      <c r="B1895" s="1" t="inlineStr">
        <is>
          <t>ANILLO ESLABÓN GOLD</t>
        </is>
      </c>
      <c r="C1895" s="1" t="inlineStr">
        <is>
          <t>8</t>
        </is>
      </c>
      <c r="D1895" s="1" t="inlineStr">
        <is>
          <t>06/05/2026</t>
        </is>
      </c>
      <c r="E1895" s="1" t="n">
        <v>2026</v>
      </c>
      <c r="F1895" s="1" t="inlineStr">
        <is>
          <t>MAYO</t>
        </is>
      </c>
      <c r="G1895" s="1" t="inlineStr">
        <is>
          <t>HAIFENG</t>
        </is>
      </c>
      <c r="H1895" s="1" t="inlineStr">
        <is>
          <t>HAIFENG 06/05/2026</t>
        </is>
      </c>
      <c r="I1895" s="4" t="n">
        <v>2</v>
      </c>
      <c r="J1895" s="6" t="n">
        <v>6</v>
      </c>
      <c r="K1895" s="6" t="n">
        <v>127.3118536</v>
      </c>
      <c r="L1895" s="6">
        <f>I1895*K1895</f>
        <v/>
      </c>
      <c r="M1895" s="6">
        <f>K1895*4</f>
        <v/>
      </c>
      <c r="N1895" s="6" t="n">
        <v>520</v>
      </c>
    </row>
    <row r="1896">
      <c r="A1896" s="1" t="inlineStr">
        <is>
          <t>56481473264780</t>
        </is>
      </c>
      <c r="B1896" s="1" t="inlineStr">
        <is>
          <t>ANILLO ESLABÓN GOLD</t>
        </is>
      </c>
      <c r="C1896" s="1" t="inlineStr">
        <is>
          <t>8</t>
        </is>
      </c>
      <c r="D1896" s="1" t="inlineStr">
        <is>
          <t>26/05/2026</t>
        </is>
      </c>
      <c r="E1896" s="1" t="n">
        <v>2026</v>
      </c>
      <c r="F1896" s="1" t="inlineStr">
        <is>
          <t>MAYO</t>
        </is>
      </c>
      <c r="G1896" s="1" t="inlineStr">
        <is>
          <t>HAIFENG</t>
        </is>
      </c>
      <c r="H1896" s="1" t="inlineStr">
        <is>
          <t>HAIFENG 26/05/2026</t>
        </is>
      </c>
      <c r="I1896" s="4" t="n">
        <v>1</v>
      </c>
      <c r="J1896" s="6" t="n">
        <v>6</v>
      </c>
      <c r="K1896" s="6" t="n">
        <v>125.9357718</v>
      </c>
      <c r="L1896" s="6">
        <f>I1896*K1896</f>
        <v/>
      </c>
      <c r="M1896" s="6">
        <f>K1896*4</f>
        <v/>
      </c>
      <c r="N1896" s="6" t="n">
        <v>520</v>
      </c>
    </row>
    <row r="1897">
      <c r="A1897" s="1" t="inlineStr">
        <is>
          <t>56481473329548</t>
        </is>
      </c>
      <c r="B1897" s="1" t="inlineStr">
        <is>
          <t>PULSERA T DE CUENTAS LOVE</t>
        </is>
      </c>
      <c r="C1897" s="1" t="inlineStr">
        <is>
          <t>17cm</t>
        </is>
      </c>
      <c r="D1897" s="1" t="inlineStr">
        <is>
          <t>03/12/2025</t>
        </is>
      </c>
      <c r="E1897" s="1" t="n">
        <v>2025</v>
      </c>
      <c r="F1897" s="1" t="inlineStr">
        <is>
          <t>DICIEMBRE</t>
        </is>
      </c>
      <c r="G1897" s="1" t="inlineStr">
        <is>
          <t>HAIFENG</t>
        </is>
      </c>
      <c r="H1897" s="1" t="inlineStr">
        <is>
          <t>HAIFENG 03/12/2025</t>
        </is>
      </c>
      <c r="I1897" s="4" t="n">
        <v>2</v>
      </c>
      <c r="J1897" s="6" t="n">
        <v>8</v>
      </c>
      <c r="K1897" s="6" t="n">
        <v>167.3372801</v>
      </c>
      <c r="L1897" s="6">
        <f>I1897*K1897</f>
        <v/>
      </c>
      <c r="M1897" s="6">
        <f>K1897*4</f>
        <v/>
      </c>
      <c r="N1897" s="6" t="n">
        <v>692</v>
      </c>
    </row>
    <row r="1898">
      <c r="A1898" s="1" t="inlineStr">
        <is>
          <t>56481473329548</t>
        </is>
      </c>
      <c r="B1898" s="1" t="inlineStr">
        <is>
          <t>PULSERA T DE CUENTAS LOVE</t>
        </is>
      </c>
      <c r="C1898" s="1" t="inlineStr">
        <is>
          <t>17cm</t>
        </is>
      </c>
      <c r="D1898" s="1" t="inlineStr">
        <is>
          <t>16/04/2026</t>
        </is>
      </c>
      <c r="E1898" s="1" t="n">
        <v>2026</v>
      </c>
      <c r="F1898" s="1" t="inlineStr">
        <is>
          <t>ABRIL</t>
        </is>
      </c>
      <c r="G1898" s="1" t="inlineStr">
        <is>
          <t>HAIFENG</t>
        </is>
      </c>
      <c r="H1898" s="1" t="inlineStr">
        <is>
          <t>HAIFENG 16/04/2026</t>
        </is>
      </c>
      <c r="I1898" s="4" t="n">
        <v>3</v>
      </c>
      <c r="J1898" s="6" t="n">
        <v>8</v>
      </c>
      <c r="K1898" s="6" t="n">
        <v>168.2517887</v>
      </c>
      <c r="L1898" s="6">
        <f>I1898*K1898</f>
        <v/>
      </c>
      <c r="M1898" s="6">
        <f>K1898*4</f>
        <v/>
      </c>
      <c r="N1898" s="6" t="n">
        <v>692</v>
      </c>
    </row>
    <row r="1899">
      <c r="A1899" s="1" t="inlineStr">
        <is>
          <t>56481474339212</t>
        </is>
      </c>
      <c r="B1899" s="1" t="inlineStr">
        <is>
          <t>ARETES FULL HEART GOLD</t>
        </is>
      </c>
      <c r="C1899" s="1" t="inlineStr">
        <is>
          <t>Default Title</t>
        </is>
      </c>
      <c r="D1899" s="1" t="inlineStr">
        <is>
          <t>11/11/2025</t>
        </is>
      </c>
      <c r="E1899" s="1" t="n">
        <v>2025</v>
      </c>
      <c r="F1899" s="1" t="inlineStr">
        <is>
          <t>NOVIEMBRE</t>
        </is>
      </c>
      <c r="G1899" s="1" t="inlineStr">
        <is>
          <t>HAIFENG</t>
        </is>
      </c>
      <c r="H1899" s="1" t="inlineStr">
        <is>
          <t>HAIFENG 11/11/2025</t>
        </is>
      </c>
      <c r="I1899" s="4" t="n">
        <v>5</v>
      </c>
      <c r="J1899" s="6" t="n">
        <v>5</v>
      </c>
      <c r="K1899" s="6" t="n">
        <v>105.3024922</v>
      </c>
      <c r="L1899" s="6">
        <f>I1899*K1899</f>
        <v/>
      </c>
      <c r="M1899" s="6">
        <f>K1899*4</f>
        <v/>
      </c>
      <c r="N1899" s="6" t="n">
        <v>450</v>
      </c>
    </row>
    <row r="1900">
      <c r="A1900" s="1" t="inlineStr">
        <is>
          <t>56481474339212</t>
        </is>
      </c>
      <c r="B1900" s="1" t="inlineStr">
        <is>
          <t>ARETES FULL HEART GOLD</t>
        </is>
      </c>
      <c r="C1900" s="1" t="inlineStr">
        <is>
          <t>Default Title</t>
        </is>
      </c>
      <c r="D1900" s="1" t="inlineStr">
        <is>
          <t>03/12/2025</t>
        </is>
      </c>
      <c r="E1900" s="1" t="n">
        <v>2025</v>
      </c>
      <c r="F1900" s="1" t="inlineStr">
        <is>
          <t>DICIEMBRE</t>
        </is>
      </c>
      <c r="G1900" s="1" t="inlineStr">
        <is>
          <t>HAIFENG</t>
        </is>
      </c>
      <c r="H1900" s="1" t="inlineStr">
        <is>
          <t>HAIFENG 03/12/2025</t>
        </is>
      </c>
      <c r="I1900" s="4" t="n">
        <v>5</v>
      </c>
      <c r="J1900" s="6" t="n">
        <v>5</v>
      </c>
      <c r="K1900" s="6" t="n">
        <v>104.5858001</v>
      </c>
      <c r="L1900" s="6">
        <f>I1900*K1900</f>
        <v/>
      </c>
      <c r="M1900" s="6">
        <f>K1900*4</f>
        <v/>
      </c>
      <c r="N1900" s="6" t="n">
        <v>450</v>
      </c>
    </row>
    <row r="1901">
      <c r="A1901" s="1" t="inlineStr">
        <is>
          <t>56481474339212</t>
        </is>
      </c>
      <c r="B1901" s="1" t="inlineStr">
        <is>
          <t>ARETES FULL HEART GOLD</t>
        </is>
      </c>
      <c r="C1901" s="1" t="inlineStr">
        <is>
          <t>Default Title</t>
        </is>
      </c>
      <c r="D1901" s="1" t="inlineStr">
        <is>
          <t>16/04/2026</t>
        </is>
      </c>
      <c r="E1901" s="1" t="n">
        <v>2026</v>
      </c>
      <c r="F1901" s="1" t="inlineStr">
        <is>
          <t>ABRIL</t>
        </is>
      </c>
      <c r="G1901" s="1" t="inlineStr">
        <is>
          <t>HAIFENG</t>
        </is>
      </c>
      <c r="H1901" s="1" t="inlineStr">
        <is>
          <t>HAIFENG 16/04/2026</t>
        </is>
      </c>
      <c r="I1901" s="4" t="n">
        <v>3</v>
      </c>
      <c r="J1901" s="6" t="n">
        <v>5</v>
      </c>
      <c r="K1901" s="6" t="n">
        <v>105.1573679</v>
      </c>
      <c r="L1901" s="6">
        <f>I1901*K1901</f>
        <v/>
      </c>
      <c r="M1901" s="6">
        <f>K1901*4</f>
        <v/>
      </c>
      <c r="N1901" s="6" t="n">
        <v>450</v>
      </c>
    </row>
    <row r="1902">
      <c r="A1902" s="1" t="inlineStr">
        <is>
          <t>56481474339212</t>
        </is>
      </c>
      <c r="B1902" s="1" t="inlineStr">
        <is>
          <t>ARETES FULL HEART GOLD</t>
        </is>
      </c>
      <c r="C1902" s="1" t="inlineStr">
        <is>
          <t>Default Title</t>
        </is>
      </c>
      <c r="D1902" s="1" t="inlineStr">
        <is>
          <t>16/06/2026</t>
        </is>
      </c>
      <c r="E1902" s="1" t="n">
        <v>2026</v>
      </c>
      <c r="F1902" s="1" t="inlineStr">
        <is>
          <t>JUNIO</t>
        </is>
      </c>
      <c r="G1902" s="1" t="inlineStr">
        <is>
          <t>HAIFENG</t>
        </is>
      </c>
      <c r="H1902" s="1" t="inlineStr">
        <is>
          <t>HAIFENG 16/06/2026</t>
        </is>
      </c>
      <c r="I1902" s="4" t="n">
        <v>3</v>
      </c>
      <c r="J1902" s="6" t="n">
        <v>5</v>
      </c>
      <c r="K1902" s="6" t="n">
        <v>105.0730323</v>
      </c>
      <c r="L1902" s="6">
        <f>I1902*K1902</f>
        <v/>
      </c>
      <c r="M1902" s="6">
        <f>K1902*4</f>
        <v/>
      </c>
      <c r="N1902" s="6" t="n">
        <v>450</v>
      </c>
    </row>
    <row r="1903">
      <c r="A1903" s="1" t="inlineStr">
        <is>
          <t>56481477937932</t>
        </is>
      </c>
      <c r="B1903" s="1" t="inlineStr">
        <is>
          <t>ARETES FULL HEART SILVER</t>
        </is>
      </c>
      <c r="C1903" s="1" t="inlineStr">
        <is>
          <t>Default Title</t>
        </is>
      </c>
      <c r="D1903" s="1" t="inlineStr">
        <is>
          <t>01/09/2025</t>
        </is>
      </c>
      <c r="E1903" s="1" t="n">
        <v>2025</v>
      </c>
      <c r="F1903" s="1" t="inlineStr">
        <is>
          <t>SEPTIEMBRE</t>
        </is>
      </c>
      <c r="G1903" s="1" t="inlineStr">
        <is>
          <t>HAIFENG</t>
        </is>
      </c>
      <c r="H1903" s="1" t="inlineStr">
        <is>
          <t>HAIFENG 01/09/2025</t>
        </is>
      </c>
      <c r="I1903" s="4" t="n">
        <v>5</v>
      </c>
      <c r="J1903" s="6" t="n">
        <v>5</v>
      </c>
      <c r="K1903" s="6" t="n">
        <v>106.2783553</v>
      </c>
      <c r="L1903" s="6">
        <f>I1903*K1903</f>
        <v/>
      </c>
      <c r="M1903" s="6">
        <f>K1903*4</f>
        <v/>
      </c>
      <c r="N1903" s="6" t="n">
        <v>450</v>
      </c>
    </row>
    <row r="1904">
      <c r="A1904" s="1" t="inlineStr">
        <is>
          <t>56481477937932</t>
        </is>
      </c>
      <c r="B1904" s="1" t="inlineStr">
        <is>
          <t>ARETES FULL HEART SILVER</t>
        </is>
      </c>
      <c r="C1904" s="1" t="inlineStr">
        <is>
          <t>Default Title</t>
        </is>
      </c>
      <c r="D1904" s="1" t="inlineStr">
        <is>
          <t>25/09/2025</t>
        </is>
      </c>
      <c r="E1904" s="1" t="n">
        <v>2025</v>
      </c>
      <c r="F1904" s="1" t="inlineStr">
        <is>
          <t>SEPTIEMBRE</t>
        </is>
      </c>
      <c r="G1904" s="1" t="inlineStr">
        <is>
          <t>HAIFENG</t>
        </is>
      </c>
      <c r="H1904" s="1" t="inlineStr">
        <is>
          <t>HAIFENG 25/09/2025</t>
        </is>
      </c>
      <c r="I1904" s="4" t="n">
        <v>3</v>
      </c>
      <c r="J1904" s="6" t="n">
        <v>5</v>
      </c>
      <c r="K1904" s="6" t="n">
        <v>105.4844288</v>
      </c>
      <c r="L1904" s="6">
        <f>I1904*K1904</f>
        <v/>
      </c>
      <c r="M1904" s="6">
        <f>K1904*4</f>
        <v/>
      </c>
      <c r="N1904" s="6" t="n">
        <v>450</v>
      </c>
    </row>
    <row r="1905">
      <c r="A1905" s="1" t="inlineStr">
        <is>
          <t>56481477937932</t>
        </is>
      </c>
      <c r="B1905" s="1" t="inlineStr">
        <is>
          <t>ARETES FULL HEART SILVER</t>
        </is>
      </c>
      <c r="C1905" s="1" t="inlineStr">
        <is>
          <t>Default Title</t>
        </is>
      </c>
      <c r="D1905" s="1" t="inlineStr">
        <is>
          <t>11/11/2025</t>
        </is>
      </c>
      <c r="E1905" s="1" t="n">
        <v>2025</v>
      </c>
      <c r="F1905" s="1" t="inlineStr">
        <is>
          <t>NOVIEMBRE</t>
        </is>
      </c>
      <c r="G1905" s="1" t="inlineStr">
        <is>
          <t>HAIFENG</t>
        </is>
      </c>
      <c r="H1905" s="1" t="inlineStr">
        <is>
          <t>HAIFENG 11/11/2025</t>
        </is>
      </c>
      <c r="I1905" s="4" t="n">
        <v>4</v>
      </c>
      <c r="J1905" s="6" t="n">
        <v>5</v>
      </c>
      <c r="K1905" s="6" t="n">
        <v>105.3024922</v>
      </c>
      <c r="L1905" s="6">
        <f>I1905*K1905</f>
        <v/>
      </c>
      <c r="M1905" s="6">
        <f>K1905*4</f>
        <v/>
      </c>
      <c r="N1905" s="6" t="n">
        <v>450</v>
      </c>
    </row>
    <row r="1906">
      <c r="A1906" s="1" t="inlineStr">
        <is>
          <t>56481477937932</t>
        </is>
      </c>
      <c r="B1906" s="1" t="inlineStr">
        <is>
          <t>ARETES FULL HEART SILVER</t>
        </is>
      </c>
      <c r="C1906" s="1" t="inlineStr">
        <is>
          <t>Default Title</t>
        </is>
      </c>
      <c r="D1906" s="1" t="inlineStr">
        <is>
          <t>03/12/2025</t>
        </is>
      </c>
      <c r="E1906" s="1" t="n">
        <v>2025</v>
      </c>
      <c r="F1906" s="1" t="inlineStr">
        <is>
          <t>DICIEMBRE</t>
        </is>
      </c>
      <c r="G1906" s="1" t="inlineStr">
        <is>
          <t>HAIFENG</t>
        </is>
      </c>
      <c r="H1906" s="1" t="inlineStr">
        <is>
          <t>HAIFENG 03/12/2025</t>
        </is>
      </c>
      <c r="I1906" s="4" t="n">
        <v>10</v>
      </c>
      <c r="J1906" s="6" t="n">
        <v>5</v>
      </c>
      <c r="K1906" s="6" t="n">
        <v>104.5858001</v>
      </c>
      <c r="L1906" s="6">
        <f>I1906*K1906</f>
        <v/>
      </c>
      <c r="M1906" s="6">
        <f>K1906*4</f>
        <v/>
      </c>
      <c r="N1906" s="6" t="n">
        <v>450</v>
      </c>
    </row>
    <row r="1907">
      <c r="A1907" s="1" t="inlineStr">
        <is>
          <t>56481477937932</t>
        </is>
      </c>
      <c r="B1907" s="1" t="inlineStr">
        <is>
          <t>ARETES FULL HEART SILVER</t>
        </is>
      </c>
      <c r="C1907" s="1" t="inlineStr">
        <is>
          <t>Default Title</t>
        </is>
      </c>
      <c r="D1907" s="1" t="inlineStr">
        <is>
          <t>10/02/2026</t>
        </is>
      </c>
      <c r="E1907" s="1" t="n">
        <v>2026</v>
      </c>
      <c r="F1907" s="1" t="inlineStr">
        <is>
          <t>FEBRERO</t>
        </is>
      </c>
      <c r="G1907" s="1" t="inlineStr">
        <is>
          <t>HAIFENG</t>
        </is>
      </c>
      <c r="H1907" s="1" t="inlineStr">
        <is>
          <t>HAIFENG 10/02/2026</t>
        </is>
      </c>
      <c r="I1907" s="4" t="n">
        <v>14</v>
      </c>
      <c r="J1907" s="6" t="n">
        <v>5</v>
      </c>
      <c r="K1907" s="6" t="n">
        <v>105.3424803</v>
      </c>
      <c r="L1907" s="6">
        <f>I1907*K1907</f>
        <v/>
      </c>
      <c r="M1907" s="6">
        <f>K1907*4</f>
        <v/>
      </c>
      <c r="N1907" s="6" t="n">
        <v>450</v>
      </c>
    </row>
    <row r="1908">
      <c r="A1908" s="1" t="inlineStr">
        <is>
          <t>56481477937932</t>
        </is>
      </c>
      <c r="B1908" s="1" t="inlineStr">
        <is>
          <t>ARETES FULL HEART SILVER</t>
        </is>
      </c>
      <c r="C1908" s="1" t="inlineStr">
        <is>
          <t>Default Title</t>
        </is>
      </c>
      <c r="D1908" s="1" t="inlineStr">
        <is>
          <t>16/06/2026</t>
        </is>
      </c>
      <c r="E1908" s="1" t="n">
        <v>2026</v>
      </c>
      <c r="F1908" s="1" t="inlineStr">
        <is>
          <t>JUNIO</t>
        </is>
      </c>
      <c r="G1908" s="1" t="inlineStr">
        <is>
          <t>HAIFENG</t>
        </is>
      </c>
      <c r="H1908" s="1" t="inlineStr">
        <is>
          <t>HAIFENG 16/06/2026</t>
        </is>
      </c>
      <c r="I1908" s="4" t="n">
        <v>2</v>
      </c>
      <c r="J1908" s="6" t="n">
        <v>5</v>
      </c>
      <c r="K1908" s="6" t="n">
        <v>105.0730323</v>
      </c>
      <c r="L1908" s="6">
        <f>I1908*K1908</f>
        <v/>
      </c>
      <c r="M1908" s="6">
        <f>K1908*4</f>
        <v/>
      </c>
      <c r="N1908" s="6" t="n">
        <v>450</v>
      </c>
    </row>
    <row r="1909">
      <c r="A1909" s="1" t="inlineStr">
        <is>
          <t>56481478255884</t>
        </is>
      </c>
      <c r="B1909" s="1" t="inlineStr">
        <is>
          <t>ARETES KNOT GOLD CON ZIRCONIA</t>
        </is>
      </c>
      <c r="C1909" s="1" t="inlineStr">
        <is>
          <t>Default Title</t>
        </is>
      </c>
      <c r="D1909" s="1" t="inlineStr">
        <is>
          <t>25/09/2025</t>
        </is>
      </c>
      <c r="E1909" s="1" t="n">
        <v>2025</v>
      </c>
      <c r="F1909" s="1" t="inlineStr">
        <is>
          <t>SEPTIEMBRE</t>
        </is>
      </c>
      <c r="G1909" s="1" t="inlineStr">
        <is>
          <t>HAIFENG</t>
        </is>
      </c>
      <c r="H1909" s="1" t="inlineStr">
        <is>
          <t>HAIFENG 25/09/2025</t>
        </is>
      </c>
      <c r="I1909" s="4" t="n">
        <v>3</v>
      </c>
      <c r="J1909" s="6" t="n">
        <v>7</v>
      </c>
      <c r="K1909" s="6" t="n">
        <v>147.6782004</v>
      </c>
      <c r="L1909" s="6">
        <f>I1909*K1909</f>
        <v/>
      </c>
      <c r="M1909" s="6">
        <f>K1909*4</f>
        <v/>
      </c>
      <c r="N1909" s="6" t="n">
        <v>780</v>
      </c>
    </row>
    <row r="1910">
      <c r="A1910" s="1" t="inlineStr">
        <is>
          <t>56481478255884</t>
        </is>
      </c>
      <c r="B1910" s="1" t="inlineStr">
        <is>
          <t>ARETES KNOT GOLD CON ZIRCONIA</t>
        </is>
      </c>
      <c r="C1910" s="1" t="inlineStr">
        <is>
          <t>Default Title</t>
        </is>
      </c>
      <c r="D1910" s="1" t="inlineStr">
        <is>
          <t>25/09/2025</t>
        </is>
      </c>
      <c r="E1910" s="1" t="n">
        <v>2025</v>
      </c>
      <c r="F1910" s="1" t="inlineStr">
        <is>
          <t>SEPTIEMBRE</t>
        </is>
      </c>
      <c r="G1910" s="1" t="inlineStr">
        <is>
          <t>HAIFENG</t>
        </is>
      </c>
      <c r="H1910" s="1" t="inlineStr">
        <is>
          <t>HAIFENG 25/09/2025</t>
        </is>
      </c>
      <c r="I1910" s="4" t="n">
        <v>3</v>
      </c>
      <c r="J1910" s="6" t="n">
        <v>7</v>
      </c>
      <c r="K1910" s="6" t="n">
        <v>147.6782004</v>
      </c>
      <c r="L1910" s="6">
        <f>I1910*K1910</f>
        <v/>
      </c>
      <c r="M1910" s="6">
        <f>K1910*4</f>
        <v/>
      </c>
      <c r="N1910" s="6" t="n">
        <v>780</v>
      </c>
    </row>
    <row r="1911">
      <c r="A1911" s="1" t="inlineStr">
        <is>
          <t>56481478255884</t>
        </is>
      </c>
      <c r="B1911" s="1" t="inlineStr">
        <is>
          <t>ARETES KNOT GOLD CON ZIRCONIA</t>
        </is>
      </c>
      <c r="C1911" s="1" t="inlineStr">
        <is>
          <t>Default Title</t>
        </is>
      </c>
      <c r="D1911" s="1" t="inlineStr">
        <is>
          <t>11/11/2025</t>
        </is>
      </c>
      <c r="E1911" s="1" t="n">
        <v>2025</v>
      </c>
      <c r="F1911" s="1" t="inlineStr">
        <is>
          <t>NOVIEMBRE</t>
        </is>
      </c>
      <c r="G1911" s="1" t="inlineStr">
        <is>
          <t>HAIFENG</t>
        </is>
      </c>
      <c r="H1911" s="1" t="inlineStr">
        <is>
          <t>HAIFENG 11/11/2025</t>
        </is>
      </c>
      <c r="I1911" s="4" t="n">
        <v>2</v>
      </c>
      <c r="J1911" s="6" t="n">
        <v>7</v>
      </c>
      <c r="K1911" s="6" t="n">
        <v>147.4234891</v>
      </c>
      <c r="L1911" s="6">
        <f>I1911*K1911</f>
        <v/>
      </c>
      <c r="M1911" s="6">
        <f>K1911*4</f>
        <v/>
      </c>
      <c r="N1911" s="6" t="n">
        <v>780</v>
      </c>
    </row>
    <row r="1912">
      <c r="A1912" s="1" t="inlineStr">
        <is>
          <t>56481478255884</t>
        </is>
      </c>
      <c r="B1912" s="1" t="inlineStr">
        <is>
          <t>ARETES KNOT GOLD CON ZIRCONIA</t>
        </is>
      </c>
      <c r="C1912" s="1" t="inlineStr">
        <is>
          <t>Default Title</t>
        </is>
      </c>
      <c r="D1912" s="1" t="inlineStr">
        <is>
          <t>03/12/2025</t>
        </is>
      </c>
      <c r="E1912" s="1" t="n">
        <v>2025</v>
      </c>
      <c r="F1912" s="1" t="inlineStr">
        <is>
          <t>DICIEMBRE</t>
        </is>
      </c>
      <c r="G1912" s="1" t="inlineStr">
        <is>
          <t>HAIFENG</t>
        </is>
      </c>
      <c r="H1912" s="1" t="inlineStr">
        <is>
          <t>HAIFENG 03/12/2025</t>
        </is>
      </c>
      <c r="I1912" s="4" t="n">
        <v>3</v>
      </c>
      <c r="J1912" s="6" t="n">
        <v>7</v>
      </c>
      <c r="K1912" s="6" t="n">
        <v>146.4201201</v>
      </c>
      <c r="L1912" s="6">
        <f>I1912*K1912</f>
        <v/>
      </c>
      <c r="M1912" s="6">
        <f>K1912*4</f>
        <v/>
      </c>
      <c r="N1912" s="6" t="n">
        <v>780</v>
      </c>
    </row>
    <row r="1913">
      <c r="A1913" s="1" t="inlineStr">
        <is>
          <t>56481478255884</t>
        </is>
      </c>
      <c r="B1913" s="1" t="inlineStr">
        <is>
          <t>ARETES KNOT GOLD CON ZIRCONIA</t>
        </is>
      </c>
      <c r="C1913" s="1" t="inlineStr">
        <is>
          <t>Default Title</t>
        </is>
      </c>
      <c r="D1913" s="1" t="inlineStr">
        <is>
          <t>20/01/2026</t>
        </is>
      </c>
      <c r="E1913" s="1" t="n">
        <v>2026</v>
      </c>
      <c r="F1913" s="1" t="inlineStr">
        <is>
          <t>ENERO</t>
        </is>
      </c>
      <c r="G1913" s="1" t="inlineStr">
        <is>
          <t>HAIFENG</t>
        </is>
      </c>
      <c r="H1913" s="1" t="inlineStr">
        <is>
          <t>HAIFENG 20/01/2026</t>
        </is>
      </c>
      <c r="I1913" s="4" t="n">
        <v>1</v>
      </c>
      <c r="J1913" s="6" t="n">
        <v>6</v>
      </c>
      <c r="K1913" s="6" t="n">
        <v>127.2025068</v>
      </c>
      <c r="L1913" s="6">
        <f>I1913*K1913</f>
        <v/>
      </c>
      <c r="M1913" s="6">
        <f>K1913*4</f>
        <v/>
      </c>
      <c r="N1913" s="6" t="n">
        <v>780</v>
      </c>
    </row>
    <row r="1914">
      <c r="A1914" s="1" t="inlineStr">
        <is>
          <t>56481480610956</t>
        </is>
      </c>
      <c r="B1914" s="1" t="inlineStr">
        <is>
          <t>ANILLO LOVE LOVE ROSEGOLD-SILVER ZIRCONIAS</t>
        </is>
      </c>
      <c r="C1914" s="1" t="inlineStr">
        <is>
          <t>6</t>
        </is>
      </c>
      <c r="D1914" s="1" t="inlineStr">
        <is>
          <t>01/09/2025</t>
        </is>
      </c>
      <c r="E1914" s="1" t="n">
        <v>2025</v>
      </c>
      <c r="F1914" s="1" t="inlineStr">
        <is>
          <t>SEPTIEMBRE</t>
        </is>
      </c>
      <c r="G1914" s="1" t="inlineStr">
        <is>
          <t>HAIFENG</t>
        </is>
      </c>
      <c r="H1914" s="1" t="inlineStr">
        <is>
          <t>HAIFENG 01/09/2025</t>
        </is>
      </c>
      <c r="I1914" s="4" t="n">
        <v>2</v>
      </c>
      <c r="J1914" s="6" t="n">
        <v>7.5</v>
      </c>
      <c r="K1914" s="6" t="n">
        <v>159.417533</v>
      </c>
      <c r="L1914" s="6">
        <f>I1914*K1914</f>
        <v/>
      </c>
      <c r="M1914" s="6">
        <f>K1914*4</f>
        <v/>
      </c>
      <c r="N1914" s="6" t="n">
        <v>620</v>
      </c>
    </row>
    <row r="1915">
      <c r="A1915" s="1" t="inlineStr">
        <is>
          <t>56481480610956</t>
        </is>
      </c>
      <c r="B1915" s="1" t="inlineStr">
        <is>
          <t>ANILLO LOVE LOVE ROSEGOLD-SILVER ZIRCONIAS</t>
        </is>
      </c>
      <c r="C1915" s="1" t="inlineStr">
        <is>
          <t>6</t>
        </is>
      </c>
      <c r="D1915" s="1" t="inlineStr">
        <is>
          <t>03/12/2025</t>
        </is>
      </c>
      <c r="E1915" s="1" t="n">
        <v>2025</v>
      </c>
      <c r="F1915" s="1" t="inlineStr">
        <is>
          <t>DICIEMBRE</t>
        </is>
      </c>
      <c r="G1915" s="1" t="inlineStr">
        <is>
          <t>HAIFENG</t>
        </is>
      </c>
      <c r="H1915" s="1" t="inlineStr">
        <is>
          <t>HAIFENG 03/12/2025</t>
        </is>
      </c>
      <c r="I1915" s="4" t="n">
        <v>1</v>
      </c>
      <c r="J1915" s="6" t="n">
        <v>7.5</v>
      </c>
      <c r="K1915" s="6" t="n">
        <v>156.8787001</v>
      </c>
      <c r="L1915" s="6">
        <f>I1915*K1915</f>
        <v/>
      </c>
      <c r="M1915" s="6">
        <f>K1915*4</f>
        <v/>
      </c>
      <c r="N1915" s="6" t="n">
        <v>620</v>
      </c>
    </row>
    <row r="1916">
      <c r="A1916" s="1" t="inlineStr">
        <is>
          <t>56481480610956</t>
        </is>
      </c>
      <c r="B1916" s="1" t="inlineStr">
        <is>
          <t>ANILLO LOVE LOVE ROSEGOLD-SILVER ZIRCONIAS</t>
        </is>
      </c>
      <c r="C1916" s="1" t="inlineStr">
        <is>
          <t>6</t>
        </is>
      </c>
      <c r="D1916" s="1" t="inlineStr">
        <is>
          <t>10/02/2026</t>
        </is>
      </c>
      <c r="E1916" s="1" t="n">
        <v>2026</v>
      </c>
      <c r="F1916" s="1" t="inlineStr">
        <is>
          <t>FEBRERO</t>
        </is>
      </c>
      <c r="G1916" s="1" t="inlineStr">
        <is>
          <t>HAIFENG</t>
        </is>
      </c>
      <c r="H1916" s="1" t="inlineStr">
        <is>
          <t>HAIFENG 10/02/2026</t>
        </is>
      </c>
      <c r="I1916" s="4" t="n">
        <v>5</v>
      </c>
      <c r="J1916" s="6" t="n">
        <v>7.5</v>
      </c>
      <c r="K1916" s="6" t="n">
        <v>158.0137205</v>
      </c>
      <c r="L1916" s="6">
        <f>I1916*K1916</f>
        <v/>
      </c>
      <c r="M1916" s="6">
        <f>K1916*4</f>
        <v/>
      </c>
      <c r="N1916" s="6" t="n">
        <v>620</v>
      </c>
    </row>
    <row r="1917">
      <c r="A1917" s="1" t="inlineStr">
        <is>
          <t>56481480643724</t>
        </is>
      </c>
      <c r="B1917" s="1" t="inlineStr">
        <is>
          <t>ANILLO LOVE LOVE ROSEGOLD-SILVER ZIRCONIAS</t>
        </is>
      </c>
      <c r="C1917" s="1" t="inlineStr">
        <is>
          <t>7</t>
        </is>
      </c>
      <c r="D1917" s="1" t="inlineStr">
        <is>
          <t>01/09/2025</t>
        </is>
      </c>
      <c r="E1917" s="1" t="n">
        <v>2025</v>
      </c>
      <c r="F1917" s="1" t="inlineStr">
        <is>
          <t>SEPTIEMBRE</t>
        </is>
      </c>
      <c r="G1917" s="1" t="inlineStr">
        <is>
          <t>HAIFENG</t>
        </is>
      </c>
      <c r="H1917" s="1" t="inlineStr">
        <is>
          <t>HAIFENG 01/09/2025</t>
        </is>
      </c>
      <c r="I1917" s="4" t="n">
        <v>2</v>
      </c>
      <c r="J1917" s="6" t="n">
        <v>7.5</v>
      </c>
      <c r="K1917" s="6" t="n">
        <v>159.417533</v>
      </c>
      <c r="L1917" s="6">
        <f>I1917*K1917</f>
        <v/>
      </c>
      <c r="M1917" s="6">
        <f>K1917*4</f>
        <v/>
      </c>
      <c r="N1917" s="6" t="n">
        <v>620</v>
      </c>
    </row>
    <row r="1918">
      <c r="A1918" s="1" t="inlineStr">
        <is>
          <t>56481480643724</t>
        </is>
      </c>
      <c r="B1918" s="1" t="inlineStr">
        <is>
          <t>ANILLO LOVE LOVE ROSEGOLD-SILVER ZIRCONIAS</t>
        </is>
      </c>
      <c r="C1918" s="1" t="inlineStr">
        <is>
          <t>7</t>
        </is>
      </c>
      <c r="D1918" s="1" t="inlineStr">
        <is>
          <t>25/09/2025</t>
        </is>
      </c>
      <c r="E1918" s="1" t="n">
        <v>2025</v>
      </c>
      <c r="F1918" s="1" t="inlineStr">
        <is>
          <t>SEPTIEMBRE</t>
        </is>
      </c>
      <c r="G1918" s="1" t="inlineStr">
        <is>
          <t>HAIFENG</t>
        </is>
      </c>
      <c r="H1918" s="1" t="inlineStr">
        <is>
          <t>HAIFENG 25/09/2025</t>
        </is>
      </c>
      <c r="I1918" s="4" t="n">
        <v>2</v>
      </c>
      <c r="J1918" s="6" t="n">
        <v>7.5</v>
      </c>
      <c r="K1918" s="6" t="n">
        <v>158.2266433</v>
      </c>
      <c r="L1918" s="6">
        <f>I1918*K1918</f>
        <v/>
      </c>
      <c r="M1918" s="6">
        <f>K1918*4</f>
        <v/>
      </c>
      <c r="N1918" s="6" t="n">
        <v>620</v>
      </c>
    </row>
    <row r="1919">
      <c r="A1919" s="1" t="inlineStr">
        <is>
          <t>56481480643724</t>
        </is>
      </c>
      <c r="B1919" s="1" t="n"/>
      <c r="C1919" s="1" t="inlineStr">
        <is>
          <t>7</t>
        </is>
      </c>
      <c r="D1919" s="1" t="inlineStr">
        <is>
          <t>10/02/2026</t>
        </is>
      </c>
      <c r="E1919" s="1" t="n">
        <v>2026</v>
      </c>
      <c r="F1919" s="1" t="inlineStr">
        <is>
          <t>FEBRERO</t>
        </is>
      </c>
      <c r="G1919" s="1" t="inlineStr">
        <is>
          <t>HAIFENG</t>
        </is>
      </c>
      <c r="H1919" s="1" t="inlineStr">
        <is>
          <t>HAIFENG 10/02/2026</t>
        </is>
      </c>
      <c r="I1919" s="4" t="n">
        <v>3</v>
      </c>
      <c r="J1919" s="6" t="n">
        <v>7.5</v>
      </c>
      <c r="K1919" s="6" t="n">
        <v>158.0137205</v>
      </c>
      <c r="L1919" s="6">
        <f>I1919*K1919</f>
        <v/>
      </c>
      <c r="M1919" s="6">
        <f>K1919*4</f>
        <v/>
      </c>
      <c r="N1919" s="6" t="n">
        <v>620</v>
      </c>
    </row>
    <row r="1920">
      <c r="A1920" s="1" t="inlineStr">
        <is>
          <t>56481480676492</t>
        </is>
      </c>
      <c r="B1920" s="1" t="inlineStr">
        <is>
          <t>ANILLO LOVE LOVE ROSEGOLD-SILVER ZIRCONIAS</t>
        </is>
      </c>
      <c r="C1920" s="1" t="inlineStr">
        <is>
          <t>8</t>
        </is>
      </c>
      <c r="D1920" s="1" t="inlineStr">
        <is>
          <t>01/09/2025</t>
        </is>
      </c>
      <c r="E1920" s="1" t="n">
        <v>2025</v>
      </c>
      <c r="F1920" s="1" t="inlineStr">
        <is>
          <t>SEPTIEMBRE</t>
        </is>
      </c>
      <c r="G1920" s="1" t="inlineStr">
        <is>
          <t>HAIFENG</t>
        </is>
      </c>
      <c r="H1920" s="1" t="inlineStr">
        <is>
          <t>HAIFENG 01/09/2025</t>
        </is>
      </c>
      <c r="I1920" s="4" t="n">
        <v>3</v>
      </c>
      <c r="J1920" s="6" t="n">
        <v>7.5</v>
      </c>
      <c r="K1920" s="6" t="n">
        <v>159.417533</v>
      </c>
      <c r="L1920" s="6">
        <f>I1920*K1920</f>
        <v/>
      </c>
      <c r="M1920" s="6">
        <f>K1920*4</f>
        <v/>
      </c>
      <c r="N1920" s="6" t="n">
        <v>620</v>
      </c>
    </row>
    <row r="1921">
      <c r="A1921" s="1" t="inlineStr">
        <is>
          <t>56481480676492</t>
        </is>
      </c>
      <c r="B1921" s="1" t="inlineStr">
        <is>
          <t>ANILLO LOVE LOVE ROSEGOLD-SILVER ZIRCONIAS</t>
        </is>
      </c>
      <c r="C1921" s="1" t="inlineStr">
        <is>
          <t>8</t>
        </is>
      </c>
      <c r="D1921" s="1" t="inlineStr">
        <is>
          <t>16/06/2026</t>
        </is>
      </c>
      <c r="E1921" s="1" t="n">
        <v>2026</v>
      </c>
      <c r="F1921" s="1" t="inlineStr">
        <is>
          <t>JUNIO</t>
        </is>
      </c>
      <c r="G1921" s="1" t="inlineStr">
        <is>
          <t>HAIFENG</t>
        </is>
      </c>
      <c r="H1921" s="1" t="inlineStr">
        <is>
          <t>HAIFENG 16/06/2026</t>
        </is>
      </c>
      <c r="I1921" s="4" t="n">
        <v>2</v>
      </c>
      <c r="J1921" s="6" t="n">
        <v>7.5</v>
      </c>
      <c r="K1921" s="6" t="n">
        <v>157.6095484</v>
      </c>
      <c r="L1921" s="6">
        <f>I1921*K1921</f>
        <v/>
      </c>
      <c r="M1921" s="6">
        <f>K1921*4</f>
        <v/>
      </c>
      <c r="N1921" s="6" t="n">
        <v>620</v>
      </c>
    </row>
    <row r="1922">
      <c r="A1922" s="1" t="inlineStr">
        <is>
          <t>56481482264076</t>
        </is>
      </c>
      <c r="B1922" s="1" t="inlineStr">
        <is>
          <t>COLLAR BEAN SILVER</t>
        </is>
      </c>
      <c r="C1922" s="1" t="inlineStr">
        <is>
          <t>41cm con 5cm de extensión</t>
        </is>
      </c>
      <c r="D1922" s="1" t="inlineStr">
        <is>
          <t>25/09/2025</t>
        </is>
      </c>
      <c r="E1922" s="1" t="n">
        <v>2025</v>
      </c>
      <c r="F1922" s="1" t="inlineStr">
        <is>
          <t>SEPTIEMBRE</t>
        </is>
      </c>
      <c r="G1922" s="1" t="inlineStr">
        <is>
          <t>HAIFENG</t>
        </is>
      </c>
      <c r="H1922" s="1" t="inlineStr">
        <is>
          <t>HAIFENG 25/09/2025</t>
        </is>
      </c>
      <c r="I1922" s="4" t="n">
        <v>2</v>
      </c>
      <c r="J1922" s="6" t="n">
        <v>6</v>
      </c>
      <c r="K1922" s="6" t="n">
        <v>126.5813146</v>
      </c>
      <c r="L1922" s="6">
        <f>I1922*K1922</f>
        <v/>
      </c>
      <c r="M1922" s="6">
        <f>K1922*4</f>
        <v/>
      </c>
      <c r="N1922" s="6" t="n">
        <v>520</v>
      </c>
    </row>
    <row r="1923">
      <c r="A1923" s="1" t="inlineStr">
        <is>
          <t>56481482264076</t>
        </is>
      </c>
      <c r="B1923" s="1" t="inlineStr">
        <is>
          <t>COLLAR BEAN SILVER</t>
        </is>
      </c>
      <c r="C1923" s="1" t="inlineStr">
        <is>
          <t>41cm con 5cm de extensión</t>
        </is>
      </c>
      <c r="D1923" s="1" t="inlineStr">
        <is>
          <t>11/11/2025</t>
        </is>
      </c>
      <c r="E1923" s="1" t="n">
        <v>2025</v>
      </c>
      <c r="F1923" s="1" t="inlineStr">
        <is>
          <t>NOVIEMBRE</t>
        </is>
      </c>
      <c r="G1923" s="1" t="inlineStr">
        <is>
          <t>HAIFENG</t>
        </is>
      </c>
      <c r="H1923" s="1" t="inlineStr">
        <is>
          <t>HAIFENG 11/11/2025</t>
        </is>
      </c>
      <c r="I1923" s="4" t="n">
        <v>2</v>
      </c>
      <c r="J1923" s="6" t="n">
        <v>6</v>
      </c>
      <c r="K1923" s="6" t="n">
        <v>126.3629907</v>
      </c>
      <c r="L1923" s="6">
        <f>I1923*K1923</f>
        <v/>
      </c>
      <c r="M1923" s="6">
        <f>K1923*4</f>
        <v/>
      </c>
      <c r="N1923" s="6" t="n">
        <v>520</v>
      </c>
    </row>
    <row r="1924">
      <c r="A1924" s="1" t="inlineStr">
        <is>
          <t>56481482264076</t>
        </is>
      </c>
      <c r="B1924" s="1" t="inlineStr">
        <is>
          <t>COLLAR BEAN SILVER</t>
        </is>
      </c>
      <c r="C1924" s="1" t="inlineStr">
        <is>
          <t>41cm con 5cm de extensión</t>
        </is>
      </c>
      <c r="D1924" s="1" t="inlineStr">
        <is>
          <t>03/12/2025</t>
        </is>
      </c>
      <c r="E1924" s="1" t="n">
        <v>2025</v>
      </c>
      <c r="F1924" s="1" t="inlineStr">
        <is>
          <t>DICIEMBRE</t>
        </is>
      </c>
      <c r="G1924" s="1" t="inlineStr">
        <is>
          <t>HAIFENG</t>
        </is>
      </c>
      <c r="H1924" s="1" t="inlineStr">
        <is>
          <t>HAIFENG 03/12/2025</t>
        </is>
      </c>
      <c r="I1924" s="4" t="n">
        <v>6</v>
      </c>
      <c r="J1924" s="6" t="n">
        <v>6</v>
      </c>
      <c r="K1924" s="6" t="n">
        <v>125.5029601</v>
      </c>
      <c r="L1924" s="6">
        <f>I1924*K1924</f>
        <v/>
      </c>
      <c r="M1924" s="6">
        <f>K1924*4</f>
        <v/>
      </c>
      <c r="N1924" s="6" t="n">
        <v>520</v>
      </c>
    </row>
    <row r="1925">
      <c r="A1925" s="1" t="inlineStr">
        <is>
          <t>56481482264076</t>
        </is>
      </c>
      <c r="B1925" s="1" t="inlineStr">
        <is>
          <t>COLLAR BEAN SILVER</t>
        </is>
      </c>
      <c r="C1925" s="1" t="inlineStr">
        <is>
          <t>41cm con 5cm de extensión</t>
        </is>
      </c>
      <c r="D1925" s="1" t="inlineStr">
        <is>
          <t>10/02/2026</t>
        </is>
      </c>
      <c r="E1925" s="1" t="n">
        <v>2026</v>
      </c>
      <c r="F1925" s="1" t="inlineStr">
        <is>
          <t>FEBRERO</t>
        </is>
      </c>
      <c r="G1925" s="1" t="inlineStr">
        <is>
          <t>HAIFENG</t>
        </is>
      </c>
      <c r="H1925" s="1" t="inlineStr">
        <is>
          <t>HAIFENG 10/02/2026</t>
        </is>
      </c>
      <c r="I1925" s="4" t="n">
        <v>8</v>
      </c>
      <c r="J1925" s="6" t="n">
        <v>6</v>
      </c>
      <c r="K1925" s="6" t="n">
        <v>126.4109764</v>
      </c>
      <c r="L1925" s="6">
        <f>I1925*K1925</f>
        <v/>
      </c>
      <c r="M1925" s="6">
        <f>K1925*4</f>
        <v/>
      </c>
      <c r="N1925" s="6" t="n">
        <v>520</v>
      </c>
    </row>
    <row r="1926">
      <c r="A1926" s="1" t="inlineStr">
        <is>
          <t>56481482264076</t>
        </is>
      </c>
      <c r="B1926" s="1" t="inlineStr">
        <is>
          <t>COLLAR BEAN SILVER</t>
        </is>
      </c>
      <c r="C1926" s="1" t="inlineStr">
        <is>
          <t>41cm con 5cm de extensión</t>
        </is>
      </c>
      <c r="D1926" s="1" t="inlineStr">
        <is>
          <t>26/05/2026</t>
        </is>
      </c>
      <c r="E1926" s="1" t="n">
        <v>2026</v>
      </c>
      <c r="F1926" s="1" t="inlineStr">
        <is>
          <t>MAYO</t>
        </is>
      </c>
      <c r="G1926" s="1" t="inlineStr">
        <is>
          <t>HAIFENG</t>
        </is>
      </c>
      <c r="H1926" s="1" t="inlineStr">
        <is>
          <t>HAIFENG 26/05/2026</t>
        </is>
      </c>
      <c r="I1926" s="4" t="n">
        <v>2</v>
      </c>
      <c r="J1926" s="6" t="n">
        <v>6</v>
      </c>
      <c r="K1926" s="6" t="n">
        <v>125.9357718</v>
      </c>
      <c r="L1926" s="6">
        <f>I1926*K1926</f>
        <v/>
      </c>
      <c r="M1926" s="6">
        <f>K1926*4</f>
        <v/>
      </c>
      <c r="N1926" s="6" t="n">
        <v>520</v>
      </c>
    </row>
    <row r="1927">
      <c r="A1927" s="1" t="inlineStr">
        <is>
          <t>56481484246028</t>
        </is>
      </c>
      <c r="B1927" s="1" t="inlineStr">
        <is>
          <t>ANILLO SIXTEEN STONE GOLD/RED</t>
        </is>
      </c>
      <c r="C1927" s="1" t="inlineStr">
        <is>
          <t>6</t>
        </is>
      </c>
      <c r="D1927" s="1" t="inlineStr">
        <is>
          <t>01/09/2025</t>
        </is>
      </c>
      <c r="E1927" s="1" t="n">
        <v>2025</v>
      </c>
      <c r="F1927" s="1" t="inlineStr">
        <is>
          <t>SEPTIEMBRE</t>
        </is>
      </c>
      <c r="G1927" s="1" t="inlineStr">
        <is>
          <t>HAIFENG</t>
        </is>
      </c>
      <c r="H1927" s="1" t="inlineStr">
        <is>
          <t>HAIFENG 01/09/2025</t>
        </is>
      </c>
      <c r="I1927" s="4" t="n">
        <v>3</v>
      </c>
      <c r="J1927" s="6" t="n">
        <v>6</v>
      </c>
      <c r="K1927" s="6" t="n">
        <v>127.5340264</v>
      </c>
      <c r="L1927" s="6">
        <f>I1927*K1927</f>
        <v/>
      </c>
      <c r="M1927" s="6">
        <f>K1927*4</f>
        <v/>
      </c>
      <c r="N1927" s="6" t="n">
        <v>550</v>
      </c>
    </row>
    <row r="1928">
      <c r="A1928" s="1" t="inlineStr">
        <is>
          <t>56481484246028</t>
        </is>
      </c>
      <c r="B1928" s="1" t="inlineStr">
        <is>
          <t>ANILLO SIXTEEN STONE GOLD/RED</t>
        </is>
      </c>
      <c r="C1928" s="1" t="inlineStr">
        <is>
          <t>6</t>
        </is>
      </c>
      <c r="D1928" s="1" t="inlineStr">
        <is>
          <t>11/11/2025</t>
        </is>
      </c>
      <c r="E1928" s="1" t="n">
        <v>2025</v>
      </c>
      <c r="F1928" s="1" t="inlineStr">
        <is>
          <t>NOVIEMBRE</t>
        </is>
      </c>
      <c r="G1928" s="1" t="inlineStr">
        <is>
          <t>HAIFENG</t>
        </is>
      </c>
      <c r="H1928" s="1" t="inlineStr">
        <is>
          <t>HAIFENG 11/11/2025</t>
        </is>
      </c>
      <c r="I1928" s="4" t="n">
        <v>3</v>
      </c>
      <c r="J1928" s="6" t="n">
        <v>6</v>
      </c>
      <c r="K1928" s="6" t="n">
        <v>126.3629907</v>
      </c>
      <c r="L1928" s="6">
        <f>I1928*K1928</f>
        <v/>
      </c>
      <c r="M1928" s="6">
        <f>K1928*4</f>
        <v/>
      </c>
      <c r="N1928" s="6" t="n">
        <v>550</v>
      </c>
    </row>
    <row r="1929">
      <c r="A1929" s="1" t="inlineStr">
        <is>
          <t>56481484246028</t>
        </is>
      </c>
      <c r="B1929" s="1" t="inlineStr">
        <is>
          <t>ANILLO SIXTEEN STONE GOLD/RED</t>
        </is>
      </c>
      <c r="C1929" s="1" t="inlineStr">
        <is>
          <t>6</t>
        </is>
      </c>
      <c r="D1929" s="1" t="inlineStr">
        <is>
          <t>03/12/2025</t>
        </is>
      </c>
      <c r="E1929" s="1" t="n">
        <v>2025</v>
      </c>
      <c r="F1929" s="1" t="inlineStr">
        <is>
          <t>DICIEMBRE</t>
        </is>
      </c>
      <c r="G1929" s="1" t="inlineStr">
        <is>
          <t>HAIFENG</t>
        </is>
      </c>
      <c r="H1929" s="1" t="inlineStr">
        <is>
          <t>HAIFENG 03/12/2025</t>
        </is>
      </c>
      <c r="I1929" s="4" t="n">
        <v>2</v>
      </c>
      <c r="J1929" s="6" t="n">
        <v>6</v>
      </c>
      <c r="K1929" s="6" t="n">
        <v>125.5029601</v>
      </c>
      <c r="L1929" s="6">
        <f>I1929*K1929</f>
        <v/>
      </c>
      <c r="M1929" s="6">
        <f>K1929*4</f>
        <v/>
      </c>
      <c r="N1929" s="6" t="n">
        <v>550</v>
      </c>
    </row>
    <row r="1930">
      <c r="A1930" s="1" t="inlineStr">
        <is>
          <t>56481484246028</t>
        </is>
      </c>
      <c r="B1930" s="1" t="inlineStr">
        <is>
          <t>ANILLO SIXTEEN STONE GOLD/RED</t>
        </is>
      </c>
      <c r="C1930" s="1" t="inlineStr">
        <is>
          <t>6</t>
        </is>
      </c>
      <c r="D1930" s="1" t="inlineStr">
        <is>
          <t>10/02/2026</t>
        </is>
      </c>
      <c r="E1930" s="1" t="n">
        <v>2026</v>
      </c>
      <c r="F1930" s="1" t="inlineStr">
        <is>
          <t>FEBRERO</t>
        </is>
      </c>
      <c r="G1930" s="1" t="inlineStr">
        <is>
          <t>HAIFENG</t>
        </is>
      </c>
      <c r="H1930" s="1" t="inlineStr">
        <is>
          <t>HAIFENG 10/02/2026</t>
        </is>
      </c>
      <c r="I1930" s="4" t="n">
        <v>5</v>
      </c>
      <c r="J1930" s="6" t="n">
        <v>6</v>
      </c>
      <c r="K1930" s="6" t="n">
        <v>126.4109764</v>
      </c>
      <c r="L1930" s="6">
        <f>I1930*K1930</f>
        <v/>
      </c>
      <c r="M1930" s="6">
        <f>K1930*4</f>
        <v/>
      </c>
      <c r="N1930" s="6" t="n">
        <v>550</v>
      </c>
    </row>
    <row r="1931">
      <c r="A1931" s="1" t="inlineStr">
        <is>
          <t>56481484246028</t>
        </is>
      </c>
      <c r="B1931" s="1" t="inlineStr">
        <is>
          <t>ANILLO SIXTEEN STONE GOLD/RED</t>
        </is>
      </c>
      <c r="C1931" s="1" t="inlineStr">
        <is>
          <t>6</t>
        </is>
      </c>
      <c r="D1931" s="1" t="inlineStr">
        <is>
          <t>26/05/2026</t>
        </is>
      </c>
      <c r="E1931" s="1" t="n">
        <v>2026</v>
      </c>
      <c r="F1931" s="1" t="inlineStr">
        <is>
          <t>MAYO</t>
        </is>
      </c>
      <c r="G1931" s="1" t="inlineStr">
        <is>
          <t>HAIFENG</t>
        </is>
      </c>
      <c r="H1931" s="1" t="inlineStr">
        <is>
          <t>HAIFENG 26/05/2026</t>
        </is>
      </c>
      <c r="I1931" s="4" t="n">
        <v>4</v>
      </c>
      <c r="J1931" s="6" t="n">
        <v>6</v>
      </c>
      <c r="K1931" s="6" t="n">
        <v>125.9357718</v>
      </c>
      <c r="L1931" s="6">
        <f>I1931*K1931</f>
        <v/>
      </c>
      <c r="M1931" s="6">
        <f>K1931*4</f>
        <v/>
      </c>
      <c r="N1931" s="6" t="n">
        <v>550</v>
      </c>
    </row>
    <row r="1932">
      <c r="A1932" s="1" t="inlineStr">
        <is>
          <t>56481484278796</t>
        </is>
      </c>
      <c r="B1932" s="1" t="inlineStr">
        <is>
          <t>ANILLO SIXTEEN STONE GOLD/RED</t>
        </is>
      </c>
      <c r="C1932" s="1" t="inlineStr">
        <is>
          <t>7</t>
        </is>
      </c>
      <c r="D1932" s="1" t="inlineStr">
        <is>
          <t>01/09/2025</t>
        </is>
      </c>
      <c r="E1932" s="1" t="n">
        <v>2025</v>
      </c>
      <c r="F1932" s="1" t="inlineStr">
        <is>
          <t>SEPTIEMBRE</t>
        </is>
      </c>
      <c r="G1932" s="1" t="inlineStr">
        <is>
          <t>HAIFENG</t>
        </is>
      </c>
      <c r="H1932" s="1" t="inlineStr">
        <is>
          <t>HAIFENG 01/09/2025</t>
        </is>
      </c>
      <c r="I1932" s="4" t="n">
        <v>1</v>
      </c>
      <c r="J1932" s="6" t="n">
        <v>6</v>
      </c>
      <c r="K1932" s="6" t="n">
        <v>127.5340264</v>
      </c>
      <c r="L1932" s="6">
        <f>I1932*K1932</f>
        <v/>
      </c>
      <c r="M1932" s="6">
        <f>K1932*4</f>
        <v/>
      </c>
      <c r="N1932" s="6" t="n">
        <v>550</v>
      </c>
    </row>
    <row r="1933">
      <c r="A1933" s="1" t="inlineStr">
        <is>
          <t>56481484278796</t>
        </is>
      </c>
      <c r="B1933" s="1" t="inlineStr">
        <is>
          <t>ANILLO SIXTEEN STONE GOLD/RED</t>
        </is>
      </c>
      <c r="C1933" s="1" t="inlineStr">
        <is>
          <t>7</t>
        </is>
      </c>
      <c r="D1933" s="1" t="inlineStr">
        <is>
          <t>25/09/2025</t>
        </is>
      </c>
      <c r="E1933" s="1" t="n">
        <v>2025</v>
      </c>
      <c r="F1933" s="1" t="inlineStr">
        <is>
          <t>SEPTIEMBRE</t>
        </is>
      </c>
      <c r="G1933" s="1" t="inlineStr">
        <is>
          <t>HAIFENG</t>
        </is>
      </c>
      <c r="H1933" s="1" t="inlineStr">
        <is>
          <t>HAIFENG 25/09/2025</t>
        </is>
      </c>
      <c r="I1933" s="4" t="n">
        <v>2</v>
      </c>
      <c r="J1933" s="6" t="n">
        <v>6</v>
      </c>
      <c r="K1933" s="6" t="n">
        <v>126.5813146</v>
      </c>
      <c r="L1933" s="6">
        <f>I1933*K1933</f>
        <v/>
      </c>
      <c r="M1933" s="6">
        <f>K1933*4</f>
        <v/>
      </c>
      <c r="N1933" s="6" t="n">
        <v>550</v>
      </c>
    </row>
    <row r="1934">
      <c r="A1934" s="1" t="inlineStr">
        <is>
          <t>56481484278796</t>
        </is>
      </c>
      <c r="B1934" s="1" t="inlineStr">
        <is>
          <t>ANILLO SIXTEEN STONE GOLD/RED</t>
        </is>
      </c>
      <c r="C1934" s="1" t="inlineStr">
        <is>
          <t>7</t>
        </is>
      </c>
      <c r="D1934" s="1" t="inlineStr">
        <is>
          <t>11/11/2025</t>
        </is>
      </c>
      <c r="E1934" s="1" t="n">
        <v>2025</v>
      </c>
      <c r="F1934" s="1" t="inlineStr">
        <is>
          <t>NOVIEMBRE</t>
        </is>
      </c>
      <c r="G1934" s="1" t="inlineStr">
        <is>
          <t>HAIFENG</t>
        </is>
      </c>
      <c r="H1934" s="1" t="inlineStr">
        <is>
          <t>HAIFENG 11/11/2025</t>
        </is>
      </c>
      <c r="I1934" s="4" t="n">
        <v>3</v>
      </c>
      <c r="J1934" s="6" t="n">
        <v>6</v>
      </c>
      <c r="K1934" s="6" t="n">
        <v>126.3629907</v>
      </c>
      <c r="L1934" s="6">
        <f>I1934*K1934</f>
        <v/>
      </c>
      <c r="M1934" s="6">
        <f>K1934*4</f>
        <v/>
      </c>
      <c r="N1934" s="6" t="n">
        <v>550</v>
      </c>
    </row>
    <row r="1935">
      <c r="A1935" s="1" t="inlineStr">
        <is>
          <t>56481484278796</t>
        </is>
      </c>
      <c r="B1935" s="1" t="inlineStr">
        <is>
          <t>ANILLO SIXTEEN STONE GOLD/RED</t>
        </is>
      </c>
      <c r="C1935" s="1" t="inlineStr">
        <is>
          <t>7</t>
        </is>
      </c>
      <c r="D1935" s="1" t="inlineStr">
        <is>
          <t>03/12/2025</t>
        </is>
      </c>
      <c r="E1935" s="1" t="n">
        <v>2025</v>
      </c>
      <c r="F1935" s="1" t="inlineStr">
        <is>
          <t>DICIEMBRE</t>
        </is>
      </c>
      <c r="G1935" s="1" t="inlineStr">
        <is>
          <t>HAIFENG</t>
        </is>
      </c>
      <c r="H1935" s="1" t="inlineStr">
        <is>
          <t>HAIFENG 03/12/2025</t>
        </is>
      </c>
      <c r="I1935" s="4" t="n">
        <v>2</v>
      </c>
      <c r="J1935" s="6" t="n">
        <v>6</v>
      </c>
      <c r="K1935" s="6" t="n">
        <v>125.5029601</v>
      </c>
      <c r="L1935" s="6">
        <f>I1935*K1935</f>
        <v/>
      </c>
      <c r="M1935" s="6">
        <f>K1935*4</f>
        <v/>
      </c>
      <c r="N1935" s="6" t="n">
        <v>550</v>
      </c>
    </row>
    <row r="1936">
      <c r="A1936" s="1" t="inlineStr">
        <is>
          <t>56481484278796</t>
        </is>
      </c>
      <c r="B1936" s="1" t="inlineStr">
        <is>
          <t>ANILLO SIXTEEN STONE GOLD/RED</t>
        </is>
      </c>
      <c r="C1936" s="1" t="inlineStr">
        <is>
          <t>7</t>
        </is>
      </c>
      <c r="D1936" s="1" t="inlineStr">
        <is>
          <t>20/01/2026</t>
        </is>
      </c>
      <c r="E1936" s="1" t="n">
        <v>2026</v>
      </c>
      <c r="F1936" s="1" t="inlineStr">
        <is>
          <t>ENERO</t>
        </is>
      </c>
      <c r="G1936" s="1" t="inlineStr">
        <is>
          <t>HAIFENG</t>
        </is>
      </c>
      <c r="H1936" s="1" t="inlineStr">
        <is>
          <t>HAIFENG 20/01/2026</t>
        </is>
      </c>
      <c r="I1936" s="4" t="n">
        <v>5</v>
      </c>
      <c r="J1936" s="6" t="n">
        <v>6</v>
      </c>
      <c r="K1936" s="6" t="n">
        <v>127.2025068</v>
      </c>
      <c r="L1936" s="6">
        <f>I1936*K1936</f>
        <v/>
      </c>
      <c r="M1936" s="6">
        <f>K1936*4</f>
        <v/>
      </c>
      <c r="N1936" s="6" t="n">
        <v>550</v>
      </c>
    </row>
    <row r="1937">
      <c r="A1937" s="1" t="inlineStr">
        <is>
          <t>56481484278796</t>
        </is>
      </c>
      <c r="B1937" s="1" t="n"/>
      <c r="C1937" s="1" t="inlineStr">
        <is>
          <t>7</t>
        </is>
      </c>
      <c r="D1937" s="1" t="inlineStr">
        <is>
          <t>10/02/2026</t>
        </is>
      </c>
      <c r="E1937" s="1" t="n">
        <v>2026</v>
      </c>
      <c r="F1937" s="1" t="inlineStr">
        <is>
          <t>FEBRERO</t>
        </is>
      </c>
      <c r="G1937" s="1" t="inlineStr">
        <is>
          <t>HAIFENG</t>
        </is>
      </c>
      <c r="H1937" s="1" t="inlineStr">
        <is>
          <t>HAIFENG 10/02/2026</t>
        </is>
      </c>
      <c r="I1937" s="4" t="n">
        <v>3</v>
      </c>
      <c r="J1937" s="6" t="n">
        <v>6</v>
      </c>
      <c r="K1937" s="6" t="n">
        <v>126.4109764</v>
      </c>
      <c r="L1937" s="6">
        <f>I1937*K1937</f>
        <v/>
      </c>
      <c r="M1937" s="6">
        <f>K1937*4</f>
        <v/>
      </c>
      <c r="N1937" s="6" t="n">
        <v>550</v>
      </c>
    </row>
    <row r="1938">
      <c r="A1938" s="1" t="inlineStr">
        <is>
          <t>56481484278796</t>
        </is>
      </c>
      <c r="B1938" s="1" t="inlineStr">
        <is>
          <t>ANILLO SIXTEEN STONE GOLD/RED</t>
        </is>
      </c>
      <c r="C1938" s="1" t="inlineStr">
        <is>
          <t>7</t>
        </is>
      </c>
      <c r="D1938" s="1" t="inlineStr">
        <is>
          <t>16/06/2026</t>
        </is>
      </c>
      <c r="E1938" s="1" t="n">
        <v>2026</v>
      </c>
      <c r="F1938" s="1" t="inlineStr">
        <is>
          <t>JUNIO</t>
        </is>
      </c>
      <c r="G1938" s="1" t="inlineStr">
        <is>
          <t>HAIFENG</t>
        </is>
      </c>
      <c r="H1938" s="1" t="inlineStr">
        <is>
          <t>HAIFENG 16/06/2026</t>
        </is>
      </c>
      <c r="I1938" s="4" t="n">
        <v>3</v>
      </c>
      <c r="J1938" s="6" t="n">
        <v>6</v>
      </c>
      <c r="K1938" s="6" t="n">
        <v>126.0876388</v>
      </c>
      <c r="L1938" s="6">
        <f>I1938*K1938</f>
        <v/>
      </c>
      <c r="M1938" s="6">
        <f>K1938*4</f>
        <v/>
      </c>
      <c r="N1938" s="6" t="n">
        <v>550</v>
      </c>
    </row>
    <row r="1939">
      <c r="A1939" s="1" t="inlineStr">
        <is>
          <t>56481484311564</t>
        </is>
      </c>
      <c r="B1939" s="1" t="inlineStr">
        <is>
          <t>ANILLO SIXTEEN STONE GOLD/RED</t>
        </is>
      </c>
      <c r="C1939" s="1" t="inlineStr">
        <is>
          <t>8</t>
        </is>
      </c>
      <c r="D1939" s="1" t="inlineStr">
        <is>
          <t>03/12/2025</t>
        </is>
      </c>
      <c r="E1939" s="1" t="n">
        <v>2025</v>
      </c>
      <c r="F1939" s="1" t="inlineStr">
        <is>
          <t>DICIEMBRE</t>
        </is>
      </c>
      <c r="G1939" s="1" t="inlineStr">
        <is>
          <t>HAIFENG</t>
        </is>
      </c>
      <c r="H1939" s="1" t="inlineStr">
        <is>
          <t>HAIFENG 03/12/2025</t>
        </is>
      </c>
      <c r="I1939" s="4" t="n">
        <v>2</v>
      </c>
      <c r="J1939" s="6" t="n">
        <v>6</v>
      </c>
      <c r="K1939" s="6" t="n">
        <v>125.5029601</v>
      </c>
      <c r="L1939" s="6">
        <f>I1939*K1939</f>
        <v/>
      </c>
      <c r="M1939" s="6">
        <f>K1939*4</f>
        <v/>
      </c>
      <c r="N1939" s="6" t="n">
        <v>550</v>
      </c>
    </row>
    <row r="1940">
      <c r="A1940" s="1" t="inlineStr">
        <is>
          <t>56481484311564</t>
        </is>
      </c>
      <c r="B1940" s="1" t="inlineStr">
        <is>
          <t>ANILLO SIXTEEN STONE GOLD/RED</t>
        </is>
      </c>
      <c r="C1940" s="1" t="inlineStr">
        <is>
          <t>8</t>
        </is>
      </c>
      <c r="D1940" s="1" t="inlineStr">
        <is>
          <t>20/01/2026</t>
        </is>
      </c>
      <c r="E1940" s="1" t="n">
        <v>2026</v>
      </c>
      <c r="F1940" s="1" t="inlineStr">
        <is>
          <t>ENERO</t>
        </is>
      </c>
      <c r="G1940" s="1" t="inlineStr">
        <is>
          <t>HAIFENG</t>
        </is>
      </c>
      <c r="H1940" s="1" t="inlineStr">
        <is>
          <t>HAIFENG 20/01/2026</t>
        </is>
      </c>
      <c r="I1940" s="4" t="n">
        <v>2</v>
      </c>
      <c r="J1940" s="6" t="n">
        <v>6</v>
      </c>
      <c r="K1940" s="6" t="n">
        <v>127.2025068</v>
      </c>
      <c r="L1940" s="6">
        <f>I1940*K1940</f>
        <v/>
      </c>
      <c r="M1940" s="6">
        <f>K1940*4</f>
        <v/>
      </c>
      <c r="N1940" s="6" t="n">
        <v>550</v>
      </c>
    </row>
    <row r="1941">
      <c r="A1941" s="1" t="inlineStr">
        <is>
          <t>56481484311564</t>
        </is>
      </c>
      <c r="B1941" s="1" t="inlineStr">
        <is>
          <t>ANILLO SIXTEEN STONE GOLD/RED</t>
        </is>
      </c>
      <c r="C1941" s="1" t="inlineStr">
        <is>
          <t>8</t>
        </is>
      </c>
      <c r="D1941" s="1" t="inlineStr">
        <is>
          <t>11/03/2026</t>
        </is>
      </c>
      <c r="E1941" s="1" t="n">
        <v>2026</v>
      </c>
      <c r="F1941" s="1" t="inlineStr">
        <is>
          <t>MARZO</t>
        </is>
      </c>
      <c r="G1941" s="1" t="inlineStr">
        <is>
          <t>HAIFENG</t>
        </is>
      </c>
      <c r="H1941" s="1" t="inlineStr">
        <is>
          <t>HAIFENG 11/03/2026</t>
        </is>
      </c>
      <c r="I1941" s="4" t="n">
        <v>2</v>
      </c>
      <c r="J1941" s="6" t="n">
        <v>6</v>
      </c>
      <c r="K1941" s="6" t="n">
        <v>127.8233773</v>
      </c>
      <c r="L1941" s="6">
        <f>I1941*K1941</f>
        <v/>
      </c>
      <c r="M1941" s="6">
        <f>K1941*4</f>
        <v/>
      </c>
      <c r="N1941" s="6" t="n">
        <v>550</v>
      </c>
    </row>
    <row r="1942">
      <c r="A1942" s="1" t="inlineStr">
        <is>
          <t>56481484311564</t>
        </is>
      </c>
      <c r="B1942" s="1" t="inlineStr">
        <is>
          <t>ANILLO SIXTEEN STONE GOLD/RED</t>
        </is>
      </c>
      <c r="C1942" s="1" t="inlineStr">
        <is>
          <t>8</t>
        </is>
      </c>
      <c r="D1942" s="1" t="inlineStr">
        <is>
          <t>16/04/2026</t>
        </is>
      </c>
      <c r="E1942" s="1" t="n">
        <v>2026</v>
      </c>
      <c r="F1942" s="1" t="inlineStr">
        <is>
          <t>ABRIL</t>
        </is>
      </c>
      <c r="G1942" s="1" t="inlineStr">
        <is>
          <t>HAIFENG</t>
        </is>
      </c>
      <c r="H1942" s="1" t="inlineStr">
        <is>
          <t>HAIFENG 16/04/2026</t>
        </is>
      </c>
      <c r="I1942" s="4" t="n">
        <v>4</v>
      </c>
      <c r="J1942" s="6" t="n">
        <v>6</v>
      </c>
      <c r="K1942" s="6" t="n">
        <v>126.1888415</v>
      </c>
      <c r="L1942" s="6">
        <f>I1942*K1942</f>
        <v/>
      </c>
      <c r="M1942" s="6">
        <f>K1942*4</f>
        <v/>
      </c>
      <c r="N1942" s="6" t="n">
        <v>550</v>
      </c>
    </row>
    <row r="1943">
      <c r="A1943" s="1" t="inlineStr">
        <is>
          <t>56481484311564</t>
        </is>
      </c>
      <c r="B1943" s="1" t="inlineStr">
        <is>
          <t>ANILLO SIXTEEN STONE GOLD/RED</t>
        </is>
      </c>
      <c r="C1943" s="1" t="inlineStr">
        <is>
          <t>8</t>
        </is>
      </c>
      <c r="D1943" s="1" t="inlineStr">
        <is>
          <t>06/05/2026</t>
        </is>
      </c>
      <c r="E1943" s="1" t="n">
        <v>2026</v>
      </c>
      <c r="F1943" s="1" t="inlineStr">
        <is>
          <t>MAYO</t>
        </is>
      </c>
      <c r="G1943" s="1" t="inlineStr">
        <is>
          <t>HAIFENG</t>
        </is>
      </c>
      <c r="H1943" s="1" t="inlineStr">
        <is>
          <t>HAIFENG 06/05/2026</t>
        </is>
      </c>
      <c r="I1943" s="4" t="n">
        <v>3</v>
      </c>
      <c r="J1943" s="6" t="n">
        <v>6</v>
      </c>
      <c r="K1943" s="6" t="n">
        <v>127.3118536</v>
      </c>
      <c r="L1943" s="6">
        <f>I1943*K1943</f>
        <v/>
      </c>
      <c r="M1943" s="6">
        <f>K1943*4</f>
        <v/>
      </c>
      <c r="N1943" s="6" t="n">
        <v>550</v>
      </c>
    </row>
    <row r="1944">
      <c r="A1944" s="1" t="inlineStr">
        <is>
          <t>56481484584844</t>
        </is>
      </c>
      <c r="B1944" s="1" t="inlineStr">
        <is>
          <t>COLLAR BEAN GOLD</t>
        </is>
      </c>
      <c r="C1944" s="1" t="inlineStr">
        <is>
          <t>41cm con 5cm de extensión</t>
        </is>
      </c>
      <c r="D1944" s="1" t="inlineStr">
        <is>
          <t>01/09/2025</t>
        </is>
      </c>
      <c r="E1944" s="1" t="n">
        <v>2025</v>
      </c>
      <c r="F1944" s="1" t="inlineStr">
        <is>
          <t>SEPTIEMBRE</t>
        </is>
      </c>
      <c r="G1944" s="1" t="inlineStr">
        <is>
          <t>HAIFENG</t>
        </is>
      </c>
      <c r="H1944" s="1" t="inlineStr">
        <is>
          <t>HAIFENG 01/09/2025</t>
        </is>
      </c>
      <c r="I1944" s="4" t="n">
        <v>5</v>
      </c>
      <c r="J1944" s="6" t="n">
        <v>6</v>
      </c>
      <c r="K1944" s="6" t="n">
        <v>127.5340264</v>
      </c>
      <c r="L1944" s="6">
        <f>I1944*K1944</f>
        <v/>
      </c>
      <c r="M1944" s="6">
        <f>K1944*4</f>
        <v/>
      </c>
      <c r="N1944" s="6" t="n">
        <v>520</v>
      </c>
    </row>
    <row r="1945">
      <c r="A1945" s="1" t="inlineStr">
        <is>
          <t>56481484584844</t>
        </is>
      </c>
      <c r="B1945" s="1" t="inlineStr">
        <is>
          <t>COLLAR BEAN GOLD</t>
        </is>
      </c>
      <c r="C1945" s="1" t="inlineStr">
        <is>
          <t>41cm con 5cm de extensión</t>
        </is>
      </c>
      <c r="D1945" s="1" t="inlineStr">
        <is>
          <t>25/09/2025</t>
        </is>
      </c>
      <c r="E1945" s="1" t="n">
        <v>2025</v>
      </c>
      <c r="F1945" s="1" t="inlineStr">
        <is>
          <t>SEPTIEMBRE</t>
        </is>
      </c>
      <c r="G1945" s="1" t="inlineStr">
        <is>
          <t>HAIFENG</t>
        </is>
      </c>
      <c r="H1945" s="1" t="inlineStr">
        <is>
          <t>HAIFENG 25/09/2025</t>
        </is>
      </c>
      <c r="I1945" s="4" t="n">
        <v>2</v>
      </c>
      <c r="J1945" s="6" t="n">
        <v>6</v>
      </c>
      <c r="K1945" s="6" t="n">
        <v>126.5813146</v>
      </c>
      <c r="L1945" s="6">
        <f>I1945*K1945</f>
        <v/>
      </c>
      <c r="M1945" s="6">
        <f>K1945*4</f>
        <v/>
      </c>
      <c r="N1945" s="6" t="n">
        <v>520</v>
      </c>
    </row>
    <row r="1946">
      <c r="A1946" s="1" t="inlineStr">
        <is>
          <t>56481484584844</t>
        </is>
      </c>
      <c r="B1946" s="1" t="inlineStr">
        <is>
          <t>COLLAR BEAN GOLD</t>
        </is>
      </c>
      <c r="C1946" s="1" t="inlineStr">
        <is>
          <t>41cm con 5cm de extensión</t>
        </is>
      </c>
      <c r="D1946" s="1" t="inlineStr">
        <is>
          <t>11/11/2025</t>
        </is>
      </c>
      <c r="E1946" s="1" t="n">
        <v>2025</v>
      </c>
      <c r="F1946" s="1" t="inlineStr">
        <is>
          <t>NOVIEMBRE</t>
        </is>
      </c>
      <c r="G1946" s="1" t="inlineStr">
        <is>
          <t>HAIFENG</t>
        </is>
      </c>
      <c r="H1946" s="1" t="inlineStr">
        <is>
          <t>HAIFENG 11/11/2025</t>
        </is>
      </c>
      <c r="I1946" s="4" t="n">
        <v>3</v>
      </c>
      <c r="J1946" s="6" t="n">
        <v>6</v>
      </c>
      <c r="K1946" s="6" t="n">
        <v>126.3629907</v>
      </c>
      <c r="L1946" s="6">
        <f>I1946*K1946</f>
        <v/>
      </c>
      <c r="M1946" s="6">
        <f>K1946*4</f>
        <v/>
      </c>
      <c r="N1946" s="6" t="n">
        <v>520</v>
      </c>
    </row>
    <row r="1947">
      <c r="A1947" s="1" t="inlineStr">
        <is>
          <t>56481484584844</t>
        </is>
      </c>
      <c r="B1947" s="1" t="inlineStr">
        <is>
          <t>COLLAR BEAN GOLD</t>
        </is>
      </c>
      <c r="C1947" s="1" t="inlineStr">
        <is>
          <t>41cm con 5cm de extensión</t>
        </is>
      </c>
      <c r="D1947" s="1" t="inlineStr">
        <is>
          <t>03/12/2025</t>
        </is>
      </c>
      <c r="E1947" s="1" t="n">
        <v>2025</v>
      </c>
      <c r="F1947" s="1" t="inlineStr">
        <is>
          <t>DICIEMBRE</t>
        </is>
      </c>
      <c r="G1947" s="1" t="inlineStr">
        <is>
          <t>HAIFENG</t>
        </is>
      </c>
      <c r="H1947" s="1" t="inlineStr">
        <is>
          <t>HAIFENG 03/12/2025</t>
        </is>
      </c>
      <c r="I1947" s="4" t="n">
        <v>7</v>
      </c>
      <c r="J1947" s="6" t="n">
        <v>6</v>
      </c>
      <c r="K1947" s="6" t="n">
        <v>125.5029601</v>
      </c>
      <c r="L1947" s="6">
        <f>I1947*K1947</f>
        <v/>
      </c>
      <c r="M1947" s="6">
        <f>K1947*4</f>
        <v/>
      </c>
      <c r="N1947" s="6" t="n">
        <v>520</v>
      </c>
    </row>
    <row r="1948">
      <c r="A1948" s="1" t="inlineStr">
        <is>
          <t>56481484584844</t>
        </is>
      </c>
      <c r="B1948" s="1" t="inlineStr">
        <is>
          <t>COLLAR BEAN GOLD</t>
        </is>
      </c>
      <c r="C1948" s="1" t="inlineStr">
        <is>
          <t>41cm con 5cm de extensión</t>
        </is>
      </c>
      <c r="D1948" s="1" t="inlineStr">
        <is>
          <t>10/02/2026</t>
        </is>
      </c>
      <c r="E1948" s="1" t="n">
        <v>2026</v>
      </c>
      <c r="F1948" s="1" t="inlineStr">
        <is>
          <t>FEBRERO</t>
        </is>
      </c>
      <c r="G1948" s="1" t="inlineStr">
        <is>
          <t>HAIFENG</t>
        </is>
      </c>
      <c r="H1948" s="1" t="inlineStr">
        <is>
          <t>HAIFENG 10/02/2026</t>
        </is>
      </c>
      <c r="I1948" s="4" t="n">
        <v>8</v>
      </c>
      <c r="J1948" s="6" t="n">
        <v>6</v>
      </c>
      <c r="K1948" s="6" t="n">
        <v>126.4109764</v>
      </c>
      <c r="L1948" s="6">
        <f>I1948*K1948</f>
        <v/>
      </c>
      <c r="M1948" s="6">
        <f>K1948*4</f>
        <v/>
      </c>
      <c r="N1948" s="6" t="n">
        <v>520</v>
      </c>
    </row>
    <row r="1949">
      <c r="A1949" s="1" t="inlineStr">
        <is>
          <t>56481484584844</t>
        </is>
      </c>
      <c r="B1949" s="1" t="inlineStr">
        <is>
          <t>COLLAR BEAN GOLD</t>
        </is>
      </c>
      <c r="C1949" s="1" t="inlineStr">
        <is>
          <t>41cm con 5cm de extensión</t>
        </is>
      </c>
      <c r="D1949" s="1" t="inlineStr">
        <is>
          <t>11/03/2026</t>
        </is>
      </c>
      <c r="E1949" s="1" t="n">
        <v>2026</v>
      </c>
      <c r="F1949" s="1" t="inlineStr">
        <is>
          <t>MARZO</t>
        </is>
      </c>
      <c r="G1949" s="1" t="inlineStr">
        <is>
          <t>HAIFENG</t>
        </is>
      </c>
      <c r="H1949" s="1" t="inlineStr">
        <is>
          <t>HAIFENG 11/03/2026</t>
        </is>
      </c>
      <c r="I1949" s="4" t="n">
        <v>8</v>
      </c>
      <c r="J1949" s="6" t="n">
        <v>6</v>
      </c>
      <c r="K1949" s="6" t="n">
        <v>127.8233773</v>
      </c>
      <c r="L1949" s="6">
        <f>I1949*K1949</f>
        <v/>
      </c>
      <c r="M1949" s="6">
        <f>K1949*4</f>
        <v/>
      </c>
      <c r="N1949" s="6" t="n">
        <v>520</v>
      </c>
    </row>
    <row r="1950">
      <c r="A1950" s="1" t="inlineStr">
        <is>
          <t>56481485030668</t>
        </is>
      </c>
      <c r="B1950" s="1" t="inlineStr">
        <is>
          <t>ANILLO TRES AROS SILVER/BLACK</t>
        </is>
      </c>
      <c r="C1950" s="1" t="inlineStr">
        <is>
          <t>8</t>
        </is>
      </c>
      <c r="D1950" s="1" t="inlineStr">
        <is>
          <t>01/09/2025</t>
        </is>
      </c>
      <c r="E1950" s="1" t="n">
        <v>2025</v>
      </c>
      <c r="F1950" s="1" t="inlineStr">
        <is>
          <t>SEPTIEMBRE</t>
        </is>
      </c>
      <c r="G1950" s="1" t="inlineStr">
        <is>
          <t>HAIFENG</t>
        </is>
      </c>
      <c r="H1950" s="1" t="inlineStr">
        <is>
          <t>HAIFENG 01/09/2025</t>
        </is>
      </c>
      <c r="I1950" s="4" t="n">
        <v>3</v>
      </c>
      <c r="J1950" s="6" t="n">
        <v>5</v>
      </c>
      <c r="K1950" s="6" t="n">
        <v>106.2783553</v>
      </c>
      <c r="L1950" s="6">
        <f>I1950*K1950</f>
        <v/>
      </c>
      <c r="M1950" s="6">
        <f>K1950*4</f>
        <v/>
      </c>
      <c r="N1950" s="6" t="n">
        <v>500</v>
      </c>
    </row>
    <row r="1951">
      <c r="A1951" s="1" t="inlineStr">
        <is>
          <t>56481485030668</t>
        </is>
      </c>
      <c r="B1951" s="1" t="inlineStr">
        <is>
          <t>ANILLO TRES AROS SILVER/BLACK</t>
        </is>
      </c>
      <c r="C1951" s="1" t="inlineStr">
        <is>
          <t>8</t>
        </is>
      </c>
      <c r="D1951" s="1" t="inlineStr">
        <is>
          <t>11/11/2025</t>
        </is>
      </c>
      <c r="E1951" s="1" t="n">
        <v>2025</v>
      </c>
      <c r="F1951" s="1" t="inlineStr">
        <is>
          <t>NOVIEMBRE</t>
        </is>
      </c>
      <c r="G1951" s="1" t="inlineStr">
        <is>
          <t>HAIFENG</t>
        </is>
      </c>
      <c r="H1951" s="1" t="inlineStr">
        <is>
          <t>HAIFENG 11/11/2025</t>
        </is>
      </c>
      <c r="I1951" s="4" t="n">
        <v>2</v>
      </c>
      <c r="J1951" s="6" t="n">
        <v>5</v>
      </c>
      <c r="K1951" s="6" t="n">
        <v>105.3024922</v>
      </c>
      <c r="L1951" s="6">
        <f>I1951*K1951</f>
        <v/>
      </c>
      <c r="M1951" s="6">
        <f>K1951*4</f>
        <v/>
      </c>
      <c r="N1951" s="6" t="n">
        <v>500</v>
      </c>
    </row>
    <row r="1952">
      <c r="A1952" s="1" t="inlineStr">
        <is>
          <t>56481485030668</t>
        </is>
      </c>
      <c r="B1952" s="1" t="inlineStr">
        <is>
          <t>ANILLO TRES AROS SILVER/BLACK</t>
        </is>
      </c>
      <c r="C1952" s="1" t="inlineStr">
        <is>
          <t>8</t>
        </is>
      </c>
      <c r="D1952" s="1" t="inlineStr">
        <is>
          <t>03/12/2025</t>
        </is>
      </c>
      <c r="E1952" s="1" t="n">
        <v>2025</v>
      </c>
      <c r="F1952" s="1" t="inlineStr">
        <is>
          <t>DICIEMBRE</t>
        </is>
      </c>
      <c r="G1952" s="1" t="inlineStr">
        <is>
          <t>HAIFENG</t>
        </is>
      </c>
      <c r="H1952" s="1" t="inlineStr">
        <is>
          <t>HAIFENG 03/12/2025</t>
        </is>
      </c>
      <c r="I1952" s="4" t="n">
        <v>3</v>
      </c>
      <c r="J1952" s="6" t="n">
        <v>5</v>
      </c>
      <c r="K1952" s="6" t="n">
        <v>104.5858001</v>
      </c>
      <c r="L1952" s="6">
        <f>I1952*K1952</f>
        <v/>
      </c>
      <c r="M1952" s="6">
        <f>K1952*4</f>
        <v/>
      </c>
      <c r="N1952" s="6" t="n">
        <v>639</v>
      </c>
    </row>
    <row r="1953">
      <c r="A1953" s="1" t="inlineStr">
        <is>
          <t>56481485030668</t>
        </is>
      </c>
      <c r="B1953" s="1" t="inlineStr">
        <is>
          <t>ANILLO TRES AROS SILVER/BLACK</t>
        </is>
      </c>
      <c r="C1953" s="1" t="inlineStr">
        <is>
          <t>8</t>
        </is>
      </c>
      <c r="D1953" s="1" t="inlineStr">
        <is>
          <t>11/03/2026</t>
        </is>
      </c>
      <c r="E1953" s="1" t="n">
        <v>2026</v>
      </c>
      <c r="F1953" s="1" t="inlineStr">
        <is>
          <t>MARZO</t>
        </is>
      </c>
      <c r="G1953" s="1" t="inlineStr">
        <is>
          <t>HAIFENG</t>
        </is>
      </c>
      <c r="H1953" s="1" t="inlineStr">
        <is>
          <t>HAIFENG 11/03/2026</t>
        </is>
      </c>
      <c r="I1953" s="4" t="n">
        <v>4</v>
      </c>
      <c r="J1953" s="6" t="n">
        <v>5</v>
      </c>
      <c r="K1953" s="6" t="n">
        <v>106.5194811</v>
      </c>
      <c r="L1953" s="6">
        <f>I1953*K1953</f>
        <v/>
      </c>
      <c r="M1953" s="6">
        <f>K1953*4</f>
        <v/>
      </c>
      <c r="N1953" s="6" t="n">
        <v>639</v>
      </c>
    </row>
    <row r="1954">
      <c r="A1954" s="1" t="inlineStr">
        <is>
          <t>56481485030668</t>
        </is>
      </c>
      <c r="B1954" s="1" t="inlineStr">
        <is>
          <t>ANILLO TRES AROS SILVER/BLACK</t>
        </is>
      </c>
      <c r="C1954" s="1" t="inlineStr">
        <is>
          <t>8</t>
        </is>
      </c>
      <c r="D1954" s="1" t="inlineStr">
        <is>
          <t>15/05/2026</t>
        </is>
      </c>
      <c r="E1954" s="1" t="n">
        <v>2026</v>
      </c>
      <c r="F1954" s="1" t="inlineStr">
        <is>
          <t>MAYO</t>
        </is>
      </c>
      <c r="G1954" s="1" t="inlineStr">
        <is>
          <t>ZOEY</t>
        </is>
      </c>
      <c r="H1954" s="1" t="inlineStr">
        <is>
          <t>ZOEY 15/05/2026</t>
        </is>
      </c>
      <c r="I1954" s="4" t="n">
        <v>2</v>
      </c>
      <c r="J1954" s="6" t="n">
        <v>6</v>
      </c>
      <c r="K1954" s="6" t="n">
        <v>159.0277469</v>
      </c>
      <c r="L1954" s="6">
        <f>I1954*K1954</f>
        <v/>
      </c>
      <c r="M1954" s="6">
        <f>K1954*4</f>
        <v/>
      </c>
      <c r="N1954" s="6" t="n">
        <v>639</v>
      </c>
    </row>
    <row r="1955">
      <c r="A1955" s="1" t="inlineStr">
        <is>
          <t>56481485030668</t>
        </is>
      </c>
      <c r="B1955" s="1" t="inlineStr">
        <is>
          <t>ANILLO TRES AROS SILVER/BLACK</t>
        </is>
      </c>
      <c r="C1955" s="1" t="inlineStr">
        <is>
          <t>8</t>
        </is>
      </c>
      <c r="D1955" s="1" t="inlineStr">
        <is>
          <t>26/05/2026</t>
        </is>
      </c>
      <c r="E1955" s="1" t="n">
        <v>2026</v>
      </c>
      <c r="F1955" s="1" t="inlineStr">
        <is>
          <t>MAYO</t>
        </is>
      </c>
      <c r="G1955" s="1" t="inlineStr">
        <is>
          <t>HAIFENG</t>
        </is>
      </c>
      <c r="H1955" s="1" t="inlineStr">
        <is>
          <t>HAIFENG 26/05/2026</t>
        </is>
      </c>
      <c r="I1955" s="4" t="n">
        <v>2</v>
      </c>
      <c r="J1955" s="6" t="n">
        <v>5</v>
      </c>
      <c r="K1955" s="6" t="n">
        <v>104.9464765</v>
      </c>
      <c r="L1955" s="6">
        <f>I1955*K1955</f>
        <v/>
      </c>
      <c r="M1955" s="6">
        <f>K1955*4</f>
        <v/>
      </c>
      <c r="N1955" s="6" t="n">
        <v>639</v>
      </c>
    </row>
    <row r="1956">
      <c r="A1956" s="1" t="inlineStr">
        <is>
          <t>56481485030668</t>
        </is>
      </c>
      <c r="B1956" s="1" t="inlineStr">
        <is>
          <t>ANILLO TRES AROS SILVER/BLACK</t>
        </is>
      </c>
      <c r="C1956" s="1" t="inlineStr">
        <is>
          <t>8</t>
        </is>
      </c>
      <c r="D1956" s="1" t="inlineStr">
        <is>
          <t>16/06/2026</t>
        </is>
      </c>
      <c r="E1956" s="1" t="n">
        <v>2026</v>
      </c>
      <c r="F1956" s="1" t="inlineStr">
        <is>
          <t>JUNIO</t>
        </is>
      </c>
      <c r="G1956" s="1" t="inlineStr">
        <is>
          <t>HAIFENG</t>
        </is>
      </c>
      <c r="H1956" s="1" t="inlineStr">
        <is>
          <t>HAIFENG 16/06/2026</t>
        </is>
      </c>
      <c r="I1956" s="4" t="n">
        <v>1</v>
      </c>
      <c r="J1956" s="6" t="n">
        <v>5</v>
      </c>
      <c r="K1956" s="6" t="n">
        <v>105.0730323</v>
      </c>
      <c r="L1956" s="6">
        <f>I1956*K1956</f>
        <v/>
      </c>
      <c r="M1956" s="6">
        <f>K1956*4</f>
        <v/>
      </c>
      <c r="N1956" s="6" t="n">
        <v>639</v>
      </c>
    </row>
    <row r="1957">
      <c r="A1957" s="1" t="inlineStr">
        <is>
          <t>56481485063436</t>
        </is>
      </c>
      <c r="B1957" s="1" t="inlineStr">
        <is>
          <t>ANILLO TRES AROS SILVER/BLACK</t>
        </is>
      </c>
      <c r="C1957" s="1" t="inlineStr">
        <is>
          <t>9</t>
        </is>
      </c>
      <c r="D1957" s="1" t="inlineStr">
        <is>
          <t>01/09/2025</t>
        </is>
      </c>
      <c r="E1957" s="1" t="n">
        <v>2025</v>
      </c>
      <c r="F1957" s="1" t="inlineStr">
        <is>
          <t>SEPTIEMBRE</t>
        </is>
      </c>
      <c r="G1957" s="1" t="inlineStr">
        <is>
          <t>HAIFENG</t>
        </is>
      </c>
      <c r="H1957" s="1" t="inlineStr">
        <is>
          <t>HAIFENG 01/09/2025</t>
        </is>
      </c>
      <c r="I1957" s="4" t="n">
        <v>3</v>
      </c>
      <c r="J1957" s="6" t="n">
        <v>5</v>
      </c>
      <c r="K1957" s="6" t="n">
        <v>106.2783553</v>
      </c>
      <c r="L1957" s="6">
        <f>I1957*K1957</f>
        <v/>
      </c>
      <c r="M1957" s="6">
        <f>K1957*4</f>
        <v/>
      </c>
      <c r="N1957" s="6" t="n">
        <v>500</v>
      </c>
    </row>
    <row r="1958">
      <c r="A1958" s="1" t="inlineStr">
        <is>
          <t>56481485063436</t>
        </is>
      </c>
      <c r="B1958" s="1" t="inlineStr">
        <is>
          <t>ANILLO TRES AROS SILVER/BLACK</t>
        </is>
      </c>
      <c r="C1958" s="1" t="inlineStr">
        <is>
          <t>9</t>
        </is>
      </c>
      <c r="D1958" s="1" t="inlineStr">
        <is>
          <t>20/01/2026</t>
        </is>
      </c>
      <c r="E1958" s="1" t="n">
        <v>2026</v>
      </c>
      <c r="F1958" s="1" t="inlineStr">
        <is>
          <t>ENERO</t>
        </is>
      </c>
      <c r="G1958" s="1" t="inlineStr">
        <is>
          <t>HAIFENG</t>
        </is>
      </c>
      <c r="H1958" s="1" t="inlineStr">
        <is>
          <t>HAIFENG 20/01/2026</t>
        </is>
      </c>
      <c r="I1958" s="4" t="n">
        <v>3</v>
      </c>
      <c r="J1958" s="6" t="n">
        <v>5</v>
      </c>
      <c r="K1958" s="6" t="n">
        <v>106.002089</v>
      </c>
      <c r="L1958" s="6">
        <f>I1958*K1958</f>
        <v/>
      </c>
      <c r="M1958" s="6">
        <f>K1958*4</f>
        <v/>
      </c>
      <c r="N1958" s="6" t="n">
        <v>500</v>
      </c>
    </row>
    <row r="1959">
      <c r="A1959" s="1" t="inlineStr">
        <is>
          <t>56481485063436</t>
        </is>
      </c>
      <c r="B1959" s="1" t="n"/>
      <c r="C1959" s="1" t="inlineStr">
        <is>
          <t>9</t>
        </is>
      </c>
      <c r="D1959" s="1" t="inlineStr">
        <is>
          <t>10/02/2026</t>
        </is>
      </c>
      <c r="E1959" s="1" t="n">
        <v>2026</v>
      </c>
      <c r="F1959" s="1" t="inlineStr">
        <is>
          <t>FEBRERO</t>
        </is>
      </c>
      <c r="G1959" s="1" t="inlineStr">
        <is>
          <t>HAIFENG</t>
        </is>
      </c>
      <c r="H1959" s="1" t="inlineStr">
        <is>
          <t>HAIFENG 10/02/2026</t>
        </is>
      </c>
      <c r="I1959" s="4" t="n">
        <v>3</v>
      </c>
      <c r="J1959" s="6" t="n">
        <v>5</v>
      </c>
      <c r="K1959" s="6" t="n">
        <v>105.3424803</v>
      </c>
      <c r="L1959" s="6">
        <f>I1959*K1959</f>
        <v/>
      </c>
      <c r="M1959" s="6">
        <f>K1959*4</f>
        <v/>
      </c>
      <c r="N1959" s="6" t="n">
        <v>500</v>
      </c>
    </row>
    <row r="1960">
      <c r="A1960" s="1" t="inlineStr">
        <is>
          <t>56481485063436</t>
        </is>
      </c>
      <c r="B1960" s="1" t="inlineStr">
        <is>
          <t>ANILLO TRES AROS SILVER/BLACK</t>
        </is>
      </c>
      <c r="C1960" s="1" t="inlineStr">
        <is>
          <t>9</t>
        </is>
      </c>
      <c r="D1960" s="1" t="inlineStr">
        <is>
          <t>16/06/2026</t>
        </is>
      </c>
      <c r="E1960" s="1" t="n">
        <v>2026</v>
      </c>
      <c r="F1960" s="1" t="inlineStr">
        <is>
          <t>JUNIO</t>
        </is>
      </c>
      <c r="G1960" s="1" t="inlineStr">
        <is>
          <t>HAIFENG</t>
        </is>
      </c>
      <c r="H1960" s="1" t="inlineStr">
        <is>
          <t>HAIFENG 16/06/2026</t>
        </is>
      </c>
      <c r="I1960" s="4" t="n">
        <v>3</v>
      </c>
      <c r="J1960" s="6" t="n">
        <v>5</v>
      </c>
      <c r="K1960" s="6" t="n">
        <v>105.0730323</v>
      </c>
      <c r="L1960" s="6">
        <f>I1960*K1960</f>
        <v/>
      </c>
      <c r="M1960" s="6">
        <f>K1960*4</f>
        <v/>
      </c>
      <c r="N1960" s="6" t="n">
        <v>500</v>
      </c>
    </row>
    <row r="1961">
      <c r="A1961" s="1" t="inlineStr">
        <is>
          <t>56481485096204</t>
        </is>
      </c>
      <c r="B1961" s="1" t="inlineStr">
        <is>
          <t>ANILLO TRES AROS SILVER/BLACK</t>
        </is>
      </c>
      <c r="C1961" s="1" t="inlineStr">
        <is>
          <t>10</t>
        </is>
      </c>
      <c r="D1961" s="1" t="inlineStr">
        <is>
          <t>25/09/2025</t>
        </is>
      </c>
      <c r="E1961" s="1" t="n">
        <v>2025</v>
      </c>
      <c r="F1961" s="1" t="inlineStr">
        <is>
          <t>SEPTIEMBRE</t>
        </is>
      </c>
      <c r="G1961" s="1" t="inlineStr">
        <is>
          <t>HAIFENG</t>
        </is>
      </c>
      <c r="H1961" s="1" t="inlineStr">
        <is>
          <t>HAIFENG 25/09/2025</t>
        </is>
      </c>
      <c r="I1961" s="4" t="n">
        <v>3</v>
      </c>
      <c r="J1961" s="6" t="n">
        <v>5</v>
      </c>
      <c r="K1961" s="6" t="n">
        <v>105.4844288</v>
      </c>
      <c r="L1961" s="6">
        <f>I1961*K1961</f>
        <v/>
      </c>
      <c r="M1961" s="6">
        <f>K1961*4</f>
        <v/>
      </c>
      <c r="N1961" s="6" t="n">
        <v>500</v>
      </c>
    </row>
    <row r="1962">
      <c r="A1962" s="1" t="inlineStr">
        <is>
          <t>56481485096204</t>
        </is>
      </c>
      <c r="B1962" s="1" t="inlineStr">
        <is>
          <t>ANILLO TRES AROS SILVER/BLACK</t>
        </is>
      </c>
      <c r="C1962" s="1" t="inlineStr">
        <is>
          <t>10</t>
        </is>
      </c>
      <c r="D1962" s="1" t="inlineStr">
        <is>
          <t>03/12/2025</t>
        </is>
      </c>
      <c r="E1962" s="1" t="n">
        <v>2025</v>
      </c>
      <c r="F1962" s="1" t="inlineStr">
        <is>
          <t>DICIEMBRE</t>
        </is>
      </c>
      <c r="G1962" s="1" t="inlineStr">
        <is>
          <t>HAIFENG</t>
        </is>
      </c>
      <c r="H1962" s="1" t="inlineStr">
        <is>
          <t>HAIFENG 03/12/2025</t>
        </is>
      </c>
      <c r="I1962" s="4" t="n">
        <v>1</v>
      </c>
      <c r="J1962" s="6" t="n">
        <v>5</v>
      </c>
      <c r="K1962" s="6" t="n">
        <v>104.5858001</v>
      </c>
      <c r="L1962" s="6">
        <f>I1962*K1962</f>
        <v/>
      </c>
      <c r="M1962" s="6">
        <f>K1962*4</f>
        <v/>
      </c>
      <c r="N1962" s="6" t="n">
        <v>500</v>
      </c>
    </row>
    <row r="1963">
      <c r="A1963" s="1" t="inlineStr">
        <is>
          <t>56481485096204</t>
        </is>
      </c>
      <c r="B1963" s="1" t="n"/>
      <c r="C1963" s="1" t="inlineStr">
        <is>
          <t>10</t>
        </is>
      </c>
      <c r="D1963" s="1" t="inlineStr">
        <is>
          <t>10/02/2026</t>
        </is>
      </c>
      <c r="E1963" s="1" t="n">
        <v>2026</v>
      </c>
      <c r="F1963" s="1" t="inlineStr">
        <is>
          <t>FEBRERO</t>
        </is>
      </c>
      <c r="G1963" s="1" t="inlineStr">
        <is>
          <t>HAIFENG</t>
        </is>
      </c>
      <c r="H1963" s="1" t="inlineStr">
        <is>
          <t>HAIFENG 10/02/2026</t>
        </is>
      </c>
      <c r="I1963" s="4" t="n">
        <v>5</v>
      </c>
      <c r="J1963" s="6" t="n">
        <v>5</v>
      </c>
      <c r="K1963" s="6" t="n">
        <v>105.3424803</v>
      </c>
      <c r="L1963" s="6">
        <f>I1963*K1963</f>
        <v/>
      </c>
      <c r="M1963" s="6">
        <f>K1963*4</f>
        <v/>
      </c>
      <c r="N1963" s="6" t="n">
        <v>500</v>
      </c>
    </row>
    <row r="1964">
      <c r="A1964" s="1" t="inlineStr">
        <is>
          <t>56481485096204</t>
        </is>
      </c>
      <c r="B1964" s="1" t="inlineStr">
        <is>
          <t>ANILLO TRES AROS SILVER/BLACK</t>
        </is>
      </c>
      <c r="C1964" s="1" t="inlineStr">
        <is>
          <t>10</t>
        </is>
      </c>
      <c r="D1964" s="1" t="inlineStr">
        <is>
          <t>16/06/2026</t>
        </is>
      </c>
      <c r="E1964" s="1" t="n">
        <v>2026</v>
      </c>
      <c r="F1964" s="1" t="inlineStr">
        <is>
          <t>JUNIO</t>
        </is>
      </c>
      <c r="G1964" s="1" t="inlineStr">
        <is>
          <t>HAIFENG</t>
        </is>
      </c>
      <c r="H1964" s="1" t="inlineStr">
        <is>
          <t>HAIFENG 16/06/2026</t>
        </is>
      </c>
      <c r="I1964" s="4" t="n">
        <v>4</v>
      </c>
      <c r="J1964" s="6" t="n">
        <v>5</v>
      </c>
      <c r="K1964" s="6" t="n">
        <v>105.0730323</v>
      </c>
      <c r="L1964" s="6">
        <f>I1964*K1964</f>
        <v/>
      </c>
      <c r="M1964" s="6">
        <f>K1964*4</f>
        <v/>
      </c>
      <c r="N1964" s="6" t="n">
        <v>500</v>
      </c>
    </row>
    <row r="1965">
      <c r="A1965" s="1" t="inlineStr">
        <is>
          <t>56481485321228</t>
        </is>
      </c>
      <c r="B1965" s="1" t="inlineStr">
        <is>
          <t>COLLAR OPEN HEART</t>
        </is>
      </c>
      <c r="C1965" s="1" t="inlineStr">
        <is>
          <t>42cm (REMATE)</t>
        </is>
      </c>
      <c r="D1965" s="1" t="inlineStr">
        <is>
          <t>03/12/2025</t>
        </is>
      </c>
      <c r="E1965" s="1" t="n">
        <v>2025</v>
      </c>
      <c r="F1965" s="1" t="inlineStr">
        <is>
          <t>DICIEMBRE</t>
        </is>
      </c>
      <c r="G1965" s="1" t="inlineStr">
        <is>
          <t>HAIFENG</t>
        </is>
      </c>
      <c r="H1965" s="1" t="inlineStr">
        <is>
          <t>HAIFENG 03/12/2025</t>
        </is>
      </c>
      <c r="I1965" s="4" t="n">
        <v>3</v>
      </c>
      <c r="J1965" s="6" t="n">
        <v>7</v>
      </c>
      <c r="K1965" s="6" t="n">
        <v>146.4201201</v>
      </c>
      <c r="L1965" s="6">
        <f>I1965*K1965</f>
        <v/>
      </c>
      <c r="M1965" s="6">
        <f>K1965*4</f>
        <v/>
      </c>
      <c r="N1965" s="6" t="n">
        <v>599</v>
      </c>
    </row>
    <row r="1966">
      <c r="A1966" s="1" t="inlineStr">
        <is>
          <t>56481485321228</t>
        </is>
      </c>
      <c r="B1966" s="1" t="inlineStr">
        <is>
          <t>COLLAR OPEN HEART</t>
        </is>
      </c>
      <c r="C1966" s="1" t="inlineStr">
        <is>
          <t>45cm</t>
        </is>
      </c>
      <c r="D1966" s="1" t="inlineStr">
        <is>
          <t>16/04/2026</t>
        </is>
      </c>
      <c r="E1966" s="1" t="n">
        <v>2026</v>
      </c>
      <c r="F1966" s="1" t="inlineStr">
        <is>
          <t>ABRIL</t>
        </is>
      </c>
      <c r="G1966" s="1" t="inlineStr">
        <is>
          <t>HAIFENG</t>
        </is>
      </c>
      <c r="H1966" s="1" t="inlineStr">
        <is>
          <t>HAIFENG 16/04/2026</t>
        </is>
      </c>
      <c r="I1966" s="4" t="n">
        <v>3</v>
      </c>
      <c r="J1966" s="6" t="n">
        <v>7</v>
      </c>
      <c r="K1966" s="6" t="n">
        <v>147.2203151</v>
      </c>
      <c r="L1966" s="6">
        <f>I1966*K1966</f>
        <v/>
      </c>
      <c r="M1966" s="6">
        <f>K1966*4</f>
        <v/>
      </c>
      <c r="N1966" s="6" t="n">
        <v>599</v>
      </c>
    </row>
    <row r="1967">
      <c r="A1967" s="1" t="inlineStr">
        <is>
          <t>56481485321228</t>
        </is>
      </c>
      <c r="B1967" s="1" t="inlineStr">
        <is>
          <t>COLLAR OPEN HEART</t>
        </is>
      </c>
      <c r="C1967" s="1" t="inlineStr">
        <is>
          <t>45cm</t>
        </is>
      </c>
      <c r="D1967" s="1" t="inlineStr">
        <is>
          <t>16/06/2026</t>
        </is>
      </c>
      <c r="E1967" s="1" t="n">
        <v>2026</v>
      </c>
      <c r="F1967" s="1" t="inlineStr">
        <is>
          <t>JUNIO</t>
        </is>
      </c>
      <c r="G1967" s="1" t="inlineStr">
        <is>
          <t>HAIFENG</t>
        </is>
      </c>
      <c r="H1967" s="1" t="inlineStr">
        <is>
          <t>HAIFENG 16/06/2026</t>
        </is>
      </c>
      <c r="I1967" s="4" t="n">
        <v>3</v>
      </c>
      <c r="J1967" s="6" t="n">
        <v>7</v>
      </c>
      <c r="K1967" s="6" t="n">
        <v>147.1022452</v>
      </c>
      <c r="L1967" s="6">
        <f>I1967*K1967</f>
        <v/>
      </c>
      <c r="M1967" s="6">
        <f>K1967*4</f>
        <v/>
      </c>
      <c r="N1967" s="6" t="n">
        <v>599</v>
      </c>
    </row>
    <row r="1968">
      <c r="A1968" s="1" t="inlineStr">
        <is>
          <t>56481488272140</t>
        </is>
      </c>
      <c r="B1968" s="1" t="inlineStr">
        <is>
          <t>COLLAR PASADOR FULL HEART</t>
        </is>
      </c>
      <c r="C1968" s="1" t="inlineStr">
        <is>
          <t>45cm</t>
        </is>
      </c>
      <c r="D1968" s="1" t="inlineStr">
        <is>
          <t>01/09/2025</t>
        </is>
      </c>
      <c r="E1968" s="1" t="n">
        <v>2025</v>
      </c>
      <c r="F1968" s="1" t="inlineStr">
        <is>
          <t>SEPTIEMBRE</t>
        </is>
      </c>
      <c r="G1968" s="1" t="inlineStr">
        <is>
          <t>HAIFENG</t>
        </is>
      </c>
      <c r="H1968" s="1" t="inlineStr">
        <is>
          <t>HAIFENG 01/09/2025</t>
        </is>
      </c>
      <c r="I1968" s="4" t="n">
        <v>4</v>
      </c>
      <c r="J1968" s="6" t="n">
        <v>12</v>
      </c>
      <c r="K1968" s="6" t="n">
        <v>255.0680528</v>
      </c>
      <c r="L1968" s="6">
        <f>I1968*K1968</f>
        <v/>
      </c>
      <c r="M1968" s="6">
        <f>K1968*4</f>
        <v/>
      </c>
      <c r="N1968" s="6" t="n">
        <v>989</v>
      </c>
    </row>
    <row r="1969">
      <c r="A1969" s="1" t="inlineStr">
        <is>
          <t>56481488272140</t>
        </is>
      </c>
      <c r="B1969" s="1" t="inlineStr">
        <is>
          <t>COLLAR PASADOR FULL HEART</t>
        </is>
      </c>
      <c r="C1969" s="1" t="inlineStr">
        <is>
          <t>45cm</t>
        </is>
      </c>
      <c r="D1969" s="1" t="inlineStr">
        <is>
          <t>11/11/2025</t>
        </is>
      </c>
      <c r="E1969" s="1" t="n">
        <v>2025</v>
      </c>
      <c r="F1969" s="1" t="inlineStr">
        <is>
          <t>NOVIEMBRE</t>
        </is>
      </c>
      <c r="G1969" s="1" t="inlineStr">
        <is>
          <t>HAIFENG</t>
        </is>
      </c>
      <c r="H1969" s="1" t="inlineStr">
        <is>
          <t>HAIFENG 11/11/2025</t>
        </is>
      </c>
      <c r="I1969" s="4" t="n">
        <v>4</v>
      </c>
      <c r="J1969" s="6" t="n">
        <v>12</v>
      </c>
      <c r="K1969" s="6" t="n">
        <v>252.7259813</v>
      </c>
      <c r="L1969" s="6">
        <f>I1969*K1969</f>
        <v/>
      </c>
      <c r="M1969" s="6">
        <f>K1969*4</f>
        <v/>
      </c>
      <c r="N1969" s="6" t="n">
        <v>989</v>
      </c>
    </row>
    <row r="1970">
      <c r="A1970" s="1" t="inlineStr">
        <is>
          <t>56481488272140</t>
        </is>
      </c>
      <c r="B1970" s="1" t="inlineStr">
        <is>
          <t>COLLAR PASADOR FULL HEART</t>
        </is>
      </c>
      <c r="C1970" s="1" t="inlineStr">
        <is>
          <t>45cm</t>
        </is>
      </c>
      <c r="D1970" s="1" t="inlineStr">
        <is>
          <t>03/12/2025</t>
        </is>
      </c>
      <c r="E1970" s="1" t="n">
        <v>2025</v>
      </c>
      <c r="F1970" s="1" t="inlineStr">
        <is>
          <t>DICIEMBRE</t>
        </is>
      </c>
      <c r="G1970" s="1" t="inlineStr">
        <is>
          <t>HAIFENG</t>
        </is>
      </c>
      <c r="H1970" s="1" t="inlineStr">
        <is>
          <t>HAIFENG 03/12/2025</t>
        </is>
      </c>
      <c r="I1970" s="4" t="n">
        <v>6</v>
      </c>
      <c r="J1970" s="6" t="n">
        <v>12</v>
      </c>
      <c r="K1970" s="6" t="n">
        <v>251.0059201</v>
      </c>
      <c r="L1970" s="6">
        <f>I1970*K1970</f>
        <v/>
      </c>
      <c r="M1970" s="6">
        <f>K1970*4</f>
        <v/>
      </c>
      <c r="N1970" s="6" t="n">
        <v>989</v>
      </c>
    </row>
    <row r="1971">
      <c r="A1971" s="1" t="inlineStr">
        <is>
          <t>56481488272140</t>
        </is>
      </c>
      <c r="B1971" s="1" t="inlineStr">
        <is>
          <t>COLLAR PASADOR FULL HEART</t>
        </is>
      </c>
      <c r="C1971" s="1" t="inlineStr">
        <is>
          <t>45cm</t>
        </is>
      </c>
      <c r="D1971" s="1" t="inlineStr">
        <is>
          <t>16/04/2026</t>
        </is>
      </c>
      <c r="E1971" s="1" t="n">
        <v>2026</v>
      </c>
      <c r="F1971" s="1" t="inlineStr">
        <is>
          <t>ABRIL</t>
        </is>
      </c>
      <c r="G1971" s="1" t="inlineStr">
        <is>
          <t>HAIFENG</t>
        </is>
      </c>
      <c r="H1971" s="1" t="inlineStr">
        <is>
          <t>HAIFENG 16/04/2026</t>
        </is>
      </c>
      <c r="I1971" s="4" t="n">
        <v>3</v>
      </c>
      <c r="J1971" s="6" t="n">
        <v>12</v>
      </c>
      <c r="K1971" s="6" t="n">
        <v>252.3776831</v>
      </c>
      <c r="L1971" s="6">
        <f>I1971*K1971</f>
        <v/>
      </c>
      <c r="M1971" s="6">
        <f>K1971*4</f>
        <v/>
      </c>
      <c r="N1971" s="6" t="n">
        <v>989</v>
      </c>
    </row>
    <row r="1972">
      <c r="A1972" s="1" t="inlineStr">
        <is>
          <t>56481488554124</t>
        </is>
      </c>
      <c r="B1972" s="1" t="inlineStr">
        <is>
          <t>ANILLO TRES AROS CON ZIRCONIA</t>
        </is>
      </c>
      <c r="C1972" s="1" t="inlineStr">
        <is>
          <t>6</t>
        </is>
      </c>
      <c r="D1972" s="1" t="inlineStr">
        <is>
          <t>25/09/2025</t>
        </is>
      </c>
      <c r="E1972" s="1" t="n">
        <v>2025</v>
      </c>
      <c r="F1972" s="1" t="inlineStr">
        <is>
          <t>SEPTIEMBRE</t>
        </is>
      </c>
      <c r="G1972" s="1" t="inlineStr">
        <is>
          <t>HAIFENG</t>
        </is>
      </c>
      <c r="H1972" s="1" t="inlineStr">
        <is>
          <t>HAIFENG 25/09/2025</t>
        </is>
      </c>
      <c r="I1972" s="4" t="n">
        <v>3</v>
      </c>
      <c r="J1972" s="6" t="n">
        <v>9</v>
      </c>
      <c r="K1972" s="6" t="n">
        <v>189.8719719</v>
      </c>
      <c r="L1972" s="6">
        <f>I1972*K1972</f>
        <v/>
      </c>
      <c r="M1972" s="6">
        <f>K1972*4</f>
        <v/>
      </c>
      <c r="N1972" s="6" t="n">
        <v>1405</v>
      </c>
    </row>
    <row r="1973">
      <c r="A1973" s="1" t="inlineStr">
        <is>
          <t>56481488554124</t>
        </is>
      </c>
      <c r="B1973" s="1" t="inlineStr">
        <is>
          <t>ANILLO TRES AROS CON ZIRCONIA</t>
        </is>
      </c>
      <c r="C1973" s="1" t="inlineStr">
        <is>
          <t>6</t>
        </is>
      </c>
      <c r="D1973" s="1" t="inlineStr">
        <is>
          <t>11/11/2025</t>
        </is>
      </c>
      <c r="E1973" s="1" t="n">
        <v>2025</v>
      </c>
      <c r="F1973" s="1" t="inlineStr">
        <is>
          <t>NOVIEMBRE</t>
        </is>
      </c>
      <c r="G1973" s="1" t="inlineStr">
        <is>
          <t>HAIFENG</t>
        </is>
      </c>
      <c r="H1973" s="1" t="inlineStr">
        <is>
          <t>HAIFENG 11/11/2025</t>
        </is>
      </c>
      <c r="I1973" s="4" t="n">
        <v>3</v>
      </c>
      <c r="J1973" s="6" t="n">
        <v>10</v>
      </c>
      <c r="K1973" s="6" t="n">
        <v>210.6049844</v>
      </c>
      <c r="L1973" s="6">
        <f>I1973*K1973</f>
        <v/>
      </c>
      <c r="M1973" s="6">
        <f>K1973*4</f>
        <v/>
      </c>
      <c r="N1973" s="6" t="n">
        <v>1405</v>
      </c>
    </row>
    <row r="1974">
      <c r="A1974" s="1" t="inlineStr">
        <is>
          <t>56481488554124</t>
        </is>
      </c>
      <c r="B1974" s="1" t="inlineStr">
        <is>
          <t>ANILLO TRES AROS CON ZIRCONIA</t>
        </is>
      </c>
      <c r="C1974" s="1" t="inlineStr">
        <is>
          <t>6</t>
        </is>
      </c>
      <c r="D1974" s="1" t="inlineStr">
        <is>
          <t>03/12/2025</t>
        </is>
      </c>
      <c r="E1974" s="1" t="n">
        <v>2025</v>
      </c>
      <c r="F1974" s="1" t="inlineStr">
        <is>
          <t>DICIEMBRE</t>
        </is>
      </c>
      <c r="G1974" s="1" t="inlineStr">
        <is>
          <t>HAIFENG</t>
        </is>
      </c>
      <c r="H1974" s="1" t="inlineStr">
        <is>
          <t>HAIFENG 03/12/2025</t>
        </is>
      </c>
      <c r="I1974" s="4" t="n">
        <v>4</v>
      </c>
      <c r="J1974" s="6" t="n">
        <v>10</v>
      </c>
      <c r="K1974" s="6" t="n">
        <v>209.1716001</v>
      </c>
      <c r="L1974" s="6">
        <f>I1974*K1974</f>
        <v/>
      </c>
      <c r="M1974" s="6">
        <f>K1974*4</f>
        <v/>
      </c>
      <c r="N1974" s="6" t="n">
        <v>1405</v>
      </c>
    </row>
    <row r="1975">
      <c r="A1975" s="1" t="inlineStr">
        <is>
          <t>56481488554124</t>
        </is>
      </c>
      <c r="B1975" s="1" t="inlineStr">
        <is>
          <t>ANILLO TRES AROS CON ZIRCONIA</t>
        </is>
      </c>
      <c r="C1975" s="1" t="inlineStr">
        <is>
          <t>6</t>
        </is>
      </c>
      <c r="D1975" s="1" t="inlineStr">
        <is>
          <t>10/02/2026</t>
        </is>
      </c>
      <c r="E1975" s="1" t="n">
        <v>2026</v>
      </c>
      <c r="F1975" s="1" t="inlineStr">
        <is>
          <t>FEBRERO</t>
        </is>
      </c>
      <c r="G1975" s="1" t="inlineStr">
        <is>
          <t>HAIFENG</t>
        </is>
      </c>
      <c r="H1975" s="1" t="inlineStr">
        <is>
          <t>HAIFENG 10/02/2026</t>
        </is>
      </c>
      <c r="I1975" s="4" t="n">
        <v>3</v>
      </c>
      <c r="J1975" s="6" t="n">
        <v>10</v>
      </c>
      <c r="K1975" s="6" t="n">
        <v>210.6849607</v>
      </c>
      <c r="L1975" s="6">
        <f>I1975*K1975</f>
        <v/>
      </c>
      <c r="M1975" s="6">
        <f>K1975*4</f>
        <v/>
      </c>
      <c r="N1975" s="6" t="n">
        <v>1405</v>
      </c>
    </row>
    <row r="1976">
      <c r="A1976" s="1" t="inlineStr">
        <is>
          <t>56481488554124</t>
        </is>
      </c>
      <c r="B1976" s="1" t="inlineStr">
        <is>
          <t>ANILLO TRES AROS CON ZIRCONIA</t>
        </is>
      </c>
      <c r="C1976" s="1" t="inlineStr">
        <is>
          <t>6</t>
        </is>
      </c>
      <c r="D1976" s="1" t="inlineStr">
        <is>
          <t>15/05/2026</t>
        </is>
      </c>
      <c r="E1976" s="1" t="n">
        <v>2026</v>
      </c>
      <c r="F1976" s="1" t="inlineStr">
        <is>
          <t>MAYO</t>
        </is>
      </c>
      <c r="G1976" s="1" t="inlineStr">
        <is>
          <t>ZOEY</t>
        </is>
      </c>
      <c r="H1976" s="1" t="inlineStr">
        <is>
          <t>ZOEY 15/05/2026</t>
        </is>
      </c>
      <c r="I1976" s="4" t="n">
        <v>2</v>
      </c>
      <c r="J1976" s="6" t="n">
        <v>13</v>
      </c>
      <c r="K1976" s="6" t="n">
        <v>344.5601183</v>
      </c>
      <c r="L1976" s="6">
        <f>I1976*K1976</f>
        <v/>
      </c>
      <c r="M1976" s="6">
        <f>K1976*4</f>
        <v/>
      </c>
      <c r="N1976" s="6" t="n">
        <v>1405</v>
      </c>
    </row>
    <row r="1977">
      <c r="A1977" s="1" t="inlineStr">
        <is>
          <t>56481488586892</t>
        </is>
      </c>
      <c r="B1977" s="1" t="inlineStr">
        <is>
          <t>ANILLO TRES AROS CON ZIRCONIA</t>
        </is>
      </c>
      <c r="C1977" s="1" t="inlineStr">
        <is>
          <t>7</t>
        </is>
      </c>
      <c r="D1977" s="1" t="inlineStr">
        <is>
          <t>01/09/2025</t>
        </is>
      </c>
      <c r="E1977" s="1" t="n">
        <v>2025</v>
      </c>
      <c r="F1977" s="1" t="inlineStr">
        <is>
          <t>SEPTIEMBRE</t>
        </is>
      </c>
      <c r="G1977" s="1" t="inlineStr">
        <is>
          <t>HAIFENG</t>
        </is>
      </c>
      <c r="H1977" s="1" t="inlineStr">
        <is>
          <t>HAIFENG 01/09/2025</t>
        </is>
      </c>
      <c r="I1977" s="4" t="n">
        <v>4</v>
      </c>
      <c r="J1977" s="6" t="n">
        <v>5</v>
      </c>
      <c r="K1977" s="6" t="n">
        <v>106.2783553</v>
      </c>
      <c r="L1977" s="6">
        <f>I1977*K1977</f>
        <v/>
      </c>
      <c r="M1977" s="6">
        <f>K1977*4</f>
        <v/>
      </c>
      <c r="N1977" s="6" t="n">
        <v>850</v>
      </c>
    </row>
    <row r="1978">
      <c r="A1978" s="1" t="inlineStr">
        <is>
          <t>56481488586892</t>
        </is>
      </c>
      <c r="B1978" s="1" t="inlineStr">
        <is>
          <t>ANILLO TRES AROS CON ZIRCONIA</t>
        </is>
      </c>
      <c r="C1978" s="1" t="inlineStr">
        <is>
          <t>7</t>
        </is>
      </c>
      <c r="D1978" s="1" t="inlineStr">
        <is>
          <t>11/11/2025</t>
        </is>
      </c>
      <c r="E1978" s="1" t="n">
        <v>2025</v>
      </c>
      <c r="F1978" s="1" t="inlineStr">
        <is>
          <t>NOVIEMBRE</t>
        </is>
      </c>
      <c r="G1978" s="1" t="inlineStr">
        <is>
          <t>HAIFENG</t>
        </is>
      </c>
      <c r="H1978" s="1" t="inlineStr">
        <is>
          <t>HAIFENG 11/11/2025</t>
        </is>
      </c>
      <c r="I1978" s="4" t="n">
        <v>3</v>
      </c>
      <c r="J1978" s="6" t="n">
        <v>10</v>
      </c>
      <c r="K1978" s="6" t="n">
        <v>210.6049844</v>
      </c>
      <c r="L1978" s="6">
        <f>I1978*K1978</f>
        <v/>
      </c>
      <c r="M1978" s="6">
        <f>K1978*4</f>
        <v/>
      </c>
      <c r="N1978" s="6" t="n">
        <v>850</v>
      </c>
    </row>
    <row r="1979">
      <c r="A1979" s="1" t="inlineStr">
        <is>
          <t>56481488586892</t>
        </is>
      </c>
      <c r="B1979" s="1" t="inlineStr">
        <is>
          <t>ANILLO TRES AROS CON ZIRCONIA</t>
        </is>
      </c>
      <c r="C1979" s="1" t="inlineStr">
        <is>
          <t>7</t>
        </is>
      </c>
      <c r="D1979" s="1" t="inlineStr">
        <is>
          <t>03/12/2025</t>
        </is>
      </c>
      <c r="E1979" s="1" t="n">
        <v>2025</v>
      </c>
      <c r="F1979" s="1" t="inlineStr">
        <is>
          <t>DICIEMBRE</t>
        </is>
      </c>
      <c r="G1979" s="1" t="inlineStr">
        <is>
          <t>HAIFENG</t>
        </is>
      </c>
      <c r="H1979" s="1" t="inlineStr">
        <is>
          <t>HAIFENG 03/12/2025</t>
        </is>
      </c>
      <c r="I1979" s="4" t="n">
        <v>4</v>
      </c>
      <c r="J1979" s="6" t="n">
        <v>10</v>
      </c>
      <c r="K1979" s="6" t="n">
        <v>209.1716001</v>
      </c>
      <c r="L1979" s="6">
        <f>I1979*K1979</f>
        <v/>
      </c>
      <c r="M1979" s="6">
        <f>K1979*4</f>
        <v/>
      </c>
      <c r="N1979" s="6" t="n">
        <v>850</v>
      </c>
    </row>
    <row r="1980">
      <c r="A1980" s="1" t="inlineStr">
        <is>
          <t>56481488619660</t>
        </is>
      </c>
      <c r="B1980" s="1" t="inlineStr">
        <is>
          <t>ANILLO TRES AROS CON ZIRCONIA</t>
        </is>
      </c>
      <c r="C1980" s="1" t="inlineStr">
        <is>
          <t>8</t>
        </is>
      </c>
      <c r="D1980" s="1" t="inlineStr">
        <is>
          <t>11/11/2025</t>
        </is>
      </c>
      <c r="E1980" s="1" t="n">
        <v>2025</v>
      </c>
      <c r="F1980" s="1" t="inlineStr">
        <is>
          <t>NOVIEMBRE</t>
        </is>
      </c>
      <c r="G1980" s="1" t="inlineStr">
        <is>
          <t>HAIFENG</t>
        </is>
      </c>
      <c r="H1980" s="1" t="inlineStr">
        <is>
          <t>HAIFENG 11/11/2025</t>
        </is>
      </c>
      <c r="I1980" s="4" t="n">
        <v>1</v>
      </c>
      <c r="J1980" s="6" t="n">
        <v>10</v>
      </c>
      <c r="K1980" s="6" t="n">
        <v>210.6049844</v>
      </c>
      <c r="L1980" s="6">
        <f>I1980*K1980</f>
        <v/>
      </c>
      <c r="M1980" s="6">
        <f>K1980*4</f>
        <v/>
      </c>
      <c r="N1980" s="6" t="n">
        <v>850</v>
      </c>
    </row>
    <row r="1981">
      <c r="A1981" s="1" t="inlineStr">
        <is>
          <t>56481488619660</t>
        </is>
      </c>
      <c r="B1981" s="1" t="inlineStr">
        <is>
          <t>ANILLO TRES AROS CON ZIRCONIA</t>
        </is>
      </c>
      <c r="C1981" s="1" t="inlineStr">
        <is>
          <t>8</t>
        </is>
      </c>
      <c r="D1981" s="1" t="inlineStr">
        <is>
          <t>20/01/2026</t>
        </is>
      </c>
      <c r="E1981" s="1" t="n">
        <v>2026</v>
      </c>
      <c r="F1981" s="1" t="inlineStr">
        <is>
          <t>ENERO</t>
        </is>
      </c>
      <c r="G1981" s="1" t="inlineStr">
        <is>
          <t>HAIFENG</t>
        </is>
      </c>
      <c r="H1981" s="1" t="inlineStr">
        <is>
          <t>HAIFENG 20/01/2026</t>
        </is>
      </c>
      <c r="I1981" s="4" t="n">
        <v>6</v>
      </c>
      <c r="J1981" s="6" t="n">
        <v>10</v>
      </c>
      <c r="K1981" s="6" t="n">
        <v>212.0041779</v>
      </c>
      <c r="L1981" s="6">
        <f>I1981*K1981</f>
        <v/>
      </c>
      <c r="M1981" s="6">
        <f>K1981*4</f>
        <v/>
      </c>
      <c r="N1981" s="6" t="n">
        <v>850</v>
      </c>
    </row>
    <row r="1982">
      <c r="A1982" s="1" t="inlineStr">
        <is>
          <t>56481488619660</t>
        </is>
      </c>
      <c r="B1982" s="1" t="inlineStr">
        <is>
          <t>ANILLO TRES AROS CON ZIRCONIA</t>
        </is>
      </c>
      <c r="C1982" s="1" t="inlineStr">
        <is>
          <t>8</t>
        </is>
      </c>
      <c r="D1982" s="1" t="inlineStr">
        <is>
          <t>11/03/2026</t>
        </is>
      </c>
      <c r="E1982" s="1" t="n">
        <v>2026</v>
      </c>
      <c r="F1982" s="1" t="inlineStr">
        <is>
          <t>MARZO</t>
        </is>
      </c>
      <c r="G1982" s="1" t="inlineStr">
        <is>
          <t>HAIFENG</t>
        </is>
      </c>
      <c r="H1982" s="1" t="inlineStr">
        <is>
          <t>HAIFENG 11/03/2026</t>
        </is>
      </c>
      <c r="I1982" s="4" t="n">
        <v>1</v>
      </c>
      <c r="J1982" s="6" t="n">
        <v>10</v>
      </c>
      <c r="K1982" s="6" t="n">
        <v>213.0389622</v>
      </c>
      <c r="L1982" s="6">
        <f>I1982*K1982</f>
        <v/>
      </c>
      <c r="M1982" s="6">
        <f>K1982*4</f>
        <v/>
      </c>
      <c r="N1982" s="6" t="n">
        <v>850</v>
      </c>
    </row>
    <row r="1983">
      <c r="A1983" s="1" t="inlineStr">
        <is>
          <t>56481488619660</t>
        </is>
      </c>
      <c r="B1983" s="1" t="inlineStr">
        <is>
          <t>ANILLO TRES AROS CON ZIRCONIA</t>
        </is>
      </c>
      <c r="C1983" s="1" t="inlineStr">
        <is>
          <t>8</t>
        </is>
      </c>
      <c r="D1983" s="1" t="inlineStr">
        <is>
          <t>16/04/2026</t>
        </is>
      </c>
      <c r="E1983" s="1" t="n">
        <v>2026</v>
      </c>
      <c r="F1983" s="1" t="inlineStr">
        <is>
          <t>ABRIL</t>
        </is>
      </c>
      <c r="G1983" s="1" t="inlineStr">
        <is>
          <t>HAIFENG</t>
        </is>
      </c>
      <c r="H1983" s="1" t="inlineStr">
        <is>
          <t>HAIFENG 16/04/2026</t>
        </is>
      </c>
      <c r="I1983" s="4" t="n">
        <v>1</v>
      </c>
      <c r="J1983" s="6" t="n">
        <v>10</v>
      </c>
      <c r="K1983" s="6" t="n">
        <v>210.3147359</v>
      </c>
      <c r="L1983" s="6">
        <f>I1983*K1983</f>
        <v/>
      </c>
      <c r="M1983" s="6">
        <f>K1983*4</f>
        <v/>
      </c>
      <c r="N1983" s="6" t="n">
        <v>850</v>
      </c>
    </row>
    <row r="1984">
      <c r="A1984" s="1" t="inlineStr">
        <is>
          <t>56481488619660</t>
        </is>
      </c>
      <c r="B1984" s="1" t="inlineStr">
        <is>
          <t>ANILLO TRES AROS CON ZIRCONIA</t>
        </is>
      </c>
      <c r="C1984" s="1" t="inlineStr">
        <is>
          <t>8</t>
        </is>
      </c>
      <c r="D1984" s="1" t="inlineStr">
        <is>
          <t>06/05/2026</t>
        </is>
      </c>
      <c r="E1984" s="1" t="n">
        <v>2026</v>
      </c>
      <c r="F1984" s="1" t="inlineStr">
        <is>
          <t>MAYO</t>
        </is>
      </c>
      <c r="G1984" s="1" t="inlineStr">
        <is>
          <t>HAIFENG</t>
        </is>
      </c>
      <c r="H1984" s="1" t="inlineStr">
        <is>
          <t>HAIFENG 06/05/2026</t>
        </is>
      </c>
      <c r="I1984" s="4" t="n">
        <v>3</v>
      </c>
      <c r="J1984" s="6" t="n">
        <v>10</v>
      </c>
      <c r="K1984" s="6" t="n">
        <v>212.1864227</v>
      </c>
      <c r="L1984" s="6">
        <f>I1984*K1984</f>
        <v/>
      </c>
      <c r="M1984" s="6">
        <f>K1984*4</f>
        <v/>
      </c>
      <c r="N1984" s="6" t="n">
        <v>850</v>
      </c>
    </row>
    <row r="1985">
      <c r="A1985" s="1" t="inlineStr">
        <is>
          <t>56481489561612</t>
        </is>
      </c>
      <c r="B1985" s="1" t="inlineStr">
        <is>
          <t>COLLAR DOBLE PLACA ROSEGOLD</t>
        </is>
      </c>
      <c r="C1985" s="1" t="inlineStr">
        <is>
          <t>39cm con 5cm de extensión</t>
        </is>
      </c>
      <c r="D1985" s="1" t="inlineStr">
        <is>
          <t>25/09/2025</t>
        </is>
      </c>
      <c r="E1985" s="1" t="n">
        <v>2025</v>
      </c>
      <c r="F1985" s="1" t="inlineStr">
        <is>
          <t>SEPTIEMBRE</t>
        </is>
      </c>
      <c r="G1985" s="1" t="inlineStr">
        <is>
          <t>HAIFENG</t>
        </is>
      </c>
      <c r="H1985" s="1" t="inlineStr">
        <is>
          <t>HAIFENG 25/09/2025</t>
        </is>
      </c>
      <c r="I1985" s="4" t="n">
        <v>10</v>
      </c>
      <c r="J1985" s="6" t="n">
        <v>5</v>
      </c>
      <c r="K1985" s="6" t="n">
        <v>105.4844288</v>
      </c>
      <c r="L1985" s="6">
        <f>I1985*K1985</f>
        <v/>
      </c>
      <c r="M1985" s="6">
        <f>K1985*4</f>
        <v/>
      </c>
      <c r="N1985" s="6" t="n">
        <v>550</v>
      </c>
    </row>
    <row r="1986">
      <c r="A1986" s="1" t="inlineStr">
        <is>
          <t>56481489561612</t>
        </is>
      </c>
      <c r="B1986" s="1" t="inlineStr">
        <is>
          <t>COLLAR DOBLE PLACA ROSEGOLD</t>
        </is>
      </c>
      <c r="C1986" s="1" t="inlineStr">
        <is>
          <t>39cm con 5cm de extensión</t>
        </is>
      </c>
      <c r="D1986" s="1" t="inlineStr">
        <is>
          <t>20/01/2026</t>
        </is>
      </c>
      <c r="E1986" s="1" t="n">
        <v>2026</v>
      </c>
      <c r="F1986" s="1" t="inlineStr">
        <is>
          <t>ENERO</t>
        </is>
      </c>
      <c r="G1986" s="1" t="inlineStr">
        <is>
          <t>HAIFENG</t>
        </is>
      </c>
      <c r="H1986" s="1" t="inlineStr">
        <is>
          <t>HAIFENG 20/01/2026</t>
        </is>
      </c>
      <c r="I1986" s="4" t="n">
        <v>3</v>
      </c>
      <c r="J1986" s="6" t="n">
        <v>5</v>
      </c>
      <c r="K1986" s="6" t="n">
        <v>106.002089</v>
      </c>
      <c r="L1986" s="6">
        <f>I1986*K1986</f>
        <v/>
      </c>
      <c r="M1986" s="6">
        <f>K1986*4</f>
        <v/>
      </c>
      <c r="N1986" s="6" t="n">
        <v>550</v>
      </c>
    </row>
    <row r="1987">
      <c r="A1987" s="1" t="inlineStr">
        <is>
          <t>56481489561612</t>
        </is>
      </c>
      <c r="B1987" s="1" t="inlineStr">
        <is>
          <t>COLLAR DOBLE PLACA ROSEGOLD</t>
        </is>
      </c>
      <c r="C1987" s="1" t="inlineStr">
        <is>
          <t>39cm con 5cm de extensión</t>
        </is>
      </c>
      <c r="D1987" s="1" t="inlineStr">
        <is>
          <t>10/02/2026</t>
        </is>
      </c>
      <c r="E1987" s="1" t="n">
        <v>2026</v>
      </c>
      <c r="F1987" s="1" t="inlineStr">
        <is>
          <t>FEBRERO</t>
        </is>
      </c>
      <c r="G1987" s="1" t="inlineStr">
        <is>
          <t>HAIFENG</t>
        </is>
      </c>
      <c r="H1987" s="1" t="inlineStr">
        <is>
          <t>HAIFENG 10/02/2026</t>
        </is>
      </c>
      <c r="I1987" s="4" t="n">
        <v>5</v>
      </c>
      <c r="J1987" s="6" t="n">
        <v>5</v>
      </c>
      <c r="K1987" s="6" t="n">
        <v>105.3424803</v>
      </c>
      <c r="L1987" s="6">
        <f>I1987*K1987</f>
        <v/>
      </c>
      <c r="M1987" s="6">
        <f>K1987*4</f>
        <v/>
      </c>
      <c r="N1987" s="6" t="n">
        <v>550</v>
      </c>
    </row>
    <row r="1988">
      <c r="A1988" s="1" t="inlineStr">
        <is>
          <t>56481489561612</t>
        </is>
      </c>
      <c r="B1988" s="1" t="inlineStr">
        <is>
          <t>COLLAR DOBLE PLACA ROSEGOLD</t>
        </is>
      </c>
      <c r="C1988" s="1" t="inlineStr">
        <is>
          <t>39cm con 5cm de extensión</t>
        </is>
      </c>
      <c r="D1988" s="1" t="inlineStr">
        <is>
          <t>26/05/2026</t>
        </is>
      </c>
      <c r="E1988" s="1" t="n">
        <v>2026</v>
      </c>
      <c r="F1988" s="1" t="inlineStr">
        <is>
          <t>MAYO</t>
        </is>
      </c>
      <c r="G1988" s="1" t="inlineStr">
        <is>
          <t>HAIFENG</t>
        </is>
      </c>
      <c r="H1988" s="1" t="inlineStr">
        <is>
          <t>HAIFENG 26/05/2026</t>
        </is>
      </c>
      <c r="I1988" s="4" t="n">
        <v>6</v>
      </c>
      <c r="J1988" s="6" t="n">
        <v>5</v>
      </c>
      <c r="K1988" s="6" t="n">
        <v>104.9464765</v>
      </c>
      <c r="L1988" s="6">
        <f>I1988*K1988</f>
        <v/>
      </c>
      <c r="M1988" s="6">
        <f>K1988*4</f>
        <v/>
      </c>
      <c r="N1988" s="6" t="n">
        <v>550</v>
      </c>
    </row>
    <row r="1989">
      <c r="A1989" s="1" t="inlineStr">
        <is>
          <t>56481489561612</t>
        </is>
      </c>
      <c r="B1989" s="1" t="inlineStr">
        <is>
          <t>COLLAR DOBLE PLACA ROSEGOLD</t>
        </is>
      </c>
      <c r="C1989" s="1" t="inlineStr">
        <is>
          <t>39cm con 5cm de extensión</t>
        </is>
      </c>
      <c r="D1989" s="1" t="inlineStr">
        <is>
          <t>16/06/2026</t>
        </is>
      </c>
      <c r="E1989" s="1" t="n">
        <v>2026</v>
      </c>
      <c r="F1989" s="1" t="inlineStr">
        <is>
          <t>JUNIO</t>
        </is>
      </c>
      <c r="G1989" s="1" t="inlineStr">
        <is>
          <t>HAIFENG</t>
        </is>
      </c>
      <c r="H1989" s="1" t="inlineStr">
        <is>
          <t>HAIFENG 16/06/2026</t>
        </is>
      </c>
      <c r="I1989" s="4" t="n">
        <v>3</v>
      </c>
      <c r="J1989" s="6" t="n">
        <v>5</v>
      </c>
      <c r="K1989" s="6" t="n">
        <v>105.0730323</v>
      </c>
      <c r="L1989" s="6">
        <f>I1989*K1989</f>
        <v/>
      </c>
      <c r="M1989" s="6">
        <f>K1989*4</f>
        <v/>
      </c>
      <c r="N1989" s="6" t="n">
        <v>550</v>
      </c>
    </row>
    <row r="1990">
      <c r="A1990" s="1" t="inlineStr">
        <is>
          <t>56481494507404</t>
        </is>
      </c>
      <c r="B1990" s="1" t="inlineStr">
        <is>
          <t>PULSERA PASADOR FULL HEART</t>
        </is>
      </c>
      <c r="C1990" s="1" t="inlineStr">
        <is>
          <t>17cm</t>
        </is>
      </c>
      <c r="D1990" s="1" t="inlineStr">
        <is>
          <t>03/12/2025</t>
        </is>
      </c>
      <c r="E1990" s="1" t="n">
        <v>2025</v>
      </c>
      <c r="F1990" s="1" t="inlineStr">
        <is>
          <t>DICIEMBRE</t>
        </is>
      </c>
      <c r="G1990" s="1" t="inlineStr">
        <is>
          <t>HAIFENG</t>
        </is>
      </c>
      <c r="H1990" s="1" t="inlineStr">
        <is>
          <t>HAIFENG 03/12/2025</t>
        </is>
      </c>
      <c r="I1990" s="4" t="n">
        <v>8</v>
      </c>
      <c r="J1990" s="6" t="n">
        <v>10</v>
      </c>
      <c r="K1990" s="6" t="n">
        <v>209.1716001</v>
      </c>
      <c r="L1990" s="6">
        <f>I1990*K1990</f>
        <v/>
      </c>
      <c r="M1990" s="6">
        <f>K1990*4</f>
        <v/>
      </c>
      <c r="N1990" s="6" t="n">
        <v>850</v>
      </c>
    </row>
    <row r="1991">
      <c r="A1991" s="1" t="inlineStr">
        <is>
          <t>56481494507404</t>
        </is>
      </c>
      <c r="B1991" s="1" t="inlineStr">
        <is>
          <t>PULSERA PASADOR FULL HEART</t>
        </is>
      </c>
      <c r="C1991" s="1" t="inlineStr">
        <is>
          <t>17cm</t>
        </is>
      </c>
      <c r="D1991" s="1" t="inlineStr">
        <is>
          <t>11/03/2026</t>
        </is>
      </c>
      <c r="E1991" s="1" t="n">
        <v>2026</v>
      </c>
      <c r="F1991" s="1" t="inlineStr">
        <is>
          <t>MARZO</t>
        </is>
      </c>
      <c r="G1991" s="1" t="inlineStr">
        <is>
          <t>HAIFENG</t>
        </is>
      </c>
      <c r="H1991" s="1" t="inlineStr">
        <is>
          <t>HAIFENG 11/03/2026</t>
        </is>
      </c>
      <c r="I1991" s="4" t="n">
        <v>7</v>
      </c>
      <c r="J1991" s="6" t="n">
        <v>10</v>
      </c>
      <c r="K1991" s="6" t="n">
        <v>213.0389622</v>
      </c>
      <c r="L1991" s="6">
        <f>I1991*K1991</f>
        <v/>
      </c>
      <c r="M1991" s="6">
        <f>K1991*4</f>
        <v/>
      </c>
      <c r="N1991" s="6" t="n">
        <v>850</v>
      </c>
    </row>
    <row r="1992">
      <c r="A1992" s="1" t="inlineStr">
        <is>
          <t>56481494507404</t>
        </is>
      </c>
      <c r="B1992" s="1" t="inlineStr">
        <is>
          <t>PULSERA PASADOR FULL HEART</t>
        </is>
      </c>
      <c r="C1992" s="1" t="inlineStr">
        <is>
          <t>17cm</t>
        </is>
      </c>
      <c r="D1992" s="1" t="inlineStr">
        <is>
          <t>06/05/2026</t>
        </is>
      </c>
      <c r="E1992" s="1" t="n">
        <v>2026</v>
      </c>
      <c r="F1992" s="1" t="inlineStr">
        <is>
          <t>MAYO</t>
        </is>
      </c>
      <c r="G1992" s="1" t="inlineStr">
        <is>
          <t>HAIFENG</t>
        </is>
      </c>
      <c r="H1992" s="1" t="inlineStr">
        <is>
          <t>HAIFENG 06/05/2026</t>
        </is>
      </c>
      <c r="I1992" s="4" t="n">
        <v>3</v>
      </c>
      <c r="J1992" s="6" t="n">
        <v>10</v>
      </c>
      <c r="K1992" s="6" t="n">
        <v>212.1864227</v>
      </c>
      <c r="L1992" s="6">
        <f>I1992*K1992</f>
        <v/>
      </c>
      <c r="M1992" s="6">
        <f>K1992*4</f>
        <v/>
      </c>
      <c r="N1992" s="6" t="n">
        <v>850</v>
      </c>
    </row>
    <row r="1993">
      <c r="A1993" s="1" t="inlineStr">
        <is>
          <t>56481494507404</t>
        </is>
      </c>
      <c r="B1993" s="1" t="inlineStr">
        <is>
          <t>PULSERA PASADOR FULL HEART</t>
        </is>
      </c>
      <c r="C1993" s="1" t="inlineStr">
        <is>
          <t>17cm</t>
        </is>
      </c>
      <c r="D1993" s="1" t="inlineStr">
        <is>
          <t>16/06/2026</t>
        </is>
      </c>
      <c r="E1993" s="1" t="n">
        <v>2026</v>
      </c>
      <c r="F1993" s="1" t="inlineStr">
        <is>
          <t>JUNIO</t>
        </is>
      </c>
      <c r="G1993" s="1" t="inlineStr">
        <is>
          <t>HAIFENG</t>
        </is>
      </c>
      <c r="H1993" s="1" t="inlineStr">
        <is>
          <t>HAIFENG 16/06/2026</t>
        </is>
      </c>
      <c r="I1993" s="4" t="n">
        <v>4</v>
      </c>
      <c r="J1993" s="6" t="n">
        <v>10</v>
      </c>
      <c r="K1993" s="6" t="n">
        <v>210.1460646</v>
      </c>
      <c r="L1993" s="6">
        <f>I1993*K1993</f>
        <v/>
      </c>
      <c r="M1993" s="6">
        <f>K1993*4</f>
        <v/>
      </c>
      <c r="N1993" s="6" t="n">
        <v>850</v>
      </c>
    </row>
    <row r="1994">
      <c r="A1994" s="1" t="inlineStr">
        <is>
          <t>56481495914636</t>
        </is>
      </c>
      <c r="B1994" s="1" t="inlineStr">
        <is>
          <t>PULSERA LOVE LOVE GOLD</t>
        </is>
      </c>
      <c r="C1994" s="1" t="inlineStr">
        <is>
          <t>17cm con 5cm de Extension</t>
        </is>
      </c>
      <c r="D1994" s="1" t="inlineStr">
        <is>
          <t>25/09/2025</t>
        </is>
      </c>
      <c r="E1994" s="1" t="n">
        <v>2025</v>
      </c>
      <c r="F1994" s="1" t="inlineStr">
        <is>
          <t>SEPTIEMBRE</t>
        </is>
      </c>
      <c r="G1994" s="1" t="inlineStr">
        <is>
          <t>HAIFENG</t>
        </is>
      </c>
      <c r="H1994" s="1" t="inlineStr">
        <is>
          <t>HAIFENG 25/09/2025</t>
        </is>
      </c>
      <c r="I1994" s="4" t="n">
        <v>12</v>
      </c>
      <c r="J1994" s="6" t="n">
        <v>5</v>
      </c>
      <c r="K1994" s="6" t="n">
        <v>105.4844288</v>
      </c>
      <c r="L1994" s="6">
        <f>I1994*K1994</f>
        <v/>
      </c>
      <c r="M1994" s="6">
        <f>K1994*4</f>
        <v/>
      </c>
      <c r="N1994" s="6" t="n">
        <v>412</v>
      </c>
    </row>
    <row r="1995">
      <c r="A1995" s="1" t="inlineStr">
        <is>
          <t>56481495914636</t>
        </is>
      </c>
      <c r="B1995" s="1" t="inlineStr">
        <is>
          <t>PULSERA LOVE LOVE GOLD</t>
        </is>
      </c>
      <c r="C1995" s="1" t="inlineStr">
        <is>
          <t>17cm con 5cm de Extension</t>
        </is>
      </c>
      <c r="D1995" s="1" t="inlineStr">
        <is>
          <t>11/11/2025</t>
        </is>
      </c>
      <c r="E1995" s="1" t="n">
        <v>2025</v>
      </c>
      <c r="F1995" s="1" t="inlineStr">
        <is>
          <t>NOVIEMBRE</t>
        </is>
      </c>
      <c r="G1995" s="1" t="inlineStr">
        <is>
          <t>HAIFENG</t>
        </is>
      </c>
      <c r="H1995" s="1" t="inlineStr">
        <is>
          <t>HAIFENG 11/11/2025</t>
        </is>
      </c>
      <c r="I1995" s="4" t="n">
        <v>2</v>
      </c>
      <c r="J1995" s="6" t="n">
        <v>5</v>
      </c>
      <c r="K1995" s="6" t="n">
        <v>105.3024922</v>
      </c>
      <c r="L1995" s="6">
        <f>I1995*K1995</f>
        <v/>
      </c>
      <c r="M1995" s="6">
        <f>K1995*4</f>
        <v/>
      </c>
      <c r="N1995" s="6" t="n">
        <v>412</v>
      </c>
    </row>
    <row r="1996">
      <c r="A1996" s="1" t="inlineStr">
        <is>
          <t>56481497298188</t>
        </is>
      </c>
      <c r="B1996" s="1" t="inlineStr">
        <is>
          <t>COLLAR LV OMBRE</t>
        </is>
      </c>
      <c r="C1996" s="1" t="inlineStr">
        <is>
          <t>39cm con extensión de 5cm</t>
        </is>
      </c>
      <c r="D1996" s="1" t="inlineStr">
        <is>
          <t>01/04/2026</t>
        </is>
      </c>
      <c r="E1996" s="1" t="n">
        <v>2026</v>
      </c>
      <c r="F1996" s="1" t="inlineStr">
        <is>
          <t>ABRIL</t>
        </is>
      </c>
      <c r="G1996" s="1" t="inlineStr">
        <is>
          <t>NANCY</t>
        </is>
      </c>
      <c r="H1996" s="1" t="inlineStr">
        <is>
          <t>NANCY 01/04/2026</t>
        </is>
      </c>
      <c r="I1996" s="4" t="n">
        <v>1</v>
      </c>
      <c r="J1996" s="6" t="n">
        <v>6.59</v>
      </c>
      <c r="K1996" s="6" t="n">
        <v>157.7679581</v>
      </c>
      <c r="L1996" s="6">
        <f>I1996*K1996</f>
        <v/>
      </c>
      <c r="M1996" s="6">
        <f>K1996*4</f>
        <v/>
      </c>
      <c r="N1996" s="6" t="n">
        <v>550</v>
      </c>
    </row>
    <row r="1997">
      <c r="A1997" s="1" t="inlineStr">
        <is>
          <t>56481497298188</t>
        </is>
      </c>
      <c r="B1997" s="1" t="inlineStr">
        <is>
          <t>COLLAR LV OMBRE</t>
        </is>
      </c>
      <c r="C1997" s="1" t="inlineStr">
        <is>
          <t>39cm con extensión de 5cm</t>
        </is>
      </c>
      <c r="D1997" s="1" t="inlineStr">
        <is>
          <t>08/05/2026</t>
        </is>
      </c>
      <c r="E1997" s="1" t="n">
        <v>2026</v>
      </c>
      <c r="F1997" s="1" t="inlineStr">
        <is>
          <t>MAYO</t>
        </is>
      </c>
      <c r="G1997" s="1" t="inlineStr">
        <is>
          <t>NANCY</t>
        </is>
      </c>
      <c r="H1997" s="1" t="inlineStr">
        <is>
          <t>NANCY 08/05/2026</t>
        </is>
      </c>
      <c r="I1997" s="4" t="n">
        <v>3</v>
      </c>
      <c r="J1997" s="6" t="n">
        <v>6.59</v>
      </c>
      <c r="K1997" s="6" t="n">
        <v>155.9046424</v>
      </c>
      <c r="L1997" s="6">
        <f>I1997*K1997</f>
        <v/>
      </c>
      <c r="M1997" s="6">
        <f>K1997*4</f>
        <v/>
      </c>
      <c r="N1997" s="6" t="n">
        <v>550</v>
      </c>
    </row>
    <row r="1998">
      <c r="A1998" s="1" t="inlineStr">
        <is>
          <t>56481497508748</t>
        </is>
      </c>
      <c r="B1998" s="1" t="inlineStr">
        <is>
          <t>COLLAR DOBLE PLACA ROSEGOLD PLATA</t>
        </is>
      </c>
      <c r="C1998" s="1" t="inlineStr">
        <is>
          <t>39cm con 5cm de extensión (REMATE)</t>
        </is>
      </c>
      <c r="D1998" s="1" t="inlineStr">
        <is>
          <t>03/12/2025</t>
        </is>
      </c>
      <c r="E1998" s="1" t="n">
        <v>2025</v>
      </c>
      <c r="F1998" s="1" t="inlineStr">
        <is>
          <t>DICIEMBRE</t>
        </is>
      </c>
      <c r="G1998" s="1" t="inlineStr">
        <is>
          <t>HAIFENG</t>
        </is>
      </c>
      <c r="H1998" s="1" t="inlineStr">
        <is>
          <t>HAIFENG 03/12/2025</t>
        </is>
      </c>
      <c r="I1998" s="4" t="n">
        <v>5</v>
      </c>
      <c r="J1998" s="6" t="n">
        <v>5</v>
      </c>
      <c r="K1998" s="6" t="n">
        <v>104.5858001</v>
      </c>
      <c r="L1998" s="6">
        <f>I1998*K1998</f>
        <v/>
      </c>
      <c r="M1998" s="6">
        <f>K1998*4</f>
        <v/>
      </c>
      <c r="N1998" s="6" t="n">
        <v>550</v>
      </c>
    </row>
    <row r="1999">
      <c r="A1999" s="1" t="inlineStr">
        <is>
          <t>56481497508748</t>
        </is>
      </c>
      <c r="B1999" s="1" t="inlineStr">
        <is>
          <t>COLLAR DOBLE PLACA ROSEGOLD PLATA</t>
        </is>
      </c>
      <c r="C1999" s="1" t="inlineStr">
        <is>
          <t>40cm con 5cm de extensión</t>
        </is>
      </c>
      <c r="D1999" s="1" t="inlineStr">
        <is>
          <t>10/02/2026</t>
        </is>
      </c>
      <c r="E1999" s="1" t="n">
        <v>2026</v>
      </c>
      <c r="F1999" s="1" t="inlineStr">
        <is>
          <t>FEBRERO</t>
        </is>
      </c>
      <c r="G1999" s="1" t="inlineStr">
        <is>
          <t>HAIFENG</t>
        </is>
      </c>
      <c r="H1999" s="1" t="inlineStr">
        <is>
          <t>HAIFENG 10/02/2026</t>
        </is>
      </c>
      <c r="I1999" s="4" t="n">
        <v>6</v>
      </c>
      <c r="J1999" s="6" t="n">
        <v>5</v>
      </c>
      <c r="K1999" s="6" t="n">
        <v>105.3424803</v>
      </c>
      <c r="L1999" s="6">
        <f>I1999*K1999</f>
        <v/>
      </c>
      <c r="M1999" s="6">
        <f>K1999*4</f>
        <v/>
      </c>
      <c r="N1999" s="6" t="n">
        <v>550</v>
      </c>
    </row>
    <row r="2000">
      <c r="A2000" s="1" t="inlineStr">
        <is>
          <t>56481497508748</t>
        </is>
      </c>
      <c r="B2000" s="1" t="inlineStr">
        <is>
          <t>COLLAR DOBLE PLACA ROSEGOLD PLATA</t>
        </is>
      </c>
      <c r="C2000" s="1" t="inlineStr">
        <is>
          <t>40cm con 5cm de extensión</t>
        </is>
      </c>
      <c r="D2000" s="1" t="inlineStr">
        <is>
          <t>16/04/2026</t>
        </is>
      </c>
      <c r="E2000" s="1" t="n">
        <v>2026</v>
      </c>
      <c r="F2000" s="1" t="inlineStr">
        <is>
          <t>ABRIL</t>
        </is>
      </c>
      <c r="G2000" s="1" t="inlineStr">
        <is>
          <t>HAIFENG</t>
        </is>
      </c>
      <c r="H2000" s="1" t="inlineStr">
        <is>
          <t>HAIFENG 16/04/2026</t>
        </is>
      </c>
      <c r="I2000" s="4" t="n">
        <v>3</v>
      </c>
      <c r="J2000" s="6" t="n">
        <v>5</v>
      </c>
      <c r="K2000" s="6" t="n">
        <v>105.1573679</v>
      </c>
      <c r="L2000" s="6">
        <f>I2000*K2000</f>
        <v/>
      </c>
      <c r="M2000" s="6">
        <f>K2000*4</f>
        <v/>
      </c>
      <c r="N2000" s="6" t="n">
        <v>550</v>
      </c>
    </row>
    <row r="2001">
      <c r="A2001" s="1" t="inlineStr">
        <is>
          <t>56481497508748</t>
        </is>
      </c>
      <c r="B2001" s="1" t="inlineStr">
        <is>
          <t>COLLAR DOBLE PLACA ROSEGOLD PLATA</t>
        </is>
      </c>
      <c r="C2001" s="1" t="inlineStr">
        <is>
          <t>40cm con 5cm de extensión</t>
        </is>
      </c>
      <c r="D2001" s="1" t="inlineStr">
        <is>
          <t>26/05/2026</t>
        </is>
      </c>
      <c r="E2001" s="1" t="n">
        <v>2026</v>
      </c>
      <c r="F2001" s="1" t="inlineStr">
        <is>
          <t>MAYO</t>
        </is>
      </c>
      <c r="G2001" s="1" t="inlineStr">
        <is>
          <t>HAIFENG</t>
        </is>
      </c>
      <c r="H2001" s="1" t="inlineStr">
        <is>
          <t>HAIFENG 26/05/2026</t>
        </is>
      </c>
      <c r="I2001" s="4" t="n">
        <v>6</v>
      </c>
      <c r="J2001" s="6" t="n">
        <v>5</v>
      </c>
      <c r="K2001" s="6" t="n">
        <v>104.9464765</v>
      </c>
      <c r="L2001" s="6">
        <f>I2001*K2001</f>
        <v/>
      </c>
      <c r="M2001" s="6">
        <f>K2001*4</f>
        <v/>
      </c>
      <c r="N2001" s="6" t="n">
        <v>550</v>
      </c>
    </row>
    <row r="2002">
      <c r="A2002" s="1" t="inlineStr">
        <is>
          <t>56481497508748</t>
        </is>
      </c>
      <c r="B2002" s="1" t="inlineStr">
        <is>
          <t>COLLAR DOBLE PLACA ROSEGOLD PLATA</t>
        </is>
      </c>
      <c r="C2002" s="1" t="inlineStr">
        <is>
          <t>40cm con 5cm de extensión</t>
        </is>
      </c>
      <c r="D2002" s="1" t="inlineStr">
        <is>
          <t>16/06/2026</t>
        </is>
      </c>
      <c r="E2002" s="1" t="n">
        <v>2026</v>
      </c>
      <c r="F2002" s="1" t="inlineStr">
        <is>
          <t>JUNIO</t>
        </is>
      </c>
      <c r="G2002" s="1" t="inlineStr">
        <is>
          <t>HAIFENG</t>
        </is>
      </c>
      <c r="H2002" s="1" t="inlineStr">
        <is>
          <t>HAIFENG 16/06/2026</t>
        </is>
      </c>
      <c r="I2002" s="4" t="n">
        <v>2</v>
      </c>
      <c r="J2002" s="6" t="n">
        <v>5</v>
      </c>
      <c r="K2002" s="6" t="n">
        <v>105.0730323</v>
      </c>
      <c r="L2002" s="6">
        <f>I2002*K2002</f>
        <v/>
      </c>
      <c r="M2002" s="6">
        <f>K2002*4</f>
        <v/>
      </c>
      <c r="N2002" s="6" t="n">
        <v>550</v>
      </c>
    </row>
    <row r="2003">
      <c r="A2003" s="1" t="inlineStr">
        <is>
          <t>57465711014125</t>
        </is>
      </c>
      <c r="B2003" s="1" t="inlineStr">
        <is>
          <t>SET DEPORTIVO LLM CON ESCOTE V PINK</t>
        </is>
      </c>
      <c r="C2003" s="1" t="inlineStr">
        <is>
          <t>m</t>
        </is>
      </c>
      <c r="D2003" s="1" t="inlineStr">
        <is>
          <t>02/10/2025</t>
        </is>
      </c>
      <c r="E2003" s="1" t="n">
        <v>2025</v>
      </c>
      <c r="F2003" s="1" t="inlineStr">
        <is>
          <t>OCTUBRE</t>
        </is>
      </c>
      <c r="G2003" s="1" t="inlineStr">
        <is>
          <t>ZOEY</t>
        </is>
      </c>
      <c r="H2003" s="1" t="inlineStr">
        <is>
          <t>ZOEY 02/10/2025</t>
        </is>
      </c>
      <c r="I2003" s="4" t="n">
        <v>2</v>
      </c>
      <c r="J2003" s="6" t="n">
        <v>30</v>
      </c>
      <c r="K2003" s="6" t="n">
        <v>708.71808</v>
      </c>
      <c r="L2003" s="6">
        <f>I2003*K2003</f>
        <v/>
      </c>
      <c r="M2003" s="6">
        <f>K2003*4</f>
        <v/>
      </c>
      <c r="N2003" s="6" t="n">
        <v>2099</v>
      </c>
    </row>
    <row r="2004">
      <c r="A2004" s="1" t="inlineStr">
        <is>
          <t>57465711014125</t>
        </is>
      </c>
      <c r="B2004" s="1" t="inlineStr">
        <is>
          <t>SET DEPORTIVO LLM CON ESCOTE V PINK</t>
        </is>
      </c>
      <c r="C2004" s="1" t="inlineStr">
        <is>
          <t>S</t>
        </is>
      </c>
      <c r="D2004" s="1" t="inlineStr">
        <is>
          <t>19/03/2026</t>
        </is>
      </c>
      <c r="E2004" s="1" t="n">
        <v>2026</v>
      </c>
      <c r="F2004" s="1" t="inlineStr">
        <is>
          <t>MARZO</t>
        </is>
      </c>
      <c r="G2004" s="1" t="inlineStr">
        <is>
          <t>ZOEY</t>
        </is>
      </c>
      <c r="H2004" s="1" t="inlineStr">
        <is>
          <t>ZOEY 19/03/2026</t>
        </is>
      </c>
      <c r="I2004" s="4" t="n">
        <v>1</v>
      </c>
      <c r="J2004" s="6" t="n">
        <v>25</v>
      </c>
      <c r="K2004" s="6" t="n">
        <v>644.5512403</v>
      </c>
      <c r="L2004" s="6">
        <f>I2004*K2004</f>
        <v/>
      </c>
      <c r="M2004" s="6">
        <f>K2004*4</f>
        <v/>
      </c>
      <c r="N2004" s="6" t="n">
        <v>2579</v>
      </c>
    </row>
    <row r="2005">
      <c r="A2005" s="1" t="inlineStr">
        <is>
          <t>57529861058989</t>
        </is>
      </c>
      <c r="B2005" s="1" t="inlineStr">
        <is>
          <t>PULSERA MM GOLD-BLACK</t>
        </is>
      </c>
      <c r="C2005" s="1" t="inlineStr">
        <is>
          <t>Default Title</t>
        </is>
      </c>
      <c r="D2005" s="1" t="inlineStr">
        <is>
          <t>22/10/2025</t>
        </is>
      </c>
      <c r="E2005" s="1" t="n">
        <v>2025</v>
      </c>
      <c r="F2005" s="1" t="inlineStr">
        <is>
          <t>OCTUBRE</t>
        </is>
      </c>
      <c r="G2005" s="1" t="inlineStr">
        <is>
          <t>HAIFENG</t>
        </is>
      </c>
      <c r="H2005" s="1" t="inlineStr">
        <is>
          <t>HAIFENG 22/10/2025</t>
        </is>
      </c>
      <c r="I2005" s="4" t="n">
        <v>3</v>
      </c>
      <c r="J2005" s="6" t="n">
        <v>6.99</v>
      </c>
      <c r="K2005" s="6" t="n">
        <v>147.6865515</v>
      </c>
      <c r="L2005" s="6">
        <f>I2005*K2005</f>
        <v/>
      </c>
      <c r="M2005" s="6">
        <f>K2005*4</f>
        <v/>
      </c>
      <c r="N2005" s="6" t="n">
        <v>699</v>
      </c>
    </row>
    <row r="2006">
      <c r="A2006" s="1" t="inlineStr">
        <is>
          <t>57529861058989</t>
        </is>
      </c>
      <c r="B2006" s="1" t="inlineStr">
        <is>
          <t>PULSERA MM GOLD-BLACK</t>
        </is>
      </c>
      <c r="C2006" s="1" t="inlineStr">
        <is>
          <t>Default Title</t>
        </is>
      </c>
      <c r="D2006" s="1" t="inlineStr">
        <is>
          <t>16/04/2026</t>
        </is>
      </c>
      <c r="E2006" s="1" t="n">
        <v>2026</v>
      </c>
      <c r="F2006" s="1" t="inlineStr">
        <is>
          <t>ABRIL</t>
        </is>
      </c>
      <c r="G2006" s="1" t="inlineStr">
        <is>
          <t>HAIFENG</t>
        </is>
      </c>
      <c r="H2006" s="1" t="inlineStr">
        <is>
          <t>HAIFENG 16/04/2026</t>
        </is>
      </c>
      <c r="I2006" s="4" t="n">
        <v>2</v>
      </c>
      <c r="J2006" s="6" t="n">
        <v>6.99</v>
      </c>
      <c r="K2006" s="6" t="n">
        <v>147.0100004</v>
      </c>
      <c r="L2006" s="6">
        <f>I2006*K2006</f>
        <v/>
      </c>
      <c r="M2006" s="6">
        <f>K2006*4</f>
        <v/>
      </c>
      <c r="N2006" s="6" t="n">
        <v>699</v>
      </c>
    </row>
    <row r="2007">
      <c r="A2007" s="1" t="inlineStr">
        <is>
          <t>57529861058989</t>
        </is>
      </c>
      <c r="B2007" s="1" t="inlineStr">
        <is>
          <t>PULSERA MM GOLD-BLACK</t>
        </is>
      </c>
      <c r="C2007" s="1" t="inlineStr">
        <is>
          <t>Default Title</t>
        </is>
      </c>
      <c r="D2007" s="1" t="inlineStr">
        <is>
          <t>26/05/2026</t>
        </is>
      </c>
      <c r="E2007" s="1" t="n">
        <v>2026</v>
      </c>
      <c r="F2007" s="1" t="inlineStr">
        <is>
          <t>MAYO</t>
        </is>
      </c>
      <c r="G2007" s="1" t="inlineStr">
        <is>
          <t>HAIFENG</t>
        </is>
      </c>
      <c r="H2007" s="1" t="inlineStr">
        <is>
          <t>HAIFENG 26/05/2026</t>
        </is>
      </c>
      <c r="I2007" s="4" t="n">
        <v>2</v>
      </c>
      <c r="J2007" s="6" t="n">
        <v>7.99</v>
      </c>
      <c r="K2007" s="6" t="n">
        <v>167.7044694</v>
      </c>
      <c r="L2007" s="6">
        <f>I2007*K2007</f>
        <v/>
      </c>
      <c r="M2007" s="6">
        <f>K2007*4</f>
        <v/>
      </c>
      <c r="N2007" s="6" t="n">
        <v>699</v>
      </c>
    </row>
    <row r="2008">
      <c r="A2008" s="1" t="inlineStr">
        <is>
          <t>57913391088461</t>
        </is>
      </c>
      <c r="B2008" s="1" t="inlineStr">
        <is>
          <t>COLLAR T ESLABONES GOLD CON PEARL</t>
        </is>
      </c>
      <c r="C2008" s="1" t="inlineStr">
        <is>
          <t>HIGH QUALITY</t>
        </is>
      </c>
      <c r="D2008" s="1" t="inlineStr">
        <is>
          <t>02/10/2025</t>
        </is>
      </c>
      <c r="E2008" s="1" t="n">
        <v>2025</v>
      </c>
      <c r="F2008" s="1" t="inlineStr">
        <is>
          <t>OCTUBRE</t>
        </is>
      </c>
      <c r="G2008" s="1" t="inlineStr">
        <is>
          <t>ZOEY</t>
        </is>
      </c>
      <c r="H2008" s="1" t="inlineStr">
        <is>
          <t>ZOEY 02/10/2025</t>
        </is>
      </c>
      <c r="I2008" s="4" t="n">
        <v>2</v>
      </c>
      <c r="J2008" s="6" t="n">
        <v>17</v>
      </c>
      <c r="K2008" s="6" t="n">
        <v>401.606912</v>
      </c>
      <c r="L2008" s="6">
        <f>I2008*K2008</f>
        <v/>
      </c>
      <c r="M2008" s="6">
        <f>K2008*4</f>
        <v/>
      </c>
      <c r="N2008" s="6" t="n">
        <v>1450</v>
      </c>
    </row>
    <row r="2009">
      <c r="A2009" s="1" t="inlineStr">
        <is>
          <t>57913391088461</t>
        </is>
      </c>
      <c r="B2009" s="1" t="inlineStr">
        <is>
          <t>COLLAR T ESLABONES GOLD CON PEARL</t>
        </is>
      </c>
      <c r="C2009" s="1" t="inlineStr">
        <is>
          <t>Default Title</t>
        </is>
      </c>
      <c r="D2009" s="1" t="inlineStr">
        <is>
          <t>20/01/2026</t>
        </is>
      </c>
      <c r="E2009" s="1" t="n">
        <v>2026</v>
      </c>
      <c r="F2009" s="1" t="inlineStr">
        <is>
          <t>ENERO</t>
        </is>
      </c>
      <c r="G2009" s="1" t="inlineStr">
        <is>
          <t>ZOEY</t>
        </is>
      </c>
      <c r="H2009" s="1" t="inlineStr">
        <is>
          <t>ZOEY 20/01/2026</t>
        </is>
      </c>
      <c r="I2009" s="4" t="n">
        <v>2</v>
      </c>
      <c r="J2009" s="6" t="n">
        <v>17</v>
      </c>
      <c r="K2009" s="6" t="n">
        <v>442.5371893</v>
      </c>
      <c r="L2009" s="6">
        <f>I2009*K2009</f>
        <v/>
      </c>
      <c r="M2009" s="6">
        <f>K2009*4</f>
        <v/>
      </c>
      <c r="N2009" s="6" t="n">
        <v>1450</v>
      </c>
    </row>
    <row r="2010">
      <c r="A2010" s="1" t="inlineStr">
        <is>
          <t>58071991054829</t>
        </is>
      </c>
      <c r="B2010" s="1" t="inlineStr">
        <is>
          <t>BOLSO YSL CON CADENA BURDEOS</t>
        </is>
      </c>
      <c r="C2010" s="1" t="inlineStr">
        <is>
          <t>24cm de largo x 18cm de alto x 8cm de ancho.</t>
        </is>
      </c>
      <c r="D2010" s="1" t="inlineStr">
        <is>
          <t>27/04/2026</t>
        </is>
      </c>
      <c r="E2010" s="1" t="n">
        <v>2026</v>
      </c>
      <c r="F2010" s="1" t="inlineStr">
        <is>
          <t>ABRIL</t>
        </is>
      </c>
      <c r="G2010" s="1" t="inlineStr">
        <is>
          <t>DINA DU</t>
        </is>
      </c>
      <c r="H2010" s="1" t="inlineStr">
        <is>
          <t>DINA DU 27/04/2026</t>
        </is>
      </c>
      <c r="I2010" s="4" t="n">
        <v>1</v>
      </c>
      <c r="J2010" s="6" t="n">
        <v>46</v>
      </c>
      <c r="K2010" s="6" t="n">
        <v>1244.038386</v>
      </c>
      <c r="L2010" s="6">
        <f>I2010*K2010</f>
        <v/>
      </c>
      <c r="M2010" s="6">
        <f>K2010*4</f>
        <v/>
      </c>
      <c r="N2010" s="6" t="n">
        <v>4354.13</v>
      </c>
    </row>
    <row r="2011">
      <c r="A2011" s="1" t="inlineStr">
        <is>
          <t>58120951042445</t>
        </is>
      </c>
      <c r="B2011" s="1" t="inlineStr">
        <is>
          <t>BOLSO SADDLE CD BLACK</t>
        </is>
      </c>
      <c r="C2011" s="1" t="inlineStr">
        <is>
          <t>18cm de largo x 15cm de alto x 6cm de ancho</t>
        </is>
      </c>
      <c r="D2011" s="1" t="inlineStr">
        <is>
          <t>25/10/2025</t>
        </is>
      </c>
      <c r="E2011" s="1" t="n">
        <v>2025</v>
      </c>
      <c r="F2011" s="1" t="inlineStr">
        <is>
          <t>OCTUBRE</t>
        </is>
      </c>
      <c r="G2011" s="1" t="inlineStr">
        <is>
          <t>CYNTHIA</t>
        </is>
      </c>
      <c r="H2011" s="1" t="inlineStr">
        <is>
          <t>CYNTHIA 25/10/2025</t>
        </is>
      </c>
      <c r="I2011" s="4" t="n">
        <v>8</v>
      </c>
      <c r="J2011" s="6" t="n">
        <v>57</v>
      </c>
      <c r="K2011" s="6" t="n">
        <v>1493.503945</v>
      </c>
      <c r="L2011" s="6">
        <f>I2011*K2011</f>
        <v/>
      </c>
      <c r="M2011" s="6">
        <f>K2011*4</f>
        <v/>
      </c>
      <c r="N2011" s="6" t="n">
        <v>4800</v>
      </c>
    </row>
    <row r="2012">
      <c r="A2012" s="1" t="inlineStr">
        <is>
          <t>58120951042445</t>
        </is>
      </c>
      <c r="B2012" s="1" t="n"/>
      <c r="C2012" s="1" t="inlineStr">
        <is>
          <t>18cm de largo x 15cm de alto x 6cm de ancho</t>
        </is>
      </c>
      <c r="D2012" s="1" t="inlineStr">
        <is>
          <t>07/01/2026</t>
        </is>
      </c>
      <c r="E2012" s="1" t="n">
        <v>2026</v>
      </c>
      <c r="F2012" s="1" t="inlineStr">
        <is>
          <t>ENERO</t>
        </is>
      </c>
      <c r="G2012" s="1" t="inlineStr">
        <is>
          <t>CYNTHIA</t>
        </is>
      </c>
      <c r="H2012" s="1" t="inlineStr">
        <is>
          <t>CYNTHIA 07/01/2026</t>
        </is>
      </c>
      <c r="I2012" s="4" t="n">
        <v>8</v>
      </c>
      <c r="J2012" s="6" t="n">
        <v>57</v>
      </c>
      <c r="K2012" s="6" t="n">
        <v>1515.483377</v>
      </c>
      <c r="L2012" s="6">
        <f>I2012*K2012</f>
        <v/>
      </c>
      <c r="M2012" s="6">
        <f>K2012*4</f>
        <v/>
      </c>
      <c r="N2012" s="6" t="n">
        <v>5305</v>
      </c>
    </row>
    <row r="2013">
      <c r="A2013" s="1" t="inlineStr">
        <is>
          <t>58120951042445</t>
        </is>
      </c>
      <c r="B2013" s="1" t="n"/>
      <c r="C2013" s="1" t="inlineStr">
        <is>
          <t>18cm de largo x 15cm de alto x 6cm de ancho</t>
        </is>
      </c>
      <c r="D2013" s="1" t="inlineStr">
        <is>
          <t>07/01/2026</t>
        </is>
      </c>
      <c r="E2013" s="1" t="n">
        <v>2026</v>
      </c>
      <c r="F2013" s="1" t="inlineStr">
        <is>
          <t>ENERO</t>
        </is>
      </c>
      <c r="G2013" s="1" t="inlineStr">
        <is>
          <t>CYNTHIA</t>
        </is>
      </c>
      <c r="H2013" s="1" t="inlineStr">
        <is>
          <t>CYNTHIA 07/01/2026</t>
        </is>
      </c>
      <c r="I2013" s="4" t="n">
        <v>2</v>
      </c>
      <c r="J2013" s="6" t="n">
        <v>57</v>
      </c>
      <c r="K2013" s="6" t="n">
        <v>1515.483377</v>
      </c>
      <c r="L2013" s="6">
        <f>I2013*K2013</f>
        <v/>
      </c>
      <c r="M2013" s="6">
        <f>K2013*4</f>
        <v/>
      </c>
      <c r="N2013" s="6" t="n">
        <v>5305</v>
      </c>
    </row>
    <row r="2014">
      <c r="A2014" s="1" t="inlineStr">
        <is>
          <t>58431441010509</t>
        </is>
      </c>
      <c r="B2014" s="1" t="inlineStr">
        <is>
          <t>ANILLO T SILVER ZIRCONIAS</t>
        </is>
      </c>
      <c r="C2014" s="1" t="inlineStr">
        <is>
          <t>AJUSTABLE</t>
        </is>
      </c>
      <c r="D2014" s="1" t="inlineStr">
        <is>
          <t>06/05/2026</t>
        </is>
      </c>
      <c r="E2014" s="1" t="n">
        <v>2026</v>
      </c>
      <c r="F2014" s="1" t="inlineStr">
        <is>
          <t>MAYO</t>
        </is>
      </c>
      <c r="G2014" s="1" t="inlineStr">
        <is>
          <t>HAIFENG</t>
        </is>
      </c>
      <c r="H2014" s="1" t="inlineStr">
        <is>
          <t>HAIFENG 06/05/2026</t>
        </is>
      </c>
      <c r="I2014" s="4" t="n">
        <v>3</v>
      </c>
      <c r="J2014" s="6" t="n">
        <v>4</v>
      </c>
      <c r="K2014" s="6" t="n">
        <v>84.87456907000001</v>
      </c>
      <c r="L2014" s="6">
        <f>I2014*K2014</f>
        <v/>
      </c>
      <c r="M2014" s="6">
        <f>K2014*4</f>
        <v/>
      </c>
      <c r="N2014" s="6" t="n">
        <v>650</v>
      </c>
    </row>
    <row r="2015">
      <c r="A2015" s="1" t="inlineStr">
        <is>
          <t>58450831080173</t>
        </is>
      </c>
      <c r="B2015" s="1" t="inlineStr">
        <is>
          <t>BOLSA DE RAQUETA LLM CREAM</t>
        </is>
      </c>
      <c r="C2015" s="1" t="inlineStr">
        <is>
          <t>Default Title</t>
        </is>
      </c>
      <c r="D2015" s="1" t="inlineStr">
        <is>
          <t>02/10/2025</t>
        </is>
      </c>
      <c r="E2015" s="1" t="n">
        <v>2025</v>
      </c>
      <c r="F2015" s="1" t="inlineStr">
        <is>
          <t>OCTUBRE</t>
        </is>
      </c>
      <c r="G2015" s="1" t="inlineStr">
        <is>
          <t>ZOEY</t>
        </is>
      </c>
      <c r="H2015" s="1" t="inlineStr">
        <is>
          <t>ZOEY 02/10/2025</t>
        </is>
      </c>
      <c r="I2015" s="4" t="n">
        <v>2</v>
      </c>
      <c r="J2015" s="6" t="n">
        <v>8</v>
      </c>
      <c r="K2015" s="6" t="n">
        <v>188.991488</v>
      </c>
      <c r="L2015" s="6">
        <f>I2015*K2015</f>
        <v/>
      </c>
      <c r="M2015" s="6">
        <f>K2015*4</f>
        <v/>
      </c>
      <c r="N2015" s="6" t="n">
        <v>2500</v>
      </c>
    </row>
    <row r="2016">
      <c r="A2016" s="1" t="inlineStr">
        <is>
          <t>58450831080173</t>
        </is>
      </c>
      <c r="B2016" s="1" t="inlineStr">
        <is>
          <t>BOLSA DE RAQUETA LLM CREAM</t>
        </is>
      </c>
      <c r="C2016" s="1" t="inlineStr">
        <is>
          <t>Default Title</t>
        </is>
      </c>
      <c r="D2016" s="1" t="inlineStr">
        <is>
          <t>20/01/2026</t>
        </is>
      </c>
      <c r="E2016" s="1" t="n">
        <v>2026</v>
      </c>
      <c r="F2016" s="1" t="inlineStr">
        <is>
          <t>ENERO</t>
        </is>
      </c>
      <c r="G2016" s="1" t="inlineStr">
        <is>
          <t>ZOEY</t>
        </is>
      </c>
      <c r="H2016" s="1" t="inlineStr">
        <is>
          <t>ZOEY 20/01/2026</t>
        </is>
      </c>
      <c r="I2016" s="4" t="n">
        <v>4</v>
      </c>
      <c r="J2016" s="6" t="n">
        <v>30</v>
      </c>
      <c r="K2016" s="6" t="n">
        <v>780.9479811</v>
      </c>
      <c r="L2016" s="6">
        <f>I2016*K2016</f>
        <v/>
      </c>
      <c r="M2016" s="6">
        <f>K2016*4</f>
        <v/>
      </c>
      <c r="N2016" s="6" t="n">
        <v>3079</v>
      </c>
    </row>
    <row r="2017">
      <c r="A2017" s="1" t="inlineStr">
        <is>
          <t>58450831080173</t>
        </is>
      </c>
      <c r="B2017" s="1" t="inlineStr">
        <is>
          <t>BOLSA DE RAQUETA LLM CREAM</t>
        </is>
      </c>
      <c r="C2017" s="1" t="inlineStr">
        <is>
          <t>Default Title</t>
        </is>
      </c>
      <c r="D2017" s="1" t="inlineStr">
        <is>
          <t>20/04/2026</t>
        </is>
      </c>
      <c r="E2017" s="1" t="n">
        <v>2026</v>
      </c>
      <c r="F2017" s="1" t="inlineStr">
        <is>
          <t>ABRIL</t>
        </is>
      </c>
      <c r="G2017" s="1" t="inlineStr">
        <is>
          <t>ZOEY</t>
        </is>
      </c>
      <c r="H2017" s="1" t="inlineStr">
        <is>
          <t>ZOEY 20/04/2026</t>
        </is>
      </c>
      <c r="I2017" s="4" t="n">
        <v>6</v>
      </c>
      <c r="J2017" s="6" t="n">
        <v>30</v>
      </c>
      <c r="K2017" s="6" t="n">
        <v>768.2633501</v>
      </c>
      <c r="L2017" s="6">
        <f>I2017*K2017</f>
        <v/>
      </c>
      <c r="M2017" s="6">
        <f>K2017*4</f>
        <v/>
      </c>
      <c r="N2017" s="6" t="n">
        <v>3079</v>
      </c>
    </row>
    <row r="2018">
      <c r="A2018" s="1" t="inlineStr">
        <is>
          <t>58501868312588</t>
        </is>
      </c>
      <c r="B2018" s="1" t="inlineStr">
        <is>
          <t>PULSERA PERLEÉ ROSEGOLD ANCHA</t>
        </is>
      </c>
      <c r="C2018" s="1" t="inlineStr">
        <is>
          <t>16cm</t>
        </is>
      </c>
      <c r="D2018" s="1" t="inlineStr">
        <is>
          <t>06/09/2025</t>
        </is>
      </c>
      <c r="E2018" s="1" t="n">
        <v>2025</v>
      </c>
      <c r="F2018" s="1" t="inlineStr">
        <is>
          <t>SEPTIEMBRE</t>
        </is>
      </c>
      <c r="G2018" s="1" t="inlineStr">
        <is>
          <t>NANCY</t>
        </is>
      </c>
      <c r="H2018" s="1" t="inlineStr">
        <is>
          <t>NANCY 06/09/2025</t>
        </is>
      </c>
      <c r="I2018" s="4" t="n">
        <v>2</v>
      </c>
      <c r="J2018" s="6" t="n">
        <v>12.99</v>
      </c>
      <c r="K2018" s="6" t="n">
        <v>302.480718</v>
      </c>
      <c r="L2018" s="6">
        <f>I2018*K2018</f>
        <v/>
      </c>
      <c r="M2018" s="6">
        <f>K2018*4</f>
        <v/>
      </c>
      <c r="N2018" s="6" t="n">
        <v>1199</v>
      </c>
    </row>
    <row r="2019">
      <c r="A2019" s="1" t="inlineStr">
        <is>
          <t>58501868312588</t>
        </is>
      </c>
      <c r="B2019" s="1" t="inlineStr">
        <is>
          <t>PULSERA PERLEÉ ROSEGOLD ANCHA</t>
        </is>
      </c>
      <c r="C2019" s="1" t="inlineStr">
        <is>
          <t>16cm</t>
        </is>
      </c>
      <c r="D2019" s="1" t="inlineStr">
        <is>
          <t>08/05/2026</t>
        </is>
      </c>
      <c r="E2019" s="1" t="n">
        <v>2026</v>
      </c>
      <c r="F2019" s="1" t="inlineStr">
        <is>
          <t>MAYO</t>
        </is>
      </c>
      <c r="G2019" s="1" t="inlineStr">
        <is>
          <t>NANCY</t>
        </is>
      </c>
      <c r="H2019" s="1" t="inlineStr">
        <is>
          <t>NANCY 08/05/2026</t>
        </is>
      </c>
      <c r="I2019" s="4" t="n">
        <v>1</v>
      </c>
      <c r="J2019" s="6" t="n">
        <v>14.39</v>
      </c>
      <c r="K2019" s="6" t="n">
        <v>340.4351752</v>
      </c>
      <c r="L2019" s="6">
        <f>I2019*K2019</f>
        <v/>
      </c>
      <c r="M2019" s="6">
        <f>K2019*4</f>
        <v/>
      </c>
      <c r="N2019" s="6" t="n">
        <v>1199</v>
      </c>
    </row>
    <row r="2020">
      <c r="A2020" s="1" t="inlineStr">
        <is>
          <t>58501868312588</t>
        </is>
      </c>
      <c r="B2020" s="1" t="inlineStr">
        <is>
          <t>PULSERA PERLEÉ ROSEGOLD ANCHA</t>
        </is>
      </c>
      <c r="C2020" s="1" t="inlineStr">
        <is>
          <t>16cm</t>
        </is>
      </c>
      <c r="D2020" s="1" t="inlineStr">
        <is>
          <t>09/07/2026</t>
        </is>
      </c>
      <c r="E2020" s="1" t="n">
        <v>2026</v>
      </c>
      <c r="F2020" s="1" t="inlineStr">
        <is>
          <t>JULIO</t>
        </is>
      </c>
      <c r="G2020" s="1" t="inlineStr">
        <is>
          <t>NANCY</t>
        </is>
      </c>
      <c r="H2020" s="1" t="inlineStr">
        <is>
          <t>NANCY 09/07/2026</t>
        </is>
      </c>
      <c r="I2020" s="4" t="n">
        <v>2</v>
      </c>
      <c r="J2020" s="6" t="n">
        <v>13.19</v>
      </c>
      <c r="K2020" s="6" t="n">
        <v>321.3805927</v>
      </c>
      <c r="L2020" s="6">
        <f>I2020*K2020</f>
        <v/>
      </c>
      <c r="M2020" s="6">
        <f>K2020*4</f>
        <v/>
      </c>
      <c r="N2020" s="6" t="n">
        <v>1199</v>
      </c>
    </row>
    <row r="2021">
      <c r="A2021" s="1" t="inlineStr">
        <is>
          <t>58825512266892</t>
        </is>
      </c>
      <c r="B2021" s="1" t="inlineStr">
        <is>
          <t>TARJETERO G BROWN</t>
        </is>
      </c>
      <c r="C2021" s="1" t="inlineStr">
        <is>
          <t>10.5cm de largo x 7.6cm de alto</t>
        </is>
      </c>
      <c r="D2021" s="1" t="inlineStr">
        <is>
          <t>25/10/2025</t>
        </is>
      </c>
      <c r="E2021" s="1" t="n">
        <v>2025</v>
      </c>
      <c r="F2021" s="1" t="inlineStr">
        <is>
          <t>OCTUBRE</t>
        </is>
      </c>
      <c r="G2021" s="1" t="inlineStr">
        <is>
          <t>CYNTHIA</t>
        </is>
      </c>
      <c r="H2021" s="1" t="inlineStr">
        <is>
          <t>CYNTHIA 25/10/2025</t>
        </is>
      </c>
      <c r="I2021" s="4" t="n">
        <v>6</v>
      </c>
      <c r="J2021" s="6" t="n">
        <v>25.3</v>
      </c>
      <c r="K2021" s="6" t="n">
        <v>662.9061368</v>
      </c>
      <c r="L2021" s="6">
        <f>I2021*K2021</f>
        <v/>
      </c>
      <c r="M2021" s="6">
        <f>K2021*4</f>
        <v/>
      </c>
      <c r="N2021" s="6" t="n">
        <v>1999</v>
      </c>
    </row>
    <row r="2022">
      <c r="A2022" s="1" t="inlineStr">
        <is>
          <t>58980701022381</t>
        </is>
      </c>
      <c r="B2022" s="1" t="inlineStr">
        <is>
          <t>TARJETERO LV ENVELOPE</t>
        </is>
      </c>
      <c r="C2022" s="1" t="inlineStr">
        <is>
          <t>Default Title</t>
        </is>
      </c>
      <c r="D2022" s="1" t="inlineStr">
        <is>
          <t>31/05/2026</t>
        </is>
      </c>
      <c r="E2022" s="1" t="n">
        <v>2026</v>
      </c>
      <c r="F2022" s="1" t="inlineStr">
        <is>
          <t>MAYO</t>
        </is>
      </c>
      <c r="G2022" s="1" t="inlineStr">
        <is>
          <t>NANCY</t>
        </is>
      </c>
      <c r="H2022" s="1" t="inlineStr">
        <is>
          <t>NANCY 31/05/2026</t>
        </is>
      </c>
      <c r="I2022" s="4" t="n">
        <v>2</v>
      </c>
      <c r="J2022" s="6" t="n">
        <v>14.39</v>
      </c>
      <c r="K2022" s="6" t="n">
        <v>349.2106159</v>
      </c>
      <c r="L2022" s="6">
        <f>I2022*K2022</f>
        <v/>
      </c>
      <c r="M2022" s="6">
        <f>K2022*4</f>
        <v/>
      </c>
      <c r="N2022" s="6" t="n">
        <v>0</v>
      </c>
    </row>
    <row r="2023">
      <c r="A2023" s="1" t="inlineStr">
        <is>
          <t>58980701120685</t>
        </is>
      </c>
      <c r="B2023" s="1" t="inlineStr">
        <is>
          <t>TARJETERO LV CHARMS PINK</t>
        </is>
      </c>
      <c r="C2023" s="1" t="inlineStr">
        <is>
          <t>Default Title</t>
        </is>
      </c>
      <c r="D2023" s="1" t="inlineStr">
        <is>
          <t>31/05/2026</t>
        </is>
      </c>
      <c r="E2023" s="1" t="n">
        <v>2026</v>
      </c>
      <c r="F2023" s="1" t="inlineStr">
        <is>
          <t>MAYO</t>
        </is>
      </c>
      <c r="G2023" s="1" t="inlineStr">
        <is>
          <t>NANCY</t>
        </is>
      </c>
      <c r="H2023" s="1" t="inlineStr">
        <is>
          <t>NANCY 31/05/2026</t>
        </is>
      </c>
      <c r="I2023" s="4" t="n">
        <v>1</v>
      </c>
      <c r="J2023" s="6" t="n">
        <v>14.79</v>
      </c>
      <c r="K2023" s="6" t="n">
        <v>358.9176518</v>
      </c>
      <c r="L2023" s="6">
        <f>I2023*K2023</f>
        <v/>
      </c>
      <c r="M2023" s="6">
        <f>K2023*4</f>
        <v/>
      </c>
      <c r="N2023" s="6" t="n">
        <v>0</v>
      </c>
    </row>
    <row r="2024">
      <c r="A2024" s="1" t="inlineStr">
        <is>
          <t>58980701284525</t>
        </is>
      </c>
      <c r="B2024" s="1" t="inlineStr">
        <is>
          <t>TARJETERO LV SLIM G69</t>
        </is>
      </c>
      <c r="C2024" s="1" t="inlineStr">
        <is>
          <t>Default Title</t>
        </is>
      </c>
      <c r="D2024" s="1" t="inlineStr">
        <is>
          <t>31/05/2026</t>
        </is>
      </c>
      <c r="E2024" s="1" t="n">
        <v>2026</v>
      </c>
      <c r="F2024" s="1" t="inlineStr">
        <is>
          <t>MAYO</t>
        </is>
      </c>
      <c r="G2024" s="1" t="inlineStr">
        <is>
          <t>NANCY</t>
        </is>
      </c>
      <c r="H2024" s="1" t="inlineStr">
        <is>
          <t>NANCY 31/05/2026</t>
        </is>
      </c>
      <c r="I2024" s="4" t="n">
        <v>2</v>
      </c>
      <c r="J2024" s="6" t="n">
        <v>15.59</v>
      </c>
      <c r="K2024" s="6" t="n">
        <v>378.3317236</v>
      </c>
      <c r="L2024" s="6">
        <f>I2024*K2024</f>
        <v/>
      </c>
      <c r="M2024" s="6">
        <f>K2024*4</f>
        <v/>
      </c>
      <c r="N2024" s="6" t="n">
        <v>0</v>
      </c>
    </row>
    <row r="2025">
      <c r="A2025" s="1" t="inlineStr">
        <is>
          <t>58980701348365</t>
        </is>
      </c>
      <c r="B2025" s="1" t="inlineStr">
        <is>
          <t>TARJETERO CC CLASSIC CON CREMALLERA</t>
        </is>
      </c>
      <c r="C2025" s="1" t="inlineStr">
        <is>
          <t>Default Title</t>
        </is>
      </c>
      <c r="D2025" s="1" t="inlineStr">
        <is>
          <t>31/05/2026</t>
        </is>
      </c>
      <c r="E2025" s="1" t="n">
        <v>2026</v>
      </c>
      <c r="F2025" s="1" t="inlineStr">
        <is>
          <t>MAYO</t>
        </is>
      </c>
      <c r="G2025" s="1" t="inlineStr">
        <is>
          <t>NANCY</t>
        </is>
      </c>
      <c r="H2025" s="1" t="inlineStr">
        <is>
          <t>NANCY 31/05/2026</t>
        </is>
      </c>
      <c r="I2025" s="4" t="n">
        <v>2</v>
      </c>
      <c r="J2025" s="6" t="n">
        <v>17.59</v>
      </c>
      <c r="K2025" s="6" t="n">
        <v>426.866903</v>
      </c>
      <c r="L2025" s="6">
        <f>I2025*K2025</f>
        <v/>
      </c>
      <c r="M2025" s="6">
        <f>K2025*4</f>
        <v/>
      </c>
      <c r="N2025" s="6" t="n">
        <v>0</v>
      </c>
    </row>
    <row r="2026">
      <c r="A2026" s="1" t="inlineStr">
        <is>
          <t>58980701413901</t>
        </is>
      </c>
      <c r="B2026" s="1" t="inlineStr">
        <is>
          <t>BROCHE CC PEARLS BLACK</t>
        </is>
      </c>
      <c r="C2026" s="1" t="inlineStr">
        <is>
          <t>Default Title</t>
        </is>
      </c>
      <c r="D2026" s="1" t="inlineStr">
        <is>
          <t>31/05/2026</t>
        </is>
      </c>
      <c r="E2026" s="1" t="n">
        <v>2026</v>
      </c>
      <c r="F2026" s="1" t="inlineStr">
        <is>
          <t>MAYO</t>
        </is>
      </c>
      <c r="G2026" s="1" t="inlineStr">
        <is>
          <t>NANCY</t>
        </is>
      </c>
      <c r="H2026" s="1" t="inlineStr">
        <is>
          <t>NANCY 31/05/2026</t>
        </is>
      </c>
      <c r="I2026" s="4" t="n">
        <v>2</v>
      </c>
      <c r="J2026" s="6" t="n">
        <v>6.89</v>
      </c>
      <c r="K2026" s="6" t="n">
        <v>167.2036931</v>
      </c>
      <c r="L2026" s="6">
        <f>I2026*K2026</f>
        <v/>
      </c>
      <c r="M2026" s="6">
        <f>K2026*4</f>
        <v/>
      </c>
      <c r="N2026" s="6" t="n">
        <v>0</v>
      </c>
    </row>
    <row r="2027">
      <c r="A2027" s="1" t="inlineStr">
        <is>
          <t>58980701543277</t>
        </is>
      </c>
      <c r="B2027" s="1" t="inlineStr">
        <is>
          <t>ANILLO CC COCO ZIRCONIA ROSE GOLD</t>
        </is>
      </c>
      <c r="C2027" s="1" t="inlineStr">
        <is>
          <t>Default Title</t>
        </is>
      </c>
      <c r="D2027" s="1" t="inlineStr">
        <is>
          <t>31/05/2026</t>
        </is>
      </c>
      <c r="E2027" s="1" t="n">
        <v>2026</v>
      </c>
      <c r="F2027" s="1" t="inlineStr">
        <is>
          <t>MAYO</t>
        </is>
      </c>
      <c r="G2027" s="1" t="inlineStr">
        <is>
          <t>NANCY</t>
        </is>
      </c>
      <c r="H2027" s="1" t="inlineStr">
        <is>
          <t>NANCY 31/05/2026</t>
        </is>
      </c>
      <c r="I2027" s="4" t="n">
        <v>2</v>
      </c>
      <c r="J2027" s="6" t="n">
        <v>6.69</v>
      </c>
      <c r="K2027" s="6" t="n">
        <v>162.3501752</v>
      </c>
      <c r="L2027" s="6">
        <f>I2027*K2027</f>
        <v/>
      </c>
      <c r="M2027" s="6">
        <f>K2027*4</f>
        <v/>
      </c>
      <c r="N2027" s="6" t="n">
        <v>0</v>
      </c>
    </row>
    <row r="2028">
      <c r="A2028" s="1" t="inlineStr">
        <is>
          <t>58980701641581</t>
        </is>
      </c>
      <c r="B2028" s="1" t="inlineStr">
        <is>
          <t>ANILLO CC COCO ZIRCONIA GOLD</t>
        </is>
      </c>
      <c r="C2028" s="1" t="inlineStr">
        <is>
          <t>Default Title</t>
        </is>
      </c>
      <c r="D2028" s="1" t="inlineStr">
        <is>
          <t>31/05/2026</t>
        </is>
      </c>
      <c r="E2028" s="1" t="n">
        <v>2026</v>
      </c>
      <c r="F2028" s="1" t="inlineStr">
        <is>
          <t>MAYO</t>
        </is>
      </c>
      <c r="G2028" s="1" t="inlineStr">
        <is>
          <t>NANCY</t>
        </is>
      </c>
      <c r="H2028" s="1" t="inlineStr">
        <is>
          <t>NANCY 31/05/2026</t>
        </is>
      </c>
      <c r="I2028" s="4" t="n">
        <v>2</v>
      </c>
      <c r="J2028" s="6" t="n">
        <v>6.69</v>
      </c>
      <c r="K2028" s="6" t="n">
        <v>162.3501752</v>
      </c>
      <c r="L2028" s="6">
        <f>I2028*K2028</f>
        <v/>
      </c>
      <c r="M2028" s="6">
        <f>K2028*4</f>
        <v/>
      </c>
      <c r="N2028" s="6" t="n">
        <v>0</v>
      </c>
    </row>
    <row r="2029">
      <c r="A2029" s="1" t="inlineStr">
        <is>
          <t>58980701738189</t>
        </is>
      </c>
      <c r="B2029" s="1" t="inlineStr">
        <is>
          <t>ANILLO CC COCO ZIRCONIA SILVER</t>
        </is>
      </c>
      <c r="C2029" s="1" t="inlineStr">
        <is>
          <t>Default Title</t>
        </is>
      </c>
      <c r="D2029" s="1" t="inlineStr">
        <is>
          <t>31/05/2026</t>
        </is>
      </c>
      <c r="E2029" s="1" t="n">
        <v>2026</v>
      </c>
      <c r="F2029" s="1" t="inlineStr">
        <is>
          <t>MAYO</t>
        </is>
      </c>
      <c r="G2029" s="1" t="inlineStr">
        <is>
          <t>NANCY</t>
        </is>
      </c>
      <c r="H2029" s="1" t="inlineStr">
        <is>
          <t>NANCY 31/05/2026</t>
        </is>
      </c>
      <c r="I2029" s="4" t="n">
        <v>2</v>
      </c>
      <c r="J2029" s="6" t="n">
        <v>6.69</v>
      </c>
      <c r="K2029" s="6" t="n">
        <v>162.3501752</v>
      </c>
      <c r="L2029" s="6">
        <f>I2029*K2029</f>
        <v/>
      </c>
      <c r="M2029" s="6">
        <f>K2029*4</f>
        <v/>
      </c>
      <c r="N2029" s="6" t="n">
        <v>0</v>
      </c>
    </row>
    <row r="2030">
      <c r="A2030" s="1" t="inlineStr">
        <is>
          <t>58980701834797</t>
        </is>
      </c>
      <c r="B2030" s="1" t="inlineStr">
        <is>
          <t>ANILLO CC COCO SLIM SILVER</t>
        </is>
      </c>
      <c r="C2030" s="1" t="n">
        <v>6</v>
      </c>
      <c r="D2030" s="1" t="inlineStr">
        <is>
          <t>31/05/2026</t>
        </is>
      </c>
      <c r="E2030" s="1" t="n">
        <v>2026</v>
      </c>
      <c r="F2030" s="1" t="inlineStr">
        <is>
          <t>MAYO</t>
        </is>
      </c>
      <c r="G2030" s="1" t="inlineStr">
        <is>
          <t>NANCY</t>
        </is>
      </c>
      <c r="H2030" s="1" t="inlineStr">
        <is>
          <t>NANCY 31/05/2026</t>
        </is>
      </c>
      <c r="I2030" s="4" t="n">
        <v>2</v>
      </c>
      <c r="J2030" s="6" t="n">
        <v>7.39</v>
      </c>
      <c r="K2030" s="6" t="n">
        <v>179.337488</v>
      </c>
      <c r="L2030" s="6">
        <f>I2030*K2030</f>
        <v/>
      </c>
      <c r="M2030" s="6">
        <f>K2030*4</f>
        <v/>
      </c>
      <c r="N2030" s="6" t="n">
        <v>0</v>
      </c>
    </row>
    <row r="2031">
      <c r="A2031" s="1" t="inlineStr">
        <is>
          <t>58980701967565</t>
        </is>
      </c>
      <c r="B2031" s="1" t="inlineStr">
        <is>
          <t>ANILLO CC COCO SLIM SILVER</t>
        </is>
      </c>
      <c r="C2031" s="1" t="n">
        <v>7</v>
      </c>
      <c r="D2031" s="1" t="inlineStr">
        <is>
          <t>31/05/2026</t>
        </is>
      </c>
      <c r="E2031" s="1" t="n">
        <v>2026</v>
      </c>
      <c r="F2031" s="1" t="inlineStr">
        <is>
          <t>MAYO</t>
        </is>
      </c>
      <c r="G2031" s="1" t="inlineStr">
        <is>
          <t>NANCY</t>
        </is>
      </c>
      <c r="H2031" s="1" t="inlineStr">
        <is>
          <t>NANCY 31/05/2026</t>
        </is>
      </c>
      <c r="I2031" s="4" t="n">
        <v>2</v>
      </c>
      <c r="J2031" s="6" t="n">
        <v>7.39</v>
      </c>
      <c r="K2031" s="6" t="n">
        <v>179.337488</v>
      </c>
      <c r="L2031" s="6">
        <f>I2031*K2031</f>
        <v/>
      </c>
      <c r="M2031" s="6">
        <f>K2031*4</f>
        <v/>
      </c>
      <c r="N2031" s="6" t="n">
        <v>0</v>
      </c>
    </row>
    <row r="2032">
      <c r="A2032" s="1" t="inlineStr">
        <is>
          <t>58980702033101</t>
        </is>
      </c>
      <c r="B2032" s="1" t="inlineStr">
        <is>
          <t>ANILLO CC CAMELIA ROSE GOLD</t>
        </is>
      </c>
      <c r="C2032" s="1" t="n">
        <v>6</v>
      </c>
      <c r="D2032" s="1" t="inlineStr">
        <is>
          <t>31/05/2026</t>
        </is>
      </c>
      <c r="E2032" s="1" t="n">
        <v>2026</v>
      </c>
      <c r="F2032" s="1" t="inlineStr">
        <is>
          <t>MAYO</t>
        </is>
      </c>
      <c r="G2032" s="1" t="inlineStr">
        <is>
          <t>NANCY</t>
        </is>
      </c>
      <c r="H2032" s="1" t="inlineStr">
        <is>
          <t>NANCY 31/05/2026</t>
        </is>
      </c>
      <c r="I2032" s="4" t="n">
        <v>2</v>
      </c>
      <c r="J2032" s="6" t="n">
        <v>10.59</v>
      </c>
      <c r="K2032" s="6" t="n">
        <v>256.993775</v>
      </c>
      <c r="L2032" s="6">
        <f>I2032*K2032</f>
        <v/>
      </c>
      <c r="M2032" s="6">
        <f>K2032*4</f>
        <v/>
      </c>
      <c r="N2032" s="6" t="n">
        <v>0</v>
      </c>
    </row>
    <row r="2033">
      <c r="A2033" s="1" t="inlineStr">
        <is>
          <t>58980702165869</t>
        </is>
      </c>
      <c r="B2033" s="1" t="inlineStr">
        <is>
          <t>ANILLO CC CAMELIA ROSE GOLD</t>
        </is>
      </c>
      <c r="C2033" s="1" t="n">
        <v>7</v>
      </c>
      <c r="D2033" s="1" t="inlineStr">
        <is>
          <t>31/05/2026</t>
        </is>
      </c>
      <c r="E2033" s="1" t="n">
        <v>2026</v>
      </c>
      <c r="F2033" s="1" t="inlineStr">
        <is>
          <t>MAYO</t>
        </is>
      </c>
      <c r="G2033" s="1" t="inlineStr">
        <is>
          <t>NANCY</t>
        </is>
      </c>
      <c r="H2033" s="1" t="inlineStr">
        <is>
          <t>NANCY 31/05/2026</t>
        </is>
      </c>
      <c r="I2033" s="4" t="n">
        <v>2</v>
      </c>
      <c r="J2033" s="6" t="n">
        <v>10.59</v>
      </c>
      <c r="K2033" s="6" t="n">
        <v>256.993775</v>
      </c>
      <c r="L2033" s="6">
        <f>I2033*K2033</f>
        <v/>
      </c>
      <c r="M2033" s="6">
        <f>K2033*4</f>
        <v/>
      </c>
      <c r="N2033" s="6" t="n">
        <v>0</v>
      </c>
    </row>
    <row r="2034">
      <c r="A2034" s="1" t="inlineStr">
        <is>
          <t>58980702231405</t>
        </is>
      </c>
      <c r="B2034" s="1" t="inlineStr">
        <is>
          <t>ANILLO CC ETERNAL N5</t>
        </is>
      </c>
      <c r="C2034" s="1" t="n">
        <v>6</v>
      </c>
      <c r="D2034" s="1" t="inlineStr">
        <is>
          <t>31/05/2026</t>
        </is>
      </c>
      <c r="E2034" s="1" t="n">
        <v>2026</v>
      </c>
      <c r="F2034" s="1" t="inlineStr">
        <is>
          <t>MAYO</t>
        </is>
      </c>
      <c r="G2034" s="1" t="inlineStr">
        <is>
          <t>NANCY</t>
        </is>
      </c>
      <c r="H2034" s="1" t="inlineStr">
        <is>
          <t>NANCY 31/05/2026</t>
        </is>
      </c>
      <c r="I2034" s="4" t="n">
        <v>2</v>
      </c>
      <c r="J2034" s="6" t="n">
        <v>6.69</v>
      </c>
      <c r="K2034" s="6" t="n">
        <v>162.3501752</v>
      </c>
      <c r="L2034" s="6">
        <f>I2034*K2034</f>
        <v/>
      </c>
      <c r="M2034" s="6">
        <f>K2034*4</f>
        <v/>
      </c>
      <c r="N2034" s="6" t="n">
        <v>0</v>
      </c>
    </row>
    <row r="2035">
      <c r="A2035" s="1" t="inlineStr">
        <is>
          <t>58980702364173</t>
        </is>
      </c>
      <c r="B2035" s="1" t="inlineStr">
        <is>
          <t>ANILLO CC ETERNAL N5</t>
        </is>
      </c>
      <c r="C2035" s="1" t="n">
        <v>7</v>
      </c>
      <c r="D2035" s="1" t="inlineStr">
        <is>
          <t>31/05/2026</t>
        </is>
      </c>
      <c r="E2035" s="1" t="n">
        <v>2026</v>
      </c>
      <c r="F2035" s="1" t="inlineStr">
        <is>
          <t>MAYO</t>
        </is>
      </c>
      <c r="G2035" s="1" t="inlineStr">
        <is>
          <t>NANCY</t>
        </is>
      </c>
      <c r="H2035" s="1" t="inlineStr">
        <is>
          <t>NANCY 31/05/2026</t>
        </is>
      </c>
      <c r="I2035" s="4" t="n">
        <v>2</v>
      </c>
      <c r="J2035" s="6" t="n">
        <v>6.69</v>
      </c>
      <c r="K2035" s="6" t="n">
        <v>162.3501752</v>
      </c>
      <c r="L2035" s="6">
        <f>I2035*K2035</f>
        <v/>
      </c>
      <c r="M2035" s="6">
        <f>K2035*4</f>
        <v/>
      </c>
      <c r="N2035" s="6" t="n">
        <v>0</v>
      </c>
    </row>
    <row r="2036">
      <c r="A2036" s="1" t="inlineStr">
        <is>
          <t>58980702491853</t>
        </is>
      </c>
      <c r="B2036" s="1" t="inlineStr">
        <is>
          <t>PULSERA CC COCO C ROSEGOLD</t>
        </is>
      </c>
      <c r="C2036" s="1" t="inlineStr">
        <is>
          <t>Default Title</t>
        </is>
      </c>
      <c r="D2036" s="1" t="inlineStr">
        <is>
          <t>31/05/2026</t>
        </is>
      </c>
      <c r="E2036" s="1" t="n">
        <v>2026</v>
      </c>
      <c r="F2036" s="1" t="inlineStr">
        <is>
          <t>MAYO</t>
        </is>
      </c>
      <c r="G2036" s="1" t="inlineStr">
        <is>
          <t>NANCY</t>
        </is>
      </c>
      <c r="H2036" s="1" t="inlineStr">
        <is>
          <t>NANCY 31/05/2026</t>
        </is>
      </c>
      <c r="I2036" s="4" t="n">
        <v>2</v>
      </c>
      <c r="J2036" s="6" t="n">
        <v>6.69</v>
      </c>
      <c r="K2036" s="6" t="n">
        <v>162.3501752</v>
      </c>
      <c r="L2036" s="6">
        <f>I2036*K2036</f>
        <v/>
      </c>
      <c r="M2036" s="6">
        <f>K2036*4</f>
        <v/>
      </c>
      <c r="N2036" s="6" t="n">
        <v>0</v>
      </c>
    </row>
    <row r="2037">
      <c r="A2037" s="1" t="inlineStr">
        <is>
          <t>58980702524621</t>
        </is>
      </c>
      <c r="B2037" s="1" t="inlineStr">
        <is>
          <t>PULSERA CC EXTRAIT CAMELIA</t>
        </is>
      </c>
      <c r="C2037" s="1" t="inlineStr">
        <is>
          <t>Default Title</t>
        </is>
      </c>
      <c r="D2037" s="1" t="inlineStr">
        <is>
          <t>31/05/2026</t>
        </is>
      </c>
      <c r="E2037" s="1" t="n">
        <v>2026</v>
      </c>
      <c r="F2037" s="1" t="inlineStr">
        <is>
          <t>MAYO</t>
        </is>
      </c>
      <c r="G2037" s="1" t="inlineStr">
        <is>
          <t>NANCY</t>
        </is>
      </c>
      <c r="H2037" s="1" t="inlineStr">
        <is>
          <t>NANCY 31/05/2026</t>
        </is>
      </c>
      <c r="I2037" s="4" t="n">
        <v>2</v>
      </c>
      <c r="J2037" s="6" t="n">
        <v>7.99</v>
      </c>
      <c r="K2037" s="6" t="n">
        <v>193.8980418</v>
      </c>
      <c r="L2037" s="6">
        <f>I2037*K2037</f>
        <v/>
      </c>
      <c r="M2037" s="6">
        <f>K2037*4</f>
        <v/>
      </c>
      <c r="N2037" s="6" t="n">
        <v>0</v>
      </c>
    </row>
    <row r="2038">
      <c r="A2038" s="1" t="inlineStr">
        <is>
          <t>58980702657389</t>
        </is>
      </c>
      <c r="B2038" s="1" t="inlineStr">
        <is>
          <t>BRAZALETE CC COCO CRUSH SILVER</t>
        </is>
      </c>
      <c r="C2038" s="1" t="inlineStr">
        <is>
          <t>Default Title</t>
        </is>
      </c>
      <c r="D2038" s="1" t="inlineStr">
        <is>
          <t>31/05/2026</t>
        </is>
      </c>
      <c r="E2038" s="1" t="n">
        <v>2026</v>
      </c>
      <c r="F2038" s="1" t="inlineStr">
        <is>
          <t>MAYO</t>
        </is>
      </c>
      <c r="G2038" s="1" t="inlineStr">
        <is>
          <t>NANCY</t>
        </is>
      </c>
      <c r="H2038" s="1" t="inlineStr">
        <is>
          <t>NANCY 31/05/2026</t>
        </is>
      </c>
      <c r="I2038" s="4" t="n">
        <v>2</v>
      </c>
      <c r="J2038" s="6" t="n">
        <v>12.59</v>
      </c>
      <c r="K2038" s="6" t="n">
        <v>305.5289544</v>
      </c>
      <c r="L2038" s="6">
        <f>I2038*K2038</f>
        <v/>
      </c>
      <c r="M2038" s="6">
        <f>K2038*4</f>
        <v/>
      </c>
      <c r="N2038" s="6" t="n">
        <v>0</v>
      </c>
    </row>
    <row r="2039">
      <c r="A2039" s="1" t="inlineStr">
        <is>
          <t>58980702753997</t>
        </is>
      </c>
      <c r="B2039" s="1" t="inlineStr">
        <is>
          <t>BRAZALETE CC COCO CRUSH GOLD ZIRCONIAS</t>
        </is>
      </c>
      <c r="C2039" s="1" t="inlineStr">
        <is>
          <t>Default Title</t>
        </is>
      </c>
      <c r="D2039" s="1" t="inlineStr">
        <is>
          <t>31/05/2026</t>
        </is>
      </c>
      <c r="E2039" s="1" t="n">
        <v>2026</v>
      </c>
      <c r="F2039" s="1" t="inlineStr">
        <is>
          <t>MAYO</t>
        </is>
      </c>
      <c r="G2039" s="1" t="inlineStr">
        <is>
          <t>NANCY</t>
        </is>
      </c>
      <c r="H2039" s="1" t="inlineStr">
        <is>
          <t>NANCY 31/05/2026</t>
        </is>
      </c>
      <c r="I2039" s="4" t="n">
        <v>2</v>
      </c>
      <c r="J2039" s="6" t="n">
        <v>21.99</v>
      </c>
      <c r="K2039" s="6" t="n">
        <v>533.6442977</v>
      </c>
      <c r="L2039" s="6">
        <f>I2039*K2039</f>
        <v/>
      </c>
      <c r="M2039" s="6">
        <f>K2039*4</f>
        <v/>
      </c>
      <c r="N2039" s="6" t="n">
        <v>0</v>
      </c>
    </row>
    <row r="2040">
      <c r="A2040" s="1" t="inlineStr">
        <is>
          <t>58980702817837</t>
        </is>
      </c>
      <c r="B2040" s="1" t="inlineStr">
        <is>
          <t>ARETES CC ETOILE FILANTE SILVER</t>
        </is>
      </c>
      <c r="C2040" s="1" t="inlineStr">
        <is>
          <t>Default Title</t>
        </is>
      </c>
      <c r="D2040" s="1" t="inlineStr">
        <is>
          <t>31/05/2026</t>
        </is>
      </c>
      <c r="E2040" s="1" t="n">
        <v>2026</v>
      </c>
      <c r="F2040" s="1" t="inlineStr">
        <is>
          <t>MAYO</t>
        </is>
      </c>
      <c r="G2040" s="1" t="inlineStr">
        <is>
          <t>NANCY</t>
        </is>
      </c>
      <c r="H2040" s="1" t="inlineStr">
        <is>
          <t>NANCY 31/05/2026</t>
        </is>
      </c>
      <c r="I2040" s="4" t="n">
        <v>2</v>
      </c>
      <c r="J2040" s="6" t="n">
        <v>7.59</v>
      </c>
      <c r="K2040" s="6" t="n">
        <v>184.1910059</v>
      </c>
      <c r="L2040" s="6">
        <f>I2040*K2040</f>
        <v/>
      </c>
      <c r="M2040" s="6">
        <f>K2040*4</f>
        <v/>
      </c>
      <c r="N2040" s="6" t="n">
        <v>0</v>
      </c>
    </row>
    <row r="2041">
      <c r="A2041" s="1" t="inlineStr">
        <is>
          <t>58980702950605</t>
        </is>
      </c>
      <c r="B2041" s="1" t="inlineStr">
        <is>
          <t>ARRACADAS CC COCO HOOPS</t>
        </is>
      </c>
      <c r="C2041" s="1" t="inlineStr">
        <is>
          <t>Default Title</t>
        </is>
      </c>
      <c r="D2041" s="1" t="inlineStr">
        <is>
          <t>31/05/2026</t>
        </is>
      </c>
      <c r="E2041" s="1" t="n">
        <v>2026</v>
      </c>
      <c r="F2041" s="1" t="inlineStr">
        <is>
          <t>MAYO</t>
        </is>
      </c>
      <c r="G2041" s="1" t="inlineStr">
        <is>
          <t>NANCY</t>
        </is>
      </c>
      <c r="H2041" s="1" t="inlineStr">
        <is>
          <t>NANCY 31/05/2026</t>
        </is>
      </c>
      <c r="I2041" s="4" t="n">
        <v>2</v>
      </c>
      <c r="J2041" s="6" t="n">
        <v>8.19</v>
      </c>
      <c r="K2041" s="6" t="n">
        <v>198.7515597</v>
      </c>
      <c r="L2041" s="6">
        <f>I2041*K2041</f>
        <v/>
      </c>
      <c r="M2041" s="6">
        <f>K2041*4</f>
        <v/>
      </c>
      <c r="N2041" s="6" t="n">
        <v>0</v>
      </c>
    </row>
    <row r="2042">
      <c r="A2042" s="1" t="inlineStr">
        <is>
          <t>58980703081677</t>
        </is>
      </c>
      <c r="B2042" s="1" t="inlineStr">
        <is>
          <t>ARETES CC BOUTON CAMELIA</t>
        </is>
      </c>
      <c r="C2042" s="1" t="inlineStr">
        <is>
          <t>Default Title</t>
        </is>
      </c>
      <c r="D2042" s="1" t="inlineStr">
        <is>
          <t>31/05/2026</t>
        </is>
      </c>
      <c r="E2042" s="1" t="n">
        <v>2026</v>
      </c>
      <c r="F2042" s="1" t="inlineStr">
        <is>
          <t>MAYO</t>
        </is>
      </c>
      <c r="G2042" s="1" t="inlineStr">
        <is>
          <t>NANCY</t>
        </is>
      </c>
      <c r="H2042" s="1" t="inlineStr">
        <is>
          <t>NANCY 31/05/2026</t>
        </is>
      </c>
      <c r="I2042" s="4" t="n">
        <v>2</v>
      </c>
      <c r="J2042" s="6" t="n">
        <v>7.99</v>
      </c>
      <c r="K2042" s="6" t="n">
        <v>193.8980418</v>
      </c>
      <c r="L2042" s="6">
        <f>I2042*K2042</f>
        <v/>
      </c>
      <c r="M2042" s="6">
        <f>K2042*4</f>
        <v/>
      </c>
      <c r="N2042" s="6" t="n">
        <v>0</v>
      </c>
    </row>
    <row r="2043">
      <c r="A2043" s="1" t="inlineStr">
        <is>
          <t>58980703240429</t>
        </is>
      </c>
      <c r="B2043" s="1" t="inlineStr">
        <is>
          <t>COLLAR CC ETOILE FILANTE</t>
        </is>
      </c>
      <c r="C2043" s="1" t="inlineStr">
        <is>
          <t>Default Title</t>
        </is>
      </c>
      <c r="D2043" s="1" t="inlineStr">
        <is>
          <t>31/05/2026</t>
        </is>
      </c>
      <c r="E2043" s="1" t="n">
        <v>2026</v>
      </c>
      <c r="F2043" s="1" t="inlineStr">
        <is>
          <t>MAYO</t>
        </is>
      </c>
      <c r="G2043" s="1" t="inlineStr">
        <is>
          <t>NANCY</t>
        </is>
      </c>
      <c r="H2043" s="1" t="inlineStr">
        <is>
          <t>NANCY 31/05/2026</t>
        </is>
      </c>
      <c r="I2043" s="4" t="n">
        <v>2</v>
      </c>
      <c r="J2043" s="6" t="n">
        <v>8.19</v>
      </c>
      <c r="K2043" s="6" t="n">
        <v>198.7515597</v>
      </c>
      <c r="L2043" s="6">
        <f>I2043*K2043</f>
        <v/>
      </c>
      <c r="M2043" s="6">
        <f>K2043*4</f>
        <v/>
      </c>
      <c r="N2043" s="6" t="n">
        <v>0</v>
      </c>
    </row>
    <row r="2044">
      <c r="A2044" s="1" t="inlineStr">
        <is>
          <t>58980703373197</t>
        </is>
      </c>
      <c r="B2044" s="1" t="inlineStr">
        <is>
          <t>CARTERA CD ALARGADA GRAVITY</t>
        </is>
      </c>
      <c r="C2044" s="1" t="inlineStr">
        <is>
          <t>Default Title</t>
        </is>
      </c>
      <c r="D2044" s="1" t="inlineStr">
        <is>
          <t>31/05/2026</t>
        </is>
      </c>
      <c r="E2044" s="1" t="n">
        <v>2026</v>
      </c>
      <c r="F2044" s="1" t="inlineStr">
        <is>
          <t>MAYO</t>
        </is>
      </c>
      <c r="G2044" s="1" t="inlineStr">
        <is>
          <t>NANCY</t>
        </is>
      </c>
      <c r="H2044" s="1" t="inlineStr">
        <is>
          <t>NANCY 31/05/2026</t>
        </is>
      </c>
      <c r="I2044" s="4" t="n">
        <v>2</v>
      </c>
      <c r="J2044" s="6" t="n">
        <v>21.59</v>
      </c>
      <c r="K2044" s="6" t="n">
        <v>523.9372618</v>
      </c>
      <c r="L2044" s="6">
        <f>I2044*K2044</f>
        <v/>
      </c>
      <c r="M2044" s="6">
        <f>K2044*4</f>
        <v/>
      </c>
      <c r="N2044" s="6" t="n">
        <v>0</v>
      </c>
    </row>
    <row r="2045">
      <c r="A2045" s="1" t="inlineStr">
        <is>
          <t>58980703437037</t>
        </is>
      </c>
      <c r="B2045" s="1" t="inlineStr">
        <is>
          <t>CARTERA CD LONG BIFOLD</t>
        </is>
      </c>
      <c r="C2045" s="1" t="inlineStr">
        <is>
          <t>Default Title</t>
        </is>
      </c>
      <c r="D2045" s="1" t="inlineStr">
        <is>
          <t>31/05/2026</t>
        </is>
      </c>
      <c r="E2045" s="1" t="n">
        <v>2026</v>
      </c>
      <c r="F2045" s="1" t="inlineStr">
        <is>
          <t>MAYO</t>
        </is>
      </c>
      <c r="G2045" s="1" t="inlineStr">
        <is>
          <t>NANCY</t>
        </is>
      </c>
      <c r="H2045" s="1" t="inlineStr">
        <is>
          <t>NANCY 31/05/2026</t>
        </is>
      </c>
      <c r="I2045" s="4" t="n">
        <v>2</v>
      </c>
      <c r="J2045" s="6" t="n">
        <v>21.59</v>
      </c>
      <c r="K2045" s="6" t="n">
        <v>523.9372618</v>
      </c>
      <c r="L2045" s="6">
        <f>I2045*K2045</f>
        <v/>
      </c>
      <c r="M2045" s="6">
        <f>K2045*4</f>
        <v/>
      </c>
      <c r="N2045" s="6" t="n">
        <v>0</v>
      </c>
    </row>
    <row r="2046">
      <c r="A2046" s="1" t="inlineStr">
        <is>
          <t>58980703502573</t>
        </is>
      </c>
      <c r="B2046" s="1" t="inlineStr">
        <is>
          <t>CARTERA CD GRAVITY</t>
        </is>
      </c>
      <c r="C2046" s="1" t="inlineStr">
        <is>
          <t>Default Title</t>
        </is>
      </c>
      <c r="D2046" s="1" t="inlineStr">
        <is>
          <t>31/05/2026</t>
        </is>
      </c>
      <c r="E2046" s="1" t="n">
        <v>2026</v>
      </c>
      <c r="F2046" s="1" t="inlineStr">
        <is>
          <t>MAYO</t>
        </is>
      </c>
      <c r="G2046" s="1" t="inlineStr">
        <is>
          <t>NANCY</t>
        </is>
      </c>
      <c r="H2046" s="1" t="inlineStr">
        <is>
          <t>NANCY 31/05/2026</t>
        </is>
      </c>
      <c r="I2046" s="4" t="n">
        <v>2</v>
      </c>
      <c r="J2046" s="6" t="n">
        <v>19.59</v>
      </c>
      <c r="K2046" s="6" t="n">
        <v>475.4020824</v>
      </c>
      <c r="L2046" s="6">
        <f>I2046*K2046</f>
        <v/>
      </c>
      <c r="M2046" s="6">
        <f>K2046*4</f>
        <v/>
      </c>
      <c r="N2046" s="6" t="n">
        <v>0</v>
      </c>
    </row>
    <row r="2047">
      <c r="A2047" s="1" t="inlineStr">
        <is>
          <t>58980703623469</t>
        </is>
      </c>
      <c r="B2047" s="1" t="inlineStr">
        <is>
          <t>CARTERA CD SADDLE BLACK</t>
        </is>
      </c>
      <c r="C2047" s="1" t="inlineStr">
        <is>
          <t>Default Title</t>
        </is>
      </c>
      <c r="D2047" s="1" t="inlineStr">
        <is>
          <t>31/05/2026</t>
        </is>
      </c>
      <c r="E2047" s="1" t="n">
        <v>2026</v>
      </c>
      <c r="F2047" s="1" t="inlineStr">
        <is>
          <t>MAYO</t>
        </is>
      </c>
      <c r="G2047" s="1" t="inlineStr">
        <is>
          <t>NANCY</t>
        </is>
      </c>
      <c r="H2047" s="1" t="inlineStr">
        <is>
          <t>NANCY 31/05/2026</t>
        </is>
      </c>
      <c r="I2047" s="4" t="n">
        <v>2</v>
      </c>
      <c r="J2047" s="6" t="n">
        <v>19.59</v>
      </c>
      <c r="K2047" s="6" t="n">
        <v>475.4020824</v>
      </c>
      <c r="L2047" s="6">
        <f>I2047*K2047</f>
        <v/>
      </c>
      <c r="M2047" s="6">
        <f>K2047*4</f>
        <v/>
      </c>
      <c r="N2047" s="6" t="n">
        <v>0</v>
      </c>
    </row>
    <row r="2048">
      <c r="A2048" s="1" t="inlineStr">
        <is>
          <t>58980703754541</t>
        </is>
      </c>
      <c r="B2048" s="1" t="inlineStr">
        <is>
          <t>CARTERA CD SADDLE</t>
        </is>
      </c>
      <c r="C2048" s="1" t="inlineStr">
        <is>
          <t>Default Title</t>
        </is>
      </c>
      <c r="D2048" s="1" t="inlineStr">
        <is>
          <t>31/05/2026</t>
        </is>
      </c>
      <c r="E2048" s="1" t="n">
        <v>2026</v>
      </c>
      <c r="F2048" s="1" t="inlineStr">
        <is>
          <t>MAYO</t>
        </is>
      </c>
      <c r="G2048" s="1" t="inlineStr">
        <is>
          <t>NANCY</t>
        </is>
      </c>
      <c r="H2048" s="1" t="inlineStr">
        <is>
          <t>NANCY 31/05/2026</t>
        </is>
      </c>
      <c r="I2048" s="4" t="n">
        <v>2</v>
      </c>
      <c r="J2048" s="6" t="n">
        <v>19.59</v>
      </c>
      <c r="K2048" s="6" t="n">
        <v>475.4020824</v>
      </c>
      <c r="L2048" s="6">
        <f>I2048*K2048</f>
        <v/>
      </c>
      <c r="M2048" s="6">
        <f>K2048*4</f>
        <v/>
      </c>
      <c r="N2048" s="6" t="n">
        <v>0</v>
      </c>
    </row>
    <row r="2049">
      <c r="A2049" s="1" t="inlineStr">
        <is>
          <t>59002381085069</t>
        </is>
      </c>
      <c r="B2049" s="1" t="inlineStr">
        <is>
          <t>ANILLO T ZIRCONIAS GOLD</t>
        </is>
      </c>
      <c r="C2049" s="1" t="inlineStr">
        <is>
          <t>AJUSTABLE</t>
        </is>
      </c>
      <c r="D2049" s="1" t="inlineStr">
        <is>
          <t>06/05/2026</t>
        </is>
      </c>
      <c r="E2049" s="1" t="n">
        <v>2026</v>
      </c>
      <c r="F2049" s="1" t="inlineStr">
        <is>
          <t>MAYO</t>
        </is>
      </c>
      <c r="G2049" s="1" t="inlineStr">
        <is>
          <t>HAIFENG</t>
        </is>
      </c>
      <c r="H2049" s="1" t="inlineStr">
        <is>
          <t>HAIFENG 06/05/2026</t>
        </is>
      </c>
      <c r="I2049" s="4" t="n">
        <v>3</v>
      </c>
      <c r="J2049" s="6" t="n">
        <v>4</v>
      </c>
      <c r="K2049" s="6" t="n">
        <v>84.87456907000001</v>
      </c>
      <c r="L2049" s="6">
        <f>I2049*K2049</f>
        <v/>
      </c>
      <c r="M2049" s="6">
        <f>K2049*4</f>
        <v/>
      </c>
      <c r="N2049" s="6" t="n">
        <v>499</v>
      </c>
    </row>
    <row r="2050">
      <c r="A2050" s="1" t="inlineStr">
        <is>
          <t>59109721071085</t>
        </is>
      </c>
      <c r="B2050" s="1" t="inlineStr">
        <is>
          <t>GORRA CD BEIS BLACK</t>
        </is>
      </c>
      <c r="C2050" s="1" t="inlineStr">
        <is>
          <t>Default Title</t>
        </is>
      </c>
      <c r="D2050" s="1" t="inlineStr">
        <is>
          <t>26/05/2026</t>
        </is>
      </c>
      <c r="E2050" s="1" t="n">
        <v>2026</v>
      </c>
      <c r="F2050" s="1" t="inlineStr">
        <is>
          <t>MAYO</t>
        </is>
      </c>
      <c r="G2050" s="1" t="inlineStr">
        <is>
          <t>HAIFENG</t>
        </is>
      </c>
      <c r="H2050" s="1" t="inlineStr">
        <is>
          <t>HAIFENG 26/05/2026</t>
        </is>
      </c>
      <c r="I2050" s="4" t="n">
        <v>2</v>
      </c>
      <c r="J2050" s="6" t="n">
        <v>28</v>
      </c>
      <c r="K2050" s="6" t="n">
        <v>587.7002682999999</v>
      </c>
      <c r="L2050" s="6">
        <f>I2050*K2050</f>
        <v/>
      </c>
      <c r="M2050" s="6">
        <f>K2050*4</f>
        <v/>
      </c>
      <c r="N2050" s="6" t="n">
        <v>2350</v>
      </c>
    </row>
    <row r="2051">
      <c r="A2051" s="1" t="inlineStr">
        <is>
          <t>59109721136621</t>
        </is>
      </c>
      <c r="B2051" s="1" t="inlineStr">
        <is>
          <t>VISERA CD V1U</t>
        </is>
      </c>
      <c r="C2051" s="1" t="inlineStr">
        <is>
          <t>Default Title</t>
        </is>
      </c>
      <c r="D2051" s="1" t="inlineStr">
        <is>
          <t>26/05/2026</t>
        </is>
      </c>
      <c r="E2051" s="1" t="n">
        <v>2026</v>
      </c>
      <c r="F2051" s="1" t="inlineStr">
        <is>
          <t>MAYO</t>
        </is>
      </c>
      <c r="G2051" s="1" t="inlineStr">
        <is>
          <t>HAIFENG</t>
        </is>
      </c>
      <c r="H2051" s="1" t="inlineStr">
        <is>
          <t>HAIFENG 26/05/2026</t>
        </is>
      </c>
      <c r="I2051" s="4" t="n">
        <v>1</v>
      </c>
      <c r="J2051" s="6" t="n">
        <v>30</v>
      </c>
      <c r="K2051" s="6" t="n">
        <v>629.6788589</v>
      </c>
      <c r="L2051" s="6">
        <f>I2051*K2051</f>
        <v/>
      </c>
      <c r="M2051" s="6">
        <f>K2051*4</f>
        <v/>
      </c>
      <c r="N2051" s="6" t="n">
        <v>2499</v>
      </c>
    </row>
    <row r="2052">
      <c r="A2052" s="1" t="inlineStr">
        <is>
          <t>59109721202157</t>
        </is>
      </c>
      <c r="B2052" s="1" t="inlineStr">
        <is>
          <t>GARGANTILLA F O'LOCK GOLD</t>
        </is>
      </c>
      <c r="C2052" s="1" t="inlineStr">
        <is>
          <t>Default Title</t>
        </is>
      </c>
      <c r="D2052" s="1" t="inlineStr">
        <is>
          <t>26/05/2026</t>
        </is>
      </c>
      <c r="E2052" s="1" t="n">
        <v>2026</v>
      </c>
      <c r="F2052" s="1" t="inlineStr">
        <is>
          <t>MAYO</t>
        </is>
      </c>
      <c r="G2052" s="1" t="inlineStr">
        <is>
          <t>HAIFENG</t>
        </is>
      </c>
      <c r="H2052" s="1" t="inlineStr">
        <is>
          <t>HAIFENG 26/05/2026</t>
        </is>
      </c>
      <c r="I2052" s="4" t="n">
        <v>2</v>
      </c>
      <c r="J2052" s="6" t="n">
        <v>14</v>
      </c>
      <c r="K2052" s="6" t="n">
        <v>293.8501341</v>
      </c>
      <c r="L2052" s="6">
        <f>I2052*K2052</f>
        <v/>
      </c>
      <c r="M2052" s="6">
        <f>K2052*4</f>
        <v/>
      </c>
      <c r="N2052" s="6" t="n">
        <v>1199</v>
      </c>
    </row>
    <row r="2053">
      <c r="A2053" s="1" t="inlineStr">
        <is>
          <t>59109721331533</t>
        </is>
      </c>
      <c r="B2053" s="1" t="inlineStr">
        <is>
          <t>COLLAR F O'LOCK TRIPLE GOLD</t>
        </is>
      </c>
      <c r="C2053" s="1" t="inlineStr">
        <is>
          <t>Default Title</t>
        </is>
      </c>
      <c r="D2053" s="1" t="inlineStr">
        <is>
          <t>26/05/2026</t>
        </is>
      </c>
      <c r="E2053" s="1" t="n">
        <v>2026</v>
      </c>
      <c r="F2053" s="1" t="inlineStr">
        <is>
          <t>MAYO</t>
        </is>
      </c>
      <c r="G2053" s="1" t="inlineStr">
        <is>
          <t>HAIFENG</t>
        </is>
      </c>
      <c r="H2053" s="1" t="inlineStr">
        <is>
          <t>HAIFENG 26/05/2026</t>
        </is>
      </c>
      <c r="I2053" s="4" t="n">
        <v>2</v>
      </c>
      <c r="J2053" s="6" t="n">
        <v>9</v>
      </c>
      <c r="K2053" s="6" t="n">
        <v>188.9036577</v>
      </c>
      <c r="L2053" s="6">
        <f>I2053*K2053</f>
        <v/>
      </c>
      <c r="M2053" s="6">
        <f>K2053*4</f>
        <v/>
      </c>
      <c r="N2053" s="6" t="n">
        <v>750</v>
      </c>
    </row>
    <row r="2054">
      <c r="A2054" s="1" t="inlineStr">
        <is>
          <t>59109721417965</t>
        </is>
      </c>
      <c r="B2054" s="1" t="inlineStr">
        <is>
          <t>COLLAR F TRIPLE GOLD</t>
        </is>
      </c>
      <c r="C2054" s="1" t="inlineStr">
        <is>
          <t>Default Title</t>
        </is>
      </c>
      <c r="D2054" s="1" t="inlineStr">
        <is>
          <t>26/05/2026</t>
        </is>
      </c>
      <c r="E2054" s="1" t="n">
        <v>2026</v>
      </c>
      <c r="F2054" s="1" t="inlineStr">
        <is>
          <t>MAYO</t>
        </is>
      </c>
      <c r="G2054" s="1" t="inlineStr">
        <is>
          <t>HAIFENG</t>
        </is>
      </c>
      <c r="H2054" s="1" t="inlineStr">
        <is>
          <t>HAIFENG 26/05/2026</t>
        </is>
      </c>
      <c r="I2054" s="4" t="n">
        <v>2</v>
      </c>
      <c r="J2054" s="6" t="n">
        <v>8.99</v>
      </c>
      <c r="K2054" s="6" t="n">
        <v>188.6937647</v>
      </c>
      <c r="L2054" s="6">
        <f>I2054*K2054</f>
        <v/>
      </c>
      <c r="M2054" s="6">
        <f>K2054*4</f>
        <v/>
      </c>
      <c r="N2054" s="6" t="n">
        <v>750</v>
      </c>
    </row>
    <row r="2055">
      <c r="A2055" s="1" t="inlineStr">
        <is>
          <t>59109721516269</t>
        </is>
      </c>
      <c r="B2055" s="1" t="inlineStr">
        <is>
          <t>COLLAR F O'LOCK CRYSTALS</t>
        </is>
      </c>
      <c r="C2055" s="1" t="inlineStr">
        <is>
          <t>Default Title</t>
        </is>
      </c>
      <c r="D2055" s="1" t="inlineStr">
        <is>
          <t>26/05/2026</t>
        </is>
      </c>
      <c r="E2055" s="1" t="n">
        <v>2026</v>
      </c>
      <c r="F2055" s="1" t="inlineStr">
        <is>
          <t>MAYO</t>
        </is>
      </c>
      <c r="G2055" s="1" t="inlineStr">
        <is>
          <t>HAIFENG</t>
        </is>
      </c>
      <c r="H2055" s="1" t="inlineStr">
        <is>
          <t>HAIFENG 26/05/2026</t>
        </is>
      </c>
      <c r="I2055" s="4" t="n">
        <v>2</v>
      </c>
      <c r="J2055" s="6" t="n">
        <v>8.99</v>
      </c>
      <c r="K2055" s="6" t="n">
        <v>188.6937647</v>
      </c>
      <c r="L2055" s="6">
        <f>I2055*K2055</f>
        <v/>
      </c>
      <c r="M2055" s="6">
        <f>K2055*4</f>
        <v/>
      </c>
      <c r="N2055" s="6" t="n">
        <v>750</v>
      </c>
    </row>
    <row r="2056">
      <c r="A2056" s="1" t="inlineStr">
        <is>
          <t>59109721657165</t>
        </is>
      </c>
      <c r="B2056" s="1" t="inlineStr">
        <is>
          <t>BRAZALETE LOVE GOLD</t>
        </is>
      </c>
      <c r="C2056" s="1" t="inlineStr">
        <is>
          <t>19CM</t>
        </is>
      </c>
      <c r="D2056" s="1" t="inlineStr">
        <is>
          <t>26/05/2026</t>
        </is>
      </c>
      <c r="E2056" s="1" t="n">
        <v>2026</v>
      </c>
      <c r="F2056" s="1" t="inlineStr">
        <is>
          <t>MAYO</t>
        </is>
      </c>
      <c r="G2056" s="1" t="inlineStr">
        <is>
          <t>HAIFENG</t>
        </is>
      </c>
      <c r="H2056" s="1" t="inlineStr">
        <is>
          <t>HAIFENG 26/05/2026</t>
        </is>
      </c>
      <c r="I2056" s="4" t="n">
        <v>2</v>
      </c>
      <c r="J2056" s="6" t="n">
        <v>2.99</v>
      </c>
      <c r="K2056" s="6" t="n">
        <v>62.75799293</v>
      </c>
      <c r="L2056" s="6">
        <f>I2056*K2056</f>
        <v/>
      </c>
      <c r="M2056" s="6">
        <f>K2056*4</f>
        <v/>
      </c>
      <c r="N2056" s="6" t="n">
        <v>292</v>
      </c>
    </row>
    <row r="2057">
      <c r="A2057" s="1" t="inlineStr">
        <is>
          <t>59109721776717</t>
        </is>
      </c>
      <c r="B2057" s="1" t="inlineStr">
        <is>
          <t>ARETES LV X TM CERISE</t>
        </is>
      </c>
      <c r="C2057" s="1" t="inlineStr">
        <is>
          <t>Default Title</t>
        </is>
      </c>
      <c r="D2057" s="1" t="inlineStr">
        <is>
          <t>26/05/2026</t>
        </is>
      </c>
      <c r="E2057" s="1" t="n">
        <v>2026</v>
      </c>
      <c r="F2057" s="1" t="inlineStr">
        <is>
          <t>MAYO</t>
        </is>
      </c>
      <c r="G2057" s="1" t="inlineStr">
        <is>
          <t>HAIFENG</t>
        </is>
      </c>
      <c r="H2057" s="1" t="inlineStr">
        <is>
          <t>HAIFENG 26/05/2026</t>
        </is>
      </c>
      <c r="I2057" s="4" t="n">
        <v>1</v>
      </c>
      <c r="J2057" s="6" t="n">
        <v>8</v>
      </c>
      <c r="K2057" s="6" t="n">
        <v>167.9143624</v>
      </c>
      <c r="L2057" s="6">
        <f>I2057*K2057</f>
        <v/>
      </c>
      <c r="M2057" s="6">
        <f>K2057*4</f>
        <v/>
      </c>
      <c r="N2057" s="6" t="n">
        <v>699</v>
      </c>
    </row>
    <row r="2058">
      <c r="A2058" s="1" t="inlineStr">
        <is>
          <t>59109721807789</t>
        </is>
      </c>
      <c r="B2058" s="1" t="inlineStr">
        <is>
          <t>COLLAR BV PARENTESI SILVER</t>
        </is>
      </c>
      <c r="C2058" s="1" t="inlineStr">
        <is>
          <t>Default Title</t>
        </is>
      </c>
      <c r="D2058" s="1" t="inlineStr">
        <is>
          <t>26/05/2026</t>
        </is>
      </c>
      <c r="E2058" s="1" t="n">
        <v>2026</v>
      </c>
      <c r="F2058" s="1" t="inlineStr">
        <is>
          <t>MAYO</t>
        </is>
      </c>
      <c r="G2058" s="1" t="inlineStr">
        <is>
          <t>HAIFENG</t>
        </is>
      </c>
      <c r="H2058" s="1" t="inlineStr">
        <is>
          <t>HAIFENG 26/05/2026</t>
        </is>
      </c>
      <c r="I2058" s="4" t="n">
        <v>2</v>
      </c>
      <c r="J2058" s="6" t="n">
        <v>8.5</v>
      </c>
      <c r="K2058" s="6" t="n">
        <v>178.40901</v>
      </c>
      <c r="L2058" s="6">
        <f>I2058*K2058</f>
        <v/>
      </c>
      <c r="M2058" s="6">
        <f>K2058*4</f>
        <v/>
      </c>
      <c r="N2058" s="6" t="n">
        <v>750</v>
      </c>
    </row>
    <row r="2059">
      <c r="A2059" s="1" t="inlineStr">
        <is>
          <t>59109721938861</t>
        </is>
      </c>
      <c r="B2059" s="1" t="inlineStr">
        <is>
          <t>ARETES MM HEART PINK</t>
        </is>
      </c>
      <c r="C2059" s="1" t="inlineStr">
        <is>
          <t>Default Title</t>
        </is>
      </c>
      <c r="D2059" s="1" t="inlineStr">
        <is>
          <t>26/05/2026</t>
        </is>
      </c>
      <c r="E2059" s="1" t="n">
        <v>2026</v>
      </c>
      <c r="F2059" s="1" t="inlineStr">
        <is>
          <t>MAYO</t>
        </is>
      </c>
      <c r="G2059" s="1" t="inlineStr">
        <is>
          <t>HAIFENG</t>
        </is>
      </c>
      <c r="H2059" s="1" t="inlineStr">
        <is>
          <t>HAIFENG 26/05/2026</t>
        </is>
      </c>
      <c r="I2059" s="4" t="n">
        <v>3</v>
      </c>
      <c r="J2059" s="6" t="n">
        <v>8.99</v>
      </c>
      <c r="K2059" s="6" t="n">
        <v>188.6937647</v>
      </c>
      <c r="L2059" s="6">
        <f>I2059*K2059</f>
        <v/>
      </c>
      <c r="M2059" s="6">
        <f>K2059*4</f>
        <v/>
      </c>
      <c r="N2059" s="6" t="n">
        <v>750</v>
      </c>
    </row>
    <row r="2060">
      <c r="A2060" s="1" t="inlineStr">
        <is>
          <t>59109722069933</t>
        </is>
      </c>
      <c r="B2060" s="1" t="inlineStr">
        <is>
          <t>COLLAR MM GOLD-PINK</t>
        </is>
      </c>
      <c r="C2060" s="1" t="inlineStr">
        <is>
          <t>Default Title</t>
        </is>
      </c>
      <c r="D2060" s="1" t="inlineStr">
        <is>
          <t>26/05/2026</t>
        </is>
      </c>
      <c r="E2060" s="1" t="n">
        <v>2026</v>
      </c>
      <c r="F2060" s="1" t="inlineStr">
        <is>
          <t>MAYO</t>
        </is>
      </c>
      <c r="G2060" s="1" t="inlineStr">
        <is>
          <t>HAIFENG</t>
        </is>
      </c>
      <c r="H2060" s="1" t="inlineStr">
        <is>
          <t>HAIFENG 26/05/2026</t>
        </is>
      </c>
      <c r="I2060" s="4" t="n">
        <v>3</v>
      </c>
      <c r="J2060" s="6" t="n">
        <v>8.99</v>
      </c>
      <c r="K2060" s="6" t="n">
        <v>188.6937647</v>
      </c>
      <c r="L2060" s="6">
        <f>I2060*K2060</f>
        <v/>
      </c>
      <c r="M2060" s="6">
        <f>K2060*4</f>
        <v/>
      </c>
      <c r="N2060" s="6" t="n">
        <v>750</v>
      </c>
    </row>
    <row r="2061">
      <c r="A2061" s="1" t="inlineStr">
        <is>
          <t>59109722102701</t>
        </is>
      </c>
      <c r="B2061" s="1" t="inlineStr">
        <is>
          <t>COLLAR MM GOLD-WHITE</t>
        </is>
      </c>
      <c r="C2061" s="1" t="inlineStr">
        <is>
          <t>Default Title</t>
        </is>
      </c>
      <c r="D2061" s="1" t="inlineStr">
        <is>
          <t>26/05/2026</t>
        </is>
      </c>
      <c r="E2061" s="1" t="n">
        <v>2026</v>
      </c>
      <c r="F2061" s="1" t="inlineStr">
        <is>
          <t>MAYO</t>
        </is>
      </c>
      <c r="G2061" s="1" t="inlineStr">
        <is>
          <t>HAIFENG</t>
        </is>
      </c>
      <c r="H2061" s="1" t="inlineStr">
        <is>
          <t>HAIFENG 26/05/2026</t>
        </is>
      </c>
      <c r="I2061" s="4" t="n">
        <v>1</v>
      </c>
      <c r="J2061" s="6" t="n">
        <v>8.99</v>
      </c>
      <c r="K2061" s="6" t="n">
        <v>188.6937647</v>
      </c>
      <c r="L2061" s="6">
        <f>I2061*K2061</f>
        <v/>
      </c>
      <c r="M2061" s="6">
        <f>K2061*4</f>
        <v/>
      </c>
      <c r="N2061" s="6" t="n">
        <v>750</v>
      </c>
    </row>
    <row r="2062">
      <c r="A2062" s="1" t="inlineStr">
        <is>
          <t>59109722266541</t>
        </is>
      </c>
      <c r="B2062" s="1" t="inlineStr">
        <is>
          <t>ANILLO T PADLOCK SILVER</t>
        </is>
      </c>
      <c r="C2062" s="1" t="inlineStr">
        <is>
          <t>7</t>
        </is>
      </c>
      <c r="D2062" s="1" t="inlineStr">
        <is>
          <t>26/05/2026</t>
        </is>
      </c>
      <c r="E2062" s="1" t="n">
        <v>2026</v>
      </c>
      <c r="F2062" s="1" t="inlineStr">
        <is>
          <t>MAYO</t>
        </is>
      </c>
      <c r="G2062" s="1" t="inlineStr">
        <is>
          <t>HAIFENG</t>
        </is>
      </c>
      <c r="H2062" s="1" t="inlineStr">
        <is>
          <t>HAIFENG 26/05/2026</t>
        </is>
      </c>
      <c r="I2062" s="4" t="n">
        <v>2</v>
      </c>
      <c r="J2062" s="6" t="n">
        <v>5</v>
      </c>
      <c r="K2062" s="6" t="n">
        <v>104.9464765</v>
      </c>
      <c r="L2062" s="6">
        <f>I2062*K2062</f>
        <v/>
      </c>
      <c r="M2062" s="6">
        <f>K2062*4</f>
        <v/>
      </c>
      <c r="N2062" s="6" t="n">
        <v>450</v>
      </c>
    </row>
    <row r="2063">
      <c r="A2063" s="1" t="inlineStr">
        <is>
          <t>59109722399309</t>
        </is>
      </c>
      <c r="B2063" s="1" t="inlineStr">
        <is>
          <t>ANILLO T PADLOCK SILVER</t>
        </is>
      </c>
      <c r="C2063" s="1" t="inlineStr">
        <is>
          <t>8</t>
        </is>
      </c>
      <c r="D2063" s="1" t="inlineStr">
        <is>
          <t>26/05/2026</t>
        </is>
      </c>
      <c r="E2063" s="1" t="n">
        <v>2026</v>
      </c>
      <c r="F2063" s="1" t="inlineStr">
        <is>
          <t>MAYO</t>
        </is>
      </c>
      <c r="G2063" s="1" t="inlineStr">
        <is>
          <t>HAIFENG</t>
        </is>
      </c>
      <c r="H2063" s="1" t="inlineStr">
        <is>
          <t>HAIFENG 26/05/2026</t>
        </is>
      </c>
      <c r="I2063" s="4" t="n">
        <v>2</v>
      </c>
      <c r="J2063" s="6" t="n">
        <v>5</v>
      </c>
      <c r="K2063" s="6" t="n">
        <v>104.9464765</v>
      </c>
      <c r="L2063" s="6">
        <f>I2063*K2063</f>
        <v/>
      </c>
      <c r="M2063" s="6">
        <f>K2063*4</f>
        <v/>
      </c>
      <c r="N2063" s="6" t="n">
        <v>450</v>
      </c>
    </row>
    <row r="2064">
      <c r="A2064" s="1" t="inlineStr">
        <is>
          <t>59109722426989</t>
        </is>
      </c>
      <c r="B2064" s="1" t="inlineStr">
        <is>
          <t>ANILLO T LOVE HEART</t>
        </is>
      </c>
      <c r="C2064" s="1" t="inlineStr">
        <is>
          <t>6</t>
        </is>
      </c>
      <c r="D2064" s="1" t="inlineStr">
        <is>
          <t>26/05/2026</t>
        </is>
      </c>
      <c r="E2064" s="1" t="n">
        <v>2026</v>
      </c>
      <c r="F2064" s="1" t="inlineStr">
        <is>
          <t>MAYO</t>
        </is>
      </c>
      <c r="G2064" s="1" t="inlineStr">
        <is>
          <t>HAIFENG</t>
        </is>
      </c>
      <c r="H2064" s="1" t="inlineStr">
        <is>
          <t>HAIFENG 26/05/2026</t>
        </is>
      </c>
      <c r="I2064" s="4" t="n">
        <v>2</v>
      </c>
      <c r="J2064" s="6" t="n">
        <v>5.5</v>
      </c>
      <c r="K2064" s="6" t="n">
        <v>115.4411241</v>
      </c>
      <c r="L2064" s="6">
        <f>I2064*K2064</f>
        <v/>
      </c>
      <c r="M2064" s="6">
        <f>K2064*4</f>
        <v/>
      </c>
      <c r="N2064" s="6" t="n">
        <v>500</v>
      </c>
    </row>
    <row r="2065">
      <c r="A2065" s="1" t="inlineStr">
        <is>
          <t>59109722559757</t>
        </is>
      </c>
      <c r="B2065" s="1" t="inlineStr">
        <is>
          <t>ANILLO T LOVE HEART</t>
        </is>
      </c>
      <c r="C2065" s="1" t="inlineStr">
        <is>
          <t>7</t>
        </is>
      </c>
      <c r="D2065" s="1" t="inlineStr">
        <is>
          <t>26/05/2026</t>
        </is>
      </c>
      <c r="E2065" s="1" t="n">
        <v>2026</v>
      </c>
      <c r="F2065" s="1" t="inlineStr">
        <is>
          <t>MAYO</t>
        </is>
      </c>
      <c r="G2065" s="1" t="inlineStr">
        <is>
          <t>HAIFENG</t>
        </is>
      </c>
      <c r="H2065" s="1" t="inlineStr">
        <is>
          <t>HAIFENG 26/05/2026</t>
        </is>
      </c>
      <c r="I2065" s="4" t="n">
        <v>2</v>
      </c>
      <c r="J2065" s="6" t="n">
        <v>5.5</v>
      </c>
      <c r="K2065" s="6" t="n">
        <v>115.4411241</v>
      </c>
      <c r="L2065" s="6">
        <f>I2065*K2065</f>
        <v/>
      </c>
      <c r="M2065" s="6">
        <f>K2065*4</f>
        <v/>
      </c>
      <c r="N2065" s="6" t="n">
        <v>500</v>
      </c>
    </row>
    <row r="2066">
      <c r="A2066" s="1" t="inlineStr">
        <is>
          <t>59109722620205</t>
        </is>
      </c>
      <c r="B2066" s="1" t="inlineStr">
        <is>
          <t>ANILLO T BUGS BUTTERFLY</t>
        </is>
      </c>
      <c r="C2066" s="1" t="inlineStr">
        <is>
          <t>6</t>
        </is>
      </c>
      <c r="D2066" s="1" t="inlineStr">
        <is>
          <t>26/05/2026</t>
        </is>
      </c>
      <c r="E2066" s="1" t="n">
        <v>2026</v>
      </c>
      <c r="F2066" s="1" t="inlineStr">
        <is>
          <t>MAYO</t>
        </is>
      </c>
      <c r="G2066" s="1" t="inlineStr">
        <is>
          <t>HAIFENG</t>
        </is>
      </c>
      <c r="H2066" s="1" t="inlineStr">
        <is>
          <t>HAIFENG 26/05/2026</t>
        </is>
      </c>
      <c r="I2066" s="4" t="n">
        <v>2</v>
      </c>
      <c r="J2066" s="6" t="n">
        <v>5</v>
      </c>
      <c r="K2066" s="6" t="n">
        <v>104.9464765</v>
      </c>
      <c r="L2066" s="6">
        <f>I2066*K2066</f>
        <v/>
      </c>
      <c r="M2066" s="6">
        <f>K2066*4</f>
        <v/>
      </c>
      <c r="N2066" s="6" t="n">
        <v>450</v>
      </c>
    </row>
    <row r="2067">
      <c r="A2067" s="1" t="inlineStr">
        <is>
          <t>59109722752973</t>
        </is>
      </c>
      <c r="B2067" s="1" t="inlineStr">
        <is>
          <t>ANILLO T BUGS BUTTERFLY</t>
        </is>
      </c>
      <c r="C2067" s="1" t="inlineStr">
        <is>
          <t>7</t>
        </is>
      </c>
      <c r="D2067" s="1" t="inlineStr">
        <is>
          <t>26/05/2026</t>
        </is>
      </c>
      <c r="E2067" s="1" t="n">
        <v>2026</v>
      </c>
      <c r="F2067" s="1" t="inlineStr">
        <is>
          <t>MAYO</t>
        </is>
      </c>
      <c r="G2067" s="1" t="inlineStr">
        <is>
          <t>HAIFENG</t>
        </is>
      </c>
      <c r="H2067" s="1" t="inlineStr">
        <is>
          <t>HAIFENG 26/05/2026</t>
        </is>
      </c>
      <c r="I2067" s="4" t="n">
        <v>2</v>
      </c>
      <c r="J2067" s="6" t="n">
        <v>5</v>
      </c>
      <c r="K2067" s="6" t="n">
        <v>104.9464765</v>
      </c>
      <c r="L2067" s="6">
        <f>I2067*K2067</f>
        <v/>
      </c>
      <c r="M2067" s="6">
        <f>K2067*4</f>
        <v/>
      </c>
      <c r="N2067" s="6" t="n">
        <v>450</v>
      </c>
    </row>
    <row r="2068">
      <c r="A2068" s="1" t="inlineStr">
        <is>
          <t>59109722815117</t>
        </is>
      </c>
      <c r="B2068" s="1" t="inlineStr">
        <is>
          <t>ANILLO T LADY BUG</t>
        </is>
      </c>
      <c r="C2068" s="1" t="inlineStr">
        <is>
          <t>6</t>
        </is>
      </c>
      <c r="D2068" s="1" t="inlineStr">
        <is>
          <t>26/05/2026</t>
        </is>
      </c>
      <c r="E2068" s="1" t="n">
        <v>2026</v>
      </c>
      <c r="F2068" s="1" t="inlineStr">
        <is>
          <t>MAYO</t>
        </is>
      </c>
      <c r="G2068" s="1" t="inlineStr">
        <is>
          <t>HAIFENG</t>
        </is>
      </c>
      <c r="H2068" s="1" t="inlineStr">
        <is>
          <t>HAIFENG 26/05/2026</t>
        </is>
      </c>
      <c r="I2068" s="4" t="n">
        <v>2</v>
      </c>
      <c r="J2068" s="6" t="n">
        <v>5</v>
      </c>
      <c r="K2068" s="6" t="n">
        <v>104.9464765</v>
      </c>
      <c r="L2068" s="6">
        <f>I2068*K2068</f>
        <v/>
      </c>
      <c r="M2068" s="6">
        <f>K2068*4</f>
        <v/>
      </c>
      <c r="N2068" s="6" t="n">
        <v>450</v>
      </c>
    </row>
    <row r="2069">
      <c r="A2069" s="1" t="inlineStr">
        <is>
          <t>59109722947885</t>
        </is>
      </c>
      <c r="B2069" s="1" t="inlineStr">
        <is>
          <t>ANILLO T LADY BUG</t>
        </is>
      </c>
      <c r="C2069" s="1" t="inlineStr">
        <is>
          <t>7</t>
        </is>
      </c>
      <c r="D2069" s="1" t="inlineStr">
        <is>
          <t>26/05/2026</t>
        </is>
      </c>
      <c r="E2069" s="1" t="n">
        <v>2026</v>
      </c>
      <c r="F2069" s="1" t="inlineStr">
        <is>
          <t>MAYO</t>
        </is>
      </c>
      <c r="G2069" s="1" t="inlineStr">
        <is>
          <t>HAIFENG</t>
        </is>
      </c>
      <c r="H2069" s="1" t="inlineStr">
        <is>
          <t>HAIFENG 26/05/2026</t>
        </is>
      </c>
      <c r="I2069" s="4" t="n">
        <v>2</v>
      </c>
      <c r="J2069" s="6" t="n">
        <v>5</v>
      </c>
      <c r="K2069" s="6" t="n">
        <v>104.9464765</v>
      </c>
      <c r="L2069" s="6">
        <f>I2069*K2069</f>
        <v/>
      </c>
      <c r="M2069" s="6">
        <f>K2069*4</f>
        <v/>
      </c>
      <c r="N2069" s="6" t="n">
        <v>450</v>
      </c>
    </row>
    <row r="2070">
      <c r="A2070" s="1" t="inlineStr">
        <is>
          <t>59109723011725</t>
        </is>
      </c>
      <c r="B2070" s="1" t="inlineStr">
        <is>
          <t>ANILLO SIXTEEN STONE SCHLUM</t>
        </is>
      </c>
      <c r="C2070" s="1" t="inlineStr">
        <is>
          <t>6</t>
        </is>
      </c>
      <c r="D2070" s="1" t="inlineStr">
        <is>
          <t>26/05/2026</t>
        </is>
      </c>
      <c r="E2070" s="1" t="n">
        <v>2026</v>
      </c>
      <c r="F2070" s="1" t="inlineStr">
        <is>
          <t>MAYO</t>
        </is>
      </c>
      <c r="G2070" s="1" t="inlineStr">
        <is>
          <t>HAIFENG</t>
        </is>
      </c>
      <c r="H2070" s="1" t="inlineStr">
        <is>
          <t>HAIFENG 26/05/2026</t>
        </is>
      </c>
      <c r="I2070" s="4" t="n">
        <v>2</v>
      </c>
      <c r="J2070" s="6" t="n">
        <v>5.5</v>
      </c>
      <c r="K2070" s="6" t="n">
        <v>115.4411241</v>
      </c>
      <c r="L2070" s="6">
        <f>I2070*K2070</f>
        <v/>
      </c>
      <c r="M2070" s="6">
        <f>K2070*4</f>
        <v/>
      </c>
      <c r="N2070" s="6" t="n">
        <v>460</v>
      </c>
    </row>
    <row r="2071">
      <c r="A2071" s="1" t="inlineStr">
        <is>
          <t>59109723144493</t>
        </is>
      </c>
      <c r="B2071" s="1" t="inlineStr">
        <is>
          <t>ANILLO SIXTEEN STONE SCHLUM</t>
        </is>
      </c>
      <c r="C2071" s="1" t="inlineStr">
        <is>
          <t>7</t>
        </is>
      </c>
      <c r="D2071" s="1" t="inlineStr">
        <is>
          <t>26/05/2026</t>
        </is>
      </c>
      <c r="E2071" s="1" t="n">
        <v>2026</v>
      </c>
      <c r="F2071" s="1" t="inlineStr">
        <is>
          <t>MAYO</t>
        </is>
      </c>
      <c r="G2071" s="1" t="inlineStr">
        <is>
          <t>HAIFENG</t>
        </is>
      </c>
      <c r="H2071" s="1" t="inlineStr">
        <is>
          <t>HAIFENG 26/05/2026</t>
        </is>
      </c>
      <c r="I2071" s="4" t="n">
        <v>2</v>
      </c>
      <c r="J2071" s="6" t="n">
        <v>5.5</v>
      </c>
      <c r="K2071" s="6" t="n">
        <v>115.4411241</v>
      </c>
      <c r="L2071" s="6">
        <f>I2071*K2071</f>
        <v/>
      </c>
      <c r="M2071" s="6">
        <f>K2071*4</f>
        <v/>
      </c>
      <c r="N2071" s="6" t="n">
        <v>460</v>
      </c>
    </row>
    <row r="2072">
      <c r="A2072" s="1" t="inlineStr">
        <is>
          <t>59109723277261</t>
        </is>
      </c>
      <c r="B2072" s="1" t="inlineStr">
        <is>
          <t>ANILLO SIXTEEN STONE SCHLUM</t>
        </is>
      </c>
      <c r="C2072" s="1" t="inlineStr">
        <is>
          <t>8</t>
        </is>
      </c>
      <c r="D2072" s="1" t="inlineStr">
        <is>
          <t>26/05/2026</t>
        </is>
      </c>
      <c r="E2072" s="1" t="n">
        <v>2026</v>
      </c>
      <c r="F2072" s="1" t="inlineStr">
        <is>
          <t>MAYO</t>
        </is>
      </c>
      <c r="G2072" s="1" t="inlineStr">
        <is>
          <t>HAIFENG</t>
        </is>
      </c>
      <c r="H2072" s="1" t="inlineStr">
        <is>
          <t>HAIFENG 26/05/2026</t>
        </is>
      </c>
      <c r="I2072" s="4" t="n">
        <v>2</v>
      </c>
      <c r="J2072" s="6" t="n">
        <v>5.5</v>
      </c>
      <c r="K2072" s="6" t="n">
        <v>115.4411241</v>
      </c>
      <c r="L2072" s="6">
        <f>I2072*K2072</f>
        <v/>
      </c>
      <c r="M2072" s="6">
        <f>K2072*4</f>
        <v/>
      </c>
      <c r="N2072" s="6" t="n">
        <v>460</v>
      </c>
    </row>
    <row r="2073">
      <c r="A2073" s="1" t="inlineStr">
        <is>
          <t>59109723341101</t>
        </is>
      </c>
      <c r="B2073" s="1" t="inlineStr">
        <is>
          <t>ANILLO T VICTORIA VINE</t>
        </is>
      </c>
      <c r="C2073" s="1" t="inlineStr">
        <is>
          <t>6</t>
        </is>
      </c>
      <c r="D2073" s="1" t="inlineStr">
        <is>
          <t>26/05/2026</t>
        </is>
      </c>
      <c r="E2073" s="1" t="n">
        <v>2026</v>
      </c>
      <c r="F2073" s="1" t="inlineStr">
        <is>
          <t>MAYO</t>
        </is>
      </c>
      <c r="G2073" s="1" t="inlineStr">
        <is>
          <t>HAIFENG</t>
        </is>
      </c>
      <c r="H2073" s="1" t="inlineStr">
        <is>
          <t>HAIFENG 26/05/2026</t>
        </is>
      </c>
      <c r="I2073" s="4" t="n">
        <v>2</v>
      </c>
      <c r="J2073" s="6" t="n">
        <v>6.5</v>
      </c>
      <c r="K2073" s="6" t="n">
        <v>136.4304194</v>
      </c>
      <c r="L2073" s="6">
        <f>I2073*K2073</f>
        <v/>
      </c>
      <c r="M2073" s="6">
        <f>K2073*4</f>
        <v/>
      </c>
      <c r="N2073" s="6" t="n">
        <v>550</v>
      </c>
    </row>
    <row r="2074">
      <c r="A2074" s="1" t="inlineStr">
        <is>
          <t>59109723473869</t>
        </is>
      </c>
      <c r="B2074" s="1" t="inlineStr">
        <is>
          <t>ANILLO T VICTORIA VINE</t>
        </is>
      </c>
      <c r="C2074" s="1" t="inlineStr">
        <is>
          <t>7</t>
        </is>
      </c>
      <c r="D2074" s="1" t="inlineStr">
        <is>
          <t>26/05/2026</t>
        </is>
      </c>
      <c r="E2074" s="1" t="n">
        <v>2026</v>
      </c>
      <c r="F2074" s="1" t="inlineStr">
        <is>
          <t>MAYO</t>
        </is>
      </c>
      <c r="G2074" s="1" t="inlineStr">
        <is>
          <t>HAIFENG</t>
        </is>
      </c>
      <c r="H2074" s="1" t="inlineStr">
        <is>
          <t>HAIFENG 26/05/2026</t>
        </is>
      </c>
      <c r="I2074" s="4" t="n">
        <v>2</v>
      </c>
      <c r="J2074" s="6" t="n">
        <v>6.5</v>
      </c>
      <c r="K2074" s="6" t="n">
        <v>136.4304194</v>
      </c>
      <c r="L2074" s="6">
        <f>I2074*K2074</f>
        <v/>
      </c>
      <c r="M2074" s="6">
        <f>K2074*4</f>
        <v/>
      </c>
      <c r="N2074" s="6" t="n">
        <v>550</v>
      </c>
    </row>
    <row r="2075">
      <c r="A2075" s="1" t="inlineStr">
        <is>
          <t>59109723572173</t>
        </is>
      </c>
      <c r="B2075" s="1" t="inlineStr">
        <is>
          <t>ANILLO T STERLING SILVER</t>
        </is>
      </c>
      <c r="C2075" s="1" t="inlineStr">
        <is>
          <t>8</t>
        </is>
      </c>
      <c r="D2075" s="1" t="inlineStr">
        <is>
          <t>26/05/2026</t>
        </is>
      </c>
      <c r="E2075" s="1" t="n">
        <v>2026</v>
      </c>
      <c r="F2075" s="1" t="inlineStr">
        <is>
          <t>MAYO</t>
        </is>
      </c>
      <c r="G2075" s="1" t="inlineStr">
        <is>
          <t>HAIFENG</t>
        </is>
      </c>
      <c r="H2075" s="1" t="inlineStr">
        <is>
          <t>HAIFENG 26/05/2026</t>
        </is>
      </c>
      <c r="I2075" s="4" t="n">
        <v>2</v>
      </c>
      <c r="J2075" s="6" t="n">
        <v>6</v>
      </c>
      <c r="K2075" s="6" t="n">
        <v>125.9357718</v>
      </c>
      <c r="L2075" s="6">
        <f>I2075*K2075</f>
        <v/>
      </c>
      <c r="M2075" s="6">
        <f>K2075*4</f>
        <v/>
      </c>
      <c r="N2075" s="6" t="n">
        <v>0</v>
      </c>
    </row>
    <row r="2076">
      <c r="A2076" s="1" t="inlineStr">
        <is>
          <t>59109723604941</t>
        </is>
      </c>
      <c r="B2076" s="1" t="inlineStr">
        <is>
          <t>ANILLO T STERLING SILVER</t>
        </is>
      </c>
      <c r="C2076" s="1" t="inlineStr">
        <is>
          <t>9</t>
        </is>
      </c>
      <c r="D2076" s="1" t="inlineStr">
        <is>
          <t>26/05/2026</t>
        </is>
      </c>
      <c r="E2076" s="1" t="n">
        <v>2026</v>
      </c>
      <c r="F2076" s="1" t="inlineStr">
        <is>
          <t>MAYO</t>
        </is>
      </c>
      <c r="G2076" s="1" t="inlineStr">
        <is>
          <t>HAIFENG</t>
        </is>
      </c>
      <c r="H2076" s="1" t="inlineStr">
        <is>
          <t>HAIFENG 26/05/2026</t>
        </is>
      </c>
      <c r="I2076" s="4" t="n">
        <v>1</v>
      </c>
      <c r="J2076" s="6" t="n">
        <v>6</v>
      </c>
      <c r="K2076" s="6" t="n">
        <v>125.9357718</v>
      </c>
      <c r="L2076" s="6">
        <f>I2076*K2076</f>
        <v/>
      </c>
      <c r="M2076" s="6">
        <f>K2076*4</f>
        <v/>
      </c>
      <c r="N2076" s="6" t="n">
        <v>0</v>
      </c>
    </row>
    <row r="2077">
      <c r="A2077" s="1" t="inlineStr">
        <is>
          <t>59109723736013</t>
        </is>
      </c>
      <c r="B2077" s="1" t="inlineStr">
        <is>
          <t>PULSERA T DOUBLE CHAIN SILVER</t>
        </is>
      </c>
      <c r="C2077" s="1" t="inlineStr">
        <is>
          <t>Default Title</t>
        </is>
      </c>
      <c r="D2077" s="1" t="inlineStr">
        <is>
          <t>26/05/2026</t>
        </is>
      </c>
      <c r="E2077" s="1" t="n">
        <v>2026</v>
      </c>
      <c r="F2077" s="1" t="inlineStr">
        <is>
          <t>MAYO</t>
        </is>
      </c>
      <c r="G2077" s="1" t="inlineStr">
        <is>
          <t>HAIFENG</t>
        </is>
      </c>
      <c r="H2077" s="1" t="inlineStr">
        <is>
          <t>HAIFENG 26/05/2026</t>
        </is>
      </c>
      <c r="I2077" s="4" t="n">
        <v>2</v>
      </c>
      <c r="J2077" s="6" t="n">
        <v>6</v>
      </c>
      <c r="K2077" s="6" t="n">
        <v>125.9357718</v>
      </c>
      <c r="L2077" s="6">
        <f>I2077*K2077</f>
        <v/>
      </c>
      <c r="M2077" s="6">
        <f>K2077*4</f>
        <v/>
      </c>
      <c r="N2077" s="6" t="n">
        <v>0</v>
      </c>
    </row>
    <row r="2078">
      <c r="A2078" s="1" t="inlineStr">
        <is>
          <t>59109723868781</t>
        </is>
      </c>
      <c r="B2078" s="1" t="inlineStr">
        <is>
          <t>COLLAR T LOVE ENTRELAZADOS</t>
        </is>
      </c>
      <c r="C2078" s="1" t="inlineStr">
        <is>
          <t>Default Title</t>
        </is>
      </c>
      <c r="D2078" s="1" t="inlineStr">
        <is>
          <t>26/05/2026</t>
        </is>
      </c>
      <c r="E2078" s="1" t="n">
        <v>2026</v>
      </c>
      <c r="F2078" s="1" t="inlineStr">
        <is>
          <t>MAYO</t>
        </is>
      </c>
      <c r="G2078" s="1" t="inlineStr">
        <is>
          <t>HAIFENG</t>
        </is>
      </c>
      <c r="H2078" s="1" t="inlineStr">
        <is>
          <t>HAIFENG 26/05/2026</t>
        </is>
      </c>
      <c r="I2078" s="4" t="n">
        <v>1</v>
      </c>
      <c r="J2078" s="6" t="n">
        <v>6</v>
      </c>
      <c r="K2078" s="6" t="n">
        <v>125.9357718</v>
      </c>
      <c r="L2078" s="6">
        <f>I2078*K2078</f>
        <v/>
      </c>
      <c r="M2078" s="6">
        <f>K2078*4</f>
        <v/>
      </c>
      <c r="N2078" s="6" t="n">
        <v>0</v>
      </c>
    </row>
    <row r="2079">
      <c r="A2079" s="1" t="inlineStr">
        <is>
          <t>59109723934317</t>
        </is>
      </c>
      <c r="B2079" s="1" t="inlineStr">
        <is>
          <t>COLLAR T FLOWER SILVER</t>
        </is>
      </c>
      <c r="C2079" s="1" t="inlineStr">
        <is>
          <t>Default Title</t>
        </is>
      </c>
      <c r="D2079" s="1" t="inlineStr">
        <is>
          <t>26/05/2026</t>
        </is>
      </c>
      <c r="E2079" s="1" t="n">
        <v>2026</v>
      </c>
      <c r="F2079" s="1" t="inlineStr">
        <is>
          <t>MAYO</t>
        </is>
      </c>
      <c r="G2079" s="1" t="inlineStr">
        <is>
          <t>HAIFENG</t>
        </is>
      </c>
      <c r="H2079" s="1" t="inlineStr">
        <is>
          <t>HAIFENG 26/05/2026</t>
        </is>
      </c>
      <c r="I2079" s="4" t="n">
        <v>2</v>
      </c>
      <c r="J2079" s="6" t="n">
        <v>6</v>
      </c>
      <c r="K2079" s="6" t="n">
        <v>125.9357718</v>
      </c>
      <c r="L2079" s="6">
        <f>I2079*K2079</f>
        <v/>
      </c>
      <c r="M2079" s="6">
        <f>K2079*4</f>
        <v/>
      </c>
      <c r="N2079" s="6" t="n">
        <v>0</v>
      </c>
    </row>
    <row r="2080">
      <c r="A2080" s="1" t="inlineStr">
        <is>
          <t>59109724067085</t>
        </is>
      </c>
      <c r="B2080" s="1" t="inlineStr">
        <is>
          <t>COLLAR T BUGS BUTTERFLY ROSE GOLD</t>
        </is>
      </c>
      <c r="C2080" s="1" t="inlineStr">
        <is>
          <t>Default Title</t>
        </is>
      </c>
      <c r="D2080" s="1" t="inlineStr">
        <is>
          <t>26/05/2026</t>
        </is>
      </c>
      <c r="E2080" s="1" t="n">
        <v>2026</v>
      </c>
      <c r="F2080" s="1" t="inlineStr">
        <is>
          <t>MAYO</t>
        </is>
      </c>
      <c r="G2080" s="1" t="inlineStr">
        <is>
          <t>HAIFENG</t>
        </is>
      </c>
      <c r="H2080" s="1" t="inlineStr">
        <is>
          <t>HAIFENG 26/05/2026</t>
        </is>
      </c>
      <c r="I2080" s="4" t="n">
        <v>2</v>
      </c>
      <c r="J2080" s="6" t="n">
        <v>6</v>
      </c>
      <c r="K2080" s="6" t="n">
        <v>125.9357718</v>
      </c>
      <c r="L2080" s="6">
        <f>I2080*K2080</f>
        <v/>
      </c>
      <c r="M2080" s="6">
        <f>K2080*4</f>
        <v/>
      </c>
      <c r="N2080" s="6" t="n">
        <v>0</v>
      </c>
    </row>
    <row r="2081">
      <c r="A2081" s="1" t="inlineStr">
        <is>
          <t>59109724194765</t>
        </is>
      </c>
      <c r="B2081" s="1" t="inlineStr">
        <is>
          <t>COLLAR T ENAMEL LADYBUG</t>
        </is>
      </c>
      <c r="C2081" s="1" t="inlineStr">
        <is>
          <t>Default Title</t>
        </is>
      </c>
      <c r="D2081" s="1" t="inlineStr">
        <is>
          <t>26/05/2026</t>
        </is>
      </c>
      <c r="E2081" s="1" t="n">
        <v>2026</v>
      </c>
      <c r="F2081" s="1" t="inlineStr">
        <is>
          <t>MAYO</t>
        </is>
      </c>
      <c r="G2081" s="1" t="inlineStr">
        <is>
          <t>HAIFENG</t>
        </is>
      </c>
      <c r="H2081" s="1" t="inlineStr">
        <is>
          <t>HAIFENG 26/05/2026</t>
        </is>
      </c>
      <c r="I2081" s="4" t="n">
        <v>2</v>
      </c>
      <c r="J2081" s="6" t="n">
        <v>6</v>
      </c>
      <c r="K2081" s="6" t="n">
        <v>125.9357718</v>
      </c>
      <c r="L2081" s="6">
        <f>I2081*K2081</f>
        <v/>
      </c>
      <c r="M2081" s="6">
        <f>K2081*4</f>
        <v/>
      </c>
      <c r="N2081" s="6" t="n">
        <v>0</v>
      </c>
    </row>
    <row r="2082">
      <c r="A2082" s="1" t="inlineStr">
        <is>
          <t>59416971022989</t>
        </is>
      </c>
      <c r="B2082" s="1" t="n"/>
      <c r="C2082" s="1" t="inlineStr">
        <is>
          <t>26cmX21cmX6cm</t>
        </is>
      </c>
      <c r="D2082" s="1" t="inlineStr">
        <is>
          <t>18/02/2026</t>
        </is>
      </c>
      <c r="E2082" s="1" t="n">
        <v>2026</v>
      </c>
      <c r="F2082" s="1" t="inlineStr">
        <is>
          <t>FEBRERO</t>
        </is>
      </c>
      <c r="G2082" s="1" t="inlineStr">
        <is>
          <t>CYNTHIA</t>
        </is>
      </c>
      <c r="H2082" s="1" t="inlineStr">
        <is>
          <t>CYNTHIA 18/02/2026</t>
        </is>
      </c>
      <c r="I2082" s="4" t="n">
        <v>2</v>
      </c>
      <c r="J2082" s="6" t="n">
        <v>51</v>
      </c>
      <c r="K2082" s="6" t="n">
        <v>1379.211625</v>
      </c>
      <c r="L2082" s="6">
        <f>I2082*K2082</f>
        <v/>
      </c>
      <c r="M2082" s="6">
        <f>K2082*4</f>
        <v/>
      </c>
      <c r="N2082" s="6" t="n">
        <v>5519</v>
      </c>
    </row>
    <row r="2083">
      <c r="A2083" s="1" t="inlineStr">
        <is>
          <t>59436481029869</t>
        </is>
      </c>
      <c r="B2083" s="1" t="inlineStr">
        <is>
          <t>ANILLO LOVE CON ZIRCONIA SILVER</t>
        </is>
      </c>
      <c r="C2083" s="1" t="inlineStr">
        <is>
          <t>5</t>
        </is>
      </c>
      <c r="D2083" s="1" t="inlineStr">
        <is>
          <t>25/09/2025</t>
        </is>
      </c>
      <c r="E2083" s="1" t="n">
        <v>2025</v>
      </c>
      <c r="F2083" s="1" t="inlineStr">
        <is>
          <t>SEPTIEMBRE</t>
        </is>
      </c>
      <c r="G2083" s="1" t="inlineStr">
        <is>
          <t>HAIFENG</t>
        </is>
      </c>
      <c r="H2083" s="1" t="inlineStr">
        <is>
          <t>HAIFENG 25/09/2025</t>
        </is>
      </c>
      <c r="I2083" s="4" t="n">
        <v>4</v>
      </c>
      <c r="J2083" s="6" t="n">
        <v>1.8</v>
      </c>
      <c r="K2083" s="6" t="n">
        <v>37.97439438</v>
      </c>
      <c r="L2083" s="6">
        <f>I2083*K2083</f>
        <v/>
      </c>
      <c r="M2083" s="6">
        <f>K2083*4</f>
        <v/>
      </c>
      <c r="N2083" s="6" t="n">
        <v>450</v>
      </c>
    </row>
    <row r="2084">
      <c r="A2084" s="1" t="inlineStr">
        <is>
          <t>59436481029869</t>
        </is>
      </c>
      <c r="B2084" s="1" t="inlineStr">
        <is>
          <t>ANILLO LOVE CON ZIRCONIA SILVER</t>
        </is>
      </c>
      <c r="C2084" s="1" t="inlineStr">
        <is>
          <t>5</t>
        </is>
      </c>
      <c r="D2084" s="1" t="inlineStr">
        <is>
          <t>10/02/2026</t>
        </is>
      </c>
      <c r="E2084" s="1" t="n">
        <v>2026</v>
      </c>
      <c r="F2084" s="1" t="inlineStr">
        <is>
          <t>FEBRERO</t>
        </is>
      </c>
      <c r="G2084" s="1" t="inlineStr">
        <is>
          <t>HAIFENG</t>
        </is>
      </c>
      <c r="H2084" s="1" t="inlineStr">
        <is>
          <t>HAIFENG 10/02/2026</t>
        </is>
      </c>
      <c r="I2084" s="4" t="n">
        <v>3</v>
      </c>
      <c r="J2084" s="6" t="n">
        <v>1.8</v>
      </c>
      <c r="K2084" s="6" t="n">
        <v>37.92329292</v>
      </c>
      <c r="L2084" s="6">
        <f>I2084*K2084</f>
        <v/>
      </c>
      <c r="M2084" s="6">
        <f>K2084*4</f>
        <v/>
      </c>
      <c r="N2084" s="6" t="n">
        <v>450</v>
      </c>
    </row>
    <row r="2085">
      <c r="A2085" s="1" t="inlineStr">
        <is>
          <t>59436481029869</t>
        </is>
      </c>
      <c r="B2085" s="1" t="inlineStr">
        <is>
          <t>ANILLO LOVE CON ZIRCONIA SILVER</t>
        </is>
      </c>
      <c r="C2085" s="1" t="inlineStr">
        <is>
          <t>5</t>
        </is>
      </c>
      <c r="D2085" s="1" t="inlineStr">
        <is>
          <t>26/05/2026</t>
        </is>
      </c>
      <c r="E2085" s="1" t="n">
        <v>2026</v>
      </c>
      <c r="F2085" s="1" t="inlineStr">
        <is>
          <t>MAYO</t>
        </is>
      </c>
      <c r="G2085" s="1" t="inlineStr">
        <is>
          <t>HAIFENG</t>
        </is>
      </c>
      <c r="H2085" s="1" t="inlineStr">
        <is>
          <t>HAIFENG 26/05/2026</t>
        </is>
      </c>
      <c r="I2085" s="4" t="n">
        <v>3</v>
      </c>
      <c r="J2085" s="6" t="n">
        <v>1.8</v>
      </c>
      <c r="K2085" s="6" t="n">
        <v>37.78073153</v>
      </c>
      <c r="L2085" s="6">
        <f>I2085*K2085</f>
        <v/>
      </c>
      <c r="M2085" s="6">
        <f>K2085*4</f>
        <v/>
      </c>
      <c r="N2085" s="6" t="n">
        <v>450</v>
      </c>
    </row>
    <row r="2086">
      <c r="A2086" s="1" t="inlineStr">
        <is>
          <t>59436481162637</t>
        </is>
      </c>
      <c r="B2086" s="1" t="inlineStr">
        <is>
          <t>ANILLO LOVE CON ZIRCONIA SILVER</t>
        </is>
      </c>
      <c r="C2086" s="1" t="inlineStr">
        <is>
          <t>6</t>
        </is>
      </c>
      <c r="D2086" s="1" t="inlineStr">
        <is>
          <t>03/12/2025</t>
        </is>
      </c>
      <c r="E2086" s="1" t="n">
        <v>2025</v>
      </c>
      <c r="F2086" s="1" t="inlineStr">
        <is>
          <t>DICIEMBRE</t>
        </is>
      </c>
      <c r="G2086" s="1" t="inlineStr">
        <is>
          <t>HAIFENG</t>
        </is>
      </c>
      <c r="H2086" s="1" t="inlineStr">
        <is>
          <t>HAIFENG 03/12/2025</t>
        </is>
      </c>
      <c r="I2086" s="4" t="n">
        <v>2</v>
      </c>
      <c r="J2086" s="6" t="n">
        <v>1.8</v>
      </c>
      <c r="K2086" s="6" t="n">
        <v>37.65088802</v>
      </c>
      <c r="L2086" s="6">
        <f>I2086*K2086</f>
        <v/>
      </c>
      <c r="M2086" s="6">
        <f>K2086*4</f>
        <v/>
      </c>
      <c r="N2086" s="6" t="n">
        <v>450</v>
      </c>
    </row>
    <row r="2087">
      <c r="A2087" s="1" t="inlineStr">
        <is>
          <t>59436481162637</t>
        </is>
      </c>
      <c r="B2087" s="1" t="inlineStr">
        <is>
          <t>ANILLO LOVE CON ZIRCONIA SILVER</t>
        </is>
      </c>
      <c r="C2087" s="1" t="inlineStr">
        <is>
          <t>6</t>
        </is>
      </c>
      <c r="D2087" s="1" t="inlineStr">
        <is>
          <t>11/03/2026</t>
        </is>
      </c>
      <c r="E2087" s="1" t="n">
        <v>2026</v>
      </c>
      <c r="F2087" s="1" t="inlineStr">
        <is>
          <t>MARZO</t>
        </is>
      </c>
      <c r="G2087" s="1" t="inlineStr">
        <is>
          <t>HAIFENG</t>
        </is>
      </c>
      <c r="H2087" s="1" t="inlineStr">
        <is>
          <t>HAIFENG 11/03/2026</t>
        </is>
      </c>
      <c r="I2087" s="4" t="n">
        <v>2</v>
      </c>
      <c r="J2087" s="6" t="n">
        <v>1.8</v>
      </c>
      <c r="K2087" s="6" t="n">
        <v>38.34701319</v>
      </c>
      <c r="L2087" s="6">
        <f>I2087*K2087</f>
        <v/>
      </c>
      <c r="M2087" s="6">
        <f>K2087*4</f>
        <v/>
      </c>
      <c r="N2087" s="6" t="n">
        <v>450</v>
      </c>
    </row>
    <row r="2088">
      <c r="A2088" s="1" t="inlineStr">
        <is>
          <t>59436481295405</t>
        </is>
      </c>
      <c r="B2088" s="1" t="inlineStr">
        <is>
          <t>ANILLO LOVE CON ZIRCONIA SILVER</t>
        </is>
      </c>
      <c r="C2088" s="1" t="inlineStr">
        <is>
          <t>7</t>
        </is>
      </c>
      <c r="D2088" s="1" t="inlineStr">
        <is>
          <t>11/11/2025</t>
        </is>
      </c>
      <c r="E2088" s="1" t="n">
        <v>2025</v>
      </c>
      <c r="F2088" s="1" t="inlineStr">
        <is>
          <t>NOVIEMBRE</t>
        </is>
      </c>
      <c r="G2088" s="1" t="inlineStr">
        <is>
          <t>HAIFENG</t>
        </is>
      </c>
      <c r="H2088" s="1" t="inlineStr">
        <is>
          <t>HAIFENG 11/11/2025</t>
        </is>
      </c>
      <c r="I2088" s="4" t="n">
        <v>8</v>
      </c>
      <c r="J2088" s="6" t="n">
        <v>1.8</v>
      </c>
      <c r="K2088" s="6" t="n">
        <v>37.9088972</v>
      </c>
      <c r="L2088" s="6">
        <f>I2088*K2088</f>
        <v/>
      </c>
      <c r="M2088" s="6">
        <f>K2088*4</f>
        <v/>
      </c>
      <c r="N2088" s="6" t="n">
        <v>450</v>
      </c>
    </row>
    <row r="2089">
      <c r="A2089" s="1" t="inlineStr">
        <is>
          <t>59436481295405</t>
        </is>
      </c>
      <c r="B2089" s="1" t="inlineStr">
        <is>
          <t>ANILLO LOVE CON ZIRCONIA SILVER</t>
        </is>
      </c>
      <c r="C2089" s="1" t="inlineStr">
        <is>
          <t>7</t>
        </is>
      </c>
      <c r="D2089" s="1" t="inlineStr">
        <is>
          <t>03/12/2025</t>
        </is>
      </c>
      <c r="E2089" s="1" t="n">
        <v>2025</v>
      </c>
      <c r="F2089" s="1" t="inlineStr">
        <is>
          <t>DICIEMBRE</t>
        </is>
      </c>
      <c r="G2089" s="1" t="inlineStr">
        <is>
          <t>HAIFENG</t>
        </is>
      </c>
      <c r="H2089" s="1" t="inlineStr">
        <is>
          <t>HAIFENG 03/12/2025</t>
        </is>
      </c>
      <c r="I2089" s="4" t="n">
        <v>5</v>
      </c>
      <c r="J2089" s="6" t="n">
        <v>1.8</v>
      </c>
      <c r="K2089" s="6" t="n">
        <v>37.65088802</v>
      </c>
      <c r="L2089" s="6">
        <f>I2089*K2089</f>
        <v/>
      </c>
      <c r="M2089" s="6">
        <f>K2089*4</f>
        <v/>
      </c>
      <c r="N2089" s="6" t="n">
        <v>450</v>
      </c>
    </row>
    <row r="2090">
      <c r="A2090" s="1" t="inlineStr">
        <is>
          <t>59436481295405</t>
        </is>
      </c>
      <c r="B2090" s="1" t="inlineStr">
        <is>
          <t>ANILLO LOVE CON ZIRCONIA SILVER</t>
        </is>
      </c>
      <c r="C2090" s="1" t="inlineStr">
        <is>
          <t>7</t>
        </is>
      </c>
      <c r="D2090" s="1" t="inlineStr">
        <is>
          <t>26/05/2026</t>
        </is>
      </c>
      <c r="E2090" s="1" t="n">
        <v>2026</v>
      </c>
      <c r="F2090" s="1" t="inlineStr">
        <is>
          <t>MAYO</t>
        </is>
      </c>
      <c r="G2090" s="1" t="inlineStr">
        <is>
          <t>HAIFENG</t>
        </is>
      </c>
      <c r="H2090" s="1" t="inlineStr">
        <is>
          <t>HAIFENG 26/05/2026</t>
        </is>
      </c>
      <c r="I2090" s="4" t="n">
        <v>4</v>
      </c>
      <c r="J2090" s="6" t="n">
        <v>1.8</v>
      </c>
      <c r="K2090" s="6" t="n">
        <v>37.78073153</v>
      </c>
      <c r="L2090" s="6">
        <f>I2090*K2090</f>
        <v/>
      </c>
      <c r="M2090" s="6">
        <f>K2090*4</f>
        <v/>
      </c>
      <c r="N2090" s="6" t="n">
        <v>450</v>
      </c>
    </row>
    <row r="2091">
      <c r="A2091" s="1" t="inlineStr">
        <is>
          <t>59436481328173</t>
        </is>
      </c>
      <c r="B2091" s="1" t="inlineStr">
        <is>
          <t>ANILLO LOVE CON ZIRCONIA SILVER</t>
        </is>
      </c>
      <c r="C2091" s="1" t="inlineStr">
        <is>
          <t>8</t>
        </is>
      </c>
      <c r="D2091" s="1" t="inlineStr">
        <is>
          <t>25/09/2025</t>
        </is>
      </c>
      <c r="E2091" s="1" t="n">
        <v>2025</v>
      </c>
      <c r="F2091" s="1" t="inlineStr">
        <is>
          <t>SEPTIEMBRE</t>
        </is>
      </c>
      <c r="G2091" s="1" t="inlineStr">
        <is>
          <t>HAIFENG</t>
        </is>
      </c>
      <c r="H2091" s="1" t="inlineStr">
        <is>
          <t>HAIFENG 25/09/2025</t>
        </is>
      </c>
      <c r="I2091" s="4" t="n">
        <v>2</v>
      </c>
      <c r="J2091" s="6" t="n">
        <v>1.8</v>
      </c>
      <c r="K2091" s="6" t="n">
        <v>37.97439438</v>
      </c>
      <c r="L2091" s="6">
        <f>I2091*K2091</f>
        <v/>
      </c>
      <c r="M2091" s="6">
        <f>K2091*4</f>
        <v/>
      </c>
      <c r="N2091" s="6" t="n">
        <v>450</v>
      </c>
    </row>
    <row r="2092">
      <c r="A2092" s="1" t="inlineStr">
        <is>
          <t>59436481328173</t>
        </is>
      </c>
      <c r="B2092" s="1" t="inlineStr">
        <is>
          <t>ANILLO LOVE CON ZIRCONIA SILVER</t>
        </is>
      </c>
      <c r="C2092" s="1" t="inlineStr">
        <is>
          <t>8</t>
        </is>
      </c>
      <c r="D2092" s="1" t="inlineStr">
        <is>
          <t>26/05/2026</t>
        </is>
      </c>
      <c r="E2092" s="1" t="n">
        <v>2026</v>
      </c>
      <c r="F2092" s="1" t="inlineStr">
        <is>
          <t>MAYO</t>
        </is>
      </c>
      <c r="G2092" s="1" t="inlineStr">
        <is>
          <t>HAIFENG</t>
        </is>
      </c>
      <c r="H2092" s="1" t="inlineStr">
        <is>
          <t>HAIFENG 26/05/2026</t>
        </is>
      </c>
      <c r="I2092" s="4" t="n">
        <v>2</v>
      </c>
      <c r="J2092" s="6" t="n">
        <v>1.8</v>
      </c>
      <c r="K2092" s="6" t="n">
        <v>37.78073153</v>
      </c>
      <c r="L2092" s="6">
        <f>I2092*K2092</f>
        <v/>
      </c>
      <c r="M2092" s="6">
        <f>K2092*4</f>
        <v/>
      </c>
      <c r="N2092" s="6" t="n">
        <v>450</v>
      </c>
    </row>
    <row r="2093">
      <c r="A2093" s="1" t="inlineStr">
        <is>
          <t>59436481460941</t>
        </is>
      </c>
      <c r="B2093" s="1" t="inlineStr">
        <is>
          <t>ANILLO LOVE CON ZIRCONIA SILVER</t>
        </is>
      </c>
      <c r="C2093" s="1" t="inlineStr">
        <is>
          <t>9</t>
        </is>
      </c>
      <c r="D2093" s="1" t="inlineStr">
        <is>
          <t>25/09/2025</t>
        </is>
      </c>
      <c r="E2093" s="1" t="n">
        <v>2025</v>
      </c>
      <c r="F2093" s="1" t="inlineStr">
        <is>
          <t>SEPTIEMBRE</t>
        </is>
      </c>
      <c r="G2093" s="1" t="inlineStr">
        <is>
          <t>HAIFENG</t>
        </is>
      </c>
      <c r="H2093" s="1" t="inlineStr">
        <is>
          <t>HAIFENG 25/09/2025</t>
        </is>
      </c>
      <c r="I2093" s="4" t="n">
        <v>2</v>
      </c>
      <c r="J2093" s="6" t="n">
        <v>1.8</v>
      </c>
      <c r="K2093" s="6" t="n">
        <v>37.97439438</v>
      </c>
      <c r="L2093" s="6">
        <f>I2093*K2093</f>
        <v/>
      </c>
      <c r="M2093" s="6">
        <f>K2093*4</f>
        <v/>
      </c>
      <c r="N2093" s="6" t="n">
        <v>450</v>
      </c>
    </row>
    <row r="2094">
      <c r="A2094" s="1" t="inlineStr">
        <is>
          <t>59436481460941</t>
        </is>
      </c>
      <c r="B2094" s="1" t="inlineStr">
        <is>
          <t>ANILLO LOVE CON ZIRCONIA SILVER</t>
        </is>
      </c>
      <c r="C2094" s="1" t="inlineStr">
        <is>
          <t>9</t>
        </is>
      </c>
      <c r="D2094" s="1" t="inlineStr">
        <is>
          <t>11/11/2025</t>
        </is>
      </c>
      <c r="E2094" s="1" t="n">
        <v>2025</v>
      </c>
      <c r="F2094" s="1" t="inlineStr">
        <is>
          <t>NOVIEMBRE</t>
        </is>
      </c>
      <c r="G2094" s="1" t="inlineStr">
        <is>
          <t>HAIFENG</t>
        </is>
      </c>
      <c r="H2094" s="1" t="inlineStr">
        <is>
          <t>HAIFENG 11/11/2025</t>
        </is>
      </c>
      <c r="I2094" s="4" t="n">
        <v>4</v>
      </c>
      <c r="J2094" s="6" t="n">
        <v>1.8</v>
      </c>
      <c r="K2094" s="6" t="n">
        <v>37.9088972</v>
      </c>
      <c r="L2094" s="6">
        <f>I2094*K2094</f>
        <v/>
      </c>
      <c r="M2094" s="6">
        <f>K2094*4</f>
        <v/>
      </c>
      <c r="N2094" s="6" t="n">
        <v>450</v>
      </c>
    </row>
    <row r="2095">
      <c r="A2095" s="1" t="inlineStr">
        <is>
          <t>59436481460941</t>
        </is>
      </c>
      <c r="B2095" s="1" t="inlineStr">
        <is>
          <t>ANILLO LOVE CON ZIRCONIA SILVER</t>
        </is>
      </c>
      <c r="C2095" s="1" t="inlineStr">
        <is>
          <t>9</t>
        </is>
      </c>
      <c r="D2095" s="1" t="inlineStr">
        <is>
          <t>16/06/2026</t>
        </is>
      </c>
      <c r="E2095" s="1" t="n">
        <v>2026</v>
      </c>
      <c r="F2095" s="1" t="inlineStr">
        <is>
          <t>JUNIO</t>
        </is>
      </c>
      <c r="G2095" s="1" t="inlineStr">
        <is>
          <t>HAIFENG</t>
        </is>
      </c>
      <c r="H2095" s="1" t="inlineStr">
        <is>
          <t>HAIFENG 16/06/2026</t>
        </is>
      </c>
      <c r="I2095" s="4" t="n">
        <v>3</v>
      </c>
      <c r="J2095" s="6" t="n">
        <v>1.8</v>
      </c>
      <c r="K2095" s="6" t="n">
        <v>37.82629163</v>
      </c>
      <c r="L2095" s="6">
        <f>I2095*K2095</f>
        <v/>
      </c>
      <c r="M2095" s="6">
        <f>K2095*4</f>
        <v/>
      </c>
      <c r="N2095" s="6" t="n">
        <v>450</v>
      </c>
    </row>
    <row r="2096">
      <c r="A2096" s="1" t="inlineStr">
        <is>
          <t>59436481593709</t>
        </is>
      </c>
      <c r="B2096" s="1" t="inlineStr">
        <is>
          <t>ANILLO LOVE CON ZIRCONIA SILVER</t>
        </is>
      </c>
      <c r="C2096" s="1" t="inlineStr">
        <is>
          <t>10</t>
        </is>
      </c>
      <c r="D2096" s="1" t="inlineStr">
        <is>
          <t>03/12/2025</t>
        </is>
      </c>
      <c r="E2096" s="1" t="n">
        <v>2025</v>
      </c>
      <c r="F2096" s="1" t="inlineStr">
        <is>
          <t>DICIEMBRE</t>
        </is>
      </c>
      <c r="G2096" s="1" t="inlineStr">
        <is>
          <t>HAIFENG</t>
        </is>
      </c>
      <c r="H2096" s="1" t="inlineStr">
        <is>
          <t>HAIFENG 03/12/2025</t>
        </is>
      </c>
      <c r="I2096" s="4" t="n">
        <v>1</v>
      </c>
      <c r="J2096" s="6" t="n">
        <v>1.8</v>
      </c>
      <c r="K2096" s="6" t="n">
        <v>37.65088802</v>
      </c>
      <c r="L2096" s="6">
        <f>I2096*K2096</f>
        <v/>
      </c>
      <c r="M2096" s="6">
        <f>K2096*4</f>
        <v/>
      </c>
      <c r="N2096" s="6" t="n">
        <v>450</v>
      </c>
    </row>
    <row r="2097">
      <c r="A2097" s="1" t="inlineStr">
        <is>
          <t>59436481593709</t>
        </is>
      </c>
      <c r="B2097" s="1" t="inlineStr">
        <is>
          <t>ANILLO LOVE CON ZIRCONIA SILVER (THIN WITH ZIRCONIAS)</t>
        </is>
      </c>
      <c r="C2097" s="1" t="inlineStr">
        <is>
          <t>10</t>
        </is>
      </c>
      <c r="D2097" s="1" t="inlineStr">
        <is>
          <t>16/04/2026</t>
        </is>
      </c>
      <c r="E2097" s="1" t="n">
        <v>2026</v>
      </c>
      <c r="F2097" s="1" t="inlineStr">
        <is>
          <t>ABRIL</t>
        </is>
      </c>
      <c r="G2097" s="1" t="inlineStr">
        <is>
          <t>HAIFENG</t>
        </is>
      </c>
      <c r="H2097" s="1" t="inlineStr">
        <is>
          <t>HAIFENG 16/04/2026</t>
        </is>
      </c>
      <c r="I2097" s="4" t="n">
        <v>2</v>
      </c>
      <c r="J2097" s="6" t="n">
        <v>1.8</v>
      </c>
      <c r="K2097" s="6" t="n">
        <v>37.85665246</v>
      </c>
      <c r="L2097" s="6">
        <f>I2097*K2097</f>
        <v/>
      </c>
      <c r="M2097" s="6">
        <f>K2097*4</f>
        <v/>
      </c>
      <c r="N2097" s="6" t="n">
        <v>450</v>
      </c>
    </row>
    <row r="2098">
      <c r="A2098" s="1" t="inlineStr">
        <is>
          <t>59436481593709</t>
        </is>
      </c>
      <c r="B2098" s="1" t="inlineStr">
        <is>
          <t>ANILLO LOVE CON ZIRCONIA SILVER</t>
        </is>
      </c>
      <c r="C2098" s="1" t="inlineStr">
        <is>
          <t>10</t>
        </is>
      </c>
      <c r="D2098" s="1" t="inlineStr">
        <is>
          <t>16/06/2026</t>
        </is>
      </c>
      <c r="E2098" s="1" t="n">
        <v>2026</v>
      </c>
      <c r="F2098" s="1" t="inlineStr">
        <is>
          <t>JUNIO</t>
        </is>
      </c>
      <c r="G2098" s="1" t="inlineStr">
        <is>
          <t>HAIFENG</t>
        </is>
      </c>
      <c r="H2098" s="1" t="inlineStr">
        <is>
          <t>HAIFENG 16/06/2026</t>
        </is>
      </c>
      <c r="I2098" s="4" t="n">
        <v>1</v>
      </c>
      <c r="J2098" s="6" t="n">
        <v>1.8</v>
      </c>
      <c r="K2098" s="6" t="n">
        <v>37.82629163</v>
      </c>
      <c r="L2098" s="6">
        <f>I2098*K2098</f>
        <v/>
      </c>
      <c r="M2098" s="6">
        <f>K2098*4</f>
        <v/>
      </c>
      <c r="N2098" s="6" t="n">
        <v>450</v>
      </c>
    </row>
    <row r="2099">
      <c r="A2099" s="1" t="inlineStr">
        <is>
          <t>59950731067117</t>
        </is>
      </c>
      <c r="B2099" s="1" t="inlineStr">
        <is>
          <t>BRAZALETE LOVE GOLD</t>
        </is>
      </c>
      <c r="C2099" s="1" t="inlineStr">
        <is>
          <t>17CM</t>
        </is>
      </c>
      <c r="D2099" s="1" t="inlineStr">
        <is>
          <t>16/04/2026</t>
        </is>
      </c>
      <c r="E2099" s="1" t="n">
        <v>2026</v>
      </c>
      <c r="F2099" s="1" t="inlineStr">
        <is>
          <t>ABRIL</t>
        </is>
      </c>
      <c r="G2099" s="1" t="inlineStr">
        <is>
          <t>HAIFENG</t>
        </is>
      </c>
      <c r="H2099" s="1" t="inlineStr">
        <is>
          <t>HAIFENG 16/04/2026</t>
        </is>
      </c>
      <c r="I2099" s="4" t="n">
        <v>2</v>
      </c>
      <c r="J2099" s="6" t="n">
        <v>5</v>
      </c>
      <c r="K2099" s="6" t="n">
        <v>105.1573679</v>
      </c>
      <c r="L2099" s="6">
        <f>I2099*K2099</f>
        <v/>
      </c>
      <c r="M2099" s="6">
        <f>K2099*4</f>
        <v/>
      </c>
      <c r="N2099" s="6" t="n">
        <v>450</v>
      </c>
    </row>
    <row r="2100">
      <c r="A2100" s="1" t="inlineStr">
        <is>
          <t>59950731067117</t>
        </is>
      </c>
      <c r="B2100" s="1" t="inlineStr">
        <is>
          <t>BRAZALETE LOVE GOLD</t>
        </is>
      </c>
      <c r="C2100" s="1" t="inlineStr">
        <is>
          <t>17CM</t>
        </is>
      </c>
      <c r="D2100" s="1" t="inlineStr">
        <is>
          <t>16/06/2026</t>
        </is>
      </c>
      <c r="E2100" s="1" t="n">
        <v>2026</v>
      </c>
      <c r="F2100" s="1" t="inlineStr">
        <is>
          <t>JUNIO</t>
        </is>
      </c>
      <c r="G2100" s="1" t="inlineStr">
        <is>
          <t>HAIFENG</t>
        </is>
      </c>
      <c r="H2100" s="1" t="inlineStr">
        <is>
          <t>HAIFENG 16/06/2026</t>
        </is>
      </c>
      <c r="I2100" s="4" t="n">
        <v>3</v>
      </c>
      <c r="J2100" s="6" t="n">
        <v>5</v>
      </c>
      <c r="K2100" s="6" t="n">
        <v>105.0730323</v>
      </c>
      <c r="L2100" s="6">
        <f>I2100*K2100</f>
        <v/>
      </c>
      <c r="M2100" s="6">
        <f>K2100*4</f>
        <v/>
      </c>
      <c r="N2100" s="6" t="n">
        <v>450</v>
      </c>
    </row>
    <row r="2101">
      <c r="A2101" s="1" t="inlineStr">
        <is>
          <t>60255941038093</t>
        </is>
      </c>
      <c r="B2101" s="1" t="inlineStr">
        <is>
          <t>ARETES BV ROUND ROSEGOLD CON ZIRCONIA</t>
        </is>
      </c>
      <c r="C2101" s="1" t="inlineStr">
        <is>
          <t>Default Title</t>
        </is>
      </c>
      <c r="D2101" s="1" t="inlineStr">
        <is>
          <t>25/09/2025</t>
        </is>
      </c>
      <c r="E2101" s="1" t="n">
        <v>2025</v>
      </c>
      <c r="F2101" s="1" t="inlineStr">
        <is>
          <t>SEPTIEMBRE</t>
        </is>
      </c>
      <c r="G2101" s="1" t="inlineStr">
        <is>
          <t>HAIFENG</t>
        </is>
      </c>
      <c r="H2101" s="1" t="inlineStr">
        <is>
          <t>HAIFENG 25/09/2025</t>
        </is>
      </c>
      <c r="I2101" s="4" t="n">
        <v>3</v>
      </c>
      <c r="J2101" s="6" t="n">
        <v>7</v>
      </c>
      <c r="K2101" s="6" t="n">
        <v>147.6782004</v>
      </c>
      <c r="L2101" s="6">
        <f>I2101*K2101</f>
        <v/>
      </c>
      <c r="M2101" s="6">
        <f>K2101*4</f>
        <v/>
      </c>
      <c r="N2101" s="6" t="n">
        <v>576.8</v>
      </c>
    </row>
    <row r="2102">
      <c r="A2102" s="1" t="inlineStr">
        <is>
          <t>60255941038093</t>
        </is>
      </c>
      <c r="B2102" s="1" t="inlineStr">
        <is>
          <t>ARETES BV ROUND ROSEGOLD CON ZIRCONIA</t>
        </is>
      </c>
      <c r="C2102" s="1" t="inlineStr">
        <is>
          <t>Default Title</t>
        </is>
      </c>
      <c r="D2102" s="1" t="inlineStr">
        <is>
          <t>06/05/2026</t>
        </is>
      </c>
      <c r="E2102" s="1" t="n">
        <v>2026</v>
      </c>
      <c r="F2102" s="1" t="inlineStr">
        <is>
          <t>MAYO</t>
        </is>
      </c>
      <c r="G2102" s="1" t="inlineStr">
        <is>
          <t>HAIFENG</t>
        </is>
      </c>
      <c r="H2102" s="1" t="inlineStr">
        <is>
          <t>HAIFENG 06/05/2026</t>
        </is>
      </c>
      <c r="I2102" s="4" t="n">
        <v>2</v>
      </c>
      <c r="J2102" s="6" t="n">
        <v>7</v>
      </c>
      <c r="K2102" s="6" t="n">
        <v>148.5304959</v>
      </c>
      <c r="L2102" s="6">
        <f>I2102*K2102</f>
        <v/>
      </c>
      <c r="M2102" s="6">
        <f>K2102*4</f>
        <v/>
      </c>
      <c r="N2102" s="6" t="n">
        <v>576.8</v>
      </c>
    </row>
    <row r="2103">
      <c r="A2103" s="1" t="inlineStr">
        <is>
          <t>60411861009357</t>
        </is>
      </c>
      <c r="B2103" s="1" t="inlineStr">
        <is>
          <t>PULSERA CLAIR DE LUNE SILVER CON ZIRCONIA</t>
        </is>
      </c>
      <c r="C2103" s="1" t="inlineStr">
        <is>
          <t>Default Title</t>
        </is>
      </c>
      <c r="D2103" s="1" t="inlineStr">
        <is>
          <t>02/10/2025</t>
        </is>
      </c>
      <c r="E2103" s="1" t="n">
        <v>2025</v>
      </c>
      <c r="F2103" s="1" t="inlineStr">
        <is>
          <t>OCTUBRE</t>
        </is>
      </c>
      <c r="G2103" s="1" t="inlineStr">
        <is>
          <t>ZOEY</t>
        </is>
      </c>
      <c r="H2103" s="1" t="inlineStr">
        <is>
          <t>ZOEY 02/10/2025</t>
        </is>
      </c>
      <c r="I2103" s="4" t="n">
        <v>3</v>
      </c>
      <c r="J2103" s="6" t="n">
        <v>8</v>
      </c>
      <c r="K2103" s="6" t="n">
        <v>188.991488</v>
      </c>
      <c r="L2103" s="6">
        <f>I2103*K2103</f>
        <v/>
      </c>
      <c r="M2103" s="6">
        <f>K2103*4</f>
        <v/>
      </c>
      <c r="N2103" s="6" t="n">
        <v>580</v>
      </c>
    </row>
    <row r="2104">
      <c r="A2104" s="1" t="inlineStr">
        <is>
          <t>60477551054605</t>
        </is>
      </c>
      <c r="B2104" s="1" t="inlineStr">
        <is>
          <t>CAMISETA ALLS WHITE</t>
        </is>
      </c>
      <c r="C2104" s="1" t="inlineStr">
        <is>
          <t>M</t>
        </is>
      </c>
      <c r="D2104" s="1" t="inlineStr">
        <is>
          <t>02/10/2025</t>
        </is>
      </c>
      <c r="E2104" s="1" t="n">
        <v>2025</v>
      </c>
      <c r="F2104" s="1" t="inlineStr">
        <is>
          <t>OCTUBRE</t>
        </is>
      </c>
      <c r="G2104" s="1" t="inlineStr">
        <is>
          <t>ZOEY</t>
        </is>
      </c>
      <c r="H2104" s="1" t="inlineStr">
        <is>
          <t>ZOEY 02/10/2025</t>
        </is>
      </c>
      <c r="I2104" s="4" t="n">
        <v>3</v>
      </c>
      <c r="J2104" s="6" t="n">
        <v>27</v>
      </c>
      <c r="K2104" s="6" t="n">
        <v>637.846272</v>
      </c>
      <c r="L2104" s="6">
        <f>I2104*K2104</f>
        <v/>
      </c>
      <c r="M2104" s="6">
        <f>K2104*4</f>
        <v/>
      </c>
      <c r="N2104" s="6" t="n">
        <v>1370</v>
      </c>
    </row>
    <row r="2105">
      <c r="A2105" s="1" t="inlineStr">
        <is>
          <t>60477551054606</t>
        </is>
      </c>
      <c r="B2105" s="1" t="n"/>
      <c r="C2105" s="1" t="inlineStr">
        <is>
          <t>L</t>
        </is>
      </c>
      <c r="D2105" s="1" t="inlineStr">
        <is>
          <t>02/10/2025</t>
        </is>
      </c>
      <c r="E2105" s="1" t="n">
        <v>2025</v>
      </c>
      <c r="F2105" s="1" t="inlineStr">
        <is>
          <t>OCTUBRE</t>
        </is>
      </c>
      <c r="G2105" s="1" t="inlineStr">
        <is>
          <t>ZOEY</t>
        </is>
      </c>
      <c r="H2105" s="1" t="inlineStr">
        <is>
          <t>ZOEY 02/10/2025</t>
        </is>
      </c>
      <c r="I2105" s="4" t="n">
        <v>2</v>
      </c>
      <c r="J2105" s="6" t="n">
        <v>27</v>
      </c>
      <c r="K2105" s="6" t="n">
        <v>637.846272</v>
      </c>
      <c r="L2105" s="6">
        <f>I2105*K2105</f>
        <v/>
      </c>
      <c r="M2105" s="6">
        <f>K2105*4</f>
        <v/>
      </c>
      <c r="N2105" s="6" t="n">
        <v>1370</v>
      </c>
    </row>
    <row r="2106">
      <c r="A2106" s="1" t="inlineStr">
        <is>
          <t>60739441017133</t>
        </is>
      </c>
      <c r="B2106" s="1" t="inlineStr">
        <is>
          <t>SHORT DEPORTIVO ALLS BLACK</t>
        </is>
      </c>
      <c r="C2106" s="1" t="inlineStr">
        <is>
          <t>L</t>
        </is>
      </c>
      <c r="D2106" s="1" t="inlineStr">
        <is>
          <t>02/10/2025</t>
        </is>
      </c>
      <c r="E2106" s="1" t="n">
        <v>2025</v>
      </c>
      <c r="F2106" s="1" t="inlineStr">
        <is>
          <t>OCTUBRE</t>
        </is>
      </c>
      <c r="G2106" s="1" t="inlineStr">
        <is>
          <t>ZOEY</t>
        </is>
      </c>
      <c r="H2106" s="1" t="inlineStr">
        <is>
          <t>ZOEY 02/10/2025</t>
        </is>
      </c>
      <c r="I2106" s="4" t="n">
        <v>2</v>
      </c>
      <c r="J2106" s="6" t="n">
        <v>32</v>
      </c>
      <c r="K2106" s="6" t="n">
        <v>755.965952</v>
      </c>
      <c r="L2106" s="6">
        <f>I2106*K2106</f>
        <v/>
      </c>
      <c r="M2106" s="6">
        <f>K2106*4</f>
        <v/>
      </c>
      <c r="N2106" s="6" t="n">
        <v>2318.94</v>
      </c>
    </row>
    <row r="2107">
      <c r="A2107" s="1" t="inlineStr">
        <is>
          <t>61050601014957</t>
        </is>
      </c>
      <c r="B2107" s="1" t="inlineStr">
        <is>
          <t>LEGGINGS LLM BLACK</t>
        </is>
      </c>
      <c r="C2107" s="1" t="inlineStr">
        <is>
          <t>Default Title</t>
        </is>
      </c>
      <c r="D2107" s="1" t="inlineStr">
        <is>
          <t>02/10/2025</t>
        </is>
      </c>
      <c r="E2107" s="1" t="n">
        <v>2025</v>
      </c>
      <c r="F2107" s="1" t="inlineStr">
        <is>
          <t>OCTUBRE</t>
        </is>
      </c>
      <c r="G2107" s="1" t="inlineStr">
        <is>
          <t>ZOEY</t>
        </is>
      </c>
      <c r="H2107" s="1" t="inlineStr">
        <is>
          <t>ZOEY 02/10/2025</t>
        </is>
      </c>
      <c r="I2107" s="4" t="n">
        <v>2</v>
      </c>
      <c r="J2107" s="6" t="n">
        <v>25</v>
      </c>
      <c r="K2107" s="6" t="n">
        <v>590.5984</v>
      </c>
      <c r="L2107" s="6">
        <f>I2107*K2107</f>
        <v/>
      </c>
      <c r="M2107" s="6">
        <f>K2107*4</f>
        <v/>
      </c>
      <c r="N2107" s="6" t="n">
        <v>2660</v>
      </c>
    </row>
    <row r="2108">
      <c r="A2108" s="1" t="inlineStr">
        <is>
          <t>61050601014957</t>
        </is>
      </c>
      <c r="B2108" s="1" t="inlineStr">
        <is>
          <t>LEGGINGS LLM BLACK</t>
        </is>
      </c>
      <c r="C2108" s="1" t="inlineStr">
        <is>
          <t>Default Title</t>
        </is>
      </c>
      <c r="D2108" s="1" t="inlineStr">
        <is>
          <t>02/03/2026</t>
        </is>
      </c>
      <c r="E2108" s="1" t="n">
        <v>2026</v>
      </c>
      <c r="F2108" s="1" t="inlineStr">
        <is>
          <t>MARZO</t>
        </is>
      </c>
      <c r="G2108" s="1" t="inlineStr">
        <is>
          <t>ZOEY</t>
        </is>
      </c>
      <c r="H2108" s="1" t="inlineStr">
        <is>
          <t>ZOEY 02/03/2026</t>
        </is>
      </c>
      <c r="I2108" s="4" t="n">
        <v>1</v>
      </c>
      <c r="J2108" s="6" t="n">
        <v>25</v>
      </c>
      <c r="K2108" s="6" t="n">
        <v>656.9243931</v>
      </c>
      <c r="L2108" s="6">
        <f>I2108*K2108</f>
        <v/>
      </c>
      <c r="M2108" s="6">
        <f>K2108*4</f>
        <v/>
      </c>
      <c r="N2108" s="6" t="n">
        <v>2660</v>
      </c>
    </row>
    <row r="2109">
      <c r="A2109" s="1" t="inlineStr">
        <is>
          <t>61050601014957</t>
        </is>
      </c>
      <c r="B2109" s="1" t="inlineStr">
        <is>
          <t>LEGGINGS LLM BLACK</t>
        </is>
      </c>
      <c r="C2109" s="1" t="inlineStr">
        <is>
          <t>2M ,1L</t>
        </is>
      </c>
      <c r="D2109" s="1" t="inlineStr">
        <is>
          <t>15/05/2026</t>
        </is>
      </c>
      <c r="E2109" s="1" t="n">
        <v>2026</v>
      </c>
      <c r="F2109" s="1" t="inlineStr">
        <is>
          <t>MAYO</t>
        </is>
      </c>
      <c r="G2109" s="1" t="inlineStr">
        <is>
          <t>ZOEY</t>
        </is>
      </c>
      <c r="H2109" s="1" t="inlineStr">
        <is>
          <t>ZOEY 15/05/2026</t>
        </is>
      </c>
      <c r="I2109" s="4" t="n">
        <v>3</v>
      </c>
      <c r="J2109" s="6" t="n">
        <v>25</v>
      </c>
      <c r="K2109" s="6" t="n">
        <v>662.6156122</v>
      </c>
      <c r="L2109" s="6">
        <f>I2109*K2109</f>
        <v/>
      </c>
      <c r="M2109" s="6">
        <f>K2109*4</f>
        <v/>
      </c>
      <c r="N2109" s="6" t="n">
        <v>2660</v>
      </c>
    </row>
    <row r="2110">
      <c r="A2110" s="1" t="inlineStr">
        <is>
          <t>61222821052141</t>
        </is>
      </c>
      <c r="B2110" s="1" t="inlineStr">
        <is>
          <t>ANILLO CD GRABADO GOLD BLACK ZIRCONIAS</t>
        </is>
      </c>
      <c r="C2110" s="1" t="n">
        <v>6</v>
      </c>
      <c r="D2110" s="1" t="inlineStr">
        <is>
          <t>25/09/2025</t>
        </is>
      </c>
      <c r="E2110" s="1" t="n">
        <v>2025</v>
      </c>
      <c r="F2110" s="1" t="inlineStr">
        <is>
          <t>SEPTIEMBRE</t>
        </is>
      </c>
      <c r="G2110" s="1" t="inlineStr">
        <is>
          <t>HAIFENG</t>
        </is>
      </c>
      <c r="H2110" s="1" t="inlineStr">
        <is>
          <t>HAIFENG 25/09/2025</t>
        </is>
      </c>
      <c r="I2110" s="4" t="n">
        <v>2</v>
      </c>
      <c r="J2110" s="6" t="n">
        <v>6.9</v>
      </c>
      <c r="K2110" s="6" t="n">
        <v>145.5685118</v>
      </c>
      <c r="L2110" s="6">
        <f>I2110*K2110</f>
        <v/>
      </c>
      <c r="M2110" s="6">
        <f>K2110*4</f>
        <v/>
      </c>
      <c r="N2110" s="6" t="n">
        <v>660</v>
      </c>
    </row>
    <row r="2111">
      <c r="A2111" s="1" t="inlineStr">
        <is>
          <t>61222821052141</t>
        </is>
      </c>
      <c r="B2111" s="1" t="inlineStr">
        <is>
          <t>ANILLO CD GRABADO GOLD BLACK ZIRCONIAS</t>
        </is>
      </c>
      <c r="C2111" s="1" t="inlineStr">
        <is>
          <t>6</t>
        </is>
      </c>
      <c r="D2111" s="1" t="inlineStr">
        <is>
          <t>10/02/2026</t>
        </is>
      </c>
      <c r="E2111" s="1" t="n">
        <v>2026</v>
      </c>
      <c r="F2111" s="1" t="inlineStr">
        <is>
          <t>FEBRERO</t>
        </is>
      </c>
      <c r="G2111" s="1" t="inlineStr">
        <is>
          <t>HAIFENG</t>
        </is>
      </c>
      <c r="H2111" s="1" t="inlineStr">
        <is>
          <t>HAIFENG 10/02/2026</t>
        </is>
      </c>
      <c r="I2111" s="4" t="n">
        <v>3</v>
      </c>
      <c r="J2111" s="6" t="n">
        <v>6.9</v>
      </c>
      <c r="K2111" s="6" t="n">
        <v>145.3726229</v>
      </c>
      <c r="L2111" s="6">
        <f>I2111*K2111</f>
        <v/>
      </c>
      <c r="M2111" s="6">
        <f>K2111*4</f>
        <v/>
      </c>
      <c r="N2111" s="6" t="n">
        <v>429</v>
      </c>
    </row>
    <row r="2112">
      <c r="A2112" s="1" t="inlineStr">
        <is>
          <t>61222821166797</t>
        </is>
      </c>
      <c r="B2112" s="1" t="inlineStr">
        <is>
          <t>ANILLO CD GRABADO GOLD BLACK ZIRCONIAS</t>
        </is>
      </c>
      <c r="C2112" s="1" t="n">
        <v>8</v>
      </c>
      <c r="D2112" s="1" t="inlineStr">
        <is>
          <t>25/09/2025</t>
        </is>
      </c>
      <c r="E2112" s="1" t="n">
        <v>2025</v>
      </c>
      <c r="F2112" s="1" t="inlineStr">
        <is>
          <t>SEPTIEMBRE</t>
        </is>
      </c>
      <c r="G2112" s="1" t="inlineStr">
        <is>
          <t>HAIFENG</t>
        </is>
      </c>
      <c r="H2112" s="1" t="inlineStr">
        <is>
          <t>HAIFENG 25/09/2025</t>
        </is>
      </c>
      <c r="I2112" s="4" t="n">
        <v>2</v>
      </c>
      <c r="J2112" s="6" t="n">
        <v>6.9</v>
      </c>
      <c r="K2112" s="6" t="n">
        <v>145.5685118</v>
      </c>
      <c r="L2112" s="6">
        <f>I2112*K2112</f>
        <v/>
      </c>
      <c r="M2112" s="6">
        <f>K2112*4</f>
        <v/>
      </c>
      <c r="N2112" s="6" t="n">
        <v>660</v>
      </c>
    </row>
    <row r="2113">
      <c r="A2113" s="1" t="inlineStr">
        <is>
          <t>61222821166797</t>
        </is>
      </c>
      <c r="B2113" s="1" t="n"/>
      <c r="C2113" s="1" t="inlineStr">
        <is>
          <t>8</t>
        </is>
      </c>
      <c r="D2113" s="1" t="inlineStr">
        <is>
          <t>10/02/2026</t>
        </is>
      </c>
      <c r="E2113" s="1" t="n">
        <v>2026</v>
      </c>
      <c r="F2113" s="1" t="inlineStr">
        <is>
          <t>FEBRERO</t>
        </is>
      </c>
      <c r="G2113" s="1" t="inlineStr">
        <is>
          <t>HAIFENG</t>
        </is>
      </c>
      <c r="H2113" s="1" t="inlineStr">
        <is>
          <t>HAIFENG 10/02/2026</t>
        </is>
      </c>
      <c r="I2113" s="4" t="n">
        <v>1</v>
      </c>
      <c r="J2113" s="6" t="n">
        <v>6.9</v>
      </c>
      <c r="K2113" s="6" t="n">
        <v>145.3726229</v>
      </c>
      <c r="L2113" s="6">
        <f>I2113*K2113</f>
        <v/>
      </c>
      <c r="M2113" s="6">
        <f>K2113*4</f>
        <v/>
      </c>
      <c r="N2113" s="6" t="n">
        <v>660</v>
      </c>
    </row>
    <row r="2114">
      <c r="A2114" s="1" t="inlineStr">
        <is>
          <t>61222821166797</t>
        </is>
      </c>
      <c r="B2114" s="1" t="inlineStr">
        <is>
          <t>ANILLO CD GRABADO GOLD BLACK ZIRCONIAS</t>
        </is>
      </c>
      <c r="C2114" s="1" t="inlineStr">
        <is>
          <t>8</t>
        </is>
      </c>
      <c r="D2114" s="1" t="inlineStr">
        <is>
          <t>26/05/2026</t>
        </is>
      </c>
      <c r="E2114" s="1" t="n">
        <v>2026</v>
      </c>
      <c r="F2114" s="1" t="inlineStr">
        <is>
          <t>MAYO</t>
        </is>
      </c>
      <c r="G2114" s="1" t="inlineStr">
        <is>
          <t>HAIFENG</t>
        </is>
      </c>
      <c r="H2114" s="1" t="inlineStr">
        <is>
          <t>HAIFENG 26/05/2026</t>
        </is>
      </c>
      <c r="I2114" s="4" t="n">
        <v>2</v>
      </c>
      <c r="J2114" s="6" t="n">
        <v>7.9</v>
      </c>
      <c r="K2114" s="6" t="n">
        <v>165.8154328</v>
      </c>
      <c r="L2114" s="6">
        <f>I2114*K2114</f>
        <v/>
      </c>
      <c r="M2114" s="6">
        <f>K2114*4</f>
        <v/>
      </c>
      <c r="N2114" s="6" t="n">
        <v>660</v>
      </c>
    </row>
    <row r="2115">
      <c r="A2115" s="1" t="inlineStr">
        <is>
          <t>61453671212141</t>
        </is>
      </c>
      <c r="B2115" s="1" t="inlineStr">
        <is>
          <t>COLLAR FR SILVER PEARL</t>
        </is>
      </c>
      <c r="C2115" s="1" t="n"/>
      <c r="D2115" s="1" t="inlineStr">
        <is>
          <t>20/01/2026</t>
        </is>
      </c>
      <c r="E2115" s="1" t="n">
        <v>2026</v>
      </c>
      <c r="F2115" s="1" t="inlineStr">
        <is>
          <t>ENERO</t>
        </is>
      </c>
      <c r="G2115" s="1" t="inlineStr">
        <is>
          <t>HAIFENG</t>
        </is>
      </c>
      <c r="H2115" s="1" t="inlineStr">
        <is>
          <t>HAIFENG 20/01/2026</t>
        </is>
      </c>
      <c r="I2115" s="4" t="n">
        <v>5</v>
      </c>
      <c r="J2115" s="6" t="n">
        <v>6.9</v>
      </c>
      <c r="K2115" s="6" t="n">
        <v>146.2828828</v>
      </c>
      <c r="L2115" s="6">
        <f>I2115*K2115</f>
        <v/>
      </c>
      <c r="M2115" s="6">
        <f>K2115*4</f>
        <v/>
      </c>
      <c r="N2115" s="6" t="n">
        <v>580</v>
      </c>
    </row>
    <row r="2116">
      <c r="A2116" s="1" t="inlineStr">
        <is>
          <t>61744051068109</t>
        </is>
      </c>
      <c r="B2116" s="1" t="inlineStr">
        <is>
          <t>PULSERA CD GOLD CON ZIRCONIA</t>
        </is>
      </c>
      <c r="C2116" s="1" t="inlineStr">
        <is>
          <t>Default Title</t>
        </is>
      </c>
      <c r="D2116" s="1" t="inlineStr">
        <is>
          <t>02/10/2025</t>
        </is>
      </c>
      <c r="E2116" s="1" t="n">
        <v>2025</v>
      </c>
      <c r="F2116" s="1" t="inlineStr">
        <is>
          <t>OCTUBRE</t>
        </is>
      </c>
      <c r="G2116" s="1" t="inlineStr">
        <is>
          <t>ZOEY</t>
        </is>
      </c>
      <c r="H2116" s="1" t="inlineStr">
        <is>
          <t>ZOEY 02/10/2025</t>
        </is>
      </c>
      <c r="I2116" s="4" t="n">
        <v>2</v>
      </c>
      <c r="J2116" s="6" t="n">
        <v>9</v>
      </c>
      <c r="K2116" s="6" t="n">
        <v>212.615424</v>
      </c>
      <c r="L2116" s="6">
        <f>I2116*K2116</f>
        <v/>
      </c>
      <c r="M2116" s="6">
        <f>K2116*4</f>
        <v/>
      </c>
      <c r="N2116" s="6" t="n">
        <v>1499</v>
      </c>
    </row>
    <row r="2117">
      <c r="A2117" s="1" t="inlineStr">
        <is>
          <t>61744051068109</t>
        </is>
      </c>
      <c r="B2117" s="1" t="inlineStr">
        <is>
          <t>PULSERA CD GOLD CON ZIRCONIA</t>
        </is>
      </c>
      <c r="C2117" s="1" t="inlineStr">
        <is>
          <t>Default Title</t>
        </is>
      </c>
      <c r="D2117" s="1" t="inlineStr">
        <is>
          <t>20/01/2026</t>
        </is>
      </c>
      <c r="E2117" s="1" t="n">
        <v>2026</v>
      </c>
      <c r="F2117" s="1" t="inlineStr">
        <is>
          <t>ENERO</t>
        </is>
      </c>
      <c r="G2117" s="1" t="inlineStr">
        <is>
          <t>ZOEY</t>
        </is>
      </c>
      <c r="H2117" s="1" t="inlineStr">
        <is>
          <t>ZOEY 20/01/2026</t>
        </is>
      </c>
      <c r="I2117" s="4" t="n">
        <v>5</v>
      </c>
      <c r="J2117" s="6" t="n">
        <v>18</v>
      </c>
      <c r="K2117" s="6" t="n">
        <v>468.5687886</v>
      </c>
      <c r="L2117" s="6">
        <f>I2117*K2117</f>
        <v/>
      </c>
      <c r="M2117" s="6">
        <f>K2117*4</f>
        <v/>
      </c>
      <c r="N2117" s="6" t="n">
        <v>1875</v>
      </c>
    </row>
    <row r="2118">
      <c r="A2118" s="1" t="inlineStr">
        <is>
          <t>62101481140653</t>
        </is>
      </c>
      <c r="B2118" s="1" t="inlineStr">
        <is>
          <t>ARETES BEAN SILVER T</t>
        </is>
      </c>
      <c r="C2118" s="1" t="inlineStr">
        <is>
          <t>Default Title</t>
        </is>
      </c>
      <c r="D2118" s="1" t="inlineStr">
        <is>
          <t>05/09/2025</t>
        </is>
      </c>
      <c r="E2118" s="1" t="n">
        <v>2025</v>
      </c>
      <c r="F2118" s="1" t="inlineStr">
        <is>
          <t>SEPTIEMBRE</t>
        </is>
      </c>
      <c r="G2118" s="1" t="inlineStr">
        <is>
          <t>CYNTHIA</t>
        </is>
      </c>
      <c r="H2118" s="1" t="inlineStr">
        <is>
          <t>CYNTHIA 05/09/2025</t>
        </is>
      </c>
      <c r="I2118" s="4" t="n">
        <v>4</v>
      </c>
      <c r="J2118" s="6" t="n">
        <v>8</v>
      </c>
      <c r="K2118" s="6" t="n">
        <v>201.4327754</v>
      </c>
      <c r="L2118" s="6">
        <f>I2118*K2118</f>
        <v/>
      </c>
      <c r="M2118" s="6">
        <f>K2118*4</f>
        <v/>
      </c>
      <c r="N2118" s="6" t="n">
        <v>849</v>
      </c>
    </row>
    <row r="2119">
      <c r="A2119" s="1" t="inlineStr">
        <is>
          <t>62101481140653</t>
        </is>
      </c>
      <c r="B2119" s="1" t="inlineStr">
        <is>
          <t>ARETES BEAN SILVER T</t>
        </is>
      </c>
      <c r="C2119" s="1" t="inlineStr">
        <is>
          <t>Default Title</t>
        </is>
      </c>
      <c r="D2119" s="1" t="inlineStr">
        <is>
          <t>25/10/2025</t>
        </is>
      </c>
      <c r="E2119" s="1" t="n">
        <v>2025</v>
      </c>
      <c r="F2119" s="1" t="inlineStr">
        <is>
          <t>OCTUBRE</t>
        </is>
      </c>
      <c r="G2119" s="1" t="inlineStr">
        <is>
          <t>CYNTHIA</t>
        </is>
      </c>
      <c r="H2119" s="1" t="inlineStr">
        <is>
          <t>CYNTHIA 25/10/2025</t>
        </is>
      </c>
      <c r="I2119" s="4" t="n">
        <v>3</v>
      </c>
      <c r="J2119" s="6" t="n">
        <v>8</v>
      </c>
      <c r="K2119" s="6" t="n">
        <v>209.6145887</v>
      </c>
      <c r="L2119" s="6">
        <f>I2119*K2119</f>
        <v/>
      </c>
      <c r="M2119" s="6">
        <f>K2119*4</f>
        <v/>
      </c>
      <c r="N2119" s="6" t="n">
        <v>849</v>
      </c>
    </row>
    <row r="2120">
      <c r="A2120" s="1" t="inlineStr">
        <is>
          <t>62101481140653</t>
        </is>
      </c>
      <c r="B2120" s="1" t="inlineStr">
        <is>
          <t>ARETES BEAN SILVER T</t>
        </is>
      </c>
      <c r="C2120" s="1" t="inlineStr">
        <is>
          <t>Default Title</t>
        </is>
      </c>
      <c r="D2120" s="1" t="inlineStr">
        <is>
          <t>18/02/2026</t>
        </is>
      </c>
      <c r="E2120" s="1" t="n">
        <v>2026</v>
      </c>
      <c r="F2120" s="1" t="inlineStr">
        <is>
          <t>FEBRERO</t>
        </is>
      </c>
      <c r="G2120" s="1" t="inlineStr">
        <is>
          <t>CYNTHIA</t>
        </is>
      </c>
      <c r="H2120" s="1" t="inlineStr">
        <is>
          <t>CYNTHIA 18/02/2026</t>
        </is>
      </c>
      <c r="I2120" s="4" t="n">
        <v>5</v>
      </c>
      <c r="J2120" s="6" t="n">
        <v>7.5</v>
      </c>
      <c r="K2120" s="6" t="n">
        <v>202.825239</v>
      </c>
      <c r="L2120" s="6">
        <f>I2120*K2120</f>
        <v/>
      </c>
      <c r="M2120" s="6">
        <f>K2120*4</f>
        <v/>
      </c>
      <c r="N2120" s="6" t="n">
        <v>849</v>
      </c>
    </row>
    <row r="2121">
      <c r="A2121" s="1" t="inlineStr">
        <is>
          <t>62101481140653</t>
        </is>
      </c>
      <c r="B2121" s="1" t="inlineStr">
        <is>
          <t>ARETES BEAN SILVER T</t>
        </is>
      </c>
      <c r="C2121" s="1" t="inlineStr">
        <is>
          <t>Default Title</t>
        </is>
      </c>
      <c r="D2121" s="1" t="inlineStr">
        <is>
          <t>27/04/2026</t>
        </is>
      </c>
      <c r="E2121" s="1" t="n">
        <v>2026</v>
      </c>
      <c r="F2121" s="1" t="inlineStr">
        <is>
          <t>ABRIL</t>
        </is>
      </c>
      <c r="G2121" s="1" t="inlineStr">
        <is>
          <t>CYNTHIA</t>
        </is>
      </c>
      <c r="H2121" s="1" t="inlineStr">
        <is>
          <t>CYNTHIA 27/04/2026</t>
        </is>
      </c>
      <c r="I2121" s="4" t="n">
        <v>2</v>
      </c>
      <c r="J2121" s="6" t="n">
        <v>8</v>
      </c>
      <c r="K2121" s="6" t="n">
        <v>207.6007409</v>
      </c>
      <c r="L2121" s="6">
        <f>I2121*K2121</f>
        <v/>
      </c>
      <c r="M2121" s="6">
        <f>K2121*4</f>
        <v/>
      </c>
      <c r="N2121" s="6" t="n">
        <v>849</v>
      </c>
    </row>
    <row r="2122">
      <c r="A2122" s="1" t="inlineStr">
        <is>
          <t>62101481140653</t>
        </is>
      </c>
      <c r="B2122" s="1" t="inlineStr">
        <is>
          <t>ARETES BEAN SILVER T</t>
        </is>
      </c>
      <c r="C2122" s="1" t="inlineStr">
        <is>
          <t>Default Title</t>
        </is>
      </c>
      <c r="D2122" s="1" t="inlineStr">
        <is>
          <t>31/05/2026</t>
        </is>
      </c>
      <c r="E2122" s="1" t="n">
        <v>2026</v>
      </c>
      <c r="F2122" s="1" t="inlineStr">
        <is>
          <t>MAYO</t>
        </is>
      </c>
      <c r="G2122" s="1" t="inlineStr">
        <is>
          <t>CYNTHIA</t>
        </is>
      </c>
      <c r="H2122" s="1" t="inlineStr">
        <is>
          <t>CYNTHIA 31/05/2026</t>
        </is>
      </c>
      <c r="I2122" s="4" t="n">
        <v>2</v>
      </c>
      <c r="J2122" s="6" t="n">
        <v>8</v>
      </c>
      <c r="K2122" s="6" t="n">
        <v>212.0083598</v>
      </c>
      <c r="L2122" s="6">
        <f>I2122*K2122</f>
        <v/>
      </c>
      <c r="M2122" s="6">
        <f>K2122*4</f>
        <v/>
      </c>
      <c r="N2122" s="6" t="n">
        <v>849</v>
      </c>
    </row>
    <row r="2123">
      <c r="A2123" s="1" t="inlineStr">
        <is>
          <t>62328733504652</t>
        </is>
      </c>
      <c r="B2123" s="1" t="inlineStr">
        <is>
          <t>PULSERAS CD PETIT</t>
        </is>
      </c>
      <c r="C2123" s="1" t="inlineStr">
        <is>
          <t>16cm con 5cm de extensión</t>
        </is>
      </c>
      <c r="D2123" s="1" t="inlineStr">
        <is>
          <t>01/09/2025</t>
        </is>
      </c>
      <c r="E2123" s="1" t="n">
        <v>2025</v>
      </c>
      <c r="F2123" s="1" t="inlineStr">
        <is>
          <t>SEPTIEMBRE</t>
        </is>
      </c>
      <c r="G2123" s="1" t="inlineStr">
        <is>
          <t>ZOEY</t>
        </is>
      </c>
      <c r="H2123" s="1" t="inlineStr">
        <is>
          <t>ZOEY 01/09/2025</t>
        </is>
      </c>
      <c r="I2123" s="4" t="n">
        <v>3</v>
      </c>
      <c r="J2123" s="6" t="n">
        <v>7</v>
      </c>
      <c r="K2123" s="6" t="n">
        <v>175.8249122</v>
      </c>
      <c r="L2123" s="6">
        <f>I2123*K2123</f>
        <v/>
      </c>
      <c r="M2123" s="6">
        <f>K2123*4</f>
        <v/>
      </c>
      <c r="N2123" s="6" t="n">
        <v>760</v>
      </c>
    </row>
    <row r="2124">
      <c r="A2124" s="1" t="inlineStr">
        <is>
          <t>62328733504652</t>
        </is>
      </c>
      <c r="B2124" s="1" t="inlineStr">
        <is>
          <t>PULSERA CD PETIT</t>
        </is>
      </c>
      <c r="C2124" s="1" t="inlineStr">
        <is>
          <t>16cm con 5cm de extensión</t>
        </is>
      </c>
      <c r="D2124" s="1" t="inlineStr">
        <is>
          <t>19/03/2026</t>
        </is>
      </c>
      <c r="E2124" s="1" t="n">
        <v>2026</v>
      </c>
      <c r="F2124" s="1" t="inlineStr">
        <is>
          <t>MARZO</t>
        </is>
      </c>
      <c r="G2124" s="1" t="inlineStr">
        <is>
          <t>ZOEY</t>
        </is>
      </c>
      <c r="H2124" s="1" t="inlineStr">
        <is>
          <t>ZOEY 19/03/2026</t>
        </is>
      </c>
      <c r="I2124" s="4" t="n">
        <v>1</v>
      </c>
      <c r="J2124" s="6" t="n">
        <v>7</v>
      </c>
      <c r="K2124" s="6" t="n">
        <v>180.4743473</v>
      </c>
      <c r="L2124" s="6">
        <f>I2124*K2124</f>
        <v/>
      </c>
      <c r="M2124" s="6">
        <f>K2124*4</f>
        <v/>
      </c>
      <c r="N2124" s="6" t="n">
        <v>760</v>
      </c>
    </row>
    <row r="2125">
      <c r="A2125" s="1" t="inlineStr">
        <is>
          <t>62328733504652</t>
        </is>
      </c>
      <c r="B2125" s="1" t="inlineStr">
        <is>
          <t>PULSERA CD PETIT</t>
        </is>
      </c>
      <c r="C2125" s="1" t="inlineStr">
        <is>
          <t>16cm con 5cm de extensión</t>
        </is>
      </c>
      <c r="D2125" s="1" t="inlineStr">
        <is>
          <t>15/05/2026</t>
        </is>
      </c>
      <c r="E2125" s="1" t="n">
        <v>2026</v>
      </c>
      <c r="F2125" s="1" t="inlineStr">
        <is>
          <t>MAYO</t>
        </is>
      </c>
      <c r="G2125" s="1" t="inlineStr">
        <is>
          <t>ZOEY</t>
        </is>
      </c>
      <c r="H2125" s="1" t="inlineStr">
        <is>
          <t>ZOEY 15/05/2026</t>
        </is>
      </c>
      <c r="I2125" s="4" t="n">
        <v>3</v>
      </c>
      <c r="J2125" s="6" t="n">
        <v>7</v>
      </c>
      <c r="K2125" s="6" t="n">
        <v>185.5323714</v>
      </c>
      <c r="L2125" s="6">
        <f>I2125*K2125</f>
        <v/>
      </c>
      <c r="M2125" s="6">
        <f>K2125*4</f>
        <v/>
      </c>
      <c r="N2125" s="6" t="n">
        <v>760</v>
      </c>
    </row>
    <row r="2126">
      <c r="A2126" s="1" t="inlineStr">
        <is>
          <t>62571331097101</t>
        </is>
      </c>
      <c r="B2126" s="1" t="inlineStr">
        <is>
          <t>BOLSA LLM BLACK</t>
        </is>
      </c>
      <c r="C2126" s="1" t="inlineStr">
        <is>
          <t>Default Title</t>
        </is>
      </c>
      <c r="D2126" s="1" t="inlineStr">
        <is>
          <t>02/10/2025</t>
        </is>
      </c>
      <c r="E2126" s="1" t="n">
        <v>2025</v>
      </c>
      <c r="F2126" s="1" t="inlineStr">
        <is>
          <t>OCTUBRE</t>
        </is>
      </c>
      <c r="G2126" s="1" t="inlineStr">
        <is>
          <t>ZOEY</t>
        </is>
      </c>
      <c r="H2126" s="1" t="inlineStr">
        <is>
          <t>ZOEY 02/10/2025</t>
        </is>
      </c>
      <c r="I2126" s="4" t="n">
        <v>2</v>
      </c>
      <c r="J2126" s="6" t="n">
        <v>35</v>
      </c>
      <c r="K2126" s="6" t="n">
        <v>826.83776</v>
      </c>
      <c r="L2126" s="6">
        <f>I2126*K2126</f>
        <v/>
      </c>
      <c r="M2126" s="6">
        <f>K2126*4</f>
        <v/>
      </c>
      <c r="N2126" s="6" t="n">
        <v>667</v>
      </c>
    </row>
    <row r="2127">
      <c r="A2127" s="1" t="inlineStr">
        <is>
          <t>62571331097101</t>
        </is>
      </c>
      <c r="B2127" s="1" t="inlineStr">
        <is>
          <t>BOLSA LLM BLACK</t>
        </is>
      </c>
      <c r="C2127" s="1" t="inlineStr">
        <is>
          <t>Default Title</t>
        </is>
      </c>
      <c r="D2127" s="1" t="inlineStr">
        <is>
          <t>20/01/2026</t>
        </is>
      </c>
      <c r="E2127" s="1" t="n">
        <v>2026</v>
      </c>
      <c r="F2127" s="1" t="inlineStr">
        <is>
          <t>ENERO</t>
        </is>
      </c>
      <c r="G2127" s="1" t="inlineStr">
        <is>
          <t>ZOEY</t>
        </is>
      </c>
      <c r="H2127" s="1" t="inlineStr">
        <is>
          <t>ZOEY 20/01/2026</t>
        </is>
      </c>
      <c r="I2127" s="4" t="n">
        <v>4</v>
      </c>
      <c r="J2127" s="6" t="n">
        <v>8</v>
      </c>
      <c r="K2127" s="6" t="n">
        <v>208.252795</v>
      </c>
      <c r="L2127" s="6">
        <f>I2127*K2127</f>
        <v/>
      </c>
      <c r="M2127" s="6">
        <f>K2127*4</f>
        <v/>
      </c>
      <c r="N2127" s="6" t="n">
        <v>785</v>
      </c>
    </row>
    <row r="2128">
      <c r="A2128" s="1" t="inlineStr">
        <is>
          <t>62571331097101</t>
        </is>
      </c>
      <c r="B2128" s="1" t="inlineStr">
        <is>
          <t>BOLSA LLM BLACK</t>
        </is>
      </c>
      <c r="C2128" s="1" t="inlineStr">
        <is>
          <t>Default Title</t>
        </is>
      </c>
      <c r="D2128" s="1" t="inlineStr">
        <is>
          <t>20/04/2026</t>
        </is>
      </c>
      <c r="E2128" s="1" t="n">
        <v>2026</v>
      </c>
      <c r="F2128" s="1" t="inlineStr">
        <is>
          <t>ABRIL</t>
        </is>
      </c>
      <c r="G2128" s="1" t="inlineStr">
        <is>
          <t>ZOEY</t>
        </is>
      </c>
      <c r="H2128" s="1" t="inlineStr">
        <is>
          <t>ZOEY 20/04/2026</t>
        </is>
      </c>
      <c r="I2128" s="4" t="n">
        <v>6</v>
      </c>
      <c r="J2128" s="6" t="n">
        <v>8</v>
      </c>
      <c r="K2128" s="6" t="n">
        <v>204.8702267</v>
      </c>
      <c r="L2128" s="6">
        <f>I2128*K2128</f>
        <v/>
      </c>
      <c r="M2128" s="6">
        <f>K2128*4</f>
        <v/>
      </c>
      <c r="N2128" s="6" t="n">
        <v>667</v>
      </c>
    </row>
    <row r="2129">
      <c r="A2129" s="1" t="inlineStr">
        <is>
          <t>62571331097101</t>
        </is>
      </c>
      <c r="B2129" s="1" t="inlineStr">
        <is>
          <t>BOLSA LLM BLACK</t>
        </is>
      </c>
      <c r="C2129" s="1" t="inlineStr">
        <is>
          <t>Default Title</t>
        </is>
      </c>
      <c r="D2129" s="1" t="inlineStr">
        <is>
          <t>08/06/2026</t>
        </is>
      </c>
      <c r="E2129" s="1" t="n">
        <v>2026</v>
      </c>
      <c r="F2129" s="1" t="inlineStr">
        <is>
          <t>JUNIO</t>
        </is>
      </c>
      <c r="G2129" s="1" t="inlineStr">
        <is>
          <t>ZOEY</t>
        </is>
      </c>
      <c r="H2129" s="1" t="inlineStr">
        <is>
          <t>ZOEY 08/06/2026</t>
        </is>
      </c>
      <c r="I2129" s="4" t="n">
        <v>1</v>
      </c>
      <c r="J2129" s="6" t="n">
        <v>8</v>
      </c>
      <c r="K2129" s="6" t="n">
        <v>196.0914916</v>
      </c>
      <c r="L2129" s="6">
        <f>I2129*K2129</f>
        <v/>
      </c>
      <c r="M2129" s="6">
        <f>K2129*4</f>
        <v/>
      </c>
      <c r="N2129" s="6" t="n">
        <v>785</v>
      </c>
    </row>
    <row r="2130">
      <c r="A2130" s="1" t="inlineStr">
        <is>
          <t>62745761085613</t>
        </is>
      </c>
      <c r="B2130" s="1" t="inlineStr">
        <is>
          <t>MONEDERO G PM BLACK</t>
        </is>
      </c>
      <c r="C2130" s="1" t="inlineStr">
        <is>
          <t>Default Title</t>
        </is>
      </c>
      <c r="D2130" s="1" t="inlineStr">
        <is>
          <t>31/05/2026</t>
        </is>
      </c>
      <c r="E2130" s="1" t="n">
        <v>2026</v>
      </c>
      <c r="F2130" s="1" t="inlineStr">
        <is>
          <t>MAYO</t>
        </is>
      </c>
      <c r="G2130" s="1" t="inlineStr">
        <is>
          <t>NANCY</t>
        </is>
      </c>
      <c r="H2130" s="1" t="inlineStr">
        <is>
          <t>NANCY 31/05/2026</t>
        </is>
      </c>
      <c r="I2130" s="4" t="n">
        <v>2</v>
      </c>
      <c r="J2130" s="6" t="n">
        <v>13.19</v>
      </c>
      <c r="K2130" s="6" t="n">
        <v>320.0895083</v>
      </c>
      <c r="L2130" s="6">
        <f>I2130*K2130</f>
        <v/>
      </c>
      <c r="M2130" s="6">
        <f>K2130*4</f>
        <v/>
      </c>
      <c r="N2130" s="6" t="n">
        <v>0</v>
      </c>
    </row>
    <row r="2131">
      <c r="A2131" s="1" t="inlineStr">
        <is>
          <t>62745761151149</t>
        </is>
      </c>
      <c r="B2131" s="1" t="inlineStr">
        <is>
          <t>MONEDERO G PM WHITE</t>
        </is>
      </c>
      <c r="C2131" s="1" t="inlineStr">
        <is>
          <t>Default Title</t>
        </is>
      </c>
      <c r="D2131" s="1" t="inlineStr">
        <is>
          <t>31/05/2026</t>
        </is>
      </c>
      <c r="E2131" s="1" t="n">
        <v>2026</v>
      </c>
      <c r="F2131" s="1" t="inlineStr">
        <is>
          <t>MAYO</t>
        </is>
      </c>
      <c r="G2131" s="1" t="inlineStr">
        <is>
          <t>NANCY</t>
        </is>
      </c>
      <c r="H2131" s="1" t="inlineStr">
        <is>
          <t>NANCY 31/05/2026</t>
        </is>
      </c>
      <c r="I2131" s="4" t="n">
        <v>2</v>
      </c>
      <c r="J2131" s="6" t="n">
        <v>13.19</v>
      </c>
      <c r="K2131" s="6" t="n">
        <v>320.0895083</v>
      </c>
      <c r="L2131" s="6">
        <f>I2131*K2131</f>
        <v/>
      </c>
      <c r="M2131" s="6">
        <f>K2131*4</f>
        <v/>
      </c>
      <c r="N2131" s="6" t="n">
        <v>0</v>
      </c>
    </row>
    <row r="2132">
      <c r="A2132" s="1" t="inlineStr">
        <is>
          <t>62745761283917</t>
        </is>
      </c>
      <c r="B2132" s="1" t="inlineStr">
        <is>
          <t>CARTERA G GABRIEL</t>
        </is>
      </c>
      <c r="C2132" s="1" t="inlineStr">
        <is>
          <t>Default Title</t>
        </is>
      </c>
      <c r="D2132" s="1" t="inlineStr">
        <is>
          <t>31/05/2026</t>
        </is>
      </c>
      <c r="E2132" s="1" t="n">
        <v>2026</v>
      </c>
      <c r="F2132" s="1" t="inlineStr">
        <is>
          <t>MAYO</t>
        </is>
      </c>
      <c r="G2132" s="1" t="inlineStr">
        <is>
          <t>NANCY</t>
        </is>
      </c>
      <c r="H2132" s="1" t="inlineStr">
        <is>
          <t>NANCY 31/05/2026</t>
        </is>
      </c>
      <c r="I2132" s="4" t="n">
        <v>2</v>
      </c>
      <c r="J2132" s="6" t="n">
        <v>13.19</v>
      </c>
      <c r="K2132" s="6" t="n">
        <v>320.0895083</v>
      </c>
      <c r="L2132" s="6">
        <f>I2132*K2132</f>
        <v/>
      </c>
      <c r="M2132" s="6">
        <f>K2132*4</f>
        <v/>
      </c>
      <c r="N2132" s="6" t="n">
        <v>0</v>
      </c>
    </row>
    <row r="2133">
      <c r="A2133" s="1" t="inlineStr">
        <is>
          <t>62745761377133</t>
        </is>
      </c>
      <c r="B2133" s="1" t="inlineStr">
        <is>
          <t>CARTERA G GABRIEL GREEN</t>
        </is>
      </c>
      <c r="C2133" s="1" t="inlineStr">
        <is>
          <t>Default Title</t>
        </is>
      </c>
      <c r="D2133" s="1" t="inlineStr">
        <is>
          <t>31/05/2026</t>
        </is>
      </c>
      <c r="E2133" s="1" t="n">
        <v>2026</v>
      </c>
      <c r="F2133" s="1" t="inlineStr">
        <is>
          <t>MAYO</t>
        </is>
      </c>
      <c r="G2133" s="1" t="inlineStr">
        <is>
          <t>NANCY</t>
        </is>
      </c>
      <c r="H2133" s="1" t="inlineStr">
        <is>
          <t>NANCY 31/05/2026</t>
        </is>
      </c>
      <c r="I2133" s="4" t="n">
        <v>2</v>
      </c>
      <c r="J2133" s="6" t="n">
        <v>13.19</v>
      </c>
      <c r="K2133" s="6" t="n">
        <v>320.0895083</v>
      </c>
      <c r="L2133" s="6">
        <f>I2133*K2133</f>
        <v/>
      </c>
      <c r="M2133" s="6">
        <f>K2133*4</f>
        <v/>
      </c>
      <c r="N2133" s="6" t="n">
        <v>0</v>
      </c>
    </row>
    <row r="2134">
      <c r="A2134" s="1" t="inlineStr">
        <is>
          <t>62745761409901</t>
        </is>
      </c>
      <c r="B2134" s="1" t="inlineStr">
        <is>
          <t>CARTERA G GABRIEL GREY</t>
        </is>
      </c>
      <c r="C2134" s="1" t="inlineStr">
        <is>
          <t>Default Title</t>
        </is>
      </c>
      <c r="D2134" s="1" t="inlineStr">
        <is>
          <t>31/05/2026</t>
        </is>
      </c>
      <c r="E2134" s="1" t="n">
        <v>2026</v>
      </c>
      <c r="F2134" s="1" t="inlineStr">
        <is>
          <t>MAYO</t>
        </is>
      </c>
      <c r="G2134" s="1" t="inlineStr">
        <is>
          <t>NANCY</t>
        </is>
      </c>
      <c r="H2134" s="1" t="inlineStr">
        <is>
          <t>NANCY 31/05/2026</t>
        </is>
      </c>
      <c r="I2134" s="4" t="n">
        <v>2</v>
      </c>
      <c r="J2134" s="6" t="n">
        <v>13.19</v>
      </c>
      <c r="K2134" s="6" t="n">
        <v>320.0895083</v>
      </c>
      <c r="L2134" s="6">
        <f>I2134*K2134</f>
        <v/>
      </c>
      <c r="M2134" s="6">
        <f>K2134*4</f>
        <v/>
      </c>
      <c r="N2134" s="6" t="n">
        <v>0</v>
      </c>
    </row>
    <row r="2135">
      <c r="A2135" s="1" t="inlineStr">
        <is>
          <t>62745761513293</t>
        </is>
      </c>
      <c r="B2135" s="1" t="inlineStr">
        <is>
          <t>CARTERA G GABRIEL WHITE</t>
        </is>
      </c>
      <c r="C2135" s="1" t="inlineStr">
        <is>
          <t>Default Title</t>
        </is>
      </c>
      <c r="D2135" s="1" t="inlineStr">
        <is>
          <t>31/05/2026</t>
        </is>
      </c>
      <c r="E2135" s="1" t="n">
        <v>2026</v>
      </c>
      <c r="F2135" s="1" t="inlineStr">
        <is>
          <t>MAYO</t>
        </is>
      </c>
      <c r="G2135" s="1" t="inlineStr">
        <is>
          <t>NANCY</t>
        </is>
      </c>
      <c r="H2135" s="1" t="inlineStr">
        <is>
          <t>NANCY 31/05/2026</t>
        </is>
      </c>
      <c r="I2135" s="4" t="n">
        <v>2</v>
      </c>
      <c r="J2135" s="6" t="n">
        <v>13.19</v>
      </c>
      <c r="K2135" s="6" t="n">
        <v>320.0895083</v>
      </c>
      <c r="L2135" s="6">
        <f>I2135*K2135</f>
        <v/>
      </c>
      <c r="M2135" s="6">
        <f>K2135*4</f>
        <v/>
      </c>
      <c r="N2135" s="6" t="n">
        <v>0</v>
      </c>
    </row>
    <row r="2136">
      <c r="A2136" s="1" t="inlineStr">
        <is>
          <t>62745761639277</t>
        </is>
      </c>
      <c r="B2136" s="1" t="inlineStr">
        <is>
          <t>CARTERA G MATIGNON</t>
        </is>
      </c>
      <c r="C2136" s="1" t="inlineStr">
        <is>
          <t>Default Title</t>
        </is>
      </c>
      <c r="D2136" s="1" t="inlineStr">
        <is>
          <t>31/05/2026</t>
        </is>
      </c>
      <c r="E2136" s="1" t="n">
        <v>2026</v>
      </c>
      <c r="F2136" s="1" t="inlineStr">
        <is>
          <t>MAYO</t>
        </is>
      </c>
      <c r="G2136" s="1" t="inlineStr">
        <is>
          <t>NANCY</t>
        </is>
      </c>
      <c r="H2136" s="1" t="inlineStr">
        <is>
          <t>NANCY 31/05/2026</t>
        </is>
      </c>
      <c r="I2136" s="4" t="n">
        <v>2</v>
      </c>
      <c r="J2136" s="6" t="n">
        <v>22.59</v>
      </c>
      <c r="K2136" s="6" t="n">
        <v>548.2048515</v>
      </c>
      <c r="L2136" s="6">
        <f>I2136*K2136</f>
        <v/>
      </c>
      <c r="M2136" s="6">
        <f>K2136*4</f>
        <v/>
      </c>
      <c r="N2136" s="6" t="n">
        <v>0</v>
      </c>
    </row>
    <row r="2137">
      <c r="A2137" s="1" t="inlineStr">
        <is>
          <t>62745761737581</t>
        </is>
      </c>
      <c r="B2137" s="1" t="inlineStr">
        <is>
          <t>CARTERA G MATIGNON GREEN</t>
        </is>
      </c>
      <c r="C2137" s="1" t="inlineStr">
        <is>
          <t>Default Title</t>
        </is>
      </c>
      <c r="D2137" s="1" t="inlineStr">
        <is>
          <t>31/05/2026</t>
        </is>
      </c>
      <c r="E2137" s="1" t="n">
        <v>2026</v>
      </c>
      <c r="F2137" s="1" t="inlineStr">
        <is>
          <t>MAYO</t>
        </is>
      </c>
      <c r="G2137" s="1" t="inlineStr">
        <is>
          <t>NANCY</t>
        </is>
      </c>
      <c r="H2137" s="1" t="inlineStr">
        <is>
          <t>NANCY 31/05/2026</t>
        </is>
      </c>
      <c r="I2137" s="4" t="n">
        <v>1</v>
      </c>
      <c r="J2137" s="6" t="n">
        <v>22.59</v>
      </c>
      <c r="K2137" s="6" t="n">
        <v>548.2048515</v>
      </c>
      <c r="L2137" s="6">
        <f>I2137*K2137</f>
        <v/>
      </c>
      <c r="M2137" s="6">
        <f>K2137*4</f>
        <v/>
      </c>
      <c r="N2137" s="6" t="n">
        <v>0</v>
      </c>
    </row>
    <row r="2138">
      <c r="A2138" s="1" t="inlineStr">
        <is>
          <t>62745761872045</t>
        </is>
      </c>
      <c r="B2138" s="1" t="inlineStr">
        <is>
          <t>CARTERA G MATIGNON WHITE</t>
        </is>
      </c>
      <c r="C2138" s="1" t="inlineStr">
        <is>
          <t>Default Title</t>
        </is>
      </c>
      <c r="D2138" s="1" t="inlineStr">
        <is>
          <t>31/05/2026</t>
        </is>
      </c>
      <c r="E2138" s="1" t="n">
        <v>2026</v>
      </c>
      <c r="F2138" s="1" t="inlineStr">
        <is>
          <t>MAYO</t>
        </is>
      </c>
      <c r="G2138" s="1" t="inlineStr">
        <is>
          <t>NANCY</t>
        </is>
      </c>
      <c r="H2138" s="1" t="inlineStr">
        <is>
          <t>NANCY 31/05/2026</t>
        </is>
      </c>
      <c r="I2138" s="4" t="n">
        <v>2</v>
      </c>
      <c r="J2138" s="6" t="n">
        <v>22.59</v>
      </c>
      <c r="K2138" s="6" t="n">
        <v>548.2048515</v>
      </c>
      <c r="L2138" s="6">
        <f>I2138*K2138</f>
        <v/>
      </c>
      <c r="M2138" s="6">
        <f>K2138*4</f>
        <v/>
      </c>
      <c r="N2138" s="6" t="n">
        <v>0</v>
      </c>
    </row>
    <row r="2139">
      <c r="A2139" s="1" t="inlineStr">
        <is>
          <t>62745761965261</t>
        </is>
      </c>
      <c r="B2139" s="1" t="inlineStr">
        <is>
          <t>ANILLO LOVE GOLD CON MICROZIRCONIAS Y ZIRCONIAS</t>
        </is>
      </c>
      <c r="C2139" s="1" t="n">
        <v>6</v>
      </c>
      <c r="D2139" s="1" t="inlineStr">
        <is>
          <t>31/05/2026</t>
        </is>
      </c>
      <c r="E2139" s="1" t="n">
        <v>2026</v>
      </c>
      <c r="F2139" s="1" t="inlineStr">
        <is>
          <t>MAYO</t>
        </is>
      </c>
      <c r="G2139" s="1" t="inlineStr">
        <is>
          <t>NANCY</t>
        </is>
      </c>
      <c r="H2139" s="1" t="inlineStr">
        <is>
          <t>NANCY 31/05/2026</t>
        </is>
      </c>
      <c r="I2139" s="4" t="n">
        <v>3</v>
      </c>
      <c r="J2139" s="6" t="n">
        <v>5.99</v>
      </c>
      <c r="K2139" s="6" t="n">
        <v>145.3628624</v>
      </c>
      <c r="L2139" s="6">
        <f>I2139*K2139</f>
        <v/>
      </c>
      <c r="M2139" s="6">
        <f>K2139*4</f>
        <v/>
      </c>
      <c r="N2139" s="6" t="n">
        <v>0</v>
      </c>
    </row>
    <row r="2140">
      <c r="A2140" s="1" t="inlineStr">
        <is>
          <t>62745762098029</t>
        </is>
      </c>
      <c r="B2140" s="1" t="inlineStr">
        <is>
          <t>ANILLO LOVE GOLD CON MICROZIRCONIAS Y ZIRCONIAS</t>
        </is>
      </c>
      <c r="C2140" s="1" t="n">
        <v>7</v>
      </c>
      <c r="D2140" s="1" t="inlineStr">
        <is>
          <t>31/05/2026</t>
        </is>
      </c>
      <c r="E2140" s="1" t="n">
        <v>2026</v>
      </c>
      <c r="F2140" s="1" t="inlineStr">
        <is>
          <t>MAYO</t>
        </is>
      </c>
      <c r="G2140" s="1" t="inlineStr">
        <is>
          <t>NANCY</t>
        </is>
      </c>
      <c r="H2140" s="1" t="inlineStr">
        <is>
          <t>NANCY 31/05/2026</t>
        </is>
      </c>
      <c r="I2140" s="4" t="n">
        <v>3</v>
      </c>
      <c r="J2140" s="6" t="n">
        <v>5.99</v>
      </c>
      <c r="K2140" s="6" t="n">
        <v>145.3628624</v>
      </c>
      <c r="L2140" s="6">
        <f>I2140*K2140</f>
        <v/>
      </c>
      <c r="M2140" s="6">
        <f>K2140*4</f>
        <v/>
      </c>
      <c r="N2140" s="6" t="n">
        <v>0</v>
      </c>
    </row>
    <row r="2141">
      <c r="A2141" s="1" t="inlineStr">
        <is>
          <t>62745762125709</t>
        </is>
      </c>
      <c r="B2141" s="1" t="inlineStr">
        <is>
          <t>ANILLO LOVE ROSE GOLD CON MICROZIRCONIAS Y ZIRCONIAS</t>
        </is>
      </c>
      <c r="C2141" s="1" t="n">
        <v>6</v>
      </c>
      <c r="D2141" s="1" t="inlineStr">
        <is>
          <t>31/05/2026</t>
        </is>
      </c>
      <c r="E2141" s="1" t="n">
        <v>2026</v>
      </c>
      <c r="F2141" s="1" t="inlineStr">
        <is>
          <t>MAYO</t>
        </is>
      </c>
      <c r="G2141" s="1" t="inlineStr">
        <is>
          <t>NANCY</t>
        </is>
      </c>
      <c r="H2141" s="1" t="inlineStr">
        <is>
          <t>NANCY 31/05/2026</t>
        </is>
      </c>
      <c r="I2141" s="4" t="n">
        <v>3</v>
      </c>
      <c r="J2141" s="6" t="n">
        <v>5.99</v>
      </c>
      <c r="K2141" s="6" t="n">
        <v>145.3628624</v>
      </c>
      <c r="L2141" s="6">
        <f>I2141*K2141</f>
        <v/>
      </c>
      <c r="M2141" s="6">
        <f>K2141*4</f>
        <v/>
      </c>
      <c r="N2141" s="6" t="n">
        <v>0</v>
      </c>
    </row>
    <row r="2142">
      <c r="A2142" s="1" t="inlineStr">
        <is>
          <t>62745762258477</t>
        </is>
      </c>
      <c r="B2142" s="1" t="inlineStr">
        <is>
          <t>ANILLO LOVE ROSE GOLD CON MICROZIRCONIAS Y ZIRCONIAS</t>
        </is>
      </c>
      <c r="C2142" s="1" t="n">
        <v>7</v>
      </c>
      <c r="D2142" s="1" t="inlineStr">
        <is>
          <t>31/05/2026</t>
        </is>
      </c>
      <c r="E2142" s="1" t="n">
        <v>2026</v>
      </c>
      <c r="F2142" s="1" t="inlineStr">
        <is>
          <t>MAYO</t>
        </is>
      </c>
      <c r="G2142" s="1" t="inlineStr">
        <is>
          <t>NANCY</t>
        </is>
      </c>
      <c r="H2142" s="1" t="inlineStr">
        <is>
          <t>NANCY 31/05/2026</t>
        </is>
      </c>
      <c r="I2142" s="4" t="n">
        <v>3</v>
      </c>
      <c r="J2142" s="6" t="n">
        <v>5.99</v>
      </c>
      <c r="K2142" s="6" t="n">
        <v>145.3628624</v>
      </c>
      <c r="L2142" s="6">
        <f>I2142*K2142</f>
        <v/>
      </c>
      <c r="M2142" s="6">
        <f>K2142*4</f>
        <v/>
      </c>
      <c r="N2142" s="6" t="n">
        <v>0</v>
      </c>
    </row>
    <row r="2143">
      <c r="A2143" s="1" t="inlineStr">
        <is>
          <t>62745762329101</t>
        </is>
      </c>
      <c r="B2143" s="1" t="inlineStr">
        <is>
          <t>ANILLO LOVE SILVER CON MICROZIRCONIAS Y ZIRCONIAS</t>
        </is>
      </c>
      <c r="C2143" s="1" t="n">
        <v>6</v>
      </c>
      <c r="D2143" s="1" t="inlineStr">
        <is>
          <t>31/05/2026</t>
        </is>
      </c>
      <c r="E2143" s="1" t="n">
        <v>2026</v>
      </c>
      <c r="F2143" s="1" t="inlineStr">
        <is>
          <t>MAYO</t>
        </is>
      </c>
      <c r="G2143" s="1" t="inlineStr">
        <is>
          <t>NANCY</t>
        </is>
      </c>
      <c r="H2143" s="1" t="inlineStr">
        <is>
          <t>NANCY 31/05/2026</t>
        </is>
      </c>
      <c r="I2143" s="4" t="n">
        <v>3</v>
      </c>
      <c r="J2143" s="6" t="n">
        <v>5.99</v>
      </c>
      <c r="K2143" s="6" t="n">
        <v>145.3628624</v>
      </c>
      <c r="L2143" s="6">
        <f>I2143*K2143</f>
        <v/>
      </c>
      <c r="M2143" s="6">
        <f>K2143*4</f>
        <v/>
      </c>
      <c r="N2143" s="6" t="n">
        <v>0</v>
      </c>
    </row>
    <row r="2144">
      <c r="A2144" s="1" t="inlineStr">
        <is>
          <t>62745762461869</t>
        </is>
      </c>
      <c r="B2144" s="1" t="inlineStr">
        <is>
          <t>ANILLO LOVE SILVER CON MICROZIRCONIAS Y ZIRCONIAS</t>
        </is>
      </c>
      <c r="C2144" s="1" t="n">
        <v>7</v>
      </c>
      <c r="D2144" s="1" t="inlineStr">
        <is>
          <t>31/05/2026</t>
        </is>
      </c>
      <c r="E2144" s="1" t="n">
        <v>2026</v>
      </c>
      <c r="F2144" s="1" t="inlineStr">
        <is>
          <t>MAYO</t>
        </is>
      </c>
      <c r="G2144" s="1" t="inlineStr">
        <is>
          <t>NANCY</t>
        </is>
      </c>
      <c r="H2144" s="1" t="inlineStr">
        <is>
          <t>NANCY 31/05/2026</t>
        </is>
      </c>
      <c r="I2144" s="4" t="n">
        <v>3</v>
      </c>
      <c r="J2144" s="6" t="n">
        <v>5.99</v>
      </c>
      <c r="K2144" s="6" t="n">
        <v>145.3628624</v>
      </c>
      <c r="L2144" s="6">
        <f>I2144*K2144</f>
        <v/>
      </c>
      <c r="M2144" s="6">
        <f>K2144*4</f>
        <v/>
      </c>
      <c r="N2144" s="6" t="n">
        <v>0</v>
      </c>
    </row>
    <row r="2145">
      <c r="A2145" s="1" t="inlineStr">
        <is>
          <t>62745762555085</t>
        </is>
      </c>
      <c r="B2145" s="1" t="inlineStr">
        <is>
          <t>ANILLO LOVE ROSE GOLD CON MICROZIRCONIAS</t>
        </is>
      </c>
      <c r="C2145" s="1" t="n">
        <v>6</v>
      </c>
      <c r="D2145" s="1" t="inlineStr">
        <is>
          <t>31/05/2026</t>
        </is>
      </c>
      <c r="E2145" s="1" t="n">
        <v>2026</v>
      </c>
      <c r="F2145" s="1" t="inlineStr">
        <is>
          <t>MAYO</t>
        </is>
      </c>
      <c r="G2145" s="1" t="inlineStr">
        <is>
          <t>NANCY</t>
        </is>
      </c>
      <c r="H2145" s="1" t="inlineStr">
        <is>
          <t>NANCY 31/05/2026</t>
        </is>
      </c>
      <c r="I2145" s="4" t="n">
        <v>3</v>
      </c>
      <c r="J2145" s="6" t="n">
        <v>5.39</v>
      </c>
      <c r="K2145" s="6" t="n">
        <v>130.8023085</v>
      </c>
      <c r="L2145" s="6">
        <f>I2145*K2145</f>
        <v/>
      </c>
      <c r="M2145" s="6">
        <f>K2145*4</f>
        <v/>
      </c>
      <c r="N2145" s="6" t="n">
        <v>0</v>
      </c>
    </row>
    <row r="2146">
      <c r="A2146" s="1" t="inlineStr">
        <is>
          <t>62745762687853</t>
        </is>
      </c>
      <c r="B2146" s="1" t="inlineStr">
        <is>
          <t>ANILLO LOVE ROSE GOLD CON MICROZIRCONIAS</t>
        </is>
      </c>
      <c r="C2146" s="1" t="n">
        <v>7</v>
      </c>
      <c r="D2146" s="1" t="inlineStr">
        <is>
          <t>31/05/2026</t>
        </is>
      </c>
      <c r="E2146" s="1" t="n">
        <v>2026</v>
      </c>
      <c r="F2146" s="1" t="inlineStr">
        <is>
          <t>MAYO</t>
        </is>
      </c>
      <c r="G2146" s="1" t="inlineStr">
        <is>
          <t>NANCY</t>
        </is>
      </c>
      <c r="H2146" s="1" t="inlineStr">
        <is>
          <t>NANCY 31/05/2026</t>
        </is>
      </c>
      <c r="I2146" s="4" t="n">
        <v>3</v>
      </c>
      <c r="J2146" s="6" t="n">
        <v>5.39</v>
      </c>
      <c r="K2146" s="6" t="n">
        <v>130.8023085</v>
      </c>
      <c r="L2146" s="6">
        <f>I2146*K2146</f>
        <v/>
      </c>
      <c r="M2146" s="6">
        <f>K2146*4</f>
        <v/>
      </c>
      <c r="N2146" s="6" t="n">
        <v>0</v>
      </c>
    </row>
    <row r="2147">
      <c r="A2147" s="1" t="inlineStr">
        <is>
          <t>62745762751693</t>
        </is>
      </c>
      <c r="B2147" s="1" t="inlineStr">
        <is>
          <t>PULSERA LOVE GOLD CON MICROZIRCONIAS Y ZIRCONIAS</t>
        </is>
      </c>
      <c r="C2147" s="1" t="inlineStr">
        <is>
          <t>17CM</t>
        </is>
      </c>
      <c r="D2147" s="1" t="inlineStr">
        <is>
          <t>31/05/2026</t>
        </is>
      </c>
      <c r="E2147" s="1" t="n">
        <v>2026</v>
      </c>
      <c r="F2147" s="1" t="inlineStr">
        <is>
          <t>MAYO</t>
        </is>
      </c>
      <c r="G2147" s="1" t="inlineStr">
        <is>
          <t>NANCY</t>
        </is>
      </c>
      <c r="H2147" s="1" t="inlineStr">
        <is>
          <t>NANCY 31/05/2026</t>
        </is>
      </c>
      <c r="I2147" s="4" t="n">
        <v>3</v>
      </c>
      <c r="J2147" s="6" t="n">
        <v>15.99</v>
      </c>
      <c r="K2147" s="6" t="n">
        <v>388.0387595</v>
      </c>
      <c r="L2147" s="6">
        <f>I2147*K2147</f>
        <v/>
      </c>
      <c r="M2147" s="6">
        <f>K2147*4</f>
        <v/>
      </c>
      <c r="N2147" s="6" t="n">
        <v>0</v>
      </c>
    </row>
    <row r="2148">
      <c r="A2148" s="1" t="inlineStr">
        <is>
          <t>62745762884461</t>
        </is>
      </c>
      <c r="B2148" s="1" t="inlineStr">
        <is>
          <t>PULSERA LOVE GOLD CON MICROZIRCONIAS Y ZIRCONIAS</t>
        </is>
      </c>
      <c r="C2148" s="1" t="inlineStr">
        <is>
          <t>19CM</t>
        </is>
      </c>
      <c r="D2148" s="1" t="inlineStr">
        <is>
          <t>31/05/2026</t>
        </is>
      </c>
      <c r="E2148" s="1" t="n">
        <v>2026</v>
      </c>
      <c r="F2148" s="1" t="inlineStr">
        <is>
          <t>MAYO</t>
        </is>
      </c>
      <c r="G2148" s="1" t="inlineStr">
        <is>
          <t>NANCY</t>
        </is>
      </c>
      <c r="H2148" s="1" t="inlineStr">
        <is>
          <t>NANCY 31/05/2026</t>
        </is>
      </c>
      <c r="I2148" s="4" t="n">
        <v>3</v>
      </c>
      <c r="J2148" s="6" t="n">
        <v>15.99</v>
      </c>
      <c r="K2148" s="6" t="n">
        <v>388.0387595</v>
      </c>
      <c r="L2148" s="6">
        <f>I2148*K2148</f>
        <v/>
      </c>
      <c r="M2148" s="6">
        <f>K2148*4</f>
        <v/>
      </c>
      <c r="N2148" s="6" t="n">
        <v>0</v>
      </c>
    </row>
    <row r="2149">
      <c r="A2149" s="1" t="inlineStr">
        <is>
          <t>62745762948301</t>
        </is>
      </c>
      <c r="B2149" s="1" t="inlineStr">
        <is>
          <t>PULSERA LOVE SILVER CON MICROZIRCONIAS Y ZIRCONIAS</t>
        </is>
      </c>
      <c r="C2149" s="1" t="inlineStr">
        <is>
          <t>17CM</t>
        </is>
      </c>
      <c r="D2149" s="1" t="inlineStr">
        <is>
          <t>31/05/2026</t>
        </is>
      </c>
      <c r="E2149" s="1" t="n">
        <v>2026</v>
      </c>
      <c r="F2149" s="1" t="inlineStr">
        <is>
          <t>MAYO</t>
        </is>
      </c>
      <c r="G2149" s="1" t="inlineStr">
        <is>
          <t>NANCY</t>
        </is>
      </c>
      <c r="H2149" s="1" t="inlineStr">
        <is>
          <t>NANCY 31/05/2026</t>
        </is>
      </c>
      <c r="I2149" s="4" t="n">
        <v>3</v>
      </c>
      <c r="J2149" s="6" t="n">
        <v>15.99</v>
      </c>
      <c r="K2149" s="6" t="n">
        <v>388.0387595</v>
      </c>
      <c r="L2149" s="6">
        <f>I2149*K2149</f>
        <v/>
      </c>
      <c r="M2149" s="6">
        <f>K2149*4</f>
        <v/>
      </c>
      <c r="N2149" s="6" t="n">
        <v>0</v>
      </c>
    </row>
    <row r="2150">
      <c r="A2150" s="1" t="inlineStr">
        <is>
          <t>62745763081069</t>
        </is>
      </c>
      <c r="B2150" s="1" t="inlineStr">
        <is>
          <t>PULSERA LOVE SILVER CON MICROZIRCONIAS Y ZIRCONIAS</t>
        </is>
      </c>
      <c r="C2150" s="1" t="inlineStr">
        <is>
          <t>19CM</t>
        </is>
      </c>
      <c r="D2150" s="1" t="inlineStr">
        <is>
          <t>31/05/2026</t>
        </is>
      </c>
      <c r="E2150" s="1" t="n">
        <v>2026</v>
      </c>
      <c r="F2150" s="1" t="inlineStr">
        <is>
          <t>MAYO</t>
        </is>
      </c>
      <c r="G2150" s="1" t="inlineStr">
        <is>
          <t>NANCY</t>
        </is>
      </c>
      <c r="H2150" s="1" t="inlineStr">
        <is>
          <t>NANCY 31/05/2026</t>
        </is>
      </c>
      <c r="I2150" s="4" t="n">
        <v>3</v>
      </c>
      <c r="J2150" s="6" t="n">
        <v>15.99</v>
      </c>
      <c r="K2150" s="6" t="n">
        <v>388.0387595</v>
      </c>
      <c r="L2150" s="6">
        <f>I2150*K2150</f>
        <v/>
      </c>
      <c r="M2150" s="6">
        <f>K2150*4</f>
        <v/>
      </c>
      <c r="N2150" s="6" t="n">
        <v>0</v>
      </c>
    </row>
    <row r="2151">
      <c r="A2151" s="1" t="inlineStr">
        <is>
          <t>62745763146605</t>
        </is>
      </c>
      <c r="B2151" s="1" t="inlineStr">
        <is>
          <t>PULSERA C CLAVO SILVER FULL DIAMOND</t>
        </is>
      </c>
      <c r="C2151" s="1" t="inlineStr">
        <is>
          <t>Default Title</t>
        </is>
      </c>
      <c r="D2151" s="1" t="inlineStr">
        <is>
          <t>31/05/2026</t>
        </is>
      </c>
      <c r="E2151" s="1" t="n">
        <v>2026</v>
      </c>
      <c r="F2151" s="1" t="inlineStr">
        <is>
          <t>MAYO</t>
        </is>
      </c>
      <c r="G2151" s="1" t="inlineStr">
        <is>
          <t>NANCY</t>
        </is>
      </c>
      <c r="H2151" s="1" t="inlineStr">
        <is>
          <t>NANCY 31/05/2026</t>
        </is>
      </c>
      <c r="I2151" s="4" t="n">
        <v>2</v>
      </c>
      <c r="J2151" s="6" t="n">
        <v>13.19</v>
      </c>
      <c r="K2151" s="6" t="n">
        <v>320.0895083</v>
      </c>
      <c r="L2151" s="6">
        <f>I2151*K2151</f>
        <v/>
      </c>
      <c r="M2151" s="6">
        <f>K2151*4</f>
        <v/>
      </c>
      <c r="N2151" s="6" t="n">
        <v>0</v>
      </c>
    </row>
    <row r="2152">
      <c r="A2152" s="1" t="inlineStr">
        <is>
          <t>62745763277677</t>
        </is>
      </c>
      <c r="B2152" s="1" t="inlineStr">
        <is>
          <t>ANILLO C CLASH ONYX</t>
        </is>
      </c>
      <c r="C2152" s="1" t="n">
        <v>6</v>
      </c>
      <c r="D2152" s="1" t="inlineStr">
        <is>
          <t>31/05/2026</t>
        </is>
      </c>
      <c r="E2152" s="1" t="n">
        <v>2026</v>
      </c>
      <c r="F2152" s="1" t="inlineStr">
        <is>
          <t>MAYO</t>
        </is>
      </c>
      <c r="G2152" s="1" t="inlineStr">
        <is>
          <t>NANCY</t>
        </is>
      </c>
      <c r="H2152" s="1" t="inlineStr">
        <is>
          <t>NANCY 31/05/2026</t>
        </is>
      </c>
      <c r="I2152" s="4" t="n">
        <v>2</v>
      </c>
      <c r="J2152" s="6" t="n">
        <v>10.89</v>
      </c>
      <c r="K2152" s="6" t="n">
        <v>264.2740519</v>
      </c>
      <c r="L2152" s="6">
        <f>I2152*K2152</f>
        <v/>
      </c>
      <c r="M2152" s="6">
        <f>K2152*4</f>
        <v/>
      </c>
      <c r="N2152" s="6" t="n">
        <v>0</v>
      </c>
    </row>
    <row r="2153">
      <c r="A2153" s="1" t="inlineStr">
        <is>
          <t>62745763310445</t>
        </is>
      </c>
      <c r="B2153" s="1" t="inlineStr">
        <is>
          <t>ANILLO C CLASH ONYX</t>
        </is>
      </c>
      <c r="C2153" s="1" t="n">
        <v>7</v>
      </c>
      <c r="D2153" s="1" t="inlineStr">
        <is>
          <t>31/05/2026</t>
        </is>
      </c>
      <c r="E2153" s="1" t="n">
        <v>2026</v>
      </c>
      <c r="F2153" s="1" t="inlineStr">
        <is>
          <t>MAYO</t>
        </is>
      </c>
      <c r="G2153" s="1" t="inlineStr">
        <is>
          <t>NANCY</t>
        </is>
      </c>
      <c r="H2153" s="1" t="inlineStr">
        <is>
          <t>NANCY 31/05/2026</t>
        </is>
      </c>
      <c r="I2153" s="4" t="n">
        <v>2</v>
      </c>
      <c r="J2153" s="6" t="n">
        <v>10.89</v>
      </c>
      <c r="K2153" s="6" t="n">
        <v>264.2740519</v>
      </c>
      <c r="L2153" s="6">
        <f>I2153*K2153</f>
        <v/>
      </c>
      <c r="M2153" s="6">
        <f>K2153*4</f>
        <v/>
      </c>
      <c r="N2153" s="6" t="n">
        <v>0</v>
      </c>
    </row>
    <row r="2154">
      <c r="A2154" s="1" t="inlineStr">
        <is>
          <t>62745763441517</t>
        </is>
      </c>
      <c r="B2154" s="1" t="inlineStr">
        <is>
          <t>ARETES C CLASH ONYX</t>
        </is>
      </c>
      <c r="C2154" s="1" t="inlineStr">
        <is>
          <t>Default Title</t>
        </is>
      </c>
      <c r="D2154" s="1" t="inlineStr">
        <is>
          <t>31/05/2026</t>
        </is>
      </c>
      <c r="E2154" s="1" t="n">
        <v>2026</v>
      </c>
      <c r="F2154" s="1" t="inlineStr">
        <is>
          <t>MAYO</t>
        </is>
      </c>
      <c r="G2154" s="1" t="inlineStr">
        <is>
          <t>NANCY</t>
        </is>
      </c>
      <c r="H2154" s="1" t="inlineStr">
        <is>
          <t>NANCY 31/05/2026</t>
        </is>
      </c>
      <c r="I2154" s="4" t="n">
        <v>2</v>
      </c>
      <c r="J2154" s="6" t="n">
        <v>14.39</v>
      </c>
      <c r="K2154" s="6" t="n">
        <v>349.2106159</v>
      </c>
      <c r="L2154" s="6">
        <f>I2154*K2154</f>
        <v/>
      </c>
      <c r="M2154" s="6">
        <f>K2154*4</f>
        <v/>
      </c>
      <c r="N2154" s="6" t="n">
        <v>0</v>
      </c>
    </row>
    <row r="2155">
      <c r="A2155" s="1" t="inlineStr">
        <is>
          <t>62745763507053</t>
        </is>
      </c>
      <c r="B2155" s="1" t="inlineStr">
        <is>
          <t>ARETES C CLASH ROSEGOLD TRIPLE</t>
        </is>
      </c>
      <c r="C2155" s="1" t="inlineStr">
        <is>
          <t>Default Title</t>
        </is>
      </c>
      <c r="D2155" s="1" t="inlineStr">
        <is>
          <t>31/05/2026</t>
        </is>
      </c>
      <c r="E2155" s="1" t="n">
        <v>2026</v>
      </c>
      <c r="F2155" s="1" t="inlineStr">
        <is>
          <t>MAYO</t>
        </is>
      </c>
      <c r="G2155" s="1" t="inlineStr">
        <is>
          <t>NANCY</t>
        </is>
      </c>
      <c r="H2155" s="1" t="inlineStr">
        <is>
          <t>NANCY 31/05/2026</t>
        </is>
      </c>
      <c r="I2155" s="4" t="n">
        <v>2</v>
      </c>
      <c r="J2155" s="6" t="n">
        <v>14.39</v>
      </c>
      <c r="K2155" s="6" t="n">
        <v>349.2106159</v>
      </c>
      <c r="L2155" s="6">
        <f>I2155*K2155</f>
        <v/>
      </c>
      <c r="M2155" s="6">
        <f>K2155*4</f>
        <v/>
      </c>
      <c r="N2155" s="6" t="n">
        <v>0</v>
      </c>
    </row>
    <row r="2156">
      <c r="A2156" s="1" t="inlineStr">
        <is>
          <t>62745763603661</t>
        </is>
      </c>
      <c r="B2156" s="1" t="inlineStr">
        <is>
          <t>COLLAR T LOCK ALL ZIRCONIAS GOLD</t>
        </is>
      </c>
      <c r="C2156" s="1" t="inlineStr">
        <is>
          <t>Default Title</t>
        </is>
      </c>
      <c r="D2156" s="1" t="inlineStr">
        <is>
          <t>31/05/2026</t>
        </is>
      </c>
      <c r="E2156" s="1" t="n">
        <v>2026</v>
      </c>
      <c r="F2156" s="1" t="inlineStr">
        <is>
          <t>MAYO</t>
        </is>
      </c>
      <c r="G2156" s="1" t="inlineStr">
        <is>
          <t>NANCY</t>
        </is>
      </c>
      <c r="H2156" s="1" t="inlineStr">
        <is>
          <t>NANCY 31/05/2026</t>
        </is>
      </c>
      <c r="I2156" s="4" t="n">
        <v>2</v>
      </c>
      <c r="J2156" s="6" t="n">
        <v>8.59</v>
      </c>
      <c r="K2156" s="6" t="n">
        <v>208.4585956</v>
      </c>
      <c r="L2156" s="6">
        <f>I2156*K2156</f>
        <v/>
      </c>
      <c r="M2156" s="6">
        <f>K2156*4</f>
        <v/>
      </c>
      <c r="N2156" s="6" t="n">
        <v>0</v>
      </c>
    </row>
    <row r="2157">
      <c r="A2157" s="1" t="inlineStr">
        <is>
          <t>62745763733037</t>
        </is>
      </c>
      <c r="B2157" s="1" t="inlineStr">
        <is>
          <t>COLLAR T LOCK GOLD</t>
        </is>
      </c>
      <c r="C2157" s="1" t="inlineStr">
        <is>
          <t>Default Title</t>
        </is>
      </c>
      <c r="D2157" s="1" t="inlineStr">
        <is>
          <t>31/05/2026</t>
        </is>
      </c>
      <c r="E2157" s="1" t="n">
        <v>2026</v>
      </c>
      <c r="F2157" s="1" t="inlineStr">
        <is>
          <t>MAYO</t>
        </is>
      </c>
      <c r="G2157" s="1" t="inlineStr">
        <is>
          <t>NANCY</t>
        </is>
      </c>
      <c r="H2157" s="1" t="inlineStr">
        <is>
          <t>NANCY 31/05/2026</t>
        </is>
      </c>
      <c r="I2157" s="4" t="n">
        <v>2</v>
      </c>
      <c r="J2157" s="6" t="n">
        <v>7.59</v>
      </c>
      <c r="K2157" s="6" t="n">
        <v>184.1910059</v>
      </c>
      <c r="L2157" s="6">
        <f>I2157*K2157</f>
        <v/>
      </c>
      <c r="M2157" s="6">
        <f>K2157*4</f>
        <v/>
      </c>
      <c r="N2157" s="6" t="n">
        <v>0</v>
      </c>
    </row>
    <row r="2158">
      <c r="A2158" s="1" t="inlineStr">
        <is>
          <t>62745763822861</t>
        </is>
      </c>
      <c r="B2158" s="1" t="inlineStr">
        <is>
          <t>COLLAR T LOCK ROSE GOLD</t>
        </is>
      </c>
      <c r="C2158" s="1" t="inlineStr">
        <is>
          <t>Default Title</t>
        </is>
      </c>
      <c r="D2158" s="1" t="inlineStr">
        <is>
          <t>31/05/2026</t>
        </is>
      </c>
      <c r="E2158" s="1" t="n">
        <v>2026</v>
      </c>
      <c r="F2158" s="1" t="inlineStr">
        <is>
          <t>MAYO</t>
        </is>
      </c>
      <c r="G2158" s="1" t="inlineStr">
        <is>
          <t>NANCY</t>
        </is>
      </c>
      <c r="H2158" s="1" t="inlineStr">
        <is>
          <t>NANCY 31/05/2026</t>
        </is>
      </c>
      <c r="I2158" s="4" t="n">
        <v>2</v>
      </c>
      <c r="J2158" s="6" t="n">
        <v>7.59</v>
      </c>
      <c r="K2158" s="6" t="n">
        <v>184.1910059</v>
      </c>
      <c r="L2158" s="6">
        <f>I2158*K2158</f>
        <v/>
      </c>
      <c r="M2158" s="6">
        <f>K2158*4</f>
        <v/>
      </c>
      <c r="N2158" s="6" t="n">
        <v>0</v>
      </c>
    </row>
    <row r="2159">
      <c r="A2159" s="1" t="inlineStr">
        <is>
          <t>62745763998573</t>
        </is>
      </c>
      <c r="B2159" s="1" t="inlineStr">
        <is>
          <t>COLLAR T SMILE ZIRCONIAS GOLD</t>
        </is>
      </c>
      <c r="C2159" s="1" t="inlineStr">
        <is>
          <t>Default Title</t>
        </is>
      </c>
      <c r="D2159" s="1" t="inlineStr">
        <is>
          <t>31/05/2026</t>
        </is>
      </c>
      <c r="E2159" s="1" t="n">
        <v>2026</v>
      </c>
      <c r="F2159" s="1" t="inlineStr">
        <is>
          <t>MAYO</t>
        </is>
      </c>
      <c r="G2159" s="1" t="inlineStr">
        <is>
          <t>NANCY</t>
        </is>
      </c>
      <c r="H2159" s="1" t="inlineStr">
        <is>
          <t>NANCY 31/05/2026</t>
        </is>
      </c>
      <c r="I2159" s="4" t="n">
        <v>2</v>
      </c>
      <c r="J2159" s="6" t="n">
        <v>7.19</v>
      </c>
      <c r="K2159" s="6" t="n">
        <v>174.48397</v>
      </c>
      <c r="L2159" s="6">
        <f>I2159*K2159</f>
        <v/>
      </c>
      <c r="M2159" s="6">
        <f>K2159*4</f>
        <v/>
      </c>
      <c r="N2159" s="6" t="n">
        <v>0</v>
      </c>
    </row>
    <row r="2160">
      <c r="A2160" s="1" t="inlineStr">
        <is>
          <t>62745764027949</t>
        </is>
      </c>
      <c r="B2160" s="1" t="inlineStr">
        <is>
          <t>COLLAR T SMILE ZIRCONIAS ROSE GOLD</t>
        </is>
      </c>
      <c r="C2160" s="1" t="inlineStr">
        <is>
          <t>Default Title</t>
        </is>
      </c>
      <c r="D2160" s="1" t="inlineStr">
        <is>
          <t>31/05/2026</t>
        </is>
      </c>
      <c r="E2160" s="1" t="n">
        <v>2026</v>
      </c>
      <c r="F2160" s="1" t="inlineStr">
        <is>
          <t>MAYO</t>
        </is>
      </c>
      <c r="G2160" s="1" t="inlineStr">
        <is>
          <t>NANCY</t>
        </is>
      </c>
      <c r="H2160" s="1" t="inlineStr">
        <is>
          <t>NANCY 31/05/2026</t>
        </is>
      </c>
      <c r="I2160" s="4" t="n">
        <v>2</v>
      </c>
      <c r="J2160" s="6" t="n">
        <v>7.19</v>
      </c>
      <c r="K2160" s="6" t="n">
        <v>174.48397</v>
      </c>
      <c r="L2160" s="6">
        <f>I2160*K2160</f>
        <v/>
      </c>
      <c r="M2160" s="6">
        <f>K2160*4</f>
        <v/>
      </c>
      <c r="N2160" s="6" t="n">
        <v>0</v>
      </c>
    </row>
    <row r="2161">
      <c r="A2161" s="1" t="inlineStr">
        <is>
          <t>62745764129645</t>
        </is>
      </c>
      <c r="B2161" s="1" t="inlineStr">
        <is>
          <t>COLLAR T SIXTEEN STONE</t>
        </is>
      </c>
      <c r="C2161" s="1" t="inlineStr">
        <is>
          <t>Default Title</t>
        </is>
      </c>
      <c r="D2161" s="1" t="inlineStr">
        <is>
          <t>31/05/2026</t>
        </is>
      </c>
      <c r="E2161" s="1" t="n">
        <v>2026</v>
      </c>
      <c r="F2161" s="1" t="inlineStr">
        <is>
          <t>MAYO</t>
        </is>
      </c>
      <c r="G2161" s="1" t="inlineStr">
        <is>
          <t>NANCY</t>
        </is>
      </c>
      <c r="H2161" s="1" t="inlineStr">
        <is>
          <t>NANCY 31/05/2026</t>
        </is>
      </c>
      <c r="I2161" s="4" t="n">
        <v>2</v>
      </c>
      <c r="J2161" s="6" t="n">
        <v>7.69</v>
      </c>
      <c r="K2161" s="6" t="n">
        <v>186.6177649</v>
      </c>
      <c r="L2161" s="6">
        <f>I2161*K2161</f>
        <v/>
      </c>
      <c r="M2161" s="6">
        <f>K2161*4</f>
        <v/>
      </c>
      <c r="N2161" s="6" t="n">
        <v>0</v>
      </c>
    </row>
    <row r="2162">
      <c r="A2162" s="1" t="inlineStr">
        <is>
          <t>62809482933772</t>
        </is>
      </c>
      <c r="B2162" s="1" t="inlineStr">
        <is>
          <t>BOLSO CD MESSENGER SADDLE BLUE</t>
        </is>
      </c>
      <c r="C2162" s="1" t="inlineStr">
        <is>
          <t>20cm de largo x 14cm de alto x 5cm de ancho</t>
        </is>
      </c>
      <c r="D2162" s="1" t="inlineStr">
        <is>
          <t>25/10/2025</t>
        </is>
      </c>
      <c r="E2162" s="1" t="n">
        <v>2025</v>
      </c>
      <c r="F2162" s="1" t="inlineStr">
        <is>
          <t>OCTUBRE</t>
        </is>
      </c>
      <c r="G2162" s="1" t="inlineStr">
        <is>
          <t>CYNTHIA</t>
        </is>
      </c>
      <c r="H2162" s="1" t="inlineStr">
        <is>
          <t>CYNTHIA 25/10/2025</t>
        </is>
      </c>
      <c r="I2162" s="4" t="n">
        <v>2</v>
      </c>
      <c r="J2162" s="6" t="n">
        <v>50</v>
      </c>
      <c r="K2162" s="6" t="n">
        <v>1310.091179</v>
      </c>
      <c r="L2162" s="6">
        <f>I2162*K2162</f>
        <v/>
      </c>
      <c r="M2162" s="6">
        <f>K2162*4</f>
        <v/>
      </c>
      <c r="N2162" s="6" t="n">
        <v>4099</v>
      </c>
    </row>
    <row r="2163">
      <c r="A2163" s="1" t="inlineStr">
        <is>
          <t>62809482933772</t>
        </is>
      </c>
      <c r="B2163" s="1" t="inlineStr">
        <is>
          <t>BOLSO CD MESSENGER SADDLE BLUE</t>
        </is>
      </c>
      <c r="C2163" s="1" t="inlineStr">
        <is>
          <t>20cm de largo x 14cm de alto x 5cm de ancho</t>
        </is>
      </c>
      <c r="D2163" s="1" t="inlineStr">
        <is>
          <t>18/02/2026</t>
        </is>
      </c>
      <c r="E2163" s="1" t="n">
        <v>2026</v>
      </c>
      <c r="F2163" s="1" t="inlineStr">
        <is>
          <t>FEBRERO</t>
        </is>
      </c>
      <c r="G2163" s="1" t="inlineStr">
        <is>
          <t>CYNTHIA</t>
        </is>
      </c>
      <c r="H2163" s="1" t="inlineStr">
        <is>
          <t>CYNTHIA 18/02/2026</t>
        </is>
      </c>
      <c r="I2163" s="4" t="n">
        <v>2</v>
      </c>
      <c r="J2163" s="6" t="n">
        <v>49</v>
      </c>
      <c r="K2163" s="6" t="n">
        <v>1325.124895</v>
      </c>
      <c r="L2163" s="6">
        <f>I2163*K2163</f>
        <v/>
      </c>
      <c r="M2163" s="6">
        <f>K2163*4</f>
        <v/>
      </c>
      <c r="N2163" s="6" t="n">
        <v>4700</v>
      </c>
    </row>
    <row r="2164">
      <c r="A2164" s="1" t="inlineStr">
        <is>
          <t>62809482933772</t>
        </is>
      </c>
      <c r="B2164" s="1" t="inlineStr">
        <is>
          <t>BOLSO CD MESSENGER SADDLE BLUE</t>
        </is>
      </c>
      <c r="C2164" s="1" t="inlineStr">
        <is>
          <t>20cm de largo x 14cm de alto x 5cm de ancho</t>
        </is>
      </c>
      <c r="D2164" s="1" t="inlineStr">
        <is>
          <t>19/03/2026</t>
        </is>
      </c>
      <c r="E2164" s="1" t="n">
        <v>2026</v>
      </c>
      <c r="F2164" s="1" t="inlineStr">
        <is>
          <t>MARZO</t>
        </is>
      </c>
      <c r="G2164" s="1" t="inlineStr">
        <is>
          <t>CYNTHIA</t>
        </is>
      </c>
      <c r="H2164" s="1" t="inlineStr">
        <is>
          <t>CYNTHIA 19/03/2026</t>
        </is>
      </c>
      <c r="I2164" s="4" t="n">
        <v>2</v>
      </c>
      <c r="J2164" s="6" t="n">
        <v>50</v>
      </c>
      <c r="K2164" s="6" t="n">
        <v>1342.87079</v>
      </c>
      <c r="L2164" s="6">
        <f>I2164*K2164</f>
        <v/>
      </c>
      <c r="M2164" s="6">
        <f>K2164*4</f>
        <v/>
      </c>
      <c r="N2164" s="6" t="n">
        <v>4700</v>
      </c>
    </row>
    <row r="2165">
      <c r="A2165" s="1" t="inlineStr">
        <is>
          <t>63220631032173</t>
        </is>
      </c>
      <c r="B2165" s="1" t="inlineStr">
        <is>
          <t>ANILLO LV SELLO GOLD-9</t>
        </is>
      </c>
      <c r="C2165" s="1" t="n">
        <v>9</v>
      </c>
      <c r="D2165" s="1" t="inlineStr">
        <is>
          <t>25/09/2025</t>
        </is>
      </c>
      <c r="E2165" s="1" t="n">
        <v>2025</v>
      </c>
      <c r="F2165" s="1" t="inlineStr">
        <is>
          <t>SEPTIEMBRE</t>
        </is>
      </c>
      <c r="G2165" s="1" t="inlineStr">
        <is>
          <t>HAIFENG</t>
        </is>
      </c>
      <c r="H2165" s="1" t="inlineStr">
        <is>
          <t>HAIFENG 25/09/2025</t>
        </is>
      </c>
      <c r="I2165" s="4" t="n">
        <v>2</v>
      </c>
      <c r="J2165" s="6" t="n">
        <v>8.99</v>
      </c>
      <c r="K2165" s="6" t="n">
        <v>189.6610031</v>
      </c>
      <c r="L2165" s="6">
        <f>I2165*K2165</f>
        <v/>
      </c>
      <c r="M2165" s="6">
        <f>K2165*4</f>
        <v/>
      </c>
      <c r="N2165" s="6" t="n">
        <v>750</v>
      </c>
    </row>
    <row r="2166">
      <c r="A2166" s="1" t="inlineStr">
        <is>
          <t>63220631032173</t>
        </is>
      </c>
      <c r="B2166" s="1" t="n"/>
      <c r="C2166" s="1" t="inlineStr">
        <is>
          <t>9</t>
        </is>
      </c>
      <c r="D2166" s="1" t="inlineStr">
        <is>
          <t>10/02/2026</t>
        </is>
      </c>
      <c r="E2166" s="1" t="n">
        <v>2026</v>
      </c>
      <c r="F2166" s="1" t="inlineStr">
        <is>
          <t>FEBRERO</t>
        </is>
      </c>
      <c r="G2166" s="1" t="inlineStr">
        <is>
          <t>HAIFENG</t>
        </is>
      </c>
      <c r="H2166" s="1" t="inlineStr">
        <is>
          <t>HAIFENG 10/02/2026</t>
        </is>
      </c>
      <c r="I2166" s="4" t="n">
        <v>2</v>
      </c>
      <c r="J2166" s="6" t="n">
        <v>8.99</v>
      </c>
      <c r="K2166" s="6" t="n">
        <v>189.4057796</v>
      </c>
      <c r="L2166" s="6">
        <f>I2166*K2166</f>
        <v/>
      </c>
      <c r="M2166" s="6">
        <f>K2166*4</f>
        <v/>
      </c>
      <c r="N2166" s="6" t="n">
        <v>750</v>
      </c>
    </row>
    <row r="2167">
      <c r="A2167" s="1" t="inlineStr">
        <is>
          <t>63264441047757</t>
        </is>
      </c>
      <c r="B2167" s="1" t="inlineStr">
        <is>
          <t>COLLAR CD GOLD CON PERLAS</t>
        </is>
      </c>
      <c r="C2167" s="1" t="inlineStr">
        <is>
          <t>Default Title</t>
        </is>
      </c>
      <c r="D2167" s="1" t="inlineStr">
        <is>
          <t>02/10/2025</t>
        </is>
      </c>
      <c r="E2167" s="1" t="n">
        <v>2025</v>
      </c>
      <c r="F2167" s="1" t="inlineStr">
        <is>
          <t>OCTUBRE</t>
        </is>
      </c>
      <c r="G2167" s="1" t="inlineStr">
        <is>
          <t>ZOEY</t>
        </is>
      </c>
      <c r="H2167" s="1" t="inlineStr">
        <is>
          <t>ZOEY 02/10/2025</t>
        </is>
      </c>
      <c r="I2167" s="4" t="n">
        <v>3</v>
      </c>
      <c r="J2167" s="6" t="n">
        <v>9</v>
      </c>
      <c r="K2167" s="6" t="n">
        <v>212.615424</v>
      </c>
      <c r="L2167" s="6">
        <f>I2167*K2167</f>
        <v/>
      </c>
      <c r="M2167" s="6">
        <f>K2167*4</f>
        <v/>
      </c>
      <c r="N2167" s="6" t="n">
        <v>959</v>
      </c>
    </row>
    <row r="2168">
      <c r="A2168" s="1" t="inlineStr">
        <is>
          <t>63264441047757</t>
        </is>
      </c>
      <c r="B2168" s="1" t="inlineStr">
        <is>
          <t>COLLAR CD GOLD CON PERLAS</t>
        </is>
      </c>
      <c r="C2168" s="1" t="inlineStr">
        <is>
          <t>Default Title</t>
        </is>
      </c>
      <c r="D2168" s="1" t="inlineStr">
        <is>
          <t>20/01/2026</t>
        </is>
      </c>
      <c r="E2168" s="1" t="n">
        <v>2026</v>
      </c>
      <c r="F2168" s="1" t="inlineStr">
        <is>
          <t>ENERO</t>
        </is>
      </c>
      <c r="G2168" s="1" t="inlineStr">
        <is>
          <t>ZOEY</t>
        </is>
      </c>
      <c r="H2168" s="1" t="inlineStr">
        <is>
          <t>ZOEY 20/01/2026</t>
        </is>
      </c>
      <c r="I2168" s="4" t="n">
        <v>2</v>
      </c>
      <c r="J2168" s="6" t="n">
        <v>9</v>
      </c>
      <c r="K2168" s="6" t="n">
        <v>234.2843943</v>
      </c>
      <c r="L2168" s="6">
        <f>I2168*K2168</f>
        <v/>
      </c>
      <c r="M2168" s="6">
        <f>K2168*4</f>
        <v/>
      </c>
      <c r="N2168" s="6" t="n">
        <v>959</v>
      </c>
    </row>
    <row r="2169">
      <c r="A2169" s="1" t="inlineStr">
        <is>
          <t>63264441047757</t>
        </is>
      </c>
      <c r="B2169" s="1" t="inlineStr">
        <is>
          <t>COLLAR CD GOLD CON PERLAS</t>
        </is>
      </c>
      <c r="C2169" s="1" t="inlineStr">
        <is>
          <t>Default Title</t>
        </is>
      </c>
      <c r="D2169" s="1" t="inlineStr">
        <is>
          <t>19/03/2026</t>
        </is>
      </c>
      <c r="E2169" s="1" t="n">
        <v>2026</v>
      </c>
      <c r="F2169" s="1" t="inlineStr">
        <is>
          <t>MARZO</t>
        </is>
      </c>
      <c r="G2169" s="1" t="inlineStr">
        <is>
          <t>ZOEY</t>
        </is>
      </c>
      <c r="H2169" s="1" t="inlineStr">
        <is>
          <t>ZOEY 19/03/2026</t>
        </is>
      </c>
      <c r="I2169" s="4" t="n">
        <v>4</v>
      </c>
      <c r="J2169" s="6" t="n">
        <v>9</v>
      </c>
      <c r="K2169" s="6" t="n">
        <v>232.0384465</v>
      </c>
      <c r="L2169" s="6">
        <f>I2169*K2169</f>
        <v/>
      </c>
      <c r="M2169" s="6">
        <f>K2169*4</f>
        <v/>
      </c>
      <c r="N2169" s="6" t="n">
        <v>959</v>
      </c>
    </row>
    <row r="2170">
      <c r="A2170" s="1" t="inlineStr">
        <is>
          <t>63264441047757</t>
        </is>
      </c>
      <c r="B2170" s="1" t="inlineStr">
        <is>
          <t>COLLAR CD GOLD CON PERLAS</t>
        </is>
      </c>
      <c r="C2170" s="1" t="inlineStr">
        <is>
          <t>Default Title</t>
        </is>
      </c>
      <c r="D2170" s="1" t="inlineStr">
        <is>
          <t>15/05/2026</t>
        </is>
      </c>
      <c r="E2170" s="1" t="n">
        <v>2026</v>
      </c>
      <c r="F2170" s="1" t="inlineStr">
        <is>
          <t>MAYO</t>
        </is>
      </c>
      <c r="G2170" s="1" t="inlineStr">
        <is>
          <t>ZOEY</t>
        </is>
      </c>
      <c r="H2170" s="1" t="inlineStr">
        <is>
          <t>ZOEY 15/05/2026</t>
        </is>
      </c>
      <c r="I2170" s="4" t="n">
        <v>2</v>
      </c>
      <c r="J2170" s="6" t="n">
        <v>9</v>
      </c>
      <c r="K2170" s="6" t="n">
        <v>238.5416204</v>
      </c>
      <c r="L2170" s="6">
        <f>I2170*K2170</f>
        <v/>
      </c>
      <c r="M2170" s="6">
        <f>K2170*4</f>
        <v/>
      </c>
      <c r="N2170" s="6" t="n">
        <v>959</v>
      </c>
    </row>
    <row r="2171">
      <c r="A2171" s="1" t="inlineStr">
        <is>
          <t>63529311036333</t>
        </is>
      </c>
      <c r="B2171" s="1" t="inlineStr">
        <is>
          <t>ARETES T-SMILE GOLD CON ZIRCONIAS</t>
        </is>
      </c>
      <c r="C2171" s="1" t="inlineStr">
        <is>
          <t>Default Title</t>
        </is>
      </c>
      <c r="D2171" s="1" t="inlineStr">
        <is>
          <t>07/01/2026</t>
        </is>
      </c>
      <c r="E2171" s="1" t="n">
        <v>2026</v>
      </c>
      <c r="F2171" s="1" t="inlineStr">
        <is>
          <t>ENERO</t>
        </is>
      </c>
      <c r="G2171" s="1" t="inlineStr">
        <is>
          <t>CYNTHIA</t>
        </is>
      </c>
      <c r="H2171" s="1" t="inlineStr">
        <is>
          <t>CYNTHIA 07/01/2026</t>
        </is>
      </c>
      <c r="I2171" s="4" t="n">
        <v>2</v>
      </c>
      <c r="J2171" s="6" t="n">
        <v>6.8</v>
      </c>
      <c r="K2171" s="6" t="n">
        <v>180.7945082</v>
      </c>
      <c r="L2171" s="6">
        <f>I2171*K2171</f>
        <v/>
      </c>
      <c r="M2171" s="6">
        <f>K2171*4</f>
        <v/>
      </c>
      <c r="N2171" s="6" t="n">
        <v>739</v>
      </c>
    </row>
    <row r="2172">
      <c r="A2172" s="1" t="inlineStr">
        <is>
          <t>63529311036333</t>
        </is>
      </c>
      <c r="B2172" s="1" t="inlineStr">
        <is>
          <t>ARETES T-SMILE GOLD CON ZIRCONIAS</t>
        </is>
      </c>
      <c r="C2172" s="1" t="inlineStr">
        <is>
          <t>Default Title</t>
        </is>
      </c>
      <c r="D2172" s="1" t="inlineStr">
        <is>
          <t>18/02/2026</t>
        </is>
      </c>
      <c r="E2172" s="1" t="n">
        <v>2026</v>
      </c>
      <c r="F2172" s="1" t="inlineStr">
        <is>
          <t>FEBRERO</t>
        </is>
      </c>
      <c r="G2172" s="1" t="inlineStr">
        <is>
          <t>CYNTHIA</t>
        </is>
      </c>
      <c r="H2172" s="1" t="inlineStr">
        <is>
          <t>CYNTHIA 18/02/2026</t>
        </is>
      </c>
      <c r="I2172" s="4" t="n">
        <v>1</v>
      </c>
      <c r="J2172" s="6" t="n">
        <v>6.8</v>
      </c>
      <c r="K2172" s="6" t="n">
        <v>183.8948834</v>
      </c>
      <c r="L2172" s="6">
        <f>I2172*K2172</f>
        <v/>
      </c>
      <c r="M2172" s="6">
        <f>K2172*4</f>
        <v/>
      </c>
      <c r="N2172" s="6" t="n">
        <v>739</v>
      </c>
    </row>
    <row r="2173">
      <c r="A2173" s="1" t="inlineStr">
        <is>
          <t>63666799441676</t>
        </is>
      </c>
      <c r="B2173" s="1" t="inlineStr">
        <is>
          <t>BOLSO C TOTE</t>
        </is>
      </c>
      <c r="C2173" s="1" t="inlineStr">
        <is>
          <t>20cm de largo x 21 cm de alto x 11cm de ancho</t>
        </is>
      </c>
      <c r="D2173" s="1" t="inlineStr">
        <is>
          <t>01/09/2025</t>
        </is>
      </c>
      <c r="E2173" s="1" t="n">
        <v>2025</v>
      </c>
      <c r="F2173" s="1" t="inlineStr">
        <is>
          <t>SEPTIEMBRE</t>
        </is>
      </c>
      <c r="G2173" s="1" t="inlineStr">
        <is>
          <t>ZOEY</t>
        </is>
      </c>
      <c r="H2173" s="1" t="inlineStr">
        <is>
          <t>ZOEY 01/09/2025</t>
        </is>
      </c>
      <c r="I2173" s="4" t="n">
        <v>2</v>
      </c>
      <c r="J2173" s="6" t="n">
        <v>72</v>
      </c>
      <c r="K2173" s="6" t="n">
        <v>1808.484811</v>
      </c>
      <c r="L2173" s="6">
        <f>I2173*K2173</f>
        <v/>
      </c>
      <c r="M2173" s="6">
        <f>K2173*4</f>
        <v/>
      </c>
      <c r="N2173" s="6" t="n">
        <v>6050</v>
      </c>
    </row>
    <row r="2174">
      <c r="A2174" s="1" t="inlineStr">
        <is>
          <t>63666799441676</t>
        </is>
      </c>
      <c r="B2174" s="1" t="inlineStr">
        <is>
          <t>BOLSO C TOTE</t>
        </is>
      </c>
      <c r="C2174" s="1" t="inlineStr">
        <is>
          <t>20cm de largo x 21 cm de alto x 11cm de ancho</t>
        </is>
      </c>
      <c r="D2174" s="1" t="inlineStr">
        <is>
          <t>02/03/2026</t>
        </is>
      </c>
      <c r="E2174" s="1" t="n">
        <v>2026</v>
      </c>
      <c r="F2174" s="1" t="inlineStr">
        <is>
          <t>MARZO</t>
        </is>
      </c>
      <c r="G2174" s="1" t="inlineStr">
        <is>
          <t>ZOEY</t>
        </is>
      </c>
      <c r="H2174" s="1" t="inlineStr">
        <is>
          <t>ZOEY 02/03/2026</t>
        </is>
      </c>
      <c r="I2174" s="4" t="n">
        <v>1</v>
      </c>
      <c r="J2174" s="6" t="n">
        <v>72</v>
      </c>
      <c r="K2174" s="6" t="n">
        <v>1891.942252</v>
      </c>
      <c r="L2174" s="6">
        <f>I2174*K2174</f>
        <v/>
      </c>
      <c r="M2174" s="6">
        <f>K2174*4</f>
        <v/>
      </c>
      <c r="N2174" s="6" t="n">
        <v>6621.8</v>
      </c>
    </row>
    <row r="2175">
      <c r="A2175" s="1" t="inlineStr">
        <is>
          <t>63794531345773</t>
        </is>
      </c>
      <c r="B2175" s="1" t="inlineStr">
        <is>
          <t>LENTES CD SIGNATURE B8U</t>
        </is>
      </c>
      <c r="C2175" s="1" t="n"/>
      <c r="D2175" s="1" t="inlineStr">
        <is>
          <t>02/03/2026</t>
        </is>
      </c>
      <c r="E2175" s="1" t="n">
        <v>2026</v>
      </c>
      <c r="F2175" s="1" t="inlineStr">
        <is>
          <t>MARZO</t>
        </is>
      </c>
      <c r="G2175" s="1" t="inlineStr">
        <is>
          <t>ZOEY</t>
        </is>
      </c>
      <c r="H2175" s="1" t="inlineStr">
        <is>
          <t>ZOEY 02/03/2026</t>
        </is>
      </c>
      <c r="I2175" s="4" t="n">
        <v>1</v>
      </c>
      <c r="J2175" s="6" t="n">
        <v>32</v>
      </c>
      <c r="K2175" s="6" t="n">
        <v>840.8632231</v>
      </c>
      <c r="L2175" s="6">
        <f>I2175*K2175</f>
        <v/>
      </c>
      <c r="M2175" s="6">
        <f>K2175*4</f>
        <v/>
      </c>
      <c r="N2175" s="6" t="n">
        <v>3365</v>
      </c>
    </row>
    <row r="2176">
      <c r="A2176" s="1" t="inlineStr">
        <is>
          <t>63e0b1e29450b</t>
        </is>
      </c>
      <c r="B2176" s="1" t="inlineStr">
        <is>
          <t>ANILLO BV ROSE GOLD</t>
        </is>
      </c>
      <c r="C2176" s="1" t="inlineStr">
        <is>
          <t>5</t>
        </is>
      </c>
      <c r="D2176" s="1" t="inlineStr">
        <is>
          <t>20/01/2026</t>
        </is>
      </c>
      <c r="E2176" s="1" t="n">
        <v>2026</v>
      </c>
      <c r="F2176" s="1" t="inlineStr">
        <is>
          <t>ENERO</t>
        </is>
      </c>
      <c r="G2176" s="1" t="inlineStr">
        <is>
          <t>COCOMA</t>
        </is>
      </c>
      <c r="H2176" s="1" t="inlineStr">
        <is>
          <t>COCOMA 20/01/2026</t>
        </is>
      </c>
      <c r="I2176" s="4" t="n">
        <v>3</v>
      </c>
      <c r="J2176" s="6" t="n">
        <v>4.3</v>
      </c>
      <c r="K2176" s="6" t="n">
        <v>103.9090874</v>
      </c>
      <c r="L2176" s="6">
        <f>I2176*K2176</f>
        <v/>
      </c>
      <c r="M2176" s="6">
        <f>K2176*4</f>
        <v/>
      </c>
      <c r="N2176" s="6" t="n">
        <v>620</v>
      </c>
    </row>
    <row r="2177">
      <c r="A2177" s="1" t="inlineStr">
        <is>
          <t>63e0b1e2d5f1e</t>
        </is>
      </c>
      <c r="B2177" s="1" t="inlineStr">
        <is>
          <t>ANILLO BV ROSE GOLD DELGADO</t>
        </is>
      </c>
      <c r="C2177" s="1" t="inlineStr">
        <is>
          <t>5</t>
        </is>
      </c>
      <c r="D2177" s="1" t="inlineStr">
        <is>
          <t>20/01/2026</t>
        </is>
      </c>
      <c r="E2177" s="1" t="n">
        <v>2026</v>
      </c>
      <c r="F2177" s="1" t="inlineStr">
        <is>
          <t>ENERO</t>
        </is>
      </c>
      <c r="G2177" s="1" t="inlineStr">
        <is>
          <t>COCOMA</t>
        </is>
      </c>
      <c r="H2177" s="1" t="inlineStr">
        <is>
          <t>COCOMA 20/01/2026</t>
        </is>
      </c>
      <c r="I2177" s="4" t="n">
        <v>3</v>
      </c>
      <c r="J2177" s="6" t="n">
        <v>7.89</v>
      </c>
      <c r="K2177" s="6" t="n">
        <v>190.661093</v>
      </c>
      <c r="L2177" s="6">
        <f>I2177*K2177</f>
        <v/>
      </c>
      <c r="M2177" s="6">
        <f>K2177*4</f>
        <v/>
      </c>
      <c r="N2177" s="6" t="n">
        <v>450</v>
      </c>
    </row>
    <row r="2178">
      <c r="A2178" s="1" t="inlineStr">
        <is>
          <t>63e0b1e3636a9</t>
        </is>
      </c>
      <c r="B2178" s="1" t="inlineStr">
        <is>
          <t>ANILLO BV GOLD DELGADO</t>
        </is>
      </c>
      <c r="C2178" s="1" t="inlineStr">
        <is>
          <t>6</t>
        </is>
      </c>
      <c r="D2178" s="1" t="inlineStr">
        <is>
          <t>01/05/2025</t>
        </is>
      </c>
      <c r="E2178" s="1" t="n">
        <v>2025</v>
      </c>
      <c r="F2178" s="1" t="inlineStr">
        <is>
          <t>MAYO</t>
        </is>
      </c>
      <c r="G2178" s="1" t="inlineStr">
        <is>
          <t>COCOMA</t>
        </is>
      </c>
      <c r="H2178" s="1" t="inlineStr">
        <is>
          <t>COCOMA MAYO 2025</t>
        </is>
      </c>
      <c r="I2178" s="4" t="n">
        <v>3</v>
      </c>
      <c r="J2178" s="6" t="n">
        <v>7.89</v>
      </c>
      <c r="K2178" s="6" t="n">
        <v>193.2673107</v>
      </c>
      <c r="L2178" s="6">
        <f>I2178*K2178</f>
        <v/>
      </c>
      <c r="M2178" s="6">
        <f>K2178*4</f>
        <v/>
      </c>
      <c r="N2178" s="6" t="n">
        <v>678</v>
      </c>
    </row>
    <row r="2179">
      <c r="A2179" s="1" t="inlineStr">
        <is>
          <t>63e0b1e36f7c6</t>
        </is>
      </c>
      <c r="B2179" s="1" t="inlineStr">
        <is>
          <t>ANILLO BV ROSE GOLD</t>
        </is>
      </c>
      <c r="C2179" s="1" t="inlineStr">
        <is>
          <t>6</t>
        </is>
      </c>
      <c r="D2179" s="1" t="inlineStr">
        <is>
          <t>20/01/2026</t>
        </is>
      </c>
      <c r="E2179" s="1" t="n">
        <v>2026</v>
      </c>
      <c r="F2179" s="1" t="inlineStr">
        <is>
          <t>ENERO</t>
        </is>
      </c>
      <c r="G2179" s="1" t="inlineStr">
        <is>
          <t>COCOMA</t>
        </is>
      </c>
      <c r="H2179" s="1" t="inlineStr">
        <is>
          <t>COCOMA 20/01/2026</t>
        </is>
      </c>
      <c r="I2179" s="4" t="n">
        <v>3</v>
      </c>
      <c r="J2179" s="6" t="n">
        <v>4.3</v>
      </c>
      <c r="K2179" s="6" t="n">
        <v>103.9090874</v>
      </c>
      <c r="L2179" s="6">
        <f>I2179*K2179</f>
        <v/>
      </c>
      <c r="M2179" s="6">
        <f>K2179*4</f>
        <v/>
      </c>
      <c r="N2179" s="6" t="n">
        <v>310</v>
      </c>
    </row>
    <row r="2180">
      <c r="A2180" s="1" t="inlineStr">
        <is>
          <t>63e0b1e3b4fa0</t>
        </is>
      </c>
      <c r="B2180" s="1" t="inlineStr">
        <is>
          <t>ANILLO BV ROSE GOLD DELGADO</t>
        </is>
      </c>
      <c r="C2180" s="1" t="inlineStr">
        <is>
          <t>6</t>
        </is>
      </c>
      <c r="D2180" s="1" t="inlineStr">
        <is>
          <t>20/01/2026</t>
        </is>
      </c>
      <c r="E2180" s="1" t="n">
        <v>2026</v>
      </c>
      <c r="F2180" s="1" t="inlineStr">
        <is>
          <t>ENERO</t>
        </is>
      </c>
      <c r="G2180" s="1" t="inlineStr">
        <is>
          <t>COCOMA</t>
        </is>
      </c>
      <c r="H2180" s="1" t="inlineStr">
        <is>
          <t>COCOMA 20/01/2026</t>
        </is>
      </c>
      <c r="I2180" s="4" t="n">
        <v>3</v>
      </c>
      <c r="J2180" s="6" t="n">
        <v>7.89</v>
      </c>
      <c r="K2180" s="6" t="n">
        <v>190.661093</v>
      </c>
      <c r="L2180" s="6">
        <f>I2180*K2180</f>
        <v/>
      </c>
      <c r="M2180" s="6">
        <f>K2180*4</f>
        <v/>
      </c>
      <c r="N2180" s="6" t="n">
        <v>678</v>
      </c>
    </row>
    <row r="2181">
      <c r="A2181" s="1" t="inlineStr">
        <is>
          <t>63e0b1e44c6d7</t>
        </is>
      </c>
      <c r="B2181" s="1" t="inlineStr">
        <is>
          <t>ANILLO BV ROSE GOLD</t>
        </is>
      </c>
      <c r="C2181" s="1" t="inlineStr">
        <is>
          <t>7</t>
        </is>
      </c>
      <c r="D2181" s="1" t="inlineStr">
        <is>
          <t>20/01/2026</t>
        </is>
      </c>
      <c r="E2181" s="1" t="n">
        <v>2026</v>
      </c>
      <c r="F2181" s="1" t="inlineStr">
        <is>
          <t>ENERO</t>
        </is>
      </c>
      <c r="G2181" s="1" t="inlineStr">
        <is>
          <t>COCOMA</t>
        </is>
      </c>
      <c r="H2181" s="1" t="inlineStr">
        <is>
          <t>COCOMA 20/01/2026</t>
        </is>
      </c>
      <c r="I2181" s="4" t="n">
        <v>3</v>
      </c>
      <c r="J2181" s="6" t="n">
        <v>4.3</v>
      </c>
      <c r="K2181" s="6" t="n">
        <v>103.9090874</v>
      </c>
      <c r="L2181" s="6">
        <f>I2181*K2181</f>
        <v/>
      </c>
      <c r="M2181" s="6">
        <f>K2181*4</f>
        <v/>
      </c>
      <c r="N2181" s="6" t="n">
        <v>620</v>
      </c>
    </row>
    <row r="2182">
      <c r="A2182" s="1" t="inlineStr">
        <is>
          <t>63e0b1e45372f</t>
        </is>
      </c>
      <c r="B2182" s="1" t="inlineStr">
        <is>
          <t>ANILLO BV GOLD DELGADO</t>
        </is>
      </c>
      <c r="C2182" s="1" t="inlineStr">
        <is>
          <t>7</t>
        </is>
      </c>
      <c r="D2182" s="1" t="inlineStr">
        <is>
          <t>01/05/2025</t>
        </is>
      </c>
      <c r="E2182" s="1" t="n">
        <v>2025</v>
      </c>
      <c r="F2182" s="1" t="inlineStr">
        <is>
          <t>MAYO</t>
        </is>
      </c>
      <c r="G2182" s="1" t="inlineStr">
        <is>
          <t>COCOMA</t>
        </is>
      </c>
      <c r="H2182" s="1" t="inlineStr">
        <is>
          <t>COCOMA MAYO 2025</t>
        </is>
      </c>
      <c r="I2182" s="4" t="n">
        <v>2</v>
      </c>
      <c r="J2182" s="6" t="n">
        <v>7.89</v>
      </c>
      <c r="K2182" s="6" t="n">
        <v>193.2673107</v>
      </c>
      <c r="L2182" s="6">
        <f>I2182*K2182</f>
        <v/>
      </c>
      <c r="M2182" s="6">
        <f>K2182*4</f>
        <v/>
      </c>
      <c r="N2182" s="6" t="n">
        <v>678</v>
      </c>
    </row>
    <row r="2183">
      <c r="A2183" s="1" t="inlineStr">
        <is>
          <t>63e0b1e45372f</t>
        </is>
      </c>
      <c r="B2183" s="1" t="inlineStr">
        <is>
          <t>ANILLO BV GOLD DELGADO</t>
        </is>
      </c>
      <c r="C2183" s="1" t="inlineStr">
        <is>
          <t>7 HIGH QUALITY</t>
        </is>
      </c>
      <c r="D2183" s="1" t="inlineStr">
        <is>
          <t>20/01/2026</t>
        </is>
      </c>
      <c r="E2183" s="1" t="n">
        <v>2026</v>
      </c>
      <c r="F2183" s="1" t="inlineStr">
        <is>
          <t>ENERO</t>
        </is>
      </c>
      <c r="G2183" s="1" t="inlineStr">
        <is>
          <t>COCOMA</t>
        </is>
      </c>
      <c r="H2183" s="1" t="inlineStr">
        <is>
          <t>COCOMA 20/01/2026</t>
        </is>
      </c>
      <c r="I2183" s="4" t="n">
        <v>5</v>
      </c>
      <c r="J2183" s="6" t="n">
        <v>7.89</v>
      </c>
      <c r="K2183" s="6" t="n">
        <v>190.661093</v>
      </c>
      <c r="L2183" s="6">
        <f>I2183*K2183</f>
        <v/>
      </c>
      <c r="M2183" s="6">
        <f>K2183*4</f>
        <v/>
      </c>
      <c r="N2183" s="6" t="n">
        <v>678</v>
      </c>
    </row>
    <row r="2184">
      <c r="A2184" s="1" t="inlineStr">
        <is>
          <t>63e0b1e49258e</t>
        </is>
      </c>
      <c r="B2184" s="1" t="inlineStr">
        <is>
          <t>ANILLO BV ROSE GOLD DELGADO</t>
        </is>
      </c>
      <c r="C2184" s="1" t="inlineStr">
        <is>
          <t>7</t>
        </is>
      </c>
      <c r="D2184" s="1" t="inlineStr">
        <is>
          <t>20/01/2026</t>
        </is>
      </c>
      <c r="E2184" s="1" t="n">
        <v>2026</v>
      </c>
      <c r="F2184" s="1" t="inlineStr">
        <is>
          <t>ENERO</t>
        </is>
      </c>
      <c r="G2184" s="1" t="inlineStr">
        <is>
          <t>COCOMA</t>
        </is>
      </c>
      <c r="H2184" s="1" t="inlineStr">
        <is>
          <t>COCOMA 20/01/2026</t>
        </is>
      </c>
      <c r="I2184" s="4" t="n">
        <v>3</v>
      </c>
      <c r="J2184" s="6" t="n">
        <v>7.89</v>
      </c>
      <c r="K2184" s="6" t="n">
        <v>190.661093</v>
      </c>
      <c r="L2184" s="6">
        <f>I2184*K2184</f>
        <v/>
      </c>
      <c r="M2184" s="6">
        <f>K2184*4</f>
        <v/>
      </c>
      <c r="N2184" s="6" t="n">
        <v>678</v>
      </c>
    </row>
    <row r="2185">
      <c r="A2185" s="1" t="inlineStr">
        <is>
          <t>63e0b1e52d057</t>
        </is>
      </c>
      <c r="B2185" s="1" t="inlineStr">
        <is>
          <t>ANILLO BV GOLD DELGADO</t>
        </is>
      </c>
      <c r="C2185" s="1" t="inlineStr">
        <is>
          <t>8 HIGH QUALITY</t>
        </is>
      </c>
      <c r="D2185" s="1" t="inlineStr">
        <is>
          <t>20/01/2026</t>
        </is>
      </c>
      <c r="E2185" s="1" t="n">
        <v>2026</v>
      </c>
      <c r="F2185" s="1" t="inlineStr">
        <is>
          <t>ENERO</t>
        </is>
      </c>
      <c r="G2185" s="1" t="inlineStr">
        <is>
          <t>COCOMA</t>
        </is>
      </c>
      <c r="H2185" s="1" t="inlineStr">
        <is>
          <t>COCOMA 20/01/2026</t>
        </is>
      </c>
      <c r="I2185" s="4" t="n">
        <v>5</v>
      </c>
      <c r="J2185" s="6" t="n">
        <v>7.89</v>
      </c>
      <c r="K2185" s="6" t="n">
        <v>190.661093</v>
      </c>
      <c r="L2185" s="6">
        <f>I2185*K2185</f>
        <v/>
      </c>
      <c r="M2185" s="6">
        <f>K2185*4</f>
        <v/>
      </c>
      <c r="N2185" s="6" t="n">
        <v>678</v>
      </c>
    </row>
    <row r="2186">
      <c r="A2186" s="1" t="inlineStr">
        <is>
          <t>63e0b1e537df8</t>
        </is>
      </c>
      <c r="B2186" s="1" t="inlineStr">
        <is>
          <t>ANILLO BV ROSE GOLD</t>
        </is>
      </c>
      <c r="C2186" s="1" t="inlineStr">
        <is>
          <t>8</t>
        </is>
      </c>
      <c r="D2186" s="1" t="inlineStr">
        <is>
          <t>20/01/2026</t>
        </is>
      </c>
      <c r="E2186" s="1" t="n">
        <v>2026</v>
      </c>
      <c r="F2186" s="1" t="inlineStr">
        <is>
          <t>ENERO</t>
        </is>
      </c>
      <c r="G2186" s="1" t="inlineStr">
        <is>
          <t>COCOMA</t>
        </is>
      </c>
      <c r="H2186" s="1" t="inlineStr">
        <is>
          <t>COCOMA 20/01/2026</t>
        </is>
      </c>
      <c r="I2186" s="4" t="n">
        <v>1</v>
      </c>
      <c r="J2186" s="6" t="n">
        <v>4.3</v>
      </c>
      <c r="K2186" s="6" t="n">
        <v>103.9090874</v>
      </c>
      <c r="L2186" s="6">
        <f>I2186*K2186</f>
        <v/>
      </c>
      <c r="M2186" s="6">
        <f>K2186*4</f>
        <v/>
      </c>
      <c r="N2186" s="6" t="n">
        <v>620</v>
      </c>
    </row>
    <row r="2187">
      <c r="A2187" s="1" t="inlineStr">
        <is>
          <t>63e0b1e577108</t>
        </is>
      </c>
      <c r="B2187" s="1" t="inlineStr">
        <is>
          <t>ANILLO BV ROSE GOLD DELGADO</t>
        </is>
      </c>
      <c r="C2187" s="1" t="inlineStr">
        <is>
          <t>8</t>
        </is>
      </c>
      <c r="D2187" s="1" t="inlineStr">
        <is>
          <t>20/01/2026</t>
        </is>
      </c>
      <c r="E2187" s="1" t="n">
        <v>2026</v>
      </c>
      <c r="F2187" s="1" t="inlineStr">
        <is>
          <t>ENERO</t>
        </is>
      </c>
      <c r="G2187" s="1" t="inlineStr">
        <is>
          <t>COCOMA</t>
        </is>
      </c>
      <c r="H2187" s="1" t="inlineStr">
        <is>
          <t>COCOMA 20/01/2026</t>
        </is>
      </c>
      <c r="I2187" s="4" t="n">
        <v>1</v>
      </c>
      <c r="J2187" s="6" t="n">
        <v>7.89</v>
      </c>
      <c r="K2187" s="6" t="n">
        <v>190.661093</v>
      </c>
      <c r="L2187" s="6">
        <f>I2187*K2187</f>
        <v/>
      </c>
      <c r="M2187" s="6">
        <f>K2187*4</f>
        <v/>
      </c>
      <c r="N2187" s="6" t="n">
        <v>678</v>
      </c>
    </row>
    <row r="2188">
      <c r="A2188" s="1" t="inlineStr">
        <is>
          <t>63e0b1e628eb5</t>
        </is>
      </c>
      <c r="B2188" s="1" t="inlineStr">
        <is>
          <t>ANILLO BV ROSE GOLD</t>
        </is>
      </c>
      <c r="C2188" s="1" t="inlineStr">
        <is>
          <t>9</t>
        </is>
      </c>
      <c r="D2188" s="1" t="inlineStr">
        <is>
          <t>20/01/2026</t>
        </is>
      </c>
      <c r="E2188" s="1" t="n">
        <v>2026</v>
      </c>
      <c r="F2188" s="1" t="inlineStr">
        <is>
          <t>ENERO</t>
        </is>
      </c>
      <c r="G2188" s="1" t="inlineStr">
        <is>
          <t>COCOMA</t>
        </is>
      </c>
      <c r="H2188" s="1" t="inlineStr">
        <is>
          <t>COCOMA 20/01/2026</t>
        </is>
      </c>
      <c r="I2188" s="4" t="n">
        <v>2</v>
      </c>
      <c r="J2188" s="6" t="n">
        <v>4.3</v>
      </c>
      <c r="K2188" s="6" t="n">
        <v>103.9090874</v>
      </c>
      <c r="L2188" s="6">
        <f>I2188*K2188</f>
        <v/>
      </c>
      <c r="M2188" s="6">
        <f>K2188*4</f>
        <v/>
      </c>
      <c r="N2188" s="6" t="n">
        <v>620</v>
      </c>
    </row>
    <row r="2189">
      <c r="A2189" s="1" t="inlineStr">
        <is>
          <t>63e0b1e659918</t>
        </is>
      </c>
      <c r="B2189" s="1" t="inlineStr">
        <is>
          <t>ANILLO BV ROSE GOLD DELGADO</t>
        </is>
      </c>
      <c r="C2189" s="1" t="inlineStr">
        <is>
          <t>9</t>
        </is>
      </c>
      <c r="D2189" s="1" t="inlineStr">
        <is>
          <t>20/01/2026</t>
        </is>
      </c>
      <c r="E2189" s="1" t="n">
        <v>2026</v>
      </c>
      <c r="F2189" s="1" t="inlineStr">
        <is>
          <t>ENERO</t>
        </is>
      </c>
      <c r="G2189" s="1" t="inlineStr">
        <is>
          <t>COCOMA</t>
        </is>
      </c>
      <c r="H2189" s="1" t="inlineStr">
        <is>
          <t>COCOMA 20/01/2026</t>
        </is>
      </c>
      <c r="I2189" s="4" t="n">
        <v>1</v>
      </c>
      <c r="J2189" s="6" t="n">
        <v>7.89</v>
      </c>
      <c r="K2189" s="6" t="n">
        <v>190.661093</v>
      </c>
      <c r="L2189" s="6">
        <f>I2189*K2189</f>
        <v/>
      </c>
      <c r="M2189" s="6">
        <f>K2189*4</f>
        <v/>
      </c>
      <c r="N2189" s="6" t="n">
        <v>678</v>
      </c>
    </row>
    <row r="2190">
      <c r="A2190" s="1" t="inlineStr">
        <is>
          <t>63e0b1e6f022f</t>
        </is>
      </c>
      <c r="B2190" s="1" t="inlineStr">
        <is>
          <t>ANILLO BV GOLD DELGADO</t>
        </is>
      </c>
      <c r="C2190" s="1" t="inlineStr">
        <is>
          <t>10</t>
        </is>
      </c>
      <c r="D2190" s="1" t="inlineStr">
        <is>
          <t>20/01/2026</t>
        </is>
      </c>
      <c r="E2190" s="1" t="n">
        <v>2026</v>
      </c>
      <c r="F2190" s="1" t="inlineStr">
        <is>
          <t>ENERO</t>
        </is>
      </c>
      <c r="G2190" s="1" t="inlineStr">
        <is>
          <t>COCOMA</t>
        </is>
      </c>
      <c r="H2190" s="1" t="inlineStr">
        <is>
          <t>COCOMA 20/01/2026</t>
        </is>
      </c>
      <c r="I2190" s="4" t="n">
        <v>2</v>
      </c>
      <c r="J2190" s="6" t="n">
        <v>7.89</v>
      </c>
      <c r="K2190" s="6" t="n">
        <v>190.661093</v>
      </c>
      <c r="L2190" s="6">
        <f>I2190*K2190</f>
        <v/>
      </c>
      <c r="M2190" s="6">
        <f>K2190*4</f>
        <v/>
      </c>
      <c r="N2190" s="6" t="n">
        <v>678</v>
      </c>
    </row>
    <row r="2191">
      <c r="A2191" s="1" t="inlineStr">
        <is>
          <t>63e0b1e70453e</t>
        </is>
      </c>
      <c r="B2191" s="1" t="inlineStr">
        <is>
          <t>ANILLO BV ROSE GOLD</t>
        </is>
      </c>
      <c r="C2191" s="1" t="inlineStr">
        <is>
          <t>10</t>
        </is>
      </c>
      <c r="D2191" s="1" t="inlineStr">
        <is>
          <t>20/01/2026</t>
        </is>
      </c>
      <c r="E2191" s="1" t="n">
        <v>2026</v>
      </c>
      <c r="F2191" s="1" t="inlineStr">
        <is>
          <t>ENERO</t>
        </is>
      </c>
      <c r="G2191" s="1" t="inlineStr">
        <is>
          <t>COCOMA</t>
        </is>
      </c>
      <c r="H2191" s="1" t="inlineStr">
        <is>
          <t>COCOMA 20/01/2026</t>
        </is>
      </c>
      <c r="I2191" s="4" t="n">
        <v>1</v>
      </c>
      <c r="J2191" s="6" t="n">
        <v>4.3</v>
      </c>
      <c r="K2191" s="6" t="n">
        <v>103.9090874</v>
      </c>
      <c r="L2191" s="6">
        <f>I2191*K2191</f>
        <v/>
      </c>
      <c r="M2191" s="6">
        <f>K2191*4</f>
        <v/>
      </c>
      <c r="N2191" s="6" t="n">
        <v>300</v>
      </c>
    </row>
    <row r="2192">
      <c r="A2192" s="1" t="inlineStr">
        <is>
          <t>63e0b1f7d50b1</t>
        </is>
      </c>
      <c r="B2192" s="1" t="inlineStr">
        <is>
          <t>ANILLO BV SILVER</t>
        </is>
      </c>
      <c r="C2192" s="1" t="inlineStr">
        <is>
          <t>6</t>
        </is>
      </c>
      <c r="D2192" s="1" t="inlineStr">
        <is>
          <t>20/01/2026</t>
        </is>
      </c>
      <c r="E2192" s="1" t="n">
        <v>2026</v>
      </c>
      <c r="F2192" s="1" t="inlineStr">
        <is>
          <t>ENERO</t>
        </is>
      </c>
      <c r="G2192" s="1" t="inlineStr">
        <is>
          <t>COCOMA</t>
        </is>
      </c>
      <c r="H2192" s="1" t="inlineStr">
        <is>
          <t>COCOMA 20/01/2026</t>
        </is>
      </c>
      <c r="I2192" s="4" t="n">
        <v>5</v>
      </c>
      <c r="J2192" s="6" t="n">
        <v>4.06</v>
      </c>
      <c r="K2192" s="6" t="n">
        <v>98.10951046</v>
      </c>
      <c r="L2192" s="6">
        <f>I2192*K2192</f>
        <v/>
      </c>
      <c r="M2192" s="6">
        <f>K2192*4</f>
        <v/>
      </c>
      <c r="N2192" s="6" t="n">
        <v>520</v>
      </c>
    </row>
    <row r="2193">
      <c r="A2193" s="1" t="inlineStr">
        <is>
          <t>63e0b1f8bb7d5</t>
        </is>
      </c>
      <c r="B2193" s="1" t="inlineStr">
        <is>
          <t>ANILLO BV SILVER</t>
        </is>
      </c>
      <c r="C2193" s="1" t="inlineStr">
        <is>
          <t>7</t>
        </is>
      </c>
      <c r="D2193" s="1" t="inlineStr">
        <is>
          <t>01/05/2025</t>
        </is>
      </c>
      <c r="E2193" s="1" t="n">
        <v>2025</v>
      </c>
      <c r="F2193" s="1" t="inlineStr">
        <is>
          <t>MAYO</t>
        </is>
      </c>
      <c r="G2193" s="1" t="inlineStr">
        <is>
          <t>COCOMA</t>
        </is>
      </c>
      <c r="H2193" s="1" t="inlineStr">
        <is>
          <t>COCOMA MAYO 2025</t>
        </is>
      </c>
      <c r="I2193" s="4" t="n">
        <v>2</v>
      </c>
      <c r="J2193" s="6" t="n">
        <v>4.06</v>
      </c>
      <c r="K2193" s="6" t="n">
        <v>99.45060599999999</v>
      </c>
      <c r="L2193" s="6">
        <f>I2193*K2193</f>
        <v/>
      </c>
      <c r="M2193" s="6">
        <f>K2193*4</f>
        <v/>
      </c>
      <c r="N2193" s="6" t="n">
        <v>520</v>
      </c>
    </row>
    <row r="2194">
      <c r="A2194" s="1" t="inlineStr">
        <is>
          <t>63e0b1f8bb7d5</t>
        </is>
      </c>
      <c r="B2194" s="1" t="inlineStr">
        <is>
          <t>ANILLO BV SILVER</t>
        </is>
      </c>
      <c r="C2194" s="1" t="inlineStr">
        <is>
          <t>7</t>
        </is>
      </c>
      <c r="D2194" s="1" t="inlineStr">
        <is>
          <t>20/01/2026</t>
        </is>
      </c>
      <c r="E2194" s="1" t="n">
        <v>2026</v>
      </c>
      <c r="F2194" s="1" t="inlineStr">
        <is>
          <t>ENERO</t>
        </is>
      </c>
      <c r="G2194" s="1" t="inlineStr">
        <is>
          <t>COCOMA</t>
        </is>
      </c>
      <c r="H2194" s="1" t="inlineStr">
        <is>
          <t>COCOMA 20/01/2026</t>
        </is>
      </c>
      <c r="I2194" s="4" t="n">
        <v>5</v>
      </c>
      <c r="J2194" s="6" t="n">
        <v>4.06</v>
      </c>
      <c r="K2194" s="6" t="n">
        <v>98.10951046</v>
      </c>
      <c r="L2194" s="6">
        <f>I2194*K2194</f>
        <v/>
      </c>
      <c r="M2194" s="6">
        <f>K2194*4</f>
        <v/>
      </c>
      <c r="N2194" s="6" t="n">
        <v>520</v>
      </c>
    </row>
    <row r="2195">
      <c r="A2195" s="1" t="inlineStr">
        <is>
          <t>63e0b1f91d20d</t>
        </is>
      </c>
      <c r="B2195" s="1" t="inlineStr">
        <is>
          <t>ANILLO BV SILVER DELGADO</t>
        </is>
      </c>
      <c r="C2195" s="1" t="inlineStr">
        <is>
          <t>6</t>
        </is>
      </c>
      <c r="D2195" s="1" t="inlineStr">
        <is>
          <t>20/01/2026</t>
        </is>
      </c>
      <c r="E2195" s="1" t="n">
        <v>2026</v>
      </c>
      <c r="F2195" s="1" t="inlineStr">
        <is>
          <t>ENERO</t>
        </is>
      </c>
      <c r="G2195" s="1" t="inlineStr">
        <is>
          <t>COCOMA</t>
        </is>
      </c>
      <c r="H2195" s="1" t="inlineStr">
        <is>
          <t>COCOMA 20/01/2026</t>
        </is>
      </c>
      <c r="I2195" s="4" t="n">
        <v>2</v>
      </c>
      <c r="J2195" s="6" t="n">
        <v>7.89</v>
      </c>
      <c r="K2195" s="6" t="n">
        <v>190.661093</v>
      </c>
      <c r="L2195" s="6">
        <f>I2195*K2195</f>
        <v/>
      </c>
      <c r="M2195" s="6">
        <f>K2195*4</f>
        <v/>
      </c>
      <c r="N2195" s="6" t="n">
        <v>678</v>
      </c>
    </row>
    <row r="2196">
      <c r="A2196" s="1" t="inlineStr">
        <is>
          <t>63e0b1f9a5ac2</t>
        </is>
      </c>
      <c r="B2196" s="1" t="inlineStr">
        <is>
          <t>ANILLO BV SILVER</t>
        </is>
      </c>
      <c r="C2196" s="1" t="inlineStr">
        <is>
          <t>8</t>
        </is>
      </c>
      <c r="D2196" s="1" t="inlineStr">
        <is>
          <t>01/05/2025</t>
        </is>
      </c>
      <c r="E2196" s="1" t="n">
        <v>2025</v>
      </c>
      <c r="F2196" s="1" t="inlineStr">
        <is>
          <t>MAYO</t>
        </is>
      </c>
      <c r="G2196" s="1" t="inlineStr">
        <is>
          <t>COCOMA</t>
        </is>
      </c>
      <c r="H2196" s="1" t="inlineStr">
        <is>
          <t>COCOMA MAYO 2025</t>
        </is>
      </c>
      <c r="I2196" s="4" t="n">
        <v>7</v>
      </c>
      <c r="J2196" s="6" t="n">
        <v>4.06</v>
      </c>
      <c r="K2196" s="6" t="n">
        <v>99.45060599999999</v>
      </c>
      <c r="L2196" s="6">
        <f>I2196*K2196</f>
        <v/>
      </c>
      <c r="M2196" s="6">
        <f>K2196*4</f>
        <v/>
      </c>
      <c r="N2196" s="6" t="n">
        <v>520</v>
      </c>
    </row>
    <row r="2197">
      <c r="A2197" s="1" t="inlineStr">
        <is>
          <t>63e0b1f9a5ac2</t>
        </is>
      </c>
      <c r="B2197" s="1" t="inlineStr">
        <is>
          <t>ANILLO BV SILVER</t>
        </is>
      </c>
      <c r="C2197" s="1" t="inlineStr">
        <is>
          <t>8</t>
        </is>
      </c>
      <c r="D2197" s="1" t="inlineStr">
        <is>
          <t>20/01/2026</t>
        </is>
      </c>
      <c r="E2197" s="1" t="n">
        <v>2026</v>
      </c>
      <c r="F2197" s="1" t="inlineStr">
        <is>
          <t>ENERO</t>
        </is>
      </c>
      <c r="G2197" s="1" t="inlineStr">
        <is>
          <t>COCOMA</t>
        </is>
      </c>
      <c r="H2197" s="1" t="inlineStr">
        <is>
          <t>COCOMA 20/01/2026</t>
        </is>
      </c>
      <c r="I2197" s="4" t="n">
        <v>5</v>
      </c>
      <c r="J2197" s="6" t="n">
        <v>4.06</v>
      </c>
      <c r="K2197" s="6" t="n">
        <v>98.10951046</v>
      </c>
      <c r="L2197" s="6">
        <f>I2197*K2197</f>
        <v/>
      </c>
      <c r="M2197" s="6">
        <f>K2197*4</f>
        <v/>
      </c>
      <c r="N2197" s="6" t="n">
        <v>520</v>
      </c>
    </row>
    <row r="2198">
      <c r="A2198" s="1" t="inlineStr">
        <is>
          <t>63e0b1fa23537</t>
        </is>
      </c>
      <c r="B2198" s="1" t="inlineStr">
        <is>
          <t>ANILLO BV SILVER DELGADO</t>
        </is>
      </c>
      <c r="C2198" s="1" t="inlineStr">
        <is>
          <t>7</t>
        </is>
      </c>
      <c r="D2198" s="1" t="inlineStr">
        <is>
          <t>20/01/2026</t>
        </is>
      </c>
      <c r="E2198" s="1" t="n">
        <v>2026</v>
      </c>
      <c r="F2198" s="1" t="inlineStr">
        <is>
          <t>ENERO</t>
        </is>
      </c>
      <c r="G2198" s="1" t="inlineStr">
        <is>
          <t>COCOMA</t>
        </is>
      </c>
      <c r="H2198" s="1" t="inlineStr">
        <is>
          <t>COCOMA 20/01/2026</t>
        </is>
      </c>
      <c r="I2198" s="4" t="n">
        <v>2</v>
      </c>
      <c r="J2198" s="6" t="n">
        <v>7.89</v>
      </c>
      <c r="K2198" s="6" t="n">
        <v>190.661093</v>
      </c>
      <c r="L2198" s="6">
        <f>I2198*K2198</f>
        <v/>
      </c>
      <c r="M2198" s="6">
        <f>K2198*4</f>
        <v/>
      </c>
      <c r="N2198" s="6" t="n">
        <v>678</v>
      </c>
    </row>
    <row r="2199">
      <c r="A2199" s="1" t="inlineStr">
        <is>
          <t>63e0b1fa92d45</t>
        </is>
      </c>
      <c r="B2199" s="1" t="inlineStr">
        <is>
          <t>ANILLO BV SILVER</t>
        </is>
      </c>
      <c r="C2199" s="1" t="inlineStr">
        <is>
          <t>9</t>
        </is>
      </c>
      <c r="D2199" s="1" t="inlineStr">
        <is>
          <t>20/01/2026</t>
        </is>
      </c>
      <c r="E2199" s="1" t="n">
        <v>2026</v>
      </c>
      <c r="F2199" s="1" t="inlineStr">
        <is>
          <t>ENERO</t>
        </is>
      </c>
      <c r="G2199" s="1" t="inlineStr">
        <is>
          <t>COCOMA</t>
        </is>
      </c>
      <c r="H2199" s="1" t="inlineStr">
        <is>
          <t>COCOMA 20/01/2026</t>
        </is>
      </c>
      <c r="I2199" s="4" t="n">
        <v>4</v>
      </c>
      <c r="J2199" s="6" t="n">
        <v>4.06</v>
      </c>
      <c r="K2199" s="6" t="n">
        <v>98.10951046</v>
      </c>
      <c r="L2199" s="6">
        <f>I2199*K2199</f>
        <v/>
      </c>
      <c r="M2199" s="6">
        <f>K2199*4</f>
        <v/>
      </c>
      <c r="N2199" s="6" t="n">
        <v>520</v>
      </c>
    </row>
    <row r="2200">
      <c r="A2200" s="1" t="inlineStr">
        <is>
          <t>63e0b1fb11aa3</t>
        </is>
      </c>
      <c r="B2200" s="1" t="inlineStr">
        <is>
          <t>ANILLO BV SILVER DELGADO</t>
        </is>
      </c>
      <c r="C2200" s="1" t="inlineStr">
        <is>
          <t>8</t>
        </is>
      </c>
      <c r="D2200" s="1" t="inlineStr">
        <is>
          <t>20/01/2026</t>
        </is>
      </c>
      <c r="E2200" s="1" t="n">
        <v>2026</v>
      </c>
      <c r="F2200" s="1" t="inlineStr">
        <is>
          <t>ENERO</t>
        </is>
      </c>
      <c r="G2200" s="1" t="inlineStr">
        <is>
          <t>COCOMA</t>
        </is>
      </c>
      <c r="H2200" s="1" t="inlineStr">
        <is>
          <t>COCOMA 20/01/2026</t>
        </is>
      </c>
      <c r="I2200" s="4" t="n">
        <v>2</v>
      </c>
      <c r="J2200" s="6" t="n">
        <v>7.89</v>
      </c>
      <c r="K2200" s="6" t="n">
        <v>190.661093</v>
      </c>
      <c r="L2200" s="6">
        <f>I2200*K2200</f>
        <v/>
      </c>
      <c r="M2200" s="6">
        <f>K2200*4</f>
        <v/>
      </c>
      <c r="N2200" s="6" t="n">
        <v>678</v>
      </c>
    </row>
    <row r="2201">
      <c r="A2201" s="1" t="inlineStr">
        <is>
          <t>63e0b1fbdf1a6</t>
        </is>
      </c>
      <c r="B2201" s="1" t="inlineStr">
        <is>
          <t>ANILLO BV SILVER</t>
        </is>
      </c>
      <c r="C2201" s="1" t="inlineStr">
        <is>
          <t>10</t>
        </is>
      </c>
      <c r="D2201" s="1" t="inlineStr">
        <is>
          <t>01/05/2025</t>
        </is>
      </c>
      <c r="E2201" s="1" t="n">
        <v>2025</v>
      </c>
      <c r="F2201" s="1" t="inlineStr">
        <is>
          <t>MAYO</t>
        </is>
      </c>
      <c r="G2201" s="1" t="inlineStr">
        <is>
          <t>COCOMA</t>
        </is>
      </c>
      <c r="H2201" s="1" t="inlineStr">
        <is>
          <t>COCOMA MAYO 2025</t>
        </is>
      </c>
      <c r="I2201" s="4" t="n">
        <v>3</v>
      </c>
      <c r="J2201" s="6" t="n">
        <v>4.06</v>
      </c>
      <c r="K2201" s="6" t="n">
        <v>99.45060599999999</v>
      </c>
      <c r="L2201" s="6">
        <f>I2201*K2201</f>
        <v/>
      </c>
      <c r="M2201" s="6">
        <f>K2201*4</f>
        <v/>
      </c>
      <c r="N2201" s="6" t="n">
        <v>520</v>
      </c>
    </row>
    <row r="2202">
      <c r="A2202" s="1" t="inlineStr">
        <is>
          <t>63e0b1fbdf1a6</t>
        </is>
      </c>
      <c r="B2202" s="1" t="inlineStr">
        <is>
          <t>ANILLO BV SILVER</t>
        </is>
      </c>
      <c r="C2202" s="1" t="inlineStr">
        <is>
          <t>10</t>
        </is>
      </c>
      <c r="D2202" s="1" t="inlineStr">
        <is>
          <t>20/01/2026</t>
        </is>
      </c>
      <c r="E2202" s="1" t="n">
        <v>2026</v>
      </c>
      <c r="F2202" s="1" t="inlineStr">
        <is>
          <t>ENERO</t>
        </is>
      </c>
      <c r="G2202" s="1" t="inlineStr">
        <is>
          <t>COCOMA</t>
        </is>
      </c>
      <c r="H2202" s="1" t="inlineStr">
        <is>
          <t>COCOMA 20/01/2026</t>
        </is>
      </c>
      <c r="I2202" s="4" t="n">
        <v>5</v>
      </c>
      <c r="J2202" s="6" t="n">
        <v>4.06</v>
      </c>
      <c r="K2202" s="6" t="n">
        <v>98.10951046</v>
      </c>
      <c r="L2202" s="6">
        <f>I2202*K2202</f>
        <v/>
      </c>
      <c r="M2202" s="6">
        <f>K2202*4</f>
        <v/>
      </c>
      <c r="N2202" s="6" t="n">
        <v>520</v>
      </c>
    </row>
    <row r="2203">
      <c r="A2203" s="1" t="inlineStr">
        <is>
          <t>63e0b1fc15c01</t>
        </is>
      </c>
      <c r="B2203" s="1" t="inlineStr">
        <is>
          <t>ANILLO BV SILVER DELGADO</t>
        </is>
      </c>
      <c r="C2203" s="1" t="inlineStr">
        <is>
          <t>9</t>
        </is>
      </c>
      <c r="D2203" s="1" t="inlineStr">
        <is>
          <t>20/01/2026</t>
        </is>
      </c>
      <c r="E2203" s="1" t="n">
        <v>2026</v>
      </c>
      <c r="F2203" s="1" t="inlineStr">
        <is>
          <t>ENERO</t>
        </is>
      </c>
      <c r="G2203" s="1" t="inlineStr">
        <is>
          <t>COCOMA</t>
        </is>
      </c>
      <c r="H2203" s="1" t="inlineStr">
        <is>
          <t>COCOMA 20/01/2026</t>
        </is>
      </c>
      <c r="I2203" s="4" t="n">
        <v>2</v>
      </c>
      <c r="J2203" s="6" t="n">
        <v>7.89</v>
      </c>
      <c r="K2203" s="6" t="n">
        <v>190.661093</v>
      </c>
      <c r="L2203" s="6">
        <f>I2203*K2203</f>
        <v/>
      </c>
      <c r="M2203" s="6">
        <f>K2203*4</f>
        <v/>
      </c>
      <c r="N2203" s="6" t="n">
        <v>678</v>
      </c>
    </row>
    <row r="2204">
      <c r="A2204" s="1" t="inlineStr">
        <is>
          <t>63e0b1fcc7359</t>
        </is>
      </c>
      <c r="B2204" s="1" t="inlineStr">
        <is>
          <t>ANILLO BV SILVER</t>
        </is>
      </c>
      <c r="C2204" s="1" t="inlineStr">
        <is>
          <t>11</t>
        </is>
      </c>
      <c r="D2204" s="1" t="inlineStr">
        <is>
          <t>01/05/2025</t>
        </is>
      </c>
      <c r="E2204" s="1" t="n">
        <v>2025</v>
      </c>
      <c r="F2204" s="1" t="inlineStr">
        <is>
          <t>MAYO</t>
        </is>
      </c>
      <c r="G2204" s="1" t="inlineStr">
        <is>
          <t>COCOMA</t>
        </is>
      </c>
      <c r="H2204" s="1" t="inlineStr">
        <is>
          <t>COCOMA MAYO 2025</t>
        </is>
      </c>
      <c r="I2204" s="4" t="n">
        <v>2</v>
      </c>
      <c r="J2204" s="6" t="n">
        <v>4.06</v>
      </c>
      <c r="K2204" s="6" t="n">
        <v>99.45060599999999</v>
      </c>
      <c r="L2204" s="6">
        <f>I2204*K2204</f>
        <v/>
      </c>
      <c r="M2204" s="6">
        <f>K2204*4</f>
        <v/>
      </c>
      <c r="N2204" s="6" t="n">
        <v>520</v>
      </c>
    </row>
    <row r="2205">
      <c r="A2205" s="1" t="inlineStr">
        <is>
          <t>63e0b1fcc7359</t>
        </is>
      </c>
      <c r="B2205" s="1" t="inlineStr">
        <is>
          <t>ANILLO BV SILVER</t>
        </is>
      </c>
      <c r="C2205" s="1" t="inlineStr">
        <is>
          <t>11</t>
        </is>
      </c>
      <c r="D2205" s="1" t="inlineStr">
        <is>
          <t>20/01/2026</t>
        </is>
      </c>
      <c r="E2205" s="1" t="n">
        <v>2026</v>
      </c>
      <c r="F2205" s="1" t="inlineStr">
        <is>
          <t>ENERO</t>
        </is>
      </c>
      <c r="G2205" s="1" t="inlineStr">
        <is>
          <t>COCOMA</t>
        </is>
      </c>
      <c r="H2205" s="1" t="inlineStr">
        <is>
          <t>COCOMA 20/01/2026</t>
        </is>
      </c>
      <c r="I2205" s="4" t="n">
        <v>3</v>
      </c>
      <c r="J2205" s="6" t="n">
        <v>4.06</v>
      </c>
      <c r="K2205" s="6" t="n">
        <v>98.10951046</v>
      </c>
      <c r="L2205" s="6">
        <f>I2205*K2205</f>
        <v/>
      </c>
      <c r="M2205" s="6">
        <f>K2205*4</f>
        <v/>
      </c>
      <c r="N2205" s="6" t="n">
        <v>520</v>
      </c>
    </row>
    <row r="2206">
      <c r="A2206" s="1" t="inlineStr">
        <is>
          <t>63e0b1fd046c4</t>
        </is>
      </c>
      <c r="B2206" s="1" t="inlineStr">
        <is>
          <t>ANILLO BV SILVER DELGADO</t>
        </is>
      </c>
      <c r="C2206" s="1" t="inlineStr">
        <is>
          <t>10</t>
        </is>
      </c>
      <c r="D2206" s="1" t="inlineStr">
        <is>
          <t>20/01/2026</t>
        </is>
      </c>
      <c r="E2206" s="1" t="n">
        <v>2026</v>
      </c>
      <c r="F2206" s="1" t="inlineStr">
        <is>
          <t>ENERO</t>
        </is>
      </c>
      <c r="G2206" s="1" t="inlineStr">
        <is>
          <t>COCOMA</t>
        </is>
      </c>
      <c r="H2206" s="1" t="inlineStr">
        <is>
          <t>COCOMA 20/01/2026</t>
        </is>
      </c>
      <c r="I2206" s="4" t="n">
        <v>2</v>
      </c>
      <c r="J2206" s="6" t="n">
        <v>7.89</v>
      </c>
      <c r="K2206" s="6" t="n">
        <v>190.661093</v>
      </c>
      <c r="L2206" s="6">
        <f>I2206*K2206</f>
        <v/>
      </c>
      <c r="M2206" s="6">
        <f>K2206*4</f>
        <v/>
      </c>
      <c r="N2206" s="6" t="n">
        <v>678</v>
      </c>
    </row>
    <row r="2207">
      <c r="A2207" s="1" t="inlineStr">
        <is>
          <t>63e0b1fde9905</t>
        </is>
      </c>
      <c r="B2207" s="1" t="inlineStr">
        <is>
          <t>ANILLO BV SILVER</t>
        </is>
      </c>
      <c r="C2207" s="1" t="inlineStr">
        <is>
          <t>12</t>
        </is>
      </c>
      <c r="D2207" s="1" t="inlineStr">
        <is>
          <t>01/05/2025</t>
        </is>
      </c>
      <c r="E2207" s="1" t="n">
        <v>2025</v>
      </c>
      <c r="F2207" s="1" t="inlineStr">
        <is>
          <t>MAYO</t>
        </is>
      </c>
      <c r="G2207" s="1" t="inlineStr">
        <is>
          <t>COCOMA</t>
        </is>
      </c>
      <c r="H2207" s="1" t="inlineStr">
        <is>
          <t>COCOMA MAYO 2025</t>
        </is>
      </c>
      <c r="I2207" s="4" t="n">
        <v>3</v>
      </c>
      <c r="J2207" s="6" t="n">
        <v>4.06</v>
      </c>
      <c r="K2207" s="6" t="n">
        <v>99.45060599999999</v>
      </c>
      <c r="L2207" s="6">
        <f>I2207*K2207</f>
        <v/>
      </c>
      <c r="M2207" s="6">
        <f>K2207*4</f>
        <v/>
      </c>
      <c r="N2207" s="6" t="n">
        <v>520</v>
      </c>
    </row>
    <row r="2208">
      <c r="A2208" s="1" t="inlineStr">
        <is>
          <t>63e0b1fde9905</t>
        </is>
      </c>
      <c r="B2208" s="1" t="inlineStr">
        <is>
          <t>ANILLO BV SILVER</t>
        </is>
      </c>
      <c r="C2208" s="1" t="inlineStr">
        <is>
          <t>12</t>
        </is>
      </c>
      <c r="D2208" s="1" t="inlineStr">
        <is>
          <t>20/01/2026</t>
        </is>
      </c>
      <c r="E2208" s="1" t="n">
        <v>2026</v>
      </c>
      <c r="F2208" s="1" t="inlineStr">
        <is>
          <t>ENERO</t>
        </is>
      </c>
      <c r="G2208" s="1" t="inlineStr">
        <is>
          <t>COCOMA</t>
        </is>
      </c>
      <c r="H2208" s="1" t="inlineStr">
        <is>
          <t>COCOMA 20/01/2026</t>
        </is>
      </c>
      <c r="I2208" s="4" t="n">
        <v>3</v>
      </c>
      <c r="J2208" s="6" t="n">
        <v>4.06</v>
      </c>
      <c r="K2208" s="6" t="n">
        <v>98.10951046</v>
      </c>
      <c r="L2208" s="6">
        <f>I2208*K2208</f>
        <v/>
      </c>
      <c r="M2208" s="6">
        <f>K2208*4</f>
        <v/>
      </c>
      <c r="N2208" s="6" t="n">
        <v>520</v>
      </c>
    </row>
    <row r="2209">
      <c r="A2209" s="1" t="inlineStr">
        <is>
          <t>63e0b72a8a859</t>
        </is>
      </c>
      <c r="B2209" s="1" t="inlineStr">
        <is>
          <t>ANILLO COCO GOLD</t>
        </is>
      </c>
      <c r="C2209" s="1" t="inlineStr">
        <is>
          <t>5</t>
        </is>
      </c>
      <c r="D2209" s="1" t="inlineStr">
        <is>
          <t>20/01/2026</t>
        </is>
      </c>
      <c r="E2209" s="1" t="n">
        <v>2026</v>
      </c>
      <c r="F2209" s="1" t="inlineStr">
        <is>
          <t>ENERO</t>
        </is>
      </c>
      <c r="G2209" s="1" t="inlineStr">
        <is>
          <t>HAIFENG</t>
        </is>
      </c>
      <c r="H2209" s="1" t="inlineStr">
        <is>
          <t>HAIFENG 20/01/2026</t>
        </is>
      </c>
      <c r="I2209" s="4" t="n">
        <v>4</v>
      </c>
      <c r="J2209" s="6" t="n">
        <v>1.8</v>
      </c>
      <c r="K2209" s="6" t="n">
        <v>38.16075203</v>
      </c>
      <c r="L2209" s="6">
        <f>I2209*K2209</f>
        <v/>
      </c>
      <c r="M2209" s="6">
        <f>K2209*4</f>
        <v/>
      </c>
      <c r="N2209" s="6" t="n">
        <v>400</v>
      </c>
    </row>
    <row r="2210">
      <c r="A2210" s="1" t="inlineStr">
        <is>
          <t>63e0b72a8a859</t>
        </is>
      </c>
      <c r="B2210" s="1" t="inlineStr">
        <is>
          <t>ANILLO COCO GOLD</t>
        </is>
      </c>
      <c r="C2210" s="1" t="inlineStr">
        <is>
          <t>5</t>
        </is>
      </c>
      <c r="D2210" s="1" t="inlineStr">
        <is>
          <t>10/02/2026</t>
        </is>
      </c>
      <c r="E2210" s="1" t="n">
        <v>2026</v>
      </c>
      <c r="F2210" s="1" t="inlineStr">
        <is>
          <t>FEBRERO</t>
        </is>
      </c>
      <c r="G2210" s="1" t="inlineStr">
        <is>
          <t>HAIFENG</t>
        </is>
      </c>
      <c r="H2210" s="1" t="inlineStr">
        <is>
          <t>HAIFENG 10/02/2026</t>
        </is>
      </c>
      <c r="I2210" s="4" t="n">
        <v>3</v>
      </c>
      <c r="J2210" s="6" t="n">
        <v>1.8</v>
      </c>
      <c r="K2210" s="6" t="n">
        <v>37.92329292</v>
      </c>
      <c r="L2210" s="6">
        <f>I2210*K2210</f>
        <v/>
      </c>
      <c r="M2210" s="6">
        <f>K2210*4</f>
        <v/>
      </c>
      <c r="N2210" s="6" t="n">
        <v>400</v>
      </c>
    </row>
    <row r="2211">
      <c r="A2211" s="1" t="inlineStr">
        <is>
          <t>63e0b72a8a859</t>
        </is>
      </c>
      <c r="B2211" s="1" t="inlineStr">
        <is>
          <t>ANILLO COCO GOLD</t>
        </is>
      </c>
      <c r="C2211" s="1" t="inlineStr">
        <is>
          <t>5</t>
        </is>
      </c>
      <c r="D2211" s="1" t="inlineStr">
        <is>
          <t>06/05/2026</t>
        </is>
      </c>
      <c r="E2211" s="1" t="n">
        <v>2026</v>
      </c>
      <c r="F2211" s="1" t="inlineStr">
        <is>
          <t>MAYO</t>
        </is>
      </c>
      <c r="G2211" s="1" t="inlineStr">
        <is>
          <t>HAIFENG</t>
        </is>
      </c>
      <c r="H2211" s="1" t="inlineStr">
        <is>
          <t>HAIFENG 06/05/2026</t>
        </is>
      </c>
      <c r="I2211" s="4" t="n">
        <v>2</v>
      </c>
      <c r="J2211" s="6" t="n">
        <v>1.8</v>
      </c>
      <c r="K2211" s="6" t="n">
        <v>38.19355608</v>
      </c>
      <c r="L2211" s="6">
        <f>I2211*K2211</f>
        <v/>
      </c>
      <c r="M2211" s="6">
        <f>K2211*4</f>
        <v/>
      </c>
      <c r="N2211" s="6" t="n">
        <v>400</v>
      </c>
    </row>
    <row r="2212">
      <c r="A2212" s="1" t="inlineStr">
        <is>
          <t>63e0b72a8a859</t>
        </is>
      </c>
      <c r="B2212" s="1" t="inlineStr">
        <is>
          <t>ANILLO COCO GOLD</t>
        </is>
      </c>
      <c r="C2212" s="1" t="inlineStr">
        <is>
          <t>5</t>
        </is>
      </c>
      <c r="D2212" s="1" t="inlineStr">
        <is>
          <t>16/06/2026</t>
        </is>
      </c>
      <c r="E2212" s="1" t="n">
        <v>2026</v>
      </c>
      <c r="F2212" s="1" t="inlineStr">
        <is>
          <t>JUNIO</t>
        </is>
      </c>
      <c r="G2212" s="1" t="inlineStr">
        <is>
          <t>HAIFENG</t>
        </is>
      </c>
      <c r="H2212" s="1" t="inlineStr">
        <is>
          <t>HAIFENG 16/06/2026</t>
        </is>
      </c>
      <c r="I2212" s="4" t="n">
        <v>3</v>
      </c>
      <c r="J2212" s="6" t="n">
        <v>1.8</v>
      </c>
      <c r="K2212" s="6" t="n">
        <v>37.82629163</v>
      </c>
      <c r="L2212" s="6">
        <f>I2212*K2212</f>
        <v/>
      </c>
      <c r="M2212" s="6">
        <f>K2212*4</f>
        <v/>
      </c>
      <c r="N2212" s="6" t="n">
        <v>400</v>
      </c>
    </row>
    <row r="2213">
      <c r="A2213" s="1" t="inlineStr">
        <is>
          <t>63e0b72b646a2</t>
        </is>
      </c>
      <c r="B2213" s="1" t="inlineStr">
        <is>
          <t>ANILLO COCO GOLD</t>
        </is>
      </c>
      <c r="C2213" s="1" t="inlineStr">
        <is>
          <t>6</t>
        </is>
      </c>
      <c r="D2213" s="1" t="inlineStr">
        <is>
          <t>01/09/2025</t>
        </is>
      </c>
      <c r="E2213" s="1" t="n">
        <v>2025</v>
      </c>
      <c r="F2213" s="1" t="inlineStr">
        <is>
          <t>SEPTIEMBRE</t>
        </is>
      </c>
      <c r="G2213" s="1" t="inlineStr">
        <is>
          <t>HAIFENG</t>
        </is>
      </c>
      <c r="H2213" s="1" t="inlineStr">
        <is>
          <t>HAIFENG 01/09/2025</t>
        </is>
      </c>
      <c r="I2213" s="4" t="n">
        <v>2</v>
      </c>
      <c r="J2213" s="6" t="n">
        <v>1.8</v>
      </c>
      <c r="K2213" s="6" t="n">
        <v>38.26020791</v>
      </c>
      <c r="L2213" s="6">
        <f>I2213*K2213</f>
        <v/>
      </c>
      <c r="M2213" s="6">
        <f>K2213*4</f>
        <v/>
      </c>
      <c r="N2213" s="6" t="n">
        <v>400</v>
      </c>
    </row>
    <row r="2214">
      <c r="A2214" s="1" t="inlineStr">
        <is>
          <t>63e0b72b646a2</t>
        </is>
      </c>
      <c r="B2214" s="1" t="inlineStr">
        <is>
          <t>ANILLO COCO GOLD</t>
        </is>
      </c>
      <c r="C2214" s="1" t="inlineStr">
        <is>
          <t>6</t>
        </is>
      </c>
      <c r="D2214" s="1" t="inlineStr">
        <is>
          <t>25/09/2025</t>
        </is>
      </c>
      <c r="E2214" s="1" t="n">
        <v>2025</v>
      </c>
      <c r="F2214" s="1" t="inlineStr">
        <is>
          <t>SEPTIEMBRE</t>
        </is>
      </c>
      <c r="G2214" s="1" t="inlineStr">
        <is>
          <t>HAIFENG</t>
        </is>
      </c>
      <c r="H2214" s="1" t="inlineStr">
        <is>
          <t>HAIFENG 25/09/2025</t>
        </is>
      </c>
      <c r="I2214" s="4" t="n">
        <v>1</v>
      </c>
      <c r="J2214" s="6" t="n">
        <v>1.8</v>
      </c>
      <c r="K2214" s="6" t="n">
        <v>37.97439438</v>
      </c>
      <c r="L2214" s="6">
        <f>I2214*K2214</f>
        <v/>
      </c>
      <c r="M2214" s="6">
        <f>K2214*4</f>
        <v/>
      </c>
      <c r="N2214" s="6" t="n">
        <v>400</v>
      </c>
    </row>
    <row r="2215">
      <c r="A2215" s="1" t="inlineStr">
        <is>
          <t>63e0b72b646a2</t>
        </is>
      </c>
      <c r="B2215" s="1" t="inlineStr">
        <is>
          <t>ANILLO COCO GOLD</t>
        </is>
      </c>
      <c r="C2215" s="1" t="inlineStr">
        <is>
          <t>6</t>
        </is>
      </c>
      <c r="D2215" s="1" t="inlineStr">
        <is>
          <t>03/12/2025</t>
        </is>
      </c>
      <c r="E2215" s="1" t="n">
        <v>2025</v>
      </c>
      <c r="F2215" s="1" t="inlineStr">
        <is>
          <t>DICIEMBRE</t>
        </is>
      </c>
      <c r="G2215" s="1" t="inlineStr">
        <is>
          <t>HAIFENG</t>
        </is>
      </c>
      <c r="H2215" s="1" t="inlineStr">
        <is>
          <t>HAIFENG 03/12/2025</t>
        </is>
      </c>
      <c r="I2215" s="4" t="n">
        <v>2</v>
      </c>
      <c r="J2215" s="6" t="n">
        <v>1.8</v>
      </c>
      <c r="K2215" s="6" t="n">
        <v>37.65088802</v>
      </c>
      <c r="L2215" s="6">
        <f>I2215*K2215</f>
        <v/>
      </c>
      <c r="M2215" s="6">
        <f>K2215*4</f>
        <v/>
      </c>
      <c r="N2215" s="6" t="n">
        <v>400</v>
      </c>
    </row>
    <row r="2216">
      <c r="A2216" s="1" t="inlineStr">
        <is>
          <t>63e0b72b646a2</t>
        </is>
      </c>
      <c r="B2216" s="1" t="n"/>
      <c r="C2216" s="1" t="inlineStr">
        <is>
          <t>6</t>
        </is>
      </c>
      <c r="D2216" s="1" t="inlineStr">
        <is>
          <t>10/02/2026</t>
        </is>
      </c>
      <c r="E2216" s="1" t="n">
        <v>2026</v>
      </c>
      <c r="F2216" s="1" t="inlineStr">
        <is>
          <t>FEBRERO</t>
        </is>
      </c>
      <c r="G2216" s="1" t="inlineStr">
        <is>
          <t>HAIFENG</t>
        </is>
      </c>
      <c r="H2216" s="1" t="inlineStr">
        <is>
          <t>HAIFENG 10/02/2026</t>
        </is>
      </c>
      <c r="I2216" s="4" t="n">
        <v>8</v>
      </c>
      <c r="J2216" s="6" t="n">
        <v>1.8</v>
      </c>
      <c r="K2216" s="6" t="n">
        <v>37.92329292</v>
      </c>
      <c r="L2216" s="6">
        <f>I2216*K2216</f>
        <v/>
      </c>
      <c r="M2216" s="6">
        <f>K2216*4</f>
        <v/>
      </c>
      <c r="N2216" s="6" t="n">
        <v>400</v>
      </c>
    </row>
    <row r="2217">
      <c r="A2217" s="1" t="inlineStr">
        <is>
          <t>63e0b72b646a2</t>
        </is>
      </c>
      <c r="B2217" s="1" t="inlineStr">
        <is>
          <t>ANILLO COCO GOLD</t>
        </is>
      </c>
      <c r="C2217" s="1" t="inlineStr">
        <is>
          <t>6</t>
        </is>
      </c>
      <c r="D2217" s="1" t="inlineStr">
        <is>
          <t>26/05/2026</t>
        </is>
      </c>
      <c r="E2217" s="1" t="n">
        <v>2026</v>
      </c>
      <c r="F2217" s="1" t="inlineStr">
        <is>
          <t>MAYO</t>
        </is>
      </c>
      <c r="G2217" s="1" t="inlineStr">
        <is>
          <t>HAIFENG</t>
        </is>
      </c>
      <c r="H2217" s="1" t="inlineStr">
        <is>
          <t>HAIFENG 26/05/2026</t>
        </is>
      </c>
      <c r="I2217" s="4" t="n">
        <v>6</v>
      </c>
      <c r="J2217" s="6" t="n">
        <v>1.8</v>
      </c>
      <c r="K2217" s="6" t="n">
        <v>37.78073153</v>
      </c>
      <c r="L2217" s="6">
        <f>I2217*K2217</f>
        <v/>
      </c>
      <c r="M2217" s="6">
        <f>K2217*4</f>
        <v/>
      </c>
      <c r="N2217" s="6" t="n">
        <v>400</v>
      </c>
    </row>
    <row r="2218">
      <c r="A2218" s="1" t="inlineStr">
        <is>
          <t>63e0b72c4613b</t>
        </is>
      </c>
      <c r="B2218" s="1" t="n"/>
      <c r="C2218" s="1" t="inlineStr">
        <is>
          <t>7</t>
        </is>
      </c>
      <c r="D2218" s="1" t="inlineStr">
        <is>
          <t>10/02/2026</t>
        </is>
      </c>
      <c r="E2218" s="1" t="n">
        <v>2026</v>
      </c>
      <c r="F2218" s="1" t="inlineStr">
        <is>
          <t>FEBRERO</t>
        </is>
      </c>
      <c r="G2218" s="1" t="inlineStr">
        <is>
          <t>HAIFENG</t>
        </is>
      </c>
      <c r="H2218" s="1" t="inlineStr">
        <is>
          <t>HAIFENG 10/02/2026</t>
        </is>
      </c>
      <c r="I2218" s="4" t="n">
        <v>5</v>
      </c>
      <c r="J2218" s="6" t="n">
        <v>1.8</v>
      </c>
      <c r="K2218" s="6" t="n">
        <v>37.92329292</v>
      </c>
      <c r="L2218" s="6">
        <f>I2218*K2218</f>
        <v/>
      </c>
      <c r="M2218" s="6">
        <f>K2218*4</f>
        <v/>
      </c>
      <c r="N2218" s="6" t="n">
        <v>400</v>
      </c>
    </row>
    <row r="2219">
      <c r="A2219" s="1" t="inlineStr">
        <is>
          <t>63e0b72c4613b</t>
        </is>
      </c>
      <c r="B2219" s="1" t="inlineStr">
        <is>
          <t>ANILLO COCO GOLD</t>
        </is>
      </c>
      <c r="C2219" s="1" t="inlineStr">
        <is>
          <t>7</t>
        </is>
      </c>
      <c r="D2219" s="1" t="inlineStr">
        <is>
          <t>11/03/2026</t>
        </is>
      </c>
      <c r="E2219" s="1" t="n">
        <v>2026</v>
      </c>
      <c r="F2219" s="1" t="inlineStr">
        <is>
          <t>MARZO</t>
        </is>
      </c>
      <c r="G2219" s="1" t="inlineStr">
        <is>
          <t>HAIFENG</t>
        </is>
      </c>
      <c r="H2219" s="1" t="inlineStr">
        <is>
          <t>HAIFENG 11/03/2026</t>
        </is>
      </c>
      <c r="I2219" s="4" t="n">
        <v>2</v>
      </c>
      <c r="J2219" s="6" t="n">
        <v>1.8</v>
      </c>
      <c r="K2219" s="6" t="n">
        <v>38.34701319</v>
      </c>
      <c r="L2219" s="6">
        <f>I2219*K2219</f>
        <v/>
      </c>
      <c r="M2219" s="6">
        <f>K2219*4</f>
        <v/>
      </c>
      <c r="N2219" s="6" t="n">
        <v>400</v>
      </c>
    </row>
    <row r="2220">
      <c r="A2220" s="1" t="inlineStr">
        <is>
          <t>63e0b72d387b2</t>
        </is>
      </c>
      <c r="B2220" s="1" t="n"/>
      <c r="C2220" s="1" t="inlineStr">
        <is>
          <t>8</t>
        </is>
      </c>
      <c r="D2220" s="1" t="inlineStr">
        <is>
          <t>10/02/2026</t>
        </is>
      </c>
      <c r="E2220" s="1" t="n">
        <v>2026</v>
      </c>
      <c r="F2220" s="1" t="inlineStr">
        <is>
          <t>FEBRERO</t>
        </is>
      </c>
      <c r="G2220" s="1" t="inlineStr">
        <is>
          <t>HAIFENG</t>
        </is>
      </c>
      <c r="H2220" s="1" t="inlineStr">
        <is>
          <t>HAIFENG 10/02/2026</t>
        </is>
      </c>
      <c r="I2220" s="4" t="n">
        <v>5</v>
      </c>
      <c r="J2220" s="6" t="n">
        <v>1.8</v>
      </c>
      <c r="K2220" s="6" t="n">
        <v>37.92329292</v>
      </c>
      <c r="L2220" s="6">
        <f>I2220*K2220</f>
        <v/>
      </c>
      <c r="M2220" s="6">
        <f>K2220*4</f>
        <v/>
      </c>
      <c r="N2220" s="6" t="n">
        <v>400</v>
      </c>
    </row>
    <row r="2221">
      <c r="A2221" s="1" t="inlineStr">
        <is>
          <t>63e0b72d387b2</t>
        </is>
      </c>
      <c r="B2221" s="1" t="inlineStr">
        <is>
          <t>ANILLO COCO GOLD</t>
        </is>
      </c>
      <c r="C2221" s="1" t="inlineStr">
        <is>
          <t>8</t>
        </is>
      </c>
      <c r="D2221" s="1" t="inlineStr">
        <is>
          <t>26/05/2026</t>
        </is>
      </c>
      <c r="E2221" s="1" t="n">
        <v>2026</v>
      </c>
      <c r="F2221" s="1" t="inlineStr">
        <is>
          <t>MAYO</t>
        </is>
      </c>
      <c r="G2221" s="1" t="inlineStr">
        <is>
          <t>HAIFENG</t>
        </is>
      </c>
      <c r="H2221" s="1" t="inlineStr">
        <is>
          <t>HAIFENG 26/05/2026</t>
        </is>
      </c>
      <c r="I2221" s="4" t="n">
        <v>3</v>
      </c>
      <c r="J2221" s="6" t="n">
        <v>1.8</v>
      </c>
      <c r="K2221" s="6" t="n">
        <v>37.78073153</v>
      </c>
      <c r="L2221" s="6">
        <f>I2221*K2221</f>
        <v/>
      </c>
      <c r="M2221" s="6">
        <f>K2221*4</f>
        <v/>
      </c>
      <c r="N2221" s="6" t="n">
        <v>400</v>
      </c>
    </row>
    <row r="2222">
      <c r="A2222" s="1" t="inlineStr">
        <is>
          <t>63e0b72d387b2</t>
        </is>
      </c>
      <c r="B2222" s="1" t="inlineStr">
        <is>
          <t>ANILLO COCO GOLD</t>
        </is>
      </c>
      <c r="C2222" s="1" t="inlineStr">
        <is>
          <t>8</t>
        </is>
      </c>
      <c r="D2222" s="1" t="inlineStr">
        <is>
          <t>16/06/2026</t>
        </is>
      </c>
      <c r="E2222" s="1" t="n">
        <v>2026</v>
      </c>
      <c r="F2222" s="1" t="inlineStr">
        <is>
          <t>JUNIO</t>
        </is>
      </c>
      <c r="G2222" s="1" t="inlineStr">
        <is>
          <t>HAIFENG</t>
        </is>
      </c>
      <c r="H2222" s="1" t="inlineStr">
        <is>
          <t>HAIFENG 16/06/2026</t>
        </is>
      </c>
      <c r="I2222" s="4" t="n">
        <v>2</v>
      </c>
      <c r="J2222" s="6" t="n">
        <v>1.8</v>
      </c>
      <c r="K2222" s="6" t="n">
        <v>37.82629163</v>
      </c>
      <c r="L2222" s="6">
        <f>I2222*K2222</f>
        <v/>
      </c>
      <c r="M2222" s="6">
        <f>K2222*4</f>
        <v/>
      </c>
      <c r="N2222" s="6" t="n">
        <v>400</v>
      </c>
    </row>
    <row r="2223">
      <c r="A2223" s="1" t="inlineStr">
        <is>
          <t>63e0b72d92a68</t>
        </is>
      </c>
      <c r="B2223" s="1" t="inlineStr">
        <is>
          <t>ANILLO COCO ROSE GOLD</t>
        </is>
      </c>
      <c r="C2223" s="1" t="inlineStr">
        <is>
          <t>5</t>
        </is>
      </c>
      <c r="D2223" s="1" t="inlineStr">
        <is>
          <t>11/03/2026</t>
        </is>
      </c>
      <c r="E2223" s="1" t="n">
        <v>2026</v>
      </c>
      <c r="F2223" s="1" t="inlineStr">
        <is>
          <t>MARZO</t>
        </is>
      </c>
      <c r="G2223" s="1" t="inlineStr">
        <is>
          <t>HAIFENG</t>
        </is>
      </c>
      <c r="H2223" s="1" t="inlineStr">
        <is>
          <t>HAIFENG 11/03/2026</t>
        </is>
      </c>
      <c r="I2223" s="4" t="n">
        <v>5</v>
      </c>
      <c r="J2223" s="6" t="n">
        <v>1.8</v>
      </c>
      <c r="K2223" s="6" t="n">
        <v>38.34701319</v>
      </c>
      <c r="L2223" s="6">
        <f>I2223*K2223</f>
        <v/>
      </c>
      <c r="M2223" s="6">
        <f>K2223*4</f>
        <v/>
      </c>
      <c r="N2223" s="6" t="n">
        <v>400</v>
      </c>
    </row>
    <row r="2224">
      <c r="A2224" s="1" t="inlineStr">
        <is>
          <t>63e0b72d92a68</t>
        </is>
      </c>
      <c r="B2224" s="1" t="inlineStr">
        <is>
          <t>ANILLO COCO ROSE GOLD</t>
        </is>
      </c>
      <c r="C2224" s="1" t="inlineStr">
        <is>
          <t>5</t>
        </is>
      </c>
      <c r="D2224" s="1" t="inlineStr">
        <is>
          <t>16/06/2026</t>
        </is>
      </c>
      <c r="E2224" s="1" t="n">
        <v>2026</v>
      </c>
      <c r="F2224" s="1" t="inlineStr">
        <is>
          <t>JUNIO</t>
        </is>
      </c>
      <c r="G2224" s="1" t="inlineStr">
        <is>
          <t>HAIFENG</t>
        </is>
      </c>
      <c r="H2224" s="1" t="inlineStr">
        <is>
          <t>HAIFENG 16/06/2026</t>
        </is>
      </c>
      <c r="I2224" s="4" t="n">
        <v>2</v>
      </c>
      <c r="J2224" s="6" t="n">
        <v>1.8</v>
      </c>
      <c r="K2224" s="6" t="n">
        <v>37.82629163</v>
      </c>
      <c r="L2224" s="6">
        <f>I2224*K2224</f>
        <v/>
      </c>
      <c r="M2224" s="6">
        <f>K2224*4</f>
        <v/>
      </c>
      <c r="N2224" s="6" t="n">
        <v>400</v>
      </c>
    </row>
    <row r="2225">
      <c r="A2225" s="1" t="inlineStr">
        <is>
          <t>63e0b72e8ae97</t>
        </is>
      </c>
      <c r="B2225" s="1" t="inlineStr">
        <is>
          <t>ANILLO COCO GOLD</t>
        </is>
      </c>
      <c r="C2225" s="1" t="inlineStr">
        <is>
          <t>9</t>
        </is>
      </c>
      <c r="D2225" s="1" t="inlineStr">
        <is>
          <t>03/12/2025</t>
        </is>
      </c>
      <c r="E2225" s="1" t="n">
        <v>2025</v>
      </c>
      <c r="F2225" s="1" t="inlineStr">
        <is>
          <t>DICIEMBRE</t>
        </is>
      </c>
      <c r="G2225" s="1" t="inlineStr">
        <is>
          <t>HAIFENG</t>
        </is>
      </c>
      <c r="H2225" s="1" t="inlineStr">
        <is>
          <t>HAIFENG 03/12/2025</t>
        </is>
      </c>
      <c r="I2225" s="4" t="n">
        <v>2</v>
      </c>
      <c r="J2225" s="6" t="n">
        <v>1.8</v>
      </c>
      <c r="K2225" s="6" t="n">
        <v>37.65088802</v>
      </c>
      <c r="L2225" s="6">
        <f>I2225*K2225</f>
        <v/>
      </c>
      <c r="M2225" s="6">
        <f>K2225*4</f>
        <v/>
      </c>
      <c r="N2225" s="6" t="n">
        <v>400</v>
      </c>
    </row>
    <row r="2226">
      <c r="A2226" s="1" t="inlineStr">
        <is>
          <t>63e0b72e8ae97</t>
        </is>
      </c>
      <c r="B2226" s="1" t="inlineStr">
        <is>
          <t>ANILLO COCO GOLD</t>
        </is>
      </c>
      <c r="C2226" s="1" t="inlineStr">
        <is>
          <t>9</t>
        </is>
      </c>
      <c r="D2226" s="1" t="inlineStr">
        <is>
          <t>11/03/2026</t>
        </is>
      </c>
      <c r="E2226" s="1" t="n">
        <v>2026</v>
      </c>
      <c r="F2226" s="1" t="inlineStr">
        <is>
          <t>MARZO</t>
        </is>
      </c>
      <c r="G2226" s="1" t="inlineStr">
        <is>
          <t>HAIFENG</t>
        </is>
      </c>
      <c r="H2226" s="1" t="inlineStr">
        <is>
          <t>HAIFENG 11/03/2026</t>
        </is>
      </c>
      <c r="I2226" s="4" t="n">
        <v>1</v>
      </c>
      <c r="J2226" s="6" t="n">
        <v>1.8</v>
      </c>
      <c r="K2226" s="6" t="n">
        <v>38.34701319</v>
      </c>
      <c r="L2226" s="6">
        <f>I2226*K2226</f>
        <v/>
      </c>
      <c r="M2226" s="6">
        <f>K2226*4</f>
        <v/>
      </c>
      <c r="N2226" s="6" t="n">
        <v>400</v>
      </c>
    </row>
    <row r="2227">
      <c r="A2227" s="1" t="inlineStr">
        <is>
          <t>63e0b72e8ae97</t>
        </is>
      </c>
      <c r="B2227" s="1" t="inlineStr">
        <is>
          <t>ANILLO COCO GOLD</t>
        </is>
      </c>
      <c r="C2227" s="1" t="inlineStr">
        <is>
          <t>9</t>
        </is>
      </c>
      <c r="D2227" s="1" t="inlineStr">
        <is>
          <t>06/05/2026</t>
        </is>
      </c>
      <c r="E2227" s="1" t="n">
        <v>2026</v>
      </c>
      <c r="F2227" s="1" t="inlineStr">
        <is>
          <t>MAYO</t>
        </is>
      </c>
      <c r="G2227" s="1" t="inlineStr">
        <is>
          <t>HAIFENG</t>
        </is>
      </c>
      <c r="H2227" s="1" t="inlineStr">
        <is>
          <t>HAIFENG 06/05/2026</t>
        </is>
      </c>
      <c r="I2227" s="4" t="n">
        <v>2</v>
      </c>
      <c r="J2227" s="6" t="n">
        <v>1.8</v>
      </c>
      <c r="K2227" s="6" t="n">
        <v>38.19355608</v>
      </c>
      <c r="L2227" s="6">
        <f>I2227*K2227</f>
        <v/>
      </c>
      <c r="M2227" s="6">
        <f>K2227*4</f>
        <v/>
      </c>
      <c r="N2227" s="6" t="n">
        <v>400</v>
      </c>
    </row>
    <row r="2228">
      <c r="A2228" s="1" t="inlineStr">
        <is>
          <t>63e0b72e8ae97</t>
        </is>
      </c>
      <c r="B2228" s="1" t="inlineStr">
        <is>
          <t>ANILLO COCO GOLD</t>
        </is>
      </c>
      <c r="C2228" s="1" t="inlineStr">
        <is>
          <t>9</t>
        </is>
      </c>
      <c r="D2228" s="1" t="inlineStr">
        <is>
          <t>26/05/2026</t>
        </is>
      </c>
      <c r="E2228" s="1" t="n">
        <v>2026</v>
      </c>
      <c r="F2228" s="1" t="inlineStr">
        <is>
          <t>MAYO</t>
        </is>
      </c>
      <c r="G2228" s="1" t="inlineStr">
        <is>
          <t>HAIFENG</t>
        </is>
      </c>
      <c r="H2228" s="1" t="inlineStr">
        <is>
          <t>HAIFENG 26/05/2026</t>
        </is>
      </c>
      <c r="I2228" s="4" t="n">
        <v>1</v>
      </c>
      <c r="J2228" s="6" t="n">
        <v>1.8</v>
      </c>
      <c r="K2228" s="6" t="n">
        <v>37.78073153</v>
      </c>
      <c r="L2228" s="6">
        <f>I2228*K2228</f>
        <v/>
      </c>
      <c r="M2228" s="6">
        <f>K2228*4</f>
        <v/>
      </c>
      <c r="N2228" s="6" t="n">
        <v>400</v>
      </c>
    </row>
    <row r="2229">
      <c r="A2229" s="1" t="inlineStr">
        <is>
          <t>63e0b72e8ceb1</t>
        </is>
      </c>
      <c r="B2229" s="1" t="inlineStr">
        <is>
          <t>ANILLO COCO ROSE GOLD</t>
        </is>
      </c>
      <c r="C2229" s="1" t="inlineStr">
        <is>
          <t>6</t>
        </is>
      </c>
      <c r="D2229" s="1" t="inlineStr">
        <is>
          <t>03/12/2025</t>
        </is>
      </c>
      <c r="E2229" s="1" t="n">
        <v>2025</v>
      </c>
      <c r="F2229" s="1" t="inlineStr">
        <is>
          <t>DICIEMBRE</t>
        </is>
      </c>
      <c r="G2229" s="1" t="inlineStr">
        <is>
          <t>HAIFENG</t>
        </is>
      </c>
      <c r="H2229" s="1" t="inlineStr">
        <is>
          <t>HAIFENG 03/12/2025</t>
        </is>
      </c>
      <c r="I2229" s="4" t="n">
        <v>2</v>
      </c>
      <c r="J2229" s="6" t="n">
        <v>1.8</v>
      </c>
      <c r="K2229" s="6" t="n">
        <v>37.65088802</v>
      </c>
      <c r="L2229" s="6">
        <f>I2229*K2229</f>
        <v/>
      </c>
      <c r="M2229" s="6">
        <f>K2229*4</f>
        <v/>
      </c>
      <c r="N2229" s="6" t="n">
        <v>400</v>
      </c>
    </row>
    <row r="2230">
      <c r="A2230" s="1" t="inlineStr">
        <is>
          <t>63e0b72e8ceb1</t>
        </is>
      </c>
      <c r="B2230" s="1" t="inlineStr">
        <is>
          <t>ANILLO COCO ROSE GOLD</t>
        </is>
      </c>
      <c r="C2230" s="1" t="inlineStr">
        <is>
          <t>6</t>
        </is>
      </c>
      <c r="D2230" s="1" t="inlineStr">
        <is>
          <t>16/04/2026</t>
        </is>
      </c>
      <c r="E2230" s="1" t="n">
        <v>2026</v>
      </c>
      <c r="F2230" s="1" t="inlineStr">
        <is>
          <t>ABRIL</t>
        </is>
      </c>
      <c r="G2230" s="1" t="inlineStr">
        <is>
          <t>HAIFENG</t>
        </is>
      </c>
      <c r="H2230" s="1" t="inlineStr">
        <is>
          <t>HAIFENG 16/04/2026</t>
        </is>
      </c>
      <c r="I2230" s="4" t="n">
        <v>3</v>
      </c>
      <c r="J2230" s="6" t="n">
        <v>1.8</v>
      </c>
      <c r="K2230" s="6" t="n">
        <v>37.85665246</v>
      </c>
      <c r="L2230" s="6">
        <f>I2230*K2230</f>
        <v/>
      </c>
      <c r="M2230" s="6">
        <f>K2230*4</f>
        <v/>
      </c>
      <c r="N2230" s="6" t="n">
        <v>400</v>
      </c>
    </row>
    <row r="2231">
      <c r="A2231" s="1" t="inlineStr">
        <is>
          <t>63e0b72f8b602</t>
        </is>
      </c>
      <c r="B2231" s="1" t="inlineStr">
        <is>
          <t>ANILLO COCO SILVER</t>
        </is>
      </c>
      <c r="C2231" s="1" t="inlineStr">
        <is>
          <t>5</t>
        </is>
      </c>
      <c r="D2231" s="1" t="inlineStr">
        <is>
          <t>03/12/2025</t>
        </is>
      </c>
      <c r="E2231" s="1" t="n">
        <v>2025</v>
      </c>
      <c r="F2231" s="1" t="inlineStr">
        <is>
          <t>DICIEMBRE</t>
        </is>
      </c>
      <c r="G2231" s="1" t="inlineStr">
        <is>
          <t>HAIFENG</t>
        </is>
      </c>
      <c r="H2231" s="1" t="inlineStr">
        <is>
          <t>HAIFENG 03/12/2025</t>
        </is>
      </c>
      <c r="I2231" s="4" t="n">
        <v>2</v>
      </c>
      <c r="J2231" s="6" t="n">
        <v>1.8</v>
      </c>
      <c r="K2231" s="6" t="n">
        <v>37.65088802</v>
      </c>
      <c r="L2231" s="6">
        <f>I2231*K2231</f>
        <v/>
      </c>
      <c r="M2231" s="6">
        <f>K2231*4</f>
        <v/>
      </c>
      <c r="N2231" s="6" t="n">
        <v>400</v>
      </c>
    </row>
    <row r="2232">
      <c r="A2232" s="1" t="inlineStr">
        <is>
          <t>63e0b72f8b602</t>
        </is>
      </c>
      <c r="B2232" s="1" t="inlineStr">
        <is>
          <t>ANILLO COCO SILVER</t>
        </is>
      </c>
      <c r="C2232" s="1" t="inlineStr">
        <is>
          <t>5</t>
        </is>
      </c>
      <c r="D2232" s="1" t="inlineStr">
        <is>
          <t>26/05/2026</t>
        </is>
      </c>
      <c r="E2232" s="1" t="n">
        <v>2026</v>
      </c>
      <c r="F2232" s="1" t="inlineStr">
        <is>
          <t>MAYO</t>
        </is>
      </c>
      <c r="G2232" s="1" t="inlineStr">
        <is>
          <t>HAIFENG</t>
        </is>
      </c>
      <c r="H2232" s="1" t="inlineStr">
        <is>
          <t>HAIFENG 26/05/2026</t>
        </is>
      </c>
      <c r="I2232" s="4" t="n">
        <v>2</v>
      </c>
      <c r="J2232" s="6" t="n">
        <v>1.8</v>
      </c>
      <c r="K2232" s="6" t="n">
        <v>37.78073153</v>
      </c>
      <c r="L2232" s="6">
        <f>I2232*K2232</f>
        <v/>
      </c>
      <c r="M2232" s="6">
        <f>K2232*4</f>
        <v/>
      </c>
      <c r="N2232" s="6" t="n">
        <v>400</v>
      </c>
    </row>
    <row r="2233">
      <c r="A2233" s="1" t="inlineStr">
        <is>
          <t>63e0b72f8b602</t>
        </is>
      </c>
      <c r="B2233" s="1" t="inlineStr">
        <is>
          <t>ANILLO COCO SILVER</t>
        </is>
      </c>
      <c r="C2233" s="1" t="inlineStr">
        <is>
          <t>5</t>
        </is>
      </c>
      <c r="D2233" s="1" t="inlineStr">
        <is>
          <t>16/06/2026</t>
        </is>
      </c>
      <c r="E2233" s="1" t="n">
        <v>2026</v>
      </c>
      <c r="F2233" s="1" t="inlineStr">
        <is>
          <t>JUNIO</t>
        </is>
      </c>
      <c r="G2233" s="1" t="inlineStr">
        <is>
          <t>HAIFENG</t>
        </is>
      </c>
      <c r="H2233" s="1" t="inlineStr">
        <is>
          <t>HAIFENG 16/06/2026</t>
        </is>
      </c>
      <c r="I2233" s="4" t="n">
        <v>2</v>
      </c>
      <c r="J2233" s="6" t="n">
        <v>1.8</v>
      </c>
      <c r="K2233" s="6" t="n">
        <v>37.82629163</v>
      </c>
      <c r="L2233" s="6">
        <f>I2233*K2233</f>
        <v/>
      </c>
      <c r="M2233" s="6">
        <f>K2233*4</f>
        <v/>
      </c>
      <c r="N2233" s="6" t="n">
        <v>400</v>
      </c>
    </row>
    <row r="2234">
      <c r="A2234" s="1" t="inlineStr">
        <is>
          <t>63e0b73078446</t>
        </is>
      </c>
      <c r="B2234" s="1" t="inlineStr">
        <is>
          <t>ANILLO COCO SILVER</t>
        </is>
      </c>
      <c r="C2234" s="1" t="inlineStr">
        <is>
          <t>6</t>
        </is>
      </c>
      <c r="D2234" s="1" t="inlineStr">
        <is>
          <t>01/09/2025</t>
        </is>
      </c>
      <c r="E2234" s="1" t="n">
        <v>2025</v>
      </c>
      <c r="F2234" s="1" t="inlineStr">
        <is>
          <t>SEPTIEMBRE</t>
        </is>
      </c>
      <c r="G2234" s="1" t="inlineStr">
        <is>
          <t>HAIFENG</t>
        </is>
      </c>
      <c r="H2234" s="1" t="inlineStr">
        <is>
          <t>HAIFENG 01/09/2025</t>
        </is>
      </c>
      <c r="I2234" s="4" t="n">
        <v>2</v>
      </c>
      <c r="J2234" s="6" t="n">
        <v>1.8</v>
      </c>
      <c r="K2234" s="6" t="n">
        <v>38.26020791</v>
      </c>
      <c r="L2234" s="6">
        <f>I2234*K2234</f>
        <v/>
      </c>
      <c r="M2234" s="6">
        <f>K2234*4</f>
        <v/>
      </c>
      <c r="N2234" s="6" t="n">
        <v>400</v>
      </c>
    </row>
    <row r="2235">
      <c r="A2235" s="1" t="inlineStr">
        <is>
          <t>63e0b73078446</t>
        </is>
      </c>
      <c r="B2235" s="1" t="inlineStr">
        <is>
          <t>ANILLO COCO SILVER</t>
        </is>
      </c>
      <c r="C2235" s="1" t="inlineStr">
        <is>
          <t>6</t>
        </is>
      </c>
      <c r="D2235" s="1" t="inlineStr">
        <is>
          <t>11/11/2025</t>
        </is>
      </c>
      <c r="E2235" s="1" t="n">
        <v>2025</v>
      </c>
      <c r="F2235" s="1" t="inlineStr">
        <is>
          <t>NOVIEMBRE</t>
        </is>
      </c>
      <c r="G2235" s="1" t="inlineStr">
        <is>
          <t>HAIFENG</t>
        </is>
      </c>
      <c r="H2235" s="1" t="inlineStr">
        <is>
          <t>HAIFENG 11/11/2025</t>
        </is>
      </c>
      <c r="I2235" s="4" t="n">
        <v>2</v>
      </c>
      <c r="J2235" s="6" t="n">
        <v>1.8</v>
      </c>
      <c r="K2235" s="6" t="n">
        <v>37.9088972</v>
      </c>
      <c r="L2235" s="6">
        <f>I2235*K2235</f>
        <v/>
      </c>
      <c r="M2235" s="6">
        <f>K2235*4</f>
        <v/>
      </c>
      <c r="N2235" s="6" t="n">
        <v>400</v>
      </c>
    </row>
    <row r="2236">
      <c r="A2236" s="1" t="inlineStr">
        <is>
          <t>63e0b73078446</t>
        </is>
      </c>
      <c r="B2236" s="1" t="inlineStr">
        <is>
          <t>ANILLO COCO SILVER</t>
        </is>
      </c>
      <c r="C2236" s="1" t="inlineStr">
        <is>
          <t>6</t>
        </is>
      </c>
      <c r="D2236" s="1" t="inlineStr">
        <is>
          <t>11/11/2025</t>
        </is>
      </c>
      <c r="E2236" s="1" t="n">
        <v>2025</v>
      </c>
      <c r="F2236" s="1" t="inlineStr">
        <is>
          <t>NOVIEMBRE</t>
        </is>
      </c>
      <c r="G2236" s="1" t="inlineStr">
        <is>
          <t>HAIFENG</t>
        </is>
      </c>
      <c r="H2236" s="1" t="inlineStr">
        <is>
          <t>HAIFENG 11/11/2025</t>
        </is>
      </c>
      <c r="I2236" s="4" t="n">
        <v>1</v>
      </c>
      <c r="J2236" s="6" t="n">
        <v>1.8</v>
      </c>
      <c r="K2236" s="6" t="n">
        <v>37.9088972</v>
      </c>
      <c r="L2236" s="6">
        <f>I2236*K2236</f>
        <v/>
      </c>
      <c r="M2236" s="6">
        <f>K2236*4</f>
        <v/>
      </c>
      <c r="N2236" s="6" t="n">
        <v>400</v>
      </c>
    </row>
    <row r="2237">
      <c r="A2237" s="1" t="inlineStr">
        <is>
          <t>63e0b73078446</t>
        </is>
      </c>
      <c r="B2237" s="1" t="inlineStr">
        <is>
          <t>ANILLO COCO SILVER</t>
        </is>
      </c>
      <c r="C2237" s="1" t="inlineStr">
        <is>
          <t>6</t>
        </is>
      </c>
      <c r="D2237" s="1" t="inlineStr">
        <is>
          <t>16/04/2026</t>
        </is>
      </c>
      <c r="E2237" s="1" t="n">
        <v>2026</v>
      </c>
      <c r="F2237" s="1" t="inlineStr">
        <is>
          <t>ABRIL</t>
        </is>
      </c>
      <c r="G2237" s="1" t="inlineStr">
        <is>
          <t>HAIFENG</t>
        </is>
      </c>
      <c r="H2237" s="1" t="inlineStr">
        <is>
          <t>HAIFENG 16/04/2026</t>
        </is>
      </c>
      <c r="I2237" s="4" t="n">
        <v>1</v>
      </c>
      <c r="J2237" s="6" t="n">
        <v>1.8</v>
      </c>
      <c r="K2237" s="6" t="n">
        <v>37.85665246</v>
      </c>
      <c r="L2237" s="6">
        <f>I2237*K2237</f>
        <v/>
      </c>
      <c r="M2237" s="6">
        <f>K2237*4</f>
        <v/>
      </c>
      <c r="N2237" s="6" t="n">
        <v>400</v>
      </c>
    </row>
    <row r="2238">
      <c r="A2238" s="1" t="inlineStr">
        <is>
          <t>63e0b73078446</t>
        </is>
      </c>
      <c r="B2238" s="1" t="inlineStr">
        <is>
          <t>ANILLO COCO SILVER</t>
        </is>
      </c>
      <c r="C2238" s="1" t="inlineStr">
        <is>
          <t>6</t>
        </is>
      </c>
      <c r="D2238" s="1" t="inlineStr">
        <is>
          <t>16/06/2026</t>
        </is>
      </c>
      <c r="E2238" s="1" t="n">
        <v>2026</v>
      </c>
      <c r="F2238" s="1" t="inlineStr">
        <is>
          <t>JUNIO</t>
        </is>
      </c>
      <c r="G2238" s="1" t="inlineStr">
        <is>
          <t>HAIFENG</t>
        </is>
      </c>
      <c r="H2238" s="1" t="inlineStr">
        <is>
          <t>HAIFENG 16/06/2026</t>
        </is>
      </c>
      <c r="I2238" s="4" t="n">
        <v>1</v>
      </c>
      <c r="J2238" s="6" t="n">
        <v>1.8</v>
      </c>
      <c r="K2238" s="6" t="n">
        <v>37.82629163</v>
      </c>
      <c r="L2238" s="6">
        <f>I2238*K2238</f>
        <v/>
      </c>
      <c r="M2238" s="6">
        <f>K2238*4</f>
        <v/>
      </c>
      <c r="N2238" s="6" t="n">
        <v>400</v>
      </c>
    </row>
    <row r="2239">
      <c r="A2239" s="1" t="inlineStr">
        <is>
          <t>63e0b7307c4b5</t>
        </is>
      </c>
      <c r="B2239" s="1" t="n"/>
      <c r="C2239" s="1" t="inlineStr">
        <is>
          <t>7</t>
        </is>
      </c>
      <c r="D2239" s="1" t="inlineStr">
        <is>
          <t>10/02/2026</t>
        </is>
      </c>
      <c r="E2239" s="1" t="n">
        <v>2026</v>
      </c>
      <c r="F2239" s="1" t="inlineStr">
        <is>
          <t>FEBRERO</t>
        </is>
      </c>
      <c r="G2239" s="1" t="inlineStr">
        <is>
          <t>HAIFENG</t>
        </is>
      </c>
      <c r="H2239" s="1" t="inlineStr">
        <is>
          <t>HAIFENG 10/02/2026</t>
        </is>
      </c>
      <c r="I2239" s="4" t="n">
        <v>1</v>
      </c>
      <c r="J2239" s="6" t="n">
        <v>1.8</v>
      </c>
      <c r="K2239" s="6" t="n">
        <v>37.92329292</v>
      </c>
      <c r="L2239" s="6">
        <f>I2239*K2239</f>
        <v/>
      </c>
      <c r="M2239" s="6">
        <f>K2239*4</f>
        <v/>
      </c>
      <c r="N2239" s="6" t="n">
        <v>400</v>
      </c>
    </row>
    <row r="2240">
      <c r="A2240" s="1" t="inlineStr">
        <is>
          <t>63e0b7307c4b5</t>
        </is>
      </c>
      <c r="B2240" s="1" t="inlineStr">
        <is>
          <t>ANILLO COCO ROSE GOLD</t>
        </is>
      </c>
      <c r="C2240" s="1" t="inlineStr">
        <is>
          <t>7</t>
        </is>
      </c>
      <c r="D2240" s="1" t="inlineStr">
        <is>
          <t>16/04/2026</t>
        </is>
      </c>
      <c r="E2240" s="1" t="n">
        <v>2026</v>
      </c>
      <c r="F2240" s="1" t="inlineStr">
        <is>
          <t>ABRIL</t>
        </is>
      </c>
      <c r="G2240" s="1" t="inlineStr">
        <is>
          <t>HAIFENG</t>
        </is>
      </c>
      <c r="H2240" s="1" t="inlineStr">
        <is>
          <t>HAIFENG 16/04/2026</t>
        </is>
      </c>
      <c r="I2240" s="4" t="n">
        <v>2</v>
      </c>
      <c r="J2240" s="6" t="n">
        <v>1.8</v>
      </c>
      <c r="K2240" s="6" t="n">
        <v>37.85665246</v>
      </c>
      <c r="L2240" s="6">
        <f>I2240*K2240</f>
        <v/>
      </c>
      <c r="M2240" s="6">
        <f>K2240*4</f>
        <v/>
      </c>
      <c r="N2240" s="6" t="n">
        <v>400</v>
      </c>
    </row>
    <row r="2241">
      <c r="A2241" s="1" t="inlineStr">
        <is>
          <t>63e0b7307c4b5</t>
        </is>
      </c>
      <c r="B2241" s="1" t="inlineStr">
        <is>
          <t>ANILLO COCO ROSE GOLD</t>
        </is>
      </c>
      <c r="C2241" s="1" t="inlineStr">
        <is>
          <t>7</t>
        </is>
      </c>
      <c r="D2241" s="1" t="inlineStr">
        <is>
          <t>16/06/2026</t>
        </is>
      </c>
      <c r="E2241" s="1" t="n">
        <v>2026</v>
      </c>
      <c r="F2241" s="1" t="inlineStr">
        <is>
          <t>JUNIO</t>
        </is>
      </c>
      <c r="G2241" s="1" t="inlineStr">
        <is>
          <t>HAIFENG</t>
        </is>
      </c>
      <c r="H2241" s="1" t="inlineStr">
        <is>
          <t>HAIFENG 16/06/2026</t>
        </is>
      </c>
      <c r="I2241" s="4" t="n">
        <v>1</v>
      </c>
      <c r="J2241" s="6" t="n">
        <v>1.8</v>
      </c>
      <c r="K2241" s="6" t="n">
        <v>37.82629163</v>
      </c>
      <c r="L2241" s="6">
        <f>I2241*K2241</f>
        <v/>
      </c>
      <c r="M2241" s="6">
        <f>K2241*4</f>
        <v/>
      </c>
      <c r="N2241" s="6" t="n">
        <v>400</v>
      </c>
    </row>
    <row r="2242">
      <c r="A2242" s="1" t="inlineStr">
        <is>
          <t>63e0b7315fccc</t>
        </is>
      </c>
      <c r="B2242" s="1" t="inlineStr">
        <is>
          <t>ANILLO COCO ROSE GOLD</t>
        </is>
      </c>
      <c r="C2242" s="1" t="inlineStr">
        <is>
          <t>8 (REMATE)</t>
        </is>
      </c>
      <c r="D2242" s="1" t="inlineStr">
        <is>
          <t>03/12/2025</t>
        </is>
      </c>
      <c r="E2242" s="1" t="n">
        <v>2025</v>
      </c>
      <c r="F2242" s="1" t="inlineStr">
        <is>
          <t>DICIEMBRE</t>
        </is>
      </c>
      <c r="G2242" s="1" t="inlineStr">
        <is>
          <t>HAIFENG</t>
        </is>
      </c>
      <c r="H2242" s="1" t="inlineStr">
        <is>
          <t>HAIFENG 03/12/2025</t>
        </is>
      </c>
      <c r="I2242" s="4" t="n">
        <v>1</v>
      </c>
      <c r="J2242" s="6" t="n">
        <v>1.8</v>
      </c>
      <c r="K2242" s="6" t="n">
        <v>37.65088802</v>
      </c>
      <c r="L2242" s="6">
        <f>I2242*K2242</f>
        <v/>
      </c>
      <c r="M2242" s="6">
        <f>K2242*4</f>
        <v/>
      </c>
      <c r="N2242" s="6" t="n">
        <v>400</v>
      </c>
    </row>
    <row r="2243">
      <c r="A2243" s="1" t="inlineStr">
        <is>
          <t>63e0b7315fccc</t>
        </is>
      </c>
      <c r="B2243" s="1" t="inlineStr">
        <is>
          <t>ANILLO COCO ROSE GOLD</t>
        </is>
      </c>
      <c r="C2243" s="1" t="inlineStr">
        <is>
          <t>8</t>
        </is>
      </c>
      <c r="D2243" s="1" t="inlineStr">
        <is>
          <t>16/04/2026</t>
        </is>
      </c>
      <c r="E2243" s="1" t="n">
        <v>2026</v>
      </c>
      <c r="F2243" s="1" t="inlineStr">
        <is>
          <t>ABRIL</t>
        </is>
      </c>
      <c r="G2243" s="1" t="inlineStr">
        <is>
          <t>HAIFENG</t>
        </is>
      </c>
      <c r="H2243" s="1" t="inlineStr">
        <is>
          <t>HAIFENG 16/04/2026</t>
        </is>
      </c>
      <c r="I2243" s="4" t="n">
        <v>2</v>
      </c>
      <c r="J2243" s="6" t="n">
        <v>1.8</v>
      </c>
      <c r="K2243" s="6" t="n">
        <v>37.85665246</v>
      </c>
      <c r="L2243" s="6">
        <f>I2243*K2243</f>
        <v/>
      </c>
      <c r="M2243" s="6">
        <f>K2243*4</f>
        <v/>
      </c>
      <c r="N2243" s="6" t="n">
        <v>400</v>
      </c>
    </row>
    <row r="2244">
      <c r="A2244" s="1" t="inlineStr">
        <is>
          <t>63e0b731a865e</t>
        </is>
      </c>
      <c r="B2244" s="1" t="inlineStr">
        <is>
          <t>ANILLO COCO SILVER</t>
        </is>
      </c>
      <c r="C2244" s="1" t="inlineStr">
        <is>
          <t>7</t>
        </is>
      </c>
      <c r="D2244" s="1" t="inlineStr">
        <is>
          <t>01/09/2025</t>
        </is>
      </c>
      <c r="E2244" s="1" t="n">
        <v>2025</v>
      </c>
      <c r="F2244" s="1" t="inlineStr">
        <is>
          <t>SEPTIEMBRE</t>
        </is>
      </c>
      <c r="G2244" s="1" t="inlineStr">
        <is>
          <t>HAIFENG</t>
        </is>
      </c>
      <c r="H2244" s="1" t="inlineStr">
        <is>
          <t>HAIFENG 01/09/2025</t>
        </is>
      </c>
      <c r="I2244" s="4" t="n">
        <v>4</v>
      </c>
      <c r="J2244" s="6" t="n">
        <v>1.8</v>
      </c>
      <c r="K2244" s="6" t="n">
        <v>38.26020791</v>
      </c>
      <c r="L2244" s="6">
        <f>I2244*K2244</f>
        <v/>
      </c>
      <c r="M2244" s="6">
        <f>K2244*4</f>
        <v/>
      </c>
      <c r="N2244" s="6" t="n">
        <v>400</v>
      </c>
    </row>
    <row r="2245">
      <c r="A2245" s="1" t="inlineStr">
        <is>
          <t>63e0b731a865e</t>
        </is>
      </c>
      <c r="B2245" s="1" t="inlineStr">
        <is>
          <t>ANILLO COCO SILVER</t>
        </is>
      </c>
      <c r="C2245" s="1" t="inlineStr">
        <is>
          <t>7</t>
        </is>
      </c>
      <c r="D2245" s="1" t="inlineStr">
        <is>
          <t>25/09/2025</t>
        </is>
      </c>
      <c r="E2245" s="1" t="n">
        <v>2025</v>
      </c>
      <c r="F2245" s="1" t="inlineStr">
        <is>
          <t>SEPTIEMBRE</t>
        </is>
      </c>
      <c r="G2245" s="1" t="inlineStr">
        <is>
          <t>HAIFENG</t>
        </is>
      </c>
      <c r="H2245" s="1" t="inlineStr">
        <is>
          <t>HAIFENG 25/09/2025</t>
        </is>
      </c>
      <c r="I2245" s="4" t="n">
        <v>4</v>
      </c>
      <c r="J2245" s="6" t="n">
        <v>1.8</v>
      </c>
      <c r="K2245" s="6" t="n">
        <v>37.97439438</v>
      </c>
      <c r="L2245" s="6">
        <f>I2245*K2245</f>
        <v/>
      </c>
      <c r="M2245" s="6">
        <f>K2245*4</f>
        <v/>
      </c>
      <c r="N2245" s="6" t="n">
        <v>400</v>
      </c>
    </row>
    <row r="2246">
      <c r="A2246" s="1" t="inlineStr">
        <is>
          <t>63e0b731a865e</t>
        </is>
      </c>
      <c r="B2246" s="1" t="inlineStr">
        <is>
          <t>ANILLO COCO SILVER</t>
        </is>
      </c>
      <c r="C2246" s="1" t="inlineStr">
        <is>
          <t>7</t>
        </is>
      </c>
      <c r="D2246" s="1" t="inlineStr">
        <is>
          <t>06/05/2026</t>
        </is>
      </c>
      <c r="E2246" s="1" t="n">
        <v>2026</v>
      </c>
      <c r="F2246" s="1" t="inlineStr">
        <is>
          <t>MAYO</t>
        </is>
      </c>
      <c r="G2246" s="1" t="inlineStr">
        <is>
          <t>HAIFENG</t>
        </is>
      </c>
      <c r="H2246" s="1" t="inlineStr">
        <is>
          <t>HAIFENG 06/05/2026</t>
        </is>
      </c>
      <c r="I2246" s="4" t="n">
        <v>2</v>
      </c>
      <c r="J2246" s="6" t="n">
        <v>1.8</v>
      </c>
      <c r="K2246" s="6" t="n">
        <v>38.19355608</v>
      </c>
      <c r="L2246" s="6">
        <f>I2246*K2246</f>
        <v/>
      </c>
      <c r="M2246" s="6">
        <f>K2246*4</f>
        <v/>
      </c>
      <c r="N2246" s="6" t="n">
        <v>400</v>
      </c>
    </row>
    <row r="2247">
      <c r="A2247" s="1" t="inlineStr">
        <is>
          <t>63e0b7329703a</t>
        </is>
      </c>
      <c r="B2247" s="1" t="inlineStr">
        <is>
          <t>ANILLO COCO SILVER</t>
        </is>
      </c>
      <c r="C2247" s="1" t="inlineStr">
        <is>
          <t>8</t>
        </is>
      </c>
      <c r="D2247" s="1" t="inlineStr">
        <is>
          <t>01/09/2025</t>
        </is>
      </c>
      <c r="E2247" s="1" t="n">
        <v>2025</v>
      </c>
      <c r="F2247" s="1" t="inlineStr">
        <is>
          <t>SEPTIEMBRE</t>
        </is>
      </c>
      <c r="G2247" s="1" t="inlineStr">
        <is>
          <t>HAIFENG</t>
        </is>
      </c>
      <c r="H2247" s="1" t="inlineStr">
        <is>
          <t>HAIFENG 01/09/2025</t>
        </is>
      </c>
      <c r="I2247" s="4" t="n">
        <v>2</v>
      </c>
      <c r="J2247" s="6" t="n">
        <v>1.8</v>
      </c>
      <c r="K2247" s="6" t="n">
        <v>38.26020791</v>
      </c>
      <c r="L2247" s="6">
        <f>I2247*K2247</f>
        <v/>
      </c>
      <c r="M2247" s="6">
        <f>K2247*4</f>
        <v/>
      </c>
      <c r="N2247" s="6" t="n">
        <v>400</v>
      </c>
    </row>
    <row r="2248">
      <c r="A2248" s="1" t="inlineStr">
        <is>
          <t>63e0b7329703a</t>
        </is>
      </c>
      <c r="B2248" s="1" t="inlineStr">
        <is>
          <t>ANILLO COCO SILVER</t>
        </is>
      </c>
      <c r="C2248" s="1" t="inlineStr">
        <is>
          <t>8</t>
        </is>
      </c>
      <c r="D2248" s="1" t="inlineStr">
        <is>
          <t>11/11/2025</t>
        </is>
      </c>
      <c r="E2248" s="1" t="n">
        <v>2025</v>
      </c>
      <c r="F2248" s="1" t="inlineStr">
        <is>
          <t>NOVIEMBRE</t>
        </is>
      </c>
      <c r="G2248" s="1" t="inlineStr">
        <is>
          <t>HAIFENG</t>
        </is>
      </c>
      <c r="H2248" s="1" t="inlineStr">
        <is>
          <t>HAIFENG 11/11/2025</t>
        </is>
      </c>
      <c r="I2248" s="4" t="n">
        <v>2</v>
      </c>
      <c r="J2248" s="6" t="n">
        <v>1.8</v>
      </c>
      <c r="K2248" s="6" t="n">
        <v>37.9088972</v>
      </c>
      <c r="L2248" s="6">
        <f>I2248*K2248</f>
        <v/>
      </c>
      <c r="M2248" s="6">
        <f>K2248*4</f>
        <v/>
      </c>
      <c r="N2248" s="6" t="n">
        <v>400</v>
      </c>
    </row>
    <row r="2249">
      <c r="A2249" s="1" t="inlineStr">
        <is>
          <t>63e0b7329703a</t>
        </is>
      </c>
      <c r="B2249" s="1" t="inlineStr">
        <is>
          <t>ANILLO COCO SILVER</t>
        </is>
      </c>
      <c r="C2249" s="1" t="inlineStr">
        <is>
          <t>8</t>
        </is>
      </c>
      <c r="D2249" s="1" t="inlineStr">
        <is>
          <t>11/03/2026</t>
        </is>
      </c>
      <c r="E2249" s="1" t="n">
        <v>2026</v>
      </c>
      <c r="F2249" s="1" t="inlineStr">
        <is>
          <t>MARZO</t>
        </is>
      </c>
      <c r="G2249" s="1" t="inlineStr">
        <is>
          <t>HAIFENG</t>
        </is>
      </c>
      <c r="H2249" s="1" t="inlineStr">
        <is>
          <t>HAIFENG 11/03/2026</t>
        </is>
      </c>
      <c r="I2249" s="4" t="n">
        <v>5</v>
      </c>
      <c r="J2249" s="6" t="n">
        <v>1.8</v>
      </c>
      <c r="K2249" s="6" t="n">
        <v>38.34701319</v>
      </c>
      <c r="L2249" s="6">
        <f>I2249*K2249</f>
        <v/>
      </c>
      <c r="M2249" s="6">
        <f>K2249*4</f>
        <v/>
      </c>
      <c r="N2249" s="6" t="n">
        <v>400</v>
      </c>
    </row>
    <row r="2250">
      <c r="A2250" s="1" t="inlineStr">
        <is>
          <t>63e0b7329703a</t>
        </is>
      </c>
      <c r="B2250" s="1" t="inlineStr">
        <is>
          <t>ANILLO COCO SILVER</t>
        </is>
      </c>
      <c r="C2250" s="1" t="inlineStr">
        <is>
          <t>8</t>
        </is>
      </c>
      <c r="D2250" s="1" t="inlineStr">
        <is>
          <t>16/06/2026</t>
        </is>
      </c>
      <c r="E2250" s="1" t="n">
        <v>2026</v>
      </c>
      <c r="F2250" s="1" t="inlineStr">
        <is>
          <t>JUNIO</t>
        </is>
      </c>
      <c r="G2250" s="1" t="inlineStr">
        <is>
          <t>HAIFENG</t>
        </is>
      </c>
      <c r="H2250" s="1" t="inlineStr">
        <is>
          <t>HAIFENG 16/06/2026</t>
        </is>
      </c>
      <c r="I2250" s="4" t="n">
        <v>3</v>
      </c>
      <c r="J2250" s="6" t="n">
        <v>1.8</v>
      </c>
      <c r="K2250" s="6" t="n">
        <v>37.82629163</v>
      </c>
      <c r="L2250" s="6">
        <f>I2250*K2250</f>
        <v/>
      </c>
      <c r="M2250" s="6">
        <f>K2250*4</f>
        <v/>
      </c>
      <c r="N2250" s="6" t="n">
        <v>400</v>
      </c>
    </row>
    <row r="2251">
      <c r="A2251" s="1" t="inlineStr">
        <is>
          <t>63e0b7337fc65</t>
        </is>
      </c>
      <c r="B2251" s="1" t="inlineStr">
        <is>
          <t>ANILLO COCO SILVER</t>
        </is>
      </c>
      <c r="C2251" s="1" t="inlineStr">
        <is>
          <t>9</t>
        </is>
      </c>
      <c r="D2251" s="1" t="inlineStr">
        <is>
          <t>11/03/2026</t>
        </is>
      </c>
      <c r="E2251" s="1" t="n">
        <v>2026</v>
      </c>
      <c r="F2251" s="1" t="inlineStr">
        <is>
          <t>MARZO</t>
        </is>
      </c>
      <c r="G2251" s="1" t="inlineStr">
        <is>
          <t>HAIFENG</t>
        </is>
      </c>
      <c r="H2251" s="1" t="inlineStr">
        <is>
          <t>HAIFENG 11/03/2026</t>
        </is>
      </c>
      <c r="I2251" s="4" t="n">
        <v>4</v>
      </c>
      <c r="J2251" s="6" t="n">
        <v>1.8</v>
      </c>
      <c r="K2251" s="6" t="n">
        <v>38.34701319</v>
      </c>
      <c r="L2251" s="6">
        <f>I2251*K2251</f>
        <v/>
      </c>
      <c r="M2251" s="6">
        <f>K2251*4</f>
        <v/>
      </c>
      <c r="N2251" s="6" t="n">
        <v>400</v>
      </c>
    </row>
    <row r="2252">
      <c r="A2252" s="1" t="inlineStr">
        <is>
          <t>63e0bb0816c62</t>
        </is>
      </c>
      <c r="B2252" s="1" t="inlineStr">
        <is>
          <t>ARETES CC SILVER</t>
        </is>
      </c>
      <c r="C2252" s="1" t="inlineStr">
        <is>
          <t>Default Title</t>
        </is>
      </c>
      <c r="D2252" s="1" t="inlineStr">
        <is>
          <t>19/03/2026</t>
        </is>
      </c>
      <c r="E2252" s="1" t="n">
        <v>2026</v>
      </c>
      <c r="F2252" s="1" t="inlineStr">
        <is>
          <t>MARZO</t>
        </is>
      </c>
      <c r="G2252" s="1" t="inlineStr">
        <is>
          <t>CYNTHIA</t>
        </is>
      </c>
      <c r="H2252" s="1" t="inlineStr">
        <is>
          <t>CYNTHIA 19/03/2026</t>
        </is>
      </c>
      <c r="I2252" s="4" t="n">
        <v>2</v>
      </c>
      <c r="J2252" s="6" t="n">
        <v>2</v>
      </c>
      <c r="K2252" s="6" t="n">
        <v>53.71483159</v>
      </c>
      <c r="L2252" s="6">
        <f>I2252*K2252</f>
        <v/>
      </c>
      <c r="M2252" s="6">
        <f>K2252*4</f>
        <v/>
      </c>
      <c r="N2252" s="6" t="n">
        <v>220</v>
      </c>
    </row>
    <row r="2253">
      <c r="A2253" s="1" t="inlineStr">
        <is>
          <t>63e0bb0816c62</t>
        </is>
      </c>
      <c r="B2253" s="1" t="inlineStr">
        <is>
          <t>ARETES CC SILVER</t>
        </is>
      </c>
      <c r="C2253" s="1" t="inlineStr">
        <is>
          <t>Default Title</t>
        </is>
      </c>
      <c r="D2253" s="1" t="inlineStr">
        <is>
          <t>31/05/2026</t>
        </is>
      </c>
      <c r="E2253" s="1" t="n">
        <v>2026</v>
      </c>
      <c r="F2253" s="1" t="inlineStr">
        <is>
          <t>MAYO</t>
        </is>
      </c>
      <c r="G2253" s="1" t="inlineStr">
        <is>
          <t>CYNTHIA</t>
        </is>
      </c>
      <c r="H2253" s="1" t="inlineStr">
        <is>
          <t>CYNTHIA 31/05/2026</t>
        </is>
      </c>
      <c r="I2253" s="4" t="n">
        <v>2</v>
      </c>
      <c r="J2253" s="6" t="n">
        <v>2</v>
      </c>
      <c r="K2253" s="6" t="n">
        <v>53.00208995</v>
      </c>
      <c r="L2253" s="6">
        <f>I2253*K2253</f>
        <v/>
      </c>
      <c r="M2253" s="6">
        <f>K2253*4</f>
        <v/>
      </c>
      <c r="N2253" s="6" t="n">
        <v>220</v>
      </c>
    </row>
    <row r="2254">
      <c r="A2254" s="1" t="inlineStr">
        <is>
          <t>63e0bb0b18c6d</t>
        </is>
      </c>
      <c r="B2254" s="1" t="inlineStr">
        <is>
          <t>ARETES GC ZIRCONIA</t>
        </is>
      </c>
      <c r="C2254" s="1" t="inlineStr">
        <is>
          <t>Default Title</t>
        </is>
      </c>
      <c r="D2254" s="1" t="inlineStr">
        <is>
          <t>20/01/2026</t>
        </is>
      </c>
      <c r="E2254" s="1" t="n">
        <v>2026</v>
      </c>
      <c r="F2254" s="1" t="inlineStr">
        <is>
          <t>ENERO</t>
        </is>
      </c>
      <c r="G2254" s="1" t="inlineStr">
        <is>
          <t>COCOMA</t>
        </is>
      </c>
      <c r="H2254" s="1" t="inlineStr">
        <is>
          <t>COCOMA 20/01/2026</t>
        </is>
      </c>
      <c r="I2254" s="4" t="n">
        <v>2</v>
      </c>
      <c r="J2254" s="6" t="n">
        <v>3.46</v>
      </c>
      <c r="K2254" s="6" t="n">
        <v>83.61056803</v>
      </c>
      <c r="L2254" s="6">
        <f>I2254*K2254</f>
        <v/>
      </c>
      <c r="M2254" s="6">
        <f>K2254*4</f>
        <v/>
      </c>
      <c r="N2254" s="6" t="n">
        <v>405</v>
      </c>
    </row>
    <row r="2255">
      <c r="A2255" s="1" t="inlineStr">
        <is>
          <t>63e0bd172995f-1</t>
        </is>
      </c>
      <c r="B2255" s="1" t="inlineStr">
        <is>
          <t>ARETES LV GOLD</t>
        </is>
      </c>
      <c r="C2255" s="1" t="inlineStr">
        <is>
          <t>Regular</t>
        </is>
      </c>
      <c r="D2255" s="1" t="inlineStr">
        <is>
          <t>05/09/2025</t>
        </is>
      </c>
      <c r="E2255" s="1" t="n">
        <v>2025</v>
      </c>
      <c r="F2255" s="1" t="inlineStr">
        <is>
          <t>SEPTIEMBRE</t>
        </is>
      </c>
      <c r="G2255" s="1" t="inlineStr">
        <is>
          <t>CYNTHIA</t>
        </is>
      </c>
      <c r="H2255" s="1" t="inlineStr">
        <is>
          <t>CYNTHIA 05/09/2025</t>
        </is>
      </c>
      <c r="I2255" s="4" t="n">
        <v>4</v>
      </c>
      <c r="J2255" s="6" t="n">
        <v>5.18</v>
      </c>
      <c r="K2255" s="6" t="n">
        <v>130.4277221</v>
      </c>
      <c r="L2255" s="6">
        <f>I2255*K2255</f>
        <v/>
      </c>
      <c r="M2255" s="6">
        <f>K2255*4</f>
        <v/>
      </c>
      <c r="N2255" s="6" t="n">
        <v>450</v>
      </c>
    </row>
    <row r="2256">
      <c r="A2256" s="1" t="inlineStr">
        <is>
          <t>63e0bd172995f-1</t>
        </is>
      </c>
      <c r="B2256" s="1" t="inlineStr">
        <is>
          <t>ARETES LV GOLD</t>
        </is>
      </c>
      <c r="C2256" s="1" t="inlineStr">
        <is>
          <t>Regular</t>
        </is>
      </c>
      <c r="D2256" s="1" t="inlineStr">
        <is>
          <t>07/01/2026</t>
        </is>
      </c>
      <c r="E2256" s="1" t="n">
        <v>2026</v>
      </c>
      <c r="F2256" s="1" t="inlineStr">
        <is>
          <t>ENERO</t>
        </is>
      </c>
      <c r="G2256" s="1" t="inlineStr">
        <is>
          <t>CYNTHIA</t>
        </is>
      </c>
      <c r="H2256" s="1" t="inlineStr">
        <is>
          <t>CYNTHIA 07/01/2026</t>
        </is>
      </c>
      <c r="I2256" s="4" t="n">
        <v>1</v>
      </c>
      <c r="J2256" s="6" t="n">
        <v>5.18</v>
      </c>
      <c r="K2256" s="6" t="n">
        <v>137.7228753</v>
      </c>
      <c r="L2256" s="6">
        <f>I2256*K2256</f>
        <v/>
      </c>
      <c r="M2256" s="6">
        <f>K2256*4</f>
        <v/>
      </c>
      <c r="N2256" s="6" t="n">
        <v>559</v>
      </c>
    </row>
    <row r="2257">
      <c r="A2257" s="1" t="inlineStr">
        <is>
          <t>63e0bd172995f-1</t>
        </is>
      </c>
      <c r="B2257" s="1" t="inlineStr">
        <is>
          <t>ARETES LV GOLD</t>
        </is>
      </c>
      <c r="C2257" s="1" t="inlineStr">
        <is>
          <t>Regular</t>
        </is>
      </c>
      <c r="D2257" s="1" t="inlineStr">
        <is>
          <t>18/02/2026</t>
        </is>
      </c>
      <c r="E2257" s="1" t="n">
        <v>2026</v>
      </c>
      <c r="F2257" s="1" t="inlineStr">
        <is>
          <t>FEBRERO</t>
        </is>
      </c>
      <c r="G2257" s="1" t="inlineStr">
        <is>
          <t>CYNTHIA</t>
        </is>
      </c>
      <c r="H2257" s="1" t="inlineStr">
        <is>
          <t>CYNTHIA 18/02/2026</t>
        </is>
      </c>
      <c r="I2257" s="4" t="n">
        <v>2</v>
      </c>
      <c r="J2257" s="6" t="n">
        <v>5.18</v>
      </c>
      <c r="K2257" s="6" t="n">
        <v>140.0846317</v>
      </c>
      <c r="L2257" s="6">
        <f>I2257*K2257</f>
        <v/>
      </c>
      <c r="M2257" s="6">
        <f>K2257*4</f>
        <v/>
      </c>
      <c r="N2257" s="6" t="n">
        <v>559</v>
      </c>
    </row>
    <row r="2258">
      <c r="A2258" s="1" t="inlineStr">
        <is>
          <t>63e0bd172995f-1</t>
        </is>
      </c>
      <c r="B2258" s="1" t="inlineStr">
        <is>
          <t>ARETES LV GOLD</t>
        </is>
      </c>
      <c r="C2258" s="1" t="inlineStr">
        <is>
          <t>Regular</t>
        </is>
      </c>
      <c r="D2258" s="1" t="inlineStr">
        <is>
          <t>19/03/2026</t>
        </is>
      </c>
      <c r="E2258" s="1" t="n">
        <v>2026</v>
      </c>
      <c r="F2258" s="1" t="inlineStr">
        <is>
          <t>MARZO</t>
        </is>
      </c>
      <c r="G2258" s="1" t="inlineStr">
        <is>
          <t>CYNTHIA</t>
        </is>
      </c>
      <c r="H2258" s="1" t="inlineStr">
        <is>
          <t>CYNTHIA 19/03/2026</t>
        </is>
      </c>
      <c r="I2258" s="4" t="n">
        <v>4</v>
      </c>
      <c r="J2258" s="6" t="n">
        <v>5.18</v>
      </c>
      <c r="K2258" s="6" t="n">
        <v>139.1214138</v>
      </c>
      <c r="L2258" s="6">
        <f>I2258*K2258</f>
        <v/>
      </c>
      <c r="M2258" s="6">
        <f>K2258*4</f>
        <v/>
      </c>
      <c r="N2258" s="6" t="n">
        <v>559</v>
      </c>
    </row>
    <row r="2259">
      <c r="A2259" s="1" t="inlineStr">
        <is>
          <t>63e0bd1a27e4e</t>
        </is>
      </c>
      <c r="B2259" s="1" t="inlineStr">
        <is>
          <t>ARETES LV SILVER</t>
        </is>
      </c>
      <c r="C2259" s="1" t="inlineStr">
        <is>
          <t>Default Title</t>
        </is>
      </c>
      <c r="D2259" s="1" t="inlineStr">
        <is>
          <t>18/02/2026</t>
        </is>
      </c>
      <c r="E2259" s="1" t="n">
        <v>2026</v>
      </c>
      <c r="F2259" s="1" t="inlineStr">
        <is>
          <t>FEBRERO</t>
        </is>
      </c>
      <c r="G2259" s="1" t="inlineStr">
        <is>
          <t>CYNTHIA</t>
        </is>
      </c>
      <c r="H2259" s="1" t="inlineStr">
        <is>
          <t>CYNTHIA 18/02/2026</t>
        </is>
      </c>
      <c r="I2259" s="4" t="n">
        <v>2</v>
      </c>
      <c r="J2259" s="6" t="n">
        <v>5.18</v>
      </c>
      <c r="K2259" s="6" t="n">
        <v>140.0846317</v>
      </c>
      <c r="L2259" s="6">
        <f>I2259*K2259</f>
        <v/>
      </c>
      <c r="M2259" s="6">
        <f>K2259*4</f>
        <v/>
      </c>
      <c r="N2259" s="6" t="n">
        <v>565</v>
      </c>
    </row>
    <row r="2260">
      <c r="A2260" s="1" t="inlineStr">
        <is>
          <t>63e0bd204f826</t>
        </is>
      </c>
      <c r="B2260" s="1" t="inlineStr">
        <is>
          <t>ARETES T-SMILE GOLD</t>
        </is>
      </c>
      <c r="C2260" s="1" t="inlineStr">
        <is>
          <t>Default Title</t>
        </is>
      </c>
      <c r="D2260" s="1" t="inlineStr">
        <is>
          <t>07/01/2026</t>
        </is>
      </c>
      <c r="E2260" s="1" t="n">
        <v>2026</v>
      </c>
      <c r="F2260" s="1" t="inlineStr">
        <is>
          <t>ENERO</t>
        </is>
      </c>
      <c r="G2260" s="1" t="inlineStr">
        <is>
          <t>CYNTHIA</t>
        </is>
      </c>
      <c r="H2260" s="1" t="inlineStr">
        <is>
          <t>CYNTHIA 07/01/2026</t>
        </is>
      </c>
      <c r="I2260" s="4" t="n">
        <v>4</v>
      </c>
      <c r="J2260" s="6" t="n">
        <v>3.3</v>
      </c>
      <c r="K2260" s="6" t="n">
        <v>87.73851132</v>
      </c>
      <c r="L2260" s="6">
        <f>I2260*K2260</f>
        <v/>
      </c>
      <c r="M2260" s="6">
        <f>K2260*4</f>
        <v/>
      </c>
      <c r="N2260" s="6" t="n">
        <v>573</v>
      </c>
    </row>
    <row r="2261">
      <c r="A2261" s="1" t="inlineStr">
        <is>
          <t>63e0bd204f826</t>
        </is>
      </c>
      <c r="B2261" s="1" t="inlineStr">
        <is>
          <t>ARETES T-SMILE GOLD</t>
        </is>
      </c>
      <c r="C2261" s="1" t="inlineStr">
        <is>
          <t>Default Title</t>
        </is>
      </c>
      <c r="D2261" s="1" t="inlineStr">
        <is>
          <t>19/03/2026</t>
        </is>
      </c>
      <c r="E2261" s="1" t="n">
        <v>2026</v>
      </c>
      <c r="F2261" s="1" t="inlineStr">
        <is>
          <t>MARZO</t>
        </is>
      </c>
      <c r="G2261" s="1" t="inlineStr">
        <is>
          <t>CYNTHIA</t>
        </is>
      </c>
      <c r="H2261" s="1" t="inlineStr">
        <is>
          <t>CYNTHIA 19/03/2026</t>
        </is>
      </c>
      <c r="I2261" s="4" t="n">
        <v>4</v>
      </c>
      <c r="J2261" s="6" t="n">
        <v>3.88</v>
      </c>
      <c r="K2261" s="6" t="n">
        <v>104.2067733</v>
      </c>
      <c r="L2261" s="6">
        <f>I2261*K2261</f>
        <v/>
      </c>
      <c r="M2261" s="6">
        <f>K2261*4</f>
        <v/>
      </c>
      <c r="N2261" s="6" t="n">
        <v>573</v>
      </c>
    </row>
    <row r="2262">
      <c r="A2262" s="1" t="inlineStr">
        <is>
          <t>63e0bd204f826</t>
        </is>
      </c>
      <c r="B2262" s="1" t="inlineStr">
        <is>
          <t>ARETES T-SMILE GOLD</t>
        </is>
      </c>
      <c r="C2262" s="1" t="inlineStr">
        <is>
          <t>Default Title</t>
        </is>
      </c>
      <c r="D2262" s="1" t="inlineStr">
        <is>
          <t>27/04/2026</t>
        </is>
      </c>
      <c r="E2262" s="1" t="n">
        <v>2026</v>
      </c>
      <c r="F2262" s="1" t="inlineStr">
        <is>
          <t>ABRIL</t>
        </is>
      </c>
      <c r="G2262" s="1" t="inlineStr">
        <is>
          <t>CYNTHIA</t>
        </is>
      </c>
      <c r="H2262" s="1" t="inlineStr">
        <is>
          <t>CYNTHIA 27/04/2026</t>
        </is>
      </c>
      <c r="I2262" s="4" t="n">
        <v>3</v>
      </c>
      <c r="J2262" s="6" t="n">
        <v>3.88</v>
      </c>
      <c r="K2262" s="6" t="n">
        <v>100.6863594</v>
      </c>
      <c r="L2262" s="6">
        <f>I2262*K2262</f>
        <v/>
      </c>
      <c r="M2262" s="6">
        <f>K2262*4</f>
        <v/>
      </c>
      <c r="N2262" s="6" t="n">
        <v>573</v>
      </c>
    </row>
    <row r="2263">
      <c r="A2263" s="1" t="inlineStr">
        <is>
          <t>63e0bd2165d38</t>
        </is>
      </c>
      <c r="B2263" s="1" t="n"/>
      <c r="C2263" s="1" t="inlineStr">
        <is>
          <t>1cm</t>
        </is>
      </c>
      <c r="D2263" s="1" t="inlineStr">
        <is>
          <t>07/01/2026</t>
        </is>
      </c>
      <c r="E2263" s="1" t="n">
        <v>2026</v>
      </c>
      <c r="F2263" s="1" t="inlineStr">
        <is>
          <t>ENERO</t>
        </is>
      </c>
      <c r="G2263" s="1" t="inlineStr">
        <is>
          <t>CYNTHIA</t>
        </is>
      </c>
      <c r="H2263" s="1" t="inlineStr">
        <is>
          <t>CYNTHIA 07/01/2026</t>
        </is>
      </c>
      <c r="I2263" s="4" t="n">
        <v>2</v>
      </c>
      <c r="J2263" s="6" t="n">
        <v>3.3</v>
      </c>
      <c r="K2263" s="6" t="n">
        <v>87.73851132</v>
      </c>
      <c r="L2263" s="6">
        <f>I2263*K2263</f>
        <v/>
      </c>
      <c r="M2263" s="6">
        <f>K2263*4</f>
        <v/>
      </c>
      <c r="N2263" s="6" t="n">
        <v>570</v>
      </c>
    </row>
    <row r="2264">
      <c r="A2264" s="1" t="inlineStr">
        <is>
          <t>63e0bd2165d38</t>
        </is>
      </c>
      <c r="B2264" s="1" t="n"/>
      <c r="C2264" s="1" t="inlineStr">
        <is>
          <t>1cm</t>
        </is>
      </c>
      <c r="D2264" s="1" t="inlineStr">
        <is>
          <t>18/02/2026</t>
        </is>
      </c>
      <c r="E2264" s="1" t="n">
        <v>2026</v>
      </c>
      <c r="F2264" s="1" t="inlineStr">
        <is>
          <t>FEBRERO</t>
        </is>
      </c>
      <c r="G2264" s="1" t="inlineStr">
        <is>
          <t>CYNTHIA</t>
        </is>
      </c>
      <c r="H2264" s="1" t="inlineStr">
        <is>
          <t>CYNTHIA 18/02/2026</t>
        </is>
      </c>
      <c r="I2264" s="4" t="n">
        <v>2</v>
      </c>
      <c r="J2264" s="6" t="n">
        <v>3.88</v>
      </c>
      <c r="K2264" s="6" t="n">
        <v>104.928257</v>
      </c>
      <c r="L2264" s="6">
        <f>I2264*K2264</f>
        <v/>
      </c>
      <c r="M2264" s="6">
        <f>K2264*4</f>
        <v/>
      </c>
      <c r="N2264" s="6" t="n">
        <v>570</v>
      </c>
    </row>
    <row r="2265">
      <c r="A2265" s="1" t="inlineStr">
        <is>
          <t>63e0bd216689b-1</t>
        </is>
      </c>
      <c r="B2265" s="1" t="inlineStr">
        <is>
          <t>ARETES T-SMILE SILVER</t>
        </is>
      </c>
      <c r="C2265" s="1" t="inlineStr">
        <is>
          <t>1.5cm</t>
        </is>
      </c>
      <c r="D2265" s="1" t="inlineStr">
        <is>
          <t>07/01/2026</t>
        </is>
      </c>
      <c r="E2265" s="1" t="n">
        <v>2026</v>
      </c>
      <c r="F2265" s="1" t="inlineStr">
        <is>
          <t>ENERO</t>
        </is>
      </c>
      <c r="G2265" s="1" t="inlineStr">
        <is>
          <t>CYNTHIA</t>
        </is>
      </c>
      <c r="H2265" s="1" t="inlineStr">
        <is>
          <t>CYNTHIA 07/01/2026</t>
        </is>
      </c>
      <c r="I2265" s="4" t="n">
        <v>10</v>
      </c>
      <c r="J2265" s="6" t="n">
        <v>3.3</v>
      </c>
      <c r="K2265" s="6" t="n">
        <v>87.73851132</v>
      </c>
      <c r="L2265" s="6">
        <f>I2265*K2265</f>
        <v/>
      </c>
      <c r="M2265" s="6">
        <f>K2265*4</f>
        <v/>
      </c>
      <c r="N2265" s="6" t="n">
        <v>420</v>
      </c>
    </row>
    <row r="2266">
      <c r="A2266" s="1" t="inlineStr">
        <is>
          <t>63e0bd216689b-2</t>
        </is>
      </c>
      <c r="B2266" s="1" t="inlineStr">
        <is>
          <t>ARETES T-SMILE SILVER</t>
        </is>
      </c>
      <c r="C2266" s="1" t="inlineStr">
        <is>
          <t>1cm</t>
        </is>
      </c>
      <c r="D2266" s="1" t="inlineStr">
        <is>
          <t>05/09/2025</t>
        </is>
      </c>
      <c r="E2266" s="1" t="n">
        <v>2025</v>
      </c>
      <c r="F2266" s="1" t="inlineStr">
        <is>
          <t>SEPTIEMBRE</t>
        </is>
      </c>
      <c r="G2266" s="1" t="inlineStr">
        <is>
          <t>CYNTHIA</t>
        </is>
      </c>
      <c r="H2266" s="1" t="inlineStr">
        <is>
          <t>CYNTHIA 05/09/2025</t>
        </is>
      </c>
      <c r="I2266" s="4" t="n">
        <v>8</v>
      </c>
      <c r="J2266" s="6" t="n">
        <v>3.88</v>
      </c>
      <c r="K2266" s="6" t="n">
        <v>97.69489608000001</v>
      </c>
      <c r="L2266" s="6">
        <f>I2266*K2266</f>
        <v/>
      </c>
      <c r="M2266" s="6">
        <f>K2266*4</f>
        <v/>
      </c>
      <c r="N2266" s="6" t="n">
        <v>573</v>
      </c>
    </row>
    <row r="2267">
      <c r="A2267" s="1" t="inlineStr">
        <is>
          <t>63e0bdd7637c5</t>
        </is>
      </c>
      <c r="B2267" s="1" t="inlineStr">
        <is>
          <t>COLLAR ARO LOVE GOLD</t>
        </is>
      </c>
      <c r="C2267" s="1" t="inlineStr">
        <is>
          <t>42cm</t>
        </is>
      </c>
      <c r="D2267" s="1" t="inlineStr">
        <is>
          <t>03/12/2025</t>
        </is>
      </c>
      <c r="E2267" s="1" t="n">
        <v>2025</v>
      </c>
      <c r="F2267" s="1" t="inlineStr">
        <is>
          <t>DICIEMBRE</t>
        </is>
      </c>
      <c r="G2267" s="1" t="inlineStr">
        <is>
          <t>HAIFENG</t>
        </is>
      </c>
      <c r="H2267" s="1" t="inlineStr">
        <is>
          <t>HAIFENG 03/12/2025</t>
        </is>
      </c>
      <c r="I2267" s="4" t="n">
        <v>3</v>
      </c>
      <c r="J2267" s="6" t="n">
        <v>5</v>
      </c>
      <c r="K2267" s="6" t="n">
        <v>104.5858001</v>
      </c>
      <c r="L2267" s="6">
        <f>I2267*K2267</f>
        <v/>
      </c>
      <c r="M2267" s="6">
        <f>K2267*4</f>
        <v/>
      </c>
      <c r="N2267" s="6" t="n">
        <v>460</v>
      </c>
    </row>
    <row r="2268">
      <c r="A2268" s="1" t="inlineStr">
        <is>
          <t>63e0bdd7637c5</t>
        </is>
      </c>
      <c r="B2268" s="1" t="inlineStr">
        <is>
          <t>COLLAR ARO LOVE GOLD</t>
        </is>
      </c>
      <c r="C2268" s="1" t="inlineStr">
        <is>
          <t>42cm</t>
        </is>
      </c>
      <c r="D2268" s="1" t="inlineStr">
        <is>
          <t>20/01/2026</t>
        </is>
      </c>
      <c r="E2268" s="1" t="n">
        <v>2026</v>
      </c>
      <c r="F2268" s="1" t="inlineStr">
        <is>
          <t>ENERO</t>
        </is>
      </c>
      <c r="G2268" s="1" t="inlineStr">
        <is>
          <t>HAIFENG</t>
        </is>
      </c>
      <c r="H2268" s="1" t="inlineStr">
        <is>
          <t>HAIFENG 20/01/2026</t>
        </is>
      </c>
      <c r="I2268" s="4" t="n">
        <v>4</v>
      </c>
      <c r="J2268" s="6" t="n">
        <v>4.7</v>
      </c>
      <c r="K2268" s="6" t="n">
        <v>99.64196362</v>
      </c>
      <c r="L2268" s="6">
        <f>I2268*K2268</f>
        <v/>
      </c>
      <c r="M2268" s="6">
        <f>K2268*4</f>
        <v/>
      </c>
      <c r="N2268" s="6" t="n">
        <v>460</v>
      </c>
    </row>
    <row r="2269">
      <c r="A2269" s="1" t="inlineStr">
        <is>
          <t>63e0bdd7637c5</t>
        </is>
      </c>
      <c r="B2269" s="1" t="inlineStr">
        <is>
          <t>COLLAR ARO LOVE GOLD</t>
        </is>
      </c>
      <c r="C2269" s="1" t="inlineStr">
        <is>
          <t>42cm</t>
        </is>
      </c>
      <c r="D2269" s="1" t="inlineStr">
        <is>
          <t>10/02/2026</t>
        </is>
      </c>
      <c r="E2269" s="1" t="n">
        <v>2026</v>
      </c>
      <c r="F2269" s="1" t="inlineStr">
        <is>
          <t>FEBRERO</t>
        </is>
      </c>
      <c r="G2269" s="1" t="inlineStr">
        <is>
          <t>HAIFENG</t>
        </is>
      </c>
      <c r="H2269" s="1" t="inlineStr">
        <is>
          <t>HAIFENG 10/02/2026</t>
        </is>
      </c>
      <c r="I2269" s="4" t="n">
        <v>2</v>
      </c>
      <c r="J2269" s="6" t="n">
        <v>4.7</v>
      </c>
      <c r="K2269" s="6" t="n">
        <v>99.02193151</v>
      </c>
      <c r="L2269" s="6">
        <f>I2269*K2269</f>
        <v/>
      </c>
      <c r="M2269" s="6">
        <f>K2269*4</f>
        <v/>
      </c>
      <c r="N2269" s="6" t="n">
        <v>460</v>
      </c>
    </row>
    <row r="2270">
      <c r="A2270" s="1" t="inlineStr">
        <is>
          <t>63e0bdd7637c5</t>
        </is>
      </c>
      <c r="B2270" s="1" t="inlineStr">
        <is>
          <t>COLLAR ARO LOVE GOLD</t>
        </is>
      </c>
      <c r="C2270" s="1" t="inlineStr">
        <is>
          <t>42cm</t>
        </is>
      </c>
      <c r="D2270" s="1" t="inlineStr">
        <is>
          <t>06/05/2026</t>
        </is>
      </c>
      <c r="E2270" s="1" t="n">
        <v>2026</v>
      </c>
      <c r="F2270" s="1" t="inlineStr">
        <is>
          <t>MAYO</t>
        </is>
      </c>
      <c r="G2270" s="1" t="inlineStr">
        <is>
          <t>HAIFENG</t>
        </is>
      </c>
      <c r="H2270" s="1" t="inlineStr">
        <is>
          <t>HAIFENG 06/05/2026</t>
        </is>
      </c>
      <c r="I2270" s="4" t="n">
        <v>5</v>
      </c>
      <c r="J2270" s="6" t="n">
        <v>4.7</v>
      </c>
      <c r="K2270" s="6" t="n">
        <v>99.72761865</v>
      </c>
      <c r="L2270" s="6">
        <f>I2270*K2270</f>
        <v/>
      </c>
      <c r="M2270" s="6">
        <f>K2270*4</f>
        <v/>
      </c>
      <c r="N2270" s="6" t="n">
        <v>460</v>
      </c>
    </row>
    <row r="2271">
      <c r="A2271" s="1" t="inlineStr">
        <is>
          <t>63e0bdd7637c5</t>
        </is>
      </c>
      <c r="B2271" s="1" t="inlineStr">
        <is>
          <t>COLLAR ARO LOVE GOLD</t>
        </is>
      </c>
      <c r="C2271" s="1" t="inlineStr">
        <is>
          <t>42cm</t>
        </is>
      </c>
      <c r="D2271" s="1" t="inlineStr">
        <is>
          <t>26/05/2026</t>
        </is>
      </c>
      <c r="E2271" s="1" t="n">
        <v>2026</v>
      </c>
      <c r="F2271" s="1" t="inlineStr">
        <is>
          <t>MAYO</t>
        </is>
      </c>
      <c r="G2271" s="1" t="inlineStr">
        <is>
          <t>HAIFENG</t>
        </is>
      </c>
      <c r="H2271" s="1" t="inlineStr">
        <is>
          <t>HAIFENG 26/05/2026</t>
        </is>
      </c>
      <c r="I2271" s="4" t="n">
        <v>5</v>
      </c>
      <c r="J2271" s="6" t="n">
        <v>4.7</v>
      </c>
      <c r="K2271" s="6" t="n">
        <v>98.64968789</v>
      </c>
      <c r="L2271" s="6">
        <f>I2271*K2271</f>
        <v/>
      </c>
      <c r="M2271" s="6">
        <f>K2271*4</f>
        <v/>
      </c>
      <c r="N2271" s="6" t="n">
        <v>460</v>
      </c>
    </row>
    <row r="2272">
      <c r="A2272" s="1" t="inlineStr">
        <is>
          <t>63e0bdd7a5137</t>
        </is>
      </c>
      <c r="B2272" s="1" t="inlineStr">
        <is>
          <t>COLLAR ARO LOVE ROSE GOLD</t>
        </is>
      </c>
      <c r="C2272" s="1" t="inlineStr">
        <is>
          <t>42cm</t>
        </is>
      </c>
      <c r="D2272" s="1" t="inlineStr">
        <is>
          <t>11/11/2025</t>
        </is>
      </c>
      <c r="E2272" s="1" t="n">
        <v>2025</v>
      </c>
      <c r="F2272" s="1" t="inlineStr">
        <is>
          <t>NOVIEMBRE</t>
        </is>
      </c>
      <c r="G2272" s="1" t="inlineStr">
        <is>
          <t>HAIFENG</t>
        </is>
      </c>
      <c r="H2272" s="1" t="inlineStr">
        <is>
          <t>HAIFENG 11/11/2025</t>
        </is>
      </c>
      <c r="I2272" s="4" t="n">
        <v>5</v>
      </c>
      <c r="J2272" s="6" t="n">
        <v>5</v>
      </c>
      <c r="K2272" s="6" t="n">
        <v>105.3024922</v>
      </c>
      <c r="L2272" s="6">
        <f>I2272*K2272</f>
        <v/>
      </c>
      <c r="M2272" s="6">
        <f>K2272*4</f>
        <v/>
      </c>
      <c r="N2272" s="6" t="n">
        <v>460</v>
      </c>
    </row>
    <row r="2273">
      <c r="A2273" s="1" t="inlineStr">
        <is>
          <t>63e0bdd7a5137</t>
        </is>
      </c>
      <c r="B2273" s="1" t="inlineStr">
        <is>
          <t>COLLAR ARO LOVE ROSE GOLD</t>
        </is>
      </c>
      <c r="C2273" s="1" t="inlineStr">
        <is>
          <t>46cm</t>
        </is>
      </c>
      <c r="D2273" s="1" t="inlineStr">
        <is>
          <t>16/04/2026</t>
        </is>
      </c>
      <c r="E2273" s="1" t="n">
        <v>2026</v>
      </c>
      <c r="F2273" s="1" t="inlineStr">
        <is>
          <t>ABRIL</t>
        </is>
      </c>
      <c r="G2273" s="1" t="inlineStr">
        <is>
          <t>HAIFENG</t>
        </is>
      </c>
      <c r="H2273" s="1" t="inlineStr">
        <is>
          <t>HAIFENG 16/04/2026</t>
        </is>
      </c>
      <c r="I2273" s="4" t="n">
        <v>5</v>
      </c>
      <c r="J2273" s="6" t="n">
        <v>5</v>
      </c>
      <c r="K2273" s="6" t="n">
        <v>105.1573679</v>
      </c>
      <c r="L2273" s="6">
        <f>I2273*K2273</f>
        <v/>
      </c>
      <c r="M2273" s="6">
        <f>K2273*4</f>
        <v/>
      </c>
      <c r="N2273" s="6" t="n">
        <v>460</v>
      </c>
    </row>
    <row r="2274">
      <c r="A2274" s="1" t="inlineStr">
        <is>
          <t>63e0bddac5dbe</t>
        </is>
      </c>
      <c r="B2274" s="1" t="inlineStr">
        <is>
          <t>COLLAR ARO LOVE SILVER</t>
        </is>
      </c>
      <c r="C2274" s="1" t="inlineStr">
        <is>
          <t>42cm</t>
        </is>
      </c>
      <c r="D2274" s="1" t="inlineStr">
        <is>
          <t>01/09/2025</t>
        </is>
      </c>
      <c r="E2274" s="1" t="n">
        <v>2025</v>
      </c>
      <c r="F2274" s="1" t="inlineStr">
        <is>
          <t>SEPTIEMBRE</t>
        </is>
      </c>
      <c r="G2274" s="1" t="inlineStr">
        <is>
          <t>HAIFENG</t>
        </is>
      </c>
      <c r="H2274" s="1" t="inlineStr">
        <is>
          <t>HAIFENG 01/09/2025</t>
        </is>
      </c>
      <c r="I2274" s="4" t="n">
        <v>7</v>
      </c>
      <c r="J2274" s="6" t="n">
        <v>4.7</v>
      </c>
      <c r="K2274" s="6" t="n">
        <v>99.90165399999999</v>
      </c>
      <c r="L2274" s="6">
        <f>I2274*K2274</f>
        <v/>
      </c>
      <c r="M2274" s="6">
        <f>K2274*4</f>
        <v/>
      </c>
      <c r="N2274" s="6" t="n">
        <v>460</v>
      </c>
    </row>
    <row r="2275">
      <c r="A2275" s="1" t="inlineStr">
        <is>
          <t>63e0bddac5dbe</t>
        </is>
      </c>
      <c r="B2275" s="1" t="inlineStr">
        <is>
          <t>COLLAR ARO LOVE SILVER</t>
        </is>
      </c>
      <c r="C2275" s="1" t="inlineStr">
        <is>
          <t>42cm</t>
        </is>
      </c>
      <c r="D2275" s="1" t="inlineStr">
        <is>
          <t>20/01/2026</t>
        </is>
      </c>
      <c r="E2275" s="1" t="n">
        <v>2026</v>
      </c>
      <c r="F2275" s="1" t="inlineStr">
        <is>
          <t>ENERO</t>
        </is>
      </c>
      <c r="G2275" s="1" t="inlineStr">
        <is>
          <t>HAIFENG</t>
        </is>
      </c>
      <c r="H2275" s="1" t="inlineStr">
        <is>
          <t>HAIFENG 20/01/2026</t>
        </is>
      </c>
      <c r="I2275" s="4" t="n">
        <v>3</v>
      </c>
      <c r="J2275" s="6" t="n">
        <v>4.7</v>
      </c>
      <c r="K2275" s="6" t="n">
        <v>99.64196362</v>
      </c>
      <c r="L2275" s="6">
        <f>I2275*K2275</f>
        <v/>
      </c>
      <c r="M2275" s="6">
        <f>K2275*4</f>
        <v/>
      </c>
      <c r="N2275" s="6" t="n">
        <v>460</v>
      </c>
    </row>
    <row r="2276">
      <c r="A2276" s="1" t="inlineStr">
        <is>
          <t>63e0beee6c617</t>
        </is>
      </c>
      <c r="B2276" s="1" t="inlineStr">
        <is>
          <t>COLLAR LOVE GOLD</t>
        </is>
      </c>
      <c r="C2276" s="1" t="inlineStr">
        <is>
          <t>42cm</t>
        </is>
      </c>
      <c r="D2276" s="1" t="inlineStr">
        <is>
          <t>25/09/2025</t>
        </is>
      </c>
      <c r="E2276" s="1" t="n">
        <v>2025</v>
      </c>
      <c r="F2276" s="1" t="inlineStr">
        <is>
          <t>SEPTIEMBRE</t>
        </is>
      </c>
      <c r="G2276" s="1" t="inlineStr">
        <is>
          <t>HAIFENG</t>
        </is>
      </c>
      <c r="H2276" s="1" t="inlineStr">
        <is>
          <t>HAIFENG 25/09/2025</t>
        </is>
      </c>
      <c r="I2276" s="4" t="n">
        <v>3</v>
      </c>
      <c r="J2276" s="6" t="n">
        <v>5</v>
      </c>
      <c r="K2276" s="6" t="n">
        <v>105.4844288</v>
      </c>
      <c r="L2276" s="6">
        <f>I2276*K2276</f>
        <v/>
      </c>
      <c r="M2276" s="6">
        <f>K2276*4</f>
        <v/>
      </c>
      <c r="N2276" s="6" t="n">
        <v>550</v>
      </c>
    </row>
    <row r="2277">
      <c r="A2277" s="1" t="inlineStr">
        <is>
          <t>63e0beee6c617</t>
        </is>
      </c>
      <c r="B2277" s="1" t="inlineStr">
        <is>
          <t>COLLAR LOVE GOLD</t>
        </is>
      </c>
      <c r="C2277" s="1" t="inlineStr">
        <is>
          <t>42cm</t>
        </is>
      </c>
      <c r="D2277" s="1" t="inlineStr">
        <is>
          <t>11/11/2025</t>
        </is>
      </c>
      <c r="E2277" s="1" t="n">
        <v>2025</v>
      </c>
      <c r="F2277" s="1" t="inlineStr">
        <is>
          <t>NOVIEMBRE</t>
        </is>
      </c>
      <c r="G2277" s="1" t="inlineStr">
        <is>
          <t>HAIFENG</t>
        </is>
      </c>
      <c r="H2277" s="1" t="inlineStr">
        <is>
          <t>HAIFENG 11/11/2025</t>
        </is>
      </c>
      <c r="I2277" s="4" t="n">
        <v>2</v>
      </c>
      <c r="J2277" s="6" t="n">
        <v>5</v>
      </c>
      <c r="K2277" s="6" t="n">
        <v>105.3024922</v>
      </c>
      <c r="L2277" s="6">
        <f>I2277*K2277</f>
        <v/>
      </c>
      <c r="M2277" s="6">
        <f>K2277*4</f>
        <v/>
      </c>
      <c r="N2277" s="6" t="n">
        <v>550</v>
      </c>
    </row>
    <row r="2278">
      <c r="A2278" s="1" t="inlineStr">
        <is>
          <t>63e0beee6c617</t>
        </is>
      </c>
      <c r="B2278" s="1" t="inlineStr">
        <is>
          <t>COLLAR LOVE GOLD</t>
        </is>
      </c>
      <c r="C2278" s="1" t="inlineStr">
        <is>
          <t>42cm</t>
        </is>
      </c>
      <c r="D2278" s="1" t="inlineStr">
        <is>
          <t>03/12/2025</t>
        </is>
      </c>
      <c r="E2278" s="1" t="n">
        <v>2025</v>
      </c>
      <c r="F2278" s="1" t="inlineStr">
        <is>
          <t>DICIEMBRE</t>
        </is>
      </c>
      <c r="G2278" s="1" t="inlineStr">
        <is>
          <t>HAIFENG</t>
        </is>
      </c>
      <c r="H2278" s="1" t="inlineStr">
        <is>
          <t>HAIFENG 03/12/2025</t>
        </is>
      </c>
      <c r="I2278" s="4" t="n">
        <v>2</v>
      </c>
      <c r="J2278" s="6" t="n">
        <v>5</v>
      </c>
      <c r="K2278" s="6" t="n">
        <v>104.5858001</v>
      </c>
      <c r="L2278" s="6">
        <f>I2278*K2278</f>
        <v/>
      </c>
      <c r="M2278" s="6">
        <f>K2278*4</f>
        <v/>
      </c>
      <c r="N2278" s="6" t="n">
        <v>550</v>
      </c>
    </row>
    <row r="2279">
      <c r="A2279" s="1" t="inlineStr">
        <is>
          <t>63e0beee6c617</t>
        </is>
      </c>
      <c r="B2279" s="1" t="inlineStr">
        <is>
          <t>COLLAR LOVE GOLD</t>
        </is>
      </c>
      <c r="C2279" s="1" t="inlineStr">
        <is>
          <t>45cm</t>
        </is>
      </c>
      <c r="D2279" s="1" t="inlineStr">
        <is>
          <t>16/04/2026</t>
        </is>
      </c>
      <c r="E2279" s="1" t="n">
        <v>2026</v>
      </c>
      <c r="F2279" s="1" t="inlineStr">
        <is>
          <t>ABRIL</t>
        </is>
      </c>
      <c r="G2279" s="1" t="inlineStr">
        <is>
          <t>HAIFENG</t>
        </is>
      </c>
      <c r="H2279" s="1" t="inlineStr">
        <is>
          <t>HAIFENG 16/04/2026</t>
        </is>
      </c>
      <c r="I2279" s="4" t="n">
        <v>5</v>
      </c>
      <c r="J2279" s="6" t="n">
        <v>5</v>
      </c>
      <c r="K2279" s="6" t="n">
        <v>105.1573679</v>
      </c>
      <c r="L2279" s="6">
        <f>I2279*K2279</f>
        <v/>
      </c>
      <c r="M2279" s="6">
        <f>K2279*4</f>
        <v/>
      </c>
      <c r="N2279" s="6" t="n">
        <v>550</v>
      </c>
    </row>
    <row r="2280">
      <c r="A2280" s="1" t="inlineStr">
        <is>
          <t>63e0beee6c617</t>
        </is>
      </c>
      <c r="B2280" s="1" t="inlineStr">
        <is>
          <t>COLLAR LOVE GOLD</t>
        </is>
      </c>
      <c r="C2280" s="1" t="inlineStr">
        <is>
          <t>45cm</t>
        </is>
      </c>
      <c r="D2280" s="1" t="inlineStr">
        <is>
          <t>26/05/2026</t>
        </is>
      </c>
      <c r="E2280" s="1" t="n">
        <v>2026</v>
      </c>
      <c r="F2280" s="1" t="inlineStr">
        <is>
          <t>MAYO</t>
        </is>
      </c>
      <c r="G2280" s="1" t="inlineStr">
        <is>
          <t>HAIFENG</t>
        </is>
      </c>
      <c r="H2280" s="1" t="inlineStr">
        <is>
          <t>HAIFENG 26/05/2026</t>
        </is>
      </c>
      <c r="I2280" s="4" t="n">
        <v>1</v>
      </c>
      <c r="J2280" s="6" t="n">
        <v>5</v>
      </c>
      <c r="K2280" s="6" t="n">
        <v>104.9464765</v>
      </c>
      <c r="L2280" s="6">
        <f>I2280*K2280</f>
        <v/>
      </c>
      <c r="M2280" s="6">
        <f>K2280*4</f>
        <v/>
      </c>
      <c r="N2280" s="6" t="n">
        <v>550</v>
      </c>
    </row>
    <row r="2281">
      <c r="A2281" s="1" t="inlineStr">
        <is>
          <t>63e0beee6c617</t>
        </is>
      </c>
      <c r="B2281" s="1" t="inlineStr">
        <is>
          <t>COLLAR LOVE GOLD</t>
        </is>
      </c>
      <c r="C2281" s="1" t="inlineStr">
        <is>
          <t>45cm</t>
        </is>
      </c>
      <c r="D2281" s="1" t="inlineStr">
        <is>
          <t>16/06/2026</t>
        </is>
      </c>
      <c r="E2281" s="1" t="n">
        <v>2026</v>
      </c>
      <c r="F2281" s="1" t="inlineStr">
        <is>
          <t>JUNIO</t>
        </is>
      </c>
      <c r="G2281" s="1" t="inlineStr">
        <is>
          <t>HAIFENG</t>
        </is>
      </c>
      <c r="H2281" s="1" t="inlineStr">
        <is>
          <t>HAIFENG 16/06/2026</t>
        </is>
      </c>
      <c r="I2281" s="4" t="n">
        <v>8</v>
      </c>
      <c r="J2281" s="6" t="n">
        <v>5</v>
      </c>
      <c r="K2281" s="6" t="n">
        <v>105.0730323</v>
      </c>
      <c r="L2281" s="6">
        <f>I2281*K2281</f>
        <v/>
      </c>
      <c r="M2281" s="6">
        <f>K2281*4</f>
        <v/>
      </c>
      <c r="N2281" s="6" t="n">
        <v>550</v>
      </c>
    </row>
    <row r="2282">
      <c r="A2282" s="1" t="inlineStr">
        <is>
          <t>63e0bef7903cb</t>
        </is>
      </c>
      <c r="B2282" s="1" t="inlineStr">
        <is>
          <t>COLLAR LOVE-LOVE SILVER</t>
        </is>
      </c>
      <c r="C2282" s="1" t="inlineStr">
        <is>
          <t>46cm con extensión de 5cm</t>
        </is>
      </c>
      <c r="D2282" s="1" t="inlineStr">
        <is>
          <t>03/12/2025</t>
        </is>
      </c>
      <c r="E2282" s="1" t="n">
        <v>2025</v>
      </c>
      <c r="F2282" s="1" t="inlineStr">
        <is>
          <t>DICIEMBRE</t>
        </is>
      </c>
      <c r="G2282" s="1" t="inlineStr">
        <is>
          <t>HAIFENG</t>
        </is>
      </c>
      <c r="H2282" s="1" t="inlineStr">
        <is>
          <t>HAIFENG 03/12/2025</t>
        </is>
      </c>
      <c r="I2282" s="4" t="n">
        <v>4</v>
      </c>
      <c r="J2282" s="6" t="n">
        <v>3.8</v>
      </c>
      <c r="K2282" s="6" t="n">
        <v>79.48520804</v>
      </c>
      <c r="L2282" s="6">
        <f>I2282*K2282</f>
        <v/>
      </c>
      <c r="M2282" s="6">
        <f>K2282*4</f>
        <v/>
      </c>
      <c r="N2282" s="6" t="n">
        <v>440</v>
      </c>
    </row>
    <row r="2283">
      <c r="A2283" s="1" t="inlineStr">
        <is>
          <t>63e0bef7903cb</t>
        </is>
      </c>
      <c r="B2283" s="1" t="inlineStr">
        <is>
          <t>COLLAR LOVE-LOVE SILVER</t>
        </is>
      </c>
      <c r="C2283" s="1" t="inlineStr">
        <is>
          <t>46cm con extensión de 5cm</t>
        </is>
      </c>
      <c r="D2283" s="1" t="inlineStr">
        <is>
          <t>20/01/2026</t>
        </is>
      </c>
      <c r="E2283" s="1" t="n">
        <v>2026</v>
      </c>
      <c r="F2283" s="1" t="inlineStr">
        <is>
          <t>ENERO</t>
        </is>
      </c>
      <c r="G2283" s="1" t="inlineStr">
        <is>
          <t>HAIFENG</t>
        </is>
      </c>
      <c r="H2283" s="1" t="inlineStr">
        <is>
          <t>HAIFENG 20/01/2026</t>
        </is>
      </c>
      <c r="I2283" s="4" t="n">
        <v>2</v>
      </c>
      <c r="J2283" s="6" t="n">
        <v>3.8</v>
      </c>
      <c r="K2283" s="6" t="n">
        <v>80.56158761</v>
      </c>
      <c r="L2283" s="6">
        <f>I2283*K2283</f>
        <v/>
      </c>
      <c r="M2283" s="6">
        <f>K2283*4</f>
        <v/>
      </c>
      <c r="N2283" s="6" t="n">
        <v>440</v>
      </c>
    </row>
    <row r="2284">
      <c r="A2284" s="1" t="inlineStr">
        <is>
          <t>63e0bef7903cb</t>
        </is>
      </c>
      <c r="B2284" s="1" t="inlineStr">
        <is>
          <t>COLLAR LOVE-LOVE SILVER</t>
        </is>
      </c>
      <c r="C2284" s="1" t="inlineStr">
        <is>
          <t>46cm con extensión de 5cm</t>
        </is>
      </c>
      <c r="D2284" s="1" t="inlineStr">
        <is>
          <t>06/05/2026</t>
        </is>
      </c>
      <c r="E2284" s="1" t="n">
        <v>2026</v>
      </c>
      <c r="F2284" s="1" t="inlineStr">
        <is>
          <t>MAYO</t>
        </is>
      </c>
      <c r="G2284" s="1" t="inlineStr">
        <is>
          <t>HAIFENG</t>
        </is>
      </c>
      <c r="H2284" s="1" t="inlineStr">
        <is>
          <t>HAIFENG 06/05/2026</t>
        </is>
      </c>
      <c r="I2284" s="4" t="n">
        <v>3</v>
      </c>
      <c r="J2284" s="6" t="n">
        <v>3.8</v>
      </c>
      <c r="K2284" s="6" t="n">
        <v>80.63084061000001</v>
      </c>
      <c r="L2284" s="6">
        <f>I2284*K2284</f>
        <v/>
      </c>
      <c r="M2284" s="6">
        <f>K2284*4</f>
        <v/>
      </c>
      <c r="N2284" s="6" t="n">
        <v>440</v>
      </c>
    </row>
    <row r="2285">
      <c r="A2285" s="1" t="inlineStr">
        <is>
          <t>63e0bef7903cb</t>
        </is>
      </c>
      <c r="B2285" s="1" t="inlineStr">
        <is>
          <t>COLLAR LOVE-LOVE SILVER</t>
        </is>
      </c>
      <c r="C2285" s="1" t="inlineStr">
        <is>
          <t>46cm con extensión de 5cm</t>
        </is>
      </c>
      <c r="D2285" s="1" t="inlineStr">
        <is>
          <t>16/06/2026</t>
        </is>
      </c>
      <c r="E2285" s="1" t="n">
        <v>2026</v>
      </c>
      <c r="F2285" s="1" t="inlineStr">
        <is>
          <t>JUNIO</t>
        </is>
      </c>
      <c r="G2285" s="1" t="inlineStr">
        <is>
          <t>HAIFENG</t>
        </is>
      </c>
      <c r="H2285" s="1" t="inlineStr">
        <is>
          <t>HAIFENG 16/06/2026</t>
        </is>
      </c>
      <c r="I2285" s="4" t="n">
        <v>2</v>
      </c>
      <c r="J2285" s="6" t="n">
        <v>3.8</v>
      </c>
      <c r="K2285" s="6" t="n">
        <v>79.85550455000001</v>
      </c>
      <c r="L2285" s="6">
        <f>I2285*K2285</f>
        <v/>
      </c>
      <c r="M2285" s="6">
        <f>K2285*4</f>
        <v/>
      </c>
      <c r="N2285" s="6" t="n">
        <v>440</v>
      </c>
    </row>
    <row r="2286">
      <c r="A2286" s="1" t="inlineStr">
        <is>
          <t>63e0bf8dbe95e</t>
        </is>
      </c>
      <c r="B2286" s="1" t="inlineStr">
        <is>
          <t>COLLAR SMILE DORADO</t>
        </is>
      </c>
      <c r="C2286" s="1" t="inlineStr">
        <is>
          <t>MEDIUM</t>
        </is>
      </c>
      <c r="D2286" s="1" t="inlineStr">
        <is>
          <t>01/09/2025</t>
        </is>
      </c>
      <c r="E2286" s="1" t="n">
        <v>2025</v>
      </c>
      <c r="F2286" s="1" t="inlineStr">
        <is>
          <t>SEPTIEMBRE</t>
        </is>
      </c>
      <c r="G2286" s="1" t="inlineStr">
        <is>
          <t>HAIFENG</t>
        </is>
      </c>
      <c r="H2286" s="1" t="inlineStr">
        <is>
          <t>HAIFENG 01/09/2025</t>
        </is>
      </c>
      <c r="I2286" s="4" t="n">
        <v>10</v>
      </c>
      <c r="J2286" s="6" t="n">
        <v>3.4</v>
      </c>
      <c r="K2286" s="6" t="n">
        <v>72.26928160999999</v>
      </c>
      <c r="L2286" s="6">
        <f>I2286*K2286</f>
        <v/>
      </c>
      <c r="M2286" s="6">
        <f>K2286*4</f>
        <v/>
      </c>
      <c r="N2286" s="6" t="n">
        <v>460</v>
      </c>
    </row>
    <row r="2287">
      <c r="A2287" s="1" t="inlineStr">
        <is>
          <t>63e0bf8dbe95e</t>
        </is>
      </c>
      <c r="B2287" s="1" t="inlineStr">
        <is>
          <t>COLLAR SMILE DORADO</t>
        </is>
      </c>
      <c r="C2287" s="1" t="inlineStr">
        <is>
          <t>MEDIUM</t>
        </is>
      </c>
      <c r="D2287" s="1" t="inlineStr">
        <is>
          <t>11/11/2025</t>
        </is>
      </c>
      <c r="E2287" s="1" t="n">
        <v>2025</v>
      </c>
      <c r="F2287" s="1" t="inlineStr">
        <is>
          <t>NOVIEMBRE</t>
        </is>
      </c>
      <c r="G2287" s="1" t="inlineStr">
        <is>
          <t>HAIFENG</t>
        </is>
      </c>
      <c r="H2287" s="1" t="inlineStr">
        <is>
          <t>HAIFENG 11/11/2025</t>
        </is>
      </c>
      <c r="I2287" s="4" t="n">
        <v>10</v>
      </c>
      <c r="J2287" s="6" t="n">
        <v>3.4</v>
      </c>
      <c r="K2287" s="6" t="n">
        <v>71.60569470999999</v>
      </c>
      <c r="L2287" s="6">
        <f>I2287*K2287</f>
        <v/>
      </c>
      <c r="M2287" s="6">
        <f>K2287*4</f>
        <v/>
      </c>
      <c r="N2287" s="6" t="n">
        <v>460</v>
      </c>
    </row>
    <row r="2288">
      <c r="A2288" s="1" t="inlineStr">
        <is>
          <t>63e0bf8dbe95e</t>
        </is>
      </c>
      <c r="B2288" s="1" t="inlineStr">
        <is>
          <t>COLLAR SMILE DORADO</t>
        </is>
      </c>
      <c r="C2288" s="1" t="inlineStr">
        <is>
          <t>MEDIUM</t>
        </is>
      </c>
      <c r="D2288" s="1" t="inlineStr">
        <is>
          <t>03/12/2025</t>
        </is>
      </c>
      <c r="E2288" s="1" t="n">
        <v>2025</v>
      </c>
      <c r="F2288" s="1" t="inlineStr">
        <is>
          <t>DICIEMBRE</t>
        </is>
      </c>
      <c r="G2288" s="1" t="inlineStr">
        <is>
          <t>HAIFENG</t>
        </is>
      </c>
      <c r="H2288" s="1" t="inlineStr">
        <is>
          <t>HAIFENG 03/12/2025</t>
        </is>
      </c>
      <c r="I2288" s="4" t="n">
        <v>3</v>
      </c>
      <c r="J2288" s="6" t="n">
        <v>3.4</v>
      </c>
      <c r="K2288" s="6" t="n">
        <v>71.11834404</v>
      </c>
      <c r="L2288" s="6">
        <f>I2288*K2288</f>
        <v/>
      </c>
      <c r="M2288" s="6">
        <f>K2288*4</f>
        <v/>
      </c>
      <c r="N2288" s="6" t="n">
        <v>460</v>
      </c>
    </row>
    <row r="2289">
      <c r="A2289" s="1" t="inlineStr">
        <is>
          <t>63e0bf8dbe95e</t>
        </is>
      </c>
      <c r="B2289" s="1" t="inlineStr">
        <is>
          <t>COLLAR SMILE DORADO</t>
        </is>
      </c>
      <c r="C2289" s="1" t="inlineStr">
        <is>
          <t>MEDIUM</t>
        </is>
      </c>
      <c r="D2289" s="1" t="inlineStr">
        <is>
          <t>11/03/2026</t>
        </is>
      </c>
      <c r="E2289" s="1" t="n">
        <v>2026</v>
      </c>
      <c r="F2289" s="1" t="inlineStr">
        <is>
          <t>MARZO</t>
        </is>
      </c>
      <c r="G2289" s="1" t="inlineStr">
        <is>
          <t>HAIFENG</t>
        </is>
      </c>
      <c r="H2289" s="1" t="inlineStr">
        <is>
          <t>HAIFENG 11/03/2026</t>
        </is>
      </c>
      <c r="I2289" s="4" t="n">
        <v>15</v>
      </c>
      <c r="J2289" s="6" t="n">
        <v>3.4</v>
      </c>
      <c r="K2289" s="6" t="n">
        <v>72.43324713</v>
      </c>
      <c r="L2289" s="6">
        <f>I2289*K2289</f>
        <v/>
      </c>
      <c r="M2289" s="6">
        <f>K2289*4</f>
        <v/>
      </c>
      <c r="N2289" s="6" t="n">
        <v>460</v>
      </c>
    </row>
    <row r="2290">
      <c r="A2290" s="1" t="inlineStr">
        <is>
          <t>63e0bf8dbe95e</t>
        </is>
      </c>
      <c r="B2290" s="1" t="inlineStr">
        <is>
          <t>COLLAR SMILE DORADO</t>
        </is>
      </c>
      <c r="C2290" s="1" t="inlineStr">
        <is>
          <t>MEDIUM</t>
        </is>
      </c>
      <c r="D2290" s="1" t="inlineStr">
        <is>
          <t>26/05/2026</t>
        </is>
      </c>
      <c r="E2290" s="1" t="n">
        <v>2026</v>
      </c>
      <c r="F2290" s="1" t="inlineStr">
        <is>
          <t>MAYO</t>
        </is>
      </c>
      <c r="G2290" s="1" t="inlineStr">
        <is>
          <t>HAIFENG</t>
        </is>
      </c>
      <c r="H2290" s="1" t="inlineStr">
        <is>
          <t>HAIFENG 26/05/2026</t>
        </is>
      </c>
      <c r="I2290" s="4" t="n">
        <v>8</v>
      </c>
      <c r="J2290" s="6" t="n">
        <v>3.8</v>
      </c>
      <c r="K2290" s="6" t="n">
        <v>79.75932211999999</v>
      </c>
      <c r="L2290" s="6">
        <f>I2290*K2290</f>
        <v/>
      </c>
      <c r="M2290" s="6">
        <f>K2290*4</f>
        <v/>
      </c>
      <c r="N2290" s="6" t="n">
        <v>460</v>
      </c>
    </row>
    <row r="2291">
      <c r="A2291" s="1" t="inlineStr">
        <is>
          <t>63e0bf8dbe95e</t>
        </is>
      </c>
      <c r="B2291" s="1" t="inlineStr">
        <is>
          <t>COLLAR SMILE DORADO</t>
        </is>
      </c>
      <c r="C2291" s="1" t="inlineStr">
        <is>
          <t>MEDIUM</t>
        </is>
      </c>
      <c r="D2291" s="1" t="inlineStr">
        <is>
          <t>16/06/2026</t>
        </is>
      </c>
      <c r="E2291" s="1" t="n">
        <v>2026</v>
      </c>
      <c r="F2291" s="1" t="inlineStr">
        <is>
          <t>JUNIO</t>
        </is>
      </c>
      <c r="G2291" s="1" t="inlineStr">
        <is>
          <t>HAIFENG</t>
        </is>
      </c>
      <c r="H2291" s="1" t="inlineStr">
        <is>
          <t>HAIFENG 16/06/2026</t>
        </is>
      </c>
      <c r="I2291" s="4" t="n">
        <v>10</v>
      </c>
      <c r="J2291" s="6" t="n">
        <v>3.8</v>
      </c>
      <c r="K2291" s="6" t="n">
        <v>79.85550455000001</v>
      </c>
      <c r="L2291" s="6">
        <f>I2291*K2291</f>
        <v/>
      </c>
      <c r="M2291" s="6">
        <f>K2291*4</f>
        <v/>
      </c>
      <c r="N2291" s="6" t="n">
        <v>460</v>
      </c>
    </row>
    <row r="2292">
      <c r="A2292" s="1" t="inlineStr">
        <is>
          <t>63e0c0e63c828</t>
        </is>
      </c>
      <c r="B2292" s="1" t="inlineStr">
        <is>
          <t>PULSERA CLAVO ROSE GOLD DELGADA CON ZIRCONIA</t>
        </is>
      </c>
      <c r="C2292" s="1" t="inlineStr">
        <is>
          <t>17cm</t>
        </is>
      </c>
      <c r="D2292" s="1" t="inlineStr">
        <is>
          <t>06/09/2025</t>
        </is>
      </c>
      <c r="E2292" s="1" t="n">
        <v>2025</v>
      </c>
      <c r="F2292" s="1" t="inlineStr">
        <is>
          <t>SEPTIEMBRE</t>
        </is>
      </c>
      <c r="G2292" s="1" t="inlineStr">
        <is>
          <t>NANCY</t>
        </is>
      </c>
      <c r="H2292" s="1" t="inlineStr">
        <is>
          <t>NANCY 06/09/2025</t>
        </is>
      </c>
      <c r="I2292" s="4" t="n">
        <v>10</v>
      </c>
      <c r="J2292" s="6" t="n">
        <v>3.99</v>
      </c>
      <c r="K2292" s="6" t="n">
        <v>92.90978174</v>
      </c>
      <c r="L2292" s="6">
        <f>I2292*K2292</f>
        <v/>
      </c>
      <c r="M2292" s="6">
        <f>K2292*4</f>
        <v/>
      </c>
      <c r="N2292" s="6" t="n">
        <v>480</v>
      </c>
    </row>
    <row r="2293">
      <c r="A2293" s="1" t="inlineStr">
        <is>
          <t>63e0c0e63c828</t>
        </is>
      </c>
      <c r="B2293" s="1" t="inlineStr">
        <is>
          <t>PULSERA CLAVO DELGADA ROSE GOLD CON ZIRCONIA</t>
        </is>
      </c>
      <c r="C2293" s="1" t="inlineStr">
        <is>
          <t>17cm</t>
        </is>
      </c>
      <c r="D2293" s="1" t="inlineStr">
        <is>
          <t>03/12/2025</t>
        </is>
      </c>
      <c r="E2293" s="1" t="n">
        <v>2025</v>
      </c>
      <c r="F2293" s="1" t="inlineStr">
        <is>
          <t>DICIEMBRE</t>
        </is>
      </c>
      <c r="G2293" s="1" t="inlineStr">
        <is>
          <t>NANCY</t>
        </is>
      </c>
      <c r="H2293" s="1" t="inlineStr">
        <is>
          <t>NANCY 03/12/2025</t>
        </is>
      </c>
      <c r="I2293" s="4" t="n">
        <v>3</v>
      </c>
      <c r="J2293" s="6" t="n">
        <v>3.99</v>
      </c>
      <c r="K2293" s="6" t="n">
        <v>94.39039819</v>
      </c>
      <c r="L2293" s="6">
        <f>I2293*K2293</f>
        <v/>
      </c>
      <c r="M2293" s="6">
        <f>K2293*4</f>
        <v/>
      </c>
      <c r="N2293" s="6" t="n">
        <v>480</v>
      </c>
    </row>
    <row r="2294">
      <c r="A2294" s="1" t="inlineStr">
        <is>
          <t>63e0c0e97703d</t>
        </is>
      </c>
      <c r="B2294" s="1" t="inlineStr">
        <is>
          <t>PULSERA CLAVO GOLD DELGADA</t>
        </is>
      </c>
      <c r="C2294" s="1" t="inlineStr">
        <is>
          <t>16cm</t>
        </is>
      </c>
      <c r="D2294" s="1" t="inlineStr">
        <is>
          <t>06/09/2025</t>
        </is>
      </c>
      <c r="E2294" s="1" t="n">
        <v>2025</v>
      </c>
      <c r="F2294" s="1" t="inlineStr">
        <is>
          <t>SEPTIEMBRE</t>
        </is>
      </c>
      <c r="G2294" s="1" t="inlineStr">
        <is>
          <t>NANCY</t>
        </is>
      </c>
      <c r="H2294" s="1" t="inlineStr">
        <is>
          <t>NANCY 06/09/2025</t>
        </is>
      </c>
      <c r="I2294" s="4" t="n">
        <v>12</v>
      </c>
      <c r="J2294" s="6" t="n">
        <v>2.99</v>
      </c>
      <c r="K2294" s="6" t="n">
        <v>69.62412216</v>
      </c>
      <c r="L2294" s="6">
        <f>I2294*K2294</f>
        <v/>
      </c>
      <c r="M2294" s="6">
        <f>K2294*4</f>
        <v/>
      </c>
      <c r="N2294" s="6" t="n">
        <v>550</v>
      </c>
    </row>
    <row r="2295">
      <c r="A2295" s="1" t="inlineStr">
        <is>
          <t>63e0c0e97703d</t>
        </is>
      </c>
      <c r="B2295" s="1" t="inlineStr">
        <is>
          <t>PULSERA CLAVO GOLD DELGADA</t>
        </is>
      </c>
      <c r="C2295" s="1" t="inlineStr">
        <is>
          <t>16cm</t>
        </is>
      </c>
      <c r="D2295" s="1" t="inlineStr">
        <is>
          <t>03/12/2025</t>
        </is>
      </c>
      <c r="E2295" s="1" t="n">
        <v>2025</v>
      </c>
      <c r="F2295" s="1" t="inlineStr">
        <is>
          <t>DICIEMBRE</t>
        </is>
      </c>
      <c r="G2295" s="1" t="inlineStr">
        <is>
          <t>NANCY</t>
        </is>
      </c>
      <c r="H2295" s="1" t="inlineStr">
        <is>
          <t>NANCY 03/12/2025</t>
        </is>
      </c>
      <c r="I2295" s="4" t="n">
        <v>5</v>
      </c>
      <c r="J2295" s="6" t="n">
        <v>2.99</v>
      </c>
      <c r="K2295" s="6" t="n">
        <v>70.73365679</v>
      </c>
      <c r="L2295" s="6">
        <f>I2295*K2295</f>
        <v/>
      </c>
      <c r="M2295" s="6">
        <f>K2295*4</f>
        <v/>
      </c>
      <c r="N2295" s="6" t="n">
        <v>550</v>
      </c>
    </row>
    <row r="2296">
      <c r="A2296" s="1" t="inlineStr">
        <is>
          <t>63e0c0e97703d</t>
        </is>
      </c>
      <c r="B2296" s="1" t="inlineStr">
        <is>
          <t>PULSERA CLAVO GOLD DELGADA</t>
        </is>
      </c>
      <c r="C2296" s="1" t="inlineStr">
        <is>
          <t>16cm</t>
        </is>
      </c>
      <c r="D2296" s="1" t="inlineStr">
        <is>
          <t>01/03/2026</t>
        </is>
      </c>
      <c r="E2296" s="1" t="n">
        <v>2026</v>
      </c>
      <c r="F2296" s="1" t="inlineStr">
        <is>
          <t>MARZO</t>
        </is>
      </c>
      <c r="G2296" s="1" t="inlineStr">
        <is>
          <t>NANCY</t>
        </is>
      </c>
      <c r="H2296" s="1" t="inlineStr">
        <is>
          <t>NANCY 01/03/2026</t>
        </is>
      </c>
      <c r="I2296" s="4" t="n">
        <v>5</v>
      </c>
      <c r="J2296" s="6" t="n">
        <v>2.99</v>
      </c>
      <c r="K2296" s="6" t="n">
        <v>75.65811782</v>
      </c>
      <c r="L2296" s="6">
        <f>I2296*K2296</f>
        <v/>
      </c>
      <c r="M2296" s="6">
        <f>K2296*4</f>
        <v/>
      </c>
      <c r="N2296" s="6" t="n">
        <v>550</v>
      </c>
    </row>
    <row r="2297">
      <c r="A2297" s="1" t="inlineStr">
        <is>
          <t>63e0c0e97703d</t>
        </is>
      </c>
      <c r="B2297" s="1" t="inlineStr">
        <is>
          <t>PULSERA CLAVO GOLD DELGADA</t>
        </is>
      </c>
      <c r="C2297" s="1" t="inlineStr">
        <is>
          <t>16cm</t>
        </is>
      </c>
      <c r="D2297" s="1" t="inlineStr">
        <is>
          <t>01/04/2026</t>
        </is>
      </c>
      <c r="E2297" s="1" t="n">
        <v>2026</v>
      </c>
      <c r="F2297" s="1" t="inlineStr">
        <is>
          <t>ABRIL</t>
        </is>
      </c>
      <c r="G2297" s="1" t="inlineStr">
        <is>
          <t>NANCY</t>
        </is>
      </c>
      <c r="H2297" s="1" t="inlineStr">
        <is>
          <t>NANCY 01/04/2026</t>
        </is>
      </c>
      <c r="I2297" s="4" t="n">
        <v>4</v>
      </c>
      <c r="J2297" s="6" t="n">
        <v>2.99</v>
      </c>
      <c r="K2297" s="6" t="n">
        <v>71.58212365</v>
      </c>
      <c r="L2297" s="6">
        <f>I2297*K2297</f>
        <v/>
      </c>
      <c r="M2297" s="6">
        <f>K2297*4</f>
        <v/>
      </c>
      <c r="N2297" s="6" t="n">
        <v>550</v>
      </c>
    </row>
    <row r="2298">
      <c r="A2298" s="1" t="inlineStr">
        <is>
          <t>63e0c0e97703d</t>
        </is>
      </c>
      <c r="B2298" s="1" t="inlineStr">
        <is>
          <t>PULSERA CLAVO GOLD DELGADA</t>
        </is>
      </c>
      <c r="C2298" s="1" t="inlineStr">
        <is>
          <t>16cm</t>
        </is>
      </c>
      <c r="D2298" s="1" t="inlineStr">
        <is>
          <t>01/04/2026</t>
        </is>
      </c>
      <c r="E2298" s="1" t="n">
        <v>2026</v>
      </c>
      <c r="F2298" s="1" t="inlineStr">
        <is>
          <t>ABRIL</t>
        </is>
      </c>
      <c r="G2298" s="1" t="inlineStr">
        <is>
          <t>NANCY</t>
        </is>
      </c>
      <c r="H2298" s="1" t="inlineStr">
        <is>
          <t>NANCY 01/04/2026</t>
        </is>
      </c>
      <c r="I2298" s="4" t="n">
        <v>5</v>
      </c>
      <c r="J2298" s="6" t="n">
        <v>1.5</v>
      </c>
      <c r="K2298" s="6" t="n">
        <v>35.91076437</v>
      </c>
      <c r="L2298" s="6">
        <f>I2298*K2298</f>
        <v/>
      </c>
      <c r="M2298" s="6">
        <f>K2298*4</f>
        <v/>
      </c>
      <c r="N2298" s="6" t="n">
        <v>550</v>
      </c>
    </row>
    <row r="2299">
      <c r="A2299" s="1" t="inlineStr">
        <is>
          <t>63e0c0e97703d</t>
        </is>
      </c>
      <c r="B2299" s="1" t="inlineStr">
        <is>
          <t>PULSERA CLAVO GOLD DELGADA</t>
        </is>
      </c>
      <c r="C2299" s="1" t="inlineStr">
        <is>
          <t>16cm</t>
        </is>
      </c>
      <c r="D2299" s="1" t="inlineStr">
        <is>
          <t>31/05/2026</t>
        </is>
      </c>
      <c r="E2299" s="1" t="n">
        <v>2026</v>
      </c>
      <c r="F2299" s="1" t="inlineStr">
        <is>
          <t>MAYO</t>
        </is>
      </c>
      <c r="G2299" s="1" t="inlineStr">
        <is>
          <t>NANCY</t>
        </is>
      </c>
      <c r="H2299" s="1" t="inlineStr">
        <is>
          <t>NANCY 31/05/2026</t>
        </is>
      </c>
      <c r="I2299" s="4" t="n">
        <v>15</v>
      </c>
      <c r="J2299" s="6" t="n">
        <v>2.99</v>
      </c>
      <c r="K2299" s="6" t="n">
        <v>72.56009323000001</v>
      </c>
      <c r="L2299" s="6">
        <f>I2299*K2299</f>
        <v/>
      </c>
      <c r="M2299" s="6">
        <f>K2299*4</f>
        <v/>
      </c>
      <c r="N2299" s="6" t="n">
        <v>550</v>
      </c>
    </row>
    <row r="2300">
      <c r="A2300" s="1" t="inlineStr">
        <is>
          <t>63e0c0e97703d</t>
        </is>
      </c>
      <c r="B2300" s="1" t="inlineStr">
        <is>
          <t>PULSERA CLAVO GOLD DELGADA</t>
        </is>
      </c>
      <c r="C2300" s="1" t="inlineStr">
        <is>
          <t>16cm</t>
        </is>
      </c>
      <c r="D2300" s="1" t="inlineStr">
        <is>
          <t>09/07/2026</t>
        </is>
      </c>
      <c r="E2300" s="1" t="n">
        <v>2026</v>
      </c>
      <c r="F2300" s="1" t="inlineStr">
        <is>
          <t>JULIO</t>
        </is>
      </c>
      <c r="G2300" s="1" t="inlineStr">
        <is>
          <t>NANCY</t>
        </is>
      </c>
      <c r="H2300" s="1" t="inlineStr">
        <is>
          <t>NANCY 09/07/2026</t>
        </is>
      </c>
      <c r="I2300" s="4" t="n">
        <v>5</v>
      </c>
      <c r="J2300" s="6" t="n">
        <v>2.99</v>
      </c>
      <c r="K2300" s="6" t="n">
        <v>72.85276514</v>
      </c>
      <c r="L2300" s="6">
        <f>I2300*K2300</f>
        <v/>
      </c>
      <c r="M2300" s="6">
        <f>K2300*4</f>
        <v/>
      </c>
      <c r="N2300" s="6" t="n">
        <v>550</v>
      </c>
    </row>
    <row r="2301">
      <c r="A2301" s="1" t="inlineStr">
        <is>
          <t>63e0c0ea219d0</t>
        </is>
      </c>
      <c r="B2301" s="1" t="inlineStr">
        <is>
          <t>PULSERA CLAVO GOLD DELGADA CON ZIRCONIA</t>
        </is>
      </c>
      <c r="C2301" s="1" t="inlineStr">
        <is>
          <t>17cm</t>
        </is>
      </c>
      <c r="D2301" s="1" t="inlineStr">
        <is>
          <t>06/09/2025</t>
        </is>
      </c>
      <c r="E2301" s="1" t="n">
        <v>2025</v>
      </c>
      <c r="F2301" s="1" t="inlineStr">
        <is>
          <t>SEPTIEMBRE</t>
        </is>
      </c>
      <c r="G2301" s="1" t="inlineStr">
        <is>
          <t>NANCY</t>
        </is>
      </c>
      <c r="H2301" s="1" t="inlineStr">
        <is>
          <t>NANCY 06/09/2025</t>
        </is>
      </c>
      <c r="I2301" s="4" t="n">
        <v>15</v>
      </c>
      <c r="J2301" s="6" t="n">
        <v>3.99</v>
      </c>
      <c r="K2301" s="6" t="n">
        <v>92.90978174</v>
      </c>
      <c r="L2301" s="6">
        <f>I2301*K2301</f>
        <v/>
      </c>
      <c r="M2301" s="6">
        <f>K2301*4</f>
        <v/>
      </c>
      <c r="N2301" s="6" t="n">
        <v>480</v>
      </c>
    </row>
    <row r="2302">
      <c r="A2302" s="1" t="inlineStr">
        <is>
          <t>63e0c0ea219d0</t>
        </is>
      </c>
      <c r="B2302" s="1" t="inlineStr">
        <is>
          <t>PULSERA CLAVO GOLD DELGADA CON ZIRCONIA</t>
        </is>
      </c>
      <c r="C2302" s="1" t="inlineStr">
        <is>
          <t>17cm</t>
        </is>
      </c>
      <c r="D2302" s="1" t="inlineStr">
        <is>
          <t>31/05/2026</t>
        </is>
      </c>
      <c r="E2302" s="1" t="n">
        <v>2026</v>
      </c>
      <c r="F2302" s="1" t="inlineStr">
        <is>
          <t>MAYO</t>
        </is>
      </c>
      <c r="G2302" s="1" t="inlineStr">
        <is>
          <t>NANCY</t>
        </is>
      </c>
      <c r="H2302" s="1" t="inlineStr">
        <is>
          <t>NANCY 31/05/2026</t>
        </is>
      </c>
      <c r="I2302" s="4" t="n">
        <v>4</v>
      </c>
      <c r="J2302" s="6" t="n">
        <v>3.99</v>
      </c>
      <c r="K2302" s="6" t="n">
        <v>96.82768294</v>
      </c>
      <c r="L2302" s="6">
        <f>I2302*K2302</f>
        <v/>
      </c>
      <c r="M2302" s="6">
        <f>K2302*4</f>
        <v/>
      </c>
      <c r="N2302" s="6" t="n">
        <v>480</v>
      </c>
    </row>
    <row r="2303">
      <c r="A2303" s="1" t="inlineStr">
        <is>
          <t>63e0c0ed991c0</t>
        </is>
      </c>
      <c r="B2303" s="1" t="inlineStr">
        <is>
          <t>PULSERA CLAVO GOLD</t>
        </is>
      </c>
      <c r="C2303" s="1" t="inlineStr">
        <is>
          <t>17 cm</t>
        </is>
      </c>
      <c r="D2303" s="1" t="inlineStr">
        <is>
          <t>06/09/2025</t>
        </is>
      </c>
      <c r="E2303" s="1" t="n">
        <v>2025</v>
      </c>
      <c r="F2303" s="1" t="inlineStr">
        <is>
          <t>SEPTIEMBRE</t>
        </is>
      </c>
      <c r="G2303" s="1" t="inlineStr">
        <is>
          <t>NANCY</t>
        </is>
      </c>
      <c r="H2303" s="1" t="inlineStr">
        <is>
          <t>NANCY 06/09/2025</t>
        </is>
      </c>
      <c r="I2303" s="4" t="n">
        <v>10</v>
      </c>
      <c r="J2303" s="6" t="n">
        <v>2.99</v>
      </c>
      <c r="K2303" s="6" t="n">
        <v>69.62412216</v>
      </c>
      <c r="L2303" s="6">
        <f>I2303*K2303</f>
        <v/>
      </c>
      <c r="M2303" s="6">
        <f>K2303*4</f>
        <v/>
      </c>
      <c r="N2303" s="6" t="n">
        <v>450</v>
      </c>
    </row>
    <row r="2304">
      <c r="A2304" s="1" t="inlineStr">
        <is>
          <t>63e0c0ed991c0</t>
        </is>
      </c>
      <c r="B2304" s="1" t="inlineStr">
        <is>
          <t>PULSERA CLAVO GOLD</t>
        </is>
      </c>
      <c r="C2304" s="1" t="inlineStr">
        <is>
          <t>17 cm</t>
        </is>
      </c>
      <c r="D2304" s="1" t="inlineStr">
        <is>
          <t>03/12/2025</t>
        </is>
      </c>
      <c r="E2304" s="1" t="n">
        <v>2025</v>
      </c>
      <c r="F2304" s="1" t="inlineStr">
        <is>
          <t>DICIEMBRE</t>
        </is>
      </c>
      <c r="G2304" s="1" t="inlineStr">
        <is>
          <t>NANCY</t>
        </is>
      </c>
      <c r="H2304" s="1" t="inlineStr">
        <is>
          <t>NANCY 03/12/2025</t>
        </is>
      </c>
      <c r="I2304" s="4" t="n">
        <v>22</v>
      </c>
      <c r="J2304" s="6" t="n">
        <v>2.99</v>
      </c>
      <c r="K2304" s="6" t="n">
        <v>70.73365679</v>
      </c>
      <c r="L2304" s="6">
        <f>I2304*K2304</f>
        <v/>
      </c>
      <c r="M2304" s="6">
        <f>K2304*4</f>
        <v/>
      </c>
      <c r="N2304" s="6" t="n">
        <v>450</v>
      </c>
    </row>
    <row r="2305">
      <c r="A2305" s="1" t="inlineStr">
        <is>
          <t>63e0c0ed991c0</t>
        </is>
      </c>
      <c r="B2305" s="1" t="inlineStr">
        <is>
          <t>PULSERA CLAVO GOLD</t>
        </is>
      </c>
      <c r="C2305" s="1" t="inlineStr">
        <is>
          <t>17 cm</t>
        </is>
      </c>
      <c r="D2305" s="1" t="inlineStr">
        <is>
          <t>01/03/2026</t>
        </is>
      </c>
      <c r="E2305" s="1" t="n">
        <v>2026</v>
      </c>
      <c r="F2305" s="1" t="inlineStr">
        <is>
          <t>MARZO</t>
        </is>
      </c>
      <c r="G2305" s="1" t="inlineStr">
        <is>
          <t>NANCY</t>
        </is>
      </c>
      <c r="H2305" s="1" t="inlineStr">
        <is>
          <t>NANCY 01/03/2026</t>
        </is>
      </c>
      <c r="I2305" s="4" t="n">
        <v>15</v>
      </c>
      <c r="J2305" s="6" t="n">
        <v>2.99</v>
      </c>
      <c r="K2305" s="6" t="n">
        <v>75.65811782</v>
      </c>
      <c r="L2305" s="6">
        <f>I2305*K2305</f>
        <v/>
      </c>
      <c r="M2305" s="6">
        <f>K2305*4</f>
        <v/>
      </c>
      <c r="N2305" s="6" t="n">
        <v>450</v>
      </c>
    </row>
    <row r="2306">
      <c r="A2306" s="1" t="inlineStr">
        <is>
          <t>63e0c0ed991c0</t>
        </is>
      </c>
      <c r="B2306" s="1" t="inlineStr">
        <is>
          <t>PULSERA CLAVO GOLD</t>
        </is>
      </c>
      <c r="C2306" s="1" t="inlineStr">
        <is>
          <t>17 cm</t>
        </is>
      </c>
      <c r="D2306" s="1" t="inlineStr">
        <is>
          <t>01/04/2026</t>
        </is>
      </c>
      <c r="E2306" s="1" t="n">
        <v>2026</v>
      </c>
      <c r="F2306" s="1" t="inlineStr">
        <is>
          <t>ABRIL</t>
        </is>
      </c>
      <c r="G2306" s="1" t="inlineStr">
        <is>
          <t>NANCY</t>
        </is>
      </c>
      <c r="H2306" s="1" t="inlineStr">
        <is>
          <t>NANCY 01/04/2026</t>
        </is>
      </c>
      <c r="I2306" s="4" t="n">
        <v>8</v>
      </c>
      <c r="J2306" s="6" t="n">
        <v>2.99</v>
      </c>
      <c r="K2306" s="6" t="n">
        <v>71.58212365</v>
      </c>
      <c r="L2306" s="6">
        <f>I2306*K2306</f>
        <v/>
      </c>
      <c r="M2306" s="6">
        <f>K2306*4</f>
        <v/>
      </c>
      <c r="N2306" s="6" t="n">
        <v>450</v>
      </c>
    </row>
    <row r="2307">
      <c r="A2307" s="1" t="inlineStr">
        <is>
          <t>63e0c0ed991c0</t>
        </is>
      </c>
      <c r="B2307" s="1" t="inlineStr">
        <is>
          <t>PULSERA CLAVO GOLD</t>
        </is>
      </c>
      <c r="C2307" s="1" t="inlineStr">
        <is>
          <t>17 cm</t>
        </is>
      </c>
      <c r="D2307" s="1" t="inlineStr">
        <is>
          <t>08/05/2026</t>
        </is>
      </c>
      <c r="E2307" s="1" t="n">
        <v>2026</v>
      </c>
      <c r="F2307" s="1" t="inlineStr">
        <is>
          <t>MAYO</t>
        </is>
      </c>
      <c r="G2307" s="1" t="inlineStr">
        <is>
          <t>NANCY</t>
        </is>
      </c>
      <c r="H2307" s="1" t="inlineStr">
        <is>
          <t>NANCY 08/05/2026</t>
        </is>
      </c>
      <c r="I2307" s="4" t="n">
        <v>20</v>
      </c>
      <c r="J2307" s="6" t="n">
        <v>2.99</v>
      </c>
      <c r="K2307" s="6" t="n">
        <v>70.73670423</v>
      </c>
      <c r="L2307" s="6">
        <f>I2307*K2307</f>
        <v/>
      </c>
      <c r="M2307" s="6">
        <f>K2307*4</f>
        <v/>
      </c>
      <c r="N2307" s="6" t="n">
        <v>450</v>
      </c>
    </row>
    <row r="2308">
      <c r="A2308" s="1" t="inlineStr">
        <is>
          <t>63e0c0ed991c0</t>
        </is>
      </c>
      <c r="B2308" s="1" t="inlineStr">
        <is>
          <t>PULSERA CLAVO GOLD</t>
        </is>
      </c>
      <c r="C2308" s="1" t="inlineStr">
        <is>
          <t>17 cm</t>
        </is>
      </c>
      <c r="D2308" s="1" t="inlineStr">
        <is>
          <t>31/05/2026</t>
        </is>
      </c>
      <c r="E2308" s="1" t="n">
        <v>2026</v>
      </c>
      <c r="F2308" s="1" t="inlineStr">
        <is>
          <t>MAYO</t>
        </is>
      </c>
      <c r="G2308" s="1" t="inlineStr">
        <is>
          <t>NANCY</t>
        </is>
      </c>
      <c r="H2308" s="1" t="inlineStr">
        <is>
          <t>NANCY 31/05/2026</t>
        </is>
      </c>
      <c r="I2308" s="4" t="n">
        <v>12</v>
      </c>
      <c r="J2308" s="6" t="n">
        <v>2.99</v>
      </c>
      <c r="K2308" s="6" t="n">
        <v>72.56009323000001</v>
      </c>
      <c r="L2308" s="6">
        <f>I2308*K2308</f>
        <v/>
      </c>
      <c r="M2308" s="6">
        <f>K2308*4</f>
        <v/>
      </c>
      <c r="N2308" s="6" t="n">
        <v>450</v>
      </c>
    </row>
    <row r="2309">
      <c r="A2309" s="1" t="inlineStr">
        <is>
          <t>63e0c0ee76103</t>
        </is>
      </c>
      <c r="B2309" s="1" t="inlineStr">
        <is>
          <t>PULSERA CLAVO GOLD</t>
        </is>
      </c>
      <c r="C2309" s="1" t="inlineStr">
        <is>
          <t>19 cm</t>
        </is>
      </c>
      <c r="D2309" s="1" t="inlineStr">
        <is>
          <t>06/09/2025</t>
        </is>
      </c>
      <c r="E2309" s="1" t="n">
        <v>2025</v>
      </c>
      <c r="F2309" s="1" t="inlineStr">
        <is>
          <t>SEPTIEMBRE</t>
        </is>
      </c>
      <c r="G2309" s="1" t="inlineStr">
        <is>
          <t>NANCY</t>
        </is>
      </c>
      <c r="H2309" s="1" t="inlineStr">
        <is>
          <t>NANCY 06/09/2025</t>
        </is>
      </c>
      <c r="I2309" s="4" t="n">
        <v>8</v>
      </c>
      <c r="J2309" s="6" t="n">
        <v>2.99</v>
      </c>
      <c r="K2309" s="6" t="n">
        <v>69.62412216</v>
      </c>
      <c r="L2309" s="6">
        <f>I2309*K2309</f>
        <v/>
      </c>
      <c r="M2309" s="6">
        <f>K2309*4</f>
        <v/>
      </c>
      <c r="N2309" s="6" t="n">
        <v>450</v>
      </c>
    </row>
    <row r="2310">
      <c r="A2310" s="1" t="inlineStr">
        <is>
          <t>63e0c0ee76103</t>
        </is>
      </c>
      <c r="B2310" s="1" t="n"/>
      <c r="C2310" s="1" t="inlineStr">
        <is>
          <t>19 cm</t>
        </is>
      </c>
      <c r="D2310" s="1" t="inlineStr">
        <is>
          <t>03/12/2025</t>
        </is>
      </c>
      <c r="E2310" s="1" t="n">
        <v>2025</v>
      </c>
      <c r="F2310" s="1" t="inlineStr">
        <is>
          <t>DICIEMBRE</t>
        </is>
      </c>
      <c r="G2310" s="1" t="inlineStr">
        <is>
          <t>NANCY</t>
        </is>
      </c>
      <c r="H2310" s="1" t="inlineStr">
        <is>
          <t>NANCY 03/12/2025</t>
        </is>
      </c>
      <c r="I2310" s="4" t="n">
        <v>15</v>
      </c>
      <c r="J2310" s="6" t="n">
        <v>2.99</v>
      </c>
      <c r="K2310" s="6" t="n">
        <v>70.73365679</v>
      </c>
      <c r="L2310" s="6">
        <f>I2310*K2310</f>
        <v/>
      </c>
      <c r="M2310" s="6">
        <f>K2310*4</f>
        <v/>
      </c>
      <c r="N2310" s="6" t="n">
        <v>450</v>
      </c>
    </row>
    <row r="2311">
      <c r="A2311" s="1" t="inlineStr">
        <is>
          <t>63e0c0ee76103</t>
        </is>
      </c>
      <c r="B2311" s="1" t="inlineStr">
        <is>
          <t>PULSERA CLAVO GOLD</t>
        </is>
      </c>
      <c r="C2311" s="1" t="inlineStr">
        <is>
          <t>19 cm</t>
        </is>
      </c>
      <c r="D2311" s="1" t="inlineStr">
        <is>
          <t>01/04/2026</t>
        </is>
      </c>
      <c r="E2311" s="1" t="n">
        <v>2026</v>
      </c>
      <c r="F2311" s="1" t="inlineStr">
        <is>
          <t>ABRIL</t>
        </is>
      </c>
      <c r="G2311" s="1" t="inlineStr">
        <is>
          <t>NANCY</t>
        </is>
      </c>
      <c r="H2311" s="1" t="inlineStr">
        <is>
          <t>NANCY 01/04/2026</t>
        </is>
      </c>
      <c r="I2311" s="4" t="n">
        <v>6</v>
      </c>
      <c r="J2311" s="6" t="n">
        <v>2.99</v>
      </c>
      <c r="K2311" s="6" t="n">
        <v>71.58212365</v>
      </c>
      <c r="L2311" s="6">
        <f>I2311*K2311</f>
        <v/>
      </c>
      <c r="M2311" s="6">
        <f>K2311*4</f>
        <v/>
      </c>
      <c r="N2311" s="6" t="n">
        <v>450</v>
      </c>
    </row>
    <row r="2312">
      <c r="A2312" s="1" t="inlineStr">
        <is>
          <t>63e0c0ee76103</t>
        </is>
      </c>
      <c r="B2312" s="1" t="inlineStr">
        <is>
          <t>PULSERA CLAVO GOLD</t>
        </is>
      </c>
      <c r="C2312" s="1" t="inlineStr">
        <is>
          <t>19 cm</t>
        </is>
      </c>
      <c r="D2312" s="1" t="inlineStr">
        <is>
          <t>08/05/2026</t>
        </is>
      </c>
      <c r="E2312" s="1" t="n">
        <v>2026</v>
      </c>
      <c r="F2312" s="1" t="inlineStr">
        <is>
          <t>MAYO</t>
        </is>
      </c>
      <c r="G2312" s="1" t="inlineStr">
        <is>
          <t>NANCY</t>
        </is>
      </c>
      <c r="H2312" s="1" t="inlineStr">
        <is>
          <t>NANCY 08/05/2026</t>
        </is>
      </c>
      <c r="I2312" s="4" t="n">
        <v>10</v>
      </c>
      <c r="J2312" s="6" t="n">
        <v>2.99</v>
      </c>
      <c r="K2312" s="6" t="n">
        <v>70.73670423</v>
      </c>
      <c r="L2312" s="6">
        <f>I2312*K2312</f>
        <v/>
      </c>
      <c r="M2312" s="6">
        <f>K2312*4</f>
        <v/>
      </c>
      <c r="N2312" s="6" t="n">
        <v>450</v>
      </c>
    </row>
    <row r="2313">
      <c r="A2313" s="1" t="inlineStr">
        <is>
          <t>63e0c0f1b69e8</t>
        </is>
      </c>
      <c r="B2313" s="1" t="inlineStr">
        <is>
          <t>PULSERA CLAVO GOLD CON ZIRCONIA</t>
        </is>
      </c>
      <c r="C2313" s="1" t="inlineStr">
        <is>
          <t>17cm</t>
        </is>
      </c>
      <c r="D2313" s="1" t="inlineStr">
        <is>
          <t>06/09/2025</t>
        </is>
      </c>
      <c r="E2313" s="1" t="n">
        <v>2025</v>
      </c>
      <c r="F2313" s="1" t="inlineStr">
        <is>
          <t>SEPTIEMBRE</t>
        </is>
      </c>
      <c r="G2313" s="1" t="inlineStr">
        <is>
          <t>NANCY</t>
        </is>
      </c>
      <c r="H2313" s="1" t="inlineStr">
        <is>
          <t>NANCY 06/09/2025</t>
        </is>
      </c>
      <c r="I2313" s="4" t="n">
        <v>15</v>
      </c>
      <c r="J2313" s="6" t="n">
        <v>3.99</v>
      </c>
      <c r="K2313" s="6" t="n">
        <v>92.90978174</v>
      </c>
      <c r="L2313" s="6">
        <f>I2313*K2313</f>
        <v/>
      </c>
      <c r="M2313" s="6">
        <f>K2313*4</f>
        <v/>
      </c>
      <c r="N2313" s="6" t="n">
        <v>450</v>
      </c>
    </row>
    <row r="2314">
      <c r="A2314" s="1" t="inlineStr">
        <is>
          <t>63e0c0f1b69e8</t>
        </is>
      </c>
      <c r="B2314" s="1" t="inlineStr">
        <is>
          <t>PULSERA CLAVO GOLD CON ZIRCONIA</t>
        </is>
      </c>
      <c r="C2314" s="1" t="inlineStr">
        <is>
          <t>17cm</t>
        </is>
      </c>
      <c r="D2314" s="1" t="inlineStr">
        <is>
          <t>03/12/2025</t>
        </is>
      </c>
      <c r="E2314" s="1" t="n">
        <v>2025</v>
      </c>
      <c r="F2314" s="1" t="inlineStr">
        <is>
          <t>DICIEMBRE</t>
        </is>
      </c>
      <c r="G2314" s="1" t="inlineStr">
        <is>
          <t>NANCY</t>
        </is>
      </c>
      <c r="H2314" s="1" t="inlineStr">
        <is>
          <t>NANCY 03/12/2025</t>
        </is>
      </c>
      <c r="I2314" s="4" t="n">
        <v>15</v>
      </c>
      <c r="J2314" s="6" t="n">
        <v>3.99</v>
      </c>
      <c r="K2314" s="6" t="n">
        <v>94.39039819</v>
      </c>
      <c r="L2314" s="6">
        <f>I2314*K2314</f>
        <v/>
      </c>
      <c r="M2314" s="6">
        <f>K2314*4</f>
        <v/>
      </c>
      <c r="N2314" s="6" t="n">
        <v>450</v>
      </c>
    </row>
    <row r="2315">
      <c r="A2315" s="1" t="inlineStr">
        <is>
          <t>63e0c0f1b69e8</t>
        </is>
      </c>
      <c r="B2315" s="1" t="inlineStr">
        <is>
          <t>PULSERA CLAVO GOLD CON ZIRCONIA</t>
        </is>
      </c>
      <c r="C2315" s="1" t="inlineStr">
        <is>
          <t>17cm</t>
        </is>
      </c>
      <c r="D2315" s="1" t="inlineStr">
        <is>
          <t>09/07/2026</t>
        </is>
      </c>
      <c r="E2315" s="1" t="n">
        <v>2026</v>
      </c>
      <c r="F2315" s="1" t="inlineStr">
        <is>
          <t>JULIO</t>
        </is>
      </c>
      <c r="G2315" s="1" t="inlineStr">
        <is>
          <t>NANCY</t>
        </is>
      </c>
      <c r="H2315" s="1" t="inlineStr">
        <is>
          <t>NANCY 09/07/2026</t>
        </is>
      </c>
      <c r="I2315" s="4" t="n">
        <v>14</v>
      </c>
      <c r="J2315" s="6" t="n">
        <v>3.99</v>
      </c>
      <c r="K2315" s="6" t="n">
        <v>97.21823843</v>
      </c>
      <c r="L2315" s="6">
        <f>I2315*K2315</f>
        <v/>
      </c>
      <c r="M2315" s="6">
        <f>K2315*4</f>
        <v/>
      </c>
      <c r="N2315" s="6" t="n">
        <v>450</v>
      </c>
    </row>
    <row r="2316">
      <c r="A2316" s="1" t="inlineStr">
        <is>
          <t>63e0c0f2996bf</t>
        </is>
      </c>
      <c r="B2316" s="1" t="inlineStr">
        <is>
          <t>PULSERA CLAVO GOLD CON ZIRCONIA</t>
        </is>
      </c>
      <c r="C2316" s="1" t="inlineStr">
        <is>
          <t>19 cm</t>
        </is>
      </c>
      <c r="D2316" s="1" t="inlineStr">
        <is>
          <t>06/09/2025</t>
        </is>
      </c>
      <c r="E2316" s="1" t="n">
        <v>2025</v>
      </c>
      <c r="F2316" s="1" t="inlineStr">
        <is>
          <t>SEPTIEMBRE</t>
        </is>
      </c>
      <c r="G2316" s="1" t="inlineStr">
        <is>
          <t>NANCY</t>
        </is>
      </c>
      <c r="H2316" s="1" t="inlineStr">
        <is>
          <t>NANCY 06/09/2025</t>
        </is>
      </c>
      <c r="I2316" s="4" t="n">
        <v>10</v>
      </c>
      <c r="J2316" s="6" t="n">
        <v>3.99</v>
      </c>
      <c r="K2316" s="6" t="n">
        <v>92.90978174</v>
      </c>
      <c r="L2316" s="6">
        <f>I2316*K2316</f>
        <v/>
      </c>
      <c r="M2316" s="6">
        <f>K2316*4</f>
        <v/>
      </c>
      <c r="N2316" s="6" t="n">
        <v>450</v>
      </c>
    </row>
    <row r="2317">
      <c r="A2317" s="1" t="inlineStr">
        <is>
          <t>63e0c0f2996bf</t>
        </is>
      </c>
      <c r="B2317" s="1" t="n"/>
      <c r="C2317" s="1" t="inlineStr">
        <is>
          <t>19 cm</t>
        </is>
      </c>
      <c r="D2317" s="1" t="inlineStr">
        <is>
          <t>03/12/2025</t>
        </is>
      </c>
      <c r="E2317" s="1" t="n">
        <v>2025</v>
      </c>
      <c r="F2317" s="1" t="inlineStr">
        <is>
          <t>DICIEMBRE</t>
        </is>
      </c>
      <c r="G2317" s="1" t="inlineStr">
        <is>
          <t>NANCY</t>
        </is>
      </c>
      <c r="H2317" s="1" t="inlineStr">
        <is>
          <t>NANCY 03/12/2025</t>
        </is>
      </c>
      <c r="I2317" s="4" t="n">
        <v>8</v>
      </c>
      <c r="J2317" s="6" t="n">
        <v>3.99</v>
      </c>
      <c r="K2317" s="6" t="n">
        <v>94.39039819</v>
      </c>
      <c r="L2317" s="6">
        <f>I2317*K2317</f>
        <v/>
      </c>
      <c r="M2317" s="6">
        <f>K2317*4</f>
        <v/>
      </c>
      <c r="N2317" s="6" t="n">
        <v>450</v>
      </c>
    </row>
    <row r="2318">
      <c r="A2318" s="1" t="inlineStr">
        <is>
          <t>63e0c0f2996bf</t>
        </is>
      </c>
      <c r="B2318" s="1" t="inlineStr">
        <is>
          <t>PULSERA CLAVO GOLD CON ZIRCONIA</t>
        </is>
      </c>
      <c r="C2318" s="1" t="inlineStr">
        <is>
          <t>19 cm</t>
        </is>
      </c>
      <c r="D2318" s="1" t="inlineStr">
        <is>
          <t>31/05/2026</t>
        </is>
      </c>
      <c r="E2318" s="1" t="n">
        <v>2026</v>
      </c>
      <c r="F2318" s="1" t="inlineStr">
        <is>
          <t>MAYO</t>
        </is>
      </c>
      <c r="G2318" s="1" t="inlineStr">
        <is>
          <t>NANCY</t>
        </is>
      </c>
      <c r="H2318" s="1" t="inlineStr">
        <is>
          <t>NANCY 31/05/2026</t>
        </is>
      </c>
      <c r="I2318" s="4" t="n">
        <v>5</v>
      </c>
      <c r="J2318" s="6" t="n">
        <v>3.99</v>
      </c>
      <c r="K2318" s="6" t="n">
        <v>96.82768294</v>
      </c>
      <c r="L2318" s="6">
        <f>I2318*K2318</f>
        <v/>
      </c>
      <c r="M2318" s="6">
        <f>K2318*4</f>
        <v/>
      </c>
      <c r="N2318" s="6" t="n">
        <v>450</v>
      </c>
    </row>
    <row r="2319">
      <c r="A2319" s="1" t="inlineStr">
        <is>
          <t>63e0c0f2996bf</t>
        </is>
      </c>
      <c r="B2319" s="1" t="inlineStr">
        <is>
          <t>PULSERA CLAVO GOLD CON ZIRCONIA</t>
        </is>
      </c>
      <c r="C2319" s="1" t="inlineStr">
        <is>
          <t>19 cm</t>
        </is>
      </c>
      <c r="D2319" s="1" t="inlineStr">
        <is>
          <t>09/07/2026</t>
        </is>
      </c>
      <c r="E2319" s="1" t="n">
        <v>2026</v>
      </c>
      <c r="F2319" s="1" t="inlineStr">
        <is>
          <t>JULIO</t>
        </is>
      </c>
      <c r="G2319" s="1" t="inlineStr">
        <is>
          <t>NANCY</t>
        </is>
      </c>
      <c r="H2319" s="1" t="inlineStr">
        <is>
          <t>NANCY 09/07/2026</t>
        </is>
      </c>
      <c r="I2319" s="4" t="n">
        <v>2</v>
      </c>
      <c r="J2319" s="6" t="n">
        <v>3.99</v>
      </c>
      <c r="K2319" s="6" t="n">
        <v>97.21823843</v>
      </c>
      <c r="L2319" s="6">
        <f>I2319*K2319</f>
        <v/>
      </c>
      <c r="M2319" s="6">
        <f>K2319*4</f>
        <v/>
      </c>
      <c r="N2319" s="6" t="n">
        <v>450</v>
      </c>
    </row>
    <row r="2320">
      <c r="A2320" s="1" t="inlineStr">
        <is>
          <t>63e0c2284930d</t>
        </is>
      </c>
      <c r="B2320" s="1" t="inlineStr">
        <is>
          <t>PULSERA CLAVO ROSE GOLD DELGADA</t>
        </is>
      </c>
      <c r="C2320" s="1" t="inlineStr">
        <is>
          <t>17cm</t>
        </is>
      </c>
      <c r="D2320" s="1" t="inlineStr">
        <is>
          <t>06/09/2025</t>
        </is>
      </c>
      <c r="E2320" s="1" t="n">
        <v>2025</v>
      </c>
      <c r="F2320" s="1" t="inlineStr">
        <is>
          <t>SEPTIEMBRE</t>
        </is>
      </c>
      <c r="G2320" s="1" t="inlineStr">
        <is>
          <t>NANCY</t>
        </is>
      </c>
      <c r="H2320" s="1" t="inlineStr">
        <is>
          <t>NANCY 06/09/2025</t>
        </is>
      </c>
      <c r="I2320" s="4" t="n">
        <v>10</v>
      </c>
      <c r="J2320" s="6" t="n">
        <v>2.99</v>
      </c>
      <c r="K2320" s="6" t="n">
        <v>69.62412216</v>
      </c>
      <c r="L2320" s="6">
        <f>I2320*K2320</f>
        <v/>
      </c>
      <c r="M2320" s="6">
        <f>K2320*4</f>
        <v/>
      </c>
      <c r="N2320" s="6" t="n">
        <v>480</v>
      </c>
    </row>
    <row r="2321">
      <c r="A2321" s="1" t="inlineStr">
        <is>
          <t>63e0c2284930d</t>
        </is>
      </c>
      <c r="B2321" s="1" t="inlineStr">
        <is>
          <t>PULSERA CLAVO ROSE GOLD DELGADA</t>
        </is>
      </c>
      <c r="C2321" s="1" t="inlineStr">
        <is>
          <t>17cm</t>
        </is>
      </c>
      <c r="D2321" s="1" t="inlineStr">
        <is>
          <t>03/12/2025</t>
        </is>
      </c>
      <c r="E2321" s="1" t="n">
        <v>2025</v>
      </c>
      <c r="F2321" s="1" t="inlineStr">
        <is>
          <t>DICIEMBRE</t>
        </is>
      </c>
      <c r="G2321" s="1" t="inlineStr">
        <is>
          <t>NANCY</t>
        </is>
      </c>
      <c r="H2321" s="1" t="inlineStr">
        <is>
          <t>NANCY 03/12/2025</t>
        </is>
      </c>
      <c r="I2321" s="4" t="n">
        <v>15</v>
      </c>
      <c r="J2321" s="6" t="n">
        <v>2.99</v>
      </c>
      <c r="K2321" s="6" t="n">
        <v>70.73365679</v>
      </c>
      <c r="L2321" s="6">
        <f>I2321*K2321</f>
        <v/>
      </c>
      <c r="M2321" s="6">
        <f>K2321*4</f>
        <v/>
      </c>
      <c r="N2321" s="6" t="n">
        <v>480</v>
      </c>
    </row>
    <row r="2322">
      <c r="A2322" s="1" t="inlineStr">
        <is>
          <t>63e0c22875cb9</t>
        </is>
      </c>
      <c r="B2322" s="1" t="inlineStr">
        <is>
          <t>PULSERA CLAVO SILVER DELGADA</t>
        </is>
      </c>
      <c r="C2322" s="1" t="inlineStr">
        <is>
          <t>17cm</t>
        </is>
      </c>
      <c r="D2322" s="1" t="inlineStr">
        <is>
          <t>06/09/2025</t>
        </is>
      </c>
      <c r="E2322" s="1" t="n">
        <v>2025</v>
      </c>
      <c r="F2322" s="1" t="inlineStr">
        <is>
          <t>SEPTIEMBRE</t>
        </is>
      </c>
      <c r="G2322" s="1" t="inlineStr">
        <is>
          <t>NANCY</t>
        </is>
      </c>
      <c r="H2322" s="1" t="inlineStr">
        <is>
          <t>NANCY 06/09/2025</t>
        </is>
      </c>
      <c r="I2322" s="4" t="n">
        <v>15</v>
      </c>
      <c r="J2322" s="6" t="n">
        <v>2.99</v>
      </c>
      <c r="K2322" s="6" t="n">
        <v>69.62412216</v>
      </c>
      <c r="L2322" s="6">
        <f>I2322*K2322</f>
        <v/>
      </c>
      <c r="M2322" s="6">
        <f>K2322*4</f>
        <v/>
      </c>
      <c r="N2322" s="6" t="n">
        <v>525</v>
      </c>
    </row>
    <row r="2323">
      <c r="A2323" s="1" t="inlineStr">
        <is>
          <t>63e0c22875cb9</t>
        </is>
      </c>
      <c r="B2323" s="1" t="inlineStr">
        <is>
          <t>PULSERA CLAVO SILVER DELGADA</t>
        </is>
      </c>
      <c r="C2323" s="1" t="inlineStr">
        <is>
          <t>17cm</t>
        </is>
      </c>
      <c r="D2323" s="1" t="inlineStr">
        <is>
          <t>09/07/2026</t>
        </is>
      </c>
      <c r="E2323" s="1" t="n">
        <v>2026</v>
      </c>
      <c r="F2323" s="1" t="inlineStr">
        <is>
          <t>JULIO</t>
        </is>
      </c>
      <c r="G2323" s="1" t="inlineStr">
        <is>
          <t>NANCY</t>
        </is>
      </c>
      <c r="H2323" s="1" t="inlineStr">
        <is>
          <t>NANCY 09/07/2026</t>
        </is>
      </c>
      <c r="I2323" s="4" t="n">
        <v>5</v>
      </c>
      <c r="J2323" s="6" t="n">
        <v>2.99</v>
      </c>
      <c r="K2323" s="6" t="n">
        <v>72.85276514</v>
      </c>
      <c r="L2323" s="6">
        <f>I2323*K2323</f>
        <v/>
      </c>
      <c r="M2323" s="6">
        <f>K2323*4</f>
        <v/>
      </c>
      <c r="N2323" s="6" t="n">
        <v>525</v>
      </c>
    </row>
    <row r="2324">
      <c r="A2324" s="1" t="inlineStr">
        <is>
          <t>63e0c22967d6a</t>
        </is>
      </c>
      <c r="B2324" s="1" t="inlineStr">
        <is>
          <t>PULSERA CLAVO SILVER CON ZIRCONIA</t>
        </is>
      </c>
      <c r="C2324" s="1" t="inlineStr">
        <is>
          <t>19CM</t>
        </is>
      </c>
      <c r="D2324" s="1" t="inlineStr">
        <is>
          <t>06/09/2025</t>
        </is>
      </c>
      <c r="E2324" s="1" t="n">
        <v>2025</v>
      </c>
      <c r="F2324" s="1" t="inlineStr">
        <is>
          <t>SEPTIEMBRE</t>
        </is>
      </c>
      <c r="G2324" s="1" t="inlineStr">
        <is>
          <t>NANCY</t>
        </is>
      </c>
      <c r="H2324" s="1" t="inlineStr">
        <is>
          <t>NANCY 06/09/2025</t>
        </is>
      </c>
      <c r="I2324" s="4" t="n">
        <v>8</v>
      </c>
      <c r="J2324" s="6" t="n">
        <v>3.99</v>
      </c>
      <c r="K2324" s="6" t="n">
        <v>92.90978174</v>
      </c>
      <c r="L2324" s="6">
        <f>I2324*K2324</f>
        <v/>
      </c>
      <c r="M2324" s="6">
        <f>K2324*4</f>
        <v/>
      </c>
      <c r="N2324" s="6" t="n">
        <v>450</v>
      </c>
    </row>
    <row r="2325">
      <c r="A2325" s="1" t="inlineStr">
        <is>
          <t>63e0c22967d6a</t>
        </is>
      </c>
      <c r="B2325" s="1" t="n"/>
      <c r="C2325" s="1" t="inlineStr">
        <is>
          <t>19CM</t>
        </is>
      </c>
      <c r="D2325" s="1" t="inlineStr">
        <is>
          <t>03/12/2025</t>
        </is>
      </c>
      <c r="E2325" s="1" t="n">
        <v>2025</v>
      </c>
      <c r="F2325" s="1" t="inlineStr">
        <is>
          <t>DICIEMBRE</t>
        </is>
      </c>
      <c r="G2325" s="1" t="inlineStr">
        <is>
          <t>NANCY</t>
        </is>
      </c>
      <c r="H2325" s="1" t="inlineStr">
        <is>
          <t>NANCY 03/12/2025</t>
        </is>
      </c>
      <c r="I2325" s="4" t="n">
        <v>5</v>
      </c>
      <c r="J2325" s="6" t="n">
        <v>3.99</v>
      </c>
      <c r="K2325" s="6" t="n">
        <v>94.39039819</v>
      </c>
      <c r="L2325" s="6">
        <f>I2325*K2325</f>
        <v/>
      </c>
      <c r="M2325" s="6">
        <f>K2325*4</f>
        <v/>
      </c>
      <c r="N2325" s="6" t="n">
        <v>450</v>
      </c>
    </row>
    <row r="2326">
      <c r="A2326" s="1" t="inlineStr">
        <is>
          <t>63e0c22967d6a</t>
        </is>
      </c>
      <c r="B2326" s="1" t="inlineStr">
        <is>
          <t>PULSERA CLAVO JUSTE UN CLOU ZIRCONIA SILVER</t>
        </is>
      </c>
      <c r="C2326" s="1" t="inlineStr">
        <is>
          <t>19CM</t>
        </is>
      </c>
      <c r="D2326" s="1" t="inlineStr">
        <is>
          <t>31/05/2026</t>
        </is>
      </c>
      <c r="E2326" s="1" t="n">
        <v>2026</v>
      </c>
      <c r="F2326" s="1" t="inlineStr">
        <is>
          <t>MAYO</t>
        </is>
      </c>
      <c r="G2326" s="1" t="inlineStr">
        <is>
          <t>NANCY</t>
        </is>
      </c>
      <c r="H2326" s="1" t="inlineStr">
        <is>
          <t>NANCY 31/05/2026</t>
        </is>
      </c>
      <c r="I2326" s="4" t="n">
        <v>2</v>
      </c>
      <c r="J2326" s="6" t="n">
        <v>3.99</v>
      </c>
      <c r="K2326" s="6" t="n">
        <v>96.82768294</v>
      </c>
      <c r="L2326" s="6">
        <f>I2326*K2326</f>
        <v/>
      </c>
      <c r="M2326" s="6">
        <f>K2326*4</f>
        <v/>
      </c>
      <c r="N2326" s="6" t="n">
        <v>450</v>
      </c>
    </row>
    <row r="2327">
      <c r="A2327" s="1" t="inlineStr">
        <is>
          <t>63e0c2310d7f4</t>
        </is>
      </c>
      <c r="B2327" s="1" t="inlineStr">
        <is>
          <t>PULSERA CLIC H SILVER WHITE</t>
        </is>
      </c>
      <c r="C2327" s="1" t="inlineStr">
        <is>
          <t>16.8 cm</t>
        </is>
      </c>
      <c r="D2327" s="1" t="inlineStr">
        <is>
          <t>25/09/2025</t>
        </is>
      </c>
      <c r="E2327" s="1" t="n">
        <v>2025</v>
      </c>
      <c r="F2327" s="1" t="inlineStr">
        <is>
          <t>SEPTIEMBRE</t>
        </is>
      </c>
      <c r="G2327" s="1" t="inlineStr">
        <is>
          <t>HAIFENG</t>
        </is>
      </c>
      <c r="H2327" s="1" t="inlineStr">
        <is>
          <t>HAIFENG 25/09/2025</t>
        </is>
      </c>
      <c r="I2327" s="4" t="n">
        <v>1</v>
      </c>
      <c r="J2327" s="6" t="n">
        <v>5</v>
      </c>
      <c r="K2327" s="6" t="n">
        <v>105.4844288</v>
      </c>
      <c r="L2327" s="6">
        <f>I2327*K2327</f>
        <v/>
      </c>
      <c r="M2327" s="6">
        <f>K2327*4</f>
        <v/>
      </c>
      <c r="N2327" s="6" t="n">
        <v>569</v>
      </c>
    </row>
    <row r="2328">
      <c r="A2328" s="1" t="inlineStr">
        <is>
          <t>63e0c2310d7f4</t>
        </is>
      </c>
      <c r="B2328" s="1" t="inlineStr">
        <is>
          <t>PULSERA CLIC H SILVER WHITE</t>
        </is>
      </c>
      <c r="C2328" s="1" t="inlineStr">
        <is>
          <t>16.8 cm</t>
        </is>
      </c>
      <c r="D2328" s="1" t="inlineStr">
        <is>
          <t>11/11/2025</t>
        </is>
      </c>
      <c r="E2328" s="1" t="n">
        <v>2025</v>
      </c>
      <c r="F2328" s="1" t="inlineStr">
        <is>
          <t>NOVIEMBRE</t>
        </is>
      </c>
      <c r="G2328" s="1" t="inlineStr">
        <is>
          <t>HAIFENG</t>
        </is>
      </c>
      <c r="H2328" s="1" t="inlineStr">
        <is>
          <t>HAIFENG 11/11/2025</t>
        </is>
      </c>
      <c r="I2328" s="4" t="n">
        <v>2</v>
      </c>
      <c r="J2328" s="6" t="n">
        <v>5</v>
      </c>
      <c r="K2328" s="6" t="n">
        <v>105.3024922</v>
      </c>
      <c r="L2328" s="6">
        <f>I2328*K2328</f>
        <v/>
      </c>
      <c r="M2328" s="6">
        <f>K2328*4</f>
        <v/>
      </c>
      <c r="N2328" s="6" t="n">
        <v>569</v>
      </c>
    </row>
    <row r="2329">
      <c r="A2329" s="1" t="inlineStr">
        <is>
          <t>63e0c2310d7f4</t>
        </is>
      </c>
      <c r="B2329" s="1" t="inlineStr">
        <is>
          <t>PULSERA CLIC H SILVER WHITE</t>
        </is>
      </c>
      <c r="C2329" s="1" t="inlineStr">
        <is>
          <t>16.8 cm</t>
        </is>
      </c>
      <c r="D2329" s="1" t="inlineStr">
        <is>
          <t>03/12/2025</t>
        </is>
      </c>
      <c r="E2329" s="1" t="n">
        <v>2025</v>
      </c>
      <c r="F2329" s="1" t="inlineStr">
        <is>
          <t>DICIEMBRE</t>
        </is>
      </c>
      <c r="G2329" s="1" t="inlineStr">
        <is>
          <t>HAIFENG</t>
        </is>
      </c>
      <c r="H2329" s="1" t="inlineStr">
        <is>
          <t>HAIFENG 03/12/2025</t>
        </is>
      </c>
      <c r="I2329" s="4" t="n">
        <v>2</v>
      </c>
      <c r="J2329" s="6" t="n">
        <v>5</v>
      </c>
      <c r="K2329" s="6" t="n">
        <v>104.5858001</v>
      </c>
      <c r="L2329" s="6">
        <f>I2329*K2329</f>
        <v/>
      </c>
      <c r="M2329" s="6">
        <f>K2329*4</f>
        <v/>
      </c>
      <c r="N2329" s="6" t="n">
        <v>569</v>
      </c>
    </row>
    <row r="2330">
      <c r="A2330" s="1" t="inlineStr">
        <is>
          <t>63e0c2310d7f4</t>
        </is>
      </c>
      <c r="B2330" s="1" t="inlineStr">
        <is>
          <t>PULSERA CLIC H SILVER WHITE</t>
        </is>
      </c>
      <c r="C2330" s="1" t="inlineStr">
        <is>
          <t>16.8 cm</t>
        </is>
      </c>
      <c r="D2330" s="1" t="inlineStr">
        <is>
          <t>10/02/2026</t>
        </is>
      </c>
      <c r="E2330" s="1" t="n">
        <v>2026</v>
      </c>
      <c r="F2330" s="1" t="inlineStr">
        <is>
          <t>FEBRERO</t>
        </is>
      </c>
      <c r="G2330" s="1" t="inlineStr">
        <is>
          <t>HAIFENG</t>
        </is>
      </c>
      <c r="H2330" s="1" t="inlineStr">
        <is>
          <t>HAIFENG 10/02/2026</t>
        </is>
      </c>
      <c r="I2330" s="4" t="n">
        <v>8</v>
      </c>
      <c r="J2330" s="6" t="n">
        <v>5</v>
      </c>
      <c r="K2330" s="6" t="n">
        <v>105.3424803</v>
      </c>
      <c r="L2330" s="6">
        <f>I2330*K2330</f>
        <v/>
      </c>
      <c r="M2330" s="6">
        <f>K2330*4</f>
        <v/>
      </c>
      <c r="N2330" s="6" t="n">
        <v>569</v>
      </c>
    </row>
    <row r="2331">
      <c r="A2331" s="1" t="inlineStr">
        <is>
          <t>63e0c2310d7f4</t>
        </is>
      </c>
      <c r="B2331" s="1" t="inlineStr">
        <is>
          <t>PULSERA CLIC H SILVER WHITE</t>
        </is>
      </c>
      <c r="C2331" s="1" t="inlineStr">
        <is>
          <t>16.8 cm</t>
        </is>
      </c>
      <c r="D2331" s="1" t="inlineStr">
        <is>
          <t>06/05/2026</t>
        </is>
      </c>
      <c r="E2331" s="1" t="n">
        <v>2026</v>
      </c>
      <c r="F2331" s="1" t="inlineStr">
        <is>
          <t>MAYO</t>
        </is>
      </c>
      <c r="G2331" s="1" t="inlineStr">
        <is>
          <t>HAIFENG</t>
        </is>
      </c>
      <c r="H2331" s="1" t="inlineStr">
        <is>
          <t>HAIFENG 06/05/2026</t>
        </is>
      </c>
      <c r="I2331" s="4" t="n">
        <v>6</v>
      </c>
      <c r="J2331" s="6" t="n">
        <v>5</v>
      </c>
      <c r="K2331" s="6" t="n">
        <v>106.0932113</v>
      </c>
      <c r="L2331" s="6">
        <f>I2331*K2331</f>
        <v/>
      </c>
      <c r="M2331" s="6">
        <f>K2331*4</f>
        <v/>
      </c>
      <c r="N2331" s="6" t="n">
        <v>569</v>
      </c>
    </row>
    <row r="2332">
      <c r="A2332" s="1" t="inlineStr">
        <is>
          <t>63e0c2310d7f4</t>
        </is>
      </c>
      <c r="B2332" s="1" t="inlineStr">
        <is>
          <t>PULSERA CLIC H SILVER WHITE</t>
        </is>
      </c>
      <c r="C2332" s="1" t="inlineStr">
        <is>
          <t>16.8 cm</t>
        </is>
      </c>
      <c r="D2332" s="1" t="inlineStr">
        <is>
          <t>16/06/2026</t>
        </is>
      </c>
      <c r="E2332" s="1" t="n">
        <v>2026</v>
      </c>
      <c r="F2332" s="1" t="inlineStr">
        <is>
          <t>JUNIO</t>
        </is>
      </c>
      <c r="G2332" s="1" t="inlineStr">
        <is>
          <t>HAIFENG</t>
        </is>
      </c>
      <c r="H2332" s="1" t="inlineStr">
        <is>
          <t>HAIFENG 16/06/2026</t>
        </is>
      </c>
      <c r="I2332" s="4" t="n">
        <v>4</v>
      </c>
      <c r="J2332" s="6" t="n">
        <v>5</v>
      </c>
      <c r="K2332" s="6" t="n">
        <v>105.0730323</v>
      </c>
      <c r="L2332" s="6">
        <f>I2332*K2332</f>
        <v/>
      </c>
      <c r="M2332" s="6">
        <f>K2332*4</f>
        <v/>
      </c>
      <c r="N2332" s="6" t="n">
        <v>569</v>
      </c>
    </row>
    <row r="2333">
      <c r="A2333" s="1" t="inlineStr">
        <is>
          <t>63e0c23142764</t>
        </is>
      </c>
      <c r="B2333" s="1" t="inlineStr">
        <is>
          <t>PULSERA CLIC H GOLD PINK</t>
        </is>
      </c>
      <c r="C2333" s="1" t="inlineStr">
        <is>
          <t>16.8 cm</t>
        </is>
      </c>
      <c r="D2333" s="1" t="inlineStr">
        <is>
          <t>20/01/2026</t>
        </is>
      </c>
      <c r="E2333" s="1" t="n">
        <v>2026</v>
      </c>
      <c r="F2333" s="1" t="inlineStr">
        <is>
          <t>ENERO</t>
        </is>
      </c>
      <c r="G2333" s="1" t="inlineStr">
        <is>
          <t>HAIFENG</t>
        </is>
      </c>
      <c r="H2333" s="1" t="inlineStr">
        <is>
          <t>HAIFENG 20/01/2026</t>
        </is>
      </c>
      <c r="I2333" s="4" t="n">
        <v>3</v>
      </c>
      <c r="J2333" s="6" t="n">
        <v>5</v>
      </c>
      <c r="K2333" s="6" t="n">
        <v>106.002089</v>
      </c>
      <c r="L2333" s="6">
        <f>I2333*K2333</f>
        <v/>
      </c>
      <c r="M2333" s="6">
        <f>K2333*4</f>
        <v/>
      </c>
      <c r="N2333" s="6" t="n">
        <v>550</v>
      </c>
    </row>
    <row r="2334">
      <c r="A2334" s="1" t="inlineStr">
        <is>
          <t>63e0c23142764</t>
        </is>
      </c>
      <c r="B2334" s="1" t="inlineStr">
        <is>
          <t>PULSERA CLIC H GOLD PINK</t>
        </is>
      </c>
      <c r="C2334" s="1" t="inlineStr">
        <is>
          <t>16.8 cm</t>
        </is>
      </c>
      <c r="D2334" s="1" t="inlineStr">
        <is>
          <t>11/03/2026</t>
        </is>
      </c>
      <c r="E2334" s="1" t="n">
        <v>2026</v>
      </c>
      <c r="F2334" s="1" t="inlineStr">
        <is>
          <t>MARZO</t>
        </is>
      </c>
      <c r="G2334" s="1" t="inlineStr">
        <is>
          <t>HAIFENG</t>
        </is>
      </c>
      <c r="H2334" s="1" t="inlineStr">
        <is>
          <t>HAIFENG 11/03/2026</t>
        </is>
      </c>
      <c r="I2334" s="4" t="n">
        <v>5</v>
      </c>
      <c r="J2334" s="6" t="n">
        <v>5</v>
      </c>
      <c r="K2334" s="6" t="n">
        <v>106.5194811</v>
      </c>
      <c r="L2334" s="6">
        <f>I2334*K2334</f>
        <v/>
      </c>
      <c r="M2334" s="6">
        <f>K2334*4</f>
        <v/>
      </c>
      <c r="N2334" s="6" t="n">
        <v>550</v>
      </c>
    </row>
    <row r="2335">
      <c r="A2335" s="1" t="inlineStr">
        <is>
          <t>63e0c23142764</t>
        </is>
      </c>
      <c r="B2335" s="1" t="inlineStr">
        <is>
          <t>PULSERA CLIC H GOLD PINK</t>
        </is>
      </c>
      <c r="C2335" s="1" t="inlineStr">
        <is>
          <t>16.8 cm</t>
        </is>
      </c>
      <c r="D2335" s="1" t="inlineStr">
        <is>
          <t>26/05/2026</t>
        </is>
      </c>
      <c r="E2335" s="1" t="n">
        <v>2026</v>
      </c>
      <c r="F2335" s="1" t="inlineStr">
        <is>
          <t>MAYO</t>
        </is>
      </c>
      <c r="G2335" s="1" t="inlineStr">
        <is>
          <t>HAIFENG</t>
        </is>
      </c>
      <c r="H2335" s="1" t="inlineStr">
        <is>
          <t>HAIFENG 26/05/2026</t>
        </is>
      </c>
      <c r="I2335" s="4" t="n">
        <v>8</v>
      </c>
      <c r="J2335" s="6" t="n">
        <v>5</v>
      </c>
      <c r="K2335" s="6" t="n">
        <v>104.9464765</v>
      </c>
      <c r="L2335" s="6">
        <f>I2335*K2335</f>
        <v/>
      </c>
      <c r="M2335" s="6">
        <f>K2335*4</f>
        <v/>
      </c>
      <c r="N2335" s="6" t="n">
        <v>550</v>
      </c>
    </row>
    <row r="2336">
      <c r="A2336" s="1" t="inlineStr">
        <is>
          <t>63e0c23442e74</t>
        </is>
      </c>
      <c r="B2336" s="1" t="inlineStr">
        <is>
          <t>PULSERA CLIC H GOLD BLACK</t>
        </is>
      </c>
      <c r="C2336" s="1" t="inlineStr">
        <is>
          <t>16.8 cm</t>
        </is>
      </c>
      <c r="D2336" s="1" t="inlineStr">
        <is>
          <t>25/09/2025</t>
        </is>
      </c>
      <c r="E2336" s="1" t="n">
        <v>2025</v>
      </c>
      <c r="F2336" s="1" t="inlineStr">
        <is>
          <t>SEPTIEMBRE</t>
        </is>
      </c>
      <c r="G2336" s="1" t="inlineStr">
        <is>
          <t>HAIFENG</t>
        </is>
      </c>
      <c r="H2336" s="1" t="inlineStr">
        <is>
          <t>HAIFENG 25/09/2025</t>
        </is>
      </c>
      <c r="I2336" s="4" t="n">
        <v>5</v>
      </c>
      <c r="J2336" s="6" t="n">
        <v>5</v>
      </c>
      <c r="K2336" s="6" t="n">
        <v>105.4844288</v>
      </c>
      <c r="L2336" s="6">
        <f>I2336*K2336</f>
        <v/>
      </c>
      <c r="M2336" s="6">
        <f>K2336*4</f>
        <v/>
      </c>
      <c r="N2336" s="6" t="n">
        <v>569</v>
      </c>
    </row>
    <row r="2337">
      <c r="A2337" s="1" t="inlineStr">
        <is>
          <t>63e0c23442e74</t>
        </is>
      </c>
      <c r="B2337" s="1" t="inlineStr">
        <is>
          <t>PULSERA CLIC H GOLD BLACK</t>
        </is>
      </c>
      <c r="C2337" s="1" t="inlineStr">
        <is>
          <t>16.8 cm</t>
        </is>
      </c>
      <c r="D2337" s="1" t="inlineStr">
        <is>
          <t>11/11/2025</t>
        </is>
      </c>
      <c r="E2337" s="1" t="n">
        <v>2025</v>
      </c>
      <c r="F2337" s="1" t="inlineStr">
        <is>
          <t>NOVIEMBRE</t>
        </is>
      </c>
      <c r="G2337" s="1" t="inlineStr">
        <is>
          <t>HAIFENG</t>
        </is>
      </c>
      <c r="H2337" s="1" t="inlineStr">
        <is>
          <t>HAIFENG 11/11/2025</t>
        </is>
      </c>
      <c r="I2337" s="4" t="n">
        <v>7</v>
      </c>
      <c r="J2337" s="6" t="n">
        <v>5</v>
      </c>
      <c r="K2337" s="6" t="n">
        <v>105.3024922</v>
      </c>
      <c r="L2337" s="6">
        <f>I2337*K2337</f>
        <v/>
      </c>
      <c r="M2337" s="6">
        <f>K2337*4</f>
        <v/>
      </c>
      <c r="N2337" s="6" t="n">
        <v>569</v>
      </c>
    </row>
    <row r="2338">
      <c r="A2338" s="1" t="inlineStr">
        <is>
          <t>63e0c23442e74</t>
        </is>
      </c>
      <c r="B2338" s="1" t="inlineStr">
        <is>
          <t>PULSERA CLIC H GOLD BLACK</t>
        </is>
      </c>
      <c r="C2338" s="1" t="inlineStr">
        <is>
          <t>16.8 cm</t>
        </is>
      </c>
      <c r="D2338" s="1" t="inlineStr">
        <is>
          <t>20/01/2026</t>
        </is>
      </c>
      <c r="E2338" s="1" t="n">
        <v>2026</v>
      </c>
      <c r="F2338" s="1" t="inlineStr">
        <is>
          <t>ENERO</t>
        </is>
      </c>
      <c r="G2338" s="1" t="inlineStr">
        <is>
          <t>HAIFENG</t>
        </is>
      </c>
      <c r="H2338" s="1" t="inlineStr">
        <is>
          <t>HAIFENG 20/01/2026</t>
        </is>
      </c>
      <c r="I2338" s="4" t="n">
        <v>2</v>
      </c>
      <c r="J2338" s="6" t="n">
        <v>5</v>
      </c>
      <c r="K2338" s="6" t="n">
        <v>106.002089</v>
      </c>
      <c r="L2338" s="6">
        <f>I2338*K2338</f>
        <v/>
      </c>
      <c r="M2338" s="6">
        <f>K2338*4</f>
        <v/>
      </c>
      <c r="N2338" s="6" t="n">
        <v>569</v>
      </c>
    </row>
    <row r="2339">
      <c r="A2339" s="1" t="inlineStr">
        <is>
          <t>63e0c23442e74</t>
        </is>
      </c>
      <c r="B2339" s="1" t="inlineStr">
        <is>
          <t>PULSERA CLIC H GOLD BLACK</t>
        </is>
      </c>
      <c r="C2339" s="1" t="inlineStr">
        <is>
          <t>16.8 cm</t>
        </is>
      </c>
      <c r="D2339" s="1" t="inlineStr">
        <is>
          <t>10/02/2026</t>
        </is>
      </c>
      <c r="E2339" s="1" t="n">
        <v>2026</v>
      </c>
      <c r="F2339" s="1" t="inlineStr">
        <is>
          <t>FEBRERO</t>
        </is>
      </c>
      <c r="G2339" s="1" t="inlineStr">
        <is>
          <t>HAIFENG</t>
        </is>
      </c>
      <c r="H2339" s="1" t="inlineStr">
        <is>
          <t>HAIFENG 10/02/2026</t>
        </is>
      </c>
      <c r="I2339" s="4" t="n">
        <v>5</v>
      </c>
      <c r="J2339" s="6" t="n">
        <v>5</v>
      </c>
      <c r="K2339" s="6" t="n">
        <v>105.3424803</v>
      </c>
      <c r="L2339" s="6">
        <f>I2339*K2339</f>
        <v/>
      </c>
      <c r="M2339" s="6">
        <f>K2339*4</f>
        <v/>
      </c>
      <c r="N2339" s="6" t="n">
        <v>569</v>
      </c>
    </row>
    <row r="2340">
      <c r="A2340" s="1" t="inlineStr">
        <is>
          <t>63e0c23442e74</t>
        </is>
      </c>
      <c r="B2340" s="1" t="inlineStr">
        <is>
          <t>PULSERA CLIC H GOLD BLACK</t>
        </is>
      </c>
      <c r="C2340" s="1" t="inlineStr">
        <is>
          <t>16.8 cm</t>
        </is>
      </c>
      <c r="D2340" s="1" t="inlineStr">
        <is>
          <t>11/03/2026</t>
        </is>
      </c>
      <c r="E2340" s="1" t="n">
        <v>2026</v>
      </c>
      <c r="F2340" s="1" t="inlineStr">
        <is>
          <t>MARZO</t>
        </is>
      </c>
      <c r="G2340" s="1" t="inlineStr">
        <is>
          <t>HAIFENG</t>
        </is>
      </c>
      <c r="H2340" s="1" t="inlineStr">
        <is>
          <t>HAIFENG 11/03/2026</t>
        </is>
      </c>
      <c r="I2340" s="4" t="n">
        <v>2</v>
      </c>
      <c r="J2340" s="6" t="n">
        <v>5</v>
      </c>
      <c r="K2340" s="6" t="n">
        <v>106.5194811</v>
      </c>
      <c r="L2340" s="6">
        <f>I2340*K2340</f>
        <v/>
      </c>
      <c r="M2340" s="6">
        <f>K2340*4</f>
        <v/>
      </c>
      <c r="N2340" s="6" t="n">
        <v>569</v>
      </c>
    </row>
    <row r="2341">
      <c r="A2341" s="1" t="inlineStr">
        <is>
          <t>63e0c23442e74</t>
        </is>
      </c>
      <c r="B2341" s="1" t="inlineStr">
        <is>
          <t>PULSERA CLIC H GOLD BLACK</t>
        </is>
      </c>
      <c r="C2341" s="1" t="inlineStr">
        <is>
          <t>16.8 cm</t>
        </is>
      </c>
      <c r="D2341" s="1" t="inlineStr">
        <is>
          <t>06/05/2026</t>
        </is>
      </c>
      <c r="E2341" s="1" t="n">
        <v>2026</v>
      </c>
      <c r="F2341" s="1" t="inlineStr">
        <is>
          <t>MAYO</t>
        </is>
      </c>
      <c r="G2341" s="1" t="inlineStr">
        <is>
          <t>HAIFENG</t>
        </is>
      </c>
      <c r="H2341" s="1" t="inlineStr">
        <is>
          <t>HAIFENG 06/05/2026</t>
        </is>
      </c>
      <c r="I2341" s="4" t="n">
        <v>2</v>
      </c>
      <c r="J2341" s="6" t="n">
        <v>5</v>
      </c>
      <c r="K2341" s="6" t="n">
        <v>106.0932113</v>
      </c>
      <c r="L2341" s="6">
        <f>I2341*K2341</f>
        <v/>
      </c>
      <c r="M2341" s="6">
        <f>K2341*4</f>
        <v/>
      </c>
      <c r="N2341" s="6" t="n">
        <v>569</v>
      </c>
    </row>
    <row r="2342">
      <c r="A2342" s="1" t="inlineStr">
        <is>
          <t>63e0c23442e74</t>
        </is>
      </c>
      <c r="B2342" s="1" t="inlineStr">
        <is>
          <t>PULSERA CLIC H GOLD BLACK</t>
        </is>
      </c>
      <c r="C2342" s="1" t="inlineStr">
        <is>
          <t>16.8 cm</t>
        </is>
      </c>
      <c r="D2342" s="1" t="inlineStr">
        <is>
          <t>26/05/2026</t>
        </is>
      </c>
      <c r="E2342" s="1" t="n">
        <v>2026</v>
      </c>
      <c r="F2342" s="1" t="inlineStr">
        <is>
          <t>MAYO</t>
        </is>
      </c>
      <c r="G2342" s="1" t="inlineStr">
        <is>
          <t>HAIFENG</t>
        </is>
      </c>
      <c r="H2342" s="1" t="inlineStr">
        <is>
          <t>HAIFENG 26/05/2026</t>
        </is>
      </c>
      <c r="I2342" s="4" t="n">
        <v>4</v>
      </c>
      <c r="J2342" s="6" t="n">
        <v>5</v>
      </c>
      <c r="K2342" s="6" t="n">
        <v>104.9464765</v>
      </c>
      <c r="L2342" s="6">
        <f>I2342*K2342</f>
        <v/>
      </c>
      <c r="M2342" s="6">
        <f>K2342*4</f>
        <v/>
      </c>
      <c r="N2342" s="6" t="n">
        <v>569</v>
      </c>
    </row>
    <row r="2343">
      <c r="A2343" s="1" t="inlineStr">
        <is>
          <t>63e0c23442e74</t>
        </is>
      </c>
      <c r="B2343" s="1" t="inlineStr">
        <is>
          <t>PULSERA CLIC H GOLD BLACK</t>
        </is>
      </c>
      <c r="C2343" s="1" t="inlineStr">
        <is>
          <t>16.8 cm</t>
        </is>
      </c>
      <c r="D2343" s="1" t="inlineStr">
        <is>
          <t>16/06/2026</t>
        </is>
      </c>
      <c r="E2343" s="1" t="n">
        <v>2026</v>
      </c>
      <c r="F2343" s="1" t="inlineStr">
        <is>
          <t>JUNIO</t>
        </is>
      </c>
      <c r="G2343" s="1" t="inlineStr">
        <is>
          <t>HAIFENG</t>
        </is>
      </c>
      <c r="H2343" s="1" t="inlineStr">
        <is>
          <t>HAIFENG 16/06/2026</t>
        </is>
      </c>
      <c r="I2343" s="4" t="n">
        <v>2</v>
      </c>
      <c r="J2343" s="6" t="n">
        <v>5</v>
      </c>
      <c r="K2343" s="6" t="n">
        <v>105.0730323</v>
      </c>
      <c r="L2343" s="6">
        <f>I2343*K2343</f>
        <v/>
      </c>
      <c r="M2343" s="6">
        <f>K2343*4</f>
        <v/>
      </c>
      <c r="N2343" s="6" t="n">
        <v>569</v>
      </c>
    </row>
    <row r="2344">
      <c r="A2344" s="1" t="inlineStr">
        <is>
          <t>63e0c234b0e65</t>
        </is>
      </c>
      <c r="B2344" s="1" t="inlineStr">
        <is>
          <t>PULSERA CLIC H SILVER BLACK</t>
        </is>
      </c>
      <c r="C2344" s="1" t="inlineStr">
        <is>
          <t>16.8 cm</t>
        </is>
      </c>
      <c r="D2344" s="1" t="inlineStr">
        <is>
          <t>11/11/2025</t>
        </is>
      </c>
      <c r="E2344" s="1" t="n">
        <v>2025</v>
      </c>
      <c r="F2344" s="1" t="inlineStr">
        <is>
          <t>NOVIEMBRE</t>
        </is>
      </c>
      <c r="G2344" s="1" t="inlineStr">
        <is>
          <t>HAIFENG</t>
        </is>
      </c>
      <c r="H2344" s="1" t="inlineStr">
        <is>
          <t>HAIFENG 11/11/2025</t>
        </is>
      </c>
      <c r="I2344" s="4" t="n">
        <v>8</v>
      </c>
      <c r="J2344" s="6" t="n">
        <v>5</v>
      </c>
      <c r="K2344" s="6" t="n">
        <v>105.3024922</v>
      </c>
      <c r="L2344" s="6">
        <f>I2344*K2344</f>
        <v/>
      </c>
      <c r="M2344" s="6">
        <f>K2344*4</f>
        <v/>
      </c>
      <c r="N2344" s="6" t="n">
        <v>550</v>
      </c>
    </row>
    <row r="2345">
      <c r="A2345" s="1" t="inlineStr">
        <is>
          <t>63e0c234b0e65</t>
        </is>
      </c>
      <c r="B2345" s="1" t="inlineStr">
        <is>
          <t>PULSERA CLIC H SILVER BLACK</t>
        </is>
      </c>
      <c r="C2345" s="1" t="inlineStr">
        <is>
          <t>16.8 cm</t>
        </is>
      </c>
      <c r="D2345" s="1" t="inlineStr">
        <is>
          <t>10/02/2026</t>
        </is>
      </c>
      <c r="E2345" s="1" t="n">
        <v>2026</v>
      </c>
      <c r="F2345" s="1" t="inlineStr">
        <is>
          <t>FEBRERO</t>
        </is>
      </c>
      <c r="G2345" s="1" t="inlineStr">
        <is>
          <t>HAIFENG</t>
        </is>
      </c>
      <c r="H2345" s="1" t="inlineStr">
        <is>
          <t>HAIFENG 10/02/2026</t>
        </is>
      </c>
      <c r="I2345" s="4" t="n">
        <v>6</v>
      </c>
      <c r="J2345" s="6" t="n">
        <v>5</v>
      </c>
      <c r="K2345" s="6" t="n">
        <v>105.3424803</v>
      </c>
      <c r="L2345" s="6">
        <f>I2345*K2345</f>
        <v/>
      </c>
      <c r="M2345" s="6">
        <f>K2345*4</f>
        <v/>
      </c>
      <c r="N2345" s="6" t="n">
        <v>550</v>
      </c>
    </row>
    <row r="2346">
      <c r="A2346" s="1" t="inlineStr">
        <is>
          <t>63e0c234b0e65</t>
        </is>
      </c>
      <c r="B2346" s="1" t="inlineStr">
        <is>
          <t>PULSERA CLIC H SILVER BLACK</t>
        </is>
      </c>
      <c r="C2346" s="1" t="inlineStr">
        <is>
          <t>16.8 cm</t>
        </is>
      </c>
      <c r="D2346" s="1" t="inlineStr">
        <is>
          <t>26/05/2026</t>
        </is>
      </c>
      <c r="E2346" s="1" t="n">
        <v>2026</v>
      </c>
      <c r="F2346" s="1" t="inlineStr">
        <is>
          <t>MAYO</t>
        </is>
      </c>
      <c r="G2346" s="1" t="inlineStr">
        <is>
          <t>HAIFENG</t>
        </is>
      </c>
      <c r="H2346" s="1" t="inlineStr">
        <is>
          <t>HAIFENG 26/05/2026</t>
        </is>
      </c>
      <c r="I2346" s="4" t="n">
        <v>8</v>
      </c>
      <c r="J2346" s="6" t="n">
        <v>5</v>
      </c>
      <c r="K2346" s="6" t="n">
        <v>104.9464765</v>
      </c>
      <c r="L2346" s="6">
        <f>I2346*K2346</f>
        <v/>
      </c>
      <c r="M2346" s="6">
        <f>K2346*4</f>
        <v/>
      </c>
      <c r="N2346" s="6" t="n">
        <v>550</v>
      </c>
    </row>
    <row r="2347">
      <c r="A2347" s="1" t="inlineStr">
        <is>
          <t>63e0c23519a54</t>
        </is>
      </c>
      <c r="B2347" s="1" t="inlineStr">
        <is>
          <t>PULSERA CLIC H SILVER PINK</t>
        </is>
      </c>
      <c r="C2347" s="1" t="inlineStr">
        <is>
          <t>16.8 cm</t>
        </is>
      </c>
      <c r="D2347" s="1" t="inlineStr">
        <is>
          <t>11/11/2025</t>
        </is>
      </c>
      <c r="E2347" s="1" t="n">
        <v>2025</v>
      </c>
      <c r="F2347" s="1" t="inlineStr">
        <is>
          <t>NOVIEMBRE</t>
        </is>
      </c>
      <c r="G2347" s="1" t="inlineStr">
        <is>
          <t>HAIFENG</t>
        </is>
      </c>
      <c r="H2347" s="1" t="inlineStr">
        <is>
          <t>HAIFENG 11/11/2025</t>
        </is>
      </c>
      <c r="I2347" s="4" t="n">
        <v>1</v>
      </c>
      <c r="J2347" s="6" t="n">
        <v>5</v>
      </c>
      <c r="K2347" s="6" t="n">
        <v>105.3024922</v>
      </c>
      <c r="L2347" s="6">
        <f>I2347*K2347</f>
        <v/>
      </c>
      <c r="M2347" s="6">
        <f>K2347*4</f>
        <v/>
      </c>
      <c r="N2347" s="6" t="n">
        <v>550</v>
      </c>
    </row>
    <row r="2348">
      <c r="A2348" s="1" t="inlineStr">
        <is>
          <t>63e0c23519a54</t>
        </is>
      </c>
      <c r="B2348" s="1" t="inlineStr">
        <is>
          <t>PULSERA CLIC H SILVER PINK</t>
        </is>
      </c>
      <c r="C2348" s="1" t="inlineStr">
        <is>
          <t>16.8 cm</t>
        </is>
      </c>
      <c r="D2348" s="1" t="inlineStr">
        <is>
          <t>10/02/2026</t>
        </is>
      </c>
      <c r="E2348" s="1" t="n">
        <v>2026</v>
      </c>
      <c r="F2348" s="1" t="inlineStr">
        <is>
          <t>FEBRERO</t>
        </is>
      </c>
      <c r="G2348" s="1" t="inlineStr">
        <is>
          <t>HAIFENG</t>
        </is>
      </c>
      <c r="H2348" s="1" t="inlineStr">
        <is>
          <t>HAIFENG 10/02/2026</t>
        </is>
      </c>
      <c r="I2348" s="4" t="n">
        <v>5</v>
      </c>
      <c r="J2348" s="6" t="n">
        <v>5</v>
      </c>
      <c r="K2348" s="6" t="n">
        <v>105.3424803</v>
      </c>
      <c r="L2348" s="6">
        <f>I2348*K2348</f>
        <v/>
      </c>
      <c r="M2348" s="6">
        <f>K2348*4</f>
        <v/>
      </c>
      <c r="N2348" s="6" t="n">
        <v>550</v>
      </c>
    </row>
    <row r="2349">
      <c r="A2349" s="1" t="inlineStr">
        <is>
          <t>63e0c23519a54</t>
        </is>
      </c>
      <c r="B2349" s="1" t="inlineStr">
        <is>
          <t>PULSERA CLIC H SILVER PINK</t>
        </is>
      </c>
      <c r="C2349" s="1" t="inlineStr">
        <is>
          <t>16.8 cm</t>
        </is>
      </c>
      <c r="D2349" s="1" t="inlineStr">
        <is>
          <t>26/05/2026</t>
        </is>
      </c>
      <c r="E2349" s="1" t="n">
        <v>2026</v>
      </c>
      <c r="F2349" s="1" t="inlineStr">
        <is>
          <t>MAYO</t>
        </is>
      </c>
      <c r="G2349" s="1" t="inlineStr">
        <is>
          <t>HAIFENG</t>
        </is>
      </c>
      <c r="H2349" s="1" t="inlineStr">
        <is>
          <t>HAIFENG 26/05/2026</t>
        </is>
      </c>
      <c r="I2349" s="4" t="n">
        <v>2</v>
      </c>
      <c r="J2349" s="6" t="n">
        <v>5</v>
      </c>
      <c r="K2349" s="6" t="n">
        <v>104.9464765</v>
      </c>
      <c r="L2349" s="6">
        <f>I2349*K2349</f>
        <v/>
      </c>
      <c r="M2349" s="6">
        <f>K2349*4</f>
        <v/>
      </c>
      <c r="N2349" s="6" t="n">
        <v>550</v>
      </c>
    </row>
    <row r="2350">
      <c r="A2350" s="1" t="inlineStr">
        <is>
          <t>63e0c53833f26</t>
        </is>
      </c>
      <c r="B2350" s="1" t="inlineStr">
        <is>
          <t>PULSERA LOVE CON ZIRCONIA GOLD</t>
        </is>
      </c>
      <c r="C2350" s="1" t="inlineStr">
        <is>
          <t>16 cm</t>
        </is>
      </c>
      <c r="D2350" s="1" t="inlineStr">
        <is>
          <t>26/05/2026</t>
        </is>
      </c>
      <c r="E2350" s="1" t="n">
        <v>2026</v>
      </c>
      <c r="F2350" s="1" t="inlineStr">
        <is>
          <t>MAYO</t>
        </is>
      </c>
      <c r="G2350" s="1" t="inlineStr">
        <is>
          <t>HAIFENG</t>
        </is>
      </c>
      <c r="H2350" s="1" t="inlineStr">
        <is>
          <t>HAIFENG 26/05/2026</t>
        </is>
      </c>
      <c r="I2350" s="4" t="n">
        <v>2</v>
      </c>
      <c r="J2350" s="6" t="n">
        <v>4.5</v>
      </c>
      <c r="K2350" s="6" t="n">
        <v>94.45182883</v>
      </c>
      <c r="L2350" s="6">
        <f>I2350*K2350</f>
        <v/>
      </c>
      <c r="M2350" s="6">
        <f>K2350*4</f>
        <v/>
      </c>
      <c r="N2350" s="6" t="n">
        <v>499</v>
      </c>
    </row>
    <row r="2351">
      <c r="A2351" s="1" t="inlineStr">
        <is>
          <t>63e0c53833f26</t>
        </is>
      </c>
      <c r="B2351" s="1" t="inlineStr">
        <is>
          <t>PULSERA LOVE CON ZIRCONIA GOLD</t>
        </is>
      </c>
      <c r="C2351" s="1" t="inlineStr">
        <is>
          <t>16 cm</t>
        </is>
      </c>
      <c r="D2351" s="1" t="inlineStr">
        <is>
          <t>16/06/2026</t>
        </is>
      </c>
      <c r="E2351" s="1" t="n">
        <v>2026</v>
      </c>
      <c r="F2351" s="1" t="inlineStr">
        <is>
          <t>JUNIO</t>
        </is>
      </c>
      <c r="G2351" s="1" t="inlineStr">
        <is>
          <t>HAIFENG</t>
        </is>
      </c>
      <c r="H2351" s="1" t="inlineStr">
        <is>
          <t>HAIFENG 16/06/2026</t>
        </is>
      </c>
      <c r="I2351" s="4" t="n">
        <v>7</v>
      </c>
      <c r="J2351" s="6" t="n">
        <v>4.5</v>
      </c>
      <c r="K2351" s="6" t="n">
        <v>94.56572907</v>
      </c>
      <c r="L2351" s="6">
        <f>I2351*K2351</f>
        <v/>
      </c>
      <c r="M2351" s="6">
        <f>K2351*4</f>
        <v/>
      </c>
      <c r="N2351" s="6" t="n">
        <v>499</v>
      </c>
    </row>
    <row r="2352">
      <c r="A2352" s="1" t="inlineStr">
        <is>
          <t>63e0c5387bab1</t>
        </is>
      </c>
      <c r="B2352" s="1" t="inlineStr">
        <is>
          <t>PULSERA LOVE CON ZIRCONIA ROSE GOLD</t>
        </is>
      </c>
      <c r="C2352" s="1" t="inlineStr">
        <is>
          <t>16 cm</t>
        </is>
      </c>
      <c r="D2352" s="1" t="inlineStr">
        <is>
          <t>26/05/2026</t>
        </is>
      </c>
      <c r="E2352" s="1" t="n">
        <v>2026</v>
      </c>
      <c r="F2352" s="1" t="inlineStr">
        <is>
          <t>MAYO</t>
        </is>
      </c>
      <c r="G2352" s="1" t="inlineStr">
        <is>
          <t>HAIFENG</t>
        </is>
      </c>
      <c r="H2352" s="1" t="inlineStr">
        <is>
          <t>HAIFENG 26/05/2026</t>
        </is>
      </c>
      <c r="I2352" s="4" t="n">
        <v>3</v>
      </c>
      <c r="J2352" s="6" t="n">
        <v>4.5</v>
      </c>
      <c r="K2352" s="6" t="n">
        <v>94.45182883</v>
      </c>
      <c r="L2352" s="6">
        <f>I2352*K2352</f>
        <v/>
      </c>
      <c r="M2352" s="6">
        <f>K2352*4</f>
        <v/>
      </c>
      <c r="N2352" s="6" t="n">
        <v>499</v>
      </c>
    </row>
    <row r="2353">
      <c r="A2353" s="1" t="inlineStr">
        <is>
          <t>63e0c53946490</t>
        </is>
      </c>
      <c r="B2353" s="1" t="inlineStr">
        <is>
          <t>PULSERA LOVE CON ZIRCONIA GOLD</t>
        </is>
      </c>
      <c r="C2353" s="1" t="inlineStr">
        <is>
          <t>17cm</t>
        </is>
      </c>
      <c r="D2353" s="1" t="inlineStr">
        <is>
          <t>11/11/2025</t>
        </is>
      </c>
      <c r="E2353" s="1" t="n">
        <v>2025</v>
      </c>
      <c r="F2353" s="1" t="inlineStr">
        <is>
          <t>NOVIEMBRE</t>
        </is>
      </c>
      <c r="G2353" s="1" t="inlineStr">
        <is>
          <t>HAIFENG</t>
        </is>
      </c>
      <c r="H2353" s="1" t="inlineStr">
        <is>
          <t>HAIFENG 11/11/2025</t>
        </is>
      </c>
      <c r="I2353" s="4" t="n">
        <v>10</v>
      </c>
      <c r="J2353" s="6" t="n">
        <v>4.5</v>
      </c>
      <c r="K2353" s="6" t="n">
        <v>94.772243</v>
      </c>
      <c r="L2353" s="6">
        <f>I2353*K2353</f>
        <v/>
      </c>
      <c r="M2353" s="6">
        <f>K2353*4</f>
        <v/>
      </c>
      <c r="N2353" s="6" t="n">
        <v>499</v>
      </c>
    </row>
    <row r="2354">
      <c r="A2354" s="1" t="inlineStr">
        <is>
          <t>63e0c53946490</t>
        </is>
      </c>
      <c r="B2354" s="1" t="inlineStr">
        <is>
          <t>PULSERA LOVE CON ZIRCONIA GOLD</t>
        </is>
      </c>
      <c r="C2354" s="1" t="inlineStr">
        <is>
          <t>17cm</t>
        </is>
      </c>
      <c r="D2354" s="1" t="inlineStr">
        <is>
          <t>03/12/2025</t>
        </is>
      </c>
      <c r="E2354" s="1" t="n">
        <v>2025</v>
      </c>
      <c r="F2354" s="1" t="inlineStr">
        <is>
          <t>DICIEMBRE</t>
        </is>
      </c>
      <c r="G2354" s="1" t="inlineStr">
        <is>
          <t>HAIFENG</t>
        </is>
      </c>
      <c r="H2354" s="1" t="inlineStr">
        <is>
          <t>HAIFENG 03/12/2025</t>
        </is>
      </c>
      <c r="I2354" s="4" t="n">
        <v>6</v>
      </c>
      <c r="J2354" s="6" t="n">
        <v>4.5</v>
      </c>
      <c r="K2354" s="6" t="n">
        <v>94.12722005000001</v>
      </c>
      <c r="L2354" s="6">
        <f>I2354*K2354</f>
        <v/>
      </c>
      <c r="M2354" s="6">
        <f>K2354*4</f>
        <v/>
      </c>
      <c r="N2354" s="6" t="n">
        <v>499</v>
      </c>
    </row>
    <row r="2355">
      <c r="A2355" s="1" t="inlineStr">
        <is>
          <t>63e0c5395cc64</t>
        </is>
      </c>
      <c r="B2355" s="1" t="inlineStr">
        <is>
          <t>PULSERA LOVE CON ZIRCONIA ROSE GOLD</t>
        </is>
      </c>
      <c r="C2355" s="1" t="inlineStr">
        <is>
          <t>17 cm</t>
        </is>
      </c>
      <c r="D2355" s="1" t="inlineStr">
        <is>
          <t>03/12/2025</t>
        </is>
      </c>
      <c r="E2355" s="1" t="n">
        <v>2025</v>
      </c>
      <c r="F2355" s="1" t="inlineStr">
        <is>
          <t>DICIEMBRE</t>
        </is>
      </c>
      <c r="G2355" s="1" t="inlineStr">
        <is>
          <t>HAIFENG</t>
        </is>
      </c>
      <c r="H2355" s="1" t="inlineStr">
        <is>
          <t>HAIFENG 03/12/2025</t>
        </is>
      </c>
      <c r="I2355" s="4" t="n">
        <v>3</v>
      </c>
      <c r="J2355" s="6" t="n">
        <v>4.5</v>
      </c>
      <c r="K2355" s="6" t="n">
        <v>94.12722005000001</v>
      </c>
      <c r="L2355" s="6">
        <f>I2355*K2355</f>
        <v/>
      </c>
      <c r="M2355" s="6">
        <f>K2355*4</f>
        <v/>
      </c>
      <c r="N2355" s="6" t="n">
        <v>499</v>
      </c>
    </row>
    <row r="2356">
      <c r="A2356" s="1" t="inlineStr">
        <is>
          <t>63e0c5395cc64</t>
        </is>
      </c>
      <c r="B2356" s="1" t="inlineStr">
        <is>
          <t>PULSERA LOVE CON ZIRCONIA ROSE GOLD</t>
        </is>
      </c>
      <c r="C2356" s="1" t="inlineStr">
        <is>
          <t>17 cm</t>
        </is>
      </c>
      <c r="D2356" s="1" t="inlineStr">
        <is>
          <t>06/05/2026</t>
        </is>
      </c>
      <c r="E2356" s="1" t="n">
        <v>2026</v>
      </c>
      <c r="F2356" s="1" t="inlineStr">
        <is>
          <t>MAYO</t>
        </is>
      </c>
      <c r="G2356" s="1" t="inlineStr">
        <is>
          <t>HAIFENG</t>
        </is>
      </c>
      <c r="H2356" s="1" t="inlineStr">
        <is>
          <t>HAIFENG 06/05/2026</t>
        </is>
      </c>
      <c r="I2356" s="4" t="n">
        <v>2</v>
      </c>
      <c r="J2356" s="6" t="n">
        <v>4.5</v>
      </c>
      <c r="K2356" s="6" t="n">
        <v>95.4838902</v>
      </c>
      <c r="L2356" s="6">
        <f>I2356*K2356</f>
        <v/>
      </c>
      <c r="M2356" s="6">
        <f>K2356*4</f>
        <v/>
      </c>
      <c r="N2356" s="6" t="n">
        <v>499</v>
      </c>
    </row>
    <row r="2357">
      <c r="A2357" s="1" t="inlineStr">
        <is>
          <t>63e0c53a2b722</t>
        </is>
      </c>
      <c r="B2357" s="1" t="inlineStr">
        <is>
          <t>PULSERA LOVE CON ZIRCONIA GOLD</t>
        </is>
      </c>
      <c r="C2357" s="1" t="inlineStr">
        <is>
          <t>18 cm</t>
        </is>
      </c>
      <c r="D2357" s="1" t="inlineStr">
        <is>
          <t>11/11/2025</t>
        </is>
      </c>
      <c r="E2357" s="1" t="n">
        <v>2025</v>
      </c>
      <c r="F2357" s="1" t="inlineStr">
        <is>
          <t>NOVIEMBRE</t>
        </is>
      </c>
      <c r="G2357" s="1" t="inlineStr">
        <is>
          <t>HAIFENG</t>
        </is>
      </c>
      <c r="H2357" s="1" t="inlineStr">
        <is>
          <t>HAIFENG 11/11/2025</t>
        </is>
      </c>
      <c r="I2357" s="4" t="n">
        <v>6</v>
      </c>
      <c r="J2357" s="6" t="n">
        <v>4.5</v>
      </c>
      <c r="K2357" s="6" t="n">
        <v>94.772243</v>
      </c>
      <c r="L2357" s="6">
        <f>I2357*K2357</f>
        <v/>
      </c>
      <c r="M2357" s="6">
        <f>K2357*4</f>
        <v/>
      </c>
      <c r="N2357" s="6" t="n">
        <v>499</v>
      </c>
    </row>
    <row r="2358">
      <c r="A2358" s="1" t="inlineStr">
        <is>
          <t>63e0c53a2b722</t>
        </is>
      </c>
      <c r="B2358" s="1" t="inlineStr">
        <is>
          <t>PULSERA LOVE CON ZIRCONIA GOLD</t>
        </is>
      </c>
      <c r="C2358" s="1" t="inlineStr">
        <is>
          <t>18 cm</t>
        </is>
      </c>
      <c r="D2358" s="1" t="inlineStr">
        <is>
          <t>03/12/2025</t>
        </is>
      </c>
      <c r="E2358" s="1" t="n">
        <v>2025</v>
      </c>
      <c r="F2358" s="1" t="inlineStr">
        <is>
          <t>DICIEMBRE</t>
        </is>
      </c>
      <c r="G2358" s="1" t="inlineStr">
        <is>
          <t>HAIFENG</t>
        </is>
      </c>
      <c r="H2358" s="1" t="inlineStr">
        <is>
          <t>HAIFENG 03/12/2025</t>
        </is>
      </c>
      <c r="I2358" s="4" t="n">
        <v>5</v>
      </c>
      <c r="J2358" s="6" t="n">
        <v>4.5</v>
      </c>
      <c r="K2358" s="6" t="n">
        <v>94.12722005000001</v>
      </c>
      <c r="L2358" s="6">
        <f>I2358*K2358</f>
        <v/>
      </c>
      <c r="M2358" s="6">
        <f>K2358*4</f>
        <v/>
      </c>
      <c r="N2358" s="6" t="n">
        <v>499</v>
      </c>
    </row>
    <row r="2359">
      <c r="A2359" s="1" t="inlineStr">
        <is>
          <t>63e0c53be61bd</t>
        </is>
      </c>
      <c r="B2359" s="1" t="inlineStr">
        <is>
          <t>PULSERA LOVE CON ZIRCONIA GOLD</t>
        </is>
      </c>
      <c r="C2359" s="1" t="inlineStr">
        <is>
          <t>20 cm</t>
        </is>
      </c>
      <c r="D2359" s="1" t="inlineStr">
        <is>
          <t>20/01/2026</t>
        </is>
      </c>
      <c r="E2359" s="1" t="n">
        <v>2026</v>
      </c>
      <c r="F2359" s="1" t="inlineStr">
        <is>
          <t>ENERO</t>
        </is>
      </c>
      <c r="G2359" s="1" t="inlineStr">
        <is>
          <t>HAIFENG</t>
        </is>
      </c>
      <c r="H2359" s="1" t="inlineStr">
        <is>
          <t>HAIFENG 20/01/2026</t>
        </is>
      </c>
      <c r="I2359" s="4" t="n">
        <v>2</v>
      </c>
      <c r="J2359" s="6" t="n">
        <v>4.5</v>
      </c>
      <c r="K2359" s="6" t="n">
        <v>95.40188006</v>
      </c>
      <c r="L2359" s="6">
        <f>I2359*K2359</f>
        <v/>
      </c>
      <c r="M2359" s="6">
        <f>K2359*4</f>
        <v/>
      </c>
      <c r="N2359" s="6" t="n">
        <v>499</v>
      </c>
    </row>
    <row r="2360">
      <c r="A2360" s="1" t="inlineStr">
        <is>
          <t>63e0c53cbec21</t>
        </is>
      </c>
      <c r="B2360" s="1" t="inlineStr">
        <is>
          <t>PULSERA LOVE CON ZIRCONIA GOLD</t>
        </is>
      </c>
      <c r="C2360" s="1" t="inlineStr">
        <is>
          <t>21 cm</t>
        </is>
      </c>
      <c r="D2360" s="1" t="inlineStr">
        <is>
          <t>03/12/2025</t>
        </is>
      </c>
      <c r="E2360" s="1" t="n">
        <v>2025</v>
      </c>
      <c r="F2360" s="1" t="inlineStr">
        <is>
          <t>DICIEMBRE</t>
        </is>
      </c>
      <c r="G2360" s="1" t="inlineStr">
        <is>
          <t>HAIFENG</t>
        </is>
      </c>
      <c r="H2360" s="1" t="inlineStr">
        <is>
          <t>HAIFENG 03/12/2025</t>
        </is>
      </c>
      <c r="I2360" s="4" t="n">
        <v>2</v>
      </c>
      <c r="J2360" s="6" t="n">
        <v>4.5</v>
      </c>
      <c r="K2360" s="6" t="n">
        <v>94.12722005000001</v>
      </c>
      <c r="L2360" s="6">
        <f>I2360*K2360</f>
        <v/>
      </c>
      <c r="M2360" s="6">
        <f>K2360*4</f>
        <v/>
      </c>
      <c r="N2360" s="6" t="n">
        <v>499</v>
      </c>
    </row>
    <row r="2361">
      <c r="A2361" s="1" t="inlineStr">
        <is>
          <t>63e0c53f88fe1</t>
        </is>
      </c>
      <c r="B2361" s="1" t="inlineStr">
        <is>
          <t>PULSERA LOVE CON ZIRCONIA SILVER</t>
        </is>
      </c>
      <c r="C2361" s="1" t="inlineStr">
        <is>
          <t>19 cm</t>
        </is>
      </c>
      <c r="D2361" s="1" t="inlineStr">
        <is>
          <t>16/06/2026</t>
        </is>
      </c>
      <c r="E2361" s="1" t="n">
        <v>2026</v>
      </c>
      <c r="F2361" s="1" t="inlineStr">
        <is>
          <t>JUNIO</t>
        </is>
      </c>
      <c r="G2361" s="1" t="inlineStr">
        <is>
          <t>HAIFENG</t>
        </is>
      </c>
      <c r="H2361" s="1" t="inlineStr">
        <is>
          <t>HAIFENG 16/06/2026</t>
        </is>
      </c>
      <c r="I2361" s="4" t="n">
        <v>2</v>
      </c>
      <c r="J2361" s="6" t="n">
        <v>4.5</v>
      </c>
      <c r="K2361" s="6" t="n">
        <v>94.56572907</v>
      </c>
      <c r="L2361" s="6">
        <f>I2361*K2361</f>
        <v/>
      </c>
      <c r="M2361" s="6">
        <f>K2361*4</f>
        <v/>
      </c>
      <c r="N2361" s="6" t="n">
        <v>499</v>
      </c>
    </row>
    <row r="2362">
      <c r="A2362" s="1" t="inlineStr">
        <is>
          <t>63e0c54172948</t>
        </is>
      </c>
      <c r="B2362" s="1" t="inlineStr">
        <is>
          <t>PULSERA LOVE CON ZIRCONIA SILVER</t>
        </is>
      </c>
      <c r="C2362" s="1" t="inlineStr">
        <is>
          <t>21 cm</t>
        </is>
      </c>
      <c r="D2362" s="1" t="inlineStr">
        <is>
          <t>16/04/2026</t>
        </is>
      </c>
      <c r="E2362" s="1" t="n">
        <v>2026</v>
      </c>
      <c r="F2362" s="1" t="inlineStr">
        <is>
          <t>ABRIL</t>
        </is>
      </c>
      <c r="G2362" s="1" t="inlineStr">
        <is>
          <t>HAIFENG</t>
        </is>
      </c>
      <c r="H2362" s="1" t="inlineStr">
        <is>
          <t>HAIFENG 16/04/2026</t>
        </is>
      </c>
      <c r="I2362" s="4" t="n">
        <v>3</v>
      </c>
      <c r="J2362" s="6" t="n">
        <v>4.5</v>
      </c>
      <c r="K2362" s="6" t="n">
        <v>94.64163114999999</v>
      </c>
      <c r="L2362" s="6">
        <f>I2362*K2362</f>
        <v/>
      </c>
      <c r="M2362" s="6">
        <f>K2362*4</f>
        <v/>
      </c>
      <c r="N2362" s="6" t="n">
        <v>499</v>
      </c>
    </row>
    <row r="2363">
      <c r="A2363" s="1" t="inlineStr">
        <is>
          <t>63e0c58ca26ac</t>
        </is>
      </c>
      <c r="B2363" s="1" t="inlineStr">
        <is>
          <t>PULSERA LOVE DELGADA ROSE GOLD</t>
        </is>
      </c>
      <c r="C2363" s="1" t="inlineStr">
        <is>
          <t>16 cm</t>
        </is>
      </c>
      <c r="D2363" s="1" t="inlineStr">
        <is>
          <t>01/09/2025</t>
        </is>
      </c>
      <c r="E2363" s="1" t="n">
        <v>2025</v>
      </c>
      <c r="F2363" s="1" t="inlineStr">
        <is>
          <t>SEPTIEMBRE</t>
        </is>
      </c>
      <c r="G2363" s="1" t="inlineStr">
        <is>
          <t>HAIFENG</t>
        </is>
      </c>
      <c r="H2363" s="1" t="inlineStr">
        <is>
          <t>HAIFENG 01/09/2025</t>
        </is>
      </c>
      <c r="I2363" s="4" t="n">
        <v>5</v>
      </c>
      <c r="J2363" s="6" t="n">
        <v>5</v>
      </c>
      <c r="K2363" s="6" t="n">
        <v>106.2783553</v>
      </c>
      <c r="L2363" s="6">
        <f>I2363*K2363</f>
        <v/>
      </c>
      <c r="M2363" s="6">
        <f>K2363*4</f>
        <v/>
      </c>
      <c r="N2363" s="6" t="n">
        <v>499</v>
      </c>
    </row>
    <row r="2364">
      <c r="A2364" s="1" t="inlineStr">
        <is>
          <t>63e0c58ca26ac</t>
        </is>
      </c>
      <c r="B2364" s="1" t="inlineStr">
        <is>
          <t>PULSERA LOVE DELGADA ROSE GOLD</t>
        </is>
      </c>
      <c r="C2364" s="1" t="inlineStr">
        <is>
          <t>16 cm</t>
        </is>
      </c>
      <c r="D2364" s="1" t="inlineStr">
        <is>
          <t>11/11/2025</t>
        </is>
      </c>
      <c r="E2364" s="1" t="n">
        <v>2025</v>
      </c>
      <c r="F2364" s="1" t="inlineStr">
        <is>
          <t>NOVIEMBRE</t>
        </is>
      </c>
      <c r="G2364" s="1" t="inlineStr">
        <is>
          <t>HAIFENG</t>
        </is>
      </c>
      <c r="H2364" s="1" t="inlineStr">
        <is>
          <t>HAIFENG 11/11/2025</t>
        </is>
      </c>
      <c r="I2364" s="4" t="n">
        <v>4</v>
      </c>
      <c r="J2364" s="6" t="n">
        <v>5</v>
      </c>
      <c r="K2364" s="6" t="n">
        <v>105.3024922</v>
      </c>
      <c r="L2364" s="6">
        <f>I2364*K2364</f>
        <v/>
      </c>
      <c r="M2364" s="6">
        <f>K2364*4</f>
        <v/>
      </c>
      <c r="N2364" s="6" t="n">
        <v>499</v>
      </c>
    </row>
    <row r="2365">
      <c r="A2365" s="1" t="inlineStr">
        <is>
          <t>63e0c58ca26ac</t>
        </is>
      </c>
      <c r="B2365" s="1" t="inlineStr">
        <is>
          <t>PULSERA LOVE DELGADA ROSE GOLD</t>
        </is>
      </c>
      <c r="C2365" s="1" t="inlineStr">
        <is>
          <t>16 cm</t>
        </is>
      </c>
      <c r="D2365" s="1" t="inlineStr">
        <is>
          <t>03/12/2025</t>
        </is>
      </c>
      <c r="E2365" s="1" t="n">
        <v>2025</v>
      </c>
      <c r="F2365" s="1" t="inlineStr">
        <is>
          <t>DICIEMBRE</t>
        </is>
      </c>
      <c r="G2365" s="1" t="inlineStr">
        <is>
          <t>HAIFENG</t>
        </is>
      </c>
      <c r="H2365" s="1" t="inlineStr">
        <is>
          <t>HAIFENG 03/12/2025</t>
        </is>
      </c>
      <c r="I2365" s="4" t="n">
        <v>3</v>
      </c>
      <c r="J2365" s="6" t="n">
        <v>4.5</v>
      </c>
      <c r="K2365" s="6" t="n">
        <v>94.12722005000001</v>
      </c>
      <c r="L2365" s="6">
        <f>I2365*K2365</f>
        <v/>
      </c>
      <c r="M2365" s="6">
        <f>K2365*4</f>
        <v/>
      </c>
      <c r="N2365" s="6" t="n">
        <v>499</v>
      </c>
    </row>
    <row r="2366">
      <c r="A2366" s="1" t="inlineStr">
        <is>
          <t>63e0c58ca26ac</t>
        </is>
      </c>
      <c r="B2366" s="1" t="inlineStr">
        <is>
          <t>PULSERA LOVE DELGADA ROSE GOLD</t>
        </is>
      </c>
      <c r="C2366" s="1" t="inlineStr">
        <is>
          <t>16 cm</t>
        </is>
      </c>
      <c r="D2366" s="1" t="inlineStr">
        <is>
          <t>10/02/2026</t>
        </is>
      </c>
      <c r="E2366" s="1" t="n">
        <v>2026</v>
      </c>
      <c r="F2366" s="1" t="inlineStr">
        <is>
          <t>FEBRERO</t>
        </is>
      </c>
      <c r="G2366" s="1" t="inlineStr">
        <is>
          <t>HAIFENG</t>
        </is>
      </c>
      <c r="H2366" s="1" t="inlineStr">
        <is>
          <t>HAIFENG 10/02/2026</t>
        </is>
      </c>
      <c r="I2366" s="4" t="n">
        <v>4</v>
      </c>
      <c r="J2366" s="6" t="n">
        <v>5</v>
      </c>
      <c r="K2366" s="6" t="n">
        <v>105.3424803</v>
      </c>
      <c r="L2366" s="6">
        <f>I2366*K2366</f>
        <v/>
      </c>
      <c r="M2366" s="6">
        <f>K2366*4</f>
        <v/>
      </c>
      <c r="N2366" s="6" t="n">
        <v>499</v>
      </c>
    </row>
    <row r="2367">
      <c r="A2367" s="1" t="inlineStr">
        <is>
          <t>63e0c58ca26ac</t>
        </is>
      </c>
      <c r="B2367" s="1" t="inlineStr">
        <is>
          <t>PULSERA LOVE DELGADA ROSE GOLD</t>
        </is>
      </c>
      <c r="C2367" s="1" t="inlineStr">
        <is>
          <t>16 cm</t>
        </is>
      </c>
      <c r="D2367" s="1" t="inlineStr">
        <is>
          <t>11/03/2026</t>
        </is>
      </c>
      <c r="E2367" s="1" t="n">
        <v>2026</v>
      </c>
      <c r="F2367" s="1" t="inlineStr">
        <is>
          <t>MARZO</t>
        </is>
      </c>
      <c r="G2367" s="1" t="inlineStr">
        <is>
          <t>HAIFENG</t>
        </is>
      </c>
      <c r="H2367" s="1" t="inlineStr">
        <is>
          <t>HAIFENG 11/03/2026</t>
        </is>
      </c>
      <c r="I2367" s="4" t="n">
        <v>2</v>
      </c>
      <c r="J2367" s="6" t="n">
        <v>5</v>
      </c>
      <c r="K2367" s="6" t="n">
        <v>106.5194811</v>
      </c>
      <c r="L2367" s="6">
        <f>I2367*K2367</f>
        <v/>
      </c>
      <c r="M2367" s="6">
        <f>K2367*4</f>
        <v/>
      </c>
      <c r="N2367" s="6" t="n">
        <v>499</v>
      </c>
    </row>
    <row r="2368">
      <c r="A2368" s="1" t="inlineStr">
        <is>
          <t>63e0c58ca26ac</t>
        </is>
      </c>
      <c r="B2368" s="1" t="inlineStr">
        <is>
          <t>PULSERA LOVE DELGADA ROSE GOLD</t>
        </is>
      </c>
      <c r="C2368" s="1" t="inlineStr">
        <is>
          <t>16 cm</t>
        </is>
      </c>
      <c r="D2368" s="1" t="inlineStr">
        <is>
          <t>06/05/2026</t>
        </is>
      </c>
      <c r="E2368" s="1" t="n">
        <v>2026</v>
      </c>
      <c r="F2368" s="1" t="inlineStr">
        <is>
          <t>MAYO</t>
        </is>
      </c>
      <c r="G2368" s="1" t="inlineStr">
        <is>
          <t>HAIFENG</t>
        </is>
      </c>
      <c r="H2368" s="1" t="inlineStr">
        <is>
          <t>HAIFENG 06/05/2026</t>
        </is>
      </c>
      <c r="I2368" s="4" t="n">
        <v>2</v>
      </c>
      <c r="J2368" s="6" t="n">
        <v>5</v>
      </c>
      <c r="K2368" s="6" t="n">
        <v>106.0932113</v>
      </c>
      <c r="L2368" s="6">
        <f>I2368*K2368</f>
        <v/>
      </c>
      <c r="M2368" s="6">
        <f>K2368*4</f>
        <v/>
      </c>
      <c r="N2368" s="6" t="n">
        <v>499</v>
      </c>
    </row>
    <row r="2369">
      <c r="A2369" s="1" t="inlineStr">
        <is>
          <t>63e0c58ca26ac</t>
        </is>
      </c>
      <c r="B2369" s="1" t="inlineStr">
        <is>
          <t>PULSERA LOVE DELGADA ROSE GOLD</t>
        </is>
      </c>
      <c r="C2369" s="1" t="inlineStr">
        <is>
          <t>16 cm</t>
        </is>
      </c>
      <c r="D2369" s="1" t="inlineStr">
        <is>
          <t>26/05/2026</t>
        </is>
      </c>
      <c r="E2369" s="1" t="n">
        <v>2026</v>
      </c>
      <c r="F2369" s="1" t="inlineStr">
        <is>
          <t>MAYO</t>
        </is>
      </c>
      <c r="G2369" s="1" t="inlineStr">
        <is>
          <t>HAIFENG</t>
        </is>
      </c>
      <c r="H2369" s="1" t="inlineStr">
        <is>
          <t>HAIFENG 26/05/2026</t>
        </is>
      </c>
      <c r="I2369" s="4" t="n">
        <v>7</v>
      </c>
      <c r="J2369" s="6" t="n">
        <v>5</v>
      </c>
      <c r="K2369" s="6" t="n">
        <v>104.9464765</v>
      </c>
      <c r="L2369" s="6">
        <f>I2369*K2369</f>
        <v/>
      </c>
      <c r="M2369" s="6">
        <f>K2369*4</f>
        <v/>
      </c>
      <c r="N2369" s="6" t="n">
        <v>499</v>
      </c>
    </row>
    <row r="2370">
      <c r="A2370" s="1" t="inlineStr">
        <is>
          <t>63e0c58da8cda</t>
        </is>
      </c>
      <c r="B2370" s="1" t="inlineStr">
        <is>
          <t>PULSERA LOVE DELGADA ROSE GOLD</t>
        </is>
      </c>
      <c r="C2370" s="1" t="inlineStr">
        <is>
          <t>17cm</t>
        </is>
      </c>
      <c r="D2370" s="1" t="inlineStr">
        <is>
          <t>25/09/2025</t>
        </is>
      </c>
      <c r="E2370" s="1" t="n">
        <v>2025</v>
      </c>
      <c r="F2370" s="1" t="inlineStr">
        <is>
          <t>SEPTIEMBRE</t>
        </is>
      </c>
      <c r="G2370" s="1" t="inlineStr">
        <is>
          <t>HAIFENG</t>
        </is>
      </c>
      <c r="H2370" s="1" t="inlineStr">
        <is>
          <t>HAIFENG 25/09/2025</t>
        </is>
      </c>
      <c r="I2370" s="4" t="n">
        <v>12</v>
      </c>
      <c r="J2370" s="6" t="n">
        <v>5</v>
      </c>
      <c r="K2370" s="6" t="n">
        <v>105.4844288</v>
      </c>
      <c r="L2370" s="6">
        <f>I2370*K2370</f>
        <v/>
      </c>
      <c r="M2370" s="6">
        <f>K2370*4</f>
        <v/>
      </c>
      <c r="N2370" s="6" t="n">
        <v>499</v>
      </c>
    </row>
    <row r="2371">
      <c r="A2371" s="1" t="inlineStr">
        <is>
          <t>63e0c58da8cda</t>
        </is>
      </c>
      <c r="B2371" s="1" t="inlineStr">
        <is>
          <t>PULSERA LOVE DELGADA ROSE GOLD</t>
        </is>
      </c>
      <c r="C2371" s="1" t="inlineStr">
        <is>
          <t>17cm</t>
        </is>
      </c>
      <c r="D2371" s="1" t="inlineStr">
        <is>
          <t>11/03/2026</t>
        </is>
      </c>
      <c r="E2371" s="1" t="n">
        <v>2026</v>
      </c>
      <c r="F2371" s="1" t="inlineStr">
        <is>
          <t>MARZO</t>
        </is>
      </c>
      <c r="G2371" s="1" t="inlineStr">
        <is>
          <t>HAIFENG</t>
        </is>
      </c>
      <c r="H2371" s="1" t="inlineStr">
        <is>
          <t>HAIFENG 11/03/2026</t>
        </is>
      </c>
      <c r="I2371" s="4" t="n">
        <v>5</v>
      </c>
      <c r="J2371" s="6" t="n">
        <v>5</v>
      </c>
      <c r="K2371" s="6" t="n">
        <v>106.5194811</v>
      </c>
      <c r="L2371" s="6">
        <f>I2371*K2371</f>
        <v/>
      </c>
      <c r="M2371" s="6">
        <f>K2371*4</f>
        <v/>
      </c>
      <c r="N2371" s="6" t="n">
        <v>499</v>
      </c>
    </row>
    <row r="2372">
      <c r="A2372" s="1" t="inlineStr">
        <is>
          <t>63e0c58da8cda</t>
        </is>
      </c>
      <c r="B2372" s="1" t="inlineStr">
        <is>
          <t>PULSERA LOVE DELGADA ROSE GOLD</t>
        </is>
      </c>
      <c r="C2372" s="1" t="inlineStr">
        <is>
          <t>17cm</t>
        </is>
      </c>
      <c r="D2372" s="1" t="inlineStr">
        <is>
          <t>16/06/2026</t>
        </is>
      </c>
      <c r="E2372" s="1" t="n">
        <v>2026</v>
      </c>
      <c r="F2372" s="1" t="inlineStr">
        <is>
          <t>JUNIO</t>
        </is>
      </c>
      <c r="G2372" s="1" t="inlineStr">
        <is>
          <t>HAIFENG</t>
        </is>
      </c>
      <c r="H2372" s="1" t="inlineStr">
        <is>
          <t>HAIFENG 16/06/2026</t>
        </is>
      </c>
      <c r="I2372" s="4" t="n">
        <v>5</v>
      </c>
      <c r="J2372" s="6" t="n">
        <v>5</v>
      </c>
      <c r="K2372" s="6" t="n">
        <v>105.0730323</v>
      </c>
      <c r="L2372" s="6">
        <f>I2372*K2372</f>
        <v/>
      </c>
      <c r="M2372" s="6">
        <f>K2372*4</f>
        <v/>
      </c>
      <c r="N2372" s="6" t="n">
        <v>499</v>
      </c>
    </row>
    <row r="2373">
      <c r="A2373" s="1" t="inlineStr">
        <is>
          <t>63e0c58e84d6e</t>
        </is>
      </c>
      <c r="B2373" s="1" t="inlineStr">
        <is>
          <t>PULSERA LOVE DELGADA ROSE GOLD</t>
        </is>
      </c>
      <c r="C2373" s="1" t="inlineStr">
        <is>
          <t>18 cm</t>
        </is>
      </c>
      <c r="D2373" s="1" t="inlineStr">
        <is>
          <t>11/11/2025</t>
        </is>
      </c>
      <c r="E2373" s="1" t="n">
        <v>2025</v>
      </c>
      <c r="F2373" s="1" t="inlineStr">
        <is>
          <t>NOVIEMBRE</t>
        </is>
      </c>
      <c r="G2373" s="1" t="inlineStr">
        <is>
          <t>HAIFENG</t>
        </is>
      </c>
      <c r="H2373" s="1" t="inlineStr">
        <is>
          <t>HAIFENG 11/11/2025</t>
        </is>
      </c>
      <c r="I2373" s="4" t="n">
        <v>1</v>
      </c>
      <c r="J2373" s="6" t="n">
        <v>5</v>
      </c>
      <c r="K2373" s="6" t="n">
        <v>105.3024922</v>
      </c>
      <c r="L2373" s="6">
        <f>I2373*K2373</f>
        <v/>
      </c>
      <c r="M2373" s="6">
        <f>K2373*4</f>
        <v/>
      </c>
      <c r="N2373" s="6" t="n">
        <v>499</v>
      </c>
    </row>
    <row r="2374">
      <c r="A2374" s="1" t="inlineStr">
        <is>
          <t>63e0c58e84d6e</t>
        </is>
      </c>
      <c r="B2374" s="1" t="inlineStr">
        <is>
          <t>PULSERA LOVE DELGADA ROSE GOLD</t>
        </is>
      </c>
      <c r="C2374" s="1" t="inlineStr">
        <is>
          <t>18 cm</t>
        </is>
      </c>
      <c r="D2374" s="1" t="inlineStr">
        <is>
          <t>03/12/2025</t>
        </is>
      </c>
      <c r="E2374" s="1" t="n">
        <v>2025</v>
      </c>
      <c r="F2374" s="1" t="inlineStr">
        <is>
          <t>DICIEMBRE</t>
        </is>
      </c>
      <c r="G2374" s="1" t="inlineStr">
        <is>
          <t>HAIFENG</t>
        </is>
      </c>
      <c r="H2374" s="1" t="inlineStr">
        <is>
          <t>HAIFENG 03/12/2025</t>
        </is>
      </c>
      <c r="I2374" s="4" t="n">
        <v>3</v>
      </c>
      <c r="J2374" s="6" t="n">
        <v>4.5</v>
      </c>
      <c r="K2374" s="6" t="n">
        <v>94.12722005000001</v>
      </c>
      <c r="L2374" s="6">
        <f>I2374*K2374</f>
        <v/>
      </c>
      <c r="M2374" s="6">
        <f>K2374*4</f>
        <v/>
      </c>
      <c r="N2374" s="6" t="n">
        <v>499</v>
      </c>
    </row>
    <row r="2375">
      <c r="A2375" s="1" t="inlineStr">
        <is>
          <t>63e0c58e84d6e</t>
        </is>
      </c>
      <c r="B2375" s="1" t="inlineStr">
        <is>
          <t>PULSERA LOVE DELGADA ROSE GOLD (THIN)</t>
        </is>
      </c>
      <c r="C2375" s="1" t="inlineStr">
        <is>
          <t>18 cm</t>
        </is>
      </c>
      <c r="D2375" s="1" t="inlineStr">
        <is>
          <t>16/04/2026</t>
        </is>
      </c>
      <c r="E2375" s="1" t="n">
        <v>2026</v>
      </c>
      <c r="F2375" s="1" t="inlineStr">
        <is>
          <t>ABRIL</t>
        </is>
      </c>
      <c r="G2375" s="1" t="inlineStr">
        <is>
          <t>HAIFENG</t>
        </is>
      </c>
      <c r="H2375" s="1" t="inlineStr">
        <is>
          <t>HAIFENG 16/04/2026</t>
        </is>
      </c>
      <c r="I2375" s="4" t="n">
        <v>5</v>
      </c>
      <c r="J2375" s="6" t="n">
        <v>4.5</v>
      </c>
      <c r="K2375" s="6" t="n">
        <v>94.64163114999999</v>
      </c>
      <c r="L2375" s="6">
        <f>I2375*K2375</f>
        <v/>
      </c>
      <c r="M2375" s="6">
        <f>K2375*4</f>
        <v/>
      </c>
      <c r="N2375" s="6" t="n">
        <v>499</v>
      </c>
    </row>
    <row r="2376">
      <c r="A2376" s="1" t="inlineStr">
        <is>
          <t>63e0c58e84d6e</t>
        </is>
      </c>
      <c r="B2376" s="1" t="inlineStr">
        <is>
          <t>PULSERA LOVE DELGADA ROSE GOLD</t>
        </is>
      </c>
      <c r="C2376" s="1" t="inlineStr">
        <is>
          <t>18 cm</t>
        </is>
      </c>
      <c r="D2376" s="1" t="inlineStr">
        <is>
          <t>26/05/2026</t>
        </is>
      </c>
      <c r="E2376" s="1" t="n">
        <v>2026</v>
      </c>
      <c r="F2376" s="1" t="inlineStr">
        <is>
          <t>MAYO</t>
        </is>
      </c>
      <c r="G2376" s="1" t="inlineStr">
        <is>
          <t>HAIFENG</t>
        </is>
      </c>
      <c r="H2376" s="1" t="inlineStr">
        <is>
          <t>HAIFENG 26/05/2026</t>
        </is>
      </c>
      <c r="I2376" s="4" t="n">
        <v>2</v>
      </c>
      <c r="J2376" s="6" t="n">
        <v>5</v>
      </c>
      <c r="K2376" s="6" t="n">
        <v>104.9464765</v>
      </c>
      <c r="L2376" s="6">
        <f>I2376*K2376</f>
        <v/>
      </c>
      <c r="M2376" s="6">
        <f>K2376*4</f>
        <v/>
      </c>
      <c r="N2376" s="6" t="n">
        <v>499</v>
      </c>
    </row>
    <row r="2377">
      <c r="A2377" s="1" t="inlineStr">
        <is>
          <t>63e0c58f999f5</t>
        </is>
      </c>
      <c r="B2377" s="1" t="inlineStr">
        <is>
          <t>PULSERA LOVE DELGADA ROSE GOLD</t>
        </is>
      </c>
      <c r="C2377" s="1" t="inlineStr">
        <is>
          <t>19 cm</t>
        </is>
      </c>
      <c r="D2377" s="1" t="inlineStr">
        <is>
          <t>11/11/2025</t>
        </is>
      </c>
      <c r="E2377" s="1" t="n">
        <v>2025</v>
      </c>
      <c r="F2377" s="1" t="inlineStr">
        <is>
          <t>NOVIEMBRE</t>
        </is>
      </c>
      <c r="G2377" s="1" t="inlineStr">
        <is>
          <t>HAIFENG</t>
        </is>
      </c>
      <c r="H2377" s="1" t="inlineStr">
        <is>
          <t>HAIFENG 11/11/2025</t>
        </is>
      </c>
      <c r="I2377" s="4" t="n">
        <v>2</v>
      </c>
      <c r="J2377" s="6" t="n">
        <v>5</v>
      </c>
      <c r="K2377" s="6" t="n">
        <v>105.3024922</v>
      </c>
      <c r="L2377" s="6">
        <f>I2377*K2377</f>
        <v/>
      </c>
      <c r="M2377" s="6">
        <f>K2377*4</f>
        <v/>
      </c>
      <c r="N2377" s="6" t="n">
        <v>499</v>
      </c>
    </row>
    <row r="2378">
      <c r="A2378" s="1" t="inlineStr">
        <is>
          <t>63e0c59590d66</t>
        </is>
      </c>
      <c r="B2378" s="1" t="inlineStr">
        <is>
          <t>PULSERA LOVE ROSE GOLD</t>
        </is>
      </c>
      <c r="C2378" s="1" t="inlineStr">
        <is>
          <t>16 cm</t>
        </is>
      </c>
      <c r="D2378" s="1" t="inlineStr">
        <is>
          <t>25/09/2025</t>
        </is>
      </c>
      <c r="E2378" s="1" t="n">
        <v>2025</v>
      </c>
      <c r="F2378" s="1" t="inlineStr">
        <is>
          <t>SEPTIEMBRE</t>
        </is>
      </c>
      <c r="G2378" s="1" t="inlineStr">
        <is>
          <t>HAIFENG</t>
        </is>
      </c>
      <c r="H2378" s="1" t="inlineStr">
        <is>
          <t>HAIFENG 25/09/2025</t>
        </is>
      </c>
      <c r="I2378" s="4" t="n">
        <v>13</v>
      </c>
      <c r="J2378" s="6" t="n">
        <v>5</v>
      </c>
      <c r="K2378" s="6" t="n">
        <v>105.4844288</v>
      </c>
      <c r="L2378" s="6">
        <f>I2378*K2378</f>
        <v/>
      </c>
      <c r="M2378" s="6">
        <f>K2378*4</f>
        <v/>
      </c>
      <c r="N2378" s="6" t="n">
        <v>499</v>
      </c>
    </row>
    <row r="2379">
      <c r="A2379" s="1" t="inlineStr">
        <is>
          <t>63e0c59590d66</t>
        </is>
      </c>
      <c r="B2379" s="1" t="inlineStr">
        <is>
          <t>PULSERA LOVE ROSE GOLD</t>
        </is>
      </c>
      <c r="C2379" s="1" t="inlineStr">
        <is>
          <t>16 cm</t>
        </is>
      </c>
      <c r="D2379" s="1" t="inlineStr">
        <is>
          <t>11/11/2025</t>
        </is>
      </c>
      <c r="E2379" s="1" t="n">
        <v>2025</v>
      </c>
      <c r="F2379" s="1" t="inlineStr">
        <is>
          <t>NOVIEMBRE</t>
        </is>
      </c>
      <c r="G2379" s="1" t="inlineStr">
        <is>
          <t>HAIFENG</t>
        </is>
      </c>
      <c r="H2379" s="1" t="inlineStr">
        <is>
          <t>HAIFENG 11/11/2025</t>
        </is>
      </c>
      <c r="I2379" s="4" t="n">
        <v>2</v>
      </c>
      <c r="J2379" s="6" t="n">
        <v>5</v>
      </c>
      <c r="K2379" s="6" t="n">
        <v>105.3024922</v>
      </c>
      <c r="L2379" s="6">
        <f>I2379*K2379</f>
        <v/>
      </c>
      <c r="M2379" s="6">
        <f>K2379*4</f>
        <v/>
      </c>
      <c r="N2379" s="6" t="n">
        <v>499</v>
      </c>
    </row>
    <row r="2380">
      <c r="A2380" s="1" t="inlineStr">
        <is>
          <t>63e0c59590d66</t>
        </is>
      </c>
      <c r="B2380" s="1" t="inlineStr">
        <is>
          <t>PULSERA LOVE ROSE GOLD</t>
        </is>
      </c>
      <c r="C2380" s="1" t="inlineStr">
        <is>
          <t>16 cm</t>
        </is>
      </c>
      <c r="D2380" s="1" t="inlineStr">
        <is>
          <t>20/01/2026</t>
        </is>
      </c>
      <c r="E2380" s="1" t="n">
        <v>2026</v>
      </c>
      <c r="F2380" s="1" t="inlineStr">
        <is>
          <t>ENERO</t>
        </is>
      </c>
      <c r="G2380" s="1" t="inlineStr">
        <is>
          <t>HAIFENG</t>
        </is>
      </c>
      <c r="H2380" s="1" t="inlineStr">
        <is>
          <t>HAIFENG 20/01/2026</t>
        </is>
      </c>
      <c r="I2380" s="4" t="n">
        <v>5</v>
      </c>
      <c r="J2380" s="6" t="n">
        <v>4.5</v>
      </c>
      <c r="K2380" s="6" t="n">
        <v>95.40188006</v>
      </c>
      <c r="L2380" s="6">
        <f>I2380*K2380</f>
        <v/>
      </c>
      <c r="M2380" s="6">
        <f>K2380*4</f>
        <v/>
      </c>
      <c r="N2380" s="6" t="n">
        <v>499</v>
      </c>
    </row>
    <row r="2381">
      <c r="A2381" s="1" t="inlineStr">
        <is>
          <t>63e0c59590d66</t>
        </is>
      </c>
      <c r="B2381" s="1" t="inlineStr">
        <is>
          <t>PULSERA LOVE ROSE GOLD</t>
        </is>
      </c>
      <c r="C2381" s="1" t="inlineStr">
        <is>
          <t>16 cm</t>
        </is>
      </c>
      <c r="D2381" s="1" t="inlineStr">
        <is>
          <t>16/06/2026</t>
        </is>
      </c>
      <c r="E2381" s="1" t="n">
        <v>2026</v>
      </c>
      <c r="F2381" s="1" t="inlineStr">
        <is>
          <t>JUNIO</t>
        </is>
      </c>
      <c r="G2381" s="1" t="inlineStr">
        <is>
          <t>HAIFENG</t>
        </is>
      </c>
      <c r="H2381" s="1" t="inlineStr">
        <is>
          <t>HAIFENG 16/06/2026</t>
        </is>
      </c>
      <c r="I2381" s="4" t="n">
        <v>5</v>
      </c>
      <c r="J2381" s="6" t="n">
        <v>4.5</v>
      </c>
      <c r="K2381" s="6" t="n">
        <v>94.56572907</v>
      </c>
      <c r="L2381" s="6">
        <f>I2381*K2381</f>
        <v/>
      </c>
      <c r="M2381" s="6">
        <f>K2381*4</f>
        <v/>
      </c>
      <c r="N2381" s="6" t="n">
        <v>499</v>
      </c>
    </row>
    <row r="2382">
      <c r="A2382" s="1" t="inlineStr">
        <is>
          <t>63e0c596835bb</t>
        </is>
      </c>
      <c r="B2382" s="1" t="inlineStr">
        <is>
          <t>PULSERA LOVE ROSE GOLD</t>
        </is>
      </c>
      <c r="C2382" s="1" t="inlineStr">
        <is>
          <t>17 cm</t>
        </is>
      </c>
      <c r="D2382" s="1" t="inlineStr">
        <is>
          <t>16/06/2026</t>
        </is>
      </c>
      <c r="E2382" s="1" t="n">
        <v>2026</v>
      </c>
      <c r="F2382" s="1" t="inlineStr">
        <is>
          <t>JUNIO</t>
        </is>
      </c>
      <c r="G2382" s="1" t="inlineStr">
        <is>
          <t>HAIFENG</t>
        </is>
      </c>
      <c r="H2382" s="1" t="inlineStr">
        <is>
          <t>HAIFENG 16/06/2026</t>
        </is>
      </c>
      <c r="I2382" s="4" t="n">
        <v>5</v>
      </c>
      <c r="J2382" s="6" t="n">
        <v>4.5</v>
      </c>
      <c r="K2382" s="6" t="n">
        <v>94.56572907</v>
      </c>
      <c r="L2382" s="6">
        <f>I2382*K2382</f>
        <v/>
      </c>
      <c r="M2382" s="6">
        <f>K2382*4</f>
        <v/>
      </c>
      <c r="N2382" s="6" t="n">
        <v>499</v>
      </c>
    </row>
    <row r="2383">
      <c r="A2383" s="1" t="inlineStr">
        <is>
          <t>63e0c59aab12a</t>
        </is>
      </c>
      <c r="B2383" s="1" t="inlineStr">
        <is>
          <t>PULSERA LOVE ROSE GOLD</t>
        </is>
      </c>
      <c r="C2383" s="1" t="inlineStr">
        <is>
          <t>21 cm</t>
        </is>
      </c>
      <c r="D2383" s="1" t="inlineStr">
        <is>
          <t>03/12/2025</t>
        </is>
      </c>
      <c r="E2383" s="1" t="n">
        <v>2025</v>
      </c>
      <c r="F2383" s="1" t="inlineStr">
        <is>
          <t>DICIEMBRE</t>
        </is>
      </c>
      <c r="G2383" s="1" t="inlineStr">
        <is>
          <t>HAIFENG</t>
        </is>
      </c>
      <c r="H2383" s="1" t="inlineStr">
        <is>
          <t>HAIFENG 03/12/2025</t>
        </is>
      </c>
      <c r="I2383" s="4" t="n">
        <v>2</v>
      </c>
      <c r="J2383" s="6" t="n">
        <v>4.5</v>
      </c>
      <c r="K2383" s="6" t="n">
        <v>94.12722005000001</v>
      </c>
      <c r="L2383" s="6">
        <f>I2383*K2383</f>
        <v/>
      </c>
      <c r="M2383" s="6">
        <f>K2383*4</f>
        <v/>
      </c>
      <c r="N2383" s="6" t="n">
        <v>499</v>
      </c>
    </row>
    <row r="2384">
      <c r="A2384" s="1" t="inlineStr">
        <is>
          <t>63e0c59aab12a</t>
        </is>
      </c>
      <c r="B2384" s="1" t="inlineStr">
        <is>
          <t>PULSERA LOVE ROSE GOLD</t>
        </is>
      </c>
      <c r="C2384" s="1" t="inlineStr">
        <is>
          <t>21 cm</t>
        </is>
      </c>
      <c r="D2384" s="1" t="inlineStr">
        <is>
          <t>26/05/2026</t>
        </is>
      </c>
      <c r="E2384" s="1" t="n">
        <v>2026</v>
      </c>
      <c r="F2384" s="1" t="inlineStr">
        <is>
          <t>MAYO</t>
        </is>
      </c>
      <c r="G2384" s="1" t="inlineStr">
        <is>
          <t>HAIFENG</t>
        </is>
      </c>
      <c r="H2384" s="1" t="inlineStr">
        <is>
          <t>HAIFENG 26/05/2026</t>
        </is>
      </c>
      <c r="I2384" s="4" t="n">
        <v>1</v>
      </c>
      <c r="J2384" s="6" t="n">
        <v>4.5</v>
      </c>
      <c r="K2384" s="6" t="n">
        <v>94.45182883</v>
      </c>
      <c r="L2384" s="6">
        <f>I2384*K2384</f>
        <v/>
      </c>
      <c r="M2384" s="6">
        <f>K2384*4</f>
        <v/>
      </c>
      <c r="N2384" s="6" t="n">
        <v>499</v>
      </c>
    </row>
    <row r="2385">
      <c r="A2385" s="1" t="inlineStr">
        <is>
          <t>63e0c59aab12a</t>
        </is>
      </c>
      <c r="B2385" s="1" t="inlineStr">
        <is>
          <t>PULSERA LOVE ROSE GOLD</t>
        </is>
      </c>
      <c r="C2385" s="1" t="inlineStr">
        <is>
          <t>21 cm</t>
        </is>
      </c>
      <c r="D2385" s="1" t="inlineStr">
        <is>
          <t>16/06/2026</t>
        </is>
      </c>
      <c r="E2385" s="1" t="n">
        <v>2026</v>
      </c>
      <c r="F2385" s="1" t="inlineStr">
        <is>
          <t>JUNIO</t>
        </is>
      </c>
      <c r="G2385" s="1" t="inlineStr">
        <is>
          <t>HAIFENG</t>
        </is>
      </c>
      <c r="H2385" s="1" t="inlineStr">
        <is>
          <t>HAIFENG 16/06/2026</t>
        </is>
      </c>
      <c r="I2385" s="4" t="n">
        <v>1</v>
      </c>
      <c r="J2385" s="6" t="n">
        <v>4.5</v>
      </c>
      <c r="K2385" s="6" t="n">
        <v>94.56572907</v>
      </c>
      <c r="L2385" s="6">
        <f>I2385*K2385</f>
        <v/>
      </c>
      <c r="M2385" s="6">
        <f>K2385*4</f>
        <v/>
      </c>
      <c r="N2385" s="6" t="n">
        <v>499</v>
      </c>
    </row>
    <row r="2386">
      <c r="A2386" s="1" t="inlineStr">
        <is>
          <t>63e0c5f8a96a2</t>
        </is>
      </c>
      <c r="B2386" s="1" t="inlineStr">
        <is>
          <t>PULSERA TRÉBOL ROSEGOLD BLACK VF</t>
        </is>
      </c>
      <c r="C2386" s="1" t="inlineStr">
        <is>
          <t>18cm</t>
        </is>
      </c>
      <c r="D2386" s="1" t="inlineStr">
        <is>
          <t>01/09/2025</t>
        </is>
      </c>
      <c r="E2386" s="1" t="n">
        <v>2025</v>
      </c>
      <c r="F2386" s="1" t="inlineStr">
        <is>
          <t>SEPTIEMBRE</t>
        </is>
      </c>
      <c r="G2386" s="1" t="inlineStr">
        <is>
          <t>HAIFENG</t>
        </is>
      </c>
      <c r="H2386" s="1" t="inlineStr">
        <is>
          <t>HAIFENG 01/09/2025</t>
        </is>
      </c>
      <c r="I2386" s="4" t="n">
        <v>3</v>
      </c>
      <c r="J2386" s="6" t="n">
        <v>22</v>
      </c>
      <c r="K2386" s="6" t="n">
        <v>467.6247634</v>
      </c>
      <c r="L2386" s="6">
        <f>I2386*K2386</f>
        <v/>
      </c>
      <c r="M2386" s="6">
        <f>K2386*4</f>
        <v/>
      </c>
      <c r="N2386" s="6" t="n">
        <v>900</v>
      </c>
    </row>
    <row r="2387">
      <c r="A2387" s="1" t="inlineStr">
        <is>
          <t>63e0c5f8a96a2</t>
        </is>
      </c>
      <c r="B2387" s="1" t="inlineStr">
        <is>
          <t>PULSERA TREBOL ROSEGOLD BLACK VF</t>
        </is>
      </c>
      <c r="C2387" s="1" t="inlineStr">
        <is>
          <t>18cm</t>
        </is>
      </c>
      <c r="D2387" s="1" t="inlineStr">
        <is>
          <t>11/11/2025</t>
        </is>
      </c>
      <c r="E2387" s="1" t="n">
        <v>2025</v>
      </c>
      <c r="F2387" s="1" t="inlineStr">
        <is>
          <t>NOVIEMBRE</t>
        </is>
      </c>
      <c r="G2387" s="1" t="inlineStr">
        <is>
          <t>HAIFENG</t>
        </is>
      </c>
      <c r="H2387" s="1" t="inlineStr">
        <is>
          <t>HAIFENG 11/11/2025</t>
        </is>
      </c>
      <c r="I2387" s="4" t="n">
        <v>3</v>
      </c>
      <c r="J2387" s="6" t="n">
        <v>25</v>
      </c>
      <c r="K2387" s="6" t="n">
        <v>526.5124611</v>
      </c>
      <c r="L2387" s="6">
        <f>I2387*K2387</f>
        <v/>
      </c>
      <c r="M2387" s="6">
        <f>K2387*4</f>
        <v/>
      </c>
      <c r="N2387" s="6" t="n">
        <v>900</v>
      </c>
    </row>
    <row r="2388">
      <c r="A2388" s="1" t="inlineStr">
        <is>
          <t>63e0c5f8a96a2</t>
        </is>
      </c>
      <c r="B2388" s="1" t="inlineStr">
        <is>
          <t>PULSERA TRÉBOL ROSEGOLD BLACK VF</t>
        </is>
      </c>
      <c r="C2388" s="1" t="inlineStr">
        <is>
          <t>18cm</t>
        </is>
      </c>
      <c r="D2388" s="1" t="inlineStr">
        <is>
          <t>26/05/2026</t>
        </is>
      </c>
      <c r="E2388" s="1" t="n">
        <v>2026</v>
      </c>
      <c r="F2388" s="1" t="inlineStr">
        <is>
          <t>MAYO</t>
        </is>
      </c>
      <c r="G2388" s="1" t="inlineStr">
        <is>
          <t>HAIFENG</t>
        </is>
      </c>
      <c r="H2388" s="1" t="inlineStr">
        <is>
          <t>HAIFENG 26/05/2026</t>
        </is>
      </c>
      <c r="I2388" s="4" t="n">
        <v>2</v>
      </c>
      <c r="J2388" s="6" t="n">
        <v>7</v>
      </c>
      <c r="K2388" s="6" t="n">
        <v>146.9250671</v>
      </c>
      <c r="L2388" s="6">
        <f>I2388*K2388</f>
        <v/>
      </c>
      <c r="M2388" s="6">
        <f>K2388*4</f>
        <v/>
      </c>
      <c r="N2388" s="6" t="n">
        <v>900</v>
      </c>
    </row>
    <row r="2389">
      <c r="A2389" s="1" t="inlineStr">
        <is>
          <t>63ebd3f136b3c</t>
        </is>
      </c>
      <c r="B2389" s="1" t="inlineStr">
        <is>
          <t>ANILLO CLASH SILVER</t>
        </is>
      </c>
      <c r="C2389" s="1" t="inlineStr">
        <is>
          <t>5</t>
        </is>
      </c>
      <c r="D2389" s="1" t="inlineStr">
        <is>
          <t>01/09/2025</t>
        </is>
      </c>
      <c r="E2389" s="1" t="n">
        <v>2025</v>
      </c>
      <c r="F2389" s="1" t="inlineStr">
        <is>
          <t>SEPTIEMBRE</t>
        </is>
      </c>
      <c r="G2389" s="1" t="inlineStr">
        <is>
          <t>HAIFENG</t>
        </is>
      </c>
      <c r="H2389" s="1" t="inlineStr">
        <is>
          <t>HAIFENG 01/09/2025</t>
        </is>
      </c>
      <c r="I2389" s="4" t="n">
        <v>2</v>
      </c>
      <c r="J2389" s="6" t="n">
        <v>10</v>
      </c>
      <c r="K2389" s="6" t="n">
        <v>212.5567106</v>
      </c>
      <c r="L2389" s="6">
        <f>I2389*K2389</f>
        <v/>
      </c>
      <c r="M2389" s="6">
        <f>K2389*4</f>
        <v/>
      </c>
      <c r="N2389" s="6" t="n">
        <v>850</v>
      </c>
    </row>
    <row r="2390">
      <c r="A2390" s="1" t="inlineStr">
        <is>
          <t>63ebd3f2335dc</t>
        </is>
      </c>
      <c r="B2390" s="1" t="inlineStr">
        <is>
          <t>ANILLO CLASH SILVER</t>
        </is>
      </c>
      <c r="C2390" s="1" t="inlineStr">
        <is>
          <t>6</t>
        </is>
      </c>
      <c r="D2390" s="1" t="inlineStr">
        <is>
          <t>03/12/2025</t>
        </is>
      </c>
      <c r="E2390" s="1" t="n">
        <v>2025</v>
      </c>
      <c r="F2390" s="1" t="inlineStr">
        <is>
          <t>DICIEMBRE</t>
        </is>
      </c>
      <c r="G2390" s="1" t="inlineStr">
        <is>
          <t>HAIFENG</t>
        </is>
      </c>
      <c r="H2390" s="1" t="inlineStr">
        <is>
          <t>HAIFENG 03/12/2025</t>
        </is>
      </c>
      <c r="I2390" s="4" t="n">
        <v>3</v>
      </c>
      <c r="J2390" s="6" t="n">
        <v>10</v>
      </c>
      <c r="K2390" s="6" t="n">
        <v>209.1716001</v>
      </c>
      <c r="L2390" s="6">
        <f>I2390*K2390</f>
        <v/>
      </c>
      <c r="M2390" s="6">
        <f>K2390*4</f>
        <v/>
      </c>
      <c r="N2390" s="6" t="n">
        <v>850</v>
      </c>
    </row>
    <row r="2391">
      <c r="A2391" s="1" t="inlineStr">
        <is>
          <t>63ebd3f2335dc</t>
        </is>
      </c>
      <c r="B2391" s="1" t="inlineStr">
        <is>
          <t>ANILLO CLASH SILVER</t>
        </is>
      </c>
      <c r="C2391" s="1" t="inlineStr">
        <is>
          <t>6</t>
        </is>
      </c>
      <c r="D2391" s="1" t="inlineStr">
        <is>
          <t>26/05/2026</t>
        </is>
      </c>
      <c r="E2391" s="1" t="n">
        <v>2026</v>
      </c>
      <c r="F2391" s="1" t="inlineStr">
        <is>
          <t>MAYO</t>
        </is>
      </c>
      <c r="G2391" s="1" t="inlineStr">
        <is>
          <t>HAIFENG</t>
        </is>
      </c>
      <c r="H2391" s="1" t="inlineStr">
        <is>
          <t>HAIFENG 26/05/2026</t>
        </is>
      </c>
      <c r="I2391" s="4" t="n">
        <v>4</v>
      </c>
      <c r="J2391" s="6" t="n">
        <v>10</v>
      </c>
      <c r="K2391" s="6" t="n">
        <v>209.892953</v>
      </c>
      <c r="L2391" s="6">
        <f>I2391*K2391</f>
        <v/>
      </c>
      <c r="M2391" s="6">
        <f>K2391*4</f>
        <v/>
      </c>
      <c r="N2391" s="6" t="n">
        <v>850</v>
      </c>
    </row>
    <row r="2392">
      <c r="A2392" s="1" t="inlineStr">
        <is>
          <t>63ebd3f32bfc9</t>
        </is>
      </c>
      <c r="B2392" s="1" t="inlineStr">
        <is>
          <t>ANILLO CLASH SILVER</t>
        </is>
      </c>
      <c r="C2392" s="1" t="inlineStr">
        <is>
          <t>7</t>
        </is>
      </c>
      <c r="D2392" s="1" t="inlineStr">
        <is>
          <t>01/09/2025</t>
        </is>
      </c>
      <c r="E2392" s="1" t="n">
        <v>2025</v>
      </c>
      <c r="F2392" s="1" t="inlineStr">
        <is>
          <t>SEPTIEMBRE</t>
        </is>
      </c>
      <c r="G2392" s="1" t="inlineStr">
        <is>
          <t>HAIFENG</t>
        </is>
      </c>
      <c r="H2392" s="1" t="inlineStr">
        <is>
          <t>HAIFENG 01/09/2025</t>
        </is>
      </c>
      <c r="I2392" s="4" t="n">
        <v>2</v>
      </c>
      <c r="J2392" s="6" t="n">
        <v>10</v>
      </c>
      <c r="K2392" s="6" t="n">
        <v>212.5567106</v>
      </c>
      <c r="L2392" s="6">
        <f>I2392*K2392</f>
        <v/>
      </c>
      <c r="M2392" s="6">
        <f>K2392*4</f>
        <v/>
      </c>
      <c r="N2392" s="6" t="n">
        <v>850</v>
      </c>
    </row>
    <row r="2393">
      <c r="A2393" s="1" t="inlineStr">
        <is>
          <t>63ebd3f32bfc9</t>
        </is>
      </c>
      <c r="B2393" s="1" t="inlineStr">
        <is>
          <t>ANILLO CLASH SILVER</t>
        </is>
      </c>
      <c r="C2393" s="1" t="inlineStr">
        <is>
          <t>7</t>
        </is>
      </c>
      <c r="D2393" s="1" t="inlineStr">
        <is>
          <t>16/04/2026</t>
        </is>
      </c>
      <c r="E2393" s="1" t="n">
        <v>2026</v>
      </c>
      <c r="F2393" s="1" t="inlineStr">
        <is>
          <t>ABRIL</t>
        </is>
      </c>
      <c r="G2393" s="1" t="inlineStr">
        <is>
          <t>HAIFENG</t>
        </is>
      </c>
      <c r="H2393" s="1" t="inlineStr">
        <is>
          <t>HAIFENG 16/04/2026</t>
        </is>
      </c>
      <c r="I2393" s="4" t="n">
        <v>2</v>
      </c>
      <c r="J2393" s="6" t="n">
        <v>10</v>
      </c>
      <c r="K2393" s="6" t="n">
        <v>210.3147359</v>
      </c>
      <c r="L2393" s="6">
        <f>I2393*K2393</f>
        <v/>
      </c>
      <c r="M2393" s="6">
        <f>K2393*4</f>
        <v/>
      </c>
      <c r="N2393" s="6" t="n">
        <v>850</v>
      </c>
    </row>
    <row r="2394">
      <c r="A2394" s="1" t="inlineStr">
        <is>
          <t>63ebd3f42d4db</t>
        </is>
      </c>
      <c r="B2394" s="1" t="inlineStr">
        <is>
          <t>ANILLO CLASH SILVER</t>
        </is>
      </c>
      <c r="C2394" s="1" t="inlineStr">
        <is>
          <t>8</t>
        </is>
      </c>
      <c r="D2394" s="1" t="inlineStr">
        <is>
          <t>01/09/2025</t>
        </is>
      </c>
      <c r="E2394" s="1" t="n">
        <v>2025</v>
      </c>
      <c r="F2394" s="1" t="inlineStr">
        <is>
          <t>SEPTIEMBRE</t>
        </is>
      </c>
      <c r="G2394" s="1" t="inlineStr">
        <is>
          <t>HAIFENG</t>
        </is>
      </c>
      <c r="H2394" s="1" t="inlineStr">
        <is>
          <t>HAIFENG 01/09/2025</t>
        </is>
      </c>
      <c r="I2394" s="4" t="n">
        <v>3</v>
      </c>
      <c r="J2394" s="6" t="n">
        <v>10</v>
      </c>
      <c r="K2394" s="6" t="n">
        <v>212.5567106</v>
      </c>
      <c r="L2394" s="6">
        <f>I2394*K2394</f>
        <v/>
      </c>
      <c r="M2394" s="6">
        <f>K2394*4</f>
        <v/>
      </c>
      <c r="N2394" s="6" t="n">
        <v>850</v>
      </c>
    </row>
    <row r="2395">
      <c r="A2395" s="1" t="inlineStr">
        <is>
          <t>63ebd3f42d4db</t>
        </is>
      </c>
      <c r="B2395" s="1" t="inlineStr">
        <is>
          <t>ANILLO CLASH SILVER</t>
        </is>
      </c>
      <c r="C2395" s="1" t="inlineStr">
        <is>
          <t>8</t>
        </is>
      </c>
      <c r="D2395" s="1" t="inlineStr">
        <is>
          <t>03/12/2025</t>
        </is>
      </c>
      <c r="E2395" s="1" t="n">
        <v>2025</v>
      </c>
      <c r="F2395" s="1" t="inlineStr">
        <is>
          <t>DICIEMBRE</t>
        </is>
      </c>
      <c r="G2395" s="1" t="inlineStr">
        <is>
          <t>HAIFENG</t>
        </is>
      </c>
      <c r="H2395" s="1" t="inlineStr">
        <is>
          <t>HAIFENG 03/12/2025</t>
        </is>
      </c>
      <c r="I2395" s="4" t="n">
        <v>1</v>
      </c>
      <c r="J2395" s="6" t="n">
        <v>10</v>
      </c>
      <c r="K2395" s="6" t="n">
        <v>209.1716001</v>
      </c>
      <c r="L2395" s="6">
        <f>I2395*K2395</f>
        <v/>
      </c>
      <c r="M2395" s="6">
        <f>K2395*4</f>
        <v/>
      </c>
      <c r="N2395" s="6" t="n">
        <v>850</v>
      </c>
    </row>
    <row r="2396">
      <c r="A2396" s="1" t="inlineStr">
        <is>
          <t>63ebd3f42d4db</t>
        </is>
      </c>
      <c r="B2396" s="1" t="inlineStr">
        <is>
          <t>ANILLO CLASH SILVER</t>
        </is>
      </c>
      <c r="C2396" s="1" t="inlineStr">
        <is>
          <t>8</t>
        </is>
      </c>
      <c r="D2396" s="1" t="inlineStr">
        <is>
          <t>20/01/2026</t>
        </is>
      </c>
      <c r="E2396" s="1" t="n">
        <v>2026</v>
      </c>
      <c r="F2396" s="1" t="inlineStr">
        <is>
          <t>ENERO</t>
        </is>
      </c>
      <c r="G2396" s="1" t="inlineStr">
        <is>
          <t>HAIFENG</t>
        </is>
      </c>
      <c r="H2396" s="1" t="inlineStr">
        <is>
          <t>HAIFENG 20/01/2026</t>
        </is>
      </c>
      <c r="I2396" s="4" t="n">
        <v>2</v>
      </c>
      <c r="J2396" s="6" t="n">
        <v>10</v>
      </c>
      <c r="K2396" s="6" t="n">
        <v>212.0041779</v>
      </c>
      <c r="L2396" s="6">
        <f>I2396*K2396</f>
        <v/>
      </c>
      <c r="M2396" s="6">
        <f>K2396*4</f>
        <v/>
      </c>
      <c r="N2396" s="6" t="n">
        <v>850</v>
      </c>
    </row>
    <row r="2397">
      <c r="A2397" s="1" t="inlineStr">
        <is>
          <t>63ebd3f42d4db</t>
        </is>
      </c>
      <c r="B2397" s="1" t="n"/>
      <c r="C2397" s="1" t="inlineStr">
        <is>
          <t>8</t>
        </is>
      </c>
      <c r="D2397" s="1" t="inlineStr">
        <is>
          <t>10/02/2026</t>
        </is>
      </c>
      <c r="E2397" s="1" t="n">
        <v>2026</v>
      </c>
      <c r="F2397" s="1" t="inlineStr">
        <is>
          <t>FEBRERO</t>
        </is>
      </c>
      <c r="G2397" s="1" t="inlineStr">
        <is>
          <t>HAIFENG</t>
        </is>
      </c>
      <c r="H2397" s="1" t="inlineStr">
        <is>
          <t>HAIFENG 10/02/2026</t>
        </is>
      </c>
      <c r="I2397" s="4" t="n">
        <v>1</v>
      </c>
      <c r="J2397" s="6" t="n">
        <v>10</v>
      </c>
      <c r="K2397" s="6" t="n">
        <v>210.6849607</v>
      </c>
      <c r="L2397" s="6">
        <f>I2397*K2397</f>
        <v/>
      </c>
      <c r="M2397" s="6">
        <f>K2397*4</f>
        <v/>
      </c>
      <c r="N2397" s="6" t="n">
        <v>850</v>
      </c>
    </row>
    <row r="2398">
      <c r="A2398" s="1" t="inlineStr">
        <is>
          <t>63ebd3f42d4db</t>
        </is>
      </c>
      <c r="B2398" s="1" t="inlineStr">
        <is>
          <t>ANILLO CLASH SILVER</t>
        </is>
      </c>
      <c r="C2398" s="1" t="inlineStr">
        <is>
          <t>8</t>
        </is>
      </c>
      <c r="D2398" s="1" t="inlineStr">
        <is>
          <t>16/04/2026</t>
        </is>
      </c>
      <c r="E2398" s="1" t="n">
        <v>2026</v>
      </c>
      <c r="F2398" s="1" t="inlineStr">
        <is>
          <t>ABRIL</t>
        </is>
      </c>
      <c r="G2398" s="1" t="inlineStr">
        <is>
          <t>HAIFENG</t>
        </is>
      </c>
      <c r="H2398" s="1" t="inlineStr">
        <is>
          <t>HAIFENG 16/04/2026</t>
        </is>
      </c>
      <c r="I2398" s="4" t="n">
        <v>4</v>
      </c>
      <c r="J2398" s="6" t="n">
        <v>10</v>
      </c>
      <c r="K2398" s="6" t="n">
        <v>210.3147359</v>
      </c>
      <c r="L2398" s="6">
        <f>I2398*K2398</f>
        <v/>
      </c>
      <c r="M2398" s="6">
        <f>K2398*4</f>
        <v/>
      </c>
      <c r="N2398" s="6" t="n">
        <v>850</v>
      </c>
    </row>
    <row r="2399">
      <c r="A2399" s="1" t="inlineStr">
        <is>
          <t>63ebd3f53c553</t>
        </is>
      </c>
      <c r="B2399" s="1" t="inlineStr">
        <is>
          <t>ANILLO CLASH SILVER</t>
        </is>
      </c>
      <c r="C2399" s="1" t="inlineStr">
        <is>
          <t>9</t>
        </is>
      </c>
      <c r="D2399" s="1" t="inlineStr">
        <is>
          <t>11/11/2025</t>
        </is>
      </c>
      <c r="E2399" s="1" t="n">
        <v>2025</v>
      </c>
      <c r="F2399" s="1" t="inlineStr">
        <is>
          <t>NOVIEMBRE</t>
        </is>
      </c>
      <c r="G2399" s="1" t="inlineStr">
        <is>
          <t>HAIFENG</t>
        </is>
      </c>
      <c r="H2399" s="1" t="inlineStr">
        <is>
          <t>HAIFENG 11/11/2025</t>
        </is>
      </c>
      <c r="I2399" s="4" t="n">
        <v>3</v>
      </c>
      <c r="J2399" s="6" t="n">
        <v>10</v>
      </c>
      <c r="K2399" s="6" t="n">
        <v>210.6049844</v>
      </c>
      <c r="L2399" s="6">
        <f>I2399*K2399</f>
        <v/>
      </c>
      <c r="M2399" s="6">
        <f>K2399*4</f>
        <v/>
      </c>
      <c r="N2399" s="6" t="n">
        <v>850</v>
      </c>
    </row>
    <row r="2400">
      <c r="A2400" s="1" t="inlineStr">
        <is>
          <t>63ebd3f53c553</t>
        </is>
      </c>
      <c r="B2400" s="1" t="inlineStr">
        <is>
          <t>ANILLO CLASH SILVER</t>
        </is>
      </c>
      <c r="C2400" s="1" t="inlineStr">
        <is>
          <t>9</t>
        </is>
      </c>
      <c r="D2400" s="1" t="inlineStr">
        <is>
          <t>03/12/2025</t>
        </is>
      </c>
      <c r="E2400" s="1" t="n">
        <v>2025</v>
      </c>
      <c r="F2400" s="1" t="inlineStr">
        <is>
          <t>DICIEMBRE</t>
        </is>
      </c>
      <c r="G2400" s="1" t="inlineStr">
        <is>
          <t>HAIFENG</t>
        </is>
      </c>
      <c r="H2400" s="1" t="inlineStr">
        <is>
          <t>HAIFENG 03/12/2025</t>
        </is>
      </c>
      <c r="I2400" s="4" t="n">
        <v>2</v>
      </c>
      <c r="J2400" s="6" t="n">
        <v>10</v>
      </c>
      <c r="K2400" s="6" t="n">
        <v>209.1716001</v>
      </c>
      <c r="L2400" s="6">
        <f>I2400*K2400</f>
        <v/>
      </c>
      <c r="M2400" s="6">
        <f>K2400*4</f>
        <v/>
      </c>
      <c r="N2400" s="6" t="n">
        <v>850</v>
      </c>
    </row>
    <row r="2401">
      <c r="A2401" s="1" t="inlineStr">
        <is>
          <t>63ebd3f635fb6</t>
        </is>
      </c>
      <c r="B2401" s="1" t="inlineStr">
        <is>
          <t>ANILLO CLASH SILVER</t>
        </is>
      </c>
      <c r="C2401" s="1" t="inlineStr">
        <is>
          <t>10</t>
        </is>
      </c>
      <c r="D2401" s="1" t="inlineStr">
        <is>
          <t>25/09/2025</t>
        </is>
      </c>
      <c r="E2401" s="1" t="n">
        <v>2025</v>
      </c>
      <c r="F2401" s="1" t="inlineStr">
        <is>
          <t>SEPTIEMBRE</t>
        </is>
      </c>
      <c r="G2401" s="1" t="inlineStr">
        <is>
          <t>HAIFENG</t>
        </is>
      </c>
      <c r="H2401" s="1" t="inlineStr">
        <is>
          <t>HAIFENG 25/09/2025</t>
        </is>
      </c>
      <c r="I2401" s="4" t="n">
        <v>2</v>
      </c>
      <c r="J2401" s="6" t="n">
        <v>10</v>
      </c>
      <c r="K2401" s="6" t="n">
        <v>210.9688577</v>
      </c>
      <c r="L2401" s="6">
        <f>I2401*K2401</f>
        <v/>
      </c>
      <c r="M2401" s="6">
        <f>K2401*4</f>
        <v/>
      </c>
      <c r="N2401" s="6" t="n">
        <v>850</v>
      </c>
    </row>
    <row r="2402">
      <c r="A2402" s="1" t="inlineStr">
        <is>
          <t>63ebd3f635fb6</t>
        </is>
      </c>
      <c r="B2402" s="1" t="inlineStr">
        <is>
          <t>ANILLO CLASH SILVER</t>
        </is>
      </c>
      <c r="C2402" s="1" t="inlineStr">
        <is>
          <t>10</t>
        </is>
      </c>
      <c r="D2402" s="1" t="inlineStr">
        <is>
          <t>16/06/2026</t>
        </is>
      </c>
      <c r="E2402" s="1" t="n">
        <v>2026</v>
      </c>
      <c r="F2402" s="1" t="inlineStr">
        <is>
          <t>JUNIO</t>
        </is>
      </c>
      <c r="G2402" s="1" t="inlineStr">
        <is>
          <t>HAIFENG</t>
        </is>
      </c>
      <c r="H2402" s="1" t="inlineStr">
        <is>
          <t>HAIFENG 16/06/2026</t>
        </is>
      </c>
      <c r="I2402" s="4" t="n">
        <v>1</v>
      </c>
      <c r="J2402" s="6" t="n">
        <v>10</v>
      </c>
      <c r="K2402" s="6" t="n">
        <v>210.1460646</v>
      </c>
      <c r="L2402" s="6">
        <f>I2402*K2402</f>
        <v/>
      </c>
      <c r="M2402" s="6">
        <f>K2402*4</f>
        <v/>
      </c>
      <c r="N2402" s="6" t="n">
        <v>850</v>
      </c>
    </row>
    <row r="2403">
      <c r="A2403" s="1" t="inlineStr">
        <is>
          <t>63ebd3f721f2e</t>
        </is>
      </c>
      <c r="B2403" s="1" t="inlineStr">
        <is>
          <t>ANILLO CLASH SILVER</t>
        </is>
      </c>
      <c r="C2403" s="1" t="inlineStr">
        <is>
          <t>11</t>
        </is>
      </c>
      <c r="D2403" s="1" t="inlineStr">
        <is>
          <t>03/12/2025</t>
        </is>
      </c>
      <c r="E2403" s="1" t="n">
        <v>2025</v>
      </c>
      <c r="F2403" s="1" t="inlineStr">
        <is>
          <t>DICIEMBRE</t>
        </is>
      </c>
      <c r="G2403" s="1" t="inlineStr">
        <is>
          <t>HAIFENG</t>
        </is>
      </c>
      <c r="H2403" s="1" t="inlineStr">
        <is>
          <t>HAIFENG 03/12/2025</t>
        </is>
      </c>
      <c r="I2403" s="4" t="n">
        <v>1</v>
      </c>
      <c r="J2403" s="6" t="n">
        <v>10</v>
      </c>
      <c r="K2403" s="6" t="n">
        <v>209.1716001</v>
      </c>
      <c r="L2403" s="6">
        <f>I2403*K2403</f>
        <v/>
      </c>
      <c r="M2403" s="6">
        <f>K2403*4</f>
        <v/>
      </c>
      <c r="N2403" s="6" t="n">
        <v>850</v>
      </c>
    </row>
    <row r="2404">
      <c r="A2404" s="1" t="inlineStr">
        <is>
          <t>63ebd3f721f2e</t>
        </is>
      </c>
      <c r="B2404" s="1" t="inlineStr">
        <is>
          <t>ANILLO CLASH SILVER</t>
        </is>
      </c>
      <c r="C2404" s="1" t="inlineStr">
        <is>
          <t>11</t>
        </is>
      </c>
      <c r="D2404" s="1" t="inlineStr">
        <is>
          <t>11/03/2026</t>
        </is>
      </c>
      <c r="E2404" s="1" t="n">
        <v>2026</v>
      </c>
      <c r="F2404" s="1" t="inlineStr">
        <is>
          <t>MARZO</t>
        </is>
      </c>
      <c r="G2404" s="1" t="inlineStr">
        <is>
          <t>HAIFENG</t>
        </is>
      </c>
      <c r="H2404" s="1" t="inlineStr">
        <is>
          <t>HAIFENG 11/03/2026</t>
        </is>
      </c>
      <c r="I2404" s="4" t="n">
        <v>2</v>
      </c>
      <c r="J2404" s="6" t="n">
        <v>10</v>
      </c>
      <c r="K2404" s="6" t="n">
        <v>213.0389622</v>
      </c>
      <c r="L2404" s="6">
        <f>I2404*K2404</f>
        <v/>
      </c>
      <c r="M2404" s="6">
        <f>K2404*4</f>
        <v/>
      </c>
      <c r="N2404" s="6" t="n">
        <v>850</v>
      </c>
    </row>
    <row r="2405">
      <c r="A2405" s="1" t="inlineStr">
        <is>
          <t>63ebd3f721f2e</t>
        </is>
      </c>
      <c r="B2405" s="1" t="inlineStr">
        <is>
          <t>ANILLO CLASH SILVER</t>
        </is>
      </c>
      <c r="C2405" s="1" t="inlineStr">
        <is>
          <t>11</t>
        </is>
      </c>
      <c r="D2405" s="1" t="inlineStr">
        <is>
          <t>16/06/2026</t>
        </is>
      </c>
      <c r="E2405" s="1" t="n">
        <v>2026</v>
      </c>
      <c r="F2405" s="1" t="inlineStr">
        <is>
          <t>JUNIO</t>
        </is>
      </c>
      <c r="G2405" s="1" t="inlineStr">
        <is>
          <t>HAIFENG</t>
        </is>
      </c>
      <c r="H2405" s="1" t="inlineStr">
        <is>
          <t>HAIFENG 16/06/2026</t>
        </is>
      </c>
      <c r="I2405" s="4" t="n">
        <v>2</v>
      </c>
      <c r="J2405" s="6" t="n">
        <v>10</v>
      </c>
      <c r="K2405" s="6" t="n">
        <v>210.1460646</v>
      </c>
      <c r="L2405" s="6">
        <f>I2405*K2405</f>
        <v/>
      </c>
      <c r="M2405" s="6">
        <f>K2405*4</f>
        <v/>
      </c>
      <c r="N2405" s="6" t="n">
        <v>850</v>
      </c>
    </row>
    <row r="2406">
      <c r="A2406" s="1" t="inlineStr">
        <is>
          <t>63ebd619250f6</t>
        </is>
      </c>
      <c r="B2406" s="1" t="inlineStr">
        <is>
          <t>ARETES BV ROSE GOLD CON ZIRCONIA</t>
        </is>
      </c>
      <c r="C2406" s="1" t="inlineStr">
        <is>
          <t>Default Title</t>
        </is>
      </c>
      <c r="D2406" s="1" t="inlineStr">
        <is>
          <t>03/12/2025</t>
        </is>
      </c>
      <c r="E2406" s="1" t="n">
        <v>2025</v>
      </c>
      <c r="F2406" s="1" t="inlineStr">
        <is>
          <t>DICIEMBRE</t>
        </is>
      </c>
      <c r="G2406" s="1" t="inlineStr">
        <is>
          <t>NANCY</t>
        </is>
      </c>
      <c r="H2406" s="1" t="inlineStr">
        <is>
          <t>NANCY 03/12/2025</t>
        </is>
      </c>
      <c r="I2406" s="4" t="n">
        <v>2</v>
      </c>
      <c r="J2406" s="6" t="n">
        <v>5.59</v>
      </c>
      <c r="K2406" s="6" t="n">
        <v>132.2411844</v>
      </c>
      <c r="L2406" s="6">
        <f>I2406*K2406</f>
        <v/>
      </c>
      <c r="M2406" s="6">
        <f>K2406*4</f>
        <v/>
      </c>
      <c r="N2406" s="6" t="n">
        <v>499</v>
      </c>
    </row>
    <row r="2407">
      <c r="A2407" s="1" t="inlineStr">
        <is>
          <t>63ebd619250f6</t>
        </is>
      </c>
      <c r="B2407" s="1" t="inlineStr">
        <is>
          <t>ARETES BV ROSE GOLD CON ZIRCONIA</t>
        </is>
      </c>
      <c r="C2407" s="1" t="inlineStr">
        <is>
          <t>Default Title</t>
        </is>
      </c>
      <c r="D2407" s="1" t="inlineStr">
        <is>
          <t>08/05/2026</t>
        </is>
      </c>
      <c r="E2407" s="1" t="n">
        <v>2026</v>
      </c>
      <c r="F2407" s="1" t="inlineStr">
        <is>
          <t>MAYO</t>
        </is>
      </c>
      <c r="G2407" s="1" t="inlineStr">
        <is>
          <t>NANCY</t>
        </is>
      </c>
      <c r="H2407" s="1" t="inlineStr">
        <is>
          <t>NANCY 08/05/2026</t>
        </is>
      </c>
      <c r="I2407" s="4" t="n">
        <v>2</v>
      </c>
      <c r="J2407" s="6" t="n">
        <v>5.59</v>
      </c>
      <c r="K2407" s="6" t="n">
        <v>132.2468818</v>
      </c>
      <c r="L2407" s="6">
        <f>I2407*K2407</f>
        <v/>
      </c>
      <c r="M2407" s="6">
        <f>K2407*4</f>
        <v/>
      </c>
      <c r="N2407" s="6" t="n">
        <v>499</v>
      </c>
    </row>
    <row r="2408">
      <c r="A2408" s="1" t="inlineStr">
        <is>
          <t>63ebd619250f6</t>
        </is>
      </c>
      <c r="B2408" s="1" t="inlineStr">
        <is>
          <t>ARETES BV ROSE GOLD CON ZIRCONIA</t>
        </is>
      </c>
      <c r="C2408" s="1" t="inlineStr">
        <is>
          <t>Default Title</t>
        </is>
      </c>
      <c r="D2408" s="1" t="inlineStr">
        <is>
          <t>31/05/2026</t>
        </is>
      </c>
      <c r="E2408" s="1" t="n">
        <v>2026</v>
      </c>
      <c r="F2408" s="1" t="inlineStr">
        <is>
          <t>MAYO</t>
        </is>
      </c>
      <c r="G2408" s="1" t="inlineStr">
        <is>
          <t>NANCY</t>
        </is>
      </c>
      <c r="H2408" s="1" t="inlineStr">
        <is>
          <t>NANCY 31/05/2026</t>
        </is>
      </c>
      <c r="I2408" s="4" t="n">
        <v>4</v>
      </c>
      <c r="J2408" s="6" t="n">
        <v>5.59</v>
      </c>
      <c r="K2408" s="6" t="n">
        <v>135.6558265</v>
      </c>
      <c r="L2408" s="6">
        <f>I2408*K2408</f>
        <v/>
      </c>
      <c r="M2408" s="6">
        <f>K2408*4</f>
        <v/>
      </c>
      <c r="N2408" s="6" t="n">
        <v>499</v>
      </c>
    </row>
    <row r="2409">
      <c r="A2409" s="1" t="inlineStr">
        <is>
          <t>63ebd61958890</t>
        </is>
      </c>
      <c r="B2409" s="1" t="n"/>
      <c r="C2409" s="1" t="inlineStr">
        <is>
          <t>1cm</t>
        </is>
      </c>
      <c r="D2409" s="1" t="inlineStr">
        <is>
          <t>03/12/2025</t>
        </is>
      </c>
      <c r="E2409" s="1" t="n">
        <v>2025</v>
      </c>
      <c r="F2409" s="1" t="inlineStr">
        <is>
          <t>DICIEMBRE</t>
        </is>
      </c>
      <c r="G2409" s="1" t="inlineStr">
        <is>
          <t>NANCY</t>
        </is>
      </c>
      <c r="H2409" s="1" t="inlineStr">
        <is>
          <t>NANCY 03/12/2025</t>
        </is>
      </c>
      <c r="I2409" s="4" t="n">
        <v>1</v>
      </c>
      <c r="J2409" s="6" t="n">
        <v>3.69</v>
      </c>
      <c r="K2409" s="6" t="n">
        <v>87.29337577</v>
      </c>
      <c r="L2409" s="6">
        <f>I2409*K2409</f>
        <v/>
      </c>
      <c r="M2409" s="6">
        <f>K2409*4</f>
        <v/>
      </c>
      <c r="N2409" s="6" t="n">
        <v>499</v>
      </c>
    </row>
    <row r="2410">
      <c r="A2410" s="1" t="inlineStr">
        <is>
          <t>63ebd61958890</t>
        </is>
      </c>
      <c r="B2410" s="1" t="inlineStr">
        <is>
          <t>ARETES BV ROSE GOLD-BLACK</t>
        </is>
      </c>
      <c r="C2410" s="1" t="inlineStr">
        <is>
          <t>1cm</t>
        </is>
      </c>
      <c r="D2410" s="1" t="inlineStr">
        <is>
          <t>01/03/2026</t>
        </is>
      </c>
      <c r="E2410" s="1" t="n">
        <v>2026</v>
      </c>
      <c r="F2410" s="1" t="inlineStr">
        <is>
          <t>MARZO</t>
        </is>
      </c>
      <c r="G2410" s="1" t="inlineStr">
        <is>
          <t>NANCY</t>
        </is>
      </c>
      <c r="H2410" s="1" t="inlineStr">
        <is>
          <t>NANCY 01/03/2026</t>
        </is>
      </c>
      <c r="I2410" s="4" t="n">
        <v>3</v>
      </c>
      <c r="J2410" s="6" t="n">
        <v>3.69</v>
      </c>
      <c r="K2410" s="6" t="n">
        <v>93.37072066</v>
      </c>
      <c r="L2410" s="6">
        <f>I2410*K2410</f>
        <v/>
      </c>
      <c r="M2410" s="6">
        <f>K2410*4</f>
        <v/>
      </c>
      <c r="N2410" s="6" t="n">
        <v>499</v>
      </c>
    </row>
    <row r="2411">
      <c r="A2411" s="1" t="inlineStr">
        <is>
          <t>63ebd61958890</t>
        </is>
      </c>
      <c r="B2411" s="1" t="inlineStr">
        <is>
          <t>ARETES BV ROSE GOLD-BLACK</t>
        </is>
      </c>
      <c r="C2411" s="1" t="inlineStr">
        <is>
          <t>1cm</t>
        </is>
      </c>
      <c r="D2411" s="1" t="inlineStr">
        <is>
          <t>08/05/2026</t>
        </is>
      </c>
      <c r="E2411" s="1" t="n">
        <v>2026</v>
      </c>
      <c r="F2411" s="1" t="inlineStr">
        <is>
          <t>MAYO</t>
        </is>
      </c>
      <c r="G2411" s="1" t="inlineStr">
        <is>
          <t>NANCY</t>
        </is>
      </c>
      <c r="H2411" s="1" t="inlineStr">
        <is>
          <t>NANCY 08/05/2026</t>
        </is>
      </c>
      <c r="I2411" s="4" t="n">
        <v>2</v>
      </c>
      <c r="J2411" s="6" t="n">
        <v>3.69</v>
      </c>
      <c r="K2411" s="6" t="n">
        <v>87.29713666000001</v>
      </c>
      <c r="L2411" s="6">
        <f>I2411*K2411</f>
        <v/>
      </c>
      <c r="M2411" s="6">
        <f>K2411*4</f>
        <v/>
      </c>
      <c r="N2411" s="6" t="n">
        <v>499</v>
      </c>
    </row>
    <row r="2412">
      <c r="A2412" s="1" t="inlineStr">
        <is>
          <t>63ebd72976d60</t>
        </is>
      </c>
      <c r="B2412" s="1" t="inlineStr">
        <is>
          <t>ARETES CC ROSE GOLD</t>
        </is>
      </c>
      <c r="C2412" s="1" t="inlineStr">
        <is>
          <t>HIGH QUALITY</t>
        </is>
      </c>
      <c r="D2412" s="1" t="inlineStr">
        <is>
          <t>05/09/2025</t>
        </is>
      </c>
      <c r="E2412" s="1" t="n">
        <v>2025</v>
      </c>
      <c r="F2412" s="1" t="inlineStr">
        <is>
          <t>SEPTIEMBRE</t>
        </is>
      </c>
      <c r="G2412" s="1" t="inlineStr">
        <is>
          <t>CYNTHIA</t>
        </is>
      </c>
      <c r="H2412" s="1" t="inlineStr">
        <is>
          <t>CYNTHIA 05/09/2025</t>
        </is>
      </c>
      <c r="I2412" s="4" t="n">
        <v>4</v>
      </c>
      <c r="J2412" s="6" t="n">
        <v>2</v>
      </c>
      <c r="K2412" s="6" t="n">
        <v>50.35819386</v>
      </c>
      <c r="L2412" s="6">
        <f>I2412*K2412</f>
        <v/>
      </c>
      <c r="M2412" s="6">
        <f>K2412*4</f>
        <v/>
      </c>
      <c r="N2412" s="6" t="n">
        <v>220</v>
      </c>
    </row>
    <row r="2413">
      <c r="A2413" s="1" t="inlineStr">
        <is>
          <t>63ebd72976d60</t>
        </is>
      </c>
      <c r="B2413" s="1" t="inlineStr">
        <is>
          <t>ARETES CC ROSE GOLD</t>
        </is>
      </c>
      <c r="C2413" s="1" t="inlineStr">
        <is>
          <t>HIGH QUALITY</t>
        </is>
      </c>
      <c r="D2413" s="1" t="inlineStr">
        <is>
          <t>07/01/2026</t>
        </is>
      </c>
      <c r="E2413" s="1" t="n">
        <v>2026</v>
      </c>
      <c r="F2413" s="1" t="inlineStr">
        <is>
          <t>ENERO</t>
        </is>
      </c>
      <c r="G2413" s="1" t="inlineStr">
        <is>
          <t>CYNTHIA</t>
        </is>
      </c>
      <c r="H2413" s="1" t="inlineStr">
        <is>
          <t>CYNTHIA 07/01/2026</t>
        </is>
      </c>
      <c r="I2413" s="4" t="n">
        <v>2</v>
      </c>
      <c r="J2413" s="6" t="n">
        <v>2</v>
      </c>
      <c r="K2413" s="6" t="n">
        <v>53.17485535</v>
      </c>
      <c r="L2413" s="6">
        <f>I2413*K2413</f>
        <v/>
      </c>
      <c r="M2413" s="6">
        <f>K2413*4</f>
        <v/>
      </c>
      <c r="N2413" s="6" t="n">
        <v>220</v>
      </c>
    </row>
    <row r="2414">
      <c r="A2414" s="1" t="inlineStr">
        <is>
          <t>63ebd72976d60</t>
        </is>
      </c>
      <c r="B2414" s="1" t="inlineStr">
        <is>
          <t>ARETES CC ROSE GOLD</t>
        </is>
      </c>
      <c r="C2414" s="1" t="inlineStr">
        <is>
          <t>Default Title</t>
        </is>
      </c>
      <c r="D2414" s="1" t="inlineStr">
        <is>
          <t>19/03/2026</t>
        </is>
      </c>
      <c r="E2414" s="1" t="n">
        <v>2026</v>
      </c>
      <c r="F2414" s="1" t="inlineStr">
        <is>
          <t>MARZO</t>
        </is>
      </c>
      <c r="G2414" s="1" t="inlineStr">
        <is>
          <t>CYNTHIA</t>
        </is>
      </c>
      <c r="H2414" s="1" t="inlineStr">
        <is>
          <t>CYNTHIA 19/03/2026</t>
        </is>
      </c>
      <c r="I2414" s="4" t="n">
        <v>10</v>
      </c>
      <c r="J2414" s="6" t="n">
        <v>2</v>
      </c>
      <c r="K2414" s="6" t="n">
        <v>53.71483159</v>
      </c>
      <c r="L2414" s="6">
        <f>I2414*K2414</f>
        <v/>
      </c>
      <c r="M2414" s="6">
        <f>K2414*4</f>
        <v/>
      </c>
      <c r="N2414" s="6" t="n">
        <v>220</v>
      </c>
    </row>
    <row r="2415">
      <c r="A2415" s="1" t="inlineStr">
        <is>
          <t>63ebd72976d60</t>
        </is>
      </c>
      <c r="B2415" s="1" t="inlineStr">
        <is>
          <t>ARETES CC ROSE GOLD</t>
        </is>
      </c>
      <c r="C2415" s="1" t="inlineStr">
        <is>
          <t>HIGH QUALITY</t>
        </is>
      </c>
      <c r="D2415" s="1" t="inlineStr">
        <is>
          <t>31/05/2026</t>
        </is>
      </c>
      <c r="E2415" s="1" t="n">
        <v>2026</v>
      </c>
      <c r="F2415" s="1" t="inlineStr">
        <is>
          <t>MAYO</t>
        </is>
      </c>
      <c r="G2415" s="1" t="inlineStr">
        <is>
          <t>CYNTHIA</t>
        </is>
      </c>
      <c r="H2415" s="1" t="inlineStr">
        <is>
          <t>CYNTHIA 31/05/2026</t>
        </is>
      </c>
      <c r="I2415" s="4" t="n">
        <v>2</v>
      </c>
      <c r="J2415" s="6" t="n">
        <v>2</v>
      </c>
      <c r="K2415" s="6" t="n">
        <v>53.00208995</v>
      </c>
      <c r="L2415" s="6">
        <f>I2415*K2415</f>
        <v/>
      </c>
      <c r="M2415" s="6">
        <f>K2415*4</f>
        <v/>
      </c>
      <c r="N2415" s="6" t="n">
        <v>220</v>
      </c>
    </row>
    <row r="2416">
      <c r="A2416" s="1" t="inlineStr">
        <is>
          <t>63ebd81634b8a</t>
        </is>
      </c>
      <c r="B2416" s="1" t="inlineStr">
        <is>
          <t>ARETES CC GOLD CON ZIRCONIA</t>
        </is>
      </c>
      <c r="C2416" s="1" t="inlineStr">
        <is>
          <t>Default Title</t>
        </is>
      </c>
      <c r="D2416" s="1" t="inlineStr">
        <is>
          <t>20/01/2026</t>
        </is>
      </c>
      <c r="E2416" s="1" t="n">
        <v>2026</v>
      </c>
      <c r="F2416" s="1" t="inlineStr">
        <is>
          <t>ENERO</t>
        </is>
      </c>
      <c r="G2416" s="1" t="inlineStr">
        <is>
          <t>COCOMA</t>
        </is>
      </c>
      <c r="H2416" s="1" t="inlineStr">
        <is>
          <t>COCOMA 20/01/2026</t>
        </is>
      </c>
      <c r="I2416" s="4" t="n">
        <v>4</v>
      </c>
      <c r="J2416" s="6" t="n">
        <v>4.18</v>
      </c>
      <c r="K2416" s="6" t="n">
        <v>101.0092989</v>
      </c>
      <c r="L2416" s="6">
        <f>I2416*K2416</f>
        <v/>
      </c>
      <c r="M2416" s="6">
        <f>K2416*4</f>
        <v/>
      </c>
      <c r="N2416" s="6" t="n">
        <v>250</v>
      </c>
    </row>
    <row r="2417">
      <c r="A2417" s="1" t="inlineStr">
        <is>
          <t>63ebd921017f7</t>
        </is>
      </c>
      <c r="B2417" s="1" t="inlineStr">
        <is>
          <t>ARETES T-SMILE SILVER CON ZIRCONIA</t>
        </is>
      </c>
      <c r="C2417" s="1" t="inlineStr">
        <is>
          <t>Default Title</t>
        </is>
      </c>
      <c r="D2417" s="1" t="inlineStr">
        <is>
          <t>05/09/2025</t>
        </is>
      </c>
      <c r="E2417" s="1" t="n">
        <v>2025</v>
      </c>
      <c r="F2417" s="1" t="inlineStr">
        <is>
          <t>SEPTIEMBRE</t>
        </is>
      </c>
      <c r="G2417" s="1" t="inlineStr">
        <is>
          <t>CYNTHIA</t>
        </is>
      </c>
      <c r="H2417" s="1" t="inlineStr">
        <is>
          <t>CYNTHIA 05/09/2025</t>
        </is>
      </c>
      <c r="I2417" s="4" t="n">
        <v>2</v>
      </c>
      <c r="J2417" s="6" t="n">
        <v>6.8</v>
      </c>
      <c r="K2417" s="6" t="n">
        <v>171.2178591</v>
      </c>
      <c r="L2417" s="6">
        <f>I2417*K2417</f>
        <v/>
      </c>
      <c r="M2417" s="6">
        <f>K2417*4</f>
        <v/>
      </c>
      <c r="N2417" s="6" t="n">
        <v>722</v>
      </c>
    </row>
    <row r="2418">
      <c r="A2418" s="1" t="inlineStr">
        <is>
          <t>63ebd921017f7</t>
        </is>
      </c>
      <c r="B2418" s="1" t="inlineStr">
        <is>
          <t>ARETES T-SMILE SILVER CON ZIRCONIA</t>
        </is>
      </c>
      <c r="C2418" s="1" t="inlineStr">
        <is>
          <t>Default Title</t>
        </is>
      </c>
      <c r="D2418" s="1" t="inlineStr">
        <is>
          <t>07/01/2026</t>
        </is>
      </c>
      <c r="E2418" s="1" t="n">
        <v>2026</v>
      </c>
      <c r="F2418" s="1" t="inlineStr">
        <is>
          <t>ENERO</t>
        </is>
      </c>
      <c r="G2418" s="1" t="inlineStr">
        <is>
          <t>CYNTHIA</t>
        </is>
      </c>
      <c r="H2418" s="1" t="inlineStr">
        <is>
          <t>CYNTHIA 07/01/2026</t>
        </is>
      </c>
      <c r="I2418" s="4" t="n">
        <v>2</v>
      </c>
      <c r="J2418" s="6" t="n">
        <v>6.8</v>
      </c>
      <c r="K2418" s="6" t="n">
        <v>180.7945082</v>
      </c>
      <c r="L2418" s="6">
        <f>I2418*K2418</f>
        <v/>
      </c>
      <c r="M2418" s="6">
        <f>K2418*4</f>
        <v/>
      </c>
      <c r="N2418" s="6" t="n">
        <v>722</v>
      </c>
    </row>
    <row r="2419">
      <c r="A2419" s="1" t="inlineStr">
        <is>
          <t>63ebd921017f7</t>
        </is>
      </c>
      <c r="B2419" s="1" t="inlineStr">
        <is>
          <t>ARETES T-SMILE SILVER CON ZIRCONIA</t>
        </is>
      </c>
      <c r="C2419" s="1" t="inlineStr">
        <is>
          <t>Default Title</t>
        </is>
      </c>
      <c r="D2419" s="1" t="inlineStr">
        <is>
          <t>19/03/2026</t>
        </is>
      </c>
      <c r="E2419" s="1" t="n">
        <v>2026</v>
      </c>
      <c r="F2419" s="1" t="inlineStr">
        <is>
          <t>MARZO</t>
        </is>
      </c>
      <c r="G2419" s="1" t="inlineStr">
        <is>
          <t>CYNTHIA</t>
        </is>
      </c>
      <c r="H2419" s="1" t="inlineStr">
        <is>
          <t>CYNTHIA 19/03/2026</t>
        </is>
      </c>
      <c r="I2419" s="4" t="n">
        <v>3</v>
      </c>
      <c r="J2419" s="6" t="n">
        <v>6.8</v>
      </c>
      <c r="K2419" s="6" t="n">
        <v>182.6304274</v>
      </c>
      <c r="L2419" s="6">
        <f>I2419*K2419</f>
        <v/>
      </c>
      <c r="M2419" s="6">
        <f>K2419*4</f>
        <v/>
      </c>
      <c r="N2419" s="6" t="n">
        <v>722</v>
      </c>
    </row>
    <row r="2420">
      <c r="A2420" s="1" t="inlineStr">
        <is>
          <t>63ebd921017f7</t>
        </is>
      </c>
      <c r="B2420" s="1" t="inlineStr">
        <is>
          <t>ARETES T-SMILE SILVER CON ZIRCONIA</t>
        </is>
      </c>
      <c r="C2420" s="1" t="inlineStr">
        <is>
          <t>Default Title</t>
        </is>
      </c>
      <c r="D2420" s="1" t="inlineStr">
        <is>
          <t>31/05/2026</t>
        </is>
      </c>
      <c r="E2420" s="1" t="n">
        <v>2026</v>
      </c>
      <c r="F2420" s="1" t="inlineStr">
        <is>
          <t>MAYO</t>
        </is>
      </c>
      <c r="G2420" s="1" t="inlineStr">
        <is>
          <t>CYNTHIA</t>
        </is>
      </c>
      <c r="H2420" s="1" t="inlineStr">
        <is>
          <t>CYNTHIA 31/05/2026</t>
        </is>
      </c>
      <c r="I2420" s="4" t="n">
        <v>3</v>
      </c>
      <c r="J2420" s="6" t="n">
        <v>6.8</v>
      </c>
      <c r="K2420" s="6" t="n">
        <v>180.2071058</v>
      </c>
      <c r="L2420" s="6">
        <f>I2420*K2420</f>
        <v/>
      </c>
      <c r="M2420" s="6">
        <f>K2420*4</f>
        <v/>
      </c>
      <c r="N2420" s="6" t="n">
        <v>722</v>
      </c>
    </row>
    <row r="2421">
      <c r="A2421" s="1" t="inlineStr">
        <is>
          <t>63ebdb90c5a7d</t>
        </is>
      </c>
      <c r="B2421" s="1" t="inlineStr">
        <is>
          <t>COLLAR TREBOL BLACK-ROSE GOLD</t>
        </is>
      </c>
      <c r="C2421" s="1" t="inlineStr">
        <is>
          <t>High Quality 45cm</t>
        </is>
      </c>
      <c r="D2421" s="1" t="inlineStr">
        <is>
          <t>03/12/2025</t>
        </is>
      </c>
      <c r="E2421" s="1" t="n">
        <v>2025</v>
      </c>
      <c r="F2421" s="1" t="inlineStr">
        <is>
          <t>DICIEMBRE</t>
        </is>
      </c>
      <c r="G2421" s="1" t="inlineStr">
        <is>
          <t>HAIFENG</t>
        </is>
      </c>
      <c r="H2421" s="1" t="inlineStr">
        <is>
          <t>HAIFENG 03/12/2025</t>
        </is>
      </c>
      <c r="I2421" s="4" t="n">
        <v>1</v>
      </c>
      <c r="J2421" s="6" t="n">
        <v>12</v>
      </c>
      <c r="K2421" s="6" t="n">
        <v>251.0059201</v>
      </c>
      <c r="L2421" s="6">
        <f>I2421*K2421</f>
        <v/>
      </c>
      <c r="M2421" s="6">
        <f>K2421*4</f>
        <v/>
      </c>
      <c r="N2421" s="6" t="n">
        <v>584</v>
      </c>
    </row>
    <row r="2422">
      <c r="A2422" s="1" t="inlineStr">
        <is>
          <t>63ebdb90c5a7d</t>
        </is>
      </c>
      <c r="B2422" s="1" t="inlineStr">
        <is>
          <t>COLLAR TREBOL BLACK-ROSE GOLD</t>
        </is>
      </c>
      <c r="C2422" s="1" t="inlineStr">
        <is>
          <t>High Quality 45cm</t>
        </is>
      </c>
      <c r="D2422" s="1" t="inlineStr">
        <is>
          <t>20/01/2026</t>
        </is>
      </c>
      <c r="E2422" s="1" t="n">
        <v>2026</v>
      </c>
      <c r="F2422" s="1" t="inlineStr">
        <is>
          <t>ENERO</t>
        </is>
      </c>
      <c r="G2422" s="1" t="inlineStr">
        <is>
          <t>HAIFENG</t>
        </is>
      </c>
      <c r="H2422" s="1" t="inlineStr">
        <is>
          <t>HAIFENG 20/01/2026</t>
        </is>
      </c>
      <c r="I2422" s="4" t="n">
        <v>1</v>
      </c>
      <c r="J2422" s="6" t="n">
        <v>4</v>
      </c>
      <c r="K2422" s="6" t="n">
        <v>84.80167117000001</v>
      </c>
      <c r="L2422" s="6">
        <f>I2422*K2422</f>
        <v/>
      </c>
      <c r="M2422" s="6">
        <f>K2422*4</f>
        <v/>
      </c>
      <c r="N2422" s="6" t="n">
        <v>584</v>
      </c>
    </row>
    <row r="2423">
      <c r="A2423" s="1" t="inlineStr">
        <is>
          <t>63ebdb90c5a7d</t>
        </is>
      </c>
      <c r="B2423" s="1" t="inlineStr">
        <is>
          <t>COLLAR TREBOL BLACK-ROSE GOLD</t>
        </is>
      </c>
      <c r="C2423" s="1" t="inlineStr">
        <is>
          <t>High Quality 45cm</t>
        </is>
      </c>
      <c r="D2423" s="1" t="inlineStr">
        <is>
          <t>10/02/2026</t>
        </is>
      </c>
      <c r="E2423" s="1" t="n">
        <v>2026</v>
      </c>
      <c r="F2423" s="1" t="inlineStr">
        <is>
          <t>FEBRERO</t>
        </is>
      </c>
      <c r="G2423" s="1" t="inlineStr">
        <is>
          <t>HAIFENG</t>
        </is>
      </c>
      <c r="H2423" s="1" t="inlineStr">
        <is>
          <t>HAIFENG 10/02/2026</t>
        </is>
      </c>
      <c r="I2423" s="4" t="n">
        <v>1</v>
      </c>
      <c r="J2423" s="6" t="n">
        <v>4</v>
      </c>
      <c r="K2423" s="6" t="n">
        <v>84.27398426000001</v>
      </c>
      <c r="L2423" s="6">
        <f>I2423*K2423</f>
        <v/>
      </c>
      <c r="M2423" s="6">
        <f>K2423*4</f>
        <v/>
      </c>
      <c r="N2423" s="6" t="n">
        <v>584</v>
      </c>
    </row>
    <row r="2424">
      <c r="A2424" s="1" t="inlineStr">
        <is>
          <t>63ebdbffe0b2d</t>
        </is>
      </c>
      <c r="B2424" s="1" t="inlineStr">
        <is>
          <t>GARGANTILLA CD PERLAS</t>
        </is>
      </c>
      <c r="C2424" s="1" t="inlineStr">
        <is>
          <t>Largo 43 cm  Más Extensión 5 cm</t>
        </is>
      </c>
      <c r="D2424" s="1" t="inlineStr">
        <is>
          <t>25/09/2025</t>
        </is>
      </c>
      <c r="E2424" s="1" t="n">
        <v>2025</v>
      </c>
      <c r="F2424" s="1" t="inlineStr">
        <is>
          <t>SEPTIEMBRE</t>
        </is>
      </c>
      <c r="G2424" s="1" t="inlineStr">
        <is>
          <t>HAIFENG</t>
        </is>
      </c>
      <c r="H2424" s="1" t="inlineStr">
        <is>
          <t>HAIFENG 25/09/2025</t>
        </is>
      </c>
      <c r="I2424" s="4" t="n">
        <v>2</v>
      </c>
      <c r="J2424" s="6" t="n">
        <v>12.9</v>
      </c>
      <c r="K2424" s="6" t="n">
        <v>272.1498264</v>
      </c>
      <c r="L2424" s="6">
        <f>I2424*K2424</f>
        <v/>
      </c>
      <c r="M2424" s="6">
        <f>K2424*4</f>
        <v/>
      </c>
      <c r="N2424" s="6" t="n">
        <v>1062</v>
      </c>
    </row>
    <row r="2425">
      <c r="A2425" s="1" t="inlineStr">
        <is>
          <t>63ebdbffe0b2d</t>
        </is>
      </c>
      <c r="B2425" s="1" t="inlineStr">
        <is>
          <t>GARGANTILLA CD PERLAS</t>
        </is>
      </c>
      <c r="C2425" s="1" t="inlineStr">
        <is>
          <t>Largo 43 cm  Más Extensión 5 cm</t>
        </is>
      </c>
      <c r="D2425" s="1" t="inlineStr">
        <is>
          <t>03/12/2025</t>
        </is>
      </c>
      <c r="E2425" s="1" t="n">
        <v>2025</v>
      </c>
      <c r="F2425" s="1" t="inlineStr">
        <is>
          <t>DICIEMBRE</t>
        </is>
      </c>
      <c r="G2425" s="1" t="inlineStr">
        <is>
          <t>HAIFENG</t>
        </is>
      </c>
      <c r="H2425" s="1" t="inlineStr">
        <is>
          <t>HAIFENG 03/12/2025</t>
        </is>
      </c>
      <c r="I2425" s="4" t="n">
        <v>2</v>
      </c>
      <c r="J2425" s="6" t="n">
        <v>12.9</v>
      </c>
      <c r="K2425" s="6" t="n">
        <v>269.8313641</v>
      </c>
      <c r="L2425" s="6">
        <f>I2425*K2425</f>
        <v/>
      </c>
      <c r="M2425" s="6">
        <f>K2425*4</f>
        <v/>
      </c>
      <c r="N2425" s="6" t="n">
        <v>1062</v>
      </c>
    </row>
    <row r="2426">
      <c r="A2426" s="1" t="inlineStr">
        <is>
          <t>63ebdbffe0b2d</t>
        </is>
      </c>
      <c r="B2426" s="1" t="inlineStr">
        <is>
          <t>GARGANTILLA CD PERLAS</t>
        </is>
      </c>
      <c r="C2426" s="1" t="inlineStr">
        <is>
          <t>Largo 43 cm  Más Extensión 5 cm</t>
        </is>
      </c>
      <c r="D2426" s="1" t="inlineStr">
        <is>
          <t>06/05/2026</t>
        </is>
      </c>
      <c r="E2426" s="1" t="n">
        <v>2026</v>
      </c>
      <c r="F2426" s="1" t="inlineStr">
        <is>
          <t>MAYO</t>
        </is>
      </c>
      <c r="G2426" s="1" t="inlineStr">
        <is>
          <t>HAIFENG</t>
        </is>
      </c>
      <c r="H2426" s="1" t="inlineStr">
        <is>
          <t>HAIFENG 06/05/2026</t>
        </is>
      </c>
      <c r="I2426" s="4" t="n">
        <v>2</v>
      </c>
      <c r="J2426" s="6" t="n">
        <v>12.9</v>
      </c>
      <c r="K2426" s="6" t="n">
        <v>273.7204852</v>
      </c>
      <c r="L2426" s="6">
        <f>I2426*K2426</f>
        <v/>
      </c>
      <c r="M2426" s="6">
        <f>K2426*4</f>
        <v/>
      </c>
      <c r="N2426" s="6" t="n">
        <v>1062</v>
      </c>
    </row>
    <row r="2427">
      <c r="A2427" s="1" t="inlineStr">
        <is>
          <t>63ebdc0092a53</t>
        </is>
      </c>
      <c r="B2427" s="1" t="inlineStr">
        <is>
          <t>GARGANTILLA TRÉBOL GOLD</t>
        </is>
      </c>
      <c r="C2427" s="1" t="inlineStr">
        <is>
          <t>47cm</t>
        </is>
      </c>
      <c r="D2427" s="1" t="inlineStr">
        <is>
          <t>03/12/2025</t>
        </is>
      </c>
      <c r="E2427" s="1" t="n">
        <v>2025</v>
      </c>
      <c r="F2427" s="1" t="inlineStr">
        <is>
          <t>DICIEMBRE</t>
        </is>
      </c>
      <c r="G2427" s="1" t="inlineStr">
        <is>
          <t>NANCY</t>
        </is>
      </c>
      <c r="H2427" s="1" t="inlineStr">
        <is>
          <t>NANCY 03/12/2025</t>
        </is>
      </c>
      <c r="I2427" s="4" t="n">
        <v>4</v>
      </c>
      <c r="J2427" s="6" t="n">
        <v>16.59</v>
      </c>
      <c r="K2427" s="6" t="n">
        <v>392.4653398</v>
      </c>
      <c r="L2427" s="6">
        <f>I2427*K2427</f>
        <v/>
      </c>
      <c r="M2427" s="6">
        <f>K2427*4</f>
        <v/>
      </c>
      <c r="N2427" s="6" t="n">
        <v>1850</v>
      </c>
    </row>
    <row r="2428">
      <c r="A2428" s="1" t="inlineStr">
        <is>
          <t>63ebdc0092a53</t>
        </is>
      </c>
      <c r="B2428" s="1" t="inlineStr">
        <is>
          <t>GARGANTILLA TRÉBOL GOLD</t>
        </is>
      </c>
      <c r="C2428" s="1" t="inlineStr">
        <is>
          <t>47cm</t>
        </is>
      </c>
      <c r="D2428" s="1" t="inlineStr">
        <is>
          <t>01/04/2026</t>
        </is>
      </c>
      <c r="E2428" s="1" t="n">
        <v>2026</v>
      </c>
      <c r="F2428" s="1" t="inlineStr">
        <is>
          <t>ABRIL</t>
        </is>
      </c>
      <c r="G2428" s="1" t="inlineStr">
        <is>
          <t>NANCY</t>
        </is>
      </c>
      <c r="H2428" s="1" t="inlineStr">
        <is>
          <t>NANCY 01/04/2026</t>
        </is>
      </c>
      <c r="I2428" s="4" t="n">
        <v>2</v>
      </c>
      <c r="J2428" s="6" t="n">
        <v>16.59</v>
      </c>
      <c r="K2428" s="6" t="n">
        <v>397.1730539</v>
      </c>
      <c r="L2428" s="6">
        <f>I2428*K2428</f>
        <v/>
      </c>
      <c r="M2428" s="6">
        <f>K2428*4</f>
        <v/>
      </c>
      <c r="N2428" s="6" t="n">
        <v>1850</v>
      </c>
    </row>
    <row r="2429">
      <c r="A2429" s="1" t="inlineStr">
        <is>
          <t>63ebddd057ca2</t>
        </is>
      </c>
      <c r="B2429" s="1" t="inlineStr">
        <is>
          <t>PULSERA CLAVO SILVER DELGADA CON ZIRCONIA</t>
        </is>
      </c>
      <c r="C2429" s="1" t="inlineStr">
        <is>
          <t>17cm</t>
        </is>
      </c>
      <c r="D2429" s="1" t="inlineStr">
        <is>
          <t>06/09/2025</t>
        </is>
      </c>
      <c r="E2429" s="1" t="n">
        <v>2025</v>
      </c>
      <c r="F2429" s="1" t="inlineStr">
        <is>
          <t>SEPTIEMBRE</t>
        </is>
      </c>
      <c r="G2429" s="1" t="inlineStr">
        <is>
          <t>NANCY</t>
        </is>
      </c>
      <c r="H2429" s="1" t="inlineStr">
        <is>
          <t>NANCY 06/09/2025</t>
        </is>
      </c>
      <c r="I2429" s="4" t="n">
        <v>12</v>
      </c>
      <c r="J2429" s="6" t="n">
        <v>3.99</v>
      </c>
      <c r="K2429" s="6" t="n">
        <v>92.90978174</v>
      </c>
      <c r="L2429" s="6">
        <f>I2429*K2429</f>
        <v/>
      </c>
      <c r="M2429" s="6">
        <f>K2429*4</f>
        <v/>
      </c>
      <c r="N2429" s="6" t="n">
        <v>480</v>
      </c>
    </row>
    <row r="2430">
      <c r="A2430" s="1" t="inlineStr">
        <is>
          <t>63ebddddb879a</t>
        </is>
      </c>
      <c r="B2430" s="1" t="inlineStr">
        <is>
          <t>PULSERA CLIC H GOLD WHITE</t>
        </is>
      </c>
      <c r="C2430" s="1" t="inlineStr">
        <is>
          <t>16.8 cm</t>
        </is>
      </c>
      <c r="D2430" s="1" t="inlineStr">
        <is>
          <t>11/11/2025</t>
        </is>
      </c>
      <c r="E2430" s="1" t="n">
        <v>2025</v>
      </c>
      <c r="F2430" s="1" t="inlineStr">
        <is>
          <t>NOVIEMBRE</t>
        </is>
      </c>
      <c r="G2430" s="1" t="inlineStr">
        <is>
          <t>HAIFENG</t>
        </is>
      </c>
      <c r="H2430" s="1" t="inlineStr">
        <is>
          <t>HAIFENG 11/11/2025</t>
        </is>
      </c>
      <c r="I2430" s="4" t="n">
        <v>3</v>
      </c>
      <c r="J2430" s="6" t="n">
        <v>5</v>
      </c>
      <c r="K2430" s="6" t="n">
        <v>105.3024922</v>
      </c>
      <c r="L2430" s="6">
        <f>I2430*K2430</f>
        <v/>
      </c>
      <c r="M2430" s="6">
        <f>K2430*4</f>
        <v/>
      </c>
      <c r="N2430" s="6" t="n">
        <v>569</v>
      </c>
    </row>
    <row r="2431">
      <c r="A2431" s="1" t="inlineStr">
        <is>
          <t>63ebddddb879a</t>
        </is>
      </c>
      <c r="B2431" s="1" t="inlineStr">
        <is>
          <t>PULSERA CLIC H GOLD WHITE</t>
        </is>
      </c>
      <c r="C2431" s="1" t="inlineStr">
        <is>
          <t>16.8 cm</t>
        </is>
      </c>
      <c r="D2431" s="1" t="inlineStr">
        <is>
          <t>20/01/2026</t>
        </is>
      </c>
      <c r="E2431" s="1" t="n">
        <v>2026</v>
      </c>
      <c r="F2431" s="1" t="inlineStr">
        <is>
          <t>ENERO</t>
        </is>
      </c>
      <c r="G2431" s="1" t="inlineStr">
        <is>
          <t>HAIFENG</t>
        </is>
      </c>
      <c r="H2431" s="1" t="inlineStr">
        <is>
          <t>HAIFENG 20/01/2026</t>
        </is>
      </c>
      <c r="I2431" s="4" t="n">
        <v>5</v>
      </c>
      <c r="J2431" s="6" t="n">
        <v>5</v>
      </c>
      <c r="K2431" s="6" t="n">
        <v>106.002089</v>
      </c>
      <c r="L2431" s="6">
        <f>I2431*K2431</f>
        <v/>
      </c>
      <c r="M2431" s="6">
        <f>K2431*4</f>
        <v/>
      </c>
      <c r="N2431" s="6" t="n">
        <v>569</v>
      </c>
    </row>
    <row r="2432">
      <c r="A2432" s="1" t="inlineStr">
        <is>
          <t>63ebddddb879a</t>
        </is>
      </c>
      <c r="B2432" s="1" t="inlineStr">
        <is>
          <t>PULSERA CLIC H GOLD WHITE</t>
        </is>
      </c>
      <c r="C2432" s="1" t="inlineStr">
        <is>
          <t>16.8 cm</t>
        </is>
      </c>
      <c r="D2432" s="1" t="inlineStr">
        <is>
          <t>10/02/2026</t>
        </is>
      </c>
      <c r="E2432" s="1" t="n">
        <v>2026</v>
      </c>
      <c r="F2432" s="1" t="inlineStr">
        <is>
          <t>FEBRERO</t>
        </is>
      </c>
      <c r="G2432" s="1" t="inlineStr">
        <is>
          <t>HAIFENG</t>
        </is>
      </c>
      <c r="H2432" s="1" t="inlineStr">
        <is>
          <t>HAIFENG 10/02/2026</t>
        </is>
      </c>
      <c r="I2432" s="4" t="n">
        <v>1</v>
      </c>
      <c r="J2432" s="6" t="n">
        <v>5</v>
      </c>
      <c r="K2432" s="6" t="n">
        <v>105.3424803</v>
      </c>
      <c r="L2432" s="6">
        <f>I2432*K2432</f>
        <v/>
      </c>
      <c r="M2432" s="6">
        <f>K2432*4</f>
        <v/>
      </c>
      <c r="N2432" s="6" t="n">
        <v>569</v>
      </c>
    </row>
    <row r="2433">
      <c r="A2433" s="1" t="inlineStr">
        <is>
          <t>63ebddddb879a</t>
        </is>
      </c>
      <c r="B2433" s="1" t="inlineStr">
        <is>
          <t>PULSERA CLIC H GOLD WHITE</t>
        </is>
      </c>
      <c r="C2433" s="1" t="inlineStr">
        <is>
          <t>16.8 cm</t>
        </is>
      </c>
      <c r="D2433" s="1" t="inlineStr">
        <is>
          <t>11/03/2026</t>
        </is>
      </c>
      <c r="E2433" s="1" t="n">
        <v>2026</v>
      </c>
      <c r="F2433" s="1" t="inlineStr">
        <is>
          <t>MARZO</t>
        </is>
      </c>
      <c r="G2433" s="1" t="inlineStr">
        <is>
          <t>HAIFENG</t>
        </is>
      </c>
      <c r="H2433" s="1" t="inlineStr">
        <is>
          <t>HAIFENG 11/03/2026</t>
        </is>
      </c>
      <c r="I2433" s="4" t="n">
        <v>7</v>
      </c>
      <c r="J2433" s="6" t="n">
        <v>5</v>
      </c>
      <c r="K2433" s="6" t="n">
        <v>106.5194811</v>
      </c>
      <c r="L2433" s="6">
        <f>I2433*K2433</f>
        <v/>
      </c>
      <c r="M2433" s="6">
        <f>K2433*4</f>
        <v/>
      </c>
      <c r="N2433" s="6" t="n">
        <v>569</v>
      </c>
    </row>
    <row r="2434">
      <c r="A2434" s="1" t="inlineStr">
        <is>
          <t>63ebddddb879a</t>
        </is>
      </c>
      <c r="B2434" s="1" t="inlineStr">
        <is>
          <t>PULSERA CLIC H GOLD WHITE</t>
        </is>
      </c>
      <c r="C2434" s="1" t="inlineStr">
        <is>
          <t>16.8 cm</t>
        </is>
      </c>
      <c r="D2434" s="1" t="inlineStr">
        <is>
          <t>06/05/2026</t>
        </is>
      </c>
      <c r="E2434" s="1" t="n">
        <v>2026</v>
      </c>
      <c r="F2434" s="1" t="inlineStr">
        <is>
          <t>MAYO</t>
        </is>
      </c>
      <c r="G2434" s="1" t="inlineStr">
        <is>
          <t>HAIFENG</t>
        </is>
      </c>
      <c r="H2434" s="1" t="inlineStr">
        <is>
          <t>HAIFENG 06/05/2026</t>
        </is>
      </c>
      <c r="I2434" s="4" t="n">
        <v>12</v>
      </c>
      <c r="J2434" s="6" t="n">
        <v>5</v>
      </c>
      <c r="K2434" s="6" t="n">
        <v>106.0932113</v>
      </c>
      <c r="L2434" s="6">
        <f>I2434*K2434</f>
        <v/>
      </c>
      <c r="M2434" s="6">
        <f>K2434*4</f>
        <v/>
      </c>
      <c r="N2434" s="6" t="n">
        <v>569</v>
      </c>
    </row>
    <row r="2435">
      <c r="A2435" s="1" t="inlineStr">
        <is>
          <t>63ebde48917bc</t>
        </is>
      </c>
      <c r="B2435" s="1" t="inlineStr">
        <is>
          <t>PULSERA CLIC H GOLD BLUE</t>
        </is>
      </c>
      <c r="C2435" s="1" t="inlineStr">
        <is>
          <t>16.8 cm</t>
        </is>
      </c>
      <c r="D2435" s="1" t="inlineStr">
        <is>
          <t>11/03/2026</t>
        </is>
      </c>
      <c r="E2435" s="1" t="n">
        <v>2026</v>
      </c>
      <c r="F2435" s="1" t="inlineStr">
        <is>
          <t>MARZO</t>
        </is>
      </c>
      <c r="G2435" s="1" t="inlineStr">
        <is>
          <t>HAIFENG</t>
        </is>
      </c>
      <c r="H2435" s="1" t="inlineStr">
        <is>
          <t>HAIFENG 11/03/2026</t>
        </is>
      </c>
      <c r="I2435" s="4" t="n">
        <v>2</v>
      </c>
      <c r="J2435" s="6" t="n">
        <v>5</v>
      </c>
      <c r="K2435" s="6" t="n">
        <v>106.5194811</v>
      </c>
      <c r="L2435" s="6">
        <f>I2435*K2435</f>
        <v/>
      </c>
      <c r="M2435" s="6">
        <f>K2435*4</f>
        <v/>
      </c>
      <c r="N2435" s="6" t="n">
        <v>550</v>
      </c>
    </row>
    <row r="2436">
      <c r="A2436" s="1" t="inlineStr">
        <is>
          <t>63ebde48917bc</t>
        </is>
      </c>
      <c r="B2436" s="1" t="inlineStr">
        <is>
          <t>PULSERA CLIC H GOLD BLUE</t>
        </is>
      </c>
      <c r="C2436" s="1" t="inlineStr">
        <is>
          <t>16.8 cm</t>
        </is>
      </c>
      <c r="D2436" s="1" t="inlineStr">
        <is>
          <t>26/05/2026</t>
        </is>
      </c>
      <c r="E2436" s="1" t="n">
        <v>2026</v>
      </c>
      <c r="F2436" s="1" t="inlineStr">
        <is>
          <t>MAYO</t>
        </is>
      </c>
      <c r="G2436" s="1" t="inlineStr">
        <is>
          <t>HAIFENG</t>
        </is>
      </c>
      <c r="H2436" s="1" t="inlineStr">
        <is>
          <t>HAIFENG 26/05/2026</t>
        </is>
      </c>
      <c r="I2436" s="4" t="n">
        <v>4</v>
      </c>
      <c r="J2436" s="6" t="n">
        <v>5</v>
      </c>
      <c r="K2436" s="6" t="n">
        <v>104.9464765</v>
      </c>
      <c r="L2436" s="6">
        <f>I2436*K2436</f>
        <v/>
      </c>
      <c r="M2436" s="6">
        <f>K2436*4</f>
        <v/>
      </c>
      <c r="N2436" s="6" t="n">
        <v>550</v>
      </c>
    </row>
    <row r="2437">
      <c r="A2437" s="1" t="inlineStr">
        <is>
          <t>63ebdf168b8f4</t>
        </is>
      </c>
      <c r="B2437" s="1" t="inlineStr">
        <is>
          <t>PULSERA CON INSIGNIA DE MOÑO SILVER</t>
        </is>
      </c>
      <c r="C2437" s="1" t="inlineStr">
        <is>
          <t>16 cm</t>
        </is>
      </c>
      <c r="D2437" s="1" t="inlineStr">
        <is>
          <t>01/09/2025</t>
        </is>
      </c>
      <c r="E2437" s="1" t="n">
        <v>2025</v>
      </c>
      <c r="F2437" s="1" t="inlineStr">
        <is>
          <t>SEPTIEMBRE</t>
        </is>
      </c>
      <c r="G2437" s="1" t="inlineStr">
        <is>
          <t>HAIFENG</t>
        </is>
      </c>
      <c r="H2437" s="1" t="inlineStr">
        <is>
          <t>HAIFENG 01/09/2025</t>
        </is>
      </c>
      <c r="I2437" s="4" t="n">
        <v>4</v>
      </c>
      <c r="J2437" s="6" t="n">
        <v>5</v>
      </c>
      <c r="K2437" s="6" t="n">
        <v>106.2783553</v>
      </c>
      <c r="L2437" s="6">
        <f>I2437*K2437</f>
        <v/>
      </c>
      <c r="M2437" s="6">
        <f>K2437*4</f>
        <v/>
      </c>
      <c r="N2437" s="6" t="n">
        <v>412</v>
      </c>
    </row>
    <row r="2438">
      <c r="A2438" s="1" t="inlineStr">
        <is>
          <t>63ebdf168b8f4</t>
        </is>
      </c>
      <c r="B2438" s="1" t="inlineStr">
        <is>
          <t>PULSERA CON INSIGNIA DE MOÑO SILVER</t>
        </is>
      </c>
      <c r="C2438" s="1" t="inlineStr">
        <is>
          <t>16 cm</t>
        </is>
      </c>
      <c r="D2438" s="1" t="inlineStr">
        <is>
          <t>11/03/2026</t>
        </is>
      </c>
      <c r="E2438" s="1" t="n">
        <v>2026</v>
      </c>
      <c r="F2438" s="1" t="inlineStr">
        <is>
          <t>MARZO</t>
        </is>
      </c>
      <c r="G2438" s="1" t="inlineStr">
        <is>
          <t>HAIFENG</t>
        </is>
      </c>
      <c r="H2438" s="1" t="inlineStr">
        <is>
          <t>HAIFENG 11/03/2026</t>
        </is>
      </c>
      <c r="I2438" s="4" t="n">
        <v>2</v>
      </c>
      <c r="J2438" s="6" t="n">
        <v>5</v>
      </c>
      <c r="K2438" s="6" t="n">
        <v>106.5194811</v>
      </c>
      <c r="L2438" s="6">
        <f>I2438*K2438</f>
        <v/>
      </c>
      <c r="M2438" s="6">
        <f>K2438*4</f>
        <v/>
      </c>
      <c r="N2438" s="6" t="n">
        <v>525</v>
      </c>
    </row>
    <row r="2439">
      <c r="A2439" s="1" t="inlineStr">
        <is>
          <t>63ebdf24125c5</t>
        </is>
      </c>
      <c r="B2439" s="1" t="inlineStr">
        <is>
          <t>PULSERA LOVE DELGADA SILVER CON MICRO ZIRCONIAS</t>
        </is>
      </c>
      <c r="C2439" s="1" t="inlineStr">
        <is>
          <t>16 cm</t>
        </is>
      </c>
      <c r="D2439" s="1" t="inlineStr">
        <is>
          <t>11/11/2025</t>
        </is>
      </c>
      <c r="E2439" s="1" t="n">
        <v>2025</v>
      </c>
      <c r="F2439" s="1" t="inlineStr">
        <is>
          <t>NOVIEMBRE</t>
        </is>
      </c>
      <c r="G2439" s="1" t="inlineStr">
        <is>
          <t>HAIFENG</t>
        </is>
      </c>
      <c r="H2439" s="1" t="inlineStr">
        <is>
          <t>HAIFENG 11/11/2025</t>
        </is>
      </c>
      <c r="I2439" s="4" t="n">
        <v>2</v>
      </c>
      <c r="J2439" s="6" t="n">
        <v>13</v>
      </c>
      <c r="K2439" s="6" t="n">
        <v>273.7864798</v>
      </c>
      <c r="L2439" s="6">
        <f>I2439*K2439</f>
        <v/>
      </c>
      <c r="M2439" s="6">
        <f>K2439*4</f>
        <v/>
      </c>
      <c r="N2439" s="6" t="n">
        <v>1099</v>
      </c>
    </row>
    <row r="2440">
      <c r="A2440" s="1" t="inlineStr">
        <is>
          <t>63ebdf2503ebb</t>
        </is>
      </c>
      <c r="B2440" s="1" t="inlineStr">
        <is>
          <t>PULSERA LOVE DELGADA SILVER CON MICRO ZIRCONIAS</t>
        </is>
      </c>
      <c r="C2440" s="1" t="inlineStr">
        <is>
          <t>18 cm</t>
        </is>
      </c>
      <c r="D2440" s="1" t="inlineStr">
        <is>
          <t>03/12/2025</t>
        </is>
      </c>
      <c r="E2440" s="1" t="n">
        <v>2025</v>
      </c>
      <c r="F2440" s="1" t="inlineStr">
        <is>
          <t>DICIEMBRE</t>
        </is>
      </c>
      <c r="G2440" s="1" t="inlineStr">
        <is>
          <t>HAIFENG</t>
        </is>
      </c>
      <c r="H2440" s="1" t="inlineStr">
        <is>
          <t>HAIFENG 03/12/2025</t>
        </is>
      </c>
      <c r="I2440" s="4" t="n">
        <v>2</v>
      </c>
      <c r="J2440" s="6" t="n">
        <v>13</v>
      </c>
      <c r="K2440" s="6" t="n">
        <v>271.9230801</v>
      </c>
      <c r="L2440" s="6">
        <f>I2440*K2440</f>
        <v/>
      </c>
      <c r="M2440" s="6">
        <f>K2440*4</f>
        <v/>
      </c>
      <c r="N2440" s="6" t="n">
        <v>1099</v>
      </c>
    </row>
    <row r="2441">
      <c r="A2441" s="1" t="inlineStr">
        <is>
          <t>63ebdf2503ebb</t>
        </is>
      </c>
      <c r="B2441" s="1" t="inlineStr">
        <is>
          <t>PULSERA LOVE DELGADA SILVER CON MICRO ZIRCONIAS</t>
        </is>
      </c>
      <c r="C2441" s="1" t="inlineStr">
        <is>
          <t>18 cm</t>
        </is>
      </c>
      <c r="D2441" s="1" t="inlineStr">
        <is>
          <t>11/03/2026</t>
        </is>
      </c>
      <c r="E2441" s="1" t="n">
        <v>2026</v>
      </c>
      <c r="F2441" s="1" t="inlineStr">
        <is>
          <t>MARZO</t>
        </is>
      </c>
      <c r="G2441" s="1" t="inlineStr">
        <is>
          <t>HAIFENG</t>
        </is>
      </c>
      <c r="H2441" s="1" t="inlineStr">
        <is>
          <t>HAIFENG 11/03/2026</t>
        </is>
      </c>
      <c r="I2441" s="4" t="n">
        <v>3</v>
      </c>
      <c r="J2441" s="6" t="n">
        <v>13</v>
      </c>
      <c r="K2441" s="6" t="n">
        <v>276.9506508</v>
      </c>
      <c r="L2441" s="6">
        <f>I2441*K2441</f>
        <v/>
      </c>
      <c r="M2441" s="6">
        <f>K2441*4</f>
        <v/>
      </c>
      <c r="N2441" s="6" t="n">
        <v>1099</v>
      </c>
    </row>
    <row r="2442">
      <c r="A2442" s="1" t="inlineStr">
        <is>
          <t>63ebdf2503ebb</t>
        </is>
      </c>
      <c r="B2442" s="1" t="inlineStr">
        <is>
          <t>PULSERA LOVE DELGADA SILVER CON MICRO ZIRCONIAS</t>
        </is>
      </c>
      <c r="C2442" s="1" t="inlineStr">
        <is>
          <t>18 cm</t>
        </is>
      </c>
      <c r="D2442" s="1" t="inlineStr">
        <is>
          <t>26/05/2026</t>
        </is>
      </c>
      <c r="E2442" s="1" t="n">
        <v>2026</v>
      </c>
      <c r="F2442" s="1" t="inlineStr">
        <is>
          <t>MAYO</t>
        </is>
      </c>
      <c r="G2442" s="1" t="inlineStr">
        <is>
          <t>HAIFENG</t>
        </is>
      </c>
      <c r="H2442" s="1" t="inlineStr">
        <is>
          <t>HAIFENG 26/05/2026</t>
        </is>
      </c>
      <c r="I2442" s="4" t="n">
        <v>6</v>
      </c>
      <c r="J2442" s="6" t="n">
        <v>13</v>
      </c>
      <c r="K2442" s="6" t="n">
        <v>272.8608388</v>
      </c>
      <c r="L2442" s="6">
        <f>I2442*K2442</f>
        <v/>
      </c>
      <c r="M2442" s="6">
        <f>K2442*4</f>
        <v/>
      </c>
      <c r="N2442" s="6" t="n">
        <v>1099</v>
      </c>
    </row>
    <row r="2443">
      <c r="A2443" s="1" t="inlineStr">
        <is>
          <t>63ebdf25cba1e</t>
        </is>
      </c>
      <c r="B2443" s="1" t="inlineStr">
        <is>
          <t>PULSERA LOVE DELGADA SILVER CON MICRO ZIRCONIAS</t>
        </is>
      </c>
      <c r="C2443" s="1" t="inlineStr">
        <is>
          <t>19 cm</t>
        </is>
      </c>
      <c r="D2443" s="1" t="inlineStr">
        <is>
          <t>25/09/2025</t>
        </is>
      </c>
      <c r="E2443" s="1" t="n">
        <v>2025</v>
      </c>
      <c r="F2443" s="1" t="inlineStr">
        <is>
          <t>SEPTIEMBRE</t>
        </is>
      </c>
      <c r="G2443" s="1" t="inlineStr">
        <is>
          <t>HAIFENG</t>
        </is>
      </c>
      <c r="H2443" s="1" t="inlineStr">
        <is>
          <t>HAIFENG 25/09/2025</t>
        </is>
      </c>
      <c r="I2443" s="4" t="n">
        <v>3</v>
      </c>
      <c r="J2443" s="6" t="n">
        <v>13</v>
      </c>
      <c r="K2443" s="6" t="n">
        <v>274.259515</v>
      </c>
      <c r="L2443" s="6">
        <f>I2443*K2443</f>
        <v/>
      </c>
      <c r="M2443" s="6">
        <f>K2443*4</f>
        <v/>
      </c>
      <c r="N2443" s="6" t="n">
        <v>1099</v>
      </c>
    </row>
    <row r="2444">
      <c r="A2444" s="1" t="inlineStr">
        <is>
          <t>63ebdf25cba1e</t>
        </is>
      </c>
      <c r="B2444" s="1" t="inlineStr">
        <is>
          <t>PULSERA LOVE DELGADA SILVER CON MICRO ZIRCONIAS</t>
        </is>
      </c>
      <c r="C2444" s="1" t="inlineStr">
        <is>
          <t>19 cm</t>
        </is>
      </c>
      <c r="D2444" s="1" t="inlineStr">
        <is>
          <t>16/04/2026</t>
        </is>
      </c>
      <c r="E2444" s="1" t="n">
        <v>2026</v>
      </c>
      <c r="F2444" s="1" t="inlineStr">
        <is>
          <t>ABRIL</t>
        </is>
      </c>
      <c r="G2444" s="1" t="inlineStr">
        <is>
          <t>HAIFENG</t>
        </is>
      </c>
      <c r="H2444" s="1" t="inlineStr">
        <is>
          <t>HAIFENG 16/04/2026</t>
        </is>
      </c>
      <c r="I2444" s="4" t="n">
        <v>1</v>
      </c>
      <c r="J2444" s="6" t="n">
        <v>13</v>
      </c>
      <c r="K2444" s="6" t="n">
        <v>273.4091567</v>
      </c>
      <c r="L2444" s="6">
        <f>I2444*K2444</f>
        <v/>
      </c>
      <c r="M2444" s="6">
        <f>K2444*4</f>
        <v/>
      </c>
      <c r="N2444" s="6" t="n">
        <v>1099</v>
      </c>
    </row>
    <row r="2445">
      <c r="A2445" s="1" t="inlineStr">
        <is>
          <t>63ebdf98523b4</t>
        </is>
      </c>
      <c r="B2445" s="1" t="inlineStr">
        <is>
          <t>PULSERA LOVE DELGADA GOLD CON MICRO ZIRCONIAS</t>
        </is>
      </c>
      <c r="C2445" s="1" t="inlineStr">
        <is>
          <t>16 cm</t>
        </is>
      </c>
      <c r="D2445" s="1" t="inlineStr">
        <is>
          <t>11/11/2025</t>
        </is>
      </c>
      <c r="E2445" s="1" t="n">
        <v>2025</v>
      </c>
      <c r="F2445" s="1" t="inlineStr">
        <is>
          <t>NOVIEMBRE</t>
        </is>
      </c>
      <c r="G2445" s="1" t="inlineStr">
        <is>
          <t>HAIFENG</t>
        </is>
      </c>
      <c r="H2445" s="1" t="inlineStr">
        <is>
          <t>HAIFENG 11/11/2025</t>
        </is>
      </c>
      <c r="I2445" s="4" t="n">
        <v>3</v>
      </c>
      <c r="J2445" s="6" t="n">
        <v>13</v>
      </c>
      <c r="K2445" s="6" t="n">
        <v>273.7864798</v>
      </c>
      <c r="L2445" s="6">
        <f>I2445*K2445</f>
        <v/>
      </c>
      <c r="M2445" s="6">
        <f>K2445*4</f>
        <v/>
      </c>
      <c r="N2445" s="6" t="n">
        <v>1099</v>
      </c>
    </row>
    <row r="2446">
      <c r="A2446" s="1" t="inlineStr">
        <is>
          <t>63ebdf98523b4</t>
        </is>
      </c>
      <c r="B2446" s="1" t="inlineStr">
        <is>
          <t>PULSERA LOVE DELGADA GOLD CON MICRO ZIRCONIAS</t>
        </is>
      </c>
      <c r="C2446" s="1" t="inlineStr">
        <is>
          <t>16 cm</t>
        </is>
      </c>
      <c r="D2446" s="1" t="inlineStr">
        <is>
          <t>16/04/2026</t>
        </is>
      </c>
      <c r="E2446" s="1" t="n">
        <v>2026</v>
      </c>
      <c r="F2446" s="1" t="inlineStr">
        <is>
          <t>ABRIL</t>
        </is>
      </c>
      <c r="G2446" s="1" t="inlineStr">
        <is>
          <t>HAIFENG</t>
        </is>
      </c>
      <c r="H2446" s="1" t="inlineStr">
        <is>
          <t>HAIFENG 16/04/2026</t>
        </is>
      </c>
      <c r="I2446" s="4" t="n">
        <v>2</v>
      </c>
      <c r="J2446" s="6" t="n">
        <v>13</v>
      </c>
      <c r="K2446" s="6" t="n">
        <v>273.4091567</v>
      </c>
      <c r="L2446" s="6">
        <f>I2446*K2446</f>
        <v/>
      </c>
      <c r="M2446" s="6">
        <f>K2446*4</f>
        <v/>
      </c>
      <c r="N2446" s="6" t="n">
        <v>1099</v>
      </c>
    </row>
    <row r="2447">
      <c r="A2447" s="1" t="inlineStr">
        <is>
          <t>63ebdf98523b4</t>
        </is>
      </c>
      <c r="B2447" s="1" t="inlineStr">
        <is>
          <t>PULSERA LOVE DELGADA GOLD CON MICRO ZIRCONIAS</t>
        </is>
      </c>
      <c r="C2447" s="1" t="inlineStr">
        <is>
          <t>16 cm</t>
        </is>
      </c>
      <c r="D2447" s="1" t="inlineStr">
        <is>
          <t>06/05/2026</t>
        </is>
      </c>
      <c r="E2447" s="1" t="n">
        <v>2026</v>
      </c>
      <c r="F2447" s="1" t="inlineStr">
        <is>
          <t>MAYO</t>
        </is>
      </c>
      <c r="G2447" s="1" t="inlineStr">
        <is>
          <t>HAIFENG</t>
        </is>
      </c>
      <c r="H2447" s="1" t="inlineStr">
        <is>
          <t>HAIFENG 06/05/2026</t>
        </is>
      </c>
      <c r="I2447" s="4" t="n">
        <v>2</v>
      </c>
      <c r="J2447" s="6" t="n">
        <v>13</v>
      </c>
      <c r="K2447" s="6" t="n">
        <v>275.8423495</v>
      </c>
      <c r="L2447" s="6">
        <f>I2447*K2447</f>
        <v/>
      </c>
      <c r="M2447" s="6">
        <f>K2447*4</f>
        <v/>
      </c>
      <c r="N2447" s="6" t="n">
        <v>1099</v>
      </c>
    </row>
    <row r="2448">
      <c r="A2448" s="1" t="inlineStr">
        <is>
          <t>63ebdf98523b4</t>
        </is>
      </c>
      <c r="B2448" s="1" t="inlineStr">
        <is>
          <t>PULSERA LOVE DELGADA GOLD CON MICRO ZIRCONIAS</t>
        </is>
      </c>
      <c r="C2448" s="1" t="inlineStr">
        <is>
          <t>16 cm</t>
        </is>
      </c>
      <c r="D2448" s="1" t="inlineStr">
        <is>
          <t>16/06/2026</t>
        </is>
      </c>
      <c r="E2448" s="1" t="n">
        <v>2026</v>
      </c>
      <c r="F2448" s="1" t="inlineStr">
        <is>
          <t>JUNIO</t>
        </is>
      </c>
      <c r="G2448" s="1" t="inlineStr">
        <is>
          <t>HAIFENG</t>
        </is>
      </c>
      <c r="H2448" s="1" t="inlineStr">
        <is>
          <t>HAIFENG 16/06/2026</t>
        </is>
      </c>
      <c r="I2448" s="4" t="n">
        <v>2</v>
      </c>
      <c r="J2448" s="6" t="n">
        <v>13</v>
      </c>
      <c r="K2448" s="6" t="n">
        <v>273.189884</v>
      </c>
      <c r="L2448" s="6">
        <f>I2448*K2448</f>
        <v/>
      </c>
      <c r="M2448" s="6">
        <f>K2448*4</f>
        <v/>
      </c>
      <c r="N2448" s="6" t="n">
        <v>1099</v>
      </c>
    </row>
    <row r="2449">
      <c r="A2449" s="1" t="inlineStr">
        <is>
          <t>63ebdf992a2c6</t>
        </is>
      </c>
      <c r="B2449" s="1" t="inlineStr">
        <is>
          <t>PULSERA LOVE DELGADA GOLD CON MICRO ZIRCONIAS</t>
        </is>
      </c>
      <c r="C2449" s="1" t="inlineStr">
        <is>
          <t>17cm</t>
        </is>
      </c>
      <c r="D2449" s="1" t="inlineStr">
        <is>
          <t>03/12/2025</t>
        </is>
      </c>
      <c r="E2449" s="1" t="n">
        <v>2025</v>
      </c>
      <c r="F2449" s="1" t="inlineStr">
        <is>
          <t>DICIEMBRE</t>
        </is>
      </c>
      <c r="G2449" s="1" t="inlineStr">
        <is>
          <t>HAIFENG</t>
        </is>
      </c>
      <c r="H2449" s="1" t="inlineStr">
        <is>
          <t>HAIFENG 03/12/2025</t>
        </is>
      </c>
      <c r="I2449" s="4" t="n">
        <v>5</v>
      </c>
      <c r="J2449" s="6" t="n">
        <v>13</v>
      </c>
      <c r="K2449" s="6" t="n">
        <v>271.9230801</v>
      </c>
      <c r="L2449" s="6">
        <f>I2449*K2449</f>
        <v/>
      </c>
      <c r="M2449" s="6">
        <f>K2449*4</f>
        <v/>
      </c>
      <c r="N2449" s="6" t="n">
        <v>1099</v>
      </c>
    </row>
    <row r="2450">
      <c r="A2450" s="1" t="inlineStr">
        <is>
          <t>63ebdf992a2c6</t>
        </is>
      </c>
      <c r="B2450" s="1" t="inlineStr">
        <is>
          <t>PULSERA LOVE DELGADA GOLD CON MICRO ZIRCONIAS</t>
        </is>
      </c>
      <c r="C2450" s="1" t="inlineStr">
        <is>
          <t>17cm</t>
        </is>
      </c>
      <c r="D2450" s="1" t="inlineStr">
        <is>
          <t>16/06/2026</t>
        </is>
      </c>
      <c r="E2450" s="1" t="n">
        <v>2026</v>
      </c>
      <c r="F2450" s="1" t="inlineStr">
        <is>
          <t>JUNIO</t>
        </is>
      </c>
      <c r="G2450" s="1" t="inlineStr">
        <is>
          <t>HAIFENG</t>
        </is>
      </c>
      <c r="H2450" s="1" t="inlineStr">
        <is>
          <t>HAIFENG 16/06/2026</t>
        </is>
      </c>
      <c r="I2450" s="4" t="n">
        <v>5</v>
      </c>
      <c r="J2450" s="6" t="n">
        <v>13</v>
      </c>
      <c r="K2450" s="6" t="n">
        <v>273.189884</v>
      </c>
      <c r="L2450" s="6">
        <f>I2450*K2450</f>
        <v/>
      </c>
      <c r="M2450" s="6">
        <f>K2450*4</f>
        <v/>
      </c>
      <c r="N2450" s="6" t="n">
        <v>1099</v>
      </c>
    </row>
    <row r="2451">
      <c r="A2451" s="1" t="inlineStr">
        <is>
          <t>63ebdf99e880b</t>
        </is>
      </c>
      <c r="B2451" s="1" t="inlineStr">
        <is>
          <t>PULSERA LOVE DELGADA GOLD CON MICRO ZIRCONIAS</t>
        </is>
      </c>
      <c r="C2451" s="1" t="inlineStr">
        <is>
          <t>18 cm</t>
        </is>
      </c>
      <c r="D2451" s="1" t="inlineStr">
        <is>
          <t>11/11/2025</t>
        </is>
      </c>
      <c r="E2451" s="1" t="n">
        <v>2025</v>
      </c>
      <c r="F2451" s="1" t="inlineStr">
        <is>
          <t>NOVIEMBRE</t>
        </is>
      </c>
      <c r="G2451" s="1" t="inlineStr">
        <is>
          <t>HAIFENG</t>
        </is>
      </c>
      <c r="H2451" s="1" t="inlineStr">
        <is>
          <t>HAIFENG 11/11/2025</t>
        </is>
      </c>
      <c r="I2451" s="4" t="n">
        <v>3</v>
      </c>
      <c r="J2451" s="6" t="n">
        <v>13</v>
      </c>
      <c r="K2451" s="6" t="n">
        <v>273.7864798</v>
      </c>
      <c r="L2451" s="6">
        <f>I2451*K2451</f>
        <v/>
      </c>
      <c r="M2451" s="6">
        <f>K2451*4</f>
        <v/>
      </c>
      <c r="N2451" s="6" t="n">
        <v>1099</v>
      </c>
    </row>
    <row r="2452">
      <c r="A2452" s="1" t="inlineStr">
        <is>
          <t>63ebdf99e880b</t>
        </is>
      </c>
      <c r="B2452" s="1" t="inlineStr">
        <is>
          <t>PULSERA LOVE DELGADA GOLD CON MICRO ZIRCONIAS</t>
        </is>
      </c>
      <c r="C2452" s="1" t="inlineStr">
        <is>
          <t>18 cm</t>
        </is>
      </c>
      <c r="D2452" s="1" t="inlineStr">
        <is>
          <t>03/12/2025</t>
        </is>
      </c>
      <c r="E2452" s="1" t="n">
        <v>2025</v>
      </c>
      <c r="F2452" s="1" t="inlineStr">
        <is>
          <t>DICIEMBRE</t>
        </is>
      </c>
      <c r="G2452" s="1" t="inlineStr">
        <is>
          <t>HAIFENG</t>
        </is>
      </c>
      <c r="H2452" s="1" t="inlineStr">
        <is>
          <t>HAIFENG 03/12/2025</t>
        </is>
      </c>
      <c r="I2452" s="4" t="n">
        <v>2</v>
      </c>
      <c r="J2452" s="6" t="n">
        <v>13</v>
      </c>
      <c r="K2452" s="6" t="n">
        <v>271.9230801</v>
      </c>
      <c r="L2452" s="6">
        <f>I2452*K2452</f>
        <v/>
      </c>
      <c r="M2452" s="6">
        <f>K2452*4</f>
        <v/>
      </c>
      <c r="N2452" s="6" t="n">
        <v>1099</v>
      </c>
    </row>
    <row r="2453">
      <c r="A2453" s="1" t="inlineStr">
        <is>
          <t>63ebdf9ac3082</t>
        </is>
      </c>
      <c r="B2453" s="1" t="inlineStr">
        <is>
          <t>PULSERA LOVE DELGADA GOLD CON MICRO ZIRCONIAS</t>
        </is>
      </c>
      <c r="C2453" s="1" t="inlineStr">
        <is>
          <t>19 cm</t>
        </is>
      </c>
      <c r="D2453" s="1" t="inlineStr">
        <is>
          <t>11/11/2025</t>
        </is>
      </c>
      <c r="E2453" s="1" t="n">
        <v>2025</v>
      </c>
      <c r="F2453" s="1" t="inlineStr">
        <is>
          <t>NOVIEMBRE</t>
        </is>
      </c>
      <c r="G2453" s="1" t="inlineStr">
        <is>
          <t>HAIFENG</t>
        </is>
      </c>
      <c r="H2453" s="1" t="inlineStr">
        <is>
          <t>HAIFENG 11/11/2025</t>
        </is>
      </c>
      <c r="I2453" s="4" t="n">
        <v>1</v>
      </c>
      <c r="J2453" s="6" t="n">
        <v>13</v>
      </c>
      <c r="K2453" s="6" t="n">
        <v>273.7864798</v>
      </c>
      <c r="L2453" s="6">
        <f>I2453*K2453</f>
        <v/>
      </c>
      <c r="M2453" s="6">
        <f>K2453*4</f>
        <v/>
      </c>
      <c r="N2453" s="6" t="n">
        <v>1099</v>
      </c>
    </row>
    <row r="2454">
      <c r="A2454" s="1" t="inlineStr">
        <is>
          <t>63ebdf9b7c339</t>
        </is>
      </c>
      <c r="B2454" s="1" t="inlineStr">
        <is>
          <t>PULSERA LOVE DELGADA GOLD CON MICRO ZIRCONIAS</t>
        </is>
      </c>
      <c r="C2454" s="1" t="inlineStr">
        <is>
          <t>20 cm</t>
        </is>
      </c>
      <c r="D2454" s="1" t="inlineStr">
        <is>
          <t>11/03/2026</t>
        </is>
      </c>
      <c r="E2454" s="1" t="n">
        <v>2026</v>
      </c>
      <c r="F2454" s="1" t="inlineStr">
        <is>
          <t>MARZO</t>
        </is>
      </c>
      <c r="G2454" s="1" t="inlineStr">
        <is>
          <t>HAIFENG</t>
        </is>
      </c>
      <c r="H2454" s="1" t="inlineStr">
        <is>
          <t>HAIFENG 11/03/2026</t>
        </is>
      </c>
      <c r="I2454" s="4" t="n">
        <v>1</v>
      </c>
      <c r="J2454" s="6" t="n">
        <v>13</v>
      </c>
      <c r="K2454" s="6" t="n">
        <v>276.9506508</v>
      </c>
      <c r="L2454" s="6">
        <f>I2454*K2454</f>
        <v/>
      </c>
      <c r="M2454" s="6">
        <f>K2454*4</f>
        <v/>
      </c>
      <c r="N2454" s="6" t="n">
        <v>1099</v>
      </c>
    </row>
    <row r="2455">
      <c r="A2455" s="1" t="inlineStr">
        <is>
          <t>63ebe022e73ea</t>
        </is>
      </c>
      <c r="B2455" s="1" t="inlineStr">
        <is>
          <t>PULSERA SERPENTI ROSE GOLD CON ZIRCONIA</t>
        </is>
      </c>
      <c r="C2455" s="1" t="inlineStr">
        <is>
          <t>18 cm</t>
        </is>
      </c>
      <c r="D2455" s="1" t="inlineStr">
        <is>
          <t>18/02/2026</t>
        </is>
      </c>
      <c r="E2455" s="1" t="n">
        <v>2026</v>
      </c>
      <c r="F2455" s="1" t="inlineStr">
        <is>
          <t>FEBRERO</t>
        </is>
      </c>
      <c r="G2455" s="1" t="inlineStr">
        <is>
          <t>CYNTHIA</t>
        </is>
      </c>
      <c r="H2455" s="1" t="inlineStr">
        <is>
          <t>CYNTHIA 18/02/2026</t>
        </is>
      </c>
      <c r="I2455" s="4" t="n">
        <v>2</v>
      </c>
      <c r="J2455" s="6" t="n">
        <v>13.8</v>
      </c>
      <c r="K2455" s="6" t="n">
        <v>373.1984397</v>
      </c>
      <c r="L2455" s="6">
        <f>I2455*K2455</f>
        <v/>
      </c>
      <c r="M2455" s="6">
        <f>K2455*4</f>
        <v/>
      </c>
      <c r="N2455" s="6" t="n">
        <v>1499</v>
      </c>
    </row>
    <row r="2456">
      <c r="A2456" s="1" t="inlineStr">
        <is>
          <t>63ebe0260e034</t>
        </is>
      </c>
      <c r="B2456" s="1" t="inlineStr">
        <is>
          <t>PULSERA SERPENTI SILVER CON ZIRCONIA</t>
        </is>
      </c>
      <c r="C2456" s="1" t="inlineStr">
        <is>
          <t>18 cm</t>
        </is>
      </c>
      <c r="D2456" s="1" t="inlineStr">
        <is>
          <t>07/01/2026</t>
        </is>
      </c>
      <c r="E2456" s="1" t="n">
        <v>2026</v>
      </c>
      <c r="F2456" s="1" t="inlineStr">
        <is>
          <t>ENERO</t>
        </is>
      </c>
      <c r="G2456" s="1" t="inlineStr">
        <is>
          <t>CYNTHIA</t>
        </is>
      </c>
      <c r="H2456" s="1" t="inlineStr">
        <is>
          <t>CYNTHIA 07/01/2026</t>
        </is>
      </c>
      <c r="I2456" s="4" t="n">
        <v>3</v>
      </c>
      <c r="J2456" s="6" t="n">
        <v>13.8</v>
      </c>
      <c r="K2456" s="6" t="n">
        <v>366.9065019</v>
      </c>
      <c r="L2456" s="6">
        <f>I2456*K2456</f>
        <v/>
      </c>
      <c r="M2456" s="6">
        <f>K2456*4</f>
        <v/>
      </c>
      <c r="N2456" s="6" t="n">
        <v>1435</v>
      </c>
    </row>
    <row r="2457">
      <c r="A2457" s="1" t="inlineStr">
        <is>
          <t>63ebe0260e034</t>
        </is>
      </c>
      <c r="B2457" s="1" t="inlineStr">
        <is>
          <t>PULSERA SERPENTI SILVER CON ZIRCONIA</t>
        </is>
      </c>
      <c r="C2457" s="1" t="inlineStr">
        <is>
          <t>18 cm</t>
        </is>
      </c>
      <c r="D2457" s="1" t="inlineStr">
        <is>
          <t>27/04/2026</t>
        </is>
      </c>
      <c r="E2457" s="1" t="n">
        <v>2026</v>
      </c>
      <c r="F2457" s="1" t="inlineStr">
        <is>
          <t>ABRIL</t>
        </is>
      </c>
      <c r="G2457" s="1" t="inlineStr">
        <is>
          <t>CYNTHIA</t>
        </is>
      </c>
      <c r="H2457" s="1" t="inlineStr">
        <is>
          <t>CYNTHIA 27/04/2026</t>
        </is>
      </c>
      <c r="I2457" s="4" t="n">
        <v>3</v>
      </c>
      <c r="J2457" s="6" t="n">
        <v>13.8</v>
      </c>
      <c r="K2457" s="6" t="n">
        <v>358.1112781</v>
      </c>
      <c r="L2457" s="6">
        <f>I2457*K2457</f>
        <v/>
      </c>
      <c r="M2457" s="6">
        <f>K2457*4</f>
        <v/>
      </c>
      <c r="N2457" s="6" t="n">
        <v>1435</v>
      </c>
    </row>
    <row r="2458">
      <c r="A2458" s="1" t="inlineStr">
        <is>
          <t>63ebe03ea2adc</t>
        </is>
      </c>
      <c r="B2458" s="1" t="inlineStr">
        <is>
          <t>PULSERA V GOLD CON ZIRCONIA</t>
        </is>
      </c>
      <c r="C2458" s="1" t="inlineStr">
        <is>
          <t>18cm</t>
        </is>
      </c>
      <c r="D2458" s="1" t="inlineStr">
        <is>
          <t>06/09/2025</t>
        </is>
      </c>
      <c r="E2458" s="1" t="n">
        <v>2025</v>
      </c>
      <c r="F2458" s="1" t="inlineStr">
        <is>
          <t>SEPTIEMBRE</t>
        </is>
      </c>
      <c r="G2458" s="1" t="inlineStr">
        <is>
          <t>NANCY</t>
        </is>
      </c>
      <c r="H2458" s="1" t="inlineStr">
        <is>
          <t>NANCY 06/09/2025</t>
        </is>
      </c>
      <c r="I2458" s="4" t="n">
        <v>5</v>
      </c>
      <c r="J2458" s="6" t="n">
        <v>6.19</v>
      </c>
      <c r="K2458" s="6" t="n">
        <v>144.1382328</v>
      </c>
      <c r="L2458" s="6">
        <f>I2458*K2458</f>
        <v/>
      </c>
      <c r="M2458" s="6">
        <f>K2458*4</f>
        <v/>
      </c>
      <c r="N2458" s="6" t="n">
        <v>599</v>
      </c>
    </row>
    <row r="2459">
      <c r="A2459" s="1" t="inlineStr">
        <is>
          <t>63ebe03ea2adc</t>
        </is>
      </c>
      <c r="B2459" s="1" t="inlineStr">
        <is>
          <t>PULSERA V GOLD CON ZIRCONIA</t>
        </is>
      </c>
      <c r="C2459" s="1" t="inlineStr">
        <is>
          <t>18cm</t>
        </is>
      </c>
      <c r="D2459" s="1" t="inlineStr">
        <is>
          <t>08/05/2026</t>
        </is>
      </c>
      <c r="E2459" s="1" t="n">
        <v>2026</v>
      </c>
      <c r="F2459" s="1" t="inlineStr">
        <is>
          <t>MAYO</t>
        </is>
      </c>
      <c r="G2459" s="1" t="inlineStr">
        <is>
          <t>NANCY</t>
        </is>
      </c>
      <c r="H2459" s="1" t="inlineStr">
        <is>
          <t>NANCY 08/05/2026</t>
        </is>
      </c>
      <c r="I2459" s="4" t="n">
        <v>3</v>
      </c>
      <c r="J2459" s="6" t="n">
        <v>6.19</v>
      </c>
      <c r="K2459" s="6" t="n">
        <v>146.4415382</v>
      </c>
      <c r="L2459" s="6">
        <f>I2459*K2459</f>
        <v/>
      </c>
      <c r="M2459" s="6">
        <f>K2459*4</f>
        <v/>
      </c>
      <c r="N2459" s="6" t="n">
        <v>599</v>
      </c>
    </row>
    <row r="2460">
      <c r="A2460" s="1" t="inlineStr">
        <is>
          <t>64085721001581</t>
        </is>
      </c>
      <c r="B2460" s="1" t="inlineStr">
        <is>
          <t>ARETES D’AMOUR XS GOLD C</t>
        </is>
      </c>
      <c r="C2460" s="1" t="inlineStr">
        <is>
          <t>Default Title</t>
        </is>
      </c>
      <c r="D2460" s="1" t="inlineStr">
        <is>
          <t>16/04/2026</t>
        </is>
      </c>
      <c r="E2460" s="1" t="n">
        <v>2026</v>
      </c>
      <c r="F2460" s="1" t="inlineStr">
        <is>
          <t>ABRIL</t>
        </is>
      </c>
      <c r="G2460" s="1" t="inlineStr">
        <is>
          <t>HAIFENG</t>
        </is>
      </c>
      <c r="H2460" s="1" t="inlineStr">
        <is>
          <t>HAIFENG 16/04/2026</t>
        </is>
      </c>
      <c r="I2460" s="4" t="n">
        <v>3</v>
      </c>
      <c r="J2460" s="6" t="n">
        <v>2.99</v>
      </c>
      <c r="K2460" s="6" t="n">
        <v>62.88410603</v>
      </c>
      <c r="L2460" s="6">
        <f>I2460*K2460</f>
        <v/>
      </c>
      <c r="M2460" s="6">
        <f>K2460*4</f>
        <v/>
      </c>
      <c r="N2460" s="6" t="n">
        <v>500</v>
      </c>
    </row>
    <row r="2461">
      <c r="A2461" s="1" t="inlineStr">
        <is>
          <t>64085721001581</t>
        </is>
      </c>
      <c r="B2461" s="1" t="inlineStr">
        <is>
          <t>ARETES D’AMOUR XS GOLD C</t>
        </is>
      </c>
      <c r="C2461" s="1" t="inlineStr">
        <is>
          <t>Default Title</t>
        </is>
      </c>
      <c r="D2461" s="1" t="inlineStr">
        <is>
          <t>06/05/2026</t>
        </is>
      </c>
      <c r="E2461" s="1" t="n">
        <v>2026</v>
      </c>
      <c r="F2461" s="1" t="inlineStr">
        <is>
          <t>MAYO</t>
        </is>
      </c>
      <c r="G2461" s="1" t="inlineStr">
        <is>
          <t>HAIFENG</t>
        </is>
      </c>
      <c r="H2461" s="1" t="inlineStr">
        <is>
          <t>HAIFENG 06/05/2026</t>
        </is>
      </c>
      <c r="I2461" s="4" t="n">
        <v>2</v>
      </c>
      <c r="J2461" s="6" t="n">
        <v>5.5</v>
      </c>
      <c r="K2461" s="6" t="n">
        <v>116.7025325</v>
      </c>
      <c r="L2461" s="6">
        <f>I2461*K2461</f>
        <v/>
      </c>
      <c r="M2461" s="6">
        <f>K2461*4</f>
        <v/>
      </c>
      <c r="N2461" s="6" t="n">
        <v>500</v>
      </c>
    </row>
    <row r="2462">
      <c r="A2462" s="1" t="inlineStr">
        <is>
          <t>64085741126029</t>
        </is>
      </c>
      <c r="B2462" s="1" t="inlineStr">
        <is>
          <t>ARETES PANTHERE GOLD C</t>
        </is>
      </c>
      <c r="C2462" s="1" t="inlineStr">
        <is>
          <t>Default Title</t>
        </is>
      </c>
      <c r="D2462" s="1" t="inlineStr">
        <is>
          <t>25/09/2025</t>
        </is>
      </c>
      <c r="E2462" s="1" t="n">
        <v>2025</v>
      </c>
      <c r="F2462" s="1" t="inlineStr">
        <is>
          <t>SEPTIEMBRE</t>
        </is>
      </c>
      <c r="G2462" s="1" t="inlineStr">
        <is>
          <t>HAIFENG</t>
        </is>
      </c>
      <c r="H2462" s="1" t="inlineStr">
        <is>
          <t>HAIFENG 25/09/2025</t>
        </is>
      </c>
      <c r="I2462" s="4" t="n">
        <v>7</v>
      </c>
      <c r="J2462" s="6" t="n">
        <v>6</v>
      </c>
      <c r="K2462" s="6" t="n">
        <v>126.5813146</v>
      </c>
      <c r="L2462" s="6">
        <f>I2462*K2462</f>
        <v/>
      </c>
      <c r="M2462" s="6">
        <f>K2462*4</f>
        <v/>
      </c>
      <c r="N2462" s="6" t="n">
        <v>499</v>
      </c>
    </row>
    <row r="2463">
      <c r="A2463" s="1" t="inlineStr">
        <is>
          <t>64085741126029</t>
        </is>
      </c>
      <c r="B2463" s="1" t="inlineStr">
        <is>
          <t>ARETES PANTHERE GOLD C</t>
        </is>
      </c>
      <c r="C2463" s="1" t="inlineStr">
        <is>
          <t>Default Title</t>
        </is>
      </c>
      <c r="D2463" s="1" t="inlineStr">
        <is>
          <t>20/01/2026</t>
        </is>
      </c>
      <c r="E2463" s="1" t="n">
        <v>2026</v>
      </c>
      <c r="F2463" s="1" t="inlineStr">
        <is>
          <t>ENERO</t>
        </is>
      </c>
      <c r="G2463" s="1" t="inlineStr">
        <is>
          <t>HAIFENG</t>
        </is>
      </c>
      <c r="H2463" s="1" t="inlineStr">
        <is>
          <t>HAIFENG 20/01/2026</t>
        </is>
      </c>
      <c r="I2463" s="4" t="n">
        <v>1</v>
      </c>
      <c r="J2463" s="6" t="n">
        <v>6</v>
      </c>
      <c r="K2463" s="6" t="n">
        <v>127.2025068</v>
      </c>
      <c r="L2463" s="6">
        <f>I2463*K2463</f>
        <v/>
      </c>
      <c r="M2463" s="6">
        <f>K2463*4</f>
        <v/>
      </c>
      <c r="N2463" s="6" t="n">
        <v>499</v>
      </c>
    </row>
    <row r="2464">
      <c r="A2464" s="1" t="inlineStr">
        <is>
          <t>64085741126029</t>
        </is>
      </c>
      <c r="B2464" s="1" t="inlineStr">
        <is>
          <t>ARETES PANTHERE GOLD C</t>
        </is>
      </c>
      <c r="C2464" s="1" t="inlineStr">
        <is>
          <t>Default Title</t>
        </is>
      </c>
      <c r="D2464" s="1" t="inlineStr">
        <is>
          <t>10/02/2026</t>
        </is>
      </c>
      <c r="E2464" s="1" t="n">
        <v>2026</v>
      </c>
      <c r="F2464" s="1" t="inlineStr">
        <is>
          <t>FEBRERO</t>
        </is>
      </c>
      <c r="G2464" s="1" t="inlineStr">
        <is>
          <t>HAIFENG</t>
        </is>
      </c>
      <c r="H2464" s="1" t="inlineStr">
        <is>
          <t>HAIFENG 10/02/2026</t>
        </is>
      </c>
      <c r="I2464" s="4" t="n">
        <v>2</v>
      </c>
      <c r="J2464" s="6" t="n">
        <v>6</v>
      </c>
      <c r="K2464" s="6" t="n">
        <v>126.4109764</v>
      </c>
      <c r="L2464" s="6">
        <f>I2464*K2464</f>
        <v/>
      </c>
      <c r="M2464" s="6">
        <f>K2464*4</f>
        <v/>
      </c>
      <c r="N2464" s="6" t="n">
        <v>499</v>
      </c>
    </row>
    <row r="2465">
      <c r="A2465" s="1" t="inlineStr">
        <is>
          <t>64085741294285</t>
        </is>
      </c>
      <c r="B2465" s="1" t="inlineStr">
        <is>
          <t>ARETES CLASH GOLD C</t>
        </is>
      </c>
      <c r="C2465" s="1" t="inlineStr">
        <is>
          <t>Default Title</t>
        </is>
      </c>
      <c r="D2465" s="1" t="inlineStr">
        <is>
          <t>01/09/2025</t>
        </is>
      </c>
      <c r="E2465" s="1" t="n">
        <v>2025</v>
      </c>
      <c r="F2465" s="1" t="inlineStr">
        <is>
          <t>SEPTIEMBRE</t>
        </is>
      </c>
      <c r="G2465" s="1" t="inlineStr">
        <is>
          <t>HAIFENG</t>
        </is>
      </c>
      <c r="H2465" s="1" t="inlineStr">
        <is>
          <t>HAIFENG 01/09/2025</t>
        </is>
      </c>
      <c r="I2465" s="4" t="n">
        <v>2</v>
      </c>
      <c r="J2465" s="6" t="n">
        <v>9</v>
      </c>
      <c r="K2465" s="6" t="n">
        <v>191.3010396</v>
      </c>
      <c r="L2465" s="6">
        <f>I2465*K2465</f>
        <v/>
      </c>
      <c r="M2465" s="6">
        <f>K2465*4</f>
        <v/>
      </c>
      <c r="N2465" s="6" t="n">
        <v>750</v>
      </c>
    </row>
    <row r="2466">
      <c r="A2466" s="1" t="inlineStr">
        <is>
          <t>64085741294285</t>
        </is>
      </c>
      <c r="B2466" s="1" t="inlineStr">
        <is>
          <t>ARETES CLASH GOLD C</t>
        </is>
      </c>
      <c r="C2466" s="1" t="inlineStr">
        <is>
          <t>Default Title</t>
        </is>
      </c>
      <c r="D2466" s="1" t="inlineStr">
        <is>
          <t>25/09/2025</t>
        </is>
      </c>
      <c r="E2466" s="1" t="n">
        <v>2025</v>
      </c>
      <c r="F2466" s="1" t="inlineStr">
        <is>
          <t>SEPTIEMBRE</t>
        </is>
      </c>
      <c r="G2466" s="1" t="inlineStr">
        <is>
          <t>HAIFENG</t>
        </is>
      </c>
      <c r="H2466" s="1" t="inlineStr">
        <is>
          <t>HAIFENG 25/09/2025</t>
        </is>
      </c>
      <c r="I2466" s="4" t="n">
        <v>2</v>
      </c>
      <c r="J2466" s="6" t="n">
        <v>9</v>
      </c>
      <c r="K2466" s="6" t="n">
        <v>189.8719719</v>
      </c>
      <c r="L2466" s="6">
        <f>I2466*K2466</f>
        <v/>
      </c>
      <c r="M2466" s="6">
        <f>K2466*4</f>
        <v/>
      </c>
      <c r="N2466" s="6" t="n">
        <v>750</v>
      </c>
    </row>
    <row r="2467">
      <c r="A2467" s="1" t="inlineStr">
        <is>
          <t>64085741294285</t>
        </is>
      </c>
      <c r="B2467" s="1" t="inlineStr">
        <is>
          <t>ARETES CLASH GOLD C</t>
        </is>
      </c>
      <c r="C2467" s="1" t="inlineStr">
        <is>
          <t>Default Title</t>
        </is>
      </c>
      <c r="D2467" s="1" t="inlineStr">
        <is>
          <t>03/12/2025</t>
        </is>
      </c>
      <c r="E2467" s="1" t="n">
        <v>2025</v>
      </c>
      <c r="F2467" s="1" t="inlineStr">
        <is>
          <t>DICIEMBRE</t>
        </is>
      </c>
      <c r="G2467" s="1" t="inlineStr">
        <is>
          <t>HAIFENG</t>
        </is>
      </c>
      <c r="H2467" s="1" t="inlineStr">
        <is>
          <t>HAIFENG 03/12/2025</t>
        </is>
      </c>
      <c r="I2467" s="4" t="n">
        <v>1</v>
      </c>
      <c r="J2467" s="6" t="n">
        <v>9</v>
      </c>
      <c r="K2467" s="6" t="n">
        <v>188.2544401</v>
      </c>
      <c r="L2467" s="6">
        <f>I2467*K2467</f>
        <v/>
      </c>
      <c r="M2467" s="6">
        <f>K2467*4</f>
        <v/>
      </c>
      <c r="N2467" s="6" t="n">
        <v>750</v>
      </c>
    </row>
    <row r="2468">
      <c r="A2468" s="1" t="inlineStr">
        <is>
          <t>64085741294285</t>
        </is>
      </c>
      <c r="B2468" s="1" t="inlineStr">
        <is>
          <t>ARETES CLASH GOLD C</t>
        </is>
      </c>
      <c r="C2468" s="1" t="inlineStr">
        <is>
          <t>Default Title</t>
        </is>
      </c>
      <c r="D2468" s="1" t="inlineStr">
        <is>
          <t>20/01/2026</t>
        </is>
      </c>
      <c r="E2468" s="1" t="n">
        <v>2026</v>
      </c>
      <c r="F2468" s="1" t="inlineStr">
        <is>
          <t>ENERO</t>
        </is>
      </c>
      <c r="G2468" s="1" t="inlineStr">
        <is>
          <t>HAIFENG</t>
        </is>
      </c>
      <c r="H2468" s="1" t="inlineStr">
        <is>
          <t>HAIFENG 20/01/2026</t>
        </is>
      </c>
      <c r="I2468" s="4" t="n">
        <v>3</v>
      </c>
      <c r="J2468" s="6" t="n">
        <v>9</v>
      </c>
      <c r="K2468" s="6" t="n">
        <v>190.8037601</v>
      </c>
      <c r="L2468" s="6">
        <f>I2468*K2468</f>
        <v/>
      </c>
      <c r="M2468" s="6">
        <f>K2468*4</f>
        <v/>
      </c>
      <c r="N2468" s="6" t="n">
        <v>750</v>
      </c>
    </row>
    <row r="2469">
      <c r="A2469" s="1" t="inlineStr">
        <is>
          <t>64085741294285</t>
        </is>
      </c>
      <c r="B2469" s="1" t="inlineStr">
        <is>
          <t>ARETES CLASH GOLD C</t>
        </is>
      </c>
      <c r="C2469" s="1" t="inlineStr">
        <is>
          <t>Default Title</t>
        </is>
      </c>
      <c r="D2469" s="1" t="inlineStr">
        <is>
          <t>16/04/2026</t>
        </is>
      </c>
      <c r="E2469" s="1" t="n">
        <v>2026</v>
      </c>
      <c r="F2469" s="1" t="inlineStr">
        <is>
          <t>ABRIL</t>
        </is>
      </c>
      <c r="G2469" s="1" t="inlineStr">
        <is>
          <t>HAIFENG</t>
        </is>
      </c>
      <c r="H2469" s="1" t="inlineStr">
        <is>
          <t>HAIFENG 16/04/2026</t>
        </is>
      </c>
      <c r="I2469" s="4" t="n">
        <v>2</v>
      </c>
      <c r="J2469" s="6" t="n">
        <v>9</v>
      </c>
      <c r="K2469" s="6" t="n">
        <v>189.2832623</v>
      </c>
      <c r="L2469" s="6">
        <f>I2469*K2469</f>
        <v/>
      </c>
      <c r="M2469" s="6">
        <f>K2469*4</f>
        <v/>
      </c>
      <c r="N2469" s="6" t="n">
        <v>750</v>
      </c>
    </row>
    <row r="2470">
      <c r="A2470" s="1" t="inlineStr">
        <is>
          <t>64085741294285</t>
        </is>
      </c>
      <c r="B2470" s="1" t="inlineStr">
        <is>
          <t>ARETES CLASH GOLD C</t>
        </is>
      </c>
      <c r="C2470" s="1" t="inlineStr">
        <is>
          <t>Default Title</t>
        </is>
      </c>
      <c r="D2470" s="1" t="inlineStr">
        <is>
          <t>26/05/2026</t>
        </is>
      </c>
      <c r="E2470" s="1" t="n">
        <v>2026</v>
      </c>
      <c r="F2470" s="1" t="inlineStr">
        <is>
          <t>MAYO</t>
        </is>
      </c>
      <c r="G2470" s="1" t="inlineStr">
        <is>
          <t>HAIFENG</t>
        </is>
      </c>
      <c r="H2470" s="1" t="inlineStr">
        <is>
          <t>HAIFENG 26/05/2026</t>
        </is>
      </c>
      <c r="I2470" s="4" t="n">
        <v>5</v>
      </c>
      <c r="J2470" s="6" t="n">
        <v>9</v>
      </c>
      <c r="K2470" s="6" t="n">
        <v>188.9036577</v>
      </c>
      <c r="L2470" s="6">
        <f>I2470*K2470</f>
        <v/>
      </c>
      <c r="M2470" s="6">
        <f>K2470*4</f>
        <v/>
      </c>
      <c r="N2470" s="6" t="n">
        <v>750</v>
      </c>
    </row>
    <row r="2471">
      <c r="A2471" s="1" t="inlineStr">
        <is>
          <t>64085741294285</t>
        </is>
      </c>
      <c r="B2471" s="1" t="inlineStr">
        <is>
          <t>ARETES CLASH GOLD C</t>
        </is>
      </c>
      <c r="C2471" s="1" t="inlineStr">
        <is>
          <t>Default Title</t>
        </is>
      </c>
      <c r="D2471" s="1" t="inlineStr">
        <is>
          <t>16/06/2026</t>
        </is>
      </c>
      <c r="E2471" s="1" t="n">
        <v>2026</v>
      </c>
      <c r="F2471" s="1" t="inlineStr">
        <is>
          <t>JUNIO</t>
        </is>
      </c>
      <c r="G2471" s="1" t="inlineStr">
        <is>
          <t>HAIFENG</t>
        </is>
      </c>
      <c r="H2471" s="1" t="inlineStr">
        <is>
          <t>HAIFENG 16/06/2026</t>
        </is>
      </c>
      <c r="I2471" s="4" t="n">
        <v>4</v>
      </c>
      <c r="J2471" s="6" t="n">
        <v>9</v>
      </c>
      <c r="K2471" s="6" t="n">
        <v>189.1314581</v>
      </c>
      <c r="L2471" s="6">
        <f>I2471*K2471</f>
        <v/>
      </c>
      <c r="M2471" s="6">
        <f>K2471*4</f>
        <v/>
      </c>
      <c r="N2471" s="6" t="n">
        <v>750</v>
      </c>
    </row>
    <row r="2472">
      <c r="A2472" s="1" t="inlineStr">
        <is>
          <t>64085741359693</t>
        </is>
      </c>
      <c r="B2472" s="1" t="inlineStr">
        <is>
          <t>ARETES CLASH ROSE GOLD C</t>
        </is>
      </c>
      <c r="C2472" s="1" t="inlineStr">
        <is>
          <t>Default Title</t>
        </is>
      </c>
      <c r="D2472" s="1" t="inlineStr">
        <is>
          <t>01/09/2025</t>
        </is>
      </c>
      <c r="E2472" s="1" t="n">
        <v>2025</v>
      </c>
      <c r="F2472" s="1" t="inlineStr">
        <is>
          <t>SEPTIEMBRE</t>
        </is>
      </c>
      <c r="G2472" s="1" t="inlineStr">
        <is>
          <t>HAIFENG</t>
        </is>
      </c>
      <c r="H2472" s="1" t="inlineStr">
        <is>
          <t>HAIFENG 01/09/2025</t>
        </is>
      </c>
      <c r="I2472" s="4" t="n">
        <v>2</v>
      </c>
      <c r="J2472" s="6" t="n">
        <v>9</v>
      </c>
      <c r="K2472" s="6" t="n">
        <v>191.3010396</v>
      </c>
      <c r="L2472" s="6">
        <f>I2472*K2472</f>
        <v/>
      </c>
      <c r="M2472" s="6">
        <f>K2472*4</f>
        <v/>
      </c>
      <c r="N2472" s="6" t="n">
        <v>742</v>
      </c>
    </row>
    <row r="2473">
      <c r="A2473" s="1" t="inlineStr">
        <is>
          <t>64085741359693</t>
        </is>
      </c>
      <c r="B2473" s="1" t="inlineStr">
        <is>
          <t>ARETES CLASH ROSE GOLD C</t>
        </is>
      </c>
      <c r="C2473" s="1" t="inlineStr">
        <is>
          <t>Default Title</t>
        </is>
      </c>
      <c r="D2473" s="1" t="inlineStr">
        <is>
          <t>25/09/2025</t>
        </is>
      </c>
      <c r="E2473" s="1" t="n">
        <v>2025</v>
      </c>
      <c r="F2473" s="1" t="inlineStr">
        <is>
          <t>SEPTIEMBRE</t>
        </is>
      </c>
      <c r="G2473" s="1" t="inlineStr">
        <is>
          <t>HAIFENG</t>
        </is>
      </c>
      <c r="H2473" s="1" t="inlineStr">
        <is>
          <t>HAIFENG 25/09/2025</t>
        </is>
      </c>
      <c r="I2473" s="4" t="n">
        <v>2</v>
      </c>
      <c r="J2473" s="6" t="n">
        <v>9</v>
      </c>
      <c r="K2473" s="6" t="n">
        <v>189.8719719</v>
      </c>
      <c r="L2473" s="6">
        <f>I2473*K2473</f>
        <v/>
      </c>
      <c r="M2473" s="6">
        <f>K2473*4</f>
        <v/>
      </c>
      <c r="N2473" s="6" t="n">
        <v>742</v>
      </c>
    </row>
    <row r="2474">
      <c r="A2474" s="1" t="inlineStr">
        <is>
          <t>64085741359693</t>
        </is>
      </c>
      <c r="B2474" s="1" t="inlineStr">
        <is>
          <t>ARETES CLASH ROSE GOLD C</t>
        </is>
      </c>
      <c r="C2474" s="1" t="inlineStr">
        <is>
          <t>Default Title</t>
        </is>
      </c>
      <c r="D2474" s="1" t="inlineStr">
        <is>
          <t>11/11/2025</t>
        </is>
      </c>
      <c r="E2474" s="1" t="n">
        <v>2025</v>
      </c>
      <c r="F2474" s="1" t="inlineStr">
        <is>
          <t>NOVIEMBRE</t>
        </is>
      </c>
      <c r="G2474" s="1" t="inlineStr">
        <is>
          <t>HAIFENG</t>
        </is>
      </c>
      <c r="H2474" s="1" t="inlineStr">
        <is>
          <t>HAIFENG 11/11/2025</t>
        </is>
      </c>
      <c r="I2474" s="4" t="n">
        <v>2</v>
      </c>
      <c r="J2474" s="6" t="n">
        <v>9</v>
      </c>
      <c r="K2474" s="6" t="n">
        <v>189.544486</v>
      </c>
      <c r="L2474" s="6">
        <f>I2474*K2474</f>
        <v/>
      </c>
      <c r="M2474" s="6">
        <f>K2474*4</f>
        <v/>
      </c>
      <c r="N2474" s="6" t="n">
        <v>742</v>
      </c>
    </row>
    <row r="2475">
      <c r="A2475" s="1" t="inlineStr">
        <is>
          <t>64085741359693</t>
        </is>
      </c>
      <c r="B2475" s="1" t="inlineStr">
        <is>
          <t>ARETES CLASH ROSE GOLD C</t>
        </is>
      </c>
      <c r="C2475" s="1" t="inlineStr">
        <is>
          <t>Default Title</t>
        </is>
      </c>
      <c r="D2475" s="1" t="inlineStr">
        <is>
          <t>03/12/2025</t>
        </is>
      </c>
      <c r="E2475" s="1" t="n">
        <v>2025</v>
      </c>
      <c r="F2475" s="1" t="inlineStr">
        <is>
          <t>DICIEMBRE</t>
        </is>
      </c>
      <c r="G2475" s="1" t="inlineStr">
        <is>
          <t>HAIFENG</t>
        </is>
      </c>
      <c r="H2475" s="1" t="inlineStr">
        <is>
          <t>HAIFENG 03/12/2025</t>
        </is>
      </c>
      <c r="I2475" s="4" t="n">
        <v>1</v>
      </c>
      <c r="J2475" s="6" t="n">
        <v>9</v>
      </c>
      <c r="K2475" s="6" t="n">
        <v>188.2544401</v>
      </c>
      <c r="L2475" s="6">
        <f>I2475*K2475</f>
        <v/>
      </c>
      <c r="M2475" s="6">
        <f>K2475*4</f>
        <v/>
      </c>
      <c r="N2475" s="6" t="n">
        <v>742</v>
      </c>
    </row>
    <row r="2476">
      <c r="A2476" s="1" t="inlineStr">
        <is>
          <t>64085741359693</t>
        </is>
      </c>
      <c r="B2476" s="1" t="inlineStr">
        <is>
          <t>ARETES CLASH ROSE GOLD C</t>
        </is>
      </c>
      <c r="C2476" s="1" t="inlineStr">
        <is>
          <t>Default Title</t>
        </is>
      </c>
      <c r="D2476" s="1" t="inlineStr">
        <is>
          <t>10/02/2026</t>
        </is>
      </c>
      <c r="E2476" s="1" t="n">
        <v>2026</v>
      </c>
      <c r="F2476" s="1" t="inlineStr">
        <is>
          <t>FEBRERO</t>
        </is>
      </c>
      <c r="G2476" s="1" t="inlineStr">
        <is>
          <t>HAIFENG</t>
        </is>
      </c>
      <c r="H2476" s="1" t="inlineStr">
        <is>
          <t>HAIFENG 10/02/2026</t>
        </is>
      </c>
      <c r="I2476" s="4" t="n">
        <v>2</v>
      </c>
      <c r="J2476" s="6" t="n">
        <v>9</v>
      </c>
      <c r="K2476" s="6" t="n">
        <v>189.6164646</v>
      </c>
      <c r="L2476" s="6">
        <f>I2476*K2476</f>
        <v/>
      </c>
      <c r="M2476" s="6">
        <f>K2476*4</f>
        <v/>
      </c>
      <c r="N2476" s="6" t="n">
        <v>742</v>
      </c>
    </row>
    <row r="2477">
      <c r="A2477" s="1" t="inlineStr">
        <is>
          <t>64085741359693</t>
        </is>
      </c>
      <c r="B2477" s="1" t="inlineStr">
        <is>
          <t>ARETES CLASH ROSE GOLD C</t>
        </is>
      </c>
      <c r="C2477" s="1" t="inlineStr">
        <is>
          <t>Default Title</t>
        </is>
      </c>
      <c r="D2477" s="1" t="inlineStr">
        <is>
          <t>11/03/2026</t>
        </is>
      </c>
      <c r="E2477" s="1" t="n">
        <v>2026</v>
      </c>
      <c r="F2477" s="1" t="inlineStr">
        <is>
          <t>MARZO</t>
        </is>
      </c>
      <c r="G2477" s="1" t="inlineStr">
        <is>
          <t>HAIFENG</t>
        </is>
      </c>
      <c r="H2477" s="1" t="inlineStr">
        <is>
          <t>HAIFENG 11/03/2026</t>
        </is>
      </c>
      <c r="I2477" s="4" t="n">
        <v>2</v>
      </c>
      <c r="J2477" s="6" t="n">
        <v>9</v>
      </c>
      <c r="K2477" s="6" t="n">
        <v>191.7350659</v>
      </c>
      <c r="L2477" s="6">
        <f>I2477*K2477</f>
        <v/>
      </c>
      <c r="M2477" s="6">
        <f>K2477*4</f>
        <v/>
      </c>
      <c r="N2477" s="6" t="n">
        <v>742</v>
      </c>
    </row>
    <row r="2478">
      <c r="A2478" s="1" t="inlineStr">
        <is>
          <t>64085741359693</t>
        </is>
      </c>
      <c r="B2478" s="1" t="inlineStr">
        <is>
          <t>ARETES CLASH ROSE GOLD C</t>
        </is>
      </c>
      <c r="C2478" s="1" t="inlineStr">
        <is>
          <t>Default Title</t>
        </is>
      </c>
      <c r="D2478" s="1" t="inlineStr">
        <is>
          <t>16/06/2026</t>
        </is>
      </c>
      <c r="E2478" s="1" t="n">
        <v>2026</v>
      </c>
      <c r="F2478" s="1" t="inlineStr">
        <is>
          <t>JUNIO</t>
        </is>
      </c>
      <c r="G2478" s="1" t="inlineStr">
        <is>
          <t>HAIFENG</t>
        </is>
      </c>
      <c r="H2478" s="1" t="inlineStr">
        <is>
          <t>HAIFENG 16/06/2026</t>
        </is>
      </c>
      <c r="I2478" s="4" t="n">
        <v>5</v>
      </c>
      <c r="J2478" s="6" t="n">
        <v>9</v>
      </c>
      <c r="K2478" s="6" t="n">
        <v>189.1314581</v>
      </c>
      <c r="L2478" s="6">
        <f>I2478*K2478</f>
        <v/>
      </c>
      <c r="M2478" s="6">
        <f>K2478*4</f>
        <v/>
      </c>
      <c r="N2478" s="6" t="n">
        <v>742</v>
      </c>
    </row>
    <row r="2479">
      <c r="A2479" s="1" t="inlineStr">
        <is>
          <t>64085741420077</t>
        </is>
      </c>
      <c r="B2479" s="1" t="inlineStr">
        <is>
          <t>ARETES CLASH SILVER C</t>
        </is>
      </c>
      <c r="C2479" s="1" t="inlineStr">
        <is>
          <t>Default Title</t>
        </is>
      </c>
      <c r="D2479" s="1" t="inlineStr">
        <is>
          <t>25/09/2025</t>
        </is>
      </c>
      <c r="E2479" s="1" t="n">
        <v>2025</v>
      </c>
      <c r="F2479" s="1" t="inlineStr">
        <is>
          <t>SEPTIEMBRE</t>
        </is>
      </c>
      <c r="G2479" s="1" t="inlineStr">
        <is>
          <t>HAIFENG</t>
        </is>
      </c>
      <c r="H2479" s="1" t="inlineStr">
        <is>
          <t>HAIFENG 25/09/2025</t>
        </is>
      </c>
      <c r="I2479" s="4" t="n">
        <v>7</v>
      </c>
      <c r="J2479" s="6" t="n">
        <v>9</v>
      </c>
      <c r="K2479" s="6" t="n">
        <v>189.8719719</v>
      </c>
      <c r="L2479" s="6">
        <f>I2479*K2479</f>
        <v/>
      </c>
      <c r="M2479" s="6">
        <f>K2479*4</f>
        <v/>
      </c>
      <c r="N2479" s="6" t="n">
        <v>750</v>
      </c>
    </row>
    <row r="2480">
      <c r="A2480" s="1" t="inlineStr">
        <is>
          <t>64085741420077</t>
        </is>
      </c>
      <c r="B2480" s="1" t="inlineStr">
        <is>
          <t>ARETES CLASH SILVER C</t>
        </is>
      </c>
      <c r="C2480" s="1" t="inlineStr">
        <is>
          <t>Default Title</t>
        </is>
      </c>
      <c r="D2480" s="1" t="inlineStr">
        <is>
          <t>16/04/2026</t>
        </is>
      </c>
      <c r="E2480" s="1" t="n">
        <v>2026</v>
      </c>
      <c r="F2480" s="1" t="inlineStr">
        <is>
          <t>ABRIL</t>
        </is>
      </c>
      <c r="G2480" s="1" t="inlineStr">
        <is>
          <t>HAIFENG</t>
        </is>
      </c>
      <c r="H2480" s="1" t="inlineStr">
        <is>
          <t>HAIFENG 16/04/2026</t>
        </is>
      </c>
      <c r="I2480" s="4" t="n">
        <v>3</v>
      </c>
      <c r="J2480" s="6" t="n">
        <v>9</v>
      </c>
      <c r="K2480" s="6" t="n">
        <v>189.2832623</v>
      </c>
      <c r="L2480" s="6">
        <f>I2480*K2480</f>
        <v/>
      </c>
      <c r="M2480" s="6">
        <f>K2480*4</f>
        <v/>
      </c>
      <c r="N2480" s="6" t="n">
        <v>750</v>
      </c>
    </row>
    <row r="2481">
      <c r="A2481" s="1" t="inlineStr">
        <is>
          <t>64085741420077</t>
        </is>
      </c>
      <c r="B2481" s="1" t="inlineStr">
        <is>
          <t>ARETES CLASH SILVER C</t>
        </is>
      </c>
      <c r="C2481" s="1" t="inlineStr">
        <is>
          <t>Default Title</t>
        </is>
      </c>
      <c r="D2481" s="1" t="inlineStr">
        <is>
          <t>16/06/2026</t>
        </is>
      </c>
      <c r="E2481" s="1" t="n">
        <v>2026</v>
      </c>
      <c r="F2481" s="1" t="inlineStr">
        <is>
          <t>JUNIO</t>
        </is>
      </c>
      <c r="G2481" s="1" t="inlineStr">
        <is>
          <t>HAIFENG</t>
        </is>
      </c>
      <c r="H2481" s="1" t="inlineStr">
        <is>
          <t>HAIFENG 16/06/2026</t>
        </is>
      </c>
      <c r="I2481" s="4" t="n">
        <v>4</v>
      </c>
      <c r="J2481" s="6" t="n">
        <v>9</v>
      </c>
      <c r="K2481" s="6" t="n">
        <v>189.1314581</v>
      </c>
      <c r="L2481" s="6">
        <f>I2481*K2481</f>
        <v/>
      </c>
      <c r="M2481" s="6">
        <f>K2481*4</f>
        <v/>
      </c>
      <c r="N2481" s="6" t="n">
        <v>750</v>
      </c>
    </row>
    <row r="2482">
      <c r="A2482" s="1" t="inlineStr">
        <is>
          <t>64085741543021</t>
        </is>
      </c>
      <c r="B2482" s="1" t="inlineStr">
        <is>
          <t>ARETES LOVE CON MICRO ZIRCONIAS GOLD C</t>
        </is>
      </c>
      <c r="C2482" s="1" t="inlineStr">
        <is>
          <t>Default Title</t>
        </is>
      </c>
      <c r="D2482" s="1" t="inlineStr">
        <is>
          <t>11/11/2025</t>
        </is>
      </c>
      <c r="E2482" s="1" t="n">
        <v>2025</v>
      </c>
      <c r="F2482" s="1" t="inlineStr">
        <is>
          <t>NOVIEMBRE</t>
        </is>
      </c>
      <c r="G2482" s="1" t="inlineStr">
        <is>
          <t>HAIFENG</t>
        </is>
      </c>
      <c r="H2482" s="1" t="inlineStr">
        <is>
          <t>HAIFENG 11/11/2025</t>
        </is>
      </c>
      <c r="I2482" s="4" t="n">
        <v>2</v>
      </c>
      <c r="J2482" s="6" t="n">
        <v>8</v>
      </c>
      <c r="K2482" s="6" t="n">
        <v>168.4839875</v>
      </c>
      <c r="L2482" s="6">
        <f>I2482*K2482</f>
        <v/>
      </c>
      <c r="M2482" s="6">
        <f>K2482*4</f>
        <v/>
      </c>
      <c r="N2482" s="6" t="n">
        <v>742</v>
      </c>
    </row>
    <row r="2483">
      <c r="A2483" s="1" t="inlineStr">
        <is>
          <t>64085741543021</t>
        </is>
      </c>
      <c r="B2483" s="1" t="inlineStr">
        <is>
          <t>ARETES LOVE CON MICRO ZIRCONIAS GOLD C</t>
        </is>
      </c>
      <c r="C2483" s="1" t="inlineStr">
        <is>
          <t>Default Title</t>
        </is>
      </c>
      <c r="D2483" s="1" t="inlineStr">
        <is>
          <t>03/12/2025</t>
        </is>
      </c>
      <c r="E2483" s="1" t="n">
        <v>2025</v>
      </c>
      <c r="F2483" s="1" t="inlineStr">
        <is>
          <t>DICIEMBRE</t>
        </is>
      </c>
      <c r="G2483" s="1" t="inlineStr">
        <is>
          <t>HAIFENG</t>
        </is>
      </c>
      <c r="H2483" s="1" t="inlineStr">
        <is>
          <t>HAIFENG 03/12/2025</t>
        </is>
      </c>
      <c r="I2483" s="4" t="n">
        <v>2</v>
      </c>
      <c r="J2483" s="6" t="n">
        <v>9</v>
      </c>
      <c r="K2483" s="6" t="n">
        <v>188.2544401</v>
      </c>
      <c r="L2483" s="6">
        <f>I2483*K2483</f>
        <v/>
      </c>
      <c r="M2483" s="6">
        <f>K2483*4</f>
        <v/>
      </c>
      <c r="N2483" s="6" t="n">
        <v>742</v>
      </c>
    </row>
    <row r="2484">
      <c r="A2484" s="1" t="inlineStr">
        <is>
          <t>64085741543021</t>
        </is>
      </c>
      <c r="B2484" s="1" t="inlineStr">
        <is>
          <t>ARETES LOVE CON MICRO ZIRCONIAS GOLD C</t>
        </is>
      </c>
      <c r="C2484" s="1" t="inlineStr">
        <is>
          <t>Default Title</t>
        </is>
      </c>
      <c r="D2484" s="1" t="inlineStr">
        <is>
          <t>10/02/2026</t>
        </is>
      </c>
      <c r="E2484" s="1" t="n">
        <v>2026</v>
      </c>
      <c r="F2484" s="1" t="inlineStr">
        <is>
          <t>FEBRERO</t>
        </is>
      </c>
      <c r="G2484" s="1" t="inlineStr">
        <is>
          <t>HAIFENG</t>
        </is>
      </c>
      <c r="H2484" s="1" t="inlineStr">
        <is>
          <t>HAIFENG 10/02/2026</t>
        </is>
      </c>
      <c r="I2484" s="4" t="n">
        <v>2</v>
      </c>
      <c r="J2484" s="6" t="n">
        <v>9</v>
      </c>
      <c r="K2484" s="6" t="n">
        <v>189.6164646</v>
      </c>
      <c r="L2484" s="6">
        <f>I2484*K2484</f>
        <v/>
      </c>
      <c r="M2484" s="6">
        <f>K2484*4</f>
        <v/>
      </c>
      <c r="N2484" s="6" t="n">
        <v>742</v>
      </c>
    </row>
    <row r="2485">
      <c r="A2485" s="1" t="inlineStr">
        <is>
          <t>64085741543021</t>
        </is>
      </c>
      <c r="B2485" s="1" t="inlineStr">
        <is>
          <t>ARETES LOVE CON MICRO ZIRCONIAS GOLD C</t>
        </is>
      </c>
      <c r="C2485" s="1" t="inlineStr">
        <is>
          <t>Default Title</t>
        </is>
      </c>
      <c r="D2485" s="1" t="inlineStr">
        <is>
          <t>06/05/2026</t>
        </is>
      </c>
      <c r="E2485" s="1" t="n">
        <v>2026</v>
      </c>
      <c r="F2485" s="1" t="inlineStr">
        <is>
          <t>MAYO</t>
        </is>
      </c>
      <c r="G2485" s="1" t="inlineStr">
        <is>
          <t>HAIFENG</t>
        </is>
      </c>
      <c r="H2485" s="1" t="inlineStr">
        <is>
          <t>HAIFENG 06/05/2026</t>
        </is>
      </c>
      <c r="I2485" s="4" t="n">
        <v>2</v>
      </c>
      <c r="J2485" s="6" t="n">
        <v>8</v>
      </c>
      <c r="K2485" s="6" t="n">
        <v>169.7491381</v>
      </c>
      <c r="L2485" s="6">
        <f>I2485*K2485</f>
        <v/>
      </c>
      <c r="M2485" s="6">
        <f>K2485*4</f>
        <v/>
      </c>
      <c r="N2485" s="6" t="n">
        <v>742</v>
      </c>
    </row>
    <row r="2486">
      <c r="A2486" s="1" t="inlineStr">
        <is>
          <t>64085741631661</t>
        </is>
      </c>
      <c r="B2486" s="1" t="inlineStr">
        <is>
          <t>COLLAR SILVER BLACK C</t>
        </is>
      </c>
      <c r="C2486" s="1" t="inlineStr">
        <is>
          <t>Default Title</t>
        </is>
      </c>
      <c r="D2486" s="1" t="inlineStr">
        <is>
          <t>11/11/2025</t>
        </is>
      </c>
      <c r="E2486" s="1" t="n">
        <v>2025</v>
      </c>
      <c r="F2486" s="1" t="inlineStr">
        <is>
          <t>NOVIEMBRE</t>
        </is>
      </c>
      <c r="G2486" s="1" t="inlineStr">
        <is>
          <t>HAIFENG</t>
        </is>
      </c>
      <c r="H2486" s="1" t="inlineStr">
        <is>
          <t>HAIFENG 11/11/2025</t>
        </is>
      </c>
      <c r="I2486" s="4" t="n">
        <v>1</v>
      </c>
      <c r="J2486" s="6" t="n">
        <v>7</v>
      </c>
      <c r="K2486" s="6" t="n">
        <v>147.4234891</v>
      </c>
      <c r="L2486" s="6">
        <f>I2486*K2486</f>
        <v/>
      </c>
      <c r="M2486" s="6">
        <f>K2486*4</f>
        <v/>
      </c>
      <c r="N2486" s="6" t="n">
        <v>577</v>
      </c>
    </row>
    <row r="2487">
      <c r="A2487" s="1" t="inlineStr">
        <is>
          <t>64085741817357</t>
        </is>
      </c>
      <c r="B2487" s="1" t="inlineStr">
        <is>
          <t>COLLAR LOVE 3 AROS CON ZIRCONIA</t>
        </is>
      </c>
      <c r="C2487" s="1" t="inlineStr">
        <is>
          <t>Default Title</t>
        </is>
      </c>
      <c r="D2487" s="1" t="inlineStr">
        <is>
          <t>10/02/2026</t>
        </is>
      </c>
      <c r="E2487" s="1" t="n">
        <v>2026</v>
      </c>
      <c r="F2487" s="1" t="inlineStr">
        <is>
          <t>FEBRERO</t>
        </is>
      </c>
      <c r="G2487" s="1" t="inlineStr">
        <is>
          <t>HAIFENG</t>
        </is>
      </c>
      <c r="H2487" s="1" t="inlineStr">
        <is>
          <t>HAIFENG 10/02/2026</t>
        </is>
      </c>
      <c r="I2487" s="4" t="n">
        <v>3</v>
      </c>
      <c r="J2487" s="6" t="n">
        <v>7</v>
      </c>
      <c r="K2487" s="6" t="n">
        <v>147.4794725</v>
      </c>
      <c r="L2487" s="6">
        <f>I2487*K2487</f>
        <v/>
      </c>
      <c r="M2487" s="6">
        <f>K2487*4</f>
        <v/>
      </c>
      <c r="N2487" s="6" t="n">
        <v>577</v>
      </c>
    </row>
    <row r="2488">
      <c r="A2488" s="1" t="inlineStr">
        <is>
          <t>64085741817357</t>
        </is>
      </c>
      <c r="B2488" s="1" t="inlineStr">
        <is>
          <t>COLLAR LOVE 3 AROS CON ZIRCONIA</t>
        </is>
      </c>
      <c r="C2488" s="1" t="inlineStr">
        <is>
          <t>Default Title</t>
        </is>
      </c>
      <c r="D2488" s="1" t="inlineStr">
        <is>
          <t>16/04/2026</t>
        </is>
      </c>
      <c r="E2488" s="1" t="n">
        <v>2026</v>
      </c>
      <c r="F2488" s="1" t="inlineStr">
        <is>
          <t>ABRIL</t>
        </is>
      </c>
      <c r="G2488" s="1" t="inlineStr">
        <is>
          <t>HAIFENG</t>
        </is>
      </c>
      <c r="H2488" s="1" t="inlineStr">
        <is>
          <t>HAIFENG 16/04/2026</t>
        </is>
      </c>
      <c r="I2488" s="4" t="n">
        <v>3</v>
      </c>
      <c r="J2488" s="6" t="n">
        <v>7</v>
      </c>
      <c r="K2488" s="6" t="n">
        <v>147.2203151</v>
      </c>
      <c r="L2488" s="6">
        <f>I2488*K2488</f>
        <v/>
      </c>
      <c r="M2488" s="6">
        <f>K2488*4</f>
        <v/>
      </c>
      <c r="N2488" s="6" t="n">
        <v>577</v>
      </c>
    </row>
    <row r="2489">
      <c r="A2489" s="1" t="inlineStr">
        <is>
          <t>64085741986765</t>
        </is>
      </c>
      <c r="B2489" s="1" t="inlineStr">
        <is>
          <t>COLLAR PANTHERE GOLD C</t>
        </is>
      </c>
      <c r="C2489" s="1" t="inlineStr">
        <is>
          <t>Default Title</t>
        </is>
      </c>
      <c r="D2489" s="1" t="inlineStr">
        <is>
          <t>25/09/2025</t>
        </is>
      </c>
      <c r="E2489" s="1" t="n">
        <v>2025</v>
      </c>
      <c r="F2489" s="1" t="inlineStr">
        <is>
          <t>SEPTIEMBRE</t>
        </is>
      </c>
      <c r="G2489" s="1" t="inlineStr">
        <is>
          <t>HAIFENG</t>
        </is>
      </c>
      <c r="H2489" s="1" t="inlineStr">
        <is>
          <t>HAIFENG 25/09/2025</t>
        </is>
      </c>
      <c r="I2489" s="4" t="n">
        <v>8</v>
      </c>
      <c r="J2489" s="6" t="n">
        <v>7</v>
      </c>
      <c r="K2489" s="6" t="n">
        <v>147.6782004</v>
      </c>
      <c r="L2489" s="6">
        <f>I2489*K2489</f>
        <v/>
      </c>
      <c r="M2489" s="6">
        <f>K2489*4</f>
        <v/>
      </c>
      <c r="N2489" s="6" t="n">
        <v>577</v>
      </c>
    </row>
    <row r="2490">
      <c r="A2490" s="1" t="inlineStr">
        <is>
          <t>64085741986765</t>
        </is>
      </c>
      <c r="B2490" s="1" t="inlineStr">
        <is>
          <t>COLLAR PANTHERE GOLD C</t>
        </is>
      </c>
      <c r="C2490" s="1" t="inlineStr">
        <is>
          <t>Default Title</t>
        </is>
      </c>
      <c r="D2490" s="1" t="inlineStr">
        <is>
          <t>11/11/2025</t>
        </is>
      </c>
      <c r="E2490" s="1" t="n">
        <v>2025</v>
      </c>
      <c r="F2490" s="1" t="inlineStr">
        <is>
          <t>NOVIEMBRE</t>
        </is>
      </c>
      <c r="G2490" s="1" t="inlineStr">
        <is>
          <t>HAIFENG</t>
        </is>
      </c>
      <c r="H2490" s="1" t="inlineStr">
        <is>
          <t>HAIFENG 11/11/2025</t>
        </is>
      </c>
      <c r="I2490" s="4" t="n">
        <v>2</v>
      </c>
      <c r="J2490" s="6" t="n">
        <v>7</v>
      </c>
      <c r="K2490" s="6" t="n">
        <v>147.4234891</v>
      </c>
      <c r="L2490" s="6">
        <f>I2490*K2490</f>
        <v/>
      </c>
      <c r="M2490" s="6">
        <f>K2490*4</f>
        <v/>
      </c>
      <c r="N2490" s="6" t="n">
        <v>577</v>
      </c>
    </row>
    <row r="2491">
      <c r="A2491" s="1" t="inlineStr">
        <is>
          <t>64085741986765</t>
        </is>
      </c>
      <c r="B2491" s="1" t="inlineStr">
        <is>
          <t>COLLAR PANTHERE GOLD C</t>
        </is>
      </c>
      <c r="C2491" s="1" t="inlineStr">
        <is>
          <t>Default Title</t>
        </is>
      </c>
      <c r="D2491" s="1" t="inlineStr">
        <is>
          <t>03/12/2025</t>
        </is>
      </c>
      <c r="E2491" s="1" t="n">
        <v>2025</v>
      </c>
      <c r="F2491" s="1" t="inlineStr">
        <is>
          <t>DICIEMBRE</t>
        </is>
      </c>
      <c r="G2491" s="1" t="inlineStr">
        <is>
          <t>HAIFENG</t>
        </is>
      </c>
      <c r="H2491" s="1" t="inlineStr">
        <is>
          <t>HAIFENG 03/12/2025</t>
        </is>
      </c>
      <c r="I2491" s="4" t="n">
        <v>3</v>
      </c>
      <c r="J2491" s="6" t="n">
        <v>7</v>
      </c>
      <c r="K2491" s="6" t="n">
        <v>146.4201201</v>
      </c>
      <c r="L2491" s="6">
        <f>I2491*K2491</f>
        <v/>
      </c>
      <c r="M2491" s="6">
        <f>K2491*4</f>
        <v/>
      </c>
      <c r="N2491" s="6" t="n">
        <v>577</v>
      </c>
    </row>
    <row r="2492">
      <c r="A2492" s="1" t="inlineStr">
        <is>
          <t>64085741986765</t>
        </is>
      </c>
      <c r="B2492" s="1" t="inlineStr">
        <is>
          <t>COLLAR PANTHERE GOLD C</t>
        </is>
      </c>
      <c r="C2492" s="1" t="inlineStr">
        <is>
          <t>Default Title</t>
        </is>
      </c>
      <c r="D2492" s="1" t="inlineStr">
        <is>
          <t>20/01/2026</t>
        </is>
      </c>
      <c r="E2492" s="1" t="n">
        <v>2026</v>
      </c>
      <c r="F2492" s="1" t="inlineStr">
        <is>
          <t>ENERO</t>
        </is>
      </c>
      <c r="G2492" s="1" t="inlineStr">
        <is>
          <t>HAIFENG</t>
        </is>
      </c>
      <c r="H2492" s="1" t="inlineStr">
        <is>
          <t>HAIFENG 20/01/2026</t>
        </is>
      </c>
      <c r="I2492" s="4" t="n">
        <v>2</v>
      </c>
      <c r="J2492" s="6" t="n">
        <v>7</v>
      </c>
      <c r="K2492" s="6" t="n">
        <v>148.4029245</v>
      </c>
      <c r="L2492" s="6">
        <f>I2492*K2492</f>
        <v/>
      </c>
      <c r="M2492" s="6">
        <f>K2492*4</f>
        <v/>
      </c>
      <c r="N2492" s="6" t="n">
        <v>577</v>
      </c>
    </row>
    <row r="2493">
      <c r="A2493" s="1" t="inlineStr">
        <is>
          <t>64085741986765</t>
        </is>
      </c>
      <c r="B2493" s="1" t="inlineStr">
        <is>
          <t>COLLAR PANTHERE GOLD C</t>
        </is>
      </c>
      <c r="C2493" s="1" t="inlineStr">
        <is>
          <t>Default Title</t>
        </is>
      </c>
      <c r="D2493" s="1" t="inlineStr">
        <is>
          <t>10/02/2026</t>
        </is>
      </c>
      <c r="E2493" s="1" t="n">
        <v>2026</v>
      </c>
      <c r="F2493" s="1" t="inlineStr">
        <is>
          <t>FEBRERO</t>
        </is>
      </c>
      <c r="G2493" s="1" t="inlineStr">
        <is>
          <t>HAIFENG</t>
        </is>
      </c>
      <c r="H2493" s="1" t="inlineStr">
        <is>
          <t>HAIFENG 10/02/2026</t>
        </is>
      </c>
      <c r="I2493" s="4" t="n">
        <v>2</v>
      </c>
      <c r="J2493" s="6" t="n">
        <v>7</v>
      </c>
      <c r="K2493" s="6" t="n">
        <v>147.4794725</v>
      </c>
      <c r="L2493" s="6">
        <f>I2493*K2493</f>
        <v/>
      </c>
      <c r="M2493" s="6">
        <f>K2493*4</f>
        <v/>
      </c>
      <c r="N2493" s="6" t="n">
        <v>577</v>
      </c>
    </row>
    <row r="2494">
      <c r="A2494" s="1" t="inlineStr">
        <is>
          <t>64085742023341</t>
        </is>
      </c>
      <c r="B2494" s="1" t="inlineStr">
        <is>
          <t>ANILLO VENDOME TRICOLOR C</t>
        </is>
      </c>
      <c r="C2494" s="1" t="inlineStr">
        <is>
          <t>5</t>
        </is>
      </c>
      <c r="D2494" s="1" t="inlineStr">
        <is>
          <t>11/11/2025</t>
        </is>
      </c>
      <c r="E2494" s="1" t="n">
        <v>2025</v>
      </c>
      <c r="F2494" s="1" t="inlineStr">
        <is>
          <t>NOVIEMBRE</t>
        </is>
      </c>
      <c r="G2494" s="1" t="inlineStr">
        <is>
          <t>HAIFENG</t>
        </is>
      </c>
      <c r="H2494" s="1" t="inlineStr">
        <is>
          <t>HAIFENG 11/11/2025</t>
        </is>
      </c>
      <c r="I2494" s="4" t="n">
        <v>3</v>
      </c>
      <c r="J2494" s="6" t="n">
        <v>6</v>
      </c>
      <c r="K2494" s="6" t="n">
        <v>126.3629907</v>
      </c>
      <c r="L2494" s="6">
        <f>I2494*K2494</f>
        <v/>
      </c>
      <c r="M2494" s="6">
        <f>K2494*4</f>
        <v/>
      </c>
      <c r="N2494" s="6" t="n">
        <v>499</v>
      </c>
    </row>
    <row r="2495">
      <c r="A2495" s="1" t="inlineStr">
        <is>
          <t>64085742023341</t>
        </is>
      </c>
      <c r="B2495" s="1" t="inlineStr">
        <is>
          <t>ANILLO VENDOME TRICOLOR C</t>
        </is>
      </c>
      <c r="C2495" s="1" t="inlineStr">
        <is>
          <t>5</t>
        </is>
      </c>
      <c r="D2495" s="1" t="inlineStr">
        <is>
          <t>03/12/2025</t>
        </is>
      </c>
      <c r="E2495" s="1" t="n">
        <v>2025</v>
      </c>
      <c r="F2495" s="1" t="inlineStr">
        <is>
          <t>DICIEMBRE</t>
        </is>
      </c>
      <c r="G2495" s="1" t="inlineStr">
        <is>
          <t>HAIFENG</t>
        </is>
      </c>
      <c r="H2495" s="1" t="inlineStr">
        <is>
          <t>HAIFENG 03/12/2025</t>
        </is>
      </c>
      <c r="I2495" s="4" t="n">
        <v>3</v>
      </c>
      <c r="J2495" s="6" t="n">
        <v>6</v>
      </c>
      <c r="K2495" s="6" t="n">
        <v>125.5029601</v>
      </c>
      <c r="L2495" s="6">
        <f>I2495*K2495</f>
        <v/>
      </c>
      <c r="M2495" s="6">
        <f>K2495*4</f>
        <v/>
      </c>
      <c r="N2495" s="6" t="n">
        <v>499</v>
      </c>
    </row>
    <row r="2496">
      <c r="A2496" s="1" t="inlineStr">
        <is>
          <t>64085742023341</t>
        </is>
      </c>
      <c r="B2496" s="1" t="inlineStr">
        <is>
          <t>ANILLO VENDOME TRICOLOR C</t>
        </is>
      </c>
      <c r="C2496" s="1" t="inlineStr">
        <is>
          <t>5</t>
        </is>
      </c>
      <c r="D2496" s="1" t="inlineStr">
        <is>
          <t>26/05/2026</t>
        </is>
      </c>
      <c r="E2496" s="1" t="n">
        <v>2026</v>
      </c>
      <c r="F2496" s="1" t="inlineStr">
        <is>
          <t>MAYO</t>
        </is>
      </c>
      <c r="G2496" s="1" t="inlineStr">
        <is>
          <t>HAIFENG</t>
        </is>
      </c>
      <c r="H2496" s="1" t="inlineStr">
        <is>
          <t>HAIFENG 26/05/2026</t>
        </is>
      </c>
      <c r="I2496" s="4" t="n">
        <v>6</v>
      </c>
      <c r="J2496" s="6" t="n">
        <v>6</v>
      </c>
      <c r="K2496" s="6" t="n">
        <v>125.9357718</v>
      </c>
      <c r="L2496" s="6">
        <f>I2496*K2496</f>
        <v/>
      </c>
      <c r="M2496" s="6">
        <f>K2496*4</f>
        <v/>
      </c>
      <c r="N2496" s="6" t="n">
        <v>499</v>
      </c>
    </row>
    <row r="2497">
      <c r="A2497" s="1" t="inlineStr">
        <is>
          <t>64085742114861</t>
        </is>
      </c>
      <c r="B2497" s="1" t="inlineStr">
        <is>
          <t>ANILLO VENDOME TRICOLOR C</t>
        </is>
      </c>
      <c r="C2497" s="1" t="inlineStr">
        <is>
          <t>6</t>
        </is>
      </c>
      <c r="D2497" s="1" t="inlineStr">
        <is>
          <t>25/09/2025</t>
        </is>
      </c>
      <c r="E2497" s="1" t="n">
        <v>2025</v>
      </c>
      <c r="F2497" s="1" t="inlineStr">
        <is>
          <t>SEPTIEMBRE</t>
        </is>
      </c>
      <c r="G2497" s="1" t="inlineStr">
        <is>
          <t>HAIFENG</t>
        </is>
      </c>
      <c r="H2497" s="1" t="inlineStr">
        <is>
          <t>HAIFENG 25/09/2025</t>
        </is>
      </c>
      <c r="I2497" s="4" t="n">
        <v>3</v>
      </c>
      <c r="J2497" s="6" t="n">
        <v>6</v>
      </c>
      <c r="K2497" s="6" t="n">
        <v>126.5813146</v>
      </c>
      <c r="L2497" s="6">
        <f>I2497*K2497</f>
        <v/>
      </c>
      <c r="M2497" s="6">
        <f>K2497*4</f>
        <v/>
      </c>
      <c r="N2497" s="6" t="n">
        <v>499</v>
      </c>
    </row>
    <row r="2498">
      <c r="A2498" s="1" t="inlineStr">
        <is>
          <t>64085742114861</t>
        </is>
      </c>
      <c r="B2498" s="1" t="n"/>
      <c r="C2498" s="1" t="inlineStr">
        <is>
          <t>6</t>
        </is>
      </c>
      <c r="D2498" s="1" t="inlineStr">
        <is>
          <t>10/02/2026</t>
        </is>
      </c>
      <c r="E2498" s="1" t="n">
        <v>2026</v>
      </c>
      <c r="F2498" s="1" t="inlineStr">
        <is>
          <t>FEBRERO</t>
        </is>
      </c>
      <c r="G2498" s="1" t="inlineStr">
        <is>
          <t>HAIFENG</t>
        </is>
      </c>
      <c r="H2498" s="1" t="inlineStr">
        <is>
          <t>HAIFENG 10/02/2026</t>
        </is>
      </c>
      <c r="I2498" s="4" t="n">
        <v>2</v>
      </c>
      <c r="J2498" s="6" t="n">
        <v>6</v>
      </c>
      <c r="K2498" s="6" t="n">
        <v>126.4109764</v>
      </c>
      <c r="L2498" s="6">
        <f>I2498*K2498</f>
        <v/>
      </c>
      <c r="M2498" s="6">
        <f>K2498*4</f>
        <v/>
      </c>
      <c r="N2498" s="6" t="n">
        <v>499</v>
      </c>
    </row>
    <row r="2499">
      <c r="A2499" s="1" t="inlineStr">
        <is>
          <t>64085742114861</t>
        </is>
      </c>
      <c r="B2499" s="1" t="inlineStr">
        <is>
          <t>ANILLO VENDOME TRICOLOR C</t>
        </is>
      </c>
      <c r="C2499" s="1" t="inlineStr">
        <is>
          <t>6</t>
        </is>
      </c>
      <c r="D2499" s="1" t="inlineStr">
        <is>
          <t>26/05/2026</t>
        </is>
      </c>
      <c r="E2499" s="1" t="n">
        <v>2026</v>
      </c>
      <c r="F2499" s="1" t="inlineStr">
        <is>
          <t>MAYO</t>
        </is>
      </c>
      <c r="G2499" s="1" t="inlineStr">
        <is>
          <t>HAIFENG</t>
        </is>
      </c>
      <c r="H2499" s="1" t="inlineStr">
        <is>
          <t>HAIFENG 26/05/2026</t>
        </is>
      </c>
      <c r="I2499" s="4" t="n">
        <v>2</v>
      </c>
      <c r="J2499" s="6" t="n">
        <v>6</v>
      </c>
      <c r="K2499" s="6" t="n">
        <v>125.9357718</v>
      </c>
      <c r="L2499" s="6">
        <f>I2499*K2499</f>
        <v/>
      </c>
      <c r="M2499" s="6">
        <f>K2499*4</f>
        <v/>
      </c>
      <c r="N2499" s="6" t="n">
        <v>499</v>
      </c>
    </row>
    <row r="2500">
      <c r="A2500" s="1" t="inlineStr">
        <is>
          <t>64085742247629</t>
        </is>
      </c>
      <c r="B2500" s="1" t="inlineStr">
        <is>
          <t>ANILLO VENDOME TRICOLOR C</t>
        </is>
      </c>
      <c r="C2500" s="1" t="inlineStr">
        <is>
          <t>7</t>
        </is>
      </c>
      <c r="D2500" s="1" t="inlineStr">
        <is>
          <t>11/11/2025</t>
        </is>
      </c>
      <c r="E2500" s="1" t="n">
        <v>2025</v>
      </c>
      <c r="F2500" s="1" t="inlineStr">
        <is>
          <t>NOVIEMBRE</t>
        </is>
      </c>
      <c r="G2500" s="1" t="inlineStr">
        <is>
          <t>HAIFENG</t>
        </is>
      </c>
      <c r="H2500" s="1" t="inlineStr">
        <is>
          <t>HAIFENG 11/11/2025</t>
        </is>
      </c>
      <c r="I2500" s="4" t="n">
        <v>3</v>
      </c>
      <c r="J2500" s="6" t="n">
        <v>6</v>
      </c>
      <c r="K2500" s="6" t="n">
        <v>126.3629907</v>
      </c>
      <c r="L2500" s="6">
        <f>I2500*K2500</f>
        <v/>
      </c>
      <c r="M2500" s="6">
        <f>K2500*4</f>
        <v/>
      </c>
      <c r="N2500" s="6" t="n">
        <v>499</v>
      </c>
    </row>
    <row r="2501">
      <c r="A2501" s="1" t="inlineStr">
        <is>
          <t>64085742247629</t>
        </is>
      </c>
      <c r="B2501" s="1" t="inlineStr">
        <is>
          <t>ANILLO VENDOME TRICOLOR C</t>
        </is>
      </c>
      <c r="C2501" s="1" t="inlineStr">
        <is>
          <t>7</t>
        </is>
      </c>
      <c r="D2501" s="1" t="inlineStr">
        <is>
          <t>03/12/2025</t>
        </is>
      </c>
      <c r="E2501" s="1" t="n">
        <v>2025</v>
      </c>
      <c r="F2501" s="1" t="inlineStr">
        <is>
          <t>DICIEMBRE</t>
        </is>
      </c>
      <c r="G2501" s="1" t="inlineStr">
        <is>
          <t>HAIFENG</t>
        </is>
      </c>
      <c r="H2501" s="1" t="inlineStr">
        <is>
          <t>HAIFENG 03/12/2025</t>
        </is>
      </c>
      <c r="I2501" s="4" t="n">
        <v>3</v>
      </c>
      <c r="J2501" s="6" t="n">
        <v>6</v>
      </c>
      <c r="K2501" s="6" t="n">
        <v>125.5029601</v>
      </c>
      <c r="L2501" s="6">
        <f>I2501*K2501</f>
        <v/>
      </c>
      <c r="M2501" s="6">
        <f>K2501*4</f>
        <v/>
      </c>
      <c r="N2501" s="6" t="n">
        <v>499</v>
      </c>
    </row>
    <row r="2502">
      <c r="A2502" s="1" t="inlineStr">
        <is>
          <t>64085742247629</t>
        </is>
      </c>
      <c r="B2502" s="1" t="inlineStr">
        <is>
          <t>ANILLO VENDOME TRICOLOR C</t>
        </is>
      </c>
      <c r="C2502" s="1" t="inlineStr">
        <is>
          <t>7</t>
        </is>
      </c>
      <c r="D2502" s="1" t="inlineStr">
        <is>
          <t>26/05/2026</t>
        </is>
      </c>
      <c r="E2502" s="1" t="n">
        <v>2026</v>
      </c>
      <c r="F2502" s="1" t="inlineStr">
        <is>
          <t>MAYO</t>
        </is>
      </c>
      <c r="G2502" s="1" t="inlineStr">
        <is>
          <t>HAIFENG</t>
        </is>
      </c>
      <c r="H2502" s="1" t="inlineStr">
        <is>
          <t>HAIFENG 26/05/2026</t>
        </is>
      </c>
      <c r="I2502" s="4" t="n">
        <v>6</v>
      </c>
      <c r="J2502" s="6" t="n">
        <v>6</v>
      </c>
      <c r="K2502" s="6" t="n">
        <v>125.9357718</v>
      </c>
      <c r="L2502" s="6">
        <f>I2502*K2502</f>
        <v/>
      </c>
      <c r="M2502" s="6">
        <f>K2502*4</f>
        <v/>
      </c>
      <c r="N2502" s="6" t="n">
        <v>499</v>
      </c>
    </row>
    <row r="2503">
      <c r="A2503" s="1" t="inlineStr">
        <is>
          <t>64085742311277</t>
        </is>
      </c>
      <c r="B2503" s="1" t="inlineStr">
        <is>
          <t>ANILLO ALLIANCE CON ZIRCONIA C</t>
        </is>
      </c>
      <c r="C2503" s="1" t="inlineStr">
        <is>
          <t>5</t>
        </is>
      </c>
      <c r="D2503" s="1" t="inlineStr">
        <is>
          <t>25/09/2025</t>
        </is>
      </c>
      <c r="E2503" s="1" t="n">
        <v>2025</v>
      </c>
      <c r="F2503" s="1" t="inlineStr">
        <is>
          <t>SEPTIEMBRE</t>
        </is>
      </c>
      <c r="G2503" s="1" t="inlineStr">
        <is>
          <t>HAIFENG</t>
        </is>
      </c>
      <c r="H2503" s="1" t="inlineStr">
        <is>
          <t>HAIFENG 25/09/2025</t>
        </is>
      </c>
      <c r="I2503" s="4" t="n">
        <v>3</v>
      </c>
      <c r="J2503" s="6" t="n">
        <v>2</v>
      </c>
      <c r="K2503" s="6" t="n">
        <v>42.19377154</v>
      </c>
      <c r="L2503" s="6">
        <f>I2503*K2503</f>
        <v/>
      </c>
      <c r="M2503" s="6">
        <f>K2503*4</f>
        <v/>
      </c>
      <c r="N2503" s="6" t="n">
        <v>450</v>
      </c>
    </row>
    <row r="2504">
      <c r="A2504" s="1" t="inlineStr">
        <is>
          <t>64085742444045</t>
        </is>
      </c>
      <c r="B2504" s="1" t="inlineStr">
        <is>
          <t>ANILLO ALLIANCE CON ZIRCONIA C</t>
        </is>
      </c>
      <c r="C2504" s="1" t="inlineStr">
        <is>
          <t>6</t>
        </is>
      </c>
      <c r="D2504" s="1" t="inlineStr">
        <is>
          <t>25/09/2025</t>
        </is>
      </c>
      <c r="E2504" s="1" t="n">
        <v>2025</v>
      </c>
      <c r="F2504" s="1" t="inlineStr">
        <is>
          <t>SEPTIEMBRE</t>
        </is>
      </c>
      <c r="G2504" s="1" t="inlineStr">
        <is>
          <t>HAIFENG</t>
        </is>
      </c>
      <c r="H2504" s="1" t="inlineStr">
        <is>
          <t>HAIFENG 25/09/2025</t>
        </is>
      </c>
      <c r="I2504" s="4" t="n">
        <v>3</v>
      </c>
      <c r="J2504" s="6" t="n">
        <v>2</v>
      </c>
      <c r="K2504" s="6" t="n">
        <v>42.19377154</v>
      </c>
      <c r="L2504" s="6">
        <f>I2504*K2504</f>
        <v/>
      </c>
      <c r="M2504" s="6">
        <f>K2504*4</f>
        <v/>
      </c>
      <c r="N2504" s="6" t="n">
        <v>450</v>
      </c>
    </row>
    <row r="2505">
      <c r="A2505" s="1" t="inlineStr">
        <is>
          <t>64085742576813</t>
        </is>
      </c>
      <c r="B2505" s="1" t="inlineStr">
        <is>
          <t>ANILLO ALLIANCE CON ZIRCONIA C</t>
        </is>
      </c>
      <c r="C2505" s="1" t="inlineStr">
        <is>
          <t>7</t>
        </is>
      </c>
      <c r="D2505" s="1" t="inlineStr">
        <is>
          <t>11/11/2025</t>
        </is>
      </c>
      <c r="E2505" s="1" t="n">
        <v>2025</v>
      </c>
      <c r="F2505" s="1" t="inlineStr">
        <is>
          <t>NOVIEMBRE</t>
        </is>
      </c>
      <c r="G2505" s="1" t="inlineStr">
        <is>
          <t>HAIFENG</t>
        </is>
      </c>
      <c r="H2505" s="1" t="inlineStr">
        <is>
          <t>HAIFENG 11/11/2025</t>
        </is>
      </c>
      <c r="I2505" s="4" t="n">
        <v>1</v>
      </c>
      <c r="J2505" s="6" t="n">
        <v>2</v>
      </c>
      <c r="K2505" s="6" t="n">
        <v>42.12099689</v>
      </c>
      <c r="L2505" s="6">
        <f>I2505*K2505</f>
        <v/>
      </c>
      <c r="M2505" s="6">
        <f>K2505*4</f>
        <v/>
      </c>
      <c r="N2505" s="6" t="n">
        <v>450</v>
      </c>
    </row>
    <row r="2506">
      <c r="A2506" s="1" t="inlineStr">
        <is>
          <t>64085742576813</t>
        </is>
      </c>
      <c r="B2506" s="1" t="inlineStr">
        <is>
          <t>ANILLO ALLIANCE CON ZIRCONIA C</t>
        </is>
      </c>
      <c r="C2506" s="1" t="inlineStr">
        <is>
          <t>7</t>
        </is>
      </c>
      <c r="D2506" s="1" t="inlineStr">
        <is>
          <t>03/12/2025</t>
        </is>
      </c>
      <c r="E2506" s="1" t="n">
        <v>2025</v>
      </c>
      <c r="F2506" s="1" t="inlineStr">
        <is>
          <t>DICIEMBRE</t>
        </is>
      </c>
      <c r="G2506" s="1" t="inlineStr">
        <is>
          <t>HAIFENG</t>
        </is>
      </c>
      <c r="H2506" s="1" t="inlineStr">
        <is>
          <t>HAIFENG 03/12/2025</t>
        </is>
      </c>
      <c r="I2506" s="4" t="n">
        <v>1</v>
      </c>
      <c r="J2506" s="6" t="n">
        <v>2</v>
      </c>
      <c r="K2506" s="6" t="n">
        <v>41.83432002</v>
      </c>
      <c r="L2506" s="6">
        <f>I2506*K2506</f>
        <v/>
      </c>
      <c r="M2506" s="6">
        <f>K2506*4</f>
        <v/>
      </c>
      <c r="N2506" s="6" t="n">
        <v>450</v>
      </c>
    </row>
    <row r="2507">
      <c r="A2507" s="1" t="inlineStr">
        <is>
          <t>64085742576813</t>
        </is>
      </c>
      <c r="B2507" s="1" t="inlineStr">
        <is>
          <t>ANILLO ALLIANCE CON ZIRCONIA ROSE GOLD C</t>
        </is>
      </c>
      <c r="C2507" s="1" t="inlineStr">
        <is>
          <t>7</t>
        </is>
      </c>
      <c r="D2507" s="1" t="inlineStr">
        <is>
          <t>26/05/2026</t>
        </is>
      </c>
      <c r="E2507" s="1" t="n">
        <v>2026</v>
      </c>
      <c r="F2507" s="1" t="inlineStr">
        <is>
          <t>MAYO</t>
        </is>
      </c>
      <c r="G2507" s="1" t="inlineStr">
        <is>
          <t>HAIFENG</t>
        </is>
      </c>
      <c r="H2507" s="1" t="inlineStr">
        <is>
          <t>HAIFENG 26/05/2026</t>
        </is>
      </c>
      <c r="I2507" s="4" t="n">
        <v>2</v>
      </c>
      <c r="J2507" s="6" t="n">
        <v>2</v>
      </c>
      <c r="K2507" s="6" t="n">
        <v>41.97859059</v>
      </c>
      <c r="L2507" s="6">
        <f>I2507*K2507</f>
        <v/>
      </c>
      <c r="M2507" s="6">
        <f>K2507*4</f>
        <v/>
      </c>
      <c r="N2507" s="6" t="n">
        <v>450</v>
      </c>
    </row>
    <row r="2508">
      <c r="A2508" s="1" t="inlineStr">
        <is>
          <t>64085742794061</t>
        </is>
      </c>
      <c r="B2508" s="1" t="inlineStr">
        <is>
          <t>ANILLO ALLIANCE ROSE GOLD C</t>
        </is>
      </c>
      <c r="C2508" s="1" t="inlineStr">
        <is>
          <t>6</t>
        </is>
      </c>
      <c r="D2508" s="1" t="inlineStr">
        <is>
          <t>25/09/2025</t>
        </is>
      </c>
      <c r="E2508" s="1" t="n">
        <v>2025</v>
      </c>
      <c r="F2508" s="1" t="inlineStr">
        <is>
          <t>SEPTIEMBRE</t>
        </is>
      </c>
      <c r="G2508" s="1" t="inlineStr">
        <is>
          <t>HAIFENG</t>
        </is>
      </c>
      <c r="H2508" s="1" t="inlineStr">
        <is>
          <t>HAIFENG 25/09/2025</t>
        </is>
      </c>
      <c r="I2508" s="4" t="n">
        <v>3</v>
      </c>
      <c r="J2508" s="6" t="n">
        <v>2</v>
      </c>
      <c r="K2508" s="6" t="n">
        <v>42.19377154</v>
      </c>
      <c r="L2508" s="6">
        <f>I2508*K2508</f>
        <v/>
      </c>
      <c r="M2508" s="6">
        <f>K2508*4</f>
        <v/>
      </c>
      <c r="N2508" s="6" t="n">
        <v>400</v>
      </c>
    </row>
    <row r="2509">
      <c r="A2509" s="1" t="inlineStr">
        <is>
          <t>64085742826829</t>
        </is>
      </c>
      <c r="B2509" s="1" t="inlineStr">
        <is>
          <t>ANILLO ALLIANCE ROSE GOLD C</t>
        </is>
      </c>
      <c r="C2509" s="1" t="inlineStr">
        <is>
          <t>7</t>
        </is>
      </c>
      <c r="D2509" s="1" t="inlineStr">
        <is>
          <t>26/05/2026</t>
        </is>
      </c>
      <c r="E2509" s="1" t="n">
        <v>2026</v>
      </c>
      <c r="F2509" s="1" t="inlineStr">
        <is>
          <t>MAYO</t>
        </is>
      </c>
      <c r="G2509" s="1" t="inlineStr">
        <is>
          <t>HAIFENG</t>
        </is>
      </c>
      <c r="H2509" s="1" t="inlineStr">
        <is>
          <t>HAIFENG 26/05/2026</t>
        </is>
      </c>
      <c r="I2509" s="4" t="n">
        <v>2</v>
      </c>
      <c r="J2509" s="6" t="n">
        <v>2</v>
      </c>
      <c r="K2509" s="6" t="n">
        <v>41.97859059</v>
      </c>
      <c r="L2509" s="6">
        <f>I2509*K2509</f>
        <v/>
      </c>
      <c r="M2509" s="6">
        <f>K2509*4</f>
        <v/>
      </c>
      <c r="N2509" s="6" t="n">
        <v>400</v>
      </c>
    </row>
    <row r="2510">
      <c r="A2510" s="1" t="inlineStr">
        <is>
          <t>64155891097709</t>
        </is>
      </c>
      <c r="B2510" s="1" t="inlineStr">
        <is>
          <t>ANILLO LV SELLO SILVER-8</t>
        </is>
      </c>
      <c r="C2510" s="1" t="n">
        <v>8</v>
      </c>
      <c r="D2510" s="1" t="inlineStr">
        <is>
          <t>25/09/2025</t>
        </is>
      </c>
      <c r="E2510" s="1" t="n">
        <v>2025</v>
      </c>
      <c r="F2510" s="1" t="inlineStr">
        <is>
          <t>SEPTIEMBRE</t>
        </is>
      </c>
      <c r="G2510" s="1" t="inlineStr">
        <is>
          <t>HAIFENG</t>
        </is>
      </c>
      <c r="H2510" s="1" t="inlineStr">
        <is>
          <t>HAIFENG 25/09/2025</t>
        </is>
      </c>
      <c r="I2510" s="4" t="n">
        <v>2</v>
      </c>
      <c r="J2510" s="6" t="n">
        <v>5.99</v>
      </c>
      <c r="K2510" s="6" t="n">
        <v>126.3703458</v>
      </c>
      <c r="L2510" s="6">
        <f>I2510*K2510</f>
        <v/>
      </c>
      <c r="M2510" s="6">
        <f>K2510*4</f>
        <v/>
      </c>
      <c r="N2510" s="6" t="n">
        <v>750</v>
      </c>
    </row>
    <row r="2511">
      <c r="A2511" s="1" t="inlineStr">
        <is>
          <t>64155891097709</t>
        </is>
      </c>
      <c r="B2511" s="1" t="inlineStr">
        <is>
          <t>ANILLO LV SELLO SILVER</t>
        </is>
      </c>
      <c r="C2511" s="1" t="inlineStr">
        <is>
          <t>8</t>
        </is>
      </c>
      <c r="D2511" s="1" t="inlineStr">
        <is>
          <t>10/02/2026</t>
        </is>
      </c>
      <c r="E2511" s="1" t="n">
        <v>2026</v>
      </c>
      <c r="F2511" s="1" t="inlineStr">
        <is>
          <t>FEBRERO</t>
        </is>
      </c>
      <c r="G2511" s="1" t="inlineStr">
        <is>
          <t>HAIFENG</t>
        </is>
      </c>
      <c r="H2511" s="1" t="inlineStr">
        <is>
          <t>HAIFENG 10/02/2026</t>
        </is>
      </c>
      <c r="I2511" s="4" t="n">
        <v>1</v>
      </c>
      <c r="J2511" s="6" t="n">
        <v>8.99</v>
      </c>
      <c r="K2511" s="6" t="n">
        <v>189.4057796</v>
      </c>
      <c r="L2511" s="6">
        <f>I2511*K2511</f>
        <v/>
      </c>
      <c r="M2511" s="6">
        <f>K2511*4</f>
        <v/>
      </c>
      <c r="N2511" s="6" t="n">
        <v>750</v>
      </c>
    </row>
    <row r="2512">
      <c r="A2512" s="1" t="inlineStr">
        <is>
          <t>641887036d043</t>
        </is>
      </c>
      <c r="B2512" s="1" t="inlineStr">
        <is>
          <t>COLLAR TREBOL GOLD-RED</t>
        </is>
      </c>
      <c r="C2512" s="1" t="inlineStr">
        <is>
          <t>40cm con extensión de 5cm</t>
        </is>
      </c>
      <c r="D2512" s="1" t="inlineStr">
        <is>
          <t>25/09/2025</t>
        </is>
      </c>
      <c r="E2512" s="1" t="n">
        <v>2025</v>
      </c>
      <c r="F2512" s="1" t="inlineStr">
        <is>
          <t>SEPTIEMBRE</t>
        </is>
      </c>
      <c r="G2512" s="1" t="inlineStr">
        <is>
          <t>HAIFENG</t>
        </is>
      </c>
      <c r="H2512" s="1" t="inlineStr">
        <is>
          <t>HAIFENG 25/09/2025</t>
        </is>
      </c>
      <c r="I2512" s="4" t="n">
        <v>2</v>
      </c>
      <c r="J2512" s="6" t="n">
        <v>11</v>
      </c>
      <c r="K2512" s="6" t="n">
        <v>232.0657435</v>
      </c>
      <c r="L2512" s="6">
        <f>I2512*K2512</f>
        <v/>
      </c>
      <c r="M2512" s="6">
        <f>K2512*4</f>
        <v/>
      </c>
      <c r="N2512" s="6" t="n">
        <v>699</v>
      </c>
    </row>
    <row r="2513">
      <c r="A2513" s="1" t="inlineStr">
        <is>
          <t>641887036d043</t>
        </is>
      </c>
      <c r="B2513" s="1" t="inlineStr">
        <is>
          <t>COLLAR TRÉBOL GOLD-RED</t>
        </is>
      </c>
      <c r="C2513" s="1" t="inlineStr">
        <is>
          <t>40cm con extensión de 5cm</t>
        </is>
      </c>
      <c r="D2513" s="1" t="inlineStr">
        <is>
          <t>03/12/2025</t>
        </is>
      </c>
      <c r="E2513" s="1" t="n">
        <v>2025</v>
      </c>
      <c r="F2513" s="1" t="inlineStr">
        <is>
          <t>DICIEMBRE</t>
        </is>
      </c>
      <c r="G2513" s="1" t="inlineStr">
        <is>
          <t>HAIFENG</t>
        </is>
      </c>
      <c r="H2513" s="1" t="inlineStr">
        <is>
          <t>HAIFENG 03/12/2025</t>
        </is>
      </c>
      <c r="I2513" s="4" t="n">
        <v>1</v>
      </c>
      <c r="J2513" s="6" t="n">
        <v>12</v>
      </c>
      <c r="K2513" s="6" t="n">
        <v>251.0059201</v>
      </c>
      <c r="L2513" s="6">
        <f>I2513*K2513</f>
        <v/>
      </c>
      <c r="M2513" s="6">
        <f>K2513*4</f>
        <v/>
      </c>
      <c r="N2513" s="6" t="n">
        <v>699</v>
      </c>
    </row>
    <row r="2514">
      <c r="A2514" s="1" t="inlineStr">
        <is>
          <t>641887036d043</t>
        </is>
      </c>
      <c r="B2514" s="1" t="inlineStr">
        <is>
          <t>COLLAR TRÉBOL GOLD-RED</t>
        </is>
      </c>
      <c r="C2514" s="1" t="inlineStr">
        <is>
          <t>40cm con extensión de 5cm</t>
        </is>
      </c>
      <c r="D2514" s="1" t="inlineStr">
        <is>
          <t>06/05/2026</t>
        </is>
      </c>
      <c r="E2514" s="1" t="n">
        <v>2026</v>
      </c>
      <c r="F2514" s="1" t="inlineStr">
        <is>
          <t>MAYO</t>
        </is>
      </c>
      <c r="G2514" s="1" t="inlineStr">
        <is>
          <t>HAIFENG</t>
        </is>
      </c>
      <c r="H2514" s="1" t="inlineStr">
        <is>
          <t>HAIFENG 06/05/2026</t>
        </is>
      </c>
      <c r="I2514" s="4" t="n">
        <v>2</v>
      </c>
      <c r="J2514" s="6" t="n">
        <v>4</v>
      </c>
      <c r="K2514" s="6" t="n">
        <v>84.87456907000001</v>
      </c>
      <c r="L2514" s="6">
        <f>I2514*K2514</f>
        <v/>
      </c>
      <c r="M2514" s="6">
        <f>K2514*4</f>
        <v/>
      </c>
      <c r="N2514" s="6" t="n">
        <v>699</v>
      </c>
    </row>
    <row r="2515">
      <c r="A2515" s="1" t="inlineStr">
        <is>
          <t>641b376c85b37</t>
        </is>
      </c>
      <c r="B2515" s="1" t="inlineStr">
        <is>
          <t>ARETES T-SMILE ROSE GOLD CON ZIRCONIA</t>
        </is>
      </c>
      <c r="C2515" s="1" t="inlineStr">
        <is>
          <t>Default Title</t>
        </is>
      </c>
      <c r="D2515" s="1" t="inlineStr">
        <is>
          <t>19/03/2026</t>
        </is>
      </c>
      <c r="E2515" s="1" t="n">
        <v>2026</v>
      </c>
      <c r="F2515" s="1" t="inlineStr">
        <is>
          <t>MARZO</t>
        </is>
      </c>
      <c r="G2515" s="1" t="inlineStr">
        <is>
          <t>CYNTHIA</t>
        </is>
      </c>
      <c r="H2515" s="1" t="inlineStr">
        <is>
          <t>CYNTHIA 19/03/2026</t>
        </is>
      </c>
      <c r="I2515" s="4" t="n">
        <v>1</v>
      </c>
      <c r="J2515" s="6" t="n">
        <v>6.8</v>
      </c>
      <c r="K2515" s="6" t="n">
        <v>182.6304274</v>
      </c>
      <c r="L2515" s="6">
        <f>I2515*K2515</f>
        <v/>
      </c>
      <c r="M2515" s="6">
        <f>K2515*4</f>
        <v/>
      </c>
      <c r="N2515" s="6" t="n">
        <v>735</v>
      </c>
    </row>
    <row r="2516">
      <c r="A2516" s="1" t="inlineStr">
        <is>
          <t>64361211113837</t>
        </is>
      </c>
      <c r="B2516" s="1" t="inlineStr">
        <is>
          <t>PULSERA BV ROSEGOLD BLACK-WHITE</t>
        </is>
      </c>
      <c r="C2516" s="1" t="inlineStr">
        <is>
          <t>Default Title</t>
        </is>
      </c>
      <c r="D2516" s="1" t="inlineStr">
        <is>
          <t>25/09/2025</t>
        </is>
      </c>
      <c r="E2516" s="1" t="n">
        <v>2025</v>
      </c>
      <c r="F2516" s="1" t="inlineStr">
        <is>
          <t>SEPTIEMBRE</t>
        </is>
      </c>
      <c r="G2516" s="1" t="inlineStr">
        <is>
          <t>HAIFENG</t>
        </is>
      </c>
      <c r="H2516" s="1" t="inlineStr">
        <is>
          <t>HAIFENG 25/09/2025</t>
        </is>
      </c>
      <c r="I2516" s="4" t="n">
        <v>2</v>
      </c>
      <c r="J2516" s="6" t="n">
        <v>7.5</v>
      </c>
      <c r="K2516" s="6" t="n">
        <v>158.2266433</v>
      </c>
      <c r="L2516" s="6">
        <f>I2516*K2516</f>
        <v/>
      </c>
      <c r="M2516" s="6">
        <f>K2516*4</f>
        <v/>
      </c>
      <c r="N2516" s="6" t="n">
        <v>650</v>
      </c>
    </row>
    <row r="2517">
      <c r="A2517" s="1" t="inlineStr">
        <is>
          <t>64361211113837</t>
        </is>
      </c>
      <c r="B2517" s="1" t="inlineStr">
        <is>
          <t>PULSERA BV ROSEGOLD BLACK-WHITE</t>
        </is>
      </c>
      <c r="C2517" s="1" t="inlineStr">
        <is>
          <t>Default Title</t>
        </is>
      </c>
      <c r="D2517" s="1" t="inlineStr">
        <is>
          <t>16/04/2026</t>
        </is>
      </c>
      <c r="E2517" s="1" t="n">
        <v>2026</v>
      </c>
      <c r="F2517" s="1" t="inlineStr">
        <is>
          <t>ABRIL</t>
        </is>
      </c>
      <c r="G2517" s="1" t="inlineStr">
        <is>
          <t>HAIFENG</t>
        </is>
      </c>
      <c r="H2517" s="1" t="inlineStr">
        <is>
          <t>HAIFENG 16/04/2026</t>
        </is>
      </c>
      <c r="I2517" s="4" t="n">
        <v>2</v>
      </c>
      <c r="J2517" s="6" t="n">
        <v>7.5</v>
      </c>
      <c r="K2517" s="6" t="n">
        <v>157.7360519</v>
      </c>
      <c r="L2517" s="6">
        <f>I2517*K2517</f>
        <v/>
      </c>
      <c r="M2517" s="6">
        <f>K2517*4</f>
        <v/>
      </c>
      <c r="N2517" s="6" t="n">
        <v>650</v>
      </c>
    </row>
    <row r="2518">
      <c r="A2518" s="1" t="inlineStr">
        <is>
          <t>64361211113837</t>
        </is>
      </c>
      <c r="B2518" s="1" t="inlineStr">
        <is>
          <t>PULSERA BV ROSEGOLD BLACK-WHITE</t>
        </is>
      </c>
      <c r="C2518" s="1" t="inlineStr">
        <is>
          <t>Default Title</t>
        </is>
      </c>
      <c r="D2518" s="1" t="inlineStr">
        <is>
          <t>06/05/2026</t>
        </is>
      </c>
      <c r="E2518" s="1" t="n">
        <v>2026</v>
      </c>
      <c r="F2518" s="1" t="inlineStr">
        <is>
          <t>MAYO</t>
        </is>
      </c>
      <c r="G2518" s="1" t="inlineStr">
        <is>
          <t>HAIFENG</t>
        </is>
      </c>
      <c r="H2518" s="1" t="inlineStr">
        <is>
          <t>HAIFENG 06/05/2026</t>
        </is>
      </c>
      <c r="I2518" s="4" t="n">
        <v>4</v>
      </c>
      <c r="J2518" s="6" t="n">
        <v>7.5</v>
      </c>
      <c r="K2518" s="6" t="n">
        <v>159.139817</v>
      </c>
      <c r="L2518" s="6">
        <f>I2518*K2518</f>
        <v/>
      </c>
      <c r="M2518" s="6">
        <f>K2518*4</f>
        <v/>
      </c>
      <c r="N2518" s="6" t="n">
        <v>650</v>
      </c>
    </row>
    <row r="2519">
      <c r="A2519" s="1" t="inlineStr">
        <is>
          <t>64361211541581</t>
        </is>
      </c>
      <c r="B2519" s="1" t="inlineStr">
        <is>
          <t>BRAZALETE BV ROSEGOLD WHITE</t>
        </is>
      </c>
      <c r="C2519" s="1" t="n">
        <v>19</v>
      </c>
      <c r="D2519" s="1" t="inlineStr">
        <is>
          <t>25/09/2025</t>
        </is>
      </c>
      <c r="E2519" s="1" t="n">
        <v>2025</v>
      </c>
      <c r="F2519" s="1" t="inlineStr">
        <is>
          <t>SEPTIEMBRE</t>
        </is>
      </c>
      <c r="G2519" s="1" t="inlineStr">
        <is>
          <t>HAIFENG</t>
        </is>
      </c>
      <c r="H2519" s="1" t="inlineStr">
        <is>
          <t>HAIFENG 25/09/2025</t>
        </is>
      </c>
      <c r="I2519" s="4" t="n">
        <v>2</v>
      </c>
      <c r="J2519" s="6" t="n">
        <v>10</v>
      </c>
      <c r="K2519" s="6" t="n">
        <v>210.9688577</v>
      </c>
      <c r="L2519" s="6">
        <f>I2519*K2519</f>
        <v/>
      </c>
      <c r="M2519" s="6">
        <f>K2519*4</f>
        <v/>
      </c>
      <c r="N2519" s="6" t="n">
        <v>850</v>
      </c>
    </row>
    <row r="2520">
      <c r="A2520" s="1" t="inlineStr">
        <is>
          <t>64385161101d4</t>
        </is>
      </c>
      <c r="B2520" s="1" t="inlineStr">
        <is>
          <t>PULSERA TRÉBOL ROSEGOLD WHITE VF</t>
        </is>
      </c>
      <c r="C2520" s="1" t="inlineStr">
        <is>
          <t>18cm</t>
        </is>
      </c>
      <c r="D2520" s="1" t="inlineStr">
        <is>
          <t>01/09/2025</t>
        </is>
      </c>
      <c r="E2520" s="1" t="n">
        <v>2025</v>
      </c>
      <c r="F2520" s="1" t="inlineStr">
        <is>
          <t>SEPTIEMBRE</t>
        </is>
      </c>
      <c r="G2520" s="1" t="inlineStr">
        <is>
          <t>HAIFENG</t>
        </is>
      </c>
      <c r="H2520" s="1" t="inlineStr">
        <is>
          <t>HAIFENG 01/09/2025</t>
        </is>
      </c>
      <c r="I2520" s="4" t="n">
        <v>3</v>
      </c>
      <c r="J2520" s="6" t="n">
        <v>22</v>
      </c>
      <c r="K2520" s="6" t="n">
        <v>467.6247634</v>
      </c>
      <c r="L2520" s="6">
        <f>I2520*K2520</f>
        <v/>
      </c>
      <c r="M2520" s="6">
        <f>K2520*4</f>
        <v/>
      </c>
      <c r="N2520" s="6" t="n">
        <v>1286</v>
      </c>
    </row>
    <row r="2521">
      <c r="A2521" s="1" t="inlineStr">
        <is>
          <t>64385161101d4</t>
        </is>
      </c>
      <c r="B2521" s="1" t="inlineStr">
        <is>
          <t>PULSERA TRÉBOL ROSEGOLD WHITE VF</t>
        </is>
      </c>
      <c r="C2521" s="1" t="inlineStr">
        <is>
          <t>18cm</t>
        </is>
      </c>
      <c r="D2521" s="1" t="inlineStr">
        <is>
          <t>11/11/2025</t>
        </is>
      </c>
      <c r="E2521" s="1" t="n">
        <v>2025</v>
      </c>
      <c r="F2521" s="1" t="inlineStr">
        <is>
          <t>NOVIEMBRE</t>
        </is>
      </c>
      <c r="G2521" s="1" t="inlineStr">
        <is>
          <t>HAIFENG</t>
        </is>
      </c>
      <c r="H2521" s="1" t="inlineStr">
        <is>
          <t>HAIFENG 11/11/2025</t>
        </is>
      </c>
      <c r="I2521" s="4" t="n">
        <v>2</v>
      </c>
      <c r="J2521" s="6" t="n">
        <v>25</v>
      </c>
      <c r="K2521" s="6" t="n">
        <v>526.5124611</v>
      </c>
      <c r="L2521" s="6">
        <f>I2521*K2521</f>
        <v/>
      </c>
      <c r="M2521" s="6">
        <f>K2521*4</f>
        <v/>
      </c>
      <c r="N2521" s="6" t="n">
        <v>1286</v>
      </c>
    </row>
    <row r="2522">
      <c r="A2522" s="1" t="inlineStr">
        <is>
          <t>643ec108c3efe</t>
        </is>
      </c>
      <c r="B2522" s="1" t="inlineStr">
        <is>
          <t>COLLAR BV GOLD</t>
        </is>
      </c>
      <c r="C2522" s="1" t="inlineStr">
        <is>
          <t>Largo de cadena total 40cm  Extensión 8 cm  Dije 1 cm</t>
        </is>
      </c>
      <c r="D2522" s="1" t="inlineStr">
        <is>
          <t>11/11/2025</t>
        </is>
      </c>
      <c r="E2522" s="1" t="n">
        <v>2025</v>
      </c>
      <c r="F2522" s="1" t="inlineStr">
        <is>
          <t>NOVIEMBRE</t>
        </is>
      </c>
      <c r="G2522" s="1" t="inlineStr">
        <is>
          <t>HAIFENG</t>
        </is>
      </c>
      <c r="H2522" s="1" t="inlineStr">
        <is>
          <t>HAIFENG 11/11/2025</t>
        </is>
      </c>
      <c r="I2522" s="4" t="n">
        <v>2</v>
      </c>
      <c r="J2522" s="6" t="n">
        <v>3.99</v>
      </c>
      <c r="K2522" s="6" t="n">
        <v>84.03138878999999</v>
      </c>
      <c r="L2522" s="6">
        <f>I2522*K2522</f>
        <v/>
      </c>
      <c r="M2522" s="6">
        <f>K2522*4</f>
        <v/>
      </c>
      <c r="N2522" s="6" t="n">
        <v>499</v>
      </c>
    </row>
    <row r="2523">
      <c r="A2523" s="1" t="inlineStr">
        <is>
          <t>643ec108c3efe</t>
        </is>
      </c>
      <c r="B2523" s="1" t="inlineStr">
        <is>
          <t>COLLAR BV GOLD</t>
        </is>
      </c>
      <c r="C2523" s="1" t="inlineStr">
        <is>
          <t>Largo de cadena total 40cm  Extensión 8 cm  Dije 1 cm</t>
        </is>
      </c>
      <c r="D2523" s="1" t="inlineStr">
        <is>
          <t>03/12/2025</t>
        </is>
      </c>
      <c r="E2523" s="1" t="n">
        <v>2025</v>
      </c>
      <c r="F2523" s="1" t="inlineStr">
        <is>
          <t>DICIEMBRE</t>
        </is>
      </c>
      <c r="G2523" s="1" t="inlineStr">
        <is>
          <t>HAIFENG</t>
        </is>
      </c>
      <c r="H2523" s="1" t="inlineStr">
        <is>
          <t>HAIFENG 03/12/2025</t>
        </is>
      </c>
      <c r="I2523" s="4" t="n">
        <v>2</v>
      </c>
      <c r="J2523" s="6" t="n">
        <v>5</v>
      </c>
      <c r="K2523" s="6" t="n">
        <v>104.5858001</v>
      </c>
      <c r="L2523" s="6">
        <f>I2523*K2523</f>
        <v/>
      </c>
      <c r="M2523" s="6">
        <f>K2523*4</f>
        <v/>
      </c>
      <c r="N2523" s="6" t="n">
        <v>499</v>
      </c>
    </row>
    <row r="2524">
      <c r="A2524" s="1" t="inlineStr">
        <is>
          <t>643ec108c3efe</t>
        </is>
      </c>
      <c r="B2524" s="1" t="inlineStr">
        <is>
          <t>COLLAR BV GOLD</t>
        </is>
      </c>
      <c r="C2524" s="1" t="inlineStr">
        <is>
          <t>Largo de cadena total 40cm  Extensión 8 cm  Dije 1 cm</t>
        </is>
      </c>
      <c r="D2524" s="1" t="inlineStr">
        <is>
          <t>20/01/2026</t>
        </is>
      </c>
      <c r="E2524" s="1" t="n">
        <v>2026</v>
      </c>
      <c r="F2524" s="1" t="inlineStr">
        <is>
          <t>ENERO</t>
        </is>
      </c>
      <c r="G2524" s="1" t="inlineStr">
        <is>
          <t>HAIFENG</t>
        </is>
      </c>
      <c r="H2524" s="1" t="inlineStr">
        <is>
          <t>HAIFENG 20/01/2026</t>
        </is>
      </c>
      <c r="I2524" s="4" t="n">
        <v>2</v>
      </c>
      <c r="J2524" s="6" t="n">
        <v>3.99</v>
      </c>
      <c r="K2524" s="6" t="n">
        <v>84.58966699</v>
      </c>
      <c r="L2524" s="6">
        <f>I2524*K2524</f>
        <v/>
      </c>
      <c r="M2524" s="6">
        <f>K2524*4</f>
        <v/>
      </c>
      <c r="N2524" s="6" t="n">
        <v>499</v>
      </c>
    </row>
    <row r="2525">
      <c r="A2525" s="1" t="inlineStr">
        <is>
          <t>643ec108c3efe</t>
        </is>
      </c>
      <c r="B2525" s="1" t="inlineStr">
        <is>
          <t>COLLAR BV GOLD</t>
        </is>
      </c>
      <c r="C2525" s="1" t="inlineStr">
        <is>
          <t>Largo de cadena total 40cm  Extensión 8 cm  Dije 1 cm</t>
        </is>
      </c>
      <c r="D2525" s="1" t="inlineStr">
        <is>
          <t>10/02/2026</t>
        </is>
      </c>
      <c r="E2525" s="1" t="n">
        <v>2026</v>
      </c>
      <c r="F2525" s="1" t="inlineStr">
        <is>
          <t>FEBRERO</t>
        </is>
      </c>
      <c r="G2525" s="1" t="inlineStr">
        <is>
          <t>HAIFENG</t>
        </is>
      </c>
      <c r="H2525" s="1" t="inlineStr">
        <is>
          <t>HAIFENG 10/02/2026</t>
        </is>
      </c>
      <c r="I2525" s="4" t="n">
        <v>2</v>
      </c>
      <c r="J2525" s="6" t="n">
        <v>3.99</v>
      </c>
      <c r="K2525" s="6" t="n">
        <v>84.0632993</v>
      </c>
      <c r="L2525" s="6">
        <f>I2525*K2525</f>
        <v/>
      </c>
      <c r="M2525" s="6">
        <f>K2525*4</f>
        <v/>
      </c>
      <c r="N2525" s="6" t="n">
        <v>499</v>
      </c>
    </row>
    <row r="2526">
      <c r="A2526" s="1" t="inlineStr">
        <is>
          <t>643ec108c3efe</t>
        </is>
      </c>
      <c r="B2526" s="1" t="inlineStr">
        <is>
          <t>COLLAR BV GOLD</t>
        </is>
      </c>
      <c r="C2526" s="1" t="inlineStr">
        <is>
          <t>Largo de cadena total 40cm  Extensión 8 cm  Dije 1 cm</t>
        </is>
      </c>
      <c r="D2526" s="1" t="inlineStr">
        <is>
          <t>16/04/2026</t>
        </is>
      </c>
      <c r="E2526" s="1" t="n">
        <v>2026</v>
      </c>
      <c r="F2526" s="1" t="inlineStr">
        <is>
          <t>ABRIL</t>
        </is>
      </c>
      <c r="G2526" s="1" t="inlineStr">
        <is>
          <t>HAIFENG</t>
        </is>
      </c>
      <c r="H2526" s="1" t="inlineStr">
        <is>
          <t>HAIFENG 16/04/2026</t>
        </is>
      </c>
      <c r="I2526" s="4" t="n">
        <v>10</v>
      </c>
      <c r="J2526" s="6" t="n">
        <v>3.99</v>
      </c>
      <c r="K2526" s="6" t="n">
        <v>83.91557962</v>
      </c>
      <c r="L2526" s="6">
        <f>I2526*K2526</f>
        <v/>
      </c>
      <c r="M2526" s="6">
        <f>K2526*4</f>
        <v/>
      </c>
      <c r="N2526" s="6" t="n">
        <v>499</v>
      </c>
    </row>
    <row r="2527">
      <c r="A2527" s="1" t="inlineStr">
        <is>
          <t>643ec10bc63f5</t>
        </is>
      </c>
      <c r="B2527" s="1" t="inlineStr">
        <is>
          <t>COLLAR BV SILVER</t>
        </is>
      </c>
      <c r="C2527" s="1" t="inlineStr">
        <is>
          <t>Largo de cadena total 40cm  Extensión 8 cm  Dije 1 cm</t>
        </is>
      </c>
      <c r="D2527" s="1" t="inlineStr">
        <is>
          <t>25/09/2025</t>
        </is>
      </c>
      <c r="E2527" s="1" t="n">
        <v>2025</v>
      </c>
      <c r="F2527" s="1" t="inlineStr">
        <is>
          <t>SEPTIEMBRE</t>
        </is>
      </c>
      <c r="G2527" s="1" t="inlineStr">
        <is>
          <t>HAIFENG</t>
        </is>
      </c>
      <c r="H2527" s="1" t="inlineStr">
        <is>
          <t>HAIFENG 25/09/2025</t>
        </is>
      </c>
      <c r="I2527" s="4" t="n">
        <v>2</v>
      </c>
      <c r="J2527" s="6" t="n">
        <v>6</v>
      </c>
      <c r="K2527" s="6" t="n">
        <v>126.5813146</v>
      </c>
      <c r="L2527" s="6">
        <f>I2527*K2527</f>
        <v/>
      </c>
      <c r="M2527" s="6">
        <f>K2527*4</f>
        <v/>
      </c>
      <c r="N2527" s="6" t="n">
        <v>450</v>
      </c>
    </row>
    <row r="2528">
      <c r="A2528" s="1" t="inlineStr">
        <is>
          <t>643ec10bc63f5</t>
        </is>
      </c>
      <c r="B2528" s="1" t="inlineStr">
        <is>
          <t>COLLAR BV SILVER</t>
        </is>
      </c>
      <c r="C2528" s="1" t="inlineStr">
        <is>
          <t>Largo de cadena total 40cm Extensión 8 cm Dije 1 cm</t>
        </is>
      </c>
      <c r="D2528" s="1" t="inlineStr">
        <is>
          <t>03/12/2025</t>
        </is>
      </c>
      <c r="E2528" s="1" t="n">
        <v>2025</v>
      </c>
      <c r="F2528" s="1" t="inlineStr">
        <is>
          <t>DICIEMBRE</t>
        </is>
      </c>
      <c r="G2528" s="1" t="inlineStr">
        <is>
          <t>HAIFENG</t>
        </is>
      </c>
      <c r="H2528" s="1" t="inlineStr">
        <is>
          <t>HAIFENG 03/12/2025</t>
        </is>
      </c>
      <c r="I2528" s="4" t="n">
        <v>5</v>
      </c>
      <c r="J2528" s="6" t="n">
        <v>5</v>
      </c>
      <c r="K2528" s="6" t="n">
        <v>104.5858001</v>
      </c>
      <c r="L2528" s="6">
        <f>I2528*K2528</f>
        <v/>
      </c>
      <c r="M2528" s="6">
        <f>K2528*4</f>
        <v/>
      </c>
      <c r="N2528" s="6" t="n">
        <v>450</v>
      </c>
    </row>
    <row r="2529">
      <c r="A2529" s="1" t="inlineStr">
        <is>
          <t>643ec10bc63f5</t>
        </is>
      </c>
      <c r="B2529" s="1" t="inlineStr">
        <is>
          <t>COLLAR BV SILVER</t>
        </is>
      </c>
      <c r="C2529" s="1" t="inlineStr">
        <is>
          <t>Largo de cadena total 40cm  Extensión 8 cm  Dije 1 cm</t>
        </is>
      </c>
      <c r="D2529" s="1" t="inlineStr">
        <is>
          <t>16/06/2026</t>
        </is>
      </c>
      <c r="E2529" s="1" t="n">
        <v>2026</v>
      </c>
      <c r="F2529" s="1" t="inlineStr">
        <is>
          <t>JUNIO</t>
        </is>
      </c>
      <c r="G2529" s="1" t="inlineStr">
        <is>
          <t>HAIFENG</t>
        </is>
      </c>
      <c r="H2529" s="1" t="inlineStr">
        <is>
          <t>HAIFENG 16/06/2026</t>
        </is>
      </c>
      <c r="I2529" s="4" t="n">
        <v>2</v>
      </c>
      <c r="J2529" s="6" t="n">
        <v>5</v>
      </c>
      <c r="K2529" s="6" t="n">
        <v>105.0730323</v>
      </c>
      <c r="L2529" s="6">
        <f>I2529*K2529</f>
        <v/>
      </c>
      <c r="M2529" s="6">
        <f>K2529*4</f>
        <v/>
      </c>
      <c r="N2529" s="6" t="n">
        <v>450</v>
      </c>
    </row>
    <row r="2530">
      <c r="A2530" s="1" t="inlineStr">
        <is>
          <t>6453fd2f11ef1</t>
        </is>
      </c>
      <c r="B2530" s="1" t="inlineStr">
        <is>
          <t>PULSERA TREBOL GOLD BLACK VF</t>
        </is>
      </c>
      <c r="C2530" s="1" t="inlineStr">
        <is>
          <t>20cm</t>
        </is>
      </c>
      <c r="D2530" s="1" t="inlineStr">
        <is>
          <t>16/04/2026</t>
        </is>
      </c>
      <c r="E2530" s="1" t="n">
        <v>2026</v>
      </c>
      <c r="F2530" s="1" t="inlineStr">
        <is>
          <t>ABRIL</t>
        </is>
      </c>
      <c r="G2530" s="1" t="inlineStr">
        <is>
          <t>HAIFENG</t>
        </is>
      </c>
      <c r="H2530" s="1" t="inlineStr">
        <is>
          <t>HAIFENG 16/04/2026</t>
        </is>
      </c>
      <c r="I2530" s="4" t="n">
        <v>8</v>
      </c>
      <c r="J2530" s="6" t="n">
        <v>7</v>
      </c>
      <c r="K2530" s="6" t="n">
        <v>147.2203151</v>
      </c>
      <c r="L2530" s="6">
        <f>I2530*K2530</f>
        <v/>
      </c>
      <c r="M2530" s="6">
        <f>K2530*4</f>
        <v/>
      </c>
      <c r="N2530" s="6" t="n">
        <v>599</v>
      </c>
    </row>
    <row r="2531">
      <c r="A2531" s="1" t="inlineStr">
        <is>
          <t>6453fd2f11ef1</t>
        </is>
      </c>
      <c r="B2531" s="1" t="inlineStr">
        <is>
          <t>PULSERA TREBOL GOLD BLACK VF</t>
        </is>
      </c>
      <c r="C2531" s="1" t="inlineStr">
        <is>
          <t>20cm</t>
        </is>
      </c>
      <c r="D2531" s="1" t="inlineStr">
        <is>
          <t>16/06/2026</t>
        </is>
      </c>
      <c r="E2531" s="1" t="n">
        <v>2026</v>
      </c>
      <c r="F2531" s="1" t="inlineStr">
        <is>
          <t>JUNIO</t>
        </is>
      </c>
      <c r="G2531" s="1" t="inlineStr">
        <is>
          <t>HAIFENG</t>
        </is>
      </c>
      <c r="H2531" s="1" t="inlineStr">
        <is>
          <t>HAIFENG 16/06/2026</t>
        </is>
      </c>
      <c r="I2531" s="4" t="n">
        <v>6</v>
      </c>
      <c r="J2531" s="6" t="n">
        <v>7</v>
      </c>
      <c r="K2531" s="6" t="n">
        <v>147.1022452</v>
      </c>
      <c r="L2531" s="6">
        <f>I2531*K2531</f>
        <v/>
      </c>
      <c r="M2531" s="6">
        <f>K2531*4</f>
        <v/>
      </c>
      <c r="N2531" s="6" t="n">
        <v>599</v>
      </c>
    </row>
    <row r="2532">
      <c r="A2532" s="1" t="inlineStr">
        <is>
          <t>64571791072897</t>
        </is>
      </c>
      <c r="B2532" s="1" t="inlineStr">
        <is>
          <t>BOLSO CC BLACK</t>
        </is>
      </c>
      <c r="C2532" s="1" t="inlineStr">
        <is>
          <t>25cm de largo x 17cm de alto x 6cm de ancho</t>
        </is>
      </c>
      <c r="D2532" s="1" t="inlineStr">
        <is>
          <t>01/09/2025</t>
        </is>
      </c>
      <c r="E2532" s="1" t="n">
        <v>2025</v>
      </c>
      <c r="F2532" s="1" t="inlineStr">
        <is>
          <t>SEPTIEMBRE</t>
        </is>
      </c>
      <c r="G2532" s="1" t="inlineStr">
        <is>
          <t>ZOEY</t>
        </is>
      </c>
      <c r="H2532" s="1" t="inlineStr">
        <is>
          <t>ZOEY 01/09/2025</t>
        </is>
      </c>
      <c r="I2532" s="4" t="n">
        <v>7</v>
      </c>
      <c r="J2532" s="6" t="n">
        <v>48</v>
      </c>
      <c r="K2532" s="6" t="n">
        <v>1205.656541</v>
      </c>
      <c r="L2532" s="6">
        <f>I2532*K2532</f>
        <v/>
      </c>
      <c r="M2532" s="6">
        <f>K2532*4</f>
        <v/>
      </c>
      <c r="N2532" s="6" t="n">
        <v>5089</v>
      </c>
    </row>
    <row r="2533">
      <c r="A2533" s="1" t="inlineStr">
        <is>
          <t>64571791072897</t>
        </is>
      </c>
      <c r="B2533" s="1" t="inlineStr">
        <is>
          <t>BOLSO CC BLACK</t>
        </is>
      </c>
      <c r="C2533" s="1" t="inlineStr">
        <is>
          <t>25cm de largo x 17cm de alto x 6cm de ancho</t>
        </is>
      </c>
      <c r="D2533" s="1" t="inlineStr">
        <is>
          <t>20/01/2026</t>
        </is>
      </c>
      <c r="E2533" s="1" t="n">
        <v>2026</v>
      </c>
      <c r="F2533" s="1" t="inlineStr">
        <is>
          <t>ENERO</t>
        </is>
      </c>
      <c r="G2533" s="1" t="inlineStr">
        <is>
          <t>ZOEY</t>
        </is>
      </c>
      <c r="H2533" s="1" t="inlineStr">
        <is>
          <t>ZOEY 20/01/2026</t>
        </is>
      </c>
      <c r="I2533" s="4" t="n">
        <v>2</v>
      </c>
      <c r="J2533" s="6" t="n">
        <v>48</v>
      </c>
      <c r="K2533" s="6" t="n">
        <v>1249.51677</v>
      </c>
      <c r="L2533" s="6">
        <f>I2533*K2533</f>
        <v/>
      </c>
      <c r="M2533" s="6">
        <f>K2533*4</f>
        <v/>
      </c>
      <c r="N2533" s="6" t="n">
        <v>5089</v>
      </c>
    </row>
    <row r="2534">
      <c r="A2534" s="1" t="inlineStr">
        <is>
          <t>64571791072897</t>
        </is>
      </c>
      <c r="B2534" s="1" t="inlineStr">
        <is>
          <t>BOLSO CC BLACK</t>
        </is>
      </c>
      <c r="C2534" s="1" t="inlineStr">
        <is>
          <t>25cm de largo x 17cm de alto x 6cm de ancho</t>
        </is>
      </c>
      <c r="D2534" s="1" t="inlineStr">
        <is>
          <t>02/03/2026</t>
        </is>
      </c>
      <c r="E2534" s="1" t="n">
        <v>2026</v>
      </c>
      <c r="F2534" s="1" t="inlineStr">
        <is>
          <t>MARZO</t>
        </is>
      </c>
      <c r="G2534" s="1" t="inlineStr">
        <is>
          <t>ZOEY</t>
        </is>
      </c>
      <c r="H2534" s="1" t="inlineStr">
        <is>
          <t>ZOEY 02/03/2026</t>
        </is>
      </c>
      <c r="I2534" s="4" t="n">
        <v>2</v>
      </c>
      <c r="J2534" s="6" t="n">
        <v>48</v>
      </c>
      <c r="K2534" s="6" t="n">
        <v>1261.294835</v>
      </c>
      <c r="L2534" s="6">
        <f>I2534*K2534</f>
        <v/>
      </c>
      <c r="M2534" s="6">
        <f>K2534*4</f>
        <v/>
      </c>
      <c r="N2534" s="6" t="n">
        <v>5089</v>
      </c>
    </row>
    <row r="2535">
      <c r="A2535" s="1" t="inlineStr">
        <is>
          <t>64571791072897</t>
        </is>
      </c>
      <c r="B2535" s="1" t="inlineStr">
        <is>
          <t>BOLSO CC BLACK</t>
        </is>
      </c>
      <c r="C2535" s="1" t="inlineStr">
        <is>
          <t>25cm de largo x 17cm de alto x 6cm de ancho</t>
        </is>
      </c>
      <c r="D2535" s="1" t="inlineStr">
        <is>
          <t>19/03/2026</t>
        </is>
      </c>
      <c r="E2535" s="1" t="n">
        <v>2026</v>
      </c>
      <c r="F2535" s="1" t="inlineStr">
        <is>
          <t>MARZO</t>
        </is>
      </c>
      <c r="G2535" s="1" t="inlineStr">
        <is>
          <t>ZOEY</t>
        </is>
      </c>
      <c r="H2535" s="1" t="inlineStr">
        <is>
          <t>ZOEY 19/03/2026</t>
        </is>
      </c>
      <c r="I2535" s="4" t="n">
        <v>2</v>
      </c>
      <c r="J2535" s="6" t="n">
        <v>48</v>
      </c>
      <c r="K2535" s="6" t="n">
        <v>1237.538381</v>
      </c>
      <c r="L2535" s="6">
        <f>I2535*K2535</f>
        <v/>
      </c>
      <c r="M2535" s="6">
        <f>K2535*4</f>
        <v/>
      </c>
      <c r="N2535" s="6" t="n">
        <v>5089</v>
      </c>
    </row>
    <row r="2536">
      <c r="A2536" s="1" t="inlineStr">
        <is>
          <t>64571791072897</t>
        </is>
      </c>
      <c r="B2536" s="1" t="inlineStr">
        <is>
          <t>BOLSO CC BLACK</t>
        </is>
      </c>
      <c r="C2536" s="1" t="inlineStr">
        <is>
          <t>25cm de largo x 17cm de alto x 6cm de ancho</t>
        </is>
      </c>
      <c r="D2536" s="1" t="inlineStr">
        <is>
          <t>15/05/2026</t>
        </is>
      </c>
      <c r="E2536" s="1" t="n">
        <v>2026</v>
      </c>
      <c r="F2536" s="1" t="inlineStr">
        <is>
          <t>MAYO</t>
        </is>
      </c>
      <c r="G2536" s="1" t="inlineStr">
        <is>
          <t>ZOEY</t>
        </is>
      </c>
      <c r="H2536" s="1" t="inlineStr">
        <is>
          <t>ZOEY 15/05/2026</t>
        </is>
      </c>
      <c r="I2536" s="4" t="n">
        <v>5</v>
      </c>
      <c r="J2536" s="6" t="n">
        <v>48</v>
      </c>
      <c r="K2536" s="6" t="n">
        <v>1272.221975</v>
      </c>
      <c r="L2536" s="6">
        <f>I2536*K2536</f>
        <v/>
      </c>
      <c r="M2536" s="6">
        <f>K2536*4</f>
        <v/>
      </c>
      <c r="N2536" s="6" t="n">
        <v>5089</v>
      </c>
    </row>
    <row r="2537">
      <c r="A2537" s="1" t="inlineStr">
        <is>
          <t>64571791072897</t>
        </is>
      </c>
      <c r="B2537" s="1" t="inlineStr">
        <is>
          <t>BOLSO CC BLACK</t>
        </is>
      </c>
      <c r="C2537" s="1" t="inlineStr">
        <is>
          <t>25cm de largo x 17cm de alto x 6cm de ancho</t>
        </is>
      </c>
      <c r="D2537" s="1" t="inlineStr">
        <is>
          <t>08/06/2026</t>
        </is>
      </c>
      <c r="E2537" s="1" t="n">
        <v>2026</v>
      </c>
      <c r="F2537" s="1" t="inlineStr">
        <is>
          <t>JUNIO</t>
        </is>
      </c>
      <c r="G2537" s="1" t="inlineStr">
        <is>
          <t>ZOEY</t>
        </is>
      </c>
      <c r="H2537" s="1" t="inlineStr">
        <is>
          <t>ZOEY 08/06/2026</t>
        </is>
      </c>
      <c r="I2537" s="4" t="n">
        <v>8</v>
      </c>
      <c r="J2537" s="6" t="n">
        <v>48</v>
      </c>
      <c r="K2537" s="6" t="n">
        <v>1176.54895</v>
      </c>
      <c r="L2537" s="6">
        <f>I2537*K2537</f>
        <v/>
      </c>
      <c r="M2537" s="6">
        <f>K2537*4</f>
        <v/>
      </c>
      <c r="N2537" s="6" t="n">
        <v>4699</v>
      </c>
    </row>
    <row r="2538">
      <c r="A2538" s="1" t="inlineStr">
        <is>
          <t>646f846abc38f</t>
        </is>
      </c>
      <c r="B2538" s="1" t="inlineStr">
        <is>
          <t>PULSERA COCO ROSEGOLD</t>
        </is>
      </c>
      <c r="C2538" s="1" t="inlineStr">
        <is>
          <t>17cm</t>
        </is>
      </c>
      <c r="D2538" s="1" t="inlineStr">
        <is>
          <t>18/02/2026</t>
        </is>
      </c>
      <c r="E2538" s="1" t="n">
        <v>2026</v>
      </c>
      <c r="F2538" s="1" t="inlineStr">
        <is>
          <t>FEBRERO</t>
        </is>
      </c>
      <c r="G2538" s="1" t="inlineStr">
        <is>
          <t>CYNTHIA</t>
        </is>
      </c>
      <c r="H2538" s="1" t="inlineStr">
        <is>
          <t>CYNTHIA 18/02/2026</t>
        </is>
      </c>
      <c r="I2538" s="4" t="n">
        <v>1</v>
      </c>
      <c r="J2538" s="6" t="n">
        <v>14</v>
      </c>
      <c r="K2538" s="6" t="n">
        <v>378.6071128</v>
      </c>
      <c r="L2538" s="6">
        <f>I2538*K2538</f>
        <v/>
      </c>
      <c r="M2538" s="6">
        <f>K2538*4</f>
        <v/>
      </c>
      <c r="N2538" s="6" t="n">
        <v>1499</v>
      </c>
    </row>
    <row r="2539">
      <c r="A2539" s="1" t="inlineStr">
        <is>
          <t>646f846abc38f</t>
        </is>
      </c>
      <c r="B2539" s="1" t="inlineStr">
        <is>
          <t>PULSERA COCO ROSEGOLD</t>
        </is>
      </c>
      <c r="C2539" s="1" t="inlineStr">
        <is>
          <t>17cm</t>
        </is>
      </c>
      <c r="D2539" s="1" t="inlineStr">
        <is>
          <t>31/05/2026</t>
        </is>
      </c>
      <c r="E2539" s="1" t="n">
        <v>2026</v>
      </c>
      <c r="F2539" s="1" t="inlineStr">
        <is>
          <t>MAYO</t>
        </is>
      </c>
      <c r="G2539" s="1" t="inlineStr">
        <is>
          <t>CYNTHIA</t>
        </is>
      </c>
      <c r="H2539" s="1" t="inlineStr">
        <is>
          <t>CYNTHIA 31/05/2026</t>
        </is>
      </c>
      <c r="I2539" s="4" t="n">
        <v>2</v>
      </c>
      <c r="J2539" s="6" t="n">
        <v>14</v>
      </c>
      <c r="K2539" s="6" t="n">
        <v>371.0146297</v>
      </c>
      <c r="L2539" s="6">
        <f>I2539*K2539</f>
        <v/>
      </c>
      <c r="M2539" s="6">
        <f>K2539*4</f>
        <v/>
      </c>
      <c r="N2539" s="6" t="n">
        <v>1499</v>
      </c>
    </row>
    <row r="2540">
      <c r="A2540" s="1" t="inlineStr">
        <is>
          <t>646f84740b09f</t>
        </is>
      </c>
      <c r="B2540" s="1" t="inlineStr">
        <is>
          <t>PULSERA COCO GOLD</t>
        </is>
      </c>
      <c r="C2540" s="1" t="inlineStr">
        <is>
          <t>17cm</t>
        </is>
      </c>
      <c r="D2540" s="1" t="inlineStr">
        <is>
          <t>31/05/2026</t>
        </is>
      </c>
      <c r="E2540" s="1" t="n">
        <v>2026</v>
      </c>
      <c r="F2540" s="1" t="inlineStr">
        <is>
          <t>MAYO</t>
        </is>
      </c>
      <c r="G2540" s="1" t="inlineStr">
        <is>
          <t>CYNTHIA</t>
        </is>
      </c>
      <c r="H2540" s="1" t="inlineStr">
        <is>
          <t>CYNTHIA 31/05/2026</t>
        </is>
      </c>
      <c r="I2540" s="4" t="n">
        <v>5</v>
      </c>
      <c r="J2540" s="6" t="n">
        <v>14</v>
      </c>
      <c r="K2540" s="6" t="n">
        <v>371.0146297</v>
      </c>
      <c r="L2540" s="6">
        <f>I2540*K2540</f>
        <v/>
      </c>
      <c r="M2540" s="6">
        <f>K2540*4</f>
        <v/>
      </c>
      <c r="N2540" s="6" t="n">
        <v>1499</v>
      </c>
    </row>
    <row r="2541">
      <c r="A2541" s="1" t="inlineStr">
        <is>
          <t>646f84b99a256</t>
        </is>
      </c>
      <c r="B2541" s="1" t="inlineStr">
        <is>
          <t>ARETES T SILVER</t>
        </is>
      </c>
      <c r="C2541" s="1" t="inlineStr">
        <is>
          <t>silver</t>
        </is>
      </c>
      <c r="D2541" s="1" t="inlineStr">
        <is>
          <t>01/05/2025</t>
        </is>
      </c>
      <c r="E2541" s="1" t="n">
        <v>2025</v>
      </c>
      <c r="F2541" s="1" t="inlineStr">
        <is>
          <t>MAYO</t>
        </is>
      </c>
      <c r="G2541" s="1" t="inlineStr">
        <is>
          <t>COCOMA</t>
        </is>
      </c>
      <c r="H2541" s="1" t="inlineStr">
        <is>
          <t>COCOMA MAYO 2025</t>
        </is>
      </c>
      <c r="I2541" s="4" t="n">
        <v>4</v>
      </c>
      <c r="J2541" s="6" t="n">
        <v>3.7</v>
      </c>
      <c r="K2541" s="6" t="n">
        <v>90.63232567</v>
      </c>
      <c r="L2541" s="6">
        <f>I2541*K2541</f>
        <v/>
      </c>
      <c r="M2541" s="6">
        <f>K2541*4</f>
        <v/>
      </c>
      <c r="N2541" s="6" t="n">
        <v>420</v>
      </c>
    </row>
    <row r="2542">
      <c r="A2542" s="1" t="inlineStr">
        <is>
          <t>646f84b99a256</t>
        </is>
      </c>
      <c r="B2542" s="1" t="inlineStr">
        <is>
          <t>ARETES T SILVER</t>
        </is>
      </c>
      <c r="C2542" s="1" t="inlineStr">
        <is>
          <t>Default Title</t>
        </is>
      </c>
      <c r="D2542" s="1" t="inlineStr">
        <is>
          <t>20/01/2026</t>
        </is>
      </c>
      <c r="E2542" s="1" t="n">
        <v>2026</v>
      </c>
      <c r="F2542" s="1" t="inlineStr">
        <is>
          <t>ENERO</t>
        </is>
      </c>
      <c r="G2542" s="1" t="inlineStr">
        <is>
          <t>COCOMA</t>
        </is>
      </c>
      <c r="H2542" s="1" t="inlineStr">
        <is>
          <t>COCOMA 20/01/2026</t>
        </is>
      </c>
      <c r="I2542" s="4" t="n">
        <v>3</v>
      </c>
      <c r="J2542" s="6" t="n">
        <v>3.7</v>
      </c>
      <c r="K2542" s="6" t="n">
        <v>89.410145</v>
      </c>
      <c r="L2542" s="6">
        <f>I2542*K2542</f>
        <v/>
      </c>
      <c r="M2542" s="6">
        <f>K2542*4</f>
        <v/>
      </c>
      <c r="N2542" s="6" t="n">
        <v>420</v>
      </c>
    </row>
    <row r="2543">
      <c r="A2543" s="1" t="inlineStr">
        <is>
          <t>646f84b9b65ea</t>
        </is>
      </c>
      <c r="B2543" s="1" t="inlineStr">
        <is>
          <t>ARETES T ROSE GOLD</t>
        </is>
      </c>
      <c r="C2543" s="1" t="inlineStr">
        <is>
          <t>Default Title</t>
        </is>
      </c>
      <c r="D2543" s="1" t="inlineStr">
        <is>
          <t>20/01/2026</t>
        </is>
      </c>
      <c r="E2543" s="1" t="n">
        <v>2026</v>
      </c>
      <c r="F2543" s="1" t="inlineStr">
        <is>
          <t>ENERO</t>
        </is>
      </c>
      <c r="G2543" s="1" t="inlineStr">
        <is>
          <t>COCOMA</t>
        </is>
      </c>
      <c r="H2543" s="1" t="inlineStr">
        <is>
          <t>COCOMA 20/01/2026</t>
        </is>
      </c>
      <c r="I2543" s="4" t="n">
        <v>3</v>
      </c>
      <c r="J2543" s="6" t="n">
        <v>3.7</v>
      </c>
      <c r="K2543" s="6" t="n">
        <v>89.410145</v>
      </c>
      <c r="L2543" s="6">
        <f>I2543*K2543</f>
        <v/>
      </c>
      <c r="M2543" s="6">
        <f>K2543*4</f>
        <v/>
      </c>
      <c r="N2543" s="6" t="n">
        <v>210</v>
      </c>
    </row>
    <row r="2544">
      <c r="A2544" s="1" t="inlineStr">
        <is>
          <t>646f84bcb068f</t>
        </is>
      </c>
      <c r="B2544" s="1" t="inlineStr">
        <is>
          <t>ARETES T GOLD</t>
        </is>
      </c>
      <c r="C2544" s="1" t="inlineStr">
        <is>
          <t>gold</t>
        </is>
      </c>
      <c r="D2544" s="1" t="inlineStr">
        <is>
          <t>01/05/2025</t>
        </is>
      </c>
      <c r="E2544" s="1" t="n">
        <v>2025</v>
      </c>
      <c r="F2544" s="1" t="inlineStr">
        <is>
          <t>MAYO</t>
        </is>
      </c>
      <c r="G2544" s="1" t="inlineStr">
        <is>
          <t>COCOMA</t>
        </is>
      </c>
      <c r="H2544" s="1" t="inlineStr">
        <is>
          <t>COCOMA MAYO 2025</t>
        </is>
      </c>
      <c r="I2544" s="4" t="n">
        <v>3</v>
      </c>
      <c r="J2544" s="6" t="n">
        <v>3.7</v>
      </c>
      <c r="K2544" s="6" t="n">
        <v>90.63232567</v>
      </c>
      <c r="L2544" s="6">
        <f>I2544*K2544</f>
        <v/>
      </c>
      <c r="M2544" s="6">
        <f>K2544*4</f>
        <v/>
      </c>
      <c r="N2544" s="6" t="n">
        <v>420</v>
      </c>
    </row>
    <row r="2545">
      <c r="A2545" s="1" t="inlineStr">
        <is>
          <t>646f84bcb068f</t>
        </is>
      </c>
      <c r="B2545" s="1" t="inlineStr">
        <is>
          <t>ARETES T GOLD</t>
        </is>
      </c>
      <c r="C2545" s="1" t="inlineStr">
        <is>
          <t>Default Title</t>
        </is>
      </c>
      <c r="D2545" s="1" t="inlineStr">
        <is>
          <t>20/01/2026</t>
        </is>
      </c>
      <c r="E2545" s="1" t="n">
        <v>2026</v>
      </c>
      <c r="F2545" s="1" t="inlineStr">
        <is>
          <t>ENERO</t>
        </is>
      </c>
      <c r="G2545" s="1" t="inlineStr">
        <is>
          <t>COCOMA</t>
        </is>
      </c>
      <c r="H2545" s="1" t="inlineStr">
        <is>
          <t>COCOMA 20/01/2026</t>
        </is>
      </c>
      <c r="I2545" s="4" t="n">
        <v>3</v>
      </c>
      <c r="J2545" s="6" t="n">
        <v>3.7</v>
      </c>
      <c r="K2545" s="6" t="n">
        <v>89.410145</v>
      </c>
      <c r="L2545" s="6">
        <f>I2545*K2545</f>
        <v/>
      </c>
      <c r="M2545" s="6">
        <f>K2545*4</f>
        <v/>
      </c>
      <c r="N2545" s="6" t="n">
        <v>420</v>
      </c>
    </row>
    <row r="2546">
      <c r="A2546" s="1" t="inlineStr">
        <is>
          <t>646f84bdcd369</t>
        </is>
      </c>
      <c r="B2546" s="1" t="inlineStr">
        <is>
          <t>COLLAR SMILE CON ZIRCONIA SILVER</t>
        </is>
      </c>
      <c r="C2546" s="1" t="inlineStr">
        <is>
          <t>42.5cm</t>
        </is>
      </c>
      <c r="D2546" s="1" t="inlineStr">
        <is>
          <t>25/10/2025</t>
        </is>
      </c>
      <c r="E2546" s="1" t="n">
        <v>2025</v>
      </c>
      <c r="F2546" s="1" t="inlineStr">
        <is>
          <t>OCTUBRE</t>
        </is>
      </c>
      <c r="G2546" s="1" t="inlineStr">
        <is>
          <t>CYNTHIA</t>
        </is>
      </c>
      <c r="H2546" s="1" t="inlineStr">
        <is>
          <t>CYNTHIA 25/10/2025</t>
        </is>
      </c>
      <c r="I2546" s="4" t="n">
        <v>5</v>
      </c>
      <c r="J2546" s="6" t="n">
        <v>12.8</v>
      </c>
      <c r="K2546" s="6" t="n">
        <v>335.3833419</v>
      </c>
      <c r="L2546" s="6">
        <f>I2546*K2546</f>
        <v/>
      </c>
      <c r="M2546" s="6">
        <f>K2546*4</f>
        <v/>
      </c>
      <c r="N2546" s="6" t="n">
        <v>1099</v>
      </c>
    </row>
    <row r="2547">
      <c r="A2547" s="1" t="inlineStr">
        <is>
          <t>646f84bdcd369</t>
        </is>
      </c>
      <c r="B2547" s="1" t="inlineStr">
        <is>
          <t>COLLAR SMILE CON ZIRCONIA SILVER</t>
        </is>
      </c>
      <c r="C2547" s="1" t="inlineStr">
        <is>
          <t>GISEL</t>
        </is>
      </c>
      <c r="D2547" s="1" t="inlineStr">
        <is>
          <t>31/05/2026</t>
        </is>
      </c>
      <c r="E2547" s="1" t="n">
        <v>2026</v>
      </c>
      <c r="F2547" s="1" t="inlineStr">
        <is>
          <t>MAYO</t>
        </is>
      </c>
      <c r="G2547" s="1" t="inlineStr">
        <is>
          <t>CYNTHIA</t>
        </is>
      </c>
      <c r="H2547" s="1" t="inlineStr">
        <is>
          <t>CYNTHIA 31/05/2026</t>
        </is>
      </c>
      <c r="I2547" s="4" t="n">
        <v>1</v>
      </c>
      <c r="J2547" s="6" t="n">
        <v>12.8</v>
      </c>
      <c r="K2547" s="6" t="n">
        <v>339.2133757</v>
      </c>
      <c r="L2547" s="6">
        <f>I2547*K2547</f>
        <v/>
      </c>
      <c r="M2547" s="6">
        <f>K2547*4</f>
        <v/>
      </c>
      <c r="N2547" s="6" t="n"/>
    </row>
    <row r="2548">
      <c r="A2548" s="1" t="inlineStr">
        <is>
          <t>646f84c070459</t>
        </is>
      </c>
      <c r="B2548" s="1" t="inlineStr">
        <is>
          <t>ARETES LV COLGANTE</t>
        </is>
      </c>
      <c r="C2548" s="1" t="inlineStr">
        <is>
          <t>Regular</t>
        </is>
      </c>
      <c r="D2548" s="1" t="inlineStr">
        <is>
          <t>20/01/2026</t>
        </is>
      </c>
      <c r="E2548" s="1" t="n">
        <v>2026</v>
      </c>
      <c r="F2548" s="1" t="inlineStr">
        <is>
          <t>ENERO</t>
        </is>
      </c>
      <c r="G2548" s="1" t="inlineStr">
        <is>
          <t>COCOMA</t>
        </is>
      </c>
      <c r="H2548" s="1" t="inlineStr">
        <is>
          <t>COCOMA 20/01/2026</t>
        </is>
      </c>
      <c r="I2548" s="4" t="n">
        <v>2</v>
      </c>
      <c r="J2548" s="6" t="n">
        <v>3.7</v>
      </c>
      <c r="K2548" s="6" t="n">
        <v>89.410145</v>
      </c>
      <c r="L2548" s="6">
        <f>I2548*K2548</f>
        <v/>
      </c>
      <c r="M2548" s="6">
        <f>K2548*4</f>
        <v/>
      </c>
      <c r="N2548" s="6" t="n">
        <v>480</v>
      </c>
    </row>
    <row r="2549">
      <c r="A2549" s="1" t="inlineStr">
        <is>
          <t>646f84c300fa5</t>
        </is>
      </c>
      <c r="B2549" s="1" t="inlineStr">
        <is>
          <t>ARETES BV GOLD-BLACK</t>
        </is>
      </c>
      <c r="C2549" s="1" t="inlineStr">
        <is>
          <t>0.7cm</t>
        </is>
      </c>
      <c r="D2549" s="1" t="inlineStr">
        <is>
          <t>06/09/2025</t>
        </is>
      </c>
      <c r="E2549" s="1" t="n">
        <v>2025</v>
      </c>
      <c r="F2549" s="1" t="inlineStr">
        <is>
          <t>SEPTIEMBRE</t>
        </is>
      </c>
      <c r="G2549" s="1" t="inlineStr">
        <is>
          <t>NANCY</t>
        </is>
      </c>
      <c r="H2549" s="1" t="inlineStr">
        <is>
          <t>NANCY 06/09/2025</t>
        </is>
      </c>
      <c r="I2549" s="4" t="n">
        <v>2</v>
      </c>
      <c r="J2549" s="6" t="n">
        <v>3.69</v>
      </c>
      <c r="K2549" s="6" t="n">
        <v>85.92408387</v>
      </c>
      <c r="L2549" s="6">
        <f>I2549*K2549</f>
        <v/>
      </c>
      <c r="M2549" s="6">
        <f>K2549*4</f>
        <v/>
      </c>
      <c r="N2549" s="6" t="n">
        <v>450</v>
      </c>
    </row>
    <row r="2550">
      <c r="A2550" s="1" t="inlineStr">
        <is>
          <t>646f84c300fa5</t>
        </is>
      </c>
      <c r="B2550" s="1" t="inlineStr">
        <is>
          <t>ARETES BV GOLD-BLACK</t>
        </is>
      </c>
      <c r="C2550" s="1" t="inlineStr">
        <is>
          <t>0.7cm</t>
        </is>
      </c>
      <c r="D2550" s="1" t="inlineStr">
        <is>
          <t>01/03/2026</t>
        </is>
      </c>
      <c r="E2550" s="1" t="n">
        <v>2026</v>
      </c>
      <c r="F2550" s="1" t="inlineStr">
        <is>
          <t>MARZO</t>
        </is>
      </c>
      <c r="G2550" s="1" t="inlineStr">
        <is>
          <t>NANCY</t>
        </is>
      </c>
      <c r="H2550" s="1" t="inlineStr">
        <is>
          <t>NANCY 01/03/2026</t>
        </is>
      </c>
      <c r="I2550" s="4" t="n">
        <v>1</v>
      </c>
      <c r="J2550" s="6" t="n">
        <v>3.69</v>
      </c>
      <c r="K2550" s="6" t="n">
        <v>93.37072066</v>
      </c>
      <c r="L2550" s="6">
        <f>I2550*K2550</f>
        <v/>
      </c>
      <c r="M2550" s="6">
        <f>K2550*4</f>
        <v/>
      </c>
      <c r="N2550" s="6" t="n">
        <v>450</v>
      </c>
    </row>
    <row r="2551">
      <c r="A2551" s="1" t="inlineStr">
        <is>
          <t>646f84c300fa5</t>
        </is>
      </c>
      <c r="B2551" s="1" t="inlineStr">
        <is>
          <t>ARETES BV GOLD-BLACK</t>
        </is>
      </c>
      <c r="C2551" s="1" t="inlineStr">
        <is>
          <t>0.7cm</t>
        </is>
      </c>
      <c r="D2551" s="1" t="inlineStr">
        <is>
          <t>01/04/2026</t>
        </is>
      </c>
      <c r="E2551" s="1" t="n">
        <v>2026</v>
      </c>
      <c r="F2551" s="1" t="inlineStr">
        <is>
          <t>ABRIL</t>
        </is>
      </c>
      <c r="G2551" s="1" t="inlineStr">
        <is>
          <t>NANCY</t>
        </is>
      </c>
      <c r="H2551" s="1" t="inlineStr">
        <is>
          <t>NANCY 01/04/2026</t>
        </is>
      </c>
      <c r="I2551" s="4" t="n">
        <v>1</v>
      </c>
      <c r="J2551" s="6" t="n">
        <v>3.69</v>
      </c>
      <c r="K2551" s="6" t="n">
        <v>88.34048035000001</v>
      </c>
      <c r="L2551" s="6">
        <f>I2551*K2551</f>
        <v/>
      </c>
      <c r="M2551" s="6">
        <f>K2551*4</f>
        <v/>
      </c>
      <c r="N2551" s="6" t="n">
        <v>450</v>
      </c>
    </row>
    <row r="2552">
      <c r="A2552" s="1" t="inlineStr">
        <is>
          <t>646f84c300fa5</t>
        </is>
      </c>
      <c r="B2552" s="1" t="inlineStr">
        <is>
          <t>ARETES BV GOLD-BLACK</t>
        </is>
      </c>
      <c r="C2552" s="1" t="inlineStr">
        <is>
          <t>0.7cm</t>
        </is>
      </c>
      <c r="D2552" s="1" t="inlineStr">
        <is>
          <t>08/05/2026</t>
        </is>
      </c>
      <c r="E2552" s="1" t="n">
        <v>2026</v>
      </c>
      <c r="F2552" s="1" t="inlineStr">
        <is>
          <t>MAYO</t>
        </is>
      </c>
      <c r="G2552" s="1" t="inlineStr">
        <is>
          <t>NANCY</t>
        </is>
      </c>
      <c r="H2552" s="1" t="inlineStr">
        <is>
          <t>NANCY 08/05/2026</t>
        </is>
      </c>
      <c r="I2552" s="4" t="n">
        <v>2</v>
      </c>
      <c r="J2552" s="6" t="n">
        <v>3.69</v>
      </c>
      <c r="K2552" s="6" t="n">
        <v>87.29713666000001</v>
      </c>
      <c r="L2552" s="6">
        <f>I2552*K2552</f>
        <v/>
      </c>
      <c r="M2552" s="6">
        <f>K2552*4</f>
        <v/>
      </c>
      <c r="N2552" s="6" t="n">
        <v>450</v>
      </c>
    </row>
    <row r="2553">
      <c r="A2553" s="1" t="inlineStr">
        <is>
          <t>646f84c300fa5</t>
        </is>
      </c>
      <c r="B2553" s="1" t="inlineStr">
        <is>
          <t>ARETES BV GOLD-BLACK</t>
        </is>
      </c>
      <c r="C2553" s="1" t="inlineStr">
        <is>
          <t>0.7cm</t>
        </is>
      </c>
      <c r="D2553" s="1" t="inlineStr">
        <is>
          <t>09/07/2026</t>
        </is>
      </c>
      <c r="E2553" s="1" t="n">
        <v>2026</v>
      </c>
      <c r="F2553" s="1" t="inlineStr">
        <is>
          <t>JULIO</t>
        </is>
      </c>
      <c r="G2553" s="1" t="inlineStr">
        <is>
          <t>NANCY</t>
        </is>
      </c>
      <c r="H2553" s="1" t="inlineStr">
        <is>
          <t>NANCY 09/07/2026</t>
        </is>
      </c>
      <c r="I2553" s="4" t="n">
        <v>2</v>
      </c>
      <c r="J2553" s="6" t="n">
        <v>5.59</v>
      </c>
      <c r="K2553" s="6" t="n">
        <v>136.2029957</v>
      </c>
      <c r="L2553" s="6">
        <f>I2553*K2553</f>
        <v/>
      </c>
      <c r="M2553" s="6">
        <f>K2553*4</f>
        <v/>
      </c>
      <c r="N2553" s="6" t="n">
        <v>450</v>
      </c>
    </row>
    <row r="2554">
      <c r="A2554" s="1" t="inlineStr">
        <is>
          <t>646f850714a60</t>
        </is>
      </c>
      <c r="B2554" s="1" t="inlineStr">
        <is>
          <t>PULSERA COCO SILVER</t>
        </is>
      </c>
      <c r="C2554" s="1" t="inlineStr">
        <is>
          <t>17cm</t>
        </is>
      </c>
      <c r="D2554" s="1" t="inlineStr">
        <is>
          <t>07/01/2026</t>
        </is>
      </c>
      <c r="E2554" s="1" t="n">
        <v>2026</v>
      </c>
      <c r="F2554" s="1" t="inlineStr">
        <is>
          <t>ENERO</t>
        </is>
      </c>
      <c r="G2554" s="1" t="inlineStr">
        <is>
          <t>CYNTHIA</t>
        </is>
      </c>
      <c r="H2554" s="1" t="inlineStr">
        <is>
          <t>CYNTHIA 07/01/2026</t>
        </is>
      </c>
      <c r="I2554" s="4" t="n">
        <v>1</v>
      </c>
      <c r="J2554" s="6" t="n">
        <v>14</v>
      </c>
      <c r="K2554" s="6" t="n">
        <v>372.2239874</v>
      </c>
      <c r="L2554" s="6">
        <f>I2554*K2554</f>
        <v/>
      </c>
      <c r="M2554" s="6">
        <f>K2554*4</f>
        <v/>
      </c>
      <c r="N2554" s="6" t="n">
        <v>1489</v>
      </c>
    </row>
    <row r="2555">
      <c r="A2555" s="1" t="inlineStr">
        <is>
          <t>6478f28defde2</t>
        </is>
      </c>
      <c r="B2555" s="1" t="inlineStr">
        <is>
          <t>COLLAR BV BICOLOR ROSEGOLD</t>
        </is>
      </c>
      <c r="C2555" s="1" t="inlineStr">
        <is>
          <t>39cm con 8cm de extensión</t>
        </is>
      </c>
      <c r="D2555" s="1" t="inlineStr">
        <is>
          <t>20/01/2026</t>
        </is>
      </c>
      <c r="E2555" s="1" t="n">
        <v>2026</v>
      </c>
      <c r="F2555" s="1" t="inlineStr">
        <is>
          <t>ENERO</t>
        </is>
      </c>
      <c r="G2555" s="1" t="inlineStr">
        <is>
          <t>HAIFENG</t>
        </is>
      </c>
      <c r="H2555" s="1" t="inlineStr">
        <is>
          <t>HAIFENG 20/01/2026</t>
        </is>
      </c>
      <c r="I2555" s="4" t="n">
        <v>2</v>
      </c>
      <c r="J2555" s="6" t="n">
        <v>6.5</v>
      </c>
      <c r="K2555" s="6" t="n">
        <v>137.8027156</v>
      </c>
      <c r="L2555" s="6">
        <f>I2555*K2555</f>
        <v/>
      </c>
      <c r="M2555" s="6">
        <f>K2555*4</f>
        <v/>
      </c>
      <c r="N2555" s="6" t="n">
        <v>536</v>
      </c>
    </row>
    <row r="2556">
      <c r="A2556" s="1" t="inlineStr">
        <is>
          <t>6478f2edc6631</t>
        </is>
      </c>
      <c r="B2556" s="1" t="inlineStr">
        <is>
          <t>PULSERA V LISA GOLD</t>
        </is>
      </c>
      <c r="C2556" s="1" t="inlineStr">
        <is>
          <t>16cm</t>
        </is>
      </c>
      <c r="D2556" s="1" t="inlineStr">
        <is>
          <t>25/10/2025</t>
        </is>
      </c>
      <c r="E2556" s="1" t="n">
        <v>2025</v>
      </c>
      <c r="F2556" s="1" t="inlineStr">
        <is>
          <t>OCTUBRE</t>
        </is>
      </c>
      <c r="G2556" s="1" t="inlineStr">
        <is>
          <t>CYNTHIA</t>
        </is>
      </c>
      <c r="H2556" s="1" t="inlineStr">
        <is>
          <t>CYNTHIA 25/10/2025</t>
        </is>
      </c>
      <c r="I2556" s="4" t="n">
        <v>5</v>
      </c>
      <c r="J2556" s="6" t="n">
        <v>6.8</v>
      </c>
      <c r="K2556" s="6" t="n">
        <v>178.1724004</v>
      </c>
      <c r="L2556" s="6">
        <f>I2556*K2556</f>
        <v/>
      </c>
      <c r="M2556" s="6">
        <f>K2556*4</f>
        <v/>
      </c>
      <c r="N2556" s="6" t="n">
        <v>750</v>
      </c>
    </row>
    <row r="2557">
      <c r="A2557" s="1" t="inlineStr">
        <is>
          <t>6478f2edc6631</t>
        </is>
      </c>
      <c r="B2557" s="1" t="inlineStr">
        <is>
          <t>PULSERA V LISA GOLD</t>
        </is>
      </c>
      <c r="C2557" s="1" t="inlineStr">
        <is>
          <t>16cm</t>
        </is>
      </c>
      <c r="D2557" s="1" t="inlineStr">
        <is>
          <t>31/05/2026</t>
        </is>
      </c>
      <c r="E2557" s="1" t="n">
        <v>2026</v>
      </c>
      <c r="F2557" s="1" t="inlineStr">
        <is>
          <t>MAYO</t>
        </is>
      </c>
      <c r="G2557" s="1" t="inlineStr">
        <is>
          <t>CYNTHIA</t>
        </is>
      </c>
      <c r="H2557" s="1" t="inlineStr">
        <is>
          <t>CYNTHIA 31/05/2026</t>
        </is>
      </c>
      <c r="I2557" s="4" t="n">
        <v>2</v>
      </c>
      <c r="J2557" s="6" t="n">
        <v>8.800000000000001</v>
      </c>
      <c r="K2557" s="6" t="n">
        <v>233.2091958</v>
      </c>
      <c r="L2557" s="6">
        <f>I2557*K2557</f>
        <v/>
      </c>
      <c r="M2557" s="6">
        <f>K2557*4</f>
        <v/>
      </c>
      <c r="N2557" s="6" t="n">
        <v>935</v>
      </c>
    </row>
    <row r="2558">
      <c r="A2558" s="1" t="inlineStr">
        <is>
          <t>648cc31f234b1</t>
        </is>
      </c>
      <c r="B2558" s="1" t="inlineStr">
        <is>
          <t>COLLAR BV ROSE GOLD</t>
        </is>
      </c>
      <c r="C2558" s="1" t="inlineStr">
        <is>
          <t>Largo de cadena total 40cm  Extensión 8 cm  Dije 1 cm</t>
        </is>
      </c>
      <c r="D2558" s="1" t="inlineStr">
        <is>
          <t>25/09/2025</t>
        </is>
      </c>
      <c r="E2558" s="1" t="n">
        <v>2025</v>
      </c>
      <c r="F2558" s="1" t="inlineStr">
        <is>
          <t>SEPTIEMBRE</t>
        </is>
      </c>
      <c r="G2558" s="1" t="inlineStr">
        <is>
          <t>HAIFENG</t>
        </is>
      </c>
      <c r="H2558" s="1" t="inlineStr">
        <is>
          <t>HAIFENG 25/09/2025</t>
        </is>
      </c>
      <c r="I2558" s="4" t="n">
        <v>2</v>
      </c>
      <c r="J2558" s="6" t="n">
        <v>6</v>
      </c>
      <c r="K2558" s="6" t="n">
        <v>126.5813146</v>
      </c>
      <c r="L2558" s="6">
        <f>I2558*K2558</f>
        <v/>
      </c>
      <c r="M2558" s="6">
        <f>K2558*4</f>
        <v/>
      </c>
      <c r="N2558" s="6" t="n">
        <v>499</v>
      </c>
    </row>
    <row r="2559">
      <c r="A2559" s="1" t="inlineStr">
        <is>
          <t>648cc31f234b1</t>
        </is>
      </c>
      <c r="B2559" s="1" t="inlineStr">
        <is>
          <t>COLLAR BV ROSE GOLD</t>
        </is>
      </c>
      <c r="C2559" s="1" t="inlineStr">
        <is>
          <t>Largo de cadena total 40cm  Extensión 8 cm  Dije 1 cm</t>
        </is>
      </c>
      <c r="D2559" s="1" t="inlineStr">
        <is>
          <t>26/05/2026</t>
        </is>
      </c>
      <c r="E2559" s="1" t="n">
        <v>2026</v>
      </c>
      <c r="F2559" s="1" t="inlineStr">
        <is>
          <t>MAYO</t>
        </is>
      </c>
      <c r="G2559" s="1" t="inlineStr">
        <is>
          <t>HAIFENG</t>
        </is>
      </c>
      <c r="H2559" s="1" t="inlineStr">
        <is>
          <t>HAIFENG 26/05/2026</t>
        </is>
      </c>
      <c r="I2559" s="4" t="n">
        <v>2</v>
      </c>
      <c r="J2559" s="6" t="n">
        <v>6</v>
      </c>
      <c r="K2559" s="6" t="n">
        <v>125.9357718</v>
      </c>
      <c r="L2559" s="6">
        <f>I2559*K2559</f>
        <v/>
      </c>
      <c r="M2559" s="6">
        <f>K2559*4</f>
        <v/>
      </c>
      <c r="N2559" s="6" t="n">
        <v>499</v>
      </c>
    </row>
    <row r="2560">
      <c r="A2560" s="1" t="inlineStr">
        <is>
          <t>648cc32b9ef2d</t>
        </is>
      </c>
      <c r="B2560" s="1" t="inlineStr">
        <is>
          <t>COLLAR CC DORADO</t>
        </is>
      </c>
      <c r="C2560" s="1" t="inlineStr">
        <is>
          <t>Largo de cadena 41.5 cm  Extensión 6 cm  Dije 1.5 cm</t>
        </is>
      </c>
      <c r="D2560" s="1" t="inlineStr">
        <is>
          <t>25/10/2025</t>
        </is>
      </c>
      <c r="E2560" s="1" t="n">
        <v>2025</v>
      </c>
      <c r="F2560" s="1" t="inlineStr">
        <is>
          <t>OCTUBRE</t>
        </is>
      </c>
      <c r="G2560" s="1" t="inlineStr">
        <is>
          <t>CYNTHIA</t>
        </is>
      </c>
      <c r="H2560" s="1" t="inlineStr">
        <is>
          <t>CYNTHIA 25/10/2025</t>
        </is>
      </c>
      <c r="I2560" s="4" t="n">
        <v>2</v>
      </c>
      <c r="J2560" s="6" t="n">
        <v>2.25</v>
      </c>
      <c r="K2560" s="6" t="n">
        <v>58.95410308</v>
      </c>
      <c r="L2560" s="6">
        <f>I2560*K2560</f>
        <v/>
      </c>
      <c r="M2560" s="6">
        <f>K2560*4</f>
        <v/>
      </c>
      <c r="N2560" s="6" t="n">
        <v>460</v>
      </c>
    </row>
    <row r="2561">
      <c r="A2561" s="1" t="inlineStr">
        <is>
          <t>648cc32b9ef2d</t>
        </is>
      </c>
      <c r="B2561" s="1" t="inlineStr">
        <is>
          <t>COLLAR CC DORADO</t>
        </is>
      </c>
      <c r="C2561" s="1" t="inlineStr">
        <is>
          <t>Largo de cadena 41.5 cm  Extensión 6 cm  Dije 1.5 cm</t>
        </is>
      </c>
      <c r="D2561" s="1" t="inlineStr">
        <is>
          <t>07/01/2026</t>
        </is>
      </c>
      <c r="E2561" s="1" t="n">
        <v>2026</v>
      </c>
      <c r="F2561" s="1" t="inlineStr">
        <is>
          <t>ENERO</t>
        </is>
      </c>
      <c r="G2561" s="1" t="inlineStr">
        <is>
          <t>CYNTHIA</t>
        </is>
      </c>
      <c r="H2561" s="1" t="inlineStr">
        <is>
          <t>CYNTHIA 07/01/2026</t>
        </is>
      </c>
      <c r="I2561" s="4" t="n">
        <v>4</v>
      </c>
      <c r="J2561" s="6" t="n">
        <v>2.25</v>
      </c>
      <c r="K2561" s="6" t="n">
        <v>59.82171227</v>
      </c>
      <c r="L2561" s="6">
        <f>I2561*K2561</f>
        <v/>
      </c>
      <c r="M2561" s="6">
        <f>K2561*4</f>
        <v/>
      </c>
      <c r="N2561" s="6" t="n">
        <v>350</v>
      </c>
    </row>
    <row r="2562">
      <c r="A2562" s="1" t="inlineStr">
        <is>
          <t>648cc32b9ef2d</t>
        </is>
      </c>
      <c r="B2562" s="1" t="inlineStr">
        <is>
          <t>COLLAR CC DORADO</t>
        </is>
      </c>
      <c r="C2562" s="1" t="inlineStr">
        <is>
          <t>Largo de cadena 41.5 cm  Extensión 6 cm  Dije 1.5 cm</t>
        </is>
      </c>
      <c r="D2562" s="1" t="inlineStr">
        <is>
          <t>31/05/2026</t>
        </is>
      </c>
      <c r="E2562" s="1" t="n">
        <v>2026</v>
      </c>
      <c r="F2562" s="1" t="inlineStr">
        <is>
          <t>MAYO</t>
        </is>
      </c>
      <c r="G2562" s="1" t="inlineStr">
        <is>
          <t>CYNTHIA</t>
        </is>
      </c>
      <c r="H2562" s="1" t="inlineStr">
        <is>
          <t>CYNTHIA 31/05/2026</t>
        </is>
      </c>
      <c r="I2562" s="4" t="n">
        <v>3</v>
      </c>
      <c r="J2562" s="6" t="n">
        <v>2.25</v>
      </c>
      <c r="K2562" s="6" t="n">
        <v>59.6273512</v>
      </c>
      <c r="L2562" s="6">
        <f>I2562*K2562</f>
        <v/>
      </c>
      <c r="M2562" s="6">
        <f>K2562*4</f>
        <v/>
      </c>
      <c r="N2562" s="6" t="n">
        <v>350</v>
      </c>
    </row>
    <row r="2563">
      <c r="A2563" s="1" t="inlineStr">
        <is>
          <t>648cc38968e97</t>
        </is>
      </c>
      <c r="B2563" s="1" t="inlineStr">
        <is>
          <t>LENTES DE SOL PR BLANCO</t>
        </is>
      </c>
      <c r="C2563" s="1" t="inlineStr">
        <is>
          <t>Regular</t>
        </is>
      </c>
      <c r="D2563" s="1" t="inlineStr">
        <is>
          <t>20/01/2026</t>
        </is>
      </c>
      <c r="E2563" s="1" t="n">
        <v>2026</v>
      </c>
      <c r="F2563" s="1" t="inlineStr">
        <is>
          <t>ENERO</t>
        </is>
      </c>
      <c r="G2563" s="1" t="inlineStr">
        <is>
          <t>HAIFENG</t>
        </is>
      </c>
      <c r="H2563" s="1" t="inlineStr">
        <is>
          <t>HAIFENG 20/01/2026</t>
        </is>
      </c>
      <c r="I2563" s="4" t="n">
        <v>4</v>
      </c>
      <c r="J2563" s="6" t="n">
        <v>28</v>
      </c>
      <c r="K2563" s="6" t="n">
        <v>593.6116982</v>
      </c>
      <c r="L2563" s="6">
        <f>I2563*K2563</f>
        <v/>
      </c>
      <c r="M2563" s="6">
        <f>K2563*4</f>
        <v/>
      </c>
      <c r="N2563" s="6" t="n">
        <v>2309</v>
      </c>
    </row>
    <row r="2564">
      <c r="A2564" s="1" t="inlineStr">
        <is>
          <t>648cc5b33a8a2</t>
        </is>
      </c>
      <c r="B2564" s="1" t="inlineStr">
        <is>
          <t>ARETES SQUARE V GOLD</t>
        </is>
      </c>
      <c r="C2564" s="1" t="inlineStr">
        <is>
          <t>Small 4cm</t>
        </is>
      </c>
      <c r="D2564" s="1" t="inlineStr">
        <is>
          <t>06/09/2025</t>
        </is>
      </c>
      <c r="E2564" s="1" t="n">
        <v>2025</v>
      </c>
      <c r="F2564" s="1" t="inlineStr">
        <is>
          <t>SEPTIEMBRE</t>
        </is>
      </c>
      <c r="G2564" s="1" t="inlineStr">
        <is>
          <t>NANCY</t>
        </is>
      </c>
      <c r="H2564" s="1" t="inlineStr">
        <is>
          <t>NANCY 06/09/2025</t>
        </is>
      </c>
      <c r="I2564" s="4" t="n">
        <v>3</v>
      </c>
      <c r="J2564" s="6" t="n">
        <v>5.99</v>
      </c>
      <c r="K2564" s="6" t="n">
        <v>139.4811009</v>
      </c>
      <c r="L2564" s="6">
        <f>I2564*K2564</f>
        <v/>
      </c>
      <c r="M2564" s="6">
        <f>K2564*4</f>
        <v/>
      </c>
      <c r="N2564" s="6" t="n">
        <v>550</v>
      </c>
    </row>
    <row r="2565">
      <c r="A2565" s="1" t="inlineStr">
        <is>
          <t>648cc5b33a8a2</t>
        </is>
      </c>
      <c r="B2565" s="1" t="inlineStr">
        <is>
          <t>ARETES SQUARE V GOLD</t>
        </is>
      </c>
      <c r="C2565" s="1" t="inlineStr">
        <is>
          <t>Small 4cm</t>
        </is>
      </c>
      <c r="D2565" s="1" t="inlineStr">
        <is>
          <t>01/04/2026</t>
        </is>
      </c>
      <c r="E2565" s="1" t="n">
        <v>2026</v>
      </c>
      <c r="F2565" s="1" t="inlineStr">
        <is>
          <t>ABRIL</t>
        </is>
      </c>
      <c r="G2565" s="1" t="inlineStr">
        <is>
          <t>NANCY</t>
        </is>
      </c>
      <c r="H2565" s="1" t="inlineStr">
        <is>
          <t>NANCY 01/04/2026</t>
        </is>
      </c>
      <c r="I2565" s="4" t="n">
        <v>1</v>
      </c>
      <c r="J2565" s="6" t="n">
        <v>6.59</v>
      </c>
      <c r="K2565" s="6" t="n">
        <v>157.7679581</v>
      </c>
      <c r="L2565" s="6">
        <f>I2565*K2565</f>
        <v/>
      </c>
      <c r="M2565" s="6">
        <f>K2565*4</f>
        <v/>
      </c>
      <c r="N2565" s="6" t="n">
        <v>550</v>
      </c>
    </row>
    <row r="2566">
      <c r="A2566" s="1" t="inlineStr">
        <is>
          <t>648cc5b58feaa</t>
        </is>
      </c>
      <c r="B2566" s="1" t="inlineStr">
        <is>
          <t>ARETES MM COLGANTE</t>
        </is>
      </c>
      <c r="C2566" s="1" t="inlineStr">
        <is>
          <t>Default Title</t>
        </is>
      </c>
      <c r="D2566" s="1" t="inlineStr">
        <is>
          <t>21/10/2025</t>
        </is>
      </c>
      <c r="E2566" s="1" t="n">
        <v>2025</v>
      </c>
      <c r="F2566" s="1" t="inlineStr">
        <is>
          <t>OCTUBRE</t>
        </is>
      </c>
      <c r="G2566" s="1" t="inlineStr">
        <is>
          <t>DINA DU</t>
        </is>
      </c>
      <c r="H2566" s="1" t="inlineStr">
        <is>
          <t>DINA DU 21/10/2025</t>
        </is>
      </c>
      <c r="I2566" s="4" t="n">
        <v>3</v>
      </c>
      <c r="J2566" s="6" t="n">
        <v>2.39</v>
      </c>
      <c r="K2566" s="6" t="n">
        <v>67.00247747</v>
      </c>
      <c r="L2566" s="6">
        <f>I2566*K2566</f>
        <v/>
      </c>
      <c r="M2566" s="6">
        <f>K2566*4</f>
        <v/>
      </c>
      <c r="N2566" s="6" t="n">
        <v>499</v>
      </c>
    </row>
    <row r="2567">
      <c r="A2567" s="1" t="inlineStr">
        <is>
          <t>648cc5b58feaa</t>
        </is>
      </c>
      <c r="B2567" s="1" t="inlineStr">
        <is>
          <t>ARETES MM COLGANTE</t>
        </is>
      </c>
      <c r="C2567" s="1" t="inlineStr">
        <is>
          <t>Default Title</t>
        </is>
      </c>
      <c r="D2567" s="1" t="inlineStr">
        <is>
          <t>27/04/2026</t>
        </is>
      </c>
      <c r="E2567" s="1" t="n">
        <v>2026</v>
      </c>
      <c r="F2567" s="1" t="inlineStr">
        <is>
          <t>ABRIL</t>
        </is>
      </c>
      <c r="G2567" s="1" t="inlineStr">
        <is>
          <t>DINA DU</t>
        </is>
      </c>
      <c r="H2567" s="1" t="inlineStr">
        <is>
          <t>DINA DU 27/04/2026</t>
        </is>
      </c>
      <c r="I2567" s="4" t="n">
        <v>4</v>
      </c>
      <c r="J2567" s="6" t="n">
        <v>2.39</v>
      </c>
      <c r="K2567" s="6" t="n">
        <v>64.63590747000001</v>
      </c>
      <c r="L2567" s="6">
        <f>I2567*K2567</f>
        <v/>
      </c>
      <c r="M2567" s="6">
        <f>K2567*4</f>
        <v/>
      </c>
      <c r="N2567" s="6" t="n">
        <v>499</v>
      </c>
    </row>
    <row r="2568">
      <c r="A2568" s="1" t="inlineStr">
        <is>
          <t>648cc5bf129eb</t>
        </is>
      </c>
      <c r="B2568" s="1" t="inlineStr">
        <is>
          <t>COLLAR TRÉBOL GOLD</t>
        </is>
      </c>
      <c r="C2568" s="1" t="inlineStr">
        <is>
          <t>41cm con extension de 3cm</t>
        </is>
      </c>
      <c r="D2568" s="1" t="inlineStr">
        <is>
          <t>20/01/2026</t>
        </is>
      </c>
      <c r="E2568" s="1" t="n">
        <v>2026</v>
      </c>
      <c r="F2568" s="1" t="inlineStr">
        <is>
          <t>ENERO</t>
        </is>
      </c>
      <c r="G2568" s="1" t="inlineStr">
        <is>
          <t>HAIFENG</t>
        </is>
      </c>
      <c r="H2568" s="1" t="inlineStr">
        <is>
          <t>HAIFENG 20/01/2026</t>
        </is>
      </c>
      <c r="I2568" s="4" t="n">
        <v>3</v>
      </c>
      <c r="J2568" s="6" t="n">
        <v>4</v>
      </c>
      <c r="K2568" s="6" t="n">
        <v>84.80167117000001</v>
      </c>
      <c r="L2568" s="6">
        <f>I2568*K2568</f>
        <v/>
      </c>
      <c r="M2568" s="6">
        <f>K2568*4</f>
        <v/>
      </c>
      <c r="N2568" s="6" t="n">
        <v>550</v>
      </c>
    </row>
    <row r="2569">
      <c r="A2569" s="1" t="inlineStr">
        <is>
          <t>648cc5bf129eb</t>
        </is>
      </c>
      <c r="B2569" s="1" t="inlineStr">
        <is>
          <t>COLLAR TRÉBOL GOLD</t>
        </is>
      </c>
      <c r="C2569" s="1" t="inlineStr">
        <is>
          <t>41cm con extension de 3cm</t>
        </is>
      </c>
      <c r="D2569" s="1" t="inlineStr">
        <is>
          <t>10/02/2026</t>
        </is>
      </c>
      <c r="E2569" s="1" t="n">
        <v>2026</v>
      </c>
      <c r="F2569" s="1" t="inlineStr">
        <is>
          <t>FEBRERO</t>
        </is>
      </c>
      <c r="G2569" s="1" t="inlineStr">
        <is>
          <t>HAIFENG</t>
        </is>
      </c>
      <c r="H2569" s="1" t="inlineStr">
        <is>
          <t>HAIFENG 10/02/2026</t>
        </is>
      </c>
      <c r="I2569" s="4" t="n">
        <v>2</v>
      </c>
      <c r="J2569" s="6" t="n">
        <v>4</v>
      </c>
      <c r="K2569" s="6" t="n">
        <v>84.27398426000001</v>
      </c>
      <c r="L2569" s="6">
        <f>I2569*K2569</f>
        <v/>
      </c>
      <c r="M2569" s="6">
        <f>K2569*4</f>
        <v/>
      </c>
      <c r="N2569" s="6" t="n">
        <v>550</v>
      </c>
    </row>
    <row r="2570">
      <c r="A2570" s="1" t="inlineStr">
        <is>
          <t>648cc5bf129eb</t>
        </is>
      </c>
      <c r="B2570" s="1" t="inlineStr">
        <is>
          <t>COLLAR TRÉBOL GOLD</t>
        </is>
      </c>
      <c r="C2570" s="1" t="inlineStr">
        <is>
          <t>41cm con extension de 3cm</t>
        </is>
      </c>
      <c r="D2570" s="1" t="inlineStr">
        <is>
          <t>16/04/2026</t>
        </is>
      </c>
      <c r="E2570" s="1" t="n">
        <v>2026</v>
      </c>
      <c r="F2570" s="1" t="inlineStr">
        <is>
          <t>ABRIL</t>
        </is>
      </c>
      <c r="G2570" s="1" t="inlineStr">
        <is>
          <t>HAIFENG</t>
        </is>
      </c>
      <c r="H2570" s="1" t="inlineStr">
        <is>
          <t>HAIFENG 16/04/2026</t>
        </is>
      </c>
      <c r="I2570" s="4" t="n">
        <v>8</v>
      </c>
      <c r="J2570" s="6" t="n">
        <v>4</v>
      </c>
      <c r="K2570" s="6" t="n">
        <v>84.12589436</v>
      </c>
      <c r="L2570" s="6">
        <f>I2570*K2570</f>
        <v/>
      </c>
      <c r="M2570" s="6">
        <f>K2570*4</f>
        <v/>
      </c>
      <c r="N2570" s="6" t="n">
        <v>550</v>
      </c>
    </row>
    <row r="2571">
      <c r="A2571" s="1" t="inlineStr">
        <is>
          <t>648cc5bf129eb</t>
        </is>
      </c>
      <c r="B2571" s="1" t="inlineStr">
        <is>
          <t>COLLAR TRÉBOL GOLD</t>
        </is>
      </c>
      <c r="C2571" s="1" t="inlineStr">
        <is>
          <t>41cm con extension de 3cm</t>
        </is>
      </c>
      <c r="D2571" s="1" t="inlineStr">
        <is>
          <t>06/05/2026</t>
        </is>
      </c>
      <c r="E2571" s="1" t="n">
        <v>2026</v>
      </c>
      <c r="F2571" s="1" t="inlineStr">
        <is>
          <t>MAYO</t>
        </is>
      </c>
      <c r="G2571" s="1" t="inlineStr">
        <is>
          <t>HAIFENG</t>
        </is>
      </c>
      <c r="H2571" s="1" t="inlineStr">
        <is>
          <t>HAIFENG 06/05/2026</t>
        </is>
      </c>
      <c r="I2571" s="4" t="n">
        <v>4</v>
      </c>
      <c r="J2571" s="6" t="n">
        <v>4</v>
      </c>
      <c r="K2571" s="6" t="n">
        <v>84.87456907000001</v>
      </c>
      <c r="L2571" s="6">
        <f>I2571*K2571</f>
        <v/>
      </c>
      <c r="M2571" s="6">
        <f>K2571*4</f>
        <v/>
      </c>
      <c r="N2571" s="6" t="n">
        <v>550</v>
      </c>
    </row>
    <row r="2572">
      <c r="A2572" s="1" t="inlineStr">
        <is>
          <t>648cc5bf129eb</t>
        </is>
      </c>
      <c r="B2572" s="1" t="inlineStr">
        <is>
          <t>COLLAR TRÉBOL GOLD</t>
        </is>
      </c>
      <c r="C2572" s="1" t="inlineStr">
        <is>
          <t>41cm con extension de 3cm</t>
        </is>
      </c>
      <c r="D2572" s="1" t="inlineStr">
        <is>
          <t>16/06/2026</t>
        </is>
      </c>
      <c r="E2572" s="1" t="n">
        <v>2026</v>
      </c>
      <c r="F2572" s="1" t="inlineStr">
        <is>
          <t>JUNIO</t>
        </is>
      </c>
      <c r="G2572" s="1" t="inlineStr">
        <is>
          <t>HAIFENG</t>
        </is>
      </c>
      <c r="H2572" s="1" t="inlineStr">
        <is>
          <t>HAIFENG 16/06/2026</t>
        </is>
      </c>
      <c r="I2572" s="4" t="n">
        <v>8</v>
      </c>
      <c r="J2572" s="6" t="n">
        <v>4</v>
      </c>
      <c r="K2572" s="6" t="n">
        <v>84.05842584</v>
      </c>
      <c r="L2572" s="6">
        <f>I2572*K2572</f>
        <v/>
      </c>
      <c r="M2572" s="6">
        <f>K2572*4</f>
        <v/>
      </c>
      <c r="N2572" s="6" t="n">
        <v>550</v>
      </c>
    </row>
    <row r="2573">
      <c r="A2573" s="1" t="inlineStr">
        <is>
          <t>648cc5c03c2b5</t>
        </is>
      </c>
      <c r="B2573" s="1" t="inlineStr">
        <is>
          <t>CHOKER MM ZIRCONIAS</t>
        </is>
      </c>
      <c r="C2573" s="1" t="inlineStr">
        <is>
          <t>41cm</t>
        </is>
      </c>
      <c r="D2573" s="1" t="inlineStr">
        <is>
          <t>27/04/2026</t>
        </is>
      </c>
      <c r="E2573" s="1" t="n">
        <v>2026</v>
      </c>
      <c r="F2573" s="1" t="inlineStr">
        <is>
          <t>ABRIL</t>
        </is>
      </c>
      <c r="G2573" s="1" t="inlineStr">
        <is>
          <t>DINA DU</t>
        </is>
      </c>
      <c r="H2573" s="1" t="inlineStr">
        <is>
          <t>DINA DU 27/04/2026</t>
        </is>
      </c>
      <c r="I2573" s="4" t="n">
        <v>2</v>
      </c>
      <c r="J2573" s="6" t="n">
        <v>4.09</v>
      </c>
      <c r="K2573" s="6" t="n">
        <v>110.6112391</v>
      </c>
      <c r="L2573" s="6">
        <f>I2573*K2573</f>
        <v/>
      </c>
      <c r="M2573" s="6">
        <f>K2573*4</f>
        <v/>
      </c>
      <c r="N2573" s="6" t="n">
        <v>450</v>
      </c>
    </row>
    <row r="2574">
      <c r="A2574" s="1" t="inlineStr">
        <is>
          <t>648cc5c47664a</t>
        </is>
      </c>
      <c r="B2574" s="1" t="inlineStr">
        <is>
          <t>PULSERA CD DE TELA BEIGE</t>
        </is>
      </c>
      <c r="C2574" s="1" t="inlineStr">
        <is>
          <t>15cm con extensión de 5cm</t>
        </is>
      </c>
      <c r="D2574" s="1" t="inlineStr">
        <is>
          <t>06/02/2026</t>
        </is>
      </c>
      <c r="E2574" s="1" t="n">
        <v>2026</v>
      </c>
      <c r="F2574" s="1" t="inlineStr">
        <is>
          <t>FEBRERO</t>
        </is>
      </c>
      <c r="G2574" s="1" t="inlineStr">
        <is>
          <t>DINA DU</t>
        </is>
      </c>
      <c r="H2574" s="1" t="inlineStr">
        <is>
          <t>DINA DU 06/02/2026</t>
        </is>
      </c>
      <c r="I2574" s="4" t="n">
        <v>6</v>
      </c>
      <c r="J2574" s="6" t="n">
        <v>4</v>
      </c>
      <c r="K2574" s="6" t="n">
        <v>106.8855839</v>
      </c>
      <c r="L2574" s="6">
        <f>I2574*K2574</f>
        <v/>
      </c>
      <c r="M2574" s="6">
        <f>K2574*4</f>
        <v/>
      </c>
      <c r="N2574" s="6" t="n">
        <v>499</v>
      </c>
    </row>
    <row r="2575">
      <c r="A2575" s="1" t="inlineStr">
        <is>
          <t>648cc5c47664a</t>
        </is>
      </c>
      <c r="B2575" s="1" t="inlineStr">
        <is>
          <t>PULSERA CD DE TELA BEIGE</t>
        </is>
      </c>
      <c r="C2575" s="1" t="inlineStr">
        <is>
          <t>15cm con extensión de 5cm</t>
        </is>
      </c>
      <c r="D2575" s="1" t="inlineStr">
        <is>
          <t>27/04/2026</t>
        </is>
      </c>
      <c r="E2575" s="1" t="n">
        <v>2026</v>
      </c>
      <c r="F2575" s="1" t="inlineStr">
        <is>
          <t>ABRIL</t>
        </is>
      </c>
      <c r="G2575" s="1" t="inlineStr">
        <is>
          <t>DINA DU</t>
        </is>
      </c>
      <c r="H2575" s="1" t="inlineStr">
        <is>
          <t>DINA DU 27/04/2026</t>
        </is>
      </c>
      <c r="I2575" s="4" t="n">
        <v>3</v>
      </c>
      <c r="J2575" s="6" t="n">
        <v>4</v>
      </c>
      <c r="K2575" s="6" t="n">
        <v>108.177251</v>
      </c>
      <c r="L2575" s="6">
        <f>I2575*K2575</f>
        <v/>
      </c>
      <c r="M2575" s="6">
        <f>K2575*4</f>
        <v/>
      </c>
      <c r="N2575" s="6" t="n">
        <v>499</v>
      </c>
    </row>
    <row r="2576">
      <c r="A2576" s="1" t="inlineStr">
        <is>
          <t>648cc5c57f64d</t>
        </is>
      </c>
      <c r="B2576" s="1" t="inlineStr">
        <is>
          <t>PULSERA CD DE TELA DARK BLUE</t>
        </is>
      </c>
      <c r="C2576" s="1" t="inlineStr">
        <is>
          <t>15cm con extensión de 5cm</t>
        </is>
      </c>
      <c r="D2576" s="1" t="inlineStr">
        <is>
          <t>06/02/2026</t>
        </is>
      </c>
      <c r="E2576" s="1" t="n">
        <v>2026</v>
      </c>
      <c r="F2576" s="1" t="inlineStr">
        <is>
          <t>FEBRERO</t>
        </is>
      </c>
      <c r="G2576" s="1" t="inlineStr">
        <is>
          <t>DINA DU</t>
        </is>
      </c>
      <c r="H2576" s="1" t="inlineStr">
        <is>
          <t>DINA DU 06/02/2026</t>
        </is>
      </c>
      <c r="I2576" s="4" t="n">
        <v>10</v>
      </c>
      <c r="J2576" s="6" t="n">
        <v>4</v>
      </c>
      <c r="K2576" s="6" t="n">
        <v>106.8855839</v>
      </c>
      <c r="L2576" s="6">
        <f>I2576*K2576</f>
        <v/>
      </c>
      <c r="M2576" s="6">
        <f>K2576*4</f>
        <v/>
      </c>
      <c r="N2576" s="6" t="n">
        <v>549</v>
      </c>
    </row>
    <row r="2577">
      <c r="A2577" s="1" t="inlineStr">
        <is>
          <t>648cc5f7495e2</t>
        </is>
      </c>
      <c r="B2577" s="1" t="inlineStr">
        <is>
          <t>PULSERA CD DE TELA PINK</t>
        </is>
      </c>
      <c r="C2577" s="1" t="inlineStr">
        <is>
          <t>15cm con extensión de 5cm</t>
        </is>
      </c>
      <c r="D2577" s="1" t="inlineStr">
        <is>
          <t>27/04/2026</t>
        </is>
      </c>
      <c r="E2577" s="1" t="n">
        <v>2026</v>
      </c>
      <c r="F2577" s="1" t="inlineStr">
        <is>
          <t>ABRIL</t>
        </is>
      </c>
      <c r="G2577" s="1" t="inlineStr">
        <is>
          <t>DINA DU</t>
        </is>
      </c>
      <c r="H2577" s="1" t="inlineStr">
        <is>
          <t>DINA DU 27/04/2026</t>
        </is>
      </c>
      <c r="I2577" s="4" t="n">
        <v>4</v>
      </c>
      <c r="J2577" s="6" t="n">
        <v>4</v>
      </c>
      <c r="K2577" s="6" t="n">
        <v>108.177251</v>
      </c>
      <c r="L2577" s="6">
        <f>I2577*K2577</f>
        <v/>
      </c>
      <c r="M2577" s="6">
        <f>K2577*4</f>
        <v/>
      </c>
      <c r="N2577" s="6" t="n">
        <v>499</v>
      </c>
    </row>
    <row r="2578">
      <c r="A2578" s="1" t="inlineStr">
        <is>
          <t>648cc5ff73cd7</t>
        </is>
      </c>
      <c r="B2578" s="1" t="inlineStr">
        <is>
          <t>COLLAR YSL GOLD</t>
        </is>
      </c>
      <c r="C2578" s="1" t="inlineStr">
        <is>
          <t>20cm HIGH QUALITY</t>
        </is>
      </c>
      <c r="D2578" s="1" t="inlineStr">
        <is>
          <t>01/04/2026</t>
        </is>
      </c>
      <c r="E2578" s="1" t="n">
        <v>2026</v>
      </c>
      <c r="F2578" s="1" t="inlineStr">
        <is>
          <t>ABRIL</t>
        </is>
      </c>
      <c r="G2578" s="1" t="inlineStr">
        <is>
          <t>NANCY</t>
        </is>
      </c>
      <c r="H2578" s="1" t="inlineStr">
        <is>
          <t>NANCY 01/04/2026</t>
        </is>
      </c>
      <c r="I2578" s="4" t="n">
        <v>5</v>
      </c>
      <c r="J2578" s="6" t="n">
        <v>6.29</v>
      </c>
      <c r="K2578" s="6" t="n">
        <v>150.5858053</v>
      </c>
      <c r="L2578" s="6">
        <f>I2578*K2578</f>
        <v/>
      </c>
      <c r="M2578" s="6">
        <f>K2578*4</f>
        <v/>
      </c>
      <c r="N2578" s="6" t="n">
        <v>550</v>
      </c>
    </row>
    <row r="2579">
      <c r="A2579" s="1" t="inlineStr">
        <is>
          <t>648cc5ff73cd7</t>
        </is>
      </c>
      <c r="B2579" s="1" t="inlineStr">
        <is>
          <t>COLLAR YSL GOLD (NECKLACE)</t>
        </is>
      </c>
      <c r="C2579" s="1" t="inlineStr">
        <is>
          <t>20cm HIGH QUALITY</t>
        </is>
      </c>
      <c r="D2579" s="1" t="inlineStr">
        <is>
          <t>08/05/2026</t>
        </is>
      </c>
      <c r="E2579" s="1" t="n">
        <v>2026</v>
      </c>
      <c r="F2579" s="1" t="inlineStr">
        <is>
          <t>MAYO</t>
        </is>
      </c>
      <c r="G2579" s="1" t="inlineStr">
        <is>
          <t>NANCY</t>
        </is>
      </c>
      <c r="H2579" s="1" t="inlineStr">
        <is>
          <t>NANCY 08/05/2026</t>
        </is>
      </c>
      <c r="I2579" s="4" t="n">
        <v>11</v>
      </c>
      <c r="J2579" s="6" t="n">
        <v>6.29</v>
      </c>
      <c r="K2579" s="6" t="n">
        <v>148.8073142</v>
      </c>
      <c r="L2579" s="6">
        <f>I2579*K2579</f>
        <v/>
      </c>
      <c r="M2579" s="6">
        <f>K2579*4</f>
        <v/>
      </c>
      <c r="N2579" s="6" t="n">
        <v>550</v>
      </c>
    </row>
    <row r="2580">
      <c r="A2580" s="1" t="inlineStr">
        <is>
          <t>648cc600a2ec5</t>
        </is>
      </c>
      <c r="B2580" s="1" t="inlineStr">
        <is>
          <t>GORRO PR BLACK</t>
        </is>
      </c>
      <c r="C2580" s="1" t="inlineStr">
        <is>
          <t>M</t>
        </is>
      </c>
      <c r="D2580" s="1" t="inlineStr">
        <is>
          <t>27/04/2026</t>
        </is>
      </c>
      <c r="E2580" s="1" t="n">
        <v>2026</v>
      </c>
      <c r="F2580" s="1" t="inlineStr">
        <is>
          <t>ABRIL</t>
        </is>
      </c>
      <c r="G2580" s="1" t="inlineStr">
        <is>
          <t>DINA DU</t>
        </is>
      </c>
      <c r="H2580" s="1" t="inlineStr">
        <is>
          <t>DINA DU 27/04/2026</t>
        </is>
      </c>
      <c r="I2580" s="4" t="n">
        <v>5</v>
      </c>
      <c r="J2580" s="6" t="n">
        <v>11</v>
      </c>
      <c r="K2580" s="6" t="n">
        <v>297.4874402</v>
      </c>
      <c r="L2580" s="6">
        <f>I2580*K2580</f>
        <v/>
      </c>
      <c r="M2580" s="6">
        <f>K2580*4</f>
        <v/>
      </c>
      <c r="N2580" s="6" t="n">
        <v>1190</v>
      </c>
    </row>
    <row r="2581">
      <c r="A2581" s="1" t="inlineStr">
        <is>
          <t>648cc60ce32b1</t>
        </is>
      </c>
      <c r="B2581" s="1" t="inlineStr">
        <is>
          <t>CARTERA LV BROWN</t>
        </is>
      </c>
      <c r="C2581" s="1" t="inlineStr">
        <is>
          <t>12cmx9cm</t>
        </is>
      </c>
      <c r="D2581" s="1" t="inlineStr">
        <is>
          <t>21/10/2025</t>
        </is>
      </c>
      <c r="E2581" s="1" t="n">
        <v>2025</v>
      </c>
      <c r="F2581" s="1" t="inlineStr">
        <is>
          <t>OCTUBRE</t>
        </is>
      </c>
      <c r="G2581" s="1" t="inlineStr">
        <is>
          <t>DINA DU</t>
        </is>
      </c>
      <c r="H2581" s="1" t="inlineStr">
        <is>
          <t>DINA DU 21/10/2025</t>
        </is>
      </c>
      <c r="I2581" s="4" t="n">
        <v>1</v>
      </c>
      <c r="J2581" s="6" t="n">
        <v>13</v>
      </c>
      <c r="K2581" s="6" t="n">
        <v>364.4486222</v>
      </c>
      <c r="L2581" s="6">
        <f>I2581*K2581</f>
        <v/>
      </c>
      <c r="M2581" s="6">
        <f>K2581*4</f>
        <v/>
      </c>
      <c r="N2581" s="6" t="n">
        <v>1099</v>
      </c>
    </row>
    <row r="2582">
      <c r="A2582" s="1" t="inlineStr">
        <is>
          <t>648cc60ce32b1</t>
        </is>
      </c>
      <c r="B2582" s="1" t="inlineStr">
        <is>
          <t>CARTERA LV BROWN</t>
        </is>
      </c>
      <c r="C2582" s="1" t="inlineStr">
        <is>
          <t>12cmx9cm</t>
        </is>
      </c>
      <c r="D2582" s="1" t="inlineStr">
        <is>
          <t>27/04/2026</t>
        </is>
      </c>
      <c r="E2582" s="1" t="n">
        <v>2026</v>
      </c>
      <c r="F2582" s="1" t="inlineStr">
        <is>
          <t>ABRIL</t>
        </is>
      </c>
      <c r="G2582" s="1" t="inlineStr">
        <is>
          <t>DINA DU</t>
        </is>
      </c>
      <c r="H2582" s="1" t="inlineStr">
        <is>
          <t>DINA DU 27/04/2026</t>
        </is>
      </c>
      <c r="I2582" s="4" t="n">
        <v>3</v>
      </c>
      <c r="J2582" s="6" t="n">
        <v>13</v>
      </c>
      <c r="K2582" s="6" t="n">
        <v>351.5760657</v>
      </c>
      <c r="L2582" s="6">
        <f>I2582*K2582</f>
        <v/>
      </c>
      <c r="M2582" s="6">
        <f>K2582*4</f>
        <v/>
      </c>
      <c r="N2582" s="6" t="n">
        <v>1410</v>
      </c>
    </row>
    <row r="2583">
      <c r="A2583" s="1" t="inlineStr">
        <is>
          <t>648cc60e5d7a4</t>
        </is>
      </c>
      <c r="B2583" s="1" t="inlineStr">
        <is>
          <t>CINTO GC BLACK</t>
        </is>
      </c>
      <c r="C2583" s="1" t="inlineStr">
        <is>
          <t>100cm</t>
        </is>
      </c>
      <c r="D2583" s="1" t="inlineStr">
        <is>
          <t>21/10/2025</t>
        </is>
      </c>
      <c r="E2583" s="1" t="n">
        <v>2025</v>
      </c>
      <c r="F2583" s="1" t="inlineStr">
        <is>
          <t>OCTUBRE</t>
        </is>
      </c>
      <c r="G2583" s="1" t="inlineStr">
        <is>
          <t>DINA DU</t>
        </is>
      </c>
      <c r="H2583" s="1" t="inlineStr">
        <is>
          <t>DINA DU 21/10/2025</t>
        </is>
      </c>
      <c r="I2583" s="4" t="n">
        <v>6</v>
      </c>
      <c r="J2583" s="6" t="n">
        <v>12</v>
      </c>
      <c r="K2583" s="6" t="n">
        <v>336.4141128</v>
      </c>
      <c r="L2583" s="6">
        <f>I2583*K2583</f>
        <v/>
      </c>
      <c r="M2583" s="6">
        <f>K2583*4</f>
        <v/>
      </c>
      <c r="N2583" s="6" t="n">
        <v>1495</v>
      </c>
    </row>
    <row r="2584">
      <c r="A2584" s="1" t="inlineStr">
        <is>
          <t>648cc614da168</t>
        </is>
      </c>
      <c r="B2584" s="1" t="inlineStr">
        <is>
          <t>BOLSO YSL BLACK</t>
        </is>
      </c>
      <c r="C2584" s="1" t="inlineStr">
        <is>
          <t>24cm x 15cm</t>
        </is>
      </c>
      <c r="D2584" s="1" t="inlineStr">
        <is>
          <t>05/09/2025</t>
        </is>
      </c>
      <c r="E2584" s="1" t="n">
        <v>2025</v>
      </c>
      <c r="F2584" s="1" t="inlineStr">
        <is>
          <t>SEPTIEMBRE</t>
        </is>
      </c>
      <c r="G2584" s="1" t="inlineStr">
        <is>
          <t>CYNTHIA</t>
        </is>
      </c>
      <c r="H2584" s="1" t="inlineStr">
        <is>
          <t>CYNTHIA 05/09/2025</t>
        </is>
      </c>
      <c r="I2584" s="4" t="n">
        <v>3</v>
      </c>
      <c r="J2584" s="6" t="n">
        <v>54</v>
      </c>
      <c r="K2584" s="6" t="n">
        <v>1359.671234</v>
      </c>
      <c r="L2584" s="6">
        <f>I2584*K2584</f>
        <v/>
      </c>
      <c r="M2584" s="6">
        <f>K2584*4</f>
        <v/>
      </c>
      <c r="N2584" s="6" t="n">
        <v>3999</v>
      </c>
    </row>
    <row r="2585">
      <c r="A2585" s="1" t="inlineStr">
        <is>
          <t>648cc614da168</t>
        </is>
      </c>
      <c r="B2585" s="1" t="inlineStr">
        <is>
          <t>BOLSO YSL BLACK</t>
        </is>
      </c>
      <c r="C2585" s="1" t="inlineStr">
        <is>
          <t>24cm x 15cm</t>
        </is>
      </c>
      <c r="D2585" s="1" t="inlineStr">
        <is>
          <t>02/03/2026</t>
        </is>
      </c>
      <c r="E2585" s="1" t="n">
        <v>2026</v>
      </c>
      <c r="F2585" s="1" t="inlineStr">
        <is>
          <t>MARZO</t>
        </is>
      </c>
      <c r="G2585" s="1" t="inlineStr">
        <is>
          <t>ZOEY</t>
        </is>
      </c>
      <c r="H2585" s="1" t="inlineStr">
        <is>
          <t>ZOEY 02/03/2026</t>
        </is>
      </c>
      <c r="I2585" s="4" t="n">
        <v>2</v>
      </c>
      <c r="J2585" s="6" t="n">
        <v>48</v>
      </c>
      <c r="K2585" s="6" t="n">
        <v>1261.294835</v>
      </c>
      <c r="L2585" s="6">
        <f>I2585*K2585</f>
        <v/>
      </c>
      <c r="M2585" s="6">
        <f>K2585*4</f>
        <v/>
      </c>
      <c r="N2585" s="6" t="n">
        <v>4332</v>
      </c>
    </row>
    <row r="2586">
      <c r="A2586" s="1" t="inlineStr">
        <is>
          <t>648cc614da168</t>
        </is>
      </c>
      <c r="B2586" s="1" t="inlineStr">
        <is>
          <t>BOLSO YSL BLACK</t>
        </is>
      </c>
      <c r="C2586" s="1" t="inlineStr">
        <is>
          <t>24cm x 15cm</t>
        </is>
      </c>
      <c r="D2586" s="1" t="inlineStr">
        <is>
          <t>19/03/2026</t>
        </is>
      </c>
      <c r="E2586" s="1" t="n">
        <v>2026</v>
      </c>
      <c r="F2586" s="1" t="inlineStr">
        <is>
          <t>MARZO</t>
        </is>
      </c>
      <c r="G2586" s="1" t="inlineStr">
        <is>
          <t>ZOEY</t>
        </is>
      </c>
      <c r="H2586" s="1" t="inlineStr">
        <is>
          <t>ZOEY 19/03/2026</t>
        </is>
      </c>
      <c r="I2586" s="4" t="n">
        <v>5</v>
      </c>
      <c r="J2586" s="6" t="n">
        <v>48</v>
      </c>
      <c r="K2586" s="6" t="n">
        <v>1237.538381</v>
      </c>
      <c r="L2586" s="6">
        <f>I2586*K2586</f>
        <v/>
      </c>
      <c r="M2586" s="6">
        <f>K2586*4</f>
        <v/>
      </c>
      <c r="N2586" s="6" t="n">
        <v>4332</v>
      </c>
    </row>
    <row r="2587">
      <c r="A2587" s="1" t="inlineStr">
        <is>
          <t>64e78c9c19fe7</t>
        </is>
      </c>
      <c r="B2587" s="1" t="inlineStr">
        <is>
          <t>ARETES V CON PERLA COLGANTE</t>
        </is>
      </c>
      <c r="C2587" s="1" t="inlineStr">
        <is>
          <t>Regular</t>
        </is>
      </c>
      <c r="D2587" s="1" t="inlineStr">
        <is>
          <t>03/12/2025</t>
        </is>
      </c>
      <c r="E2587" s="1" t="n">
        <v>2025</v>
      </c>
      <c r="F2587" s="1" t="inlineStr">
        <is>
          <t>DICIEMBRE</t>
        </is>
      </c>
      <c r="G2587" s="1" t="inlineStr">
        <is>
          <t>NANCY</t>
        </is>
      </c>
      <c r="H2587" s="1" t="inlineStr">
        <is>
          <t>NANCY 03/12/2025</t>
        </is>
      </c>
      <c r="I2587" s="4" t="n">
        <v>4</v>
      </c>
      <c r="J2587" s="6" t="n">
        <v>6.59</v>
      </c>
      <c r="K2587" s="6" t="n">
        <v>155.8979258</v>
      </c>
      <c r="L2587" s="6">
        <f>I2587*K2587</f>
        <v/>
      </c>
      <c r="M2587" s="6">
        <f>K2587*4</f>
        <v/>
      </c>
      <c r="N2587" s="6" t="n">
        <v>599</v>
      </c>
    </row>
    <row r="2588">
      <c r="A2588" s="1" t="inlineStr">
        <is>
          <t>64e78c9c19fe7</t>
        </is>
      </c>
      <c r="B2588" s="1" t="inlineStr">
        <is>
          <t>ARETES V CON PERLA COLGANTE</t>
        </is>
      </c>
      <c r="C2588" s="1" t="inlineStr">
        <is>
          <t>Regular</t>
        </is>
      </c>
      <c r="D2588" s="1" t="inlineStr">
        <is>
          <t>01/03/2026</t>
        </is>
      </c>
      <c r="E2588" s="1" t="n">
        <v>2026</v>
      </c>
      <c r="F2588" s="1" t="inlineStr">
        <is>
          <t>MARZO</t>
        </is>
      </c>
      <c r="G2588" s="1" t="inlineStr">
        <is>
          <t>NANCY</t>
        </is>
      </c>
      <c r="H2588" s="1" t="inlineStr">
        <is>
          <t>NANCY 01/03/2026</t>
        </is>
      </c>
      <c r="I2588" s="4" t="n">
        <v>4</v>
      </c>
      <c r="J2588" s="6" t="n">
        <v>7.29</v>
      </c>
      <c r="K2588" s="6" t="n">
        <v>184.4641067</v>
      </c>
      <c r="L2588" s="6">
        <f>I2588*K2588</f>
        <v/>
      </c>
      <c r="M2588" s="6">
        <f>K2588*4</f>
        <v/>
      </c>
      <c r="N2588" s="6" t="n">
        <v>599</v>
      </c>
    </row>
    <row r="2589">
      <c r="A2589" s="1" t="inlineStr">
        <is>
          <t>64e78c9c19fe7</t>
        </is>
      </c>
      <c r="B2589" s="1" t="inlineStr">
        <is>
          <t>ARETES V CON PERLA COLGANTE</t>
        </is>
      </c>
      <c r="C2589" s="1" t="inlineStr">
        <is>
          <t>Regular</t>
        </is>
      </c>
      <c r="D2589" s="1" t="inlineStr">
        <is>
          <t>01/04/2026</t>
        </is>
      </c>
      <c r="E2589" s="1" t="n">
        <v>2026</v>
      </c>
      <c r="F2589" s="1" t="inlineStr">
        <is>
          <t>ABRIL</t>
        </is>
      </c>
      <c r="G2589" s="1" t="inlineStr">
        <is>
          <t>NANCY</t>
        </is>
      </c>
      <c r="H2589" s="1" t="inlineStr">
        <is>
          <t>NANCY 01/04/2026</t>
        </is>
      </c>
      <c r="I2589" s="4" t="n">
        <v>2</v>
      </c>
      <c r="J2589" s="6" t="n">
        <v>6.89</v>
      </c>
      <c r="K2589" s="6" t="n">
        <v>164.950111</v>
      </c>
      <c r="L2589" s="6">
        <f>I2589*K2589</f>
        <v/>
      </c>
      <c r="M2589" s="6">
        <f>K2589*4</f>
        <v/>
      </c>
      <c r="N2589" s="6" t="n">
        <v>599</v>
      </c>
    </row>
    <row r="2590">
      <c r="A2590" s="1" t="inlineStr">
        <is>
          <t>64e78c9c19fe7</t>
        </is>
      </c>
      <c r="B2590" s="1" t="inlineStr">
        <is>
          <t>ARETES V CON PERLA COLGANTE</t>
        </is>
      </c>
      <c r="C2590" s="1" t="inlineStr">
        <is>
          <t>Regular</t>
        </is>
      </c>
      <c r="D2590" s="1" t="inlineStr">
        <is>
          <t>08/05/2026</t>
        </is>
      </c>
      <c r="E2590" s="1" t="n">
        <v>2026</v>
      </c>
      <c r="F2590" s="1" t="inlineStr">
        <is>
          <t>MAYO</t>
        </is>
      </c>
      <c r="G2590" s="1" t="inlineStr">
        <is>
          <t>NANCY</t>
        </is>
      </c>
      <c r="H2590" s="1" t="inlineStr">
        <is>
          <t>NANCY 08/05/2026</t>
        </is>
      </c>
      <c r="I2590" s="4" t="n">
        <v>5</v>
      </c>
      <c r="J2590" s="6" t="n">
        <v>6.59</v>
      </c>
      <c r="K2590" s="6" t="n">
        <v>155.9046424</v>
      </c>
      <c r="L2590" s="6">
        <f>I2590*K2590</f>
        <v/>
      </c>
      <c r="M2590" s="6">
        <f>K2590*4</f>
        <v/>
      </c>
      <c r="N2590" s="6" t="n">
        <v>599</v>
      </c>
    </row>
    <row r="2591">
      <c r="A2591" s="1" t="inlineStr">
        <is>
          <t>64e78ca1ee3ac</t>
        </is>
      </c>
      <c r="B2591" s="1" t="inlineStr">
        <is>
          <t>BRAZALETE CD WHITE</t>
        </is>
      </c>
      <c r="C2591" s="1" t="inlineStr">
        <is>
          <t>AJUSTABLE</t>
        </is>
      </c>
      <c r="D2591" s="1" t="inlineStr">
        <is>
          <t>03/12/2025</t>
        </is>
      </c>
      <c r="E2591" s="1" t="n">
        <v>2025</v>
      </c>
      <c r="F2591" s="1" t="inlineStr">
        <is>
          <t>DICIEMBRE</t>
        </is>
      </c>
      <c r="G2591" s="1" t="inlineStr">
        <is>
          <t>NANCY</t>
        </is>
      </c>
      <c r="H2591" s="1" t="inlineStr">
        <is>
          <t>NANCY 03/12/2025</t>
        </is>
      </c>
      <c r="I2591" s="4" t="n">
        <v>4</v>
      </c>
      <c r="J2591" s="6" t="n">
        <v>6.59</v>
      </c>
      <c r="K2591" s="6" t="n">
        <v>155.8979258</v>
      </c>
      <c r="L2591" s="6">
        <f>I2591*K2591</f>
        <v/>
      </c>
      <c r="M2591" s="6">
        <f>K2591*4</f>
        <v/>
      </c>
      <c r="N2591" s="6" t="n">
        <v>599</v>
      </c>
    </row>
    <row r="2592">
      <c r="A2592" s="1" t="inlineStr">
        <is>
          <t>64e78ca1ee3ac</t>
        </is>
      </c>
      <c r="B2592" s="1" t="inlineStr">
        <is>
          <t>BRAZALETE CD WHITE</t>
        </is>
      </c>
      <c r="C2592" s="1" t="inlineStr">
        <is>
          <t>AJUSTABLE</t>
        </is>
      </c>
      <c r="D2592" s="1" t="inlineStr">
        <is>
          <t>08/05/2026</t>
        </is>
      </c>
      <c r="E2592" s="1" t="n">
        <v>2026</v>
      </c>
      <c r="F2592" s="1" t="inlineStr">
        <is>
          <t>MAYO</t>
        </is>
      </c>
      <c r="G2592" s="1" t="inlineStr">
        <is>
          <t>NANCY</t>
        </is>
      </c>
      <c r="H2592" s="1" t="inlineStr">
        <is>
          <t>NANCY 08/05/2026</t>
        </is>
      </c>
      <c r="I2592" s="4" t="n">
        <v>2</v>
      </c>
      <c r="J2592" s="6" t="n">
        <v>6.59</v>
      </c>
      <c r="K2592" s="6" t="n">
        <v>155.9046424</v>
      </c>
      <c r="L2592" s="6">
        <f>I2592*K2592</f>
        <v/>
      </c>
      <c r="M2592" s="6">
        <f>K2592*4</f>
        <v/>
      </c>
      <c r="N2592" s="6" t="n">
        <v>599</v>
      </c>
    </row>
    <row r="2593">
      <c r="A2593" s="1" t="inlineStr">
        <is>
          <t>64e78ca1ee3ac</t>
        </is>
      </c>
      <c r="B2593" s="1" t="inlineStr">
        <is>
          <t>BRAZALETE CD WHITE</t>
        </is>
      </c>
      <c r="C2593" s="1" t="inlineStr">
        <is>
          <t>AJUSTABLE</t>
        </is>
      </c>
      <c r="D2593" s="1" t="inlineStr">
        <is>
          <t>31/05/2026</t>
        </is>
      </c>
      <c r="E2593" s="1" t="n">
        <v>2026</v>
      </c>
      <c r="F2593" s="1" t="inlineStr">
        <is>
          <t>MAYO</t>
        </is>
      </c>
      <c r="G2593" s="1" t="inlineStr">
        <is>
          <t>NANCY</t>
        </is>
      </c>
      <c r="H2593" s="1" t="inlineStr">
        <is>
          <t>NANCY 31/05/2026</t>
        </is>
      </c>
      <c r="I2593" s="4" t="n">
        <v>3</v>
      </c>
      <c r="J2593" s="6" t="n">
        <v>6.59</v>
      </c>
      <c r="K2593" s="6" t="n">
        <v>159.9234162</v>
      </c>
      <c r="L2593" s="6">
        <f>I2593*K2593</f>
        <v/>
      </c>
      <c r="M2593" s="6">
        <f>K2593*4</f>
        <v/>
      </c>
      <c r="N2593" s="6" t="n">
        <v>599</v>
      </c>
    </row>
    <row r="2594">
      <c r="A2594" s="1" t="inlineStr">
        <is>
          <t>64e78ca4a13f0</t>
        </is>
      </c>
      <c r="B2594" s="1" t="inlineStr">
        <is>
          <t>BRAZALETE CD BLACK</t>
        </is>
      </c>
      <c r="C2594" s="1" t="inlineStr">
        <is>
          <t>AJUSTABLE</t>
        </is>
      </c>
      <c r="D2594" s="1" t="inlineStr">
        <is>
          <t>25/09/2025</t>
        </is>
      </c>
      <c r="E2594" s="1" t="n">
        <v>2025</v>
      </c>
      <c r="F2594" s="1" t="inlineStr">
        <is>
          <t>SEPTIEMBRE</t>
        </is>
      </c>
      <c r="G2594" s="1" t="inlineStr">
        <is>
          <t>HAIFENG</t>
        </is>
      </c>
      <c r="H2594" s="1" t="inlineStr">
        <is>
          <t>HAIFENG 25/09/2025</t>
        </is>
      </c>
      <c r="I2594" s="4" t="n">
        <v>4</v>
      </c>
      <c r="J2594" s="6" t="n">
        <v>6</v>
      </c>
      <c r="K2594" s="6" t="n">
        <v>126.5813146</v>
      </c>
      <c r="L2594" s="6">
        <f>I2594*K2594</f>
        <v/>
      </c>
      <c r="M2594" s="6">
        <f>K2594*4</f>
        <v/>
      </c>
      <c r="N2594" s="6" t="n">
        <v>720</v>
      </c>
    </row>
    <row r="2595">
      <c r="A2595" s="1" t="inlineStr">
        <is>
          <t>64e78ca4a13f0</t>
        </is>
      </c>
      <c r="B2595" s="1" t="inlineStr">
        <is>
          <t>BRAZALETE CD BLACK</t>
        </is>
      </c>
      <c r="C2595" s="1" t="inlineStr">
        <is>
          <t>AJUSTABLE</t>
        </is>
      </c>
      <c r="D2595" s="1" t="inlineStr">
        <is>
          <t>03/12/2025</t>
        </is>
      </c>
      <c r="E2595" s="1" t="n">
        <v>2025</v>
      </c>
      <c r="F2595" s="1" t="inlineStr">
        <is>
          <t>DICIEMBRE</t>
        </is>
      </c>
      <c r="G2595" s="1" t="inlineStr">
        <is>
          <t>HAIFENG</t>
        </is>
      </c>
      <c r="H2595" s="1" t="inlineStr">
        <is>
          <t>HAIFENG 03/12/2025</t>
        </is>
      </c>
      <c r="I2595" s="4" t="n">
        <v>3</v>
      </c>
      <c r="J2595" s="6" t="n">
        <v>6.59</v>
      </c>
      <c r="K2595" s="6" t="n">
        <v>137.8440845</v>
      </c>
      <c r="L2595" s="6">
        <f>I2595*K2595</f>
        <v/>
      </c>
      <c r="M2595" s="6">
        <f>K2595*4</f>
        <v/>
      </c>
      <c r="N2595" s="6" t="n">
        <v>720</v>
      </c>
    </row>
    <row r="2596">
      <c r="A2596" s="1" t="inlineStr">
        <is>
          <t>64e78ca690d8e</t>
        </is>
      </c>
      <c r="B2596" s="1" t="inlineStr">
        <is>
          <t>ARETES BV SILVER-BLACK</t>
        </is>
      </c>
      <c r="C2596" s="1" t="inlineStr">
        <is>
          <t>0.7 cm</t>
        </is>
      </c>
      <c r="D2596" s="1" t="inlineStr">
        <is>
          <t>25/09/2025</t>
        </is>
      </c>
      <c r="E2596" s="1" t="n">
        <v>2025</v>
      </c>
      <c r="F2596" s="1" t="inlineStr">
        <is>
          <t>SEPTIEMBRE</t>
        </is>
      </c>
      <c r="G2596" s="1" t="inlineStr">
        <is>
          <t>HAIFENG</t>
        </is>
      </c>
      <c r="H2596" s="1" t="inlineStr">
        <is>
          <t>HAIFENG 25/09/2025</t>
        </is>
      </c>
      <c r="I2596" s="4" t="n">
        <v>3</v>
      </c>
      <c r="J2596" s="6" t="n">
        <v>6</v>
      </c>
      <c r="K2596" s="6" t="n">
        <v>126.5813146</v>
      </c>
      <c r="L2596" s="6">
        <f>I2596*K2596</f>
        <v/>
      </c>
      <c r="M2596" s="6">
        <f>K2596*4</f>
        <v/>
      </c>
      <c r="N2596" s="6" t="n">
        <v>450</v>
      </c>
    </row>
    <row r="2597">
      <c r="A2597" s="1" t="inlineStr">
        <is>
          <t>64e78ca690d8e</t>
        </is>
      </c>
      <c r="B2597" s="1" t="inlineStr">
        <is>
          <t>ARETES BV SILVER-BLACK</t>
        </is>
      </c>
      <c r="C2597" s="1" t="inlineStr">
        <is>
          <t>0.7 cm</t>
        </is>
      </c>
      <c r="D2597" s="1" t="inlineStr">
        <is>
          <t>03/12/2025</t>
        </is>
      </c>
      <c r="E2597" s="1" t="n">
        <v>2025</v>
      </c>
      <c r="F2597" s="1" t="inlineStr">
        <is>
          <t>DICIEMBRE</t>
        </is>
      </c>
      <c r="G2597" s="1" t="inlineStr">
        <is>
          <t>NANCY</t>
        </is>
      </c>
      <c r="H2597" s="1" t="inlineStr">
        <is>
          <t>NANCY 03/12/2025</t>
        </is>
      </c>
      <c r="I2597" s="4" t="n">
        <v>2</v>
      </c>
      <c r="J2597" s="6" t="n">
        <v>3.69</v>
      </c>
      <c r="K2597" s="6" t="n">
        <v>87.29337577</v>
      </c>
      <c r="L2597" s="6">
        <f>I2597*K2597</f>
        <v/>
      </c>
      <c r="M2597" s="6">
        <f>K2597*4</f>
        <v/>
      </c>
      <c r="N2597" s="6" t="n">
        <v>450</v>
      </c>
    </row>
    <row r="2598">
      <c r="A2598" s="1" t="inlineStr">
        <is>
          <t>64e78ca690d8e</t>
        </is>
      </c>
      <c r="B2598" s="1" t="inlineStr">
        <is>
          <t>ARETES BV SILVER-BLACK</t>
        </is>
      </c>
      <c r="C2598" s="1" t="inlineStr">
        <is>
          <t>0.7 cm</t>
        </is>
      </c>
      <c r="D2598" s="1" t="inlineStr">
        <is>
          <t>09/07/2026</t>
        </is>
      </c>
      <c r="E2598" s="1" t="n">
        <v>2026</v>
      </c>
      <c r="F2598" s="1" t="inlineStr">
        <is>
          <t>JULIO</t>
        </is>
      </c>
      <c r="G2598" s="1" t="inlineStr">
        <is>
          <t>NANCY</t>
        </is>
      </c>
      <c r="H2598" s="1" t="inlineStr">
        <is>
          <t>NANCY 09/07/2026</t>
        </is>
      </c>
      <c r="I2598" s="4" t="n">
        <v>2</v>
      </c>
      <c r="J2598" s="6" t="n">
        <v>5.59</v>
      </c>
      <c r="K2598" s="6" t="n">
        <v>136.2029957</v>
      </c>
      <c r="L2598" s="6">
        <f>I2598*K2598</f>
        <v/>
      </c>
      <c r="M2598" s="6">
        <f>K2598*4</f>
        <v/>
      </c>
      <c r="N2598" s="6" t="n">
        <v>450</v>
      </c>
    </row>
    <row r="2599">
      <c r="A2599" s="1" t="inlineStr">
        <is>
          <t>64e78ca71edc7</t>
        </is>
      </c>
      <c r="B2599" s="1" t="inlineStr">
        <is>
          <t>ARETES BV SILVER- WHITE</t>
        </is>
      </c>
      <c r="C2599" s="1" t="inlineStr">
        <is>
          <t>Regular</t>
        </is>
      </c>
      <c r="D2599" s="1" t="inlineStr">
        <is>
          <t>03/12/2025</t>
        </is>
      </c>
      <c r="E2599" s="1" t="n">
        <v>2025</v>
      </c>
      <c r="F2599" s="1" t="inlineStr">
        <is>
          <t>DICIEMBRE</t>
        </is>
      </c>
      <c r="G2599" s="1" t="inlineStr">
        <is>
          <t>NANCY</t>
        </is>
      </c>
      <c r="H2599" s="1" t="inlineStr">
        <is>
          <t>NANCY 03/12/2025</t>
        </is>
      </c>
      <c r="I2599" s="4" t="n">
        <v>2</v>
      </c>
      <c r="J2599" s="6" t="n">
        <v>3.69</v>
      </c>
      <c r="K2599" s="6" t="n">
        <v>87.29337577</v>
      </c>
      <c r="L2599" s="6">
        <f>I2599*K2599</f>
        <v/>
      </c>
      <c r="M2599" s="6">
        <f>K2599*4</f>
        <v/>
      </c>
      <c r="N2599" s="6" t="n">
        <v>450</v>
      </c>
    </row>
    <row r="2600">
      <c r="A2600" s="1" t="inlineStr">
        <is>
          <t>64e78ca71edc7</t>
        </is>
      </c>
      <c r="B2600" s="1" t="inlineStr">
        <is>
          <t>ARETES BV SILVER- WHITE</t>
        </is>
      </c>
      <c r="C2600" s="1" t="inlineStr">
        <is>
          <t>Regular</t>
        </is>
      </c>
      <c r="D2600" s="1" t="inlineStr">
        <is>
          <t>01/03/2026</t>
        </is>
      </c>
      <c r="E2600" s="1" t="n">
        <v>2026</v>
      </c>
      <c r="F2600" s="1" t="inlineStr">
        <is>
          <t>MARZO</t>
        </is>
      </c>
      <c r="G2600" s="1" t="inlineStr">
        <is>
          <t>NANCY</t>
        </is>
      </c>
      <c r="H2600" s="1" t="inlineStr">
        <is>
          <t>NANCY 01/03/2026</t>
        </is>
      </c>
      <c r="I2600" s="4" t="n">
        <v>2</v>
      </c>
      <c r="J2600" s="6" t="n">
        <v>3.69</v>
      </c>
      <c r="K2600" s="6" t="n">
        <v>93.37072066</v>
      </c>
      <c r="L2600" s="6">
        <f>I2600*K2600</f>
        <v/>
      </c>
      <c r="M2600" s="6">
        <f>K2600*4</f>
        <v/>
      </c>
      <c r="N2600" s="6" t="n">
        <v>450</v>
      </c>
    </row>
    <row r="2601">
      <c r="A2601" s="1" t="inlineStr">
        <is>
          <t>64e78ca71edc7</t>
        </is>
      </c>
      <c r="B2601" s="1" t="inlineStr">
        <is>
          <t>ARETES BV SILVER- WHITE</t>
        </is>
      </c>
      <c r="C2601" s="1" t="inlineStr">
        <is>
          <t>Regular</t>
        </is>
      </c>
      <c r="D2601" s="1" t="inlineStr">
        <is>
          <t>01/04/2026</t>
        </is>
      </c>
      <c r="E2601" s="1" t="n">
        <v>2026</v>
      </c>
      <c r="F2601" s="1" t="inlineStr">
        <is>
          <t>ABRIL</t>
        </is>
      </c>
      <c r="G2601" s="1" t="inlineStr">
        <is>
          <t>NANCY</t>
        </is>
      </c>
      <c r="H2601" s="1" t="inlineStr">
        <is>
          <t>NANCY 01/04/2026</t>
        </is>
      </c>
      <c r="I2601" s="4" t="n">
        <v>1</v>
      </c>
      <c r="J2601" s="6" t="n">
        <v>3.69</v>
      </c>
      <c r="K2601" s="6" t="n">
        <v>88.34048035000001</v>
      </c>
      <c r="L2601" s="6">
        <f>I2601*K2601</f>
        <v/>
      </c>
      <c r="M2601" s="6">
        <f>K2601*4</f>
        <v/>
      </c>
      <c r="N2601" s="6" t="n">
        <v>450</v>
      </c>
    </row>
    <row r="2602">
      <c r="A2602" s="1" t="inlineStr">
        <is>
          <t>64e78ca71edc7</t>
        </is>
      </c>
      <c r="B2602" s="1" t="inlineStr">
        <is>
          <t>ARETES BV SILVER- WHITE</t>
        </is>
      </c>
      <c r="C2602" s="1" t="inlineStr">
        <is>
          <t>Regular</t>
        </is>
      </c>
      <c r="D2602" s="1" t="inlineStr">
        <is>
          <t>31/05/2026</t>
        </is>
      </c>
      <c r="E2602" s="1" t="n">
        <v>2026</v>
      </c>
      <c r="F2602" s="1" t="inlineStr">
        <is>
          <t>MAYO</t>
        </is>
      </c>
      <c r="G2602" s="1" t="inlineStr">
        <is>
          <t>NANCY</t>
        </is>
      </c>
      <c r="H2602" s="1" t="inlineStr">
        <is>
          <t>NANCY 31/05/2026</t>
        </is>
      </c>
      <c r="I2602" s="4" t="n">
        <v>6</v>
      </c>
      <c r="J2602" s="6" t="n">
        <v>3.69</v>
      </c>
      <c r="K2602" s="6" t="n">
        <v>89.54740603</v>
      </c>
      <c r="L2602" s="6">
        <f>I2602*K2602</f>
        <v/>
      </c>
      <c r="M2602" s="6">
        <f>K2602*4</f>
        <v/>
      </c>
      <c r="N2602" s="6" t="n">
        <v>450</v>
      </c>
    </row>
    <row r="2603">
      <c r="A2603" s="1" t="inlineStr">
        <is>
          <t>64e78ca83b5da-1</t>
        </is>
      </c>
      <c r="B2603" s="1" t="inlineStr">
        <is>
          <t>ARETES GC GOLD</t>
        </is>
      </c>
      <c r="C2603" s="1" t="inlineStr">
        <is>
          <t>Regular</t>
        </is>
      </c>
      <c r="D2603" s="1" t="inlineStr">
        <is>
          <t>01/03/2026</t>
        </is>
      </c>
      <c r="E2603" s="1" t="n">
        <v>2026</v>
      </c>
      <c r="F2603" s="1" t="inlineStr">
        <is>
          <t>MARZO</t>
        </is>
      </c>
      <c r="G2603" s="1" t="inlineStr">
        <is>
          <t>NANCY</t>
        </is>
      </c>
      <c r="H2603" s="1" t="inlineStr">
        <is>
          <t>NANCY 01/03/2026</t>
        </is>
      </c>
      <c r="I2603" s="4" t="n">
        <v>3</v>
      </c>
      <c r="J2603" s="6" t="n">
        <v>5.59</v>
      </c>
      <c r="K2603" s="6" t="n">
        <v>141.4477855</v>
      </c>
      <c r="L2603" s="6">
        <f>I2603*K2603</f>
        <v/>
      </c>
      <c r="M2603" s="6">
        <f>K2603*4</f>
        <v/>
      </c>
      <c r="N2603" s="6" t="n">
        <v>499</v>
      </c>
    </row>
    <row r="2604">
      <c r="A2604" s="1" t="inlineStr">
        <is>
          <t>64e78ca83b5da-1</t>
        </is>
      </c>
      <c r="B2604" s="1" t="inlineStr">
        <is>
          <t>ARETES GC GOLD</t>
        </is>
      </c>
      <c r="C2604" s="1" t="inlineStr">
        <is>
          <t>Regular</t>
        </is>
      </c>
      <c r="D2604" s="1" t="inlineStr">
        <is>
          <t>08/05/2026</t>
        </is>
      </c>
      <c r="E2604" s="1" t="n">
        <v>2026</v>
      </c>
      <c r="F2604" s="1" t="inlineStr">
        <is>
          <t>MAYO</t>
        </is>
      </c>
      <c r="G2604" s="1" t="inlineStr">
        <is>
          <t>NANCY</t>
        </is>
      </c>
      <c r="H2604" s="1" t="inlineStr">
        <is>
          <t>NANCY 08/05/2026</t>
        </is>
      </c>
      <c r="I2604" s="4" t="n">
        <v>6</v>
      </c>
      <c r="J2604" s="6" t="n">
        <v>5.59</v>
      </c>
      <c r="K2604" s="6" t="n">
        <v>132.2468818</v>
      </c>
      <c r="L2604" s="6">
        <f>I2604*K2604</f>
        <v/>
      </c>
      <c r="M2604" s="6">
        <f>K2604*4</f>
        <v/>
      </c>
      <c r="N2604" s="6" t="n">
        <v>499</v>
      </c>
    </row>
    <row r="2605">
      <c r="A2605" s="1" t="inlineStr">
        <is>
          <t>64e78ca83b5da-1</t>
        </is>
      </c>
      <c r="B2605" s="1" t="inlineStr">
        <is>
          <t>ARETES GC GOLD</t>
        </is>
      </c>
      <c r="C2605" s="1" t="inlineStr">
        <is>
          <t>Regular</t>
        </is>
      </c>
      <c r="D2605" s="1" t="inlineStr">
        <is>
          <t>09/07/2026</t>
        </is>
      </c>
      <c r="E2605" s="1" t="n">
        <v>2026</v>
      </c>
      <c r="F2605" s="1" t="inlineStr">
        <is>
          <t>JULIO</t>
        </is>
      </c>
      <c r="G2605" s="1" t="inlineStr">
        <is>
          <t>NANCY</t>
        </is>
      </c>
      <c r="H2605" s="1" t="inlineStr">
        <is>
          <t>NANCY 09/07/2026</t>
        </is>
      </c>
      <c r="I2605" s="4" t="n">
        <v>5</v>
      </c>
      <c r="J2605" s="6" t="n">
        <v>2.99</v>
      </c>
      <c r="K2605" s="6" t="n">
        <v>72.85276514</v>
      </c>
      <c r="L2605" s="6">
        <f>I2605*K2605</f>
        <v/>
      </c>
      <c r="M2605" s="6">
        <f>K2605*4</f>
        <v/>
      </c>
      <c r="N2605" s="6" t="n">
        <v>499</v>
      </c>
    </row>
    <row r="2606">
      <c r="A2606" s="1" t="inlineStr">
        <is>
          <t>64e78caddd20d</t>
        </is>
      </c>
      <c r="B2606" s="1" t="inlineStr">
        <is>
          <t>COLLAR LV FLOWER SILVER</t>
        </is>
      </c>
      <c r="C2606" s="1" t="inlineStr">
        <is>
          <t>Default Title</t>
        </is>
      </c>
      <c r="D2606" s="1" t="inlineStr">
        <is>
          <t>01/03/2026</t>
        </is>
      </c>
      <c r="E2606" s="1" t="n">
        <v>2026</v>
      </c>
      <c r="F2606" s="1" t="inlineStr">
        <is>
          <t>MARZO</t>
        </is>
      </c>
      <c r="G2606" s="1" t="inlineStr">
        <is>
          <t>NANCY</t>
        </is>
      </c>
      <c r="H2606" s="1" t="inlineStr">
        <is>
          <t>NANCY 01/03/2026</t>
        </is>
      </c>
      <c r="I2606" s="4" t="n">
        <v>2</v>
      </c>
      <c r="J2606" s="6" t="n">
        <v>6.29</v>
      </c>
      <c r="K2606" s="6" t="n">
        <v>159.1603883</v>
      </c>
      <c r="L2606" s="6">
        <f>I2606*K2606</f>
        <v/>
      </c>
      <c r="M2606" s="6">
        <f>K2606*4</f>
        <v/>
      </c>
      <c r="N2606" s="6" t="n">
        <v>650</v>
      </c>
    </row>
    <row r="2607">
      <c r="A2607" s="1" t="inlineStr">
        <is>
          <t>64e78caddd20d</t>
        </is>
      </c>
      <c r="B2607" s="1" t="inlineStr">
        <is>
          <t>COLLAR LV FLOWER SILVER</t>
        </is>
      </c>
      <c r="C2607" s="1" t="inlineStr">
        <is>
          <t>Default Title</t>
        </is>
      </c>
      <c r="D2607" s="1" t="inlineStr">
        <is>
          <t>01/04/2026</t>
        </is>
      </c>
      <c r="E2607" s="1" t="n">
        <v>2026</v>
      </c>
      <c r="F2607" s="1" t="inlineStr">
        <is>
          <t>ABRIL</t>
        </is>
      </c>
      <c r="G2607" s="1" t="inlineStr">
        <is>
          <t>NANCY</t>
        </is>
      </c>
      <c r="H2607" s="1" t="inlineStr">
        <is>
          <t>NANCY 01/04/2026</t>
        </is>
      </c>
      <c r="I2607" s="4" t="n">
        <v>1</v>
      </c>
      <c r="J2607" s="6" t="n">
        <v>7.29</v>
      </c>
      <c r="K2607" s="6" t="n">
        <v>174.5263148</v>
      </c>
      <c r="L2607" s="6">
        <f>I2607*K2607</f>
        <v/>
      </c>
      <c r="M2607" s="6">
        <f>K2607*4</f>
        <v/>
      </c>
      <c r="N2607" s="6" t="n">
        <v>650</v>
      </c>
    </row>
    <row r="2608">
      <c r="A2608" s="1" t="inlineStr">
        <is>
          <t>64e78caddd20d</t>
        </is>
      </c>
      <c r="B2608" s="1" t="inlineStr">
        <is>
          <t>COLLAR LV FLOWER SILVER</t>
        </is>
      </c>
      <c r="C2608" s="1" t="inlineStr">
        <is>
          <t>Default Title</t>
        </is>
      </c>
      <c r="D2608" s="1" t="inlineStr">
        <is>
          <t>31/05/2026</t>
        </is>
      </c>
      <c r="E2608" s="1" t="n">
        <v>2026</v>
      </c>
      <c r="F2608" s="1" t="inlineStr">
        <is>
          <t>MAYO</t>
        </is>
      </c>
      <c r="G2608" s="1" t="inlineStr">
        <is>
          <t>NANCY</t>
        </is>
      </c>
      <c r="H2608" s="1" t="inlineStr">
        <is>
          <t>NANCY 31/05/2026</t>
        </is>
      </c>
      <c r="I2608" s="4" t="n">
        <v>5</v>
      </c>
      <c r="J2608" s="6" t="n">
        <v>6.49</v>
      </c>
      <c r="K2608" s="6" t="n">
        <v>157.4966572</v>
      </c>
      <c r="L2608" s="6">
        <f>I2608*K2608</f>
        <v/>
      </c>
      <c r="M2608" s="6">
        <f>K2608*4</f>
        <v/>
      </c>
      <c r="N2608" s="6" t="n">
        <v>650</v>
      </c>
    </row>
    <row r="2609">
      <c r="A2609" s="1" t="inlineStr">
        <is>
          <t>64e78caddd8f1</t>
        </is>
      </c>
      <c r="B2609" s="1" t="inlineStr">
        <is>
          <t>ARETES LV CORAZÓN GOLD</t>
        </is>
      </c>
      <c r="C2609" s="1" t="inlineStr">
        <is>
          <t>Regular</t>
        </is>
      </c>
      <c r="D2609" s="1" t="inlineStr">
        <is>
          <t>08/05/2026</t>
        </is>
      </c>
      <c r="E2609" s="1" t="n">
        <v>2026</v>
      </c>
      <c r="F2609" s="1" t="inlineStr">
        <is>
          <t>MAYO</t>
        </is>
      </c>
      <c r="G2609" s="1" t="inlineStr">
        <is>
          <t>NANCY</t>
        </is>
      </c>
      <c r="H2609" s="1" t="inlineStr">
        <is>
          <t>NANCY 08/05/2026</t>
        </is>
      </c>
      <c r="I2609" s="4" t="n">
        <v>2</v>
      </c>
      <c r="J2609" s="6" t="n">
        <v>5.59</v>
      </c>
      <c r="K2609" s="6" t="n">
        <v>132.2468818</v>
      </c>
      <c r="L2609" s="6">
        <f>I2609*K2609</f>
        <v/>
      </c>
      <c r="M2609" s="6">
        <f>K2609*4</f>
        <v/>
      </c>
      <c r="N2609" s="6" t="n">
        <v>499</v>
      </c>
    </row>
    <row r="2610">
      <c r="A2610" s="1" t="inlineStr">
        <is>
          <t>64e78caeba151</t>
        </is>
      </c>
      <c r="B2610" s="1" t="inlineStr">
        <is>
          <t>COLLAR LV FLOWER ROSE-GOLD</t>
        </is>
      </c>
      <c r="C2610" s="1" t="inlineStr">
        <is>
          <t>Default Title</t>
        </is>
      </c>
      <c r="D2610" s="1" t="inlineStr">
        <is>
          <t>06/09/2025</t>
        </is>
      </c>
      <c r="E2610" s="1" t="n">
        <v>2025</v>
      </c>
      <c r="F2610" s="1" t="inlineStr">
        <is>
          <t>SEPTIEMBRE</t>
        </is>
      </c>
      <c r="G2610" s="1" t="inlineStr">
        <is>
          <t>NANCY</t>
        </is>
      </c>
      <c r="H2610" s="1" t="inlineStr">
        <is>
          <t>NANCY 06/09/2025</t>
        </is>
      </c>
      <c r="I2610" s="4" t="n">
        <v>1</v>
      </c>
      <c r="J2610" s="6" t="n">
        <v>7.39</v>
      </c>
      <c r="K2610" s="6" t="n">
        <v>172.0810243</v>
      </c>
      <c r="L2610" s="6">
        <f>I2610*K2610</f>
        <v/>
      </c>
      <c r="M2610" s="6">
        <f>K2610*4</f>
        <v/>
      </c>
      <c r="N2610" s="6" t="n">
        <v>650</v>
      </c>
    </row>
    <row r="2611">
      <c r="A2611" s="1" t="inlineStr">
        <is>
          <t>64e78caeba151</t>
        </is>
      </c>
      <c r="B2611" s="1" t="inlineStr">
        <is>
          <t>COLLAR LV FLOWER ROSE-GOLD</t>
        </is>
      </c>
      <c r="C2611" s="1" t="inlineStr">
        <is>
          <t>Default Title</t>
        </is>
      </c>
      <c r="D2611" s="1" t="inlineStr">
        <is>
          <t>03/12/2025</t>
        </is>
      </c>
      <c r="E2611" s="1" t="n">
        <v>2025</v>
      </c>
      <c r="F2611" s="1" t="inlineStr">
        <is>
          <t>DICIEMBRE</t>
        </is>
      </c>
      <c r="G2611" s="1" t="inlineStr">
        <is>
          <t>NANCY</t>
        </is>
      </c>
      <c r="H2611" s="1" t="inlineStr">
        <is>
          <t>NANCY 03/12/2025</t>
        </is>
      </c>
      <c r="I2611" s="4" t="n">
        <v>5</v>
      </c>
      <c r="J2611" s="6" t="n">
        <v>5.59</v>
      </c>
      <c r="K2611" s="6" t="n">
        <v>132.2411844</v>
      </c>
      <c r="L2611" s="6">
        <f>I2611*K2611</f>
        <v/>
      </c>
      <c r="M2611" s="6">
        <f>K2611*4</f>
        <v/>
      </c>
      <c r="N2611" s="6" t="n">
        <v>650</v>
      </c>
    </row>
    <row r="2612">
      <c r="A2612" s="1" t="inlineStr">
        <is>
          <t>64e78caeba151</t>
        </is>
      </c>
      <c r="B2612" s="1" t="inlineStr">
        <is>
          <t>COLLAR LV FLOWER ROSE-GOLD</t>
        </is>
      </c>
      <c r="C2612" s="1" t="inlineStr">
        <is>
          <t>Default Title</t>
        </is>
      </c>
      <c r="D2612" s="1" t="inlineStr">
        <is>
          <t>01/03/2026</t>
        </is>
      </c>
      <c r="E2612" s="1" t="n">
        <v>2026</v>
      </c>
      <c r="F2612" s="1" t="inlineStr">
        <is>
          <t>MARZO</t>
        </is>
      </c>
      <c r="G2612" s="1" t="inlineStr">
        <is>
          <t>NANCY</t>
        </is>
      </c>
      <c r="H2612" s="1" t="inlineStr">
        <is>
          <t>NANCY 01/03/2026</t>
        </is>
      </c>
      <c r="I2612" s="4" t="n">
        <v>3</v>
      </c>
      <c r="J2612" s="6" t="n">
        <v>6.29</v>
      </c>
      <c r="K2612" s="6" t="n">
        <v>159.1603883</v>
      </c>
      <c r="L2612" s="6">
        <f>I2612*K2612</f>
        <v/>
      </c>
      <c r="M2612" s="6">
        <f>K2612*4</f>
        <v/>
      </c>
      <c r="N2612" s="6" t="n">
        <v>650</v>
      </c>
    </row>
    <row r="2613">
      <c r="A2613" s="1" t="inlineStr">
        <is>
          <t>64e78caeba151</t>
        </is>
      </c>
      <c r="B2613" s="1" t="inlineStr">
        <is>
          <t>COLLAR LV FLOWER ROSE-GOLD</t>
        </is>
      </c>
      <c r="C2613" s="1" t="inlineStr">
        <is>
          <t>Default Title</t>
        </is>
      </c>
      <c r="D2613" s="1" t="inlineStr">
        <is>
          <t>01/04/2026</t>
        </is>
      </c>
      <c r="E2613" s="1" t="n">
        <v>2026</v>
      </c>
      <c r="F2613" s="1" t="inlineStr">
        <is>
          <t>ABRIL</t>
        </is>
      </c>
      <c r="G2613" s="1" t="inlineStr">
        <is>
          <t>NANCY</t>
        </is>
      </c>
      <c r="H2613" s="1" t="inlineStr">
        <is>
          <t>NANCY 01/04/2026</t>
        </is>
      </c>
      <c r="I2613" s="4" t="n">
        <v>1</v>
      </c>
      <c r="J2613" s="6" t="n">
        <v>7.29</v>
      </c>
      <c r="K2613" s="6" t="n">
        <v>174.5263148</v>
      </c>
      <c r="L2613" s="6">
        <f>I2613*K2613</f>
        <v/>
      </c>
      <c r="M2613" s="6">
        <f>K2613*4</f>
        <v/>
      </c>
      <c r="N2613" s="6" t="n">
        <v>650</v>
      </c>
    </row>
    <row r="2614">
      <c r="A2614" s="1" t="inlineStr">
        <is>
          <t>64e78caeba151</t>
        </is>
      </c>
      <c r="B2614" s="1" t="inlineStr">
        <is>
          <t>COLLAR LV FLOWER ROSE-GOLD</t>
        </is>
      </c>
      <c r="C2614" s="1" t="inlineStr">
        <is>
          <t>Default Title</t>
        </is>
      </c>
      <c r="D2614" s="1" t="inlineStr">
        <is>
          <t>31/05/2026</t>
        </is>
      </c>
      <c r="E2614" s="1" t="n">
        <v>2026</v>
      </c>
      <c r="F2614" s="1" t="inlineStr">
        <is>
          <t>MAYO</t>
        </is>
      </c>
      <c r="G2614" s="1" t="inlineStr">
        <is>
          <t>NANCY</t>
        </is>
      </c>
      <c r="H2614" s="1" t="inlineStr">
        <is>
          <t>NANCY 31/05/2026</t>
        </is>
      </c>
      <c r="I2614" s="4" t="n">
        <v>1</v>
      </c>
      <c r="J2614" s="6" t="n">
        <v>6.49</v>
      </c>
      <c r="K2614" s="6" t="n">
        <v>157.4966572</v>
      </c>
      <c r="L2614" s="6">
        <f>I2614*K2614</f>
        <v/>
      </c>
      <c r="M2614" s="6">
        <f>K2614*4</f>
        <v/>
      </c>
      <c r="N2614" s="6" t="n">
        <v>650</v>
      </c>
    </row>
    <row r="2615">
      <c r="A2615" s="1" t="inlineStr">
        <is>
          <t>64e78caf2dfa6</t>
        </is>
      </c>
      <c r="B2615" s="1" t="inlineStr">
        <is>
          <t>COLLAR LV FLOWER GOLD</t>
        </is>
      </c>
      <c r="C2615" s="1" t="inlineStr">
        <is>
          <t>Default Title</t>
        </is>
      </c>
      <c r="D2615" s="1" t="inlineStr">
        <is>
          <t>03/12/2025</t>
        </is>
      </c>
      <c r="E2615" s="1" t="n">
        <v>2025</v>
      </c>
      <c r="F2615" s="1" t="inlineStr">
        <is>
          <t>DICIEMBRE</t>
        </is>
      </c>
      <c r="G2615" s="1" t="inlineStr">
        <is>
          <t>NANCY</t>
        </is>
      </c>
      <c r="H2615" s="1" t="inlineStr">
        <is>
          <t>NANCY 03/12/2025</t>
        </is>
      </c>
      <c r="I2615" s="4" t="n">
        <v>2</v>
      </c>
      <c r="J2615" s="6" t="n">
        <v>5.59</v>
      </c>
      <c r="K2615" s="6" t="n">
        <v>132.2411844</v>
      </c>
      <c r="L2615" s="6">
        <f>I2615*K2615</f>
        <v/>
      </c>
      <c r="M2615" s="6">
        <f>K2615*4</f>
        <v/>
      </c>
      <c r="N2615" s="6" t="n">
        <v>650</v>
      </c>
    </row>
    <row r="2616">
      <c r="A2616" s="1" t="inlineStr">
        <is>
          <t>64e78caf2dfa6</t>
        </is>
      </c>
      <c r="B2616" s="1" t="inlineStr">
        <is>
          <t>COLLAR LV FLOWER GOLD</t>
        </is>
      </c>
      <c r="C2616" s="1" t="inlineStr">
        <is>
          <t>Default Title</t>
        </is>
      </c>
      <c r="D2616" s="1" t="inlineStr">
        <is>
          <t>01/03/2026</t>
        </is>
      </c>
      <c r="E2616" s="1" t="n">
        <v>2026</v>
      </c>
      <c r="F2616" s="1" t="inlineStr">
        <is>
          <t>MARZO</t>
        </is>
      </c>
      <c r="G2616" s="1" t="inlineStr">
        <is>
          <t>NANCY</t>
        </is>
      </c>
      <c r="H2616" s="1" t="inlineStr">
        <is>
          <t>NANCY 01/03/2026</t>
        </is>
      </c>
      <c r="I2616" s="4" t="n">
        <v>2</v>
      </c>
      <c r="J2616" s="6" t="n">
        <v>6.29</v>
      </c>
      <c r="K2616" s="6" t="n">
        <v>159.1603883</v>
      </c>
      <c r="L2616" s="6">
        <f>I2616*K2616</f>
        <v/>
      </c>
      <c r="M2616" s="6">
        <f>K2616*4</f>
        <v/>
      </c>
      <c r="N2616" s="6" t="n">
        <v>650</v>
      </c>
    </row>
    <row r="2617">
      <c r="A2617" s="1" t="inlineStr">
        <is>
          <t>64e78caf2dfa6</t>
        </is>
      </c>
      <c r="B2617" s="1" t="inlineStr">
        <is>
          <t>COLLAR LV FLOWER GOLD</t>
        </is>
      </c>
      <c r="C2617" s="1" t="inlineStr">
        <is>
          <t>Default Title</t>
        </is>
      </c>
      <c r="D2617" s="1" t="inlineStr">
        <is>
          <t>01/04/2026</t>
        </is>
      </c>
      <c r="E2617" s="1" t="n">
        <v>2026</v>
      </c>
      <c r="F2617" s="1" t="inlineStr">
        <is>
          <t>ABRIL</t>
        </is>
      </c>
      <c r="G2617" s="1" t="inlineStr">
        <is>
          <t>NANCY</t>
        </is>
      </c>
      <c r="H2617" s="1" t="inlineStr">
        <is>
          <t>NANCY 01/04/2026</t>
        </is>
      </c>
      <c r="I2617" s="4" t="n">
        <v>4</v>
      </c>
      <c r="J2617" s="6" t="n">
        <v>7.29</v>
      </c>
      <c r="K2617" s="6" t="n">
        <v>174.5263148</v>
      </c>
      <c r="L2617" s="6">
        <f>I2617*K2617</f>
        <v/>
      </c>
      <c r="M2617" s="6">
        <f>K2617*4</f>
        <v/>
      </c>
      <c r="N2617" s="6" t="n">
        <v>650</v>
      </c>
    </row>
    <row r="2618">
      <c r="A2618" s="1" t="inlineStr">
        <is>
          <t>64e78caf2dfa6</t>
        </is>
      </c>
      <c r="B2618" s="1" t="inlineStr">
        <is>
          <t>COLLAR LV FLOWER GOLD</t>
        </is>
      </c>
      <c r="C2618" s="1" t="inlineStr">
        <is>
          <t>Default Title</t>
        </is>
      </c>
      <c r="D2618" s="1" t="inlineStr">
        <is>
          <t>31/05/2026</t>
        </is>
      </c>
      <c r="E2618" s="1" t="n">
        <v>2026</v>
      </c>
      <c r="F2618" s="1" t="inlineStr">
        <is>
          <t>MAYO</t>
        </is>
      </c>
      <c r="G2618" s="1" t="inlineStr">
        <is>
          <t>NANCY</t>
        </is>
      </c>
      <c r="H2618" s="1" t="inlineStr">
        <is>
          <t>NANCY 31/05/2026</t>
        </is>
      </c>
      <c r="I2618" s="4" t="n">
        <v>2</v>
      </c>
      <c r="J2618" s="6" t="n">
        <v>6.49</v>
      </c>
      <c r="K2618" s="6" t="n">
        <v>157.4966572</v>
      </c>
      <c r="L2618" s="6">
        <f>I2618*K2618</f>
        <v/>
      </c>
      <c r="M2618" s="6">
        <f>K2618*4</f>
        <v/>
      </c>
      <c r="N2618" s="6" t="n">
        <v>650</v>
      </c>
    </row>
    <row r="2619">
      <c r="A2619" s="1" t="inlineStr">
        <is>
          <t>64e78caf2dfa6</t>
        </is>
      </c>
      <c r="B2619" s="1" t="inlineStr">
        <is>
          <t>COLLAR LV FLOWER GOLD</t>
        </is>
      </c>
      <c r="C2619" s="1" t="inlineStr">
        <is>
          <t>Default Title</t>
        </is>
      </c>
      <c r="D2619" s="1" t="inlineStr">
        <is>
          <t>09/07/2026</t>
        </is>
      </c>
      <c r="E2619" s="1" t="n">
        <v>2026</v>
      </c>
      <c r="F2619" s="1" t="inlineStr">
        <is>
          <t>JULIO</t>
        </is>
      </c>
      <c r="G2619" s="1" t="inlineStr">
        <is>
          <t>NANCY</t>
        </is>
      </c>
      <c r="H2619" s="1" t="inlineStr">
        <is>
          <t>NANCY 09/07/2026</t>
        </is>
      </c>
      <c r="I2619" s="4" t="n">
        <v>6</v>
      </c>
      <c r="J2619" s="6" t="n">
        <v>6.99</v>
      </c>
      <c r="K2619" s="6" t="n">
        <v>170.3146583</v>
      </c>
      <c r="L2619" s="6">
        <f>I2619*K2619</f>
        <v/>
      </c>
      <c r="M2619" s="6">
        <f>K2619*4</f>
        <v/>
      </c>
      <c r="N2619" s="6" t="n">
        <v>650</v>
      </c>
    </row>
    <row r="2620">
      <c r="A2620" s="1" t="inlineStr">
        <is>
          <t>64e78d3baafe7</t>
        </is>
      </c>
      <c r="B2620" s="1" t="inlineStr">
        <is>
          <t>ARETES BLOSSOM STAR ROSE GOLD</t>
        </is>
      </c>
      <c r="C2620" s="1" t="inlineStr">
        <is>
          <t>Default Title</t>
        </is>
      </c>
      <c r="D2620" s="1" t="inlineStr">
        <is>
          <t>05/09/2025</t>
        </is>
      </c>
      <c r="E2620" s="1" t="n">
        <v>2025</v>
      </c>
      <c r="F2620" s="1" t="inlineStr">
        <is>
          <t>SEPTIEMBRE</t>
        </is>
      </c>
      <c r="G2620" s="1" t="inlineStr">
        <is>
          <t>CYNTHIA</t>
        </is>
      </c>
      <c r="H2620" s="1" t="inlineStr">
        <is>
          <t>CYNTHIA 05/09/2025</t>
        </is>
      </c>
      <c r="I2620" s="4" t="n">
        <v>2</v>
      </c>
      <c r="J2620" s="6" t="n">
        <v>6.8</v>
      </c>
      <c r="K2620" s="6" t="n">
        <v>171.2178591</v>
      </c>
      <c r="L2620" s="6">
        <f>I2620*K2620</f>
        <v/>
      </c>
      <c r="M2620" s="6">
        <f>K2620*4</f>
        <v/>
      </c>
      <c r="N2620" s="6" t="n">
        <v>665.6799999999999</v>
      </c>
    </row>
    <row r="2621">
      <c r="A2621" s="1" t="inlineStr">
        <is>
          <t>64e78d3baafe7</t>
        </is>
      </c>
      <c r="B2621" s="1" t="inlineStr">
        <is>
          <t>ARETES BLOSSOM STAR ROSE GOLD</t>
        </is>
      </c>
      <c r="C2621" s="1" t="inlineStr">
        <is>
          <t>Default Title</t>
        </is>
      </c>
      <c r="D2621" s="1" t="inlineStr">
        <is>
          <t>07/01/2026</t>
        </is>
      </c>
      <c r="E2621" s="1" t="n">
        <v>2026</v>
      </c>
      <c r="F2621" s="1" t="inlineStr">
        <is>
          <t>ENERO</t>
        </is>
      </c>
      <c r="G2621" s="1" t="inlineStr">
        <is>
          <t>CYNTHIA</t>
        </is>
      </c>
      <c r="H2621" s="1" t="inlineStr">
        <is>
          <t>CYNTHIA 07/01/2026</t>
        </is>
      </c>
      <c r="I2621" s="4" t="n">
        <v>2</v>
      </c>
      <c r="J2621" s="6" t="n">
        <v>6.8</v>
      </c>
      <c r="K2621" s="6" t="n">
        <v>180.7945082</v>
      </c>
      <c r="L2621" s="6">
        <f>I2621*K2621</f>
        <v/>
      </c>
      <c r="M2621" s="6">
        <f>K2621*4</f>
        <v/>
      </c>
      <c r="N2621" s="6" t="n">
        <v>709</v>
      </c>
    </row>
    <row r="2622">
      <c r="A2622" s="1" t="inlineStr">
        <is>
          <t>64e78d3baafe7</t>
        </is>
      </c>
      <c r="B2622" s="1" t="inlineStr">
        <is>
          <t>ARETES BLOSSOM STAR ROSE GOLD</t>
        </is>
      </c>
      <c r="C2622" s="1" t="inlineStr">
        <is>
          <t>Default Title</t>
        </is>
      </c>
      <c r="D2622" s="1" t="inlineStr">
        <is>
          <t>18/02/2026</t>
        </is>
      </c>
      <c r="E2622" s="1" t="n">
        <v>2026</v>
      </c>
      <c r="F2622" s="1" t="inlineStr">
        <is>
          <t>FEBRERO</t>
        </is>
      </c>
      <c r="G2622" s="1" t="inlineStr">
        <is>
          <t>CYNTHIA</t>
        </is>
      </c>
      <c r="H2622" s="1" t="inlineStr">
        <is>
          <t>CYNTHIA 18/02/2026</t>
        </is>
      </c>
      <c r="I2622" s="4" t="n">
        <v>2</v>
      </c>
      <c r="J2622" s="6" t="n">
        <v>6.8</v>
      </c>
      <c r="K2622" s="6" t="n">
        <v>183.8948834</v>
      </c>
      <c r="L2622" s="6">
        <f>I2622*K2622</f>
        <v/>
      </c>
      <c r="M2622" s="6">
        <f>K2622*4</f>
        <v/>
      </c>
      <c r="N2622" s="6" t="n">
        <v>709</v>
      </c>
    </row>
    <row r="2623">
      <c r="A2623" s="1" t="inlineStr">
        <is>
          <t>64e78d3baafe7</t>
        </is>
      </c>
      <c r="B2623" s="1" t="inlineStr">
        <is>
          <t>ARETES BLOSSOM STAR ROSE GOLD</t>
        </is>
      </c>
      <c r="C2623" s="1" t="inlineStr">
        <is>
          <t>Default Title</t>
        </is>
      </c>
      <c r="D2623" s="1" t="inlineStr">
        <is>
          <t>27/04/2026</t>
        </is>
      </c>
      <c r="E2623" s="1" t="n">
        <v>2026</v>
      </c>
      <c r="F2623" s="1" t="inlineStr">
        <is>
          <t>ABRIL</t>
        </is>
      </c>
      <c r="G2623" s="1" t="inlineStr">
        <is>
          <t>CYNTHIA</t>
        </is>
      </c>
      <c r="H2623" s="1" t="inlineStr">
        <is>
          <t>CYNTHIA 27/04/2026</t>
        </is>
      </c>
      <c r="I2623" s="4" t="n">
        <v>3</v>
      </c>
      <c r="J2623" s="6" t="n">
        <v>6.8</v>
      </c>
      <c r="K2623" s="6" t="n">
        <v>176.4606298</v>
      </c>
      <c r="L2623" s="6">
        <f>I2623*K2623</f>
        <v/>
      </c>
      <c r="M2623" s="6">
        <f>K2623*4</f>
        <v/>
      </c>
      <c r="N2623" s="6" t="n">
        <v>709</v>
      </c>
    </row>
    <row r="2624">
      <c r="A2624" s="1" t="inlineStr">
        <is>
          <t>64e78d3bae5c1</t>
        </is>
      </c>
      <c r="B2624" s="1" t="inlineStr">
        <is>
          <t>ARETES BLOSSOM STAR GOLD</t>
        </is>
      </c>
      <c r="C2624" s="1" t="n"/>
      <c r="D2624" s="1" t="inlineStr">
        <is>
          <t>05/09/2025</t>
        </is>
      </c>
      <c r="E2624" s="1" t="n">
        <v>2025</v>
      </c>
      <c r="F2624" s="1" t="inlineStr">
        <is>
          <t>SEPTIEMBRE</t>
        </is>
      </c>
      <c r="G2624" s="1" t="inlineStr">
        <is>
          <t>CYNTHIA</t>
        </is>
      </c>
      <c r="H2624" s="1" t="inlineStr">
        <is>
          <t>CYNTHIA 05/09/2025</t>
        </is>
      </c>
      <c r="I2624" s="4" t="n">
        <v>2</v>
      </c>
      <c r="J2624" s="6" t="n">
        <v>6.8</v>
      </c>
      <c r="K2624" s="6" t="n">
        <v>171.2178591</v>
      </c>
      <c r="L2624" s="6">
        <f>I2624*K2624</f>
        <v/>
      </c>
      <c r="M2624" s="6">
        <f>K2624*4</f>
        <v/>
      </c>
      <c r="N2624" s="6" t="n"/>
    </row>
    <row r="2625">
      <c r="A2625" s="1" t="inlineStr">
        <is>
          <t>64e78d3bae5c1</t>
        </is>
      </c>
      <c r="B2625" s="1" t="n"/>
      <c r="C2625" s="1" t="n"/>
      <c r="D2625" s="1" t="inlineStr">
        <is>
          <t>07/01/2026</t>
        </is>
      </c>
      <c r="E2625" s="1" t="n">
        <v>2026</v>
      </c>
      <c r="F2625" s="1" t="inlineStr">
        <is>
          <t>ENERO</t>
        </is>
      </c>
      <c r="G2625" s="1" t="inlineStr">
        <is>
          <t>CYNTHIA</t>
        </is>
      </c>
      <c r="H2625" s="1" t="inlineStr">
        <is>
          <t>CYNTHIA 07/01/2026</t>
        </is>
      </c>
      <c r="I2625" s="4" t="n">
        <v>2</v>
      </c>
      <c r="J2625" s="6" t="n">
        <v>6.8</v>
      </c>
      <c r="K2625" s="6" t="n">
        <v>180.7945082</v>
      </c>
      <c r="L2625" s="6">
        <f>I2625*K2625</f>
        <v/>
      </c>
      <c r="M2625" s="6">
        <f>K2625*4</f>
        <v/>
      </c>
      <c r="N2625" s="6" t="n"/>
    </row>
    <row r="2626">
      <c r="A2626" s="1" t="inlineStr">
        <is>
          <t>64e78d3c1c538</t>
        </is>
      </c>
      <c r="B2626" s="1" t="inlineStr">
        <is>
          <t>ARETES BLOSSOM STAR SILVER</t>
        </is>
      </c>
      <c r="C2626" s="1" t="inlineStr">
        <is>
          <t>Default Title</t>
        </is>
      </c>
      <c r="D2626" s="1" t="inlineStr">
        <is>
          <t>05/09/2025</t>
        </is>
      </c>
      <c r="E2626" s="1" t="n">
        <v>2025</v>
      </c>
      <c r="F2626" s="1" t="inlineStr">
        <is>
          <t>SEPTIEMBRE</t>
        </is>
      </c>
      <c r="G2626" s="1" t="inlineStr">
        <is>
          <t>CYNTHIA</t>
        </is>
      </c>
      <c r="H2626" s="1" t="inlineStr">
        <is>
          <t>CYNTHIA 05/09/2025</t>
        </is>
      </c>
      <c r="I2626" s="4" t="n">
        <v>2</v>
      </c>
      <c r="J2626" s="6" t="n">
        <v>6.8</v>
      </c>
      <c r="K2626" s="6" t="n">
        <v>171.2178591</v>
      </c>
      <c r="L2626" s="6">
        <f>I2626*K2626</f>
        <v/>
      </c>
      <c r="M2626" s="6">
        <f>K2626*4</f>
        <v/>
      </c>
      <c r="N2626" s="6" t="n">
        <v>580</v>
      </c>
    </row>
    <row r="2627">
      <c r="A2627" s="1" t="inlineStr">
        <is>
          <t>64e78d3c1c538</t>
        </is>
      </c>
      <c r="B2627" s="1" t="inlineStr">
        <is>
          <t>ARETES BLOSSOM STAR SILVER</t>
        </is>
      </c>
      <c r="C2627" s="1" t="inlineStr">
        <is>
          <t>Default Title</t>
        </is>
      </c>
      <c r="D2627" s="1" t="inlineStr">
        <is>
          <t>07/01/2026</t>
        </is>
      </c>
      <c r="E2627" s="1" t="n">
        <v>2026</v>
      </c>
      <c r="F2627" s="1" t="inlineStr">
        <is>
          <t>ENERO</t>
        </is>
      </c>
      <c r="G2627" s="1" t="inlineStr">
        <is>
          <t>CYNTHIA</t>
        </is>
      </c>
      <c r="H2627" s="1" t="inlineStr">
        <is>
          <t>CYNTHIA 07/01/2026</t>
        </is>
      </c>
      <c r="I2627" s="4" t="n">
        <v>4</v>
      </c>
      <c r="J2627" s="6" t="n">
        <v>6.8</v>
      </c>
      <c r="K2627" s="6" t="n">
        <v>180.7945082</v>
      </c>
      <c r="L2627" s="6">
        <f>I2627*K2627</f>
        <v/>
      </c>
      <c r="M2627" s="6">
        <f>K2627*4</f>
        <v/>
      </c>
      <c r="N2627" s="6" t="n">
        <v>709</v>
      </c>
    </row>
    <row r="2628">
      <c r="A2628" s="1" t="inlineStr">
        <is>
          <t>64e78d3c1c538</t>
        </is>
      </c>
      <c r="B2628" s="1" t="inlineStr">
        <is>
          <t>ARETES BLOSSOM STAR SILVER</t>
        </is>
      </c>
      <c r="C2628" s="1" t="inlineStr">
        <is>
          <t>Default Title</t>
        </is>
      </c>
      <c r="D2628" s="1" t="inlineStr">
        <is>
          <t>19/03/2026</t>
        </is>
      </c>
      <c r="E2628" s="1" t="n">
        <v>2026</v>
      </c>
      <c r="F2628" s="1" t="inlineStr">
        <is>
          <t>MARZO</t>
        </is>
      </c>
      <c r="G2628" s="1" t="inlineStr">
        <is>
          <t>CYNTHIA</t>
        </is>
      </c>
      <c r="H2628" s="1" t="inlineStr">
        <is>
          <t>CYNTHIA 19/03/2026</t>
        </is>
      </c>
      <c r="I2628" s="4" t="n">
        <v>2</v>
      </c>
      <c r="J2628" s="6" t="n">
        <v>6.8</v>
      </c>
      <c r="K2628" s="6" t="n">
        <v>182.6304274</v>
      </c>
      <c r="L2628" s="6">
        <f>I2628*K2628</f>
        <v/>
      </c>
      <c r="M2628" s="6">
        <f>K2628*4</f>
        <v/>
      </c>
      <c r="N2628" s="6" t="n">
        <v>709</v>
      </c>
    </row>
    <row r="2629">
      <c r="A2629" s="1" t="inlineStr">
        <is>
          <t>64e78d3c1c538</t>
        </is>
      </c>
      <c r="B2629" s="1" t="inlineStr">
        <is>
          <t>ARETES BLOSSOM STAR SILVER</t>
        </is>
      </c>
      <c r="C2629" s="1" t="inlineStr">
        <is>
          <t>Default Title</t>
        </is>
      </c>
      <c r="D2629" s="1" t="inlineStr">
        <is>
          <t>27/04/2026</t>
        </is>
      </c>
      <c r="E2629" s="1" t="n">
        <v>2026</v>
      </c>
      <c r="F2629" s="1" t="inlineStr">
        <is>
          <t>ABRIL</t>
        </is>
      </c>
      <c r="G2629" s="1" t="inlineStr">
        <is>
          <t>CYNTHIA</t>
        </is>
      </c>
      <c r="H2629" s="1" t="inlineStr">
        <is>
          <t>CYNTHIA 27/04/2026</t>
        </is>
      </c>
      <c r="I2629" s="4" t="n">
        <v>6</v>
      </c>
      <c r="J2629" s="6" t="n">
        <v>6.8</v>
      </c>
      <c r="K2629" s="6" t="n">
        <v>176.4606298</v>
      </c>
      <c r="L2629" s="6">
        <f>I2629*K2629</f>
        <v/>
      </c>
      <c r="M2629" s="6">
        <f>K2629*4</f>
        <v/>
      </c>
      <c r="N2629" s="6" t="n">
        <v>709</v>
      </c>
    </row>
    <row r="2630">
      <c r="A2630" s="1" t="inlineStr">
        <is>
          <t>64e78d44e18fa</t>
        </is>
      </c>
      <c r="B2630" s="1" t="inlineStr">
        <is>
          <t>COLLAR LV CON ZIRCONIA GOLD</t>
        </is>
      </c>
      <c r="C2630" s="1" t="inlineStr">
        <is>
          <t>42cm</t>
        </is>
      </c>
      <c r="D2630" s="1" t="inlineStr">
        <is>
          <t>01/03/2026</t>
        </is>
      </c>
      <c r="E2630" s="1" t="n">
        <v>2026</v>
      </c>
      <c r="F2630" s="1" t="inlineStr">
        <is>
          <t>MARZO</t>
        </is>
      </c>
      <c r="G2630" s="1" t="inlineStr">
        <is>
          <t>NANCY</t>
        </is>
      </c>
      <c r="H2630" s="1" t="inlineStr">
        <is>
          <t>NANCY 01/03/2026</t>
        </is>
      </c>
      <c r="I2630" s="4" t="n">
        <v>1</v>
      </c>
      <c r="J2630" s="6" t="n">
        <v>6.89</v>
      </c>
      <c r="K2630" s="6" t="n">
        <v>174.3426193</v>
      </c>
      <c r="L2630" s="6">
        <f>I2630*K2630</f>
        <v/>
      </c>
      <c r="M2630" s="6">
        <f>K2630*4</f>
        <v/>
      </c>
      <c r="N2630" s="6" t="n">
        <v>575</v>
      </c>
    </row>
    <row r="2631">
      <c r="A2631" s="1" t="inlineStr">
        <is>
          <t>64e78d44e18fa</t>
        </is>
      </c>
      <c r="B2631" s="1" t="inlineStr">
        <is>
          <t>COLLAR LV CON ZIRCONIA GOLD</t>
        </is>
      </c>
      <c r="C2631" s="1" t="inlineStr">
        <is>
          <t>42cm</t>
        </is>
      </c>
      <c r="D2631" s="1" t="inlineStr">
        <is>
          <t>01/04/2026</t>
        </is>
      </c>
      <c r="E2631" s="1" t="n">
        <v>2026</v>
      </c>
      <c r="F2631" s="1" t="inlineStr">
        <is>
          <t>ABRIL</t>
        </is>
      </c>
      <c r="G2631" s="1" t="inlineStr">
        <is>
          <t>NANCY</t>
        </is>
      </c>
      <c r="H2631" s="1" t="inlineStr">
        <is>
          <t>NANCY 01/04/2026</t>
        </is>
      </c>
      <c r="I2631" s="4" t="n">
        <v>2</v>
      </c>
      <c r="J2631" s="6" t="n">
        <v>6.89</v>
      </c>
      <c r="K2631" s="6" t="n">
        <v>164.950111</v>
      </c>
      <c r="L2631" s="6">
        <f>I2631*K2631</f>
        <v/>
      </c>
      <c r="M2631" s="6">
        <f>K2631*4</f>
        <v/>
      </c>
      <c r="N2631" s="6" t="n">
        <v>575</v>
      </c>
    </row>
    <row r="2632">
      <c r="A2632" s="1" t="inlineStr">
        <is>
          <t>64e78d44e18fa</t>
        </is>
      </c>
      <c r="B2632" s="1" t="inlineStr">
        <is>
          <t>COLLAR LV CON ZIRCONIA GOLD</t>
        </is>
      </c>
      <c r="C2632" s="1" t="inlineStr">
        <is>
          <t>42cm</t>
        </is>
      </c>
      <c r="D2632" s="1" t="inlineStr">
        <is>
          <t>31/05/2026</t>
        </is>
      </c>
      <c r="E2632" s="1" t="n">
        <v>2026</v>
      </c>
      <c r="F2632" s="1" t="inlineStr">
        <is>
          <t>MAYO</t>
        </is>
      </c>
      <c r="G2632" s="1" t="inlineStr">
        <is>
          <t>NANCY</t>
        </is>
      </c>
      <c r="H2632" s="1" t="inlineStr">
        <is>
          <t>NANCY 31/05/2026</t>
        </is>
      </c>
      <c r="I2632" s="4" t="n">
        <v>6</v>
      </c>
      <c r="J2632" s="6" t="n">
        <v>6.89</v>
      </c>
      <c r="K2632" s="6" t="n">
        <v>167.2036931</v>
      </c>
      <c r="L2632" s="6">
        <f>I2632*K2632</f>
        <v/>
      </c>
      <c r="M2632" s="6">
        <f>K2632*4</f>
        <v/>
      </c>
      <c r="N2632" s="6" t="n">
        <v>575</v>
      </c>
    </row>
    <row r="2633">
      <c r="A2633" s="1" t="inlineStr">
        <is>
          <t>64e78dfc1baee</t>
        </is>
      </c>
      <c r="B2633" s="1" t="inlineStr">
        <is>
          <t>LENTES PR MEN</t>
        </is>
      </c>
      <c r="C2633" s="1" t="n"/>
      <c r="D2633" s="1" t="inlineStr">
        <is>
          <t>05/09/2025</t>
        </is>
      </c>
      <c r="E2633" s="1" t="n">
        <v>2025</v>
      </c>
      <c r="F2633" s="1" t="inlineStr">
        <is>
          <t>SEPTIEMBRE</t>
        </is>
      </c>
      <c r="G2633" s="1" t="inlineStr">
        <is>
          <t>CYNTHIA</t>
        </is>
      </c>
      <c r="H2633" s="1" t="inlineStr">
        <is>
          <t>CYNTHIA 05/09/2025</t>
        </is>
      </c>
      <c r="I2633" s="4" t="n">
        <v>2</v>
      </c>
      <c r="J2633" s="6" t="n">
        <v>11.5</v>
      </c>
      <c r="K2633" s="6" t="n">
        <v>289.5596147</v>
      </c>
      <c r="L2633" s="6">
        <f>I2633*K2633</f>
        <v/>
      </c>
      <c r="M2633" s="6">
        <f>K2633*4</f>
        <v/>
      </c>
      <c r="N2633" s="6" t="n"/>
    </row>
    <row r="2634">
      <c r="A2634" s="1" t="inlineStr">
        <is>
          <t>64e78dfc1baee</t>
        </is>
      </c>
      <c r="B2634" s="1" t="n"/>
      <c r="C2634" s="1" t="n"/>
      <c r="D2634" s="1" t="inlineStr">
        <is>
          <t>07/01/2026</t>
        </is>
      </c>
      <c r="E2634" s="1" t="n">
        <v>2026</v>
      </c>
      <c r="F2634" s="1" t="inlineStr">
        <is>
          <t>ENERO</t>
        </is>
      </c>
      <c r="G2634" s="1" t="inlineStr">
        <is>
          <t>CYNTHIA</t>
        </is>
      </c>
      <c r="H2634" s="1" t="inlineStr">
        <is>
          <t>CYNTHIA 07/01/2026</t>
        </is>
      </c>
      <c r="I2634" s="4" t="n">
        <v>2</v>
      </c>
      <c r="J2634" s="6" t="n">
        <v>11.5</v>
      </c>
      <c r="K2634" s="6" t="n">
        <v>305.7554182</v>
      </c>
      <c r="L2634" s="6">
        <f>I2634*K2634</f>
        <v/>
      </c>
      <c r="M2634" s="6">
        <f>K2634*4</f>
        <v/>
      </c>
      <c r="N2634" s="6" t="n">
        <v>1239</v>
      </c>
    </row>
    <row r="2635">
      <c r="A2635" s="1" t="inlineStr">
        <is>
          <t>64e78dfc1baee</t>
        </is>
      </c>
      <c r="B2635" s="1" t="inlineStr">
        <is>
          <t>LENTES PR MEN</t>
        </is>
      </c>
      <c r="C2635" s="1" t="inlineStr">
        <is>
          <t>Default Title</t>
        </is>
      </c>
      <c r="D2635" s="1" t="inlineStr">
        <is>
          <t>19/03/2026</t>
        </is>
      </c>
      <c r="E2635" s="1" t="n">
        <v>2026</v>
      </c>
      <c r="F2635" s="1" t="inlineStr">
        <is>
          <t>MARZO</t>
        </is>
      </c>
      <c r="G2635" s="1" t="inlineStr">
        <is>
          <t>CYNTHIA</t>
        </is>
      </c>
      <c r="H2635" s="1" t="inlineStr">
        <is>
          <t>CYNTHIA 19/03/2026</t>
        </is>
      </c>
      <c r="I2635" s="4" t="n">
        <v>2</v>
      </c>
      <c r="J2635" s="6" t="n">
        <v>11.5</v>
      </c>
      <c r="K2635" s="6" t="n">
        <v>308.8602816</v>
      </c>
      <c r="L2635" s="6">
        <f>I2635*K2635</f>
        <v/>
      </c>
      <c r="M2635" s="6">
        <f>K2635*4</f>
        <v/>
      </c>
      <c r="N2635" s="6" t="n">
        <v>1239</v>
      </c>
    </row>
    <row r="2636">
      <c r="A2636" s="1" t="inlineStr">
        <is>
          <t>64e78e112a71e</t>
        </is>
      </c>
      <c r="B2636" s="1" t="inlineStr">
        <is>
          <t>PULSERA DY SILVER</t>
        </is>
      </c>
      <c r="C2636" s="1" t="inlineStr">
        <is>
          <t>18cm</t>
        </is>
      </c>
      <c r="D2636" s="1" t="inlineStr">
        <is>
          <t>27/04/2026</t>
        </is>
      </c>
      <c r="E2636" s="1" t="n">
        <v>2026</v>
      </c>
      <c r="F2636" s="1" t="inlineStr">
        <is>
          <t>ABRIL</t>
        </is>
      </c>
      <c r="G2636" s="1" t="inlineStr">
        <is>
          <t>CYNTHIA</t>
        </is>
      </c>
      <c r="H2636" s="1" t="inlineStr">
        <is>
          <t>CYNTHIA 27/04/2026</t>
        </is>
      </c>
      <c r="I2636" s="4" t="n">
        <v>3</v>
      </c>
      <c r="J2636" s="6" t="n">
        <v>14.8</v>
      </c>
      <c r="K2636" s="6" t="n">
        <v>384.0613707</v>
      </c>
      <c r="L2636" s="6">
        <f>I2636*K2636</f>
        <v/>
      </c>
      <c r="M2636" s="6">
        <f>K2636*4</f>
        <v/>
      </c>
      <c r="N2636" s="6" t="n">
        <v>1539</v>
      </c>
    </row>
    <row r="2637">
      <c r="A2637" s="1" t="inlineStr">
        <is>
          <t>64e78e722fe81</t>
        </is>
      </c>
      <c r="B2637" s="1" t="inlineStr">
        <is>
          <t>BROCHE CD GOLD CON PERLA</t>
        </is>
      </c>
      <c r="C2637" s="1" t="inlineStr">
        <is>
          <t>2.5cmx4cm</t>
        </is>
      </c>
      <c r="D2637" s="1" t="inlineStr">
        <is>
          <t>05/09/2025</t>
        </is>
      </c>
      <c r="E2637" s="1" t="n">
        <v>2025</v>
      </c>
      <c r="F2637" s="1" t="inlineStr">
        <is>
          <t>SEPTIEMBRE</t>
        </is>
      </c>
      <c r="G2637" s="1" t="inlineStr">
        <is>
          <t>CYNTHIA</t>
        </is>
      </c>
      <c r="H2637" s="1" t="inlineStr">
        <is>
          <t>CYNTHIA 05/09/2025</t>
        </is>
      </c>
      <c r="I2637" s="4" t="n">
        <v>1</v>
      </c>
      <c r="J2637" s="6" t="n">
        <v>8.800000000000001</v>
      </c>
      <c r="K2637" s="6" t="n">
        <v>221.576053</v>
      </c>
      <c r="L2637" s="6">
        <f>I2637*K2637</f>
        <v/>
      </c>
      <c r="M2637" s="6">
        <f>K2637*4</f>
        <v/>
      </c>
      <c r="N2637" s="6" t="n">
        <v>750</v>
      </c>
    </row>
    <row r="2638">
      <c r="A2638" s="1" t="inlineStr">
        <is>
          <t>64e78e722fe81</t>
        </is>
      </c>
      <c r="B2638" s="1" t="inlineStr">
        <is>
          <t>BROCHE CD GOLD CON PERLA</t>
        </is>
      </c>
      <c r="C2638" s="1" t="inlineStr">
        <is>
          <t>2.5cmx4cm</t>
        </is>
      </c>
      <c r="D2638" s="1" t="inlineStr">
        <is>
          <t>27/04/2026</t>
        </is>
      </c>
      <c r="E2638" s="1" t="n">
        <v>2026</v>
      </c>
      <c r="F2638" s="1" t="inlineStr">
        <is>
          <t>ABRIL</t>
        </is>
      </c>
      <c r="G2638" s="1" t="inlineStr">
        <is>
          <t>CYNTHIA</t>
        </is>
      </c>
      <c r="H2638" s="1" t="inlineStr">
        <is>
          <t>CYNTHIA 27/04/2026</t>
        </is>
      </c>
      <c r="I2638" s="4" t="n">
        <v>3</v>
      </c>
      <c r="J2638" s="6" t="n">
        <v>8.800000000000001</v>
      </c>
      <c r="K2638" s="6" t="n">
        <v>228.360815</v>
      </c>
      <c r="L2638" s="6">
        <f>I2638*K2638</f>
        <v/>
      </c>
      <c r="M2638" s="6">
        <f>K2638*4</f>
        <v/>
      </c>
      <c r="N2638" s="6" t="n">
        <v>915</v>
      </c>
    </row>
    <row r="2639">
      <c r="A2639" s="1" t="inlineStr">
        <is>
          <t>64e78e725d8db</t>
        </is>
      </c>
      <c r="B2639" s="1" t="inlineStr">
        <is>
          <t>ARETES CD CON PERLA GOLD DR</t>
        </is>
      </c>
      <c r="C2639" s="1" t="inlineStr">
        <is>
          <t>Default Title</t>
        </is>
      </c>
      <c r="D2639" s="1" t="inlineStr">
        <is>
          <t>05/09/2025</t>
        </is>
      </c>
      <c r="E2639" s="1" t="n">
        <v>2025</v>
      </c>
      <c r="F2639" s="1" t="inlineStr">
        <is>
          <t>SEPTIEMBRE</t>
        </is>
      </c>
      <c r="G2639" s="1" t="inlineStr">
        <is>
          <t>CYNTHIA</t>
        </is>
      </c>
      <c r="H2639" s="1" t="inlineStr">
        <is>
          <t>CYNTHIA 05/09/2025</t>
        </is>
      </c>
      <c r="I2639" s="4" t="n">
        <v>3</v>
      </c>
      <c r="J2639" s="6" t="n">
        <v>6.08</v>
      </c>
      <c r="K2639" s="6" t="n">
        <v>153.0889093</v>
      </c>
      <c r="L2639" s="6">
        <f>I2639*K2639</f>
        <v/>
      </c>
      <c r="M2639" s="6">
        <f>K2639*4</f>
        <v/>
      </c>
      <c r="N2639" s="6" t="n">
        <v>650</v>
      </c>
    </row>
    <row r="2640">
      <c r="A2640" s="1" t="inlineStr">
        <is>
          <t>64e78e725d8db</t>
        </is>
      </c>
      <c r="B2640" s="1" t="inlineStr">
        <is>
          <t>ARETES CD CON PERLA GOLD DR</t>
        </is>
      </c>
      <c r="C2640" s="1" t="inlineStr">
        <is>
          <t>Default Title</t>
        </is>
      </c>
      <c r="D2640" s="1" t="inlineStr">
        <is>
          <t>07/01/2026</t>
        </is>
      </c>
      <c r="E2640" s="1" t="n">
        <v>2026</v>
      </c>
      <c r="F2640" s="1" t="inlineStr">
        <is>
          <t>ENERO</t>
        </is>
      </c>
      <c r="G2640" s="1" t="inlineStr">
        <is>
          <t>CYNTHIA</t>
        </is>
      </c>
      <c r="H2640" s="1" t="inlineStr">
        <is>
          <t>CYNTHIA 07/01/2026</t>
        </is>
      </c>
      <c r="I2640" s="4" t="n">
        <v>2</v>
      </c>
      <c r="J2640" s="6" t="n">
        <v>6.08</v>
      </c>
      <c r="K2640" s="6" t="n">
        <v>161.6515603</v>
      </c>
      <c r="L2640" s="6">
        <f>I2640*K2640</f>
        <v/>
      </c>
      <c r="M2640" s="6">
        <f>K2640*4</f>
        <v/>
      </c>
      <c r="N2640" s="6" t="n">
        <v>650</v>
      </c>
    </row>
    <row r="2641">
      <c r="A2641" s="1" t="inlineStr">
        <is>
          <t>64e78e725d8db</t>
        </is>
      </c>
      <c r="B2641" s="1" t="inlineStr">
        <is>
          <t>ARETES CD CON PERLA GOLD DR</t>
        </is>
      </c>
      <c r="C2641" s="1" t="inlineStr">
        <is>
          <t>Default Title</t>
        </is>
      </c>
      <c r="D2641" s="1" t="inlineStr">
        <is>
          <t>19/03/2026</t>
        </is>
      </c>
      <c r="E2641" s="1" t="n">
        <v>2026</v>
      </c>
      <c r="F2641" s="1" t="inlineStr">
        <is>
          <t>MARZO</t>
        </is>
      </c>
      <c r="G2641" s="1" t="inlineStr">
        <is>
          <t>CYNTHIA</t>
        </is>
      </c>
      <c r="H2641" s="1" t="inlineStr">
        <is>
          <t>CYNTHIA 19/03/2026</t>
        </is>
      </c>
      <c r="I2641" s="4" t="n">
        <v>5</v>
      </c>
      <c r="J2641" s="6" t="n">
        <v>6.08</v>
      </c>
      <c r="K2641" s="6" t="n">
        <v>163.293088</v>
      </c>
      <c r="L2641" s="6">
        <f>I2641*K2641</f>
        <v/>
      </c>
      <c r="M2641" s="6">
        <f>K2641*4</f>
        <v/>
      </c>
      <c r="N2641" s="6" t="n">
        <v>650</v>
      </c>
    </row>
    <row r="2642">
      <c r="A2642" s="1" t="inlineStr">
        <is>
          <t>64e78e725d8db</t>
        </is>
      </c>
      <c r="B2642" s="1" t="inlineStr">
        <is>
          <t>ARETES CD CON PERLA GOLD DR</t>
        </is>
      </c>
      <c r="C2642" s="1" t="inlineStr">
        <is>
          <t>Default Title</t>
        </is>
      </c>
      <c r="D2642" s="1" t="inlineStr">
        <is>
          <t>31/05/2026</t>
        </is>
      </c>
      <c r="E2642" s="1" t="n">
        <v>2026</v>
      </c>
      <c r="F2642" s="1" t="inlineStr">
        <is>
          <t>MAYO</t>
        </is>
      </c>
      <c r="G2642" s="1" t="inlineStr">
        <is>
          <t>CYNTHIA</t>
        </is>
      </c>
      <c r="H2642" s="1" t="inlineStr">
        <is>
          <t>CYNTHIA 31/05/2026</t>
        </is>
      </c>
      <c r="I2642" s="4" t="n">
        <v>1</v>
      </c>
      <c r="J2642" s="6" t="n">
        <v>6.08</v>
      </c>
      <c r="K2642" s="6" t="n">
        <v>161.1263535</v>
      </c>
      <c r="L2642" s="6">
        <f>I2642*K2642</f>
        <v/>
      </c>
      <c r="M2642" s="6">
        <f>K2642*4</f>
        <v/>
      </c>
      <c r="N2642" s="6" t="n">
        <v>650</v>
      </c>
    </row>
    <row r="2643">
      <c r="A2643" s="1" t="inlineStr">
        <is>
          <t>64e78e740ecaf-1</t>
        </is>
      </c>
      <c r="B2643" s="1" t="inlineStr">
        <is>
          <t>ARETES LV LOGO GOLD</t>
        </is>
      </c>
      <c r="C2643" s="1" t="inlineStr">
        <is>
          <t>Stainless steel</t>
        </is>
      </c>
      <c r="D2643" s="1" t="inlineStr">
        <is>
          <t>05/09/2025</t>
        </is>
      </c>
      <c r="E2643" s="1" t="n">
        <v>2025</v>
      </c>
      <c r="F2643" s="1" t="inlineStr">
        <is>
          <t>SEPTIEMBRE</t>
        </is>
      </c>
      <c r="G2643" s="1" t="inlineStr">
        <is>
          <t>CYNTHIA</t>
        </is>
      </c>
      <c r="H2643" s="1" t="inlineStr">
        <is>
          <t>CYNTHIA 05/09/2025</t>
        </is>
      </c>
      <c r="I2643" s="4" t="n">
        <v>4</v>
      </c>
      <c r="J2643" s="6" t="n">
        <v>6</v>
      </c>
      <c r="K2643" s="6" t="n">
        <v>151.0745816</v>
      </c>
      <c r="L2643" s="6">
        <f>I2643*K2643</f>
        <v/>
      </c>
      <c r="M2643" s="6">
        <f>K2643*4</f>
        <v/>
      </c>
      <c r="N2643" s="6" t="n">
        <v>722</v>
      </c>
    </row>
    <row r="2644">
      <c r="A2644" s="1" t="inlineStr">
        <is>
          <t>64e78e740ecaf-1</t>
        </is>
      </c>
      <c r="B2644" s="1" t="inlineStr">
        <is>
          <t>ARETES LV LOGO GOLD</t>
        </is>
      </c>
      <c r="C2644" s="1" t="inlineStr">
        <is>
          <t>Stainless steel</t>
        </is>
      </c>
      <c r="D2644" s="1" t="inlineStr">
        <is>
          <t>25/10/2025</t>
        </is>
      </c>
      <c r="E2644" s="1" t="n">
        <v>2025</v>
      </c>
      <c r="F2644" s="1" t="inlineStr">
        <is>
          <t>OCTUBRE</t>
        </is>
      </c>
      <c r="G2644" s="1" t="inlineStr">
        <is>
          <t>CYNTHIA</t>
        </is>
      </c>
      <c r="H2644" s="1" t="inlineStr">
        <is>
          <t>CYNTHIA 25/10/2025</t>
        </is>
      </c>
      <c r="I2644" s="4" t="n">
        <v>2</v>
      </c>
      <c r="J2644" s="6" t="n">
        <v>6</v>
      </c>
      <c r="K2644" s="6" t="n">
        <v>157.2109415</v>
      </c>
      <c r="L2644" s="6">
        <f>I2644*K2644</f>
        <v/>
      </c>
      <c r="M2644" s="6">
        <f>K2644*4</f>
        <v/>
      </c>
      <c r="N2644" s="6" t="n">
        <v>722</v>
      </c>
    </row>
    <row r="2645">
      <c r="A2645" s="1" t="inlineStr">
        <is>
          <t>64e78e740ecaf-1</t>
        </is>
      </c>
      <c r="B2645" s="1" t="inlineStr">
        <is>
          <t>ARETES LV LOGO GOLD</t>
        </is>
      </c>
      <c r="C2645" s="1" t="inlineStr">
        <is>
          <t>Stainless steel</t>
        </is>
      </c>
      <c r="D2645" s="1" t="inlineStr">
        <is>
          <t>19/03/2026</t>
        </is>
      </c>
      <c r="E2645" s="1" t="n">
        <v>2026</v>
      </c>
      <c r="F2645" s="1" t="inlineStr">
        <is>
          <t>MARZO</t>
        </is>
      </c>
      <c r="G2645" s="1" t="inlineStr">
        <is>
          <t>CYNTHIA</t>
        </is>
      </c>
      <c r="H2645" s="1" t="inlineStr">
        <is>
          <t>CYNTHIA 19/03/2026</t>
        </is>
      </c>
      <c r="I2645" s="4" t="n">
        <v>2</v>
      </c>
      <c r="J2645" s="6" t="n">
        <v>6.8</v>
      </c>
      <c r="K2645" s="6" t="n">
        <v>182.6304274</v>
      </c>
      <c r="L2645" s="6">
        <f>I2645*K2645</f>
        <v/>
      </c>
      <c r="M2645" s="6">
        <f>K2645*4</f>
        <v/>
      </c>
      <c r="N2645" s="6" t="n">
        <v>722</v>
      </c>
    </row>
    <row r="2646">
      <c r="A2646" s="1" t="inlineStr">
        <is>
          <t>64e78e740ecaf-1</t>
        </is>
      </c>
      <c r="B2646" s="1" t="inlineStr">
        <is>
          <t>ARETES LV LOGO GOLD</t>
        </is>
      </c>
      <c r="C2646" s="1" t="inlineStr">
        <is>
          <t>Stainless steel</t>
        </is>
      </c>
      <c r="D2646" s="1" t="inlineStr">
        <is>
          <t>27/04/2026</t>
        </is>
      </c>
      <c r="E2646" s="1" t="n">
        <v>2026</v>
      </c>
      <c r="F2646" s="1" t="inlineStr">
        <is>
          <t>ABRIL</t>
        </is>
      </c>
      <c r="G2646" s="1" t="inlineStr">
        <is>
          <t>CYNTHIA</t>
        </is>
      </c>
      <c r="H2646" s="1" t="inlineStr">
        <is>
          <t>CYNTHIA 27/04/2026</t>
        </is>
      </c>
      <c r="I2646" s="4" t="n">
        <v>5</v>
      </c>
      <c r="J2646" s="6" t="n">
        <v>6.8</v>
      </c>
      <c r="K2646" s="6" t="n">
        <v>176.4606298</v>
      </c>
      <c r="L2646" s="6">
        <f>I2646*K2646</f>
        <v/>
      </c>
      <c r="M2646" s="6">
        <f>K2646*4</f>
        <v/>
      </c>
      <c r="N2646" s="6" t="n">
        <v>722</v>
      </c>
    </row>
    <row r="2647">
      <c r="A2647" s="1" t="inlineStr">
        <is>
          <t>64e78e740ecaf-1</t>
        </is>
      </c>
      <c r="B2647" s="1" t="inlineStr">
        <is>
          <t>ARETES LV LOGO GOLD</t>
        </is>
      </c>
      <c r="C2647" s="1" t="inlineStr">
        <is>
          <t>Stainless steel</t>
        </is>
      </c>
      <c r="D2647" s="1" t="inlineStr">
        <is>
          <t>31/05/2026</t>
        </is>
      </c>
      <c r="E2647" s="1" t="n">
        <v>2026</v>
      </c>
      <c r="F2647" s="1" t="inlineStr">
        <is>
          <t>MAYO</t>
        </is>
      </c>
      <c r="G2647" s="1" t="inlineStr">
        <is>
          <t>CYNTHIA</t>
        </is>
      </c>
      <c r="H2647" s="1" t="inlineStr">
        <is>
          <t>CYNTHIA 31/05/2026</t>
        </is>
      </c>
      <c r="I2647" s="4" t="n">
        <v>5</v>
      </c>
      <c r="J2647" s="6" t="n">
        <v>6.8</v>
      </c>
      <c r="K2647" s="6" t="n">
        <v>180.2071058</v>
      </c>
      <c r="L2647" s="6">
        <f>I2647*K2647</f>
        <v/>
      </c>
      <c r="M2647" s="6">
        <f>K2647*4</f>
        <v/>
      </c>
      <c r="N2647" s="6" t="n">
        <v>722</v>
      </c>
    </row>
    <row r="2648">
      <c r="A2648" s="1" t="inlineStr">
        <is>
          <t>64e78e797f140</t>
        </is>
      </c>
      <c r="B2648" s="1" t="inlineStr">
        <is>
          <t>ANILLO BV 3 OROS</t>
        </is>
      </c>
      <c r="C2648" s="1" t="inlineStr">
        <is>
          <t>6</t>
        </is>
      </c>
      <c r="D2648" s="1" t="inlineStr">
        <is>
          <t>01/05/2025</t>
        </is>
      </c>
      <c r="E2648" s="1" t="n">
        <v>2025</v>
      </c>
      <c r="F2648" s="1" t="inlineStr">
        <is>
          <t>MAYO</t>
        </is>
      </c>
      <c r="G2648" s="1" t="inlineStr">
        <is>
          <t>COCOMA</t>
        </is>
      </c>
      <c r="H2648" s="1" t="inlineStr">
        <is>
          <t>COCOMA MAYO 2025</t>
        </is>
      </c>
      <c r="I2648" s="4" t="n">
        <v>8</v>
      </c>
      <c r="J2648" s="6" t="n">
        <v>4.08</v>
      </c>
      <c r="K2648" s="6" t="n">
        <v>99.94051047000001</v>
      </c>
      <c r="L2648" s="6">
        <f>I2648*K2648</f>
        <v/>
      </c>
      <c r="M2648" s="6">
        <f>K2648*4</f>
        <v/>
      </c>
      <c r="N2648" s="6" t="n">
        <v>520</v>
      </c>
    </row>
    <row r="2649">
      <c r="A2649" s="1" t="inlineStr">
        <is>
          <t>64e78e797f140</t>
        </is>
      </c>
      <c r="B2649" s="1" t="inlineStr">
        <is>
          <t>ANILLO BV 3 OROS</t>
        </is>
      </c>
      <c r="C2649" s="1" t="inlineStr">
        <is>
          <t>6</t>
        </is>
      </c>
      <c r="D2649" s="1" t="inlineStr">
        <is>
          <t>20/01/2026</t>
        </is>
      </c>
      <c r="E2649" s="1" t="n">
        <v>2026</v>
      </c>
      <c r="F2649" s="1" t="inlineStr">
        <is>
          <t>ENERO</t>
        </is>
      </c>
      <c r="G2649" s="1" t="inlineStr">
        <is>
          <t>COCOMA</t>
        </is>
      </c>
      <c r="H2649" s="1" t="inlineStr">
        <is>
          <t>COCOMA 20/01/2026</t>
        </is>
      </c>
      <c r="I2649" s="4" t="n">
        <v>10</v>
      </c>
      <c r="J2649" s="6" t="n">
        <v>4.08</v>
      </c>
      <c r="K2649" s="6" t="n">
        <v>98.59280853999999</v>
      </c>
      <c r="L2649" s="6">
        <f>I2649*K2649</f>
        <v/>
      </c>
      <c r="M2649" s="6">
        <f>K2649*4</f>
        <v/>
      </c>
      <c r="N2649" s="6" t="n">
        <v>520</v>
      </c>
    </row>
    <row r="2650">
      <c r="A2650" s="1" t="inlineStr">
        <is>
          <t>64e78e7a486d9</t>
        </is>
      </c>
      <c r="B2650" s="1" t="inlineStr">
        <is>
          <t>ANILLO BV 3 OROS</t>
        </is>
      </c>
      <c r="C2650" s="1" t="inlineStr">
        <is>
          <t>7</t>
        </is>
      </c>
      <c r="D2650" s="1" t="inlineStr">
        <is>
          <t>01/05/2025</t>
        </is>
      </c>
      <c r="E2650" s="1" t="n">
        <v>2025</v>
      </c>
      <c r="F2650" s="1" t="inlineStr">
        <is>
          <t>MAYO</t>
        </is>
      </c>
      <c r="G2650" s="1" t="inlineStr">
        <is>
          <t>COCOMA</t>
        </is>
      </c>
      <c r="H2650" s="1" t="inlineStr">
        <is>
          <t>COCOMA MAYO 2025</t>
        </is>
      </c>
      <c r="I2650" s="4" t="n">
        <v>10</v>
      </c>
      <c r="J2650" s="6" t="n">
        <v>4.08</v>
      </c>
      <c r="K2650" s="6" t="n">
        <v>99.94051047000001</v>
      </c>
      <c r="L2650" s="6">
        <f>I2650*K2650</f>
        <v/>
      </c>
      <c r="M2650" s="6">
        <f>K2650*4</f>
        <v/>
      </c>
      <c r="N2650" s="6" t="n">
        <v>520</v>
      </c>
    </row>
    <row r="2651">
      <c r="A2651" s="1" t="inlineStr">
        <is>
          <t>64e78e7a486d9</t>
        </is>
      </c>
      <c r="B2651" s="1" t="inlineStr">
        <is>
          <t>ANILLO BV 3 OROS</t>
        </is>
      </c>
      <c r="C2651" s="1" t="inlineStr">
        <is>
          <t>7</t>
        </is>
      </c>
      <c r="D2651" s="1" t="inlineStr">
        <is>
          <t>20/01/2026</t>
        </is>
      </c>
      <c r="E2651" s="1" t="n">
        <v>2026</v>
      </c>
      <c r="F2651" s="1" t="inlineStr">
        <is>
          <t>ENERO</t>
        </is>
      </c>
      <c r="G2651" s="1" t="inlineStr">
        <is>
          <t>COCOMA</t>
        </is>
      </c>
      <c r="H2651" s="1" t="inlineStr">
        <is>
          <t>COCOMA 20/01/2026</t>
        </is>
      </c>
      <c r="I2651" s="4" t="n">
        <v>10</v>
      </c>
      <c r="J2651" s="6" t="n">
        <v>4.08</v>
      </c>
      <c r="K2651" s="6" t="n">
        <v>98.59280853999999</v>
      </c>
      <c r="L2651" s="6">
        <f>I2651*K2651</f>
        <v/>
      </c>
      <c r="M2651" s="6">
        <f>K2651*4</f>
        <v/>
      </c>
      <c r="N2651" s="6" t="n">
        <v>520</v>
      </c>
    </row>
    <row r="2652">
      <c r="A2652" s="1" t="inlineStr">
        <is>
          <t>64e78e7b03ab1</t>
        </is>
      </c>
      <c r="B2652" s="1" t="inlineStr">
        <is>
          <t>ANILLO BV 3 OROS</t>
        </is>
      </c>
      <c r="C2652" s="1" t="inlineStr">
        <is>
          <t>8</t>
        </is>
      </c>
      <c r="D2652" s="1" t="inlineStr">
        <is>
          <t>01/05/2025</t>
        </is>
      </c>
      <c r="E2652" s="1" t="n">
        <v>2025</v>
      </c>
      <c r="F2652" s="1" t="inlineStr">
        <is>
          <t>MAYO</t>
        </is>
      </c>
      <c r="G2652" s="1" t="inlineStr">
        <is>
          <t>COCOMA</t>
        </is>
      </c>
      <c r="H2652" s="1" t="inlineStr">
        <is>
          <t>COCOMA MAYO 2025</t>
        </is>
      </c>
      <c r="I2652" s="4" t="n">
        <v>3</v>
      </c>
      <c r="J2652" s="6" t="n">
        <v>4.08</v>
      </c>
      <c r="K2652" s="6" t="n">
        <v>99.94051047000001</v>
      </c>
      <c r="L2652" s="6">
        <f>I2652*K2652</f>
        <v/>
      </c>
      <c r="M2652" s="6">
        <f>K2652*4</f>
        <v/>
      </c>
      <c r="N2652" s="6" t="n">
        <v>520</v>
      </c>
    </row>
    <row r="2653">
      <c r="A2653" s="1" t="inlineStr">
        <is>
          <t>64e78e7b03ab1</t>
        </is>
      </c>
      <c r="B2653" s="1" t="inlineStr">
        <is>
          <t>ANILLO BV 3 OROS-8</t>
        </is>
      </c>
      <c r="C2653" s="1" t="n">
        <v>8</v>
      </c>
      <c r="D2653" s="1" t="inlineStr">
        <is>
          <t>25/09/2025</t>
        </is>
      </c>
      <c r="E2653" s="1" t="n">
        <v>2025</v>
      </c>
      <c r="F2653" s="1" t="inlineStr">
        <is>
          <t>SEPTIEMBRE</t>
        </is>
      </c>
      <c r="G2653" s="1" t="inlineStr">
        <is>
          <t>HAIFENG</t>
        </is>
      </c>
      <c r="H2653" s="1" t="inlineStr">
        <is>
          <t>HAIFENG 25/09/2025</t>
        </is>
      </c>
      <c r="I2653" s="4" t="n">
        <v>4</v>
      </c>
      <c r="J2653" s="6" t="n">
        <v>8</v>
      </c>
      <c r="K2653" s="6" t="n">
        <v>168.7750861</v>
      </c>
      <c r="L2653" s="6">
        <f>I2653*K2653</f>
        <v/>
      </c>
      <c r="M2653" s="6">
        <f>K2653*4</f>
        <v/>
      </c>
      <c r="N2653" s="6" t="n">
        <v>520</v>
      </c>
    </row>
    <row r="2654">
      <c r="A2654" s="1" t="inlineStr">
        <is>
          <t>64e78e7b03ab1</t>
        </is>
      </c>
      <c r="B2654" s="1" t="inlineStr">
        <is>
          <t>ANILLO BV 3 OROS</t>
        </is>
      </c>
      <c r="C2654" s="1" t="inlineStr">
        <is>
          <t>8</t>
        </is>
      </c>
      <c r="D2654" s="1" t="inlineStr">
        <is>
          <t>20/01/2026</t>
        </is>
      </c>
      <c r="E2654" s="1" t="n">
        <v>2026</v>
      </c>
      <c r="F2654" s="1" t="inlineStr">
        <is>
          <t>ENERO</t>
        </is>
      </c>
      <c r="G2654" s="1" t="inlineStr">
        <is>
          <t>COCOMA</t>
        </is>
      </c>
      <c r="H2654" s="1" t="inlineStr">
        <is>
          <t>COCOMA 20/01/2026</t>
        </is>
      </c>
      <c r="I2654" s="4" t="n">
        <v>10</v>
      </c>
      <c r="J2654" s="6" t="n">
        <v>4.08</v>
      </c>
      <c r="K2654" s="6" t="n">
        <v>98.59280853999999</v>
      </c>
      <c r="L2654" s="6">
        <f>I2654*K2654</f>
        <v/>
      </c>
      <c r="M2654" s="6">
        <f>K2654*4</f>
        <v/>
      </c>
      <c r="N2654" s="6" t="n">
        <v>520</v>
      </c>
    </row>
    <row r="2655">
      <c r="A2655" s="1" t="inlineStr">
        <is>
          <t>64e78e7bb52a6</t>
        </is>
      </c>
      <c r="B2655" s="1" t="inlineStr">
        <is>
          <t>ANILLO BV 3 OROS</t>
        </is>
      </c>
      <c r="C2655" s="1" t="inlineStr">
        <is>
          <t>9</t>
        </is>
      </c>
      <c r="D2655" s="1" t="inlineStr">
        <is>
          <t>01/05/2025</t>
        </is>
      </c>
      <c r="E2655" s="1" t="n">
        <v>2025</v>
      </c>
      <c r="F2655" s="1" t="inlineStr">
        <is>
          <t>MAYO</t>
        </is>
      </c>
      <c r="G2655" s="1" t="inlineStr">
        <is>
          <t>COCOMA</t>
        </is>
      </c>
      <c r="H2655" s="1" t="inlineStr">
        <is>
          <t>COCOMA MAYO 2025</t>
        </is>
      </c>
      <c r="I2655" s="4" t="n">
        <v>2</v>
      </c>
      <c r="J2655" s="6" t="n">
        <v>4.08</v>
      </c>
      <c r="K2655" s="6" t="n">
        <v>99.94051047000001</v>
      </c>
      <c r="L2655" s="6">
        <f>I2655*K2655</f>
        <v/>
      </c>
      <c r="M2655" s="6">
        <f>K2655*4</f>
        <v/>
      </c>
      <c r="N2655" s="6" t="n">
        <v>364</v>
      </c>
    </row>
    <row r="2656">
      <c r="A2656" s="1" t="inlineStr">
        <is>
          <t>64e78e7bb52a6</t>
        </is>
      </c>
      <c r="B2656" s="1" t="inlineStr">
        <is>
          <t>ANILLO BV 3 OROS-9</t>
        </is>
      </c>
      <c r="C2656" s="1" t="n">
        <v>9</v>
      </c>
      <c r="D2656" s="1" t="inlineStr">
        <is>
          <t>25/09/2025</t>
        </is>
      </c>
      <c r="E2656" s="1" t="n">
        <v>2025</v>
      </c>
      <c r="F2656" s="1" t="inlineStr">
        <is>
          <t>SEPTIEMBRE</t>
        </is>
      </c>
      <c r="G2656" s="1" t="inlineStr">
        <is>
          <t>HAIFENG</t>
        </is>
      </c>
      <c r="H2656" s="1" t="inlineStr">
        <is>
          <t>HAIFENG 25/09/2025</t>
        </is>
      </c>
      <c r="I2656" s="4" t="n">
        <v>4</v>
      </c>
      <c r="J2656" s="6" t="n">
        <v>8</v>
      </c>
      <c r="K2656" s="6" t="n">
        <v>168.7750861</v>
      </c>
      <c r="L2656" s="6">
        <f>I2656*K2656</f>
        <v/>
      </c>
      <c r="M2656" s="6">
        <f>K2656*4</f>
        <v/>
      </c>
      <c r="N2656" s="6" t="n">
        <v>364</v>
      </c>
    </row>
    <row r="2657">
      <c r="A2657" s="1" t="inlineStr">
        <is>
          <t>64e78e7bb52a6</t>
        </is>
      </c>
      <c r="B2657" s="1" t="inlineStr">
        <is>
          <t>ANILLO BV 3 OROS</t>
        </is>
      </c>
      <c r="C2657" s="1" t="inlineStr">
        <is>
          <t>9</t>
        </is>
      </c>
      <c r="D2657" s="1" t="inlineStr">
        <is>
          <t>20/01/2026</t>
        </is>
      </c>
      <c r="E2657" s="1" t="n">
        <v>2026</v>
      </c>
      <c r="F2657" s="1" t="inlineStr">
        <is>
          <t>ENERO</t>
        </is>
      </c>
      <c r="G2657" s="1" t="inlineStr">
        <is>
          <t>COCOMA</t>
        </is>
      </c>
      <c r="H2657" s="1" t="inlineStr">
        <is>
          <t>COCOMA 20/01/2026</t>
        </is>
      </c>
      <c r="I2657" s="4" t="n">
        <v>5</v>
      </c>
      <c r="J2657" s="6" t="n">
        <v>4.08</v>
      </c>
      <c r="K2657" s="6" t="n">
        <v>98.59280853999999</v>
      </c>
      <c r="L2657" s="6">
        <f>I2657*K2657</f>
        <v/>
      </c>
      <c r="M2657" s="6">
        <f>K2657*4</f>
        <v/>
      </c>
      <c r="N2657" s="6" t="n">
        <v>364</v>
      </c>
    </row>
    <row r="2658">
      <c r="A2658" s="1" t="inlineStr">
        <is>
          <t>64e78e7d211b8</t>
        </is>
      </c>
      <c r="B2658" s="1" t="inlineStr">
        <is>
          <t>PULSERA ONE TRÉBOL GOLD</t>
        </is>
      </c>
      <c r="C2658" s="1" t="inlineStr">
        <is>
          <t>17cm Con extension 2.5m</t>
        </is>
      </c>
      <c r="D2658" s="1" t="inlineStr">
        <is>
          <t>06/09/2025</t>
        </is>
      </c>
      <c r="E2658" s="1" t="n">
        <v>2025</v>
      </c>
      <c r="F2658" s="1" t="inlineStr">
        <is>
          <t>SEPTIEMBRE</t>
        </is>
      </c>
      <c r="G2658" s="1" t="inlineStr">
        <is>
          <t>NANCY</t>
        </is>
      </c>
      <c r="H2658" s="1" t="inlineStr">
        <is>
          <t>NANCY 06/09/2025</t>
        </is>
      </c>
      <c r="I2658" s="4" t="n">
        <v>12</v>
      </c>
      <c r="J2658" s="6" t="n">
        <v>5.59</v>
      </c>
      <c r="K2658" s="6" t="n">
        <v>130.1668371</v>
      </c>
      <c r="L2658" s="6">
        <f>I2658*K2658</f>
        <v/>
      </c>
      <c r="M2658" s="6">
        <f>K2658*4</f>
        <v/>
      </c>
      <c r="N2658" s="6" t="n">
        <v>780</v>
      </c>
    </row>
    <row r="2659">
      <c r="A2659" s="1" t="inlineStr">
        <is>
          <t>64e78e7d211b8</t>
        </is>
      </c>
      <c r="B2659" s="1" t="inlineStr">
        <is>
          <t>PULSERA ONE TRÉBOL GOLD</t>
        </is>
      </c>
      <c r="C2659" s="1" t="inlineStr">
        <is>
          <t>17cm Con extension 2.5m</t>
        </is>
      </c>
      <c r="D2659" s="1" t="inlineStr">
        <is>
          <t>01/04/2026</t>
        </is>
      </c>
      <c r="E2659" s="1" t="n">
        <v>2026</v>
      </c>
      <c r="F2659" s="1" t="inlineStr">
        <is>
          <t>ABRIL</t>
        </is>
      </c>
      <c r="G2659" s="1" t="inlineStr">
        <is>
          <t>NANCY</t>
        </is>
      </c>
      <c r="H2659" s="1" t="inlineStr">
        <is>
          <t>NANCY 01/04/2026</t>
        </is>
      </c>
      <c r="I2659" s="4" t="n">
        <v>4</v>
      </c>
      <c r="J2659" s="6" t="n">
        <v>5.59</v>
      </c>
      <c r="K2659" s="6" t="n">
        <v>133.8274486</v>
      </c>
      <c r="L2659" s="6">
        <f>I2659*K2659</f>
        <v/>
      </c>
      <c r="M2659" s="6">
        <f>K2659*4</f>
        <v/>
      </c>
      <c r="N2659" s="6" t="n">
        <v>780</v>
      </c>
    </row>
    <row r="2660">
      <c r="A2660" s="1" t="inlineStr">
        <is>
          <t>64e78e7d211b8</t>
        </is>
      </c>
      <c r="B2660" s="1" t="inlineStr">
        <is>
          <t>PULSERA ONE TRÉBOL GOLD</t>
        </is>
      </c>
      <c r="C2660" s="1" t="inlineStr">
        <is>
          <t>17cm Con extension 2.5m</t>
        </is>
      </c>
      <c r="D2660" s="1" t="inlineStr">
        <is>
          <t>09/07/2026</t>
        </is>
      </c>
      <c r="E2660" s="1" t="n">
        <v>2026</v>
      </c>
      <c r="F2660" s="1" t="inlineStr">
        <is>
          <t>JULIO</t>
        </is>
      </c>
      <c r="G2660" s="1" t="inlineStr">
        <is>
          <t>NANCY</t>
        </is>
      </c>
      <c r="H2660" s="1" t="inlineStr">
        <is>
          <t>NANCY 09/07/2026</t>
        </is>
      </c>
      <c r="I2660" s="4" t="n">
        <v>6</v>
      </c>
      <c r="J2660" s="6" t="n">
        <v>5.59</v>
      </c>
      <c r="K2660" s="6" t="n">
        <v>136.2029957</v>
      </c>
      <c r="L2660" s="6">
        <f>I2660*K2660</f>
        <v/>
      </c>
      <c r="M2660" s="6">
        <f>K2660*4</f>
        <v/>
      </c>
      <c r="N2660" s="6" t="n">
        <v>780</v>
      </c>
    </row>
    <row r="2661">
      <c r="A2661" s="1" t="inlineStr">
        <is>
          <t>64e78ed3b6948</t>
        </is>
      </c>
      <c r="B2661" s="1" t="inlineStr">
        <is>
          <t>ARETES YSL</t>
        </is>
      </c>
      <c r="C2661" s="1" t="inlineStr">
        <is>
          <t>Default Title</t>
        </is>
      </c>
      <c r="D2661" s="1" t="inlineStr">
        <is>
          <t>05/09/2025</t>
        </is>
      </c>
      <c r="E2661" s="1" t="n">
        <v>2025</v>
      </c>
      <c r="F2661" s="1" t="inlineStr">
        <is>
          <t>SEPTIEMBRE</t>
        </is>
      </c>
      <c r="G2661" s="1" t="inlineStr">
        <is>
          <t>CYNTHIA</t>
        </is>
      </c>
      <c r="H2661" s="1" t="inlineStr">
        <is>
          <t>CYNTHIA 05/09/2025</t>
        </is>
      </c>
      <c r="I2661" s="4" t="n">
        <v>2</v>
      </c>
      <c r="J2661" s="6" t="n">
        <v>9.800000000000001</v>
      </c>
      <c r="K2661" s="6" t="n">
        <v>246.7551499</v>
      </c>
      <c r="L2661" s="6">
        <f>I2661*K2661</f>
        <v/>
      </c>
      <c r="M2661" s="6">
        <f>K2661*4</f>
        <v/>
      </c>
      <c r="N2661" s="6" t="n">
        <v>1049</v>
      </c>
    </row>
    <row r="2662">
      <c r="A2662" s="1" t="inlineStr">
        <is>
          <t>64e78ed3b6948</t>
        </is>
      </c>
      <c r="B2662" s="1" t="inlineStr">
        <is>
          <t>ARETES YSL</t>
        </is>
      </c>
      <c r="C2662" s="1" t="inlineStr">
        <is>
          <t>Default Title</t>
        </is>
      </c>
      <c r="D2662" s="1" t="inlineStr">
        <is>
          <t>25/10/2025</t>
        </is>
      </c>
      <c r="E2662" s="1" t="n">
        <v>2025</v>
      </c>
      <c r="F2662" s="1" t="inlineStr">
        <is>
          <t>OCTUBRE</t>
        </is>
      </c>
      <c r="G2662" s="1" t="inlineStr">
        <is>
          <t>CYNTHIA</t>
        </is>
      </c>
      <c r="H2662" s="1" t="inlineStr">
        <is>
          <t>CYNTHIA 25/10/2025</t>
        </is>
      </c>
      <c r="I2662" s="4" t="n">
        <v>2</v>
      </c>
      <c r="J2662" s="6" t="n">
        <v>9.800000000000001</v>
      </c>
      <c r="K2662" s="6" t="n">
        <v>256.7778712</v>
      </c>
      <c r="L2662" s="6">
        <f>I2662*K2662</f>
        <v/>
      </c>
      <c r="M2662" s="6">
        <f>K2662*4</f>
        <v/>
      </c>
      <c r="N2662" s="6" t="n">
        <v>1049</v>
      </c>
    </row>
    <row r="2663">
      <c r="A2663" s="1" t="inlineStr">
        <is>
          <t>64e78ed3b6948</t>
        </is>
      </c>
      <c r="B2663" s="1" t="inlineStr">
        <is>
          <t>ARETES YSL</t>
        </is>
      </c>
      <c r="C2663" s="1" t="inlineStr">
        <is>
          <t>Default Title</t>
        </is>
      </c>
      <c r="D2663" s="1" t="inlineStr">
        <is>
          <t>07/01/2026</t>
        </is>
      </c>
      <c r="E2663" s="1" t="n">
        <v>2026</v>
      </c>
      <c r="F2663" s="1" t="inlineStr">
        <is>
          <t>ENERO</t>
        </is>
      </c>
      <c r="G2663" s="1" t="inlineStr">
        <is>
          <t>CYNTHIA</t>
        </is>
      </c>
      <c r="H2663" s="1" t="inlineStr">
        <is>
          <t>CYNTHIA 07/01/2026</t>
        </is>
      </c>
      <c r="I2663" s="4" t="n">
        <v>8</v>
      </c>
      <c r="J2663" s="6" t="n">
        <v>9.800000000000001</v>
      </c>
      <c r="K2663" s="6" t="n">
        <v>260.5567912</v>
      </c>
      <c r="L2663" s="6">
        <f>I2663*K2663</f>
        <v/>
      </c>
      <c r="M2663" s="6">
        <f>K2663*4</f>
        <v/>
      </c>
      <c r="N2663" s="6" t="n">
        <v>1049</v>
      </c>
    </row>
    <row r="2664">
      <c r="A2664" s="1" t="inlineStr">
        <is>
          <t>64e78ed3b6948</t>
        </is>
      </c>
      <c r="B2664" s="1" t="inlineStr">
        <is>
          <t>ARETES YSL</t>
        </is>
      </c>
      <c r="C2664" s="1" t="inlineStr">
        <is>
          <t>Default Title</t>
        </is>
      </c>
      <c r="D2664" s="1" t="inlineStr">
        <is>
          <t>31/05/2026</t>
        </is>
      </c>
      <c r="E2664" s="1" t="n">
        <v>2026</v>
      </c>
      <c r="F2664" s="1" t="inlineStr">
        <is>
          <t>MAYO</t>
        </is>
      </c>
      <c r="G2664" s="1" t="inlineStr">
        <is>
          <t>CYNTHIA</t>
        </is>
      </c>
      <c r="H2664" s="1" t="inlineStr">
        <is>
          <t>CYNTHIA 31/05/2026</t>
        </is>
      </c>
      <c r="I2664" s="4" t="n">
        <v>4</v>
      </c>
      <c r="J2664" s="6" t="n">
        <v>9.800000000000001</v>
      </c>
      <c r="K2664" s="6" t="n">
        <v>259.7102408</v>
      </c>
      <c r="L2664" s="6">
        <f>I2664*K2664</f>
        <v/>
      </c>
      <c r="M2664" s="6">
        <f>K2664*4</f>
        <v/>
      </c>
      <c r="N2664" s="6" t="n">
        <v>1049</v>
      </c>
    </row>
    <row r="2665">
      <c r="A2665" s="1" t="inlineStr">
        <is>
          <t>64e78ed47e099</t>
        </is>
      </c>
      <c r="B2665" s="1" t="inlineStr">
        <is>
          <t>PULSERA BLOSSOM STAR ROSEGOLD</t>
        </is>
      </c>
      <c r="C2665" s="1" t="inlineStr">
        <is>
          <t>16cm con extension 5cm</t>
        </is>
      </c>
      <c r="D2665" s="1" t="inlineStr">
        <is>
          <t>05/09/2025</t>
        </is>
      </c>
      <c r="E2665" s="1" t="n">
        <v>2025</v>
      </c>
      <c r="F2665" s="1" t="inlineStr">
        <is>
          <t>SEPTIEMBRE</t>
        </is>
      </c>
      <c r="G2665" s="1" t="inlineStr">
        <is>
          <t>CYNTHIA</t>
        </is>
      </c>
      <c r="H2665" s="1" t="inlineStr">
        <is>
          <t>CYNTHIA 05/09/2025</t>
        </is>
      </c>
      <c r="I2665" s="4" t="n">
        <v>3</v>
      </c>
      <c r="J2665" s="6" t="n">
        <v>3.98</v>
      </c>
      <c r="K2665" s="6" t="n">
        <v>100.2128058</v>
      </c>
      <c r="L2665" s="6">
        <f>I2665*K2665</f>
        <v/>
      </c>
      <c r="M2665" s="6">
        <f>K2665*4</f>
        <v/>
      </c>
      <c r="N2665" s="6" t="n">
        <v>435</v>
      </c>
    </row>
    <row r="2666">
      <c r="A2666" s="1" t="inlineStr">
        <is>
          <t>64e78ed47e099</t>
        </is>
      </c>
      <c r="B2666" s="1" t="inlineStr">
        <is>
          <t>PULSERA BLOSSOM STAR ROSEGOLD</t>
        </is>
      </c>
      <c r="C2666" s="1" t="inlineStr">
        <is>
          <t>16cm con extension 5cm</t>
        </is>
      </c>
      <c r="D2666" s="1" t="inlineStr">
        <is>
          <t>07/01/2026</t>
        </is>
      </c>
      <c r="E2666" s="1" t="n">
        <v>2026</v>
      </c>
      <c r="F2666" s="1" t="inlineStr">
        <is>
          <t>ENERO</t>
        </is>
      </c>
      <c r="G2666" s="1" t="inlineStr">
        <is>
          <t>CYNTHIA</t>
        </is>
      </c>
      <c r="H2666" s="1" t="inlineStr">
        <is>
          <t>CYNTHIA 07/01/2026</t>
        </is>
      </c>
      <c r="I2666" s="4" t="n">
        <v>7</v>
      </c>
      <c r="J2666" s="6" t="n">
        <v>3.98</v>
      </c>
      <c r="K2666" s="6" t="n">
        <v>105.8179621</v>
      </c>
      <c r="L2666" s="6">
        <f>I2666*K2666</f>
        <v/>
      </c>
      <c r="M2666" s="6">
        <f>K2666*4</f>
        <v/>
      </c>
      <c r="N2666" s="6" t="n">
        <v>435</v>
      </c>
    </row>
    <row r="2667">
      <c r="A2667" s="1" t="inlineStr">
        <is>
          <t>64e78f24a8521</t>
        </is>
      </c>
      <c r="B2667" s="1" t="inlineStr">
        <is>
          <t>COLLAR DE INSIGNIAS LV GOLD</t>
        </is>
      </c>
      <c r="C2667" s="1" t="inlineStr">
        <is>
          <t>41cm con extension de 6cm</t>
        </is>
      </c>
      <c r="D2667" s="1" t="inlineStr">
        <is>
          <t>07/01/2026</t>
        </is>
      </c>
      <c r="E2667" s="1" t="n">
        <v>2026</v>
      </c>
      <c r="F2667" s="1" t="inlineStr">
        <is>
          <t>ENERO</t>
        </is>
      </c>
      <c r="G2667" s="1" t="inlineStr">
        <is>
          <t>CYNTHIA</t>
        </is>
      </c>
      <c r="H2667" s="1" t="inlineStr">
        <is>
          <t>CYNTHIA 07/01/2026</t>
        </is>
      </c>
      <c r="I2667" s="4" t="n">
        <v>4</v>
      </c>
      <c r="J2667" s="6" t="n">
        <v>10.8</v>
      </c>
      <c r="K2667" s="6" t="n">
        <v>287.1442189</v>
      </c>
      <c r="L2667" s="6">
        <f>I2667*K2667</f>
        <v/>
      </c>
      <c r="M2667" s="6">
        <f>K2667*4</f>
        <v/>
      </c>
      <c r="N2667" s="6" t="n">
        <v>1149</v>
      </c>
    </row>
    <row r="2668">
      <c r="A2668" s="1" t="inlineStr">
        <is>
          <t>64e78f24a8521</t>
        </is>
      </c>
      <c r="B2668" s="1" t="inlineStr">
        <is>
          <t>COLLAR DE INSIGNIAS LV GOLD</t>
        </is>
      </c>
      <c r="C2668" s="1" t="inlineStr">
        <is>
          <t>41cm con extension de 6cm</t>
        </is>
      </c>
      <c r="D2668" s="1" t="inlineStr">
        <is>
          <t>31/05/2026</t>
        </is>
      </c>
      <c r="E2668" s="1" t="n">
        <v>2026</v>
      </c>
      <c r="F2668" s="1" t="inlineStr">
        <is>
          <t>MAYO</t>
        </is>
      </c>
      <c r="G2668" s="1" t="inlineStr">
        <is>
          <t>CYNTHIA</t>
        </is>
      </c>
      <c r="H2668" s="1" t="inlineStr">
        <is>
          <t>CYNTHIA 31/05/2026</t>
        </is>
      </c>
      <c r="I2668" s="4" t="n">
        <v>5</v>
      </c>
      <c r="J2668" s="6" t="n">
        <v>10.8</v>
      </c>
      <c r="K2668" s="6" t="n">
        <v>286.2112858</v>
      </c>
      <c r="L2668" s="6">
        <f>I2668*K2668</f>
        <v/>
      </c>
      <c r="M2668" s="6">
        <f>K2668*4</f>
        <v/>
      </c>
      <c r="N2668" s="6" t="n">
        <v>1149</v>
      </c>
    </row>
    <row r="2669">
      <c r="A2669" s="1" t="inlineStr">
        <is>
          <t>64e78f2d04b05</t>
        </is>
      </c>
      <c r="B2669" s="1" t="inlineStr">
        <is>
          <t>COLLAR SMILE GOLD CON ZIRCONIA SMALL</t>
        </is>
      </c>
      <c r="C2669" s="1" t="inlineStr">
        <is>
          <t>Largo 44.5cm con extension de 5cm</t>
        </is>
      </c>
      <c r="D2669" s="1" t="inlineStr">
        <is>
          <t>27/04/2026</t>
        </is>
      </c>
      <c r="E2669" s="1" t="n">
        <v>2026</v>
      </c>
      <c r="F2669" s="1" t="inlineStr">
        <is>
          <t>ABRIL</t>
        </is>
      </c>
      <c r="G2669" s="1" t="inlineStr">
        <is>
          <t>CYNTHIA</t>
        </is>
      </c>
      <c r="H2669" s="1" t="inlineStr">
        <is>
          <t>CYNTHIA 27/04/2026</t>
        </is>
      </c>
      <c r="I2669" s="4" t="n">
        <v>3</v>
      </c>
      <c r="J2669" s="6" t="n">
        <v>9.800000000000001</v>
      </c>
      <c r="K2669" s="6" t="n">
        <v>254.3109076</v>
      </c>
      <c r="L2669" s="6">
        <f>I2669*K2669</f>
        <v/>
      </c>
      <c r="M2669" s="6">
        <f>K2669*4</f>
        <v/>
      </c>
      <c r="N2669" s="6" t="n">
        <v>1019</v>
      </c>
    </row>
    <row r="2670">
      <c r="A2670" s="1" t="inlineStr">
        <is>
          <t>64e78f8a50e61</t>
        </is>
      </c>
      <c r="B2670" s="1" t="inlineStr">
        <is>
          <t>BOLSO GC BLACK</t>
        </is>
      </c>
      <c r="C2670" s="1" t="inlineStr">
        <is>
          <t>22.5.cmx15cm</t>
        </is>
      </c>
      <c r="D2670" s="1" t="inlineStr">
        <is>
          <t>25/10/2025</t>
        </is>
      </c>
      <c r="E2670" s="1" t="n">
        <v>2025</v>
      </c>
      <c r="F2670" s="1" t="inlineStr">
        <is>
          <t>OCTUBRE</t>
        </is>
      </c>
      <c r="G2670" s="1" t="inlineStr">
        <is>
          <t>ZOEY</t>
        </is>
      </c>
      <c r="H2670" s="1" t="inlineStr">
        <is>
          <t>ZOEY 25/10/2025</t>
        </is>
      </c>
      <c r="I2670" s="4" t="n">
        <v>5</v>
      </c>
      <c r="J2670" s="6" t="n">
        <v>56</v>
      </c>
      <c r="K2670" s="6" t="n">
        <v>1388.806121</v>
      </c>
      <c r="L2670" s="6">
        <f>I2670*K2670</f>
        <v/>
      </c>
      <c r="M2670" s="6">
        <f>K2670*4</f>
        <v/>
      </c>
      <c r="N2670" s="6" t="n">
        <v>4665</v>
      </c>
    </row>
    <row r="2671">
      <c r="A2671" s="1" t="inlineStr">
        <is>
          <t>64e78f8a50e61</t>
        </is>
      </c>
      <c r="B2671" s="1" t="inlineStr">
        <is>
          <t>BOLSO GC BLACK</t>
        </is>
      </c>
      <c r="C2671" s="1" t="inlineStr">
        <is>
          <t>22.5.cmx15cm</t>
        </is>
      </c>
      <c r="D2671" s="1" t="inlineStr">
        <is>
          <t>20/01/2026</t>
        </is>
      </c>
      <c r="E2671" s="1" t="n">
        <v>2026</v>
      </c>
      <c r="F2671" s="1" t="inlineStr">
        <is>
          <t>ENERO</t>
        </is>
      </c>
      <c r="G2671" s="1" t="inlineStr">
        <is>
          <t>ZOEY</t>
        </is>
      </c>
      <c r="H2671" s="1" t="inlineStr">
        <is>
          <t>ZOEY 20/01/2026</t>
        </is>
      </c>
      <c r="I2671" s="4" t="n">
        <v>1</v>
      </c>
      <c r="J2671" s="6" t="n">
        <v>56</v>
      </c>
      <c r="K2671" s="6" t="n">
        <v>1457.769565</v>
      </c>
      <c r="L2671" s="6">
        <f>I2671*K2671</f>
        <v/>
      </c>
      <c r="M2671" s="6">
        <f>K2671*4</f>
        <v/>
      </c>
      <c r="N2671" s="6" t="n">
        <v>5102.19347635127</v>
      </c>
    </row>
    <row r="2672">
      <c r="A2672" s="1" t="inlineStr">
        <is>
          <t>64e78f8c69235</t>
        </is>
      </c>
      <c r="B2672" s="1" t="inlineStr">
        <is>
          <t>BOLSA GC WHITE</t>
        </is>
      </c>
      <c r="C2672" s="1" t="inlineStr">
        <is>
          <t>22.5.cmx15cm</t>
        </is>
      </c>
      <c r="D2672" s="1" t="inlineStr">
        <is>
          <t>25/10/2025</t>
        </is>
      </c>
      <c r="E2672" s="1" t="n">
        <v>2025</v>
      </c>
      <c r="F2672" s="1" t="inlineStr">
        <is>
          <t>OCTUBRE</t>
        </is>
      </c>
      <c r="G2672" s="1" t="inlineStr">
        <is>
          <t>ZOEY</t>
        </is>
      </c>
      <c r="H2672" s="1" t="inlineStr">
        <is>
          <t>ZOEY 25/10/2025</t>
        </is>
      </c>
      <c r="I2672" s="4" t="n">
        <v>4</v>
      </c>
      <c r="J2672" s="6" t="n">
        <v>56</v>
      </c>
      <c r="K2672" s="6" t="n">
        <v>1388.806121</v>
      </c>
      <c r="L2672" s="6">
        <f>I2672*K2672</f>
        <v/>
      </c>
      <c r="M2672" s="6">
        <f>K2672*4</f>
        <v/>
      </c>
      <c r="N2672" s="6" t="n">
        <v>4699</v>
      </c>
    </row>
    <row r="2673">
      <c r="A2673" s="1" t="inlineStr">
        <is>
          <t>64e78f8c69235</t>
        </is>
      </c>
      <c r="B2673" s="1" t="inlineStr">
        <is>
          <t>BOLSA GC WHITE</t>
        </is>
      </c>
      <c r="C2673" s="1" t="inlineStr">
        <is>
          <t>22.5.cmx15cm</t>
        </is>
      </c>
      <c r="D2673" s="1" t="inlineStr">
        <is>
          <t>20/04/2026</t>
        </is>
      </c>
      <c r="E2673" s="1" t="n">
        <v>2026</v>
      </c>
      <c r="F2673" s="1" t="inlineStr">
        <is>
          <t>ABRIL</t>
        </is>
      </c>
      <c r="G2673" s="1" t="inlineStr">
        <is>
          <t>ZOEY</t>
        </is>
      </c>
      <c r="H2673" s="1" t="inlineStr">
        <is>
          <t>ZOEY 20/04/2026</t>
        </is>
      </c>
      <c r="I2673" s="4" t="n">
        <v>7</v>
      </c>
      <c r="J2673" s="6" t="n">
        <v>56</v>
      </c>
      <c r="K2673" s="6" t="n">
        <v>1434.091587</v>
      </c>
      <c r="L2673" s="6">
        <f>I2673*K2673</f>
        <v/>
      </c>
      <c r="M2673" s="6">
        <f>K2673*4</f>
        <v/>
      </c>
      <c r="N2673" s="6" t="n">
        <v>5739</v>
      </c>
    </row>
    <row r="2674">
      <c r="A2674" s="1" t="inlineStr">
        <is>
          <t>64e78f8d3897d</t>
        </is>
      </c>
      <c r="B2674" s="1" t="inlineStr">
        <is>
          <t>BOLSO GC BROWN</t>
        </is>
      </c>
      <c r="C2674" s="1" t="inlineStr">
        <is>
          <t>22.5.cmx15cm</t>
        </is>
      </c>
      <c r="D2674" s="1" t="inlineStr">
        <is>
          <t>25/10/2025</t>
        </is>
      </c>
      <c r="E2674" s="1" t="n">
        <v>2025</v>
      </c>
      <c r="F2674" s="1" t="inlineStr">
        <is>
          <t>OCTUBRE</t>
        </is>
      </c>
      <c r="G2674" s="1" t="inlineStr">
        <is>
          <t>ZOEY</t>
        </is>
      </c>
      <c r="H2674" s="1" t="inlineStr">
        <is>
          <t>ZOEY 25/10/2025</t>
        </is>
      </c>
      <c r="I2674" s="4" t="n">
        <v>4</v>
      </c>
      <c r="J2674" s="6" t="n">
        <v>56</v>
      </c>
      <c r="K2674" s="6" t="n">
        <v>1388.806121</v>
      </c>
      <c r="L2674" s="6">
        <f>I2674*K2674</f>
        <v/>
      </c>
      <c r="M2674" s="6">
        <f>K2674*4</f>
        <v/>
      </c>
      <c r="N2674" s="6" t="n">
        <v>4680</v>
      </c>
    </row>
    <row r="2675">
      <c r="A2675" s="1" t="inlineStr">
        <is>
          <t>64e78f8d3897d</t>
        </is>
      </c>
      <c r="B2675" s="1" t="inlineStr">
        <is>
          <t>BOLSO GC BROWN</t>
        </is>
      </c>
      <c r="C2675" s="1" t="inlineStr">
        <is>
          <t>22.5.cmx15cm</t>
        </is>
      </c>
      <c r="D2675" s="1" t="inlineStr">
        <is>
          <t>20/04/2026</t>
        </is>
      </c>
      <c r="E2675" s="1" t="n">
        <v>2026</v>
      </c>
      <c r="F2675" s="1" t="inlineStr">
        <is>
          <t>ABRIL</t>
        </is>
      </c>
      <c r="G2675" s="1" t="inlineStr">
        <is>
          <t>ZOEY</t>
        </is>
      </c>
      <c r="H2675" s="1" t="inlineStr">
        <is>
          <t>ZOEY 20/04/2026</t>
        </is>
      </c>
      <c r="I2675" s="4" t="n">
        <v>8</v>
      </c>
      <c r="J2675" s="6" t="n">
        <v>56</v>
      </c>
      <c r="K2675" s="6" t="n">
        <v>1434.091587</v>
      </c>
      <c r="L2675" s="6">
        <f>I2675*K2675</f>
        <v/>
      </c>
      <c r="M2675" s="6">
        <f>K2675*4</f>
        <v/>
      </c>
      <c r="N2675" s="6" t="n">
        <v>5019</v>
      </c>
    </row>
    <row r="2676">
      <c r="A2676" s="1" t="inlineStr">
        <is>
          <t>64e78f9336406</t>
        </is>
      </c>
      <c r="B2676" s="1" t="inlineStr">
        <is>
          <t>BOLSO V BLACK</t>
        </is>
      </c>
      <c r="C2676" s="1" t="inlineStr">
        <is>
          <t>20.5cmx14cm</t>
        </is>
      </c>
      <c r="D2676" s="1" t="inlineStr">
        <is>
          <t>21/10/2025</t>
        </is>
      </c>
      <c r="E2676" s="1" t="n">
        <v>2025</v>
      </c>
      <c r="F2676" s="1" t="inlineStr">
        <is>
          <t>OCTUBRE</t>
        </is>
      </c>
      <c r="G2676" s="1" t="inlineStr">
        <is>
          <t>DINA DU</t>
        </is>
      </c>
      <c r="H2676" s="1" t="inlineStr">
        <is>
          <t>DINA DU 21/10/2025</t>
        </is>
      </c>
      <c r="I2676" s="4" t="n">
        <v>2</v>
      </c>
      <c r="J2676" s="6" t="n">
        <v>46</v>
      </c>
      <c r="K2676" s="6" t="n">
        <v>1289.587432</v>
      </c>
      <c r="L2676" s="6">
        <f>I2676*K2676</f>
        <v/>
      </c>
      <c r="M2676" s="6">
        <f>K2676*4</f>
        <v/>
      </c>
      <c r="N2676" s="6" t="n">
        <v>3899</v>
      </c>
    </row>
    <row r="2677">
      <c r="A2677" s="1" t="inlineStr">
        <is>
          <t>64e78f9336406</t>
        </is>
      </c>
      <c r="B2677" s="1" t="inlineStr">
        <is>
          <t>BOLSO V BLACK</t>
        </is>
      </c>
      <c r="C2677" s="1" t="inlineStr">
        <is>
          <t>20.5cmx14cm</t>
        </is>
      </c>
      <c r="D2677" s="1" t="inlineStr">
        <is>
          <t>06/02/2026</t>
        </is>
      </c>
      <c r="E2677" s="1" t="n">
        <v>2026</v>
      </c>
      <c r="F2677" s="1" t="inlineStr">
        <is>
          <t>FEBRERO</t>
        </is>
      </c>
      <c r="G2677" s="1" t="inlineStr">
        <is>
          <t>DINA DU</t>
        </is>
      </c>
      <c r="H2677" s="1" t="inlineStr">
        <is>
          <t>DINA DU 06/02/2026</t>
        </is>
      </c>
      <c r="I2677" s="4" t="n">
        <v>4</v>
      </c>
      <c r="J2677" s="6" t="n">
        <v>46</v>
      </c>
      <c r="K2677" s="6" t="n">
        <v>1229.184215</v>
      </c>
      <c r="L2677" s="6">
        <f>I2677*K2677</f>
        <v/>
      </c>
      <c r="M2677" s="6">
        <f>K2677*4</f>
        <v/>
      </c>
      <c r="N2677" s="6" t="n">
        <v>4302.14</v>
      </c>
    </row>
    <row r="2678">
      <c r="A2678" s="1" t="inlineStr">
        <is>
          <t>64e78f941b012</t>
        </is>
      </c>
      <c r="B2678" s="1" t="inlineStr">
        <is>
          <t>BOLSO V WHITE</t>
        </is>
      </c>
      <c r="C2678" s="1" t="inlineStr">
        <is>
          <t>20.5cmx14cm</t>
        </is>
      </c>
      <c r="D2678" s="1" t="inlineStr">
        <is>
          <t>21/10/2025</t>
        </is>
      </c>
      <c r="E2678" s="1" t="n">
        <v>2025</v>
      </c>
      <c r="F2678" s="1" t="inlineStr">
        <is>
          <t>OCTUBRE</t>
        </is>
      </c>
      <c r="G2678" s="1" t="inlineStr">
        <is>
          <t>DINA DU</t>
        </is>
      </c>
      <c r="H2678" s="1" t="inlineStr">
        <is>
          <t>DINA DU 21/10/2025</t>
        </is>
      </c>
      <c r="I2678" s="4" t="n">
        <v>2</v>
      </c>
      <c r="J2678" s="6" t="n">
        <v>46</v>
      </c>
      <c r="K2678" s="6" t="n">
        <v>1289.587432</v>
      </c>
      <c r="L2678" s="6">
        <f>I2678*K2678</f>
        <v/>
      </c>
      <c r="M2678" s="6">
        <f>K2678*4</f>
        <v/>
      </c>
      <c r="N2678" s="6" t="n">
        <v>3369</v>
      </c>
    </row>
    <row r="2679">
      <c r="A2679" s="1" t="inlineStr">
        <is>
          <t>64e78f9c9c153</t>
        </is>
      </c>
      <c r="B2679" s="1" t="inlineStr">
        <is>
          <t>GORRO PR MEZCLILLA BLACK</t>
        </is>
      </c>
      <c r="C2679" s="1" t="inlineStr">
        <is>
          <t>S</t>
        </is>
      </c>
      <c r="D2679" s="1" t="inlineStr">
        <is>
          <t>27/04/2026</t>
        </is>
      </c>
      <c r="E2679" s="1" t="n">
        <v>2026</v>
      </c>
      <c r="F2679" s="1" t="inlineStr">
        <is>
          <t>ABRIL</t>
        </is>
      </c>
      <c r="G2679" s="1" t="inlineStr">
        <is>
          <t>DINA DU</t>
        </is>
      </c>
      <c r="H2679" s="1" t="inlineStr">
        <is>
          <t>DINA DU 27/04/2026</t>
        </is>
      </c>
      <c r="I2679" s="4" t="n">
        <v>2</v>
      </c>
      <c r="J2679" s="6" t="n">
        <v>11</v>
      </c>
      <c r="K2679" s="6" t="n">
        <v>297.4874402</v>
      </c>
      <c r="L2679" s="6">
        <f>I2679*K2679</f>
        <v/>
      </c>
      <c r="M2679" s="6">
        <f>K2679*4</f>
        <v/>
      </c>
      <c r="N2679" s="6" t="n">
        <v>1190</v>
      </c>
    </row>
    <row r="2680">
      <c r="A2680" s="1" t="inlineStr">
        <is>
          <t>65332801087437</t>
        </is>
      </c>
      <c r="B2680" s="1" t="inlineStr">
        <is>
          <t>RELOJ PANTHERE GOLD ZIRCONIA</t>
        </is>
      </c>
      <c r="C2680" s="1" t="inlineStr">
        <is>
          <t>Default Title</t>
        </is>
      </c>
      <c r="D2680" s="1" t="inlineStr">
        <is>
          <t>19/03/2026</t>
        </is>
      </c>
      <c r="E2680" s="1" t="n">
        <v>2026</v>
      </c>
      <c r="F2680" s="1" t="inlineStr">
        <is>
          <t>MARZO</t>
        </is>
      </c>
      <c r="G2680" s="1" t="inlineStr">
        <is>
          <t>ZOEY</t>
        </is>
      </c>
      <c r="H2680" s="1" t="inlineStr">
        <is>
          <t>ZOEY 19/03/2026</t>
        </is>
      </c>
      <c r="I2680" s="4" t="n">
        <v>3</v>
      </c>
      <c r="J2680" s="6" t="n">
        <v>60</v>
      </c>
      <c r="K2680" s="6" t="n">
        <v>1546.922977</v>
      </c>
      <c r="L2680" s="6">
        <f>I2680*K2680</f>
        <v/>
      </c>
      <c r="M2680" s="6">
        <f>K2680*4</f>
        <v/>
      </c>
      <c r="N2680" s="6" t="n">
        <v>6369</v>
      </c>
    </row>
    <row r="2681">
      <c r="A2681" s="1" t="inlineStr">
        <is>
          <t>65332801087437</t>
        </is>
      </c>
      <c r="B2681" s="1" t="inlineStr">
        <is>
          <t>RELOJ PANTHERE GOLD ZIRCONIA</t>
        </is>
      </c>
      <c r="C2681" s="1" t="inlineStr">
        <is>
          <t>HIGH QUALITY CON CAJA</t>
        </is>
      </c>
      <c r="D2681" s="1" t="inlineStr">
        <is>
          <t>15/05/2026</t>
        </is>
      </c>
      <c r="E2681" s="1" t="n">
        <v>2026</v>
      </c>
      <c r="F2681" s="1" t="inlineStr">
        <is>
          <t>MAYO</t>
        </is>
      </c>
      <c r="G2681" s="1" t="inlineStr">
        <is>
          <t>ZOEY</t>
        </is>
      </c>
      <c r="H2681" s="1" t="inlineStr">
        <is>
          <t>ZOEY 15/05/2026</t>
        </is>
      </c>
      <c r="I2681" s="4" t="n">
        <v>1</v>
      </c>
      <c r="J2681" s="6" t="n">
        <v>60</v>
      </c>
      <c r="K2681" s="6" t="n">
        <v>1590.277469</v>
      </c>
      <c r="L2681" s="6">
        <f>I2681*K2681</f>
        <v/>
      </c>
      <c r="M2681" s="6">
        <f>K2681*4</f>
        <v/>
      </c>
      <c r="N2681" s="6" t="n">
        <v>6369</v>
      </c>
    </row>
    <row r="2682">
      <c r="A2682" s="1" t="inlineStr">
        <is>
          <t>654bd7ac2dee3</t>
        </is>
      </c>
      <c r="B2682" s="1" t="inlineStr">
        <is>
          <t>ANILLO BV 3 OROS</t>
        </is>
      </c>
      <c r="C2682" s="1" t="inlineStr">
        <is>
          <t>5</t>
        </is>
      </c>
      <c r="D2682" s="1" t="inlineStr">
        <is>
          <t>01/05/2025</t>
        </is>
      </c>
      <c r="E2682" s="1" t="n">
        <v>2025</v>
      </c>
      <c r="F2682" s="1" t="inlineStr">
        <is>
          <t>MAYO</t>
        </is>
      </c>
      <c r="G2682" s="1" t="inlineStr">
        <is>
          <t>COCOMA</t>
        </is>
      </c>
      <c r="H2682" s="1" t="inlineStr">
        <is>
          <t>COCOMA MAYO 2025</t>
        </is>
      </c>
      <c r="I2682" s="4" t="n">
        <v>2</v>
      </c>
      <c r="J2682" s="6" t="n">
        <v>4.08</v>
      </c>
      <c r="K2682" s="6" t="n">
        <v>99.94051047000001</v>
      </c>
      <c r="L2682" s="6">
        <f>I2682*K2682</f>
        <v/>
      </c>
      <c r="M2682" s="6">
        <f>K2682*4</f>
        <v/>
      </c>
      <c r="N2682" s="6" t="n">
        <v>520</v>
      </c>
    </row>
    <row r="2683">
      <c r="A2683" s="1" t="inlineStr">
        <is>
          <t>654bd7ac2dee3</t>
        </is>
      </c>
      <c r="B2683" s="1" t="inlineStr">
        <is>
          <t>ANILLO BV 3 OROS-5</t>
        </is>
      </c>
      <c r="C2683" s="1" t="n">
        <v>5</v>
      </c>
      <c r="D2683" s="1" t="inlineStr">
        <is>
          <t>25/09/2025</t>
        </is>
      </c>
      <c r="E2683" s="1" t="n">
        <v>2025</v>
      </c>
      <c r="F2683" s="1" t="inlineStr">
        <is>
          <t>SEPTIEMBRE</t>
        </is>
      </c>
      <c r="G2683" s="1" t="inlineStr">
        <is>
          <t>HAIFENG</t>
        </is>
      </c>
      <c r="H2683" s="1" t="inlineStr">
        <is>
          <t>HAIFENG 25/09/2025</t>
        </is>
      </c>
      <c r="I2683" s="4" t="n">
        <v>4</v>
      </c>
      <c r="J2683" s="6" t="n">
        <v>8</v>
      </c>
      <c r="K2683" s="6" t="n">
        <v>168.7750861</v>
      </c>
      <c r="L2683" s="6">
        <f>I2683*K2683</f>
        <v/>
      </c>
      <c r="M2683" s="6">
        <f>K2683*4</f>
        <v/>
      </c>
      <c r="N2683" s="6" t="n">
        <v>520</v>
      </c>
    </row>
    <row r="2684">
      <c r="A2684" s="1" t="inlineStr">
        <is>
          <t>654bd7ac2dee3</t>
        </is>
      </c>
      <c r="B2684" s="1" t="inlineStr">
        <is>
          <t>ANILLO BV 3 OROS</t>
        </is>
      </c>
      <c r="C2684" s="1" t="inlineStr">
        <is>
          <t>5</t>
        </is>
      </c>
      <c r="D2684" s="1" t="inlineStr">
        <is>
          <t>20/01/2026</t>
        </is>
      </c>
      <c r="E2684" s="1" t="n">
        <v>2026</v>
      </c>
      <c r="F2684" s="1" t="inlineStr">
        <is>
          <t>ENERO</t>
        </is>
      </c>
      <c r="G2684" s="1" t="inlineStr">
        <is>
          <t>COCOMA</t>
        </is>
      </c>
      <c r="H2684" s="1" t="inlineStr">
        <is>
          <t>COCOMA 20/01/2026</t>
        </is>
      </c>
      <c r="I2684" s="4" t="n">
        <v>5</v>
      </c>
      <c r="J2684" s="6" t="n">
        <v>4.08</v>
      </c>
      <c r="K2684" s="6" t="n">
        <v>98.59280853999999</v>
      </c>
      <c r="L2684" s="6">
        <f>I2684*K2684</f>
        <v/>
      </c>
      <c r="M2684" s="6">
        <f>K2684*4</f>
        <v/>
      </c>
      <c r="N2684" s="6" t="n">
        <v>520</v>
      </c>
    </row>
    <row r="2685">
      <c r="A2685" s="1" t="inlineStr">
        <is>
          <t>654bdadbcb222</t>
        </is>
      </c>
      <c r="B2685" s="1" t="inlineStr">
        <is>
          <t>PULSERA CD DE TELA BABY PINK</t>
        </is>
      </c>
      <c r="C2685" s="1" t="inlineStr">
        <is>
          <t>15cm con extensión de 5cm</t>
        </is>
      </c>
      <c r="D2685" s="1" t="inlineStr">
        <is>
          <t>06/02/2026</t>
        </is>
      </c>
      <c r="E2685" s="1" t="n">
        <v>2026</v>
      </c>
      <c r="F2685" s="1" t="inlineStr">
        <is>
          <t>FEBRERO</t>
        </is>
      </c>
      <c r="G2685" s="1" t="inlineStr">
        <is>
          <t>DINA DU</t>
        </is>
      </c>
      <c r="H2685" s="1" t="inlineStr">
        <is>
          <t>DINA DU 06/02/2026</t>
        </is>
      </c>
      <c r="I2685" s="4" t="n">
        <v>3</v>
      </c>
      <c r="J2685" s="6" t="n">
        <v>4</v>
      </c>
      <c r="K2685" s="6" t="n">
        <v>106.8855839</v>
      </c>
      <c r="L2685" s="6">
        <f>I2685*K2685</f>
        <v/>
      </c>
      <c r="M2685" s="6">
        <f>K2685*4</f>
        <v/>
      </c>
      <c r="N2685" s="6" t="n">
        <v>499</v>
      </c>
    </row>
    <row r="2686">
      <c r="A2686" s="1" t="inlineStr">
        <is>
          <t>654bdadbcb222</t>
        </is>
      </c>
      <c r="B2686" s="1" t="inlineStr">
        <is>
          <t>PULSERA CD DE TELA BABY PINK</t>
        </is>
      </c>
      <c r="C2686" s="1" t="inlineStr">
        <is>
          <t>15cm con extensión de 5cm</t>
        </is>
      </c>
      <c r="D2686" s="1" t="inlineStr">
        <is>
          <t>27/04/2026</t>
        </is>
      </c>
      <c r="E2686" s="1" t="n">
        <v>2026</v>
      </c>
      <c r="F2686" s="1" t="inlineStr">
        <is>
          <t>ABRIL</t>
        </is>
      </c>
      <c r="G2686" s="1" t="inlineStr">
        <is>
          <t>DINA DU</t>
        </is>
      </c>
      <c r="H2686" s="1" t="inlineStr">
        <is>
          <t>DINA DU 27/04/2026</t>
        </is>
      </c>
      <c r="I2686" s="4" t="n">
        <v>3</v>
      </c>
      <c r="J2686" s="6" t="n">
        <v>4</v>
      </c>
      <c r="K2686" s="6" t="n">
        <v>108.177251</v>
      </c>
      <c r="L2686" s="6">
        <f>I2686*K2686</f>
        <v/>
      </c>
      <c r="M2686" s="6">
        <f>K2686*4</f>
        <v/>
      </c>
      <c r="N2686" s="6" t="n">
        <v>499</v>
      </c>
    </row>
    <row r="2687">
      <c r="A2687" s="1" t="inlineStr">
        <is>
          <t>654bdb2332905</t>
        </is>
      </c>
      <c r="B2687" s="1" t="inlineStr">
        <is>
          <t>ARETES V GOLD</t>
        </is>
      </c>
      <c r="C2687" s="1" t="inlineStr">
        <is>
          <t>Regular</t>
        </is>
      </c>
      <c r="D2687" s="1" t="inlineStr">
        <is>
          <t>03/12/2025</t>
        </is>
      </c>
      <c r="E2687" s="1" t="n">
        <v>2025</v>
      </c>
      <c r="F2687" s="1" t="inlineStr">
        <is>
          <t>DICIEMBRE</t>
        </is>
      </c>
      <c r="G2687" s="1" t="inlineStr">
        <is>
          <t>NANCY</t>
        </is>
      </c>
      <c r="H2687" s="1" t="inlineStr">
        <is>
          <t>NANCY 03/12/2025</t>
        </is>
      </c>
      <c r="I2687" s="4" t="n">
        <v>15</v>
      </c>
      <c r="J2687" s="6" t="n">
        <v>5.59</v>
      </c>
      <c r="K2687" s="6" t="n">
        <v>132.2411844</v>
      </c>
      <c r="L2687" s="6">
        <f>I2687*K2687</f>
        <v/>
      </c>
      <c r="M2687" s="6">
        <f>K2687*4</f>
        <v/>
      </c>
      <c r="N2687" s="6" t="n">
        <v>550</v>
      </c>
    </row>
    <row r="2688">
      <c r="A2688" s="1" t="inlineStr">
        <is>
          <t>654bdb2332905</t>
        </is>
      </c>
      <c r="B2688" s="1" t="inlineStr">
        <is>
          <t>ARETES V GOLD</t>
        </is>
      </c>
      <c r="C2688" s="1" t="inlineStr">
        <is>
          <t>Regular</t>
        </is>
      </c>
      <c r="D2688" s="1" t="inlineStr">
        <is>
          <t>01/04/2026</t>
        </is>
      </c>
      <c r="E2688" s="1" t="n">
        <v>2026</v>
      </c>
      <c r="F2688" s="1" t="inlineStr">
        <is>
          <t>ABRIL</t>
        </is>
      </c>
      <c r="G2688" s="1" t="inlineStr">
        <is>
          <t>NANCY</t>
        </is>
      </c>
      <c r="H2688" s="1" t="inlineStr">
        <is>
          <t>NANCY 01/04/2026</t>
        </is>
      </c>
      <c r="I2688" s="4" t="n">
        <v>11</v>
      </c>
      <c r="J2688" s="6" t="n">
        <v>5.59</v>
      </c>
      <c r="K2688" s="6" t="n">
        <v>133.8274486</v>
      </c>
      <c r="L2688" s="6">
        <f>I2688*K2688</f>
        <v/>
      </c>
      <c r="M2688" s="6">
        <f>K2688*4</f>
        <v/>
      </c>
      <c r="N2688" s="6" t="n">
        <v>550</v>
      </c>
    </row>
    <row r="2689">
      <c r="A2689" s="1" t="inlineStr">
        <is>
          <t>654bdb2332905</t>
        </is>
      </c>
      <c r="B2689" s="1" t="inlineStr">
        <is>
          <t>ARETES V GOLD</t>
        </is>
      </c>
      <c r="C2689" s="1" t="inlineStr">
        <is>
          <t>Regular</t>
        </is>
      </c>
      <c r="D2689" s="1" t="inlineStr">
        <is>
          <t>08/05/2026</t>
        </is>
      </c>
      <c r="E2689" s="1" t="n">
        <v>2026</v>
      </c>
      <c r="F2689" s="1" t="inlineStr">
        <is>
          <t>MAYO</t>
        </is>
      </c>
      <c r="G2689" s="1" t="inlineStr">
        <is>
          <t>NANCY</t>
        </is>
      </c>
      <c r="H2689" s="1" t="inlineStr">
        <is>
          <t>NANCY 08/05/2026</t>
        </is>
      </c>
      <c r="I2689" s="4" t="n">
        <v>4</v>
      </c>
      <c r="J2689" s="6" t="n">
        <v>5.59</v>
      </c>
      <c r="K2689" s="6" t="n">
        <v>132.2468818</v>
      </c>
      <c r="L2689" s="6">
        <f>I2689*K2689</f>
        <v/>
      </c>
      <c r="M2689" s="6">
        <f>K2689*4</f>
        <v/>
      </c>
      <c r="N2689" s="6" t="n">
        <v>550</v>
      </c>
    </row>
    <row r="2690">
      <c r="A2690" s="1" t="inlineStr">
        <is>
          <t>654bdb2332905</t>
        </is>
      </c>
      <c r="B2690" s="1" t="inlineStr">
        <is>
          <t>ARETES V GOLD</t>
        </is>
      </c>
      <c r="C2690" s="1" t="inlineStr">
        <is>
          <t>Regular</t>
        </is>
      </c>
      <c r="D2690" s="1" t="inlineStr">
        <is>
          <t>31/05/2026</t>
        </is>
      </c>
      <c r="E2690" s="1" t="n">
        <v>2026</v>
      </c>
      <c r="F2690" s="1" t="inlineStr">
        <is>
          <t>MAYO</t>
        </is>
      </c>
      <c r="G2690" s="1" t="inlineStr">
        <is>
          <t>NANCY</t>
        </is>
      </c>
      <c r="H2690" s="1" t="inlineStr">
        <is>
          <t>NANCY 31/05/2026</t>
        </is>
      </c>
      <c r="I2690" s="4" t="n">
        <v>15</v>
      </c>
      <c r="J2690" s="6" t="n">
        <v>5.59</v>
      </c>
      <c r="K2690" s="6" t="n">
        <v>135.6558265</v>
      </c>
      <c r="L2690" s="6">
        <f>I2690*K2690</f>
        <v/>
      </c>
      <c r="M2690" s="6">
        <f>K2690*4</f>
        <v/>
      </c>
      <c r="N2690" s="6" t="n">
        <v>550</v>
      </c>
    </row>
    <row r="2691">
      <c r="A2691" s="1" t="inlineStr">
        <is>
          <t>654bdb2332905</t>
        </is>
      </c>
      <c r="B2691" s="1" t="inlineStr">
        <is>
          <t>ARETES V GOLD</t>
        </is>
      </c>
      <c r="C2691" s="1" t="inlineStr">
        <is>
          <t>Regular</t>
        </is>
      </c>
      <c r="D2691" s="1" t="inlineStr">
        <is>
          <t>09/07/2026</t>
        </is>
      </c>
      <c r="E2691" s="1" t="n">
        <v>2026</v>
      </c>
      <c r="F2691" s="1" t="inlineStr">
        <is>
          <t>JULIO</t>
        </is>
      </c>
      <c r="G2691" s="1" t="inlineStr">
        <is>
          <t>NANCY</t>
        </is>
      </c>
      <c r="H2691" s="1" t="inlineStr">
        <is>
          <t>NANCY 09/07/2026</t>
        </is>
      </c>
      <c r="I2691" s="4" t="n">
        <v>10</v>
      </c>
      <c r="J2691" s="6" t="n">
        <v>5.59</v>
      </c>
      <c r="K2691" s="6" t="n">
        <v>136.2029957</v>
      </c>
      <c r="L2691" s="6">
        <f>I2691*K2691</f>
        <v/>
      </c>
      <c r="M2691" s="6">
        <f>K2691*4</f>
        <v/>
      </c>
      <c r="N2691" s="6" t="n">
        <v>550</v>
      </c>
    </row>
    <row r="2692">
      <c r="A2692" s="1" t="inlineStr">
        <is>
          <t>654bdb23ce5c1</t>
        </is>
      </c>
      <c r="B2692" s="1" t="inlineStr">
        <is>
          <t>ARETES GC ICE CREAM</t>
        </is>
      </c>
      <c r="C2692" s="1" t="inlineStr">
        <is>
          <t>Regular</t>
        </is>
      </c>
      <c r="D2692" s="1" t="inlineStr">
        <is>
          <t>31/05/2026</t>
        </is>
      </c>
      <c r="E2692" s="1" t="n">
        <v>2026</v>
      </c>
      <c r="F2692" s="1" t="inlineStr">
        <is>
          <t>MAYO</t>
        </is>
      </c>
      <c r="G2692" s="1" t="inlineStr">
        <is>
          <t>NANCY</t>
        </is>
      </c>
      <c r="H2692" s="1" t="inlineStr">
        <is>
          <t>NANCY 31/05/2026</t>
        </is>
      </c>
      <c r="I2692" s="4" t="n">
        <v>2</v>
      </c>
      <c r="J2692" s="6" t="n">
        <v>6.29</v>
      </c>
      <c r="K2692" s="6" t="n">
        <v>152.6431393</v>
      </c>
      <c r="L2692" s="6">
        <f>I2692*K2692</f>
        <v/>
      </c>
      <c r="M2692" s="6">
        <f>K2692*4</f>
        <v/>
      </c>
      <c r="N2692" s="6" t="n">
        <v>599</v>
      </c>
    </row>
    <row r="2693">
      <c r="A2693" s="1" t="inlineStr">
        <is>
          <t>654bdb241005f</t>
        </is>
      </c>
      <c r="B2693" s="1" t="inlineStr">
        <is>
          <t>ARRACADAS GC GOLD</t>
        </is>
      </c>
      <c r="C2693" s="1" t="inlineStr">
        <is>
          <t>Default Title</t>
        </is>
      </c>
      <c r="D2693" s="1" t="inlineStr">
        <is>
          <t>06/09/2025</t>
        </is>
      </c>
      <c r="E2693" s="1" t="n">
        <v>2025</v>
      </c>
      <c r="F2693" s="1" t="inlineStr">
        <is>
          <t>SEPTIEMBRE</t>
        </is>
      </c>
      <c r="G2693" s="1" t="inlineStr">
        <is>
          <t>NANCY</t>
        </is>
      </c>
      <c r="H2693" s="1" t="inlineStr">
        <is>
          <t>NANCY 06/09/2025</t>
        </is>
      </c>
      <c r="I2693" s="4" t="n">
        <v>4</v>
      </c>
      <c r="J2693" s="6" t="n">
        <v>6.39</v>
      </c>
      <c r="K2693" s="6" t="n">
        <v>148.7953647</v>
      </c>
      <c r="L2693" s="6">
        <f>I2693*K2693</f>
        <v/>
      </c>
      <c r="M2693" s="6">
        <f>K2693*4</f>
        <v/>
      </c>
      <c r="N2693" s="6" t="n">
        <v>550</v>
      </c>
    </row>
    <row r="2694">
      <c r="A2694" s="1" t="inlineStr">
        <is>
          <t>654bdb241005f</t>
        </is>
      </c>
      <c r="B2694" s="1" t="inlineStr">
        <is>
          <t>ARRACADAS GC GOLD</t>
        </is>
      </c>
      <c r="C2694" s="1" t="inlineStr">
        <is>
          <t>Default Title</t>
        </is>
      </c>
      <c r="D2694" s="1" t="inlineStr">
        <is>
          <t>08/05/2026</t>
        </is>
      </c>
      <c r="E2694" s="1" t="n">
        <v>2026</v>
      </c>
      <c r="F2694" s="1" t="inlineStr">
        <is>
          <t>MAYO</t>
        </is>
      </c>
      <c r="G2694" s="1" t="inlineStr">
        <is>
          <t>NANCY</t>
        </is>
      </c>
      <c r="H2694" s="1" t="inlineStr">
        <is>
          <t>NANCY 08/05/2026</t>
        </is>
      </c>
      <c r="I2694" s="4" t="n">
        <v>4</v>
      </c>
      <c r="J2694" s="6" t="n">
        <v>6.29</v>
      </c>
      <c r="K2694" s="6" t="n">
        <v>148.8073142</v>
      </c>
      <c r="L2694" s="6">
        <f>I2694*K2694</f>
        <v/>
      </c>
      <c r="M2694" s="6">
        <f>K2694*4</f>
        <v/>
      </c>
      <c r="N2694" s="6" t="n">
        <v>550</v>
      </c>
    </row>
    <row r="2695">
      <c r="A2695" s="1" t="inlineStr">
        <is>
          <t>654bdb24c007a</t>
        </is>
      </c>
      <c r="B2695" s="1" t="inlineStr">
        <is>
          <t>BOLSO LADY D BLACK</t>
        </is>
      </c>
      <c r="C2695" s="1" t="inlineStr">
        <is>
          <t>23.5cm de largo x 20.5cm largo x 12.5cm de ancho</t>
        </is>
      </c>
      <c r="D2695" s="1" t="inlineStr">
        <is>
          <t>25/10/2025</t>
        </is>
      </c>
      <c r="E2695" s="1" t="n">
        <v>2025</v>
      </c>
      <c r="F2695" s="1" t="inlineStr">
        <is>
          <t>OCTUBRE</t>
        </is>
      </c>
      <c r="G2695" s="1" t="inlineStr">
        <is>
          <t>ZOEY</t>
        </is>
      </c>
      <c r="H2695" s="1" t="inlineStr">
        <is>
          <t>ZOEY 25/10/2025</t>
        </is>
      </c>
      <c r="I2695" s="4" t="n">
        <v>2</v>
      </c>
      <c r="J2695" s="6" t="n">
        <v>56</v>
      </c>
      <c r="K2695" s="6" t="n">
        <v>1388.806121</v>
      </c>
      <c r="L2695" s="6">
        <f>I2695*K2695</f>
        <v/>
      </c>
      <c r="M2695" s="6">
        <f>K2695*4</f>
        <v/>
      </c>
      <c r="N2695" s="6" t="n">
        <v>4800</v>
      </c>
    </row>
    <row r="2696">
      <c r="A2696" s="1" t="inlineStr">
        <is>
          <t>654bdb2a8966e</t>
        </is>
      </c>
      <c r="B2696" s="1" t="inlineStr">
        <is>
          <t>BOLSO LADY D WHITE</t>
        </is>
      </c>
      <c r="C2696" s="1" t="inlineStr">
        <is>
          <t>23.5cm de largo x 20.5cm largo x 12.5cm de ancho</t>
        </is>
      </c>
      <c r="D2696" s="1" t="inlineStr">
        <is>
          <t>02/03/2026</t>
        </is>
      </c>
      <c r="E2696" s="1" t="n">
        <v>2026</v>
      </c>
      <c r="F2696" s="1" t="inlineStr">
        <is>
          <t>MARZO</t>
        </is>
      </c>
      <c r="G2696" s="1" t="inlineStr">
        <is>
          <t>ZOEY</t>
        </is>
      </c>
      <c r="H2696" s="1" t="inlineStr">
        <is>
          <t>ZOEY 02/03/2026</t>
        </is>
      </c>
      <c r="I2696" s="4" t="n">
        <v>2</v>
      </c>
      <c r="J2696" s="6" t="n">
        <v>56</v>
      </c>
      <c r="K2696" s="6" t="n">
        <v>1471.51064</v>
      </c>
      <c r="L2696" s="6">
        <f>I2696*K2696</f>
        <v/>
      </c>
      <c r="M2696" s="6">
        <f>K2696*4</f>
        <v/>
      </c>
      <c r="N2696" s="6" t="n">
        <v>5739</v>
      </c>
    </row>
    <row r="2697">
      <c r="A2697" s="1" t="inlineStr">
        <is>
          <t>654bdb2a8966e</t>
        </is>
      </c>
      <c r="B2697" s="1" t="inlineStr">
        <is>
          <t>BOLSO LADY D WHITE</t>
        </is>
      </c>
      <c r="C2697" s="1" t="inlineStr">
        <is>
          <t>23.5cm de largo x 20.5cm largo x 12.5cm de ancho</t>
        </is>
      </c>
      <c r="D2697" s="1" t="inlineStr">
        <is>
          <t>20/04/2026</t>
        </is>
      </c>
      <c r="E2697" s="1" t="n">
        <v>2026</v>
      </c>
      <c r="F2697" s="1" t="inlineStr">
        <is>
          <t>ABRIL</t>
        </is>
      </c>
      <c r="G2697" s="1" t="inlineStr">
        <is>
          <t>ZOEY</t>
        </is>
      </c>
      <c r="H2697" s="1" t="inlineStr">
        <is>
          <t>ZOEY 20/04/2026</t>
        </is>
      </c>
      <c r="I2697" s="4" t="n">
        <v>1</v>
      </c>
      <c r="J2697" s="6" t="n">
        <v>56</v>
      </c>
      <c r="K2697" s="6" t="n">
        <v>1434.091587</v>
      </c>
      <c r="L2697" s="6">
        <f>I2697*K2697</f>
        <v/>
      </c>
      <c r="M2697" s="6">
        <f>K2697*4</f>
        <v/>
      </c>
      <c r="N2697" s="6" t="n">
        <v>5739</v>
      </c>
    </row>
    <row r="2698">
      <c r="A2698" s="1" t="inlineStr">
        <is>
          <t>654bdb8083165</t>
        </is>
      </c>
      <c r="B2698" s="1" t="inlineStr">
        <is>
          <t>PULSERA TRÉBOL SILVER VF</t>
        </is>
      </c>
      <c r="C2698" s="1" t="inlineStr">
        <is>
          <t>18cm</t>
        </is>
      </c>
      <c r="D2698" s="1" t="inlineStr">
        <is>
          <t>03/12/2025</t>
        </is>
      </c>
      <c r="E2698" s="1" t="n">
        <v>2025</v>
      </c>
      <c r="F2698" s="1" t="inlineStr">
        <is>
          <t>DICIEMBRE</t>
        </is>
      </c>
      <c r="G2698" s="1" t="inlineStr">
        <is>
          <t>HAIFENG</t>
        </is>
      </c>
      <c r="H2698" s="1" t="inlineStr">
        <is>
          <t>HAIFENG 03/12/2025</t>
        </is>
      </c>
      <c r="I2698" s="4" t="n">
        <v>10</v>
      </c>
      <c r="J2698" s="6" t="n">
        <v>34</v>
      </c>
      <c r="K2698" s="6" t="n">
        <v>711.1834404</v>
      </c>
      <c r="L2698" s="6">
        <f>I2698*K2698</f>
        <v/>
      </c>
      <c r="M2698" s="6">
        <f>K2698*4</f>
        <v/>
      </c>
      <c r="N2698" s="6" t="n">
        <v>1286</v>
      </c>
    </row>
    <row r="2699">
      <c r="A2699" s="1" t="inlineStr">
        <is>
          <t>654bdb8083165</t>
        </is>
      </c>
      <c r="B2699" s="1" t="inlineStr">
        <is>
          <t>PULSERA TRÉBOL SILVER VF</t>
        </is>
      </c>
      <c r="C2699" s="1" t="inlineStr">
        <is>
          <t>20cm</t>
        </is>
      </c>
      <c r="D2699" s="1" t="inlineStr">
        <is>
          <t>10/02/2026</t>
        </is>
      </c>
      <c r="E2699" s="1" t="n">
        <v>2026</v>
      </c>
      <c r="F2699" s="1" t="inlineStr">
        <is>
          <t>FEBRERO</t>
        </is>
      </c>
      <c r="G2699" s="1" t="inlineStr">
        <is>
          <t>HAIFENG</t>
        </is>
      </c>
      <c r="H2699" s="1" t="inlineStr">
        <is>
          <t>HAIFENG 10/02/2026</t>
        </is>
      </c>
      <c r="I2699" s="4" t="n">
        <v>6</v>
      </c>
      <c r="J2699" s="6" t="n">
        <v>7</v>
      </c>
      <c r="K2699" s="6" t="n">
        <v>147.4794725</v>
      </c>
      <c r="L2699" s="6">
        <f>I2699*K2699</f>
        <v/>
      </c>
      <c r="M2699" s="6">
        <f>K2699*4</f>
        <v/>
      </c>
      <c r="N2699" s="6" t="n">
        <v>1286</v>
      </c>
    </row>
    <row r="2700">
      <c r="A2700" s="1" t="inlineStr">
        <is>
          <t>654bdb8083165</t>
        </is>
      </c>
      <c r="B2700" s="1" t="inlineStr">
        <is>
          <t>PULSERA TRÉBOL SILVER VF</t>
        </is>
      </c>
      <c r="C2700" s="1" t="inlineStr">
        <is>
          <t>20cm</t>
        </is>
      </c>
      <c r="D2700" s="1" t="inlineStr">
        <is>
          <t>16/04/2026</t>
        </is>
      </c>
      <c r="E2700" s="1" t="n">
        <v>2026</v>
      </c>
      <c r="F2700" s="1" t="inlineStr">
        <is>
          <t>ABRIL</t>
        </is>
      </c>
      <c r="G2700" s="1" t="inlineStr">
        <is>
          <t>HAIFENG</t>
        </is>
      </c>
      <c r="H2700" s="1" t="inlineStr">
        <is>
          <t>HAIFENG 16/04/2026</t>
        </is>
      </c>
      <c r="I2700" s="4" t="n">
        <v>15</v>
      </c>
      <c r="J2700" s="6" t="n">
        <v>7</v>
      </c>
      <c r="K2700" s="6" t="n">
        <v>147.2203151</v>
      </c>
      <c r="L2700" s="6">
        <f>I2700*K2700</f>
        <v/>
      </c>
      <c r="M2700" s="6">
        <f>K2700*4</f>
        <v/>
      </c>
      <c r="N2700" s="6" t="n">
        <v>1286</v>
      </c>
    </row>
    <row r="2701">
      <c r="A2701" s="1" t="inlineStr">
        <is>
          <t>654bdb81039f7</t>
        </is>
      </c>
      <c r="B2701" s="1" t="inlineStr">
        <is>
          <t>ARETES LV LOGO SILVER</t>
        </is>
      </c>
      <c r="C2701" s="1" t="inlineStr">
        <is>
          <t>Stainless steel</t>
        </is>
      </c>
      <c r="D2701" s="1" t="inlineStr">
        <is>
          <t>05/09/2025</t>
        </is>
      </c>
      <c r="E2701" s="1" t="n">
        <v>2025</v>
      </c>
      <c r="F2701" s="1" t="inlineStr">
        <is>
          <t>SEPTIEMBRE</t>
        </is>
      </c>
      <c r="G2701" s="1" t="inlineStr">
        <is>
          <t>CYNTHIA</t>
        </is>
      </c>
      <c r="H2701" s="1" t="inlineStr">
        <is>
          <t>CYNTHIA 05/09/2025</t>
        </is>
      </c>
      <c r="I2701" s="4" t="n">
        <v>3</v>
      </c>
      <c r="J2701" s="6" t="n">
        <v>6</v>
      </c>
      <c r="K2701" s="6" t="n">
        <v>151.0745816</v>
      </c>
      <c r="L2701" s="6">
        <f>I2701*K2701</f>
        <v/>
      </c>
      <c r="M2701" s="6">
        <f>K2701*4</f>
        <v/>
      </c>
      <c r="N2701" s="6" t="n">
        <v>722</v>
      </c>
    </row>
    <row r="2702">
      <c r="A2702" s="1" t="inlineStr">
        <is>
          <t>654bdb81039f7</t>
        </is>
      </c>
      <c r="B2702" s="1" t="inlineStr">
        <is>
          <t>ARETES LV LOGO SILVER</t>
        </is>
      </c>
      <c r="C2702" s="1" t="inlineStr">
        <is>
          <t>Stainless steel</t>
        </is>
      </c>
      <c r="D2702" s="1" t="inlineStr">
        <is>
          <t>31/05/2026</t>
        </is>
      </c>
      <c r="E2702" s="1" t="n">
        <v>2026</v>
      </c>
      <c r="F2702" s="1" t="inlineStr">
        <is>
          <t>MAYO</t>
        </is>
      </c>
      <c r="G2702" s="1" t="inlineStr">
        <is>
          <t>CYNTHIA</t>
        </is>
      </c>
      <c r="H2702" s="1" t="inlineStr">
        <is>
          <t>CYNTHIA 31/05/2026</t>
        </is>
      </c>
      <c r="I2702" s="4" t="n">
        <v>12</v>
      </c>
      <c r="J2702" s="6" t="n">
        <v>6.8</v>
      </c>
      <c r="K2702" s="6" t="n">
        <v>180.2071058</v>
      </c>
      <c r="L2702" s="6">
        <f>I2702*K2702</f>
        <v/>
      </c>
      <c r="M2702" s="6">
        <f>K2702*4</f>
        <v/>
      </c>
      <c r="N2702" s="6" t="n">
        <v>722</v>
      </c>
    </row>
    <row r="2703">
      <c r="A2703" s="1" t="inlineStr">
        <is>
          <t>654bdbcf948ed</t>
        </is>
      </c>
      <c r="B2703" s="1" t="inlineStr">
        <is>
          <t>CINTO FR GOLD BLACK</t>
        </is>
      </c>
      <c r="C2703" s="1" t="inlineStr">
        <is>
          <t>115cm</t>
        </is>
      </c>
      <c r="D2703" s="1" t="inlineStr">
        <is>
          <t>06/02/2026</t>
        </is>
      </c>
      <c r="E2703" s="1" t="n">
        <v>2026</v>
      </c>
      <c r="F2703" s="1" t="inlineStr">
        <is>
          <t>FEBRERO</t>
        </is>
      </c>
      <c r="G2703" s="1" t="inlineStr">
        <is>
          <t>DINA DU</t>
        </is>
      </c>
      <c r="H2703" s="1" t="inlineStr">
        <is>
          <t>DINA DU 06/02/2026</t>
        </is>
      </c>
      <c r="I2703" s="4" t="n">
        <v>4</v>
      </c>
      <c r="J2703" s="6" t="n">
        <v>12</v>
      </c>
      <c r="K2703" s="6" t="n">
        <v>320.6567517</v>
      </c>
      <c r="L2703" s="6">
        <f>I2703*K2703</f>
        <v/>
      </c>
      <c r="M2703" s="6">
        <f>K2703*4</f>
        <v/>
      </c>
      <c r="N2703" s="6" t="n">
        <v>1495</v>
      </c>
    </row>
    <row r="2704">
      <c r="A2704" s="1" t="inlineStr">
        <is>
          <t>654bdbcfbb016</t>
        </is>
      </c>
      <c r="B2704" s="1" t="inlineStr">
        <is>
          <t>CINTO H SILVER BLACK</t>
        </is>
      </c>
      <c r="C2704" s="1" t="inlineStr">
        <is>
          <t>115cm con extension</t>
        </is>
      </c>
      <c r="D2704" s="1" t="inlineStr">
        <is>
          <t>06/02/2026</t>
        </is>
      </c>
      <c r="E2704" s="1" t="n">
        <v>2026</v>
      </c>
      <c r="F2704" s="1" t="inlineStr">
        <is>
          <t>FEBRERO</t>
        </is>
      </c>
      <c r="G2704" s="1" t="inlineStr">
        <is>
          <t>DINA DU</t>
        </is>
      </c>
      <c r="H2704" s="1" t="inlineStr">
        <is>
          <t>DINA DU 06/02/2026</t>
        </is>
      </c>
      <c r="I2704" s="4" t="n">
        <v>4</v>
      </c>
      <c r="J2704" s="6" t="n">
        <v>15</v>
      </c>
      <c r="K2704" s="6" t="n">
        <v>400.8209396</v>
      </c>
      <c r="L2704" s="6">
        <f>I2704*K2704</f>
        <v/>
      </c>
      <c r="M2704" s="6">
        <f>K2704*4</f>
        <v/>
      </c>
      <c r="N2704" s="6" t="n">
        <v>1625</v>
      </c>
    </row>
    <row r="2705">
      <c r="A2705" s="1" t="inlineStr">
        <is>
          <t>654bdbcfbb016</t>
        </is>
      </c>
      <c r="B2705" s="1" t="inlineStr">
        <is>
          <t>CINTO H SILVER BLACK</t>
        </is>
      </c>
      <c r="C2705" s="1" t="inlineStr">
        <is>
          <t>115cm con extension</t>
        </is>
      </c>
      <c r="D2705" s="1" t="inlineStr">
        <is>
          <t>27/04/2026</t>
        </is>
      </c>
      <c r="E2705" s="1" t="n">
        <v>2026</v>
      </c>
      <c r="F2705" s="1" t="inlineStr">
        <is>
          <t>ABRIL</t>
        </is>
      </c>
      <c r="G2705" s="1" t="inlineStr">
        <is>
          <t>DINA DU</t>
        </is>
      </c>
      <c r="H2705" s="1" t="inlineStr">
        <is>
          <t>DINA DU 27/04/2026</t>
        </is>
      </c>
      <c r="I2705" s="4" t="n">
        <v>2</v>
      </c>
      <c r="J2705" s="6" t="n">
        <v>15</v>
      </c>
      <c r="K2705" s="6" t="n">
        <v>405.6646912</v>
      </c>
      <c r="L2705" s="6">
        <f>I2705*K2705</f>
        <v/>
      </c>
      <c r="M2705" s="6">
        <f>K2705*4</f>
        <v/>
      </c>
      <c r="N2705" s="6" t="n">
        <v>1625</v>
      </c>
    </row>
    <row r="2706">
      <c r="A2706" s="1" t="inlineStr">
        <is>
          <t>654bdbcfcfee3</t>
        </is>
      </c>
      <c r="B2706" s="1" t="inlineStr">
        <is>
          <t>CINTO C GOLD BLACK</t>
        </is>
      </c>
      <c r="C2706" s="1" t="inlineStr">
        <is>
          <t>100cm</t>
        </is>
      </c>
      <c r="D2706" s="1" t="inlineStr">
        <is>
          <t>06/02/2026</t>
        </is>
      </c>
      <c r="E2706" s="1" t="n">
        <v>2026</v>
      </c>
      <c r="F2706" s="1" t="inlineStr">
        <is>
          <t>FEBRERO</t>
        </is>
      </c>
      <c r="G2706" s="1" t="inlineStr">
        <is>
          <t>DINA DU</t>
        </is>
      </c>
      <c r="H2706" s="1" t="inlineStr">
        <is>
          <t>DINA DU 06/02/2026</t>
        </is>
      </c>
      <c r="I2706" s="4" t="n">
        <v>10</v>
      </c>
      <c r="J2706" s="6" t="n">
        <v>15</v>
      </c>
      <c r="K2706" s="6" t="n">
        <v>400.8209396</v>
      </c>
      <c r="L2706" s="6">
        <f>I2706*K2706</f>
        <v/>
      </c>
      <c r="M2706" s="6">
        <f>K2706*4</f>
        <v/>
      </c>
      <c r="N2706" s="6" t="n">
        <v>1609</v>
      </c>
    </row>
    <row r="2707">
      <c r="A2707" s="1" t="inlineStr">
        <is>
          <t>654bdbcfd9269</t>
        </is>
      </c>
      <c r="B2707" s="1" t="inlineStr">
        <is>
          <t>CINTO H BLACK</t>
        </is>
      </c>
      <c r="C2707" s="1" t="inlineStr">
        <is>
          <t>100cm con extension</t>
        </is>
      </c>
      <c r="D2707" s="1" t="inlineStr">
        <is>
          <t>21/10/2025</t>
        </is>
      </c>
      <c r="E2707" s="1" t="n">
        <v>2025</v>
      </c>
      <c r="F2707" s="1" t="inlineStr">
        <is>
          <t>OCTUBRE</t>
        </is>
      </c>
      <c r="G2707" s="1" t="inlineStr">
        <is>
          <t>DINA DU</t>
        </is>
      </c>
      <c r="H2707" s="1" t="inlineStr">
        <is>
          <t>DINA DU 21/10/2025</t>
        </is>
      </c>
      <c r="I2707" s="4" t="n">
        <v>3</v>
      </c>
      <c r="J2707" s="6" t="n">
        <v>15</v>
      </c>
      <c r="K2707" s="6" t="n">
        <v>420.517641</v>
      </c>
      <c r="L2707" s="6">
        <f>I2707*K2707</f>
        <v/>
      </c>
      <c r="M2707" s="6">
        <f>K2707*4</f>
        <v/>
      </c>
      <c r="N2707" s="6" t="n">
        <v>1146</v>
      </c>
    </row>
    <row r="2708">
      <c r="A2708" s="1" t="inlineStr">
        <is>
          <t>654bdbcfd9269</t>
        </is>
      </c>
      <c r="B2708" s="1" t="inlineStr">
        <is>
          <t>CINTO H BLACK</t>
        </is>
      </c>
      <c r="C2708" s="1" t="inlineStr">
        <is>
          <t>100cm con extension</t>
        </is>
      </c>
      <c r="D2708" s="1" t="inlineStr">
        <is>
          <t>06/02/2026</t>
        </is>
      </c>
      <c r="E2708" s="1" t="n">
        <v>2026</v>
      </c>
      <c r="F2708" s="1" t="inlineStr">
        <is>
          <t>FEBRERO</t>
        </is>
      </c>
      <c r="G2708" s="1" t="inlineStr">
        <is>
          <t>DINA DU</t>
        </is>
      </c>
      <c r="H2708" s="1" t="inlineStr">
        <is>
          <t>DINA DU 06/02/2026</t>
        </is>
      </c>
      <c r="I2708" s="4" t="n">
        <v>8</v>
      </c>
      <c r="J2708" s="6" t="n">
        <v>15</v>
      </c>
      <c r="K2708" s="6" t="n">
        <v>400.8209396</v>
      </c>
      <c r="L2708" s="6">
        <f>I2708*K2708</f>
        <v/>
      </c>
      <c r="M2708" s="6">
        <f>K2708*4</f>
        <v/>
      </c>
      <c r="N2708" s="6" t="n">
        <v>1609</v>
      </c>
    </row>
    <row r="2709">
      <c r="A2709" s="1" t="inlineStr">
        <is>
          <t>654bdbcfddee8</t>
        </is>
      </c>
      <c r="B2709" s="1" t="inlineStr">
        <is>
          <t>BOLSO B BLACK LISA</t>
        </is>
      </c>
      <c r="C2709" s="1" t="inlineStr">
        <is>
          <t>17cm de largo x 11cm de alto x 8.3cm de ancho</t>
        </is>
      </c>
      <c r="D2709" s="1" t="inlineStr">
        <is>
          <t>20/04/2026</t>
        </is>
      </c>
      <c r="E2709" s="1" t="n">
        <v>2026</v>
      </c>
      <c r="F2709" s="1" t="inlineStr">
        <is>
          <t>ABRIL</t>
        </is>
      </c>
      <c r="G2709" s="1" t="inlineStr">
        <is>
          <t>ZOEY</t>
        </is>
      </c>
      <c r="H2709" s="1" t="inlineStr">
        <is>
          <t>ZOEY 20/04/2026</t>
        </is>
      </c>
      <c r="I2709" s="4" t="n">
        <v>1</v>
      </c>
      <c r="J2709" s="6" t="n">
        <v>45</v>
      </c>
      <c r="K2709" s="6" t="n">
        <v>1152.395025</v>
      </c>
      <c r="L2709" s="6">
        <f>I2709*K2709</f>
        <v/>
      </c>
      <c r="M2709" s="6">
        <f>K2709*4</f>
        <v/>
      </c>
      <c r="N2709" s="6" t="n">
        <v>4039</v>
      </c>
    </row>
    <row r="2710">
      <c r="A2710" s="1" t="inlineStr">
        <is>
          <t>654bdbcfde867</t>
        </is>
      </c>
      <c r="B2710" s="1" t="inlineStr">
        <is>
          <t>CINTO YSL GOLD BLACK</t>
        </is>
      </c>
      <c r="C2710" s="1" t="inlineStr">
        <is>
          <t>100cm</t>
        </is>
      </c>
      <c r="D2710" s="1" t="inlineStr">
        <is>
          <t>21/10/2025</t>
        </is>
      </c>
      <c r="E2710" s="1" t="n">
        <v>2025</v>
      </c>
      <c r="F2710" s="1" t="inlineStr">
        <is>
          <t>OCTUBRE</t>
        </is>
      </c>
      <c r="G2710" s="1" t="inlineStr">
        <is>
          <t>DINA DU</t>
        </is>
      </c>
      <c r="H2710" s="1" t="inlineStr">
        <is>
          <t>DINA DU 21/10/2025</t>
        </is>
      </c>
      <c r="I2710" s="4" t="n">
        <v>12</v>
      </c>
      <c r="J2710" s="6" t="n">
        <v>12</v>
      </c>
      <c r="K2710" s="6" t="n">
        <v>336.4141128</v>
      </c>
      <c r="L2710" s="6">
        <f>I2710*K2710</f>
        <v/>
      </c>
      <c r="M2710" s="6">
        <f>K2710*4</f>
        <v/>
      </c>
      <c r="N2710" s="6" t="n">
        <v>1099</v>
      </c>
    </row>
    <row r="2711">
      <c r="A2711" s="1" t="inlineStr">
        <is>
          <t>654bdbcfde867</t>
        </is>
      </c>
      <c r="B2711" s="1" t="inlineStr">
        <is>
          <t>CINTO YSL GOLD BLACK</t>
        </is>
      </c>
      <c r="C2711" s="1" t="inlineStr">
        <is>
          <t>100cm</t>
        </is>
      </c>
      <c r="D2711" s="1" t="inlineStr">
        <is>
          <t>06/02/2026</t>
        </is>
      </c>
      <c r="E2711" s="1" t="n">
        <v>2026</v>
      </c>
      <c r="F2711" s="1" t="inlineStr">
        <is>
          <t>FEBRERO</t>
        </is>
      </c>
      <c r="G2711" s="1" t="inlineStr">
        <is>
          <t>DINA DU</t>
        </is>
      </c>
      <c r="H2711" s="1" t="inlineStr">
        <is>
          <t>DINA DU 06/02/2026</t>
        </is>
      </c>
      <c r="I2711" s="4" t="n">
        <v>15</v>
      </c>
      <c r="J2711" s="6" t="n">
        <v>12</v>
      </c>
      <c r="K2711" s="6" t="n">
        <v>320.6567517</v>
      </c>
      <c r="L2711" s="6">
        <f>I2711*K2711</f>
        <v/>
      </c>
      <c r="M2711" s="6">
        <f>K2711*4</f>
        <v/>
      </c>
      <c r="N2711" s="6" t="n">
        <v>1289</v>
      </c>
    </row>
    <row r="2712">
      <c r="A2712" s="1" t="inlineStr">
        <is>
          <t>654bdbd00f373</t>
        </is>
      </c>
      <c r="B2712" s="1" t="inlineStr">
        <is>
          <t>BOLSO B WHITE</t>
        </is>
      </c>
      <c r="C2712" s="1" t="inlineStr">
        <is>
          <t>17cm de largo x 11cm de alto x 8.3cm de ancho</t>
        </is>
      </c>
      <c r="D2712" s="1" t="inlineStr">
        <is>
          <t>01/09/2025</t>
        </is>
      </c>
      <c r="E2712" s="1" t="n">
        <v>2025</v>
      </c>
      <c r="F2712" s="1" t="inlineStr">
        <is>
          <t>SEPTIEMBRE</t>
        </is>
      </c>
      <c r="G2712" s="1" t="inlineStr">
        <is>
          <t>ZOEY</t>
        </is>
      </c>
      <c r="H2712" s="1" t="inlineStr">
        <is>
          <t>ZOEY 01/09/2025</t>
        </is>
      </c>
      <c r="I2712" s="4" t="n">
        <v>2</v>
      </c>
      <c r="J2712" s="6" t="n">
        <v>45</v>
      </c>
      <c r="K2712" s="6" t="n">
        <v>1130.303007</v>
      </c>
      <c r="L2712" s="6">
        <f>I2712*K2712</f>
        <v/>
      </c>
      <c r="M2712" s="6">
        <f>K2712*4</f>
        <v/>
      </c>
      <c r="N2712" s="6" t="n">
        <v>3775</v>
      </c>
    </row>
    <row r="2713">
      <c r="A2713" s="1" t="inlineStr">
        <is>
          <t>654bdbd00f373</t>
        </is>
      </c>
      <c r="B2713" s="1" t="inlineStr">
        <is>
          <t>BOLSO B WHITE</t>
        </is>
      </c>
      <c r="C2713" s="1" t="inlineStr">
        <is>
          <t>17cm de largo x 11cm de alto x 8.3cm de ancho</t>
        </is>
      </c>
      <c r="D2713" s="1" t="inlineStr">
        <is>
          <t>20/01/2026</t>
        </is>
      </c>
      <c r="E2713" s="1" t="n">
        <v>2026</v>
      </c>
      <c r="F2713" s="1" t="inlineStr">
        <is>
          <t>ENERO</t>
        </is>
      </c>
      <c r="G2713" s="1" t="inlineStr">
        <is>
          <t>ZOEY</t>
        </is>
      </c>
      <c r="H2713" s="1" t="inlineStr">
        <is>
          <t>ZOEY 20/01/2026</t>
        </is>
      </c>
      <c r="I2713" s="4" t="n">
        <v>2</v>
      </c>
      <c r="J2713" s="6" t="n">
        <v>45</v>
      </c>
      <c r="K2713" s="6" t="n">
        <v>1171.421972</v>
      </c>
      <c r="L2713" s="6">
        <f>I2713*K2713</f>
        <v/>
      </c>
      <c r="M2713" s="6">
        <f>K2713*4</f>
        <v/>
      </c>
      <c r="N2713" s="6" t="n">
        <v>4099.98</v>
      </c>
    </row>
    <row r="2714">
      <c r="A2714" s="1" t="inlineStr">
        <is>
          <t>654bdbd026f64</t>
        </is>
      </c>
      <c r="B2714" s="1" t="inlineStr">
        <is>
          <t>CINTO H GOLD BLACK</t>
        </is>
      </c>
      <c r="C2714" s="1" t="inlineStr">
        <is>
          <t>100cm con extension</t>
        </is>
      </c>
      <c r="D2714" s="1" t="inlineStr">
        <is>
          <t>27/04/2026</t>
        </is>
      </c>
      <c r="E2714" s="1" t="n">
        <v>2026</v>
      </c>
      <c r="F2714" s="1" t="inlineStr">
        <is>
          <t>ABRIL</t>
        </is>
      </c>
      <c r="G2714" s="1" t="inlineStr">
        <is>
          <t>DINA DU</t>
        </is>
      </c>
      <c r="H2714" s="1" t="inlineStr">
        <is>
          <t>DINA DU 27/04/2026</t>
        </is>
      </c>
      <c r="I2714" s="4" t="n">
        <v>3</v>
      </c>
      <c r="J2714" s="6" t="n">
        <v>15</v>
      </c>
      <c r="K2714" s="6" t="n">
        <v>405.6646912</v>
      </c>
      <c r="L2714" s="6">
        <f>I2714*K2714</f>
        <v/>
      </c>
      <c r="M2714" s="6">
        <f>K2714*4</f>
        <v/>
      </c>
      <c r="N2714" s="6" t="n">
        <v>1625</v>
      </c>
    </row>
    <row r="2715">
      <c r="A2715" s="1" t="inlineStr">
        <is>
          <t>654bdbd5ab77d</t>
        </is>
      </c>
      <c r="B2715" s="1" t="inlineStr">
        <is>
          <t>BOLSO CC BOY MINI BLACK</t>
        </is>
      </c>
      <c r="C2715" s="1" t="inlineStr">
        <is>
          <t>24.8cm de largo x 16cm de alto x 7.5cm de ancho</t>
        </is>
      </c>
      <c r="D2715" s="1" t="inlineStr">
        <is>
          <t>21/10/2025</t>
        </is>
      </c>
      <c r="E2715" s="1" t="n">
        <v>2025</v>
      </c>
      <c r="F2715" s="1" t="inlineStr">
        <is>
          <t>OCTUBRE</t>
        </is>
      </c>
      <c r="G2715" s="1" t="inlineStr">
        <is>
          <t>DINA DU</t>
        </is>
      </c>
      <c r="H2715" s="1" t="inlineStr">
        <is>
          <t>DINA DU 21/10/2025</t>
        </is>
      </c>
      <c r="I2715" s="4" t="n">
        <v>9</v>
      </c>
      <c r="J2715" s="6" t="n">
        <v>15</v>
      </c>
      <c r="K2715" s="6" t="n">
        <v>420.517641</v>
      </c>
      <c r="L2715" s="6">
        <f>I2715*K2715</f>
        <v/>
      </c>
      <c r="M2715" s="6">
        <f>K2715*4</f>
        <v/>
      </c>
      <c r="N2715" s="6" t="n">
        <v>1299</v>
      </c>
    </row>
    <row r="2716">
      <c r="A2716" s="1" t="inlineStr">
        <is>
          <t>654bdbd5ab77d</t>
        </is>
      </c>
      <c r="B2716" s="1" t="inlineStr">
        <is>
          <t>BOLSO CC BOY MINI BLACK</t>
        </is>
      </c>
      <c r="C2716" s="1" t="inlineStr">
        <is>
          <t>24.8cm de largo x 16cm de alto x 7.5cm de ancho</t>
        </is>
      </c>
      <c r="D2716" s="1" t="inlineStr">
        <is>
          <t>06/02/2026</t>
        </is>
      </c>
      <c r="E2716" s="1" t="n">
        <v>2026</v>
      </c>
      <c r="F2716" s="1" t="inlineStr">
        <is>
          <t>FEBRERO</t>
        </is>
      </c>
      <c r="G2716" s="1" t="inlineStr">
        <is>
          <t>DINA DU</t>
        </is>
      </c>
      <c r="H2716" s="1" t="inlineStr">
        <is>
          <t>DINA DU 06/02/2026</t>
        </is>
      </c>
      <c r="I2716" s="4" t="n">
        <v>3</v>
      </c>
      <c r="J2716" s="6" t="n">
        <v>15</v>
      </c>
      <c r="K2716" s="6" t="n">
        <v>400.8209396</v>
      </c>
      <c r="L2716" s="6">
        <f>I2716*K2716</f>
        <v/>
      </c>
      <c r="M2716" s="6">
        <f>K2716*4</f>
        <v/>
      </c>
      <c r="N2716" s="6" t="n">
        <v>1625</v>
      </c>
    </row>
    <row r="2717">
      <c r="A2717" s="1" t="inlineStr">
        <is>
          <t>654bdbd5ab77d</t>
        </is>
      </c>
      <c r="B2717" s="1" t="inlineStr">
        <is>
          <t>BOLSO CC BOY MINI BLACK</t>
        </is>
      </c>
      <c r="C2717" s="1" t="inlineStr">
        <is>
          <t>24.8cm de largo x 16cm de alto x 7.5cm de ancho</t>
        </is>
      </c>
      <c r="D2717" s="1" t="inlineStr">
        <is>
          <t>27/04/2026</t>
        </is>
      </c>
      <c r="E2717" s="1" t="n">
        <v>2026</v>
      </c>
      <c r="F2717" s="1" t="inlineStr">
        <is>
          <t>ABRIL</t>
        </is>
      </c>
      <c r="G2717" s="1" t="inlineStr">
        <is>
          <t>DINA DU</t>
        </is>
      </c>
      <c r="H2717" s="1" t="inlineStr">
        <is>
          <t>DINA DU 27/04/2026</t>
        </is>
      </c>
      <c r="I2717" s="4" t="n">
        <v>7</v>
      </c>
      <c r="J2717" s="6" t="n">
        <v>15</v>
      </c>
      <c r="K2717" s="6" t="n">
        <v>405.6646912</v>
      </c>
      <c r="L2717" s="6">
        <f>I2717*K2717</f>
        <v/>
      </c>
      <c r="M2717" s="6">
        <f>K2717*4</f>
        <v/>
      </c>
      <c r="N2717" s="6" t="n">
        <v>1625</v>
      </c>
    </row>
    <row r="2718">
      <c r="A2718" s="1" t="inlineStr">
        <is>
          <t>654bdbd8c9587</t>
        </is>
      </c>
      <c r="B2718" s="1" t="inlineStr">
        <is>
          <t>GORRA C WHITE</t>
        </is>
      </c>
      <c r="C2718" s="1" t="inlineStr">
        <is>
          <t>M (AJUSTABLE)</t>
        </is>
      </c>
      <c r="D2718" s="1" t="inlineStr">
        <is>
          <t>20/01/2026</t>
        </is>
      </c>
      <c r="E2718" s="1" t="n">
        <v>2026</v>
      </c>
      <c r="F2718" s="1" t="inlineStr">
        <is>
          <t>ENERO</t>
        </is>
      </c>
      <c r="G2718" s="1" t="inlineStr">
        <is>
          <t>ZOEY</t>
        </is>
      </c>
      <c r="H2718" s="1" t="inlineStr">
        <is>
          <t>ZOEY 20/01/2026</t>
        </is>
      </c>
      <c r="I2718" s="4" t="n">
        <v>2</v>
      </c>
      <c r="J2718" s="6" t="n">
        <v>18</v>
      </c>
      <c r="K2718" s="6" t="n">
        <v>468.5687886</v>
      </c>
      <c r="L2718" s="6">
        <f>I2718*K2718</f>
        <v/>
      </c>
      <c r="M2718" s="6">
        <f>K2718*4</f>
        <v/>
      </c>
      <c r="N2718" s="6" t="n">
        <v>1859</v>
      </c>
    </row>
    <row r="2719">
      <c r="A2719" s="1" t="inlineStr">
        <is>
          <t>654bdbd8c9587</t>
        </is>
      </c>
      <c r="B2719" s="1" t="inlineStr">
        <is>
          <t>GORRA C WHITE</t>
        </is>
      </c>
      <c r="C2719" s="1" t="inlineStr">
        <is>
          <t>M (AJUSTABLE)</t>
        </is>
      </c>
      <c r="D2719" s="1" t="inlineStr">
        <is>
          <t>20/01/2026</t>
        </is>
      </c>
      <c r="E2719" s="1" t="n">
        <v>2026</v>
      </c>
      <c r="F2719" s="1" t="inlineStr">
        <is>
          <t>ENERO</t>
        </is>
      </c>
      <c r="G2719" s="1" t="inlineStr">
        <is>
          <t>ZOEY</t>
        </is>
      </c>
      <c r="H2719" s="1" t="inlineStr">
        <is>
          <t>ZOEY 20/01/2026</t>
        </is>
      </c>
      <c r="I2719" s="4" t="n">
        <v>6</v>
      </c>
      <c r="J2719" s="6" t="n">
        <v>18</v>
      </c>
      <c r="K2719" s="6" t="n">
        <v>468.5687886</v>
      </c>
      <c r="L2719" s="6">
        <f>I2719*K2719</f>
        <v/>
      </c>
      <c r="M2719" s="6">
        <f>K2719*4</f>
        <v/>
      </c>
      <c r="N2719" s="6" t="n">
        <v>1859</v>
      </c>
    </row>
    <row r="2720">
      <c r="A2720" s="1" t="inlineStr">
        <is>
          <t>654bdbdb26372</t>
        </is>
      </c>
      <c r="B2720" s="1" t="inlineStr">
        <is>
          <t>BOLSA CC WHITE</t>
        </is>
      </c>
      <c r="C2720" s="1" t="inlineStr">
        <is>
          <t>17cmx24cm</t>
        </is>
      </c>
      <c r="D2720" s="1" t="inlineStr">
        <is>
          <t>27/04/2026</t>
        </is>
      </c>
      <c r="E2720" s="1" t="n">
        <v>2026</v>
      </c>
      <c r="F2720" s="1" t="inlineStr">
        <is>
          <t>ABRIL</t>
        </is>
      </c>
      <c r="G2720" s="1" t="inlineStr">
        <is>
          <t>DINA DU</t>
        </is>
      </c>
      <c r="H2720" s="1" t="inlineStr">
        <is>
          <t>DINA DU 27/04/2026</t>
        </is>
      </c>
      <c r="I2720" s="4" t="n">
        <v>2</v>
      </c>
      <c r="J2720" s="6" t="n">
        <v>18</v>
      </c>
      <c r="K2720" s="6" t="n">
        <v>486.7976295</v>
      </c>
      <c r="L2720" s="6">
        <f>I2720*K2720</f>
        <v/>
      </c>
      <c r="M2720" s="6">
        <f>K2720*4</f>
        <v/>
      </c>
      <c r="N2720" s="6" t="n">
        <v>1950</v>
      </c>
    </row>
    <row r="2721">
      <c r="A2721" s="1" t="inlineStr">
        <is>
          <t>654bdc38b0ca9</t>
        </is>
      </c>
      <c r="B2721" s="1" t="inlineStr">
        <is>
          <t>BOLSO YSL CON CADENA RED</t>
        </is>
      </c>
      <c r="C2721" s="1" t="inlineStr">
        <is>
          <t>17.5cm de alto x 23.5cm de largo x 6cm de ancho</t>
        </is>
      </c>
      <c r="D2721" s="1" t="inlineStr">
        <is>
          <t>21/10/2025</t>
        </is>
      </c>
      <c r="E2721" s="1" t="n">
        <v>2025</v>
      </c>
      <c r="F2721" s="1" t="inlineStr">
        <is>
          <t>OCTUBRE</t>
        </is>
      </c>
      <c r="G2721" s="1" t="inlineStr">
        <is>
          <t>DINA DU</t>
        </is>
      </c>
      <c r="H2721" s="1" t="inlineStr">
        <is>
          <t>DINA DU 21/10/2025</t>
        </is>
      </c>
      <c r="I2721" s="4" t="n">
        <v>3</v>
      </c>
      <c r="J2721" s="6" t="n">
        <v>46</v>
      </c>
      <c r="K2721" s="6" t="n">
        <v>1289.587432</v>
      </c>
      <c r="L2721" s="6">
        <f>I2721*K2721</f>
        <v/>
      </c>
      <c r="M2721" s="6">
        <f>K2721*4</f>
        <v/>
      </c>
      <c r="N2721" s="6" t="n">
        <v>3899</v>
      </c>
    </row>
    <row r="2722">
      <c r="A2722" s="1" t="inlineStr">
        <is>
          <t>654bdc4220c7b</t>
        </is>
      </c>
      <c r="B2722" s="1" t="inlineStr">
        <is>
          <t>BOLSO DE VIAJE BLACK PÉGASE LV</t>
        </is>
      </c>
      <c r="C2722" s="1" t="inlineStr">
        <is>
          <t>54cm de largo x 37cm de alto x 26cm de ancho</t>
        </is>
      </c>
      <c r="D2722" s="1" t="inlineStr">
        <is>
          <t>31/05/2026</t>
        </is>
      </c>
      <c r="E2722" s="1" t="n">
        <v>2026</v>
      </c>
      <c r="F2722" s="1" t="inlineStr">
        <is>
          <t>MAYO</t>
        </is>
      </c>
      <c r="G2722" s="1" t="inlineStr">
        <is>
          <t>CYNTHIA</t>
        </is>
      </c>
      <c r="H2722" s="1" t="inlineStr">
        <is>
          <t>CYNTHIA 31/05/2026</t>
        </is>
      </c>
      <c r="I2722" s="4" t="n">
        <v>2</v>
      </c>
      <c r="J2722" s="6" t="n">
        <v>54</v>
      </c>
      <c r="K2722" s="6" t="n">
        <v>1431.056429</v>
      </c>
      <c r="L2722" s="6">
        <f>I2722*K2722</f>
        <v/>
      </c>
      <c r="M2722" s="6">
        <f>K2722*4</f>
        <v/>
      </c>
      <c r="N2722" s="6" t="n">
        <v>6000</v>
      </c>
    </row>
    <row r="2723">
      <c r="A2723" s="1" t="inlineStr">
        <is>
          <t>654bdc44be732</t>
        </is>
      </c>
      <c r="B2723" s="1" t="inlineStr">
        <is>
          <t>BOLSO LV PÉGASE BLACK</t>
        </is>
      </c>
      <c r="C2723" s="1" t="inlineStr">
        <is>
          <t>25.5cm de largo x 26cm de alto x 6.cm de ancho</t>
        </is>
      </c>
      <c r="D2723" s="1" t="inlineStr">
        <is>
          <t>21/10/2025</t>
        </is>
      </c>
      <c r="E2723" s="1" t="n">
        <v>2025</v>
      </c>
      <c r="F2723" s="1" t="inlineStr">
        <is>
          <t>OCTUBRE</t>
        </is>
      </c>
      <c r="G2723" s="1" t="inlineStr">
        <is>
          <t>DINA DU</t>
        </is>
      </c>
      <c r="H2723" s="1" t="inlineStr">
        <is>
          <t>DINA DU 21/10/2025</t>
        </is>
      </c>
      <c r="I2723" s="4" t="n">
        <v>4</v>
      </c>
      <c r="J2723" s="6" t="n">
        <v>21</v>
      </c>
      <c r="K2723" s="6" t="n">
        <v>588.7246974</v>
      </c>
      <c r="L2723" s="6">
        <f>I2723*K2723</f>
        <v/>
      </c>
      <c r="M2723" s="6">
        <f>K2723*4</f>
        <v/>
      </c>
      <c r="N2723" s="6" t="n">
        <v>1000</v>
      </c>
    </row>
    <row r="2724">
      <c r="A2724" s="1" t="inlineStr">
        <is>
          <t>654bdc4810167</t>
        </is>
      </c>
      <c r="B2724" s="1" t="inlineStr">
        <is>
          <t>BOLSO CC BLACK SILVER</t>
        </is>
      </c>
      <c r="C2724" s="1" t="inlineStr">
        <is>
          <t>16cm de alto x 25cm de largo x 7cm de ancho</t>
        </is>
      </c>
      <c r="D2724" s="1" t="inlineStr">
        <is>
          <t>25/10/2025</t>
        </is>
      </c>
      <c r="E2724" s="1" t="n">
        <v>2025</v>
      </c>
      <c r="F2724" s="1" t="inlineStr">
        <is>
          <t>OCTUBRE</t>
        </is>
      </c>
      <c r="G2724" s="1" t="inlineStr">
        <is>
          <t>CYNTHIA</t>
        </is>
      </c>
      <c r="H2724" s="1" t="inlineStr">
        <is>
          <t>CYNTHIA 25/10/2025</t>
        </is>
      </c>
      <c r="I2724" s="4" t="n">
        <v>4</v>
      </c>
      <c r="J2724" s="6" t="n">
        <v>54</v>
      </c>
      <c r="K2724" s="6" t="n">
        <v>1414.898474</v>
      </c>
      <c r="L2724" s="6">
        <f>I2724*K2724</f>
        <v/>
      </c>
      <c r="M2724" s="6">
        <f>K2724*4</f>
        <v/>
      </c>
      <c r="N2724" s="6" t="n">
        <v>5730</v>
      </c>
    </row>
    <row r="2725">
      <c r="A2725" s="1" t="inlineStr">
        <is>
          <t>654bdc4810167</t>
        </is>
      </c>
      <c r="B2725" s="1" t="inlineStr">
        <is>
          <t>BOLSO CC BLACK SILVER</t>
        </is>
      </c>
      <c r="C2725" s="1" t="inlineStr">
        <is>
          <t>16cm de alto x 25cm de largo x 7cm de ancho</t>
        </is>
      </c>
      <c r="D2725" s="1" t="inlineStr">
        <is>
          <t>07/01/2026</t>
        </is>
      </c>
      <c r="E2725" s="1" t="n">
        <v>2026</v>
      </c>
      <c r="F2725" s="1" t="inlineStr">
        <is>
          <t>ENERO</t>
        </is>
      </c>
      <c r="G2725" s="1" t="inlineStr">
        <is>
          <t>CYNTHIA</t>
        </is>
      </c>
      <c r="H2725" s="1" t="inlineStr">
        <is>
          <t>CYNTHIA 07/01/2026</t>
        </is>
      </c>
      <c r="I2725" s="4" t="n">
        <v>4</v>
      </c>
      <c r="J2725" s="6" t="n">
        <v>54</v>
      </c>
      <c r="K2725" s="6" t="n">
        <v>1435.721094</v>
      </c>
      <c r="L2725" s="6">
        <f>I2725*K2725</f>
        <v/>
      </c>
      <c r="M2725" s="6">
        <f>K2725*4</f>
        <v/>
      </c>
      <c r="N2725" s="6" t="n">
        <v>5730</v>
      </c>
    </row>
    <row r="2726">
      <c r="A2726" s="1" t="inlineStr">
        <is>
          <t>654bdc4810167</t>
        </is>
      </c>
      <c r="B2726" s="1" t="inlineStr">
        <is>
          <t>BOLSO CC BLACK SILVER</t>
        </is>
      </c>
      <c r="C2726" s="1" t="inlineStr">
        <is>
          <t>16cm de alto x 25cm de largo x 7cm de ancho</t>
        </is>
      </c>
      <c r="D2726" s="1" t="inlineStr">
        <is>
          <t>19/03/2026</t>
        </is>
      </c>
      <c r="E2726" s="1" t="n">
        <v>2026</v>
      </c>
      <c r="F2726" s="1" t="inlineStr">
        <is>
          <t>MARZO</t>
        </is>
      </c>
      <c r="G2726" s="1" t="inlineStr">
        <is>
          <t>CYNTHIA</t>
        </is>
      </c>
      <c r="H2726" s="1" t="inlineStr">
        <is>
          <t>CYNTHIA 19/03/2026</t>
        </is>
      </c>
      <c r="I2726" s="4" t="n">
        <v>3</v>
      </c>
      <c r="J2726" s="6" t="n">
        <v>54</v>
      </c>
      <c r="K2726" s="6" t="n">
        <v>1450.300453</v>
      </c>
      <c r="L2726" s="6">
        <f>I2726*K2726</f>
        <v/>
      </c>
      <c r="M2726" s="6">
        <f>K2726*4</f>
        <v/>
      </c>
      <c r="N2726" s="6" t="n">
        <v>5730</v>
      </c>
    </row>
    <row r="2727">
      <c r="A2727" s="1" t="inlineStr">
        <is>
          <t>654bdc4810167</t>
        </is>
      </c>
      <c r="B2727" s="1" t="inlineStr">
        <is>
          <t>BOLSO CC BLACK SILVER</t>
        </is>
      </c>
      <c r="C2727" s="1" t="inlineStr">
        <is>
          <t>16cm de alto x 25cm de largo x 7cm de ancho</t>
        </is>
      </c>
      <c r="D2727" s="1" t="inlineStr">
        <is>
          <t>31/05/2026</t>
        </is>
      </c>
      <c r="E2727" s="1" t="n">
        <v>2026</v>
      </c>
      <c r="F2727" s="1" t="inlineStr">
        <is>
          <t>MAYO</t>
        </is>
      </c>
      <c r="G2727" s="1" t="inlineStr">
        <is>
          <t>CYNTHIA</t>
        </is>
      </c>
      <c r="H2727" s="1" t="inlineStr">
        <is>
          <t>CYNTHIA 31/05/2026</t>
        </is>
      </c>
      <c r="I2727" s="4" t="n">
        <v>1</v>
      </c>
      <c r="J2727" s="6" t="n">
        <v>54</v>
      </c>
      <c r="K2727" s="6" t="n">
        <v>1431.056429</v>
      </c>
      <c r="L2727" s="6">
        <f>I2727*K2727</f>
        <v/>
      </c>
      <c r="M2727" s="6">
        <f>K2727*4</f>
        <v/>
      </c>
      <c r="N2727" s="6" t="n">
        <v>5730</v>
      </c>
    </row>
    <row r="2728">
      <c r="A2728" s="1" t="inlineStr">
        <is>
          <t>65654871016909</t>
        </is>
      </c>
      <c r="B2728" s="1" t="inlineStr">
        <is>
          <t>ANILLO LV SELLO SILVER-9</t>
        </is>
      </c>
      <c r="C2728" s="1" t="n">
        <v>9</v>
      </c>
      <c r="D2728" s="1" t="inlineStr">
        <is>
          <t>25/09/2025</t>
        </is>
      </c>
      <c r="E2728" s="1" t="n">
        <v>2025</v>
      </c>
      <c r="F2728" s="1" t="inlineStr">
        <is>
          <t>SEPTIEMBRE</t>
        </is>
      </c>
      <c r="G2728" s="1" t="inlineStr">
        <is>
          <t>HAIFENG</t>
        </is>
      </c>
      <c r="H2728" s="1" t="inlineStr">
        <is>
          <t>HAIFENG 25/09/2025</t>
        </is>
      </c>
      <c r="I2728" s="4" t="n">
        <v>2</v>
      </c>
      <c r="J2728" s="6" t="n">
        <v>5.99</v>
      </c>
      <c r="K2728" s="6" t="n">
        <v>126.3703458</v>
      </c>
      <c r="L2728" s="6">
        <f>I2728*K2728</f>
        <v/>
      </c>
      <c r="M2728" s="6">
        <f>K2728*4</f>
        <v/>
      </c>
      <c r="N2728" s="6" t="n">
        <v>525</v>
      </c>
    </row>
    <row r="2729">
      <c r="A2729" s="1" t="inlineStr">
        <is>
          <t>65786751076141</t>
        </is>
      </c>
      <c r="B2729" s="1" t="inlineStr">
        <is>
          <t>COLLAR POP H SILVER WHITE</t>
        </is>
      </c>
      <c r="C2729" s="1" t="inlineStr">
        <is>
          <t>MEDIUM QUALITY</t>
        </is>
      </c>
      <c r="D2729" s="1" t="inlineStr">
        <is>
          <t>06/09/2025</t>
        </is>
      </c>
      <c r="E2729" s="1" t="n">
        <v>2025</v>
      </c>
      <c r="F2729" s="1" t="inlineStr">
        <is>
          <t>SEPTIEMBRE</t>
        </is>
      </c>
      <c r="G2729" s="1" t="inlineStr">
        <is>
          <t>NANCY</t>
        </is>
      </c>
      <c r="H2729" s="1" t="inlineStr">
        <is>
          <t>NANCY 06/09/2025</t>
        </is>
      </c>
      <c r="I2729" s="4" t="n">
        <v>2</v>
      </c>
      <c r="J2729" s="6" t="n">
        <v>3.99</v>
      </c>
      <c r="K2729" s="6" t="n">
        <v>92.90978174</v>
      </c>
      <c r="L2729" s="6">
        <f>I2729*K2729</f>
        <v/>
      </c>
      <c r="M2729" s="6">
        <f>K2729*4</f>
        <v/>
      </c>
      <c r="N2729" s="6" t="n">
        <v>499</v>
      </c>
    </row>
    <row r="2730">
      <c r="A2730" s="1" t="inlineStr">
        <is>
          <t>65786751076141</t>
        </is>
      </c>
      <c r="B2730" s="1" t="inlineStr">
        <is>
          <t>COLLAR POP H SILVER WHITE</t>
        </is>
      </c>
      <c r="C2730" s="1" t="inlineStr">
        <is>
          <t>MEDIUM QUALITY</t>
        </is>
      </c>
      <c r="D2730" s="1" t="inlineStr">
        <is>
          <t>08/05/2026</t>
        </is>
      </c>
      <c r="E2730" s="1" t="n">
        <v>2026</v>
      </c>
      <c r="F2730" s="1" t="inlineStr">
        <is>
          <t>MAYO</t>
        </is>
      </c>
      <c r="G2730" s="1" t="inlineStr">
        <is>
          <t>NANCY</t>
        </is>
      </c>
      <c r="H2730" s="1" t="inlineStr">
        <is>
          <t>NANCY 08/05/2026</t>
        </is>
      </c>
      <c r="I2730" s="4" t="n">
        <v>3</v>
      </c>
      <c r="J2730" s="6" t="n">
        <v>3.99</v>
      </c>
      <c r="K2730" s="6" t="n">
        <v>94.39446484</v>
      </c>
      <c r="L2730" s="6">
        <f>I2730*K2730</f>
        <v/>
      </c>
      <c r="M2730" s="6">
        <f>K2730*4</f>
        <v/>
      </c>
      <c r="N2730" s="6" t="n">
        <v>499</v>
      </c>
    </row>
    <row r="2731">
      <c r="A2731" s="1" t="inlineStr">
        <is>
          <t>66009451058221</t>
        </is>
      </c>
      <c r="B2731" s="1" t="inlineStr">
        <is>
          <t>ANILLO BV BROWN</t>
        </is>
      </c>
      <c r="C2731" s="1" t="inlineStr">
        <is>
          <t>6</t>
        </is>
      </c>
      <c r="D2731" s="1" t="inlineStr">
        <is>
          <t>10/02/2026</t>
        </is>
      </c>
      <c r="E2731" s="1" t="n">
        <v>2026</v>
      </c>
      <c r="F2731" s="1" t="inlineStr">
        <is>
          <t>FEBRERO</t>
        </is>
      </c>
      <c r="G2731" s="1" t="inlineStr">
        <is>
          <t>HAIFENG</t>
        </is>
      </c>
      <c r="H2731" s="1" t="inlineStr">
        <is>
          <t>HAIFENG 10/02/2026</t>
        </is>
      </c>
      <c r="I2731" s="4" t="n">
        <v>2</v>
      </c>
      <c r="J2731" s="6" t="n">
        <v>7</v>
      </c>
      <c r="K2731" s="6" t="n">
        <v>147.4794725</v>
      </c>
      <c r="L2731" s="6">
        <f>I2731*K2731</f>
        <v/>
      </c>
      <c r="M2731" s="6">
        <f>K2731*4</f>
        <v/>
      </c>
      <c r="N2731" s="6" t="n">
        <v>580</v>
      </c>
    </row>
    <row r="2732">
      <c r="A2732" s="1" t="inlineStr">
        <is>
          <t>66009451058222</t>
        </is>
      </c>
      <c r="B2732" s="1" t="inlineStr">
        <is>
          <t>ANILLO BV BROWN</t>
        </is>
      </c>
      <c r="C2732" s="1" t="inlineStr">
        <is>
          <t>7</t>
        </is>
      </c>
      <c r="D2732" s="1" t="inlineStr">
        <is>
          <t>20/01/2026</t>
        </is>
      </c>
      <c r="E2732" s="1" t="n">
        <v>2026</v>
      </c>
      <c r="F2732" s="1" t="inlineStr">
        <is>
          <t>ENERO</t>
        </is>
      </c>
      <c r="G2732" s="1" t="inlineStr">
        <is>
          <t>HAIFENG</t>
        </is>
      </c>
      <c r="H2732" s="1" t="inlineStr">
        <is>
          <t>HAIFENG 20/01/2026</t>
        </is>
      </c>
      <c r="I2732" s="4" t="n">
        <v>3</v>
      </c>
      <c r="J2732" s="6" t="n">
        <v>7</v>
      </c>
      <c r="K2732" s="6" t="n">
        <v>148.4029245</v>
      </c>
      <c r="L2732" s="6">
        <f>I2732*K2732</f>
        <v/>
      </c>
      <c r="M2732" s="6">
        <f>K2732*4</f>
        <v/>
      </c>
      <c r="N2732" s="6" t="n">
        <v>593</v>
      </c>
    </row>
    <row r="2733">
      <c r="A2733" s="1" t="inlineStr">
        <is>
          <t>66009451058222</t>
        </is>
      </c>
      <c r="B2733" s="1" t="n"/>
      <c r="C2733" s="1" t="inlineStr">
        <is>
          <t>7</t>
        </is>
      </c>
      <c r="D2733" s="1" t="inlineStr">
        <is>
          <t>10/02/2026</t>
        </is>
      </c>
      <c r="E2733" s="1" t="n">
        <v>2026</v>
      </c>
      <c r="F2733" s="1" t="inlineStr">
        <is>
          <t>FEBRERO</t>
        </is>
      </c>
      <c r="G2733" s="1" t="inlineStr">
        <is>
          <t>HAIFENG</t>
        </is>
      </c>
      <c r="H2733" s="1" t="inlineStr">
        <is>
          <t>HAIFENG 10/02/2026</t>
        </is>
      </c>
      <c r="I2733" s="4" t="n">
        <v>2</v>
      </c>
      <c r="J2733" s="6" t="n">
        <v>7</v>
      </c>
      <c r="K2733" s="6" t="n">
        <v>147.4794725</v>
      </c>
      <c r="L2733" s="6">
        <f>I2733*K2733</f>
        <v/>
      </c>
      <c r="M2733" s="6">
        <f>K2733*4</f>
        <v/>
      </c>
      <c r="N2733" s="6" t="n">
        <v>593</v>
      </c>
    </row>
    <row r="2734">
      <c r="A2734" s="1" t="inlineStr">
        <is>
          <t>66009451058222</t>
        </is>
      </c>
      <c r="B2734" s="1" t="inlineStr">
        <is>
          <t>ANILLO BV BROWN</t>
        </is>
      </c>
      <c r="C2734" s="1" t="inlineStr">
        <is>
          <t>7</t>
        </is>
      </c>
      <c r="D2734" s="1" t="inlineStr">
        <is>
          <t>06/05/2026</t>
        </is>
      </c>
      <c r="E2734" s="1" t="n">
        <v>2026</v>
      </c>
      <c r="F2734" s="1" t="inlineStr">
        <is>
          <t>MAYO</t>
        </is>
      </c>
      <c r="G2734" s="1" t="inlineStr">
        <is>
          <t>HAIFENG</t>
        </is>
      </c>
      <c r="H2734" s="1" t="inlineStr">
        <is>
          <t>HAIFENG 06/05/2026</t>
        </is>
      </c>
      <c r="I2734" s="4" t="n">
        <v>2</v>
      </c>
      <c r="J2734" s="6" t="n">
        <v>7</v>
      </c>
      <c r="K2734" s="6" t="n">
        <v>148.5304959</v>
      </c>
      <c r="L2734" s="6">
        <f>I2734*K2734</f>
        <v/>
      </c>
      <c r="M2734" s="6">
        <f>K2734*4</f>
        <v/>
      </c>
      <c r="N2734" s="6" t="n">
        <v>593</v>
      </c>
    </row>
    <row r="2735">
      <c r="A2735" s="1" t="inlineStr">
        <is>
          <t>66009451058223</t>
        </is>
      </c>
      <c r="B2735" s="1" t="inlineStr">
        <is>
          <t>ANILLO BV BROWN</t>
        </is>
      </c>
      <c r="C2735" s="1" t="inlineStr">
        <is>
          <t>8</t>
        </is>
      </c>
      <c r="D2735" s="1" t="inlineStr">
        <is>
          <t>20/01/2026</t>
        </is>
      </c>
      <c r="E2735" s="1" t="n">
        <v>2026</v>
      </c>
      <c r="F2735" s="1" t="inlineStr">
        <is>
          <t>ENERO</t>
        </is>
      </c>
      <c r="G2735" s="1" t="inlineStr">
        <is>
          <t>HAIFENG</t>
        </is>
      </c>
      <c r="H2735" s="1" t="inlineStr">
        <is>
          <t>HAIFENG 20/01/2026</t>
        </is>
      </c>
      <c r="I2735" s="4" t="n">
        <v>3</v>
      </c>
      <c r="J2735" s="6" t="n">
        <v>7</v>
      </c>
      <c r="K2735" s="6" t="n">
        <v>148.4029245</v>
      </c>
      <c r="L2735" s="6">
        <f>I2735*K2735</f>
        <v/>
      </c>
      <c r="M2735" s="6">
        <f>K2735*4</f>
        <v/>
      </c>
      <c r="N2735" s="6" t="n">
        <v>580</v>
      </c>
    </row>
    <row r="2736">
      <c r="A2736" s="1" t="inlineStr">
        <is>
          <t>66009451058223</t>
        </is>
      </c>
      <c r="B2736" s="1" t="n"/>
      <c r="C2736" s="1" t="inlineStr">
        <is>
          <t>8</t>
        </is>
      </c>
      <c r="D2736" s="1" t="inlineStr">
        <is>
          <t>10/02/2026</t>
        </is>
      </c>
      <c r="E2736" s="1" t="n">
        <v>2026</v>
      </c>
      <c r="F2736" s="1" t="inlineStr">
        <is>
          <t>FEBRERO</t>
        </is>
      </c>
      <c r="G2736" s="1" t="inlineStr">
        <is>
          <t>HAIFENG</t>
        </is>
      </c>
      <c r="H2736" s="1" t="inlineStr">
        <is>
          <t>HAIFENG 10/02/2026</t>
        </is>
      </c>
      <c r="I2736" s="4" t="n">
        <v>2</v>
      </c>
      <c r="J2736" s="6" t="n">
        <v>7</v>
      </c>
      <c r="K2736" s="6" t="n">
        <v>147.4794725</v>
      </c>
      <c r="L2736" s="6">
        <f>I2736*K2736</f>
        <v/>
      </c>
      <c r="M2736" s="6">
        <f>K2736*4</f>
        <v/>
      </c>
      <c r="N2736" s="6" t="n">
        <v>580</v>
      </c>
    </row>
    <row r="2737">
      <c r="A2737" s="1" t="inlineStr">
        <is>
          <t>66009451058223</t>
        </is>
      </c>
      <c r="B2737" s="1" t="inlineStr">
        <is>
          <t>ANILLO BV BROWN</t>
        </is>
      </c>
      <c r="C2737" s="1" t="inlineStr">
        <is>
          <t>8</t>
        </is>
      </c>
      <c r="D2737" s="1" t="inlineStr">
        <is>
          <t>16/06/2026</t>
        </is>
      </c>
      <c r="E2737" s="1" t="n">
        <v>2026</v>
      </c>
      <c r="F2737" s="1" t="inlineStr">
        <is>
          <t>JUNIO</t>
        </is>
      </c>
      <c r="G2737" s="1" t="inlineStr">
        <is>
          <t>HAIFENG</t>
        </is>
      </c>
      <c r="H2737" s="1" t="inlineStr">
        <is>
          <t>HAIFENG 16/06/2026</t>
        </is>
      </c>
      <c r="I2737" s="4" t="n">
        <v>3</v>
      </c>
      <c r="J2737" s="6" t="n">
        <v>7</v>
      </c>
      <c r="K2737" s="6" t="n">
        <v>147.1022452</v>
      </c>
      <c r="L2737" s="6">
        <f>I2737*K2737</f>
        <v/>
      </c>
      <c r="M2737" s="6">
        <f>K2737*4</f>
        <v/>
      </c>
      <c r="N2737" s="6" t="n">
        <v>580</v>
      </c>
    </row>
    <row r="2738">
      <c r="A2738" s="1" t="inlineStr">
        <is>
          <t>66075791007693</t>
        </is>
      </c>
      <c r="B2738" s="1" t="inlineStr">
        <is>
          <t>ANILLO ALLIANCE SILVER C</t>
        </is>
      </c>
      <c r="C2738" s="1" t="inlineStr">
        <is>
          <t>7</t>
        </is>
      </c>
      <c r="D2738" s="1" t="inlineStr">
        <is>
          <t>11/11/2025</t>
        </is>
      </c>
      <c r="E2738" s="1" t="n">
        <v>2025</v>
      </c>
      <c r="F2738" s="1" t="inlineStr">
        <is>
          <t>NOVIEMBRE</t>
        </is>
      </c>
      <c r="G2738" s="1" t="inlineStr">
        <is>
          <t>HAIFENG</t>
        </is>
      </c>
      <c r="H2738" s="1" t="inlineStr">
        <is>
          <t>HAIFENG 11/11/2025</t>
        </is>
      </c>
      <c r="I2738" s="4" t="n">
        <v>2</v>
      </c>
      <c r="J2738" s="6" t="n">
        <v>2</v>
      </c>
      <c r="K2738" s="6" t="n">
        <v>42.12099689</v>
      </c>
      <c r="L2738" s="6">
        <f>I2738*K2738</f>
        <v/>
      </c>
      <c r="M2738" s="6">
        <f>K2738*4</f>
        <v/>
      </c>
      <c r="N2738" s="6" t="n">
        <v>400</v>
      </c>
    </row>
    <row r="2739">
      <c r="A2739" s="1" t="inlineStr">
        <is>
          <t>66075791007693</t>
        </is>
      </c>
      <c r="B2739" s="1" t="inlineStr">
        <is>
          <t>ANILLO ALLIANCE SILVER C</t>
        </is>
      </c>
      <c r="C2739" s="1" t="inlineStr">
        <is>
          <t>7</t>
        </is>
      </c>
      <c r="D2739" s="1" t="inlineStr">
        <is>
          <t>06/05/2026</t>
        </is>
      </c>
      <c r="E2739" s="1" t="n">
        <v>2026</v>
      </c>
      <c r="F2739" s="1" t="inlineStr">
        <is>
          <t>MAYO</t>
        </is>
      </c>
      <c r="G2739" s="1" t="inlineStr">
        <is>
          <t>HAIFENG</t>
        </is>
      </c>
      <c r="H2739" s="1" t="inlineStr">
        <is>
          <t>HAIFENG 06/05/2026</t>
        </is>
      </c>
      <c r="I2739" s="4" t="n">
        <v>6</v>
      </c>
      <c r="J2739" s="6" t="n">
        <v>2</v>
      </c>
      <c r="K2739" s="6" t="n">
        <v>42.43728453</v>
      </c>
      <c r="L2739" s="6">
        <f>I2739*K2739</f>
        <v/>
      </c>
      <c r="M2739" s="6">
        <f>K2739*4</f>
        <v/>
      </c>
      <c r="N2739" s="6" t="n">
        <v>400</v>
      </c>
    </row>
    <row r="2740">
      <c r="A2740" s="1" t="inlineStr">
        <is>
          <t>66075801140461</t>
        </is>
      </c>
      <c r="B2740" s="1" t="inlineStr">
        <is>
          <t>ANILLO ALLIANCE SILVER C</t>
        </is>
      </c>
      <c r="C2740" s="1" t="inlineStr">
        <is>
          <t>8</t>
        </is>
      </c>
      <c r="D2740" s="1" t="inlineStr">
        <is>
          <t>11/11/2025</t>
        </is>
      </c>
      <c r="E2740" s="1" t="n">
        <v>2025</v>
      </c>
      <c r="F2740" s="1" t="inlineStr">
        <is>
          <t>NOVIEMBRE</t>
        </is>
      </c>
      <c r="G2740" s="1" t="inlineStr">
        <is>
          <t>HAIFENG</t>
        </is>
      </c>
      <c r="H2740" s="1" t="inlineStr">
        <is>
          <t>HAIFENG 11/11/2025</t>
        </is>
      </c>
      <c r="I2740" s="4" t="n">
        <v>2</v>
      </c>
      <c r="J2740" s="6" t="n">
        <v>2</v>
      </c>
      <c r="K2740" s="6" t="n">
        <v>42.12099689</v>
      </c>
      <c r="L2740" s="6">
        <f>I2740*K2740</f>
        <v/>
      </c>
      <c r="M2740" s="6">
        <f>K2740*4</f>
        <v/>
      </c>
      <c r="N2740" s="6" t="n">
        <v>400</v>
      </c>
    </row>
    <row r="2741">
      <c r="A2741" s="1" t="inlineStr">
        <is>
          <t>66075801273229</t>
        </is>
      </c>
      <c r="B2741" s="1" t="inlineStr">
        <is>
          <t>ANILLO ALLIANCE SILVER C</t>
        </is>
      </c>
      <c r="C2741" s="1" t="inlineStr">
        <is>
          <t>9</t>
        </is>
      </c>
      <c r="D2741" s="1" t="inlineStr">
        <is>
          <t>11/11/2025</t>
        </is>
      </c>
      <c r="E2741" s="1" t="n">
        <v>2025</v>
      </c>
      <c r="F2741" s="1" t="inlineStr">
        <is>
          <t>NOVIEMBRE</t>
        </is>
      </c>
      <c r="G2741" s="1" t="inlineStr">
        <is>
          <t>HAIFENG</t>
        </is>
      </c>
      <c r="H2741" s="1" t="inlineStr">
        <is>
          <t>HAIFENG 11/11/2025</t>
        </is>
      </c>
      <c r="I2741" s="4" t="n">
        <v>2</v>
      </c>
      <c r="J2741" s="6" t="n">
        <v>2</v>
      </c>
      <c r="K2741" s="6" t="n">
        <v>42.12099689</v>
      </c>
      <c r="L2741" s="6">
        <f>I2741*K2741</f>
        <v/>
      </c>
      <c r="M2741" s="6">
        <f>K2741*4</f>
        <v/>
      </c>
      <c r="N2741" s="6" t="n">
        <v>400</v>
      </c>
    </row>
    <row r="2742">
      <c r="A2742" s="1" t="inlineStr">
        <is>
          <t>66075801273229</t>
        </is>
      </c>
      <c r="B2742" s="1" t="inlineStr">
        <is>
          <t>ANILLO ALLIANCE SILVER C</t>
        </is>
      </c>
      <c r="C2742" s="1" t="inlineStr">
        <is>
          <t>9</t>
        </is>
      </c>
      <c r="D2742" s="1" t="inlineStr">
        <is>
          <t>03/12/2025</t>
        </is>
      </c>
      <c r="E2742" s="1" t="n">
        <v>2025</v>
      </c>
      <c r="F2742" s="1" t="inlineStr">
        <is>
          <t>DICIEMBRE</t>
        </is>
      </c>
      <c r="G2742" s="1" t="inlineStr">
        <is>
          <t>HAIFENG</t>
        </is>
      </c>
      <c r="H2742" s="1" t="inlineStr">
        <is>
          <t>HAIFENG 03/12/2025</t>
        </is>
      </c>
      <c r="I2742" s="4" t="n">
        <v>2</v>
      </c>
      <c r="J2742" s="6" t="n">
        <v>2</v>
      </c>
      <c r="K2742" s="6" t="n">
        <v>41.83432002</v>
      </c>
      <c r="L2742" s="6">
        <f>I2742*K2742</f>
        <v/>
      </c>
      <c r="M2742" s="6">
        <f>K2742*4</f>
        <v/>
      </c>
      <c r="N2742" s="6" t="n">
        <v>400</v>
      </c>
    </row>
    <row r="2743">
      <c r="A2743" s="1" t="inlineStr">
        <is>
          <t>66075801273229</t>
        </is>
      </c>
      <c r="B2743" s="1" t="inlineStr">
        <is>
          <t>ANILLO ALLIANCE SILVER C</t>
        </is>
      </c>
      <c r="C2743" s="1" t="inlineStr">
        <is>
          <t>9</t>
        </is>
      </c>
      <c r="D2743" s="1" t="inlineStr">
        <is>
          <t>20/01/2026</t>
        </is>
      </c>
      <c r="E2743" s="1" t="n">
        <v>2026</v>
      </c>
      <c r="F2743" s="1" t="inlineStr">
        <is>
          <t>ENERO</t>
        </is>
      </c>
      <c r="G2743" s="1" t="inlineStr">
        <is>
          <t>HAIFENG</t>
        </is>
      </c>
      <c r="H2743" s="1" t="inlineStr">
        <is>
          <t>HAIFENG 20/01/2026</t>
        </is>
      </c>
      <c r="I2743" s="4" t="n">
        <v>1</v>
      </c>
      <c r="J2743" s="6" t="n">
        <v>2</v>
      </c>
      <c r="K2743" s="6" t="n">
        <v>42.40083558</v>
      </c>
      <c r="L2743" s="6">
        <f>I2743*K2743</f>
        <v/>
      </c>
      <c r="M2743" s="6">
        <f>K2743*4</f>
        <v/>
      </c>
      <c r="N2743" s="6" t="n">
        <v>400</v>
      </c>
    </row>
    <row r="2744">
      <c r="A2744" s="1" t="inlineStr">
        <is>
          <t>66075801273229</t>
        </is>
      </c>
      <c r="B2744" s="1" t="inlineStr">
        <is>
          <t>ANILLO ALLIANCE SILVER C</t>
        </is>
      </c>
      <c r="C2744" s="1" t="inlineStr">
        <is>
          <t>9</t>
        </is>
      </c>
      <c r="D2744" s="1" t="inlineStr">
        <is>
          <t>16/04/2026</t>
        </is>
      </c>
      <c r="E2744" s="1" t="n">
        <v>2026</v>
      </c>
      <c r="F2744" s="1" t="inlineStr">
        <is>
          <t>ABRIL</t>
        </is>
      </c>
      <c r="G2744" s="1" t="inlineStr">
        <is>
          <t>HAIFENG</t>
        </is>
      </c>
      <c r="H2744" s="1" t="inlineStr">
        <is>
          <t>HAIFENG 16/04/2026</t>
        </is>
      </c>
      <c r="I2744" s="4" t="n">
        <v>2</v>
      </c>
      <c r="J2744" s="6" t="n">
        <v>2</v>
      </c>
      <c r="K2744" s="6" t="n">
        <v>42.06294718</v>
      </c>
      <c r="L2744" s="6">
        <f>I2744*K2744</f>
        <v/>
      </c>
      <c r="M2744" s="6">
        <f>K2744*4</f>
        <v/>
      </c>
      <c r="N2744" s="6" t="n">
        <v>400</v>
      </c>
    </row>
    <row r="2745">
      <c r="A2745" s="1" t="inlineStr">
        <is>
          <t>66075801474733</t>
        </is>
      </c>
      <c r="B2745" s="1" t="inlineStr">
        <is>
          <t>ANILLO LOVE SOLITAIRE ROSE GOLD C</t>
        </is>
      </c>
      <c r="C2745" s="1" t="inlineStr">
        <is>
          <t>6</t>
        </is>
      </c>
      <c r="D2745" s="1" t="inlineStr">
        <is>
          <t>03/12/2025</t>
        </is>
      </c>
      <c r="E2745" s="1" t="n">
        <v>2025</v>
      </c>
      <c r="F2745" s="1" t="inlineStr">
        <is>
          <t>DICIEMBRE</t>
        </is>
      </c>
      <c r="G2745" s="1" t="inlineStr">
        <is>
          <t>HAIFENG</t>
        </is>
      </c>
      <c r="H2745" s="1" t="inlineStr">
        <is>
          <t>HAIFENG 03/12/2025</t>
        </is>
      </c>
      <c r="I2745" s="4" t="n">
        <v>2</v>
      </c>
      <c r="J2745" s="6" t="n">
        <v>7</v>
      </c>
      <c r="K2745" s="6" t="n">
        <v>146.4201201</v>
      </c>
      <c r="L2745" s="6">
        <f>I2745*K2745</f>
        <v/>
      </c>
      <c r="M2745" s="6">
        <f>K2745*4</f>
        <v/>
      </c>
      <c r="N2745" s="6" t="n">
        <v>577</v>
      </c>
    </row>
    <row r="2746">
      <c r="A2746" s="1" t="inlineStr">
        <is>
          <t>66075801507501</t>
        </is>
      </c>
      <c r="B2746" s="1" t="n"/>
      <c r="C2746" s="1" t="inlineStr">
        <is>
          <t>7</t>
        </is>
      </c>
      <c r="D2746" s="1" t="inlineStr">
        <is>
          <t>10/02/2026</t>
        </is>
      </c>
      <c r="E2746" s="1" t="n">
        <v>2026</v>
      </c>
      <c r="F2746" s="1" t="inlineStr">
        <is>
          <t>FEBRERO</t>
        </is>
      </c>
      <c r="G2746" s="1" t="inlineStr">
        <is>
          <t>HAIFENG</t>
        </is>
      </c>
      <c r="H2746" s="1" t="inlineStr">
        <is>
          <t>HAIFENG 10/02/2026</t>
        </is>
      </c>
      <c r="I2746" s="4" t="n">
        <v>1</v>
      </c>
      <c r="J2746" s="6" t="n">
        <v>7</v>
      </c>
      <c r="K2746" s="6" t="n">
        <v>147.4794725</v>
      </c>
      <c r="L2746" s="6">
        <f>I2746*K2746</f>
        <v/>
      </c>
      <c r="M2746" s="6">
        <f>K2746*4</f>
        <v/>
      </c>
      <c r="N2746" s="6" t="n">
        <v>577</v>
      </c>
    </row>
    <row r="2747">
      <c r="A2747" s="1" t="inlineStr">
        <is>
          <t>66075801735181</t>
        </is>
      </c>
      <c r="B2747" s="1" t="inlineStr">
        <is>
          <t>PULSERA PANTHERE SILVER C</t>
        </is>
      </c>
      <c r="C2747" s="1" t="inlineStr">
        <is>
          <t>Default Title</t>
        </is>
      </c>
      <c r="D2747" s="1" t="inlineStr">
        <is>
          <t>11/11/2025</t>
        </is>
      </c>
      <c r="E2747" s="1" t="n">
        <v>2025</v>
      </c>
      <c r="F2747" s="1" t="inlineStr">
        <is>
          <t>NOVIEMBRE</t>
        </is>
      </c>
      <c r="G2747" s="1" t="inlineStr">
        <is>
          <t>HAIFENG</t>
        </is>
      </c>
      <c r="H2747" s="1" t="inlineStr">
        <is>
          <t>HAIFENG 11/11/2025</t>
        </is>
      </c>
      <c r="I2747" s="4" t="n">
        <v>2</v>
      </c>
      <c r="J2747" s="6" t="n">
        <v>8</v>
      </c>
      <c r="K2747" s="6" t="n">
        <v>168.4839875</v>
      </c>
      <c r="L2747" s="6">
        <f>I2747*K2747</f>
        <v/>
      </c>
      <c r="M2747" s="6">
        <f>K2747*4</f>
        <v/>
      </c>
      <c r="N2747" s="6" t="n">
        <v>659</v>
      </c>
    </row>
    <row r="2748">
      <c r="A2748" s="1" t="inlineStr">
        <is>
          <t>66075801735181</t>
        </is>
      </c>
      <c r="B2748" s="1" t="inlineStr">
        <is>
          <t>PULSERA PANTHERE SILVER C</t>
        </is>
      </c>
      <c r="C2748" s="1" t="inlineStr">
        <is>
          <t>Default Title</t>
        </is>
      </c>
      <c r="D2748" s="1" t="inlineStr">
        <is>
          <t>03/12/2025</t>
        </is>
      </c>
      <c r="E2748" s="1" t="n">
        <v>2025</v>
      </c>
      <c r="F2748" s="1" t="inlineStr">
        <is>
          <t>DICIEMBRE</t>
        </is>
      </c>
      <c r="G2748" s="1" t="inlineStr">
        <is>
          <t>HAIFENG</t>
        </is>
      </c>
      <c r="H2748" s="1" t="inlineStr">
        <is>
          <t>HAIFENG 03/12/2025</t>
        </is>
      </c>
      <c r="I2748" s="4" t="n">
        <v>2</v>
      </c>
      <c r="J2748" s="6" t="n">
        <v>8</v>
      </c>
      <c r="K2748" s="6" t="n">
        <v>167.3372801</v>
      </c>
      <c r="L2748" s="6">
        <f>I2748*K2748</f>
        <v/>
      </c>
      <c r="M2748" s="6">
        <f>K2748*4</f>
        <v/>
      </c>
      <c r="N2748" s="6" t="n">
        <v>659</v>
      </c>
    </row>
    <row r="2749">
      <c r="A2749" s="1" t="inlineStr">
        <is>
          <t>66075801824557</t>
        </is>
      </c>
      <c r="B2749" s="1" t="inlineStr">
        <is>
          <t>PULSERA TRES AROS</t>
        </is>
      </c>
      <c r="C2749" s="1" t="inlineStr">
        <is>
          <t>Default Title</t>
        </is>
      </c>
      <c r="D2749" s="1" t="inlineStr">
        <is>
          <t>25/09/2025</t>
        </is>
      </c>
      <c r="E2749" s="1" t="n">
        <v>2025</v>
      </c>
      <c r="F2749" s="1" t="inlineStr">
        <is>
          <t>SEPTIEMBRE</t>
        </is>
      </c>
      <c r="G2749" s="1" t="inlineStr">
        <is>
          <t>HAIFENG</t>
        </is>
      </c>
      <c r="H2749" s="1" t="inlineStr">
        <is>
          <t>HAIFENG 25/09/2025</t>
        </is>
      </c>
      <c r="I2749" s="4" t="n">
        <v>3</v>
      </c>
      <c r="J2749" s="6" t="n">
        <v>7.5</v>
      </c>
      <c r="K2749" s="6" t="n">
        <v>158.2266433</v>
      </c>
      <c r="L2749" s="6">
        <f>I2749*K2749</f>
        <v/>
      </c>
      <c r="M2749" s="6">
        <f>K2749*4</f>
        <v/>
      </c>
      <c r="N2749" s="6" t="n">
        <v>650</v>
      </c>
    </row>
    <row r="2750">
      <c r="A2750" s="1" t="inlineStr">
        <is>
          <t>66075801824557</t>
        </is>
      </c>
      <c r="B2750" s="1" t="inlineStr">
        <is>
          <t>PULSERA TRES AROS</t>
        </is>
      </c>
      <c r="C2750" s="1" t="inlineStr">
        <is>
          <t>Default Title</t>
        </is>
      </c>
      <c r="D2750" s="1" t="inlineStr">
        <is>
          <t>25/09/2025</t>
        </is>
      </c>
      <c r="E2750" s="1" t="n">
        <v>2025</v>
      </c>
      <c r="F2750" s="1" t="inlineStr">
        <is>
          <t>SEPTIEMBRE</t>
        </is>
      </c>
      <c r="G2750" s="1" t="inlineStr">
        <is>
          <t>HAIFENG</t>
        </is>
      </c>
      <c r="H2750" s="1" t="inlineStr">
        <is>
          <t>HAIFENG 25/09/2025</t>
        </is>
      </c>
      <c r="I2750" s="4" t="n">
        <v>3</v>
      </c>
      <c r="J2750" s="6" t="n">
        <v>7.5</v>
      </c>
      <c r="K2750" s="6" t="n">
        <v>158.2266433</v>
      </c>
      <c r="L2750" s="6">
        <f>I2750*K2750</f>
        <v/>
      </c>
      <c r="M2750" s="6">
        <f>K2750*4</f>
        <v/>
      </c>
      <c r="N2750" s="6" t="n">
        <v>650</v>
      </c>
    </row>
    <row r="2751">
      <c r="A2751" s="1" t="inlineStr">
        <is>
          <t>66075801824557</t>
        </is>
      </c>
      <c r="B2751" s="1" t="inlineStr">
        <is>
          <t>PULSERA TRES AROS</t>
        </is>
      </c>
      <c r="C2751" s="1" t="inlineStr">
        <is>
          <t>Default Title</t>
        </is>
      </c>
      <c r="D2751" s="1" t="inlineStr">
        <is>
          <t>20/01/2026</t>
        </is>
      </c>
      <c r="E2751" s="1" t="n">
        <v>2026</v>
      </c>
      <c r="F2751" s="1" t="inlineStr">
        <is>
          <t>ENERO</t>
        </is>
      </c>
      <c r="G2751" s="1" t="inlineStr">
        <is>
          <t>HAIFENG</t>
        </is>
      </c>
      <c r="H2751" s="1" t="inlineStr">
        <is>
          <t>HAIFENG 20/01/2026</t>
        </is>
      </c>
      <c r="I2751" s="4" t="n">
        <v>9</v>
      </c>
      <c r="J2751" s="6" t="n">
        <v>7.5</v>
      </c>
      <c r="K2751" s="6" t="n">
        <v>159.0031334</v>
      </c>
      <c r="L2751" s="6">
        <f>I2751*K2751</f>
        <v/>
      </c>
      <c r="M2751" s="6">
        <f>K2751*4</f>
        <v/>
      </c>
      <c r="N2751" s="6" t="n">
        <v>650</v>
      </c>
    </row>
    <row r="2752">
      <c r="A2752" s="1" t="inlineStr">
        <is>
          <t>66075801824557</t>
        </is>
      </c>
      <c r="B2752" s="1" t="inlineStr">
        <is>
          <t>PULSERA TRES AROS</t>
        </is>
      </c>
      <c r="C2752" s="1" t="inlineStr">
        <is>
          <t>Default Title</t>
        </is>
      </c>
      <c r="D2752" s="1" t="inlineStr">
        <is>
          <t>26/05/2026</t>
        </is>
      </c>
      <c r="E2752" s="1" t="n">
        <v>2026</v>
      </c>
      <c r="F2752" s="1" t="inlineStr">
        <is>
          <t>MAYO</t>
        </is>
      </c>
      <c r="G2752" s="1" t="inlineStr">
        <is>
          <t>HAIFENG</t>
        </is>
      </c>
      <c r="H2752" s="1" t="inlineStr">
        <is>
          <t>HAIFENG 26/05/2026</t>
        </is>
      </c>
      <c r="I2752" s="4" t="n">
        <v>3</v>
      </c>
      <c r="J2752" s="6" t="n">
        <v>7.5</v>
      </c>
      <c r="K2752" s="6" t="n">
        <v>157.4197147</v>
      </c>
      <c r="L2752" s="6">
        <f>I2752*K2752</f>
        <v/>
      </c>
      <c r="M2752" s="6">
        <f>K2752*4</f>
        <v/>
      </c>
      <c r="N2752" s="6" t="n">
        <v>650</v>
      </c>
    </row>
    <row r="2753">
      <c r="A2753" s="1" t="inlineStr">
        <is>
          <t>66075801971917</t>
        </is>
      </c>
      <c r="B2753" s="1" t="inlineStr">
        <is>
          <t>ARETES PETIT GOLD CD</t>
        </is>
      </c>
      <c r="C2753" s="1" t="inlineStr">
        <is>
          <t>Default Title</t>
        </is>
      </c>
      <c r="D2753" s="1" t="inlineStr">
        <is>
          <t>01/09/2025</t>
        </is>
      </c>
      <c r="E2753" s="1" t="n">
        <v>2025</v>
      </c>
      <c r="F2753" s="1" t="inlineStr">
        <is>
          <t>SEPTIEMBRE</t>
        </is>
      </c>
      <c r="G2753" s="1" t="inlineStr">
        <is>
          <t>HAIFENG</t>
        </is>
      </c>
      <c r="H2753" s="1" t="inlineStr">
        <is>
          <t>HAIFENG 01/09/2025</t>
        </is>
      </c>
      <c r="I2753" s="4" t="n">
        <v>5</v>
      </c>
      <c r="J2753" s="6" t="n">
        <v>3.8</v>
      </c>
      <c r="K2753" s="6" t="n">
        <v>80.77155003999999</v>
      </c>
      <c r="L2753" s="6">
        <f>I2753*K2753</f>
        <v/>
      </c>
      <c r="M2753" s="6">
        <f>K2753*4</f>
        <v/>
      </c>
      <c r="N2753" s="6" t="n">
        <v>350</v>
      </c>
    </row>
    <row r="2754">
      <c r="A2754" s="1" t="inlineStr">
        <is>
          <t>66075801971917</t>
        </is>
      </c>
      <c r="B2754" s="1" t="inlineStr">
        <is>
          <t>ARETES PETIT GOLD CD</t>
        </is>
      </c>
      <c r="C2754" s="1" t="inlineStr">
        <is>
          <t>Default Title</t>
        </is>
      </c>
      <c r="D2754" s="1" t="inlineStr">
        <is>
          <t>11/11/2025</t>
        </is>
      </c>
      <c r="E2754" s="1" t="n">
        <v>2025</v>
      </c>
      <c r="F2754" s="1" t="inlineStr">
        <is>
          <t>NOVIEMBRE</t>
        </is>
      </c>
      <c r="G2754" s="1" t="inlineStr">
        <is>
          <t>HAIFENG</t>
        </is>
      </c>
      <c r="H2754" s="1" t="inlineStr">
        <is>
          <t>HAIFENG 11/11/2025</t>
        </is>
      </c>
      <c r="I2754" s="4" t="n">
        <v>1</v>
      </c>
      <c r="J2754" s="6" t="n">
        <v>3.8</v>
      </c>
      <c r="K2754" s="6" t="n">
        <v>80.02989409</v>
      </c>
      <c r="L2754" s="6">
        <f>I2754*K2754</f>
        <v/>
      </c>
      <c r="M2754" s="6">
        <f>K2754*4</f>
        <v/>
      </c>
      <c r="N2754" s="6" t="n">
        <v>350</v>
      </c>
    </row>
    <row r="2755">
      <c r="A2755" s="1" t="inlineStr">
        <is>
          <t>66075801971917</t>
        </is>
      </c>
      <c r="B2755" s="1" t="inlineStr">
        <is>
          <t>ARETES PETIT GOLD CD</t>
        </is>
      </c>
      <c r="C2755" s="1" t="inlineStr">
        <is>
          <t>Default Title</t>
        </is>
      </c>
      <c r="D2755" s="1" t="inlineStr">
        <is>
          <t>03/12/2025</t>
        </is>
      </c>
      <c r="E2755" s="1" t="n">
        <v>2025</v>
      </c>
      <c r="F2755" s="1" t="inlineStr">
        <is>
          <t>DICIEMBRE</t>
        </is>
      </c>
      <c r="G2755" s="1" t="inlineStr">
        <is>
          <t>HAIFENG</t>
        </is>
      </c>
      <c r="H2755" s="1" t="inlineStr">
        <is>
          <t>HAIFENG 03/12/2025</t>
        </is>
      </c>
      <c r="I2755" s="4" t="n">
        <v>8</v>
      </c>
      <c r="J2755" s="6" t="n">
        <v>3.8</v>
      </c>
      <c r="K2755" s="6" t="n">
        <v>79.48520804</v>
      </c>
      <c r="L2755" s="6">
        <f>I2755*K2755</f>
        <v/>
      </c>
      <c r="M2755" s="6">
        <f>K2755*4</f>
        <v/>
      </c>
      <c r="N2755" s="6" t="n">
        <v>350</v>
      </c>
    </row>
    <row r="2756">
      <c r="A2756" s="1" t="inlineStr">
        <is>
          <t>66075801971917</t>
        </is>
      </c>
      <c r="B2756" s="1" t="inlineStr">
        <is>
          <t>ARETES CD PETIT GOLD</t>
        </is>
      </c>
      <c r="C2756" s="1" t="inlineStr">
        <is>
          <t>Default Title</t>
        </is>
      </c>
      <c r="D2756" s="1" t="inlineStr">
        <is>
          <t>11/03/2026</t>
        </is>
      </c>
      <c r="E2756" s="1" t="n">
        <v>2026</v>
      </c>
      <c r="F2756" s="1" t="inlineStr">
        <is>
          <t>MARZO</t>
        </is>
      </c>
      <c r="G2756" s="1" t="inlineStr">
        <is>
          <t>HAIFENG</t>
        </is>
      </c>
      <c r="H2756" s="1" t="inlineStr">
        <is>
          <t>HAIFENG 11/03/2026</t>
        </is>
      </c>
      <c r="I2756" s="4" t="n">
        <v>5</v>
      </c>
      <c r="J2756" s="6" t="n">
        <v>3.8</v>
      </c>
      <c r="K2756" s="6" t="n">
        <v>80.95480562</v>
      </c>
      <c r="L2756" s="6">
        <f>I2756*K2756</f>
        <v/>
      </c>
      <c r="M2756" s="6">
        <f>K2756*4</f>
        <v/>
      </c>
      <c r="N2756" s="6" t="n">
        <v>350</v>
      </c>
    </row>
    <row r="2757">
      <c r="A2757" s="1" t="inlineStr">
        <is>
          <t>66075801971917</t>
        </is>
      </c>
      <c r="B2757" s="1" t="inlineStr">
        <is>
          <t>ARETES CD PETIT GOLD</t>
        </is>
      </c>
      <c r="C2757" s="1" t="inlineStr">
        <is>
          <t>Default Title</t>
        </is>
      </c>
      <c r="D2757" s="1" t="inlineStr">
        <is>
          <t>16/04/2026</t>
        </is>
      </c>
      <c r="E2757" s="1" t="n">
        <v>2026</v>
      </c>
      <c r="F2757" s="1" t="inlineStr">
        <is>
          <t>ABRIL</t>
        </is>
      </c>
      <c r="G2757" s="1" t="inlineStr">
        <is>
          <t>HAIFENG</t>
        </is>
      </c>
      <c r="H2757" s="1" t="inlineStr">
        <is>
          <t>HAIFENG 16/04/2026</t>
        </is>
      </c>
      <c r="I2757" s="4" t="n">
        <v>8</v>
      </c>
      <c r="J2757" s="6" t="n">
        <v>3.8</v>
      </c>
      <c r="K2757" s="6" t="n">
        <v>79.91959964</v>
      </c>
      <c r="L2757" s="6">
        <f>I2757*K2757</f>
        <v/>
      </c>
      <c r="M2757" s="6">
        <f>K2757*4</f>
        <v/>
      </c>
      <c r="N2757" s="6" t="n">
        <v>350</v>
      </c>
    </row>
    <row r="2758">
      <c r="A2758" s="1" t="inlineStr">
        <is>
          <t>66075801971917</t>
        </is>
      </c>
      <c r="B2758" s="1" t="inlineStr">
        <is>
          <t>ARETES CD PETIT GOLD</t>
        </is>
      </c>
      <c r="C2758" s="1" t="inlineStr">
        <is>
          <t>Default Title</t>
        </is>
      </c>
      <c r="D2758" s="1" t="inlineStr">
        <is>
          <t>06/05/2026</t>
        </is>
      </c>
      <c r="E2758" s="1" t="n">
        <v>2026</v>
      </c>
      <c r="F2758" s="1" t="inlineStr">
        <is>
          <t>MAYO</t>
        </is>
      </c>
      <c r="G2758" s="1" t="inlineStr">
        <is>
          <t>HAIFENG</t>
        </is>
      </c>
      <c r="H2758" s="1" t="inlineStr">
        <is>
          <t>HAIFENG 06/05/2026</t>
        </is>
      </c>
      <c r="I2758" s="4" t="n">
        <v>3</v>
      </c>
      <c r="J2758" s="6" t="n">
        <v>3.8</v>
      </c>
      <c r="K2758" s="6" t="n">
        <v>80.63084061000001</v>
      </c>
      <c r="L2758" s="6">
        <f>I2758*K2758</f>
        <v/>
      </c>
      <c r="M2758" s="6">
        <f>K2758*4</f>
        <v/>
      </c>
      <c r="N2758" s="6" t="n">
        <v>350</v>
      </c>
    </row>
    <row r="2759">
      <c r="A2759" s="1" t="inlineStr">
        <is>
          <t>66075801971917</t>
        </is>
      </c>
      <c r="B2759" s="1" t="inlineStr">
        <is>
          <t>ARETES CD PETIT GOLD</t>
        </is>
      </c>
      <c r="C2759" s="1" t="inlineStr">
        <is>
          <t>Default Title</t>
        </is>
      </c>
      <c r="D2759" s="1" t="inlineStr">
        <is>
          <t>26/05/2026</t>
        </is>
      </c>
      <c r="E2759" s="1" t="n">
        <v>2026</v>
      </c>
      <c r="F2759" s="1" t="inlineStr">
        <is>
          <t>MAYO</t>
        </is>
      </c>
      <c r="G2759" s="1" t="inlineStr">
        <is>
          <t>HAIFENG</t>
        </is>
      </c>
      <c r="H2759" s="1" t="inlineStr">
        <is>
          <t>HAIFENG 26/05/2026</t>
        </is>
      </c>
      <c r="I2759" s="4" t="n">
        <v>2</v>
      </c>
      <c r="J2759" s="6" t="n">
        <v>3.8</v>
      </c>
      <c r="K2759" s="6" t="n">
        <v>79.75932211999999</v>
      </c>
      <c r="L2759" s="6">
        <f>I2759*K2759</f>
        <v/>
      </c>
      <c r="M2759" s="6">
        <f>K2759*4</f>
        <v/>
      </c>
      <c r="N2759" s="6" t="n">
        <v>350</v>
      </c>
    </row>
    <row r="2760">
      <c r="A2760" s="1" t="inlineStr">
        <is>
          <t>66075802035149</t>
        </is>
      </c>
      <c r="B2760" s="1" t="inlineStr">
        <is>
          <t>ARETES CLAIR D LUNE GOLD CD</t>
        </is>
      </c>
      <c r="C2760" s="1" t="inlineStr">
        <is>
          <t>Default Title</t>
        </is>
      </c>
      <c r="D2760" s="1" t="inlineStr">
        <is>
          <t>25/09/2025</t>
        </is>
      </c>
      <c r="E2760" s="1" t="n">
        <v>2025</v>
      </c>
      <c r="F2760" s="1" t="inlineStr">
        <is>
          <t>SEPTIEMBRE</t>
        </is>
      </c>
      <c r="G2760" s="1" t="inlineStr">
        <is>
          <t>HAIFENG</t>
        </is>
      </c>
      <c r="H2760" s="1" t="inlineStr">
        <is>
          <t>HAIFENG 25/09/2025</t>
        </is>
      </c>
      <c r="I2760" s="4" t="n">
        <v>4</v>
      </c>
      <c r="J2760" s="6" t="n">
        <v>5</v>
      </c>
      <c r="K2760" s="6" t="n">
        <v>105.4844288</v>
      </c>
      <c r="L2760" s="6">
        <f>I2760*K2760</f>
        <v/>
      </c>
      <c r="M2760" s="6">
        <f>K2760*4</f>
        <v/>
      </c>
      <c r="N2760" s="6" t="n">
        <v>450</v>
      </c>
    </row>
    <row r="2761">
      <c r="A2761" s="1" t="inlineStr">
        <is>
          <t>66075802035149</t>
        </is>
      </c>
      <c r="B2761" s="1" t="inlineStr">
        <is>
          <t>ARETES CLAIR D LUNE GOLD CD</t>
        </is>
      </c>
      <c r="C2761" s="1" t="inlineStr">
        <is>
          <t>Default Title</t>
        </is>
      </c>
      <c r="D2761" s="1" t="inlineStr">
        <is>
          <t>03/12/2025</t>
        </is>
      </c>
      <c r="E2761" s="1" t="n">
        <v>2025</v>
      </c>
      <c r="F2761" s="1" t="inlineStr">
        <is>
          <t>DICIEMBRE</t>
        </is>
      </c>
      <c r="G2761" s="1" t="inlineStr">
        <is>
          <t>HAIFENG</t>
        </is>
      </c>
      <c r="H2761" s="1" t="inlineStr">
        <is>
          <t>HAIFENG 03/12/2025</t>
        </is>
      </c>
      <c r="I2761" s="4" t="n">
        <v>10</v>
      </c>
      <c r="J2761" s="6" t="n">
        <v>5</v>
      </c>
      <c r="K2761" s="6" t="n">
        <v>104.5858001</v>
      </c>
      <c r="L2761" s="6">
        <f>I2761*K2761</f>
        <v/>
      </c>
      <c r="M2761" s="6">
        <f>K2761*4</f>
        <v/>
      </c>
      <c r="N2761" s="6" t="n">
        <v>450</v>
      </c>
    </row>
    <row r="2762">
      <c r="A2762" s="1" t="inlineStr">
        <is>
          <t>66075802035149</t>
        </is>
      </c>
      <c r="B2762" s="1" t="inlineStr">
        <is>
          <t>ARETES CLAIR D LUNE GOLD CD</t>
        </is>
      </c>
      <c r="C2762" s="1" t="inlineStr">
        <is>
          <t>Default Title</t>
        </is>
      </c>
      <c r="D2762" s="1" t="inlineStr">
        <is>
          <t>16/04/2026</t>
        </is>
      </c>
      <c r="E2762" s="1" t="n">
        <v>2026</v>
      </c>
      <c r="F2762" s="1" t="inlineStr">
        <is>
          <t>ABRIL</t>
        </is>
      </c>
      <c r="G2762" s="1" t="inlineStr">
        <is>
          <t>HAIFENG</t>
        </is>
      </c>
      <c r="H2762" s="1" t="inlineStr">
        <is>
          <t>HAIFENG 16/04/2026</t>
        </is>
      </c>
      <c r="I2762" s="4" t="n">
        <v>6</v>
      </c>
      <c r="J2762" s="6" t="n">
        <v>5</v>
      </c>
      <c r="K2762" s="6" t="n">
        <v>105.1573679</v>
      </c>
      <c r="L2762" s="6">
        <f>I2762*K2762</f>
        <v/>
      </c>
      <c r="M2762" s="6">
        <f>K2762*4</f>
        <v/>
      </c>
      <c r="N2762" s="6" t="n">
        <v>450</v>
      </c>
    </row>
    <row r="2763">
      <c r="A2763" s="1" t="inlineStr">
        <is>
          <t>66075802035149</t>
        </is>
      </c>
      <c r="B2763" s="1" t="inlineStr">
        <is>
          <t>ARETES CLAIR D LUNE GOLD CD</t>
        </is>
      </c>
      <c r="C2763" s="1" t="inlineStr">
        <is>
          <t>Default Title</t>
        </is>
      </c>
      <c r="D2763" s="1" t="inlineStr">
        <is>
          <t>06/05/2026</t>
        </is>
      </c>
      <c r="E2763" s="1" t="n">
        <v>2026</v>
      </c>
      <c r="F2763" s="1" t="inlineStr">
        <is>
          <t>MAYO</t>
        </is>
      </c>
      <c r="G2763" s="1" t="inlineStr">
        <is>
          <t>HAIFENG</t>
        </is>
      </c>
      <c r="H2763" s="1" t="inlineStr">
        <is>
          <t>HAIFENG 06/05/2026</t>
        </is>
      </c>
      <c r="I2763" s="4" t="n">
        <v>3</v>
      </c>
      <c r="J2763" s="6" t="n">
        <v>5</v>
      </c>
      <c r="K2763" s="6" t="n">
        <v>106.0932113</v>
      </c>
      <c r="L2763" s="6">
        <f>I2763*K2763</f>
        <v/>
      </c>
      <c r="M2763" s="6">
        <f>K2763*4</f>
        <v/>
      </c>
      <c r="N2763" s="6" t="n">
        <v>450</v>
      </c>
    </row>
    <row r="2764">
      <c r="A2764" s="1" t="inlineStr">
        <is>
          <t>66075802035149</t>
        </is>
      </c>
      <c r="B2764" s="1" t="inlineStr">
        <is>
          <t>ARETES CLAIR D LUNE GOLD CD</t>
        </is>
      </c>
      <c r="C2764" s="1" t="inlineStr">
        <is>
          <t>Default Title</t>
        </is>
      </c>
      <c r="D2764" s="1" t="inlineStr">
        <is>
          <t>16/06/2026</t>
        </is>
      </c>
      <c r="E2764" s="1" t="n">
        <v>2026</v>
      </c>
      <c r="F2764" s="1" t="inlineStr">
        <is>
          <t>JUNIO</t>
        </is>
      </c>
      <c r="G2764" s="1" t="inlineStr">
        <is>
          <t>HAIFENG</t>
        </is>
      </c>
      <c r="H2764" s="1" t="inlineStr">
        <is>
          <t>HAIFENG 16/06/2026</t>
        </is>
      </c>
      <c r="I2764" s="4" t="n">
        <v>5</v>
      </c>
      <c r="J2764" s="6" t="n">
        <v>5</v>
      </c>
      <c r="K2764" s="6" t="n">
        <v>105.0730323</v>
      </c>
      <c r="L2764" s="6">
        <f>I2764*K2764</f>
        <v/>
      </c>
      <c r="M2764" s="6">
        <f>K2764*4</f>
        <v/>
      </c>
      <c r="N2764" s="6" t="n">
        <v>450</v>
      </c>
    </row>
    <row r="2765">
      <c r="A2765" s="1" t="inlineStr">
        <is>
          <t>66075802259373</t>
        </is>
      </c>
      <c r="B2765" s="1" t="inlineStr">
        <is>
          <t>PULSERA MONTAIGNE GOLD CD</t>
        </is>
      </c>
      <c r="C2765" s="1" t="inlineStr">
        <is>
          <t>Default Title</t>
        </is>
      </c>
      <c r="D2765" s="1" t="inlineStr">
        <is>
          <t>01/09/2025</t>
        </is>
      </c>
      <c r="E2765" s="1" t="n">
        <v>2025</v>
      </c>
      <c r="F2765" s="1" t="inlineStr">
        <is>
          <t>SEPTIEMBRE</t>
        </is>
      </c>
      <c r="G2765" s="1" t="inlineStr">
        <is>
          <t>HAIFENG</t>
        </is>
      </c>
      <c r="H2765" s="1" t="inlineStr">
        <is>
          <t>HAIFENG 01/09/2025</t>
        </is>
      </c>
      <c r="I2765" s="4" t="n">
        <v>4</v>
      </c>
      <c r="J2765" s="6" t="n">
        <v>7</v>
      </c>
      <c r="K2765" s="6" t="n">
        <v>148.7896974</v>
      </c>
      <c r="L2765" s="6">
        <f>I2765*K2765</f>
        <v/>
      </c>
      <c r="M2765" s="6">
        <f>K2765*4</f>
        <v/>
      </c>
      <c r="N2765" s="6" t="n">
        <v>599</v>
      </c>
    </row>
    <row r="2766">
      <c r="A2766" s="1" t="inlineStr">
        <is>
          <t>66075802259373</t>
        </is>
      </c>
      <c r="B2766" s="1" t="inlineStr">
        <is>
          <t>PULSERA MONTAIGNE GOLD CD</t>
        </is>
      </c>
      <c r="C2766" s="1" t="inlineStr">
        <is>
          <t>20 CM</t>
        </is>
      </c>
      <c r="D2766" s="1" t="inlineStr">
        <is>
          <t>03/12/2025</t>
        </is>
      </c>
      <c r="E2766" s="1" t="n">
        <v>2025</v>
      </c>
      <c r="F2766" s="1" t="inlineStr">
        <is>
          <t>DICIEMBRE</t>
        </is>
      </c>
      <c r="G2766" s="1" t="inlineStr">
        <is>
          <t>HAIFENG</t>
        </is>
      </c>
      <c r="H2766" s="1" t="inlineStr">
        <is>
          <t>HAIFENG 03/12/2025</t>
        </is>
      </c>
      <c r="I2766" s="4" t="n">
        <v>2</v>
      </c>
      <c r="J2766" s="6" t="n">
        <v>7</v>
      </c>
      <c r="K2766" s="6" t="n">
        <v>146.4201201</v>
      </c>
      <c r="L2766" s="6">
        <f>I2766*K2766</f>
        <v/>
      </c>
      <c r="M2766" s="6">
        <f>K2766*4</f>
        <v/>
      </c>
      <c r="N2766" s="6" t="n">
        <v>599</v>
      </c>
    </row>
    <row r="2767">
      <c r="A2767" s="1" t="inlineStr">
        <is>
          <t>66075802259373</t>
        </is>
      </c>
      <c r="B2767" s="1" t="inlineStr">
        <is>
          <t>PULSERA MONTAIGNE GOLD CD</t>
        </is>
      </c>
      <c r="C2767" s="1" t="inlineStr">
        <is>
          <t>20 CM</t>
        </is>
      </c>
      <c r="D2767" s="1" t="inlineStr">
        <is>
          <t>16/04/2026</t>
        </is>
      </c>
      <c r="E2767" s="1" t="n">
        <v>2026</v>
      </c>
      <c r="F2767" s="1" t="inlineStr">
        <is>
          <t>ABRIL</t>
        </is>
      </c>
      <c r="G2767" s="1" t="inlineStr">
        <is>
          <t>HAIFENG</t>
        </is>
      </c>
      <c r="H2767" s="1" t="inlineStr">
        <is>
          <t>HAIFENG 16/04/2026</t>
        </is>
      </c>
      <c r="I2767" s="4" t="n">
        <v>2</v>
      </c>
      <c r="J2767" s="6" t="n">
        <v>7</v>
      </c>
      <c r="K2767" s="6" t="n">
        <v>147.2203151</v>
      </c>
      <c r="L2767" s="6">
        <f>I2767*K2767</f>
        <v/>
      </c>
      <c r="M2767" s="6">
        <f>K2767*4</f>
        <v/>
      </c>
      <c r="N2767" s="6" t="n">
        <v>599</v>
      </c>
    </row>
    <row r="2768">
      <c r="A2768" s="1" t="inlineStr">
        <is>
          <t>66075802259373</t>
        </is>
      </c>
      <c r="B2768" s="1" t="inlineStr">
        <is>
          <t>PULSERA MONTAIGNE GOLD CD</t>
        </is>
      </c>
      <c r="C2768" s="1" t="inlineStr">
        <is>
          <t>20 CM</t>
        </is>
      </c>
      <c r="D2768" s="1" t="inlineStr">
        <is>
          <t>06/05/2026</t>
        </is>
      </c>
      <c r="E2768" s="1" t="n">
        <v>2026</v>
      </c>
      <c r="F2768" s="1" t="inlineStr">
        <is>
          <t>MAYO</t>
        </is>
      </c>
      <c r="G2768" s="1" t="inlineStr">
        <is>
          <t>HAIFENG</t>
        </is>
      </c>
      <c r="H2768" s="1" t="inlineStr">
        <is>
          <t>HAIFENG 06/05/2026</t>
        </is>
      </c>
      <c r="I2768" s="4" t="n">
        <v>1</v>
      </c>
      <c r="J2768" s="6" t="n">
        <v>7</v>
      </c>
      <c r="K2768" s="6" t="n">
        <v>148.5304959</v>
      </c>
      <c r="L2768" s="6">
        <f>I2768*K2768</f>
        <v/>
      </c>
      <c r="M2768" s="6">
        <f>K2768*4</f>
        <v/>
      </c>
      <c r="N2768" s="6" t="n">
        <v>599</v>
      </c>
    </row>
    <row r="2769">
      <c r="A2769" s="1" t="inlineStr">
        <is>
          <t>66075802259373</t>
        </is>
      </c>
      <c r="B2769" s="1" t="inlineStr">
        <is>
          <t>PULSERA MONTAIGNE GOLD CD</t>
        </is>
      </c>
      <c r="C2769" s="1" t="inlineStr">
        <is>
          <t>20 CM</t>
        </is>
      </c>
      <c r="D2769" s="1" t="inlineStr">
        <is>
          <t>16/06/2026</t>
        </is>
      </c>
      <c r="E2769" s="1" t="n">
        <v>2026</v>
      </c>
      <c r="F2769" s="1" t="inlineStr">
        <is>
          <t>JUNIO</t>
        </is>
      </c>
      <c r="G2769" s="1" t="inlineStr">
        <is>
          <t>HAIFENG</t>
        </is>
      </c>
      <c r="H2769" s="1" t="inlineStr">
        <is>
          <t>HAIFENG 16/06/2026</t>
        </is>
      </c>
      <c r="I2769" s="4" t="n">
        <v>1</v>
      </c>
      <c r="J2769" s="6" t="n">
        <v>7</v>
      </c>
      <c r="K2769" s="6" t="n">
        <v>147.1022452</v>
      </c>
      <c r="L2769" s="6">
        <f>I2769*K2769</f>
        <v/>
      </c>
      <c r="M2769" s="6">
        <f>K2769*4</f>
        <v/>
      </c>
      <c r="N2769" s="6" t="n">
        <v>599</v>
      </c>
    </row>
    <row r="2770">
      <c r="A2770" s="1" t="inlineStr">
        <is>
          <t>66075802307341</t>
        </is>
      </c>
      <c r="B2770" s="1" t="inlineStr">
        <is>
          <t>PULSERAS CLAIR D LUNE SILVER CD</t>
        </is>
      </c>
      <c r="C2770" s="1" t="inlineStr">
        <is>
          <t>Default Title</t>
        </is>
      </c>
      <c r="D2770" s="1" t="inlineStr">
        <is>
          <t>01/09/2025</t>
        </is>
      </c>
      <c r="E2770" s="1" t="n">
        <v>2025</v>
      </c>
      <c r="F2770" s="1" t="inlineStr">
        <is>
          <t>SEPTIEMBRE</t>
        </is>
      </c>
      <c r="G2770" s="1" t="inlineStr">
        <is>
          <t>HAIFENG</t>
        </is>
      </c>
      <c r="H2770" s="1" t="inlineStr">
        <is>
          <t>HAIFENG 01/09/2025</t>
        </is>
      </c>
      <c r="I2770" s="4" t="n">
        <v>3</v>
      </c>
      <c r="J2770" s="6" t="n">
        <v>4</v>
      </c>
      <c r="K2770" s="6" t="n">
        <v>85.02268425</v>
      </c>
      <c r="L2770" s="6">
        <f>I2770*K2770</f>
        <v/>
      </c>
      <c r="M2770" s="6">
        <f>K2770*4</f>
        <v/>
      </c>
      <c r="N2770" s="6" t="n">
        <v>412</v>
      </c>
    </row>
    <row r="2771">
      <c r="A2771" s="1" t="inlineStr">
        <is>
          <t>66075802307341</t>
        </is>
      </c>
      <c r="B2771" s="1" t="inlineStr">
        <is>
          <t>PULSERA CLAIR D LUNE SILVER CD</t>
        </is>
      </c>
      <c r="C2771" s="1" t="inlineStr">
        <is>
          <t>Default Title</t>
        </is>
      </c>
      <c r="D2771" s="1" t="inlineStr">
        <is>
          <t>03/12/2025</t>
        </is>
      </c>
      <c r="E2771" s="1" t="n">
        <v>2025</v>
      </c>
      <c r="F2771" s="1" t="inlineStr">
        <is>
          <t>DICIEMBRE</t>
        </is>
      </c>
      <c r="G2771" s="1" t="inlineStr">
        <is>
          <t>HAIFENG</t>
        </is>
      </c>
      <c r="H2771" s="1" t="inlineStr">
        <is>
          <t>HAIFENG 03/12/2025</t>
        </is>
      </c>
      <c r="I2771" s="4" t="n">
        <v>3</v>
      </c>
      <c r="J2771" s="6" t="n">
        <v>4</v>
      </c>
      <c r="K2771" s="6" t="n">
        <v>83.66864004999999</v>
      </c>
      <c r="L2771" s="6">
        <f>I2771*K2771</f>
        <v/>
      </c>
      <c r="M2771" s="6">
        <f>K2771*4</f>
        <v/>
      </c>
      <c r="N2771" s="6" t="n">
        <v>267</v>
      </c>
    </row>
    <row r="2772">
      <c r="A2772" s="1" t="inlineStr">
        <is>
          <t>66075802307341</t>
        </is>
      </c>
      <c r="B2772" s="1" t="inlineStr">
        <is>
          <t>PULSERA CLAIR D LUNE SILVER CD</t>
        </is>
      </c>
      <c r="C2772" s="1" t="inlineStr">
        <is>
          <t>13cm largo con 5cm de extensión dije 1cm</t>
        </is>
      </c>
      <c r="D2772" s="1" t="inlineStr">
        <is>
          <t>16/04/2026</t>
        </is>
      </c>
      <c r="E2772" s="1" t="n">
        <v>2026</v>
      </c>
      <c r="F2772" s="1" t="inlineStr">
        <is>
          <t>ABRIL</t>
        </is>
      </c>
      <c r="G2772" s="1" t="inlineStr">
        <is>
          <t>HAIFENG</t>
        </is>
      </c>
      <c r="H2772" s="1" t="inlineStr">
        <is>
          <t>HAIFENG 16/04/2026</t>
        </is>
      </c>
      <c r="I2772" s="4" t="n">
        <v>4</v>
      </c>
      <c r="J2772" s="6" t="n">
        <v>4</v>
      </c>
      <c r="K2772" s="6" t="n">
        <v>84.12589436</v>
      </c>
      <c r="L2772" s="6">
        <f>I2772*K2772</f>
        <v/>
      </c>
      <c r="M2772" s="6">
        <f>K2772*4</f>
        <v/>
      </c>
      <c r="N2772" s="6" t="n">
        <v>267</v>
      </c>
    </row>
    <row r="2773">
      <c r="A2773" s="1" t="inlineStr">
        <is>
          <t>66075802428173</t>
        </is>
      </c>
      <c r="B2773" s="1" t="inlineStr">
        <is>
          <t>PULSERA CHAIN GOLD CD</t>
        </is>
      </c>
      <c r="C2773" s="1" t="inlineStr">
        <is>
          <t>Default Title</t>
        </is>
      </c>
      <c r="D2773" s="1" t="inlineStr">
        <is>
          <t>25/09/2025</t>
        </is>
      </c>
      <c r="E2773" s="1" t="n">
        <v>2025</v>
      </c>
      <c r="F2773" s="1" t="inlineStr">
        <is>
          <t>SEPTIEMBRE</t>
        </is>
      </c>
      <c r="G2773" s="1" t="inlineStr">
        <is>
          <t>HAIFENG</t>
        </is>
      </c>
      <c r="H2773" s="1" t="inlineStr">
        <is>
          <t>HAIFENG 25/09/2025</t>
        </is>
      </c>
      <c r="I2773" s="4" t="n">
        <v>2</v>
      </c>
      <c r="J2773" s="6" t="n">
        <v>7.9</v>
      </c>
      <c r="K2773" s="6" t="n">
        <v>166.6653976</v>
      </c>
      <c r="L2773" s="6">
        <f>I2773*K2773</f>
        <v/>
      </c>
      <c r="M2773" s="6">
        <f>K2773*4</f>
        <v/>
      </c>
      <c r="N2773" s="6" t="n">
        <v>651</v>
      </c>
    </row>
    <row r="2774">
      <c r="A2774" s="1" t="inlineStr">
        <is>
          <t>66075802428173</t>
        </is>
      </c>
      <c r="B2774" s="1" t="inlineStr">
        <is>
          <t>PULSERA CHAIN GOLD CD</t>
        </is>
      </c>
      <c r="C2774" s="1" t="inlineStr">
        <is>
          <t>Default Title</t>
        </is>
      </c>
      <c r="D2774" s="1" t="inlineStr">
        <is>
          <t>20/01/2026</t>
        </is>
      </c>
      <c r="E2774" s="1" t="n">
        <v>2026</v>
      </c>
      <c r="F2774" s="1" t="inlineStr">
        <is>
          <t>ENERO</t>
        </is>
      </c>
      <c r="G2774" s="1" t="inlineStr">
        <is>
          <t>HAIFENG</t>
        </is>
      </c>
      <c r="H2774" s="1" t="inlineStr">
        <is>
          <t>HAIFENG 20/01/2026</t>
        </is>
      </c>
      <c r="I2774" s="4" t="n">
        <v>4</v>
      </c>
      <c r="J2774" s="6" t="n">
        <v>7.9</v>
      </c>
      <c r="K2774" s="6" t="n">
        <v>167.4833006</v>
      </c>
      <c r="L2774" s="6">
        <f>I2774*K2774</f>
        <v/>
      </c>
      <c r="M2774" s="6">
        <f>K2774*4</f>
        <v/>
      </c>
      <c r="N2774" s="6" t="n">
        <v>651</v>
      </c>
    </row>
    <row r="2775">
      <c r="A2775" s="1" t="inlineStr">
        <is>
          <t>66075802428173</t>
        </is>
      </c>
      <c r="B2775" s="1" t="inlineStr">
        <is>
          <t>PULSERA CHAIN GOLD CD</t>
        </is>
      </c>
      <c r="C2775" s="1" t="inlineStr">
        <is>
          <t>Default Title</t>
        </is>
      </c>
      <c r="D2775" s="1" t="inlineStr">
        <is>
          <t>10/02/2026</t>
        </is>
      </c>
      <c r="E2775" s="1" t="n">
        <v>2026</v>
      </c>
      <c r="F2775" s="1" t="inlineStr">
        <is>
          <t>FEBRERO</t>
        </is>
      </c>
      <c r="G2775" s="1" t="inlineStr">
        <is>
          <t>HAIFENG</t>
        </is>
      </c>
      <c r="H2775" s="1" t="inlineStr">
        <is>
          <t>HAIFENG 10/02/2026</t>
        </is>
      </c>
      <c r="I2775" s="4" t="n">
        <v>2</v>
      </c>
      <c r="J2775" s="6" t="n">
        <v>7.9</v>
      </c>
      <c r="K2775" s="6" t="n">
        <v>166.4411189</v>
      </c>
      <c r="L2775" s="6">
        <f>I2775*K2775</f>
        <v/>
      </c>
      <c r="M2775" s="6">
        <f>K2775*4</f>
        <v/>
      </c>
      <c r="N2775" s="6" t="n">
        <v>651</v>
      </c>
    </row>
    <row r="2776">
      <c r="A2776" s="1" t="inlineStr">
        <is>
          <t>66075802428173</t>
        </is>
      </c>
      <c r="B2776" s="1" t="inlineStr">
        <is>
          <t>PULSERA CHAIN GOLD CD</t>
        </is>
      </c>
      <c r="C2776" s="1" t="inlineStr">
        <is>
          <t>Default Title</t>
        </is>
      </c>
      <c r="D2776" s="1" t="inlineStr">
        <is>
          <t>06/05/2026</t>
        </is>
      </c>
      <c r="E2776" s="1" t="n">
        <v>2026</v>
      </c>
      <c r="F2776" s="1" t="inlineStr">
        <is>
          <t>MAYO</t>
        </is>
      </c>
      <c r="G2776" s="1" t="inlineStr">
        <is>
          <t>HAIFENG</t>
        </is>
      </c>
      <c r="H2776" s="1" t="inlineStr">
        <is>
          <t>HAIFENG 06/05/2026</t>
        </is>
      </c>
      <c r="I2776" s="4" t="n">
        <v>2</v>
      </c>
      <c r="J2776" s="6" t="n">
        <v>7.9</v>
      </c>
      <c r="K2776" s="6" t="n">
        <v>167.6272739</v>
      </c>
      <c r="L2776" s="6">
        <f>I2776*K2776</f>
        <v/>
      </c>
      <c r="M2776" s="6">
        <f>K2776*4</f>
        <v/>
      </c>
      <c r="N2776" s="6" t="n">
        <v>651</v>
      </c>
    </row>
    <row r="2777">
      <c r="A2777" s="1" t="inlineStr">
        <is>
          <t>66148671022797</t>
        </is>
      </c>
      <c r="B2777" s="1" t="inlineStr">
        <is>
          <t>ARETES CD GOLD BLACK CON ZIRCONIA</t>
        </is>
      </c>
      <c r="C2777" s="1" t="inlineStr">
        <is>
          <t>Default Title</t>
        </is>
      </c>
      <c r="D2777" s="1" t="inlineStr">
        <is>
          <t>02/10/2025</t>
        </is>
      </c>
      <c r="E2777" s="1" t="n">
        <v>2025</v>
      </c>
      <c r="F2777" s="1" t="inlineStr">
        <is>
          <t>OCTUBRE</t>
        </is>
      </c>
      <c r="G2777" s="1" t="inlineStr">
        <is>
          <t>ZOEY</t>
        </is>
      </c>
      <c r="H2777" s="1" t="inlineStr">
        <is>
          <t>ZOEY 02/10/2025</t>
        </is>
      </c>
      <c r="I2777" s="4" t="n">
        <v>3</v>
      </c>
      <c r="J2777" s="6" t="n">
        <v>9</v>
      </c>
      <c r="K2777" s="6" t="n">
        <v>212.615424</v>
      </c>
      <c r="L2777" s="6">
        <f>I2777*K2777</f>
        <v/>
      </c>
      <c r="M2777" s="6">
        <f>K2777*4</f>
        <v/>
      </c>
      <c r="N2777" s="6" t="n">
        <v>799</v>
      </c>
    </row>
    <row r="2778">
      <c r="A2778" s="1" t="inlineStr">
        <is>
          <t>66148671022797</t>
        </is>
      </c>
      <c r="B2778" s="1" t="inlineStr">
        <is>
          <t>ARETES CD GOLD BLACK CON ZIRCONIA</t>
        </is>
      </c>
      <c r="C2778" s="1" t="inlineStr">
        <is>
          <t>Default Title</t>
        </is>
      </c>
      <c r="D2778" s="1" t="inlineStr">
        <is>
          <t>02/03/2026</t>
        </is>
      </c>
      <c r="E2778" s="1" t="n">
        <v>2026</v>
      </c>
      <c r="F2778" s="1" t="inlineStr">
        <is>
          <t>MARZO</t>
        </is>
      </c>
      <c r="G2778" s="1" t="inlineStr">
        <is>
          <t>ZOEY</t>
        </is>
      </c>
      <c r="H2778" s="1" t="inlineStr">
        <is>
          <t>ZOEY 02/03/2026</t>
        </is>
      </c>
      <c r="I2778" s="4" t="n">
        <v>1</v>
      </c>
      <c r="J2778" s="6" t="n">
        <v>9</v>
      </c>
      <c r="K2778" s="6" t="n">
        <v>236.4927815</v>
      </c>
      <c r="L2778" s="6">
        <f>I2778*K2778</f>
        <v/>
      </c>
      <c r="M2778" s="6">
        <f>K2778*4</f>
        <v/>
      </c>
      <c r="N2778" s="6" t="n">
        <v>925</v>
      </c>
    </row>
    <row r="2779">
      <c r="A2779" s="1" t="inlineStr">
        <is>
          <t>66148671022797</t>
        </is>
      </c>
      <c r="B2779" s="1" t="inlineStr">
        <is>
          <t>ARETES CD GOLD BLACK CON ZIRCONIA</t>
        </is>
      </c>
      <c r="C2779" s="1" t="inlineStr">
        <is>
          <t>Default Title</t>
        </is>
      </c>
      <c r="D2779" s="1" t="inlineStr">
        <is>
          <t>20/04/2026</t>
        </is>
      </c>
      <c r="E2779" s="1" t="n">
        <v>2026</v>
      </c>
      <c r="F2779" s="1" t="inlineStr">
        <is>
          <t>ABRIL</t>
        </is>
      </c>
      <c r="G2779" s="1" t="inlineStr">
        <is>
          <t>ZOEY</t>
        </is>
      </c>
      <c r="H2779" s="1" t="inlineStr">
        <is>
          <t>ZOEY 20/04/2026</t>
        </is>
      </c>
      <c r="I2779" s="4" t="n">
        <v>2</v>
      </c>
      <c r="J2779" s="6" t="n">
        <v>9</v>
      </c>
      <c r="K2779" s="6" t="n">
        <v>230.479005</v>
      </c>
      <c r="L2779" s="6">
        <f>I2779*K2779</f>
        <v/>
      </c>
      <c r="M2779" s="6">
        <f>K2779*4</f>
        <v/>
      </c>
      <c r="N2779" s="6" t="n">
        <v>925</v>
      </c>
    </row>
    <row r="2780">
      <c r="A2780" s="1" t="inlineStr">
        <is>
          <t>66176a393a025</t>
        </is>
      </c>
      <c r="B2780" s="1" t="inlineStr">
        <is>
          <t>ANILLO LOVE GOLD</t>
        </is>
      </c>
      <c r="C2780" s="1" t="inlineStr">
        <is>
          <t>5</t>
        </is>
      </c>
      <c r="D2780" s="1" t="inlineStr">
        <is>
          <t>25/09/2025</t>
        </is>
      </c>
      <c r="E2780" s="1" t="n">
        <v>2025</v>
      </c>
      <c r="F2780" s="1" t="inlineStr">
        <is>
          <t>SEPTIEMBRE</t>
        </is>
      </c>
      <c r="G2780" s="1" t="inlineStr">
        <is>
          <t>HAIFENG</t>
        </is>
      </c>
      <c r="H2780" s="1" t="inlineStr">
        <is>
          <t>HAIFENG 25/09/2025</t>
        </is>
      </c>
      <c r="I2780" s="4" t="n">
        <v>3</v>
      </c>
      <c r="J2780" s="6" t="n">
        <v>1.8</v>
      </c>
      <c r="K2780" s="6" t="n">
        <v>37.97439438</v>
      </c>
      <c r="L2780" s="6">
        <f>I2780*K2780</f>
        <v/>
      </c>
      <c r="M2780" s="6">
        <f>K2780*4</f>
        <v/>
      </c>
      <c r="N2780" s="6" t="n">
        <v>400</v>
      </c>
    </row>
    <row r="2781">
      <c r="A2781" s="1" t="inlineStr">
        <is>
          <t>66176a393a025</t>
        </is>
      </c>
      <c r="B2781" s="1" t="inlineStr">
        <is>
          <t>ANILLO LOVE GOLD</t>
        </is>
      </c>
      <c r="C2781" s="1" t="inlineStr">
        <is>
          <t>5</t>
        </is>
      </c>
      <c r="D2781" s="1" t="inlineStr">
        <is>
          <t>20/01/2026</t>
        </is>
      </c>
      <c r="E2781" s="1" t="n">
        <v>2026</v>
      </c>
      <c r="F2781" s="1" t="inlineStr">
        <is>
          <t>ENERO</t>
        </is>
      </c>
      <c r="G2781" s="1" t="inlineStr">
        <is>
          <t>HAIFENG</t>
        </is>
      </c>
      <c r="H2781" s="1" t="inlineStr">
        <is>
          <t>HAIFENG 20/01/2026</t>
        </is>
      </c>
      <c r="I2781" s="4" t="n">
        <v>7</v>
      </c>
      <c r="J2781" s="6" t="n">
        <v>1.8</v>
      </c>
      <c r="K2781" s="6" t="n">
        <v>38.16075203</v>
      </c>
      <c r="L2781" s="6">
        <f>I2781*K2781</f>
        <v/>
      </c>
      <c r="M2781" s="6">
        <f>K2781*4</f>
        <v/>
      </c>
      <c r="N2781" s="6" t="n">
        <v>400</v>
      </c>
    </row>
    <row r="2782">
      <c r="A2782" s="1" t="inlineStr">
        <is>
          <t>66176a393a025</t>
        </is>
      </c>
      <c r="B2782" s="1" t="inlineStr">
        <is>
          <t>ANILLO LOVE GOLD</t>
        </is>
      </c>
      <c r="C2782" s="1" t="inlineStr">
        <is>
          <t>5</t>
        </is>
      </c>
      <c r="D2782" s="1" t="inlineStr">
        <is>
          <t>06/05/2026</t>
        </is>
      </c>
      <c r="E2782" s="1" t="n">
        <v>2026</v>
      </c>
      <c r="F2782" s="1" t="inlineStr">
        <is>
          <t>MAYO</t>
        </is>
      </c>
      <c r="G2782" s="1" t="inlineStr">
        <is>
          <t>HAIFENG</t>
        </is>
      </c>
      <c r="H2782" s="1" t="inlineStr">
        <is>
          <t>HAIFENG 06/05/2026</t>
        </is>
      </c>
      <c r="I2782" s="4" t="n">
        <v>3</v>
      </c>
      <c r="J2782" s="6" t="n">
        <v>1.8</v>
      </c>
      <c r="K2782" s="6" t="n">
        <v>38.19355608</v>
      </c>
      <c r="L2782" s="6">
        <f>I2782*K2782</f>
        <v/>
      </c>
      <c r="M2782" s="6">
        <f>K2782*4</f>
        <v/>
      </c>
      <c r="N2782" s="6" t="n">
        <v>400</v>
      </c>
    </row>
    <row r="2783">
      <c r="A2783" s="1" t="inlineStr">
        <is>
          <t>66176a393a025</t>
        </is>
      </c>
      <c r="B2783" s="1" t="inlineStr">
        <is>
          <t>ANILLO LOVE GOLD</t>
        </is>
      </c>
      <c r="C2783" s="1" t="inlineStr">
        <is>
          <t>5</t>
        </is>
      </c>
      <c r="D2783" s="1" t="inlineStr">
        <is>
          <t>26/05/2026</t>
        </is>
      </c>
      <c r="E2783" s="1" t="n">
        <v>2026</v>
      </c>
      <c r="F2783" s="1" t="inlineStr">
        <is>
          <t>MAYO</t>
        </is>
      </c>
      <c r="G2783" s="1" t="inlineStr">
        <is>
          <t>HAIFENG</t>
        </is>
      </c>
      <c r="H2783" s="1" t="inlineStr">
        <is>
          <t>HAIFENG 26/05/2026</t>
        </is>
      </c>
      <c r="I2783" s="4" t="n">
        <v>4</v>
      </c>
      <c r="J2783" s="6" t="n">
        <v>1.8</v>
      </c>
      <c r="K2783" s="6" t="n">
        <v>37.78073153</v>
      </c>
      <c r="L2783" s="6">
        <f>I2783*K2783</f>
        <v/>
      </c>
      <c r="M2783" s="6">
        <f>K2783*4</f>
        <v/>
      </c>
      <c r="N2783" s="6" t="n">
        <v>400</v>
      </c>
    </row>
    <row r="2784">
      <c r="A2784" s="1" t="inlineStr">
        <is>
          <t>66176a39da1f0</t>
        </is>
      </c>
      <c r="B2784" s="1" t="inlineStr">
        <is>
          <t>ANILLO LOVE GOLD</t>
        </is>
      </c>
      <c r="C2784" s="1" t="inlineStr">
        <is>
          <t>6</t>
        </is>
      </c>
      <c r="D2784" s="1" t="inlineStr">
        <is>
          <t>25/09/2025</t>
        </is>
      </c>
      <c r="E2784" s="1" t="n">
        <v>2025</v>
      </c>
      <c r="F2784" s="1" t="inlineStr">
        <is>
          <t>SEPTIEMBRE</t>
        </is>
      </c>
      <c r="G2784" s="1" t="inlineStr">
        <is>
          <t>HAIFENG</t>
        </is>
      </c>
      <c r="H2784" s="1" t="inlineStr">
        <is>
          <t>HAIFENG 25/09/2025</t>
        </is>
      </c>
      <c r="I2784" s="4" t="n">
        <v>4</v>
      </c>
      <c r="J2784" s="6" t="n">
        <v>1.8</v>
      </c>
      <c r="K2784" s="6" t="n">
        <v>37.97439438</v>
      </c>
      <c r="L2784" s="6">
        <f>I2784*K2784</f>
        <v/>
      </c>
      <c r="M2784" s="6">
        <f>K2784*4</f>
        <v/>
      </c>
      <c r="N2784" s="6" t="n">
        <v>400</v>
      </c>
    </row>
    <row r="2785">
      <c r="A2785" s="1" t="inlineStr">
        <is>
          <t>66176a39da1f0</t>
        </is>
      </c>
      <c r="B2785" s="1" t="inlineStr">
        <is>
          <t>ANILLO LOVE GOLD</t>
        </is>
      </c>
      <c r="C2785" s="1" t="inlineStr">
        <is>
          <t>6</t>
        </is>
      </c>
      <c r="D2785" s="1" t="inlineStr">
        <is>
          <t>03/12/2025</t>
        </is>
      </c>
      <c r="E2785" s="1" t="n">
        <v>2025</v>
      </c>
      <c r="F2785" s="1" t="inlineStr">
        <is>
          <t>DICIEMBRE</t>
        </is>
      </c>
      <c r="G2785" s="1" t="inlineStr">
        <is>
          <t>HAIFENG</t>
        </is>
      </c>
      <c r="H2785" s="1" t="inlineStr">
        <is>
          <t>HAIFENG 03/12/2025</t>
        </is>
      </c>
      <c r="I2785" s="4" t="n">
        <v>4</v>
      </c>
      <c r="J2785" s="6" t="n">
        <v>1.8</v>
      </c>
      <c r="K2785" s="6" t="n">
        <v>37.65088802</v>
      </c>
      <c r="L2785" s="6">
        <f>I2785*K2785</f>
        <v/>
      </c>
      <c r="M2785" s="6">
        <f>K2785*4</f>
        <v/>
      </c>
      <c r="N2785" s="6" t="n">
        <v>400</v>
      </c>
    </row>
    <row r="2786">
      <c r="A2786" s="1" t="inlineStr">
        <is>
          <t>66176a39da1f0</t>
        </is>
      </c>
      <c r="B2786" s="1" t="inlineStr">
        <is>
          <t>ANILLO LOVE GOLD</t>
        </is>
      </c>
      <c r="C2786" s="1" t="inlineStr">
        <is>
          <t>6</t>
        </is>
      </c>
      <c r="D2786" s="1" t="inlineStr">
        <is>
          <t>20/01/2026</t>
        </is>
      </c>
      <c r="E2786" s="1" t="n">
        <v>2026</v>
      </c>
      <c r="F2786" s="1" t="inlineStr">
        <is>
          <t>ENERO</t>
        </is>
      </c>
      <c r="G2786" s="1" t="inlineStr">
        <is>
          <t>HAIFENG</t>
        </is>
      </c>
      <c r="H2786" s="1" t="inlineStr">
        <is>
          <t>HAIFENG 20/01/2026</t>
        </is>
      </c>
      <c r="I2786" s="4" t="n">
        <v>3</v>
      </c>
      <c r="J2786" s="6" t="n">
        <v>1.8</v>
      </c>
      <c r="K2786" s="6" t="n">
        <v>38.16075203</v>
      </c>
      <c r="L2786" s="6">
        <f>I2786*K2786</f>
        <v/>
      </c>
      <c r="M2786" s="6">
        <f>K2786*4</f>
        <v/>
      </c>
      <c r="N2786" s="6" t="n">
        <v>400</v>
      </c>
    </row>
    <row r="2787">
      <c r="A2787" s="1" t="inlineStr">
        <is>
          <t>66176a39da1f0</t>
        </is>
      </c>
      <c r="B2787" s="1" t="n"/>
      <c r="C2787" s="1" t="inlineStr">
        <is>
          <t>6</t>
        </is>
      </c>
      <c r="D2787" s="1" t="inlineStr">
        <is>
          <t>10/02/2026</t>
        </is>
      </c>
      <c r="E2787" s="1" t="n">
        <v>2026</v>
      </c>
      <c r="F2787" s="1" t="inlineStr">
        <is>
          <t>FEBRERO</t>
        </is>
      </c>
      <c r="G2787" s="1" t="inlineStr">
        <is>
          <t>HAIFENG</t>
        </is>
      </c>
      <c r="H2787" s="1" t="inlineStr">
        <is>
          <t>HAIFENG 10/02/2026</t>
        </is>
      </c>
      <c r="I2787" s="4" t="n">
        <v>3</v>
      </c>
      <c r="J2787" s="6" t="n">
        <v>1.8</v>
      </c>
      <c r="K2787" s="6" t="n">
        <v>37.92329292</v>
      </c>
      <c r="L2787" s="6">
        <f>I2787*K2787</f>
        <v/>
      </c>
      <c r="M2787" s="6">
        <f>K2787*4</f>
        <v/>
      </c>
      <c r="N2787" s="6" t="n">
        <v>400</v>
      </c>
    </row>
    <row r="2788">
      <c r="A2788" s="1" t="inlineStr">
        <is>
          <t>66176a39da1f0</t>
        </is>
      </c>
      <c r="B2788" s="1" t="inlineStr">
        <is>
          <t>ANILLO LOVE GOLD</t>
        </is>
      </c>
      <c r="C2788" s="1" t="inlineStr">
        <is>
          <t>6</t>
        </is>
      </c>
      <c r="D2788" s="1" t="inlineStr">
        <is>
          <t>11/03/2026</t>
        </is>
      </c>
      <c r="E2788" s="1" t="n">
        <v>2026</v>
      </c>
      <c r="F2788" s="1" t="inlineStr">
        <is>
          <t>MARZO</t>
        </is>
      </c>
      <c r="G2788" s="1" t="inlineStr">
        <is>
          <t>HAIFENG</t>
        </is>
      </c>
      <c r="H2788" s="1" t="inlineStr">
        <is>
          <t>HAIFENG 11/03/2026</t>
        </is>
      </c>
      <c r="I2788" s="4" t="n">
        <v>5</v>
      </c>
      <c r="J2788" s="6" t="n">
        <v>1.8</v>
      </c>
      <c r="K2788" s="6" t="n">
        <v>38.34701319</v>
      </c>
      <c r="L2788" s="6">
        <f>I2788*K2788</f>
        <v/>
      </c>
      <c r="M2788" s="6">
        <f>K2788*4</f>
        <v/>
      </c>
      <c r="N2788" s="6" t="n">
        <v>400</v>
      </c>
    </row>
    <row r="2789">
      <c r="A2789" s="1" t="inlineStr">
        <is>
          <t>66176a39da1f0</t>
        </is>
      </c>
      <c r="B2789" s="1" t="inlineStr">
        <is>
          <t>ANILLO LOVE GOLD</t>
        </is>
      </c>
      <c r="C2789" s="1" t="inlineStr">
        <is>
          <t>6</t>
        </is>
      </c>
      <c r="D2789" s="1" t="inlineStr">
        <is>
          <t>06/05/2026</t>
        </is>
      </c>
      <c r="E2789" s="1" t="n">
        <v>2026</v>
      </c>
      <c r="F2789" s="1" t="inlineStr">
        <is>
          <t>MAYO</t>
        </is>
      </c>
      <c r="G2789" s="1" t="inlineStr">
        <is>
          <t>HAIFENG</t>
        </is>
      </c>
      <c r="H2789" s="1" t="inlineStr">
        <is>
          <t>HAIFENG 06/05/2026</t>
        </is>
      </c>
      <c r="I2789" s="4" t="n">
        <v>12</v>
      </c>
      <c r="J2789" s="6" t="n">
        <v>1.8</v>
      </c>
      <c r="K2789" s="6" t="n">
        <v>38.19355608</v>
      </c>
      <c r="L2789" s="6">
        <f>I2789*K2789</f>
        <v/>
      </c>
      <c r="M2789" s="6">
        <f>K2789*4</f>
        <v/>
      </c>
      <c r="N2789" s="6" t="n">
        <v>400</v>
      </c>
    </row>
    <row r="2790">
      <c r="A2790" s="1" t="inlineStr">
        <is>
          <t>66176a39da1f0</t>
        </is>
      </c>
      <c r="B2790" s="1" t="inlineStr">
        <is>
          <t>ANILLO LOVE GOLD</t>
        </is>
      </c>
      <c r="C2790" s="1" t="inlineStr">
        <is>
          <t>6</t>
        </is>
      </c>
      <c r="D2790" s="1" t="inlineStr">
        <is>
          <t>16/06/2026</t>
        </is>
      </c>
      <c r="E2790" s="1" t="n">
        <v>2026</v>
      </c>
      <c r="F2790" s="1" t="inlineStr">
        <is>
          <t>JUNIO</t>
        </is>
      </c>
      <c r="G2790" s="1" t="inlineStr">
        <is>
          <t>HAIFENG</t>
        </is>
      </c>
      <c r="H2790" s="1" t="inlineStr">
        <is>
          <t>HAIFENG 16/06/2026</t>
        </is>
      </c>
      <c r="I2790" s="4" t="n">
        <v>5</v>
      </c>
      <c r="J2790" s="6" t="n">
        <v>1.8</v>
      </c>
      <c r="K2790" s="6" t="n">
        <v>37.82629163</v>
      </c>
      <c r="L2790" s="6">
        <f>I2790*K2790</f>
        <v/>
      </c>
      <c r="M2790" s="6">
        <f>K2790*4</f>
        <v/>
      </c>
      <c r="N2790" s="6" t="n">
        <v>400</v>
      </c>
    </row>
    <row r="2791">
      <c r="A2791" s="1" t="inlineStr">
        <is>
          <t>66176a3a6e732</t>
        </is>
      </c>
      <c r="B2791" s="1" t="inlineStr">
        <is>
          <t>ANILLO LOVE GOLD</t>
        </is>
      </c>
      <c r="C2791" s="1" t="inlineStr">
        <is>
          <t>7</t>
        </is>
      </c>
      <c r="D2791" s="1" t="inlineStr">
        <is>
          <t>01/09/2025</t>
        </is>
      </c>
      <c r="E2791" s="1" t="n">
        <v>2025</v>
      </c>
      <c r="F2791" s="1" t="inlineStr">
        <is>
          <t>SEPTIEMBRE</t>
        </is>
      </c>
      <c r="G2791" s="1" t="inlineStr">
        <is>
          <t>HAIFENG</t>
        </is>
      </c>
      <c r="H2791" s="1" t="inlineStr">
        <is>
          <t>HAIFENG 01/09/2025</t>
        </is>
      </c>
      <c r="I2791" s="4" t="n">
        <v>4</v>
      </c>
      <c r="J2791" s="6" t="n">
        <v>1.8</v>
      </c>
      <c r="K2791" s="6" t="n">
        <v>38.26020791</v>
      </c>
      <c r="L2791" s="6">
        <f>I2791*K2791</f>
        <v/>
      </c>
      <c r="M2791" s="6">
        <f>K2791*4</f>
        <v/>
      </c>
      <c r="N2791" s="6" t="n">
        <v>400</v>
      </c>
    </row>
    <row r="2792">
      <c r="A2792" s="1" t="inlineStr">
        <is>
          <t>66176a3a6e732</t>
        </is>
      </c>
      <c r="B2792" s="1" t="inlineStr">
        <is>
          <t>ANILLO LOVE GOLD</t>
        </is>
      </c>
      <c r="C2792" s="1" t="inlineStr">
        <is>
          <t>7</t>
        </is>
      </c>
      <c r="D2792" s="1" t="inlineStr">
        <is>
          <t>11/11/2025</t>
        </is>
      </c>
      <c r="E2792" s="1" t="n">
        <v>2025</v>
      </c>
      <c r="F2792" s="1" t="inlineStr">
        <is>
          <t>NOVIEMBRE</t>
        </is>
      </c>
      <c r="G2792" s="1" t="inlineStr">
        <is>
          <t>HAIFENG</t>
        </is>
      </c>
      <c r="H2792" s="1" t="inlineStr">
        <is>
          <t>HAIFENG 11/11/2025</t>
        </is>
      </c>
      <c r="I2792" s="4" t="n">
        <v>2</v>
      </c>
      <c r="J2792" s="6" t="n">
        <v>1.8</v>
      </c>
      <c r="K2792" s="6" t="n">
        <v>37.9088972</v>
      </c>
      <c r="L2792" s="6">
        <f>I2792*K2792</f>
        <v/>
      </c>
      <c r="M2792" s="6">
        <f>K2792*4</f>
        <v/>
      </c>
      <c r="N2792" s="6" t="n">
        <v>400</v>
      </c>
    </row>
    <row r="2793">
      <c r="A2793" s="1" t="inlineStr">
        <is>
          <t>66176a3a6e732</t>
        </is>
      </c>
      <c r="B2793" s="1" t="inlineStr">
        <is>
          <t>ANILLO LOVE GOLD</t>
        </is>
      </c>
      <c r="C2793" s="1" t="inlineStr">
        <is>
          <t>7</t>
        </is>
      </c>
      <c r="D2793" s="1" t="inlineStr">
        <is>
          <t>03/12/2025</t>
        </is>
      </c>
      <c r="E2793" s="1" t="n">
        <v>2025</v>
      </c>
      <c r="F2793" s="1" t="inlineStr">
        <is>
          <t>DICIEMBRE</t>
        </is>
      </c>
      <c r="G2793" s="1" t="inlineStr">
        <is>
          <t>HAIFENG</t>
        </is>
      </c>
      <c r="H2793" s="1" t="inlineStr">
        <is>
          <t>HAIFENG 03/12/2025</t>
        </is>
      </c>
      <c r="I2793" s="4" t="n">
        <v>3</v>
      </c>
      <c r="J2793" s="6" t="n">
        <v>1.8</v>
      </c>
      <c r="K2793" s="6" t="n">
        <v>37.65088802</v>
      </c>
      <c r="L2793" s="6">
        <f>I2793*K2793</f>
        <v/>
      </c>
      <c r="M2793" s="6">
        <f>K2793*4</f>
        <v/>
      </c>
      <c r="N2793" s="6" t="n">
        <v>400</v>
      </c>
    </row>
    <row r="2794">
      <c r="A2794" s="1" t="inlineStr">
        <is>
          <t>66176a3a6e732</t>
        </is>
      </c>
      <c r="B2794" s="1" t="inlineStr">
        <is>
          <t>ANILLO LOVE GOLD</t>
        </is>
      </c>
      <c r="C2794" s="1" t="inlineStr">
        <is>
          <t>7</t>
        </is>
      </c>
      <c r="D2794" s="1" t="inlineStr">
        <is>
          <t>20/01/2026</t>
        </is>
      </c>
      <c r="E2794" s="1" t="n">
        <v>2026</v>
      </c>
      <c r="F2794" s="1" t="inlineStr">
        <is>
          <t>ENERO</t>
        </is>
      </c>
      <c r="G2794" s="1" t="inlineStr">
        <is>
          <t>HAIFENG</t>
        </is>
      </c>
      <c r="H2794" s="1" t="inlineStr">
        <is>
          <t>HAIFENG 20/01/2026</t>
        </is>
      </c>
      <c r="I2794" s="4" t="n">
        <v>10</v>
      </c>
      <c r="J2794" s="6" t="n">
        <v>1.8</v>
      </c>
      <c r="K2794" s="6" t="n">
        <v>38.16075203</v>
      </c>
      <c r="L2794" s="6">
        <f>I2794*K2794</f>
        <v/>
      </c>
      <c r="M2794" s="6">
        <f>K2794*4</f>
        <v/>
      </c>
      <c r="N2794" s="6" t="n">
        <v>400</v>
      </c>
    </row>
    <row r="2795">
      <c r="A2795" s="1" t="inlineStr">
        <is>
          <t>66176a3a6e732</t>
        </is>
      </c>
      <c r="B2795" s="1" t="n"/>
      <c r="C2795" s="1" t="inlineStr">
        <is>
          <t>7</t>
        </is>
      </c>
      <c r="D2795" s="1" t="inlineStr">
        <is>
          <t>10/02/2026</t>
        </is>
      </c>
      <c r="E2795" s="1" t="n">
        <v>2026</v>
      </c>
      <c r="F2795" s="1" t="inlineStr">
        <is>
          <t>FEBRERO</t>
        </is>
      </c>
      <c r="G2795" s="1" t="inlineStr">
        <is>
          <t>HAIFENG</t>
        </is>
      </c>
      <c r="H2795" s="1" t="inlineStr">
        <is>
          <t>HAIFENG 10/02/2026</t>
        </is>
      </c>
      <c r="I2795" s="4" t="n">
        <v>3</v>
      </c>
      <c r="J2795" s="6" t="n">
        <v>1.8</v>
      </c>
      <c r="K2795" s="6" t="n">
        <v>37.92329292</v>
      </c>
      <c r="L2795" s="6">
        <f>I2795*K2795</f>
        <v/>
      </c>
      <c r="M2795" s="6">
        <f>K2795*4</f>
        <v/>
      </c>
      <c r="N2795" s="6" t="n">
        <v>400</v>
      </c>
    </row>
    <row r="2796">
      <c r="A2796" s="1" t="inlineStr">
        <is>
          <t>66176a3a6e732</t>
        </is>
      </c>
      <c r="B2796" s="1" t="inlineStr">
        <is>
          <t>ANILLO LOVE GOLD ( THIN WITHOUT ZIRCONIAS)</t>
        </is>
      </c>
      <c r="C2796" s="1" t="inlineStr">
        <is>
          <t>7</t>
        </is>
      </c>
      <c r="D2796" s="1" t="inlineStr">
        <is>
          <t>16/04/2026</t>
        </is>
      </c>
      <c r="E2796" s="1" t="n">
        <v>2026</v>
      </c>
      <c r="F2796" s="1" t="inlineStr">
        <is>
          <t>ABRIL</t>
        </is>
      </c>
      <c r="G2796" s="1" t="inlineStr">
        <is>
          <t>HAIFENG</t>
        </is>
      </c>
      <c r="H2796" s="1" t="inlineStr">
        <is>
          <t>HAIFENG 16/04/2026</t>
        </is>
      </c>
      <c r="I2796" s="4" t="n">
        <v>7</v>
      </c>
      <c r="J2796" s="6" t="n">
        <v>1.8</v>
      </c>
      <c r="K2796" s="6" t="n">
        <v>37.85665246</v>
      </c>
      <c r="L2796" s="6">
        <f>I2796*K2796</f>
        <v/>
      </c>
      <c r="M2796" s="6">
        <f>K2796*4</f>
        <v/>
      </c>
      <c r="N2796" s="6" t="n">
        <v>400</v>
      </c>
    </row>
    <row r="2797">
      <c r="A2797" s="1" t="inlineStr">
        <is>
          <t>66176a3a6e732</t>
        </is>
      </c>
      <c r="B2797" s="1" t="inlineStr">
        <is>
          <t>ANILLO LOVE GOLD</t>
        </is>
      </c>
      <c r="C2797" s="1" t="inlineStr">
        <is>
          <t>7</t>
        </is>
      </c>
      <c r="D2797" s="1" t="inlineStr">
        <is>
          <t>26/05/2026</t>
        </is>
      </c>
      <c r="E2797" s="1" t="n">
        <v>2026</v>
      </c>
      <c r="F2797" s="1" t="inlineStr">
        <is>
          <t>MAYO</t>
        </is>
      </c>
      <c r="G2797" s="1" t="inlineStr">
        <is>
          <t>HAIFENG</t>
        </is>
      </c>
      <c r="H2797" s="1" t="inlineStr">
        <is>
          <t>HAIFENG 26/05/2026</t>
        </is>
      </c>
      <c r="I2797" s="4" t="n">
        <v>10</v>
      </c>
      <c r="J2797" s="6" t="n">
        <v>1.8</v>
      </c>
      <c r="K2797" s="6" t="n">
        <v>37.78073153</v>
      </c>
      <c r="L2797" s="6">
        <f>I2797*K2797</f>
        <v/>
      </c>
      <c r="M2797" s="6">
        <f>K2797*4</f>
        <v/>
      </c>
      <c r="N2797" s="6" t="n">
        <v>400</v>
      </c>
    </row>
    <row r="2798">
      <c r="A2798" s="1" t="inlineStr">
        <is>
          <t>66176a3a6e732</t>
        </is>
      </c>
      <c r="B2798" s="1" t="inlineStr">
        <is>
          <t>ANILLO LOVE GOLD</t>
        </is>
      </c>
      <c r="C2798" s="1" t="inlineStr">
        <is>
          <t>7</t>
        </is>
      </c>
      <c r="D2798" s="1" t="inlineStr">
        <is>
          <t>16/06/2026</t>
        </is>
      </c>
      <c r="E2798" s="1" t="n">
        <v>2026</v>
      </c>
      <c r="F2798" s="1" t="inlineStr">
        <is>
          <t>JUNIO</t>
        </is>
      </c>
      <c r="G2798" s="1" t="inlineStr">
        <is>
          <t>HAIFENG</t>
        </is>
      </c>
      <c r="H2798" s="1" t="inlineStr">
        <is>
          <t>HAIFENG 16/06/2026</t>
        </is>
      </c>
      <c r="I2798" s="4" t="n">
        <v>10</v>
      </c>
      <c r="J2798" s="6" t="n">
        <v>1.8</v>
      </c>
      <c r="K2798" s="6" t="n">
        <v>37.82629163</v>
      </c>
      <c r="L2798" s="6">
        <f>I2798*K2798</f>
        <v/>
      </c>
      <c r="M2798" s="6">
        <f>K2798*4</f>
        <v/>
      </c>
      <c r="N2798" s="6" t="n">
        <v>400</v>
      </c>
    </row>
    <row r="2799">
      <c r="A2799" s="1" t="inlineStr">
        <is>
          <t>66176a3b07b47</t>
        </is>
      </c>
      <c r="B2799" s="1" t="inlineStr">
        <is>
          <t>ANILLO LOVE GOLD</t>
        </is>
      </c>
      <c r="C2799" s="1" t="inlineStr">
        <is>
          <t>8</t>
        </is>
      </c>
      <c r="D2799" s="1" t="inlineStr">
        <is>
          <t>01/09/2025</t>
        </is>
      </c>
      <c r="E2799" s="1" t="n">
        <v>2025</v>
      </c>
      <c r="F2799" s="1" t="inlineStr">
        <is>
          <t>SEPTIEMBRE</t>
        </is>
      </c>
      <c r="G2799" s="1" t="inlineStr">
        <is>
          <t>HAIFENG</t>
        </is>
      </c>
      <c r="H2799" s="1" t="inlineStr">
        <is>
          <t>HAIFENG 01/09/2025</t>
        </is>
      </c>
      <c r="I2799" s="4" t="n">
        <v>3</v>
      </c>
      <c r="J2799" s="6" t="n">
        <v>1.8</v>
      </c>
      <c r="K2799" s="6" t="n">
        <v>38.26020791</v>
      </c>
      <c r="L2799" s="6">
        <f>I2799*K2799</f>
        <v/>
      </c>
      <c r="M2799" s="6">
        <f>K2799*4</f>
        <v/>
      </c>
      <c r="N2799" s="6" t="n">
        <v>400</v>
      </c>
    </row>
    <row r="2800">
      <c r="A2800" s="1" t="inlineStr">
        <is>
          <t>66176a3b07b47</t>
        </is>
      </c>
      <c r="B2800" s="1" t="inlineStr">
        <is>
          <t>ANILLO LOVE GOLD</t>
        </is>
      </c>
      <c r="C2800" s="1" t="inlineStr">
        <is>
          <t>8</t>
        </is>
      </c>
      <c r="D2800" s="1" t="inlineStr">
        <is>
          <t>11/11/2025</t>
        </is>
      </c>
      <c r="E2800" s="1" t="n">
        <v>2025</v>
      </c>
      <c r="F2800" s="1" t="inlineStr">
        <is>
          <t>NOVIEMBRE</t>
        </is>
      </c>
      <c r="G2800" s="1" t="inlineStr">
        <is>
          <t>HAIFENG</t>
        </is>
      </c>
      <c r="H2800" s="1" t="inlineStr">
        <is>
          <t>HAIFENG 11/11/2025</t>
        </is>
      </c>
      <c r="I2800" s="4" t="n">
        <v>6</v>
      </c>
      <c r="J2800" s="6" t="n">
        <v>1.8</v>
      </c>
      <c r="K2800" s="6" t="n">
        <v>37.9088972</v>
      </c>
      <c r="L2800" s="6">
        <f>I2800*K2800</f>
        <v/>
      </c>
      <c r="M2800" s="6">
        <f>K2800*4</f>
        <v/>
      </c>
      <c r="N2800" s="6" t="n">
        <v>400</v>
      </c>
    </row>
    <row r="2801">
      <c r="A2801" s="1" t="inlineStr">
        <is>
          <t>66176a3b07b47</t>
        </is>
      </c>
      <c r="B2801" s="1" t="inlineStr">
        <is>
          <t>ANILLO LOVE GOLD</t>
        </is>
      </c>
      <c r="C2801" s="1" t="inlineStr">
        <is>
          <t>8</t>
        </is>
      </c>
      <c r="D2801" s="1" t="inlineStr">
        <is>
          <t>03/12/2025</t>
        </is>
      </c>
      <c r="E2801" s="1" t="n">
        <v>2025</v>
      </c>
      <c r="F2801" s="1" t="inlineStr">
        <is>
          <t>DICIEMBRE</t>
        </is>
      </c>
      <c r="G2801" s="1" t="inlineStr">
        <is>
          <t>HAIFENG</t>
        </is>
      </c>
      <c r="H2801" s="1" t="inlineStr">
        <is>
          <t>HAIFENG 03/12/2025</t>
        </is>
      </c>
      <c r="I2801" s="4" t="n">
        <v>3</v>
      </c>
      <c r="J2801" s="6" t="n">
        <v>1.8</v>
      </c>
      <c r="K2801" s="6" t="n">
        <v>37.65088802</v>
      </c>
      <c r="L2801" s="6">
        <f>I2801*K2801</f>
        <v/>
      </c>
      <c r="M2801" s="6">
        <f>K2801*4</f>
        <v/>
      </c>
      <c r="N2801" s="6" t="n">
        <v>400</v>
      </c>
    </row>
    <row r="2802">
      <c r="A2802" s="1" t="inlineStr">
        <is>
          <t>66176a3b07b47</t>
        </is>
      </c>
      <c r="B2802" s="1" t="inlineStr">
        <is>
          <t>ANILLO LOVE GOLD</t>
        </is>
      </c>
      <c r="C2802" s="1" t="inlineStr">
        <is>
          <t>8</t>
        </is>
      </c>
      <c r="D2802" s="1" t="inlineStr">
        <is>
          <t>20/01/2026</t>
        </is>
      </c>
      <c r="E2802" s="1" t="n">
        <v>2026</v>
      </c>
      <c r="F2802" s="1" t="inlineStr">
        <is>
          <t>ENERO</t>
        </is>
      </c>
      <c r="G2802" s="1" t="inlineStr">
        <is>
          <t>HAIFENG</t>
        </is>
      </c>
      <c r="H2802" s="1" t="inlineStr">
        <is>
          <t>HAIFENG 20/01/2026</t>
        </is>
      </c>
      <c r="I2802" s="4" t="n">
        <v>4</v>
      </c>
      <c r="J2802" s="6" t="n">
        <v>1.8</v>
      </c>
      <c r="K2802" s="6" t="n">
        <v>38.16075203</v>
      </c>
      <c r="L2802" s="6">
        <f>I2802*K2802</f>
        <v/>
      </c>
      <c r="M2802" s="6">
        <f>K2802*4</f>
        <v/>
      </c>
      <c r="N2802" s="6" t="n">
        <v>400</v>
      </c>
    </row>
    <row r="2803">
      <c r="A2803" s="1" t="inlineStr">
        <is>
          <t>66176a3b07b47</t>
        </is>
      </c>
      <c r="B2803" s="1" t="n"/>
      <c r="C2803" s="1" t="inlineStr">
        <is>
          <t>8</t>
        </is>
      </c>
      <c r="D2803" s="1" t="inlineStr">
        <is>
          <t>10/02/2026</t>
        </is>
      </c>
      <c r="E2803" s="1" t="n">
        <v>2026</v>
      </c>
      <c r="F2803" s="1" t="inlineStr">
        <is>
          <t>FEBRERO</t>
        </is>
      </c>
      <c r="G2803" s="1" t="inlineStr">
        <is>
          <t>HAIFENG</t>
        </is>
      </c>
      <c r="H2803" s="1" t="inlineStr">
        <is>
          <t>HAIFENG 10/02/2026</t>
        </is>
      </c>
      <c r="I2803" s="4" t="n">
        <v>4</v>
      </c>
      <c r="J2803" s="6" t="n">
        <v>1.8</v>
      </c>
      <c r="K2803" s="6" t="n">
        <v>37.92329292</v>
      </c>
      <c r="L2803" s="6">
        <f>I2803*K2803</f>
        <v/>
      </c>
      <c r="M2803" s="6">
        <f>K2803*4</f>
        <v/>
      </c>
      <c r="N2803" s="6" t="n">
        <v>400</v>
      </c>
    </row>
    <row r="2804">
      <c r="A2804" s="1" t="inlineStr">
        <is>
          <t>66176a3b07b47</t>
        </is>
      </c>
      <c r="B2804" s="1" t="inlineStr">
        <is>
          <t>ANILLO LOVE GOLD</t>
        </is>
      </c>
      <c r="C2804" s="1" t="inlineStr">
        <is>
          <t>8</t>
        </is>
      </c>
      <c r="D2804" s="1" t="inlineStr">
        <is>
          <t>16/06/2026</t>
        </is>
      </c>
      <c r="E2804" s="1" t="n">
        <v>2026</v>
      </c>
      <c r="F2804" s="1" t="inlineStr">
        <is>
          <t>JUNIO</t>
        </is>
      </c>
      <c r="G2804" s="1" t="inlineStr">
        <is>
          <t>HAIFENG</t>
        </is>
      </c>
      <c r="H2804" s="1" t="inlineStr">
        <is>
          <t>HAIFENG 16/06/2026</t>
        </is>
      </c>
      <c r="I2804" s="4" t="n">
        <v>4</v>
      </c>
      <c r="J2804" s="6" t="n">
        <v>1.8</v>
      </c>
      <c r="K2804" s="6" t="n">
        <v>37.82629163</v>
      </c>
      <c r="L2804" s="6">
        <f>I2804*K2804</f>
        <v/>
      </c>
      <c r="M2804" s="6">
        <f>K2804*4</f>
        <v/>
      </c>
      <c r="N2804" s="6" t="n">
        <v>400</v>
      </c>
    </row>
    <row r="2805">
      <c r="A2805" s="1" t="inlineStr">
        <is>
          <t>66176a3b97be5</t>
        </is>
      </c>
      <c r="B2805" s="1" t="inlineStr">
        <is>
          <t>ANILLO LOVE GOLD</t>
        </is>
      </c>
      <c r="C2805" s="1" t="inlineStr">
        <is>
          <t>9</t>
        </is>
      </c>
      <c r="D2805" s="1" t="inlineStr">
        <is>
          <t>25/09/2025</t>
        </is>
      </c>
      <c r="E2805" s="1" t="n">
        <v>2025</v>
      </c>
      <c r="F2805" s="1" t="inlineStr">
        <is>
          <t>SEPTIEMBRE</t>
        </is>
      </c>
      <c r="G2805" s="1" t="inlineStr">
        <is>
          <t>HAIFENG</t>
        </is>
      </c>
      <c r="H2805" s="1" t="inlineStr">
        <is>
          <t>HAIFENG 25/09/2025</t>
        </is>
      </c>
      <c r="I2805" s="4" t="n">
        <v>4</v>
      </c>
      <c r="J2805" s="6" t="n">
        <v>1.8</v>
      </c>
      <c r="K2805" s="6" t="n">
        <v>37.97439438</v>
      </c>
      <c r="L2805" s="6">
        <f>I2805*K2805</f>
        <v/>
      </c>
      <c r="M2805" s="6">
        <f>K2805*4</f>
        <v/>
      </c>
      <c r="N2805" s="6" t="n">
        <v>400</v>
      </c>
    </row>
    <row r="2806">
      <c r="A2806" s="1" t="inlineStr">
        <is>
          <t>66176a3b97be5</t>
        </is>
      </c>
      <c r="B2806" s="1" t="inlineStr">
        <is>
          <t>ANILLO LOVE GOLD</t>
        </is>
      </c>
      <c r="C2806" s="1" t="inlineStr">
        <is>
          <t>9</t>
        </is>
      </c>
      <c r="D2806" s="1" t="inlineStr">
        <is>
          <t>03/12/2025</t>
        </is>
      </c>
      <c r="E2806" s="1" t="n">
        <v>2025</v>
      </c>
      <c r="F2806" s="1" t="inlineStr">
        <is>
          <t>DICIEMBRE</t>
        </is>
      </c>
      <c r="G2806" s="1" t="inlineStr">
        <is>
          <t>HAIFENG</t>
        </is>
      </c>
      <c r="H2806" s="1" t="inlineStr">
        <is>
          <t>HAIFENG 03/12/2025</t>
        </is>
      </c>
      <c r="I2806" s="4" t="n">
        <v>4</v>
      </c>
      <c r="J2806" s="6" t="n">
        <v>1.8</v>
      </c>
      <c r="K2806" s="6" t="n">
        <v>37.65088802</v>
      </c>
      <c r="L2806" s="6">
        <f>I2806*K2806</f>
        <v/>
      </c>
      <c r="M2806" s="6">
        <f>K2806*4</f>
        <v/>
      </c>
      <c r="N2806" s="6" t="n">
        <v>400</v>
      </c>
    </row>
    <row r="2807">
      <c r="A2807" s="1" t="inlineStr">
        <is>
          <t>66176a3b97be5</t>
        </is>
      </c>
      <c r="B2807" s="1" t="inlineStr">
        <is>
          <t>ANILLO LOVE GOLD</t>
        </is>
      </c>
      <c r="C2807" s="1" t="inlineStr">
        <is>
          <t>9</t>
        </is>
      </c>
      <c r="D2807" s="1" t="inlineStr">
        <is>
          <t>20/01/2026</t>
        </is>
      </c>
      <c r="E2807" s="1" t="n">
        <v>2026</v>
      </c>
      <c r="F2807" s="1" t="inlineStr">
        <is>
          <t>ENERO</t>
        </is>
      </c>
      <c r="G2807" s="1" t="inlineStr">
        <is>
          <t>HAIFENG</t>
        </is>
      </c>
      <c r="H2807" s="1" t="inlineStr">
        <is>
          <t>HAIFENG 20/01/2026</t>
        </is>
      </c>
      <c r="I2807" s="4" t="n">
        <v>5</v>
      </c>
      <c r="J2807" s="6" t="n">
        <v>1.8</v>
      </c>
      <c r="K2807" s="6" t="n">
        <v>38.16075203</v>
      </c>
      <c r="L2807" s="6">
        <f>I2807*K2807</f>
        <v/>
      </c>
      <c r="M2807" s="6">
        <f>K2807*4</f>
        <v/>
      </c>
      <c r="N2807" s="6" t="n">
        <v>400</v>
      </c>
    </row>
    <row r="2808">
      <c r="A2808" s="1" t="inlineStr">
        <is>
          <t>66176a3b97be5</t>
        </is>
      </c>
      <c r="B2808" s="1" t="n"/>
      <c r="C2808" s="1" t="inlineStr">
        <is>
          <t>9</t>
        </is>
      </c>
      <c r="D2808" s="1" t="inlineStr">
        <is>
          <t>10/02/2026</t>
        </is>
      </c>
      <c r="E2808" s="1" t="n">
        <v>2026</v>
      </c>
      <c r="F2808" s="1" t="inlineStr">
        <is>
          <t>FEBRERO</t>
        </is>
      </c>
      <c r="G2808" s="1" t="inlineStr">
        <is>
          <t>HAIFENG</t>
        </is>
      </c>
      <c r="H2808" s="1" t="inlineStr">
        <is>
          <t>HAIFENG 10/02/2026</t>
        </is>
      </c>
      <c r="I2808" s="4" t="n">
        <v>2</v>
      </c>
      <c r="J2808" s="6" t="n">
        <v>1.8</v>
      </c>
      <c r="K2808" s="6" t="n">
        <v>37.92329292</v>
      </c>
      <c r="L2808" s="6">
        <f>I2808*K2808</f>
        <v/>
      </c>
      <c r="M2808" s="6">
        <f>K2808*4</f>
        <v/>
      </c>
      <c r="N2808" s="6" t="n">
        <v>400</v>
      </c>
    </row>
    <row r="2809">
      <c r="A2809" s="1" t="inlineStr">
        <is>
          <t>66176a3c25a91</t>
        </is>
      </c>
      <c r="B2809" s="1" t="inlineStr">
        <is>
          <t>ANILLO LOVE GOLD</t>
        </is>
      </c>
      <c r="C2809" s="1" t="inlineStr">
        <is>
          <t>10</t>
        </is>
      </c>
      <c r="D2809" s="1" t="inlineStr">
        <is>
          <t>11/11/2025</t>
        </is>
      </c>
      <c r="E2809" s="1" t="n">
        <v>2025</v>
      </c>
      <c r="F2809" s="1" t="inlineStr">
        <is>
          <t>NOVIEMBRE</t>
        </is>
      </c>
      <c r="G2809" s="1" t="inlineStr">
        <is>
          <t>HAIFENG</t>
        </is>
      </c>
      <c r="H2809" s="1" t="inlineStr">
        <is>
          <t>HAIFENG 11/11/2025</t>
        </is>
      </c>
      <c r="I2809" s="4" t="n">
        <v>5</v>
      </c>
      <c r="J2809" s="6" t="n">
        <v>1.8</v>
      </c>
      <c r="K2809" s="6" t="n">
        <v>37.9088972</v>
      </c>
      <c r="L2809" s="6">
        <f>I2809*K2809</f>
        <v/>
      </c>
      <c r="M2809" s="6">
        <f>K2809*4</f>
        <v/>
      </c>
      <c r="N2809" s="6" t="n">
        <v>400</v>
      </c>
    </row>
    <row r="2810">
      <c r="A2810" s="1" t="inlineStr">
        <is>
          <t>66176a3c25a91</t>
        </is>
      </c>
      <c r="B2810" s="1" t="inlineStr">
        <is>
          <t>ANILLO LOVE GOLD</t>
        </is>
      </c>
      <c r="C2810" s="1" t="inlineStr">
        <is>
          <t>10</t>
        </is>
      </c>
      <c r="D2810" s="1" t="inlineStr">
        <is>
          <t>03/12/2025</t>
        </is>
      </c>
      <c r="E2810" s="1" t="n">
        <v>2025</v>
      </c>
      <c r="F2810" s="1" t="inlineStr">
        <is>
          <t>DICIEMBRE</t>
        </is>
      </c>
      <c r="G2810" s="1" t="inlineStr">
        <is>
          <t>HAIFENG</t>
        </is>
      </c>
      <c r="H2810" s="1" t="inlineStr">
        <is>
          <t>HAIFENG 03/12/2025</t>
        </is>
      </c>
      <c r="I2810" s="4" t="n">
        <v>2</v>
      </c>
      <c r="J2810" s="6" t="n">
        <v>1.8</v>
      </c>
      <c r="K2810" s="6" t="n">
        <v>37.65088802</v>
      </c>
      <c r="L2810" s="6">
        <f>I2810*K2810</f>
        <v/>
      </c>
      <c r="M2810" s="6">
        <f>K2810*4</f>
        <v/>
      </c>
      <c r="N2810" s="6" t="n">
        <v>400</v>
      </c>
    </row>
    <row r="2811">
      <c r="A2811" s="1" t="inlineStr">
        <is>
          <t>66176a3c25a91</t>
        </is>
      </c>
      <c r="B2811" s="1" t="n"/>
      <c r="C2811" s="1" t="inlineStr">
        <is>
          <t>10</t>
        </is>
      </c>
      <c r="D2811" s="1" t="inlineStr">
        <is>
          <t>10/02/2026</t>
        </is>
      </c>
      <c r="E2811" s="1" t="n">
        <v>2026</v>
      </c>
      <c r="F2811" s="1" t="inlineStr">
        <is>
          <t>FEBRERO</t>
        </is>
      </c>
      <c r="G2811" s="1" t="inlineStr">
        <is>
          <t>HAIFENG</t>
        </is>
      </c>
      <c r="H2811" s="1" t="inlineStr">
        <is>
          <t>HAIFENG 10/02/2026</t>
        </is>
      </c>
      <c r="I2811" s="4" t="n">
        <v>3</v>
      </c>
      <c r="J2811" s="6" t="n">
        <v>1.8</v>
      </c>
      <c r="K2811" s="6" t="n">
        <v>37.92329292</v>
      </c>
      <c r="L2811" s="6">
        <f>I2811*K2811</f>
        <v/>
      </c>
      <c r="M2811" s="6">
        <f>K2811*4</f>
        <v/>
      </c>
      <c r="N2811" s="6" t="n">
        <v>400</v>
      </c>
    </row>
    <row r="2812">
      <c r="A2812" s="1" t="inlineStr">
        <is>
          <t>66176a3cab809</t>
        </is>
      </c>
      <c r="B2812" s="1" t="inlineStr">
        <is>
          <t>ANILLO LOVE GOLD</t>
        </is>
      </c>
      <c r="C2812" s="1" t="inlineStr">
        <is>
          <t>11</t>
        </is>
      </c>
      <c r="D2812" s="1" t="inlineStr">
        <is>
          <t>11/11/2025</t>
        </is>
      </c>
      <c r="E2812" s="1" t="n">
        <v>2025</v>
      </c>
      <c r="F2812" s="1" t="inlineStr">
        <is>
          <t>NOVIEMBRE</t>
        </is>
      </c>
      <c r="G2812" s="1" t="inlineStr">
        <is>
          <t>HAIFENG</t>
        </is>
      </c>
      <c r="H2812" s="1" t="inlineStr">
        <is>
          <t>HAIFENG 11/11/2025</t>
        </is>
      </c>
      <c r="I2812" s="4" t="n">
        <v>4</v>
      </c>
      <c r="J2812" s="6" t="n">
        <v>1.8</v>
      </c>
      <c r="K2812" s="6" t="n">
        <v>37.9088972</v>
      </c>
      <c r="L2812" s="6">
        <f>I2812*K2812</f>
        <v/>
      </c>
      <c r="M2812" s="6">
        <f>K2812*4</f>
        <v/>
      </c>
      <c r="N2812" s="6" t="n">
        <v>400</v>
      </c>
    </row>
    <row r="2813">
      <c r="A2813" s="1" t="inlineStr">
        <is>
          <t>66176a3cab809</t>
        </is>
      </c>
      <c r="B2813" s="1" t="n"/>
      <c r="C2813" s="1" t="inlineStr">
        <is>
          <t>11</t>
        </is>
      </c>
      <c r="D2813" s="1" t="inlineStr">
        <is>
          <t>10/02/2026</t>
        </is>
      </c>
      <c r="E2813" s="1" t="n">
        <v>2026</v>
      </c>
      <c r="F2813" s="1" t="inlineStr">
        <is>
          <t>FEBRERO</t>
        </is>
      </c>
      <c r="G2813" s="1" t="inlineStr">
        <is>
          <t>HAIFENG</t>
        </is>
      </c>
      <c r="H2813" s="1" t="inlineStr">
        <is>
          <t>HAIFENG 10/02/2026</t>
        </is>
      </c>
      <c r="I2813" s="4" t="n">
        <v>2</v>
      </c>
      <c r="J2813" s="6" t="n">
        <v>1.8</v>
      </c>
      <c r="K2813" s="6" t="n">
        <v>37.92329292</v>
      </c>
      <c r="L2813" s="6">
        <f>I2813*K2813</f>
        <v/>
      </c>
      <c r="M2813" s="6">
        <f>K2813*4</f>
        <v/>
      </c>
      <c r="N2813" s="6" t="n">
        <v>400</v>
      </c>
    </row>
    <row r="2814">
      <c r="A2814" s="1" t="inlineStr">
        <is>
          <t>66176c83f3f50</t>
        </is>
      </c>
      <c r="B2814" s="1" t="inlineStr">
        <is>
          <t>ANILLO LOVE SILVER</t>
        </is>
      </c>
      <c r="C2814" s="1" t="inlineStr">
        <is>
          <t>5</t>
        </is>
      </c>
      <c r="D2814" s="1" t="inlineStr">
        <is>
          <t>03/12/2025</t>
        </is>
      </c>
      <c r="E2814" s="1" t="n">
        <v>2025</v>
      </c>
      <c r="F2814" s="1" t="inlineStr">
        <is>
          <t>DICIEMBRE</t>
        </is>
      </c>
      <c r="G2814" s="1" t="inlineStr">
        <is>
          <t>HAIFENG</t>
        </is>
      </c>
      <c r="H2814" s="1" t="inlineStr">
        <is>
          <t>HAIFENG 03/12/2025</t>
        </is>
      </c>
      <c r="I2814" s="4" t="n">
        <v>2</v>
      </c>
      <c r="J2814" s="6" t="n">
        <v>1.8</v>
      </c>
      <c r="K2814" s="6" t="n">
        <v>37.65088802</v>
      </c>
      <c r="L2814" s="6">
        <f>I2814*K2814</f>
        <v/>
      </c>
      <c r="M2814" s="6">
        <f>K2814*4</f>
        <v/>
      </c>
      <c r="N2814" s="6" t="n">
        <v>400</v>
      </c>
    </row>
    <row r="2815">
      <c r="A2815" s="1" t="inlineStr">
        <is>
          <t>66176c83f3f50</t>
        </is>
      </c>
      <c r="B2815" s="1" t="inlineStr">
        <is>
          <t>ANILLO LOVE SILVER</t>
        </is>
      </c>
      <c r="C2815" s="1" t="inlineStr">
        <is>
          <t>5</t>
        </is>
      </c>
      <c r="D2815" s="1" t="inlineStr">
        <is>
          <t>20/01/2026</t>
        </is>
      </c>
      <c r="E2815" s="1" t="n">
        <v>2026</v>
      </c>
      <c r="F2815" s="1" t="inlineStr">
        <is>
          <t>ENERO</t>
        </is>
      </c>
      <c r="G2815" s="1" t="inlineStr">
        <is>
          <t>HAIFENG</t>
        </is>
      </c>
      <c r="H2815" s="1" t="inlineStr">
        <is>
          <t>HAIFENG 20/01/2026</t>
        </is>
      </c>
      <c r="I2815" s="4" t="n">
        <v>3</v>
      </c>
      <c r="J2815" s="6" t="n">
        <v>1.8</v>
      </c>
      <c r="K2815" s="6" t="n">
        <v>38.16075203</v>
      </c>
      <c r="L2815" s="6">
        <f>I2815*K2815</f>
        <v/>
      </c>
      <c r="M2815" s="6">
        <f>K2815*4</f>
        <v/>
      </c>
      <c r="N2815" s="6" t="n">
        <v>400</v>
      </c>
    </row>
    <row r="2816">
      <c r="A2816" s="1" t="inlineStr">
        <is>
          <t>66176c83f3f50</t>
        </is>
      </c>
      <c r="B2816" s="1" t="inlineStr">
        <is>
          <t>ANILLO LOVE SILVER</t>
        </is>
      </c>
      <c r="C2816" s="1" t="inlineStr">
        <is>
          <t>5</t>
        </is>
      </c>
      <c r="D2816" s="1" t="inlineStr">
        <is>
          <t>10/02/2026</t>
        </is>
      </c>
      <c r="E2816" s="1" t="n">
        <v>2026</v>
      </c>
      <c r="F2816" s="1" t="inlineStr">
        <is>
          <t>FEBRERO</t>
        </is>
      </c>
      <c r="G2816" s="1" t="inlineStr">
        <is>
          <t>HAIFENG</t>
        </is>
      </c>
      <c r="H2816" s="1" t="inlineStr">
        <is>
          <t>HAIFENG 10/02/2026</t>
        </is>
      </c>
      <c r="I2816" s="4" t="n">
        <v>2</v>
      </c>
      <c r="J2816" s="6" t="n">
        <v>1.8</v>
      </c>
      <c r="K2816" s="6" t="n">
        <v>37.92329292</v>
      </c>
      <c r="L2816" s="6">
        <f>I2816*K2816</f>
        <v/>
      </c>
      <c r="M2816" s="6">
        <f>K2816*4</f>
        <v/>
      </c>
      <c r="N2816" s="6" t="n">
        <v>400</v>
      </c>
    </row>
    <row r="2817">
      <c r="A2817" s="1" t="inlineStr">
        <is>
          <t>66176c83f3f50</t>
        </is>
      </c>
      <c r="B2817" s="1" t="inlineStr">
        <is>
          <t>ANILLO LOVE SILVER (THIN WITHOUT ZIRCONIAS)</t>
        </is>
      </c>
      <c r="C2817" s="1" t="inlineStr">
        <is>
          <t>5</t>
        </is>
      </c>
      <c r="D2817" s="1" t="inlineStr">
        <is>
          <t>16/04/2026</t>
        </is>
      </c>
      <c r="E2817" s="1" t="n">
        <v>2026</v>
      </c>
      <c r="F2817" s="1" t="inlineStr">
        <is>
          <t>ABRIL</t>
        </is>
      </c>
      <c r="G2817" s="1" t="inlineStr">
        <is>
          <t>HAIFENG</t>
        </is>
      </c>
      <c r="H2817" s="1" t="inlineStr">
        <is>
          <t>HAIFENG 16/04/2026</t>
        </is>
      </c>
      <c r="I2817" s="4" t="n">
        <v>5</v>
      </c>
      <c r="J2817" s="6" t="n">
        <v>1.8</v>
      </c>
      <c r="K2817" s="6" t="n">
        <v>37.85665246</v>
      </c>
      <c r="L2817" s="6">
        <f>I2817*K2817</f>
        <v/>
      </c>
      <c r="M2817" s="6">
        <f>K2817*4</f>
        <v/>
      </c>
      <c r="N2817" s="6" t="n">
        <v>400</v>
      </c>
    </row>
    <row r="2818">
      <c r="A2818" s="1" t="inlineStr">
        <is>
          <t>66176c83f3f50</t>
        </is>
      </c>
      <c r="B2818" s="1" t="inlineStr">
        <is>
          <t>ANILLO LOVE SILVER</t>
        </is>
      </c>
      <c r="C2818" s="1" t="inlineStr">
        <is>
          <t>5</t>
        </is>
      </c>
      <c r="D2818" s="1" t="inlineStr">
        <is>
          <t>06/05/2026</t>
        </is>
      </c>
      <c r="E2818" s="1" t="n">
        <v>2026</v>
      </c>
      <c r="F2818" s="1" t="inlineStr">
        <is>
          <t>MAYO</t>
        </is>
      </c>
      <c r="G2818" s="1" t="inlineStr">
        <is>
          <t>HAIFENG</t>
        </is>
      </c>
      <c r="H2818" s="1" t="inlineStr">
        <is>
          <t>HAIFENG 06/05/2026</t>
        </is>
      </c>
      <c r="I2818" s="4" t="n">
        <v>5</v>
      </c>
      <c r="J2818" s="6" t="n">
        <v>1.8</v>
      </c>
      <c r="K2818" s="6" t="n">
        <v>38.19355608</v>
      </c>
      <c r="L2818" s="6">
        <f>I2818*K2818</f>
        <v/>
      </c>
      <c r="M2818" s="6">
        <f>K2818*4</f>
        <v/>
      </c>
      <c r="N2818" s="6" t="n">
        <v>400</v>
      </c>
    </row>
    <row r="2819">
      <c r="A2819" s="1" t="inlineStr">
        <is>
          <t>66176c8482af4</t>
        </is>
      </c>
      <c r="B2819" s="1" t="inlineStr">
        <is>
          <t>ANILLO LOVE SILVER</t>
        </is>
      </c>
      <c r="C2819" s="1" t="inlineStr">
        <is>
          <t>6</t>
        </is>
      </c>
      <c r="D2819" s="1" t="inlineStr">
        <is>
          <t>11/11/2025</t>
        </is>
      </c>
      <c r="E2819" s="1" t="n">
        <v>2025</v>
      </c>
      <c r="F2819" s="1" t="inlineStr">
        <is>
          <t>NOVIEMBRE</t>
        </is>
      </c>
      <c r="G2819" s="1" t="inlineStr">
        <is>
          <t>HAIFENG</t>
        </is>
      </c>
      <c r="H2819" s="1" t="inlineStr">
        <is>
          <t>HAIFENG 11/11/2025</t>
        </is>
      </c>
      <c r="I2819" s="4" t="n">
        <v>3</v>
      </c>
      <c r="J2819" s="6" t="n">
        <v>1.8</v>
      </c>
      <c r="K2819" s="6" t="n">
        <v>37.9088972</v>
      </c>
      <c r="L2819" s="6">
        <f>I2819*K2819</f>
        <v/>
      </c>
      <c r="M2819" s="6">
        <f>K2819*4</f>
        <v/>
      </c>
      <c r="N2819" s="6" t="n">
        <v>400</v>
      </c>
    </row>
    <row r="2820">
      <c r="A2820" s="1" t="inlineStr">
        <is>
          <t>66176c8482af4</t>
        </is>
      </c>
      <c r="B2820" s="1" t="inlineStr">
        <is>
          <t>ANILLO LOVE SILVER</t>
        </is>
      </c>
      <c r="C2820" s="1" t="inlineStr">
        <is>
          <t>6</t>
        </is>
      </c>
      <c r="D2820" s="1" t="inlineStr">
        <is>
          <t>20/01/2026</t>
        </is>
      </c>
      <c r="E2820" s="1" t="n">
        <v>2026</v>
      </c>
      <c r="F2820" s="1" t="inlineStr">
        <is>
          <t>ENERO</t>
        </is>
      </c>
      <c r="G2820" s="1" t="inlineStr">
        <is>
          <t>HAIFENG</t>
        </is>
      </c>
      <c r="H2820" s="1" t="inlineStr">
        <is>
          <t>HAIFENG 20/01/2026</t>
        </is>
      </c>
      <c r="I2820" s="4" t="n">
        <v>8</v>
      </c>
      <c r="J2820" s="6" t="n">
        <v>1.8</v>
      </c>
      <c r="K2820" s="6" t="n">
        <v>38.16075203</v>
      </c>
      <c r="L2820" s="6">
        <f>I2820*K2820</f>
        <v/>
      </c>
      <c r="M2820" s="6">
        <f>K2820*4</f>
        <v/>
      </c>
      <c r="N2820" s="6" t="n">
        <v>400</v>
      </c>
    </row>
    <row r="2821">
      <c r="A2821" s="1" t="inlineStr">
        <is>
          <t>66176c8482af4</t>
        </is>
      </c>
      <c r="B2821" s="1" t="n"/>
      <c r="C2821" s="1" t="inlineStr">
        <is>
          <t>6</t>
        </is>
      </c>
      <c r="D2821" s="1" t="inlineStr">
        <is>
          <t>10/02/2026</t>
        </is>
      </c>
      <c r="E2821" s="1" t="n">
        <v>2026</v>
      </c>
      <c r="F2821" s="1" t="inlineStr">
        <is>
          <t>FEBRERO</t>
        </is>
      </c>
      <c r="G2821" s="1" t="inlineStr">
        <is>
          <t>HAIFENG</t>
        </is>
      </c>
      <c r="H2821" s="1" t="inlineStr">
        <is>
          <t>HAIFENG 10/02/2026</t>
        </is>
      </c>
      <c r="I2821" s="4" t="n">
        <v>3</v>
      </c>
      <c r="J2821" s="6" t="n">
        <v>1.8</v>
      </c>
      <c r="K2821" s="6" t="n">
        <v>37.92329292</v>
      </c>
      <c r="L2821" s="6">
        <f>I2821*K2821</f>
        <v/>
      </c>
      <c r="M2821" s="6">
        <f>K2821*4</f>
        <v/>
      </c>
      <c r="N2821" s="6" t="n">
        <v>400</v>
      </c>
    </row>
    <row r="2822">
      <c r="A2822" s="1" t="inlineStr">
        <is>
          <t>66176c8482af4</t>
        </is>
      </c>
      <c r="B2822" s="1" t="inlineStr">
        <is>
          <t>ANILLO LOVE SILVER</t>
        </is>
      </c>
      <c r="C2822" s="1" t="inlineStr">
        <is>
          <t>6</t>
        </is>
      </c>
      <c r="D2822" s="1" t="inlineStr">
        <is>
          <t>26/05/2026</t>
        </is>
      </c>
      <c r="E2822" s="1" t="n">
        <v>2026</v>
      </c>
      <c r="F2822" s="1" t="inlineStr">
        <is>
          <t>MAYO</t>
        </is>
      </c>
      <c r="G2822" s="1" t="inlineStr">
        <is>
          <t>HAIFENG</t>
        </is>
      </c>
      <c r="H2822" s="1" t="inlineStr">
        <is>
          <t>HAIFENG 26/05/2026</t>
        </is>
      </c>
      <c r="I2822" s="4" t="n">
        <v>5</v>
      </c>
      <c r="J2822" s="6" t="n">
        <v>1.8</v>
      </c>
      <c r="K2822" s="6" t="n">
        <v>37.78073153</v>
      </c>
      <c r="L2822" s="6">
        <f>I2822*K2822</f>
        <v/>
      </c>
      <c r="M2822" s="6">
        <f>K2822*4</f>
        <v/>
      </c>
      <c r="N2822" s="6" t="n">
        <v>400</v>
      </c>
    </row>
    <row r="2823">
      <c r="A2823" s="1" t="inlineStr">
        <is>
          <t>66176c8482af4</t>
        </is>
      </c>
      <c r="B2823" s="1" t="inlineStr">
        <is>
          <t>ANILLO LOVE SILVER</t>
        </is>
      </c>
      <c r="C2823" s="1" t="inlineStr">
        <is>
          <t>6</t>
        </is>
      </c>
      <c r="D2823" s="1" t="inlineStr">
        <is>
          <t>16/06/2026</t>
        </is>
      </c>
      <c r="E2823" s="1" t="n">
        <v>2026</v>
      </c>
      <c r="F2823" s="1" t="inlineStr">
        <is>
          <t>JUNIO</t>
        </is>
      </c>
      <c r="G2823" s="1" t="inlineStr">
        <is>
          <t>HAIFENG</t>
        </is>
      </c>
      <c r="H2823" s="1" t="inlineStr">
        <is>
          <t>HAIFENG 16/06/2026</t>
        </is>
      </c>
      <c r="I2823" s="4" t="n">
        <v>2</v>
      </c>
      <c r="J2823" s="6" t="n">
        <v>1.8</v>
      </c>
      <c r="K2823" s="6" t="n">
        <v>37.82629163</v>
      </c>
      <c r="L2823" s="6">
        <f>I2823*K2823</f>
        <v/>
      </c>
      <c r="M2823" s="6">
        <f>K2823*4</f>
        <v/>
      </c>
      <c r="N2823" s="6" t="n">
        <v>400</v>
      </c>
    </row>
    <row r="2824">
      <c r="A2824" s="1" t="inlineStr">
        <is>
          <t>66176c850b76a</t>
        </is>
      </c>
      <c r="B2824" s="1" t="inlineStr">
        <is>
          <t>ANILLO LOVE SILVER</t>
        </is>
      </c>
      <c r="C2824" s="1" t="inlineStr">
        <is>
          <t>7</t>
        </is>
      </c>
      <c r="D2824" s="1" t="inlineStr">
        <is>
          <t>03/12/2025</t>
        </is>
      </c>
      <c r="E2824" s="1" t="n">
        <v>2025</v>
      </c>
      <c r="F2824" s="1" t="inlineStr">
        <is>
          <t>DICIEMBRE</t>
        </is>
      </c>
      <c r="G2824" s="1" t="inlineStr">
        <is>
          <t>HAIFENG</t>
        </is>
      </c>
      <c r="H2824" s="1" t="inlineStr">
        <is>
          <t>HAIFENG 03/12/2025</t>
        </is>
      </c>
      <c r="I2824" s="4" t="n">
        <v>3</v>
      </c>
      <c r="J2824" s="6" t="n">
        <v>1.8</v>
      </c>
      <c r="K2824" s="6" t="n">
        <v>37.65088802</v>
      </c>
      <c r="L2824" s="6">
        <f>I2824*K2824</f>
        <v/>
      </c>
      <c r="M2824" s="6">
        <f>K2824*4</f>
        <v/>
      </c>
      <c r="N2824" s="6" t="n">
        <v>400</v>
      </c>
    </row>
    <row r="2825">
      <c r="A2825" s="1" t="inlineStr">
        <is>
          <t>66176c850b76a</t>
        </is>
      </c>
      <c r="B2825" s="1" t="inlineStr">
        <is>
          <t>ANILLO LOVE SILVER</t>
        </is>
      </c>
      <c r="C2825" s="1" t="inlineStr">
        <is>
          <t>7</t>
        </is>
      </c>
      <c r="D2825" s="1" t="inlineStr">
        <is>
          <t>20/01/2026</t>
        </is>
      </c>
      <c r="E2825" s="1" t="n">
        <v>2026</v>
      </c>
      <c r="F2825" s="1" t="inlineStr">
        <is>
          <t>ENERO</t>
        </is>
      </c>
      <c r="G2825" s="1" t="inlineStr">
        <is>
          <t>HAIFENG</t>
        </is>
      </c>
      <c r="H2825" s="1" t="inlineStr">
        <is>
          <t>HAIFENG 20/01/2026</t>
        </is>
      </c>
      <c r="I2825" s="4" t="n">
        <v>4</v>
      </c>
      <c r="J2825" s="6" t="n">
        <v>1.8</v>
      </c>
      <c r="K2825" s="6" t="n">
        <v>38.16075203</v>
      </c>
      <c r="L2825" s="6">
        <f>I2825*K2825</f>
        <v/>
      </c>
      <c r="M2825" s="6">
        <f>K2825*4</f>
        <v/>
      </c>
      <c r="N2825" s="6" t="n">
        <v>400</v>
      </c>
    </row>
    <row r="2826">
      <c r="A2826" s="1" t="inlineStr">
        <is>
          <t>66176c850b76a</t>
        </is>
      </c>
      <c r="B2826" s="1" t="n"/>
      <c r="C2826" s="1" t="inlineStr">
        <is>
          <t>7</t>
        </is>
      </c>
      <c r="D2826" s="1" t="inlineStr">
        <is>
          <t>10/02/2026</t>
        </is>
      </c>
      <c r="E2826" s="1" t="n">
        <v>2026</v>
      </c>
      <c r="F2826" s="1" t="inlineStr">
        <is>
          <t>FEBRERO</t>
        </is>
      </c>
      <c r="G2826" s="1" t="inlineStr">
        <is>
          <t>HAIFENG</t>
        </is>
      </c>
      <c r="H2826" s="1" t="inlineStr">
        <is>
          <t>HAIFENG 10/02/2026</t>
        </is>
      </c>
      <c r="I2826" s="4" t="n">
        <v>1</v>
      </c>
      <c r="J2826" s="6" t="n">
        <v>1.8</v>
      </c>
      <c r="K2826" s="6" t="n">
        <v>37.92329292</v>
      </c>
      <c r="L2826" s="6">
        <f>I2826*K2826</f>
        <v/>
      </c>
      <c r="M2826" s="6">
        <f>K2826*4</f>
        <v/>
      </c>
      <c r="N2826" s="6" t="n">
        <v>400</v>
      </c>
    </row>
    <row r="2827">
      <c r="A2827" s="1" t="inlineStr">
        <is>
          <t>66176c850b76a</t>
        </is>
      </c>
      <c r="B2827" s="1" t="inlineStr">
        <is>
          <t>ANILLO LOVE SILVER (THIN WITHOUT ZIRCONIAS)</t>
        </is>
      </c>
      <c r="C2827" s="1" t="inlineStr">
        <is>
          <t>7</t>
        </is>
      </c>
      <c r="D2827" s="1" t="inlineStr">
        <is>
          <t>16/04/2026</t>
        </is>
      </c>
      <c r="E2827" s="1" t="n">
        <v>2026</v>
      </c>
      <c r="F2827" s="1" t="inlineStr">
        <is>
          <t>ABRIL</t>
        </is>
      </c>
      <c r="G2827" s="1" t="inlineStr">
        <is>
          <t>HAIFENG</t>
        </is>
      </c>
      <c r="H2827" s="1" t="inlineStr">
        <is>
          <t>HAIFENG 16/04/2026</t>
        </is>
      </c>
      <c r="I2827" s="4" t="n">
        <v>9</v>
      </c>
      <c r="J2827" s="6" t="n">
        <v>1.8</v>
      </c>
      <c r="K2827" s="6" t="n">
        <v>37.85665246</v>
      </c>
      <c r="L2827" s="6">
        <f>I2827*K2827</f>
        <v/>
      </c>
      <c r="M2827" s="6">
        <f>K2827*4</f>
        <v/>
      </c>
      <c r="N2827" s="6" t="n">
        <v>400</v>
      </c>
    </row>
    <row r="2828">
      <c r="A2828" s="1" t="inlineStr">
        <is>
          <t>66176c8589787</t>
        </is>
      </c>
      <c r="B2828" s="1" t="inlineStr">
        <is>
          <t>ANILLO LOVE SILVER</t>
        </is>
      </c>
      <c r="C2828" s="1" t="inlineStr">
        <is>
          <t>8</t>
        </is>
      </c>
      <c r="D2828" s="1" t="inlineStr">
        <is>
          <t>11/11/2025</t>
        </is>
      </c>
      <c r="E2828" s="1" t="n">
        <v>2025</v>
      </c>
      <c r="F2828" s="1" t="inlineStr">
        <is>
          <t>NOVIEMBRE</t>
        </is>
      </c>
      <c r="G2828" s="1" t="inlineStr">
        <is>
          <t>HAIFENG</t>
        </is>
      </c>
      <c r="H2828" s="1" t="inlineStr">
        <is>
          <t>HAIFENG 11/11/2025</t>
        </is>
      </c>
      <c r="I2828" s="4" t="n">
        <v>8</v>
      </c>
      <c r="J2828" s="6" t="n">
        <v>1.8</v>
      </c>
      <c r="K2828" s="6" t="n">
        <v>37.9088972</v>
      </c>
      <c r="L2828" s="6">
        <f>I2828*K2828</f>
        <v/>
      </c>
      <c r="M2828" s="6">
        <f>K2828*4</f>
        <v/>
      </c>
      <c r="N2828" s="6" t="n">
        <v>400</v>
      </c>
    </row>
    <row r="2829">
      <c r="A2829" s="1" t="inlineStr">
        <is>
          <t>66176c8589787</t>
        </is>
      </c>
      <c r="B2829" s="1" t="inlineStr">
        <is>
          <t>ANILLO LOVE SILVER</t>
        </is>
      </c>
      <c r="C2829" s="1" t="inlineStr">
        <is>
          <t>8</t>
        </is>
      </c>
      <c r="D2829" s="1" t="inlineStr">
        <is>
          <t>03/12/2025</t>
        </is>
      </c>
      <c r="E2829" s="1" t="n">
        <v>2025</v>
      </c>
      <c r="F2829" s="1" t="inlineStr">
        <is>
          <t>DICIEMBRE</t>
        </is>
      </c>
      <c r="G2829" s="1" t="inlineStr">
        <is>
          <t>HAIFENG</t>
        </is>
      </c>
      <c r="H2829" s="1" t="inlineStr">
        <is>
          <t>HAIFENG 03/12/2025</t>
        </is>
      </c>
      <c r="I2829" s="4" t="n">
        <v>2</v>
      </c>
      <c r="J2829" s="6" t="n">
        <v>1.8</v>
      </c>
      <c r="K2829" s="6" t="n">
        <v>37.65088802</v>
      </c>
      <c r="L2829" s="6">
        <f>I2829*K2829</f>
        <v/>
      </c>
      <c r="M2829" s="6">
        <f>K2829*4</f>
        <v/>
      </c>
      <c r="N2829" s="6" t="n">
        <v>400</v>
      </c>
    </row>
    <row r="2830">
      <c r="A2830" s="1" t="inlineStr">
        <is>
          <t>66176c8589787</t>
        </is>
      </c>
      <c r="B2830" s="1" t="inlineStr">
        <is>
          <t>ANILLO LOVE SILVER</t>
        </is>
      </c>
      <c r="C2830" s="1" t="inlineStr">
        <is>
          <t>8</t>
        </is>
      </c>
      <c r="D2830" s="1" t="inlineStr">
        <is>
          <t>20/01/2026</t>
        </is>
      </c>
      <c r="E2830" s="1" t="n">
        <v>2026</v>
      </c>
      <c r="F2830" s="1" t="inlineStr">
        <is>
          <t>ENERO</t>
        </is>
      </c>
      <c r="G2830" s="1" t="inlineStr">
        <is>
          <t>HAIFENG</t>
        </is>
      </c>
      <c r="H2830" s="1" t="inlineStr">
        <is>
          <t>HAIFENG 20/01/2026</t>
        </is>
      </c>
      <c r="I2830" s="4" t="n">
        <v>4</v>
      </c>
      <c r="J2830" s="6" t="n">
        <v>1.8</v>
      </c>
      <c r="K2830" s="6" t="n">
        <v>38.16075203</v>
      </c>
      <c r="L2830" s="6">
        <f>I2830*K2830</f>
        <v/>
      </c>
      <c r="M2830" s="6">
        <f>K2830*4</f>
        <v/>
      </c>
      <c r="N2830" s="6" t="n">
        <v>400</v>
      </c>
    </row>
    <row r="2831">
      <c r="A2831" s="1" t="inlineStr">
        <is>
          <t>66176c8589787</t>
        </is>
      </c>
      <c r="B2831" s="1" t="n"/>
      <c r="C2831" s="1" t="inlineStr">
        <is>
          <t>8</t>
        </is>
      </c>
      <c r="D2831" s="1" t="inlineStr">
        <is>
          <t>10/02/2026</t>
        </is>
      </c>
      <c r="E2831" s="1" t="n">
        <v>2026</v>
      </c>
      <c r="F2831" s="1" t="inlineStr">
        <is>
          <t>FEBRERO</t>
        </is>
      </c>
      <c r="G2831" s="1" t="inlineStr">
        <is>
          <t>HAIFENG</t>
        </is>
      </c>
      <c r="H2831" s="1" t="inlineStr">
        <is>
          <t>HAIFENG 10/02/2026</t>
        </is>
      </c>
      <c r="I2831" s="4" t="n">
        <v>2</v>
      </c>
      <c r="J2831" s="6" t="n">
        <v>1.8</v>
      </c>
      <c r="K2831" s="6" t="n">
        <v>37.92329292</v>
      </c>
      <c r="L2831" s="6">
        <f>I2831*K2831</f>
        <v/>
      </c>
      <c r="M2831" s="6">
        <f>K2831*4</f>
        <v/>
      </c>
      <c r="N2831" s="6" t="n">
        <v>400</v>
      </c>
    </row>
    <row r="2832">
      <c r="A2832" s="1" t="inlineStr">
        <is>
          <t>66176c8589787</t>
        </is>
      </c>
      <c r="B2832" s="1" t="inlineStr">
        <is>
          <t>ANILLO LOVE SILVER (THIN WITHOUT ZIRCONIAS)</t>
        </is>
      </c>
      <c r="C2832" s="1" t="inlineStr">
        <is>
          <t>8</t>
        </is>
      </c>
      <c r="D2832" s="1" t="inlineStr">
        <is>
          <t>16/04/2026</t>
        </is>
      </c>
      <c r="E2832" s="1" t="n">
        <v>2026</v>
      </c>
      <c r="F2832" s="1" t="inlineStr">
        <is>
          <t>ABRIL</t>
        </is>
      </c>
      <c r="G2832" s="1" t="inlineStr">
        <is>
          <t>HAIFENG</t>
        </is>
      </c>
      <c r="H2832" s="1" t="inlineStr">
        <is>
          <t>HAIFENG 16/04/2026</t>
        </is>
      </c>
      <c r="I2832" s="4" t="n">
        <v>4</v>
      </c>
      <c r="J2832" s="6" t="n">
        <v>1.8</v>
      </c>
      <c r="K2832" s="6" t="n">
        <v>37.85665246</v>
      </c>
      <c r="L2832" s="6">
        <f>I2832*K2832</f>
        <v/>
      </c>
      <c r="M2832" s="6">
        <f>K2832*4</f>
        <v/>
      </c>
      <c r="N2832" s="6" t="n">
        <v>400</v>
      </c>
    </row>
    <row r="2833">
      <c r="A2833" s="1" t="inlineStr">
        <is>
          <t>66176c8628af3</t>
        </is>
      </c>
      <c r="B2833" s="1" t="inlineStr">
        <is>
          <t>ANILLO LOVE SILVER</t>
        </is>
      </c>
      <c r="C2833" s="1" t="inlineStr">
        <is>
          <t>9</t>
        </is>
      </c>
      <c r="D2833" s="1" t="inlineStr">
        <is>
          <t>11/11/2025</t>
        </is>
      </c>
      <c r="E2833" s="1" t="n">
        <v>2025</v>
      </c>
      <c r="F2833" s="1" t="inlineStr">
        <is>
          <t>NOVIEMBRE</t>
        </is>
      </c>
      <c r="G2833" s="1" t="inlineStr">
        <is>
          <t>HAIFENG</t>
        </is>
      </c>
      <c r="H2833" s="1" t="inlineStr">
        <is>
          <t>HAIFENG 11/11/2025</t>
        </is>
      </c>
      <c r="I2833" s="4" t="n">
        <v>2</v>
      </c>
      <c r="J2833" s="6" t="n">
        <v>1.8</v>
      </c>
      <c r="K2833" s="6" t="n">
        <v>37.9088972</v>
      </c>
      <c r="L2833" s="6">
        <f>I2833*K2833</f>
        <v/>
      </c>
      <c r="M2833" s="6">
        <f>K2833*4</f>
        <v/>
      </c>
      <c r="N2833" s="6" t="n">
        <v>400</v>
      </c>
    </row>
    <row r="2834">
      <c r="A2834" s="1" t="inlineStr">
        <is>
          <t>66176c8628af3</t>
        </is>
      </c>
      <c r="B2834" s="1" t="inlineStr">
        <is>
          <t>ANILLO LOVE SILVER</t>
        </is>
      </c>
      <c r="C2834" s="1" t="inlineStr">
        <is>
          <t>9</t>
        </is>
      </c>
      <c r="D2834" s="1" t="inlineStr">
        <is>
          <t>03/12/2025</t>
        </is>
      </c>
      <c r="E2834" s="1" t="n">
        <v>2025</v>
      </c>
      <c r="F2834" s="1" t="inlineStr">
        <is>
          <t>DICIEMBRE</t>
        </is>
      </c>
      <c r="G2834" s="1" t="inlineStr">
        <is>
          <t>HAIFENG</t>
        </is>
      </c>
      <c r="H2834" s="1" t="inlineStr">
        <is>
          <t>HAIFENG 03/12/2025</t>
        </is>
      </c>
      <c r="I2834" s="4" t="n">
        <v>4</v>
      </c>
      <c r="J2834" s="6" t="n">
        <v>1.8</v>
      </c>
      <c r="K2834" s="6" t="n">
        <v>37.65088802</v>
      </c>
      <c r="L2834" s="6">
        <f>I2834*K2834</f>
        <v/>
      </c>
      <c r="M2834" s="6">
        <f>K2834*4</f>
        <v/>
      </c>
      <c r="N2834" s="6" t="n">
        <v>400</v>
      </c>
    </row>
    <row r="2835">
      <c r="A2835" s="1" t="inlineStr">
        <is>
          <t>66176c8628af3</t>
        </is>
      </c>
      <c r="B2835" s="1" t="inlineStr">
        <is>
          <t>ANILLO LOVE SILVER</t>
        </is>
      </c>
      <c r="C2835" s="1" t="inlineStr">
        <is>
          <t>9</t>
        </is>
      </c>
      <c r="D2835" s="1" t="inlineStr">
        <is>
          <t>20/01/2026</t>
        </is>
      </c>
      <c r="E2835" s="1" t="n">
        <v>2026</v>
      </c>
      <c r="F2835" s="1" t="inlineStr">
        <is>
          <t>ENERO</t>
        </is>
      </c>
      <c r="G2835" s="1" t="inlineStr">
        <is>
          <t>HAIFENG</t>
        </is>
      </c>
      <c r="H2835" s="1" t="inlineStr">
        <is>
          <t>HAIFENG 20/01/2026</t>
        </is>
      </c>
      <c r="I2835" s="4" t="n">
        <v>2</v>
      </c>
      <c r="J2835" s="6" t="n">
        <v>1.8</v>
      </c>
      <c r="K2835" s="6" t="n">
        <v>38.16075203</v>
      </c>
      <c r="L2835" s="6">
        <f>I2835*K2835</f>
        <v/>
      </c>
      <c r="M2835" s="6">
        <f>K2835*4</f>
        <v/>
      </c>
      <c r="N2835" s="6" t="n">
        <v>400</v>
      </c>
    </row>
    <row r="2836">
      <c r="A2836" s="1" t="inlineStr">
        <is>
          <t>66176c8628af3</t>
        </is>
      </c>
      <c r="B2836" s="1" t="inlineStr">
        <is>
          <t>ANILLO LOVE SILVER (THIN WITHOUT ZIRCONIAS)</t>
        </is>
      </c>
      <c r="C2836" s="1" t="inlineStr">
        <is>
          <t>9</t>
        </is>
      </c>
      <c r="D2836" s="1" t="inlineStr">
        <is>
          <t>16/04/2026</t>
        </is>
      </c>
      <c r="E2836" s="1" t="n">
        <v>2026</v>
      </c>
      <c r="F2836" s="1" t="inlineStr">
        <is>
          <t>ABRIL</t>
        </is>
      </c>
      <c r="G2836" s="1" t="inlineStr">
        <is>
          <t>HAIFENG</t>
        </is>
      </c>
      <c r="H2836" s="1" t="inlineStr">
        <is>
          <t>HAIFENG 16/04/2026</t>
        </is>
      </c>
      <c r="I2836" s="4" t="n">
        <v>5</v>
      </c>
      <c r="J2836" s="6" t="n">
        <v>1.8</v>
      </c>
      <c r="K2836" s="6" t="n">
        <v>37.85665246</v>
      </c>
      <c r="L2836" s="6">
        <f>I2836*K2836</f>
        <v/>
      </c>
      <c r="M2836" s="6">
        <f>K2836*4</f>
        <v/>
      </c>
      <c r="N2836" s="6" t="n">
        <v>400</v>
      </c>
    </row>
    <row r="2837">
      <c r="A2837" s="1" t="inlineStr">
        <is>
          <t>66176c8628af3</t>
        </is>
      </c>
      <c r="B2837" s="1" t="inlineStr">
        <is>
          <t>ANILLO LOVE SILVER</t>
        </is>
      </c>
      <c r="C2837" s="1" t="inlineStr">
        <is>
          <t>9</t>
        </is>
      </c>
      <c r="D2837" s="1" t="inlineStr">
        <is>
          <t>26/05/2026</t>
        </is>
      </c>
      <c r="E2837" s="1" t="n">
        <v>2026</v>
      </c>
      <c r="F2837" s="1" t="inlineStr">
        <is>
          <t>MAYO</t>
        </is>
      </c>
      <c r="G2837" s="1" t="inlineStr">
        <is>
          <t>HAIFENG</t>
        </is>
      </c>
      <c r="H2837" s="1" t="inlineStr">
        <is>
          <t>HAIFENG 26/05/2026</t>
        </is>
      </c>
      <c r="I2837" s="4" t="n">
        <v>3</v>
      </c>
      <c r="J2837" s="6" t="n">
        <v>1.8</v>
      </c>
      <c r="K2837" s="6" t="n">
        <v>37.78073153</v>
      </c>
      <c r="L2837" s="6">
        <f>I2837*K2837</f>
        <v/>
      </c>
      <c r="M2837" s="6">
        <f>K2837*4</f>
        <v/>
      </c>
      <c r="N2837" s="6" t="n">
        <v>400</v>
      </c>
    </row>
    <row r="2838">
      <c r="A2838" s="1" t="inlineStr">
        <is>
          <t>66176c86bbe5a</t>
        </is>
      </c>
      <c r="B2838" s="1" t="inlineStr">
        <is>
          <t>ANILLO LOVE SILVER</t>
        </is>
      </c>
      <c r="C2838" s="1" t="inlineStr">
        <is>
          <t>10</t>
        </is>
      </c>
      <c r="D2838" s="1" t="inlineStr">
        <is>
          <t>03/12/2025</t>
        </is>
      </c>
      <c r="E2838" s="1" t="n">
        <v>2025</v>
      </c>
      <c r="F2838" s="1" t="inlineStr">
        <is>
          <t>DICIEMBRE</t>
        </is>
      </c>
      <c r="G2838" s="1" t="inlineStr">
        <is>
          <t>HAIFENG</t>
        </is>
      </c>
      <c r="H2838" s="1" t="inlineStr">
        <is>
          <t>HAIFENG 03/12/2025</t>
        </is>
      </c>
      <c r="I2838" s="4" t="n">
        <v>2</v>
      </c>
      <c r="J2838" s="6" t="n">
        <v>1.8</v>
      </c>
      <c r="K2838" s="6" t="n">
        <v>37.65088802</v>
      </c>
      <c r="L2838" s="6">
        <f>I2838*K2838</f>
        <v/>
      </c>
      <c r="M2838" s="6">
        <f>K2838*4</f>
        <v/>
      </c>
      <c r="N2838" s="6" t="n">
        <v>400</v>
      </c>
    </row>
    <row r="2839">
      <c r="A2839" s="1" t="inlineStr">
        <is>
          <t>66176c86bbe5a</t>
        </is>
      </c>
      <c r="B2839" s="1" t="inlineStr">
        <is>
          <t>ANILLO LOVE SILVER (THIN WITHOUT ZIRCONIAS)</t>
        </is>
      </c>
      <c r="C2839" s="1" t="inlineStr">
        <is>
          <t>10</t>
        </is>
      </c>
      <c r="D2839" s="1" t="inlineStr">
        <is>
          <t>16/04/2026</t>
        </is>
      </c>
      <c r="E2839" s="1" t="n">
        <v>2026</v>
      </c>
      <c r="F2839" s="1" t="inlineStr">
        <is>
          <t>ABRIL</t>
        </is>
      </c>
      <c r="G2839" s="1" t="inlineStr">
        <is>
          <t>HAIFENG</t>
        </is>
      </c>
      <c r="H2839" s="1" t="inlineStr">
        <is>
          <t>HAIFENG 16/04/2026</t>
        </is>
      </c>
      <c r="I2839" s="4" t="n">
        <v>3</v>
      </c>
      <c r="J2839" s="6" t="n">
        <v>1.8</v>
      </c>
      <c r="K2839" s="6" t="n">
        <v>37.85665246</v>
      </c>
      <c r="L2839" s="6">
        <f>I2839*K2839</f>
        <v/>
      </c>
      <c r="M2839" s="6">
        <f>K2839*4</f>
        <v/>
      </c>
      <c r="N2839" s="6" t="n">
        <v>400</v>
      </c>
    </row>
    <row r="2840">
      <c r="A2840" s="1" t="inlineStr">
        <is>
          <t>66176c86bbe5a</t>
        </is>
      </c>
      <c r="B2840" s="1" t="inlineStr">
        <is>
          <t>ANILLO LOVE SILVER</t>
        </is>
      </c>
      <c r="C2840" s="1" t="inlineStr">
        <is>
          <t>10</t>
        </is>
      </c>
      <c r="D2840" s="1" t="inlineStr">
        <is>
          <t>16/06/2026</t>
        </is>
      </c>
      <c r="E2840" s="1" t="n">
        <v>2026</v>
      </c>
      <c r="F2840" s="1" t="inlineStr">
        <is>
          <t>JUNIO</t>
        </is>
      </c>
      <c r="G2840" s="1" t="inlineStr">
        <is>
          <t>HAIFENG</t>
        </is>
      </c>
      <c r="H2840" s="1" t="inlineStr">
        <is>
          <t>HAIFENG 16/06/2026</t>
        </is>
      </c>
      <c r="I2840" s="4" t="n">
        <v>2</v>
      </c>
      <c r="J2840" s="6" t="n">
        <v>1.8</v>
      </c>
      <c r="K2840" s="6" t="n">
        <v>37.82629163</v>
      </c>
      <c r="L2840" s="6">
        <f>I2840*K2840</f>
        <v/>
      </c>
      <c r="M2840" s="6">
        <f>K2840*4</f>
        <v/>
      </c>
      <c r="N2840" s="6" t="n">
        <v>400</v>
      </c>
    </row>
    <row r="2841">
      <c r="A2841" s="1" t="inlineStr">
        <is>
          <t>66176c87347f1</t>
        </is>
      </c>
      <c r="B2841" s="1" t="inlineStr">
        <is>
          <t>ANILLO LOVE ROSE GOLD</t>
        </is>
      </c>
      <c r="C2841" s="1" t="inlineStr">
        <is>
          <t>5</t>
        </is>
      </c>
      <c r="D2841" s="1" t="inlineStr">
        <is>
          <t>03/12/2025</t>
        </is>
      </c>
      <c r="E2841" s="1" t="n">
        <v>2025</v>
      </c>
      <c r="F2841" s="1" t="inlineStr">
        <is>
          <t>DICIEMBRE</t>
        </is>
      </c>
      <c r="G2841" s="1" t="inlineStr">
        <is>
          <t>HAIFENG</t>
        </is>
      </c>
      <c r="H2841" s="1" t="inlineStr">
        <is>
          <t>HAIFENG 03/12/2025</t>
        </is>
      </c>
      <c r="I2841" s="4" t="n">
        <v>2</v>
      </c>
      <c r="J2841" s="6" t="n">
        <v>1.8</v>
      </c>
      <c r="K2841" s="6" t="n">
        <v>37.65088802</v>
      </c>
      <c r="L2841" s="6">
        <f>I2841*K2841</f>
        <v/>
      </c>
      <c r="M2841" s="6">
        <f>K2841*4</f>
        <v/>
      </c>
      <c r="N2841" s="6" t="n">
        <v>400</v>
      </c>
    </row>
    <row r="2842">
      <c r="A2842" s="1" t="inlineStr">
        <is>
          <t>66176c87490bf</t>
        </is>
      </c>
      <c r="B2842" s="1" t="n"/>
      <c r="C2842" s="1" t="inlineStr">
        <is>
          <t>11</t>
        </is>
      </c>
      <c r="D2842" s="1" t="inlineStr">
        <is>
          <t>10/02/2026</t>
        </is>
      </c>
      <c r="E2842" s="1" t="n">
        <v>2026</v>
      </c>
      <c r="F2842" s="1" t="inlineStr">
        <is>
          <t>FEBRERO</t>
        </is>
      </c>
      <c r="G2842" s="1" t="inlineStr">
        <is>
          <t>HAIFENG</t>
        </is>
      </c>
      <c r="H2842" s="1" t="inlineStr">
        <is>
          <t>HAIFENG 10/02/2026</t>
        </is>
      </c>
      <c r="I2842" s="4" t="n">
        <v>1</v>
      </c>
      <c r="J2842" s="6" t="n">
        <v>1.8</v>
      </c>
      <c r="K2842" s="6" t="n">
        <v>37.92329292</v>
      </c>
      <c r="L2842" s="6">
        <f>I2842*K2842</f>
        <v/>
      </c>
      <c r="M2842" s="6">
        <f>K2842*4</f>
        <v/>
      </c>
      <c r="N2842" s="6" t="n">
        <v>260</v>
      </c>
    </row>
    <row r="2843">
      <c r="A2843" s="1" t="inlineStr">
        <is>
          <t>66176c87bb2e1</t>
        </is>
      </c>
      <c r="B2843" s="1" t="inlineStr">
        <is>
          <t>ANILLO LOVE ROSE GOLD</t>
        </is>
      </c>
      <c r="C2843" s="1" t="inlineStr">
        <is>
          <t>6</t>
        </is>
      </c>
      <c r="D2843" s="1" t="inlineStr">
        <is>
          <t>20/01/2026</t>
        </is>
      </c>
      <c r="E2843" s="1" t="n">
        <v>2026</v>
      </c>
      <c r="F2843" s="1" t="inlineStr">
        <is>
          <t>ENERO</t>
        </is>
      </c>
      <c r="G2843" s="1" t="inlineStr">
        <is>
          <t>HAIFENG</t>
        </is>
      </c>
      <c r="H2843" s="1" t="inlineStr">
        <is>
          <t>HAIFENG 20/01/2026</t>
        </is>
      </c>
      <c r="I2843" s="4" t="n">
        <v>1</v>
      </c>
      <c r="J2843" s="6" t="n">
        <v>1.8</v>
      </c>
      <c r="K2843" s="6" t="n">
        <v>38.16075203</v>
      </c>
      <c r="L2843" s="6">
        <f>I2843*K2843</f>
        <v/>
      </c>
      <c r="M2843" s="6">
        <f>K2843*4</f>
        <v/>
      </c>
      <c r="N2843" s="6" t="n">
        <v>400</v>
      </c>
    </row>
    <row r="2844">
      <c r="A2844" s="1" t="inlineStr">
        <is>
          <t>66176c87bb2e1</t>
        </is>
      </c>
      <c r="B2844" s="1" t="n"/>
      <c r="C2844" s="1" t="inlineStr">
        <is>
          <t>6</t>
        </is>
      </c>
      <c r="D2844" s="1" t="inlineStr">
        <is>
          <t>10/02/2026</t>
        </is>
      </c>
      <c r="E2844" s="1" t="n">
        <v>2026</v>
      </c>
      <c r="F2844" s="1" t="inlineStr">
        <is>
          <t>FEBRERO</t>
        </is>
      </c>
      <c r="G2844" s="1" t="inlineStr">
        <is>
          <t>HAIFENG</t>
        </is>
      </c>
      <c r="H2844" s="1" t="inlineStr">
        <is>
          <t>HAIFENG 10/02/2026</t>
        </is>
      </c>
      <c r="I2844" s="4" t="n">
        <v>2</v>
      </c>
      <c r="J2844" s="6" t="n">
        <v>1.8</v>
      </c>
      <c r="K2844" s="6" t="n">
        <v>37.92329292</v>
      </c>
      <c r="L2844" s="6">
        <f>I2844*K2844</f>
        <v/>
      </c>
      <c r="M2844" s="6">
        <f>K2844*4</f>
        <v/>
      </c>
      <c r="N2844" s="6" t="n">
        <v>400</v>
      </c>
    </row>
    <row r="2845">
      <c r="A2845" s="1" t="inlineStr">
        <is>
          <t>66176c8851d40</t>
        </is>
      </c>
      <c r="B2845" s="1" t="inlineStr">
        <is>
          <t>ANILLO LOVE ROSE GOLD</t>
        </is>
      </c>
      <c r="C2845" s="1" t="inlineStr">
        <is>
          <t>7</t>
        </is>
      </c>
      <c r="D2845" s="1" t="inlineStr">
        <is>
          <t>16/06/2026</t>
        </is>
      </c>
      <c r="E2845" s="1" t="n">
        <v>2026</v>
      </c>
      <c r="F2845" s="1" t="inlineStr">
        <is>
          <t>JUNIO</t>
        </is>
      </c>
      <c r="G2845" s="1" t="inlineStr">
        <is>
          <t>HAIFENG</t>
        </is>
      </c>
      <c r="H2845" s="1" t="inlineStr">
        <is>
          <t>HAIFENG 16/06/2026</t>
        </is>
      </c>
      <c r="I2845" s="4" t="n">
        <v>2</v>
      </c>
      <c r="J2845" s="6" t="n">
        <v>1.8</v>
      </c>
      <c r="K2845" s="6" t="n">
        <v>37.82629163</v>
      </c>
      <c r="L2845" s="6">
        <f>I2845*K2845</f>
        <v/>
      </c>
      <c r="M2845" s="6">
        <f>K2845*4</f>
        <v/>
      </c>
      <c r="N2845" s="6" t="n">
        <v>400</v>
      </c>
    </row>
    <row r="2846">
      <c r="A2846" s="1" t="inlineStr">
        <is>
          <t>66176c88cd9cc</t>
        </is>
      </c>
      <c r="B2846" s="1" t="n"/>
      <c r="C2846" s="1" t="inlineStr">
        <is>
          <t>8</t>
        </is>
      </c>
      <c r="D2846" s="1" t="inlineStr">
        <is>
          <t>10/02/2026</t>
        </is>
      </c>
      <c r="E2846" s="1" t="n">
        <v>2026</v>
      </c>
      <c r="F2846" s="1" t="inlineStr">
        <is>
          <t>FEBRERO</t>
        </is>
      </c>
      <c r="G2846" s="1" t="inlineStr">
        <is>
          <t>HAIFENG</t>
        </is>
      </c>
      <c r="H2846" s="1" t="inlineStr">
        <is>
          <t>HAIFENG 10/02/2026</t>
        </is>
      </c>
      <c r="I2846" s="4" t="n">
        <v>3</v>
      </c>
      <c r="J2846" s="6" t="n">
        <v>1.8</v>
      </c>
      <c r="K2846" s="6" t="n">
        <v>37.92329292</v>
      </c>
      <c r="L2846" s="6">
        <f>I2846*K2846</f>
        <v/>
      </c>
      <c r="M2846" s="6">
        <f>K2846*4</f>
        <v/>
      </c>
      <c r="N2846" s="6" t="n">
        <v>400</v>
      </c>
    </row>
    <row r="2847">
      <c r="A2847" s="1" t="inlineStr">
        <is>
          <t>66176c895cc2a</t>
        </is>
      </c>
      <c r="B2847" s="1" t="inlineStr">
        <is>
          <t>ANILLO LOVE ROSE GOLD</t>
        </is>
      </c>
      <c r="C2847" s="1" t="inlineStr">
        <is>
          <t>9</t>
        </is>
      </c>
      <c r="D2847" s="1" t="inlineStr">
        <is>
          <t>03/12/2025</t>
        </is>
      </c>
      <c r="E2847" s="1" t="n">
        <v>2025</v>
      </c>
      <c r="F2847" s="1" t="inlineStr">
        <is>
          <t>DICIEMBRE</t>
        </is>
      </c>
      <c r="G2847" s="1" t="inlineStr">
        <is>
          <t>HAIFENG</t>
        </is>
      </c>
      <c r="H2847" s="1" t="inlineStr">
        <is>
          <t>HAIFENG 03/12/2025</t>
        </is>
      </c>
      <c r="I2847" s="4" t="n">
        <v>2</v>
      </c>
      <c r="J2847" s="6" t="n">
        <v>1.8</v>
      </c>
      <c r="K2847" s="6" t="n">
        <v>37.65088802</v>
      </c>
      <c r="L2847" s="6">
        <f>I2847*K2847</f>
        <v/>
      </c>
      <c r="M2847" s="6">
        <f>K2847*4</f>
        <v/>
      </c>
      <c r="N2847" s="6" t="n">
        <v>400</v>
      </c>
    </row>
    <row r="2848">
      <c r="A2848" s="1" t="inlineStr">
        <is>
          <t>66176c895cc2a</t>
        </is>
      </c>
      <c r="B2848" s="1" t="inlineStr">
        <is>
          <t>ANILLO LOVE ROSE GOLD</t>
        </is>
      </c>
      <c r="C2848" s="1" t="inlineStr">
        <is>
          <t>9</t>
        </is>
      </c>
      <c r="D2848" s="1" t="inlineStr">
        <is>
          <t>20/01/2026</t>
        </is>
      </c>
      <c r="E2848" s="1" t="n">
        <v>2026</v>
      </c>
      <c r="F2848" s="1" t="inlineStr">
        <is>
          <t>ENERO</t>
        </is>
      </c>
      <c r="G2848" s="1" t="inlineStr">
        <is>
          <t>HAIFENG</t>
        </is>
      </c>
      <c r="H2848" s="1" t="inlineStr">
        <is>
          <t>HAIFENG 20/01/2026</t>
        </is>
      </c>
      <c r="I2848" s="4" t="n">
        <v>1</v>
      </c>
      <c r="J2848" s="6" t="n">
        <v>1.8</v>
      </c>
      <c r="K2848" s="6" t="n">
        <v>38.16075203</v>
      </c>
      <c r="L2848" s="6">
        <f>I2848*K2848</f>
        <v/>
      </c>
      <c r="M2848" s="6">
        <f>K2848*4</f>
        <v/>
      </c>
      <c r="N2848" s="6" t="n">
        <v>400</v>
      </c>
    </row>
    <row r="2849">
      <c r="A2849" s="1" t="inlineStr">
        <is>
          <t>66176c895cc2a</t>
        </is>
      </c>
      <c r="B2849" s="1" t="n"/>
      <c r="C2849" s="1" t="inlineStr">
        <is>
          <t>9</t>
        </is>
      </c>
      <c r="D2849" s="1" t="inlineStr">
        <is>
          <t>10/02/2026</t>
        </is>
      </c>
      <c r="E2849" s="1" t="n">
        <v>2026</v>
      </c>
      <c r="F2849" s="1" t="inlineStr">
        <is>
          <t>FEBRERO</t>
        </is>
      </c>
      <c r="G2849" s="1" t="inlineStr">
        <is>
          <t>HAIFENG</t>
        </is>
      </c>
      <c r="H2849" s="1" t="inlineStr">
        <is>
          <t>HAIFENG 10/02/2026</t>
        </is>
      </c>
      <c r="I2849" s="4" t="n">
        <v>1</v>
      </c>
      <c r="J2849" s="6" t="n">
        <v>1.8</v>
      </c>
      <c r="K2849" s="6" t="n">
        <v>37.92329292</v>
      </c>
      <c r="L2849" s="6">
        <f>I2849*K2849</f>
        <v/>
      </c>
      <c r="M2849" s="6">
        <f>K2849*4</f>
        <v/>
      </c>
      <c r="N2849" s="6" t="n">
        <v>400</v>
      </c>
    </row>
    <row r="2850">
      <c r="A2850" s="1" t="inlineStr">
        <is>
          <t>66176c8a6cba6</t>
        </is>
      </c>
      <c r="B2850" s="1" t="n"/>
      <c r="C2850" s="1" t="inlineStr">
        <is>
          <t>11</t>
        </is>
      </c>
      <c r="D2850" s="1" t="inlineStr">
        <is>
          <t>10/02/2026</t>
        </is>
      </c>
      <c r="E2850" s="1" t="n">
        <v>2026</v>
      </c>
      <c r="F2850" s="1" t="inlineStr">
        <is>
          <t>FEBRERO</t>
        </is>
      </c>
      <c r="G2850" s="1" t="inlineStr">
        <is>
          <t>HAIFENG</t>
        </is>
      </c>
      <c r="H2850" s="1" t="inlineStr">
        <is>
          <t>HAIFENG 10/02/2026</t>
        </is>
      </c>
      <c r="I2850" s="4" t="n">
        <v>2</v>
      </c>
      <c r="J2850" s="6" t="n">
        <v>1.8</v>
      </c>
      <c r="K2850" s="6" t="n">
        <v>37.92329292</v>
      </c>
      <c r="L2850" s="6">
        <f>I2850*K2850</f>
        <v/>
      </c>
      <c r="M2850" s="6">
        <f>K2850*4</f>
        <v/>
      </c>
      <c r="N2850" s="6" t="n">
        <v>400</v>
      </c>
    </row>
    <row r="2851">
      <c r="A2851" s="1" t="inlineStr">
        <is>
          <t>66176c8ac28e0</t>
        </is>
      </c>
      <c r="B2851" s="1" t="inlineStr">
        <is>
          <t>ANILLO LOVE ROSE GOLD ANCHO</t>
        </is>
      </c>
      <c r="C2851" s="1" t="inlineStr">
        <is>
          <t>6</t>
        </is>
      </c>
      <c r="D2851" s="1" t="inlineStr">
        <is>
          <t>03/12/2025</t>
        </is>
      </c>
      <c r="E2851" s="1" t="n">
        <v>2025</v>
      </c>
      <c r="F2851" s="1" t="inlineStr">
        <is>
          <t>DICIEMBRE</t>
        </is>
      </c>
      <c r="G2851" s="1" t="inlineStr">
        <is>
          <t>HAIFENG</t>
        </is>
      </c>
      <c r="H2851" s="1" t="inlineStr">
        <is>
          <t>HAIFENG 03/12/2025</t>
        </is>
      </c>
      <c r="I2851" s="4" t="n">
        <v>1</v>
      </c>
      <c r="J2851" s="6" t="n">
        <v>1.8</v>
      </c>
      <c r="K2851" s="6" t="n">
        <v>37.65088802</v>
      </c>
      <c r="L2851" s="6">
        <f>I2851*K2851</f>
        <v/>
      </c>
      <c r="M2851" s="6">
        <f>K2851*4</f>
        <v/>
      </c>
      <c r="N2851" s="6" t="n">
        <v>400</v>
      </c>
    </row>
    <row r="2852">
      <c r="A2852" s="1" t="inlineStr">
        <is>
          <t>66176c8ac28e0</t>
        </is>
      </c>
      <c r="B2852" s="1" t="inlineStr">
        <is>
          <t>ANILLO LOVE ROSE GOLD ANCHO</t>
        </is>
      </c>
      <c r="C2852" s="1" t="inlineStr">
        <is>
          <t>6</t>
        </is>
      </c>
      <c r="D2852" s="1" t="inlineStr">
        <is>
          <t>06/05/2026</t>
        </is>
      </c>
      <c r="E2852" s="1" t="n">
        <v>2026</v>
      </c>
      <c r="F2852" s="1" t="inlineStr">
        <is>
          <t>MAYO</t>
        </is>
      </c>
      <c r="G2852" s="1" t="inlineStr">
        <is>
          <t>HAIFENG</t>
        </is>
      </c>
      <c r="H2852" s="1" t="inlineStr">
        <is>
          <t>HAIFENG 06/05/2026</t>
        </is>
      </c>
      <c r="I2852" s="4" t="n">
        <v>3</v>
      </c>
      <c r="J2852" s="6" t="n">
        <v>1.8</v>
      </c>
      <c r="K2852" s="6" t="n">
        <v>38.19355608</v>
      </c>
      <c r="L2852" s="6">
        <f>I2852*K2852</f>
        <v/>
      </c>
      <c r="M2852" s="6">
        <f>K2852*4</f>
        <v/>
      </c>
      <c r="N2852" s="6" t="n">
        <v>400</v>
      </c>
    </row>
    <row r="2853">
      <c r="A2853" s="1" t="inlineStr">
        <is>
          <t>66176c8b55e0c</t>
        </is>
      </c>
      <c r="B2853" s="1" t="inlineStr">
        <is>
          <t>ANILLO LOVE ROSE GOLD ANCHO</t>
        </is>
      </c>
      <c r="C2853" s="1" t="inlineStr">
        <is>
          <t>7</t>
        </is>
      </c>
      <c r="D2853" s="1" t="inlineStr">
        <is>
          <t>25/09/2025</t>
        </is>
      </c>
      <c r="E2853" s="1" t="n">
        <v>2025</v>
      </c>
      <c r="F2853" s="1" t="inlineStr">
        <is>
          <t>SEPTIEMBRE</t>
        </is>
      </c>
      <c r="G2853" s="1" t="inlineStr">
        <is>
          <t>HAIFENG</t>
        </is>
      </c>
      <c r="H2853" s="1" t="inlineStr">
        <is>
          <t>HAIFENG 25/09/2025</t>
        </is>
      </c>
      <c r="I2853" s="4" t="n">
        <v>1</v>
      </c>
      <c r="J2853" s="6" t="n">
        <v>2</v>
      </c>
      <c r="K2853" s="6" t="n">
        <v>42.19377154</v>
      </c>
      <c r="L2853" s="6">
        <f>I2853*K2853</f>
        <v/>
      </c>
      <c r="M2853" s="6">
        <f>K2853*4</f>
        <v/>
      </c>
      <c r="N2853" s="6" t="n">
        <v>400</v>
      </c>
    </row>
    <row r="2854">
      <c r="A2854" s="1" t="inlineStr">
        <is>
          <t>66176c8b55e0c</t>
        </is>
      </c>
      <c r="B2854" s="1" t="inlineStr">
        <is>
          <t>ANILLO LOVE ROSE GOLD ANCHO</t>
        </is>
      </c>
      <c r="C2854" s="1" t="inlineStr">
        <is>
          <t>7</t>
        </is>
      </c>
      <c r="D2854" s="1" t="inlineStr">
        <is>
          <t>03/12/2025</t>
        </is>
      </c>
      <c r="E2854" s="1" t="n">
        <v>2025</v>
      </c>
      <c r="F2854" s="1" t="inlineStr">
        <is>
          <t>DICIEMBRE</t>
        </is>
      </c>
      <c r="G2854" s="1" t="inlineStr">
        <is>
          <t>HAIFENG</t>
        </is>
      </c>
      <c r="H2854" s="1" t="inlineStr">
        <is>
          <t>HAIFENG 03/12/2025</t>
        </is>
      </c>
      <c r="I2854" s="4" t="n">
        <v>4</v>
      </c>
      <c r="J2854" s="6" t="n">
        <v>1.8</v>
      </c>
      <c r="K2854" s="6" t="n">
        <v>37.65088802</v>
      </c>
      <c r="L2854" s="6">
        <f>I2854*K2854</f>
        <v/>
      </c>
      <c r="M2854" s="6">
        <f>K2854*4</f>
        <v/>
      </c>
      <c r="N2854" s="6" t="n">
        <v>400</v>
      </c>
    </row>
    <row r="2855">
      <c r="A2855" s="1" t="inlineStr">
        <is>
          <t>66176c8bd1187</t>
        </is>
      </c>
      <c r="B2855" s="1" t="inlineStr">
        <is>
          <t>ANILLO LOVE ROSE GOLD ANCHO (WIDHT WITHOUT ZIRCONIAS)</t>
        </is>
      </c>
      <c r="C2855" s="1" t="inlineStr">
        <is>
          <t>8</t>
        </is>
      </c>
      <c r="D2855" s="1" t="inlineStr">
        <is>
          <t>16/04/2026</t>
        </is>
      </c>
      <c r="E2855" s="1" t="n">
        <v>2026</v>
      </c>
      <c r="F2855" s="1" t="inlineStr">
        <is>
          <t>ABRIL</t>
        </is>
      </c>
      <c r="G2855" s="1" t="inlineStr">
        <is>
          <t>HAIFENG</t>
        </is>
      </c>
      <c r="H2855" s="1" t="inlineStr">
        <is>
          <t>HAIFENG 16/04/2026</t>
        </is>
      </c>
      <c r="I2855" s="4" t="n">
        <v>2</v>
      </c>
      <c r="J2855" s="6" t="n">
        <v>1.8</v>
      </c>
      <c r="K2855" s="6" t="n">
        <v>37.85665246</v>
      </c>
      <c r="L2855" s="6">
        <f>I2855*K2855</f>
        <v/>
      </c>
      <c r="M2855" s="6">
        <f>K2855*4</f>
        <v/>
      </c>
      <c r="N2855" s="6" t="n">
        <v>400</v>
      </c>
    </row>
    <row r="2856">
      <c r="A2856" s="1" t="inlineStr">
        <is>
          <t>66176c8bd1187</t>
        </is>
      </c>
      <c r="B2856" s="1" t="inlineStr">
        <is>
          <t>ANILLO LOVE ROSE GOLD ANCHO (WIDE)</t>
        </is>
      </c>
      <c r="C2856" s="1" t="inlineStr">
        <is>
          <t>8</t>
        </is>
      </c>
      <c r="D2856" s="1" t="inlineStr">
        <is>
          <t>16/06/2026</t>
        </is>
      </c>
      <c r="E2856" s="1" t="n">
        <v>2026</v>
      </c>
      <c r="F2856" s="1" t="inlineStr">
        <is>
          <t>JUNIO</t>
        </is>
      </c>
      <c r="G2856" s="1" t="inlineStr">
        <is>
          <t>HAIFENG</t>
        </is>
      </c>
      <c r="H2856" s="1" t="inlineStr">
        <is>
          <t>HAIFENG 16/06/2026</t>
        </is>
      </c>
      <c r="I2856" s="4" t="n">
        <v>1</v>
      </c>
      <c r="J2856" s="6" t="n">
        <v>1.8</v>
      </c>
      <c r="K2856" s="6" t="n">
        <v>37.82629163</v>
      </c>
      <c r="L2856" s="6">
        <f>I2856*K2856</f>
        <v/>
      </c>
      <c r="M2856" s="6">
        <f>K2856*4</f>
        <v/>
      </c>
      <c r="N2856" s="6" t="n">
        <v>400</v>
      </c>
    </row>
    <row r="2857">
      <c r="A2857" s="1" t="inlineStr">
        <is>
          <t>66176c8c6241e</t>
        </is>
      </c>
      <c r="B2857" s="1" t="inlineStr">
        <is>
          <t>ANILLO LOVE ROSE GOLD ANCHO</t>
        </is>
      </c>
      <c r="C2857" s="1" t="inlineStr">
        <is>
          <t>9</t>
        </is>
      </c>
      <c r="D2857" s="1" t="inlineStr">
        <is>
          <t>11/11/2025</t>
        </is>
      </c>
      <c r="E2857" s="1" t="n">
        <v>2025</v>
      </c>
      <c r="F2857" s="1" t="inlineStr">
        <is>
          <t>NOVIEMBRE</t>
        </is>
      </c>
      <c r="G2857" s="1" t="inlineStr">
        <is>
          <t>HAIFENG</t>
        </is>
      </c>
      <c r="H2857" s="1" t="inlineStr">
        <is>
          <t>HAIFENG 11/11/2025</t>
        </is>
      </c>
      <c r="I2857" s="4" t="n">
        <v>2</v>
      </c>
      <c r="J2857" s="6" t="n">
        <v>1.8</v>
      </c>
      <c r="K2857" s="6" t="n">
        <v>37.9088972</v>
      </c>
      <c r="L2857" s="6">
        <f>I2857*K2857</f>
        <v/>
      </c>
      <c r="M2857" s="6">
        <f>K2857*4</f>
        <v/>
      </c>
      <c r="N2857" s="6" t="n">
        <v>400</v>
      </c>
    </row>
    <row r="2858">
      <c r="A2858" s="1" t="inlineStr">
        <is>
          <t>66176c8d6ed4d</t>
        </is>
      </c>
      <c r="B2858" s="1" t="inlineStr">
        <is>
          <t>ANILLO LOVE ROSE GOLD ANCHO</t>
        </is>
      </c>
      <c r="C2858" s="1" t="inlineStr">
        <is>
          <t>11</t>
        </is>
      </c>
      <c r="D2858" s="1" t="inlineStr">
        <is>
          <t>11/11/2025</t>
        </is>
      </c>
      <c r="E2858" s="1" t="n">
        <v>2025</v>
      </c>
      <c r="F2858" s="1" t="inlineStr">
        <is>
          <t>NOVIEMBRE</t>
        </is>
      </c>
      <c r="G2858" s="1" t="inlineStr">
        <is>
          <t>HAIFENG</t>
        </is>
      </c>
      <c r="H2858" s="1" t="inlineStr">
        <is>
          <t>HAIFENG 11/11/2025</t>
        </is>
      </c>
      <c r="I2858" s="4" t="n">
        <v>2</v>
      </c>
      <c r="J2858" s="6" t="n">
        <v>1.8</v>
      </c>
      <c r="K2858" s="6" t="n">
        <v>37.9088972</v>
      </c>
      <c r="L2858" s="6">
        <f>I2858*K2858</f>
        <v/>
      </c>
      <c r="M2858" s="6">
        <f>K2858*4</f>
        <v/>
      </c>
      <c r="N2858" s="6" t="n">
        <v>400</v>
      </c>
    </row>
    <row r="2859">
      <c r="A2859" s="1" t="inlineStr">
        <is>
          <t>66176c908bd7d</t>
        </is>
      </c>
      <c r="B2859" s="1" t="inlineStr">
        <is>
          <t>ANILLO LOVE GOLD ANCHO CON ZIRCONIA</t>
        </is>
      </c>
      <c r="C2859" s="1" t="inlineStr">
        <is>
          <t>5</t>
        </is>
      </c>
      <c r="D2859" s="1" t="inlineStr">
        <is>
          <t>01/09/2025</t>
        </is>
      </c>
      <c r="E2859" s="1" t="n">
        <v>2025</v>
      </c>
      <c r="F2859" s="1" t="inlineStr">
        <is>
          <t>SEPTIEMBRE</t>
        </is>
      </c>
      <c r="G2859" s="1" t="inlineStr">
        <is>
          <t>HAIFENG</t>
        </is>
      </c>
      <c r="H2859" s="1" t="inlineStr">
        <is>
          <t>HAIFENG 01/09/2025</t>
        </is>
      </c>
      <c r="I2859" s="4" t="n">
        <v>3</v>
      </c>
      <c r="J2859" s="6" t="n">
        <v>1.8</v>
      </c>
      <c r="K2859" s="6" t="n">
        <v>38.26020791</v>
      </c>
      <c r="L2859" s="6">
        <f>I2859*K2859</f>
        <v/>
      </c>
      <c r="M2859" s="6">
        <f>K2859*4</f>
        <v/>
      </c>
      <c r="N2859" s="6" t="n">
        <v>450</v>
      </c>
    </row>
    <row r="2860">
      <c r="A2860" s="1" t="inlineStr">
        <is>
          <t>66176c908bd7d</t>
        </is>
      </c>
      <c r="B2860" s="1" t="inlineStr">
        <is>
          <t>ANILLO LOVE GOLD ANCHO (WIDHT WITh ZIRCONIAS)</t>
        </is>
      </c>
      <c r="C2860" s="1" t="inlineStr">
        <is>
          <t>5</t>
        </is>
      </c>
      <c r="D2860" s="1" t="inlineStr">
        <is>
          <t>16/04/2026</t>
        </is>
      </c>
      <c r="E2860" s="1" t="n">
        <v>2026</v>
      </c>
      <c r="F2860" s="1" t="inlineStr">
        <is>
          <t>ABRIL</t>
        </is>
      </c>
      <c r="G2860" s="1" t="inlineStr">
        <is>
          <t>HAIFENG</t>
        </is>
      </c>
      <c r="H2860" s="1" t="inlineStr">
        <is>
          <t>HAIFENG 16/04/2026</t>
        </is>
      </c>
      <c r="I2860" s="4" t="n">
        <v>3</v>
      </c>
      <c r="J2860" s="6" t="n">
        <v>1.8</v>
      </c>
      <c r="K2860" s="6" t="n">
        <v>37.85665246</v>
      </c>
      <c r="L2860" s="6">
        <f>I2860*K2860</f>
        <v/>
      </c>
      <c r="M2860" s="6">
        <f>K2860*4</f>
        <v/>
      </c>
      <c r="N2860" s="6" t="n">
        <v>450</v>
      </c>
    </row>
    <row r="2861">
      <c r="A2861" s="1" t="inlineStr">
        <is>
          <t>66176c9121303</t>
        </is>
      </c>
      <c r="B2861" s="1" t="inlineStr">
        <is>
          <t>ANILLO LOVE GOLD ANCHO CON ZIRCONIA</t>
        </is>
      </c>
      <c r="C2861" s="1" t="inlineStr">
        <is>
          <t>6</t>
        </is>
      </c>
      <c r="D2861" s="1" t="inlineStr">
        <is>
          <t>11/11/2025</t>
        </is>
      </c>
      <c r="E2861" s="1" t="n">
        <v>2025</v>
      </c>
      <c r="F2861" s="1" t="inlineStr">
        <is>
          <t>NOVIEMBRE</t>
        </is>
      </c>
      <c r="G2861" s="1" t="inlineStr">
        <is>
          <t>HAIFENG</t>
        </is>
      </c>
      <c r="H2861" s="1" t="inlineStr">
        <is>
          <t>HAIFENG 11/11/2025</t>
        </is>
      </c>
      <c r="I2861" s="4" t="n">
        <v>7</v>
      </c>
      <c r="J2861" s="6" t="n">
        <v>1.8</v>
      </c>
      <c r="K2861" s="6" t="n">
        <v>37.9088972</v>
      </c>
      <c r="L2861" s="6">
        <f>I2861*K2861</f>
        <v/>
      </c>
      <c r="M2861" s="6">
        <f>K2861*4</f>
        <v/>
      </c>
      <c r="N2861" s="6" t="n">
        <v>450</v>
      </c>
    </row>
    <row r="2862">
      <c r="A2862" s="1" t="inlineStr">
        <is>
          <t>66176c9121303</t>
        </is>
      </c>
      <c r="B2862" s="1" t="inlineStr">
        <is>
          <t>ANILLO LOVE GOLD ANCHO CON ZIRCONIA</t>
        </is>
      </c>
      <c r="C2862" s="1" t="inlineStr">
        <is>
          <t>6</t>
        </is>
      </c>
      <c r="D2862" s="1" t="inlineStr">
        <is>
          <t>11/11/2025</t>
        </is>
      </c>
      <c r="E2862" s="1" t="n">
        <v>2025</v>
      </c>
      <c r="F2862" s="1" t="inlineStr">
        <is>
          <t>NOVIEMBRE</t>
        </is>
      </c>
      <c r="G2862" s="1" t="inlineStr">
        <is>
          <t>HAIFENG</t>
        </is>
      </c>
      <c r="H2862" s="1" t="inlineStr">
        <is>
          <t>HAIFENG 11/11/2025</t>
        </is>
      </c>
      <c r="I2862" s="4" t="n">
        <v>5</v>
      </c>
      <c r="J2862" s="6" t="n">
        <v>1.8</v>
      </c>
      <c r="K2862" s="6" t="n">
        <v>37.9088972</v>
      </c>
      <c r="L2862" s="6">
        <f>I2862*K2862</f>
        <v/>
      </c>
      <c r="M2862" s="6">
        <f>K2862*4</f>
        <v/>
      </c>
      <c r="N2862" s="6" t="n">
        <v>450</v>
      </c>
    </row>
    <row r="2863">
      <c r="A2863" s="1" t="inlineStr">
        <is>
          <t>66176c91b3d77</t>
        </is>
      </c>
      <c r="B2863" s="1" t="inlineStr">
        <is>
          <t>ANILLO LOVE GOLD ANCHO CON ZIRCONIA</t>
        </is>
      </c>
      <c r="C2863" s="1" t="inlineStr">
        <is>
          <t>7</t>
        </is>
      </c>
      <c r="D2863" s="1" t="inlineStr">
        <is>
          <t>25/09/2025</t>
        </is>
      </c>
      <c r="E2863" s="1" t="n">
        <v>2025</v>
      </c>
      <c r="F2863" s="1" t="inlineStr">
        <is>
          <t>SEPTIEMBRE</t>
        </is>
      </c>
      <c r="G2863" s="1" t="inlineStr">
        <is>
          <t>HAIFENG</t>
        </is>
      </c>
      <c r="H2863" s="1" t="inlineStr">
        <is>
          <t>HAIFENG 25/09/2025</t>
        </is>
      </c>
      <c r="I2863" s="4" t="n">
        <v>1</v>
      </c>
      <c r="J2863" s="6" t="n">
        <v>1.8</v>
      </c>
      <c r="K2863" s="6" t="n">
        <v>37.97439438</v>
      </c>
      <c r="L2863" s="6">
        <f>I2863*K2863</f>
        <v/>
      </c>
      <c r="M2863" s="6">
        <f>K2863*4</f>
        <v/>
      </c>
      <c r="N2863" s="6" t="n">
        <v>450</v>
      </c>
    </row>
    <row r="2864">
      <c r="A2864" s="1" t="inlineStr">
        <is>
          <t>66176c91b3d77</t>
        </is>
      </c>
      <c r="B2864" s="1" t="inlineStr">
        <is>
          <t>ANILLO LOVE GOLD ANCHO CON ZIRCONIA</t>
        </is>
      </c>
      <c r="C2864" s="1" t="inlineStr">
        <is>
          <t>7</t>
        </is>
      </c>
      <c r="D2864" s="1" t="inlineStr">
        <is>
          <t>11/11/2025</t>
        </is>
      </c>
      <c r="E2864" s="1" t="n">
        <v>2025</v>
      </c>
      <c r="F2864" s="1" t="inlineStr">
        <is>
          <t>NOVIEMBRE</t>
        </is>
      </c>
      <c r="G2864" s="1" t="inlineStr">
        <is>
          <t>HAIFENG</t>
        </is>
      </c>
      <c r="H2864" s="1" t="inlineStr">
        <is>
          <t>HAIFENG 11/11/2025</t>
        </is>
      </c>
      <c r="I2864" s="4" t="n">
        <v>8</v>
      </c>
      <c r="J2864" s="6" t="n">
        <v>1.8</v>
      </c>
      <c r="K2864" s="6" t="n">
        <v>37.9088972</v>
      </c>
      <c r="L2864" s="6">
        <f>I2864*K2864</f>
        <v/>
      </c>
      <c r="M2864" s="6">
        <f>K2864*4</f>
        <v/>
      </c>
      <c r="N2864" s="6" t="n">
        <v>450</v>
      </c>
    </row>
    <row r="2865">
      <c r="A2865" s="1" t="inlineStr">
        <is>
          <t>66176c91b3d77</t>
        </is>
      </c>
      <c r="B2865" s="1" t="inlineStr">
        <is>
          <t>ANILLO LOVE GOLD ANCHO CON ZIRCONIA</t>
        </is>
      </c>
      <c r="C2865" s="1" t="inlineStr">
        <is>
          <t>7</t>
        </is>
      </c>
      <c r="D2865" s="1" t="inlineStr">
        <is>
          <t>06/05/2026</t>
        </is>
      </c>
      <c r="E2865" s="1" t="n">
        <v>2026</v>
      </c>
      <c r="F2865" s="1" t="inlineStr">
        <is>
          <t>MAYO</t>
        </is>
      </c>
      <c r="G2865" s="1" t="inlineStr">
        <is>
          <t>HAIFENG</t>
        </is>
      </c>
      <c r="H2865" s="1" t="inlineStr">
        <is>
          <t>HAIFENG 06/05/2026</t>
        </is>
      </c>
      <c r="I2865" s="4" t="n">
        <v>3</v>
      </c>
      <c r="J2865" s="6" t="n">
        <v>1.8</v>
      </c>
      <c r="K2865" s="6" t="n">
        <v>38.19355608</v>
      </c>
      <c r="L2865" s="6">
        <f>I2865*K2865</f>
        <v/>
      </c>
      <c r="M2865" s="6">
        <f>K2865*4</f>
        <v/>
      </c>
      <c r="N2865" s="6" t="n">
        <v>450</v>
      </c>
    </row>
    <row r="2866">
      <c r="A2866" s="1" t="inlineStr">
        <is>
          <t>66176c924830f</t>
        </is>
      </c>
      <c r="B2866" s="1" t="inlineStr">
        <is>
          <t>ANILLO LOVE GOLD ANCHO CON ZIRCONIA</t>
        </is>
      </c>
      <c r="C2866" s="1" t="inlineStr">
        <is>
          <t>8</t>
        </is>
      </c>
      <c r="D2866" s="1" t="inlineStr">
        <is>
          <t>20/01/2026</t>
        </is>
      </c>
      <c r="E2866" s="1" t="n">
        <v>2026</v>
      </c>
      <c r="F2866" s="1" t="inlineStr">
        <is>
          <t>ENERO</t>
        </is>
      </c>
      <c r="G2866" s="1" t="inlineStr">
        <is>
          <t>HAIFENG</t>
        </is>
      </c>
      <c r="H2866" s="1" t="inlineStr">
        <is>
          <t>HAIFENG 20/01/2026</t>
        </is>
      </c>
      <c r="I2866" s="4" t="n">
        <v>2</v>
      </c>
      <c r="J2866" s="6" t="n">
        <v>1.8</v>
      </c>
      <c r="K2866" s="6" t="n">
        <v>38.16075203</v>
      </c>
      <c r="L2866" s="6">
        <f>I2866*K2866</f>
        <v/>
      </c>
      <c r="M2866" s="6">
        <f>K2866*4</f>
        <v/>
      </c>
      <c r="N2866" s="6" t="n">
        <v>450</v>
      </c>
    </row>
    <row r="2867">
      <c r="A2867" s="1" t="inlineStr">
        <is>
          <t>66176c924830f</t>
        </is>
      </c>
      <c r="B2867" s="1" t="n"/>
      <c r="C2867" s="1" t="inlineStr">
        <is>
          <t>8</t>
        </is>
      </c>
      <c r="D2867" s="1" t="inlineStr">
        <is>
          <t>10/02/2026</t>
        </is>
      </c>
      <c r="E2867" s="1" t="n">
        <v>2026</v>
      </c>
      <c r="F2867" s="1" t="inlineStr">
        <is>
          <t>FEBRERO</t>
        </is>
      </c>
      <c r="G2867" s="1" t="inlineStr">
        <is>
          <t>HAIFENG</t>
        </is>
      </c>
      <c r="H2867" s="1" t="inlineStr">
        <is>
          <t>HAIFENG 10/02/2026</t>
        </is>
      </c>
      <c r="I2867" s="4" t="n">
        <v>2</v>
      </c>
      <c r="J2867" s="6" t="n">
        <v>3</v>
      </c>
      <c r="K2867" s="6" t="n">
        <v>63.2054882</v>
      </c>
      <c r="L2867" s="6">
        <f>I2867*K2867</f>
        <v/>
      </c>
      <c r="M2867" s="6">
        <f>K2867*4</f>
        <v/>
      </c>
      <c r="N2867" s="6" t="n">
        <v>450</v>
      </c>
    </row>
    <row r="2868">
      <c r="A2868" s="1" t="inlineStr">
        <is>
          <t>66176c924830f</t>
        </is>
      </c>
      <c r="B2868" s="1" t="inlineStr">
        <is>
          <t>ANILLO LOVE GOLD ANCHO CON ZIRCONIA(WIDE)</t>
        </is>
      </c>
      <c r="C2868" s="1" t="inlineStr">
        <is>
          <t>8</t>
        </is>
      </c>
      <c r="D2868" s="1" t="inlineStr">
        <is>
          <t>16/06/2026</t>
        </is>
      </c>
      <c r="E2868" s="1" t="n">
        <v>2026</v>
      </c>
      <c r="F2868" s="1" t="inlineStr">
        <is>
          <t>JUNIO</t>
        </is>
      </c>
      <c r="G2868" s="1" t="inlineStr">
        <is>
          <t>HAIFENG</t>
        </is>
      </c>
      <c r="H2868" s="1" t="inlineStr">
        <is>
          <t>HAIFENG 16/06/2026</t>
        </is>
      </c>
      <c r="I2868" s="4" t="n">
        <v>2</v>
      </c>
      <c r="J2868" s="6" t="n">
        <v>1.8</v>
      </c>
      <c r="K2868" s="6" t="n">
        <v>37.82629163</v>
      </c>
      <c r="L2868" s="6">
        <f>I2868*K2868</f>
        <v/>
      </c>
      <c r="M2868" s="6">
        <f>K2868*4</f>
        <v/>
      </c>
      <c r="N2868" s="6" t="n">
        <v>450</v>
      </c>
    </row>
    <row r="2869">
      <c r="A2869" s="1" t="inlineStr">
        <is>
          <t>66176c92ddb57</t>
        </is>
      </c>
      <c r="B2869" s="1" t="inlineStr">
        <is>
          <t>ANILLO LOVE GOLD ANCHO CON ZIRCONIA</t>
        </is>
      </c>
      <c r="C2869" s="1" t="inlineStr">
        <is>
          <t>9</t>
        </is>
      </c>
      <c r="D2869" s="1" t="inlineStr">
        <is>
          <t>01/09/2025</t>
        </is>
      </c>
      <c r="E2869" s="1" t="n">
        <v>2025</v>
      </c>
      <c r="F2869" s="1" t="inlineStr">
        <is>
          <t>SEPTIEMBRE</t>
        </is>
      </c>
      <c r="G2869" s="1" t="inlineStr">
        <is>
          <t>HAIFENG</t>
        </is>
      </c>
      <c r="H2869" s="1" t="inlineStr">
        <is>
          <t>HAIFENG 01/09/2025</t>
        </is>
      </c>
      <c r="I2869" s="4" t="n">
        <v>2</v>
      </c>
      <c r="J2869" s="6" t="n">
        <v>1.8</v>
      </c>
      <c r="K2869" s="6" t="n">
        <v>38.26020791</v>
      </c>
      <c r="L2869" s="6">
        <f>I2869*K2869</f>
        <v/>
      </c>
      <c r="M2869" s="6">
        <f>K2869*4</f>
        <v/>
      </c>
      <c r="N2869" s="6" t="n">
        <v>450</v>
      </c>
    </row>
    <row r="2870">
      <c r="A2870" s="1" t="inlineStr">
        <is>
          <t>66176c92ddb57</t>
        </is>
      </c>
      <c r="B2870" s="1" t="inlineStr">
        <is>
          <t>ANILLO LOVE GOLD ANCHO CON ZIRCONIA</t>
        </is>
      </c>
      <c r="C2870" s="1" t="inlineStr">
        <is>
          <t>9</t>
        </is>
      </c>
      <c r="D2870" s="1" t="inlineStr">
        <is>
          <t>11/11/2025</t>
        </is>
      </c>
      <c r="E2870" s="1" t="n">
        <v>2025</v>
      </c>
      <c r="F2870" s="1" t="inlineStr">
        <is>
          <t>NOVIEMBRE</t>
        </is>
      </c>
      <c r="G2870" s="1" t="inlineStr">
        <is>
          <t>HAIFENG</t>
        </is>
      </c>
      <c r="H2870" s="1" t="inlineStr">
        <is>
          <t>HAIFENG 11/11/2025</t>
        </is>
      </c>
      <c r="I2870" s="4" t="n">
        <v>2</v>
      </c>
      <c r="J2870" s="6" t="n">
        <v>1.8</v>
      </c>
      <c r="K2870" s="6" t="n">
        <v>37.9088972</v>
      </c>
      <c r="L2870" s="6">
        <f>I2870*K2870</f>
        <v/>
      </c>
      <c r="M2870" s="6">
        <f>K2870*4</f>
        <v/>
      </c>
      <c r="N2870" s="6" t="n">
        <v>450</v>
      </c>
    </row>
    <row r="2871">
      <c r="A2871" s="1" t="inlineStr">
        <is>
          <t>66176c92ddb57</t>
        </is>
      </c>
      <c r="B2871" s="1" t="inlineStr">
        <is>
          <t>ANILLO LOVE GOLD ANCHO CON ZIRCONIA</t>
        </is>
      </c>
      <c r="C2871" s="1" t="inlineStr">
        <is>
          <t>9</t>
        </is>
      </c>
      <c r="D2871" s="1" t="inlineStr">
        <is>
          <t>20/01/2026</t>
        </is>
      </c>
      <c r="E2871" s="1" t="n">
        <v>2026</v>
      </c>
      <c r="F2871" s="1" t="inlineStr">
        <is>
          <t>ENERO</t>
        </is>
      </c>
      <c r="G2871" s="1" t="inlineStr">
        <is>
          <t>HAIFENG</t>
        </is>
      </c>
      <c r="H2871" s="1" t="inlineStr">
        <is>
          <t>HAIFENG 20/01/2026</t>
        </is>
      </c>
      <c r="I2871" s="4" t="n">
        <v>1</v>
      </c>
      <c r="J2871" s="6" t="n">
        <v>1.8</v>
      </c>
      <c r="K2871" s="6" t="n">
        <v>38.16075203</v>
      </c>
      <c r="L2871" s="6">
        <f>I2871*K2871</f>
        <v/>
      </c>
      <c r="M2871" s="6">
        <f>K2871*4</f>
        <v/>
      </c>
      <c r="N2871" s="6" t="n">
        <v>450</v>
      </c>
    </row>
    <row r="2872">
      <c r="A2872" s="1" t="inlineStr">
        <is>
          <t>66176c92ddb57</t>
        </is>
      </c>
      <c r="B2872" s="1" t="inlineStr">
        <is>
          <t>ANILLO LOVE GOLD ANCHO CON ZIRCONIA</t>
        </is>
      </c>
      <c r="C2872" s="1" t="inlineStr">
        <is>
          <t>9</t>
        </is>
      </c>
      <c r="D2872" s="1" t="inlineStr">
        <is>
          <t>06/05/2026</t>
        </is>
      </c>
      <c r="E2872" s="1" t="n">
        <v>2026</v>
      </c>
      <c r="F2872" s="1" t="inlineStr">
        <is>
          <t>MAYO</t>
        </is>
      </c>
      <c r="G2872" s="1" t="inlineStr">
        <is>
          <t>HAIFENG</t>
        </is>
      </c>
      <c r="H2872" s="1" t="inlineStr">
        <is>
          <t>HAIFENG 06/05/2026</t>
        </is>
      </c>
      <c r="I2872" s="4" t="n">
        <v>2</v>
      </c>
      <c r="J2872" s="6" t="n">
        <v>1.8</v>
      </c>
      <c r="K2872" s="6" t="n">
        <v>38.19355608</v>
      </c>
      <c r="L2872" s="6">
        <f>I2872*K2872</f>
        <v/>
      </c>
      <c r="M2872" s="6">
        <f>K2872*4</f>
        <v/>
      </c>
      <c r="N2872" s="6" t="n">
        <v>450</v>
      </c>
    </row>
    <row r="2873">
      <c r="A2873" s="1" t="inlineStr">
        <is>
          <t>66176c92ddb57</t>
        </is>
      </c>
      <c r="B2873" s="1" t="inlineStr">
        <is>
          <t>ANILLO LOVE GOLD ANCHO CON ZIRCONIA</t>
        </is>
      </c>
      <c r="C2873" s="1" t="inlineStr">
        <is>
          <t>9</t>
        </is>
      </c>
      <c r="D2873" s="1" t="inlineStr">
        <is>
          <t>26/05/2026</t>
        </is>
      </c>
      <c r="E2873" s="1" t="n">
        <v>2026</v>
      </c>
      <c r="F2873" s="1" t="inlineStr">
        <is>
          <t>MAYO</t>
        </is>
      </c>
      <c r="G2873" s="1" t="inlineStr">
        <is>
          <t>HAIFENG</t>
        </is>
      </c>
      <c r="H2873" s="1" t="inlineStr">
        <is>
          <t>HAIFENG 26/05/2026</t>
        </is>
      </c>
      <c r="I2873" s="4" t="n">
        <v>2</v>
      </c>
      <c r="J2873" s="6" t="n">
        <v>1.8</v>
      </c>
      <c r="K2873" s="6" t="n">
        <v>37.78073153</v>
      </c>
      <c r="L2873" s="6">
        <f>I2873*K2873</f>
        <v/>
      </c>
      <c r="M2873" s="6">
        <f>K2873*4</f>
        <v/>
      </c>
      <c r="N2873" s="6" t="n">
        <v>450</v>
      </c>
    </row>
    <row r="2874">
      <c r="A2874" s="1" t="inlineStr">
        <is>
          <t>66176c93808a4</t>
        </is>
      </c>
      <c r="B2874" s="1" t="inlineStr">
        <is>
          <t>ANILLO LOVE GOLD ANCHO CON ZIRCONIA</t>
        </is>
      </c>
      <c r="C2874" s="1" t="inlineStr">
        <is>
          <t>10</t>
        </is>
      </c>
      <c r="D2874" s="1" t="inlineStr">
        <is>
          <t>03/12/2025</t>
        </is>
      </c>
      <c r="E2874" s="1" t="n">
        <v>2025</v>
      </c>
      <c r="F2874" s="1" t="inlineStr">
        <is>
          <t>DICIEMBRE</t>
        </is>
      </c>
      <c r="G2874" s="1" t="inlineStr">
        <is>
          <t>HAIFENG</t>
        </is>
      </c>
      <c r="H2874" s="1" t="inlineStr">
        <is>
          <t>HAIFENG 03/12/2025</t>
        </is>
      </c>
      <c r="I2874" s="4" t="n">
        <v>1</v>
      </c>
      <c r="J2874" s="6" t="n">
        <v>1.8</v>
      </c>
      <c r="K2874" s="6" t="n">
        <v>37.65088802</v>
      </c>
      <c r="L2874" s="6">
        <f>I2874*K2874</f>
        <v/>
      </c>
      <c r="M2874" s="6">
        <f>K2874*4</f>
        <v/>
      </c>
      <c r="N2874" s="6" t="n">
        <v>450</v>
      </c>
    </row>
    <row r="2875">
      <c r="A2875" s="1" t="inlineStr">
        <is>
          <t>66176c93808a4</t>
        </is>
      </c>
      <c r="B2875" s="1" t="n"/>
      <c r="C2875" s="1" t="inlineStr">
        <is>
          <t>10</t>
        </is>
      </c>
      <c r="D2875" s="1" t="inlineStr">
        <is>
          <t>10/02/2026</t>
        </is>
      </c>
      <c r="E2875" s="1" t="n">
        <v>2026</v>
      </c>
      <c r="F2875" s="1" t="inlineStr">
        <is>
          <t>FEBRERO</t>
        </is>
      </c>
      <c r="G2875" s="1" t="inlineStr">
        <is>
          <t>HAIFENG</t>
        </is>
      </c>
      <c r="H2875" s="1" t="inlineStr">
        <is>
          <t>HAIFENG 10/02/2026</t>
        </is>
      </c>
      <c r="I2875" s="4" t="n">
        <v>2</v>
      </c>
      <c r="J2875" s="6" t="n">
        <v>3</v>
      </c>
      <c r="K2875" s="6" t="n">
        <v>63.2054882</v>
      </c>
      <c r="L2875" s="6">
        <f>I2875*K2875</f>
        <v/>
      </c>
      <c r="M2875" s="6">
        <f>K2875*4</f>
        <v/>
      </c>
      <c r="N2875" s="6" t="n">
        <v>450</v>
      </c>
    </row>
    <row r="2876">
      <c r="A2876" s="1" t="inlineStr">
        <is>
          <t>66176cdacbf36</t>
        </is>
      </c>
      <c r="B2876" s="1" t="inlineStr">
        <is>
          <t>ANILLO CLAVO ZIRCONIA GOLD</t>
        </is>
      </c>
      <c r="C2876" s="1" t="inlineStr">
        <is>
          <t>5</t>
        </is>
      </c>
      <c r="D2876" s="1" t="inlineStr">
        <is>
          <t>11/03/2026</t>
        </is>
      </c>
      <c r="E2876" s="1" t="n">
        <v>2026</v>
      </c>
      <c r="F2876" s="1" t="inlineStr">
        <is>
          <t>MARZO</t>
        </is>
      </c>
      <c r="G2876" s="1" t="inlineStr">
        <is>
          <t>HAIFENG</t>
        </is>
      </c>
      <c r="H2876" s="1" t="inlineStr">
        <is>
          <t>HAIFENG 11/03/2026</t>
        </is>
      </c>
      <c r="I2876" s="4" t="n">
        <v>3</v>
      </c>
      <c r="J2876" s="6" t="n">
        <v>2.5</v>
      </c>
      <c r="K2876" s="6" t="n">
        <v>53.25974054</v>
      </c>
      <c r="L2876" s="6">
        <f>I2876*K2876</f>
        <v/>
      </c>
      <c r="M2876" s="6">
        <f>K2876*4</f>
        <v/>
      </c>
      <c r="N2876" s="6" t="n">
        <v>450</v>
      </c>
    </row>
    <row r="2877">
      <c r="A2877" s="1" t="inlineStr">
        <is>
          <t>66176cdae92c1</t>
        </is>
      </c>
      <c r="B2877" s="1" t="inlineStr">
        <is>
          <t>ANILLO CLAVO GOLD</t>
        </is>
      </c>
      <c r="C2877" s="1" t="inlineStr">
        <is>
          <t>5 HIGH QUALITY</t>
        </is>
      </c>
      <c r="D2877" s="1" t="inlineStr">
        <is>
          <t>03/12/2025</t>
        </is>
      </c>
      <c r="E2877" s="1" t="n">
        <v>2025</v>
      </c>
      <c r="F2877" s="1" t="inlineStr">
        <is>
          <t>DICIEMBRE</t>
        </is>
      </c>
      <c r="G2877" s="1" t="inlineStr">
        <is>
          <t>HAIFENG</t>
        </is>
      </c>
      <c r="H2877" s="1" t="inlineStr">
        <is>
          <t>HAIFENG 03/12/2025</t>
        </is>
      </c>
      <c r="I2877" s="4" t="n">
        <v>3</v>
      </c>
      <c r="J2877" s="6" t="n">
        <v>2.5</v>
      </c>
      <c r="K2877" s="6" t="n">
        <v>52.29290003</v>
      </c>
      <c r="L2877" s="6">
        <f>I2877*K2877</f>
        <v/>
      </c>
      <c r="M2877" s="6">
        <f>K2877*4</f>
        <v/>
      </c>
      <c r="N2877" s="6" t="n">
        <v>400</v>
      </c>
    </row>
    <row r="2878">
      <c r="A2878" s="1" t="inlineStr">
        <is>
          <t>66176cdae92c1</t>
        </is>
      </c>
      <c r="B2878" s="1" t="inlineStr">
        <is>
          <t>ANILLO CLAVO GOLD</t>
        </is>
      </c>
      <c r="C2878" s="1" t="inlineStr">
        <is>
          <t>5 HIGH QUALITY</t>
        </is>
      </c>
      <c r="D2878" s="1" t="inlineStr">
        <is>
          <t>20/01/2026</t>
        </is>
      </c>
      <c r="E2878" s="1" t="n">
        <v>2026</v>
      </c>
      <c r="F2878" s="1" t="inlineStr">
        <is>
          <t>ENERO</t>
        </is>
      </c>
      <c r="G2878" s="1" t="inlineStr">
        <is>
          <t>HAIFENG</t>
        </is>
      </c>
      <c r="H2878" s="1" t="inlineStr">
        <is>
          <t>HAIFENG 20/01/2026</t>
        </is>
      </c>
      <c r="I2878" s="4" t="n">
        <v>5</v>
      </c>
      <c r="J2878" s="6" t="n">
        <v>2.5</v>
      </c>
      <c r="K2878" s="6" t="n">
        <v>53.00104448</v>
      </c>
      <c r="L2878" s="6">
        <f>I2878*K2878</f>
        <v/>
      </c>
      <c r="M2878" s="6">
        <f>K2878*4</f>
        <v/>
      </c>
      <c r="N2878" s="6" t="n">
        <v>400</v>
      </c>
    </row>
    <row r="2879">
      <c r="A2879" s="1" t="inlineStr">
        <is>
          <t>66176cdae92c1</t>
        </is>
      </c>
      <c r="B2879" s="1" t="inlineStr">
        <is>
          <t>ANILLO CLAVO GOLD</t>
        </is>
      </c>
      <c r="C2879" s="1" t="inlineStr">
        <is>
          <t>5 HIGH QUALITY</t>
        </is>
      </c>
      <c r="D2879" s="1" t="inlineStr">
        <is>
          <t>10/02/2026</t>
        </is>
      </c>
      <c r="E2879" s="1" t="n">
        <v>2026</v>
      </c>
      <c r="F2879" s="1" t="inlineStr">
        <is>
          <t>FEBRERO</t>
        </is>
      </c>
      <c r="G2879" s="1" t="inlineStr">
        <is>
          <t>HAIFENG</t>
        </is>
      </c>
      <c r="H2879" s="1" t="inlineStr">
        <is>
          <t>HAIFENG 10/02/2026</t>
        </is>
      </c>
      <c r="I2879" s="4" t="n">
        <v>10</v>
      </c>
      <c r="J2879" s="6" t="n">
        <v>2.5</v>
      </c>
      <c r="K2879" s="6" t="n">
        <v>52.67124016</v>
      </c>
      <c r="L2879" s="6">
        <f>I2879*K2879</f>
        <v/>
      </c>
      <c r="M2879" s="6">
        <f>K2879*4</f>
        <v/>
      </c>
      <c r="N2879" s="6" t="n">
        <v>400</v>
      </c>
    </row>
    <row r="2880">
      <c r="A2880" s="1" t="inlineStr">
        <is>
          <t>66176cdae92c1</t>
        </is>
      </c>
      <c r="B2880" s="1" t="inlineStr">
        <is>
          <t>ANILLO CLAVO GOLD (WITHOUT ZIRCONIAS)</t>
        </is>
      </c>
      <c r="C2880" s="1" t="inlineStr">
        <is>
          <t>5 HIGH QUALITY</t>
        </is>
      </c>
      <c r="D2880" s="1" t="inlineStr">
        <is>
          <t>16/04/2026</t>
        </is>
      </c>
      <c r="E2880" s="1" t="n">
        <v>2026</v>
      </c>
      <c r="F2880" s="1" t="inlineStr">
        <is>
          <t>ABRIL</t>
        </is>
      </c>
      <c r="G2880" s="1" t="inlineStr">
        <is>
          <t>HAIFENG</t>
        </is>
      </c>
      <c r="H2880" s="1" t="inlineStr">
        <is>
          <t>HAIFENG 16/04/2026</t>
        </is>
      </c>
      <c r="I2880" s="4" t="n">
        <v>4</v>
      </c>
      <c r="J2880" s="6" t="n">
        <v>2.5</v>
      </c>
      <c r="K2880" s="6" t="n">
        <v>52.57868397</v>
      </c>
      <c r="L2880" s="6">
        <f>I2880*K2880</f>
        <v/>
      </c>
      <c r="M2880" s="6">
        <f>K2880*4</f>
        <v/>
      </c>
      <c r="N2880" s="6" t="n">
        <v>400</v>
      </c>
    </row>
    <row r="2881">
      <c r="A2881" s="1" t="inlineStr">
        <is>
          <t>66176cdae92c1</t>
        </is>
      </c>
      <c r="B2881" s="1" t="inlineStr">
        <is>
          <t>ANILLO CLAVO GOLD</t>
        </is>
      </c>
      <c r="C2881" s="1" t="inlineStr">
        <is>
          <t>5 HIGH QUALITY</t>
        </is>
      </c>
      <c r="D2881" s="1" t="inlineStr">
        <is>
          <t>16/06/2026</t>
        </is>
      </c>
      <c r="E2881" s="1" t="n">
        <v>2026</v>
      </c>
      <c r="F2881" s="1" t="inlineStr">
        <is>
          <t>JUNIO</t>
        </is>
      </c>
      <c r="G2881" s="1" t="inlineStr">
        <is>
          <t>HAIFENG</t>
        </is>
      </c>
      <c r="H2881" s="1" t="inlineStr">
        <is>
          <t>HAIFENG 16/06/2026</t>
        </is>
      </c>
      <c r="I2881" s="4" t="n">
        <v>6</v>
      </c>
      <c r="J2881" s="6" t="n">
        <v>2.5</v>
      </c>
      <c r="K2881" s="6" t="n">
        <v>52.53651615</v>
      </c>
      <c r="L2881" s="6">
        <f>I2881*K2881</f>
        <v/>
      </c>
      <c r="M2881" s="6">
        <f>K2881*4</f>
        <v/>
      </c>
      <c r="N2881" s="6" t="n">
        <v>400</v>
      </c>
    </row>
    <row r="2882">
      <c r="A2882" s="1" t="inlineStr">
        <is>
          <t>66176cdaf1735</t>
        </is>
      </c>
      <c r="B2882" s="1" t="inlineStr">
        <is>
          <t>ANILLO CLAVO SILVER</t>
        </is>
      </c>
      <c r="C2882" s="1" t="inlineStr">
        <is>
          <t>5 HIGH QUALITY</t>
        </is>
      </c>
      <c r="D2882" s="1" t="inlineStr">
        <is>
          <t>11/11/2025</t>
        </is>
      </c>
      <c r="E2882" s="1" t="n">
        <v>2025</v>
      </c>
      <c r="F2882" s="1" t="inlineStr">
        <is>
          <t>NOVIEMBRE</t>
        </is>
      </c>
      <c r="G2882" s="1" t="inlineStr">
        <is>
          <t>HAIFENG</t>
        </is>
      </c>
      <c r="H2882" s="1" t="inlineStr">
        <is>
          <t>HAIFENG 11/11/2025</t>
        </is>
      </c>
      <c r="I2882" s="4" t="n">
        <v>1</v>
      </c>
      <c r="J2882" s="6" t="n">
        <v>2.5</v>
      </c>
      <c r="K2882" s="6" t="n">
        <v>52.65124611</v>
      </c>
      <c r="L2882" s="6">
        <f>I2882*K2882</f>
        <v/>
      </c>
      <c r="M2882" s="6">
        <f>K2882*4</f>
        <v/>
      </c>
      <c r="N2882" s="6" t="n">
        <v>400</v>
      </c>
    </row>
    <row r="2883">
      <c r="A2883" s="1" t="inlineStr">
        <is>
          <t>66176cdaf1735</t>
        </is>
      </c>
      <c r="B2883" s="1" t="inlineStr">
        <is>
          <t>ANILLO CLAVO SILVER</t>
        </is>
      </c>
      <c r="C2883" s="1" t="inlineStr">
        <is>
          <t>5 HIGH QUALITY</t>
        </is>
      </c>
      <c r="D2883" s="1" t="inlineStr">
        <is>
          <t>10/02/2026</t>
        </is>
      </c>
      <c r="E2883" s="1" t="n">
        <v>2026</v>
      </c>
      <c r="F2883" s="1" t="inlineStr">
        <is>
          <t>FEBRERO</t>
        </is>
      </c>
      <c r="G2883" s="1" t="inlineStr">
        <is>
          <t>HAIFENG</t>
        </is>
      </c>
      <c r="H2883" s="1" t="inlineStr">
        <is>
          <t>HAIFENG 10/02/2026</t>
        </is>
      </c>
      <c r="I2883" s="4" t="n">
        <v>7</v>
      </c>
      <c r="J2883" s="6" t="n">
        <v>2.5</v>
      </c>
      <c r="K2883" s="6" t="n">
        <v>52.67124016</v>
      </c>
      <c r="L2883" s="6">
        <f>I2883*K2883</f>
        <v/>
      </c>
      <c r="M2883" s="6">
        <f>K2883*4</f>
        <v/>
      </c>
      <c r="N2883" s="6" t="n">
        <v>400</v>
      </c>
    </row>
    <row r="2884">
      <c r="A2884" s="1" t="inlineStr">
        <is>
          <t>66176cdaf1735</t>
        </is>
      </c>
      <c r="B2884" s="1" t="inlineStr">
        <is>
          <t>ANILLO CLAVO SILVER (WITHOUT ZIRCONIAS)</t>
        </is>
      </c>
      <c r="C2884" s="1" t="inlineStr">
        <is>
          <t>5 HIGH QUALITY</t>
        </is>
      </c>
      <c r="D2884" s="1" t="inlineStr">
        <is>
          <t>16/04/2026</t>
        </is>
      </c>
      <c r="E2884" s="1" t="n">
        <v>2026</v>
      </c>
      <c r="F2884" s="1" t="inlineStr">
        <is>
          <t>ABRIL</t>
        </is>
      </c>
      <c r="G2884" s="1" t="inlineStr">
        <is>
          <t>HAIFENG</t>
        </is>
      </c>
      <c r="H2884" s="1" t="inlineStr">
        <is>
          <t>HAIFENG 16/04/2026</t>
        </is>
      </c>
      <c r="I2884" s="4" t="n">
        <v>3</v>
      </c>
      <c r="J2884" s="6" t="n">
        <v>2.5</v>
      </c>
      <c r="K2884" s="6" t="n">
        <v>52.57868397</v>
      </c>
      <c r="L2884" s="6">
        <f>I2884*K2884</f>
        <v/>
      </c>
      <c r="M2884" s="6">
        <f>K2884*4</f>
        <v/>
      </c>
      <c r="N2884" s="6" t="n">
        <v>400</v>
      </c>
    </row>
    <row r="2885">
      <c r="A2885" s="1" t="inlineStr">
        <is>
          <t>66176cdb6225d</t>
        </is>
      </c>
      <c r="B2885" s="1" t="inlineStr">
        <is>
          <t>ANILLO CLAVO ZIRCONIA GOLD</t>
        </is>
      </c>
      <c r="C2885" s="1" t="inlineStr">
        <is>
          <t>6</t>
        </is>
      </c>
      <c r="D2885" s="1" t="inlineStr">
        <is>
          <t>11/03/2026</t>
        </is>
      </c>
      <c r="E2885" s="1" t="n">
        <v>2026</v>
      </c>
      <c r="F2885" s="1" t="inlineStr">
        <is>
          <t>MARZO</t>
        </is>
      </c>
      <c r="G2885" s="1" t="inlineStr">
        <is>
          <t>HAIFENG</t>
        </is>
      </c>
      <c r="H2885" s="1" t="inlineStr">
        <is>
          <t>HAIFENG 11/03/2026</t>
        </is>
      </c>
      <c r="I2885" s="4" t="n">
        <v>2</v>
      </c>
      <c r="J2885" s="6" t="n">
        <v>2.5</v>
      </c>
      <c r="K2885" s="6" t="n">
        <v>53.25974054</v>
      </c>
      <c r="L2885" s="6">
        <f>I2885*K2885</f>
        <v/>
      </c>
      <c r="M2885" s="6">
        <f>K2885*4</f>
        <v/>
      </c>
      <c r="N2885" s="6" t="n">
        <v>450</v>
      </c>
    </row>
    <row r="2886">
      <c r="A2886" s="1" t="inlineStr">
        <is>
          <t>66176cdb6225d</t>
        </is>
      </c>
      <c r="B2886" s="1" t="inlineStr">
        <is>
          <t>ANILLO CLAVO ZIRCONIA GOLD</t>
        </is>
      </c>
      <c r="C2886" s="1" t="inlineStr">
        <is>
          <t>6</t>
        </is>
      </c>
      <c r="D2886" s="1" t="inlineStr">
        <is>
          <t>16/06/2026</t>
        </is>
      </c>
      <c r="E2886" s="1" t="n">
        <v>2026</v>
      </c>
      <c r="F2886" s="1" t="inlineStr">
        <is>
          <t>JUNIO</t>
        </is>
      </c>
      <c r="G2886" s="1" t="inlineStr">
        <is>
          <t>HAIFENG</t>
        </is>
      </c>
      <c r="H2886" s="1" t="inlineStr">
        <is>
          <t>HAIFENG 16/06/2026</t>
        </is>
      </c>
      <c r="I2886" s="4" t="n">
        <v>2</v>
      </c>
      <c r="J2886" s="6" t="n">
        <v>2.5</v>
      </c>
      <c r="K2886" s="6" t="n">
        <v>52.53651615</v>
      </c>
      <c r="L2886" s="6">
        <f>I2886*K2886</f>
        <v/>
      </c>
      <c r="M2886" s="6">
        <f>K2886*4</f>
        <v/>
      </c>
      <c r="N2886" s="6" t="n">
        <v>450</v>
      </c>
    </row>
    <row r="2887">
      <c r="A2887" s="1" t="inlineStr">
        <is>
          <t>66176cdb7d238</t>
        </is>
      </c>
      <c r="B2887" s="1" t="inlineStr">
        <is>
          <t>ANILLO CLAVO SILVER</t>
        </is>
      </c>
      <c r="C2887" s="1" t="inlineStr">
        <is>
          <t>6 HIGH QUALITY</t>
        </is>
      </c>
      <c r="D2887" s="1" t="inlineStr">
        <is>
          <t>03/12/2025</t>
        </is>
      </c>
      <c r="E2887" s="1" t="n">
        <v>2025</v>
      </c>
      <c r="F2887" s="1" t="inlineStr">
        <is>
          <t>DICIEMBRE</t>
        </is>
      </c>
      <c r="G2887" s="1" t="inlineStr">
        <is>
          <t>HAIFENG</t>
        </is>
      </c>
      <c r="H2887" s="1" t="inlineStr">
        <is>
          <t>HAIFENG 03/12/2025</t>
        </is>
      </c>
      <c r="I2887" s="4" t="n">
        <v>2</v>
      </c>
      <c r="J2887" s="6" t="n">
        <v>2.5</v>
      </c>
      <c r="K2887" s="6" t="n">
        <v>52.29290003</v>
      </c>
      <c r="L2887" s="6">
        <f>I2887*K2887</f>
        <v/>
      </c>
      <c r="M2887" s="6">
        <f>K2887*4</f>
        <v/>
      </c>
      <c r="N2887" s="6" t="n">
        <v>400</v>
      </c>
    </row>
    <row r="2888">
      <c r="A2888" s="1" t="inlineStr">
        <is>
          <t>66176cdb7d238</t>
        </is>
      </c>
      <c r="B2888" s="1" t="inlineStr">
        <is>
          <t>ANILLO CLAVO SILVER (WITHOUT ZIRCONIAS)</t>
        </is>
      </c>
      <c r="C2888" s="1" t="inlineStr">
        <is>
          <t>6 HIGH QUALITY</t>
        </is>
      </c>
      <c r="D2888" s="1" t="inlineStr">
        <is>
          <t>16/04/2026</t>
        </is>
      </c>
      <c r="E2888" s="1" t="n">
        <v>2026</v>
      </c>
      <c r="F2888" s="1" t="inlineStr">
        <is>
          <t>ABRIL</t>
        </is>
      </c>
      <c r="G2888" s="1" t="inlineStr">
        <is>
          <t>HAIFENG</t>
        </is>
      </c>
      <c r="H2888" s="1" t="inlineStr">
        <is>
          <t>HAIFENG 16/04/2026</t>
        </is>
      </c>
      <c r="I2888" s="4" t="n">
        <v>4</v>
      </c>
      <c r="J2888" s="6" t="n">
        <v>2.5</v>
      </c>
      <c r="K2888" s="6" t="n">
        <v>52.57868397</v>
      </c>
      <c r="L2888" s="6">
        <f>I2888*K2888</f>
        <v/>
      </c>
      <c r="M2888" s="6">
        <f>K2888*4</f>
        <v/>
      </c>
      <c r="N2888" s="6" t="n">
        <v>400</v>
      </c>
    </row>
    <row r="2889">
      <c r="A2889" s="1" t="inlineStr">
        <is>
          <t>66176cdb9f129</t>
        </is>
      </c>
      <c r="B2889" s="1" t="inlineStr">
        <is>
          <t>ANILLO CLAVO GOLD</t>
        </is>
      </c>
      <c r="C2889" s="1" t="inlineStr">
        <is>
          <t>6 HIGH QUALITY</t>
        </is>
      </c>
      <c r="D2889" s="1" t="inlineStr">
        <is>
          <t>01/09/2025</t>
        </is>
      </c>
      <c r="E2889" s="1" t="n">
        <v>2025</v>
      </c>
      <c r="F2889" s="1" t="inlineStr">
        <is>
          <t>SEPTIEMBRE</t>
        </is>
      </c>
      <c r="G2889" s="1" t="inlineStr">
        <is>
          <t>HAIFENG</t>
        </is>
      </c>
      <c r="H2889" s="1" t="inlineStr">
        <is>
          <t>HAIFENG 01/09/2025</t>
        </is>
      </c>
      <c r="I2889" s="4" t="n">
        <v>2</v>
      </c>
      <c r="J2889" s="6" t="n">
        <v>2.5</v>
      </c>
      <c r="K2889" s="6" t="n">
        <v>53.13917766</v>
      </c>
      <c r="L2889" s="6">
        <f>I2889*K2889</f>
        <v/>
      </c>
      <c r="M2889" s="6">
        <f>K2889*4</f>
        <v/>
      </c>
      <c r="N2889" s="6" t="n">
        <v>400</v>
      </c>
    </row>
    <row r="2890">
      <c r="A2890" s="1" t="inlineStr">
        <is>
          <t>66176cdb9f129</t>
        </is>
      </c>
      <c r="B2890" s="1" t="inlineStr">
        <is>
          <t>ANILLO CLAVO GOLD</t>
        </is>
      </c>
      <c r="C2890" s="1" t="inlineStr">
        <is>
          <t>6 HIGH QUALITY</t>
        </is>
      </c>
      <c r="D2890" s="1" t="inlineStr">
        <is>
          <t>25/09/2025</t>
        </is>
      </c>
      <c r="E2890" s="1" t="n">
        <v>2025</v>
      </c>
      <c r="F2890" s="1" t="inlineStr">
        <is>
          <t>SEPTIEMBRE</t>
        </is>
      </c>
      <c r="G2890" s="1" t="inlineStr">
        <is>
          <t>HAIFENG</t>
        </is>
      </c>
      <c r="H2890" s="1" t="inlineStr">
        <is>
          <t>HAIFENG 25/09/2025</t>
        </is>
      </c>
      <c r="I2890" s="4" t="n">
        <v>2</v>
      </c>
      <c r="J2890" s="6" t="n">
        <v>2.5</v>
      </c>
      <c r="K2890" s="6" t="n">
        <v>52.74221442</v>
      </c>
      <c r="L2890" s="6">
        <f>I2890*K2890</f>
        <v/>
      </c>
      <c r="M2890" s="6">
        <f>K2890*4</f>
        <v/>
      </c>
      <c r="N2890" s="6" t="n">
        <v>400</v>
      </c>
    </row>
    <row r="2891">
      <c r="A2891" s="1" t="inlineStr">
        <is>
          <t>66176cdb9f129</t>
        </is>
      </c>
      <c r="B2891" s="1" t="inlineStr">
        <is>
          <t>ANILLO CLAVO GOLD</t>
        </is>
      </c>
      <c r="C2891" s="1" t="inlineStr">
        <is>
          <t>6 HIGH QUALITY</t>
        </is>
      </c>
      <c r="D2891" s="1" t="inlineStr">
        <is>
          <t>11/11/2025</t>
        </is>
      </c>
      <c r="E2891" s="1" t="n">
        <v>2025</v>
      </c>
      <c r="F2891" s="1" t="inlineStr">
        <is>
          <t>NOVIEMBRE</t>
        </is>
      </c>
      <c r="G2891" s="1" t="inlineStr">
        <is>
          <t>HAIFENG</t>
        </is>
      </c>
      <c r="H2891" s="1" t="inlineStr">
        <is>
          <t>HAIFENG 11/11/2025</t>
        </is>
      </c>
      <c r="I2891" s="4" t="n">
        <v>6</v>
      </c>
      <c r="J2891" s="6" t="n">
        <v>2.5</v>
      </c>
      <c r="K2891" s="6" t="n">
        <v>52.65124611</v>
      </c>
      <c r="L2891" s="6">
        <f>I2891*K2891</f>
        <v/>
      </c>
      <c r="M2891" s="6">
        <f>K2891*4</f>
        <v/>
      </c>
      <c r="N2891" s="6" t="n">
        <v>400</v>
      </c>
    </row>
    <row r="2892">
      <c r="A2892" s="1" t="inlineStr">
        <is>
          <t>66176cdb9f129</t>
        </is>
      </c>
      <c r="B2892" s="1" t="inlineStr">
        <is>
          <t>ANILLO CLAVO GOLD</t>
        </is>
      </c>
      <c r="C2892" s="1" t="inlineStr">
        <is>
          <t>6 HIGH QUALITY</t>
        </is>
      </c>
      <c r="D2892" s="1" t="inlineStr">
        <is>
          <t>03/12/2025</t>
        </is>
      </c>
      <c r="E2892" s="1" t="n">
        <v>2025</v>
      </c>
      <c r="F2892" s="1" t="inlineStr">
        <is>
          <t>DICIEMBRE</t>
        </is>
      </c>
      <c r="G2892" s="1" t="inlineStr">
        <is>
          <t>HAIFENG</t>
        </is>
      </c>
      <c r="H2892" s="1" t="inlineStr">
        <is>
          <t>HAIFENG 03/12/2025</t>
        </is>
      </c>
      <c r="I2892" s="4" t="n">
        <v>2</v>
      </c>
      <c r="J2892" s="6" t="n">
        <v>2.5</v>
      </c>
      <c r="K2892" s="6" t="n">
        <v>52.29290003</v>
      </c>
      <c r="L2892" s="6">
        <f>I2892*K2892</f>
        <v/>
      </c>
      <c r="M2892" s="6">
        <f>K2892*4</f>
        <v/>
      </c>
      <c r="N2892" s="6" t="n">
        <v>400</v>
      </c>
    </row>
    <row r="2893">
      <c r="A2893" s="1" t="inlineStr">
        <is>
          <t>66176cdb9f129</t>
        </is>
      </c>
      <c r="B2893" s="1" t="n"/>
      <c r="C2893" s="1" t="inlineStr">
        <is>
          <t>6 HIGH QUALITY</t>
        </is>
      </c>
      <c r="D2893" s="1" t="inlineStr">
        <is>
          <t>10/02/2026</t>
        </is>
      </c>
      <c r="E2893" s="1" t="n">
        <v>2026</v>
      </c>
      <c r="F2893" s="1" t="inlineStr">
        <is>
          <t>FEBRERO</t>
        </is>
      </c>
      <c r="G2893" s="1" t="inlineStr">
        <is>
          <t>HAIFENG</t>
        </is>
      </c>
      <c r="H2893" s="1" t="inlineStr">
        <is>
          <t>HAIFENG 10/02/2026</t>
        </is>
      </c>
      <c r="I2893" s="4" t="n">
        <v>8</v>
      </c>
      <c r="J2893" s="6" t="n">
        <v>2.5</v>
      </c>
      <c r="K2893" s="6" t="n">
        <v>52.67124016</v>
      </c>
      <c r="L2893" s="6">
        <f>I2893*K2893</f>
        <v/>
      </c>
      <c r="M2893" s="6">
        <f>K2893*4</f>
        <v/>
      </c>
      <c r="N2893" s="6" t="n">
        <v>400</v>
      </c>
    </row>
    <row r="2894">
      <c r="A2894" s="1" t="inlineStr">
        <is>
          <t>66176cdb9f129</t>
        </is>
      </c>
      <c r="B2894" s="1" t="inlineStr">
        <is>
          <t>ANILLO CLAVO GOLD</t>
        </is>
      </c>
      <c r="C2894" s="1" t="inlineStr">
        <is>
          <t>6 HIGH QUALITY</t>
        </is>
      </c>
      <c r="D2894" s="1" t="inlineStr">
        <is>
          <t>11/03/2026</t>
        </is>
      </c>
      <c r="E2894" s="1" t="n">
        <v>2026</v>
      </c>
      <c r="F2894" s="1" t="inlineStr">
        <is>
          <t>MARZO</t>
        </is>
      </c>
      <c r="G2894" s="1" t="inlineStr">
        <is>
          <t>HAIFENG</t>
        </is>
      </c>
      <c r="H2894" s="1" t="inlineStr">
        <is>
          <t>HAIFENG 11/03/2026</t>
        </is>
      </c>
      <c r="I2894" s="4" t="n">
        <v>2</v>
      </c>
      <c r="J2894" s="6" t="n">
        <v>2.5</v>
      </c>
      <c r="K2894" s="6" t="n">
        <v>53.25974054</v>
      </c>
      <c r="L2894" s="6">
        <f>I2894*K2894</f>
        <v/>
      </c>
      <c r="M2894" s="6">
        <f>K2894*4</f>
        <v/>
      </c>
      <c r="N2894" s="6" t="n">
        <v>400</v>
      </c>
    </row>
    <row r="2895">
      <c r="A2895" s="1" t="inlineStr">
        <is>
          <t>66176cdb9f129</t>
        </is>
      </c>
      <c r="B2895" s="1" t="inlineStr">
        <is>
          <t>ANILLO CLAVO GOLD</t>
        </is>
      </c>
      <c r="C2895" s="1" t="inlineStr">
        <is>
          <t>6 HIGH QUALITY</t>
        </is>
      </c>
      <c r="D2895" s="1" t="inlineStr">
        <is>
          <t>26/05/2026</t>
        </is>
      </c>
      <c r="E2895" s="1" t="n">
        <v>2026</v>
      </c>
      <c r="F2895" s="1" t="inlineStr">
        <is>
          <t>MAYO</t>
        </is>
      </c>
      <c r="G2895" s="1" t="inlineStr">
        <is>
          <t>HAIFENG</t>
        </is>
      </c>
      <c r="H2895" s="1" t="inlineStr">
        <is>
          <t>HAIFENG 26/05/2026</t>
        </is>
      </c>
      <c r="I2895" s="4" t="n">
        <v>6</v>
      </c>
      <c r="J2895" s="6" t="n">
        <v>2.5</v>
      </c>
      <c r="K2895" s="6" t="n">
        <v>52.47323824</v>
      </c>
      <c r="L2895" s="6">
        <f>I2895*K2895</f>
        <v/>
      </c>
      <c r="M2895" s="6">
        <f>K2895*4</f>
        <v/>
      </c>
      <c r="N2895" s="6" t="n">
        <v>400</v>
      </c>
    </row>
    <row r="2896">
      <c r="A2896" s="1" t="inlineStr">
        <is>
          <t>66176cdbe0e8a</t>
        </is>
      </c>
      <c r="B2896" s="1" t="inlineStr">
        <is>
          <t>ANILLO CLAVO ZIRCONIA GOLD</t>
        </is>
      </c>
      <c r="C2896" s="1" t="inlineStr">
        <is>
          <t>7</t>
        </is>
      </c>
      <c r="D2896" s="1" t="inlineStr">
        <is>
          <t>11/03/2026</t>
        </is>
      </c>
      <c r="E2896" s="1" t="n">
        <v>2026</v>
      </c>
      <c r="F2896" s="1" t="inlineStr">
        <is>
          <t>MARZO</t>
        </is>
      </c>
      <c r="G2896" s="1" t="inlineStr">
        <is>
          <t>HAIFENG</t>
        </is>
      </c>
      <c r="H2896" s="1" t="inlineStr">
        <is>
          <t>HAIFENG 11/03/2026</t>
        </is>
      </c>
      <c r="I2896" s="4" t="n">
        <v>3</v>
      </c>
      <c r="J2896" s="6" t="n">
        <v>2.5</v>
      </c>
      <c r="K2896" s="6" t="n">
        <v>53.25974054</v>
      </c>
      <c r="L2896" s="6">
        <f>I2896*K2896</f>
        <v/>
      </c>
      <c r="M2896" s="6">
        <f>K2896*4</f>
        <v/>
      </c>
      <c r="N2896" s="6" t="n">
        <v>450</v>
      </c>
    </row>
    <row r="2897">
      <c r="A2897" s="1" t="inlineStr">
        <is>
          <t>66176cdbe0e8a</t>
        </is>
      </c>
      <c r="B2897" s="1" t="inlineStr">
        <is>
          <t>ANILLO CLAVO ZIRCONIA GOLD</t>
        </is>
      </c>
      <c r="C2897" s="1" t="inlineStr">
        <is>
          <t>7</t>
        </is>
      </c>
      <c r="D2897" s="1" t="inlineStr">
        <is>
          <t>26/05/2026</t>
        </is>
      </c>
      <c r="E2897" s="1" t="n">
        <v>2026</v>
      </c>
      <c r="F2897" s="1" t="inlineStr">
        <is>
          <t>MAYO</t>
        </is>
      </c>
      <c r="G2897" s="1" t="inlineStr">
        <is>
          <t>HAIFENG</t>
        </is>
      </c>
      <c r="H2897" s="1" t="inlineStr">
        <is>
          <t>HAIFENG 26/05/2026</t>
        </is>
      </c>
      <c r="I2897" s="4" t="n">
        <v>3</v>
      </c>
      <c r="J2897" s="6" t="n">
        <v>2.5</v>
      </c>
      <c r="K2897" s="6" t="n">
        <v>52.47323824</v>
      </c>
      <c r="L2897" s="6">
        <f>I2897*K2897</f>
        <v/>
      </c>
      <c r="M2897" s="6">
        <f>K2897*4</f>
        <v/>
      </c>
      <c r="N2897" s="6" t="n">
        <v>450</v>
      </c>
    </row>
    <row r="2898">
      <c r="A2898" s="1" t="inlineStr">
        <is>
          <t>66176cdbe0e8a</t>
        </is>
      </c>
      <c r="B2898" s="1" t="inlineStr">
        <is>
          <t>ANILLO CLAVO ZIRCONIA GOLD</t>
        </is>
      </c>
      <c r="C2898" s="1" t="inlineStr">
        <is>
          <t>7</t>
        </is>
      </c>
      <c r="D2898" s="1" t="inlineStr">
        <is>
          <t>16/06/2026</t>
        </is>
      </c>
      <c r="E2898" s="1" t="n">
        <v>2026</v>
      </c>
      <c r="F2898" s="1" t="inlineStr">
        <is>
          <t>JUNIO</t>
        </is>
      </c>
      <c r="G2898" s="1" t="inlineStr">
        <is>
          <t>HAIFENG</t>
        </is>
      </c>
      <c r="H2898" s="1" t="inlineStr">
        <is>
          <t>HAIFENG 16/06/2026</t>
        </is>
      </c>
      <c r="I2898" s="4" t="n">
        <v>3</v>
      </c>
      <c r="J2898" s="6" t="n">
        <v>2.5</v>
      </c>
      <c r="K2898" s="6" t="n">
        <v>52.53651615</v>
      </c>
      <c r="L2898" s="6">
        <f>I2898*K2898</f>
        <v/>
      </c>
      <c r="M2898" s="6">
        <f>K2898*4</f>
        <v/>
      </c>
      <c r="N2898" s="6" t="n">
        <v>450</v>
      </c>
    </row>
    <row r="2899">
      <c r="A2899" s="1" t="inlineStr">
        <is>
          <t>66176cdc142e2</t>
        </is>
      </c>
      <c r="B2899" s="1" t="inlineStr">
        <is>
          <t>ANILLO CLAVO SILVER</t>
        </is>
      </c>
      <c r="C2899" s="1" t="inlineStr">
        <is>
          <t>7 HIGH QUALITY</t>
        </is>
      </c>
      <c r="D2899" s="1" t="inlineStr">
        <is>
          <t>01/09/2025</t>
        </is>
      </c>
      <c r="E2899" s="1" t="n">
        <v>2025</v>
      </c>
      <c r="F2899" s="1" t="inlineStr">
        <is>
          <t>SEPTIEMBRE</t>
        </is>
      </c>
      <c r="G2899" s="1" t="inlineStr">
        <is>
          <t>HAIFENG</t>
        </is>
      </c>
      <c r="H2899" s="1" t="inlineStr">
        <is>
          <t>HAIFENG 01/09/2025</t>
        </is>
      </c>
      <c r="I2899" s="4" t="n">
        <v>4</v>
      </c>
      <c r="J2899" s="6" t="n">
        <v>2.5</v>
      </c>
      <c r="K2899" s="6" t="n">
        <v>53.13917766</v>
      </c>
      <c r="L2899" s="6">
        <f>I2899*K2899</f>
        <v/>
      </c>
      <c r="M2899" s="6">
        <f>K2899*4</f>
        <v/>
      </c>
      <c r="N2899" s="6" t="n">
        <v>400</v>
      </c>
    </row>
    <row r="2900">
      <c r="A2900" s="1" t="inlineStr">
        <is>
          <t>66176cdc142e2</t>
        </is>
      </c>
      <c r="B2900" s="1" t="inlineStr">
        <is>
          <t>ANILLO CLAVO SILVER</t>
        </is>
      </c>
      <c r="C2900" s="1" t="inlineStr">
        <is>
          <t>7 HIGH QUALITY</t>
        </is>
      </c>
      <c r="D2900" s="1" t="inlineStr">
        <is>
          <t>03/12/2025</t>
        </is>
      </c>
      <c r="E2900" s="1" t="n">
        <v>2025</v>
      </c>
      <c r="F2900" s="1" t="inlineStr">
        <is>
          <t>DICIEMBRE</t>
        </is>
      </c>
      <c r="G2900" s="1" t="inlineStr">
        <is>
          <t>HAIFENG</t>
        </is>
      </c>
      <c r="H2900" s="1" t="inlineStr">
        <is>
          <t>HAIFENG 03/12/2025</t>
        </is>
      </c>
      <c r="I2900" s="4" t="n">
        <v>5</v>
      </c>
      <c r="J2900" s="6" t="n">
        <v>2.5</v>
      </c>
      <c r="K2900" s="6" t="n">
        <v>52.29290003</v>
      </c>
      <c r="L2900" s="6">
        <f>I2900*K2900</f>
        <v/>
      </c>
      <c r="M2900" s="6">
        <f>K2900*4</f>
        <v/>
      </c>
      <c r="N2900" s="6" t="n">
        <v>400</v>
      </c>
    </row>
    <row r="2901">
      <c r="A2901" s="1" t="inlineStr">
        <is>
          <t>66176cdc142e2</t>
        </is>
      </c>
      <c r="B2901" s="1" t="inlineStr">
        <is>
          <t>ANILLO CLAVO SILVER (WITHOUT ZIRCONIAS)</t>
        </is>
      </c>
      <c r="C2901" s="1" t="inlineStr">
        <is>
          <t>7 HIGH QUALITY</t>
        </is>
      </c>
      <c r="D2901" s="1" t="inlineStr">
        <is>
          <t>16/04/2026</t>
        </is>
      </c>
      <c r="E2901" s="1" t="n">
        <v>2026</v>
      </c>
      <c r="F2901" s="1" t="inlineStr">
        <is>
          <t>ABRIL</t>
        </is>
      </c>
      <c r="G2901" s="1" t="inlineStr">
        <is>
          <t>HAIFENG</t>
        </is>
      </c>
      <c r="H2901" s="1" t="inlineStr">
        <is>
          <t>HAIFENG 16/04/2026</t>
        </is>
      </c>
      <c r="I2901" s="4" t="n">
        <v>5</v>
      </c>
      <c r="J2901" s="6" t="n">
        <v>2.5</v>
      </c>
      <c r="K2901" s="6" t="n">
        <v>52.57868397</v>
      </c>
      <c r="L2901" s="6">
        <f>I2901*K2901</f>
        <v/>
      </c>
      <c r="M2901" s="6">
        <f>K2901*4</f>
        <v/>
      </c>
      <c r="N2901" s="6" t="n">
        <v>400</v>
      </c>
    </row>
    <row r="2902">
      <c r="A2902" s="1" t="inlineStr">
        <is>
          <t>66176cdc142e2</t>
        </is>
      </c>
      <c r="B2902" s="1" t="inlineStr">
        <is>
          <t>ANILLO CLAVO SILVER</t>
        </is>
      </c>
      <c r="C2902" s="1" t="inlineStr">
        <is>
          <t>7 HIGH QUALITY</t>
        </is>
      </c>
      <c r="D2902" s="1" t="inlineStr">
        <is>
          <t>06/05/2026</t>
        </is>
      </c>
      <c r="E2902" s="1" t="n">
        <v>2026</v>
      </c>
      <c r="F2902" s="1" t="inlineStr">
        <is>
          <t>MAYO</t>
        </is>
      </c>
      <c r="G2902" s="1" t="inlineStr">
        <is>
          <t>HAIFENG</t>
        </is>
      </c>
      <c r="H2902" s="1" t="inlineStr">
        <is>
          <t>HAIFENG 06/05/2026</t>
        </is>
      </c>
      <c r="I2902" s="4" t="n">
        <v>3</v>
      </c>
      <c r="J2902" s="6" t="n">
        <v>2.5</v>
      </c>
      <c r="K2902" s="6" t="n">
        <v>53.04660567</v>
      </c>
      <c r="L2902" s="6">
        <f>I2902*K2902</f>
        <v/>
      </c>
      <c r="M2902" s="6">
        <f>K2902*4</f>
        <v/>
      </c>
      <c r="N2902" s="6" t="n">
        <v>400</v>
      </c>
    </row>
    <row r="2903">
      <c r="A2903" s="1" t="inlineStr">
        <is>
          <t>66176cdc59c57</t>
        </is>
      </c>
      <c r="B2903" s="1" t="inlineStr">
        <is>
          <t>ANILLO CLAVO GOLD</t>
        </is>
      </c>
      <c r="C2903" s="1" t="inlineStr">
        <is>
          <t>7 HIGH QUALITY</t>
        </is>
      </c>
      <c r="D2903" s="1" t="inlineStr">
        <is>
          <t>01/09/2025</t>
        </is>
      </c>
      <c r="E2903" s="1" t="n">
        <v>2025</v>
      </c>
      <c r="F2903" s="1" t="inlineStr">
        <is>
          <t>SEPTIEMBRE</t>
        </is>
      </c>
      <c r="G2903" s="1" t="inlineStr">
        <is>
          <t>HAIFENG</t>
        </is>
      </c>
      <c r="H2903" s="1" t="inlineStr">
        <is>
          <t>HAIFENG 01/09/2025</t>
        </is>
      </c>
      <c r="I2903" s="4" t="n">
        <v>2</v>
      </c>
      <c r="J2903" s="6" t="n">
        <v>2.5</v>
      </c>
      <c r="K2903" s="6" t="n">
        <v>53.13917766</v>
      </c>
      <c r="L2903" s="6">
        <f>I2903*K2903</f>
        <v/>
      </c>
      <c r="M2903" s="6">
        <f>K2903*4</f>
        <v/>
      </c>
      <c r="N2903" s="6" t="n">
        <v>400</v>
      </c>
    </row>
    <row r="2904">
      <c r="A2904" s="1" t="inlineStr">
        <is>
          <t>66176cdc59c57</t>
        </is>
      </c>
      <c r="B2904" s="1" t="inlineStr">
        <is>
          <t>ANILLO CLAVO GOLD</t>
        </is>
      </c>
      <c r="C2904" s="1" t="inlineStr">
        <is>
          <t>7 HIGH QUALITY</t>
        </is>
      </c>
      <c r="D2904" s="1" t="inlineStr">
        <is>
          <t>25/09/2025</t>
        </is>
      </c>
      <c r="E2904" s="1" t="n">
        <v>2025</v>
      </c>
      <c r="F2904" s="1" t="inlineStr">
        <is>
          <t>SEPTIEMBRE</t>
        </is>
      </c>
      <c r="G2904" s="1" t="inlineStr">
        <is>
          <t>HAIFENG</t>
        </is>
      </c>
      <c r="H2904" s="1" t="inlineStr">
        <is>
          <t>HAIFENG 25/09/2025</t>
        </is>
      </c>
      <c r="I2904" s="4" t="n">
        <v>2</v>
      </c>
      <c r="J2904" s="6" t="n">
        <v>2.5</v>
      </c>
      <c r="K2904" s="6" t="n">
        <v>52.74221442</v>
      </c>
      <c r="L2904" s="6">
        <f>I2904*K2904</f>
        <v/>
      </c>
      <c r="M2904" s="6">
        <f>K2904*4</f>
        <v/>
      </c>
      <c r="N2904" s="6" t="n">
        <v>400</v>
      </c>
    </row>
    <row r="2905">
      <c r="A2905" s="1" t="inlineStr">
        <is>
          <t>66176cdc59c57</t>
        </is>
      </c>
      <c r="B2905" s="1" t="inlineStr">
        <is>
          <t>ANILLO CLAVO GOLD</t>
        </is>
      </c>
      <c r="C2905" s="1" t="inlineStr">
        <is>
          <t>7 HIGH QUALITY</t>
        </is>
      </c>
      <c r="D2905" s="1" t="inlineStr">
        <is>
          <t>11/11/2025</t>
        </is>
      </c>
      <c r="E2905" s="1" t="n">
        <v>2025</v>
      </c>
      <c r="F2905" s="1" t="inlineStr">
        <is>
          <t>NOVIEMBRE</t>
        </is>
      </c>
      <c r="G2905" s="1" t="inlineStr">
        <is>
          <t>HAIFENG</t>
        </is>
      </c>
      <c r="H2905" s="1" t="inlineStr">
        <is>
          <t>HAIFENG 11/11/2025</t>
        </is>
      </c>
      <c r="I2905" s="4" t="n">
        <v>5</v>
      </c>
      <c r="J2905" s="6" t="n">
        <v>2.5</v>
      </c>
      <c r="K2905" s="6" t="n">
        <v>52.65124611</v>
      </c>
      <c r="L2905" s="6">
        <f>I2905*K2905</f>
        <v/>
      </c>
      <c r="M2905" s="6">
        <f>K2905*4</f>
        <v/>
      </c>
      <c r="N2905" s="6" t="n">
        <v>400</v>
      </c>
    </row>
    <row r="2906">
      <c r="A2906" s="1" t="inlineStr">
        <is>
          <t>66176cdc59c57</t>
        </is>
      </c>
      <c r="B2906" s="1" t="inlineStr">
        <is>
          <t>ANILLO CLAVO GOLD</t>
        </is>
      </c>
      <c r="C2906" s="1" t="inlineStr">
        <is>
          <t>7 HIGH QUALITY</t>
        </is>
      </c>
      <c r="D2906" s="1" t="inlineStr">
        <is>
          <t>03/12/2025</t>
        </is>
      </c>
      <c r="E2906" s="1" t="n">
        <v>2025</v>
      </c>
      <c r="F2906" s="1" t="inlineStr">
        <is>
          <t>DICIEMBRE</t>
        </is>
      </c>
      <c r="G2906" s="1" t="inlineStr">
        <is>
          <t>HAIFENG</t>
        </is>
      </c>
      <c r="H2906" s="1" t="inlineStr">
        <is>
          <t>HAIFENG 03/12/2025</t>
        </is>
      </c>
      <c r="I2906" s="4" t="n">
        <v>3</v>
      </c>
      <c r="J2906" s="6" t="n">
        <v>2.5</v>
      </c>
      <c r="K2906" s="6" t="n">
        <v>52.29290003</v>
      </c>
      <c r="L2906" s="6">
        <f>I2906*K2906</f>
        <v/>
      </c>
      <c r="M2906" s="6">
        <f>K2906*4</f>
        <v/>
      </c>
      <c r="N2906" s="6" t="n">
        <v>400</v>
      </c>
    </row>
    <row r="2907">
      <c r="A2907" s="1" t="inlineStr">
        <is>
          <t>66176cdc59c57</t>
        </is>
      </c>
      <c r="B2907" s="1" t="inlineStr">
        <is>
          <t>ANILLO CLAVO GOLD</t>
        </is>
      </c>
      <c r="C2907" s="1" t="inlineStr">
        <is>
          <t>7 HIGH QUALITY</t>
        </is>
      </c>
      <c r="D2907" s="1" t="inlineStr">
        <is>
          <t>20/01/2026</t>
        </is>
      </c>
      <c r="E2907" s="1" t="n">
        <v>2026</v>
      </c>
      <c r="F2907" s="1" t="inlineStr">
        <is>
          <t>ENERO</t>
        </is>
      </c>
      <c r="G2907" s="1" t="inlineStr">
        <is>
          <t>HAIFENG</t>
        </is>
      </c>
      <c r="H2907" s="1" t="inlineStr">
        <is>
          <t>HAIFENG 20/01/2026</t>
        </is>
      </c>
      <c r="I2907" s="4" t="n">
        <v>4</v>
      </c>
      <c r="J2907" s="6" t="n">
        <v>2.5</v>
      </c>
      <c r="K2907" s="6" t="n">
        <v>53.00104448</v>
      </c>
      <c r="L2907" s="6">
        <f>I2907*K2907</f>
        <v/>
      </c>
      <c r="M2907" s="6">
        <f>K2907*4</f>
        <v/>
      </c>
      <c r="N2907" s="6" t="n">
        <v>400</v>
      </c>
    </row>
    <row r="2908">
      <c r="A2908" s="1" t="inlineStr">
        <is>
          <t>66176cdc59c57</t>
        </is>
      </c>
      <c r="B2908" s="1" t="inlineStr">
        <is>
          <t>ANILLO CLAVO GOLD (WITHOUT ZIRCONIAS)</t>
        </is>
      </c>
      <c r="C2908" s="1" t="inlineStr">
        <is>
          <t>7 HIGH QUALITY</t>
        </is>
      </c>
      <c r="D2908" s="1" t="inlineStr">
        <is>
          <t>16/04/2026</t>
        </is>
      </c>
      <c r="E2908" s="1" t="n">
        <v>2026</v>
      </c>
      <c r="F2908" s="1" t="inlineStr">
        <is>
          <t>ABRIL</t>
        </is>
      </c>
      <c r="G2908" s="1" t="inlineStr">
        <is>
          <t>HAIFENG</t>
        </is>
      </c>
      <c r="H2908" s="1" t="inlineStr">
        <is>
          <t>HAIFENG 16/04/2026</t>
        </is>
      </c>
      <c r="I2908" s="4" t="n">
        <v>11</v>
      </c>
      <c r="J2908" s="6" t="n">
        <v>2.5</v>
      </c>
      <c r="K2908" s="6" t="n">
        <v>52.57868397</v>
      </c>
      <c r="L2908" s="6">
        <f>I2908*K2908</f>
        <v/>
      </c>
      <c r="M2908" s="6">
        <f>K2908*4</f>
        <v/>
      </c>
      <c r="N2908" s="6" t="n">
        <v>400</v>
      </c>
    </row>
    <row r="2909">
      <c r="A2909" s="1" t="inlineStr">
        <is>
          <t>66176cdc74210</t>
        </is>
      </c>
      <c r="B2909" s="1" t="inlineStr">
        <is>
          <t>ANILLO CLAVO ZIRCONIA GOLD</t>
        </is>
      </c>
      <c r="C2909" s="1" t="inlineStr">
        <is>
          <t>8</t>
        </is>
      </c>
      <c r="D2909" s="1" t="inlineStr">
        <is>
          <t>11/03/2026</t>
        </is>
      </c>
      <c r="E2909" s="1" t="n">
        <v>2026</v>
      </c>
      <c r="F2909" s="1" t="inlineStr">
        <is>
          <t>MARZO</t>
        </is>
      </c>
      <c r="G2909" s="1" t="inlineStr">
        <is>
          <t>HAIFENG</t>
        </is>
      </c>
      <c r="H2909" s="1" t="inlineStr">
        <is>
          <t>HAIFENG 11/03/2026</t>
        </is>
      </c>
      <c r="I2909" s="4" t="n">
        <v>2</v>
      </c>
      <c r="J2909" s="6" t="n">
        <v>2.5</v>
      </c>
      <c r="K2909" s="6" t="n">
        <v>53.25974054</v>
      </c>
      <c r="L2909" s="6">
        <f>I2909*K2909</f>
        <v/>
      </c>
      <c r="M2909" s="6">
        <f>K2909*4</f>
        <v/>
      </c>
      <c r="N2909" s="6" t="n">
        <v>450</v>
      </c>
    </row>
    <row r="2910">
      <c r="A2910" s="1" t="inlineStr">
        <is>
          <t>66176cdc74210</t>
        </is>
      </c>
      <c r="B2910" s="1" t="inlineStr">
        <is>
          <t>ANILLO CLAVO ZIRCONIA GOLD</t>
        </is>
      </c>
      <c r="C2910" s="1" t="inlineStr">
        <is>
          <t>8</t>
        </is>
      </c>
      <c r="D2910" s="1" t="inlineStr">
        <is>
          <t>26/05/2026</t>
        </is>
      </c>
      <c r="E2910" s="1" t="n">
        <v>2026</v>
      </c>
      <c r="F2910" s="1" t="inlineStr">
        <is>
          <t>MAYO</t>
        </is>
      </c>
      <c r="G2910" s="1" t="inlineStr">
        <is>
          <t>HAIFENG</t>
        </is>
      </c>
      <c r="H2910" s="1" t="inlineStr">
        <is>
          <t>HAIFENG 26/05/2026</t>
        </is>
      </c>
      <c r="I2910" s="4" t="n">
        <v>4</v>
      </c>
      <c r="J2910" s="6" t="n">
        <v>2.5</v>
      </c>
      <c r="K2910" s="6" t="n">
        <v>52.47323824</v>
      </c>
      <c r="L2910" s="6">
        <f>I2910*K2910</f>
        <v/>
      </c>
      <c r="M2910" s="6">
        <f>K2910*4</f>
        <v/>
      </c>
      <c r="N2910" s="6" t="n">
        <v>450</v>
      </c>
    </row>
    <row r="2911">
      <c r="A2911" s="1" t="inlineStr">
        <is>
          <t>66176cdcae75a</t>
        </is>
      </c>
      <c r="B2911" s="1" t="inlineStr">
        <is>
          <t>ANILLO CLAVO SILVER</t>
        </is>
      </c>
      <c r="C2911" s="1" t="inlineStr">
        <is>
          <t>8 HIGH QUALITY</t>
        </is>
      </c>
      <c r="D2911" s="1" t="inlineStr">
        <is>
          <t>25/09/2025</t>
        </is>
      </c>
      <c r="E2911" s="1" t="n">
        <v>2025</v>
      </c>
      <c r="F2911" s="1" t="inlineStr">
        <is>
          <t>SEPTIEMBRE</t>
        </is>
      </c>
      <c r="G2911" s="1" t="inlineStr">
        <is>
          <t>HAIFENG</t>
        </is>
      </c>
      <c r="H2911" s="1" t="inlineStr">
        <is>
          <t>HAIFENG 25/09/2025</t>
        </is>
      </c>
      <c r="I2911" s="4" t="n">
        <v>12</v>
      </c>
      <c r="J2911" s="6" t="n">
        <v>2.5</v>
      </c>
      <c r="K2911" s="6" t="n">
        <v>52.74221442</v>
      </c>
      <c r="L2911" s="6">
        <f>I2911*K2911</f>
        <v/>
      </c>
      <c r="M2911" s="6">
        <f>K2911*4</f>
        <v/>
      </c>
      <c r="N2911" s="6" t="n">
        <v>400</v>
      </c>
    </row>
    <row r="2912">
      <c r="A2912" s="1" t="inlineStr">
        <is>
          <t>66176cdce18ea</t>
        </is>
      </c>
      <c r="B2912" s="1" t="inlineStr">
        <is>
          <t>ANILLO CLAVO GOLD</t>
        </is>
      </c>
      <c r="C2912" s="1" t="inlineStr">
        <is>
          <t>8 HIGH QUALITY</t>
        </is>
      </c>
      <c r="D2912" s="1" t="inlineStr">
        <is>
          <t>01/09/2025</t>
        </is>
      </c>
      <c r="E2912" s="1" t="n">
        <v>2025</v>
      </c>
      <c r="F2912" s="1" t="inlineStr">
        <is>
          <t>SEPTIEMBRE</t>
        </is>
      </c>
      <c r="G2912" s="1" t="inlineStr">
        <is>
          <t>HAIFENG</t>
        </is>
      </c>
      <c r="H2912" s="1" t="inlineStr">
        <is>
          <t>HAIFENG 01/09/2025</t>
        </is>
      </c>
      <c r="I2912" s="4" t="n">
        <v>2</v>
      </c>
      <c r="J2912" s="6" t="n">
        <v>2.5</v>
      </c>
      <c r="K2912" s="6" t="n">
        <v>53.13917766</v>
      </c>
      <c r="L2912" s="6">
        <f>I2912*K2912</f>
        <v/>
      </c>
      <c r="M2912" s="6">
        <f>K2912*4</f>
        <v/>
      </c>
      <c r="N2912" s="6" t="n">
        <v>400</v>
      </c>
    </row>
    <row r="2913">
      <c r="A2913" s="1" t="inlineStr">
        <is>
          <t>66176cdce18ea</t>
        </is>
      </c>
      <c r="B2913" s="1" t="inlineStr">
        <is>
          <t>ANILLO CLAVO GOLD</t>
        </is>
      </c>
      <c r="C2913" s="1" t="inlineStr">
        <is>
          <t>8 HIGH QUALITY</t>
        </is>
      </c>
      <c r="D2913" s="1" t="inlineStr">
        <is>
          <t>11/11/2025</t>
        </is>
      </c>
      <c r="E2913" s="1" t="n">
        <v>2025</v>
      </c>
      <c r="F2913" s="1" t="inlineStr">
        <is>
          <t>NOVIEMBRE</t>
        </is>
      </c>
      <c r="G2913" s="1" t="inlineStr">
        <is>
          <t>HAIFENG</t>
        </is>
      </c>
      <c r="H2913" s="1" t="inlineStr">
        <is>
          <t>HAIFENG 11/11/2025</t>
        </is>
      </c>
      <c r="I2913" s="4" t="n">
        <v>4</v>
      </c>
      <c r="J2913" s="6" t="n">
        <v>2.5</v>
      </c>
      <c r="K2913" s="6" t="n">
        <v>52.65124611</v>
      </c>
      <c r="L2913" s="6">
        <f>I2913*K2913</f>
        <v/>
      </c>
      <c r="M2913" s="6">
        <f>K2913*4</f>
        <v/>
      </c>
      <c r="N2913" s="6" t="n">
        <v>400</v>
      </c>
    </row>
    <row r="2914">
      <c r="A2914" s="1" t="inlineStr">
        <is>
          <t>66176cdce18ea</t>
        </is>
      </c>
      <c r="B2914" s="1" t="inlineStr">
        <is>
          <t>ANILLO CLAVO GOLD</t>
        </is>
      </c>
      <c r="C2914" s="1" t="inlineStr">
        <is>
          <t>8 HIGH QUALITY</t>
        </is>
      </c>
      <c r="D2914" s="1" t="inlineStr">
        <is>
          <t>03/12/2025</t>
        </is>
      </c>
      <c r="E2914" s="1" t="n">
        <v>2025</v>
      </c>
      <c r="F2914" s="1" t="inlineStr">
        <is>
          <t>DICIEMBRE</t>
        </is>
      </c>
      <c r="G2914" s="1" t="inlineStr">
        <is>
          <t>HAIFENG</t>
        </is>
      </c>
      <c r="H2914" s="1" t="inlineStr">
        <is>
          <t>HAIFENG 03/12/2025</t>
        </is>
      </c>
      <c r="I2914" s="4" t="n">
        <v>3</v>
      </c>
      <c r="J2914" s="6" t="n">
        <v>2.5</v>
      </c>
      <c r="K2914" s="6" t="n">
        <v>52.29290003</v>
      </c>
      <c r="L2914" s="6">
        <f>I2914*K2914</f>
        <v/>
      </c>
      <c r="M2914" s="6">
        <f>K2914*4</f>
        <v/>
      </c>
      <c r="N2914" s="6" t="n">
        <v>400</v>
      </c>
    </row>
    <row r="2915">
      <c r="A2915" s="1" t="inlineStr">
        <is>
          <t>66176cdce18ea</t>
        </is>
      </c>
      <c r="B2915" s="1" t="inlineStr">
        <is>
          <t>ANILLO CLAVO GOLD</t>
        </is>
      </c>
      <c r="C2915" s="1" t="inlineStr">
        <is>
          <t>8 HIGH QUALITY</t>
        </is>
      </c>
      <c r="D2915" s="1" t="inlineStr">
        <is>
          <t>11/03/2026</t>
        </is>
      </c>
      <c r="E2915" s="1" t="n">
        <v>2026</v>
      </c>
      <c r="F2915" s="1" t="inlineStr">
        <is>
          <t>MARZO</t>
        </is>
      </c>
      <c r="G2915" s="1" t="inlineStr">
        <is>
          <t>HAIFENG</t>
        </is>
      </c>
      <c r="H2915" s="1" t="inlineStr">
        <is>
          <t>HAIFENG 11/03/2026</t>
        </is>
      </c>
      <c r="I2915" s="4" t="n">
        <v>5</v>
      </c>
      <c r="J2915" s="6" t="n">
        <v>2.5</v>
      </c>
      <c r="K2915" s="6" t="n">
        <v>53.25974054</v>
      </c>
      <c r="L2915" s="6">
        <f>I2915*K2915</f>
        <v/>
      </c>
      <c r="M2915" s="6">
        <f>K2915*4</f>
        <v/>
      </c>
      <c r="N2915" s="6" t="n">
        <v>400</v>
      </c>
    </row>
    <row r="2916">
      <c r="A2916" s="1" t="inlineStr">
        <is>
          <t>66176cdce18ea</t>
        </is>
      </c>
      <c r="B2916" s="1" t="inlineStr">
        <is>
          <t>ANILLO CLAVO GOLD</t>
        </is>
      </c>
      <c r="C2916" s="1" t="inlineStr">
        <is>
          <t>8 HIGH QUALITY</t>
        </is>
      </c>
      <c r="D2916" s="1" t="inlineStr">
        <is>
          <t>16/06/2026</t>
        </is>
      </c>
      <c r="E2916" s="1" t="n">
        <v>2026</v>
      </c>
      <c r="F2916" s="1" t="inlineStr">
        <is>
          <t>JUNIO</t>
        </is>
      </c>
      <c r="G2916" s="1" t="inlineStr">
        <is>
          <t>HAIFENG</t>
        </is>
      </c>
      <c r="H2916" s="1" t="inlineStr">
        <is>
          <t>HAIFENG 16/06/2026</t>
        </is>
      </c>
      <c r="I2916" s="4" t="n">
        <v>2</v>
      </c>
      <c r="J2916" s="6" t="n">
        <v>2.5</v>
      </c>
      <c r="K2916" s="6" t="n">
        <v>52.53651615</v>
      </c>
      <c r="L2916" s="6">
        <f>I2916*K2916</f>
        <v/>
      </c>
      <c r="M2916" s="6">
        <f>K2916*4</f>
        <v/>
      </c>
      <c r="N2916" s="6" t="n">
        <v>400</v>
      </c>
    </row>
    <row r="2917">
      <c r="A2917" s="1" t="inlineStr">
        <is>
          <t>66176cdd1243a</t>
        </is>
      </c>
      <c r="B2917" s="1" t="inlineStr">
        <is>
          <t>ANILLO CLAVO ZIRCONIA GOLD</t>
        </is>
      </c>
      <c r="C2917" s="1" t="inlineStr">
        <is>
          <t>9</t>
        </is>
      </c>
      <c r="D2917" s="1" t="inlineStr">
        <is>
          <t>11/03/2026</t>
        </is>
      </c>
      <c r="E2917" s="1" t="n">
        <v>2026</v>
      </c>
      <c r="F2917" s="1" t="inlineStr">
        <is>
          <t>MARZO</t>
        </is>
      </c>
      <c r="G2917" s="1" t="inlineStr">
        <is>
          <t>HAIFENG</t>
        </is>
      </c>
      <c r="H2917" s="1" t="inlineStr">
        <is>
          <t>HAIFENG 11/03/2026</t>
        </is>
      </c>
      <c r="I2917" s="4" t="n">
        <v>2</v>
      </c>
      <c r="J2917" s="6" t="n">
        <v>2.5</v>
      </c>
      <c r="K2917" s="6" t="n">
        <v>53.25974054</v>
      </c>
      <c r="L2917" s="6">
        <f>I2917*K2917</f>
        <v/>
      </c>
      <c r="M2917" s="6">
        <f>K2917*4</f>
        <v/>
      </c>
      <c r="N2917" s="6" t="n">
        <v>450</v>
      </c>
    </row>
    <row r="2918">
      <c r="A2918" s="1" t="inlineStr">
        <is>
          <t>66176cdd1243a</t>
        </is>
      </c>
      <c r="B2918" s="1" t="inlineStr">
        <is>
          <t>ANILLO CLAVO ZIRCONIA GOLD</t>
        </is>
      </c>
      <c r="C2918" s="1" t="inlineStr">
        <is>
          <t>9</t>
        </is>
      </c>
      <c r="D2918" s="1" t="inlineStr">
        <is>
          <t>26/05/2026</t>
        </is>
      </c>
      <c r="E2918" s="1" t="n">
        <v>2026</v>
      </c>
      <c r="F2918" s="1" t="inlineStr">
        <is>
          <t>MAYO</t>
        </is>
      </c>
      <c r="G2918" s="1" t="inlineStr">
        <is>
          <t>HAIFENG</t>
        </is>
      </c>
      <c r="H2918" s="1" t="inlineStr">
        <is>
          <t>HAIFENG 26/05/2026</t>
        </is>
      </c>
      <c r="I2918" s="4" t="n">
        <v>4</v>
      </c>
      <c r="J2918" s="6" t="n">
        <v>2.5</v>
      </c>
      <c r="K2918" s="6" t="n">
        <v>52.47323824</v>
      </c>
      <c r="L2918" s="6">
        <f>I2918*K2918</f>
        <v/>
      </c>
      <c r="M2918" s="6">
        <f>K2918*4</f>
        <v/>
      </c>
      <c r="N2918" s="6" t="n">
        <v>450</v>
      </c>
    </row>
    <row r="2919">
      <c r="A2919" s="1" t="inlineStr">
        <is>
          <t>66176cdd461aa</t>
        </is>
      </c>
      <c r="B2919" s="1" t="inlineStr">
        <is>
          <t>ANILLO CLAVO SILVER</t>
        </is>
      </c>
      <c r="C2919" s="1" t="inlineStr">
        <is>
          <t>9 HIGH QUALITY</t>
        </is>
      </c>
      <c r="D2919" s="1" t="inlineStr">
        <is>
          <t>25/09/2025</t>
        </is>
      </c>
      <c r="E2919" s="1" t="n">
        <v>2025</v>
      </c>
      <c r="F2919" s="1" t="inlineStr">
        <is>
          <t>SEPTIEMBRE</t>
        </is>
      </c>
      <c r="G2919" s="1" t="inlineStr">
        <is>
          <t>HAIFENG</t>
        </is>
      </c>
      <c r="H2919" s="1" t="inlineStr">
        <is>
          <t>HAIFENG 25/09/2025</t>
        </is>
      </c>
      <c r="I2919" s="4" t="n">
        <v>2</v>
      </c>
      <c r="J2919" s="6" t="n">
        <v>2.5</v>
      </c>
      <c r="K2919" s="6" t="n">
        <v>52.74221442</v>
      </c>
      <c r="L2919" s="6">
        <f>I2919*K2919</f>
        <v/>
      </c>
      <c r="M2919" s="6">
        <f>K2919*4</f>
        <v/>
      </c>
      <c r="N2919" s="6" t="n">
        <v>400</v>
      </c>
    </row>
    <row r="2920">
      <c r="A2920" s="1" t="inlineStr">
        <is>
          <t>66176cdd461aa</t>
        </is>
      </c>
      <c r="B2920" s="1" t="n"/>
      <c r="C2920" s="1" t="inlineStr">
        <is>
          <t>9 HIGH QUALITY</t>
        </is>
      </c>
      <c r="D2920" s="1" t="inlineStr">
        <is>
          <t>10/02/2026</t>
        </is>
      </c>
      <c r="E2920" s="1" t="n">
        <v>2026</v>
      </c>
      <c r="F2920" s="1" t="inlineStr">
        <is>
          <t>FEBRERO</t>
        </is>
      </c>
      <c r="G2920" s="1" t="inlineStr">
        <is>
          <t>HAIFENG</t>
        </is>
      </c>
      <c r="H2920" s="1" t="inlineStr">
        <is>
          <t>HAIFENG 10/02/2026</t>
        </is>
      </c>
      <c r="I2920" s="4" t="n">
        <v>5</v>
      </c>
      <c r="J2920" s="6" t="n">
        <v>2.5</v>
      </c>
      <c r="K2920" s="6" t="n">
        <v>52.67124016</v>
      </c>
      <c r="L2920" s="6">
        <f>I2920*K2920</f>
        <v/>
      </c>
      <c r="M2920" s="6">
        <f>K2920*4</f>
        <v/>
      </c>
      <c r="N2920" s="6" t="n">
        <v>400</v>
      </c>
    </row>
    <row r="2921">
      <c r="A2921" s="1" t="inlineStr">
        <is>
          <t>66176cdd7cc61</t>
        </is>
      </c>
      <c r="B2921" s="1" t="inlineStr">
        <is>
          <t>ANILLO CLAVO GOLD</t>
        </is>
      </c>
      <c r="C2921" s="1" t="inlineStr">
        <is>
          <t>9 HIGH QUALITY</t>
        </is>
      </c>
      <c r="D2921" s="1" t="inlineStr">
        <is>
          <t>01/09/2025</t>
        </is>
      </c>
      <c r="E2921" s="1" t="n">
        <v>2025</v>
      </c>
      <c r="F2921" s="1" t="inlineStr">
        <is>
          <t>SEPTIEMBRE</t>
        </is>
      </c>
      <c r="G2921" s="1" t="inlineStr">
        <is>
          <t>HAIFENG</t>
        </is>
      </c>
      <c r="H2921" s="1" t="inlineStr">
        <is>
          <t>HAIFENG 01/09/2025</t>
        </is>
      </c>
      <c r="I2921" s="4" t="n">
        <v>3</v>
      </c>
      <c r="J2921" s="6" t="n">
        <v>2.5</v>
      </c>
      <c r="K2921" s="6" t="n">
        <v>53.13917766</v>
      </c>
      <c r="L2921" s="6">
        <f>I2921*K2921</f>
        <v/>
      </c>
      <c r="M2921" s="6">
        <f>K2921*4</f>
        <v/>
      </c>
      <c r="N2921" s="6" t="n">
        <v>400</v>
      </c>
    </row>
    <row r="2922">
      <c r="A2922" s="1" t="inlineStr">
        <is>
          <t>66176cdd7cc61</t>
        </is>
      </c>
      <c r="B2922" s="1" t="inlineStr">
        <is>
          <t>ANILLO CLAVO GOLD</t>
        </is>
      </c>
      <c r="C2922" s="1" t="inlineStr">
        <is>
          <t>9 HIGH QUALITY</t>
        </is>
      </c>
      <c r="D2922" s="1" t="inlineStr">
        <is>
          <t>11/11/2025</t>
        </is>
      </c>
      <c r="E2922" s="1" t="n">
        <v>2025</v>
      </c>
      <c r="F2922" s="1" t="inlineStr">
        <is>
          <t>NOVIEMBRE</t>
        </is>
      </c>
      <c r="G2922" s="1" t="inlineStr">
        <is>
          <t>HAIFENG</t>
        </is>
      </c>
      <c r="H2922" s="1" t="inlineStr">
        <is>
          <t>HAIFENG 11/11/2025</t>
        </is>
      </c>
      <c r="I2922" s="4" t="n">
        <v>5</v>
      </c>
      <c r="J2922" s="6" t="n">
        <v>2.5</v>
      </c>
      <c r="K2922" s="6" t="n">
        <v>52.65124611</v>
      </c>
      <c r="L2922" s="6">
        <f>I2922*K2922</f>
        <v/>
      </c>
      <c r="M2922" s="6">
        <f>K2922*4</f>
        <v/>
      </c>
      <c r="N2922" s="6" t="n">
        <v>400</v>
      </c>
    </row>
    <row r="2923">
      <c r="A2923" s="1" t="inlineStr">
        <is>
          <t>66176cdd7cc61</t>
        </is>
      </c>
      <c r="B2923" s="1" t="inlineStr">
        <is>
          <t>ANILLO CLAVO GOLD</t>
        </is>
      </c>
      <c r="C2923" s="1" t="inlineStr">
        <is>
          <t>9 HIGH QUALITY</t>
        </is>
      </c>
      <c r="D2923" s="1" t="inlineStr">
        <is>
          <t>03/12/2025</t>
        </is>
      </c>
      <c r="E2923" s="1" t="n">
        <v>2025</v>
      </c>
      <c r="F2923" s="1" t="inlineStr">
        <is>
          <t>DICIEMBRE</t>
        </is>
      </c>
      <c r="G2923" s="1" t="inlineStr">
        <is>
          <t>HAIFENG</t>
        </is>
      </c>
      <c r="H2923" s="1" t="inlineStr">
        <is>
          <t>HAIFENG 03/12/2025</t>
        </is>
      </c>
      <c r="I2923" s="4" t="n">
        <v>2</v>
      </c>
      <c r="J2923" s="6" t="n">
        <v>2.5</v>
      </c>
      <c r="K2923" s="6" t="n">
        <v>52.29290003</v>
      </c>
      <c r="L2923" s="6">
        <f>I2923*K2923</f>
        <v/>
      </c>
      <c r="M2923" s="6">
        <f>K2923*4</f>
        <v/>
      </c>
      <c r="N2923" s="6" t="n">
        <v>400</v>
      </c>
    </row>
    <row r="2924">
      <c r="A2924" s="1" t="inlineStr">
        <is>
          <t>66176cdd7cc61</t>
        </is>
      </c>
      <c r="B2924" s="1" t="n"/>
      <c r="C2924" s="1" t="inlineStr">
        <is>
          <t>9 HIGH QUALITY</t>
        </is>
      </c>
      <c r="D2924" s="1" t="inlineStr">
        <is>
          <t>10/02/2026</t>
        </is>
      </c>
      <c r="E2924" s="1" t="n">
        <v>2026</v>
      </c>
      <c r="F2924" s="1" t="inlineStr">
        <is>
          <t>FEBRERO</t>
        </is>
      </c>
      <c r="G2924" s="1" t="inlineStr">
        <is>
          <t>HAIFENG</t>
        </is>
      </c>
      <c r="H2924" s="1" t="inlineStr">
        <is>
          <t>HAIFENG 10/02/2026</t>
        </is>
      </c>
      <c r="I2924" s="4" t="n">
        <v>2</v>
      </c>
      <c r="J2924" s="6" t="n">
        <v>2.5</v>
      </c>
      <c r="K2924" s="6" t="n">
        <v>52.67124016</v>
      </c>
      <c r="L2924" s="6">
        <f>I2924*K2924</f>
        <v/>
      </c>
      <c r="M2924" s="6">
        <f>K2924*4</f>
        <v/>
      </c>
      <c r="N2924" s="6" t="n">
        <v>400</v>
      </c>
    </row>
    <row r="2925">
      <c r="A2925" s="1" t="inlineStr">
        <is>
          <t>66176cdd7cc61</t>
        </is>
      </c>
      <c r="B2925" s="1" t="inlineStr">
        <is>
          <t>ANILLO CLAVO GOLD</t>
        </is>
      </c>
      <c r="C2925" s="1" t="inlineStr">
        <is>
          <t>9 HIGH QUALITY</t>
        </is>
      </c>
      <c r="D2925" s="1" t="inlineStr">
        <is>
          <t>16/06/2026</t>
        </is>
      </c>
      <c r="E2925" s="1" t="n">
        <v>2026</v>
      </c>
      <c r="F2925" s="1" t="inlineStr">
        <is>
          <t>JUNIO</t>
        </is>
      </c>
      <c r="G2925" s="1" t="inlineStr">
        <is>
          <t>HAIFENG</t>
        </is>
      </c>
      <c r="H2925" s="1" t="inlineStr">
        <is>
          <t>HAIFENG 16/06/2026</t>
        </is>
      </c>
      <c r="I2925" s="4" t="n">
        <v>2</v>
      </c>
      <c r="J2925" s="6" t="n">
        <v>2.5</v>
      </c>
      <c r="K2925" s="6" t="n">
        <v>52.53651615</v>
      </c>
      <c r="L2925" s="6">
        <f>I2925*K2925</f>
        <v/>
      </c>
      <c r="M2925" s="6">
        <f>K2925*4</f>
        <v/>
      </c>
      <c r="N2925" s="6" t="n">
        <v>400</v>
      </c>
    </row>
    <row r="2926">
      <c r="A2926" s="1" t="inlineStr">
        <is>
          <t>66176cde0d667</t>
        </is>
      </c>
      <c r="B2926" s="1" t="inlineStr">
        <is>
          <t>ANILLO CLAVO ZIRCONIA ROSE GOLD (WITH ZIRCONIAS)</t>
        </is>
      </c>
      <c r="C2926" s="1" t="inlineStr">
        <is>
          <t>5</t>
        </is>
      </c>
      <c r="D2926" s="1" t="inlineStr">
        <is>
          <t>16/04/2026</t>
        </is>
      </c>
      <c r="E2926" s="1" t="n">
        <v>2026</v>
      </c>
      <c r="F2926" s="1" t="inlineStr">
        <is>
          <t>ABRIL</t>
        </is>
      </c>
      <c r="G2926" s="1" t="inlineStr">
        <is>
          <t>HAIFENG</t>
        </is>
      </c>
      <c r="H2926" s="1" t="inlineStr">
        <is>
          <t>HAIFENG 16/04/2026</t>
        </is>
      </c>
      <c r="I2926" s="4" t="n">
        <v>2</v>
      </c>
      <c r="J2926" s="6" t="n">
        <v>2.5</v>
      </c>
      <c r="K2926" s="6" t="n">
        <v>52.57868397</v>
      </c>
      <c r="L2926" s="6">
        <f>I2926*K2926</f>
        <v/>
      </c>
      <c r="M2926" s="6">
        <f>K2926*4</f>
        <v/>
      </c>
      <c r="N2926" s="6" t="n">
        <v>450</v>
      </c>
    </row>
    <row r="2927">
      <c r="A2927" s="1" t="inlineStr">
        <is>
          <t>66176cde28afb</t>
        </is>
      </c>
      <c r="B2927" s="1" t="n"/>
      <c r="C2927" s="1" t="inlineStr">
        <is>
          <t>10</t>
        </is>
      </c>
      <c r="D2927" s="1" t="inlineStr">
        <is>
          <t>10/02/2026</t>
        </is>
      </c>
      <c r="E2927" s="1" t="n">
        <v>2026</v>
      </c>
      <c r="F2927" s="1" t="inlineStr">
        <is>
          <t>FEBRERO</t>
        </is>
      </c>
      <c r="G2927" s="1" t="inlineStr">
        <is>
          <t>HAIFENG</t>
        </is>
      </c>
      <c r="H2927" s="1" t="inlineStr">
        <is>
          <t>HAIFENG 10/02/2026</t>
        </is>
      </c>
      <c r="I2927" s="4" t="n">
        <v>2</v>
      </c>
      <c r="J2927" s="6" t="n">
        <v>2.5</v>
      </c>
      <c r="K2927" s="6" t="n">
        <v>52.67124016</v>
      </c>
      <c r="L2927" s="6">
        <f>I2927*K2927</f>
        <v/>
      </c>
      <c r="M2927" s="6">
        <f>K2927*4</f>
        <v/>
      </c>
      <c r="N2927" s="6" t="n">
        <v>400</v>
      </c>
    </row>
    <row r="2928">
      <c r="A2928" s="1" t="inlineStr">
        <is>
          <t>66176cde28afb</t>
        </is>
      </c>
      <c r="B2928" s="1" t="inlineStr">
        <is>
          <t>ANILLO CLAVO GOLD (WITHOUT ZIRCONIAS)</t>
        </is>
      </c>
      <c r="C2928" s="1" t="inlineStr">
        <is>
          <t>10</t>
        </is>
      </c>
      <c r="D2928" s="1" t="inlineStr">
        <is>
          <t>16/04/2026</t>
        </is>
      </c>
      <c r="E2928" s="1" t="n">
        <v>2026</v>
      </c>
      <c r="F2928" s="1" t="inlineStr">
        <is>
          <t>ABRIL</t>
        </is>
      </c>
      <c r="G2928" s="1" t="inlineStr">
        <is>
          <t>HAIFENG</t>
        </is>
      </c>
      <c r="H2928" s="1" t="inlineStr">
        <is>
          <t>HAIFENG 16/04/2026</t>
        </is>
      </c>
      <c r="I2928" s="4" t="n">
        <v>1</v>
      </c>
      <c r="J2928" s="6" t="n">
        <v>2.5</v>
      </c>
      <c r="K2928" s="6" t="n">
        <v>52.57868397</v>
      </c>
      <c r="L2928" s="6">
        <f>I2928*K2928</f>
        <v/>
      </c>
      <c r="M2928" s="6">
        <f>K2928*4</f>
        <v/>
      </c>
      <c r="N2928" s="6" t="n">
        <v>400</v>
      </c>
    </row>
    <row r="2929">
      <c r="A2929" s="1" t="inlineStr">
        <is>
          <t>66176cde28afb</t>
        </is>
      </c>
      <c r="B2929" s="1" t="inlineStr">
        <is>
          <t>ANILLO CLAVO GOLD</t>
        </is>
      </c>
      <c r="C2929" s="1" t="inlineStr">
        <is>
          <t>10</t>
        </is>
      </c>
      <c r="D2929" s="1" t="inlineStr">
        <is>
          <t>16/06/2026</t>
        </is>
      </c>
      <c r="E2929" s="1" t="n">
        <v>2026</v>
      </c>
      <c r="F2929" s="1" t="inlineStr">
        <is>
          <t>JUNIO</t>
        </is>
      </c>
      <c r="G2929" s="1" t="inlineStr">
        <is>
          <t>HAIFENG</t>
        </is>
      </c>
      <c r="H2929" s="1" t="inlineStr">
        <is>
          <t>HAIFENG 16/06/2026</t>
        </is>
      </c>
      <c r="I2929" s="4" t="n">
        <v>3</v>
      </c>
      <c r="J2929" s="6" t="n">
        <v>2.5</v>
      </c>
      <c r="K2929" s="6" t="n">
        <v>52.53651615</v>
      </c>
      <c r="L2929" s="6">
        <f>I2929*K2929</f>
        <v/>
      </c>
      <c r="M2929" s="6">
        <f>K2929*4</f>
        <v/>
      </c>
      <c r="N2929" s="6" t="n">
        <v>400</v>
      </c>
    </row>
    <row r="2930">
      <c r="A2930" s="1" t="inlineStr">
        <is>
          <t>66176cde74709</t>
        </is>
      </c>
      <c r="B2930" s="1" t="inlineStr">
        <is>
          <t>ANILLO CLAVO SILVER</t>
        </is>
      </c>
      <c r="C2930" s="1" t="inlineStr">
        <is>
          <t>11</t>
        </is>
      </c>
      <c r="D2930" s="1" t="inlineStr">
        <is>
          <t>03/12/2025</t>
        </is>
      </c>
      <c r="E2930" s="1" t="n">
        <v>2025</v>
      </c>
      <c r="F2930" s="1" t="inlineStr">
        <is>
          <t>DICIEMBRE</t>
        </is>
      </c>
      <c r="G2930" s="1" t="inlineStr">
        <is>
          <t>HAIFENG</t>
        </is>
      </c>
      <c r="H2930" s="1" t="inlineStr">
        <is>
          <t>HAIFENG 03/12/2025</t>
        </is>
      </c>
      <c r="I2930" s="4" t="n">
        <v>3</v>
      </c>
      <c r="J2930" s="6" t="n">
        <v>2.5</v>
      </c>
      <c r="K2930" s="6" t="n">
        <v>52.29290003</v>
      </c>
      <c r="L2930" s="6">
        <f>I2930*K2930</f>
        <v/>
      </c>
      <c r="M2930" s="6">
        <f>K2930*4</f>
        <v/>
      </c>
      <c r="N2930" s="6" t="n">
        <v>400</v>
      </c>
    </row>
    <row r="2931">
      <c r="A2931" s="1" t="inlineStr">
        <is>
          <t>66176cde9bf02</t>
        </is>
      </c>
      <c r="B2931" s="1" t="inlineStr">
        <is>
          <t>ANILLO CLAVO ZIRCONIA ROSE GOLD</t>
        </is>
      </c>
      <c r="C2931" s="1" t="inlineStr">
        <is>
          <t>6</t>
        </is>
      </c>
      <c r="D2931" s="1" t="inlineStr">
        <is>
          <t>11/03/2026</t>
        </is>
      </c>
      <c r="E2931" s="1" t="n">
        <v>2026</v>
      </c>
      <c r="F2931" s="1" t="inlineStr">
        <is>
          <t>MARZO</t>
        </is>
      </c>
      <c r="G2931" s="1" t="inlineStr">
        <is>
          <t>HAIFENG</t>
        </is>
      </c>
      <c r="H2931" s="1" t="inlineStr">
        <is>
          <t>HAIFENG 11/03/2026</t>
        </is>
      </c>
      <c r="I2931" s="4" t="n">
        <v>2</v>
      </c>
      <c r="J2931" s="6" t="n">
        <v>2.5</v>
      </c>
      <c r="K2931" s="6" t="n">
        <v>53.25974054</v>
      </c>
      <c r="L2931" s="6">
        <f>I2931*K2931</f>
        <v/>
      </c>
      <c r="M2931" s="6">
        <f>K2931*4</f>
        <v/>
      </c>
      <c r="N2931" s="6" t="n">
        <v>450</v>
      </c>
    </row>
    <row r="2932">
      <c r="A2932" s="1" t="inlineStr">
        <is>
          <t>66176cdeab849</t>
        </is>
      </c>
      <c r="B2932" s="1" t="inlineStr">
        <is>
          <t>ANILLO CLAVO GOLD</t>
        </is>
      </c>
      <c r="C2932" s="1" t="inlineStr">
        <is>
          <t>11</t>
        </is>
      </c>
      <c r="D2932" s="1" t="inlineStr">
        <is>
          <t>11/11/2025</t>
        </is>
      </c>
      <c r="E2932" s="1" t="n">
        <v>2025</v>
      </c>
      <c r="F2932" s="1" t="inlineStr">
        <is>
          <t>NOVIEMBRE</t>
        </is>
      </c>
      <c r="G2932" s="1" t="inlineStr">
        <is>
          <t>HAIFENG</t>
        </is>
      </c>
      <c r="H2932" s="1" t="inlineStr">
        <is>
          <t>HAIFENG 11/11/2025</t>
        </is>
      </c>
      <c r="I2932" s="4" t="n">
        <v>2</v>
      </c>
      <c r="J2932" s="6" t="n">
        <v>2.5</v>
      </c>
      <c r="K2932" s="6" t="n">
        <v>52.65124611</v>
      </c>
      <c r="L2932" s="6">
        <f>I2932*K2932</f>
        <v/>
      </c>
      <c r="M2932" s="6">
        <f>K2932*4</f>
        <v/>
      </c>
      <c r="N2932" s="6" t="n">
        <v>400</v>
      </c>
    </row>
    <row r="2933">
      <c r="A2933" s="1" t="inlineStr">
        <is>
          <t>66176cdf23c82</t>
        </is>
      </c>
      <c r="B2933" s="1" t="inlineStr">
        <is>
          <t>ANILLO CLAVO ZIRCONIA ROSE GOLD</t>
        </is>
      </c>
      <c r="C2933" s="1" t="inlineStr">
        <is>
          <t>7</t>
        </is>
      </c>
      <c r="D2933" s="1" t="inlineStr">
        <is>
          <t>11/03/2026</t>
        </is>
      </c>
      <c r="E2933" s="1" t="n">
        <v>2026</v>
      </c>
      <c r="F2933" s="1" t="inlineStr">
        <is>
          <t>MARZO</t>
        </is>
      </c>
      <c r="G2933" s="1" t="inlineStr">
        <is>
          <t>HAIFENG</t>
        </is>
      </c>
      <c r="H2933" s="1" t="inlineStr">
        <is>
          <t>HAIFENG 11/03/2026</t>
        </is>
      </c>
      <c r="I2933" s="4" t="n">
        <v>2</v>
      </c>
      <c r="J2933" s="6" t="n">
        <v>2.5</v>
      </c>
      <c r="K2933" s="6" t="n">
        <v>53.25974054</v>
      </c>
      <c r="L2933" s="6">
        <f>I2933*K2933</f>
        <v/>
      </c>
      <c r="M2933" s="6">
        <f>K2933*4</f>
        <v/>
      </c>
      <c r="N2933" s="6" t="n">
        <v>450</v>
      </c>
    </row>
    <row r="2934">
      <c r="A2934" s="1" t="inlineStr">
        <is>
          <t>66176cdf23c82</t>
        </is>
      </c>
      <c r="B2934" s="1" t="inlineStr">
        <is>
          <t>ANILLO CLAVO ZIRCONIA ROSE GOLD</t>
        </is>
      </c>
      <c r="C2934" s="1" t="inlineStr">
        <is>
          <t>7</t>
        </is>
      </c>
      <c r="D2934" s="1" t="inlineStr">
        <is>
          <t>26/05/2026</t>
        </is>
      </c>
      <c r="E2934" s="1" t="n">
        <v>2026</v>
      </c>
      <c r="F2934" s="1" t="inlineStr">
        <is>
          <t>MAYO</t>
        </is>
      </c>
      <c r="G2934" s="1" t="inlineStr">
        <is>
          <t>HAIFENG</t>
        </is>
      </c>
      <c r="H2934" s="1" t="inlineStr">
        <is>
          <t>HAIFENG 26/05/2026</t>
        </is>
      </c>
      <c r="I2934" s="4" t="n">
        <v>2</v>
      </c>
      <c r="J2934" s="6" t="n">
        <v>2.5</v>
      </c>
      <c r="K2934" s="6" t="n">
        <v>52.47323824</v>
      </c>
      <c r="L2934" s="6">
        <f>I2934*K2934</f>
        <v/>
      </c>
      <c r="M2934" s="6">
        <f>K2934*4</f>
        <v/>
      </c>
      <c r="N2934" s="6" t="n">
        <v>450</v>
      </c>
    </row>
    <row r="2935">
      <c r="A2935" s="1" t="inlineStr">
        <is>
          <t>66176cdfac886</t>
        </is>
      </c>
      <c r="B2935" s="1" t="inlineStr">
        <is>
          <t>ANILLO CLAVO ZIRCONIA ROSE GOLD</t>
        </is>
      </c>
      <c r="C2935" s="1" t="inlineStr">
        <is>
          <t>8</t>
        </is>
      </c>
      <c r="D2935" s="1" t="inlineStr">
        <is>
          <t>11/03/2026</t>
        </is>
      </c>
      <c r="E2935" s="1" t="n">
        <v>2026</v>
      </c>
      <c r="F2935" s="1" t="inlineStr">
        <is>
          <t>MARZO</t>
        </is>
      </c>
      <c r="G2935" s="1" t="inlineStr">
        <is>
          <t>HAIFENG</t>
        </is>
      </c>
      <c r="H2935" s="1" t="inlineStr">
        <is>
          <t>HAIFENG 11/03/2026</t>
        </is>
      </c>
      <c r="I2935" s="4" t="n">
        <v>1</v>
      </c>
      <c r="J2935" s="6" t="n">
        <v>2.5</v>
      </c>
      <c r="K2935" s="6" t="n">
        <v>53.25974054</v>
      </c>
      <c r="L2935" s="6">
        <f>I2935*K2935</f>
        <v/>
      </c>
      <c r="M2935" s="6">
        <f>K2935*4</f>
        <v/>
      </c>
      <c r="N2935" s="6" t="n">
        <v>450</v>
      </c>
    </row>
    <row r="2936">
      <c r="A2936" s="1" t="inlineStr">
        <is>
          <t>66176cdfac886</t>
        </is>
      </c>
      <c r="B2936" s="1" t="inlineStr">
        <is>
          <t>ANILLO CLAVO ZIRCONIA ROSE GOLD</t>
        </is>
      </c>
      <c r="C2936" s="1" t="inlineStr">
        <is>
          <t>8</t>
        </is>
      </c>
      <c r="D2936" s="1" t="inlineStr">
        <is>
          <t>16/06/2026</t>
        </is>
      </c>
      <c r="E2936" s="1" t="n">
        <v>2026</v>
      </c>
      <c r="F2936" s="1" t="inlineStr">
        <is>
          <t>JUNIO</t>
        </is>
      </c>
      <c r="G2936" s="1" t="inlineStr">
        <is>
          <t>HAIFENG</t>
        </is>
      </c>
      <c r="H2936" s="1" t="inlineStr">
        <is>
          <t>HAIFENG 16/06/2026</t>
        </is>
      </c>
      <c r="I2936" s="4" t="n">
        <v>1</v>
      </c>
      <c r="J2936" s="6" t="n">
        <v>2.5</v>
      </c>
      <c r="K2936" s="6" t="n">
        <v>52.53651615</v>
      </c>
      <c r="L2936" s="6">
        <f>I2936*K2936</f>
        <v/>
      </c>
      <c r="M2936" s="6">
        <f>K2936*4</f>
        <v/>
      </c>
      <c r="N2936" s="6" t="n">
        <v>450</v>
      </c>
    </row>
    <row r="2937">
      <c r="A2937" s="1" t="inlineStr">
        <is>
          <t>66176ce0abf98</t>
        </is>
      </c>
      <c r="B2937" s="1" t="inlineStr">
        <is>
          <t>ANILLO CLAVO ROSE GOLD</t>
        </is>
      </c>
      <c r="C2937" s="1" t="inlineStr">
        <is>
          <t>5 HIGH QUALITY</t>
        </is>
      </c>
      <c r="D2937" s="1" t="inlineStr">
        <is>
          <t>01/09/2025</t>
        </is>
      </c>
      <c r="E2937" s="1" t="n">
        <v>2025</v>
      </c>
      <c r="F2937" s="1" t="inlineStr">
        <is>
          <t>SEPTIEMBRE</t>
        </is>
      </c>
      <c r="G2937" s="1" t="inlineStr">
        <is>
          <t>HAIFENG</t>
        </is>
      </c>
      <c r="H2937" s="1" t="inlineStr">
        <is>
          <t>HAIFENG 01/09/2025</t>
        </is>
      </c>
      <c r="I2937" s="4" t="n">
        <v>2</v>
      </c>
      <c r="J2937" s="6" t="n">
        <v>2.5</v>
      </c>
      <c r="K2937" s="6" t="n">
        <v>53.13917766</v>
      </c>
      <c r="L2937" s="6">
        <f>I2937*K2937</f>
        <v/>
      </c>
      <c r="M2937" s="6">
        <f>K2937*4</f>
        <v/>
      </c>
      <c r="N2937" s="6" t="n">
        <v>400</v>
      </c>
    </row>
    <row r="2938">
      <c r="A2938" s="1" t="inlineStr">
        <is>
          <t>66176ce0abf98</t>
        </is>
      </c>
      <c r="B2938" s="1" t="inlineStr">
        <is>
          <t>ANILLO CLAVO ROSE GOLD (WITHOUT ZIRCONIAS)</t>
        </is>
      </c>
      <c r="C2938" s="1" t="inlineStr">
        <is>
          <t>5 HIGH QUALITY</t>
        </is>
      </c>
      <c r="D2938" s="1" t="inlineStr">
        <is>
          <t>16/04/2026</t>
        </is>
      </c>
      <c r="E2938" s="1" t="n">
        <v>2026</v>
      </c>
      <c r="F2938" s="1" t="inlineStr">
        <is>
          <t>ABRIL</t>
        </is>
      </c>
      <c r="G2938" s="1" t="inlineStr">
        <is>
          <t>HAIFENG</t>
        </is>
      </c>
      <c r="H2938" s="1" t="inlineStr">
        <is>
          <t>HAIFENG 16/04/2026</t>
        </is>
      </c>
      <c r="I2938" s="4" t="n">
        <v>3</v>
      </c>
      <c r="J2938" s="6" t="n">
        <v>2.5</v>
      </c>
      <c r="K2938" s="6" t="n">
        <v>52.57868397</v>
      </c>
      <c r="L2938" s="6">
        <f>I2938*K2938</f>
        <v/>
      </c>
      <c r="M2938" s="6">
        <f>K2938*4</f>
        <v/>
      </c>
      <c r="N2938" s="6" t="n">
        <v>400</v>
      </c>
    </row>
    <row r="2939">
      <c r="A2939" s="1" t="inlineStr">
        <is>
          <t>66176ce0abf98</t>
        </is>
      </c>
      <c r="B2939" s="1" t="inlineStr">
        <is>
          <t>ANILLO CLAVO ROSE GOLD</t>
        </is>
      </c>
      <c r="C2939" s="1" t="inlineStr">
        <is>
          <t>5 HIGH QUALITY</t>
        </is>
      </c>
      <c r="D2939" s="1" t="inlineStr">
        <is>
          <t>16/06/2026</t>
        </is>
      </c>
      <c r="E2939" s="1" t="n">
        <v>2026</v>
      </c>
      <c r="F2939" s="1" t="inlineStr">
        <is>
          <t>JUNIO</t>
        </is>
      </c>
      <c r="G2939" s="1" t="inlineStr">
        <is>
          <t>HAIFENG</t>
        </is>
      </c>
      <c r="H2939" s="1" t="inlineStr">
        <is>
          <t>HAIFENG 16/06/2026</t>
        </is>
      </c>
      <c r="I2939" s="4" t="n">
        <v>1</v>
      </c>
      <c r="J2939" s="6" t="n">
        <v>2.5</v>
      </c>
      <c r="K2939" s="6" t="n">
        <v>52.53651615</v>
      </c>
      <c r="L2939" s="6">
        <f>I2939*K2939</f>
        <v/>
      </c>
      <c r="M2939" s="6">
        <f>K2939*4</f>
        <v/>
      </c>
      <c r="N2939" s="6" t="n">
        <v>400</v>
      </c>
    </row>
    <row r="2940">
      <c r="A2940" s="1" t="inlineStr">
        <is>
          <t>66176ce151d29</t>
        </is>
      </c>
      <c r="B2940" s="1" t="inlineStr">
        <is>
          <t>ANILLO CLAVO ROSE GOLD</t>
        </is>
      </c>
      <c r="C2940" s="1" t="inlineStr">
        <is>
          <t>6 HIGH QUALITY</t>
        </is>
      </c>
      <c r="D2940" s="1" t="inlineStr">
        <is>
          <t>01/09/2025</t>
        </is>
      </c>
      <c r="E2940" s="1" t="n">
        <v>2025</v>
      </c>
      <c r="F2940" s="1" t="inlineStr">
        <is>
          <t>SEPTIEMBRE</t>
        </is>
      </c>
      <c r="G2940" s="1" t="inlineStr">
        <is>
          <t>HAIFENG</t>
        </is>
      </c>
      <c r="H2940" s="1" t="inlineStr">
        <is>
          <t>HAIFENG 01/09/2025</t>
        </is>
      </c>
      <c r="I2940" s="4" t="n">
        <v>3</v>
      </c>
      <c r="J2940" s="6" t="n">
        <v>2.5</v>
      </c>
      <c r="K2940" s="6" t="n">
        <v>53.13917766</v>
      </c>
      <c r="L2940" s="6">
        <f>I2940*K2940</f>
        <v/>
      </c>
      <c r="M2940" s="6">
        <f>K2940*4</f>
        <v/>
      </c>
      <c r="N2940" s="6" t="n">
        <v>400</v>
      </c>
    </row>
    <row r="2941">
      <c r="A2941" s="1" t="inlineStr">
        <is>
          <t>66176ce151d29</t>
        </is>
      </c>
      <c r="B2941" s="1" t="inlineStr">
        <is>
          <t>ANILLO CLAVO ROSE GOLD</t>
        </is>
      </c>
      <c r="C2941" s="1" t="inlineStr">
        <is>
          <t>6 HIGH QUALITY</t>
        </is>
      </c>
      <c r="D2941" s="1" t="inlineStr">
        <is>
          <t>11/11/2025</t>
        </is>
      </c>
      <c r="E2941" s="1" t="n">
        <v>2025</v>
      </c>
      <c r="F2941" s="1" t="inlineStr">
        <is>
          <t>NOVIEMBRE</t>
        </is>
      </c>
      <c r="G2941" s="1" t="inlineStr">
        <is>
          <t>HAIFENG</t>
        </is>
      </c>
      <c r="H2941" s="1" t="inlineStr">
        <is>
          <t>HAIFENG 11/11/2025</t>
        </is>
      </c>
      <c r="I2941" s="4" t="n">
        <v>2</v>
      </c>
      <c r="J2941" s="6" t="n">
        <v>2.5</v>
      </c>
      <c r="K2941" s="6" t="n">
        <v>52.65124611</v>
      </c>
      <c r="L2941" s="6">
        <f>I2941*K2941</f>
        <v/>
      </c>
      <c r="M2941" s="6">
        <f>K2941*4</f>
        <v/>
      </c>
      <c r="N2941" s="6" t="n">
        <v>400</v>
      </c>
    </row>
    <row r="2942">
      <c r="A2942" s="1" t="inlineStr">
        <is>
          <t>66176ce151d29</t>
        </is>
      </c>
      <c r="B2942" s="1" t="inlineStr">
        <is>
          <t>ANILLO CLAVO ROSE GOLD</t>
        </is>
      </c>
      <c r="C2942" s="1" t="inlineStr">
        <is>
          <t>6 HIGH QUALITY</t>
        </is>
      </c>
      <c r="D2942" s="1" t="inlineStr">
        <is>
          <t>03/12/2025</t>
        </is>
      </c>
      <c r="E2942" s="1" t="n">
        <v>2025</v>
      </c>
      <c r="F2942" s="1" t="inlineStr">
        <is>
          <t>DICIEMBRE</t>
        </is>
      </c>
      <c r="G2942" s="1" t="inlineStr">
        <is>
          <t>HAIFENG</t>
        </is>
      </c>
      <c r="H2942" s="1" t="inlineStr">
        <is>
          <t>HAIFENG 03/12/2025</t>
        </is>
      </c>
      <c r="I2942" s="4" t="n">
        <v>2</v>
      </c>
      <c r="J2942" s="6" t="n">
        <v>2.5</v>
      </c>
      <c r="K2942" s="6" t="n">
        <v>52.29290003</v>
      </c>
      <c r="L2942" s="6">
        <f>I2942*K2942</f>
        <v/>
      </c>
      <c r="M2942" s="6">
        <f>K2942*4</f>
        <v/>
      </c>
      <c r="N2942" s="6" t="n">
        <v>400</v>
      </c>
    </row>
    <row r="2943">
      <c r="A2943" s="1" t="inlineStr">
        <is>
          <t>66176ce151d29</t>
        </is>
      </c>
      <c r="B2943" s="1" t="inlineStr">
        <is>
          <t>ANILLO CLAVO ROSE GOLD (WITHOUT ZIRCONIAS)</t>
        </is>
      </c>
      <c r="C2943" s="1" t="inlineStr">
        <is>
          <t>6 HIGH QUALITY</t>
        </is>
      </c>
      <c r="D2943" s="1" t="inlineStr">
        <is>
          <t>16/04/2026</t>
        </is>
      </c>
      <c r="E2943" s="1" t="n">
        <v>2026</v>
      </c>
      <c r="F2943" s="1" t="inlineStr">
        <is>
          <t>ABRIL</t>
        </is>
      </c>
      <c r="G2943" s="1" t="inlineStr">
        <is>
          <t>HAIFENG</t>
        </is>
      </c>
      <c r="H2943" s="1" t="inlineStr">
        <is>
          <t>HAIFENG 16/04/2026</t>
        </is>
      </c>
      <c r="I2943" s="4" t="n">
        <v>3</v>
      </c>
      <c r="J2943" s="6" t="n">
        <v>2.5</v>
      </c>
      <c r="K2943" s="6" t="n">
        <v>52.57868397</v>
      </c>
      <c r="L2943" s="6">
        <f>I2943*K2943</f>
        <v/>
      </c>
      <c r="M2943" s="6">
        <f>K2943*4</f>
        <v/>
      </c>
      <c r="N2943" s="6" t="n">
        <v>400</v>
      </c>
    </row>
    <row r="2944">
      <c r="A2944" s="1" t="inlineStr">
        <is>
          <t>66176ce151d29</t>
        </is>
      </c>
      <c r="B2944" s="1" t="inlineStr">
        <is>
          <t>ANILLO CLAVO ROSE GOLD</t>
        </is>
      </c>
      <c r="C2944" s="1" t="inlineStr">
        <is>
          <t>6 HIGH QUALITY</t>
        </is>
      </c>
      <c r="D2944" s="1" t="inlineStr">
        <is>
          <t>16/06/2026</t>
        </is>
      </c>
      <c r="E2944" s="1" t="n">
        <v>2026</v>
      </c>
      <c r="F2944" s="1" t="inlineStr">
        <is>
          <t>JUNIO</t>
        </is>
      </c>
      <c r="G2944" s="1" t="inlineStr">
        <is>
          <t>HAIFENG</t>
        </is>
      </c>
      <c r="H2944" s="1" t="inlineStr">
        <is>
          <t>HAIFENG 16/06/2026</t>
        </is>
      </c>
      <c r="I2944" s="4" t="n">
        <v>3</v>
      </c>
      <c r="J2944" s="6" t="n">
        <v>2.5</v>
      </c>
      <c r="K2944" s="6" t="n">
        <v>52.53651615</v>
      </c>
      <c r="L2944" s="6">
        <f>I2944*K2944</f>
        <v/>
      </c>
      <c r="M2944" s="6">
        <f>K2944*4</f>
        <v/>
      </c>
      <c r="N2944" s="6" t="n">
        <v>400</v>
      </c>
    </row>
    <row r="2945">
      <c r="A2945" s="1" t="inlineStr">
        <is>
          <t>66176ce1d817d</t>
        </is>
      </c>
      <c r="B2945" s="1" t="inlineStr">
        <is>
          <t>ANILLO CLAVO ROSE GOLD</t>
        </is>
      </c>
      <c r="C2945" s="1" t="inlineStr">
        <is>
          <t>7 HIGH QUALITY</t>
        </is>
      </c>
      <c r="D2945" s="1" t="inlineStr">
        <is>
          <t>01/09/2025</t>
        </is>
      </c>
      <c r="E2945" s="1" t="n">
        <v>2025</v>
      </c>
      <c r="F2945" s="1" t="inlineStr">
        <is>
          <t>SEPTIEMBRE</t>
        </is>
      </c>
      <c r="G2945" s="1" t="inlineStr">
        <is>
          <t>HAIFENG</t>
        </is>
      </c>
      <c r="H2945" s="1" t="inlineStr">
        <is>
          <t>HAIFENG 01/09/2025</t>
        </is>
      </c>
      <c r="I2945" s="4" t="n">
        <v>2</v>
      </c>
      <c r="J2945" s="6" t="n">
        <v>2.5</v>
      </c>
      <c r="K2945" s="6" t="n">
        <v>53.13917766</v>
      </c>
      <c r="L2945" s="6">
        <f>I2945*K2945</f>
        <v/>
      </c>
      <c r="M2945" s="6">
        <f>K2945*4</f>
        <v/>
      </c>
      <c r="N2945" s="6" t="n">
        <v>400</v>
      </c>
    </row>
    <row r="2946">
      <c r="A2946" s="1" t="inlineStr">
        <is>
          <t>66176ce1d817d</t>
        </is>
      </c>
      <c r="B2946" s="1" t="inlineStr">
        <is>
          <t>ANILLO CLAVO ROSE GOLD</t>
        </is>
      </c>
      <c r="C2946" s="1" t="inlineStr">
        <is>
          <t>7 HIGH QUALITY</t>
        </is>
      </c>
      <c r="D2946" s="1" t="inlineStr">
        <is>
          <t>25/09/2025</t>
        </is>
      </c>
      <c r="E2946" s="1" t="n">
        <v>2025</v>
      </c>
      <c r="F2946" s="1" t="inlineStr">
        <is>
          <t>SEPTIEMBRE</t>
        </is>
      </c>
      <c r="G2946" s="1" t="inlineStr">
        <is>
          <t>HAIFENG</t>
        </is>
      </c>
      <c r="H2946" s="1" t="inlineStr">
        <is>
          <t>HAIFENG 25/09/2025</t>
        </is>
      </c>
      <c r="I2946" s="4" t="n">
        <v>6</v>
      </c>
      <c r="J2946" s="6" t="n">
        <v>2.5</v>
      </c>
      <c r="K2946" s="6" t="n">
        <v>52.74221442</v>
      </c>
      <c r="L2946" s="6">
        <f>I2946*K2946</f>
        <v/>
      </c>
      <c r="M2946" s="6">
        <f>K2946*4</f>
        <v/>
      </c>
      <c r="N2946" s="6" t="n">
        <v>400</v>
      </c>
    </row>
    <row r="2947">
      <c r="A2947" s="1" t="inlineStr">
        <is>
          <t>66176ce1d817d</t>
        </is>
      </c>
      <c r="B2947" s="1" t="inlineStr">
        <is>
          <t>ANILLO CLAVO ROSE GOLD</t>
        </is>
      </c>
      <c r="C2947" s="1" t="inlineStr">
        <is>
          <t>7 HIGH QUALITY</t>
        </is>
      </c>
      <c r="D2947" s="1" t="inlineStr">
        <is>
          <t>26/05/2026</t>
        </is>
      </c>
      <c r="E2947" s="1" t="n">
        <v>2026</v>
      </c>
      <c r="F2947" s="1" t="inlineStr">
        <is>
          <t>MAYO</t>
        </is>
      </c>
      <c r="G2947" s="1" t="inlineStr">
        <is>
          <t>HAIFENG</t>
        </is>
      </c>
      <c r="H2947" s="1" t="inlineStr">
        <is>
          <t>HAIFENG 26/05/2026</t>
        </is>
      </c>
      <c r="I2947" s="4" t="n">
        <v>1</v>
      </c>
      <c r="J2947" s="6" t="n">
        <v>2.5</v>
      </c>
      <c r="K2947" s="6" t="n">
        <v>52.47323824</v>
      </c>
      <c r="L2947" s="6">
        <f>I2947*K2947</f>
        <v/>
      </c>
      <c r="M2947" s="6">
        <f>K2947*4</f>
        <v/>
      </c>
      <c r="N2947" s="6" t="n">
        <v>400</v>
      </c>
    </row>
    <row r="2948">
      <c r="A2948" s="1" t="inlineStr">
        <is>
          <t>66176ce1d817d</t>
        </is>
      </c>
      <c r="B2948" s="1" t="inlineStr">
        <is>
          <t>ANILLO CLAVO ROSE GOLD</t>
        </is>
      </c>
      <c r="C2948" s="1" t="inlineStr">
        <is>
          <t>7 HIGH QUALITY</t>
        </is>
      </c>
      <c r="D2948" s="1" t="inlineStr">
        <is>
          <t>16/06/2026</t>
        </is>
      </c>
      <c r="E2948" s="1" t="n">
        <v>2026</v>
      </c>
      <c r="F2948" s="1" t="inlineStr">
        <is>
          <t>JUNIO</t>
        </is>
      </c>
      <c r="G2948" s="1" t="inlineStr">
        <is>
          <t>HAIFENG</t>
        </is>
      </c>
      <c r="H2948" s="1" t="inlineStr">
        <is>
          <t>HAIFENG 16/06/2026</t>
        </is>
      </c>
      <c r="I2948" s="4" t="n">
        <v>4</v>
      </c>
      <c r="J2948" s="6" t="n">
        <v>2.5</v>
      </c>
      <c r="K2948" s="6" t="n">
        <v>52.53651615</v>
      </c>
      <c r="L2948" s="6">
        <f>I2948*K2948</f>
        <v/>
      </c>
      <c r="M2948" s="6">
        <f>K2948*4</f>
        <v/>
      </c>
      <c r="N2948" s="6" t="n">
        <v>400</v>
      </c>
    </row>
    <row r="2949">
      <c r="A2949" s="1" t="inlineStr">
        <is>
          <t>66176ce26bdb9</t>
        </is>
      </c>
      <c r="B2949" s="1" t="inlineStr">
        <is>
          <t>ANILLO CLAVO ROSE GOLD</t>
        </is>
      </c>
      <c r="C2949" s="1" t="inlineStr">
        <is>
          <t>8 HIGH QUALITY</t>
        </is>
      </c>
      <c r="D2949" s="1" t="inlineStr">
        <is>
          <t>03/12/2025</t>
        </is>
      </c>
      <c r="E2949" s="1" t="n">
        <v>2025</v>
      </c>
      <c r="F2949" s="1" t="inlineStr">
        <is>
          <t>DICIEMBRE</t>
        </is>
      </c>
      <c r="G2949" s="1" t="inlineStr">
        <is>
          <t>HAIFENG</t>
        </is>
      </c>
      <c r="H2949" s="1" t="inlineStr">
        <is>
          <t>HAIFENG 03/12/2025</t>
        </is>
      </c>
      <c r="I2949" s="4" t="n">
        <v>3</v>
      </c>
      <c r="J2949" s="6" t="n">
        <v>2.5</v>
      </c>
      <c r="K2949" s="6" t="n">
        <v>52.29290003</v>
      </c>
      <c r="L2949" s="6">
        <f>I2949*K2949</f>
        <v/>
      </c>
      <c r="M2949" s="6">
        <f>K2949*4</f>
        <v/>
      </c>
      <c r="N2949" s="6" t="n">
        <v>400</v>
      </c>
    </row>
    <row r="2950">
      <c r="A2950" s="1" t="inlineStr">
        <is>
          <t>66176ce26bdb9</t>
        </is>
      </c>
      <c r="B2950" s="1" t="inlineStr">
        <is>
          <t>ANILLO CLAVO ROSE GOLD</t>
        </is>
      </c>
      <c r="C2950" s="1" t="inlineStr">
        <is>
          <t>8 HIGH QUALITY</t>
        </is>
      </c>
      <c r="D2950" s="1" t="inlineStr">
        <is>
          <t>11/03/2026</t>
        </is>
      </c>
      <c r="E2950" s="1" t="n">
        <v>2026</v>
      </c>
      <c r="F2950" s="1" t="inlineStr">
        <is>
          <t>MARZO</t>
        </is>
      </c>
      <c r="G2950" s="1" t="inlineStr">
        <is>
          <t>HAIFENG</t>
        </is>
      </c>
      <c r="H2950" s="1" t="inlineStr">
        <is>
          <t>HAIFENG 11/03/2026</t>
        </is>
      </c>
      <c r="I2950" s="4" t="n">
        <v>1</v>
      </c>
      <c r="J2950" s="6" t="n">
        <v>2.5</v>
      </c>
      <c r="K2950" s="6" t="n">
        <v>53.25974054</v>
      </c>
      <c r="L2950" s="6">
        <f>I2950*K2950</f>
        <v/>
      </c>
      <c r="M2950" s="6">
        <f>K2950*4</f>
        <v/>
      </c>
      <c r="N2950" s="6" t="n">
        <v>400</v>
      </c>
    </row>
    <row r="2951">
      <c r="A2951" s="1" t="inlineStr">
        <is>
          <t>66176ce26bdb9</t>
        </is>
      </c>
      <c r="B2951" s="1" t="inlineStr">
        <is>
          <t>ANILLO CLAVO ROSE GOLD</t>
        </is>
      </c>
      <c r="C2951" s="1" t="inlineStr">
        <is>
          <t>8 HIGH QUALITY</t>
        </is>
      </c>
      <c r="D2951" s="1" t="inlineStr">
        <is>
          <t>16/06/2026</t>
        </is>
      </c>
      <c r="E2951" s="1" t="n">
        <v>2026</v>
      </c>
      <c r="F2951" s="1" t="inlineStr">
        <is>
          <t>JUNIO</t>
        </is>
      </c>
      <c r="G2951" s="1" t="inlineStr">
        <is>
          <t>HAIFENG</t>
        </is>
      </c>
      <c r="H2951" s="1" t="inlineStr">
        <is>
          <t>HAIFENG 16/06/2026</t>
        </is>
      </c>
      <c r="I2951" s="4" t="n">
        <v>3</v>
      </c>
      <c r="J2951" s="6" t="n">
        <v>2.5</v>
      </c>
      <c r="K2951" s="6" t="n">
        <v>52.53651615</v>
      </c>
      <c r="L2951" s="6">
        <f>I2951*K2951</f>
        <v/>
      </c>
      <c r="M2951" s="6">
        <f>K2951*4</f>
        <v/>
      </c>
      <c r="N2951" s="6" t="n">
        <v>400</v>
      </c>
    </row>
    <row r="2952">
      <c r="A2952" s="1" t="inlineStr">
        <is>
          <t>66176ce3090a4</t>
        </is>
      </c>
      <c r="B2952" s="1" t="inlineStr">
        <is>
          <t>ANILLO CLAVO ROSE GOLD</t>
        </is>
      </c>
      <c r="C2952" s="1" t="inlineStr">
        <is>
          <t>9 HIGH QUALITY</t>
        </is>
      </c>
      <c r="D2952" s="1" t="inlineStr">
        <is>
          <t>03/12/2025</t>
        </is>
      </c>
      <c r="E2952" s="1" t="n">
        <v>2025</v>
      </c>
      <c r="F2952" s="1" t="inlineStr">
        <is>
          <t>DICIEMBRE</t>
        </is>
      </c>
      <c r="G2952" s="1" t="inlineStr">
        <is>
          <t>HAIFENG</t>
        </is>
      </c>
      <c r="H2952" s="1" t="inlineStr">
        <is>
          <t>HAIFENG 03/12/2025</t>
        </is>
      </c>
      <c r="I2952" s="4" t="n">
        <v>1</v>
      </c>
      <c r="J2952" s="6" t="n">
        <v>2.5</v>
      </c>
      <c r="K2952" s="6" t="n">
        <v>52.29290003</v>
      </c>
      <c r="L2952" s="6">
        <f>I2952*K2952</f>
        <v/>
      </c>
      <c r="M2952" s="6">
        <f>K2952*4</f>
        <v/>
      </c>
      <c r="N2952" s="6" t="n">
        <v>400</v>
      </c>
    </row>
    <row r="2953">
      <c r="A2953" s="1" t="inlineStr">
        <is>
          <t>66176ce3090a4</t>
        </is>
      </c>
      <c r="B2953" s="1" t="inlineStr">
        <is>
          <t>ANILLO CLAVO ROSE GOLD</t>
        </is>
      </c>
      <c r="C2953" s="1" t="inlineStr">
        <is>
          <t>9 HIGH QUALITY</t>
        </is>
      </c>
      <c r="D2953" s="1" t="inlineStr">
        <is>
          <t>11/03/2026</t>
        </is>
      </c>
      <c r="E2953" s="1" t="n">
        <v>2026</v>
      </c>
      <c r="F2953" s="1" t="inlineStr">
        <is>
          <t>MARZO</t>
        </is>
      </c>
      <c r="G2953" s="1" t="inlineStr">
        <is>
          <t>HAIFENG</t>
        </is>
      </c>
      <c r="H2953" s="1" t="inlineStr">
        <is>
          <t>HAIFENG 11/03/2026</t>
        </is>
      </c>
      <c r="I2953" s="4" t="n">
        <v>2</v>
      </c>
      <c r="J2953" s="6" t="n">
        <v>2.5</v>
      </c>
      <c r="K2953" s="6" t="n">
        <v>53.25974054</v>
      </c>
      <c r="L2953" s="6">
        <f>I2953*K2953</f>
        <v/>
      </c>
      <c r="M2953" s="6">
        <f>K2953*4</f>
        <v/>
      </c>
      <c r="N2953" s="6" t="n">
        <v>400</v>
      </c>
    </row>
    <row r="2954">
      <c r="A2954" s="1" t="inlineStr">
        <is>
          <t>66176ce38fa21</t>
        </is>
      </c>
      <c r="B2954" s="1" t="inlineStr">
        <is>
          <t>ANILLO CLAVO ROSE GOLD</t>
        </is>
      </c>
      <c r="C2954" s="1" t="inlineStr">
        <is>
          <t>10 HIGH QUALITY</t>
        </is>
      </c>
      <c r="D2954" s="1" t="inlineStr">
        <is>
          <t>25/09/2025</t>
        </is>
      </c>
      <c r="E2954" s="1" t="n">
        <v>2025</v>
      </c>
      <c r="F2954" s="1" t="inlineStr">
        <is>
          <t>SEPTIEMBRE</t>
        </is>
      </c>
      <c r="G2954" s="1" t="inlineStr">
        <is>
          <t>HAIFENG</t>
        </is>
      </c>
      <c r="H2954" s="1" t="inlineStr">
        <is>
          <t>HAIFENG 25/09/2025</t>
        </is>
      </c>
      <c r="I2954" s="4" t="n">
        <v>2</v>
      </c>
      <c r="J2954" s="6" t="n">
        <v>2.5</v>
      </c>
      <c r="K2954" s="6" t="n">
        <v>52.74221442</v>
      </c>
      <c r="L2954" s="6">
        <f>I2954*K2954</f>
        <v/>
      </c>
      <c r="M2954" s="6">
        <f>K2954*4</f>
        <v/>
      </c>
      <c r="N2954" s="6" t="n">
        <v>400</v>
      </c>
    </row>
    <row r="2955">
      <c r="A2955" s="1" t="inlineStr">
        <is>
          <t>66176ce532532</t>
        </is>
      </c>
      <c r="B2955" s="1" t="inlineStr">
        <is>
          <t>ANILLO CLAVO SILVER CON ZIRCONIA</t>
        </is>
      </c>
      <c r="C2955" s="1" t="inlineStr">
        <is>
          <t>5</t>
        </is>
      </c>
      <c r="D2955" s="1" t="inlineStr">
        <is>
          <t>11/03/2026</t>
        </is>
      </c>
      <c r="E2955" s="1" t="n">
        <v>2026</v>
      </c>
      <c r="F2955" s="1" t="inlineStr">
        <is>
          <t>MARZO</t>
        </is>
      </c>
      <c r="G2955" s="1" t="inlineStr">
        <is>
          <t>HAIFENG</t>
        </is>
      </c>
      <c r="H2955" s="1" t="inlineStr">
        <is>
          <t>HAIFENG 11/03/2026</t>
        </is>
      </c>
      <c r="I2955" s="4" t="n">
        <v>2</v>
      </c>
      <c r="J2955" s="6" t="n">
        <v>2.5</v>
      </c>
      <c r="K2955" s="6" t="n">
        <v>53.25974054</v>
      </c>
      <c r="L2955" s="6">
        <f>I2955*K2955</f>
        <v/>
      </c>
      <c r="M2955" s="6">
        <f>K2955*4</f>
        <v/>
      </c>
      <c r="N2955" s="6" t="n">
        <v>450</v>
      </c>
    </row>
    <row r="2956">
      <c r="A2956" s="1" t="inlineStr">
        <is>
          <t>66176ce532532</t>
        </is>
      </c>
      <c r="B2956" s="1" t="inlineStr">
        <is>
          <t>ANILLO CLAVO SILVER CON ZIRCONIA</t>
        </is>
      </c>
      <c r="C2956" s="1" t="inlineStr">
        <is>
          <t>5</t>
        </is>
      </c>
      <c r="D2956" s="1" t="inlineStr">
        <is>
          <t>26/05/2026</t>
        </is>
      </c>
      <c r="E2956" s="1" t="n">
        <v>2026</v>
      </c>
      <c r="F2956" s="1" t="inlineStr">
        <is>
          <t>MAYO</t>
        </is>
      </c>
      <c r="G2956" s="1" t="inlineStr">
        <is>
          <t>HAIFENG</t>
        </is>
      </c>
      <c r="H2956" s="1" t="inlineStr">
        <is>
          <t>HAIFENG 26/05/2026</t>
        </is>
      </c>
      <c r="I2956" s="4" t="n">
        <v>2</v>
      </c>
      <c r="J2956" s="6" t="n">
        <v>2.5</v>
      </c>
      <c r="K2956" s="6" t="n">
        <v>52.47323824</v>
      </c>
      <c r="L2956" s="6">
        <f>I2956*K2956</f>
        <v/>
      </c>
      <c r="M2956" s="6">
        <f>K2956*4</f>
        <v/>
      </c>
      <c r="N2956" s="6" t="n">
        <v>450</v>
      </c>
    </row>
    <row r="2957">
      <c r="A2957" s="1" t="inlineStr">
        <is>
          <t>66176ce5b696e</t>
        </is>
      </c>
      <c r="B2957" s="1" t="inlineStr">
        <is>
          <t>ANILLO CLAVO SILVER CON ZIRCONIA</t>
        </is>
      </c>
      <c r="C2957" s="1" t="inlineStr">
        <is>
          <t>6</t>
        </is>
      </c>
      <c r="D2957" s="1" t="inlineStr">
        <is>
          <t>11/03/2026</t>
        </is>
      </c>
      <c r="E2957" s="1" t="n">
        <v>2026</v>
      </c>
      <c r="F2957" s="1" t="inlineStr">
        <is>
          <t>MARZO</t>
        </is>
      </c>
      <c r="G2957" s="1" t="inlineStr">
        <is>
          <t>HAIFENG</t>
        </is>
      </c>
      <c r="H2957" s="1" t="inlineStr">
        <is>
          <t>HAIFENG 11/03/2026</t>
        </is>
      </c>
      <c r="I2957" s="4" t="n">
        <v>3</v>
      </c>
      <c r="J2957" s="6" t="n">
        <v>2.5</v>
      </c>
      <c r="K2957" s="6" t="n">
        <v>53.25974054</v>
      </c>
      <c r="L2957" s="6">
        <f>I2957*K2957</f>
        <v/>
      </c>
      <c r="M2957" s="6">
        <f>K2957*4</f>
        <v/>
      </c>
      <c r="N2957" s="6" t="n">
        <v>292</v>
      </c>
    </row>
    <row r="2958">
      <c r="A2958" s="1" t="inlineStr">
        <is>
          <t>66176ce64d96f</t>
        </is>
      </c>
      <c r="B2958" s="1" t="inlineStr">
        <is>
          <t>ANILLO CLAVO SILVER CON ZIRCONIA</t>
        </is>
      </c>
      <c r="C2958" s="1" t="inlineStr">
        <is>
          <t>7</t>
        </is>
      </c>
      <c r="D2958" s="1" t="inlineStr">
        <is>
          <t>11/03/2026</t>
        </is>
      </c>
      <c r="E2958" s="1" t="n">
        <v>2026</v>
      </c>
      <c r="F2958" s="1" t="inlineStr">
        <is>
          <t>MARZO</t>
        </is>
      </c>
      <c r="G2958" s="1" t="inlineStr">
        <is>
          <t>HAIFENG</t>
        </is>
      </c>
      <c r="H2958" s="1" t="inlineStr">
        <is>
          <t>HAIFENG 11/03/2026</t>
        </is>
      </c>
      <c r="I2958" s="4" t="n">
        <v>10</v>
      </c>
      <c r="J2958" s="6" t="n">
        <v>2.5</v>
      </c>
      <c r="K2958" s="6" t="n">
        <v>53.25974054</v>
      </c>
      <c r="L2958" s="6">
        <f>I2958*K2958</f>
        <v/>
      </c>
      <c r="M2958" s="6">
        <f>K2958*4</f>
        <v/>
      </c>
      <c r="N2958" s="6" t="n">
        <v>450</v>
      </c>
    </row>
    <row r="2959">
      <c r="A2959" s="1" t="inlineStr">
        <is>
          <t>66176ce6d29ca</t>
        </is>
      </c>
      <c r="B2959" s="1" t="inlineStr">
        <is>
          <t>ANILLO CLAVO SILVER CON ZIRCONIA</t>
        </is>
      </c>
      <c r="C2959" s="1" t="inlineStr">
        <is>
          <t>8</t>
        </is>
      </c>
      <c r="D2959" s="1" t="inlineStr">
        <is>
          <t>11/03/2026</t>
        </is>
      </c>
      <c r="E2959" s="1" t="n">
        <v>2026</v>
      </c>
      <c r="F2959" s="1" t="inlineStr">
        <is>
          <t>MARZO</t>
        </is>
      </c>
      <c r="G2959" s="1" t="inlineStr">
        <is>
          <t>HAIFENG</t>
        </is>
      </c>
      <c r="H2959" s="1" t="inlineStr">
        <is>
          <t>HAIFENG 11/03/2026</t>
        </is>
      </c>
      <c r="I2959" s="4" t="n">
        <v>2</v>
      </c>
      <c r="J2959" s="6" t="n">
        <v>2.5</v>
      </c>
      <c r="K2959" s="6" t="n">
        <v>53.25974054</v>
      </c>
      <c r="L2959" s="6">
        <f>I2959*K2959</f>
        <v/>
      </c>
      <c r="M2959" s="6">
        <f>K2959*4</f>
        <v/>
      </c>
      <c r="N2959" s="6" t="n">
        <v>292</v>
      </c>
    </row>
    <row r="2960">
      <c r="A2960" s="1" t="inlineStr">
        <is>
          <t>66176e5ecde32</t>
        </is>
      </c>
      <c r="B2960" s="1" t="inlineStr">
        <is>
          <t>ANILLO CLASH GOLD</t>
        </is>
      </c>
      <c r="C2960" s="1" t="inlineStr">
        <is>
          <t>5</t>
        </is>
      </c>
      <c r="D2960" s="1" t="inlineStr">
        <is>
          <t>16/06/2026</t>
        </is>
      </c>
      <c r="E2960" s="1" t="n">
        <v>2026</v>
      </c>
      <c r="F2960" s="1" t="inlineStr">
        <is>
          <t>JUNIO</t>
        </is>
      </c>
      <c r="G2960" s="1" t="inlineStr">
        <is>
          <t>HAIFENG</t>
        </is>
      </c>
      <c r="H2960" s="1" t="inlineStr">
        <is>
          <t>HAIFENG 16/06/2026</t>
        </is>
      </c>
      <c r="I2960" s="4" t="n">
        <v>2</v>
      </c>
      <c r="J2960" s="6" t="n">
        <v>10</v>
      </c>
      <c r="K2960" s="6" t="n">
        <v>210.1460646</v>
      </c>
      <c r="L2960" s="6">
        <f>I2960*K2960</f>
        <v/>
      </c>
      <c r="M2960" s="6">
        <f>K2960*4</f>
        <v/>
      </c>
      <c r="N2960" s="6" t="n">
        <v>850</v>
      </c>
    </row>
    <row r="2961">
      <c r="A2961" s="1" t="inlineStr">
        <is>
          <t>66176e5ee773d</t>
        </is>
      </c>
      <c r="B2961" s="1" t="inlineStr">
        <is>
          <t>ANILLO CLASH ROSEGOLD</t>
        </is>
      </c>
      <c r="C2961" s="1" t="inlineStr">
        <is>
          <t>5</t>
        </is>
      </c>
      <c r="D2961" s="1" t="inlineStr">
        <is>
          <t>11/11/2025</t>
        </is>
      </c>
      <c r="E2961" s="1" t="n">
        <v>2025</v>
      </c>
      <c r="F2961" s="1" t="inlineStr">
        <is>
          <t>NOVIEMBRE</t>
        </is>
      </c>
      <c r="G2961" s="1" t="inlineStr">
        <is>
          <t>HAIFENG</t>
        </is>
      </c>
      <c r="H2961" s="1" t="inlineStr">
        <is>
          <t>HAIFENG 11/11/2025</t>
        </is>
      </c>
      <c r="I2961" s="4" t="n">
        <v>2</v>
      </c>
      <c r="J2961" s="6" t="n">
        <v>10</v>
      </c>
      <c r="K2961" s="6" t="n">
        <v>210.6049844</v>
      </c>
      <c r="L2961" s="6">
        <f>I2961*K2961</f>
        <v/>
      </c>
      <c r="M2961" s="6">
        <f>K2961*4</f>
        <v/>
      </c>
      <c r="N2961" s="6" t="n">
        <v>850</v>
      </c>
    </row>
    <row r="2962">
      <c r="A2962" s="1" t="inlineStr">
        <is>
          <t>66176e5ee773d</t>
        </is>
      </c>
      <c r="B2962" s="1" t="inlineStr">
        <is>
          <t>ANILLO CLASH ROSEGOLD</t>
        </is>
      </c>
      <c r="C2962" s="1" t="inlineStr">
        <is>
          <t>5</t>
        </is>
      </c>
      <c r="D2962" s="1" t="inlineStr">
        <is>
          <t>10/02/2026</t>
        </is>
      </c>
      <c r="E2962" s="1" t="n">
        <v>2026</v>
      </c>
      <c r="F2962" s="1" t="inlineStr">
        <is>
          <t>FEBRERO</t>
        </is>
      </c>
      <c r="G2962" s="1" t="inlineStr">
        <is>
          <t>HAIFENG</t>
        </is>
      </c>
      <c r="H2962" s="1" t="inlineStr">
        <is>
          <t>HAIFENG 10/02/2026</t>
        </is>
      </c>
      <c r="I2962" s="4" t="n">
        <v>2</v>
      </c>
      <c r="J2962" s="6" t="n">
        <v>10</v>
      </c>
      <c r="K2962" s="6" t="n">
        <v>210.6849607</v>
      </c>
      <c r="L2962" s="6">
        <f>I2962*K2962</f>
        <v/>
      </c>
      <c r="M2962" s="6">
        <f>K2962*4</f>
        <v/>
      </c>
      <c r="N2962" s="6" t="n">
        <v>850</v>
      </c>
    </row>
    <row r="2963">
      <c r="A2963" s="1" t="inlineStr">
        <is>
          <t>66176e5ee773d</t>
        </is>
      </c>
      <c r="B2963" s="1" t="inlineStr">
        <is>
          <t>ANILLO CLASH ROSEGOLD</t>
        </is>
      </c>
      <c r="C2963" s="1" t="inlineStr">
        <is>
          <t>5</t>
        </is>
      </c>
      <c r="D2963" s="1" t="inlineStr">
        <is>
          <t>16/04/2026</t>
        </is>
      </c>
      <c r="E2963" s="1" t="n">
        <v>2026</v>
      </c>
      <c r="F2963" s="1" t="inlineStr">
        <is>
          <t>ABRIL</t>
        </is>
      </c>
      <c r="G2963" s="1" t="inlineStr">
        <is>
          <t>HAIFENG</t>
        </is>
      </c>
      <c r="H2963" s="1" t="inlineStr">
        <is>
          <t>HAIFENG 16/04/2026</t>
        </is>
      </c>
      <c r="I2963" s="4" t="n">
        <v>2</v>
      </c>
      <c r="J2963" s="6" t="n">
        <v>10</v>
      </c>
      <c r="K2963" s="6" t="n">
        <v>210.3147359</v>
      </c>
      <c r="L2963" s="6">
        <f>I2963*K2963</f>
        <v/>
      </c>
      <c r="M2963" s="6">
        <f>K2963*4</f>
        <v/>
      </c>
      <c r="N2963" s="6" t="n">
        <v>850</v>
      </c>
    </row>
    <row r="2964">
      <c r="A2964" s="1" t="inlineStr">
        <is>
          <t>66176e5f7392c</t>
        </is>
      </c>
      <c r="B2964" s="1" t="inlineStr">
        <is>
          <t>ANILLO CLASH GOLD</t>
        </is>
      </c>
      <c r="C2964" s="1" t="inlineStr">
        <is>
          <t>6</t>
        </is>
      </c>
      <c r="D2964" s="1" t="inlineStr">
        <is>
          <t>01/09/2025</t>
        </is>
      </c>
      <c r="E2964" s="1" t="n">
        <v>2025</v>
      </c>
      <c r="F2964" s="1" t="inlineStr">
        <is>
          <t>SEPTIEMBRE</t>
        </is>
      </c>
      <c r="G2964" s="1" t="inlineStr">
        <is>
          <t>HAIFENG</t>
        </is>
      </c>
      <c r="H2964" s="1" t="inlineStr">
        <is>
          <t>HAIFENG 01/09/2025</t>
        </is>
      </c>
      <c r="I2964" s="4" t="n">
        <v>3</v>
      </c>
      <c r="J2964" s="6" t="n">
        <v>10</v>
      </c>
      <c r="K2964" s="6" t="n">
        <v>212.5567106</v>
      </c>
      <c r="L2964" s="6">
        <f>I2964*K2964</f>
        <v/>
      </c>
      <c r="M2964" s="6">
        <f>K2964*4</f>
        <v/>
      </c>
      <c r="N2964" s="6" t="n">
        <v>850</v>
      </c>
    </row>
    <row r="2965">
      <c r="A2965" s="1" t="inlineStr">
        <is>
          <t>66176e5f7392c</t>
        </is>
      </c>
      <c r="B2965" s="1" t="inlineStr">
        <is>
          <t>ANILLO CLASH GOLD</t>
        </is>
      </c>
      <c r="C2965" s="1" t="inlineStr">
        <is>
          <t>6</t>
        </is>
      </c>
      <c r="D2965" s="1" t="inlineStr">
        <is>
          <t>20/01/2026</t>
        </is>
      </c>
      <c r="E2965" s="1" t="n">
        <v>2026</v>
      </c>
      <c r="F2965" s="1" t="inlineStr">
        <is>
          <t>ENERO</t>
        </is>
      </c>
      <c r="G2965" s="1" t="inlineStr">
        <is>
          <t>HAIFENG</t>
        </is>
      </c>
      <c r="H2965" s="1" t="inlineStr">
        <is>
          <t>HAIFENG 20/01/2026</t>
        </is>
      </c>
      <c r="I2965" s="4" t="n">
        <v>1</v>
      </c>
      <c r="J2965" s="6" t="n">
        <v>10</v>
      </c>
      <c r="K2965" s="6" t="n">
        <v>212.0041779</v>
      </c>
      <c r="L2965" s="6">
        <f>I2965*K2965</f>
        <v/>
      </c>
      <c r="M2965" s="6">
        <f>K2965*4</f>
        <v/>
      </c>
      <c r="N2965" s="6" t="n">
        <v>850</v>
      </c>
    </row>
    <row r="2966">
      <c r="A2966" s="1" t="inlineStr">
        <is>
          <t>66176e5f7392c</t>
        </is>
      </c>
      <c r="B2966" s="1" t="inlineStr">
        <is>
          <t>ANILLO CLASH GOLD</t>
        </is>
      </c>
      <c r="C2966" s="1" t="inlineStr">
        <is>
          <t>6</t>
        </is>
      </c>
      <c r="D2966" s="1" t="inlineStr">
        <is>
          <t>16/04/2026</t>
        </is>
      </c>
      <c r="E2966" s="1" t="n">
        <v>2026</v>
      </c>
      <c r="F2966" s="1" t="inlineStr">
        <is>
          <t>ABRIL</t>
        </is>
      </c>
      <c r="G2966" s="1" t="inlineStr">
        <is>
          <t>HAIFENG</t>
        </is>
      </c>
      <c r="H2966" s="1" t="inlineStr">
        <is>
          <t>HAIFENG 16/04/2026</t>
        </is>
      </c>
      <c r="I2966" s="4" t="n">
        <v>2</v>
      </c>
      <c r="J2966" s="6" t="n">
        <v>10</v>
      </c>
      <c r="K2966" s="6" t="n">
        <v>210.3147359</v>
      </c>
      <c r="L2966" s="6">
        <f>I2966*K2966</f>
        <v/>
      </c>
      <c r="M2966" s="6">
        <f>K2966*4</f>
        <v/>
      </c>
      <c r="N2966" s="6" t="n">
        <v>850</v>
      </c>
    </row>
    <row r="2967">
      <c r="A2967" s="1" t="inlineStr">
        <is>
          <t>66176e5f7392c</t>
        </is>
      </c>
      <c r="B2967" s="1" t="inlineStr">
        <is>
          <t>ANILLO CLASH GOLD</t>
        </is>
      </c>
      <c r="C2967" s="1" t="inlineStr">
        <is>
          <t>6</t>
        </is>
      </c>
      <c r="D2967" s="1" t="inlineStr">
        <is>
          <t>16/06/2026</t>
        </is>
      </c>
      <c r="E2967" s="1" t="n">
        <v>2026</v>
      </c>
      <c r="F2967" s="1" t="inlineStr">
        <is>
          <t>JUNIO</t>
        </is>
      </c>
      <c r="G2967" s="1" t="inlineStr">
        <is>
          <t>HAIFENG</t>
        </is>
      </c>
      <c r="H2967" s="1" t="inlineStr">
        <is>
          <t>HAIFENG 16/06/2026</t>
        </is>
      </c>
      <c r="I2967" s="4" t="n">
        <v>2</v>
      </c>
      <c r="J2967" s="6" t="n">
        <v>10</v>
      </c>
      <c r="K2967" s="6" t="n">
        <v>210.1460646</v>
      </c>
      <c r="L2967" s="6">
        <f>I2967*K2967</f>
        <v/>
      </c>
      <c r="M2967" s="6">
        <f>K2967*4</f>
        <v/>
      </c>
      <c r="N2967" s="6" t="n">
        <v>850</v>
      </c>
    </row>
    <row r="2968">
      <c r="A2968" s="1" t="inlineStr">
        <is>
          <t>66176e5f8fac7</t>
        </is>
      </c>
      <c r="B2968" s="1" t="inlineStr">
        <is>
          <t>ANILLO CLASH ROSEGOLD</t>
        </is>
      </c>
      <c r="C2968" s="1" t="inlineStr">
        <is>
          <t>6</t>
        </is>
      </c>
      <c r="D2968" s="1" t="inlineStr">
        <is>
          <t>01/09/2025</t>
        </is>
      </c>
      <c r="E2968" s="1" t="n">
        <v>2025</v>
      </c>
      <c r="F2968" s="1" t="inlineStr">
        <is>
          <t>SEPTIEMBRE</t>
        </is>
      </c>
      <c r="G2968" s="1" t="inlineStr">
        <is>
          <t>HAIFENG</t>
        </is>
      </c>
      <c r="H2968" s="1" t="inlineStr">
        <is>
          <t>HAIFENG 01/09/2025</t>
        </is>
      </c>
      <c r="I2968" s="4" t="n">
        <v>3</v>
      </c>
      <c r="J2968" s="6" t="n">
        <v>10</v>
      </c>
      <c r="K2968" s="6" t="n">
        <v>212.5567106</v>
      </c>
      <c r="L2968" s="6">
        <f>I2968*K2968</f>
        <v/>
      </c>
      <c r="M2968" s="6">
        <f>K2968*4</f>
        <v/>
      </c>
      <c r="N2968" s="6" t="n">
        <v>850</v>
      </c>
    </row>
    <row r="2969">
      <c r="A2969" s="1" t="inlineStr">
        <is>
          <t>66176e5f8fac7</t>
        </is>
      </c>
      <c r="B2969" s="1" t="inlineStr">
        <is>
          <t>ANILLO CLASH ROSEGOLD</t>
        </is>
      </c>
      <c r="C2969" s="1" t="inlineStr">
        <is>
          <t>6</t>
        </is>
      </c>
      <c r="D2969" s="1" t="inlineStr">
        <is>
          <t>11/11/2025</t>
        </is>
      </c>
      <c r="E2969" s="1" t="n">
        <v>2025</v>
      </c>
      <c r="F2969" s="1" t="inlineStr">
        <is>
          <t>NOVIEMBRE</t>
        </is>
      </c>
      <c r="G2969" s="1" t="inlineStr">
        <is>
          <t>HAIFENG</t>
        </is>
      </c>
      <c r="H2969" s="1" t="inlineStr">
        <is>
          <t>HAIFENG 11/11/2025</t>
        </is>
      </c>
      <c r="I2969" s="4" t="n">
        <v>3</v>
      </c>
      <c r="J2969" s="6" t="n">
        <v>10</v>
      </c>
      <c r="K2969" s="6" t="n">
        <v>210.6049844</v>
      </c>
      <c r="L2969" s="6">
        <f>I2969*K2969</f>
        <v/>
      </c>
      <c r="M2969" s="6">
        <f>K2969*4</f>
        <v/>
      </c>
      <c r="N2969" s="6" t="n">
        <v>850</v>
      </c>
    </row>
    <row r="2970">
      <c r="A2970" s="1" t="inlineStr">
        <is>
          <t>66176e5f8fac7</t>
        </is>
      </c>
      <c r="B2970" s="1" t="inlineStr">
        <is>
          <t>ANILLO CLASH ROSEGOLD</t>
        </is>
      </c>
      <c r="C2970" s="1" t="inlineStr">
        <is>
          <t>6</t>
        </is>
      </c>
      <c r="D2970" s="1" t="inlineStr">
        <is>
          <t>11/11/2025</t>
        </is>
      </c>
      <c r="E2970" s="1" t="n">
        <v>2025</v>
      </c>
      <c r="F2970" s="1" t="inlineStr">
        <is>
          <t>NOVIEMBRE</t>
        </is>
      </c>
      <c r="G2970" s="1" t="inlineStr">
        <is>
          <t>HAIFENG</t>
        </is>
      </c>
      <c r="H2970" s="1" t="inlineStr">
        <is>
          <t>HAIFENG 11/11/2025</t>
        </is>
      </c>
      <c r="I2970" s="4" t="n">
        <v>2</v>
      </c>
      <c r="J2970" s="6" t="n">
        <v>10</v>
      </c>
      <c r="K2970" s="6" t="n">
        <v>210.6049844</v>
      </c>
      <c r="L2970" s="6">
        <f>I2970*K2970</f>
        <v/>
      </c>
      <c r="M2970" s="6">
        <f>K2970*4</f>
        <v/>
      </c>
      <c r="N2970" s="6" t="n">
        <v>850</v>
      </c>
    </row>
    <row r="2971">
      <c r="A2971" s="1" t="inlineStr">
        <is>
          <t>66176e5f8fac7</t>
        </is>
      </c>
      <c r="B2971" s="1" t="n"/>
      <c r="C2971" s="1" t="inlineStr">
        <is>
          <t>6</t>
        </is>
      </c>
      <c r="D2971" s="1" t="inlineStr">
        <is>
          <t>10/02/2026</t>
        </is>
      </c>
      <c r="E2971" s="1" t="n">
        <v>2026</v>
      </c>
      <c r="F2971" s="1" t="inlineStr">
        <is>
          <t>FEBRERO</t>
        </is>
      </c>
      <c r="G2971" s="1" t="inlineStr">
        <is>
          <t>HAIFENG</t>
        </is>
      </c>
      <c r="H2971" s="1" t="inlineStr">
        <is>
          <t>HAIFENG 10/02/2026</t>
        </is>
      </c>
      <c r="I2971" s="4" t="n">
        <v>1</v>
      </c>
      <c r="J2971" s="6" t="n">
        <v>10</v>
      </c>
      <c r="K2971" s="6" t="n">
        <v>210.6849607</v>
      </c>
      <c r="L2971" s="6">
        <f>I2971*K2971</f>
        <v/>
      </c>
      <c r="M2971" s="6">
        <f>K2971*4</f>
        <v/>
      </c>
      <c r="N2971" s="6" t="n">
        <v>850</v>
      </c>
    </row>
    <row r="2972">
      <c r="A2972" s="1" t="inlineStr">
        <is>
          <t>66176e5f8fac7</t>
        </is>
      </c>
      <c r="B2972" s="1" t="inlineStr">
        <is>
          <t>ANILLO CLASH ROSEGOLD</t>
        </is>
      </c>
      <c r="C2972" s="1" t="inlineStr">
        <is>
          <t>6</t>
        </is>
      </c>
      <c r="D2972" s="1" t="inlineStr">
        <is>
          <t>16/06/2026</t>
        </is>
      </c>
      <c r="E2972" s="1" t="n">
        <v>2026</v>
      </c>
      <c r="F2972" s="1" t="inlineStr">
        <is>
          <t>JUNIO</t>
        </is>
      </c>
      <c r="G2972" s="1" t="inlineStr">
        <is>
          <t>HAIFENG</t>
        </is>
      </c>
      <c r="H2972" s="1" t="inlineStr">
        <is>
          <t>HAIFENG 16/06/2026</t>
        </is>
      </c>
      <c r="I2972" s="4" t="n">
        <v>3</v>
      </c>
      <c r="J2972" s="6" t="n">
        <v>10</v>
      </c>
      <c r="K2972" s="6" t="n">
        <v>210.1460646</v>
      </c>
      <c r="L2972" s="6">
        <f>I2972*K2972</f>
        <v/>
      </c>
      <c r="M2972" s="6">
        <f>K2972*4</f>
        <v/>
      </c>
      <c r="N2972" s="6" t="n">
        <v>850</v>
      </c>
    </row>
    <row r="2973">
      <c r="A2973" s="1" t="inlineStr">
        <is>
          <t>66176e6009ab0</t>
        </is>
      </c>
      <c r="B2973" s="1" t="inlineStr">
        <is>
          <t>ANILLO CLASH GOLD</t>
        </is>
      </c>
      <c r="C2973" s="1" t="inlineStr">
        <is>
          <t>7</t>
        </is>
      </c>
      <c r="D2973" s="1" t="inlineStr">
        <is>
          <t>01/09/2025</t>
        </is>
      </c>
      <c r="E2973" s="1" t="n">
        <v>2025</v>
      </c>
      <c r="F2973" s="1" t="inlineStr">
        <is>
          <t>SEPTIEMBRE</t>
        </is>
      </c>
      <c r="G2973" s="1" t="inlineStr">
        <is>
          <t>HAIFENG</t>
        </is>
      </c>
      <c r="H2973" s="1" t="inlineStr">
        <is>
          <t>HAIFENG 01/09/2025</t>
        </is>
      </c>
      <c r="I2973" s="4" t="n">
        <v>3</v>
      </c>
      <c r="J2973" s="6" t="n">
        <v>10</v>
      </c>
      <c r="K2973" s="6" t="n">
        <v>212.5567106</v>
      </c>
      <c r="L2973" s="6">
        <f>I2973*K2973</f>
        <v/>
      </c>
      <c r="M2973" s="6">
        <f>K2973*4</f>
        <v/>
      </c>
      <c r="N2973" s="6" t="n">
        <v>850</v>
      </c>
    </row>
    <row r="2974">
      <c r="A2974" s="1" t="inlineStr">
        <is>
          <t>66176e6009ab0</t>
        </is>
      </c>
      <c r="B2974" s="1" t="inlineStr">
        <is>
          <t>ANILLO CLASH GOLD</t>
        </is>
      </c>
      <c r="C2974" s="1" t="inlineStr">
        <is>
          <t>7</t>
        </is>
      </c>
      <c r="D2974" s="1" t="inlineStr">
        <is>
          <t>20/01/2026</t>
        </is>
      </c>
      <c r="E2974" s="1" t="n">
        <v>2026</v>
      </c>
      <c r="F2974" s="1" t="inlineStr">
        <is>
          <t>ENERO</t>
        </is>
      </c>
      <c r="G2974" s="1" t="inlineStr">
        <is>
          <t>HAIFENG</t>
        </is>
      </c>
      <c r="H2974" s="1" t="inlineStr">
        <is>
          <t>HAIFENG 20/01/2026</t>
        </is>
      </c>
      <c r="I2974" s="4" t="n">
        <v>1</v>
      </c>
      <c r="J2974" s="6" t="n">
        <v>10</v>
      </c>
      <c r="K2974" s="6" t="n">
        <v>212.0041779</v>
      </c>
      <c r="L2974" s="6">
        <f>I2974*K2974</f>
        <v/>
      </c>
      <c r="M2974" s="6">
        <f>K2974*4</f>
        <v/>
      </c>
      <c r="N2974" s="6" t="n">
        <v>850</v>
      </c>
    </row>
    <row r="2975">
      <c r="A2975" s="1" t="inlineStr">
        <is>
          <t>66176e6009ab0</t>
        </is>
      </c>
      <c r="B2975" s="1" t="inlineStr">
        <is>
          <t>ANILLO CLASH GOLD</t>
        </is>
      </c>
      <c r="C2975" s="1" t="inlineStr">
        <is>
          <t>7</t>
        </is>
      </c>
      <c r="D2975" s="1" t="inlineStr">
        <is>
          <t>11/03/2026</t>
        </is>
      </c>
      <c r="E2975" s="1" t="n">
        <v>2026</v>
      </c>
      <c r="F2975" s="1" t="inlineStr">
        <is>
          <t>MARZO</t>
        </is>
      </c>
      <c r="G2975" s="1" t="inlineStr">
        <is>
          <t>HAIFENG</t>
        </is>
      </c>
      <c r="H2975" s="1" t="inlineStr">
        <is>
          <t>HAIFENG 11/03/2026</t>
        </is>
      </c>
      <c r="I2975" s="4" t="n">
        <v>5</v>
      </c>
      <c r="J2975" s="6" t="n">
        <v>10</v>
      </c>
      <c r="K2975" s="6" t="n">
        <v>213.0389622</v>
      </c>
      <c r="L2975" s="6">
        <f>I2975*K2975</f>
        <v/>
      </c>
      <c r="M2975" s="6">
        <f>K2975*4</f>
        <v/>
      </c>
      <c r="N2975" s="6" t="n">
        <v>850</v>
      </c>
    </row>
    <row r="2976">
      <c r="A2976" s="1" t="inlineStr">
        <is>
          <t>66176e6009ab0</t>
        </is>
      </c>
      <c r="B2976" s="1" t="inlineStr">
        <is>
          <t>ANILLO CLASH GOLD</t>
        </is>
      </c>
      <c r="C2976" s="1" t="inlineStr">
        <is>
          <t>7</t>
        </is>
      </c>
      <c r="D2976" s="1" t="inlineStr">
        <is>
          <t>16/06/2026</t>
        </is>
      </c>
      <c r="E2976" s="1" t="n">
        <v>2026</v>
      </c>
      <c r="F2976" s="1" t="inlineStr">
        <is>
          <t>JUNIO</t>
        </is>
      </c>
      <c r="G2976" s="1" t="inlineStr">
        <is>
          <t>HAIFENG</t>
        </is>
      </c>
      <c r="H2976" s="1" t="inlineStr">
        <is>
          <t>HAIFENG 16/06/2026</t>
        </is>
      </c>
      <c r="I2976" s="4" t="n">
        <v>2</v>
      </c>
      <c r="J2976" s="6" t="n">
        <v>10</v>
      </c>
      <c r="K2976" s="6" t="n">
        <v>210.1460646</v>
      </c>
      <c r="L2976" s="6">
        <f>I2976*K2976</f>
        <v/>
      </c>
      <c r="M2976" s="6">
        <f>K2976*4</f>
        <v/>
      </c>
      <c r="N2976" s="6" t="n">
        <v>850</v>
      </c>
    </row>
    <row r="2977">
      <c r="A2977" s="1" t="inlineStr">
        <is>
          <t>66176e602b0bf</t>
        </is>
      </c>
      <c r="B2977" s="1" t="inlineStr">
        <is>
          <t>ANILLO CLASH ROSEGOLD</t>
        </is>
      </c>
      <c r="C2977" s="1" t="inlineStr">
        <is>
          <t>7</t>
        </is>
      </c>
      <c r="D2977" s="1" t="inlineStr">
        <is>
          <t>25/09/2025</t>
        </is>
      </c>
      <c r="E2977" s="1" t="n">
        <v>2025</v>
      </c>
      <c r="F2977" s="1" t="inlineStr">
        <is>
          <t>SEPTIEMBRE</t>
        </is>
      </c>
      <c r="G2977" s="1" t="inlineStr">
        <is>
          <t>HAIFENG</t>
        </is>
      </c>
      <c r="H2977" s="1" t="inlineStr">
        <is>
          <t>HAIFENG 25/09/2025</t>
        </is>
      </c>
      <c r="I2977" s="4" t="n">
        <v>3</v>
      </c>
      <c r="J2977" s="6" t="n">
        <v>10</v>
      </c>
      <c r="K2977" s="6" t="n">
        <v>210.9688577</v>
      </c>
      <c r="L2977" s="6">
        <f>I2977*K2977</f>
        <v/>
      </c>
      <c r="M2977" s="6">
        <f>K2977*4</f>
        <v/>
      </c>
      <c r="N2977" s="6" t="n">
        <v>850</v>
      </c>
    </row>
    <row r="2978">
      <c r="A2978" s="1" t="inlineStr">
        <is>
          <t>66176e602b0bf</t>
        </is>
      </c>
      <c r="B2978" s="1" t="inlineStr">
        <is>
          <t>ANILLO CLASH ROSEGOLD</t>
        </is>
      </c>
      <c r="C2978" s="1" t="inlineStr">
        <is>
          <t>7</t>
        </is>
      </c>
      <c r="D2978" s="1" t="inlineStr">
        <is>
          <t>03/12/2025</t>
        </is>
      </c>
      <c r="E2978" s="1" t="n">
        <v>2025</v>
      </c>
      <c r="F2978" s="1" t="inlineStr">
        <is>
          <t>DICIEMBRE</t>
        </is>
      </c>
      <c r="G2978" s="1" t="inlineStr">
        <is>
          <t>HAIFENG</t>
        </is>
      </c>
      <c r="H2978" s="1" t="inlineStr">
        <is>
          <t>HAIFENG 03/12/2025</t>
        </is>
      </c>
      <c r="I2978" s="4" t="n">
        <v>1</v>
      </c>
      <c r="J2978" s="6" t="n">
        <v>10</v>
      </c>
      <c r="K2978" s="6" t="n">
        <v>209.1716001</v>
      </c>
      <c r="L2978" s="6">
        <f>I2978*K2978</f>
        <v/>
      </c>
      <c r="M2978" s="6">
        <f>K2978*4</f>
        <v/>
      </c>
      <c r="N2978" s="6" t="n">
        <v>850</v>
      </c>
    </row>
    <row r="2979">
      <c r="A2979" s="1" t="inlineStr">
        <is>
          <t>66176e602b0bf</t>
        </is>
      </c>
      <c r="B2979" s="1" t="inlineStr">
        <is>
          <t>ANILLO CLASH ROSEGOLD</t>
        </is>
      </c>
      <c r="C2979" s="1" t="inlineStr">
        <is>
          <t>7</t>
        </is>
      </c>
      <c r="D2979" s="1" t="inlineStr">
        <is>
          <t>20/01/2026</t>
        </is>
      </c>
      <c r="E2979" s="1" t="n">
        <v>2026</v>
      </c>
      <c r="F2979" s="1" t="inlineStr">
        <is>
          <t>ENERO</t>
        </is>
      </c>
      <c r="G2979" s="1" t="inlineStr">
        <is>
          <t>HAIFENG</t>
        </is>
      </c>
      <c r="H2979" s="1" t="inlineStr">
        <is>
          <t>HAIFENG 20/01/2026</t>
        </is>
      </c>
      <c r="I2979" s="4" t="n">
        <v>1</v>
      </c>
      <c r="J2979" s="6" t="n">
        <v>10</v>
      </c>
      <c r="K2979" s="6" t="n">
        <v>212.0041779</v>
      </c>
      <c r="L2979" s="6">
        <f>I2979*K2979</f>
        <v/>
      </c>
      <c r="M2979" s="6">
        <f>K2979*4</f>
        <v/>
      </c>
      <c r="N2979" s="6" t="n">
        <v>850</v>
      </c>
    </row>
    <row r="2980">
      <c r="A2980" s="1" t="inlineStr">
        <is>
          <t>66176e602b0bf</t>
        </is>
      </c>
      <c r="B2980" s="1" t="inlineStr">
        <is>
          <t>ANILLO CLASH ROSEGOLD</t>
        </is>
      </c>
      <c r="C2980" s="1" t="inlineStr">
        <is>
          <t>7</t>
        </is>
      </c>
      <c r="D2980" s="1" t="inlineStr">
        <is>
          <t>16/04/2026</t>
        </is>
      </c>
      <c r="E2980" s="1" t="n">
        <v>2026</v>
      </c>
      <c r="F2980" s="1" t="inlineStr">
        <is>
          <t>ABRIL</t>
        </is>
      </c>
      <c r="G2980" s="1" t="inlineStr">
        <is>
          <t>HAIFENG</t>
        </is>
      </c>
      <c r="H2980" s="1" t="inlineStr">
        <is>
          <t>HAIFENG 16/04/2026</t>
        </is>
      </c>
      <c r="I2980" s="4" t="n">
        <v>1</v>
      </c>
      <c r="J2980" s="6" t="n">
        <v>10</v>
      </c>
      <c r="K2980" s="6" t="n">
        <v>210.3147359</v>
      </c>
      <c r="L2980" s="6">
        <f>I2980*K2980</f>
        <v/>
      </c>
      <c r="M2980" s="6">
        <f>K2980*4</f>
        <v/>
      </c>
      <c r="N2980" s="6" t="n">
        <v>850</v>
      </c>
    </row>
    <row r="2981">
      <c r="A2981" s="1" t="inlineStr">
        <is>
          <t>66176e602b0bf</t>
        </is>
      </c>
      <c r="B2981" s="1" t="inlineStr">
        <is>
          <t>ANILLO CLASH ROSEGOLD</t>
        </is>
      </c>
      <c r="C2981" s="1" t="inlineStr">
        <is>
          <t>7</t>
        </is>
      </c>
      <c r="D2981" s="1" t="inlineStr">
        <is>
          <t>06/05/2026</t>
        </is>
      </c>
      <c r="E2981" s="1" t="n">
        <v>2026</v>
      </c>
      <c r="F2981" s="1" t="inlineStr">
        <is>
          <t>MAYO</t>
        </is>
      </c>
      <c r="G2981" s="1" t="inlineStr">
        <is>
          <t>HAIFENG</t>
        </is>
      </c>
      <c r="H2981" s="1" t="inlineStr">
        <is>
          <t>HAIFENG 06/05/2026</t>
        </is>
      </c>
      <c r="I2981" s="4" t="n">
        <v>2</v>
      </c>
      <c r="J2981" s="6" t="n">
        <v>10</v>
      </c>
      <c r="K2981" s="6" t="n">
        <v>212.1864227</v>
      </c>
      <c r="L2981" s="6">
        <f>I2981*K2981</f>
        <v/>
      </c>
      <c r="M2981" s="6">
        <f>K2981*4</f>
        <v/>
      </c>
      <c r="N2981" s="6" t="n">
        <v>850</v>
      </c>
    </row>
    <row r="2982">
      <c r="A2982" s="1" t="inlineStr">
        <is>
          <t>66176e609b95a</t>
        </is>
      </c>
      <c r="B2982" s="1" t="inlineStr">
        <is>
          <t>ANILLO CLASH GOLD</t>
        </is>
      </c>
      <c r="C2982" s="1" t="inlineStr">
        <is>
          <t>8</t>
        </is>
      </c>
      <c r="D2982" s="1" t="inlineStr">
        <is>
          <t>25/09/2025</t>
        </is>
      </c>
      <c r="E2982" s="1" t="n">
        <v>2025</v>
      </c>
      <c r="F2982" s="1" t="inlineStr">
        <is>
          <t>SEPTIEMBRE</t>
        </is>
      </c>
      <c r="G2982" s="1" t="inlineStr">
        <is>
          <t>HAIFENG</t>
        </is>
      </c>
      <c r="H2982" s="1" t="inlineStr">
        <is>
          <t>HAIFENG 25/09/2025</t>
        </is>
      </c>
      <c r="I2982" s="4" t="n">
        <v>2</v>
      </c>
      <c r="J2982" s="6" t="n">
        <v>10</v>
      </c>
      <c r="K2982" s="6" t="n">
        <v>210.9688577</v>
      </c>
      <c r="L2982" s="6">
        <f>I2982*K2982</f>
        <v/>
      </c>
      <c r="M2982" s="6">
        <f>K2982*4</f>
        <v/>
      </c>
      <c r="N2982" s="6" t="n">
        <v>850</v>
      </c>
    </row>
    <row r="2983">
      <c r="A2983" s="1" t="inlineStr">
        <is>
          <t>66176e609b95a</t>
        </is>
      </c>
      <c r="B2983" s="1" t="inlineStr">
        <is>
          <t>ANILLO CLASH GOLD</t>
        </is>
      </c>
      <c r="C2983" s="1" t="inlineStr">
        <is>
          <t>8</t>
        </is>
      </c>
      <c r="D2983" s="1" t="inlineStr">
        <is>
          <t>11/03/2026</t>
        </is>
      </c>
      <c r="E2983" s="1" t="n">
        <v>2026</v>
      </c>
      <c r="F2983" s="1" t="inlineStr">
        <is>
          <t>MARZO</t>
        </is>
      </c>
      <c r="G2983" s="1" t="inlineStr">
        <is>
          <t>HAIFENG</t>
        </is>
      </c>
      <c r="H2983" s="1" t="inlineStr">
        <is>
          <t>HAIFENG 11/03/2026</t>
        </is>
      </c>
      <c r="I2983" s="4" t="n">
        <v>2</v>
      </c>
      <c r="J2983" s="6" t="n">
        <v>10</v>
      </c>
      <c r="K2983" s="6" t="n">
        <v>213.0389622</v>
      </c>
      <c r="L2983" s="6">
        <f>I2983*K2983</f>
        <v/>
      </c>
      <c r="M2983" s="6">
        <f>K2983*4</f>
        <v/>
      </c>
      <c r="N2983" s="6" t="n">
        <v>850</v>
      </c>
    </row>
    <row r="2984">
      <c r="A2984" s="1" t="inlineStr">
        <is>
          <t>66176e609b95a</t>
        </is>
      </c>
      <c r="B2984" s="1" t="inlineStr">
        <is>
          <t>ANILLO CLASH GOLD</t>
        </is>
      </c>
      <c r="C2984" s="1" t="inlineStr">
        <is>
          <t>8</t>
        </is>
      </c>
      <c r="D2984" s="1" t="inlineStr">
        <is>
          <t>06/05/2026</t>
        </is>
      </c>
      <c r="E2984" s="1" t="n">
        <v>2026</v>
      </c>
      <c r="F2984" s="1" t="inlineStr">
        <is>
          <t>MAYO</t>
        </is>
      </c>
      <c r="G2984" s="1" t="inlineStr">
        <is>
          <t>HAIFENG</t>
        </is>
      </c>
      <c r="H2984" s="1" t="inlineStr">
        <is>
          <t>HAIFENG 06/05/2026</t>
        </is>
      </c>
      <c r="I2984" s="4" t="n">
        <v>2</v>
      </c>
      <c r="J2984" s="6" t="n">
        <v>10</v>
      </c>
      <c r="K2984" s="6" t="n">
        <v>212.1864227</v>
      </c>
      <c r="L2984" s="6">
        <f>I2984*K2984</f>
        <v/>
      </c>
      <c r="M2984" s="6">
        <f>K2984*4</f>
        <v/>
      </c>
      <c r="N2984" s="6" t="n">
        <v>850</v>
      </c>
    </row>
    <row r="2985">
      <c r="A2985" s="1" t="inlineStr">
        <is>
          <t>66176e60bbec9</t>
        </is>
      </c>
      <c r="B2985" s="1" t="inlineStr">
        <is>
          <t>ANILLO CLASH ROSEGOLD</t>
        </is>
      </c>
      <c r="C2985" s="1" t="inlineStr">
        <is>
          <t>8</t>
        </is>
      </c>
      <c r="D2985" s="1" t="inlineStr">
        <is>
          <t>11/11/2025</t>
        </is>
      </c>
      <c r="E2985" s="1" t="n">
        <v>2025</v>
      </c>
      <c r="F2985" s="1" t="inlineStr">
        <is>
          <t>NOVIEMBRE</t>
        </is>
      </c>
      <c r="G2985" s="1" t="inlineStr">
        <is>
          <t>HAIFENG</t>
        </is>
      </c>
      <c r="H2985" s="1" t="inlineStr">
        <is>
          <t>HAIFENG 11/11/2025</t>
        </is>
      </c>
      <c r="I2985" s="4" t="n">
        <v>2</v>
      </c>
      <c r="J2985" s="6" t="n">
        <v>10</v>
      </c>
      <c r="K2985" s="6" t="n">
        <v>210.6049844</v>
      </c>
      <c r="L2985" s="6">
        <f>I2985*K2985</f>
        <v/>
      </c>
      <c r="M2985" s="6">
        <f>K2985*4</f>
        <v/>
      </c>
      <c r="N2985" s="6" t="n">
        <v>850</v>
      </c>
    </row>
    <row r="2986">
      <c r="A2986" s="1" t="inlineStr">
        <is>
          <t>66176e60bbec9</t>
        </is>
      </c>
      <c r="B2986" s="1" t="inlineStr">
        <is>
          <t>ANILLO CLASH ROSEGOLD</t>
        </is>
      </c>
      <c r="C2986" s="1" t="inlineStr">
        <is>
          <t>8</t>
        </is>
      </c>
      <c r="D2986" s="1" t="inlineStr">
        <is>
          <t>20/01/2026</t>
        </is>
      </c>
      <c r="E2986" s="1" t="n">
        <v>2026</v>
      </c>
      <c r="F2986" s="1" t="inlineStr">
        <is>
          <t>ENERO</t>
        </is>
      </c>
      <c r="G2986" s="1" t="inlineStr">
        <is>
          <t>HAIFENG</t>
        </is>
      </c>
      <c r="H2986" s="1" t="inlineStr">
        <is>
          <t>HAIFENG 20/01/2026</t>
        </is>
      </c>
      <c r="I2986" s="4" t="n">
        <v>2</v>
      </c>
      <c r="J2986" s="6" t="n">
        <v>10</v>
      </c>
      <c r="K2986" s="6" t="n">
        <v>212.0041779</v>
      </c>
      <c r="L2986" s="6">
        <f>I2986*K2986</f>
        <v/>
      </c>
      <c r="M2986" s="6">
        <f>K2986*4</f>
        <v/>
      </c>
      <c r="N2986" s="6" t="n">
        <v>850</v>
      </c>
    </row>
    <row r="2987">
      <c r="A2987" s="1" t="inlineStr">
        <is>
          <t>66176e60bbec9</t>
        </is>
      </c>
      <c r="B2987" s="1" t="n"/>
      <c r="C2987" s="1" t="inlineStr">
        <is>
          <t>8</t>
        </is>
      </c>
      <c r="D2987" s="1" t="inlineStr">
        <is>
          <t>10/02/2026</t>
        </is>
      </c>
      <c r="E2987" s="1" t="n">
        <v>2026</v>
      </c>
      <c r="F2987" s="1" t="inlineStr">
        <is>
          <t>FEBRERO</t>
        </is>
      </c>
      <c r="G2987" s="1" t="inlineStr">
        <is>
          <t>HAIFENG</t>
        </is>
      </c>
      <c r="H2987" s="1" t="inlineStr">
        <is>
          <t>HAIFENG 10/02/2026</t>
        </is>
      </c>
      <c r="I2987" s="4" t="n">
        <v>2</v>
      </c>
      <c r="J2987" s="6" t="n">
        <v>10</v>
      </c>
      <c r="K2987" s="6" t="n">
        <v>210.6849607</v>
      </c>
      <c r="L2987" s="6">
        <f>I2987*K2987</f>
        <v/>
      </c>
      <c r="M2987" s="6">
        <f>K2987*4</f>
        <v/>
      </c>
      <c r="N2987" s="6" t="n">
        <v>850</v>
      </c>
    </row>
    <row r="2988">
      <c r="A2988" s="1" t="inlineStr">
        <is>
          <t>66176e60bbec9</t>
        </is>
      </c>
      <c r="B2988" s="1" t="inlineStr">
        <is>
          <t>ANILLO CLASH ROSEGOLD</t>
        </is>
      </c>
      <c r="C2988" s="1" t="inlineStr">
        <is>
          <t>8</t>
        </is>
      </c>
      <c r="D2988" s="1" t="inlineStr">
        <is>
          <t>16/06/2026</t>
        </is>
      </c>
      <c r="E2988" s="1" t="n">
        <v>2026</v>
      </c>
      <c r="F2988" s="1" t="inlineStr">
        <is>
          <t>JUNIO</t>
        </is>
      </c>
      <c r="G2988" s="1" t="inlineStr">
        <is>
          <t>HAIFENG</t>
        </is>
      </c>
      <c r="H2988" s="1" t="inlineStr">
        <is>
          <t>HAIFENG 16/06/2026</t>
        </is>
      </c>
      <c r="I2988" s="4" t="n">
        <v>2</v>
      </c>
      <c r="J2988" s="6" t="n">
        <v>10</v>
      </c>
      <c r="K2988" s="6" t="n">
        <v>210.1460646</v>
      </c>
      <c r="L2988" s="6">
        <f>I2988*K2988</f>
        <v/>
      </c>
      <c r="M2988" s="6">
        <f>K2988*4</f>
        <v/>
      </c>
      <c r="N2988" s="6" t="n">
        <v>850</v>
      </c>
    </row>
    <row r="2989">
      <c r="A2989" s="1" t="inlineStr">
        <is>
          <t>66176e6140134</t>
        </is>
      </c>
      <c r="B2989" s="1" t="inlineStr">
        <is>
          <t>ANILLO CLASH GOLD</t>
        </is>
      </c>
      <c r="C2989" s="1" t="inlineStr">
        <is>
          <t>9</t>
        </is>
      </c>
      <c r="D2989" s="1" t="inlineStr">
        <is>
          <t>01/09/2025</t>
        </is>
      </c>
      <c r="E2989" s="1" t="n">
        <v>2025</v>
      </c>
      <c r="F2989" s="1" t="inlineStr">
        <is>
          <t>SEPTIEMBRE</t>
        </is>
      </c>
      <c r="G2989" s="1" t="inlineStr">
        <is>
          <t>HAIFENG</t>
        </is>
      </c>
      <c r="H2989" s="1" t="inlineStr">
        <is>
          <t>HAIFENG 01/09/2025</t>
        </is>
      </c>
      <c r="I2989" s="4" t="n">
        <v>2</v>
      </c>
      <c r="J2989" s="6" t="n">
        <v>10</v>
      </c>
      <c r="K2989" s="6" t="n">
        <v>212.5567106</v>
      </c>
      <c r="L2989" s="6">
        <f>I2989*K2989</f>
        <v/>
      </c>
      <c r="M2989" s="6">
        <f>K2989*4</f>
        <v/>
      </c>
      <c r="N2989" s="6" t="n">
        <v>850</v>
      </c>
    </row>
    <row r="2990">
      <c r="A2990" s="1" t="inlineStr">
        <is>
          <t>66176e6140134</t>
        </is>
      </c>
      <c r="B2990" s="1" t="inlineStr">
        <is>
          <t>ANILLO CLASH GOLD</t>
        </is>
      </c>
      <c r="C2990" s="1" t="inlineStr">
        <is>
          <t>9</t>
        </is>
      </c>
      <c r="D2990" s="1" t="inlineStr">
        <is>
          <t>03/12/2025</t>
        </is>
      </c>
      <c r="E2990" s="1" t="n">
        <v>2025</v>
      </c>
      <c r="F2990" s="1" t="inlineStr">
        <is>
          <t>DICIEMBRE</t>
        </is>
      </c>
      <c r="G2990" s="1" t="inlineStr">
        <is>
          <t>HAIFENG</t>
        </is>
      </c>
      <c r="H2990" s="1" t="inlineStr">
        <is>
          <t>HAIFENG 03/12/2025</t>
        </is>
      </c>
      <c r="I2990" s="4" t="n">
        <v>3</v>
      </c>
      <c r="J2990" s="6" t="n">
        <v>10</v>
      </c>
      <c r="K2990" s="6" t="n">
        <v>209.1716001</v>
      </c>
      <c r="L2990" s="6">
        <f>I2990*K2990</f>
        <v/>
      </c>
      <c r="M2990" s="6">
        <f>K2990*4</f>
        <v/>
      </c>
      <c r="N2990" s="6" t="n">
        <v>850</v>
      </c>
    </row>
    <row r="2991">
      <c r="A2991" s="1" t="inlineStr">
        <is>
          <t>66176e6140134</t>
        </is>
      </c>
      <c r="B2991" s="1" t="inlineStr">
        <is>
          <t>ANILLO CLASH GOLD</t>
        </is>
      </c>
      <c r="C2991" s="1" t="inlineStr">
        <is>
          <t>9</t>
        </is>
      </c>
      <c r="D2991" s="1" t="inlineStr">
        <is>
          <t>16/04/2026</t>
        </is>
      </c>
      <c r="E2991" s="1" t="n">
        <v>2026</v>
      </c>
      <c r="F2991" s="1" t="inlineStr">
        <is>
          <t>ABRIL</t>
        </is>
      </c>
      <c r="G2991" s="1" t="inlineStr">
        <is>
          <t>HAIFENG</t>
        </is>
      </c>
      <c r="H2991" s="1" t="inlineStr">
        <is>
          <t>HAIFENG 16/04/2026</t>
        </is>
      </c>
      <c r="I2991" s="4" t="n">
        <v>1</v>
      </c>
      <c r="J2991" s="6" t="n">
        <v>10</v>
      </c>
      <c r="K2991" s="6" t="n">
        <v>210.3147359</v>
      </c>
      <c r="L2991" s="6">
        <f>I2991*K2991</f>
        <v/>
      </c>
      <c r="M2991" s="6">
        <f>K2991*4</f>
        <v/>
      </c>
      <c r="N2991" s="6" t="n">
        <v>850</v>
      </c>
    </row>
    <row r="2992">
      <c r="A2992" s="1" t="inlineStr">
        <is>
          <t>66176e6140134</t>
        </is>
      </c>
      <c r="B2992" s="1" t="inlineStr">
        <is>
          <t>ANILLO CLASH GOLD</t>
        </is>
      </c>
      <c r="C2992" s="1" t="inlineStr">
        <is>
          <t>9</t>
        </is>
      </c>
      <c r="D2992" s="1" t="inlineStr">
        <is>
          <t>16/06/2026</t>
        </is>
      </c>
      <c r="E2992" s="1" t="n">
        <v>2026</v>
      </c>
      <c r="F2992" s="1" t="inlineStr">
        <is>
          <t>JUNIO</t>
        </is>
      </c>
      <c r="G2992" s="1" t="inlineStr">
        <is>
          <t>HAIFENG</t>
        </is>
      </c>
      <c r="H2992" s="1" t="inlineStr">
        <is>
          <t>HAIFENG 16/06/2026</t>
        </is>
      </c>
      <c r="I2992" s="4" t="n">
        <v>5</v>
      </c>
      <c r="J2992" s="6" t="n">
        <v>10</v>
      </c>
      <c r="K2992" s="6" t="n">
        <v>210.1460646</v>
      </c>
      <c r="L2992" s="6">
        <f>I2992*K2992</f>
        <v/>
      </c>
      <c r="M2992" s="6">
        <f>K2992*4</f>
        <v/>
      </c>
      <c r="N2992" s="6" t="n">
        <v>850</v>
      </c>
    </row>
    <row r="2993">
      <c r="A2993" s="1" t="inlineStr">
        <is>
          <t>66176e616caf6</t>
        </is>
      </c>
      <c r="B2993" s="1" t="inlineStr">
        <is>
          <t>ANILLO CLASH ROSEGOLD</t>
        </is>
      </c>
      <c r="C2993" s="1" t="inlineStr">
        <is>
          <t>9</t>
        </is>
      </c>
      <c r="D2993" s="1" t="inlineStr">
        <is>
          <t>25/09/2025</t>
        </is>
      </c>
      <c r="E2993" s="1" t="n">
        <v>2025</v>
      </c>
      <c r="F2993" s="1" t="inlineStr">
        <is>
          <t>SEPTIEMBRE</t>
        </is>
      </c>
      <c r="G2993" s="1" t="inlineStr">
        <is>
          <t>HAIFENG</t>
        </is>
      </c>
      <c r="H2993" s="1" t="inlineStr">
        <is>
          <t>HAIFENG 25/09/2025</t>
        </is>
      </c>
      <c r="I2993" s="4" t="n">
        <v>2</v>
      </c>
      <c r="J2993" s="6" t="n">
        <v>10</v>
      </c>
      <c r="K2993" s="6" t="n">
        <v>210.9688577</v>
      </c>
      <c r="L2993" s="6">
        <f>I2993*K2993</f>
        <v/>
      </c>
      <c r="M2993" s="6">
        <f>K2993*4</f>
        <v/>
      </c>
      <c r="N2993" s="6" t="n">
        <v>850</v>
      </c>
    </row>
    <row r="2994">
      <c r="A2994" s="1" t="inlineStr">
        <is>
          <t>66176e616caf6</t>
        </is>
      </c>
      <c r="B2994" s="1" t="inlineStr">
        <is>
          <t>ANILLO CLASH ROSEGOLD</t>
        </is>
      </c>
      <c r="C2994" s="1" t="inlineStr">
        <is>
          <t>9</t>
        </is>
      </c>
      <c r="D2994" s="1" t="inlineStr">
        <is>
          <t>03/12/2025</t>
        </is>
      </c>
      <c r="E2994" s="1" t="n">
        <v>2025</v>
      </c>
      <c r="F2994" s="1" t="inlineStr">
        <is>
          <t>DICIEMBRE</t>
        </is>
      </c>
      <c r="G2994" s="1" t="inlineStr">
        <is>
          <t>HAIFENG</t>
        </is>
      </c>
      <c r="H2994" s="1" t="inlineStr">
        <is>
          <t>HAIFENG 03/12/2025</t>
        </is>
      </c>
      <c r="I2994" s="4" t="n">
        <v>1</v>
      </c>
      <c r="J2994" s="6" t="n">
        <v>10</v>
      </c>
      <c r="K2994" s="6" t="n">
        <v>209.1716001</v>
      </c>
      <c r="L2994" s="6">
        <f>I2994*K2994</f>
        <v/>
      </c>
      <c r="M2994" s="6">
        <f>K2994*4</f>
        <v/>
      </c>
      <c r="N2994" s="6" t="n">
        <v>850</v>
      </c>
    </row>
    <row r="2995">
      <c r="A2995" s="1" t="inlineStr">
        <is>
          <t>66176e616caf6</t>
        </is>
      </c>
      <c r="B2995" s="1" t="n"/>
      <c r="C2995" s="1" t="inlineStr">
        <is>
          <t>9</t>
        </is>
      </c>
      <c r="D2995" s="1" t="inlineStr">
        <is>
          <t>10/02/2026</t>
        </is>
      </c>
      <c r="E2995" s="1" t="n">
        <v>2026</v>
      </c>
      <c r="F2995" s="1" t="inlineStr">
        <is>
          <t>FEBRERO</t>
        </is>
      </c>
      <c r="G2995" s="1" t="inlineStr">
        <is>
          <t>HAIFENG</t>
        </is>
      </c>
      <c r="H2995" s="1" t="inlineStr">
        <is>
          <t>HAIFENG 10/02/2026</t>
        </is>
      </c>
      <c r="I2995" s="4" t="n">
        <v>2</v>
      </c>
      <c r="J2995" s="6" t="n">
        <v>10</v>
      </c>
      <c r="K2995" s="6" t="n">
        <v>210.6849607</v>
      </c>
      <c r="L2995" s="6">
        <f>I2995*K2995</f>
        <v/>
      </c>
      <c r="M2995" s="6">
        <f>K2995*4</f>
        <v/>
      </c>
      <c r="N2995" s="6" t="n">
        <v>850</v>
      </c>
    </row>
    <row r="2996">
      <c r="A2996" s="1" t="inlineStr">
        <is>
          <t>66176e62063fb</t>
        </is>
      </c>
      <c r="B2996" s="1" t="inlineStr">
        <is>
          <t>ANILLO CLASH GOLD</t>
        </is>
      </c>
      <c r="C2996" s="1" t="inlineStr">
        <is>
          <t>10</t>
        </is>
      </c>
      <c r="D2996" s="1" t="inlineStr">
        <is>
          <t>11/11/2025</t>
        </is>
      </c>
      <c r="E2996" s="1" t="n">
        <v>2025</v>
      </c>
      <c r="F2996" s="1" t="inlineStr">
        <is>
          <t>NOVIEMBRE</t>
        </is>
      </c>
      <c r="G2996" s="1" t="inlineStr">
        <is>
          <t>HAIFENG</t>
        </is>
      </c>
      <c r="H2996" s="1" t="inlineStr">
        <is>
          <t>HAIFENG 11/11/2025</t>
        </is>
      </c>
      <c r="I2996" s="4" t="n">
        <v>1</v>
      </c>
      <c r="J2996" s="6" t="n">
        <v>10</v>
      </c>
      <c r="K2996" s="6" t="n">
        <v>210.6049844</v>
      </c>
      <c r="L2996" s="6">
        <f>I2996*K2996</f>
        <v/>
      </c>
      <c r="M2996" s="6">
        <f>K2996*4</f>
        <v/>
      </c>
      <c r="N2996" s="6" t="n">
        <v>850</v>
      </c>
    </row>
    <row r="2997">
      <c r="A2997" s="1" t="inlineStr">
        <is>
          <t>66176e62063fb</t>
        </is>
      </c>
      <c r="B2997" s="1" t="inlineStr">
        <is>
          <t>ANILLO CLASH GOLD</t>
        </is>
      </c>
      <c r="C2997" s="1" t="inlineStr">
        <is>
          <t>10</t>
        </is>
      </c>
      <c r="D2997" s="1" t="inlineStr">
        <is>
          <t>03/12/2025</t>
        </is>
      </c>
      <c r="E2997" s="1" t="n">
        <v>2025</v>
      </c>
      <c r="F2997" s="1" t="inlineStr">
        <is>
          <t>DICIEMBRE</t>
        </is>
      </c>
      <c r="G2997" s="1" t="inlineStr">
        <is>
          <t>HAIFENG</t>
        </is>
      </c>
      <c r="H2997" s="1" t="inlineStr">
        <is>
          <t>HAIFENG 03/12/2025</t>
        </is>
      </c>
      <c r="I2997" s="4" t="n">
        <v>1</v>
      </c>
      <c r="J2997" s="6" t="n">
        <v>10</v>
      </c>
      <c r="K2997" s="6" t="n">
        <v>209.1716001</v>
      </c>
      <c r="L2997" s="6">
        <f>I2997*K2997</f>
        <v/>
      </c>
      <c r="M2997" s="6">
        <f>K2997*4</f>
        <v/>
      </c>
      <c r="N2997" s="6" t="n">
        <v>850</v>
      </c>
    </row>
    <row r="2998">
      <c r="A2998" s="1" t="inlineStr">
        <is>
          <t>66176e62063fb</t>
        </is>
      </c>
      <c r="B2998" s="1" t="n"/>
      <c r="C2998" s="1" t="inlineStr">
        <is>
          <t>10</t>
        </is>
      </c>
      <c r="D2998" s="1" t="inlineStr">
        <is>
          <t>10/02/2026</t>
        </is>
      </c>
      <c r="E2998" s="1" t="n">
        <v>2026</v>
      </c>
      <c r="F2998" s="1" t="inlineStr">
        <is>
          <t>FEBRERO</t>
        </is>
      </c>
      <c r="G2998" s="1" t="inlineStr">
        <is>
          <t>HAIFENG</t>
        </is>
      </c>
      <c r="H2998" s="1" t="inlineStr">
        <is>
          <t>HAIFENG 10/02/2026</t>
        </is>
      </c>
      <c r="I2998" s="4" t="n">
        <v>1</v>
      </c>
      <c r="J2998" s="6" t="n">
        <v>10</v>
      </c>
      <c r="K2998" s="6" t="n">
        <v>210.6849607</v>
      </c>
      <c r="L2998" s="6">
        <f>I2998*K2998</f>
        <v/>
      </c>
      <c r="M2998" s="6">
        <f>K2998*4</f>
        <v/>
      </c>
      <c r="N2998" s="6" t="n">
        <v>850</v>
      </c>
    </row>
    <row r="2999">
      <c r="A2999" s="1" t="inlineStr">
        <is>
          <t>66176e62285d1</t>
        </is>
      </c>
      <c r="B2999" s="1" t="inlineStr">
        <is>
          <t>ANILLO CLASH ROSEGOLD</t>
        </is>
      </c>
      <c r="C2999" s="1" t="inlineStr">
        <is>
          <t>10</t>
        </is>
      </c>
      <c r="D2999" s="1" t="inlineStr">
        <is>
          <t>01/09/2025</t>
        </is>
      </c>
      <c r="E2999" s="1" t="n">
        <v>2025</v>
      </c>
      <c r="F2999" s="1" t="inlineStr">
        <is>
          <t>SEPTIEMBRE</t>
        </is>
      </c>
      <c r="G2999" s="1" t="inlineStr">
        <is>
          <t>HAIFENG</t>
        </is>
      </c>
      <c r="H2999" s="1" t="inlineStr">
        <is>
          <t>HAIFENG 01/09/2025</t>
        </is>
      </c>
      <c r="I2999" s="4" t="n">
        <v>1</v>
      </c>
      <c r="J2999" s="6" t="n">
        <v>10</v>
      </c>
      <c r="K2999" s="6" t="n">
        <v>212.5567106</v>
      </c>
      <c r="L2999" s="6">
        <f>I2999*K2999</f>
        <v/>
      </c>
      <c r="M2999" s="6">
        <f>K2999*4</f>
        <v/>
      </c>
      <c r="N2999" s="6" t="n">
        <v>850</v>
      </c>
    </row>
    <row r="3000">
      <c r="A3000" s="1" t="inlineStr">
        <is>
          <t>66176e62285d1</t>
        </is>
      </c>
      <c r="B3000" s="1" t="inlineStr">
        <is>
          <t>ANILLO CLASH ROSEGOLD</t>
        </is>
      </c>
      <c r="C3000" s="1" t="inlineStr">
        <is>
          <t>10</t>
        </is>
      </c>
      <c r="D3000" s="1" t="inlineStr">
        <is>
          <t>20/01/2026</t>
        </is>
      </c>
      <c r="E3000" s="1" t="n">
        <v>2026</v>
      </c>
      <c r="F3000" s="1" t="inlineStr">
        <is>
          <t>ENERO</t>
        </is>
      </c>
      <c r="G3000" s="1" t="inlineStr">
        <is>
          <t>HAIFENG</t>
        </is>
      </c>
      <c r="H3000" s="1" t="inlineStr">
        <is>
          <t>HAIFENG 20/01/2026</t>
        </is>
      </c>
      <c r="I3000" s="4" t="n">
        <v>2</v>
      </c>
      <c r="J3000" s="6" t="n">
        <v>10</v>
      </c>
      <c r="K3000" s="6" t="n">
        <v>212.0041779</v>
      </c>
      <c r="L3000" s="6">
        <f>I3000*K3000</f>
        <v/>
      </c>
      <c r="M3000" s="6">
        <f>K3000*4</f>
        <v/>
      </c>
      <c r="N3000" s="6" t="n">
        <v>850</v>
      </c>
    </row>
    <row r="3001">
      <c r="A3001" s="1" t="inlineStr">
        <is>
          <t>66176e628d423</t>
        </is>
      </c>
      <c r="B3001" s="1" t="inlineStr">
        <is>
          <t>ANILLO CLASH GOLD</t>
        </is>
      </c>
      <c r="C3001" s="1" t="inlineStr">
        <is>
          <t>11</t>
        </is>
      </c>
      <c r="D3001" s="1" t="inlineStr">
        <is>
          <t>11/11/2025</t>
        </is>
      </c>
      <c r="E3001" s="1" t="n">
        <v>2025</v>
      </c>
      <c r="F3001" s="1" t="inlineStr">
        <is>
          <t>NOVIEMBRE</t>
        </is>
      </c>
      <c r="G3001" s="1" t="inlineStr">
        <is>
          <t>HAIFENG</t>
        </is>
      </c>
      <c r="H3001" s="1" t="inlineStr">
        <is>
          <t>HAIFENG 11/11/2025</t>
        </is>
      </c>
      <c r="I3001" s="4" t="n">
        <v>1</v>
      </c>
      <c r="J3001" s="6" t="n">
        <v>10</v>
      </c>
      <c r="K3001" s="6" t="n">
        <v>210.6049844</v>
      </c>
      <c r="L3001" s="6">
        <f>I3001*K3001</f>
        <v/>
      </c>
      <c r="M3001" s="6">
        <f>K3001*4</f>
        <v/>
      </c>
      <c r="N3001" s="6" t="n">
        <v>850</v>
      </c>
    </row>
    <row r="3002">
      <c r="A3002" s="1" t="inlineStr">
        <is>
          <t>66176e628d423</t>
        </is>
      </c>
      <c r="B3002" s="1" t="inlineStr">
        <is>
          <t>ANILLO CLASH GOLD</t>
        </is>
      </c>
      <c r="C3002" s="1" t="inlineStr">
        <is>
          <t>11</t>
        </is>
      </c>
      <c r="D3002" s="1" t="inlineStr">
        <is>
          <t>03/12/2025</t>
        </is>
      </c>
      <c r="E3002" s="1" t="n">
        <v>2025</v>
      </c>
      <c r="F3002" s="1" t="inlineStr">
        <is>
          <t>DICIEMBRE</t>
        </is>
      </c>
      <c r="G3002" s="1" t="inlineStr">
        <is>
          <t>HAIFENG</t>
        </is>
      </c>
      <c r="H3002" s="1" t="inlineStr">
        <is>
          <t>HAIFENG 03/12/2025</t>
        </is>
      </c>
      <c r="I3002" s="4" t="n">
        <v>1</v>
      </c>
      <c r="J3002" s="6" t="n">
        <v>10</v>
      </c>
      <c r="K3002" s="6" t="n">
        <v>209.1716001</v>
      </c>
      <c r="L3002" s="6">
        <f>I3002*K3002</f>
        <v/>
      </c>
      <c r="M3002" s="6">
        <f>K3002*4</f>
        <v/>
      </c>
      <c r="N3002" s="6" t="n">
        <v>850</v>
      </c>
    </row>
    <row r="3003">
      <c r="A3003" s="1" t="inlineStr">
        <is>
          <t>66177006d3573</t>
        </is>
      </c>
      <c r="B3003" s="1" t="inlineStr">
        <is>
          <t>PULSERA LOVE GOLD</t>
        </is>
      </c>
      <c r="C3003" s="1" t="inlineStr">
        <is>
          <t>16 CM</t>
        </is>
      </c>
      <c r="D3003" s="1" t="inlineStr">
        <is>
          <t>25/09/2025</t>
        </is>
      </c>
      <c r="E3003" s="1" t="n">
        <v>2025</v>
      </c>
      <c r="F3003" s="1" t="inlineStr">
        <is>
          <t>SEPTIEMBRE</t>
        </is>
      </c>
      <c r="G3003" s="1" t="inlineStr">
        <is>
          <t>HAIFENG</t>
        </is>
      </c>
      <c r="H3003" s="1" t="inlineStr">
        <is>
          <t>HAIFENG 25/09/2025</t>
        </is>
      </c>
      <c r="I3003" s="4" t="n">
        <v>14</v>
      </c>
      <c r="J3003" s="6" t="n">
        <v>5</v>
      </c>
      <c r="K3003" s="6" t="n">
        <v>105.4844288</v>
      </c>
      <c r="L3003" s="6">
        <f>I3003*K3003</f>
        <v/>
      </c>
      <c r="M3003" s="6">
        <f>K3003*4</f>
        <v/>
      </c>
      <c r="N3003" s="6" t="n">
        <v>499</v>
      </c>
    </row>
    <row r="3004">
      <c r="A3004" s="1" t="inlineStr">
        <is>
          <t>66177006d3573</t>
        </is>
      </c>
      <c r="B3004" s="1" t="inlineStr">
        <is>
          <t>PULSERA LOVE GOLD</t>
        </is>
      </c>
      <c r="C3004" s="1" t="inlineStr">
        <is>
          <t>16 CM</t>
        </is>
      </c>
      <c r="D3004" s="1" t="inlineStr">
        <is>
          <t>03/12/2025</t>
        </is>
      </c>
      <c r="E3004" s="1" t="n">
        <v>2025</v>
      </c>
      <c r="F3004" s="1" t="inlineStr">
        <is>
          <t>DICIEMBRE</t>
        </is>
      </c>
      <c r="G3004" s="1" t="inlineStr">
        <is>
          <t>HAIFENG</t>
        </is>
      </c>
      <c r="H3004" s="1" t="inlineStr">
        <is>
          <t>HAIFENG 03/12/2025</t>
        </is>
      </c>
      <c r="I3004" s="4" t="n">
        <v>5</v>
      </c>
      <c r="J3004" s="6" t="n">
        <v>4.5</v>
      </c>
      <c r="K3004" s="6" t="n">
        <v>94.12722005000001</v>
      </c>
      <c r="L3004" s="6">
        <f>I3004*K3004</f>
        <v/>
      </c>
      <c r="M3004" s="6">
        <f>K3004*4</f>
        <v/>
      </c>
      <c r="N3004" s="6" t="n">
        <v>499</v>
      </c>
    </row>
    <row r="3005">
      <c r="A3005" s="1" t="inlineStr">
        <is>
          <t>66177006d3573</t>
        </is>
      </c>
      <c r="B3005" s="1" t="inlineStr">
        <is>
          <t>PULSERA LOVE GOLD</t>
        </is>
      </c>
      <c r="C3005" s="1" t="inlineStr">
        <is>
          <t>16 CM</t>
        </is>
      </c>
      <c r="D3005" s="1" t="inlineStr">
        <is>
          <t>20/01/2026</t>
        </is>
      </c>
      <c r="E3005" s="1" t="n">
        <v>2026</v>
      </c>
      <c r="F3005" s="1" t="inlineStr">
        <is>
          <t>ENERO</t>
        </is>
      </c>
      <c r="G3005" s="1" t="inlineStr">
        <is>
          <t>HAIFENG</t>
        </is>
      </c>
      <c r="H3005" s="1" t="inlineStr">
        <is>
          <t>HAIFENG 20/01/2026</t>
        </is>
      </c>
      <c r="I3005" s="4" t="n">
        <v>25</v>
      </c>
      <c r="J3005" s="6" t="n">
        <v>4.5</v>
      </c>
      <c r="K3005" s="6" t="n">
        <v>95.40188006</v>
      </c>
      <c r="L3005" s="6">
        <f>I3005*K3005</f>
        <v/>
      </c>
      <c r="M3005" s="6">
        <f>K3005*4</f>
        <v/>
      </c>
      <c r="N3005" s="6" t="n">
        <v>499</v>
      </c>
    </row>
    <row r="3006">
      <c r="A3006" s="1" t="inlineStr">
        <is>
          <t>66177006d3573</t>
        </is>
      </c>
      <c r="B3006" s="1" t="inlineStr">
        <is>
          <t>PULSERA LOVE GOLD</t>
        </is>
      </c>
      <c r="C3006" s="1" t="inlineStr">
        <is>
          <t>16 CM</t>
        </is>
      </c>
      <c r="D3006" s="1" t="inlineStr">
        <is>
          <t>16/04/2026</t>
        </is>
      </c>
      <c r="E3006" s="1" t="n">
        <v>2026</v>
      </c>
      <c r="F3006" s="1" t="inlineStr">
        <is>
          <t>ABRIL</t>
        </is>
      </c>
      <c r="G3006" s="1" t="inlineStr">
        <is>
          <t>HAIFENG</t>
        </is>
      </c>
      <c r="H3006" s="1" t="inlineStr">
        <is>
          <t>HAIFENG 16/04/2026</t>
        </is>
      </c>
      <c r="I3006" s="4" t="n">
        <v>10</v>
      </c>
      <c r="J3006" s="6" t="n">
        <v>4.5</v>
      </c>
      <c r="K3006" s="6" t="n">
        <v>94.64163114999999</v>
      </c>
      <c r="L3006" s="6">
        <f>I3006*K3006</f>
        <v/>
      </c>
      <c r="M3006" s="6">
        <f>K3006*4</f>
        <v/>
      </c>
      <c r="N3006" s="6" t="n">
        <v>499</v>
      </c>
    </row>
    <row r="3007">
      <c r="A3007" s="1" t="inlineStr">
        <is>
          <t>66177006d3573</t>
        </is>
      </c>
      <c r="B3007" s="1" t="inlineStr">
        <is>
          <t>PULSERA LOVE GOLD</t>
        </is>
      </c>
      <c r="C3007" s="1" t="inlineStr">
        <is>
          <t>16 CM</t>
        </is>
      </c>
      <c r="D3007" s="1" t="inlineStr">
        <is>
          <t>26/05/2026</t>
        </is>
      </c>
      <c r="E3007" s="1" t="n">
        <v>2026</v>
      </c>
      <c r="F3007" s="1" t="inlineStr">
        <is>
          <t>MAYO</t>
        </is>
      </c>
      <c r="G3007" s="1" t="inlineStr">
        <is>
          <t>HAIFENG</t>
        </is>
      </c>
      <c r="H3007" s="1" t="inlineStr">
        <is>
          <t>HAIFENG 26/05/2026</t>
        </is>
      </c>
      <c r="I3007" s="4" t="n">
        <v>20</v>
      </c>
      <c r="J3007" s="6" t="n">
        <v>4.5</v>
      </c>
      <c r="K3007" s="6" t="n">
        <v>94.45182883</v>
      </c>
      <c r="L3007" s="6">
        <f>I3007*K3007</f>
        <v/>
      </c>
      <c r="M3007" s="6">
        <f>K3007*4</f>
        <v/>
      </c>
      <c r="N3007" s="6" t="n">
        <v>499</v>
      </c>
    </row>
    <row r="3008">
      <c r="A3008" s="1" t="inlineStr">
        <is>
          <t>66177006d3573</t>
        </is>
      </c>
      <c r="B3008" s="1" t="inlineStr">
        <is>
          <t>PULSERA LOVE GOLD</t>
        </is>
      </c>
      <c r="C3008" s="1" t="inlineStr">
        <is>
          <t>16 CM</t>
        </is>
      </c>
      <c r="D3008" s="1" t="inlineStr">
        <is>
          <t>16/06/2026</t>
        </is>
      </c>
      <c r="E3008" s="1" t="n">
        <v>2026</v>
      </c>
      <c r="F3008" s="1" t="inlineStr">
        <is>
          <t>JUNIO</t>
        </is>
      </c>
      <c r="G3008" s="1" t="inlineStr">
        <is>
          <t>HAIFENG</t>
        </is>
      </c>
      <c r="H3008" s="1" t="inlineStr">
        <is>
          <t>HAIFENG 16/06/2026</t>
        </is>
      </c>
      <c r="I3008" s="4" t="n">
        <v>20</v>
      </c>
      <c r="J3008" s="6" t="n">
        <v>4.5</v>
      </c>
      <c r="K3008" s="6" t="n">
        <v>94.56572907</v>
      </c>
      <c r="L3008" s="6">
        <f>I3008*K3008</f>
        <v/>
      </c>
      <c r="M3008" s="6">
        <f>K3008*4</f>
        <v/>
      </c>
      <c r="N3008" s="6" t="n">
        <v>499</v>
      </c>
    </row>
    <row r="3009">
      <c r="A3009" s="1" t="inlineStr">
        <is>
          <t>66177007689da</t>
        </is>
      </c>
      <c r="B3009" s="1" t="inlineStr">
        <is>
          <t>PULSERA LOVE GOLD</t>
        </is>
      </c>
      <c r="C3009" s="1" t="inlineStr">
        <is>
          <t>17 CM</t>
        </is>
      </c>
      <c r="D3009" s="1" t="inlineStr">
        <is>
          <t>11/11/2025</t>
        </is>
      </c>
      <c r="E3009" s="1" t="n">
        <v>2025</v>
      </c>
      <c r="F3009" s="1" t="inlineStr">
        <is>
          <t>NOVIEMBRE</t>
        </is>
      </c>
      <c r="G3009" s="1" t="inlineStr">
        <is>
          <t>HAIFENG</t>
        </is>
      </c>
      <c r="H3009" s="1" t="inlineStr">
        <is>
          <t>HAIFENG 11/11/2025</t>
        </is>
      </c>
      <c r="I3009" s="4" t="n">
        <v>10</v>
      </c>
      <c r="J3009" s="6" t="n">
        <v>4.5</v>
      </c>
      <c r="K3009" s="6" t="n">
        <v>94.772243</v>
      </c>
      <c r="L3009" s="6">
        <f>I3009*K3009</f>
        <v/>
      </c>
      <c r="M3009" s="6">
        <f>K3009*4</f>
        <v/>
      </c>
      <c r="N3009" s="6" t="n">
        <v>499</v>
      </c>
    </row>
    <row r="3010">
      <c r="A3010" s="1" t="inlineStr">
        <is>
          <t>66177007689da</t>
        </is>
      </c>
      <c r="B3010" s="1" t="inlineStr">
        <is>
          <t>PULSERA LOVE GOLD</t>
        </is>
      </c>
      <c r="C3010" s="1" t="inlineStr">
        <is>
          <t>17 CM</t>
        </is>
      </c>
      <c r="D3010" s="1" t="inlineStr">
        <is>
          <t>03/12/2025</t>
        </is>
      </c>
      <c r="E3010" s="1" t="n">
        <v>2025</v>
      </c>
      <c r="F3010" s="1" t="inlineStr">
        <is>
          <t>DICIEMBRE</t>
        </is>
      </c>
      <c r="G3010" s="1" t="inlineStr">
        <is>
          <t>HAIFENG</t>
        </is>
      </c>
      <c r="H3010" s="1" t="inlineStr">
        <is>
          <t>HAIFENG 03/12/2025</t>
        </is>
      </c>
      <c r="I3010" s="4" t="n">
        <v>10</v>
      </c>
      <c r="J3010" s="6" t="n">
        <v>4.5</v>
      </c>
      <c r="K3010" s="6" t="n">
        <v>94.12722005000001</v>
      </c>
      <c r="L3010" s="6">
        <f>I3010*K3010</f>
        <v/>
      </c>
      <c r="M3010" s="6">
        <f>K3010*4</f>
        <v/>
      </c>
      <c r="N3010" s="6" t="n">
        <v>499</v>
      </c>
    </row>
    <row r="3011">
      <c r="A3011" s="1" t="inlineStr">
        <is>
          <t>66177007689da</t>
        </is>
      </c>
      <c r="B3011" s="1" t="inlineStr">
        <is>
          <t>PULSERA LOVE GOLD</t>
        </is>
      </c>
      <c r="C3011" s="1" t="inlineStr">
        <is>
          <t>17 CM</t>
        </is>
      </c>
      <c r="D3011" s="1" t="inlineStr">
        <is>
          <t>20/01/2026</t>
        </is>
      </c>
      <c r="E3011" s="1" t="n">
        <v>2026</v>
      </c>
      <c r="F3011" s="1" t="inlineStr">
        <is>
          <t>ENERO</t>
        </is>
      </c>
      <c r="G3011" s="1" t="inlineStr">
        <is>
          <t>HAIFENG</t>
        </is>
      </c>
      <c r="H3011" s="1" t="inlineStr">
        <is>
          <t>HAIFENG 20/01/2026</t>
        </is>
      </c>
      <c r="I3011" s="4" t="n">
        <v>12</v>
      </c>
      <c r="J3011" s="6" t="n">
        <v>4.5</v>
      </c>
      <c r="K3011" s="6" t="n">
        <v>95.40188006</v>
      </c>
      <c r="L3011" s="6">
        <f>I3011*K3011</f>
        <v/>
      </c>
      <c r="M3011" s="6">
        <f>K3011*4</f>
        <v/>
      </c>
      <c r="N3011" s="6" t="n">
        <v>499</v>
      </c>
    </row>
    <row r="3012">
      <c r="A3012" s="1" t="inlineStr">
        <is>
          <t>66177007689da</t>
        </is>
      </c>
      <c r="B3012" s="1" t="inlineStr">
        <is>
          <t>PULSERA LOVE GOLD</t>
        </is>
      </c>
      <c r="C3012" s="1" t="inlineStr">
        <is>
          <t>17 CM</t>
        </is>
      </c>
      <c r="D3012" s="1" t="inlineStr">
        <is>
          <t>16/04/2026</t>
        </is>
      </c>
      <c r="E3012" s="1" t="n">
        <v>2026</v>
      </c>
      <c r="F3012" s="1" t="inlineStr">
        <is>
          <t>ABRIL</t>
        </is>
      </c>
      <c r="G3012" s="1" t="inlineStr">
        <is>
          <t>HAIFENG</t>
        </is>
      </c>
      <c r="H3012" s="1" t="inlineStr">
        <is>
          <t>HAIFENG 16/04/2026</t>
        </is>
      </c>
      <c r="I3012" s="4" t="n">
        <v>18</v>
      </c>
      <c r="J3012" s="6" t="n">
        <v>4.5</v>
      </c>
      <c r="K3012" s="6" t="n">
        <v>94.64163114999999</v>
      </c>
      <c r="L3012" s="6">
        <f>I3012*K3012</f>
        <v/>
      </c>
      <c r="M3012" s="6">
        <f>K3012*4</f>
        <v/>
      </c>
      <c r="N3012" s="6" t="n">
        <v>499</v>
      </c>
    </row>
    <row r="3013">
      <c r="A3013" s="1" t="inlineStr">
        <is>
          <t>66177007689da</t>
        </is>
      </c>
      <c r="B3013" s="1" t="inlineStr">
        <is>
          <t>PULSERA LOVE GOLD</t>
        </is>
      </c>
      <c r="C3013" s="1" t="inlineStr">
        <is>
          <t>17 CM</t>
        </is>
      </c>
      <c r="D3013" s="1" t="inlineStr">
        <is>
          <t>26/05/2026</t>
        </is>
      </c>
      <c r="E3013" s="1" t="n">
        <v>2026</v>
      </c>
      <c r="F3013" s="1" t="inlineStr">
        <is>
          <t>MAYO</t>
        </is>
      </c>
      <c r="G3013" s="1" t="inlineStr">
        <is>
          <t>HAIFENG</t>
        </is>
      </c>
      <c r="H3013" s="1" t="inlineStr">
        <is>
          <t>HAIFENG 26/05/2026</t>
        </is>
      </c>
      <c r="I3013" s="4" t="n">
        <v>15</v>
      </c>
      <c r="J3013" s="6" t="n">
        <v>4.5</v>
      </c>
      <c r="K3013" s="6" t="n">
        <v>94.45182883</v>
      </c>
      <c r="L3013" s="6">
        <f>I3013*K3013</f>
        <v/>
      </c>
      <c r="M3013" s="6">
        <f>K3013*4</f>
        <v/>
      </c>
      <c r="N3013" s="6" t="n">
        <v>499</v>
      </c>
    </row>
    <row r="3014">
      <c r="A3014" s="1" t="inlineStr">
        <is>
          <t>66177007689da</t>
        </is>
      </c>
      <c r="B3014" s="1" t="inlineStr">
        <is>
          <t>PULSERA LOVE GOLD</t>
        </is>
      </c>
      <c r="C3014" s="1" t="inlineStr">
        <is>
          <t>17 CM</t>
        </is>
      </c>
      <c r="D3014" s="1" t="inlineStr">
        <is>
          <t>16/06/2026</t>
        </is>
      </c>
      <c r="E3014" s="1" t="n">
        <v>2026</v>
      </c>
      <c r="F3014" s="1" t="inlineStr">
        <is>
          <t>JUNIO</t>
        </is>
      </c>
      <c r="G3014" s="1" t="inlineStr">
        <is>
          <t>HAIFENG</t>
        </is>
      </c>
      <c r="H3014" s="1" t="inlineStr">
        <is>
          <t>HAIFENG 16/06/2026</t>
        </is>
      </c>
      <c r="I3014" s="4" t="n">
        <v>20</v>
      </c>
      <c r="J3014" s="6" t="n">
        <v>4.5</v>
      </c>
      <c r="K3014" s="6" t="n">
        <v>94.56572907</v>
      </c>
      <c r="L3014" s="6">
        <f>I3014*K3014</f>
        <v/>
      </c>
      <c r="M3014" s="6">
        <f>K3014*4</f>
        <v/>
      </c>
      <c r="N3014" s="6" t="n">
        <v>499</v>
      </c>
    </row>
    <row r="3015">
      <c r="A3015" s="1" t="inlineStr">
        <is>
          <t>66177008100f3</t>
        </is>
      </c>
      <c r="B3015" s="1" t="inlineStr">
        <is>
          <t>PULSERA LOVE GOLD</t>
        </is>
      </c>
      <c r="C3015" s="1" t="inlineStr">
        <is>
          <t>18 CM</t>
        </is>
      </c>
      <c r="D3015" s="1" t="inlineStr">
        <is>
          <t>11/11/2025</t>
        </is>
      </c>
      <c r="E3015" s="1" t="n">
        <v>2025</v>
      </c>
      <c r="F3015" s="1" t="inlineStr">
        <is>
          <t>NOVIEMBRE</t>
        </is>
      </c>
      <c r="G3015" s="1" t="inlineStr">
        <is>
          <t>HAIFENG</t>
        </is>
      </c>
      <c r="H3015" s="1" t="inlineStr">
        <is>
          <t>HAIFENG 11/11/2025</t>
        </is>
      </c>
      <c r="I3015" s="4" t="n">
        <v>4</v>
      </c>
      <c r="J3015" s="6" t="n">
        <v>4.5</v>
      </c>
      <c r="K3015" s="6" t="n">
        <v>94.772243</v>
      </c>
      <c r="L3015" s="6">
        <f>I3015*K3015</f>
        <v/>
      </c>
      <c r="M3015" s="6">
        <f>K3015*4</f>
        <v/>
      </c>
      <c r="N3015" s="6" t="n">
        <v>499</v>
      </c>
    </row>
    <row r="3016">
      <c r="A3016" s="1" t="inlineStr">
        <is>
          <t>66177008100f3</t>
        </is>
      </c>
      <c r="B3016" s="1" t="inlineStr">
        <is>
          <t>PULSERA LOVE GOLD</t>
        </is>
      </c>
      <c r="C3016" s="1" t="inlineStr">
        <is>
          <t>18 CM</t>
        </is>
      </c>
      <c r="D3016" s="1" t="inlineStr">
        <is>
          <t>03/12/2025</t>
        </is>
      </c>
      <c r="E3016" s="1" t="n">
        <v>2025</v>
      </c>
      <c r="F3016" s="1" t="inlineStr">
        <is>
          <t>DICIEMBRE</t>
        </is>
      </c>
      <c r="G3016" s="1" t="inlineStr">
        <is>
          <t>HAIFENG</t>
        </is>
      </c>
      <c r="H3016" s="1" t="inlineStr">
        <is>
          <t>HAIFENG 03/12/2025</t>
        </is>
      </c>
      <c r="I3016" s="4" t="n">
        <v>3</v>
      </c>
      <c r="J3016" s="6" t="n">
        <v>4.5</v>
      </c>
      <c r="K3016" s="6" t="n">
        <v>94.12722005000001</v>
      </c>
      <c r="L3016" s="6">
        <f>I3016*K3016</f>
        <v/>
      </c>
      <c r="M3016" s="6">
        <f>K3016*4</f>
        <v/>
      </c>
      <c r="N3016" s="6" t="n">
        <v>499</v>
      </c>
    </row>
    <row r="3017">
      <c r="A3017" s="1" t="inlineStr">
        <is>
          <t>66177008100f3</t>
        </is>
      </c>
      <c r="B3017" s="1" t="inlineStr">
        <is>
          <t>PULSERA LOVE GOLD</t>
        </is>
      </c>
      <c r="C3017" s="1" t="inlineStr">
        <is>
          <t>18 CM</t>
        </is>
      </c>
      <c r="D3017" s="1" t="inlineStr">
        <is>
          <t>20/01/2026</t>
        </is>
      </c>
      <c r="E3017" s="1" t="n">
        <v>2026</v>
      </c>
      <c r="F3017" s="1" t="inlineStr">
        <is>
          <t>ENERO</t>
        </is>
      </c>
      <c r="G3017" s="1" t="inlineStr">
        <is>
          <t>HAIFENG</t>
        </is>
      </c>
      <c r="H3017" s="1" t="inlineStr">
        <is>
          <t>HAIFENG 20/01/2026</t>
        </is>
      </c>
      <c r="I3017" s="4" t="n">
        <v>10</v>
      </c>
      <c r="J3017" s="6" t="n">
        <v>4.5</v>
      </c>
      <c r="K3017" s="6" t="n">
        <v>95.40188006</v>
      </c>
      <c r="L3017" s="6">
        <f>I3017*K3017</f>
        <v/>
      </c>
      <c r="M3017" s="6">
        <f>K3017*4</f>
        <v/>
      </c>
      <c r="N3017" s="6" t="n">
        <v>499</v>
      </c>
    </row>
    <row r="3018">
      <c r="A3018" s="1" t="inlineStr">
        <is>
          <t>66177008100f3</t>
        </is>
      </c>
      <c r="B3018" s="1" t="inlineStr">
        <is>
          <t>PULSERA LOVE GOLD</t>
        </is>
      </c>
      <c r="C3018" s="1" t="inlineStr">
        <is>
          <t>18 CM</t>
        </is>
      </c>
      <c r="D3018" s="1" t="inlineStr">
        <is>
          <t>06/05/2026</t>
        </is>
      </c>
      <c r="E3018" s="1" t="n">
        <v>2026</v>
      </c>
      <c r="F3018" s="1" t="inlineStr">
        <is>
          <t>MAYO</t>
        </is>
      </c>
      <c r="G3018" s="1" t="inlineStr">
        <is>
          <t>HAIFENG</t>
        </is>
      </c>
      <c r="H3018" s="1" t="inlineStr">
        <is>
          <t>HAIFENG 06/05/2026</t>
        </is>
      </c>
      <c r="I3018" s="4" t="n">
        <v>3</v>
      </c>
      <c r="J3018" s="6" t="n">
        <v>4.5</v>
      </c>
      <c r="K3018" s="6" t="n">
        <v>95.4838902</v>
      </c>
      <c r="L3018" s="6">
        <f>I3018*K3018</f>
        <v/>
      </c>
      <c r="M3018" s="6">
        <f>K3018*4</f>
        <v/>
      </c>
      <c r="N3018" s="6" t="n">
        <v>499</v>
      </c>
    </row>
    <row r="3019">
      <c r="A3019" s="1" t="inlineStr">
        <is>
          <t>66177008100f3</t>
        </is>
      </c>
      <c r="B3019" s="1" t="inlineStr">
        <is>
          <t>PULSERA LOVE GOLD</t>
        </is>
      </c>
      <c r="C3019" s="1" t="inlineStr">
        <is>
          <t>18 CM</t>
        </is>
      </c>
      <c r="D3019" s="1" t="inlineStr">
        <is>
          <t>26/05/2026</t>
        </is>
      </c>
      <c r="E3019" s="1" t="n">
        <v>2026</v>
      </c>
      <c r="F3019" s="1" t="inlineStr">
        <is>
          <t>MAYO</t>
        </is>
      </c>
      <c r="G3019" s="1" t="inlineStr">
        <is>
          <t>HAIFENG</t>
        </is>
      </c>
      <c r="H3019" s="1" t="inlineStr">
        <is>
          <t>HAIFENG 26/05/2026</t>
        </is>
      </c>
      <c r="I3019" s="4" t="n">
        <v>15</v>
      </c>
      <c r="J3019" s="6" t="n">
        <v>4.5</v>
      </c>
      <c r="K3019" s="6" t="n">
        <v>94.45182883</v>
      </c>
      <c r="L3019" s="6">
        <f>I3019*K3019</f>
        <v/>
      </c>
      <c r="M3019" s="6">
        <f>K3019*4</f>
        <v/>
      </c>
      <c r="N3019" s="6" t="n">
        <v>499</v>
      </c>
    </row>
    <row r="3020">
      <c r="A3020" s="1" t="inlineStr">
        <is>
          <t>66177008100f3</t>
        </is>
      </c>
      <c r="B3020" s="1" t="inlineStr">
        <is>
          <t>PULSERA LOVE GOLD</t>
        </is>
      </c>
      <c r="C3020" s="1" t="inlineStr">
        <is>
          <t>18 CM</t>
        </is>
      </c>
      <c r="D3020" s="1" t="inlineStr">
        <is>
          <t>16/06/2026</t>
        </is>
      </c>
      <c r="E3020" s="1" t="n">
        <v>2026</v>
      </c>
      <c r="F3020" s="1" t="inlineStr">
        <is>
          <t>JUNIO</t>
        </is>
      </c>
      <c r="G3020" s="1" t="inlineStr">
        <is>
          <t>HAIFENG</t>
        </is>
      </c>
      <c r="H3020" s="1" t="inlineStr">
        <is>
          <t>HAIFENG 16/06/2026</t>
        </is>
      </c>
      <c r="I3020" s="4" t="n">
        <v>5</v>
      </c>
      <c r="J3020" s="6" t="n">
        <v>4.5</v>
      </c>
      <c r="K3020" s="6" t="n">
        <v>94.56572907</v>
      </c>
      <c r="L3020" s="6">
        <f>I3020*K3020</f>
        <v/>
      </c>
      <c r="M3020" s="6">
        <f>K3020*4</f>
        <v/>
      </c>
      <c r="N3020" s="6" t="n">
        <v>499</v>
      </c>
    </row>
    <row r="3021">
      <c r="A3021" s="1" t="inlineStr">
        <is>
          <t>66177008afe90</t>
        </is>
      </c>
      <c r="B3021" s="1" t="inlineStr">
        <is>
          <t>PULSERA LOVE GOLD</t>
        </is>
      </c>
      <c r="C3021" s="1" t="inlineStr">
        <is>
          <t>19 CM</t>
        </is>
      </c>
      <c r="D3021" s="1" t="inlineStr">
        <is>
          <t>26/05/2026</t>
        </is>
      </c>
      <c r="E3021" s="1" t="n">
        <v>2026</v>
      </c>
      <c r="F3021" s="1" t="inlineStr">
        <is>
          <t>MAYO</t>
        </is>
      </c>
      <c r="G3021" s="1" t="inlineStr">
        <is>
          <t>HAIFENG</t>
        </is>
      </c>
      <c r="H3021" s="1" t="inlineStr">
        <is>
          <t>HAIFENG 26/05/2026</t>
        </is>
      </c>
      <c r="I3021" s="4" t="n">
        <v>8</v>
      </c>
      <c r="J3021" s="6" t="n">
        <v>4.5</v>
      </c>
      <c r="K3021" s="6" t="n">
        <v>94.45182883</v>
      </c>
      <c r="L3021" s="6">
        <f>I3021*K3021</f>
        <v/>
      </c>
      <c r="M3021" s="6">
        <f>K3021*4</f>
        <v/>
      </c>
      <c r="N3021" s="6" t="n">
        <v>499</v>
      </c>
    </row>
    <row r="3022">
      <c r="A3022" s="1" t="inlineStr">
        <is>
          <t>66177009444c0</t>
        </is>
      </c>
      <c r="B3022" s="1" t="inlineStr">
        <is>
          <t>PULSERA LOVE GOLD</t>
        </is>
      </c>
      <c r="C3022" s="1" t="inlineStr">
        <is>
          <t>20 CM</t>
        </is>
      </c>
      <c r="D3022" s="1" t="inlineStr">
        <is>
          <t>11/11/2025</t>
        </is>
      </c>
      <c r="E3022" s="1" t="n">
        <v>2025</v>
      </c>
      <c r="F3022" s="1" t="inlineStr">
        <is>
          <t>NOVIEMBRE</t>
        </is>
      </c>
      <c r="G3022" s="1" t="inlineStr">
        <is>
          <t>HAIFENG</t>
        </is>
      </c>
      <c r="H3022" s="1" t="inlineStr">
        <is>
          <t>HAIFENG 11/11/2025</t>
        </is>
      </c>
      <c r="I3022" s="4" t="n">
        <v>5</v>
      </c>
      <c r="J3022" s="6" t="n">
        <v>4.5</v>
      </c>
      <c r="K3022" s="6" t="n">
        <v>94.772243</v>
      </c>
      <c r="L3022" s="6">
        <f>I3022*K3022</f>
        <v/>
      </c>
      <c r="M3022" s="6">
        <f>K3022*4</f>
        <v/>
      </c>
      <c r="N3022" s="6" t="n">
        <v>499</v>
      </c>
    </row>
    <row r="3023">
      <c r="A3023" s="1" t="inlineStr">
        <is>
          <t>66177009444c0</t>
        </is>
      </c>
      <c r="B3023" s="1" t="inlineStr">
        <is>
          <t>PULSERA LOVE GOLD</t>
        </is>
      </c>
      <c r="C3023" s="1" t="inlineStr">
        <is>
          <t>20 CM</t>
        </is>
      </c>
      <c r="D3023" s="1" t="inlineStr">
        <is>
          <t>03/12/2025</t>
        </is>
      </c>
      <c r="E3023" s="1" t="n">
        <v>2025</v>
      </c>
      <c r="F3023" s="1" t="inlineStr">
        <is>
          <t>DICIEMBRE</t>
        </is>
      </c>
      <c r="G3023" s="1" t="inlineStr">
        <is>
          <t>HAIFENG</t>
        </is>
      </c>
      <c r="H3023" s="1" t="inlineStr">
        <is>
          <t>HAIFENG 03/12/2025</t>
        </is>
      </c>
      <c r="I3023" s="4" t="n">
        <v>2</v>
      </c>
      <c r="J3023" s="6" t="n">
        <v>4.5</v>
      </c>
      <c r="K3023" s="6" t="n">
        <v>94.12722005000001</v>
      </c>
      <c r="L3023" s="6">
        <f>I3023*K3023</f>
        <v/>
      </c>
      <c r="M3023" s="6">
        <f>K3023*4</f>
        <v/>
      </c>
      <c r="N3023" s="6" t="n">
        <v>499</v>
      </c>
    </row>
    <row r="3024">
      <c r="A3024" s="1" t="inlineStr">
        <is>
          <t>66177009444c0</t>
        </is>
      </c>
      <c r="B3024" s="1" t="inlineStr">
        <is>
          <t>PULSERA LOVE GOLD</t>
        </is>
      </c>
      <c r="C3024" s="1" t="inlineStr">
        <is>
          <t>20 CM</t>
        </is>
      </c>
      <c r="D3024" s="1" t="inlineStr">
        <is>
          <t>16/04/2026</t>
        </is>
      </c>
      <c r="E3024" s="1" t="n">
        <v>2026</v>
      </c>
      <c r="F3024" s="1" t="inlineStr">
        <is>
          <t>ABRIL</t>
        </is>
      </c>
      <c r="G3024" s="1" t="inlineStr">
        <is>
          <t>HAIFENG</t>
        </is>
      </c>
      <c r="H3024" s="1" t="inlineStr">
        <is>
          <t>HAIFENG 16/04/2026</t>
        </is>
      </c>
      <c r="I3024" s="4" t="n">
        <v>3</v>
      </c>
      <c r="J3024" s="6" t="n">
        <v>4.5</v>
      </c>
      <c r="K3024" s="6" t="n">
        <v>94.64163114999999</v>
      </c>
      <c r="L3024" s="6">
        <f>I3024*K3024</f>
        <v/>
      </c>
      <c r="M3024" s="6">
        <f>K3024*4</f>
        <v/>
      </c>
      <c r="N3024" s="6" t="n">
        <v>499</v>
      </c>
    </row>
    <row r="3025">
      <c r="A3025" s="1" t="inlineStr">
        <is>
          <t>66177009444c0</t>
        </is>
      </c>
      <c r="B3025" s="1" t="inlineStr">
        <is>
          <t>PULSERA LOVE GOLD</t>
        </is>
      </c>
      <c r="C3025" s="1" t="inlineStr">
        <is>
          <t>20 CM</t>
        </is>
      </c>
      <c r="D3025" s="1" t="inlineStr">
        <is>
          <t>16/06/2026</t>
        </is>
      </c>
      <c r="E3025" s="1" t="n">
        <v>2026</v>
      </c>
      <c r="F3025" s="1" t="inlineStr">
        <is>
          <t>JUNIO</t>
        </is>
      </c>
      <c r="G3025" s="1" t="inlineStr">
        <is>
          <t>HAIFENG</t>
        </is>
      </c>
      <c r="H3025" s="1" t="inlineStr">
        <is>
          <t>HAIFENG 16/06/2026</t>
        </is>
      </c>
      <c r="I3025" s="4" t="n">
        <v>5</v>
      </c>
      <c r="J3025" s="6" t="n">
        <v>4.5</v>
      </c>
      <c r="K3025" s="6" t="n">
        <v>94.56572907</v>
      </c>
      <c r="L3025" s="6">
        <f>I3025*K3025</f>
        <v/>
      </c>
      <c r="M3025" s="6">
        <f>K3025*4</f>
        <v/>
      </c>
      <c r="N3025" s="6" t="n">
        <v>499</v>
      </c>
    </row>
    <row r="3026">
      <c r="A3026" s="1" t="inlineStr">
        <is>
          <t>66177009de26b</t>
        </is>
      </c>
      <c r="B3026" s="1" t="inlineStr">
        <is>
          <t>PULSERA LOVE GOLD</t>
        </is>
      </c>
      <c r="C3026" s="1" t="inlineStr">
        <is>
          <t>21 CM</t>
        </is>
      </c>
      <c r="D3026" s="1" t="inlineStr">
        <is>
          <t>11/11/2025</t>
        </is>
      </c>
      <c r="E3026" s="1" t="n">
        <v>2025</v>
      </c>
      <c r="F3026" s="1" t="inlineStr">
        <is>
          <t>NOVIEMBRE</t>
        </is>
      </c>
      <c r="G3026" s="1" t="inlineStr">
        <is>
          <t>HAIFENG</t>
        </is>
      </c>
      <c r="H3026" s="1" t="inlineStr">
        <is>
          <t>HAIFENG 11/11/2025</t>
        </is>
      </c>
      <c r="I3026" s="4" t="n">
        <v>8</v>
      </c>
      <c r="J3026" s="6" t="n">
        <v>4.5</v>
      </c>
      <c r="K3026" s="6" t="n">
        <v>94.772243</v>
      </c>
      <c r="L3026" s="6">
        <f>I3026*K3026</f>
        <v/>
      </c>
      <c r="M3026" s="6">
        <f>K3026*4</f>
        <v/>
      </c>
      <c r="N3026" s="6" t="n">
        <v>499</v>
      </c>
    </row>
    <row r="3027">
      <c r="A3027" s="1" t="inlineStr">
        <is>
          <t>661770f08cba3</t>
        </is>
      </c>
      <c r="B3027" s="1" t="inlineStr">
        <is>
          <t>PULSERA CLAVO SILVER</t>
        </is>
      </c>
      <c r="C3027" s="1" t="inlineStr">
        <is>
          <t>17 CM</t>
        </is>
      </c>
      <c r="D3027" s="1" t="inlineStr">
        <is>
          <t>06/09/2025</t>
        </is>
      </c>
      <c r="E3027" s="1" t="n">
        <v>2025</v>
      </c>
      <c r="F3027" s="1" t="inlineStr">
        <is>
          <t>SEPTIEMBRE</t>
        </is>
      </c>
      <c r="G3027" s="1" t="inlineStr">
        <is>
          <t>NANCY</t>
        </is>
      </c>
      <c r="H3027" s="1" t="inlineStr">
        <is>
          <t>NANCY 06/09/2025</t>
        </is>
      </c>
      <c r="I3027" s="4" t="n">
        <v>15</v>
      </c>
      <c r="J3027" s="6" t="n">
        <v>2.99</v>
      </c>
      <c r="K3027" s="6" t="n">
        <v>69.62412216</v>
      </c>
      <c r="L3027" s="6">
        <f>I3027*K3027</f>
        <v/>
      </c>
      <c r="M3027" s="6">
        <f>K3027*4</f>
        <v/>
      </c>
      <c r="N3027" s="6" t="n">
        <v>430</v>
      </c>
    </row>
    <row r="3028">
      <c r="A3028" s="1" t="inlineStr">
        <is>
          <t>661770f08cba3</t>
        </is>
      </c>
      <c r="B3028" s="1" t="inlineStr">
        <is>
          <t>PULSERA CLAVO SILVER</t>
        </is>
      </c>
      <c r="C3028" s="1" t="inlineStr">
        <is>
          <t>17 CM</t>
        </is>
      </c>
      <c r="D3028" s="1" t="inlineStr">
        <is>
          <t>03/12/2025</t>
        </is>
      </c>
      <c r="E3028" s="1" t="n">
        <v>2025</v>
      </c>
      <c r="F3028" s="1" t="inlineStr">
        <is>
          <t>DICIEMBRE</t>
        </is>
      </c>
      <c r="G3028" s="1" t="inlineStr">
        <is>
          <t>NANCY</t>
        </is>
      </c>
      <c r="H3028" s="1" t="inlineStr">
        <is>
          <t>NANCY 03/12/2025</t>
        </is>
      </c>
      <c r="I3028" s="4" t="n">
        <v>6</v>
      </c>
      <c r="J3028" s="6" t="n">
        <v>2.99</v>
      </c>
      <c r="K3028" s="6" t="n">
        <v>70.73365679</v>
      </c>
      <c r="L3028" s="6">
        <f>I3028*K3028</f>
        <v/>
      </c>
      <c r="M3028" s="6">
        <f>K3028*4</f>
        <v/>
      </c>
      <c r="N3028" s="6" t="n">
        <v>430</v>
      </c>
    </row>
    <row r="3029">
      <c r="A3029" s="1" t="inlineStr">
        <is>
          <t>661770f12a6a9</t>
        </is>
      </c>
      <c r="B3029" s="1" t="inlineStr">
        <is>
          <t>PULSERA CLAVO SILVER</t>
        </is>
      </c>
      <c r="C3029" s="1" t="inlineStr">
        <is>
          <t>19 CM</t>
        </is>
      </c>
      <c r="D3029" s="1" t="inlineStr">
        <is>
          <t>06/09/2025</t>
        </is>
      </c>
      <c r="E3029" s="1" t="n">
        <v>2025</v>
      </c>
      <c r="F3029" s="1" t="inlineStr">
        <is>
          <t>SEPTIEMBRE</t>
        </is>
      </c>
      <c r="G3029" s="1" t="inlineStr">
        <is>
          <t>NANCY</t>
        </is>
      </c>
      <c r="H3029" s="1" t="inlineStr">
        <is>
          <t>NANCY 06/09/2025</t>
        </is>
      </c>
      <c r="I3029" s="4" t="n">
        <v>10</v>
      </c>
      <c r="J3029" s="6" t="n">
        <v>2.99</v>
      </c>
      <c r="K3029" s="6" t="n">
        <v>69.62412216</v>
      </c>
      <c r="L3029" s="6">
        <f>I3029*K3029</f>
        <v/>
      </c>
      <c r="M3029" s="6">
        <f>K3029*4</f>
        <v/>
      </c>
      <c r="N3029" s="6" t="n">
        <v>450</v>
      </c>
    </row>
    <row r="3030">
      <c r="A3030" s="1" t="inlineStr">
        <is>
          <t>661770f12a6a9</t>
        </is>
      </c>
      <c r="B3030" s="1" t="n"/>
      <c r="C3030" s="1" t="inlineStr">
        <is>
          <t>19 CM</t>
        </is>
      </c>
      <c r="D3030" s="1" t="inlineStr">
        <is>
          <t>03/12/2025</t>
        </is>
      </c>
      <c r="E3030" s="1" t="n">
        <v>2025</v>
      </c>
      <c r="F3030" s="1" t="inlineStr">
        <is>
          <t>DICIEMBRE</t>
        </is>
      </c>
      <c r="G3030" s="1" t="inlineStr">
        <is>
          <t>NANCY</t>
        </is>
      </c>
      <c r="H3030" s="1" t="inlineStr">
        <is>
          <t>NANCY 03/12/2025</t>
        </is>
      </c>
      <c r="I3030" s="4" t="n">
        <v>10</v>
      </c>
      <c r="J3030" s="6" t="n">
        <v>2.99</v>
      </c>
      <c r="K3030" s="6" t="n">
        <v>70.73365679</v>
      </c>
      <c r="L3030" s="6">
        <f>I3030*K3030</f>
        <v/>
      </c>
      <c r="M3030" s="6">
        <f>K3030*4</f>
        <v/>
      </c>
      <c r="N3030" s="6" t="n">
        <v>450</v>
      </c>
    </row>
    <row r="3031">
      <c r="A3031" s="1" t="inlineStr">
        <is>
          <t>661770f12a6a9</t>
        </is>
      </c>
      <c r="B3031" s="1" t="inlineStr">
        <is>
          <t>PULSERA CLAVO SILVER</t>
        </is>
      </c>
      <c r="C3031" s="1" t="inlineStr">
        <is>
          <t>19 CM</t>
        </is>
      </c>
      <c r="D3031" s="1" t="inlineStr">
        <is>
          <t>31/05/2026</t>
        </is>
      </c>
      <c r="E3031" s="1" t="n">
        <v>2026</v>
      </c>
      <c r="F3031" s="1" t="inlineStr">
        <is>
          <t>MAYO</t>
        </is>
      </c>
      <c r="G3031" s="1" t="inlineStr">
        <is>
          <t>NANCY</t>
        </is>
      </c>
      <c r="H3031" s="1" t="inlineStr">
        <is>
          <t>NANCY 31/05/2026</t>
        </is>
      </c>
      <c r="I3031" s="4" t="n">
        <v>4</v>
      </c>
      <c r="J3031" s="6" t="n">
        <v>2.99</v>
      </c>
      <c r="K3031" s="6" t="n">
        <v>72.56009323000001</v>
      </c>
      <c r="L3031" s="6">
        <f>I3031*K3031</f>
        <v/>
      </c>
      <c r="M3031" s="6">
        <f>K3031*4</f>
        <v/>
      </c>
      <c r="N3031" s="6" t="n">
        <v>450</v>
      </c>
    </row>
    <row r="3032">
      <c r="A3032" s="1" t="inlineStr">
        <is>
          <t>6617744996481</t>
        </is>
      </c>
      <c r="B3032" s="1" t="inlineStr">
        <is>
          <t>PULSERA ONE TRÉBOL GOLD BLACK</t>
        </is>
      </c>
      <c r="C3032" s="1" t="inlineStr">
        <is>
          <t>17cm con extensión de 3cm</t>
        </is>
      </c>
      <c r="D3032" s="1" t="inlineStr">
        <is>
          <t>03/12/2025</t>
        </is>
      </c>
      <c r="E3032" s="1" t="n">
        <v>2025</v>
      </c>
      <c r="F3032" s="1" t="inlineStr">
        <is>
          <t>DICIEMBRE</t>
        </is>
      </c>
      <c r="G3032" s="1" t="inlineStr">
        <is>
          <t>NANCY</t>
        </is>
      </c>
      <c r="H3032" s="1" t="inlineStr">
        <is>
          <t>NANCY 03/12/2025</t>
        </is>
      </c>
      <c r="I3032" s="4" t="n">
        <v>8</v>
      </c>
      <c r="J3032" s="6" t="n">
        <v>5.59</v>
      </c>
      <c r="K3032" s="6" t="n">
        <v>132.2411844</v>
      </c>
      <c r="L3032" s="6">
        <f>I3032*K3032</f>
        <v/>
      </c>
      <c r="M3032" s="6">
        <f>K3032*4</f>
        <v/>
      </c>
      <c r="N3032" s="6" t="n">
        <v>450</v>
      </c>
    </row>
    <row r="3033">
      <c r="A3033" s="1" t="inlineStr">
        <is>
          <t>6617744996481</t>
        </is>
      </c>
      <c r="B3033" s="1" t="inlineStr">
        <is>
          <t>PULSERA ONE TRÉBOL GOLD BLACK</t>
        </is>
      </c>
      <c r="C3033" s="1" t="inlineStr">
        <is>
          <t>17cm con extensión de 3cm</t>
        </is>
      </c>
      <c r="D3033" s="1" t="inlineStr">
        <is>
          <t>08/05/2026</t>
        </is>
      </c>
      <c r="E3033" s="1" t="n">
        <v>2026</v>
      </c>
      <c r="F3033" s="1" t="inlineStr">
        <is>
          <t>MAYO</t>
        </is>
      </c>
      <c r="G3033" s="1" t="inlineStr">
        <is>
          <t>NANCY</t>
        </is>
      </c>
      <c r="H3033" s="1" t="inlineStr">
        <is>
          <t>NANCY 08/05/2026</t>
        </is>
      </c>
      <c r="I3033" s="4" t="n">
        <v>5</v>
      </c>
      <c r="J3033" s="6" t="n">
        <v>5.59</v>
      </c>
      <c r="K3033" s="6" t="n">
        <v>132.2468818</v>
      </c>
      <c r="L3033" s="6">
        <f>I3033*K3033</f>
        <v/>
      </c>
      <c r="M3033" s="6">
        <f>K3033*4</f>
        <v/>
      </c>
      <c r="N3033" s="6" t="n">
        <v>450</v>
      </c>
    </row>
    <row r="3034">
      <c r="A3034" s="1" t="inlineStr">
        <is>
          <t>6617744996481</t>
        </is>
      </c>
      <c r="B3034" s="1" t="inlineStr">
        <is>
          <t>PULSERA ONE TRÉBOL GOLD BLACK</t>
        </is>
      </c>
      <c r="C3034" s="1" t="inlineStr">
        <is>
          <t>17cm con extensión de 3cm</t>
        </is>
      </c>
      <c r="D3034" s="1" t="inlineStr">
        <is>
          <t>31/05/2026</t>
        </is>
      </c>
      <c r="E3034" s="1" t="n">
        <v>2026</v>
      </c>
      <c r="F3034" s="1" t="inlineStr">
        <is>
          <t>MAYO</t>
        </is>
      </c>
      <c r="G3034" s="1" t="inlineStr">
        <is>
          <t>NANCY</t>
        </is>
      </c>
      <c r="H3034" s="1" t="inlineStr">
        <is>
          <t>NANCY 31/05/2026</t>
        </is>
      </c>
      <c r="I3034" s="4" t="n">
        <v>4</v>
      </c>
      <c r="J3034" s="6" t="n">
        <v>5.59</v>
      </c>
      <c r="K3034" s="6" t="n">
        <v>135.6558265</v>
      </c>
      <c r="L3034" s="6">
        <f>I3034*K3034</f>
        <v/>
      </c>
      <c r="M3034" s="6">
        <f>K3034*4</f>
        <v/>
      </c>
      <c r="N3034" s="6" t="n">
        <v>450</v>
      </c>
    </row>
    <row r="3035">
      <c r="A3035" s="1" t="inlineStr">
        <is>
          <t>6617744996481</t>
        </is>
      </c>
      <c r="B3035" s="1" t="inlineStr">
        <is>
          <t>PULSERA ONE TRÉBOL GOLD BLACK</t>
        </is>
      </c>
      <c r="C3035" s="1" t="inlineStr">
        <is>
          <t>17cm con extensión de 3cm</t>
        </is>
      </c>
      <c r="D3035" s="1" t="inlineStr">
        <is>
          <t>09/07/2026</t>
        </is>
      </c>
      <c r="E3035" s="1" t="n">
        <v>2026</v>
      </c>
      <c r="F3035" s="1" t="inlineStr">
        <is>
          <t>JULIO</t>
        </is>
      </c>
      <c r="G3035" s="1" t="inlineStr">
        <is>
          <t>NANCY</t>
        </is>
      </c>
      <c r="H3035" s="1" t="inlineStr">
        <is>
          <t>NANCY 09/07/2026</t>
        </is>
      </c>
      <c r="I3035" s="4" t="n">
        <v>5</v>
      </c>
      <c r="J3035" s="6" t="n">
        <v>5.59</v>
      </c>
      <c r="K3035" s="6" t="n">
        <v>136.2029957</v>
      </c>
      <c r="L3035" s="6">
        <f>I3035*K3035</f>
        <v/>
      </c>
      <c r="M3035" s="6">
        <f>K3035*4</f>
        <v/>
      </c>
      <c r="N3035" s="6" t="n">
        <v>450</v>
      </c>
    </row>
    <row r="3036">
      <c r="A3036" s="1" t="inlineStr">
        <is>
          <t>6617744c91a0e</t>
        </is>
      </c>
      <c r="B3036" s="1" t="inlineStr">
        <is>
          <t>PULSERA ONE TRÉBOL GOLD WHITE</t>
        </is>
      </c>
      <c r="C3036" s="1" t="inlineStr">
        <is>
          <t>17cm con extensión de 3cm</t>
        </is>
      </c>
      <c r="D3036" s="1" t="inlineStr">
        <is>
          <t>03/12/2025</t>
        </is>
      </c>
      <c r="E3036" s="1" t="n">
        <v>2025</v>
      </c>
      <c r="F3036" s="1" t="inlineStr">
        <is>
          <t>DICIEMBRE</t>
        </is>
      </c>
      <c r="G3036" s="1" t="inlineStr">
        <is>
          <t>NANCY</t>
        </is>
      </c>
      <c r="H3036" s="1" t="inlineStr">
        <is>
          <t>NANCY 03/12/2025</t>
        </is>
      </c>
      <c r="I3036" s="4" t="n">
        <v>8</v>
      </c>
      <c r="J3036" s="6" t="n">
        <v>5.59</v>
      </c>
      <c r="K3036" s="6" t="n">
        <v>132.2411844</v>
      </c>
      <c r="L3036" s="6">
        <f>I3036*K3036</f>
        <v/>
      </c>
      <c r="M3036" s="6">
        <f>K3036*4</f>
        <v/>
      </c>
      <c r="N3036" s="6" t="n">
        <v>575</v>
      </c>
    </row>
    <row r="3037">
      <c r="A3037" s="1" t="inlineStr">
        <is>
          <t>6617744c91a0e</t>
        </is>
      </c>
      <c r="B3037" s="1" t="inlineStr">
        <is>
          <t>PULSERA ONE TRÉBOL GOLD WHITE</t>
        </is>
      </c>
      <c r="C3037" s="1" t="inlineStr">
        <is>
          <t>17cm con extensión de 3cm</t>
        </is>
      </c>
      <c r="D3037" s="1" t="inlineStr">
        <is>
          <t>09/07/2026</t>
        </is>
      </c>
      <c r="E3037" s="1" t="n">
        <v>2026</v>
      </c>
      <c r="F3037" s="1" t="inlineStr">
        <is>
          <t>JULIO</t>
        </is>
      </c>
      <c r="G3037" s="1" t="inlineStr">
        <is>
          <t>NANCY</t>
        </is>
      </c>
      <c r="H3037" s="1" t="inlineStr">
        <is>
          <t>NANCY 09/07/2026</t>
        </is>
      </c>
      <c r="I3037" s="4" t="n">
        <v>10</v>
      </c>
      <c r="J3037" s="6" t="n">
        <v>5.59</v>
      </c>
      <c r="K3037" s="6" t="n">
        <v>136.2029957</v>
      </c>
      <c r="L3037" s="6">
        <f>I3037*K3037</f>
        <v/>
      </c>
      <c r="M3037" s="6">
        <f>K3037*4</f>
        <v/>
      </c>
      <c r="N3037" s="6" t="n">
        <v>575</v>
      </c>
    </row>
    <row r="3038">
      <c r="A3038" s="1" t="inlineStr">
        <is>
          <t>6617744e4fde3</t>
        </is>
      </c>
      <c r="B3038" s="1" t="inlineStr">
        <is>
          <t>PULSERA TRÉBOL GOLD WHITE VF</t>
        </is>
      </c>
      <c r="C3038" s="1" t="inlineStr">
        <is>
          <t>18cm</t>
        </is>
      </c>
      <c r="D3038" s="1" t="inlineStr">
        <is>
          <t>03/12/2025</t>
        </is>
      </c>
      <c r="E3038" s="1" t="n">
        <v>2025</v>
      </c>
      <c r="F3038" s="1" t="inlineStr">
        <is>
          <t>DICIEMBRE</t>
        </is>
      </c>
      <c r="G3038" s="1" t="inlineStr">
        <is>
          <t>HAIFENG</t>
        </is>
      </c>
      <c r="H3038" s="1" t="inlineStr">
        <is>
          <t>HAIFENG 03/12/2025</t>
        </is>
      </c>
      <c r="I3038" s="4" t="n">
        <v>7</v>
      </c>
      <c r="J3038" s="6" t="n">
        <v>24</v>
      </c>
      <c r="K3038" s="6" t="n">
        <v>502.0118403</v>
      </c>
      <c r="L3038" s="6">
        <f>I3038*K3038</f>
        <v/>
      </c>
      <c r="M3038" s="6">
        <f>K3038*4</f>
        <v/>
      </c>
      <c r="N3038" s="6" t="n">
        <v>1286</v>
      </c>
    </row>
    <row r="3039">
      <c r="A3039" s="1" t="inlineStr">
        <is>
          <t>6617744e4fde3</t>
        </is>
      </c>
      <c r="B3039" s="1" t="inlineStr">
        <is>
          <t>PULSERA TRÉBOL GOLD WHITE VF</t>
        </is>
      </c>
      <c r="C3039" s="1" t="inlineStr">
        <is>
          <t>18cm</t>
        </is>
      </c>
      <c r="D3039" s="1" t="inlineStr">
        <is>
          <t>20/01/2026</t>
        </is>
      </c>
      <c r="E3039" s="1" t="n">
        <v>2026</v>
      </c>
      <c r="F3039" s="1" t="inlineStr">
        <is>
          <t>ENERO</t>
        </is>
      </c>
      <c r="G3039" s="1" t="inlineStr">
        <is>
          <t>HAIFENG</t>
        </is>
      </c>
      <c r="H3039" s="1" t="inlineStr">
        <is>
          <t>HAIFENG 20/01/2026</t>
        </is>
      </c>
      <c r="I3039" s="4" t="n">
        <v>3</v>
      </c>
      <c r="J3039" s="6" t="n">
        <v>7</v>
      </c>
      <c r="K3039" s="6" t="n">
        <v>148.4029245</v>
      </c>
      <c r="L3039" s="6">
        <f>I3039*K3039</f>
        <v/>
      </c>
      <c r="M3039" s="6">
        <f>K3039*4</f>
        <v/>
      </c>
      <c r="N3039" s="6" t="n">
        <v>1286</v>
      </c>
    </row>
    <row r="3040">
      <c r="A3040" s="1" t="inlineStr">
        <is>
          <t>6617744e4fde3</t>
        </is>
      </c>
      <c r="B3040" s="1" t="inlineStr">
        <is>
          <t>PULSERA TRÉBOL GOLD WHITE VF</t>
        </is>
      </c>
      <c r="C3040" s="1" t="inlineStr">
        <is>
          <t>18cm</t>
        </is>
      </c>
      <c r="D3040" s="1" t="inlineStr">
        <is>
          <t>10/02/2026</t>
        </is>
      </c>
      <c r="E3040" s="1" t="n">
        <v>2026</v>
      </c>
      <c r="F3040" s="1" t="inlineStr">
        <is>
          <t>FEBRERO</t>
        </is>
      </c>
      <c r="G3040" s="1" t="inlineStr">
        <is>
          <t>HAIFENG</t>
        </is>
      </c>
      <c r="H3040" s="1" t="inlineStr">
        <is>
          <t>HAIFENG 10/02/2026</t>
        </is>
      </c>
      <c r="I3040" s="4" t="n">
        <v>5</v>
      </c>
      <c r="J3040" s="6" t="n">
        <v>7</v>
      </c>
      <c r="K3040" s="6" t="n">
        <v>147.4794725</v>
      </c>
      <c r="L3040" s="6">
        <f>I3040*K3040</f>
        <v/>
      </c>
      <c r="M3040" s="6">
        <f>K3040*4</f>
        <v/>
      </c>
      <c r="N3040" s="6" t="n">
        <v>1286</v>
      </c>
    </row>
    <row r="3041">
      <c r="A3041" s="1" t="inlineStr">
        <is>
          <t>6617744e4fde3</t>
        </is>
      </c>
      <c r="B3041" s="1" t="inlineStr">
        <is>
          <t>PULSERA TRÉBOL GOLD WHITE VF</t>
        </is>
      </c>
      <c r="C3041" s="1" t="inlineStr">
        <is>
          <t>18cm</t>
        </is>
      </c>
      <c r="D3041" s="1" t="inlineStr">
        <is>
          <t>11/03/2026</t>
        </is>
      </c>
      <c r="E3041" s="1" t="n">
        <v>2026</v>
      </c>
      <c r="F3041" s="1" t="inlineStr">
        <is>
          <t>MARZO</t>
        </is>
      </c>
      <c r="G3041" s="1" t="inlineStr">
        <is>
          <t>HAIFENG</t>
        </is>
      </c>
      <c r="H3041" s="1" t="inlineStr">
        <is>
          <t>HAIFENG 11/03/2026</t>
        </is>
      </c>
      <c r="I3041" s="4" t="n">
        <v>6</v>
      </c>
      <c r="J3041" s="6" t="n">
        <v>7</v>
      </c>
      <c r="K3041" s="6" t="n">
        <v>149.1272735</v>
      </c>
      <c r="L3041" s="6">
        <f>I3041*K3041</f>
        <v/>
      </c>
      <c r="M3041" s="6">
        <f>K3041*4</f>
        <v/>
      </c>
      <c r="N3041" s="6" t="n">
        <v>1286</v>
      </c>
    </row>
    <row r="3042">
      <c r="A3042" s="1" t="inlineStr">
        <is>
          <t>661774512157c</t>
        </is>
      </c>
      <c r="B3042" s="1" t="inlineStr">
        <is>
          <t>PULSERA TREBOL SILVER WHITE VF</t>
        </is>
      </c>
      <c r="C3042" s="1" t="inlineStr">
        <is>
          <t>18cm</t>
        </is>
      </c>
      <c r="D3042" s="1" t="inlineStr">
        <is>
          <t>11/11/2025</t>
        </is>
      </c>
      <c r="E3042" s="1" t="n">
        <v>2025</v>
      </c>
      <c r="F3042" s="1" t="inlineStr">
        <is>
          <t>NOVIEMBRE</t>
        </is>
      </c>
      <c r="G3042" s="1" t="inlineStr">
        <is>
          <t>HAIFENG</t>
        </is>
      </c>
      <c r="H3042" s="1" t="inlineStr">
        <is>
          <t>HAIFENG 11/11/2025</t>
        </is>
      </c>
      <c r="I3042" s="4" t="n">
        <v>3</v>
      </c>
      <c r="J3042" s="6" t="n">
        <v>25</v>
      </c>
      <c r="K3042" s="6" t="n">
        <v>526.5124611</v>
      </c>
      <c r="L3042" s="6">
        <f>I3042*K3042</f>
        <v/>
      </c>
      <c r="M3042" s="6">
        <f>K3042*4</f>
        <v/>
      </c>
      <c r="N3042" s="6" t="n">
        <v>900</v>
      </c>
    </row>
    <row r="3043">
      <c r="A3043" s="1" t="inlineStr">
        <is>
          <t>661774512157c</t>
        </is>
      </c>
      <c r="B3043" s="1" t="inlineStr">
        <is>
          <t>PULSERA TRÉBOL SILVER WHITE VF</t>
        </is>
      </c>
      <c r="C3043" s="1" t="inlineStr">
        <is>
          <t>18cm</t>
        </is>
      </c>
      <c r="D3043" s="1" t="inlineStr">
        <is>
          <t>03/12/2025</t>
        </is>
      </c>
      <c r="E3043" s="1" t="n">
        <v>2025</v>
      </c>
      <c r="F3043" s="1" t="inlineStr">
        <is>
          <t>DICIEMBRE</t>
        </is>
      </c>
      <c r="G3043" s="1" t="inlineStr">
        <is>
          <t>HAIFENG</t>
        </is>
      </c>
      <c r="H3043" s="1" t="inlineStr">
        <is>
          <t>HAIFENG 03/12/2025</t>
        </is>
      </c>
      <c r="I3043" s="4" t="n">
        <v>2</v>
      </c>
      <c r="J3043" s="6" t="n">
        <v>27</v>
      </c>
      <c r="K3043" s="6" t="n">
        <v>564.7633203</v>
      </c>
      <c r="L3043" s="6">
        <f>I3043*K3043</f>
        <v/>
      </c>
      <c r="M3043" s="6">
        <f>K3043*4</f>
        <v/>
      </c>
      <c r="N3043" s="6" t="n">
        <v>900</v>
      </c>
    </row>
    <row r="3044">
      <c r="A3044" s="1" t="inlineStr">
        <is>
          <t>661774512157c</t>
        </is>
      </c>
      <c r="B3044" s="1" t="inlineStr">
        <is>
          <t>PULSERA TRÉBOL SILVER WHITE VF</t>
        </is>
      </c>
      <c r="C3044" s="1" t="inlineStr">
        <is>
          <t>18cm</t>
        </is>
      </c>
      <c r="D3044" s="1" t="inlineStr">
        <is>
          <t>06/05/2026</t>
        </is>
      </c>
      <c r="E3044" s="1" t="n">
        <v>2026</v>
      </c>
      <c r="F3044" s="1" t="inlineStr">
        <is>
          <t>MAYO</t>
        </is>
      </c>
      <c r="G3044" s="1" t="inlineStr">
        <is>
          <t>HAIFENG</t>
        </is>
      </c>
      <c r="H3044" s="1" t="inlineStr">
        <is>
          <t>HAIFENG 06/05/2026</t>
        </is>
      </c>
      <c r="I3044" s="4" t="n">
        <v>1</v>
      </c>
      <c r="J3044" s="6" t="n">
        <v>7</v>
      </c>
      <c r="K3044" s="6" t="n">
        <v>148.5304959</v>
      </c>
      <c r="L3044" s="6">
        <f>I3044*K3044</f>
        <v/>
      </c>
      <c r="M3044" s="6">
        <f>K3044*4</f>
        <v/>
      </c>
      <c r="N3044" s="6" t="n">
        <v>900</v>
      </c>
    </row>
    <row r="3045">
      <c r="A3045" s="1" t="inlineStr">
        <is>
          <t>661774512157c</t>
        </is>
      </c>
      <c r="B3045" s="1" t="inlineStr">
        <is>
          <t>PULSERA TRÉBOL SILVER WHITE VF</t>
        </is>
      </c>
      <c r="C3045" s="1" t="inlineStr">
        <is>
          <t>18cm</t>
        </is>
      </c>
      <c r="D3045" s="1" t="inlineStr">
        <is>
          <t>26/05/2026</t>
        </is>
      </c>
      <c r="E3045" s="1" t="n">
        <v>2026</v>
      </c>
      <c r="F3045" s="1" t="inlineStr">
        <is>
          <t>MAYO</t>
        </is>
      </c>
      <c r="G3045" s="1" t="inlineStr">
        <is>
          <t>HAIFENG</t>
        </is>
      </c>
      <c r="H3045" s="1" t="inlineStr">
        <is>
          <t>HAIFENG 26/05/2026</t>
        </is>
      </c>
      <c r="I3045" s="4" t="n">
        <v>2</v>
      </c>
      <c r="J3045" s="6" t="n">
        <v>7</v>
      </c>
      <c r="K3045" s="6" t="n">
        <v>146.9250671</v>
      </c>
      <c r="L3045" s="6">
        <f>I3045*K3045</f>
        <v/>
      </c>
      <c r="M3045" s="6">
        <f>K3045*4</f>
        <v/>
      </c>
      <c r="N3045" s="6" t="n">
        <v>900</v>
      </c>
    </row>
    <row r="3046">
      <c r="A3046" s="1" t="inlineStr">
        <is>
          <t>6617745150ec8</t>
        </is>
      </c>
      <c r="B3046" s="1" t="inlineStr">
        <is>
          <t>PULSERA TRÉBOL SILVER BLACK VF</t>
        </is>
      </c>
      <c r="C3046" s="1" t="inlineStr">
        <is>
          <t>20cm</t>
        </is>
      </c>
      <c r="D3046" s="1" t="inlineStr">
        <is>
          <t>10/02/2026</t>
        </is>
      </c>
      <c r="E3046" s="1" t="n">
        <v>2026</v>
      </c>
      <c r="F3046" s="1" t="inlineStr">
        <is>
          <t>FEBRERO</t>
        </is>
      </c>
      <c r="G3046" s="1" t="inlineStr">
        <is>
          <t>HAIFENG</t>
        </is>
      </c>
      <c r="H3046" s="1" t="inlineStr">
        <is>
          <t>HAIFENG 10/02/2026</t>
        </is>
      </c>
      <c r="I3046" s="4" t="n">
        <v>4</v>
      </c>
      <c r="J3046" s="6" t="n">
        <v>7</v>
      </c>
      <c r="K3046" s="6" t="n">
        <v>147.4794725</v>
      </c>
      <c r="L3046" s="6">
        <f>I3046*K3046</f>
        <v/>
      </c>
      <c r="M3046" s="6">
        <f>K3046*4</f>
        <v/>
      </c>
      <c r="N3046" s="6" t="n">
        <v>599</v>
      </c>
    </row>
    <row r="3047">
      <c r="A3047" s="1" t="inlineStr">
        <is>
          <t>6617745150ec8</t>
        </is>
      </c>
      <c r="B3047" s="1" t="inlineStr">
        <is>
          <t>PULSERA TRÉBOL SILVER BLACK VF</t>
        </is>
      </c>
      <c r="C3047" s="1" t="inlineStr">
        <is>
          <t>20cm</t>
        </is>
      </c>
      <c r="D3047" s="1" t="inlineStr">
        <is>
          <t>11/03/2026</t>
        </is>
      </c>
      <c r="E3047" s="1" t="n">
        <v>2026</v>
      </c>
      <c r="F3047" s="1" t="inlineStr">
        <is>
          <t>MARZO</t>
        </is>
      </c>
      <c r="G3047" s="1" t="inlineStr">
        <is>
          <t>HAIFENG</t>
        </is>
      </c>
      <c r="H3047" s="1" t="inlineStr">
        <is>
          <t>HAIFENG 11/03/2026</t>
        </is>
      </c>
      <c r="I3047" s="4" t="n">
        <v>3</v>
      </c>
      <c r="J3047" s="6" t="n">
        <v>7</v>
      </c>
      <c r="K3047" s="6" t="n">
        <v>149.1272735</v>
      </c>
      <c r="L3047" s="6">
        <f>I3047*K3047</f>
        <v/>
      </c>
      <c r="M3047" s="6">
        <f>K3047*4</f>
        <v/>
      </c>
      <c r="N3047" s="6" t="n">
        <v>599</v>
      </c>
    </row>
    <row r="3048">
      <c r="A3048" s="1" t="inlineStr">
        <is>
          <t>6617745150ec8</t>
        </is>
      </c>
      <c r="B3048" s="1" t="inlineStr">
        <is>
          <t>PULSERA TRÉBOL SILVER BLACK VF</t>
        </is>
      </c>
      <c r="C3048" s="1" t="inlineStr">
        <is>
          <t>20cm</t>
        </is>
      </c>
      <c r="D3048" s="1" t="inlineStr">
        <is>
          <t>16/04/2026</t>
        </is>
      </c>
      <c r="E3048" s="1" t="n">
        <v>2026</v>
      </c>
      <c r="F3048" s="1" t="inlineStr">
        <is>
          <t>ABRIL</t>
        </is>
      </c>
      <c r="G3048" s="1" t="inlineStr">
        <is>
          <t>HAIFENG</t>
        </is>
      </c>
      <c r="H3048" s="1" t="inlineStr">
        <is>
          <t>HAIFENG 16/04/2026</t>
        </is>
      </c>
      <c r="I3048" s="4" t="n">
        <v>1</v>
      </c>
      <c r="J3048" s="6" t="n">
        <v>7</v>
      </c>
      <c r="K3048" s="6" t="n">
        <v>147.2203151</v>
      </c>
      <c r="L3048" s="6">
        <f>I3048*K3048</f>
        <v/>
      </c>
      <c r="M3048" s="6">
        <f>K3048*4</f>
        <v/>
      </c>
      <c r="N3048" s="6" t="n">
        <v>599</v>
      </c>
    </row>
    <row r="3049">
      <c r="A3049" s="1" t="inlineStr">
        <is>
          <t>6617745150ec8</t>
        </is>
      </c>
      <c r="B3049" s="1" t="inlineStr">
        <is>
          <t>PULSERA TRÉBOL SILVER BLACK VF</t>
        </is>
      </c>
      <c r="C3049" s="1" t="inlineStr">
        <is>
          <t>20cm</t>
        </is>
      </c>
      <c r="D3049" s="1" t="inlineStr">
        <is>
          <t>16/06/2026</t>
        </is>
      </c>
      <c r="E3049" s="1" t="n">
        <v>2026</v>
      </c>
      <c r="F3049" s="1" t="inlineStr">
        <is>
          <t>JUNIO</t>
        </is>
      </c>
      <c r="G3049" s="1" t="inlineStr">
        <is>
          <t>HAIFENG</t>
        </is>
      </c>
      <c r="H3049" s="1" t="inlineStr">
        <is>
          <t>HAIFENG 16/06/2026</t>
        </is>
      </c>
      <c r="I3049" s="4" t="n">
        <v>4</v>
      </c>
      <c r="J3049" s="6" t="n">
        <v>7</v>
      </c>
      <c r="K3049" s="6" t="n">
        <v>147.1022452</v>
      </c>
      <c r="L3049" s="6">
        <f>I3049*K3049</f>
        <v/>
      </c>
      <c r="M3049" s="6">
        <f>K3049*4</f>
        <v/>
      </c>
      <c r="N3049" s="6" t="n">
        <v>599</v>
      </c>
    </row>
    <row r="3050">
      <c r="A3050" s="1" t="inlineStr">
        <is>
          <t>661774545334c</t>
        </is>
      </c>
      <c r="B3050" s="1" t="inlineStr">
        <is>
          <t>PULSERA TRÉBOL GOLD RED VF</t>
        </is>
      </c>
      <c r="C3050" s="1" t="inlineStr">
        <is>
          <t>18cm</t>
        </is>
      </c>
      <c r="D3050" s="1" t="inlineStr">
        <is>
          <t>06/05/2026</t>
        </is>
      </c>
      <c r="E3050" s="1" t="n">
        <v>2026</v>
      </c>
      <c r="F3050" s="1" t="inlineStr">
        <is>
          <t>MAYO</t>
        </is>
      </c>
      <c r="G3050" s="1" t="inlineStr">
        <is>
          <t>HAIFENG</t>
        </is>
      </c>
      <c r="H3050" s="1" t="inlineStr">
        <is>
          <t>HAIFENG 06/05/2026</t>
        </is>
      </c>
      <c r="I3050" s="4" t="n">
        <v>2</v>
      </c>
      <c r="J3050" s="6" t="n">
        <v>7</v>
      </c>
      <c r="K3050" s="6" t="n">
        <v>148.5304959</v>
      </c>
      <c r="L3050" s="6">
        <f>I3050*K3050</f>
        <v/>
      </c>
      <c r="M3050" s="6">
        <f>K3050*4</f>
        <v/>
      </c>
      <c r="N3050" s="6" t="n">
        <v>650</v>
      </c>
    </row>
    <row r="3051">
      <c r="A3051" s="1" t="inlineStr">
        <is>
          <t>661774545334c</t>
        </is>
      </c>
      <c r="B3051" s="1" t="inlineStr">
        <is>
          <t>PULSERA TRÉBOL GOLD RED VF</t>
        </is>
      </c>
      <c r="C3051" s="1" t="inlineStr">
        <is>
          <t>18cm</t>
        </is>
      </c>
      <c r="D3051" s="1" t="inlineStr">
        <is>
          <t>26/05/2026</t>
        </is>
      </c>
      <c r="E3051" s="1" t="n">
        <v>2026</v>
      </c>
      <c r="F3051" s="1" t="inlineStr">
        <is>
          <t>MAYO</t>
        </is>
      </c>
      <c r="G3051" s="1" t="inlineStr">
        <is>
          <t>HAIFENG</t>
        </is>
      </c>
      <c r="H3051" s="1" t="inlineStr">
        <is>
          <t>HAIFENG 26/05/2026</t>
        </is>
      </c>
      <c r="I3051" s="4" t="n">
        <v>7</v>
      </c>
      <c r="J3051" s="6" t="n">
        <v>7</v>
      </c>
      <c r="K3051" s="6" t="n">
        <v>146.9250671</v>
      </c>
      <c r="L3051" s="6">
        <f>I3051*K3051</f>
        <v/>
      </c>
      <c r="M3051" s="6">
        <f>K3051*4</f>
        <v/>
      </c>
      <c r="N3051" s="6" t="n">
        <v>650</v>
      </c>
    </row>
    <row r="3052">
      <c r="A3052" s="1" t="inlineStr">
        <is>
          <t>6617748fe62cc</t>
        </is>
      </c>
      <c r="B3052" s="1" t="inlineStr">
        <is>
          <t>PULSERA DE TELA TRES AROS BLACK</t>
        </is>
      </c>
      <c r="C3052" s="1" t="inlineStr">
        <is>
          <t>AJUSTABLE</t>
        </is>
      </c>
      <c r="D3052" s="1" t="inlineStr">
        <is>
          <t>03/12/2025</t>
        </is>
      </c>
      <c r="E3052" s="1" t="n">
        <v>2025</v>
      </c>
      <c r="F3052" s="1" t="inlineStr">
        <is>
          <t>DICIEMBRE</t>
        </is>
      </c>
      <c r="G3052" s="1" t="inlineStr">
        <is>
          <t>HAIFENG</t>
        </is>
      </c>
      <c r="H3052" s="1" t="inlineStr">
        <is>
          <t>HAIFENG 03/12/2025</t>
        </is>
      </c>
      <c r="I3052" s="4" t="n">
        <v>10</v>
      </c>
      <c r="J3052" s="6" t="n">
        <v>4.7</v>
      </c>
      <c r="K3052" s="6" t="n">
        <v>98.31065205</v>
      </c>
      <c r="L3052" s="6">
        <f>I3052*K3052</f>
        <v/>
      </c>
      <c r="M3052" s="6">
        <f>K3052*4</f>
        <v/>
      </c>
      <c r="N3052" s="6" t="n">
        <v>399</v>
      </c>
    </row>
    <row r="3053">
      <c r="A3053" s="1" t="inlineStr">
        <is>
          <t>6617748fe62cc</t>
        </is>
      </c>
      <c r="B3053" s="1" t="inlineStr">
        <is>
          <t>PULSERA DE TELA TRES AROS BLACK</t>
        </is>
      </c>
      <c r="C3053" s="1" t="inlineStr">
        <is>
          <t>AJUSTABLE</t>
        </is>
      </c>
      <c r="D3053" s="1" t="inlineStr">
        <is>
          <t>10/02/2026</t>
        </is>
      </c>
      <c r="E3053" s="1" t="n">
        <v>2026</v>
      </c>
      <c r="F3053" s="1" t="inlineStr">
        <is>
          <t>FEBRERO</t>
        </is>
      </c>
      <c r="G3053" s="1" t="inlineStr">
        <is>
          <t>HAIFENG</t>
        </is>
      </c>
      <c r="H3053" s="1" t="inlineStr">
        <is>
          <t>HAIFENG 10/02/2026</t>
        </is>
      </c>
      <c r="I3053" s="4" t="n">
        <v>5</v>
      </c>
      <c r="J3053" s="6" t="n">
        <v>4.7</v>
      </c>
      <c r="K3053" s="6" t="n">
        <v>99.02193151</v>
      </c>
      <c r="L3053" s="6">
        <f>I3053*K3053</f>
        <v/>
      </c>
      <c r="M3053" s="6">
        <f>K3053*4</f>
        <v/>
      </c>
      <c r="N3053" s="6" t="n">
        <v>399</v>
      </c>
    </row>
    <row r="3054">
      <c r="A3054" s="1" t="inlineStr">
        <is>
          <t>6617748fe62cc</t>
        </is>
      </c>
      <c r="B3054" s="1" t="inlineStr">
        <is>
          <t>PULSERA DE TELA TRES AROS BLACK</t>
        </is>
      </c>
      <c r="C3054" s="1" t="inlineStr">
        <is>
          <t>AJUSTABLE</t>
        </is>
      </c>
      <c r="D3054" s="1" t="inlineStr">
        <is>
          <t>11/03/2026</t>
        </is>
      </c>
      <c r="E3054" s="1" t="n">
        <v>2026</v>
      </c>
      <c r="F3054" s="1" t="inlineStr">
        <is>
          <t>MARZO</t>
        </is>
      </c>
      <c r="G3054" s="1" t="inlineStr">
        <is>
          <t>HAIFENG</t>
        </is>
      </c>
      <c r="H3054" s="1" t="inlineStr">
        <is>
          <t>HAIFENG 11/03/2026</t>
        </is>
      </c>
      <c r="I3054" s="4" t="n">
        <v>6</v>
      </c>
      <c r="J3054" s="6" t="n">
        <v>4.7</v>
      </c>
      <c r="K3054" s="6" t="n">
        <v>100.1283122</v>
      </c>
      <c r="L3054" s="6">
        <f>I3054*K3054</f>
        <v/>
      </c>
      <c r="M3054" s="6">
        <f>K3054*4</f>
        <v/>
      </c>
      <c r="N3054" s="6" t="n">
        <v>399</v>
      </c>
    </row>
    <row r="3055">
      <c r="A3055" s="1" t="inlineStr">
        <is>
          <t>6617748fe62cc</t>
        </is>
      </c>
      <c r="B3055" s="1" t="inlineStr">
        <is>
          <t>PULSERA DE TELA TRES AROS BLACK</t>
        </is>
      </c>
      <c r="C3055" s="1" t="inlineStr">
        <is>
          <t>AJUSTABLE</t>
        </is>
      </c>
      <c r="D3055" s="1" t="inlineStr">
        <is>
          <t>06/05/2026</t>
        </is>
      </c>
      <c r="E3055" s="1" t="n">
        <v>2026</v>
      </c>
      <c r="F3055" s="1" t="inlineStr">
        <is>
          <t>MAYO</t>
        </is>
      </c>
      <c r="G3055" s="1" t="inlineStr">
        <is>
          <t>HAIFENG</t>
        </is>
      </c>
      <c r="H3055" s="1" t="inlineStr">
        <is>
          <t>HAIFENG 06/05/2026</t>
        </is>
      </c>
      <c r="I3055" s="4" t="n">
        <v>6</v>
      </c>
      <c r="J3055" s="6" t="n">
        <v>4.7</v>
      </c>
      <c r="K3055" s="6" t="n">
        <v>99.72761865</v>
      </c>
      <c r="L3055" s="6">
        <f>I3055*K3055</f>
        <v/>
      </c>
      <c r="M3055" s="6">
        <f>K3055*4</f>
        <v/>
      </c>
      <c r="N3055" s="6" t="n">
        <v>399</v>
      </c>
    </row>
    <row r="3056">
      <c r="A3056" s="1" t="inlineStr">
        <is>
          <t>6617748fe62cc</t>
        </is>
      </c>
      <c r="B3056" s="1" t="inlineStr">
        <is>
          <t>PULSERA DE TELA TRES AROS BLACK</t>
        </is>
      </c>
      <c r="C3056" s="1" t="inlineStr">
        <is>
          <t>AJUSTABLE</t>
        </is>
      </c>
      <c r="D3056" s="1" t="inlineStr">
        <is>
          <t>16/06/2026</t>
        </is>
      </c>
      <c r="E3056" s="1" t="n">
        <v>2026</v>
      </c>
      <c r="F3056" s="1" t="inlineStr">
        <is>
          <t>JUNIO</t>
        </is>
      </c>
      <c r="G3056" s="1" t="inlineStr">
        <is>
          <t>HAIFENG</t>
        </is>
      </c>
      <c r="H3056" s="1" t="inlineStr">
        <is>
          <t>HAIFENG 16/06/2026</t>
        </is>
      </c>
      <c r="I3056" s="4" t="n">
        <v>8</v>
      </c>
      <c r="J3056" s="6" t="n">
        <v>4.7</v>
      </c>
      <c r="K3056" s="6" t="n">
        <v>98.76865036</v>
      </c>
      <c r="L3056" s="6">
        <f>I3056*K3056</f>
        <v/>
      </c>
      <c r="M3056" s="6">
        <f>K3056*4</f>
        <v/>
      </c>
      <c r="N3056" s="6" t="n">
        <v>399</v>
      </c>
    </row>
    <row r="3057">
      <c r="A3057" s="1" t="inlineStr">
        <is>
          <t>661774c11e19f</t>
        </is>
      </c>
      <c r="B3057" s="1" t="inlineStr">
        <is>
          <t>PULSERA ECROU GOLD</t>
        </is>
      </c>
      <c r="C3057" s="1" t="n">
        <v>16</v>
      </c>
      <c r="D3057" s="1" t="inlineStr">
        <is>
          <t>01/03/2026</t>
        </is>
      </c>
      <c r="E3057" s="1" t="n">
        <v>2026</v>
      </c>
      <c r="F3057" s="1" t="inlineStr">
        <is>
          <t>MARZO</t>
        </is>
      </c>
      <c r="G3057" s="1" t="inlineStr">
        <is>
          <t>NANCY</t>
        </is>
      </c>
      <c r="H3057" s="1" t="inlineStr">
        <is>
          <t>NANCY 01/03/2026</t>
        </is>
      </c>
      <c r="I3057" s="4" t="n">
        <v>3</v>
      </c>
      <c r="J3057" s="6" t="n">
        <v>5.39</v>
      </c>
      <c r="K3057" s="6" t="n">
        <v>136.3870418</v>
      </c>
      <c r="L3057" s="6">
        <f>I3057*K3057</f>
        <v/>
      </c>
      <c r="M3057" s="6">
        <f>K3057*4</f>
        <v/>
      </c>
      <c r="N3057" s="6" t="n">
        <v>450</v>
      </c>
    </row>
    <row r="3058">
      <c r="A3058" s="1" t="inlineStr">
        <is>
          <t>661774c11e19f</t>
        </is>
      </c>
      <c r="B3058" s="1" t="inlineStr">
        <is>
          <t>PULSERA ECROU GOLD</t>
        </is>
      </c>
      <c r="C3058" s="1" t="n">
        <v>16</v>
      </c>
      <c r="D3058" s="1" t="inlineStr">
        <is>
          <t>31/05/2026</t>
        </is>
      </c>
      <c r="E3058" s="1" t="n">
        <v>2026</v>
      </c>
      <c r="F3058" s="1" t="inlineStr">
        <is>
          <t>MAYO</t>
        </is>
      </c>
      <c r="G3058" s="1" t="inlineStr">
        <is>
          <t>NANCY</t>
        </is>
      </c>
      <c r="H3058" s="1" t="inlineStr">
        <is>
          <t>NANCY 31/05/2026</t>
        </is>
      </c>
      <c r="I3058" s="4" t="n">
        <v>8</v>
      </c>
      <c r="J3058" s="6" t="n">
        <v>5.39</v>
      </c>
      <c r="K3058" s="6" t="n">
        <v>130.8023085</v>
      </c>
      <c r="L3058" s="6">
        <f>I3058*K3058</f>
        <v/>
      </c>
      <c r="M3058" s="6">
        <f>K3058*4</f>
        <v/>
      </c>
      <c r="N3058" s="6" t="n">
        <v>450</v>
      </c>
    </row>
    <row r="3059">
      <c r="A3059" s="1" t="inlineStr">
        <is>
          <t>661774c181d21</t>
        </is>
      </c>
      <c r="B3059" s="1" t="inlineStr">
        <is>
          <t>PULSERA ECROU SILVER</t>
        </is>
      </c>
      <c r="C3059" s="1" t="inlineStr">
        <is>
          <t>16cm</t>
        </is>
      </c>
      <c r="D3059" s="1" t="inlineStr">
        <is>
          <t>06/09/2025</t>
        </is>
      </c>
      <c r="E3059" s="1" t="n">
        <v>2025</v>
      </c>
      <c r="F3059" s="1" t="inlineStr">
        <is>
          <t>SEPTIEMBRE</t>
        </is>
      </c>
      <c r="G3059" s="1" t="inlineStr">
        <is>
          <t>NANCY</t>
        </is>
      </c>
      <c r="H3059" s="1" t="inlineStr">
        <is>
          <t>NANCY 06/09/2025</t>
        </is>
      </c>
      <c r="I3059" s="4" t="n">
        <v>1</v>
      </c>
      <c r="J3059" s="6" t="n">
        <v>5.39</v>
      </c>
      <c r="K3059" s="6" t="n">
        <v>125.5097052</v>
      </c>
      <c r="L3059" s="6">
        <f>I3059*K3059</f>
        <v/>
      </c>
      <c r="M3059" s="6">
        <f>K3059*4</f>
        <v/>
      </c>
      <c r="N3059" s="6" t="n">
        <v>499</v>
      </c>
    </row>
    <row r="3060">
      <c r="A3060" s="1" t="inlineStr">
        <is>
          <t>661774c181d21</t>
        </is>
      </c>
      <c r="B3060" s="1" t="inlineStr">
        <is>
          <t>PULSERA ECROU SILVER</t>
        </is>
      </c>
      <c r="C3060" s="1" t="inlineStr">
        <is>
          <t>16cm</t>
        </is>
      </c>
      <c r="D3060" s="1" t="inlineStr">
        <is>
          <t>03/12/2025</t>
        </is>
      </c>
      <c r="E3060" s="1" t="n">
        <v>2025</v>
      </c>
      <c r="F3060" s="1" t="inlineStr">
        <is>
          <t>DICIEMBRE</t>
        </is>
      </c>
      <c r="G3060" s="1" t="inlineStr">
        <is>
          <t>NANCY</t>
        </is>
      </c>
      <c r="H3060" s="1" t="inlineStr">
        <is>
          <t>NANCY 03/12/2025</t>
        </is>
      </c>
      <c r="I3060" s="4" t="n">
        <v>6</v>
      </c>
      <c r="J3060" s="6" t="n">
        <v>5.39</v>
      </c>
      <c r="K3060" s="6" t="n">
        <v>127.5098362</v>
      </c>
      <c r="L3060" s="6">
        <f>I3060*K3060</f>
        <v/>
      </c>
      <c r="M3060" s="6">
        <f>K3060*4</f>
        <v/>
      </c>
      <c r="N3060" s="6" t="n">
        <v>499</v>
      </c>
    </row>
    <row r="3061">
      <c r="A3061" s="1" t="inlineStr">
        <is>
          <t>661774c181d21</t>
        </is>
      </c>
      <c r="B3061" s="1" t="inlineStr">
        <is>
          <t>PULSERA ECROU SILVER</t>
        </is>
      </c>
      <c r="C3061" s="1" t="inlineStr">
        <is>
          <t>16cm</t>
        </is>
      </c>
      <c r="D3061" s="1" t="inlineStr">
        <is>
          <t>01/03/2026</t>
        </is>
      </c>
      <c r="E3061" s="1" t="n">
        <v>2026</v>
      </c>
      <c r="F3061" s="1" t="inlineStr">
        <is>
          <t>MARZO</t>
        </is>
      </c>
      <c r="G3061" s="1" t="inlineStr">
        <is>
          <t>NANCY</t>
        </is>
      </c>
      <c r="H3061" s="1" t="inlineStr">
        <is>
          <t>NANCY 01/03/2026</t>
        </is>
      </c>
      <c r="I3061" s="4" t="n">
        <v>5</v>
      </c>
      <c r="J3061" s="6" t="n">
        <v>5.39</v>
      </c>
      <c r="K3061" s="6" t="n">
        <v>136.3870418</v>
      </c>
      <c r="L3061" s="6">
        <f>I3061*K3061</f>
        <v/>
      </c>
      <c r="M3061" s="6">
        <f>K3061*4</f>
        <v/>
      </c>
      <c r="N3061" s="6" t="n">
        <v>499</v>
      </c>
    </row>
    <row r="3062">
      <c r="A3062" s="1" t="inlineStr">
        <is>
          <t>661774c181d21</t>
        </is>
      </c>
      <c r="B3062" s="1" t="inlineStr">
        <is>
          <t>PULSERA ECROU SILVER</t>
        </is>
      </c>
      <c r="C3062" s="1" t="inlineStr">
        <is>
          <t>16cm</t>
        </is>
      </c>
      <c r="D3062" s="1" t="inlineStr">
        <is>
          <t>08/05/2026</t>
        </is>
      </c>
      <c r="E3062" s="1" t="n">
        <v>2026</v>
      </c>
      <c r="F3062" s="1" t="inlineStr">
        <is>
          <t>MAYO</t>
        </is>
      </c>
      <c r="G3062" s="1" t="inlineStr">
        <is>
          <t>NANCY</t>
        </is>
      </c>
      <c r="H3062" s="1" t="inlineStr">
        <is>
          <t>NANCY 08/05/2026</t>
        </is>
      </c>
      <c r="I3062" s="4" t="n">
        <v>5</v>
      </c>
      <c r="J3062" s="6" t="n">
        <v>5.39</v>
      </c>
      <c r="K3062" s="6" t="n">
        <v>127.5153297</v>
      </c>
      <c r="L3062" s="6">
        <f>I3062*K3062</f>
        <v/>
      </c>
      <c r="M3062" s="6">
        <f>K3062*4</f>
        <v/>
      </c>
      <c r="N3062" s="6" t="n">
        <v>499</v>
      </c>
    </row>
    <row r="3063">
      <c r="A3063" s="1" t="inlineStr">
        <is>
          <t>661774c181d21</t>
        </is>
      </c>
      <c r="B3063" s="1" t="inlineStr">
        <is>
          <t>PULSERA ECROU SILVER</t>
        </is>
      </c>
      <c r="C3063" s="1" t="inlineStr">
        <is>
          <t>16cm</t>
        </is>
      </c>
      <c r="D3063" s="1" t="inlineStr">
        <is>
          <t>09/07/2026</t>
        </is>
      </c>
      <c r="E3063" s="1" t="n">
        <v>2026</v>
      </c>
      <c r="F3063" s="1" t="inlineStr">
        <is>
          <t>JULIO</t>
        </is>
      </c>
      <c r="G3063" s="1" t="inlineStr">
        <is>
          <t>NANCY</t>
        </is>
      </c>
      <c r="H3063" s="1" t="inlineStr">
        <is>
          <t>NANCY 09/07/2026</t>
        </is>
      </c>
      <c r="I3063" s="4" t="n">
        <v>6</v>
      </c>
      <c r="J3063" s="6" t="n">
        <v>5.39</v>
      </c>
      <c r="K3063" s="6" t="n">
        <v>131.329901</v>
      </c>
      <c r="L3063" s="6">
        <f>I3063*K3063</f>
        <v/>
      </c>
      <c r="M3063" s="6">
        <f>K3063*4</f>
        <v/>
      </c>
      <c r="N3063" s="6" t="n">
        <v>499</v>
      </c>
    </row>
    <row r="3064">
      <c r="A3064" s="1" t="inlineStr">
        <is>
          <t>661774c19f755</t>
        </is>
      </c>
      <c r="B3064" s="1" t="inlineStr">
        <is>
          <t>PULSERA ECROU ROSEGOLD</t>
        </is>
      </c>
      <c r="C3064" s="1" t="inlineStr">
        <is>
          <t>16cm</t>
        </is>
      </c>
      <c r="D3064" s="1" t="inlineStr">
        <is>
          <t>06/09/2025</t>
        </is>
      </c>
      <c r="E3064" s="1" t="n">
        <v>2025</v>
      </c>
      <c r="F3064" s="1" t="inlineStr">
        <is>
          <t>SEPTIEMBRE</t>
        </is>
      </c>
      <c r="G3064" s="1" t="inlineStr">
        <is>
          <t>NANCY</t>
        </is>
      </c>
      <c r="H3064" s="1" t="inlineStr">
        <is>
          <t>NANCY 06/09/2025</t>
        </is>
      </c>
      <c r="I3064" s="4" t="n">
        <v>3</v>
      </c>
      <c r="J3064" s="6" t="n">
        <v>5.39</v>
      </c>
      <c r="K3064" s="6" t="n">
        <v>125.5097052</v>
      </c>
      <c r="L3064" s="6">
        <f>I3064*K3064</f>
        <v/>
      </c>
      <c r="M3064" s="6">
        <f>K3064*4</f>
        <v/>
      </c>
      <c r="N3064" s="6" t="n">
        <v>479</v>
      </c>
    </row>
    <row r="3065">
      <c r="A3065" s="1" t="inlineStr">
        <is>
          <t>661774c19f755</t>
        </is>
      </c>
      <c r="B3065" s="1" t="inlineStr">
        <is>
          <t>PULSERA ECROU ROSEGOLD</t>
        </is>
      </c>
      <c r="C3065" s="1" t="inlineStr">
        <is>
          <t>16cm</t>
        </is>
      </c>
      <c r="D3065" s="1" t="inlineStr">
        <is>
          <t>03/12/2025</t>
        </is>
      </c>
      <c r="E3065" s="1" t="n">
        <v>2025</v>
      </c>
      <c r="F3065" s="1" t="inlineStr">
        <is>
          <t>DICIEMBRE</t>
        </is>
      </c>
      <c r="G3065" s="1" t="inlineStr">
        <is>
          <t>NANCY</t>
        </is>
      </c>
      <c r="H3065" s="1" t="inlineStr">
        <is>
          <t>NANCY 03/12/2025</t>
        </is>
      </c>
      <c r="I3065" s="4" t="n">
        <v>2</v>
      </c>
      <c r="J3065" s="6" t="n">
        <v>5.39</v>
      </c>
      <c r="K3065" s="6" t="n">
        <v>127.5098362</v>
      </c>
      <c r="L3065" s="6">
        <f>I3065*K3065</f>
        <v/>
      </c>
      <c r="M3065" s="6">
        <f>K3065*4</f>
        <v/>
      </c>
      <c r="N3065" s="6" t="n">
        <v>479</v>
      </c>
    </row>
    <row r="3066">
      <c r="A3066" s="1" t="inlineStr">
        <is>
          <t>661774c19f755</t>
        </is>
      </c>
      <c r="B3066" s="1" t="inlineStr">
        <is>
          <t>PULSERA ECROU ROSEGOLD</t>
        </is>
      </c>
      <c r="C3066" s="1" t="inlineStr">
        <is>
          <t>16cm</t>
        </is>
      </c>
      <c r="D3066" s="1" t="inlineStr">
        <is>
          <t>01/03/2026</t>
        </is>
      </c>
      <c r="E3066" s="1" t="n">
        <v>2026</v>
      </c>
      <c r="F3066" s="1" t="inlineStr">
        <is>
          <t>MARZO</t>
        </is>
      </c>
      <c r="G3066" s="1" t="inlineStr">
        <is>
          <t>NANCY</t>
        </is>
      </c>
      <c r="H3066" s="1" t="inlineStr">
        <is>
          <t>NANCY 01/03/2026</t>
        </is>
      </c>
      <c r="I3066" s="4" t="n">
        <v>3</v>
      </c>
      <c r="J3066" s="6" t="n">
        <v>6.39</v>
      </c>
      <c r="K3066" s="6" t="n">
        <v>161.6907602</v>
      </c>
      <c r="L3066" s="6">
        <f>I3066*K3066</f>
        <v/>
      </c>
      <c r="M3066" s="6">
        <f>K3066*4</f>
        <v/>
      </c>
      <c r="N3066" s="6" t="n">
        <v>479</v>
      </c>
    </row>
    <row r="3067">
      <c r="A3067" s="1" t="inlineStr">
        <is>
          <t>661774c19f755</t>
        </is>
      </c>
      <c r="B3067" s="1" t="inlineStr">
        <is>
          <t>PULSERA ECROU ROSEGOLD</t>
        </is>
      </c>
      <c r="C3067" s="1" t="inlineStr">
        <is>
          <t>16cm</t>
        </is>
      </c>
      <c r="D3067" s="1" t="inlineStr">
        <is>
          <t>31/05/2026</t>
        </is>
      </c>
      <c r="E3067" s="1" t="n">
        <v>2026</v>
      </c>
      <c r="F3067" s="1" t="inlineStr">
        <is>
          <t>MAYO</t>
        </is>
      </c>
      <c r="G3067" s="1" t="inlineStr">
        <is>
          <t>NANCY</t>
        </is>
      </c>
      <c r="H3067" s="1" t="inlineStr">
        <is>
          <t>NANCY 31/05/2026</t>
        </is>
      </c>
      <c r="I3067" s="4" t="n">
        <v>6</v>
      </c>
      <c r="J3067" s="6" t="n">
        <v>5.39</v>
      </c>
      <c r="K3067" s="6" t="n">
        <v>130.8023085</v>
      </c>
      <c r="L3067" s="6">
        <f>I3067*K3067</f>
        <v/>
      </c>
      <c r="M3067" s="6">
        <f>K3067*4</f>
        <v/>
      </c>
      <c r="N3067" s="6" t="n">
        <v>479</v>
      </c>
    </row>
    <row r="3068">
      <c r="A3068" s="1" t="inlineStr">
        <is>
          <t>661774c1c7ccf</t>
        </is>
      </c>
      <c r="B3068" s="1" t="inlineStr">
        <is>
          <t>PULSERA ECROU GOLD</t>
        </is>
      </c>
      <c r="C3068" s="1" t="n">
        <v>20</v>
      </c>
      <c r="D3068" s="1" t="inlineStr">
        <is>
          <t>31/05/2026</t>
        </is>
      </c>
      <c r="E3068" s="1" t="n">
        <v>2026</v>
      </c>
      <c r="F3068" s="1" t="inlineStr">
        <is>
          <t>MAYO</t>
        </is>
      </c>
      <c r="G3068" s="1" t="inlineStr">
        <is>
          <t>NANCY</t>
        </is>
      </c>
      <c r="H3068" s="1" t="inlineStr">
        <is>
          <t>NANCY 31/05/2026</t>
        </is>
      </c>
      <c r="I3068" s="4" t="n">
        <v>2</v>
      </c>
      <c r="J3068" s="6" t="n">
        <v>5.39</v>
      </c>
      <c r="K3068" s="6" t="n">
        <v>130.8023085</v>
      </c>
      <c r="L3068" s="6">
        <f>I3068*K3068</f>
        <v/>
      </c>
      <c r="M3068" s="6">
        <f>K3068*4</f>
        <v/>
      </c>
      <c r="N3068" s="6" t="n">
        <v>450</v>
      </c>
    </row>
    <row r="3069">
      <c r="A3069" s="1" t="inlineStr">
        <is>
          <t>661774c22d9a0</t>
        </is>
      </c>
      <c r="B3069" s="1" t="inlineStr">
        <is>
          <t>PULSERA ECROU SILVER</t>
        </is>
      </c>
      <c r="C3069" s="1" t="inlineStr">
        <is>
          <t>20cm</t>
        </is>
      </c>
      <c r="D3069" s="1" t="inlineStr">
        <is>
          <t>06/09/2025</t>
        </is>
      </c>
      <c r="E3069" s="1" t="n">
        <v>2025</v>
      </c>
      <c r="F3069" s="1" t="inlineStr">
        <is>
          <t>SEPTIEMBRE</t>
        </is>
      </c>
      <c r="G3069" s="1" t="inlineStr">
        <is>
          <t>NANCY</t>
        </is>
      </c>
      <c r="H3069" s="1" t="inlineStr">
        <is>
          <t>NANCY 06/09/2025</t>
        </is>
      </c>
      <c r="I3069" s="4" t="n">
        <v>5</v>
      </c>
      <c r="J3069" s="6" t="n">
        <v>5.39</v>
      </c>
      <c r="K3069" s="6" t="n">
        <v>125.5097052</v>
      </c>
      <c r="L3069" s="6">
        <f>I3069*K3069</f>
        <v/>
      </c>
      <c r="M3069" s="6">
        <f>K3069*4</f>
        <v/>
      </c>
      <c r="N3069" s="6" t="n">
        <v>499</v>
      </c>
    </row>
    <row r="3070">
      <c r="A3070" s="1" t="inlineStr">
        <is>
          <t>661774c22d9a0</t>
        </is>
      </c>
      <c r="B3070" s="1" t="n"/>
      <c r="C3070" s="1" t="inlineStr">
        <is>
          <t>20cm</t>
        </is>
      </c>
      <c r="D3070" s="1" t="inlineStr">
        <is>
          <t>03/12/2025</t>
        </is>
      </c>
      <c r="E3070" s="1" t="n">
        <v>2025</v>
      </c>
      <c r="F3070" s="1" t="inlineStr">
        <is>
          <t>DICIEMBRE</t>
        </is>
      </c>
      <c r="G3070" s="1" t="inlineStr">
        <is>
          <t>NANCY</t>
        </is>
      </c>
      <c r="H3070" s="1" t="inlineStr">
        <is>
          <t>NANCY 03/12/2025</t>
        </is>
      </c>
      <c r="I3070" s="4" t="n">
        <v>4</v>
      </c>
      <c r="J3070" s="6" t="n">
        <v>5.39</v>
      </c>
      <c r="K3070" s="6" t="n">
        <v>127.5098362</v>
      </c>
      <c r="L3070" s="6">
        <f>I3070*K3070</f>
        <v/>
      </c>
      <c r="M3070" s="6">
        <f>K3070*4</f>
        <v/>
      </c>
      <c r="N3070" s="6" t="n">
        <v>499</v>
      </c>
    </row>
    <row r="3071">
      <c r="A3071" s="1" t="inlineStr">
        <is>
          <t>661774c22d9a0</t>
        </is>
      </c>
      <c r="B3071" s="1" t="inlineStr">
        <is>
          <t>PULSERA ECROU SILVER</t>
        </is>
      </c>
      <c r="C3071" s="1" t="inlineStr">
        <is>
          <t>20cm</t>
        </is>
      </c>
      <c r="D3071" s="1" t="inlineStr">
        <is>
          <t>01/03/2026</t>
        </is>
      </c>
      <c r="E3071" s="1" t="n">
        <v>2026</v>
      </c>
      <c r="F3071" s="1" t="inlineStr">
        <is>
          <t>MARZO</t>
        </is>
      </c>
      <c r="G3071" s="1" t="inlineStr">
        <is>
          <t>NANCY</t>
        </is>
      </c>
      <c r="H3071" s="1" t="inlineStr">
        <is>
          <t>NANCY 01/03/2026</t>
        </is>
      </c>
      <c r="I3071" s="4" t="n">
        <v>7</v>
      </c>
      <c r="J3071" s="6" t="n">
        <v>5.39</v>
      </c>
      <c r="K3071" s="6" t="n">
        <v>136.3870418</v>
      </c>
      <c r="L3071" s="6">
        <f>I3071*K3071</f>
        <v/>
      </c>
      <c r="M3071" s="6">
        <f>K3071*4</f>
        <v/>
      </c>
      <c r="N3071" s="6" t="n">
        <v>499</v>
      </c>
    </row>
    <row r="3072">
      <c r="A3072" s="1" t="inlineStr">
        <is>
          <t>661774c22d9a0</t>
        </is>
      </c>
      <c r="B3072" s="1" t="inlineStr">
        <is>
          <t>PULSERA ECROU SILVER</t>
        </is>
      </c>
      <c r="C3072" s="1" t="inlineStr">
        <is>
          <t>20cm</t>
        </is>
      </c>
      <c r="D3072" s="1" t="inlineStr">
        <is>
          <t>08/05/2026</t>
        </is>
      </c>
      <c r="E3072" s="1" t="n">
        <v>2026</v>
      </c>
      <c r="F3072" s="1" t="inlineStr">
        <is>
          <t>MAYO</t>
        </is>
      </c>
      <c r="G3072" s="1" t="inlineStr">
        <is>
          <t>NANCY</t>
        </is>
      </c>
      <c r="H3072" s="1" t="inlineStr">
        <is>
          <t>NANCY 08/05/2026</t>
        </is>
      </c>
      <c r="I3072" s="4" t="n">
        <v>5</v>
      </c>
      <c r="J3072" s="6" t="n">
        <v>5.39</v>
      </c>
      <c r="K3072" s="6" t="n">
        <v>127.5153297</v>
      </c>
      <c r="L3072" s="6">
        <f>I3072*K3072</f>
        <v/>
      </c>
      <c r="M3072" s="6">
        <f>K3072*4</f>
        <v/>
      </c>
      <c r="N3072" s="6" t="n">
        <v>499</v>
      </c>
    </row>
    <row r="3073">
      <c r="A3073" s="1" t="inlineStr">
        <is>
          <t>661774c22d9a0</t>
        </is>
      </c>
      <c r="B3073" s="1" t="inlineStr">
        <is>
          <t>PULSERA ECROU SILVER</t>
        </is>
      </c>
      <c r="C3073" s="1" t="inlineStr">
        <is>
          <t>20cm</t>
        </is>
      </c>
      <c r="D3073" s="1" t="inlineStr">
        <is>
          <t>31/05/2026</t>
        </is>
      </c>
      <c r="E3073" s="1" t="n">
        <v>2026</v>
      </c>
      <c r="F3073" s="1" t="inlineStr">
        <is>
          <t>MAYO</t>
        </is>
      </c>
      <c r="G3073" s="1" t="inlineStr">
        <is>
          <t>NANCY</t>
        </is>
      </c>
      <c r="H3073" s="1" t="inlineStr">
        <is>
          <t>NANCY 31/05/2026</t>
        </is>
      </c>
      <c r="I3073" s="4" t="n">
        <v>5</v>
      </c>
      <c r="J3073" s="6" t="n">
        <v>5.39</v>
      </c>
      <c r="K3073" s="6" t="n">
        <v>130.8023085</v>
      </c>
      <c r="L3073" s="6">
        <f>I3073*K3073</f>
        <v/>
      </c>
      <c r="M3073" s="6">
        <f>K3073*4</f>
        <v/>
      </c>
      <c r="N3073" s="6" t="n">
        <v>499</v>
      </c>
    </row>
    <row r="3074">
      <c r="A3074" s="1" t="inlineStr">
        <is>
          <t>661774c249e2a</t>
        </is>
      </c>
      <c r="B3074" s="1" t="inlineStr">
        <is>
          <t>PULSERA ECROU ROSEGOLD</t>
        </is>
      </c>
      <c r="C3074" s="1" t="inlineStr">
        <is>
          <t>20cm</t>
        </is>
      </c>
      <c r="D3074" s="1" t="inlineStr">
        <is>
          <t>06/09/2025</t>
        </is>
      </c>
      <c r="E3074" s="1" t="n">
        <v>2025</v>
      </c>
      <c r="F3074" s="1" t="inlineStr">
        <is>
          <t>SEPTIEMBRE</t>
        </is>
      </c>
      <c r="G3074" s="1" t="inlineStr">
        <is>
          <t>NANCY</t>
        </is>
      </c>
      <c r="H3074" s="1" t="inlineStr">
        <is>
          <t>NANCY 06/09/2025</t>
        </is>
      </c>
      <c r="I3074" s="4" t="n">
        <v>2</v>
      </c>
      <c r="J3074" s="6" t="n">
        <v>5.39</v>
      </c>
      <c r="K3074" s="6" t="n">
        <v>125.5097052</v>
      </c>
      <c r="L3074" s="6">
        <f>I3074*K3074</f>
        <v/>
      </c>
      <c r="M3074" s="6">
        <f>K3074*4</f>
        <v/>
      </c>
      <c r="N3074" s="6" t="n">
        <v>479</v>
      </c>
    </row>
    <row r="3075">
      <c r="A3075" s="1" t="inlineStr">
        <is>
          <t>661774c249e2a</t>
        </is>
      </c>
      <c r="B3075" s="1" t="inlineStr">
        <is>
          <t>PULSERA ECROU ROSEGOLD</t>
        </is>
      </c>
      <c r="C3075" s="1" t="inlineStr">
        <is>
          <t>20cm</t>
        </is>
      </c>
      <c r="D3075" s="1" t="inlineStr">
        <is>
          <t>01/03/2026</t>
        </is>
      </c>
      <c r="E3075" s="1" t="n">
        <v>2026</v>
      </c>
      <c r="F3075" s="1" t="inlineStr">
        <is>
          <t>MARZO</t>
        </is>
      </c>
      <c r="G3075" s="1" t="inlineStr">
        <is>
          <t>NANCY</t>
        </is>
      </c>
      <c r="H3075" s="1" t="inlineStr">
        <is>
          <t>NANCY 01/03/2026</t>
        </is>
      </c>
      <c r="I3075" s="4" t="n">
        <v>3</v>
      </c>
      <c r="J3075" s="6" t="n">
        <v>5.39</v>
      </c>
      <c r="K3075" s="6" t="n">
        <v>136.3870418</v>
      </c>
      <c r="L3075" s="6">
        <f>I3075*K3075</f>
        <v/>
      </c>
      <c r="M3075" s="6">
        <f>K3075*4</f>
        <v/>
      </c>
      <c r="N3075" s="6" t="n">
        <v>479</v>
      </c>
    </row>
    <row r="3076">
      <c r="A3076" s="1" t="inlineStr">
        <is>
          <t>66177b4581060</t>
        </is>
      </c>
      <c r="B3076" s="1" t="inlineStr">
        <is>
          <t>COLLAR TRÉBOL GOLD-GREEN</t>
        </is>
      </c>
      <c r="C3076" s="1" t="inlineStr">
        <is>
          <t>(45CM)</t>
        </is>
      </c>
      <c r="D3076" s="1" t="inlineStr">
        <is>
          <t>16/04/2026</t>
        </is>
      </c>
      <c r="E3076" s="1" t="n">
        <v>2026</v>
      </c>
      <c r="F3076" s="1" t="inlineStr">
        <is>
          <t>ABRIL</t>
        </is>
      </c>
      <c r="G3076" s="1" t="inlineStr">
        <is>
          <t>HAIFENG</t>
        </is>
      </c>
      <c r="H3076" s="1" t="inlineStr">
        <is>
          <t>HAIFENG 16/04/2026</t>
        </is>
      </c>
      <c r="I3076" s="4" t="n">
        <v>3</v>
      </c>
      <c r="J3076" s="6" t="n">
        <v>4</v>
      </c>
      <c r="K3076" s="6" t="n">
        <v>84.12589436</v>
      </c>
      <c r="L3076" s="6">
        <f>I3076*K3076</f>
        <v/>
      </c>
      <c r="M3076" s="6">
        <f>K3076*4</f>
        <v/>
      </c>
      <c r="N3076" s="6" t="n">
        <v>550</v>
      </c>
    </row>
    <row r="3077">
      <c r="A3077" s="1" t="inlineStr">
        <is>
          <t>66177b4581060</t>
        </is>
      </c>
      <c r="B3077" s="1" t="inlineStr">
        <is>
          <t>COLLAR TRÉBOL GOLD-GREEN</t>
        </is>
      </c>
      <c r="C3077" s="1" t="inlineStr">
        <is>
          <t>(45CM)</t>
        </is>
      </c>
      <c r="D3077" s="1" t="inlineStr">
        <is>
          <t>16/06/2026</t>
        </is>
      </c>
      <c r="E3077" s="1" t="n">
        <v>2026</v>
      </c>
      <c r="F3077" s="1" t="inlineStr">
        <is>
          <t>JUNIO</t>
        </is>
      </c>
      <c r="G3077" s="1" t="inlineStr">
        <is>
          <t>HAIFENG</t>
        </is>
      </c>
      <c r="H3077" s="1" t="inlineStr">
        <is>
          <t>HAIFENG 16/06/2026</t>
        </is>
      </c>
      <c r="I3077" s="4" t="n">
        <v>2</v>
      </c>
      <c r="J3077" s="6" t="n">
        <v>4</v>
      </c>
      <c r="K3077" s="6" t="n">
        <v>84.05842584</v>
      </c>
      <c r="L3077" s="6">
        <f>I3077*K3077</f>
        <v/>
      </c>
      <c r="M3077" s="6">
        <f>K3077*4</f>
        <v/>
      </c>
      <c r="N3077" s="6" t="n">
        <v>550</v>
      </c>
    </row>
    <row r="3078">
      <c r="A3078" s="1" t="inlineStr">
        <is>
          <t>66177b4fc21fd</t>
        </is>
      </c>
      <c r="B3078" s="1" t="inlineStr">
        <is>
          <t>COLLAR TRÉBOL GOLD-WHITE</t>
        </is>
      </c>
      <c r="C3078" s="1" t="inlineStr">
        <is>
          <t>45CM</t>
        </is>
      </c>
      <c r="D3078" s="1" t="inlineStr">
        <is>
          <t>06/05/2026</t>
        </is>
      </c>
      <c r="E3078" s="1" t="n">
        <v>2026</v>
      </c>
      <c r="F3078" s="1" t="inlineStr">
        <is>
          <t>MAYO</t>
        </is>
      </c>
      <c r="G3078" s="1" t="inlineStr">
        <is>
          <t>HAIFENG</t>
        </is>
      </c>
      <c r="H3078" s="1" t="inlineStr">
        <is>
          <t>HAIFENG 06/05/2026</t>
        </is>
      </c>
      <c r="I3078" s="4" t="n">
        <v>4</v>
      </c>
      <c r="J3078" s="6" t="n">
        <v>4</v>
      </c>
      <c r="K3078" s="6" t="n">
        <v>84.87456907000001</v>
      </c>
      <c r="L3078" s="6">
        <f>I3078*K3078</f>
        <v/>
      </c>
      <c r="M3078" s="6">
        <f>K3078*4</f>
        <v/>
      </c>
      <c r="N3078" s="6" t="n">
        <v>899</v>
      </c>
    </row>
    <row r="3079">
      <c r="A3079" s="1" t="inlineStr">
        <is>
          <t>66177b50250a5</t>
        </is>
      </c>
      <c r="B3079" s="1" t="inlineStr">
        <is>
          <t>COLLAR TREBOL SILVER WHITE</t>
        </is>
      </c>
      <c r="C3079" s="1" t="inlineStr">
        <is>
          <t>45cm</t>
        </is>
      </c>
      <c r="D3079" s="1" t="inlineStr">
        <is>
          <t>03/12/2025</t>
        </is>
      </c>
      <c r="E3079" s="1" t="n">
        <v>2025</v>
      </c>
      <c r="F3079" s="1" t="inlineStr">
        <is>
          <t>DICIEMBRE</t>
        </is>
      </c>
      <c r="G3079" s="1" t="inlineStr">
        <is>
          <t>HAIFENG</t>
        </is>
      </c>
      <c r="H3079" s="1" t="inlineStr">
        <is>
          <t>HAIFENG 03/12/2025</t>
        </is>
      </c>
      <c r="I3079" s="4" t="n">
        <v>3</v>
      </c>
      <c r="J3079" s="6" t="n">
        <v>12</v>
      </c>
      <c r="K3079" s="6" t="n">
        <v>251.0059201</v>
      </c>
      <c r="L3079" s="6">
        <f>I3079*K3079</f>
        <v/>
      </c>
      <c r="M3079" s="6">
        <f>K3079*4</f>
        <v/>
      </c>
      <c r="N3079" s="6" t="n">
        <v>899</v>
      </c>
    </row>
    <row r="3080">
      <c r="A3080" s="1" t="inlineStr">
        <is>
          <t>66177b50250a5</t>
        </is>
      </c>
      <c r="B3080" s="1" t="inlineStr">
        <is>
          <t>COLLAR TREBOL SILVER WHITE</t>
        </is>
      </c>
      <c r="C3080" s="1" t="inlineStr">
        <is>
          <t>45cm</t>
        </is>
      </c>
      <c r="D3080" s="1" t="inlineStr">
        <is>
          <t>06/05/2026</t>
        </is>
      </c>
      <c r="E3080" s="1" t="n">
        <v>2026</v>
      </c>
      <c r="F3080" s="1" t="inlineStr">
        <is>
          <t>MAYO</t>
        </is>
      </c>
      <c r="G3080" s="1" t="inlineStr">
        <is>
          <t>HAIFENG</t>
        </is>
      </c>
      <c r="H3080" s="1" t="inlineStr">
        <is>
          <t>HAIFENG 06/05/2026</t>
        </is>
      </c>
      <c r="I3080" s="4" t="n">
        <v>1</v>
      </c>
      <c r="J3080" s="6" t="n">
        <v>4</v>
      </c>
      <c r="K3080" s="6" t="n">
        <v>84.87456907000001</v>
      </c>
      <c r="L3080" s="6">
        <f>I3080*K3080</f>
        <v/>
      </c>
      <c r="M3080" s="6">
        <f>K3080*4</f>
        <v/>
      </c>
      <c r="N3080" s="6" t="n">
        <v>899</v>
      </c>
    </row>
    <row r="3081">
      <c r="A3081" s="1" t="inlineStr">
        <is>
          <t>66177b50250a5</t>
        </is>
      </c>
      <c r="B3081" s="1" t="inlineStr">
        <is>
          <t>COLLAR TREBOL SILVER WHITE</t>
        </is>
      </c>
      <c r="C3081" s="1" t="inlineStr">
        <is>
          <t>45cm</t>
        </is>
      </c>
      <c r="D3081" s="1" t="inlineStr">
        <is>
          <t>26/05/2026</t>
        </is>
      </c>
      <c r="E3081" s="1" t="n">
        <v>2026</v>
      </c>
      <c r="F3081" s="1" t="inlineStr">
        <is>
          <t>MAYO</t>
        </is>
      </c>
      <c r="G3081" s="1" t="inlineStr">
        <is>
          <t>HAIFENG</t>
        </is>
      </c>
      <c r="H3081" s="1" t="inlineStr">
        <is>
          <t>HAIFENG 26/05/2026</t>
        </is>
      </c>
      <c r="I3081" s="4" t="n">
        <v>2</v>
      </c>
      <c r="J3081" s="6" t="n">
        <v>4</v>
      </c>
      <c r="K3081" s="6" t="n">
        <v>83.95718118000001</v>
      </c>
      <c r="L3081" s="6">
        <f>I3081*K3081</f>
        <v/>
      </c>
      <c r="M3081" s="6">
        <f>K3081*4</f>
        <v/>
      </c>
      <c r="N3081" s="6" t="n">
        <v>899</v>
      </c>
    </row>
    <row r="3082">
      <c r="A3082" s="1" t="inlineStr">
        <is>
          <t>66177b506a320</t>
        </is>
      </c>
      <c r="B3082" s="1" t="inlineStr">
        <is>
          <t>COLLAR TRÉBOL GOLD-RED</t>
        </is>
      </c>
      <c r="C3082" s="1" t="inlineStr">
        <is>
          <t>HIGH QUALITY (45CM)</t>
        </is>
      </c>
      <c r="D3082" s="1" t="inlineStr">
        <is>
          <t>01/09/2025</t>
        </is>
      </c>
      <c r="E3082" s="1" t="n">
        <v>2025</v>
      </c>
      <c r="F3082" s="1" t="inlineStr">
        <is>
          <t>SEPTIEMBRE</t>
        </is>
      </c>
      <c r="G3082" s="1" t="inlineStr">
        <is>
          <t>HAIFENG</t>
        </is>
      </c>
      <c r="H3082" s="1" t="inlineStr">
        <is>
          <t>HAIFENG 01/09/2025</t>
        </is>
      </c>
      <c r="I3082" s="4" t="n">
        <v>4</v>
      </c>
      <c r="J3082" s="6" t="n">
        <v>10</v>
      </c>
      <c r="K3082" s="6" t="n">
        <v>212.5567106</v>
      </c>
      <c r="L3082" s="6">
        <f>I3082*K3082</f>
        <v/>
      </c>
      <c r="M3082" s="6">
        <f>K3082*4</f>
        <v/>
      </c>
      <c r="N3082" s="6" t="n">
        <v>899</v>
      </c>
    </row>
    <row r="3083">
      <c r="A3083" s="1" t="inlineStr">
        <is>
          <t>66177b506a320</t>
        </is>
      </c>
      <c r="B3083" s="1" t="inlineStr">
        <is>
          <t>COLLAR TRÉBOL GOLD-RED</t>
        </is>
      </c>
      <c r="C3083" s="1" t="inlineStr">
        <is>
          <t>HIGH QUALITY (45CM)</t>
        </is>
      </c>
      <c r="D3083" s="1" t="inlineStr">
        <is>
          <t>10/02/2026</t>
        </is>
      </c>
      <c r="E3083" s="1" t="n">
        <v>2026</v>
      </c>
      <c r="F3083" s="1" t="inlineStr">
        <is>
          <t>FEBRERO</t>
        </is>
      </c>
      <c r="G3083" s="1" t="inlineStr">
        <is>
          <t>HAIFENG</t>
        </is>
      </c>
      <c r="H3083" s="1" t="inlineStr">
        <is>
          <t>HAIFENG 10/02/2026</t>
        </is>
      </c>
      <c r="I3083" s="4" t="n">
        <v>1</v>
      </c>
      <c r="J3083" s="6" t="n">
        <v>4</v>
      </c>
      <c r="K3083" s="6" t="n">
        <v>84.27398426000001</v>
      </c>
      <c r="L3083" s="6">
        <f>I3083*K3083</f>
        <v/>
      </c>
      <c r="M3083" s="6">
        <f>K3083*4</f>
        <v/>
      </c>
      <c r="N3083" s="6" t="n">
        <v>899</v>
      </c>
    </row>
    <row r="3084">
      <c r="A3084" s="1" t="inlineStr">
        <is>
          <t>66177b506a320</t>
        </is>
      </c>
      <c r="B3084" s="1" t="inlineStr">
        <is>
          <t>COLLAR TRÉBOL GOLD-RED</t>
        </is>
      </c>
      <c r="C3084" s="1" t="inlineStr">
        <is>
          <t>HIGH QUALITY (45CM)</t>
        </is>
      </c>
      <c r="D3084" s="1" t="inlineStr">
        <is>
          <t>16/04/2026</t>
        </is>
      </c>
      <c r="E3084" s="1" t="n">
        <v>2026</v>
      </c>
      <c r="F3084" s="1" t="inlineStr">
        <is>
          <t>ABRIL</t>
        </is>
      </c>
      <c r="G3084" s="1" t="inlineStr">
        <is>
          <t>HAIFENG</t>
        </is>
      </c>
      <c r="H3084" s="1" t="inlineStr">
        <is>
          <t>HAIFENG 16/04/2026</t>
        </is>
      </c>
      <c r="I3084" s="4" t="n">
        <v>2</v>
      </c>
      <c r="J3084" s="6" t="n">
        <v>4</v>
      </c>
      <c r="K3084" s="6" t="n">
        <v>84.12589436</v>
      </c>
      <c r="L3084" s="6">
        <f>I3084*K3084</f>
        <v/>
      </c>
      <c r="M3084" s="6">
        <f>K3084*4</f>
        <v/>
      </c>
      <c r="N3084" s="6" t="n">
        <v>899</v>
      </c>
    </row>
    <row r="3085">
      <c r="A3085" s="1" t="inlineStr">
        <is>
          <t>66177b50c9a71</t>
        </is>
      </c>
      <c r="B3085" s="1" t="inlineStr">
        <is>
          <t>COLLAR TRÉBOL BLACK-GOLD</t>
        </is>
      </c>
      <c r="C3085" s="1" t="inlineStr">
        <is>
          <t>HIGH QUALITY (45CM)</t>
        </is>
      </c>
      <c r="D3085" s="1" t="inlineStr">
        <is>
          <t>20/01/2026</t>
        </is>
      </c>
      <c r="E3085" s="1" t="n">
        <v>2026</v>
      </c>
      <c r="F3085" s="1" t="inlineStr">
        <is>
          <t>ENERO</t>
        </is>
      </c>
      <c r="G3085" s="1" t="inlineStr">
        <is>
          <t>HAIFENG</t>
        </is>
      </c>
      <c r="H3085" s="1" t="inlineStr">
        <is>
          <t>HAIFENG 20/01/2026</t>
        </is>
      </c>
      <c r="I3085" s="4" t="n">
        <v>2</v>
      </c>
      <c r="J3085" s="6" t="n">
        <v>4</v>
      </c>
      <c r="K3085" s="6" t="n">
        <v>84.80167117000001</v>
      </c>
      <c r="L3085" s="6">
        <f>I3085*K3085</f>
        <v/>
      </c>
      <c r="M3085" s="6">
        <f>K3085*4</f>
        <v/>
      </c>
      <c r="N3085" s="6" t="n">
        <v>550</v>
      </c>
    </row>
    <row r="3086">
      <c r="A3086" s="1" t="inlineStr">
        <is>
          <t>66177b50c9a71</t>
        </is>
      </c>
      <c r="B3086" s="1" t="inlineStr">
        <is>
          <t>COLLAR TRÉBOL BLACK-GOLD</t>
        </is>
      </c>
      <c r="C3086" s="1" t="inlineStr">
        <is>
          <t>HIGH QUALITY (45CM)</t>
        </is>
      </c>
      <c r="D3086" s="1" t="inlineStr">
        <is>
          <t>10/02/2026</t>
        </is>
      </c>
      <c r="E3086" s="1" t="n">
        <v>2026</v>
      </c>
      <c r="F3086" s="1" t="inlineStr">
        <is>
          <t>FEBRERO</t>
        </is>
      </c>
      <c r="G3086" s="1" t="inlineStr">
        <is>
          <t>HAIFENG</t>
        </is>
      </c>
      <c r="H3086" s="1" t="inlineStr">
        <is>
          <t>HAIFENG 10/02/2026</t>
        </is>
      </c>
      <c r="I3086" s="4" t="n">
        <v>4</v>
      </c>
      <c r="J3086" s="6" t="n">
        <v>4</v>
      </c>
      <c r="K3086" s="6" t="n">
        <v>84.27398426000001</v>
      </c>
      <c r="L3086" s="6">
        <f>I3086*K3086</f>
        <v/>
      </c>
      <c r="M3086" s="6">
        <f>K3086*4</f>
        <v/>
      </c>
      <c r="N3086" s="6" t="n">
        <v>550</v>
      </c>
    </row>
    <row r="3087">
      <c r="A3087" s="1" t="inlineStr">
        <is>
          <t>66177b50c9a71</t>
        </is>
      </c>
      <c r="B3087" s="1" t="inlineStr">
        <is>
          <t>COLLAR TRÉBOL BLACK-GOLD</t>
        </is>
      </c>
      <c r="C3087" s="1" t="inlineStr">
        <is>
          <t>HIGH QUALITY (45CM)</t>
        </is>
      </c>
      <c r="D3087" s="1" t="inlineStr">
        <is>
          <t>26/05/2026</t>
        </is>
      </c>
      <c r="E3087" s="1" t="n">
        <v>2026</v>
      </c>
      <c r="F3087" s="1" t="inlineStr">
        <is>
          <t>MAYO</t>
        </is>
      </c>
      <c r="G3087" s="1" t="inlineStr">
        <is>
          <t>HAIFENG</t>
        </is>
      </c>
      <c r="H3087" s="1" t="inlineStr">
        <is>
          <t>HAIFENG 26/05/2026</t>
        </is>
      </c>
      <c r="I3087" s="4" t="n">
        <v>5</v>
      </c>
      <c r="J3087" s="6" t="n">
        <v>4</v>
      </c>
      <c r="K3087" s="6" t="n">
        <v>83.95718118000001</v>
      </c>
      <c r="L3087" s="6">
        <f>I3087*K3087</f>
        <v/>
      </c>
      <c r="M3087" s="6">
        <f>K3087*4</f>
        <v/>
      </c>
      <c r="N3087" s="6" t="n">
        <v>550</v>
      </c>
    </row>
    <row r="3088">
      <c r="A3088" s="1" t="inlineStr">
        <is>
          <t>66177b50c9a71</t>
        </is>
      </c>
      <c r="B3088" s="1" t="inlineStr">
        <is>
          <t>COLLAR TRÉBOL BLACK-GOLD</t>
        </is>
      </c>
      <c r="C3088" s="1" t="inlineStr">
        <is>
          <t>HIGH QUALITY (45CM)</t>
        </is>
      </c>
      <c r="D3088" s="1" t="inlineStr">
        <is>
          <t>16/06/2026</t>
        </is>
      </c>
      <c r="E3088" s="1" t="n">
        <v>2026</v>
      </c>
      <c r="F3088" s="1" t="inlineStr">
        <is>
          <t>JUNIO</t>
        </is>
      </c>
      <c r="G3088" s="1" t="inlineStr">
        <is>
          <t>HAIFENG</t>
        </is>
      </c>
      <c r="H3088" s="1" t="inlineStr">
        <is>
          <t>HAIFENG 16/06/2026</t>
        </is>
      </c>
      <c r="I3088" s="4" t="n">
        <v>3</v>
      </c>
      <c r="J3088" s="6" t="n">
        <v>4</v>
      </c>
      <c r="K3088" s="6" t="n">
        <v>84.05842584</v>
      </c>
      <c r="L3088" s="6">
        <f>I3088*K3088</f>
        <v/>
      </c>
      <c r="M3088" s="6">
        <f>K3088*4</f>
        <v/>
      </c>
      <c r="N3088" s="6" t="n">
        <v>550</v>
      </c>
    </row>
    <row r="3089">
      <c r="A3089" s="1" t="inlineStr">
        <is>
          <t>66177b572d821</t>
        </is>
      </c>
      <c r="B3089" s="1" t="inlineStr">
        <is>
          <t>COLLAR TREBOL ROSEGOLD</t>
        </is>
      </c>
      <c r="C3089" s="1" t="inlineStr">
        <is>
          <t>HIGH QUALITY 41cm con extensión de 3cm</t>
        </is>
      </c>
      <c r="D3089" s="1" t="inlineStr">
        <is>
          <t>25/09/2025</t>
        </is>
      </c>
      <c r="E3089" s="1" t="n">
        <v>2025</v>
      </c>
      <c r="F3089" s="1" t="inlineStr">
        <is>
          <t>SEPTIEMBRE</t>
        </is>
      </c>
      <c r="G3089" s="1" t="inlineStr">
        <is>
          <t>HAIFENG</t>
        </is>
      </c>
      <c r="H3089" s="1" t="inlineStr">
        <is>
          <t>HAIFENG 25/09/2025</t>
        </is>
      </c>
      <c r="I3089" s="4" t="n">
        <v>5</v>
      </c>
      <c r="J3089" s="6" t="n">
        <v>12</v>
      </c>
      <c r="K3089" s="6" t="n">
        <v>253.1626292</v>
      </c>
      <c r="L3089" s="6">
        <f>I3089*K3089</f>
        <v/>
      </c>
      <c r="M3089" s="6">
        <f>K3089*4</f>
        <v/>
      </c>
      <c r="N3089" s="6" t="n">
        <v>899</v>
      </c>
    </row>
    <row r="3090">
      <c r="A3090" s="1" t="inlineStr">
        <is>
          <t>66177be046ec0-1</t>
        </is>
      </c>
      <c r="B3090" s="1" t="inlineStr">
        <is>
          <t>COLLAR CLAVO ROUND ROSEGOLD</t>
        </is>
      </c>
      <c r="C3090" s="1" t="inlineStr">
        <is>
          <t>Regular</t>
        </is>
      </c>
      <c r="D3090" s="1" t="inlineStr">
        <is>
          <t>06/09/2025</t>
        </is>
      </c>
      <c r="E3090" s="1" t="n">
        <v>2025</v>
      </c>
      <c r="F3090" s="1" t="inlineStr">
        <is>
          <t>SEPTIEMBRE</t>
        </is>
      </c>
      <c r="G3090" s="1" t="inlineStr">
        <is>
          <t>NANCY</t>
        </is>
      </c>
      <c r="H3090" s="1" t="inlineStr">
        <is>
          <t>NANCY 06/09/2025</t>
        </is>
      </c>
      <c r="I3090" s="4" t="n">
        <v>3</v>
      </c>
      <c r="J3090" s="6" t="n">
        <v>7.59</v>
      </c>
      <c r="K3090" s="6" t="n">
        <v>176.7381562</v>
      </c>
      <c r="L3090" s="6">
        <f>I3090*K3090</f>
        <v/>
      </c>
      <c r="M3090" s="6">
        <f>K3090*4</f>
        <v/>
      </c>
      <c r="N3090" s="6" t="n">
        <v>650</v>
      </c>
    </row>
    <row r="3091">
      <c r="A3091" s="1" t="inlineStr">
        <is>
          <t>66177be046ec0-1</t>
        </is>
      </c>
      <c r="B3091" s="1" t="inlineStr">
        <is>
          <t>COLLAR CLAVO ROUND ROSEGOLD</t>
        </is>
      </c>
      <c r="C3091" s="1" t="inlineStr">
        <is>
          <t>Regular</t>
        </is>
      </c>
      <c r="D3091" s="1" t="inlineStr">
        <is>
          <t>03/12/2025</t>
        </is>
      </c>
      <c r="E3091" s="1" t="n">
        <v>2025</v>
      </c>
      <c r="F3091" s="1" t="inlineStr">
        <is>
          <t>DICIEMBRE</t>
        </is>
      </c>
      <c r="G3091" s="1" t="inlineStr">
        <is>
          <t>NANCY</t>
        </is>
      </c>
      <c r="H3091" s="1" t="inlineStr">
        <is>
          <t>NANCY 03/12/2025</t>
        </is>
      </c>
      <c r="I3091" s="4" t="n">
        <v>5</v>
      </c>
      <c r="J3091" s="6" t="n">
        <v>7.59</v>
      </c>
      <c r="K3091" s="6" t="n">
        <v>179.5546672</v>
      </c>
      <c r="L3091" s="6">
        <f>I3091*K3091</f>
        <v/>
      </c>
      <c r="M3091" s="6">
        <f>K3091*4</f>
        <v/>
      </c>
      <c r="N3091" s="6" t="n">
        <v>650</v>
      </c>
    </row>
    <row r="3092">
      <c r="A3092" s="1" t="inlineStr">
        <is>
          <t>66177be046ec0-1</t>
        </is>
      </c>
      <c r="B3092" s="1" t="inlineStr">
        <is>
          <t>COLLAR CLAVO ROUND ROSEGOLD</t>
        </is>
      </c>
      <c r="C3092" s="1" t="inlineStr">
        <is>
          <t>Regular</t>
        </is>
      </c>
      <c r="D3092" s="1" t="inlineStr">
        <is>
          <t>01/03/2026</t>
        </is>
      </c>
      <c r="E3092" s="1" t="n">
        <v>2026</v>
      </c>
      <c r="F3092" s="1" t="inlineStr">
        <is>
          <t>MARZO</t>
        </is>
      </c>
      <c r="G3092" s="1" t="inlineStr">
        <is>
          <t>NANCY</t>
        </is>
      </c>
      <c r="H3092" s="1" t="inlineStr">
        <is>
          <t>NANCY 01/03/2026</t>
        </is>
      </c>
      <c r="I3092" s="4" t="n">
        <v>2</v>
      </c>
      <c r="J3092" s="6" t="n">
        <v>7.59</v>
      </c>
      <c r="K3092" s="6" t="n">
        <v>192.0552222</v>
      </c>
      <c r="L3092" s="6">
        <f>I3092*K3092</f>
        <v/>
      </c>
      <c r="M3092" s="6">
        <f>K3092*4</f>
        <v/>
      </c>
      <c r="N3092" s="6" t="n">
        <v>650</v>
      </c>
    </row>
    <row r="3093">
      <c r="A3093" s="1" t="inlineStr">
        <is>
          <t>66177be046ec0-1</t>
        </is>
      </c>
      <c r="B3093" s="1" t="inlineStr">
        <is>
          <t>COLLAR CLAVO ROUND ROSEGOLD</t>
        </is>
      </c>
      <c r="C3093" s="1" t="inlineStr">
        <is>
          <t>Regular</t>
        </is>
      </c>
      <c r="D3093" s="1" t="inlineStr">
        <is>
          <t>01/04/2026</t>
        </is>
      </c>
      <c r="E3093" s="1" t="n">
        <v>2026</v>
      </c>
      <c r="F3093" s="1" t="inlineStr">
        <is>
          <t>ABRIL</t>
        </is>
      </c>
      <c r="G3093" s="1" t="inlineStr">
        <is>
          <t>NANCY</t>
        </is>
      </c>
      <c r="H3093" s="1" t="inlineStr">
        <is>
          <t>NANCY 01/04/2026</t>
        </is>
      </c>
      <c r="I3093" s="4" t="n">
        <v>4</v>
      </c>
      <c r="J3093" s="6" t="n">
        <v>7.59</v>
      </c>
      <c r="K3093" s="6" t="n">
        <v>181.7084677</v>
      </c>
      <c r="L3093" s="6">
        <f>I3093*K3093</f>
        <v/>
      </c>
      <c r="M3093" s="6">
        <f>K3093*4</f>
        <v/>
      </c>
      <c r="N3093" s="6" t="n">
        <v>650</v>
      </c>
    </row>
    <row r="3094">
      <c r="A3094" s="1" t="inlineStr">
        <is>
          <t>66177be17fc51</t>
        </is>
      </c>
      <c r="B3094" s="1" t="inlineStr">
        <is>
          <t>COLLAR CLAVO ROUND GOLD</t>
        </is>
      </c>
      <c r="C3094" s="1" t="inlineStr">
        <is>
          <t>Regular</t>
        </is>
      </c>
      <c r="D3094" s="1" t="inlineStr">
        <is>
          <t>06/09/2025</t>
        </is>
      </c>
      <c r="E3094" s="1" t="n">
        <v>2025</v>
      </c>
      <c r="F3094" s="1" t="inlineStr">
        <is>
          <t>SEPTIEMBRE</t>
        </is>
      </c>
      <c r="G3094" s="1" t="inlineStr">
        <is>
          <t>NANCY</t>
        </is>
      </c>
      <c r="H3094" s="1" t="inlineStr">
        <is>
          <t>NANCY 06/09/2025</t>
        </is>
      </c>
      <c r="I3094" s="4" t="n">
        <v>8</v>
      </c>
      <c r="J3094" s="6" t="n">
        <v>7.59</v>
      </c>
      <c r="K3094" s="6" t="n">
        <v>176.7381562</v>
      </c>
      <c r="L3094" s="6">
        <f>I3094*K3094</f>
        <v/>
      </c>
      <c r="M3094" s="6">
        <f>K3094*4</f>
        <v/>
      </c>
      <c r="N3094" s="6" t="n">
        <v>650</v>
      </c>
    </row>
    <row r="3095">
      <c r="A3095" s="1" t="inlineStr">
        <is>
          <t>66177be17fc51</t>
        </is>
      </c>
      <c r="B3095" s="1" t="inlineStr">
        <is>
          <t>COLLAR CLAVO ROUND GOLD</t>
        </is>
      </c>
      <c r="C3095" s="1" t="inlineStr">
        <is>
          <t>Regular</t>
        </is>
      </c>
      <c r="D3095" s="1" t="inlineStr">
        <is>
          <t>03/12/2025</t>
        </is>
      </c>
      <c r="E3095" s="1" t="n">
        <v>2025</v>
      </c>
      <c r="F3095" s="1" t="inlineStr">
        <is>
          <t>DICIEMBRE</t>
        </is>
      </c>
      <c r="G3095" s="1" t="inlineStr">
        <is>
          <t>NANCY</t>
        </is>
      </c>
      <c r="H3095" s="1" t="inlineStr">
        <is>
          <t>NANCY 03/12/2025</t>
        </is>
      </c>
      <c r="I3095" s="4" t="n">
        <v>5</v>
      </c>
      <c r="J3095" s="6" t="n">
        <v>7.59</v>
      </c>
      <c r="K3095" s="6" t="n">
        <v>179.5546672</v>
      </c>
      <c r="L3095" s="6">
        <f>I3095*K3095</f>
        <v/>
      </c>
      <c r="M3095" s="6">
        <f>K3095*4</f>
        <v/>
      </c>
      <c r="N3095" s="6" t="n">
        <v>650</v>
      </c>
    </row>
    <row r="3096">
      <c r="A3096" s="1" t="inlineStr">
        <is>
          <t>66177be17fc51</t>
        </is>
      </c>
      <c r="B3096" s="1" t="inlineStr">
        <is>
          <t>COLLAR CLAVO ROUND GOLD</t>
        </is>
      </c>
      <c r="C3096" s="1" t="inlineStr">
        <is>
          <t>Regular</t>
        </is>
      </c>
      <c r="D3096" s="1" t="inlineStr">
        <is>
          <t>01/03/2026</t>
        </is>
      </c>
      <c r="E3096" s="1" t="n">
        <v>2026</v>
      </c>
      <c r="F3096" s="1" t="inlineStr">
        <is>
          <t>MARZO</t>
        </is>
      </c>
      <c r="G3096" s="1" t="inlineStr">
        <is>
          <t>NANCY</t>
        </is>
      </c>
      <c r="H3096" s="1" t="inlineStr">
        <is>
          <t>NANCY 01/03/2026</t>
        </is>
      </c>
      <c r="I3096" s="4" t="n">
        <v>2</v>
      </c>
      <c r="J3096" s="6" t="n">
        <v>7.59</v>
      </c>
      <c r="K3096" s="6" t="n">
        <v>192.0552222</v>
      </c>
      <c r="L3096" s="6">
        <f>I3096*K3096</f>
        <v/>
      </c>
      <c r="M3096" s="6">
        <f>K3096*4</f>
        <v/>
      </c>
      <c r="N3096" s="6" t="n">
        <v>650</v>
      </c>
    </row>
    <row r="3097">
      <c r="A3097" s="1" t="inlineStr">
        <is>
          <t>66177be17fc51</t>
        </is>
      </c>
      <c r="B3097" s="1" t="inlineStr">
        <is>
          <t>COLLAR CLAVO ROUND GOLD</t>
        </is>
      </c>
      <c r="C3097" s="1" t="inlineStr">
        <is>
          <t>Regular</t>
        </is>
      </c>
      <c r="D3097" s="1" t="inlineStr">
        <is>
          <t>01/04/2026</t>
        </is>
      </c>
      <c r="E3097" s="1" t="n">
        <v>2026</v>
      </c>
      <c r="F3097" s="1" t="inlineStr">
        <is>
          <t>ABRIL</t>
        </is>
      </c>
      <c r="G3097" s="1" t="inlineStr">
        <is>
          <t>NANCY</t>
        </is>
      </c>
      <c r="H3097" s="1" t="inlineStr">
        <is>
          <t>NANCY 01/04/2026</t>
        </is>
      </c>
      <c r="I3097" s="4" t="n">
        <v>8</v>
      </c>
      <c r="J3097" s="6" t="n">
        <v>7.59</v>
      </c>
      <c r="K3097" s="6" t="n">
        <v>181.7084677</v>
      </c>
      <c r="L3097" s="6">
        <f>I3097*K3097</f>
        <v/>
      </c>
      <c r="M3097" s="6">
        <f>K3097*4</f>
        <v/>
      </c>
      <c r="N3097" s="6" t="n">
        <v>650</v>
      </c>
    </row>
    <row r="3098">
      <c r="A3098" s="1" t="inlineStr">
        <is>
          <t>66177be17fc51</t>
        </is>
      </c>
      <c r="B3098" s="1" t="inlineStr">
        <is>
          <t>COLLAR CLAVO ROUND GOLD</t>
        </is>
      </c>
      <c r="C3098" s="1" t="inlineStr">
        <is>
          <t>Regular</t>
        </is>
      </c>
      <c r="D3098" s="1" t="inlineStr">
        <is>
          <t>09/07/2026</t>
        </is>
      </c>
      <c r="E3098" s="1" t="n">
        <v>2026</v>
      </c>
      <c r="F3098" s="1" t="inlineStr">
        <is>
          <t>JULIO</t>
        </is>
      </c>
      <c r="G3098" s="1" t="inlineStr">
        <is>
          <t>NANCY</t>
        </is>
      </c>
      <c r="H3098" s="1" t="inlineStr">
        <is>
          <t>NANCY 09/07/2026</t>
        </is>
      </c>
      <c r="I3098" s="4" t="n">
        <v>8</v>
      </c>
      <c r="J3098" s="6" t="n">
        <v>7.59</v>
      </c>
      <c r="K3098" s="6" t="n">
        <v>184.9339423</v>
      </c>
      <c r="L3098" s="6">
        <f>I3098*K3098</f>
        <v/>
      </c>
      <c r="M3098" s="6">
        <f>K3098*4</f>
        <v/>
      </c>
      <c r="N3098" s="6" t="n">
        <v>650</v>
      </c>
    </row>
    <row r="3099">
      <c r="A3099" s="1" t="inlineStr">
        <is>
          <t>66177c3e7206b</t>
        </is>
      </c>
      <c r="B3099" s="1" t="inlineStr">
        <is>
          <t>COLLAR LOVE-LOVE GOLD</t>
        </is>
      </c>
      <c r="C3099" s="1" t="inlineStr">
        <is>
          <t>46cm con 5cm de extension</t>
        </is>
      </c>
      <c r="D3099" s="1" t="inlineStr">
        <is>
          <t>01/09/2025</t>
        </is>
      </c>
      <c r="E3099" s="1" t="n">
        <v>2025</v>
      </c>
      <c r="F3099" s="1" t="inlineStr">
        <is>
          <t>SEPTIEMBRE</t>
        </is>
      </c>
      <c r="G3099" s="1" t="inlineStr">
        <is>
          <t>HAIFENG</t>
        </is>
      </c>
      <c r="H3099" s="1" t="inlineStr">
        <is>
          <t>HAIFENG 01/09/2025</t>
        </is>
      </c>
      <c r="I3099" s="4" t="n">
        <v>8</v>
      </c>
      <c r="J3099" s="6" t="n">
        <v>3.8</v>
      </c>
      <c r="K3099" s="6" t="n">
        <v>80.77155003999999</v>
      </c>
      <c r="L3099" s="6">
        <f>I3099*K3099</f>
        <v/>
      </c>
      <c r="M3099" s="6">
        <f>K3099*4</f>
        <v/>
      </c>
      <c r="N3099" s="6" t="n">
        <v>440</v>
      </c>
    </row>
    <row r="3100">
      <c r="A3100" s="1" t="inlineStr">
        <is>
          <t>66177c3e7206b</t>
        </is>
      </c>
      <c r="B3100" s="1" t="inlineStr">
        <is>
          <t>COLLAR LOVE-LOVE GOLD</t>
        </is>
      </c>
      <c r="C3100" s="1" t="inlineStr">
        <is>
          <t>46cm con 5cm de extension</t>
        </is>
      </c>
      <c r="D3100" s="1" t="inlineStr">
        <is>
          <t>11/11/2025</t>
        </is>
      </c>
      <c r="E3100" s="1" t="n">
        <v>2025</v>
      </c>
      <c r="F3100" s="1" t="inlineStr">
        <is>
          <t>NOVIEMBRE</t>
        </is>
      </c>
      <c r="G3100" s="1" t="inlineStr">
        <is>
          <t>HAIFENG</t>
        </is>
      </c>
      <c r="H3100" s="1" t="inlineStr">
        <is>
          <t>HAIFENG 11/11/2025</t>
        </is>
      </c>
      <c r="I3100" s="4" t="n">
        <v>5</v>
      </c>
      <c r="J3100" s="6" t="n">
        <v>3.8</v>
      </c>
      <c r="K3100" s="6" t="n">
        <v>80.02989409</v>
      </c>
      <c r="L3100" s="6">
        <f>I3100*K3100</f>
        <v/>
      </c>
      <c r="M3100" s="6">
        <f>K3100*4</f>
        <v/>
      </c>
      <c r="N3100" s="6" t="n">
        <v>440</v>
      </c>
    </row>
    <row r="3101">
      <c r="A3101" s="1" t="inlineStr">
        <is>
          <t>66177c3e7206b</t>
        </is>
      </c>
      <c r="B3101" s="1" t="inlineStr">
        <is>
          <t>COLLAR LOVE-LOVE GOLD</t>
        </is>
      </c>
      <c r="C3101" s="1" t="inlineStr">
        <is>
          <t>46cm con 5cm de extension</t>
        </is>
      </c>
      <c r="D3101" s="1" t="inlineStr">
        <is>
          <t>03/12/2025</t>
        </is>
      </c>
      <c r="E3101" s="1" t="n">
        <v>2025</v>
      </c>
      <c r="F3101" s="1" t="inlineStr">
        <is>
          <t>DICIEMBRE</t>
        </is>
      </c>
      <c r="G3101" s="1" t="inlineStr">
        <is>
          <t>HAIFENG</t>
        </is>
      </c>
      <c r="H3101" s="1" t="inlineStr">
        <is>
          <t>HAIFENG 03/12/2025</t>
        </is>
      </c>
      <c r="I3101" s="4" t="n">
        <v>10</v>
      </c>
      <c r="J3101" s="6" t="n">
        <v>3.8</v>
      </c>
      <c r="K3101" s="6" t="n">
        <v>79.48520804</v>
      </c>
      <c r="L3101" s="6">
        <f>I3101*K3101</f>
        <v/>
      </c>
      <c r="M3101" s="6">
        <f>K3101*4</f>
        <v/>
      </c>
      <c r="N3101" s="6" t="n">
        <v>440</v>
      </c>
    </row>
    <row r="3102">
      <c r="A3102" s="1" t="inlineStr">
        <is>
          <t>66177c3e7206b</t>
        </is>
      </c>
      <c r="B3102" s="1" t="inlineStr">
        <is>
          <t>COLLAR LOVE-LOVE GOLD</t>
        </is>
      </c>
      <c r="C3102" s="1" t="inlineStr">
        <is>
          <t>46cm con 5cm de extension</t>
        </is>
      </c>
      <c r="D3102" s="1" t="inlineStr">
        <is>
          <t>20/01/2026</t>
        </is>
      </c>
      <c r="E3102" s="1" t="n">
        <v>2026</v>
      </c>
      <c r="F3102" s="1" t="inlineStr">
        <is>
          <t>ENERO</t>
        </is>
      </c>
      <c r="G3102" s="1" t="inlineStr">
        <is>
          <t>HAIFENG</t>
        </is>
      </c>
      <c r="H3102" s="1" t="inlineStr">
        <is>
          <t>HAIFENG 20/01/2026</t>
        </is>
      </c>
      <c r="I3102" s="4" t="n">
        <v>4</v>
      </c>
      <c r="J3102" s="6" t="n">
        <v>3.8</v>
      </c>
      <c r="K3102" s="6" t="n">
        <v>80.56158761</v>
      </c>
      <c r="L3102" s="6">
        <f>I3102*K3102</f>
        <v/>
      </c>
      <c r="M3102" s="6">
        <f>K3102*4</f>
        <v/>
      </c>
      <c r="N3102" s="6" t="n">
        <v>440</v>
      </c>
    </row>
    <row r="3103">
      <c r="A3103" s="1" t="inlineStr">
        <is>
          <t>66177c3e7206b</t>
        </is>
      </c>
      <c r="B3103" s="1" t="inlineStr">
        <is>
          <t>COLLAR LOVE-LOVE GOLD</t>
        </is>
      </c>
      <c r="C3103" s="1" t="inlineStr">
        <is>
          <t>46cm con 5cm de extension</t>
        </is>
      </c>
      <c r="D3103" s="1" t="inlineStr">
        <is>
          <t>16/04/2026</t>
        </is>
      </c>
      <c r="E3103" s="1" t="n">
        <v>2026</v>
      </c>
      <c r="F3103" s="1" t="inlineStr">
        <is>
          <t>ABRIL</t>
        </is>
      </c>
      <c r="G3103" s="1" t="inlineStr">
        <is>
          <t>HAIFENG</t>
        </is>
      </c>
      <c r="H3103" s="1" t="inlineStr">
        <is>
          <t>HAIFENG 16/04/2026</t>
        </is>
      </c>
      <c r="I3103" s="4" t="n">
        <v>16</v>
      </c>
      <c r="J3103" s="6" t="n">
        <v>3.8</v>
      </c>
      <c r="K3103" s="6" t="n">
        <v>79.91959964</v>
      </c>
      <c r="L3103" s="6">
        <f>I3103*K3103</f>
        <v/>
      </c>
      <c r="M3103" s="6">
        <f>K3103*4</f>
        <v/>
      </c>
      <c r="N3103" s="6" t="n">
        <v>440</v>
      </c>
    </row>
    <row r="3104">
      <c r="A3104" s="1" t="inlineStr">
        <is>
          <t>66177c3e7206b</t>
        </is>
      </c>
      <c r="B3104" s="1" t="inlineStr">
        <is>
          <t>COLLAR LOVE-LOVE GOLD</t>
        </is>
      </c>
      <c r="C3104" s="1" t="inlineStr">
        <is>
          <t>46cm con 5cm de extension</t>
        </is>
      </c>
      <c r="D3104" s="1" t="inlineStr">
        <is>
          <t>16/06/2026</t>
        </is>
      </c>
      <c r="E3104" s="1" t="n">
        <v>2026</v>
      </c>
      <c r="F3104" s="1" t="inlineStr">
        <is>
          <t>JUNIO</t>
        </is>
      </c>
      <c r="G3104" s="1" t="inlineStr">
        <is>
          <t>HAIFENG</t>
        </is>
      </c>
      <c r="H3104" s="1" t="inlineStr">
        <is>
          <t>HAIFENG 16/06/2026</t>
        </is>
      </c>
      <c r="I3104" s="4" t="n">
        <v>8</v>
      </c>
      <c r="J3104" s="6" t="n">
        <v>3.8</v>
      </c>
      <c r="K3104" s="6" t="n">
        <v>79.85550455000001</v>
      </c>
      <c r="L3104" s="6">
        <f>I3104*K3104</f>
        <v/>
      </c>
      <c r="M3104" s="6">
        <f>K3104*4</f>
        <v/>
      </c>
      <c r="N3104" s="6" t="n">
        <v>440</v>
      </c>
    </row>
    <row r="3105">
      <c r="A3105" s="1" t="inlineStr">
        <is>
          <t>66178423967c9</t>
        </is>
      </c>
      <c r="B3105" s="1" t="inlineStr">
        <is>
          <t>COLLAR SERPENTI CON ZIRCONIA</t>
        </is>
      </c>
      <c r="C3105" s="1" t="inlineStr">
        <is>
          <t>46cm</t>
        </is>
      </c>
      <c r="D3105" s="1" t="inlineStr">
        <is>
          <t>06/09/2025</t>
        </is>
      </c>
      <c r="E3105" s="1" t="n">
        <v>2025</v>
      </c>
      <c r="F3105" s="1" t="inlineStr">
        <is>
          <t>SEPTIEMBRE</t>
        </is>
      </c>
      <c r="G3105" s="1" t="inlineStr">
        <is>
          <t>NANCY</t>
        </is>
      </c>
      <c r="H3105" s="1" t="inlineStr">
        <is>
          <t>NANCY 06/09/2025</t>
        </is>
      </c>
      <c r="I3105" s="4" t="n">
        <v>2</v>
      </c>
      <c r="J3105" s="6" t="n">
        <v>19.99</v>
      </c>
      <c r="K3105" s="6" t="n">
        <v>465.4803351</v>
      </c>
      <c r="L3105" s="6">
        <f>I3105*K3105</f>
        <v/>
      </c>
      <c r="M3105" s="6">
        <f>K3105*4</f>
        <v/>
      </c>
      <c r="N3105" s="6" t="n">
        <v>2650</v>
      </c>
    </row>
    <row r="3106">
      <c r="A3106" s="1" t="inlineStr">
        <is>
          <t>66178423967c9</t>
        </is>
      </c>
      <c r="B3106" s="1" t="inlineStr">
        <is>
          <t>COLLAR SERPENTI CON ZIRCONIA</t>
        </is>
      </c>
      <c r="C3106" s="1" t="inlineStr">
        <is>
          <t>46cm</t>
        </is>
      </c>
      <c r="D3106" s="1" t="inlineStr">
        <is>
          <t>22/10/2025</t>
        </is>
      </c>
      <c r="E3106" s="1" t="n">
        <v>2025</v>
      </c>
      <c r="F3106" s="1" t="inlineStr">
        <is>
          <t>OCTUBRE</t>
        </is>
      </c>
      <c r="G3106" s="1" t="inlineStr">
        <is>
          <t>HAIFENG</t>
        </is>
      </c>
      <c r="H3106" s="1" t="inlineStr">
        <is>
          <t>HAIFENG 22/10/2025</t>
        </is>
      </c>
      <c r="I3106" s="4" t="n">
        <v>2</v>
      </c>
      <c r="J3106" s="6" t="n">
        <v>30</v>
      </c>
      <c r="K3106" s="6" t="n">
        <v>633.8478605</v>
      </c>
      <c r="L3106" s="6">
        <f>I3106*K3106</f>
        <v/>
      </c>
      <c r="M3106" s="6">
        <f>K3106*4</f>
        <v/>
      </c>
      <c r="N3106" s="6" t="n">
        <v>2650</v>
      </c>
    </row>
    <row r="3107">
      <c r="A3107" s="1" t="inlineStr">
        <is>
          <t>66178423967c9</t>
        </is>
      </c>
      <c r="B3107" s="1" t="inlineStr">
        <is>
          <t>COLLAR SERPENTI CON ZIRCONIA</t>
        </is>
      </c>
      <c r="C3107" s="1" t="inlineStr">
        <is>
          <t>46cm</t>
        </is>
      </c>
      <c r="D3107" s="1" t="inlineStr">
        <is>
          <t>03/12/2025</t>
        </is>
      </c>
      <c r="E3107" s="1" t="n">
        <v>2025</v>
      </c>
      <c r="F3107" s="1" t="inlineStr">
        <is>
          <t>DICIEMBRE</t>
        </is>
      </c>
      <c r="G3107" s="1" t="inlineStr">
        <is>
          <t>NANCY</t>
        </is>
      </c>
      <c r="H3107" s="1" t="inlineStr">
        <is>
          <t>NANCY 03/12/2025</t>
        </is>
      </c>
      <c r="I3107" s="4" t="n">
        <v>1</v>
      </c>
      <c r="J3107" s="6" t="n">
        <v>19.99</v>
      </c>
      <c r="K3107" s="6" t="n">
        <v>472.8982606</v>
      </c>
      <c r="L3107" s="6">
        <f>I3107*K3107</f>
        <v/>
      </c>
      <c r="M3107" s="6">
        <f>K3107*4</f>
        <v/>
      </c>
      <c r="N3107" s="6" t="n">
        <v>2650</v>
      </c>
    </row>
    <row r="3108">
      <c r="A3108" s="1" t="inlineStr">
        <is>
          <t>66178423967c9</t>
        </is>
      </c>
      <c r="B3108" s="1" t="inlineStr">
        <is>
          <t>COLLAR SERPENTI CON ZIRCONIA</t>
        </is>
      </c>
      <c r="C3108" s="1" t="inlineStr">
        <is>
          <t>46cm</t>
        </is>
      </c>
      <c r="D3108" s="1" t="inlineStr">
        <is>
          <t>10/02/2026</t>
        </is>
      </c>
      <c r="E3108" s="1" t="n">
        <v>2026</v>
      </c>
      <c r="F3108" s="1" t="inlineStr">
        <is>
          <t>FEBRERO</t>
        </is>
      </c>
      <c r="G3108" s="1" t="inlineStr">
        <is>
          <t>HAIFENG</t>
        </is>
      </c>
      <c r="H3108" s="1" t="inlineStr">
        <is>
          <t>HAIFENG 10/02/2026</t>
        </is>
      </c>
      <c r="I3108" s="4" t="n">
        <v>1</v>
      </c>
      <c r="J3108" s="6" t="n">
        <v>32</v>
      </c>
      <c r="K3108" s="6" t="n">
        <v>674.1918740999999</v>
      </c>
      <c r="L3108" s="6">
        <f>I3108*K3108</f>
        <v/>
      </c>
      <c r="M3108" s="6">
        <f>K3108*4</f>
        <v/>
      </c>
      <c r="N3108" s="6" t="n">
        <v>2650</v>
      </c>
    </row>
    <row r="3109">
      <c r="A3109" s="1" t="inlineStr">
        <is>
          <t>66178423967c9</t>
        </is>
      </c>
      <c r="B3109" s="1" t="inlineStr">
        <is>
          <t>COLLAR SERPENTI CON ZIRCONIA</t>
        </is>
      </c>
      <c r="C3109" s="1" t="inlineStr">
        <is>
          <t>46cm</t>
        </is>
      </c>
      <c r="D3109" s="1" t="inlineStr">
        <is>
          <t>16/06/2026</t>
        </is>
      </c>
      <c r="E3109" s="1" t="n">
        <v>2026</v>
      </c>
      <c r="F3109" s="1" t="inlineStr">
        <is>
          <t>JUNIO</t>
        </is>
      </c>
      <c r="G3109" s="1" t="inlineStr">
        <is>
          <t>HAIFENG</t>
        </is>
      </c>
      <c r="H3109" s="1" t="inlineStr">
        <is>
          <t>HAIFENG 16/06/2026</t>
        </is>
      </c>
      <c r="I3109" s="4" t="n">
        <v>2</v>
      </c>
      <c r="J3109" s="6" t="n">
        <v>32</v>
      </c>
      <c r="K3109" s="6" t="n">
        <v>672.4674067</v>
      </c>
      <c r="L3109" s="6">
        <f>I3109*K3109</f>
        <v/>
      </c>
      <c r="M3109" s="6">
        <f>K3109*4</f>
        <v/>
      </c>
      <c r="N3109" s="6" t="n">
        <v>2650</v>
      </c>
    </row>
    <row r="3110">
      <c r="A3110" s="1" t="inlineStr">
        <is>
          <t>6617849b95942</t>
        </is>
      </c>
      <c r="B3110" s="1" t="inlineStr">
        <is>
          <t>ARETES TREBOL SILVER BLACK</t>
        </is>
      </c>
      <c r="C3110" s="1" t="inlineStr">
        <is>
          <t>Default Title</t>
        </is>
      </c>
      <c r="D3110" s="1" t="inlineStr">
        <is>
          <t>11/03/2026</t>
        </is>
      </c>
      <c r="E3110" s="1" t="n">
        <v>2026</v>
      </c>
      <c r="F3110" s="1" t="inlineStr">
        <is>
          <t>MARZO</t>
        </is>
      </c>
      <c r="G3110" s="1" t="inlineStr">
        <is>
          <t>HAIFENG</t>
        </is>
      </c>
      <c r="H3110" s="1" t="inlineStr">
        <is>
          <t>HAIFENG 11/03/2026</t>
        </is>
      </c>
      <c r="I3110" s="4" t="n">
        <v>4</v>
      </c>
      <c r="J3110" s="6" t="n">
        <v>8</v>
      </c>
      <c r="K3110" s="6" t="n">
        <v>170.4311697</v>
      </c>
      <c r="L3110" s="6">
        <f>I3110*K3110</f>
        <v/>
      </c>
      <c r="M3110" s="6">
        <f>K3110*4</f>
        <v/>
      </c>
      <c r="N3110" s="6" t="n">
        <v>832</v>
      </c>
    </row>
    <row r="3111">
      <c r="A3111" s="1" t="inlineStr">
        <is>
          <t>6617849b98dff</t>
        </is>
      </c>
      <c r="B3111" s="1" t="inlineStr">
        <is>
          <t>ARETES TREBOL SILVER</t>
        </is>
      </c>
      <c r="C3111" s="1" t="inlineStr">
        <is>
          <t>Default Title</t>
        </is>
      </c>
      <c r="D3111" s="1" t="inlineStr">
        <is>
          <t>03/12/2025</t>
        </is>
      </c>
      <c r="E3111" s="1" t="n">
        <v>2025</v>
      </c>
      <c r="F3111" s="1" t="inlineStr">
        <is>
          <t>DICIEMBRE</t>
        </is>
      </c>
      <c r="G3111" s="1" t="inlineStr">
        <is>
          <t>HAIFENG</t>
        </is>
      </c>
      <c r="H3111" s="1" t="inlineStr">
        <is>
          <t>HAIFENG 03/12/2025</t>
        </is>
      </c>
      <c r="I3111" s="4" t="n">
        <v>2</v>
      </c>
      <c r="J3111" s="6" t="n">
        <v>17</v>
      </c>
      <c r="K3111" s="6" t="n">
        <v>355.5917202</v>
      </c>
      <c r="L3111" s="6">
        <f>I3111*K3111</f>
        <v/>
      </c>
      <c r="M3111" s="6">
        <f>K3111*4</f>
        <v/>
      </c>
      <c r="N3111" s="6" t="n">
        <v>850</v>
      </c>
    </row>
    <row r="3112">
      <c r="A3112" s="1" t="inlineStr">
        <is>
          <t>6617849b98dff</t>
        </is>
      </c>
      <c r="B3112" s="1" t="inlineStr">
        <is>
          <t>ARETES TREBOL SILVER</t>
        </is>
      </c>
      <c r="C3112" s="1" t="inlineStr">
        <is>
          <t>Default Title</t>
        </is>
      </c>
      <c r="D3112" s="1" t="inlineStr">
        <is>
          <t>20/01/2026</t>
        </is>
      </c>
      <c r="E3112" s="1" t="n">
        <v>2026</v>
      </c>
      <c r="F3112" s="1" t="inlineStr">
        <is>
          <t>ENERO</t>
        </is>
      </c>
      <c r="G3112" s="1" t="inlineStr">
        <is>
          <t>HAIFENG</t>
        </is>
      </c>
      <c r="H3112" s="1" t="inlineStr">
        <is>
          <t>HAIFENG 20/01/2026</t>
        </is>
      </c>
      <c r="I3112" s="4" t="n">
        <v>2</v>
      </c>
      <c r="J3112" s="6" t="n">
        <v>8</v>
      </c>
      <c r="K3112" s="6" t="n">
        <v>169.6033423</v>
      </c>
      <c r="L3112" s="6">
        <f>I3112*K3112</f>
        <v/>
      </c>
      <c r="M3112" s="6">
        <f>K3112*4</f>
        <v/>
      </c>
      <c r="N3112" s="6" t="n">
        <v>850</v>
      </c>
    </row>
    <row r="3113">
      <c r="A3113" s="1" t="inlineStr">
        <is>
          <t>6617849b98dff</t>
        </is>
      </c>
      <c r="B3113" s="1" t="inlineStr">
        <is>
          <t>ARETES TREBOL SILVER</t>
        </is>
      </c>
      <c r="C3113" s="1" t="inlineStr">
        <is>
          <t>Default Title</t>
        </is>
      </c>
      <c r="D3113" s="1" t="inlineStr">
        <is>
          <t>06/05/2026</t>
        </is>
      </c>
      <c r="E3113" s="1" t="n">
        <v>2026</v>
      </c>
      <c r="F3113" s="1" t="inlineStr">
        <is>
          <t>MAYO</t>
        </is>
      </c>
      <c r="G3113" s="1" t="inlineStr">
        <is>
          <t>HAIFENG</t>
        </is>
      </c>
      <c r="H3113" s="1" t="inlineStr">
        <is>
          <t>HAIFENG 06/05/2026</t>
        </is>
      </c>
      <c r="I3113" s="4" t="n">
        <v>2</v>
      </c>
      <c r="J3113" s="6" t="n">
        <v>8</v>
      </c>
      <c r="K3113" s="6" t="n">
        <v>169.7491381</v>
      </c>
      <c r="L3113" s="6">
        <f>I3113*K3113</f>
        <v/>
      </c>
      <c r="M3113" s="6">
        <f>K3113*4</f>
        <v/>
      </c>
      <c r="N3113" s="6" t="n">
        <v>850</v>
      </c>
    </row>
    <row r="3114">
      <c r="A3114" s="1" t="inlineStr">
        <is>
          <t>6617849b98dff</t>
        </is>
      </c>
      <c r="B3114" s="1" t="inlineStr">
        <is>
          <t>ARETES TREBOL SILVER</t>
        </is>
      </c>
      <c r="C3114" s="1" t="inlineStr">
        <is>
          <t>Default Title</t>
        </is>
      </c>
      <c r="D3114" s="1" t="inlineStr">
        <is>
          <t>16/06/2026</t>
        </is>
      </c>
      <c r="E3114" s="1" t="n">
        <v>2026</v>
      </c>
      <c r="F3114" s="1" t="inlineStr">
        <is>
          <t>JUNIO</t>
        </is>
      </c>
      <c r="G3114" s="1" t="inlineStr">
        <is>
          <t>HAIFENG</t>
        </is>
      </c>
      <c r="H3114" s="1" t="inlineStr">
        <is>
          <t>HAIFENG 16/06/2026</t>
        </is>
      </c>
      <c r="I3114" s="4" t="n">
        <v>2</v>
      </c>
      <c r="J3114" s="6" t="n">
        <v>8</v>
      </c>
      <c r="K3114" s="6" t="n">
        <v>168.1168517</v>
      </c>
      <c r="L3114" s="6">
        <f>I3114*K3114</f>
        <v/>
      </c>
      <c r="M3114" s="6">
        <f>K3114*4</f>
        <v/>
      </c>
      <c r="N3114" s="6" t="n">
        <v>850</v>
      </c>
    </row>
    <row r="3115">
      <c r="A3115" s="1" t="inlineStr">
        <is>
          <t>6617849b9a844</t>
        </is>
      </c>
      <c r="B3115" s="1" t="inlineStr">
        <is>
          <t>ARETES TRÉBOL GOLD</t>
        </is>
      </c>
      <c r="C3115" s="1" t="inlineStr">
        <is>
          <t>HIGH QUALITY</t>
        </is>
      </c>
      <c r="D3115" s="1" t="inlineStr">
        <is>
          <t>03/12/2025</t>
        </is>
      </c>
      <c r="E3115" s="1" t="n">
        <v>2025</v>
      </c>
      <c r="F3115" s="1" t="inlineStr">
        <is>
          <t>DICIEMBRE</t>
        </is>
      </c>
      <c r="G3115" s="1" t="inlineStr">
        <is>
          <t>HAIFENG</t>
        </is>
      </c>
      <c r="H3115" s="1" t="inlineStr">
        <is>
          <t>HAIFENG 03/12/2025</t>
        </is>
      </c>
      <c r="I3115" s="4" t="n">
        <v>2</v>
      </c>
      <c r="J3115" s="6" t="n">
        <v>17</v>
      </c>
      <c r="K3115" s="6" t="n">
        <v>355.5917202</v>
      </c>
      <c r="L3115" s="6">
        <f>I3115*K3115</f>
        <v/>
      </c>
      <c r="M3115" s="6">
        <f>K3115*4</f>
        <v/>
      </c>
      <c r="N3115" s="6" t="n">
        <v>699</v>
      </c>
    </row>
    <row r="3116">
      <c r="A3116" s="1" t="inlineStr">
        <is>
          <t>6617849b9a844</t>
        </is>
      </c>
      <c r="B3116" s="1" t="inlineStr">
        <is>
          <t>ARETES TRÉBOL GOLD</t>
        </is>
      </c>
      <c r="C3116" s="1" t="inlineStr">
        <is>
          <t>HIGH QUALITY</t>
        </is>
      </c>
      <c r="D3116" s="1" t="inlineStr">
        <is>
          <t>20/01/2026</t>
        </is>
      </c>
      <c r="E3116" s="1" t="n">
        <v>2026</v>
      </c>
      <c r="F3116" s="1" t="inlineStr">
        <is>
          <t>ENERO</t>
        </is>
      </c>
      <c r="G3116" s="1" t="inlineStr">
        <is>
          <t>HAIFENG</t>
        </is>
      </c>
      <c r="H3116" s="1" t="inlineStr">
        <is>
          <t>HAIFENG 20/01/2026</t>
        </is>
      </c>
      <c r="I3116" s="4" t="n">
        <v>5</v>
      </c>
      <c r="J3116" s="6" t="n">
        <v>8</v>
      </c>
      <c r="K3116" s="6" t="n">
        <v>169.6033423</v>
      </c>
      <c r="L3116" s="6">
        <f>I3116*K3116</f>
        <v/>
      </c>
      <c r="M3116" s="6">
        <f>K3116*4</f>
        <v/>
      </c>
      <c r="N3116" s="6" t="n">
        <v>699</v>
      </c>
    </row>
    <row r="3117">
      <c r="A3117" s="1" t="inlineStr">
        <is>
          <t>6617849b9a844</t>
        </is>
      </c>
      <c r="B3117" s="1" t="inlineStr">
        <is>
          <t>ARETES TRÉBOL GOLD</t>
        </is>
      </c>
      <c r="C3117" s="1" t="inlineStr">
        <is>
          <t>HIGH QUALITY</t>
        </is>
      </c>
      <c r="D3117" s="1" t="inlineStr">
        <is>
          <t>16/04/2026</t>
        </is>
      </c>
      <c r="E3117" s="1" t="n">
        <v>2026</v>
      </c>
      <c r="F3117" s="1" t="inlineStr">
        <is>
          <t>ABRIL</t>
        </is>
      </c>
      <c r="G3117" s="1" t="inlineStr">
        <is>
          <t>HAIFENG</t>
        </is>
      </c>
      <c r="H3117" s="1" t="inlineStr">
        <is>
          <t>HAIFENG 16/04/2026</t>
        </is>
      </c>
      <c r="I3117" s="4" t="n">
        <v>5</v>
      </c>
      <c r="J3117" s="6" t="n">
        <v>8</v>
      </c>
      <c r="K3117" s="6" t="n">
        <v>168.2517887</v>
      </c>
      <c r="L3117" s="6">
        <f>I3117*K3117</f>
        <v/>
      </c>
      <c r="M3117" s="6">
        <f>K3117*4</f>
        <v/>
      </c>
      <c r="N3117" s="6" t="n">
        <v>699</v>
      </c>
    </row>
    <row r="3118">
      <c r="A3118" s="1" t="inlineStr">
        <is>
          <t>6617849b9a844</t>
        </is>
      </c>
      <c r="B3118" s="1" t="inlineStr">
        <is>
          <t>ARETES TRÉBOL GOLD</t>
        </is>
      </c>
      <c r="C3118" s="1" t="inlineStr">
        <is>
          <t>HIGH QUALITY</t>
        </is>
      </c>
      <c r="D3118" s="1" t="inlineStr">
        <is>
          <t>16/06/2026</t>
        </is>
      </c>
      <c r="E3118" s="1" t="n">
        <v>2026</v>
      </c>
      <c r="F3118" s="1" t="inlineStr">
        <is>
          <t>JUNIO</t>
        </is>
      </c>
      <c r="G3118" s="1" t="inlineStr">
        <is>
          <t>HAIFENG</t>
        </is>
      </c>
      <c r="H3118" s="1" t="inlineStr">
        <is>
          <t>HAIFENG 16/06/2026</t>
        </is>
      </c>
      <c r="I3118" s="4" t="n">
        <v>5</v>
      </c>
      <c r="J3118" s="6" t="n">
        <v>8</v>
      </c>
      <c r="K3118" s="6" t="n">
        <v>168.1168517</v>
      </c>
      <c r="L3118" s="6">
        <f>I3118*K3118</f>
        <v/>
      </c>
      <c r="M3118" s="6">
        <f>K3118*4</f>
        <v/>
      </c>
      <c r="N3118" s="6" t="n">
        <v>699</v>
      </c>
    </row>
    <row r="3119">
      <c r="A3119" s="1" t="inlineStr">
        <is>
          <t>6617849bc365a</t>
        </is>
      </c>
      <c r="B3119" s="1" t="inlineStr">
        <is>
          <t>ARETES TRÉBOL ROSE GOLD RED</t>
        </is>
      </c>
      <c r="C3119" s="1" t="inlineStr">
        <is>
          <t>Default Title</t>
        </is>
      </c>
      <c r="D3119" s="1" t="inlineStr">
        <is>
          <t>01/09/2025</t>
        </is>
      </c>
      <c r="E3119" s="1" t="n">
        <v>2025</v>
      </c>
      <c r="F3119" s="1" t="inlineStr">
        <is>
          <t>SEPTIEMBRE</t>
        </is>
      </c>
      <c r="G3119" s="1" t="inlineStr">
        <is>
          <t>HAIFENG</t>
        </is>
      </c>
      <c r="H3119" s="1" t="inlineStr">
        <is>
          <t>HAIFENG 01/09/2025</t>
        </is>
      </c>
      <c r="I3119" s="4" t="n">
        <v>3</v>
      </c>
      <c r="J3119" s="6" t="n">
        <v>15</v>
      </c>
      <c r="K3119" s="6" t="n">
        <v>318.8350659</v>
      </c>
      <c r="L3119" s="6">
        <f>I3119*K3119</f>
        <v/>
      </c>
      <c r="M3119" s="6">
        <f>K3119*4</f>
        <v/>
      </c>
      <c r="N3119" s="6" t="n">
        <v>750</v>
      </c>
    </row>
    <row r="3120">
      <c r="A3120" s="1" t="inlineStr">
        <is>
          <t>6617849bc365a</t>
        </is>
      </c>
      <c r="B3120" s="1" t="inlineStr">
        <is>
          <t>ARETES TRÉBOL ROSE GOLD RED</t>
        </is>
      </c>
      <c r="C3120" s="1" t="inlineStr">
        <is>
          <t>Default Title</t>
        </is>
      </c>
      <c r="D3120" s="1" t="inlineStr">
        <is>
          <t>26/05/2026</t>
        </is>
      </c>
      <c r="E3120" s="1" t="n">
        <v>2026</v>
      </c>
      <c r="F3120" s="1" t="inlineStr">
        <is>
          <t>MAYO</t>
        </is>
      </c>
      <c r="G3120" s="1" t="inlineStr">
        <is>
          <t>HAIFENG</t>
        </is>
      </c>
      <c r="H3120" s="1" t="inlineStr">
        <is>
          <t>HAIFENG 26/05/2026</t>
        </is>
      </c>
      <c r="I3120" s="4" t="n">
        <v>3</v>
      </c>
      <c r="J3120" s="6" t="n">
        <v>8</v>
      </c>
      <c r="K3120" s="6" t="n">
        <v>167.9143624</v>
      </c>
      <c r="L3120" s="6">
        <f>I3120*K3120</f>
        <v/>
      </c>
      <c r="M3120" s="6">
        <f>K3120*4</f>
        <v/>
      </c>
      <c r="N3120" s="6" t="n">
        <v>750</v>
      </c>
    </row>
    <row r="3121">
      <c r="A3121" s="1" t="inlineStr">
        <is>
          <t>661784a18007c</t>
        </is>
      </c>
      <c r="B3121" s="1" t="inlineStr">
        <is>
          <t>ARETES TRÉBOL GOLD-GREEN</t>
        </is>
      </c>
      <c r="C3121" s="1" t="inlineStr">
        <is>
          <t>HIGH QUALITY</t>
        </is>
      </c>
      <c r="D3121" s="1" t="inlineStr">
        <is>
          <t>11/11/2025</t>
        </is>
      </c>
      <c r="E3121" s="1" t="n">
        <v>2025</v>
      </c>
      <c r="F3121" s="1" t="inlineStr">
        <is>
          <t>NOVIEMBRE</t>
        </is>
      </c>
      <c r="G3121" s="1" t="inlineStr">
        <is>
          <t>HAIFENG</t>
        </is>
      </c>
      <c r="H3121" s="1" t="inlineStr">
        <is>
          <t>HAIFENG 11/11/2025</t>
        </is>
      </c>
      <c r="I3121" s="4" t="n">
        <v>2</v>
      </c>
      <c r="J3121" s="6" t="n">
        <v>16</v>
      </c>
      <c r="K3121" s="6" t="n">
        <v>336.9679751</v>
      </c>
      <c r="L3121" s="6">
        <f>I3121*K3121</f>
        <v/>
      </c>
      <c r="M3121" s="6">
        <f>K3121*4</f>
        <v/>
      </c>
      <c r="N3121" s="6" t="n">
        <v>850</v>
      </c>
    </row>
    <row r="3122">
      <c r="A3122" s="1" t="inlineStr">
        <is>
          <t>661784a18007c</t>
        </is>
      </c>
      <c r="B3122" s="1" t="inlineStr">
        <is>
          <t>ARETES TRÉBOL GOLD-GREEN</t>
        </is>
      </c>
      <c r="C3122" s="1" t="inlineStr">
        <is>
          <t>HIGH QUALITY</t>
        </is>
      </c>
      <c r="D3122" s="1" t="inlineStr">
        <is>
          <t>03/12/2025</t>
        </is>
      </c>
      <c r="E3122" s="1" t="n">
        <v>2025</v>
      </c>
      <c r="F3122" s="1" t="inlineStr">
        <is>
          <t>DICIEMBRE</t>
        </is>
      </c>
      <c r="G3122" s="1" t="inlineStr">
        <is>
          <t>HAIFENG</t>
        </is>
      </c>
      <c r="H3122" s="1" t="inlineStr">
        <is>
          <t>HAIFENG 03/12/2025</t>
        </is>
      </c>
      <c r="I3122" s="4" t="n">
        <v>3</v>
      </c>
      <c r="J3122" s="6" t="n">
        <v>16</v>
      </c>
      <c r="K3122" s="6" t="n">
        <v>334.6745602</v>
      </c>
      <c r="L3122" s="6">
        <f>I3122*K3122</f>
        <v/>
      </c>
      <c r="M3122" s="6">
        <f>K3122*4</f>
        <v/>
      </c>
      <c r="N3122" s="6" t="n">
        <v>850</v>
      </c>
    </row>
    <row r="3123">
      <c r="A3123" s="1" t="inlineStr">
        <is>
          <t>661784a18007c</t>
        </is>
      </c>
      <c r="B3123" s="1" t="inlineStr">
        <is>
          <t>ARETES TRÉBOL GOLD-GREEN</t>
        </is>
      </c>
      <c r="C3123" s="1" t="inlineStr">
        <is>
          <t>HIGH QUALITY</t>
        </is>
      </c>
      <c r="D3123" s="1" t="inlineStr">
        <is>
          <t>20/01/2026</t>
        </is>
      </c>
      <c r="E3123" s="1" t="n">
        <v>2026</v>
      </c>
      <c r="F3123" s="1" t="inlineStr">
        <is>
          <t>ENERO</t>
        </is>
      </c>
      <c r="G3123" s="1" t="inlineStr">
        <is>
          <t>HAIFENG</t>
        </is>
      </c>
      <c r="H3123" s="1" t="inlineStr">
        <is>
          <t>HAIFENG 20/01/2026</t>
        </is>
      </c>
      <c r="I3123" s="4" t="n">
        <v>3</v>
      </c>
      <c r="J3123" s="6" t="n">
        <v>8</v>
      </c>
      <c r="K3123" s="6" t="n">
        <v>169.6033423</v>
      </c>
      <c r="L3123" s="6">
        <f>I3123*K3123</f>
        <v/>
      </c>
      <c r="M3123" s="6">
        <f>K3123*4</f>
        <v/>
      </c>
      <c r="N3123" s="6" t="n">
        <v>850</v>
      </c>
    </row>
    <row r="3124">
      <c r="A3124" s="1" t="inlineStr">
        <is>
          <t>661784a18007c</t>
        </is>
      </c>
      <c r="B3124" s="1" t="inlineStr">
        <is>
          <t>ARETES TRÉBOL GOLD-GREEN</t>
        </is>
      </c>
      <c r="C3124" s="1" t="inlineStr">
        <is>
          <t>HIGH QUALITY</t>
        </is>
      </c>
      <c r="D3124" s="1" t="inlineStr">
        <is>
          <t>06/05/2026</t>
        </is>
      </c>
      <c r="E3124" s="1" t="n">
        <v>2026</v>
      </c>
      <c r="F3124" s="1" t="inlineStr">
        <is>
          <t>MAYO</t>
        </is>
      </c>
      <c r="G3124" s="1" t="inlineStr">
        <is>
          <t>HAIFENG</t>
        </is>
      </c>
      <c r="H3124" s="1" t="inlineStr">
        <is>
          <t>HAIFENG 06/05/2026</t>
        </is>
      </c>
      <c r="I3124" s="4" t="n">
        <v>3</v>
      </c>
      <c r="J3124" s="6" t="n">
        <v>8</v>
      </c>
      <c r="K3124" s="6" t="n">
        <v>169.7491381</v>
      </c>
      <c r="L3124" s="6">
        <f>I3124*K3124</f>
        <v/>
      </c>
      <c r="M3124" s="6">
        <f>K3124*4</f>
        <v/>
      </c>
      <c r="N3124" s="6" t="n">
        <v>850</v>
      </c>
    </row>
    <row r="3125">
      <c r="A3125" s="1" t="inlineStr">
        <is>
          <t>661784a18007c</t>
        </is>
      </c>
      <c r="B3125" s="1" t="inlineStr">
        <is>
          <t>ARETES TRÉBOL GOLD-GREEN</t>
        </is>
      </c>
      <c r="C3125" s="1" t="inlineStr">
        <is>
          <t>HIGH QUALITY</t>
        </is>
      </c>
      <c r="D3125" s="1" t="inlineStr">
        <is>
          <t>26/05/2026</t>
        </is>
      </c>
      <c r="E3125" s="1" t="n">
        <v>2026</v>
      </c>
      <c r="F3125" s="1" t="inlineStr">
        <is>
          <t>MAYO</t>
        </is>
      </c>
      <c r="G3125" s="1" t="inlineStr">
        <is>
          <t>HAIFENG</t>
        </is>
      </c>
      <c r="H3125" s="1" t="inlineStr">
        <is>
          <t>HAIFENG 26/05/2026</t>
        </is>
      </c>
      <c r="I3125" s="4" t="n">
        <v>3</v>
      </c>
      <c r="J3125" s="6" t="n">
        <v>8</v>
      </c>
      <c r="K3125" s="6" t="n">
        <v>167.9143624</v>
      </c>
      <c r="L3125" s="6">
        <f>I3125*K3125</f>
        <v/>
      </c>
      <c r="M3125" s="6">
        <f>K3125*4</f>
        <v/>
      </c>
      <c r="N3125" s="6" t="n">
        <v>850</v>
      </c>
    </row>
    <row r="3126">
      <c r="A3126" s="1" t="inlineStr">
        <is>
          <t>661784a190a7f</t>
        </is>
      </c>
      <c r="B3126" s="1" t="inlineStr">
        <is>
          <t>ARETES TREBOL GOLD-RED</t>
        </is>
      </c>
      <c r="C3126" s="1" t="inlineStr">
        <is>
          <t>HIGH QUALITY</t>
        </is>
      </c>
      <c r="D3126" s="1" t="inlineStr">
        <is>
          <t>01/09/2025</t>
        </is>
      </c>
      <c r="E3126" s="1" t="n">
        <v>2025</v>
      </c>
      <c r="F3126" s="1" t="inlineStr">
        <is>
          <t>SEPTIEMBRE</t>
        </is>
      </c>
      <c r="G3126" s="1" t="inlineStr">
        <is>
          <t>HAIFENG</t>
        </is>
      </c>
      <c r="H3126" s="1" t="inlineStr">
        <is>
          <t>HAIFENG 01/09/2025</t>
        </is>
      </c>
      <c r="I3126" s="4" t="n">
        <v>4</v>
      </c>
      <c r="J3126" s="6" t="n">
        <v>15</v>
      </c>
      <c r="K3126" s="6" t="n">
        <v>318.8350659</v>
      </c>
      <c r="L3126" s="6">
        <f>I3126*K3126</f>
        <v/>
      </c>
      <c r="M3126" s="6">
        <f>K3126*4</f>
        <v/>
      </c>
      <c r="N3126" s="6" t="n">
        <v>832</v>
      </c>
    </row>
    <row r="3127">
      <c r="A3127" s="1" t="inlineStr">
        <is>
          <t>661784a190a7f</t>
        </is>
      </c>
      <c r="B3127" s="1" t="inlineStr">
        <is>
          <t>ARETES TREBOL GOLD-RED</t>
        </is>
      </c>
      <c r="C3127" s="1" t="inlineStr">
        <is>
          <t>HIGH QUALITY</t>
        </is>
      </c>
      <c r="D3127" s="1" t="inlineStr">
        <is>
          <t>11/11/2025</t>
        </is>
      </c>
      <c r="E3127" s="1" t="n">
        <v>2025</v>
      </c>
      <c r="F3127" s="1" t="inlineStr">
        <is>
          <t>NOVIEMBRE</t>
        </is>
      </c>
      <c r="G3127" s="1" t="inlineStr">
        <is>
          <t>HAIFENG</t>
        </is>
      </c>
      <c r="H3127" s="1" t="inlineStr">
        <is>
          <t>HAIFENG 11/11/2025</t>
        </is>
      </c>
      <c r="I3127" s="4" t="n">
        <v>1</v>
      </c>
      <c r="J3127" s="6" t="n">
        <v>16</v>
      </c>
      <c r="K3127" s="6" t="n">
        <v>336.9679751</v>
      </c>
      <c r="L3127" s="6">
        <f>I3127*K3127</f>
        <v/>
      </c>
      <c r="M3127" s="6">
        <f>K3127*4</f>
        <v/>
      </c>
      <c r="N3127" s="6" t="n">
        <v>832</v>
      </c>
    </row>
    <row r="3128">
      <c r="A3128" s="1" t="inlineStr">
        <is>
          <t>661784a190a7f</t>
        </is>
      </c>
      <c r="B3128" s="1" t="inlineStr">
        <is>
          <t>ARETES TREBOL GOLD-RED</t>
        </is>
      </c>
      <c r="C3128" s="1" t="inlineStr">
        <is>
          <t>HIGH QUALITY</t>
        </is>
      </c>
      <c r="D3128" s="1" t="inlineStr">
        <is>
          <t>20/01/2026</t>
        </is>
      </c>
      <c r="E3128" s="1" t="n">
        <v>2026</v>
      </c>
      <c r="F3128" s="1" t="inlineStr">
        <is>
          <t>ENERO</t>
        </is>
      </c>
      <c r="G3128" s="1" t="inlineStr">
        <is>
          <t>HAIFENG</t>
        </is>
      </c>
      <c r="H3128" s="1" t="inlineStr">
        <is>
          <t>HAIFENG 20/01/2026</t>
        </is>
      </c>
      <c r="I3128" s="4" t="n">
        <v>2</v>
      </c>
      <c r="J3128" s="6" t="n">
        <v>8</v>
      </c>
      <c r="K3128" s="6" t="n">
        <v>169.6033423</v>
      </c>
      <c r="L3128" s="6">
        <f>I3128*K3128</f>
        <v/>
      </c>
      <c r="M3128" s="6">
        <f>K3128*4</f>
        <v/>
      </c>
      <c r="N3128" s="6" t="n">
        <v>832</v>
      </c>
    </row>
    <row r="3129">
      <c r="A3129" s="1" t="inlineStr">
        <is>
          <t>661784a190a7f</t>
        </is>
      </c>
      <c r="B3129" s="1" t="inlineStr">
        <is>
          <t>ARETES TREBOL GOLD-RED</t>
        </is>
      </c>
      <c r="C3129" s="1" t="inlineStr">
        <is>
          <t>HIGH QUALITY</t>
        </is>
      </c>
      <c r="D3129" s="1" t="inlineStr">
        <is>
          <t>10/02/2026</t>
        </is>
      </c>
      <c r="E3129" s="1" t="n">
        <v>2026</v>
      </c>
      <c r="F3129" s="1" t="inlineStr">
        <is>
          <t>FEBRERO</t>
        </is>
      </c>
      <c r="G3129" s="1" t="inlineStr">
        <is>
          <t>HAIFENG</t>
        </is>
      </c>
      <c r="H3129" s="1" t="inlineStr">
        <is>
          <t>HAIFENG 10/02/2026</t>
        </is>
      </c>
      <c r="I3129" s="4" t="n">
        <v>2</v>
      </c>
      <c r="J3129" s="6" t="n">
        <v>8</v>
      </c>
      <c r="K3129" s="6" t="n">
        <v>168.5479685</v>
      </c>
      <c r="L3129" s="6">
        <f>I3129*K3129</f>
        <v/>
      </c>
      <c r="M3129" s="6">
        <f>K3129*4</f>
        <v/>
      </c>
      <c r="N3129" s="6" t="n">
        <v>832</v>
      </c>
    </row>
    <row r="3130">
      <c r="A3130" s="1" t="inlineStr">
        <is>
          <t>661784a190a7f</t>
        </is>
      </c>
      <c r="B3130" s="1" t="inlineStr">
        <is>
          <t>ARETES TREBOL GOLD-RED</t>
        </is>
      </c>
      <c r="C3130" s="1" t="inlineStr">
        <is>
          <t>HIGH QUALITY</t>
        </is>
      </c>
      <c r="D3130" s="1" t="inlineStr">
        <is>
          <t>11/03/2026</t>
        </is>
      </c>
      <c r="E3130" s="1" t="n">
        <v>2026</v>
      </c>
      <c r="F3130" s="1" t="inlineStr">
        <is>
          <t>MARZO</t>
        </is>
      </c>
      <c r="G3130" s="1" t="inlineStr">
        <is>
          <t>HAIFENG</t>
        </is>
      </c>
      <c r="H3130" s="1" t="inlineStr">
        <is>
          <t>HAIFENG 11/03/2026</t>
        </is>
      </c>
      <c r="I3130" s="4" t="n">
        <v>3</v>
      </c>
      <c r="J3130" s="6" t="n">
        <v>8</v>
      </c>
      <c r="K3130" s="6" t="n">
        <v>170.4311697</v>
      </c>
      <c r="L3130" s="6">
        <f>I3130*K3130</f>
        <v/>
      </c>
      <c r="M3130" s="6">
        <f>K3130*4</f>
        <v/>
      </c>
      <c r="N3130" s="6" t="n">
        <v>832</v>
      </c>
    </row>
    <row r="3131">
      <c r="A3131" s="1" t="inlineStr">
        <is>
          <t>661784a190a7f</t>
        </is>
      </c>
      <c r="B3131" s="1" t="inlineStr">
        <is>
          <t>ARETES TREBOL GOLD-RED</t>
        </is>
      </c>
      <c r="C3131" s="1" t="inlineStr">
        <is>
          <t>HIGH QUALITY</t>
        </is>
      </c>
      <c r="D3131" s="1" t="inlineStr">
        <is>
          <t>26/05/2026</t>
        </is>
      </c>
      <c r="E3131" s="1" t="n">
        <v>2026</v>
      </c>
      <c r="F3131" s="1" t="inlineStr">
        <is>
          <t>MAYO</t>
        </is>
      </c>
      <c r="G3131" s="1" t="inlineStr">
        <is>
          <t>HAIFENG</t>
        </is>
      </c>
      <c r="H3131" s="1" t="inlineStr">
        <is>
          <t>HAIFENG 26/05/2026</t>
        </is>
      </c>
      <c r="I3131" s="4" t="n">
        <v>3</v>
      </c>
      <c r="J3131" s="6" t="n">
        <v>8</v>
      </c>
      <c r="K3131" s="6" t="n">
        <v>167.9143624</v>
      </c>
      <c r="L3131" s="6">
        <f>I3131*K3131</f>
        <v/>
      </c>
      <c r="M3131" s="6">
        <f>K3131*4</f>
        <v/>
      </c>
      <c r="N3131" s="6" t="n">
        <v>832</v>
      </c>
    </row>
    <row r="3132">
      <c r="A3132" s="1" t="inlineStr">
        <is>
          <t>661784a33b867</t>
        </is>
      </c>
      <c r="B3132" s="1" t="inlineStr">
        <is>
          <t>ARETES TRÉBOL GOLD-BLACK</t>
        </is>
      </c>
      <c r="C3132" s="1" t="inlineStr">
        <is>
          <t>HIGH QUALITY</t>
        </is>
      </c>
      <c r="D3132" s="1" t="inlineStr">
        <is>
          <t>20/01/2026</t>
        </is>
      </c>
      <c r="E3132" s="1" t="n">
        <v>2026</v>
      </c>
      <c r="F3132" s="1" t="inlineStr">
        <is>
          <t>ENERO</t>
        </is>
      </c>
      <c r="G3132" s="1" t="inlineStr">
        <is>
          <t>HAIFENG</t>
        </is>
      </c>
      <c r="H3132" s="1" t="inlineStr">
        <is>
          <t>HAIFENG 20/01/2026</t>
        </is>
      </c>
      <c r="I3132" s="4" t="n">
        <v>3</v>
      </c>
      <c r="J3132" s="6" t="n">
        <v>8</v>
      </c>
      <c r="K3132" s="6" t="n">
        <v>169.6033423</v>
      </c>
      <c r="L3132" s="6">
        <f>I3132*K3132</f>
        <v/>
      </c>
      <c r="M3132" s="6">
        <f>K3132*4</f>
        <v/>
      </c>
      <c r="N3132" s="6" t="n">
        <v>699</v>
      </c>
    </row>
    <row r="3133">
      <c r="A3133" s="1" t="inlineStr">
        <is>
          <t>661784a33b867</t>
        </is>
      </c>
      <c r="B3133" s="1" t="inlineStr">
        <is>
          <t>ARETES TRÉBOL GOLD-BLACK</t>
        </is>
      </c>
      <c r="C3133" s="1" t="inlineStr">
        <is>
          <t>HIGH QUALITY</t>
        </is>
      </c>
      <c r="D3133" s="1" t="inlineStr">
        <is>
          <t>16/04/2026</t>
        </is>
      </c>
      <c r="E3133" s="1" t="n">
        <v>2026</v>
      </c>
      <c r="F3133" s="1" t="inlineStr">
        <is>
          <t>ABRIL</t>
        </is>
      </c>
      <c r="G3133" s="1" t="inlineStr">
        <is>
          <t>HAIFENG</t>
        </is>
      </c>
      <c r="H3133" s="1" t="inlineStr">
        <is>
          <t>HAIFENG 16/04/2026</t>
        </is>
      </c>
      <c r="I3133" s="4" t="n">
        <v>6</v>
      </c>
      <c r="J3133" s="6" t="n">
        <v>8</v>
      </c>
      <c r="K3133" s="6" t="n">
        <v>168.2517887</v>
      </c>
      <c r="L3133" s="6">
        <f>I3133*K3133</f>
        <v/>
      </c>
      <c r="M3133" s="6">
        <f>K3133*4</f>
        <v/>
      </c>
      <c r="N3133" s="6" t="n">
        <v>699</v>
      </c>
    </row>
    <row r="3134">
      <c r="A3134" s="1" t="inlineStr">
        <is>
          <t>661784a33b867</t>
        </is>
      </c>
      <c r="B3134" s="1" t="inlineStr">
        <is>
          <t>ARETES TRÉBOL GOLD-BLACK</t>
        </is>
      </c>
      <c r="C3134" s="1" t="inlineStr">
        <is>
          <t>HIGH QUALITY</t>
        </is>
      </c>
      <c r="D3134" s="1" t="inlineStr">
        <is>
          <t>16/06/2026</t>
        </is>
      </c>
      <c r="E3134" s="1" t="n">
        <v>2026</v>
      </c>
      <c r="F3134" s="1" t="inlineStr">
        <is>
          <t>JUNIO</t>
        </is>
      </c>
      <c r="G3134" s="1" t="inlineStr">
        <is>
          <t>HAIFENG</t>
        </is>
      </c>
      <c r="H3134" s="1" t="inlineStr">
        <is>
          <t>HAIFENG 16/06/2026</t>
        </is>
      </c>
      <c r="I3134" s="4" t="n">
        <v>4</v>
      </c>
      <c r="J3134" s="6" t="n">
        <v>8</v>
      </c>
      <c r="K3134" s="6" t="n">
        <v>168.1168517</v>
      </c>
      <c r="L3134" s="6">
        <f>I3134*K3134</f>
        <v/>
      </c>
      <c r="M3134" s="6">
        <f>K3134*4</f>
        <v/>
      </c>
      <c r="N3134" s="6" t="n">
        <v>699</v>
      </c>
    </row>
    <row r="3135">
      <c r="A3135" s="1" t="inlineStr">
        <is>
          <t>661784a3704f4</t>
        </is>
      </c>
      <c r="B3135" s="1" t="inlineStr">
        <is>
          <t>ARETES TRÉBOL SILVER WHITE</t>
        </is>
      </c>
      <c r="C3135" s="1" t="inlineStr">
        <is>
          <t>Default Title</t>
        </is>
      </c>
      <c r="D3135" s="1" t="inlineStr">
        <is>
          <t>03/12/2025</t>
        </is>
      </c>
      <c r="E3135" s="1" t="n">
        <v>2025</v>
      </c>
      <c r="F3135" s="1" t="inlineStr">
        <is>
          <t>DICIEMBRE</t>
        </is>
      </c>
      <c r="G3135" s="1" t="inlineStr">
        <is>
          <t>HAIFENG</t>
        </is>
      </c>
      <c r="H3135" s="1" t="inlineStr">
        <is>
          <t>HAIFENG 03/12/2025</t>
        </is>
      </c>
      <c r="I3135" s="4" t="n">
        <v>2</v>
      </c>
      <c r="J3135" s="6" t="n">
        <v>16</v>
      </c>
      <c r="K3135" s="6" t="n">
        <v>334.6745602</v>
      </c>
      <c r="L3135" s="6">
        <f>I3135*K3135</f>
        <v/>
      </c>
      <c r="M3135" s="6">
        <f>K3135*4</f>
        <v/>
      </c>
      <c r="N3135" s="6" t="n">
        <v>1350</v>
      </c>
    </row>
    <row r="3136">
      <c r="A3136" s="1" t="inlineStr">
        <is>
          <t>661784a3704f4</t>
        </is>
      </c>
      <c r="B3136" s="1" t="inlineStr">
        <is>
          <t>ARETES TRÉBOL SILVER WHITE</t>
        </is>
      </c>
      <c r="C3136" s="1" t="inlineStr">
        <is>
          <t>Regular</t>
        </is>
      </c>
      <c r="D3136" s="1" t="inlineStr">
        <is>
          <t>16/06/2026</t>
        </is>
      </c>
      <c r="E3136" s="1" t="n">
        <v>2026</v>
      </c>
      <c r="F3136" s="1" t="inlineStr">
        <is>
          <t>JUNIO</t>
        </is>
      </c>
      <c r="G3136" s="1" t="inlineStr">
        <is>
          <t>HAIFENG</t>
        </is>
      </c>
      <c r="H3136" s="1" t="inlineStr">
        <is>
          <t>HAIFENG 16/06/2026</t>
        </is>
      </c>
      <c r="I3136" s="4" t="n">
        <v>3</v>
      </c>
      <c r="J3136" s="6" t="n">
        <v>8</v>
      </c>
      <c r="K3136" s="6" t="n">
        <v>168.1168517</v>
      </c>
      <c r="L3136" s="6">
        <f>I3136*K3136</f>
        <v/>
      </c>
      <c r="M3136" s="6">
        <f>K3136*4</f>
        <v/>
      </c>
      <c r="N3136" s="6" t="n">
        <v>1350</v>
      </c>
    </row>
    <row r="3137">
      <c r="A3137" s="1" t="inlineStr">
        <is>
          <t>661786775a1bb</t>
        </is>
      </c>
      <c r="B3137" s="1" t="inlineStr">
        <is>
          <t>ARETES LOVE SILVER</t>
        </is>
      </c>
      <c r="C3137" s="1" t="inlineStr">
        <is>
          <t>Default Title</t>
        </is>
      </c>
      <c r="D3137" s="1" t="inlineStr">
        <is>
          <t>25/10/2025</t>
        </is>
      </c>
      <c r="E3137" s="1" t="n">
        <v>2025</v>
      </c>
      <c r="F3137" s="1" t="inlineStr">
        <is>
          <t>OCTUBRE</t>
        </is>
      </c>
      <c r="G3137" s="1" t="inlineStr">
        <is>
          <t>CYNTHIA</t>
        </is>
      </c>
      <c r="H3137" s="1" t="inlineStr">
        <is>
          <t>CYNTHIA 25/10/2025</t>
        </is>
      </c>
      <c r="I3137" s="4" t="n">
        <v>6</v>
      </c>
      <c r="J3137" s="6" t="n">
        <v>2.6</v>
      </c>
      <c r="K3137" s="6" t="n">
        <v>68.12474133000001</v>
      </c>
      <c r="L3137" s="6">
        <f>I3137*K3137</f>
        <v/>
      </c>
      <c r="M3137" s="6">
        <f>K3137*4</f>
        <v/>
      </c>
      <c r="N3137" s="6" t="n">
        <v>399</v>
      </c>
    </row>
    <row r="3138">
      <c r="A3138" s="1" t="inlineStr">
        <is>
          <t>661786775a1bb</t>
        </is>
      </c>
      <c r="B3138" s="1" t="inlineStr">
        <is>
          <t>ARETES LOVE SILVER</t>
        </is>
      </c>
      <c r="C3138" s="1" t="inlineStr">
        <is>
          <t>Default Title</t>
        </is>
      </c>
      <c r="D3138" s="1" t="inlineStr">
        <is>
          <t>27/04/2026</t>
        </is>
      </c>
      <c r="E3138" s="1" t="n">
        <v>2026</v>
      </c>
      <c r="F3138" s="1" t="inlineStr">
        <is>
          <t>ABRIL</t>
        </is>
      </c>
      <c r="G3138" s="1" t="inlineStr">
        <is>
          <t>CYNTHIA</t>
        </is>
      </c>
      <c r="H3138" s="1" t="inlineStr">
        <is>
          <t>CYNTHIA 27/04/2026</t>
        </is>
      </c>
      <c r="I3138" s="4" t="n">
        <v>3</v>
      </c>
      <c r="J3138" s="6" t="n">
        <v>2.6</v>
      </c>
      <c r="K3138" s="6" t="n">
        <v>67.4702408</v>
      </c>
      <c r="L3138" s="6">
        <f>I3138*K3138</f>
        <v/>
      </c>
      <c r="M3138" s="6">
        <f>K3138*4</f>
        <v/>
      </c>
      <c r="N3138" s="6" t="n">
        <v>399</v>
      </c>
    </row>
    <row r="3139">
      <c r="A3139" s="1" t="inlineStr">
        <is>
          <t>6617867765c65</t>
        </is>
      </c>
      <c r="B3139" s="1" t="inlineStr">
        <is>
          <t>ARETES LOVE SILVER CON ZIRCONIA</t>
        </is>
      </c>
      <c r="C3139" s="1" t="inlineStr">
        <is>
          <t>Default Title</t>
        </is>
      </c>
      <c r="D3139" s="1" t="inlineStr">
        <is>
          <t>25/10/2025</t>
        </is>
      </c>
      <c r="E3139" s="1" t="n">
        <v>2025</v>
      </c>
      <c r="F3139" s="1" t="inlineStr">
        <is>
          <t>OCTUBRE</t>
        </is>
      </c>
      <c r="G3139" s="1" t="inlineStr">
        <is>
          <t>CYNTHIA</t>
        </is>
      </c>
      <c r="H3139" s="1" t="inlineStr">
        <is>
          <t>CYNTHIA 25/10/2025</t>
        </is>
      </c>
      <c r="I3139" s="4" t="n">
        <v>2</v>
      </c>
      <c r="J3139" s="6" t="n">
        <v>2.6</v>
      </c>
      <c r="K3139" s="6" t="n">
        <v>68.12474133000001</v>
      </c>
      <c r="L3139" s="6">
        <f>I3139*K3139</f>
        <v/>
      </c>
      <c r="M3139" s="6">
        <f>K3139*4</f>
        <v/>
      </c>
      <c r="N3139" s="6" t="n">
        <v>450</v>
      </c>
    </row>
    <row r="3140">
      <c r="A3140" s="1" t="inlineStr">
        <is>
          <t>6617867765c65</t>
        </is>
      </c>
      <c r="B3140" s="1" t="inlineStr">
        <is>
          <t>ARETES LOVE SILVER CON ZIRCONIA</t>
        </is>
      </c>
      <c r="C3140" s="1" t="inlineStr">
        <is>
          <t>Default Title</t>
        </is>
      </c>
      <c r="D3140" s="1" t="inlineStr">
        <is>
          <t>27/04/2026</t>
        </is>
      </c>
      <c r="E3140" s="1" t="n">
        <v>2026</v>
      </c>
      <c r="F3140" s="1" t="inlineStr">
        <is>
          <t>ABRIL</t>
        </is>
      </c>
      <c r="G3140" s="1" t="inlineStr">
        <is>
          <t>CYNTHIA</t>
        </is>
      </c>
      <c r="H3140" s="1" t="inlineStr">
        <is>
          <t>CYNTHIA 27/04/2026</t>
        </is>
      </c>
      <c r="I3140" s="4" t="n">
        <v>3</v>
      </c>
      <c r="J3140" s="6" t="n">
        <v>2.6</v>
      </c>
      <c r="K3140" s="6" t="n">
        <v>67.4702408</v>
      </c>
      <c r="L3140" s="6">
        <f>I3140*K3140</f>
        <v/>
      </c>
      <c r="M3140" s="6">
        <f>K3140*4</f>
        <v/>
      </c>
      <c r="N3140" s="6" t="n">
        <v>450</v>
      </c>
    </row>
    <row r="3141">
      <c r="A3141" s="1" t="inlineStr">
        <is>
          <t>6617867767475</t>
        </is>
      </c>
      <c r="B3141" s="1" t="inlineStr">
        <is>
          <t>ARETES LOVE ROSEGOLD CON ZIRCONIA</t>
        </is>
      </c>
      <c r="C3141" s="1" t="inlineStr">
        <is>
          <t>Regular</t>
        </is>
      </c>
      <c r="D3141" s="1" t="inlineStr">
        <is>
          <t>05/09/2025</t>
        </is>
      </c>
      <c r="E3141" s="1" t="n">
        <v>2025</v>
      </c>
      <c r="F3141" s="1" t="inlineStr">
        <is>
          <t>SEPTIEMBRE</t>
        </is>
      </c>
      <c r="G3141" s="1" t="inlineStr">
        <is>
          <t>CYNTHIA</t>
        </is>
      </c>
      <c r="H3141" s="1" t="inlineStr">
        <is>
          <t>CYNTHIA 05/09/2025</t>
        </is>
      </c>
      <c r="I3141" s="4" t="n">
        <v>2</v>
      </c>
      <c r="J3141" s="6" t="n">
        <v>2.6</v>
      </c>
      <c r="K3141" s="6" t="n">
        <v>65.46565201999999</v>
      </c>
      <c r="L3141" s="6">
        <f>I3141*K3141</f>
        <v/>
      </c>
      <c r="M3141" s="6">
        <f>K3141*4</f>
        <v/>
      </c>
      <c r="N3141" s="6" t="n">
        <v>420</v>
      </c>
    </row>
    <row r="3142">
      <c r="A3142" s="1" t="inlineStr">
        <is>
          <t>6617867e8acd0</t>
        </is>
      </c>
      <c r="B3142" s="1" t="inlineStr">
        <is>
          <t>ARETES LOVE GOLD CON ZIRCONIA</t>
        </is>
      </c>
      <c r="C3142" s="1" t="inlineStr">
        <is>
          <t>Default Title</t>
        </is>
      </c>
      <c r="D3142" s="1" t="inlineStr">
        <is>
          <t>05/09/2025</t>
        </is>
      </c>
      <c r="E3142" s="1" t="n">
        <v>2025</v>
      </c>
      <c r="F3142" s="1" t="inlineStr">
        <is>
          <t>SEPTIEMBRE</t>
        </is>
      </c>
      <c r="G3142" s="1" t="inlineStr">
        <is>
          <t>CYNTHIA</t>
        </is>
      </c>
      <c r="H3142" s="1" t="inlineStr">
        <is>
          <t>CYNTHIA 05/09/2025</t>
        </is>
      </c>
      <c r="I3142" s="4" t="n">
        <v>4</v>
      </c>
      <c r="J3142" s="6" t="n">
        <v>2.6</v>
      </c>
      <c r="K3142" s="6" t="n">
        <v>65.46565201999999</v>
      </c>
      <c r="L3142" s="6">
        <f>I3142*K3142</f>
        <v/>
      </c>
      <c r="M3142" s="6">
        <f>K3142*4</f>
        <v/>
      </c>
      <c r="N3142" s="6" t="n">
        <v>420</v>
      </c>
    </row>
    <row r="3143">
      <c r="A3143" s="1" t="inlineStr">
        <is>
          <t>6617867e8acd0</t>
        </is>
      </c>
      <c r="B3143" s="1" t="inlineStr">
        <is>
          <t>ARETES LOVE GOLD CON ZIRCONIA</t>
        </is>
      </c>
      <c r="C3143" s="1" t="inlineStr">
        <is>
          <t>Default Title</t>
        </is>
      </c>
      <c r="D3143" s="1" t="inlineStr">
        <is>
          <t>07/01/2026</t>
        </is>
      </c>
      <c r="E3143" s="1" t="n">
        <v>2026</v>
      </c>
      <c r="F3143" s="1" t="inlineStr">
        <is>
          <t>ENERO</t>
        </is>
      </c>
      <c r="G3143" s="1" t="inlineStr">
        <is>
          <t>CYNTHIA</t>
        </is>
      </c>
      <c r="H3143" s="1" t="inlineStr">
        <is>
          <t>CYNTHIA 07/01/2026</t>
        </is>
      </c>
      <c r="I3143" s="4" t="n">
        <v>8</v>
      </c>
      <c r="J3143" s="6" t="n">
        <v>2.6</v>
      </c>
      <c r="K3143" s="6" t="n">
        <v>69.12731195000001</v>
      </c>
      <c r="L3143" s="6">
        <f>I3143*K3143</f>
        <v/>
      </c>
      <c r="M3143" s="6">
        <f>K3143*4</f>
        <v/>
      </c>
      <c r="N3143" s="6" t="n">
        <v>450</v>
      </c>
    </row>
    <row r="3144">
      <c r="A3144" s="1" t="inlineStr">
        <is>
          <t>6617867e8acd0</t>
        </is>
      </c>
      <c r="B3144" s="1" t="inlineStr">
        <is>
          <t>ARETES LOVE GOLD CON ZIRCONIA</t>
        </is>
      </c>
      <c r="C3144" s="1" t="inlineStr">
        <is>
          <t>Default Title</t>
        </is>
      </c>
      <c r="D3144" s="1" t="inlineStr">
        <is>
          <t>27/04/2026</t>
        </is>
      </c>
      <c r="E3144" s="1" t="n">
        <v>2026</v>
      </c>
      <c r="F3144" s="1" t="inlineStr">
        <is>
          <t>ABRIL</t>
        </is>
      </c>
      <c r="G3144" s="1" t="inlineStr">
        <is>
          <t>CYNTHIA</t>
        </is>
      </c>
      <c r="H3144" s="1" t="inlineStr">
        <is>
          <t>CYNTHIA 27/04/2026</t>
        </is>
      </c>
      <c r="I3144" s="4" t="n">
        <v>6</v>
      </c>
      <c r="J3144" s="6" t="n">
        <v>2.6</v>
      </c>
      <c r="K3144" s="6" t="n">
        <v>67.4702408</v>
      </c>
      <c r="L3144" s="6">
        <f>I3144*K3144</f>
        <v/>
      </c>
      <c r="M3144" s="6">
        <f>K3144*4</f>
        <v/>
      </c>
      <c r="N3144" s="6" t="n">
        <v>420</v>
      </c>
    </row>
    <row r="3145">
      <c r="A3145" s="1" t="inlineStr">
        <is>
          <t>661786a2c48dd</t>
        </is>
      </c>
      <c r="B3145" s="1" t="inlineStr">
        <is>
          <t>ARETES SCREW LOVE ROSE GOLD</t>
        </is>
      </c>
      <c r="C3145" s="1" t="inlineStr">
        <is>
          <t>SMALL</t>
        </is>
      </c>
      <c r="D3145" s="1" t="inlineStr">
        <is>
          <t>11/11/2025</t>
        </is>
      </c>
      <c r="E3145" s="1" t="n">
        <v>2025</v>
      </c>
      <c r="F3145" s="1" t="inlineStr">
        <is>
          <t>NOVIEMBRE</t>
        </is>
      </c>
      <c r="G3145" s="1" t="inlineStr">
        <is>
          <t>HAIFENG</t>
        </is>
      </c>
      <c r="H3145" s="1" t="inlineStr">
        <is>
          <t>HAIFENG 11/11/2025</t>
        </is>
      </c>
      <c r="I3145" s="4" t="n">
        <v>8</v>
      </c>
      <c r="J3145" s="6" t="n">
        <v>2.99</v>
      </c>
      <c r="K3145" s="6" t="n">
        <v>62.97089035</v>
      </c>
      <c r="L3145" s="6">
        <f>I3145*K3145</f>
        <v/>
      </c>
      <c r="M3145" s="6">
        <f>K3145*4</f>
        <v/>
      </c>
      <c r="N3145" s="6" t="n">
        <v>550</v>
      </c>
    </row>
    <row r="3146">
      <c r="A3146" s="1" t="inlineStr">
        <is>
          <t>66178b9555250</t>
        </is>
      </c>
      <c r="B3146" s="1" t="inlineStr">
        <is>
          <t>ARETES CLASH ROSEGOLD ZIRCONIA</t>
        </is>
      </c>
      <c r="C3146" s="1" t="inlineStr">
        <is>
          <t>Default Title</t>
        </is>
      </c>
      <c r="D3146" s="1" t="inlineStr">
        <is>
          <t>05/09/2025</t>
        </is>
      </c>
      <c r="E3146" s="1" t="n">
        <v>2025</v>
      </c>
      <c r="F3146" s="1" t="inlineStr">
        <is>
          <t>SEPTIEMBRE</t>
        </is>
      </c>
      <c r="G3146" s="1" t="inlineStr">
        <is>
          <t>CYNTHIA</t>
        </is>
      </c>
      <c r="H3146" s="1" t="inlineStr">
        <is>
          <t>CYNTHIA 05/09/2025</t>
        </is>
      </c>
      <c r="I3146" s="4" t="n">
        <v>2</v>
      </c>
      <c r="J3146" s="6" t="n">
        <v>5.3</v>
      </c>
      <c r="K3146" s="6" t="n">
        <v>133.4492137</v>
      </c>
      <c r="L3146" s="6">
        <f>I3146*K3146</f>
        <v/>
      </c>
      <c r="M3146" s="6">
        <f>K3146*4</f>
        <v/>
      </c>
      <c r="N3146" s="6" t="n">
        <v>569</v>
      </c>
    </row>
    <row r="3147">
      <c r="A3147" s="1" t="inlineStr">
        <is>
          <t>66178b9555250</t>
        </is>
      </c>
      <c r="B3147" s="1" t="inlineStr">
        <is>
          <t>ARETES CLASH ROSEGOLD ZIRCONIA</t>
        </is>
      </c>
      <c r="C3147" s="1" t="inlineStr">
        <is>
          <t>Default Title</t>
        </is>
      </c>
      <c r="D3147" s="1" t="inlineStr">
        <is>
          <t>31/05/2026</t>
        </is>
      </c>
      <c r="E3147" s="1" t="n">
        <v>2026</v>
      </c>
      <c r="F3147" s="1" t="inlineStr">
        <is>
          <t>MAYO</t>
        </is>
      </c>
      <c r="G3147" s="1" t="inlineStr">
        <is>
          <t>CYNTHIA</t>
        </is>
      </c>
      <c r="H3147" s="1" t="inlineStr">
        <is>
          <t>CYNTHIA 31/05/2026</t>
        </is>
      </c>
      <c r="I3147" s="4" t="n">
        <v>5</v>
      </c>
      <c r="J3147" s="6" t="n">
        <v>5.3</v>
      </c>
      <c r="K3147" s="6" t="n">
        <v>140.4555384</v>
      </c>
      <c r="L3147" s="6">
        <f>I3147*K3147</f>
        <v/>
      </c>
      <c r="M3147" s="6">
        <f>K3147*4</f>
        <v/>
      </c>
      <c r="N3147" s="6" t="n">
        <v>569</v>
      </c>
    </row>
    <row r="3148">
      <c r="A3148" s="1" t="inlineStr">
        <is>
          <t>66280391087437</t>
        </is>
      </c>
      <c r="B3148" s="1" t="inlineStr">
        <is>
          <t>BOLSO LADY D CHAROL OFF WHITE</t>
        </is>
      </c>
      <c r="C3148" s="1" t="inlineStr">
        <is>
          <t>17cm de largo x 15cm de alto x 7cm de ancho</t>
        </is>
      </c>
      <c r="D3148" s="1" t="inlineStr">
        <is>
          <t>08/06/2026</t>
        </is>
      </c>
      <c r="E3148" s="1" t="n">
        <v>2026</v>
      </c>
      <c r="F3148" s="1" t="inlineStr">
        <is>
          <t>JUNIO</t>
        </is>
      </c>
      <c r="G3148" s="1" t="inlineStr">
        <is>
          <t>ZOEY</t>
        </is>
      </c>
      <c r="H3148" s="1" t="inlineStr">
        <is>
          <t>ZOEY 08/06/2026</t>
        </is>
      </c>
      <c r="I3148" s="4" t="n">
        <v>3</v>
      </c>
      <c r="J3148" s="6" t="n">
        <v>56</v>
      </c>
      <c r="K3148" s="6" t="n">
        <v>1372.640441</v>
      </c>
      <c r="L3148" s="6">
        <f>I3148*K3148</f>
        <v/>
      </c>
      <c r="M3148" s="6">
        <f>K3148*4</f>
        <v/>
      </c>
      <c r="N3148" s="6" t="n">
        <v>5454</v>
      </c>
    </row>
    <row r="3149">
      <c r="A3149" s="1" t="inlineStr">
        <is>
          <t>663528bd8c9d8</t>
        </is>
      </c>
      <c r="B3149" s="1" t="inlineStr">
        <is>
          <t>PULSERA LOVE DELGADA SILVER CON MICRO ZIRCONIAS</t>
        </is>
      </c>
      <c r="C3149" s="1" t="inlineStr">
        <is>
          <t>17 cm</t>
        </is>
      </c>
      <c r="D3149" s="1" t="inlineStr">
        <is>
          <t>03/12/2025</t>
        </is>
      </c>
      <c r="E3149" s="1" t="n">
        <v>2025</v>
      </c>
      <c r="F3149" s="1" t="inlineStr">
        <is>
          <t>DICIEMBRE</t>
        </is>
      </c>
      <c r="G3149" s="1" t="inlineStr">
        <is>
          <t>HAIFENG</t>
        </is>
      </c>
      <c r="H3149" s="1" t="inlineStr">
        <is>
          <t>HAIFENG 03/12/2025</t>
        </is>
      </c>
      <c r="I3149" s="4" t="n">
        <v>3</v>
      </c>
      <c r="J3149" s="6" t="n">
        <v>13</v>
      </c>
      <c r="K3149" s="6" t="n">
        <v>271.9230801</v>
      </c>
      <c r="L3149" s="6">
        <f>I3149*K3149</f>
        <v/>
      </c>
      <c r="M3149" s="6">
        <f>K3149*4</f>
        <v/>
      </c>
      <c r="N3149" s="6" t="n">
        <v>1099</v>
      </c>
    </row>
    <row r="3150">
      <c r="A3150" s="1" t="inlineStr">
        <is>
          <t>663528bd8c9d8</t>
        </is>
      </c>
      <c r="B3150" s="1" t="inlineStr">
        <is>
          <t>PULSERA LOVE DELGADA SILVER CON MICRO ZIRCONIAS</t>
        </is>
      </c>
      <c r="C3150" s="1" t="inlineStr">
        <is>
          <t>17 cm</t>
        </is>
      </c>
      <c r="D3150" s="1" t="inlineStr">
        <is>
          <t>26/05/2026</t>
        </is>
      </c>
      <c r="E3150" s="1" t="n">
        <v>2026</v>
      </c>
      <c r="F3150" s="1" t="inlineStr">
        <is>
          <t>MAYO</t>
        </is>
      </c>
      <c r="G3150" s="1" t="inlineStr">
        <is>
          <t>HAIFENG</t>
        </is>
      </c>
      <c r="H3150" s="1" t="inlineStr">
        <is>
          <t>HAIFENG 26/05/2026</t>
        </is>
      </c>
      <c r="I3150" s="4" t="n">
        <v>5</v>
      </c>
      <c r="J3150" s="6" t="n">
        <v>13</v>
      </c>
      <c r="K3150" s="6" t="n">
        <v>272.8608388</v>
      </c>
      <c r="L3150" s="6">
        <f>I3150*K3150</f>
        <v/>
      </c>
      <c r="M3150" s="6">
        <f>K3150*4</f>
        <v/>
      </c>
      <c r="N3150" s="6" t="n">
        <v>1099</v>
      </c>
    </row>
    <row r="3151">
      <c r="A3151" s="1" t="inlineStr">
        <is>
          <t>66360701088653</t>
        </is>
      </c>
      <c r="B3151" s="1" t="inlineStr">
        <is>
          <t>PULSERA LUCKY SILVER CD</t>
        </is>
      </c>
      <c r="C3151" s="1" t="inlineStr">
        <is>
          <t>Default Title</t>
        </is>
      </c>
      <c r="D3151" s="1" t="inlineStr">
        <is>
          <t>01/09/2025</t>
        </is>
      </c>
      <c r="E3151" s="1" t="n">
        <v>2025</v>
      </c>
      <c r="F3151" s="1" t="inlineStr">
        <is>
          <t>SEPTIEMBRE</t>
        </is>
      </c>
      <c r="G3151" s="1" t="inlineStr">
        <is>
          <t>HAIFENG</t>
        </is>
      </c>
      <c r="H3151" s="1" t="inlineStr">
        <is>
          <t>HAIFENG 01/09/2025</t>
        </is>
      </c>
      <c r="I3151" s="4" t="n">
        <v>4</v>
      </c>
      <c r="J3151" s="6" t="n">
        <v>6</v>
      </c>
      <c r="K3151" s="6" t="n">
        <v>127.5340264</v>
      </c>
      <c r="L3151" s="6">
        <f>I3151*K3151</f>
        <v/>
      </c>
      <c r="M3151" s="6">
        <f>K3151*4</f>
        <v/>
      </c>
      <c r="N3151" s="6" t="n">
        <v>500</v>
      </c>
    </row>
    <row r="3152">
      <c r="A3152" s="1" t="inlineStr">
        <is>
          <t>66360701088653</t>
        </is>
      </c>
      <c r="B3152" s="1" t="inlineStr">
        <is>
          <t>PULSERA LUCKY SILVER CD</t>
        </is>
      </c>
      <c r="C3152" s="1" t="inlineStr">
        <is>
          <t>Default Title</t>
        </is>
      </c>
      <c r="D3152" s="1" t="inlineStr">
        <is>
          <t>20/01/2026</t>
        </is>
      </c>
      <c r="E3152" s="1" t="n">
        <v>2026</v>
      </c>
      <c r="F3152" s="1" t="inlineStr">
        <is>
          <t>ENERO</t>
        </is>
      </c>
      <c r="G3152" s="1" t="inlineStr">
        <is>
          <t>HAIFENG</t>
        </is>
      </c>
      <c r="H3152" s="1" t="inlineStr">
        <is>
          <t>HAIFENG 20/01/2026</t>
        </is>
      </c>
      <c r="I3152" s="4" t="n">
        <v>2</v>
      </c>
      <c r="J3152" s="6" t="n">
        <v>6</v>
      </c>
      <c r="K3152" s="6" t="n">
        <v>127.2025068</v>
      </c>
      <c r="L3152" s="6">
        <f>I3152*K3152</f>
        <v/>
      </c>
      <c r="M3152" s="6">
        <f>K3152*4</f>
        <v/>
      </c>
      <c r="N3152" s="6" t="n">
        <v>500</v>
      </c>
    </row>
    <row r="3153">
      <c r="A3153" s="1" t="inlineStr">
        <is>
          <t>66360701088653</t>
        </is>
      </c>
      <c r="B3153" s="1" t="inlineStr">
        <is>
          <t>PULSERA LUCKY SILVER CD</t>
        </is>
      </c>
      <c r="C3153" s="1" t="inlineStr">
        <is>
          <t>Default Title</t>
        </is>
      </c>
      <c r="D3153" s="1" t="inlineStr">
        <is>
          <t>06/05/2026</t>
        </is>
      </c>
      <c r="E3153" s="1" t="n">
        <v>2026</v>
      </c>
      <c r="F3153" s="1" t="inlineStr">
        <is>
          <t>MAYO</t>
        </is>
      </c>
      <c r="G3153" s="1" t="inlineStr">
        <is>
          <t>HAIFENG</t>
        </is>
      </c>
      <c r="H3153" s="1" t="inlineStr">
        <is>
          <t>HAIFENG 06/05/2026</t>
        </is>
      </c>
      <c r="I3153" s="4" t="n">
        <v>4</v>
      </c>
      <c r="J3153" s="6" t="n">
        <v>6</v>
      </c>
      <c r="K3153" s="6" t="n">
        <v>127.3118536</v>
      </c>
      <c r="L3153" s="6">
        <f>I3153*K3153</f>
        <v/>
      </c>
      <c r="M3153" s="6">
        <f>K3153*4</f>
        <v/>
      </c>
      <c r="N3153" s="6" t="n">
        <v>500</v>
      </c>
    </row>
    <row r="3154">
      <c r="A3154" s="1" t="inlineStr">
        <is>
          <t>664fc85011676</t>
        </is>
      </c>
      <c r="B3154" s="1" t="inlineStr">
        <is>
          <t>LENTES C THICK GOLD</t>
        </is>
      </c>
      <c r="C3154" s="1" t="inlineStr">
        <is>
          <t>Default Title</t>
        </is>
      </c>
      <c r="D3154" s="1" t="inlineStr">
        <is>
          <t>05/09/2025</t>
        </is>
      </c>
      <c r="E3154" s="1" t="n">
        <v>2025</v>
      </c>
      <c r="F3154" s="1" t="inlineStr">
        <is>
          <t>SEPTIEMBRE</t>
        </is>
      </c>
      <c r="G3154" s="1" t="inlineStr">
        <is>
          <t>CYNTHIA</t>
        </is>
      </c>
      <c r="H3154" s="1" t="inlineStr">
        <is>
          <t>CYNTHIA 05/09/2025</t>
        </is>
      </c>
      <c r="I3154" s="4" t="n">
        <v>3</v>
      </c>
      <c r="J3154" s="6" t="n">
        <v>9</v>
      </c>
      <c r="K3154" s="6" t="n">
        <v>226.6118724</v>
      </c>
      <c r="L3154" s="6">
        <f>I3154*K3154</f>
        <v/>
      </c>
      <c r="M3154" s="6">
        <f>K3154*4</f>
        <v/>
      </c>
      <c r="N3154" s="6" t="n">
        <v>850</v>
      </c>
    </row>
    <row r="3155">
      <c r="A3155" s="1" t="inlineStr">
        <is>
          <t>664fc85011676</t>
        </is>
      </c>
      <c r="B3155" s="1" t="inlineStr">
        <is>
          <t>LENTES C THICK GOLD</t>
        </is>
      </c>
      <c r="C3155" s="1" t="inlineStr">
        <is>
          <t>Default Title</t>
        </is>
      </c>
      <c r="D3155" s="1" t="inlineStr">
        <is>
          <t>07/01/2026</t>
        </is>
      </c>
      <c r="E3155" s="1" t="n">
        <v>2026</v>
      </c>
      <c r="F3155" s="1" t="inlineStr">
        <is>
          <t>ENERO</t>
        </is>
      </c>
      <c r="G3155" s="1" t="inlineStr">
        <is>
          <t>CYNTHIA</t>
        </is>
      </c>
      <c r="H3155" s="1" t="inlineStr">
        <is>
          <t>CYNTHIA 07/01/2026</t>
        </is>
      </c>
      <c r="I3155" s="4" t="n">
        <v>3</v>
      </c>
      <c r="J3155" s="6" t="n">
        <v>9</v>
      </c>
      <c r="K3155" s="6" t="n">
        <v>239.2868491</v>
      </c>
      <c r="L3155" s="6">
        <f>I3155*K3155</f>
        <v/>
      </c>
      <c r="M3155" s="6">
        <f>K3155*4</f>
        <v/>
      </c>
      <c r="N3155" s="6" t="n">
        <v>959</v>
      </c>
    </row>
    <row r="3156">
      <c r="A3156" s="1" t="inlineStr">
        <is>
          <t>664fc854d5243</t>
        </is>
      </c>
      <c r="B3156" s="1" t="inlineStr">
        <is>
          <t>LENTES C OVAL SILVER BLACK</t>
        </is>
      </c>
      <c r="C3156" s="1" t="inlineStr">
        <is>
          <t>Default Title</t>
        </is>
      </c>
      <c r="D3156" s="1" t="inlineStr">
        <is>
          <t>25/10/2025</t>
        </is>
      </c>
      <c r="E3156" s="1" t="n">
        <v>2025</v>
      </c>
      <c r="F3156" s="1" t="inlineStr">
        <is>
          <t>OCTUBRE</t>
        </is>
      </c>
      <c r="G3156" s="1" t="inlineStr">
        <is>
          <t>CYNTHIA</t>
        </is>
      </c>
      <c r="H3156" s="1" t="inlineStr">
        <is>
          <t>CYNTHIA 25/10/2025</t>
        </is>
      </c>
      <c r="I3156" s="4" t="n">
        <v>4</v>
      </c>
      <c r="J3156" s="6" t="n">
        <v>29.5</v>
      </c>
      <c r="K3156" s="6" t="n">
        <v>772.9537959</v>
      </c>
      <c r="L3156" s="6">
        <f>I3156*K3156</f>
        <v/>
      </c>
      <c r="M3156" s="6">
        <f>K3156*4</f>
        <v/>
      </c>
      <c r="N3156" s="6" t="n">
        <v>2499</v>
      </c>
    </row>
    <row r="3157">
      <c r="A3157" s="1" t="inlineStr">
        <is>
          <t>664fc854d5243</t>
        </is>
      </c>
      <c r="B3157" s="1" t="inlineStr">
        <is>
          <t>LENTES C OVAL SILVER BLACK</t>
        </is>
      </c>
      <c r="C3157" s="1" t="inlineStr">
        <is>
          <t>Default Title</t>
        </is>
      </c>
      <c r="D3157" s="1" t="inlineStr">
        <is>
          <t>27/04/2026</t>
        </is>
      </c>
      <c r="E3157" s="1" t="n">
        <v>2026</v>
      </c>
      <c r="F3157" s="1" t="inlineStr">
        <is>
          <t>ABRIL</t>
        </is>
      </c>
      <c r="G3157" s="1" t="inlineStr">
        <is>
          <t>CYNTHIA</t>
        </is>
      </c>
      <c r="H3157" s="1" t="inlineStr">
        <is>
          <t>CYNTHIA 27/04/2026</t>
        </is>
      </c>
      <c r="I3157" s="4" t="n">
        <v>5</v>
      </c>
      <c r="J3157" s="6" t="n">
        <v>29.5</v>
      </c>
      <c r="K3157" s="6" t="n">
        <v>765.5277321999999</v>
      </c>
      <c r="L3157" s="6">
        <f>I3157*K3157</f>
        <v/>
      </c>
      <c r="M3157" s="6">
        <f>K3157*4</f>
        <v/>
      </c>
      <c r="N3157" s="6" t="n">
        <v>3069</v>
      </c>
    </row>
    <row r="3158">
      <c r="A3158" s="1" t="inlineStr">
        <is>
          <t>664fc858469b1</t>
        </is>
      </c>
      <c r="B3158" s="1" t="inlineStr">
        <is>
          <t>LENTES C OVAL GREEN</t>
        </is>
      </c>
      <c r="C3158" s="1" t="inlineStr">
        <is>
          <t>REGULAR</t>
        </is>
      </c>
      <c r="D3158" s="1" t="inlineStr">
        <is>
          <t>25/10/2025</t>
        </is>
      </c>
      <c r="E3158" s="1" t="n">
        <v>2025</v>
      </c>
      <c r="F3158" s="1" t="inlineStr">
        <is>
          <t>OCTUBRE</t>
        </is>
      </c>
      <c r="G3158" s="1" t="inlineStr">
        <is>
          <t>CYNTHIA</t>
        </is>
      </c>
      <c r="H3158" s="1" t="inlineStr">
        <is>
          <t>CYNTHIA 25/10/2025</t>
        </is>
      </c>
      <c r="I3158" s="4" t="n">
        <v>5</v>
      </c>
      <c r="J3158" s="6" t="n">
        <v>29.5</v>
      </c>
      <c r="K3158" s="6" t="n">
        <v>772.9537959</v>
      </c>
      <c r="L3158" s="6">
        <f>I3158*K3158</f>
        <v/>
      </c>
      <c r="M3158" s="6">
        <f>K3158*4</f>
        <v/>
      </c>
      <c r="N3158" s="6" t="n">
        <v>2499</v>
      </c>
    </row>
    <row r="3159">
      <c r="A3159" s="1" t="inlineStr">
        <is>
          <t>664fc858469b1</t>
        </is>
      </c>
      <c r="B3159" s="1" t="inlineStr">
        <is>
          <t>LENTES C OVAL GREEN</t>
        </is>
      </c>
      <c r="C3159" s="1" t="inlineStr">
        <is>
          <t>REGULAR</t>
        </is>
      </c>
      <c r="D3159" s="1" t="inlineStr">
        <is>
          <t>18/02/2026</t>
        </is>
      </c>
      <c r="E3159" s="1" t="n">
        <v>2026</v>
      </c>
      <c r="F3159" s="1" t="inlineStr">
        <is>
          <t>FEBRERO</t>
        </is>
      </c>
      <c r="G3159" s="1" t="inlineStr">
        <is>
          <t>CYNTHIA</t>
        </is>
      </c>
      <c r="H3159" s="1" t="inlineStr">
        <is>
          <t>CYNTHIA 18/02/2026</t>
        </is>
      </c>
      <c r="I3159" s="4" t="n">
        <v>1</v>
      </c>
      <c r="J3159" s="6" t="n">
        <v>29.5</v>
      </c>
      <c r="K3159" s="6" t="n">
        <v>797.7792734</v>
      </c>
      <c r="L3159" s="6">
        <f>I3159*K3159</f>
        <v/>
      </c>
      <c r="M3159" s="6">
        <f>K3159*4</f>
        <v/>
      </c>
      <c r="N3159" s="6" t="n">
        <v>3199</v>
      </c>
    </row>
    <row r="3160">
      <c r="A3160" s="1" t="inlineStr">
        <is>
          <t>664fc858469b1</t>
        </is>
      </c>
      <c r="B3160" s="1" t="inlineStr">
        <is>
          <t>LENTES C OVAL GREEN</t>
        </is>
      </c>
      <c r="C3160" s="1" t="inlineStr">
        <is>
          <t>REGULAR</t>
        </is>
      </c>
      <c r="D3160" s="1" t="inlineStr">
        <is>
          <t>31/05/2026</t>
        </is>
      </c>
      <c r="E3160" s="1" t="n">
        <v>2026</v>
      </c>
      <c r="F3160" s="1" t="inlineStr">
        <is>
          <t>MAYO</t>
        </is>
      </c>
      <c r="G3160" s="1" t="inlineStr">
        <is>
          <t>CYNTHIA</t>
        </is>
      </c>
      <c r="H3160" s="1" t="inlineStr">
        <is>
          <t>CYNTHIA 31/05/2026</t>
        </is>
      </c>
      <c r="I3160" s="4" t="n">
        <v>2</v>
      </c>
      <c r="J3160" s="6" t="n">
        <v>29.5</v>
      </c>
      <c r="K3160" s="6" t="n">
        <v>781.7808268</v>
      </c>
      <c r="L3160" s="6">
        <f>I3160*K3160</f>
        <v/>
      </c>
      <c r="M3160" s="6">
        <f>K3160*4</f>
        <v/>
      </c>
      <c r="N3160" s="6" t="n">
        <v>3199</v>
      </c>
    </row>
    <row r="3161">
      <c r="A3161" s="1" t="inlineStr">
        <is>
          <t>664fc85ecbb14</t>
        </is>
      </c>
      <c r="B3161" s="1" t="inlineStr">
        <is>
          <t>LENTES C BROWN</t>
        </is>
      </c>
      <c r="C3161" s="1" t="inlineStr">
        <is>
          <t>Regular</t>
        </is>
      </c>
      <c r="D3161" s="1" t="inlineStr">
        <is>
          <t>25/10/2025</t>
        </is>
      </c>
      <c r="E3161" s="1" t="n">
        <v>2025</v>
      </c>
      <c r="F3161" s="1" t="inlineStr">
        <is>
          <t>OCTUBRE</t>
        </is>
      </c>
      <c r="G3161" s="1" t="inlineStr">
        <is>
          <t>CYNTHIA</t>
        </is>
      </c>
      <c r="H3161" s="1" t="inlineStr">
        <is>
          <t>CYNTHIA 25/10/2025</t>
        </is>
      </c>
      <c r="I3161" s="4" t="n">
        <v>3</v>
      </c>
      <c r="J3161" s="6" t="n">
        <v>9.5</v>
      </c>
      <c r="K3161" s="6" t="n">
        <v>248.9173241</v>
      </c>
      <c r="L3161" s="6">
        <f>I3161*K3161</f>
        <v/>
      </c>
      <c r="M3161" s="6">
        <f>K3161*4</f>
        <v/>
      </c>
      <c r="N3161" s="6" t="n">
        <v>1100</v>
      </c>
    </row>
    <row r="3162">
      <c r="A3162" s="1" t="inlineStr">
        <is>
          <t>664fc85ecbb14</t>
        </is>
      </c>
      <c r="B3162" s="1" t="inlineStr">
        <is>
          <t>LENTES C BROWN</t>
        </is>
      </c>
      <c r="C3162" s="1" t="inlineStr">
        <is>
          <t>Regular</t>
        </is>
      </c>
      <c r="D3162" s="1" t="inlineStr">
        <is>
          <t>07/01/2026</t>
        </is>
      </c>
      <c r="E3162" s="1" t="n">
        <v>2026</v>
      </c>
      <c r="F3162" s="1" t="inlineStr">
        <is>
          <t>ENERO</t>
        </is>
      </c>
      <c r="G3162" s="1" t="inlineStr">
        <is>
          <t>CYNTHIA</t>
        </is>
      </c>
      <c r="H3162" s="1" t="inlineStr">
        <is>
          <t>CYNTHIA 07/01/2026</t>
        </is>
      </c>
      <c r="I3162" s="4" t="n">
        <v>4</v>
      </c>
      <c r="J3162" s="6" t="n">
        <v>8.5</v>
      </c>
      <c r="K3162" s="6" t="n">
        <v>225.9931352</v>
      </c>
      <c r="L3162" s="6">
        <f>I3162*K3162</f>
        <v/>
      </c>
      <c r="M3162" s="6">
        <f>K3162*4</f>
        <v/>
      </c>
      <c r="N3162" s="6" t="n">
        <v>1100</v>
      </c>
    </row>
    <row r="3163">
      <c r="A3163" s="1" t="inlineStr">
        <is>
          <t>664fc85ecbb14</t>
        </is>
      </c>
      <c r="B3163" s="1" t="inlineStr">
        <is>
          <t>LENTES C BROWN</t>
        </is>
      </c>
      <c r="C3163" s="1" t="inlineStr">
        <is>
          <t>Regular</t>
        </is>
      </c>
      <c r="D3163" s="1" t="inlineStr">
        <is>
          <t>31/05/2026</t>
        </is>
      </c>
      <c r="E3163" s="1" t="n">
        <v>2026</v>
      </c>
      <c r="F3163" s="1" t="inlineStr">
        <is>
          <t>MAYO</t>
        </is>
      </c>
      <c r="G3163" s="1" t="inlineStr">
        <is>
          <t>CYNTHIA</t>
        </is>
      </c>
      <c r="H3163" s="1" t="inlineStr">
        <is>
          <t>CYNTHIA 31/05/2026</t>
        </is>
      </c>
      <c r="I3163" s="4" t="n">
        <v>4</v>
      </c>
      <c r="J3163" s="6" t="n">
        <v>8.5</v>
      </c>
      <c r="K3163" s="6" t="n">
        <v>225.2588823</v>
      </c>
      <c r="L3163" s="6">
        <f>I3163*K3163</f>
        <v/>
      </c>
      <c r="M3163" s="6">
        <f>K3163*4</f>
        <v/>
      </c>
      <c r="N3163" s="6" t="n">
        <v>1100</v>
      </c>
    </row>
    <row r="3164">
      <c r="A3164" s="1" t="inlineStr">
        <is>
          <t>665818c705471</t>
        </is>
      </c>
      <c r="B3164" s="1" t="inlineStr">
        <is>
          <t>LENTES C GREEN</t>
        </is>
      </c>
      <c r="C3164" s="1" t="inlineStr">
        <is>
          <t>LOGO</t>
        </is>
      </c>
      <c r="D3164" s="1" t="inlineStr">
        <is>
          <t>25/10/2025</t>
        </is>
      </c>
      <c r="E3164" s="1" t="n">
        <v>2025</v>
      </c>
      <c r="F3164" s="1" t="inlineStr">
        <is>
          <t>OCTUBRE</t>
        </is>
      </c>
      <c r="G3164" s="1" t="inlineStr">
        <is>
          <t>CYNTHIA</t>
        </is>
      </c>
      <c r="H3164" s="1" t="inlineStr">
        <is>
          <t>CYNTHIA 25/10/2025</t>
        </is>
      </c>
      <c r="I3164" s="4" t="n">
        <v>3</v>
      </c>
      <c r="J3164" s="6" t="n">
        <v>9.5</v>
      </c>
      <c r="K3164" s="6" t="n">
        <v>248.9173241</v>
      </c>
      <c r="L3164" s="6">
        <f>I3164*K3164</f>
        <v/>
      </c>
      <c r="M3164" s="6">
        <f>K3164*4</f>
        <v/>
      </c>
      <c r="N3164" s="6" t="n">
        <v>2499</v>
      </c>
    </row>
    <row r="3165">
      <c r="A3165" s="1" t="inlineStr">
        <is>
          <t>665818c705471</t>
        </is>
      </c>
      <c r="B3165" s="1" t="inlineStr">
        <is>
          <t>LENTES C GREEN</t>
        </is>
      </c>
      <c r="C3165" s="1" t="inlineStr">
        <is>
          <t>LOGO</t>
        </is>
      </c>
      <c r="D3165" s="1" t="inlineStr">
        <is>
          <t>27/04/2026</t>
        </is>
      </c>
      <c r="E3165" s="1" t="n">
        <v>2026</v>
      </c>
      <c r="F3165" s="1" t="inlineStr">
        <is>
          <t>ABRIL</t>
        </is>
      </c>
      <c r="G3165" s="1" t="inlineStr">
        <is>
          <t>CYNTHIA</t>
        </is>
      </c>
      <c r="H3165" s="1" t="inlineStr">
        <is>
          <t>CYNTHIA 27/04/2026</t>
        </is>
      </c>
      <c r="I3165" s="4" t="n">
        <v>2</v>
      </c>
      <c r="J3165" s="6" t="n">
        <v>9.5</v>
      </c>
      <c r="K3165" s="6" t="n">
        <v>246.5258799</v>
      </c>
      <c r="L3165" s="6">
        <f>I3165*K3165</f>
        <v/>
      </c>
      <c r="M3165" s="6">
        <f>K3165*4</f>
        <v/>
      </c>
      <c r="N3165" s="6" t="n">
        <v>2499</v>
      </c>
    </row>
    <row r="3166">
      <c r="A3166" s="1" t="inlineStr">
        <is>
          <t>665818c705471</t>
        </is>
      </c>
      <c r="B3166" s="1" t="inlineStr">
        <is>
          <t>LENTES C GREEN</t>
        </is>
      </c>
      <c r="C3166" s="1" t="inlineStr">
        <is>
          <t>LOGO</t>
        </is>
      </c>
      <c r="D3166" s="1" t="inlineStr">
        <is>
          <t>31/05/2026</t>
        </is>
      </c>
      <c r="E3166" s="1" t="n">
        <v>2026</v>
      </c>
      <c r="F3166" s="1" t="inlineStr">
        <is>
          <t>MAYO</t>
        </is>
      </c>
      <c r="G3166" s="1" t="inlineStr">
        <is>
          <t>CYNTHIA</t>
        </is>
      </c>
      <c r="H3166" s="1" t="inlineStr">
        <is>
          <t>CYNTHIA 31/05/2026</t>
        </is>
      </c>
      <c r="I3166" s="4" t="n">
        <v>5</v>
      </c>
      <c r="J3166" s="6" t="n">
        <v>9.5</v>
      </c>
      <c r="K3166" s="6" t="n">
        <v>251.7599273</v>
      </c>
      <c r="L3166" s="6">
        <f>I3166*K3166</f>
        <v/>
      </c>
      <c r="M3166" s="6">
        <f>K3166*4</f>
        <v/>
      </c>
      <c r="N3166" s="6" t="n">
        <v>2499</v>
      </c>
    </row>
    <row r="3167">
      <c r="A3167" s="1" t="inlineStr">
        <is>
          <t>66581907ee9cb-1</t>
        </is>
      </c>
      <c r="B3167" s="1" t="inlineStr">
        <is>
          <t>LENTES C OVAL BROWN</t>
        </is>
      </c>
      <c r="C3167" s="1" t="inlineStr">
        <is>
          <t>REGULAR</t>
        </is>
      </c>
      <c r="D3167" s="1" t="inlineStr">
        <is>
          <t>05/09/2025</t>
        </is>
      </c>
      <c r="E3167" s="1" t="n">
        <v>2025</v>
      </c>
      <c r="F3167" s="1" t="inlineStr">
        <is>
          <t>SEPTIEMBRE</t>
        </is>
      </c>
      <c r="G3167" s="1" t="inlineStr">
        <is>
          <t>CYNTHIA</t>
        </is>
      </c>
      <c r="H3167" s="1" t="inlineStr">
        <is>
          <t>CYNTHIA 05/09/2025</t>
        </is>
      </c>
      <c r="I3167" s="4" t="n">
        <v>6</v>
      </c>
      <c r="J3167" s="6" t="n">
        <v>29.5</v>
      </c>
      <c r="K3167" s="6" t="n">
        <v>742.7833594</v>
      </c>
      <c r="L3167" s="6">
        <f>I3167*K3167</f>
        <v/>
      </c>
      <c r="M3167" s="6">
        <f>K3167*4</f>
        <v/>
      </c>
      <c r="N3167" s="6" t="n">
        <v>2455</v>
      </c>
    </row>
    <row r="3168">
      <c r="A3168" s="1" t="inlineStr">
        <is>
          <t>66581907ee9cb-1</t>
        </is>
      </c>
      <c r="B3168" s="1" t="inlineStr">
        <is>
          <t>LENTES C OVAL BROWN</t>
        </is>
      </c>
      <c r="C3168" s="1" t="inlineStr">
        <is>
          <t>REGULAR</t>
        </is>
      </c>
      <c r="D3168" s="1" t="inlineStr">
        <is>
          <t>18/02/2026</t>
        </is>
      </c>
      <c r="E3168" s="1" t="n">
        <v>2026</v>
      </c>
      <c r="F3168" s="1" t="inlineStr">
        <is>
          <t>FEBRERO</t>
        </is>
      </c>
      <c r="G3168" s="1" t="inlineStr">
        <is>
          <t>CYNTHIA</t>
        </is>
      </c>
      <c r="H3168" s="1" t="inlineStr">
        <is>
          <t>CYNTHIA 18/02/2026</t>
        </is>
      </c>
      <c r="I3168" s="4" t="n">
        <v>2</v>
      </c>
      <c r="J3168" s="6" t="n">
        <v>29.5</v>
      </c>
      <c r="K3168" s="6" t="n">
        <v>797.7792734</v>
      </c>
      <c r="L3168" s="6">
        <f>I3168*K3168</f>
        <v/>
      </c>
      <c r="M3168" s="6">
        <f>K3168*4</f>
        <v/>
      </c>
      <c r="N3168" s="6" t="n">
        <v>2779</v>
      </c>
    </row>
    <row r="3169">
      <c r="A3169" s="1" t="inlineStr">
        <is>
          <t>66581907ee9cb-1</t>
        </is>
      </c>
      <c r="B3169" s="1" t="inlineStr">
        <is>
          <t>LENTES C OVAL BROWN</t>
        </is>
      </c>
      <c r="C3169" s="1" t="inlineStr">
        <is>
          <t>REGULAR</t>
        </is>
      </c>
      <c r="D3169" s="1" t="inlineStr">
        <is>
          <t>19/03/2026</t>
        </is>
      </c>
      <c r="E3169" s="1" t="n">
        <v>2026</v>
      </c>
      <c r="F3169" s="1" t="inlineStr">
        <is>
          <t>MARZO</t>
        </is>
      </c>
      <c r="G3169" s="1" t="inlineStr">
        <is>
          <t>CYNTHIA</t>
        </is>
      </c>
      <c r="H3169" s="1" t="inlineStr">
        <is>
          <t>CYNTHIA 19/03/2026</t>
        </is>
      </c>
      <c r="I3169" s="4" t="n">
        <v>4</v>
      </c>
      <c r="J3169" s="6" t="n">
        <v>29.5</v>
      </c>
      <c r="K3169" s="6" t="n">
        <v>792.2937659</v>
      </c>
      <c r="L3169" s="6">
        <f>I3169*K3169</f>
        <v/>
      </c>
      <c r="M3169" s="6">
        <f>K3169*4</f>
        <v/>
      </c>
      <c r="N3169" s="6" t="n">
        <v>2779</v>
      </c>
    </row>
    <row r="3170">
      <c r="A3170" s="1" t="inlineStr">
        <is>
          <t>66581df1de94d</t>
        </is>
      </c>
      <c r="B3170" s="1" t="inlineStr">
        <is>
          <t>BOLSO B BLACK</t>
        </is>
      </c>
      <c r="C3170" s="1" t="inlineStr">
        <is>
          <t>17cm de largo x 11cm de alto x 8.3cm de ancho</t>
        </is>
      </c>
      <c r="D3170" s="1" t="inlineStr">
        <is>
          <t>01/09/2025</t>
        </is>
      </c>
      <c r="E3170" s="1" t="n">
        <v>2025</v>
      </c>
      <c r="F3170" s="1" t="inlineStr">
        <is>
          <t>SEPTIEMBRE</t>
        </is>
      </c>
      <c r="G3170" s="1" t="inlineStr">
        <is>
          <t>ZOEY</t>
        </is>
      </c>
      <c r="H3170" s="1" t="inlineStr">
        <is>
          <t>ZOEY 01/09/2025</t>
        </is>
      </c>
      <c r="I3170" s="4" t="n">
        <v>2</v>
      </c>
      <c r="J3170" s="6" t="n">
        <v>45</v>
      </c>
      <c r="K3170" s="6" t="n">
        <v>1130.303007</v>
      </c>
      <c r="L3170" s="6">
        <f>I3170*K3170</f>
        <v/>
      </c>
      <c r="M3170" s="6">
        <f>K3170*4</f>
        <v/>
      </c>
      <c r="N3170" s="6" t="n">
        <v>3800</v>
      </c>
    </row>
    <row r="3171">
      <c r="A3171" s="1" t="inlineStr">
        <is>
          <t>66581df1de94d</t>
        </is>
      </c>
      <c r="B3171" s="1" t="inlineStr">
        <is>
          <t>BOLSO B BLACK</t>
        </is>
      </c>
      <c r="C3171" s="1" t="inlineStr">
        <is>
          <t>17cm de largo x 11cm de alto x 8.3cm de ancho</t>
        </is>
      </c>
      <c r="D3171" s="1" t="inlineStr">
        <is>
          <t>02/03/2026</t>
        </is>
      </c>
      <c r="E3171" s="1" t="n">
        <v>2026</v>
      </c>
      <c r="F3171" s="1" t="inlineStr">
        <is>
          <t>MARZO</t>
        </is>
      </c>
      <c r="G3171" s="1" t="inlineStr">
        <is>
          <t>ZOEY</t>
        </is>
      </c>
      <c r="H3171" s="1" t="inlineStr">
        <is>
          <t>ZOEY 02/03/2026</t>
        </is>
      </c>
      <c r="I3171" s="4" t="n">
        <v>2</v>
      </c>
      <c r="J3171" s="6" t="n">
        <v>45</v>
      </c>
      <c r="K3171" s="6" t="n">
        <v>1182.463908</v>
      </c>
      <c r="L3171" s="6">
        <f>I3171*K3171</f>
        <v/>
      </c>
      <c r="M3171" s="6">
        <f>K3171*4</f>
        <v/>
      </c>
      <c r="N3171" s="6" t="n">
        <v>4609</v>
      </c>
    </row>
    <row r="3172">
      <c r="A3172" s="1" t="inlineStr">
        <is>
          <t>66581df1de94d</t>
        </is>
      </c>
      <c r="B3172" s="1" t="inlineStr">
        <is>
          <t>BOLSO B BLACK</t>
        </is>
      </c>
      <c r="C3172" s="1" t="inlineStr">
        <is>
          <t>17cm de largo x 11cm de alto x 8.3cm de ancho</t>
        </is>
      </c>
      <c r="D3172" s="1" t="inlineStr">
        <is>
          <t>20/04/2026</t>
        </is>
      </c>
      <c r="E3172" s="1" t="n">
        <v>2026</v>
      </c>
      <c r="F3172" s="1" t="inlineStr">
        <is>
          <t>ABRIL</t>
        </is>
      </c>
      <c r="G3172" s="1" t="inlineStr">
        <is>
          <t>ZOEY</t>
        </is>
      </c>
      <c r="H3172" s="1" t="inlineStr">
        <is>
          <t>ZOEY 20/04/2026</t>
        </is>
      </c>
      <c r="I3172" s="4" t="n">
        <v>1</v>
      </c>
      <c r="J3172" s="6" t="n">
        <v>45</v>
      </c>
      <c r="K3172" s="6" t="n">
        <v>1152.395025</v>
      </c>
      <c r="L3172" s="6">
        <f>I3172*K3172</f>
        <v/>
      </c>
      <c r="M3172" s="6">
        <f>K3172*4</f>
        <v/>
      </c>
      <c r="N3172" s="6" t="n">
        <v>4609</v>
      </c>
    </row>
    <row r="3173">
      <c r="A3173" s="1" t="inlineStr">
        <is>
          <t>66581dfb2f7ce</t>
        </is>
      </c>
      <c r="B3173" s="1" t="inlineStr">
        <is>
          <t>BOLSO LADY D NUDE</t>
        </is>
      </c>
      <c r="C3173" s="1" t="inlineStr">
        <is>
          <t>17cm de largo x 20cm largo x 8cm de ancho</t>
        </is>
      </c>
      <c r="D3173" s="1" t="inlineStr">
        <is>
          <t>25/10/2025</t>
        </is>
      </c>
      <c r="E3173" s="1" t="n">
        <v>2025</v>
      </c>
      <c r="F3173" s="1" t="inlineStr">
        <is>
          <t>OCTUBRE</t>
        </is>
      </c>
      <c r="G3173" s="1" t="inlineStr">
        <is>
          <t>ZOEY</t>
        </is>
      </c>
      <c r="H3173" s="1" t="inlineStr">
        <is>
          <t>ZOEY 25/10/2025</t>
        </is>
      </c>
      <c r="I3173" s="4" t="n">
        <v>3</v>
      </c>
      <c r="J3173" s="6" t="n">
        <v>56</v>
      </c>
      <c r="K3173" s="6" t="n">
        <v>1388.806121</v>
      </c>
      <c r="L3173" s="6">
        <f>I3173*K3173</f>
        <v/>
      </c>
      <c r="M3173" s="6">
        <f>K3173*4</f>
        <v/>
      </c>
      <c r="N3173" s="6" t="n">
        <v>5940</v>
      </c>
    </row>
    <row r="3174">
      <c r="A3174" s="1" t="inlineStr">
        <is>
          <t>66581dfb2f7ce</t>
        </is>
      </c>
      <c r="B3174" s="1" t="inlineStr">
        <is>
          <t>BOLSO LADY D NUDE</t>
        </is>
      </c>
      <c r="C3174" s="1" t="inlineStr">
        <is>
          <t>17cm de largo x 20cm largo x 8cm de ancho</t>
        </is>
      </c>
      <c r="D3174" s="1" t="inlineStr">
        <is>
          <t>02/03/2026</t>
        </is>
      </c>
      <c r="E3174" s="1" t="n">
        <v>2026</v>
      </c>
      <c r="F3174" s="1" t="inlineStr">
        <is>
          <t>MARZO</t>
        </is>
      </c>
      <c r="G3174" s="1" t="inlineStr">
        <is>
          <t>ZOEY</t>
        </is>
      </c>
      <c r="H3174" s="1" t="inlineStr">
        <is>
          <t>ZOEY 02/03/2026</t>
        </is>
      </c>
      <c r="I3174" s="4" t="n">
        <v>2</v>
      </c>
      <c r="J3174" s="6" t="n">
        <v>56</v>
      </c>
      <c r="K3174" s="6" t="n">
        <v>1471.51064</v>
      </c>
      <c r="L3174" s="6">
        <f>I3174*K3174</f>
        <v/>
      </c>
      <c r="M3174" s="6">
        <f>K3174*4</f>
        <v/>
      </c>
      <c r="N3174" s="6" t="n">
        <v>5940</v>
      </c>
    </row>
    <row r="3175">
      <c r="A3175" s="1" t="inlineStr">
        <is>
          <t>66581dfb2f7ce</t>
        </is>
      </c>
      <c r="B3175" s="1" t="inlineStr">
        <is>
          <t>BOLSO LADY D NUDE</t>
        </is>
      </c>
      <c r="C3175" s="1" t="inlineStr">
        <is>
          <t>17cm de largo x 20cm largo x 8cm de ancho</t>
        </is>
      </c>
      <c r="D3175" s="1" t="inlineStr">
        <is>
          <t>20/04/2026</t>
        </is>
      </c>
      <c r="E3175" s="1" t="n">
        <v>2026</v>
      </c>
      <c r="F3175" s="1" t="inlineStr">
        <is>
          <t>ABRIL</t>
        </is>
      </c>
      <c r="G3175" s="1" t="inlineStr">
        <is>
          <t>ZOEY</t>
        </is>
      </c>
      <c r="H3175" s="1" t="inlineStr">
        <is>
          <t>ZOEY 20/04/2026</t>
        </is>
      </c>
      <c r="I3175" s="4" t="n">
        <v>1</v>
      </c>
      <c r="J3175" s="6" t="n">
        <v>56</v>
      </c>
      <c r="K3175" s="6" t="n">
        <v>1434.091587</v>
      </c>
      <c r="L3175" s="6">
        <f>I3175*K3175</f>
        <v/>
      </c>
      <c r="M3175" s="6">
        <f>K3175*4</f>
        <v/>
      </c>
      <c r="N3175" s="6" t="n">
        <v>5940</v>
      </c>
    </row>
    <row r="3176">
      <c r="A3176" s="1" t="inlineStr">
        <is>
          <t>66581dfb2f7ce</t>
        </is>
      </c>
      <c r="B3176" s="1" t="inlineStr">
        <is>
          <t>BOLSO LADY D NUDE</t>
        </is>
      </c>
      <c r="C3176" s="1" t="inlineStr">
        <is>
          <t>17cm de largo x 20cm largo x 8cm de ancho</t>
        </is>
      </c>
      <c r="D3176" s="1" t="inlineStr">
        <is>
          <t>15/05/2026</t>
        </is>
      </c>
      <c r="E3176" s="1" t="n">
        <v>2026</v>
      </c>
      <c r="F3176" s="1" t="inlineStr">
        <is>
          <t>MAYO</t>
        </is>
      </c>
      <c r="G3176" s="1" t="inlineStr">
        <is>
          <t>ZOEY</t>
        </is>
      </c>
      <c r="H3176" s="1" t="inlineStr">
        <is>
          <t>ZOEY 15/05/2026</t>
        </is>
      </c>
      <c r="I3176" s="4" t="n">
        <v>1</v>
      </c>
      <c r="J3176" s="6" t="n">
        <v>56</v>
      </c>
      <c r="K3176" s="6" t="n">
        <v>1484.258971</v>
      </c>
      <c r="L3176" s="6">
        <f>I3176*K3176</f>
        <v/>
      </c>
      <c r="M3176" s="6">
        <f>K3176*4</f>
        <v/>
      </c>
      <c r="N3176" s="6" t="n">
        <v>5940</v>
      </c>
    </row>
    <row r="3177">
      <c r="A3177" s="1" t="inlineStr">
        <is>
          <t>66581dfdba9ed</t>
        </is>
      </c>
      <c r="B3177" s="1" t="inlineStr">
        <is>
          <t>BOLSO LADY D RED</t>
        </is>
      </c>
      <c r="C3177" s="1" t="inlineStr">
        <is>
          <t>23.5cm de largo x 20.5cm alto x 12.5cm de ancho</t>
        </is>
      </c>
      <c r="D3177" s="1" t="inlineStr">
        <is>
          <t>20/01/2026</t>
        </is>
      </c>
      <c r="E3177" s="1" t="n">
        <v>2026</v>
      </c>
      <c r="F3177" s="1" t="inlineStr">
        <is>
          <t>ENERO</t>
        </is>
      </c>
      <c r="G3177" s="1" t="inlineStr">
        <is>
          <t>ZOEY</t>
        </is>
      </c>
      <c r="H3177" s="1" t="inlineStr">
        <is>
          <t>ZOEY 20/01/2026</t>
        </is>
      </c>
      <c r="I3177" s="4" t="n">
        <v>1</v>
      </c>
      <c r="J3177" s="6" t="n">
        <v>56</v>
      </c>
      <c r="K3177" s="6" t="n">
        <v>1457.769565</v>
      </c>
      <c r="L3177" s="6">
        <f>I3177*K3177</f>
        <v/>
      </c>
      <c r="M3177" s="6">
        <f>K3177*4</f>
        <v/>
      </c>
      <c r="N3177" s="6" t="n">
        <v>5940</v>
      </c>
    </row>
    <row r="3178">
      <c r="A3178" s="1" t="inlineStr">
        <is>
          <t>66581dfdba9ed</t>
        </is>
      </c>
      <c r="B3178" s="1" t="inlineStr">
        <is>
          <t>BOLSO LADY D RED</t>
        </is>
      </c>
      <c r="C3178" s="1" t="inlineStr">
        <is>
          <t>23.5cm de largo x 20.5cm alto x 12.5cm de ancho</t>
        </is>
      </c>
      <c r="D3178" s="1" t="inlineStr">
        <is>
          <t>15/05/2026</t>
        </is>
      </c>
      <c r="E3178" s="1" t="n">
        <v>2026</v>
      </c>
      <c r="F3178" s="1" t="inlineStr">
        <is>
          <t>MAYO</t>
        </is>
      </c>
      <c r="G3178" s="1" t="inlineStr">
        <is>
          <t>ZOEY</t>
        </is>
      </c>
      <c r="H3178" s="1" t="inlineStr">
        <is>
          <t>ZOEY 15/05/2026</t>
        </is>
      </c>
      <c r="I3178" s="4" t="n">
        <v>1</v>
      </c>
      <c r="J3178" s="6" t="n">
        <v>56</v>
      </c>
      <c r="K3178" s="6" t="n">
        <v>1484.258971</v>
      </c>
      <c r="L3178" s="6">
        <f>I3178*K3178</f>
        <v/>
      </c>
      <c r="M3178" s="6">
        <f>K3178*4</f>
        <v/>
      </c>
      <c r="N3178" s="6" t="n">
        <v>5940</v>
      </c>
    </row>
    <row r="3179">
      <c r="A3179" s="1" t="inlineStr">
        <is>
          <t>66581e33ea15d</t>
        </is>
      </c>
      <c r="B3179" s="1" t="inlineStr">
        <is>
          <t>BOLSA G GREEN</t>
        </is>
      </c>
      <c r="C3179" s="1" t="inlineStr">
        <is>
          <t>34cm largo x 27cm ancho</t>
        </is>
      </c>
      <c r="D3179" s="1" t="inlineStr">
        <is>
          <t>07/01/2026</t>
        </is>
      </c>
      <c r="E3179" s="1" t="n">
        <v>2026</v>
      </c>
      <c r="F3179" s="1" t="inlineStr">
        <is>
          <t>ENERO</t>
        </is>
      </c>
      <c r="G3179" s="1" t="inlineStr">
        <is>
          <t>CYNTHIA</t>
        </is>
      </c>
      <c r="H3179" s="1" t="inlineStr">
        <is>
          <t>CYNTHIA 07/01/2026</t>
        </is>
      </c>
      <c r="I3179" s="4" t="n">
        <v>3</v>
      </c>
      <c r="J3179" s="6" t="n">
        <v>40</v>
      </c>
      <c r="K3179" s="6" t="n">
        <v>1063.497107</v>
      </c>
      <c r="L3179" s="6">
        <f>I3179*K3179</f>
        <v/>
      </c>
      <c r="M3179" s="6">
        <f>K3179*4</f>
        <v/>
      </c>
      <c r="N3179" s="6" t="n">
        <v>4250</v>
      </c>
    </row>
    <row r="3180">
      <c r="A3180" s="1" t="inlineStr">
        <is>
          <t>66581e33ea15d</t>
        </is>
      </c>
      <c r="B3180" s="1" t="inlineStr">
        <is>
          <t>BOLSA G GREEN</t>
        </is>
      </c>
      <c r="C3180" s="1" t="inlineStr">
        <is>
          <t>34cm largo x 27cm ancho</t>
        </is>
      </c>
      <c r="D3180" s="1" t="inlineStr">
        <is>
          <t>18/02/2026</t>
        </is>
      </c>
      <c r="E3180" s="1" t="n">
        <v>2026</v>
      </c>
      <c r="F3180" s="1" t="inlineStr">
        <is>
          <t>FEBRERO</t>
        </is>
      </c>
      <c r="G3180" s="1" t="inlineStr">
        <is>
          <t>CYNTHIA</t>
        </is>
      </c>
      <c r="H3180" s="1" t="inlineStr">
        <is>
          <t>CYNTHIA 18/02/2026</t>
        </is>
      </c>
      <c r="I3180" s="4" t="n">
        <v>2</v>
      </c>
      <c r="J3180" s="6" t="n">
        <v>40</v>
      </c>
      <c r="K3180" s="6" t="n">
        <v>1081.734608</v>
      </c>
      <c r="L3180" s="6">
        <f>I3180*K3180</f>
        <v/>
      </c>
      <c r="M3180" s="6">
        <f>K3180*4</f>
        <v/>
      </c>
      <c r="N3180" s="6" t="n">
        <v>4250</v>
      </c>
    </row>
    <row r="3181">
      <c r="A3181" s="1" t="inlineStr">
        <is>
          <t>66581e33ea15d</t>
        </is>
      </c>
      <c r="B3181" s="1" t="inlineStr">
        <is>
          <t>BOLSA G GREEN</t>
        </is>
      </c>
      <c r="C3181" s="1" t="inlineStr">
        <is>
          <t>34cm largo x 27cm ancho</t>
        </is>
      </c>
      <c r="D3181" s="1" t="inlineStr">
        <is>
          <t>19/03/2026</t>
        </is>
      </c>
      <c r="E3181" s="1" t="n">
        <v>2026</v>
      </c>
      <c r="F3181" s="1" t="inlineStr">
        <is>
          <t>MARZO</t>
        </is>
      </c>
      <c r="G3181" s="1" t="inlineStr">
        <is>
          <t>CYNTHIA</t>
        </is>
      </c>
      <c r="H3181" s="1" t="inlineStr">
        <is>
          <t>CYNTHIA 19/03/2026</t>
        </is>
      </c>
      <c r="I3181" s="4" t="n">
        <v>5</v>
      </c>
      <c r="J3181" s="6" t="n">
        <v>40</v>
      </c>
      <c r="K3181" s="6" t="n">
        <v>1074.296632</v>
      </c>
      <c r="L3181" s="6">
        <f>I3181*K3181</f>
        <v/>
      </c>
      <c r="M3181" s="6">
        <f>K3181*4</f>
        <v/>
      </c>
      <c r="N3181" s="6" t="n">
        <v>4250</v>
      </c>
    </row>
    <row r="3182">
      <c r="A3182" s="1" t="inlineStr">
        <is>
          <t>66581e33ea15d</t>
        </is>
      </c>
      <c r="B3182" s="1" t="inlineStr">
        <is>
          <t>BOLSA G GREEN</t>
        </is>
      </c>
      <c r="C3182" s="1" t="inlineStr">
        <is>
          <t>34cm largo x 27cm ancho</t>
        </is>
      </c>
      <c r="D3182" s="1" t="inlineStr">
        <is>
          <t>31/05/2026</t>
        </is>
      </c>
      <c r="E3182" s="1" t="n">
        <v>2026</v>
      </c>
      <c r="F3182" s="1" t="inlineStr">
        <is>
          <t>MAYO</t>
        </is>
      </c>
      <c r="G3182" s="1" t="inlineStr">
        <is>
          <t>CYNTHIA</t>
        </is>
      </c>
      <c r="H3182" s="1" t="inlineStr">
        <is>
          <t>CYNTHIA 31/05/2026</t>
        </is>
      </c>
      <c r="I3182" s="4" t="n">
        <v>12</v>
      </c>
      <c r="J3182" s="6" t="n">
        <v>40</v>
      </c>
      <c r="K3182" s="6" t="n">
        <v>1060.041799</v>
      </c>
      <c r="L3182" s="6">
        <f>I3182*K3182</f>
        <v/>
      </c>
      <c r="M3182" s="6">
        <f>K3182*4</f>
        <v/>
      </c>
      <c r="N3182" s="6" t="n">
        <v>4250</v>
      </c>
    </row>
    <row r="3183">
      <c r="A3183" s="1" t="inlineStr">
        <is>
          <t>66581e37d7ef3</t>
        </is>
      </c>
      <c r="B3183" s="1" t="inlineStr">
        <is>
          <t>BOLSA LV BROWN</t>
        </is>
      </c>
      <c r="C3183" s="1" t="inlineStr">
        <is>
          <t>21.5cm de largo x 12cm de alto x 5cm de ancho</t>
        </is>
      </c>
      <c r="D3183" s="1" t="inlineStr">
        <is>
          <t>18/02/2026</t>
        </is>
      </c>
      <c r="E3183" s="1" t="n">
        <v>2026</v>
      </c>
      <c r="F3183" s="1" t="inlineStr">
        <is>
          <t>FEBRERO</t>
        </is>
      </c>
      <c r="G3183" s="1" t="inlineStr">
        <is>
          <t>CYNTHIA</t>
        </is>
      </c>
      <c r="H3183" s="1" t="inlineStr">
        <is>
          <t>CYNTHIA 18/02/2026</t>
        </is>
      </c>
      <c r="I3183" s="4" t="n">
        <v>8</v>
      </c>
      <c r="J3183" s="6" t="n">
        <v>55</v>
      </c>
      <c r="K3183" s="6" t="n">
        <v>1487.385086</v>
      </c>
      <c r="L3183" s="6">
        <f>I3183*K3183</f>
        <v/>
      </c>
      <c r="M3183" s="6">
        <f>K3183*4</f>
        <v/>
      </c>
      <c r="N3183" s="6" t="n">
        <v>6050</v>
      </c>
    </row>
    <row r="3184">
      <c r="A3184" s="1" t="inlineStr">
        <is>
          <t>66581e37d7ef3</t>
        </is>
      </c>
      <c r="B3184" s="1" t="inlineStr">
        <is>
          <t>BOLSA LV BROWN</t>
        </is>
      </c>
      <c r="C3184" s="1" t="inlineStr">
        <is>
          <t>21.5cm de largo x 12cm de alto x 5cm de ancho</t>
        </is>
      </c>
      <c r="D3184" s="1" t="inlineStr">
        <is>
          <t>31/05/2026</t>
        </is>
      </c>
      <c r="E3184" s="1" t="n">
        <v>2026</v>
      </c>
      <c r="F3184" s="1" t="inlineStr">
        <is>
          <t>MAYO</t>
        </is>
      </c>
      <c r="G3184" s="1" t="inlineStr">
        <is>
          <t>CYNTHIA</t>
        </is>
      </c>
      <c r="H3184" s="1" t="inlineStr">
        <is>
          <t>CYNTHIA 31/05/2026</t>
        </is>
      </c>
      <c r="I3184" s="4" t="n">
        <v>3</v>
      </c>
      <c r="J3184" s="6" t="n">
        <v>57</v>
      </c>
      <c r="K3184" s="6" t="n">
        <v>1510.559564</v>
      </c>
      <c r="L3184" s="6">
        <f>I3184*K3184</f>
        <v/>
      </c>
      <c r="M3184" s="6">
        <f>K3184*4</f>
        <v/>
      </c>
      <c r="N3184" s="6" t="n">
        <v>6050</v>
      </c>
    </row>
    <row r="3185">
      <c r="A3185" s="1" t="inlineStr">
        <is>
          <t>66593a9c168cf</t>
        </is>
      </c>
      <c r="B3185" s="1" t="inlineStr">
        <is>
          <t>ANILLO KNOT GOLD</t>
        </is>
      </c>
      <c r="C3185" s="1" t="n">
        <v>6</v>
      </c>
      <c r="D3185" s="1" t="inlineStr">
        <is>
          <t>03/12/2025</t>
        </is>
      </c>
      <c r="E3185" s="1" t="n">
        <v>2025</v>
      </c>
      <c r="F3185" s="1" t="inlineStr">
        <is>
          <t>DICIEMBRE</t>
        </is>
      </c>
      <c r="G3185" s="1" t="inlineStr">
        <is>
          <t>NANCY</t>
        </is>
      </c>
      <c r="H3185" s="1" t="inlineStr">
        <is>
          <t>NANCY 03/12/2025</t>
        </is>
      </c>
      <c r="I3185" s="4" t="n">
        <v>1</v>
      </c>
      <c r="J3185" s="6" t="n">
        <v>5.99</v>
      </c>
      <c r="K3185" s="6" t="n">
        <v>141.703881</v>
      </c>
      <c r="L3185" s="6">
        <f>I3185*K3185</f>
        <v/>
      </c>
      <c r="M3185" s="6">
        <f>K3185*4</f>
        <v/>
      </c>
      <c r="N3185" s="6" t="n">
        <v>480</v>
      </c>
    </row>
    <row r="3186">
      <c r="A3186" s="1" t="inlineStr">
        <is>
          <t>66593a9c168cf</t>
        </is>
      </c>
      <c r="B3186" s="1" t="inlineStr">
        <is>
          <t>ANILLO KNOT GOLD</t>
        </is>
      </c>
      <c r="C3186" s="1" t="n">
        <v>6</v>
      </c>
      <c r="D3186" s="1" t="inlineStr">
        <is>
          <t>01/03/2026</t>
        </is>
      </c>
      <c r="E3186" s="1" t="n">
        <v>2026</v>
      </c>
      <c r="F3186" s="1" t="inlineStr">
        <is>
          <t>MARZO</t>
        </is>
      </c>
      <c r="G3186" s="1" t="inlineStr">
        <is>
          <t>NANCY</t>
        </is>
      </c>
      <c r="H3186" s="1" t="inlineStr">
        <is>
          <t>NANCY 01/03/2026</t>
        </is>
      </c>
      <c r="I3186" s="4" t="n">
        <v>2</v>
      </c>
      <c r="J3186" s="6" t="n">
        <v>5.59</v>
      </c>
      <c r="K3186" s="6" t="n">
        <v>141.4477855</v>
      </c>
      <c r="L3186" s="6">
        <f>I3186*K3186</f>
        <v/>
      </c>
      <c r="M3186" s="6">
        <f>K3186*4</f>
        <v/>
      </c>
      <c r="N3186" s="6" t="n">
        <v>480</v>
      </c>
    </row>
    <row r="3187">
      <c r="A3187" s="1" t="inlineStr">
        <is>
          <t>66593a9c168cf</t>
        </is>
      </c>
      <c r="B3187" s="1" t="inlineStr">
        <is>
          <t>ANILLO KNOT GOLD</t>
        </is>
      </c>
      <c r="C3187" s="1" t="n">
        <v>6</v>
      </c>
      <c r="D3187" s="1" t="inlineStr">
        <is>
          <t>01/04/2026</t>
        </is>
      </c>
      <c r="E3187" s="1" t="n">
        <v>2026</v>
      </c>
      <c r="F3187" s="1" t="inlineStr">
        <is>
          <t>ABRIL</t>
        </is>
      </c>
      <c r="G3187" s="1" t="inlineStr">
        <is>
          <t>NANCY</t>
        </is>
      </c>
      <c r="H3187" s="1" t="inlineStr">
        <is>
          <t>NANCY 01/04/2026</t>
        </is>
      </c>
      <c r="I3187" s="4" t="n">
        <v>1</v>
      </c>
      <c r="J3187" s="6" t="n">
        <v>5.59</v>
      </c>
      <c r="K3187" s="6" t="n">
        <v>133.8274486</v>
      </c>
      <c r="L3187" s="6">
        <f>I3187*K3187</f>
        <v/>
      </c>
      <c r="M3187" s="6">
        <f>K3187*4</f>
        <v/>
      </c>
      <c r="N3187" s="6" t="n">
        <v>480</v>
      </c>
    </row>
    <row r="3188">
      <c r="A3188" s="1" t="inlineStr">
        <is>
          <t>66593a9c168cf</t>
        </is>
      </c>
      <c r="B3188" s="1" t="inlineStr">
        <is>
          <t>ANILLO KNOT GOLD</t>
        </is>
      </c>
      <c r="C3188" s="1" t="n">
        <v>6</v>
      </c>
      <c r="D3188" s="1" t="inlineStr">
        <is>
          <t>08/05/2026</t>
        </is>
      </c>
      <c r="E3188" s="1" t="n">
        <v>2026</v>
      </c>
      <c r="F3188" s="1" t="inlineStr">
        <is>
          <t>MAYO</t>
        </is>
      </c>
      <c r="G3188" s="1" t="inlineStr">
        <is>
          <t>NANCY</t>
        </is>
      </c>
      <c r="H3188" s="1" t="inlineStr">
        <is>
          <t>NANCY 08/05/2026</t>
        </is>
      </c>
      <c r="I3188" s="4" t="n">
        <v>4</v>
      </c>
      <c r="J3188" s="6" t="n">
        <v>5.59</v>
      </c>
      <c r="K3188" s="6" t="n">
        <v>132.2468818</v>
      </c>
      <c r="L3188" s="6">
        <f>I3188*K3188</f>
        <v/>
      </c>
      <c r="M3188" s="6">
        <f>K3188*4</f>
        <v/>
      </c>
      <c r="N3188" s="6" t="n">
        <v>480</v>
      </c>
    </row>
    <row r="3189">
      <c r="A3189" s="1" t="inlineStr">
        <is>
          <t>66593a9c168cf</t>
        </is>
      </c>
      <c r="B3189" s="1" t="inlineStr">
        <is>
          <t>ANILLO KNOT GOLD</t>
        </is>
      </c>
      <c r="C3189" s="1" t="n">
        <v>6</v>
      </c>
      <c r="D3189" s="1" t="inlineStr">
        <is>
          <t>09/07/2026</t>
        </is>
      </c>
      <c r="E3189" s="1" t="n">
        <v>2026</v>
      </c>
      <c r="F3189" s="1" t="inlineStr">
        <is>
          <t>JULIO</t>
        </is>
      </c>
      <c r="G3189" s="1" t="inlineStr">
        <is>
          <t>NANCY</t>
        </is>
      </c>
      <c r="H3189" s="1" t="inlineStr">
        <is>
          <t>NANCY 09/07/2026</t>
        </is>
      </c>
      <c r="I3189" s="4" t="n">
        <v>5</v>
      </c>
      <c r="J3189" s="6" t="n">
        <v>4.99</v>
      </c>
      <c r="K3189" s="6" t="n">
        <v>121.5837117</v>
      </c>
      <c r="L3189" s="6">
        <f>I3189*K3189</f>
        <v/>
      </c>
      <c r="M3189" s="6">
        <f>K3189*4</f>
        <v/>
      </c>
      <c r="N3189" s="6" t="n">
        <v>480</v>
      </c>
    </row>
    <row r="3190">
      <c r="A3190" s="1" t="inlineStr">
        <is>
          <t>66593a9cc1aaa</t>
        </is>
      </c>
      <c r="B3190" s="1" t="inlineStr">
        <is>
          <t>ANILLO KNOT GOLD</t>
        </is>
      </c>
      <c r="C3190" s="1" t="n">
        <v>7</v>
      </c>
      <c r="D3190" s="1" t="inlineStr">
        <is>
          <t>01/03/2026</t>
        </is>
      </c>
      <c r="E3190" s="1" t="n">
        <v>2026</v>
      </c>
      <c r="F3190" s="1" t="inlineStr">
        <is>
          <t>MARZO</t>
        </is>
      </c>
      <c r="G3190" s="1" t="inlineStr">
        <is>
          <t>NANCY</t>
        </is>
      </c>
      <c r="H3190" s="1" t="inlineStr">
        <is>
          <t>NANCY 01/03/2026</t>
        </is>
      </c>
      <c r="I3190" s="4" t="n">
        <v>2</v>
      </c>
      <c r="J3190" s="6" t="n">
        <v>5.59</v>
      </c>
      <c r="K3190" s="6" t="n">
        <v>141.4477855</v>
      </c>
      <c r="L3190" s="6">
        <f>I3190*K3190</f>
        <v/>
      </c>
      <c r="M3190" s="6">
        <f>K3190*4</f>
        <v/>
      </c>
      <c r="N3190" s="6" t="n">
        <v>480</v>
      </c>
    </row>
    <row r="3191">
      <c r="A3191" s="1" t="inlineStr">
        <is>
          <t>66593a9cc1aaa</t>
        </is>
      </c>
      <c r="B3191" s="1" t="inlineStr">
        <is>
          <t>ANILLO KNOT GOLD</t>
        </is>
      </c>
      <c r="C3191" s="1" t="n">
        <v>7</v>
      </c>
      <c r="D3191" s="1" t="inlineStr">
        <is>
          <t>01/04/2026</t>
        </is>
      </c>
      <c r="E3191" s="1" t="n">
        <v>2026</v>
      </c>
      <c r="F3191" s="1" t="inlineStr">
        <is>
          <t>ABRIL</t>
        </is>
      </c>
      <c r="G3191" s="1" t="inlineStr">
        <is>
          <t>NANCY</t>
        </is>
      </c>
      <c r="H3191" s="1" t="inlineStr">
        <is>
          <t>NANCY 01/04/2026</t>
        </is>
      </c>
      <c r="I3191" s="4" t="n">
        <v>1</v>
      </c>
      <c r="J3191" s="6" t="n">
        <v>5.59</v>
      </c>
      <c r="K3191" s="6" t="n">
        <v>133.8274486</v>
      </c>
      <c r="L3191" s="6">
        <f>I3191*K3191</f>
        <v/>
      </c>
      <c r="M3191" s="6">
        <f>K3191*4</f>
        <v/>
      </c>
      <c r="N3191" s="6" t="n">
        <v>480</v>
      </c>
    </row>
    <row r="3192">
      <c r="A3192" s="1" t="inlineStr">
        <is>
          <t>66593a9cc1aaa</t>
        </is>
      </c>
      <c r="B3192" s="1" t="inlineStr">
        <is>
          <t>ANILLO KNOT GOLD</t>
        </is>
      </c>
      <c r="C3192" s="1" t="n">
        <v>7</v>
      </c>
      <c r="D3192" s="1" t="inlineStr">
        <is>
          <t>08/05/2026</t>
        </is>
      </c>
      <c r="E3192" s="1" t="n">
        <v>2026</v>
      </c>
      <c r="F3192" s="1" t="inlineStr">
        <is>
          <t>MAYO</t>
        </is>
      </c>
      <c r="G3192" s="1" t="inlineStr">
        <is>
          <t>NANCY</t>
        </is>
      </c>
      <c r="H3192" s="1" t="inlineStr">
        <is>
          <t>NANCY 08/05/2026</t>
        </is>
      </c>
      <c r="I3192" s="4" t="n">
        <v>3</v>
      </c>
      <c r="J3192" s="6" t="n">
        <v>5.59</v>
      </c>
      <c r="K3192" s="6" t="n">
        <v>132.2468818</v>
      </c>
      <c r="L3192" s="6">
        <f>I3192*K3192</f>
        <v/>
      </c>
      <c r="M3192" s="6">
        <f>K3192*4</f>
        <v/>
      </c>
      <c r="N3192" s="6" t="n">
        <v>480</v>
      </c>
    </row>
    <row r="3193">
      <c r="A3193" s="1" t="inlineStr">
        <is>
          <t>66593a9cc1aaa</t>
        </is>
      </c>
      <c r="B3193" s="1" t="inlineStr">
        <is>
          <t>ANILLO KNOT GOLD</t>
        </is>
      </c>
      <c r="C3193" s="1" t="n">
        <v>7</v>
      </c>
      <c r="D3193" s="1" t="inlineStr">
        <is>
          <t>31/05/2026</t>
        </is>
      </c>
      <c r="E3193" s="1" t="n">
        <v>2026</v>
      </c>
      <c r="F3193" s="1" t="inlineStr">
        <is>
          <t>MAYO</t>
        </is>
      </c>
      <c r="G3193" s="1" t="inlineStr">
        <is>
          <t>NANCY</t>
        </is>
      </c>
      <c r="H3193" s="1" t="inlineStr">
        <is>
          <t>NANCY 31/05/2026</t>
        </is>
      </c>
      <c r="I3193" s="4" t="n">
        <v>4</v>
      </c>
      <c r="J3193" s="6" t="n">
        <v>5.59</v>
      </c>
      <c r="K3193" s="6" t="n">
        <v>135.6558265</v>
      </c>
      <c r="L3193" s="6">
        <f>I3193*K3193</f>
        <v/>
      </c>
      <c r="M3193" s="6">
        <f>K3193*4</f>
        <v/>
      </c>
      <c r="N3193" s="6" t="n">
        <v>480</v>
      </c>
    </row>
    <row r="3194">
      <c r="A3194" s="1" t="inlineStr">
        <is>
          <t>66593bc1df809</t>
        </is>
      </c>
      <c r="B3194" s="1" t="inlineStr">
        <is>
          <t>ANILLO LOVE MZ GOLD</t>
        </is>
      </c>
      <c r="C3194" s="1" t="inlineStr">
        <is>
          <t>5</t>
        </is>
      </c>
      <c r="D3194" s="1" t="inlineStr">
        <is>
          <t>10/02/2026</t>
        </is>
      </c>
      <c r="E3194" s="1" t="n">
        <v>2026</v>
      </c>
      <c r="F3194" s="1" t="inlineStr">
        <is>
          <t>FEBRERO</t>
        </is>
      </c>
      <c r="G3194" s="1" t="inlineStr">
        <is>
          <t>HAIFENG</t>
        </is>
      </c>
      <c r="H3194" s="1" t="inlineStr">
        <is>
          <t>HAIFENG 10/02/2026</t>
        </is>
      </c>
      <c r="I3194" s="4" t="n">
        <v>2</v>
      </c>
      <c r="J3194" s="6" t="n">
        <v>5.8</v>
      </c>
      <c r="K3194" s="6" t="n">
        <v>122.1972772</v>
      </c>
      <c r="L3194" s="6">
        <f>I3194*K3194</f>
        <v/>
      </c>
      <c r="M3194" s="6">
        <f>K3194*4</f>
        <v/>
      </c>
      <c r="N3194" s="6" t="n">
        <v>550</v>
      </c>
    </row>
    <row r="3195">
      <c r="A3195" s="1" t="inlineStr">
        <is>
          <t>66593bc1df809</t>
        </is>
      </c>
      <c r="B3195" s="1" t="inlineStr">
        <is>
          <t>ANILLO LOVE MZ GOLD</t>
        </is>
      </c>
      <c r="C3195" s="1" t="inlineStr">
        <is>
          <t>5</t>
        </is>
      </c>
      <c r="D3195" s="1" t="inlineStr">
        <is>
          <t>26/05/2026</t>
        </is>
      </c>
      <c r="E3195" s="1" t="n">
        <v>2026</v>
      </c>
      <c r="F3195" s="1" t="inlineStr">
        <is>
          <t>MAYO</t>
        </is>
      </c>
      <c r="G3195" s="1" t="inlineStr">
        <is>
          <t>HAIFENG</t>
        </is>
      </c>
      <c r="H3195" s="1" t="inlineStr">
        <is>
          <t>HAIFENG 26/05/2026</t>
        </is>
      </c>
      <c r="I3195" s="4" t="n">
        <v>7</v>
      </c>
      <c r="J3195" s="6" t="n">
        <v>5.8</v>
      </c>
      <c r="K3195" s="6" t="n">
        <v>121.7379127</v>
      </c>
      <c r="L3195" s="6">
        <f>I3195*K3195</f>
        <v/>
      </c>
      <c r="M3195" s="6">
        <f>K3195*4</f>
        <v/>
      </c>
      <c r="N3195" s="6" t="n">
        <v>550</v>
      </c>
    </row>
    <row r="3196">
      <c r="A3196" s="1" t="inlineStr">
        <is>
          <t>66593bc1ef37c</t>
        </is>
      </c>
      <c r="B3196" s="1" t="inlineStr">
        <is>
          <t>ANILLO LOVE MZ SILVER</t>
        </is>
      </c>
      <c r="C3196" s="1" t="inlineStr">
        <is>
          <t>5</t>
        </is>
      </c>
      <c r="D3196" s="1" t="inlineStr">
        <is>
          <t>01/09/2025</t>
        </is>
      </c>
      <c r="E3196" s="1" t="n">
        <v>2025</v>
      </c>
      <c r="F3196" s="1" t="inlineStr">
        <is>
          <t>SEPTIEMBRE</t>
        </is>
      </c>
      <c r="G3196" s="1" t="inlineStr">
        <is>
          <t>HAIFENG</t>
        </is>
      </c>
      <c r="H3196" s="1" t="inlineStr">
        <is>
          <t>HAIFENG 01/09/2025</t>
        </is>
      </c>
      <c r="I3196" s="4" t="n">
        <v>4</v>
      </c>
      <c r="J3196" s="6" t="n">
        <v>5.8</v>
      </c>
      <c r="K3196" s="6" t="n">
        <v>123.2828922</v>
      </c>
      <c r="L3196" s="6">
        <f>I3196*K3196</f>
        <v/>
      </c>
      <c r="M3196" s="6">
        <f>K3196*4</f>
        <v/>
      </c>
      <c r="N3196" s="6" t="n">
        <v>550</v>
      </c>
    </row>
    <row r="3197">
      <c r="A3197" s="1" t="inlineStr">
        <is>
          <t>66593bc1ef37c</t>
        </is>
      </c>
      <c r="B3197" s="1" t="inlineStr">
        <is>
          <t>ANILLO LOVE MZ SILVER</t>
        </is>
      </c>
      <c r="C3197" s="1" t="inlineStr">
        <is>
          <t>5</t>
        </is>
      </c>
      <c r="D3197" s="1" t="inlineStr">
        <is>
          <t>06/05/2026</t>
        </is>
      </c>
      <c r="E3197" s="1" t="n">
        <v>2026</v>
      </c>
      <c r="F3197" s="1" t="inlineStr">
        <is>
          <t>MAYO</t>
        </is>
      </c>
      <c r="G3197" s="1" t="inlineStr">
        <is>
          <t>HAIFENG</t>
        </is>
      </c>
      <c r="H3197" s="1" t="inlineStr">
        <is>
          <t>HAIFENG 06/05/2026</t>
        </is>
      </c>
      <c r="I3197" s="4" t="n">
        <v>3</v>
      </c>
      <c r="J3197" s="6" t="n">
        <v>5.8</v>
      </c>
      <c r="K3197" s="6" t="n">
        <v>123.0681251</v>
      </c>
      <c r="L3197" s="6">
        <f>I3197*K3197</f>
        <v/>
      </c>
      <c r="M3197" s="6">
        <f>K3197*4</f>
        <v/>
      </c>
      <c r="N3197" s="6" t="n">
        <v>550</v>
      </c>
    </row>
    <row r="3198">
      <c r="A3198" s="1" t="inlineStr">
        <is>
          <t>66593bc1ef37c</t>
        </is>
      </c>
      <c r="B3198" s="1" t="inlineStr">
        <is>
          <t>ANILLO LOVE MZ SILVER</t>
        </is>
      </c>
      <c r="C3198" s="1" t="inlineStr">
        <is>
          <t>5</t>
        </is>
      </c>
      <c r="D3198" s="1" t="inlineStr">
        <is>
          <t>26/05/2026</t>
        </is>
      </c>
      <c r="E3198" s="1" t="n">
        <v>2026</v>
      </c>
      <c r="F3198" s="1" t="inlineStr">
        <is>
          <t>MAYO</t>
        </is>
      </c>
      <c r="G3198" s="1" t="inlineStr">
        <is>
          <t>HAIFENG</t>
        </is>
      </c>
      <c r="H3198" s="1" t="inlineStr">
        <is>
          <t>HAIFENG 26/05/2026</t>
        </is>
      </c>
      <c r="I3198" s="4" t="n">
        <v>2</v>
      </c>
      <c r="J3198" s="6" t="n">
        <v>5.8</v>
      </c>
      <c r="K3198" s="6" t="n">
        <v>121.7379127</v>
      </c>
      <c r="L3198" s="6">
        <f>I3198*K3198</f>
        <v/>
      </c>
      <c r="M3198" s="6">
        <f>K3198*4</f>
        <v/>
      </c>
      <c r="N3198" s="6" t="n">
        <v>550</v>
      </c>
    </row>
    <row r="3199">
      <c r="A3199" s="1" t="inlineStr">
        <is>
          <t>66593bc27f55c</t>
        </is>
      </c>
      <c r="B3199" s="1" t="inlineStr">
        <is>
          <t>ANILLO LOVE MZ GOLD</t>
        </is>
      </c>
      <c r="C3199" s="1" t="inlineStr">
        <is>
          <t>6</t>
        </is>
      </c>
      <c r="D3199" s="1" t="inlineStr">
        <is>
          <t>20/01/2026</t>
        </is>
      </c>
      <c r="E3199" s="1" t="n">
        <v>2026</v>
      </c>
      <c r="F3199" s="1" t="inlineStr">
        <is>
          <t>ENERO</t>
        </is>
      </c>
      <c r="G3199" s="1" t="inlineStr">
        <is>
          <t>HAIFENG</t>
        </is>
      </c>
      <c r="H3199" s="1" t="inlineStr">
        <is>
          <t>HAIFENG 20/01/2026</t>
        </is>
      </c>
      <c r="I3199" s="4" t="n">
        <v>2</v>
      </c>
      <c r="J3199" s="6" t="n">
        <v>5.8</v>
      </c>
      <c r="K3199" s="6" t="n">
        <v>122.9624232</v>
      </c>
      <c r="L3199" s="6">
        <f>I3199*K3199</f>
        <v/>
      </c>
      <c r="M3199" s="6">
        <f>K3199*4</f>
        <v/>
      </c>
      <c r="N3199" s="6" t="n">
        <v>550</v>
      </c>
    </row>
    <row r="3200">
      <c r="A3200" s="1" t="inlineStr">
        <is>
          <t>66593bc27f55c</t>
        </is>
      </c>
      <c r="B3200" s="1" t="n"/>
      <c r="C3200" s="1" t="inlineStr">
        <is>
          <t>6</t>
        </is>
      </c>
      <c r="D3200" s="1" t="inlineStr">
        <is>
          <t>10/02/2026</t>
        </is>
      </c>
      <c r="E3200" s="1" t="n">
        <v>2026</v>
      </c>
      <c r="F3200" s="1" t="inlineStr">
        <is>
          <t>FEBRERO</t>
        </is>
      </c>
      <c r="G3200" s="1" t="inlineStr">
        <is>
          <t>HAIFENG</t>
        </is>
      </c>
      <c r="H3200" s="1" t="inlineStr">
        <is>
          <t>HAIFENG 10/02/2026</t>
        </is>
      </c>
      <c r="I3200" s="4" t="n">
        <v>2</v>
      </c>
      <c r="J3200" s="6" t="n">
        <v>5.8</v>
      </c>
      <c r="K3200" s="6" t="n">
        <v>122.1972772</v>
      </c>
      <c r="L3200" s="6">
        <f>I3200*K3200</f>
        <v/>
      </c>
      <c r="M3200" s="6">
        <f>K3200*4</f>
        <v/>
      </c>
      <c r="N3200" s="6" t="n">
        <v>550</v>
      </c>
    </row>
    <row r="3201">
      <c r="A3201" s="1" t="inlineStr">
        <is>
          <t>66593bc27f55c</t>
        </is>
      </c>
      <c r="B3201" s="1" t="inlineStr">
        <is>
          <t>ANILLO LOVE MZ GOLD</t>
        </is>
      </c>
      <c r="C3201" s="1" t="inlineStr">
        <is>
          <t>6</t>
        </is>
      </c>
      <c r="D3201" s="1" t="inlineStr">
        <is>
          <t>11/03/2026</t>
        </is>
      </c>
      <c r="E3201" s="1" t="n">
        <v>2026</v>
      </c>
      <c r="F3201" s="1" t="inlineStr">
        <is>
          <t>MARZO</t>
        </is>
      </c>
      <c r="G3201" s="1" t="inlineStr">
        <is>
          <t>HAIFENG</t>
        </is>
      </c>
      <c r="H3201" s="1" t="inlineStr">
        <is>
          <t>HAIFENG 11/03/2026</t>
        </is>
      </c>
      <c r="I3201" s="4" t="n">
        <v>6</v>
      </c>
      <c r="J3201" s="6" t="n">
        <v>5.8</v>
      </c>
      <c r="K3201" s="6" t="n">
        <v>123.562598</v>
      </c>
      <c r="L3201" s="6">
        <f>I3201*K3201</f>
        <v/>
      </c>
      <c r="M3201" s="6">
        <f>K3201*4</f>
        <v/>
      </c>
      <c r="N3201" s="6" t="n">
        <v>550</v>
      </c>
    </row>
    <row r="3202">
      <c r="A3202" s="1" t="inlineStr">
        <is>
          <t>66593bc27f55c</t>
        </is>
      </c>
      <c r="B3202" s="1" t="inlineStr">
        <is>
          <t>ANILLO LOVE MZ GOLD</t>
        </is>
      </c>
      <c r="C3202" s="1" t="inlineStr">
        <is>
          <t>6</t>
        </is>
      </c>
      <c r="D3202" s="1" t="inlineStr">
        <is>
          <t>16/06/2026</t>
        </is>
      </c>
      <c r="E3202" s="1" t="n">
        <v>2026</v>
      </c>
      <c r="F3202" s="1" t="inlineStr">
        <is>
          <t>JUNIO</t>
        </is>
      </c>
      <c r="G3202" s="1" t="inlineStr">
        <is>
          <t>HAIFENG</t>
        </is>
      </c>
      <c r="H3202" s="1" t="inlineStr">
        <is>
          <t>HAIFENG 16/06/2026</t>
        </is>
      </c>
      <c r="I3202" s="4" t="n">
        <v>4</v>
      </c>
      <c r="J3202" s="6" t="n">
        <v>5.8</v>
      </c>
      <c r="K3202" s="6" t="n">
        <v>121.8847175</v>
      </c>
      <c r="L3202" s="6">
        <f>I3202*K3202</f>
        <v/>
      </c>
      <c r="M3202" s="6">
        <f>K3202*4</f>
        <v/>
      </c>
      <c r="N3202" s="6" t="n">
        <v>550</v>
      </c>
    </row>
    <row r="3203">
      <c r="A3203" s="1" t="inlineStr">
        <is>
          <t>66593bc296789</t>
        </is>
      </c>
      <c r="B3203" s="1" t="inlineStr">
        <is>
          <t>ANILLO LOVE MZ SILVER</t>
        </is>
      </c>
      <c r="C3203" s="1" t="inlineStr">
        <is>
          <t>6</t>
        </is>
      </c>
      <c r="D3203" s="1" t="inlineStr">
        <is>
          <t>01/09/2025</t>
        </is>
      </c>
      <c r="E3203" s="1" t="n">
        <v>2025</v>
      </c>
      <c r="F3203" s="1" t="inlineStr">
        <is>
          <t>SEPTIEMBRE</t>
        </is>
      </c>
      <c r="G3203" s="1" t="inlineStr">
        <is>
          <t>HAIFENG</t>
        </is>
      </c>
      <c r="H3203" s="1" t="inlineStr">
        <is>
          <t>HAIFENG 01/09/2025</t>
        </is>
      </c>
      <c r="I3203" s="4" t="n">
        <v>4</v>
      </c>
      <c r="J3203" s="6" t="n">
        <v>5.8</v>
      </c>
      <c r="K3203" s="6" t="n">
        <v>123.2828922</v>
      </c>
      <c r="L3203" s="6">
        <f>I3203*K3203</f>
        <v/>
      </c>
      <c r="M3203" s="6">
        <f>K3203*4</f>
        <v/>
      </c>
      <c r="N3203" s="6" t="n">
        <v>550</v>
      </c>
    </row>
    <row r="3204">
      <c r="A3204" s="1" t="inlineStr">
        <is>
          <t>66593bc296789</t>
        </is>
      </c>
      <c r="B3204" s="1" t="inlineStr">
        <is>
          <t>ANILLO LOVE MZ SILVER</t>
        </is>
      </c>
      <c r="C3204" s="1" t="inlineStr">
        <is>
          <t>6</t>
        </is>
      </c>
      <c r="D3204" s="1" t="inlineStr">
        <is>
          <t>03/12/2025</t>
        </is>
      </c>
      <c r="E3204" s="1" t="n">
        <v>2025</v>
      </c>
      <c r="F3204" s="1" t="inlineStr">
        <is>
          <t>DICIEMBRE</t>
        </is>
      </c>
      <c r="G3204" s="1" t="inlineStr">
        <is>
          <t>HAIFENG</t>
        </is>
      </c>
      <c r="H3204" s="1" t="inlineStr">
        <is>
          <t>HAIFENG 03/12/2025</t>
        </is>
      </c>
      <c r="I3204" s="4" t="n">
        <v>2</v>
      </c>
      <c r="J3204" s="6" t="n">
        <v>5.8</v>
      </c>
      <c r="K3204" s="6" t="n">
        <v>121.3195281</v>
      </c>
      <c r="L3204" s="6">
        <f>I3204*K3204</f>
        <v/>
      </c>
      <c r="M3204" s="6">
        <f>K3204*4</f>
        <v/>
      </c>
      <c r="N3204" s="6" t="n">
        <v>550</v>
      </c>
    </row>
    <row r="3205">
      <c r="A3205" s="1" t="inlineStr">
        <is>
          <t>66593bc296789</t>
        </is>
      </c>
      <c r="B3205" s="1" t="n"/>
      <c r="C3205" s="1" t="inlineStr">
        <is>
          <t>6</t>
        </is>
      </c>
      <c r="D3205" s="1" t="inlineStr">
        <is>
          <t>10/02/2026</t>
        </is>
      </c>
      <c r="E3205" s="1" t="n">
        <v>2026</v>
      </c>
      <c r="F3205" s="1" t="inlineStr">
        <is>
          <t>FEBRERO</t>
        </is>
      </c>
      <c r="G3205" s="1" t="inlineStr">
        <is>
          <t>HAIFENG</t>
        </is>
      </c>
      <c r="H3205" s="1" t="inlineStr">
        <is>
          <t>HAIFENG 10/02/2026</t>
        </is>
      </c>
      <c r="I3205" s="4" t="n">
        <v>2</v>
      </c>
      <c r="J3205" s="6" t="n">
        <v>5.8</v>
      </c>
      <c r="K3205" s="6" t="n">
        <v>122.1972772</v>
      </c>
      <c r="L3205" s="6">
        <f>I3205*K3205</f>
        <v/>
      </c>
      <c r="M3205" s="6">
        <f>K3205*4</f>
        <v/>
      </c>
      <c r="N3205" s="6" t="n">
        <v>550</v>
      </c>
    </row>
    <row r="3206">
      <c r="A3206" s="1" t="inlineStr">
        <is>
          <t>66593bc296789</t>
        </is>
      </c>
      <c r="B3206" s="1" t="inlineStr">
        <is>
          <t>ANILLO LOVE MZ SILVER</t>
        </is>
      </c>
      <c r="C3206" s="1" t="inlineStr">
        <is>
          <t>6</t>
        </is>
      </c>
      <c r="D3206" s="1" t="inlineStr">
        <is>
          <t>11/03/2026</t>
        </is>
      </c>
      <c r="E3206" s="1" t="n">
        <v>2026</v>
      </c>
      <c r="F3206" s="1" t="inlineStr">
        <is>
          <t>MARZO</t>
        </is>
      </c>
      <c r="G3206" s="1" t="inlineStr">
        <is>
          <t>HAIFENG</t>
        </is>
      </c>
      <c r="H3206" s="1" t="inlineStr">
        <is>
          <t>HAIFENG 11/03/2026</t>
        </is>
      </c>
      <c r="I3206" s="4" t="n">
        <v>4</v>
      </c>
      <c r="J3206" s="6" t="n">
        <v>5.8</v>
      </c>
      <c r="K3206" s="6" t="n">
        <v>123.562598</v>
      </c>
      <c r="L3206" s="6">
        <f>I3206*K3206</f>
        <v/>
      </c>
      <c r="M3206" s="6">
        <f>K3206*4</f>
        <v/>
      </c>
      <c r="N3206" s="6" t="n">
        <v>550</v>
      </c>
    </row>
    <row r="3207">
      <c r="A3207" s="1" t="inlineStr">
        <is>
          <t>66593bc3186e1</t>
        </is>
      </c>
      <c r="B3207" s="1" t="n"/>
      <c r="C3207" s="1" t="inlineStr">
        <is>
          <t>7</t>
        </is>
      </c>
      <c r="D3207" s="1" t="inlineStr">
        <is>
          <t>10/02/2026</t>
        </is>
      </c>
      <c r="E3207" s="1" t="n">
        <v>2026</v>
      </c>
      <c r="F3207" s="1" t="inlineStr">
        <is>
          <t>FEBRERO</t>
        </is>
      </c>
      <c r="G3207" s="1" t="inlineStr">
        <is>
          <t>HAIFENG</t>
        </is>
      </c>
      <c r="H3207" s="1" t="inlineStr">
        <is>
          <t>HAIFENG 10/02/2026</t>
        </is>
      </c>
      <c r="I3207" s="4" t="n">
        <v>2</v>
      </c>
      <c r="J3207" s="6" t="n">
        <v>5.8</v>
      </c>
      <c r="K3207" s="6" t="n">
        <v>122.1972772</v>
      </c>
      <c r="L3207" s="6">
        <f>I3207*K3207</f>
        <v/>
      </c>
      <c r="M3207" s="6">
        <f>K3207*4</f>
        <v/>
      </c>
      <c r="N3207" s="6" t="n">
        <v>550</v>
      </c>
    </row>
    <row r="3208">
      <c r="A3208" s="1" t="inlineStr">
        <is>
          <t>66593bc3186e1</t>
        </is>
      </c>
      <c r="B3208" s="1" t="inlineStr">
        <is>
          <t>ANILLO LOVE MZ GOLD</t>
        </is>
      </c>
      <c r="C3208" s="1" t="inlineStr">
        <is>
          <t>7</t>
        </is>
      </c>
      <c r="D3208" s="1" t="inlineStr">
        <is>
          <t>16/04/2026</t>
        </is>
      </c>
      <c r="E3208" s="1" t="n">
        <v>2026</v>
      </c>
      <c r="F3208" s="1" t="inlineStr">
        <is>
          <t>ABRIL</t>
        </is>
      </c>
      <c r="G3208" s="1" t="inlineStr">
        <is>
          <t>HAIFENG</t>
        </is>
      </c>
      <c r="H3208" s="1" t="inlineStr">
        <is>
          <t>HAIFENG 16/04/2026</t>
        </is>
      </c>
      <c r="I3208" s="4" t="n">
        <v>1</v>
      </c>
      <c r="J3208" s="6" t="n">
        <v>5.8</v>
      </c>
      <c r="K3208" s="6" t="n">
        <v>121.9825468</v>
      </c>
      <c r="L3208" s="6">
        <f>I3208*K3208</f>
        <v/>
      </c>
      <c r="M3208" s="6">
        <f>K3208*4</f>
        <v/>
      </c>
      <c r="N3208" s="6" t="n">
        <v>550</v>
      </c>
    </row>
    <row r="3209">
      <c r="A3209" s="1" t="inlineStr">
        <is>
          <t>66593bc339714</t>
        </is>
      </c>
      <c r="B3209" s="1" t="inlineStr">
        <is>
          <t>ANILLO LOVE MZ SILVER</t>
        </is>
      </c>
      <c r="C3209" s="1" t="inlineStr">
        <is>
          <t>7</t>
        </is>
      </c>
      <c r="D3209" s="1" t="inlineStr">
        <is>
          <t>01/09/2025</t>
        </is>
      </c>
      <c r="E3209" s="1" t="n">
        <v>2025</v>
      </c>
      <c r="F3209" s="1" t="inlineStr">
        <is>
          <t>SEPTIEMBRE</t>
        </is>
      </c>
      <c r="G3209" s="1" t="inlineStr">
        <is>
          <t>HAIFENG</t>
        </is>
      </c>
      <c r="H3209" s="1" t="inlineStr">
        <is>
          <t>HAIFENG 01/09/2025</t>
        </is>
      </c>
      <c r="I3209" s="4" t="n">
        <v>4</v>
      </c>
      <c r="J3209" s="6" t="n">
        <v>5.8</v>
      </c>
      <c r="K3209" s="6" t="n">
        <v>123.2828922</v>
      </c>
      <c r="L3209" s="6">
        <f>I3209*K3209</f>
        <v/>
      </c>
      <c r="M3209" s="6">
        <f>K3209*4</f>
        <v/>
      </c>
      <c r="N3209" s="6" t="n">
        <v>550</v>
      </c>
    </row>
    <row r="3210">
      <c r="A3210" s="1" t="inlineStr">
        <is>
          <t>66593bc339714</t>
        </is>
      </c>
      <c r="B3210" s="1" t="inlineStr">
        <is>
          <t>ANILLO LOVE MZ SILVER</t>
        </is>
      </c>
      <c r="C3210" s="1" t="inlineStr">
        <is>
          <t>7</t>
        </is>
      </c>
      <c r="D3210" s="1" t="inlineStr">
        <is>
          <t>11/11/2025</t>
        </is>
      </c>
      <c r="E3210" s="1" t="n">
        <v>2025</v>
      </c>
      <c r="F3210" s="1" t="inlineStr">
        <is>
          <t>NOVIEMBRE</t>
        </is>
      </c>
      <c r="G3210" s="1" t="inlineStr">
        <is>
          <t>HAIFENG</t>
        </is>
      </c>
      <c r="H3210" s="1" t="inlineStr">
        <is>
          <t>HAIFENG 11/11/2025</t>
        </is>
      </c>
      <c r="I3210" s="4" t="n">
        <v>1</v>
      </c>
      <c r="J3210" s="6" t="n">
        <v>5.8</v>
      </c>
      <c r="K3210" s="6" t="n">
        <v>122.150891</v>
      </c>
      <c r="L3210" s="6">
        <f>I3210*K3210</f>
        <v/>
      </c>
      <c r="M3210" s="6">
        <f>K3210*4</f>
        <v/>
      </c>
      <c r="N3210" s="6" t="n">
        <v>550</v>
      </c>
    </row>
    <row r="3211">
      <c r="A3211" s="1" t="inlineStr">
        <is>
          <t>66593bc339714</t>
        </is>
      </c>
      <c r="B3211" s="1" t="inlineStr">
        <is>
          <t>ANILLO LOVE MZ SILVER</t>
        </is>
      </c>
      <c r="C3211" s="1" t="inlineStr">
        <is>
          <t>7</t>
        </is>
      </c>
      <c r="D3211" s="1" t="inlineStr">
        <is>
          <t>03/12/2025</t>
        </is>
      </c>
      <c r="E3211" s="1" t="n">
        <v>2025</v>
      </c>
      <c r="F3211" s="1" t="inlineStr">
        <is>
          <t>DICIEMBRE</t>
        </is>
      </c>
      <c r="G3211" s="1" t="inlineStr">
        <is>
          <t>HAIFENG</t>
        </is>
      </c>
      <c r="H3211" s="1" t="inlineStr">
        <is>
          <t>HAIFENG 03/12/2025</t>
        </is>
      </c>
      <c r="I3211" s="4" t="n">
        <v>3</v>
      </c>
      <c r="J3211" s="6" t="n">
        <v>5.8</v>
      </c>
      <c r="K3211" s="6" t="n">
        <v>121.3195281</v>
      </c>
      <c r="L3211" s="6">
        <f>I3211*K3211</f>
        <v/>
      </c>
      <c r="M3211" s="6">
        <f>K3211*4</f>
        <v/>
      </c>
      <c r="N3211" s="6" t="n">
        <v>550</v>
      </c>
    </row>
    <row r="3212">
      <c r="A3212" s="1" t="inlineStr">
        <is>
          <t>66593bc339714</t>
        </is>
      </c>
      <c r="B3212" s="1" t="inlineStr">
        <is>
          <t>ANILLO LOVE MZ SILVER</t>
        </is>
      </c>
      <c r="C3212" s="1" t="inlineStr">
        <is>
          <t>7</t>
        </is>
      </c>
      <c r="D3212" s="1" t="inlineStr">
        <is>
          <t>16/04/2026</t>
        </is>
      </c>
      <c r="E3212" s="1" t="n">
        <v>2026</v>
      </c>
      <c r="F3212" s="1" t="inlineStr">
        <is>
          <t>ABRIL</t>
        </is>
      </c>
      <c r="G3212" s="1" t="inlineStr">
        <is>
          <t>HAIFENG</t>
        </is>
      </c>
      <c r="H3212" s="1" t="inlineStr">
        <is>
          <t>HAIFENG 16/04/2026</t>
        </is>
      </c>
      <c r="I3212" s="4" t="n">
        <v>4</v>
      </c>
      <c r="J3212" s="6" t="n">
        <v>5.8</v>
      </c>
      <c r="K3212" s="6" t="n">
        <v>121.9825468</v>
      </c>
      <c r="L3212" s="6">
        <f>I3212*K3212</f>
        <v/>
      </c>
      <c r="M3212" s="6">
        <f>K3212*4</f>
        <v/>
      </c>
      <c r="N3212" s="6" t="n">
        <v>550</v>
      </c>
    </row>
    <row r="3213">
      <c r="A3213" s="1" t="inlineStr">
        <is>
          <t>66593bc3b73c7</t>
        </is>
      </c>
      <c r="B3213" s="1" t="inlineStr">
        <is>
          <t>ANILLO LOVE MZ GOLD</t>
        </is>
      </c>
      <c r="C3213" s="1" t="inlineStr">
        <is>
          <t>8</t>
        </is>
      </c>
      <c r="D3213" s="1" t="inlineStr">
        <is>
          <t>25/09/2025</t>
        </is>
      </c>
      <c r="E3213" s="1" t="n">
        <v>2025</v>
      </c>
      <c r="F3213" s="1" t="inlineStr">
        <is>
          <t>SEPTIEMBRE</t>
        </is>
      </c>
      <c r="G3213" s="1" t="inlineStr">
        <is>
          <t>HAIFENG</t>
        </is>
      </c>
      <c r="H3213" s="1" t="inlineStr">
        <is>
          <t>HAIFENG 25/09/2025</t>
        </is>
      </c>
      <c r="I3213" s="4" t="n">
        <v>1</v>
      </c>
      <c r="J3213" s="6" t="n">
        <v>5.8</v>
      </c>
      <c r="K3213" s="6" t="n">
        <v>122.3619375</v>
      </c>
      <c r="L3213" s="6">
        <f>I3213*K3213</f>
        <v/>
      </c>
      <c r="M3213" s="6">
        <f>K3213*4</f>
        <v/>
      </c>
      <c r="N3213" s="6" t="n">
        <v>550</v>
      </c>
    </row>
    <row r="3214">
      <c r="A3214" s="1" t="inlineStr">
        <is>
          <t>66593bc3b73c7</t>
        </is>
      </c>
      <c r="B3214" s="1" t="n"/>
      <c r="C3214" s="1" t="inlineStr">
        <is>
          <t>8</t>
        </is>
      </c>
      <c r="D3214" s="1" t="inlineStr">
        <is>
          <t>10/02/2026</t>
        </is>
      </c>
      <c r="E3214" s="1" t="n">
        <v>2026</v>
      </c>
      <c r="F3214" s="1" t="inlineStr">
        <is>
          <t>FEBRERO</t>
        </is>
      </c>
      <c r="G3214" s="1" t="inlineStr">
        <is>
          <t>HAIFENG</t>
        </is>
      </c>
      <c r="H3214" s="1" t="inlineStr">
        <is>
          <t>HAIFENG 10/02/2026</t>
        </is>
      </c>
      <c r="I3214" s="4" t="n">
        <v>3</v>
      </c>
      <c r="J3214" s="6" t="n">
        <v>5.8</v>
      </c>
      <c r="K3214" s="6" t="n">
        <v>122.1972772</v>
      </c>
      <c r="L3214" s="6">
        <f>I3214*K3214</f>
        <v/>
      </c>
      <c r="M3214" s="6">
        <f>K3214*4</f>
        <v/>
      </c>
      <c r="N3214" s="6" t="n">
        <v>550</v>
      </c>
    </row>
    <row r="3215">
      <c r="A3215" s="1" t="inlineStr">
        <is>
          <t>66593bc3b73c7</t>
        </is>
      </c>
      <c r="B3215" s="1" t="inlineStr">
        <is>
          <t>ANILLO LOVE MZ GOLD</t>
        </is>
      </c>
      <c r="C3215" s="1" t="inlineStr">
        <is>
          <t>8</t>
        </is>
      </c>
      <c r="D3215" s="1" t="inlineStr">
        <is>
          <t>06/05/2026</t>
        </is>
      </c>
      <c r="E3215" s="1" t="n">
        <v>2026</v>
      </c>
      <c r="F3215" s="1" t="inlineStr">
        <is>
          <t>MAYO</t>
        </is>
      </c>
      <c r="G3215" s="1" t="inlineStr">
        <is>
          <t>HAIFENG</t>
        </is>
      </c>
      <c r="H3215" s="1" t="inlineStr">
        <is>
          <t>HAIFENG 06/05/2026</t>
        </is>
      </c>
      <c r="I3215" s="4" t="n">
        <v>2</v>
      </c>
      <c r="J3215" s="6" t="n">
        <v>5.8</v>
      </c>
      <c r="K3215" s="6" t="n">
        <v>123.0681251</v>
      </c>
      <c r="L3215" s="6">
        <f>I3215*K3215</f>
        <v/>
      </c>
      <c r="M3215" s="6">
        <f>K3215*4</f>
        <v/>
      </c>
      <c r="N3215" s="6" t="n">
        <v>550</v>
      </c>
    </row>
    <row r="3216">
      <c r="A3216" s="1" t="inlineStr">
        <is>
          <t>66593bc3b73c7</t>
        </is>
      </c>
      <c r="B3216" s="1" t="inlineStr">
        <is>
          <t>ANILLO LOVE MZ GOLD</t>
        </is>
      </c>
      <c r="C3216" s="1" t="inlineStr">
        <is>
          <t>8</t>
        </is>
      </c>
      <c r="D3216" s="1" t="inlineStr">
        <is>
          <t>16/06/2026</t>
        </is>
      </c>
      <c r="E3216" s="1" t="n">
        <v>2026</v>
      </c>
      <c r="F3216" s="1" t="inlineStr">
        <is>
          <t>JUNIO</t>
        </is>
      </c>
      <c r="G3216" s="1" t="inlineStr">
        <is>
          <t>HAIFENG</t>
        </is>
      </c>
      <c r="H3216" s="1" t="inlineStr">
        <is>
          <t>HAIFENG 16/06/2026</t>
        </is>
      </c>
      <c r="I3216" s="4" t="n">
        <v>1</v>
      </c>
      <c r="J3216" s="6" t="n">
        <v>5.8</v>
      </c>
      <c r="K3216" s="6" t="n">
        <v>121.8847175</v>
      </c>
      <c r="L3216" s="6">
        <f>I3216*K3216</f>
        <v/>
      </c>
      <c r="M3216" s="6">
        <f>K3216*4</f>
        <v/>
      </c>
      <c r="N3216" s="6" t="n">
        <v>550</v>
      </c>
    </row>
    <row r="3217">
      <c r="A3217" s="1" t="inlineStr">
        <is>
          <t>66593bc3df025</t>
        </is>
      </c>
      <c r="B3217" s="1" t="inlineStr">
        <is>
          <t>ANILLO LOVE MZ SILVER</t>
        </is>
      </c>
      <c r="C3217" s="1" t="inlineStr">
        <is>
          <t>8</t>
        </is>
      </c>
      <c r="D3217" s="1" t="inlineStr">
        <is>
          <t>01/09/2025</t>
        </is>
      </c>
      <c r="E3217" s="1" t="n">
        <v>2025</v>
      </c>
      <c r="F3217" s="1" t="inlineStr">
        <is>
          <t>SEPTIEMBRE</t>
        </is>
      </c>
      <c r="G3217" s="1" t="inlineStr">
        <is>
          <t>HAIFENG</t>
        </is>
      </c>
      <c r="H3217" s="1" t="inlineStr">
        <is>
          <t>HAIFENG 01/09/2025</t>
        </is>
      </c>
      <c r="I3217" s="4" t="n">
        <v>4</v>
      </c>
      <c r="J3217" s="6" t="n">
        <v>5.8</v>
      </c>
      <c r="K3217" s="6" t="n">
        <v>123.2828922</v>
      </c>
      <c r="L3217" s="6">
        <f>I3217*K3217</f>
        <v/>
      </c>
      <c r="M3217" s="6">
        <f>K3217*4</f>
        <v/>
      </c>
      <c r="N3217" s="6" t="n">
        <v>550</v>
      </c>
    </row>
    <row r="3218">
      <c r="A3218" s="1" t="inlineStr">
        <is>
          <t>66593bc3df025</t>
        </is>
      </c>
      <c r="B3218" s="1" t="n"/>
      <c r="C3218" s="1" t="inlineStr">
        <is>
          <t>8</t>
        </is>
      </c>
      <c r="D3218" s="1" t="inlineStr">
        <is>
          <t>10/02/2026</t>
        </is>
      </c>
      <c r="E3218" s="1" t="n">
        <v>2026</v>
      </c>
      <c r="F3218" s="1" t="inlineStr">
        <is>
          <t>FEBRERO</t>
        </is>
      </c>
      <c r="G3218" s="1" t="inlineStr">
        <is>
          <t>HAIFENG</t>
        </is>
      </c>
      <c r="H3218" s="1" t="inlineStr">
        <is>
          <t>HAIFENG 10/02/2026</t>
        </is>
      </c>
      <c r="I3218" s="4" t="n">
        <v>3</v>
      </c>
      <c r="J3218" s="6" t="n">
        <v>5.8</v>
      </c>
      <c r="K3218" s="6" t="n">
        <v>122.1972772</v>
      </c>
      <c r="L3218" s="6">
        <f>I3218*K3218</f>
        <v/>
      </c>
      <c r="M3218" s="6">
        <f>K3218*4</f>
        <v/>
      </c>
      <c r="N3218" s="6" t="n">
        <v>550</v>
      </c>
    </row>
    <row r="3219">
      <c r="A3219" s="1" t="inlineStr">
        <is>
          <t>66593bc3df025</t>
        </is>
      </c>
      <c r="B3219" s="1" t="inlineStr">
        <is>
          <t>ANILLO LOVE MZ SILVER</t>
        </is>
      </c>
      <c r="C3219" s="1" t="inlineStr">
        <is>
          <t>8</t>
        </is>
      </c>
      <c r="D3219" s="1" t="inlineStr">
        <is>
          <t>26/05/2026</t>
        </is>
      </c>
      <c r="E3219" s="1" t="n">
        <v>2026</v>
      </c>
      <c r="F3219" s="1" t="inlineStr">
        <is>
          <t>MAYO</t>
        </is>
      </c>
      <c r="G3219" s="1" t="inlineStr">
        <is>
          <t>HAIFENG</t>
        </is>
      </c>
      <c r="H3219" s="1" t="inlineStr">
        <is>
          <t>HAIFENG 26/05/2026</t>
        </is>
      </c>
      <c r="I3219" s="4" t="n">
        <v>3</v>
      </c>
      <c r="J3219" s="6" t="n">
        <v>5.8</v>
      </c>
      <c r="K3219" s="6" t="n">
        <v>121.7379127</v>
      </c>
      <c r="L3219" s="6">
        <f>I3219*K3219</f>
        <v/>
      </c>
      <c r="M3219" s="6">
        <f>K3219*4</f>
        <v/>
      </c>
      <c r="N3219" s="6" t="n">
        <v>550</v>
      </c>
    </row>
    <row r="3220">
      <c r="A3220" s="1" t="inlineStr">
        <is>
          <t>66593bc4595bd</t>
        </is>
      </c>
      <c r="B3220" s="1" t="inlineStr">
        <is>
          <t>ANILLO LOVE MZ GOLD</t>
        </is>
      </c>
      <c r="C3220" s="1" t="inlineStr">
        <is>
          <t>9</t>
        </is>
      </c>
      <c r="D3220" s="1" t="inlineStr">
        <is>
          <t>01/09/2025</t>
        </is>
      </c>
      <c r="E3220" s="1" t="n">
        <v>2025</v>
      </c>
      <c r="F3220" s="1" t="inlineStr">
        <is>
          <t>SEPTIEMBRE</t>
        </is>
      </c>
      <c r="G3220" s="1" t="inlineStr">
        <is>
          <t>HAIFENG</t>
        </is>
      </c>
      <c r="H3220" s="1" t="inlineStr">
        <is>
          <t>HAIFENG 01/09/2025</t>
        </is>
      </c>
      <c r="I3220" s="4" t="n">
        <v>2</v>
      </c>
      <c r="J3220" s="6" t="n">
        <v>5.8</v>
      </c>
      <c r="K3220" s="6" t="n">
        <v>123.2828922</v>
      </c>
      <c r="L3220" s="6">
        <f>I3220*K3220</f>
        <v/>
      </c>
      <c r="M3220" s="6">
        <f>K3220*4</f>
        <v/>
      </c>
      <c r="N3220" s="6" t="n">
        <v>550</v>
      </c>
    </row>
    <row r="3221">
      <c r="A3221" s="1" t="inlineStr">
        <is>
          <t>66593bc4595bd</t>
        </is>
      </c>
      <c r="B3221" s="1" t="inlineStr">
        <is>
          <t>ANILLO LOVE MZ GOLD</t>
        </is>
      </c>
      <c r="C3221" s="1" t="inlineStr">
        <is>
          <t>9</t>
        </is>
      </c>
      <c r="D3221" s="1" t="inlineStr">
        <is>
          <t>26/05/2026</t>
        </is>
      </c>
      <c r="E3221" s="1" t="n">
        <v>2026</v>
      </c>
      <c r="F3221" s="1" t="inlineStr">
        <is>
          <t>MAYO</t>
        </is>
      </c>
      <c r="G3221" s="1" t="inlineStr">
        <is>
          <t>HAIFENG</t>
        </is>
      </c>
      <c r="H3221" s="1" t="inlineStr">
        <is>
          <t>HAIFENG 26/05/2026</t>
        </is>
      </c>
      <c r="I3221" s="4" t="n">
        <v>2</v>
      </c>
      <c r="J3221" s="6" t="n">
        <v>5.8</v>
      </c>
      <c r="K3221" s="6" t="n">
        <v>121.7379127</v>
      </c>
      <c r="L3221" s="6">
        <f>I3221*K3221</f>
        <v/>
      </c>
      <c r="M3221" s="6">
        <f>K3221*4</f>
        <v/>
      </c>
      <c r="N3221" s="6" t="n">
        <v>550</v>
      </c>
    </row>
    <row r="3222">
      <c r="A3222" s="1" t="inlineStr">
        <is>
          <t>66593bc48c52f</t>
        </is>
      </c>
      <c r="B3222" s="1" t="inlineStr">
        <is>
          <t>ANILLO LOVE MZ SILVER</t>
        </is>
      </c>
      <c r="C3222" s="1" t="inlineStr">
        <is>
          <t>9</t>
        </is>
      </c>
      <c r="D3222" s="1" t="inlineStr">
        <is>
          <t>01/09/2025</t>
        </is>
      </c>
      <c r="E3222" s="1" t="n">
        <v>2025</v>
      </c>
      <c r="F3222" s="1" t="inlineStr">
        <is>
          <t>SEPTIEMBRE</t>
        </is>
      </c>
      <c r="G3222" s="1" t="inlineStr">
        <is>
          <t>HAIFENG</t>
        </is>
      </c>
      <c r="H3222" s="1" t="inlineStr">
        <is>
          <t>HAIFENG 01/09/2025</t>
        </is>
      </c>
      <c r="I3222" s="4" t="n">
        <v>4</v>
      </c>
      <c r="J3222" s="6" t="n">
        <v>5.8</v>
      </c>
      <c r="K3222" s="6" t="n">
        <v>123.2828922</v>
      </c>
      <c r="L3222" s="6">
        <f>I3222*K3222</f>
        <v/>
      </c>
      <c r="M3222" s="6">
        <f>K3222*4</f>
        <v/>
      </c>
      <c r="N3222" s="6" t="n">
        <v>550</v>
      </c>
    </row>
    <row r="3223">
      <c r="A3223" s="1" t="inlineStr">
        <is>
          <t>66593bc48c52f</t>
        </is>
      </c>
      <c r="B3223" s="1" t="inlineStr">
        <is>
          <t>ANILLO LOVE MZ SILVER</t>
        </is>
      </c>
      <c r="C3223" s="1" t="inlineStr">
        <is>
          <t>9</t>
        </is>
      </c>
      <c r="D3223" s="1" t="inlineStr">
        <is>
          <t>16/04/2026</t>
        </is>
      </c>
      <c r="E3223" s="1" t="n">
        <v>2026</v>
      </c>
      <c r="F3223" s="1" t="inlineStr">
        <is>
          <t>ABRIL</t>
        </is>
      </c>
      <c r="G3223" s="1" t="inlineStr">
        <is>
          <t>HAIFENG</t>
        </is>
      </c>
      <c r="H3223" s="1" t="inlineStr">
        <is>
          <t>HAIFENG 16/04/2026</t>
        </is>
      </c>
      <c r="I3223" s="4" t="n">
        <v>1</v>
      </c>
      <c r="J3223" s="6" t="n">
        <v>5.8</v>
      </c>
      <c r="K3223" s="6" t="n">
        <v>121.9825468</v>
      </c>
      <c r="L3223" s="6">
        <f>I3223*K3223</f>
        <v/>
      </c>
      <c r="M3223" s="6">
        <f>K3223*4</f>
        <v/>
      </c>
      <c r="N3223" s="6" t="n">
        <v>550</v>
      </c>
    </row>
    <row r="3224">
      <c r="A3224" s="1" t="inlineStr">
        <is>
          <t>66593bc48c52f</t>
        </is>
      </c>
      <c r="B3224" s="1" t="inlineStr">
        <is>
          <t>ANILLO LOVE MZ SILVER</t>
        </is>
      </c>
      <c r="C3224" s="1" t="inlineStr">
        <is>
          <t>9</t>
        </is>
      </c>
      <c r="D3224" s="1" t="inlineStr">
        <is>
          <t>16/06/2026</t>
        </is>
      </c>
      <c r="E3224" s="1" t="n">
        <v>2026</v>
      </c>
      <c r="F3224" s="1" t="inlineStr">
        <is>
          <t>JUNIO</t>
        </is>
      </c>
      <c r="G3224" s="1" t="inlineStr">
        <is>
          <t>HAIFENG</t>
        </is>
      </c>
      <c r="H3224" s="1" t="inlineStr">
        <is>
          <t>HAIFENG 16/06/2026</t>
        </is>
      </c>
      <c r="I3224" s="4" t="n">
        <v>1</v>
      </c>
      <c r="J3224" s="6" t="n">
        <v>5.8</v>
      </c>
      <c r="K3224" s="6" t="n">
        <v>121.8847175</v>
      </c>
      <c r="L3224" s="6">
        <f>I3224*K3224</f>
        <v/>
      </c>
      <c r="M3224" s="6">
        <f>K3224*4</f>
        <v/>
      </c>
      <c r="N3224" s="6" t="n">
        <v>550</v>
      </c>
    </row>
    <row r="3225">
      <c r="A3225" s="1" t="inlineStr">
        <is>
          <t>66593bc501571</t>
        </is>
      </c>
      <c r="B3225" s="1" t="inlineStr">
        <is>
          <t>ANILLO LOVE MZ GOLD</t>
        </is>
      </c>
      <c r="C3225" s="1" t="inlineStr">
        <is>
          <t>10</t>
        </is>
      </c>
      <c r="D3225" s="1" t="inlineStr">
        <is>
          <t>06/05/2026</t>
        </is>
      </c>
      <c r="E3225" s="1" t="n">
        <v>2026</v>
      </c>
      <c r="F3225" s="1" t="inlineStr">
        <is>
          <t>MAYO</t>
        </is>
      </c>
      <c r="G3225" s="1" t="inlineStr">
        <is>
          <t>HAIFENG</t>
        </is>
      </c>
      <c r="H3225" s="1" t="inlineStr">
        <is>
          <t>HAIFENG 06/05/2026</t>
        </is>
      </c>
      <c r="I3225" s="4" t="n">
        <v>3</v>
      </c>
      <c r="J3225" s="6" t="n">
        <v>5.8</v>
      </c>
      <c r="K3225" s="6" t="n">
        <v>123.0681251</v>
      </c>
      <c r="L3225" s="6">
        <f>I3225*K3225</f>
        <v/>
      </c>
      <c r="M3225" s="6">
        <f>K3225*4</f>
        <v/>
      </c>
      <c r="N3225" s="6" t="n">
        <v>550</v>
      </c>
    </row>
    <row r="3226">
      <c r="A3226" s="1" t="inlineStr">
        <is>
          <t>66593bc531d7c</t>
        </is>
      </c>
      <c r="B3226" s="1" t="inlineStr">
        <is>
          <t>ANILLO LOVE MZ SILVER</t>
        </is>
      </c>
      <c r="C3226" s="1" t="inlineStr">
        <is>
          <t>10</t>
        </is>
      </c>
      <c r="D3226" s="1" t="inlineStr">
        <is>
          <t>01/09/2025</t>
        </is>
      </c>
      <c r="E3226" s="1" t="n">
        <v>2025</v>
      </c>
      <c r="F3226" s="1" t="inlineStr">
        <is>
          <t>SEPTIEMBRE</t>
        </is>
      </c>
      <c r="G3226" s="1" t="inlineStr">
        <is>
          <t>HAIFENG</t>
        </is>
      </c>
      <c r="H3226" s="1" t="inlineStr">
        <is>
          <t>HAIFENG 01/09/2025</t>
        </is>
      </c>
      <c r="I3226" s="4" t="n">
        <v>3</v>
      </c>
      <c r="J3226" s="6" t="n">
        <v>5.8</v>
      </c>
      <c r="K3226" s="6" t="n">
        <v>123.2828922</v>
      </c>
      <c r="L3226" s="6">
        <f>I3226*K3226</f>
        <v/>
      </c>
      <c r="M3226" s="6">
        <f>K3226*4</f>
        <v/>
      </c>
      <c r="N3226" s="6" t="n">
        <v>550</v>
      </c>
    </row>
    <row r="3227">
      <c r="A3227" s="1" t="inlineStr">
        <is>
          <t>66593bc531d7c</t>
        </is>
      </c>
      <c r="B3227" s="1" t="inlineStr">
        <is>
          <t>ANILLO LOVE MZ SILVER</t>
        </is>
      </c>
      <c r="C3227" s="1" t="inlineStr">
        <is>
          <t>10</t>
        </is>
      </c>
      <c r="D3227" s="1" t="inlineStr">
        <is>
          <t>03/12/2025</t>
        </is>
      </c>
      <c r="E3227" s="1" t="n">
        <v>2025</v>
      </c>
      <c r="F3227" s="1" t="inlineStr">
        <is>
          <t>DICIEMBRE</t>
        </is>
      </c>
      <c r="G3227" s="1" t="inlineStr">
        <is>
          <t>HAIFENG</t>
        </is>
      </c>
      <c r="H3227" s="1" t="inlineStr">
        <is>
          <t>HAIFENG 03/12/2025</t>
        </is>
      </c>
      <c r="I3227" s="4" t="n">
        <v>2</v>
      </c>
      <c r="J3227" s="6" t="n">
        <v>5.8</v>
      </c>
      <c r="K3227" s="6" t="n">
        <v>121.3195281</v>
      </c>
      <c r="L3227" s="6">
        <f>I3227*K3227</f>
        <v/>
      </c>
      <c r="M3227" s="6">
        <f>K3227*4</f>
        <v/>
      </c>
      <c r="N3227" s="6" t="n">
        <v>550</v>
      </c>
    </row>
    <row r="3228">
      <c r="A3228" s="1" t="inlineStr">
        <is>
          <t>66593bc531d7c</t>
        </is>
      </c>
      <c r="B3228" s="1" t="n"/>
      <c r="C3228" s="1" t="inlineStr">
        <is>
          <t>10</t>
        </is>
      </c>
      <c r="D3228" s="1" t="inlineStr">
        <is>
          <t>10/02/2026</t>
        </is>
      </c>
      <c r="E3228" s="1" t="n">
        <v>2026</v>
      </c>
      <c r="F3228" s="1" t="inlineStr">
        <is>
          <t>FEBRERO</t>
        </is>
      </c>
      <c r="G3228" s="1" t="inlineStr">
        <is>
          <t>HAIFENG</t>
        </is>
      </c>
      <c r="H3228" s="1" t="inlineStr">
        <is>
          <t>HAIFENG 10/02/2026</t>
        </is>
      </c>
      <c r="I3228" s="4" t="n">
        <v>1</v>
      </c>
      <c r="J3228" s="6" t="n">
        <v>5.8</v>
      </c>
      <c r="K3228" s="6" t="n">
        <v>122.1972772</v>
      </c>
      <c r="L3228" s="6">
        <f>I3228*K3228</f>
        <v/>
      </c>
      <c r="M3228" s="6">
        <f>K3228*4</f>
        <v/>
      </c>
      <c r="N3228" s="6" t="n">
        <v>550</v>
      </c>
    </row>
    <row r="3229">
      <c r="A3229" s="1" t="inlineStr">
        <is>
          <t>66593bc59b5a1</t>
        </is>
      </c>
      <c r="B3229" s="1" t="inlineStr">
        <is>
          <t>ANILLO LOVE MZ GOLD</t>
        </is>
      </c>
      <c r="C3229" s="1" t="inlineStr">
        <is>
          <t>11</t>
        </is>
      </c>
      <c r="D3229" s="1" t="inlineStr">
        <is>
          <t>25/09/2025</t>
        </is>
      </c>
      <c r="E3229" s="1" t="n">
        <v>2025</v>
      </c>
      <c r="F3229" s="1" t="inlineStr">
        <is>
          <t>SEPTIEMBRE</t>
        </is>
      </c>
      <c r="G3229" s="1" t="inlineStr">
        <is>
          <t>HAIFENG</t>
        </is>
      </c>
      <c r="H3229" s="1" t="inlineStr">
        <is>
          <t>HAIFENG 25/09/2025</t>
        </is>
      </c>
      <c r="I3229" s="4" t="n">
        <v>3</v>
      </c>
      <c r="J3229" s="6" t="n">
        <v>5.8</v>
      </c>
      <c r="K3229" s="6" t="n">
        <v>122.3619375</v>
      </c>
      <c r="L3229" s="6">
        <f>I3229*K3229</f>
        <v/>
      </c>
      <c r="M3229" s="6">
        <f>K3229*4</f>
        <v/>
      </c>
      <c r="N3229" s="6" t="n">
        <v>550</v>
      </c>
    </row>
    <row r="3230">
      <c r="A3230" s="1" t="inlineStr">
        <is>
          <t>66593bc5d26f2</t>
        </is>
      </c>
      <c r="B3230" s="1" t="inlineStr">
        <is>
          <t>ANILLO LOVE MZ SILVER</t>
        </is>
      </c>
      <c r="C3230" s="1" t="inlineStr">
        <is>
          <t>11</t>
        </is>
      </c>
      <c r="D3230" s="1" t="inlineStr">
        <is>
          <t>01/09/2025</t>
        </is>
      </c>
      <c r="E3230" s="1" t="n">
        <v>2025</v>
      </c>
      <c r="F3230" s="1" t="inlineStr">
        <is>
          <t>SEPTIEMBRE</t>
        </is>
      </c>
      <c r="G3230" s="1" t="inlineStr">
        <is>
          <t>HAIFENG</t>
        </is>
      </c>
      <c r="H3230" s="1" t="inlineStr">
        <is>
          <t>HAIFENG 01/09/2025</t>
        </is>
      </c>
      <c r="I3230" s="4" t="n">
        <v>3</v>
      </c>
      <c r="J3230" s="6" t="n">
        <v>5.8</v>
      </c>
      <c r="K3230" s="6" t="n">
        <v>123.2828922</v>
      </c>
      <c r="L3230" s="6">
        <f>I3230*K3230</f>
        <v/>
      </c>
      <c r="M3230" s="6">
        <f>K3230*4</f>
        <v/>
      </c>
      <c r="N3230" s="6" t="n">
        <v>550</v>
      </c>
    </row>
    <row r="3231">
      <c r="A3231" s="1" t="inlineStr">
        <is>
          <t>66593bca3c26c</t>
        </is>
      </c>
      <c r="B3231" s="1" t="inlineStr">
        <is>
          <t>ANILLO LOVE ROSE GOLD ANCHO CON ZIRCONIA (WIDHT WITH ZIRCONIAS)</t>
        </is>
      </c>
      <c r="C3231" s="1" t="inlineStr">
        <is>
          <t>10</t>
        </is>
      </c>
      <c r="D3231" s="1" t="inlineStr">
        <is>
          <t>16/04/2026</t>
        </is>
      </c>
      <c r="E3231" s="1" t="n">
        <v>2026</v>
      </c>
      <c r="F3231" s="1" t="inlineStr">
        <is>
          <t>ABRIL</t>
        </is>
      </c>
      <c r="G3231" s="1" t="inlineStr">
        <is>
          <t>HAIFENG</t>
        </is>
      </c>
      <c r="H3231" s="1" t="inlineStr">
        <is>
          <t>HAIFENG 16/04/2026</t>
        </is>
      </c>
      <c r="I3231" s="4" t="n">
        <v>1</v>
      </c>
      <c r="J3231" s="6" t="n">
        <v>1.8</v>
      </c>
      <c r="K3231" s="6" t="n">
        <v>37.85665246</v>
      </c>
      <c r="L3231" s="6">
        <f>I3231*K3231</f>
        <v/>
      </c>
      <c r="M3231" s="6">
        <f>K3231*4</f>
        <v/>
      </c>
      <c r="N3231" s="6" t="n">
        <v>400</v>
      </c>
    </row>
    <row r="3232">
      <c r="A3232" s="1" t="inlineStr">
        <is>
          <t>66593bcedcf0c</t>
        </is>
      </c>
      <c r="B3232" s="1" t="inlineStr">
        <is>
          <t>ANILLO LOVE SILVER ANCHO CON ZIRCONIA</t>
        </is>
      </c>
      <c r="C3232" s="1" t="inlineStr">
        <is>
          <t>7</t>
        </is>
      </c>
      <c r="D3232" s="1" t="inlineStr">
        <is>
          <t>06/05/2026</t>
        </is>
      </c>
      <c r="E3232" s="1" t="n">
        <v>2026</v>
      </c>
      <c r="F3232" s="1" t="inlineStr">
        <is>
          <t>MAYO</t>
        </is>
      </c>
      <c r="G3232" s="1" t="inlineStr">
        <is>
          <t>HAIFENG</t>
        </is>
      </c>
      <c r="H3232" s="1" t="inlineStr">
        <is>
          <t>HAIFENG 06/05/2026</t>
        </is>
      </c>
      <c r="I3232" s="4" t="n">
        <v>2</v>
      </c>
      <c r="J3232" s="6" t="n">
        <v>1.8</v>
      </c>
      <c r="K3232" s="6" t="n">
        <v>38.19355608</v>
      </c>
      <c r="L3232" s="6">
        <f>I3232*K3232</f>
        <v/>
      </c>
      <c r="M3232" s="6">
        <f>K3232*4</f>
        <v/>
      </c>
      <c r="N3232" s="6" t="n">
        <v>292</v>
      </c>
    </row>
    <row r="3233">
      <c r="A3233" s="1" t="inlineStr">
        <is>
          <t>66593bcf8df22</t>
        </is>
      </c>
      <c r="B3233" s="1" t="inlineStr">
        <is>
          <t>ANILLO LOVE SILVER ANCHO CON ZIRCONIA</t>
        </is>
      </c>
      <c r="C3233" s="1" t="inlineStr">
        <is>
          <t>8</t>
        </is>
      </c>
      <c r="D3233" s="1" t="inlineStr">
        <is>
          <t>03/12/2025</t>
        </is>
      </c>
      <c r="E3233" s="1" t="n">
        <v>2025</v>
      </c>
      <c r="F3233" s="1" t="inlineStr">
        <is>
          <t>DICIEMBRE</t>
        </is>
      </c>
      <c r="G3233" s="1" t="inlineStr">
        <is>
          <t>HAIFENG</t>
        </is>
      </c>
      <c r="H3233" s="1" t="inlineStr">
        <is>
          <t>HAIFENG 03/12/2025</t>
        </is>
      </c>
      <c r="I3233" s="4" t="n">
        <v>2</v>
      </c>
      <c r="J3233" s="6" t="n">
        <v>1.8</v>
      </c>
      <c r="K3233" s="6" t="n">
        <v>37.65088802</v>
      </c>
      <c r="L3233" s="6">
        <f>I3233*K3233</f>
        <v/>
      </c>
      <c r="M3233" s="6">
        <f>K3233*4</f>
        <v/>
      </c>
      <c r="N3233" s="6" t="n">
        <v>292</v>
      </c>
    </row>
    <row r="3234">
      <c r="A3234" s="1" t="inlineStr">
        <is>
          <t>66593bcf8df22</t>
        </is>
      </c>
      <c r="B3234" s="1" t="inlineStr">
        <is>
          <t>ANILLO LOVE ANCHO CON ZIRCONIA SILVER</t>
        </is>
      </c>
      <c r="C3234" s="1" t="inlineStr">
        <is>
          <t>8</t>
        </is>
      </c>
      <c r="D3234" s="1" t="inlineStr">
        <is>
          <t>06/05/2026</t>
        </is>
      </c>
      <c r="E3234" s="1" t="n">
        <v>2026</v>
      </c>
      <c r="F3234" s="1" t="inlineStr">
        <is>
          <t>MAYO</t>
        </is>
      </c>
      <c r="G3234" s="1" t="inlineStr">
        <is>
          <t>HAIFENG</t>
        </is>
      </c>
      <c r="H3234" s="1" t="inlineStr">
        <is>
          <t>HAIFENG 06/05/2026</t>
        </is>
      </c>
      <c r="I3234" s="4" t="n">
        <v>2</v>
      </c>
      <c r="J3234" s="6" t="n">
        <v>1.8</v>
      </c>
      <c r="K3234" s="6" t="n">
        <v>38.19355608</v>
      </c>
      <c r="L3234" s="6">
        <f>I3234*K3234</f>
        <v/>
      </c>
      <c r="M3234" s="6">
        <f>K3234*4</f>
        <v/>
      </c>
      <c r="N3234" s="6" t="n">
        <v>292</v>
      </c>
    </row>
    <row r="3235">
      <c r="A3235" s="1" t="inlineStr">
        <is>
          <t>66593bcfaca6f</t>
        </is>
      </c>
      <c r="B3235" s="1" t="inlineStr">
        <is>
          <t>ANILLO MM</t>
        </is>
      </c>
      <c r="C3235" s="1" t="inlineStr">
        <is>
          <t>AJUSTABLE</t>
        </is>
      </c>
      <c r="D3235" s="1" t="inlineStr">
        <is>
          <t>06/02/2026</t>
        </is>
      </c>
      <c r="E3235" s="1" t="n">
        <v>2026</v>
      </c>
      <c r="F3235" s="1" t="inlineStr">
        <is>
          <t>FEBRERO</t>
        </is>
      </c>
      <c r="G3235" s="1" t="inlineStr">
        <is>
          <t>DINA DU</t>
        </is>
      </c>
      <c r="H3235" s="1" t="inlineStr">
        <is>
          <t>DINA DU 06/02/2026</t>
        </is>
      </c>
      <c r="I3235" s="4" t="n">
        <v>4</v>
      </c>
      <c r="J3235" s="6" t="n">
        <v>2.79</v>
      </c>
      <c r="K3235" s="6" t="n">
        <v>74.55269475999999</v>
      </c>
      <c r="L3235" s="6">
        <f>I3235*K3235</f>
        <v/>
      </c>
      <c r="M3235" s="6">
        <f>K3235*4</f>
        <v/>
      </c>
      <c r="N3235" s="6" t="n">
        <v>499</v>
      </c>
    </row>
    <row r="3236">
      <c r="A3236" s="1" t="inlineStr">
        <is>
          <t>66593bcfaca6f</t>
        </is>
      </c>
      <c r="B3236" s="1" t="inlineStr">
        <is>
          <t>ANILLO MM</t>
        </is>
      </c>
      <c r="C3236" s="1" t="inlineStr">
        <is>
          <t>AJUSTABLE</t>
        </is>
      </c>
      <c r="D3236" s="1" t="inlineStr">
        <is>
          <t>27/04/2026</t>
        </is>
      </c>
      <c r="E3236" s="1" t="n">
        <v>2026</v>
      </c>
      <c r="F3236" s="1" t="inlineStr">
        <is>
          <t>ABRIL</t>
        </is>
      </c>
      <c r="G3236" s="1" t="inlineStr">
        <is>
          <t>DINA DU</t>
        </is>
      </c>
      <c r="H3236" s="1" t="inlineStr">
        <is>
          <t>DINA DU 27/04/2026</t>
        </is>
      </c>
      <c r="I3236" s="4" t="n">
        <v>5</v>
      </c>
      <c r="J3236" s="6" t="n">
        <v>2.79</v>
      </c>
      <c r="K3236" s="6" t="n">
        <v>75.45363257</v>
      </c>
      <c r="L3236" s="6">
        <f>I3236*K3236</f>
        <v/>
      </c>
      <c r="M3236" s="6">
        <f>K3236*4</f>
        <v/>
      </c>
      <c r="N3236" s="6" t="n">
        <v>499</v>
      </c>
    </row>
    <row r="3237">
      <c r="A3237" s="1" t="inlineStr">
        <is>
          <t>66593bd178f08</t>
        </is>
      </c>
      <c r="B3237" s="1" t="inlineStr">
        <is>
          <t>ANILLO LOVE SILVER ANCHO CON ZIRCONIA</t>
        </is>
      </c>
      <c r="C3237" s="1" t="inlineStr">
        <is>
          <t>11</t>
        </is>
      </c>
      <c r="D3237" s="1" t="inlineStr">
        <is>
          <t>16/06/2026</t>
        </is>
      </c>
      <c r="E3237" s="1" t="n">
        <v>2026</v>
      </c>
      <c r="F3237" s="1" t="inlineStr">
        <is>
          <t>JUNIO</t>
        </is>
      </c>
      <c r="G3237" s="1" t="inlineStr">
        <is>
          <t>HAIFENG</t>
        </is>
      </c>
      <c r="H3237" s="1" t="inlineStr">
        <is>
          <t>HAIFENG 16/06/2026</t>
        </is>
      </c>
      <c r="I3237" s="4" t="n">
        <v>2</v>
      </c>
      <c r="J3237" s="6" t="n">
        <v>1.8</v>
      </c>
      <c r="K3237" s="6" t="n">
        <v>37.82629163</v>
      </c>
      <c r="L3237" s="6">
        <f>I3237*K3237</f>
        <v/>
      </c>
      <c r="M3237" s="6">
        <f>K3237*4</f>
        <v/>
      </c>
      <c r="N3237" s="6" t="n">
        <v>450</v>
      </c>
    </row>
    <row r="3238">
      <c r="A3238" s="1" t="inlineStr">
        <is>
          <t>66593bd6d7885</t>
        </is>
      </c>
      <c r="B3238" s="1" t="inlineStr">
        <is>
          <t>ANILLO PERLEE GOLD</t>
        </is>
      </c>
      <c r="C3238" s="1" t="n">
        <v>6</v>
      </c>
      <c r="D3238" s="1" t="inlineStr">
        <is>
          <t>08/05/2026</t>
        </is>
      </c>
      <c r="E3238" s="1" t="n">
        <v>2026</v>
      </c>
      <c r="F3238" s="1" t="inlineStr">
        <is>
          <t>MAYO</t>
        </is>
      </c>
      <c r="G3238" s="1" t="inlineStr">
        <is>
          <t>NANCY</t>
        </is>
      </c>
      <c r="H3238" s="1" t="inlineStr">
        <is>
          <t>NANCY 08/05/2026</t>
        </is>
      </c>
      <c r="I3238" s="4" t="n">
        <v>3</v>
      </c>
      <c r="J3238" s="6" t="n">
        <v>5.59</v>
      </c>
      <c r="K3238" s="6" t="n">
        <v>132.2468818</v>
      </c>
      <c r="L3238" s="6">
        <f>I3238*K3238</f>
        <v/>
      </c>
      <c r="M3238" s="6">
        <f>K3238*4</f>
        <v/>
      </c>
      <c r="N3238" s="6" t="n">
        <v>499</v>
      </c>
    </row>
    <row r="3239">
      <c r="A3239" s="1" t="inlineStr">
        <is>
          <t>66593bd77de70</t>
        </is>
      </c>
      <c r="B3239" s="1" t="inlineStr">
        <is>
          <t>ANILLO PERLEE GOLD</t>
        </is>
      </c>
      <c r="C3239" s="1" t="n">
        <v>7</v>
      </c>
      <c r="D3239" s="1" t="inlineStr">
        <is>
          <t>01/03/2026</t>
        </is>
      </c>
      <c r="E3239" s="1" t="n">
        <v>2026</v>
      </c>
      <c r="F3239" s="1" t="inlineStr">
        <is>
          <t>MARZO</t>
        </is>
      </c>
      <c r="G3239" s="1" t="inlineStr">
        <is>
          <t>NANCY</t>
        </is>
      </c>
      <c r="H3239" s="1" t="inlineStr">
        <is>
          <t>NANCY 01/03/2026</t>
        </is>
      </c>
      <c r="I3239" s="4" t="n">
        <v>1</v>
      </c>
      <c r="J3239" s="6" t="n">
        <v>5.59</v>
      </c>
      <c r="K3239" s="6" t="n">
        <v>141.4477855</v>
      </c>
      <c r="L3239" s="6">
        <f>I3239*K3239</f>
        <v/>
      </c>
      <c r="M3239" s="6">
        <f>K3239*4</f>
        <v/>
      </c>
      <c r="N3239" s="6" t="n">
        <v>499</v>
      </c>
    </row>
    <row r="3240">
      <c r="A3240" s="1" t="inlineStr">
        <is>
          <t>66593bd77de70</t>
        </is>
      </c>
      <c r="B3240" s="1" t="inlineStr">
        <is>
          <t>ANILLO PERLEE GOLD</t>
        </is>
      </c>
      <c r="C3240" s="1" t="n">
        <v>7</v>
      </c>
      <c r="D3240" s="1" t="inlineStr">
        <is>
          <t>01/04/2026</t>
        </is>
      </c>
      <c r="E3240" s="1" t="n">
        <v>2026</v>
      </c>
      <c r="F3240" s="1" t="inlineStr">
        <is>
          <t>ABRIL</t>
        </is>
      </c>
      <c r="G3240" s="1" t="inlineStr">
        <is>
          <t>NANCY</t>
        </is>
      </c>
      <c r="H3240" s="1" t="inlineStr">
        <is>
          <t>NANCY 01/04/2026</t>
        </is>
      </c>
      <c r="I3240" s="4" t="n">
        <v>2</v>
      </c>
      <c r="J3240" s="6" t="n">
        <v>5.59</v>
      </c>
      <c r="K3240" s="6" t="n">
        <v>133.8274486</v>
      </c>
      <c r="L3240" s="6">
        <f>I3240*K3240</f>
        <v/>
      </c>
      <c r="M3240" s="6">
        <f>K3240*4</f>
        <v/>
      </c>
      <c r="N3240" s="6" t="n">
        <v>499</v>
      </c>
    </row>
    <row r="3241">
      <c r="A3241" s="1" t="inlineStr">
        <is>
          <t>66593be00cc70</t>
        </is>
      </c>
      <c r="B3241" s="1" t="inlineStr">
        <is>
          <t>ANILLO PERLEE ROSEGOLD</t>
        </is>
      </c>
      <c r="C3241" s="1" t="n">
        <v>7</v>
      </c>
      <c r="D3241" s="1" t="inlineStr">
        <is>
          <t>03/12/2025</t>
        </is>
      </c>
      <c r="E3241" s="1" t="n">
        <v>2025</v>
      </c>
      <c r="F3241" s="1" t="inlineStr">
        <is>
          <t>DICIEMBRE</t>
        </is>
      </c>
      <c r="G3241" s="1" t="inlineStr">
        <is>
          <t>NANCY</t>
        </is>
      </c>
      <c r="H3241" s="1" t="inlineStr">
        <is>
          <t>NANCY 03/12/2025</t>
        </is>
      </c>
      <c r="I3241" s="4" t="n">
        <v>2</v>
      </c>
      <c r="J3241" s="6" t="n">
        <v>5.59</v>
      </c>
      <c r="K3241" s="6" t="n">
        <v>132.2411844</v>
      </c>
      <c r="L3241" s="6">
        <f>I3241*K3241</f>
        <v/>
      </c>
      <c r="M3241" s="6">
        <f>K3241*4</f>
        <v/>
      </c>
      <c r="N3241" s="6" t="n">
        <v>760</v>
      </c>
    </row>
    <row r="3242">
      <c r="A3242" s="1" t="inlineStr">
        <is>
          <t>66593be00cc70</t>
        </is>
      </c>
      <c r="B3242" s="1" t="inlineStr">
        <is>
          <t>ANILLO PERLEE ROSEGOLD</t>
        </is>
      </c>
      <c r="C3242" s="1" t="n">
        <v>7</v>
      </c>
      <c r="D3242" s="1" t="inlineStr">
        <is>
          <t>08/05/2026</t>
        </is>
      </c>
      <c r="E3242" s="1" t="n">
        <v>2026</v>
      </c>
      <c r="F3242" s="1" t="inlineStr">
        <is>
          <t>MAYO</t>
        </is>
      </c>
      <c r="G3242" s="1" t="inlineStr">
        <is>
          <t>NANCY</t>
        </is>
      </c>
      <c r="H3242" s="1" t="inlineStr">
        <is>
          <t>NANCY 08/05/2026</t>
        </is>
      </c>
      <c r="I3242" s="4" t="n">
        <v>2</v>
      </c>
      <c r="J3242" s="6" t="n">
        <v>5.59</v>
      </c>
      <c r="K3242" s="6" t="n">
        <v>132.2468818</v>
      </c>
      <c r="L3242" s="6">
        <f>I3242*K3242</f>
        <v/>
      </c>
      <c r="M3242" s="6">
        <f>K3242*4</f>
        <v/>
      </c>
      <c r="N3242" s="6" t="n">
        <v>760</v>
      </c>
    </row>
    <row r="3243">
      <c r="A3243" s="1" t="inlineStr">
        <is>
          <t>66593be00cc70</t>
        </is>
      </c>
      <c r="B3243" s="1" t="inlineStr">
        <is>
          <t>ANILLO PERLEE ROSEGOLD</t>
        </is>
      </c>
      <c r="C3243" s="1" t="inlineStr">
        <is>
          <t>7</t>
        </is>
      </c>
      <c r="D3243" s="1" t="inlineStr">
        <is>
          <t>15/05/2026</t>
        </is>
      </c>
      <c r="E3243" s="1" t="n">
        <v>2026</v>
      </c>
      <c r="F3243" s="1" t="inlineStr">
        <is>
          <t>MAYO</t>
        </is>
      </c>
      <c r="G3243" s="1" t="inlineStr">
        <is>
          <t>ZOEY</t>
        </is>
      </c>
      <c r="H3243" s="1" t="inlineStr">
        <is>
          <t>ZOEY 15/05/2026</t>
        </is>
      </c>
      <c r="I3243" s="4" t="n">
        <v>2</v>
      </c>
      <c r="J3243" s="6" t="n">
        <v>7</v>
      </c>
      <c r="K3243" s="6" t="n">
        <v>185.5323714</v>
      </c>
      <c r="L3243" s="6">
        <f>I3243*K3243</f>
        <v/>
      </c>
      <c r="M3243" s="6">
        <f>K3243*4</f>
        <v/>
      </c>
      <c r="N3243" s="6" t="n">
        <v>760</v>
      </c>
    </row>
    <row r="3244">
      <c r="A3244" s="1" t="inlineStr">
        <is>
          <t>66593be0a0b51</t>
        </is>
      </c>
      <c r="B3244" s="1" t="n"/>
      <c r="C3244" s="1" t="n">
        <v>8</v>
      </c>
      <c r="D3244" s="1" t="inlineStr">
        <is>
          <t>03/12/2025</t>
        </is>
      </c>
      <c r="E3244" s="1" t="n">
        <v>2025</v>
      </c>
      <c r="F3244" s="1" t="inlineStr">
        <is>
          <t>DICIEMBRE</t>
        </is>
      </c>
      <c r="G3244" s="1" t="inlineStr">
        <is>
          <t>NANCY</t>
        </is>
      </c>
      <c r="H3244" s="1" t="inlineStr">
        <is>
          <t>NANCY 03/12/2025</t>
        </is>
      </c>
      <c r="I3244" s="4" t="n">
        <v>2</v>
      </c>
      <c r="J3244" s="6" t="n">
        <v>5.59</v>
      </c>
      <c r="K3244" s="6" t="n">
        <v>132.2411844</v>
      </c>
      <c r="L3244" s="6">
        <f>I3244*K3244</f>
        <v/>
      </c>
      <c r="M3244" s="6">
        <f>K3244*4</f>
        <v/>
      </c>
      <c r="N3244" s="6" t="n">
        <v>466</v>
      </c>
    </row>
    <row r="3245">
      <c r="A3245" s="1" t="inlineStr">
        <is>
          <t>66593be0a0b51</t>
        </is>
      </c>
      <c r="B3245" s="1" t="inlineStr">
        <is>
          <t>ANILLO PERLEE ROSEGOLD</t>
        </is>
      </c>
      <c r="C3245" s="1" t="n">
        <v>8</v>
      </c>
      <c r="D3245" s="1" t="inlineStr">
        <is>
          <t>01/03/2026</t>
        </is>
      </c>
      <c r="E3245" s="1" t="n">
        <v>2026</v>
      </c>
      <c r="F3245" s="1" t="inlineStr">
        <is>
          <t>MARZO</t>
        </is>
      </c>
      <c r="G3245" s="1" t="inlineStr">
        <is>
          <t>NANCY</t>
        </is>
      </c>
      <c r="H3245" s="1" t="inlineStr">
        <is>
          <t>NANCY 01/03/2026</t>
        </is>
      </c>
      <c r="I3245" s="4" t="n">
        <v>2</v>
      </c>
      <c r="J3245" s="6" t="n">
        <v>5.59</v>
      </c>
      <c r="K3245" s="6" t="n">
        <v>141.4477855</v>
      </c>
      <c r="L3245" s="6">
        <f>I3245*K3245</f>
        <v/>
      </c>
      <c r="M3245" s="6">
        <f>K3245*4</f>
        <v/>
      </c>
      <c r="N3245" s="6" t="n">
        <v>466</v>
      </c>
    </row>
    <row r="3246">
      <c r="A3246" s="1" t="inlineStr">
        <is>
          <t>66593be14e8c5</t>
        </is>
      </c>
      <c r="B3246" s="1" t="inlineStr">
        <is>
          <t>ANILLO PERLEE SILVER</t>
        </is>
      </c>
      <c r="C3246" s="1" t="n">
        <v>6</v>
      </c>
      <c r="D3246" s="1" t="inlineStr">
        <is>
          <t>01/03/2026</t>
        </is>
      </c>
      <c r="E3246" s="1" t="n">
        <v>2026</v>
      </c>
      <c r="F3246" s="1" t="inlineStr">
        <is>
          <t>MARZO</t>
        </is>
      </c>
      <c r="G3246" s="1" t="inlineStr">
        <is>
          <t>NANCY</t>
        </is>
      </c>
      <c r="H3246" s="1" t="inlineStr">
        <is>
          <t>NANCY 01/03/2026</t>
        </is>
      </c>
      <c r="I3246" s="4" t="n">
        <v>2</v>
      </c>
      <c r="J3246" s="6" t="n">
        <v>5.59</v>
      </c>
      <c r="K3246" s="6" t="n">
        <v>141.4477855</v>
      </c>
      <c r="L3246" s="6">
        <f>I3246*K3246</f>
        <v/>
      </c>
      <c r="M3246" s="6">
        <f>K3246*4</f>
        <v/>
      </c>
      <c r="N3246" s="6" t="n">
        <v>499</v>
      </c>
    </row>
    <row r="3247">
      <c r="A3247" s="1" t="inlineStr">
        <is>
          <t>66593be14e8c5</t>
        </is>
      </c>
      <c r="B3247" s="1" t="inlineStr">
        <is>
          <t>ANILLO PERLEE SILVER</t>
        </is>
      </c>
      <c r="C3247" s="1" t="n">
        <v>6</v>
      </c>
      <c r="D3247" s="1" t="inlineStr">
        <is>
          <t>01/04/2026</t>
        </is>
      </c>
      <c r="E3247" s="1" t="n">
        <v>2026</v>
      </c>
      <c r="F3247" s="1" t="inlineStr">
        <is>
          <t>ABRIL</t>
        </is>
      </c>
      <c r="G3247" s="1" t="inlineStr">
        <is>
          <t>NANCY</t>
        </is>
      </c>
      <c r="H3247" s="1" t="inlineStr">
        <is>
          <t>NANCY 01/04/2026</t>
        </is>
      </c>
      <c r="I3247" s="4" t="n">
        <v>1</v>
      </c>
      <c r="J3247" s="6" t="n">
        <v>5.59</v>
      </c>
      <c r="K3247" s="6" t="n">
        <v>133.8274486</v>
      </c>
      <c r="L3247" s="6">
        <f>I3247*K3247</f>
        <v/>
      </c>
      <c r="M3247" s="6">
        <f>K3247*4</f>
        <v/>
      </c>
      <c r="N3247" s="6" t="n">
        <v>499</v>
      </c>
    </row>
    <row r="3248">
      <c r="A3248" s="1" t="inlineStr">
        <is>
          <t>66593be202d61</t>
        </is>
      </c>
      <c r="B3248" s="1" t="n"/>
      <c r="C3248" s="1" t="n">
        <v>7</v>
      </c>
      <c r="D3248" s="1" t="inlineStr">
        <is>
          <t>03/12/2025</t>
        </is>
      </c>
      <c r="E3248" s="1" t="n">
        <v>2025</v>
      </c>
      <c r="F3248" s="1" t="inlineStr">
        <is>
          <t>DICIEMBRE</t>
        </is>
      </c>
      <c r="G3248" s="1" t="inlineStr">
        <is>
          <t>NANCY</t>
        </is>
      </c>
      <c r="H3248" s="1" t="inlineStr">
        <is>
          <t>NANCY 03/12/2025</t>
        </is>
      </c>
      <c r="I3248" s="4" t="n">
        <v>3</v>
      </c>
      <c r="J3248" s="6" t="n">
        <v>5.59</v>
      </c>
      <c r="K3248" s="6" t="n">
        <v>132.2411844</v>
      </c>
      <c r="L3248" s="6">
        <f>I3248*K3248</f>
        <v/>
      </c>
      <c r="M3248" s="6">
        <f>K3248*4</f>
        <v/>
      </c>
      <c r="N3248" s="6" t="n">
        <v>499</v>
      </c>
    </row>
    <row r="3249">
      <c r="A3249" s="1" t="inlineStr">
        <is>
          <t>66593be202d61</t>
        </is>
      </c>
      <c r="B3249" s="1" t="inlineStr">
        <is>
          <t>ANILLO PERLEE SILVER</t>
        </is>
      </c>
      <c r="C3249" s="1" t="n">
        <v>7</v>
      </c>
      <c r="D3249" s="1" t="inlineStr">
        <is>
          <t>09/07/2026</t>
        </is>
      </c>
      <c r="E3249" s="1" t="n">
        <v>2026</v>
      </c>
      <c r="F3249" s="1" t="inlineStr">
        <is>
          <t>JULIO</t>
        </is>
      </c>
      <c r="G3249" s="1" t="inlineStr">
        <is>
          <t>NANCY</t>
        </is>
      </c>
      <c r="H3249" s="1" t="inlineStr">
        <is>
          <t>NANCY 09/07/2026</t>
        </is>
      </c>
      <c r="I3249" s="4" t="n">
        <v>1</v>
      </c>
      <c r="J3249" s="6" t="n">
        <v>5.59</v>
      </c>
      <c r="K3249" s="6" t="n">
        <v>136.2029957</v>
      </c>
      <c r="L3249" s="6">
        <f>I3249*K3249</f>
        <v/>
      </c>
      <c r="M3249" s="6">
        <f>K3249*4</f>
        <v/>
      </c>
      <c r="N3249" s="6" t="n">
        <v>499</v>
      </c>
    </row>
    <row r="3250">
      <c r="A3250" s="1" t="inlineStr">
        <is>
          <t>66593be29b6a6</t>
        </is>
      </c>
      <c r="B3250" s="1" t="inlineStr">
        <is>
          <t>ANILLO PERLEE SILVER</t>
        </is>
      </c>
      <c r="C3250" s="1" t="n">
        <v>8</v>
      </c>
      <c r="D3250" s="1" t="inlineStr">
        <is>
          <t>01/03/2026</t>
        </is>
      </c>
      <c r="E3250" s="1" t="n">
        <v>2026</v>
      </c>
      <c r="F3250" s="1" t="inlineStr">
        <is>
          <t>MARZO</t>
        </is>
      </c>
      <c r="G3250" s="1" t="inlineStr">
        <is>
          <t>NANCY</t>
        </is>
      </c>
      <c r="H3250" s="1" t="inlineStr">
        <is>
          <t>NANCY 01/03/2026</t>
        </is>
      </c>
      <c r="I3250" s="4" t="n">
        <v>1</v>
      </c>
      <c r="J3250" s="6" t="n">
        <v>5.59</v>
      </c>
      <c r="K3250" s="6" t="n">
        <v>141.4477855</v>
      </c>
      <c r="L3250" s="6">
        <f>I3250*K3250</f>
        <v/>
      </c>
      <c r="M3250" s="6">
        <f>K3250*4</f>
        <v/>
      </c>
      <c r="N3250" s="6" t="n">
        <v>499</v>
      </c>
    </row>
    <row r="3251">
      <c r="A3251" s="1" t="inlineStr">
        <is>
          <t>665bb4bf5d480</t>
        </is>
      </c>
      <c r="B3251" s="1" t="n"/>
      <c r="C3251" s="1" t="n">
        <v>7</v>
      </c>
      <c r="D3251" s="1" t="inlineStr">
        <is>
          <t>03/12/2025</t>
        </is>
      </c>
      <c r="E3251" s="1" t="n">
        <v>2025</v>
      </c>
      <c r="F3251" s="1" t="inlineStr">
        <is>
          <t>DICIEMBRE</t>
        </is>
      </c>
      <c r="G3251" s="1" t="inlineStr">
        <is>
          <t>NANCY</t>
        </is>
      </c>
      <c r="H3251" s="1" t="inlineStr">
        <is>
          <t>NANCY 03/12/2025</t>
        </is>
      </c>
      <c r="I3251" s="4" t="n">
        <v>1</v>
      </c>
      <c r="J3251" s="6" t="n">
        <v>5.59</v>
      </c>
      <c r="K3251" s="6" t="n">
        <v>132.2411844</v>
      </c>
      <c r="L3251" s="6">
        <f>I3251*K3251</f>
        <v/>
      </c>
      <c r="M3251" s="6">
        <f>K3251*4</f>
        <v/>
      </c>
      <c r="N3251" s="6" t="n">
        <v>599</v>
      </c>
    </row>
    <row r="3252">
      <c r="A3252" s="1" t="inlineStr">
        <is>
          <t>665bb4bf5d480</t>
        </is>
      </c>
      <c r="B3252" s="1" t="inlineStr">
        <is>
          <t>ANILLO TREBOL GOLD BLACK</t>
        </is>
      </c>
      <c r="C3252" s="1" t="n">
        <v>7</v>
      </c>
      <c r="D3252" s="1" t="inlineStr">
        <is>
          <t>01/03/2026</t>
        </is>
      </c>
      <c r="E3252" s="1" t="n">
        <v>2026</v>
      </c>
      <c r="F3252" s="1" t="inlineStr">
        <is>
          <t>MARZO</t>
        </is>
      </c>
      <c r="G3252" s="1" t="inlineStr">
        <is>
          <t>NANCY</t>
        </is>
      </c>
      <c r="H3252" s="1" t="inlineStr">
        <is>
          <t>NANCY 01/03/2026</t>
        </is>
      </c>
      <c r="I3252" s="4" t="n">
        <v>1</v>
      </c>
      <c r="J3252" s="6" t="n">
        <v>5.59</v>
      </c>
      <c r="K3252" s="6" t="n">
        <v>141.4477855</v>
      </c>
      <c r="L3252" s="6">
        <f>I3252*K3252</f>
        <v/>
      </c>
      <c r="M3252" s="6">
        <f>K3252*4</f>
        <v/>
      </c>
      <c r="N3252" s="6" t="n">
        <v>599</v>
      </c>
    </row>
    <row r="3253">
      <c r="A3253" s="1" t="inlineStr">
        <is>
          <t>665bb4c1438b1</t>
        </is>
      </c>
      <c r="B3253" s="1" t="inlineStr">
        <is>
          <t>ANILLO TREBOL GOLD GREEN</t>
        </is>
      </c>
      <c r="C3253" s="1" t="n">
        <v>7</v>
      </c>
      <c r="D3253" s="1" t="inlineStr">
        <is>
          <t>03/12/2025</t>
        </is>
      </c>
      <c r="E3253" s="1" t="n">
        <v>2025</v>
      </c>
      <c r="F3253" s="1" t="inlineStr">
        <is>
          <t>DICIEMBRE</t>
        </is>
      </c>
      <c r="G3253" s="1" t="inlineStr">
        <is>
          <t>NANCY</t>
        </is>
      </c>
      <c r="H3253" s="1" t="inlineStr">
        <is>
          <t>NANCY 03/12/2025</t>
        </is>
      </c>
      <c r="I3253" s="4" t="n">
        <v>1</v>
      </c>
      <c r="J3253" s="6" t="n">
        <v>5.59</v>
      </c>
      <c r="K3253" s="6" t="n">
        <v>132.2411844</v>
      </c>
      <c r="L3253" s="6">
        <f>I3253*K3253</f>
        <v/>
      </c>
      <c r="M3253" s="6">
        <f>K3253*4</f>
        <v/>
      </c>
      <c r="N3253" s="6" t="n">
        <v>499</v>
      </c>
    </row>
    <row r="3254">
      <c r="A3254" s="1" t="inlineStr">
        <is>
          <t>665bb4c1438b1</t>
        </is>
      </c>
      <c r="B3254" s="1" t="inlineStr">
        <is>
          <t>ANILLO TREBOL GOLD GREEN</t>
        </is>
      </c>
      <c r="C3254" s="1" t="n">
        <v>7</v>
      </c>
      <c r="D3254" s="1" t="inlineStr">
        <is>
          <t>01/03/2026</t>
        </is>
      </c>
      <c r="E3254" s="1" t="n">
        <v>2026</v>
      </c>
      <c r="F3254" s="1" t="inlineStr">
        <is>
          <t>MARZO</t>
        </is>
      </c>
      <c r="G3254" s="1" t="inlineStr">
        <is>
          <t>NANCY</t>
        </is>
      </c>
      <c r="H3254" s="1" t="inlineStr">
        <is>
          <t>NANCY 01/03/2026</t>
        </is>
      </c>
      <c r="I3254" s="4" t="n">
        <v>2</v>
      </c>
      <c r="J3254" s="6" t="n">
        <v>5.59</v>
      </c>
      <c r="K3254" s="6" t="n">
        <v>141.4477855</v>
      </c>
      <c r="L3254" s="6">
        <f>I3254*K3254</f>
        <v/>
      </c>
      <c r="M3254" s="6">
        <f>K3254*4</f>
        <v/>
      </c>
      <c r="N3254" s="6" t="n">
        <v>499</v>
      </c>
    </row>
    <row r="3255">
      <c r="A3255" s="1" t="inlineStr">
        <is>
          <t>665bb4c1438b1</t>
        </is>
      </c>
      <c r="B3255" s="1" t="inlineStr">
        <is>
          <t>ANILLO TREBOL GOLD GREEN</t>
        </is>
      </c>
      <c r="C3255" s="1" t="n">
        <v>7</v>
      </c>
      <c r="D3255" s="1" t="inlineStr">
        <is>
          <t>01/04/2026</t>
        </is>
      </c>
      <c r="E3255" s="1" t="n">
        <v>2026</v>
      </c>
      <c r="F3255" s="1" t="inlineStr">
        <is>
          <t>ABRIL</t>
        </is>
      </c>
      <c r="G3255" s="1" t="inlineStr">
        <is>
          <t>NANCY</t>
        </is>
      </c>
      <c r="H3255" s="1" t="inlineStr">
        <is>
          <t>NANCY 01/04/2026</t>
        </is>
      </c>
      <c r="I3255" s="4" t="n">
        <v>2</v>
      </c>
      <c r="J3255" s="6" t="n">
        <v>5.59</v>
      </c>
      <c r="K3255" s="6" t="n">
        <v>133.8274486</v>
      </c>
      <c r="L3255" s="6">
        <f>I3255*K3255</f>
        <v/>
      </c>
      <c r="M3255" s="6">
        <f>K3255*4</f>
        <v/>
      </c>
      <c r="N3255" s="6" t="n">
        <v>499</v>
      </c>
    </row>
    <row r="3256">
      <c r="A3256" s="1" t="inlineStr">
        <is>
          <t>665bb4c20b268</t>
        </is>
      </c>
      <c r="B3256" s="1" t="inlineStr">
        <is>
          <t>ANILLO V GOLD</t>
        </is>
      </c>
      <c r="C3256" s="1" t="inlineStr">
        <is>
          <t>AJUSTABLE</t>
        </is>
      </c>
      <c r="D3256" s="1" t="inlineStr">
        <is>
          <t>31/05/2026</t>
        </is>
      </c>
      <c r="E3256" s="1" t="n">
        <v>2026</v>
      </c>
      <c r="F3256" s="1" t="inlineStr">
        <is>
          <t>MAYO</t>
        </is>
      </c>
      <c r="G3256" s="1" t="inlineStr">
        <is>
          <t>CYNTHIA</t>
        </is>
      </c>
      <c r="H3256" s="1" t="inlineStr">
        <is>
          <t>CYNTHIA 31/05/2026</t>
        </is>
      </c>
      <c r="I3256" s="4" t="n">
        <v>5</v>
      </c>
      <c r="J3256" s="6" t="n">
        <v>6.8</v>
      </c>
      <c r="K3256" s="6" t="n">
        <v>180.2071058</v>
      </c>
      <c r="L3256" s="6">
        <f>I3256*K3256</f>
        <v/>
      </c>
      <c r="M3256" s="6">
        <f>K3256*4</f>
        <v/>
      </c>
      <c r="N3256" s="6" t="n">
        <v>635</v>
      </c>
    </row>
    <row r="3257">
      <c r="A3257" s="1" t="inlineStr">
        <is>
          <t>665bb4c25887b</t>
        </is>
      </c>
      <c r="B3257" s="1" t="inlineStr">
        <is>
          <t>ANILLO TREBOL GOLD WHITE</t>
        </is>
      </c>
      <c r="C3257" s="1" t="n">
        <v>7</v>
      </c>
      <c r="D3257" s="1" t="inlineStr">
        <is>
          <t>01/03/2026</t>
        </is>
      </c>
      <c r="E3257" s="1" t="n">
        <v>2026</v>
      </c>
      <c r="F3257" s="1" t="inlineStr">
        <is>
          <t>MARZO</t>
        </is>
      </c>
      <c r="G3257" s="1" t="inlineStr">
        <is>
          <t>NANCY</t>
        </is>
      </c>
      <c r="H3257" s="1" t="inlineStr">
        <is>
          <t>NANCY 01/03/2026</t>
        </is>
      </c>
      <c r="I3257" s="4" t="n">
        <v>2</v>
      </c>
      <c r="J3257" s="6" t="n">
        <v>5.59</v>
      </c>
      <c r="K3257" s="6" t="n">
        <v>141.4477855</v>
      </c>
      <c r="L3257" s="6">
        <f>I3257*K3257</f>
        <v/>
      </c>
      <c r="M3257" s="6">
        <f>K3257*4</f>
        <v/>
      </c>
      <c r="N3257" s="6" t="n">
        <v>599</v>
      </c>
    </row>
    <row r="3258">
      <c r="A3258" s="1" t="inlineStr">
        <is>
          <t>665bb4e06b7c8</t>
        </is>
      </c>
      <c r="B3258" s="1" t="inlineStr">
        <is>
          <t>ARETES CC DORADO</t>
        </is>
      </c>
      <c r="C3258" s="1" t="inlineStr">
        <is>
          <t>Regular</t>
        </is>
      </c>
      <c r="D3258" s="1" t="inlineStr">
        <is>
          <t>05/09/2025</t>
        </is>
      </c>
      <c r="E3258" s="1" t="n">
        <v>2025</v>
      </c>
      <c r="F3258" s="1" t="inlineStr">
        <is>
          <t>SEPTIEMBRE</t>
        </is>
      </c>
      <c r="G3258" s="1" t="inlineStr">
        <is>
          <t>CYNTHIA</t>
        </is>
      </c>
      <c r="H3258" s="1" t="inlineStr">
        <is>
          <t>CYNTHIA 05/09/2025</t>
        </is>
      </c>
      <c r="I3258" s="4" t="n">
        <v>2</v>
      </c>
      <c r="J3258" s="6" t="n">
        <v>2</v>
      </c>
      <c r="K3258" s="6" t="n">
        <v>50.35819386</v>
      </c>
      <c r="L3258" s="6">
        <f>I3258*K3258</f>
        <v/>
      </c>
      <c r="M3258" s="6">
        <f>K3258*4</f>
        <v/>
      </c>
      <c r="N3258" s="6" t="n">
        <v>220</v>
      </c>
    </row>
    <row r="3259">
      <c r="A3259" s="1" t="inlineStr">
        <is>
          <t>665bb4e06b7c8</t>
        </is>
      </c>
      <c r="B3259" s="1" t="inlineStr">
        <is>
          <t>ARETES CC DORADO</t>
        </is>
      </c>
      <c r="C3259" s="1" t="inlineStr">
        <is>
          <t>Regular</t>
        </is>
      </c>
      <c r="D3259" s="1" t="inlineStr">
        <is>
          <t>25/10/2025</t>
        </is>
      </c>
      <c r="E3259" s="1" t="n">
        <v>2025</v>
      </c>
      <c r="F3259" s="1" t="inlineStr">
        <is>
          <t>OCTUBRE</t>
        </is>
      </c>
      <c r="G3259" s="1" t="inlineStr">
        <is>
          <t>CYNTHIA</t>
        </is>
      </c>
      <c r="H3259" s="1" t="inlineStr">
        <is>
          <t>CYNTHIA 25/10/2025</t>
        </is>
      </c>
      <c r="I3259" s="4" t="n">
        <v>8</v>
      </c>
      <c r="J3259" s="6" t="n">
        <v>2</v>
      </c>
      <c r="K3259" s="6" t="n">
        <v>52.40364718</v>
      </c>
      <c r="L3259" s="6">
        <f>I3259*K3259</f>
        <v/>
      </c>
      <c r="M3259" s="6">
        <f>K3259*4</f>
        <v/>
      </c>
      <c r="N3259" s="6" t="n">
        <v>220</v>
      </c>
    </row>
    <row r="3260">
      <c r="A3260" s="1" t="inlineStr">
        <is>
          <t>665bb4e06b7c8</t>
        </is>
      </c>
      <c r="B3260" s="1" t="inlineStr">
        <is>
          <t>ARETES CC DORADO</t>
        </is>
      </c>
      <c r="C3260" s="1" t="inlineStr">
        <is>
          <t>Regular</t>
        </is>
      </c>
      <c r="D3260" s="1" t="inlineStr">
        <is>
          <t>18/02/2026</t>
        </is>
      </c>
      <c r="E3260" s="1" t="n">
        <v>2026</v>
      </c>
      <c r="F3260" s="1" t="inlineStr">
        <is>
          <t>FEBRERO</t>
        </is>
      </c>
      <c r="G3260" s="1" t="inlineStr">
        <is>
          <t>CYNTHIA</t>
        </is>
      </c>
      <c r="H3260" s="1" t="inlineStr">
        <is>
          <t>CYNTHIA 18/02/2026</t>
        </is>
      </c>
      <c r="I3260" s="4" t="n">
        <v>10</v>
      </c>
      <c r="J3260" s="6" t="n">
        <v>2</v>
      </c>
      <c r="K3260" s="6" t="n">
        <v>54.0867304</v>
      </c>
      <c r="L3260" s="6">
        <f>I3260*K3260</f>
        <v/>
      </c>
      <c r="M3260" s="6">
        <f>K3260*4</f>
        <v/>
      </c>
      <c r="N3260" s="6" t="n">
        <v>220</v>
      </c>
    </row>
    <row r="3261">
      <c r="A3261" s="1" t="inlineStr">
        <is>
          <t>665bb4e06b7c8</t>
        </is>
      </c>
      <c r="B3261" s="1" t="inlineStr">
        <is>
          <t>ARETES CC DORADO</t>
        </is>
      </c>
      <c r="C3261" s="1" t="inlineStr">
        <is>
          <t>Regular</t>
        </is>
      </c>
      <c r="D3261" s="1" t="inlineStr">
        <is>
          <t>31/05/2026</t>
        </is>
      </c>
      <c r="E3261" s="1" t="n">
        <v>2026</v>
      </c>
      <c r="F3261" s="1" t="inlineStr">
        <is>
          <t>MAYO</t>
        </is>
      </c>
      <c r="G3261" s="1" t="inlineStr">
        <is>
          <t>CYNTHIA</t>
        </is>
      </c>
      <c r="H3261" s="1" t="inlineStr">
        <is>
          <t>CYNTHIA 31/05/2026</t>
        </is>
      </c>
      <c r="I3261" s="4" t="n">
        <v>20</v>
      </c>
      <c r="J3261" s="6" t="n">
        <v>2</v>
      </c>
      <c r="K3261" s="6" t="n">
        <v>53.00208995</v>
      </c>
      <c r="L3261" s="6">
        <f>I3261*K3261</f>
        <v/>
      </c>
      <c r="M3261" s="6">
        <f>K3261*4</f>
        <v/>
      </c>
      <c r="N3261" s="6" t="n">
        <v>220</v>
      </c>
    </row>
    <row r="3262">
      <c r="A3262" s="1" t="inlineStr">
        <is>
          <t>665bb4e678422</t>
        </is>
      </c>
      <c r="B3262" s="1" t="inlineStr">
        <is>
          <t>ARETES CD GOLD</t>
        </is>
      </c>
      <c r="C3262" s="1" t="inlineStr">
        <is>
          <t>Default Title</t>
        </is>
      </c>
      <c r="D3262" s="1" t="inlineStr">
        <is>
          <t>05/09/2025</t>
        </is>
      </c>
      <c r="E3262" s="1" t="n">
        <v>2025</v>
      </c>
      <c r="F3262" s="1" t="inlineStr">
        <is>
          <t>SEPTIEMBRE</t>
        </is>
      </c>
      <c r="G3262" s="1" t="inlineStr">
        <is>
          <t>CYNTHIA</t>
        </is>
      </c>
      <c r="H3262" s="1" t="inlineStr">
        <is>
          <t>CYNTHIA 05/09/2025</t>
        </is>
      </c>
      <c r="I3262" s="4" t="n">
        <v>3</v>
      </c>
      <c r="J3262" s="6" t="n">
        <v>7</v>
      </c>
      <c r="K3262" s="6" t="n">
        <v>176.2536785</v>
      </c>
      <c r="L3262" s="6">
        <f>I3262*K3262</f>
        <v/>
      </c>
      <c r="M3262" s="6">
        <f>K3262*4</f>
        <v/>
      </c>
      <c r="N3262" s="6" t="n">
        <v>745</v>
      </c>
    </row>
    <row r="3263">
      <c r="A3263" s="1" t="inlineStr">
        <is>
          <t>665bb4e678422</t>
        </is>
      </c>
      <c r="B3263" s="1" t="inlineStr">
        <is>
          <t>ARETES CD GOLD</t>
        </is>
      </c>
      <c r="C3263" s="1" t="inlineStr">
        <is>
          <t>Default Title</t>
        </is>
      </c>
      <c r="D3263" s="1" t="inlineStr">
        <is>
          <t>07/01/2026</t>
        </is>
      </c>
      <c r="E3263" s="1" t="n">
        <v>2026</v>
      </c>
      <c r="F3263" s="1" t="inlineStr">
        <is>
          <t>ENERO</t>
        </is>
      </c>
      <c r="G3263" s="1" t="inlineStr">
        <is>
          <t>CYNTHIA</t>
        </is>
      </c>
      <c r="H3263" s="1" t="inlineStr">
        <is>
          <t>CYNTHIA 07/01/2026</t>
        </is>
      </c>
      <c r="I3263" s="4" t="n">
        <v>4</v>
      </c>
      <c r="J3263" s="6" t="n">
        <v>7</v>
      </c>
      <c r="K3263" s="6" t="n">
        <v>186.1119937</v>
      </c>
      <c r="L3263" s="6">
        <f>I3263*K3263</f>
        <v/>
      </c>
      <c r="M3263" s="6">
        <f>K3263*4</f>
        <v/>
      </c>
      <c r="N3263" s="6" t="n">
        <v>745</v>
      </c>
    </row>
    <row r="3264">
      <c r="A3264" s="1" t="inlineStr">
        <is>
          <t>665bb4e678422</t>
        </is>
      </c>
      <c r="B3264" s="1" t="inlineStr">
        <is>
          <t>ARETES CD GOLD</t>
        </is>
      </c>
      <c r="C3264" s="1" t="inlineStr">
        <is>
          <t>Default Title</t>
        </is>
      </c>
      <c r="D3264" s="1" t="inlineStr">
        <is>
          <t>19/03/2026</t>
        </is>
      </c>
      <c r="E3264" s="1" t="n">
        <v>2026</v>
      </c>
      <c r="F3264" s="1" t="inlineStr">
        <is>
          <t>MARZO</t>
        </is>
      </c>
      <c r="G3264" s="1" t="inlineStr">
        <is>
          <t>CYNTHIA</t>
        </is>
      </c>
      <c r="H3264" s="1" t="inlineStr">
        <is>
          <t>CYNTHIA 19/03/2026</t>
        </is>
      </c>
      <c r="I3264" s="4" t="n">
        <v>10</v>
      </c>
      <c r="J3264" s="6" t="n">
        <v>7</v>
      </c>
      <c r="K3264" s="6" t="n">
        <v>188.0019106</v>
      </c>
      <c r="L3264" s="6">
        <f>I3264*K3264</f>
        <v/>
      </c>
      <c r="M3264" s="6">
        <f>K3264*4</f>
        <v/>
      </c>
      <c r="N3264" s="6" t="n">
        <v>745</v>
      </c>
    </row>
    <row r="3265">
      <c r="A3265" s="1" t="inlineStr">
        <is>
          <t>665bb4e678422</t>
        </is>
      </c>
      <c r="B3265" s="1" t="inlineStr">
        <is>
          <t>ARETES CD GOLD</t>
        </is>
      </c>
      <c r="C3265" s="1" t="inlineStr">
        <is>
          <t>Default Title</t>
        </is>
      </c>
      <c r="D3265" s="1" t="inlineStr">
        <is>
          <t>31/05/2026</t>
        </is>
      </c>
      <c r="E3265" s="1" t="n">
        <v>2026</v>
      </c>
      <c r="F3265" s="1" t="inlineStr">
        <is>
          <t>MAYO</t>
        </is>
      </c>
      <c r="G3265" s="1" t="inlineStr">
        <is>
          <t>CYNTHIA</t>
        </is>
      </c>
      <c r="H3265" s="1" t="inlineStr">
        <is>
          <t>CYNTHIA 31/05/2026</t>
        </is>
      </c>
      <c r="I3265" s="4" t="n">
        <v>5</v>
      </c>
      <c r="J3265" s="6" t="n">
        <v>7</v>
      </c>
      <c r="K3265" s="6" t="n">
        <v>185.5073148</v>
      </c>
      <c r="L3265" s="6">
        <f>I3265*K3265</f>
        <v/>
      </c>
      <c r="M3265" s="6">
        <f>K3265*4</f>
        <v/>
      </c>
      <c r="N3265" s="6" t="n">
        <v>745</v>
      </c>
    </row>
    <row r="3266">
      <c r="A3266" s="1" t="inlineStr">
        <is>
          <t>665bb4e91bcaf</t>
        </is>
      </c>
      <c r="B3266" s="1" t="inlineStr">
        <is>
          <t>ARETES CD GOLD BLACK</t>
        </is>
      </c>
      <c r="C3266" s="1" t="inlineStr">
        <is>
          <t>Default Title</t>
        </is>
      </c>
      <c r="D3266" s="1" t="inlineStr">
        <is>
          <t>01/03/2026</t>
        </is>
      </c>
      <c r="E3266" s="1" t="n">
        <v>2026</v>
      </c>
      <c r="F3266" s="1" t="inlineStr">
        <is>
          <t>MARZO</t>
        </is>
      </c>
      <c r="G3266" s="1" t="inlineStr">
        <is>
          <t>NANCY</t>
        </is>
      </c>
      <c r="H3266" s="1" t="inlineStr">
        <is>
          <t>NANCY 01/03/2026</t>
        </is>
      </c>
      <c r="I3266" s="4" t="n">
        <v>3</v>
      </c>
      <c r="J3266" s="6" t="n">
        <v>5.59</v>
      </c>
      <c r="K3266" s="6" t="n">
        <v>141.4477855</v>
      </c>
      <c r="L3266" s="6">
        <f>I3266*K3266</f>
        <v/>
      </c>
      <c r="M3266" s="6">
        <f>K3266*4</f>
        <v/>
      </c>
      <c r="N3266" s="6" t="n">
        <v>499</v>
      </c>
    </row>
    <row r="3267">
      <c r="A3267" s="1" t="inlineStr">
        <is>
          <t>665bb4e91bcaf</t>
        </is>
      </c>
      <c r="B3267" s="1" t="inlineStr">
        <is>
          <t>ARETES CD GOLD BLACK</t>
        </is>
      </c>
      <c r="C3267" s="1" t="inlineStr">
        <is>
          <t>Default Title</t>
        </is>
      </c>
      <c r="D3267" s="1" t="inlineStr">
        <is>
          <t>08/05/2026</t>
        </is>
      </c>
      <c r="E3267" s="1" t="n">
        <v>2026</v>
      </c>
      <c r="F3267" s="1" t="inlineStr">
        <is>
          <t>MAYO</t>
        </is>
      </c>
      <c r="G3267" s="1" t="inlineStr">
        <is>
          <t>NANCY</t>
        </is>
      </c>
      <c r="H3267" s="1" t="inlineStr">
        <is>
          <t>NANCY 08/05/2026</t>
        </is>
      </c>
      <c r="I3267" s="4" t="n">
        <v>2</v>
      </c>
      <c r="J3267" s="6" t="n">
        <v>5.59</v>
      </c>
      <c r="K3267" s="6" t="n">
        <v>132.2468818</v>
      </c>
      <c r="L3267" s="6">
        <f>I3267*K3267</f>
        <v/>
      </c>
      <c r="M3267" s="6">
        <f>K3267*4</f>
        <v/>
      </c>
      <c r="N3267" s="6" t="n">
        <v>499</v>
      </c>
    </row>
    <row r="3268">
      <c r="A3268" s="1" t="inlineStr">
        <is>
          <t>665bb4e91bcaf</t>
        </is>
      </c>
      <c r="B3268" s="1" t="inlineStr">
        <is>
          <t>ARETES CD GOLD BLACK</t>
        </is>
      </c>
      <c r="C3268" s="1" t="inlineStr">
        <is>
          <t>Default Title</t>
        </is>
      </c>
      <c r="D3268" s="1" t="inlineStr">
        <is>
          <t>31/05/2026</t>
        </is>
      </c>
      <c r="E3268" s="1" t="n">
        <v>2026</v>
      </c>
      <c r="F3268" s="1" t="inlineStr">
        <is>
          <t>MAYO</t>
        </is>
      </c>
      <c r="G3268" s="1" t="inlineStr">
        <is>
          <t>NANCY</t>
        </is>
      </c>
      <c r="H3268" s="1" t="inlineStr">
        <is>
          <t>NANCY 31/05/2026</t>
        </is>
      </c>
      <c r="I3268" s="4" t="n">
        <v>5</v>
      </c>
      <c r="J3268" s="6" t="n">
        <v>5.59</v>
      </c>
      <c r="K3268" s="6" t="n">
        <v>135.6558265</v>
      </c>
      <c r="L3268" s="6">
        <f>I3268*K3268</f>
        <v/>
      </c>
      <c r="M3268" s="6">
        <f>K3268*4</f>
        <v/>
      </c>
      <c r="N3268" s="6" t="n">
        <v>499</v>
      </c>
    </row>
    <row r="3269">
      <c r="A3269" s="1" t="inlineStr">
        <is>
          <t>665bb4e91bcaf</t>
        </is>
      </c>
      <c r="B3269" s="1" t="inlineStr">
        <is>
          <t>ARETES CD GOLD BLACK</t>
        </is>
      </c>
      <c r="C3269" s="1" t="inlineStr">
        <is>
          <t>Default Title</t>
        </is>
      </c>
      <c r="D3269" s="1" t="inlineStr">
        <is>
          <t>09/07/2026</t>
        </is>
      </c>
      <c r="E3269" s="1" t="n">
        <v>2026</v>
      </c>
      <c r="F3269" s="1" t="inlineStr">
        <is>
          <t>JULIO</t>
        </is>
      </c>
      <c r="G3269" s="1" t="inlineStr">
        <is>
          <t>NANCY</t>
        </is>
      </c>
      <c r="H3269" s="1" t="inlineStr">
        <is>
          <t>NANCY 09/07/2026</t>
        </is>
      </c>
      <c r="I3269" s="4" t="n">
        <v>4</v>
      </c>
      <c r="J3269" s="6" t="n">
        <v>5.59</v>
      </c>
      <c r="K3269" s="6" t="n">
        <v>136.2029957</v>
      </c>
      <c r="L3269" s="6">
        <f>I3269*K3269</f>
        <v/>
      </c>
      <c r="M3269" s="6">
        <f>K3269*4</f>
        <v/>
      </c>
      <c r="N3269" s="6" t="n">
        <v>499</v>
      </c>
    </row>
    <row r="3270">
      <c r="A3270" s="1" t="inlineStr">
        <is>
          <t>665bb4f54f46f</t>
        </is>
      </c>
      <c r="B3270" s="1" t="inlineStr">
        <is>
          <t>ARETES CORAZÓN GC</t>
        </is>
      </c>
      <c r="C3270" s="1" t="inlineStr">
        <is>
          <t>Default Title</t>
        </is>
      </c>
      <c r="D3270" s="1" t="inlineStr">
        <is>
          <t>01/03/2026</t>
        </is>
      </c>
      <c r="E3270" s="1" t="n">
        <v>2026</v>
      </c>
      <c r="F3270" s="1" t="inlineStr">
        <is>
          <t>MARZO</t>
        </is>
      </c>
      <c r="G3270" s="1" t="inlineStr">
        <is>
          <t>NANCY</t>
        </is>
      </c>
      <c r="H3270" s="1" t="inlineStr">
        <is>
          <t>NANCY 01/03/2026</t>
        </is>
      </c>
      <c r="I3270" s="4" t="n">
        <v>2</v>
      </c>
      <c r="J3270" s="6" t="n">
        <v>5.59</v>
      </c>
      <c r="K3270" s="6" t="n">
        <v>141.4477855</v>
      </c>
      <c r="L3270" s="6">
        <f>I3270*K3270</f>
        <v/>
      </c>
      <c r="M3270" s="6">
        <f>K3270*4</f>
        <v/>
      </c>
      <c r="N3270" s="6" t="n">
        <v>350</v>
      </c>
    </row>
    <row r="3271">
      <c r="A3271" s="1" t="inlineStr">
        <is>
          <t>665bb4f54f46f</t>
        </is>
      </c>
      <c r="B3271" s="1" t="inlineStr">
        <is>
          <t>ARETES CORAZÓN GC</t>
        </is>
      </c>
      <c r="C3271" s="1" t="inlineStr">
        <is>
          <t>Default Title</t>
        </is>
      </c>
      <c r="D3271" s="1" t="inlineStr">
        <is>
          <t>09/07/2026</t>
        </is>
      </c>
      <c r="E3271" s="1" t="n">
        <v>2026</v>
      </c>
      <c r="F3271" s="1" t="inlineStr">
        <is>
          <t>JULIO</t>
        </is>
      </c>
      <c r="G3271" s="1" t="inlineStr">
        <is>
          <t>NANCY</t>
        </is>
      </c>
      <c r="H3271" s="1" t="inlineStr">
        <is>
          <t>NANCY 09/07/2026</t>
        </is>
      </c>
      <c r="I3271" s="4" t="n">
        <v>4</v>
      </c>
      <c r="J3271" s="6" t="n">
        <v>3.69</v>
      </c>
      <c r="K3271" s="6" t="n">
        <v>89.90859644</v>
      </c>
      <c r="L3271" s="6">
        <f>I3271*K3271</f>
        <v/>
      </c>
      <c r="M3271" s="6">
        <f>K3271*4</f>
        <v/>
      </c>
      <c r="N3271" s="6" t="n">
        <v>350</v>
      </c>
    </row>
    <row r="3272">
      <c r="A3272" s="1" t="inlineStr">
        <is>
          <t>665bb4fe45383</t>
        </is>
      </c>
      <c r="B3272" s="1" t="inlineStr">
        <is>
          <t>ARETES PERLA YSL</t>
        </is>
      </c>
      <c r="C3272" s="1" t="inlineStr">
        <is>
          <t>Regular</t>
        </is>
      </c>
      <c r="D3272" s="1" t="inlineStr">
        <is>
          <t>03/12/2025</t>
        </is>
      </c>
      <c r="E3272" s="1" t="n">
        <v>2025</v>
      </c>
      <c r="F3272" s="1" t="inlineStr">
        <is>
          <t>DICIEMBRE</t>
        </is>
      </c>
      <c r="G3272" s="1" t="inlineStr">
        <is>
          <t>NANCY</t>
        </is>
      </c>
      <c r="H3272" s="1" t="inlineStr">
        <is>
          <t>NANCY 03/12/2025</t>
        </is>
      </c>
      <c r="I3272" s="4" t="n">
        <v>8</v>
      </c>
      <c r="J3272" s="6" t="n">
        <v>4.19</v>
      </c>
      <c r="K3272" s="6" t="n">
        <v>99.12174647000001</v>
      </c>
      <c r="L3272" s="6">
        <f>I3272*K3272</f>
        <v/>
      </c>
      <c r="M3272" s="6">
        <f>K3272*4</f>
        <v/>
      </c>
      <c r="N3272" s="6" t="n">
        <v>499</v>
      </c>
    </row>
    <row r="3273">
      <c r="A3273" s="1" t="inlineStr">
        <is>
          <t>665bb4fe45383</t>
        </is>
      </c>
      <c r="B3273" s="1" t="inlineStr">
        <is>
          <t>ARETES DE PERLA YSL</t>
        </is>
      </c>
      <c r="C3273" s="1" t="inlineStr">
        <is>
          <t>Regular</t>
        </is>
      </c>
      <c r="D3273" s="1" t="inlineStr">
        <is>
          <t>01/03/2026</t>
        </is>
      </c>
      <c r="E3273" s="1" t="n">
        <v>2026</v>
      </c>
      <c r="F3273" s="1" t="inlineStr">
        <is>
          <t>MARZO</t>
        </is>
      </c>
      <c r="G3273" s="1" t="inlineStr">
        <is>
          <t>NANCY</t>
        </is>
      </c>
      <c r="H3273" s="1" t="inlineStr">
        <is>
          <t>NANCY 01/03/2026</t>
        </is>
      </c>
      <c r="I3273" s="4" t="n">
        <v>10</v>
      </c>
      <c r="J3273" s="6" t="n">
        <v>5.59</v>
      </c>
      <c r="K3273" s="6" t="n">
        <v>141.4477855</v>
      </c>
      <c r="L3273" s="6">
        <f>I3273*K3273</f>
        <v/>
      </c>
      <c r="M3273" s="6">
        <f>K3273*4</f>
        <v/>
      </c>
      <c r="N3273" s="6" t="n">
        <v>499</v>
      </c>
    </row>
    <row r="3274">
      <c r="A3274" s="1" t="inlineStr">
        <is>
          <t>665bb4fe45383</t>
        </is>
      </c>
      <c r="B3274" s="1" t="inlineStr">
        <is>
          <t>ARETES PERLA YSL</t>
        </is>
      </c>
      <c r="C3274" s="1" t="inlineStr">
        <is>
          <t>Regular</t>
        </is>
      </c>
      <c r="D3274" s="1" t="inlineStr">
        <is>
          <t>08/05/2026</t>
        </is>
      </c>
      <c r="E3274" s="1" t="n">
        <v>2026</v>
      </c>
      <c r="F3274" s="1" t="inlineStr">
        <is>
          <t>MAYO</t>
        </is>
      </c>
      <c r="G3274" s="1" t="inlineStr">
        <is>
          <t>NANCY</t>
        </is>
      </c>
      <c r="H3274" s="1" t="inlineStr">
        <is>
          <t>NANCY 08/05/2026</t>
        </is>
      </c>
      <c r="I3274" s="4" t="n">
        <v>4</v>
      </c>
      <c r="J3274" s="6" t="n">
        <v>4.19</v>
      </c>
      <c r="K3274" s="6" t="n">
        <v>99.12601696</v>
      </c>
      <c r="L3274" s="6">
        <f>I3274*K3274</f>
        <v/>
      </c>
      <c r="M3274" s="6">
        <f>K3274*4</f>
        <v/>
      </c>
      <c r="N3274" s="6" t="n">
        <v>499</v>
      </c>
    </row>
    <row r="3275">
      <c r="A3275" s="1" t="inlineStr">
        <is>
          <t>665bb4fe45383</t>
        </is>
      </c>
      <c r="B3275" s="1" t="inlineStr">
        <is>
          <t>ARETES PERLA YSL</t>
        </is>
      </c>
      <c r="C3275" s="1" t="inlineStr">
        <is>
          <t>Regular</t>
        </is>
      </c>
      <c r="D3275" s="1" t="inlineStr">
        <is>
          <t>31/05/2026</t>
        </is>
      </c>
      <c r="E3275" s="1" t="n">
        <v>2026</v>
      </c>
      <c r="F3275" s="1" t="inlineStr">
        <is>
          <t>MAYO</t>
        </is>
      </c>
      <c r="G3275" s="1" t="inlineStr">
        <is>
          <t>NANCY</t>
        </is>
      </c>
      <c r="H3275" s="1" t="inlineStr">
        <is>
          <t>NANCY 31/05/2026</t>
        </is>
      </c>
      <c r="I3275" s="4" t="n">
        <v>14</v>
      </c>
      <c r="J3275" s="6" t="n">
        <v>4.19</v>
      </c>
      <c r="K3275" s="6" t="n">
        <v>101.6812009</v>
      </c>
      <c r="L3275" s="6">
        <f>I3275*K3275</f>
        <v/>
      </c>
      <c r="M3275" s="6">
        <f>K3275*4</f>
        <v/>
      </c>
      <c r="N3275" s="6" t="n">
        <v>499</v>
      </c>
    </row>
    <row r="3276">
      <c r="A3276" s="1" t="inlineStr">
        <is>
          <t>665bb512aacaa</t>
        </is>
      </c>
      <c r="B3276" s="1" t="inlineStr">
        <is>
          <t>ARETES GC LOGO GOLD</t>
        </is>
      </c>
      <c r="C3276" s="1" t="inlineStr">
        <is>
          <t>Default Title</t>
        </is>
      </c>
      <c r="D3276" s="1" t="inlineStr">
        <is>
          <t>06/09/2025</t>
        </is>
      </c>
      <c r="E3276" s="1" t="n">
        <v>2025</v>
      </c>
      <c r="F3276" s="1" t="inlineStr">
        <is>
          <t>SEPTIEMBRE</t>
        </is>
      </c>
      <c r="G3276" s="1" t="inlineStr">
        <is>
          <t>NANCY</t>
        </is>
      </c>
      <c r="H3276" s="1" t="inlineStr">
        <is>
          <t>NANCY 06/09/2025</t>
        </is>
      </c>
      <c r="I3276" s="4" t="n">
        <v>3</v>
      </c>
      <c r="J3276" s="6" t="n">
        <v>3.99</v>
      </c>
      <c r="K3276" s="6" t="n">
        <v>92.90978174</v>
      </c>
      <c r="L3276" s="6">
        <f>I3276*K3276</f>
        <v/>
      </c>
      <c r="M3276" s="6">
        <f>K3276*4</f>
        <v/>
      </c>
      <c r="N3276" s="6" t="n">
        <v>480</v>
      </c>
    </row>
    <row r="3277">
      <c r="A3277" s="1" t="inlineStr">
        <is>
          <t>665bb512aacaa</t>
        </is>
      </c>
      <c r="B3277" s="1" t="inlineStr">
        <is>
          <t>ARETES GC LOGO GOLD</t>
        </is>
      </c>
      <c r="C3277" s="1" t="inlineStr">
        <is>
          <t>Default Title</t>
        </is>
      </c>
      <c r="D3277" s="1" t="inlineStr">
        <is>
          <t>03/12/2025</t>
        </is>
      </c>
      <c r="E3277" s="1" t="n">
        <v>2025</v>
      </c>
      <c r="F3277" s="1" t="inlineStr">
        <is>
          <t>DICIEMBRE</t>
        </is>
      </c>
      <c r="G3277" s="1" t="inlineStr">
        <is>
          <t>NANCY</t>
        </is>
      </c>
      <c r="H3277" s="1" t="inlineStr">
        <is>
          <t>NANCY 03/12/2025</t>
        </is>
      </c>
      <c r="I3277" s="4" t="n">
        <v>4</v>
      </c>
      <c r="J3277" s="6" t="n">
        <v>3.99</v>
      </c>
      <c r="K3277" s="6" t="n">
        <v>94.39039819</v>
      </c>
      <c r="L3277" s="6">
        <f>I3277*K3277</f>
        <v/>
      </c>
      <c r="M3277" s="6">
        <f>K3277*4</f>
        <v/>
      </c>
      <c r="N3277" s="6" t="n">
        <v>480</v>
      </c>
    </row>
    <row r="3278">
      <c r="A3278" s="1" t="inlineStr">
        <is>
          <t>665bb512aacaa</t>
        </is>
      </c>
      <c r="B3278" s="1" t="inlineStr">
        <is>
          <t>ARETES GC LOGO GOLD</t>
        </is>
      </c>
      <c r="C3278" s="1" t="inlineStr">
        <is>
          <t>Default Title</t>
        </is>
      </c>
      <c r="D3278" s="1" t="inlineStr">
        <is>
          <t>01/03/2026</t>
        </is>
      </c>
      <c r="E3278" s="1" t="n">
        <v>2026</v>
      </c>
      <c r="F3278" s="1" t="inlineStr">
        <is>
          <t>MARZO</t>
        </is>
      </c>
      <c r="G3278" s="1" t="inlineStr">
        <is>
          <t>NANCY</t>
        </is>
      </c>
      <c r="H3278" s="1" t="inlineStr">
        <is>
          <t>NANCY 01/03/2026</t>
        </is>
      </c>
      <c r="I3278" s="4" t="n">
        <v>7</v>
      </c>
      <c r="J3278" s="6" t="n">
        <v>5.59</v>
      </c>
      <c r="K3278" s="6" t="n">
        <v>141.4477855</v>
      </c>
      <c r="L3278" s="6">
        <f>I3278*K3278</f>
        <v/>
      </c>
      <c r="M3278" s="6">
        <f>K3278*4</f>
        <v/>
      </c>
      <c r="N3278" s="6" t="n">
        <v>480</v>
      </c>
    </row>
    <row r="3279">
      <c r="A3279" s="1" t="inlineStr">
        <is>
          <t>665bb512aacaa</t>
        </is>
      </c>
      <c r="B3279" s="1" t="inlineStr">
        <is>
          <t>ARETES GC LOGO GOLD</t>
        </is>
      </c>
      <c r="C3279" s="1" t="inlineStr">
        <is>
          <t>Default Title</t>
        </is>
      </c>
      <c r="D3279" s="1" t="inlineStr">
        <is>
          <t>31/05/2026</t>
        </is>
      </c>
      <c r="E3279" s="1" t="n">
        <v>2026</v>
      </c>
      <c r="F3279" s="1" t="inlineStr">
        <is>
          <t>MAYO</t>
        </is>
      </c>
      <c r="G3279" s="1" t="inlineStr">
        <is>
          <t>NANCY</t>
        </is>
      </c>
      <c r="H3279" s="1" t="inlineStr">
        <is>
          <t>NANCY 31/05/2026</t>
        </is>
      </c>
      <c r="I3279" s="4" t="n">
        <v>2</v>
      </c>
      <c r="J3279" s="6" t="n">
        <v>5.59</v>
      </c>
      <c r="K3279" s="6" t="n">
        <v>135.6558265</v>
      </c>
      <c r="L3279" s="6">
        <f>I3279*K3279</f>
        <v/>
      </c>
      <c r="M3279" s="6">
        <f>K3279*4</f>
        <v/>
      </c>
      <c r="N3279" s="6" t="n">
        <v>480</v>
      </c>
    </row>
    <row r="3280">
      <c r="A3280" s="1" t="inlineStr">
        <is>
          <t>665bb512aacaa</t>
        </is>
      </c>
      <c r="B3280" s="1" t="inlineStr">
        <is>
          <t>ARETES GC LOGO GOLD</t>
        </is>
      </c>
      <c r="C3280" s="1" t="inlineStr">
        <is>
          <t>Default Title</t>
        </is>
      </c>
      <c r="D3280" s="1" t="inlineStr">
        <is>
          <t>09/07/2026</t>
        </is>
      </c>
      <c r="E3280" s="1" t="n">
        <v>2026</v>
      </c>
      <c r="F3280" s="1" t="inlineStr">
        <is>
          <t>JULIO</t>
        </is>
      </c>
      <c r="G3280" s="1" t="inlineStr">
        <is>
          <t>NANCY</t>
        </is>
      </c>
      <c r="H3280" s="1" t="inlineStr">
        <is>
          <t>NANCY 09/07/2026</t>
        </is>
      </c>
      <c r="I3280" s="4" t="n">
        <v>4</v>
      </c>
      <c r="J3280" s="6" t="n">
        <v>5.59</v>
      </c>
      <c r="K3280" s="6" t="n">
        <v>136.2029957</v>
      </c>
      <c r="L3280" s="6">
        <f>I3280*K3280</f>
        <v/>
      </c>
      <c r="M3280" s="6">
        <f>K3280*4</f>
        <v/>
      </c>
      <c r="N3280" s="6" t="n">
        <v>480</v>
      </c>
    </row>
    <row r="3281">
      <c r="A3281" s="1" t="inlineStr">
        <is>
          <t>665bb51372697</t>
        </is>
      </c>
      <c r="B3281" s="1" t="inlineStr">
        <is>
          <t>ARETES GC LOGO SILVER</t>
        </is>
      </c>
      <c r="C3281" s="1" t="inlineStr">
        <is>
          <t>Regular</t>
        </is>
      </c>
      <c r="D3281" s="1" t="inlineStr">
        <is>
          <t>08/05/2026</t>
        </is>
      </c>
      <c r="E3281" s="1" t="n">
        <v>2026</v>
      </c>
      <c r="F3281" s="1" t="inlineStr">
        <is>
          <t>MAYO</t>
        </is>
      </c>
      <c r="G3281" s="1" t="inlineStr">
        <is>
          <t>NANCY</t>
        </is>
      </c>
      <c r="H3281" s="1" t="inlineStr">
        <is>
          <t>NANCY 08/05/2026</t>
        </is>
      </c>
      <c r="I3281" s="4" t="n">
        <v>2</v>
      </c>
      <c r="J3281" s="6" t="n">
        <v>5.59</v>
      </c>
      <c r="K3281" s="6" t="n">
        <v>132.2468818</v>
      </c>
      <c r="L3281" s="6">
        <f>I3281*K3281</f>
        <v/>
      </c>
      <c r="M3281" s="6">
        <f>K3281*4</f>
        <v/>
      </c>
      <c r="N3281" s="6" t="n">
        <v>499</v>
      </c>
    </row>
    <row r="3282">
      <c r="A3282" s="1" t="inlineStr">
        <is>
          <t>665bb5192cc3b</t>
        </is>
      </c>
      <c r="B3282" s="1" t="inlineStr">
        <is>
          <t>ARETES LOCK GOLD</t>
        </is>
      </c>
      <c r="C3282" s="1" t="inlineStr">
        <is>
          <t>Default Title</t>
        </is>
      </c>
      <c r="D3282" s="1" t="inlineStr">
        <is>
          <t>03/12/2025</t>
        </is>
      </c>
      <c r="E3282" s="1" t="n">
        <v>2025</v>
      </c>
      <c r="F3282" s="1" t="inlineStr">
        <is>
          <t>DICIEMBRE</t>
        </is>
      </c>
      <c r="G3282" s="1" t="inlineStr">
        <is>
          <t>NANCY</t>
        </is>
      </c>
      <c r="H3282" s="1" t="inlineStr">
        <is>
          <t>NANCY 03/12/2025</t>
        </is>
      </c>
      <c r="I3282" s="4" t="n">
        <v>3</v>
      </c>
      <c r="J3282" s="6" t="n">
        <v>7.59</v>
      </c>
      <c r="K3282" s="6" t="n">
        <v>179.5546672</v>
      </c>
      <c r="L3282" s="6">
        <f>I3282*K3282</f>
        <v/>
      </c>
      <c r="M3282" s="6">
        <f>K3282*4</f>
        <v/>
      </c>
      <c r="N3282" s="6" t="n">
        <v>749</v>
      </c>
    </row>
    <row r="3283">
      <c r="A3283" s="1" t="inlineStr">
        <is>
          <t>665bb5192cc3b</t>
        </is>
      </c>
      <c r="B3283" s="1" t="inlineStr">
        <is>
          <t>ARETES LOCK GOLD</t>
        </is>
      </c>
      <c r="C3283" s="1" t="inlineStr">
        <is>
          <t>Default Title</t>
        </is>
      </c>
      <c r="D3283" s="1" t="inlineStr">
        <is>
          <t>01/04/2026</t>
        </is>
      </c>
      <c r="E3283" s="1" t="n">
        <v>2026</v>
      </c>
      <c r="F3283" s="1" t="inlineStr">
        <is>
          <t>ABRIL</t>
        </is>
      </c>
      <c r="G3283" s="1" t="inlineStr">
        <is>
          <t>NANCY</t>
        </is>
      </c>
      <c r="H3283" s="1" t="inlineStr">
        <is>
          <t>NANCY 01/04/2026</t>
        </is>
      </c>
      <c r="I3283" s="4" t="n">
        <v>1</v>
      </c>
      <c r="J3283" s="6" t="n">
        <v>7.59</v>
      </c>
      <c r="K3283" s="6" t="n">
        <v>181.7084677</v>
      </c>
      <c r="L3283" s="6">
        <f>I3283*K3283</f>
        <v/>
      </c>
      <c r="M3283" s="6">
        <f>K3283*4</f>
        <v/>
      </c>
      <c r="N3283" s="6" t="n">
        <v>749</v>
      </c>
    </row>
    <row r="3284">
      <c r="A3284" s="1" t="inlineStr">
        <is>
          <t>665bb5192cc3b</t>
        </is>
      </c>
      <c r="B3284" s="1" t="inlineStr">
        <is>
          <t>ARETES LOCK GOLD</t>
        </is>
      </c>
      <c r="C3284" s="1" t="inlineStr">
        <is>
          <t>Default Title</t>
        </is>
      </c>
      <c r="D3284" s="1" t="inlineStr">
        <is>
          <t>08/05/2026</t>
        </is>
      </c>
      <c r="E3284" s="1" t="n">
        <v>2026</v>
      </c>
      <c r="F3284" s="1" t="inlineStr">
        <is>
          <t>MAYO</t>
        </is>
      </c>
      <c r="G3284" s="1" t="inlineStr">
        <is>
          <t>NANCY</t>
        </is>
      </c>
      <c r="H3284" s="1" t="inlineStr">
        <is>
          <t>NANCY 08/05/2026</t>
        </is>
      </c>
      <c r="I3284" s="4" t="n">
        <v>3</v>
      </c>
      <c r="J3284" s="6" t="n">
        <v>7.59</v>
      </c>
      <c r="K3284" s="6" t="n">
        <v>179.562403</v>
      </c>
      <c r="L3284" s="6">
        <f>I3284*K3284</f>
        <v/>
      </c>
      <c r="M3284" s="6">
        <f>K3284*4</f>
        <v/>
      </c>
      <c r="N3284" s="6" t="n">
        <v>749</v>
      </c>
    </row>
    <row r="3285">
      <c r="A3285" s="1" t="inlineStr">
        <is>
          <t>665bb51b8f87b-1</t>
        </is>
      </c>
      <c r="B3285" s="1" t="inlineStr">
        <is>
          <t>ARETES LOVE DORADOS</t>
        </is>
      </c>
      <c r="C3285" s="1" t="inlineStr">
        <is>
          <t>Regular</t>
        </is>
      </c>
      <c r="D3285" s="1" t="inlineStr">
        <is>
          <t>05/09/2025</t>
        </is>
      </c>
      <c r="E3285" s="1" t="n">
        <v>2025</v>
      </c>
      <c r="F3285" s="1" t="inlineStr">
        <is>
          <t>SEPTIEMBRE</t>
        </is>
      </c>
      <c r="G3285" s="1" t="inlineStr">
        <is>
          <t>CYNTHIA</t>
        </is>
      </c>
      <c r="H3285" s="1" t="inlineStr">
        <is>
          <t>CYNTHIA 05/09/2025</t>
        </is>
      </c>
      <c r="I3285" s="4" t="n">
        <v>6</v>
      </c>
      <c r="J3285" s="6" t="n">
        <v>2.6</v>
      </c>
      <c r="K3285" s="6" t="n">
        <v>65.46565201999999</v>
      </c>
      <c r="L3285" s="6">
        <f>I3285*K3285</f>
        <v/>
      </c>
      <c r="M3285" s="6">
        <f>K3285*4</f>
        <v/>
      </c>
      <c r="N3285" s="6" t="n">
        <v>400</v>
      </c>
    </row>
    <row r="3286">
      <c r="A3286" s="1" t="inlineStr">
        <is>
          <t>665bb51b8f87b-1</t>
        </is>
      </c>
      <c r="B3286" s="1" t="inlineStr">
        <is>
          <t>ARETES LOVE DORADOS</t>
        </is>
      </c>
      <c r="C3286" s="1" t="inlineStr">
        <is>
          <t>Regular</t>
        </is>
      </c>
      <c r="D3286" s="1" t="inlineStr">
        <is>
          <t>07/01/2026</t>
        </is>
      </c>
      <c r="E3286" s="1" t="n">
        <v>2026</v>
      </c>
      <c r="F3286" s="1" t="inlineStr">
        <is>
          <t>ENERO</t>
        </is>
      </c>
      <c r="G3286" s="1" t="inlineStr">
        <is>
          <t>CYNTHIA</t>
        </is>
      </c>
      <c r="H3286" s="1" t="inlineStr">
        <is>
          <t>CYNTHIA 07/01/2026</t>
        </is>
      </c>
      <c r="I3286" s="4" t="n">
        <v>8</v>
      </c>
      <c r="J3286" s="6" t="n">
        <v>2.6</v>
      </c>
      <c r="K3286" s="6" t="n">
        <v>69.12731195000001</v>
      </c>
      <c r="L3286" s="6">
        <f>I3286*K3286</f>
        <v/>
      </c>
      <c r="M3286" s="6">
        <f>K3286*4</f>
        <v/>
      </c>
      <c r="N3286" s="6" t="n">
        <v>400</v>
      </c>
    </row>
    <row r="3287">
      <c r="A3287" s="1" t="inlineStr">
        <is>
          <t>665bb51b8f87b-1</t>
        </is>
      </c>
      <c r="B3287" s="1" t="inlineStr">
        <is>
          <t>ARETES LOVE DORADOS</t>
        </is>
      </c>
      <c r="C3287" s="1" t="inlineStr">
        <is>
          <t>Regular</t>
        </is>
      </c>
      <c r="D3287" s="1" t="inlineStr">
        <is>
          <t>31/05/2026</t>
        </is>
      </c>
      <c r="E3287" s="1" t="n">
        <v>2026</v>
      </c>
      <c r="F3287" s="1" t="inlineStr">
        <is>
          <t>MAYO</t>
        </is>
      </c>
      <c r="G3287" s="1" t="inlineStr">
        <is>
          <t>CYNTHIA</t>
        </is>
      </c>
      <c r="H3287" s="1" t="inlineStr">
        <is>
          <t>CYNTHIA 31/05/2026</t>
        </is>
      </c>
      <c r="I3287" s="4" t="n">
        <v>8</v>
      </c>
      <c r="J3287" s="6" t="n">
        <v>2.6</v>
      </c>
      <c r="K3287" s="6" t="n">
        <v>68.90271694</v>
      </c>
      <c r="L3287" s="6">
        <f>I3287*K3287</f>
        <v/>
      </c>
      <c r="M3287" s="6">
        <f>K3287*4</f>
        <v/>
      </c>
      <c r="N3287" s="6" t="n">
        <v>400</v>
      </c>
    </row>
    <row r="3288">
      <c r="A3288" s="1" t="inlineStr">
        <is>
          <t>665bb51ee66d3</t>
        </is>
      </c>
      <c r="B3288" s="1" t="inlineStr">
        <is>
          <t>ARETES LOVE ROSE GOLD</t>
        </is>
      </c>
      <c r="C3288" s="1" t="inlineStr">
        <is>
          <t>Default Title</t>
        </is>
      </c>
      <c r="D3288" s="1" t="inlineStr">
        <is>
          <t>05/09/2025</t>
        </is>
      </c>
      <c r="E3288" s="1" t="n">
        <v>2025</v>
      </c>
      <c r="F3288" s="1" t="inlineStr">
        <is>
          <t>SEPTIEMBRE</t>
        </is>
      </c>
      <c r="G3288" s="1" t="inlineStr">
        <is>
          <t>CYNTHIA</t>
        </is>
      </c>
      <c r="H3288" s="1" t="inlineStr">
        <is>
          <t>CYNTHIA 05/09/2025</t>
        </is>
      </c>
      <c r="I3288" s="4" t="n">
        <v>6</v>
      </c>
      <c r="J3288" s="6" t="n">
        <v>2.6</v>
      </c>
      <c r="K3288" s="6" t="n">
        <v>65.46565201999999</v>
      </c>
      <c r="L3288" s="6">
        <f>I3288*K3288</f>
        <v/>
      </c>
      <c r="M3288" s="6">
        <f>K3288*4</f>
        <v/>
      </c>
      <c r="N3288" s="6" t="n">
        <v>400</v>
      </c>
    </row>
    <row r="3289">
      <c r="A3289" s="1" t="inlineStr">
        <is>
          <t>665bb75a563b8</t>
        </is>
      </c>
      <c r="B3289" s="1" t="inlineStr">
        <is>
          <t>ARETES MY LV SILVER</t>
        </is>
      </c>
      <c r="C3289" s="1" t="inlineStr">
        <is>
          <t>Default Title</t>
        </is>
      </c>
      <c r="D3289" s="1" t="inlineStr">
        <is>
          <t>01/03/2026</t>
        </is>
      </c>
      <c r="E3289" s="1" t="n">
        <v>2026</v>
      </c>
      <c r="F3289" s="1" t="inlineStr">
        <is>
          <t>MARZO</t>
        </is>
      </c>
      <c r="G3289" s="1" t="inlineStr">
        <is>
          <t>NANCY</t>
        </is>
      </c>
      <c r="H3289" s="1" t="inlineStr">
        <is>
          <t>NANCY 01/03/2026</t>
        </is>
      </c>
      <c r="I3289" s="4" t="n">
        <v>2</v>
      </c>
      <c r="J3289" s="6" t="n">
        <v>5.59</v>
      </c>
      <c r="K3289" s="6" t="n">
        <v>141.4477855</v>
      </c>
      <c r="L3289" s="6">
        <f>I3289*K3289</f>
        <v/>
      </c>
      <c r="M3289" s="6">
        <f>K3289*4</f>
        <v/>
      </c>
      <c r="N3289" s="6" t="n">
        <v>499</v>
      </c>
    </row>
    <row r="3290">
      <c r="A3290" s="1" t="inlineStr">
        <is>
          <t>665bb75a563b8</t>
        </is>
      </c>
      <c r="B3290" s="1" t="inlineStr">
        <is>
          <t>ARETES MY LV SILVER</t>
        </is>
      </c>
      <c r="C3290" s="1" t="inlineStr">
        <is>
          <t>Default Title</t>
        </is>
      </c>
      <c r="D3290" s="1" t="inlineStr">
        <is>
          <t>09/07/2026</t>
        </is>
      </c>
      <c r="E3290" s="1" t="n">
        <v>2026</v>
      </c>
      <c r="F3290" s="1" t="inlineStr">
        <is>
          <t>JULIO</t>
        </is>
      </c>
      <c r="G3290" s="1" t="inlineStr">
        <is>
          <t>NANCY</t>
        </is>
      </c>
      <c r="H3290" s="1" t="inlineStr">
        <is>
          <t>NANCY 09/07/2026</t>
        </is>
      </c>
      <c r="I3290" s="4" t="n">
        <v>1</v>
      </c>
      <c r="J3290" s="6" t="n">
        <v>6.29</v>
      </c>
      <c r="K3290" s="6" t="n">
        <v>153.258827</v>
      </c>
      <c r="L3290" s="6">
        <f>I3290*K3290</f>
        <v/>
      </c>
      <c r="M3290" s="6">
        <f>K3290*4</f>
        <v/>
      </c>
      <c r="N3290" s="6" t="n">
        <v>499</v>
      </c>
    </row>
    <row r="3291">
      <c r="A3291" s="1" t="inlineStr">
        <is>
          <t>665bb75c10369</t>
        </is>
      </c>
      <c r="B3291" s="1" t="inlineStr">
        <is>
          <t>ARETES LV MY GOLD</t>
        </is>
      </c>
      <c r="C3291" s="1" t="inlineStr">
        <is>
          <t>Regular</t>
        </is>
      </c>
      <c r="D3291" s="1" t="inlineStr">
        <is>
          <t>03/12/2025</t>
        </is>
      </c>
      <c r="E3291" s="1" t="n">
        <v>2025</v>
      </c>
      <c r="F3291" s="1" t="inlineStr">
        <is>
          <t>DICIEMBRE</t>
        </is>
      </c>
      <c r="G3291" s="1" t="inlineStr">
        <is>
          <t>NANCY</t>
        </is>
      </c>
      <c r="H3291" s="1" t="inlineStr">
        <is>
          <t>NANCY 03/12/2025</t>
        </is>
      </c>
      <c r="I3291" s="4" t="n">
        <v>3</v>
      </c>
      <c r="J3291" s="6" t="n">
        <v>5.59</v>
      </c>
      <c r="K3291" s="6" t="n">
        <v>132.2411844</v>
      </c>
      <c r="L3291" s="6">
        <f>I3291*K3291</f>
        <v/>
      </c>
      <c r="M3291" s="6">
        <f>K3291*4</f>
        <v/>
      </c>
      <c r="N3291" s="6" t="n">
        <v>400</v>
      </c>
    </row>
    <row r="3292">
      <c r="A3292" s="1" t="inlineStr">
        <is>
          <t>665bb75c10369</t>
        </is>
      </c>
      <c r="B3292" s="1" t="inlineStr">
        <is>
          <t>ARETES LV MY GOLD</t>
        </is>
      </c>
      <c r="C3292" s="1" t="inlineStr">
        <is>
          <t>Regular</t>
        </is>
      </c>
      <c r="D3292" s="1" t="inlineStr">
        <is>
          <t>31/05/2026</t>
        </is>
      </c>
      <c r="E3292" s="1" t="n">
        <v>2026</v>
      </c>
      <c r="F3292" s="1" t="inlineStr">
        <is>
          <t>MAYO</t>
        </is>
      </c>
      <c r="G3292" s="1" t="inlineStr">
        <is>
          <t>NANCY</t>
        </is>
      </c>
      <c r="H3292" s="1" t="inlineStr">
        <is>
          <t>NANCY 31/05/2026</t>
        </is>
      </c>
      <c r="I3292" s="4" t="n">
        <v>4</v>
      </c>
      <c r="J3292" s="6" t="n">
        <v>6.29</v>
      </c>
      <c r="K3292" s="6" t="n">
        <v>152.6431393</v>
      </c>
      <c r="L3292" s="6">
        <f>I3292*K3292</f>
        <v/>
      </c>
      <c r="M3292" s="6">
        <f>K3292*4</f>
        <v/>
      </c>
      <c r="N3292" s="6" t="n">
        <v>400</v>
      </c>
    </row>
    <row r="3293">
      <c r="A3293" s="1" t="inlineStr">
        <is>
          <t>665bb75e1389b</t>
        </is>
      </c>
      <c r="B3293" s="1" t="inlineStr">
        <is>
          <t>ARETES SCREW LOVE GOLD</t>
        </is>
      </c>
      <c r="C3293" s="1" t="inlineStr">
        <is>
          <t>MEDIUM</t>
        </is>
      </c>
      <c r="D3293" s="1" t="inlineStr">
        <is>
          <t>11/11/2025</t>
        </is>
      </c>
      <c r="E3293" s="1" t="n">
        <v>2025</v>
      </c>
      <c r="F3293" s="1" t="inlineStr">
        <is>
          <t>NOVIEMBRE</t>
        </is>
      </c>
      <c r="G3293" s="1" t="inlineStr">
        <is>
          <t>HAIFENG</t>
        </is>
      </c>
      <c r="H3293" s="1" t="inlineStr">
        <is>
          <t>HAIFENG 11/11/2025</t>
        </is>
      </c>
      <c r="I3293" s="4" t="n">
        <v>10</v>
      </c>
      <c r="J3293" s="6" t="n">
        <v>2.99</v>
      </c>
      <c r="K3293" s="6" t="n">
        <v>62.97089035</v>
      </c>
      <c r="L3293" s="6">
        <f>I3293*K3293</f>
        <v/>
      </c>
      <c r="M3293" s="6">
        <f>K3293*4</f>
        <v/>
      </c>
      <c r="N3293" s="6" t="n">
        <v>550</v>
      </c>
    </row>
    <row r="3294">
      <c r="A3294" s="1" t="inlineStr">
        <is>
          <t>665bb75e1389b</t>
        </is>
      </c>
      <c r="B3294" s="1" t="inlineStr">
        <is>
          <t>ARETES SCREW LOVE GOLD</t>
        </is>
      </c>
      <c r="C3294" s="1" t="inlineStr">
        <is>
          <t>MEDIUM</t>
        </is>
      </c>
      <c r="D3294" s="1" t="inlineStr">
        <is>
          <t>10/02/2026</t>
        </is>
      </c>
      <c r="E3294" s="1" t="n">
        <v>2026</v>
      </c>
      <c r="F3294" s="1" t="inlineStr">
        <is>
          <t>FEBRERO</t>
        </is>
      </c>
      <c r="G3294" s="1" t="inlineStr">
        <is>
          <t>HAIFENG</t>
        </is>
      </c>
      <c r="H3294" s="1" t="inlineStr">
        <is>
          <t>HAIFENG 10/02/2026</t>
        </is>
      </c>
      <c r="I3294" s="4" t="n">
        <v>5</v>
      </c>
      <c r="J3294" s="6" t="n">
        <v>2.99</v>
      </c>
      <c r="K3294" s="6" t="n">
        <v>62.99480324</v>
      </c>
      <c r="L3294" s="6">
        <f>I3294*K3294</f>
        <v/>
      </c>
      <c r="M3294" s="6">
        <f>K3294*4</f>
        <v/>
      </c>
      <c r="N3294" s="6" t="n">
        <v>550</v>
      </c>
    </row>
    <row r="3295">
      <c r="A3295" s="1" t="inlineStr">
        <is>
          <t>665bb75e1389b</t>
        </is>
      </c>
      <c r="B3295" s="1" t="inlineStr">
        <is>
          <t>ARETES SCREW LOVE GOLD</t>
        </is>
      </c>
      <c r="C3295" s="1" t="inlineStr">
        <is>
          <t>MEDIUM</t>
        </is>
      </c>
      <c r="D3295" s="1" t="inlineStr">
        <is>
          <t>16/04/2026</t>
        </is>
      </c>
      <c r="E3295" s="1" t="n">
        <v>2026</v>
      </c>
      <c r="F3295" s="1" t="inlineStr">
        <is>
          <t>ABRIL</t>
        </is>
      </c>
      <c r="G3295" s="1" t="inlineStr">
        <is>
          <t>HAIFENG</t>
        </is>
      </c>
      <c r="H3295" s="1" t="inlineStr">
        <is>
          <t>HAIFENG 16/04/2026</t>
        </is>
      </c>
      <c r="I3295" s="4" t="n">
        <v>2</v>
      </c>
      <c r="J3295" s="6" t="n">
        <v>2.99</v>
      </c>
      <c r="K3295" s="6" t="n">
        <v>62.88410603</v>
      </c>
      <c r="L3295" s="6">
        <f>I3295*K3295</f>
        <v/>
      </c>
      <c r="M3295" s="6">
        <f>K3295*4</f>
        <v/>
      </c>
      <c r="N3295" s="6" t="n">
        <v>550</v>
      </c>
    </row>
    <row r="3296">
      <c r="A3296" s="1" t="inlineStr">
        <is>
          <t>665bb75e1389b</t>
        </is>
      </c>
      <c r="B3296" s="1" t="inlineStr">
        <is>
          <t>ARETES SCREW LOVE GOLD</t>
        </is>
      </c>
      <c r="C3296" s="1" t="inlineStr">
        <is>
          <t>MEDIUM</t>
        </is>
      </c>
      <c r="D3296" s="1" t="inlineStr">
        <is>
          <t>06/05/2026</t>
        </is>
      </c>
      <c r="E3296" s="1" t="n">
        <v>2026</v>
      </c>
      <c r="F3296" s="1" t="inlineStr">
        <is>
          <t>MAYO</t>
        </is>
      </c>
      <c r="G3296" s="1" t="inlineStr">
        <is>
          <t>HAIFENG</t>
        </is>
      </c>
      <c r="H3296" s="1" t="inlineStr">
        <is>
          <t>HAIFENG 06/05/2026</t>
        </is>
      </c>
      <c r="I3296" s="4" t="n">
        <v>2</v>
      </c>
      <c r="J3296" s="6" t="n">
        <v>2.99</v>
      </c>
      <c r="K3296" s="6" t="n">
        <v>63.44374038</v>
      </c>
      <c r="L3296" s="6">
        <f>I3296*K3296</f>
        <v/>
      </c>
      <c r="M3296" s="6">
        <f>K3296*4</f>
        <v/>
      </c>
      <c r="N3296" s="6" t="n">
        <v>550</v>
      </c>
    </row>
    <row r="3297">
      <c r="A3297" s="1" t="inlineStr">
        <is>
          <t>665bb75e1389b</t>
        </is>
      </c>
      <c r="B3297" s="1" t="inlineStr">
        <is>
          <t>ARETES SCREW LOVE GOLD</t>
        </is>
      </c>
      <c r="C3297" s="1" t="inlineStr">
        <is>
          <t>MEDIUM</t>
        </is>
      </c>
      <c r="D3297" s="1" t="inlineStr">
        <is>
          <t>16/06/2026</t>
        </is>
      </c>
      <c r="E3297" s="1" t="n">
        <v>2026</v>
      </c>
      <c r="F3297" s="1" t="inlineStr">
        <is>
          <t>JUNIO</t>
        </is>
      </c>
      <c r="G3297" s="1" t="inlineStr">
        <is>
          <t>HAIFENG</t>
        </is>
      </c>
      <c r="H3297" s="1" t="inlineStr">
        <is>
          <t>HAIFENG 16/06/2026</t>
        </is>
      </c>
      <c r="I3297" s="4" t="n">
        <v>8</v>
      </c>
      <c r="J3297" s="6" t="n">
        <v>2.99</v>
      </c>
      <c r="K3297" s="6" t="n">
        <v>62.83367331</v>
      </c>
      <c r="L3297" s="6">
        <f>I3297*K3297</f>
        <v/>
      </c>
      <c r="M3297" s="6">
        <f>K3297*4</f>
        <v/>
      </c>
      <c r="N3297" s="6" t="n">
        <v>550</v>
      </c>
    </row>
    <row r="3298">
      <c r="A3298" s="1" t="inlineStr">
        <is>
          <t>665bb75f8312e</t>
        </is>
      </c>
      <c r="B3298" s="1" t="inlineStr">
        <is>
          <t>ARETES SCREW LOVE ROSE GOLD</t>
        </is>
      </c>
      <c r="C3298" s="1" t="inlineStr">
        <is>
          <t>MEDIUM</t>
        </is>
      </c>
      <c r="D3298" s="1" t="inlineStr">
        <is>
          <t>25/09/2025</t>
        </is>
      </c>
      <c r="E3298" s="1" t="n">
        <v>2025</v>
      </c>
      <c r="F3298" s="1" t="inlineStr">
        <is>
          <t>SEPTIEMBRE</t>
        </is>
      </c>
      <c r="G3298" s="1" t="inlineStr">
        <is>
          <t>HAIFENG</t>
        </is>
      </c>
      <c r="H3298" s="1" t="inlineStr">
        <is>
          <t>HAIFENG 25/09/2025</t>
        </is>
      </c>
      <c r="I3298" s="4" t="n">
        <v>3</v>
      </c>
      <c r="J3298" s="6" t="n">
        <v>2.99</v>
      </c>
      <c r="K3298" s="6" t="n">
        <v>63.07968845</v>
      </c>
      <c r="L3298" s="6">
        <f>I3298*K3298</f>
        <v/>
      </c>
      <c r="M3298" s="6">
        <f>K3298*4</f>
        <v/>
      </c>
      <c r="N3298" s="6" t="n">
        <v>550</v>
      </c>
    </row>
    <row r="3299">
      <c r="A3299" s="1" t="inlineStr">
        <is>
          <t>665bb75f8312e</t>
        </is>
      </c>
      <c r="B3299" s="1" t="inlineStr">
        <is>
          <t>ARETES SCREW LOVE ROSE GOLD</t>
        </is>
      </c>
      <c r="C3299" s="1" t="inlineStr">
        <is>
          <t>MEDIUM</t>
        </is>
      </c>
      <c r="D3299" s="1" t="inlineStr">
        <is>
          <t>03/12/2025</t>
        </is>
      </c>
      <c r="E3299" s="1" t="n">
        <v>2025</v>
      </c>
      <c r="F3299" s="1" t="inlineStr">
        <is>
          <t>DICIEMBRE</t>
        </is>
      </c>
      <c r="G3299" s="1" t="inlineStr">
        <is>
          <t>HAIFENG</t>
        </is>
      </c>
      <c r="H3299" s="1" t="inlineStr">
        <is>
          <t>HAIFENG 03/12/2025</t>
        </is>
      </c>
      <c r="I3299" s="4" t="n">
        <v>3</v>
      </c>
      <c r="J3299" s="6" t="n">
        <v>2.99</v>
      </c>
      <c r="K3299" s="6" t="n">
        <v>62.54230843</v>
      </c>
      <c r="L3299" s="6">
        <f>I3299*K3299</f>
        <v/>
      </c>
      <c r="M3299" s="6">
        <f>K3299*4</f>
        <v/>
      </c>
      <c r="N3299" s="6" t="n">
        <v>550</v>
      </c>
    </row>
    <row r="3300">
      <c r="A3300" s="1" t="inlineStr">
        <is>
          <t>665bb75f8312e</t>
        </is>
      </c>
      <c r="B3300" s="1" t="inlineStr">
        <is>
          <t>ARETES SCREW LOVE ROSE GOLD</t>
        </is>
      </c>
      <c r="C3300" s="1" t="inlineStr">
        <is>
          <t>MEDIUM</t>
        </is>
      </c>
      <c r="D3300" s="1" t="inlineStr">
        <is>
          <t>03/12/2025</t>
        </is>
      </c>
      <c r="E3300" s="1" t="n">
        <v>2025</v>
      </c>
      <c r="F3300" s="1" t="inlineStr">
        <is>
          <t>DICIEMBRE</t>
        </is>
      </c>
      <c r="G3300" s="1" t="inlineStr">
        <is>
          <t>HAIFENG</t>
        </is>
      </c>
      <c r="H3300" s="1" t="inlineStr">
        <is>
          <t>HAIFENG 03/12/2025</t>
        </is>
      </c>
      <c r="I3300" s="4" t="n">
        <v>1</v>
      </c>
      <c r="J3300" s="6" t="n">
        <v>2.99</v>
      </c>
      <c r="K3300" s="6" t="n">
        <v>62.54230843</v>
      </c>
      <c r="L3300" s="6">
        <f>I3300*K3300</f>
        <v/>
      </c>
      <c r="M3300" s="6">
        <f>K3300*4</f>
        <v/>
      </c>
      <c r="N3300" s="6" t="n">
        <v>550</v>
      </c>
    </row>
    <row r="3301">
      <c r="A3301" s="1" t="inlineStr">
        <is>
          <t>665bb75f8312e</t>
        </is>
      </c>
      <c r="B3301" s="1" t="inlineStr">
        <is>
          <t>ARETES SCREW LOVE ROSE GOLD</t>
        </is>
      </c>
      <c r="C3301" s="1" t="inlineStr">
        <is>
          <t>MEDIUM</t>
        </is>
      </c>
      <c r="D3301" s="1" t="inlineStr">
        <is>
          <t>16/06/2026</t>
        </is>
      </c>
      <c r="E3301" s="1" t="n">
        <v>2026</v>
      </c>
      <c r="F3301" s="1" t="inlineStr">
        <is>
          <t>JUNIO</t>
        </is>
      </c>
      <c r="G3301" s="1" t="inlineStr">
        <is>
          <t>HAIFENG</t>
        </is>
      </c>
      <c r="H3301" s="1" t="inlineStr">
        <is>
          <t>HAIFENG 16/06/2026</t>
        </is>
      </c>
      <c r="I3301" s="4" t="n">
        <v>2</v>
      </c>
      <c r="J3301" s="6" t="n">
        <v>2.99</v>
      </c>
      <c r="K3301" s="6" t="n">
        <v>62.83367331</v>
      </c>
      <c r="L3301" s="6">
        <f>I3301*K3301</f>
        <v/>
      </c>
      <c r="M3301" s="6">
        <f>K3301*4</f>
        <v/>
      </c>
      <c r="N3301" s="6" t="n">
        <v>550</v>
      </c>
    </row>
    <row r="3302">
      <c r="A3302" s="1" t="inlineStr">
        <is>
          <t>665bb7668ef3c</t>
        </is>
      </c>
      <c r="B3302" s="1" t="inlineStr">
        <is>
          <t>ARETES SCREW LOVE SILVER</t>
        </is>
      </c>
      <c r="C3302" s="1" t="inlineStr">
        <is>
          <t>MEDIUM</t>
        </is>
      </c>
      <c r="D3302" s="1" t="inlineStr">
        <is>
          <t>25/09/2025</t>
        </is>
      </c>
      <c r="E3302" s="1" t="n">
        <v>2025</v>
      </c>
      <c r="F3302" s="1" t="inlineStr">
        <is>
          <t>SEPTIEMBRE</t>
        </is>
      </c>
      <c r="G3302" s="1" t="inlineStr">
        <is>
          <t>HAIFENG</t>
        </is>
      </c>
      <c r="H3302" s="1" t="inlineStr">
        <is>
          <t>HAIFENG 25/09/2025</t>
        </is>
      </c>
      <c r="I3302" s="4" t="n">
        <v>2</v>
      </c>
      <c r="J3302" s="6" t="n">
        <v>2.99</v>
      </c>
      <c r="K3302" s="6" t="n">
        <v>63.07968845</v>
      </c>
      <c r="L3302" s="6">
        <f>I3302*K3302</f>
        <v/>
      </c>
      <c r="M3302" s="6">
        <f>K3302*4</f>
        <v/>
      </c>
      <c r="N3302" s="6" t="n">
        <v>550</v>
      </c>
    </row>
    <row r="3303">
      <c r="A3303" s="1" t="inlineStr">
        <is>
          <t>665bb7668ef3c</t>
        </is>
      </c>
      <c r="B3303" s="1" t="inlineStr">
        <is>
          <t>ARETES SCREW LOVE SILVER</t>
        </is>
      </c>
      <c r="C3303" s="1" t="inlineStr">
        <is>
          <t>MEDIUM</t>
        </is>
      </c>
      <c r="D3303" s="1" t="inlineStr">
        <is>
          <t>11/11/2025</t>
        </is>
      </c>
      <c r="E3303" s="1" t="n">
        <v>2025</v>
      </c>
      <c r="F3303" s="1" t="inlineStr">
        <is>
          <t>NOVIEMBRE</t>
        </is>
      </c>
      <c r="G3303" s="1" t="inlineStr">
        <is>
          <t>HAIFENG</t>
        </is>
      </c>
      <c r="H3303" s="1" t="inlineStr">
        <is>
          <t>HAIFENG 11/11/2025</t>
        </is>
      </c>
      <c r="I3303" s="4" t="n">
        <v>2</v>
      </c>
      <c r="J3303" s="6" t="n">
        <v>2.99</v>
      </c>
      <c r="K3303" s="6" t="n">
        <v>62.97089035</v>
      </c>
      <c r="L3303" s="6">
        <f>I3303*K3303</f>
        <v/>
      </c>
      <c r="M3303" s="6">
        <f>K3303*4</f>
        <v/>
      </c>
      <c r="N3303" s="6" t="n">
        <v>550</v>
      </c>
    </row>
    <row r="3304">
      <c r="A3304" s="1" t="inlineStr">
        <is>
          <t>665bb7668ef3c</t>
        </is>
      </c>
      <c r="B3304" s="1" t="inlineStr">
        <is>
          <t>ARETES SCREW LOVE SILVER</t>
        </is>
      </c>
      <c r="C3304" s="1" t="inlineStr">
        <is>
          <t>MEDIUM</t>
        </is>
      </c>
      <c r="D3304" s="1" t="inlineStr">
        <is>
          <t>03/12/2025</t>
        </is>
      </c>
      <c r="E3304" s="1" t="n">
        <v>2025</v>
      </c>
      <c r="F3304" s="1" t="inlineStr">
        <is>
          <t>DICIEMBRE</t>
        </is>
      </c>
      <c r="G3304" s="1" t="inlineStr">
        <is>
          <t>HAIFENG</t>
        </is>
      </c>
      <c r="H3304" s="1" t="inlineStr">
        <is>
          <t>HAIFENG 03/12/2025</t>
        </is>
      </c>
      <c r="I3304" s="4" t="n">
        <v>2</v>
      </c>
      <c r="J3304" s="6" t="n">
        <v>2.99</v>
      </c>
      <c r="K3304" s="6" t="n">
        <v>62.54230843</v>
      </c>
      <c r="L3304" s="6">
        <f>I3304*K3304</f>
        <v/>
      </c>
      <c r="M3304" s="6">
        <f>K3304*4</f>
        <v/>
      </c>
      <c r="N3304" s="6" t="n">
        <v>550</v>
      </c>
    </row>
    <row r="3305">
      <c r="A3305" s="1" t="inlineStr">
        <is>
          <t>665bb7668ef3c</t>
        </is>
      </c>
      <c r="B3305" s="1" t="inlineStr">
        <is>
          <t>ARETES SCREW LOVE SILVER</t>
        </is>
      </c>
      <c r="C3305" s="1" t="inlineStr">
        <is>
          <t>MEDIUM</t>
        </is>
      </c>
      <c r="D3305" s="1" t="inlineStr">
        <is>
          <t>10/02/2026</t>
        </is>
      </c>
      <c r="E3305" s="1" t="n">
        <v>2026</v>
      </c>
      <c r="F3305" s="1" t="inlineStr">
        <is>
          <t>FEBRERO</t>
        </is>
      </c>
      <c r="G3305" s="1" t="inlineStr">
        <is>
          <t>HAIFENG</t>
        </is>
      </c>
      <c r="H3305" s="1" t="inlineStr">
        <is>
          <t>HAIFENG 10/02/2026</t>
        </is>
      </c>
      <c r="I3305" s="4" t="n">
        <v>3</v>
      </c>
      <c r="J3305" s="6" t="n">
        <v>2.99</v>
      </c>
      <c r="K3305" s="6" t="n">
        <v>62.99480324</v>
      </c>
      <c r="L3305" s="6">
        <f>I3305*K3305</f>
        <v/>
      </c>
      <c r="M3305" s="6">
        <f>K3305*4</f>
        <v/>
      </c>
      <c r="N3305" s="6" t="n">
        <v>550</v>
      </c>
    </row>
    <row r="3306">
      <c r="A3306" s="1" t="inlineStr">
        <is>
          <t>665bb7668ef3c</t>
        </is>
      </c>
      <c r="B3306" s="1" t="inlineStr">
        <is>
          <t>ARETES SCREW LOVE SILVER</t>
        </is>
      </c>
      <c r="C3306" s="1" t="inlineStr">
        <is>
          <t>MEDIUM</t>
        </is>
      </c>
      <c r="D3306" s="1" t="inlineStr">
        <is>
          <t>26/05/2026</t>
        </is>
      </c>
      <c r="E3306" s="1" t="n">
        <v>2026</v>
      </c>
      <c r="F3306" s="1" t="inlineStr">
        <is>
          <t>MAYO</t>
        </is>
      </c>
      <c r="G3306" s="1" t="inlineStr">
        <is>
          <t>HAIFENG</t>
        </is>
      </c>
      <c r="H3306" s="1" t="inlineStr">
        <is>
          <t>HAIFENG 26/05/2026</t>
        </is>
      </c>
      <c r="I3306" s="4" t="n">
        <v>3</v>
      </c>
      <c r="J3306" s="6" t="n">
        <v>2.99</v>
      </c>
      <c r="K3306" s="6" t="n">
        <v>62.75799293</v>
      </c>
      <c r="L3306" s="6">
        <f>I3306*K3306</f>
        <v/>
      </c>
      <c r="M3306" s="6">
        <f>K3306*4</f>
        <v/>
      </c>
      <c r="N3306" s="6" t="n">
        <v>550</v>
      </c>
    </row>
    <row r="3307">
      <c r="A3307" s="1" t="inlineStr">
        <is>
          <t>665bb7668ef3c</t>
        </is>
      </c>
      <c r="B3307" s="1" t="inlineStr">
        <is>
          <t>ARETES SCREW LOVE SILVER</t>
        </is>
      </c>
      <c r="C3307" s="1" t="inlineStr">
        <is>
          <t>MEDIUM</t>
        </is>
      </c>
      <c r="D3307" s="1" t="inlineStr">
        <is>
          <t>16/06/2026</t>
        </is>
      </c>
      <c r="E3307" s="1" t="n">
        <v>2026</v>
      </c>
      <c r="F3307" s="1" t="inlineStr">
        <is>
          <t>JUNIO</t>
        </is>
      </c>
      <c r="G3307" s="1" t="inlineStr">
        <is>
          <t>HAIFENG</t>
        </is>
      </c>
      <c r="H3307" s="1" t="inlineStr">
        <is>
          <t>HAIFENG 16/06/2026</t>
        </is>
      </c>
      <c r="I3307" s="4" t="n">
        <v>2</v>
      </c>
      <c r="J3307" s="6" t="n">
        <v>2.99</v>
      </c>
      <c r="K3307" s="6" t="n">
        <v>62.83367331</v>
      </c>
      <c r="L3307" s="6">
        <f>I3307*K3307</f>
        <v/>
      </c>
      <c r="M3307" s="6">
        <f>K3307*4</f>
        <v/>
      </c>
      <c r="N3307" s="6" t="n">
        <v>550</v>
      </c>
    </row>
    <row r="3308">
      <c r="A3308" s="1" t="inlineStr">
        <is>
          <t>665bb76e6de16</t>
        </is>
      </c>
      <c r="B3308" s="1" t="inlineStr">
        <is>
          <t>ARETES TB GOLD</t>
        </is>
      </c>
      <c r="C3308" s="1" t="inlineStr">
        <is>
          <t>Regular</t>
        </is>
      </c>
      <c r="D3308" s="1" t="inlineStr">
        <is>
          <t>03/12/2025</t>
        </is>
      </c>
      <c r="E3308" s="1" t="n">
        <v>2025</v>
      </c>
      <c r="F3308" s="1" t="inlineStr">
        <is>
          <t>DICIEMBRE</t>
        </is>
      </c>
      <c r="G3308" s="1" t="inlineStr">
        <is>
          <t>NANCY</t>
        </is>
      </c>
      <c r="H3308" s="1" t="inlineStr">
        <is>
          <t>NANCY 03/12/2025</t>
        </is>
      </c>
      <c r="I3308" s="4" t="n">
        <v>5</v>
      </c>
      <c r="J3308" s="6" t="n">
        <v>2.79</v>
      </c>
      <c r="K3308" s="6" t="n">
        <v>66.00230851000001</v>
      </c>
      <c r="L3308" s="6">
        <f>I3308*K3308</f>
        <v/>
      </c>
      <c r="M3308" s="6">
        <f>K3308*4</f>
        <v/>
      </c>
      <c r="N3308" s="6" t="n">
        <v>450</v>
      </c>
    </row>
    <row r="3309">
      <c r="A3309" s="1" t="inlineStr">
        <is>
          <t>665bb76e6de16</t>
        </is>
      </c>
      <c r="B3309" s="1" t="inlineStr">
        <is>
          <t>ARETES TB GOLD</t>
        </is>
      </c>
      <c r="C3309" s="1" t="inlineStr">
        <is>
          <t>Regular</t>
        </is>
      </c>
      <c r="D3309" s="1" t="inlineStr">
        <is>
          <t>01/03/2026</t>
        </is>
      </c>
      <c r="E3309" s="1" t="n">
        <v>2026</v>
      </c>
      <c r="F3309" s="1" t="inlineStr">
        <is>
          <t>MARZO</t>
        </is>
      </c>
      <c r="G3309" s="1" t="inlineStr">
        <is>
          <t>NANCY</t>
        </is>
      </c>
      <c r="H3309" s="1" t="inlineStr">
        <is>
          <t>NANCY 01/03/2026</t>
        </is>
      </c>
      <c r="I3309" s="4" t="n">
        <v>8</v>
      </c>
      <c r="J3309" s="6" t="n">
        <v>2.79</v>
      </c>
      <c r="K3309" s="6" t="n">
        <v>70.59737416</v>
      </c>
      <c r="L3309" s="6">
        <f>I3309*K3309</f>
        <v/>
      </c>
      <c r="M3309" s="6">
        <f>K3309*4</f>
        <v/>
      </c>
      <c r="N3309" s="6" t="n">
        <v>450</v>
      </c>
    </row>
    <row r="3310">
      <c r="A3310" s="1" t="inlineStr">
        <is>
          <t>665bb76e6de16</t>
        </is>
      </c>
      <c r="B3310" s="1" t="inlineStr">
        <is>
          <t>ARETES TB GOLD</t>
        </is>
      </c>
      <c r="C3310" s="1" t="inlineStr">
        <is>
          <t>Regular</t>
        </is>
      </c>
      <c r="D3310" s="1" t="inlineStr">
        <is>
          <t>08/05/2026</t>
        </is>
      </c>
      <c r="E3310" s="1" t="n">
        <v>2026</v>
      </c>
      <c r="F3310" s="1" t="inlineStr">
        <is>
          <t>MAYO</t>
        </is>
      </c>
      <c r="G3310" s="1" t="inlineStr">
        <is>
          <t>NANCY</t>
        </is>
      </c>
      <c r="H3310" s="1" t="inlineStr">
        <is>
          <t>NANCY 08/05/2026</t>
        </is>
      </c>
      <c r="I3310" s="4" t="n">
        <v>15</v>
      </c>
      <c r="J3310" s="6" t="n">
        <v>2.79</v>
      </c>
      <c r="K3310" s="6" t="n">
        <v>66.00515211</v>
      </c>
      <c r="L3310" s="6">
        <f>I3310*K3310</f>
        <v/>
      </c>
      <c r="M3310" s="6">
        <f>K3310*4</f>
        <v/>
      </c>
      <c r="N3310" s="6" t="n">
        <v>450</v>
      </c>
    </row>
    <row r="3311">
      <c r="A3311" s="1" t="inlineStr">
        <is>
          <t>665bb76fc6270</t>
        </is>
      </c>
      <c r="B3311" s="1" t="inlineStr">
        <is>
          <t>ARETES TB SILVER</t>
        </is>
      </c>
      <c r="C3311" s="1" t="inlineStr">
        <is>
          <t>1.5 cm</t>
        </is>
      </c>
      <c r="D3311" s="1" t="inlineStr">
        <is>
          <t>03/12/2025</t>
        </is>
      </c>
      <c r="E3311" s="1" t="n">
        <v>2025</v>
      </c>
      <c r="F3311" s="1" t="inlineStr">
        <is>
          <t>DICIEMBRE</t>
        </is>
      </c>
      <c r="G3311" s="1" t="inlineStr">
        <is>
          <t>NANCY</t>
        </is>
      </c>
      <c r="H3311" s="1" t="inlineStr">
        <is>
          <t>NANCY 03/12/2025</t>
        </is>
      </c>
      <c r="I3311" s="4" t="n">
        <v>6</v>
      </c>
      <c r="J3311" s="6" t="n">
        <v>2.79</v>
      </c>
      <c r="K3311" s="6" t="n">
        <v>66.00230851000001</v>
      </c>
      <c r="L3311" s="6">
        <f>I3311*K3311</f>
        <v/>
      </c>
      <c r="M3311" s="6">
        <f>K3311*4</f>
        <v/>
      </c>
      <c r="N3311" s="6" t="n">
        <v>450</v>
      </c>
    </row>
    <row r="3312">
      <c r="A3312" s="1" t="inlineStr">
        <is>
          <t>665bb76fc6270</t>
        </is>
      </c>
      <c r="B3312" s="1" t="inlineStr">
        <is>
          <t>ARETES TB SILVER</t>
        </is>
      </c>
      <c r="C3312" s="1" t="inlineStr">
        <is>
          <t>1.5 cm</t>
        </is>
      </c>
      <c r="D3312" s="1" t="inlineStr">
        <is>
          <t>31/05/2026</t>
        </is>
      </c>
      <c r="E3312" s="1" t="n">
        <v>2026</v>
      </c>
      <c r="F3312" s="1" t="inlineStr">
        <is>
          <t>MAYO</t>
        </is>
      </c>
      <c r="G3312" s="1" t="inlineStr">
        <is>
          <t>NANCY</t>
        </is>
      </c>
      <c r="H3312" s="1" t="inlineStr">
        <is>
          <t>NANCY 31/05/2026</t>
        </is>
      </c>
      <c r="I3312" s="4" t="n">
        <v>6</v>
      </c>
      <c r="J3312" s="6" t="n">
        <v>2.99</v>
      </c>
      <c r="K3312" s="6" t="n">
        <v>72.56009323000001</v>
      </c>
      <c r="L3312" s="6">
        <f>I3312*K3312</f>
        <v/>
      </c>
      <c r="M3312" s="6">
        <f>K3312*4</f>
        <v/>
      </c>
      <c r="N3312" s="6" t="n">
        <v>450</v>
      </c>
    </row>
    <row r="3313">
      <c r="A3313" s="1" t="inlineStr">
        <is>
          <t>665bb779989a5</t>
        </is>
      </c>
      <c r="B3313" s="1" t="inlineStr">
        <is>
          <t>ARETES TRÉBOL GOLD-WHITE</t>
        </is>
      </c>
      <c r="C3313" s="1" t="inlineStr">
        <is>
          <t>HIGH QUALITY</t>
        </is>
      </c>
      <c r="D3313" s="1" t="inlineStr">
        <is>
          <t>20/01/2026</t>
        </is>
      </c>
      <c r="E3313" s="1" t="n">
        <v>2026</v>
      </c>
      <c r="F3313" s="1" t="inlineStr">
        <is>
          <t>ENERO</t>
        </is>
      </c>
      <c r="G3313" s="1" t="inlineStr">
        <is>
          <t>HAIFENG</t>
        </is>
      </c>
      <c r="H3313" s="1" t="inlineStr">
        <is>
          <t>HAIFENG 20/01/2026</t>
        </is>
      </c>
      <c r="I3313" s="4" t="n">
        <v>2</v>
      </c>
      <c r="J3313" s="6" t="n">
        <v>8</v>
      </c>
      <c r="K3313" s="6" t="n">
        <v>169.6033423</v>
      </c>
      <c r="L3313" s="6">
        <f>I3313*K3313</f>
        <v/>
      </c>
      <c r="M3313" s="6">
        <f>K3313*4</f>
        <v/>
      </c>
      <c r="N3313" s="6" t="n">
        <v>699</v>
      </c>
    </row>
    <row r="3314">
      <c r="A3314" s="1" t="inlineStr">
        <is>
          <t>665bb779989a5</t>
        </is>
      </c>
      <c r="B3314" s="1" t="inlineStr">
        <is>
          <t>ARETES TRÉBOL GOLD-WHITE</t>
        </is>
      </c>
      <c r="C3314" s="1" t="inlineStr">
        <is>
          <t>HIGH QUALITY</t>
        </is>
      </c>
      <c r="D3314" s="1" t="inlineStr">
        <is>
          <t>10/02/2026</t>
        </is>
      </c>
      <c r="E3314" s="1" t="n">
        <v>2026</v>
      </c>
      <c r="F3314" s="1" t="inlineStr">
        <is>
          <t>FEBRERO</t>
        </is>
      </c>
      <c r="G3314" s="1" t="inlineStr">
        <is>
          <t>HAIFENG</t>
        </is>
      </c>
      <c r="H3314" s="1" t="inlineStr">
        <is>
          <t>HAIFENG 10/02/2026</t>
        </is>
      </c>
      <c r="I3314" s="4" t="n">
        <v>2</v>
      </c>
      <c r="J3314" s="6" t="n">
        <v>8</v>
      </c>
      <c r="K3314" s="6" t="n">
        <v>168.5479685</v>
      </c>
      <c r="L3314" s="6">
        <f>I3314*K3314</f>
        <v/>
      </c>
      <c r="M3314" s="6">
        <f>K3314*4</f>
        <v/>
      </c>
      <c r="N3314" s="6" t="n">
        <v>699</v>
      </c>
    </row>
    <row r="3315">
      <c r="A3315" s="1" t="inlineStr">
        <is>
          <t>665bb779989a5</t>
        </is>
      </c>
      <c r="B3315" s="1" t="inlineStr">
        <is>
          <t>ARETES TRÉBOL GOLD-WHITE</t>
        </is>
      </c>
      <c r="C3315" s="1" t="inlineStr">
        <is>
          <t>HIGH QUALITY</t>
        </is>
      </c>
      <c r="D3315" s="1" t="inlineStr">
        <is>
          <t>16/04/2026</t>
        </is>
      </c>
      <c r="E3315" s="1" t="n">
        <v>2026</v>
      </c>
      <c r="F3315" s="1" t="inlineStr">
        <is>
          <t>ABRIL</t>
        </is>
      </c>
      <c r="G3315" s="1" t="inlineStr">
        <is>
          <t>HAIFENG</t>
        </is>
      </c>
      <c r="H3315" s="1" t="inlineStr">
        <is>
          <t>HAIFENG 16/04/2026</t>
        </is>
      </c>
      <c r="I3315" s="4" t="n">
        <v>2</v>
      </c>
      <c r="J3315" s="6" t="n">
        <v>8</v>
      </c>
      <c r="K3315" s="6" t="n">
        <v>168.2517887</v>
      </c>
      <c r="L3315" s="6">
        <f>I3315*K3315</f>
        <v/>
      </c>
      <c r="M3315" s="6">
        <f>K3315*4</f>
        <v/>
      </c>
      <c r="N3315" s="6" t="n">
        <v>699</v>
      </c>
    </row>
    <row r="3316">
      <c r="A3316" s="1" t="inlineStr">
        <is>
          <t>665bb779989a5</t>
        </is>
      </c>
      <c r="B3316" s="1" t="inlineStr">
        <is>
          <t>ARETES TRÉBOL GOLD-WHITE</t>
        </is>
      </c>
      <c r="C3316" s="1" t="inlineStr">
        <is>
          <t>HIGH QUALITY</t>
        </is>
      </c>
      <c r="D3316" s="1" t="inlineStr">
        <is>
          <t>26/05/2026</t>
        </is>
      </c>
      <c r="E3316" s="1" t="n">
        <v>2026</v>
      </c>
      <c r="F3316" s="1" t="inlineStr">
        <is>
          <t>MAYO</t>
        </is>
      </c>
      <c r="G3316" s="1" t="inlineStr">
        <is>
          <t>HAIFENG</t>
        </is>
      </c>
      <c r="H3316" s="1" t="inlineStr">
        <is>
          <t>HAIFENG 26/05/2026</t>
        </is>
      </c>
      <c r="I3316" s="4" t="n">
        <v>4</v>
      </c>
      <c r="J3316" s="6" t="n">
        <v>8</v>
      </c>
      <c r="K3316" s="6" t="n">
        <v>167.9143624</v>
      </c>
      <c r="L3316" s="6">
        <f>I3316*K3316</f>
        <v/>
      </c>
      <c r="M3316" s="6">
        <f>K3316*4</f>
        <v/>
      </c>
      <c r="N3316" s="6" t="n">
        <v>699</v>
      </c>
    </row>
    <row r="3317">
      <c r="A3317" s="1" t="inlineStr">
        <is>
          <t>665bb779989a5</t>
        </is>
      </c>
      <c r="B3317" s="1" t="inlineStr">
        <is>
          <t>ARETES TRÉBOL GOLD-WHITE</t>
        </is>
      </c>
      <c r="C3317" s="1" t="inlineStr">
        <is>
          <t>HIGH QUALITY</t>
        </is>
      </c>
      <c r="D3317" s="1" t="inlineStr">
        <is>
          <t>16/06/2026</t>
        </is>
      </c>
      <c r="E3317" s="1" t="n">
        <v>2026</v>
      </c>
      <c r="F3317" s="1" t="inlineStr">
        <is>
          <t>JUNIO</t>
        </is>
      </c>
      <c r="G3317" s="1" t="inlineStr">
        <is>
          <t>HAIFENG</t>
        </is>
      </c>
      <c r="H3317" s="1" t="inlineStr">
        <is>
          <t>HAIFENG 16/06/2026</t>
        </is>
      </c>
      <c r="I3317" s="4" t="n">
        <v>4</v>
      </c>
      <c r="J3317" s="6" t="n">
        <v>8</v>
      </c>
      <c r="K3317" s="6" t="n">
        <v>168.1168517</v>
      </c>
      <c r="L3317" s="6">
        <f>I3317*K3317</f>
        <v/>
      </c>
      <c r="M3317" s="6">
        <f>K3317*4</f>
        <v/>
      </c>
      <c r="N3317" s="6" t="n">
        <v>699</v>
      </c>
    </row>
    <row r="3318">
      <c r="A3318" s="1" t="inlineStr">
        <is>
          <t>665bb779a07ff</t>
        </is>
      </c>
      <c r="B3318" s="1" t="inlineStr">
        <is>
          <t>ARETES TREBOL ROSE GOLD WHITE</t>
        </is>
      </c>
      <c r="C3318" s="1" t="inlineStr">
        <is>
          <t>REGULAR</t>
        </is>
      </c>
      <c r="D3318" s="1" t="inlineStr">
        <is>
          <t>11/11/2025</t>
        </is>
      </c>
      <c r="E3318" s="1" t="n">
        <v>2025</v>
      </c>
      <c r="F3318" s="1" t="inlineStr">
        <is>
          <t>NOVIEMBRE</t>
        </is>
      </c>
      <c r="G3318" s="1" t="inlineStr">
        <is>
          <t>HAIFENG</t>
        </is>
      </c>
      <c r="H3318" s="1" t="inlineStr">
        <is>
          <t>HAIFENG 11/11/2025</t>
        </is>
      </c>
      <c r="I3318" s="4" t="n">
        <v>10</v>
      </c>
      <c r="J3318" s="6" t="n">
        <v>16</v>
      </c>
      <c r="K3318" s="6" t="n">
        <v>336.9679751</v>
      </c>
      <c r="L3318" s="6">
        <f>I3318*K3318</f>
        <v/>
      </c>
      <c r="M3318" s="6">
        <f>K3318*4</f>
        <v/>
      </c>
      <c r="N3318" s="6" t="n">
        <v>850</v>
      </c>
    </row>
    <row r="3319">
      <c r="A3319" s="1" t="inlineStr">
        <is>
          <t>665bb779a07ff</t>
        </is>
      </c>
      <c r="B3319" s="1" t="inlineStr">
        <is>
          <t>ARETES TREBOL ROSE GOLD WHITE</t>
        </is>
      </c>
      <c r="C3319" s="1" t="inlineStr">
        <is>
          <t>REGULAR</t>
        </is>
      </c>
      <c r="D3319" s="1" t="inlineStr">
        <is>
          <t>03/12/2025</t>
        </is>
      </c>
      <c r="E3319" s="1" t="n">
        <v>2025</v>
      </c>
      <c r="F3319" s="1" t="inlineStr">
        <is>
          <t>DICIEMBRE</t>
        </is>
      </c>
      <c r="G3319" s="1" t="inlineStr">
        <is>
          <t>HAIFENG</t>
        </is>
      </c>
      <c r="H3319" s="1" t="inlineStr">
        <is>
          <t>HAIFENG 03/12/2025</t>
        </is>
      </c>
      <c r="I3319" s="4" t="n">
        <v>2</v>
      </c>
      <c r="J3319" s="6" t="n">
        <v>16</v>
      </c>
      <c r="K3319" s="6" t="n">
        <v>334.6745602</v>
      </c>
      <c r="L3319" s="6">
        <f>I3319*K3319</f>
        <v/>
      </c>
      <c r="M3319" s="6">
        <f>K3319*4</f>
        <v/>
      </c>
      <c r="N3319" s="6" t="n">
        <v>850</v>
      </c>
    </row>
    <row r="3320">
      <c r="A3320" s="1" t="inlineStr">
        <is>
          <t>665bb779a07ff</t>
        </is>
      </c>
      <c r="B3320" s="1" t="inlineStr">
        <is>
          <t>ARETES TREBOL ROSE GOLD WHITE</t>
        </is>
      </c>
      <c r="C3320" s="1" t="inlineStr">
        <is>
          <t>REGULAR</t>
        </is>
      </c>
      <c r="D3320" s="1" t="inlineStr">
        <is>
          <t>06/05/2026</t>
        </is>
      </c>
      <c r="E3320" s="1" t="n">
        <v>2026</v>
      </c>
      <c r="F3320" s="1" t="inlineStr">
        <is>
          <t>MAYO</t>
        </is>
      </c>
      <c r="G3320" s="1" t="inlineStr">
        <is>
          <t>HAIFENG</t>
        </is>
      </c>
      <c r="H3320" s="1" t="inlineStr">
        <is>
          <t>HAIFENG 06/05/2026</t>
        </is>
      </c>
      <c r="I3320" s="4" t="n">
        <v>2</v>
      </c>
      <c r="J3320" s="6" t="n">
        <v>8</v>
      </c>
      <c r="K3320" s="6" t="n">
        <v>169.7491381</v>
      </c>
      <c r="L3320" s="6">
        <f>I3320*K3320</f>
        <v/>
      </c>
      <c r="M3320" s="6">
        <f>K3320*4</f>
        <v/>
      </c>
      <c r="N3320" s="6" t="n">
        <v>850</v>
      </c>
    </row>
    <row r="3321">
      <c r="A3321" s="1" t="inlineStr">
        <is>
          <t>665bb7808142d</t>
        </is>
      </c>
      <c r="B3321" s="1" t="inlineStr">
        <is>
          <t>ARETES TRES AROS</t>
        </is>
      </c>
      <c r="C3321" s="1" t="inlineStr">
        <is>
          <t>Default Title</t>
        </is>
      </c>
      <c r="D3321" s="1" t="inlineStr">
        <is>
          <t>01/09/2025</t>
        </is>
      </c>
      <c r="E3321" s="1" t="n">
        <v>2025</v>
      </c>
      <c r="F3321" s="1" t="inlineStr">
        <is>
          <t>SEPTIEMBRE</t>
        </is>
      </c>
      <c r="G3321" s="1" t="inlineStr">
        <is>
          <t>HAIFENG</t>
        </is>
      </c>
      <c r="H3321" s="1" t="inlineStr">
        <is>
          <t>HAIFENG 01/09/2025</t>
        </is>
      </c>
      <c r="I3321" s="4" t="n">
        <v>3</v>
      </c>
      <c r="J3321" s="6" t="n">
        <v>7.9</v>
      </c>
      <c r="K3321" s="6" t="n">
        <v>167.9198014</v>
      </c>
      <c r="L3321" s="6">
        <f>I3321*K3321</f>
        <v/>
      </c>
      <c r="M3321" s="6">
        <f>K3321*4</f>
        <v/>
      </c>
      <c r="N3321" s="6" t="n">
        <v>651</v>
      </c>
    </row>
    <row r="3322">
      <c r="A3322" s="1" t="inlineStr">
        <is>
          <t>665bb7808142d</t>
        </is>
      </c>
      <c r="B3322" s="1" t="inlineStr">
        <is>
          <t>ARETES TRES AROS</t>
        </is>
      </c>
      <c r="C3322" s="1" t="inlineStr">
        <is>
          <t>Default Title</t>
        </is>
      </c>
      <c r="D3322" s="1" t="inlineStr">
        <is>
          <t>25/09/2025</t>
        </is>
      </c>
      <c r="E3322" s="1" t="n">
        <v>2025</v>
      </c>
      <c r="F3322" s="1" t="inlineStr">
        <is>
          <t>SEPTIEMBRE</t>
        </is>
      </c>
      <c r="G3322" s="1" t="inlineStr">
        <is>
          <t>HAIFENG</t>
        </is>
      </c>
      <c r="H3322" s="1" t="inlineStr">
        <is>
          <t>HAIFENG 25/09/2025</t>
        </is>
      </c>
      <c r="I3322" s="4" t="n">
        <v>1</v>
      </c>
      <c r="J3322" s="6" t="n">
        <v>7.9</v>
      </c>
      <c r="K3322" s="6" t="n">
        <v>166.6653976</v>
      </c>
      <c r="L3322" s="6">
        <f>I3322*K3322</f>
        <v/>
      </c>
      <c r="M3322" s="6">
        <f>K3322*4</f>
        <v/>
      </c>
      <c r="N3322" s="6" t="n">
        <v>651</v>
      </c>
    </row>
    <row r="3323">
      <c r="A3323" s="1" t="inlineStr">
        <is>
          <t>665bb7808142d</t>
        </is>
      </c>
      <c r="B3323" s="1" t="inlineStr">
        <is>
          <t>ARETES TRES AROS</t>
        </is>
      </c>
      <c r="C3323" s="1" t="inlineStr">
        <is>
          <t>Default Title</t>
        </is>
      </c>
      <c r="D3323" s="1" t="inlineStr">
        <is>
          <t>11/11/2025</t>
        </is>
      </c>
      <c r="E3323" s="1" t="n">
        <v>2025</v>
      </c>
      <c r="F3323" s="1" t="inlineStr">
        <is>
          <t>NOVIEMBRE</t>
        </is>
      </c>
      <c r="G3323" s="1" t="inlineStr">
        <is>
          <t>HAIFENG</t>
        </is>
      </c>
      <c r="H3323" s="1" t="inlineStr">
        <is>
          <t>HAIFENG 11/11/2025</t>
        </is>
      </c>
      <c r="I3323" s="4" t="n">
        <v>3</v>
      </c>
      <c r="J3323" s="6" t="n">
        <v>7.9</v>
      </c>
      <c r="K3323" s="6" t="n">
        <v>166.3779377</v>
      </c>
      <c r="L3323" s="6">
        <f>I3323*K3323</f>
        <v/>
      </c>
      <c r="M3323" s="6">
        <f>K3323*4</f>
        <v/>
      </c>
      <c r="N3323" s="6" t="n">
        <v>651</v>
      </c>
    </row>
    <row r="3324">
      <c r="A3324" s="1" t="inlineStr">
        <is>
          <t>665bb7808142d</t>
        </is>
      </c>
      <c r="B3324" s="1" t="inlineStr">
        <is>
          <t>ARETES TRES AROS</t>
        </is>
      </c>
      <c r="C3324" s="1" t="inlineStr">
        <is>
          <t>Default Title</t>
        </is>
      </c>
      <c r="D3324" s="1" t="inlineStr">
        <is>
          <t>03/12/2025</t>
        </is>
      </c>
      <c r="E3324" s="1" t="n">
        <v>2025</v>
      </c>
      <c r="F3324" s="1" t="inlineStr">
        <is>
          <t>DICIEMBRE</t>
        </is>
      </c>
      <c r="G3324" s="1" t="inlineStr">
        <is>
          <t>HAIFENG</t>
        </is>
      </c>
      <c r="H3324" s="1" t="inlineStr">
        <is>
          <t>HAIFENG 03/12/2025</t>
        </is>
      </c>
      <c r="I3324" s="4" t="n">
        <v>5</v>
      </c>
      <c r="J3324" s="6" t="n">
        <v>7.9</v>
      </c>
      <c r="K3324" s="6" t="n">
        <v>165.2455641</v>
      </c>
      <c r="L3324" s="6">
        <f>I3324*K3324</f>
        <v/>
      </c>
      <c r="M3324" s="6">
        <f>K3324*4</f>
        <v/>
      </c>
      <c r="N3324" s="6" t="n">
        <v>651</v>
      </c>
    </row>
    <row r="3325">
      <c r="A3325" s="1" t="inlineStr">
        <is>
          <t>665bb7808142d</t>
        </is>
      </c>
      <c r="B3325" s="1" t="inlineStr">
        <is>
          <t>ARETES TRES AROS</t>
        </is>
      </c>
      <c r="C3325" s="1" t="inlineStr">
        <is>
          <t>Default Title</t>
        </is>
      </c>
      <c r="D3325" s="1" t="inlineStr">
        <is>
          <t>11/03/2026</t>
        </is>
      </c>
      <c r="E3325" s="1" t="n">
        <v>2026</v>
      </c>
      <c r="F3325" s="1" t="inlineStr">
        <is>
          <t>MARZO</t>
        </is>
      </c>
      <c r="G3325" s="1" t="inlineStr">
        <is>
          <t>HAIFENG</t>
        </is>
      </c>
      <c r="H3325" s="1" t="inlineStr">
        <is>
          <t>HAIFENG 11/03/2026</t>
        </is>
      </c>
      <c r="I3325" s="4" t="n">
        <v>9</v>
      </c>
      <c r="J3325" s="6" t="n">
        <v>7.9</v>
      </c>
      <c r="K3325" s="6" t="n">
        <v>168.3007801</v>
      </c>
      <c r="L3325" s="6">
        <f>I3325*K3325</f>
        <v/>
      </c>
      <c r="M3325" s="6">
        <f>K3325*4</f>
        <v/>
      </c>
      <c r="N3325" s="6" t="n">
        <v>651</v>
      </c>
    </row>
    <row r="3326">
      <c r="A3326" s="1" t="inlineStr">
        <is>
          <t>665bb7808142d</t>
        </is>
      </c>
      <c r="B3326" s="1" t="inlineStr">
        <is>
          <t>ARETES TRES AROS</t>
        </is>
      </c>
      <c r="C3326" s="1" t="inlineStr">
        <is>
          <t>Default Title</t>
        </is>
      </c>
      <c r="D3326" s="1" t="inlineStr">
        <is>
          <t>06/05/2026</t>
        </is>
      </c>
      <c r="E3326" s="1" t="n">
        <v>2026</v>
      </c>
      <c r="F3326" s="1" t="inlineStr">
        <is>
          <t>MAYO</t>
        </is>
      </c>
      <c r="G3326" s="1" t="inlineStr">
        <is>
          <t>HAIFENG</t>
        </is>
      </c>
      <c r="H3326" s="1" t="inlineStr">
        <is>
          <t>HAIFENG 06/05/2026</t>
        </is>
      </c>
      <c r="I3326" s="4" t="n">
        <v>6</v>
      </c>
      <c r="J3326" s="6" t="n">
        <v>7.9</v>
      </c>
      <c r="K3326" s="6" t="n">
        <v>167.6272739</v>
      </c>
      <c r="L3326" s="6">
        <f>I3326*K3326</f>
        <v/>
      </c>
      <c r="M3326" s="6">
        <f>K3326*4</f>
        <v/>
      </c>
      <c r="N3326" s="6" t="n">
        <v>651</v>
      </c>
    </row>
    <row r="3327">
      <c r="A3327" s="1" t="inlineStr">
        <is>
          <t>665bb78f1ae43</t>
        </is>
      </c>
      <c r="B3327" s="1" t="inlineStr">
        <is>
          <t>ARETES YSL GOLD CON ZIRCONIA</t>
        </is>
      </c>
      <c r="C3327" s="1" t="inlineStr">
        <is>
          <t>Regular</t>
        </is>
      </c>
      <c r="D3327" s="1" t="inlineStr">
        <is>
          <t>03/12/2025</t>
        </is>
      </c>
      <c r="E3327" s="1" t="n">
        <v>2025</v>
      </c>
      <c r="F3327" s="1" t="inlineStr">
        <is>
          <t>DICIEMBRE</t>
        </is>
      </c>
      <c r="G3327" s="1" t="inlineStr">
        <is>
          <t>NANCY</t>
        </is>
      </c>
      <c r="H3327" s="1" t="inlineStr">
        <is>
          <t>NANCY 03/12/2025</t>
        </is>
      </c>
      <c r="I3327" s="4" t="n">
        <v>3</v>
      </c>
      <c r="J3327" s="6" t="n">
        <v>6.99</v>
      </c>
      <c r="K3327" s="6" t="n">
        <v>165.3606224</v>
      </c>
      <c r="L3327" s="6">
        <f>I3327*K3327</f>
        <v/>
      </c>
      <c r="M3327" s="6">
        <f>K3327*4</f>
        <v/>
      </c>
      <c r="N3327" s="6" t="n">
        <v>650</v>
      </c>
    </row>
    <row r="3328">
      <c r="A3328" s="1" t="inlineStr">
        <is>
          <t>665bb78f1ae43</t>
        </is>
      </c>
      <c r="B3328" s="1" t="inlineStr">
        <is>
          <t>ARETES YSL GOLD CON ZIRCONIA</t>
        </is>
      </c>
      <c r="C3328" s="1" t="inlineStr">
        <is>
          <t>Regular</t>
        </is>
      </c>
      <c r="D3328" s="1" t="inlineStr">
        <is>
          <t>01/04/2026</t>
        </is>
      </c>
      <c r="E3328" s="1" t="n">
        <v>2026</v>
      </c>
      <c r="F3328" s="1" t="inlineStr">
        <is>
          <t>ABRIL</t>
        </is>
      </c>
      <c r="G3328" s="1" t="inlineStr">
        <is>
          <t>NANCY</t>
        </is>
      </c>
      <c r="H3328" s="1" t="inlineStr">
        <is>
          <t>NANCY 01/04/2026</t>
        </is>
      </c>
      <c r="I3328" s="4" t="n">
        <v>3</v>
      </c>
      <c r="J3328" s="6" t="n">
        <v>6.99</v>
      </c>
      <c r="K3328" s="6" t="n">
        <v>167.344162</v>
      </c>
      <c r="L3328" s="6">
        <f>I3328*K3328</f>
        <v/>
      </c>
      <c r="M3328" s="6">
        <f>K3328*4</f>
        <v/>
      </c>
      <c r="N3328" s="6" t="n">
        <v>650</v>
      </c>
    </row>
    <row r="3329">
      <c r="A3329" s="1" t="inlineStr">
        <is>
          <t>665bb78f1ae43</t>
        </is>
      </c>
      <c r="B3329" s="1" t="inlineStr">
        <is>
          <t>ARETES YSL GOLD CON ZIRCONIA</t>
        </is>
      </c>
      <c r="C3329" s="1" t="inlineStr">
        <is>
          <t>Regular</t>
        </is>
      </c>
      <c r="D3329" s="1" t="inlineStr">
        <is>
          <t>08/05/2026</t>
        </is>
      </c>
      <c r="E3329" s="1" t="n">
        <v>2026</v>
      </c>
      <c r="F3329" s="1" t="inlineStr">
        <is>
          <t>MAYO</t>
        </is>
      </c>
      <c r="G3329" s="1" t="inlineStr">
        <is>
          <t>NANCY</t>
        </is>
      </c>
      <c r="H3329" s="1" t="inlineStr">
        <is>
          <t>NANCY 08/05/2026</t>
        </is>
      </c>
      <c r="I3329" s="4" t="n">
        <v>2</v>
      </c>
      <c r="J3329" s="6" t="n">
        <v>6.99</v>
      </c>
      <c r="K3329" s="6" t="n">
        <v>165.3677467</v>
      </c>
      <c r="L3329" s="6">
        <f>I3329*K3329</f>
        <v/>
      </c>
      <c r="M3329" s="6">
        <f>K3329*4</f>
        <v/>
      </c>
      <c r="N3329" s="6" t="n">
        <v>650</v>
      </c>
    </row>
    <row r="3330">
      <c r="A3330" s="1" t="inlineStr">
        <is>
          <t>665bb78f1ae43</t>
        </is>
      </c>
      <c r="B3330" s="1" t="inlineStr">
        <is>
          <t>ARETES YSL GOLD CON ZIRCONIA</t>
        </is>
      </c>
      <c r="C3330" s="1" t="inlineStr">
        <is>
          <t>Regular</t>
        </is>
      </c>
      <c r="D3330" s="1" t="inlineStr">
        <is>
          <t>31/05/2026</t>
        </is>
      </c>
      <c r="E3330" s="1" t="n">
        <v>2026</v>
      </c>
      <c r="F3330" s="1" t="inlineStr">
        <is>
          <t>MAYO</t>
        </is>
      </c>
      <c r="G3330" s="1" t="inlineStr">
        <is>
          <t>NANCY</t>
        </is>
      </c>
      <c r="H3330" s="1" t="inlineStr">
        <is>
          <t>NANCY 31/05/2026</t>
        </is>
      </c>
      <c r="I3330" s="4" t="n">
        <v>3</v>
      </c>
      <c r="J3330" s="6" t="n">
        <v>6.99</v>
      </c>
      <c r="K3330" s="6" t="n">
        <v>169.6304521</v>
      </c>
      <c r="L3330" s="6">
        <f>I3330*K3330</f>
        <v/>
      </c>
      <c r="M3330" s="6">
        <f>K3330*4</f>
        <v/>
      </c>
      <c r="N3330" s="6" t="n">
        <v>650</v>
      </c>
    </row>
    <row r="3331">
      <c r="A3331" s="1" t="inlineStr">
        <is>
          <t>665bb79224272</t>
        </is>
      </c>
      <c r="B3331" s="1" t="inlineStr">
        <is>
          <t>ARRACADAS CD GOLD BLACK</t>
        </is>
      </c>
      <c r="C3331" s="1" t="inlineStr">
        <is>
          <t>Default Title</t>
        </is>
      </c>
      <c r="D3331" s="1" t="inlineStr">
        <is>
          <t>06/09/2025</t>
        </is>
      </c>
      <c r="E3331" s="1" t="n">
        <v>2025</v>
      </c>
      <c r="F3331" s="1" t="inlineStr">
        <is>
          <t>SEPTIEMBRE</t>
        </is>
      </c>
      <c r="G3331" s="1" t="inlineStr">
        <is>
          <t>NANCY</t>
        </is>
      </c>
      <c r="H3331" s="1" t="inlineStr">
        <is>
          <t>NANCY 06/09/2025</t>
        </is>
      </c>
      <c r="I3331" s="4" t="n">
        <v>2</v>
      </c>
      <c r="J3331" s="6" t="n">
        <v>5.59</v>
      </c>
      <c r="K3331" s="6" t="n">
        <v>130.1668371</v>
      </c>
      <c r="L3331" s="6">
        <f>I3331*K3331</f>
        <v/>
      </c>
      <c r="M3331" s="6">
        <f>K3331*4</f>
        <v/>
      </c>
      <c r="N3331" s="6" t="n">
        <v>649</v>
      </c>
    </row>
    <row r="3332">
      <c r="A3332" s="1" t="inlineStr">
        <is>
          <t>665bb79224272</t>
        </is>
      </c>
      <c r="B3332" s="1" t="inlineStr">
        <is>
          <t>ARRACADAS CD GOLD BLACK</t>
        </is>
      </c>
      <c r="C3332" s="1" t="inlineStr">
        <is>
          <t>Default Title</t>
        </is>
      </c>
      <c r="D3332" s="1" t="inlineStr">
        <is>
          <t>03/12/2025</t>
        </is>
      </c>
      <c r="E3332" s="1" t="n">
        <v>2025</v>
      </c>
      <c r="F3332" s="1" t="inlineStr">
        <is>
          <t>DICIEMBRE</t>
        </is>
      </c>
      <c r="G3332" s="1" t="inlineStr">
        <is>
          <t>NANCY</t>
        </is>
      </c>
      <c r="H3332" s="1" t="inlineStr">
        <is>
          <t>NANCY 03/12/2025</t>
        </is>
      </c>
      <c r="I3332" s="4" t="n">
        <v>2</v>
      </c>
      <c r="J3332" s="6" t="n">
        <v>6.99</v>
      </c>
      <c r="K3332" s="6" t="n">
        <v>165.3606224</v>
      </c>
      <c r="L3332" s="6">
        <f>I3332*K3332</f>
        <v/>
      </c>
      <c r="M3332" s="6">
        <f>K3332*4</f>
        <v/>
      </c>
      <c r="N3332" s="6" t="n">
        <v>649</v>
      </c>
    </row>
    <row r="3333">
      <c r="A3333" s="1" t="inlineStr">
        <is>
          <t>665bb79224272</t>
        </is>
      </c>
      <c r="B3333" s="1" t="inlineStr">
        <is>
          <t>ARRACADAS CD GOLD BLACK</t>
        </is>
      </c>
      <c r="C3333" s="1" t="inlineStr">
        <is>
          <t>Default Title</t>
        </is>
      </c>
      <c r="D3333" s="1" t="inlineStr">
        <is>
          <t>01/03/2026</t>
        </is>
      </c>
      <c r="E3333" s="1" t="n">
        <v>2026</v>
      </c>
      <c r="F3333" s="1" t="inlineStr">
        <is>
          <t>MARZO</t>
        </is>
      </c>
      <c r="G3333" s="1" t="inlineStr">
        <is>
          <t>NANCY</t>
        </is>
      </c>
      <c r="H3333" s="1" t="inlineStr">
        <is>
          <t>NANCY 01/03/2026</t>
        </is>
      </c>
      <c r="I3333" s="4" t="n">
        <v>1</v>
      </c>
      <c r="J3333" s="6" t="n">
        <v>7.59</v>
      </c>
      <c r="K3333" s="6" t="n">
        <v>192.0552222</v>
      </c>
      <c r="L3333" s="6">
        <f>I3333*K3333</f>
        <v/>
      </c>
      <c r="M3333" s="6">
        <f>K3333*4</f>
        <v/>
      </c>
      <c r="N3333" s="6" t="n">
        <v>649</v>
      </c>
    </row>
    <row r="3334">
      <c r="A3334" s="1" t="inlineStr">
        <is>
          <t>665bb79224272</t>
        </is>
      </c>
      <c r="B3334" s="1" t="inlineStr">
        <is>
          <t>ARRACADAS CD GOLD BLACK</t>
        </is>
      </c>
      <c r="C3334" s="1" t="inlineStr">
        <is>
          <t>Default Title</t>
        </is>
      </c>
      <c r="D3334" s="1" t="inlineStr">
        <is>
          <t>08/05/2026</t>
        </is>
      </c>
      <c r="E3334" s="1" t="n">
        <v>2026</v>
      </c>
      <c r="F3334" s="1" t="inlineStr">
        <is>
          <t>MAYO</t>
        </is>
      </c>
      <c r="G3334" s="1" t="inlineStr">
        <is>
          <t>NANCY</t>
        </is>
      </c>
      <c r="H3334" s="1" t="inlineStr">
        <is>
          <t>NANCY 08/05/2026</t>
        </is>
      </c>
      <c r="I3334" s="4" t="n">
        <v>2</v>
      </c>
      <c r="J3334" s="6" t="n">
        <v>5.59</v>
      </c>
      <c r="K3334" s="6" t="n">
        <v>132.2468818</v>
      </c>
      <c r="L3334" s="6">
        <f>I3334*K3334</f>
        <v/>
      </c>
      <c r="M3334" s="6">
        <f>K3334*4</f>
        <v/>
      </c>
      <c r="N3334" s="6" t="n">
        <v>649</v>
      </c>
    </row>
    <row r="3335">
      <c r="A3335" s="1" t="inlineStr">
        <is>
          <t>665bb79776b6f-1</t>
        </is>
      </c>
      <c r="B3335" s="1" t="inlineStr">
        <is>
          <t>ARRACADAS NANOGRAMA LV</t>
        </is>
      </c>
      <c r="C3335" s="1" t="inlineStr">
        <is>
          <t>Regular</t>
        </is>
      </c>
      <c r="D3335" s="1" t="inlineStr">
        <is>
          <t>03/12/2025</t>
        </is>
      </c>
      <c r="E3335" s="1" t="n">
        <v>2025</v>
      </c>
      <c r="F3335" s="1" t="inlineStr">
        <is>
          <t>DICIEMBRE</t>
        </is>
      </c>
      <c r="G3335" s="1" t="inlineStr">
        <is>
          <t>NANCY</t>
        </is>
      </c>
      <c r="H3335" s="1" t="inlineStr">
        <is>
          <t>NANCY 03/12/2025</t>
        </is>
      </c>
      <c r="I3335" s="4" t="n">
        <v>2</v>
      </c>
      <c r="J3335" s="6" t="n">
        <v>4.99</v>
      </c>
      <c r="K3335" s="6" t="n">
        <v>118.0471396</v>
      </c>
      <c r="L3335" s="6">
        <f>I3335*K3335</f>
        <v/>
      </c>
      <c r="M3335" s="6">
        <f>K3335*4</f>
        <v/>
      </c>
      <c r="N3335" s="6" t="n">
        <v>480</v>
      </c>
    </row>
    <row r="3336">
      <c r="A3336" s="1" t="inlineStr">
        <is>
          <t>665bb79776b6f-1</t>
        </is>
      </c>
      <c r="B3336" s="1" t="inlineStr">
        <is>
          <t>ARRACADAS NANOGRAMA LV</t>
        </is>
      </c>
      <c r="C3336" s="1" t="inlineStr">
        <is>
          <t>Regular</t>
        </is>
      </c>
      <c r="D3336" s="1" t="inlineStr">
        <is>
          <t>01/04/2026</t>
        </is>
      </c>
      <c r="E3336" s="1" t="n">
        <v>2026</v>
      </c>
      <c r="F3336" s="1" t="inlineStr">
        <is>
          <t>ABRIL</t>
        </is>
      </c>
      <c r="G3336" s="1" t="inlineStr">
        <is>
          <t>NANCY</t>
        </is>
      </c>
      <c r="H3336" s="1" t="inlineStr">
        <is>
          <t>NANCY 01/04/2026</t>
        </is>
      </c>
      <c r="I3336" s="4" t="n">
        <v>2</v>
      </c>
      <c r="J3336" s="6" t="n">
        <v>5.59</v>
      </c>
      <c r="K3336" s="6" t="n">
        <v>133.8274486</v>
      </c>
      <c r="L3336" s="6">
        <f>I3336*K3336</f>
        <v/>
      </c>
      <c r="M3336" s="6">
        <f>K3336*4</f>
        <v/>
      </c>
      <c r="N3336" s="6" t="n">
        <v>480</v>
      </c>
    </row>
    <row r="3337">
      <c r="A3337" s="1" t="inlineStr">
        <is>
          <t>665bb79776b6f-1</t>
        </is>
      </c>
      <c r="B3337" s="1" t="inlineStr">
        <is>
          <t>ARRACADAS NANOGRAMA LV</t>
        </is>
      </c>
      <c r="C3337" s="1" t="inlineStr">
        <is>
          <t>Regular</t>
        </is>
      </c>
      <c r="D3337" s="1" t="inlineStr">
        <is>
          <t>31/05/2026</t>
        </is>
      </c>
      <c r="E3337" s="1" t="n">
        <v>2026</v>
      </c>
      <c r="F3337" s="1" t="inlineStr">
        <is>
          <t>MAYO</t>
        </is>
      </c>
      <c r="G3337" s="1" t="inlineStr">
        <is>
          <t>NANCY</t>
        </is>
      </c>
      <c r="H3337" s="1" t="inlineStr">
        <is>
          <t>NANCY 31/05/2026</t>
        </is>
      </c>
      <c r="I3337" s="4" t="n">
        <v>4</v>
      </c>
      <c r="J3337" s="6" t="n">
        <v>5.59</v>
      </c>
      <c r="K3337" s="6" t="n">
        <v>135.6558265</v>
      </c>
      <c r="L3337" s="6">
        <f>I3337*K3337</f>
        <v/>
      </c>
      <c r="M3337" s="6">
        <f>K3337*4</f>
        <v/>
      </c>
      <c r="N3337" s="6" t="n">
        <v>480</v>
      </c>
    </row>
    <row r="3338">
      <c r="A3338" s="1" t="inlineStr">
        <is>
          <t>665bb79d85c5b-1</t>
        </is>
      </c>
      <c r="B3338" s="1" t="inlineStr">
        <is>
          <t>ARRACADAS VC</t>
        </is>
      </c>
      <c r="C3338" s="1" t="inlineStr">
        <is>
          <t>Regular</t>
        </is>
      </c>
      <c r="D3338" s="1" t="inlineStr">
        <is>
          <t>08/05/2026</t>
        </is>
      </c>
      <c r="E3338" s="1" t="n">
        <v>2026</v>
      </c>
      <c r="F3338" s="1" t="inlineStr">
        <is>
          <t>MAYO</t>
        </is>
      </c>
      <c r="G3338" s="1" t="inlineStr">
        <is>
          <t>NANCY</t>
        </is>
      </c>
      <c r="H3338" s="1" t="inlineStr">
        <is>
          <t>NANCY 08/05/2026</t>
        </is>
      </c>
      <c r="I3338" s="4" t="n">
        <v>2</v>
      </c>
      <c r="J3338" s="6" t="n">
        <v>5.59</v>
      </c>
      <c r="K3338" s="6" t="n">
        <v>132.2468818</v>
      </c>
      <c r="L3338" s="6">
        <f>I3338*K3338</f>
        <v/>
      </c>
      <c r="M3338" s="6">
        <f>K3338*4</f>
        <v/>
      </c>
      <c r="N3338" s="6" t="n">
        <v>469</v>
      </c>
    </row>
    <row r="3339">
      <c r="A3339" s="1" t="inlineStr">
        <is>
          <t>665bb9079b157</t>
        </is>
      </c>
      <c r="B3339" s="1" t="inlineStr">
        <is>
          <t>BOLSO DOUBLE V LV</t>
        </is>
      </c>
      <c r="C3339" s="1" t="inlineStr">
        <is>
          <t>17cm de alto x 23cm de largo x 9.5cm de ancho</t>
        </is>
      </c>
      <c r="D3339" s="1" t="inlineStr">
        <is>
          <t>21/10/2025</t>
        </is>
      </c>
      <c r="E3339" s="1" t="n">
        <v>2025</v>
      </c>
      <c r="F3339" s="1" t="inlineStr">
        <is>
          <t>OCTUBRE</t>
        </is>
      </c>
      <c r="G3339" s="1" t="inlineStr">
        <is>
          <t>DINA DU</t>
        </is>
      </c>
      <c r="H3339" s="1" t="inlineStr">
        <is>
          <t>DINA DU 21/10/2025</t>
        </is>
      </c>
      <c r="I3339" s="4" t="n">
        <v>3</v>
      </c>
      <c r="J3339" s="6" t="n">
        <v>45</v>
      </c>
      <c r="K3339" s="6" t="n">
        <v>1261.552923</v>
      </c>
      <c r="L3339" s="6">
        <f>I3339*K3339</f>
        <v/>
      </c>
      <c r="M3339" s="6">
        <f>K3339*4</f>
        <v/>
      </c>
      <c r="N3339" s="6" t="n">
        <v>3766.82</v>
      </c>
    </row>
    <row r="3340">
      <c r="A3340" s="1" t="inlineStr">
        <is>
          <t>665bb919e080e</t>
        </is>
      </c>
      <c r="B3340" s="1" t="inlineStr">
        <is>
          <t>BRAZALETE CLASH GOLD</t>
        </is>
      </c>
      <c r="C3340" s="1" t="inlineStr">
        <is>
          <t>Default Title</t>
        </is>
      </c>
      <c r="D3340" s="1" t="inlineStr">
        <is>
          <t>01/09/2025</t>
        </is>
      </c>
      <c r="E3340" s="1" t="n">
        <v>2025</v>
      </c>
      <c r="F3340" s="1" t="inlineStr">
        <is>
          <t>SEPTIEMBRE</t>
        </is>
      </c>
      <c r="G3340" s="1" t="inlineStr">
        <is>
          <t>HAIFENG</t>
        </is>
      </c>
      <c r="H3340" s="1" t="inlineStr">
        <is>
          <t>HAIFENG 01/09/2025</t>
        </is>
      </c>
      <c r="I3340" s="4" t="n">
        <v>2</v>
      </c>
      <c r="J3340" s="6" t="n">
        <v>22</v>
      </c>
      <c r="K3340" s="6" t="n">
        <v>467.6247634</v>
      </c>
      <c r="L3340" s="6">
        <f>I3340*K3340</f>
        <v/>
      </c>
      <c r="M3340" s="6">
        <f>K3340*4</f>
        <v/>
      </c>
      <c r="N3340" s="6" t="n">
        <v>1850</v>
      </c>
    </row>
    <row r="3341">
      <c r="A3341" s="1" t="inlineStr">
        <is>
          <t>665bb919e080e</t>
        </is>
      </c>
      <c r="B3341" s="1" t="inlineStr">
        <is>
          <t>BRAZALETE CLASH GOLD</t>
        </is>
      </c>
      <c r="C3341" s="1" t="inlineStr">
        <is>
          <t>Default Title</t>
        </is>
      </c>
      <c r="D3341" s="1" t="inlineStr">
        <is>
          <t>11/11/2025</t>
        </is>
      </c>
      <c r="E3341" s="1" t="n">
        <v>2025</v>
      </c>
      <c r="F3341" s="1" t="inlineStr">
        <is>
          <t>NOVIEMBRE</t>
        </is>
      </c>
      <c r="G3341" s="1" t="inlineStr">
        <is>
          <t>HAIFENG</t>
        </is>
      </c>
      <c r="H3341" s="1" t="inlineStr">
        <is>
          <t>HAIFENG 11/11/2025</t>
        </is>
      </c>
      <c r="I3341" s="4" t="n">
        <v>2</v>
      </c>
      <c r="J3341" s="6" t="n">
        <v>22</v>
      </c>
      <c r="K3341" s="6" t="n">
        <v>463.3309658</v>
      </c>
      <c r="L3341" s="6">
        <f>I3341*K3341</f>
        <v/>
      </c>
      <c r="M3341" s="6">
        <f>K3341*4</f>
        <v/>
      </c>
      <c r="N3341" s="6" t="n">
        <v>1850</v>
      </c>
    </row>
    <row r="3342">
      <c r="A3342" s="1" t="inlineStr">
        <is>
          <t>665bb919e080e</t>
        </is>
      </c>
      <c r="B3342" s="1" t="inlineStr">
        <is>
          <t>BRAZALETE CLASH GOLD</t>
        </is>
      </c>
      <c r="C3342" s="1" t="inlineStr">
        <is>
          <t>Default Title</t>
        </is>
      </c>
      <c r="D3342" s="1" t="inlineStr">
        <is>
          <t>03/12/2025</t>
        </is>
      </c>
      <c r="E3342" s="1" t="n">
        <v>2025</v>
      </c>
      <c r="F3342" s="1" t="inlineStr">
        <is>
          <t>DICIEMBRE</t>
        </is>
      </c>
      <c r="G3342" s="1" t="inlineStr">
        <is>
          <t>HAIFENG</t>
        </is>
      </c>
      <c r="H3342" s="1" t="inlineStr">
        <is>
          <t>HAIFENG 03/12/2025</t>
        </is>
      </c>
      <c r="I3342" s="4" t="n">
        <v>3</v>
      </c>
      <c r="J3342" s="6" t="n">
        <v>22</v>
      </c>
      <c r="K3342" s="6" t="n">
        <v>460.1775202</v>
      </c>
      <c r="L3342" s="6">
        <f>I3342*K3342</f>
        <v/>
      </c>
      <c r="M3342" s="6">
        <f>K3342*4</f>
        <v/>
      </c>
      <c r="N3342" s="6" t="n">
        <v>1850</v>
      </c>
    </row>
    <row r="3343">
      <c r="A3343" s="1" t="inlineStr">
        <is>
          <t>665bb919e080e</t>
        </is>
      </c>
      <c r="B3343" s="1" t="inlineStr">
        <is>
          <t>BRAZALETE CLASH GOLD</t>
        </is>
      </c>
      <c r="C3343" s="1" t="inlineStr">
        <is>
          <t>Default Title</t>
        </is>
      </c>
      <c r="D3343" s="1" t="inlineStr">
        <is>
          <t>06/05/2026</t>
        </is>
      </c>
      <c r="E3343" s="1" t="n">
        <v>2026</v>
      </c>
      <c r="F3343" s="1" t="inlineStr">
        <is>
          <t>MAYO</t>
        </is>
      </c>
      <c r="G3343" s="1" t="inlineStr">
        <is>
          <t>HAIFENG</t>
        </is>
      </c>
      <c r="H3343" s="1" t="inlineStr">
        <is>
          <t>HAIFENG 06/05/2026</t>
        </is>
      </c>
      <c r="I3343" s="4" t="n">
        <v>3</v>
      </c>
      <c r="J3343" s="6" t="n">
        <v>22</v>
      </c>
      <c r="K3343" s="6" t="n">
        <v>466.8101299</v>
      </c>
      <c r="L3343" s="6">
        <f>I3343*K3343</f>
        <v/>
      </c>
      <c r="M3343" s="6">
        <f>K3343*4</f>
        <v/>
      </c>
      <c r="N3343" s="6" t="n">
        <v>1850</v>
      </c>
    </row>
    <row r="3344">
      <c r="A3344" s="1" t="inlineStr">
        <is>
          <t>665bb919e080e</t>
        </is>
      </c>
      <c r="B3344" s="1" t="inlineStr">
        <is>
          <t>BRAZALETE CLASH GOLD</t>
        </is>
      </c>
      <c r="C3344" s="1" t="inlineStr">
        <is>
          <t>Default Title</t>
        </is>
      </c>
      <c r="D3344" s="1" t="inlineStr">
        <is>
          <t>26/05/2026</t>
        </is>
      </c>
      <c r="E3344" s="1" t="n">
        <v>2026</v>
      </c>
      <c r="F3344" s="1" t="inlineStr">
        <is>
          <t>MAYO</t>
        </is>
      </c>
      <c r="G3344" s="1" t="inlineStr">
        <is>
          <t>HAIFENG</t>
        </is>
      </c>
      <c r="H3344" s="1" t="inlineStr">
        <is>
          <t>HAIFENG 26/05/2026</t>
        </is>
      </c>
      <c r="I3344" s="4" t="n">
        <v>2</v>
      </c>
      <c r="J3344" s="6" t="n">
        <v>22</v>
      </c>
      <c r="K3344" s="6" t="n">
        <v>461.7644965</v>
      </c>
      <c r="L3344" s="6">
        <f>I3344*K3344</f>
        <v/>
      </c>
      <c r="M3344" s="6">
        <f>K3344*4</f>
        <v/>
      </c>
      <c r="N3344" s="6" t="n">
        <v>1850</v>
      </c>
    </row>
    <row r="3345">
      <c r="A3345" s="1" t="inlineStr">
        <is>
          <t>665bb91f1ebf4</t>
        </is>
      </c>
      <c r="B3345" s="1" t="inlineStr">
        <is>
          <t>BRAZALETE CLASH ROSE GOLD</t>
        </is>
      </c>
      <c r="C3345" s="1" t="inlineStr">
        <is>
          <t>16CM</t>
        </is>
      </c>
      <c r="D3345" s="1" t="inlineStr">
        <is>
          <t>01/09/2025</t>
        </is>
      </c>
      <c r="E3345" s="1" t="n">
        <v>2025</v>
      </c>
      <c r="F3345" s="1" t="inlineStr">
        <is>
          <t>SEPTIEMBRE</t>
        </is>
      </c>
      <c r="G3345" s="1" t="inlineStr">
        <is>
          <t>HAIFENG</t>
        </is>
      </c>
      <c r="H3345" s="1" t="inlineStr">
        <is>
          <t>HAIFENG 01/09/2025</t>
        </is>
      </c>
      <c r="I3345" s="4" t="n">
        <v>1</v>
      </c>
      <c r="J3345" s="6" t="n">
        <v>22</v>
      </c>
      <c r="K3345" s="6" t="n">
        <v>467.6247634</v>
      </c>
      <c r="L3345" s="6">
        <f>I3345*K3345</f>
        <v/>
      </c>
      <c r="M3345" s="6">
        <f>K3345*4</f>
        <v/>
      </c>
      <c r="N3345" s="6" t="n">
        <v>1840</v>
      </c>
    </row>
    <row r="3346">
      <c r="A3346" s="1" t="inlineStr">
        <is>
          <t>665bb91f1ebf4</t>
        </is>
      </c>
      <c r="B3346" s="1" t="inlineStr">
        <is>
          <t>BRAZALETE CLASH ROSE GOLD</t>
        </is>
      </c>
      <c r="C3346" s="1" t="inlineStr">
        <is>
          <t>16CM</t>
        </is>
      </c>
      <c r="D3346" s="1" t="inlineStr">
        <is>
          <t>25/09/2025</t>
        </is>
      </c>
      <c r="E3346" s="1" t="n">
        <v>2025</v>
      </c>
      <c r="F3346" s="1" t="inlineStr">
        <is>
          <t>SEPTIEMBRE</t>
        </is>
      </c>
      <c r="G3346" s="1" t="inlineStr">
        <is>
          <t>HAIFENG</t>
        </is>
      </c>
      <c r="H3346" s="1" t="inlineStr">
        <is>
          <t>HAIFENG 25/09/2025</t>
        </is>
      </c>
      <c r="I3346" s="4" t="n">
        <v>2</v>
      </c>
      <c r="J3346" s="6" t="n">
        <v>22</v>
      </c>
      <c r="K3346" s="6" t="n">
        <v>464.1314869</v>
      </c>
      <c r="L3346" s="6">
        <f>I3346*K3346</f>
        <v/>
      </c>
      <c r="M3346" s="6">
        <f>K3346*4</f>
        <v/>
      </c>
      <c r="N3346" s="6" t="n">
        <v>1840</v>
      </c>
    </row>
    <row r="3347">
      <c r="A3347" s="1" t="inlineStr">
        <is>
          <t>665bb91f1ebf4</t>
        </is>
      </c>
      <c r="B3347" s="1" t="inlineStr">
        <is>
          <t>BRAZALETE CLASH ROSE GOLD</t>
        </is>
      </c>
      <c r="C3347" s="1" t="inlineStr">
        <is>
          <t>16CM</t>
        </is>
      </c>
      <c r="D3347" s="1" t="inlineStr">
        <is>
          <t>20/01/2026</t>
        </is>
      </c>
      <c r="E3347" s="1" t="n">
        <v>2026</v>
      </c>
      <c r="F3347" s="1" t="inlineStr">
        <is>
          <t>ENERO</t>
        </is>
      </c>
      <c r="G3347" s="1" t="inlineStr">
        <is>
          <t>HAIFENG</t>
        </is>
      </c>
      <c r="H3347" s="1" t="inlineStr">
        <is>
          <t>HAIFENG 20/01/2026</t>
        </is>
      </c>
      <c r="I3347" s="4" t="n">
        <v>1</v>
      </c>
      <c r="J3347" s="6" t="n">
        <v>22</v>
      </c>
      <c r="K3347" s="6" t="n">
        <v>466.4091914</v>
      </c>
      <c r="L3347" s="6">
        <f>I3347*K3347</f>
        <v/>
      </c>
      <c r="M3347" s="6">
        <f>K3347*4</f>
        <v/>
      </c>
      <c r="N3347" s="6" t="n">
        <v>1840</v>
      </c>
    </row>
    <row r="3348">
      <c r="A3348" s="1" t="inlineStr">
        <is>
          <t>665bb91f1ebf4</t>
        </is>
      </c>
      <c r="B3348" s="1" t="inlineStr">
        <is>
          <t>BRAZALETE CLASH ROSE GOLD</t>
        </is>
      </c>
      <c r="C3348" s="1" t="inlineStr">
        <is>
          <t>16CM</t>
        </is>
      </c>
      <c r="D3348" s="1" t="inlineStr">
        <is>
          <t>10/02/2026</t>
        </is>
      </c>
      <c r="E3348" s="1" t="n">
        <v>2026</v>
      </c>
      <c r="F3348" s="1" t="inlineStr">
        <is>
          <t>FEBRERO</t>
        </is>
      </c>
      <c r="G3348" s="1" t="inlineStr">
        <is>
          <t>HAIFENG</t>
        </is>
      </c>
      <c r="H3348" s="1" t="inlineStr">
        <is>
          <t>HAIFENG 10/02/2026</t>
        </is>
      </c>
      <c r="I3348" s="4" t="n">
        <v>4</v>
      </c>
      <c r="J3348" s="6" t="n">
        <v>22</v>
      </c>
      <c r="K3348" s="6" t="n">
        <v>463.5069134</v>
      </c>
      <c r="L3348" s="6">
        <f>I3348*K3348</f>
        <v/>
      </c>
      <c r="M3348" s="6">
        <f>K3348*4</f>
        <v/>
      </c>
      <c r="N3348" s="6" t="n">
        <v>1840</v>
      </c>
    </row>
    <row r="3349">
      <c r="A3349" s="1" t="inlineStr">
        <is>
          <t>665bb920c632c</t>
        </is>
      </c>
      <c r="B3349" s="1" t="inlineStr">
        <is>
          <t>BRAZALETE CLASH SILVER</t>
        </is>
      </c>
      <c r="C3349" s="1" t="inlineStr">
        <is>
          <t>16CM</t>
        </is>
      </c>
      <c r="D3349" s="1" t="inlineStr">
        <is>
          <t>01/09/2025</t>
        </is>
      </c>
      <c r="E3349" s="1" t="n">
        <v>2025</v>
      </c>
      <c r="F3349" s="1" t="inlineStr">
        <is>
          <t>SEPTIEMBRE</t>
        </is>
      </c>
      <c r="G3349" s="1" t="inlineStr">
        <is>
          <t>HAIFENG</t>
        </is>
      </c>
      <c r="H3349" s="1" t="inlineStr">
        <is>
          <t>HAIFENG 01/09/2025</t>
        </is>
      </c>
      <c r="I3349" s="4" t="n">
        <v>1</v>
      </c>
      <c r="J3349" s="6" t="n">
        <v>22</v>
      </c>
      <c r="K3349" s="6" t="n">
        <v>467.6247634</v>
      </c>
      <c r="L3349" s="6">
        <f>I3349*K3349</f>
        <v/>
      </c>
      <c r="M3349" s="6">
        <f>K3349*4</f>
        <v/>
      </c>
      <c r="N3349" s="6" t="n">
        <v>1850</v>
      </c>
    </row>
    <row r="3350">
      <c r="A3350" s="1" t="inlineStr">
        <is>
          <t>665bb920c632c</t>
        </is>
      </c>
      <c r="B3350" s="1" t="inlineStr">
        <is>
          <t>BRAZALETE CLASH SILVER</t>
        </is>
      </c>
      <c r="C3350" s="1" t="inlineStr">
        <is>
          <t>16CM</t>
        </is>
      </c>
      <c r="D3350" s="1" t="inlineStr">
        <is>
          <t>03/12/2025</t>
        </is>
      </c>
      <c r="E3350" s="1" t="n">
        <v>2025</v>
      </c>
      <c r="F3350" s="1" t="inlineStr">
        <is>
          <t>DICIEMBRE</t>
        </is>
      </c>
      <c r="G3350" s="1" t="inlineStr">
        <is>
          <t>HAIFENG</t>
        </is>
      </c>
      <c r="H3350" s="1" t="inlineStr">
        <is>
          <t>HAIFENG 03/12/2025</t>
        </is>
      </c>
      <c r="I3350" s="4" t="n">
        <v>3</v>
      </c>
      <c r="J3350" s="6" t="n">
        <v>22</v>
      </c>
      <c r="K3350" s="6" t="n">
        <v>460.1775202</v>
      </c>
      <c r="L3350" s="6">
        <f>I3350*K3350</f>
        <v/>
      </c>
      <c r="M3350" s="6">
        <f>K3350*4</f>
        <v/>
      </c>
      <c r="N3350" s="6" t="n">
        <v>1850</v>
      </c>
    </row>
    <row r="3351">
      <c r="A3351" s="1" t="inlineStr">
        <is>
          <t>665bb920c632c</t>
        </is>
      </c>
      <c r="B3351" s="1" t="inlineStr">
        <is>
          <t>BRAZALETE CLASH SILVER</t>
        </is>
      </c>
      <c r="C3351" s="1" t="inlineStr">
        <is>
          <t>16CM</t>
        </is>
      </c>
      <c r="D3351" s="1" t="inlineStr">
        <is>
          <t>10/02/2026</t>
        </is>
      </c>
      <c r="E3351" s="1" t="n">
        <v>2026</v>
      </c>
      <c r="F3351" s="1" t="inlineStr">
        <is>
          <t>FEBRERO</t>
        </is>
      </c>
      <c r="G3351" s="1" t="inlineStr">
        <is>
          <t>HAIFENG</t>
        </is>
      </c>
      <c r="H3351" s="1" t="inlineStr">
        <is>
          <t>HAIFENG 10/02/2026</t>
        </is>
      </c>
      <c r="I3351" s="4" t="n">
        <v>1</v>
      </c>
      <c r="J3351" s="6" t="n">
        <v>22</v>
      </c>
      <c r="K3351" s="6" t="n">
        <v>463.5069134</v>
      </c>
      <c r="L3351" s="6">
        <f>I3351*K3351</f>
        <v/>
      </c>
      <c r="M3351" s="6">
        <f>K3351*4</f>
        <v/>
      </c>
      <c r="N3351" s="6" t="n">
        <v>1850</v>
      </c>
    </row>
    <row r="3352">
      <c r="A3352" s="1" t="inlineStr">
        <is>
          <t>665bb920c632c</t>
        </is>
      </c>
      <c r="B3352" s="1" t="inlineStr">
        <is>
          <t>BRAZALETE CLASH SILVER</t>
        </is>
      </c>
      <c r="C3352" s="1" t="inlineStr">
        <is>
          <t>16CM</t>
        </is>
      </c>
      <c r="D3352" s="1" t="inlineStr">
        <is>
          <t>26/05/2026</t>
        </is>
      </c>
      <c r="E3352" s="1" t="n">
        <v>2026</v>
      </c>
      <c r="F3352" s="1" t="inlineStr">
        <is>
          <t>MAYO</t>
        </is>
      </c>
      <c r="G3352" s="1" t="inlineStr">
        <is>
          <t>HAIFENG</t>
        </is>
      </c>
      <c r="H3352" s="1" t="inlineStr">
        <is>
          <t>HAIFENG 26/05/2026</t>
        </is>
      </c>
      <c r="I3352" s="4" t="n">
        <v>3</v>
      </c>
      <c r="J3352" s="6" t="n">
        <v>22</v>
      </c>
      <c r="K3352" s="6" t="n">
        <v>461.7644965</v>
      </c>
      <c r="L3352" s="6">
        <f>I3352*K3352</f>
        <v/>
      </c>
      <c r="M3352" s="6">
        <f>K3352*4</f>
        <v/>
      </c>
      <c r="N3352" s="6" t="n">
        <v>1850</v>
      </c>
    </row>
    <row r="3353">
      <c r="A3353" s="1" t="inlineStr">
        <is>
          <t>665bb924de84e</t>
        </is>
      </c>
      <c r="B3353" s="1" t="inlineStr">
        <is>
          <t>BRAZALETE PANTHERE SILVER</t>
        </is>
      </c>
      <c r="C3353" s="1" t="inlineStr">
        <is>
          <t>17cm (REMATE)</t>
        </is>
      </c>
      <c r="D3353" s="1" t="inlineStr">
        <is>
          <t>20/01/2026</t>
        </is>
      </c>
      <c r="E3353" s="1" t="n">
        <v>2026</v>
      </c>
      <c r="F3353" s="1" t="inlineStr">
        <is>
          <t>ENERO</t>
        </is>
      </c>
      <c r="G3353" s="1" t="inlineStr">
        <is>
          <t>HAIFENG</t>
        </is>
      </c>
      <c r="H3353" s="1" t="inlineStr">
        <is>
          <t>HAIFENG 20/01/2026</t>
        </is>
      </c>
      <c r="I3353" s="4" t="n">
        <v>1</v>
      </c>
      <c r="J3353" s="6" t="n">
        <v>12</v>
      </c>
      <c r="K3353" s="6" t="n">
        <v>254.4050135</v>
      </c>
      <c r="L3353" s="6">
        <f>I3353*K3353</f>
        <v/>
      </c>
      <c r="M3353" s="6">
        <f>K3353*4</f>
        <v/>
      </c>
      <c r="N3353" s="6" t="n">
        <v>999</v>
      </c>
    </row>
    <row r="3354">
      <c r="A3354" s="1" t="inlineStr">
        <is>
          <t>665bb924de84e</t>
        </is>
      </c>
      <c r="B3354" s="1" t="inlineStr">
        <is>
          <t>BRAZALETE PANTHERE SILVER</t>
        </is>
      </c>
      <c r="C3354" s="1" t="inlineStr">
        <is>
          <t>17cm (REMATE)</t>
        </is>
      </c>
      <c r="D3354" s="1" t="inlineStr">
        <is>
          <t>16/06/2026</t>
        </is>
      </c>
      <c r="E3354" s="1" t="n">
        <v>2026</v>
      </c>
      <c r="F3354" s="1" t="inlineStr">
        <is>
          <t>JUNIO</t>
        </is>
      </c>
      <c r="G3354" s="1" t="inlineStr">
        <is>
          <t>HAIFENG</t>
        </is>
      </c>
      <c r="H3354" s="1" t="inlineStr">
        <is>
          <t>HAIFENG 16/06/2026</t>
        </is>
      </c>
      <c r="I3354" s="4" t="n">
        <v>2</v>
      </c>
      <c r="J3354" s="6" t="n">
        <v>12</v>
      </c>
      <c r="K3354" s="6" t="n">
        <v>252.1752775</v>
      </c>
      <c r="L3354" s="6">
        <f>I3354*K3354</f>
        <v/>
      </c>
      <c r="M3354" s="6">
        <f>K3354*4</f>
        <v/>
      </c>
      <c r="N3354" s="6" t="n">
        <v>999</v>
      </c>
    </row>
    <row r="3355">
      <c r="A3355" s="1" t="inlineStr">
        <is>
          <t>665bbd3eee796</t>
        </is>
      </c>
      <c r="B3355" s="1" t="inlineStr">
        <is>
          <t>COLLAR CC SILVER</t>
        </is>
      </c>
      <c r="C3355" s="1" t="inlineStr">
        <is>
          <t>49cm x 6cm de extensión</t>
        </is>
      </c>
      <c r="D3355" s="1" t="inlineStr">
        <is>
          <t>25/10/2025</t>
        </is>
      </c>
      <c r="E3355" s="1" t="n">
        <v>2025</v>
      </c>
      <c r="F3355" s="1" t="inlineStr">
        <is>
          <t>OCTUBRE</t>
        </is>
      </c>
      <c r="G3355" s="1" t="inlineStr">
        <is>
          <t>CYNTHIA</t>
        </is>
      </c>
      <c r="H3355" s="1" t="inlineStr">
        <is>
          <t>CYNTHIA 25/10/2025</t>
        </is>
      </c>
      <c r="I3355" s="4" t="n">
        <v>5</v>
      </c>
      <c r="J3355" s="6" t="n">
        <v>2.25</v>
      </c>
      <c r="K3355" s="6" t="n">
        <v>58.95410308</v>
      </c>
      <c r="L3355" s="6">
        <f>I3355*K3355</f>
        <v/>
      </c>
      <c r="M3355" s="6">
        <f>K3355*4</f>
        <v/>
      </c>
      <c r="N3355" s="6" t="n">
        <v>460</v>
      </c>
    </row>
    <row r="3356">
      <c r="A3356" s="1" t="inlineStr">
        <is>
          <t>665bbd3eee796</t>
        </is>
      </c>
      <c r="B3356" s="1" t="inlineStr">
        <is>
          <t>COLLAR CC SILVER</t>
        </is>
      </c>
      <c r="C3356" s="1" t="inlineStr">
        <is>
          <t>49cm x 6cm de extensión</t>
        </is>
      </c>
      <c r="D3356" s="1" t="inlineStr">
        <is>
          <t>07/01/2026</t>
        </is>
      </c>
      <c r="E3356" s="1" t="n">
        <v>2026</v>
      </c>
      <c r="F3356" s="1" t="inlineStr">
        <is>
          <t>ENERO</t>
        </is>
      </c>
      <c r="G3356" s="1" t="inlineStr">
        <is>
          <t>CYNTHIA</t>
        </is>
      </c>
      <c r="H3356" s="1" t="inlineStr">
        <is>
          <t>CYNTHIA 07/01/2026</t>
        </is>
      </c>
      <c r="I3356" s="4" t="n">
        <v>5</v>
      </c>
      <c r="J3356" s="6" t="n">
        <v>2.25</v>
      </c>
      <c r="K3356" s="6" t="n">
        <v>59.82171227</v>
      </c>
      <c r="L3356" s="6">
        <f>I3356*K3356</f>
        <v/>
      </c>
      <c r="M3356" s="6">
        <f>K3356*4</f>
        <v/>
      </c>
      <c r="N3356" s="6" t="n">
        <v>460</v>
      </c>
    </row>
    <row r="3357">
      <c r="A3357" s="1" t="inlineStr">
        <is>
          <t>665bbe3eb9388</t>
        </is>
      </c>
      <c r="B3357" s="1" t="inlineStr">
        <is>
          <t>COLLAR LOVE SILVER</t>
        </is>
      </c>
      <c r="C3357" s="1" t="inlineStr">
        <is>
          <t>Default Title</t>
        </is>
      </c>
      <c r="D3357" s="1" t="inlineStr">
        <is>
          <t>01/09/2025</t>
        </is>
      </c>
      <c r="E3357" s="1" t="n">
        <v>2025</v>
      </c>
      <c r="F3357" s="1" t="inlineStr">
        <is>
          <t>SEPTIEMBRE</t>
        </is>
      </c>
      <c r="G3357" s="1" t="inlineStr">
        <is>
          <t>HAIFENG</t>
        </is>
      </c>
      <c r="H3357" s="1" t="inlineStr">
        <is>
          <t>HAIFENG 01/09/2025</t>
        </is>
      </c>
      <c r="I3357" s="4" t="n">
        <v>2</v>
      </c>
      <c r="J3357" s="6" t="n">
        <v>5</v>
      </c>
      <c r="K3357" s="6" t="n">
        <v>106.2783553</v>
      </c>
      <c r="L3357" s="6">
        <f>I3357*K3357</f>
        <v/>
      </c>
      <c r="M3357" s="6">
        <f>K3357*4</f>
        <v/>
      </c>
      <c r="N3357" s="6" t="n">
        <v>460</v>
      </c>
    </row>
    <row r="3358">
      <c r="A3358" s="1" t="inlineStr">
        <is>
          <t>665bbe3eb9388</t>
        </is>
      </c>
      <c r="B3358" s="1" t="inlineStr">
        <is>
          <t>COLLAR LOVE SILVER</t>
        </is>
      </c>
      <c r="C3358" s="1" t="inlineStr">
        <is>
          <t>Default Title</t>
        </is>
      </c>
      <c r="D3358" s="1" t="inlineStr">
        <is>
          <t>11/11/2025</t>
        </is>
      </c>
      <c r="E3358" s="1" t="n">
        <v>2025</v>
      </c>
      <c r="F3358" s="1" t="inlineStr">
        <is>
          <t>NOVIEMBRE</t>
        </is>
      </c>
      <c r="G3358" s="1" t="inlineStr">
        <is>
          <t>HAIFENG</t>
        </is>
      </c>
      <c r="H3358" s="1" t="inlineStr">
        <is>
          <t>HAIFENG 11/11/2025</t>
        </is>
      </c>
      <c r="I3358" s="4" t="n">
        <v>2</v>
      </c>
      <c r="J3358" s="6" t="n">
        <v>5</v>
      </c>
      <c r="K3358" s="6" t="n">
        <v>105.3024922</v>
      </c>
      <c r="L3358" s="6">
        <f>I3358*K3358</f>
        <v/>
      </c>
      <c r="M3358" s="6">
        <f>K3358*4</f>
        <v/>
      </c>
      <c r="N3358" s="6" t="n">
        <v>460</v>
      </c>
    </row>
    <row r="3359">
      <c r="A3359" s="1" t="inlineStr">
        <is>
          <t>665bbe3eb9388</t>
        </is>
      </c>
      <c r="B3359" s="1" t="inlineStr">
        <is>
          <t>COLLAR LOVE SILVER</t>
        </is>
      </c>
      <c r="C3359" s="1" t="inlineStr">
        <is>
          <t>Default Title</t>
        </is>
      </c>
      <c r="D3359" s="1" t="inlineStr">
        <is>
          <t>03/12/2025</t>
        </is>
      </c>
      <c r="E3359" s="1" t="n">
        <v>2025</v>
      </c>
      <c r="F3359" s="1" t="inlineStr">
        <is>
          <t>DICIEMBRE</t>
        </is>
      </c>
      <c r="G3359" s="1" t="inlineStr">
        <is>
          <t>HAIFENG</t>
        </is>
      </c>
      <c r="H3359" s="1" t="inlineStr">
        <is>
          <t>HAIFENG 03/12/2025</t>
        </is>
      </c>
      <c r="I3359" s="4" t="n">
        <v>4</v>
      </c>
      <c r="J3359" s="6" t="n">
        <v>5</v>
      </c>
      <c r="K3359" s="6" t="n">
        <v>104.5858001</v>
      </c>
      <c r="L3359" s="6">
        <f>I3359*K3359</f>
        <v/>
      </c>
      <c r="M3359" s="6">
        <f>K3359*4</f>
        <v/>
      </c>
      <c r="N3359" s="6" t="n">
        <v>460</v>
      </c>
    </row>
    <row r="3360">
      <c r="A3360" s="1" t="inlineStr">
        <is>
          <t>665bbe3eb9388</t>
        </is>
      </c>
      <c r="B3360" s="1" t="inlineStr">
        <is>
          <t>COLLAR LOVE SILVER</t>
        </is>
      </c>
      <c r="C3360" s="1" t="inlineStr">
        <is>
          <t>Default Title</t>
        </is>
      </c>
      <c r="D3360" s="1" t="inlineStr">
        <is>
          <t>16/04/2026</t>
        </is>
      </c>
      <c r="E3360" s="1" t="n">
        <v>2026</v>
      </c>
      <c r="F3360" s="1" t="inlineStr">
        <is>
          <t>ABRIL</t>
        </is>
      </c>
      <c r="G3360" s="1" t="inlineStr">
        <is>
          <t>HAIFENG</t>
        </is>
      </c>
      <c r="H3360" s="1" t="inlineStr">
        <is>
          <t>HAIFENG 16/04/2026</t>
        </is>
      </c>
      <c r="I3360" s="4" t="n">
        <v>5</v>
      </c>
      <c r="J3360" s="6" t="n">
        <v>5</v>
      </c>
      <c r="K3360" s="6" t="n">
        <v>105.1573679</v>
      </c>
      <c r="L3360" s="6">
        <f>I3360*K3360</f>
        <v/>
      </c>
      <c r="M3360" s="6">
        <f>K3360*4</f>
        <v/>
      </c>
      <c r="N3360" s="6" t="n">
        <v>460</v>
      </c>
    </row>
    <row r="3361">
      <c r="A3361" s="1" t="inlineStr">
        <is>
          <t>665bbe4f55773</t>
        </is>
      </c>
      <c r="B3361" s="1" t="inlineStr">
        <is>
          <t>COLLAR SERPENTI SILVER LISO</t>
        </is>
      </c>
      <c r="C3361" s="1" t="inlineStr">
        <is>
          <t>Regular</t>
        </is>
      </c>
      <c r="D3361" s="1" t="inlineStr">
        <is>
          <t>03/12/2025</t>
        </is>
      </c>
      <c r="E3361" s="1" t="n">
        <v>2025</v>
      </c>
      <c r="F3361" s="1" t="inlineStr">
        <is>
          <t>DICIEMBRE</t>
        </is>
      </c>
      <c r="G3361" s="1" t="inlineStr">
        <is>
          <t>NANCY</t>
        </is>
      </c>
      <c r="H3361" s="1" t="inlineStr">
        <is>
          <t>NANCY 03/12/2025</t>
        </is>
      </c>
      <c r="I3361" s="4" t="n">
        <v>4</v>
      </c>
      <c r="J3361" s="6" t="n">
        <v>17.99</v>
      </c>
      <c r="K3361" s="6" t="n">
        <v>425.5847778</v>
      </c>
      <c r="L3361" s="6">
        <f>I3361*K3361</f>
        <v/>
      </c>
      <c r="M3361" s="6">
        <f>K3361*4</f>
        <v/>
      </c>
      <c r="N3361" s="6" t="n">
        <v>899</v>
      </c>
    </row>
    <row r="3362">
      <c r="A3362" s="1" t="inlineStr">
        <is>
          <t>665bbe4f55773</t>
        </is>
      </c>
      <c r="B3362" s="1" t="inlineStr">
        <is>
          <t>COLLAR SERPENTI SILVER LISO</t>
        </is>
      </c>
      <c r="C3362" s="1" t="inlineStr">
        <is>
          <t>Regular</t>
        </is>
      </c>
      <c r="D3362" s="1" t="inlineStr">
        <is>
          <t>31/05/2026</t>
        </is>
      </c>
      <c r="E3362" s="1" t="n">
        <v>2026</v>
      </c>
      <c r="F3362" s="1" t="inlineStr">
        <is>
          <t>MAYO</t>
        </is>
      </c>
      <c r="G3362" s="1" t="inlineStr">
        <is>
          <t>NANCY</t>
        </is>
      </c>
      <c r="H3362" s="1" t="inlineStr">
        <is>
          <t>NANCY 31/05/2026</t>
        </is>
      </c>
      <c r="I3362" s="4" t="n">
        <v>2</v>
      </c>
      <c r="J3362" s="6" t="n">
        <v>19.99</v>
      </c>
      <c r="K3362" s="6" t="n">
        <v>485.1091183</v>
      </c>
      <c r="L3362" s="6">
        <f>I3362*K3362</f>
        <v/>
      </c>
      <c r="M3362" s="6">
        <f>K3362*4</f>
        <v/>
      </c>
      <c r="N3362" s="6" t="n">
        <v>899</v>
      </c>
    </row>
    <row r="3363">
      <c r="A3363" s="1" t="inlineStr">
        <is>
          <t>665bbe801cd41</t>
        </is>
      </c>
      <c r="B3363" s="1" t="inlineStr">
        <is>
          <t>COLLAR TREBOL ROSEGOLD-RED</t>
        </is>
      </c>
      <c r="C3363" s="1" t="inlineStr">
        <is>
          <t>High Quality 45cm</t>
        </is>
      </c>
      <c r="D3363" s="1" t="inlineStr">
        <is>
          <t>25/09/2025</t>
        </is>
      </c>
      <c r="E3363" s="1" t="n">
        <v>2025</v>
      </c>
      <c r="F3363" s="1" t="inlineStr">
        <is>
          <t>SEPTIEMBRE</t>
        </is>
      </c>
      <c r="G3363" s="1" t="inlineStr">
        <is>
          <t>HAIFENG</t>
        </is>
      </c>
      <c r="H3363" s="1" t="inlineStr">
        <is>
          <t>HAIFENG 25/09/2025</t>
        </is>
      </c>
      <c r="I3363" s="4" t="n">
        <v>8</v>
      </c>
      <c r="J3363" s="6" t="n">
        <v>11</v>
      </c>
      <c r="K3363" s="6" t="n">
        <v>232.0657435</v>
      </c>
      <c r="L3363" s="6">
        <f>I3363*K3363</f>
        <v/>
      </c>
      <c r="M3363" s="6">
        <f>K3363*4</f>
        <v/>
      </c>
      <c r="N3363" s="6" t="n">
        <v>899</v>
      </c>
    </row>
    <row r="3364">
      <c r="A3364" s="1" t="inlineStr">
        <is>
          <t>665bbe801cd41</t>
        </is>
      </c>
      <c r="B3364" s="1" t="inlineStr">
        <is>
          <t>COLLAR TREBOL ROSEGOLD-RED</t>
        </is>
      </c>
      <c r="C3364" s="1" t="inlineStr">
        <is>
          <t>High Quality 45cm y dije 15mm</t>
        </is>
      </c>
      <c r="D3364" s="1" t="inlineStr">
        <is>
          <t>11/03/2026</t>
        </is>
      </c>
      <c r="E3364" s="1" t="n">
        <v>2026</v>
      </c>
      <c r="F3364" s="1" t="inlineStr">
        <is>
          <t>MARZO</t>
        </is>
      </c>
      <c r="G3364" s="1" t="inlineStr">
        <is>
          <t>HAIFENG</t>
        </is>
      </c>
      <c r="H3364" s="1" t="inlineStr">
        <is>
          <t>HAIFENG 11/03/2026</t>
        </is>
      </c>
      <c r="I3364" s="4" t="n">
        <v>5</v>
      </c>
      <c r="J3364" s="6" t="n">
        <v>4</v>
      </c>
      <c r="K3364" s="6" t="n">
        <v>85.21558486000001</v>
      </c>
      <c r="L3364" s="6">
        <f>I3364*K3364</f>
        <v/>
      </c>
      <c r="M3364" s="6">
        <f>K3364*4</f>
        <v/>
      </c>
      <c r="N3364" s="6" t="n">
        <v>899</v>
      </c>
    </row>
    <row r="3365">
      <c r="A3365" s="1" t="inlineStr">
        <is>
          <t>665bbe801cd41</t>
        </is>
      </c>
      <c r="B3365" s="1" t="inlineStr">
        <is>
          <t>COLLAR TREBOL ROSEGOLD-RED</t>
        </is>
      </c>
      <c r="C3365" s="1" t="inlineStr">
        <is>
          <t>High Quality 45cm y dije 15mm</t>
        </is>
      </c>
      <c r="D3365" s="1" t="inlineStr">
        <is>
          <t>06/05/2026</t>
        </is>
      </c>
      <c r="E3365" s="1" t="n">
        <v>2026</v>
      </c>
      <c r="F3365" s="1" t="inlineStr">
        <is>
          <t>MAYO</t>
        </is>
      </c>
      <c r="G3365" s="1" t="inlineStr">
        <is>
          <t>HAIFENG</t>
        </is>
      </c>
      <c r="H3365" s="1" t="inlineStr">
        <is>
          <t>HAIFENG 06/05/2026</t>
        </is>
      </c>
      <c r="I3365" s="4" t="n">
        <v>3</v>
      </c>
      <c r="J3365" s="6" t="n">
        <v>4</v>
      </c>
      <c r="K3365" s="6" t="n">
        <v>84.87456907000001</v>
      </c>
      <c r="L3365" s="6">
        <f>I3365*K3365</f>
        <v/>
      </c>
      <c r="M3365" s="6">
        <f>K3365*4</f>
        <v/>
      </c>
      <c r="N3365" s="6" t="n">
        <v>899</v>
      </c>
    </row>
    <row r="3366">
      <c r="A3366" s="1" t="inlineStr">
        <is>
          <t>665bbe8b6904f</t>
        </is>
      </c>
      <c r="B3366" s="1" t="inlineStr">
        <is>
          <t>COLLAR TRES AROS</t>
        </is>
      </c>
      <c r="C3366" s="1" t="inlineStr">
        <is>
          <t>45cm</t>
        </is>
      </c>
      <c r="D3366" s="1" t="inlineStr">
        <is>
          <t>10/02/2026</t>
        </is>
      </c>
      <c r="E3366" s="1" t="n">
        <v>2026</v>
      </c>
      <c r="F3366" s="1" t="inlineStr">
        <is>
          <t>FEBRERO</t>
        </is>
      </c>
      <c r="G3366" s="1" t="inlineStr">
        <is>
          <t>HAIFENG</t>
        </is>
      </c>
      <c r="H3366" s="1" t="inlineStr">
        <is>
          <t>HAIFENG 10/02/2026</t>
        </is>
      </c>
      <c r="I3366" s="4" t="n">
        <v>2</v>
      </c>
      <c r="J3366" s="6" t="n">
        <v>7</v>
      </c>
      <c r="K3366" s="6" t="n">
        <v>147.4794725</v>
      </c>
      <c r="L3366" s="6">
        <f>I3366*K3366</f>
        <v/>
      </c>
      <c r="M3366" s="6">
        <f>K3366*4</f>
        <v/>
      </c>
      <c r="N3366" s="6" t="n">
        <v>580</v>
      </c>
    </row>
    <row r="3367">
      <c r="A3367" s="1" t="inlineStr">
        <is>
          <t>665bbe8b6904f</t>
        </is>
      </c>
      <c r="B3367" s="1" t="inlineStr">
        <is>
          <t>COLLAR TRES AROS</t>
        </is>
      </c>
      <c r="C3367" s="1" t="inlineStr">
        <is>
          <t>45cm</t>
        </is>
      </c>
      <c r="D3367" s="1" t="inlineStr">
        <is>
          <t>11/03/2026</t>
        </is>
      </c>
      <c r="E3367" s="1" t="n">
        <v>2026</v>
      </c>
      <c r="F3367" s="1" t="inlineStr">
        <is>
          <t>MARZO</t>
        </is>
      </c>
      <c r="G3367" s="1" t="inlineStr">
        <is>
          <t>HAIFENG</t>
        </is>
      </c>
      <c r="H3367" s="1" t="inlineStr">
        <is>
          <t>HAIFENG 11/03/2026</t>
        </is>
      </c>
      <c r="I3367" s="4" t="n">
        <v>2</v>
      </c>
      <c r="J3367" s="6" t="n">
        <v>7</v>
      </c>
      <c r="K3367" s="6" t="n">
        <v>149.1272735</v>
      </c>
      <c r="L3367" s="6">
        <f>I3367*K3367</f>
        <v/>
      </c>
      <c r="M3367" s="6">
        <f>K3367*4</f>
        <v/>
      </c>
      <c r="N3367" s="6" t="n">
        <v>580</v>
      </c>
    </row>
    <row r="3368">
      <c r="A3368" s="1" t="inlineStr">
        <is>
          <t>665bc0b8d1cab-2</t>
        </is>
      </c>
      <c r="B3368" s="1" t="inlineStr">
        <is>
          <t>LENTES C GOLD SLIM BLACK</t>
        </is>
      </c>
      <c r="C3368" s="1" t="inlineStr">
        <is>
          <t>REGULAR</t>
        </is>
      </c>
      <c r="D3368" s="1" t="inlineStr">
        <is>
          <t>18/02/2026</t>
        </is>
      </c>
      <c r="E3368" s="1" t="n">
        <v>2026</v>
      </c>
      <c r="F3368" s="1" t="inlineStr">
        <is>
          <t>FEBRERO</t>
        </is>
      </c>
      <c r="G3368" s="1" t="inlineStr">
        <is>
          <t>CYNTHIA</t>
        </is>
      </c>
      <c r="H3368" s="1" t="inlineStr">
        <is>
          <t>CYNTHIA 18/02/2026</t>
        </is>
      </c>
      <c r="I3368" s="4" t="n">
        <v>1</v>
      </c>
      <c r="J3368" s="6" t="n">
        <v>8.5</v>
      </c>
      <c r="K3368" s="6" t="n">
        <v>229.8686042</v>
      </c>
      <c r="L3368" s="6">
        <f>I3368*K3368</f>
        <v/>
      </c>
      <c r="M3368" s="6">
        <f>K3368*4</f>
        <v/>
      </c>
      <c r="N3368" s="6" t="n">
        <v>950</v>
      </c>
    </row>
    <row r="3369">
      <c r="A3369" s="1" t="inlineStr">
        <is>
          <t>665bc0b8d1cab-2</t>
        </is>
      </c>
      <c r="B3369" s="1" t="inlineStr">
        <is>
          <t>LENTES C GOLD SLIM BLACK</t>
        </is>
      </c>
      <c r="C3369" s="1" t="inlineStr">
        <is>
          <t>REGULAR</t>
        </is>
      </c>
      <c r="D3369" s="1" t="inlineStr">
        <is>
          <t>19/03/2026</t>
        </is>
      </c>
      <c r="E3369" s="1" t="n">
        <v>2026</v>
      </c>
      <c r="F3369" s="1" t="inlineStr">
        <is>
          <t>MARZO</t>
        </is>
      </c>
      <c r="G3369" s="1" t="inlineStr">
        <is>
          <t>CYNTHIA</t>
        </is>
      </c>
      <c r="H3369" s="1" t="inlineStr">
        <is>
          <t>CYNTHIA 19/03/2026</t>
        </is>
      </c>
      <c r="I3369" s="4" t="n">
        <v>2</v>
      </c>
      <c r="J3369" s="6" t="n">
        <v>8.5</v>
      </c>
      <c r="K3369" s="6" t="n">
        <v>228.2880342</v>
      </c>
      <c r="L3369" s="6">
        <f>I3369*K3369</f>
        <v/>
      </c>
      <c r="M3369" s="6">
        <f>K3369*4</f>
        <v/>
      </c>
      <c r="N3369" s="6" t="n">
        <v>950</v>
      </c>
    </row>
    <row r="3370">
      <c r="A3370" s="1" t="inlineStr">
        <is>
          <t>665bc0bb805f5</t>
        </is>
      </c>
      <c r="B3370" s="1" t="inlineStr">
        <is>
          <t>LENTES C OVAL GOLD BLACK</t>
        </is>
      </c>
      <c r="C3370" s="1" t="inlineStr">
        <is>
          <t>REGULAR</t>
        </is>
      </c>
      <c r="D3370" s="1" t="inlineStr">
        <is>
          <t>05/09/2025</t>
        </is>
      </c>
      <c r="E3370" s="1" t="n">
        <v>2025</v>
      </c>
      <c r="F3370" s="1" t="inlineStr">
        <is>
          <t>SEPTIEMBRE</t>
        </is>
      </c>
      <c r="G3370" s="1" t="inlineStr">
        <is>
          <t>CYNTHIA</t>
        </is>
      </c>
      <c r="H3370" s="1" t="inlineStr">
        <is>
          <t>CYNTHIA 05/09/2025</t>
        </is>
      </c>
      <c r="I3370" s="4" t="n">
        <v>8</v>
      </c>
      <c r="J3370" s="6" t="n">
        <v>29.5</v>
      </c>
      <c r="K3370" s="6" t="n">
        <v>742.7833594</v>
      </c>
      <c r="L3370" s="6">
        <f>I3370*K3370</f>
        <v/>
      </c>
      <c r="M3370" s="6">
        <f>K3370*4</f>
        <v/>
      </c>
      <c r="N3370" s="6" t="n">
        <v>2500</v>
      </c>
    </row>
    <row r="3371">
      <c r="A3371" s="1" t="inlineStr">
        <is>
          <t>665bc0bb805f5</t>
        </is>
      </c>
      <c r="B3371" s="1" t="inlineStr">
        <is>
          <t>LENTES C OVAL GOLD BLACK</t>
        </is>
      </c>
      <c r="C3371" s="1" t="inlineStr">
        <is>
          <t>REGULAR</t>
        </is>
      </c>
      <c r="D3371" s="1" t="inlineStr">
        <is>
          <t>07/01/2026</t>
        </is>
      </c>
      <c r="E3371" s="1" t="n">
        <v>2026</v>
      </c>
      <c r="F3371" s="1" t="inlineStr">
        <is>
          <t>ENERO</t>
        </is>
      </c>
      <c r="G3371" s="1" t="inlineStr">
        <is>
          <t>CYNTHIA</t>
        </is>
      </c>
      <c r="H3371" s="1" t="inlineStr">
        <is>
          <t>CYNTHIA 07/01/2026</t>
        </is>
      </c>
      <c r="I3371" s="4" t="n">
        <v>2</v>
      </c>
      <c r="J3371" s="6" t="n">
        <v>29.5</v>
      </c>
      <c r="K3371" s="6" t="n">
        <v>784.3291164</v>
      </c>
      <c r="L3371" s="6">
        <f>I3371*K3371</f>
        <v/>
      </c>
      <c r="M3371" s="6">
        <f>K3371*4</f>
        <v/>
      </c>
      <c r="N3371" s="6" t="n">
        <v>3199</v>
      </c>
    </row>
    <row r="3372">
      <c r="A3372" s="1" t="inlineStr">
        <is>
          <t>665bc0bb805f5</t>
        </is>
      </c>
      <c r="B3372" s="1" t="inlineStr">
        <is>
          <t>LENTES C OVAL GOLD BLACK</t>
        </is>
      </c>
      <c r="C3372" s="1" t="inlineStr">
        <is>
          <t>REGULAR</t>
        </is>
      </c>
      <c r="D3372" s="1" t="inlineStr">
        <is>
          <t>18/02/2026</t>
        </is>
      </c>
      <c r="E3372" s="1" t="n">
        <v>2026</v>
      </c>
      <c r="F3372" s="1" t="inlineStr">
        <is>
          <t>FEBRERO</t>
        </is>
      </c>
      <c r="G3372" s="1" t="inlineStr">
        <is>
          <t>CYNTHIA</t>
        </is>
      </c>
      <c r="H3372" s="1" t="inlineStr">
        <is>
          <t>CYNTHIA 18/02/2026</t>
        </is>
      </c>
      <c r="I3372" s="4" t="n">
        <v>2</v>
      </c>
      <c r="J3372" s="6" t="n">
        <v>29.5</v>
      </c>
      <c r="K3372" s="6" t="n">
        <v>797.7792734</v>
      </c>
      <c r="L3372" s="6">
        <f>I3372*K3372</f>
        <v/>
      </c>
      <c r="M3372" s="6">
        <f>K3372*4</f>
        <v/>
      </c>
      <c r="N3372" s="6" t="n">
        <v>3199</v>
      </c>
    </row>
    <row r="3373">
      <c r="A3373" s="1" t="inlineStr">
        <is>
          <t>665bc135c2aa8</t>
        </is>
      </c>
      <c r="B3373" s="1" t="inlineStr">
        <is>
          <t>PULSERA C KNOT SILVER</t>
        </is>
      </c>
      <c r="C3373" s="1" t="inlineStr">
        <is>
          <t>AJUSTABLE</t>
        </is>
      </c>
      <c r="D3373" s="1" t="inlineStr">
        <is>
          <t>31/05/2026</t>
        </is>
      </c>
      <c r="E3373" s="1" t="n">
        <v>2026</v>
      </c>
      <c r="F3373" s="1" t="inlineStr">
        <is>
          <t>MAYO</t>
        </is>
      </c>
      <c r="G3373" s="1" t="inlineStr">
        <is>
          <t>CYNTHIA</t>
        </is>
      </c>
      <c r="H3373" s="1" t="inlineStr">
        <is>
          <t>CYNTHIA 31/05/2026</t>
        </is>
      </c>
      <c r="I3373" s="4" t="n">
        <v>6</v>
      </c>
      <c r="J3373" s="6" t="n">
        <v>10.8</v>
      </c>
      <c r="K3373" s="6" t="n">
        <v>286.2112858</v>
      </c>
      <c r="L3373" s="6">
        <f>I3373*K3373</f>
        <v/>
      </c>
      <c r="M3373" s="6">
        <f>K3373*4</f>
        <v/>
      </c>
      <c r="N3373" s="6" t="n">
        <v>1149</v>
      </c>
    </row>
    <row r="3374">
      <c r="A3374" s="1" t="inlineStr">
        <is>
          <t>665bcd30f2870</t>
        </is>
      </c>
      <c r="B3374" s="1" t="inlineStr">
        <is>
          <t>PULSERA DY ESCLAVA</t>
        </is>
      </c>
      <c r="C3374" s="1" t="inlineStr">
        <is>
          <t>17cm</t>
        </is>
      </c>
      <c r="D3374" s="1" t="inlineStr">
        <is>
          <t>25/10/2025</t>
        </is>
      </c>
      <c r="E3374" s="1" t="n">
        <v>2025</v>
      </c>
      <c r="F3374" s="1" t="inlineStr">
        <is>
          <t>OCTUBRE</t>
        </is>
      </c>
      <c r="G3374" s="1" t="inlineStr">
        <is>
          <t>CYNTHIA</t>
        </is>
      </c>
      <c r="H3374" s="1" t="inlineStr">
        <is>
          <t>CYNTHIA 25/10/2025</t>
        </is>
      </c>
      <c r="I3374" s="4" t="n">
        <v>1</v>
      </c>
      <c r="J3374" s="6" t="n">
        <v>13.3</v>
      </c>
      <c r="K3374" s="6" t="n">
        <v>348.4842537</v>
      </c>
      <c r="L3374" s="6">
        <f>I3374*K3374</f>
        <v/>
      </c>
      <c r="M3374" s="6">
        <f>K3374*4</f>
        <v/>
      </c>
      <c r="N3374" s="6" t="n">
        <v>1120</v>
      </c>
    </row>
    <row r="3375">
      <c r="A3375" s="1" t="inlineStr">
        <is>
          <t>665bcd30f2870</t>
        </is>
      </c>
      <c r="B3375" s="1" t="inlineStr">
        <is>
          <t>PULSERA DY ESCLAVA</t>
        </is>
      </c>
      <c r="C3375" s="1" t="inlineStr">
        <is>
          <t>17cm</t>
        </is>
      </c>
      <c r="D3375" s="1" t="inlineStr">
        <is>
          <t>18/02/2026</t>
        </is>
      </c>
      <c r="E3375" s="1" t="n">
        <v>2026</v>
      </c>
      <c r="F3375" s="1" t="inlineStr">
        <is>
          <t>FEBRERO</t>
        </is>
      </c>
      <c r="G3375" s="1" t="inlineStr">
        <is>
          <t>CYNTHIA</t>
        </is>
      </c>
      <c r="H3375" s="1" t="inlineStr">
        <is>
          <t>CYNTHIA 18/02/2026</t>
        </is>
      </c>
      <c r="I3375" s="4" t="n">
        <v>2</v>
      </c>
      <c r="J3375" s="6" t="n">
        <v>13.3</v>
      </c>
      <c r="K3375" s="6" t="n">
        <v>359.6767571</v>
      </c>
      <c r="L3375" s="6">
        <f>I3375*K3375</f>
        <v/>
      </c>
      <c r="M3375" s="6">
        <f>K3375*4</f>
        <v/>
      </c>
      <c r="N3375" s="6" t="n">
        <v>1420</v>
      </c>
    </row>
    <row r="3376">
      <c r="A3376" s="1" t="inlineStr">
        <is>
          <t>665bcd30f2870</t>
        </is>
      </c>
      <c r="B3376" s="1" t="inlineStr">
        <is>
          <t>PULSERA DY ESCLAVA</t>
        </is>
      </c>
      <c r="C3376" s="1" t="inlineStr">
        <is>
          <t>17cm</t>
        </is>
      </c>
      <c r="D3376" s="1" t="inlineStr">
        <is>
          <t>31/05/2026</t>
        </is>
      </c>
      <c r="E3376" s="1" t="n">
        <v>2026</v>
      </c>
      <c r="F3376" s="1" t="inlineStr">
        <is>
          <t>MAYO</t>
        </is>
      </c>
      <c r="G3376" s="1" t="inlineStr">
        <is>
          <t>CYNTHIA</t>
        </is>
      </c>
      <c r="H3376" s="1" t="inlineStr">
        <is>
          <t>CYNTHIA 31/05/2026</t>
        </is>
      </c>
      <c r="I3376" s="4" t="n">
        <v>2</v>
      </c>
      <c r="J3376" s="6" t="n">
        <v>13.3</v>
      </c>
      <c r="K3376" s="6" t="n">
        <v>352.4638982</v>
      </c>
      <c r="L3376" s="6">
        <f>I3376*K3376</f>
        <v/>
      </c>
      <c r="M3376" s="6">
        <f>K3376*4</f>
        <v/>
      </c>
      <c r="N3376" s="6" t="n">
        <v>1420</v>
      </c>
    </row>
    <row r="3377">
      <c r="A3377" s="1" t="inlineStr">
        <is>
          <t>665bce15b9cc7</t>
        </is>
      </c>
      <c r="B3377" s="1" t="inlineStr">
        <is>
          <t>PULSERA LV DE CUERO LOGO</t>
        </is>
      </c>
      <c r="C3377" s="1" t="inlineStr">
        <is>
          <t>16cm ajustable a 18cm</t>
        </is>
      </c>
      <c r="D3377" s="1" t="inlineStr">
        <is>
          <t>31/05/2026</t>
        </is>
      </c>
      <c r="E3377" s="1" t="n">
        <v>2026</v>
      </c>
      <c r="F3377" s="1" t="inlineStr">
        <is>
          <t>MAYO</t>
        </is>
      </c>
      <c r="G3377" s="1" t="inlineStr">
        <is>
          <t>CYNTHIA</t>
        </is>
      </c>
      <c r="H3377" s="1" t="inlineStr">
        <is>
          <t>CYNTHIA 31/05/2026</t>
        </is>
      </c>
      <c r="I3377" s="4" t="n">
        <v>5</v>
      </c>
      <c r="J3377" s="6" t="n">
        <v>10.8</v>
      </c>
      <c r="K3377" s="6" t="n">
        <v>286.2112858</v>
      </c>
      <c r="L3377" s="6">
        <f>I3377*K3377</f>
        <v/>
      </c>
      <c r="M3377" s="6">
        <f>K3377*4</f>
        <v/>
      </c>
      <c r="N3377" s="6" t="n">
        <v>1005</v>
      </c>
    </row>
    <row r="3378">
      <c r="A3378" s="1" t="inlineStr">
        <is>
          <t>665bce42479e9</t>
        </is>
      </c>
      <c r="B3378" s="1" t="inlineStr">
        <is>
          <t>PULSERA P STARS</t>
        </is>
      </c>
      <c r="C3378" s="1" t="inlineStr">
        <is>
          <t>16cm extensión de 4cm</t>
        </is>
      </c>
      <c r="D3378" s="1" t="inlineStr">
        <is>
          <t>05/09/2025</t>
        </is>
      </c>
      <c r="E3378" s="1" t="n">
        <v>2025</v>
      </c>
      <c r="F3378" s="1" t="inlineStr">
        <is>
          <t>SEPTIEMBRE</t>
        </is>
      </c>
      <c r="G3378" s="1" t="inlineStr">
        <is>
          <t>CYNTHIA</t>
        </is>
      </c>
      <c r="H3378" s="1" t="inlineStr">
        <is>
          <t>CYNTHIA 05/09/2025</t>
        </is>
      </c>
      <c r="I3378" s="4" t="n">
        <v>2</v>
      </c>
      <c r="J3378" s="6" t="n">
        <v>6</v>
      </c>
      <c r="K3378" s="6" t="n">
        <v>151.0745816</v>
      </c>
      <c r="L3378" s="6">
        <f>I3378*K3378</f>
        <v/>
      </c>
      <c r="M3378" s="6">
        <f>K3378*4</f>
        <v/>
      </c>
      <c r="N3378" s="6" t="n">
        <v>499</v>
      </c>
    </row>
    <row r="3379">
      <c r="A3379" s="1" t="inlineStr">
        <is>
          <t>665bce42479e9</t>
        </is>
      </c>
      <c r="B3379" s="1" t="inlineStr">
        <is>
          <t>PULSERA P STARS</t>
        </is>
      </c>
      <c r="C3379" s="1" t="inlineStr">
        <is>
          <t>16cm extensión de 4cm</t>
        </is>
      </c>
      <c r="D3379" s="1" t="inlineStr">
        <is>
          <t>07/01/2026</t>
        </is>
      </c>
      <c r="E3379" s="1" t="n">
        <v>2026</v>
      </c>
      <c r="F3379" s="1" t="inlineStr">
        <is>
          <t>ENERO</t>
        </is>
      </c>
      <c r="G3379" s="1" t="inlineStr">
        <is>
          <t>CYNTHIA</t>
        </is>
      </c>
      <c r="H3379" s="1" t="inlineStr">
        <is>
          <t>CYNTHIA 07/01/2026</t>
        </is>
      </c>
      <c r="I3379" s="4" t="n">
        <v>3</v>
      </c>
      <c r="J3379" s="6" t="n">
        <v>6</v>
      </c>
      <c r="K3379" s="6" t="n">
        <v>159.524566</v>
      </c>
      <c r="L3379" s="6">
        <f>I3379*K3379</f>
        <v/>
      </c>
      <c r="M3379" s="6">
        <f>K3379*4</f>
        <v/>
      </c>
      <c r="N3379" s="6" t="n">
        <v>545</v>
      </c>
    </row>
    <row r="3380">
      <c r="A3380" s="1" t="inlineStr">
        <is>
          <t>665bce42479e9</t>
        </is>
      </c>
      <c r="B3380" s="1" t="inlineStr">
        <is>
          <t>PULSERA P STARS</t>
        </is>
      </c>
      <c r="C3380" s="1" t="inlineStr">
        <is>
          <t>16cm extensión de 4cm</t>
        </is>
      </c>
      <c r="D3380" s="1" t="inlineStr">
        <is>
          <t>27/04/2026</t>
        </is>
      </c>
      <c r="E3380" s="1" t="n">
        <v>2026</v>
      </c>
      <c r="F3380" s="1" t="inlineStr">
        <is>
          <t>ABRIL</t>
        </is>
      </c>
      <c r="G3380" s="1" t="inlineStr">
        <is>
          <t>CYNTHIA</t>
        </is>
      </c>
      <c r="H3380" s="1" t="inlineStr">
        <is>
          <t>CYNTHIA 27/04/2026</t>
        </is>
      </c>
      <c r="I3380" s="4" t="n">
        <v>6</v>
      </c>
      <c r="J3380" s="6" t="n">
        <v>6</v>
      </c>
      <c r="K3380" s="6" t="n">
        <v>155.7005557</v>
      </c>
      <c r="L3380" s="6">
        <f>I3380*K3380</f>
        <v/>
      </c>
      <c r="M3380" s="6">
        <f>K3380*4</f>
        <v/>
      </c>
      <c r="N3380" s="6" t="n">
        <v>545</v>
      </c>
    </row>
    <row r="3381">
      <c r="A3381" s="1" t="inlineStr">
        <is>
          <t>665bce4734fce</t>
        </is>
      </c>
      <c r="B3381" s="1" t="inlineStr">
        <is>
          <t>PULSERA PERLEÉ ROSEGOLD</t>
        </is>
      </c>
      <c r="C3381" s="1" t="inlineStr">
        <is>
          <t>16cm</t>
        </is>
      </c>
      <c r="D3381" s="1" t="inlineStr">
        <is>
          <t>01/03/2026</t>
        </is>
      </c>
      <c r="E3381" s="1" t="n">
        <v>2026</v>
      </c>
      <c r="F3381" s="1" t="inlineStr">
        <is>
          <t>MARZO</t>
        </is>
      </c>
      <c r="G3381" s="1" t="inlineStr">
        <is>
          <t>NANCY</t>
        </is>
      </c>
      <c r="H3381" s="1" t="inlineStr">
        <is>
          <t>NANCY 01/03/2026</t>
        </is>
      </c>
      <c r="I3381" s="4" t="n">
        <v>2</v>
      </c>
      <c r="J3381" s="6" t="n">
        <v>10.99</v>
      </c>
      <c r="K3381" s="6" t="n">
        <v>278.0878645</v>
      </c>
      <c r="L3381" s="6">
        <f>I3381*K3381</f>
        <v/>
      </c>
      <c r="M3381" s="6">
        <f>K3381*4</f>
        <v/>
      </c>
      <c r="N3381" s="6" t="n">
        <v>860</v>
      </c>
    </row>
    <row r="3382">
      <c r="A3382" s="1" t="inlineStr">
        <is>
          <t>665bce4734fce</t>
        </is>
      </c>
      <c r="B3382" s="1" t="inlineStr">
        <is>
          <t>PULSERA PERLEÉ ROSEGOLD</t>
        </is>
      </c>
      <c r="C3382" s="1" t="inlineStr">
        <is>
          <t>16cm</t>
        </is>
      </c>
      <c r="D3382" s="1" t="inlineStr">
        <is>
          <t>09/07/2026</t>
        </is>
      </c>
      <c r="E3382" s="1" t="n">
        <v>2026</v>
      </c>
      <c r="F3382" s="1" t="inlineStr">
        <is>
          <t>JULIO</t>
        </is>
      </c>
      <c r="G3382" s="1" t="inlineStr">
        <is>
          <t>NANCY</t>
        </is>
      </c>
      <c r="H3382" s="1" t="inlineStr">
        <is>
          <t>NANCY 09/07/2026</t>
        </is>
      </c>
      <c r="I3382" s="4" t="n">
        <v>4</v>
      </c>
      <c r="J3382" s="6" t="n">
        <v>11.39</v>
      </c>
      <c r="K3382" s="6" t="n">
        <v>277.5227408</v>
      </c>
      <c r="L3382" s="6">
        <f>I3382*K3382</f>
        <v/>
      </c>
      <c r="M3382" s="6">
        <f>K3382*4</f>
        <v/>
      </c>
      <c r="N3382" s="6" t="n">
        <v>860</v>
      </c>
    </row>
    <row r="3383">
      <c r="A3383" s="1" t="inlineStr">
        <is>
          <t>665bce4a7cf8d</t>
        </is>
      </c>
      <c r="B3383" s="1" t="inlineStr">
        <is>
          <t>PULSERA PERLEÉ SILVER</t>
        </is>
      </c>
      <c r="C3383" s="1" t="inlineStr">
        <is>
          <t>16cm</t>
        </is>
      </c>
      <c r="D3383" s="1" t="inlineStr">
        <is>
          <t>08/05/2026</t>
        </is>
      </c>
      <c r="E3383" s="1" t="n">
        <v>2026</v>
      </c>
      <c r="F3383" s="1" t="inlineStr">
        <is>
          <t>MAYO</t>
        </is>
      </c>
      <c r="G3383" s="1" t="inlineStr">
        <is>
          <t>NANCY</t>
        </is>
      </c>
      <c r="H3383" s="1" t="inlineStr">
        <is>
          <t>NANCY 08/05/2026</t>
        </is>
      </c>
      <c r="I3383" s="4" t="n">
        <v>2</v>
      </c>
      <c r="J3383" s="6" t="n">
        <v>10.99</v>
      </c>
      <c r="K3383" s="6" t="n">
        <v>259.9987891</v>
      </c>
      <c r="L3383" s="6">
        <f>I3383*K3383</f>
        <v/>
      </c>
      <c r="M3383" s="6">
        <f>K3383*4</f>
        <v/>
      </c>
      <c r="N3383" s="6" t="n">
        <v>950</v>
      </c>
    </row>
    <row r="3384">
      <c r="A3384" s="1" t="inlineStr">
        <is>
          <t>665bce4e1ec6b</t>
        </is>
      </c>
      <c r="B3384" s="1" t="inlineStr">
        <is>
          <t>PULSERA PERLEÉ GOLD</t>
        </is>
      </c>
      <c r="C3384" s="1" t="inlineStr">
        <is>
          <t>16cm</t>
        </is>
      </c>
      <c r="D3384" s="1" t="inlineStr">
        <is>
          <t>03/12/2025</t>
        </is>
      </c>
      <c r="E3384" s="1" t="n">
        <v>2025</v>
      </c>
      <c r="F3384" s="1" t="inlineStr">
        <is>
          <t>DICIEMBRE</t>
        </is>
      </c>
      <c r="G3384" s="1" t="inlineStr">
        <is>
          <t>NANCY</t>
        </is>
      </c>
      <c r="H3384" s="1" t="inlineStr">
        <is>
          <t>NANCY 03/12/2025</t>
        </is>
      </c>
      <c r="I3384" s="4" t="n">
        <v>3</v>
      </c>
      <c r="J3384" s="6" t="n">
        <v>10.99</v>
      </c>
      <c r="K3384" s="6" t="n">
        <v>259.987588</v>
      </c>
      <c r="L3384" s="6">
        <f>I3384*K3384</f>
        <v/>
      </c>
      <c r="M3384" s="6">
        <f>K3384*4</f>
        <v/>
      </c>
      <c r="N3384" s="6" t="n">
        <v>950</v>
      </c>
    </row>
    <row r="3385">
      <c r="A3385" s="1" t="inlineStr">
        <is>
          <t>665bce4e1ec6b</t>
        </is>
      </c>
      <c r="B3385" s="1" t="inlineStr">
        <is>
          <t>PULSERA PERLEÉ GOLD</t>
        </is>
      </c>
      <c r="C3385" s="1" t="inlineStr">
        <is>
          <t>16cm</t>
        </is>
      </c>
      <c r="D3385" s="1" t="inlineStr">
        <is>
          <t>01/04/2026</t>
        </is>
      </c>
      <c r="E3385" s="1" t="n">
        <v>2026</v>
      </c>
      <c r="F3385" s="1" t="inlineStr">
        <is>
          <t>ABRIL</t>
        </is>
      </c>
      <c r="G3385" s="1" t="inlineStr">
        <is>
          <t>NANCY</t>
        </is>
      </c>
      <c r="H3385" s="1" t="inlineStr">
        <is>
          <t>NANCY 01/04/2026</t>
        </is>
      </c>
      <c r="I3385" s="4" t="n">
        <v>1</v>
      </c>
      <c r="J3385" s="6" t="n">
        <v>10.99</v>
      </c>
      <c r="K3385" s="6" t="n">
        <v>263.1062003</v>
      </c>
      <c r="L3385" s="6">
        <f>I3385*K3385</f>
        <v/>
      </c>
      <c r="M3385" s="6">
        <f>K3385*4</f>
        <v/>
      </c>
      <c r="N3385" s="6" t="n">
        <v>950</v>
      </c>
    </row>
    <row r="3386">
      <c r="A3386" s="1" t="inlineStr">
        <is>
          <t>665bce4e1ec6b</t>
        </is>
      </c>
      <c r="B3386" s="1" t="inlineStr">
        <is>
          <t>PULSERA PERLEÉ GOLD</t>
        </is>
      </c>
      <c r="C3386" s="1" t="inlineStr">
        <is>
          <t>16cm</t>
        </is>
      </c>
      <c r="D3386" s="1" t="inlineStr">
        <is>
          <t>09/07/2026</t>
        </is>
      </c>
      <c r="E3386" s="1" t="n">
        <v>2026</v>
      </c>
      <c r="F3386" s="1" t="inlineStr">
        <is>
          <t>JULIO</t>
        </is>
      </c>
      <c r="G3386" s="1" t="inlineStr">
        <is>
          <t>NANCY</t>
        </is>
      </c>
      <c r="H3386" s="1" t="inlineStr">
        <is>
          <t>NANCY 09/07/2026</t>
        </is>
      </c>
      <c r="I3386" s="4" t="n">
        <v>4</v>
      </c>
      <c r="J3386" s="6" t="n">
        <v>11.39</v>
      </c>
      <c r="K3386" s="6" t="n">
        <v>277.5227408</v>
      </c>
      <c r="L3386" s="6">
        <f>I3386*K3386</f>
        <v/>
      </c>
      <c r="M3386" s="6">
        <f>K3386*4</f>
        <v/>
      </c>
      <c r="N3386" s="6" t="n">
        <v>950</v>
      </c>
    </row>
    <row r="3387">
      <c r="A3387" s="1" t="inlineStr">
        <is>
          <t>665bce619b90b</t>
        </is>
      </c>
      <c r="B3387" s="1" t="inlineStr">
        <is>
          <t>PULSERA SERPENTI LISA ROSEGOLD</t>
        </is>
      </c>
      <c r="C3387" s="1" t="inlineStr">
        <is>
          <t>18cm</t>
        </is>
      </c>
      <c r="D3387" s="1" t="inlineStr">
        <is>
          <t>03/12/2025</t>
        </is>
      </c>
      <c r="E3387" s="1" t="n">
        <v>2025</v>
      </c>
      <c r="F3387" s="1" t="inlineStr">
        <is>
          <t>DICIEMBRE</t>
        </is>
      </c>
      <c r="G3387" s="1" t="inlineStr">
        <is>
          <t>NANCY</t>
        </is>
      </c>
      <c r="H3387" s="1" t="inlineStr">
        <is>
          <t>NANCY 03/12/2025</t>
        </is>
      </c>
      <c r="I3387" s="4" t="n">
        <v>1</v>
      </c>
      <c r="J3387" s="6" t="n">
        <v>9.390000000000001</v>
      </c>
      <c r="K3387" s="6" t="n">
        <v>222.1368018</v>
      </c>
      <c r="L3387" s="6">
        <f>I3387*K3387</f>
        <v/>
      </c>
      <c r="M3387" s="6">
        <f>K3387*4</f>
        <v/>
      </c>
      <c r="N3387" s="6" t="n">
        <v>789</v>
      </c>
    </row>
    <row r="3388">
      <c r="A3388" s="1" t="inlineStr">
        <is>
          <t>665bce619b90b</t>
        </is>
      </c>
      <c r="B3388" s="1" t="inlineStr">
        <is>
          <t>PULSERA SERPENTI LISA ROSEGOLD</t>
        </is>
      </c>
      <c r="C3388" s="1" t="inlineStr">
        <is>
          <t>18cm</t>
        </is>
      </c>
      <c r="D3388" s="1" t="inlineStr">
        <is>
          <t>01/03/2026</t>
        </is>
      </c>
      <c r="E3388" s="1" t="n">
        <v>2026</v>
      </c>
      <c r="F3388" s="1" t="inlineStr">
        <is>
          <t>MARZO</t>
        </is>
      </c>
      <c r="G3388" s="1" t="inlineStr">
        <is>
          <t>NANCY</t>
        </is>
      </c>
      <c r="H3388" s="1" t="inlineStr">
        <is>
          <t>NANCY 01/03/2026</t>
        </is>
      </c>
      <c r="I3388" s="4" t="n">
        <v>2</v>
      </c>
      <c r="J3388" s="6" t="n">
        <v>9.390000000000001</v>
      </c>
      <c r="K3388" s="6" t="n">
        <v>237.6019152</v>
      </c>
      <c r="L3388" s="6">
        <f>I3388*K3388</f>
        <v/>
      </c>
      <c r="M3388" s="6">
        <f>K3388*4</f>
        <v/>
      </c>
      <c r="N3388" s="6" t="n">
        <v>789</v>
      </c>
    </row>
    <row r="3389">
      <c r="A3389" s="1" t="inlineStr">
        <is>
          <t>665bce619b90b</t>
        </is>
      </c>
      <c r="B3389" s="1" t="inlineStr">
        <is>
          <t>PULSERA SERPENTI LISA ROSEGOLD</t>
        </is>
      </c>
      <c r="C3389" s="1" t="inlineStr">
        <is>
          <t>18cm</t>
        </is>
      </c>
      <c r="D3389" s="1" t="inlineStr">
        <is>
          <t>08/05/2026</t>
        </is>
      </c>
      <c r="E3389" s="1" t="n">
        <v>2026</v>
      </c>
      <c r="F3389" s="1" t="inlineStr">
        <is>
          <t>MAYO</t>
        </is>
      </c>
      <c r="G3389" s="1" t="inlineStr">
        <is>
          <t>NANCY</t>
        </is>
      </c>
      <c r="H3389" s="1" t="inlineStr">
        <is>
          <t>NANCY 08/05/2026</t>
        </is>
      </c>
      <c r="I3389" s="4" t="n">
        <v>3</v>
      </c>
      <c r="J3389" s="6" t="n">
        <v>9.390000000000001</v>
      </c>
      <c r="K3389" s="6" t="n">
        <v>222.1463721</v>
      </c>
      <c r="L3389" s="6">
        <f>I3389*K3389</f>
        <v/>
      </c>
      <c r="M3389" s="6">
        <f>K3389*4</f>
        <v/>
      </c>
      <c r="N3389" s="6" t="n">
        <v>789</v>
      </c>
    </row>
    <row r="3390">
      <c r="A3390" s="1" t="inlineStr">
        <is>
          <t>665bce65c57fd</t>
        </is>
      </c>
      <c r="B3390" s="1" t="inlineStr">
        <is>
          <t>PULSERA SERPENTI LISA SILVER</t>
        </is>
      </c>
      <c r="C3390" s="1" t="inlineStr">
        <is>
          <t>18cm</t>
        </is>
      </c>
      <c r="D3390" s="1" t="inlineStr">
        <is>
          <t>06/09/2025</t>
        </is>
      </c>
      <c r="E3390" s="1" t="n">
        <v>2025</v>
      </c>
      <c r="F3390" s="1" t="inlineStr">
        <is>
          <t>SEPTIEMBRE</t>
        </is>
      </c>
      <c r="G3390" s="1" t="inlineStr">
        <is>
          <t>NANCY</t>
        </is>
      </c>
      <c r="H3390" s="1" t="inlineStr">
        <is>
          <t>NANCY 06/09/2025</t>
        </is>
      </c>
      <c r="I3390" s="4" t="n">
        <v>6</v>
      </c>
      <c r="J3390" s="6" t="n">
        <v>9.390000000000001</v>
      </c>
      <c r="K3390" s="6" t="n">
        <v>218.6523435</v>
      </c>
      <c r="L3390" s="6">
        <f>I3390*K3390</f>
        <v/>
      </c>
      <c r="M3390" s="6">
        <f>K3390*4</f>
        <v/>
      </c>
      <c r="N3390" s="6" t="n">
        <v>789</v>
      </c>
    </row>
    <row r="3391">
      <c r="A3391" s="1" t="inlineStr">
        <is>
          <t>665bce65c57fd</t>
        </is>
      </c>
      <c r="B3391" s="1" t="inlineStr">
        <is>
          <t>PULSERA SERPENTI LISA SILVER</t>
        </is>
      </c>
      <c r="C3391" s="1" t="inlineStr">
        <is>
          <t>18cm</t>
        </is>
      </c>
      <c r="D3391" s="1" t="inlineStr">
        <is>
          <t>03/12/2025</t>
        </is>
      </c>
      <c r="E3391" s="1" t="n">
        <v>2025</v>
      </c>
      <c r="F3391" s="1" t="inlineStr">
        <is>
          <t>DICIEMBRE</t>
        </is>
      </c>
      <c r="G3391" s="1" t="inlineStr">
        <is>
          <t>NANCY</t>
        </is>
      </c>
      <c r="H3391" s="1" t="inlineStr">
        <is>
          <t>NANCY 03/12/2025</t>
        </is>
      </c>
      <c r="I3391" s="4" t="n">
        <v>6</v>
      </c>
      <c r="J3391" s="6" t="n">
        <v>9.390000000000001</v>
      </c>
      <c r="K3391" s="6" t="n">
        <v>222.1368018</v>
      </c>
      <c r="L3391" s="6">
        <f>I3391*K3391</f>
        <v/>
      </c>
      <c r="M3391" s="6">
        <f>K3391*4</f>
        <v/>
      </c>
      <c r="N3391" s="6" t="n">
        <v>789</v>
      </c>
    </row>
    <row r="3392">
      <c r="A3392" s="1" t="inlineStr">
        <is>
          <t>665bce65c57fd</t>
        </is>
      </c>
      <c r="B3392" s="1" t="inlineStr">
        <is>
          <t>PULSERA SERPENTI LISA SILVER</t>
        </is>
      </c>
      <c r="C3392" s="1" t="inlineStr">
        <is>
          <t>18cm</t>
        </is>
      </c>
      <c r="D3392" s="1" t="inlineStr">
        <is>
          <t>01/03/2026</t>
        </is>
      </c>
      <c r="E3392" s="1" t="n">
        <v>2026</v>
      </c>
      <c r="F3392" s="1" t="inlineStr">
        <is>
          <t>MARZO</t>
        </is>
      </c>
      <c r="G3392" s="1" t="inlineStr">
        <is>
          <t>NANCY</t>
        </is>
      </c>
      <c r="H3392" s="1" t="inlineStr">
        <is>
          <t>NANCY 01/03/2026</t>
        </is>
      </c>
      <c r="I3392" s="4" t="n">
        <v>8</v>
      </c>
      <c r="J3392" s="6" t="n">
        <v>9.390000000000001</v>
      </c>
      <c r="K3392" s="6" t="n">
        <v>237.6019152</v>
      </c>
      <c r="L3392" s="6">
        <f>I3392*K3392</f>
        <v/>
      </c>
      <c r="M3392" s="6">
        <f>K3392*4</f>
        <v/>
      </c>
      <c r="N3392" s="6" t="n">
        <v>789</v>
      </c>
    </row>
    <row r="3393">
      <c r="A3393" s="1" t="inlineStr">
        <is>
          <t>665bce65c57fd</t>
        </is>
      </c>
      <c r="B3393" s="1" t="inlineStr">
        <is>
          <t>PULSERA SERPENTI LISA SILVER</t>
        </is>
      </c>
      <c r="C3393" s="1" t="inlineStr">
        <is>
          <t>18cm</t>
        </is>
      </c>
      <c r="D3393" s="1" t="inlineStr">
        <is>
          <t>09/07/2026</t>
        </is>
      </c>
      <c r="E3393" s="1" t="n">
        <v>2026</v>
      </c>
      <c r="F3393" s="1" t="inlineStr">
        <is>
          <t>JULIO</t>
        </is>
      </c>
      <c r="G3393" s="1" t="inlineStr">
        <is>
          <t>NANCY</t>
        </is>
      </c>
      <c r="H3393" s="1" t="inlineStr">
        <is>
          <t>NANCY 09/07/2026</t>
        </is>
      </c>
      <c r="I3393" s="4" t="n">
        <v>8</v>
      </c>
      <c r="J3393" s="6" t="n">
        <v>9.59</v>
      </c>
      <c r="K3393" s="6" t="n">
        <v>233.6648888</v>
      </c>
      <c r="L3393" s="6">
        <f>I3393*K3393</f>
        <v/>
      </c>
      <c r="M3393" s="6">
        <f>K3393*4</f>
        <v/>
      </c>
      <c r="N3393" s="6" t="n">
        <v>789</v>
      </c>
    </row>
    <row r="3394">
      <c r="A3394" s="1" t="inlineStr">
        <is>
          <t>665bce699c07e-1</t>
        </is>
      </c>
      <c r="B3394" s="1" t="inlineStr">
        <is>
          <t>PULSERA SERPENTI LISA GOLD</t>
        </is>
      </c>
      <c r="C3394" s="1" t="inlineStr">
        <is>
          <t>18cm</t>
        </is>
      </c>
      <c r="D3394" s="1" t="inlineStr">
        <is>
          <t>01/03/2026</t>
        </is>
      </c>
      <c r="E3394" s="1" t="n">
        <v>2026</v>
      </c>
      <c r="F3394" s="1" t="inlineStr">
        <is>
          <t>MARZO</t>
        </is>
      </c>
      <c r="G3394" s="1" t="inlineStr">
        <is>
          <t>NANCY</t>
        </is>
      </c>
      <c r="H3394" s="1" t="inlineStr">
        <is>
          <t>NANCY 01/03/2026</t>
        </is>
      </c>
      <c r="I3394" s="4" t="n">
        <v>3</v>
      </c>
      <c r="J3394" s="6" t="n">
        <v>9.390000000000001</v>
      </c>
      <c r="K3394" s="6" t="n">
        <v>237.6019152</v>
      </c>
      <c r="L3394" s="6">
        <f>I3394*K3394</f>
        <v/>
      </c>
      <c r="M3394" s="6">
        <f>K3394*4</f>
        <v/>
      </c>
      <c r="N3394" s="6" t="n">
        <v>799</v>
      </c>
    </row>
    <row r="3395">
      <c r="A3395" s="1" t="inlineStr">
        <is>
          <t>665bce699c07e-1</t>
        </is>
      </c>
      <c r="B3395" s="1" t="inlineStr">
        <is>
          <t>PULSERA SERPENTI LISA GOLD</t>
        </is>
      </c>
      <c r="C3395" s="1" t="inlineStr">
        <is>
          <t>18cm</t>
        </is>
      </c>
      <c r="D3395" s="1" t="inlineStr">
        <is>
          <t>31/05/2026</t>
        </is>
      </c>
      <c r="E3395" s="1" t="n">
        <v>2026</v>
      </c>
      <c r="F3395" s="1" t="inlineStr">
        <is>
          <t>MAYO</t>
        </is>
      </c>
      <c r="G3395" s="1" t="inlineStr">
        <is>
          <t>NANCY</t>
        </is>
      </c>
      <c r="H3395" s="1" t="inlineStr">
        <is>
          <t>NANCY 31/05/2026</t>
        </is>
      </c>
      <c r="I3395" s="4" t="n">
        <v>5</v>
      </c>
      <c r="J3395" s="6" t="n">
        <v>9.390000000000001</v>
      </c>
      <c r="K3395" s="6" t="n">
        <v>227.8726674</v>
      </c>
      <c r="L3395" s="6">
        <f>I3395*K3395</f>
        <v/>
      </c>
      <c r="M3395" s="6">
        <f>K3395*4</f>
        <v/>
      </c>
      <c r="N3395" s="6" t="n">
        <v>799</v>
      </c>
    </row>
    <row r="3396">
      <c r="A3396" s="1" t="inlineStr">
        <is>
          <t>665bd055c2e65</t>
        </is>
      </c>
      <c r="B3396" s="1" t="inlineStr">
        <is>
          <t>PULSERA TB CON UNA INSIGNIA BLACK</t>
        </is>
      </c>
      <c r="C3396" s="1" t="inlineStr">
        <is>
          <t>17cm</t>
        </is>
      </c>
      <c r="D3396" s="1" t="inlineStr">
        <is>
          <t>06/09/2025</t>
        </is>
      </c>
      <c r="E3396" s="1" t="n">
        <v>2025</v>
      </c>
      <c r="F3396" s="1" t="inlineStr">
        <is>
          <t>SEPTIEMBRE</t>
        </is>
      </c>
      <c r="G3396" s="1" t="inlineStr">
        <is>
          <t>NANCY</t>
        </is>
      </c>
      <c r="H3396" s="1" t="inlineStr">
        <is>
          <t>NANCY 06/09/2025</t>
        </is>
      </c>
      <c r="I3396" s="4" t="n">
        <v>2</v>
      </c>
      <c r="J3396" s="6" t="n">
        <v>5.59</v>
      </c>
      <c r="K3396" s="6" t="n">
        <v>130.1668371</v>
      </c>
      <c r="L3396" s="6">
        <f>I3396*K3396</f>
        <v/>
      </c>
      <c r="M3396" s="6">
        <f>K3396*4</f>
        <v/>
      </c>
      <c r="N3396" s="6" t="n">
        <v>350</v>
      </c>
    </row>
    <row r="3397">
      <c r="A3397" s="1" t="inlineStr">
        <is>
          <t>665bd055c2e65</t>
        </is>
      </c>
      <c r="B3397" s="1" t="inlineStr">
        <is>
          <t>PULSERA TB CON UNA INSIGNIA BLACK</t>
        </is>
      </c>
      <c r="C3397" s="1" t="inlineStr">
        <is>
          <t>17cm</t>
        </is>
      </c>
      <c r="D3397" s="1" t="inlineStr">
        <is>
          <t>09/07/2026</t>
        </is>
      </c>
      <c r="E3397" s="1" t="n">
        <v>2026</v>
      </c>
      <c r="F3397" s="1" t="inlineStr">
        <is>
          <t>JULIO</t>
        </is>
      </c>
      <c r="G3397" s="1" t="inlineStr">
        <is>
          <t>NANCY</t>
        </is>
      </c>
      <c r="H3397" s="1" t="inlineStr">
        <is>
          <t>NANCY 09/07/2026</t>
        </is>
      </c>
      <c r="I3397" s="4" t="n">
        <v>2</v>
      </c>
      <c r="J3397" s="6" t="n">
        <v>5.99</v>
      </c>
      <c r="K3397" s="6" t="n">
        <v>145.949185</v>
      </c>
      <c r="L3397" s="6">
        <f>I3397*K3397</f>
        <v/>
      </c>
      <c r="M3397" s="6">
        <f>K3397*4</f>
        <v/>
      </c>
      <c r="N3397" s="6" t="n">
        <v>350</v>
      </c>
    </row>
    <row r="3398">
      <c r="A3398" s="1" t="inlineStr">
        <is>
          <t>665bd055d2452</t>
        </is>
      </c>
      <c r="B3398" s="1" t="inlineStr">
        <is>
          <t>PULSERA TB CON UNA INSIGNIA WHITE</t>
        </is>
      </c>
      <c r="C3398" s="1" t="inlineStr">
        <is>
          <t>17cm</t>
        </is>
      </c>
      <c r="D3398" s="1" t="inlineStr">
        <is>
          <t>06/09/2025</t>
        </is>
      </c>
      <c r="E3398" s="1" t="n">
        <v>2025</v>
      </c>
      <c r="F3398" s="1" t="inlineStr">
        <is>
          <t>SEPTIEMBRE</t>
        </is>
      </c>
      <c r="G3398" s="1" t="inlineStr">
        <is>
          <t>NANCY</t>
        </is>
      </c>
      <c r="H3398" s="1" t="inlineStr">
        <is>
          <t>NANCY 06/09/2025</t>
        </is>
      </c>
      <c r="I3398" s="4" t="n">
        <v>2</v>
      </c>
      <c r="J3398" s="6" t="n">
        <v>5.59</v>
      </c>
      <c r="K3398" s="6" t="n">
        <v>130.1668371</v>
      </c>
      <c r="L3398" s="6">
        <f>I3398*K3398</f>
        <v/>
      </c>
      <c r="M3398" s="6">
        <f>K3398*4</f>
        <v/>
      </c>
      <c r="N3398" s="6" t="n">
        <v>500</v>
      </c>
    </row>
    <row r="3399">
      <c r="A3399" s="1" t="inlineStr">
        <is>
          <t>665bd055d2452</t>
        </is>
      </c>
      <c r="B3399" s="1" t="inlineStr">
        <is>
          <t>PULSERA TB CON UNA INSIGNIA WHITE</t>
        </is>
      </c>
      <c r="C3399" s="1" t="inlineStr">
        <is>
          <t>17cm</t>
        </is>
      </c>
      <c r="D3399" s="1" t="inlineStr">
        <is>
          <t>31/05/2026</t>
        </is>
      </c>
      <c r="E3399" s="1" t="n">
        <v>2026</v>
      </c>
      <c r="F3399" s="1" t="inlineStr">
        <is>
          <t>MAYO</t>
        </is>
      </c>
      <c r="G3399" s="1" t="inlineStr">
        <is>
          <t>NANCY</t>
        </is>
      </c>
      <c r="H3399" s="1" t="inlineStr">
        <is>
          <t>NANCY 31/05/2026</t>
        </is>
      </c>
      <c r="I3399" s="4" t="n">
        <v>2</v>
      </c>
      <c r="J3399" s="6" t="n">
        <v>5.59</v>
      </c>
      <c r="K3399" s="6" t="n">
        <v>135.6558265</v>
      </c>
      <c r="L3399" s="6">
        <f>I3399*K3399</f>
        <v/>
      </c>
      <c r="M3399" s="6">
        <f>K3399*4</f>
        <v/>
      </c>
      <c r="N3399" s="6" t="n">
        <v>500</v>
      </c>
    </row>
    <row r="3400">
      <c r="A3400" s="1" t="inlineStr">
        <is>
          <t>665bd05b5a37f</t>
        </is>
      </c>
      <c r="B3400" s="1" t="inlineStr">
        <is>
          <t>PULSERA TB GOLD</t>
        </is>
      </c>
      <c r="C3400" s="1" t="inlineStr">
        <is>
          <t>17cm</t>
        </is>
      </c>
      <c r="D3400" s="1" t="inlineStr">
        <is>
          <t>06/09/2025</t>
        </is>
      </c>
      <c r="E3400" s="1" t="n">
        <v>2025</v>
      </c>
      <c r="F3400" s="1" t="inlineStr">
        <is>
          <t>SEPTIEMBRE</t>
        </is>
      </c>
      <c r="G3400" s="1" t="inlineStr">
        <is>
          <t>NANCY</t>
        </is>
      </c>
      <c r="H3400" s="1" t="inlineStr">
        <is>
          <t>NANCY 06/09/2025</t>
        </is>
      </c>
      <c r="I3400" s="4" t="n">
        <v>5</v>
      </c>
      <c r="J3400" s="6" t="n">
        <v>5.39</v>
      </c>
      <c r="K3400" s="6" t="n">
        <v>125.5097052</v>
      </c>
      <c r="L3400" s="6">
        <f>I3400*K3400</f>
        <v/>
      </c>
      <c r="M3400" s="6">
        <f>K3400*4</f>
        <v/>
      </c>
      <c r="N3400" s="6" t="n">
        <v>499</v>
      </c>
    </row>
    <row r="3401">
      <c r="A3401" s="1" t="inlineStr">
        <is>
          <t>665bd05b5a37f</t>
        </is>
      </c>
      <c r="B3401" s="1" t="inlineStr">
        <is>
          <t>PULSERA TB GOLD</t>
        </is>
      </c>
      <c r="C3401" s="1" t="inlineStr">
        <is>
          <t>17cm</t>
        </is>
      </c>
      <c r="D3401" s="1" t="inlineStr">
        <is>
          <t>31/05/2026</t>
        </is>
      </c>
      <c r="E3401" s="1" t="n">
        <v>2026</v>
      </c>
      <c r="F3401" s="1" t="inlineStr">
        <is>
          <t>MAYO</t>
        </is>
      </c>
      <c r="G3401" s="1" t="inlineStr">
        <is>
          <t>NANCY</t>
        </is>
      </c>
      <c r="H3401" s="1" t="inlineStr">
        <is>
          <t>NANCY 31/05/2026</t>
        </is>
      </c>
      <c r="I3401" s="4" t="n">
        <v>2</v>
      </c>
      <c r="J3401" s="6" t="n">
        <v>5.39</v>
      </c>
      <c r="K3401" s="6" t="n">
        <v>130.8023085</v>
      </c>
      <c r="L3401" s="6">
        <f>I3401*K3401</f>
        <v/>
      </c>
      <c r="M3401" s="6">
        <f>K3401*4</f>
        <v/>
      </c>
      <c r="N3401" s="6" t="n">
        <v>499</v>
      </c>
    </row>
    <row r="3402">
      <c r="A3402" s="1" t="inlineStr">
        <is>
          <t>665bd22d2f1c6</t>
        </is>
      </c>
      <c r="B3402" s="1" t="inlineStr">
        <is>
          <t>ARETES FR GOLD CON ZIRCONIA</t>
        </is>
      </c>
      <c r="C3402" s="1" t="inlineStr">
        <is>
          <t>Regular</t>
        </is>
      </c>
      <c r="D3402" s="1" t="inlineStr">
        <is>
          <t>06/09/2025</t>
        </is>
      </c>
      <c r="E3402" s="1" t="n">
        <v>2025</v>
      </c>
      <c r="F3402" s="1" t="inlineStr">
        <is>
          <t>SEPTIEMBRE</t>
        </is>
      </c>
      <c r="G3402" s="1" t="inlineStr">
        <is>
          <t>NANCY</t>
        </is>
      </c>
      <c r="H3402" s="1" t="inlineStr">
        <is>
          <t>NANCY 06/09/2025</t>
        </is>
      </c>
      <c r="I3402" s="4" t="n">
        <v>15</v>
      </c>
      <c r="J3402" s="6" t="n">
        <v>4.99</v>
      </c>
      <c r="K3402" s="6" t="n">
        <v>116.1954413</v>
      </c>
      <c r="L3402" s="6">
        <f>I3402*K3402</f>
        <v/>
      </c>
      <c r="M3402" s="6">
        <f>K3402*4</f>
        <v/>
      </c>
      <c r="N3402" s="6" t="n">
        <v>550</v>
      </c>
    </row>
    <row r="3403">
      <c r="A3403" s="1" t="inlineStr">
        <is>
          <t>665bd22d2f1c6</t>
        </is>
      </c>
      <c r="B3403" s="1" t="inlineStr">
        <is>
          <t>ARETES FR GOLD CON ZIRCONIA</t>
        </is>
      </c>
      <c r="C3403" s="1" t="inlineStr">
        <is>
          <t>Default Title</t>
        </is>
      </c>
      <c r="D3403" s="1" t="inlineStr">
        <is>
          <t>20/01/2026</t>
        </is>
      </c>
      <c r="E3403" s="1" t="n">
        <v>2026</v>
      </c>
      <c r="F3403" s="1" t="inlineStr">
        <is>
          <t>ENERO</t>
        </is>
      </c>
      <c r="G3403" s="1" t="inlineStr">
        <is>
          <t>HAIFENG</t>
        </is>
      </c>
      <c r="H3403" s="1" t="inlineStr">
        <is>
          <t>HAIFENG 20/01/2026</t>
        </is>
      </c>
      <c r="I3403" s="4" t="n">
        <v>15</v>
      </c>
      <c r="J3403" s="6" t="n">
        <v>6</v>
      </c>
      <c r="K3403" s="6" t="n">
        <v>127.2025068</v>
      </c>
      <c r="L3403" s="6">
        <f>I3403*K3403</f>
        <v/>
      </c>
      <c r="M3403" s="6">
        <f>K3403*4</f>
        <v/>
      </c>
      <c r="N3403" s="6" t="n">
        <v>550</v>
      </c>
    </row>
    <row r="3404">
      <c r="A3404" s="1" t="inlineStr">
        <is>
          <t>665bd22d2f1c6</t>
        </is>
      </c>
      <c r="B3404" s="1" t="inlineStr">
        <is>
          <t>ARETES FR GOLD CON ZIRCONIA</t>
        </is>
      </c>
      <c r="C3404" s="1" t="inlineStr">
        <is>
          <t>Regular</t>
        </is>
      </c>
      <c r="D3404" s="1" t="inlineStr">
        <is>
          <t>01/04/2026</t>
        </is>
      </c>
      <c r="E3404" s="1" t="n">
        <v>2026</v>
      </c>
      <c r="F3404" s="1" t="inlineStr">
        <is>
          <t>ABRIL</t>
        </is>
      </c>
      <c r="G3404" s="1" t="inlineStr">
        <is>
          <t>NANCY</t>
        </is>
      </c>
      <c r="H3404" s="1" t="inlineStr">
        <is>
          <t>NANCY 01/04/2026</t>
        </is>
      </c>
      <c r="I3404" s="4" t="n">
        <v>12</v>
      </c>
      <c r="J3404" s="6" t="n">
        <v>5.59</v>
      </c>
      <c r="K3404" s="6" t="n">
        <v>133.8274486</v>
      </c>
      <c r="L3404" s="6">
        <f>I3404*K3404</f>
        <v/>
      </c>
      <c r="M3404" s="6">
        <f>K3404*4</f>
        <v/>
      </c>
      <c r="N3404" s="6" t="n">
        <v>550</v>
      </c>
    </row>
    <row r="3405">
      <c r="A3405" s="1" t="inlineStr">
        <is>
          <t>665bd22d2f1c6</t>
        </is>
      </c>
      <c r="B3405" s="1" t="inlineStr">
        <is>
          <t>ARETES FR GOLD CON ZIRCONIA</t>
        </is>
      </c>
      <c r="C3405" s="1" t="inlineStr">
        <is>
          <t>Regular</t>
        </is>
      </c>
      <c r="D3405" s="1" t="inlineStr">
        <is>
          <t>08/05/2026</t>
        </is>
      </c>
      <c r="E3405" s="1" t="n">
        <v>2026</v>
      </c>
      <c r="F3405" s="1" t="inlineStr">
        <is>
          <t>MAYO</t>
        </is>
      </c>
      <c r="G3405" s="1" t="inlineStr">
        <is>
          <t>NANCY</t>
        </is>
      </c>
      <c r="H3405" s="1" t="inlineStr">
        <is>
          <t>NANCY 08/05/2026</t>
        </is>
      </c>
      <c r="I3405" s="4" t="n">
        <v>16</v>
      </c>
      <c r="J3405" s="6" t="n">
        <v>5.59</v>
      </c>
      <c r="K3405" s="6" t="n">
        <v>132.2468818</v>
      </c>
      <c r="L3405" s="6">
        <f>I3405*K3405</f>
        <v/>
      </c>
      <c r="M3405" s="6">
        <f>K3405*4</f>
        <v/>
      </c>
      <c r="N3405" s="6" t="n">
        <v>550</v>
      </c>
    </row>
    <row r="3406">
      <c r="A3406" s="1" t="inlineStr">
        <is>
          <t>665bd22d2f1c6</t>
        </is>
      </c>
      <c r="B3406" s="1" t="inlineStr">
        <is>
          <t>ARETES FR GOLD CON ZIRCONIA</t>
        </is>
      </c>
      <c r="C3406" s="1" t="inlineStr">
        <is>
          <t>Regular</t>
        </is>
      </c>
      <c r="D3406" s="1" t="inlineStr">
        <is>
          <t>09/07/2026</t>
        </is>
      </c>
      <c r="E3406" s="1" t="n">
        <v>2026</v>
      </c>
      <c r="F3406" s="1" t="inlineStr">
        <is>
          <t>JULIO</t>
        </is>
      </c>
      <c r="G3406" s="1" t="inlineStr">
        <is>
          <t>NANCY</t>
        </is>
      </c>
      <c r="H3406" s="1" t="inlineStr">
        <is>
          <t>NANCY 09/07/2026</t>
        </is>
      </c>
      <c r="I3406" s="4" t="n">
        <v>15</v>
      </c>
      <c r="J3406" s="6" t="n">
        <v>4.99</v>
      </c>
      <c r="K3406" s="6" t="n">
        <v>121.5837117</v>
      </c>
      <c r="L3406" s="6">
        <f>I3406*K3406</f>
        <v/>
      </c>
      <c r="M3406" s="6">
        <f>K3406*4</f>
        <v/>
      </c>
      <c r="N3406" s="6" t="n">
        <v>550</v>
      </c>
    </row>
    <row r="3407">
      <c r="A3407" s="1" t="inlineStr">
        <is>
          <t>665bd49b4a58a</t>
        </is>
      </c>
      <c r="B3407" s="1" t="inlineStr">
        <is>
          <t>TARJETERO LV BLUE</t>
        </is>
      </c>
      <c r="C3407" s="1" t="inlineStr">
        <is>
          <t>8cm x 11cm</t>
        </is>
      </c>
      <c r="D3407" s="1" t="inlineStr">
        <is>
          <t>21/10/2025</t>
        </is>
      </c>
      <c r="E3407" s="1" t="n">
        <v>2025</v>
      </c>
      <c r="F3407" s="1" t="inlineStr">
        <is>
          <t>OCTUBRE</t>
        </is>
      </c>
      <c r="G3407" s="1" t="inlineStr">
        <is>
          <t>DINA DU</t>
        </is>
      </c>
      <c r="H3407" s="1" t="inlineStr">
        <is>
          <t>DINA DU 21/10/2025</t>
        </is>
      </c>
      <c r="I3407" s="4" t="n">
        <v>10</v>
      </c>
      <c r="J3407" s="6" t="n">
        <v>17</v>
      </c>
      <c r="K3407" s="6" t="n">
        <v>476.5866598</v>
      </c>
      <c r="L3407" s="6">
        <f>I3407*K3407</f>
        <v/>
      </c>
      <c r="M3407" s="6">
        <f>K3407*4</f>
        <v/>
      </c>
      <c r="N3407" s="6" t="n">
        <v>1245</v>
      </c>
    </row>
    <row r="3408">
      <c r="A3408" s="1" t="inlineStr">
        <is>
          <t>665bd4a0c3b63</t>
        </is>
      </c>
      <c r="B3408" s="1" t="inlineStr">
        <is>
          <t>TARJETERO LV BROWN</t>
        </is>
      </c>
      <c r="C3408" s="1" t="inlineStr">
        <is>
          <t>8cm x 11cm</t>
        </is>
      </c>
      <c r="D3408" s="1" t="inlineStr">
        <is>
          <t>21/10/2025</t>
        </is>
      </c>
      <c r="E3408" s="1" t="n">
        <v>2025</v>
      </c>
      <c r="F3408" s="1" t="inlineStr">
        <is>
          <t>OCTUBRE</t>
        </is>
      </c>
      <c r="G3408" s="1" t="inlineStr">
        <is>
          <t>DINA DU</t>
        </is>
      </c>
      <c r="H3408" s="1" t="inlineStr">
        <is>
          <t>DINA DU 21/10/2025</t>
        </is>
      </c>
      <c r="I3408" s="4" t="n">
        <v>7</v>
      </c>
      <c r="J3408" s="6" t="n">
        <v>17</v>
      </c>
      <c r="K3408" s="6" t="n">
        <v>476.5866598</v>
      </c>
      <c r="L3408" s="6">
        <f>I3408*K3408</f>
        <v/>
      </c>
      <c r="M3408" s="6">
        <f>K3408*4</f>
        <v/>
      </c>
      <c r="N3408" s="6" t="n">
        <v>1245</v>
      </c>
    </row>
    <row r="3409">
      <c r="A3409" s="1" t="inlineStr">
        <is>
          <t>665bd4a33373e</t>
        </is>
      </c>
      <c r="B3409" s="1" t="inlineStr">
        <is>
          <t>PULSERA DE TELA TRES AROS DARK BLUE</t>
        </is>
      </c>
      <c r="C3409" s="1" t="inlineStr">
        <is>
          <t>AJUSTABLE</t>
        </is>
      </c>
      <c r="D3409" s="1" t="inlineStr">
        <is>
          <t>16/04/2026</t>
        </is>
      </c>
      <c r="E3409" s="1" t="n">
        <v>2026</v>
      </c>
      <c r="F3409" s="1" t="inlineStr">
        <is>
          <t>ABRIL</t>
        </is>
      </c>
      <c r="G3409" s="1" t="inlineStr">
        <is>
          <t>HAIFENG</t>
        </is>
      </c>
      <c r="H3409" s="1" t="inlineStr">
        <is>
          <t>HAIFENG 16/04/2026</t>
        </is>
      </c>
      <c r="I3409" s="4" t="n">
        <v>10</v>
      </c>
      <c r="J3409" s="6" t="n">
        <v>5</v>
      </c>
      <c r="K3409" s="6" t="n">
        <v>105.1573679</v>
      </c>
      <c r="L3409" s="6">
        <f>I3409*K3409</f>
        <v/>
      </c>
      <c r="M3409" s="6">
        <f>K3409*4</f>
        <v/>
      </c>
      <c r="N3409" s="6" t="n">
        <v>450</v>
      </c>
    </row>
    <row r="3410">
      <c r="A3410" s="1" t="inlineStr">
        <is>
          <t>665bd4a42501a-1</t>
        </is>
      </c>
      <c r="B3410" s="1" t="inlineStr">
        <is>
          <t>ARETES CLAVO SILVER</t>
        </is>
      </c>
      <c r="C3410" s="1" t="inlineStr">
        <is>
          <t>Regular</t>
        </is>
      </c>
      <c r="D3410" s="1" t="inlineStr">
        <is>
          <t>03/12/2025</t>
        </is>
      </c>
      <c r="E3410" s="1" t="n">
        <v>2025</v>
      </c>
      <c r="F3410" s="1" t="inlineStr">
        <is>
          <t>DICIEMBRE</t>
        </is>
      </c>
      <c r="G3410" s="1" t="inlineStr">
        <is>
          <t>HAIFENG</t>
        </is>
      </c>
      <c r="H3410" s="1" t="inlineStr">
        <is>
          <t>HAIFENG 03/12/2025</t>
        </is>
      </c>
      <c r="I3410" s="4" t="n">
        <v>3</v>
      </c>
      <c r="J3410" s="6" t="n">
        <v>2.99</v>
      </c>
      <c r="K3410" s="6" t="n">
        <v>62.54230843</v>
      </c>
      <c r="L3410" s="6">
        <f>I3410*K3410</f>
        <v/>
      </c>
      <c r="M3410" s="6">
        <f>K3410*4</f>
        <v/>
      </c>
      <c r="N3410" s="6" t="n">
        <v>400</v>
      </c>
    </row>
    <row r="3411">
      <c r="A3411" s="1" t="inlineStr">
        <is>
          <t>665bd4a42501a-1</t>
        </is>
      </c>
      <c r="B3411" s="1" t="inlineStr">
        <is>
          <t>ARETES CLAVO SILVER</t>
        </is>
      </c>
      <c r="C3411" s="1" t="inlineStr">
        <is>
          <t>Regular</t>
        </is>
      </c>
      <c r="D3411" s="1" t="inlineStr">
        <is>
          <t>10/02/2026</t>
        </is>
      </c>
      <c r="E3411" s="1" t="n">
        <v>2026</v>
      </c>
      <c r="F3411" s="1" t="inlineStr">
        <is>
          <t>FEBRERO</t>
        </is>
      </c>
      <c r="G3411" s="1" t="inlineStr">
        <is>
          <t>HAIFENG</t>
        </is>
      </c>
      <c r="H3411" s="1" t="inlineStr">
        <is>
          <t>HAIFENG 10/02/2026</t>
        </is>
      </c>
      <c r="I3411" s="4" t="n">
        <v>3</v>
      </c>
      <c r="J3411" s="6" t="n">
        <v>2.99</v>
      </c>
      <c r="K3411" s="6" t="n">
        <v>62.99480324</v>
      </c>
      <c r="L3411" s="6">
        <f>I3411*K3411</f>
        <v/>
      </c>
      <c r="M3411" s="6">
        <f>K3411*4</f>
        <v/>
      </c>
      <c r="N3411" s="6" t="n">
        <v>400</v>
      </c>
    </row>
    <row r="3412">
      <c r="A3412" s="1" t="inlineStr">
        <is>
          <t>665bd4a42501a-1</t>
        </is>
      </c>
      <c r="B3412" s="1" t="inlineStr">
        <is>
          <t>ARETES CLAVO SILVER</t>
        </is>
      </c>
      <c r="C3412" s="1" t="inlineStr">
        <is>
          <t>Regular</t>
        </is>
      </c>
      <c r="D3412" s="1" t="inlineStr">
        <is>
          <t>16/04/2026</t>
        </is>
      </c>
      <c r="E3412" s="1" t="n">
        <v>2026</v>
      </c>
      <c r="F3412" s="1" t="inlineStr">
        <is>
          <t>ABRIL</t>
        </is>
      </c>
      <c r="G3412" s="1" t="inlineStr">
        <is>
          <t>HAIFENG</t>
        </is>
      </c>
      <c r="H3412" s="1" t="inlineStr">
        <is>
          <t>HAIFENG 16/04/2026</t>
        </is>
      </c>
      <c r="I3412" s="4" t="n">
        <v>3</v>
      </c>
      <c r="J3412" s="6" t="n">
        <v>2.99</v>
      </c>
      <c r="K3412" s="6" t="n">
        <v>62.88410603</v>
      </c>
      <c r="L3412" s="6">
        <f>I3412*K3412</f>
        <v/>
      </c>
      <c r="M3412" s="6">
        <f>K3412*4</f>
        <v/>
      </c>
      <c r="N3412" s="6" t="n">
        <v>400</v>
      </c>
    </row>
    <row r="3413">
      <c r="A3413" s="1" t="inlineStr">
        <is>
          <t>665bd4a42501a-1</t>
        </is>
      </c>
      <c r="B3413" s="1" t="inlineStr">
        <is>
          <t>ARETES CLAVO SILVER</t>
        </is>
      </c>
      <c r="C3413" s="1" t="inlineStr">
        <is>
          <t>Regular</t>
        </is>
      </c>
      <c r="D3413" s="1" t="inlineStr">
        <is>
          <t>16/06/2026</t>
        </is>
      </c>
      <c r="E3413" s="1" t="n">
        <v>2026</v>
      </c>
      <c r="F3413" s="1" t="inlineStr">
        <is>
          <t>JUNIO</t>
        </is>
      </c>
      <c r="G3413" s="1" t="inlineStr">
        <is>
          <t>HAIFENG</t>
        </is>
      </c>
      <c r="H3413" s="1" t="inlineStr">
        <is>
          <t>HAIFENG 16/06/2026</t>
        </is>
      </c>
      <c r="I3413" s="4" t="n">
        <v>4</v>
      </c>
      <c r="J3413" s="6" t="n">
        <v>2.99</v>
      </c>
      <c r="K3413" s="6" t="n">
        <v>62.83367331</v>
      </c>
      <c r="L3413" s="6">
        <f>I3413*K3413</f>
        <v/>
      </c>
      <c r="M3413" s="6">
        <f>K3413*4</f>
        <v/>
      </c>
      <c r="N3413" s="6" t="n">
        <v>400</v>
      </c>
    </row>
    <row r="3414">
      <c r="A3414" s="1" t="inlineStr">
        <is>
          <t>665bd4a63435b</t>
        </is>
      </c>
      <c r="B3414" s="1" t="inlineStr">
        <is>
          <t>ARETES CLAVO GOLD</t>
        </is>
      </c>
      <c r="C3414" s="1" t="inlineStr">
        <is>
          <t>Default Title</t>
        </is>
      </c>
      <c r="D3414" s="1" t="inlineStr">
        <is>
          <t>25/09/2025</t>
        </is>
      </c>
      <c r="E3414" s="1" t="n">
        <v>2025</v>
      </c>
      <c r="F3414" s="1" t="inlineStr">
        <is>
          <t>SEPTIEMBRE</t>
        </is>
      </c>
      <c r="G3414" s="1" t="inlineStr">
        <is>
          <t>HAIFENG</t>
        </is>
      </c>
      <c r="H3414" s="1" t="inlineStr">
        <is>
          <t>HAIFENG 25/09/2025</t>
        </is>
      </c>
      <c r="I3414" s="4" t="n">
        <v>5</v>
      </c>
      <c r="J3414" s="6" t="n">
        <v>2.99</v>
      </c>
      <c r="K3414" s="6" t="n">
        <v>63.07968845</v>
      </c>
      <c r="L3414" s="6">
        <f>I3414*K3414</f>
        <v/>
      </c>
      <c r="M3414" s="6">
        <f>K3414*4</f>
        <v/>
      </c>
      <c r="N3414" s="6" t="n">
        <v>400</v>
      </c>
    </row>
    <row r="3415">
      <c r="A3415" s="1" t="inlineStr">
        <is>
          <t>665bd4a63435b</t>
        </is>
      </c>
      <c r="B3415" s="1" t="inlineStr">
        <is>
          <t>ARETES CLAVO GOLD</t>
        </is>
      </c>
      <c r="C3415" s="1" t="inlineStr">
        <is>
          <t>Default Title</t>
        </is>
      </c>
      <c r="D3415" s="1" t="inlineStr">
        <is>
          <t>11/11/2025</t>
        </is>
      </c>
      <c r="E3415" s="1" t="n">
        <v>2025</v>
      </c>
      <c r="F3415" s="1" t="inlineStr">
        <is>
          <t>NOVIEMBRE</t>
        </is>
      </c>
      <c r="G3415" s="1" t="inlineStr">
        <is>
          <t>HAIFENG</t>
        </is>
      </c>
      <c r="H3415" s="1" t="inlineStr">
        <is>
          <t>HAIFENG 11/11/2025</t>
        </is>
      </c>
      <c r="I3415" s="4" t="n">
        <v>5</v>
      </c>
      <c r="J3415" s="6" t="n">
        <v>2.99</v>
      </c>
      <c r="K3415" s="6" t="n">
        <v>62.97089035</v>
      </c>
      <c r="L3415" s="6">
        <f>I3415*K3415</f>
        <v/>
      </c>
      <c r="M3415" s="6">
        <f>K3415*4</f>
        <v/>
      </c>
      <c r="N3415" s="6" t="n">
        <v>400</v>
      </c>
    </row>
    <row r="3416">
      <c r="A3416" s="1" t="inlineStr">
        <is>
          <t>665bd4a63435b</t>
        </is>
      </c>
      <c r="B3416" s="1" t="inlineStr">
        <is>
          <t>ARETES CLAVO GOLD</t>
        </is>
      </c>
      <c r="C3416" s="1" t="inlineStr">
        <is>
          <t>Default Title</t>
        </is>
      </c>
      <c r="D3416" s="1" t="inlineStr">
        <is>
          <t>03/12/2025</t>
        </is>
      </c>
      <c r="E3416" s="1" t="n">
        <v>2025</v>
      </c>
      <c r="F3416" s="1" t="inlineStr">
        <is>
          <t>DICIEMBRE</t>
        </is>
      </c>
      <c r="G3416" s="1" t="inlineStr">
        <is>
          <t>HAIFENG</t>
        </is>
      </c>
      <c r="H3416" s="1" t="inlineStr">
        <is>
          <t>HAIFENG 03/12/2025</t>
        </is>
      </c>
      <c r="I3416" s="4" t="n">
        <v>3</v>
      </c>
      <c r="J3416" s="6" t="n">
        <v>2.99</v>
      </c>
      <c r="K3416" s="6" t="n">
        <v>62.54230843</v>
      </c>
      <c r="L3416" s="6">
        <f>I3416*K3416</f>
        <v/>
      </c>
      <c r="M3416" s="6">
        <f>K3416*4</f>
        <v/>
      </c>
      <c r="N3416" s="6" t="n">
        <v>400</v>
      </c>
    </row>
    <row r="3417">
      <c r="A3417" s="1" t="inlineStr">
        <is>
          <t>665bd4a63435b</t>
        </is>
      </c>
      <c r="B3417" s="1" t="inlineStr">
        <is>
          <t>ARETES CLAVO GOLD</t>
        </is>
      </c>
      <c r="C3417" s="1" t="inlineStr">
        <is>
          <t>Default Title</t>
        </is>
      </c>
      <c r="D3417" s="1" t="inlineStr">
        <is>
          <t>20/01/2026</t>
        </is>
      </c>
      <c r="E3417" s="1" t="n">
        <v>2026</v>
      </c>
      <c r="F3417" s="1" t="inlineStr">
        <is>
          <t>ENERO</t>
        </is>
      </c>
      <c r="G3417" s="1" t="inlineStr">
        <is>
          <t>HAIFENG</t>
        </is>
      </c>
      <c r="H3417" s="1" t="inlineStr">
        <is>
          <t>HAIFENG 20/01/2026</t>
        </is>
      </c>
      <c r="I3417" s="4" t="n">
        <v>3</v>
      </c>
      <c r="J3417" s="6" t="n">
        <v>2.99</v>
      </c>
      <c r="K3417" s="6" t="n">
        <v>63.3892492</v>
      </c>
      <c r="L3417" s="6">
        <f>I3417*K3417</f>
        <v/>
      </c>
      <c r="M3417" s="6">
        <f>K3417*4</f>
        <v/>
      </c>
      <c r="N3417" s="6" t="n">
        <v>400</v>
      </c>
    </row>
    <row r="3418">
      <c r="A3418" s="1" t="inlineStr">
        <is>
          <t>665bd4a63435b</t>
        </is>
      </c>
      <c r="B3418" s="1" t="inlineStr">
        <is>
          <t>ARETES CLAVO GOLD</t>
        </is>
      </c>
      <c r="C3418" s="1" t="inlineStr">
        <is>
          <t>Default Title</t>
        </is>
      </c>
      <c r="D3418" s="1" t="inlineStr">
        <is>
          <t>10/02/2026</t>
        </is>
      </c>
      <c r="E3418" s="1" t="n">
        <v>2026</v>
      </c>
      <c r="F3418" s="1" t="inlineStr">
        <is>
          <t>FEBRERO</t>
        </is>
      </c>
      <c r="G3418" s="1" t="inlineStr">
        <is>
          <t>HAIFENG</t>
        </is>
      </c>
      <c r="H3418" s="1" t="inlineStr">
        <is>
          <t>HAIFENG 10/02/2026</t>
        </is>
      </c>
      <c r="I3418" s="4" t="n">
        <v>3</v>
      </c>
      <c r="J3418" s="6" t="n">
        <v>2.99</v>
      </c>
      <c r="K3418" s="6" t="n">
        <v>62.99480324</v>
      </c>
      <c r="L3418" s="6">
        <f>I3418*K3418</f>
        <v/>
      </c>
      <c r="M3418" s="6">
        <f>K3418*4</f>
        <v/>
      </c>
      <c r="N3418" s="6" t="n">
        <v>400</v>
      </c>
    </row>
    <row r="3419">
      <c r="A3419" s="1" t="inlineStr">
        <is>
          <t>665bd4a63435b</t>
        </is>
      </c>
      <c r="B3419" s="1" t="inlineStr">
        <is>
          <t>ARETES CLAVO GOLD</t>
        </is>
      </c>
      <c r="C3419" s="1" t="inlineStr">
        <is>
          <t>Default Title</t>
        </is>
      </c>
      <c r="D3419" s="1" t="inlineStr">
        <is>
          <t>11/03/2026</t>
        </is>
      </c>
      <c r="E3419" s="1" t="n">
        <v>2026</v>
      </c>
      <c r="F3419" s="1" t="inlineStr">
        <is>
          <t>MARZO</t>
        </is>
      </c>
      <c r="G3419" s="1" t="inlineStr">
        <is>
          <t>HAIFENG</t>
        </is>
      </c>
      <c r="H3419" s="1" t="inlineStr">
        <is>
          <t>HAIFENG 11/03/2026</t>
        </is>
      </c>
      <c r="I3419" s="4" t="n">
        <v>6</v>
      </c>
      <c r="J3419" s="6" t="n">
        <v>2.99</v>
      </c>
      <c r="K3419" s="6" t="n">
        <v>63.69864968</v>
      </c>
      <c r="L3419" s="6">
        <f>I3419*K3419</f>
        <v/>
      </c>
      <c r="M3419" s="6">
        <f>K3419*4</f>
        <v/>
      </c>
      <c r="N3419" s="6" t="n">
        <v>400</v>
      </c>
    </row>
    <row r="3420">
      <c r="A3420" s="1" t="inlineStr">
        <is>
          <t>665bd4a63435b</t>
        </is>
      </c>
      <c r="B3420" s="1" t="inlineStr">
        <is>
          <t>ARETES CLAVO GOLD</t>
        </is>
      </c>
      <c r="C3420" s="1" t="inlineStr">
        <is>
          <t>Default Title</t>
        </is>
      </c>
      <c r="D3420" s="1" t="inlineStr">
        <is>
          <t>26/05/2026</t>
        </is>
      </c>
      <c r="E3420" s="1" t="n">
        <v>2026</v>
      </c>
      <c r="F3420" s="1" t="inlineStr">
        <is>
          <t>MAYO</t>
        </is>
      </c>
      <c r="G3420" s="1" t="inlineStr">
        <is>
          <t>HAIFENG</t>
        </is>
      </c>
      <c r="H3420" s="1" t="inlineStr">
        <is>
          <t>HAIFENG 26/05/2026</t>
        </is>
      </c>
      <c r="I3420" s="4" t="n">
        <v>6</v>
      </c>
      <c r="J3420" s="6" t="n">
        <v>2.99</v>
      </c>
      <c r="K3420" s="6" t="n">
        <v>62.75799293</v>
      </c>
      <c r="L3420" s="6">
        <f>I3420*K3420</f>
        <v/>
      </c>
      <c r="M3420" s="6">
        <f>K3420*4</f>
        <v/>
      </c>
      <c r="N3420" s="6" t="n">
        <v>400</v>
      </c>
    </row>
    <row r="3421">
      <c r="A3421" s="1" t="inlineStr">
        <is>
          <t>665bd4a63435b</t>
        </is>
      </c>
      <c r="B3421" s="1" t="inlineStr">
        <is>
          <t>ARETES CLAVO GOLD</t>
        </is>
      </c>
      <c r="C3421" s="1" t="inlineStr">
        <is>
          <t>Default Title</t>
        </is>
      </c>
      <c r="D3421" s="1" t="inlineStr">
        <is>
          <t>16/06/2026</t>
        </is>
      </c>
      <c r="E3421" s="1" t="n">
        <v>2026</v>
      </c>
      <c r="F3421" s="1" t="inlineStr">
        <is>
          <t>JUNIO</t>
        </is>
      </c>
      <c r="G3421" s="1" t="inlineStr">
        <is>
          <t>HAIFENG</t>
        </is>
      </c>
      <c r="H3421" s="1" t="inlineStr">
        <is>
          <t>HAIFENG 16/06/2026</t>
        </is>
      </c>
      <c r="I3421" s="4" t="n">
        <v>4</v>
      </c>
      <c r="J3421" s="6" t="n">
        <v>2.99</v>
      </c>
      <c r="K3421" s="6" t="n">
        <v>62.83367331</v>
      </c>
      <c r="L3421" s="6">
        <f>I3421*K3421</f>
        <v/>
      </c>
      <c r="M3421" s="6">
        <f>K3421*4</f>
        <v/>
      </c>
      <c r="N3421" s="6" t="n">
        <v>400</v>
      </c>
    </row>
    <row r="3422">
      <c r="A3422" s="1" t="inlineStr">
        <is>
          <t>665bd4aa5e311</t>
        </is>
      </c>
      <c r="B3422" s="1" t="inlineStr">
        <is>
          <t>TARJETERO YSL LOGO BLACK</t>
        </is>
      </c>
      <c r="C3422" s="1" t="inlineStr">
        <is>
          <t>10cm de largo x 7.5cm de alto</t>
        </is>
      </c>
      <c r="D3422" s="1" t="inlineStr">
        <is>
          <t>07/01/2026</t>
        </is>
      </c>
      <c r="E3422" s="1" t="n">
        <v>2026</v>
      </c>
      <c r="F3422" s="1" t="inlineStr">
        <is>
          <t>ENERO</t>
        </is>
      </c>
      <c r="G3422" s="1" t="inlineStr">
        <is>
          <t>CYNTHIA</t>
        </is>
      </c>
      <c r="H3422" s="1" t="inlineStr">
        <is>
          <t>CYNTHIA 07/01/2026</t>
        </is>
      </c>
      <c r="I3422" s="4" t="n">
        <v>5</v>
      </c>
      <c r="J3422" s="6" t="n">
        <v>24</v>
      </c>
      <c r="K3422" s="6" t="n">
        <v>638.0982642</v>
      </c>
      <c r="L3422" s="6">
        <f>I3422*K3422</f>
        <v/>
      </c>
      <c r="M3422" s="6">
        <f>K3422*4</f>
        <v/>
      </c>
      <c r="N3422" s="6" t="n">
        <v>2279</v>
      </c>
    </row>
    <row r="3423">
      <c r="A3423" s="1" t="inlineStr">
        <is>
          <t>665bd4aa5e311</t>
        </is>
      </c>
      <c r="B3423" s="1" t="inlineStr">
        <is>
          <t>TARJETERO YSL LOGO BLACK</t>
        </is>
      </c>
      <c r="C3423" s="1" t="inlineStr">
        <is>
          <t>10cm de largo x 7.5cm de alto</t>
        </is>
      </c>
      <c r="D3423" s="1" t="inlineStr">
        <is>
          <t>18/02/2026</t>
        </is>
      </c>
      <c r="E3423" s="1" t="n">
        <v>2026</v>
      </c>
      <c r="F3423" s="1" t="inlineStr">
        <is>
          <t>FEBRERO</t>
        </is>
      </c>
      <c r="G3423" s="1" t="inlineStr">
        <is>
          <t>CYNTHIA</t>
        </is>
      </c>
      <c r="H3423" s="1" t="inlineStr">
        <is>
          <t>CYNTHIA 18/02/2026</t>
        </is>
      </c>
      <c r="I3423" s="4" t="n">
        <v>3</v>
      </c>
      <c r="J3423" s="6" t="n">
        <v>24</v>
      </c>
      <c r="K3423" s="6" t="n">
        <v>649.0407648</v>
      </c>
      <c r="L3423" s="6">
        <f>I3423*K3423</f>
        <v/>
      </c>
      <c r="M3423" s="6">
        <f>K3423*4</f>
        <v/>
      </c>
      <c r="N3423" s="6" t="n">
        <v>2279</v>
      </c>
    </row>
    <row r="3424">
      <c r="A3424" s="1" t="inlineStr">
        <is>
          <t>665bd4aee8cb5</t>
        </is>
      </c>
      <c r="B3424" s="1" t="inlineStr">
        <is>
          <t>ARETES CD PERLAS/ ZIRCONIAS</t>
        </is>
      </c>
      <c r="C3424" s="1" t="inlineStr">
        <is>
          <t>Default Title</t>
        </is>
      </c>
      <c r="D3424" s="1" t="inlineStr">
        <is>
          <t>25/10/2025</t>
        </is>
      </c>
      <c r="E3424" s="1" t="n">
        <v>2025</v>
      </c>
      <c r="F3424" s="1" t="inlineStr">
        <is>
          <t>OCTUBRE</t>
        </is>
      </c>
      <c r="G3424" s="1" t="inlineStr">
        <is>
          <t>CYNTHIA</t>
        </is>
      </c>
      <c r="H3424" s="1" t="inlineStr">
        <is>
          <t>CYNTHIA 25/10/2025</t>
        </is>
      </c>
      <c r="I3424" s="4" t="n">
        <v>3</v>
      </c>
      <c r="J3424" s="6" t="n">
        <v>8.800000000000001</v>
      </c>
      <c r="K3424" s="6" t="n">
        <v>230.5760476</v>
      </c>
      <c r="L3424" s="6">
        <f>I3424*K3424</f>
        <v/>
      </c>
      <c r="M3424" s="6">
        <f>K3424*4</f>
        <v/>
      </c>
      <c r="N3424" s="6" t="n">
        <v>850</v>
      </c>
    </row>
    <row r="3425">
      <c r="A3425" s="1" t="inlineStr">
        <is>
          <t>665bd4aee8cb5</t>
        </is>
      </c>
      <c r="B3425" s="1" t="inlineStr">
        <is>
          <t>ARETES CD PERLAS/ ZIRCONIAS</t>
        </is>
      </c>
      <c r="C3425" s="1" t="inlineStr">
        <is>
          <t>Default Title</t>
        </is>
      </c>
      <c r="D3425" s="1" t="inlineStr">
        <is>
          <t>07/01/2026</t>
        </is>
      </c>
      <c r="E3425" s="1" t="n">
        <v>2026</v>
      </c>
      <c r="F3425" s="1" t="inlineStr">
        <is>
          <t>ENERO</t>
        </is>
      </c>
      <c r="G3425" s="1" t="inlineStr">
        <is>
          <t>CYNTHIA</t>
        </is>
      </c>
      <c r="H3425" s="1" t="inlineStr">
        <is>
          <t>CYNTHIA 07/01/2026</t>
        </is>
      </c>
      <c r="I3425" s="4" t="n">
        <v>5</v>
      </c>
      <c r="J3425" s="6" t="n">
        <v>8.800000000000001</v>
      </c>
      <c r="K3425" s="6" t="n">
        <v>233.9693635</v>
      </c>
      <c r="L3425" s="6">
        <f>I3425*K3425</f>
        <v/>
      </c>
      <c r="M3425" s="6">
        <f>K3425*4</f>
        <v/>
      </c>
      <c r="N3425" s="6" t="n">
        <v>850</v>
      </c>
    </row>
    <row r="3426">
      <c r="A3426" s="1" t="inlineStr">
        <is>
          <t>665bd4aee8cb5</t>
        </is>
      </c>
      <c r="B3426" s="1" t="inlineStr">
        <is>
          <t>ARETES CD PERLAS/ ZIRCONIAS</t>
        </is>
      </c>
      <c r="C3426" s="1" t="inlineStr">
        <is>
          <t>Default Title</t>
        </is>
      </c>
      <c r="D3426" s="1" t="inlineStr">
        <is>
          <t>31/05/2026</t>
        </is>
      </c>
      <c r="E3426" s="1" t="n">
        <v>2026</v>
      </c>
      <c r="F3426" s="1" t="inlineStr">
        <is>
          <t>MAYO</t>
        </is>
      </c>
      <c r="G3426" s="1" t="inlineStr">
        <is>
          <t>CYNTHIA</t>
        </is>
      </c>
      <c r="H3426" s="1" t="inlineStr">
        <is>
          <t>CYNTHIA 31/05/2026</t>
        </is>
      </c>
      <c r="I3426" s="4" t="n">
        <v>3</v>
      </c>
      <c r="J3426" s="6" t="n">
        <v>8.800000000000001</v>
      </c>
      <c r="K3426" s="6" t="n">
        <v>233.2091958</v>
      </c>
      <c r="L3426" s="6">
        <f>I3426*K3426</f>
        <v/>
      </c>
      <c r="M3426" s="6">
        <f>K3426*4</f>
        <v/>
      </c>
      <c r="N3426" s="6" t="n">
        <v>850</v>
      </c>
    </row>
    <row r="3427">
      <c r="A3427" s="1" t="inlineStr">
        <is>
          <t>665bd4b01f958</t>
        </is>
      </c>
      <c r="B3427" s="1" t="inlineStr">
        <is>
          <t>ARETES PR SILVER</t>
        </is>
      </c>
      <c r="C3427" s="1" t="inlineStr">
        <is>
          <t>Default Title</t>
        </is>
      </c>
      <c r="D3427" s="1" t="inlineStr">
        <is>
          <t>19/03/2026</t>
        </is>
      </c>
      <c r="E3427" s="1" t="n">
        <v>2026</v>
      </c>
      <c r="F3427" s="1" t="inlineStr">
        <is>
          <t>MARZO</t>
        </is>
      </c>
      <c r="G3427" s="1" t="inlineStr">
        <is>
          <t>CYNTHIA</t>
        </is>
      </c>
      <c r="H3427" s="1" t="inlineStr">
        <is>
          <t>CYNTHIA 19/03/2026</t>
        </is>
      </c>
      <c r="I3427" s="4" t="n">
        <v>2</v>
      </c>
      <c r="J3427" s="6" t="n">
        <v>6.8</v>
      </c>
      <c r="K3427" s="6" t="n">
        <v>182.6304274</v>
      </c>
      <c r="L3427" s="6">
        <f>I3427*K3427</f>
        <v/>
      </c>
      <c r="M3427" s="6">
        <f>K3427*4</f>
        <v/>
      </c>
      <c r="N3427" s="6" t="n">
        <v>750</v>
      </c>
    </row>
    <row r="3428">
      <c r="A3428" s="1" t="inlineStr">
        <is>
          <t>665bd4b01f958</t>
        </is>
      </c>
      <c r="B3428" s="1" t="inlineStr">
        <is>
          <t>ARETES PR SILVER</t>
        </is>
      </c>
      <c r="C3428" s="1" t="inlineStr">
        <is>
          <t>Default Title</t>
        </is>
      </c>
      <c r="D3428" s="1" t="inlineStr">
        <is>
          <t>31/05/2026</t>
        </is>
      </c>
      <c r="E3428" s="1" t="n">
        <v>2026</v>
      </c>
      <c r="F3428" s="1" t="inlineStr">
        <is>
          <t>MAYO</t>
        </is>
      </c>
      <c r="G3428" s="1" t="inlineStr">
        <is>
          <t>CYNTHIA</t>
        </is>
      </c>
      <c r="H3428" s="1" t="inlineStr">
        <is>
          <t>CYNTHIA 31/05/2026</t>
        </is>
      </c>
      <c r="I3428" s="4" t="n">
        <v>7</v>
      </c>
      <c r="J3428" s="6" t="n">
        <v>6.8</v>
      </c>
      <c r="K3428" s="6" t="n">
        <v>180.2071058</v>
      </c>
      <c r="L3428" s="6">
        <f>I3428*K3428</f>
        <v/>
      </c>
      <c r="M3428" s="6">
        <f>K3428*4</f>
        <v/>
      </c>
      <c r="N3428" s="6" t="n">
        <v>750</v>
      </c>
    </row>
    <row r="3429">
      <c r="A3429" s="1" t="inlineStr">
        <is>
          <t>665bd4b033012</t>
        </is>
      </c>
      <c r="B3429" s="1" t="inlineStr">
        <is>
          <t>ARETES YSL SILVER</t>
        </is>
      </c>
      <c r="C3429" s="1" t="inlineStr">
        <is>
          <t>Default Title</t>
        </is>
      </c>
      <c r="D3429" s="1" t="inlineStr">
        <is>
          <t>07/01/2026</t>
        </is>
      </c>
      <c r="E3429" s="1" t="n">
        <v>2026</v>
      </c>
      <c r="F3429" s="1" t="inlineStr">
        <is>
          <t>ENERO</t>
        </is>
      </c>
      <c r="G3429" s="1" t="inlineStr">
        <is>
          <t>CYNTHIA</t>
        </is>
      </c>
      <c r="H3429" s="1" t="inlineStr">
        <is>
          <t>CYNTHIA 07/01/2026</t>
        </is>
      </c>
      <c r="I3429" s="4" t="n">
        <v>1</v>
      </c>
      <c r="J3429" s="6" t="n">
        <v>4.6</v>
      </c>
      <c r="K3429" s="6" t="n">
        <v>122.3021673</v>
      </c>
      <c r="L3429" s="6">
        <f>I3429*K3429</f>
        <v/>
      </c>
      <c r="M3429" s="6">
        <f>K3429*4</f>
        <v/>
      </c>
      <c r="N3429" s="6" t="n">
        <v>499</v>
      </c>
    </row>
    <row r="3430">
      <c r="A3430" s="1" t="inlineStr">
        <is>
          <t>665bd4b033012</t>
        </is>
      </c>
      <c r="B3430" s="1" t="inlineStr">
        <is>
          <t>ARETES YSL SILVER</t>
        </is>
      </c>
      <c r="C3430" s="1" t="inlineStr">
        <is>
          <t>Default Title</t>
        </is>
      </c>
      <c r="D3430" s="1" t="inlineStr">
        <is>
          <t>19/03/2026</t>
        </is>
      </c>
      <c r="E3430" s="1" t="n">
        <v>2026</v>
      </c>
      <c r="F3430" s="1" t="inlineStr">
        <is>
          <t>MARZO</t>
        </is>
      </c>
      <c r="G3430" s="1" t="inlineStr">
        <is>
          <t>CYNTHIA</t>
        </is>
      </c>
      <c r="H3430" s="1" t="inlineStr">
        <is>
          <t>CYNTHIA 19/03/2026</t>
        </is>
      </c>
      <c r="I3430" s="4" t="n">
        <v>1</v>
      </c>
      <c r="J3430" s="6" t="n">
        <v>4.6</v>
      </c>
      <c r="K3430" s="6" t="n">
        <v>123.5441127</v>
      </c>
      <c r="L3430" s="6">
        <f>I3430*K3430</f>
        <v/>
      </c>
      <c r="M3430" s="6">
        <f>K3430*4</f>
        <v/>
      </c>
      <c r="N3430" s="6" t="n">
        <v>499</v>
      </c>
    </row>
    <row r="3431">
      <c r="A3431" s="1" t="inlineStr">
        <is>
          <t>665bd4b033012</t>
        </is>
      </c>
      <c r="B3431" s="1" t="inlineStr">
        <is>
          <t>ARETES YSL SILVER</t>
        </is>
      </c>
      <c r="C3431" s="1" t="inlineStr">
        <is>
          <t>Default Title</t>
        </is>
      </c>
      <c r="D3431" s="1" t="inlineStr">
        <is>
          <t>27/04/2026</t>
        </is>
      </c>
      <c r="E3431" s="1" t="n">
        <v>2026</v>
      </c>
      <c r="F3431" s="1" t="inlineStr">
        <is>
          <t>ABRIL</t>
        </is>
      </c>
      <c r="G3431" s="1" t="inlineStr">
        <is>
          <t>CYNTHIA</t>
        </is>
      </c>
      <c r="H3431" s="1" t="inlineStr">
        <is>
          <t>CYNTHIA 27/04/2026</t>
        </is>
      </c>
      <c r="I3431" s="4" t="n">
        <v>2</v>
      </c>
      <c r="J3431" s="6" t="n">
        <v>4.6</v>
      </c>
      <c r="K3431" s="6" t="n">
        <v>119.370426</v>
      </c>
      <c r="L3431" s="6">
        <f>I3431*K3431</f>
        <v/>
      </c>
      <c r="M3431" s="6">
        <f>K3431*4</f>
        <v/>
      </c>
      <c r="N3431" s="6" t="n">
        <v>499</v>
      </c>
    </row>
    <row r="3432">
      <c r="A3432" s="1" t="inlineStr">
        <is>
          <t>66745969cb7d0</t>
        </is>
      </c>
      <c r="B3432" s="1" t="inlineStr">
        <is>
          <t>COLLAR 20 TRÉBOLES GOLD GREEN</t>
        </is>
      </c>
      <c r="C3432" s="1" t="inlineStr">
        <is>
          <t>Default Title</t>
        </is>
      </c>
      <c r="D3432" s="1" t="inlineStr">
        <is>
          <t>08/05/2026</t>
        </is>
      </c>
      <c r="E3432" s="1" t="n">
        <v>2026</v>
      </c>
      <c r="F3432" s="1" t="inlineStr">
        <is>
          <t>MAYO</t>
        </is>
      </c>
      <c r="G3432" s="1" t="inlineStr">
        <is>
          <t>NANCY</t>
        </is>
      </c>
      <c r="H3432" s="1" t="inlineStr">
        <is>
          <t>NANCY 08/05/2026</t>
        </is>
      </c>
      <c r="I3432" s="4" t="n">
        <v>1</v>
      </c>
      <c r="J3432" s="6" t="n">
        <v>35.59</v>
      </c>
      <c r="K3432" s="6" t="n">
        <v>841.9797002</v>
      </c>
      <c r="L3432" s="6">
        <f>I3432*K3432</f>
        <v/>
      </c>
      <c r="M3432" s="6">
        <f>K3432*4</f>
        <v/>
      </c>
      <c r="N3432" s="6" t="n">
        <v>2999</v>
      </c>
    </row>
    <row r="3433">
      <c r="A3433" s="1" t="inlineStr">
        <is>
          <t>6674596a63af2</t>
        </is>
      </c>
      <c r="B3433" s="1" t="inlineStr">
        <is>
          <t>COLLAR 20 TRÉBOLES GOLD BLACK</t>
        </is>
      </c>
      <c r="C3433" s="1" t="inlineStr">
        <is>
          <t>Default Title</t>
        </is>
      </c>
      <c r="D3433" s="1" t="inlineStr">
        <is>
          <t>01/04/2026</t>
        </is>
      </c>
      <c r="E3433" s="1" t="n">
        <v>2026</v>
      </c>
      <c r="F3433" s="1" t="inlineStr">
        <is>
          <t>ABRIL</t>
        </is>
      </c>
      <c r="G3433" s="1" t="inlineStr">
        <is>
          <t>NANCY</t>
        </is>
      </c>
      <c r="H3433" s="1" t="inlineStr">
        <is>
          <t>NANCY 01/04/2026</t>
        </is>
      </c>
      <c r="I3433" s="4" t="n">
        <v>2</v>
      </c>
      <c r="J3433" s="6" t="n">
        <v>35.59</v>
      </c>
      <c r="K3433" s="6" t="n">
        <v>852.042736</v>
      </c>
      <c r="L3433" s="6">
        <f>I3433*K3433</f>
        <v/>
      </c>
      <c r="M3433" s="6">
        <f>K3433*4</f>
        <v/>
      </c>
      <c r="N3433" s="6" t="n">
        <v>2999</v>
      </c>
    </row>
    <row r="3434">
      <c r="A3434" s="1" t="inlineStr">
        <is>
          <t>6674596a63af2</t>
        </is>
      </c>
      <c r="B3434" s="1" t="inlineStr">
        <is>
          <t>COLLAR 20 TRÉBOLES GOLD BLACK</t>
        </is>
      </c>
      <c r="C3434" s="1" t="inlineStr">
        <is>
          <t>Default Title</t>
        </is>
      </c>
      <c r="D3434" s="1" t="inlineStr">
        <is>
          <t>31/05/2026</t>
        </is>
      </c>
      <c r="E3434" s="1" t="n">
        <v>2026</v>
      </c>
      <c r="F3434" s="1" t="inlineStr">
        <is>
          <t>MAYO</t>
        </is>
      </c>
      <c r="G3434" s="1" t="inlineStr">
        <is>
          <t>NANCY</t>
        </is>
      </c>
      <c r="H3434" s="1" t="inlineStr">
        <is>
          <t>NANCY 31/05/2026</t>
        </is>
      </c>
      <c r="I3434" s="4" t="n">
        <v>2</v>
      </c>
      <c r="J3434" s="6" t="n">
        <v>35.59</v>
      </c>
      <c r="K3434" s="6" t="n">
        <v>863.6835178</v>
      </c>
      <c r="L3434" s="6">
        <f>I3434*K3434</f>
        <v/>
      </c>
      <c r="M3434" s="6">
        <f>K3434*4</f>
        <v/>
      </c>
      <c r="N3434" s="6" t="n">
        <v>3455</v>
      </c>
    </row>
    <row r="3435">
      <c r="A3435" s="1" t="inlineStr">
        <is>
          <t>66745971e789e</t>
        </is>
      </c>
      <c r="B3435" s="1" t="inlineStr">
        <is>
          <t>COLLAR 20 TRÉBOLES GOLD WHITE</t>
        </is>
      </c>
      <c r="C3435" s="1" t="inlineStr">
        <is>
          <t>Default Title</t>
        </is>
      </c>
      <c r="D3435" s="1" t="inlineStr">
        <is>
          <t>31/05/2026</t>
        </is>
      </c>
      <c r="E3435" s="1" t="n">
        <v>2026</v>
      </c>
      <c r="F3435" s="1" t="inlineStr">
        <is>
          <t>MAYO</t>
        </is>
      </c>
      <c r="G3435" s="1" t="inlineStr">
        <is>
          <t>NANCY</t>
        </is>
      </c>
      <c r="H3435" s="1" t="inlineStr">
        <is>
          <t>NANCY 31/05/2026</t>
        </is>
      </c>
      <c r="I3435" s="4" t="n">
        <v>2</v>
      </c>
      <c r="J3435" s="6" t="n">
        <v>35.59</v>
      </c>
      <c r="K3435" s="6" t="n">
        <v>863.6835178</v>
      </c>
      <c r="L3435" s="6">
        <f>I3435*K3435</f>
        <v/>
      </c>
      <c r="M3435" s="6">
        <f>K3435*4</f>
        <v/>
      </c>
      <c r="N3435" s="6" t="n">
        <v>3455</v>
      </c>
    </row>
    <row r="3436">
      <c r="A3436" s="1" t="inlineStr">
        <is>
          <t>66745973ed916</t>
        </is>
      </c>
      <c r="B3436" s="1" t="inlineStr">
        <is>
          <t>COLLAR 20 TRÉBOLES GOLD RED</t>
        </is>
      </c>
      <c r="C3436" s="1" t="inlineStr">
        <is>
          <t>Default Title</t>
        </is>
      </c>
      <c r="D3436" s="1" t="inlineStr">
        <is>
          <t>08/05/2026</t>
        </is>
      </c>
      <c r="E3436" s="1" t="n">
        <v>2026</v>
      </c>
      <c r="F3436" s="1" t="inlineStr">
        <is>
          <t>MAYO</t>
        </is>
      </c>
      <c r="G3436" s="1" t="inlineStr">
        <is>
          <t>NANCY</t>
        </is>
      </c>
      <c r="H3436" s="1" t="inlineStr">
        <is>
          <t>NANCY 08/05/2026</t>
        </is>
      </c>
      <c r="I3436" s="4" t="n">
        <v>1</v>
      </c>
      <c r="J3436" s="6" t="n">
        <v>35.59</v>
      </c>
      <c r="K3436" s="6" t="n">
        <v>841.9797002</v>
      </c>
      <c r="L3436" s="6">
        <f>I3436*K3436</f>
        <v/>
      </c>
      <c r="M3436" s="6">
        <f>K3436*4</f>
        <v/>
      </c>
      <c r="N3436" s="6" t="n">
        <v>2999</v>
      </c>
    </row>
    <row r="3437">
      <c r="A3437" s="1" t="inlineStr">
        <is>
          <t>66745aa7a2ba5</t>
        </is>
      </c>
      <c r="B3437" s="1" t="inlineStr">
        <is>
          <t>GARGANTILLA 10 TRÉBOLES GOLD BLACK</t>
        </is>
      </c>
      <c r="C3437" s="1" t="inlineStr">
        <is>
          <t>15mm</t>
        </is>
      </c>
      <c r="D3437" s="1" t="inlineStr">
        <is>
          <t>01/03/2026</t>
        </is>
      </c>
      <c r="E3437" s="1" t="n">
        <v>2026</v>
      </c>
      <c r="F3437" s="1" t="inlineStr">
        <is>
          <t>MARZO</t>
        </is>
      </c>
      <c r="G3437" s="1" t="inlineStr">
        <is>
          <t>NANCY</t>
        </is>
      </c>
      <c r="H3437" s="1" t="inlineStr">
        <is>
          <t>NANCY 01/03/2026</t>
        </is>
      </c>
      <c r="I3437" s="4" t="n">
        <v>1</v>
      </c>
      <c r="J3437" s="6" t="n">
        <v>16.59</v>
      </c>
      <c r="K3437" s="6" t="n">
        <v>419.7886872</v>
      </c>
      <c r="L3437" s="6">
        <f>I3437*K3437</f>
        <v/>
      </c>
      <c r="M3437" s="6">
        <f>K3437*4</f>
        <v/>
      </c>
      <c r="N3437" s="6" t="n">
        <v>1428</v>
      </c>
    </row>
    <row r="3438">
      <c r="A3438" s="1" t="inlineStr">
        <is>
          <t>66745aa7a2ba5</t>
        </is>
      </c>
      <c r="B3438" s="1" t="inlineStr">
        <is>
          <t>GARGANTILLA 10 TRÉBOLES GOLD BLACK</t>
        </is>
      </c>
      <c r="C3438" s="1" t="inlineStr">
        <is>
          <t>15mm</t>
        </is>
      </c>
      <c r="D3438" s="1" t="inlineStr">
        <is>
          <t>08/05/2026</t>
        </is>
      </c>
      <c r="E3438" s="1" t="n">
        <v>2026</v>
      </c>
      <c r="F3438" s="1" t="inlineStr">
        <is>
          <t>MAYO</t>
        </is>
      </c>
      <c r="G3438" s="1" t="inlineStr">
        <is>
          <t>NANCY</t>
        </is>
      </c>
      <c r="H3438" s="1" t="inlineStr">
        <is>
          <t>NANCY 08/05/2026</t>
        </is>
      </c>
      <c r="I3438" s="4" t="n">
        <v>2</v>
      </c>
      <c r="J3438" s="6" t="n">
        <v>16.59</v>
      </c>
      <c r="K3438" s="6" t="n">
        <v>392.4822485</v>
      </c>
      <c r="L3438" s="6">
        <f>I3438*K3438</f>
        <v/>
      </c>
      <c r="M3438" s="6">
        <f>K3438*4</f>
        <v/>
      </c>
      <c r="N3438" s="6" t="n">
        <v>1428</v>
      </c>
    </row>
    <row r="3439">
      <c r="A3439" s="1" t="inlineStr">
        <is>
          <t>66745aa830c56</t>
        </is>
      </c>
      <c r="B3439" s="1" t="n"/>
      <c r="C3439" s="1" t="inlineStr">
        <is>
          <t>15mm</t>
        </is>
      </c>
      <c r="D3439" s="1" t="inlineStr">
        <is>
          <t>03/12/2025</t>
        </is>
      </c>
      <c r="E3439" s="1" t="n">
        <v>2025</v>
      </c>
      <c r="F3439" s="1" t="inlineStr">
        <is>
          <t>DICIEMBRE</t>
        </is>
      </c>
      <c r="G3439" s="1" t="inlineStr">
        <is>
          <t>NANCY</t>
        </is>
      </c>
      <c r="H3439" s="1" t="inlineStr">
        <is>
          <t>NANCY 03/12/2025</t>
        </is>
      </c>
      <c r="I3439" s="4" t="n">
        <v>1</v>
      </c>
      <c r="J3439" s="6" t="n">
        <v>16.59</v>
      </c>
      <c r="K3439" s="6" t="n">
        <v>392.4653398</v>
      </c>
      <c r="L3439" s="6">
        <f>I3439*K3439</f>
        <v/>
      </c>
      <c r="M3439" s="6">
        <f>K3439*4</f>
        <v/>
      </c>
      <c r="N3439" s="6" t="n">
        <v>1428</v>
      </c>
    </row>
    <row r="3440">
      <c r="A3440" s="1" t="inlineStr">
        <is>
          <t>66745aa830c56</t>
        </is>
      </c>
      <c r="B3440" s="1" t="inlineStr">
        <is>
          <t>GARGANTILLA 10 TRÉBOLES GOLD GREEN</t>
        </is>
      </c>
      <c r="C3440" s="1" t="inlineStr">
        <is>
          <t>15mm</t>
        </is>
      </c>
      <c r="D3440" s="1" t="inlineStr">
        <is>
          <t>01/03/2026</t>
        </is>
      </c>
      <c r="E3440" s="1" t="n">
        <v>2026</v>
      </c>
      <c r="F3440" s="1" t="inlineStr">
        <is>
          <t>MARZO</t>
        </is>
      </c>
      <c r="G3440" s="1" t="inlineStr">
        <is>
          <t>NANCY</t>
        </is>
      </c>
      <c r="H3440" s="1" t="inlineStr">
        <is>
          <t>NANCY 01/03/2026</t>
        </is>
      </c>
      <c r="I3440" s="4" t="n">
        <v>1</v>
      </c>
      <c r="J3440" s="6" t="n">
        <v>16.59</v>
      </c>
      <c r="K3440" s="6" t="n">
        <v>419.7886872</v>
      </c>
      <c r="L3440" s="6">
        <f>I3440*K3440</f>
        <v/>
      </c>
      <c r="M3440" s="6">
        <f>K3440*4</f>
        <v/>
      </c>
      <c r="N3440" s="6" t="n">
        <v>1428</v>
      </c>
    </row>
    <row r="3441">
      <c r="A3441" s="1" t="inlineStr">
        <is>
          <t>66745adaed578</t>
        </is>
      </c>
      <c r="B3441" s="1" t="inlineStr">
        <is>
          <t>GARGANTILLA 10 TRÉBOLES GOLD RED</t>
        </is>
      </c>
      <c r="C3441" s="1" t="inlineStr">
        <is>
          <t>15mm</t>
        </is>
      </c>
      <c r="D3441" s="1" t="inlineStr">
        <is>
          <t>06/09/2025</t>
        </is>
      </c>
      <c r="E3441" s="1" t="n">
        <v>2025</v>
      </c>
      <c r="F3441" s="1" t="inlineStr">
        <is>
          <t>SEPTIEMBRE</t>
        </is>
      </c>
      <c r="G3441" s="1" t="inlineStr">
        <is>
          <t>NANCY</t>
        </is>
      </c>
      <c r="H3441" s="1" t="inlineStr">
        <is>
          <t>NANCY 06/09/2025</t>
        </is>
      </c>
      <c r="I3441" s="4" t="n">
        <v>1</v>
      </c>
      <c r="J3441" s="6" t="n">
        <v>16.59</v>
      </c>
      <c r="K3441" s="6" t="n">
        <v>386.3090925</v>
      </c>
      <c r="L3441" s="6">
        <f>I3441*K3441</f>
        <v/>
      </c>
      <c r="M3441" s="6">
        <f>K3441*4</f>
        <v/>
      </c>
      <c r="N3441" s="6" t="n">
        <v>750</v>
      </c>
    </row>
    <row r="3442">
      <c r="A3442" s="1" t="inlineStr">
        <is>
          <t>66745adb8510f-1</t>
        </is>
      </c>
      <c r="B3442" s="1" t="inlineStr">
        <is>
          <t>GARGANTILLA 10 TRÉBOLES SILVER BLACK</t>
        </is>
      </c>
      <c r="C3442" s="1" t="inlineStr">
        <is>
          <t>15mm</t>
        </is>
      </c>
      <c r="D3442" s="1" t="inlineStr">
        <is>
          <t>08/05/2026</t>
        </is>
      </c>
      <c r="E3442" s="1" t="n">
        <v>2026</v>
      </c>
      <c r="F3442" s="1" t="inlineStr">
        <is>
          <t>MAYO</t>
        </is>
      </c>
      <c r="G3442" s="1" t="inlineStr">
        <is>
          <t>NANCY</t>
        </is>
      </c>
      <c r="H3442" s="1" t="inlineStr">
        <is>
          <t>NANCY 08/05/2026</t>
        </is>
      </c>
      <c r="I3442" s="4" t="n">
        <v>2</v>
      </c>
      <c r="J3442" s="6" t="n">
        <v>16.59</v>
      </c>
      <c r="K3442" s="6" t="n">
        <v>392.4822485</v>
      </c>
      <c r="L3442" s="6">
        <f>I3442*K3442</f>
        <v/>
      </c>
      <c r="M3442" s="6">
        <f>K3442*4</f>
        <v/>
      </c>
      <c r="N3442" s="6" t="n">
        <v>1428</v>
      </c>
    </row>
    <row r="3443">
      <c r="A3443" s="1" t="inlineStr">
        <is>
          <t>66768001116909</t>
        </is>
      </c>
      <c r="B3443" s="1" t="inlineStr">
        <is>
          <t>BRAZALETE H GOLD ZIRCONIAS</t>
        </is>
      </c>
      <c r="C3443" s="1" t="inlineStr">
        <is>
          <t>Default Title</t>
        </is>
      </c>
      <c r="D3443" s="1" t="inlineStr">
        <is>
          <t>26/05/2026</t>
        </is>
      </c>
      <c r="E3443" s="1" t="n">
        <v>2026</v>
      </c>
      <c r="F3443" s="1" t="inlineStr">
        <is>
          <t>MAYO</t>
        </is>
      </c>
      <c r="G3443" s="1" t="inlineStr">
        <is>
          <t>HAIFENG</t>
        </is>
      </c>
      <c r="H3443" s="1" t="inlineStr">
        <is>
          <t>HAIFENG 26/05/2026</t>
        </is>
      </c>
      <c r="I3443" s="4" t="n">
        <v>2</v>
      </c>
      <c r="J3443" s="6" t="n">
        <v>15</v>
      </c>
      <c r="K3443" s="6" t="n">
        <v>314.8394294</v>
      </c>
      <c r="L3443" s="6">
        <f>I3443*K3443</f>
        <v/>
      </c>
      <c r="M3443" s="6">
        <f>K3443*4</f>
        <v/>
      </c>
      <c r="N3443" s="6" t="n">
        <v>1250</v>
      </c>
    </row>
    <row r="3444">
      <c r="A3444" s="1" t="inlineStr">
        <is>
          <t>66768001258381</t>
        </is>
      </c>
      <c r="B3444" s="1" t="inlineStr">
        <is>
          <t>BRAZALETE KELLY CLIC H GOLD</t>
        </is>
      </c>
      <c r="C3444" s="1" t="inlineStr">
        <is>
          <t>Default Title</t>
        </is>
      </c>
      <c r="D3444" s="1" t="inlineStr">
        <is>
          <t>25/09/2025</t>
        </is>
      </c>
      <c r="E3444" s="1" t="n">
        <v>2025</v>
      </c>
      <c r="F3444" s="1" t="inlineStr">
        <is>
          <t>SEPTIEMBRE</t>
        </is>
      </c>
      <c r="G3444" s="1" t="inlineStr">
        <is>
          <t>HAIFENG</t>
        </is>
      </c>
      <c r="H3444" s="1" t="inlineStr">
        <is>
          <t>HAIFENG 25/09/2025</t>
        </is>
      </c>
      <c r="I3444" s="4" t="n">
        <v>3</v>
      </c>
      <c r="J3444" s="6" t="n">
        <v>10</v>
      </c>
      <c r="K3444" s="6" t="n">
        <v>210.9688577</v>
      </c>
      <c r="L3444" s="6">
        <f>I3444*K3444</f>
        <v/>
      </c>
      <c r="M3444" s="6">
        <f>K3444*4</f>
        <v/>
      </c>
      <c r="N3444" s="6" t="n">
        <v>824</v>
      </c>
    </row>
    <row r="3445">
      <c r="A3445" s="1" t="inlineStr">
        <is>
          <t>66768001258381</t>
        </is>
      </c>
      <c r="B3445" s="1" t="inlineStr">
        <is>
          <t>BRAZALETE KELLY CLIC H GOLD</t>
        </is>
      </c>
      <c r="C3445" s="1" t="inlineStr">
        <is>
          <t>Default Title</t>
        </is>
      </c>
      <c r="D3445" s="1" t="inlineStr">
        <is>
          <t>10/02/2026</t>
        </is>
      </c>
      <c r="E3445" s="1" t="n">
        <v>2026</v>
      </c>
      <c r="F3445" s="1" t="inlineStr">
        <is>
          <t>FEBRERO</t>
        </is>
      </c>
      <c r="G3445" s="1" t="inlineStr">
        <is>
          <t>HAIFENG</t>
        </is>
      </c>
      <c r="H3445" s="1" t="inlineStr">
        <is>
          <t>HAIFENG 10/02/2026</t>
        </is>
      </c>
      <c r="I3445" s="4" t="n">
        <v>6</v>
      </c>
      <c r="J3445" s="6" t="n">
        <v>10</v>
      </c>
      <c r="K3445" s="6" t="n">
        <v>210.6849607</v>
      </c>
      <c r="L3445" s="6">
        <f>I3445*K3445</f>
        <v/>
      </c>
      <c r="M3445" s="6">
        <f>K3445*4</f>
        <v/>
      </c>
      <c r="N3445" s="6" t="n">
        <v>824</v>
      </c>
    </row>
    <row r="3446">
      <c r="A3446" s="1" t="inlineStr">
        <is>
          <t>668eecae452bf</t>
        </is>
      </c>
      <c r="B3446" s="1" t="inlineStr">
        <is>
          <t>PULSERA WRAP ESLABONES SILVER</t>
        </is>
      </c>
      <c r="C3446" s="1" t="inlineStr">
        <is>
          <t>AJUSTABLE</t>
        </is>
      </c>
      <c r="D3446" s="1" t="inlineStr">
        <is>
          <t>31/05/2026</t>
        </is>
      </c>
      <c r="E3446" s="1" t="n">
        <v>2026</v>
      </c>
      <c r="F3446" s="1" t="inlineStr">
        <is>
          <t>MAYO</t>
        </is>
      </c>
      <c r="G3446" s="1" t="inlineStr">
        <is>
          <t>CYNTHIA</t>
        </is>
      </c>
      <c r="H3446" s="1" t="inlineStr">
        <is>
          <t>CYNTHIA 31/05/2026</t>
        </is>
      </c>
      <c r="I3446" s="4" t="n">
        <v>2</v>
      </c>
      <c r="J3446" s="6" t="n">
        <v>25</v>
      </c>
      <c r="K3446" s="6" t="n">
        <v>662.5261244</v>
      </c>
      <c r="L3446" s="6">
        <f>I3446*K3446</f>
        <v/>
      </c>
      <c r="M3446" s="6">
        <f>K3446*4</f>
        <v/>
      </c>
      <c r="N3446" s="6" t="n">
        <v>2659</v>
      </c>
    </row>
    <row r="3447">
      <c r="A3447" s="1" t="inlineStr">
        <is>
          <t>668eecb8df0eb</t>
        </is>
      </c>
      <c r="B3447" s="1" t="inlineStr">
        <is>
          <t>PULSERA T GOLD</t>
        </is>
      </c>
      <c r="C3447" s="1" t="inlineStr">
        <is>
          <t>16 cm</t>
        </is>
      </c>
      <c r="D3447" s="1" t="inlineStr">
        <is>
          <t>05/09/2025</t>
        </is>
      </c>
      <c r="E3447" s="1" t="n">
        <v>2025</v>
      </c>
      <c r="F3447" s="1" t="inlineStr">
        <is>
          <t>SEPTIEMBRE</t>
        </is>
      </c>
      <c r="G3447" s="1" t="inlineStr">
        <is>
          <t>CYNTHIA</t>
        </is>
      </c>
      <c r="H3447" s="1" t="inlineStr">
        <is>
          <t>CYNTHIA 05/09/2025</t>
        </is>
      </c>
      <c r="I3447" s="4" t="n">
        <v>4</v>
      </c>
      <c r="J3447" s="6" t="n">
        <v>9</v>
      </c>
      <c r="K3447" s="6" t="n">
        <v>226.6118724</v>
      </c>
      <c r="L3447" s="6">
        <f>I3447*K3447</f>
        <v/>
      </c>
      <c r="M3447" s="6">
        <f>K3447*4</f>
        <v/>
      </c>
      <c r="N3447" s="6" t="n">
        <v>799</v>
      </c>
    </row>
    <row r="3448">
      <c r="A3448" s="1" t="inlineStr">
        <is>
          <t>668eecb8df0eb</t>
        </is>
      </c>
      <c r="B3448" s="1" t="inlineStr">
        <is>
          <t>PULSERA T GOLD</t>
        </is>
      </c>
      <c r="C3448" s="1" t="inlineStr">
        <is>
          <t>16 cm</t>
        </is>
      </c>
      <c r="D3448" s="1" t="inlineStr">
        <is>
          <t>07/01/2026</t>
        </is>
      </c>
      <c r="E3448" s="1" t="n">
        <v>2026</v>
      </c>
      <c r="F3448" s="1" t="inlineStr">
        <is>
          <t>ENERO</t>
        </is>
      </c>
      <c r="G3448" s="1" t="inlineStr">
        <is>
          <t>CYNTHIA</t>
        </is>
      </c>
      <c r="H3448" s="1" t="inlineStr">
        <is>
          <t>CYNTHIA 07/01/2026</t>
        </is>
      </c>
      <c r="I3448" s="4" t="n">
        <v>5</v>
      </c>
      <c r="J3448" s="6" t="n">
        <v>9.5</v>
      </c>
      <c r="K3448" s="6" t="n">
        <v>252.5805629</v>
      </c>
      <c r="L3448" s="6">
        <f>I3448*K3448</f>
        <v/>
      </c>
      <c r="M3448" s="6">
        <f>K3448*4</f>
        <v/>
      </c>
      <c r="N3448" s="6" t="n">
        <v>885</v>
      </c>
    </row>
    <row r="3449">
      <c r="A3449" s="1" t="inlineStr">
        <is>
          <t>668eecb8df0eb</t>
        </is>
      </c>
      <c r="B3449" s="1" t="inlineStr">
        <is>
          <t>PULSERA T GOLD</t>
        </is>
      </c>
      <c r="C3449" s="1" t="inlineStr">
        <is>
          <t>16 cm</t>
        </is>
      </c>
      <c r="D3449" s="1" t="inlineStr">
        <is>
          <t>18/02/2026</t>
        </is>
      </c>
      <c r="E3449" s="1" t="n">
        <v>2026</v>
      </c>
      <c r="F3449" s="1" t="inlineStr">
        <is>
          <t>FEBRERO</t>
        </is>
      </c>
      <c r="G3449" s="1" t="inlineStr">
        <is>
          <t>CYNTHIA</t>
        </is>
      </c>
      <c r="H3449" s="1" t="inlineStr">
        <is>
          <t>CYNTHIA 18/02/2026</t>
        </is>
      </c>
      <c r="I3449" s="4" t="n">
        <v>5</v>
      </c>
      <c r="J3449" s="6" t="n">
        <v>9.5</v>
      </c>
      <c r="K3449" s="6" t="n">
        <v>256.9119694</v>
      </c>
      <c r="L3449" s="6">
        <f>I3449*K3449</f>
        <v/>
      </c>
      <c r="M3449" s="6">
        <f>K3449*4</f>
        <v/>
      </c>
      <c r="N3449" s="6" t="n">
        <v>885</v>
      </c>
    </row>
    <row r="3450">
      <c r="A3450" s="1" t="inlineStr">
        <is>
          <t>668eecb8df0eb</t>
        </is>
      </c>
      <c r="B3450" s="1" t="inlineStr">
        <is>
          <t>PULSERA T GOLD</t>
        </is>
      </c>
      <c r="C3450" s="1" t="inlineStr">
        <is>
          <t>16 cm</t>
        </is>
      </c>
      <c r="D3450" s="1" t="inlineStr">
        <is>
          <t>19/03/2026</t>
        </is>
      </c>
      <c r="E3450" s="1" t="n">
        <v>2026</v>
      </c>
      <c r="F3450" s="1" t="inlineStr">
        <is>
          <t>MARZO</t>
        </is>
      </c>
      <c r="G3450" s="1" t="inlineStr">
        <is>
          <t>CYNTHIA</t>
        </is>
      </c>
      <c r="H3450" s="1" t="inlineStr">
        <is>
          <t>CYNTHIA 19/03/2026</t>
        </is>
      </c>
      <c r="I3450" s="4" t="n">
        <v>5</v>
      </c>
      <c r="J3450" s="6" t="n">
        <v>9.5</v>
      </c>
      <c r="K3450" s="6" t="n">
        <v>255.14545</v>
      </c>
      <c r="L3450" s="6">
        <f>I3450*K3450</f>
        <v/>
      </c>
      <c r="M3450" s="6">
        <f>K3450*4</f>
        <v/>
      </c>
      <c r="N3450" s="6" t="n">
        <v>885</v>
      </c>
    </row>
    <row r="3451">
      <c r="A3451" s="1" t="inlineStr">
        <is>
          <t>668eecb8df0eb</t>
        </is>
      </c>
      <c r="B3451" s="1" t="inlineStr">
        <is>
          <t>PULSERA T GOLD</t>
        </is>
      </c>
      <c r="C3451" s="1" t="inlineStr">
        <is>
          <t>16 cm</t>
        </is>
      </c>
      <c r="D3451" s="1" t="inlineStr">
        <is>
          <t>31/05/2026</t>
        </is>
      </c>
      <c r="E3451" s="1" t="n">
        <v>2026</v>
      </c>
      <c r="F3451" s="1" t="inlineStr">
        <is>
          <t>MAYO</t>
        </is>
      </c>
      <c r="G3451" s="1" t="inlineStr">
        <is>
          <t>CYNTHIA</t>
        </is>
      </c>
      <c r="H3451" s="1" t="inlineStr">
        <is>
          <t>CYNTHIA 31/05/2026</t>
        </is>
      </c>
      <c r="I3451" s="4" t="n">
        <v>15</v>
      </c>
      <c r="J3451" s="6" t="n">
        <v>9.5</v>
      </c>
      <c r="K3451" s="6" t="n">
        <v>251.7599273</v>
      </c>
      <c r="L3451" s="6">
        <f>I3451*K3451</f>
        <v/>
      </c>
      <c r="M3451" s="6">
        <f>K3451*4</f>
        <v/>
      </c>
      <c r="N3451" s="6" t="n">
        <v>885</v>
      </c>
    </row>
    <row r="3452">
      <c r="A3452" s="1" t="inlineStr">
        <is>
          <t>668eecc4d784e</t>
        </is>
      </c>
      <c r="B3452" s="1" t="inlineStr">
        <is>
          <t>PULSERA T ROSE GOLD</t>
        </is>
      </c>
      <c r="C3452" s="1" t="inlineStr">
        <is>
          <t>16 cm</t>
        </is>
      </c>
      <c r="D3452" s="1" t="inlineStr">
        <is>
          <t>05/09/2025</t>
        </is>
      </c>
      <c r="E3452" s="1" t="n">
        <v>2025</v>
      </c>
      <c r="F3452" s="1" t="inlineStr">
        <is>
          <t>SEPTIEMBRE</t>
        </is>
      </c>
      <c r="G3452" s="1" t="inlineStr">
        <is>
          <t>CYNTHIA</t>
        </is>
      </c>
      <c r="H3452" s="1" t="inlineStr">
        <is>
          <t>CYNTHIA 05/09/2025</t>
        </is>
      </c>
      <c r="I3452" s="4" t="n">
        <v>5</v>
      </c>
      <c r="J3452" s="6" t="n">
        <v>9</v>
      </c>
      <c r="K3452" s="6" t="n">
        <v>226.6118724</v>
      </c>
      <c r="L3452" s="6">
        <f>I3452*K3452</f>
        <v/>
      </c>
      <c r="M3452" s="6">
        <f>K3452*4</f>
        <v/>
      </c>
      <c r="N3452" s="6" t="n">
        <v>799</v>
      </c>
    </row>
    <row r="3453">
      <c r="A3453" s="1" t="inlineStr">
        <is>
          <t>668eecc4d784e</t>
        </is>
      </c>
      <c r="B3453" s="1" t="inlineStr">
        <is>
          <t>PULSERA T ROSE GOLD</t>
        </is>
      </c>
      <c r="C3453" s="1" t="inlineStr">
        <is>
          <t>16 cm</t>
        </is>
      </c>
      <c r="D3453" s="1" t="inlineStr">
        <is>
          <t>19/03/2026</t>
        </is>
      </c>
      <c r="E3453" s="1" t="n">
        <v>2026</v>
      </c>
      <c r="F3453" s="1" t="inlineStr">
        <is>
          <t>MARZO</t>
        </is>
      </c>
      <c r="G3453" s="1" t="inlineStr">
        <is>
          <t>CYNTHIA</t>
        </is>
      </c>
      <c r="H3453" s="1" t="inlineStr">
        <is>
          <t>CYNTHIA 19/03/2026</t>
        </is>
      </c>
      <c r="I3453" s="4" t="n">
        <v>4</v>
      </c>
      <c r="J3453" s="6" t="n">
        <v>9.5</v>
      </c>
      <c r="K3453" s="6" t="n">
        <v>255.14545</v>
      </c>
      <c r="L3453" s="6">
        <f>I3453*K3453</f>
        <v/>
      </c>
      <c r="M3453" s="6">
        <f>K3453*4</f>
        <v/>
      </c>
      <c r="N3453" s="6" t="n">
        <v>885</v>
      </c>
    </row>
    <row r="3454">
      <c r="A3454" s="1" t="inlineStr">
        <is>
          <t>668eeccb35ffc</t>
        </is>
      </c>
      <c r="B3454" s="1" t="inlineStr">
        <is>
          <t>PULSERA T SILVER</t>
        </is>
      </c>
      <c r="C3454" s="1" t="inlineStr">
        <is>
          <t>16 cm</t>
        </is>
      </c>
      <c r="D3454" s="1" t="inlineStr">
        <is>
          <t>05/09/2025</t>
        </is>
      </c>
      <c r="E3454" s="1" t="n">
        <v>2025</v>
      </c>
      <c r="F3454" s="1" t="inlineStr">
        <is>
          <t>SEPTIEMBRE</t>
        </is>
      </c>
      <c r="G3454" s="1" t="inlineStr">
        <is>
          <t>CYNTHIA</t>
        </is>
      </c>
      <c r="H3454" s="1" t="inlineStr">
        <is>
          <t>CYNTHIA 05/09/2025</t>
        </is>
      </c>
      <c r="I3454" s="4" t="n">
        <v>8</v>
      </c>
      <c r="J3454" s="6" t="n">
        <v>9</v>
      </c>
      <c r="K3454" s="6" t="n">
        <v>226.6118724</v>
      </c>
      <c r="L3454" s="6">
        <f>I3454*K3454</f>
        <v/>
      </c>
      <c r="M3454" s="6">
        <f>K3454*4</f>
        <v/>
      </c>
      <c r="N3454" s="6" t="n">
        <v>799</v>
      </c>
    </row>
    <row r="3455">
      <c r="A3455" s="1" t="inlineStr">
        <is>
          <t>668eeccb35ffc</t>
        </is>
      </c>
      <c r="B3455" s="1" t="inlineStr">
        <is>
          <t>PULSERA T PLATA</t>
        </is>
      </c>
      <c r="C3455" s="1" t="inlineStr">
        <is>
          <t>16 cm</t>
        </is>
      </c>
      <c r="D3455" s="1" t="inlineStr">
        <is>
          <t>19/03/2026</t>
        </is>
      </c>
      <c r="E3455" s="1" t="n">
        <v>2026</v>
      </c>
      <c r="F3455" s="1" t="inlineStr">
        <is>
          <t>MARZO</t>
        </is>
      </c>
      <c r="G3455" s="1" t="inlineStr">
        <is>
          <t>CYNTHIA</t>
        </is>
      </c>
      <c r="H3455" s="1" t="inlineStr">
        <is>
          <t>CYNTHIA 19/03/2026</t>
        </is>
      </c>
      <c r="I3455" s="4" t="n">
        <v>4</v>
      </c>
      <c r="J3455" s="6" t="n">
        <v>9.5</v>
      </c>
      <c r="K3455" s="6" t="n">
        <v>255.14545</v>
      </c>
      <c r="L3455" s="6">
        <f>I3455*K3455</f>
        <v/>
      </c>
      <c r="M3455" s="6">
        <f>K3455*4</f>
        <v/>
      </c>
      <c r="N3455" s="6" t="n">
        <v>885</v>
      </c>
    </row>
    <row r="3456">
      <c r="A3456" s="1" t="inlineStr">
        <is>
          <t>668eeccb35ffc</t>
        </is>
      </c>
      <c r="B3456" s="1" t="inlineStr">
        <is>
          <t>PULSERA T PLATA</t>
        </is>
      </c>
      <c r="C3456" s="1" t="inlineStr">
        <is>
          <t>16 cm</t>
        </is>
      </c>
      <c r="D3456" s="1" t="inlineStr">
        <is>
          <t>31/05/2026</t>
        </is>
      </c>
      <c r="E3456" s="1" t="n">
        <v>2026</v>
      </c>
      <c r="F3456" s="1" t="inlineStr">
        <is>
          <t>MAYO</t>
        </is>
      </c>
      <c r="G3456" s="1" t="inlineStr">
        <is>
          <t>CYNTHIA</t>
        </is>
      </c>
      <c r="H3456" s="1" t="inlineStr">
        <is>
          <t>CYNTHIA 31/05/2026</t>
        </is>
      </c>
      <c r="I3456" s="4" t="n">
        <v>3</v>
      </c>
      <c r="J3456" s="6" t="n">
        <v>9.5</v>
      </c>
      <c r="K3456" s="6" t="n">
        <v>251.7599273</v>
      </c>
      <c r="L3456" s="6">
        <f>I3456*K3456</f>
        <v/>
      </c>
      <c r="M3456" s="6">
        <f>K3456*4</f>
        <v/>
      </c>
      <c r="N3456" s="6" t="n">
        <v>885</v>
      </c>
    </row>
    <row r="3457">
      <c r="A3457" s="1" t="inlineStr">
        <is>
          <t>668eeccf75387</t>
        </is>
      </c>
      <c r="B3457" s="1" t="inlineStr">
        <is>
          <t>PULSERA T DORADA ZIRCONIA</t>
        </is>
      </c>
      <c r="C3457" s="1" t="inlineStr">
        <is>
          <t>16 cm</t>
        </is>
      </c>
      <c r="D3457" s="1" t="inlineStr">
        <is>
          <t>05/02/2026</t>
        </is>
      </c>
      <c r="E3457" s="1" t="n">
        <v>2026</v>
      </c>
      <c r="F3457" s="1" t="inlineStr">
        <is>
          <t>FEBRERO</t>
        </is>
      </c>
      <c r="G3457" s="1" t="inlineStr">
        <is>
          <t>HAIFENG</t>
        </is>
      </c>
      <c r="H3457" s="1" t="inlineStr">
        <is>
          <t>HAIFENG 05/02/2026</t>
        </is>
      </c>
      <c r="I3457" s="4" t="n">
        <v>3</v>
      </c>
      <c r="J3457" s="6" t="n">
        <v>5</v>
      </c>
      <c r="K3457" s="6" t="n">
        <v>106.7714619</v>
      </c>
      <c r="L3457" s="6">
        <f>I3457*K3457</f>
        <v/>
      </c>
      <c r="M3457" s="6">
        <f>K3457*4</f>
        <v/>
      </c>
      <c r="N3457" s="6" t="n">
        <v>499</v>
      </c>
    </row>
    <row r="3458">
      <c r="A3458" s="1" t="inlineStr">
        <is>
          <t>668eeccf75387</t>
        </is>
      </c>
      <c r="B3458" s="1" t="inlineStr">
        <is>
          <t>PULSERA T DORADA ZIRCONIA</t>
        </is>
      </c>
      <c r="C3458" s="1" t="inlineStr">
        <is>
          <t>16 cm</t>
        </is>
      </c>
      <c r="D3458" s="1" t="inlineStr">
        <is>
          <t>11/03/2026</t>
        </is>
      </c>
      <c r="E3458" s="1" t="n">
        <v>2026</v>
      </c>
      <c r="F3458" s="1" t="inlineStr">
        <is>
          <t>MARZO</t>
        </is>
      </c>
      <c r="G3458" s="1" t="inlineStr">
        <is>
          <t>HAIFENG</t>
        </is>
      </c>
      <c r="H3458" s="1" t="inlineStr">
        <is>
          <t>HAIFENG 11/03/2026</t>
        </is>
      </c>
      <c r="I3458" s="4" t="n">
        <v>2</v>
      </c>
      <c r="J3458" s="6" t="n">
        <v>5</v>
      </c>
      <c r="K3458" s="6" t="n">
        <v>106.5194811</v>
      </c>
      <c r="L3458" s="6">
        <f>I3458*K3458</f>
        <v/>
      </c>
      <c r="M3458" s="6">
        <f>K3458*4</f>
        <v/>
      </c>
      <c r="N3458" s="6" t="n">
        <v>499</v>
      </c>
    </row>
    <row r="3459">
      <c r="A3459" s="1" t="inlineStr">
        <is>
          <t>668eeccf75387</t>
        </is>
      </c>
      <c r="B3459" s="1" t="inlineStr">
        <is>
          <t>PULSERA T DORADA ZIRCONIA</t>
        </is>
      </c>
      <c r="C3459" s="1" t="inlineStr">
        <is>
          <t>16 cm</t>
        </is>
      </c>
      <c r="D3459" s="1" t="inlineStr">
        <is>
          <t>06/05/2026</t>
        </is>
      </c>
      <c r="E3459" s="1" t="n">
        <v>2026</v>
      </c>
      <c r="F3459" s="1" t="inlineStr">
        <is>
          <t>MAYO</t>
        </is>
      </c>
      <c r="G3459" s="1" t="inlineStr">
        <is>
          <t>HAIFENG</t>
        </is>
      </c>
      <c r="H3459" s="1" t="inlineStr">
        <is>
          <t>HAIFENG 06/05/2026</t>
        </is>
      </c>
      <c r="I3459" s="4" t="n">
        <v>2</v>
      </c>
      <c r="J3459" s="6" t="n">
        <v>5</v>
      </c>
      <c r="K3459" s="6" t="n">
        <v>106.0932113</v>
      </c>
      <c r="L3459" s="6">
        <f>I3459*K3459</f>
        <v/>
      </c>
      <c r="M3459" s="6">
        <f>K3459*4</f>
        <v/>
      </c>
      <c r="N3459" s="6" t="n">
        <v>499</v>
      </c>
    </row>
    <row r="3460">
      <c r="A3460" s="1" t="inlineStr">
        <is>
          <t>668eeccf75387</t>
        </is>
      </c>
      <c r="B3460" s="1" t="inlineStr">
        <is>
          <t>PULSERA T DORADA ZIRCONIA</t>
        </is>
      </c>
      <c r="C3460" s="1" t="inlineStr">
        <is>
          <t>16 cm</t>
        </is>
      </c>
      <c r="D3460" s="1" t="inlineStr">
        <is>
          <t>16/06/2026</t>
        </is>
      </c>
      <c r="E3460" s="1" t="n">
        <v>2026</v>
      </c>
      <c r="F3460" s="1" t="inlineStr">
        <is>
          <t>JUNIO</t>
        </is>
      </c>
      <c r="G3460" s="1" t="inlineStr">
        <is>
          <t>HAIFENG</t>
        </is>
      </c>
      <c r="H3460" s="1" t="inlineStr">
        <is>
          <t>HAIFENG 16/06/2026</t>
        </is>
      </c>
      <c r="I3460" s="4" t="n">
        <v>3</v>
      </c>
      <c r="J3460" s="6" t="n">
        <v>5</v>
      </c>
      <c r="K3460" s="6" t="n">
        <v>105.0730323</v>
      </c>
      <c r="L3460" s="6">
        <f>I3460*K3460</f>
        <v/>
      </c>
      <c r="M3460" s="6">
        <f>K3460*4</f>
        <v/>
      </c>
      <c r="N3460" s="6" t="n">
        <v>499</v>
      </c>
    </row>
    <row r="3461">
      <c r="A3461" s="1" t="inlineStr">
        <is>
          <t>668eecd028acd</t>
        </is>
      </c>
      <c r="B3461" s="1" t="inlineStr">
        <is>
          <t>ANILLO T ROSE GOLD</t>
        </is>
      </c>
      <c r="C3461" s="1" t="inlineStr">
        <is>
          <t>6</t>
        </is>
      </c>
      <c r="D3461" s="1" t="inlineStr">
        <is>
          <t>11/11/2025</t>
        </is>
      </c>
      <c r="E3461" s="1" t="n">
        <v>2025</v>
      </c>
      <c r="F3461" s="1" t="inlineStr">
        <is>
          <t>NOVIEMBRE</t>
        </is>
      </c>
      <c r="G3461" s="1" t="inlineStr">
        <is>
          <t>HAIFENG</t>
        </is>
      </c>
      <c r="H3461" s="1" t="inlineStr">
        <is>
          <t>HAIFENG 11/11/2025</t>
        </is>
      </c>
      <c r="I3461" s="4" t="n">
        <v>3</v>
      </c>
      <c r="J3461" s="6" t="n">
        <v>5</v>
      </c>
      <c r="K3461" s="6" t="n">
        <v>105.3024922</v>
      </c>
      <c r="L3461" s="6">
        <f>I3461*K3461</f>
        <v/>
      </c>
      <c r="M3461" s="6">
        <f>K3461*4</f>
        <v/>
      </c>
      <c r="N3461" s="6" t="n">
        <v>450</v>
      </c>
    </row>
    <row r="3462">
      <c r="A3462" s="1" t="inlineStr">
        <is>
          <t>668eecd028acd</t>
        </is>
      </c>
      <c r="B3462" s="1" t="inlineStr">
        <is>
          <t>ANILLO T ROSE GOLD</t>
        </is>
      </c>
      <c r="C3462" s="1" t="inlineStr">
        <is>
          <t>6</t>
        </is>
      </c>
      <c r="D3462" s="1" t="inlineStr">
        <is>
          <t>03/12/2025</t>
        </is>
      </c>
      <c r="E3462" s="1" t="n">
        <v>2025</v>
      </c>
      <c r="F3462" s="1" t="inlineStr">
        <is>
          <t>DICIEMBRE</t>
        </is>
      </c>
      <c r="G3462" s="1" t="inlineStr">
        <is>
          <t>HAIFENG</t>
        </is>
      </c>
      <c r="H3462" s="1" t="inlineStr">
        <is>
          <t>HAIFENG 03/12/2025</t>
        </is>
      </c>
      <c r="I3462" s="4" t="n">
        <v>5</v>
      </c>
      <c r="J3462" s="6" t="n">
        <v>5</v>
      </c>
      <c r="K3462" s="6" t="n">
        <v>104.5858001</v>
      </c>
      <c r="L3462" s="6">
        <f>I3462*K3462</f>
        <v/>
      </c>
      <c r="M3462" s="6">
        <f>K3462*4</f>
        <v/>
      </c>
      <c r="N3462" s="6" t="n">
        <v>450</v>
      </c>
    </row>
    <row r="3463">
      <c r="A3463" s="1" t="inlineStr">
        <is>
          <t>668eecd028acd</t>
        </is>
      </c>
      <c r="B3463" s="1" t="inlineStr">
        <is>
          <t>ANILLO T ROSE GOLD</t>
        </is>
      </c>
      <c r="C3463" s="1" t="inlineStr">
        <is>
          <t>6</t>
        </is>
      </c>
      <c r="D3463" s="1" t="inlineStr">
        <is>
          <t>06/05/2026</t>
        </is>
      </c>
      <c r="E3463" s="1" t="n">
        <v>2026</v>
      </c>
      <c r="F3463" s="1" t="inlineStr">
        <is>
          <t>MAYO</t>
        </is>
      </c>
      <c r="G3463" s="1" t="inlineStr">
        <is>
          <t>HAIFENG</t>
        </is>
      </c>
      <c r="H3463" s="1" t="inlineStr">
        <is>
          <t>HAIFENG 06/05/2026</t>
        </is>
      </c>
      <c r="I3463" s="4" t="n">
        <v>4</v>
      </c>
      <c r="J3463" s="6" t="n">
        <v>5</v>
      </c>
      <c r="K3463" s="6" t="n">
        <v>106.0932113</v>
      </c>
      <c r="L3463" s="6">
        <f>I3463*K3463</f>
        <v/>
      </c>
      <c r="M3463" s="6">
        <f>K3463*4</f>
        <v/>
      </c>
      <c r="N3463" s="6" t="n">
        <v>450</v>
      </c>
    </row>
    <row r="3464">
      <c r="A3464" s="1" t="inlineStr">
        <is>
          <t>668eecd0c3f2e</t>
        </is>
      </c>
      <c r="B3464" s="1" t="inlineStr">
        <is>
          <t>ANILLO T ROSE GOLD</t>
        </is>
      </c>
      <c r="C3464" s="1" t="inlineStr">
        <is>
          <t>7</t>
        </is>
      </c>
      <c r="D3464" s="1" t="inlineStr">
        <is>
          <t>11/11/2025</t>
        </is>
      </c>
      <c r="E3464" s="1" t="n">
        <v>2025</v>
      </c>
      <c r="F3464" s="1" t="inlineStr">
        <is>
          <t>NOVIEMBRE</t>
        </is>
      </c>
      <c r="G3464" s="1" t="inlineStr">
        <is>
          <t>HAIFENG</t>
        </is>
      </c>
      <c r="H3464" s="1" t="inlineStr">
        <is>
          <t>HAIFENG 11/11/2025</t>
        </is>
      </c>
      <c r="I3464" s="4" t="n">
        <v>1</v>
      </c>
      <c r="J3464" s="6" t="n">
        <v>5</v>
      </c>
      <c r="K3464" s="6" t="n">
        <v>105.3024922</v>
      </c>
      <c r="L3464" s="6">
        <f>I3464*K3464</f>
        <v/>
      </c>
      <c r="M3464" s="6">
        <f>K3464*4</f>
        <v/>
      </c>
      <c r="N3464" s="6" t="n">
        <v>450</v>
      </c>
    </row>
    <row r="3465">
      <c r="A3465" s="1" t="inlineStr">
        <is>
          <t>668eecd0c3f2e</t>
        </is>
      </c>
      <c r="B3465" s="1" t="inlineStr">
        <is>
          <t>ANILLO T ROSE GOLD</t>
        </is>
      </c>
      <c r="C3465" s="1" t="inlineStr">
        <is>
          <t>7</t>
        </is>
      </c>
      <c r="D3465" s="1" t="inlineStr">
        <is>
          <t>03/12/2025</t>
        </is>
      </c>
      <c r="E3465" s="1" t="n">
        <v>2025</v>
      </c>
      <c r="F3465" s="1" t="inlineStr">
        <is>
          <t>DICIEMBRE</t>
        </is>
      </c>
      <c r="G3465" s="1" t="inlineStr">
        <is>
          <t>HAIFENG</t>
        </is>
      </c>
      <c r="H3465" s="1" t="inlineStr">
        <is>
          <t>HAIFENG 03/12/2025</t>
        </is>
      </c>
      <c r="I3465" s="4" t="n">
        <v>2</v>
      </c>
      <c r="J3465" s="6" t="n">
        <v>5</v>
      </c>
      <c r="K3465" s="6" t="n">
        <v>104.5858001</v>
      </c>
      <c r="L3465" s="6">
        <f>I3465*K3465</f>
        <v/>
      </c>
      <c r="M3465" s="6">
        <f>K3465*4</f>
        <v/>
      </c>
      <c r="N3465" s="6" t="n">
        <v>450</v>
      </c>
    </row>
    <row r="3466">
      <c r="A3466" s="1" t="inlineStr">
        <is>
          <t>668eecd0c3f2e</t>
        </is>
      </c>
      <c r="B3466" s="1" t="inlineStr">
        <is>
          <t>ANILLO T ROSE GOLD</t>
        </is>
      </c>
      <c r="C3466" s="1" t="inlineStr">
        <is>
          <t>7</t>
        </is>
      </c>
      <c r="D3466" s="1" t="inlineStr">
        <is>
          <t>20/01/2026</t>
        </is>
      </c>
      <c r="E3466" s="1" t="n">
        <v>2026</v>
      </c>
      <c r="F3466" s="1" t="inlineStr">
        <is>
          <t>ENERO</t>
        </is>
      </c>
      <c r="G3466" s="1" t="inlineStr">
        <is>
          <t>HAIFENG</t>
        </is>
      </c>
      <c r="H3466" s="1" t="inlineStr">
        <is>
          <t>HAIFENG 20/01/2026</t>
        </is>
      </c>
      <c r="I3466" s="4" t="n">
        <v>2</v>
      </c>
      <c r="J3466" s="6" t="n">
        <v>5</v>
      </c>
      <c r="K3466" s="6" t="n">
        <v>106.002089</v>
      </c>
      <c r="L3466" s="6">
        <f>I3466*K3466</f>
        <v/>
      </c>
      <c r="M3466" s="6">
        <f>K3466*4</f>
        <v/>
      </c>
      <c r="N3466" s="6" t="n">
        <v>450</v>
      </c>
    </row>
    <row r="3467">
      <c r="A3467" s="1" t="inlineStr">
        <is>
          <t>668eecd0c3f2e</t>
        </is>
      </c>
      <c r="B3467" s="1" t="n"/>
      <c r="C3467" s="1" t="inlineStr">
        <is>
          <t>7</t>
        </is>
      </c>
      <c r="D3467" s="1" t="inlineStr">
        <is>
          <t>10/02/2026</t>
        </is>
      </c>
      <c r="E3467" s="1" t="n">
        <v>2026</v>
      </c>
      <c r="F3467" s="1" t="inlineStr">
        <is>
          <t>FEBRERO</t>
        </is>
      </c>
      <c r="G3467" s="1" t="inlineStr">
        <is>
          <t>HAIFENG</t>
        </is>
      </c>
      <c r="H3467" s="1" t="inlineStr">
        <is>
          <t>HAIFENG 10/02/2026</t>
        </is>
      </c>
      <c r="I3467" s="4" t="n">
        <v>2</v>
      </c>
      <c r="J3467" s="6" t="n">
        <v>5</v>
      </c>
      <c r="K3467" s="6" t="n">
        <v>105.3424803</v>
      </c>
      <c r="L3467" s="6">
        <f>I3467*K3467</f>
        <v/>
      </c>
      <c r="M3467" s="6">
        <f>K3467*4</f>
        <v/>
      </c>
      <c r="N3467" s="6" t="n">
        <v>450</v>
      </c>
    </row>
    <row r="3468">
      <c r="A3468" s="1" t="inlineStr">
        <is>
          <t>668eecd0c3f2e</t>
        </is>
      </c>
      <c r="B3468" s="1" t="inlineStr">
        <is>
          <t>ANILLO T ROSE GOLD</t>
        </is>
      </c>
      <c r="C3468" s="1" t="inlineStr">
        <is>
          <t>7</t>
        </is>
      </c>
      <c r="D3468" s="1" t="inlineStr">
        <is>
          <t>11/03/2026</t>
        </is>
      </c>
      <c r="E3468" s="1" t="n">
        <v>2026</v>
      </c>
      <c r="F3468" s="1" t="inlineStr">
        <is>
          <t>MARZO</t>
        </is>
      </c>
      <c r="G3468" s="1" t="inlineStr">
        <is>
          <t>HAIFENG</t>
        </is>
      </c>
      <c r="H3468" s="1" t="inlineStr">
        <is>
          <t>HAIFENG 11/03/2026</t>
        </is>
      </c>
      <c r="I3468" s="4" t="n">
        <v>2</v>
      </c>
      <c r="J3468" s="6" t="n">
        <v>5</v>
      </c>
      <c r="K3468" s="6" t="n">
        <v>106.5194811</v>
      </c>
      <c r="L3468" s="6">
        <f>I3468*K3468</f>
        <v/>
      </c>
      <c r="M3468" s="6">
        <f>K3468*4</f>
        <v/>
      </c>
      <c r="N3468" s="6" t="n">
        <v>450</v>
      </c>
    </row>
    <row r="3469">
      <c r="A3469" s="1" t="inlineStr">
        <is>
          <t>668eecd16590f</t>
        </is>
      </c>
      <c r="B3469" s="1" t="inlineStr">
        <is>
          <t>ANILLO T ROSE GOLD</t>
        </is>
      </c>
      <c r="C3469" s="1" t="inlineStr">
        <is>
          <t>8</t>
        </is>
      </c>
      <c r="D3469" s="1" t="inlineStr">
        <is>
          <t>01/09/2025</t>
        </is>
      </c>
      <c r="E3469" s="1" t="n">
        <v>2025</v>
      </c>
      <c r="F3469" s="1" t="inlineStr">
        <is>
          <t>SEPTIEMBRE</t>
        </is>
      </c>
      <c r="G3469" s="1" t="inlineStr">
        <is>
          <t>HAIFENG</t>
        </is>
      </c>
      <c r="H3469" s="1" t="inlineStr">
        <is>
          <t>HAIFENG 01/09/2025</t>
        </is>
      </c>
      <c r="I3469" s="4" t="n">
        <v>4</v>
      </c>
      <c r="J3469" s="6" t="n">
        <v>5</v>
      </c>
      <c r="K3469" s="6" t="n">
        <v>106.2783553</v>
      </c>
      <c r="L3469" s="6">
        <f>I3469*K3469</f>
        <v/>
      </c>
      <c r="M3469" s="6">
        <f>K3469*4</f>
        <v/>
      </c>
      <c r="N3469" s="6" t="n">
        <v>450</v>
      </c>
    </row>
    <row r="3470">
      <c r="A3470" s="1" t="inlineStr">
        <is>
          <t>668eecd16590f</t>
        </is>
      </c>
      <c r="B3470" s="1" t="inlineStr">
        <is>
          <t>ANILLO T ROSE GOLD</t>
        </is>
      </c>
      <c r="C3470" s="1" t="inlineStr">
        <is>
          <t>8</t>
        </is>
      </c>
      <c r="D3470" s="1" t="inlineStr">
        <is>
          <t>11/11/2025</t>
        </is>
      </c>
      <c r="E3470" s="1" t="n">
        <v>2025</v>
      </c>
      <c r="F3470" s="1" t="inlineStr">
        <is>
          <t>NOVIEMBRE</t>
        </is>
      </c>
      <c r="G3470" s="1" t="inlineStr">
        <is>
          <t>HAIFENG</t>
        </is>
      </c>
      <c r="H3470" s="1" t="inlineStr">
        <is>
          <t>HAIFENG 11/11/2025</t>
        </is>
      </c>
      <c r="I3470" s="4" t="n">
        <v>2</v>
      </c>
      <c r="J3470" s="6" t="n">
        <v>5</v>
      </c>
      <c r="K3470" s="6" t="n">
        <v>105.3024922</v>
      </c>
      <c r="L3470" s="6">
        <f>I3470*K3470</f>
        <v/>
      </c>
      <c r="M3470" s="6">
        <f>K3470*4</f>
        <v/>
      </c>
      <c r="N3470" s="6" t="n">
        <v>450</v>
      </c>
    </row>
    <row r="3471">
      <c r="A3471" s="1" t="inlineStr">
        <is>
          <t>668eecd16590f</t>
        </is>
      </c>
      <c r="B3471" s="1" t="inlineStr">
        <is>
          <t>ANILLO T ROSE GOLD</t>
        </is>
      </c>
      <c r="C3471" s="1" t="inlineStr">
        <is>
          <t>8</t>
        </is>
      </c>
      <c r="D3471" s="1" t="inlineStr">
        <is>
          <t>16/06/2026</t>
        </is>
      </c>
      <c r="E3471" s="1" t="n">
        <v>2026</v>
      </c>
      <c r="F3471" s="1" t="inlineStr">
        <is>
          <t>JUNIO</t>
        </is>
      </c>
      <c r="G3471" s="1" t="inlineStr">
        <is>
          <t>HAIFENG</t>
        </is>
      </c>
      <c r="H3471" s="1" t="inlineStr">
        <is>
          <t>HAIFENG 16/06/2026</t>
        </is>
      </c>
      <c r="I3471" s="4" t="n">
        <v>2</v>
      </c>
      <c r="J3471" s="6" t="n">
        <v>5</v>
      </c>
      <c r="K3471" s="6" t="n">
        <v>105.0730323</v>
      </c>
      <c r="L3471" s="6">
        <f>I3471*K3471</f>
        <v/>
      </c>
      <c r="M3471" s="6">
        <f>K3471*4</f>
        <v/>
      </c>
      <c r="N3471" s="6" t="n">
        <v>450</v>
      </c>
    </row>
    <row r="3472">
      <c r="A3472" s="1" t="inlineStr">
        <is>
          <t>668eecd447a15</t>
        </is>
      </c>
      <c r="B3472" s="1" t="inlineStr">
        <is>
          <t>ANILLO T GOLD</t>
        </is>
      </c>
      <c r="C3472" s="1" t="inlineStr">
        <is>
          <t>6</t>
        </is>
      </c>
      <c r="D3472" s="1" t="inlineStr">
        <is>
          <t>01/09/2025</t>
        </is>
      </c>
      <c r="E3472" s="1" t="n">
        <v>2025</v>
      </c>
      <c r="F3472" s="1" t="inlineStr">
        <is>
          <t>SEPTIEMBRE</t>
        </is>
      </c>
      <c r="G3472" s="1" t="inlineStr">
        <is>
          <t>HAIFENG</t>
        </is>
      </c>
      <c r="H3472" s="1" t="inlineStr">
        <is>
          <t>HAIFENG 01/09/2025</t>
        </is>
      </c>
      <c r="I3472" s="4" t="n">
        <v>2</v>
      </c>
      <c r="J3472" s="6" t="n">
        <v>5</v>
      </c>
      <c r="K3472" s="6" t="n">
        <v>106.2783553</v>
      </c>
      <c r="L3472" s="6">
        <f>I3472*K3472</f>
        <v/>
      </c>
      <c r="M3472" s="6">
        <f>K3472*4</f>
        <v/>
      </c>
      <c r="N3472" s="6" t="n">
        <v>450</v>
      </c>
    </row>
    <row r="3473">
      <c r="A3473" s="1" t="inlineStr">
        <is>
          <t>668eecd447a15</t>
        </is>
      </c>
      <c r="B3473" s="1" t="inlineStr">
        <is>
          <t>ANILLO T GOLD</t>
        </is>
      </c>
      <c r="C3473" s="1" t="inlineStr">
        <is>
          <t>6</t>
        </is>
      </c>
      <c r="D3473" s="1" t="inlineStr">
        <is>
          <t>11/11/2025</t>
        </is>
      </c>
      <c r="E3473" s="1" t="n">
        <v>2025</v>
      </c>
      <c r="F3473" s="1" t="inlineStr">
        <is>
          <t>NOVIEMBRE</t>
        </is>
      </c>
      <c r="G3473" s="1" t="inlineStr">
        <is>
          <t>HAIFENG</t>
        </is>
      </c>
      <c r="H3473" s="1" t="inlineStr">
        <is>
          <t>HAIFENG 11/11/2025</t>
        </is>
      </c>
      <c r="I3473" s="4" t="n">
        <v>12</v>
      </c>
      <c r="J3473" s="6" t="n">
        <v>5</v>
      </c>
      <c r="K3473" s="6" t="n">
        <v>105.3024922</v>
      </c>
      <c r="L3473" s="6">
        <f>I3473*K3473</f>
        <v/>
      </c>
      <c r="M3473" s="6">
        <f>K3473*4</f>
        <v/>
      </c>
      <c r="N3473" s="6" t="n">
        <v>450</v>
      </c>
    </row>
    <row r="3474">
      <c r="A3474" s="1" t="inlineStr">
        <is>
          <t>668eecd447a15</t>
        </is>
      </c>
      <c r="B3474" s="1" t="inlineStr">
        <is>
          <t>ANILLO T GOLD</t>
        </is>
      </c>
      <c r="C3474" s="1" t="inlineStr">
        <is>
          <t>6</t>
        </is>
      </c>
      <c r="D3474" s="1" t="inlineStr">
        <is>
          <t>03/12/2025</t>
        </is>
      </c>
      <c r="E3474" s="1" t="n">
        <v>2025</v>
      </c>
      <c r="F3474" s="1" t="inlineStr">
        <is>
          <t>DICIEMBRE</t>
        </is>
      </c>
      <c r="G3474" s="1" t="inlineStr">
        <is>
          <t>HAIFENG</t>
        </is>
      </c>
      <c r="H3474" s="1" t="inlineStr">
        <is>
          <t>HAIFENG 03/12/2025</t>
        </is>
      </c>
      <c r="I3474" s="4" t="n">
        <v>3</v>
      </c>
      <c r="J3474" s="6" t="n">
        <v>5</v>
      </c>
      <c r="K3474" s="6" t="n">
        <v>104.5858001</v>
      </c>
      <c r="L3474" s="6">
        <f>I3474*K3474</f>
        <v/>
      </c>
      <c r="M3474" s="6">
        <f>K3474*4</f>
        <v/>
      </c>
      <c r="N3474" s="6" t="n">
        <v>450</v>
      </c>
    </row>
    <row r="3475">
      <c r="A3475" s="1" t="inlineStr">
        <is>
          <t>668eecd447a15</t>
        </is>
      </c>
      <c r="B3475" s="1" t="inlineStr">
        <is>
          <t>ANILLO T GOLD</t>
        </is>
      </c>
      <c r="C3475" s="1" t="inlineStr">
        <is>
          <t>6</t>
        </is>
      </c>
      <c r="D3475" s="1" t="inlineStr">
        <is>
          <t>06/05/2026</t>
        </is>
      </c>
      <c r="E3475" s="1" t="n">
        <v>2026</v>
      </c>
      <c r="F3475" s="1" t="inlineStr">
        <is>
          <t>MAYO</t>
        </is>
      </c>
      <c r="G3475" s="1" t="inlineStr">
        <is>
          <t>HAIFENG</t>
        </is>
      </c>
      <c r="H3475" s="1" t="inlineStr">
        <is>
          <t>HAIFENG 06/05/2026</t>
        </is>
      </c>
      <c r="I3475" s="4" t="n">
        <v>4</v>
      </c>
      <c r="J3475" s="6" t="n">
        <v>5</v>
      </c>
      <c r="K3475" s="6" t="n">
        <v>106.0932113</v>
      </c>
      <c r="L3475" s="6">
        <f>I3475*K3475</f>
        <v/>
      </c>
      <c r="M3475" s="6">
        <f>K3475*4</f>
        <v/>
      </c>
      <c r="N3475" s="6" t="n">
        <v>450</v>
      </c>
    </row>
    <row r="3476">
      <c r="A3476" s="1" t="inlineStr">
        <is>
          <t>668eecd447a15</t>
        </is>
      </c>
      <c r="B3476" s="1" t="inlineStr">
        <is>
          <t>ANILLO T GOLD</t>
        </is>
      </c>
      <c r="C3476" s="1" t="inlineStr">
        <is>
          <t>6</t>
        </is>
      </c>
      <c r="D3476" s="1" t="inlineStr">
        <is>
          <t>26/05/2026</t>
        </is>
      </c>
      <c r="E3476" s="1" t="n">
        <v>2026</v>
      </c>
      <c r="F3476" s="1" t="inlineStr">
        <is>
          <t>MAYO</t>
        </is>
      </c>
      <c r="G3476" s="1" t="inlineStr">
        <is>
          <t>HAIFENG</t>
        </is>
      </c>
      <c r="H3476" s="1" t="inlineStr">
        <is>
          <t>HAIFENG 26/05/2026</t>
        </is>
      </c>
      <c r="I3476" s="4" t="n">
        <v>8</v>
      </c>
      <c r="J3476" s="6" t="n">
        <v>5</v>
      </c>
      <c r="K3476" s="6" t="n">
        <v>104.9464765</v>
      </c>
      <c r="L3476" s="6">
        <f>I3476*K3476</f>
        <v/>
      </c>
      <c r="M3476" s="6">
        <f>K3476*4</f>
        <v/>
      </c>
      <c r="N3476" s="6" t="n">
        <v>450</v>
      </c>
    </row>
    <row r="3477">
      <c r="A3477" s="1" t="inlineStr">
        <is>
          <t>668eecd4df850</t>
        </is>
      </c>
      <c r="B3477" s="1" t="inlineStr">
        <is>
          <t>ANILLO T GOLD</t>
        </is>
      </c>
      <c r="C3477" s="1" t="inlineStr">
        <is>
          <t>7</t>
        </is>
      </c>
      <c r="D3477" s="1" t="inlineStr">
        <is>
          <t>01/09/2025</t>
        </is>
      </c>
      <c r="E3477" s="1" t="n">
        <v>2025</v>
      </c>
      <c r="F3477" s="1" t="inlineStr">
        <is>
          <t>SEPTIEMBRE</t>
        </is>
      </c>
      <c r="G3477" s="1" t="inlineStr">
        <is>
          <t>HAIFENG</t>
        </is>
      </c>
      <c r="H3477" s="1" t="inlineStr">
        <is>
          <t>HAIFENG 01/09/2025</t>
        </is>
      </c>
      <c r="I3477" s="4" t="n">
        <v>5</v>
      </c>
      <c r="J3477" s="6" t="n">
        <v>5</v>
      </c>
      <c r="K3477" s="6" t="n">
        <v>106.2783553</v>
      </c>
      <c r="L3477" s="6">
        <f>I3477*K3477</f>
        <v/>
      </c>
      <c r="M3477" s="6">
        <f>K3477*4</f>
        <v/>
      </c>
      <c r="N3477" s="6" t="n">
        <v>450</v>
      </c>
    </row>
    <row r="3478">
      <c r="A3478" s="1" t="inlineStr">
        <is>
          <t>668eecd4df850</t>
        </is>
      </c>
      <c r="B3478" s="1" t="inlineStr">
        <is>
          <t>ANILLO T GOLD</t>
        </is>
      </c>
      <c r="C3478" s="1" t="inlineStr">
        <is>
          <t>7</t>
        </is>
      </c>
      <c r="D3478" s="1" t="inlineStr">
        <is>
          <t>11/11/2025</t>
        </is>
      </c>
      <c r="E3478" s="1" t="n">
        <v>2025</v>
      </c>
      <c r="F3478" s="1" t="inlineStr">
        <is>
          <t>NOVIEMBRE</t>
        </is>
      </c>
      <c r="G3478" s="1" t="inlineStr">
        <is>
          <t>HAIFENG</t>
        </is>
      </c>
      <c r="H3478" s="1" t="inlineStr">
        <is>
          <t>HAIFENG 11/11/2025</t>
        </is>
      </c>
      <c r="I3478" s="4" t="n">
        <v>8</v>
      </c>
      <c r="J3478" s="6" t="n">
        <v>5</v>
      </c>
      <c r="K3478" s="6" t="n">
        <v>105.3024922</v>
      </c>
      <c r="L3478" s="6">
        <f>I3478*K3478</f>
        <v/>
      </c>
      <c r="M3478" s="6">
        <f>K3478*4</f>
        <v/>
      </c>
      <c r="N3478" s="6" t="n">
        <v>450</v>
      </c>
    </row>
    <row r="3479">
      <c r="A3479" s="1" t="inlineStr">
        <is>
          <t>668eecd4df850</t>
        </is>
      </c>
      <c r="B3479" s="1" t="inlineStr">
        <is>
          <t>ANILLO T GOLD</t>
        </is>
      </c>
      <c r="C3479" s="1" t="inlineStr">
        <is>
          <t>7</t>
        </is>
      </c>
      <c r="D3479" s="1" t="inlineStr">
        <is>
          <t>03/12/2025</t>
        </is>
      </c>
      <c r="E3479" s="1" t="n">
        <v>2025</v>
      </c>
      <c r="F3479" s="1" t="inlineStr">
        <is>
          <t>DICIEMBRE</t>
        </is>
      </c>
      <c r="G3479" s="1" t="inlineStr">
        <is>
          <t>HAIFENG</t>
        </is>
      </c>
      <c r="H3479" s="1" t="inlineStr">
        <is>
          <t>HAIFENG 03/12/2025</t>
        </is>
      </c>
      <c r="I3479" s="4" t="n">
        <v>4</v>
      </c>
      <c r="J3479" s="6" t="n">
        <v>5</v>
      </c>
      <c r="K3479" s="6" t="n">
        <v>104.5858001</v>
      </c>
      <c r="L3479" s="6">
        <f>I3479*K3479</f>
        <v/>
      </c>
      <c r="M3479" s="6">
        <f>K3479*4</f>
        <v/>
      </c>
      <c r="N3479" s="6" t="n">
        <v>450</v>
      </c>
    </row>
    <row r="3480">
      <c r="A3480" s="1" t="inlineStr">
        <is>
          <t>668eecd4df850</t>
        </is>
      </c>
      <c r="B3480" s="1" t="inlineStr">
        <is>
          <t>ANILLO T GOLD</t>
        </is>
      </c>
      <c r="C3480" s="1" t="inlineStr">
        <is>
          <t>7</t>
        </is>
      </c>
      <c r="D3480" s="1" t="inlineStr">
        <is>
          <t>11/03/2026</t>
        </is>
      </c>
      <c r="E3480" s="1" t="n">
        <v>2026</v>
      </c>
      <c r="F3480" s="1" t="inlineStr">
        <is>
          <t>MARZO</t>
        </is>
      </c>
      <c r="G3480" s="1" t="inlineStr">
        <is>
          <t>HAIFENG</t>
        </is>
      </c>
      <c r="H3480" s="1" t="inlineStr">
        <is>
          <t>HAIFENG 11/03/2026</t>
        </is>
      </c>
      <c r="I3480" s="4" t="n">
        <v>5</v>
      </c>
      <c r="J3480" s="6" t="n">
        <v>5</v>
      </c>
      <c r="K3480" s="6" t="n">
        <v>106.5194811</v>
      </c>
      <c r="L3480" s="6">
        <f>I3480*K3480</f>
        <v/>
      </c>
      <c r="M3480" s="6">
        <f>K3480*4</f>
        <v/>
      </c>
      <c r="N3480" s="6" t="n">
        <v>450</v>
      </c>
    </row>
    <row r="3481">
      <c r="A3481" s="1" t="inlineStr">
        <is>
          <t>668eecd4df850</t>
        </is>
      </c>
      <c r="B3481" s="1" t="inlineStr">
        <is>
          <t>ANILLO T GOLD</t>
        </is>
      </c>
      <c r="C3481" s="1" t="inlineStr">
        <is>
          <t>7</t>
        </is>
      </c>
      <c r="D3481" s="1" t="inlineStr">
        <is>
          <t>26/05/2026</t>
        </is>
      </c>
      <c r="E3481" s="1" t="n">
        <v>2026</v>
      </c>
      <c r="F3481" s="1" t="inlineStr">
        <is>
          <t>MAYO</t>
        </is>
      </c>
      <c r="G3481" s="1" t="inlineStr">
        <is>
          <t>HAIFENG</t>
        </is>
      </c>
      <c r="H3481" s="1" t="inlineStr">
        <is>
          <t>HAIFENG 26/05/2026</t>
        </is>
      </c>
      <c r="I3481" s="4" t="n">
        <v>10</v>
      </c>
      <c r="J3481" s="6" t="n">
        <v>5</v>
      </c>
      <c r="K3481" s="6" t="n">
        <v>104.9464765</v>
      </c>
      <c r="L3481" s="6">
        <f>I3481*K3481</f>
        <v/>
      </c>
      <c r="M3481" s="6">
        <f>K3481*4</f>
        <v/>
      </c>
      <c r="N3481" s="6" t="n">
        <v>450</v>
      </c>
    </row>
    <row r="3482">
      <c r="A3482" s="1" t="inlineStr">
        <is>
          <t>668eecd4df850</t>
        </is>
      </c>
      <c r="B3482" s="1" t="inlineStr">
        <is>
          <t>ANILLO T GOLD</t>
        </is>
      </c>
      <c r="C3482" s="1" t="inlineStr">
        <is>
          <t>7</t>
        </is>
      </c>
      <c r="D3482" s="1" t="inlineStr">
        <is>
          <t>16/06/2026</t>
        </is>
      </c>
      <c r="E3482" s="1" t="n">
        <v>2026</v>
      </c>
      <c r="F3482" s="1" t="inlineStr">
        <is>
          <t>JUNIO</t>
        </is>
      </c>
      <c r="G3482" s="1" t="inlineStr">
        <is>
          <t>HAIFENG</t>
        </is>
      </c>
      <c r="H3482" s="1" t="inlineStr">
        <is>
          <t>HAIFENG 16/06/2026</t>
        </is>
      </c>
      <c r="I3482" s="4" t="n">
        <v>3</v>
      </c>
      <c r="J3482" s="6" t="n">
        <v>5</v>
      </c>
      <c r="K3482" s="6" t="n">
        <v>105.0730323</v>
      </c>
      <c r="L3482" s="6">
        <f>I3482*K3482</f>
        <v/>
      </c>
      <c r="M3482" s="6">
        <f>K3482*4</f>
        <v/>
      </c>
      <c r="N3482" s="6" t="n">
        <v>450</v>
      </c>
    </row>
    <row r="3483">
      <c r="A3483" s="1" t="inlineStr">
        <is>
          <t>668eecd5a989f</t>
        </is>
      </c>
      <c r="B3483" s="1" t="inlineStr">
        <is>
          <t>ANILLO T GOLD</t>
        </is>
      </c>
      <c r="C3483" s="1" t="inlineStr">
        <is>
          <t>8</t>
        </is>
      </c>
      <c r="D3483" s="1" t="inlineStr">
        <is>
          <t>01/09/2025</t>
        </is>
      </c>
      <c r="E3483" s="1" t="n">
        <v>2025</v>
      </c>
      <c r="F3483" s="1" t="inlineStr">
        <is>
          <t>SEPTIEMBRE</t>
        </is>
      </c>
      <c r="G3483" s="1" t="inlineStr">
        <is>
          <t>HAIFENG</t>
        </is>
      </c>
      <c r="H3483" s="1" t="inlineStr">
        <is>
          <t>HAIFENG 01/09/2025</t>
        </is>
      </c>
      <c r="I3483" s="4" t="n">
        <v>8</v>
      </c>
      <c r="J3483" s="6" t="n">
        <v>5</v>
      </c>
      <c r="K3483" s="6" t="n">
        <v>106.2783553</v>
      </c>
      <c r="L3483" s="6">
        <f>I3483*K3483</f>
        <v/>
      </c>
      <c r="M3483" s="6">
        <f>K3483*4</f>
        <v/>
      </c>
      <c r="N3483" s="6" t="n">
        <v>450</v>
      </c>
    </row>
    <row r="3484">
      <c r="A3484" s="1" t="inlineStr">
        <is>
          <t>668eecd5a989f</t>
        </is>
      </c>
      <c r="B3484" s="1" t="inlineStr">
        <is>
          <t>ANILLO T GOLD</t>
        </is>
      </c>
      <c r="C3484" s="1" t="inlineStr">
        <is>
          <t>8</t>
        </is>
      </c>
      <c r="D3484" s="1" t="inlineStr">
        <is>
          <t>03/12/2025</t>
        </is>
      </c>
      <c r="E3484" s="1" t="n">
        <v>2025</v>
      </c>
      <c r="F3484" s="1" t="inlineStr">
        <is>
          <t>DICIEMBRE</t>
        </is>
      </c>
      <c r="G3484" s="1" t="inlineStr">
        <is>
          <t>HAIFENG</t>
        </is>
      </c>
      <c r="H3484" s="1" t="inlineStr">
        <is>
          <t>HAIFENG 03/12/2025</t>
        </is>
      </c>
      <c r="I3484" s="4" t="n">
        <v>5</v>
      </c>
      <c r="J3484" s="6" t="n">
        <v>5</v>
      </c>
      <c r="K3484" s="6" t="n">
        <v>104.5858001</v>
      </c>
      <c r="L3484" s="6">
        <f>I3484*K3484</f>
        <v/>
      </c>
      <c r="M3484" s="6">
        <f>K3484*4</f>
        <v/>
      </c>
      <c r="N3484" s="6" t="n">
        <v>450</v>
      </c>
    </row>
    <row r="3485">
      <c r="A3485" s="1" t="inlineStr">
        <is>
          <t>668eecd5a989f</t>
        </is>
      </c>
      <c r="B3485" s="1" t="inlineStr">
        <is>
          <t>ANILLO T GOLD</t>
        </is>
      </c>
      <c r="C3485" s="1" t="inlineStr">
        <is>
          <t>8</t>
        </is>
      </c>
      <c r="D3485" s="1" t="inlineStr">
        <is>
          <t>06/05/2026</t>
        </is>
      </c>
      <c r="E3485" s="1" t="n">
        <v>2026</v>
      </c>
      <c r="F3485" s="1" t="inlineStr">
        <is>
          <t>MAYO</t>
        </is>
      </c>
      <c r="G3485" s="1" t="inlineStr">
        <is>
          <t>HAIFENG</t>
        </is>
      </c>
      <c r="H3485" s="1" t="inlineStr">
        <is>
          <t>HAIFENG 06/05/2026</t>
        </is>
      </c>
      <c r="I3485" s="4" t="n">
        <v>4</v>
      </c>
      <c r="J3485" s="6" t="n">
        <v>5</v>
      </c>
      <c r="K3485" s="6" t="n">
        <v>106.0932113</v>
      </c>
      <c r="L3485" s="6">
        <f>I3485*K3485</f>
        <v/>
      </c>
      <c r="M3485" s="6">
        <f>K3485*4</f>
        <v/>
      </c>
      <c r="N3485" s="6" t="n">
        <v>450</v>
      </c>
    </row>
    <row r="3486">
      <c r="A3486" s="1" t="inlineStr">
        <is>
          <t>668eecd5a989f</t>
        </is>
      </c>
      <c r="B3486" s="1" t="inlineStr">
        <is>
          <t>ANILLO T GOLD</t>
        </is>
      </c>
      <c r="C3486" s="1" t="inlineStr">
        <is>
          <t>8</t>
        </is>
      </c>
      <c r="D3486" s="1" t="inlineStr">
        <is>
          <t>16/06/2026</t>
        </is>
      </c>
      <c r="E3486" s="1" t="n">
        <v>2026</v>
      </c>
      <c r="F3486" s="1" t="inlineStr">
        <is>
          <t>JUNIO</t>
        </is>
      </c>
      <c r="G3486" s="1" t="inlineStr">
        <is>
          <t>HAIFENG</t>
        </is>
      </c>
      <c r="H3486" s="1" t="inlineStr">
        <is>
          <t>HAIFENG 16/06/2026</t>
        </is>
      </c>
      <c r="I3486" s="4" t="n">
        <v>7</v>
      </c>
      <c r="J3486" s="6" t="n">
        <v>5</v>
      </c>
      <c r="K3486" s="6" t="n">
        <v>105.0730323</v>
      </c>
      <c r="L3486" s="6">
        <f>I3486*K3486</f>
        <v/>
      </c>
      <c r="M3486" s="6">
        <f>K3486*4</f>
        <v/>
      </c>
      <c r="N3486" s="6" t="n">
        <v>450</v>
      </c>
    </row>
    <row r="3487">
      <c r="A3487" s="1" t="inlineStr">
        <is>
          <t>668eee338c77b</t>
        </is>
      </c>
      <c r="B3487" s="1" t="inlineStr">
        <is>
          <t>ANILLO T SILVER</t>
        </is>
      </c>
      <c r="C3487" s="1" t="inlineStr">
        <is>
          <t>6</t>
        </is>
      </c>
      <c r="D3487" s="1" t="inlineStr">
        <is>
          <t>01/09/2025</t>
        </is>
      </c>
      <c r="E3487" s="1" t="n">
        <v>2025</v>
      </c>
      <c r="F3487" s="1" t="inlineStr">
        <is>
          <t>SEPTIEMBRE</t>
        </is>
      </c>
      <c r="G3487" s="1" t="inlineStr">
        <is>
          <t>HAIFENG</t>
        </is>
      </c>
      <c r="H3487" s="1" t="inlineStr">
        <is>
          <t>HAIFENG 01/09/2025</t>
        </is>
      </c>
      <c r="I3487" s="4" t="n">
        <v>5</v>
      </c>
      <c r="J3487" s="6" t="n">
        <v>5</v>
      </c>
      <c r="K3487" s="6" t="n">
        <v>106.2783553</v>
      </c>
      <c r="L3487" s="6">
        <f>I3487*K3487</f>
        <v/>
      </c>
      <c r="M3487" s="6">
        <f>K3487*4</f>
        <v/>
      </c>
      <c r="N3487" s="6" t="n">
        <v>450</v>
      </c>
    </row>
    <row r="3488">
      <c r="A3488" s="1" t="inlineStr">
        <is>
          <t>668eee338c77b</t>
        </is>
      </c>
      <c r="B3488" s="1" t="inlineStr">
        <is>
          <t>ANILLO T SILVER</t>
        </is>
      </c>
      <c r="C3488" s="1" t="inlineStr">
        <is>
          <t>6</t>
        </is>
      </c>
      <c r="D3488" s="1" t="inlineStr">
        <is>
          <t>03/12/2025</t>
        </is>
      </c>
      <c r="E3488" s="1" t="n">
        <v>2025</v>
      </c>
      <c r="F3488" s="1" t="inlineStr">
        <is>
          <t>DICIEMBRE</t>
        </is>
      </c>
      <c r="G3488" s="1" t="inlineStr">
        <is>
          <t>HAIFENG</t>
        </is>
      </c>
      <c r="H3488" s="1" t="inlineStr">
        <is>
          <t>HAIFENG 03/12/2025</t>
        </is>
      </c>
      <c r="I3488" s="4" t="n">
        <v>6</v>
      </c>
      <c r="J3488" s="6" t="n">
        <v>5</v>
      </c>
      <c r="K3488" s="6" t="n">
        <v>104.5858001</v>
      </c>
      <c r="L3488" s="6">
        <f>I3488*K3488</f>
        <v/>
      </c>
      <c r="M3488" s="6">
        <f>K3488*4</f>
        <v/>
      </c>
      <c r="N3488" s="6" t="n">
        <v>450</v>
      </c>
    </row>
    <row r="3489">
      <c r="A3489" s="1" t="inlineStr">
        <is>
          <t>668eee338c77b</t>
        </is>
      </c>
      <c r="B3489" s="1" t="inlineStr">
        <is>
          <t>ANILLO T SILVER</t>
        </is>
      </c>
      <c r="C3489" s="1" t="inlineStr">
        <is>
          <t>6</t>
        </is>
      </c>
      <c r="D3489" s="1" t="inlineStr">
        <is>
          <t>20/01/2026</t>
        </is>
      </c>
      <c r="E3489" s="1" t="n">
        <v>2026</v>
      </c>
      <c r="F3489" s="1" t="inlineStr">
        <is>
          <t>ENERO</t>
        </is>
      </c>
      <c r="G3489" s="1" t="inlineStr">
        <is>
          <t>HAIFENG</t>
        </is>
      </c>
      <c r="H3489" s="1" t="inlineStr">
        <is>
          <t>HAIFENG 20/01/2026</t>
        </is>
      </c>
      <c r="I3489" s="4" t="n">
        <v>2</v>
      </c>
      <c r="J3489" s="6" t="n">
        <v>5</v>
      </c>
      <c r="K3489" s="6" t="n">
        <v>106.002089</v>
      </c>
      <c r="L3489" s="6">
        <f>I3489*K3489</f>
        <v/>
      </c>
      <c r="M3489" s="6">
        <f>K3489*4</f>
        <v/>
      </c>
      <c r="N3489" s="6" t="n">
        <v>450</v>
      </c>
    </row>
    <row r="3490">
      <c r="A3490" s="1" t="inlineStr">
        <is>
          <t>668eee338c77b</t>
        </is>
      </c>
      <c r="B3490" s="1" t="inlineStr">
        <is>
          <t>ANILLO T SILVER</t>
        </is>
      </c>
      <c r="C3490" s="1" t="inlineStr">
        <is>
          <t>6</t>
        </is>
      </c>
      <c r="D3490" s="1" t="inlineStr">
        <is>
          <t>16/04/2026</t>
        </is>
      </c>
      <c r="E3490" s="1" t="n">
        <v>2026</v>
      </c>
      <c r="F3490" s="1" t="inlineStr">
        <is>
          <t>ABRIL</t>
        </is>
      </c>
      <c r="G3490" s="1" t="inlineStr">
        <is>
          <t>HAIFENG</t>
        </is>
      </c>
      <c r="H3490" s="1" t="inlineStr">
        <is>
          <t>HAIFENG 16/04/2026</t>
        </is>
      </c>
      <c r="I3490" s="4" t="n">
        <v>8</v>
      </c>
      <c r="J3490" s="6" t="n">
        <v>5</v>
      </c>
      <c r="K3490" s="6" t="n">
        <v>105.1573679</v>
      </c>
      <c r="L3490" s="6">
        <f>I3490*K3490</f>
        <v/>
      </c>
      <c r="M3490" s="6">
        <f>K3490*4</f>
        <v/>
      </c>
      <c r="N3490" s="6" t="n">
        <v>450</v>
      </c>
    </row>
    <row r="3491">
      <c r="A3491" s="1" t="inlineStr">
        <is>
          <t>668eee338c77b</t>
        </is>
      </c>
      <c r="B3491" s="1" t="inlineStr">
        <is>
          <t>ANILLO T SILVER</t>
        </is>
      </c>
      <c r="C3491" s="1" t="inlineStr">
        <is>
          <t>6</t>
        </is>
      </c>
      <c r="D3491" s="1" t="inlineStr">
        <is>
          <t>16/06/2026</t>
        </is>
      </c>
      <c r="E3491" s="1" t="n">
        <v>2026</v>
      </c>
      <c r="F3491" s="1" t="inlineStr">
        <is>
          <t>JUNIO</t>
        </is>
      </c>
      <c r="G3491" s="1" t="inlineStr">
        <is>
          <t>HAIFENG</t>
        </is>
      </c>
      <c r="H3491" s="1" t="inlineStr">
        <is>
          <t>HAIFENG 16/06/2026</t>
        </is>
      </c>
      <c r="I3491" s="4" t="n">
        <v>3</v>
      </c>
      <c r="J3491" s="6" t="n">
        <v>5</v>
      </c>
      <c r="K3491" s="6" t="n">
        <v>105.0730323</v>
      </c>
      <c r="L3491" s="6">
        <f>I3491*K3491</f>
        <v/>
      </c>
      <c r="M3491" s="6">
        <f>K3491*4</f>
        <v/>
      </c>
      <c r="N3491" s="6" t="n">
        <v>450</v>
      </c>
    </row>
    <row r="3492">
      <c r="A3492" s="1" t="inlineStr">
        <is>
          <t>668eee34483a2</t>
        </is>
      </c>
      <c r="B3492" s="1" t="inlineStr">
        <is>
          <t>ANILLO T SILVER</t>
        </is>
      </c>
      <c r="C3492" s="1" t="inlineStr">
        <is>
          <t>7</t>
        </is>
      </c>
      <c r="D3492" s="1" t="inlineStr">
        <is>
          <t>01/09/2025</t>
        </is>
      </c>
      <c r="E3492" s="1" t="n">
        <v>2025</v>
      </c>
      <c r="F3492" s="1" t="inlineStr">
        <is>
          <t>SEPTIEMBRE</t>
        </is>
      </c>
      <c r="G3492" s="1" t="inlineStr">
        <is>
          <t>HAIFENG</t>
        </is>
      </c>
      <c r="H3492" s="1" t="inlineStr">
        <is>
          <t>HAIFENG 01/09/2025</t>
        </is>
      </c>
      <c r="I3492" s="4" t="n">
        <v>4</v>
      </c>
      <c r="J3492" s="6" t="n">
        <v>5</v>
      </c>
      <c r="K3492" s="6" t="n">
        <v>106.2783553</v>
      </c>
      <c r="L3492" s="6">
        <f>I3492*K3492</f>
        <v/>
      </c>
      <c r="M3492" s="6">
        <f>K3492*4</f>
        <v/>
      </c>
      <c r="N3492" s="6" t="n">
        <v>450</v>
      </c>
    </row>
    <row r="3493">
      <c r="A3493" s="1" t="inlineStr">
        <is>
          <t>668eee34483a2</t>
        </is>
      </c>
      <c r="B3493" s="1" t="inlineStr">
        <is>
          <t>ANILLO T SILVER</t>
        </is>
      </c>
      <c r="C3493" s="1" t="inlineStr">
        <is>
          <t>7</t>
        </is>
      </c>
      <c r="D3493" s="1" t="inlineStr">
        <is>
          <t>25/09/2025</t>
        </is>
      </c>
      <c r="E3493" s="1" t="n">
        <v>2025</v>
      </c>
      <c r="F3493" s="1" t="inlineStr">
        <is>
          <t>SEPTIEMBRE</t>
        </is>
      </c>
      <c r="G3493" s="1" t="inlineStr">
        <is>
          <t>HAIFENG</t>
        </is>
      </c>
      <c r="H3493" s="1" t="inlineStr">
        <is>
          <t>HAIFENG 25/09/2025</t>
        </is>
      </c>
      <c r="I3493" s="4" t="n">
        <v>4</v>
      </c>
      <c r="J3493" s="6" t="n">
        <v>5</v>
      </c>
      <c r="K3493" s="6" t="n">
        <v>105.4844288</v>
      </c>
      <c r="L3493" s="6">
        <f>I3493*K3493</f>
        <v/>
      </c>
      <c r="M3493" s="6">
        <f>K3493*4</f>
        <v/>
      </c>
      <c r="N3493" s="6" t="n">
        <v>450</v>
      </c>
    </row>
    <row r="3494">
      <c r="A3494" s="1" t="inlineStr">
        <is>
          <t>668eee34483a2</t>
        </is>
      </c>
      <c r="B3494" s="1" t="inlineStr">
        <is>
          <t>ANILLO T SILVER</t>
        </is>
      </c>
      <c r="C3494" s="1" t="inlineStr">
        <is>
          <t>7</t>
        </is>
      </c>
      <c r="D3494" s="1" t="inlineStr">
        <is>
          <t>20/01/2026</t>
        </is>
      </c>
      <c r="E3494" s="1" t="n">
        <v>2026</v>
      </c>
      <c r="F3494" s="1" t="inlineStr">
        <is>
          <t>ENERO</t>
        </is>
      </c>
      <c r="G3494" s="1" t="inlineStr">
        <is>
          <t>HAIFENG</t>
        </is>
      </c>
      <c r="H3494" s="1" t="inlineStr">
        <is>
          <t>HAIFENG 20/01/2026</t>
        </is>
      </c>
      <c r="I3494" s="4" t="n">
        <v>2</v>
      </c>
      <c r="J3494" s="6" t="n">
        <v>5</v>
      </c>
      <c r="K3494" s="6" t="n">
        <v>106.002089</v>
      </c>
      <c r="L3494" s="6">
        <f>I3494*K3494</f>
        <v/>
      </c>
      <c r="M3494" s="6">
        <f>K3494*4</f>
        <v/>
      </c>
      <c r="N3494" s="6" t="n">
        <v>450</v>
      </c>
    </row>
    <row r="3495">
      <c r="A3495" s="1" t="inlineStr">
        <is>
          <t>668eee34483a2</t>
        </is>
      </c>
      <c r="B3495" s="1" t="n"/>
      <c r="C3495" s="1" t="inlineStr">
        <is>
          <t>7</t>
        </is>
      </c>
      <c r="D3495" s="1" t="inlineStr">
        <is>
          <t>10/02/2026</t>
        </is>
      </c>
      <c r="E3495" s="1" t="n">
        <v>2026</v>
      </c>
      <c r="F3495" s="1" t="inlineStr">
        <is>
          <t>FEBRERO</t>
        </is>
      </c>
      <c r="G3495" s="1" t="inlineStr">
        <is>
          <t>HAIFENG</t>
        </is>
      </c>
      <c r="H3495" s="1" t="inlineStr">
        <is>
          <t>HAIFENG 10/02/2026</t>
        </is>
      </c>
      <c r="I3495" s="4" t="n">
        <v>1</v>
      </c>
      <c r="J3495" s="6" t="n">
        <v>5</v>
      </c>
      <c r="K3495" s="6" t="n">
        <v>105.3424803</v>
      </c>
      <c r="L3495" s="6">
        <f>I3495*K3495</f>
        <v/>
      </c>
      <c r="M3495" s="6">
        <f>K3495*4</f>
        <v/>
      </c>
      <c r="N3495" s="6" t="n">
        <v>450</v>
      </c>
    </row>
    <row r="3496">
      <c r="A3496" s="1" t="inlineStr">
        <is>
          <t>668eee34483a2</t>
        </is>
      </c>
      <c r="B3496" s="1" t="inlineStr">
        <is>
          <t>ANILLO T SILVER</t>
        </is>
      </c>
      <c r="C3496" s="1" t="inlineStr">
        <is>
          <t>7</t>
        </is>
      </c>
      <c r="D3496" s="1" t="inlineStr">
        <is>
          <t>16/04/2026</t>
        </is>
      </c>
      <c r="E3496" s="1" t="n">
        <v>2026</v>
      </c>
      <c r="F3496" s="1" t="inlineStr">
        <is>
          <t>ABRIL</t>
        </is>
      </c>
      <c r="G3496" s="1" t="inlineStr">
        <is>
          <t>HAIFENG</t>
        </is>
      </c>
      <c r="H3496" s="1" t="inlineStr">
        <is>
          <t>HAIFENG 16/04/2026</t>
        </is>
      </c>
      <c r="I3496" s="4" t="n">
        <v>2</v>
      </c>
      <c r="J3496" s="6" t="n">
        <v>5</v>
      </c>
      <c r="K3496" s="6" t="n">
        <v>105.1573679</v>
      </c>
      <c r="L3496" s="6">
        <f>I3496*K3496</f>
        <v/>
      </c>
      <c r="M3496" s="6">
        <f>K3496*4</f>
        <v/>
      </c>
      <c r="N3496" s="6" t="n">
        <v>450</v>
      </c>
    </row>
    <row r="3497">
      <c r="A3497" s="1" t="inlineStr">
        <is>
          <t>668eee34483a2</t>
        </is>
      </c>
      <c r="B3497" s="1" t="inlineStr">
        <is>
          <t>ANILLO T SILVER</t>
        </is>
      </c>
      <c r="C3497" s="1" t="inlineStr">
        <is>
          <t>7</t>
        </is>
      </c>
      <c r="D3497" s="1" t="inlineStr">
        <is>
          <t>06/05/2026</t>
        </is>
      </c>
      <c r="E3497" s="1" t="n">
        <v>2026</v>
      </c>
      <c r="F3497" s="1" t="inlineStr">
        <is>
          <t>MAYO</t>
        </is>
      </c>
      <c r="G3497" s="1" t="inlineStr">
        <is>
          <t>HAIFENG</t>
        </is>
      </c>
      <c r="H3497" s="1" t="inlineStr">
        <is>
          <t>HAIFENG 06/05/2026</t>
        </is>
      </c>
      <c r="I3497" s="4" t="n">
        <v>6</v>
      </c>
      <c r="J3497" s="6" t="n">
        <v>5</v>
      </c>
      <c r="K3497" s="6" t="n">
        <v>106.0932113</v>
      </c>
      <c r="L3497" s="6">
        <f>I3497*K3497</f>
        <v/>
      </c>
      <c r="M3497" s="6">
        <f>K3497*4</f>
        <v/>
      </c>
      <c r="N3497" s="6" t="n">
        <v>450</v>
      </c>
    </row>
    <row r="3498">
      <c r="A3498" s="1" t="inlineStr">
        <is>
          <t>668eee34bc314</t>
        </is>
      </c>
      <c r="B3498" s="1" t="inlineStr">
        <is>
          <t>PULSERA DE CUENTAS CON INSIGNIA DE CORAZÓN BLUE</t>
        </is>
      </c>
      <c r="C3498" s="1" t="inlineStr">
        <is>
          <t>16 cm</t>
        </is>
      </c>
      <c r="D3498" s="1" t="inlineStr">
        <is>
          <t>01/09/2025</t>
        </is>
      </c>
      <c r="E3498" s="1" t="n">
        <v>2025</v>
      </c>
      <c r="F3498" s="1" t="inlineStr">
        <is>
          <t>SEPTIEMBRE</t>
        </is>
      </c>
      <c r="G3498" s="1" t="inlineStr">
        <is>
          <t>HAIFENG</t>
        </is>
      </c>
      <c r="H3498" s="1" t="inlineStr">
        <is>
          <t>HAIFENG 01/09/2025</t>
        </is>
      </c>
      <c r="I3498" s="4" t="n">
        <v>5</v>
      </c>
      <c r="J3498" s="6" t="n">
        <v>5</v>
      </c>
      <c r="K3498" s="6" t="n">
        <v>106.2783553</v>
      </c>
      <c r="L3498" s="6">
        <f>I3498*K3498</f>
        <v/>
      </c>
      <c r="M3498" s="6">
        <f>K3498*4</f>
        <v/>
      </c>
      <c r="N3498" s="6" t="n">
        <v>550</v>
      </c>
    </row>
    <row r="3499">
      <c r="A3499" s="1" t="inlineStr">
        <is>
          <t>668eee34bc314</t>
        </is>
      </c>
      <c r="B3499" s="1" t="inlineStr">
        <is>
          <t>PULSERA DE CUENTAS CON INSIGNIA DE CORAZON BLUE</t>
        </is>
      </c>
      <c r="C3499" s="1" t="inlineStr">
        <is>
          <t>16 cm</t>
        </is>
      </c>
      <c r="D3499" s="1" t="inlineStr">
        <is>
          <t>25/09/2025</t>
        </is>
      </c>
      <c r="E3499" s="1" t="n">
        <v>2025</v>
      </c>
      <c r="F3499" s="1" t="inlineStr">
        <is>
          <t>SEPTIEMBRE</t>
        </is>
      </c>
      <c r="G3499" s="1" t="inlineStr">
        <is>
          <t>HAIFENG</t>
        </is>
      </c>
      <c r="H3499" s="1" t="inlineStr">
        <is>
          <t>HAIFENG 25/09/2025</t>
        </is>
      </c>
      <c r="I3499" s="4" t="n">
        <v>26</v>
      </c>
      <c r="J3499" s="6" t="n">
        <v>5</v>
      </c>
      <c r="K3499" s="6" t="n">
        <v>105.4844288</v>
      </c>
      <c r="L3499" s="6">
        <f>I3499*K3499</f>
        <v/>
      </c>
      <c r="M3499" s="6">
        <f>K3499*4</f>
        <v/>
      </c>
      <c r="N3499" s="6" t="n">
        <v>550</v>
      </c>
    </row>
    <row r="3500">
      <c r="A3500" s="1" t="inlineStr">
        <is>
          <t>668eee34bc314</t>
        </is>
      </c>
      <c r="B3500" s="1" t="inlineStr">
        <is>
          <t>PULSERA DE CUENTAS CON INSIGNIA DE CORAZÓN BLUE</t>
        </is>
      </c>
      <c r="C3500" s="1" t="inlineStr">
        <is>
          <t>16 cm</t>
        </is>
      </c>
      <c r="D3500" s="1" t="inlineStr">
        <is>
          <t>03/12/2025</t>
        </is>
      </c>
      <c r="E3500" s="1" t="n">
        <v>2025</v>
      </c>
      <c r="F3500" s="1" t="inlineStr">
        <is>
          <t>DICIEMBRE</t>
        </is>
      </c>
      <c r="G3500" s="1" t="inlineStr">
        <is>
          <t>HAIFENG</t>
        </is>
      </c>
      <c r="H3500" s="1" t="inlineStr">
        <is>
          <t>HAIFENG 03/12/2025</t>
        </is>
      </c>
      <c r="I3500" s="4" t="n">
        <v>20</v>
      </c>
      <c r="J3500" s="6" t="n">
        <v>5</v>
      </c>
      <c r="K3500" s="6" t="n">
        <v>104.5858001</v>
      </c>
      <c r="L3500" s="6">
        <f>I3500*K3500</f>
        <v/>
      </c>
      <c r="M3500" s="6">
        <f>K3500*4</f>
        <v/>
      </c>
      <c r="N3500" s="6" t="n">
        <v>550</v>
      </c>
    </row>
    <row r="3501">
      <c r="A3501" s="1" t="inlineStr">
        <is>
          <t>668eee34bc314</t>
        </is>
      </c>
      <c r="B3501" s="1" t="inlineStr">
        <is>
          <t>PULSERA DE CUENTAS CON INSIGNIA DE CORAZÓN BLUE</t>
        </is>
      </c>
      <c r="C3501" s="1" t="inlineStr">
        <is>
          <t>16 cm</t>
        </is>
      </c>
      <c r="D3501" s="1" t="inlineStr">
        <is>
          <t>20/01/2026</t>
        </is>
      </c>
      <c r="E3501" s="1" t="n">
        <v>2026</v>
      </c>
      <c r="F3501" s="1" t="inlineStr">
        <is>
          <t>ENERO</t>
        </is>
      </c>
      <c r="G3501" s="1" t="inlineStr">
        <is>
          <t>HAIFENG</t>
        </is>
      </c>
      <c r="H3501" s="1" t="inlineStr">
        <is>
          <t>HAIFENG 20/01/2026</t>
        </is>
      </c>
      <c r="I3501" s="4" t="n">
        <v>8</v>
      </c>
      <c r="J3501" s="6" t="n">
        <v>5</v>
      </c>
      <c r="K3501" s="6" t="n">
        <v>106.002089</v>
      </c>
      <c r="L3501" s="6">
        <f>I3501*K3501</f>
        <v/>
      </c>
      <c r="M3501" s="6">
        <f>K3501*4</f>
        <v/>
      </c>
      <c r="N3501" s="6" t="n">
        <v>550</v>
      </c>
    </row>
    <row r="3502">
      <c r="A3502" s="1" t="inlineStr">
        <is>
          <t>668eee34bc314</t>
        </is>
      </c>
      <c r="B3502" s="1" t="inlineStr">
        <is>
          <t>PULSERA DE CUENTAS CON INSIGNIA DE CORAZÓN BLUE</t>
        </is>
      </c>
      <c r="C3502" s="1" t="inlineStr">
        <is>
          <t>16 cm</t>
        </is>
      </c>
      <c r="D3502" s="1" t="inlineStr">
        <is>
          <t>16/04/2026</t>
        </is>
      </c>
      <c r="E3502" s="1" t="n">
        <v>2026</v>
      </c>
      <c r="F3502" s="1" t="inlineStr">
        <is>
          <t>ABRIL</t>
        </is>
      </c>
      <c r="G3502" s="1" t="inlineStr">
        <is>
          <t>HAIFENG</t>
        </is>
      </c>
      <c r="H3502" s="1" t="inlineStr">
        <is>
          <t>HAIFENG 16/04/2026</t>
        </is>
      </c>
      <c r="I3502" s="4" t="n">
        <v>10</v>
      </c>
      <c r="J3502" s="6" t="n">
        <v>5</v>
      </c>
      <c r="K3502" s="6" t="n">
        <v>105.1573679</v>
      </c>
      <c r="L3502" s="6">
        <f>I3502*K3502</f>
        <v/>
      </c>
      <c r="M3502" s="6">
        <f>K3502*4</f>
        <v/>
      </c>
      <c r="N3502" s="6" t="n">
        <v>550</v>
      </c>
    </row>
    <row r="3503">
      <c r="A3503" s="1" t="inlineStr">
        <is>
          <t>668eee34bc314</t>
        </is>
      </c>
      <c r="B3503" s="1" t="inlineStr">
        <is>
          <t>PULSERA DE CUENTAS CON INSIGNIA DE CORAZÓN BLUE</t>
        </is>
      </c>
      <c r="C3503" s="1" t="inlineStr">
        <is>
          <t>16 cm</t>
        </is>
      </c>
      <c r="D3503" s="1" t="inlineStr">
        <is>
          <t>06/05/2026</t>
        </is>
      </c>
      <c r="E3503" s="1" t="n">
        <v>2026</v>
      </c>
      <c r="F3503" s="1" t="inlineStr">
        <is>
          <t>MAYO</t>
        </is>
      </c>
      <c r="G3503" s="1" t="inlineStr">
        <is>
          <t>HAIFENG</t>
        </is>
      </c>
      <c r="H3503" s="1" t="inlineStr">
        <is>
          <t>HAIFENG 06/05/2026</t>
        </is>
      </c>
      <c r="I3503" s="4" t="n">
        <v>10</v>
      </c>
      <c r="J3503" s="6" t="n">
        <v>5</v>
      </c>
      <c r="K3503" s="6" t="n">
        <v>106.0932113</v>
      </c>
      <c r="L3503" s="6">
        <f>I3503*K3503</f>
        <v/>
      </c>
      <c r="M3503" s="6">
        <f>K3503*4</f>
        <v/>
      </c>
      <c r="N3503" s="6" t="n">
        <v>550</v>
      </c>
    </row>
    <row r="3504">
      <c r="A3504" s="1" t="inlineStr">
        <is>
          <t>668eee34bc314</t>
        </is>
      </c>
      <c r="B3504" s="1" t="inlineStr">
        <is>
          <t>PULSERA DE CUENTAS CON INSIGNIA DE CORAZÓN BLUE</t>
        </is>
      </c>
      <c r="C3504" s="1" t="inlineStr">
        <is>
          <t>16 cm</t>
        </is>
      </c>
      <c r="D3504" s="1" t="inlineStr">
        <is>
          <t>06/05/2026</t>
        </is>
      </c>
      <c r="E3504" s="1" t="n">
        <v>2026</v>
      </c>
      <c r="F3504" s="1" t="inlineStr">
        <is>
          <t>MAYO</t>
        </is>
      </c>
      <c r="G3504" s="1" t="inlineStr">
        <is>
          <t>HAIFENG</t>
        </is>
      </c>
      <c r="H3504" s="1" t="inlineStr">
        <is>
          <t>HAIFENG 06/05/2026</t>
        </is>
      </c>
      <c r="I3504" s="4" t="n">
        <v>10</v>
      </c>
      <c r="J3504" s="6" t="n">
        <v>5</v>
      </c>
      <c r="K3504" s="6" t="n">
        <v>106.0932113</v>
      </c>
      <c r="L3504" s="6">
        <f>I3504*K3504</f>
        <v/>
      </c>
      <c r="M3504" s="6">
        <f>K3504*4</f>
        <v/>
      </c>
      <c r="N3504" s="6" t="n">
        <v>550</v>
      </c>
    </row>
    <row r="3505">
      <c r="A3505" s="1" t="inlineStr">
        <is>
          <t>668eee34bc314</t>
        </is>
      </c>
      <c r="B3505" s="1" t="inlineStr">
        <is>
          <t>PULSERA DE CUENTAS CON INSIGNIA DE CORAZÓN BLUE</t>
        </is>
      </c>
      <c r="C3505" s="1" t="inlineStr">
        <is>
          <t>16 cm</t>
        </is>
      </c>
      <c r="D3505" s="1" t="inlineStr">
        <is>
          <t>16/06/2026</t>
        </is>
      </c>
      <c r="E3505" s="1" t="n">
        <v>2026</v>
      </c>
      <c r="F3505" s="1" t="inlineStr">
        <is>
          <t>JUNIO</t>
        </is>
      </c>
      <c r="G3505" s="1" t="inlineStr">
        <is>
          <t>HAIFENG</t>
        </is>
      </c>
      <c r="H3505" s="1" t="inlineStr">
        <is>
          <t>HAIFENG 16/06/2026</t>
        </is>
      </c>
      <c r="I3505" s="4" t="n">
        <v>10</v>
      </c>
      <c r="J3505" s="6" t="n">
        <v>5</v>
      </c>
      <c r="K3505" s="6" t="n">
        <v>105.0730323</v>
      </c>
      <c r="L3505" s="6">
        <f>I3505*K3505</f>
        <v/>
      </c>
      <c r="M3505" s="6">
        <f>K3505*4</f>
        <v/>
      </c>
      <c r="N3505" s="6" t="n">
        <v>550</v>
      </c>
    </row>
    <row r="3506">
      <c r="A3506" s="1" t="inlineStr">
        <is>
          <t>668eee34e7e6d</t>
        </is>
      </c>
      <c r="B3506" s="1" t="inlineStr">
        <is>
          <t>ANILLO T SILVER</t>
        </is>
      </c>
      <c r="C3506" s="1" t="inlineStr">
        <is>
          <t>8</t>
        </is>
      </c>
      <c r="D3506" s="1" t="inlineStr">
        <is>
          <t>01/09/2025</t>
        </is>
      </c>
      <c r="E3506" s="1" t="n">
        <v>2025</v>
      </c>
      <c r="F3506" s="1" t="inlineStr">
        <is>
          <t>SEPTIEMBRE</t>
        </is>
      </c>
      <c r="G3506" s="1" t="inlineStr">
        <is>
          <t>HAIFENG</t>
        </is>
      </c>
      <c r="H3506" s="1" t="inlineStr">
        <is>
          <t>HAIFENG 01/09/2025</t>
        </is>
      </c>
      <c r="I3506" s="4" t="n">
        <v>5</v>
      </c>
      <c r="J3506" s="6" t="n">
        <v>5</v>
      </c>
      <c r="K3506" s="6" t="n">
        <v>106.2783553</v>
      </c>
      <c r="L3506" s="6">
        <f>I3506*K3506</f>
        <v/>
      </c>
      <c r="M3506" s="6">
        <f>K3506*4</f>
        <v/>
      </c>
      <c r="N3506" s="6" t="n">
        <v>450</v>
      </c>
    </row>
    <row r="3507">
      <c r="A3507" s="1" t="inlineStr">
        <is>
          <t>668eee34e7e6d</t>
        </is>
      </c>
      <c r="B3507" s="1" t="inlineStr">
        <is>
          <t>ANILLO T SILVER</t>
        </is>
      </c>
      <c r="C3507" s="1" t="inlineStr">
        <is>
          <t>8</t>
        </is>
      </c>
      <c r="D3507" s="1" t="inlineStr">
        <is>
          <t>03/12/2025</t>
        </is>
      </c>
      <c r="E3507" s="1" t="n">
        <v>2025</v>
      </c>
      <c r="F3507" s="1" t="inlineStr">
        <is>
          <t>DICIEMBRE</t>
        </is>
      </c>
      <c r="G3507" s="1" t="inlineStr">
        <is>
          <t>HAIFENG</t>
        </is>
      </c>
      <c r="H3507" s="1" t="inlineStr">
        <is>
          <t>HAIFENG 03/12/2025</t>
        </is>
      </c>
      <c r="I3507" s="4" t="n">
        <v>4</v>
      </c>
      <c r="J3507" s="6" t="n">
        <v>5</v>
      </c>
      <c r="K3507" s="6" t="n">
        <v>104.5858001</v>
      </c>
      <c r="L3507" s="6">
        <f>I3507*K3507</f>
        <v/>
      </c>
      <c r="M3507" s="6">
        <f>K3507*4</f>
        <v/>
      </c>
      <c r="N3507" s="6" t="n">
        <v>450</v>
      </c>
    </row>
    <row r="3508">
      <c r="A3508" s="1" t="inlineStr">
        <is>
          <t>668eee34e7e6d</t>
        </is>
      </c>
      <c r="B3508" s="1" t="n"/>
      <c r="C3508" s="1" t="inlineStr">
        <is>
          <t>8</t>
        </is>
      </c>
      <c r="D3508" s="1" t="inlineStr">
        <is>
          <t>10/02/2026</t>
        </is>
      </c>
      <c r="E3508" s="1" t="n">
        <v>2026</v>
      </c>
      <c r="F3508" s="1" t="inlineStr">
        <is>
          <t>FEBRERO</t>
        </is>
      </c>
      <c r="G3508" s="1" t="inlineStr">
        <is>
          <t>HAIFENG</t>
        </is>
      </c>
      <c r="H3508" s="1" t="inlineStr">
        <is>
          <t>HAIFENG 10/02/2026</t>
        </is>
      </c>
      <c r="I3508" s="4" t="n">
        <v>3</v>
      </c>
      <c r="J3508" s="6" t="n">
        <v>5</v>
      </c>
      <c r="K3508" s="6" t="n">
        <v>105.3424803</v>
      </c>
      <c r="L3508" s="6">
        <f>I3508*K3508</f>
        <v/>
      </c>
      <c r="M3508" s="6">
        <f>K3508*4</f>
        <v/>
      </c>
      <c r="N3508" s="6" t="n">
        <v>450</v>
      </c>
    </row>
    <row r="3509">
      <c r="A3509" s="1" t="inlineStr">
        <is>
          <t>668eee34e7e6d</t>
        </is>
      </c>
      <c r="B3509" s="1" t="inlineStr">
        <is>
          <t>ANILLO T SILVER</t>
        </is>
      </c>
      <c r="C3509" s="1" t="inlineStr">
        <is>
          <t>8</t>
        </is>
      </c>
      <c r="D3509" s="1" t="inlineStr">
        <is>
          <t>16/04/2026</t>
        </is>
      </c>
      <c r="E3509" s="1" t="n">
        <v>2026</v>
      </c>
      <c r="F3509" s="1" t="inlineStr">
        <is>
          <t>ABRIL</t>
        </is>
      </c>
      <c r="G3509" s="1" t="inlineStr">
        <is>
          <t>HAIFENG</t>
        </is>
      </c>
      <c r="H3509" s="1" t="inlineStr">
        <is>
          <t>HAIFENG 16/04/2026</t>
        </is>
      </c>
      <c r="I3509" s="4" t="n">
        <v>2</v>
      </c>
      <c r="J3509" s="6" t="n">
        <v>5</v>
      </c>
      <c r="K3509" s="6" t="n">
        <v>105.1573679</v>
      </c>
      <c r="L3509" s="6">
        <f>I3509*K3509</f>
        <v/>
      </c>
      <c r="M3509" s="6">
        <f>K3509*4</f>
        <v/>
      </c>
      <c r="N3509" s="6" t="n">
        <v>450</v>
      </c>
    </row>
    <row r="3510">
      <c r="A3510" s="1" t="inlineStr">
        <is>
          <t>668eee3550b09</t>
        </is>
      </c>
      <c r="B3510" s="1" t="inlineStr">
        <is>
          <t>COLLAR DOBLE PLACA CORAZÓN ROJO-PLATA</t>
        </is>
      </c>
      <c r="C3510" s="1" t="inlineStr">
        <is>
          <t>Middle Quality</t>
        </is>
      </c>
      <c r="D3510" s="1" t="inlineStr">
        <is>
          <t>10/02/2026</t>
        </is>
      </c>
      <c r="E3510" s="1" t="n">
        <v>2026</v>
      </c>
      <c r="F3510" s="1" t="inlineStr">
        <is>
          <t>FEBRERO</t>
        </is>
      </c>
      <c r="G3510" s="1" t="inlineStr">
        <is>
          <t>HAIFENG</t>
        </is>
      </c>
      <c r="H3510" s="1" t="inlineStr">
        <is>
          <t>HAIFENG 10/02/2026</t>
        </is>
      </c>
      <c r="I3510" s="4" t="n">
        <v>5</v>
      </c>
      <c r="J3510" s="6" t="n">
        <v>5</v>
      </c>
      <c r="K3510" s="6" t="n">
        <v>105.3424803</v>
      </c>
      <c r="L3510" s="6">
        <f>I3510*K3510</f>
        <v/>
      </c>
      <c r="M3510" s="6">
        <f>K3510*4</f>
        <v/>
      </c>
      <c r="N3510" s="6" t="n">
        <v>950</v>
      </c>
    </row>
    <row r="3511">
      <c r="A3511" s="1" t="inlineStr">
        <is>
          <t>668eee3550b09</t>
        </is>
      </c>
      <c r="B3511" s="1" t="inlineStr">
        <is>
          <t>COLLAR DOBLE PLACA CORAZÓN ROJO-PLATA</t>
        </is>
      </c>
      <c r="C3511" s="1" t="inlineStr">
        <is>
          <t>Middle Quality</t>
        </is>
      </c>
      <c r="D3511" s="1" t="inlineStr">
        <is>
          <t>16/04/2026</t>
        </is>
      </c>
      <c r="E3511" s="1" t="n">
        <v>2026</v>
      </c>
      <c r="F3511" s="1" t="inlineStr">
        <is>
          <t>ABRIL</t>
        </is>
      </c>
      <c r="G3511" s="1" t="inlineStr">
        <is>
          <t>HAIFENG</t>
        </is>
      </c>
      <c r="H3511" s="1" t="inlineStr">
        <is>
          <t>HAIFENG 16/04/2026</t>
        </is>
      </c>
      <c r="I3511" s="4" t="n">
        <v>2</v>
      </c>
      <c r="J3511" s="6" t="n">
        <v>5</v>
      </c>
      <c r="K3511" s="6" t="n">
        <v>105.1573679</v>
      </c>
      <c r="L3511" s="6">
        <f>I3511*K3511</f>
        <v/>
      </c>
      <c r="M3511" s="6">
        <f>K3511*4</f>
        <v/>
      </c>
      <c r="N3511" s="6" t="n">
        <v>950</v>
      </c>
    </row>
    <row r="3512">
      <c r="A3512" s="1" t="inlineStr">
        <is>
          <t>668eee3550b09</t>
        </is>
      </c>
      <c r="B3512" s="1" t="inlineStr">
        <is>
          <t>COLLAR DOBLE PLACA CORAZÓN ROJO-PLATA</t>
        </is>
      </c>
      <c r="C3512" s="1" t="inlineStr">
        <is>
          <t>Middle Quality</t>
        </is>
      </c>
      <c r="D3512" s="1" t="inlineStr">
        <is>
          <t>06/05/2026</t>
        </is>
      </c>
      <c r="E3512" s="1" t="n">
        <v>2026</v>
      </c>
      <c r="F3512" s="1" t="inlineStr">
        <is>
          <t>MAYO</t>
        </is>
      </c>
      <c r="G3512" s="1" t="inlineStr">
        <is>
          <t>HAIFENG</t>
        </is>
      </c>
      <c r="H3512" s="1" t="inlineStr">
        <is>
          <t>HAIFENG 06/05/2026</t>
        </is>
      </c>
      <c r="I3512" s="4" t="n">
        <v>2</v>
      </c>
      <c r="J3512" s="6" t="n">
        <v>5</v>
      </c>
      <c r="K3512" s="6" t="n">
        <v>106.0932113</v>
      </c>
      <c r="L3512" s="6">
        <f>I3512*K3512</f>
        <v/>
      </c>
      <c r="M3512" s="6">
        <f>K3512*4</f>
        <v/>
      </c>
      <c r="N3512" s="6" t="n">
        <v>950</v>
      </c>
    </row>
    <row r="3513">
      <c r="A3513" s="1" t="inlineStr">
        <is>
          <t>668eee357952c</t>
        </is>
      </c>
      <c r="B3513" s="1" t="inlineStr">
        <is>
          <t>PULSERA DE CUENTAS CON INSIGNIA DE CORAZÓN BLUE</t>
        </is>
      </c>
      <c r="C3513" s="1" t="inlineStr">
        <is>
          <t>17 cm</t>
        </is>
      </c>
      <c r="D3513" s="1" t="inlineStr">
        <is>
          <t>03/12/2025</t>
        </is>
      </c>
      <c r="E3513" s="1" t="n">
        <v>2025</v>
      </c>
      <c r="F3513" s="1" t="inlineStr">
        <is>
          <t>DICIEMBRE</t>
        </is>
      </c>
      <c r="G3513" s="1" t="inlineStr">
        <is>
          <t>HAIFENG</t>
        </is>
      </c>
      <c r="H3513" s="1" t="inlineStr">
        <is>
          <t>HAIFENG 03/12/2025</t>
        </is>
      </c>
      <c r="I3513" s="4" t="n">
        <v>2</v>
      </c>
      <c r="J3513" s="6" t="n">
        <v>5</v>
      </c>
      <c r="K3513" s="6" t="n">
        <v>104.5858001</v>
      </c>
      <c r="L3513" s="6">
        <f>I3513*K3513</f>
        <v/>
      </c>
      <c r="M3513" s="6">
        <f>K3513*4</f>
        <v/>
      </c>
      <c r="N3513" s="6" t="n">
        <v>550</v>
      </c>
    </row>
    <row r="3514">
      <c r="A3514" s="1" t="inlineStr">
        <is>
          <t>668eee357952c</t>
        </is>
      </c>
      <c r="B3514" s="1" t="inlineStr">
        <is>
          <t>PULSERA DE CUENTAS CON INSIGNIA DE CORAZÓN BLUE</t>
        </is>
      </c>
      <c r="C3514" s="1" t="inlineStr">
        <is>
          <t>17 cm</t>
        </is>
      </c>
      <c r="D3514" s="1" t="inlineStr">
        <is>
          <t>20/01/2026</t>
        </is>
      </c>
      <c r="E3514" s="1" t="n">
        <v>2026</v>
      </c>
      <c r="F3514" s="1" t="inlineStr">
        <is>
          <t>ENERO</t>
        </is>
      </c>
      <c r="G3514" s="1" t="inlineStr">
        <is>
          <t>HAIFENG</t>
        </is>
      </c>
      <c r="H3514" s="1" t="inlineStr">
        <is>
          <t>HAIFENG 20/01/2026</t>
        </is>
      </c>
      <c r="I3514" s="4" t="n">
        <v>12</v>
      </c>
      <c r="J3514" s="6" t="n">
        <v>5</v>
      </c>
      <c r="K3514" s="6" t="n">
        <v>106.002089</v>
      </c>
      <c r="L3514" s="6">
        <f>I3514*K3514</f>
        <v/>
      </c>
      <c r="M3514" s="6">
        <f>K3514*4</f>
        <v/>
      </c>
      <c r="N3514" s="6" t="n">
        <v>550</v>
      </c>
    </row>
    <row r="3515">
      <c r="A3515" s="1" t="inlineStr">
        <is>
          <t>668eee357952c</t>
        </is>
      </c>
      <c r="B3515" s="1" t="inlineStr">
        <is>
          <t>PULSERA DE CUENTAS CON INSIGNIA DE CORAZÓN BLUE</t>
        </is>
      </c>
      <c r="C3515" s="1" t="inlineStr">
        <is>
          <t>17 cm</t>
        </is>
      </c>
      <c r="D3515" s="1" t="inlineStr">
        <is>
          <t>10/02/2026</t>
        </is>
      </c>
      <c r="E3515" s="1" t="n">
        <v>2026</v>
      </c>
      <c r="F3515" s="1" t="inlineStr">
        <is>
          <t>FEBRERO</t>
        </is>
      </c>
      <c r="G3515" s="1" t="inlineStr">
        <is>
          <t>HAIFENG</t>
        </is>
      </c>
      <c r="H3515" s="1" t="inlineStr">
        <is>
          <t>HAIFENG 10/02/2026</t>
        </is>
      </c>
      <c r="I3515" s="4" t="n">
        <v>6</v>
      </c>
      <c r="J3515" s="6" t="n">
        <v>5</v>
      </c>
      <c r="K3515" s="6" t="n">
        <v>105.3424803</v>
      </c>
      <c r="L3515" s="6">
        <f>I3515*K3515</f>
        <v/>
      </c>
      <c r="M3515" s="6">
        <f>K3515*4</f>
        <v/>
      </c>
      <c r="N3515" s="6" t="n">
        <v>550</v>
      </c>
    </row>
    <row r="3516">
      <c r="A3516" s="1" t="inlineStr">
        <is>
          <t>668eee357952c</t>
        </is>
      </c>
      <c r="B3516" s="1" t="inlineStr">
        <is>
          <t>PULSERA DE CUENTAS CON INSIGNIA DE CORAZÓN BLUE</t>
        </is>
      </c>
      <c r="C3516" s="1" t="inlineStr">
        <is>
          <t>17 cm</t>
        </is>
      </c>
      <c r="D3516" s="1" t="inlineStr">
        <is>
          <t>26/05/2026</t>
        </is>
      </c>
      <c r="E3516" s="1" t="n">
        <v>2026</v>
      </c>
      <c r="F3516" s="1" t="inlineStr">
        <is>
          <t>MAYO</t>
        </is>
      </c>
      <c r="G3516" s="1" t="inlineStr">
        <is>
          <t>HAIFENG</t>
        </is>
      </c>
      <c r="H3516" s="1" t="inlineStr">
        <is>
          <t>HAIFENG 26/05/2026</t>
        </is>
      </c>
      <c r="I3516" s="4" t="n">
        <v>20</v>
      </c>
      <c r="J3516" s="6" t="n">
        <v>5</v>
      </c>
      <c r="K3516" s="6" t="n">
        <v>104.9464765</v>
      </c>
      <c r="L3516" s="6">
        <f>I3516*K3516</f>
        <v/>
      </c>
      <c r="M3516" s="6">
        <f>K3516*4</f>
        <v/>
      </c>
      <c r="N3516" s="6" t="n">
        <v>550</v>
      </c>
    </row>
    <row r="3517">
      <c r="A3517" s="1" t="inlineStr">
        <is>
          <t>668eee357952c</t>
        </is>
      </c>
      <c r="B3517" s="1" t="inlineStr">
        <is>
          <t>PULSERA DE CUENTAS CON INSIGNIA DE CORAZÓN BLUE</t>
        </is>
      </c>
      <c r="C3517" s="1" t="inlineStr">
        <is>
          <t>17 cm</t>
        </is>
      </c>
      <c r="D3517" s="1" t="inlineStr">
        <is>
          <t>16/06/2026</t>
        </is>
      </c>
      <c r="E3517" s="1" t="n">
        <v>2026</v>
      </c>
      <c r="F3517" s="1" t="inlineStr">
        <is>
          <t>JUNIO</t>
        </is>
      </c>
      <c r="G3517" s="1" t="inlineStr">
        <is>
          <t>HAIFENG</t>
        </is>
      </c>
      <c r="H3517" s="1" t="inlineStr">
        <is>
          <t>HAIFENG 16/06/2026</t>
        </is>
      </c>
      <c r="I3517" s="4" t="n">
        <v>10</v>
      </c>
      <c r="J3517" s="6" t="n">
        <v>5</v>
      </c>
      <c r="K3517" s="6" t="n">
        <v>105.0730323</v>
      </c>
      <c r="L3517" s="6">
        <f>I3517*K3517</f>
        <v/>
      </c>
      <c r="M3517" s="6">
        <f>K3517*4</f>
        <v/>
      </c>
      <c r="N3517" s="6" t="n">
        <v>550</v>
      </c>
    </row>
    <row r="3518">
      <c r="A3518" s="1" t="inlineStr">
        <is>
          <t>668eee360a47c</t>
        </is>
      </c>
      <c r="B3518" s="1" t="inlineStr">
        <is>
          <t>PULSERA DE CUENTAS CON INSIGNIA DE CORAZÓN BLUE</t>
        </is>
      </c>
      <c r="C3518" s="1" t="inlineStr">
        <is>
          <t>18 cm</t>
        </is>
      </c>
      <c r="D3518" s="1" t="inlineStr">
        <is>
          <t>26/05/2026</t>
        </is>
      </c>
      <c r="E3518" s="1" t="n">
        <v>2026</v>
      </c>
      <c r="F3518" s="1" t="inlineStr">
        <is>
          <t>MAYO</t>
        </is>
      </c>
      <c r="G3518" s="1" t="inlineStr">
        <is>
          <t>HAIFENG</t>
        </is>
      </c>
      <c r="H3518" s="1" t="inlineStr">
        <is>
          <t>HAIFENG 26/05/2026</t>
        </is>
      </c>
      <c r="I3518" s="4" t="n">
        <v>8</v>
      </c>
      <c r="J3518" s="6" t="n">
        <v>5</v>
      </c>
      <c r="K3518" s="6" t="n">
        <v>104.9464765</v>
      </c>
      <c r="L3518" s="6">
        <f>I3518*K3518</f>
        <v/>
      </c>
      <c r="M3518" s="6">
        <f>K3518*4</f>
        <v/>
      </c>
      <c r="N3518" s="6" t="n">
        <v>550</v>
      </c>
    </row>
    <row r="3519">
      <c r="A3519" s="1" t="inlineStr">
        <is>
          <t>668eee360a47c</t>
        </is>
      </c>
      <c r="B3519" s="1" t="inlineStr">
        <is>
          <t>PULSERA DE CUENTAS CON INSIGNIA DE CORAZÓN BLUE</t>
        </is>
      </c>
      <c r="C3519" s="1" t="inlineStr">
        <is>
          <t>18 cm</t>
        </is>
      </c>
      <c r="D3519" s="1" t="inlineStr">
        <is>
          <t>16/06/2026</t>
        </is>
      </c>
      <c r="E3519" s="1" t="n">
        <v>2026</v>
      </c>
      <c r="F3519" s="1" t="inlineStr">
        <is>
          <t>JUNIO</t>
        </is>
      </c>
      <c r="G3519" s="1" t="inlineStr">
        <is>
          <t>HAIFENG</t>
        </is>
      </c>
      <c r="H3519" s="1" t="inlineStr">
        <is>
          <t>HAIFENG 16/06/2026</t>
        </is>
      </c>
      <c r="I3519" s="4" t="n">
        <v>8</v>
      </c>
      <c r="J3519" s="6" t="n">
        <v>5</v>
      </c>
      <c r="K3519" s="6" t="n">
        <v>105.0730323</v>
      </c>
      <c r="L3519" s="6">
        <f>I3519*K3519</f>
        <v/>
      </c>
      <c r="M3519" s="6">
        <f>K3519*4</f>
        <v/>
      </c>
      <c r="N3519" s="6" t="n">
        <v>550</v>
      </c>
    </row>
    <row r="3520">
      <c r="A3520" s="1" t="inlineStr">
        <is>
          <t>668eee369b9c1</t>
        </is>
      </c>
      <c r="B3520" s="1" t="inlineStr">
        <is>
          <t>PULSERA DE CUENTAS CON INSIGNIA DE CORAZÓN BLUE</t>
        </is>
      </c>
      <c r="C3520" s="1" t="inlineStr">
        <is>
          <t>19 cm</t>
        </is>
      </c>
      <c r="D3520" s="1" t="inlineStr">
        <is>
          <t>10/02/2026</t>
        </is>
      </c>
      <c r="E3520" s="1" t="n">
        <v>2026</v>
      </c>
      <c r="F3520" s="1" t="inlineStr">
        <is>
          <t>FEBRERO</t>
        </is>
      </c>
      <c r="G3520" s="1" t="inlineStr">
        <is>
          <t>HAIFENG</t>
        </is>
      </c>
      <c r="H3520" s="1" t="inlineStr">
        <is>
          <t>HAIFENG 10/02/2026</t>
        </is>
      </c>
      <c r="I3520" s="4" t="n">
        <v>5</v>
      </c>
      <c r="J3520" s="6" t="n">
        <v>5</v>
      </c>
      <c r="K3520" s="6" t="n">
        <v>105.3424803</v>
      </c>
      <c r="L3520" s="6">
        <f>I3520*K3520</f>
        <v/>
      </c>
      <c r="M3520" s="6">
        <f>K3520*4</f>
        <v/>
      </c>
      <c r="N3520" s="6" t="n">
        <v>550</v>
      </c>
    </row>
    <row r="3521">
      <c r="A3521" s="1" t="inlineStr">
        <is>
          <t>668eee369b9c1</t>
        </is>
      </c>
      <c r="B3521" s="1" t="inlineStr">
        <is>
          <t>PULSERA DE CUENTAS CON INSIGNIA DE CORAZÓN BLUE</t>
        </is>
      </c>
      <c r="C3521" s="1" t="inlineStr">
        <is>
          <t>19 cm</t>
        </is>
      </c>
      <c r="D3521" s="1" t="inlineStr">
        <is>
          <t>26/05/2026</t>
        </is>
      </c>
      <c r="E3521" s="1" t="n">
        <v>2026</v>
      </c>
      <c r="F3521" s="1" t="inlineStr">
        <is>
          <t>MAYO</t>
        </is>
      </c>
      <c r="G3521" s="1" t="inlineStr">
        <is>
          <t>HAIFENG</t>
        </is>
      </c>
      <c r="H3521" s="1" t="inlineStr">
        <is>
          <t>HAIFENG 26/05/2026</t>
        </is>
      </c>
      <c r="I3521" s="4" t="n">
        <v>3</v>
      </c>
      <c r="J3521" s="6" t="n">
        <v>5</v>
      </c>
      <c r="K3521" s="6" t="n">
        <v>104.9464765</v>
      </c>
      <c r="L3521" s="6">
        <f>I3521*K3521</f>
        <v/>
      </c>
      <c r="M3521" s="6">
        <f>K3521*4</f>
        <v/>
      </c>
      <c r="N3521" s="6" t="n">
        <v>550</v>
      </c>
    </row>
    <row r="3522">
      <c r="A3522" s="1" t="inlineStr">
        <is>
          <t>668eee369b9c1</t>
        </is>
      </c>
      <c r="B3522" s="1" t="inlineStr">
        <is>
          <t>PULSERA DE CUENTAS CON INSIGNIA DE CORAZÓN BLUE</t>
        </is>
      </c>
      <c r="C3522" s="1" t="inlineStr">
        <is>
          <t>19 cm</t>
        </is>
      </c>
      <c r="D3522" s="1" t="inlineStr">
        <is>
          <t>16/06/2026</t>
        </is>
      </c>
      <c r="E3522" s="1" t="n">
        <v>2026</v>
      </c>
      <c r="F3522" s="1" t="inlineStr">
        <is>
          <t>JUNIO</t>
        </is>
      </c>
      <c r="G3522" s="1" t="inlineStr">
        <is>
          <t>HAIFENG</t>
        </is>
      </c>
      <c r="H3522" s="1" t="inlineStr">
        <is>
          <t>HAIFENG 16/06/2026</t>
        </is>
      </c>
      <c r="I3522" s="4" t="n">
        <v>2</v>
      </c>
      <c r="J3522" s="6" t="n">
        <v>5</v>
      </c>
      <c r="K3522" s="6" t="n">
        <v>105.0730323</v>
      </c>
      <c r="L3522" s="6">
        <f>I3522*K3522</f>
        <v/>
      </c>
      <c r="M3522" s="6">
        <f>K3522*4</f>
        <v/>
      </c>
      <c r="N3522" s="6" t="n">
        <v>550</v>
      </c>
    </row>
    <row r="3523">
      <c r="A3523" s="1" t="inlineStr">
        <is>
          <t>668eee3870a7d</t>
        </is>
      </c>
      <c r="B3523" s="1" t="inlineStr">
        <is>
          <t>COLLAR ESLABONES SILVER</t>
        </is>
      </c>
      <c r="C3523" s="1" t="inlineStr">
        <is>
          <t>47.5 cm</t>
        </is>
      </c>
      <c r="D3523" s="1" t="inlineStr">
        <is>
          <t>19/03/2026</t>
        </is>
      </c>
      <c r="E3523" s="1" t="n">
        <v>2026</v>
      </c>
      <c r="F3523" s="1" t="inlineStr">
        <is>
          <t>MARZO</t>
        </is>
      </c>
      <c r="G3523" s="1" t="inlineStr">
        <is>
          <t>CYNTHIA</t>
        </is>
      </c>
      <c r="H3523" s="1" t="inlineStr">
        <is>
          <t>CYNTHIA 19/03/2026</t>
        </is>
      </c>
      <c r="I3523" s="4" t="n">
        <v>3</v>
      </c>
      <c r="J3523" s="6" t="n">
        <v>13.8</v>
      </c>
      <c r="K3523" s="6" t="n">
        <v>370.632338</v>
      </c>
      <c r="L3523" s="6">
        <f>I3523*K3523</f>
        <v/>
      </c>
      <c r="M3523" s="6">
        <f>K3523*4</f>
        <v/>
      </c>
      <c r="N3523" s="6" t="n">
        <v>1499</v>
      </c>
    </row>
    <row r="3524">
      <c r="A3524" s="1" t="inlineStr">
        <is>
          <t>668eee3921529</t>
        </is>
      </c>
      <c r="B3524" s="1" t="inlineStr">
        <is>
          <t>COLLAR ESLABONES SILVER</t>
        </is>
      </c>
      <c r="C3524" s="1" t="inlineStr">
        <is>
          <t>HIGH QUALITY 46cm</t>
        </is>
      </c>
      <c r="D3524" s="1" t="inlineStr">
        <is>
          <t>05/09/2025</t>
        </is>
      </c>
      <c r="E3524" s="1" t="n">
        <v>2025</v>
      </c>
      <c r="F3524" s="1" t="inlineStr">
        <is>
          <t>SEPTIEMBRE</t>
        </is>
      </c>
      <c r="G3524" s="1" t="inlineStr">
        <is>
          <t>CYNTHIA</t>
        </is>
      </c>
      <c r="H3524" s="1" t="inlineStr">
        <is>
          <t>CYNTHIA 05/09/2025</t>
        </is>
      </c>
      <c r="I3524" s="4" t="n">
        <v>6</v>
      </c>
      <c r="J3524" s="6" t="n">
        <v>13.8</v>
      </c>
      <c r="K3524" s="6" t="n">
        <v>347.4715376</v>
      </c>
      <c r="L3524" s="6">
        <f>I3524*K3524</f>
        <v/>
      </c>
      <c r="M3524" s="6">
        <f>K3524*4</f>
        <v/>
      </c>
      <c r="N3524" s="6" t="n">
        <v>1199</v>
      </c>
    </row>
    <row r="3525">
      <c r="A3525" s="1" t="inlineStr">
        <is>
          <t>668eee3921529</t>
        </is>
      </c>
      <c r="B3525" s="1" t="n"/>
      <c r="C3525" s="1" t="inlineStr">
        <is>
          <t>HIGH QUALITY 46cm</t>
        </is>
      </c>
      <c r="D3525" s="1" t="inlineStr">
        <is>
          <t>07/01/2026</t>
        </is>
      </c>
      <c r="E3525" s="1" t="n">
        <v>2026</v>
      </c>
      <c r="F3525" s="1" t="inlineStr">
        <is>
          <t>ENERO</t>
        </is>
      </c>
      <c r="G3525" s="1" t="inlineStr">
        <is>
          <t>CYNTHIA</t>
        </is>
      </c>
      <c r="H3525" s="1" t="inlineStr">
        <is>
          <t>CYNTHIA 07/01/2026</t>
        </is>
      </c>
      <c r="I3525" s="4" t="n">
        <v>4</v>
      </c>
      <c r="J3525" s="6" t="n">
        <v>13.8</v>
      </c>
      <c r="K3525" s="6" t="n">
        <v>366.9065019</v>
      </c>
      <c r="L3525" s="6">
        <f>I3525*K3525</f>
        <v/>
      </c>
      <c r="M3525" s="6">
        <f>K3525*4</f>
        <v/>
      </c>
      <c r="N3525" s="6" t="n">
        <v>1499</v>
      </c>
    </row>
    <row r="3526">
      <c r="A3526" s="1" t="inlineStr">
        <is>
          <t>668eee3921529</t>
        </is>
      </c>
      <c r="B3526" s="1" t="inlineStr">
        <is>
          <t>COLLAR ESLABONES SILVER</t>
        </is>
      </c>
      <c r="C3526" s="1" t="inlineStr">
        <is>
          <t>HIGH QUALITY 46cm</t>
        </is>
      </c>
      <c r="D3526" s="1" t="inlineStr">
        <is>
          <t>27/04/2026</t>
        </is>
      </c>
      <c r="E3526" s="1" t="n">
        <v>2026</v>
      </c>
      <c r="F3526" s="1" t="inlineStr">
        <is>
          <t>ABRIL</t>
        </is>
      </c>
      <c r="G3526" s="1" t="inlineStr">
        <is>
          <t>CYNTHIA</t>
        </is>
      </c>
      <c r="H3526" s="1" t="inlineStr">
        <is>
          <t>CYNTHIA 27/04/2026</t>
        </is>
      </c>
      <c r="I3526" s="4" t="n">
        <v>1</v>
      </c>
      <c r="J3526" s="6" t="n">
        <v>13.8</v>
      </c>
      <c r="K3526" s="6" t="n">
        <v>358.1112781</v>
      </c>
      <c r="L3526" s="6">
        <f>I3526*K3526</f>
        <v/>
      </c>
      <c r="M3526" s="6">
        <f>K3526*4</f>
        <v/>
      </c>
      <c r="N3526" s="6" t="n">
        <v>1499</v>
      </c>
    </row>
    <row r="3527">
      <c r="A3527" s="1" t="inlineStr">
        <is>
          <t>668eee3921529</t>
        </is>
      </c>
      <c r="B3527" s="1" t="inlineStr">
        <is>
          <t>COLLAR ESLABONES SILVER</t>
        </is>
      </c>
      <c r="C3527" s="1" t="inlineStr">
        <is>
          <t>HIGH QUALITY 46cm</t>
        </is>
      </c>
      <c r="D3527" s="1" t="inlineStr">
        <is>
          <t>31/05/2026</t>
        </is>
      </c>
      <c r="E3527" s="1" t="n">
        <v>2026</v>
      </c>
      <c r="F3527" s="1" t="inlineStr">
        <is>
          <t>MAYO</t>
        </is>
      </c>
      <c r="G3527" s="1" t="inlineStr">
        <is>
          <t>CYNTHIA</t>
        </is>
      </c>
      <c r="H3527" s="1" t="inlineStr">
        <is>
          <t>CYNTHIA 31/05/2026</t>
        </is>
      </c>
      <c r="I3527" s="4" t="n">
        <v>5</v>
      </c>
      <c r="J3527" s="6" t="n">
        <v>13.8</v>
      </c>
      <c r="K3527" s="6" t="n">
        <v>365.7144207</v>
      </c>
      <c r="L3527" s="6">
        <f>I3527*K3527</f>
        <v/>
      </c>
      <c r="M3527" s="6">
        <f>K3527*4</f>
        <v/>
      </c>
      <c r="N3527" s="6" t="n">
        <v>1499</v>
      </c>
    </row>
    <row r="3528">
      <c r="A3528" s="1" t="inlineStr">
        <is>
          <t>668eee3b4af12</t>
        </is>
      </c>
      <c r="B3528" s="1" t="inlineStr">
        <is>
          <t>PULSERA T CON ZIRCONIA Y COLOR TURQUESA</t>
        </is>
      </c>
      <c r="C3528" s="1" t="inlineStr">
        <is>
          <t>16 cm</t>
        </is>
      </c>
      <c r="D3528" s="1" t="inlineStr">
        <is>
          <t>07/01/2026</t>
        </is>
      </c>
      <c r="E3528" s="1" t="n">
        <v>2026</v>
      </c>
      <c r="F3528" s="1" t="inlineStr">
        <is>
          <t>ENERO</t>
        </is>
      </c>
      <c r="G3528" s="1" t="inlineStr">
        <is>
          <t>CYNTHIA</t>
        </is>
      </c>
      <c r="H3528" s="1" t="inlineStr">
        <is>
          <t>CYNTHIA 07/01/2026</t>
        </is>
      </c>
      <c r="I3528" s="4" t="n">
        <v>3</v>
      </c>
      <c r="J3528" s="6" t="n">
        <v>6</v>
      </c>
      <c r="K3528" s="6" t="n">
        <v>159.524566</v>
      </c>
      <c r="L3528" s="6">
        <f>I3528*K3528</f>
        <v/>
      </c>
      <c r="M3528" s="6">
        <f>K3528*4</f>
        <v/>
      </c>
      <c r="N3528" s="6" t="n">
        <v>639</v>
      </c>
    </row>
    <row r="3529">
      <c r="A3529" s="1" t="inlineStr">
        <is>
          <t>668eee3b4af12</t>
        </is>
      </c>
      <c r="B3529" s="1" t="inlineStr">
        <is>
          <t>PULSERA T CON ZIRCONIA Y COLOR TURQUESA</t>
        </is>
      </c>
      <c r="C3529" s="1" t="inlineStr">
        <is>
          <t>16 cm</t>
        </is>
      </c>
      <c r="D3529" s="1" t="inlineStr">
        <is>
          <t>31/05/2026</t>
        </is>
      </c>
      <c r="E3529" s="1" t="n">
        <v>2026</v>
      </c>
      <c r="F3529" s="1" t="inlineStr">
        <is>
          <t>MAYO</t>
        </is>
      </c>
      <c r="G3529" s="1" t="inlineStr">
        <is>
          <t>CYNTHIA</t>
        </is>
      </c>
      <c r="H3529" s="1" t="inlineStr">
        <is>
          <t>CYNTHIA 31/05/2026</t>
        </is>
      </c>
      <c r="I3529" s="4" t="n">
        <v>5</v>
      </c>
      <c r="J3529" s="6" t="n">
        <v>6</v>
      </c>
      <c r="K3529" s="6" t="n">
        <v>159.0062699</v>
      </c>
      <c r="L3529" s="6">
        <f>I3529*K3529</f>
        <v/>
      </c>
      <c r="M3529" s="6">
        <f>K3529*4</f>
        <v/>
      </c>
      <c r="N3529" s="6" t="n">
        <v>639</v>
      </c>
    </row>
    <row r="3530">
      <c r="A3530" s="1" t="inlineStr">
        <is>
          <t>668eee3e3e067</t>
        </is>
      </c>
      <c r="B3530" s="1" t="inlineStr">
        <is>
          <t>COLLAR DOBLE PLACA CORAZON TURQUESA-PLATA</t>
        </is>
      </c>
      <c r="C3530" s="1" t="inlineStr">
        <is>
          <t>Copper</t>
        </is>
      </c>
      <c r="D3530" s="1" t="inlineStr">
        <is>
          <t>25/09/2025</t>
        </is>
      </c>
      <c r="E3530" s="1" t="n">
        <v>2025</v>
      </c>
      <c r="F3530" s="1" t="inlineStr">
        <is>
          <t>SEPTIEMBRE</t>
        </is>
      </c>
      <c r="G3530" s="1" t="inlineStr">
        <is>
          <t>HAIFENG</t>
        </is>
      </c>
      <c r="H3530" s="1" t="inlineStr">
        <is>
          <t>HAIFENG 25/09/2025</t>
        </is>
      </c>
      <c r="I3530" s="4" t="n">
        <v>2</v>
      </c>
      <c r="J3530" s="6" t="n">
        <v>5</v>
      </c>
      <c r="K3530" s="6" t="n">
        <v>105.4844288</v>
      </c>
      <c r="L3530" s="6">
        <f>I3530*K3530</f>
        <v/>
      </c>
      <c r="M3530" s="6">
        <f>K3530*4</f>
        <v/>
      </c>
      <c r="N3530" s="6" t="n">
        <v>550</v>
      </c>
    </row>
    <row r="3531">
      <c r="A3531" s="1" t="inlineStr">
        <is>
          <t>668eee3e3e067</t>
        </is>
      </c>
      <c r="B3531" s="1" t="inlineStr">
        <is>
          <t>COLLAR DOBLE PLACA CORAZÓN TURQUESA-PLATA</t>
        </is>
      </c>
      <c r="C3531" s="1" t="inlineStr">
        <is>
          <t>Copper</t>
        </is>
      </c>
      <c r="D3531" s="1" t="inlineStr">
        <is>
          <t>11/11/2025</t>
        </is>
      </c>
      <c r="E3531" s="1" t="n">
        <v>2025</v>
      </c>
      <c r="F3531" s="1" t="inlineStr">
        <is>
          <t>NOVIEMBRE</t>
        </is>
      </c>
      <c r="G3531" s="1" t="inlineStr">
        <is>
          <t>HAIFENG</t>
        </is>
      </c>
      <c r="H3531" s="1" t="inlineStr">
        <is>
          <t>HAIFENG 11/11/2025</t>
        </is>
      </c>
      <c r="I3531" s="4" t="n">
        <v>20</v>
      </c>
      <c r="J3531" s="6" t="n">
        <v>5</v>
      </c>
      <c r="K3531" s="6" t="n">
        <v>105.3024922</v>
      </c>
      <c r="L3531" s="6">
        <f>I3531*K3531</f>
        <v/>
      </c>
      <c r="M3531" s="6">
        <f>K3531*4</f>
        <v/>
      </c>
      <c r="N3531" s="6" t="n">
        <v>550</v>
      </c>
    </row>
    <row r="3532">
      <c r="A3532" s="1" t="inlineStr">
        <is>
          <t>668eee3e3e067</t>
        </is>
      </c>
      <c r="B3532" s="1" t="inlineStr">
        <is>
          <t>COLLAR DOBLE PLACA CORAZÓN TURQUESA-PLATA</t>
        </is>
      </c>
      <c r="C3532" s="1" t="inlineStr">
        <is>
          <t>Copper</t>
        </is>
      </c>
      <c r="D3532" s="1" t="inlineStr">
        <is>
          <t>03/12/2025</t>
        </is>
      </c>
      <c r="E3532" s="1" t="n">
        <v>2025</v>
      </c>
      <c r="F3532" s="1" t="inlineStr">
        <is>
          <t>DICIEMBRE</t>
        </is>
      </c>
      <c r="G3532" s="1" t="inlineStr">
        <is>
          <t>HAIFENG</t>
        </is>
      </c>
      <c r="H3532" s="1" t="inlineStr">
        <is>
          <t>HAIFENG 03/12/2025</t>
        </is>
      </c>
      <c r="I3532" s="4" t="n">
        <v>10</v>
      </c>
      <c r="J3532" s="6" t="n">
        <v>5</v>
      </c>
      <c r="K3532" s="6" t="n">
        <v>104.5858001</v>
      </c>
      <c r="L3532" s="6">
        <f>I3532*K3532</f>
        <v/>
      </c>
      <c r="M3532" s="6">
        <f>K3532*4</f>
        <v/>
      </c>
      <c r="N3532" s="6" t="n">
        <v>550</v>
      </c>
    </row>
    <row r="3533">
      <c r="A3533" s="1" t="inlineStr">
        <is>
          <t>668eee3e3e067</t>
        </is>
      </c>
      <c r="B3533" s="1" t="inlineStr">
        <is>
          <t>COLLAR DOBLE PLACA CORAZÓN TURQUESA-PLATA</t>
        </is>
      </c>
      <c r="C3533" s="1" t="inlineStr">
        <is>
          <t>Copper</t>
        </is>
      </c>
      <c r="D3533" s="1" t="inlineStr">
        <is>
          <t>16/04/2026</t>
        </is>
      </c>
      <c r="E3533" s="1" t="n">
        <v>2026</v>
      </c>
      <c r="F3533" s="1" t="inlineStr">
        <is>
          <t>ABRIL</t>
        </is>
      </c>
      <c r="G3533" s="1" t="inlineStr">
        <is>
          <t>HAIFENG</t>
        </is>
      </c>
      <c r="H3533" s="1" t="inlineStr">
        <is>
          <t>HAIFENG 16/04/2026</t>
        </is>
      </c>
      <c r="I3533" s="4" t="n">
        <v>20</v>
      </c>
      <c r="J3533" s="6" t="n">
        <v>5</v>
      </c>
      <c r="K3533" s="6" t="n">
        <v>105.1573679</v>
      </c>
      <c r="L3533" s="6">
        <f>I3533*K3533</f>
        <v/>
      </c>
      <c r="M3533" s="6">
        <f>K3533*4</f>
        <v/>
      </c>
      <c r="N3533" s="6" t="n">
        <v>550</v>
      </c>
    </row>
    <row r="3534">
      <c r="A3534" s="1" t="inlineStr">
        <is>
          <t>668eee3e3e067</t>
        </is>
      </c>
      <c r="B3534" s="1" t="inlineStr">
        <is>
          <t>COLLAR DOBLE PLACA CORAZÓN TURQUESA-PLATA</t>
        </is>
      </c>
      <c r="C3534" s="1" t="inlineStr">
        <is>
          <t>Copper</t>
        </is>
      </c>
      <c r="D3534" s="1" t="inlineStr">
        <is>
          <t>16/06/2026</t>
        </is>
      </c>
      <c r="E3534" s="1" t="n">
        <v>2026</v>
      </c>
      <c r="F3534" s="1" t="inlineStr">
        <is>
          <t>JUNIO</t>
        </is>
      </c>
      <c r="G3534" s="1" t="inlineStr">
        <is>
          <t>HAIFENG</t>
        </is>
      </c>
      <c r="H3534" s="1" t="inlineStr">
        <is>
          <t>HAIFENG 16/06/2026</t>
        </is>
      </c>
      <c r="I3534" s="4" t="n">
        <v>15</v>
      </c>
      <c r="J3534" s="6" t="n">
        <v>5</v>
      </c>
      <c r="K3534" s="6" t="n">
        <v>105.0730323</v>
      </c>
      <c r="L3534" s="6">
        <f>I3534*K3534</f>
        <v/>
      </c>
      <c r="M3534" s="6">
        <f>K3534*4</f>
        <v/>
      </c>
      <c r="N3534" s="6" t="n">
        <v>550</v>
      </c>
    </row>
    <row r="3535">
      <c r="A3535" s="1" t="inlineStr">
        <is>
          <t>668eee3eadc59</t>
        </is>
      </c>
      <c r="B3535" s="1" t="inlineStr">
        <is>
          <t>COLLAR DOBLE PLACA CORAZÓN ROSA-PLATA</t>
        </is>
      </c>
      <c r="C3535" s="1" t="inlineStr">
        <is>
          <t>HIGH QUALITY</t>
        </is>
      </c>
      <c r="D3535" s="1" t="inlineStr">
        <is>
          <t>25/10/2025</t>
        </is>
      </c>
      <c r="E3535" s="1" t="n">
        <v>2025</v>
      </c>
      <c r="F3535" s="1" t="inlineStr">
        <is>
          <t>OCTUBRE</t>
        </is>
      </c>
      <c r="G3535" s="1" t="inlineStr">
        <is>
          <t>CYNTHIA</t>
        </is>
      </c>
      <c r="H3535" s="1" t="inlineStr">
        <is>
          <t>CYNTHIA 25/10/2025</t>
        </is>
      </c>
      <c r="I3535" s="4" t="n">
        <v>6</v>
      </c>
      <c r="J3535" s="6" t="n">
        <v>11.6</v>
      </c>
      <c r="K3535" s="6" t="n">
        <v>303.9411536</v>
      </c>
      <c r="L3535" s="6">
        <f>I3535*K3535</f>
        <v/>
      </c>
      <c r="M3535" s="6">
        <f>K3535*4</f>
        <v/>
      </c>
      <c r="N3535" s="6" t="n">
        <v>950</v>
      </c>
    </row>
    <row r="3536">
      <c r="A3536" s="1" t="inlineStr">
        <is>
          <t>668eee3eadc59</t>
        </is>
      </c>
      <c r="B3536" s="1" t="inlineStr">
        <is>
          <t>COLLAR DOBLE PLACA CORAZÓN ROSA-PLATA</t>
        </is>
      </c>
      <c r="C3536" s="1" t="inlineStr">
        <is>
          <t>Copper</t>
        </is>
      </c>
      <c r="D3536" s="1" t="inlineStr">
        <is>
          <t>19/03/2026</t>
        </is>
      </c>
      <c r="E3536" s="1" t="n">
        <v>2026</v>
      </c>
      <c r="F3536" s="1" t="inlineStr">
        <is>
          <t>MARZO</t>
        </is>
      </c>
      <c r="G3536" s="1" t="inlineStr">
        <is>
          <t>CYNTHIA</t>
        </is>
      </c>
      <c r="H3536" s="1" t="inlineStr">
        <is>
          <t>CYNTHIA 19/03/2026</t>
        </is>
      </c>
      <c r="I3536" s="4" t="n">
        <v>6</v>
      </c>
      <c r="J3536" s="6" t="n">
        <v>8.800000000000001</v>
      </c>
      <c r="K3536" s="6" t="n">
        <v>236.345259</v>
      </c>
      <c r="L3536" s="6">
        <f>I3536*K3536</f>
        <v/>
      </c>
      <c r="M3536" s="6">
        <f>K3536*4</f>
        <v/>
      </c>
      <c r="N3536" s="6" t="n">
        <v>950</v>
      </c>
    </row>
    <row r="3537">
      <c r="A3537" s="1" t="inlineStr">
        <is>
          <t>668eee4037675</t>
        </is>
      </c>
      <c r="B3537" s="1" t="inlineStr">
        <is>
          <t>COLLAR ESLABONES GOLD</t>
        </is>
      </c>
      <c r="C3537" s="1" t="inlineStr">
        <is>
          <t>46cm</t>
        </is>
      </c>
      <c r="D3537" s="1" t="inlineStr">
        <is>
          <t>05/09/2025</t>
        </is>
      </c>
      <c r="E3537" s="1" t="n">
        <v>2025</v>
      </c>
      <c r="F3537" s="1" t="inlineStr">
        <is>
          <t>SEPTIEMBRE</t>
        </is>
      </c>
      <c r="G3537" s="1" t="inlineStr">
        <is>
          <t>CYNTHIA</t>
        </is>
      </c>
      <c r="H3537" s="1" t="inlineStr">
        <is>
          <t>CYNTHIA 05/09/2025</t>
        </is>
      </c>
      <c r="I3537" s="4" t="n">
        <v>6</v>
      </c>
      <c r="J3537" s="6" t="n">
        <v>13.8</v>
      </c>
      <c r="K3537" s="6" t="n">
        <v>347.4715376</v>
      </c>
      <c r="L3537" s="6">
        <f>I3537*K3537</f>
        <v/>
      </c>
      <c r="M3537" s="6">
        <f>K3537*4</f>
        <v/>
      </c>
      <c r="N3537" s="6" t="n">
        <v>1199</v>
      </c>
    </row>
    <row r="3538">
      <c r="A3538" s="1" t="inlineStr">
        <is>
          <t>668eee4037675</t>
        </is>
      </c>
      <c r="B3538" s="1" t="inlineStr">
        <is>
          <t>COLLAR ESLABONES GOLD</t>
        </is>
      </c>
      <c r="C3538" s="1" t="inlineStr">
        <is>
          <t>46cm</t>
        </is>
      </c>
      <c r="D3538" s="1" t="inlineStr">
        <is>
          <t>07/01/2026</t>
        </is>
      </c>
      <c r="E3538" s="1" t="n">
        <v>2026</v>
      </c>
      <c r="F3538" s="1" t="inlineStr">
        <is>
          <t>ENERO</t>
        </is>
      </c>
      <c r="G3538" s="1" t="inlineStr">
        <is>
          <t>CYNTHIA</t>
        </is>
      </c>
      <c r="H3538" s="1" t="inlineStr">
        <is>
          <t>CYNTHIA 07/01/2026</t>
        </is>
      </c>
      <c r="I3538" s="4" t="n">
        <v>3</v>
      </c>
      <c r="J3538" s="6" t="n">
        <v>13.8</v>
      </c>
      <c r="K3538" s="6" t="n">
        <v>366.9065019</v>
      </c>
      <c r="L3538" s="6">
        <f>I3538*K3538</f>
        <v/>
      </c>
      <c r="M3538" s="6">
        <f>K3538*4</f>
        <v/>
      </c>
      <c r="N3538" s="6" t="n">
        <v>1499</v>
      </c>
    </row>
    <row r="3539">
      <c r="A3539" s="1" t="inlineStr">
        <is>
          <t>668eee4037675</t>
        </is>
      </c>
      <c r="B3539" s="1" t="inlineStr">
        <is>
          <t>COLLAR ESLABONES GOLD</t>
        </is>
      </c>
      <c r="C3539" s="1" t="inlineStr">
        <is>
          <t>46cm</t>
        </is>
      </c>
      <c r="D3539" s="1" t="inlineStr">
        <is>
          <t>19/03/2026</t>
        </is>
      </c>
      <c r="E3539" s="1" t="n">
        <v>2026</v>
      </c>
      <c r="F3539" s="1" t="inlineStr">
        <is>
          <t>MARZO</t>
        </is>
      </c>
      <c r="G3539" s="1" t="inlineStr">
        <is>
          <t>CYNTHIA</t>
        </is>
      </c>
      <c r="H3539" s="1" t="inlineStr">
        <is>
          <t>CYNTHIA 19/03/2026</t>
        </is>
      </c>
      <c r="I3539" s="4" t="n">
        <v>3</v>
      </c>
      <c r="J3539" s="6" t="n">
        <v>13.8</v>
      </c>
      <c r="K3539" s="6" t="n">
        <v>370.632338</v>
      </c>
      <c r="L3539" s="6">
        <f>I3539*K3539</f>
        <v/>
      </c>
      <c r="M3539" s="6">
        <f>K3539*4</f>
        <v/>
      </c>
      <c r="N3539" s="6" t="n">
        <v>1499</v>
      </c>
    </row>
    <row r="3540">
      <c r="A3540" s="1" t="inlineStr">
        <is>
          <t>668eee4037675</t>
        </is>
      </c>
      <c r="B3540" s="1" t="inlineStr">
        <is>
          <t>COLLAR ESLABONES GOLD</t>
        </is>
      </c>
      <c r="C3540" s="1" t="inlineStr">
        <is>
          <t>46cm</t>
        </is>
      </c>
      <c r="D3540" s="1" t="inlineStr">
        <is>
          <t>27/04/2026</t>
        </is>
      </c>
      <c r="E3540" s="1" t="n">
        <v>2026</v>
      </c>
      <c r="F3540" s="1" t="inlineStr">
        <is>
          <t>ABRIL</t>
        </is>
      </c>
      <c r="G3540" s="1" t="inlineStr">
        <is>
          <t>CYNTHIA</t>
        </is>
      </c>
      <c r="H3540" s="1" t="inlineStr">
        <is>
          <t>CYNTHIA 27/04/2026</t>
        </is>
      </c>
      <c r="I3540" s="4" t="n">
        <v>2</v>
      </c>
      <c r="J3540" s="6" t="n">
        <v>13.8</v>
      </c>
      <c r="K3540" s="6" t="n">
        <v>358.1112781</v>
      </c>
      <c r="L3540" s="6">
        <f>I3540*K3540</f>
        <v/>
      </c>
      <c r="M3540" s="6">
        <f>K3540*4</f>
        <v/>
      </c>
      <c r="N3540" s="6" t="n">
        <v>1499</v>
      </c>
    </row>
    <row r="3541">
      <c r="A3541" s="1" t="inlineStr">
        <is>
          <t>668eee4037675</t>
        </is>
      </c>
      <c r="B3541" s="1" t="inlineStr">
        <is>
          <t>COLLAR ESLABONES GOLD</t>
        </is>
      </c>
      <c r="C3541" s="1" t="inlineStr">
        <is>
          <t>46cm</t>
        </is>
      </c>
      <c r="D3541" s="1" t="inlineStr">
        <is>
          <t>31/05/2026</t>
        </is>
      </c>
      <c r="E3541" s="1" t="n">
        <v>2026</v>
      </c>
      <c r="F3541" s="1" t="inlineStr">
        <is>
          <t>MAYO</t>
        </is>
      </c>
      <c r="G3541" s="1" t="inlineStr">
        <is>
          <t>CYNTHIA</t>
        </is>
      </c>
      <c r="H3541" s="1" t="inlineStr">
        <is>
          <t>CYNTHIA 31/05/2026</t>
        </is>
      </c>
      <c r="I3541" s="4" t="n">
        <v>5</v>
      </c>
      <c r="J3541" s="6" t="n">
        <v>13.8</v>
      </c>
      <c r="K3541" s="6" t="n">
        <v>365.7144207</v>
      </c>
      <c r="L3541" s="6">
        <f>I3541*K3541</f>
        <v/>
      </c>
      <c r="M3541" s="6">
        <f>K3541*4</f>
        <v/>
      </c>
      <c r="N3541" s="6" t="n">
        <v>1499</v>
      </c>
    </row>
    <row r="3542">
      <c r="A3542" s="1" t="inlineStr">
        <is>
          <t>668eee41bab7a</t>
        </is>
      </c>
      <c r="B3542" s="1" t="inlineStr">
        <is>
          <t>PULSERA ESLABONES GOLD</t>
        </is>
      </c>
      <c r="C3542" s="1" t="inlineStr">
        <is>
          <t>High Quality 17.5cm</t>
        </is>
      </c>
      <c r="D3542" s="1" t="inlineStr">
        <is>
          <t>05/09/2025</t>
        </is>
      </c>
      <c r="E3542" s="1" t="n">
        <v>2025</v>
      </c>
      <c r="F3542" s="1" t="inlineStr">
        <is>
          <t>SEPTIEMBRE</t>
        </is>
      </c>
      <c r="G3542" s="1" t="inlineStr">
        <is>
          <t>CYNTHIA</t>
        </is>
      </c>
      <c r="H3542" s="1" t="inlineStr">
        <is>
          <t>CYNTHIA 05/09/2025</t>
        </is>
      </c>
      <c r="I3542" s="4" t="n">
        <v>10</v>
      </c>
      <c r="J3542" s="6" t="n">
        <v>12.8</v>
      </c>
      <c r="K3542" s="6" t="n">
        <v>322.2924407</v>
      </c>
      <c r="L3542" s="6">
        <f>I3542*K3542</f>
        <v/>
      </c>
      <c r="M3542" s="6">
        <f>K3542*4</f>
        <v/>
      </c>
      <c r="N3542" s="6" t="n">
        <v>1250</v>
      </c>
    </row>
    <row r="3543">
      <c r="A3543" s="1" t="inlineStr">
        <is>
          <t>668eee41bab7a</t>
        </is>
      </c>
      <c r="B3543" s="1" t="inlineStr">
        <is>
          <t>PULSERA ESLABONES GOLD</t>
        </is>
      </c>
      <c r="C3543" s="1" t="inlineStr">
        <is>
          <t>High Quality 17.5cm</t>
        </is>
      </c>
      <c r="D3543" s="1" t="inlineStr">
        <is>
          <t>07/01/2026</t>
        </is>
      </c>
      <c r="E3543" s="1" t="n">
        <v>2026</v>
      </c>
      <c r="F3543" s="1" t="inlineStr">
        <is>
          <t>ENERO</t>
        </is>
      </c>
      <c r="G3543" s="1" t="inlineStr">
        <is>
          <t>CYNTHIA</t>
        </is>
      </c>
      <c r="H3543" s="1" t="inlineStr">
        <is>
          <t>CYNTHIA 07/01/2026</t>
        </is>
      </c>
      <c r="I3543" s="4" t="n">
        <v>8</v>
      </c>
      <c r="J3543" s="6" t="n">
        <v>12.8</v>
      </c>
      <c r="K3543" s="6" t="n">
        <v>340.3190742</v>
      </c>
      <c r="L3543" s="6">
        <f>I3543*K3543</f>
        <v/>
      </c>
      <c r="M3543" s="6">
        <f>K3543*4</f>
        <v/>
      </c>
      <c r="N3543" s="6" t="n">
        <v>1469</v>
      </c>
    </row>
    <row r="3544">
      <c r="A3544" s="1" t="inlineStr">
        <is>
          <t>668eee41bab7a</t>
        </is>
      </c>
      <c r="B3544" s="1" t="inlineStr">
        <is>
          <t>PULSERA ESLABONES GOLD</t>
        </is>
      </c>
      <c r="C3544" s="1" t="inlineStr">
        <is>
          <t>High Quality 17.5cm</t>
        </is>
      </c>
      <c r="D3544" s="1" t="inlineStr">
        <is>
          <t>19/03/2026</t>
        </is>
      </c>
      <c r="E3544" s="1" t="n">
        <v>2026</v>
      </c>
      <c r="F3544" s="1" t="inlineStr">
        <is>
          <t>MARZO</t>
        </is>
      </c>
      <c r="G3544" s="1" t="inlineStr">
        <is>
          <t>CYNTHIA</t>
        </is>
      </c>
      <c r="H3544" s="1" t="inlineStr">
        <is>
          <t>CYNTHIA 19/03/2026</t>
        </is>
      </c>
      <c r="I3544" s="4" t="n">
        <v>6</v>
      </c>
      <c r="J3544" s="6" t="n">
        <v>13.8</v>
      </c>
      <c r="K3544" s="6" t="n">
        <v>370.632338</v>
      </c>
      <c r="L3544" s="6">
        <f>I3544*K3544</f>
        <v/>
      </c>
      <c r="M3544" s="6">
        <f>K3544*4</f>
        <v/>
      </c>
      <c r="N3544" s="6" t="n">
        <v>1469</v>
      </c>
    </row>
    <row r="3545">
      <c r="A3545" s="1" t="inlineStr">
        <is>
          <t>668eee41bab7a</t>
        </is>
      </c>
      <c r="B3545" s="1" t="inlineStr">
        <is>
          <t>PULSERA ESLABONES GOLD</t>
        </is>
      </c>
      <c r="C3545" s="1" t="inlineStr">
        <is>
          <t>High Quality 17.5cm</t>
        </is>
      </c>
      <c r="D3545" s="1" t="inlineStr">
        <is>
          <t>31/05/2026</t>
        </is>
      </c>
      <c r="E3545" s="1" t="n">
        <v>2026</v>
      </c>
      <c r="F3545" s="1" t="inlineStr">
        <is>
          <t>MAYO</t>
        </is>
      </c>
      <c r="G3545" s="1" t="inlineStr">
        <is>
          <t>CYNTHIA</t>
        </is>
      </c>
      <c r="H3545" s="1" t="inlineStr">
        <is>
          <t>CYNTHIA 31/05/2026</t>
        </is>
      </c>
      <c r="I3545" s="4" t="n">
        <v>6</v>
      </c>
      <c r="J3545" s="6" t="n">
        <v>13.8</v>
      </c>
      <c r="K3545" s="6" t="n">
        <v>365.7144207</v>
      </c>
      <c r="L3545" s="6">
        <f>I3545*K3545</f>
        <v/>
      </c>
      <c r="M3545" s="6">
        <f>K3545*4</f>
        <v/>
      </c>
      <c r="N3545" s="6" t="n">
        <v>1469</v>
      </c>
    </row>
    <row r="3546">
      <c r="A3546" s="1" t="inlineStr">
        <is>
          <t>668eee4272e66</t>
        </is>
      </c>
      <c r="B3546" s="1" t="inlineStr">
        <is>
          <t>PULSERA ESLABONES GOLD</t>
        </is>
      </c>
      <c r="C3546" s="1" t="inlineStr">
        <is>
          <t>High Quality 20.5cm</t>
        </is>
      </c>
      <c r="D3546" s="1" t="inlineStr">
        <is>
          <t>05/09/2025</t>
        </is>
      </c>
      <c r="E3546" s="1" t="n">
        <v>2025</v>
      </c>
      <c r="F3546" s="1" t="inlineStr">
        <is>
          <t>SEPTIEMBRE</t>
        </is>
      </c>
      <c r="G3546" s="1" t="inlineStr">
        <is>
          <t>CYNTHIA</t>
        </is>
      </c>
      <c r="H3546" s="1" t="inlineStr">
        <is>
          <t>CYNTHIA 05/09/2025</t>
        </is>
      </c>
      <c r="I3546" s="4" t="n">
        <v>6</v>
      </c>
      <c r="J3546" s="6" t="n">
        <v>15</v>
      </c>
      <c r="K3546" s="6" t="n">
        <v>377.6864539</v>
      </c>
      <c r="L3546" s="6">
        <f>I3546*K3546</f>
        <v/>
      </c>
      <c r="M3546" s="6">
        <f>K3546*4</f>
        <v/>
      </c>
      <c r="N3546" s="6" t="n">
        <v>1320</v>
      </c>
    </row>
    <row r="3547">
      <c r="A3547" s="1" t="inlineStr">
        <is>
          <t>668eee4272e66</t>
        </is>
      </c>
      <c r="B3547" s="1" t="n"/>
      <c r="C3547" s="1" t="inlineStr">
        <is>
          <t>High Quality 20.5cm</t>
        </is>
      </c>
      <c r="D3547" s="1" t="inlineStr">
        <is>
          <t>07/01/2026</t>
        </is>
      </c>
      <c r="E3547" s="1" t="n">
        <v>2026</v>
      </c>
      <c r="F3547" s="1" t="inlineStr">
        <is>
          <t>ENERO</t>
        </is>
      </c>
      <c r="G3547" s="1" t="inlineStr">
        <is>
          <t>CYNTHIA</t>
        </is>
      </c>
      <c r="H3547" s="1" t="inlineStr">
        <is>
          <t>CYNTHIA 07/01/2026</t>
        </is>
      </c>
      <c r="I3547" s="4" t="n">
        <v>5</v>
      </c>
      <c r="J3547" s="6" t="n">
        <v>15</v>
      </c>
      <c r="K3547" s="6" t="n">
        <v>398.8114151</v>
      </c>
      <c r="L3547" s="6">
        <f>I3547*K3547</f>
        <v/>
      </c>
      <c r="M3547" s="6">
        <f>K3547*4</f>
        <v/>
      </c>
      <c r="N3547" s="6" t="n">
        <v>1469</v>
      </c>
    </row>
    <row r="3548">
      <c r="A3548" s="1" t="inlineStr">
        <is>
          <t>668eee4272e66</t>
        </is>
      </c>
      <c r="B3548" s="1" t="inlineStr">
        <is>
          <t>PULSERA ESLABONES GOLD</t>
        </is>
      </c>
      <c r="C3548" s="1" t="inlineStr">
        <is>
          <t>High Quality 20.5cm</t>
        </is>
      </c>
      <c r="D3548" s="1" t="inlineStr">
        <is>
          <t>19/03/2026</t>
        </is>
      </c>
      <c r="E3548" s="1" t="n">
        <v>2026</v>
      </c>
      <c r="F3548" s="1" t="inlineStr">
        <is>
          <t>MARZO</t>
        </is>
      </c>
      <c r="G3548" s="1" t="inlineStr">
        <is>
          <t>CYNTHIA</t>
        </is>
      </c>
      <c r="H3548" s="1" t="inlineStr">
        <is>
          <t>CYNTHIA 19/03/2026</t>
        </is>
      </c>
      <c r="I3548" s="4" t="n">
        <v>2</v>
      </c>
      <c r="J3548" s="6" t="n">
        <v>15.8</v>
      </c>
      <c r="K3548" s="6" t="n">
        <v>424.3471695</v>
      </c>
      <c r="L3548" s="6">
        <f>I3548*K3548</f>
        <v/>
      </c>
      <c r="M3548" s="6">
        <f>K3548*4</f>
        <v/>
      </c>
      <c r="N3548" s="6" t="n">
        <v>1469</v>
      </c>
    </row>
    <row r="3549">
      <c r="A3549" s="1" t="inlineStr">
        <is>
          <t>668eee4272e66</t>
        </is>
      </c>
      <c r="B3549" s="1" t="inlineStr">
        <is>
          <t>PULSERA ESLABONES GOLD</t>
        </is>
      </c>
      <c r="C3549" s="1" t="inlineStr">
        <is>
          <t>High Quality 20.5cm</t>
        </is>
      </c>
      <c r="D3549" s="1" t="inlineStr">
        <is>
          <t>27/04/2026</t>
        </is>
      </c>
      <c r="E3549" s="1" t="n">
        <v>2026</v>
      </c>
      <c r="F3549" s="1" t="inlineStr">
        <is>
          <t>ABRIL</t>
        </is>
      </c>
      <c r="G3549" s="1" t="inlineStr">
        <is>
          <t>CYNTHIA</t>
        </is>
      </c>
      <c r="H3549" s="1" t="inlineStr">
        <is>
          <t>CYNTHIA 27/04/2026</t>
        </is>
      </c>
      <c r="I3549" s="4" t="n">
        <v>4</v>
      </c>
      <c r="J3549" s="6" t="n">
        <v>15.8</v>
      </c>
      <c r="K3549" s="6" t="n">
        <v>410.0114634</v>
      </c>
      <c r="L3549" s="6">
        <f>I3549*K3549</f>
        <v/>
      </c>
      <c r="M3549" s="6">
        <f>K3549*4</f>
        <v/>
      </c>
      <c r="N3549" s="6" t="n">
        <v>1469</v>
      </c>
    </row>
    <row r="3550">
      <c r="A3550" s="1" t="inlineStr">
        <is>
          <t>668eee430f697</t>
        </is>
      </c>
      <c r="B3550" s="1" t="inlineStr">
        <is>
          <t>COLLAR SMILE ROSE GOLD</t>
        </is>
      </c>
      <c r="C3550" s="1" t="inlineStr">
        <is>
          <t>Cadena ajustable de 40.6 a 45.7 cm</t>
        </is>
      </c>
      <c r="D3550" s="1" t="inlineStr">
        <is>
          <t>01/09/2025</t>
        </is>
      </c>
      <c r="E3550" s="1" t="n">
        <v>2025</v>
      </c>
      <c r="F3550" s="1" t="inlineStr">
        <is>
          <t>SEPTIEMBRE</t>
        </is>
      </c>
      <c r="G3550" s="1" t="inlineStr">
        <is>
          <t>HAIFENG</t>
        </is>
      </c>
      <c r="H3550" s="1" t="inlineStr">
        <is>
          <t>HAIFENG 01/09/2025</t>
        </is>
      </c>
      <c r="I3550" s="4" t="n">
        <v>2</v>
      </c>
      <c r="J3550" s="6" t="n">
        <v>3.4</v>
      </c>
      <c r="K3550" s="6" t="n">
        <v>72.26928160999999</v>
      </c>
      <c r="L3550" s="6">
        <f>I3550*K3550</f>
        <v/>
      </c>
      <c r="M3550" s="6">
        <f>K3550*4</f>
        <v/>
      </c>
      <c r="N3550" s="6" t="n">
        <v>460</v>
      </c>
    </row>
    <row r="3551">
      <c r="A3551" s="1" t="inlineStr">
        <is>
          <t>668eee430f697</t>
        </is>
      </c>
      <c r="B3551" s="1" t="inlineStr">
        <is>
          <t>COLLAR SMILE ROSE GOLD</t>
        </is>
      </c>
      <c r="C3551" s="1" t="inlineStr">
        <is>
          <t>Cadena ajustable de 40.6 a 45.7 cm</t>
        </is>
      </c>
      <c r="D3551" s="1" t="inlineStr">
        <is>
          <t>03/12/2025</t>
        </is>
      </c>
      <c r="E3551" s="1" t="n">
        <v>2025</v>
      </c>
      <c r="F3551" s="1" t="inlineStr">
        <is>
          <t>DICIEMBRE</t>
        </is>
      </c>
      <c r="G3551" s="1" t="inlineStr">
        <is>
          <t>HAIFENG</t>
        </is>
      </c>
      <c r="H3551" s="1" t="inlineStr">
        <is>
          <t>HAIFENG 03/12/2025</t>
        </is>
      </c>
      <c r="I3551" s="4" t="n">
        <v>3</v>
      </c>
      <c r="J3551" s="6" t="n">
        <v>3.4</v>
      </c>
      <c r="K3551" s="6" t="n">
        <v>71.11834404</v>
      </c>
      <c r="L3551" s="6">
        <f>I3551*K3551</f>
        <v/>
      </c>
      <c r="M3551" s="6">
        <f>K3551*4</f>
        <v/>
      </c>
      <c r="N3551" s="6" t="n">
        <v>460</v>
      </c>
    </row>
    <row r="3552">
      <c r="A3552" s="1" t="inlineStr">
        <is>
          <t>668eee430f697</t>
        </is>
      </c>
      <c r="B3552" s="1" t="inlineStr">
        <is>
          <t>COLLAR SMILE ROSE GOLD</t>
        </is>
      </c>
      <c r="C3552" s="1" t="inlineStr">
        <is>
          <t>Cadena ajustable de 40.6 a 45.7 cm</t>
        </is>
      </c>
      <c r="D3552" s="1" t="inlineStr">
        <is>
          <t>16/04/2026</t>
        </is>
      </c>
      <c r="E3552" s="1" t="n">
        <v>2026</v>
      </c>
      <c r="F3552" s="1" t="inlineStr">
        <is>
          <t>ABRIL</t>
        </is>
      </c>
      <c r="G3552" s="1" t="inlineStr">
        <is>
          <t>HAIFENG</t>
        </is>
      </c>
      <c r="H3552" s="1" t="inlineStr">
        <is>
          <t>HAIFENG 16/04/2026</t>
        </is>
      </c>
      <c r="I3552" s="4" t="n">
        <v>6</v>
      </c>
      <c r="J3552" s="6" t="n">
        <v>3.4</v>
      </c>
      <c r="K3552" s="6" t="n">
        <v>71.5070102</v>
      </c>
      <c r="L3552" s="6">
        <f>I3552*K3552</f>
        <v/>
      </c>
      <c r="M3552" s="6">
        <f>K3552*4</f>
        <v/>
      </c>
      <c r="N3552" s="6" t="n">
        <v>460</v>
      </c>
    </row>
    <row r="3553">
      <c r="A3553" s="1" t="inlineStr">
        <is>
          <t>668eee443df70</t>
        </is>
      </c>
      <c r="B3553" s="1" t="inlineStr">
        <is>
          <t>COLLAR SMILE SILVER</t>
        </is>
      </c>
      <c r="C3553" s="1" t="inlineStr">
        <is>
          <t>Cadena ajustable de 40.6 a 45.7 cm</t>
        </is>
      </c>
      <c r="D3553" s="1" t="inlineStr">
        <is>
          <t>25/09/2025</t>
        </is>
      </c>
      <c r="E3553" s="1" t="n">
        <v>2025</v>
      </c>
      <c r="F3553" s="1" t="inlineStr">
        <is>
          <t>SEPTIEMBRE</t>
        </is>
      </c>
      <c r="G3553" s="1" t="inlineStr">
        <is>
          <t>HAIFENG</t>
        </is>
      </c>
      <c r="H3553" s="1" t="inlineStr">
        <is>
          <t>HAIFENG 25/09/2025</t>
        </is>
      </c>
      <c r="I3553" s="4" t="n">
        <v>6</v>
      </c>
      <c r="J3553" s="6" t="n">
        <v>3.8</v>
      </c>
      <c r="K3553" s="6" t="n">
        <v>80.16816592000001</v>
      </c>
      <c r="L3553" s="6">
        <f>I3553*K3553</f>
        <v/>
      </c>
      <c r="M3553" s="6">
        <f>K3553*4</f>
        <v/>
      </c>
      <c r="N3553" s="6" t="n">
        <v>460</v>
      </c>
    </row>
    <row r="3554">
      <c r="A3554" s="1" t="inlineStr">
        <is>
          <t>668eee443df70</t>
        </is>
      </c>
      <c r="B3554" s="1" t="inlineStr">
        <is>
          <t>COLLAR SMILE SILVER</t>
        </is>
      </c>
      <c r="C3554" s="1" t="inlineStr">
        <is>
          <t>Cadena ajustable de 40.6 a 45.7 cm</t>
        </is>
      </c>
      <c r="D3554" s="1" t="inlineStr">
        <is>
          <t>03/12/2025</t>
        </is>
      </c>
      <c r="E3554" s="1" t="n">
        <v>2025</v>
      </c>
      <c r="F3554" s="1" t="inlineStr">
        <is>
          <t>DICIEMBRE</t>
        </is>
      </c>
      <c r="G3554" s="1" t="inlineStr">
        <is>
          <t>HAIFENG</t>
        </is>
      </c>
      <c r="H3554" s="1" t="inlineStr">
        <is>
          <t>HAIFENG 03/12/2025</t>
        </is>
      </c>
      <c r="I3554" s="4" t="n">
        <v>5</v>
      </c>
      <c r="J3554" s="6" t="n">
        <v>3.8</v>
      </c>
      <c r="K3554" s="6" t="n">
        <v>79.48520804</v>
      </c>
      <c r="L3554" s="6">
        <f>I3554*K3554</f>
        <v/>
      </c>
      <c r="M3554" s="6">
        <f>K3554*4</f>
        <v/>
      </c>
      <c r="N3554" s="6" t="n">
        <v>460</v>
      </c>
    </row>
    <row r="3555">
      <c r="A3555" s="1" t="inlineStr">
        <is>
          <t>668eee443df70</t>
        </is>
      </c>
      <c r="B3555" s="1" t="inlineStr">
        <is>
          <t>COLLAR SMILE SILVER</t>
        </is>
      </c>
      <c r="C3555" s="1" t="inlineStr">
        <is>
          <t>Cadena ajustable de 40.6 a 45.7 cm</t>
        </is>
      </c>
      <c r="D3555" s="1" t="inlineStr">
        <is>
          <t>11/03/2026</t>
        </is>
      </c>
      <c r="E3555" s="1" t="n">
        <v>2026</v>
      </c>
      <c r="F3555" s="1" t="inlineStr">
        <is>
          <t>MARZO</t>
        </is>
      </c>
      <c r="G3555" s="1" t="inlineStr">
        <is>
          <t>HAIFENG</t>
        </is>
      </c>
      <c r="H3555" s="1" t="inlineStr">
        <is>
          <t>HAIFENG 11/03/2026</t>
        </is>
      </c>
      <c r="I3555" s="4" t="n">
        <v>8</v>
      </c>
      <c r="J3555" s="6" t="n">
        <v>3.8</v>
      </c>
      <c r="K3555" s="6" t="n">
        <v>80.95480562</v>
      </c>
      <c r="L3555" s="6">
        <f>I3555*K3555</f>
        <v/>
      </c>
      <c r="M3555" s="6">
        <f>K3555*4</f>
        <v/>
      </c>
      <c r="N3555" s="6" t="n">
        <v>460</v>
      </c>
    </row>
    <row r="3556">
      <c r="A3556" s="1" t="inlineStr">
        <is>
          <t>668eee443df70</t>
        </is>
      </c>
      <c r="B3556" s="1" t="inlineStr">
        <is>
          <t>COLLAR SMILE SILVER</t>
        </is>
      </c>
      <c r="C3556" s="1" t="inlineStr">
        <is>
          <t>Cadena ajustable de 40.6 a 45.7 cm</t>
        </is>
      </c>
      <c r="D3556" s="1" t="inlineStr">
        <is>
          <t>26/05/2026</t>
        </is>
      </c>
      <c r="E3556" s="1" t="n">
        <v>2026</v>
      </c>
      <c r="F3556" s="1" t="inlineStr">
        <is>
          <t>MAYO</t>
        </is>
      </c>
      <c r="G3556" s="1" t="inlineStr">
        <is>
          <t>HAIFENG</t>
        </is>
      </c>
      <c r="H3556" s="1" t="inlineStr">
        <is>
          <t>HAIFENG 26/05/2026</t>
        </is>
      </c>
      <c r="I3556" s="4" t="n">
        <v>5</v>
      </c>
      <c r="J3556" s="6" t="n">
        <v>3.8</v>
      </c>
      <c r="K3556" s="6" t="n">
        <v>79.75932211999999</v>
      </c>
      <c r="L3556" s="6">
        <f>I3556*K3556</f>
        <v/>
      </c>
      <c r="M3556" s="6">
        <f>K3556*4</f>
        <v/>
      </c>
      <c r="N3556" s="6" t="n">
        <v>460</v>
      </c>
    </row>
    <row r="3557">
      <c r="A3557" s="1" t="inlineStr">
        <is>
          <t>668eee443df70</t>
        </is>
      </c>
      <c r="B3557" s="1" t="inlineStr">
        <is>
          <t>COLLAR SMILE SILVER</t>
        </is>
      </c>
      <c r="C3557" s="1" t="inlineStr">
        <is>
          <t>Cadena ajustable de 40.6 a 45.7 cm</t>
        </is>
      </c>
      <c r="D3557" s="1" t="inlineStr">
        <is>
          <t>16/06/2026</t>
        </is>
      </c>
      <c r="E3557" s="1" t="n">
        <v>2026</v>
      </c>
      <c r="F3557" s="1" t="inlineStr">
        <is>
          <t>JUNIO</t>
        </is>
      </c>
      <c r="G3557" s="1" t="inlineStr">
        <is>
          <t>HAIFENG</t>
        </is>
      </c>
      <c r="H3557" s="1" t="inlineStr">
        <is>
          <t>HAIFENG 16/06/2026</t>
        </is>
      </c>
      <c r="I3557" s="4" t="n">
        <v>8</v>
      </c>
      <c r="J3557" s="6" t="n">
        <v>3.8</v>
      </c>
      <c r="K3557" s="6" t="n">
        <v>79.85550455000001</v>
      </c>
      <c r="L3557" s="6">
        <f>I3557*K3557</f>
        <v/>
      </c>
      <c r="M3557" s="6">
        <f>K3557*4</f>
        <v/>
      </c>
      <c r="N3557" s="6" t="n">
        <v>460</v>
      </c>
    </row>
    <row r="3558">
      <c r="A3558" s="1" t="inlineStr">
        <is>
          <t>668eee447fb3d</t>
        </is>
      </c>
      <c r="B3558" s="1" t="inlineStr">
        <is>
          <t>ARETES DE ESLABONES GOLD MZ</t>
        </is>
      </c>
      <c r="C3558" s="1" t="inlineStr">
        <is>
          <t>High Quality</t>
        </is>
      </c>
      <c r="D3558" s="1" t="inlineStr">
        <is>
          <t>01/04/2026</t>
        </is>
      </c>
      <c r="E3558" s="1" t="n">
        <v>2026</v>
      </c>
      <c r="F3558" s="1" t="inlineStr">
        <is>
          <t>ABRIL</t>
        </is>
      </c>
      <c r="G3558" s="1" t="inlineStr">
        <is>
          <t>NANCY</t>
        </is>
      </c>
      <c r="H3558" s="1" t="inlineStr">
        <is>
          <t>NANCY 01/04/2026</t>
        </is>
      </c>
      <c r="I3558" s="4" t="n">
        <v>2</v>
      </c>
      <c r="J3558" s="6" t="n">
        <v>5.79</v>
      </c>
      <c r="K3558" s="6" t="n">
        <v>138.6155505</v>
      </c>
      <c r="L3558" s="6">
        <f>I3558*K3558</f>
        <v/>
      </c>
      <c r="M3558" s="6">
        <f>K3558*4</f>
        <v/>
      </c>
      <c r="N3558" s="6" t="n">
        <v>699</v>
      </c>
    </row>
    <row r="3559">
      <c r="A3559" s="1" t="inlineStr">
        <is>
          <t>668eee447fb3d</t>
        </is>
      </c>
      <c r="B3559" s="1" t="inlineStr">
        <is>
          <t>ARETES DE ESLABONES GOLD MZ</t>
        </is>
      </c>
      <c r="C3559" s="1" t="inlineStr">
        <is>
          <t>High Quality</t>
        </is>
      </c>
      <c r="D3559" s="1" t="inlineStr">
        <is>
          <t>08/05/2026</t>
        </is>
      </c>
      <c r="E3559" s="1" t="n">
        <v>2026</v>
      </c>
      <c r="F3559" s="1" t="inlineStr">
        <is>
          <t>MAYO</t>
        </is>
      </c>
      <c r="G3559" s="1" t="inlineStr">
        <is>
          <t>NANCY</t>
        </is>
      </c>
      <c r="H3559" s="1" t="inlineStr">
        <is>
          <t>NANCY 08/05/2026</t>
        </is>
      </c>
      <c r="I3559" s="4" t="n">
        <v>4</v>
      </c>
      <c r="J3559" s="6" t="n">
        <v>6.99</v>
      </c>
      <c r="K3559" s="6" t="n">
        <v>165.3677467</v>
      </c>
      <c r="L3559" s="6">
        <f>I3559*K3559</f>
        <v/>
      </c>
      <c r="M3559" s="6">
        <f>K3559*4</f>
        <v/>
      </c>
      <c r="N3559" s="6" t="n">
        <v>699</v>
      </c>
    </row>
    <row r="3560">
      <c r="A3560" s="1" t="inlineStr">
        <is>
          <t>668eee447fb3d</t>
        </is>
      </c>
      <c r="B3560" s="1" t="inlineStr">
        <is>
          <t>ARETES DE ESLABONES GOLD MZ</t>
        </is>
      </c>
      <c r="C3560" s="1" t="inlineStr">
        <is>
          <t>High Quality</t>
        </is>
      </c>
      <c r="D3560" s="1" t="inlineStr">
        <is>
          <t>31/05/2026</t>
        </is>
      </c>
      <c r="E3560" s="1" t="n">
        <v>2026</v>
      </c>
      <c r="F3560" s="1" t="inlineStr">
        <is>
          <t>MAYO</t>
        </is>
      </c>
      <c r="G3560" s="1" t="inlineStr">
        <is>
          <t>NANCY</t>
        </is>
      </c>
      <c r="H3560" s="1" t="inlineStr">
        <is>
          <t>NANCY 31/05/2026</t>
        </is>
      </c>
      <c r="I3560" s="4" t="n">
        <v>3</v>
      </c>
      <c r="J3560" s="6" t="n">
        <v>6.99</v>
      </c>
      <c r="K3560" s="6" t="n">
        <v>169.6304521</v>
      </c>
      <c r="L3560" s="6">
        <f>I3560*K3560</f>
        <v/>
      </c>
      <c r="M3560" s="6">
        <f>K3560*4</f>
        <v/>
      </c>
      <c r="N3560" s="6" t="n">
        <v>699</v>
      </c>
    </row>
    <row r="3561">
      <c r="A3561" s="1" t="inlineStr">
        <is>
          <t>668eee447fb3d</t>
        </is>
      </c>
      <c r="B3561" s="1" t="inlineStr">
        <is>
          <t>ARETES DE ESLABONES GOLD MZ</t>
        </is>
      </c>
      <c r="C3561" s="1" t="inlineStr">
        <is>
          <t>High Quality</t>
        </is>
      </c>
      <c r="D3561" s="1" t="inlineStr">
        <is>
          <t>09/07/2026</t>
        </is>
      </c>
      <c r="E3561" s="1" t="n">
        <v>2026</v>
      </c>
      <c r="F3561" s="1" t="inlineStr">
        <is>
          <t>JULIO</t>
        </is>
      </c>
      <c r="G3561" s="1" t="inlineStr">
        <is>
          <t>NANCY</t>
        </is>
      </c>
      <c r="H3561" s="1" t="inlineStr">
        <is>
          <t>NANCY 09/07/2026</t>
        </is>
      </c>
      <c r="I3561" s="4" t="n">
        <v>3</v>
      </c>
      <c r="J3561" s="6" t="n">
        <v>7.59</v>
      </c>
      <c r="K3561" s="6" t="n">
        <v>184.9339423</v>
      </c>
      <c r="L3561" s="6">
        <f>I3561*K3561</f>
        <v/>
      </c>
      <c r="M3561" s="6">
        <f>K3561*4</f>
        <v/>
      </c>
      <c r="N3561" s="6" t="n">
        <v>699</v>
      </c>
    </row>
    <row r="3562">
      <c r="A3562" s="1" t="inlineStr">
        <is>
          <t>668eee4709a5f</t>
        </is>
      </c>
      <c r="B3562" s="1" t="inlineStr">
        <is>
          <t>PULSERA DE CUENTAS CON INSIGNIA DE CORAZÓN ROSE GOLD</t>
        </is>
      </c>
      <c r="C3562" s="1" t="inlineStr">
        <is>
          <t>16 cm</t>
        </is>
      </c>
      <c r="D3562" s="1" t="inlineStr">
        <is>
          <t>01/05/2025</t>
        </is>
      </c>
      <c r="E3562" s="1" t="n">
        <v>2025</v>
      </c>
      <c r="F3562" s="1" t="inlineStr">
        <is>
          <t>MAYO</t>
        </is>
      </c>
      <c r="G3562" s="1" t="inlineStr">
        <is>
          <t>COCOMA</t>
        </is>
      </c>
      <c r="H3562" s="1" t="inlineStr">
        <is>
          <t>COCOMA MAYO 2025</t>
        </is>
      </c>
      <c r="I3562" s="4" t="n">
        <v>20</v>
      </c>
      <c r="J3562" s="6" t="n">
        <v>4.42</v>
      </c>
      <c r="K3562" s="6" t="n">
        <v>108.2688863</v>
      </c>
      <c r="L3562" s="6">
        <f>I3562*K3562</f>
        <v/>
      </c>
      <c r="M3562" s="6">
        <f>K3562*4</f>
        <v/>
      </c>
      <c r="N3562" s="6" t="n">
        <v>525</v>
      </c>
    </row>
    <row r="3563">
      <c r="A3563" s="1" t="inlineStr">
        <is>
          <t>668eee4709a5f</t>
        </is>
      </c>
      <c r="B3563" s="1" t="inlineStr">
        <is>
          <t>PULSERA DE CUENTAS CON INSIGNIA DE CORAZÓN ROSE GOLD</t>
        </is>
      </c>
      <c r="C3563" s="1" t="inlineStr">
        <is>
          <t>17 cm</t>
        </is>
      </c>
      <c r="D3563" s="1" t="inlineStr">
        <is>
          <t>20/01/2026</t>
        </is>
      </c>
      <c r="E3563" s="1" t="n">
        <v>2026</v>
      </c>
      <c r="F3563" s="1" t="inlineStr">
        <is>
          <t>ENERO</t>
        </is>
      </c>
      <c r="G3563" s="1" t="inlineStr">
        <is>
          <t>COCOMA</t>
        </is>
      </c>
      <c r="H3563" s="1" t="inlineStr">
        <is>
          <t>COCOMA 20/01/2026</t>
        </is>
      </c>
      <c r="I3563" s="4" t="n">
        <v>15</v>
      </c>
      <c r="J3563" s="6" t="n">
        <v>4.42</v>
      </c>
      <c r="K3563" s="6" t="n">
        <v>106.8088759</v>
      </c>
      <c r="L3563" s="6">
        <f>I3563*K3563</f>
        <v/>
      </c>
      <c r="M3563" s="6">
        <f>K3563*4</f>
        <v/>
      </c>
      <c r="N3563" s="6" t="n">
        <v>525</v>
      </c>
    </row>
    <row r="3564">
      <c r="A3564" s="1" t="inlineStr">
        <is>
          <t>668eee497dfb4</t>
        </is>
      </c>
      <c r="B3564" s="1" t="inlineStr">
        <is>
          <t>ANILLO T CON TURQUESA Y ZIRCONIA</t>
        </is>
      </c>
      <c r="C3564" s="1" t="inlineStr">
        <is>
          <t>AJUSTABLE</t>
        </is>
      </c>
      <c r="D3564" s="1" t="inlineStr">
        <is>
          <t>25/09/2025</t>
        </is>
      </c>
      <c r="E3564" s="1" t="n">
        <v>2025</v>
      </c>
      <c r="F3564" s="1" t="inlineStr">
        <is>
          <t>SEPTIEMBRE</t>
        </is>
      </c>
      <c r="G3564" s="1" t="inlineStr">
        <is>
          <t>HAIFENG</t>
        </is>
      </c>
      <c r="H3564" s="1" t="inlineStr">
        <is>
          <t>HAIFENG 25/09/2025</t>
        </is>
      </c>
      <c r="I3564" s="4" t="n">
        <v>8</v>
      </c>
      <c r="J3564" s="6" t="n">
        <v>5</v>
      </c>
      <c r="K3564" s="6" t="n">
        <v>105.4844288</v>
      </c>
      <c r="L3564" s="6">
        <f>I3564*K3564</f>
        <v/>
      </c>
      <c r="M3564" s="6">
        <f>K3564*4</f>
        <v/>
      </c>
      <c r="N3564" s="6" t="n">
        <v>450</v>
      </c>
    </row>
    <row r="3565">
      <c r="A3565" s="1" t="inlineStr">
        <is>
          <t>668eee497dfb4</t>
        </is>
      </c>
      <c r="B3565" s="1" t="inlineStr">
        <is>
          <t>ANILLO T CON TURQUESA Y ZIRCONIA</t>
        </is>
      </c>
      <c r="C3565" s="1" t="inlineStr">
        <is>
          <t>AJUSTABLE</t>
        </is>
      </c>
      <c r="D3565" s="1" t="inlineStr">
        <is>
          <t>03/12/2025</t>
        </is>
      </c>
      <c r="E3565" s="1" t="n">
        <v>2025</v>
      </c>
      <c r="F3565" s="1" t="inlineStr">
        <is>
          <t>DICIEMBRE</t>
        </is>
      </c>
      <c r="G3565" s="1" t="inlineStr">
        <is>
          <t>HAIFENG</t>
        </is>
      </c>
      <c r="H3565" s="1" t="inlineStr">
        <is>
          <t>HAIFENG 03/12/2025</t>
        </is>
      </c>
      <c r="I3565" s="4" t="n">
        <v>3</v>
      </c>
      <c r="J3565" s="6" t="n">
        <v>5</v>
      </c>
      <c r="K3565" s="6" t="n">
        <v>104.5858001</v>
      </c>
      <c r="L3565" s="6">
        <f>I3565*K3565</f>
        <v/>
      </c>
      <c r="M3565" s="6">
        <f>K3565*4</f>
        <v/>
      </c>
      <c r="N3565" s="6" t="n">
        <v>450</v>
      </c>
    </row>
    <row r="3566">
      <c r="A3566" s="1" t="inlineStr">
        <is>
          <t>668eee497dfb4</t>
        </is>
      </c>
      <c r="B3566" s="1" t="inlineStr">
        <is>
          <t>ANILLO T CON TURQUESA Y ZIRCONIA</t>
        </is>
      </c>
      <c r="C3566" s="1" t="inlineStr">
        <is>
          <t>AJUSTABLE</t>
        </is>
      </c>
      <c r="D3566" s="1" t="inlineStr">
        <is>
          <t>20/01/2026</t>
        </is>
      </c>
      <c r="E3566" s="1" t="n">
        <v>2026</v>
      </c>
      <c r="F3566" s="1" t="inlineStr">
        <is>
          <t>ENERO</t>
        </is>
      </c>
      <c r="G3566" s="1" t="inlineStr">
        <is>
          <t>HAIFENG</t>
        </is>
      </c>
      <c r="H3566" s="1" t="inlineStr">
        <is>
          <t>HAIFENG 20/01/2026</t>
        </is>
      </c>
      <c r="I3566" s="4" t="n">
        <v>6</v>
      </c>
      <c r="J3566" s="6" t="n">
        <v>5</v>
      </c>
      <c r="K3566" s="6" t="n">
        <v>106.002089</v>
      </c>
      <c r="L3566" s="6">
        <f>I3566*K3566</f>
        <v/>
      </c>
      <c r="M3566" s="6">
        <f>K3566*4</f>
        <v/>
      </c>
      <c r="N3566" s="6" t="n">
        <v>450</v>
      </c>
    </row>
    <row r="3567">
      <c r="A3567" s="1" t="inlineStr">
        <is>
          <t>668eee497dfb4</t>
        </is>
      </c>
      <c r="B3567" s="1" t="inlineStr">
        <is>
          <t>ANILLO T CON TURQUESA Y ZIRCONIA</t>
        </is>
      </c>
      <c r="C3567" s="1" t="inlineStr">
        <is>
          <t>AJUSTABLE</t>
        </is>
      </c>
      <c r="D3567" s="1" t="inlineStr">
        <is>
          <t>16/04/2026</t>
        </is>
      </c>
      <c r="E3567" s="1" t="n">
        <v>2026</v>
      </c>
      <c r="F3567" s="1" t="inlineStr">
        <is>
          <t>ABRIL</t>
        </is>
      </c>
      <c r="G3567" s="1" t="inlineStr">
        <is>
          <t>HAIFENG</t>
        </is>
      </c>
      <c r="H3567" s="1" t="inlineStr">
        <is>
          <t>HAIFENG 16/04/2026</t>
        </is>
      </c>
      <c r="I3567" s="4" t="n">
        <v>5</v>
      </c>
      <c r="J3567" s="6" t="n">
        <v>5</v>
      </c>
      <c r="K3567" s="6" t="n">
        <v>105.1573679</v>
      </c>
      <c r="L3567" s="6">
        <f>I3567*K3567</f>
        <v/>
      </c>
      <c r="M3567" s="6">
        <f>K3567*4</f>
        <v/>
      </c>
      <c r="N3567" s="6" t="n">
        <v>450</v>
      </c>
    </row>
    <row r="3568">
      <c r="A3568" s="1" t="inlineStr">
        <is>
          <t>668eee497dfb4</t>
        </is>
      </c>
      <c r="B3568" s="1" t="inlineStr">
        <is>
          <t>ANILLO T CON TURQUESA Y ZIRCONIA</t>
        </is>
      </c>
      <c r="C3568" s="1" t="inlineStr">
        <is>
          <t>AJUSTABLE</t>
        </is>
      </c>
      <c r="D3568" s="1" t="inlineStr">
        <is>
          <t>26/05/2026</t>
        </is>
      </c>
      <c r="E3568" s="1" t="n">
        <v>2026</v>
      </c>
      <c r="F3568" s="1" t="inlineStr">
        <is>
          <t>MAYO</t>
        </is>
      </c>
      <c r="G3568" s="1" t="inlineStr">
        <is>
          <t>HAIFENG</t>
        </is>
      </c>
      <c r="H3568" s="1" t="inlineStr">
        <is>
          <t>HAIFENG 26/05/2026</t>
        </is>
      </c>
      <c r="I3568" s="4" t="n">
        <v>5</v>
      </c>
      <c r="J3568" s="6" t="n">
        <v>5</v>
      </c>
      <c r="K3568" s="6" t="n">
        <v>104.9464765</v>
      </c>
      <c r="L3568" s="6">
        <f>I3568*K3568</f>
        <v/>
      </c>
      <c r="M3568" s="6">
        <f>K3568*4</f>
        <v/>
      </c>
      <c r="N3568" s="6" t="n">
        <v>450</v>
      </c>
    </row>
    <row r="3569">
      <c r="A3569" s="1" t="inlineStr">
        <is>
          <t>668eee4d3cd9f</t>
        </is>
      </c>
      <c r="B3569" s="1" t="inlineStr">
        <is>
          <t>PULSERA T ANGOSTA GOLD</t>
        </is>
      </c>
      <c r="C3569" s="1" t="inlineStr">
        <is>
          <t>HIGH QUALITY</t>
        </is>
      </c>
      <c r="D3569" s="1" t="inlineStr">
        <is>
          <t>05/09/2025</t>
        </is>
      </c>
      <c r="E3569" s="1" t="n">
        <v>2025</v>
      </c>
      <c r="F3569" s="1" t="inlineStr">
        <is>
          <t>SEPTIEMBRE</t>
        </is>
      </c>
      <c r="G3569" s="1" t="inlineStr">
        <is>
          <t>CYNTHIA</t>
        </is>
      </c>
      <c r="H3569" s="1" t="inlineStr">
        <is>
          <t>CYNTHIA 05/09/2025</t>
        </is>
      </c>
      <c r="I3569" s="4" t="n">
        <v>4</v>
      </c>
      <c r="J3569" s="6" t="n">
        <v>14</v>
      </c>
      <c r="K3569" s="6" t="n">
        <v>352.507357</v>
      </c>
      <c r="L3569" s="6">
        <f>I3569*K3569</f>
        <v/>
      </c>
      <c r="M3569" s="6">
        <f>K3569*4</f>
        <v/>
      </c>
      <c r="N3569" s="6" t="n">
        <v>1165</v>
      </c>
    </row>
    <row r="3570">
      <c r="A3570" s="1" t="inlineStr">
        <is>
          <t>668eee4d3cd9f</t>
        </is>
      </c>
      <c r="B3570" s="1" t="inlineStr">
        <is>
          <t>PULSERA T ANGOSTA GOLD</t>
        </is>
      </c>
      <c r="C3570" s="1" t="inlineStr">
        <is>
          <t>HIGH QUALITY</t>
        </is>
      </c>
      <c r="D3570" s="1" t="inlineStr">
        <is>
          <t>19/03/2026</t>
        </is>
      </c>
      <c r="E3570" s="1" t="n">
        <v>2026</v>
      </c>
      <c r="F3570" s="1" t="inlineStr">
        <is>
          <t>MARZO</t>
        </is>
      </c>
      <c r="G3570" s="1" t="inlineStr">
        <is>
          <t>CYNTHIA</t>
        </is>
      </c>
      <c r="H3570" s="1" t="inlineStr">
        <is>
          <t>CYNTHIA 19/03/2026</t>
        </is>
      </c>
      <c r="I3570" s="4" t="n">
        <v>4</v>
      </c>
      <c r="J3570" s="6" t="n">
        <v>14</v>
      </c>
      <c r="K3570" s="6" t="n">
        <v>376.0038211</v>
      </c>
      <c r="L3570" s="6">
        <f>I3570*K3570</f>
        <v/>
      </c>
      <c r="M3570" s="6">
        <f>K3570*4</f>
        <v/>
      </c>
      <c r="N3570" s="6" t="n">
        <v>1505</v>
      </c>
    </row>
    <row r="3571">
      <c r="A3571" s="1" t="inlineStr">
        <is>
          <t>668eee4e0326c</t>
        </is>
      </c>
      <c r="B3571" s="1" t="inlineStr">
        <is>
          <t>PULSERA ESLABONES SILVER</t>
        </is>
      </c>
      <c r="C3571" s="1" t="inlineStr">
        <is>
          <t>High Quality 17.5 cm</t>
        </is>
      </c>
      <c r="D3571" s="1" t="inlineStr">
        <is>
          <t>05/09/2025</t>
        </is>
      </c>
      <c r="E3571" s="1" t="n">
        <v>2025</v>
      </c>
      <c r="F3571" s="1" t="inlineStr">
        <is>
          <t>SEPTIEMBRE</t>
        </is>
      </c>
      <c r="G3571" s="1" t="inlineStr">
        <is>
          <t>CYNTHIA</t>
        </is>
      </c>
      <c r="H3571" s="1" t="inlineStr">
        <is>
          <t>CYNTHIA 05/09/2025</t>
        </is>
      </c>
      <c r="I3571" s="4" t="n">
        <v>10</v>
      </c>
      <c r="J3571" s="6" t="n">
        <v>12.8</v>
      </c>
      <c r="K3571" s="6" t="n">
        <v>322.2924407</v>
      </c>
      <c r="L3571" s="6">
        <f>I3571*K3571</f>
        <v/>
      </c>
      <c r="M3571" s="6">
        <f>K3571*4</f>
        <v/>
      </c>
      <c r="N3571" s="6" t="n">
        <v>1350</v>
      </c>
    </row>
    <row r="3572">
      <c r="A3572" s="1" t="inlineStr">
        <is>
          <t>668eee4e0326c</t>
        </is>
      </c>
      <c r="B3572" s="1" t="inlineStr">
        <is>
          <t>PULSERA ESLABONES SILVER</t>
        </is>
      </c>
      <c r="C3572" s="1" t="inlineStr">
        <is>
          <t>High Quality 17.5 cm</t>
        </is>
      </c>
      <c r="D3572" s="1" t="inlineStr">
        <is>
          <t>07/01/2026</t>
        </is>
      </c>
      <c r="E3572" s="1" t="n">
        <v>2026</v>
      </c>
      <c r="F3572" s="1" t="inlineStr">
        <is>
          <t>ENERO</t>
        </is>
      </c>
      <c r="G3572" s="1" t="inlineStr">
        <is>
          <t>CYNTHIA</t>
        </is>
      </c>
      <c r="H3572" s="1" t="inlineStr">
        <is>
          <t>CYNTHIA 07/01/2026</t>
        </is>
      </c>
      <c r="I3572" s="4" t="n">
        <v>1</v>
      </c>
      <c r="J3572" s="6" t="n">
        <v>12.8</v>
      </c>
      <c r="K3572" s="6" t="n">
        <v>340.3190742</v>
      </c>
      <c r="L3572" s="6">
        <f>I3572*K3572</f>
        <v/>
      </c>
      <c r="M3572" s="6">
        <f>K3572*4</f>
        <v/>
      </c>
      <c r="N3572" s="6" t="n">
        <v>1369</v>
      </c>
    </row>
    <row r="3573">
      <c r="A3573" s="1" t="inlineStr">
        <is>
          <t>668eee4e0326c</t>
        </is>
      </c>
      <c r="B3573" s="1" t="inlineStr">
        <is>
          <t>PULSERA ESLABONES SILVER</t>
        </is>
      </c>
      <c r="C3573" s="1" t="inlineStr">
        <is>
          <t>High Quality 17.5 cm</t>
        </is>
      </c>
      <c r="D3573" s="1" t="inlineStr">
        <is>
          <t>18/02/2026</t>
        </is>
      </c>
      <c r="E3573" s="1" t="n">
        <v>2026</v>
      </c>
      <c r="F3573" s="1" t="inlineStr">
        <is>
          <t>FEBRERO</t>
        </is>
      </c>
      <c r="G3573" s="1" t="inlineStr">
        <is>
          <t>CYNTHIA</t>
        </is>
      </c>
      <c r="H3573" s="1" t="inlineStr">
        <is>
          <t>CYNTHIA 18/02/2026</t>
        </is>
      </c>
      <c r="I3573" s="4" t="n">
        <v>2</v>
      </c>
      <c r="J3573" s="6" t="n">
        <v>13.8</v>
      </c>
      <c r="K3573" s="6" t="n">
        <v>373.1984397</v>
      </c>
      <c r="L3573" s="6">
        <f>I3573*K3573</f>
        <v/>
      </c>
      <c r="M3573" s="6">
        <f>K3573*4</f>
        <v/>
      </c>
      <c r="N3573" s="6" t="n">
        <v>1469</v>
      </c>
    </row>
    <row r="3574">
      <c r="A3574" s="1" t="inlineStr">
        <is>
          <t>668eee4e0326c</t>
        </is>
      </c>
      <c r="B3574" s="1" t="inlineStr">
        <is>
          <t>PULSERA ESLABONES SILVER</t>
        </is>
      </c>
      <c r="C3574" s="1" t="inlineStr">
        <is>
          <t>High Quality 17.5 cm</t>
        </is>
      </c>
      <c r="D3574" s="1" t="inlineStr">
        <is>
          <t>19/03/2026</t>
        </is>
      </c>
      <c r="E3574" s="1" t="n">
        <v>2026</v>
      </c>
      <c r="F3574" s="1" t="inlineStr">
        <is>
          <t>MARZO</t>
        </is>
      </c>
      <c r="G3574" s="1" t="inlineStr">
        <is>
          <t>CYNTHIA</t>
        </is>
      </c>
      <c r="H3574" s="1" t="inlineStr">
        <is>
          <t>CYNTHIA 19/03/2026</t>
        </is>
      </c>
      <c r="I3574" s="4" t="n">
        <v>5</v>
      </c>
      <c r="J3574" s="6" t="n">
        <v>13.8</v>
      </c>
      <c r="K3574" s="6" t="n">
        <v>370.632338</v>
      </c>
      <c r="L3574" s="6">
        <f>I3574*K3574</f>
        <v/>
      </c>
      <c r="M3574" s="6">
        <f>K3574*4</f>
        <v/>
      </c>
      <c r="N3574" s="6" t="n">
        <v>1469</v>
      </c>
    </row>
    <row r="3575">
      <c r="A3575" s="1" t="inlineStr">
        <is>
          <t>668eee4e0326c</t>
        </is>
      </c>
      <c r="B3575" s="1" t="inlineStr">
        <is>
          <t>PULSERA ESLABONES SILVER</t>
        </is>
      </c>
      <c r="C3575" s="1" t="inlineStr">
        <is>
          <t>High Quality 17.5 cm</t>
        </is>
      </c>
      <c r="D3575" s="1" t="inlineStr">
        <is>
          <t>31/05/2026</t>
        </is>
      </c>
      <c r="E3575" s="1" t="n">
        <v>2026</v>
      </c>
      <c r="F3575" s="1" t="inlineStr">
        <is>
          <t>MAYO</t>
        </is>
      </c>
      <c r="G3575" s="1" t="inlineStr">
        <is>
          <t>CYNTHIA</t>
        </is>
      </c>
      <c r="H3575" s="1" t="inlineStr">
        <is>
          <t>CYNTHIA 31/05/2026</t>
        </is>
      </c>
      <c r="I3575" s="4" t="n">
        <v>5</v>
      </c>
      <c r="J3575" s="6" t="n">
        <v>13.8</v>
      </c>
      <c r="K3575" s="6" t="n">
        <v>365.7144207</v>
      </c>
      <c r="L3575" s="6">
        <f>I3575*K3575</f>
        <v/>
      </c>
      <c r="M3575" s="6">
        <f>K3575*4</f>
        <v/>
      </c>
      <c r="N3575" s="6" t="n">
        <v>1469</v>
      </c>
    </row>
    <row r="3576">
      <c r="A3576" s="1" t="inlineStr">
        <is>
          <t>668eee4ea136d</t>
        </is>
      </c>
      <c r="B3576" s="1" t="inlineStr">
        <is>
          <t>PULSERA ESLABONES SILVER</t>
        </is>
      </c>
      <c r="C3576" s="1" t="inlineStr">
        <is>
          <t>High Quality 20.5cm</t>
        </is>
      </c>
      <c r="D3576" s="1" t="inlineStr">
        <is>
          <t>05/09/2025</t>
        </is>
      </c>
      <c r="E3576" s="1" t="n">
        <v>2025</v>
      </c>
      <c r="F3576" s="1" t="inlineStr">
        <is>
          <t>SEPTIEMBRE</t>
        </is>
      </c>
      <c r="G3576" s="1" t="inlineStr">
        <is>
          <t>CYNTHIA</t>
        </is>
      </c>
      <c r="H3576" s="1" t="inlineStr">
        <is>
          <t>CYNTHIA 05/09/2025</t>
        </is>
      </c>
      <c r="I3576" s="4" t="n">
        <v>5</v>
      </c>
      <c r="J3576" s="6" t="n">
        <v>15</v>
      </c>
      <c r="K3576" s="6" t="n">
        <v>377.6864539</v>
      </c>
      <c r="L3576" s="6">
        <f>I3576*K3576</f>
        <v/>
      </c>
      <c r="M3576" s="6">
        <f>K3576*4</f>
        <v/>
      </c>
      <c r="N3576" s="6" t="n">
        <v>1350</v>
      </c>
    </row>
    <row r="3577">
      <c r="A3577" s="1" t="inlineStr">
        <is>
          <t>668eee4ea136d</t>
        </is>
      </c>
      <c r="B3577" s="1" t="n"/>
      <c r="C3577" s="1" t="inlineStr">
        <is>
          <t>High Quality 20.5cm</t>
        </is>
      </c>
      <c r="D3577" s="1" t="inlineStr">
        <is>
          <t>07/01/2026</t>
        </is>
      </c>
      <c r="E3577" s="1" t="n">
        <v>2026</v>
      </c>
      <c r="F3577" s="1" t="inlineStr">
        <is>
          <t>ENERO</t>
        </is>
      </c>
      <c r="G3577" s="1" t="inlineStr">
        <is>
          <t>CYNTHIA</t>
        </is>
      </c>
      <c r="H3577" s="1" t="inlineStr">
        <is>
          <t>CYNTHIA 07/01/2026</t>
        </is>
      </c>
      <c r="I3577" s="4" t="n">
        <v>3</v>
      </c>
      <c r="J3577" s="6" t="n">
        <v>15</v>
      </c>
      <c r="K3577" s="6" t="n">
        <v>398.8114151</v>
      </c>
      <c r="L3577" s="6">
        <f>I3577*K3577</f>
        <v/>
      </c>
      <c r="M3577" s="6">
        <f>K3577*4</f>
        <v/>
      </c>
      <c r="N3577" s="6" t="n">
        <v>1469</v>
      </c>
    </row>
    <row r="3578">
      <c r="A3578" s="1" t="inlineStr">
        <is>
          <t>668eee4ea136d</t>
        </is>
      </c>
      <c r="B3578" s="1" t="inlineStr">
        <is>
          <t>PULSERA ESLABONES SILVER</t>
        </is>
      </c>
      <c r="C3578" s="1" t="inlineStr">
        <is>
          <t>High Quality 20.5cm</t>
        </is>
      </c>
      <c r="D3578" s="1" t="inlineStr">
        <is>
          <t>19/03/2026</t>
        </is>
      </c>
      <c r="E3578" s="1" t="n">
        <v>2026</v>
      </c>
      <c r="F3578" s="1" t="inlineStr">
        <is>
          <t>MARZO</t>
        </is>
      </c>
      <c r="G3578" s="1" t="inlineStr">
        <is>
          <t>CYNTHIA</t>
        </is>
      </c>
      <c r="H3578" s="1" t="inlineStr">
        <is>
          <t>CYNTHIA 19/03/2026</t>
        </is>
      </c>
      <c r="I3578" s="4" t="n">
        <v>5</v>
      </c>
      <c r="J3578" s="6" t="n">
        <v>15.8</v>
      </c>
      <c r="K3578" s="6" t="n">
        <v>424.3471695</v>
      </c>
      <c r="L3578" s="6">
        <f>I3578*K3578</f>
        <v/>
      </c>
      <c r="M3578" s="6">
        <f>K3578*4</f>
        <v/>
      </c>
      <c r="N3578" s="6" t="n">
        <v>1469</v>
      </c>
    </row>
    <row r="3579">
      <c r="A3579" s="1" t="inlineStr">
        <is>
          <t>668eee50dfb13</t>
        </is>
      </c>
      <c r="B3579" s="1" t="inlineStr">
        <is>
          <t>PULSERA DE CUENTAS CON INSIGNIA DE CORAZÓN RED</t>
        </is>
      </c>
      <c r="C3579" s="1" t="inlineStr">
        <is>
          <t>16 cm</t>
        </is>
      </c>
      <c r="D3579" s="1" t="inlineStr">
        <is>
          <t>16/04/2026</t>
        </is>
      </c>
      <c r="E3579" s="1" t="n">
        <v>2026</v>
      </c>
      <c r="F3579" s="1" t="inlineStr">
        <is>
          <t>ABRIL</t>
        </is>
      </c>
      <c r="G3579" s="1" t="inlineStr">
        <is>
          <t>HAIFENG</t>
        </is>
      </c>
      <c r="H3579" s="1" t="inlineStr">
        <is>
          <t>HAIFENG 16/04/2026</t>
        </is>
      </c>
      <c r="I3579" s="4" t="n">
        <v>12</v>
      </c>
      <c r="J3579" s="6" t="n">
        <v>5</v>
      </c>
      <c r="K3579" s="6" t="n">
        <v>105.1573679</v>
      </c>
      <c r="L3579" s="6">
        <f>I3579*K3579</f>
        <v/>
      </c>
      <c r="M3579" s="6">
        <f>K3579*4</f>
        <v/>
      </c>
      <c r="N3579" s="6" t="n">
        <v>550</v>
      </c>
    </row>
    <row r="3580">
      <c r="A3580" s="1" t="inlineStr">
        <is>
          <t>668eee51ba91b</t>
        </is>
      </c>
      <c r="B3580" s="1" t="inlineStr">
        <is>
          <t>PULSERA DE CUENTAS CON INSIGNIA DE CORAZÓN RED</t>
        </is>
      </c>
      <c r="C3580" s="1" t="inlineStr">
        <is>
          <t>17 cm</t>
        </is>
      </c>
      <c r="D3580" s="1" t="inlineStr">
        <is>
          <t>03/12/2025</t>
        </is>
      </c>
      <c r="E3580" s="1" t="n">
        <v>2025</v>
      </c>
      <c r="F3580" s="1" t="inlineStr">
        <is>
          <t>DICIEMBRE</t>
        </is>
      </c>
      <c r="G3580" s="1" t="inlineStr">
        <is>
          <t>HAIFENG</t>
        </is>
      </c>
      <c r="H3580" s="1" t="inlineStr">
        <is>
          <t>HAIFENG 03/12/2025</t>
        </is>
      </c>
      <c r="I3580" s="4" t="n">
        <v>4</v>
      </c>
      <c r="J3580" s="6" t="n">
        <v>5</v>
      </c>
      <c r="K3580" s="6" t="n">
        <v>104.5858001</v>
      </c>
      <c r="L3580" s="6">
        <f>I3580*K3580</f>
        <v/>
      </c>
      <c r="M3580" s="6">
        <f>K3580*4</f>
        <v/>
      </c>
      <c r="N3580" s="6" t="n">
        <v>550</v>
      </c>
    </row>
    <row r="3581">
      <c r="A3581" s="1" t="inlineStr">
        <is>
          <t>668eee51ba91b</t>
        </is>
      </c>
      <c r="B3581" s="1" t="inlineStr">
        <is>
          <t>PULSERA DE CUENTAS CON INSIGNIA DE CORAZÓN RED</t>
        </is>
      </c>
      <c r="C3581" s="1" t="inlineStr">
        <is>
          <t>17 cm</t>
        </is>
      </c>
      <c r="D3581" s="1" t="inlineStr">
        <is>
          <t>10/02/2026</t>
        </is>
      </c>
      <c r="E3581" s="1" t="n">
        <v>2026</v>
      </c>
      <c r="F3581" s="1" t="inlineStr">
        <is>
          <t>FEBRERO</t>
        </is>
      </c>
      <c r="G3581" s="1" t="inlineStr">
        <is>
          <t>HAIFENG</t>
        </is>
      </c>
      <c r="H3581" s="1" t="inlineStr">
        <is>
          <t>HAIFENG 10/02/2026</t>
        </is>
      </c>
      <c r="I3581" s="4" t="n">
        <v>5</v>
      </c>
      <c r="J3581" s="6" t="n">
        <v>5</v>
      </c>
      <c r="K3581" s="6" t="n">
        <v>105.3424803</v>
      </c>
      <c r="L3581" s="6">
        <f>I3581*K3581</f>
        <v/>
      </c>
      <c r="M3581" s="6">
        <f>K3581*4</f>
        <v/>
      </c>
      <c r="N3581" s="6" t="n">
        <v>550</v>
      </c>
    </row>
    <row r="3582">
      <c r="A3582" s="1" t="inlineStr">
        <is>
          <t>668eee51ba91b</t>
        </is>
      </c>
      <c r="B3582" s="1" t="inlineStr">
        <is>
          <t>PULSERA DE CUENTAS CON INSIGNIA DE CORAZÓN RED</t>
        </is>
      </c>
      <c r="C3582" s="1" t="inlineStr">
        <is>
          <t>17 cm</t>
        </is>
      </c>
      <c r="D3582" s="1" t="inlineStr">
        <is>
          <t>06/05/2026</t>
        </is>
      </c>
      <c r="E3582" s="1" t="n">
        <v>2026</v>
      </c>
      <c r="F3582" s="1" t="inlineStr">
        <is>
          <t>MAYO</t>
        </is>
      </c>
      <c r="G3582" s="1" t="inlineStr">
        <is>
          <t>HAIFENG</t>
        </is>
      </c>
      <c r="H3582" s="1" t="inlineStr">
        <is>
          <t>HAIFENG 06/05/2026</t>
        </is>
      </c>
      <c r="I3582" s="4" t="n">
        <v>2</v>
      </c>
      <c r="J3582" s="6" t="n">
        <v>5</v>
      </c>
      <c r="K3582" s="6" t="n">
        <v>106.0932113</v>
      </c>
      <c r="L3582" s="6">
        <f>I3582*K3582</f>
        <v/>
      </c>
      <c r="M3582" s="6">
        <f>K3582*4</f>
        <v/>
      </c>
      <c r="N3582" s="6" t="n">
        <v>550</v>
      </c>
    </row>
    <row r="3583">
      <c r="A3583" s="1" t="inlineStr">
        <is>
          <t>668eee51ba91b</t>
        </is>
      </c>
      <c r="B3583" s="1" t="inlineStr">
        <is>
          <t>PULSERA DE CUENTAS CON INSIGNIA DE CORAZÓN RED</t>
        </is>
      </c>
      <c r="C3583" s="1" t="inlineStr">
        <is>
          <t>17 cm</t>
        </is>
      </c>
      <c r="D3583" s="1" t="inlineStr">
        <is>
          <t>26/05/2026</t>
        </is>
      </c>
      <c r="E3583" s="1" t="n">
        <v>2026</v>
      </c>
      <c r="F3583" s="1" t="inlineStr">
        <is>
          <t>MAYO</t>
        </is>
      </c>
      <c r="G3583" s="1" t="inlineStr">
        <is>
          <t>HAIFENG</t>
        </is>
      </c>
      <c r="H3583" s="1" t="inlineStr">
        <is>
          <t>HAIFENG 26/05/2026</t>
        </is>
      </c>
      <c r="I3583" s="4" t="n">
        <v>4</v>
      </c>
      <c r="J3583" s="6" t="n">
        <v>5</v>
      </c>
      <c r="K3583" s="6" t="n">
        <v>104.9464765</v>
      </c>
      <c r="L3583" s="6">
        <f>I3583*K3583</f>
        <v/>
      </c>
      <c r="M3583" s="6">
        <f>K3583*4</f>
        <v/>
      </c>
      <c r="N3583" s="6" t="n">
        <v>550</v>
      </c>
    </row>
    <row r="3584">
      <c r="A3584" s="1" t="inlineStr">
        <is>
          <t>668eee51ba91b</t>
        </is>
      </c>
      <c r="B3584" s="1" t="inlineStr">
        <is>
          <t>PULSERA DE CUENTAS CON INSIGNIA DE CORAZÓN RED</t>
        </is>
      </c>
      <c r="C3584" s="1" t="inlineStr">
        <is>
          <t>17 cm</t>
        </is>
      </c>
      <c r="D3584" s="1" t="inlineStr">
        <is>
          <t>16/06/2026</t>
        </is>
      </c>
      <c r="E3584" s="1" t="n">
        <v>2026</v>
      </c>
      <c r="F3584" s="1" t="inlineStr">
        <is>
          <t>JUNIO</t>
        </is>
      </c>
      <c r="G3584" s="1" t="inlineStr">
        <is>
          <t>HAIFENG</t>
        </is>
      </c>
      <c r="H3584" s="1" t="inlineStr">
        <is>
          <t>HAIFENG 16/06/2026</t>
        </is>
      </c>
      <c r="I3584" s="4" t="n">
        <v>5</v>
      </c>
      <c r="J3584" s="6" t="n">
        <v>5</v>
      </c>
      <c r="K3584" s="6" t="n">
        <v>105.0730323</v>
      </c>
      <c r="L3584" s="6">
        <f>I3584*K3584</f>
        <v/>
      </c>
      <c r="M3584" s="6">
        <f>K3584*4</f>
        <v/>
      </c>
      <c r="N3584" s="6" t="n">
        <v>550</v>
      </c>
    </row>
    <row r="3585">
      <c r="A3585" s="1" t="inlineStr">
        <is>
          <t>668eee52c5906</t>
        </is>
      </c>
      <c r="B3585" s="1" t="inlineStr">
        <is>
          <t>PULSERA DE CUENTAS CON INSIGNIA DE CORAZÓN RED</t>
        </is>
      </c>
      <c r="C3585" s="1" t="inlineStr">
        <is>
          <t>18 cm</t>
        </is>
      </c>
      <c r="D3585" s="1" t="inlineStr">
        <is>
          <t>10/02/2026</t>
        </is>
      </c>
      <c r="E3585" s="1" t="n">
        <v>2026</v>
      </c>
      <c r="F3585" s="1" t="inlineStr">
        <is>
          <t>FEBRERO</t>
        </is>
      </c>
      <c r="G3585" s="1" t="inlineStr">
        <is>
          <t>HAIFENG</t>
        </is>
      </c>
      <c r="H3585" s="1" t="inlineStr">
        <is>
          <t>HAIFENG 10/02/2026</t>
        </is>
      </c>
      <c r="I3585" s="4" t="n">
        <v>1</v>
      </c>
      <c r="J3585" s="6" t="n">
        <v>5</v>
      </c>
      <c r="K3585" s="6" t="n">
        <v>105.3424803</v>
      </c>
      <c r="L3585" s="6">
        <f>I3585*K3585</f>
        <v/>
      </c>
      <c r="M3585" s="6">
        <f>K3585*4</f>
        <v/>
      </c>
      <c r="N3585" s="6" t="n">
        <v>550</v>
      </c>
    </row>
    <row r="3586">
      <c r="A3586" s="1" t="inlineStr">
        <is>
          <t>668eee52c5906</t>
        </is>
      </c>
      <c r="B3586" s="1" t="inlineStr">
        <is>
          <t>PULSERA DE CUENTAS CON INSIGNIA DE CORAZÓN RED</t>
        </is>
      </c>
      <c r="C3586" s="1" t="inlineStr">
        <is>
          <t>18 cm</t>
        </is>
      </c>
      <c r="D3586" s="1" t="inlineStr">
        <is>
          <t>11/03/2026</t>
        </is>
      </c>
      <c r="E3586" s="1" t="n">
        <v>2026</v>
      </c>
      <c r="F3586" s="1" t="inlineStr">
        <is>
          <t>MARZO</t>
        </is>
      </c>
      <c r="G3586" s="1" t="inlineStr">
        <is>
          <t>HAIFENG</t>
        </is>
      </c>
      <c r="H3586" s="1" t="inlineStr">
        <is>
          <t>HAIFENG 11/03/2026</t>
        </is>
      </c>
      <c r="I3586" s="4" t="n">
        <v>3</v>
      </c>
      <c r="J3586" s="6" t="n">
        <v>5</v>
      </c>
      <c r="K3586" s="6" t="n">
        <v>106.5194811</v>
      </c>
      <c r="L3586" s="6">
        <f>I3586*K3586</f>
        <v/>
      </c>
      <c r="M3586" s="6">
        <f>K3586*4</f>
        <v/>
      </c>
      <c r="N3586" s="6" t="n">
        <v>550</v>
      </c>
    </row>
    <row r="3587">
      <c r="A3587" s="1" t="inlineStr">
        <is>
          <t>668eee52c5906</t>
        </is>
      </c>
      <c r="B3587" s="1" t="inlineStr">
        <is>
          <t>PULSERA DE CUENTAS CON INSIGNIA DE CORAZÓN RED</t>
        </is>
      </c>
      <c r="C3587" s="1" t="inlineStr">
        <is>
          <t>18 cm</t>
        </is>
      </c>
      <c r="D3587" s="1" t="inlineStr">
        <is>
          <t>16/06/2026</t>
        </is>
      </c>
      <c r="E3587" s="1" t="n">
        <v>2026</v>
      </c>
      <c r="F3587" s="1" t="inlineStr">
        <is>
          <t>JUNIO</t>
        </is>
      </c>
      <c r="G3587" s="1" t="inlineStr">
        <is>
          <t>HAIFENG</t>
        </is>
      </c>
      <c r="H3587" s="1" t="inlineStr">
        <is>
          <t>HAIFENG 16/06/2026</t>
        </is>
      </c>
      <c r="I3587" s="4" t="n">
        <v>3</v>
      </c>
      <c r="J3587" s="6" t="n">
        <v>5</v>
      </c>
      <c r="K3587" s="6" t="n">
        <v>105.0730323</v>
      </c>
      <c r="L3587" s="6">
        <f>I3587*K3587</f>
        <v/>
      </c>
      <c r="M3587" s="6">
        <f>K3587*4</f>
        <v/>
      </c>
      <c r="N3587" s="6" t="n">
        <v>550</v>
      </c>
    </row>
    <row r="3588">
      <c r="A3588" s="1" t="inlineStr">
        <is>
          <t>668eee53b2d19</t>
        </is>
      </c>
      <c r="B3588" s="1" t="inlineStr">
        <is>
          <t>PULSERA DE CUENTAS CON INSIGNIA DE CORAZÓN RED</t>
        </is>
      </c>
      <c r="C3588" s="1" t="inlineStr">
        <is>
          <t>19 cm</t>
        </is>
      </c>
      <c r="D3588" s="1" t="inlineStr">
        <is>
          <t>16/04/2026</t>
        </is>
      </c>
      <c r="E3588" s="1" t="n">
        <v>2026</v>
      </c>
      <c r="F3588" s="1" t="inlineStr">
        <is>
          <t>ABRIL</t>
        </is>
      </c>
      <c r="G3588" s="1" t="inlineStr">
        <is>
          <t>HAIFENG</t>
        </is>
      </c>
      <c r="H3588" s="1" t="inlineStr">
        <is>
          <t>HAIFENG 16/04/2026</t>
        </is>
      </c>
      <c r="I3588" s="4" t="n">
        <v>2</v>
      </c>
      <c r="J3588" s="6" t="n">
        <v>5</v>
      </c>
      <c r="K3588" s="6" t="n">
        <v>105.1573679</v>
      </c>
      <c r="L3588" s="6">
        <f>I3588*K3588</f>
        <v/>
      </c>
      <c r="M3588" s="6">
        <f>K3588*4</f>
        <v/>
      </c>
      <c r="N3588" s="6" t="n">
        <v>550</v>
      </c>
    </row>
    <row r="3589">
      <c r="A3589" s="1" t="inlineStr">
        <is>
          <t>668eeef9cf7b1</t>
        </is>
      </c>
      <c r="B3589" s="1" t="inlineStr">
        <is>
          <t>BOLSO SADDLE CD JACQUARD BLUE</t>
        </is>
      </c>
      <c r="C3589" s="1" t="inlineStr">
        <is>
          <t>18cm de largo x 15cm de alto</t>
        </is>
      </c>
      <c r="D3589" s="1" t="inlineStr">
        <is>
          <t>05/09/2025</t>
        </is>
      </c>
      <c r="E3589" s="1" t="n">
        <v>2025</v>
      </c>
      <c r="F3589" s="1" t="inlineStr">
        <is>
          <t>SEPTIEMBRE</t>
        </is>
      </c>
      <c r="G3589" s="1" t="inlineStr">
        <is>
          <t>CYNTHIA</t>
        </is>
      </c>
      <c r="H3589" s="1" t="inlineStr">
        <is>
          <t>CYNTHIA 05/09/2025</t>
        </is>
      </c>
      <c r="I3589" s="4" t="n">
        <v>8</v>
      </c>
      <c r="J3589" s="6" t="n">
        <v>54</v>
      </c>
      <c r="K3589" s="6" t="n">
        <v>1359.671234</v>
      </c>
      <c r="L3589" s="6">
        <f>I3589*K3589</f>
        <v/>
      </c>
      <c r="M3589" s="6">
        <f>K3589*4</f>
        <v/>
      </c>
      <c r="N3589" s="6" t="n">
        <v>4600</v>
      </c>
    </row>
    <row r="3590">
      <c r="A3590" s="1" t="inlineStr">
        <is>
          <t>668eeef9cf7b1</t>
        </is>
      </c>
      <c r="B3590" s="1" t="inlineStr">
        <is>
          <t>BOLSO SADDLE CD JACQUARD BLUE</t>
        </is>
      </c>
      <c r="C3590" s="1" t="inlineStr">
        <is>
          <t>18cm de largo x 15cm de alto</t>
        </is>
      </c>
      <c r="D3590" s="1" t="inlineStr">
        <is>
          <t>07/01/2026</t>
        </is>
      </c>
      <c r="E3590" s="1" t="n">
        <v>2026</v>
      </c>
      <c r="F3590" s="1" t="inlineStr">
        <is>
          <t>ENERO</t>
        </is>
      </c>
      <c r="G3590" s="1" t="inlineStr">
        <is>
          <t>CYNTHIA</t>
        </is>
      </c>
      <c r="H3590" s="1" t="inlineStr">
        <is>
          <t>CYNTHIA 07/01/2026</t>
        </is>
      </c>
      <c r="I3590" s="4" t="n">
        <v>2</v>
      </c>
      <c r="J3590" s="6" t="n">
        <v>55</v>
      </c>
      <c r="K3590" s="6" t="n">
        <v>1462.308522</v>
      </c>
      <c r="L3590" s="6">
        <f>I3590*K3590</f>
        <v/>
      </c>
      <c r="M3590" s="6">
        <f>K3590*4</f>
        <v/>
      </c>
      <c r="N3590" s="6" t="n">
        <v>5119</v>
      </c>
    </row>
    <row r="3591">
      <c r="A3591" s="1" t="inlineStr">
        <is>
          <t>668eeefb6a924</t>
        </is>
      </c>
      <c r="B3591" s="1" t="inlineStr">
        <is>
          <t>BOLSO YSL KATE</t>
        </is>
      </c>
      <c r="C3591" s="1" t="inlineStr">
        <is>
          <t>27cm de largo x 18 cm de alto</t>
        </is>
      </c>
      <c r="D3591" s="1" t="inlineStr">
        <is>
          <t>05/09/2025</t>
        </is>
      </c>
      <c r="E3591" s="1" t="n">
        <v>2025</v>
      </c>
      <c r="F3591" s="1" t="inlineStr">
        <is>
          <t>SEPTIEMBRE</t>
        </is>
      </c>
      <c r="G3591" s="1" t="inlineStr">
        <is>
          <t>CYNTHIA</t>
        </is>
      </c>
      <c r="H3591" s="1" t="inlineStr">
        <is>
          <t>CYNTHIA 05/09/2025</t>
        </is>
      </c>
      <c r="I3591" s="4" t="n">
        <v>2</v>
      </c>
      <c r="J3591" s="6" t="n">
        <v>34</v>
      </c>
      <c r="K3591" s="6" t="n">
        <v>856.0892956</v>
      </c>
      <c r="L3591" s="6">
        <f>I3591*K3591</f>
        <v/>
      </c>
      <c r="M3591" s="6">
        <f>K3591*4</f>
        <v/>
      </c>
      <c r="N3591" s="6" t="n">
        <v>2899</v>
      </c>
    </row>
    <row r="3592">
      <c r="A3592" s="1" t="inlineStr">
        <is>
          <t>668eeefb6a924</t>
        </is>
      </c>
      <c r="B3592" s="1" t="inlineStr">
        <is>
          <t>BOLSO YSL KATE</t>
        </is>
      </c>
      <c r="C3592" s="1" t="inlineStr">
        <is>
          <t>27cm de largo x 18 cm de alto</t>
        </is>
      </c>
      <c r="D3592" s="1" t="inlineStr">
        <is>
          <t>07/01/2026</t>
        </is>
      </c>
      <c r="E3592" s="1" t="n">
        <v>2026</v>
      </c>
      <c r="F3592" s="1" t="inlineStr">
        <is>
          <t>ENERO</t>
        </is>
      </c>
      <c r="G3592" s="1" t="inlineStr">
        <is>
          <t>CYNTHIA</t>
        </is>
      </c>
      <c r="H3592" s="1" t="inlineStr">
        <is>
          <t>CYNTHIA 07/01/2026</t>
        </is>
      </c>
      <c r="I3592" s="4" t="n">
        <v>3</v>
      </c>
      <c r="J3592" s="6" t="n">
        <v>34</v>
      </c>
      <c r="K3592" s="6" t="n">
        <v>903.9725409</v>
      </c>
      <c r="L3592" s="6">
        <f>I3592*K3592</f>
        <v/>
      </c>
      <c r="M3592" s="6">
        <f>K3592*4</f>
        <v/>
      </c>
      <c r="N3592" s="6" t="n">
        <v>3620</v>
      </c>
    </row>
    <row r="3593">
      <c r="A3593" s="1" t="inlineStr">
        <is>
          <t>668eeefb6a924</t>
        </is>
      </c>
      <c r="B3593" s="1" t="inlineStr">
        <is>
          <t>BOLSO YSL KATE</t>
        </is>
      </c>
      <c r="C3593" s="1" t="inlineStr">
        <is>
          <t>27cm de largo x 18 cm de alto</t>
        </is>
      </c>
      <c r="D3593" s="1" t="inlineStr">
        <is>
          <t>19/03/2026</t>
        </is>
      </c>
      <c r="E3593" s="1" t="n">
        <v>2026</v>
      </c>
      <c r="F3593" s="1" t="inlineStr">
        <is>
          <t>MARZO</t>
        </is>
      </c>
      <c r="G3593" s="1" t="inlineStr">
        <is>
          <t>CYNTHIA</t>
        </is>
      </c>
      <c r="H3593" s="1" t="inlineStr">
        <is>
          <t>CYNTHIA 19/03/2026</t>
        </is>
      </c>
      <c r="I3593" s="4" t="n">
        <v>6</v>
      </c>
      <c r="J3593" s="6" t="n">
        <v>34</v>
      </c>
      <c r="K3593" s="6" t="n">
        <v>913.152137</v>
      </c>
      <c r="L3593" s="6">
        <f>I3593*K3593</f>
        <v/>
      </c>
      <c r="M3593" s="6">
        <f>K3593*4</f>
        <v/>
      </c>
      <c r="N3593" s="6" t="n">
        <v>3620</v>
      </c>
    </row>
    <row r="3594">
      <c r="A3594" s="1" t="inlineStr">
        <is>
          <t>668eeefb6a924</t>
        </is>
      </c>
      <c r="B3594" s="1" t="inlineStr">
        <is>
          <t>BOLSO YSL KATE</t>
        </is>
      </c>
      <c r="C3594" s="1" t="inlineStr">
        <is>
          <t>27cm de largo x 18 cm de alto</t>
        </is>
      </c>
      <c r="D3594" s="1" t="inlineStr">
        <is>
          <t>31/05/2026</t>
        </is>
      </c>
      <c r="E3594" s="1" t="n">
        <v>2026</v>
      </c>
      <c r="F3594" s="1" t="inlineStr">
        <is>
          <t>MAYO</t>
        </is>
      </c>
      <c r="G3594" s="1" t="inlineStr">
        <is>
          <t>CYNTHIA</t>
        </is>
      </c>
      <c r="H3594" s="1" t="inlineStr">
        <is>
          <t>CYNTHIA 31/05/2026</t>
        </is>
      </c>
      <c r="I3594" s="4" t="n">
        <v>5</v>
      </c>
      <c r="J3594" s="6" t="n">
        <v>34</v>
      </c>
      <c r="K3594" s="6" t="n">
        <v>901.0355292</v>
      </c>
      <c r="L3594" s="6">
        <f>I3594*K3594</f>
        <v/>
      </c>
      <c r="M3594" s="6">
        <f>K3594*4</f>
        <v/>
      </c>
      <c r="N3594" s="6" t="n">
        <v>3620</v>
      </c>
    </row>
    <row r="3595">
      <c r="A3595" s="1" t="inlineStr">
        <is>
          <t>668ef00538c27</t>
        </is>
      </c>
      <c r="B3595" s="1" t="inlineStr">
        <is>
          <t>PULSERA TRÉBOL SILVER RED</t>
        </is>
      </c>
      <c r="C3595" s="1" t="inlineStr">
        <is>
          <t>18cm</t>
        </is>
      </c>
      <c r="D3595" s="1" t="inlineStr">
        <is>
          <t>01/09/2025</t>
        </is>
      </c>
      <c r="E3595" s="1" t="n">
        <v>2025</v>
      </c>
      <c r="F3595" s="1" t="inlineStr">
        <is>
          <t>SEPTIEMBRE</t>
        </is>
      </c>
      <c r="G3595" s="1" t="inlineStr">
        <is>
          <t>HAIFENG</t>
        </is>
      </c>
      <c r="H3595" s="1" t="inlineStr">
        <is>
          <t>HAIFENG 01/09/2025</t>
        </is>
      </c>
      <c r="I3595" s="4" t="n">
        <v>2</v>
      </c>
      <c r="J3595" s="6" t="n">
        <v>22</v>
      </c>
      <c r="K3595" s="6" t="n">
        <v>467.6247634</v>
      </c>
      <c r="L3595" s="6">
        <f>I3595*K3595</f>
        <v/>
      </c>
      <c r="M3595" s="6">
        <f>K3595*4</f>
        <v/>
      </c>
      <c r="N3595" s="6" t="n">
        <v>650</v>
      </c>
    </row>
    <row r="3596">
      <c r="A3596" s="1" t="inlineStr">
        <is>
          <t>668ef00538c27</t>
        </is>
      </c>
      <c r="B3596" s="1" t="inlineStr">
        <is>
          <t>PULSERA TRÉBOL SILVER RED</t>
        </is>
      </c>
      <c r="C3596" s="1" t="inlineStr">
        <is>
          <t>18cm</t>
        </is>
      </c>
      <c r="D3596" s="1" t="inlineStr">
        <is>
          <t>03/12/2025</t>
        </is>
      </c>
      <c r="E3596" s="1" t="n">
        <v>2025</v>
      </c>
      <c r="F3596" s="1" t="inlineStr">
        <is>
          <t>DICIEMBRE</t>
        </is>
      </c>
      <c r="G3596" s="1" t="inlineStr">
        <is>
          <t>HAIFENG</t>
        </is>
      </c>
      <c r="H3596" s="1" t="inlineStr">
        <is>
          <t>HAIFENG 03/12/2025</t>
        </is>
      </c>
      <c r="I3596" s="4" t="n">
        <v>3</v>
      </c>
      <c r="J3596" s="6" t="n">
        <v>24</v>
      </c>
      <c r="K3596" s="6" t="n">
        <v>502.0118403</v>
      </c>
      <c r="L3596" s="6">
        <f>I3596*K3596</f>
        <v/>
      </c>
      <c r="M3596" s="6">
        <f>K3596*4</f>
        <v/>
      </c>
      <c r="N3596" s="6" t="n">
        <v>650</v>
      </c>
    </row>
    <row r="3597">
      <c r="A3597" s="1" t="inlineStr">
        <is>
          <t>668ef00538c27</t>
        </is>
      </c>
      <c r="B3597" s="1" t="inlineStr">
        <is>
          <t>PULSERA TRÉBOL SILVER RED</t>
        </is>
      </c>
      <c r="C3597" s="1" t="inlineStr">
        <is>
          <t>18cm</t>
        </is>
      </c>
      <c r="D3597" s="1" t="inlineStr">
        <is>
          <t>06/05/2026</t>
        </is>
      </c>
      <c r="E3597" s="1" t="n">
        <v>2026</v>
      </c>
      <c r="F3597" s="1" t="inlineStr">
        <is>
          <t>MAYO</t>
        </is>
      </c>
      <c r="G3597" s="1" t="inlineStr">
        <is>
          <t>HAIFENG</t>
        </is>
      </c>
      <c r="H3597" s="1" t="inlineStr">
        <is>
          <t>HAIFENG 06/05/2026</t>
        </is>
      </c>
      <c r="I3597" s="4" t="n">
        <v>2</v>
      </c>
      <c r="J3597" s="6" t="n">
        <v>7</v>
      </c>
      <c r="K3597" s="6" t="n">
        <v>148.5304959</v>
      </c>
      <c r="L3597" s="6">
        <f>I3597*K3597</f>
        <v/>
      </c>
      <c r="M3597" s="6">
        <f>K3597*4</f>
        <v/>
      </c>
      <c r="N3597" s="6" t="n">
        <v>650</v>
      </c>
    </row>
    <row r="3598">
      <c r="A3598" s="1" t="inlineStr">
        <is>
          <t>66958009110540</t>
        </is>
      </c>
      <c r="B3598" s="1" t="inlineStr">
        <is>
          <t>BOLSO LADY D JOY BLACK</t>
        </is>
      </c>
      <c r="C3598" s="1" t="inlineStr">
        <is>
          <t>22cm de largo x 11.5cm dde alto x 6.8cm de ancho (REMATE)</t>
        </is>
      </c>
      <c r="D3598" s="1" t="inlineStr">
        <is>
          <t>02/03/2026</t>
        </is>
      </c>
      <c r="E3598" s="1" t="n">
        <v>2026</v>
      </c>
      <c r="F3598" s="1" t="inlineStr">
        <is>
          <t>MARZO</t>
        </is>
      </c>
      <c r="G3598" s="1" t="inlineStr">
        <is>
          <t>ZOEY</t>
        </is>
      </c>
      <c r="H3598" s="1" t="inlineStr">
        <is>
          <t>ZOEY 02/03/2026</t>
        </is>
      </c>
      <c r="I3598" s="4" t="n">
        <v>2</v>
      </c>
      <c r="J3598" s="6" t="n">
        <v>56</v>
      </c>
      <c r="K3598" s="6" t="n">
        <v>1471.51064</v>
      </c>
      <c r="L3598" s="6">
        <f>I3598*K3598</f>
        <v/>
      </c>
      <c r="M3598" s="6">
        <f>K3598*4</f>
        <v/>
      </c>
      <c r="N3598" s="6" t="n">
        <v>5019</v>
      </c>
    </row>
    <row r="3599">
      <c r="A3599" s="1" t="inlineStr">
        <is>
          <t>66958009110540</t>
        </is>
      </c>
      <c r="B3599" s="1" t="inlineStr">
        <is>
          <t>BOLSO LADY D JOY BLACK</t>
        </is>
      </c>
      <c r="C3599" s="1" t="inlineStr">
        <is>
          <t>22cm de largo x 11.5cm dde alto x 6.8cm de ancho (REMATE)</t>
        </is>
      </c>
      <c r="D3599" s="1" t="inlineStr">
        <is>
          <t>20/04/2026</t>
        </is>
      </c>
      <c r="E3599" s="1" t="n">
        <v>2026</v>
      </c>
      <c r="F3599" s="1" t="inlineStr">
        <is>
          <t>ABRIL</t>
        </is>
      </c>
      <c r="G3599" s="1" t="inlineStr">
        <is>
          <t>ZOEY</t>
        </is>
      </c>
      <c r="H3599" s="1" t="inlineStr">
        <is>
          <t>ZOEY 20/04/2026</t>
        </is>
      </c>
      <c r="I3599" s="4" t="n">
        <v>2</v>
      </c>
      <c r="J3599" s="6" t="n">
        <v>56</v>
      </c>
      <c r="K3599" s="6" t="n">
        <v>1434.091587</v>
      </c>
      <c r="L3599" s="6">
        <f>I3599*K3599</f>
        <v/>
      </c>
      <c r="M3599" s="6">
        <f>K3599*4</f>
        <v/>
      </c>
      <c r="N3599" s="6" t="n">
        <v>5019</v>
      </c>
    </row>
    <row r="3600">
      <c r="A3600" s="1" t="inlineStr">
        <is>
          <t>66b5a7ced89a8</t>
        </is>
      </c>
      <c r="B3600" s="1" t="inlineStr">
        <is>
          <t>COLLAR 20 TRÉBOLES SILVER BLACK</t>
        </is>
      </c>
      <c r="C3600" s="1" t="inlineStr">
        <is>
          <t>Default Title</t>
        </is>
      </c>
      <c r="D3600" s="1" t="inlineStr">
        <is>
          <t>01/04/2026</t>
        </is>
      </c>
      <c r="E3600" s="1" t="n">
        <v>2026</v>
      </c>
      <c r="F3600" s="1" t="inlineStr">
        <is>
          <t>ABRIL</t>
        </is>
      </c>
      <c r="G3600" s="1" t="inlineStr">
        <is>
          <t>NANCY</t>
        </is>
      </c>
      <c r="H3600" s="1" t="inlineStr">
        <is>
          <t>NANCY 01/04/2026</t>
        </is>
      </c>
      <c r="I3600" s="4" t="n">
        <v>1</v>
      </c>
      <c r="J3600" s="6" t="n">
        <v>35.59</v>
      </c>
      <c r="K3600" s="6" t="n">
        <v>852.042736</v>
      </c>
      <c r="L3600" s="6">
        <f>I3600*K3600</f>
        <v/>
      </c>
      <c r="M3600" s="6">
        <f>K3600*4</f>
        <v/>
      </c>
      <c r="N3600" s="6" t="n">
        <v>2999</v>
      </c>
    </row>
    <row r="3601">
      <c r="A3601" s="1" t="inlineStr">
        <is>
          <t>66b5a7ced89a8</t>
        </is>
      </c>
      <c r="B3601" s="1" t="inlineStr">
        <is>
          <t>COLLAR 20 TRÉBOLES SILVER BLACK</t>
        </is>
      </c>
      <c r="C3601" s="1" t="inlineStr">
        <is>
          <t>Default Title</t>
        </is>
      </c>
      <c r="D3601" s="1" t="inlineStr">
        <is>
          <t>08/05/2026</t>
        </is>
      </c>
      <c r="E3601" s="1" t="n">
        <v>2026</v>
      </c>
      <c r="F3601" s="1" t="inlineStr">
        <is>
          <t>MAYO</t>
        </is>
      </c>
      <c r="G3601" s="1" t="inlineStr">
        <is>
          <t>NANCY</t>
        </is>
      </c>
      <c r="H3601" s="1" t="inlineStr">
        <is>
          <t>NANCY 08/05/2026</t>
        </is>
      </c>
      <c r="I3601" s="4" t="n">
        <v>2</v>
      </c>
      <c r="J3601" s="6" t="n">
        <v>35.59</v>
      </c>
      <c r="K3601" s="6" t="n">
        <v>841.9797002</v>
      </c>
      <c r="L3601" s="6">
        <f>I3601*K3601</f>
        <v/>
      </c>
      <c r="M3601" s="6">
        <f>K3601*4</f>
        <v/>
      </c>
      <c r="N3601" s="6" t="n">
        <v>2999</v>
      </c>
    </row>
    <row r="3602">
      <c r="A3602" s="1" t="inlineStr">
        <is>
          <t>66b6834cd5e9b</t>
        </is>
      </c>
      <c r="B3602" s="1" t="inlineStr">
        <is>
          <t>ARETES TRINITY</t>
        </is>
      </c>
      <c r="C3602" s="1" t="inlineStr">
        <is>
          <t>1.5 cm</t>
        </is>
      </c>
      <c r="D3602" s="1" t="inlineStr">
        <is>
          <t>10/02/2026</t>
        </is>
      </c>
      <c r="E3602" s="1" t="n">
        <v>2026</v>
      </c>
      <c r="F3602" s="1" t="inlineStr">
        <is>
          <t>FEBRERO</t>
        </is>
      </c>
      <c r="G3602" s="1" t="inlineStr">
        <is>
          <t>HAIFENG</t>
        </is>
      </c>
      <c r="H3602" s="1" t="inlineStr">
        <is>
          <t>HAIFENG 10/02/2026</t>
        </is>
      </c>
      <c r="I3602" s="4" t="n">
        <v>2</v>
      </c>
      <c r="J3602" s="6" t="n">
        <v>8</v>
      </c>
      <c r="K3602" s="6" t="n">
        <v>168.5479685</v>
      </c>
      <c r="L3602" s="6">
        <f>I3602*K3602</f>
        <v/>
      </c>
      <c r="M3602" s="6">
        <f>K3602*4</f>
        <v/>
      </c>
      <c r="N3602" s="6" t="n">
        <v>550</v>
      </c>
    </row>
    <row r="3603">
      <c r="A3603" s="1" t="inlineStr">
        <is>
          <t>66df5ec06fc76</t>
        </is>
      </c>
      <c r="B3603" s="1" t="inlineStr">
        <is>
          <t>BOLSO LADY D CHAROL BLACK</t>
        </is>
      </c>
      <c r="C3603" s="1" t="inlineStr">
        <is>
          <t>23.5cm de largo x 21cm de alto x 12cm de ancho</t>
        </is>
      </c>
      <c r="D3603" s="1" t="inlineStr">
        <is>
          <t>20/01/2026</t>
        </is>
      </c>
      <c r="E3603" s="1" t="n">
        <v>2026</v>
      </c>
      <c r="F3603" s="1" t="inlineStr">
        <is>
          <t>ENERO</t>
        </is>
      </c>
      <c r="G3603" s="1" t="inlineStr">
        <is>
          <t>ZOEY</t>
        </is>
      </c>
      <c r="H3603" s="1" t="inlineStr">
        <is>
          <t>ZOEY 20/01/2026</t>
        </is>
      </c>
      <c r="I3603" s="4" t="n">
        <v>1</v>
      </c>
      <c r="J3603" s="6" t="n">
        <v>56</v>
      </c>
      <c r="K3603" s="6" t="n">
        <v>1457.769565</v>
      </c>
      <c r="L3603" s="6">
        <f>I3603*K3603</f>
        <v/>
      </c>
      <c r="M3603" s="6">
        <f>K3603*4</f>
        <v/>
      </c>
      <c r="N3603" s="6" t="n">
        <v>5454</v>
      </c>
    </row>
    <row r="3604">
      <c r="A3604" s="1" t="inlineStr">
        <is>
          <t>66df5ec06fc76</t>
        </is>
      </c>
      <c r="B3604" s="1" t="inlineStr">
        <is>
          <t>BOLSO LADY D CHAROL BLACK</t>
        </is>
      </c>
      <c r="C3604" s="1" t="inlineStr">
        <is>
          <t>23.5cm de largo x 21cm de alto x 12cm de ancho</t>
        </is>
      </c>
      <c r="D3604" s="1" t="inlineStr">
        <is>
          <t>08/06/2026</t>
        </is>
      </c>
      <c r="E3604" s="1" t="n">
        <v>2026</v>
      </c>
      <c r="F3604" s="1" t="inlineStr">
        <is>
          <t>JUNIO</t>
        </is>
      </c>
      <c r="G3604" s="1" t="inlineStr">
        <is>
          <t>ZOEY</t>
        </is>
      </c>
      <c r="H3604" s="1" t="inlineStr">
        <is>
          <t>ZOEY 08/06/2026</t>
        </is>
      </c>
      <c r="I3604" s="4" t="n">
        <v>3</v>
      </c>
      <c r="J3604" s="6" t="n">
        <v>56</v>
      </c>
      <c r="K3604" s="6" t="n">
        <v>1372.640441</v>
      </c>
      <c r="L3604" s="6">
        <f>I3604*K3604</f>
        <v/>
      </c>
      <c r="M3604" s="6">
        <f>K3604*4</f>
        <v/>
      </c>
      <c r="N3604" s="6" t="n">
        <v>5454</v>
      </c>
    </row>
    <row r="3605">
      <c r="A3605" s="1" t="inlineStr">
        <is>
          <t>66df5ec1b9bcc</t>
        </is>
      </c>
      <c r="B3605" s="1" t="inlineStr">
        <is>
          <t>BOLSO LADY D CHAROL DUSTY PINK</t>
        </is>
      </c>
      <c r="C3605" s="1" t="inlineStr">
        <is>
          <t>23.5cm de largo x 21cm de alto x 12cm de ancho</t>
        </is>
      </c>
      <c r="D3605" s="1" t="inlineStr">
        <is>
          <t>01/09/2025</t>
        </is>
      </c>
      <c r="E3605" s="1" t="n">
        <v>2025</v>
      </c>
      <c r="F3605" s="1" t="inlineStr">
        <is>
          <t>SEPTIEMBRE</t>
        </is>
      </c>
      <c r="G3605" s="1" t="inlineStr">
        <is>
          <t>ZOEY</t>
        </is>
      </c>
      <c r="H3605" s="1" t="inlineStr">
        <is>
          <t>ZOEY 01/09/2025</t>
        </is>
      </c>
      <c r="I3605" s="4" t="n">
        <v>1</v>
      </c>
      <c r="J3605" s="6" t="n">
        <v>56</v>
      </c>
      <c r="K3605" s="6" t="n">
        <v>1406.599298</v>
      </c>
      <c r="L3605" s="6">
        <f>I3605*K3605</f>
        <v/>
      </c>
      <c r="M3605" s="6">
        <f>K3605*4</f>
        <v/>
      </c>
      <c r="N3605" s="6" t="n">
        <v>5940</v>
      </c>
    </row>
    <row r="3606">
      <c r="A3606" s="1" t="inlineStr">
        <is>
          <t>66df5ec1b9bcc</t>
        </is>
      </c>
      <c r="B3606" s="1" t="inlineStr">
        <is>
          <t>BOLSO LADY D CHAROL DUSTY PINK</t>
        </is>
      </c>
      <c r="C3606" s="1" t="inlineStr">
        <is>
          <t>23.5cm de largo x 21cm de alto x 12cm de ancho</t>
        </is>
      </c>
      <c r="D3606" s="1" t="inlineStr">
        <is>
          <t>20/01/2026</t>
        </is>
      </c>
      <c r="E3606" s="1" t="n">
        <v>2026</v>
      </c>
      <c r="F3606" s="1" t="inlineStr">
        <is>
          <t>ENERO</t>
        </is>
      </c>
      <c r="G3606" s="1" t="inlineStr">
        <is>
          <t>ZOEY</t>
        </is>
      </c>
      <c r="H3606" s="1" t="inlineStr">
        <is>
          <t>ZOEY 20/01/2026</t>
        </is>
      </c>
      <c r="I3606" s="4" t="n">
        <v>1</v>
      </c>
      <c r="J3606" s="6" t="n">
        <v>56</v>
      </c>
      <c r="K3606" s="6" t="n">
        <v>1457.769565</v>
      </c>
      <c r="L3606" s="6">
        <f>I3606*K3606</f>
        <v/>
      </c>
      <c r="M3606" s="6">
        <f>K3606*4</f>
        <v/>
      </c>
      <c r="N3606" s="6" t="n">
        <v>5775</v>
      </c>
    </row>
    <row r="3607">
      <c r="A3607" s="1" t="inlineStr">
        <is>
          <t>66df5ec1b9bcc</t>
        </is>
      </c>
      <c r="B3607" s="1" t="inlineStr">
        <is>
          <t>BOLSO LADY D CHAROL DUSTY PINK</t>
        </is>
      </c>
      <c r="C3607" s="1" t="inlineStr">
        <is>
          <t>23.5cm de largo x 21cm de alto x 12cm de ancho</t>
        </is>
      </c>
      <c r="D3607" s="1" t="inlineStr">
        <is>
          <t>19/03/2026</t>
        </is>
      </c>
      <c r="E3607" s="1" t="n">
        <v>2026</v>
      </c>
      <c r="F3607" s="1" t="inlineStr">
        <is>
          <t>MARZO</t>
        </is>
      </c>
      <c r="G3607" s="1" t="inlineStr">
        <is>
          <t>ZOEY</t>
        </is>
      </c>
      <c r="H3607" s="1" t="inlineStr">
        <is>
          <t>ZOEY 19/03/2026</t>
        </is>
      </c>
      <c r="I3607" s="4" t="n">
        <v>1</v>
      </c>
      <c r="J3607" s="6" t="n">
        <v>56</v>
      </c>
      <c r="K3607" s="6" t="n">
        <v>1443.794778</v>
      </c>
      <c r="L3607" s="6">
        <f>I3607*K3607</f>
        <v/>
      </c>
      <c r="M3607" s="6">
        <f>K3607*4</f>
        <v/>
      </c>
      <c r="N3607" s="6" t="n">
        <v>5775</v>
      </c>
    </row>
    <row r="3608">
      <c r="A3608" s="1" t="inlineStr">
        <is>
          <t>66df5ec1b9bcc</t>
        </is>
      </c>
      <c r="B3608" s="1" t="inlineStr">
        <is>
          <t>BOLSO LADY D CHAROL DUSTY PINK</t>
        </is>
      </c>
      <c r="C3608" s="1" t="inlineStr">
        <is>
          <t>23.5cm de largo x 21cm de alto x 12cm de ancho</t>
        </is>
      </c>
      <c r="D3608" s="1" t="inlineStr">
        <is>
          <t>15/05/2026</t>
        </is>
      </c>
      <c r="E3608" s="1" t="n">
        <v>2026</v>
      </c>
      <c r="F3608" s="1" t="inlineStr">
        <is>
          <t>MAYO</t>
        </is>
      </c>
      <c r="G3608" s="1" t="inlineStr">
        <is>
          <t>ZOEY</t>
        </is>
      </c>
      <c r="H3608" s="1" t="inlineStr">
        <is>
          <t>ZOEY 15/05/2026</t>
        </is>
      </c>
      <c r="I3608" s="4" t="n">
        <v>1</v>
      </c>
      <c r="J3608" s="6" t="n">
        <v>56</v>
      </c>
      <c r="K3608" s="6" t="n">
        <v>1484.258971</v>
      </c>
      <c r="L3608" s="6">
        <f>I3608*K3608</f>
        <v/>
      </c>
      <c r="M3608" s="6">
        <f>K3608*4</f>
        <v/>
      </c>
      <c r="N3608" s="6" t="n">
        <v>5940</v>
      </c>
    </row>
    <row r="3609">
      <c r="A3609" s="1" t="inlineStr">
        <is>
          <t>66df5ec68a185</t>
        </is>
      </c>
      <c r="B3609" s="1" t="inlineStr">
        <is>
          <t>BOLSO LADY D CHAROL OFF WHITE</t>
        </is>
      </c>
      <c r="C3609" s="1" t="inlineStr">
        <is>
          <t>23.5cm de largo x 21cm de alto x 12cm de ancho</t>
        </is>
      </c>
      <c r="D3609" s="1" t="inlineStr">
        <is>
          <t>15/05/2026</t>
        </is>
      </c>
      <c r="E3609" s="1" t="n">
        <v>2026</v>
      </c>
      <c r="F3609" s="1" t="inlineStr">
        <is>
          <t>MAYO</t>
        </is>
      </c>
      <c r="G3609" s="1" t="inlineStr">
        <is>
          <t>ZOEY</t>
        </is>
      </c>
      <c r="H3609" s="1" t="inlineStr">
        <is>
          <t>ZOEY 15/05/2026</t>
        </is>
      </c>
      <c r="I3609" s="4" t="n">
        <v>2</v>
      </c>
      <c r="J3609" s="6" t="n">
        <v>56</v>
      </c>
      <c r="K3609" s="6" t="n">
        <v>1484.258971</v>
      </c>
      <c r="L3609" s="6">
        <f>I3609*K3609</f>
        <v/>
      </c>
      <c r="M3609" s="6">
        <f>K3609*4</f>
        <v/>
      </c>
      <c r="N3609" s="6" t="n">
        <v>5940</v>
      </c>
    </row>
    <row r="3610">
      <c r="A3610" s="1" t="inlineStr">
        <is>
          <t>66e2425fcbc7e</t>
        </is>
      </c>
      <c r="B3610" s="1" t="inlineStr">
        <is>
          <t>TARJETERO G BLACK</t>
        </is>
      </c>
      <c r="C3610" s="1" t="inlineStr">
        <is>
          <t>10.5cm de largo x 7.6cm de alto</t>
        </is>
      </c>
      <c r="D3610" s="1" t="inlineStr">
        <is>
          <t>25/10/2025</t>
        </is>
      </c>
      <c r="E3610" s="1" t="n">
        <v>2025</v>
      </c>
      <c r="F3610" s="1" t="inlineStr">
        <is>
          <t>OCTUBRE</t>
        </is>
      </c>
      <c r="G3610" s="1" t="inlineStr">
        <is>
          <t>CYNTHIA</t>
        </is>
      </c>
      <c r="H3610" s="1" t="inlineStr">
        <is>
          <t>CYNTHIA 25/10/2025</t>
        </is>
      </c>
      <c r="I3610" s="4" t="n">
        <v>2</v>
      </c>
      <c r="J3610" s="6" t="n">
        <v>26</v>
      </c>
      <c r="K3610" s="6" t="n">
        <v>681.2474132999999</v>
      </c>
      <c r="L3610" s="6">
        <f>I3610*K3610</f>
        <v/>
      </c>
      <c r="M3610" s="6">
        <f>K3610*4</f>
        <v/>
      </c>
      <c r="N3610" s="6" t="n">
        <v>2199</v>
      </c>
    </row>
    <row r="3611">
      <c r="A3611" s="1" t="inlineStr">
        <is>
          <t>66e2425fcbc7e</t>
        </is>
      </c>
      <c r="B3611" s="1" t="inlineStr">
        <is>
          <t>TARJETERO G BLACK</t>
        </is>
      </c>
      <c r="C3611" s="1" t="inlineStr">
        <is>
          <t>10.5cm de largo x 7.6cm de alto</t>
        </is>
      </c>
      <c r="D3611" s="1" t="inlineStr">
        <is>
          <t>07/01/2026</t>
        </is>
      </c>
      <c r="E3611" s="1" t="n">
        <v>2026</v>
      </c>
      <c r="F3611" s="1" t="inlineStr">
        <is>
          <t>ENERO</t>
        </is>
      </c>
      <c r="G3611" s="1" t="inlineStr">
        <is>
          <t>CYNTHIA</t>
        </is>
      </c>
      <c r="H3611" s="1" t="inlineStr">
        <is>
          <t>CYNTHIA 07/01/2026</t>
        </is>
      </c>
      <c r="I3611" s="4" t="n">
        <v>2</v>
      </c>
      <c r="J3611" s="6" t="n">
        <v>26</v>
      </c>
      <c r="K3611" s="6" t="n">
        <v>691.2731195</v>
      </c>
      <c r="L3611" s="6">
        <f>I3611*K3611</f>
        <v/>
      </c>
      <c r="M3611" s="6">
        <f>K3611*4</f>
        <v/>
      </c>
      <c r="N3611" s="6" t="n">
        <v>2420</v>
      </c>
    </row>
    <row r="3612">
      <c r="A3612" s="1" t="inlineStr">
        <is>
          <t>66ec817c20ce6</t>
        </is>
      </c>
      <c r="B3612" s="1" t="inlineStr">
        <is>
          <t>BOLSO B BLACK</t>
        </is>
      </c>
      <c r="C3612" s="1" t="inlineStr">
        <is>
          <t>HIGH QUALITY 23cm de largo x 14.5cm de alto x 10cm de ancho</t>
        </is>
      </c>
      <c r="D3612" s="1" t="inlineStr">
        <is>
          <t>25/10/2025</t>
        </is>
      </c>
      <c r="E3612" s="1" t="n">
        <v>2025</v>
      </c>
      <c r="F3612" s="1" t="inlineStr">
        <is>
          <t>OCTUBRE</t>
        </is>
      </c>
      <c r="G3612" s="1" t="inlineStr">
        <is>
          <t>ZOEY</t>
        </is>
      </c>
      <c r="H3612" s="1" t="inlineStr">
        <is>
          <t>ZOEY 25/10/2025</t>
        </is>
      </c>
      <c r="I3612" s="4" t="n">
        <v>3</v>
      </c>
      <c r="J3612" s="6" t="n">
        <v>45</v>
      </c>
      <c r="K3612" s="6" t="n">
        <v>1116.004919</v>
      </c>
      <c r="L3612" s="6">
        <f>I3612*K3612</f>
        <v/>
      </c>
      <c r="M3612" s="6">
        <f>K3612*4</f>
        <v/>
      </c>
      <c r="N3612" s="6" t="n">
        <v>3799</v>
      </c>
    </row>
    <row r="3613">
      <c r="A3613" s="1" t="inlineStr">
        <is>
          <t>66ec817ce19fe</t>
        </is>
      </c>
      <c r="B3613" s="1" t="inlineStr">
        <is>
          <t>BOLSO B BLACK LISA</t>
        </is>
      </c>
      <c r="C3613" s="1" t="inlineStr">
        <is>
          <t>HIGH QUALITY 23cm de largo x 14.5cm de alto x 10cm de ancho</t>
        </is>
      </c>
      <c r="D3613" s="1" t="inlineStr">
        <is>
          <t>01/09/2025</t>
        </is>
      </c>
      <c r="E3613" s="1" t="n">
        <v>2025</v>
      </c>
      <c r="F3613" s="1" t="inlineStr">
        <is>
          <t>SEPTIEMBRE</t>
        </is>
      </c>
      <c r="G3613" s="1" t="inlineStr">
        <is>
          <t>ZOEY</t>
        </is>
      </c>
      <c r="H3613" s="1" t="inlineStr">
        <is>
          <t>ZOEY 01/09/2025</t>
        </is>
      </c>
      <c r="I3613" s="4" t="n">
        <v>1</v>
      </c>
      <c r="J3613" s="6" t="n">
        <v>45</v>
      </c>
      <c r="K3613" s="6" t="n">
        <v>1130.303007</v>
      </c>
      <c r="L3613" s="6">
        <f>I3613*K3613</f>
        <v/>
      </c>
      <c r="M3613" s="6">
        <f>K3613*4</f>
        <v/>
      </c>
      <c r="N3613" s="6" t="n">
        <v>3799</v>
      </c>
    </row>
    <row r="3614">
      <c r="A3614" s="1" t="inlineStr">
        <is>
          <t>66ec817ce19fe</t>
        </is>
      </c>
      <c r="B3614" s="1" t="inlineStr">
        <is>
          <t>BOLSO B BLACK LISA</t>
        </is>
      </c>
      <c r="C3614" s="1" t="inlineStr">
        <is>
          <t>HIGH QUALITY 23cm de largo x 14.5cm de alto x 10cm de ancho</t>
        </is>
      </c>
      <c r="D3614" s="1" t="inlineStr">
        <is>
          <t>02/03/2026</t>
        </is>
      </c>
      <c r="E3614" s="1" t="n">
        <v>2026</v>
      </c>
      <c r="F3614" s="1" t="inlineStr">
        <is>
          <t>MARZO</t>
        </is>
      </c>
      <c r="G3614" s="1" t="inlineStr">
        <is>
          <t>ZOEY</t>
        </is>
      </c>
      <c r="H3614" s="1" t="inlineStr">
        <is>
          <t>ZOEY 02/03/2026</t>
        </is>
      </c>
      <c r="I3614" s="4" t="n">
        <v>2</v>
      </c>
      <c r="J3614" s="6" t="n">
        <v>45</v>
      </c>
      <c r="K3614" s="6" t="n">
        <v>1182.463908</v>
      </c>
      <c r="L3614" s="6">
        <f>I3614*K3614</f>
        <v/>
      </c>
      <c r="M3614" s="6">
        <f>K3614*4</f>
        <v/>
      </c>
      <c r="N3614" s="6" t="n">
        <v>4060</v>
      </c>
    </row>
    <row r="3615">
      <c r="A3615" s="1" t="inlineStr">
        <is>
          <t>66ec817ce19fe</t>
        </is>
      </c>
      <c r="B3615" s="1" t="inlineStr">
        <is>
          <t>BOLSO B BLACK LISO</t>
        </is>
      </c>
      <c r="C3615" s="1" t="inlineStr">
        <is>
          <t>HIGH QUALITY 23cm de largo x 14.5cm de alto x 10cm de ancho</t>
        </is>
      </c>
      <c r="D3615" s="1" t="inlineStr">
        <is>
          <t>19/03/2026</t>
        </is>
      </c>
      <c r="E3615" s="1" t="n">
        <v>2026</v>
      </c>
      <c r="F3615" s="1" t="inlineStr">
        <is>
          <t>MARZO</t>
        </is>
      </c>
      <c r="G3615" s="1" t="inlineStr">
        <is>
          <t>ZOEY</t>
        </is>
      </c>
      <c r="H3615" s="1" t="inlineStr">
        <is>
          <t>ZOEY 19/03/2026</t>
        </is>
      </c>
      <c r="I3615" s="4" t="n">
        <v>1</v>
      </c>
      <c r="J3615" s="6" t="n">
        <v>45</v>
      </c>
      <c r="K3615" s="6" t="n">
        <v>1160.192233</v>
      </c>
      <c r="L3615" s="6">
        <f>I3615*K3615</f>
        <v/>
      </c>
      <c r="M3615" s="6">
        <f>K3615*4</f>
        <v/>
      </c>
      <c r="N3615" s="6" t="n">
        <v>4060</v>
      </c>
    </row>
    <row r="3616">
      <c r="A3616" s="1" t="inlineStr">
        <is>
          <t>66f1ed26445d0</t>
        </is>
      </c>
      <c r="B3616" s="1" t="inlineStr">
        <is>
          <t>CARTERA G VICTORIE BLACK</t>
        </is>
      </c>
      <c r="C3616" s="1" t="inlineStr">
        <is>
          <t>12cm de largo x 9.5cm de alto</t>
        </is>
      </c>
      <c r="D3616" s="1" t="inlineStr">
        <is>
          <t>07/01/2026</t>
        </is>
      </c>
      <c r="E3616" s="1" t="n">
        <v>2026</v>
      </c>
      <c r="F3616" s="1" t="inlineStr">
        <is>
          <t>ENERO</t>
        </is>
      </c>
      <c r="G3616" s="1" t="inlineStr">
        <is>
          <t>CYNTHIA</t>
        </is>
      </c>
      <c r="H3616" s="1" t="inlineStr">
        <is>
          <t>CYNTHIA 07/01/2026</t>
        </is>
      </c>
      <c r="I3616" s="4" t="n">
        <v>5</v>
      </c>
      <c r="J3616" s="6" t="n">
        <v>19</v>
      </c>
      <c r="K3616" s="6" t="n">
        <v>505.1611258</v>
      </c>
      <c r="L3616" s="6">
        <f>I3616*K3616</f>
        <v/>
      </c>
      <c r="M3616" s="6">
        <f>K3616*4</f>
        <v/>
      </c>
      <c r="N3616" s="6" t="n">
        <v>2025</v>
      </c>
    </row>
    <row r="3617">
      <c r="A3617" s="1" t="inlineStr">
        <is>
          <t>66f1ed264fc77</t>
        </is>
      </c>
      <c r="B3617" s="1" t="inlineStr">
        <is>
          <t>CARTERA G VICTORIE GREEN</t>
        </is>
      </c>
      <c r="C3617" s="1" t="inlineStr">
        <is>
          <t>12cm de largo x 9.5cm de alto</t>
        </is>
      </c>
      <c r="D3617" s="1" t="inlineStr">
        <is>
          <t>07/01/2026</t>
        </is>
      </c>
      <c r="E3617" s="1" t="n">
        <v>2026</v>
      </c>
      <c r="F3617" s="1" t="inlineStr">
        <is>
          <t>ENERO</t>
        </is>
      </c>
      <c r="G3617" s="1" t="inlineStr">
        <is>
          <t>CYNTHIA</t>
        </is>
      </c>
      <c r="H3617" s="1" t="inlineStr">
        <is>
          <t>CYNTHIA 07/01/2026</t>
        </is>
      </c>
      <c r="I3617" s="4" t="n">
        <v>5</v>
      </c>
      <c r="J3617" s="6" t="n">
        <v>19</v>
      </c>
      <c r="K3617" s="6" t="n">
        <v>505.1611258</v>
      </c>
      <c r="L3617" s="6">
        <f>I3617*K3617</f>
        <v/>
      </c>
      <c r="M3617" s="6">
        <f>K3617*4</f>
        <v/>
      </c>
      <c r="N3617" s="6" t="n">
        <v>2199</v>
      </c>
    </row>
    <row r="3618">
      <c r="A3618" s="1" t="inlineStr">
        <is>
          <t>66f1ed264fc77</t>
        </is>
      </c>
      <c r="B3618" s="1" t="inlineStr">
        <is>
          <t>CARTERA G VICTORIE GREEN</t>
        </is>
      </c>
      <c r="C3618" s="1" t="inlineStr">
        <is>
          <t>12cm de largo x 9.5cm de alto</t>
        </is>
      </c>
      <c r="D3618" s="1" t="inlineStr">
        <is>
          <t>19/03/2026</t>
        </is>
      </c>
      <c r="E3618" s="1" t="n">
        <v>2026</v>
      </c>
      <c r="F3618" s="1" t="inlineStr">
        <is>
          <t>MARZO</t>
        </is>
      </c>
      <c r="G3618" s="1" t="inlineStr">
        <is>
          <t>CYNTHIA</t>
        </is>
      </c>
      <c r="H3618" s="1" t="inlineStr">
        <is>
          <t>CYNTHIA 19/03/2026</t>
        </is>
      </c>
      <c r="I3618" s="4" t="n">
        <v>3</v>
      </c>
      <c r="J3618" s="6" t="n">
        <v>20</v>
      </c>
      <c r="K3618" s="6" t="n">
        <v>537.1483158999999</v>
      </c>
      <c r="L3618" s="6">
        <f>I3618*K3618</f>
        <v/>
      </c>
      <c r="M3618" s="6">
        <f>K3618*4</f>
        <v/>
      </c>
      <c r="N3618" s="6" t="n">
        <v>2199</v>
      </c>
    </row>
    <row r="3619">
      <c r="A3619" s="1" t="inlineStr">
        <is>
          <t>66f1ed264fc77</t>
        </is>
      </c>
      <c r="B3619" s="1" t="inlineStr">
        <is>
          <t>CARTERA G VICTORIE GREEN</t>
        </is>
      </c>
      <c r="C3619" s="1" t="inlineStr">
        <is>
          <t>12cm de largo x 9.5cm de alto</t>
        </is>
      </c>
      <c r="D3619" s="1" t="inlineStr">
        <is>
          <t>31/05/2026</t>
        </is>
      </c>
      <c r="E3619" s="1" t="n">
        <v>2026</v>
      </c>
      <c r="F3619" s="1" t="inlineStr">
        <is>
          <t>MAYO</t>
        </is>
      </c>
      <c r="G3619" s="1" t="inlineStr">
        <is>
          <t>CYNTHIA</t>
        </is>
      </c>
      <c r="H3619" s="1" t="inlineStr">
        <is>
          <t>CYNTHIA 31/05/2026</t>
        </is>
      </c>
      <c r="I3619" s="4" t="n">
        <v>1</v>
      </c>
      <c r="J3619" s="6" t="n">
        <v>20</v>
      </c>
      <c r="K3619" s="6" t="n">
        <v>530.0208995</v>
      </c>
      <c r="L3619" s="6">
        <f>I3619*K3619</f>
        <v/>
      </c>
      <c r="M3619" s="6">
        <f>K3619*4</f>
        <v/>
      </c>
      <c r="N3619" s="6" t="n">
        <v>2199</v>
      </c>
    </row>
    <row r="3620">
      <c r="A3620" s="1" t="inlineStr">
        <is>
          <t>66f1ed2e521fd</t>
        </is>
      </c>
      <c r="B3620" s="1" t="inlineStr">
        <is>
          <t>TARJETERO YSL SILVER</t>
        </is>
      </c>
      <c r="C3620" s="1" t="inlineStr">
        <is>
          <t>8cm x 10.5cm</t>
        </is>
      </c>
      <c r="D3620" s="1" t="inlineStr">
        <is>
          <t>20/01/2026</t>
        </is>
      </c>
      <c r="E3620" s="1" t="n">
        <v>2026</v>
      </c>
      <c r="F3620" s="1" t="inlineStr">
        <is>
          <t>ENERO</t>
        </is>
      </c>
      <c r="G3620" s="1" t="inlineStr">
        <is>
          <t>ZOEY</t>
        </is>
      </c>
      <c r="H3620" s="1" t="inlineStr">
        <is>
          <t>ZOEY 20/01/2026</t>
        </is>
      </c>
      <c r="I3620" s="4" t="n">
        <v>4</v>
      </c>
      <c r="J3620" s="6" t="n">
        <v>13</v>
      </c>
      <c r="K3620" s="6" t="n">
        <v>338.4107918</v>
      </c>
      <c r="L3620" s="6">
        <f>I3620*K3620</f>
        <v/>
      </c>
      <c r="M3620" s="6">
        <f>K3620*4</f>
        <v/>
      </c>
      <c r="N3620" s="6" t="n">
        <v>1399</v>
      </c>
    </row>
    <row r="3621">
      <c r="A3621" s="1" t="inlineStr">
        <is>
          <t>66f1ed2e521fd</t>
        </is>
      </c>
      <c r="B3621" s="1" t="inlineStr">
        <is>
          <t>TARJETERO YSL SILVER</t>
        </is>
      </c>
      <c r="C3621" s="1" t="inlineStr">
        <is>
          <t>8cm x 10.5cm</t>
        </is>
      </c>
      <c r="D3621" s="1" t="inlineStr">
        <is>
          <t>02/03/2026</t>
        </is>
      </c>
      <c r="E3621" s="1" t="n">
        <v>2026</v>
      </c>
      <c r="F3621" s="1" t="inlineStr">
        <is>
          <t>MARZO</t>
        </is>
      </c>
      <c r="G3621" s="1" t="inlineStr">
        <is>
          <t>ZOEY</t>
        </is>
      </c>
      <c r="H3621" s="1" t="inlineStr">
        <is>
          <t>ZOEY 02/03/2026</t>
        </is>
      </c>
      <c r="I3621" s="4" t="n">
        <v>3</v>
      </c>
      <c r="J3621" s="6" t="n">
        <v>13</v>
      </c>
      <c r="K3621" s="6" t="n">
        <v>341.6006844</v>
      </c>
      <c r="L3621" s="6">
        <f>I3621*K3621</f>
        <v/>
      </c>
      <c r="M3621" s="6">
        <f>K3621*4</f>
        <v/>
      </c>
      <c r="N3621" s="6" t="n">
        <v>1399</v>
      </c>
    </row>
    <row r="3622">
      <c r="A3622" s="1" t="inlineStr">
        <is>
          <t>66f1ed2f6cfb6</t>
        </is>
      </c>
      <c r="B3622" s="1" t="inlineStr">
        <is>
          <t>TARJETERO G GRAY</t>
        </is>
      </c>
      <c r="C3622" s="1" t="inlineStr">
        <is>
          <t>10.5cm de largo x 7.6cm de alto</t>
        </is>
      </c>
      <c r="D3622" s="1" t="inlineStr">
        <is>
          <t>05/09/2025</t>
        </is>
      </c>
      <c r="E3622" s="1" t="n">
        <v>2025</v>
      </c>
      <c r="F3622" s="1" t="inlineStr">
        <is>
          <t>SEPTIEMBRE</t>
        </is>
      </c>
      <c r="G3622" s="1" t="inlineStr">
        <is>
          <t>CYNTHIA</t>
        </is>
      </c>
      <c r="H3622" s="1" t="inlineStr">
        <is>
          <t>CYNTHIA 05/09/2025</t>
        </is>
      </c>
      <c r="I3622" s="4" t="n">
        <v>2</v>
      </c>
      <c r="J3622" s="6" t="n">
        <v>26</v>
      </c>
      <c r="K3622" s="6" t="n">
        <v>654.6565202</v>
      </c>
      <c r="L3622" s="6">
        <f>I3622*K3622</f>
        <v/>
      </c>
      <c r="M3622" s="6">
        <f>K3622*4</f>
        <v/>
      </c>
      <c r="N3622" s="6" t="n">
        <v>2199</v>
      </c>
    </row>
    <row r="3623">
      <c r="A3623" s="1" t="inlineStr">
        <is>
          <t>66f1ed2f6cfb6</t>
        </is>
      </c>
      <c r="B3623" s="1" t="inlineStr">
        <is>
          <t>TARJETERO G GRAY</t>
        </is>
      </c>
      <c r="C3623" s="1" t="inlineStr">
        <is>
          <t>10.5cm de largo x 7.6cm de alto</t>
        </is>
      </c>
      <c r="D3623" s="1" t="inlineStr">
        <is>
          <t>07/01/2026</t>
        </is>
      </c>
      <c r="E3623" s="1" t="n">
        <v>2026</v>
      </c>
      <c r="F3623" s="1" t="inlineStr">
        <is>
          <t>ENERO</t>
        </is>
      </c>
      <c r="G3623" s="1" t="inlineStr">
        <is>
          <t>CYNTHIA</t>
        </is>
      </c>
      <c r="H3623" s="1" t="inlineStr">
        <is>
          <t>CYNTHIA 07/01/2026</t>
        </is>
      </c>
      <c r="I3623" s="4" t="n">
        <v>2</v>
      </c>
      <c r="J3623" s="6" t="n">
        <v>26</v>
      </c>
      <c r="K3623" s="6" t="n">
        <v>691.2731195</v>
      </c>
      <c r="L3623" s="6">
        <f>I3623*K3623</f>
        <v/>
      </c>
      <c r="M3623" s="6">
        <f>K3623*4</f>
        <v/>
      </c>
      <c r="N3623" s="6" t="n">
        <v>2699</v>
      </c>
    </row>
    <row r="3624">
      <c r="A3624" s="1" t="inlineStr">
        <is>
          <t>66f1ed2f6cfb6</t>
        </is>
      </c>
      <c r="B3624" s="1" t="inlineStr">
        <is>
          <t>TARJETERO G GRAY</t>
        </is>
      </c>
      <c r="C3624" s="1" t="inlineStr">
        <is>
          <t>10.5cm de largo x 7.6cm de alto</t>
        </is>
      </c>
      <c r="D3624" s="1" t="inlineStr">
        <is>
          <t>27/04/2026</t>
        </is>
      </c>
      <c r="E3624" s="1" t="n">
        <v>2026</v>
      </c>
      <c r="F3624" s="1" t="inlineStr">
        <is>
          <t>ABRIL</t>
        </is>
      </c>
      <c r="G3624" s="1" t="inlineStr">
        <is>
          <t>CYNTHIA</t>
        </is>
      </c>
      <c r="H3624" s="1" t="inlineStr">
        <is>
          <t>CYNTHIA 27/04/2026</t>
        </is>
      </c>
      <c r="I3624" s="4" t="n">
        <v>2</v>
      </c>
      <c r="J3624" s="6" t="n">
        <v>26</v>
      </c>
      <c r="K3624" s="6" t="n">
        <v>674.702408</v>
      </c>
      <c r="L3624" s="6">
        <f>I3624*K3624</f>
        <v/>
      </c>
      <c r="M3624" s="6">
        <f>K3624*4</f>
        <v/>
      </c>
      <c r="N3624" s="6" t="n">
        <v>2699</v>
      </c>
    </row>
    <row r="3625">
      <c r="A3625" s="1" t="inlineStr">
        <is>
          <t>66f1ed306f6b4</t>
        </is>
      </c>
      <c r="B3625" s="1" t="inlineStr">
        <is>
          <t>TARJETERO G GREEN</t>
        </is>
      </c>
      <c r="C3625" s="1" t="inlineStr">
        <is>
          <t>10.5cm de largo x 7.6cm de alto</t>
        </is>
      </c>
      <c r="D3625" s="1" t="inlineStr">
        <is>
          <t>19/03/2026</t>
        </is>
      </c>
      <c r="E3625" s="1" t="n">
        <v>2026</v>
      </c>
      <c r="F3625" s="1" t="inlineStr">
        <is>
          <t>MARZO</t>
        </is>
      </c>
      <c r="G3625" s="1" t="inlineStr">
        <is>
          <t>CYNTHIA</t>
        </is>
      </c>
      <c r="H3625" s="1" t="inlineStr">
        <is>
          <t>CYNTHIA 19/03/2026</t>
        </is>
      </c>
      <c r="I3625" s="4" t="n">
        <v>5</v>
      </c>
      <c r="J3625" s="6" t="n">
        <v>26</v>
      </c>
      <c r="K3625" s="6" t="n">
        <v>698.2928106000001</v>
      </c>
      <c r="L3625" s="6">
        <f>I3625*K3625</f>
        <v/>
      </c>
      <c r="M3625" s="6">
        <f>K3625*4</f>
        <v/>
      </c>
      <c r="N3625" s="6" t="n">
        <v>2445</v>
      </c>
    </row>
    <row r="3626">
      <c r="A3626" s="1" t="inlineStr">
        <is>
          <t>6701d185b1594</t>
        </is>
      </c>
      <c r="B3626" s="1" t="inlineStr">
        <is>
          <t>PULSERA ONE TRÉBOL GOLD GREEN</t>
        </is>
      </c>
      <c r="C3626" s="1" t="inlineStr">
        <is>
          <t>17cm con extensión de 3cm</t>
        </is>
      </c>
      <c r="D3626" s="1" t="inlineStr">
        <is>
          <t>03/12/2025</t>
        </is>
      </c>
      <c r="E3626" s="1" t="n">
        <v>2025</v>
      </c>
      <c r="F3626" s="1" t="inlineStr">
        <is>
          <t>DICIEMBRE</t>
        </is>
      </c>
      <c r="G3626" s="1" t="inlineStr">
        <is>
          <t>NANCY</t>
        </is>
      </c>
      <c r="H3626" s="1" t="inlineStr">
        <is>
          <t>NANCY 03/12/2025</t>
        </is>
      </c>
      <c r="I3626" s="4" t="n">
        <v>3</v>
      </c>
      <c r="J3626" s="6" t="n">
        <v>5.59</v>
      </c>
      <c r="K3626" s="6" t="n">
        <v>132.2411844</v>
      </c>
      <c r="L3626" s="6">
        <f>I3626*K3626</f>
        <v/>
      </c>
      <c r="M3626" s="6">
        <f>K3626*4</f>
        <v/>
      </c>
      <c r="N3626" s="6" t="n">
        <v>599</v>
      </c>
    </row>
    <row r="3627">
      <c r="A3627" s="1" t="inlineStr">
        <is>
          <t>6701d185b1594</t>
        </is>
      </c>
      <c r="B3627" s="1" t="inlineStr">
        <is>
          <t>PULSERA ONE TRÉBOL GOLD GREEN</t>
        </is>
      </c>
      <c r="C3627" s="1" t="inlineStr">
        <is>
          <t>17cm con extensión de 3cm</t>
        </is>
      </c>
      <c r="D3627" s="1" t="inlineStr">
        <is>
          <t>01/04/2026</t>
        </is>
      </c>
      <c r="E3627" s="1" t="n">
        <v>2026</v>
      </c>
      <c r="F3627" s="1" t="inlineStr">
        <is>
          <t>ABRIL</t>
        </is>
      </c>
      <c r="G3627" s="1" t="inlineStr">
        <is>
          <t>NANCY</t>
        </is>
      </c>
      <c r="H3627" s="1" t="inlineStr">
        <is>
          <t>NANCY 01/04/2026</t>
        </is>
      </c>
      <c r="I3627" s="4" t="n">
        <v>3</v>
      </c>
      <c r="J3627" s="6" t="n">
        <v>5.59</v>
      </c>
      <c r="K3627" s="6" t="n">
        <v>133.8274486</v>
      </c>
      <c r="L3627" s="6">
        <f>I3627*K3627</f>
        <v/>
      </c>
      <c r="M3627" s="6">
        <f>K3627*4</f>
        <v/>
      </c>
      <c r="N3627" s="6" t="n">
        <v>599</v>
      </c>
    </row>
    <row r="3628">
      <c r="A3628" s="1" t="inlineStr">
        <is>
          <t>6701d185b1594</t>
        </is>
      </c>
      <c r="B3628" s="1" t="inlineStr">
        <is>
          <t>PULSERA ONE TRÉBOL GOLD GREEN</t>
        </is>
      </c>
      <c r="C3628" s="1" t="inlineStr">
        <is>
          <t>17cm con extensión de 3cm</t>
        </is>
      </c>
      <c r="D3628" s="1" t="inlineStr">
        <is>
          <t>31/05/2026</t>
        </is>
      </c>
      <c r="E3628" s="1" t="n">
        <v>2026</v>
      </c>
      <c r="F3628" s="1" t="inlineStr">
        <is>
          <t>MAYO</t>
        </is>
      </c>
      <c r="G3628" s="1" t="inlineStr">
        <is>
          <t>NANCY</t>
        </is>
      </c>
      <c r="H3628" s="1" t="inlineStr">
        <is>
          <t>NANCY 31/05/2026</t>
        </is>
      </c>
      <c r="I3628" s="4" t="n">
        <v>3</v>
      </c>
      <c r="J3628" s="6" t="n">
        <v>5.59</v>
      </c>
      <c r="K3628" s="6" t="n">
        <v>135.6558265</v>
      </c>
      <c r="L3628" s="6">
        <f>I3628*K3628</f>
        <v/>
      </c>
      <c r="M3628" s="6">
        <f>K3628*4</f>
        <v/>
      </c>
      <c r="N3628" s="6" t="n">
        <v>599</v>
      </c>
    </row>
    <row r="3629">
      <c r="A3629" s="1" t="inlineStr">
        <is>
          <t>6701d185b1594</t>
        </is>
      </c>
      <c r="B3629" s="1" t="inlineStr">
        <is>
          <t>PULSERA ONE TRÉBOL GOLD GREEN</t>
        </is>
      </c>
      <c r="C3629" s="1" t="inlineStr">
        <is>
          <t>17cm con extensión de 3cm</t>
        </is>
      </c>
      <c r="D3629" s="1" t="inlineStr">
        <is>
          <t>09/07/2026</t>
        </is>
      </c>
      <c r="E3629" s="1" t="n">
        <v>2026</v>
      </c>
      <c r="F3629" s="1" t="inlineStr">
        <is>
          <t>JULIO</t>
        </is>
      </c>
      <c r="G3629" s="1" t="inlineStr">
        <is>
          <t>NANCY</t>
        </is>
      </c>
      <c r="H3629" s="1" t="inlineStr">
        <is>
          <t>NANCY 09/07/2026</t>
        </is>
      </c>
      <c r="I3629" s="4" t="n">
        <v>3</v>
      </c>
      <c r="J3629" s="6" t="n">
        <v>5.59</v>
      </c>
      <c r="K3629" s="6" t="n">
        <v>136.2029957</v>
      </c>
      <c r="L3629" s="6">
        <f>I3629*K3629</f>
        <v/>
      </c>
      <c r="M3629" s="6">
        <f>K3629*4</f>
        <v/>
      </c>
      <c r="N3629" s="6" t="n">
        <v>599</v>
      </c>
    </row>
    <row r="3630">
      <c r="A3630" s="1" t="inlineStr">
        <is>
          <t>6701d185cad9a</t>
        </is>
      </c>
      <c r="B3630" s="1" t="inlineStr">
        <is>
          <t>PULSERA ONE TRÉBOL ROSEGOLD RED</t>
        </is>
      </c>
      <c r="C3630" s="1" t="inlineStr">
        <is>
          <t>Talla 17 con extensión de 3cm</t>
        </is>
      </c>
      <c r="D3630" s="1" t="inlineStr">
        <is>
          <t>03/12/2025</t>
        </is>
      </c>
      <c r="E3630" s="1" t="n">
        <v>2025</v>
      </c>
      <c r="F3630" s="1" t="inlineStr">
        <is>
          <t>DICIEMBRE</t>
        </is>
      </c>
      <c r="G3630" s="1" t="inlineStr">
        <is>
          <t>NANCY</t>
        </is>
      </c>
      <c r="H3630" s="1" t="inlineStr">
        <is>
          <t>NANCY 03/12/2025</t>
        </is>
      </c>
      <c r="I3630" s="4" t="n">
        <v>2</v>
      </c>
      <c r="J3630" s="6" t="n">
        <v>5.59</v>
      </c>
      <c r="K3630" s="6" t="n">
        <v>132.2411844</v>
      </c>
      <c r="L3630" s="6">
        <f>I3630*K3630</f>
        <v/>
      </c>
      <c r="M3630" s="6">
        <f>K3630*4</f>
        <v/>
      </c>
      <c r="N3630" s="6" t="n">
        <v>599</v>
      </c>
    </row>
    <row r="3631">
      <c r="A3631" s="1" t="inlineStr">
        <is>
          <t>6701d185cad9a</t>
        </is>
      </c>
      <c r="B3631" s="1" t="inlineStr">
        <is>
          <t>PULSERA ONE TRÉBOL ROSEGOLD RED</t>
        </is>
      </c>
      <c r="C3631" s="1" t="inlineStr">
        <is>
          <t>Talla 17 con extensión de 3cm</t>
        </is>
      </c>
      <c r="D3631" s="1" t="inlineStr">
        <is>
          <t>01/04/2026</t>
        </is>
      </c>
      <c r="E3631" s="1" t="n">
        <v>2026</v>
      </c>
      <c r="F3631" s="1" t="inlineStr">
        <is>
          <t>ABRIL</t>
        </is>
      </c>
      <c r="G3631" s="1" t="inlineStr">
        <is>
          <t>NANCY</t>
        </is>
      </c>
      <c r="H3631" s="1" t="inlineStr">
        <is>
          <t>NANCY 01/04/2026</t>
        </is>
      </c>
      <c r="I3631" s="4" t="n">
        <v>2</v>
      </c>
      <c r="J3631" s="6" t="n">
        <v>5.59</v>
      </c>
      <c r="K3631" s="6" t="n">
        <v>133.8274486</v>
      </c>
      <c r="L3631" s="6">
        <f>I3631*K3631</f>
        <v/>
      </c>
      <c r="M3631" s="6">
        <f>K3631*4</f>
        <v/>
      </c>
      <c r="N3631" s="6" t="n">
        <v>599</v>
      </c>
    </row>
    <row r="3632">
      <c r="A3632" s="1" t="inlineStr">
        <is>
          <t>6701d185cad9a</t>
        </is>
      </c>
      <c r="B3632" s="1" t="inlineStr">
        <is>
          <t>PULSERA ONE TRÉBOL ROSEGOLD RED</t>
        </is>
      </c>
      <c r="C3632" s="1" t="inlineStr">
        <is>
          <t>Talla 17 con extensión de 3cm</t>
        </is>
      </c>
      <c r="D3632" s="1" t="inlineStr">
        <is>
          <t>08/05/2026</t>
        </is>
      </c>
      <c r="E3632" s="1" t="n">
        <v>2026</v>
      </c>
      <c r="F3632" s="1" t="inlineStr">
        <is>
          <t>MAYO</t>
        </is>
      </c>
      <c r="G3632" s="1" t="inlineStr">
        <is>
          <t>NANCY</t>
        </is>
      </c>
      <c r="H3632" s="1" t="inlineStr">
        <is>
          <t>NANCY 08/05/2026</t>
        </is>
      </c>
      <c r="I3632" s="4" t="n">
        <v>2</v>
      </c>
      <c r="J3632" s="6" t="n">
        <v>5.59</v>
      </c>
      <c r="K3632" s="6" t="n">
        <v>132.2468818</v>
      </c>
      <c r="L3632" s="6">
        <f>I3632*K3632</f>
        <v/>
      </c>
      <c r="M3632" s="6">
        <f>K3632*4</f>
        <v/>
      </c>
      <c r="N3632" s="6" t="n">
        <v>599</v>
      </c>
    </row>
    <row r="3633">
      <c r="A3633" s="1" t="inlineStr">
        <is>
          <t>6701d185cad9a</t>
        </is>
      </c>
      <c r="B3633" s="1" t="inlineStr">
        <is>
          <t>PULSERA ONE TRÉBOL ROSEGOLD RED</t>
        </is>
      </c>
      <c r="C3633" s="1" t="inlineStr">
        <is>
          <t>Talla 17 con extensión de 3cm</t>
        </is>
      </c>
      <c r="D3633" s="1" t="inlineStr">
        <is>
          <t>31/05/2026</t>
        </is>
      </c>
      <c r="E3633" s="1" t="n">
        <v>2026</v>
      </c>
      <c r="F3633" s="1" t="inlineStr">
        <is>
          <t>MAYO</t>
        </is>
      </c>
      <c r="G3633" s="1" t="inlineStr">
        <is>
          <t>NANCY</t>
        </is>
      </c>
      <c r="H3633" s="1" t="inlineStr">
        <is>
          <t>NANCY 31/05/2026</t>
        </is>
      </c>
      <c r="I3633" s="4" t="n">
        <v>3</v>
      </c>
      <c r="J3633" s="6" t="n">
        <v>5.59</v>
      </c>
      <c r="K3633" s="6" t="n">
        <v>135.6558265</v>
      </c>
      <c r="L3633" s="6">
        <f>I3633*K3633</f>
        <v/>
      </c>
      <c r="M3633" s="6">
        <f>K3633*4</f>
        <v/>
      </c>
      <c r="N3633" s="6" t="n">
        <v>599</v>
      </c>
    </row>
    <row r="3634">
      <c r="A3634" s="1" t="inlineStr">
        <is>
          <t>6701d185cad9a</t>
        </is>
      </c>
      <c r="B3634" s="1" t="inlineStr">
        <is>
          <t>PULSERA ONE TRÉBOL ROSEGOLD RED</t>
        </is>
      </c>
      <c r="C3634" s="1" t="inlineStr">
        <is>
          <t>Talla 17 con extensión de 3cm</t>
        </is>
      </c>
      <c r="D3634" s="1" t="inlineStr">
        <is>
          <t>09/07/2026</t>
        </is>
      </c>
      <c r="E3634" s="1" t="n">
        <v>2026</v>
      </c>
      <c r="F3634" s="1" t="inlineStr">
        <is>
          <t>JULIO</t>
        </is>
      </c>
      <c r="G3634" s="1" t="inlineStr">
        <is>
          <t>NANCY</t>
        </is>
      </c>
      <c r="H3634" s="1" t="inlineStr">
        <is>
          <t>NANCY 09/07/2026</t>
        </is>
      </c>
      <c r="I3634" s="4" t="n">
        <v>2</v>
      </c>
      <c r="J3634" s="6" t="n">
        <v>5.59</v>
      </c>
      <c r="K3634" s="6" t="n">
        <v>136.2029957</v>
      </c>
      <c r="L3634" s="6">
        <f>I3634*K3634</f>
        <v/>
      </c>
      <c r="M3634" s="6">
        <f>K3634*4</f>
        <v/>
      </c>
      <c r="N3634" s="6" t="n">
        <v>599</v>
      </c>
    </row>
    <row r="3635">
      <c r="A3635" s="1" t="inlineStr">
        <is>
          <t>6701d185d4f38</t>
        </is>
      </c>
      <c r="B3635" s="1" t="inlineStr">
        <is>
          <t>BOLSO MM WANDER BLACK</t>
        </is>
      </c>
      <c r="C3635" s="1" t="inlineStr">
        <is>
          <t>20cm de alto x 25cm de largo x 8cm de ancho</t>
        </is>
      </c>
      <c r="D3635" s="1" t="inlineStr">
        <is>
          <t>20/01/2026</t>
        </is>
      </c>
      <c r="E3635" s="1" t="n">
        <v>2026</v>
      </c>
      <c r="F3635" s="1" t="inlineStr">
        <is>
          <t>ENERO</t>
        </is>
      </c>
      <c r="G3635" s="1" t="inlineStr">
        <is>
          <t>ZOEY</t>
        </is>
      </c>
      <c r="H3635" s="1" t="inlineStr">
        <is>
          <t>ZOEY 20/01/2026</t>
        </is>
      </c>
      <c r="I3635" s="4" t="n">
        <v>2</v>
      </c>
      <c r="J3635" s="6" t="n">
        <v>48</v>
      </c>
      <c r="K3635" s="6" t="n">
        <v>1249.51677</v>
      </c>
      <c r="L3635" s="6">
        <f>I3635*K3635</f>
        <v/>
      </c>
      <c r="M3635" s="6">
        <f>K3635*4</f>
        <v/>
      </c>
      <c r="N3635" s="6" t="n">
        <v>4310</v>
      </c>
    </row>
    <row r="3636">
      <c r="A3636" s="1" t="inlineStr">
        <is>
          <t>6701d185d4f38</t>
        </is>
      </c>
      <c r="B3636" s="1" t="inlineStr">
        <is>
          <t>BOLSO MM WANDER BLACK</t>
        </is>
      </c>
      <c r="C3636" s="1" t="inlineStr">
        <is>
          <t>20cm de alto x 21cm de largo x 8cm de ancho</t>
        </is>
      </c>
      <c r="D3636" s="1" t="inlineStr">
        <is>
          <t>20/04/2026</t>
        </is>
      </c>
      <c r="E3636" s="1" t="n">
        <v>2026</v>
      </c>
      <c r="F3636" s="1" t="inlineStr">
        <is>
          <t>ABRIL</t>
        </is>
      </c>
      <c r="G3636" s="1" t="inlineStr">
        <is>
          <t>ZOEY</t>
        </is>
      </c>
      <c r="H3636" s="1" t="inlineStr">
        <is>
          <t>ZOEY 20/04/2026</t>
        </is>
      </c>
      <c r="I3636" s="4" t="n">
        <v>2</v>
      </c>
      <c r="J3636" s="6" t="n">
        <v>48</v>
      </c>
      <c r="K3636" s="6" t="n">
        <v>1229.22136</v>
      </c>
      <c r="L3636" s="6">
        <f>I3636*K3636</f>
        <v/>
      </c>
      <c r="M3636" s="6">
        <f>K3636*4</f>
        <v/>
      </c>
      <c r="N3636" s="6" t="n">
        <v>4310</v>
      </c>
    </row>
    <row r="3637">
      <c r="A3637" s="1" t="inlineStr">
        <is>
          <t>6701d1c8792fe</t>
        </is>
      </c>
      <c r="B3637" s="1" t="inlineStr">
        <is>
          <t>BOLSO MM WANDER OFF WHITE</t>
        </is>
      </c>
      <c r="C3637" s="1" t="inlineStr">
        <is>
          <t>20cm de alto x 25cm de largo x 8cm de ancho</t>
        </is>
      </c>
      <c r="D3637" s="1" t="inlineStr">
        <is>
          <t>25/10/2025</t>
        </is>
      </c>
      <c r="E3637" s="1" t="n">
        <v>2025</v>
      </c>
      <c r="F3637" s="1" t="inlineStr">
        <is>
          <t>OCTUBRE</t>
        </is>
      </c>
      <c r="G3637" s="1" t="inlineStr">
        <is>
          <t>ZOEY</t>
        </is>
      </c>
      <c r="H3637" s="1" t="inlineStr">
        <is>
          <t>ZOEY 25/10/2025</t>
        </is>
      </c>
      <c r="I3637" s="4" t="n">
        <v>3</v>
      </c>
      <c r="J3637" s="6" t="n">
        <v>48</v>
      </c>
      <c r="K3637" s="6" t="n">
        <v>1190.405247</v>
      </c>
      <c r="L3637" s="6">
        <f>I3637*K3637</f>
        <v/>
      </c>
      <c r="M3637" s="6">
        <f>K3637*4</f>
        <v/>
      </c>
      <c r="N3637" s="6" t="n">
        <v>3999</v>
      </c>
    </row>
    <row r="3638">
      <c r="A3638" s="1" t="inlineStr">
        <is>
          <t>6701d1c8792fe</t>
        </is>
      </c>
      <c r="B3638" s="1" t="inlineStr">
        <is>
          <t>BOLSO MM WANDER OFF WHITE</t>
        </is>
      </c>
      <c r="C3638" s="1" t="inlineStr">
        <is>
          <t>20cm de alto x 25cm de largo x 8cm de ancho</t>
        </is>
      </c>
      <c r="D3638" s="1" t="inlineStr">
        <is>
          <t>20/01/2026</t>
        </is>
      </c>
      <c r="E3638" s="1" t="n">
        <v>2026</v>
      </c>
      <c r="F3638" s="1" t="inlineStr">
        <is>
          <t>ENERO</t>
        </is>
      </c>
      <c r="G3638" s="1" t="inlineStr">
        <is>
          <t>ZOEY</t>
        </is>
      </c>
      <c r="H3638" s="1" t="inlineStr">
        <is>
          <t>ZOEY 20/01/2026</t>
        </is>
      </c>
      <c r="I3638" s="4" t="n">
        <v>5</v>
      </c>
      <c r="J3638" s="6" t="n">
        <v>48</v>
      </c>
      <c r="K3638" s="6" t="n">
        <v>1249.51677</v>
      </c>
      <c r="L3638" s="6">
        <f>I3638*K3638</f>
        <v/>
      </c>
      <c r="M3638" s="6">
        <f>K3638*4</f>
        <v/>
      </c>
      <c r="N3638" s="6" t="n">
        <v>4373.31</v>
      </c>
    </row>
    <row r="3639">
      <c r="A3639" s="1" t="inlineStr">
        <is>
          <t>6701d1d077e13</t>
        </is>
      </c>
      <c r="B3639" s="1" t="inlineStr">
        <is>
          <t>BOLSO MM HOBO OFF WHITE CHAROL</t>
        </is>
      </c>
      <c r="C3639" s="1" t="inlineStr">
        <is>
          <t>20.5cm de largo x 16cm de alto (sin incluir la correa) x 6cm de ancho</t>
        </is>
      </c>
      <c r="D3639" s="1" t="inlineStr">
        <is>
          <t>20/04/2026</t>
        </is>
      </c>
      <c r="E3639" s="1" t="n">
        <v>2026</v>
      </c>
      <c r="F3639" s="1" t="inlineStr">
        <is>
          <t>ABRIL</t>
        </is>
      </c>
      <c r="G3639" s="1" t="inlineStr">
        <is>
          <t>ZOEY</t>
        </is>
      </c>
      <c r="H3639" s="1" t="inlineStr">
        <is>
          <t>ZOEY 20/04/2026</t>
        </is>
      </c>
      <c r="I3639" s="4" t="n">
        <v>2</v>
      </c>
      <c r="J3639" s="6" t="n">
        <v>65</v>
      </c>
      <c r="K3639" s="6" t="n">
        <v>1664.570592</v>
      </c>
      <c r="L3639" s="6">
        <f>I3639*K3639</f>
        <v/>
      </c>
      <c r="M3639" s="6">
        <f>K3639*4</f>
        <v/>
      </c>
      <c r="N3639" s="6" t="n">
        <v>5826</v>
      </c>
    </row>
    <row r="3640">
      <c r="A3640" s="1" t="inlineStr">
        <is>
          <t>6701d2474e1b0</t>
        </is>
      </c>
      <c r="B3640" s="1" t="inlineStr">
        <is>
          <t>BOLSO GC MARMONT BLACK</t>
        </is>
      </c>
      <c r="C3640" s="1" t="inlineStr">
        <is>
          <t>20cm de largo x 15cm de alto x 8cm de ancho</t>
        </is>
      </c>
      <c r="D3640" s="1" t="inlineStr">
        <is>
          <t>25/10/2025</t>
        </is>
      </c>
      <c r="E3640" s="1" t="n">
        <v>2025</v>
      </c>
      <c r="F3640" s="1" t="inlineStr">
        <is>
          <t>OCTUBRE</t>
        </is>
      </c>
      <c r="G3640" s="1" t="inlineStr">
        <is>
          <t>ZOEY</t>
        </is>
      </c>
      <c r="H3640" s="1" t="inlineStr">
        <is>
          <t>ZOEY 25/10/2025</t>
        </is>
      </c>
      <c r="I3640" s="4" t="n">
        <v>2</v>
      </c>
      <c r="J3640" s="6" t="n">
        <v>48</v>
      </c>
      <c r="K3640" s="6" t="n">
        <v>1190.405247</v>
      </c>
      <c r="L3640" s="6">
        <f>I3640*K3640</f>
        <v/>
      </c>
      <c r="M3640" s="6">
        <f>K3640*4</f>
        <v/>
      </c>
      <c r="N3640" s="6" t="n">
        <v>3995</v>
      </c>
    </row>
    <row r="3641">
      <c r="A3641" s="1" t="inlineStr">
        <is>
          <t>6701d2474e1b0</t>
        </is>
      </c>
      <c r="B3641" s="1" t="inlineStr">
        <is>
          <t>BOLSO GC MARMONT BLACK</t>
        </is>
      </c>
      <c r="C3641" s="1" t="inlineStr">
        <is>
          <t>20cm de largo x 15cm de alto x 8cm de ancho</t>
        </is>
      </c>
      <c r="D3641" s="1" t="inlineStr">
        <is>
          <t>20/01/2026</t>
        </is>
      </c>
      <c r="E3641" s="1" t="n">
        <v>2026</v>
      </c>
      <c r="F3641" s="1" t="inlineStr">
        <is>
          <t>ENERO</t>
        </is>
      </c>
      <c r="G3641" s="1" t="inlineStr">
        <is>
          <t>ZOEY</t>
        </is>
      </c>
      <c r="H3641" s="1" t="inlineStr">
        <is>
          <t>ZOEY 20/01/2026</t>
        </is>
      </c>
      <c r="I3641" s="4" t="n">
        <v>3</v>
      </c>
      <c r="J3641" s="6" t="n">
        <v>48</v>
      </c>
      <c r="K3641" s="6" t="n">
        <v>1249.51677</v>
      </c>
      <c r="L3641" s="6">
        <f>I3641*K3641</f>
        <v/>
      </c>
      <c r="M3641" s="6">
        <f>K3641*4</f>
        <v/>
      </c>
      <c r="N3641" s="6" t="n">
        <v>4373.30869401537</v>
      </c>
    </row>
    <row r="3642">
      <c r="A3642" s="1" t="inlineStr">
        <is>
          <t>6701d24a43166</t>
        </is>
      </c>
      <c r="B3642" s="1" t="inlineStr">
        <is>
          <t>BOLSO MM WANDER NUDE</t>
        </is>
      </c>
      <c r="C3642" s="1" t="inlineStr">
        <is>
          <t>20cm de alto x 25cm de largo x 8cm de ancho</t>
        </is>
      </c>
      <c r="D3642" s="1" t="inlineStr">
        <is>
          <t>08/06/2026</t>
        </is>
      </c>
      <c r="E3642" s="1" t="n">
        <v>2026</v>
      </c>
      <c r="F3642" s="1" t="inlineStr">
        <is>
          <t>JUNIO</t>
        </is>
      </c>
      <c r="G3642" s="1" t="inlineStr">
        <is>
          <t>ZOEY</t>
        </is>
      </c>
      <c r="H3642" s="1" t="inlineStr">
        <is>
          <t>ZOEY 08/06/2026</t>
        </is>
      </c>
      <c r="I3642" s="4" t="n">
        <v>3</v>
      </c>
      <c r="J3642" s="6" t="n">
        <v>48</v>
      </c>
      <c r="K3642" s="6" t="n">
        <v>1176.54895</v>
      </c>
      <c r="L3642" s="6">
        <f>I3642*K3642</f>
        <v/>
      </c>
      <c r="M3642" s="6">
        <f>K3642*4</f>
        <v/>
      </c>
      <c r="N3642" s="6" t="n">
        <v>4699</v>
      </c>
    </row>
    <row r="3643">
      <c r="A3643" s="1" t="inlineStr">
        <is>
          <t>6701d24d46b00</t>
        </is>
      </c>
      <c r="B3643" s="1" t="inlineStr">
        <is>
          <t>BOLSO LV CAPUCINES</t>
        </is>
      </c>
      <c r="C3643" s="1" t="inlineStr">
        <is>
          <t>26.5cm de largo x 18cm de alto x 9cm de ancho</t>
        </is>
      </c>
      <c r="D3643" s="1" t="inlineStr">
        <is>
          <t>01/09/2025</t>
        </is>
      </c>
      <c r="E3643" s="1" t="n">
        <v>2025</v>
      </c>
      <c r="F3643" s="1" t="inlineStr">
        <is>
          <t>SEPTIEMBRE</t>
        </is>
      </c>
      <c r="G3643" s="1" t="inlineStr">
        <is>
          <t>ZOEY</t>
        </is>
      </c>
      <c r="H3643" s="1" t="inlineStr">
        <is>
          <t>ZOEY 01/09/2025</t>
        </is>
      </c>
      <c r="I3643" s="4" t="n">
        <v>3</v>
      </c>
      <c r="J3643" s="6" t="n">
        <v>58</v>
      </c>
      <c r="K3643" s="6" t="n">
        <v>1456.834987</v>
      </c>
      <c r="L3643" s="6">
        <f>I3643*K3643</f>
        <v/>
      </c>
      <c r="M3643" s="6">
        <f>K3643*4</f>
        <v/>
      </c>
      <c r="N3643" s="6" t="n">
        <v>4850</v>
      </c>
    </row>
    <row r="3644">
      <c r="A3644" s="1" t="inlineStr">
        <is>
          <t>6701d24d46b00</t>
        </is>
      </c>
      <c r="B3644" s="1" t="inlineStr">
        <is>
          <t>BOLSO LV CAPUCINES</t>
        </is>
      </c>
      <c r="C3644" s="1" t="inlineStr">
        <is>
          <t>26.5cm de largo x 18cm de alto x 9cm de ancho</t>
        </is>
      </c>
      <c r="D3644" s="1" t="inlineStr">
        <is>
          <t>19/03/2026</t>
        </is>
      </c>
      <c r="E3644" s="1" t="n">
        <v>2026</v>
      </c>
      <c r="F3644" s="1" t="inlineStr">
        <is>
          <t>MARZO</t>
        </is>
      </c>
      <c r="G3644" s="1" t="inlineStr">
        <is>
          <t>ZOEY</t>
        </is>
      </c>
      <c r="H3644" s="1" t="inlineStr">
        <is>
          <t>ZOEY 19/03/2026</t>
        </is>
      </c>
      <c r="I3644" s="4" t="n">
        <v>1</v>
      </c>
      <c r="J3644" s="6" t="n">
        <v>58</v>
      </c>
      <c r="K3644" s="6" t="n">
        <v>1495.358878</v>
      </c>
      <c r="L3644" s="6">
        <f>I3644*K3644</f>
        <v/>
      </c>
      <c r="M3644" s="6">
        <f>K3644*4</f>
        <v/>
      </c>
      <c r="N3644" s="6" t="n">
        <v>5199</v>
      </c>
    </row>
    <row r="3645">
      <c r="A3645" s="1" t="inlineStr">
        <is>
          <t>6701d24d46b00</t>
        </is>
      </c>
      <c r="B3645" s="1" t="inlineStr">
        <is>
          <t>BOLSO LV CAPUCINES</t>
        </is>
      </c>
      <c r="C3645" s="1" t="inlineStr">
        <is>
          <t>26.5cm de largo x 18cm de alto x 9cm de ancho</t>
        </is>
      </c>
      <c r="D3645" s="1" t="inlineStr">
        <is>
          <t>20/04/2026</t>
        </is>
      </c>
      <c r="E3645" s="1" t="n">
        <v>2026</v>
      </c>
      <c r="F3645" s="1" t="inlineStr">
        <is>
          <t>ABRIL</t>
        </is>
      </c>
      <c r="G3645" s="1" t="inlineStr">
        <is>
          <t>ZOEY</t>
        </is>
      </c>
      <c r="H3645" s="1" t="inlineStr">
        <is>
          <t>ZOEY 20/04/2026</t>
        </is>
      </c>
      <c r="I3645" s="4" t="n">
        <v>3</v>
      </c>
      <c r="J3645" s="6" t="n">
        <v>58</v>
      </c>
      <c r="K3645" s="6" t="n">
        <v>1485.309144</v>
      </c>
      <c r="L3645" s="6">
        <f>I3645*K3645</f>
        <v/>
      </c>
      <c r="M3645" s="6">
        <f>K3645*4</f>
        <v/>
      </c>
      <c r="N3645" s="6" t="n">
        <v>5199</v>
      </c>
    </row>
    <row r="3646">
      <c r="A3646" s="1" t="inlineStr">
        <is>
          <t>6701d25048325</t>
        </is>
      </c>
      <c r="B3646" s="1" t="inlineStr">
        <is>
          <t>BOLSO LV LOOP</t>
        </is>
      </c>
      <c r="C3646" s="1" t="inlineStr">
        <is>
          <t>23.5cm de largo x 21cm de alto x 6cm de ancho</t>
        </is>
      </c>
      <c r="D3646" s="1" t="inlineStr">
        <is>
          <t>01/09/2025</t>
        </is>
      </c>
      <c r="E3646" s="1" t="n">
        <v>2025</v>
      </c>
      <c r="F3646" s="1" t="inlineStr">
        <is>
          <t>SEPTIEMBRE</t>
        </is>
      </c>
      <c r="G3646" s="1" t="inlineStr">
        <is>
          <t>ZOEY</t>
        </is>
      </c>
      <c r="H3646" s="1" t="inlineStr">
        <is>
          <t>ZOEY 01/09/2025</t>
        </is>
      </c>
      <c r="I3646" s="4" t="n">
        <v>8</v>
      </c>
      <c r="J3646" s="6" t="n">
        <v>45</v>
      </c>
      <c r="K3646" s="6" t="n">
        <v>1130.303007</v>
      </c>
      <c r="L3646" s="6">
        <f>I3646*K3646</f>
        <v/>
      </c>
      <c r="M3646" s="6">
        <f>K3646*4</f>
        <v/>
      </c>
      <c r="N3646" s="6" t="n">
        <v>3750</v>
      </c>
    </row>
    <row r="3647">
      <c r="A3647" s="1" t="inlineStr">
        <is>
          <t>6701d25048325</t>
        </is>
      </c>
      <c r="B3647" s="1" t="inlineStr">
        <is>
          <t>BOLSO LV LOOP</t>
        </is>
      </c>
      <c r="C3647" s="1" t="inlineStr">
        <is>
          <t>23.5cm de largo x 21cm de alto x 6cm de ancho</t>
        </is>
      </c>
      <c r="D3647" s="1" t="inlineStr">
        <is>
          <t>19/03/2026</t>
        </is>
      </c>
      <c r="E3647" s="1" t="n">
        <v>2026</v>
      </c>
      <c r="F3647" s="1" t="inlineStr">
        <is>
          <t>MARZO</t>
        </is>
      </c>
      <c r="G3647" s="1" t="inlineStr">
        <is>
          <t>ZOEY</t>
        </is>
      </c>
      <c r="H3647" s="1" t="inlineStr">
        <is>
          <t>ZOEY 19/03/2026</t>
        </is>
      </c>
      <c r="I3647" s="4" t="n">
        <v>8</v>
      </c>
      <c r="J3647" s="6" t="n">
        <v>45</v>
      </c>
      <c r="K3647" s="6" t="n">
        <v>1160.192233</v>
      </c>
      <c r="L3647" s="6">
        <f>I3647*K3647</f>
        <v/>
      </c>
      <c r="M3647" s="6">
        <f>K3647*4</f>
        <v/>
      </c>
      <c r="N3647" s="6" t="n">
        <v>4060</v>
      </c>
    </row>
    <row r="3648">
      <c r="A3648" s="1" t="inlineStr">
        <is>
          <t>6701d2514beab</t>
        </is>
      </c>
      <c r="B3648" s="1" t="inlineStr">
        <is>
          <t>BOLSO F FENDIGRAPHY</t>
        </is>
      </c>
      <c r="C3648" s="1" t="inlineStr">
        <is>
          <t>24cm de largo x 19cm de alto x 8cm de ancho</t>
        </is>
      </c>
      <c r="D3648" s="1" t="inlineStr">
        <is>
          <t>20/04/2026</t>
        </is>
      </c>
      <c r="E3648" s="1" t="n">
        <v>2026</v>
      </c>
      <c r="F3648" s="1" t="inlineStr">
        <is>
          <t>ABRIL</t>
        </is>
      </c>
      <c r="G3648" s="1" t="inlineStr">
        <is>
          <t>ZOEY</t>
        </is>
      </c>
      <c r="H3648" s="1" t="inlineStr">
        <is>
          <t>ZOEY 20/04/2026</t>
        </is>
      </c>
      <c r="I3648" s="4" t="n">
        <v>2</v>
      </c>
      <c r="J3648" s="6" t="n">
        <v>65</v>
      </c>
      <c r="K3648" s="6" t="n">
        <v>1664.570592</v>
      </c>
      <c r="L3648" s="6">
        <f>I3648*K3648</f>
        <v/>
      </c>
      <c r="M3648" s="6">
        <f>K3648*4</f>
        <v/>
      </c>
      <c r="N3648" s="6" t="n">
        <v>5826</v>
      </c>
    </row>
    <row r="3649">
      <c r="A3649" s="1" t="inlineStr">
        <is>
          <t>6701d2533c12e</t>
        </is>
      </c>
      <c r="B3649" s="1" t="inlineStr">
        <is>
          <t>BOLSO PR BLACK RE-EDITION 2000</t>
        </is>
      </c>
      <c r="C3649" s="1" t="inlineStr">
        <is>
          <t>21cm de largo x 15cm de alto x 6cm de ancho</t>
        </is>
      </c>
      <c r="D3649" s="1" t="inlineStr">
        <is>
          <t>19/03/2026</t>
        </is>
      </c>
      <c r="E3649" s="1" t="n">
        <v>2026</v>
      </c>
      <c r="F3649" s="1" t="inlineStr">
        <is>
          <t>MARZO</t>
        </is>
      </c>
      <c r="G3649" s="1" t="inlineStr">
        <is>
          <t>ZOEY</t>
        </is>
      </c>
      <c r="H3649" s="1" t="inlineStr">
        <is>
          <t>ZOEY 19/03/2026</t>
        </is>
      </c>
      <c r="I3649" s="4" t="n">
        <v>3</v>
      </c>
      <c r="J3649" s="6" t="n">
        <v>39</v>
      </c>
      <c r="K3649" s="6" t="n">
        <v>1005.499935</v>
      </c>
      <c r="L3649" s="6">
        <f>I3649*K3649</f>
        <v/>
      </c>
      <c r="M3649" s="6">
        <f>K3649*4</f>
        <v/>
      </c>
      <c r="N3649" s="6" t="n">
        <v>4139</v>
      </c>
    </row>
    <row r="3650">
      <c r="A3650" s="1" t="inlineStr">
        <is>
          <t>6701d2533c12e</t>
        </is>
      </c>
      <c r="B3650" s="1" t="inlineStr">
        <is>
          <t>BOLSO PR BLACK RE-EDITION 2000</t>
        </is>
      </c>
      <c r="C3650" s="1" t="inlineStr">
        <is>
          <t>21cm de largo x 15cm de alto x 6cm de ancho</t>
        </is>
      </c>
      <c r="D3650" s="1" t="inlineStr">
        <is>
          <t>15/05/2026</t>
        </is>
      </c>
      <c r="E3650" s="1" t="n">
        <v>2026</v>
      </c>
      <c r="F3650" s="1" t="inlineStr">
        <is>
          <t>MAYO</t>
        </is>
      </c>
      <c r="G3650" s="1" t="inlineStr">
        <is>
          <t>ZOEY</t>
        </is>
      </c>
      <c r="H3650" s="1" t="inlineStr">
        <is>
          <t>ZOEY 15/05/2026</t>
        </is>
      </c>
      <c r="I3650" s="4" t="n">
        <v>3</v>
      </c>
      <c r="J3650" s="6" t="n">
        <v>39</v>
      </c>
      <c r="K3650" s="6" t="n">
        <v>1033.680355</v>
      </c>
      <c r="L3650" s="6">
        <f>I3650*K3650</f>
        <v/>
      </c>
      <c r="M3650" s="6">
        <f>K3650*4</f>
        <v/>
      </c>
      <c r="N3650" s="6" t="n">
        <v>4139</v>
      </c>
    </row>
    <row r="3651">
      <c r="A3651" s="1" t="inlineStr">
        <is>
          <t>6701d2559565d</t>
        </is>
      </c>
      <c r="B3651" s="1" t="inlineStr">
        <is>
          <t>BOLSO LV DAUPHINE</t>
        </is>
      </c>
      <c r="C3651" s="1" t="inlineStr">
        <is>
          <t>25.3cm de largo x 19.5cm de alto x 9cm de ancho (REMATE)</t>
        </is>
      </c>
      <c r="D3651" s="1" t="inlineStr">
        <is>
          <t>20/01/2026</t>
        </is>
      </c>
      <c r="E3651" s="1" t="n">
        <v>2026</v>
      </c>
      <c r="F3651" s="1" t="inlineStr">
        <is>
          <t>ENERO</t>
        </is>
      </c>
      <c r="G3651" s="1" t="inlineStr">
        <is>
          <t>ZOEY</t>
        </is>
      </c>
      <c r="H3651" s="1" t="inlineStr">
        <is>
          <t>ZOEY 20/01/2026</t>
        </is>
      </c>
      <c r="I3651" s="4" t="n">
        <v>1</v>
      </c>
      <c r="J3651" s="6" t="n">
        <v>55</v>
      </c>
      <c r="K3651" s="6" t="n">
        <v>1431.737965</v>
      </c>
      <c r="L3651" s="6">
        <f>I3651*K3651</f>
        <v/>
      </c>
      <c r="M3651" s="6">
        <f>K3651*4</f>
        <v/>
      </c>
      <c r="N3651" s="6" t="n">
        <v>5839</v>
      </c>
    </row>
    <row r="3652">
      <c r="A3652" s="1" t="inlineStr">
        <is>
          <t>6701d2559565d</t>
        </is>
      </c>
      <c r="B3652" s="1" t="inlineStr">
        <is>
          <t>BOLSO LV DAUPHINE</t>
        </is>
      </c>
      <c r="C3652" s="1" t="inlineStr">
        <is>
          <t>25.3cm de largo x 19.5cm de alto x 9cm de ancho</t>
        </is>
      </c>
      <c r="D3652" s="1" t="inlineStr">
        <is>
          <t>15/05/2026</t>
        </is>
      </c>
      <c r="E3652" s="1" t="n">
        <v>2026</v>
      </c>
      <c r="F3652" s="1" t="inlineStr">
        <is>
          <t>MAYO</t>
        </is>
      </c>
      <c r="G3652" s="1" t="inlineStr">
        <is>
          <t>ZOEY</t>
        </is>
      </c>
      <c r="H3652" s="1" t="inlineStr">
        <is>
          <t>ZOEY 15/05/2026</t>
        </is>
      </c>
      <c r="I3652" s="4" t="n">
        <v>2</v>
      </c>
      <c r="J3652" s="6" t="n">
        <v>55</v>
      </c>
      <c r="K3652" s="6" t="n">
        <v>1457.754347</v>
      </c>
      <c r="L3652" s="6">
        <f>I3652*K3652</f>
        <v/>
      </c>
      <c r="M3652" s="6">
        <f>K3652*4</f>
        <v/>
      </c>
      <c r="N3652" s="6" t="n">
        <v>5839</v>
      </c>
    </row>
    <row r="3653">
      <c r="A3653" s="1" t="inlineStr">
        <is>
          <t>6701d25e998f7</t>
        </is>
      </c>
      <c r="B3653" s="1" t="inlineStr">
        <is>
          <t>SANDALIAS H BROWN</t>
        </is>
      </c>
      <c r="C3653" s="1" t="inlineStr">
        <is>
          <t>40 (25cm)</t>
        </is>
      </c>
      <c r="D3653" s="1" t="inlineStr">
        <is>
          <t>25/10/2025</t>
        </is>
      </c>
      <c r="E3653" s="1" t="n">
        <v>2025</v>
      </c>
      <c r="F3653" s="1" t="inlineStr">
        <is>
          <t>OCTUBRE</t>
        </is>
      </c>
      <c r="G3653" s="1" t="inlineStr">
        <is>
          <t>CYNTHIA</t>
        </is>
      </c>
      <c r="H3653" s="1" t="inlineStr">
        <is>
          <t>CYNTHIA 25/10/2025</t>
        </is>
      </c>
      <c r="I3653" s="4" t="n">
        <v>1</v>
      </c>
      <c r="J3653" s="6" t="n">
        <v>30</v>
      </c>
      <c r="K3653" s="6" t="n">
        <v>786.0547077</v>
      </c>
      <c r="L3653" s="6">
        <f>I3653*K3653</f>
        <v/>
      </c>
      <c r="M3653" s="6">
        <f>K3653*4</f>
        <v/>
      </c>
      <c r="N3653" s="6" t="n">
        <v>2699</v>
      </c>
    </row>
    <row r="3654">
      <c r="A3654" s="1" t="inlineStr">
        <is>
          <t>6701d25e998f7</t>
        </is>
      </c>
      <c r="B3654" s="1" t="n"/>
      <c r="C3654" s="1" t="inlineStr">
        <is>
          <t>40 (25cm)</t>
        </is>
      </c>
      <c r="D3654" s="1" t="inlineStr">
        <is>
          <t>07/01/2026</t>
        </is>
      </c>
      <c r="E3654" s="1" t="n">
        <v>2026</v>
      </c>
      <c r="F3654" s="1" t="inlineStr">
        <is>
          <t>ENERO</t>
        </is>
      </c>
      <c r="G3654" s="1" t="inlineStr">
        <is>
          <t>CYNTHIA</t>
        </is>
      </c>
      <c r="H3654" s="1" t="inlineStr">
        <is>
          <t>CYNTHIA 07/01/2026</t>
        </is>
      </c>
      <c r="I3654" s="4" t="n">
        <v>1</v>
      </c>
      <c r="J3654" s="6" t="n">
        <v>30</v>
      </c>
      <c r="K3654" s="6" t="n">
        <v>797.6228302</v>
      </c>
      <c r="L3654" s="6">
        <f>I3654*K3654</f>
        <v/>
      </c>
      <c r="M3654" s="6">
        <f>K3654*4</f>
        <v/>
      </c>
      <c r="N3654" s="6" t="n">
        <v>3189</v>
      </c>
    </row>
    <row r="3655">
      <c r="A3655" s="1" t="inlineStr">
        <is>
          <t>6701d25e998f7</t>
        </is>
      </c>
      <c r="B3655" s="1" t="inlineStr">
        <is>
          <t>SANDALIAS H BROWN</t>
        </is>
      </c>
      <c r="C3655" s="1" t="inlineStr">
        <is>
          <t>40 (25cm)</t>
        </is>
      </c>
      <c r="D3655" s="1" t="inlineStr">
        <is>
          <t>19/03/2026</t>
        </is>
      </c>
      <c r="E3655" s="1" t="n">
        <v>2026</v>
      </c>
      <c r="F3655" s="1" t="inlineStr">
        <is>
          <t>MARZO</t>
        </is>
      </c>
      <c r="G3655" s="1" t="inlineStr">
        <is>
          <t>CYNTHIA</t>
        </is>
      </c>
      <c r="H3655" s="1" t="inlineStr">
        <is>
          <t>CYNTHIA 19/03/2026</t>
        </is>
      </c>
      <c r="I3655" s="4" t="n">
        <v>2</v>
      </c>
      <c r="J3655" s="6" t="n">
        <v>30</v>
      </c>
      <c r="K3655" s="6" t="n">
        <v>805.7224738</v>
      </c>
      <c r="L3655" s="6">
        <f>I3655*K3655</f>
        <v/>
      </c>
      <c r="M3655" s="6">
        <f>K3655*4</f>
        <v/>
      </c>
      <c r="N3655" s="6" t="n">
        <v>3189</v>
      </c>
    </row>
    <row r="3656">
      <c r="A3656" s="1" t="inlineStr">
        <is>
          <t>6701d25e998f7</t>
        </is>
      </c>
      <c r="B3656" s="1" t="inlineStr">
        <is>
          <t>SANDALIAS H BROWN</t>
        </is>
      </c>
      <c r="C3656" s="1" t="inlineStr">
        <is>
          <t>40 (25cm)</t>
        </is>
      </c>
      <c r="D3656" s="1" t="inlineStr">
        <is>
          <t>31/05/2026</t>
        </is>
      </c>
      <c r="E3656" s="1" t="n">
        <v>2026</v>
      </c>
      <c r="F3656" s="1" t="inlineStr">
        <is>
          <t>MAYO</t>
        </is>
      </c>
      <c r="G3656" s="1" t="inlineStr">
        <is>
          <t>CYNTHIA</t>
        </is>
      </c>
      <c r="H3656" s="1" t="inlineStr">
        <is>
          <t>CYNTHIA 31/05/2026</t>
        </is>
      </c>
      <c r="I3656" s="4" t="n">
        <v>5</v>
      </c>
      <c r="J3656" s="6" t="n">
        <v>30</v>
      </c>
      <c r="K3656" s="6" t="n">
        <v>795.0313493</v>
      </c>
      <c r="L3656" s="6">
        <f>I3656*K3656</f>
        <v/>
      </c>
      <c r="M3656" s="6">
        <f>K3656*4</f>
        <v/>
      </c>
      <c r="N3656" s="6" t="n">
        <v>3189</v>
      </c>
    </row>
    <row r="3657">
      <c r="A3657" s="1" t="inlineStr">
        <is>
          <t>6701d25f548f5</t>
        </is>
      </c>
      <c r="B3657" s="1" t="inlineStr">
        <is>
          <t>SANDALIAS H BLUE</t>
        </is>
      </c>
      <c r="C3657" s="1" t="inlineStr">
        <is>
          <t>38 (24cm)</t>
        </is>
      </c>
      <c r="D3657" s="1" t="inlineStr">
        <is>
          <t>19/03/2026</t>
        </is>
      </c>
      <c r="E3657" s="1" t="n">
        <v>2026</v>
      </c>
      <c r="F3657" s="1" t="inlineStr">
        <is>
          <t>MARZO</t>
        </is>
      </c>
      <c r="G3657" s="1" t="inlineStr">
        <is>
          <t>CYNTHIA</t>
        </is>
      </c>
      <c r="H3657" s="1" t="inlineStr">
        <is>
          <t>CYNTHIA 19/03/2026</t>
        </is>
      </c>
      <c r="I3657" s="4" t="n">
        <v>3</v>
      </c>
      <c r="J3657" s="6" t="n">
        <v>30</v>
      </c>
      <c r="K3657" s="6" t="n">
        <v>805.7224738</v>
      </c>
      <c r="L3657" s="6">
        <f>I3657*K3657</f>
        <v/>
      </c>
      <c r="M3657" s="6">
        <f>K3657*4</f>
        <v/>
      </c>
      <c r="N3657" s="6" t="n">
        <v>3189</v>
      </c>
    </row>
    <row r="3658">
      <c r="A3658" s="1" t="inlineStr">
        <is>
          <t>6701d25f548f5</t>
        </is>
      </c>
      <c r="B3658" s="1" t="inlineStr">
        <is>
          <t>SANDALIAS H BLUE</t>
        </is>
      </c>
      <c r="C3658" s="1" t="inlineStr">
        <is>
          <t>38 (24cm)</t>
        </is>
      </c>
      <c r="D3658" s="1" t="inlineStr">
        <is>
          <t>31/05/2026</t>
        </is>
      </c>
      <c r="E3658" s="1" t="n">
        <v>2026</v>
      </c>
      <c r="F3658" s="1" t="inlineStr">
        <is>
          <t>MAYO</t>
        </is>
      </c>
      <c r="G3658" s="1" t="inlineStr">
        <is>
          <t>CYNTHIA</t>
        </is>
      </c>
      <c r="H3658" s="1" t="inlineStr">
        <is>
          <t>CYNTHIA 31/05/2026</t>
        </is>
      </c>
      <c r="I3658" s="4" t="n">
        <v>1</v>
      </c>
      <c r="J3658" s="6" t="n">
        <v>30</v>
      </c>
      <c r="K3658" s="6" t="n">
        <v>795.0313493</v>
      </c>
      <c r="L3658" s="6">
        <f>I3658*K3658</f>
        <v/>
      </c>
      <c r="M3658" s="6">
        <f>K3658*4</f>
        <v/>
      </c>
      <c r="N3658" s="6" t="n">
        <v>3189</v>
      </c>
    </row>
    <row r="3659">
      <c r="A3659" s="1" t="inlineStr">
        <is>
          <t>6701d25f548f5</t>
        </is>
      </c>
      <c r="B3659" s="1" t="inlineStr">
        <is>
          <t>SANDALIAS H BLUE</t>
        </is>
      </c>
      <c r="C3659" s="1" t="inlineStr">
        <is>
          <t>38 (24cm)</t>
        </is>
      </c>
      <c r="D3659" s="1" t="inlineStr">
        <is>
          <t>31/05/2026</t>
        </is>
      </c>
      <c r="E3659" s="1" t="n">
        <v>2026</v>
      </c>
      <c r="F3659" s="1" t="inlineStr">
        <is>
          <t>MAYO</t>
        </is>
      </c>
      <c r="G3659" s="1" t="inlineStr">
        <is>
          <t>CYNTHIA</t>
        </is>
      </c>
      <c r="H3659" s="1" t="inlineStr">
        <is>
          <t>CYNTHIA 31/05/2026</t>
        </is>
      </c>
      <c r="I3659" s="4" t="n">
        <v>1</v>
      </c>
      <c r="J3659" s="6" t="n">
        <v>30</v>
      </c>
      <c r="K3659" s="6" t="n">
        <v>795.0313493</v>
      </c>
      <c r="L3659" s="6">
        <f>I3659*K3659</f>
        <v/>
      </c>
      <c r="M3659" s="6">
        <f>K3659*4</f>
        <v/>
      </c>
      <c r="N3659" s="6" t="n">
        <v>3189</v>
      </c>
    </row>
    <row r="3660">
      <c r="A3660" s="1" t="inlineStr">
        <is>
          <t>6701d26083b55</t>
        </is>
      </c>
      <c r="B3660" s="1" t="inlineStr">
        <is>
          <t>SANDALIAS H WHITE</t>
        </is>
      </c>
      <c r="C3660" s="1" t="inlineStr">
        <is>
          <t>37 (23 cm)</t>
        </is>
      </c>
      <c r="D3660" s="1" t="inlineStr">
        <is>
          <t>18/02/2026</t>
        </is>
      </c>
      <c r="E3660" s="1" t="n">
        <v>2026</v>
      </c>
      <c r="F3660" s="1" t="inlineStr">
        <is>
          <t>FEBRERO</t>
        </is>
      </c>
      <c r="G3660" s="1" t="inlineStr">
        <is>
          <t>CYNTHIA</t>
        </is>
      </c>
      <c r="H3660" s="1" t="inlineStr">
        <is>
          <t>CYNTHIA 18/02/2026</t>
        </is>
      </c>
      <c r="I3660" s="4" t="n">
        <v>1</v>
      </c>
      <c r="J3660" s="6" t="n">
        <v>30</v>
      </c>
      <c r="K3660" s="6" t="n">
        <v>811.300956</v>
      </c>
      <c r="L3660" s="6">
        <f>I3660*K3660</f>
        <v/>
      </c>
      <c r="M3660" s="6">
        <f>K3660*4</f>
        <v/>
      </c>
      <c r="N3660" s="6" t="n">
        <v>3189</v>
      </c>
    </row>
    <row r="3661">
      <c r="A3661" s="1" t="inlineStr">
        <is>
          <t>6701d26083b55</t>
        </is>
      </c>
      <c r="B3661" s="1" t="inlineStr">
        <is>
          <t>SANDALIAS H WHITE</t>
        </is>
      </c>
      <c r="C3661" s="1" t="inlineStr">
        <is>
          <t>37 (23 cm)</t>
        </is>
      </c>
      <c r="D3661" s="1" t="inlineStr">
        <is>
          <t>19/03/2026</t>
        </is>
      </c>
      <c r="E3661" s="1" t="n">
        <v>2026</v>
      </c>
      <c r="F3661" s="1" t="inlineStr">
        <is>
          <t>MARZO</t>
        </is>
      </c>
      <c r="G3661" s="1" t="inlineStr">
        <is>
          <t>CYNTHIA</t>
        </is>
      </c>
      <c r="H3661" s="1" t="inlineStr">
        <is>
          <t>CYNTHIA 19/03/2026</t>
        </is>
      </c>
      <c r="I3661" s="4" t="n">
        <v>1</v>
      </c>
      <c r="J3661" s="6" t="n">
        <v>30</v>
      </c>
      <c r="K3661" s="6" t="n">
        <v>805.7224738</v>
      </c>
      <c r="L3661" s="6">
        <f>I3661*K3661</f>
        <v/>
      </c>
      <c r="M3661" s="6">
        <f>K3661*4</f>
        <v/>
      </c>
      <c r="N3661" s="6" t="n">
        <v>3189</v>
      </c>
    </row>
    <row r="3662">
      <c r="A3662" s="1" t="inlineStr">
        <is>
          <t>6701d26083b55</t>
        </is>
      </c>
      <c r="B3662" s="1" t="inlineStr">
        <is>
          <t>SANDALIAS H WHITE</t>
        </is>
      </c>
      <c r="C3662" s="1" t="inlineStr">
        <is>
          <t>37 (23 cm)</t>
        </is>
      </c>
      <c r="D3662" s="1" t="inlineStr">
        <is>
          <t>31/05/2026</t>
        </is>
      </c>
      <c r="E3662" s="1" t="n">
        <v>2026</v>
      </c>
      <c r="F3662" s="1" t="inlineStr">
        <is>
          <t>MAYO</t>
        </is>
      </c>
      <c r="G3662" s="1" t="inlineStr">
        <is>
          <t>CYNTHIA</t>
        </is>
      </c>
      <c r="H3662" s="1" t="inlineStr">
        <is>
          <t>CYNTHIA 31/05/2026</t>
        </is>
      </c>
      <c r="I3662" s="4" t="n">
        <v>3</v>
      </c>
      <c r="J3662" s="6" t="n">
        <v>30</v>
      </c>
      <c r="K3662" s="6" t="n">
        <v>795.0313493</v>
      </c>
      <c r="L3662" s="6">
        <f>I3662*K3662</f>
        <v/>
      </c>
      <c r="M3662" s="6">
        <f>K3662*4</f>
        <v/>
      </c>
      <c r="N3662" s="6" t="n">
        <v>3189</v>
      </c>
    </row>
    <row r="3663">
      <c r="A3663" s="1" t="inlineStr">
        <is>
          <t>6701d26098e78</t>
        </is>
      </c>
      <c r="B3663" s="1" t="inlineStr">
        <is>
          <t>SANDALIAS H BLACK</t>
        </is>
      </c>
      <c r="C3663" s="1" t="inlineStr">
        <is>
          <t>40 (25cm)</t>
        </is>
      </c>
      <c r="D3663" s="1" t="inlineStr">
        <is>
          <t>05/09/2025</t>
        </is>
      </c>
      <c r="E3663" s="1" t="n">
        <v>2025</v>
      </c>
      <c r="F3663" s="1" t="inlineStr">
        <is>
          <t>SEPTIEMBRE</t>
        </is>
      </c>
      <c r="G3663" s="1" t="inlineStr">
        <is>
          <t>CYNTHIA</t>
        </is>
      </c>
      <c r="H3663" s="1" t="inlineStr">
        <is>
          <t>CYNTHIA 05/09/2025</t>
        </is>
      </c>
      <c r="I3663" s="4" t="n">
        <v>1</v>
      </c>
      <c r="J3663" s="6" t="n">
        <v>34</v>
      </c>
      <c r="K3663" s="6" t="n">
        <v>856.0892956</v>
      </c>
      <c r="L3663" s="6">
        <f>I3663*K3663</f>
        <v/>
      </c>
      <c r="M3663" s="6">
        <f>K3663*4</f>
        <v/>
      </c>
      <c r="N3663" s="6" t="n">
        <v>2850</v>
      </c>
    </row>
    <row r="3664">
      <c r="A3664" s="1" t="inlineStr">
        <is>
          <t>6701d26098e78</t>
        </is>
      </c>
      <c r="B3664" s="1" t="n"/>
      <c r="C3664" s="1" t="inlineStr">
        <is>
          <t>40 (25cm)</t>
        </is>
      </c>
      <c r="D3664" s="1" t="inlineStr">
        <is>
          <t>07/01/2026</t>
        </is>
      </c>
      <c r="E3664" s="1" t="n">
        <v>2026</v>
      </c>
      <c r="F3664" s="1" t="inlineStr">
        <is>
          <t>ENERO</t>
        </is>
      </c>
      <c r="G3664" s="1" t="inlineStr">
        <is>
          <t>CYNTHIA</t>
        </is>
      </c>
      <c r="H3664" s="1" t="inlineStr">
        <is>
          <t>CYNTHIA 07/01/2026</t>
        </is>
      </c>
      <c r="I3664" s="4" t="n">
        <v>3</v>
      </c>
      <c r="J3664" s="6" t="n">
        <v>34</v>
      </c>
      <c r="K3664" s="6" t="n">
        <v>903.9725409</v>
      </c>
      <c r="L3664" s="6">
        <f>I3664*K3664</f>
        <v/>
      </c>
      <c r="M3664" s="6">
        <f>K3664*4</f>
        <v/>
      </c>
      <c r="N3664" s="6" t="n">
        <v>3649</v>
      </c>
    </row>
    <row r="3665">
      <c r="A3665" s="1" t="inlineStr">
        <is>
          <t>6701d26098e78</t>
        </is>
      </c>
      <c r="B3665" s="1" t="n"/>
      <c r="C3665" s="1" t="inlineStr">
        <is>
          <t>40 (25cm)</t>
        </is>
      </c>
      <c r="D3665" s="1" t="inlineStr">
        <is>
          <t>18/02/2026</t>
        </is>
      </c>
      <c r="E3665" s="1" t="n">
        <v>2026</v>
      </c>
      <c r="F3665" s="1" t="inlineStr">
        <is>
          <t>FEBRERO</t>
        </is>
      </c>
      <c r="G3665" s="1" t="inlineStr">
        <is>
          <t>CYNTHIA</t>
        </is>
      </c>
      <c r="H3665" s="1" t="inlineStr">
        <is>
          <t>CYNTHIA 18/02/2026</t>
        </is>
      </c>
      <c r="I3665" s="4" t="n">
        <v>1</v>
      </c>
      <c r="J3665" s="6" t="n">
        <v>34</v>
      </c>
      <c r="K3665" s="6" t="n">
        <v>919.4744168</v>
      </c>
      <c r="L3665" s="6">
        <f>I3665*K3665</f>
        <v/>
      </c>
      <c r="M3665" s="6">
        <f>K3665*4</f>
        <v/>
      </c>
      <c r="N3665" s="6" t="n">
        <v>3649</v>
      </c>
    </row>
    <row r="3666">
      <c r="A3666" s="1" t="inlineStr">
        <is>
          <t>6701d26098e78</t>
        </is>
      </c>
      <c r="B3666" s="1" t="inlineStr">
        <is>
          <t>SANDALIAS H BLACK</t>
        </is>
      </c>
      <c r="C3666" s="1" t="inlineStr">
        <is>
          <t>40 (25cm)</t>
        </is>
      </c>
      <c r="D3666" s="1" t="inlineStr">
        <is>
          <t>31/05/2026</t>
        </is>
      </c>
      <c r="E3666" s="1" t="n">
        <v>2026</v>
      </c>
      <c r="F3666" s="1" t="inlineStr">
        <is>
          <t>MAYO</t>
        </is>
      </c>
      <c r="G3666" s="1" t="inlineStr">
        <is>
          <t>CYNTHIA</t>
        </is>
      </c>
      <c r="H3666" s="1" t="inlineStr">
        <is>
          <t>CYNTHIA 31/05/2026</t>
        </is>
      </c>
      <c r="I3666" s="4" t="n">
        <v>5</v>
      </c>
      <c r="J3666" s="6" t="n">
        <v>34</v>
      </c>
      <c r="K3666" s="6" t="n">
        <v>901.0355292</v>
      </c>
      <c r="L3666" s="6">
        <f>I3666*K3666</f>
        <v/>
      </c>
      <c r="M3666" s="6">
        <f>K3666*4</f>
        <v/>
      </c>
      <c r="N3666" s="6" t="n">
        <v>3649</v>
      </c>
    </row>
    <row r="3667">
      <c r="A3667" s="1" t="inlineStr">
        <is>
          <t>6701d2610aff8</t>
        </is>
      </c>
      <c r="B3667" s="1" t="inlineStr">
        <is>
          <t>BOLSO G BROWN</t>
        </is>
      </c>
      <c r="C3667" s="1" t="inlineStr">
        <is>
          <t>54cm de largo x 29.8cm de alto</t>
        </is>
      </c>
      <c r="D3667" s="1" t="inlineStr">
        <is>
          <t>07/01/2026</t>
        </is>
      </c>
      <c r="E3667" s="1" t="n">
        <v>2026</v>
      </c>
      <c r="F3667" s="1" t="inlineStr">
        <is>
          <t>ENERO</t>
        </is>
      </c>
      <c r="G3667" s="1" t="inlineStr">
        <is>
          <t>CYNTHIA</t>
        </is>
      </c>
      <c r="H3667" s="1" t="inlineStr">
        <is>
          <t>CYNTHIA 07/01/2026</t>
        </is>
      </c>
      <c r="I3667" s="4" t="n">
        <v>2</v>
      </c>
      <c r="J3667" s="6" t="n">
        <v>49</v>
      </c>
      <c r="K3667" s="6" t="n">
        <v>1302.783956</v>
      </c>
      <c r="L3667" s="6">
        <f>I3667*K3667</f>
        <v/>
      </c>
      <c r="M3667" s="6">
        <f>K3667*4</f>
        <v/>
      </c>
      <c r="N3667" s="6" t="n">
        <v>5200</v>
      </c>
    </row>
    <row r="3668">
      <c r="A3668" s="1" t="inlineStr">
        <is>
          <t>6701d2610aff8</t>
        </is>
      </c>
      <c r="B3668" s="1" t="inlineStr">
        <is>
          <t>BOLSO G BROWN</t>
        </is>
      </c>
      <c r="C3668" s="1" t="inlineStr">
        <is>
          <t>54cm de largo x 29.8cm de alto</t>
        </is>
      </c>
      <c r="D3668" s="1" t="inlineStr">
        <is>
          <t>18/02/2026</t>
        </is>
      </c>
      <c r="E3668" s="1" t="n">
        <v>2026</v>
      </c>
      <c r="F3668" s="1" t="inlineStr">
        <is>
          <t>FEBRERO</t>
        </is>
      </c>
      <c r="G3668" s="1" t="inlineStr">
        <is>
          <t>CYNTHIA</t>
        </is>
      </c>
      <c r="H3668" s="1" t="inlineStr">
        <is>
          <t>CYNTHIA 18/02/2026</t>
        </is>
      </c>
      <c r="I3668" s="4" t="n">
        <v>1</v>
      </c>
      <c r="J3668" s="6" t="n">
        <v>49</v>
      </c>
      <c r="K3668" s="6" t="n">
        <v>1325.124895</v>
      </c>
      <c r="L3668" s="6">
        <f>I3668*K3668</f>
        <v/>
      </c>
      <c r="M3668" s="6">
        <f>K3668*4</f>
        <v/>
      </c>
      <c r="N3668" s="6" t="n">
        <v>5200</v>
      </c>
    </row>
    <row r="3669">
      <c r="A3669" s="1" t="inlineStr">
        <is>
          <t>6701d2610aff8</t>
        </is>
      </c>
      <c r="B3669" s="1" t="inlineStr">
        <is>
          <t>BOLSO G BROWN</t>
        </is>
      </c>
      <c r="C3669" s="1" t="inlineStr">
        <is>
          <t>54cm de largo x 29.8cm de alto</t>
        </is>
      </c>
      <c r="D3669" s="1" t="inlineStr">
        <is>
          <t>19/03/2026</t>
        </is>
      </c>
      <c r="E3669" s="1" t="n">
        <v>2026</v>
      </c>
      <c r="F3669" s="1" t="inlineStr">
        <is>
          <t>MARZO</t>
        </is>
      </c>
      <c r="G3669" s="1" t="inlineStr">
        <is>
          <t>CYNTHIA</t>
        </is>
      </c>
      <c r="H3669" s="1" t="inlineStr">
        <is>
          <t>CYNTHIA 19/03/2026</t>
        </is>
      </c>
      <c r="I3669" s="4" t="n">
        <v>3</v>
      </c>
      <c r="J3669" s="6" t="n">
        <v>49</v>
      </c>
      <c r="K3669" s="6" t="n">
        <v>1316.013374</v>
      </c>
      <c r="L3669" s="6">
        <f>I3669*K3669</f>
        <v/>
      </c>
      <c r="M3669" s="6">
        <f>K3669*4</f>
        <v/>
      </c>
      <c r="N3669" s="6" t="n">
        <v>5200</v>
      </c>
    </row>
    <row r="3670">
      <c r="A3670" s="1" t="inlineStr">
        <is>
          <t>6701d2610aff8</t>
        </is>
      </c>
      <c r="B3670" s="1" t="inlineStr">
        <is>
          <t>BOLSO G BROWN</t>
        </is>
      </c>
      <c r="C3670" s="1" t="inlineStr">
        <is>
          <t>54cm de largo x 29.8cm de alto</t>
        </is>
      </c>
      <c r="D3670" s="1" t="inlineStr">
        <is>
          <t>31/05/2026</t>
        </is>
      </c>
      <c r="E3670" s="1" t="n">
        <v>2026</v>
      </c>
      <c r="F3670" s="1" t="inlineStr">
        <is>
          <t>MAYO</t>
        </is>
      </c>
      <c r="G3670" s="1" t="inlineStr">
        <is>
          <t>CYNTHIA</t>
        </is>
      </c>
      <c r="H3670" s="1" t="inlineStr">
        <is>
          <t>CYNTHIA 31/05/2026</t>
        </is>
      </c>
      <c r="I3670" s="4" t="n">
        <v>5</v>
      </c>
      <c r="J3670" s="6" t="n">
        <v>49</v>
      </c>
      <c r="K3670" s="6" t="n">
        <v>1298.551204</v>
      </c>
      <c r="L3670" s="6">
        <f>I3670*K3670</f>
        <v/>
      </c>
      <c r="M3670" s="6">
        <f>K3670*4</f>
        <v/>
      </c>
      <c r="N3670" s="6" t="n">
        <v>5200</v>
      </c>
    </row>
    <row r="3671">
      <c r="A3671" s="1" t="inlineStr">
        <is>
          <t>6701d2613fe66</t>
        </is>
      </c>
      <c r="B3671" s="1" t="inlineStr">
        <is>
          <t>BOLSO G DARK BLUE</t>
        </is>
      </c>
      <c r="C3671" s="1" t="inlineStr">
        <is>
          <t>54cm de largo x 29.8cm de alto</t>
        </is>
      </c>
      <c r="D3671" s="1" t="inlineStr">
        <is>
          <t>25/10/2025</t>
        </is>
      </c>
      <c r="E3671" s="1" t="n">
        <v>2025</v>
      </c>
      <c r="F3671" s="1" t="inlineStr">
        <is>
          <t>OCTUBRE</t>
        </is>
      </c>
      <c r="G3671" s="1" t="inlineStr">
        <is>
          <t>CYNTHIA</t>
        </is>
      </c>
      <c r="H3671" s="1" t="inlineStr">
        <is>
          <t>CYNTHIA 25/10/2025</t>
        </is>
      </c>
      <c r="I3671" s="4" t="n">
        <v>5</v>
      </c>
      <c r="J3671" s="6" t="n">
        <v>49</v>
      </c>
      <c r="K3671" s="6" t="n">
        <v>1283.889356</v>
      </c>
      <c r="L3671" s="6">
        <f>I3671*K3671</f>
        <v/>
      </c>
      <c r="M3671" s="6">
        <f>K3671*4</f>
        <v/>
      </c>
      <c r="N3671" s="6" t="n">
        <v>3999</v>
      </c>
    </row>
    <row r="3672">
      <c r="A3672" s="1" t="inlineStr">
        <is>
          <t>6701d2613fe66</t>
        </is>
      </c>
      <c r="B3672" s="1" t="inlineStr">
        <is>
          <t>BOLSO G DARK BLUE</t>
        </is>
      </c>
      <c r="C3672" s="1" t="inlineStr">
        <is>
          <t>54cm de largo x 29.8cm de alto</t>
        </is>
      </c>
      <c r="D3672" s="1" t="inlineStr">
        <is>
          <t>18/02/2026</t>
        </is>
      </c>
      <c r="E3672" s="1" t="n">
        <v>2026</v>
      </c>
      <c r="F3672" s="1" t="inlineStr">
        <is>
          <t>FEBRERO</t>
        </is>
      </c>
      <c r="G3672" s="1" t="inlineStr">
        <is>
          <t>CYNTHIA</t>
        </is>
      </c>
      <c r="H3672" s="1" t="inlineStr">
        <is>
          <t>CYNTHIA 18/02/2026</t>
        </is>
      </c>
      <c r="I3672" s="4" t="n">
        <v>8</v>
      </c>
      <c r="J3672" s="6" t="n">
        <v>48</v>
      </c>
      <c r="K3672" s="6" t="n">
        <v>1298.08153</v>
      </c>
      <c r="L3672" s="6">
        <f>I3672*K3672</f>
        <v/>
      </c>
      <c r="M3672" s="6">
        <f>K3672*4</f>
        <v/>
      </c>
      <c r="N3672" s="6" t="n">
        <v>4549</v>
      </c>
    </row>
    <row r="3673">
      <c r="A3673" s="1" t="inlineStr">
        <is>
          <t>6701d26146e52</t>
        </is>
      </c>
      <c r="B3673" s="1" t="inlineStr">
        <is>
          <t>SANDALIAS H WHITE</t>
        </is>
      </c>
      <c r="C3673" s="1" t="inlineStr">
        <is>
          <t>38 (24cm)</t>
        </is>
      </c>
      <c r="D3673" s="1" t="inlineStr">
        <is>
          <t>05/09/2025</t>
        </is>
      </c>
      <c r="E3673" s="1" t="n">
        <v>2025</v>
      </c>
      <c r="F3673" s="1" t="inlineStr">
        <is>
          <t>SEPTIEMBRE</t>
        </is>
      </c>
      <c r="G3673" s="1" t="inlineStr">
        <is>
          <t>CYNTHIA</t>
        </is>
      </c>
      <c r="H3673" s="1" t="inlineStr">
        <is>
          <t>CYNTHIA 05/09/2025</t>
        </is>
      </c>
      <c r="I3673" s="4" t="n">
        <v>2</v>
      </c>
      <c r="J3673" s="6" t="n">
        <v>30</v>
      </c>
      <c r="K3673" s="6" t="n">
        <v>755.3729079</v>
      </c>
      <c r="L3673" s="6">
        <f>I3673*K3673</f>
        <v/>
      </c>
      <c r="M3673" s="6">
        <f>K3673*4</f>
        <v/>
      </c>
      <c r="N3673" s="6" t="n">
        <v>2699</v>
      </c>
    </row>
    <row r="3674">
      <c r="A3674" s="1" t="inlineStr">
        <is>
          <t>6701d26146e52</t>
        </is>
      </c>
      <c r="B3674" s="1" t="inlineStr">
        <is>
          <t>SANDALIAS H WHITE</t>
        </is>
      </c>
      <c r="C3674" s="1" t="inlineStr">
        <is>
          <t>38 (24cm)</t>
        </is>
      </c>
      <c r="D3674" s="1" t="inlineStr">
        <is>
          <t>19/03/2026</t>
        </is>
      </c>
      <c r="E3674" s="1" t="n">
        <v>2026</v>
      </c>
      <c r="F3674" s="1" t="inlineStr">
        <is>
          <t>MARZO</t>
        </is>
      </c>
      <c r="G3674" s="1" t="inlineStr">
        <is>
          <t>CYNTHIA</t>
        </is>
      </c>
      <c r="H3674" s="1" t="inlineStr">
        <is>
          <t>CYNTHIA 19/03/2026</t>
        </is>
      </c>
      <c r="I3674" s="4" t="n">
        <v>2</v>
      </c>
      <c r="J3674" s="6" t="n">
        <v>30</v>
      </c>
      <c r="K3674" s="6" t="n">
        <v>805.7224738</v>
      </c>
      <c r="L3674" s="6">
        <f>I3674*K3674</f>
        <v/>
      </c>
      <c r="M3674" s="6">
        <f>K3674*4</f>
        <v/>
      </c>
      <c r="N3674" s="6" t="n">
        <v>3189</v>
      </c>
    </row>
    <row r="3675">
      <c r="A3675" s="1" t="inlineStr">
        <is>
          <t>6701d26146e52</t>
        </is>
      </c>
      <c r="B3675" s="1" t="inlineStr">
        <is>
          <t>SANDALIAS H WHITE</t>
        </is>
      </c>
      <c r="C3675" s="1" t="inlineStr">
        <is>
          <t>38 (24cm)</t>
        </is>
      </c>
      <c r="D3675" s="1" t="inlineStr">
        <is>
          <t>31/05/2026</t>
        </is>
      </c>
      <c r="E3675" s="1" t="n">
        <v>2026</v>
      </c>
      <c r="F3675" s="1" t="inlineStr">
        <is>
          <t>MAYO</t>
        </is>
      </c>
      <c r="G3675" s="1" t="inlineStr">
        <is>
          <t>CYNTHIA</t>
        </is>
      </c>
      <c r="H3675" s="1" t="inlineStr">
        <is>
          <t>CYNTHIA 31/05/2026</t>
        </is>
      </c>
      <c r="I3675" s="4" t="n">
        <v>1</v>
      </c>
      <c r="J3675" s="6" t="n">
        <v>30</v>
      </c>
      <c r="K3675" s="6" t="n">
        <v>795.0313493</v>
      </c>
      <c r="L3675" s="6">
        <f>I3675*K3675</f>
        <v/>
      </c>
      <c r="M3675" s="6">
        <f>K3675*4</f>
        <v/>
      </c>
      <c r="N3675" s="6" t="n">
        <v>3189</v>
      </c>
    </row>
    <row r="3676">
      <c r="A3676" s="1" t="inlineStr">
        <is>
          <t>6701d26146e52</t>
        </is>
      </c>
      <c r="B3676" s="1" t="inlineStr">
        <is>
          <t>SANDALIAS H WHITE</t>
        </is>
      </c>
      <c r="C3676" s="1" t="inlineStr">
        <is>
          <t>38 (24cm)</t>
        </is>
      </c>
      <c r="D3676" s="1" t="inlineStr">
        <is>
          <t>31/05/2026</t>
        </is>
      </c>
      <c r="E3676" s="1" t="n">
        <v>2026</v>
      </c>
      <c r="F3676" s="1" t="inlineStr">
        <is>
          <t>MAYO</t>
        </is>
      </c>
      <c r="G3676" s="1" t="inlineStr">
        <is>
          <t>CYNTHIA</t>
        </is>
      </c>
      <c r="H3676" s="1" t="inlineStr">
        <is>
          <t>CYNTHIA 31/05/2026</t>
        </is>
      </c>
      <c r="I3676" s="4" t="n">
        <v>2</v>
      </c>
      <c r="J3676" s="6" t="n">
        <v>30</v>
      </c>
      <c r="K3676" s="6" t="n">
        <v>795.0313493</v>
      </c>
      <c r="L3676" s="6">
        <f>I3676*K3676</f>
        <v/>
      </c>
      <c r="M3676" s="6">
        <f>K3676*4</f>
        <v/>
      </c>
      <c r="N3676" s="6" t="n">
        <v>3189</v>
      </c>
    </row>
    <row r="3677">
      <c r="A3677" s="1" t="inlineStr">
        <is>
          <t>6701d2626ff26</t>
        </is>
      </c>
      <c r="B3677" s="1" t="inlineStr">
        <is>
          <t>PULSERA P DIAMOND</t>
        </is>
      </c>
      <c r="C3677" s="1" t="inlineStr">
        <is>
          <t>16cm</t>
        </is>
      </c>
      <c r="D3677" s="1" t="inlineStr">
        <is>
          <t>05/09/2025</t>
        </is>
      </c>
      <c r="E3677" s="1" t="n">
        <v>2025</v>
      </c>
      <c r="F3677" s="1" t="inlineStr">
        <is>
          <t>SEPTIEMBRE</t>
        </is>
      </c>
      <c r="G3677" s="1" t="inlineStr">
        <is>
          <t>CYNTHIA</t>
        </is>
      </c>
      <c r="H3677" s="1" t="inlineStr">
        <is>
          <t>CYNTHIA 05/09/2025</t>
        </is>
      </c>
      <c r="I3677" s="4" t="n">
        <v>2</v>
      </c>
      <c r="J3677" s="6" t="n">
        <v>6</v>
      </c>
      <c r="K3677" s="6" t="n">
        <v>151.0745816</v>
      </c>
      <c r="L3677" s="6">
        <f>I3677*K3677</f>
        <v/>
      </c>
      <c r="M3677" s="6">
        <f>K3677*4</f>
        <v/>
      </c>
      <c r="N3677" s="6" t="n">
        <v>750</v>
      </c>
    </row>
    <row r="3678">
      <c r="A3678" s="1" t="inlineStr">
        <is>
          <t>6701d2626ff26</t>
        </is>
      </c>
      <c r="B3678" s="1" t="inlineStr">
        <is>
          <t>PULSERA P DIAMOND</t>
        </is>
      </c>
      <c r="C3678" s="1" t="inlineStr">
        <is>
          <t>16cm</t>
        </is>
      </c>
      <c r="D3678" s="1" t="inlineStr">
        <is>
          <t>19/03/2026</t>
        </is>
      </c>
      <c r="E3678" s="1" t="n">
        <v>2026</v>
      </c>
      <c r="F3678" s="1" t="inlineStr">
        <is>
          <t>MARZO</t>
        </is>
      </c>
      <c r="G3678" s="1" t="inlineStr">
        <is>
          <t>CYNTHIA</t>
        </is>
      </c>
      <c r="H3678" s="1" t="inlineStr">
        <is>
          <t>CYNTHIA 19/03/2026</t>
        </is>
      </c>
      <c r="I3678" s="4" t="n">
        <v>5</v>
      </c>
      <c r="J3678" s="6" t="n">
        <v>6</v>
      </c>
      <c r="K3678" s="6" t="n">
        <v>161.1444948</v>
      </c>
      <c r="L3678" s="6">
        <f>I3678*K3678</f>
        <v/>
      </c>
      <c r="M3678" s="6">
        <f>K3678*4</f>
        <v/>
      </c>
      <c r="N3678" s="6" t="n">
        <v>750</v>
      </c>
    </row>
    <row r="3679">
      <c r="A3679" s="1" t="inlineStr">
        <is>
          <t>6701d26c9c67e</t>
        </is>
      </c>
      <c r="B3679" s="1" t="inlineStr">
        <is>
          <t>BOLSO C CABAS</t>
        </is>
      </c>
      <c r="C3679" s="1" t="inlineStr">
        <is>
          <t>30cm de largo x 22cm de alto x 13cm de ancho</t>
        </is>
      </c>
      <c r="D3679" s="1" t="inlineStr">
        <is>
          <t>27/04/2026</t>
        </is>
      </c>
      <c r="E3679" s="1" t="n">
        <v>2026</v>
      </c>
      <c r="F3679" s="1" t="inlineStr">
        <is>
          <t>ABRIL</t>
        </is>
      </c>
      <c r="G3679" s="1" t="inlineStr">
        <is>
          <t>CYNTHIA</t>
        </is>
      </c>
      <c r="H3679" s="1" t="inlineStr">
        <is>
          <t>CYNTHIA 27/04/2026</t>
        </is>
      </c>
      <c r="I3679" s="4" t="n">
        <v>4</v>
      </c>
      <c r="J3679" s="6" t="n">
        <v>48</v>
      </c>
      <c r="K3679" s="6" t="n">
        <v>1245.604446</v>
      </c>
      <c r="L3679" s="6">
        <f>I3679*K3679</f>
        <v/>
      </c>
      <c r="M3679" s="6">
        <f>K3679*4</f>
        <v/>
      </c>
      <c r="N3679" s="6" t="n">
        <v>4989</v>
      </c>
    </row>
    <row r="3680">
      <c r="A3680" s="1" t="inlineStr">
        <is>
          <t>6701d26ca0522</t>
        </is>
      </c>
      <c r="B3680" s="1" t="inlineStr">
        <is>
          <t>BOLSO DE VIAJE G GREEN</t>
        </is>
      </c>
      <c r="C3680" s="1" t="inlineStr">
        <is>
          <t>49cm de largo x 28cm de alto x 22.5cm de ancho</t>
        </is>
      </c>
      <c r="D3680" s="1" t="inlineStr">
        <is>
          <t>05/09/2025</t>
        </is>
      </c>
      <c r="E3680" s="1" t="n">
        <v>2025</v>
      </c>
      <c r="F3680" s="1" t="inlineStr">
        <is>
          <t>SEPTIEMBRE</t>
        </is>
      </c>
      <c r="G3680" s="1" t="inlineStr">
        <is>
          <t>CYNTHIA</t>
        </is>
      </c>
      <c r="H3680" s="1" t="inlineStr">
        <is>
          <t>CYNTHIA 05/09/2025</t>
        </is>
      </c>
      <c r="I3680" s="4" t="n">
        <v>3</v>
      </c>
      <c r="J3680" s="6" t="n">
        <v>58</v>
      </c>
      <c r="K3680" s="6" t="n">
        <v>1460.387622</v>
      </c>
      <c r="L3680" s="6">
        <f>I3680*K3680</f>
        <v/>
      </c>
      <c r="M3680" s="6">
        <f>K3680*4</f>
        <v/>
      </c>
      <c r="N3680" s="6" t="n">
        <v>9869</v>
      </c>
    </row>
    <row r="3681">
      <c r="A3681" s="1" t="inlineStr">
        <is>
          <t>6701d26ca0522</t>
        </is>
      </c>
      <c r="B3681" s="1" t="inlineStr">
        <is>
          <t>BOLSO DE VIAJE G GREEN</t>
        </is>
      </c>
      <c r="C3681" s="1" t="inlineStr">
        <is>
          <t>49cm de largo x 28cm de alto x 22.5cm de ancho</t>
        </is>
      </c>
      <c r="D3681" s="1" t="inlineStr">
        <is>
          <t>31/05/2026</t>
        </is>
      </c>
      <c r="E3681" s="1" t="n">
        <v>2026</v>
      </c>
      <c r="F3681" s="1" t="inlineStr">
        <is>
          <t>MAYO</t>
        </is>
      </c>
      <c r="G3681" s="1" t="inlineStr">
        <is>
          <t>CYNTHIA</t>
        </is>
      </c>
      <c r="H3681" s="1" t="inlineStr">
        <is>
          <t>CYNTHIA 31/05/2026</t>
        </is>
      </c>
      <c r="I3681" s="4" t="n">
        <v>2</v>
      </c>
      <c r="J3681" s="6" t="n">
        <v>93</v>
      </c>
      <c r="K3681" s="6" t="n">
        <v>2464.597183</v>
      </c>
      <c r="L3681" s="6">
        <f>I3681*K3681</f>
        <v/>
      </c>
      <c r="M3681" s="6">
        <f>K3681*4</f>
        <v/>
      </c>
      <c r="N3681" s="6" t="n">
        <v>9869</v>
      </c>
    </row>
    <row r="3682">
      <c r="A3682" s="1" t="inlineStr">
        <is>
          <t>6701d26d1f472</t>
        </is>
      </c>
      <c r="B3682" s="1" t="inlineStr">
        <is>
          <t>BOLSO DE VIAJE G BLACK</t>
        </is>
      </c>
      <c r="C3682" s="1" t="inlineStr">
        <is>
          <t>49cm de largo x 28cm de alto x 22.5cm de ancho</t>
        </is>
      </c>
      <c r="D3682" s="1" t="inlineStr">
        <is>
          <t>05/09/2025</t>
        </is>
      </c>
      <c r="E3682" s="1" t="n">
        <v>2025</v>
      </c>
      <c r="F3682" s="1" t="inlineStr">
        <is>
          <t>SEPTIEMBRE</t>
        </is>
      </c>
      <c r="G3682" s="1" t="inlineStr">
        <is>
          <t>CYNTHIA</t>
        </is>
      </c>
      <c r="H3682" s="1" t="inlineStr">
        <is>
          <t>CYNTHIA 05/09/2025</t>
        </is>
      </c>
      <c r="I3682" s="4" t="n">
        <v>2</v>
      </c>
      <c r="J3682" s="6" t="n">
        <v>58</v>
      </c>
      <c r="K3682" s="6" t="n">
        <v>1460.387622</v>
      </c>
      <c r="L3682" s="6">
        <f>I3682*K3682</f>
        <v/>
      </c>
      <c r="M3682" s="6">
        <f>K3682*4</f>
        <v/>
      </c>
      <c r="N3682" s="6" t="n">
        <v>9869</v>
      </c>
    </row>
    <row r="3683">
      <c r="A3683" s="1" t="inlineStr">
        <is>
          <t>6701d26d1f472</t>
        </is>
      </c>
      <c r="B3683" s="1" t="inlineStr">
        <is>
          <t>BOLSO DE VIAJE G BLACK</t>
        </is>
      </c>
      <c r="C3683" s="1" t="inlineStr">
        <is>
          <t>49cm de largo x 28cm de alto x 22.5cm de ancho</t>
        </is>
      </c>
      <c r="D3683" s="1" t="inlineStr">
        <is>
          <t>31/05/2026</t>
        </is>
      </c>
      <c r="E3683" s="1" t="n">
        <v>2026</v>
      </c>
      <c r="F3683" s="1" t="inlineStr">
        <is>
          <t>MAYO</t>
        </is>
      </c>
      <c r="G3683" s="1" t="inlineStr">
        <is>
          <t>CYNTHIA</t>
        </is>
      </c>
      <c r="H3683" s="1" t="inlineStr">
        <is>
          <t>CYNTHIA 31/05/2026</t>
        </is>
      </c>
      <c r="I3683" s="4" t="n">
        <v>3</v>
      </c>
      <c r="J3683" s="6" t="n">
        <v>93</v>
      </c>
      <c r="K3683" s="6" t="n">
        <v>2464.597183</v>
      </c>
      <c r="L3683" s="6">
        <f>I3683*K3683</f>
        <v/>
      </c>
      <c r="M3683" s="6">
        <f>K3683*4</f>
        <v/>
      </c>
      <c r="N3683" s="6" t="n">
        <v>9869</v>
      </c>
    </row>
    <row r="3684">
      <c r="A3684" s="1" t="inlineStr">
        <is>
          <t>6701d26e04890</t>
        </is>
      </c>
      <c r="B3684" s="1" t="inlineStr">
        <is>
          <t>BOLSO H BIRKIN 30 GRIS TOURTERELLE</t>
        </is>
      </c>
      <c r="C3684" s="1" t="inlineStr">
        <is>
          <t>20.5cm de alto x 25cm de largo x 13cm ancho</t>
        </is>
      </c>
      <c r="D3684" s="1" t="inlineStr">
        <is>
          <t>07/01/2026</t>
        </is>
      </c>
      <c r="E3684" s="1" t="n">
        <v>2026</v>
      </c>
      <c r="F3684" s="1" t="inlineStr">
        <is>
          <t>ENERO</t>
        </is>
      </c>
      <c r="G3684" s="1" t="inlineStr">
        <is>
          <t>CYNTHIA</t>
        </is>
      </c>
      <c r="H3684" s="1" t="inlineStr">
        <is>
          <t>CYNTHIA 07/01/2026</t>
        </is>
      </c>
      <c r="I3684" s="4" t="n">
        <v>1</v>
      </c>
      <c r="J3684" s="6" t="n">
        <v>65</v>
      </c>
      <c r="K3684" s="6" t="n">
        <v>1728.182799</v>
      </c>
      <c r="L3684" s="6">
        <f>I3684*K3684</f>
        <v/>
      </c>
      <c r="M3684" s="6">
        <f>K3684*4</f>
        <v/>
      </c>
      <c r="N3684" s="6" t="n">
        <v>6035</v>
      </c>
    </row>
    <row r="3685">
      <c r="A3685" s="1" t="inlineStr">
        <is>
          <t>6701d26e04890</t>
        </is>
      </c>
      <c r="B3685" s="1" t="inlineStr">
        <is>
          <t>BOLSO H BIRKIN 30 GRIS TOURTERELLE</t>
        </is>
      </c>
      <c r="C3685" s="1" t="inlineStr">
        <is>
          <t>20.5cm de alto x 25cm de largo x 13cm ancho</t>
        </is>
      </c>
      <c r="D3685" s="1" t="inlineStr">
        <is>
          <t>27/04/2026</t>
        </is>
      </c>
      <c r="E3685" s="1" t="n">
        <v>2026</v>
      </c>
      <c r="F3685" s="1" t="inlineStr">
        <is>
          <t>ABRIL</t>
        </is>
      </c>
      <c r="G3685" s="1" t="inlineStr">
        <is>
          <t>CYNTHIA</t>
        </is>
      </c>
      <c r="H3685" s="1" t="inlineStr">
        <is>
          <t>CYNTHIA 27/04/2026</t>
        </is>
      </c>
      <c r="I3685" s="4" t="n">
        <v>1</v>
      </c>
      <c r="J3685" s="6" t="n">
        <v>65</v>
      </c>
      <c r="K3685" s="6" t="n">
        <v>1686.75602</v>
      </c>
      <c r="L3685" s="6">
        <f>I3685*K3685</f>
        <v/>
      </c>
      <c r="M3685" s="6">
        <f>K3685*4</f>
        <v/>
      </c>
      <c r="N3685" s="6" t="n">
        <v>6035</v>
      </c>
    </row>
    <row r="3686">
      <c r="A3686" s="1" t="inlineStr">
        <is>
          <t>6701d26e04890</t>
        </is>
      </c>
      <c r="B3686" s="1" t="inlineStr">
        <is>
          <t>BOLSO H BIRKIN 30 GRIS TOURTERELLE</t>
        </is>
      </c>
      <c r="C3686" s="1" t="inlineStr">
        <is>
          <t>20.5cm de alto x 25cm de largo x 13cm ancho</t>
        </is>
      </c>
      <c r="D3686" s="1" t="inlineStr">
        <is>
          <t>31/05/2026</t>
        </is>
      </c>
      <c r="E3686" s="1" t="n">
        <v>2026</v>
      </c>
      <c r="F3686" s="1" t="inlineStr">
        <is>
          <t>MAYO</t>
        </is>
      </c>
      <c r="G3686" s="1" t="inlineStr">
        <is>
          <t>CYNTHIA</t>
        </is>
      </c>
      <c r="H3686" s="1" t="inlineStr">
        <is>
          <t>CYNTHIA 31/05/2026</t>
        </is>
      </c>
      <c r="I3686" s="4" t="n">
        <v>2</v>
      </c>
      <c r="J3686" s="6" t="n">
        <v>65</v>
      </c>
      <c r="K3686" s="6" t="n">
        <v>1722.567924</v>
      </c>
      <c r="L3686" s="6">
        <f>I3686*K3686</f>
        <v/>
      </c>
      <c r="M3686" s="6">
        <f>K3686*4</f>
        <v/>
      </c>
      <c r="N3686" s="6" t="n">
        <v>6035</v>
      </c>
    </row>
    <row r="3687">
      <c r="A3687" s="1" t="inlineStr">
        <is>
          <t>6701d26e72186</t>
        </is>
      </c>
      <c r="B3687" s="1" t="inlineStr">
        <is>
          <t>BOLSO H BIRKIN 30 WHITE</t>
        </is>
      </c>
      <c r="C3687" s="1" t="inlineStr">
        <is>
          <t>20.5cm de alto x 25cm de largo x 13cm ancho</t>
        </is>
      </c>
      <c r="D3687" s="1" t="inlineStr">
        <is>
          <t>19/03/2026</t>
        </is>
      </c>
      <c r="E3687" s="1" t="n">
        <v>2026</v>
      </c>
      <c r="F3687" s="1" t="inlineStr">
        <is>
          <t>MARZO</t>
        </is>
      </c>
      <c r="G3687" s="1" t="inlineStr">
        <is>
          <t>CYNTHIA</t>
        </is>
      </c>
      <c r="H3687" s="1" t="inlineStr">
        <is>
          <t>CYNTHIA 19/03/2026</t>
        </is>
      </c>
      <c r="I3687" s="4" t="n">
        <v>2</v>
      </c>
      <c r="J3687" s="6" t="n">
        <v>65</v>
      </c>
      <c r="K3687" s="6" t="n">
        <v>1745.732027</v>
      </c>
      <c r="L3687" s="6">
        <f>I3687*K3687</f>
        <v/>
      </c>
      <c r="M3687" s="6">
        <f>K3687*4</f>
        <v/>
      </c>
      <c r="N3687" s="6" t="n">
        <v>6115</v>
      </c>
    </row>
    <row r="3688">
      <c r="A3688" s="1" t="inlineStr">
        <is>
          <t>6701d26f13b86</t>
        </is>
      </c>
      <c r="B3688" s="1" t="inlineStr">
        <is>
          <t>LENTES PR OVAL BLACK</t>
        </is>
      </c>
      <c r="C3688" s="1" t="inlineStr">
        <is>
          <t>HIGH QUALITY</t>
        </is>
      </c>
      <c r="D3688" s="1" t="inlineStr">
        <is>
          <t>25/10/2025</t>
        </is>
      </c>
      <c r="E3688" s="1" t="n">
        <v>2025</v>
      </c>
      <c r="F3688" s="1" t="inlineStr">
        <is>
          <t>OCTUBRE</t>
        </is>
      </c>
      <c r="G3688" s="1" t="inlineStr">
        <is>
          <t>CYNTHIA</t>
        </is>
      </c>
      <c r="H3688" s="1" t="inlineStr">
        <is>
          <t>CYNTHIA 25/10/2025</t>
        </is>
      </c>
      <c r="I3688" s="4" t="n">
        <v>2</v>
      </c>
      <c r="J3688" s="6" t="n">
        <v>28</v>
      </c>
      <c r="K3688" s="6" t="n">
        <v>733.6510605</v>
      </c>
      <c r="L3688" s="6">
        <f>I3688*K3688</f>
        <v/>
      </c>
      <c r="M3688" s="6">
        <f>K3688*4</f>
        <v/>
      </c>
      <c r="N3688" s="6" t="n">
        <v>2350</v>
      </c>
    </row>
    <row r="3689">
      <c r="A3689" s="1" t="inlineStr">
        <is>
          <t>6701d26f13b86</t>
        </is>
      </c>
      <c r="B3689" s="1" t="inlineStr">
        <is>
          <t>LENTES PR OVAL BLACK</t>
        </is>
      </c>
      <c r="C3689" s="1" t="inlineStr">
        <is>
          <t>HIGH QUALITY</t>
        </is>
      </c>
      <c r="D3689" s="1" t="inlineStr">
        <is>
          <t>18/02/2026</t>
        </is>
      </c>
      <c r="E3689" s="1" t="n">
        <v>2026</v>
      </c>
      <c r="F3689" s="1" t="inlineStr">
        <is>
          <t>FEBRERO</t>
        </is>
      </c>
      <c r="G3689" s="1" t="inlineStr">
        <is>
          <t>CYNTHIA</t>
        </is>
      </c>
      <c r="H3689" s="1" t="inlineStr">
        <is>
          <t>CYNTHIA 18/02/2026</t>
        </is>
      </c>
      <c r="I3689" s="4" t="n">
        <v>4</v>
      </c>
      <c r="J3689" s="6" t="n">
        <v>28</v>
      </c>
      <c r="K3689" s="6" t="n">
        <v>757.2142256</v>
      </c>
      <c r="L3689" s="6">
        <f>I3689*K3689</f>
        <v/>
      </c>
      <c r="M3689" s="6">
        <f>K3689*4</f>
        <v/>
      </c>
      <c r="N3689" s="6" t="n">
        <v>2635</v>
      </c>
    </row>
    <row r="3690">
      <c r="A3690" s="1" t="inlineStr">
        <is>
          <t>6701d26f13b86</t>
        </is>
      </c>
      <c r="B3690" s="1" t="inlineStr">
        <is>
          <t>LENTES PR OVAL BLACK</t>
        </is>
      </c>
      <c r="C3690" s="1" t="inlineStr">
        <is>
          <t>HIGH QUALITY</t>
        </is>
      </c>
      <c r="D3690" s="1" t="inlineStr">
        <is>
          <t>19/03/2026</t>
        </is>
      </c>
      <c r="E3690" s="1" t="n">
        <v>2026</v>
      </c>
      <c r="F3690" s="1" t="inlineStr">
        <is>
          <t>MARZO</t>
        </is>
      </c>
      <c r="G3690" s="1" t="inlineStr">
        <is>
          <t>CYNTHIA</t>
        </is>
      </c>
      <c r="H3690" s="1" t="inlineStr">
        <is>
          <t>CYNTHIA 19/03/2026</t>
        </is>
      </c>
      <c r="I3690" s="4" t="n">
        <v>2</v>
      </c>
      <c r="J3690" s="6" t="n">
        <v>28</v>
      </c>
      <c r="K3690" s="6" t="n">
        <v>752.0076422</v>
      </c>
      <c r="L3690" s="6">
        <f>I3690*K3690</f>
        <v/>
      </c>
      <c r="M3690" s="6">
        <f>K3690*4</f>
        <v/>
      </c>
      <c r="N3690" s="6" t="n">
        <v>2635</v>
      </c>
    </row>
    <row r="3691">
      <c r="A3691" s="1" t="inlineStr">
        <is>
          <t>6701d27b47f9e</t>
        </is>
      </c>
      <c r="B3691" s="1" t="inlineStr">
        <is>
          <t>BOLSO C AVA TRIOMPHE BLACK</t>
        </is>
      </c>
      <c r="C3691" s="1" t="inlineStr">
        <is>
          <t>22cm de largo x 12cm de alto x 6cm de ancho</t>
        </is>
      </c>
      <c r="D3691" s="1" t="inlineStr">
        <is>
          <t>18/02/2026</t>
        </is>
      </c>
      <c r="E3691" s="1" t="n">
        <v>2026</v>
      </c>
      <c r="F3691" s="1" t="inlineStr">
        <is>
          <t>FEBRERO</t>
        </is>
      </c>
      <c r="G3691" s="1" t="inlineStr">
        <is>
          <t>CYNTHIA</t>
        </is>
      </c>
      <c r="H3691" s="1" t="inlineStr">
        <is>
          <t>CYNTHIA 18/02/2026</t>
        </is>
      </c>
      <c r="I3691" s="4" t="n">
        <v>2</v>
      </c>
      <c r="J3691" s="6" t="n">
        <v>46</v>
      </c>
      <c r="K3691" s="6" t="n">
        <v>1243.994799</v>
      </c>
      <c r="L3691" s="6">
        <f>I3691*K3691</f>
        <v/>
      </c>
      <c r="M3691" s="6">
        <f>K3691*4</f>
        <v/>
      </c>
      <c r="N3691" s="6" t="n">
        <v>4359</v>
      </c>
    </row>
    <row r="3692">
      <c r="A3692" s="1" t="inlineStr">
        <is>
          <t>6701d27d41def</t>
        </is>
      </c>
      <c r="B3692" s="1" t="inlineStr">
        <is>
          <t>BOLSO GC NUDE</t>
        </is>
      </c>
      <c r="C3692" s="1" t="inlineStr">
        <is>
          <t>14.5cm de alto x 25.2cm de largo x 6.7cm de ancho</t>
        </is>
      </c>
      <c r="D3692" s="1" t="inlineStr">
        <is>
          <t>01/09/2025</t>
        </is>
      </c>
      <c r="E3692" s="1" t="n">
        <v>2025</v>
      </c>
      <c r="F3692" s="1" t="inlineStr">
        <is>
          <t>SEPTIEMBRE</t>
        </is>
      </c>
      <c r="G3692" s="1" t="inlineStr">
        <is>
          <t>ZOEY</t>
        </is>
      </c>
      <c r="H3692" s="1" t="inlineStr">
        <is>
          <t>ZOEY 01/09/2025</t>
        </is>
      </c>
      <c r="I3692" s="4" t="n">
        <v>2</v>
      </c>
      <c r="J3692" s="6" t="n">
        <v>56</v>
      </c>
      <c r="K3692" s="6" t="n">
        <v>1406.599298</v>
      </c>
      <c r="L3692" s="6">
        <f>I3692*K3692</f>
        <v/>
      </c>
      <c r="M3692" s="6">
        <f>K3692*4</f>
        <v/>
      </c>
      <c r="N3692" s="6" t="n">
        <v>5940</v>
      </c>
    </row>
    <row r="3693">
      <c r="A3693" s="1" t="inlineStr">
        <is>
          <t>6701d27d41def</t>
        </is>
      </c>
      <c r="B3693" s="1" t="inlineStr">
        <is>
          <t>BOLSO GC NUDE</t>
        </is>
      </c>
      <c r="C3693" s="1" t="inlineStr">
        <is>
          <t>14.5cm de alto x 25.2cm de largo x 6.7cm de ancho</t>
        </is>
      </c>
      <c r="D3693" s="1" t="inlineStr">
        <is>
          <t>19/03/2026</t>
        </is>
      </c>
      <c r="E3693" s="1" t="n">
        <v>2026</v>
      </c>
      <c r="F3693" s="1" t="inlineStr">
        <is>
          <t>MARZO</t>
        </is>
      </c>
      <c r="G3693" s="1" t="inlineStr">
        <is>
          <t>ZOEY</t>
        </is>
      </c>
      <c r="H3693" s="1" t="inlineStr">
        <is>
          <t>ZOEY 19/03/2026</t>
        </is>
      </c>
      <c r="I3693" s="4" t="n">
        <v>2</v>
      </c>
      <c r="J3693" s="6" t="n">
        <v>56</v>
      </c>
      <c r="K3693" s="6" t="n">
        <v>1443.794778</v>
      </c>
      <c r="L3693" s="6">
        <f>I3693*K3693</f>
        <v/>
      </c>
      <c r="M3693" s="6">
        <f>K3693*4</f>
        <v/>
      </c>
      <c r="N3693" s="6" t="n">
        <v>5775</v>
      </c>
    </row>
    <row r="3694">
      <c r="A3694" s="1" t="inlineStr">
        <is>
          <t>6701d27d41def</t>
        </is>
      </c>
      <c r="B3694" s="1" t="inlineStr">
        <is>
          <t>BOLSO GC NUDE</t>
        </is>
      </c>
      <c r="C3694" s="1" t="inlineStr">
        <is>
          <t>14.5cm de alto x 25.2cm de largo x 6.7cm de ancho</t>
        </is>
      </c>
      <c r="D3694" s="1" t="inlineStr">
        <is>
          <t>15/05/2026</t>
        </is>
      </c>
      <c r="E3694" s="1" t="n">
        <v>2026</v>
      </c>
      <c r="F3694" s="1" t="inlineStr">
        <is>
          <t>MAYO</t>
        </is>
      </c>
      <c r="G3694" s="1" t="inlineStr">
        <is>
          <t>ZOEY</t>
        </is>
      </c>
      <c r="H3694" s="1" t="inlineStr">
        <is>
          <t>ZOEY 15/05/2026</t>
        </is>
      </c>
      <c r="I3694" s="4" t="n">
        <v>5</v>
      </c>
      <c r="J3694" s="6" t="n">
        <v>56</v>
      </c>
      <c r="K3694" s="6" t="n">
        <v>1484.258971</v>
      </c>
      <c r="L3694" s="6">
        <f>I3694*K3694</f>
        <v/>
      </c>
      <c r="M3694" s="6">
        <f>K3694*4</f>
        <v/>
      </c>
      <c r="N3694" s="6" t="n">
        <v>5940</v>
      </c>
    </row>
    <row r="3695">
      <c r="A3695" s="1" t="inlineStr">
        <is>
          <t>67201531075373</t>
        </is>
      </c>
      <c r="B3695" s="1" t="inlineStr">
        <is>
          <t>PULSERA LUCKY GOLD CD</t>
        </is>
      </c>
      <c r="C3695" s="1" t="inlineStr">
        <is>
          <t>Default Title</t>
        </is>
      </c>
      <c r="D3695" s="1" t="inlineStr">
        <is>
          <t>11/11/2025</t>
        </is>
      </c>
      <c r="E3695" s="1" t="n">
        <v>2025</v>
      </c>
      <c r="F3695" s="1" t="inlineStr">
        <is>
          <t>NOVIEMBRE</t>
        </is>
      </c>
      <c r="G3695" s="1" t="inlineStr">
        <is>
          <t>HAIFENG</t>
        </is>
      </c>
      <c r="H3695" s="1" t="inlineStr">
        <is>
          <t>HAIFENG 11/11/2025</t>
        </is>
      </c>
      <c r="I3695" s="4" t="n">
        <v>6</v>
      </c>
      <c r="J3695" s="6" t="n">
        <v>6</v>
      </c>
      <c r="K3695" s="6" t="n">
        <v>126.3629907</v>
      </c>
      <c r="L3695" s="6">
        <f>I3695*K3695</f>
        <v/>
      </c>
      <c r="M3695" s="6">
        <f>K3695*4</f>
        <v/>
      </c>
      <c r="N3695" s="6" t="n">
        <v>499</v>
      </c>
    </row>
    <row r="3696">
      <c r="A3696" s="1" t="inlineStr">
        <is>
          <t>67201531075373</t>
        </is>
      </c>
      <c r="B3696" s="1" t="inlineStr">
        <is>
          <t>PULSERA LUCKY GOLD CD</t>
        </is>
      </c>
      <c r="C3696" s="1" t="inlineStr">
        <is>
          <t>Default Title</t>
        </is>
      </c>
      <c r="D3696" s="1" t="inlineStr">
        <is>
          <t>03/12/2025</t>
        </is>
      </c>
      <c r="E3696" s="1" t="n">
        <v>2025</v>
      </c>
      <c r="F3696" s="1" t="inlineStr">
        <is>
          <t>DICIEMBRE</t>
        </is>
      </c>
      <c r="G3696" s="1" t="inlineStr">
        <is>
          <t>HAIFENG</t>
        </is>
      </c>
      <c r="H3696" s="1" t="inlineStr">
        <is>
          <t>HAIFENG 03/12/2025</t>
        </is>
      </c>
      <c r="I3696" s="4" t="n">
        <v>5</v>
      </c>
      <c r="J3696" s="6" t="n">
        <v>6</v>
      </c>
      <c r="K3696" s="6" t="n">
        <v>125.5029601</v>
      </c>
      <c r="L3696" s="6">
        <f>I3696*K3696</f>
        <v/>
      </c>
      <c r="M3696" s="6">
        <f>K3696*4</f>
        <v/>
      </c>
      <c r="N3696" s="6" t="n">
        <v>499</v>
      </c>
    </row>
    <row r="3697">
      <c r="A3697" s="1" t="inlineStr">
        <is>
          <t>67201531075373</t>
        </is>
      </c>
      <c r="B3697" s="1" t="inlineStr">
        <is>
          <t>PULSERA LUCKY GOLD CD</t>
        </is>
      </c>
      <c r="C3697" s="1" t="inlineStr">
        <is>
          <t>HIGH QUALITY</t>
        </is>
      </c>
      <c r="D3697" s="1" t="inlineStr">
        <is>
          <t>26/05/2026</t>
        </is>
      </c>
      <c r="E3697" s="1" t="n">
        <v>2026</v>
      </c>
      <c r="F3697" s="1" t="inlineStr">
        <is>
          <t>MAYO</t>
        </is>
      </c>
      <c r="G3697" s="1" t="inlineStr">
        <is>
          <t>HAIFENG</t>
        </is>
      </c>
      <c r="H3697" s="1" t="inlineStr">
        <is>
          <t>HAIFENG 26/05/2026</t>
        </is>
      </c>
      <c r="I3697" s="4" t="n">
        <v>3</v>
      </c>
      <c r="J3697" s="6" t="n">
        <v>6</v>
      </c>
      <c r="K3697" s="6" t="n">
        <v>125.9357718</v>
      </c>
      <c r="L3697" s="6">
        <f>I3697*K3697</f>
        <v/>
      </c>
      <c r="M3697" s="6">
        <f>K3697*4</f>
        <v/>
      </c>
      <c r="N3697" s="6" t="n">
        <v>499</v>
      </c>
    </row>
    <row r="3698">
      <c r="A3698" s="1" t="inlineStr">
        <is>
          <t>67201531075373</t>
        </is>
      </c>
      <c r="B3698" s="1" t="inlineStr">
        <is>
          <t>PULSERA LUCKY GOLD CD</t>
        </is>
      </c>
      <c r="C3698" s="1" t="inlineStr">
        <is>
          <t>HIGH QUALITY</t>
        </is>
      </c>
      <c r="D3698" s="1" t="inlineStr">
        <is>
          <t>16/06/2026</t>
        </is>
      </c>
      <c r="E3698" s="1" t="n">
        <v>2026</v>
      </c>
      <c r="F3698" s="1" t="inlineStr">
        <is>
          <t>JUNIO</t>
        </is>
      </c>
      <c r="G3698" s="1" t="inlineStr">
        <is>
          <t>HAIFENG</t>
        </is>
      </c>
      <c r="H3698" s="1" t="inlineStr">
        <is>
          <t>HAIFENG 16/06/2026</t>
        </is>
      </c>
      <c r="I3698" s="4" t="n">
        <v>2</v>
      </c>
      <c r="J3698" s="6" t="n">
        <v>6</v>
      </c>
      <c r="K3698" s="6" t="n">
        <v>126.0876388</v>
      </c>
      <c r="L3698" s="6">
        <f>I3698*K3698</f>
        <v/>
      </c>
      <c r="M3698" s="6">
        <f>K3698*4</f>
        <v/>
      </c>
      <c r="N3698" s="6" t="n">
        <v>499</v>
      </c>
    </row>
    <row r="3699">
      <c r="A3699" s="1" t="inlineStr">
        <is>
          <t>67201531170029</t>
        </is>
      </c>
      <c r="B3699" s="1" t="inlineStr">
        <is>
          <t>ARETES LOGO CD CON ZIRCONIA</t>
        </is>
      </c>
      <c r="C3699" s="1" t="inlineStr">
        <is>
          <t>Default Title</t>
        </is>
      </c>
      <c r="D3699" s="1" t="inlineStr">
        <is>
          <t>01/09/2025</t>
        </is>
      </c>
      <c r="E3699" s="1" t="n">
        <v>2025</v>
      </c>
      <c r="F3699" s="1" t="inlineStr">
        <is>
          <t>SEPTIEMBRE</t>
        </is>
      </c>
      <c r="G3699" s="1" t="inlineStr">
        <is>
          <t>HAIFENG</t>
        </is>
      </c>
      <c r="H3699" s="1" t="inlineStr">
        <is>
          <t>HAIFENG 01/09/2025</t>
        </is>
      </c>
      <c r="I3699" s="4" t="n">
        <v>3</v>
      </c>
      <c r="J3699" s="6" t="n">
        <v>5.9</v>
      </c>
      <c r="K3699" s="6" t="n">
        <v>125.4084593</v>
      </c>
      <c r="L3699" s="6">
        <f>I3699*K3699</f>
        <v/>
      </c>
      <c r="M3699" s="6">
        <f>K3699*4</f>
        <v/>
      </c>
      <c r="N3699" s="6" t="n">
        <v>487</v>
      </c>
    </row>
    <row r="3700">
      <c r="A3700" s="1" t="inlineStr">
        <is>
          <t>67201531170029</t>
        </is>
      </c>
      <c r="B3700" s="1" t="inlineStr">
        <is>
          <t>ARETES LOGO CD CON ZIRCONIA</t>
        </is>
      </c>
      <c r="C3700" s="1" t="inlineStr">
        <is>
          <t>Default Title</t>
        </is>
      </c>
      <c r="D3700" s="1" t="inlineStr">
        <is>
          <t>03/12/2025</t>
        </is>
      </c>
      <c r="E3700" s="1" t="n">
        <v>2025</v>
      </c>
      <c r="F3700" s="1" t="inlineStr">
        <is>
          <t>DICIEMBRE</t>
        </is>
      </c>
      <c r="G3700" s="1" t="inlineStr">
        <is>
          <t>HAIFENG</t>
        </is>
      </c>
      <c r="H3700" s="1" t="inlineStr">
        <is>
          <t>HAIFENG 03/12/2025</t>
        </is>
      </c>
      <c r="I3700" s="4" t="n">
        <v>8</v>
      </c>
      <c r="J3700" s="6" t="n">
        <v>5.9</v>
      </c>
      <c r="K3700" s="6" t="n">
        <v>123.4112441</v>
      </c>
      <c r="L3700" s="6">
        <f>I3700*K3700</f>
        <v/>
      </c>
      <c r="M3700" s="6">
        <f>K3700*4</f>
        <v/>
      </c>
      <c r="N3700" s="6" t="n">
        <v>487</v>
      </c>
    </row>
    <row r="3701">
      <c r="A3701" s="1" t="inlineStr">
        <is>
          <t>67201531170029</t>
        </is>
      </c>
      <c r="B3701" s="1" t="inlineStr">
        <is>
          <t>ARETES CD LOGO CON ZIRCONIA</t>
        </is>
      </c>
      <c r="C3701" s="1" t="inlineStr">
        <is>
          <t>Default Title</t>
        </is>
      </c>
      <c r="D3701" s="1" t="inlineStr">
        <is>
          <t>16/04/2026</t>
        </is>
      </c>
      <c r="E3701" s="1" t="n">
        <v>2026</v>
      </c>
      <c r="F3701" s="1" t="inlineStr">
        <is>
          <t>ABRIL</t>
        </is>
      </c>
      <c r="G3701" s="1" t="inlineStr">
        <is>
          <t>HAIFENG</t>
        </is>
      </c>
      <c r="H3701" s="1" t="inlineStr">
        <is>
          <t>HAIFENG 16/04/2026</t>
        </is>
      </c>
      <c r="I3701" s="4" t="n">
        <v>9</v>
      </c>
      <c r="J3701" s="6" t="n">
        <v>5.9</v>
      </c>
      <c r="K3701" s="6" t="n">
        <v>124.0856942</v>
      </c>
      <c r="L3701" s="6">
        <f>I3701*K3701</f>
        <v/>
      </c>
      <c r="M3701" s="6">
        <f>K3701*4</f>
        <v/>
      </c>
      <c r="N3701" s="6" t="n">
        <v>487</v>
      </c>
    </row>
    <row r="3702">
      <c r="A3702" s="1" t="inlineStr">
        <is>
          <t>67201531268621</t>
        </is>
      </c>
      <c r="B3702" s="1" t="inlineStr">
        <is>
          <t>LENTES EYEWEAR BROWN MM</t>
        </is>
      </c>
      <c r="C3702" s="1" t="inlineStr">
        <is>
          <t>Default Title</t>
        </is>
      </c>
      <c r="D3702" s="1" t="inlineStr">
        <is>
          <t>11/11/2025</t>
        </is>
      </c>
      <c r="E3702" s="1" t="n">
        <v>2025</v>
      </c>
      <c r="F3702" s="1" t="inlineStr">
        <is>
          <t>NOVIEMBRE</t>
        </is>
      </c>
      <c r="G3702" s="1" t="inlineStr">
        <is>
          <t>HAIFENG</t>
        </is>
      </c>
      <c r="H3702" s="1" t="inlineStr">
        <is>
          <t>HAIFENG 11/11/2025</t>
        </is>
      </c>
      <c r="I3702" s="4" t="n">
        <v>3</v>
      </c>
      <c r="J3702" s="6" t="n">
        <v>42</v>
      </c>
      <c r="K3702" s="6" t="n">
        <v>884.5409346</v>
      </c>
      <c r="L3702" s="6">
        <f>I3702*K3702</f>
        <v/>
      </c>
      <c r="M3702" s="6">
        <f>K3702*4</f>
        <v/>
      </c>
      <c r="N3702" s="6" t="n">
        <v>3499</v>
      </c>
    </row>
    <row r="3703">
      <c r="A3703" s="1" t="inlineStr">
        <is>
          <t>67201531268621</t>
        </is>
      </c>
      <c r="B3703" s="1" t="inlineStr">
        <is>
          <t>LENTES EYEWEAR BROWN MM</t>
        </is>
      </c>
      <c r="C3703" s="1" t="inlineStr">
        <is>
          <t>Default Title</t>
        </is>
      </c>
      <c r="D3703" s="1" t="inlineStr">
        <is>
          <t>03/12/2025</t>
        </is>
      </c>
      <c r="E3703" s="1" t="n">
        <v>2025</v>
      </c>
      <c r="F3703" s="1" t="inlineStr">
        <is>
          <t>DICIEMBRE</t>
        </is>
      </c>
      <c r="G3703" s="1" t="inlineStr">
        <is>
          <t>HAIFENG</t>
        </is>
      </c>
      <c r="H3703" s="1" t="inlineStr">
        <is>
          <t>HAIFENG 03/12/2025</t>
        </is>
      </c>
      <c r="I3703" s="4" t="n">
        <v>3</v>
      </c>
      <c r="J3703" s="6" t="n">
        <v>42</v>
      </c>
      <c r="K3703" s="6" t="n">
        <v>878.5207205</v>
      </c>
      <c r="L3703" s="6">
        <f>I3703*K3703</f>
        <v/>
      </c>
      <c r="M3703" s="6">
        <f>K3703*4</f>
        <v/>
      </c>
      <c r="N3703" s="6" t="n">
        <v>3499</v>
      </c>
    </row>
    <row r="3704">
      <c r="A3704" s="1" t="inlineStr">
        <is>
          <t>67201531268621</t>
        </is>
      </c>
      <c r="B3704" s="1" t="inlineStr">
        <is>
          <t>LENTES EYEWEAR BROWN MM</t>
        </is>
      </c>
      <c r="C3704" s="1" t="inlineStr">
        <is>
          <t>Default Title</t>
        </is>
      </c>
      <c r="D3704" s="1" t="inlineStr">
        <is>
          <t>10/02/2026</t>
        </is>
      </c>
      <c r="E3704" s="1" t="n">
        <v>2026</v>
      </c>
      <c r="F3704" s="1" t="inlineStr">
        <is>
          <t>FEBRERO</t>
        </is>
      </c>
      <c r="G3704" s="1" t="inlineStr">
        <is>
          <t>HAIFENG</t>
        </is>
      </c>
      <c r="H3704" s="1" t="inlineStr">
        <is>
          <t>HAIFENG 10/02/2026</t>
        </is>
      </c>
      <c r="I3704" s="4" t="n">
        <v>2</v>
      </c>
      <c r="J3704" s="6" t="n">
        <v>42</v>
      </c>
      <c r="K3704" s="6" t="n">
        <v>884.8768348</v>
      </c>
      <c r="L3704" s="6">
        <f>I3704*K3704</f>
        <v/>
      </c>
      <c r="M3704" s="6">
        <f>K3704*4</f>
        <v/>
      </c>
      <c r="N3704" s="6" t="n">
        <v>3499</v>
      </c>
    </row>
    <row r="3705">
      <c r="A3705" s="1" t="inlineStr">
        <is>
          <t>67201531268621</t>
        </is>
      </c>
      <c r="B3705" s="1" t="inlineStr">
        <is>
          <t>LENTES EYEWEAR BROWN MM</t>
        </is>
      </c>
      <c r="C3705" s="1" t="inlineStr">
        <is>
          <t>Default Title</t>
        </is>
      </c>
      <c r="D3705" s="1" t="inlineStr">
        <is>
          <t>26/05/2026</t>
        </is>
      </c>
      <c r="E3705" s="1" t="n">
        <v>2026</v>
      </c>
      <c r="F3705" s="1" t="inlineStr">
        <is>
          <t>MAYO</t>
        </is>
      </c>
      <c r="G3705" s="1" t="inlineStr">
        <is>
          <t>HAIFENG</t>
        </is>
      </c>
      <c r="H3705" s="1" t="inlineStr">
        <is>
          <t>HAIFENG 26/05/2026</t>
        </is>
      </c>
      <c r="I3705" s="4" t="n">
        <v>2</v>
      </c>
      <c r="J3705" s="6" t="n">
        <v>42</v>
      </c>
      <c r="K3705" s="6" t="n">
        <v>881.5504024000001</v>
      </c>
      <c r="L3705" s="6">
        <f>I3705*K3705</f>
        <v/>
      </c>
      <c r="M3705" s="6">
        <f>K3705*4</f>
        <v/>
      </c>
      <c r="N3705" s="6" t="n">
        <v>3499</v>
      </c>
    </row>
    <row r="3706">
      <c r="A3706" s="1" t="inlineStr">
        <is>
          <t>67201531386477</t>
        </is>
      </c>
      <c r="B3706" s="1" t="inlineStr">
        <is>
          <t>LENTES GOLD BLACK GC</t>
        </is>
      </c>
      <c r="C3706" s="1" t="inlineStr">
        <is>
          <t>Default Title</t>
        </is>
      </c>
      <c r="D3706" s="1" t="inlineStr">
        <is>
          <t>03/12/2025</t>
        </is>
      </c>
      <c r="E3706" s="1" t="n">
        <v>2025</v>
      </c>
      <c r="F3706" s="1" t="inlineStr">
        <is>
          <t>DICIEMBRE</t>
        </is>
      </c>
      <c r="G3706" s="1" t="inlineStr">
        <is>
          <t>HAIFENG</t>
        </is>
      </c>
      <c r="H3706" s="1" t="inlineStr">
        <is>
          <t>HAIFENG 03/12/2025</t>
        </is>
      </c>
      <c r="I3706" s="4" t="n">
        <v>2</v>
      </c>
      <c r="J3706" s="6" t="n">
        <v>35</v>
      </c>
      <c r="K3706" s="6" t="n">
        <v>732.1006004</v>
      </c>
      <c r="L3706" s="6">
        <f>I3706*K3706</f>
        <v/>
      </c>
      <c r="M3706" s="6">
        <f>K3706*4</f>
        <v/>
      </c>
      <c r="N3706" s="6" t="n">
        <v>2884</v>
      </c>
    </row>
    <row r="3707">
      <c r="A3707" s="1" t="inlineStr">
        <is>
          <t>67201531386477</t>
        </is>
      </c>
      <c r="B3707" s="1" t="inlineStr">
        <is>
          <t>LENTES GOLD BLACK GC</t>
        </is>
      </c>
      <c r="C3707" s="1" t="inlineStr">
        <is>
          <t>Default Title</t>
        </is>
      </c>
      <c r="D3707" s="1" t="inlineStr">
        <is>
          <t>10/02/2026</t>
        </is>
      </c>
      <c r="E3707" s="1" t="n">
        <v>2026</v>
      </c>
      <c r="F3707" s="1" t="inlineStr">
        <is>
          <t>FEBRERO</t>
        </is>
      </c>
      <c r="G3707" s="1" t="inlineStr">
        <is>
          <t>HAIFENG</t>
        </is>
      </c>
      <c r="H3707" s="1" t="inlineStr">
        <is>
          <t>HAIFENG 10/02/2026</t>
        </is>
      </c>
      <c r="I3707" s="4" t="n">
        <v>1</v>
      </c>
      <c r="J3707" s="6" t="n">
        <v>35</v>
      </c>
      <c r="K3707" s="6" t="n">
        <v>737.3973623000001</v>
      </c>
      <c r="L3707" s="6">
        <f>I3707*K3707</f>
        <v/>
      </c>
      <c r="M3707" s="6">
        <f>K3707*4</f>
        <v/>
      </c>
      <c r="N3707" s="6" t="n">
        <v>2884</v>
      </c>
    </row>
    <row r="3708">
      <c r="A3708" s="1" t="inlineStr">
        <is>
          <t>67201531386477</t>
        </is>
      </c>
      <c r="B3708" s="1" t="inlineStr">
        <is>
          <t>LENTES GOLD BLACK GC</t>
        </is>
      </c>
      <c r="C3708" s="1" t="inlineStr">
        <is>
          <t>Default Title</t>
        </is>
      </c>
      <c r="D3708" s="1" t="inlineStr">
        <is>
          <t>16/04/2026</t>
        </is>
      </c>
      <c r="E3708" s="1" t="n">
        <v>2026</v>
      </c>
      <c r="F3708" s="1" t="inlineStr">
        <is>
          <t>ABRIL</t>
        </is>
      </c>
      <c r="G3708" s="1" t="inlineStr">
        <is>
          <t>HAIFENG</t>
        </is>
      </c>
      <c r="H3708" s="1" t="inlineStr">
        <is>
          <t>HAIFENG 16/04/2026</t>
        </is>
      </c>
      <c r="I3708" s="4" t="n">
        <v>1</v>
      </c>
      <c r="J3708" s="6" t="n">
        <v>35</v>
      </c>
      <c r="K3708" s="6" t="n">
        <v>736.1015756</v>
      </c>
      <c r="L3708" s="6">
        <f>I3708*K3708</f>
        <v/>
      </c>
      <c r="M3708" s="6">
        <f>K3708*4</f>
        <v/>
      </c>
      <c r="N3708" s="6" t="n">
        <v>2884</v>
      </c>
    </row>
    <row r="3709">
      <c r="A3709" s="1" t="inlineStr">
        <is>
          <t>67201531422989</t>
        </is>
      </c>
      <c r="B3709" s="1" t="inlineStr">
        <is>
          <t>LENTES TRIOMPHE C BROWN</t>
        </is>
      </c>
      <c r="C3709" s="1" t="inlineStr">
        <is>
          <t>Brown</t>
        </is>
      </c>
      <c r="D3709" s="1" t="inlineStr">
        <is>
          <t>03/12/2025</t>
        </is>
      </c>
      <c r="E3709" s="1" t="n">
        <v>2025</v>
      </c>
      <c r="F3709" s="1" t="inlineStr">
        <is>
          <t>DICIEMBRE</t>
        </is>
      </c>
      <c r="G3709" s="1" t="inlineStr">
        <is>
          <t>HAIFENG</t>
        </is>
      </c>
      <c r="H3709" s="1" t="inlineStr">
        <is>
          <t>HAIFENG 03/12/2025</t>
        </is>
      </c>
      <c r="I3709" s="4" t="n">
        <v>2</v>
      </c>
      <c r="J3709" s="6" t="n">
        <v>32</v>
      </c>
      <c r="K3709" s="6" t="n">
        <v>669.3491203999999</v>
      </c>
      <c r="L3709" s="6">
        <f>I3709*K3709</f>
        <v/>
      </c>
      <c r="M3709" s="6">
        <f>K3709*4</f>
        <v/>
      </c>
      <c r="N3709" s="6" t="n">
        <v>2699</v>
      </c>
    </row>
    <row r="3710">
      <c r="A3710" s="1" t="inlineStr">
        <is>
          <t>67201531422989</t>
        </is>
      </c>
      <c r="B3710" s="1" t="inlineStr">
        <is>
          <t>LENTES TRIOMPHE C BROWN</t>
        </is>
      </c>
      <c r="C3710" s="1" t="inlineStr">
        <is>
          <t>Brown</t>
        </is>
      </c>
      <c r="D3710" s="1" t="inlineStr">
        <is>
          <t>26/05/2026</t>
        </is>
      </c>
      <c r="E3710" s="1" t="n">
        <v>2026</v>
      </c>
      <c r="F3710" s="1" t="inlineStr">
        <is>
          <t>MAYO</t>
        </is>
      </c>
      <c r="G3710" s="1" t="inlineStr">
        <is>
          <t>HAIFENG</t>
        </is>
      </c>
      <c r="H3710" s="1" t="inlineStr">
        <is>
          <t>HAIFENG 26/05/2026</t>
        </is>
      </c>
      <c r="I3710" s="4" t="n">
        <v>2</v>
      </c>
      <c r="J3710" s="6" t="n">
        <v>32</v>
      </c>
      <c r="K3710" s="6" t="n">
        <v>671.6574495</v>
      </c>
      <c r="L3710" s="6">
        <f>I3710*K3710</f>
        <v/>
      </c>
      <c r="M3710" s="6">
        <f>K3710*4</f>
        <v/>
      </c>
      <c r="N3710" s="6" t="n">
        <v>2699</v>
      </c>
    </row>
    <row r="3711">
      <c r="A3711" s="1" t="inlineStr">
        <is>
          <t>67201531515469</t>
        </is>
      </c>
      <c r="B3711" s="1" t="inlineStr">
        <is>
          <t>ARETES LOGO H SILVER</t>
        </is>
      </c>
      <c r="C3711" s="1" t="inlineStr">
        <is>
          <t>Default Title</t>
        </is>
      </c>
      <c r="D3711" s="1" t="inlineStr">
        <is>
          <t>01/09/2025</t>
        </is>
      </c>
      <c r="E3711" s="1" t="n">
        <v>2025</v>
      </c>
      <c r="F3711" s="1" t="inlineStr">
        <is>
          <t>SEPTIEMBRE</t>
        </is>
      </c>
      <c r="G3711" s="1" t="inlineStr">
        <is>
          <t>HAIFENG</t>
        </is>
      </c>
      <c r="H3711" s="1" t="inlineStr">
        <is>
          <t>HAIFENG 01/09/2025</t>
        </is>
      </c>
      <c r="I3711" s="4" t="n">
        <v>2</v>
      </c>
      <c r="J3711" s="6" t="n">
        <v>5</v>
      </c>
      <c r="K3711" s="6" t="n">
        <v>106.2783553</v>
      </c>
      <c r="L3711" s="6">
        <f>I3711*K3711</f>
        <v/>
      </c>
      <c r="M3711" s="6">
        <f>K3711*4</f>
        <v/>
      </c>
      <c r="N3711" s="6" t="n">
        <v>480</v>
      </c>
    </row>
    <row r="3712">
      <c r="A3712" s="1" t="inlineStr">
        <is>
          <t>67201531515469</t>
        </is>
      </c>
      <c r="B3712" s="1" t="inlineStr">
        <is>
          <t>ARETES LOGO H SILVER</t>
        </is>
      </c>
      <c r="C3712" s="1" t="inlineStr">
        <is>
          <t>Default Title</t>
        </is>
      </c>
      <c r="D3712" s="1" t="inlineStr">
        <is>
          <t>03/12/2025</t>
        </is>
      </c>
      <c r="E3712" s="1" t="n">
        <v>2025</v>
      </c>
      <c r="F3712" s="1" t="inlineStr">
        <is>
          <t>DICIEMBRE</t>
        </is>
      </c>
      <c r="G3712" s="1" t="inlineStr">
        <is>
          <t>HAIFENG</t>
        </is>
      </c>
      <c r="H3712" s="1" t="inlineStr">
        <is>
          <t>HAIFENG 03/12/2025</t>
        </is>
      </c>
      <c r="I3712" s="4" t="n">
        <v>2</v>
      </c>
      <c r="J3712" s="6" t="n">
        <v>5</v>
      </c>
      <c r="K3712" s="6" t="n">
        <v>104.5858001</v>
      </c>
      <c r="L3712" s="6">
        <f>I3712*K3712</f>
        <v/>
      </c>
      <c r="M3712" s="6">
        <f>K3712*4</f>
        <v/>
      </c>
      <c r="N3712" s="6" t="n">
        <v>480</v>
      </c>
    </row>
    <row r="3713">
      <c r="A3713" s="1" t="inlineStr">
        <is>
          <t>67201531515469</t>
        </is>
      </c>
      <c r="B3713" s="1" t="inlineStr">
        <is>
          <t>ARETES LOGO H SILVER</t>
        </is>
      </c>
      <c r="C3713" s="1" t="inlineStr">
        <is>
          <t>Default Title</t>
        </is>
      </c>
      <c r="D3713" s="1" t="inlineStr">
        <is>
          <t>11/03/2026</t>
        </is>
      </c>
      <c r="E3713" s="1" t="n">
        <v>2026</v>
      </c>
      <c r="F3713" s="1" t="inlineStr">
        <is>
          <t>MARZO</t>
        </is>
      </c>
      <c r="G3713" s="1" t="inlineStr">
        <is>
          <t>HAIFENG</t>
        </is>
      </c>
      <c r="H3713" s="1" t="inlineStr">
        <is>
          <t>HAIFENG 11/03/2026</t>
        </is>
      </c>
      <c r="I3713" s="4" t="n">
        <v>2</v>
      </c>
      <c r="J3713" s="6" t="n">
        <v>5</v>
      </c>
      <c r="K3713" s="6" t="n">
        <v>106.5194811</v>
      </c>
      <c r="L3713" s="6">
        <f>I3713*K3713</f>
        <v/>
      </c>
      <c r="M3713" s="6">
        <f>K3713*4</f>
        <v/>
      </c>
      <c r="N3713" s="6" t="n">
        <v>480</v>
      </c>
    </row>
    <row r="3714">
      <c r="A3714" s="1" t="inlineStr">
        <is>
          <t>67201531685421</t>
        </is>
      </c>
      <c r="B3714" s="1" t="inlineStr">
        <is>
          <t>ARETES LOGO H GOLD</t>
        </is>
      </c>
      <c r="C3714" s="1" t="inlineStr">
        <is>
          <t>Default Title</t>
        </is>
      </c>
      <c r="D3714" s="1" t="inlineStr">
        <is>
          <t>01/09/2025</t>
        </is>
      </c>
      <c r="E3714" s="1" t="n">
        <v>2025</v>
      </c>
      <c r="F3714" s="1" t="inlineStr">
        <is>
          <t>SEPTIEMBRE</t>
        </is>
      </c>
      <c r="G3714" s="1" t="inlineStr">
        <is>
          <t>HAIFENG</t>
        </is>
      </c>
      <c r="H3714" s="1" t="inlineStr">
        <is>
          <t>HAIFENG 01/09/2025</t>
        </is>
      </c>
      <c r="I3714" s="4" t="n">
        <v>2</v>
      </c>
      <c r="J3714" s="6" t="n">
        <v>5</v>
      </c>
      <c r="K3714" s="6" t="n">
        <v>106.2783553</v>
      </c>
      <c r="L3714" s="6">
        <f>I3714*K3714</f>
        <v/>
      </c>
      <c r="M3714" s="6">
        <f>K3714*4</f>
        <v/>
      </c>
      <c r="N3714" s="6" t="n">
        <v>480</v>
      </c>
    </row>
    <row r="3715">
      <c r="A3715" s="1" t="inlineStr">
        <is>
          <t>67201531685421</t>
        </is>
      </c>
      <c r="B3715" s="1" t="inlineStr">
        <is>
          <t>ARETES LOGO H GOLD</t>
        </is>
      </c>
      <c r="C3715" s="1" t="inlineStr">
        <is>
          <t>Default Title</t>
        </is>
      </c>
      <c r="D3715" s="1" t="inlineStr">
        <is>
          <t>11/11/2025</t>
        </is>
      </c>
      <c r="E3715" s="1" t="n">
        <v>2025</v>
      </c>
      <c r="F3715" s="1" t="inlineStr">
        <is>
          <t>NOVIEMBRE</t>
        </is>
      </c>
      <c r="G3715" s="1" t="inlineStr">
        <is>
          <t>HAIFENG</t>
        </is>
      </c>
      <c r="H3715" s="1" t="inlineStr">
        <is>
          <t>HAIFENG 11/11/2025</t>
        </is>
      </c>
      <c r="I3715" s="4" t="n">
        <v>1</v>
      </c>
      <c r="J3715" s="6" t="n">
        <v>5</v>
      </c>
      <c r="K3715" s="6" t="n">
        <v>105.3024922</v>
      </c>
      <c r="L3715" s="6">
        <f>I3715*K3715</f>
        <v/>
      </c>
      <c r="M3715" s="6">
        <f>K3715*4</f>
        <v/>
      </c>
      <c r="N3715" s="6" t="n">
        <v>480</v>
      </c>
    </row>
    <row r="3716">
      <c r="A3716" s="1" t="inlineStr">
        <is>
          <t>67201531685421</t>
        </is>
      </c>
      <c r="B3716" s="1" t="inlineStr">
        <is>
          <t>ARETES LOGO H GOLD</t>
        </is>
      </c>
      <c r="C3716" s="1" t="inlineStr">
        <is>
          <t>Default Title</t>
        </is>
      </c>
      <c r="D3716" s="1" t="inlineStr">
        <is>
          <t>03/12/2025</t>
        </is>
      </c>
      <c r="E3716" s="1" t="n">
        <v>2025</v>
      </c>
      <c r="F3716" s="1" t="inlineStr">
        <is>
          <t>DICIEMBRE</t>
        </is>
      </c>
      <c r="G3716" s="1" t="inlineStr">
        <is>
          <t>HAIFENG</t>
        </is>
      </c>
      <c r="H3716" s="1" t="inlineStr">
        <is>
          <t>HAIFENG 03/12/2025</t>
        </is>
      </c>
      <c r="I3716" s="4" t="n">
        <v>4</v>
      </c>
      <c r="J3716" s="6" t="n">
        <v>5</v>
      </c>
      <c r="K3716" s="6" t="n">
        <v>104.5858001</v>
      </c>
      <c r="L3716" s="6">
        <f>I3716*K3716</f>
        <v/>
      </c>
      <c r="M3716" s="6">
        <f>K3716*4</f>
        <v/>
      </c>
      <c r="N3716" s="6" t="n">
        <v>480</v>
      </c>
    </row>
    <row r="3717">
      <c r="A3717" s="1" t="inlineStr">
        <is>
          <t>67201531685421</t>
        </is>
      </c>
      <c r="B3717" s="1" t="inlineStr">
        <is>
          <t>ARETES LOGO H GOLD</t>
        </is>
      </c>
      <c r="C3717" s="1" t="inlineStr">
        <is>
          <t>Default Title</t>
        </is>
      </c>
      <c r="D3717" s="1" t="inlineStr">
        <is>
          <t>06/05/2026</t>
        </is>
      </c>
      <c r="E3717" s="1" t="n">
        <v>2026</v>
      </c>
      <c r="F3717" s="1" t="inlineStr">
        <is>
          <t>MAYO</t>
        </is>
      </c>
      <c r="G3717" s="1" t="inlineStr">
        <is>
          <t>HAIFENG</t>
        </is>
      </c>
      <c r="H3717" s="1" t="inlineStr">
        <is>
          <t>HAIFENG 06/05/2026</t>
        </is>
      </c>
      <c r="I3717" s="4" t="n">
        <v>2</v>
      </c>
      <c r="J3717" s="6" t="n">
        <v>5</v>
      </c>
      <c r="K3717" s="6" t="n">
        <v>106.0932113</v>
      </c>
      <c r="L3717" s="6">
        <f>I3717*K3717</f>
        <v/>
      </c>
      <c r="M3717" s="6">
        <f>K3717*4</f>
        <v/>
      </c>
      <c r="N3717" s="6" t="n">
        <v>480</v>
      </c>
    </row>
    <row r="3718">
      <c r="A3718" s="1" t="inlineStr">
        <is>
          <t>67201531685421</t>
        </is>
      </c>
      <c r="B3718" s="1" t="inlineStr">
        <is>
          <t>ARETES LOGO H GOLD</t>
        </is>
      </c>
      <c r="C3718" s="1" t="inlineStr">
        <is>
          <t>Default Title</t>
        </is>
      </c>
      <c r="D3718" s="1" t="inlineStr">
        <is>
          <t>16/06/2026</t>
        </is>
      </c>
      <c r="E3718" s="1" t="n">
        <v>2026</v>
      </c>
      <c r="F3718" s="1" t="inlineStr">
        <is>
          <t>JUNIO</t>
        </is>
      </c>
      <c r="G3718" s="1" t="inlineStr">
        <is>
          <t>HAIFENG</t>
        </is>
      </c>
      <c r="H3718" s="1" t="inlineStr">
        <is>
          <t>HAIFENG 16/06/2026</t>
        </is>
      </c>
      <c r="I3718" s="4" t="n">
        <v>2</v>
      </c>
      <c r="J3718" s="6" t="n">
        <v>5</v>
      </c>
      <c r="K3718" s="6" t="n">
        <v>105.0730323</v>
      </c>
      <c r="L3718" s="6">
        <f>I3718*K3718</f>
        <v/>
      </c>
      <c r="M3718" s="6">
        <f>K3718*4</f>
        <v/>
      </c>
      <c r="N3718" s="6" t="n">
        <v>480</v>
      </c>
    </row>
    <row r="3719">
      <c r="A3719" s="1" t="inlineStr">
        <is>
          <t>67201531759373</t>
        </is>
      </c>
      <c r="B3719" s="1" t="inlineStr">
        <is>
          <t>ARETES LOGO H ROSE GOLD</t>
        </is>
      </c>
      <c r="C3719" s="1" t="inlineStr">
        <is>
          <t>Default Title</t>
        </is>
      </c>
      <c r="D3719" s="1" t="inlineStr">
        <is>
          <t>01/09/2025</t>
        </is>
      </c>
      <c r="E3719" s="1" t="n">
        <v>2025</v>
      </c>
      <c r="F3719" s="1" t="inlineStr">
        <is>
          <t>SEPTIEMBRE</t>
        </is>
      </c>
      <c r="G3719" s="1" t="inlineStr">
        <is>
          <t>HAIFENG</t>
        </is>
      </c>
      <c r="H3719" s="1" t="inlineStr">
        <is>
          <t>HAIFENG 01/09/2025</t>
        </is>
      </c>
      <c r="I3719" s="4" t="n">
        <v>2</v>
      </c>
      <c r="J3719" s="6" t="n">
        <v>5</v>
      </c>
      <c r="K3719" s="6" t="n">
        <v>106.2783553</v>
      </c>
      <c r="L3719" s="6">
        <f>I3719*K3719</f>
        <v/>
      </c>
      <c r="M3719" s="6">
        <f>K3719*4</f>
        <v/>
      </c>
      <c r="N3719" s="6" t="n">
        <v>480</v>
      </c>
    </row>
    <row r="3720">
      <c r="A3720" s="1" t="inlineStr">
        <is>
          <t>67201531759373</t>
        </is>
      </c>
      <c r="B3720" s="1" t="inlineStr">
        <is>
          <t>ARETES LOGO H ROSE GOLD</t>
        </is>
      </c>
      <c r="C3720" s="1" t="inlineStr">
        <is>
          <t>Default Title</t>
        </is>
      </c>
      <c r="D3720" s="1" t="inlineStr">
        <is>
          <t>11/11/2025</t>
        </is>
      </c>
      <c r="E3720" s="1" t="n">
        <v>2025</v>
      </c>
      <c r="F3720" s="1" t="inlineStr">
        <is>
          <t>NOVIEMBRE</t>
        </is>
      </c>
      <c r="G3720" s="1" t="inlineStr">
        <is>
          <t>HAIFENG</t>
        </is>
      </c>
      <c r="H3720" s="1" t="inlineStr">
        <is>
          <t>HAIFENG 11/11/2025</t>
        </is>
      </c>
      <c r="I3720" s="4" t="n">
        <v>2</v>
      </c>
      <c r="J3720" s="6" t="n">
        <v>5</v>
      </c>
      <c r="K3720" s="6" t="n">
        <v>105.3024922</v>
      </c>
      <c r="L3720" s="6">
        <f>I3720*K3720</f>
        <v/>
      </c>
      <c r="M3720" s="6">
        <f>K3720*4</f>
        <v/>
      </c>
      <c r="N3720" s="6" t="n">
        <v>480</v>
      </c>
    </row>
    <row r="3721">
      <c r="A3721" s="1" t="inlineStr">
        <is>
          <t>67201531837869</t>
        </is>
      </c>
      <c r="B3721" s="1" t="inlineStr">
        <is>
          <t>BRAZALETE KELLY CLIC H ROSE GOLD</t>
        </is>
      </c>
      <c r="C3721" s="1" t="inlineStr">
        <is>
          <t>HIGH QUALITY</t>
        </is>
      </c>
      <c r="D3721" s="1" t="inlineStr">
        <is>
          <t>25/09/2025</t>
        </is>
      </c>
      <c r="E3721" s="1" t="n">
        <v>2025</v>
      </c>
      <c r="F3721" s="1" t="inlineStr">
        <is>
          <t>SEPTIEMBRE</t>
        </is>
      </c>
      <c r="G3721" s="1" t="inlineStr">
        <is>
          <t>HAIFENG</t>
        </is>
      </c>
      <c r="H3721" s="1" t="inlineStr">
        <is>
          <t>HAIFENG 25/09/2025</t>
        </is>
      </c>
      <c r="I3721" s="4" t="n">
        <v>2</v>
      </c>
      <c r="J3721" s="6" t="n">
        <v>10</v>
      </c>
      <c r="K3721" s="6" t="n">
        <v>210.9688577</v>
      </c>
      <c r="L3721" s="6">
        <f>I3721*K3721</f>
        <v/>
      </c>
      <c r="M3721" s="6">
        <f>K3721*4</f>
        <v/>
      </c>
      <c r="N3721" s="6" t="n">
        <v>824</v>
      </c>
    </row>
    <row r="3722">
      <c r="A3722" s="1" t="inlineStr">
        <is>
          <t>67201531837869</t>
        </is>
      </c>
      <c r="B3722" s="1" t="inlineStr">
        <is>
          <t>BRAZALETE KELLY CLIC H ROSE GOLD</t>
        </is>
      </c>
      <c r="C3722" s="1" t="inlineStr">
        <is>
          <t>Default Title</t>
        </is>
      </c>
      <c r="D3722" s="1" t="inlineStr">
        <is>
          <t>11/11/2025</t>
        </is>
      </c>
      <c r="E3722" s="1" t="n">
        <v>2025</v>
      </c>
      <c r="F3722" s="1" t="inlineStr">
        <is>
          <t>NOVIEMBRE</t>
        </is>
      </c>
      <c r="G3722" s="1" t="inlineStr">
        <is>
          <t>HAIFENG</t>
        </is>
      </c>
      <c r="H3722" s="1" t="inlineStr">
        <is>
          <t>HAIFENG 11/11/2025</t>
        </is>
      </c>
      <c r="I3722" s="4" t="n">
        <v>3</v>
      </c>
      <c r="J3722" s="6" t="n">
        <v>10</v>
      </c>
      <c r="K3722" s="6" t="n">
        <v>210.6049844</v>
      </c>
      <c r="L3722" s="6">
        <f>I3722*K3722</f>
        <v/>
      </c>
      <c r="M3722" s="6">
        <f>K3722*4</f>
        <v/>
      </c>
      <c r="N3722" s="6" t="n">
        <v>824</v>
      </c>
    </row>
    <row r="3723">
      <c r="A3723" s="1" t="inlineStr">
        <is>
          <t>67201531837869</t>
        </is>
      </c>
      <c r="B3723" s="1" t="inlineStr">
        <is>
          <t>BRAZALETE KELLY CLIC H ROSE GOLD</t>
        </is>
      </c>
      <c r="C3723" s="1" t="inlineStr">
        <is>
          <t>Default Title</t>
        </is>
      </c>
      <c r="D3723" s="1" t="inlineStr">
        <is>
          <t>03/12/2025</t>
        </is>
      </c>
      <c r="E3723" s="1" t="n">
        <v>2025</v>
      </c>
      <c r="F3723" s="1" t="inlineStr">
        <is>
          <t>DICIEMBRE</t>
        </is>
      </c>
      <c r="G3723" s="1" t="inlineStr">
        <is>
          <t>HAIFENG</t>
        </is>
      </c>
      <c r="H3723" s="1" t="inlineStr">
        <is>
          <t>HAIFENG 03/12/2025</t>
        </is>
      </c>
      <c r="I3723" s="4" t="n">
        <v>5</v>
      </c>
      <c r="J3723" s="6" t="n">
        <v>10</v>
      </c>
      <c r="K3723" s="6" t="n">
        <v>209.1716001</v>
      </c>
      <c r="L3723" s="6">
        <f>I3723*K3723</f>
        <v/>
      </c>
      <c r="M3723" s="6">
        <f>K3723*4</f>
        <v/>
      </c>
      <c r="N3723" s="6" t="n">
        <v>824</v>
      </c>
    </row>
    <row r="3724">
      <c r="A3724" s="1" t="inlineStr">
        <is>
          <t>67201531837869</t>
        </is>
      </c>
      <c r="B3724" s="1" t="inlineStr">
        <is>
          <t>BRAZALETE KELLY CLIC H ROSE GOLD</t>
        </is>
      </c>
      <c r="C3724" s="1" t="inlineStr">
        <is>
          <t>HIGH QUALITY</t>
        </is>
      </c>
      <c r="D3724" s="1" t="inlineStr">
        <is>
          <t>11/03/2026</t>
        </is>
      </c>
      <c r="E3724" s="1" t="n">
        <v>2026</v>
      </c>
      <c r="F3724" s="1" t="inlineStr">
        <is>
          <t>MARZO</t>
        </is>
      </c>
      <c r="G3724" s="1" t="inlineStr">
        <is>
          <t>HAIFENG</t>
        </is>
      </c>
      <c r="H3724" s="1" t="inlineStr">
        <is>
          <t>HAIFENG 11/03/2026</t>
        </is>
      </c>
      <c r="I3724" s="4" t="n">
        <v>3</v>
      </c>
      <c r="J3724" s="6" t="n">
        <v>10</v>
      </c>
      <c r="K3724" s="6" t="n">
        <v>213.0389622</v>
      </c>
      <c r="L3724" s="6">
        <f>I3724*K3724</f>
        <v/>
      </c>
      <c r="M3724" s="6">
        <f>K3724*4</f>
        <v/>
      </c>
      <c r="N3724" s="6" t="n">
        <v>824</v>
      </c>
    </row>
    <row r="3725">
      <c r="A3725" s="1" t="inlineStr">
        <is>
          <t>67201531837869</t>
        </is>
      </c>
      <c r="B3725" s="1" t="inlineStr">
        <is>
          <t>BRAZALETE KELLY CLIC H ROSE GOLD</t>
        </is>
      </c>
      <c r="C3725" s="1" t="inlineStr">
        <is>
          <t>HIGH QUALITY</t>
        </is>
      </c>
      <c r="D3725" s="1" t="inlineStr">
        <is>
          <t>06/05/2026</t>
        </is>
      </c>
      <c r="E3725" s="1" t="n">
        <v>2026</v>
      </c>
      <c r="F3725" s="1" t="inlineStr">
        <is>
          <t>MAYO</t>
        </is>
      </c>
      <c r="G3725" s="1" t="inlineStr">
        <is>
          <t>HAIFENG</t>
        </is>
      </c>
      <c r="H3725" s="1" t="inlineStr">
        <is>
          <t>HAIFENG 06/05/2026</t>
        </is>
      </c>
      <c r="I3725" s="4" t="n">
        <v>5</v>
      </c>
      <c r="J3725" s="6" t="n">
        <v>10</v>
      </c>
      <c r="K3725" s="6" t="n">
        <v>212.1864227</v>
      </c>
      <c r="L3725" s="6">
        <f>I3725*K3725</f>
        <v/>
      </c>
      <c r="M3725" s="6">
        <f>K3725*4</f>
        <v/>
      </c>
      <c r="N3725" s="6" t="n">
        <v>824</v>
      </c>
    </row>
    <row r="3726">
      <c r="A3726" s="1" t="inlineStr">
        <is>
          <t>67201531970989</t>
        </is>
      </c>
      <c r="B3726" s="1" t="inlineStr">
        <is>
          <t>BRAZALETE MSS GOLD</t>
        </is>
      </c>
      <c r="C3726" s="1" t="inlineStr">
        <is>
          <t>Default Title</t>
        </is>
      </c>
      <c r="D3726" s="1" t="inlineStr">
        <is>
          <t>01/09/2025</t>
        </is>
      </c>
      <c r="E3726" s="1" t="n">
        <v>2025</v>
      </c>
      <c r="F3726" s="1" t="inlineStr">
        <is>
          <t>SEPTIEMBRE</t>
        </is>
      </c>
      <c r="G3726" s="1" t="inlineStr">
        <is>
          <t>HAIFENG</t>
        </is>
      </c>
      <c r="H3726" s="1" t="inlineStr">
        <is>
          <t>HAIFENG 01/09/2025</t>
        </is>
      </c>
      <c r="I3726" s="4" t="n">
        <v>2</v>
      </c>
      <c r="J3726" s="6" t="n">
        <v>10</v>
      </c>
      <c r="K3726" s="6" t="n">
        <v>212.5567106</v>
      </c>
      <c r="L3726" s="6">
        <f>I3726*K3726</f>
        <v/>
      </c>
      <c r="M3726" s="6">
        <f>K3726*4</f>
        <v/>
      </c>
      <c r="N3726" s="6" t="n">
        <v>850</v>
      </c>
    </row>
    <row r="3727">
      <c r="A3727" s="1" t="inlineStr">
        <is>
          <t>67201531970989</t>
        </is>
      </c>
      <c r="B3727" s="1" t="inlineStr">
        <is>
          <t>BRAZALETE MSS GOLD</t>
        </is>
      </c>
      <c r="C3727" s="1" t="inlineStr">
        <is>
          <t>16 cm</t>
        </is>
      </c>
      <c r="D3727" s="1" t="inlineStr">
        <is>
          <t>16/04/2026</t>
        </is>
      </c>
      <c r="E3727" s="1" t="n">
        <v>2026</v>
      </c>
      <c r="F3727" s="1" t="inlineStr">
        <is>
          <t>ABRIL</t>
        </is>
      </c>
      <c r="G3727" s="1" t="inlineStr">
        <is>
          <t>HAIFENG</t>
        </is>
      </c>
      <c r="H3727" s="1" t="inlineStr">
        <is>
          <t>HAIFENG 16/04/2026</t>
        </is>
      </c>
      <c r="I3727" s="4" t="n">
        <v>3</v>
      </c>
      <c r="J3727" s="6" t="n">
        <v>10</v>
      </c>
      <c r="K3727" s="6" t="n">
        <v>210.3147359</v>
      </c>
      <c r="L3727" s="6">
        <f>I3727*K3727</f>
        <v/>
      </c>
      <c r="M3727" s="6">
        <f>K3727*4</f>
        <v/>
      </c>
      <c r="N3727" s="6" t="n">
        <v>850</v>
      </c>
    </row>
    <row r="3728">
      <c r="A3728" s="1" t="inlineStr">
        <is>
          <t>67201531970989</t>
        </is>
      </c>
      <c r="B3728" s="1" t="inlineStr">
        <is>
          <t>BRAZALETE MSS GOLD</t>
        </is>
      </c>
      <c r="C3728" s="1" t="inlineStr">
        <is>
          <t>16 cm</t>
        </is>
      </c>
      <c r="D3728" s="1" t="inlineStr">
        <is>
          <t>16/06/2026</t>
        </is>
      </c>
      <c r="E3728" s="1" t="n">
        <v>2026</v>
      </c>
      <c r="F3728" s="1" t="inlineStr">
        <is>
          <t>JUNIO</t>
        </is>
      </c>
      <c r="G3728" s="1" t="inlineStr">
        <is>
          <t>HAIFENG</t>
        </is>
      </c>
      <c r="H3728" s="1" t="inlineStr">
        <is>
          <t>HAIFENG 16/06/2026</t>
        </is>
      </c>
      <c r="I3728" s="4" t="n">
        <v>5</v>
      </c>
      <c r="J3728" s="6" t="n">
        <v>10</v>
      </c>
      <c r="K3728" s="6" t="n">
        <v>210.1460646</v>
      </c>
      <c r="L3728" s="6">
        <f>I3728*K3728</f>
        <v/>
      </c>
      <c r="M3728" s="6">
        <f>K3728*4</f>
        <v/>
      </c>
      <c r="N3728" s="6" t="n">
        <v>850</v>
      </c>
    </row>
    <row r="3729">
      <c r="A3729" s="1" t="inlineStr">
        <is>
          <t>67201532004237</t>
        </is>
      </c>
      <c r="B3729" s="1" t="inlineStr">
        <is>
          <t>PULSERA MSS SILVER</t>
        </is>
      </c>
      <c r="C3729" s="1" t="inlineStr">
        <is>
          <t>Default Title</t>
        </is>
      </c>
      <c r="D3729" s="1" t="inlineStr">
        <is>
          <t>01/09/2025</t>
        </is>
      </c>
      <c r="E3729" s="1" t="n">
        <v>2025</v>
      </c>
      <c r="F3729" s="1" t="inlineStr">
        <is>
          <t>SEPTIEMBRE</t>
        </is>
      </c>
      <c r="G3729" s="1" t="inlineStr">
        <is>
          <t>HAIFENG</t>
        </is>
      </c>
      <c r="H3729" s="1" t="inlineStr">
        <is>
          <t>HAIFENG 01/09/2025</t>
        </is>
      </c>
      <c r="I3729" s="4" t="n">
        <v>1</v>
      </c>
      <c r="J3729" s="6" t="n">
        <v>7</v>
      </c>
      <c r="K3729" s="6" t="n">
        <v>148.7896974</v>
      </c>
      <c r="L3729" s="6">
        <f>I3729*K3729</f>
        <v/>
      </c>
      <c r="M3729" s="6">
        <f>K3729*4</f>
        <v/>
      </c>
      <c r="N3729" s="6" t="n">
        <v>599</v>
      </c>
    </row>
    <row r="3730">
      <c r="A3730" s="1" t="inlineStr">
        <is>
          <t>67201532004237</t>
        </is>
      </c>
      <c r="B3730" s="1" t="inlineStr">
        <is>
          <t>PULSERA MSS SILVER</t>
        </is>
      </c>
      <c r="C3730" s="1" t="inlineStr">
        <is>
          <t>Default Title</t>
        </is>
      </c>
      <c r="D3730" s="1" t="inlineStr">
        <is>
          <t>25/09/2025</t>
        </is>
      </c>
      <c r="E3730" s="1" t="n">
        <v>2025</v>
      </c>
      <c r="F3730" s="1" t="inlineStr">
        <is>
          <t>SEPTIEMBRE</t>
        </is>
      </c>
      <c r="G3730" s="1" t="inlineStr">
        <is>
          <t>HAIFENG</t>
        </is>
      </c>
      <c r="H3730" s="1" t="inlineStr">
        <is>
          <t>HAIFENG 25/09/2025</t>
        </is>
      </c>
      <c r="I3730" s="4" t="n">
        <v>7</v>
      </c>
      <c r="J3730" s="6" t="n">
        <v>7</v>
      </c>
      <c r="K3730" s="6" t="n">
        <v>147.6782004</v>
      </c>
      <c r="L3730" s="6">
        <f>I3730*K3730</f>
        <v/>
      </c>
      <c r="M3730" s="6">
        <f>K3730*4</f>
        <v/>
      </c>
      <c r="N3730" s="6" t="n">
        <v>599</v>
      </c>
    </row>
    <row r="3731">
      <c r="A3731" s="1" t="inlineStr">
        <is>
          <t>67201532004237</t>
        </is>
      </c>
      <c r="B3731" s="1" t="inlineStr">
        <is>
          <t>PULSERA MSS SILVER</t>
        </is>
      </c>
      <c r="C3731" s="1" t="inlineStr">
        <is>
          <t>Default Title</t>
        </is>
      </c>
      <c r="D3731" s="1" t="inlineStr">
        <is>
          <t>03/12/2025</t>
        </is>
      </c>
      <c r="E3731" s="1" t="n">
        <v>2025</v>
      </c>
      <c r="F3731" s="1" t="inlineStr">
        <is>
          <t>DICIEMBRE</t>
        </is>
      </c>
      <c r="G3731" s="1" t="inlineStr">
        <is>
          <t>HAIFENG</t>
        </is>
      </c>
      <c r="H3731" s="1" t="inlineStr">
        <is>
          <t>HAIFENG 03/12/2025</t>
        </is>
      </c>
      <c r="I3731" s="4" t="n">
        <v>5</v>
      </c>
      <c r="J3731" s="6" t="n">
        <v>7</v>
      </c>
      <c r="K3731" s="6" t="n">
        <v>146.4201201</v>
      </c>
      <c r="L3731" s="6">
        <f>I3731*K3731</f>
        <v/>
      </c>
      <c r="M3731" s="6">
        <f>K3731*4</f>
        <v/>
      </c>
      <c r="N3731" s="6" t="n">
        <v>599</v>
      </c>
    </row>
    <row r="3732">
      <c r="A3732" s="1" t="inlineStr">
        <is>
          <t>67201532004237</t>
        </is>
      </c>
      <c r="B3732" s="1" t="inlineStr">
        <is>
          <t>PULSERA MSS SILVER</t>
        </is>
      </c>
      <c r="C3732" s="1" t="inlineStr">
        <is>
          <t>Default Title</t>
        </is>
      </c>
      <c r="D3732" s="1" t="inlineStr">
        <is>
          <t>10/02/2026</t>
        </is>
      </c>
      <c r="E3732" s="1" t="n">
        <v>2026</v>
      </c>
      <c r="F3732" s="1" t="inlineStr">
        <is>
          <t>FEBRERO</t>
        </is>
      </c>
      <c r="G3732" s="1" t="inlineStr">
        <is>
          <t>HAIFENG</t>
        </is>
      </c>
      <c r="H3732" s="1" t="inlineStr">
        <is>
          <t>HAIFENG 10/02/2026</t>
        </is>
      </c>
      <c r="I3732" s="4" t="n">
        <v>8</v>
      </c>
      <c r="J3732" s="6" t="n">
        <v>7</v>
      </c>
      <c r="K3732" s="6" t="n">
        <v>147.4794725</v>
      </c>
      <c r="L3732" s="6">
        <f>I3732*K3732</f>
        <v/>
      </c>
      <c r="M3732" s="6">
        <f>K3732*4</f>
        <v/>
      </c>
      <c r="N3732" s="6" t="n">
        <v>599</v>
      </c>
    </row>
    <row r="3733">
      <c r="A3733" s="1" t="inlineStr">
        <is>
          <t>67201532004237</t>
        </is>
      </c>
      <c r="B3733" s="1" t="inlineStr">
        <is>
          <t>PULSERA MSS SILVER</t>
        </is>
      </c>
      <c r="C3733" s="1" t="inlineStr">
        <is>
          <t>Default Title</t>
        </is>
      </c>
      <c r="D3733" s="1" t="inlineStr">
        <is>
          <t>06/05/2026</t>
        </is>
      </c>
      <c r="E3733" s="1" t="n">
        <v>2026</v>
      </c>
      <c r="F3733" s="1" t="inlineStr">
        <is>
          <t>MAYO</t>
        </is>
      </c>
      <c r="G3733" s="1" t="inlineStr">
        <is>
          <t>HAIFENG</t>
        </is>
      </c>
      <c r="H3733" s="1" t="inlineStr">
        <is>
          <t>HAIFENG 06/05/2026</t>
        </is>
      </c>
      <c r="I3733" s="4" t="n">
        <v>5</v>
      </c>
      <c r="J3733" s="6" t="n">
        <v>7</v>
      </c>
      <c r="K3733" s="6" t="n">
        <v>148.5304959</v>
      </c>
      <c r="L3733" s="6">
        <f>I3733*K3733</f>
        <v/>
      </c>
      <c r="M3733" s="6">
        <f>K3733*4</f>
        <v/>
      </c>
      <c r="N3733" s="6" t="n">
        <v>599</v>
      </c>
    </row>
    <row r="3734">
      <c r="A3734" s="1" t="inlineStr">
        <is>
          <t>67201532004237</t>
        </is>
      </c>
      <c r="B3734" s="1" t="inlineStr">
        <is>
          <t>PULSERA MSS SILVER</t>
        </is>
      </c>
      <c r="C3734" s="1" t="inlineStr">
        <is>
          <t>Default Title</t>
        </is>
      </c>
      <c r="D3734" s="1" t="inlineStr">
        <is>
          <t>26/05/2026</t>
        </is>
      </c>
      <c r="E3734" s="1" t="n">
        <v>2026</v>
      </c>
      <c r="F3734" s="1" t="inlineStr">
        <is>
          <t>MAYO</t>
        </is>
      </c>
      <c r="G3734" s="1" t="inlineStr">
        <is>
          <t>HAIFENG</t>
        </is>
      </c>
      <c r="H3734" s="1" t="inlineStr">
        <is>
          <t>HAIFENG 26/05/2026</t>
        </is>
      </c>
      <c r="I3734" s="4" t="n">
        <v>8</v>
      </c>
      <c r="J3734" s="6" t="n">
        <v>7</v>
      </c>
      <c r="K3734" s="6" t="n">
        <v>146.9250671</v>
      </c>
      <c r="L3734" s="6">
        <f>I3734*K3734</f>
        <v/>
      </c>
      <c r="M3734" s="6">
        <f>K3734*4</f>
        <v/>
      </c>
      <c r="N3734" s="6" t="n">
        <v>599</v>
      </c>
    </row>
    <row r="3735">
      <c r="A3735" s="1" t="inlineStr">
        <is>
          <t>67201532161837</t>
        </is>
      </c>
      <c r="B3735" s="1" t="inlineStr">
        <is>
          <t>PULSERA MSS GOLD</t>
        </is>
      </c>
      <c r="C3735" s="1" t="inlineStr">
        <is>
          <t>Default Title</t>
        </is>
      </c>
      <c r="D3735" s="1" t="inlineStr">
        <is>
          <t>01/09/2025</t>
        </is>
      </c>
      <c r="E3735" s="1" t="n">
        <v>2025</v>
      </c>
      <c r="F3735" s="1" t="inlineStr">
        <is>
          <t>SEPTIEMBRE</t>
        </is>
      </c>
      <c r="G3735" s="1" t="inlineStr">
        <is>
          <t>HAIFENG</t>
        </is>
      </c>
      <c r="H3735" s="1" t="inlineStr">
        <is>
          <t>HAIFENG 01/09/2025</t>
        </is>
      </c>
      <c r="I3735" s="4" t="n">
        <v>1</v>
      </c>
      <c r="J3735" s="6" t="n">
        <v>7</v>
      </c>
      <c r="K3735" s="6" t="n">
        <v>148.7896974</v>
      </c>
      <c r="L3735" s="6">
        <f>I3735*K3735</f>
        <v/>
      </c>
      <c r="M3735" s="6">
        <f>K3735*4</f>
        <v/>
      </c>
      <c r="N3735" s="6" t="n">
        <v>599</v>
      </c>
    </row>
    <row r="3736">
      <c r="A3736" s="1" t="inlineStr">
        <is>
          <t>67201532161837</t>
        </is>
      </c>
      <c r="B3736" s="1" t="inlineStr">
        <is>
          <t>PULSERA MSS GOLD</t>
        </is>
      </c>
      <c r="C3736" s="1" t="inlineStr">
        <is>
          <t>Default Title</t>
        </is>
      </c>
      <c r="D3736" s="1" t="inlineStr">
        <is>
          <t>11/11/2025</t>
        </is>
      </c>
      <c r="E3736" s="1" t="n">
        <v>2025</v>
      </c>
      <c r="F3736" s="1" t="inlineStr">
        <is>
          <t>NOVIEMBRE</t>
        </is>
      </c>
      <c r="G3736" s="1" t="inlineStr">
        <is>
          <t>HAIFENG</t>
        </is>
      </c>
      <c r="H3736" s="1" t="inlineStr">
        <is>
          <t>HAIFENG 11/11/2025</t>
        </is>
      </c>
      <c r="I3736" s="4" t="n">
        <v>3</v>
      </c>
      <c r="J3736" s="6" t="n">
        <v>7</v>
      </c>
      <c r="K3736" s="6" t="n">
        <v>147.4234891</v>
      </c>
      <c r="L3736" s="6">
        <f>I3736*K3736</f>
        <v/>
      </c>
      <c r="M3736" s="6">
        <f>K3736*4</f>
        <v/>
      </c>
      <c r="N3736" s="6" t="n">
        <v>599</v>
      </c>
    </row>
    <row r="3737">
      <c r="A3737" s="1" t="inlineStr">
        <is>
          <t>67201532161837</t>
        </is>
      </c>
      <c r="B3737" s="1" t="inlineStr">
        <is>
          <t>PULSERA MSS GOLD</t>
        </is>
      </c>
      <c r="C3737" s="1" t="inlineStr">
        <is>
          <t>Default Title</t>
        </is>
      </c>
      <c r="D3737" s="1" t="inlineStr">
        <is>
          <t>03/12/2025</t>
        </is>
      </c>
      <c r="E3737" s="1" t="n">
        <v>2025</v>
      </c>
      <c r="F3737" s="1" t="inlineStr">
        <is>
          <t>DICIEMBRE</t>
        </is>
      </c>
      <c r="G3737" s="1" t="inlineStr">
        <is>
          <t>HAIFENG</t>
        </is>
      </c>
      <c r="H3737" s="1" t="inlineStr">
        <is>
          <t>HAIFENG 03/12/2025</t>
        </is>
      </c>
      <c r="I3737" s="4" t="n">
        <v>5</v>
      </c>
      <c r="J3737" s="6" t="n">
        <v>7</v>
      </c>
      <c r="K3737" s="6" t="n">
        <v>146.4201201</v>
      </c>
      <c r="L3737" s="6">
        <f>I3737*K3737</f>
        <v/>
      </c>
      <c r="M3737" s="6">
        <f>K3737*4</f>
        <v/>
      </c>
      <c r="N3737" s="6" t="n">
        <v>599</v>
      </c>
    </row>
    <row r="3738">
      <c r="A3738" s="1" t="inlineStr">
        <is>
          <t>67201532161837</t>
        </is>
      </c>
      <c r="B3738" s="1" t="inlineStr">
        <is>
          <t>PULSERA MSS GOLD</t>
        </is>
      </c>
      <c r="C3738" s="1" t="inlineStr">
        <is>
          <t>Default Title</t>
        </is>
      </c>
      <c r="D3738" s="1" t="inlineStr">
        <is>
          <t>10/02/2026</t>
        </is>
      </c>
      <c r="E3738" s="1" t="n">
        <v>2026</v>
      </c>
      <c r="F3738" s="1" t="inlineStr">
        <is>
          <t>FEBRERO</t>
        </is>
      </c>
      <c r="G3738" s="1" t="inlineStr">
        <is>
          <t>HAIFENG</t>
        </is>
      </c>
      <c r="H3738" s="1" t="inlineStr">
        <is>
          <t>HAIFENG 10/02/2026</t>
        </is>
      </c>
      <c r="I3738" s="4" t="n">
        <v>8</v>
      </c>
      <c r="J3738" s="6" t="n">
        <v>7</v>
      </c>
      <c r="K3738" s="6" t="n">
        <v>147.4794725</v>
      </c>
      <c r="L3738" s="6">
        <f>I3738*K3738</f>
        <v/>
      </c>
      <c r="M3738" s="6">
        <f>K3738*4</f>
        <v/>
      </c>
      <c r="N3738" s="6" t="n">
        <v>599</v>
      </c>
    </row>
    <row r="3739">
      <c r="A3739" s="1" t="inlineStr">
        <is>
          <t>67201532161837</t>
        </is>
      </c>
      <c r="B3739" s="1" t="inlineStr">
        <is>
          <t>PULSERA MSS GOLD</t>
        </is>
      </c>
      <c r="C3739" s="1" t="inlineStr">
        <is>
          <t>Default Title</t>
        </is>
      </c>
      <c r="D3739" s="1" t="inlineStr">
        <is>
          <t>06/05/2026</t>
        </is>
      </c>
      <c r="E3739" s="1" t="n">
        <v>2026</v>
      </c>
      <c r="F3739" s="1" t="inlineStr">
        <is>
          <t>MAYO</t>
        </is>
      </c>
      <c r="G3739" s="1" t="inlineStr">
        <is>
          <t>HAIFENG</t>
        </is>
      </c>
      <c r="H3739" s="1" t="inlineStr">
        <is>
          <t>HAIFENG 06/05/2026</t>
        </is>
      </c>
      <c r="I3739" s="4" t="n">
        <v>5</v>
      </c>
      <c r="J3739" s="6" t="n">
        <v>7</v>
      </c>
      <c r="K3739" s="6" t="n">
        <v>148.5304959</v>
      </c>
      <c r="L3739" s="6">
        <f>I3739*K3739</f>
        <v/>
      </c>
      <c r="M3739" s="6">
        <f>K3739*4</f>
        <v/>
      </c>
      <c r="N3739" s="6" t="n">
        <v>599</v>
      </c>
    </row>
    <row r="3740">
      <c r="A3740" s="1" t="inlineStr">
        <is>
          <t>67201532161837</t>
        </is>
      </c>
      <c r="B3740" s="1" t="inlineStr">
        <is>
          <t>PULSERA MSS GOLD</t>
        </is>
      </c>
      <c r="C3740" s="1" t="inlineStr">
        <is>
          <t>Default Title</t>
        </is>
      </c>
      <c r="D3740" s="1" t="inlineStr">
        <is>
          <t>26/05/2026</t>
        </is>
      </c>
      <c r="E3740" s="1" t="n">
        <v>2026</v>
      </c>
      <c r="F3740" s="1" t="inlineStr">
        <is>
          <t>MAYO</t>
        </is>
      </c>
      <c r="G3740" s="1" t="inlineStr">
        <is>
          <t>HAIFENG</t>
        </is>
      </c>
      <c r="H3740" s="1" t="inlineStr">
        <is>
          <t>HAIFENG 26/05/2026</t>
        </is>
      </c>
      <c r="I3740" s="4" t="n">
        <v>6</v>
      </c>
      <c r="J3740" s="6" t="n">
        <v>7</v>
      </c>
      <c r="K3740" s="6" t="n">
        <v>146.9250671</v>
      </c>
      <c r="L3740" s="6">
        <f>I3740*K3740</f>
        <v/>
      </c>
      <c r="M3740" s="6">
        <f>K3740*4</f>
        <v/>
      </c>
      <c r="N3740" s="6" t="n">
        <v>599</v>
      </c>
    </row>
    <row r="3741">
      <c r="A3741" s="1" t="inlineStr">
        <is>
          <t>67201532907277</t>
        </is>
      </c>
      <c r="B3741" s="1" t="inlineStr">
        <is>
          <t>ANILLO T1 T GOLD</t>
        </is>
      </c>
      <c r="C3741" s="1" t="inlineStr">
        <is>
          <t>7</t>
        </is>
      </c>
      <c r="D3741" s="1" t="inlineStr">
        <is>
          <t>11/03/2026</t>
        </is>
      </c>
      <c r="E3741" s="1" t="n">
        <v>2026</v>
      </c>
      <c r="F3741" s="1" t="inlineStr">
        <is>
          <t>MARZO</t>
        </is>
      </c>
      <c r="G3741" s="1" t="inlineStr">
        <is>
          <t>HAIFENG</t>
        </is>
      </c>
      <c r="H3741" s="1" t="inlineStr">
        <is>
          <t>HAIFENG 11/03/2026</t>
        </is>
      </c>
      <c r="I3741" s="4" t="n">
        <v>2</v>
      </c>
      <c r="J3741" s="6" t="n">
        <v>5.5</v>
      </c>
      <c r="K3741" s="6" t="n">
        <v>117.1714292</v>
      </c>
      <c r="L3741" s="6">
        <f>I3741*K3741</f>
        <v/>
      </c>
      <c r="M3741" s="6">
        <f>K3741*4</f>
        <v/>
      </c>
      <c r="N3741" s="6" t="n">
        <v>460</v>
      </c>
    </row>
    <row r="3742">
      <c r="A3742" s="1" t="inlineStr">
        <is>
          <t>67201533040045</t>
        </is>
      </c>
      <c r="B3742" s="1" t="inlineStr">
        <is>
          <t>ANILLO T1 T GOLD</t>
        </is>
      </c>
      <c r="C3742" s="1" t="inlineStr">
        <is>
          <t>8</t>
        </is>
      </c>
      <c r="D3742" s="1" t="inlineStr">
        <is>
          <t>11/03/2026</t>
        </is>
      </c>
      <c r="E3742" s="1" t="n">
        <v>2026</v>
      </c>
      <c r="F3742" s="1" t="inlineStr">
        <is>
          <t>MARZO</t>
        </is>
      </c>
      <c r="G3742" s="1" t="inlineStr">
        <is>
          <t>HAIFENG</t>
        </is>
      </c>
      <c r="H3742" s="1" t="inlineStr">
        <is>
          <t>HAIFENG 11/03/2026</t>
        </is>
      </c>
      <c r="I3742" s="4" t="n">
        <v>2</v>
      </c>
      <c r="J3742" s="6" t="n">
        <v>5.5</v>
      </c>
      <c r="K3742" s="6" t="n">
        <v>117.1714292</v>
      </c>
      <c r="L3742" s="6">
        <f>I3742*K3742</f>
        <v/>
      </c>
      <c r="M3742" s="6">
        <f>K3742*4</f>
        <v/>
      </c>
      <c r="N3742" s="6" t="n">
        <v>460</v>
      </c>
    </row>
    <row r="3743">
      <c r="A3743" s="1" t="inlineStr">
        <is>
          <t>67201533116173</t>
        </is>
      </c>
      <c r="B3743" s="1" t="inlineStr">
        <is>
          <t>ANILLO T1 T SILVER</t>
        </is>
      </c>
      <c r="C3743" s="1" t="inlineStr">
        <is>
          <t>6</t>
        </is>
      </c>
      <c r="D3743" s="1" t="inlineStr">
        <is>
          <t>11/11/2025</t>
        </is>
      </c>
      <c r="E3743" s="1" t="n">
        <v>2025</v>
      </c>
      <c r="F3743" s="1" t="inlineStr">
        <is>
          <t>NOVIEMBRE</t>
        </is>
      </c>
      <c r="G3743" s="1" t="inlineStr">
        <is>
          <t>HAIFENG</t>
        </is>
      </c>
      <c r="H3743" s="1" t="inlineStr">
        <is>
          <t>HAIFENG 11/11/2025</t>
        </is>
      </c>
      <c r="I3743" s="4" t="n">
        <v>2</v>
      </c>
      <c r="J3743" s="6" t="n">
        <v>5.5</v>
      </c>
      <c r="K3743" s="6" t="n">
        <v>115.8327414</v>
      </c>
      <c r="L3743" s="6">
        <f>I3743*K3743</f>
        <v/>
      </c>
      <c r="M3743" s="6">
        <f>K3743*4</f>
        <v/>
      </c>
      <c r="N3743" s="6" t="n">
        <v>530</v>
      </c>
    </row>
    <row r="3744">
      <c r="A3744" s="1" t="inlineStr">
        <is>
          <t>67201533116173</t>
        </is>
      </c>
      <c r="B3744" s="1" t="inlineStr">
        <is>
          <t>ANILLO T1 T SILVER</t>
        </is>
      </c>
      <c r="C3744" s="1" t="inlineStr">
        <is>
          <t>6</t>
        </is>
      </c>
      <c r="D3744" s="1" t="inlineStr">
        <is>
          <t>03/12/2025</t>
        </is>
      </c>
      <c r="E3744" s="1" t="n">
        <v>2025</v>
      </c>
      <c r="F3744" s="1" t="inlineStr">
        <is>
          <t>DICIEMBRE</t>
        </is>
      </c>
      <c r="G3744" s="1" t="inlineStr">
        <is>
          <t>HAIFENG</t>
        </is>
      </c>
      <c r="H3744" s="1" t="inlineStr">
        <is>
          <t>HAIFENG 03/12/2025</t>
        </is>
      </c>
      <c r="I3744" s="4" t="n">
        <v>2</v>
      </c>
      <c r="J3744" s="6" t="n">
        <v>5.5</v>
      </c>
      <c r="K3744" s="6" t="n">
        <v>115.0443801</v>
      </c>
      <c r="L3744" s="6">
        <f>I3744*K3744</f>
        <v/>
      </c>
      <c r="M3744" s="6">
        <f>K3744*4</f>
        <v/>
      </c>
      <c r="N3744" s="6" t="n">
        <v>530</v>
      </c>
    </row>
    <row r="3745">
      <c r="A3745" s="1" t="inlineStr">
        <is>
          <t>67201533116173</t>
        </is>
      </c>
      <c r="B3745" s="1" t="inlineStr">
        <is>
          <t>ANILLO T1 T SILVER</t>
        </is>
      </c>
      <c r="C3745" s="1" t="inlineStr">
        <is>
          <t>6</t>
        </is>
      </c>
      <c r="D3745" s="1" t="inlineStr">
        <is>
          <t>20/01/2026</t>
        </is>
      </c>
      <c r="E3745" s="1" t="n">
        <v>2026</v>
      </c>
      <c r="F3745" s="1" t="inlineStr">
        <is>
          <t>ENERO</t>
        </is>
      </c>
      <c r="G3745" s="1" t="inlineStr">
        <is>
          <t>HAIFENG</t>
        </is>
      </c>
      <c r="H3745" s="1" t="inlineStr">
        <is>
          <t>HAIFENG 20/01/2026</t>
        </is>
      </c>
      <c r="I3745" s="4" t="n">
        <v>2</v>
      </c>
      <c r="J3745" s="6" t="n">
        <v>5.5</v>
      </c>
      <c r="K3745" s="6" t="n">
        <v>116.6022979</v>
      </c>
      <c r="L3745" s="6">
        <f>I3745*K3745</f>
        <v/>
      </c>
      <c r="M3745" s="6">
        <f>K3745*4</f>
        <v/>
      </c>
      <c r="N3745" s="6" t="n">
        <v>530</v>
      </c>
    </row>
    <row r="3746">
      <c r="A3746" s="1" t="inlineStr">
        <is>
          <t>67201533248941</t>
        </is>
      </c>
      <c r="B3746" s="1" t="inlineStr">
        <is>
          <t>ANILLO T1 T SILVER</t>
        </is>
      </c>
      <c r="C3746" s="1" t="inlineStr">
        <is>
          <t>7</t>
        </is>
      </c>
      <c r="D3746" s="1" t="inlineStr">
        <is>
          <t>03/12/2025</t>
        </is>
      </c>
      <c r="E3746" s="1" t="n">
        <v>2025</v>
      </c>
      <c r="F3746" s="1" t="inlineStr">
        <is>
          <t>DICIEMBRE</t>
        </is>
      </c>
      <c r="G3746" s="1" t="inlineStr">
        <is>
          <t>HAIFENG</t>
        </is>
      </c>
      <c r="H3746" s="1" t="inlineStr">
        <is>
          <t>HAIFENG 03/12/2025</t>
        </is>
      </c>
      <c r="I3746" s="4" t="n">
        <v>1</v>
      </c>
      <c r="J3746" s="6" t="n">
        <v>5.5</v>
      </c>
      <c r="K3746" s="6" t="n">
        <v>115.0443801</v>
      </c>
      <c r="L3746" s="6">
        <f>I3746*K3746</f>
        <v/>
      </c>
      <c r="M3746" s="6">
        <f>K3746*4</f>
        <v/>
      </c>
      <c r="N3746" s="6" t="n">
        <v>530</v>
      </c>
    </row>
    <row r="3747">
      <c r="A3747" s="1" t="inlineStr">
        <is>
          <t>67201533248941</t>
        </is>
      </c>
      <c r="B3747" s="1" t="inlineStr">
        <is>
          <t>ANILLO T1 T SILVER</t>
        </is>
      </c>
      <c r="C3747" s="1" t="inlineStr">
        <is>
          <t>7</t>
        </is>
      </c>
      <c r="D3747" s="1" t="inlineStr">
        <is>
          <t>20/01/2026</t>
        </is>
      </c>
      <c r="E3747" s="1" t="n">
        <v>2026</v>
      </c>
      <c r="F3747" s="1" t="inlineStr">
        <is>
          <t>ENERO</t>
        </is>
      </c>
      <c r="G3747" s="1" t="inlineStr">
        <is>
          <t>HAIFENG</t>
        </is>
      </c>
      <c r="H3747" s="1" t="inlineStr">
        <is>
          <t>HAIFENG 20/01/2026</t>
        </is>
      </c>
      <c r="I3747" s="4" t="n">
        <v>2</v>
      </c>
      <c r="J3747" s="6" t="n">
        <v>5.5</v>
      </c>
      <c r="K3747" s="6" t="n">
        <v>116.6022979</v>
      </c>
      <c r="L3747" s="6">
        <f>I3747*K3747</f>
        <v/>
      </c>
      <c r="M3747" s="6">
        <f>K3747*4</f>
        <v/>
      </c>
      <c r="N3747" s="6" t="n">
        <v>530</v>
      </c>
    </row>
    <row r="3748">
      <c r="A3748" s="1" t="inlineStr">
        <is>
          <t>67201533381709</t>
        </is>
      </c>
      <c r="B3748" s="1" t="inlineStr">
        <is>
          <t>ANILLO T1 T SILVER</t>
        </is>
      </c>
      <c r="C3748" s="1" t="inlineStr">
        <is>
          <t>8</t>
        </is>
      </c>
      <c r="D3748" s="1" t="inlineStr">
        <is>
          <t>20/01/2026</t>
        </is>
      </c>
      <c r="E3748" s="1" t="n">
        <v>2026</v>
      </c>
      <c r="F3748" s="1" t="inlineStr">
        <is>
          <t>ENERO</t>
        </is>
      </c>
      <c r="G3748" s="1" t="inlineStr">
        <is>
          <t>HAIFENG</t>
        </is>
      </c>
      <c r="H3748" s="1" t="inlineStr">
        <is>
          <t>HAIFENG 20/01/2026</t>
        </is>
      </c>
      <c r="I3748" s="4" t="n">
        <v>2</v>
      </c>
      <c r="J3748" s="6" t="n">
        <v>5.5</v>
      </c>
      <c r="K3748" s="6" t="n">
        <v>116.6022979</v>
      </c>
      <c r="L3748" s="6">
        <f>I3748*K3748</f>
        <v/>
      </c>
      <c r="M3748" s="6">
        <f>K3748*4</f>
        <v/>
      </c>
      <c r="N3748" s="6" t="n">
        <v>530</v>
      </c>
    </row>
    <row r="3749">
      <c r="A3749" s="1" t="inlineStr">
        <is>
          <t>67201533381709</t>
        </is>
      </c>
      <c r="B3749" s="1" t="inlineStr">
        <is>
          <t>ANILLO T1 T SILVER</t>
        </is>
      </c>
      <c r="C3749" s="1" t="inlineStr">
        <is>
          <t>8</t>
        </is>
      </c>
      <c r="D3749" s="1" t="inlineStr">
        <is>
          <t>16/04/2026</t>
        </is>
      </c>
      <c r="E3749" s="1" t="n">
        <v>2026</v>
      </c>
      <c r="F3749" s="1" t="inlineStr">
        <is>
          <t>ABRIL</t>
        </is>
      </c>
      <c r="G3749" s="1" t="inlineStr">
        <is>
          <t>HAIFENG</t>
        </is>
      </c>
      <c r="H3749" s="1" t="inlineStr">
        <is>
          <t>HAIFENG 16/04/2026</t>
        </is>
      </c>
      <c r="I3749" s="4" t="n">
        <v>2</v>
      </c>
      <c r="J3749" s="6" t="n">
        <v>5.5</v>
      </c>
      <c r="K3749" s="6" t="n">
        <v>115.6731047</v>
      </c>
      <c r="L3749" s="6">
        <f>I3749*K3749</f>
        <v/>
      </c>
      <c r="M3749" s="6">
        <f>K3749*4</f>
        <v/>
      </c>
      <c r="N3749" s="6" t="n">
        <v>530</v>
      </c>
    </row>
    <row r="3750">
      <c r="A3750" s="1" t="inlineStr">
        <is>
          <t>67201533404653</t>
        </is>
      </c>
      <c r="B3750" s="1" t="inlineStr">
        <is>
          <t>ANILLO ANCHO TRUE T GOLD</t>
        </is>
      </c>
      <c r="C3750" s="1" t="inlineStr">
        <is>
          <t>6</t>
        </is>
      </c>
      <c r="D3750" s="1" t="inlineStr">
        <is>
          <t>16/06/2026</t>
        </is>
      </c>
      <c r="E3750" s="1" t="n">
        <v>2026</v>
      </c>
      <c r="F3750" s="1" t="inlineStr">
        <is>
          <t>JUNIO</t>
        </is>
      </c>
      <c r="G3750" s="1" t="inlineStr">
        <is>
          <t>HAIFENG</t>
        </is>
      </c>
      <c r="H3750" s="1" t="inlineStr">
        <is>
          <t>HAIFENG 16/06/2026</t>
        </is>
      </c>
      <c r="I3750" s="4" t="n">
        <v>2</v>
      </c>
      <c r="J3750" s="6" t="n">
        <v>7</v>
      </c>
      <c r="K3750" s="6" t="n">
        <v>147.1022452</v>
      </c>
      <c r="L3750" s="6">
        <f>I3750*K3750</f>
        <v/>
      </c>
      <c r="M3750" s="6">
        <f>K3750*4</f>
        <v/>
      </c>
      <c r="N3750" s="6" t="n">
        <v>599</v>
      </c>
    </row>
    <row r="3751">
      <c r="A3751" s="1" t="inlineStr">
        <is>
          <t>67201533537421</t>
        </is>
      </c>
      <c r="B3751" s="1" t="inlineStr">
        <is>
          <t>ANILLO ANCHO TRUE T GOLD</t>
        </is>
      </c>
      <c r="C3751" s="1" t="inlineStr">
        <is>
          <t>7</t>
        </is>
      </c>
      <c r="D3751" s="1" t="inlineStr">
        <is>
          <t>01/09/2025</t>
        </is>
      </c>
      <c r="E3751" s="1" t="n">
        <v>2025</v>
      </c>
      <c r="F3751" s="1" t="inlineStr">
        <is>
          <t>SEPTIEMBRE</t>
        </is>
      </c>
      <c r="G3751" s="1" t="inlineStr">
        <is>
          <t>HAIFENG</t>
        </is>
      </c>
      <c r="H3751" s="1" t="inlineStr">
        <is>
          <t>HAIFENG 01/09/2025</t>
        </is>
      </c>
      <c r="I3751" s="4" t="n">
        <v>2</v>
      </c>
      <c r="J3751" s="6" t="n">
        <v>7</v>
      </c>
      <c r="K3751" s="6" t="n">
        <v>148.7896974</v>
      </c>
      <c r="L3751" s="6">
        <f>I3751*K3751</f>
        <v/>
      </c>
      <c r="M3751" s="6">
        <f>K3751*4</f>
        <v/>
      </c>
      <c r="N3751" s="6" t="n">
        <v>599</v>
      </c>
    </row>
    <row r="3752">
      <c r="A3752" s="1" t="inlineStr">
        <is>
          <t>67201533537421</t>
        </is>
      </c>
      <c r="B3752" s="1" t="inlineStr">
        <is>
          <t>ANILLO ANCHO TRUE T GOLD</t>
        </is>
      </c>
      <c r="C3752" s="1" t="inlineStr">
        <is>
          <t>7</t>
        </is>
      </c>
      <c r="D3752" s="1" t="inlineStr">
        <is>
          <t>11/11/2025</t>
        </is>
      </c>
      <c r="E3752" s="1" t="n">
        <v>2025</v>
      </c>
      <c r="F3752" s="1" t="inlineStr">
        <is>
          <t>NOVIEMBRE</t>
        </is>
      </c>
      <c r="G3752" s="1" t="inlineStr">
        <is>
          <t>HAIFENG</t>
        </is>
      </c>
      <c r="H3752" s="1" t="inlineStr">
        <is>
          <t>HAIFENG 11/11/2025</t>
        </is>
      </c>
      <c r="I3752" s="4" t="n">
        <v>4</v>
      </c>
      <c r="J3752" s="6" t="n">
        <v>7</v>
      </c>
      <c r="K3752" s="6" t="n">
        <v>147.4234891</v>
      </c>
      <c r="L3752" s="6">
        <f>I3752*K3752</f>
        <v/>
      </c>
      <c r="M3752" s="6">
        <f>K3752*4</f>
        <v/>
      </c>
      <c r="N3752" s="6" t="n">
        <v>599</v>
      </c>
    </row>
    <row r="3753">
      <c r="A3753" s="1" t="inlineStr">
        <is>
          <t>67201533537421</t>
        </is>
      </c>
      <c r="B3753" s="1" t="inlineStr">
        <is>
          <t>ANILLO ANCHO TRUE T GOLD</t>
        </is>
      </c>
      <c r="C3753" s="1" t="inlineStr">
        <is>
          <t>7</t>
        </is>
      </c>
      <c r="D3753" s="1" t="inlineStr">
        <is>
          <t>03/12/2025</t>
        </is>
      </c>
      <c r="E3753" s="1" t="n">
        <v>2025</v>
      </c>
      <c r="F3753" s="1" t="inlineStr">
        <is>
          <t>DICIEMBRE</t>
        </is>
      </c>
      <c r="G3753" s="1" t="inlineStr">
        <is>
          <t>HAIFENG</t>
        </is>
      </c>
      <c r="H3753" s="1" t="inlineStr">
        <is>
          <t>HAIFENG 03/12/2025</t>
        </is>
      </c>
      <c r="I3753" s="4" t="n">
        <v>3</v>
      </c>
      <c r="J3753" s="6" t="n">
        <v>7</v>
      </c>
      <c r="K3753" s="6" t="n">
        <v>146.4201201</v>
      </c>
      <c r="L3753" s="6">
        <f>I3753*K3753</f>
        <v/>
      </c>
      <c r="M3753" s="6">
        <f>K3753*4</f>
        <v/>
      </c>
      <c r="N3753" s="6" t="n">
        <v>599</v>
      </c>
    </row>
    <row r="3754">
      <c r="A3754" s="1" t="inlineStr">
        <is>
          <t>67201533670189</t>
        </is>
      </c>
      <c r="B3754" s="1" t="inlineStr">
        <is>
          <t>ANILLO ANCHO TRUE T GOLD</t>
        </is>
      </c>
      <c r="C3754" s="1" t="inlineStr">
        <is>
          <t>8</t>
        </is>
      </c>
      <c r="D3754" s="1" t="inlineStr">
        <is>
          <t>01/09/2025</t>
        </is>
      </c>
      <c r="E3754" s="1" t="n">
        <v>2025</v>
      </c>
      <c r="F3754" s="1" t="inlineStr">
        <is>
          <t>SEPTIEMBRE</t>
        </is>
      </c>
      <c r="G3754" s="1" t="inlineStr">
        <is>
          <t>HAIFENG</t>
        </is>
      </c>
      <c r="H3754" s="1" t="inlineStr">
        <is>
          <t>HAIFENG 01/09/2025</t>
        </is>
      </c>
      <c r="I3754" s="4" t="n">
        <v>3</v>
      </c>
      <c r="J3754" s="6" t="n">
        <v>7</v>
      </c>
      <c r="K3754" s="6" t="n">
        <v>148.7896974</v>
      </c>
      <c r="L3754" s="6">
        <f>I3754*K3754</f>
        <v/>
      </c>
      <c r="M3754" s="6">
        <f>K3754*4</f>
        <v/>
      </c>
      <c r="N3754" s="6" t="n">
        <v>599</v>
      </c>
    </row>
    <row r="3755">
      <c r="A3755" s="1" t="inlineStr">
        <is>
          <t>67201533670189</t>
        </is>
      </c>
      <c r="B3755" s="1" t="inlineStr">
        <is>
          <t>ANILLO ANCHO TRUE T GOLD</t>
        </is>
      </c>
      <c r="C3755" s="1" t="inlineStr">
        <is>
          <t>8</t>
        </is>
      </c>
      <c r="D3755" s="1" t="inlineStr">
        <is>
          <t>03/12/2025</t>
        </is>
      </c>
      <c r="E3755" s="1" t="n">
        <v>2025</v>
      </c>
      <c r="F3755" s="1" t="inlineStr">
        <is>
          <t>DICIEMBRE</t>
        </is>
      </c>
      <c r="G3755" s="1" t="inlineStr">
        <is>
          <t>HAIFENG</t>
        </is>
      </c>
      <c r="H3755" s="1" t="inlineStr">
        <is>
          <t>HAIFENG 03/12/2025</t>
        </is>
      </c>
      <c r="I3755" s="4" t="n">
        <v>2</v>
      </c>
      <c r="J3755" s="6" t="n">
        <v>7</v>
      </c>
      <c r="K3755" s="6" t="n">
        <v>146.4201201</v>
      </c>
      <c r="L3755" s="6">
        <f>I3755*K3755</f>
        <v/>
      </c>
      <c r="M3755" s="6">
        <f>K3755*4</f>
        <v/>
      </c>
      <c r="N3755" s="6" t="n">
        <v>389</v>
      </c>
    </row>
    <row r="3756">
      <c r="A3756" s="1" t="inlineStr">
        <is>
          <t>67201533670189</t>
        </is>
      </c>
      <c r="B3756" s="1" t="inlineStr">
        <is>
          <t>ANILLO ANCHO TRUE T GOLD</t>
        </is>
      </c>
      <c r="C3756" s="1" t="inlineStr">
        <is>
          <t>8</t>
        </is>
      </c>
      <c r="D3756" s="1" t="inlineStr">
        <is>
          <t>16/04/2026</t>
        </is>
      </c>
      <c r="E3756" s="1" t="n">
        <v>2026</v>
      </c>
      <c r="F3756" s="1" t="inlineStr">
        <is>
          <t>ABRIL</t>
        </is>
      </c>
      <c r="G3756" s="1" t="inlineStr">
        <is>
          <t>HAIFENG</t>
        </is>
      </c>
      <c r="H3756" s="1" t="inlineStr">
        <is>
          <t>HAIFENG 16/04/2026</t>
        </is>
      </c>
      <c r="I3756" s="4" t="n">
        <v>2</v>
      </c>
      <c r="J3756" s="6" t="n">
        <v>7</v>
      </c>
      <c r="K3756" s="6" t="n">
        <v>147.2203151</v>
      </c>
      <c r="L3756" s="6">
        <f>I3756*K3756</f>
        <v/>
      </c>
      <c r="M3756" s="6">
        <f>K3756*4</f>
        <v/>
      </c>
      <c r="N3756" s="6" t="n">
        <v>389</v>
      </c>
    </row>
    <row r="3757">
      <c r="A3757" s="1" t="inlineStr">
        <is>
          <t>67201533776845</t>
        </is>
      </c>
      <c r="B3757" s="1" t="inlineStr">
        <is>
          <t>ANILLO BEAN CON ZIRCONIA GOLD</t>
        </is>
      </c>
      <c r="C3757" s="1" t="inlineStr">
        <is>
          <t>6</t>
        </is>
      </c>
      <c r="D3757" s="1" t="inlineStr">
        <is>
          <t>11/11/2025</t>
        </is>
      </c>
      <c r="E3757" s="1" t="n">
        <v>2025</v>
      </c>
      <c r="F3757" s="1" t="inlineStr">
        <is>
          <t>NOVIEMBRE</t>
        </is>
      </c>
      <c r="G3757" s="1" t="inlineStr">
        <is>
          <t>HAIFENG</t>
        </is>
      </c>
      <c r="H3757" s="1" t="inlineStr">
        <is>
          <t>HAIFENG 11/11/2025</t>
        </is>
      </c>
      <c r="I3757" s="4" t="n">
        <v>4</v>
      </c>
      <c r="J3757" s="6" t="n">
        <v>5</v>
      </c>
      <c r="K3757" s="6" t="n">
        <v>105.3024922</v>
      </c>
      <c r="L3757" s="6">
        <f>I3757*K3757</f>
        <v/>
      </c>
      <c r="M3757" s="6">
        <f>K3757*4</f>
        <v/>
      </c>
      <c r="N3757" s="6" t="n">
        <v>450</v>
      </c>
    </row>
    <row r="3758">
      <c r="A3758" s="1" t="inlineStr">
        <is>
          <t>67201533776845</t>
        </is>
      </c>
      <c r="B3758" s="1" t="inlineStr">
        <is>
          <t>ANILLO BEAN CON ZIRCONIA GOLD</t>
        </is>
      </c>
      <c r="C3758" s="1" t="inlineStr">
        <is>
          <t>6</t>
        </is>
      </c>
      <c r="D3758" s="1" t="inlineStr">
        <is>
          <t>03/12/2025</t>
        </is>
      </c>
      <c r="E3758" s="1" t="n">
        <v>2025</v>
      </c>
      <c r="F3758" s="1" t="inlineStr">
        <is>
          <t>DICIEMBRE</t>
        </is>
      </c>
      <c r="G3758" s="1" t="inlineStr">
        <is>
          <t>HAIFENG</t>
        </is>
      </c>
      <c r="H3758" s="1" t="inlineStr">
        <is>
          <t>HAIFENG 03/12/2025</t>
        </is>
      </c>
      <c r="I3758" s="4" t="n">
        <v>2</v>
      </c>
      <c r="J3758" s="6" t="n">
        <v>5</v>
      </c>
      <c r="K3758" s="6" t="n">
        <v>104.5858001</v>
      </c>
      <c r="L3758" s="6">
        <f>I3758*K3758</f>
        <v/>
      </c>
      <c r="M3758" s="6">
        <f>K3758*4</f>
        <v/>
      </c>
      <c r="N3758" s="6" t="n">
        <v>450</v>
      </c>
    </row>
    <row r="3759">
      <c r="A3759" s="1" t="inlineStr">
        <is>
          <t>67201533776845</t>
        </is>
      </c>
      <c r="B3759" s="1" t="inlineStr">
        <is>
          <t>ANILLO BEAN CON ZIRCONIA GOLD</t>
        </is>
      </c>
      <c r="C3759" s="1" t="inlineStr">
        <is>
          <t>6</t>
        </is>
      </c>
      <c r="D3759" s="1" t="inlineStr">
        <is>
          <t>20/01/2026</t>
        </is>
      </c>
      <c r="E3759" s="1" t="n">
        <v>2026</v>
      </c>
      <c r="F3759" s="1" t="inlineStr">
        <is>
          <t>ENERO</t>
        </is>
      </c>
      <c r="G3759" s="1" t="inlineStr">
        <is>
          <t>HAIFENG</t>
        </is>
      </c>
      <c r="H3759" s="1" t="inlineStr">
        <is>
          <t>HAIFENG 20/01/2026</t>
        </is>
      </c>
      <c r="I3759" s="4" t="n">
        <v>1</v>
      </c>
      <c r="J3759" s="6" t="n">
        <v>5</v>
      </c>
      <c r="K3759" s="6" t="n">
        <v>106.002089</v>
      </c>
      <c r="L3759" s="6">
        <f>I3759*K3759</f>
        <v/>
      </c>
      <c r="M3759" s="6">
        <f>K3759*4</f>
        <v/>
      </c>
      <c r="N3759" s="6" t="n">
        <v>450</v>
      </c>
    </row>
    <row r="3760">
      <c r="A3760" s="1" t="inlineStr">
        <is>
          <t>67201533776845</t>
        </is>
      </c>
      <c r="B3760" s="1" t="inlineStr">
        <is>
          <t>ANILLO BEAN CON ZIRCONIA GOLD</t>
        </is>
      </c>
      <c r="C3760" s="1" t="inlineStr">
        <is>
          <t>6</t>
        </is>
      </c>
      <c r="D3760" s="1" t="inlineStr">
        <is>
          <t>16/04/2026</t>
        </is>
      </c>
      <c r="E3760" s="1" t="n">
        <v>2026</v>
      </c>
      <c r="F3760" s="1" t="inlineStr">
        <is>
          <t>ABRIL</t>
        </is>
      </c>
      <c r="G3760" s="1" t="inlineStr">
        <is>
          <t>HAIFENG</t>
        </is>
      </c>
      <c r="H3760" s="1" t="inlineStr">
        <is>
          <t>HAIFENG 16/04/2026</t>
        </is>
      </c>
      <c r="I3760" s="4" t="n">
        <v>2</v>
      </c>
      <c r="J3760" s="6" t="n">
        <v>5</v>
      </c>
      <c r="K3760" s="6" t="n">
        <v>105.1573679</v>
      </c>
      <c r="L3760" s="6">
        <f>I3760*K3760</f>
        <v/>
      </c>
      <c r="M3760" s="6">
        <f>K3760*4</f>
        <v/>
      </c>
      <c r="N3760" s="6" t="n">
        <v>450</v>
      </c>
    </row>
    <row r="3761">
      <c r="A3761" s="1" t="inlineStr">
        <is>
          <t>67201533809613</t>
        </is>
      </c>
      <c r="B3761" s="1" t="inlineStr">
        <is>
          <t>ANILLO BEAN CON ZIRCONIA GOLD</t>
        </is>
      </c>
      <c r="C3761" s="1" t="inlineStr">
        <is>
          <t>7</t>
        </is>
      </c>
      <c r="D3761" s="1" t="inlineStr">
        <is>
          <t>25/09/2025</t>
        </is>
      </c>
      <c r="E3761" s="1" t="n">
        <v>2025</v>
      </c>
      <c r="F3761" s="1" t="inlineStr">
        <is>
          <t>SEPTIEMBRE</t>
        </is>
      </c>
      <c r="G3761" s="1" t="inlineStr">
        <is>
          <t>HAIFENG</t>
        </is>
      </c>
      <c r="H3761" s="1" t="inlineStr">
        <is>
          <t>HAIFENG 25/09/2025</t>
        </is>
      </c>
      <c r="I3761" s="4" t="n">
        <v>3</v>
      </c>
      <c r="J3761" s="6" t="n">
        <v>5</v>
      </c>
      <c r="K3761" s="6" t="n">
        <v>105.4844288</v>
      </c>
      <c r="L3761" s="6">
        <f>I3761*K3761</f>
        <v/>
      </c>
      <c r="M3761" s="6">
        <f>K3761*4</f>
        <v/>
      </c>
      <c r="N3761" s="6" t="n">
        <v>450</v>
      </c>
    </row>
    <row r="3762">
      <c r="A3762" s="1" t="inlineStr">
        <is>
          <t>67201533809613</t>
        </is>
      </c>
      <c r="B3762" s="1" t="inlineStr">
        <is>
          <t>ANILLO BEAN CON ZIRCONIA GOLD</t>
        </is>
      </c>
      <c r="C3762" s="1" t="inlineStr">
        <is>
          <t>7</t>
        </is>
      </c>
      <c r="D3762" s="1" t="inlineStr">
        <is>
          <t>20/01/2026</t>
        </is>
      </c>
      <c r="E3762" s="1" t="n">
        <v>2026</v>
      </c>
      <c r="F3762" s="1" t="inlineStr">
        <is>
          <t>ENERO</t>
        </is>
      </c>
      <c r="G3762" s="1" t="inlineStr">
        <is>
          <t>HAIFENG</t>
        </is>
      </c>
      <c r="H3762" s="1" t="inlineStr">
        <is>
          <t>HAIFENG 20/01/2026</t>
        </is>
      </c>
      <c r="I3762" s="4" t="n">
        <v>2</v>
      </c>
      <c r="J3762" s="6" t="n">
        <v>5</v>
      </c>
      <c r="K3762" s="6" t="n">
        <v>106.002089</v>
      </c>
      <c r="L3762" s="6">
        <f>I3762*K3762</f>
        <v/>
      </c>
      <c r="M3762" s="6">
        <f>K3762*4</f>
        <v/>
      </c>
      <c r="N3762" s="6" t="n">
        <v>450</v>
      </c>
    </row>
    <row r="3763">
      <c r="A3763" s="1" t="inlineStr">
        <is>
          <t>67201533809613</t>
        </is>
      </c>
      <c r="B3763" s="1" t="n"/>
      <c r="C3763" s="1" t="inlineStr">
        <is>
          <t>7</t>
        </is>
      </c>
      <c r="D3763" s="1" t="inlineStr">
        <is>
          <t>10/02/2026</t>
        </is>
      </c>
      <c r="E3763" s="1" t="n">
        <v>2026</v>
      </c>
      <c r="F3763" s="1" t="inlineStr">
        <is>
          <t>FEBRERO</t>
        </is>
      </c>
      <c r="G3763" s="1" t="inlineStr">
        <is>
          <t>HAIFENG</t>
        </is>
      </c>
      <c r="H3763" s="1" t="inlineStr">
        <is>
          <t>HAIFENG 10/02/2026</t>
        </is>
      </c>
      <c r="I3763" s="4" t="n">
        <v>2</v>
      </c>
      <c r="J3763" s="6" t="n">
        <v>5</v>
      </c>
      <c r="K3763" s="6" t="n">
        <v>105.3424803</v>
      </c>
      <c r="L3763" s="6">
        <f>I3763*K3763</f>
        <v/>
      </c>
      <c r="M3763" s="6">
        <f>K3763*4</f>
        <v/>
      </c>
      <c r="N3763" s="6" t="n">
        <v>450</v>
      </c>
    </row>
    <row r="3764">
      <c r="A3764" s="1" t="inlineStr">
        <is>
          <t>67201533942381</t>
        </is>
      </c>
      <c r="B3764" s="1" t="inlineStr">
        <is>
          <t>ANILLO BEAN CON ZIRCONIA GOLD</t>
        </is>
      </c>
      <c r="C3764" s="1" t="inlineStr">
        <is>
          <t>8</t>
        </is>
      </c>
      <c r="D3764" s="1" t="inlineStr">
        <is>
          <t>03/12/2025</t>
        </is>
      </c>
      <c r="E3764" s="1" t="n">
        <v>2025</v>
      </c>
      <c r="F3764" s="1" t="inlineStr">
        <is>
          <t>DICIEMBRE</t>
        </is>
      </c>
      <c r="G3764" s="1" t="inlineStr">
        <is>
          <t>HAIFENG</t>
        </is>
      </c>
      <c r="H3764" s="1" t="inlineStr">
        <is>
          <t>HAIFENG 03/12/2025</t>
        </is>
      </c>
      <c r="I3764" s="4" t="n">
        <v>2</v>
      </c>
      <c r="J3764" s="6" t="n">
        <v>5</v>
      </c>
      <c r="K3764" s="6" t="n">
        <v>104.5858001</v>
      </c>
      <c r="L3764" s="6">
        <f>I3764*K3764</f>
        <v/>
      </c>
      <c r="M3764" s="6">
        <f>K3764*4</f>
        <v/>
      </c>
      <c r="N3764" s="6" t="n">
        <v>450</v>
      </c>
    </row>
    <row r="3765">
      <c r="A3765" s="1" t="inlineStr">
        <is>
          <t>67201534097677</t>
        </is>
      </c>
      <c r="B3765" s="1" t="inlineStr">
        <is>
          <t>ANILLO KNOT CON ZIRCONIAS T GOLD</t>
        </is>
      </c>
      <c r="C3765" s="1" t="inlineStr">
        <is>
          <t>6</t>
        </is>
      </c>
      <c r="D3765" s="1" t="inlineStr">
        <is>
          <t>16/04/2026</t>
        </is>
      </c>
      <c r="E3765" s="1" t="n">
        <v>2026</v>
      </c>
      <c r="F3765" s="1" t="inlineStr">
        <is>
          <t>ABRIL</t>
        </is>
      </c>
      <c r="G3765" s="1" t="inlineStr">
        <is>
          <t>HAIFENG</t>
        </is>
      </c>
      <c r="H3765" s="1" t="inlineStr">
        <is>
          <t>HAIFENG 16/04/2026</t>
        </is>
      </c>
      <c r="I3765" s="4" t="n">
        <v>1</v>
      </c>
      <c r="J3765" s="6" t="n">
        <v>2</v>
      </c>
      <c r="K3765" s="6" t="n">
        <v>42.06294718</v>
      </c>
      <c r="L3765" s="6">
        <f>I3765*K3765</f>
        <v/>
      </c>
      <c r="M3765" s="6">
        <f>K3765*4</f>
        <v/>
      </c>
      <c r="N3765" s="6" t="n">
        <v>460</v>
      </c>
    </row>
    <row r="3766">
      <c r="A3766" s="1" t="inlineStr">
        <is>
          <t>67201534287725</t>
        </is>
      </c>
      <c r="B3766" s="1" t="inlineStr">
        <is>
          <t>ANILLO MINI BEAN T SILVER</t>
        </is>
      </c>
      <c r="C3766" s="1" t="inlineStr">
        <is>
          <t>6</t>
        </is>
      </c>
      <c r="D3766" s="1" t="inlineStr">
        <is>
          <t>03/12/2025</t>
        </is>
      </c>
      <c r="E3766" s="1" t="n">
        <v>2025</v>
      </c>
      <c r="F3766" s="1" t="inlineStr">
        <is>
          <t>DICIEMBRE</t>
        </is>
      </c>
      <c r="G3766" s="1" t="inlineStr">
        <is>
          <t>HAIFENG</t>
        </is>
      </c>
      <c r="H3766" s="1" t="inlineStr">
        <is>
          <t>HAIFENG 03/12/2025</t>
        </is>
      </c>
      <c r="I3766" s="4" t="n">
        <v>2</v>
      </c>
      <c r="J3766" s="6" t="n">
        <v>5</v>
      </c>
      <c r="K3766" s="6" t="n">
        <v>104.5858001</v>
      </c>
      <c r="L3766" s="6">
        <f>I3766*K3766</f>
        <v/>
      </c>
      <c r="M3766" s="6">
        <f>K3766*4</f>
        <v/>
      </c>
      <c r="N3766" s="6" t="n">
        <v>495</v>
      </c>
    </row>
    <row r="3767">
      <c r="A3767" s="1" t="inlineStr">
        <is>
          <t>67201534287725</t>
        </is>
      </c>
      <c r="B3767" s="1" t="inlineStr">
        <is>
          <t>ANILLO MINI BEAN T SILVER</t>
        </is>
      </c>
      <c r="C3767" s="1" t="inlineStr">
        <is>
          <t>6</t>
        </is>
      </c>
      <c r="D3767" s="1" t="inlineStr">
        <is>
          <t>20/01/2026</t>
        </is>
      </c>
      <c r="E3767" s="1" t="n">
        <v>2026</v>
      </c>
      <c r="F3767" s="1" t="inlineStr">
        <is>
          <t>ENERO</t>
        </is>
      </c>
      <c r="G3767" s="1" t="inlineStr">
        <is>
          <t>HAIFENG</t>
        </is>
      </c>
      <c r="H3767" s="1" t="inlineStr">
        <is>
          <t>HAIFENG 20/01/2026</t>
        </is>
      </c>
      <c r="I3767" s="4" t="n">
        <v>2</v>
      </c>
      <c r="J3767" s="6" t="n">
        <v>5</v>
      </c>
      <c r="K3767" s="6" t="n">
        <v>106.002089</v>
      </c>
      <c r="L3767" s="6">
        <f>I3767*K3767</f>
        <v/>
      </c>
      <c r="M3767" s="6">
        <f>K3767*4</f>
        <v/>
      </c>
      <c r="N3767" s="6" t="n">
        <v>495</v>
      </c>
    </row>
    <row r="3768">
      <c r="A3768" s="1" t="inlineStr">
        <is>
          <t>67201534287725</t>
        </is>
      </c>
      <c r="B3768" s="1" t="inlineStr">
        <is>
          <t>ANILLO BEAN T SILVER MINI</t>
        </is>
      </c>
      <c r="C3768" s="1" t="inlineStr">
        <is>
          <t>6</t>
        </is>
      </c>
      <c r="D3768" s="1" t="inlineStr">
        <is>
          <t>10/02/2026</t>
        </is>
      </c>
      <c r="E3768" s="1" t="n">
        <v>2026</v>
      </c>
      <c r="F3768" s="1" t="inlineStr">
        <is>
          <t>FEBRERO</t>
        </is>
      </c>
      <c r="G3768" s="1" t="inlineStr">
        <is>
          <t>HAIFENG</t>
        </is>
      </c>
      <c r="H3768" s="1" t="inlineStr">
        <is>
          <t>HAIFENG 10/02/2026</t>
        </is>
      </c>
      <c r="I3768" s="4" t="n">
        <v>1</v>
      </c>
      <c r="J3768" s="6" t="n">
        <v>5</v>
      </c>
      <c r="K3768" s="6" t="n">
        <v>105.3424803</v>
      </c>
      <c r="L3768" s="6">
        <f>I3768*K3768</f>
        <v/>
      </c>
      <c r="M3768" s="6">
        <f>K3768*4</f>
        <v/>
      </c>
      <c r="N3768" s="6" t="n">
        <v>495</v>
      </c>
    </row>
    <row r="3769">
      <c r="A3769" s="1" t="inlineStr">
        <is>
          <t>67201534320493</t>
        </is>
      </c>
      <c r="B3769" s="1" t="inlineStr">
        <is>
          <t>ANILLO MINI BEAN T SILVER</t>
        </is>
      </c>
      <c r="C3769" s="1" t="inlineStr">
        <is>
          <t>7</t>
        </is>
      </c>
      <c r="D3769" s="1" t="inlineStr">
        <is>
          <t>11/11/2025</t>
        </is>
      </c>
      <c r="E3769" s="1" t="n">
        <v>2025</v>
      </c>
      <c r="F3769" s="1" t="inlineStr">
        <is>
          <t>NOVIEMBRE</t>
        </is>
      </c>
      <c r="G3769" s="1" t="inlineStr">
        <is>
          <t>HAIFENG</t>
        </is>
      </c>
      <c r="H3769" s="1" t="inlineStr">
        <is>
          <t>HAIFENG 11/11/2025</t>
        </is>
      </c>
      <c r="I3769" s="4" t="n">
        <v>3</v>
      </c>
      <c r="J3769" s="6" t="n">
        <v>5</v>
      </c>
      <c r="K3769" s="6" t="n">
        <v>105.3024922</v>
      </c>
      <c r="L3769" s="6">
        <f>I3769*K3769</f>
        <v/>
      </c>
      <c r="M3769" s="6">
        <f>K3769*4</f>
        <v/>
      </c>
      <c r="N3769" s="6" t="n">
        <v>495</v>
      </c>
    </row>
    <row r="3770">
      <c r="A3770" s="1" t="inlineStr">
        <is>
          <t>67201534320493</t>
        </is>
      </c>
      <c r="B3770" s="1" t="inlineStr">
        <is>
          <t>ANILLO MINI BEAN T SILVER</t>
        </is>
      </c>
      <c r="C3770" s="1" t="inlineStr">
        <is>
          <t>7</t>
        </is>
      </c>
      <c r="D3770" s="1" t="inlineStr">
        <is>
          <t>03/12/2025</t>
        </is>
      </c>
      <c r="E3770" s="1" t="n">
        <v>2025</v>
      </c>
      <c r="F3770" s="1" t="inlineStr">
        <is>
          <t>DICIEMBRE</t>
        </is>
      </c>
      <c r="G3770" s="1" t="inlineStr">
        <is>
          <t>HAIFENG</t>
        </is>
      </c>
      <c r="H3770" s="1" t="inlineStr">
        <is>
          <t>HAIFENG 03/12/2025</t>
        </is>
      </c>
      <c r="I3770" s="4" t="n">
        <v>4</v>
      </c>
      <c r="J3770" s="6" t="n">
        <v>5</v>
      </c>
      <c r="K3770" s="6" t="n">
        <v>104.5858001</v>
      </c>
      <c r="L3770" s="6">
        <f>I3770*K3770</f>
        <v/>
      </c>
      <c r="M3770" s="6">
        <f>K3770*4</f>
        <v/>
      </c>
      <c r="N3770" s="6" t="n">
        <v>495</v>
      </c>
    </row>
    <row r="3771">
      <c r="A3771" s="1" t="inlineStr">
        <is>
          <t>67201534320493</t>
        </is>
      </c>
      <c r="B3771" s="1" t="inlineStr">
        <is>
          <t>ANILLO MINI BEAN T SILVER</t>
        </is>
      </c>
      <c r="C3771" s="1" t="inlineStr">
        <is>
          <t>7</t>
        </is>
      </c>
      <c r="D3771" s="1" t="inlineStr">
        <is>
          <t>20/01/2026</t>
        </is>
      </c>
      <c r="E3771" s="1" t="n">
        <v>2026</v>
      </c>
      <c r="F3771" s="1" t="inlineStr">
        <is>
          <t>ENERO</t>
        </is>
      </c>
      <c r="G3771" s="1" t="inlineStr">
        <is>
          <t>HAIFENG</t>
        </is>
      </c>
      <c r="H3771" s="1" t="inlineStr">
        <is>
          <t>HAIFENG 20/01/2026</t>
        </is>
      </c>
      <c r="I3771" s="4" t="n">
        <v>2</v>
      </c>
      <c r="J3771" s="6" t="n">
        <v>5</v>
      </c>
      <c r="K3771" s="6" t="n">
        <v>106.002089</v>
      </c>
      <c r="L3771" s="6">
        <f>I3771*K3771</f>
        <v/>
      </c>
      <c r="M3771" s="6">
        <f>K3771*4</f>
        <v/>
      </c>
      <c r="N3771" s="6" t="n">
        <v>495</v>
      </c>
    </row>
    <row r="3772">
      <c r="A3772" s="1" t="inlineStr">
        <is>
          <t>67201534427213</t>
        </is>
      </c>
      <c r="B3772" s="1" t="inlineStr">
        <is>
          <t>PULSERA DOBLE CADENA Y PLACA ESTILO CORAZÓN T SILVER</t>
        </is>
      </c>
      <c r="C3772" s="1" t="inlineStr">
        <is>
          <t>Default Title</t>
        </is>
      </c>
      <c r="D3772" s="1" t="inlineStr">
        <is>
          <t>25/09/2025</t>
        </is>
      </c>
      <c r="E3772" s="1" t="n">
        <v>2025</v>
      </c>
      <c r="F3772" s="1" t="inlineStr">
        <is>
          <t>SEPTIEMBRE</t>
        </is>
      </c>
      <c r="G3772" s="1" t="inlineStr">
        <is>
          <t>HAIFENG</t>
        </is>
      </c>
      <c r="H3772" s="1" t="inlineStr">
        <is>
          <t>HAIFENG 25/09/2025</t>
        </is>
      </c>
      <c r="I3772" s="4" t="n">
        <v>2</v>
      </c>
      <c r="J3772" s="6" t="n">
        <v>5</v>
      </c>
      <c r="K3772" s="6" t="n">
        <v>105.4844288</v>
      </c>
      <c r="L3772" s="6">
        <f>I3772*K3772</f>
        <v/>
      </c>
      <c r="M3772" s="6">
        <f>K3772*4</f>
        <v/>
      </c>
      <c r="N3772" s="6" t="n">
        <v>525</v>
      </c>
    </row>
    <row r="3773">
      <c r="A3773" s="1" t="inlineStr">
        <is>
          <t>67201534427213</t>
        </is>
      </c>
      <c r="B3773" s="1" t="inlineStr">
        <is>
          <t>PULSERA DOBLE CADENA Y PLACA ESTILO CORAZON T SILVER</t>
        </is>
      </c>
      <c r="C3773" s="1" t="inlineStr">
        <is>
          <t>Default Title</t>
        </is>
      </c>
      <c r="D3773" s="1" t="inlineStr">
        <is>
          <t>25/09/2025</t>
        </is>
      </c>
      <c r="E3773" s="1" t="n">
        <v>2025</v>
      </c>
      <c r="F3773" s="1" t="inlineStr">
        <is>
          <t>SEPTIEMBRE</t>
        </is>
      </c>
      <c r="G3773" s="1" t="inlineStr">
        <is>
          <t>HAIFENG</t>
        </is>
      </c>
      <c r="H3773" s="1" t="inlineStr">
        <is>
          <t>HAIFENG 25/09/2025</t>
        </is>
      </c>
      <c r="I3773" s="4" t="n">
        <v>3</v>
      </c>
      <c r="J3773" s="6" t="n">
        <v>5</v>
      </c>
      <c r="K3773" s="6" t="n">
        <v>105.4844288</v>
      </c>
      <c r="L3773" s="6">
        <f>I3773*K3773</f>
        <v/>
      </c>
      <c r="M3773" s="6">
        <f>K3773*4</f>
        <v/>
      </c>
      <c r="N3773" s="6" t="n">
        <v>525</v>
      </c>
    </row>
    <row r="3774">
      <c r="A3774" s="1" t="inlineStr">
        <is>
          <t>67201534427213</t>
        </is>
      </c>
      <c r="B3774" s="1" t="inlineStr">
        <is>
          <t>PULSERA DOBLE CADENA Y PLACA ESTILO CORAZÓN T SILVER</t>
        </is>
      </c>
      <c r="C3774" s="1" t="inlineStr">
        <is>
          <t>Default Title</t>
        </is>
      </c>
      <c r="D3774" s="1" t="inlineStr">
        <is>
          <t>03/12/2025</t>
        </is>
      </c>
      <c r="E3774" s="1" t="n">
        <v>2025</v>
      </c>
      <c r="F3774" s="1" t="inlineStr">
        <is>
          <t>DICIEMBRE</t>
        </is>
      </c>
      <c r="G3774" s="1" t="inlineStr">
        <is>
          <t>HAIFENG</t>
        </is>
      </c>
      <c r="H3774" s="1" t="inlineStr">
        <is>
          <t>HAIFENG 03/12/2025</t>
        </is>
      </c>
      <c r="I3774" s="4" t="n">
        <v>8</v>
      </c>
      <c r="J3774" s="6" t="n">
        <v>5</v>
      </c>
      <c r="K3774" s="6" t="n">
        <v>104.5858001</v>
      </c>
      <c r="L3774" s="6">
        <f>I3774*K3774</f>
        <v/>
      </c>
      <c r="M3774" s="6">
        <f>K3774*4</f>
        <v/>
      </c>
      <c r="N3774" s="6" t="n">
        <v>525</v>
      </c>
    </row>
    <row r="3775">
      <c r="A3775" s="1" t="inlineStr">
        <is>
          <t>67201534427213</t>
        </is>
      </c>
      <c r="B3775" s="1" t="inlineStr">
        <is>
          <t>PULSERA DOBLE CADENA Y PLACA ESTILO CORAZÓN T SILVER</t>
        </is>
      </c>
      <c r="C3775" s="1" t="inlineStr">
        <is>
          <t>Default Title</t>
        </is>
      </c>
      <c r="D3775" s="1" t="inlineStr">
        <is>
          <t>16/04/2026</t>
        </is>
      </c>
      <c r="E3775" s="1" t="n">
        <v>2026</v>
      </c>
      <c r="F3775" s="1" t="inlineStr">
        <is>
          <t>ABRIL</t>
        </is>
      </c>
      <c r="G3775" s="1" t="inlineStr">
        <is>
          <t>HAIFENG</t>
        </is>
      </c>
      <c r="H3775" s="1" t="inlineStr">
        <is>
          <t>HAIFENG 16/04/2026</t>
        </is>
      </c>
      <c r="I3775" s="4" t="n">
        <v>9</v>
      </c>
      <c r="J3775" s="6" t="n">
        <v>5</v>
      </c>
      <c r="K3775" s="6" t="n">
        <v>105.1573679</v>
      </c>
      <c r="L3775" s="6">
        <f>I3775*K3775</f>
        <v/>
      </c>
      <c r="M3775" s="6">
        <f>K3775*4</f>
        <v/>
      </c>
      <c r="N3775" s="6" t="n">
        <v>525</v>
      </c>
    </row>
    <row r="3776">
      <c r="A3776" s="1" t="inlineStr">
        <is>
          <t>67201534558861</t>
        </is>
      </c>
      <c r="B3776" s="1" t="inlineStr">
        <is>
          <t>COLLAR OPEN HEART ROSE GOLD</t>
        </is>
      </c>
      <c r="C3776" s="1" t="inlineStr">
        <is>
          <t>Default Title</t>
        </is>
      </c>
      <c r="D3776" s="1" t="inlineStr">
        <is>
          <t>11/11/2025</t>
        </is>
      </c>
      <c r="E3776" s="1" t="n">
        <v>2025</v>
      </c>
      <c r="F3776" s="1" t="inlineStr">
        <is>
          <t>NOVIEMBRE</t>
        </is>
      </c>
      <c r="G3776" s="1" t="inlineStr">
        <is>
          <t>HAIFENG</t>
        </is>
      </c>
      <c r="H3776" s="1" t="inlineStr">
        <is>
          <t>HAIFENG 11/11/2025</t>
        </is>
      </c>
      <c r="I3776" s="4" t="n">
        <v>4</v>
      </c>
      <c r="J3776" s="6" t="n">
        <v>7</v>
      </c>
      <c r="K3776" s="6" t="n">
        <v>147.4234891</v>
      </c>
      <c r="L3776" s="6">
        <f>I3776*K3776</f>
        <v/>
      </c>
      <c r="M3776" s="6">
        <f>K3776*4</f>
        <v/>
      </c>
      <c r="N3776" s="6" t="n">
        <v>577</v>
      </c>
    </row>
    <row r="3777">
      <c r="A3777" s="1" t="inlineStr">
        <is>
          <t>67201534558861</t>
        </is>
      </c>
      <c r="B3777" s="1" t="inlineStr">
        <is>
          <t>COLLAR OPEN HEART ROSE GOLD</t>
        </is>
      </c>
      <c r="C3777" s="1" t="inlineStr">
        <is>
          <t>Default Title</t>
        </is>
      </c>
      <c r="D3777" s="1" t="inlineStr">
        <is>
          <t>03/12/2025</t>
        </is>
      </c>
      <c r="E3777" s="1" t="n">
        <v>2025</v>
      </c>
      <c r="F3777" s="1" t="inlineStr">
        <is>
          <t>DICIEMBRE</t>
        </is>
      </c>
      <c r="G3777" s="1" t="inlineStr">
        <is>
          <t>HAIFENG</t>
        </is>
      </c>
      <c r="H3777" s="1" t="inlineStr">
        <is>
          <t>HAIFENG 03/12/2025</t>
        </is>
      </c>
      <c r="I3777" s="4" t="n">
        <v>4</v>
      </c>
      <c r="J3777" s="6" t="n">
        <v>7</v>
      </c>
      <c r="K3777" s="6" t="n">
        <v>146.4201201</v>
      </c>
      <c r="L3777" s="6">
        <f>I3777*K3777</f>
        <v/>
      </c>
      <c r="M3777" s="6">
        <f>K3777*4</f>
        <v/>
      </c>
      <c r="N3777" s="6" t="n">
        <v>577</v>
      </c>
    </row>
    <row r="3778">
      <c r="A3778" s="1" t="inlineStr">
        <is>
          <t>67201534607245</t>
        </is>
      </c>
      <c r="B3778" s="1" t="inlineStr">
        <is>
          <t>COLLAR OPEN HEART GOLD</t>
        </is>
      </c>
      <c r="C3778" s="1" t="inlineStr">
        <is>
          <t>Default Title</t>
        </is>
      </c>
      <c r="D3778" s="1" t="inlineStr">
        <is>
          <t>11/11/2025</t>
        </is>
      </c>
      <c r="E3778" s="1" t="n">
        <v>2025</v>
      </c>
      <c r="F3778" s="1" t="inlineStr">
        <is>
          <t>NOVIEMBRE</t>
        </is>
      </c>
      <c r="G3778" s="1" t="inlineStr">
        <is>
          <t>HAIFENG</t>
        </is>
      </c>
      <c r="H3778" s="1" t="inlineStr">
        <is>
          <t>HAIFENG 11/11/2025</t>
        </is>
      </c>
      <c r="I3778" s="4" t="n">
        <v>4</v>
      </c>
      <c r="J3778" s="6" t="n">
        <v>7</v>
      </c>
      <c r="K3778" s="6" t="n">
        <v>147.4234891</v>
      </c>
      <c r="L3778" s="6">
        <f>I3778*K3778</f>
        <v/>
      </c>
      <c r="M3778" s="6">
        <f>K3778*4</f>
        <v/>
      </c>
      <c r="N3778" s="6" t="n">
        <v>599</v>
      </c>
    </row>
    <row r="3779">
      <c r="A3779" s="1" t="inlineStr">
        <is>
          <t>67201534607245</t>
        </is>
      </c>
      <c r="B3779" s="1" t="inlineStr">
        <is>
          <t>COLLAR OPEN HEART GOLD</t>
        </is>
      </c>
      <c r="C3779" s="1" t="inlineStr">
        <is>
          <t>Default Title</t>
        </is>
      </c>
      <c r="D3779" s="1" t="inlineStr">
        <is>
          <t>03/12/2025</t>
        </is>
      </c>
      <c r="E3779" s="1" t="n">
        <v>2025</v>
      </c>
      <c r="F3779" s="1" t="inlineStr">
        <is>
          <t>DICIEMBRE</t>
        </is>
      </c>
      <c r="G3779" s="1" t="inlineStr">
        <is>
          <t>HAIFENG</t>
        </is>
      </c>
      <c r="H3779" s="1" t="inlineStr">
        <is>
          <t>HAIFENG 03/12/2025</t>
        </is>
      </c>
      <c r="I3779" s="4" t="n">
        <v>3</v>
      </c>
      <c r="J3779" s="6" t="n">
        <v>7</v>
      </c>
      <c r="K3779" s="6" t="n">
        <v>146.4201201</v>
      </c>
      <c r="L3779" s="6">
        <f>I3779*K3779</f>
        <v/>
      </c>
      <c r="M3779" s="6">
        <f>K3779*4</f>
        <v/>
      </c>
      <c r="N3779" s="6" t="n">
        <v>599</v>
      </c>
    </row>
    <row r="3780">
      <c r="A3780" s="1" t="inlineStr">
        <is>
          <t>67201534607245</t>
        </is>
      </c>
      <c r="B3780" s="1" t="inlineStr">
        <is>
          <t>COLLAR OPEN HEART GOLD</t>
        </is>
      </c>
      <c r="C3780" s="1" t="inlineStr">
        <is>
          <t>Default Title</t>
        </is>
      </c>
      <c r="D3780" s="1" t="inlineStr">
        <is>
          <t>10/02/2026</t>
        </is>
      </c>
      <c r="E3780" s="1" t="n">
        <v>2026</v>
      </c>
      <c r="F3780" s="1" t="inlineStr">
        <is>
          <t>FEBRERO</t>
        </is>
      </c>
      <c r="G3780" s="1" t="inlineStr">
        <is>
          <t>HAIFENG</t>
        </is>
      </c>
      <c r="H3780" s="1" t="inlineStr">
        <is>
          <t>HAIFENG 10/02/2026</t>
        </is>
      </c>
      <c r="I3780" s="4" t="n">
        <v>6</v>
      </c>
      <c r="J3780" s="6" t="n">
        <v>7</v>
      </c>
      <c r="K3780" s="6" t="n">
        <v>147.4794725</v>
      </c>
      <c r="L3780" s="6">
        <f>I3780*K3780</f>
        <v/>
      </c>
      <c r="M3780" s="6">
        <f>K3780*4</f>
        <v/>
      </c>
      <c r="N3780" s="6" t="n">
        <v>599</v>
      </c>
    </row>
    <row r="3781">
      <c r="A3781" s="1" t="inlineStr">
        <is>
          <t>67201534607245</t>
        </is>
      </c>
      <c r="B3781" s="1" t="inlineStr">
        <is>
          <t>COLLAR OPEN HEART GOLD</t>
        </is>
      </c>
      <c r="C3781" s="1" t="inlineStr">
        <is>
          <t>Default Title</t>
        </is>
      </c>
      <c r="D3781" s="1" t="inlineStr">
        <is>
          <t>16/04/2026</t>
        </is>
      </c>
      <c r="E3781" s="1" t="n">
        <v>2026</v>
      </c>
      <c r="F3781" s="1" t="inlineStr">
        <is>
          <t>ABRIL</t>
        </is>
      </c>
      <c r="G3781" s="1" t="inlineStr">
        <is>
          <t>HAIFENG</t>
        </is>
      </c>
      <c r="H3781" s="1" t="inlineStr">
        <is>
          <t>HAIFENG 16/04/2026</t>
        </is>
      </c>
      <c r="I3781" s="4" t="n">
        <v>2</v>
      </c>
      <c r="J3781" s="6" t="n">
        <v>7</v>
      </c>
      <c r="K3781" s="6" t="n">
        <v>147.2203151</v>
      </c>
      <c r="L3781" s="6">
        <f>I3781*K3781</f>
        <v/>
      </c>
      <c r="M3781" s="6">
        <f>K3781*4</f>
        <v/>
      </c>
      <c r="N3781" s="6" t="n">
        <v>599</v>
      </c>
    </row>
    <row r="3782">
      <c r="A3782" s="1" t="inlineStr">
        <is>
          <t>67201534607245</t>
        </is>
      </c>
      <c r="B3782" s="1" t="inlineStr">
        <is>
          <t>COLLAR OPEN HEART GOLD</t>
        </is>
      </c>
      <c r="C3782" s="1" t="inlineStr">
        <is>
          <t>Default Title</t>
        </is>
      </c>
      <c r="D3782" s="1" t="inlineStr">
        <is>
          <t>16/06/2026</t>
        </is>
      </c>
      <c r="E3782" s="1" t="n">
        <v>2026</v>
      </c>
      <c r="F3782" s="1" t="inlineStr">
        <is>
          <t>JUNIO</t>
        </is>
      </c>
      <c r="G3782" s="1" t="inlineStr">
        <is>
          <t>HAIFENG</t>
        </is>
      </c>
      <c r="H3782" s="1" t="inlineStr">
        <is>
          <t>HAIFENG 16/06/2026</t>
        </is>
      </c>
      <c r="I3782" s="4" t="n">
        <v>7</v>
      </c>
      <c r="J3782" s="6" t="n">
        <v>7</v>
      </c>
      <c r="K3782" s="6" t="n">
        <v>147.1022452</v>
      </c>
      <c r="L3782" s="6">
        <f>I3782*K3782</f>
        <v/>
      </c>
      <c r="M3782" s="6">
        <f>K3782*4</f>
        <v/>
      </c>
      <c r="N3782" s="6" t="n">
        <v>599</v>
      </c>
    </row>
    <row r="3783">
      <c r="A3783" s="1" t="inlineStr">
        <is>
          <t>67201534708013</t>
        </is>
      </c>
      <c r="B3783" s="1" t="inlineStr">
        <is>
          <t>COLLAR CRUZ T GOLD</t>
        </is>
      </c>
      <c r="C3783" s="1" t="inlineStr">
        <is>
          <t>Default Title</t>
        </is>
      </c>
      <c r="D3783" s="1" t="inlineStr">
        <is>
          <t>25/09/2025</t>
        </is>
      </c>
      <c r="E3783" s="1" t="n">
        <v>2025</v>
      </c>
      <c r="F3783" s="1" t="inlineStr">
        <is>
          <t>SEPTIEMBRE</t>
        </is>
      </c>
      <c r="G3783" s="1" t="inlineStr">
        <is>
          <t>HAIFENG</t>
        </is>
      </c>
      <c r="H3783" s="1" t="inlineStr">
        <is>
          <t>HAIFENG 25/09/2025</t>
        </is>
      </c>
      <c r="I3783" s="4" t="n">
        <v>3</v>
      </c>
      <c r="J3783" s="6" t="n">
        <v>7</v>
      </c>
      <c r="K3783" s="6" t="n">
        <v>147.6782004</v>
      </c>
      <c r="L3783" s="6">
        <f>I3783*K3783</f>
        <v/>
      </c>
      <c r="M3783" s="6">
        <f>K3783*4</f>
        <v/>
      </c>
      <c r="N3783" s="6" t="n">
        <v>577</v>
      </c>
    </row>
    <row r="3784">
      <c r="A3784" s="1" t="inlineStr">
        <is>
          <t>67201534708013</t>
        </is>
      </c>
      <c r="B3784" s="1" t="inlineStr">
        <is>
          <t>COLLAR CRUZ T GOLD</t>
        </is>
      </c>
      <c r="C3784" s="1" t="inlineStr">
        <is>
          <t>Default Title</t>
        </is>
      </c>
      <c r="D3784" s="1" t="inlineStr">
        <is>
          <t>11/11/2025</t>
        </is>
      </c>
      <c r="E3784" s="1" t="n">
        <v>2025</v>
      </c>
      <c r="F3784" s="1" t="inlineStr">
        <is>
          <t>NOVIEMBRE</t>
        </is>
      </c>
      <c r="G3784" s="1" t="inlineStr">
        <is>
          <t>HAIFENG</t>
        </is>
      </c>
      <c r="H3784" s="1" t="inlineStr">
        <is>
          <t>HAIFENG 11/11/2025</t>
        </is>
      </c>
      <c r="I3784" s="4" t="n">
        <v>2</v>
      </c>
      <c r="J3784" s="6" t="n">
        <v>7</v>
      </c>
      <c r="K3784" s="6" t="n">
        <v>147.4234891</v>
      </c>
      <c r="L3784" s="6">
        <f>I3784*K3784</f>
        <v/>
      </c>
      <c r="M3784" s="6">
        <f>K3784*4</f>
        <v/>
      </c>
      <c r="N3784" s="6" t="n">
        <v>577</v>
      </c>
    </row>
    <row r="3785">
      <c r="A3785" s="1" t="inlineStr">
        <is>
          <t>67201534708013</t>
        </is>
      </c>
      <c r="B3785" s="1" t="inlineStr">
        <is>
          <t>COLLAR CRUZ T GOLD</t>
        </is>
      </c>
      <c r="C3785" s="1" t="inlineStr">
        <is>
          <t>Default Title</t>
        </is>
      </c>
      <c r="D3785" s="1" t="inlineStr">
        <is>
          <t>03/12/2025</t>
        </is>
      </c>
      <c r="E3785" s="1" t="n">
        <v>2025</v>
      </c>
      <c r="F3785" s="1" t="inlineStr">
        <is>
          <t>DICIEMBRE</t>
        </is>
      </c>
      <c r="G3785" s="1" t="inlineStr">
        <is>
          <t>HAIFENG</t>
        </is>
      </c>
      <c r="H3785" s="1" t="inlineStr">
        <is>
          <t>HAIFENG 03/12/2025</t>
        </is>
      </c>
      <c r="I3785" s="4" t="n">
        <v>5</v>
      </c>
      <c r="J3785" s="6" t="n">
        <v>7</v>
      </c>
      <c r="K3785" s="6" t="n">
        <v>146.4201201</v>
      </c>
      <c r="L3785" s="6">
        <f>I3785*K3785</f>
        <v/>
      </c>
      <c r="M3785" s="6">
        <f>K3785*4</f>
        <v/>
      </c>
      <c r="N3785" s="6" t="n">
        <v>577</v>
      </c>
    </row>
    <row r="3786">
      <c r="A3786" s="1" t="inlineStr">
        <is>
          <t>67201534708013</t>
        </is>
      </c>
      <c r="B3786" s="1" t="inlineStr">
        <is>
          <t>COLLAR CRUZ T GOLD</t>
        </is>
      </c>
      <c r="C3786" s="1" t="inlineStr">
        <is>
          <t>Default Title</t>
        </is>
      </c>
      <c r="D3786" s="1" t="inlineStr">
        <is>
          <t>10/02/2026</t>
        </is>
      </c>
      <c r="E3786" s="1" t="n">
        <v>2026</v>
      </c>
      <c r="F3786" s="1" t="inlineStr">
        <is>
          <t>FEBRERO</t>
        </is>
      </c>
      <c r="G3786" s="1" t="inlineStr">
        <is>
          <t>HAIFENG</t>
        </is>
      </c>
      <c r="H3786" s="1" t="inlineStr">
        <is>
          <t>HAIFENG 10/02/2026</t>
        </is>
      </c>
      <c r="I3786" s="4" t="n">
        <v>8</v>
      </c>
      <c r="J3786" s="6" t="n">
        <v>7</v>
      </c>
      <c r="K3786" s="6" t="n">
        <v>147.4794725</v>
      </c>
      <c r="L3786" s="6">
        <f>I3786*K3786</f>
        <v/>
      </c>
      <c r="M3786" s="6">
        <f>K3786*4</f>
        <v/>
      </c>
      <c r="N3786" s="6" t="n">
        <v>577</v>
      </c>
    </row>
    <row r="3787">
      <c r="A3787" s="1" t="inlineStr">
        <is>
          <t>67201534708013</t>
        </is>
      </c>
      <c r="B3787" s="1" t="inlineStr">
        <is>
          <t>COLLAR CRUZ T GOLD</t>
        </is>
      </c>
      <c r="C3787" s="1" t="inlineStr">
        <is>
          <t>Default Title</t>
        </is>
      </c>
      <c r="D3787" s="1" t="inlineStr">
        <is>
          <t>06/05/2026</t>
        </is>
      </c>
      <c r="E3787" s="1" t="n">
        <v>2026</v>
      </c>
      <c r="F3787" s="1" t="inlineStr">
        <is>
          <t>MAYO</t>
        </is>
      </c>
      <c r="G3787" s="1" t="inlineStr">
        <is>
          <t>HAIFENG</t>
        </is>
      </c>
      <c r="H3787" s="1" t="inlineStr">
        <is>
          <t>HAIFENG 06/05/2026</t>
        </is>
      </c>
      <c r="I3787" s="4" t="n">
        <v>10</v>
      </c>
      <c r="J3787" s="6" t="n">
        <v>7</v>
      </c>
      <c r="K3787" s="6" t="n">
        <v>148.5304959</v>
      </c>
      <c r="L3787" s="6">
        <f>I3787*K3787</f>
        <v/>
      </c>
      <c r="M3787" s="6">
        <f>K3787*4</f>
        <v/>
      </c>
      <c r="N3787" s="6" t="n">
        <v>577</v>
      </c>
    </row>
    <row r="3788">
      <c r="A3788" s="1" t="inlineStr">
        <is>
          <t>67201534868749</t>
        </is>
      </c>
      <c r="B3788" s="1" t="inlineStr">
        <is>
          <t>ARETES CON DOBLE CIERRE T GOLD</t>
        </is>
      </c>
      <c r="C3788" s="1" t="inlineStr">
        <is>
          <t>Default Title</t>
        </is>
      </c>
      <c r="D3788" s="1" t="inlineStr">
        <is>
          <t>01/09/2025</t>
        </is>
      </c>
      <c r="E3788" s="1" t="n">
        <v>2025</v>
      </c>
      <c r="F3788" s="1" t="inlineStr">
        <is>
          <t>SEPTIEMBRE</t>
        </is>
      </c>
      <c r="G3788" s="1" t="inlineStr">
        <is>
          <t>HAIFENG</t>
        </is>
      </c>
      <c r="H3788" s="1" t="inlineStr">
        <is>
          <t>HAIFENG 01/09/2025</t>
        </is>
      </c>
      <c r="I3788" s="4" t="n">
        <v>4</v>
      </c>
      <c r="J3788" s="6" t="n">
        <v>5</v>
      </c>
      <c r="K3788" s="6" t="n">
        <v>106.2783553</v>
      </c>
      <c r="L3788" s="6">
        <f>I3788*K3788</f>
        <v/>
      </c>
      <c r="M3788" s="6">
        <f>K3788*4</f>
        <v/>
      </c>
      <c r="N3788" s="6" t="n">
        <v>670</v>
      </c>
    </row>
    <row r="3789">
      <c r="A3789" s="1" t="inlineStr">
        <is>
          <t>67201534868749</t>
        </is>
      </c>
      <c r="B3789" s="1" t="inlineStr">
        <is>
          <t>ARETES CON DOBLE CIERRE T GOLD</t>
        </is>
      </c>
      <c r="C3789" s="1" t="inlineStr">
        <is>
          <t>Default Title</t>
        </is>
      </c>
      <c r="D3789" s="1" t="inlineStr">
        <is>
          <t>20/01/2026</t>
        </is>
      </c>
      <c r="E3789" s="1" t="n">
        <v>2026</v>
      </c>
      <c r="F3789" s="1" t="inlineStr">
        <is>
          <t>ENERO</t>
        </is>
      </c>
      <c r="G3789" s="1" t="inlineStr">
        <is>
          <t>HAIFENG</t>
        </is>
      </c>
      <c r="H3789" s="1" t="inlineStr">
        <is>
          <t>HAIFENG 20/01/2026</t>
        </is>
      </c>
      <c r="I3789" s="4" t="n">
        <v>1</v>
      </c>
      <c r="J3789" s="6" t="n">
        <v>8</v>
      </c>
      <c r="K3789" s="6" t="n">
        <v>169.6033423</v>
      </c>
      <c r="L3789" s="6">
        <f>I3789*K3789</f>
        <v/>
      </c>
      <c r="M3789" s="6">
        <f>K3789*4</f>
        <v/>
      </c>
      <c r="N3789" s="6" t="n">
        <v>670</v>
      </c>
    </row>
    <row r="3790">
      <c r="A3790" s="1" t="inlineStr">
        <is>
          <t>67201534966797</t>
        </is>
      </c>
      <c r="B3790" s="1" t="inlineStr">
        <is>
          <t>ARETES LOVING HEART</t>
        </is>
      </c>
      <c r="C3790" s="1" t="inlineStr">
        <is>
          <t>Default Title</t>
        </is>
      </c>
      <c r="D3790" s="1" t="inlineStr">
        <is>
          <t>01/09/2025</t>
        </is>
      </c>
      <c r="E3790" s="1" t="n">
        <v>2025</v>
      </c>
      <c r="F3790" s="1" t="inlineStr">
        <is>
          <t>SEPTIEMBRE</t>
        </is>
      </c>
      <c r="G3790" s="1" t="inlineStr">
        <is>
          <t>HAIFENG</t>
        </is>
      </c>
      <c r="H3790" s="1" t="inlineStr">
        <is>
          <t>HAIFENG 01/09/2025</t>
        </is>
      </c>
      <c r="I3790" s="4" t="n">
        <v>5</v>
      </c>
      <c r="J3790" s="6" t="n">
        <v>4</v>
      </c>
      <c r="K3790" s="6" t="n">
        <v>85.02268425</v>
      </c>
      <c r="L3790" s="6">
        <f>I3790*K3790</f>
        <v/>
      </c>
      <c r="M3790" s="6">
        <f>K3790*4</f>
        <v/>
      </c>
      <c r="N3790" s="6" t="n">
        <v>499</v>
      </c>
    </row>
    <row r="3791">
      <c r="A3791" s="1" t="inlineStr">
        <is>
          <t>67201534966797</t>
        </is>
      </c>
      <c r="B3791" s="1" t="inlineStr">
        <is>
          <t>ARETES LOVING HEART</t>
        </is>
      </c>
      <c r="C3791" s="1" t="inlineStr">
        <is>
          <t>GOLD</t>
        </is>
      </c>
      <c r="D3791" s="1" t="inlineStr">
        <is>
          <t>03/12/2025</t>
        </is>
      </c>
      <c r="E3791" s="1" t="n">
        <v>2025</v>
      </c>
      <c r="F3791" s="1" t="inlineStr">
        <is>
          <t>DICIEMBRE</t>
        </is>
      </c>
      <c r="G3791" s="1" t="inlineStr">
        <is>
          <t>HAIFENG</t>
        </is>
      </c>
      <c r="H3791" s="1" t="inlineStr">
        <is>
          <t>HAIFENG 03/12/2025</t>
        </is>
      </c>
      <c r="I3791" s="4" t="n">
        <v>5</v>
      </c>
      <c r="J3791" s="6" t="n">
        <v>4</v>
      </c>
      <c r="K3791" s="6" t="n">
        <v>83.66864004999999</v>
      </c>
      <c r="L3791" s="6">
        <f>I3791*K3791</f>
        <v/>
      </c>
      <c r="M3791" s="6">
        <f>K3791*4</f>
        <v/>
      </c>
      <c r="N3791" s="6" t="n">
        <v>499</v>
      </c>
    </row>
    <row r="3792">
      <c r="A3792" s="1" t="inlineStr">
        <is>
          <t>67201534966797</t>
        </is>
      </c>
      <c r="B3792" s="1" t="inlineStr">
        <is>
          <t>ARETES LOVING HEART</t>
        </is>
      </c>
      <c r="C3792" s="1" t="inlineStr">
        <is>
          <t>dorado</t>
        </is>
      </c>
      <c r="D3792" s="1" t="inlineStr">
        <is>
          <t>11/03/2026</t>
        </is>
      </c>
      <c r="E3792" s="1" t="n">
        <v>2026</v>
      </c>
      <c r="F3792" s="1" t="inlineStr">
        <is>
          <t>MARZO</t>
        </is>
      </c>
      <c r="G3792" s="1" t="inlineStr">
        <is>
          <t>HAIFENG</t>
        </is>
      </c>
      <c r="H3792" s="1" t="inlineStr">
        <is>
          <t>HAIFENG 11/03/2026</t>
        </is>
      </c>
      <c r="I3792" s="4" t="n">
        <v>5</v>
      </c>
      <c r="J3792" s="6" t="n">
        <v>6</v>
      </c>
      <c r="K3792" s="6" t="n">
        <v>127.8233773</v>
      </c>
      <c r="L3792" s="6">
        <f>I3792*K3792</f>
        <v/>
      </c>
      <c r="M3792" s="6">
        <f>K3792*4</f>
        <v/>
      </c>
      <c r="N3792" s="6" t="n">
        <v>499</v>
      </c>
    </row>
    <row r="3793">
      <c r="A3793" s="1" t="inlineStr">
        <is>
          <t>67201535022509</t>
        </is>
      </c>
      <c r="B3793" s="1" t="inlineStr">
        <is>
          <t>ARETES MARIPOSA ROSE GOLD WHITE VF</t>
        </is>
      </c>
      <c r="C3793" s="1" t="inlineStr">
        <is>
          <t>Default Title</t>
        </is>
      </c>
      <c r="D3793" s="1" t="inlineStr">
        <is>
          <t>25/09/2025</t>
        </is>
      </c>
      <c r="E3793" s="1" t="n">
        <v>2025</v>
      </c>
      <c r="F3793" s="1" t="inlineStr">
        <is>
          <t>SEPTIEMBRE</t>
        </is>
      </c>
      <c r="G3793" s="1" t="inlineStr">
        <is>
          <t>HAIFENG</t>
        </is>
      </c>
      <c r="H3793" s="1" t="inlineStr">
        <is>
          <t>HAIFENG 25/09/2025</t>
        </is>
      </c>
      <c r="I3793" s="4" t="n">
        <v>8</v>
      </c>
      <c r="J3793" s="6" t="n">
        <v>7</v>
      </c>
      <c r="K3793" s="6" t="n">
        <v>147.6782004</v>
      </c>
      <c r="L3793" s="6">
        <f>I3793*K3793</f>
        <v/>
      </c>
      <c r="M3793" s="6">
        <f>K3793*4</f>
        <v/>
      </c>
      <c r="N3793" s="6" t="n">
        <v>599</v>
      </c>
    </row>
    <row r="3794">
      <c r="A3794" s="1" t="inlineStr">
        <is>
          <t>67201535022509</t>
        </is>
      </c>
      <c r="B3794" s="1" t="inlineStr">
        <is>
          <t>ARETES MARIPOSA ROSE GOLD WHITE VF</t>
        </is>
      </c>
      <c r="C3794" s="1" t="inlineStr">
        <is>
          <t>Default Title</t>
        </is>
      </c>
      <c r="D3794" s="1" t="inlineStr">
        <is>
          <t>03/12/2025</t>
        </is>
      </c>
      <c r="E3794" s="1" t="n">
        <v>2025</v>
      </c>
      <c r="F3794" s="1" t="inlineStr">
        <is>
          <t>DICIEMBRE</t>
        </is>
      </c>
      <c r="G3794" s="1" t="inlineStr">
        <is>
          <t>HAIFENG</t>
        </is>
      </c>
      <c r="H3794" s="1" t="inlineStr">
        <is>
          <t>HAIFENG 03/12/2025</t>
        </is>
      </c>
      <c r="I3794" s="4" t="n">
        <v>8</v>
      </c>
      <c r="J3794" s="6" t="n">
        <v>7</v>
      </c>
      <c r="K3794" s="6" t="n">
        <v>146.4201201</v>
      </c>
      <c r="L3794" s="6">
        <f>I3794*K3794</f>
        <v/>
      </c>
      <c r="M3794" s="6">
        <f>K3794*4</f>
        <v/>
      </c>
      <c r="N3794" s="6" t="n">
        <v>599</v>
      </c>
    </row>
    <row r="3795">
      <c r="A3795" s="1" t="inlineStr">
        <is>
          <t>67201535022509</t>
        </is>
      </c>
      <c r="B3795" s="1" t="inlineStr">
        <is>
          <t>ARETES MARIPOSA ROSE GOLD WHITE VF</t>
        </is>
      </c>
      <c r="C3795" s="1" t="inlineStr">
        <is>
          <t>Default Title</t>
        </is>
      </c>
      <c r="D3795" s="1" t="inlineStr">
        <is>
          <t>10/02/2026</t>
        </is>
      </c>
      <c r="E3795" s="1" t="n">
        <v>2026</v>
      </c>
      <c r="F3795" s="1" t="inlineStr">
        <is>
          <t>FEBRERO</t>
        </is>
      </c>
      <c r="G3795" s="1" t="inlineStr">
        <is>
          <t>HAIFENG</t>
        </is>
      </c>
      <c r="H3795" s="1" t="inlineStr">
        <is>
          <t>HAIFENG 10/02/2026</t>
        </is>
      </c>
      <c r="I3795" s="4" t="n">
        <v>3</v>
      </c>
      <c r="J3795" s="6" t="n">
        <v>7</v>
      </c>
      <c r="K3795" s="6" t="n">
        <v>147.4794725</v>
      </c>
      <c r="L3795" s="6">
        <f>I3795*K3795</f>
        <v/>
      </c>
      <c r="M3795" s="6">
        <f>K3795*4</f>
        <v/>
      </c>
      <c r="N3795" s="6" t="n">
        <v>599</v>
      </c>
    </row>
    <row r="3796">
      <c r="A3796" s="1" t="inlineStr">
        <is>
          <t>67201535022509</t>
        </is>
      </c>
      <c r="B3796" s="1" t="inlineStr">
        <is>
          <t>ARETES MARIPOSA ROSE GOLD WHITE VF</t>
        </is>
      </c>
      <c r="C3796" s="1" t="inlineStr">
        <is>
          <t>Default Title</t>
        </is>
      </c>
      <c r="D3796" s="1" t="inlineStr">
        <is>
          <t>26/05/2026</t>
        </is>
      </c>
      <c r="E3796" s="1" t="n">
        <v>2026</v>
      </c>
      <c r="F3796" s="1" t="inlineStr">
        <is>
          <t>MAYO</t>
        </is>
      </c>
      <c r="G3796" s="1" t="inlineStr">
        <is>
          <t>HAIFENG</t>
        </is>
      </c>
      <c r="H3796" s="1" t="inlineStr">
        <is>
          <t>HAIFENG 26/05/2026</t>
        </is>
      </c>
      <c r="I3796" s="4" t="n">
        <v>5</v>
      </c>
      <c r="J3796" s="6" t="n">
        <v>7</v>
      </c>
      <c r="K3796" s="6" t="n">
        <v>146.9250671</v>
      </c>
      <c r="L3796" s="6">
        <f>I3796*K3796</f>
        <v/>
      </c>
      <c r="M3796" s="6">
        <f>K3796*4</f>
        <v/>
      </c>
      <c r="N3796" s="6" t="n">
        <v>599</v>
      </c>
    </row>
    <row r="3797">
      <c r="A3797" s="1" t="inlineStr">
        <is>
          <t>67201535108205</t>
        </is>
      </c>
      <c r="B3797" s="1" t="inlineStr">
        <is>
          <t>ARETES MARIPOSA BICOLOR GOLD BLUE VF</t>
        </is>
      </c>
      <c r="C3797" s="1" t="inlineStr">
        <is>
          <t>Default Title</t>
        </is>
      </c>
      <c r="D3797" s="1" t="inlineStr">
        <is>
          <t>01/09/2025</t>
        </is>
      </c>
      <c r="E3797" s="1" t="n">
        <v>2025</v>
      </c>
      <c r="F3797" s="1" t="inlineStr">
        <is>
          <t>SEPTIEMBRE</t>
        </is>
      </c>
      <c r="G3797" s="1" t="inlineStr">
        <is>
          <t>HAIFENG</t>
        </is>
      </c>
      <c r="H3797" s="1" t="inlineStr">
        <is>
          <t>HAIFENG 01/09/2025</t>
        </is>
      </c>
      <c r="I3797" s="4" t="n">
        <v>2</v>
      </c>
      <c r="J3797" s="6" t="n">
        <v>7</v>
      </c>
      <c r="K3797" s="6" t="n">
        <v>148.7896974</v>
      </c>
      <c r="L3797" s="6">
        <f>I3797*K3797</f>
        <v/>
      </c>
      <c r="M3797" s="6">
        <f>K3797*4</f>
        <v/>
      </c>
      <c r="N3797" s="6" t="n">
        <v>599</v>
      </c>
    </row>
    <row r="3798">
      <c r="A3798" s="1" t="inlineStr">
        <is>
          <t>67201535108205</t>
        </is>
      </c>
      <c r="B3798" s="1" t="inlineStr">
        <is>
          <t>ARETES MARIPOSA BICOLOR GOLD BLUE VF</t>
        </is>
      </c>
      <c r="C3798" s="1" t="inlineStr">
        <is>
          <t>Default Title</t>
        </is>
      </c>
      <c r="D3798" s="1" t="inlineStr">
        <is>
          <t>25/09/2025</t>
        </is>
      </c>
      <c r="E3798" s="1" t="n">
        <v>2025</v>
      </c>
      <c r="F3798" s="1" t="inlineStr">
        <is>
          <t>SEPTIEMBRE</t>
        </is>
      </c>
      <c r="G3798" s="1" t="inlineStr">
        <is>
          <t>HAIFENG</t>
        </is>
      </c>
      <c r="H3798" s="1" t="inlineStr">
        <is>
          <t>HAIFENG 25/09/2025</t>
        </is>
      </c>
      <c r="I3798" s="4" t="n">
        <v>1</v>
      </c>
      <c r="J3798" s="6" t="n">
        <v>7</v>
      </c>
      <c r="K3798" s="6" t="n">
        <v>147.6782004</v>
      </c>
      <c r="L3798" s="6">
        <f>I3798*K3798</f>
        <v/>
      </c>
      <c r="M3798" s="6">
        <f>K3798*4</f>
        <v/>
      </c>
      <c r="N3798" s="6" t="n">
        <v>599</v>
      </c>
    </row>
    <row r="3799">
      <c r="A3799" s="1" t="inlineStr">
        <is>
          <t>67201535108205</t>
        </is>
      </c>
      <c r="B3799" s="1" t="inlineStr">
        <is>
          <t>ARETES MARIPOSA BICOLOR GOLD BLUE VF</t>
        </is>
      </c>
      <c r="C3799" s="1" t="inlineStr">
        <is>
          <t>Default Title</t>
        </is>
      </c>
      <c r="D3799" s="1" t="inlineStr">
        <is>
          <t>11/11/2025</t>
        </is>
      </c>
      <c r="E3799" s="1" t="n">
        <v>2025</v>
      </c>
      <c r="F3799" s="1" t="inlineStr">
        <is>
          <t>NOVIEMBRE</t>
        </is>
      </c>
      <c r="G3799" s="1" t="inlineStr">
        <is>
          <t>HAIFENG</t>
        </is>
      </c>
      <c r="H3799" s="1" t="inlineStr">
        <is>
          <t>HAIFENG 11/11/2025</t>
        </is>
      </c>
      <c r="I3799" s="4" t="n">
        <v>7</v>
      </c>
      <c r="J3799" s="6" t="n">
        <v>7</v>
      </c>
      <c r="K3799" s="6" t="n">
        <v>147.4234891</v>
      </c>
      <c r="L3799" s="6">
        <f>I3799*K3799</f>
        <v/>
      </c>
      <c r="M3799" s="6">
        <f>K3799*4</f>
        <v/>
      </c>
      <c r="N3799" s="6" t="n">
        <v>599</v>
      </c>
    </row>
    <row r="3800">
      <c r="A3800" s="1" t="inlineStr">
        <is>
          <t>67201535108205</t>
        </is>
      </c>
      <c r="B3800" s="1" t="inlineStr">
        <is>
          <t>ARETES MARIPOSA BICOLOR GOLD BLUE VF</t>
        </is>
      </c>
      <c r="C3800" s="1" t="inlineStr">
        <is>
          <t>Default Title</t>
        </is>
      </c>
      <c r="D3800" s="1" t="inlineStr">
        <is>
          <t>03/12/2025</t>
        </is>
      </c>
      <c r="E3800" s="1" t="n">
        <v>2025</v>
      </c>
      <c r="F3800" s="1" t="inlineStr">
        <is>
          <t>DICIEMBRE</t>
        </is>
      </c>
      <c r="G3800" s="1" t="inlineStr">
        <is>
          <t>HAIFENG</t>
        </is>
      </c>
      <c r="H3800" s="1" t="inlineStr">
        <is>
          <t>HAIFENG 03/12/2025</t>
        </is>
      </c>
      <c r="I3800" s="4" t="n">
        <v>3</v>
      </c>
      <c r="J3800" s="6" t="n">
        <v>7</v>
      </c>
      <c r="K3800" s="6" t="n">
        <v>146.4201201</v>
      </c>
      <c r="L3800" s="6">
        <f>I3800*K3800</f>
        <v/>
      </c>
      <c r="M3800" s="6">
        <f>K3800*4</f>
        <v/>
      </c>
      <c r="N3800" s="6" t="n">
        <v>599</v>
      </c>
    </row>
    <row r="3801">
      <c r="A3801" s="1" t="inlineStr">
        <is>
          <t>67201535108205</t>
        </is>
      </c>
      <c r="B3801" s="1" t="inlineStr">
        <is>
          <t>ARETES MARIPOSA BICOLOR GOLD BLUE VF</t>
        </is>
      </c>
      <c r="C3801" s="1" t="inlineStr">
        <is>
          <t>Default Title</t>
        </is>
      </c>
      <c r="D3801" s="1" t="inlineStr">
        <is>
          <t>20/01/2026</t>
        </is>
      </c>
      <c r="E3801" s="1" t="n">
        <v>2026</v>
      </c>
      <c r="F3801" s="1" t="inlineStr">
        <is>
          <t>ENERO</t>
        </is>
      </c>
      <c r="G3801" s="1" t="inlineStr">
        <is>
          <t>HAIFENG</t>
        </is>
      </c>
      <c r="H3801" s="1" t="inlineStr">
        <is>
          <t>HAIFENG 20/01/2026</t>
        </is>
      </c>
      <c r="I3801" s="4" t="n">
        <v>7</v>
      </c>
      <c r="J3801" s="6" t="n">
        <v>7</v>
      </c>
      <c r="K3801" s="6" t="n">
        <v>148.4029245</v>
      </c>
      <c r="L3801" s="6">
        <f>I3801*K3801</f>
        <v/>
      </c>
      <c r="M3801" s="6">
        <f>K3801*4</f>
        <v/>
      </c>
      <c r="N3801" s="6" t="n">
        <v>599</v>
      </c>
    </row>
    <row r="3802">
      <c r="A3802" s="1" t="inlineStr">
        <is>
          <t>67201535108205</t>
        </is>
      </c>
      <c r="B3802" s="1" t="inlineStr">
        <is>
          <t>ARETES MARIPOSA BICOLOR GOLD BLUE VF</t>
        </is>
      </c>
      <c r="C3802" s="1" t="inlineStr">
        <is>
          <t>Default Title</t>
        </is>
      </c>
      <c r="D3802" s="1" t="inlineStr">
        <is>
          <t>10/02/2026</t>
        </is>
      </c>
      <c r="E3802" s="1" t="n">
        <v>2026</v>
      </c>
      <c r="F3802" s="1" t="inlineStr">
        <is>
          <t>FEBRERO</t>
        </is>
      </c>
      <c r="G3802" s="1" t="inlineStr">
        <is>
          <t>HAIFENG</t>
        </is>
      </c>
      <c r="H3802" s="1" t="inlineStr">
        <is>
          <t>HAIFENG 10/02/2026</t>
        </is>
      </c>
      <c r="I3802" s="4" t="n">
        <v>2</v>
      </c>
      <c r="J3802" s="6" t="n">
        <v>7</v>
      </c>
      <c r="K3802" s="6" t="n">
        <v>147.4794725</v>
      </c>
      <c r="L3802" s="6">
        <f>I3802*K3802</f>
        <v/>
      </c>
      <c r="M3802" s="6">
        <f>K3802*4</f>
        <v/>
      </c>
      <c r="N3802" s="6" t="n">
        <v>599</v>
      </c>
    </row>
    <row r="3803">
      <c r="A3803" s="1" t="inlineStr">
        <is>
          <t>67201535108205</t>
        </is>
      </c>
      <c r="B3803" s="1" t="inlineStr">
        <is>
          <t>ARETES MARIPOSA BICOLOR GOLD BLUE VF</t>
        </is>
      </c>
      <c r="C3803" s="1" t="inlineStr">
        <is>
          <t>Default Title</t>
        </is>
      </c>
      <c r="D3803" s="1" t="inlineStr">
        <is>
          <t>26/05/2026</t>
        </is>
      </c>
      <c r="E3803" s="1" t="n">
        <v>2026</v>
      </c>
      <c r="F3803" s="1" t="inlineStr">
        <is>
          <t>MAYO</t>
        </is>
      </c>
      <c r="G3803" s="1" t="inlineStr">
        <is>
          <t>HAIFENG</t>
        </is>
      </c>
      <c r="H3803" s="1" t="inlineStr">
        <is>
          <t>HAIFENG 26/05/2026</t>
        </is>
      </c>
      <c r="I3803" s="4" t="n">
        <v>8</v>
      </c>
      <c r="J3803" s="6" t="n">
        <v>7</v>
      </c>
      <c r="K3803" s="6" t="n">
        <v>146.9250671</v>
      </c>
      <c r="L3803" s="6">
        <f>I3803*K3803</f>
        <v/>
      </c>
      <c r="M3803" s="6">
        <f>K3803*4</f>
        <v/>
      </c>
      <c r="N3803" s="6" t="n">
        <v>599</v>
      </c>
    </row>
    <row r="3804">
      <c r="A3804" s="1" t="inlineStr">
        <is>
          <t>67201535108205</t>
        </is>
      </c>
      <c r="B3804" s="1" t="inlineStr">
        <is>
          <t>ARETES MARIPOSA BICOLOR GOLD BLUE VF</t>
        </is>
      </c>
      <c r="C3804" s="1" t="inlineStr">
        <is>
          <t>Default Title</t>
        </is>
      </c>
      <c r="D3804" s="1" t="inlineStr">
        <is>
          <t>16/06/2026</t>
        </is>
      </c>
      <c r="E3804" s="1" t="n">
        <v>2026</v>
      </c>
      <c r="F3804" s="1" t="inlineStr">
        <is>
          <t>JUNIO</t>
        </is>
      </c>
      <c r="G3804" s="1" t="inlineStr">
        <is>
          <t>HAIFENG</t>
        </is>
      </c>
      <c r="H3804" s="1" t="inlineStr">
        <is>
          <t>HAIFENG 16/06/2026</t>
        </is>
      </c>
      <c r="I3804" s="4" t="n">
        <v>6</v>
      </c>
      <c r="J3804" s="6" t="n">
        <v>7</v>
      </c>
      <c r="K3804" s="6" t="n">
        <v>147.1022452</v>
      </c>
      <c r="L3804" s="6">
        <f>I3804*K3804</f>
        <v/>
      </c>
      <c r="M3804" s="6">
        <f>K3804*4</f>
        <v/>
      </c>
      <c r="N3804" s="6" t="n">
        <v>599</v>
      </c>
    </row>
    <row r="3805">
      <c r="A3805" s="1" t="inlineStr">
        <is>
          <t>67201535214413</t>
        </is>
      </c>
      <c r="B3805" s="1" t="inlineStr">
        <is>
          <t>PULSERA LUCKY SPRING ROSE GOLD VF</t>
        </is>
      </c>
      <c r="C3805" s="1" t="inlineStr">
        <is>
          <t>Default Title</t>
        </is>
      </c>
      <c r="D3805" s="1" t="inlineStr">
        <is>
          <t>01/09/2025</t>
        </is>
      </c>
      <c r="E3805" s="1" t="n">
        <v>2025</v>
      </c>
      <c r="F3805" s="1" t="inlineStr">
        <is>
          <t>SEPTIEMBRE</t>
        </is>
      </c>
      <c r="G3805" s="1" t="inlineStr">
        <is>
          <t>HAIFENG</t>
        </is>
      </c>
      <c r="H3805" s="1" t="inlineStr">
        <is>
          <t>HAIFENG 01/09/2025</t>
        </is>
      </c>
      <c r="I3805" s="4" t="n">
        <v>8</v>
      </c>
      <c r="J3805" s="6" t="n">
        <v>7</v>
      </c>
      <c r="K3805" s="6" t="n">
        <v>148.7896974</v>
      </c>
      <c r="L3805" s="6">
        <f>I3805*K3805</f>
        <v/>
      </c>
      <c r="M3805" s="6">
        <f>K3805*4</f>
        <v/>
      </c>
      <c r="N3805" s="6" t="n">
        <v>599</v>
      </c>
    </row>
    <row r="3806">
      <c r="A3806" s="1" t="inlineStr">
        <is>
          <t>67201535214413</t>
        </is>
      </c>
      <c r="B3806" s="1" t="inlineStr">
        <is>
          <t>PULSERA LUCKY SPRING ROSE GOLD VF</t>
        </is>
      </c>
      <c r="C3806" s="1" t="inlineStr">
        <is>
          <t>Default Title</t>
        </is>
      </c>
      <c r="D3806" s="1" t="inlineStr">
        <is>
          <t>11/11/2025</t>
        </is>
      </c>
      <c r="E3806" s="1" t="n">
        <v>2025</v>
      </c>
      <c r="F3806" s="1" t="inlineStr">
        <is>
          <t>NOVIEMBRE</t>
        </is>
      </c>
      <c r="G3806" s="1" t="inlineStr">
        <is>
          <t>HAIFENG</t>
        </is>
      </c>
      <c r="H3806" s="1" t="inlineStr">
        <is>
          <t>HAIFENG 11/11/2025</t>
        </is>
      </c>
      <c r="I3806" s="4" t="n">
        <v>15</v>
      </c>
      <c r="J3806" s="6" t="n">
        <v>7</v>
      </c>
      <c r="K3806" s="6" t="n">
        <v>147.4234891</v>
      </c>
      <c r="L3806" s="6">
        <f>I3806*K3806</f>
        <v/>
      </c>
      <c r="M3806" s="6">
        <f>K3806*4</f>
        <v/>
      </c>
      <c r="N3806" s="6" t="n">
        <v>599</v>
      </c>
    </row>
    <row r="3807">
      <c r="A3807" s="1" t="inlineStr">
        <is>
          <t>67201535214413</t>
        </is>
      </c>
      <c r="B3807" s="1" t="inlineStr">
        <is>
          <t>PULSERA LUCKY SPRING ROSE GOLD VF</t>
        </is>
      </c>
      <c r="C3807" s="1" t="inlineStr">
        <is>
          <t>Default Title</t>
        </is>
      </c>
      <c r="D3807" s="1" t="inlineStr">
        <is>
          <t>03/12/2025</t>
        </is>
      </c>
      <c r="E3807" s="1" t="n">
        <v>2025</v>
      </c>
      <c r="F3807" s="1" t="inlineStr">
        <is>
          <t>DICIEMBRE</t>
        </is>
      </c>
      <c r="G3807" s="1" t="inlineStr">
        <is>
          <t>HAIFENG</t>
        </is>
      </c>
      <c r="H3807" s="1" t="inlineStr">
        <is>
          <t>HAIFENG 03/12/2025</t>
        </is>
      </c>
      <c r="I3807" s="4" t="n">
        <v>8</v>
      </c>
      <c r="J3807" s="6" t="n">
        <v>7</v>
      </c>
      <c r="K3807" s="6" t="n">
        <v>146.4201201</v>
      </c>
      <c r="L3807" s="6">
        <f>I3807*K3807</f>
        <v/>
      </c>
      <c r="M3807" s="6">
        <f>K3807*4</f>
        <v/>
      </c>
      <c r="N3807" s="6" t="n">
        <v>599</v>
      </c>
    </row>
    <row r="3808">
      <c r="A3808" s="1" t="inlineStr">
        <is>
          <t>67201535214413</t>
        </is>
      </c>
      <c r="B3808" s="1" t="inlineStr">
        <is>
          <t>PULSERA LUCKY SPRING ROSE GOLD VF</t>
        </is>
      </c>
      <c r="C3808" s="1" t="inlineStr">
        <is>
          <t>Default Title</t>
        </is>
      </c>
      <c r="D3808" s="1" t="inlineStr">
        <is>
          <t>10/02/2026</t>
        </is>
      </c>
      <c r="E3808" s="1" t="n">
        <v>2026</v>
      </c>
      <c r="F3808" s="1" t="inlineStr">
        <is>
          <t>FEBRERO</t>
        </is>
      </c>
      <c r="G3808" s="1" t="inlineStr">
        <is>
          <t>HAIFENG</t>
        </is>
      </c>
      <c r="H3808" s="1" t="inlineStr">
        <is>
          <t>HAIFENG 10/02/2026</t>
        </is>
      </c>
      <c r="I3808" s="4" t="n">
        <v>10</v>
      </c>
      <c r="J3808" s="6" t="n">
        <v>7</v>
      </c>
      <c r="K3808" s="6" t="n">
        <v>147.4794725</v>
      </c>
      <c r="L3808" s="6">
        <f>I3808*K3808</f>
        <v/>
      </c>
      <c r="M3808" s="6">
        <f>K3808*4</f>
        <v/>
      </c>
      <c r="N3808" s="6" t="n">
        <v>599</v>
      </c>
    </row>
    <row r="3809">
      <c r="A3809" s="1" t="inlineStr">
        <is>
          <t>67201535214413</t>
        </is>
      </c>
      <c r="B3809" s="1" t="inlineStr">
        <is>
          <t>PULSERA LUCKY SPRING ROSE GOLD VF</t>
        </is>
      </c>
      <c r="C3809" s="1" t="inlineStr">
        <is>
          <t>Default Title</t>
        </is>
      </c>
      <c r="D3809" s="1" t="inlineStr">
        <is>
          <t>06/05/2026</t>
        </is>
      </c>
      <c r="E3809" s="1" t="n">
        <v>2026</v>
      </c>
      <c r="F3809" s="1" t="inlineStr">
        <is>
          <t>MAYO</t>
        </is>
      </c>
      <c r="G3809" s="1" t="inlineStr">
        <is>
          <t>HAIFENG</t>
        </is>
      </c>
      <c r="H3809" s="1" t="inlineStr">
        <is>
          <t>HAIFENG 06/05/2026</t>
        </is>
      </c>
      <c r="I3809" s="4" t="n">
        <v>6</v>
      </c>
      <c r="J3809" s="6" t="n">
        <v>7</v>
      </c>
      <c r="K3809" s="6" t="n">
        <v>148.5304959</v>
      </c>
      <c r="L3809" s="6">
        <f>I3809*K3809</f>
        <v/>
      </c>
      <c r="M3809" s="6">
        <f>K3809*4</f>
        <v/>
      </c>
      <c r="N3809" s="6" t="n">
        <v>599</v>
      </c>
    </row>
    <row r="3810">
      <c r="A3810" s="1" t="inlineStr">
        <is>
          <t>67201535214413</t>
        </is>
      </c>
      <c r="B3810" s="1" t="inlineStr">
        <is>
          <t>PULSERA LUCKY SPRING ROSE GOLD VF</t>
        </is>
      </c>
      <c r="C3810" s="1" t="inlineStr">
        <is>
          <t>Default Title</t>
        </is>
      </c>
      <c r="D3810" s="1" t="inlineStr">
        <is>
          <t>16/06/2026</t>
        </is>
      </c>
      <c r="E3810" s="1" t="n">
        <v>2026</v>
      </c>
      <c r="F3810" s="1" t="inlineStr">
        <is>
          <t>JUNIO</t>
        </is>
      </c>
      <c r="G3810" s="1" t="inlineStr">
        <is>
          <t>HAIFENG</t>
        </is>
      </c>
      <c r="H3810" s="1" t="inlineStr">
        <is>
          <t>HAIFENG 16/06/2026</t>
        </is>
      </c>
      <c r="I3810" s="4" t="n">
        <v>4</v>
      </c>
      <c r="J3810" s="6" t="n">
        <v>7</v>
      </c>
      <c r="K3810" s="6" t="n">
        <v>147.1022452</v>
      </c>
      <c r="L3810" s="6">
        <f>I3810*K3810</f>
        <v/>
      </c>
      <c r="M3810" s="6">
        <f>K3810*4</f>
        <v/>
      </c>
      <c r="N3810" s="6" t="n">
        <v>599</v>
      </c>
    </row>
    <row r="3811">
      <c r="A3811" s="1" t="inlineStr">
        <is>
          <t>67201535328333</t>
        </is>
      </c>
      <c r="B3811" s="1" t="inlineStr">
        <is>
          <t>PULSERA SWEET BUTTERFLY WHITE VF</t>
        </is>
      </c>
      <c r="C3811" s="1" t="inlineStr">
        <is>
          <t>Default Title</t>
        </is>
      </c>
      <c r="D3811" s="1" t="inlineStr">
        <is>
          <t>25/09/2025</t>
        </is>
      </c>
      <c r="E3811" s="1" t="n">
        <v>2025</v>
      </c>
      <c r="F3811" s="1" t="inlineStr">
        <is>
          <t>SEPTIEMBRE</t>
        </is>
      </c>
      <c r="G3811" s="1" t="inlineStr">
        <is>
          <t>HAIFENG</t>
        </is>
      </c>
      <c r="H3811" s="1" t="inlineStr">
        <is>
          <t>HAIFENG 25/09/2025</t>
        </is>
      </c>
      <c r="I3811" s="4" t="n">
        <v>2</v>
      </c>
      <c r="J3811" s="6" t="n">
        <v>6</v>
      </c>
      <c r="K3811" s="6" t="n">
        <v>126.5813146</v>
      </c>
      <c r="L3811" s="6">
        <f>I3811*K3811</f>
        <v/>
      </c>
      <c r="M3811" s="6">
        <f>K3811*4</f>
        <v/>
      </c>
      <c r="N3811" s="6" t="n">
        <v>499</v>
      </c>
    </row>
    <row r="3812">
      <c r="A3812" s="1" t="inlineStr">
        <is>
          <t>67201535328333</t>
        </is>
      </c>
      <c r="B3812" s="1" t="inlineStr">
        <is>
          <t>PULSERA SWEET BUTTERFLY WHITE VF</t>
        </is>
      </c>
      <c r="C3812" s="1" t="inlineStr">
        <is>
          <t>Default Title</t>
        </is>
      </c>
      <c r="D3812" s="1" t="inlineStr">
        <is>
          <t>11/11/2025</t>
        </is>
      </c>
      <c r="E3812" s="1" t="n">
        <v>2025</v>
      </c>
      <c r="F3812" s="1" t="inlineStr">
        <is>
          <t>NOVIEMBRE</t>
        </is>
      </c>
      <c r="G3812" s="1" t="inlineStr">
        <is>
          <t>HAIFENG</t>
        </is>
      </c>
      <c r="H3812" s="1" t="inlineStr">
        <is>
          <t>HAIFENG 11/11/2025</t>
        </is>
      </c>
      <c r="I3812" s="4" t="n">
        <v>2</v>
      </c>
      <c r="J3812" s="6" t="n">
        <v>6</v>
      </c>
      <c r="K3812" s="6" t="n">
        <v>126.3629907</v>
      </c>
      <c r="L3812" s="6">
        <f>I3812*K3812</f>
        <v/>
      </c>
      <c r="M3812" s="6">
        <f>K3812*4</f>
        <v/>
      </c>
      <c r="N3812" s="6" t="n">
        <v>499</v>
      </c>
    </row>
    <row r="3813">
      <c r="A3813" s="1" t="inlineStr">
        <is>
          <t>67201535328333</t>
        </is>
      </c>
      <c r="B3813" s="1" t="inlineStr">
        <is>
          <t>PULSERA SWEET BUTTERFLY WHITE VF</t>
        </is>
      </c>
      <c r="C3813" s="1" t="inlineStr">
        <is>
          <t>Default Title</t>
        </is>
      </c>
      <c r="D3813" s="1" t="inlineStr">
        <is>
          <t>03/12/2025</t>
        </is>
      </c>
      <c r="E3813" s="1" t="n">
        <v>2025</v>
      </c>
      <c r="F3813" s="1" t="inlineStr">
        <is>
          <t>DICIEMBRE</t>
        </is>
      </c>
      <c r="G3813" s="1" t="inlineStr">
        <is>
          <t>HAIFENG</t>
        </is>
      </c>
      <c r="H3813" s="1" t="inlineStr">
        <is>
          <t>HAIFENG 03/12/2025</t>
        </is>
      </c>
      <c r="I3813" s="4" t="n">
        <v>8</v>
      </c>
      <c r="J3813" s="6" t="n">
        <v>6</v>
      </c>
      <c r="K3813" s="6" t="n">
        <v>125.5029601</v>
      </c>
      <c r="L3813" s="6">
        <f>I3813*K3813</f>
        <v/>
      </c>
      <c r="M3813" s="6">
        <f>K3813*4</f>
        <v/>
      </c>
      <c r="N3813" s="6" t="n">
        <v>499</v>
      </c>
    </row>
    <row r="3814">
      <c r="A3814" s="1" t="inlineStr">
        <is>
          <t>67201535328333</t>
        </is>
      </c>
      <c r="B3814" s="1" t="inlineStr">
        <is>
          <t>PULSERA SWEET BUTTERFLY WHITE VF</t>
        </is>
      </c>
      <c r="C3814" s="1" t="inlineStr">
        <is>
          <t>Default Title</t>
        </is>
      </c>
      <c r="D3814" s="1" t="inlineStr">
        <is>
          <t>06/05/2026</t>
        </is>
      </c>
      <c r="E3814" s="1" t="n">
        <v>2026</v>
      </c>
      <c r="F3814" s="1" t="inlineStr">
        <is>
          <t>MAYO</t>
        </is>
      </c>
      <c r="G3814" s="1" t="inlineStr">
        <is>
          <t>HAIFENG</t>
        </is>
      </c>
      <c r="H3814" s="1" t="inlineStr">
        <is>
          <t>HAIFENG 06/05/2026</t>
        </is>
      </c>
      <c r="I3814" s="4" t="n">
        <v>1</v>
      </c>
      <c r="J3814" s="6" t="n">
        <v>6</v>
      </c>
      <c r="K3814" s="6" t="n">
        <v>127.3118536</v>
      </c>
      <c r="L3814" s="6">
        <f>I3814*K3814</f>
        <v/>
      </c>
      <c r="M3814" s="6">
        <f>K3814*4</f>
        <v/>
      </c>
      <c r="N3814" s="6" t="n">
        <v>499</v>
      </c>
    </row>
    <row r="3815">
      <c r="A3815" s="1" t="inlineStr">
        <is>
          <t>67201535328333</t>
        </is>
      </c>
      <c r="B3815" s="1" t="inlineStr">
        <is>
          <t>PULSERA SWEET BUTTERFLY WHITE VF</t>
        </is>
      </c>
      <c r="C3815" s="1" t="inlineStr">
        <is>
          <t>Default Title</t>
        </is>
      </c>
      <c r="D3815" s="1" t="inlineStr">
        <is>
          <t>16/06/2026</t>
        </is>
      </c>
      <c r="E3815" s="1" t="n">
        <v>2026</v>
      </c>
      <c r="F3815" s="1" t="inlineStr">
        <is>
          <t>JUNIO</t>
        </is>
      </c>
      <c r="G3815" s="1" t="inlineStr">
        <is>
          <t>HAIFENG</t>
        </is>
      </c>
      <c r="H3815" s="1" t="inlineStr">
        <is>
          <t>HAIFENG 16/06/2026</t>
        </is>
      </c>
      <c r="I3815" s="4" t="n">
        <v>6</v>
      </c>
      <c r="J3815" s="6" t="n">
        <v>5</v>
      </c>
      <c r="K3815" s="6" t="n">
        <v>105.0730323</v>
      </c>
      <c r="L3815" s="6">
        <f>I3815*K3815</f>
        <v/>
      </c>
      <c r="M3815" s="6">
        <f>K3815*4</f>
        <v/>
      </c>
      <c r="N3815" s="6" t="n">
        <v>499</v>
      </c>
    </row>
    <row r="3816">
      <c r="A3816" s="1" t="inlineStr">
        <is>
          <t>67201535429901</t>
        </is>
      </c>
      <c r="B3816" s="1" t="inlineStr">
        <is>
          <t>ANILLO PERLEE SIGNATURE SILVER VF</t>
        </is>
      </c>
      <c r="C3816" s="1" t="inlineStr">
        <is>
          <t>7</t>
        </is>
      </c>
      <c r="D3816" s="1" t="inlineStr">
        <is>
          <t>25/09/2025</t>
        </is>
      </c>
      <c r="E3816" s="1" t="n">
        <v>2025</v>
      </c>
      <c r="F3816" s="1" t="inlineStr">
        <is>
          <t>SEPTIEMBRE</t>
        </is>
      </c>
      <c r="G3816" s="1" t="inlineStr">
        <is>
          <t>HAIFENG</t>
        </is>
      </c>
      <c r="H3816" s="1" t="inlineStr">
        <is>
          <t>HAIFENG 25/09/2025</t>
        </is>
      </c>
      <c r="I3816" s="4" t="n">
        <v>3</v>
      </c>
      <c r="J3816" s="6" t="n">
        <v>6.99</v>
      </c>
      <c r="K3816" s="6" t="n">
        <v>147.4672315</v>
      </c>
      <c r="L3816" s="6">
        <f>I3816*K3816</f>
        <v/>
      </c>
      <c r="M3816" s="6">
        <f>K3816*4</f>
        <v/>
      </c>
      <c r="N3816" s="6" t="n">
        <v>412</v>
      </c>
    </row>
    <row r="3817">
      <c r="A3817" s="1" t="inlineStr">
        <is>
          <t>67201535695437</t>
        </is>
      </c>
      <c r="B3817" s="1" t="n"/>
      <c r="C3817" s="1" t="inlineStr">
        <is>
          <t>9</t>
        </is>
      </c>
      <c r="D3817" s="1" t="inlineStr">
        <is>
          <t>10/02/2026</t>
        </is>
      </c>
      <c r="E3817" s="1" t="n">
        <v>2026</v>
      </c>
      <c r="F3817" s="1" t="inlineStr">
        <is>
          <t>FEBRERO</t>
        </is>
      </c>
      <c r="G3817" s="1" t="inlineStr">
        <is>
          <t>HAIFENG</t>
        </is>
      </c>
      <c r="H3817" s="1" t="inlineStr">
        <is>
          <t>HAIFENG 10/02/2026</t>
        </is>
      </c>
      <c r="I3817" s="4" t="n">
        <v>3</v>
      </c>
      <c r="J3817" s="6" t="n">
        <v>5</v>
      </c>
      <c r="K3817" s="6" t="n">
        <v>105.3424803</v>
      </c>
      <c r="L3817" s="6">
        <f>I3817*K3817</f>
        <v/>
      </c>
      <c r="M3817" s="6">
        <f>K3817*4</f>
        <v/>
      </c>
      <c r="N3817" s="6" t="n">
        <v>267</v>
      </c>
    </row>
    <row r="3818">
      <c r="A3818" s="1" t="inlineStr">
        <is>
          <t>67201535739341</t>
        </is>
      </c>
      <c r="B3818" s="1" t="inlineStr">
        <is>
          <t>ANILLO TRÉBOL CON ZIRCONIA ROSE GOLD VF</t>
        </is>
      </c>
      <c r="C3818" s="1" t="inlineStr">
        <is>
          <t>6</t>
        </is>
      </c>
      <c r="D3818" s="1" t="inlineStr">
        <is>
          <t>16/06/2026</t>
        </is>
      </c>
      <c r="E3818" s="1" t="n">
        <v>2026</v>
      </c>
      <c r="F3818" s="1" t="inlineStr">
        <is>
          <t>JUNIO</t>
        </is>
      </c>
      <c r="G3818" s="1" t="inlineStr">
        <is>
          <t>HAIFENG</t>
        </is>
      </c>
      <c r="H3818" s="1" t="inlineStr">
        <is>
          <t>HAIFENG 16/06/2026</t>
        </is>
      </c>
      <c r="I3818" s="4" t="n">
        <v>2</v>
      </c>
      <c r="J3818" s="6" t="n">
        <v>5.99</v>
      </c>
      <c r="K3818" s="6" t="n">
        <v>125.8774927</v>
      </c>
      <c r="L3818" s="6">
        <f>I3818*K3818</f>
        <v/>
      </c>
      <c r="M3818" s="6">
        <f>K3818*4</f>
        <v/>
      </c>
      <c r="N3818" s="6" t="n">
        <v>480</v>
      </c>
    </row>
    <row r="3819">
      <c r="A3819" s="1" t="inlineStr">
        <is>
          <t>67201535928013</t>
        </is>
      </c>
      <c r="B3819" s="1" t="inlineStr">
        <is>
          <t>PULSERA SNAKE GOLD T</t>
        </is>
      </c>
      <c r="C3819" s="1" t="inlineStr">
        <is>
          <t>Default Title</t>
        </is>
      </c>
      <c r="D3819" s="1" t="inlineStr">
        <is>
          <t>07/01/2026</t>
        </is>
      </c>
      <c r="E3819" s="1" t="n">
        <v>2026</v>
      </c>
      <c r="F3819" s="1" t="inlineStr">
        <is>
          <t>ENERO</t>
        </is>
      </c>
      <c r="G3819" s="1" t="inlineStr">
        <is>
          <t>CYNTHIA</t>
        </is>
      </c>
      <c r="H3819" s="1" t="inlineStr">
        <is>
          <t>CYNTHIA 07/01/2026</t>
        </is>
      </c>
      <c r="I3819" s="4" t="n">
        <v>4</v>
      </c>
      <c r="J3819" s="6" t="n">
        <v>14</v>
      </c>
      <c r="K3819" s="6" t="n">
        <v>372.2239874</v>
      </c>
      <c r="L3819" s="6">
        <f>I3819*K3819</f>
        <v/>
      </c>
      <c r="M3819" s="6">
        <f>K3819*4</f>
        <v/>
      </c>
      <c r="N3819" s="6" t="n">
        <v>1305</v>
      </c>
    </row>
    <row r="3820">
      <c r="A3820" s="1" t="inlineStr">
        <is>
          <t>67308101075309</t>
        </is>
      </c>
      <c r="B3820" s="1" t="inlineStr">
        <is>
          <t>ANILLO CD GOLD BLACK CON ZIRCONIA ANCHO</t>
        </is>
      </c>
      <c r="C3820" s="1" t="n">
        <v>7</v>
      </c>
      <c r="D3820" s="1" t="inlineStr">
        <is>
          <t>02/10/2025</t>
        </is>
      </c>
      <c r="E3820" s="1" t="n">
        <v>2025</v>
      </c>
      <c r="F3820" s="1" t="inlineStr">
        <is>
          <t>OCTUBRE</t>
        </is>
      </c>
      <c r="G3820" s="1" t="inlineStr">
        <is>
          <t>ZOEY</t>
        </is>
      </c>
      <c r="H3820" s="1" t="inlineStr">
        <is>
          <t>ZOEY 02/10/2025</t>
        </is>
      </c>
      <c r="I3820" s="4" t="n">
        <v>3</v>
      </c>
      <c r="J3820" s="6" t="n">
        <v>9</v>
      </c>
      <c r="K3820" s="6" t="n">
        <v>212.615424</v>
      </c>
      <c r="L3820" s="6">
        <f>I3820*K3820</f>
        <v/>
      </c>
      <c r="M3820" s="6">
        <f>K3820*4</f>
        <v/>
      </c>
      <c r="N3820" s="6" t="n">
        <v>652</v>
      </c>
    </row>
    <row r="3821">
      <c r="A3821" s="1" t="inlineStr">
        <is>
          <t>67308101075310</t>
        </is>
      </c>
      <c r="B3821" s="1" t="n"/>
      <c r="C3821" s="1" t="n">
        <v>8</v>
      </c>
      <c r="D3821" s="1" t="inlineStr">
        <is>
          <t>02/10/2025</t>
        </is>
      </c>
      <c r="E3821" s="1" t="n">
        <v>2025</v>
      </c>
      <c r="F3821" s="1" t="inlineStr">
        <is>
          <t>OCTUBRE</t>
        </is>
      </c>
      <c r="G3821" s="1" t="inlineStr">
        <is>
          <t>ZOEY</t>
        </is>
      </c>
      <c r="H3821" s="1" t="inlineStr">
        <is>
          <t>ZOEY 02/10/2025</t>
        </is>
      </c>
      <c r="I3821" s="4" t="n">
        <v>3</v>
      </c>
      <c r="J3821" s="6" t="n">
        <v>9</v>
      </c>
      <c r="K3821" s="6" t="n">
        <v>212.615424</v>
      </c>
      <c r="L3821" s="6">
        <f>I3821*K3821</f>
        <v/>
      </c>
      <c r="M3821" s="6">
        <f>K3821*4</f>
        <v/>
      </c>
      <c r="N3821" s="6" t="n">
        <v>652</v>
      </c>
    </row>
    <row r="3822">
      <c r="A3822" s="1" t="inlineStr">
        <is>
          <t>67319253498892</t>
        </is>
      </c>
      <c r="B3822" s="1" t="inlineStr">
        <is>
          <t>COLLAR CD REVOLUTION</t>
        </is>
      </c>
      <c r="C3822" s="1" t="inlineStr">
        <is>
          <t>41cm con 6cm de extensión</t>
        </is>
      </c>
      <c r="D3822" s="1" t="inlineStr">
        <is>
          <t>01/09/2025</t>
        </is>
      </c>
      <c r="E3822" s="1" t="n">
        <v>2025</v>
      </c>
      <c r="F3822" s="1" t="inlineStr">
        <is>
          <t>SEPTIEMBRE</t>
        </is>
      </c>
      <c r="G3822" s="1" t="inlineStr">
        <is>
          <t>ZOEY</t>
        </is>
      </c>
      <c r="H3822" s="1" t="inlineStr">
        <is>
          <t>ZOEY 01/09/2025</t>
        </is>
      </c>
      <c r="I3822" s="4" t="n">
        <v>10</v>
      </c>
      <c r="J3822" s="6" t="n">
        <v>8</v>
      </c>
      <c r="K3822" s="6" t="n">
        <v>200.9427568</v>
      </c>
      <c r="L3822" s="6">
        <f>I3822*K3822</f>
        <v/>
      </c>
      <c r="M3822" s="6">
        <f>K3822*4</f>
        <v/>
      </c>
      <c r="N3822" s="6" t="n">
        <v>899</v>
      </c>
    </row>
    <row r="3823">
      <c r="A3823" s="1" t="inlineStr">
        <is>
          <t>67319253498892</t>
        </is>
      </c>
      <c r="B3823" s="1" t="inlineStr">
        <is>
          <t>COLLAR CD REVOLUTION</t>
        </is>
      </c>
      <c r="C3823" s="1" t="inlineStr">
        <is>
          <t>41cm con 6cm de extensión</t>
        </is>
      </c>
      <c r="D3823" s="1" t="inlineStr">
        <is>
          <t>20/01/2026</t>
        </is>
      </c>
      <c r="E3823" s="1" t="n">
        <v>2026</v>
      </c>
      <c r="F3823" s="1" t="inlineStr">
        <is>
          <t>ENERO</t>
        </is>
      </c>
      <c r="G3823" s="1" t="inlineStr">
        <is>
          <t>ZOEY</t>
        </is>
      </c>
      <c r="H3823" s="1" t="inlineStr">
        <is>
          <t>ZOEY 20/01/2026</t>
        </is>
      </c>
      <c r="I3823" s="4" t="n">
        <v>1</v>
      </c>
      <c r="J3823" s="6" t="n">
        <v>8</v>
      </c>
      <c r="K3823" s="6" t="n">
        <v>208.252795</v>
      </c>
      <c r="L3823" s="6">
        <f>I3823*K3823</f>
        <v/>
      </c>
      <c r="M3823" s="6">
        <f>K3823*4</f>
        <v/>
      </c>
      <c r="N3823" s="6" t="n">
        <v>899</v>
      </c>
    </row>
    <row r="3824">
      <c r="A3824" s="1" t="inlineStr">
        <is>
          <t>67319253498892</t>
        </is>
      </c>
      <c r="B3824" s="1" t="inlineStr">
        <is>
          <t>COLLAR CD REVOLUTION</t>
        </is>
      </c>
      <c r="C3824" s="1" t="inlineStr">
        <is>
          <t>41cm con 6cm de extensión</t>
        </is>
      </c>
      <c r="D3824" s="1" t="inlineStr">
        <is>
          <t>15/05/2026</t>
        </is>
      </c>
      <c r="E3824" s="1" t="n">
        <v>2026</v>
      </c>
      <c r="F3824" s="1" t="inlineStr">
        <is>
          <t>MAYO</t>
        </is>
      </c>
      <c r="G3824" s="1" t="inlineStr">
        <is>
          <t>ZOEY</t>
        </is>
      </c>
      <c r="H3824" s="1" t="inlineStr">
        <is>
          <t>ZOEY 15/05/2026</t>
        </is>
      </c>
      <c r="I3824" s="4" t="n">
        <v>3</v>
      </c>
      <c r="J3824" s="6" t="n">
        <v>8</v>
      </c>
      <c r="K3824" s="6" t="n">
        <v>212.0369959</v>
      </c>
      <c r="L3824" s="6">
        <f>I3824*K3824</f>
        <v/>
      </c>
      <c r="M3824" s="6">
        <f>K3824*4</f>
        <v/>
      </c>
      <c r="N3824" s="6" t="n">
        <v>899</v>
      </c>
    </row>
    <row r="3825">
      <c r="A3825" s="1" t="inlineStr">
        <is>
          <t>6737d91d66417</t>
        </is>
      </c>
      <c r="B3825" s="1" t="inlineStr">
        <is>
          <t>TARJETERO CD SADDLE</t>
        </is>
      </c>
      <c r="C3825" s="1" t="inlineStr">
        <is>
          <t>11cm de largo x 8cm de Alto</t>
        </is>
      </c>
      <c r="D3825" s="1" t="inlineStr">
        <is>
          <t>01/09/2025</t>
        </is>
      </c>
      <c r="E3825" s="1" t="n">
        <v>2025</v>
      </c>
      <c r="F3825" s="1" t="inlineStr">
        <is>
          <t>SEPTIEMBRE</t>
        </is>
      </c>
      <c r="G3825" s="1" t="inlineStr">
        <is>
          <t>ZOEY</t>
        </is>
      </c>
      <c r="H3825" s="1" t="inlineStr">
        <is>
          <t>ZOEY 01/09/2025</t>
        </is>
      </c>
      <c r="I3825" s="4" t="n">
        <v>3</v>
      </c>
      <c r="J3825" s="6" t="n">
        <v>18</v>
      </c>
      <c r="K3825" s="6" t="n">
        <v>452.1212029</v>
      </c>
      <c r="L3825" s="6">
        <f>I3825*K3825</f>
        <v/>
      </c>
      <c r="M3825" s="6">
        <f>K3825*4</f>
        <v/>
      </c>
      <c r="N3825" s="6" t="n">
        <v>1520</v>
      </c>
    </row>
    <row r="3826">
      <c r="A3826" s="1" t="inlineStr">
        <is>
          <t>6737d91d66417</t>
        </is>
      </c>
      <c r="B3826" s="1" t="inlineStr">
        <is>
          <t>TARJETERO CD SADDLE</t>
        </is>
      </c>
      <c r="C3826" s="1" t="inlineStr">
        <is>
          <t>11cm de largo x 8cm de Alto</t>
        </is>
      </c>
      <c r="D3826" s="1" t="inlineStr">
        <is>
          <t>25/10/2025</t>
        </is>
      </c>
      <c r="E3826" s="1" t="n">
        <v>2025</v>
      </c>
      <c r="F3826" s="1" t="inlineStr">
        <is>
          <t>OCTUBRE</t>
        </is>
      </c>
      <c r="G3826" s="1" t="inlineStr">
        <is>
          <t>ZOEY</t>
        </is>
      </c>
      <c r="H3826" s="1" t="inlineStr">
        <is>
          <t>ZOEY 25/10/2025</t>
        </is>
      </c>
      <c r="I3826" s="4" t="n">
        <v>16</v>
      </c>
      <c r="J3826" s="6" t="n">
        <v>18</v>
      </c>
      <c r="K3826" s="6" t="n">
        <v>446.4019675</v>
      </c>
      <c r="L3826" s="6">
        <f>I3826*K3826</f>
        <v/>
      </c>
      <c r="M3826" s="6">
        <f>K3826*4</f>
        <v/>
      </c>
      <c r="N3826" s="6" t="n">
        <v>1520</v>
      </c>
    </row>
    <row r="3827">
      <c r="A3827" s="1" t="inlineStr">
        <is>
          <t>6737d91d66417</t>
        </is>
      </c>
      <c r="B3827" s="1" t="inlineStr">
        <is>
          <t>TARJETERO CD SADDLE</t>
        </is>
      </c>
      <c r="C3827" s="1" t="inlineStr">
        <is>
          <t>11cm de largo x 8cm de Alto</t>
        </is>
      </c>
      <c r="D3827" s="1" t="inlineStr">
        <is>
          <t>20/01/2026</t>
        </is>
      </c>
      <c r="E3827" s="1" t="n">
        <v>2026</v>
      </c>
      <c r="F3827" s="1" t="inlineStr">
        <is>
          <t>ENERO</t>
        </is>
      </c>
      <c r="G3827" s="1" t="inlineStr">
        <is>
          <t>ZOEY</t>
        </is>
      </c>
      <c r="H3827" s="1" t="inlineStr">
        <is>
          <t>ZOEY 20/01/2026</t>
        </is>
      </c>
      <c r="I3827" s="4" t="n">
        <v>15</v>
      </c>
      <c r="J3827" s="6" t="n">
        <v>18</v>
      </c>
      <c r="K3827" s="6" t="n">
        <v>468.5687886</v>
      </c>
      <c r="L3827" s="6">
        <f>I3827*K3827</f>
        <v/>
      </c>
      <c r="M3827" s="6">
        <f>K3827*4</f>
        <v/>
      </c>
      <c r="N3827" s="6" t="n">
        <v>1859</v>
      </c>
    </row>
    <row r="3828">
      <c r="A3828" s="1" t="inlineStr">
        <is>
          <t>6737d91d66417</t>
        </is>
      </c>
      <c r="B3828" s="1" t="inlineStr">
        <is>
          <t>TARJETERO CD SADDLE</t>
        </is>
      </c>
      <c r="C3828" s="1" t="inlineStr">
        <is>
          <t>11cm de largo x 8cm de Alto</t>
        </is>
      </c>
      <c r="D3828" s="1" t="inlineStr">
        <is>
          <t>19/03/2026</t>
        </is>
      </c>
      <c r="E3828" s="1" t="n">
        <v>2026</v>
      </c>
      <c r="F3828" s="1" t="inlineStr">
        <is>
          <t>MARZO</t>
        </is>
      </c>
      <c r="G3828" s="1" t="inlineStr">
        <is>
          <t>ZOEY</t>
        </is>
      </c>
      <c r="H3828" s="1" t="inlineStr">
        <is>
          <t>ZOEY 19/03/2026</t>
        </is>
      </c>
      <c r="I3828" s="4" t="n">
        <v>10</v>
      </c>
      <c r="J3828" s="6" t="n">
        <v>18</v>
      </c>
      <c r="K3828" s="6" t="n">
        <v>464.076893</v>
      </c>
      <c r="L3828" s="6">
        <f>I3828*K3828</f>
        <v/>
      </c>
      <c r="M3828" s="6">
        <f>K3828*4</f>
        <v/>
      </c>
      <c r="N3828" s="6" t="n">
        <v>1859</v>
      </c>
    </row>
    <row r="3829">
      <c r="A3829" s="1" t="inlineStr">
        <is>
          <t>673cd55cc4ae5</t>
        </is>
      </c>
      <c r="B3829" s="1" t="inlineStr">
        <is>
          <t>ANILLO ONE T ROSEGOLD</t>
        </is>
      </c>
      <c r="C3829" s="1" t="inlineStr">
        <is>
          <t>6</t>
        </is>
      </c>
      <c r="D3829" s="1" t="inlineStr">
        <is>
          <t>10/02/2026</t>
        </is>
      </c>
      <c r="E3829" s="1" t="n">
        <v>2026</v>
      </c>
      <c r="F3829" s="1" t="inlineStr">
        <is>
          <t>FEBRERO</t>
        </is>
      </c>
      <c r="G3829" s="1" t="inlineStr">
        <is>
          <t>HAIFENG</t>
        </is>
      </c>
      <c r="H3829" s="1" t="inlineStr">
        <is>
          <t>HAIFENG 10/02/2026</t>
        </is>
      </c>
      <c r="I3829" s="4" t="n">
        <v>1</v>
      </c>
      <c r="J3829" s="6" t="n">
        <v>4</v>
      </c>
      <c r="K3829" s="6" t="n">
        <v>84.27398426000001</v>
      </c>
      <c r="L3829" s="6">
        <f>I3829*K3829</f>
        <v/>
      </c>
      <c r="M3829" s="6">
        <f>K3829*4</f>
        <v/>
      </c>
      <c r="N3829" s="6" t="n">
        <v>400</v>
      </c>
    </row>
    <row r="3830">
      <c r="A3830" s="1" t="inlineStr">
        <is>
          <t>673cd55cc4ae5</t>
        </is>
      </c>
      <c r="B3830" s="1" t="inlineStr">
        <is>
          <t>ANILLO ONE T ROSEGOLD</t>
        </is>
      </c>
      <c r="C3830" s="1" t="inlineStr">
        <is>
          <t>6</t>
        </is>
      </c>
      <c r="D3830" s="1" t="inlineStr">
        <is>
          <t>26/05/2026</t>
        </is>
      </c>
      <c r="E3830" s="1" t="n">
        <v>2026</v>
      </c>
      <c r="F3830" s="1" t="inlineStr">
        <is>
          <t>MAYO</t>
        </is>
      </c>
      <c r="G3830" s="1" t="inlineStr">
        <is>
          <t>HAIFENG</t>
        </is>
      </c>
      <c r="H3830" s="1" t="inlineStr">
        <is>
          <t>HAIFENG 26/05/2026</t>
        </is>
      </c>
      <c r="I3830" s="4" t="n">
        <v>3</v>
      </c>
      <c r="J3830" s="6" t="n">
        <v>4</v>
      </c>
      <c r="K3830" s="6" t="n">
        <v>83.95718118000001</v>
      </c>
      <c r="L3830" s="6">
        <f>I3830*K3830</f>
        <v/>
      </c>
      <c r="M3830" s="6">
        <f>K3830*4</f>
        <v/>
      </c>
      <c r="N3830" s="6" t="n">
        <v>400</v>
      </c>
    </row>
    <row r="3831">
      <c r="A3831" s="1" t="inlineStr">
        <is>
          <t>673cd55d87e7f</t>
        </is>
      </c>
      <c r="B3831" s="1" t="inlineStr">
        <is>
          <t>ANILLO ONE T ROSEGOLD</t>
        </is>
      </c>
      <c r="C3831" s="1" t="inlineStr">
        <is>
          <t>7</t>
        </is>
      </c>
      <c r="D3831" s="1" t="inlineStr">
        <is>
          <t>25/09/2025</t>
        </is>
      </c>
      <c r="E3831" s="1" t="n">
        <v>2025</v>
      </c>
      <c r="F3831" s="1" t="inlineStr">
        <is>
          <t>SEPTIEMBRE</t>
        </is>
      </c>
      <c r="G3831" s="1" t="inlineStr">
        <is>
          <t>HAIFENG</t>
        </is>
      </c>
      <c r="H3831" s="1" t="inlineStr">
        <is>
          <t>HAIFENG 25/09/2025</t>
        </is>
      </c>
      <c r="I3831" s="4" t="n">
        <v>1</v>
      </c>
      <c r="J3831" s="6" t="n">
        <v>5</v>
      </c>
      <c r="K3831" s="6" t="n">
        <v>105.4844288</v>
      </c>
      <c r="L3831" s="6">
        <f>I3831*K3831</f>
        <v/>
      </c>
      <c r="M3831" s="6">
        <f>K3831*4</f>
        <v/>
      </c>
      <c r="N3831" s="6" t="n">
        <v>400</v>
      </c>
    </row>
    <row r="3832">
      <c r="A3832" s="1" t="inlineStr">
        <is>
          <t>673cd55d87e7f</t>
        </is>
      </c>
      <c r="B3832" s="1" t="inlineStr">
        <is>
          <t>ANILLO ONE T ROSEGOLD</t>
        </is>
      </c>
      <c r="C3832" s="1" t="inlineStr">
        <is>
          <t>7</t>
        </is>
      </c>
      <c r="D3832" s="1" t="inlineStr">
        <is>
          <t>11/11/2025</t>
        </is>
      </c>
      <c r="E3832" s="1" t="n">
        <v>2025</v>
      </c>
      <c r="F3832" s="1" t="inlineStr">
        <is>
          <t>NOVIEMBRE</t>
        </is>
      </c>
      <c r="G3832" s="1" t="inlineStr">
        <is>
          <t>HAIFENG</t>
        </is>
      </c>
      <c r="H3832" s="1" t="inlineStr">
        <is>
          <t>HAIFENG 11/11/2025</t>
        </is>
      </c>
      <c r="I3832" s="4" t="n">
        <v>1</v>
      </c>
      <c r="J3832" s="6" t="n">
        <v>4</v>
      </c>
      <c r="K3832" s="6" t="n">
        <v>84.24199376999999</v>
      </c>
      <c r="L3832" s="6">
        <f>I3832*K3832</f>
        <v/>
      </c>
      <c r="M3832" s="6">
        <f>K3832*4</f>
        <v/>
      </c>
      <c r="N3832" s="6" t="n">
        <v>400</v>
      </c>
    </row>
    <row r="3833">
      <c r="A3833" s="1" t="inlineStr">
        <is>
          <t>673cd55d87e7f</t>
        </is>
      </c>
      <c r="B3833" s="1" t="n"/>
      <c r="C3833" s="1" t="inlineStr">
        <is>
          <t>7</t>
        </is>
      </c>
      <c r="D3833" s="1" t="inlineStr">
        <is>
          <t>10/02/2026</t>
        </is>
      </c>
      <c r="E3833" s="1" t="n">
        <v>2026</v>
      </c>
      <c r="F3833" s="1" t="inlineStr">
        <is>
          <t>FEBRERO</t>
        </is>
      </c>
      <c r="G3833" s="1" t="inlineStr">
        <is>
          <t>HAIFENG</t>
        </is>
      </c>
      <c r="H3833" s="1" t="inlineStr">
        <is>
          <t>HAIFENG 10/02/2026</t>
        </is>
      </c>
      <c r="I3833" s="4" t="n">
        <v>5</v>
      </c>
      <c r="J3833" s="6" t="n">
        <v>4</v>
      </c>
      <c r="K3833" s="6" t="n">
        <v>84.27398426000001</v>
      </c>
      <c r="L3833" s="6">
        <f>I3833*K3833</f>
        <v/>
      </c>
      <c r="M3833" s="6">
        <f>K3833*4</f>
        <v/>
      </c>
      <c r="N3833" s="6" t="n">
        <v>400</v>
      </c>
    </row>
    <row r="3834">
      <c r="A3834" s="1" t="inlineStr">
        <is>
          <t>673cd55e24dd4</t>
        </is>
      </c>
      <c r="B3834" s="1" t="n"/>
      <c r="C3834" s="1" t="inlineStr">
        <is>
          <t>8</t>
        </is>
      </c>
      <c r="D3834" s="1" t="inlineStr">
        <is>
          <t>10/02/2026</t>
        </is>
      </c>
      <c r="E3834" s="1" t="n">
        <v>2026</v>
      </c>
      <c r="F3834" s="1" t="inlineStr">
        <is>
          <t>FEBRERO</t>
        </is>
      </c>
      <c r="G3834" s="1" t="inlineStr">
        <is>
          <t>HAIFENG</t>
        </is>
      </c>
      <c r="H3834" s="1" t="inlineStr">
        <is>
          <t>HAIFENG 10/02/2026</t>
        </is>
      </c>
      <c r="I3834" s="4" t="n">
        <v>5</v>
      </c>
      <c r="J3834" s="6" t="n">
        <v>4</v>
      </c>
      <c r="K3834" s="6" t="n">
        <v>84.27398426000001</v>
      </c>
      <c r="L3834" s="6">
        <f>I3834*K3834</f>
        <v/>
      </c>
      <c r="M3834" s="6">
        <f>K3834*4</f>
        <v/>
      </c>
      <c r="N3834" s="6" t="n">
        <v>400</v>
      </c>
    </row>
    <row r="3835">
      <c r="A3835" s="1" t="inlineStr">
        <is>
          <t>673cd55e4a3ca</t>
        </is>
      </c>
      <c r="B3835" s="1" t="inlineStr">
        <is>
          <t>ANILLO ONE T CON ZIRCONIA GOLD</t>
        </is>
      </c>
      <c r="C3835" s="1" t="inlineStr">
        <is>
          <t>6</t>
        </is>
      </c>
      <c r="D3835" s="1" t="inlineStr">
        <is>
          <t>10/02/2026</t>
        </is>
      </c>
      <c r="E3835" s="1" t="n">
        <v>2026</v>
      </c>
      <c r="F3835" s="1" t="inlineStr">
        <is>
          <t>FEBRERO</t>
        </is>
      </c>
      <c r="G3835" s="1" t="inlineStr">
        <is>
          <t>HAIFENG</t>
        </is>
      </c>
      <c r="H3835" s="1" t="inlineStr">
        <is>
          <t>HAIFENG 10/02/2026</t>
        </is>
      </c>
      <c r="I3835" s="4" t="n">
        <v>1</v>
      </c>
      <c r="J3835" s="6" t="n">
        <v>5</v>
      </c>
      <c r="K3835" s="6" t="n">
        <v>105.3424803</v>
      </c>
      <c r="L3835" s="6">
        <f>I3835*K3835</f>
        <v/>
      </c>
      <c r="M3835" s="6">
        <f>K3835*4</f>
        <v/>
      </c>
      <c r="N3835" s="6" t="n">
        <v>450</v>
      </c>
    </row>
    <row r="3836">
      <c r="A3836" s="1" t="inlineStr">
        <is>
          <t>673cd55e4a3ca</t>
        </is>
      </c>
      <c r="B3836" s="1" t="inlineStr">
        <is>
          <t>ANILLO ONE T CON ZIRCONIA GOLD</t>
        </is>
      </c>
      <c r="C3836" s="1" t="inlineStr">
        <is>
          <t>6</t>
        </is>
      </c>
      <c r="D3836" s="1" t="inlineStr">
        <is>
          <t>16/04/2026</t>
        </is>
      </c>
      <c r="E3836" s="1" t="n">
        <v>2026</v>
      </c>
      <c r="F3836" s="1" t="inlineStr">
        <is>
          <t>ABRIL</t>
        </is>
      </c>
      <c r="G3836" s="1" t="inlineStr">
        <is>
          <t>HAIFENG</t>
        </is>
      </c>
      <c r="H3836" s="1" t="inlineStr">
        <is>
          <t>HAIFENG 16/04/2026</t>
        </is>
      </c>
      <c r="I3836" s="4" t="n">
        <v>3</v>
      </c>
      <c r="J3836" s="6" t="n">
        <v>5</v>
      </c>
      <c r="K3836" s="6" t="n">
        <v>105.1573679</v>
      </c>
      <c r="L3836" s="6">
        <f>I3836*K3836</f>
        <v/>
      </c>
      <c r="M3836" s="6">
        <f>K3836*4</f>
        <v/>
      </c>
      <c r="N3836" s="6" t="n">
        <v>450</v>
      </c>
    </row>
    <row r="3837">
      <c r="A3837" s="1" t="inlineStr">
        <is>
          <t>673cd55edea9b</t>
        </is>
      </c>
      <c r="B3837" s="1" t="inlineStr">
        <is>
          <t>ANILLO ONE T CON ZIRCONIA GOLD</t>
        </is>
      </c>
      <c r="C3837" s="1" t="inlineStr">
        <is>
          <t>7</t>
        </is>
      </c>
      <c r="D3837" s="1" t="inlineStr">
        <is>
          <t>01/09/2025</t>
        </is>
      </c>
      <c r="E3837" s="1" t="n">
        <v>2025</v>
      </c>
      <c r="F3837" s="1" t="inlineStr">
        <is>
          <t>SEPTIEMBRE</t>
        </is>
      </c>
      <c r="G3837" s="1" t="inlineStr">
        <is>
          <t>HAIFENG</t>
        </is>
      </c>
      <c r="H3837" s="1" t="inlineStr">
        <is>
          <t>HAIFENG 01/09/2025</t>
        </is>
      </c>
      <c r="I3837" s="4" t="n">
        <v>1</v>
      </c>
      <c r="J3837" s="6" t="n">
        <v>5</v>
      </c>
      <c r="K3837" s="6" t="n">
        <v>106.2783553</v>
      </c>
      <c r="L3837" s="6">
        <f>I3837*K3837</f>
        <v/>
      </c>
      <c r="M3837" s="6">
        <f>K3837*4</f>
        <v/>
      </c>
      <c r="N3837" s="6" t="n">
        <v>450</v>
      </c>
    </row>
    <row r="3838">
      <c r="A3838" s="1" t="inlineStr">
        <is>
          <t>673cd55edea9b</t>
        </is>
      </c>
      <c r="B3838" s="1" t="inlineStr">
        <is>
          <t>ANILLO ONE T CON ZIRCONIA GOLD</t>
        </is>
      </c>
      <c r="C3838" s="1" t="inlineStr">
        <is>
          <t>7</t>
        </is>
      </c>
      <c r="D3838" s="1" t="inlineStr">
        <is>
          <t>03/12/2025</t>
        </is>
      </c>
      <c r="E3838" s="1" t="n">
        <v>2025</v>
      </c>
      <c r="F3838" s="1" t="inlineStr">
        <is>
          <t>DICIEMBRE</t>
        </is>
      </c>
      <c r="G3838" s="1" t="inlineStr">
        <is>
          <t>HAIFENG</t>
        </is>
      </c>
      <c r="H3838" s="1" t="inlineStr">
        <is>
          <t>HAIFENG 03/12/2025</t>
        </is>
      </c>
      <c r="I3838" s="4" t="n">
        <v>2</v>
      </c>
      <c r="J3838" s="6" t="n">
        <v>5</v>
      </c>
      <c r="K3838" s="6" t="n">
        <v>104.5858001</v>
      </c>
      <c r="L3838" s="6">
        <f>I3838*K3838</f>
        <v/>
      </c>
      <c r="M3838" s="6">
        <f>K3838*4</f>
        <v/>
      </c>
      <c r="N3838" s="6" t="n">
        <v>450</v>
      </c>
    </row>
    <row r="3839">
      <c r="A3839" s="1" t="inlineStr">
        <is>
          <t>673cd55edea9b</t>
        </is>
      </c>
      <c r="B3839" s="1" t="inlineStr">
        <is>
          <t>ANILLO ONE T CON ZIRCONIA GOLD</t>
        </is>
      </c>
      <c r="C3839" s="1" t="inlineStr">
        <is>
          <t>7</t>
        </is>
      </c>
      <c r="D3839" s="1" t="inlineStr">
        <is>
          <t>16/06/2026</t>
        </is>
      </c>
      <c r="E3839" s="1" t="n">
        <v>2026</v>
      </c>
      <c r="F3839" s="1" t="inlineStr">
        <is>
          <t>JUNIO</t>
        </is>
      </c>
      <c r="G3839" s="1" t="inlineStr">
        <is>
          <t>HAIFENG</t>
        </is>
      </c>
      <c r="H3839" s="1" t="inlineStr">
        <is>
          <t>HAIFENG 16/06/2026</t>
        </is>
      </c>
      <c r="I3839" s="4" t="n">
        <v>3</v>
      </c>
      <c r="J3839" s="6" t="n">
        <v>5</v>
      </c>
      <c r="K3839" s="6" t="n">
        <v>105.0730323</v>
      </c>
      <c r="L3839" s="6">
        <f>I3839*K3839</f>
        <v/>
      </c>
      <c r="M3839" s="6">
        <f>K3839*4</f>
        <v/>
      </c>
      <c r="N3839" s="6" t="n">
        <v>450</v>
      </c>
    </row>
    <row r="3840">
      <c r="A3840" s="1" t="inlineStr">
        <is>
          <t>673cd561eb622</t>
        </is>
      </c>
      <c r="B3840" s="1" t="inlineStr">
        <is>
          <t>ANILLO ONE T ROSE GOLD CON ZIRCONIA</t>
        </is>
      </c>
      <c r="C3840" s="1" t="inlineStr">
        <is>
          <t>8 HIGH QUALITY</t>
        </is>
      </c>
      <c r="D3840" s="1" t="inlineStr">
        <is>
          <t>06/05/2026</t>
        </is>
      </c>
      <c r="E3840" s="1" t="n">
        <v>2026</v>
      </c>
      <c r="F3840" s="1" t="inlineStr">
        <is>
          <t>MAYO</t>
        </is>
      </c>
      <c r="G3840" s="1" t="inlineStr">
        <is>
          <t>HAIFENG</t>
        </is>
      </c>
      <c r="H3840" s="1" t="inlineStr">
        <is>
          <t>HAIFENG 06/05/2026</t>
        </is>
      </c>
      <c r="I3840" s="4" t="n">
        <v>1</v>
      </c>
      <c r="J3840" s="6" t="n">
        <v>5</v>
      </c>
      <c r="K3840" s="6" t="n">
        <v>106.0932113</v>
      </c>
      <c r="L3840" s="6">
        <f>I3840*K3840</f>
        <v/>
      </c>
      <c r="M3840" s="6">
        <f>K3840*4</f>
        <v/>
      </c>
      <c r="N3840" s="6" t="n">
        <v>599</v>
      </c>
    </row>
    <row r="3841">
      <c r="A3841" s="1" t="inlineStr">
        <is>
          <t>673cd561eb622</t>
        </is>
      </c>
      <c r="B3841" s="1" t="inlineStr">
        <is>
          <t>ANILLO ONE T ROSE GOLD CON ZIRCONIA</t>
        </is>
      </c>
      <c r="C3841" s="1" t="inlineStr">
        <is>
          <t>8 HIGH QUALITY</t>
        </is>
      </c>
      <c r="D3841" s="1" t="inlineStr">
        <is>
          <t>16/06/2026</t>
        </is>
      </c>
      <c r="E3841" s="1" t="n">
        <v>2026</v>
      </c>
      <c r="F3841" s="1" t="inlineStr">
        <is>
          <t>JUNIO</t>
        </is>
      </c>
      <c r="G3841" s="1" t="inlineStr">
        <is>
          <t>HAIFENG</t>
        </is>
      </c>
      <c r="H3841" s="1" t="inlineStr">
        <is>
          <t>HAIFENG 16/06/2026</t>
        </is>
      </c>
      <c r="I3841" s="4" t="n">
        <v>2</v>
      </c>
      <c r="J3841" s="6" t="n">
        <v>5</v>
      </c>
      <c r="K3841" s="6" t="n">
        <v>105.0730323</v>
      </c>
      <c r="L3841" s="6">
        <f>I3841*K3841</f>
        <v/>
      </c>
      <c r="M3841" s="6">
        <f>K3841*4</f>
        <v/>
      </c>
      <c r="N3841" s="6" t="n">
        <v>599</v>
      </c>
    </row>
    <row r="3842">
      <c r="A3842" s="1" t="inlineStr">
        <is>
          <t>673cd5677aee7</t>
        </is>
      </c>
      <c r="B3842" s="1" t="inlineStr">
        <is>
          <t>ANILLO TRUE GOLD</t>
        </is>
      </c>
      <c r="C3842" s="1" t="n">
        <v>6</v>
      </c>
      <c r="D3842" s="1" t="inlineStr">
        <is>
          <t>01/03/2026</t>
        </is>
      </c>
      <c r="E3842" s="1" t="n">
        <v>2026</v>
      </c>
      <c r="F3842" s="1" t="inlineStr">
        <is>
          <t>MARZO</t>
        </is>
      </c>
      <c r="G3842" s="1" t="inlineStr">
        <is>
          <t>NANCY</t>
        </is>
      </c>
      <c r="H3842" s="1" t="inlineStr">
        <is>
          <t>NANCY 01/03/2026</t>
        </is>
      </c>
      <c r="I3842" s="4" t="n">
        <v>2</v>
      </c>
      <c r="J3842" s="6" t="n">
        <v>7.59</v>
      </c>
      <c r="K3842" s="6" t="n">
        <v>192.0552222</v>
      </c>
      <c r="L3842" s="6">
        <f>I3842*K3842</f>
        <v/>
      </c>
      <c r="M3842" s="6">
        <f>K3842*4</f>
        <v/>
      </c>
      <c r="N3842" s="6" t="n">
        <v>639</v>
      </c>
    </row>
    <row r="3843">
      <c r="A3843" s="1" t="inlineStr">
        <is>
          <t>673cd567a7edc</t>
        </is>
      </c>
      <c r="B3843" s="1" t="inlineStr">
        <is>
          <t>ANILLO TRES AROS</t>
        </is>
      </c>
      <c r="C3843" s="1" t="inlineStr">
        <is>
          <t>5</t>
        </is>
      </c>
      <c r="D3843" s="1" t="inlineStr">
        <is>
          <t>03/12/2025</t>
        </is>
      </c>
      <c r="E3843" s="1" t="n">
        <v>2025</v>
      </c>
      <c r="F3843" s="1" t="inlineStr">
        <is>
          <t>DICIEMBRE</t>
        </is>
      </c>
      <c r="G3843" s="1" t="inlineStr">
        <is>
          <t>HAIFENG</t>
        </is>
      </c>
      <c r="H3843" s="1" t="inlineStr">
        <is>
          <t>HAIFENG 03/12/2025</t>
        </is>
      </c>
      <c r="I3843" s="4" t="n">
        <v>8</v>
      </c>
      <c r="J3843" s="6" t="n">
        <v>4.7</v>
      </c>
      <c r="K3843" s="6" t="n">
        <v>98.31065205</v>
      </c>
      <c r="L3843" s="6">
        <f>I3843*K3843</f>
        <v/>
      </c>
      <c r="M3843" s="6">
        <f>K3843*4</f>
        <v/>
      </c>
      <c r="N3843" s="6" t="n">
        <v>650</v>
      </c>
    </row>
    <row r="3844">
      <c r="A3844" s="1" t="inlineStr">
        <is>
          <t>673cd567a7edc</t>
        </is>
      </c>
      <c r="B3844" s="1" t="inlineStr">
        <is>
          <t>ANILLO TRES AROS</t>
        </is>
      </c>
      <c r="C3844" s="1" t="inlineStr">
        <is>
          <t>5</t>
        </is>
      </c>
      <c r="D3844" s="1" t="inlineStr">
        <is>
          <t>20/01/2026</t>
        </is>
      </c>
      <c r="E3844" s="1" t="n">
        <v>2026</v>
      </c>
      <c r="F3844" s="1" t="inlineStr">
        <is>
          <t>ENERO</t>
        </is>
      </c>
      <c r="G3844" s="1" t="inlineStr">
        <is>
          <t>HAIFENG</t>
        </is>
      </c>
      <c r="H3844" s="1" t="inlineStr">
        <is>
          <t>HAIFENG 20/01/2026</t>
        </is>
      </c>
      <c r="I3844" s="4" t="n">
        <v>5</v>
      </c>
      <c r="J3844" s="6" t="n">
        <v>4.7</v>
      </c>
      <c r="K3844" s="6" t="n">
        <v>99.64196362</v>
      </c>
      <c r="L3844" s="6">
        <f>I3844*K3844</f>
        <v/>
      </c>
      <c r="M3844" s="6">
        <f>K3844*4</f>
        <v/>
      </c>
      <c r="N3844" s="6" t="n">
        <v>650</v>
      </c>
    </row>
    <row r="3845">
      <c r="A3845" s="1" t="inlineStr">
        <is>
          <t>673cd568aea80</t>
        </is>
      </c>
      <c r="B3845" s="1" t="inlineStr">
        <is>
          <t>ANILLO TRUE GOLD</t>
        </is>
      </c>
      <c r="C3845" s="1" t="n">
        <v>8</v>
      </c>
      <c r="D3845" s="1" t="inlineStr">
        <is>
          <t>08/05/2026</t>
        </is>
      </c>
      <c r="E3845" s="1" t="n">
        <v>2026</v>
      </c>
      <c r="F3845" s="1" t="inlineStr">
        <is>
          <t>MAYO</t>
        </is>
      </c>
      <c r="G3845" s="1" t="inlineStr">
        <is>
          <t>NANCY</t>
        </is>
      </c>
      <c r="H3845" s="1" t="inlineStr">
        <is>
          <t>NANCY 08/05/2026</t>
        </is>
      </c>
      <c r="I3845" s="4" t="n">
        <v>3</v>
      </c>
      <c r="J3845" s="6" t="n">
        <v>5.59</v>
      </c>
      <c r="K3845" s="6" t="n">
        <v>132.2468818</v>
      </c>
      <c r="L3845" s="6">
        <f>I3845*K3845</f>
        <v/>
      </c>
      <c r="M3845" s="6">
        <f>K3845*4</f>
        <v/>
      </c>
      <c r="N3845" s="6" t="n">
        <v>639</v>
      </c>
    </row>
    <row r="3846">
      <c r="A3846" s="1" t="inlineStr">
        <is>
          <t>673cd62fa988f</t>
        </is>
      </c>
      <c r="B3846" s="1" t="inlineStr">
        <is>
          <t>COLLAR B zero SILVER CON ZIRCONIAS</t>
        </is>
      </c>
      <c r="C3846" s="1" t="inlineStr">
        <is>
          <t>41cm de largo con 8cm de extensión</t>
        </is>
      </c>
      <c r="D3846" s="1" t="inlineStr">
        <is>
          <t>25/09/2025</t>
        </is>
      </c>
      <c r="E3846" s="1" t="n">
        <v>2025</v>
      </c>
      <c r="F3846" s="1" t="inlineStr">
        <is>
          <t>SEPTIEMBRE</t>
        </is>
      </c>
      <c r="G3846" s="1" t="inlineStr">
        <is>
          <t>HAIFENG</t>
        </is>
      </c>
      <c r="H3846" s="1" t="inlineStr">
        <is>
          <t>HAIFENG 25/09/2025</t>
        </is>
      </c>
      <c r="I3846" s="4" t="n">
        <v>5</v>
      </c>
      <c r="J3846" s="6" t="n">
        <v>7</v>
      </c>
      <c r="K3846" s="6" t="n">
        <v>147.6782004</v>
      </c>
      <c r="L3846" s="6">
        <f>I3846*K3846</f>
        <v/>
      </c>
      <c r="M3846" s="6">
        <f>K3846*4</f>
        <v/>
      </c>
      <c r="N3846" s="6" t="n">
        <v>550</v>
      </c>
    </row>
    <row r="3847">
      <c r="A3847" s="1" t="inlineStr">
        <is>
          <t>673cd62fa988f</t>
        </is>
      </c>
      <c r="B3847" s="1" t="inlineStr">
        <is>
          <t>COLLAR B zero SILVER CON ZIRCONIAS</t>
        </is>
      </c>
      <c r="C3847" s="1" t="inlineStr">
        <is>
          <t>41cm de largo con 8cm de extensión</t>
        </is>
      </c>
      <c r="D3847" s="1" t="inlineStr">
        <is>
          <t>06/05/2026</t>
        </is>
      </c>
      <c r="E3847" s="1" t="n">
        <v>2026</v>
      </c>
      <c r="F3847" s="1" t="inlineStr">
        <is>
          <t>MAYO</t>
        </is>
      </c>
      <c r="G3847" s="1" t="inlineStr">
        <is>
          <t>HAIFENG</t>
        </is>
      </c>
      <c r="H3847" s="1" t="inlineStr">
        <is>
          <t>HAIFENG 06/05/2026</t>
        </is>
      </c>
      <c r="I3847" s="4" t="n">
        <v>5</v>
      </c>
      <c r="J3847" s="6" t="n">
        <v>7</v>
      </c>
      <c r="K3847" s="6" t="n">
        <v>148.5304959</v>
      </c>
      <c r="L3847" s="6">
        <f>I3847*K3847</f>
        <v/>
      </c>
      <c r="M3847" s="6">
        <f>K3847*4</f>
        <v/>
      </c>
      <c r="N3847" s="6" t="n">
        <v>550</v>
      </c>
    </row>
    <row r="3848">
      <c r="A3848" s="1" t="inlineStr">
        <is>
          <t>6748bba38eb40</t>
        </is>
      </c>
      <c r="B3848" s="1" t="inlineStr">
        <is>
          <t>ZAPATILLAS YSL OPYUM BLACK</t>
        </is>
      </c>
      <c r="C3848" s="1" t="inlineStr">
        <is>
          <t>24cm</t>
        </is>
      </c>
      <c r="D3848" s="1" t="inlineStr">
        <is>
          <t>01/09/2025</t>
        </is>
      </c>
      <c r="E3848" s="1" t="n">
        <v>2025</v>
      </c>
      <c r="F3848" s="1" t="inlineStr">
        <is>
          <t>SEPTIEMBRE</t>
        </is>
      </c>
      <c r="G3848" s="1" t="inlineStr">
        <is>
          <t>ZOEY</t>
        </is>
      </c>
      <c r="H3848" s="1" t="inlineStr">
        <is>
          <t>ZOEY 01/09/2025</t>
        </is>
      </c>
      <c r="I3848" s="4" t="n">
        <v>1</v>
      </c>
      <c r="J3848" s="6" t="n">
        <v>65</v>
      </c>
      <c r="K3848" s="6" t="n">
        <v>1632.659899</v>
      </c>
      <c r="L3848" s="6">
        <f>I3848*K3848</f>
        <v/>
      </c>
      <c r="M3848" s="6">
        <f>K3848*4</f>
        <v/>
      </c>
      <c r="N3848" s="6" t="n">
        <v>5450</v>
      </c>
    </row>
    <row r="3849">
      <c r="A3849" s="1" t="inlineStr">
        <is>
          <t>6748bba38eb40</t>
        </is>
      </c>
      <c r="B3849" s="1" t="inlineStr">
        <is>
          <t>ZAPATILLAS YSL OPYUM BLACK</t>
        </is>
      </c>
      <c r="C3849" s="1" t="inlineStr">
        <is>
          <t>24cm</t>
        </is>
      </c>
      <c r="D3849" s="1" t="inlineStr">
        <is>
          <t>20/01/2026</t>
        </is>
      </c>
      <c r="E3849" s="1" t="n">
        <v>2026</v>
      </c>
      <c r="F3849" s="1" t="inlineStr">
        <is>
          <t>ENERO</t>
        </is>
      </c>
      <c r="G3849" s="1" t="inlineStr">
        <is>
          <t>ZOEY</t>
        </is>
      </c>
      <c r="H3849" s="1" t="inlineStr">
        <is>
          <t>ZOEY 20/01/2026</t>
        </is>
      </c>
      <c r="I3849" s="4" t="n">
        <v>1</v>
      </c>
      <c r="J3849" s="6" t="n">
        <v>65</v>
      </c>
      <c r="K3849" s="6" t="n">
        <v>1692.053959</v>
      </c>
      <c r="L3849" s="6">
        <f>I3849*K3849</f>
        <v/>
      </c>
      <c r="M3849" s="6">
        <f>K3849*4</f>
        <v/>
      </c>
      <c r="N3849" s="6" t="n">
        <v>6339</v>
      </c>
    </row>
    <row r="3850">
      <c r="A3850" s="1" t="inlineStr">
        <is>
          <t>6748bba38eb40</t>
        </is>
      </c>
      <c r="B3850" s="1" t="inlineStr">
        <is>
          <t>ZAPATILLAS YSL OPYUM BLACK</t>
        </is>
      </c>
      <c r="C3850" s="1" t="inlineStr">
        <is>
          <t>24cm=38</t>
        </is>
      </c>
      <c r="D3850" s="1" t="inlineStr">
        <is>
          <t>19/03/2026</t>
        </is>
      </c>
      <c r="E3850" s="1" t="n">
        <v>2026</v>
      </c>
      <c r="F3850" s="1" t="inlineStr">
        <is>
          <t>MARZO</t>
        </is>
      </c>
      <c r="G3850" s="1" t="inlineStr">
        <is>
          <t>ZOEY</t>
        </is>
      </c>
      <c r="H3850" s="1" t="inlineStr">
        <is>
          <t>ZOEY 19/03/2026</t>
        </is>
      </c>
      <c r="I3850" s="4" t="n">
        <v>2</v>
      </c>
      <c r="J3850" s="6" t="n">
        <v>65</v>
      </c>
      <c r="K3850" s="6" t="n">
        <v>1675.833225</v>
      </c>
      <c r="L3850" s="6">
        <f>I3850*K3850</f>
        <v/>
      </c>
      <c r="M3850" s="6">
        <f>K3850*4</f>
        <v/>
      </c>
      <c r="N3850" s="6" t="n">
        <v>6339</v>
      </c>
    </row>
    <row r="3851">
      <c r="A3851" s="1" t="inlineStr">
        <is>
          <t>6748bba425e93</t>
        </is>
      </c>
      <c r="B3851" s="1" t="inlineStr">
        <is>
          <t>ZAPATILLAS YSL OPYUM BLACK</t>
        </is>
      </c>
      <c r="C3851" s="1" t="inlineStr">
        <is>
          <t>25cm</t>
        </is>
      </c>
      <c r="D3851" s="1" t="inlineStr">
        <is>
          <t>20/01/2026</t>
        </is>
      </c>
      <c r="E3851" s="1" t="n">
        <v>2026</v>
      </c>
      <c r="F3851" s="1" t="inlineStr">
        <is>
          <t>ENERO</t>
        </is>
      </c>
      <c r="G3851" s="1" t="inlineStr">
        <is>
          <t>ZOEY</t>
        </is>
      </c>
      <c r="H3851" s="1" t="inlineStr">
        <is>
          <t>ZOEY 20/01/2026</t>
        </is>
      </c>
      <c r="I3851" s="4" t="n">
        <v>2</v>
      </c>
      <c r="J3851" s="6" t="n">
        <v>65</v>
      </c>
      <c r="K3851" s="6" t="n">
        <v>1692.053959</v>
      </c>
      <c r="L3851" s="6">
        <f>I3851*K3851</f>
        <v/>
      </c>
      <c r="M3851" s="6">
        <f>K3851*4</f>
        <v/>
      </c>
      <c r="N3851" s="6" t="n">
        <v>6339</v>
      </c>
    </row>
    <row r="3852">
      <c r="A3852" s="1" t="inlineStr">
        <is>
          <t>6748bba425e93</t>
        </is>
      </c>
      <c r="B3852" s="1" t="inlineStr">
        <is>
          <t>ZAPATILLAS YSL OPYUM BLACK</t>
        </is>
      </c>
      <c r="C3852" s="1" t="inlineStr">
        <is>
          <t>25cm=39</t>
        </is>
      </c>
      <c r="D3852" s="1" t="inlineStr">
        <is>
          <t>19/03/2026</t>
        </is>
      </c>
      <c r="E3852" s="1" t="n">
        <v>2026</v>
      </c>
      <c r="F3852" s="1" t="inlineStr">
        <is>
          <t>MARZO</t>
        </is>
      </c>
      <c r="G3852" s="1" t="inlineStr">
        <is>
          <t>ZOEY</t>
        </is>
      </c>
      <c r="H3852" s="1" t="inlineStr">
        <is>
          <t>ZOEY 19/03/2026</t>
        </is>
      </c>
      <c r="I3852" s="4" t="n">
        <v>1</v>
      </c>
      <c r="J3852" s="6" t="n">
        <v>65</v>
      </c>
      <c r="K3852" s="6" t="n">
        <v>1675.833225</v>
      </c>
      <c r="L3852" s="6">
        <f>I3852*K3852</f>
        <v/>
      </c>
      <c r="M3852" s="6">
        <f>K3852*4</f>
        <v/>
      </c>
      <c r="N3852" s="6" t="n">
        <v>6339</v>
      </c>
    </row>
    <row r="3853">
      <c r="A3853" s="1" t="inlineStr">
        <is>
          <t>6748bba425e93</t>
        </is>
      </c>
      <c r="B3853" s="1" t="inlineStr">
        <is>
          <t>ZAPATILLAS YSL OPYUM BLACK</t>
        </is>
      </c>
      <c r="C3853" s="1" t="inlineStr">
        <is>
          <t>38/25cm</t>
        </is>
      </c>
      <c r="D3853" s="1" t="inlineStr">
        <is>
          <t>08/06/2026</t>
        </is>
      </c>
      <c r="E3853" s="1" t="n">
        <v>2026</v>
      </c>
      <c r="F3853" s="1" t="inlineStr">
        <is>
          <t>JUNIO</t>
        </is>
      </c>
      <c r="G3853" s="1" t="inlineStr">
        <is>
          <t>ZOEY</t>
        </is>
      </c>
      <c r="H3853" s="1" t="inlineStr">
        <is>
          <t>ZOEY 08/06/2026</t>
        </is>
      </c>
      <c r="I3853" s="4" t="n">
        <v>2</v>
      </c>
      <c r="J3853" s="6" t="n">
        <v>65</v>
      </c>
      <c r="K3853" s="6" t="n">
        <v>1593.24337</v>
      </c>
      <c r="L3853" s="6">
        <f>I3853*K3853</f>
        <v/>
      </c>
      <c r="M3853" s="6">
        <f>K3853*4</f>
        <v/>
      </c>
      <c r="N3853" s="6" t="n">
        <v>6339</v>
      </c>
    </row>
    <row r="3854">
      <c r="A3854" s="1" t="inlineStr">
        <is>
          <t>67535d2d7860a</t>
        </is>
      </c>
      <c r="B3854" s="1" t="inlineStr">
        <is>
          <t>RELOJ PANTHERE GOLD SILVER</t>
        </is>
      </c>
      <c r="C3854" s="1" t="inlineStr">
        <is>
          <t>Default Title</t>
        </is>
      </c>
      <c r="D3854" s="1" t="inlineStr">
        <is>
          <t>01/09/2025</t>
        </is>
      </c>
      <c r="E3854" s="1" t="n">
        <v>2025</v>
      </c>
      <c r="F3854" s="1" t="inlineStr">
        <is>
          <t>SEPTIEMBRE</t>
        </is>
      </c>
      <c r="G3854" s="1" t="inlineStr">
        <is>
          <t>ZOEY</t>
        </is>
      </c>
      <c r="H3854" s="1" t="inlineStr">
        <is>
          <t>ZOEY 01/09/2025</t>
        </is>
      </c>
      <c r="I3854" s="4" t="n">
        <v>3</v>
      </c>
      <c r="J3854" s="6" t="n">
        <v>58</v>
      </c>
      <c r="K3854" s="6" t="n">
        <v>1456.834987</v>
      </c>
      <c r="L3854" s="6">
        <f>I3854*K3854</f>
        <v/>
      </c>
      <c r="M3854" s="6">
        <f>K3854*4</f>
        <v/>
      </c>
      <c r="N3854" s="6" t="n"/>
    </row>
    <row r="3855">
      <c r="A3855" s="1" t="inlineStr">
        <is>
          <t>67535d2d7860a-1</t>
        </is>
      </c>
      <c r="B3855" s="1" t="inlineStr">
        <is>
          <t>RELOJ PANTHERE GOLD SILVER</t>
        </is>
      </c>
      <c r="C3855" s="1" t="inlineStr">
        <is>
          <t>RELOJ SIN CAJA</t>
        </is>
      </c>
      <c r="D3855" s="1" t="inlineStr">
        <is>
          <t>25/10/2025</t>
        </is>
      </c>
      <c r="E3855" s="1" t="n">
        <v>2025</v>
      </c>
      <c r="F3855" s="1" t="inlineStr">
        <is>
          <t>OCTUBRE</t>
        </is>
      </c>
      <c r="G3855" s="1" t="inlineStr">
        <is>
          <t>ZOEY</t>
        </is>
      </c>
      <c r="H3855" s="1" t="inlineStr">
        <is>
          <t>ZOEY 25/10/2025</t>
        </is>
      </c>
      <c r="I3855" s="4" t="n">
        <v>12</v>
      </c>
      <c r="J3855" s="6" t="n">
        <v>58</v>
      </c>
      <c r="K3855" s="6" t="n">
        <v>1438.40634</v>
      </c>
      <c r="L3855" s="6">
        <f>I3855*K3855</f>
        <v/>
      </c>
      <c r="M3855" s="6">
        <f>K3855*4</f>
        <v/>
      </c>
      <c r="N3855" s="6" t="n">
        <v>5995.16</v>
      </c>
    </row>
    <row r="3856">
      <c r="A3856" s="1" t="inlineStr">
        <is>
          <t>67535d2d7860a-1</t>
        </is>
      </c>
      <c r="B3856" s="1" t="inlineStr">
        <is>
          <t>RELOJ PANTHERE GOLD SILVER</t>
        </is>
      </c>
      <c r="C3856" s="1" t="inlineStr">
        <is>
          <t>RELOJ SIN CAJA</t>
        </is>
      </c>
      <c r="D3856" s="1" t="inlineStr">
        <is>
          <t>20/01/2026</t>
        </is>
      </c>
      <c r="E3856" s="1" t="n">
        <v>2026</v>
      </c>
      <c r="F3856" s="1" t="inlineStr">
        <is>
          <t>ENERO</t>
        </is>
      </c>
      <c r="G3856" s="1" t="inlineStr">
        <is>
          <t>ZOEY</t>
        </is>
      </c>
      <c r="H3856" s="1" t="inlineStr">
        <is>
          <t>ZOEY 20/01/2026</t>
        </is>
      </c>
      <c r="I3856" s="4" t="n">
        <v>2</v>
      </c>
      <c r="J3856" s="6" t="n">
        <v>58</v>
      </c>
      <c r="K3856" s="6" t="n">
        <v>1509.832763</v>
      </c>
      <c r="L3856" s="6">
        <f>I3856*K3856</f>
        <v/>
      </c>
      <c r="M3856" s="6">
        <f>K3856*4</f>
        <v/>
      </c>
      <c r="N3856" s="6" t="n">
        <v>5995.16</v>
      </c>
    </row>
    <row r="3857">
      <c r="A3857" s="1" t="inlineStr">
        <is>
          <t>67535d2d7860a-1</t>
        </is>
      </c>
      <c r="B3857" s="1" t="inlineStr">
        <is>
          <t>RELOJ PANTHERE GOLD SILVER</t>
        </is>
      </c>
      <c r="C3857" s="1" t="inlineStr">
        <is>
          <t>RELOJ SIN CAJA</t>
        </is>
      </c>
      <c r="D3857" s="1" t="inlineStr">
        <is>
          <t>20/04/2026</t>
        </is>
      </c>
      <c r="E3857" s="1" t="n">
        <v>2026</v>
      </c>
      <c r="F3857" s="1" t="inlineStr">
        <is>
          <t>ABRIL</t>
        </is>
      </c>
      <c r="G3857" s="1" t="inlineStr">
        <is>
          <t>ZOEY</t>
        </is>
      </c>
      <c r="H3857" s="1" t="inlineStr">
        <is>
          <t>ZOEY 20/04/2026</t>
        </is>
      </c>
      <c r="I3857" s="4" t="n">
        <v>7</v>
      </c>
      <c r="J3857" s="6" t="n">
        <v>58</v>
      </c>
      <c r="K3857" s="6" t="n">
        <v>1485.309144</v>
      </c>
      <c r="L3857" s="6">
        <f>I3857*K3857</f>
        <v/>
      </c>
      <c r="M3857" s="6">
        <f>K3857*4</f>
        <v/>
      </c>
      <c r="N3857" s="6" t="n">
        <v>5995.16</v>
      </c>
    </row>
    <row r="3858">
      <c r="A3858" s="1" t="inlineStr">
        <is>
          <t>67535d2d7860a-2</t>
        </is>
      </c>
      <c r="B3858" s="1" t="inlineStr">
        <is>
          <t>RELOJ PANTHERE GOLD SILVER</t>
        </is>
      </c>
      <c r="C3858" s="1" t="inlineStr">
        <is>
          <t>RELOJ CON CAJA</t>
        </is>
      </c>
      <c r="D3858" s="1" t="inlineStr">
        <is>
          <t>08/06/2026</t>
        </is>
      </c>
      <c r="E3858" s="1" t="n">
        <v>2026</v>
      </c>
      <c r="F3858" s="1" t="inlineStr">
        <is>
          <t>JUNIO</t>
        </is>
      </c>
      <c r="G3858" s="1" t="inlineStr">
        <is>
          <t>ZOEY</t>
        </is>
      </c>
      <c r="H3858" s="1" t="inlineStr">
        <is>
          <t>ZOEY 08/06/2026</t>
        </is>
      </c>
      <c r="I3858" s="4" t="n">
        <v>3</v>
      </c>
      <c r="J3858" s="6" t="n">
        <v>58</v>
      </c>
      <c r="K3858" s="6" t="n">
        <v>1421.663314</v>
      </c>
      <c r="L3858" s="6">
        <f>I3858*K3858</f>
        <v/>
      </c>
      <c r="M3858" s="6">
        <f>K3858*4</f>
        <v/>
      </c>
      <c r="N3858" s="6" t="n">
        <v>5720</v>
      </c>
    </row>
    <row r="3859">
      <c r="A3859" s="1" t="inlineStr">
        <is>
          <t>67535d35b8818</t>
        </is>
      </c>
      <c r="B3859" s="1" t="inlineStr">
        <is>
          <t>RELOJ SERPENTI SEDUTTORI</t>
        </is>
      </c>
      <c r="C3859" s="1" t="inlineStr">
        <is>
          <t>RELOJ SIN CAJA</t>
        </is>
      </c>
      <c r="D3859" s="1" t="inlineStr">
        <is>
          <t>20/01/2026</t>
        </is>
      </c>
      <c r="E3859" s="1" t="n">
        <v>2026</v>
      </c>
      <c r="F3859" s="1" t="inlineStr">
        <is>
          <t>ENERO</t>
        </is>
      </c>
      <c r="G3859" s="1" t="inlineStr">
        <is>
          <t>ZOEY</t>
        </is>
      </c>
      <c r="H3859" s="1" t="inlineStr">
        <is>
          <t>ZOEY 20/01/2026</t>
        </is>
      </c>
      <c r="I3859" s="4" t="n">
        <v>3</v>
      </c>
      <c r="J3859" s="6" t="n">
        <v>58</v>
      </c>
      <c r="K3859" s="6" t="n">
        <v>1509.832763</v>
      </c>
      <c r="L3859" s="6">
        <f>I3859*K3859</f>
        <v/>
      </c>
      <c r="M3859" s="6">
        <f>K3859*4</f>
        <v/>
      </c>
      <c r="N3859" s="6" t="n">
        <v>5380.44</v>
      </c>
    </row>
    <row r="3860">
      <c r="A3860" s="1" t="inlineStr">
        <is>
          <t>67535d35b8818</t>
        </is>
      </c>
      <c r="B3860" s="1" t="inlineStr">
        <is>
          <t>RELOJ SERPENTI SEDUTTORI</t>
        </is>
      </c>
      <c r="C3860" s="1" t="inlineStr">
        <is>
          <t>RELOJ SIN CAJA</t>
        </is>
      </c>
      <c r="D3860" s="1" t="inlineStr">
        <is>
          <t>15/05/2026</t>
        </is>
      </c>
      <c r="E3860" s="1" t="n">
        <v>2026</v>
      </c>
      <c r="F3860" s="1" t="inlineStr">
        <is>
          <t>MAYO</t>
        </is>
      </c>
      <c r="G3860" s="1" t="inlineStr">
        <is>
          <t>ZOEY</t>
        </is>
      </c>
      <c r="H3860" s="1" t="inlineStr">
        <is>
          <t>ZOEY 15/05/2026</t>
        </is>
      </c>
      <c r="I3860" s="4" t="n">
        <v>6</v>
      </c>
      <c r="J3860" s="6" t="n">
        <v>58</v>
      </c>
      <c r="K3860" s="6" t="n">
        <v>1537.26822</v>
      </c>
      <c r="L3860" s="6">
        <f>I3860*K3860</f>
        <v/>
      </c>
      <c r="M3860" s="6">
        <f>K3860*4</f>
        <v/>
      </c>
      <c r="N3860" s="6" t="n">
        <v>5380.44</v>
      </c>
    </row>
    <row r="3861">
      <c r="A3861" s="1" t="inlineStr">
        <is>
          <t>67535d35b8819</t>
        </is>
      </c>
      <c r="B3861" s="1" t="inlineStr">
        <is>
          <t>RELOJ SERPENTI SEDUTTORI</t>
        </is>
      </c>
      <c r="C3861" s="1" t="inlineStr">
        <is>
          <t>RELOJ CON  CAJA</t>
        </is>
      </c>
      <c r="D3861" s="1" t="inlineStr">
        <is>
          <t>08/06/2026</t>
        </is>
      </c>
      <c r="E3861" s="1" t="n">
        <v>2026</v>
      </c>
      <c r="F3861" s="1" t="inlineStr">
        <is>
          <t>JUNIO</t>
        </is>
      </c>
      <c r="G3861" s="1" t="inlineStr">
        <is>
          <t>ZOEY</t>
        </is>
      </c>
      <c r="H3861" s="1" t="inlineStr">
        <is>
          <t>ZOEY 08/06/2026</t>
        </is>
      </c>
      <c r="I3861" s="4" t="n">
        <v>3</v>
      </c>
      <c r="J3861" s="6" t="n">
        <v>58</v>
      </c>
      <c r="K3861" s="6" t="n">
        <v>1421.663314</v>
      </c>
      <c r="L3861" s="6">
        <f>I3861*K3861</f>
        <v/>
      </c>
      <c r="M3861" s="6">
        <f>K3861*4</f>
        <v/>
      </c>
      <c r="N3861" s="6" t="n">
        <v>5720</v>
      </c>
    </row>
    <row r="3862">
      <c r="A3862" s="1" t="inlineStr">
        <is>
          <t>67572c78e34a0</t>
        </is>
      </c>
      <c r="B3862" s="1" t="inlineStr">
        <is>
          <t>BOLSO YSL CHERRY CHAROL</t>
        </is>
      </c>
      <c r="C3862" s="1" t="inlineStr">
        <is>
          <t>24.3cm de largo x 15cm de alto x 6cm de ancho</t>
        </is>
      </c>
      <c r="D3862" s="1" t="inlineStr">
        <is>
          <t>25/10/2025</t>
        </is>
      </c>
      <c r="E3862" s="1" t="n">
        <v>2025</v>
      </c>
      <c r="F3862" s="1" t="inlineStr">
        <is>
          <t>OCTUBRE</t>
        </is>
      </c>
      <c r="G3862" s="1" t="inlineStr">
        <is>
          <t>CYNTHIA</t>
        </is>
      </c>
      <c r="H3862" s="1" t="inlineStr">
        <is>
          <t>CYNTHIA 25/10/2025</t>
        </is>
      </c>
      <c r="I3862" s="4" t="n">
        <v>2</v>
      </c>
      <c r="J3862" s="6" t="n">
        <v>54</v>
      </c>
      <c r="K3862" s="6" t="n">
        <v>1414.898474</v>
      </c>
      <c r="L3862" s="6">
        <f>I3862*K3862</f>
        <v/>
      </c>
      <c r="M3862" s="6">
        <f>K3862*4</f>
        <v/>
      </c>
      <c r="N3862" s="6" t="n">
        <v>4599</v>
      </c>
    </row>
    <row r="3863">
      <c r="A3863" s="1" t="inlineStr">
        <is>
          <t>67572c78e34a0</t>
        </is>
      </c>
      <c r="B3863" s="1" t="inlineStr">
        <is>
          <t>BOLSO YSL CHERRY CHAROL</t>
        </is>
      </c>
      <c r="C3863" s="1" t="inlineStr">
        <is>
          <t>24.3cm de largo x 15cm de alto x 6cm de ancho</t>
        </is>
      </c>
      <c r="D3863" s="1" t="inlineStr">
        <is>
          <t>18/02/2026</t>
        </is>
      </c>
      <c r="E3863" s="1" t="n">
        <v>2026</v>
      </c>
      <c r="F3863" s="1" t="inlineStr">
        <is>
          <t>FEBRERO</t>
        </is>
      </c>
      <c r="G3863" s="1" t="inlineStr">
        <is>
          <t>CYNTHIA</t>
        </is>
      </c>
      <c r="H3863" s="1" t="inlineStr">
        <is>
          <t>CYNTHIA 18/02/2026</t>
        </is>
      </c>
      <c r="I3863" s="4" t="n">
        <v>3</v>
      </c>
      <c r="J3863" s="6" t="n">
        <v>55</v>
      </c>
      <c r="K3863" s="6" t="n">
        <v>1487.385086</v>
      </c>
      <c r="L3863" s="6">
        <f>I3863*K3863</f>
        <v/>
      </c>
      <c r="M3863" s="6">
        <f>K3863*4</f>
        <v/>
      </c>
      <c r="N3863" s="6" t="n">
        <v>5850</v>
      </c>
    </row>
    <row r="3864">
      <c r="A3864" s="1" t="inlineStr">
        <is>
          <t>67572c78e34a0</t>
        </is>
      </c>
      <c r="B3864" s="1" t="inlineStr">
        <is>
          <t>BOLSO YSL CHERRY CHAROL</t>
        </is>
      </c>
      <c r="C3864" s="1" t="inlineStr">
        <is>
          <t>24.3cm de largo x 15cm de alto x 6cm de ancho</t>
        </is>
      </c>
      <c r="D3864" s="1" t="inlineStr">
        <is>
          <t>27/04/2026</t>
        </is>
      </c>
      <c r="E3864" s="1" t="n">
        <v>2026</v>
      </c>
      <c r="F3864" s="1" t="inlineStr">
        <is>
          <t>ABRIL</t>
        </is>
      </c>
      <c r="G3864" s="1" t="inlineStr">
        <is>
          <t>CYNTHIA</t>
        </is>
      </c>
      <c r="H3864" s="1" t="inlineStr">
        <is>
          <t>CYNTHIA 27/04/2026</t>
        </is>
      </c>
      <c r="I3864" s="4" t="n">
        <v>1</v>
      </c>
      <c r="J3864" s="6" t="n">
        <v>55</v>
      </c>
      <c r="K3864" s="6" t="n">
        <v>1427.255094</v>
      </c>
      <c r="L3864" s="6">
        <f>I3864*K3864</f>
        <v/>
      </c>
      <c r="M3864" s="6">
        <f>K3864*4</f>
        <v/>
      </c>
      <c r="N3864" s="6" t="n">
        <v>5850</v>
      </c>
    </row>
    <row r="3865">
      <c r="A3865" s="1" t="inlineStr">
        <is>
          <t>67572c78e34a0</t>
        </is>
      </c>
      <c r="B3865" s="1" t="inlineStr">
        <is>
          <t>BOLSO YSL CHERRY CHAROL</t>
        </is>
      </c>
      <c r="C3865" s="1" t="inlineStr">
        <is>
          <t>24.3cm de largo x 15cm de alto x 6cm de ancho</t>
        </is>
      </c>
      <c r="D3865" s="1" t="inlineStr">
        <is>
          <t>31/05/2026</t>
        </is>
      </c>
      <c r="E3865" s="1" t="n">
        <v>2026</v>
      </c>
      <c r="F3865" s="1" t="inlineStr">
        <is>
          <t>MAYO</t>
        </is>
      </c>
      <c r="G3865" s="1" t="inlineStr">
        <is>
          <t>CYNTHIA</t>
        </is>
      </c>
      <c r="H3865" s="1" t="inlineStr">
        <is>
          <t>CYNTHIA 31/05/2026</t>
        </is>
      </c>
      <c r="I3865" s="4" t="n">
        <v>2</v>
      </c>
      <c r="J3865" s="6" t="n">
        <v>55</v>
      </c>
      <c r="K3865" s="6" t="n">
        <v>1457.557474</v>
      </c>
      <c r="L3865" s="6">
        <f>I3865*K3865</f>
        <v/>
      </c>
      <c r="M3865" s="6">
        <f>K3865*4</f>
        <v/>
      </c>
      <c r="N3865" s="6" t="n">
        <v>5850</v>
      </c>
    </row>
    <row r="3866">
      <c r="A3866" s="1" t="inlineStr">
        <is>
          <t>67572cbd4a7ca</t>
        </is>
      </c>
      <c r="B3866" s="1" t="inlineStr">
        <is>
          <t>BOLSO YSL CON CADENA BLACK</t>
        </is>
      </c>
      <c r="C3866" s="1" t="inlineStr">
        <is>
          <t>Regular</t>
        </is>
      </c>
      <c r="D3866" s="1" t="inlineStr">
        <is>
          <t>21/10/2025</t>
        </is>
      </c>
      <c r="E3866" s="1" t="n">
        <v>2025</v>
      </c>
      <c r="F3866" s="1" t="inlineStr">
        <is>
          <t>OCTUBRE</t>
        </is>
      </c>
      <c r="G3866" s="1" t="inlineStr">
        <is>
          <t>DINA DU</t>
        </is>
      </c>
      <c r="H3866" s="1" t="inlineStr">
        <is>
          <t>DINA DU 21/10/2025</t>
        </is>
      </c>
      <c r="I3866" s="4" t="n">
        <v>6</v>
      </c>
      <c r="J3866" s="6" t="n">
        <v>46</v>
      </c>
      <c r="K3866" s="6" t="n">
        <v>1289.587432</v>
      </c>
      <c r="L3866" s="6">
        <f>I3866*K3866</f>
        <v/>
      </c>
      <c r="M3866" s="6">
        <f>K3866*4</f>
        <v/>
      </c>
      <c r="N3866" s="6" t="n">
        <v>3850</v>
      </c>
    </row>
    <row r="3867">
      <c r="A3867" s="1" t="inlineStr">
        <is>
          <t>67572cbd4a7ca</t>
        </is>
      </c>
      <c r="B3867" s="1" t="inlineStr">
        <is>
          <t>BOLSO YSL CON CADENA BLACK</t>
        </is>
      </c>
      <c r="C3867" s="1" t="inlineStr">
        <is>
          <t>19cm de alto x 24cm de largo x 7cm de ancho</t>
        </is>
      </c>
      <c r="D3867" s="1" t="inlineStr">
        <is>
          <t>06/02/2026</t>
        </is>
      </c>
      <c r="E3867" s="1" t="n">
        <v>2026</v>
      </c>
      <c r="F3867" s="1" t="inlineStr">
        <is>
          <t>FEBRERO</t>
        </is>
      </c>
      <c r="G3867" s="1" t="inlineStr">
        <is>
          <t>DINA DU</t>
        </is>
      </c>
      <c r="H3867" s="1" t="inlineStr">
        <is>
          <t>DINA DU 06/02/2026</t>
        </is>
      </c>
      <c r="I3867" s="4" t="n">
        <v>5</v>
      </c>
      <c r="J3867" s="6" t="n">
        <v>46</v>
      </c>
      <c r="K3867" s="6" t="n">
        <v>1229.184215</v>
      </c>
      <c r="L3867" s="6">
        <f>I3867*K3867</f>
        <v/>
      </c>
      <c r="M3867" s="6">
        <f>K3867*4</f>
        <v/>
      </c>
      <c r="N3867" s="6" t="n">
        <v>4302.14</v>
      </c>
    </row>
    <row r="3868">
      <c r="A3868" s="1" t="inlineStr">
        <is>
          <t>67572cbe60534</t>
        </is>
      </c>
      <c r="B3868" s="1" t="inlineStr">
        <is>
          <t>BOLSO YSL CON CADENA OFF WHITE</t>
        </is>
      </c>
      <c r="C3868" s="1" t="inlineStr">
        <is>
          <t>Middle Quality</t>
        </is>
      </c>
      <c r="D3868" s="1" t="inlineStr">
        <is>
          <t>27/04/2026</t>
        </is>
      </c>
      <c r="E3868" s="1" t="n">
        <v>2026</v>
      </c>
      <c r="F3868" s="1" t="inlineStr">
        <is>
          <t>ABRIL</t>
        </is>
      </c>
      <c r="G3868" s="1" t="inlineStr">
        <is>
          <t>DINA DU</t>
        </is>
      </c>
      <c r="H3868" s="1" t="inlineStr">
        <is>
          <t>DINA DU 27/04/2026</t>
        </is>
      </c>
      <c r="I3868" s="4" t="n">
        <v>2</v>
      </c>
      <c r="J3868" s="6" t="n">
        <v>46</v>
      </c>
      <c r="K3868" s="6" t="n">
        <v>1244.038386</v>
      </c>
      <c r="L3868" s="6">
        <f>I3868*K3868</f>
        <v/>
      </c>
      <c r="M3868" s="6">
        <f>K3868*4</f>
        <v/>
      </c>
      <c r="N3868" s="6" t="n">
        <v>4354.13</v>
      </c>
    </row>
    <row r="3869">
      <c r="A3869" s="1" t="inlineStr">
        <is>
          <t>67762863713709</t>
        </is>
      </c>
      <c r="B3869" s="1" t="inlineStr">
        <is>
          <t>ANILLO LOVE ROSE GOLD ANCHO</t>
        </is>
      </c>
      <c r="C3869" s="1" t="inlineStr">
        <is>
          <t>5</t>
        </is>
      </c>
      <c r="D3869" s="1" t="inlineStr">
        <is>
          <t>11/11/2025</t>
        </is>
      </c>
      <c r="E3869" s="1" t="n">
        <v>2025</v>
      </c>
      <c r="F3869" s="1" t="inlineStr">
        <is>
          <t>NOVIEMBRE</t>
        </is>
      </c>
      <c r="G3869" s="1" t="inlineStr">
        <is>
          <t>HAIFENG</t>
        </is>
      </c>
      <c r="H3869" s="1" t="inlineStr">
        <is>
          <t>HAIFENG 11/11/2025</t>
        </is>
      </c>
      <c r="I3869" s="4" t="n">
        <v>1</v>
      </c>
      <c r="J3869" s="6" t="n">
        <v>1.8</v>
      </c>
      <c r="K3869" s="6" t="n">
        <v>37.9088972</v>
      </c>
      <c r="L3869" s="6">
        <f>I3869*K3869</f>
        <v/>
      </c>
      <c r="M3869" s="6">
        <f>K3869*4</f>
        <v/>
      </c>
      <c r="N3869" s="6" t="n">
        <v>400</v>
      </c>
    </row>
    <row r="3870">
      <c r="A3870" s="1" t="inlineStr">
        <is>
          <t>67762863713709</t>
        </is>
      </c>
      <c r="B3870" s="1" t="inlineStr">
        <is>
          <t>ANILLO LOVE ROSE GOLD ANCHO</t>
        </is>
      </c>
      <c r="C3870" s="1" t="inlineStr">
        <is>
          <t>5</t>
        </is>
      </c>
      <c r="D3870" s="1" t="inlineStr">
        <is>
          <t>11/03/2026</t>
        </is>
      </c>
      <c r="E3870" s="1" t="n">
        <v>2026</v>
      </c>
      <c r="F3870" s="1" t="inlineStr">
        <is>
          <t>MARZO</t>
        </is>
      </c>
      <c r="G3870" s="1" t="inlineStr">
        <is>
          <t>HAIFENG</t>
        </is>
      </c>
      <c r="H3870" s="1" t="inlineStr">
        <is>
          <t>HAIFENG 11/03/2026</t>
        </is>
      </c>
      <c r="I3870" s="4" t="n">
        <v>1</v>
      </c>
      <c r="J3870" s="6" t="n">
        <v>1.8</v>
      </c>
      <c r="K3870" s="6" t="n">
        <v>38.34701319</v>
      </c>
      <c r="L3870" s="6">
        <f>I3870*K3870</f>
        <v/>
      </c>
      <c r="M3870" s="6">
        <f>K3870*4</f>
        <v/>
      </c>
      <c r="N3870" s="6" t="n">
        <v>400</v>
      </c>
    </row>
    <row r="3871">
      <c r="A3871" s="1" t="inlineStr">
        <is>
          <t>677c26ae9f248</t>
        </is>
      </c>
      <c r="B3871" s="1" t="inlineStr">
        <is>
          <t>BOLSO LV BAGATELLE</t>
        </is>
      </c>
      <c r="C3871" s="1" t="inlineStr">
        <is>
          <t>23cm de largo x 20cm de alto x 8.5cm</t>
        </is>
      </c>
      <c r="D3871" s="1" t="inlineStr">
        <is>
          <t>21/10/2025</t>
        </is>
      </c>
      <c r="E3871" s="1" t="n">
        <v>2025</v>
      </c>
      <c r="F3871" s="1" t="inlineStr">
        <is>
          <t>OCTUBRE</t>
        </is>
      </c>
      <c r="G3871" s="1" t="inlineStr">
        <is>
          <t>DINA DU</t>
        </is>
      </c>
      <c r="H3871" s="1" t="inlineStr">
        <is>
          <t>DINA DU 21/10/2025</t>
        </is>
      </c>
      <c r="I3871" s="4" t="n">
        <v>3</v>
      </c>
      <c r="J3871" s="6" t="n">
        <v>43</v>
      </c>
      <c r="K3871" s="6" t="n">
        <v>1205.483904</v>
      </c>
      <c r="L3871" s="6">
        <f>I3871*K3871</f>
        <v/>
      </c>
      <c r="M3871" s="6">
        <f>K3871*4</f>
        <v/>
      </c>
      <c r="N3871" s="6" t="n">
        <v>3599</v>
      </c>
    </row>
    <row r="3872">
      <c r="A3872" s="1" t="inlineStr">
        <is>
          <t>677c26ae9f248</t>
        </is>
      </c>
      <c r="B3872" s="1" t="inlineStr">
        <is>
          <t>BOLSO LV BAGATELLE</t>
        </is>
      </c>
      <c r="C3872" s="1" t="inlineStr">
        <is>
          <t>23cm de largo x 20cm de alto x 8.5cm</t>
        </is>
      </c>
      <c r="D3872" s="1" t="inlineStr">
        <is>
          <t>27/04/2026</t>
        </is>
      </c>
      <c r="E3872" s="1" t="n">
        <v>2026</v>
      </c>
      <c r="F3872" s="1" t="inlineStr">
        <is>
          <t>ABRIL</t>
        </is>
      </c>
      <c r="G3872" s="1" t="inlineStr">
        <is>
          <t>DINA DU</t>
        </is>
      </c>
      <c r="H3872" s="1" t="inlineStr">
        <is>
          <t>DINA DU 27/04/2026</t>
        </is>
      </c>
      <c r="I3872" s="4" t="n">
        <v>6</v>
      </c>
      <c r="J3872" s="6" t="n">
        <v>43</v>
      </c>
      <c r="K3872" s="6" t="n">
        <v>1162.905448</v>
      </c>
      <c r="L3872" s="6">
        <f>I3872*K3872</f>
        <v/>
      </c>
      <c r="M3872" s="6">
        <f>K3872*4</f>
        <v/>
      </c>
      <c r="N3872" s="6" t="n">
        <v>4070.17</v>
      </c>
    </row>
    <row r="3873">
      <c r="A3873" s="1" t="inlineStr">
        <is>
          <t>677c26af628d5</t>
        </is>
      </c>
      <c r="B3873" s="1" t="inlineStr">
        <is>
          <t>BOLSO GC DIONYSUS CHERRY RED</t>
        </is>
      </c>
      <c r="C3873" s="1" t="inlineStr">
        <is>
          <t>18cm de largo x 12cm de alto x 4cm de ancho</t>
        </is>
      </c>
      <c r="D3873" s="1" t="inlineStr">
        <is>
          <t>25/10/2025</t>
        </is>
      </c>
      <c r="E3873" s="1" t="n">
        <v>2025</v>
      </c>
      <c r="F3873" s="1" t="inlineStr">
        <is>
          <t>OCTUBRE</t>
        </is>
      </c>
      <c r="G3873" s="1" t="inlineStr">
        <is>
          <t>ZOEY</t>
        </is>
      </c>
      <c r="H3873" s="1" t="inlineStr">
        <is>
          <t>ZOEY 25/10/2025</t>
        </is>
      </c>
      <c r="I3873" s="4" t="n">
        <v>3</v>
      </c>
      <c r="J3873" s="6" t="n">
        <v>52</v>
      </c>
      <c r="K3873" s="6" t="n">
        <v>1289.605684</v>
      </c>
      <c r="L3873" s="6">
        <f>I3873*K3873</f>
        <v/>
      </c>
      <c r="M3873" s="6">
        <f>K3873*4</f>
        <v/>
      </c>
      <c r="N3873" s="6" t="n">
        <v>4699</v>
      </c>
    </row>
    <row r="3874">
      <c r="A3874" s="1" t="inlineStr">
        <is>
          <t>677c26af628d5</t>
        </is>
      </c>
      <c r="B3874" s="1" t="inlineStr">
        <is>
          <t>BOLSO GC DIONYSUS CHERRY RED</t>
        </is>
      </c>
      <c r="C3874" s="1" t="inlineStr">
        <is>
          <t>18cm de largo x 12cm de alto x 4cm de ancho</t>
        </is>
      </c>
      <c r="D3874" s="1" t="inlineStr">
        <is>
          <t>27/04/2026</t>
        </is>
      </c>
      <c r="E3874" s="1" t="n">
        <v>2026</v>
      </c>
      <c r="F3874" s="1" t="inlineStr">
        <is>
          <t>ABRIL</t>
        </is>
      </c>
      <c r="G3874" s="1" t="inlineStr">
        <is>
          <t>DINA DU</t>
        </is>
      </c>
      <c r="H3874" s="1" t="inlineStr">
        <is>
          <t>DINA DU 27/04/2026</t>
        </is>
      </c>
      <c r="I3874" s="4" t="n">
        <v>1</v>
      </c>
      <c r="J3874" s="6" t="n">
        <v>56</v>
      </c>
      <c r="K3874" s="6" t="n">
        <v>1514.481514</v>
      </c>
      <c r="L3874" s="6">
        <f>I3874*K3874</f>
        <v/>
      </c>
      <c r="M3874" s="6">
        <f>K3874*4</f>
        <v/>
      </c>
      <c r="N3874" s="6" t="n">
        <v>5300.69</v>
      </c>
    </row>
    <row r="3875">
      <c r="A3875" s="1" t="inlineStr">
        <is>
          <t>677c26b31023a</t>
        </is>
      </c>
      <c r="B3875" s="1" t="inlineStr">
        <is>
          <t>BOLSO LW GREEN</t>
        </is>
      </c>
      <c r="C3875" s="1" t="inlineStr">
        <is>
          <t>28cmx20cm</t>
        </is>
      </c>
      <c r="D3875" s="1" t="inlineStr">
        <is>
          <t>05/09/2025</t>
        </is>
      </c>
      <c r="E3875" s="1" t="n">
        <v>2025</v>
      </c>
      <c r="F3875" s="1" t="inlineStr">
        <is>
          <t>SEPTIEMBRE</t>
        </is>
      </c>
      <c r="G3875" s="1" t="inlineStr">
        <is>
          <t>CYNTHIA</t>
        </is>
      </c>
      <c r="H3875" s="1" t="inlineStr">
        <is>
          <t>CYNTHIA 05/09/2025</t>
        </is>
      </c>
      <c r="I3875" s="4" t="n">
        <v>1</v>
      </c>
      <c r="J3875" s="6" t="n">
        <v>76</v>
      </c>
      <c r="K3875" s="6" t="n">
        <v>1913.611367</v>
      </c>
      <c r="L3875" s="6">
        <f>I3875*K3875</f>
        <v/>
      </c>
      <c r="M3875" s="6">
        <f>K3875*4</f>
        <v/>
      </c>
      <c r="N3875" s="6" t="n">
        <v>6350</v>
      </c>
    </row>
    <row r="3876">
      <c r="A3876" s="1" t="inlineStr">
        <is>
          <t>677c26b31023a</t>
        </is>
      </c>
      <c r="B3876" s="1" t="inlineStr">
        <is>
          <t>BOLSO LW GREEN</t>
        </is>
      </c>
      <c r="C3876" s="1" t="inlineStr">
        <is>
          <t>28cmx20cm</t>
        </is>
      </c>
      <c r="D3876" s="1" t="inlineStr">
        <is>
          <t>25/10/2025</t>
        </is>
      </c>
      <c r="E3876" s="1" t="n">
        <v>2025</v>
      </c>
      <c r="F3876" s="1" t="inlineStr">
        <is>
          <t>OCTUBRE</t>
        </is>
      </c>
      <c r="G3876" s="1" t="inlineStr">
        <is>
          <t>CYNTHIA</t>
        </is>
      </c>
      <c r="H3876" s="1" t="inlineStr">
        <is>
          <t>CYNTHIA 25/10/2025</t>
        </is>
      </c>
      <c r="I3876" s="4" t="n">
        <v>1</v>
      </c>
      <c r="J3876" s="6" t="n">
        <v>75</v>
      </c>
      <c r="K3876" s="6" t="n">
        <v>1965.136769</v>
      </c>
      <c r="L3876" s="6">
        <f>I3876*K3876</f>
        <v/>
      </c>
      <c r="M3876" s="6">
        <f>K3876*4</f>
        <v/>
      </c>
      <c r="N3876" s="6" t="n">
        <v>6350</v>
      </c>
    </row>
    <row r="3877">
      <c r="A3877" s="1" t="inlineStr">
        <is>
          <t>677c26b31023a</t>
        </is>
      </c>
      <c r="B3877" s="1" t="inlineStr">
        <is>
          <t>BOLSO LW GREEN</t>
        </is>
      </c>
      <c r="C3877" s="1" t="inlineStr">
        <is>
          <t>28cmx20cm</t>
        </is>
      </c>
      <c r="D3877" s="1" t="inlineStr">
        <is>
          <t>07/01/2026</t>
        </is>
      </c>
      <c r="E3877" s="1" t="n">
        <v>2026</v>
      </c>
      <c r="F3877" s="1" t="inlineStr">
        <is>
          <t>ENERO</t>
        </is>
      </c>
      <c r="G3877" s="1" t="inlineStr">
        <is>
          <t>CYNTHIA</t>
        </is>
      </c>
      <c r="H3877" s="1" t="inlineStr">
        <is>
          <t>CYNTHIA 07/01/2026</t>
        </is>
      </c>
      <c r="I3877" s="4" t="n">
        <v>1</v>
      </c>
      <c r="J3877" s="6" t="n">
        <v>74</v>
      </c>
      <c r="K3877" s="6" t="n">
        <v>1967.469648</v>
      </c>
      <c r="L3877" s="6">
        <f>I3877*K3877</f>
        <v/>
      </c>
      <c r="M3877" s="6">
        <f>K3877*4</f>
        <v/>
      </c>
      <c r="N3877" s="6" t="n">
        <v>8099</v>
      </c>
    </row>
    <row r="3878">
      <c r="A3878" s="1" t="inlineStr">
        <is>
          <t>677c26b31023a</t>
        </is>
      </c>
      <c r="B3878" s="1" t="inlineStr">
        <is>
          <t>BOLSO LW GREEN</t>
        </is>
      </c>
      <c r="C3878" s="1" t="inlineStr">
        <is>
          <t>28cmx20cm</t>
        </is>
      </c>
      <c r="D3878" s="1" t="inlineStr">
        <is>
          <t>07/01/2026</t>
        </is>
      </c>
      <c r="E3878" s="1" t="n">
        <v>2026</v>
      </c>
      <c r="F3878" s="1" t="inlineStr">
        <is>
          <t>ENERO</t>
        </is>
      </c>
      <c r="G3878" s="1" t="inlineStr">
        <is>
          <t>CYNTHIA</t>
        </is>
      </c>
      <c r="H3878" s="1" t="inlineStr">
        <is>
          <t>CYNTHIA 07/01/2026</t>
        </is>
      </c>
      <c r="I3878" s="4" t="n">
        <v>2</v>
      </c>
      <c r="J3878" s="6" t="n">
        <v>74</v>
      </c>
      <c r="K3878" s="6" t="n">
        <v>1967.469648</v>
      </c>
      <c r="L3878" s="6">
        <f>I3878*K3878</f>
        <v/>
      </c>
      <c r="M3878" s="6">
        <f>K3878*4</f>
        <v/>
      </c>
      <c r="N3878" s="6" t="n">
        <v>8099</v>
      </c>
    </row>
    <row r="3879">
      <c r="A3879" s="1" t="inlineStr">
        <is>
          <t>677c26b31023a</t>
        </is>
      </c>
      <c r="B3879" s="1" t="inlineStr">
        <is>
          <t>BOLSO LW GREEN</t>
        </is>
      </c>
      <c r="C3879" s="1" t="inlineStr">
        <is>
          <t>28cmx20cm</t>
        </is>
      </c>
      <c r="D3879" s="1" t="inlineStr">
        <is>
          <t>18/02/2026</t>
        </is>
      </c>
      <c r="E3879" s="1" t="n">
        <v>2026</v>
      </c>
      <c r="F3879" s="1" t="inlineStr">
        <is>
          <t>FEBRERO</t>
        </is>
      </c>
      <c r="G3879" s="1" t="inlineStr">
        <is>
          <t>CYNTHIA</t>
        </is>
      </c>
      <c r="H3879" s="1" t="inlineStr">
        <is>
          <t>CYNTHIA 18/02/2026</t>
        </is>
      </c>
      <c r="I3879" s="4" t="n">
        <v>2</v>
      </c>
      <c r="J3879" s="6" t="n">
        <v>74</v>
      </c>
      <c r="K3879" s="6" t="n">
        <v>2001.209025</v>
      </c>
      <c r="L3879" s="6">
        <f>I3879*K3879</f>
        <v/>
      </c>
      <c r="M3879" s="6">
        <f>K3879*4</f>
        <v/>
      </c>
      <c r="N3879" s="6" t="n">
        <v>6999</v>
      </c>
    </row>
    <row r="3880">
      <c r="A3880" s="1" t="inlineStr">
        <is>
          <t>677c26b31023a</t>
        </is>
      </c>
      <c r="B3880" s="1" t="inlineStr">
        <is>
          <t>BOLSO LW GREEN</t>
        </is>
      </c>
      <c r="C3880" s="1" t="inlineStr">
        <is>
          <t>28cmx20cm</t>
        </is>
      </c>
      <c r="D3880" s="1" t="inlineStr">
        <is>
          <t>31/05/2026</t>
        </is>
      </c>
      <c r="E3880" s="1" t="n">
        <v>2026</v>
      </c>
      <c r="F3880" s="1" t="inlineStr">
        <is>
          <t>MAYO</t>
        </is>
      </c>
      <c r="G3880" s="1" t="inlineStr">
        <is>
          <t>CYNTHIA</t>
        </is>
      </c>
      <c r="H3880" s="1" t="inlineStr">
        <is>
          <t>CYNTHIA 31/05/2026</t>
        </is>
      </c>
      <c r="I3880" s="4" t="n">
        <v>3</v>
      </c>
      <c r="J3880" s="6" t="n">
        <v>76</v>
      </c>
      <c r="K3880" s="6" t="n">
        <v>2014.079418</v>
      </c>
      <c r="L3880" s="6">
        <f>I3880*K3880</f>
        <v/>
      </c>
      <c r="M3880" s="6">
        <f>K3880*4</f>
        <v/>
      </c>
      <c r="N3880" s="6" t="n">
        <v>8099</v>
      </c>
    </row>
    <row r="3881">
      <c r="A3881" s="1" t="inlineStr">
        <is>
          <t>677c26b37ee9a</t>
        </is>
      </c>
      <c r="B3881" s="1" t="inlineStr">
        <is>
          <t>RELOJ PP NAUTILUS ROSEGOLD</t>
        </is>
      </c>
      <c r="C3881" s="1" t="inlineStr">
        <is>
          <t>Default Title</t>
        </is>
      </c>
      <c r="D3881" s="1" t="inlineStr">
        <is>
          <t>20/04/2026</t>
        </is>
      </c>
      <c r="E3881" s="1" t="n">
        <v>2026</v>
      </c>
      <c r="F3881" s="1" t="inlineStr">
        <is>
          <t>ABRIL</t>
        </is>
      </c>
      <c r="G3881" s="1" t="inlineStr">
        <is>
          <t>ZOEY</t>
        </is>
      </c>
      <c r="H3881" s="1" t="inlineStr">
        <is>
          <t>ZOEY 20/04/2026</t>
        </is>
      </c>
      <c r="I3881" s="4" t="n">
        <v>3</v>
      </c>
      <c r="J3881" s="6" t="n">
        <v>72</v>
      </c>
      <c r="K3881" s="6" t="n">
        <v>1843.83204</v>
      </c>
      <c r="L3881" s="6">
        <f>I3881*K3881</f>
        <v/>
      </c>
      <c r="M3881" s="6">
        <f>K3881*4</f>
        <v/>
      </c>
      <c r="N3881" s="6" t="n">
        <v>6459</v>
      </c>
    </row>
    <row r="3882">
      <c r="A3882" s="1" t="inlineStr">
        <is>
          <t>677c26b553b3f</t>
        </is>
      </c>
      <c r="B3882" s="1" t="inlineStr">
        <is>
          <t>RELOJ RX OYSTER PERPETUAL BLACK</t>
        </is>
      </c>
      <c r="C3882" s="1" t="inlineStr">
        <is>
          <t>Default Title</t>
        </is>
      </c>
      <c r="D3882" s="1" t="inlineStr">
        <is>
          <t>01/09/2025</t>
        </is>
      </c>
      <c r="E3882" s="1" t="n">
        <v>2025</v>
      </c>
      <c r="F3882" s="1" t="inlineStr">
        <is>
          <t>SEPTIEMBRE</t>
        </is>
      </c>
      <c r="G3882" s="1" t="inlineStr">
        <is>
          <t>ZOEY</t>
        </is>
      </c>
      <c r="H3882" s="1" t="inlineStr">
        <is>
          <t>ZOEY 01/09/2025</t>
        </is>
      </c>
      <c r="I3882" s="4" t="n">
        <v>3</v>
      </c>
      <c r="J3882" s="6" t="n">
        <v>42</v>
      </c>
      <c r="K3882" s="6" t="n">
        <v>1054.949473</v>
      </c>
      <c r="L3882" s="6">
        <f>I3882*K3882</f>
        <v/>
      </c>
      <c r="M3882" s="6">
        <f>K3882*4</f>
        <v/>
      </c>
      <c r="N3882" s="6" t="n"/>
    </row>
    <row r="3883">
      <c r="A3883" s="1" t="inlineStr">
        <is>
          <t>677c26b553b3f-1</t>
        </is>
      </c>
      <c r="B3883" s="1" t="inlineStr">
        <is>
          <t>RELOJ RX OYSTER PERPETUAL BLACK</t>
        </is>
      </c>
      <c r="C3883" s="1" t="inlineStr">
        <is>
          <t>RELOJ SIN CAJA</t>
        </is>
      </c>
      <c r="D3883" s="1" t="inlineStr">
        <is>
          <t>25/10/2025</t>
        </is>
      </c>
      <c r="E3883" s="1" t="n">
        <v>2025</v>
      </c>
      <c r="F3883" s="1" t="inlineStr">
        <is>
          <t>OCTUBRE</t>
        </is>
      </c>
      <c r="G3883" s="1" t="inlineStr">
        <is>
          <t>ZOEY</t>
        </is>
      </c>
      <c r="H3883" s="1" t="inlineStr">
        <is>
          <t>ZOEY 25/10/2025</t>
        </is>
      </c>
      <c r="I3883" s="4" t="n">
        <v>3</v>
      </c>
      <c r="J3883" s="6" t="n">
        <v>42</v>
      </c>
      <c r="K3883" s="6" t="n">
        <v>1041.604591</v>
      </c>
      <c r="L3883" s="6">
        <f>I3883*K3883</f>
        <v/>
      </c>
      <c r="M3883" s="6">
        <f>K3883*4</f>
        <v/>
      </c>
      <c r="N3883" s="6" t="n">
        <v>4120</v>
      </c>
    </row>
    <row r="3884">
      <c r="A3884" s="1" t="inlineStr">
        <is>
          <t>677c26b553b3f-1</t>
        </is>
      </c>
      <c r="B3884" s="1" t="inlineStr">
        <is>
          <t>RELOJ RX OYSTER PERPETUAL BLACK</t>
        </is>
      </c>
      <c r="C3884" s="1" t="inlineStr">
        <is>
          <t>RELOJ SIN CAJA</t>
        </is>
      </c>
      <c r="D3884" s="1" t="inlineStr">
        <is>
          <t>08/06/2026</t>
        </is>
      </c>
      <c r="E3884" s="1" t="n">
        <v>2026</v>
      </c>
      <c r="F3884" s="1" t="inlineStr">
        <is>
          <t>JUNIO</t>
        </is>
      </c>
      <c r="G3884" s="1" t="inlineStr">
        <is>
          <t>ZOEY</t>
        </is>
      </c>
      <c r="H3884" s="1" t="inlineStr">
        <is>
          <t>ZOEY 08/06/2026</t>
        </is>
      </c>
      <c r="I3884" s="4" t="n">
        <v>5</v>
      </c>
      <c r="J3884" s="6" t="n">
        <v>42</v>
      </c>
      <c r="K3884" s="6" t="n">
        <v>1029.480331</v>
      </c>
      <c r="L3884" s="6">
        <f>I3884*K3884</f>
        <v/>
      </c>
      <c r="M3884" s="6">
        <f>K3884*4</f>
        <v/>
      </c>
      <c r="N3884" s="6" t="n">
        <v>3999</v>
      </c>
    </row>
    <row r="3885">
      <c r="A3885" s="1" t="inlineStr">
        <is>
          <t>677c26b553b3f-2</t>
        </is>
      </c>
      <c r="B3885" s="1" t="inlineStr">
        <is>
          <t>RELOJ RX OYSTER PERPETUAL BLACK</t>
        </is>
      </c>
      <c r="C3885" s="1" t="inlineStr">
        <is>
          <t>RELOJ CON CAJA</t>
        </is>
      </c>
      <c r="D3885" s="1" t="inlineStr">
        <is>
          <t>08/06/2026</t>
        </is>
      </c>
      <c r="E3885" s="1" t="n">
        <v>2026</v>
      </c>
      <c r="F3885" s="1" t="inlineStr">
        <is>
          <t>JUNIO</t>
        </is>
      </c>
      <c r="G3885" s="1" t="inlineStr">
        <is>
          <t>ZOEY</t>
        </is>
      </c>
      <c r="H3885" s="1" t="inlineStr">
        <is>
          <t>ZOEY 08/06/2026</t>
        </is>
      </c>
      <c r="I3885" s="4" t="n">
        <v>4</v>
      </c>
      <c r="J3885" s="6" t="n">
        <v>42</v>
      </c>
      <c r="K3885" s="6" t="n">
        <v>1029.480331</v>
      </c>
      <c r="L3885" s="6">
        <f>I3885*K3885</f>
        <v/>
      </c>
      <c r="M3885" s="6">
        <f>K3885*4</f>
        <v/>
      </c>
      <c r="N3885" s="6" t="n">
        <v>4720</v>
      </c>
    </row>
    <row r="3886">
      <c r="A3886" s="1" t="inlineStr">
        <is>
          <t>677c26b6bfd93</t>
        </is>
      </c>
      <c r="B3886" s="1" t="inlineStr">
        <is>
          <t>ARETES CD SILVER</t>
        </is>
      </c>
      <c r="C3886" s="1" t="inlineStr">
        <is>
          <t>Default Title</t>
        </is>
      </c>
      <c r="D3886" s="1" t="inlineStr">
        <is>
          <t>05/09/2025</t>
        </is>
      </c>
      <c r="E3886" s="1" t="n">
        <v>2025</v>
      </c>
      <c r="F3886" s="1" t="inlineStr">
        <is>
          <t>SEPTIEMBRE</t>
        </is>
      </c>
      <c r="G3886" s="1" t="inlineStr">
        <is>
          <t>CYNTHIA</t>
        </is>
      </c>
      <c r="H3886" s="1" t="inlineStr">
        <is>
          <t>CYNTHIA 05/09/2025</t>
        </is>
      </c>
      <c r="I3886" s="4" t="n">
        <v>5</v>
      </c>
      <c r="J3886" s="6" t="n">
        <v>6.8</v>
      </c>
      <c r="K3886" s="6" t="n">
        <v>171.2178591</v>
      </c>
      <c r="L3886" s="6">
        <f>I3886*K3886</f>
        <v/>
      </c>
      <c r="M3886" s="6">
        <f>K3886*4</f>
        <v/>
      </c>
      <c r="N3886" s="6" t="n">
        <v>745</v>
      </c>
    </row>
    <row r="3887">
      <c r="A3887" s="1" t="inlineStr">
        <is>
          <t>677c26b6bfd93</t>
        </is>
      </c>
      <c r="B3887" s="1" t="inlineStr">
        <is>
          <t>ARETES CD SILVER</t>
        </is>
      </c>
      <c r="C3887" s="1" t="inlineStr">
        <is>
          <t>Default Title</t>
        </is>
      </c>
      <c r="D3887" s="1" t="inlineStr">
        <is>
          <t>19/03/2026</t>
        </is>
      </c>
      <c r="E3887" s="1" t="n">
        <v>2026</v>
      </c>
      <c r="F3887" s="1" t="inlineStr">
        <is>
          <t>MARZO</t>
        </is>
      </c>
      <c r="G3887" s="1" t="inlineStr">
        <is>
          <t>CYNTHIA</t>
        </is>
      </c>
      <c r="H3887" s="1" t="inlineStr">
        <is>
          <t>CYNTHIA 19/03/2026</t>
        </is>
      </c>
      <c r="I3887" s="4" t="n">
        <v>2</v>
      </c>
      <c r="J3887" s="6" t="n">
        <v>7</v>
      </c>
      <c r="K3887" s="6" t="n">
        <v>188.0019106</v>
      </c>
      <c r="L3887" s="6">
        <f>I3887*K3887</f>
        <v/>
      </c>
      <c r="M3887" s="6">
        <f>K3887*4</f>
        <v/>
      </c>
      <c r="N3887" s="6" t="n">
        <v>745</v>
      </c>
    </row>
    <row r="3888">
      <c r="A3888" s="1" t="inlineStr">
        <is>
          <t>677c26b6bfd93</t>
        </is>
      </c>
      <c r="B3888" s="1" t="inlineStr">
        <is>
          <t>ARETES CD SILVER</t>
        </is>
      </c>
      <c r="C3888" s="1" t="inlineStr">
        <is>
          <t>Default Title</t>
        </is>
      </c>
      <c r="D3888" s="1" t="inlineStr">
        <is>
          <t>31/05/2026</t>
        </is>
      </c>
      <c r="E3888" s="1" t="n">
        <v>2026</v>
      </c>
      <c r="F3888" s="1" t="inlineStr">
        <is>
          <t>MAYO</t>
        </is>
      </c>
      <c r="G3888" s="1" t="inlineStr">
        <is>
          <t>CYNTHIA</t>
        </is>
      </c>
      <c r="H3888" s="1" t="inlineStr">
        <is>
          <t>CYNTHIA 31/05/2026</t>
        </is>
      </c>
      <c r="I3888" s="4" t="n">
        <v>2</v>
      </c>
      <c r="J3888" s="6" t="n">
        <v>7</v>
      </c>
      <c r="K3888" s="6" t="n">
        <v>185.5073148</v>
      </c>
      <c r="L3888" s="6">
        <f>I3888*K3888</f>
        <v/>
      </c>
      <c r="M3888" s="6">
        <f>K3888*4</f>
        <v/>
      </c>
      <c r="N3888" s="6" t="n">
        <v>745</v>
      </c>
    </row>
    <row r="3889">
      <c r="A3889" s="1" t="inlineStr">
        <is>
          <t>677c26b82bccf</t>
        </is>
      </c>
      <c r="B3889" s="1" t="inlineStr">
        <is>
          <t>ARETES TRÉBOL GOLD CON ZIRCONIA</t>
        </is>
      </c>
      <c r="C3889" s="1" t="n"/>
      <c r="D3889" s="1" t="inlineStr">
        <is>
          <t>05/09/2025</t>
        </is>
      </c>
      <c r="E3889" s="1" t="n">
        <v>2025</v>
      </c>
      <c r="F3889" s="1" t="inlineStr">
        <is>
          <t>SEPTIEMBRE</t>
        </is>
      </c>
      <c r="G3889" s="1" t="inlineStr">
        <is>
          <t>CYNTHIA</t>
        </is>
      </c>
      <c r="H3889" s="1" t="inlineStr">
        <is>
          <t>CYNTHIA 05/09/2025</t>
        </is>
      </c>
      <c r="I3889" s="4" t="n">
        <v>4</v>
      </c>
      <c r="J3889" s="6" t="n">
        <v>8.800000000000001</v>
      </c>
      <c r="K3889" s="6" t="n">
        <v>221.576053</v>
      </c>
      <c r="L3889" s="6">
        <f>I3889*K3889</f>
        <v/>
      </c>
      <c r="M3889" s="6">
        <f>K3889*4</f>
        <v/>
      </c>
      <c r="N3889" s="6" t="n"/>
    </row>
    <row r="3890">
      <c r="A3890" s="1" t="inlineStr">
        <is>
          <t>677c26b82bccf</t>
        </is>
      </c>
      <c r="B3890" s="1" t="n"/>
      <c r="C3890" s="1" t="n"/>
      <c r="D3890" s="1" t="inlineStr">
        <is>
          <t>07/01/2026</t>
        </is>
      </c>
      <c r="E3890" s="1" t="n">
        <v>2026</v>
      </c>
      <c r="F3890" s="1" t="inlineStr">
        <is>
          <t>ENERO</t>
        </is>
      </c>
      <c r="G3890" s="1" t="inlineStr">
        <is>
          <t>CYNTHIA</t>
        </is>
      </c>
      <c r="H3890" s="1" t="inlineStr">
        <is>
          <t>CYNTHIA 07/01/2026</t>
        </is>
      </c>
      <c r="I3890" s="4" t="n">
        <v>2</v>
      </c>
      <c r="J3890" s="6" t="n">
        <v>8.800000000000001</v>
      </c>
      <c r="K3890" s="6" t="n">
        <v>233.9693635</v>
      </c>
      <c r="L3890" s="6">
        <f>I3890*K3890</f>
        <v/>
      </c>
      <c r="M3890" s="6">
        <f>K3890*4</f>
        <v/>
      </c>
      <c r="N3890" s="6" t="n"/>
    </row>
    <row r="3891">
      <c r="A3891" s="1" t="inlineStr">
        <is>
          <t>678a9af11a3e6</t>
        </is>
      </c>
      <c r="B3891" s="1" t="inlineStr">
        <is>
          <t>ARETES TRÉBOL SILVER CON ZIRCONIA</t>
        </is>
      </c>
      <c r="C3891" s="1" t="inlineStr">
        <is>
          <t>Default Title</t>
        </is>
      </c>
      <c r="D3891" s="1" t="inlineStr">
        <is>
          <t>05/09/2025</t>
        </is>
      </c>
      <c r="E3891" s="1" t="n">
        <v>2025</v>
      </c>
      <c r="F3891" s="1" t="inlineStr">
        <is>
          <t>SEPTIEMBRE</t>
        </is>
      </c>
      <c r="G3891" s="1" t="inlineStr">
        <is>
          <t>CYNTHIA</t>
        </is>
      </c>
      <c r="H3891" s="1" t="inlineStr">
        <is>
          <t>CYNTHIA 05/09/2025</t>
        </is>
      </c>
      <c r="I3891" s="4" t="n">
        <v>2</v>
      </c>
      <c r="J3891" s="6" t="n">
        <v>8.800000000000001</v>
      </c>
      <c r="K3891" s="6" t="n">
        <v>221.576053</v>
      </c>
      <c r="L3891" s="6">
        <f>I3891*K3891</f>
        <v/>
      </c>
      <c r="M3891" s="6">
        <f>K3891*4</f>
        <v/>
      </c>
      <c r="N3891" s="6" t="n">
        <v>750</v>
      </c>
    </row>
    <row r="3892">
      <c r="A3892" s="1" t="inlineStr">
        <is>
          <t>678a9af11a3e6</t>
        </is>
      </c>
      <c r="B3892" s="1" t="inlineStr">
        <is>
          <t>ARETES TRÉBOL SILVER CON ZIRCONIA</t>
        </is>
      </c>
      <c r="C3892" s="1" t="inlineStr">
        <is>
          <t>Default Title</t>
        </is>
      </c>
      <c r="D3892" s="1" t="inlineStr">
        <is>
          <t>27/04/2026</t>
        </is>
      </c>
      <c r="E3892" s="1" t="n">
        <v>2026</v>
      </c>
      <c r="F3892" s="1" t="inlineStr">
        <is>
          <t>ABRIL</t>
        </is>
      </c>
      <c r="G3892" s="1" t="inlineStr">
        <is>
          <t>CYNTHIA</t>
        </is>
      </c>
      <c r="H3892" s="1" t="inlineStr">
        <is>
          <t>CYNTHIA 27/04/2026</t>
        </is>
      </c>
      <c r="I3892" s="4" t="n">
        <v>10</v>
      </c>
      <c r="J3892" s="6" t="n">
        <v>8.800000000000001</v>
      </c>
      <c r="K3892" s="6" t="n">
        <v>228.360815</v>
      </c>
      <c r="L3892" s="6">
        <f>I3892*K3892</f>
        <v/>
      </c>
      <c r="M3892" s="6">
        <f>K3892*4</f>
        <v/>
      </c>
      <c r="N3892" s="6" t="n">
        <v>915</v>
      </c>
    </row>
    <row r="3893">
      <c r="A3893" s="1" t="inlineStr">
        <is>
          <t>678a9af396518</t>
        </is>
      </c>
      <c r="B3893" s="1" t="inlineStr">
        <is>
          <t>ARETES FR SILVER</t>
        </is>
      </c>
      <c r="C3893" s="1" t="inlineStr">
        <is>
          <t>Regular</t>
        </is>
      </c>
      <c r="D3893" s="1" t="inlineStr">
        <is>
          <t>03/12/2025</t>
        </is>
      </c>
      <c r="E3893" s="1" t="n">
        <v>2025</v>
      </c>
      <c r="F3893" s="1" t="inlineStr">
        <is>
          <t>DICIEMBRE</t>
        </is>
      </c>
      <c r="G3893" s="1" t="inlineStr">
        <is>
          <t>NANCY</t>
        </is>
      </c>
      <c r="H3893" s="1" t="inlineStr">
        <is>
          <t>NANCY 03/12/2025</t>
        </is>
      </c>
      <c r="I3893" s="4" t="n">
        <v>14</v>
      </c>
      <c r="J3893" s="6" t="n">
        <v>4.49</v>
      </c>
      <c r="K3893" s="6" t="n">
        <v>106.2187689</v>
      </c>
      <c r="L3893" s="6">
        <f>I3893*K3893</f>
        <v/>
      </c>
      <c r="M3893" s="6">
        <f>K3893*4</f>
        <v/>
      </c>
      <c r="N3893" s="6" t="n">
        <v>450</v>
      </c>
    </row>
    <row r="3894">
      <c r="A3894" s="1" t="inlineStr">
        <is>
          <t>678a9af396518</t>
        </is>
      </c>
      <c r="B3894" s="1" t="inlineStr">
        <is>
          <t>ARETES FR SILVER</t>
        </is>
      </c>
      <c r="C3894" s="1" t="inlineStr">
        <is>
          <t>Default Title</t>
        </is>
      </c>
      <c r="D3894" s="1" t="inlineStr">
        <is>
          <t>20/01/2026</t>
        </is>
      </c>
      <c r="E3894" s="1" t="n">
        <v>2026</v>
      </c>
      <c r="F3894" s="1" t="inlineStr">
        <is>
          <t>ENERO</t>
        </is>
      </c>
      <c r="G3894" s="1" t="inlineStr">
        <is>
          <t>HAIFENG</t>
        </is>
      </c>
      <c r="H3894" s="1" t="inlineStr">
        <is>
          <t>HAIFENG 20/01/2026</t>
        </is>
      </c>
      <c r="I3894" s="4" t="n">
        <v>15</v>
      </c>
      <c r="J3894" s="6" t="n">
        <v>5</v>
      </c>
      <c r="K3894" s="6" t="n">
        <v>106.002089</v>
      </c>
      <c r="L3894" s="6">
        <f>I3894*K3894</f>
        <v/>
      </c>
      <c r="M3894" s="6">
        <f>K3894*4</f>
        <v/>
      </c>
      <c r="N3894" s="6" t="n">
        <v>450</v>
      </c>
    </row>
    <row r="3895">
      <c r="A3895" s="1" t="inlineStr">
        <is>
          <t>678a9af396518</t>
        </is>
      </c>
      <c r="B3895" s="1" t="inlineStr">
        <is>
          <t>ARETES FR SILVER</t>
        </is>
      </c>
      <c r="C3895" s="1" t="inlineStr">
        <is>
          <t>Regular</t>
        </is>
      </c>
      <c r="D3895" s="1" t="inlineStr">
        <is>
          <t>31/05/2026</t>
        </is>
      </c>
      <c r="E3895" s="1" t="n">
        <v>2026</v>
      </c>
      <c r="F3895" s="1" t="inlineStr">
        <is>
          <t>MAYO</t>
        </is>
      </c>
      <c r="G3895" s="1" t="inlineStr">
        <is>
          <t>NANCY</t>
        </is>
      </c>
      <c r="H3895" s="1" t="inlineStr">
        <is>
          <t>NANCY 31/05/2026</t>
        </is>
      </c>
      <c r="I3895" s="4" t="n">
        <v>5</v>
      </c>
      <c r="J3895" s="6" t="n">
        <v>4.99</v>
      </c>
      <c r="K3895" s="6" t="n">
        <v>121.0952727</v>
      </c>
      <c r="L3895" s="6">
        <f>I3895*K3895</f>
        <v/>
      </c>
      <c r="M3895" s="6">
        <f>K3895*4</f>
        <v/>
      </c>
      <c r="N3895" s="6" t="n">
        <v>450</v>
      </c>
    </row>
    <row r="3896">
      <c r="A3896" s="1" t="inlineStr">
        <is>
          <t>678a9af396518</t>
        </is>
      </c>
      <c r="B3896" s="1" t="inlineStr">
        <is>
          <t>ARETES FR SILVER</t>
        </is>
      </c>
      <c r="C3896" s="1" t="inlineStr">
        <is>
          <t>Regular</t>
        </is>
      </c>
      <c r="D3896" s="1" t="inlineStr">
        <is>
          <t>09/07/2026</t>
        </is>
      </c>
      <c r="E3896" s="1" t="n">
        <v>2026</v>
      </c>
      <c r="F3896" s="1" t="inlineStr">
        <is>
          <t>JULIO</t>
        </is>
      </c>
      <c r="G3896" s="1" t="inlineStr">
        <is>
          <t>NANCY</t>
        </is>
      </c>
      <c r="H3896" s="1" t="inlineStr">
        <is>
          <t>NANCY 09/07/2026</t>
        </is>
      </c>
      <c r="I3896" s="4" t="n">
        <v>3</v>
      </c>
      <c r="J3896" s="6" t="n">
        <v>4.99</v>
      </c>
      <c r="K3896" s="6" t="n">
        <v>121.5837117</v>
      </c>
      <c r="L3896" s="6">
        <f>I3896*K3896</f>
        <v/>
      </c>
      <c r="M3896" s="6">
        <f>K3896*4</f>
        <v/>
      </c>
      <c r="N3896" s="6" t="n">
        <v>450</v>
      </c>
    </row>
    <row r="3897">
      <c r="A3897" s="1" t="inlineStr">
        <is>
          <t>679aa28b5f6b1</t>
        </is>
      </c>
      <c r="B3897" s="1" t="inlineStr">
        <is>
          <t>PULSERA P DIAMOND BLUE</t>
        </is>
      </c>
      <c r="C3897" s="1" t="inlineStr">
        <is>
          <t>16cm de largo con 3cm de extensión</t>
        </is>
      </c>
      <c r="D3897" s="1" t="inlineStr">
        <is>
          <t>07/01/2026</t>
        </is>
      </c>
      <c r="E3897" s="1" t="n">
        <v>2026</v>
      </c>
      <c r="F3897" s="1" t="inlineStr">
        <is>
          <t>ENERO</t>
        </is>
      </c>
      <c r="G3897" s="1" t="inlineStr">
        <is>
          <t>CYNTHIA</t>
        </is>
      </c>
      <c r="H3897" s="1" t="inlineStr">
        <is>
          <t>CYNTHIA 07/01/2026</t>
        </is>
      </c>
      <c r="I3897" s="4" t="n">
        <v>3</v>
      </c>
      <c r="J3897" s="6" t="n">
        <v>6</v>
      </c>
      <c r="K3897" s="6" t="n">
        <v>159.524566</v>
      </c>
      <c r="L3897" s="6">
        <f>I3897*K3897</f>
        <v/>
      </c>
      <c r="M3897" s="6">
        <f>K3897*4</f>
        <v/>
      </c>
      <c r="N3897" s="6" t="n">
        <v>545</v>
      </c>
    </row>
    <row r="3898">
      <c r="A3898" s="1" t="inlineStr">
        <is>
          <t>679aa28b5f6b1</t>
        </is>
      </c>
      <c r="B3898" s="1" t="inlineStr">
        <is>
          <t>PULSERA P DIAMOND BLUE</t>
        </is>
      </c>
      <c r="C3898" s="1" t="inlineStr">
        <is>
          <t>16cm de largo con 3cm de extensión</t>
        </is>
      </c>
      <c r="D3898" s="1" t="inlineStr">
        <is>
          <t>27/04/2026</t>
        </is>
      </c>
      <c r="E3898" s="1" t="n">
        <v>2026</v>
      </c>
      <c r="F3898" s="1" t="inlineStr">
        <is>
          <t>ABRIL</t>
        </is>
      </c>
      <c r="G3898" s="1" t="inlineStr">
        <is>
          <t>CYNTHIA</t>
        </is>
      </c>
      <c r="H3898" s="1" t="inlineStr">
        <is>
          <t>CYNTHIA 27/04/2026</t>
        </is>
      </c>
      <c r="I3898" s="4" t="n">
        <v>1</v>
      </c>
      <c r="J3898" s="6" t="n">
        <v>6</v>
      </c>
      <c r="K3898" s="6" t="n">
        <v>155.7005557</v>
      </c>
      <c r="L3898" s="6">
        <f>I3898*K3898</f>
        <v/>
      </c>
      <c r="M3898" s="6">
        <f>K3898*4</f>
        <v/>
      </c>
      <c r="N3898" s="6" t="n">
        <v>545</v>
      </c>
    </row>
    <row r="3899">
      <c r="A3899" s="1" t="inlineStr">
        <is>
          <t>679be1f9f363c</t>
        </is>
      </c>
      <c r="B3899" s="1" t="inlineStr">
        <is>
          <t>RELOJ PP NAUTILUS SILVER BLUE</t>
        </is>
      </c>
      <c r="C3899" s="1" t="inlineStr">
        <is>
          <t>Ajustable con caja</t>
        </is>
      </c>
      <c r="D3899" s="1" t="inlineStr">
        <is>
          <t>20/01/2026</t>
        </is>
      </c>
      <c r="E3899" s="1" t="n">
        <v>2026</v>
      </c>
      <c r="F3899" s="1" t="inlineStr">
        <is>
          <t>ENERO</t>
        </is>
      </c>
      <c r="G3899" s="1" t="inlineStr">
        <is>
          <t>ZOEY</t>
        </is>
      </c>
      <c r="H3899" s="1" t="inlineStr">
        <is>
          <t>ZOEY 20/01/2026</t>
        </is>
      </c>
      <c r="I3899" s="4" t="n">
        <v>2</v>
      </c>
      <c r="J3899" s="6" t="n">
        <v>58</v>
      </c>
      <c r="K3899" s="6" t="n">
        <v>1509.832763</v>
      </c>
      <c r="L3899" s="6">
        <f>I3899*K3899</f>
        <v/>
      </c>
      <c r="M3899" s="6">
        <f>K3899*4</f>
        <v/>
      </c>
      <c r="N3899" s="6" t="n">
        <v>4899</v>
      </c>
    </row>
    <row r="3900">
      <c r="A3900" s="1" t="inlineStr">
        <is>
          <t>679be1fa82b97</t>
        </is>
      </c>
      <c r="B3900" s="1" t="inlineStr">
        <is>
          <t>RELOJ C SANTOS BLACK</t>
        </is>
      </c>
      <c r="C3900" s="1" t="inlineStr">
        <is>
          <t>Default Title</t>
        </is>
      </c>
      <c r="D3900" s="1" t="inlineStr">
        <is>
          <t>01/09/2025</t>
        </is>
      </c>
      <c r="E3900" s="1" t="n">
        <v>2025</v>
      </c>
      <c r="F3900" s="1" t="inlineStr">
        <is>
          <t>SEPTIEMBRE</t>
        </is>
      </c>
      <c r="G3900" s="1" t="inlineStr">
        <is>
          <t>ZOEY</t>
        </is>
      </c>
      <c r="H3900" s="1" t="inlineStr">
        <is>
          <t>ZOEY 01/09/2025</t>
        </is>
      </c>
      <c r="I3900" s="4" t="n">
        <v>6</v>
      </c>
      <c r="J3900" s="6" t="n">
        <v>35</v>
      </c>
      <c r="K3900" s="6" t="n">
        <v>879.1245611000001</v>
      </c>
      <c r="L3900" s="6">
        <f>I3900*K3900</f>
        <v/>
      </c>
      <c r="M3900" s="6">
        <f>K3900*4</f>
        <v/>
      </c>
      <c r="N3900" s="6" t="n">
        <v>3899</v>
      </c>
    </row>
    <row r="3901">
      <c r="A3901" s="1" t="inlineStr">
        <is>
          <t>679be1fa82b97</t>
        </is>
      </c>
      <c r="B3901" s="1" t="inlineStr">
        <is>
          <t>RELOJ C SANTOS BLACK</t>
        </is>
      </c>
      <c r="C3901" s="1" t="inlineStr">
        <is>
          <t>RELOJ SIN CAJA</t>
        </is>
      </c>
      <c r="D3901" s="1" t="inlineStr">
        <is>
          <t>25/10/2025</t>
        </is>
      </c>
      <c r="E3901" s="1" t="n">
        <v>2025</v>
      </c>
      <c r="F3901" s="1" t="inlineStr">
        <is>
          <t>OCTUBRE</t>
        </is>
      </c>
      <c r="G3901" s="1" t="inlineStr">
        <is>
          <t>ZOEY</t>
        </is>
      </c>
      <c r="H3901" s="1" t="inlineStr">
        <is>
          <t>ZOEY 25/10/2025</t>
        </is>
      </c>
      <c r="I3901" s="4" t="n">
        <v>3</v>
      </c>
      <c r="J3901" s="6" t="n">
        <v>35</v>
      </c>
      <c r="K3901" s="6" t="n">
        <v>868.0038257</v>
      </c>
      <c r="L3901" s="6">
        <f>I3901*K3901</f>
        <v/>
      </c>
      <c r="M3901" s="6">
        <f>K3901*4</f>
        <v/>
      </c>
      <c r="N3901" s="6" t="n">
        <v>3899</v>
      </c>
    </row>
    <row r="3902">
      <c r="A3902" s="1" t="inlineStr">
        <is>
          <t>679be1fa82b97</t>
        </is>
      </c>
      <c r="B3902" s="1" t="inlineStr">
        <is>
          <t>RELOJ C SANTOS BLACK</t>
        </is>
      </c>
      <c r="C3902" s="1" t="inlineStr">
        <is>
          <t>RELOJ SIN CAJA</t>
        </is>
      </c>
      <c r="D3902" s="1" t="inlineStr">
        <is>
          <t>20/01/2026</t>
        </is>
      </c>
      <c r="E3902" s="1" t="n">
        <v>2026</v>
      </c>
      <c r="F3902" s="1" t="inlineStr">
        <is>
          <t>ENERO</t>
        </is>
      </c>
      <c r="G3902" s="1" t="inlineStr">
        <is>
          <t>ZOEY</t>
        </is>
      </c>
      <c r="H3902" s="1" t="inlineStr">
        <is>
          <t>ZOEY 20/01/2026</t>
        </is>
      </c>
      <c r="I3902" s="4" t="n">
        <v>5</v>
      </c>
      <c r="J3902" s="6" t="n">
        <v>35</v>
      </c>
      <c r="K3902" s="6" t="n">
        <v>911.1059779</v>
      </c>
      <c r="L3902" s="6">
        <f>I3902*K3902</f>
        <v/>
      </c>
      <c r="M3902" s="6">
        <f>K3902*4</f>
        <v/>
      </c>
      <c r="N3902" s="6" t="n">
        <v>3899</v>
      </c>
    </row>
    <row r="3903">
      <c r="A3903" s="1" t="inlineStr">
        <is>
          <t>679be1fa82b97</t>
        </is>
      </c>
      <c r="B3903" s="1" t="inlineStr">
        <is>
          <t>RELOJ C SANTOS BLACK</t>
        </is>
      </c>
      <c r="C3903" s="1" t="inlineStr">
        <is>
          <t>RELOJ SIN CAJA MUJER 27mm</t>
        </is>
      </c>
      <c r="D3903" s="1" t="inlineStr">
        <is>
          <t>20/04/2026</t>
        </is>
      </c>
      <c r="E3903" s="1" t="n">
        <v>2026</v>
      </c>
      <c r="F3903" s="1" t="inlineStr">
        <is>
          <t>ABRIL</t>
        </is>
      </c>
      <c r="G3903" s="1" t="inlineStr">
        <is>
          <t>ZOEY</t>
        </is>
      </c>
      <c r="H3903" s="1" t="inlineStr">
        <is>
          <t>ZOEY 20/04/2026</t>
        </is>
      </c>
      <c r="I3903" s="4" t="n">
        <v>2</v>
      </c>
      <c r="J3903" s="6" t="n">
        <v>35</v>
      </c>
      <c r="K3903" s="6" t="n">
        <v>896.3072418</v>
      </c>
      <c r="L3903" s="6">
        <f>I3903*K3903</f>
        <v/>
      </c>
      <c r="M3903" s="6">
        <f>K3903*4</f>
        <v/>
      </c>
      <c r="N3903" s="6" t="n">
        <v>3899</v>
      </c>
    </row>
    <row r="3904">
      <c r="A3904" s="1" t="inlineStr">
        <is>
          <t>679be1fa82b97</t>
        </is>
      </c>
      <c r="B3904" s="1" t="inlineStr">
        <is>
          <t>RELOJ C SANTOS BLACK</t>
        </is>
      </c>
      <c r="C3904" s="1" t="inlineStr">
        <is>
          <t>RELOJ SIN CAJA MUJER 27mm</t>
        </is>
      </c>
      <c r="D3904" s="1" t="inlineStr">
        <is>
          <t>15/05/2026</t>
        </is>
      </c>
      <c r="E3904" s="1" t="n">
        <v>2026</v>
      </c>
      <c r="F3904" s="1" t="inlineStr">
        <is>
          <t>MAYO</t>
        </is>
      </c>
      <c r="G3904" s="1" t="inlineStr">
        <is>
          <t>ZOEY</t>
        </is>
      </c>
      <c r="H3904" s="1" t="inlineStr">
        <is>
          <t>ZOEY 15/05/2026</t>
        </is>
      </c>
      <c r="I3904" s="4" t="n">
        <v>3</v>
      </c>
      <c r="J3904" s="6" t="n">
        <v>35</v>
      </c>
      <c r="K3904" s="6" t="n">
        <v>927.6618571</v>
      </c>
      <c r="L3904" s="6">
        <f>I3904*K3904</f>
        <v/>
      </c>
      <c r="M3904" s="6">
        <f>K3904*4</f>
        <v/>
      </c>
      <c r="N3904" s="6" t="n">
        <v>3899</v>
      </c>
    </row>
    <row r="3905">
      <c r="A3905" s="1" t="inlineStr">
        <is>
          <t>679be1fb57d7e</t>
        </is>
      </c>
      <c r="B3905" s="1" t="inlineStr">
        <is>
          <t>RELOJ RX DAY DATE ROSEGOLD</t>
        </is>
      </c>
      <c r="C3905" s="1" t="inlineStr">
        <is>
          <t>Default Title</t>
        </is>
      </c>
      <c r="D3905" s="1" t="inlineStr">
        <is>
          <t>01/09/2025</t>
        </is>
      </c>
      <c r="E3905" s="1" t="n">
        <v>2025</v>
      </c>
      <c r="F3905" s="1" t="inlineStr">
        <is>
          <t>SEPTIEMBRE</t>
        </is>
      </c>
      <c r="G3905" s="1" t="inlineStr">
        <is>
          <t>ZOEY</t>
        </is>
      </c>
      <c r="H3905" s="1" t="inlineStr">
        <is>
          <t>ZOEY 01/09/2025</t>
        </is>
      </c>
      <c r="I3905" s="4" t="n">
        <v>5</v>
      </c>
      <c r="J3905" s="6" t="n">
        <v>48</v>
      </c>
      <c r="K3905" s="6" t="n">
        <v>1205.656541</v>
      </c>
      <c r="L3905" s="6">
        <f>I3905*K3905</f>
        <v/>
      </c>
      <c r="M3905" s="6">
        <f>K3905*4</f>
        <v/>
      </c>
      <c r="N3905" s="6" t="n"/>
    </row>
    <row r="3906">
      <c r="A3906" s="1" t="inlineStr">
        <is>
          <t>679be1fb57d7e-1</t>
        </is>
      </c>
      <c r="B3906" s="1" t="inlineStr">
        <is>
          <t>RELOJ RX DAY DATE ROSEGOLD</t>
        </is>
      </c>
      <c r="C3906" s="1" t="inlineStr">
        <is>
          <t>RELOJ SIN CAJA</t>
        </is>
      </c>
      <c r="D3906" s="1" t="inlineStr">
        <is>
          <t>20/01/2026</t>
        </is>
      </c>
      <c r="E3906" s="1" t="n">
        <v>2026</v>
      </c>
      <c r="F3906" s="1" t="inlineStr">
        <is>
          <t>ENERO</t>
        </is>
      </c>
      <c r="G3906" s="1" t="inlineStr">
        <is>
          <t>ZOEY</t>
        </is>
      </c>
      <c r="H3906" s="1" t="inlineStr">
        <is>
          <t>ZOEY 20/01/2026</t>
        </is>
      </c>
      <c r="I3906" s="4" t="n">
        <v>1</v>
      </c>
      <c r="J3906" s="6" t="n">
        <v>48</v>
      </c>
      <c r="K3906" s="6" t="n">
        <v>1249.51677</v>
      </c>
      <c r="L3906" s="6">
        <f>I3906*K3906</f>
        <v/>
      </c>
      <c r="M3906" s="6">
        <f>K3906*4</f>
        <v/>
      </c>
      <c r="N3906" s="6" t="n">
        <v>4399</v>
      </c>
    </row>
    <row r="3907">
      <c r="A3907" s="1" t="inlineStr">
        <is>
          <t>679be962d942d</t>
        </is>
      </c>
      <c r="B3907" s="1" t="inlineStr">
        <is>
          <t>HOODIE C WHITE</t>
        </is>
      </c>
      <c r="C3907" s="1" t="inlineStr">
        <is>
          <t>L</t>
        </is>
      </c>
      <c r="D3907" s="1" t="inlineStr">
        <is>
          <t>27/04/2026</t>
        </is>
      </c>
      <c r="E3907" s="1" t="n">
        <v>2026</v>
      </c>
      <c r="F3907" s="1" t="inlineStr">
        <is>
          <t>ABRIL</t>
        </is>
      </c>
      <c r="G3907" s="1" t="inlineStr">
        <is>
          <t>DINA DU</t>
        </is>
      </c>
      <c r="H3907" s="1" t="inlineStr">
        <is>
          <t>DINA DU 27/04/2026</t>
        </is>
      </c>
      <c r="I3907" s="4" t="n">
        <v>1</v>
      </c>
      <c r="J3907" s="6" t="n">
        <v>27</v>
      </c>
      <c r="K3907" s="6" t="n">
        <v>730.1964442</v>
      </c>
      <c r="L3907" s="6">
        <f>I3907*K3907</f>
        <v/>
      </c>
      <c r="M3907" s="6">
        <f>K3907*4</f>
        <v/>
      </c>
      <c r="N3907" s="6" t="n">
        <v>2920</v>
      </c>
    </row>
    <row r="3908">
      <c r="A3908" s="1" t="inlineStr">
        <is>
          <t>679bf19779a29</t>
        </is>
      </c>
      <c r="B3908" s="1" t="inlineStr">
        <is>
          <t>CALCETIN A BLACK</t>
        </is>
      </c>
      <c r="C3908" s="1" t="inlineStr">
        <is>
          <t>Default Title</t>
        </is>
      </c>
      <c r="D3908" s="1" t="inlineStr">
        <is>
          <t>25/10/2025</t>
        </is>
      </c>
      <c r="E3908" s="1" t="n">
        <v>2025</v>
      </c>
      <c r="F3908" s="1" t="inlineStr">
        <is>
          <t>OCTUBRE</t>
        </is>
      </c>
      <c r="G3908" s="1" t="inlineStr">
        <is>
          <t>ZOEY</t>
        </is>
      </c>
      <c r="H3908" s="1" t="inlineStr">
        <is>
          <t>ZOEY 25/10/2025</t>
        </is>
      </c>
      <c r="I3908" s="4" t="n">
        <v>3</v>
      </c>
      <c r="J3908" s="6" t="n">
        <v>5</v>
      </c>
      <c r="K3908" s="6" t="n">
        <v>124.0005465</v>
      </c>
      <c r="L3908" s="6">
        <f>I3908*K3908</f>
        <v/>
      </c>
      <c r="M3908" s="6">
        <f>K3908*4</f>
        <v/>
      </c>
      <c r="N3908" s="6" t="n">
        <v>455</v>
      </c>
    </row>
    <row r="3909">
      <c r="A3909" s="1" t="inlineStr">
        <is>
          <t>679bf19779a29</t>
        </is>
      </c>
      <c r="B3909" s="1" t="inlineStr">
        <is>
          <t>CALCETÍN A BLACK</t>
        </is>
      </c>
      <c r="C3909" s="1" t="inlineStr">
        <is>
          <t>Default Title</t>
        </is>
      </c>
      <c r="D3909" s="1" t="inlineStr">
        <is>
          <t>19/03/2026</t>
        </is>
      </c>
      <c r="E3909" s="1" t="n">
        <v>2026</v>
      </c>
      <c r="F3909" s="1" t="inlineStr">
        <is>
          <t>MARZO</t>
        </is>
      </c>
      <c r="G3909" s="1" t="inlineStr">
        <is>
          <t>ZOEY</t>
        </is>
      </c>
      <c r="H3909" s="1" t="inlineStr">
        <is>
          <t>ZOEY 19/03/2026</t>
        </is>
      </c>
      <c r="I3909" s="4" t="n">
        <v>11</v>
      </c>
      <c r="J3909" s="6" t="n">
        <v>5</v>
      </c>
      <c r="K3909" s="6" t="n">
        <v>128.9102481</v>
      </c>
      <c r="L3909" s="6">
        <f>I3909*K3909</f>
        <v/>
      </c>
      <c r="M3909" s="6">
        <f>K3909*4</f>
        <v/>
      </c>
      <c r="N3909" s="6" t="n">
        <v>499</v>
      </c>
    </row>
    <row r="3910">
      <c r="A3910" s="1" t="inlineStr">
        <is>
          <t>679bf1982d8ea</t>
        </is>
      </c>
      <c r="B3910" s="1" t="inlineStr">
        <is>
          <t>CALCETIN A WHITE</t>
        </is>
      </c>
      <c r="C3910" s="1" t="inlineStr">
        <is>
          <t>Default Title</t>
        </is>
      </c>
      <c r="D3910" s="1" t="inlineStr">
        <is>
          <t>01/09/2025</t>
        </is>
      </c>
      <c r="E3910" s="1" t="n">
        <v>2025</v>
      </c>
      <c r="F3910" s="1" t="inlineStr">
        <is>
          <t>SEPTIEMBRE</t>
        </is>
      </c>
      <c r="G3910" s="1" t="inlineStr">
        <is>
          <t>ZOEY</t>
        </is>
      </c>
      <c r="H3910" s="1" t="inlineStr">
        <is>
          <t>ZOEY 01/09/2025</t>
        </is>
      </c>
      <c r="I3910" s="4" t="n">
        <v>2</v>
      </c>
      <c r="J3910" s="6" t="n">
        <v>5</v>
      </c>
      <c r="K3910" s="6" t="n">
        <v>125.589223</v>
      </c>
      <c r="L3910" s="6">
        <f>I3910*K3910</f>
        <v/>
      </c>
      <c r="M3910" s="6">
        <f>K3910*4</f>
        <v/>
      </c>
      <c r="N3910" s="6" t="n">
        <v>455</v>
      </c>
    </row>
    <row r="3911">
      <c r="A3911" s="1" t="inlineStr">
        <is>
          <t>679bf1982d8ea</t>
        </is>
      </c>
      <c r="B3911" s="1" t="inlineStr">
        <is>
          <t>CALCETIN A WHITE</t>
        </is>
      </c>
      <c r="C3911" s="1" t="inlineStr">
        <is>
          <t>Default Title</t>
        </is>
      </c>
      <c r="D3911" s="1" t="inlineStr">
        <is>
          <t>25/10/2025</t>
        </is>
      </c>
      <c r="E3911" s="1" t="n">
        <v>2025</v>
      </c>
      <c r="F3911" s="1" t="inlineStr">
        <is>
          <t>OCTUBRE</t>
        </is>
      </c>
      <c r="G3911" s="1" t="inlineStr">
        <is>
          <t>ZOEY</t>
        </is>
      </c>
      <c r="H3911" s="1" t="inlineStr">
        <is>
          <t>ZOEY 25/10/2025</t>
        </is>
      </c>
      <c r="I3911" s="4" t="n">
        <v>6</v>
      </c>
      <c r="J3911" s="6" t="n">
        <v>5</v>
      </c>
      <c r="K3911" s="6" t="n">
        <v>124.0005465</v>
      </c>
      <c r="L3911" s="6">
        <f>I3911*K3911</f>
        <v/>
      </c>
      <c r="M3911" s="6">
        <f>K3911*4</f>
        <v/>
      </c>
      <c r="N3911" s="6" t="n">
        <v>455</v>
      </c>
    </row>
    <row r="3912">
      <c r="A3912" s="1" t="inlineStr">
        <is>
          <t>679bf1982d8ea</t>
        </is>
      </c>
      <c r="B3912" s="1" t="inlineStr">
        <is>
          <t>CALCETÍN A WHITE</t>
        </is>
      </c>
      <c r="C3912" s="1" t="inlineStr">
        <is>
          <t>Default Title</t>
        </is>
      </c>
      <c r="D3912" s="1" t="inlineStr">
        <is>
          <t>19/03/2026</t>
        </is>
      </c>
      <c r="E3912" s="1" t="n">
        <v>2026</v>
      </c>
      <c r="F3912" s="1" t="inlineStr">
        <is>
          <t>MARZO</t>
        </is>
      </c>
      <c r="G3912" s="1" t="inlineStr">
        <is>
          <t>ZOEY</t>
        </is>
      </c>
      <c r="H3912" s="1" t="inlineStr">
        <is>
          <t>ZOEY 19/03/2026</t>
        </is>
      </c>
      <c r="I3912" s="4" t="n">
        <v>3</v>
      </c>
      <c r="J3912" s="6" t="n">
        <v>5</v>
      </c>
      <c r="K3912" s="6" t="n">
        <v>128.9102481</v>
      </c>
      <c r="L3912" s="6">
        <f>I3912*K3912</f>
        <v/>
      </c>
      <c r="M3912" s="6">
        <f>K3912*4</f>
        <v/>
      </c>
      <c r="N3912" s="6" t="n">
        <v>499</v>
      </c>
    </row>
    <row r="3913">
      <c r="A3913" s="1" t="inlineStr">
        <is>
          <t>679bf1982d8ea</t>
        </is>
      </c>
      <c r="B3913" s="1" t="inlineStr">
        <is>
          <t>CALCETÍN A WHITE</t>
        </is>
      </c>
      <c r="C3913" s="1" t="inlineStr">
        <is>
          <t>Default Title</t>
        </is>
      </c>
      <c r="D3913" s="1" t="inlineStr">
        <is>
          <t>08/06/2026</t>
        </is>
      </c>
      <c r="E3913" s="1" t="n">
        <v>2026</v>
      </c>
      <c r="F3913" s="1" t="inlineStr">
        <is>
          <t>JUNIO</t>
        </is>
      </c>
      <c r="G3913" s="1" t="inlineStr">
        <is>
          <t>ZOEY</t>
        </is>
      </c>
      <c r="H3913" s="1" t="inlineStr">
        <is>
          <t>ZOEY 08/06/2026</t>
        </is>
      </c>
      <c r="I3913" s="4" t="n">
        <v>1</v>
      </c>
      <c r="J3913" s="6" t="n">
        <v>5</v>
      </c>
      <c r="K3913" s="6" t="n">
        <v>122.5571823</v>
      </c>
      <c r="L3913" s="6">
        <f>I3913*K3913</f>
        <v/>
      </c>
      <c r="M3913" s="6">
        <f>K3913*4</f>
        <v/>
      </c>
      <c r="N3913" s="6" t="n">
        <v>499</v>
      </c>
    </row>
    <row r="3914">
      <c r="A3914" s="1" t="inlineStr">
        <is>
          <t>68089821024557</t>
        </is>
      </c>
      <c r="B3914" s="1" t="inlineStr">
        <is>
          <t>COLLAR T LOCK SILVER</t>
        </is>
      </c>
      <c r="C3914" s="1" t="inlineStr">
        <is>
          <t>Default Title</t>
        </is>
      </c>
      <c r="D3914" s="1" t="inlineStr">
        <is>
          <t>31/05/2026</t>
        </is>
      </c>
      <c r="E3914" s="1" t="n">
        <v>2026</v>
      </c>
      <c r="F3914" s="1" t="inlineStr">
        <is>
          <t>MAYO</t>
        </is>
      </c>
      <c r="G3914" s="1" t="inlineStr">
        <is>
          <t>NANCY</t>
        </is>
      </c>
      <c r="H3914" s="1" t="inlineStr">
        <is>
          <t>NANCY 31/05/2026</t>
        </is>
      </c>
      <c r="I3914" s="4" t="n">
        <v>2</v>
      </c>
      <c r="J3914" s="6" t="n">
        <v>7.59</v>
      </c>
      <c r="K3914" s="6" t="n">
        <v>184.1910059</v>
      </c>
      <c r="L3914" s="6">
        <f>I3914*K3914</f>
        <v/>
      </c>
      <c r="M3914" s="6">
        <f>K3914*4</f>
        <v/>
      </c>
      <c r="N3914" s="6" t="n">
        <v>0</v>
      </c>
    </row>
    <row r="3915">
      <c r="A3915" s="1" t="inlineStr">
        <is>
          <t>68089821121165</t>
        </is>
      </c>
      <c r="B3915" s="1" t="inlineStr">
        <is>
          <t>COLLAR T FULL HEART RETURN</t>
        </is>
      </c>
      <c r="C3915" s="1" t="inlineStr">
        <is>
          <t>Default Title</t>
        </is>
      </c>
      <c r="D3915" s="1" t="inlineStr">
        <is>
          <t>31/05/2026</t>
        </is>
      </c>
      <c r="E3915" s="1" t="n">
        <v>2026</v>
      </c>
      <c r="F3915" s="1" t="inlineStr">
        <is>
          <t>MAYO</t>
        </is>
      </c>
      <c r="G3915" s="1" t="inlineStr">
        <is>
          <t>NANCY</t>
        </is>
      </c>
      <c r="H3915" s="1" t="inlineStr">
        <is>
          <t>NANCY 31/05/2026</t>
        </is>
      </c>
      <c r="I3915" s="4" t="n">
        <v>2</v>
      </c>
      <c r="J3915" s="6" t="n">
        <v>5.19</v>
      </c>
      <c r="K3915" s="6" t="n">
        <v>125.9487906</v>
      </c>
      <c r="L3915" s="6">
        <f>I3915*K3915</f>
        <v/>
      </c>
      <c r="M3915" s="6">
        <f>K3915*4</f>
        <v/>
      </c>
      <c r="N3915" s="6" t="n">
        <v>0</v>
      </c>
    </row>
    <row r="3916">
      <c r="A3916" s="1" t="inlineStr">
        <is>
          <t>68089821250541</t>
        </is>
      </c>
      <c r="B3916" s="1" t="inlineStr">
        <is>
          <t>COLLAR T CON CIERRE DOBLE</t>
        </is>
      </c>
      <c r="C3916" s="1" t="inlineStr">
        <is>
          <t>Default Title</t>
        </is>
      </c>
      <c r="D3916" s="1" t="inlineStr">
        <is>
          <t>31/05/2026</t>
        </is>
      </c>
      <c r="E3916" s="1" t="n">
        <v>2026</v>
      </c>
      <c r="F3916" s="1" t="inlineStr">
        <is>
          <t>MAYO</t>
        </is>
      </c>
      <c r="G3916" s="1" t="inlineStr">
        <is>
          <t>NANCY</t>
        </is>
      </c>
      <c r="H3916" s="1" t="inlineStr">
        <is>
          <t>NANCY 31/05/2026</t>
        </is>
      </c>
      <c r="I3916" s="4" t="n">
        <v>2</v>
      </c>
      <c r="J3916" s="6" t="n">
        <v>6.99</v>
      </c>
      <c r="K3916" s="6" t="n">
        <v>169.6304521</v>
      </c>
      <c r="L3916" s="6">
        <f>I3916*K3916</f>
        <v/>
      </c>
      <c r="M3916" s="6">
        <f>K3916*4</f>
        <v/>
      </c>
      <c r="N3916" s="6" t="n">
        <v>0</v>
      </c>
    </row>
    <row r="3917">
      <c r="A3917" s="1" t="inlineStr">
        <is>
          <t>68089821383309</t>
        </is>
      </c>
      <c r="B3917" s="1" t="inlineStr">
        <is>
          <t>PULSERA T BEAN GOLD ZIRCONIAS</t>
        </is>
      </c>
      <c r="C3917" s="1" t="inlineStr">
        <is>
          <t>Default Title</t>
        </is>
      </c>
      <c r="D3917" s="1" t="inlineStr">
        <is>
          <t>31/05/2026</t>
        </is>
      </c>
      <c r="E3917" s="1" t="n">
        <v>2026</v>
      </c>
      <c r="F3917" s="1" t="inlineStr">
        <is>
          <t>MAYO</t>
        </is>
      </c>
      <c r="G3917" s="1" t="inlineStr">
        <is>
          <t>NANCY</t>
        </is>
      </c>
      <c r="H3917" s="1" t="inlineStr">
        <is>
          <t>NANCY 31/05/2026</t>
        </is>
      </c>
      <c r="I3917" s="4" t="n">
        <v>3</v>
      </c>
      <c r="J3917" s="6" t="n">
        <v>8.890000000000001</v>
      </c>
      <c r="K3917" s="6" t="n">
        <v>215.7388725</v>
      </c>
      <c r="L3917" s="6">
        <f>I3917*K3917</f>
        <v/>
      </c>
      <c r="M3917" s="6">
        <f>K3917*4</f>
        <v/>
      </c>
      <c r="N3917" s="6" t="n">
        <v>0</v>
      </c>
    </row>
    <row r="3918">
      <c r="A3918" s="1" t="inlineStr">
        <is>
          <t>68089821479917</t>
        </is>
      </c>
      <c r="B3918" s="1" t="inlineStr">
        <is>
          <t>PULSERA T BEAN SILVER ZIRCONIAS</t>
        </is>
      </c>
      <c r="C3918" s="1" t="inlineStr">
        <is>
          <t>Default Title</t>
        </is>
      </c>
      <c r="D3918" s="1" t="inlineStr">
        <is>
          <t>31/05/2026</t>
        </is>
      </c>
      <c r="E3918" s="1" t="n">
        <v>2026</v>
      </c>
      <c r="F3918" s="1" t="inlineStr">
        <is>
          <t>MAYO</t>
        </is>
      </c>
      <c r="G3918" s="1" t="inlineStr">
        <is>
          <t>NANCY</t>
        </is>
      </c>
      <c r="H3918" s="1" t="inlineStr">
        <is>
          <t>NANCY 31/05/2026</t>
        </is>
      </c>
      <c r="I3918" s="4" t="n">
        <v>3</v>
      </c>
      <c r="J3918" s="6" t="n">
        <v>8.890000000000001</v>
      </c>
      <c r="K3918" s="6" t="n">
        <v>215.7388725</v>
      </c>
      <c r="L3918" s="6">
        <f>I3918*K3918</f>
        <v/>
      </c>
      <c r="M3918" s="6">
        <f>K3918*4</f>
        <v/>
      </c>
      <c r="N3918" s="6" t="n">
        <v>0</v>
      </c>
    </row>
    <row r="3919">
      <c r="A3919" s="1" t="inlineStr">
        <is>
          <t>68089821542061</t>
        </is>
      </c>
      <c r="B3919" s="1" t="inlineStr">
        <is>
          <t>COLLAR T SIXTEEN STONE SILVER BLUE</t>
        </is>
      </c>
      <c r="C3919" s="1" t="inlineStr">
        <is>
          <t>Default Title</t>
        </is>
      </c>
      <c r="D3919" s="1" t="inlineStr">
        <is>
          <t>31/05/2026</t>
        </is>
      </c>
      <c r="E3919" s="1" t="n">
        <v>2026</v>
      </c>
      <c r="F3919" s="1" t="inlineStr">
        <is>
          <t>MAYO</t>
        </is>
      </c>
      <c r="G3919" s="1" t="inlineStr">
        <is>
          <t>NANCY</t>
        </is>
      </c>
      <c r="H3919" s="1" t="inlineStr">
        <is>
          <t>NANCY 31/05/2026</t>
        </is>
      </c>
      <c r="I3919" s="4" t="n">
        <v>2</v>
      </c>
      <c r="J3919" s="6" t="n">
        <v>8.19</v>
      </c>
      <c r="K3919" s="6" t="n">
        <v>198.7515597</v>
      </c>
      <c r="L3919" s="6">
        <f>I3919*K3919</f>
        <v/>
      </c>
      <c r="M3919" s="6">
        <f>K3919*4</f>
        <v/>
      </c>
      <c r="N3919" s="6" t="n">
        <v>0</v>
      </c>
    </row>
    <row r="3920">
      <c r="A3920" s="1" t="inlineStr">
        <is>
          <t>68089821636973</t>
        </is>
      </c>
      <c r="B3920" s="1" t="inlineStr">
        <is>
          <t>COLLAR T PALOMA PICASSO</t>
        </is>
      </c>
      <c r="C3920" s="1" t="inlineStr">
        <is>
          <t>Default Title</t>
        </is>
      </c>
      <c r="D3920" s="1" t="inlineStr">
        <is>
          <t>31/05/2026</t>
        </is>
      </c>
      <c r="E3920" s="1" t="n">
        <v>2026</v>
      </c>
      <c r="F3920" s="1" t="inlineStr">
        <is>
          <t>MAYO</t>
        </is>
      </c>
      <c r="G3920" s="1" t="inlineStr">
        <is>
          <t>NANCY</t>
        </is>
      </c>
      <c r="H3920" s="1" t="inlineStr">
        <is>
          <t>NANCY 31/05/2026</t>
        </is>
      </c>
      <c r="I3920" s="4" t="n">
        <v>2</v>
      </c>
      <c r="J3920" s="6" t="n">
        <v>6.59</v>
      </c>
      <c r="K3920" s="6" t="n">
        <v>159.9234162</v>
      </c>
      <c r="L3920" s="6">
        <f>I3920*K3920</f>
        <v/>
      </c>
      <c r="M3920" s="6">
        <f>K3920*4</f>
        <v/>
      </c>
      <c r="N3920" s="6" t="n">
        <v>0</v>
      </c>
    </row>
    <row r="3921">
      <c r="A3921" s="1" t="inlineStr">
        <is>
          <t>68089821735277</t>
        </is>
      </c>
      <c r="B3921" s="1" t="inlineStr">
        <is>
          <t>COLLAR T TIPO LAZO OPEN HEART ROSE GOLD</t>
        </is>
      </c>
      <c r="C3921" s="1" t="inlineStr">
        <is>
          <t>Default Title</t>
        </is>
      </c>
      <c r="D3921" s="1" t="inlineStr">
        <is>
          <t>31/05/2026</t>
        </is>
      </c>
      <c r="E3921" s="1" t="n">
        <v>2026</v>
      </c>
      <c r="F3921" s="1" t="inlineStr">
        <is>
          <t>MAYO</t>
        </is>
      </c>
      <c r="G3921" s="1" t="inlineStr">
        <is>
          <t>NANCY</t>
        </is>
      </c>
      <c r="H3921" s="1" t="inlineStr">
        <is>
          <t>NANCY 31/05/2026</t>
        </is>
      </c>
      <c r="I3921" s="4" t="n">
        <v>2</v>
      </c>
      <c r="J3921" s="6" t="n">
        <v>7.29</v>
      </c>
      <c r="K3921" s="6" t="n">
        <v>176.910729</v>
      </c>
      <c r="L3921" s="6">
        <f>I3921*K3921</f>
        <v/>
      </c>
      <c r="M3921" s="6">
        <f>K3921*4</f>
        <v/>
      </c>
      <c r="N3921" s="6" t="n">
        <v>0</v>
      </c>
    </row>
    <row r="3922">
      <c r="A3922" s="1" t="inlineStr">
        <is>
          <t>68089821833581</t>
        </is>
      </c>
      <c r="B3922" s="1" t="inlineStr">
        <is>
          <t>ARETES T LOCK ALL GOLD</t>
        </is>
      </c>
      <c r="C3922" s="1" t="inlineStr">
        <is>
          <t>Default Title</t>
        </is>
      </c>
      <c r="D3922" s="1" t="inlineStr">
        <is>
          <t>31/05/2026</t>
        </is>
      </c>
      <c r="E3922" s="1" t="n">
        <v>2026</v>
      </c>
      <c r="F3922" s="1" t="inlineStr">
        <is>
          <t>MAYO</t>
        </is>
      </c>
      <c r="G3922" s="1" t="inlineStr">
        <is>
          <t>NANCY</t>
        </is>
      </c>
      <c r="H3922" s="1" t="inlineStr">
        <is>
          <t>NANCY 31/05/2026</t>
        </is>
      </c>
      <c r="I3922" s="4" t="n">
        <v>2</v>
      </c>
      <c r="J3922" s="6" t="n">
        <v>7.69</v>
      </c>
      <c r="K3922" s="6" t="n">
        <v>186.6177649</v>
      </c>
      <c r="L3922" s="6">
        <f>I3922*K3922</f>
        <v/>
      </c>
      <c r="M3922" s="6">
        <f>K3922*4</f>
        <v/>
      </c>
      <c r="N3922" s="6" t="n">
        <v>0</v>
      </c>
    </row>
    <row r="3923">
      <c r="A3923" s="1" t="inlineStr">
        <is>
          <t>68089821931885</t>
        </is>
      </c>
      <c r="B3923" s="1" t="inlineStr">
        <is>
          <t>ARRACADAS SIXTEEN STONE</t>
        </is>
      </c>
      <c r="C3923" s="1" t="inlineStr">
        <is>
          <t>Default Title</t>
        </is>
      </c>
      <c r="D3923" s="1" t="inlineStr">
        <is>
          <t>31/05/2026</t>
        </is>
      </c>
      <c r="E3923" s="1" t="n">
        <v>2026</v>
      </c>
      <c r="F3923" s="1" t="inlineStr">
        <is>
          <t>MAYO</t>
        </is>
      </c>
      <c r="G3923" s="1" t="inlineStr">
        <is>
          <t>NANCY</t>
        </is>
      </c>
      <c r="H3923" s="1" t="inlineStr">
        <is>
          <t>NANCY 31/05/2026</t>
        </is>
      </c>
      <c r="I3923" s="4" t="n">
        <v>2</v>
      </c>
      <c r="J3923" s="6" t="n">
        <v>6.59</v>
      </c>
      <c r="K3923" s="6" t="n">
        <v>159.9234162</v>
      </c>
      <c r="L3923" s="6">
        <f>I3923*K3923</f>
        <v/>
      </c>
      <c r="M3923" s="6">
        <f>K3923*4</f>
        <v/>
      </c>
      <c r="N3923" s="6" t="n">
        <v>0</v>
      </c>
    </row>
    <row r="3924">
      <c r="A3924" s="1" t="inlineStr">
        <is>
          <t>68089822030189</t>
        </is>
      </c>
      <c r="B3924" s="1" t="inlineStr">
        <is>
          <t>ARETES T LOCK ROSE GOLD</t>
        </is>
      </c>
      <c r="C3924" s="1" t="inlineStr">
        <is>
          <t>Default Title</t>
        </is>
      </c>
      <c r="D3924" s="1" t="inlineStr">
        <is>
          <t>31/05/2026</t>
        </is>
      </c>
      <c r="E3924" s="1" t="n">
        <v>2026</v>
      </c>
      <c r="F3924" s="1" t="inlineStr">
        <is>
          <t>MAYO</t>
        </is>
      </c>
      <c r="G3924" s="1" t="inlineStr">
        <is>
          <t>NANCY</t>
        </is>
      </c>
      <c r="H3924" s="1" t="inlineStr">
        <is>
          <t>NANCY 31/05/2026</t>
        </is>
      </c>
      <c r="I3924" s="4" t="n">
        <v>2</v>
      </c>
      <c r="J3924" s="6" t="n">
        <v>7.69</v>
      </c>
      <c r="K3924" s="6" t="n">
        <v>186.6177649</v>
      </c>
      <c r="L3924" s="6">
        <f>I3924*K3924</f>
        <v/>
      </c>
      <c r="M3924" s="6">
        <f>K3924*4</f>
        <v/>
      </c>
      <c r="N3924" s="6" t="n">
        <v>0</v>
      </c>
    </row>
    <row r="3925">
      <c r="A3925" s="1" t="inlineStr">
        <is>
          <t>68089822125101</t>
        </is>
      </c>
      <c r="B3925" s="1" t="inlineStr">
        <is>
          <t>ARETES T LOCK ROSE GOLD HALF ZIRCONIAS</t>
        </is>
      </c>
      <c r="C3925" s="1" t="inlineStr">
        <is>
          <t>Default Title</t>
        </is>
      </c>
      <c r="D3925" s="1" t="inlineStr">
        <is>
          <t>31/05/2026</t>
        </is>
      </c>
      <c r="E3925" s="1" t="n">
        <v>2026</v>
      </c>
      <c r="F3925" s="1" t="inlineStr">
        <is>
          <t>MAYO</t>
        </is>
      </c>
      <c r="G3925" s="1" t="inlineStr">
        <is>
          <t>NANCY</t>
        </is>
      </c>
      <c r="H3925" s="1" t="inlineStr">
        <is>
          <t>NANCY 31/05/2026</t>
        </is>
      </c>
      <c r="I3925" s="4" t="n">
        <v>2</v>
      </c>
      <c r="J3925" s="6" t="n">
        <v>8.19</v>
      </c>
      <c r="K3925" s="6" t="n">
        <v>198.7515597</v>
      </c>
      <c r="L3925" s="6">
        <f>I3925*K3925</f>
        <v/>
      </c>
      <c r="M3925" s="6">
        <f>K3925*4</f>
        <v/>
      </c>
      <c r="N3925" s="6" t="n">
        <v>0</v>
      </c>
    </row>
    <row r="3926">
      <c r="A3926" s="1" t="inlineStr">
        <is>
          <t>68089822295725</t>
        </is>
      </c>
      <c r="B3926" s="1" t="inlineStr">
        <is>
          <t>ARETES T LOCK SILVER</t>
        </is>
      </c>
      <c r="C3926" s="1" t="inlineStr">
        <is>
          <t>Default Title</t>
        </is>
      </c>
      <c r="D3926" s="1" t="inlineStr">
        <is>
          <t>31/05/2026</t>
        </is>
      </c>
      <c r="E3926" s="1" t="n">
        <v>2026</v>
      </c>
      <c r="F3926" s="1" t="inlineStr">
        <is>
          <t>MAYO</t>
        </is>
      </c>
      <c r="G3926" s="1" t="inlineStr">
        <is>
          <t>NANCY</t>
        </is>
      </c>
      <c r="H3926" s="1" t="inlineStr">
        <is>
          <t>NANCY 31/05/2026</t>
        </is>
      </c>
      <c r="I3926" s="4" t="n">
        <v>2</v>
      </c>
      <c r="J3926" s="6" t="n">
        <v>7.69</v>
      </c>
      <c r="K3926" s="6" t="n">
        <v>186.6177649</v>
      </c>
      <c r="L3926" s="6">
        <f>I3926*K3926</f>
        <v/>
      </c>
      <c r="M3926" s="6">
        <f>K3926*4</f>
        <v/>
      </c>
      <c r="N3926" s="6" t="n">
        <v>0</v>
      </c>
    </row>
    <row r="3927">
      <c r="A3927" s="1" t="inlineStr">
        <is>
          <t>68089822361261</t>
        </is>
      </c>
      <c r="B3927" s="1" t="inlineStr">
        <is>
          <t>ARETES T LOCK SILVER HALF ZIRCONIAS</t>
        </is>
      </c>
      <c r="C3927" s="1" t="inlineStr">
        <is>
          <t>Default Title</t>
        </is>
      </c>
      <c r="D3927" s="1" t="inlineStr">
        <is>
          <t>31/05/2026</t>
        </is>
      </c>
      <c r="E3927" s="1" t="n">
        <v>2026</v>
      </c>
      <c r="F3927" s="1" t="inlineStr">
        <is>
          <t>MAYO</t>
        </is>
      </c>
      <c r="G3927" s="1" t="inlineStr">
        <is>
          <t>NANCY</t>
        </is>
      </c>
      <c r="H3927" s="1" t="inlineStr">
        <is>
          <t>NANCY 31/05/2026</t>
        </is>
      </c>
      <c r="I3927" s="4" t="n">
        <v>2</v>
      </c>
      <c r="J3927" s="6" t="n">
        <v>8.19</v>
      </c>
      <c r="K3927" s="6" t="n">
        <v>198.7515597</v>
      </c>
      <c r="L3927" s="6">
        <f>I3927*K3927</f>
        <v/>
      </c>
      <c r="M3927" s="6">
        <f>K3927*4</f>
        <v/>
      </c>
      <c r="N3927" s="6" t="n">
        <v>0</v>
      </c>
    </row>
    <row r="3928">
      <c r="A3928" s="1" t="inlineStr">
        <is>
          <t>68089822457869</t>
        </is>
      </c>
      <c r="B3928" s="1" t="inlineStr">
        <is>
          <t>ARETES T LOCK GOLD HALF ZIRCONIAS</t>
        </is>
      </c>
      <c r="C3928" s="1" t="inlineStr">
        <is>
          <t>Default Title</t>
        </is>
      </c>
      <c r="D3928" s="1" t="inlineStr">
        <is>
          <t>31/05/2026</t>
        </is>
      </c>
      <c r="E3928" s="1" t="n">
        <v>2026</v>
      </c>
      <c r="F3928" s="1" t="inlineStr">
        <is>
          <t>MAYO</t>
        </is>
      </c>
      <c r="G3928" s="1" t="inlineStr">
        <is>
          <t>NANCY</t>
        </is>
      </c>
      <c r="H3928" s="1" t="inlineStr">
        <is>
          <t>NANCY 31/05/2026</t>
        </is>
      </c>
      <c r="I3928" s="4" t="n">
        <v>2</v>
      </c>
      <c r="J3928" s="6" t="n">
        <v>8.19</v>
      </c>
      <c r="K3928" s="6" t="n">
        <v>198.7515597</v>
      </c>
      <c r="L3928" s="6">
        <f>I3928*K3928</f>
        <v/>
      </c>
      <c r="M3928" s="6">
        <f>K3928*4</f>
        <v/>
      </c>
      <c r="N3928" s="6" t="n">
        <v>0</v>
      </c>
    </row>
    <row r="3929">
      <c r="A3929" s="1" t="inlineStr">
        <is>
          <t>68089822523405</t>
        </is>
      </c>
      <c r="B3929" s="1" t="inlineStr">
        <is>
          <t>ARETES T BEAN SILVER ZIRCONIAS</t>
        </is>
      </c>
      <c r="C3929" s="1" t="inlineStr">
        <is>
          <t>Default Title</t>
        </is>
      </c>
      <c r="D3929" s="1" t="inlineStr">
        <is>
          <t>31/05/2026</t>
        </is>
      </c>
      <c r="E3929" s="1" t="n">
        <v>2026</v>
      </c>
      <c r="F3929" s="1" t="inlineStr">
        <is>
          <t>MAYO</t>
        </is>
      </c>
      <c r="G3929" s="1" t="inlineStr">
        <is>
          <t>NANCY</t>
        </is>
      </c>
      <c r="H3929" s="1" t="inlineStr">
        <is>
          <t>NANCY 31/05/2026</t>
        </is>
      </c>
      <c r="I3929" s="4" t="n">
        <v>3</v>
      </c>
      <c r="J3929" s="6" t="n">
        <v>7.99</v>
      </c>
      <c r="K3929" s="6" t="n">
        <v>193.8980418</v>
      </c>
      <c r="L3929" s="6">
        <f>I3929*K3929</f>
        <v/>
      </c>
      <c r="M3929" s="6">
        <f>K3929*4</f>
        <v/>
      </c>
      <c r="N3929" s="6" t="n">
        <v>0</v>
      </c>
    </row>
    <row r="3930">
      <c r="A3930" s="1" t="inlineStr">
        <is>
          <t>68089822523405</t>
        </is>
      </c>
      <c r="B3930" s="1" t="inlineStr">
        <is>
          <t>ARETES T BEAN SILVER ZIRCONIAS</t>
        </is>
      </c>
      <c r="C3930" s="1" t="inlineStr">
        <is>
          <t>Default Title</t>
        </is>
      </c>
      <c r="D3930" s="1" t="inlineStr">
        <is>
          <t>31/05/2026</t>
        </is>
      </c>
      <c r="E3930" s="1" t="n">
        <v>2026</v>
      </c>
      <c r="F3930" s="1" t="inlineStr">
        <is>
          <t>MAYO</t>
        </is>
      </c>
      <c r="G3930" s="1" t="inlineStr">
        <is>
          <t>NANCY</t>
        </is>
      </c>
      <c r="H3930" s="1" t="inlineStr">
        <is>
          <t>NANCY 31/05/2026</t>
        </is>
      </c>
      <c r="I3930" s="4" t="n">
        <v>3</v>
      </c>
      <c r="J3930" s="6" t="n">
        <v>7.99</v>
      </c>
      <c r="K3930" s="6" t="n">
        <v>193.8980418</v>
      </c>
      <c r="L3930" s="6">
        <f>I3930*K3930</f>
        <v/>
      </c>
      <c r="M3930" s="6">
        <f>K3930*4</f>
        <v/>
      </c>
      <c r="N3930" s="6" t="n">
        <v>0</v>
      </c>
    </row>
    <row r="3931">
      <c r="A3931" s="1" t="inlineStr">
        <is>
          <t>68089822656173</t>
        </is>
      </c>
      <c r="B3931" s="1" t="inlineStr">
        <is>
          <t>BRAZALETE T 1837</t>
        </is>
      </c>
      <c r="C3931" s="1" t="inlineStr">
        <is>
          <t>Default Title</t>
        </is>
      </c>
      <c r="D3931" s="1" t="inlineStr">
        <is>
          <t>31/05/2026</t>
        </is>
      </c>
      <c r="E3931" s="1" t="n">
        <v>2026</v>
      </c>
      <c r="F3931" s="1" t="inlineStr">
        <is>
          <t>MAYO</t>
        </is>
      </c>
      <c r="G3931" s="1" t="inlineStr">
        <is>
          <t>NANCY</t>
        </is>
      </c>
      <c r="H3931" s="1" t="inlineStr">
        <is>
          <t>NANCY 31/05/2026</t>
        </is>
      </c>
      <c r="I3931" s="4" t="n">
        <v>2</v>
      </c>
      <c r="J3931" s="6" t="n">
        <v>7.99</v>
      </c>
      <c r="K3931" s="6" t="n">
        <v>193.8980418</v>
      </c>
      <c r="L3931" s="6">
        <f>I3931*K3931</f>
        <v/>
      </c>
      <c r="M3931" s="6">
        <f>K3931*4</f>
        <v/>
      </c>
      <c r="N3931" s="6" t="n">
        <v>0</v>
      </c>
    </row>
    <row r="3932">
      <c r="A3932" s="1" t="inlineStr">
        <is>
          <t>68089822787245</t>
        </is>
      </c>
      <c r="B3932" s="1" t="inlineStr">
        <is>
          <t>BRAZALETE T ENTRELAZADOS</t>
        </is>
      </c>
      <c r="C3932" s="1" t="inlineStr">
        <is>
          <t>Default Title</t>
        </is>
      </c>
      <c r="D3932" s="1" t="inlineStr">
        <is>
          <t>31/05/2026</t>
        </is>
      </c>
      <c r="E3932" s="1" t="n">
        <v>2026</v>
      </c>
      <c r="F3932" s="1" t="inlineStr">
        <is>
          <t>MAYO</t>
        </is>
      </c>
      <c r="G3932" s="1" t="inlineStr">
        <is>
          <t>NANCY</t>
        </is>
      </c>
      <c r="H3932" s="1" t="inlineStr">
        <is>
          <t>NANCY 31/05/2026</t>
        </is>
      </c>
      <c r="I3932" s="4" t="n">
        <v>3</v>
      </c>
      <c r="J3932" s="6" t="n">
        <v>7.99</v>
      </c>
      <c r="K3932" s="6" t="n">
        <v>193.8980418</v>
      </c>
      <c r="L3932" s="6">
        <f>I3932*K3932</f>
        <v/>
      </c>
      <c r="M3932" s="6">
        <f>K3932*4</f>
        <v/>
      </c>
      <c r="N3932" s="6" t="n">
        <v>0</v>
      </c>
    </row>
    <row r="3933">
      <c r="A3933" s="1" t="inlineStr">
        <is>
          <t>68089822818317</t>
        </is>
      </c>
      <c r="B3933" s="1" t="inlineStr">
        <is>
          <t>PULSERA T LOCK SILVER ALL ZIRCONIAS</t>
        </is>
      </c>
      <c r="C3933" s="1" t="inlineStr">
        <is>
          <t>Default Title</t>
        </is>
      </c>
      <c r="D3933" s="1" t="inlineStr">
        <is>
          <t>31/05/2026</t>
        </is>
      </c>
      <c r="E3933" s="1" t="n">
        <v>2026</v>
      </c>
      <c r="F3933" s="1" t="inlineStr">
        <is>
          <t>MAYO</t>
        </is>
      </c>
      <c r="G3933" s="1" t="inlineStr">
        <is>
          <t>NANCY</t>
        </is>
      </c>
      <c r="H3933" s="1" t="inlineStr">
        <is>
          <t>NANCY 31/05/2026</t>
        </is>
      </c>
      <c r="I3933" s="4" t="n">
        <v>2</v>
      </c>
      <c r="J3933" s="6" t="n">
        <v>14.39</v>
      </c>
      <c r="K3933" s="6" t="n">
        <v>349.2106159</v>
      </c>
      <c r="L3933" s="6">
        <f>I3933*K3933</f>
        <v/>
      </c>
      <c r="M3933" s="6">
        <f>K3933*4</f>
        <v/>
      </c>
      <c r="N3933" s="6" t="n">
        <v>0</v>
      </c>
    </row>
    <row r="3934">
      <c r="A3934" s="1" t="inlineStr">
        <is>
          <t>68089822914925</t>
        </is>
      </c>
      <c r="B3934" s="1" t="inlineStr">
        <is>
          <t>BRAZALETE T PERLAS TITAN</t>
        </is>
      </c>
      <c r="C3934" s="1" t="inlineStr">
        <is>
          <t>Default Title</t>
        </is>
      </c>
      <c r="D3934" s="1" t="inlineStr">
        <is>
          <t>31/05/2026</t>
        </is>
      </c>
      <c r="E3934" s="1" t="n">
        <v>2026</v>
      </c>
      <c r="F3934" s="1" t="inlineStr">
        <is>
          <t>MAYO</t>
        </is>
      </c>
      <c r="G3934" s="1" t="inlineStr">
        <is>
          <t>NANCY</t>
        </is>
      </c>
      <c r="H3934" s="1" t="inlineStr">
        <is>
          <t>NANCY 31/05/2026</t>
        </is>
      </c>
      <c r="I3934" s="4" t="n">
        <v>2</v>
      </c>
      <c r="J3934" s="6" t="n">
        <v>8.59</v>
      </c>
      <c r="K3934" s="6" t="n">
        <v>208.4585956</v>
      </c>
      <c r="L3934" s="6">
        <f>I3934*K3934</f>
        <v/>
      </c>
      <c r="M3934" s="6">
        <f>K3934*4</f>
        <v/>
      </c>
      <c r="N3934" s="6" t="n">
        <v>0</v>
      </c>
    </row>
    <row r="3935">
      <c r="A3935" s="1" t="inlineStr">
        <is>
          <t>68089823011533</t>
        </is>
      </c>
      <c r="B3935" s="1" t="inlineStr">
        <is>
          <t>PULSERA T FULL HEART</t>
        </is>
      </c>
      <c r="C3935" s="1" t="inlineStr">
        <is>
          <t>Default Title</t>
        </is>
      </c>
      <c r="D3935" s="1" t="inlineStr">
        <is>
          <t>31/05/2026</t>
        </is>
      </c>
      <c r="E3935" s="1" t="n">
        <v>2026</v>
      </c>
      <c r="F3935" s="1" t="inlineStr">
        <is>
          <t>MAYO</t>
        </is>
      </c>
      <c r="G3935" s="1" t="inlineStr">
        <is>
          <t>NANCY</t>
        </is>
      </c>
      <c r="H3935" s="1" t="inlineStr">
        <is>
          <t>NANCY 31/05/2026</t>
        </is>
      </c>
      <c r="I3935" s="4" t="n">
        <v>2</v>
      </c>
      <c r="J3935" s="6" t="n">
        <v>7.59</v>
      </c>
      <c r="K3935" s="6" t="n">
        <v>184.1910059</v>
      </c>
      <c r="L3935" s="6">
        <f>I3935*K3935</f>
        <v/>
      </c>
      <c r="M3935" s="6">
        <f>K3935*4</f>
        <v/>
      </c>
      <c r="N3935" s="6" t="n">
        <v>0</v>
      </c>
    </row>
    <row r="3936">
      <c r="A3936" s="1" t="inlineStr">
        <is>
          <t>68089823108141</t>
        </is>
      </c>
      <c r="B3936" s="1" t="inlineStr">
        <is>
          <t>PULSERA SMILE DE TELA RED</t>
        </is>
      </c>
      <c r="C3936" s="1" t="inlineStr">
        <is>
          <t>Default Title</t>
        </is>
      </c>
      <c r="D3936" s="1" t="inlineStr">
        <is>
          <t>31/05/2026</t>
        </is>
      </c>
      <c r="E3936" s="1" t="n">
        <v>2026</v>
      </c>
      <c r="F3936" s="1" t="inlineStr">
        <is>
          <t>MAYO</t>
        </is>
      </c>
      <c r="G3936" s="1" t="inlineStr">
        <is>
          <t>NANCY</t>
        </is>
      </c>
      <c r="H3936" s="1" t="inlineStr">
        <is>
          <t>NANCY 31/05/2026</t>
        </is>
      </c>
      <c r="I3936" s="4" t="n">
        <v>2</v>
      </c>
      <c r="J3936" s="6" t="n">
        <v>6.69</v>
      </c>
      <c r="K3936" s="6" t="n">
        <v>162.3501752</v>
      </c>
      <c r="L3936" s="6">
        <f>I3936*K3936</f>
        <v/>
      </c>
      <c r="M3936" s="6">
        <f>K3936*4</f>
        <v/>
      </c>
      <c r="N3936" s="6" t="n">
        <v>0</v>
      </c>
    </row>
    <row r="3937">
      <c r="A3937" s="1" t="inlineStr">
        <is>
          <t>68089823204749</t>
        </is>
      </c>
      <c r="B3937" s="1" t="inlineStr">
        <is>
          <t>PULSERA SMILE DE TELA BABY BLUE</t>
        </is>
      </c>
      <c r="C3937" s="1" t="inlineStr">
        <is>
          <t>Default Title</t>
        </is>
      </c>
      <c r="D3937" s="1" t="inlineStr">
        <is>
          <t>31/05/2026</t>
        </is>
      </c>
      <c r="E3937" s="1" t="n">
        <v>2026</v>
      </c>
      <c r="F3937" s="1" t="inlineStr">
        <is>
          <t>MAYO</t>
        </is>
      </c>
      <c r="G3937" s="1" t="inlineStr">
        <is>
          <t>NANCY</t>
        </is>
      </c>
      <c r="H3937" s="1" t="inlineStr">
        <is>
          <t>NANCY 31/05/2026</t>
        </is>
      </c>
      <c r="I3937" s="4" t="n">
        <v>2</v>
      </c>
      <c r="J3937" s="6" t="n">
        <v>6.69</v>
      </c>
      <c r="K3937" s="6" t="n">
        <v>162.3501752</v>
      </c>
      <c r="L3937" s="6">
        <f>I3937*K3937</f>
        <v/>
      </c>
      <c r="M3937" s="6">
        <f>K3937*4</f>
        <v/>
      </c>
      <c r="N3937" s="6" t="n">
        <v>0</v>
      </c>
    </row>
    <row r="3938">
      <c r="A3938" s="1" t="inlineStr">
        <is>
          <t>68089823313165</t>
        </is>
      </c>
      <c r="B3938" s="1" t="inlineStr">
        <is>
          <t>PULSERA T KNOT DELGADA SILVER ALL ZIRCONIAS</t>
        </is>
      </c>
      <c r="C3938" s="1" t="inlineStr">
        <is>
          <t>Default Title</t>
        </is>
      </c>
      <c r="D3938" s="1" t="inlineStr">
        <is>
          <t>31/05/2026</t>
        </is>
      </c>
      <c r="E3938" s="1" t="n">
        <v>2026</v>
      </c>
      <c r="F3938" s="1" t="inlineStr">
        <is>
          <t>MAYO</t>
        </is>
      </c>
      <c r="G3938" s="1" t="inlineStr">
        <is>
          <t>NANCY</t>
        </is>
      </c>
      <c r="H3938" s="1" t="inlineStr">
        <is>
          <t>NANCY 31/05/2026</t>
        </is>
      </c>
      <c r="I3938" s="4" t="n">
        <v>2</v>
      </c>
      <c r="J3938" s="6" t="n">
        <v>7.99</v>
      </c>
      <c r="K3938" s="6" t="n">
        <v>193.8980418</v>
      </c>
      <c r="L3938" s="6">
        <f>I3938*K3938</f>
        <v/>
      </c>
      <c r="M3938" s="6">
        <f>K3938*4</f>
        <v/>
      </c>
      <c r="N3938" s="6" t="n">
        <v>0</v>
      </c>
    </row>
    <row r="3939">
      <c r="A3939" s="1" t="inlineStr">
        <is>
          <t>68089823403053</t>
        </is>
      </c>
      <c r="B3939" s="1" t="inlineStr">
        <is>
          <t>PULSERA T KNOT DELGADA SILVER ZIRCONIAS</t>
        </is>
      </c>
      <c r="C3939" s="1" t="inlineStr">
        <is>
          <t>Default Title</t>
        </is>
      </c>
      <c r="D3939" s="1" t="inlineStr">
        <is>
          <t>31/05/2026</t>
        </is>
      </c>
      <c r="E3939" s="1" t="n">
        <v>2026</v>
      </c>
      <c r="F3939" s="1" t="inlineStr">
        <is>
          <t>MAYO</t>
        </is>
      </c>
      <c r="G3939" s="1" t="inlineStr">
        <is>
          <t>NANCY</t>
        </is>
      </c>
      <c r="H3939" s="1" t="inlineStr">
        <is>
          <t>NANCY 31/05/2026</t>
        </is>
      </c>
      <c r="I3939" s="4" t="n">
        <v>2</v>
      </c>
      <c r="J3939" s="6" t="n">
        <v>7.49</v>
      </c>
      <c r="K3939" s="6" t="n">
        <v>181.7642469</v>
      </c>
      <c r="L3939" s="6">
        <f>I3939*K3939</f>
        <v/>
      </c>
      <c r="M3939" s="6">
        <f>K3939*4</f>
        <v/>
      </c>
      <c r="N3939" s="6" t="n">
        <v>0</v>
      </c>
    </row>
    <row r="3940">
      <c r="A3940" s="1" t="inlineStr">
        <is>
          <t>68339221065441</t>
        </is>
      </c>
      <c r="B3940" s="1" t="n"/>
      <c r="C3940" s="1" t="inlineStr">
        <is>
          <t>42 (26cm)</t>
        </is>
      </c>
      <c r="D3940" s="1" t="inlineStr">
        <is>
          <t>18/02/2026</t>
        </is>
      </c>
      <c r="E3940" s="1" t="n">
        <v>2026</v>
      </c>
      <c r="F3940" s="1" t="inlineStr">
        <is>
          <t>FEBRERO</t>
        </is>
      </c>
      <c r="G3940" s="1" t="inlineStr">
        <is>
          <t>CYNTHIA</t>
        </is>
      </c>
      <c r="H3940" s="1" t="inlineStr">
        <is>
          <t>CYNTHIA 18/02/2026</t>
        </is>
      </c>
      <c r="I3940" s="4" t="n">
        <v>2</v>
      </c>
      <c r="J3940" s="6" t="n">
        <v>30</v>
      </c>
      <c r="K3940" s="6" t="n">
        <v>811.300956</v>
      </c>
      <c r="L3940" s="6">
        <f>I3940*K3940</f>
        <v/>
      </c>
      <c r="M3940" s="6">
        <f>K3940*4</f>
        <v/>
      </c>
      <c r="N3940" s="6" t="n">
        <v>3189</v>
      </c>
    </row>
    <row r="3941">
      <c r="A3941" s="1" t="inlineStr">
        <is>
          <t>68339221065441</t>
        </is>
      </c>
      <c r="B3941" s="1" t="inlineStr">
        <is>
          <t>SANDALIAS H BLUE</t>
        </is>
      </c>
      <c r="C3941" s="1" t="inlineStr">
        <is>
          <t>42 (26cm)</t>
        </is>
      </c>
      <c r="D3941" s="1" t="inlineStr">
        <is>
          <t>31/05/2026</t>
        </is>
      </c>
      <c r="E3941" s="1" t="n">
        <v>2026</v>
      </c>
      <c r="F3941" s="1" t="inlineStr">
        <is>
          <t>MAYO</t>
        </is>
      </c>
      <c r="G3941" s="1" t="inlineStr">
        <is>
          <t>CYNTHIA</t>
        </is>
      </c>
      <c r="H3941" s="1" t="inlineStr">
        <is>
          <t>CYNTHIA 31/05/2026</t>
        </is>
      </c>
      <c r="I3941" s="4" t="n">
        <v>3</v>
      </c>
      <c r="J3941" s="6" t="n">
        <v>30</v>
      </c>
      <c r="K3941" s="6" t="n">
        <v>795.0313493</v>
      </c>
      <c r="L3941" s="6">
        <f>I3941*K3941</f>
        <v/>
      </c>
      <c r="M3941" s="6">
        <f>K3941*4</f>
        <v/>
      </c>
      <c r="N3941" s="6" t="n">
        <v>3189</v>
      </c>
    </row>
    <row r="3942">
      <c r="A3942" s="1" t="inlineStr">
        <is>
          <t>68374516907020</t>
        </is>
      </c>
      <c r="B3942" s="1" t="inlineStr">
        <is>
          <t>BOLSO C CLAUDE BLACK</t>
        </is>
      </c>
      <c r="C3942" s="1" t="inlineStr">
        <is>
          <t>21.5cm de largo x 11.5cm de alto x 4.5cm de ancho</t>
        </is>
      </c>
      <c r="D3942" s="1" t="inlineStr">
        <is>
          <t>01/09/2025</t>
        </is>
      </c>
      <c r="E3942" s="1" t="n">
        <v>2025</v>
      </c>
      <c r="F3942" s="1" t="inlineStr">
        <is>
          <t>SEPTIEMBRE</t>
        </is>
      </c>
      <c r="G3942" s="1" t="inlineStr">
        <is>
          <t>ZOEY</t>
        </is>
      </c>
      <c r="H3942" s="1" t="inlineStr">
        <is>
          <t>ZOEY 01/09/2025</t>
        </is>
      </c>
      <c r="I3942" s="4" t="n">
        <v>4</v>
      </c>
      <c r="J3942" s="6" t="n">
        <v>52</v>
      </c>
      <c r="K3942" s="6" t="n">
        <v>1306.127919</v>
      </c>
      <c r="L3942" s="6">
        <f>I3942*K3942</f>
        <v/>
      </c>
      <c r="M3942" s="6">
        <f>K3942*4</f>
        <v/>
      </c>
      <c r="N3942" s="6" t="n">
        <v>5095</v>
      </c>
    </row>
    <row r="3943">
      <c r="A3943" s="1" t="inlineStr">
        <is>
          <t>68374516907020</t>
        </is>
      </c>
      <c r="B3943" s="1" t="inlineStr">
        <is>
          <t>BOLSO C CLAUDE BLACK</t>
        </is>
      </c>
      <c r="C3943" s="1" t="inlineStr">
        <is>
          <t>21.5cm de largo x 11.5cm de alto x 4.5cm de ancho</t>
        </is>
      </c>
      <c r="D3943" s="1" t="inlineStr">
        <is>
          <t>07/01/2026</t>
        </is>
      </c>
      <c r="E3943" s="1" t="n">
        <v>2026</v>
      </c>
      <c r="F3943" s="1" t="inlineStr">
        <is>
          <t>ENERO</t>
        </is>
      </c>
      <c r="G3943" s="1" t="inlineStr">
        <is>
          <t>CYNTHIA</t>
        </is>
      </c>
      <c r="H3943" s="1" t="inlineStr">
        <is>
          <t>CYNTHIA 07/01/2026</t>
        </is>
      </c>
      <c r="I3943" s="4" t="n">
        <v>4</v>
      </c>
      <c r="J3943" s="6" t="n">
        <v>46</v>
      </c>
      <c r="K3943" s="6" t="n">
        <v>1223.021673</v>
      </c>
      <c r="L3943" s="6">
        <f>I3943*K3943</f>
        <v/>
      </c>
      <c r="M3943" s="6">
        <f>K3943*4</f>
        <v/>
      </c>
      <c r="N3943" s="6" t="n">
        <v>5095</v>
      </c>
    </row>
    <row r="3944">
      <c r="A3944" s="1" t="inlineStr">
        <is>
          <t>68374516907020</t>
        </is>
      </c>
      <c r="B3944" s="1" t="inlineStr">
        <is>
          <t>BOLSO C CLAUDE BLACK</t>
        </is>
      </c>
      <c r="C3944" s="1" t="inlineStr">
        <is>
          <t>21.5cm de largo x 11.5cm de alto x 4.5cm de ancho</t>
        </is>
      </c>
      <c r="D3944" s="1" t="inlineStr">
        <is>
          <t>31/05/2026</t>
        </is>
      </c>
      <c r="E3944" s="1" t="n">
        <v>2026</v>
      </c>
      <c r="F3944" s="1" t="inlineStr">
        <is>
          <t>MAYO</t>
        </is>
      </c>
      <c r="G3944" s="1" t="inlineStr">
        <is>
          <t>CYNTHIA</t>
        </is>
      </c>
      <c r="H3944" s="1" t="inlineStr">
        <is>
          <t>CYNTHIA 31/05/2026</t>
        </is>
      </c>
      <c r="I3944" s="4" t="n">
        <v>3</v>
      </c>
      <c r="J3944" s="6" t="n">
        <v>48</v>
      </c>
      <c r="K3944" s="6" t="n">
        <v>1272.050159</v>
      </c>
      <c r="L3944" s="6">
        <f>I3944*K3944</f>
        <v/>
      </c>
      <c r="M3944" s="6">
        <f>K3944*4</f>
        <v/>
      </c>
      <c r="N3944" s="6" t="n">
        <v>5095</v>
      </c>
    </row>
    <row r="3945">
      <c r="A3945" s="1" t="inlineStr">
        <is>
          <t>68431126327692</t>
        </is>
      </c>
      <c r="B3945" s="1" t="inlineStr">
        <is>
          <t>ARETES PERLEÉ GOLD</t>
        </is>
      </c>
      <c r="C3945" s="1" t="inlineStr">
        <is>
          <t>Default Title</t>
        </is>
      </c>
      <c r="D3945" s="1" t="inlineStr">
        <is>
          <t>01/03/2026</t>
        </is>
      </c>
      <c r="E3945" s="1" t="n">
        <v>2026</v>
      </c>
      <c r="F3945" s="1" t="inlineStr">
        <is>
          <t>MARZO</t>
        </is>
      </c>
      <c r="G3945" s="1" t="inlineStr">
        <is>
          <t>NANCY</t>
        </is>
      </c>
      <c r="H3945" s="1" t="inlineStr">
        <is>
          <t>NANCY 01/03/2026</t>
        </is>
      </c>
      <c r="I3945" s="4" t="n">
        <v>1</v>
      </c>
      <c r="J3945" s="6" t="n">
        <v>9.99</v>
      </c>
      <c r="K3945" s="6" t="n">
        <v>252.7841462</v>
      </c>
      <c r="L3945" s="6">
        <f>I3945*K3945</f>
        <v/>
      </c>
      <c r="M3945" s="6">
        <f>K3945*4</f>
        <v/>
      </c>
      <c r="N3945" s="6" t="n">
        <v>849</v>
      </c>
    </row>
    <row r="3946">
      <c r="A3946" s="1" t="inlineStr">
        <is>
          <t>68431126327692</t>
        </is>
      </c>
      <c r="B3946" s="1" t="inlineStr">
        <is>
          <t>ARETES PERLEÉ GOLD</t>
        </is>
      </c>
      <c r="C3946" s="1" t="inlineStr">
        <is>
          <t>Default Title</t>
        </is>
      </c>
      <c r="D3946" s="1" t="inlineStr">
        <is>
          <t>08/05/2026</t>
        </is>
      </c>
      <c r="E3946" s="1" t="n">
        <v>2026</v>
      </c>
      <c r="F3946" s="1" t="inlineStr">
        <is>
          <t>MAYO</t>
        </is>
      </c>
      <c r="G3946" s="1" t="inlineStr">
        <is>
          <t>NANCY</t>
        </is>
      </c>
      <c r="H3946" s="1" t="inlineStr">
        <is>
          <t>NANCY 08/05/2026</t>
        </is>
      </c>
      <c r="I3946" s="4" t="n">
        <v>3</v>
      </c>
      <c r="J3946" s="6" t="n">
        <v>9.99</v>
      </c>
      <c r="K3946" s="6" t="n">
        <v>236.3410285</v>
      </c>
      <c r="L3946" s="6">
        <f>I3946*K3946</f>
        <v/>
      </c>
      <c r="M3946" s="6">
        <f>K3946*4</f>
        <v/>
      </c>
      <c r="N3946" s="6" t="n">
        <v>849</v>
      </c>
    </row>
    <row r="3947">
      <c r="A3947" s="1" t="inlineStr">
        <is>
          <t>68431129697036</t>
        </is>
      </c>
      <c r="B3947" s="1" t="inlineStr">
        <is>
          <t>ARETES PERLEÉ SILVER</t>
        </is>
      </c>
      <c r="C3947" s="1" t="inlineStr">
        <is>
          <t>Default Title</t>
        </is>
      </c>
      <c r="D3947" s="1" t="inlineStr">
        <is>
          <t>09/07/2026</t>
        </is>
      </c>
      <c r="E3947" s="1" t="n">
        <v>2026</v>
      </c>
      <c r="F3947" s="1" t="inlineStr">
        <is>
          <t>JULIO</t>
        </is>
      </c>
      <c r="G3947" s="1" t="inlineStr">
        <is>
          <t>NANCY</t>
        </is>
      </c>
      <c r="H3947" s="1" t="inlineStr">
        <is>
          <t>NANCY 09/07/2026</t>
        </is>
      </c>
      <c r="I3947" s="4" t="n">
        <v>1</v>
      </c>
      <c r="J3947" s="6" t="n">
        <v>9.59</v>
      </c>
      <c r="K3947" s="6" t="n">
        <v>233.6648888</v>
      </c>
      <c r="L3947" s="6">
        <f>I3947*K3947</f>
        <v/>
      </c>
      <c r="M3947" s="6">
        <f>K3947*4</f>
        <v/>
      </c>
      <c r="N3947" s="6" t="n">
        <v>532</v>
      </c>
    </row>
    <row r="3948">
      <c r="A3948" s="1" t="inlineStr">
        <is>
          <t>68431131886732</t>
        </is>
      </c>
      <c r="B3948" s="1" t="inlineStr">
        <is>
          <t>ARETES PERLEÉ ROSEGOLD</t>
        </is>
      </c>
      <c r="C3948" s="1" t="inlineStr">
        <is>
          <t>Default Title</t>
        </is>
      </c>
      <c r="D3948" s="1" t="inlineStr">
        <is>
          <t>31/05/2026</t>
        </is>
      </c>
      <c r="E3948" s="1" t="n">
        <v>2026</v>
      </c>
      <c r="F3948" s="1" t="inlineStr">
        <is>
          <t>MAYO</t>
        </is>
      </c>
      <c r="G3948" s="1" t="inlineStr">
        <is>
          <t>NANCY</t>
        </is>
      </c>
      <c r="H3948" s="1" t="inlineStr">
        <is>
          <t>NANCY 31/05/2026</t>
        </is>
      </c>
      <c r="I3948" s="4" t="n">
        <v>2</v>
      </c>
      <c r="J3948" s="6" t="n">
        <v>9.99</v>
      </c>
      <c r="K3948" s="6" t="n">
        <v>242.4332212</v>
      </c>
      <c r="L3948" s="6">
        <f>I3948*K3948</f>
        <v/>
      </c>
      <c r="M3948" s="6">
        <f>K3948*4</f>
        <v/>
      </c>
      <c r="N3948" s="6" t="n">
        <v>760</v>
      </c>
    </row>
    <row r="3949">
      <c r="A3949" s="1" t="inlineStr">
        <is>
          <t>68431135029516</t>
        </is>
      </c>
      <c r="B3949" s="1" t="inlineStr">
        <is>
          <t>ARETES GC COLGANTES PERLA</t>
        </is>
      </c>
      <c r="C3949" s="1" t="inlineStr">
        <is>
          <t>Default Title</t>
        </is>
      </c>
      <c r="D3949" s="1" t="inlineStr">
        <is>
          <t>06/09/2025</t>
        </is>
      </c>
      <c r="E3949" s="1" t="n">
        <v>2025</v>
      </c>
      <c r="F3949" s="1" t="inlineStr">
        <is>
          <t>SEPTIEMBRE</t>
        </is>
      </c>
      <c r="G3949" s="1" t="inlineStr">
        <is>
          <t>NANCY</t>
        </is>
      </c>
      <c r="H3949" s="1" t="inlineStr">
        <is>
          <t>NANCY 06/09/2025</t>
        </is>
      </c>
      <c r="I3949" s="4" t="n">
        <v>4</v>
      </c>
      <c r="J3949" s="6" t="n">
        <v>4.49</v>
      </c>
      <c r="K3949" s="6" t="n">
        <v>104.5526115</v>
      </c>
      <c r="L3949" s="6">
        <f>I3949*K3949</f>
        <v/>
      </c>
      <c r="M3949" s="6">
        <f>K3949*4</f>
        <v/>
      </c>
      <c r="N3949" s="6" t="n">
        <v>620</v>
      </c>
    </row>
    <row r="3950">
      <c r="A3950" s="1" t="inlineStr">
        <is>
          <t>68802901471244</t>
        </is>
      </c>
      <c r="B3950" s="1" t="inlineStr">
        <is>
          <t>BOLSO LV MESSENGER</t>
        </is>
      </c>
      <c r="C3950" s="1" t="inlineStr">
        <is>
          <t>30cm de largo x 20cm de alto x 10 cm de ancho</t>
        </is>
      </c>
      <c r="D3950" s="1" t="inlineStr">
        <is>
          <t>01/09/2025</t>
        </is>
      </c>
      <c r="E3950" s="1" t="n">
        <v>2025</v>
      </c>
      <c r="F3950" s="1" t="inlineStr">
        <is>
          <t>SEPTIEMBRE</t>
        </is>
      </c>
      <c r="G3950" s="1" t="inlineStr">
        <is>
          <t>ZOEY</t>
        </is>
      </c>
      <c r="H3950" s="1" t="inlineStr">
        <is>
          <t>ZOEY 01/09/2025</t>
        </is>
      </c>
      <c r="I3950" s="4" t="n">
        <v>2</v>
      </c>
      <c r="J3950" s="6" t="n">
        <v>48</v>
      </c>
      <c r="K3950" s="6" t="n">
        <v>1205.656541</v>
      </c>
      <c r="L3950" s="6">
        <f>I3950*K3950</f>
        <v/>
      </c>
      <c r="M3950" s="6">
        <f>K3950*4</f>
        <v/>
      </c>
      <c r="N3950" s="6" t="n">
        <v>3999</v>
      </c>
    </row>
    <row r="3951">
      <c r="A3951" s="1" t="inlineStr">
        <is>
          <t>68802901471244</t>
        </is>
      </c>
      <c r="B3951" s="1" t="inlineStr">
        <is>
          <t>BOLSO LV MESSENGER</t>
        </is>
      </c>
      <c r="C3951" s="1" t="inlineStr">
        <is>
          <t>30cm de largo x 20cm de alto x 10 cm de ancho</t>
        </is>
      </c>
      <c r="D3951" s="1" t="inlineStr">
        <is>
          <t>20/01/2026</t>
        </is>
      </c>
      <c r="E3951" s="1" t="n">
        <v>2026</v>
      </c>
      <c r="F3951" s="1" t="inlineStr">
        <is>
          <t>ENERO</t>
        </is>
      </c>
      <c r="G3951" s="1" t="inlineStr">
        <is>
          <t>ZOEY</t>
        </is>
      </c>
      <c r="H3951" s="1" t="inlineStr">
        <is>
          <t>ZOEY 20/01/2026</t>
        </is>
      </c>
      <c r="I3951" s="4" t="n">
        <v>3</v>
      </c>
      <c r="J3951" s="6" t="n">
        <v>48</v>
      </c>
      <c r="K3951" s="6" t="n">
        <v>1249.51677</v>
      </c>
      <c r="L3951" s="6">
        <f>I3951*K3951</f>
        <v/>
      </c>
      <c r="M3951" s="6">
        <f>K3951*4</f>
        <v/>
      </c>
      <c r="N3951" s="6" t="n">
        <v>4499</v>
      </c>
    </row>
    <row r="3952">
      <c r="A3952" s="1" t="inlineStr">
        <is>
          <t>68802901471244</t>
        </is>
      </c>
      <c r="B3952" s="1" t="inlineStr">
        <is>
          <t>BOLSO LV MESSENGER</t>
        </is>
      </c>
      <c r="C3952" s="1" t="inlineStr">
        <is>
          <t>30cm de largo x 20cm de alto x 10 cm de ancho</t>
        </is>
      </c>
      <c r="D3952" s="1" t="inlineStr">
        <is>
          <t>02/03/2026</t>
        </is>
      </c>
      <c r="E3952" s="1" t="n">
        <v>2026</v>
      </c>
      <c r="F3952" s="1" t="inlineStr">
        <is>
          <t>MARZO</t>
        </is>
      </c>
      <c r="G3952" s="1" t="inlineStr">
        <is>
          <t>ZOEY</t>
        </is>
      </c>
      <c r="H3952" s="1" t="inlineStr">
        <is>
          <t>ZOEY 02/03/2026</t>
        </is>
      </c>
      <c r="I3952" s="4" t="n">
        <v>1</v>
      </c>
      <c r="J3952" s="6" t="n">
        <v>48</v>
      </c>
      <c r="K3952" s="6" t="n">
        <v>1261.294835</v>
      </c>
      <c r="L3952" s="6">
        <f>I3952*K3952</f>
        <v/>
      </c>
      <c r="M3952" s="6">
        <f>K3952*4</f>
        <v/>
      </c>
      <c r="N3952" s="6" t="n">
        <v>4499</v>
      </c>
    </row>
    <row r="3953">
      <c r="A3953" s="1" t="inlineStr">
        <is>
          <t>68802903720716</t>
        </is>
      </c>
      <c r="B3953" s="1" t="inlineStr">
        <is>
          <t>BOLSO LV HAMAC</t>
        </is>
      </c>
      <c r="C3953" s="1" t="inlineStr">
        <is>
          <t>30cm de largo x 16cm de alto x 7.5cm de ancho</t>
        </is>
      </c>
      <c r="D3953" s="1" t="inlineStr">
        <is>
          <t>01/09/2025</t>
        </is>
      </c>
      <c r="E3953" s="1" t="n">
        <v>2025</v>
      </c>
      <c r="F3953" s="1" t="inlineStr">
        <is>
          <t>SEPTIEMBRE</t>
        </is>
      </c>
      <c r="G3953" s="1" t="inlineStr">
        <is>
          <t>ZOEY</t>
        </is>
      </c>
      <c r="H3953" s="1" t="inlineStr">
        <is>
          <t>ZOEY 01/09/2025</t>
        </is>
      </c>
      <c r="I3953" s="4" t="n">
        <v>3</v>
      </c>
      <c r="J3953" s="6" t="n">
        <v>45</v>
      </c>
      <c r="K3953" s="6" t="n">
        <v>1130.303007</v>
      </c>
      <c r="L3953" s="6">
        <f>I3953*K3953</f>
        <v/>
      </c>
      <c r="M3953" s="6">
        <f>K3953*4</f>
        <v/>
      </c>
      <c r="N3953" s="6" t="n">
        <v>3745</v>
      </c>
    </row>
    <row r="3954">
      <c r="A3954" s="1" t="inlineStr">
        <is>
          <t>68802903720716</t>
        </is>
      </c>
      <c r="B3954" s="1" t="inlineStr">
        <is>
          <t>BOLSO LV HAMAC</t>
        </is>
      </c>
      <c r="C3954" s="1" t="inlineStr">
        <is>
          <t>30cm de largo x 16cm de alto x 7.5cm de ancho</t>
        </is>
      </c>
      <c r="D3954" s="1" t="inlineStr">
        <is>
          <t>20/01/2026</t>
        </is>
      </c>
      <c r="E3954" s="1" t="n">
        <v>2026</v>
      </c>
      <c r="F3954" s="1" t="inlineStr">
        <is>
          <t>ENERO</t>
        </is>
      </c>
      <c r="G3954" s="1" t="inlineStr">
        <is>
          <t>ZOEY</t>
        </is>
      </c>
      <c r="H3954" s="1" t="inlineStr">
        <is>
          <t>ZOEY 20/01/2026</t>
        </is>
      </c>
      <c r="I3954" s="4" t="n">
        <v>2</v>
      </c>
      <c r="J3954" s="6" t="n">
        <v>45</v>
      </c>
      <c r="K3954" s="6" t="n">
        <v>1171.421972</v>
      </c>
      <c r="L3954" s="6">
        <f>I3954*K3954</f>
        <v/>
      </c>
      <c r="M3954" s="6">
        <f>K3954*4</f>
        <v/>
      </c>
      <c r="N3954" s="6" t="n">
        <v>4689</v>
      </c>
    </row>
    <row r="3955">
      <c r="A3955" s="1" t="inlineStr">
        <is>
          <t>68eee447fb3d</t>
        </is>
      </c>
      <c r="B3955" s="1" t="inlineStr">
        <is>
          <t>ARETES DE ESLABONES GOLD MZ</t>
        </is>
      </c>
      <c r="C3955" s="1" t="n"/>
      <c r="D3955" s="1" t="inlineStr">
        <is>
          <t>03/12/2025</t>
        </is>
      </c>
      <c r="E3955" s="1" t="n">
        <v>2025</v>
      </c>
      <c r="F3955" s="1" t="inlineStr">
        <is>
          <t>DICIEMBRE</t>
        </is>
      </c>
      <c r="G3955" s="1" t="inlineStr">
        <is>
          <t>NANCY</t>
        </is>
      </c>
      <c r="H3955" s="1" t="inlineStr">
        <is>
          <t>NANCY 03/12/2025</t>
        </is>
      </c>
      <c r="I3955" s="4" t="n">
        <v>3</v>
      </c>
      <c r="J3955" s="6" t="n">
        <v>6.99</v>
      </c>
      <c r="K3955" s="6" t="n">
        <v>165.3606224</v>
      </c>
      <c r="L3955" s="6">
        <f>I3955*K3955</f>
        <v/>
      </c>
      <c r="M3955" s="6">
        <f>K3955*4</f>
        <v/>
      </c>
      <c r="N3955" s="6" t="n"/>
    </row>
    <row r="3956">
      <c r="A3956" s="1" t="inlineStr">
        <is>
          <t>69428801043277</t>
        </is>
      </c>
      <c r="B3956" s="1" t="inlineStr">
        <is>
          <t>TRAJE DE BAÑO F</t>
        </is>
      </c>
      <c r="C3956" s="1" t="inlineStr">
        <is>
          <t>L</t>
        </is>
      </c>
      <c r="D3956" s="1" t="inlineStr">
        <is>
          <t>02/03/2026</t>
        </is>
      </c>
      <c r="E3956" s="1" t="n">
        <v>2026</v>
      </c>
      <c r="F3956" s="1" t="inlineStr">
        <is>
          <t>MARZO</t>
        </is>
      </c>
      <c r="G3956" s="1" t="inlineStr">
        <is>
          <t>ZOEY</t>
        </is>
      </c>
      <c r="H3956" s="1" t="inlineStr">
        <is>
          <t>ZOEY 02/03/2026</t>
        </is>
      </c>
      <c r="I3956" s="4" t="n">
        <v>2</v>
      </c>
      <c r="J3956" s="6" t="n">
        <v>25</v>
      </c>
      <c r="K3956" s="6" t="n">
        <v>656.9243931</v>
      </c>
      <c r="L3956" s="6">
        <f>I3956*K3956</f>
        <v/>
      </c>
      <c r="M3956" s="6">
        <f>K3956*4</f>
        <v/>
      </c>
      <c r="N3956" s="6" t="n">
        <v>2659</v>
      </c>
    </row>
    <row r="3957">
      <c r="A3957" s="1" t="inlineStr">
        <is>
          <t>69428801043277</t>
        </is>
      </c>
      <c r="B3957" s="1" t="inlineStr">
        <is>
          <t>TRAJE DE BAÑO F</t>
        </is>
      </c>
      <c r="C3957" s="1" t="inlineStr">
        <is>
          <t>L</t>
        </is>
      </c>
      <c r="D3957" s="1" t="inlineStr">
        <is>
          <t>15/05/2026</t>
        </is>
      </c>
      <c r="E3957" s="1" t="n">
        <v>2026</v>
      </c>
      <c r="F3957" s="1" t="inlineStr">
        <is>
          <t>MAYO</t>
        </is>
      </c>
      <c r="G3957" s="1" t="inlineStr">
        <is>
          <t>ZOEY</t>
        </is>
      </c>
      <c r="H3957" s="1" t="inlineStr">
        <is>
          <t>ZOEY 15/05/2026</t>
        </is>
      </c>
      <c r="I3957" s="4" t="n">
        <v>3</v>
      </c>
      <c r="J3957" s="6" t="n">
        <v>25</v>
      </c>
      <c r="K3957" s="6" t="n">
        <v>662.6156122</v>
      </c>
      <c r="L3957" s="6">
        <f>I3957*K3957</f>
        <v/>
      </c>
      <c r="M3957" s="6">
        <f>K3957*4</f>
        <v/>
      </c>
      <c r="N3957" s="6" t="n">
        <v>2659</v>
      </c>
    </row>
    <row r="3958">
      <c r="A3958" s="1" t="inlineStr">
        <is>
          <t>69521938776076</t>
        </is>
      </c>
      <c r="B3958" s="1" t="inlineStr">
        <is>
          <t>BOLSO CD CARO</t>
        </is>
      </c>
      <c r="C3958" s="1" t="inlineStr">
        <is>
          <t>18.5cm x 12cm x 6cm</t>
        </is>
      </c>
      <c r="D3958" s="1" t="inlineStr">
        <is>
          <t>02/03/2026</t>
        </is>
      </c>
      <c r="E3958" s="1" t="n">
        <v>2026</v>
      </c>
      <c r="F3958" s="1" t="inlineStr">
        <is>
          <t>MARZO</t>
        </is>
      </c>
      <c r="G3958" s="1" t="inlineStr">
        <is>
          <t>ZOEY</t>
        </is>
      </c>
      <c r="H3958" s="1" t="inlineStr">
        <is>
          <t>ZOEY 02/03/2026</t>
        </is>
      </c>
      <c r="I3958" s="4" t="n">
        <v>1</v>
      </c>
      <c r="J3958" s="6" t="n">
        <v>58</v>
      </c>
      <c r="K3958" s="6" t="n">
        <v>1524.064592</v>
      </c>
      <c r="L3958" s="6">
        <f>I3958*K3958</f>
        <v/>
      </c>
      <c r="M3958" s="6">
        <f>K3958*4</f>
        <v/>
      </c>
      <c r="N3958" s="6" t="n">
        <v>5239</v>
      </c>
    </row>
    <row r="3959">
      <c r="A3959" s="1" t="inlineStr">
        <is>
          <t>69521938776076</t>
        </is>
      </c>
      <c r="B3959" s="1" t="inlineStr">
        <is>
          <t>BOLSO CD CARO</t>
        </is>
      </c>
      <c r="C3959" s="1" t="inlineStr">
        <is>
          <t>18.5cm x 12cm x 6cm</t>
        </is>
      </c>
      <c r="D3959" s="1" t="inlineStr">
        <is>
          <t>19/03/2026</t>
        </is>
      </c>
      <c r="E3959" s="1" t="n">
        <v>2026</v>
      </c>
      <c r="F3959" s="1" t="inlineStr">
        <is>
          <t>MARZO</t>
        </is>
      </c>
      <c r="G3959" s="1" t="inlineStr">
        <is>
          <t>ZOEY</t>
        </is>
      </c>
      <c r="H3959" s="1" t="inlineStr">
        <is>
          <t>ZOEY 19/03/2026</t>
        </is>
      </c>
      <c r="I3959" s="4" t="n">
        <v>1</v>
      </c>
      <c r="J3959" s="6" t="n">
        <v>58</v>
      </c>
      <c r="K3959" s="6" t="n">
        <v>1495.358878</v>
      </c>
      <c r="L3959" s="6">
        <f>I3959*K3959</f>
        <v/>
      </c>
      <c r="M3959" s="6">
        <f>K3959*4</f>
        <v/>
      </c>
      <c r="N3959" s="6" t="n">
        <v>5239</v>
      </c>
    </row>
    <row r="3960">
      <c r="A3960" s="1" t="inlineStr">
        <is>
          <t>69612281066221</t>
        </is>
      </c>
      <c r="B3960" s="1" t="inlineStr">
        <is>
          <t>ARETES CD GOLD WHITE CON ZIRCONIA</t>
        </is>
      </c>
      <c r="C3960" s="1" t="inlineStr">
        <is>
          <t>Default Title</t>
        </is>
      </c>
      <c r="D3960" s="1" t="inlineStr">
        <is>
          <t>02/10/2025</t>
        </is>
      </c>
      <c r="E3960" s="1" t="n">
        <v>2025</v>
      </c>
      <c r="F3960" s="1" t="inlineStr">
        <is>
          <t>OCTUBRE</t>
        </is>
      </c>
      <c r="G3960" s="1" t="inlineStr">
        <is>
          <t>ZOEY</t>
        </is>
      </c>
      <c r="H3960" s="1" t="inlineStr">
        <is>
          <t>ZOEY 02/10/2025</t>
        </is>
      </c>
      <c r="I3960" s="4" t="n">
        <v>3</v>
      </c>
      <c r="J3960" s="6" t="n">
        <v>9</v>
      </c>
      <c r="K3960" s="6" t="n">
        <v>212.615424</v>
      </c>
      <c r="L3960" s="6">
        <f>I3960*K3960</f>
        <v/>
      </c>
      <c r="M3960" s="6">
        <f>K3960*4</f>
        <v/>
      </c>
      <c r="N3960" s="6" t="n">
        <v>959</v>
      </c>
    </row>
    <row r="3961">
      <c r="A3961" s="1" t="inlineStr">
        <is>
          <t>69612281066221</t>
        </is>
      </c>
      <c r="B3961" s="1" t="inlineStr">
        <is>
          <t>ARETES CD GOLD WHITE CON ZIRCONIA</t>
        </is>
      </c>
      <c r="C3961" s="1" t="inlineStr">
        <is>
          <t>Default Title</t>
        </is>
      </c>
      <c r="D3961" s="1" t="inlineStr">
        <is>
          <t>02/03/2026</t>
        </is>
      </c>
      <c r="E3961" s="1" t="n">
        <v>2026</v>
      </c>
      <c r="F3961" s="1" t="inlineStr">
        <is>
          <t>MARZO</t>
        </is>
      </c>
      <c r="G3961" s="1" t="inlineStr">
        <is>
          <t>ZOEY</t>
        </is>
      </c>
      <c r="H3961" s="1" t="inlineStr">
        <is>
          <t>ZOEY 02/03/2026</t>
        </is>
      </c>
      <c r="I3961" s="4" t="n">
        <v>1</v>
      </c>
      <c r="J3961" s="6" t="n">
        <v>9</v>
      </c>
      <c r="K3961" s="6" t="n">
        <v>236.4927815</v>
      </c>
      <c r="L3961" s="6">
        <f>I3961*K3961</f>
        <v/>
      </c>
      <c r="M3961" s="6">
        <f>K3961*4</f>
        <v/>
      </c>
      <c r="N3961" s="6" t="n">
        <v>959</v>
      </c>
    </row>
    <row r="3962">
      <c r="A3962" s="1" t="inlineStr">
        <is>
          <t>69612281066221</t>
        </is>
      </c>
      <c r="B3962" s="1" t="inlineStr">
        <is>
          <t>ARETES CD GOLD WHITE CON ZIRCONIA</t>
        </is>
      </c>
      <c r="C3962" s="1" t="inlineStr">
        <is>
          <t>Default Title</t>
        </is>
      </c>
      <c r="D3962" s="1" t="inlineStr">
        <is>
          <t>15/05/2026</t>
        </is>
      </c>
      <c r="E3962" s="1" t="n">
        <v>2026</v>
      </c>
      <c r="F3962" s="1" t="inlineStr">
        <is>
          <t>MAYO</t>
        </is>
      </c>
      <c r="G3962" s="1" t="inlineStr">
        <is>
          <t>ZOEY</t>
        </is>
      </c>
      <c r="H3962" s="1" t="inlineStr">
        <is>
          <t>ZOEY 15/05/2026</t>
        </is>
      </c>
      <c r="I3962" s="4" t="n">
        <v>3</v>
      </c>
      <c r="J3962" s="6" t="n">
        <v>9</v>
      </c>
      <c r="K3962" s="6" t="n">
        <v>238.5416204</v>
      </c>
      <c r="L3962" s="6">
        <f>I3962*K3962</f>
        <v/>
      </c>
      <c r="M3962" s="6">
        <f>K3962*4</f>
        <v/>
      </c>
      <c r="N3962" s="6" t="n">
        <v>959</v>
      </c>
    </row>
    <row r="3963">
      <c r="A3963" s="1" t="inlineStr">
        <is>
          <t>69645921049005</t>
        </is>
      </c>
      <c r="B3963" s="1" t="inlineStr">
        <is>
          <t>PULSERA YSL GOLD</t>
        </is>
      </c>
      <c r="C3963" s="1" t="inlineStr">
        <is>
          <t>Default Title</t>
        </is>
      </c>
      <c r="D3963" s="1" t="inlineStr">
        <is>
          <t>06/09/2025</t>
        </is>
      </c>
      <c r="E3963" s="1" t="n">
        <v>2025</v>
      </c>
      <c r="F3963" s="1" t="inlineStr">
        <is>
          <t>SEPTIEMBRE</t>
        </is>
      </c>
      <c r="G3963" s="1" t="inlineStr">
        <is>
          <t>NANCY</t>
        </is>
      </c>
      <c r="H3963" s="1" t="inlineStr">
        <is>
          <t>NANCY 06/09/2025</t>
        </is>
      </c>
      <c r="I3963" s="4" t="n">
        <v>12</v>
      </c>
      <c r="J3963" s="6" t="n">
        <v>2.99</v>
      </c>
      <c r="K3963" s="6" t="n">
        <v>69.62412216</v>
      </c>
      <c r="L3963" s="6">
        <f>I3963*K3963</f>
        <v/>
      </c>
      <c r="M3963" s="6">
        <f>K3963*4</f>
        <v/>
      </c>
      <c r="N3963" s="6" t="n">
        <v>380</v>
      </c>
    </row>
    <row r="3964">
      <c r="A3964" s="1" t="inlineStr">
        <is>
          <t>69645921049005</t>
        </is>
      </c>
      <c r="B3964" s="1" t="inlineStr">
        <is>
          <t>PULSERA YSL GOLD</t>
        </is>
      </c>
      <c r="C3964" s="1" t="inlineStr">
        <is>
          <t>Default Title</t>
        </is>
      </c>
      <c r="D3964" s="1" t="inlineStr">
        <is>
          <t>09/07/2026</t>
        </is>
      </c>
      <c r="E3964" s="1" t="n">
        <v>2026</v>
      </c>
      <c r="F3964" s="1" t="inlineStr">
        <is>
          <t>JULIO</t>
        </is>
      </c>
      <c r="G3964" s="1" t="inlineStr">
        <is>
          <t>NANCY</t>
        </is>
      </c>
      <c r="H3964" s="1" t="inlineStr">
        <is>
          <t>NANCY 09/07/2026</t>
        </is>
      </c>
      <c r="I3964" s="4" t="n">
        <v>6</v>
      </c>
      <c r="J3964" s="6" t="n">
        <v>5.99</v>
      </c>
      <c r="K3964" s="6" t="n">
        <v>145.949185</v>
      </c>
      <c r="L3964" s="6">
        <f>I3964*K3964</f>
        <v/>
      </c>
      <c r="M3964" s="6">
        <f>K3964*4</f>
        <v/>
      </c>
      <c r="N3964" s="6" t="n">
        <v>380</v>
      </c>
    </row>
    <row r="3965">
      <c r="A3965" s="1" t="inlineStr">
        <is>
          <t>69943351015917</t>
        </is>
      </c>
      <c r="B3965" s="1" t="inlineStr">
        <is>
          <t>GORRA A BROWN</t>
        </is>
      </c>
      <c r="C3965" s="1" t="inlineStr">
        <is>
          <t>Default Title</t>
        </is>
      </c>
      <c r="D3965" s="1" t="inlineStr">
        <is>
          <t>02/10/2025</t>
        </is>
      </c>
      <c r="E3965" s="1" t="n">
        <v>2025</v>
      </c>
      <c r="F3965" s="1" t="inlineStr">
        <is>
          <t>OCTUBRE</t>
        </is>
      </c>
      <c r="G3965" s="1" t="inlineStr">
        <is>
          <t>ZOEY</t>
        </is>
      </c>
      <c r="H3965" s="1" t="inlineStr">
        <is>
          <t>ZOEY 02/10/2025</t>
        </is>
      </c>
      <c r="I3965" s="4" t="n">
        <v>4</v>
      </c>
      <c r="J3965" s="6" t="n">
        <v>10</v>
      </c>
      <c r="K3965" s="6" t="n">
        <v>236.23936</v>
      </c>
      <c r="L3965" s="6">
        <f>I3965*K3965</f>
        <v/>
      </c>
      <c r="M3965" s="6">
        <f>K3965*4</f>
        <v/>
      </c>
      <c r="N3965" s="6" t="n">
        <v>1069</v>
      </c>
    </row>
    <row r="3966">
      <c r="A3966" s="1" t="inlineStr">
        <is>
          <t>69943351015917</t>
        </is>
      </c>
      <c r="B3966" s="1" t="inlineStr">
        <is>
          <t>GORRA A BROWN</t>
        </is>
      </c>
      <c r="C3966" s="1" t="inlineStr">
        <is>
          <t>Default Title</t>
        </is>
      </c>
      <c r="D3966" s="1" t="inlineStr">
        <is>
          <t>20/01/2026</t>
        </is>
      </c>
      <c r="E3966" s="1" t="n">
        <v>2026</v>
      </c>
      <c r="F3966" s="1" t="inlineStr">
        <is>
          <t>ENERO</t>
        </is>
      </c>
      <c r="G3966" s="1" t="inlineStr">
        <is>
          <t>ZOEY</t>
        </is>
      </c>
      <c r="H3966" s="1" t="inlineStr">
        <is>
          <t>ZOEY 20/01/2026</t>
        </is>
      </c>
      <c r="I3966" s="4" t="n">
        <v>5</v>
      </c>
      <c r="J3966" s="6" t="n">
        <v>10</v>
      </c>
      <c r="K3966" s="6" t="n">
        <v>260.3159937</v>
      </c>
      <c r="L3966" s="6">
        <f>I3966*K3966</f>
        <v/>
      </c>
      <c r="M3966" s="6">
        <f>K3966*4</f>
        <v/>
      </c>
      <c r="N3966" s="6" t="n">
        <v>1069</v>
      </c>
    </row>
    <row r="3967">
      <c r="A3967" s="1" t="inlineStr">
        <is>
          <t>69943351015917</t>
        </is>
      </c>
      <c r="B3967" s="1" t="inlineStr">
        <is>
          <t>GORRA A BROWN</t>
        </is>
      </c>
      <c r="C3967" s="1" t="inlineStr">
        <is>
          <t>Default Title</t>
        </is>
      </c>
      <c r="D3967" s="1" t="inlineStr">
        <is>
          <t>20/04/2026</t>
        </is>
      </c>
      <c r="E3967" s="1" t="n">
        <v>2026</v>
      </c>
      <c r="F3967" s="1" t="inlineStr">
        <is>
          <t>ABRIL</t>
        </is>
      </c>
      <c r="G3967" s="1" t="inlineStr">
        <is>
          <t>ZOEY</t>
        </is>
      </c>
      <c r="H3967" s="1" t="inlineStr">
        <is>
          <t>ZOEY 20/04/2026</t>
        </is>
      </c>
      <c r="I3967" s="4" t="n">
        <v>2</v>
      </c>
      <c r="J3967" s="6" t="n">
        <v>10</v>
      </c>
      <c r="K3967" s="6" t="n">
        <v>256.0877834</v>
      </c>
      <c r="L3967" s="6">
        <f>I3967*K3967</f>
        <v/>
      </c>
      <c r="M3967" s="6">
        <f>K3967*4</f>
        <v/>
      </c>
      <c r="N3967" s="6" t="n">
        <v>1069</v>
      </c>
    </row>
    <row r="3968">
      <c r="A3968" s="1" t="inlineStr">
        <is>
          <t>69943351015917</t>
        </is>
      </c>
      <c r="B3968" s="1" t="inlineStr">
        <is>
          <t>GORRA A BROWN</t>
        </is>
      </c>
      <c r="C3968" s="1" t="inlineStr">
        <is>
          <t>Default Title</t>
        </is>
      </c>
      <c r="D3968" s="1" t="inlineStr">
        <is>
          <t>15/05/2026</t>
        </is>
      </c>
      <c r="E3968" s="1" t="n">
        <v>2026</v>
      </c>
      <c r="F3968" s="1" t="inlineStr">
        <is>
          <t>MAYO</t>
        </is>
      </c>
      <c r="G3968" s="1" t="inlineStr">
        <is>
          <t>ZOEY</t>
        </is>
      </c>
      <c r="H3968" s="1" t="inlineStr">
        <is>
          <t>ZOEY 15/05/2026</t>
        </is>
      </c>
      <c r="I3968" s="4" t="n">
        <v>2</v>
      </c>
      <c r="J3968" s="6" t="n">
        <v>10</v>
      </c>
      <c r="K3968" s="6" t="n">
        <v>265.0462449</v>
      </c>
      <c r="L3968" s="6">
        <f>I3968*K3968</f>
        <v/>
      </c>
      <c r="M3968" s="6">
        <f>K3968*4</f>
        <v/>
      </c>
      <c r="N3968" s="6" t="n">
        <v>1069</v>
      </c>
    </row>
    <row r="3969">
      <c r="A3969" s="1" t="inlineStr">
        <is>
          <t>70693391064173</t>
        </is>
      </c>
      <c r="B3969" s="1" t="inlineStr">
        <is>
          <t>TRAJE DE BAÑO COMPLETO DG</t>
        </is>
      </c>
      <c r="C3969" s="1" t="inlineStr">
        <is>
          <t>L</t>
        </is>
      </c>
      <c r="D3969" s="1" t="inlineStr">
        <is>
          <t>02/03/2026</t>
        </is>
      </c>
      <c r="E3969" s="1" t="n">
        <v>2026</v>
      </c>
      <c r="F3969" s="1" t="inlineStr">
        <is>
          <t>MARZO</t>
        </is>
      </c>
      <c r="G3969" s="1" t="inlineStr">
        <is>
          <t>ZOEY</t>
        </is>
      </c>
      <c r="H3969" s="1" t="inlineStr">
        <is>
          <t>ZOEY 02/03/2026</t>
        </is>
      </c>
      <c r="I3969" s="4" t="n">
        <v>1</v>
      </c>
      <c r="J3969" s="6" t="n">
        <v>25</v>
      </c>
      <c r="K3969" s="6" t="n">
        <v>656.9243931</v>
      </c>
      <c r="L3969" s="6">
        <f>I3969*K3969</f>
        <v/>
      </c>
      <c r="M3969" s="6">
        <f>K3969*4</f>
        <v/>
      </c>
      <c r="N3969" s="6" t="n">
        <v>2659</v>
      </c>
    </row>
    <row r="3970">
      <c r="A3970" s="1" t="inlineStr">
        <is>
          <t>70693391064173</t>
        </is>
      </c>
      <c r="B3970" s="1" t="inlineStr">
        <is>
          <t>TRAJE DE BAÑO COMPLETO DG</t>
        </is>
      </c>
      <c r="C3970" s="1" t="inlineStr">
        <is>
          <t>L</t>
        </is>
      </c>
      <c r="D3970" s="1" t="inlineStr">
        <is>
          <t>15/05/2026</t>
        </is>
      </c>
      <c r="E3970" s="1" t="n">
        <v>2026</v>
      </c>
      <c r="F3970" s="1" t="inlineStr">
        <is>
          <t>MAYO</t>
        </is>
      </c>
      <c r="G3970" s="1" t="inlineStr">
        <is>
          <t>ZOEY</t>
        </is>
      </c>
      <c r="H3970" s="1" t="inlineStr">
        <is>
          <t>ZOEY 15/05/2026</t>
        </is>
      </c>
      <c r="I3970" s="4" t="n">
        <v>2</v>
      </c>
      <c r="J3970" s="6" t="n">
        <v>25</v>
      </c>
      <c r="K3970" s="6" t="n">
        <v>662.6156122</v>
      </c>
      <c r="L3970" s="6">
        <f>I3970*K3970</f>
        <v/>
      </c>
      <c r="M3970" s="6">
        <f>K3970*4</f>
        <v/>
      </c>
      <c r="N3970" s="6" t="n">
        <v>2659</v>
      </c>
    </row>
    <row r="3971">
      <c r="A3971" s="1" t="inlineStr">
        <is>
          <t>70937181082701</t>
        </is>
      </c>
      <c r="B3971" s="1" t="inlineStr">
        <is>
          <t>TRAJE DE BAÑO GC ASIMETRICO</t>
        </is>
      </c>
      <c r="C3971" s="1" t="inlineStr">
        <is>
          <t>BROWN-M</t>
        </is>
      </c>
      <c r="D3971" s="1" t="inlineStr">
        <is>
          <t>06/02/2026</t>
        </is>
      </c>
      <c r="E3971" s="1" t="n">
        <v>2026</v>
      </c>
      <c r="F3971" s="1" t="inlineStr">
        <is>
          <t>FEBRERO</t>
        </is>
      </c>
      <c r="G3971" s="1" t="inlineStr">
        <is>
          <t>DINA DU</t>
        </is>
      </c>
      <c r="H3971" s="1" t="inlineStr">
        <is>
          <t>DINA DU 06/02/2026</t>
        </is>
      </c>
      <c r="I3971" s="4" t="n">
        <v>2</v>
      </c>
      <c r="J3971" s="6" t="n">
        <v>17.5</v>
      </c>
      <c r="K3971" s="6" t="n">
        <v>467.6244295</v>
      </c>
      <c r="L3971" s="6">
        <f>I3971*K3971</f>
        <v/>
      </c>
      <c r="M3971" s="6">
        <f>K3971*4</f>
        <v/>
      </c>
      <c r="N3971" s="6" t="n">
        <v>1875</v>
      </c>
    </row>
    <row r="3972">
      <c r="A3972" s="1" t="inlineStr">
        <is>
          <t>70975141082189</t>
        </is>
      </c>
      <c r="B3972" s="1" t="inlineStr">
        <is>
          <t>PULSERA LOVE UNLIMITED SILVER</t>
        </is>
      </c>
      <c r="C3972" s="1" t="inlineStr">
        <is>
          <t>17cm</t>
        </is>
      </c>
      <c r="D3972" s="1" t="inlineStr">
        <is>
          <t>03/12/2025</t>
        </is>
      </c>
      <c r="E3972" s="1" t="n">
        <v>2025</v>
      </c>
      <c r="F3972" s="1" t="inlineStr">
        <is>
          <t>DICIEMBRE</t>
        </is>
      </c>
      <c r="G3972" s="1" t="inlineStr">
        <is>
          <t>HAIFENG</t>
        </is>
      </c>
      <c r="H3972" s="1" t="inlineStr">
        <is>
          <t>HAIFENG 03/12/2025</t>
        </is>
      </c>
      <c r="I3972" s="4" t="n">
        <v>10</v>
      </c>
      <c r="J3972" s="6" t="n">
        <v>15</v>
      </c>
      <c r="K3972" s="6" t="n">
        <v>313.7574002</v>
      </c>
      <c r="L3972" s="6">
        <f>I3972*K3972</f>
        <v/>
      </c>
      <c r="M3972" s="6">
        <f>K3972*4</f>
        <v/>
      </c>
      <c r="N3972" s="6" t="n">
        <v>1399</v>
      </c>
    </row>
    <row r="3973">
      <c r="A3973" s="1" t="inlineStr">
        <is>
          <t>70975141082189</t>
        </is>
      </c>
      <c r="B3973" s="1" t="inlineStr">
        <is>
          <t>PULSERA LOVE UNLIMITED SILVER</t>
        </is>
      </c>
      <c r="C3973" s="1" t="inlineStr">
        <is>
          <t>17</t>
        </is>
      </c>
      <c r="D3973" s="1" t="inlineStr">
        <is>
          <t>11/03/2026</t>
        </is>
      </c>
      <c r="E3973" s="1" t="n">
        <v>2026</v>
      </c>
      <c r="F3973" s="1" t="inlineStr">
        <is>
          <t>MARZO</t>
        </is>
      </c>
      <c r="G3973" s="1" t="inlineStr">
        <is>
          <t>HAIFENG</t>
        </is>
      </c>
      <c r="H3973" s="1" t="inlineStr">
        <is>
          <t>HAIFENG 11/03/2026</t>
        </is>
      </c>
      <c r="I3973" s="4" t="n">
        <v>6</v>
      </c>
      <c r="J3973" s="6" t="n">
        <v>20</v>
      </c>
      <c r="K3973" s="6" t="n">
        <v>426.0779243</v>
      </c>
      <c r="L3973" s="6">
        <f>I3973*K3973</f>
        <v/>
      </c>
      <c r="M3973" s="6">
        <f>K3973*4</f>
        <v/>
      </c>
      <c r="N3973" s="6" t="n">
        <v>1399</v>
      </c>
    </row>
    <row r="3974">
      <c r="A3974" s="1" t="inlineStr">
        <is>
          <t>70975141082189</t>
        </is>
      </c>
      <c r="B3974" s="1" t="inlineStr">
        <is>
          <t>PULSERA LOVE UNLIMITED SILVER</t>
        </is>
      </c>
      <c r="C3974" s="1" t="inlineStr">
        <is>
          <t>17</t>
        </is>
      </c>
      <c r="D3974" s="1" t="inlineStr">
        <is>
          <t>06/05/2026</t>
        </is>
      </c>
      <c r="E3974" s="1" t="n">
        <v>2026</v>
      </c>
      <c r="F3974" s="1" t="inlineStr">
        <is>
          <t>MAYO</t>
        </is>
      </c>
      <c r="G3974" s="1" t="inlineStr">
        <is>
          <t>HAIFENG</t>
        </is>
      </c>
      <c r="H3974" s="1" t="inlineStr">
        <is>
          <t>HAIFENG 06/05/2026</t>
        </is>
      </c>
      <c r="I3974" s="4" t="n">
        <v>6</v>
      </c>
      <c r="J3974" s="6" t="n">
        <v>15</v>
      </c>
      <c r="K3974" s="6" t="n">
        <v>318.279634</v>
      </c>
      <c r="L3974" s="6">
        <f>I3974*K3974</f>
        <v/>
      </c>
      <c r="M3974" s="6">
        <f>K3974*4</f>
        <v/>
      </c>
      <c r="N3974" s="6" t="n">
        <v>1399</v>
      </c>
    </row>
    <row r="3975">
      <c r="A3975" s="1" t="inlineStr">
        <is>
          <t>70975141082189</t>
        </is>
      </c>
      <c r="B3975" s="1" t="inlineStr">
        <is>
          <t>PULSERA LOVE UNLIMITED SILVER</t>
        </is>
      </c>
      <c r="C3975" s="1" t="inlineStr">
        <is>
          <t>17</t>
        </is>
      </c>
      <c r="D3975" s="1" t="inlineStr">
        <is>
          <t>26/05/2026</t>
        </is>
      </c>
      <c r="E3975" s="1" t="n">
        <v>2026</v>
      </c>
      <c r="F3975" s="1" t="inlineStr">
        <is>
          <t>MAYO</t>
        </is>
      </c>
      <c r="G3975" s="1" t="inlineStr">
        <is>
          <t>HAIFENG</t>
        </is>
      </c>
      <c r="H3975" s="1" t="inlineStr">
        <is>
          <t>HAIFENG 26/05/2026</t>
        </is>
      </c>
      <c r="I3975" s="4" t="n">
        <v>3</v>
      </c>
      <c r="J3975" s="6" t="n">
        <v>15</v>
      </c>
      <c r="K3975" s="6" t="n">
        <v>314.8394294</v>
      </c>
      <c r="L3975" s="6">
        <f>I3975*K3975</f>
        <v/>
      </c>
      <c r="M3975" s="6">
        <f>K3975*4</f>
        <v/>
      </c>
      <c r="N3975" s="6" t="n">
        <v>1399</v>
      </c>
    </row>
    <row r="3976">
      <c r="A3976" s="1" t="inlineStr">
        <is>
          <t>70975151114957</t>
        </is>
      </c>
      <c r="B3976" s="1" t="inlineStr">
        <is>
          <t>PULSERA LOVE UNLIMITED SILVER</t>
        </is>
      </c>
      <c r="C3976" s="1" t="inlineStr">
        <is>
          <t>19cm</t>
        </is>
      </c>
      <c r="D3976" s="1" t="inlineStr">
        <is>
          <t>03/12/2025</t>
        </is>
      </c>
      <c r="E3976" s="1" t="n">
        <v>2025</v>
      </c>
      <c r="F3976" s="1" t="inlineStr">
        <is>
          <t>DICIEMBRE</t>
        </is>
      </c>
      <c r="G3976" s="1" t="inlineStr">
        <is>
          <t>HAIFENG</t>
        </is>
      </c>
      <c r="H3976" s="1" t="inlineStr">
        <is>
          <t>HAIFENG 03/12/2025</t>
        </is>
      </c>
      <c r="I3976" s="4" t="n">
        <v>5</v>
      </c>
      <c r="J3976" s="6" t="n">
        <v>15</v>
      </c>
      <c r="K3976" s="6" t="n">
        <v>313.7574002</v>
      </c>
      <c r="L3976" s="6">
        <f>I3976*K3976</f>
        <v/>
      </c>
      <c r="M3976" s="6">
        <f>K3976*4</f>
        <v/>
      </c>
      <c r="N3976" s="6" t="n">
        <v>1399</v>
      </c>
    </row>
    <row r="3977">
      <c r="A3977" s="1" t="inlineStr">
        <is>
          <t>70975151114957</t>
        </is>
      </c>
      <c r="B3977" s="1" t="inlineStr">
        <is>
          <t>PULSERA LOVE UNLIMITED SILVER</t>
        </is>
      </c>
      <c r="C3977" s="1" t="inlineStr">
        <is>
          <t>19</t>
        </is>
      </c>
      <c r="D3977" s="1" t="inlineStr">
        <is>
          <t>11/03/2026</t>
        </is>
      </c>
      <c r="E3977" s="1" t="n">
        <v>2026</v>
      </c>
      <c r="F3977" s="1" t="inlineStr">
        <is>
          <t>MARZO</t>
        </is>
      </c>
      <c r="G3977" s="1" t="inlineStr">
        <is>
          <t>HAIFENG</t>
        </is>
      </c>
      <c r="H3977" s="1" t="inlineStr">
        <is>
          <t>HAIFENG 11/03/2026</t>
        </is>
      </c>
      <c r="I3977" s="4" t="n">
        <v>10</v>
      </c>
      <c r="J3977" s="6" t="n">
        <v>20</v>
      </c>
      <c r="K3977" s="6" t="n">
        <v>426.0779243</v>
      </c>
      <c r="L3977" s="6">
        <f>I3977*K3977</f>
        <v/>
      </c>
      <c r="M3977" s="6">
        <f>K3977*4</f>
        <v/>
      </c>
      <c r="N3977" s="6" t="n">
        <v>1399</v>
      </c>
    </row>
    <row r="3978">
      <c r="A3978" s="1" t="inlineStr">
        <is>
          <t>70975151114957</t>
        </is>
      </c>
      <c r="B3978" s="1" t="inlineStr">
        <is>
          <t>PULSERA LOVE UNLIMITED SILVER</t>
        </is>
      </c>
      <c r="C3978" s="1" t="inlineStr">
        <is>
          <t>19</t>
        </is>
      </c>
      <c r="D3978" s="1" t="inlineStr">
        <is>
          <t>16/06/2026</t>
        </is>
      </c>
      <c r="E3978" s="1" t="n">
        <v>2026</v>
      </c>
      <c r="F3978" s="1" t="inlineStr">
        <is>
          <t>JUNIO</t>
        </is>
      </c>
      <c r="G3978" s="1" t="inlineStr">
        <is>
          <t>HAIFENG</t>
        </is>
      </c>
      <c r="H3978" s="1" t="inlineStr">
        <is>
          <t>HAIFENG 16/06/2026</t>
        </is>
      </c>
      <c r="I3978" s="4" t="n">
        <v>5</v>
      </c>
      <c r="J3978" s="6" t="n">
        <v>15</v>
      </c>
      <c r="K3978" s="6" t="n">
        <v>315.2190969</v>
      </c>
      <c r="L3978" s="6">
        <f>I3978*K3978</f>
        <v/>
      </c>
      <c r="M3978" s="6">
        <f>K3978*4</f>
        <v/>
      </c>
      <c r="N3978" s="6" t="n">
        <v>1399</v>
      </c>
    </row>
    <row r="3979">
      <c r="A3979" s="1" t="inlineStr">
        <is>
          <t>70975151247725</t>
        </is>
      </c>
      <c r="B3979" s="1" t="inlineStr">
        <is>
          <t>PULSERA LOVE UNLIMITED SILVER</t>
        </is>
      </c>
      <c r="C3979" s="1" t="inlineStr">
        <is>
          <t>21cm</t>
        </is>
      </c>
      <c r="D3979" s="1" t="inlineStr">
        <is>
          <t>03/12/2025</t>
        </is>
      </c>
      <c r="E3979" s="1" t="n">
        <v>2025</v>
      </c>
      <c r="F3979" s="1" t="inlineStr">
        <is>
          <t>DICIEMBRE</t>
        </is>
      </c>
      <c r="G3979" s="1" t="inlineStr">
        <is>
          <t>HAIFENG</t>
        </is>
      </c>
      <c r="H3979" s="1" t="inlineStr">
        <is>
          <t>HAIFENG 03/12/2025</t>
        </is>
      </c>
      <c r="I3979" s="4" t="n">
        <v>5</v>
      </c>
      <c r="J3979" s="6" t="n">
        <v>15</v>
      </c>
      <c r="K3979" s="6" t="n">
        <v>313.7574002</v>
      </c>
      <c r="L3979" s="6">
        <f>I3979*K3979</f>
        <v/>
      </c>
      <c r="M3979" s="6">
        <f>K3979*4</f>
        <v/>
      </c>
      <c r="N3979" s="6" t="n">
        <v>1399</v>
      </c>
    </row>
    <row r="3980">
      <c r="A3980" s="1" t="inlineStr">
        <is>
          <t>70975151247725</t>
        </is>
      </c>
      <c r="B3980" s="1" t="inlineStr">
        <is>
          <t>PULSERA LOVE UNLIMITED SILVER</t>
        </is>
      </c>
      <c r="C3980" s="1" t="inlineStr">
        <is>
          <t>21</t>
        </is>
      </c>
      <c r="D3980" s="1" t="inlineStr">
        <is>
          <t>16/04/2026</t>
        </is>
      </c>
      <c r="E3980" s="1" t="n">
        <v>2026</v>
      </c>
      <c r="F3980" s="1" t="inlineStr">
        <is>
          <t>ABRIL</t>
        </is>
      </c>
      <c r="G3980" s="1" t="inlineStr">
        <is>
          <t>HAIFENG</t>
        </is>
      </c>
      <c r="H3980" s="1" t="inlineStr">
        <is>
          <t>HAIFENG 16/04/2026</t>
        </is>
      </c>
      <c r="I3980" s="4" t="n">
        <v>9</v>
      </c>
      <c r="J3980" s="6" t="n">
        <v>15</v>
      </c>
      <c r="K3980" s="6" t="n">
        <v>315.4721038</v>
      </c>
      <c r="L3980" s="6">
        <f>I3980*K3980</f>
        <v/>
      </c>
      <c r="M3980" s="6">
        <f>K3980*4</f>
        <v/>
      </c>
      <c r="N3980" s="6" t="n">
        <v>1399</v>
      </c>
    </row>
    <row r="3981">
      <c r="A3981" s="1" t="inlineStr">
        <is>
          <t>71036863389452</t>
        </is>
      </c>
      <c r="B3981" s="1" t="inlineStr">
        <is>
          <t>ANILLO BV CON UNA ZIRCONIA GOLD</t>
        </is>
      </c>
      <c r="C3981" s="1" t="n">
        <v>7</v>
      </c>
      <c r="D3981" s="1" t="inlineStr">
        <is>
          <t>31/05/2026</t>
        </is>
      </c>
      <c r="E3981" s="1" t="n">
        <v>2026</v>
      </c>
      <c r="F3981" s="1" t="inlineStr">
        <is>
          <t>MAYO</t>
        </is>
      </c>
      <c r="G3981" s="1" t="inlineStr">
        <is>
          <t>NANCY</t>
        </is>
      </c>
      <c r="H3981" s="1" t="inlineStr">
        <is>
          <t>NANCY 31/05/2026</t>
        </is>
      </c>
      <c r="I3981" s="4" t="n">
        <v>2</v>
      </c>
      <c r="J3981" s="6" t="n">
        <v>3.99</v>
      </c>
      <c r="K3981" s="6" t="n">
        <v>96.82768294</v>
      </c>
      <c r="L3981" s="6">
        <f>I3981*K3981</f>
        <v/>
      </c>
      <c r="M3981" s="6">
        <f>K3981*4</f>
        <v/>
      </c>
      <c r="N3981" s="6" t="n">
        <v>489</v>
      </c>
    </row>
    <row r="3982">
      <c r="A3982" s="1" t="inlineStr">
        <is>
          <t>71036863422220</t>
        </is>
      </c>
      <c r="B3982" s="1" t="inlineStr">
        <is>
          <t>ANILLO BV CON UNA ZIRCONIA GOLD</t>
        </is>
      </c>
      <c r="C3982" s="1" t="n">
        <v>8</v>
      </c>
      <c r="D3982" s="1" t="inlineStr">
        <is>
          <t>08/05/2026</t>
        </is>
      </c>
      <c r="E3982" s="1" t="n">
        <v>2026</v>
      </c>
      <c r="F3982" s="1" t="inlineStr">
        <is>
          <t>MAYO</t>
        </is>
      </c>
      <c r="G3982" s="1" t="inlineStr">
        <is>
          <t>NANCY</t>
        </is>
      </c>
      <c r="H3982" s="1" t="inlineStr">
        <is>
          <t>NANCY 08/05/2026</t>
        </is>
      </c>
      <c r="I3982" s="4" t="n">
        <v>1</v>
      </c>
      <c r="J3982" s="6" t="n">
        <v>3.99</v>
      </c>
      <c r="K3982" s="6" t="n">
        <v>94.39446484</v>
      </c>
      <c r="L3982" s="6">
        <f>I3982*K3982</f>
        <v/>
      </c>
      <c r="M3982" s="6">
        <f>K3982*4</f>
        <v/>
      </c>
      <c r="N3982" s="6" t="n">
        <v>489</v>
      </c>
    </row>
    <row r="3983">
      <c r="A3983" s="1" t="inlineStr">
        <is>
          <t>71036864415628</t>
        </is>
      </c>
      <c r="B3983" s="1" t="inlineStr">
        <is>
          <t>ANILLO LOCK GOLD</t>
        </is>
      </c>
      <c r="C3983" s="1" t="inlineStr">
        <is>
          <t>6 (REMATE)</t>
        </is>
      </c>
      <c r="D3983" s="1" t="inlineStr">
        <is>
          <t>03/12/2025</t>
        </is>
      </c>
      <c r="E3983" s="1" t="n">
        <v>2025</v>
      </c>
      <c r="F3983" s="1" t="inlineStr">
        <is>
          <t>DICIEMBRE</t>
        </is>
      </c>
      <c r="G3983" s="1" t="inlineStr">
        <is>
          <t>HAIFENG</t>
        </is>
      </c>
      <c r="H3983" s="1" t="inlineStr">
        <is>
          <t>HAIFENG 03/12/2025</t>
        </is>
      </c>
      <c r="I3983" s="4" t="n">
        <v>2</v>
      </c>
      <c r="J3983" s="6" t="n">
        <v>5</v>
      </c>
      <c r="K3983" s="6" t="n">
        <v>104.5858001</v>
      </c>
      <c r="L3983" s="6">
        <f>I3983*K3983</f>
        <v/>
      </c>
      <c r="M3983" s="6">
        <f>K3983*4</f>
        <v/>
      </c>
      <c r="N3983" s="6" t="n">
        <v>455</v>
      </c>
    </row>
    <row r="3984">
      <c r="A3984" s="1" t="inlineStr">
        <is>
          <t>71036864415628</t>
        </is>
      </c>
      <c r="B3984" s="1" t="inlineStr">
        <is>
          <t>ANILLO LOCK GOLD</t>
        </is>
      </c>
      <c r="C3984" s="1" t="inlineStr">
        <is>
          <t>6</t>
        </is>
      </c>
      <c r="D3984" s="1" t="inlineStr">
        <is>
          <t>11/03/2026</t>
        </is>
      </c>
      <c r="E3984" s="1" t="n">
        <v>2026</v>
      </c>
      <c r="F3984" s="1" t="inlineStr">
        <is>
          <t>MARZO</t>
        </is>
      </c>
      <c r="G3984" s="1" t="inlineStr">
        <is>
          <t>HAIFENG</t>
        </is>
      </c>
      <c r="H3984" s="1" t="inlineStr">
        <is>
          <t>HAIFENG 11/03/2026</t>
        </is>
      </c>
      <c r="I3984" s="4" t="n">
        <v>3</v>
      </c>
      <c r="J3984" s="6" t="n">
        <v>5</v>
      </c>
      <c r="K3984" s="6" t="n">
        <v>106.5194811</v>
      </c>
      <c r="L3984" s="6">
        <f>I3984*K3984</f>
        <v/>
      </c>
      <c r="M3984" s="6">
        <f>K3984*4</f>
        <v/>
      </c>
      <c r="N3984" s="6" t="n">
        <v>455</v>
      </c>
    </row>
    <row r="3985">
      <c r="A3985" s="1" t="inlineStr">
        <is>
          <t>71036864415628</t>
        </is>
      </c>
      <c r="B3985" s="1" t="inlineStr">
        <is>
          <t>ANILLO LOCK GOLD</t>
        </is>
      </c>
      <c r="C3985" s="1" t="inlineStr">
        <is>
          <t>6</t>
        </is>
      </c>
      <c r="D3985" s="1" t="inlineStr">
        <is>
          <t>26/05/2026</t>
        </is>
      </c>
      <c r="E3985" s="1" t="n">
        <v>2026</v>
      </c>
      <c r="F3985" s="1" t="inlineStr">
        <is>
          <t>MAYO</t>
        </is>
      </c>
      <c r="G3985" s="1" t="inlineStr">
        <is>
          <t>HAIFENG</t>
        </is>
      </c>
      <c r="H3985" s="1" t="inlineStr">
        <is>
          <t>HAIFENG 26/05/2026</t>
        </is>
      </c>
      <c r="I3985" s="4" t="n">
        <v>3</v>
      </c>
      <c r="J3985" s="6" t="n">
        <v>5</v>
      </c>
      <c r="K3985" s="6" t="n">
        <v>104.9464765</v>
      </c>
      <c r="L3985" s="6">
        <f>I3985*K3985</f>
        <v/>
      </c>
      <c r="M3985" s="6">
        <f>K3985*4</f>
        <v/>
      </c>
      <c r="N3985" s="6" t="n">
        <v>455</v>
      </c>
    </row>
    <row r="3986">
      <c r="A3986" s="1" t="inlineStr">
        <is>
          <t>71036870763532</t>
        </is>
      </c>
      <c r="B3986" s="1" t="inlineStr">
        <is>
          <t>PULSERA CC COMETE</t>
        </is>
      </c>
      <c r="C3986" s="1" t="inlineStr">
        <is>
          <t>16cm</t>
        </is>
      </c>
      <c r="D3986" s="1" t="inlineStr">
        <is>
          <t>05/09/2025</t>
        </is>
      </c>
      <c r="E3986" s="1" t="n">
        <v>2025</v>
      </c>
      <c r="F3986" s="1" t="inlineStr">
        <is>
          <t>SEPTIEMBRE</t>
        </is>
      </c>
      <c r="G3986" s="1" t="inlineStr">
        <is>
          <t>CYNTHIA</t>
        </is>
      </c>
      <c r="H3986" s="1" t="inlineStr">
        <is>
          <t>CYNTHIA 05/09/2025</t>
        </is>
      </c>
      <c r="I3986" s="4" t="n">
        <v>3</v>
      </c>
      <c r="J3986" s="6" t="n">
        <v>9.800000000000001</v>
      </c>
      <c r="K3986" s="6" t="n">
        <v>246.7551499</v>
      </c>
      <c r="L3986" s="6">
        <f>I3986*K3986</f>
        <v/>
      </c>
      <c r="M3986" s="6">
        <f>K3986*4</f>
        <v/>
      </c>
      <c r="N3986" s="6" t="n">
        <v>850</v>
      </c>
    </row>
    <row r="3987">
      <c r="A3987" s="1" t="inlineStr">
        <is>
          <t>71036870763532</t>
        </is>
      </c>
      <c r="B3987" s="1" t="inlineStr">
        <is>
          <t>PULSERA CC COMETE</t>
        </is>
      </c>
      <c r="C3987" s="1" t="inlineStr">
        <is>
          <t>16cm</t>
        </is>
      </c>
      <c r="D3987" s="1" t="inlineStr">
        <is>
          <t>19/03/2026</t>
        </is>
      </c>
      <c r="E3987" s="1" t="n">
        <v>2026</v>
      </c>
      <c r="F3987" s="1" t="inlineStr">
        <is>
          <t>MARZO</t>
        </is>
      </c>
      <c r="G3987" s="1" t="inlineStr">
        <is>
          <t>CYNTHIA</t>
        </is>
      </c>
      <c r="H3987" s="1" t="inlineStr">
        <is>
          <t>CYNTHIA 19/03/2026</t>
        </is>
      </c>
      <c r="I3987" s="4" t="n">
        <v>3</v>
      </c>
      <c r="J3987" s="6" t="n">
        <v>9.800000000000001</v>
      </c>
      <c r="K3987" s="6" t="n">
        <v>263.2026748</v>
      </c>
      <c r="L3987" s="6">
        <f>I3987*K3987</f>
        <v/>
      </c>
      <c r="M3987" s="6">
        <f>K3987*4</f>
        <v/>
      </c>
      <c r="N3987" s="6" t="n">
        <v>1049</v>
      </c>
    </row>
    <row r="3988">
      <c r="A3988" s="1" t="inlineStr">
        <is>
          <t>71036870763532</t>
        </is>
      </c>
      <c r="B3988" s="1" t="inlineStr">
        <is>
          <t>PULSERA CC COMETE</t>
        </is>
      </c>
      <c r="C3988" s="1" t="inlineStr">
        <is>
          <t>16cm</t>
        </is>
      </c>
      <c r="D3988" s="1" t="inlineStr">
        <is>
          <t>31/05/2026</t>
        </is>
      </c>
      <c r="E3988" s="1" t="n">
        <v>2026</v>
      </c>
      <c r="F3988" s="1" t="inlineStr">
        <is>
          <t>MAYO</t>
        </is>
      </c>
      <c r="G3988" s="1" t="inlineStr">
        <is>
          <t>CYNTHIA</t>
        </is>
      </c>
      <c r="H3988" s="1" t="inlineStr">
        <is>
          <t>CYNTHIA 31/05/2026</t>
        </is>
      </c>
      <c r="I3988" s="4" t="n">
        <v>6</v>
      </c>
      <c r="J3988" s="6" t="n">
        <v>9.800000000000001</v>
      </c>
      <c r="K3988" s="6" t="n">
        <v>259.7102408</v>
      </c>
      <c r="L3988" s="6">
        <f>I3988*K3988</f>
        <v/>
      </c>
      <c r="M3988" s="6">
        <f>K3988*4</f>
        <v/>
      </c>
      <c r="N3988" s="6" t="n">
        <v>1049</v>
      </c>
    </row>
    <row r="3989">
      <c r="A3989" s="1" t="inlineStr">
        <is>
          <t>71036872850956</t>
        </is>
      </c>
      <c r="B3989" s="1" t="inlineStr">
        <is>
          <t>PULSERA GC INTERLOCKING</t>
        </is>
      </c>
      <c r="C3989" s="1" t="inlineStr">
        <is>
          <t>18cm</t>
        </is>
      </c>
      <c r="D3989" s="1" t="inlineStr">
        <is>
          <t>05/09/2025</t>
        </is>
      </c>
      <c r="E3989" s="1" t="n">
        <v>2025</v>
      </c>
      <c r="F3989" s="1" t="inlineStr">
        <is>
          <t>SEPTIEMBRE</t>
        </is>
      </c>
      <c r="G3989" s="1" t="inlineStr">
        <is>
          <t>CYNTHIA</t>
        </is>
      </c>
      <c r="H3989" s="1" t="inlineStr">
        <is>
          <t>CYNTHIA 05/09/2025</t>
        </is>
      </c>
      <c r="I3989" s="4" t="n">
        <v>2</v>
      </c>
      <c r="J3989" s="6" t="n">
        <v>12.8</v>
      </c>
      <c r="K3989" s="6" t="n">
        <v>322.2924407</v>
      </c>
      <c r="L3989" s="6">
        <f>I3989*K3989</f>
        <v/>
      </c>
      <c r="M3989" s="6">
        <f>K3989*4</f>
        <v/>
      </c>
      <c r="N3989" s="6" t="n">
        <v>1066</v>
      </c>
    </row>
    <row r="3990">
      <c r="A3990" s="1" t="inlineStr">
        <is>
          <t>71036872850956</t>
        </is>
      </c>
      <c r="B3990" s="1" t="inlineStr">
        <is>
          <t>PULSERA GC INTERLOCKING</t>
        </is>
      </c>
      <c r="C3990" s="1" t="inlineStr">
        <is>
          <t>18cm</t>
        </is>
      </c>
      <c r="D3990" s="1" t="inlineStr">
        <is>
          <t>07/01/2026</t>
        </is>
      </c>
      <c r="E3990" s="1" t="n">
        <v>2026</v>
      </c>
      <c r="F3990" s="1" t="inlineStr">
        <is>
          <t>ENERO</t>
        </is>
      </c>
      <c r="G3990" s="1" t="inlineStr">
        <is>
          <t>CYNTHIA</t>
        </is>
      </c>
      <c r="H3990" s="1" t="inlineStr">
        <is>
          <t>CYNTHIA 07/01/2026</t>
        </is>
      </c>
      <c r="I3990" s="4" t="n">
        <v>2</v>
      </c>
      <c r="J3990" s="6" t="n">
        <v>12.8</v>
      </c>
      <c r="K3990" s="6" t="n">
        <v>340.3190742</v>
      </c>
      <c r="L3990" s="6">
        <f>I3990*K3990</f>
        <v/>
      </c>
      <c r="M3990" s="6">
        <f>K3990*4</f>
        <v/>
      </c>
      <c r="N3990" s="6" t="n">
        <v>1205</v>
      </c>
    </row>
    <row r="3991">
      <c r="A3991" s="1" t="inlineStr">
        <is>
          <t>71036872883724</t>
        </is>
      </c>
      <c r="B3991" s="1" t="inlineStr">
        <is>
          <t>PULSERA GC INTERLOCKING</t>
        </is>
      </c>
      <c r="C3991" s="1" t="inlineStr">
        <is>
          <t>20cm</t>
        </is>
      </c>
      <c r="D3991" s="1" t="inlineStr">
        <is>
          <t>05/09/2025</t>
        </is>
      </c>
      <c r="E3991" s="1" t="n">
        <v>2025</v>
      </c>
      <c r="F3991" s="1" t="inlineStr">
        <is>
          <t>SEPTIEMBRE</t>
        </is>
      </c>
      <c r="G3991" s="1" t="inlineStr">
        <is>
          <t>CYNTHIA</t>
        </is>
      </c>
      <c r="H3991" s="1" t="inlineStr">
        <is>
          <t>CYNTHIA 05/09/2025</t>
        </is>
      </c>
      <c r="I3991" s="4" t="n">
        <v>1</v>
      </c>
      <c r="J3991" s="6" t="n">
        <v>12.8</v>
      </c>
      <c r="K3991" s="6" t="n">
        <v>322.2924407</v>
      </c>
      <c r="L3991" s="6">
        <f>I3991*K3991</f>
        <v/>
      </c>
      <c r="M3991" s="6">
        <f>K3991*4</f>
        <v/>
      </c>
      <c r="N3991" s="6" t="n">
        <v>1066</v>
      </c>
    </row>
    <row r="3992">
      <c r="A3992" s="1" t="inlineStr">
        <is>
          <t>71036872883724</t>
        </is>
      </c>
      <c r="B3992" s="1" t="inlineStr">
        <is>
          <t>PULSERA GC INTERLOCKING</t>
        </is>
      </c>
      <c r="C3992" s="1" t="inlineStr">
        <is>
          <t>20cm</t>
        </is>
      </c>
      <c r="D3992" s="1" t="inlineStr">
        <is>
          <t>25/10/2025</t>
        </is>
      </c>
      <c r="E3992" s="1" t="n">
        <v>2025</v>
      </c>
      <c r="F3992" s="1" t="inlineStr">
        <is>
          <t>OCTUBRE</t>
        </is>
      </c>
      <c r="G3992" s="1" t="inlineStr">
        <is>
          <t>CYNTHIA</t>
        </is>
      </c>
      <c r="H3992" s="1" t="inlineStr">
        <is>
          <t>CYNTHIA 25/10/2025</t>
        </is>
      </c>
      <c r="I3992" s="4" t="n">
        <v>1</v>
      </c>
      <c r="J3992" s="6" t="n">
        <v>12.8</v>
      </c>
      <c r="K3992" s="6" t="n">
        <v>335.3833419</v>
      </c>
      <c r="L3992" s="6">
        <f>I3992*K3992</f>
        <v/>
      </c>
      <c r="M3992" s="6">
        <f>K3992*4</f>
        <v/>
      </c>
      <c r="N3992" s="6" t="n">
        <v>1066</v>
      </c>
    </row>
    <row r="3993">
      <c r="A3993" s="1" t="inlineStr">
        <is>
          <t>71036872883724</t>
        </is>
      </c>
      <c r="B3993" s="1" t="n"/>
      <c r="C3993" s="1" t="inlineStr">
        <is>
          <t>20cm</t>
        </is>
      </c>
      <c r="D3993" s="1" t="inlineStr">
        <is>
          <t>07/01/2026</t>
        </is>
      </c>
      <c r="E3993" s="1" t="n">
        <v>2026</v>
      </c>
      <c r="F3993" s="1" t="inlineStr">
        <is>
          <t>ENERO</t>
        </is>
      </c>
      <c r="G3993" s="1" t="inlineStr">
        <is>
          <t>CYNTHIA</t>
        </is>
      </c>
      <c r="H3993" s="1" t="inlineStr">
        <is>
          <t>CYNTHIA 07/01/2026</t>
        </is>
      </c>
      <c r="I3993" s="4" t="n">
        <v>1</v>
      </c>
      <c r="J3993" s="6" t="n">
        <v>12.8</v>
      </c>
      <c r="K3993" s="6" t="n">
        <v>340.3190742</v>
      </c>
      <c r="L3993" s="6">
        <f>I3993*K3993</f>
        <v/>
      </c>
      <c r="M3993" s="6">
        <f>K3993*4</f>
        <v/>
      </c>
      <c r="N3993" s="6" t="n">
        <v>1205</v>
      </c>
    </row>
    <row r="3994">
      <c r="A3994" s="1" t="inlineStr">
        <is>
          <t>71036872883724</t>
        </is>
      </c>
      <c r="B3994" s="1" t="inlineStr">
        <is>
          <t>PULSERA GC INTERLOCKING</t>
        </is>
      </c>
      <c r="C3994" s="1" t="inlineStr">
        <is>
          <t>20cm</t>
        </is>
      </c>
      <c r="D3994" s="1" t="inlineStr">
        <is>
          <t>19/03/2026</t>
        </is>
      </c>
      <c r="E3994" s="1" t="n">
        <v>2026</v>
      </c>
      <c r="F3994" s="1" t="inlineStr">
        <is>
          <t>MARZO</t>
        </is>
      </c>
      <c r="G3994" s="1" t="inlineStr">
        <is>
          <t>CYNTHIA</t>
        </is>
      </c>
      <c r="H3994" s="1" t="inlineStr">
        <is>
          <t>CYNTHIA 19/03/2026</t>
        </is>
      </c>
      <c r="I3994" s="4" t="n">
        <v>2</v>
      </c>
      <c r="J3994" s="6" t="n">
        <v>12.8</v>
      </c>
      <c r="K3994" s="6" t="n">
        <v>343.7749222</v>
      </c>
      <c r="L3994" s="6">
        <f>I3994*K3994</f>
        <v/>
      </c>
      <c r="M3994" s="6">
        <f>K3994*4</f>
        <v/>
      </c>
      <c r="N3994" s="6" t="n">
        <v>1205</v>
      </c>
    </row>
    <row r="3995">
      <c r="A3995" s="1" t="inlineStr">
        <is>
          <t>71036874448396</t>
        </is>
      </c>
      <c r="B3995" s="1" t="inlineStr">
        <is>
          <t>ANILLO LOCK GOLD</t>
        </is>
      </c>
      <c r="C3995" s="1" t="inlineStr">
        <is>
          <t>7</t>
        </is>
      </c>
      <c r="D3995" s="1" t="inlineStr">
        <is>
          <t>01/09/2025</t>
        </is>
      </c>
      <c r="E3995" s="1" t="n">
        <v>2025</v>
      </c>
      <c r="F3995" s="1" t="inlineStr">
        <is>
          <t>SEPTIEMBRE</t>
        </is>
      </c>
      <c r="G3995" s="1" t="inlineStr">
        <is>
          <t>HAIFENG</t>
        </is>
      </c>
      <c r="H3995" s="1" t="inlineStr">
        <is>
          <t>HAIFENG 01/09/2025</t>
        </is>
      </c>
      <c r="I3995" s="4" t="n">
        <v>1</v>
      </c>
      <c r="J3995" s="6" t="n">
        <v>5</v>
      </c>
      <c r="K3995" s="6" t="n">
        <v>106.2783553</v>
      </c>
      <c r="L3995" s="6">
        <f>I3995*K3995</f>
        <v/>
      </c>
      <c r="M3995" s="6">
        <f>K3995*4</f>
        <v/>
      </c>
      <c r="N3995" s="6" t="n">
        <v>454</v>
      </c>
    </row>
    <row r="3996">
      <c r="A3996" s="1" t="inlineStr">
        <is>
          <t>71036874448396</t>
        </is>
      </c>
      <c r="B3996" s="1" t="inlineStr">
        <is>
          <t>ANILLO LOCK GOLD</t>
        </is>
      </c>
      <c r="C3996" s="1" t="inlineStr">
        <is>
          <t>7</t>
        </is>
      </c>
      <c r="D3996" s="1" t="inlineStr">
        <is>
          <t>25/09/2025</t>
        </is>
      </c>
      <c r="E3996" s="1" t="n">
        <v>2025</v>
      </c>
      <c r="F3996" s="1" t="inlineStr">
        <is>
          <t>SEPTIEMBRE</t>
        </is>
      </c>
      <c r="G3996" s="1" t="inlineStr">
        <is>
          <t>HAIFENG</t>
        </is>
      </c>
      <c r="H3996" s="1" t="inlineStr">
        <is>
          <t>HAIFENG 25/09/2025</t>
        </is>
      </c>
      <c r="I3996" s="4" t="n">
        <v>1</v>
      </c>
      <c r="J3996" s="6" t="n">
        <v>5</v>
      </c>
      <c r="K3996" s="6" t="n">
        <v>105.4844288</v>
      </c>
      <c r="L3996" s="6">
        <f>I3996*K3996</f>
        <v/>
      </c>
      <c r="M3996" s="6">
        <f>K3996*4</f>
        <v/>
      </c>
      <c r="N3996" s="6" t="n">
        <v>454</v>
      </c>
    </row>
    <row r="3997">
      <c r="A3997" s="1" t="inlineStr">
        <is>
          <t>71036874448396</t>
        </is>
      </c>
      <c r="B3997" s="1" t="inlineStr">
        <is>
          <t>ANILLO LOCK GOLD</t>
        </is>
      </c>
      <c r="C3997" s="1" t="inlineStr">
        <is>
          <t>7</t>
        </is>
      </c>
      <c r="D3997" s="1" t="inlineStr">
        <is>
          <t>11/11/2025</t>
        </is>
      </c>
      <c r="E3997" s="1" t="n">
        <v>2025</v>
      </c>
      <c r="F3997" s="1" t="inlineStr">
        <is>
          <t>NOVIEMBRE</t>
        </is>
      </c>
      <c r="G3997" s="1" t="inlineStr">
        <is>
          <t>HAIFENG</t>
        </is>
      </c>
      <c r="H3997" s="1" t="inlineStr">
        <is>
          <t>HAIFENG 11/11/2025</t>
        </is>
      </c>
      <c r="I3997" s="4" t="n">
        <v>3</v>
      </c>
      <c r="J3997" s="6" t="n">
        <v>5</v>
      </c>
      <c r="K3997" s="6" t="n">
        <v>105.3024922</v>
      </c>
      <c r="L3997" s="6">
        <f>I3997*K3997</f>
        <v/>
      </c>
      <c r="M3997" s="6">
        <f>K3997*4</f>
        <v/>
      </c>
      <c r="N3997" s="6" t="n">
        <v>454</v>
      </c>
    </row>
    <row r="3998">
      <c r="A3998" s="1" t="inlineStr">
        <is>
          <t>71036874448396</t>
        </is>
      </c>
      <c r="B3998" s="1" t="inlineStr">
        <is>
          <t>ANILLO LOCK GOLD</t>
        </is>
      </c>
      <c r="C3998" s="1" t="inlineStr">
        <is>
          <t>7</t>
        </is>
      </c>
      <c r="D3998" s="1" t="inlineStr">
        <is>
          <t>03/12/2025</t>
        </is>
      </c>
      <c r="E3998" s="1" t="n">
        <v>2025</v>
      </c>
      <c r="F3998" s="1" t="inlineStr">
        <is>
          <t>DICIEMBRE</t>
        </is>
      </c>
      <c r="G3998" s="1" t="inlineStr">
        <is>
          <t>HAIFENG</t>
        </is>
      </c>
      <c r="H3998" s="1" t="inlineStr">
        <is>
          <t>HAIFENG 03/12/2025</t>
        </is>
      </c>
      <c r="I3998" s="4" t="n">
        <v>4</v>
      </c>
      <c r="J3998" s="6" t="n">
        <v>5</v>
      </c>
      <c r="K3998" s="6" t="n">
        <v>104.5858001</v>
      </c>
      <c r="L3998" s="6">
        <f>I3998*K3998</f>
        <v/>
      </c>
      <c r="M3998" s="6">
        <f>K3998*4</f>
        <v/>
      </c>
      <c r="N3998" s="6" t="n">
        <v>454</v>
      </c>
    </row>
    <row r="3999">
      <c r="A3999" s="1" t="inlineStr">
        <is>
          <t>71036874448396</t>
        </is>
      </c>
      <c r="B3999" s="1" t="inlineStr">
        <is>
          <t>ANILLO LOCK GOLD</t>
        </is>
      </c>
      <c r="C3999" s="1" t="inlineStr">
        <is>
          <t>7</t>
        </is>
      </c>
      <c r="D3999" s="1" t="inlineStr">
        <is>
          <t>16/04/2026</t>
        </is>
      </c>
      <c r="E3999" s="1" t="n">
        <v>2026</v>
      </c>
      <c r="F3999" s="1" t="inlineStr">
        <is>
          <t>ABRIL</t>
        </is>
      </c>
      <c r="G3999" s="1" t="inlineStr">
        <is>
          <t>HAIFENG</t>
        </is>
      </c>
      <c r="H3999" s="1" t="inlineStr">
        <is>
          <t>HAIFENG 16/04/2026</t>
        </is>
      </c>
      <c r="I3999" s="4" t="n">
        <v>5</v>
      </c>
      <c r="J3999" s="6" t="n">
        <v>5</v>
      </c>
      <c r="K3999" s="6" t="n">
        <v>105.1573679</v>
      </c>
      <c r="L3999" s="6">
        <f>I3999*K3999</f>
        <v/>
      </c>
      <c r="M3999" s="6">
        <f>K3999*4</f>
        <v/>
      </c>
      <c r="N3999" s="6" t="n">
        <v>454</v>
      </c>
    </row>
    <row r="4000">
      <c r="A4000" s="1" t="inlineStr">
        <is>
          <t>71036874481164</t>
        </is>
      </c>
      <c r="B4000" s="1" t="inlineStr">
        <is>
          <t>ANILLO LOCK GOLD</t>
        </is>
      </c>
      <c r="C4000" s="1" t="inlineStr">
        <is>
          <t>8</t>
        </is>
      </c>
      <c r="D4000" s="1" t="inlineStr">
        <is>
          <t>01/09/2025</t>
        </is>
      </c>
      <c r="E4000" s="1" t="n">
        <v>2025</v>
      </c>
      <c r="F4000" s="1" t="inlineStr">
        <is>
          <t>SEPTIEMBRE</t>
        </is>
      </c>
      <c r="G4000" s="1" t="inlineStr">
        <is>
          <t>HAIFENG</t>
        </is>
      </c>
      <c r="H4000" s="1" t="inlineStr">
        <is>
          <t>HAIFENG 01/09/2025</t>
        </is>
      </c>
      <c r="I4000" s="4" t="n">
        <v>1</v>
      </c>
      <c r="J4000" s="6" t="n">
        <v>5</v>
      </c>
      <c r="K4000" s="6" t="n">
        <v>106.2783553</v>
      </c>
      <c r="L4000" s="6">
        <f>I4000*K4000</f>
        <v/>
      </c>
      <c r="M4000" s="6">
        <f>K4000*4</f>
        <v/>
      </c>
      <c r="N4000" s="6" t="n">
        <v>455</v>
      </c>
    </row>
    <row r="4001">
      <c r="A4001" s="1" t="inlineStr">
        <is>
          <t>71036874481164</t>
        </is>
      </c>
      <c r="B4001" s="1" t="inlineStr">
        <is>
          <t>ANILLO LOCK GOLD</t>
        </is>
      </c>
      <c r="C4001" s="1" t="inlineStr">
        <is>
          <t>8</t>
        </is>
      </c>
      <c r="D4001" s="1" t="inlineStr">
        <is>
          <t>11/11/2025</t>
        </is>
      </c>
      <c r="E4001" s="1" t="n">
        <v>2025</v>
      </c>
      <c r="F4001" s="1" t="inlineStr">
        <is>
          <t>NOVIEMBRE</t>
        </is>
      </c>
      <c r="G4001" s="1" t="inlineStr">
        <is>
          <t>HAIFENG</t>
        </is>
      </c>
      <c r="H4001" s="1" t="inlineStr">
        <is>
          <t>HAIFENG 11/11/2025</t>
        </is>
      </c>
      <c r="I4001" s="4" t="n">
        <v>4</v>
      </c>
      <c r="J4001" s="6" t="n">
        <v>5</v>
      </c>
      <c r="K4001" s="6" t="n">
        <v>105.3024922</v>
      </c>
      <c r="L4001" s="6">
        <f>I4001*K4001</f>
        <v/>
      </c>
      <c r="M4001" s="6">
        <f>K4001*4</f>
        <v/>
      </c>
      <c r="N4001" s="6" t="n">
        <v>455</v>
      </c>
    </row>
    <row r="4002">
      <c r="A4002" s="1" t="inlineStr">
        <is>
          <t>71036874481164</t>
        </is>
      </c>
      <c r="B4002" s="1" t="inlineStr">
        <is>
          <t>ANILLO LOCK GOLD</t>
        </is>
      </c>
      <c r="C4002" s="1" t="inlineStr">
        <is>
          <t>8</t>
        </is>
      </c>
      <c r="D4002" s="1" t="inlineStr">
        <is>
          <t>03/12/2025</t>
        </is>
      </c>
      <c r="E4002" s="1" t="n">
        <v>2025</v>
      </c>
      <c r="F4002" s="1" t="inlineStr">
        <is>
          <t>DICIEMBRE</t>
        </is>
      </c>
      <c r="G4002" s="1" t="inlineStr">
        <is>
          <t>HAIFENG</t>
        </is>
      </c>
      <c r="H4002" s="1" t="inlineStr">
        <is>
          <t>HAIFENG 03/12/2025</t>
        </is>
      </c>
      <c r="I4002" s="4" t="n">
        <v>3</v>
      </c>
      <c r="J4002" s="6" t="n">
        <v>5</v>
      </c>
      <c r="K4002" s="6" t="n">
        <v>104.5858001</v>
      </c>
      <c r="L4002" s="6">
        <f>I4002*K4002</f>
        <v/>
      </c>
      <c r="M4002" s="6">
        <f>K4002*4</f>
        <v/>
      </c>
      <c r="N4002" s="6" t="n">
        <v>455</v>
      </c>
    </row>
    <row r="4003">
      <c r="A4003" s="1" t="inlineStr">
        <is>
          <t>71036874481164</t>
        </is>
      </c>
      <c r="B4003" s="1" t="inlineStr">
        <is>
          <t>ANILLO LOCK GOLD</t>
        </is>
      </c>
      <c r="C4003" s="1" t="inlineStr">
        <is>
          <t>8</t>
        </is>
      </c>
      <c r="D4003" s="1" t="inlineStr">
        <is>
          <t>16/04/2026</t>
        </is>
      </c>
      <c r="E4003" s="1" t="n">
        <v>2026</v>
      </c>
      <c r="F4003" s="1" t="inlineStr">
        <is>
          <t>ABRIL</t>
        </is>
      </c>
      <c r="G4003" s="1" t="inlineStr">
        <is>
          <t>HAIFENG</t>
        </is>
      </c>
      <c r="H4003" s="1" t="inlineStr">
        <is>
          <t>HAIFENG 16/04/2026</t>
        </is>
      </c>
      <c r="I4003" s="4" t="n">
        <v>3</v>
      </c>
      <c r="J4003" s="6" t="n">
        <v>5</v>
      </c>
      <c r="K4003" s="6" t="n">
        <v>105.1573679</v>
      </c>
      <c r="L4003" s="6">
        <f>I4003*K4003</f>
        <v/>
      </c>
      <c r="M4003" s="6">
        <f>K4003*4</f>
        <v/>
      </c>
      <c r="N4003" s="6" t="n">
        <v>455</v>
      </c>
    </row>
    <row r="4004">
      <c r="A4004" s="1" t="inlineStr">
        <is>
          <t>71036874481164</t>
        </is>
      </c>
      <c r="B4004" s="1" t="inlineStr">
        <is>
          <t>ANILLO LOCK GOLD</t>
        </is>
      </c>
      <c r="C4004" s="1" t="inlineStr">
        <is>
          <t>8</t>
        </is>
      </c>
      <c r="D4004" s="1" t="inlineStr">
        <is>
          <t>26/05/2026</t>
        </is>
      </c>
      <c r="E4004" s="1" t="n">
        <v>2026</v>
      </c>
      <c r="F4004" s="1" t="inlineStr">
        <is>
          <t>MAYO</t>
        </is>
      </c>
      <c r="G4004" s="1" t="inlineStr">
        <is>
          <t>HAIFENG</t>
        </is>
      </c>
      <c r="H4004" s="1" t="inlineStr">
        <is>
          <t>HAIFENG 26/05/2026</t>
        </is>
      </c>
      <c r="I4004" s="4" t="n">
        <v>4</v>
      </c>
      <c r="J4004" s="6" t="n">
        <v>5</v>
      </c>
      <c r="K4004" s="6" t="n">
        <v>104.9464765</v>
      </c>
      <c r="L4004" s="6">
        <f>I4004*K4004</f>
        <v/>
      </c>
      <c r="M4004" s="6">
        <f>K4004*4</f>
        <v/>
      </c>
      <c r="N4004" s="6" t="n">
        <v>455</v>
      </c>
    </row>
    <row r="4005">
      <c r="A4005" s="1" t="inlineStr">
        <is>
          <t>71036876217868</t>
        </is>
      </c>
      <c r="B4005" s="1" t="inlineStr">
        <is>
          <t>ANILLO LOCK SILVER</t>
        </is>
      </c>
      <c r="C4005" s="1" t="inlineStr">
        <is>
          <t>6</t>
        </is>
      </c>
      <c r="D4005" s="1" t="inlineStr">
        <is>
          <t>11/11/2025</t>
        </is>
      </c>
      <c r="E4005" s="1" t="n">
        <v>2025</v>
      </c>
      <c r="F4005" s="1" t="inlineStr">
        <is>
          <t>NOVIEMBRE</t>
        </is>
      </c>
      <c r="G4005" s="1" t="inlineStr">
        <is>
          <t>HAIFENG</t>
        </is>
      </c>
      <c r="H4005" s="1" t="inlineStr">
        <is>
          <t>HAIFENG 11/11/2025</t>
        </is>
      </c>
      <c r="I4005" s="4" t="n">
        <v>2</v>
      </c>
      <c r="J4005" s="6" t="n">
        <v>5</v>
      </c>
      <c r="K4005" s="6" t="n">
        <v>105.3024922</v>
      </c>
      <c r="L4005" s="6">
        <f>I4005*K4005</f>
        <v/>
      </c>
      <c r="M4005" s="6">
        <f>K4005*4</f>
        <v/>
      </c>
      <c r="N4005" s="6" t="n">
        <v>455</v>
      </c>
    </row>
    <row r="4006">
      <c r="A4006" s="1" t="inlineStr">
        <is>
          <t>71036876217868</t>
        </is>
      </c>
      <c r="B4006" s="1" t="inlineStr">
        <is>
          <t>ANILLO LOCK SILVER</t>
        </is>
      </c>
      <c r="C4006" s="1" t="inlineStr">
        <is>
          <t>6</t>
        </is>
      </c>
      <c r="D4006" s="1" t="inlineStr">
        <is>
          <t>03/12/2025</t>
        </is>
      </c>
      <c r="E4006" s="1" t="n">
        <v>2025</v>
      </c>
      <c r="F4006" s="1" t="inlineStr">
        <is>
          <t>DICIEMBRE</t>
        </is>
      </c>
      <c r="G4006" s="1" t="inlineStr">
        <is>
          <t>HAIFENG</t>
        </is>
      </c>
      <c r="H4006" s="1" t="inlineStr">
        <is>
          <t>HAIFENG 03/12/2025</t>
        </is>
      </c>
      <c r="I4006" s="4" t="n">
        <v>2</v>
      </c>
      <c r="J4006" s="6" t="n">
        <v>5</v>
      </c>
      <c r="K4006" s="6" t="n">
        <v>104.5858001</v>
      </c>
      <c r="L4006" s="6">
        <f>I4006*K4006</f>
        <v/>
      </c>
      <c r="M4006" s="6">
        <f>K4006*4</f>
        <v/>
      </c>
      <c r="N4006" s="6" t="n">
        <v>455</v>
      </c>
    </row>
    <row r="4007">
      <c r="A4007" s="1" t="inlineStr">
        <is>
          <t>71036876217868</t>
        </is>
      </c>
      <c r="B4007" s="1" t="inlineStr">
        <is>
          <t>ANILLO LOCK SILVER</t>
        </is>
      </c>
      <c r="C4007" s="1" t="inlineStr">
        <is>
          <t>6</t>
        </is>
      </c>
      <c r="D4007" s="1" t="inlineStr">
        <is>
          <t>26/05/2026</t>
        </is>
      </c>
      <c r="E4007" s="1" t="n">
        <v>2026</v>
      </c>
      <c r="F4007" s="1" t="inlineStr">
        <is>
          <t>MAYO</t>
        </is>
      </c>
      <c r="G4007" s="1" t="inlineStr">
        <is>
          <t>HAIFENG</t>
        </is>
      </c>
      <c r="H4007" s="1" t="inlineStr">
        <is>
          <t>HAIFENG 26/05/2026</t>
        </is>
      </c>
      <c r="I4007" s="4" t="n">
        <v>3</v>
      </c>
      <c r="J4007" s="6" t="n">
        <v>5</v>
      </c>
      <c r="K4007" s="6" t="n">
        <v>104.9464765</v>
      </c>
      <c r="L4007" s="6">
        <f>I4007*K4007</f>
        <v/>
      </c>
      <c r="M4007" s="6">
        <f>K4007*4</f>
        <v/>
      </c>
      <c r="N4007" s="6" t="n">
        <v>455</v>
      </c>
    </row>
    <row r="4008">
      <c r="A4008" s="1" t="inlineStr">
        <is>
          <t>71036876250636</t>
        </is>
      </c>
      <c r="B4008" s="1" t="inlineStr">
        <is>
          <t>ANILLO LOCK SILVER</t>
        </is>
      </c>
      <c r="C4008" s="1" t="inlineStr">
        <is>
          <t>7</t>
        </is>
      </c>
      <c r="D4008" s="1" t="inlineStr">
        <is>
          <t>25/09/2025</t>
        </is>
      </c>
      <c r="E4008" s="1" t="n">
        <v>2025</v>
      </c>
      <c r="F4008" s="1" t="inlineStr">
        <is>
          <t>SEPTIEMBRE</t>
        </is>
      </c>
      <c r="G4008" s="1" t="inlineStr">
        <is>
          <t>HAIFENG</t>
        </is>
      </c>
      <c r="H4008" s="1" t="inlineStr">
        <is>
          <t>HAIFENG 25/09/2025</t>
        </is>
      </c>
      <c r="I4008" s="4" t="n">
        <v>2</v>
      </c>
      <c r="J4008" s="6" t="n">
        <v>5</v>
      </c>
      <c r="K4008" s="6" t="n">
        <v>105.4844288</v>
      </c>
      <c r="L4008" s="6">
        <f>I4008*K4008</f>
        <v/>
      </c>
      <c r="M4008" s="6">
        <f>K4008*4</f>
        <v/>
      </c>
      <c r="N4008" s="6" t="n">
        <v>455</v>
      </c>
    </row>
    <row r="4009">
      <c r="A4009" s="1" t="inlineStr">
        <is>
          <t>71036876250636</t>
        </is>
      </c>
      <c r="B4009" s="1" t="inlineStr">
        <is>
          <t>ANILLO LOCK SILVER</t>
        </is>
      </c>
      <c r="C4009" s="1" t="inlineStr">
        <is>
          <t>7</t>
        </is>
      </c>
      <c r="D4009" s="1" t="inlineStr">
        <is>
          <t>03/12/2025</t>
        </is>
      </c>
      <c r="E4009" s="1" t="n">
        <v>2025</v>
      </c>
      <c r="F4009" s="1" t="inlineStr">
        <is>
          <t>DICIEMBRE</t>
        </is>
      </c>
      <c r="G4009" s="1" t="inlineStr">
        <is>
          <t>HAIFENG</t>
        </is>
      </c>
      <c r="H4009" s="1" t="inlineStr">
        <is>
          <t>HAIFENG 03/12/2025</t>
        </is>
      </c>
      <c r="I4009" s="4" t="n">
        <v>5</v>
      </c>
      <c r="J4009" s="6" t="n">
        <v>5</v>
      </c>
      <c r="K4009" s="6" t="n">
        <v>104.5858001</v>
      </c>
      <c r="L4009" s="6">
        <f>I4009*K4009</f>
        <v/>
      </c>
      <c r="M4009" s="6">
        <f>K4009*4</f>
        <v/>
      </c>
      <c r="N4009" s="6" t="n">
        <v>455</v>
      </c>
    </row>
    <row r="4010">
      <c r="A4010" s="1" t="inlineStr">
        <is>
          <t>71036876250636</t>
        </is>
      </c>
      <c r="B4010" s="1" t="inlineStr">
        <is>
          <t>ANILLO LOCK SILVER</t>
        </is>
      </c>
      <c r="C4010" s="1" t="inlineStr">
        <is>
          <t>7</t>
        </is>
      </c>
      <c r="D4010" s="1" t="inlineStr">
        <is>
          <t>20/01/2026</t>
        </is>
      </c>
      <c r="E4010" s="1" t="n">
        <v>2026</v>
      </c>
      <c r="F4010" s="1" t="inlineStr">
        <is>
          <t>ENERO</t>
        </is>
      </c>
      <c r="G4010" s="1" t="inlineStr">
        <is>
          <t>HAIFENG</t>
        </is>
      </c>
      <c r="H4010" s="1" t="inlineStr">
        <is>
          <t>HAIFENG 20/01/2026</t>
        </is>
      </c>
      <c r="I4010" s="4" t="n">
        <v>2</v>
      </c>
      <c r="J4010" s="6" t="n">
        <v>5</v>
      </c>
      <c r="K4010" s="6" t="n">
        <v>106.002089</v>
      </c>
      <c r="L4010" s="6">
        <f>I4010*K4010</f>
        <v/>
      </c>
      <c r="M4010" s="6">
        <f>K4010*4</f>
        <v/>
      </c>
      <c r="N4010" s="6" t="n">
        <v>455</v>
      </c>
    </row>
    <row r="4011">
      <c r="A4011" s="1" t="inlineStr">
        <is>
          <t>71036876250636</t>
        </is>
      </c>
      <c r="B4011" s="1" t="inlineStr">
        <is>
          <t>ANILLO LOCK SILVER</t>
        </is>
      </c>
      <c r="C4011" s="1" t="inlineStr">
        <is>
          <t>7</t>
        </is>
      </c>
      <c r="D4011" s="1" t="inlineStr">
        <is>
          <t>26/05/2026</t>
        </is>
      </c>
      <c r="E4011" s="1" t="n">
        <v>2026</v>
      </c>
      <c r="F4011" s="1" t="inlineStr">
        <is>
          <t>MAYO</t>
        </is>
      </c>
      <c r="G4011" s="1" t="inlineStr">
        <is>
          <t>HAIFENG</t>
        </is>
      </c>
      <c r="H4011" s="1" t="inlineStr">
        <is>
          <t>HAIFENG 26/05/2026</t>
        </is>
      </c>
      <c r="I4011" s="4" t="n">
        <v>5</v>
      </c>
      <c r="J4011" s="6" t="n">
        <v>5</v>
      </c>
      <c r="K4011" s="6" t="n">
        <v>104.9464765</v>
      </c>
      <c r="L4011" s="6">
        <f>I4011*K4011</f>
        <v/>
      </c>
      <c r="M4011" s="6">
        <f>K4011*4</f>
        <v/>
      </c>
      <c r="N4011" s="6" t="n">
        <v>455</v>
      </c>
    </row>
    <row r="4012">
      <c r="A4012" s="1" t="inlineStr">
        <is>
          <t>71036876283404</t>
        </is>
      </c>
      <c r="B4012" s="1" t="inlineStr">
        <is>
          <t>ANILLO LOCK SILVER</t>
        </is>
      </c>
      <c r="C4012" s="1" t="inlineStr">
        <is>
          <t>8</t>
        </is>
      </c>
      <c r="D4012" s="1" t="inlineStr">
        <is>
          <t>01/09/2025</t>
        </is>
      </c>
      <c r="E4012" s="1" t="n">
        <v>2025</v>
      </c>
      <c r="F4012" s="1" t="inlineStr">
        <is>
          <t>SEPTIEMBRE</t>
        </is>
      </c>
      <c r="G4012" s="1" t="inlineStr">
        <is>
          <t>HAIFENG</t>
        </is>
      </c>
      <c r="H4012" s="1" t="inlineStr">
        <is>
          <t>HAIFENG 01/09/2025</t>
        </is>
      </c>
      <c r="I4012" s="4" t="n">
        <v>2</v>
      </c>
      <c r="J4012" s="6" t="n">
        <v>5</v>
      </c>
      <c r="K4012" s="6" t="n">
        <v>106.2783553</v>
      </c>
      <c r="L4012" s="6">
        <f>I4012*K4012</f>
        <v/>
      </c>
      <c r="M4012" s="6">
        <f>K4012*4</f>
        <v/>
      </c>
      <c r="N4012" s="6" t="n">
        <v>454</v>
      </c>
    </row>
    <row r="4013">
      <c r="A4013" s="1" t="inlineStr">
        <is>
          <t>71036876283404</t>
        </is>
      </c>
      <c r="B4013" s="1" t="inlineStr">
        <is>
          <t>ANILLO LOCK SILVER</t>
        </is>
      </c>
      <c r="C4013" s="1" t="inlineStr">
        <is>
          <t>8</t>
        </is>
      </c>
      <c r="D4013" s="1" t="inlineStr">
        <is>
          <t>11/11/2025</t>
        </is>
      </c>
      <c r="E4013" s="1" t="n">
        <v>2025</v>
      </c>
      <c r="F4013" s="1" t="inlineStr">
        <is>
          <t>NOVIEMBRE</t>
        </is>
      </c>
      <c r="G4013" s="1" t="inlineStr">
        <is>
          <t>HAIFENG</t>
        </is>
      </c>
      <c r="H4013" s="1" t="inlineStr">
        <is>
          <t>HAIFENG 11/11/2025</t>
        </is>
      </c>
      <c r="I4013" s="4" t="n">
        <v>1</v>
      </c>
      <c r="J4013" s="6" t="n">
        <v>5</v>
      </c>
      <c r="K4013" s="6" t="n">
        <v>105.3024922</v>
      </c>
      <c r="L4013" s="6">
        <f>I4013*K4013</f>
        <v/>
      </c>
      <c r="M4013" s="6">
        <f>K4013*4</f>
        <v/>
      </c>
      <c r="N4013" s="6" t="n">
        <v>454</v>
      </c>
    </row>
    <row r="4014">
      <c r="A4014" s="1" t="inlineStr">
        <is>
          <t>71036876283404</t>
        </is>
      </c>
      <c r="B4014" s="1" t="inlineStr">
        <is>
          <t>ANILLO LOCK SILVER</t>
        </is>
      </c>
      <c r="C4014" s="1" t="inlineStr">
        <is>
          <t>8</t>
        </is>
      </c>
      <c r="D4014" s="1" t="inlineStr">
        <is>
          <t>03/12/2025</t>
        </is>
      </c>
      <c r="E4014" s="1" t="n">
        <v>2025</v>
      </c>
      <c r="F4014" s="1" t="inlineStr">
        <is>
          <t>DICIEMBRE</t>
        </is>
      </c>
      <c r="G4014" s="1" t="inlineStr">
        <is>
          <t>HAIFENG</t>
        </is>
      </c>
      <c r="H4014" s="1" t="inlineStr">
        <is>
          <t>HAIFENG 03/12/2025</t>
        </is>
      </c>
      <c r="I4014" s="4" t="n">
        <v>3</v>
      </c>
      <c r="J4014" s="6" t="n">
        <v>5</v>
      </c>
      <c r="K4014" s="6" t="n">
        <v>104.5858001</v>
      </c>
      <c r="L4014" s="6">
        <f>I4014*K4014</f>
        <v/>
      </c>
      <c r="M4014" s="6">
        <f>K4014*4</f>
        <v/>
      </c>
      <c r="N4014" s="6" t="n">
        <v>454</v>
      </c>
    </row>
    <row r="4015">
      <c r="A4015" s="1" t="inlineStr">
        <is>
          <t>71036876283404</t>
        </is>
      </c>
      <c r="B4015" s="1" t="inlineStr">
        <is>
          <t>ANILLO LOCK SILVER</t>
        </is>
      </c>
      <c r="C4015" s="1" t="inlineStr">
        <is>
          <t>8</t>
        </is>
      </c>
      <c r="D4015" s="1" t="inlineStr">
        <is>
          <t>20/01/2026</t>
        </is>
      </c>
      <c r="E4015" s="1" t="n">
        <v>2026</v>
      </c>
      <c r="F4015" s="1" t="inlineStr">
        <is>
          <t>ENERO</t>
        </is>
      </c>
      <c r="G4015" s="1" t="inlineStr">
        <is>
          <t>HAIFENG</t>
        </is>
      </c>
      <c r="H4015" s="1" t="inlineStr">
        <is>
          <t>HAIFENG 20/01/2026</t>
        </is>
      </c>
      <c r="I4015" s="4" t="n">
        <v>2</v>
      </c>
      <c r="J4015" s="6" t="n">
        <v>5</v>
      </c>
      <c r="K4015" s="6" t="n">
        <v>106.002089</v>
      </c>
      <c r="L4015" s="6">
        <f>I4015*K4015</f>
        <v/>
      </c>
      <c r="M4015" s="6">
        <f>K4015*4</f>
        <v/>
      </c>
      <c r="N4015" s="6" t="n">
        <v>454</v>
      </c>
    </row>
    <row r="4016">
      <c r="A4016" s="1" t="inlineStr">
        <is>
          <t>71036876283404</t>
        </is>
      </c>
      <c r="B4016" s="1" t="inlineStr">
        <is>
          <t>ANILLO LOCK SILVER</t>
        </is>
      </c>
      <c r="C4016" s="1" t="inlineStr">
        <is>
          <t>8</t>
        </is>
      </c>
      <c r="D4016" s="1" t="inlineStr">
        <is>
          <t>11/03/2026</t>
        </is>
      </c>
      <c r="E4016" s="1" t="n">
        <v>2026</v>
      </c>
      <c r="F4016" s="1" t="inlineStr">
        <is>
          <t>MARZO</t>
        </is>
      </c>
      <c r="G4016" s="1" t="inlineStr">
        <is>
          <t>HAIFENG</t>
        </is>
      </c>
      <c r="H4016" s="1" t="inlineStr">
        <is>
          <t>HAIFENG 11/03/2026</t>
        </is>
      </c>
      <c r="I4016" s="4" t="n">
        <v>1</v>
      </c>
      <c r="J4016" s="6" t="n">
        <v>5</v>
      </c>
      <c r="K4016" s="6" t="n">
        <v>106.5194811</v>
      </c>
      <c r="L4016" s="6">
        <f>I4016*K4016</f>
        <v/>
      </c>
      <c r="M4016" s="6">
        <f>K4016*4</f>
        <v/>
      </c>
      <c r="N4016" s="6" t="n">
        <v>454</v>
      </c>
    </row>
    <row r="4017">
      <c r="A4017" s="1" t="inlineStr">
        <is>
          <t>71036876283404</t>
        </is>
      </c>
      <c r="B4017" s="1" t="inlineStr">
        <is>
          <t>ANILLO LOCK SILVER</t>
        </is>
      </c>
      <c r="C4017" s="1" t="inlineStr">
        <is>
          <t>8</t>
        </is>
      </c>
      <c r="D4017" s="1" t="inlineStr">
        <is>
          <t>26/05/2026</t>
        </is>
      </c>
      <c r="E4017" s="1" t="n">
        <v>2026</v>
      </c>
      <c r="F4017" s="1" t="inlineStr">
        <is>
          <t>MAYO</t>
        </is>
      </c>
      <c r="G4017" s="1" t="inlineStr">
        <is>
          <t>HAIFENG</t>
        </is>
      </c>
      <c r="H4017" s="1" t="inlineStr">
        <is>
          <t>HAIFENG 26/05/2026</t>
        </is>
      </c>
      <c r="I4017" s="4" t="n">
        <v>5</v>
      </c>
      <c r="J4017" s="6" t="n">
        <v>5</v>
      </c>
      <c r="K4017" s="6" t="n">
        <v>104.9464765</v>
      </c>
      <c r="L4017" s="6">
        <f>I4017*K4017</f>
        <v/>
      </c>
      <c r="M4017" s="6">
        <f>K4017*4</f>
        <v/>
      </c>
      <c r="N4017" s="6" t="n">
        <v>454</v>
      </c>
    </row>
    <row r="4018">
      <c r="A4018" s="1" t="inlineStr">
        <is>
          <t>71036878066828</t>
        </is>
      </c>
      <c r="B4018" s="1" t="inlineStr">
        <is>
          <t>COLLAR GC INTERLOCKING</t>
        </is>
      </c>
      <c r="C4018" s="1" t="inlineStr">
        <is>
          <t>59cm</t>
        </is>
      </c>
      <c r="D4018" s="1" t="inlineStr">
        <is>
          <t>05/09/2025</t>
        </is>
      </c>
      <c r="E4018" s="1" t="n">
        <v>2025</v>
      </c>
      <c r="F4018" s="1" t="inlineStr">
        <is>
          <t>SEPTIEMBRE</t>
        </is>
      </c>
      <c r="G4018" s="1" t="inlineStr">
        <is>
          <t>CYNTHIA</t>
        </is>
      </c>
      <c r="H4018" s="1" t="inlineStr">
        <is>
          <t>CYNTHIA 05/09/2025</t>
        </is>
      </c>
      <c r="I4018" s="4" t="n">
        <v>2</v>
      </c>
      <c r="J4018" s="6" t="n">
        <v>15.8</v>
      </c>
      <c r="K4018" s="6" t="n">
        <v>397.8297315</v>
      </c>
      <c r="L4018" s="6">
        <f>I4018*K4018</f>
        <v/>
      </c>
      <c r="M4018" s="6">
        <f>K4018*4</f>
        <v/>
      </c>
      <c r="N4018" s="6" t="n">
        <v>1102</v>
      </c>
    </row>
    <row r="4019">
      <c r="A4019" s="1" t="inlineStr">
        <is>
          <t>71036879166988</t>
        </is>
      </c>
      <c r="B4019" s="1" t="inlineStr">
        <is>
          <t>ANILLO T DE COMPROMISO</t>
        </is>
      </c>
      <c r="C4019" s="1" t="inlineStr">
        <is>
          <t>6</t>
        </is>
      </c>
      <c r="D4019" s="1" t="inlineStr">
        <is>
          <t>01/09/2025</t>
        </is>
      </c>
      <c r="E4019" s="1" t="n">
        <v>2025</v>
      </c>
      <c r="F4019" s="1" t="inlineStr">
        <is>
          <t>SEPTIEMBRE</t>
        </is>
      </c>
      <c r="G4019" s="1" t="inlineStr">
        <is>
          <t>HAIFENG</t>
        </is>
      </c>
      <c r="H4019" s="1" t="inlineStr">
        <is>
          <t>HAIFENG 01/09/2025</t>
        </is>
      </c>
      <c r="I4019" s="4" t="n">
        <v>3</v>
      </c>
      <c r="J4019" s="6" t="n">
        <v>5</v>
      </c>
      <c r="K4019" s="6" t="n">
        <v>106.2783553</v>
      </c>
      <c r="L4019" s="6">
        <f>I4019*K4019</f>
        <v/>
      </c>
      <c r="M4019" s="6">
        <f>K4019*4</f>
        <v/>
      </c>
      <c r="N4019" s="6" t="n">
        <v>599</v>
      </c>
    </row>
    <row r="4020">
      <c r="A4020" s="1" t="inlineStr">
        <is>
          <t>71036879166988</t>
        </is>
      </c>
      <c r="B4020" s="1" t="inlineStr">
        <is>
          <t>ANILLO T DE COMPROMISO</t>
        </is>
      </c>
      <c r="C4020" s="1" t="inlineStr">
        <is>
          <t>6</t>
        </is>
      </c>
      <c r="D4020" s="1" t="inlineStr">
        <is>
          <t>11/11/2025</t>
        </is>
      </c>
      <c r="E4020" s="1" t="n">
        <v>2025</v>
      </c>
      <c r="F4020" s="1" t="inlineStr">
        <is>
          <t>NOVIEMBRE</t>
        </is>
      </c>
      <c r="G4020" s="1" t="inlineStr">
        <is>
          <t>HAIFENG</t>
        </is>
      </c>
      <c r="H4020" s="1" t="inlineStr">
        <is>
          <t>HAIFENG 11/11/2025</t>
        </is>
      </c>
      <c r="I4020" s="4" t="n">
        <v>5</v>
      </c>
      <c r="J4020" s="6" t="n">
        <v>5</v>
      </c>
      <c r="K4020" s="6" t="n">
        <v>105.3024922</v>
      </c>
      <c r="L4020" s="6">
        <f>I4020*K4020</f>
        <v/>
      </c>
      <c r="M4020" s="6">
        <f>K4020*4</f>
        <v/>
      </c>
      <c r="N4020" s="6" t="n">
        <v>599</v>
      </c>
    </row>
    <row r="4021">
      <c r="A4021" s="1" t="inlineStr">
        <is>
          <t>71036879166988</t>
        </is>
      </c>
      <c r="B4021" s="1" t="inlineStr">
        <is>
          <t>ANILLO T DE COMPROMISO</t>
        </is>
      </c>
      <c r="C4021" s="1" t="inlineStr">
        <is>
          <t>6</t>
        </is>
      </c>
      <c r="D4021" s="1" t="inlineStr">
        <is>
          <t>03/12/2025</t>
        </is>
      </c>
      <c r="E4021" s="1" t="n">
        <v>2025</v>
      </c>
      <c r="F4021" s="1" t="inlineStr">
        <is>
          <t>DICIEMBRE</t>
        </is>
      </c>
      <c r="G4021" s="1" t="inlineStr">
        <is>
          <t>HAIFENG</t>
        </is>
      </c>
      <c r="H4021" s="1" t="inlineStr">
        <is>
          <t>HAIFENG 03/12/2025</t>
        </is>
      </c>
      <c r="I4021" s="4" t="n">
        <v>4</v>
      </c>
      <c r="J4021" s="6" t="n">
        <v>5</v>
      </c>
      <c r="K4021" s="6" t="n">
        <v>104.5858001</v>
      </c>
      <c r="L4021" s="6">
        <f>I4021*K4021</f>
        <v/>
      </c>
      <c r="M4021" s="6">
        <f>K4021*4</f>
        <v/>
      </c>
      <c r="N4021" s="6" t="n">
        <v>599</v>
      </c>
    </row>
    <row r="4022">
      <c r="A4022" s="1" t="inlineStr">
        <is>
          <t>71036879166988</t>
        </is>
      </c>
      <c r="B4022" s="1" t="inlineStr">
        <is>
          <t>ANILLO T DE COMPROMISO</t>
        </is>
      </c>
      <c r="C4022" s="1" t="inlineStr">
        <is>
          <t>6</t>
        </is>
      </c>
      <c r="D4022" s="1" t="inlineStr">
        <is>
          <t>20/01/2026</t>
        </is>
      </c>
      <c r="E4022" s="1" t="n">
        <v>2026</v>
      </c>
      <c r="F4022" s="1" t="inlineStr">
        <is>
          <t>ENERO</t>
        </is>
      </c>
      <c r="G4022" s="1" t="inlineStr">
        <is>
          <t>HAIFENG</t>
        </is>
      </c>
      <c r="H4022" s="1" t="inlineStr">
        <is>
          <t>HAIFENG 20/01/2026</t>
        </is>
      </c>
      <c r="I4022" s="4" t="n">
        <v>2</v>
      </c>
      <c r="J4022" s="6" t="n">
        <v>5</v>
      </c>
      <c r="K4022" s="6" t="n">
        <v>106.002089</v>
      </c>
      <c r="L4022" s="6">
        <f>I4022*K4022</f>
        <v/>
      </c>
      <c r="M4022" s="6">
        <f>K4022*4</f>
        <v/>
      </c>
      <c r="N4022" s="6" t="n">
        <v>599</v>
      </c>
    </row>
    <row r="4023">
      <c r="A4023" s="1" t="inlineStr">
        <is>
          <t>71036879166988</t>
        </is>
      </c>
      <c r="B4023" s="1" t="inlineStr">
        <is>
          <t>ANILLO T DE COMPROMISO</t>
        </is>
      </c>
      <c r="C4023" s="1" t="inlineStr">
        <is>
          <t>6</t>
        </is>
      </c>
      <c r="D4023" s="1" t="inlineStr">
        <is>
          <t>10/02/2026</t>
        </is>
      </c>
      <c r="E4023" s="1" t="n">
        <v>2026</v>
      </c>
      <c r="F4023" s="1" t="inlineStr">
        <is>
          <t>FEBRERO</t>
        </is>
      </c>
      <c r="G4023" s="1" t="inlineStr">
        <is>
          <t>HAIFENG</t>
        </is>
      </c>
      <c r="H4023" s="1" t="inlineStr">
        <is>
          <t>HAIFENG 10/02/2026</t>
        </is>
      </c>
      <c r="I4023" s="4" t="n">
        <v>2</v>
      </c>
      <c r="J4023" s="6" t="n">
        <v>5</v>
      </c>
      <c r="K4023" s="6" t="n">
        <v>105.3424803</v>
      </c>
      <c r="L4023" s="6">
        <f>I4023*K4023</f>
        <v/>
      </c>
      <c r="M4023" s="6">
        <f>K4023*4</f>
        <v/>
      </c>
      <c r="N4023" s="6" t="n">
        <v>599</v>
      </c>
    </row>
    <row r="4024">
      <c r="A4024" s="1" t="inlineStr">
        <is>
          <t>71036879166988</t>
        </is>
      </c>
      <c r="B4024" s="1" t="inlineStr">
        <is>
          <t>ANILLO T DE COMPROMISO</t>
        </is>
      </c>
      <c r="C4024" s="1" t="inlineStr">
        <is>
          <t>6</t>
        </is>
      </c>
      <c r="D4024" s="1" t="inlineStr">
        <is>
          <t>06/05/2026</t>
        </is>
      </c>
      <c r="E4024" s="1" t="n">
        <v>2026</v>
      </c>
      <c r="F4024" s="1" t="inlineStr">
        <is>
          <t>MAYO</t>
        </is>
      </c>
      <c r="G4024" s="1" t="inlineStr">
        <is>
          <t>HAIFENG</t>
        </is>
      </c>
      <c r="H4024" s="1" t="inlineStr">
        <is>
          <t>HAIFENG 06/05/2026</t>
        </is>
      </c>
      <c r="I4024" s="4" t="n">
        <v>3</v>
      </c>
      <c r="J4024" s="6" t="n">
        <v>5</v>
      </c>
      <c r="K4024" s="6" t="n">
        <v>106.0932113</v>
      </c>
      <c r="L4024" s="6">
        <f>I4024*K4024</f>
        <v/>
      </c>
      <c r="M4024" s="6">
        <f>K4024*4</f>
        <v/>
      </c>
      <c r="N4024" s="6" t="n">
        <v>599</v>
      </c>
    </row>
    <row r="4025">
      <c r="A4025" s="1" t="inlineStr">
        <is>
          <t>71036889199756</t>
        </is>
      </c>
      <c r="B4025" s="1" t="inlineStr">
        <is>
          <t>ANILLO T DE COMPROMISO</t>
        </is>
      </c>
      <c r="C4025" s="1" t="inlineStr">
        <is>
          <t>7</t>
        </is>
      </c>
      <c r="D4025" s="1" t="inlineStr">
        <is>
          <t>01/09/2025</t>
        </is>
      </c>
      <c r="E4025" s="1" t="n">
        <v>2025</v>
      </c>
      <c r="F4025" s="1" t="inlineStr">
        <is>
          <t>SEPTIEMBRE</t>
        </is>
      </c>
      <c r="G4025" s="1" t="inlineStr">
        <is>
          <t>HAIFENG</t>
        </is>
      </c>
      <c r="H4025" s="1" t="inlineStr">
        <is>
          <t>HAIFENG 01/09/2025</t>
        </is>
      </c>
      <c r="I4025" s="4" t="n">
        <v>3</v>
      </c>
      <c r="J4025" s="6" t="n">
        <v>5</v>
      </c>
      <c r="K4025" s="6" t="n">
        <v>106.2783553</v>
      </c>
      <c r="L4025" s="6">
        <f>I4025*K4025</f>
        <v/>
      </c>
      <c r="M4025" s="6">
        <f>K4025*4</f>
        <v/>
      </c>
      <c r="N4025" s="6" t="n">
        <v>599</v>
      </c>
    </row>
    <row r="4026">
      <c r="A4026" s="1" t="inlineStr">
        <is>
          <t>71036889199756</t>
        </is>
      </c>
      <c r="B4026" s="1" t="inlineStr">
        <is>
          <t>ANILLO T DE COMPROMISO</t>
        </is>
      </c>
      <c r="C4026" s="1" t="inlineStr">
        <is>
          <t>7</t>
        </is>
      </c>
      <c r="D4026" s="1" t="inlineStr">
        <is>
          <t>03/12/2025</t>
        </is>
      </c>
      <c r="E4026" s="1" t="n">
        <v>2025</v>
      </c>
      <c r="F4026" s="1" t="inlineStr">
        <is>
          <t>DICIEMBRE</t>
        </is>
      </c>
      <c r="G4026" s="1" t="inlineStr">
        <is>
          <t>HAIFENG</t>
        </is>
      </c>
      <c r="H4026" s="1" t="inlineStr">
        <is>
          <t>HAIFENG 03/12/2025</t>
        </is>
      </c>
      <c r="I4026" s="4" t="n">
        <v>3</v>
      </c>
      <c r="J4026" s="6" t="n">
        <v>5</v>
      </c>
      <c r="K4026" s="6" t="n">
        <v>104.5858001</v>
      </c>
      <c r="L4026" s="6">
        <f>I4026*K4026</f>
        <v/>
      </c>
      <c r="M4026" s="6">
        <f>K4026*4</f>
        <v/>
      </c>
      <c r="N4026" s="6" t="n">
        <v>599</v>
      </c>
    </row>
    <row r="4027">
      <c r="A4027" s="1" t="inlineStr">
        <is>
          <t>71036889199756</t>
        </is>
      </c>
      <c r="B4027" s="1" t="inlineStr">
        <is>
          <t>ANILLO T DE COMPROMISO</t>
        </is>
      </c>
      <c r="C4027" s="1" t="inlineStr">
        <is>
          <t>7</t>
        </is>
      </c>
      <c r="D4027" s="1" t="inlineStr">
        <is>
          <t>20/01/2026</t>
        </is>
      </c>
      <c r="E4027" s="1" t="n">
        <v>2026</v>
      </c>
      <c r="F4027" s="1" t="inlineStr">
        <is>
          <t>ENERO</t>
        </is>
      </c>
      <c r="G4027" s="1" t="inlineStr">
        <is>
          <t>HAIFENG</t>
        </is>
      </c>
      <c r="H4027" s="1" t="inlineStr">
        <is>
          <t>HAIFENG 20/01/2026</t>
        </is>
      </c>
      <c r="I4027" s="4" t="n">
        <v>2</v>
      </c>
      <c r="J4027" s="6" t="n">
        <v>5</v>
      </c>
      <c r="K4027" s="6" t="n">
        <v>106.002089</v>
      </c>
      <c r="L4027" s="6">
        <f>I4027*K4027</f>
        <v/>
      </c>
      <c r="M4027" s="6">
        <f>K4027*4</f>
        <v/>
      </c>
      <c r="N4027" s="6" t="n">
        <v>599</v>
      </c>
    </row>
    <row r="4028">
      <c r="A4028" s="1" t="inlineStr">
        <is>
          <t>71036889199756</t>
        </is>
      </c>
      <c r="B4028" s="1" t="inlineStr">
        <is>
          <t>ANILLO T DE COMPROMISO</t>
        </is>
      </c>
      <c r="C4028" s="1" t="inlineStr">
        <is>
          <t>7</t>
        </is>
      </c>
      <c r="D4028" s="1" t="inlineStr">
        <is>
          <t>06/05/2026</t>
        </is>
      </c>
      <c r="E4028" s="1" t="n">
        <v>2026</v>
      </c>
      <c r="F4028" s="1" t="inlineStr">
        <is>
          <t>MAYO</t>
        </is>
      </c>
      <c r="G4028" s="1" t="inlineStr">
        <is>
          <t>HAIFENG</t>
        </is>
      </c>
      <c r="H4028" s="1" t="inlineStr">
        <is>
          <t>HAIFENG 06/05/2026</t>
        </is>
      </c>
      <c r="I4028" s="4" t="n">
        <v>5</v>
      </c>
      <c r="J4028" s="6" t="n">
        <v>5</v>
      </c>
      <c r="K4028" s="6" t="n">
        <v>106.0932113</v>
      </c>
      <c r="L4028" s="6">
        <f>I4028*K4028</f>
        <v/>
      </c>
      <c r="M4028" s="6">
        <f>K4028*4</f>
        <v/>
      </c>
      <c r="N4028" s="6" t="n">
        <v>599</v>
      </c>
    </row>
    <row r="4029">
      <c r="A4029" s="1" t="inlineStr">
        <is>
          <t>71036889232524</t>
        </is>
      </c>
      <c r="B4029" s="1" t="inlineStr">
        <is>
          <t>ANILLO T DE COMPROMISO</t>
        </is>
      </c>
      <c r="C4029" s="1" t="inlineStr">
        <is>
          <t>8</t>
        </is>
      </c>
      <c r="D4029" s="1" t="inlineStr">
        <is>
          <t>01/09/2025</t>
        </is>
      </c>
      <c r="E4029" s="1" t="n">
        <v>2025</v>
      </c>
      <c r="F4029" s="1" t="inlineStr">
        <is>
          <t>SEPTIEMBRE</t>
        </is>
      </c>
      <c r="G4029" s="1" t="inlineStr">
        <is>
          <t>HAIFENG</t>
        </is>
      </c>
      <c r="H4029" s="1" t="inlineStr">
        <is>
          <t>HAIFENG 01/09/2025</t>
        </is>
      </c>
      <c r="I4029" s="4" t="n">
        <v>3</v>
      </c>
      <c r="J4029" s="6" t="n">
        <v>5</v>
      </c>
      <c r="K4029" s="6" t="n">
        <v>106.2783553</v>
      </c>
      <c r="L4029" s="6">
        <f>I4029*K4029</f>
        <v/>
      </c>
      <c r="M4029" s="6">
        <f>K4029*4</f>
        <v/>
      </c>
      <c r="N4029" s="6" t="n">
        <v>599</v>
      </c>
    </row>
    <row r="4030">
      <c r="A4030" s="1" t="inlineStr">
        <is>
          <t>71036889232524</t>
        </is>
      </c>
      <c r="B4030" s="1" t="n"/>
      <c r="C4030" s="1" t="inlineStr">
        <is>
          <t>8</t>
        </is>
      </c>
      <c r="D4030" s="1" t="inlineStr">
        <is>
          <t>10/02/2026</t>
        </is>
      </c>
      <c r="E4030" s="1" t="n">
        <v>2026</v>
      </c>
      <c r="F4030" s="1" t="inlineStr">
        <is>
          <t>FEBRERO</t>
        </is>
      </c>
      <c r="G4030" s="1" t="inlineStr">
        <is>
          <t>HAIFENG</t>
        </is>
      </c>
      <c r="H4030" s="1" t="inlineStr">
        <is>
          <t>HAIFENG 10/02/2026</t>
        </is>
      </c>
      <c r="I4030" s="4" t="n">
        <v>3</v>
      </c>
      <c r="J4030" s="6" t="n">
        <v>5</v>
      </c>
      <c r="K4030" s="6" t="n">
        <v>105.3424803</v>
      </c>
      <c r="L4030" s="6">
        <f>I4030*K4030</f>
        <v/>
      </c>
      <c r="M4030" s="6">
        <f>K4030*4</f>
        <v/>
      </c>
      <c r="N4030" s="6" t="n">
        <v>599</v>
      </c>
    </row>
    <row r="4031">
      <c r="A4031" s="1" t="inlineStr">
        <is>
          <t>71036889232524</t>
        </is>
      </c>
      <c r="B4031" s="1" t="inlineStr">
        <is>
          <t>ANILLO T DE COMPROMISO</t>
        </is>
      </c>
      <c r="C4031" s="1" t="inlineStr">
        <is>
          <t>8</t>
        </is>
      </c>
      <c r="D4031" s="1" t="inlineStr">
        <is>
          <t>06/05/2026</t>
        </is>
      </c>
      <c r="E4031" s="1" t="n">
        <v>2026</v>
      </c>
      <c r="F4031" s="1" t="inlineStr">
        <is>
          <t>MAYO</t>
        </is>
      </c>
      <c r="G4031" s="1" t="inlineStr">
        <is>
          <t>HAIFENG</t>
        </is>
      </c>
      <c r="H4031" s="1" t="inlineStr">
        <is>
          <t>HAIFENG 06/05/2026</t>
        </is>
      </c>
      <c r="I4031" s="4" t="n">
        <v>1</v>
      </c>
      <c r="J4031" s="6" t="n">
        <v>5</v>
      </c>
      <c r="K4031" s="6" t="n">
        <v>106.0932113</v>
      </c>
      <c r="L4031" s="6">
        <f>I4031*K4031</f>
        <v/>
      </c>
      <c r="M4031" s="6">
        <f>K4031*4</f>
        <v/>
      </c>
      <c r="N4031" s="6" t="n">
        <v>599</v>
      </c>
    </row>
    <row r="4032">
      <c r="A4032" s="1" t="inlineStr">
        <is>
          <t>71036889232524</t>
        </is>
      </c>
      <c r="B4032" s="1" t="inlineStr">
        <is>
          <t>ANILLO T DE COMPROMISO</t>
        </is>
      </c>
      <c r="C4032" s="1" t="inlineStr">
        <is>
          <t>8</t>
        </is>
      </c>
      <c r="D4032" s="1" t="inlineStr">
        <is>
          <t>16/06/2026</t>
        </is>
      </c>
      <c r="E4032" s="1" t="n">
        <v>2026</v>
      </c>
      <c r="F4032" s="1" t="inlineStr">
        <is>
          <t>JUNIO</t>
        </is>
      </c>
      <c r="G4032" s="1" t="inlineStr">
        <is>
          <t>HAIFENG</t>
        </is>
      </c>
      <c r="H4032" s="1" t="inlineStr">
        <is>
          <t>HAIFENG 16/06/2026</t>
        </is>
      </c>
      <c r="I4032" s="4" t="n">
        <v>2</v>
      </c>
      <c r="J4032" s="6" t="n">
        <v>5</v>
      </c>
      <c r="K4032" s="6" t="n">
        <v>105.0730323</v>
      </c>
      <c r="L4032" s="6">
        <f>I4032*K4032</f>
        <v/>
      </c>
      <c r="M4032" s="6">
        <f>K4032*4</f>
        <v/>
      </c>
      <c r="N4032" s="6" t="n">
        <v>599</v>
      </c>
    </row>
    <row r="4033">
      <c r="A4033" s="1" t="inlineStr">
        <is>
          <t>71078751021293</t>
        </is>
      </c>
      <c r="B4033" s="1" t="inlineStr">
        <is>
          <t>PULSERA LV IDYLLE SILVER</t>
        </is>
      </c>
      <c r="C4033" s="1" t="inlineStr">
        <is>
          <t>Default Title</t>
        </is>
      </c>
      <c r="D4033" s="1" t="inlineStr">
        <is>
          <t>22/10/2025</t>
        </is>
      </c>
      <c r="E4033" s="1" t="n">
        <v>2025</v>
      </c>
      <c r="F4033" s="1" t="inlineStr">
        <is>
          <t>OCTUBRE</t>
        </is>
      </c>
      <c r="G4033" s="1" t="inlineStr">
        <is>
          <t>HAIFENG</t>
        </is>
      </c>
      <c r="H4033" s="1" t="inlineStr">
        <is>
          <t>HAIFENG 22/10/2025</t>
        </is>
      </c>
      <c r="I4033" s="4" t="n">
        <v>3</v>
      </c>
      <c r="J4033" s="6" t="n">
        <v>6.99</v>
      </c>
      <c r="K4033" s="6" t="n">
        <v>147.6865515</v>
      </c>
      <c r="L4033" s="6">
        <f>I4033*K4033</f>
        <v/>
      </c>
      <c r="M4033" s="6">
        <f>K4033*4</f>
        <v/>
      </c>
      <c r="N4033" s="6" t="n">
        <v>580</v>
      </c>
    </row>
    <row r="4034">
      <c r="A4034" s="1" t="inlineStr">
        <is>
          <t>71078751021293</t>
        </is>
      </c>
      <c r="B4034" s="1" t="inlineStr">
        <is>
          <t>PULSERA LV IDYLLE SILVER</t>
        </is>
      </c>
      <c r="C4034" s="1" t="inlineStr">
        <is>
          <t>Default Title</t>
        </is>
      </c>
      <c r="D4034" s="1" t="inlineStr">
        <is>
          <t>20/01/2026</t>
        </is>
      </c>
      <c r="E4034" s="1" t="n">
        <v>2026</v>
      </c>
      <c r="F4034" s="1" t="inlineStr">
        <is>
          <t>ENERO</t>
        </is>
      </c>
      <c r="G4034" s="1" t="inlineStr">
        <is>
          <t>HAIFENG</t>
        </is>
      </c>
      <c r="H4034" s="1" t="inlineStr">
        <is>
          <t>HAIFENG 20/01/2026</t>
        </is>
      </c>
      <c r="I4034" s="4" t="n">
        <v>4</v>
      </c>
      <c r="J4034" s="6" t="n">
        <v>6.99</v>
      </c>
      <c r="K4034" s="6" t="n">
        <v>148.1909204</v>
      </c>
      <c r="L4034" s="6">
        <f>I4034*K4034</f>
        <v/>
      </c>
      <c r="M4034" s="6">
        <f>K4034*4</f>
        <v/>
      </c>
      <c r="N4034" s="6" t="n">
        <v>580</v>
      </c>
    </row>
    <row r="4035">
      <c r="A4035" s="1" t="inlineStr">
        <is>
          <t>71078751021293</t>
        </is>
      </c>
      <c r="B4035" s="1" t="inlineStr">
        <is>
          <t>PULSERA LV IDYLLE SILVER</t>
        </is>
      </c>
      <c r="C4035" s="1" t="inlineStr">
        <is>
          <t>Default Title</t>
        </is>
      </c>
      <c r="D4035" s="1" t="inlineStr">
        <is>
          <t>10/02/2026</t>
        </is>
      </c>
      <c r="E4035" s="1" t="n">
        <v>2026</v>
      </c>
      <c r="F4035" s="1" t="inlineStr">
        <is>
          <t>FEBRERO</t>
        </is>
      </c>
      <c r="G4035" s="1" t="inlineStr">
        <is>
          <t>HAIFENG</t>
        </is>
      </c>
      <c r="H4035" s="1" t="inlineStr">
        <is>
          <t>HAIFENG 10/02/2026</t>
        </is>
      </c>
      <c r="I4035" s="4" t="n">
        <v>2</v>
      </c>
      <c r="J4035" s="6" t="n">
        <v>6.99</v>
      </c>
      <c r="K4035" s="6" t="n">
        <v>147.2687875</v>
      </c>
      <c r="L4035" s="6">
        <f>I4035*K4035</f>
        <v/>
      </c>
      <c r="M4035" s="6">
        <f>K4035*4</f>
        <v/>
      </c>
      <c r="N4035" s="6" t="n">
        <v>580</v>
      </c>
    </row>
    <row r="4036">
      <c r="A4036" s="1" t="inlineStr">
        <is>
          <t>71078751481933</t>
        </is>
      </c>
      <c r="B4036" s="1" t="inlineStr">
        <is>
          <t>ANILLO LV GRABADO SILVER</t>
        </is>
      </c>
      <c r="C4036" s="1" t="n">
        <v>8</v>
      </c>
      <c r="D4036" s="1" t="inlineStr">
        <is>
          <t>22/10/2025</t>
        </is>
      </c>
      <c r="E4036" s="1" t="n">
        <v>2025</v>
      </c>
      <c r="F4036" s="1" t="inlineStr">
        <is>
          <t>OCTUBRE</t>
        </is>
      </c>
      <c r="G4036" s="1" t="inlineStr">
        <is>
          <t>HAIFENG</t>
        </is>
      </c>
      <c r="H4036" s="1" t="inlineStr">
        <is>
          <t>HAIFENG 22/10/2025</t>
        </is>
      </c>
      <c r="I4036" s="4" t="n">
        <v>2</v>
      </c>
      <c r="J4036" s="6" t="n">
        <v>5.99</v>
      </c>
      <c r="K4036" s="6" t="n">
        <v>126.5582895</v>
      </c>
      <c r="L4036" s="6">
        <f>I4036*K4036</f>
        <v/>
      </c>
      <c r="M4036" s="6">
        <f>K4036*4</f>
        <v/>
      </c>
      <c r="N4036" s="6" t="n">
        <v>599</v>
      </c>
    </row>
    <row r="4037">
      <c r="A4037" s="1" t="inlineStr">
        <is>
          <t>71078751481933</t>
        </is>
      </c>
      <c r="B4037" s="1" t="inlineStr">
        <is>
          <t>ANILLO LV GRABADO SILVER</t>
        </is>
      </c>
      <c r="C4037" s="1" t="inlineStr">
        <is>
          <t>8</t>
        </is>
      </c>
      <c r="D4037" s="1" t="inlineStr">
        <is>
          <t>10/02/2026</t>
        </is>
      </c>
      <c r="E4037" s="1" t="n">
        <v>2026</v>
      </c>
      <c r="F4037" s="1" t="inlineStr">
        <is>
          <t>FEBRERO</t>
        </is>
      </c>
      <c r="G4037" s="1" t="inlineStr">
        <is>
          <t>HAIFENG</t>
        </is>
      </c>
      <c r="H4037" s="1" t="inlineStr">
        <is>
          <t>HAIFENG 10/02/2026</t>
        </is>
      </c>
      <c r="I4037" s="4" t="n">
        <v>3</v>
      </c>
      <c r="J4037" s="6" t="n">
        <v>6.99</v>
      </c>
      <c r="K4037" s="6" t="n">
        <v>147.2687875</v>
      </c>
      <c r="L4037" s="6">
        <f>I4037*K4037</f>
        <v/>
      </c>
      <c r="M4037" s="6">
        <f>K4037*4</f>
        <v/>
      </c>
      <c r="N4037" s="6" t="n">
        <v>599</v>
      </c>
    </row>
    <row r="4038">
      <c r="A4038" s="1" t="inlineStr">
        <is>
          <t>71078751481933</t>
        </is>
      </c>
      <c r="B4038" s="1" t="inlineStr">
        <is>
          <t>ANILLO LV GRABADO SILVER</t>
        </is>
      </c>
      <c r="C4038" s="1" t="inlineStr">
        <is>
          <t>8</t>
        </is>
      </c>
      <c r="D4038" s="1" t="inlineStr">
        <is>
          <t>11/03/2026</t>
        </is>
      </c>
      <c r="E4038" s="1" t="n">
        <v>2026</v>
      </c>
      <c r="F4038" s="1" t="inlineStr">
        <is>
          <t>MARZO</t>
        </is>
      </c>
      <c r="G4038" s="1" t="inlineStr">
        <is>
          <t>HAIFENG</t>
        </is>
      </c>
      <c r="H4038" s="1" t="inlineStr">
        <is>
          <t>HAIFENG 11/03/2026</t>
        </is>
      </c>
      <c r="I4038" s="4" t="n">
        <v>2</v>
      </c>
      <c r="J4038" s="6" t="n">
        <v>6.99</v>
      </c>
      <c r="K4038" s="6" t="n">
        <v>148.9142345</v>
      </c>
      <c r="L4038" s="6">
        <f>I4038*K4038</f>
        <v/>
      </c>
      <c r="M4038" s="6">
        <f>K4038*4</f>
        <v/>
      </c>
      <c r="N4038" s="6" t="n">
        <v>599</v>
      </c>
    </row>
    <row r="4039">
      <c r="A4039" s="1" t="inlineStr">
        <is>
          <t>71078751659341</t>
        </is>
      </c>
      <c r="B4039" s="1" t="inlineStr">
        <is>
          <t>COLLAR C SILVER ZIRCONIAS</t>
        </is>
      </c>
      <c r="C4039" s="1" t="inlineStr">
        <is>
          <t>Default Title</t>
        </is>
      </c>
      <c r="D4039" s="1" t="inlineStr">
        <is>
          <t>22/10/2025</t>
        </is>
      </c>
      <c r="E4039" s="1" t="n">
        <v>2025</v>
      </c>
      <c r="F4039" s="1" t="inlineStr">
        <is>
          <t>OCTUBRE</t>
        </is>
      </c>
      <c r="G4039" s="1" t="inlineStr">
        <is>
          <t>HAIFENG</t>
        </is>
      </c>
      <c r="H4039" s="1" t="inlineStr">
        <is>
          <t>HAIFENG 22/10/2025</t>
        </is>
      </c>
      <c r="I4039" s="4" t="n">
        <v>2</v>
      </c>
      <c r="J4039" s="6" t="n">
        <v>5.99</v>
      </c>
      <c r="K4039" s="6" t="n">
        <v>126.5582895</v>
      </c>
      <c r="L4039" s="6">
        <f>I4039*K4039</f>
        <v/>
      </c>
      <c r="M4039" s="6">
        <f>K4039*4</f>
        <v/>
      </c>
      <c r="N4039" s="6" t="n">
        <v>493.58</v>
      </c>
    </row>
    <row r="4040">
      <c r="A4040" s="1" t="inlineStr">
        <is>
          <t>71078751659341</t>
        </is>
      </c>
      <c r="B4040" s="1" t="inlineStr">
        <is>
          <t>COLLAR C SILVER ZIRCONIAS</t>
        </is>
      </c>
      <c r="C4040" s="1" t="inlineStr">
        <is>
          <t>Default Title</t>
        </is>
      </c>
      <c r="D4040" s="1" t="inlineStr">
        <is>
          <t>10/02/2026</t>
        </is>
      </c>
      <c r="E4040" s="1" t="n">
        <v>2026</v>
      </c>
      <c r="F4040" s="1" t="inlineStr">
        <is>
          <t>FEBRERO</t>
        </is>
      </c>
      <c r="G4040" s="1" t="inlineStr">
        <is>
          <t>HAIFENG</t>
        </is>
      </c>
      <c r="H4040" s="1" t="inlineStr">
        <is>
          <t>HAIFENG 10/02/2026</t>
        </is>
      </c>
      <c r="I4040" s="4" t="n">
        <v>1</v>
      </c>
      <c r="J4040" s="6" t="n">
        <v>5.99</v>
      </c>
      <c r="K4040" s="6" t="n">
        <v>126.2002914</v>
      </c>
      <c r="L4040" s="6">
        <f>I4040*K4040</f>
        <v/>
      </c>
      <c r="M4040" s="6">
        <f>K4040*4</f>
        <v/>
      </c>
      <c r="N4040" s="6" t="n">
        <v>493.58</v>
      </c>
    </row>
    <row r="4041">
      <c r="A4041" s="1" t="inlineStr">
        <is>
          <t>71078751659341</t>
        </is>
      </c>
      <c r="B4041" s="1" t="inlineStr">
        <is>
          <t>COLLAR C SILVER ZIRCONIAS</t>
        </is>
      </c>
      <c r="C4041" s="1" t="inlineStr">
        <is>
          <t>Default Title</t>
        </is>
      </c>
      <c r="D4041" s="1" t="inlineStr">
        <is>
          <t>16/04/2026</t>
        </is>
      </c>
      <c r="E4041" s="1" t="n">
        <v>2026</v>
      </c>
      <c r="F4041" s="1" t="inlineStr">
        <is>
          <t>ABRIL</t>
        </is>
      </c>
      <c r="G4041" s="1" t="inlineStr">
        <is>
          <t>HAIFENG</t>
        </is>
      </c>
      <c r="H4041" s="1" t="inlineStr">
        <is>
          <t>HAIFENG 16/04/2026</t>
        </is>
      </c>
      <c r="I4041" s="4" t="n">
        <v>2</v>
      </c>
      <c r="J4041" s="6" t="n">
        <v>5.99</v>
      </c>
      <c r="K4041" s="6" t="n">
        <v>125.9785268</v>
      </c>
      <c r="L4041" s="6">
        <f>I4041*K4041</f>
        <v/>
      </c>
      <c r="M4041" s="6">
        <f>K4041*4</f>
        <v/>
      </c>
      <c r="N4041" s="6" t="n">
        <v>493.58</v>
      </c>
    </row>
    <row r="4042">
      <c r="A4042" s="1" t="inlineStr">
        <is>
          <t>71078751862733</t>
        </is>
      </c>
      <c r="B4042" s="1" t="inlineStr">
        <is>
          <t>PULSERA C GOLD DOBLE PEARL</t>
        </is>
      </c>
      <c r="C4042" s="1" t="inlineStr">
        <is>
          <t>Default Title</t>
        </is>
      </c>
      <c r="D4042" s="1" t="inlineStr">
        <is>
          <t>22/10/2025</t>
        </is>
      </c>
      <c r="E4042" s="1" t="n">
        <v>2025</v>
      </c>
      <c r="F4042" s="1" t="inlineStr">
        <is>
          <t>OCTUBRE</t>
        </is>
      </c>
      <c r="G4042" s="1" t="inlineStr">
        <is>
          <t>HAIFENG</t>
        </is>
      </c>
      <c r="H4042" s="1" t="inlineStr">
        <is>
          <t>HAIFENG 22/10/2025</t>
        </is>
      </c>
      <c r="I4042" s="4" t="n">
        <v>2</v>
      </c>
      <c r="J4042" s="6" t="n">
        <v>9</v>
      </c>
      <c r="K4042" s="6" t="n">
        <v>190.1543582</v>
      </c>
      <c r="L4042" s="6">
        <f>I4042*K4042</f>
        <v/>
      </c>
      <c r="M4042" s="6">
        <f>K4042*4</f>
        <v/>
      </c>
      <c r="N4042" s="6" t="n">
        <v>741.6</v>
      </c>
    </row>
    <row r="4043">
      <c r="A4043" s="1" t="inlineStr">
        <is>
          <t>71078751862733</t>
        </is>
      </c>
      <c r="B4043" s="1" t="inlineStr">
        <is>
          <t>PULSERA C GOLD DOBLE PEARL</t>
        </is>
      </c>
      <c r="C4043" s="1" t="inlineStr">
        <is>
          <t>Default Title</t>
        </is>
      </c>
      <c r="D4043" s="1" t="inlineStr">
        <is>
          <t>16/06/2026</t>
        </is>
      </c>
      <c r="E4043" s="1" t="n">
        <v>2026</v>
      </c>
      <c r="F4043" s="1" t="inlineStr">
        <is>
          <t>JUNIO</t>
        </is>
      </c>
      <c r="G4043" s="1" t="inlineStr">
        <is>
          <t>HAIFENG</t>
        </is>
      </c>
      <c r="H4043" s="1" t="inlineStr">
        <is>
          <t>HAIFENG 16/06/2026</t>
        </is>
      </c>
      <c r="I4043" s="4" t="n">
        <v>2</v>
      </c>
      <c r="J4043" s="6" t="n">
        <v>9.99</v>
      </c>
      <c r="K4043" s="6" t="n">
        <v>209.9359185</v>
      </c>
      <c r="L4043" s="6">
        <f>I4043*K4043</f>
        <v/>
      </c>
      <c r="M4043" s="6">
        <f>K4043*4</f>
        <v/>
      </c>
      <c r="N4043" s="6" t="n">
        <v>741.6</v>
      </c>
    </row>
    <row r="4044">
      <c r="A4044" s="1" t="inlineStr">
        <is>
          <t>71078752279149</t>
        </is>
      </c>
      <c r="B4044" s="1" t="inlineStr">
        <is>
          <t>BRAZALETE C GOLD</t>
        </is>
      </c>
      <c r="C4044" s="1" t="inlineStr">
        <is>
          <t>Default Title</t>
        </is>
      </c>
      <c r="D4044" s="1" t="inlineStr">
        <is>
          <t>22/10/2025</t>
        </is>
      </c>
      <c r="E4044" s="1" t="n">
        <v>2025</v>
      </c>
      <c r="F4044" s="1" t="inlineStr">
        <is>
          <t>OCTUBRE</t>
        </is>
      </c>
      <c r="G4044" s="1" t="inlineStr">
        <is>
          <t>HAIFENG</t>
        </is>
      </c>
      <c r="H4044" s="1" t="inlineStr">
        <is>
          <t>HAIFENG 22/10/2025</t>
        </is>
      </c>
      <c r="I4044" s="4" t="n">
        <v>3</v>
      </c>
      <c r="J4044" s="6" t="n">
        <v>7</v>
      </c>
      <c r="K4044" s="6" t="n">
        <v>147.8978341</v>
      </c>
      <c r="L4044" s="6">
        <f>I4044*K4044</f>
        <v/>
      </c>
      <c r="M4044" s="6">
        <f>K4044*4</f>
        <v/>
      </c>
      <c r="N4044" s="6" t="n">
        <v>450</v>
      </c>
    </row>
    <row r="4045">
      <c r="A4045" s="1" t="inlineStr">
        <is>
          <t>71078752279149</t>
        </is>
      </c>
      <c r="B4045" s="1" t="inlineStr">
        <is>
          <t>BRAZALETE C GOLD</t>
        </is>
      </c>
      <c r="C4045" s="1" t="inlineStr">
        <is>
          <t>Default Title</t>
        </is>
      </c>
      <c r="D4045" s="1" t="inlineStr">
        <is>
          <t>16/04/2026</t>
        </is>
      </c>
      <c r="E4045" s="1" t="n">
        <v>2026</v>
      </c>
      <c r="F4045" s="1" t="inlineStr">
        <is>
          <t>ABRIL</t>
        </is>
      </c>
      <c r="G4045" s="1" t="inlineStr">
        <is>
          <t>HAIFENG</t>
        </is>
      </c>
      <c r="H4045" s="1" t="inlineStr">
        <is>
          <t>HAIFENG 16/04/2026</t>
        </is>
      </c>
      <c r="I4045" s="4" t="n">
        <v>2</v>
      </c>
      <c r="J4045" s="6" t="n">
        <v>5</v>
      </c>
      <c r="K4045" s="6" t="n">
        <v>105.1573679</v>
      </c>
      <c r="L4045" s="6">
        <f>I4045*K4045</f>
        <v/>
      </c>
      <c r="M4045" s="6">
        <f>K4045*4</f>
        <v/>
      </c>
      <c r="N4045" s="6" t="n">
        <v>450</v>
      </c>
    </row>
    <row r="4046">
      <c r="A4046" s="1" t="inlineStr">
        <is>
          <t>71078752279149</t>
        </is>
      </c>
      <c r="B4046" s="1" t="inlineStr">
        <is>
          <t>BRAZALETE C GOLD</t>
        </is>
      </c>
      <c r="C4046" s="1" t="inlineStr">
        <is>
          <t>Default Title</t>
        </is>
      </c>
      <c r="D4046" s="1" t="inlineStr">
        <is>
          <t>16/06/2026</t>
        </is>
      </c>
      <c r="E4046" s="1" t="n">
        <v>2026</v>
      </c>
      <c r="F4046" s="1" t="inlineStr">
        <is>
          <t>JUNIO</t>
        </is>
      </c>
      <c r="G4046" s="1" t="inlineStr">
        <is>
          <t>HAIFENG</t>
        </is>
      </c>
      <c r="H4046" s="1" t="inlineStr">
        <is>
          <t>HAIFENG 16/06/2026</t>
        </is>
      </c>
      <c r="I4046" s="4" t="n">
        <v>2</v>
      </c>
      <c r="J4046" s="6" t="n">
        <v>5</v>
      </c>
      <c r="K4046" s="6" t="n">
        <v>105.0730323</v>
      </c>
      <c r="L4046" s="6">
        <f>I4046*K4046</f>
        <v/>
      </c>
      <c r="M4046" s="6">
        <f>K4046*4</f>
        <v/>
      </c>
      <c r="N4046" s="6" t="n">
        <v>450</v>
      </c>
    </row>
    <row r="4047">
      <c r="A4047" s="1" t="inlineStr">
        <is>
          <t>71078752697389</t>
        </is>
      </c>
      <c r="B4047" s="1" t="inlineStr">
        <is>
          <t>PULSERA C LOGO SILVER</t>
        </is>
      </c>
      <c r="C4047" s="1" t="inlineStr">
        <is>
          <t>Default Title</t>
        </is>
      </c>
      <c r="D4047" s="1" t="inlineStr">
        <is>
          <t>22/10/2025</t>
        </is>
      </c>
      <c r="E4047" s="1" t="n">
        <v>2025</v>
      </c>
      <c r="F4047" s="1" t="inlineStr">
        <is>
          <t>OCTUBRE</t>
        </is>
      </c>
      <c r="G4047" s="1" t="inlineStr">
        <is>
          <t>HAIFENG</t>
        </is>
      </c>
      <c r="H4047" s="1" t="inlineStr">
        <is>
          <t>HAIFENG 22/10/2025</t>
        </is>
      </c>
      <c r="I4047" s="4" t="n">
        <v>2</v>
      </c>
      <c r="J4047" s="6" t="n">
        <v>7.99</v>
      </c>
      <c r="K4047" s="6" t="n">
        <v>168.8148135</v>
      </c>
      <c r="L4047" s="6">
        <f>I4047*K4047</f>
        <v/>
      </c>
      <c r="M4047" s="6">
        <f>K4047*4</f>
        <v/>
      </c>
      <c r="N4047" s="6" t="n">
        <v>658.38</v>
      </c>
    </row>
    <row r="4048">
      <c r="A4048" s="1" t="inlineStr">
        <is>
          <t>71078752697389</t>
        </is>
      </c>
      <c r="B4048" s="1" t="inlineStr">
        <is>
          <t>PULSERA C LOGO SILVER</t>
        </is>
      </c>
      <c r="C4048" s="1" t="inlineStr">
        <is>
          <t>Default Title</t>
        </is>
      </c>
      <c r="D4048" s="1" t="inlineStr">
        <is>
          <t>11/03/2026</t>
        </is>
      </c>
      <c r="E4048" s="1" t="n">
        <v>2026</v>
      </c>
      <c r="F4048" s="1" t="inlineStr">
        <is>
          <t>MARZO</t>
        </is>
      </c>
      <c r="G4048" s="1" t="inlineStr">
        <is>
          <t>HAIFENG</t>
        </is>
      </c>
      <c r="H4048" s="1" t="inlineStr">
        <is>
          <t>HAIFENG 11/03/2026</t>
        </is>
      </c>
      <c r="I4048" s="4" t="n">
        <v>1</v>
      </c>
      <c r="J4048" s="6" t="n">
        <v>7.9</v>
      </c>
      <c r="K4048" s="6" t="n">
        <v>168.3007801</v>
      </c>
      <c r="L4048" s="6">
        <f>I4048*K4048</f>
        <v/>
      </c>
      <c r="M4048" s="6">
        <f>K4048*4</f>
        <v/>
      </c>
      <c r="N4048" s="6" t="n">
        <v>658.38</v>
      </c>
    </row>
    <row r="4049">
      <c r="A4049" s="1" t="inlineStr">
        <is>
          <t>71078752697389</t>
        </is>
      </c>
      <c r="B4049" s="1" t="inlineStr">
        <is>
          <t>PULSERA C LOGO SILVER</t>
        </is>
      </c>
      <c r="C4049" s="1" t="inlineStr">
        <is>
          <t>Default Title</t>
        </is>
      </c>
      <c r="D4049" s="1" t="inlineStr">
        <is>
          <t>06/05/2026</t>
        </is>
      </c>
      <c r="E4049" s="1" t="n">
        <v>2026</v>
      </c>
      <c r="F4049" s="1" t="inlineStr">
        <is>
          <t>MAYO</t>
        </is>
      </c>
      <c r="G4049" s="1" t="inlineStr">
        <is>
          <t>HAIFENG</t>
        </is>
      </c>
      <c r="H4049" s="1" t="inlineStr">
        <is>
          <t>HAIFENG 06/05/2026</t>
        </is>
      </c>
      <c r="I4049" s="4" t="n">
        <v>2</v>
      </c>
      <c r="J4049" s="6" t="n">
        <v>7.9</v>
      </c>
      <c r="K4049" s="6" t="n">
        <v>167.6272739</v>
      </c>
      <c r="L4049" s="6">
        <f>I4049*K4049</f>
        <v/>
      </c>
      <c r="M4049" s="6">
        <f>K4049*4</f>
        <v/>
      </c>
      <c r="N4049" s="6" t="n">
        <v>658.38</v>
      </c>
    </row>
    <row r="4050">
      <c r="A4050" s="1" t="inlineStr">
        <is>
          <t>71092951015341</t>
        </is>
      </c>
      <c r="B4050" s="1" t="inlineStr">
        <is>
          <t>MOCHILA MM CANVAS</t>
        </is>
      </c>
      <c r="C4050" s="1" t="inlineStr">
        <is>
          <t>Default Title</t>
        </is>
      </c>
      <c r="D4050" s="1" t="inlineStr">
        <is>
          <t>18/02/2026</t>
        </is>
      </c>
      <c r="E4050" s="1" t="n">
        <v>2026</v>
      </c>
      <c r="F4050" s="1" t="inlineStr">
        <is>
          <t>FEBRERO</t>
        </is>
      </c>
      <c r="G4050" s="1" t="inlineStr">
        <is>
          <t>CYNTHIA</t>
        </is>
      </c>
      <c r="H4050" s="1" t="inlineStr">
        <is>
          <t>CYNTHIA 18/02/2026</t>
        </is>
      </c>
      <c r="I4050" s="4" t="n">
        <v>2</v>
      </c>
      <c r="J4050" s="6" t="n">
        <v>68</v>
      </c>
      <c r="K4050" s="6" t="n">
        <v>1838.948834</v>
      </c>
      <c r="L4050" s="6">
        <f>I4050*K4050</f>
        <v/>
      </c>
      <c r="M4050" s="6">
        <f>K4050*4</f>
        <v/>
      </c>
      <c r="N4050" s="6" t="n">
        <v>6179</v>
      </c>
    </row>
    <row r="4051">
      <c r="A4051" s="1" t="inlineStr">
        <is>
          <t>71092951015341</t>
        </is>
      </c>
      <c r="B4051" s="1" t="inlineStr">
        <is>
          <t>MOCHILA MM CANVAS</t>
        </is>
      </c>
      <c r="C4051" s="1" t="inlineStr">
        <is>
          <t>Default Title</t>
        </is>
      </c>
      <c r="D4051" s="1" t="inlineStr">
        <is>
          <t>27/04/2026</t>
        </is>
      </c>
      <c r="E4051" s="1" t="n">
        <v>2026</v>
      </c>
      <c r="F4051" s="1" t="inlineStr">
        <is>
          <t>ABRIL</t>
        </is>
      </c>
      <c r="G4051" s="1" t="inlineStr">
        <is>
          <t>CYNTHIA</t>
        </is>
      </c>
      <c r="H4051" s="1" t="inlineStr">
        <is>
          <t>CYNTHIA 27/04/2026</t>
        </is>
      </c>
      <c r="I4051" s="4" t="n">
        <v>3</v>
      </c>
      <c r="J4051" s="6" t="n">
        <v>68</v>
      </c>
      <c r="K4051" s="6" t="n">
        <v>1764.606298</v>
      </c>
      <c r="L4051" s="6">
        <f>I4051*K4051</f>
        <v/>
      </c>
      <c r="M4051" s="6">
        <f>K4051*4</f>
        <v/>
      </c>
      <c r="N4051" s="6" t="n">
        <v>6179</v>
      </c>
    </row>
    <row r="4052">
      <c r="A4052" s="1" t="inlineStr">
        <is>
          <t>71092951161133</t>
        </is>
      </c>
      <c r="B4052" s="1" t="inlineStr">
        <is>
          <t>BOLSO MM TOTE ARCADIE DARK BROWN</t>
        </is>
      </c>
      <c r="C4052" s="1" t="inlineStr">
        <is>
          <t>Default Title</t>
        </is>
      </c>
      <c r="D4052" s="1" t="inlineStr">
        <is>
          <t>18/02/2026</t>
        </is>
      </c>
      <c r="E4052" s="1" t="n">
        <v>2026</v>
      </c>
      <c r="F4052" s="1" t="inlineStr">
        <is>
          <t>FEBRERO</t>
        </is>
      </c>
      <c r="G4052" s="1" t="inlineStr">
        <is>
          <t>CYNTHIA</t>
        </is>
      </c>
      <c r="H4052" s="1" t="inlineStr">
        <is>
          <t>CYNTHIA 18/02/2026</t>
        </is>
      </c>
      <c r="I4052" s="4" t="n">
        <v>2</v>
      </c>
      <c r="J4052" s="6" t="n">
        <v>55</v>
      </c>
      <c r="K4052" s="6" t="n">
        <v>1487.385086</v>
      </c>
      <c r="L4052" s="6">
        <f>I4052*K4052</f>
        <v/>
      </c>
      <c r="M4052" s="6">
        <f>K4052*4</f>
        <v/>
      </c>
      <c r="N4052" s="6" t="n">
        <v>4999</v>
      </c>
    </row>
    <row r="4053">
      <c r="A4053" s="1" t="inlineStr">
        <is>
          <t>71092951161133</t>
        </is>
      </c>
      <c r="B4053" s="1" t="inlineStr">
        <is>
          <t>BOLSO MM TOTE ARCADIE DARK BROWN</t>
        </is>
      </c>
      <c r="C4053" s="1" t="inlineStr">
        <is>
          <t>Default Title</t>
        </is>
      </c>
      <c r="D4053" s="1" t="inlineStr">
        <is>
          <t>27/04/2026</t>
        </is>
      </c>
      <c r="E4053" s="1" t="n">
        <v>2026</v>
      </c>
      <c r="F4053" s="1" t="inlineStr">
        <is>
          <t>ABRIL</t>
        </is>
      </c>
      <c r="G4053" s="1" t="inlineStr">
        <is>
          <t>CYNTHIA</t>
        </is>
      </c>
      <c r="H4053" s="1" t="inlineStr">
        <is>
          <t>CYNTHIA 27/04/2026</t>
        </is>
      </c>
      <c r="I4053" s="4" t="n">
        <v>4</v>
      </c>
      <c r="J4053" s="6" t="n">
        <v>55</v>
      </c>
      <c r="K4053" s="6" t="n">
        <v>1427.255094</v>
      </c>
      <c r="L4053" s="6">
        <f>I4053*K4053</f>
        <v/>
      </c>
      <c r="M4053" s="6">
        <f>K4053*4</f>
        <v/>
      </c>
      <c r="N4053" s="6" t="n">
        <v>4999</v>
      </c>
    </row>
    <row r="4054">
      <c r="A4054" s="1" t="inlineStr">
        <is>
          <t>71092951207469</t>
        </is>
      </c>
      <c r="B4054" s="1" t="inlineStr">
        <is>
          <t>BOLSO MM BEAU COÑAC</t>
        </is>
      </c>
      <c r="C4054" s="1" t="inlineStr">
        <is>
          <t>Default Title</t>
        </is>
      </c>
      <c r="D4054" s="1" t="inlineStr">
        <is>
          <t>18/02/2026</t>
        </is>
      </c>
      <c r="E4054" s="1" t="n">
        <v>2026</v>
      </c>
      <c r="F4054" s="1" t="inlineStr">
        <is>
          <t>FEBRERO</t>
        </is>
      </c>
      <c r="G4054" s="1" t="inlineStr">
        <is>
          <t>CYNTHIA</t>
        </is>
      </c>
      <c r="H4054" s="1" t="inlineStr">
        <is>
          <t>CYNTHIA 18/02/2026</t>
        </is>
      </c>
      <c r="I4054" s="4" t="n">
        <v>2</v>
      </c>
      <c r="J4054" s="6" t="n">
        <v>63</v>
      </c>
      <c r="K4054" s="6" t="n">
        <v>1703.732008</v>
      </c>
      <c r="L4054" s="6">
        <f>I4054*K4054</f>
        <v/>
      </c>
      <c r="M4054" s="6">
        <f>K4054*4</f>
        <v/>
      </c>
      <c r="N4054" s="6" t="n">
        <v>5722</v>
      </c>
    </row>
    <row r="4055">
      <c r="A4055" s="1" t="inlineStr">
        <is>
          <t>71092951207469</t>
        </is>
      </c>
      <c r="B4055" s="1" t="inlineStr">
        <is>
          <t>BOLSO MM BEAU COÑAC</t>
        </is>
      </c>
      <c r="C4055" s="1" t="inlineStr">
        <is>
          <t>Default Title</t>
        </is>
      </c>
      <c r="D4055" s="1" t="inlineStr">
        <is>
          <t>27/04/2026</t>
        </is>
      </c>
      <c r="E4055" s="1" t="n">
        <v>2026</v>
      </c>
      <c r="F4055" s="1" t="inlineStr">
        <is>
          <t>ABRIL</t>
        </is>
      </c>
      <c r="G4055" s="1" t="inlineStr">
        <is>
          <t>CYNTHIA</t>
        </is>
      </c>
      <c r="H4055" s="1" t="inlineStr">
        <is>
          <t>CYNTHIA 27/04/2026</t>
        </is>
      </c>
      <c r="I4055" s="4" t="n">
        <v>3</v>
      </c>
      <c r="J4055" s="6" t="n">
        <v>63</v>
      </c>
      <c r="K4055" s="6" t="n">
        <v>1634.855835</v>
      </c>
      <c r="L4055" s="6">
        <f>I4055*K4055</f>
        <v/>
      </c>
      <c r="M4055" s="6">
        <f>K4055*4</f>
        <v/>
      </c>
      <c r="N4055" s="6" t="n">
        <v>5722</v>
      </c>
    </row>
    <row r="4056">
      <c r="A4056" s="1" t="inlineStr">
        <is>
          <t>71092951310861</t>
        </is>
      </c>
      <c r="B4056" s="1" t="inlineStr">
        <is>
          <t>BOLSO CC VANITY WHITE</t>
        </is>
      </c>
      <c r="C4056" s="1" t="inlineStr">
        <is>
          <t>Default Title</t>
        </is>
      </c>
      <c r="D4056" s="1" t="inlineStr">
        <is>
          <t>18/02/2026</t>
        </is>
      </c>
      <c r="E4056" s="1" t="n">
        <v>2026</v>
      </c>
      <c r="F4056" s="1" t="inlineStr">
        <is>
          <t>FEBRERO</t>
        </is>
      </c>
      <c r="G4056" s="1" t="inlineStr">
        <is>
          <t>CYNTHIA</t>
        </is>
      </c>
      <c r="H4056" s="1" t="inlineStr">
        <is>
          <t>CYNTHIA 18/02/2026</t>
        </is>
      </c>
      <c r="I4056" s="4" t="n">
        <v>2</v>
      </c>
      <c r="J4056" s="6" t="n">
        <v>52</v>
      </c>
      <c r="K4056" s="6" t="n">
        <v>1406.25499</v>
      </c>
      <c r="L4056" s="6">
        <f>I4056*K4056</f>
        <v/>
      </c>
      <c r="M4056" s="6">
        <f>K4056*4</f>
        <v/>
      </c>
      <c r="N4056" s="6" t="n">
        <v>4729</v>
      </c>
    </row>
    <row r="4057">
      <c r="A4057" s="1" t="inlineStr">
        <is>
          <t>71092951310861</t>
        </is>
      </c>
      <c r="B4057" s="1" t="inlineStr">
        <is>
          <t>BOLSO CC VANITY WHITE</t>
        </is>
      </c>
      <c r="C4057" s="1" t="inlineStr">
        <is>
          <t>Default Title</t>
        </is>
      </c>
      <c r="D4057" s="1" t="inlineStr">
        <is>
          <t>27/04/2026</t>
        </is>
      </c>
      <c r="E4057" s="1" t="n">
        <v>2026</v>
      </c>
      <c r="F4057" s="1" t="inlineStr">
        <is>
          <t>ABRIL</t>
        </is>
      </c>
      <c r="G4057" s="1" t="inlineStr">
        <is>
          <t>CYNTHIA</t>
        </is>
      </c>
      <c r="H4057" s="1" t="inlineStr">
        <is>
          <t>CYNTHIA 27/04/2026</t>
        </is>
      </c>
      <c r="I4057" s="4" t="n">
        <v>3</v>
      </c>
      <c r="J4057" s="6" t="n">
        <v>52</v>
      </c>
      <c r="K4057" s="6" t="n">
        <v>1349.404816</v>
      </c>
      <c r="L4057" s="6">
        <f>I4057*K4057</f>
        <v/>
      </c>
      <c r="M4057" s="6">
        <f>K4057*4</f>
        <v/>
      </c>
      <c r="N4057" s="6" t="n">
        <v>4729</v>
      </c>
    </row>
    <row r="4058">
      <c r="A4058" s="1" t="inlineStr">
        <is>
          <t>71092951414253</t>
        </is>
      </c>
      <c r="B4058" s="1" t="inlineStr">
        <is>
          <t>BOLSO GC MARMONT ALL WHITE</t>
        </is>
      </c>
      <c r="C4058" s="1" t="inlineStr">
        <is>
          <t>Default Title</t>
        </is>
      </c>
      <c r="D4058" s="1" t="inlineStr">
        <is>
          <t>18/02/2026</t>
        </is>
      </c>
      <c r="E4058" s="1" t="n">
        <v>2026</v>
      </c>
      <c r="F4058" s="1" t="inlineStr">
        <is>
          <t>FEBRERO</t>
        </is>
      </c>
      <c r="G4058" s="1" t="inlineStr">
        <is>
          <t>CYNTHIA</t>
        </is>
      </c>
      <c r="H4058" s="1" t="inlineStr">
        <is>
          <t>CYNTHIA 18/02/2026</t>
        </is>
      </c>
      <c r="I4058" s="4" t="n">
        <v>2</v>
      </c>
      <c r="J4058" s="6" t="n">
        <v>52</v>
      </c>
      <c r="K4058" s="6" t="n">
        <v>1406.25499</v>
      </c>
      <c r="L4058" s="6">
        <f>I4058*K4058</f>
        <v/>
      </c>
      <c r="M4058" s="6">
        <f>K4058*4</f>
        <v/>
      </c>
      <c r="N4058" s="6" t="n">
        <v>5515</v>
      </c>
    </row>
    <row r="4059">
      <c r="A4059" s="1" t="inlineStr">
        <is>
          <t>71092951414253</t>
        </is>
      </c>
      <c r="B4059" s="1" t="inlineStr">
        <is>
          <t>BOLSO GC MARMONT ALL WHITE</t>
        </is>
      </c>
      <c r="C4059" s="1" t="inlineStr">
        <is>
          <t>Default Title</t>
        </is>
      </c>
      <c r="D4059" s="1" t="inlineStr">
        <is>
          <t>31/05/2026</t>
        </is>
      </c>
      <c r="E4059" s="1" t="n">
        <v>2026</v>
      </c>
      <c r="F4059" s="1" t="inlineStr">
        <is>
          <t>MAYO</t>
        </is>
      </c>
      <c r="G4059" s="1" t="inlineStr">
        <is>
          <t>CYNTHIA</t>
        </is>
      </c>
      <c r="H4059" s="1" t="inlineStr">
        <is>
          <t>CYNTHIA 31/05/2026</t>
        </is>
      </c>
      <c r="I4059" s="4" t="n">
        <v>5</v>
      </c>
      <c r="J4059" s="6" t="n">
        <v>52</v>
      </c>
      <c r="K4059" s="6" t="n">
        <v>1378.054339</v>
      </c>
      <c r="L4059" s="6">
        <f>I4059*K4059</f>
        <v/>
      </c>
      <c r="M4059" s="6">
        <f>K4059*4</f>
        <v/>
      </c>
      <c r="N4059" s="6" t="n">
        <v>5515</v>
      </c>
    </row>
    <row r="4060">
      <c r="A4060" s="1" t="inlineStr">
        <is>
          <t>71092951532237</t>
        </is>
      </c>
      <c r="B4060" s="1" t="inlineStr">
        <is>
          <t>BOLSO C TRIOMPHE TEEN</t>
        </is>
      </c>
      <c r="C4060" s="1" t="inlineStr">
        <is>
          <t>Default Title</t>
        </is>
      </c>
      <c r="D4060" s="1" t="inlineStr">
        <is>
          <t>18/02/2026</t>
        </is>
      </c>
      <c r="E4060" s="1" t="n">
        <v>2026</v>
      </c>
      <c r="F4060" s="1" t="inlineStr">
        <is>
          <t>FEBRERO</t>
        </is>
      </c>
      <c r="G4060" s="1" t="inlineStr">
        <is>
          <t>CYNTHIA</t>
        </is>
      </c>
      <c r="H4060" s="1" t="inlineStr">
        <is>
          <t>CYNTHIA 18/02/2026</t>
        </is>
      </c>
      <c r="I4060" s="4" t="n">
        <v>2</v>
      </c>
      <c r="J4060" s="6" t="n">
        <v>59</v>
      </c>
      <c r="K4060" s="6" t="n">
        <v>1595.558547</v>
      </c>
      <c r="L4060" s="6">
        <f>I4060*K4060</f>
        <v/>
      </c>
      <c r="M4060" s="6">
        <f>K4060*4</f>
        <v/>
      </c>
      <c r="N4060" s="6" t="n">
        <v>6259</v>
      </c>
    </row>
    <row r="4061">
      <c r="A4061" s="1" t="inlineStr">
        <is>
          <t>71092951532237</t>
        </is>
      </c>
      <c r="B4061" s="1" t="inlineStr">
        <is>
          <t>BOLSO C TRIOMPHE TEEN</t>
        </is>
      </c>
      <c r="C4061" s="1" t="inlineStr">
        <is>
          <t>Default Title</t>
        </is>
      </c>
      <c r="D4061" s="1" t="inlineStr">
        <is>
          <t>31/05/2026</t>
        </is>
      </c>
      <c r="E4061" s="1" t="n">
        <v>2026</v>
      </c>
      <c r="F4061" s="1" t="inlineStr">
        <is>
          <t>MAYO</t>
        </is>
      </c>
      <c r="G4061" s="1" t="inlineStr">
        <is>
          <t>CYNTHIA</t>
        </is>
      </c>
      <c r="H4061" s="1" t="inlineStr">
        <is>
          <t>CYNTHIA 31/05/2026</t>
        </is>
      </c>
      <c r="I4061" s="4" t="n">
        <v>5</v>
      </c>
      <c r="J4061" s="6" t="n">
        <v>59</v>
      </c>
      <c r="K4061" s="6" t="n">
        <v>1563.561654</v>
      </c>
      <c r="L4061" s="6">
        <f>I4061*K4061</f>
        <v/>
      </c>
      <c r="M4061" s="6">
        <f>K4061*4</f>
        <v/>
      </c>
      <c r="N4061" s="6" t="n">
        <v>6259</v>
      </c>
    </row>
    <row r="4062">
      <c r="A4062" s="1" t="inlineStr">
        <is>
          <t>71136141049485</t>
        </is>
      </c>
      <c r="B4062" s="1" t="inlineStr">
        <is>
          <t>COLLAR TRINITY SQUARE</t>
        </is>
      </c>
      <c r="C4062" s="1" t="inlineStr">
        <is>
          <t>Default Title</t>
        </is>
      </c>
      <c r="D4062" s="1" t="inlineStr">
        <is>
          <t>11/11/2025</t>
        </is>
      </c>
      <c r="E4062" s="1" t="n">
        <v>2025</v>
      </c>
      <c r="F4062" s="1" t="inlineStr">
        <is>
          <t>NOVIEMBRE</t>
        </is>
      </c>
      <c r="G4062" s="1" t="inlineStr">
        <is>
          <t>HAIFENG</t>
        </is>
      </c>
      <c r="H4062" s="1" t="inlineStr">
        <is>
          <t>HAIFENG 11/11/2025</t>
        </is>
      </c>
      <c r="I4062" s="4" t="n">
        <v>2</v>
      </c>
      <c r="J4062" s="6" t="n">
        <v>8</v>
      </c>
      <c r="K4062" s="6" t="n">
        <v>168.4839875</v>
      </c>
      <c r="L4062" s="6">
        <f>I4062*K4062</f>
        <v/>
      </c>
      <c r="M4062" s="6">
        <f>K4062*4</f>
        <v/>
      </c>
      <c r="N4062" s="6" t="n">
        <v>660</v>
      </c>
    </row>
    <row r="4063">
      <c r="A4063" s="1" t="inlineStr">
        <is>
          <t>71136141049485</t>
        </is>
      </c>
      <c r="B4063" s="1" t="inlineStr">
        <is>
          <t>COLLAR TRINITY SQUARE</t>
        </is>
      </c>
      <c r="C4063" s="1" t="inlineStr">
        <is>
          <t>Default Title</t>
        </is>
      </c>
      <c r="D4063" s="1" t="inlineStr">
        <is>
          <t>03/12/2025</t>
        </is>
      </c>
      <c r="E4063" s="1" t="n">
        <v>2025</v>
      </c>
      <c r="F4063" s="1" t="inlineStr">
        <is>
          <t>DICIEMBRE</t>
        </is>
      </c>
      <c r="G4063" s="1" t="inlineStr">
        <is>
          <t>HAIFENG</t>
        </is>
      </c>
      <c r="H4063" s="1" t="inlineStr">
        <is>
          <t>HAIFENG 03/12/2025</t>
        </is>
      </c>
      <c r="I4063" s="4" t="n">
        <v>5</v>
      </c>
      <c r="J4063" s="6" t="n">
        <v>8</v>
      </c>
      <c r="K4063" s="6" t="n">
        <v>167.3372801</v>
      </c>
      <c r="L4063" s="6">
        <f>I4063*K4063</f>
        <v/>
      </c>
      <c r="M4063" s="6">
        <f>K4063*4</f>
        <v/>
      </c>
      <c r="N4063" s="6" t="n">
        <v>429</v>
      </c>
    </row>
    <row r="4064">
      <c r="A4064" s="1" t="inlineStr">
        <is>
          <t>71264750638476</t>
        </is>
      </c>
      <c r="B4064" s="1" t="inlineStr">
        <is>
          <t>RELOJ RX OYSTER PERPETUAL GREEN</t>
        </is>
      </c>
      <c r="C4064" s="1" t="inlineStr">
        <is>
          <t>CON CAJA</t>
        </is>
      </c>
      <c r="D4064" s="1" t="inlineStr">
        <is>
          <t>01/09/2025</t>
        </is>
      </c>
      <c r="E4064" s="1" t="n">
        <v>2025</v>
      </c>
      <c r="F4064" s="1" t="inlineStr">
        <is>
          <t>SEPTIEMBRE</t>
        </is>
      </c>
      <c r="G4064" s="1" t="inlineStr">
        <is>
          <t>ZOEY</t>
        </is>
      </c>
      <c r="H4064" s="1" t="inlineStr">
        <is>
          <t>ZOEY 01/09/2025</t>
        </is>
      </c>
      <c r="I4064" s="4" t="n">
        <v>5</v>
      </c>
      <c r="J4064" s="6" t="n">
        <v>42</v>
      </c>
      <c r="K4064" s="6" t="n">
        <v>1054.949473</v>
      </c>
      <c r="L4064" s="6">
        <f>I4064*K4064</f>
        <v/>
      </c>
      <c r="M4064" s="6">
        <f>K4064*4</f>
        <v/>
      </c>
      <c r="N4064" s="6" t="n">
        <v>4720</v>
      </c>
    </row>
    <row r="4065">
      <c r="A4065" s="1" t="inlineStr">
        <is>
          <t>71264750638476</t>
        </is>
      </c>
      <c r="B4065" s="1" t="inlineStr">
        <is>
          <t>RELOJ RX OYSTER PERPETUAL GREEN</t>
        </is>
      </c>
      <c r="C4065" s="1" t="inlineStr">
        <is>
          <t>RELOJ CON CAJA</t>
        </is>
      </c>
      <c r="D4065" s="1" t="inlineStr">
        <is>
          <t>15/05/2026</t>
        </is>
      </c>
      <c r="E4065" s="1" t="n">
        <v>2026</v>
      </c>
      <c r="F4065" s="1" t="inlineStr">
        <is>
          <t>MAYO</t>
        </is>
      </c>
      <c r="G4065" s="1" t="inlineStr">
        <is>
          <t>ZOEY</t>
        </is>
      </c>
      <c r="H4065" s="1" t="inlineStr">
        <is>
          <t>ZOEY 15/05/2026</t>
        </is>
      </c>
      <c r="I4065" s="4" t="n">
        <v>2</v>
      </c>
      <c r="J4065" s="6" t="n">
        <v>42</v>
      </c>
      <c r="K4065" s="6" t="n">
        <v>1113.194228</v>
      </c>
      <c r="L4065" s="6">
        <f>I4065*K4065</f>
        <v/>
      </c>
      <c r="M4065" s="6">
        <f>K4065*4</f>
        <v/>
      </c>
      <c r="N4065" s="6" t="n">
        <v>5510</v>
      </c>
    </row>
    <row r="4066">
      <c r="A4066" s="1" t="inlineStr">
        <is>
          <t>71288021024429</t>
        </is>
      </c>
      <c r="B4066" s="1" t="inlineStr">
        <is>
          <t>PULSERA DE TELA BLUE ELSA PERETTI</t>
        </is>
      </c>
      <c r="C4066" s="1" t="inlineStr">
        <is>
          <t>Default Title</t>
        </is>
      </c>
      <c r="D4066" s="1" t="inlineStr">
        <is>
          <t>31/05/2026</t>
        </is>
      </c>
      <c r="E4066" s="1" t="n">
        <v>2026</v>
      </c>
      <c r="F4066" s="1" t="inlineStr">
        <is>
          <t>MAYO</t>
        </is>
      </c>
      <c r="G4066" s="1" t="inlineStr">
        <is>
          <t>NANCY</t>
        </is>
      </c>
      <c r="H4066" s="1" t="inlineStr">
        <is>
          <t>NANCY 31/05/2026</t>
        </is>
      </c>
      <c r="I4066" s="4" t="n">
        <v>2</v>
      </c>
      <c r="J4066" s="6" t="n">
        <v>6.69</v>
      </c>
      <c r="K4066" s="6" t="n">
        <v>162.3501752</v>
      </c>
      <c r="L4066" s="6">
        <f>I4066*K4066</f>
        <v/>
      </c>
      <c r="M4066" s="6">
        <f>K4066*4</f>
        <v/>
      </c>
      <c r="N4066" s="6" t="n">
        <v>0</v>
      </c>
    </row>
    <row r="4067">
      <c r="A4067" s="1" t="inlineStr">
        <is>
          <t>71288021138541</t>
        </is>
      </c>
      <c r="B4067" s="1" t="inlineStr">
        <is>
          <t>PULSERA DE TELA BLACK ELSA PERETTI</t>
        </is>
      </c>
      <c r="C4067" s="1" t="inlineStr">
        <is>
          <t>Default Title</t>
        </is>
      </c>
      <c r="D4067" s="1" t="inlineStr">
        <is>
          <t>31/05/2026</t>
        </is>
      </c>
      <c r="E4067" s="1" t="n">
        <v>2026</v>
      </c>
      <c r="F4067" s="1" t="inlineStr">
        <is>
          <t>MAYO</t>
        </is>
      </c>
      <c r="G4067" s="1" t="inlineStr">
        <is>
          <t>NANCY</t>
        </is>
      </c>
      <c r="H4067" s="1" t="inlineStr">
        <is>
          <t>NANCY 31/05/2026</t>
        </is>
      </c>
      <c r="I4067" s="4" t="n">
        <v>2</v>
      </c>
      <c r="J4067" s="6" t="n">
        <v>6.69</v>
      </c>
      <c r="K4067" s="6" t="n">
        <v>162.3501752</v>
      </c>
      <c r="L4067" s="6">
        <f>I4067*K4067</f>
        <v/>
      </c>
      <c r="M4067" s="6">
        <f>K4067*4</f>
        <v/>
      </c>
      <c r="N4067" s="6" t="n">
        <v>0</v>
      </c>
    </row>
    <row r="4068">
      <c r="A4068" s="1" t="inlineStr">
        <is>
          <t>71288021271309</t>
        </is>
      </c>
      <c r="B4068" s="1" t="inlineStr">
        <is>
          <t>PULSERA T ENTRELAZADOS GOLD-SILVER</t>
        </is>
      </c>
      <c r="C4068" s="1" t="inlineStr">
        <is>
          <t>Default Title</t>
        </is>
      </c>
      <c r="D4068" s="1" t="inlineStr">
        <is>
          <t>31/05/2026</t>
        </is>
      </c>
      <c r="E4068" s="1" t="n">
        <v>2026</v>
      </c>
      <c r="F4068" s="1" t="inlineStr">
        <is>
          <t>MAYO</t>
        </is>
      </c>
      <c r="G4068" s="1" t="inlineStr">
        <is>
          <t>NANCY</t>
        </is>
      </c>
      <c r="H4068" s="1" t="inlineStr">
        <is>
          <t>NANCY 31/05/2026</t>
        </is>
      </c>
      <c r="I4068" s="4" t="n">
        <v>3</v>
      </c>
      <c r="J4068" s="6" t="n">
        <v>7.99</v>
      </c>
      <c r="K4068" s="6" t="n">
        <v>193.8980418</v>
      </c>
      <c r="L4068" s="6">
        <f>I4068*K4068</f>
        <v/>
      </c>
      <c r="M4068" s="6">
        <f>K4068*4</f>
        <v/>
      </c>
      <c r="N4068" s="6" t="n">
        <v>0</v>
      </c>
    </row>
    <row r="4069">
      <c r="A4069" s="1" t="inlineStr">
        <is>
          <t>71288021336845</t>
        </is>
      </c>
      <c r="B4069" s="1" t="inlineStr">
        <is>
          <t>ANILLO T SIXTEEN STONE ROSE GOLD</t>
        </is>
      </c>
      <c r="C4069" s="1" t="n">
        <v>6</v>
      </c>
      <c r="D4069" s="1" t="inlineStr">
        <is>
          <t>31/05/2026</t>
        </is>
      </c>
      <c r="E4069" s="1" t="n">
        <v>2026</v>
      </c>
      <c r="F4069" s="1" t="inlineStr">
        <is>
          <t>MAYO</t>
        </is>
      </c>
      <c r="G4069" s="1" t="inlineStr">
        <is>
          <t>NANCY</t>
        </is>
      </c>
      <c r="H4069" s="1" t="inlineStr">
        <is>
          <t>NANCY 31/05/2026</t>
        </is>
      </c>
      <c r="I4069" s="4" t="n">
        <v>2</v>
      </c>
      <c r="J4069" s="6" t="n">
        <v>6.99</v>
      </c>
      <c r="K4069" s="6" t="n">
        <v>169.6304521</v>
      </c>
      <c r="L4069" s="6">
        <f>I4069*K4069</f>
        <v/>
      </c>
      <c r="M4069" s="6">
        <f>K4069*4</f>
        <v/>
      </c>
      <c r="N4069" s="6" t="n">
        <v>0</v>
      </c>
    </row>
    <row r="4070">
      <c r="A4070" s="1" t="inlineStr">
        <is>
          <t>71288021469613</t>
        </is>
      </c>
      <c r="B4070" s="1" t="inlineStr">
        <is>
          <t>ANILLO T SIXTEEN STONE ROSE GOLD</t>
        </is>
      </c>
      <c r="C4070" s="1" t="n">
        <v>7</v>
      </c>
      <c r="D4070" s="1" t="inlineStr">
        <is>
          <t>31/05/2026</t>
        </is>
      </c>
      <c r="E4070" s="1" t="n">
        <v>2026</v>
      </c>
      <c r="F4070" s="1" t="inlineStr">
        <is>
          <t>MAYO</t>
        </is>
      </c>
      <c r="G4070" s="1" t="inlineStr">
        <is>
          <t>NANCY</t>
        </is>
      </c>
      <c r="H4070" s="1" t="inlineStr">
        <is>
          <t>NANCY 31/05/2026</t>
        </is>
      </c>
      <c r="I4070" s="4" t="n">
        <v>2</v>
      </c>
      <c r="J4070" s="6" t="n">
        <v>6.99</v>
      </c>
      <c r="K4070" s="6" t="n">
        <v>169.6304521</v>
      </c>
      <c r="L4070" s="6">
        <f>I4070*K4070</f>
        <v/>
      </c>
      <c r="M4070" s="6">
        <f>K4070*4</f>
        <v/>
      </c>
      <c r="N4070" s="6" t="n">
        <v>0</v>
      </c>
    </row>
    <row r="4071">
      <c r="A4071" s="1" t="inlineStr">
        <is>
          <t>71288021533453</t>
        </is>
      </c>
      <c r="B4071" s="1" t="inlineStr">
        <is>
          <t>COLLAR VF ARPELS GOLD</t>
        </is>
      </c>
      <c r="C4071" s="1" t="inlineStr">
        <is>
          <t>Default Title</t>
        </is>
      </c>
      <c r="D4071" s="1" t="inlineStr">
        <is>
          <t>31/05/2026</t>
        </is>
      </c>
      <c r="E4071" s="1" t="n">
        <v>2026</v>
      </c>
      <c r="F4071" s="1" t="inlineStr">
        <is>
          <t>MAYO</t>
        </is>
      </c>
      <c r="G4071" s="1" t="inlineStr">
        <is>
          <t>NANCY</t>
        </is>
      </c>
      <c r="H4071" s="1" t="inlineStr">
        <is>
          <t>NANCY 31/05/2026</t>
        </is>
      </c>
      <c r="I4071" s="4" t="n">
        <v>2</v>
      </c>
      <c r="J4071" s="6" t="n">
        <v>5.99</v>
      </c>
      <c r="K4071" s="6" t="n">
        <v>145.3628624</v>
      </c>
      <c r="L4071" s="6">
        <f>I4071*K4071</f>
        <v/>
      </c>
      <c r="M4071" s="6">
        <f>K4071*4</f>
        <v/>
      </c>
      <c r="N4071" s="6" t="n">
        <v>0</v>
      </c>
    </row>
    <row r="4072">
      <c r="A4072" s="1" t="inlineStr">
        <is>
          <t>71288021662829</t>
        </is>
      </c>
      <c r="B4072" s="1" t="inlineStr">
        <is>
          <t>COLLAR VF ALHAMBRA SILVER</t>
        </is>
      </c>
      <c r="C4072" s="1" t="inlineStr">
        <is>
          <t>Default Title</t>
        </is>
      </c>
      <c r="D4072" s="1" t="inlineStr">
        <is>
          <t>31/05/2026</t>
        </is>
      </c>
      <c r="E4072" s="1" t="n">
        <v>2026</v>
      </c>
      <c r="F4072" s="1" t="inlineStr">
        <is>
          <t>MAYO</t>
        </is>
      </c>
      <c r="G4072" s="1" t="inlineStr">
        <is>
          <t>NANCY</t>
        </is>
      </c>
      <c r="H4072" s="1" t="inlineStr">
        <is>
          <t>NANCY 31/05/2026</t>
        </is>
      </c>
      <c r="I4072" s="4" t="n">
        <v>2</v>
      </c>
      <c r="J4072" s="6" t="n">
        <v>5.59</v>
      </c>
      <c r="K4072" s="6" t="n">
        <v>135.6558265</v>
      </c>
      <c r="L4072" s="6">
        <f>I4072*K4072</f>
        <v/>
      </c>
      <c r="M4072" s="6">
        <f>K4072*4</f>
        <v/>
      </c>
      <c r="N4072" s="6" t="n">
        <v>0</v>
      </c>
    </row>
    <row r="4073">
      <c r="A4073" s="1" t="inlineStr">
        <is>
          <t>71288021719885</t>
        </is>
      </c>
      <c r="B4073" s="1" t="inlineStr">
        <is>
          <t>PULSERA VF HALF VINTAGE ALHAMBRA</t>
        </is>
      </c>
      <c r="C4073" s="1" t="inlineStr">
        <is>
          <t>Default Title</t>
        </is>
      </c>
      <c r="D4073" s="1" t="inlineStr">
        <is>
          <t>31/05/2026</t>
        </is>
      </c>
      <c r="E4073" s="1" t="n">
        <v>2026</v>
      </c>
      <c r="F4073" s="1" t="inlineStr">
        <is>
          <t>MAYO</t>
        </is>
      </c>
      <c r="G4073" s="1" t="inlineStr">
        <is>
          <t>NANCY</t>
        </is>
      </c>
      <c r="H4073" s="1" t="inlineStr">
        <is>
          <t>NANCY 31/05/2026</t>
        </is>
      </c>
      <c r="I4073" s="4" t="n">
        <v>2</v>
      </c>
      <c r="J4073" s="6" t="n">
        <v>8.59</v>
      </c>
      <c r="K4073" s="6" t="n">
        <v>208.4585956</v>
      </c>
      <c r="L4073" s="6">
        <f>I4073*K4073</f>
        <v/>
      </c>
      <c r="M4073" s="6">
        <f>K4073*4</f>
        <v/>
      </c>
      <c r="N4073" s="6" t="n">
        <v>0</v>
      </c>
    </row>
    <row r="4074">
      <c r="A4074" s="1" t="inlineStr">
        <is>
          <t>71288021885421</t>
        </is>
      </c>
      <c r="B4074" s="1" t="inlineStr">
        <is>
          <t>PULSERA VF ALHAMBRA ROSE GOLD-RED</t>
        </is>
      </c>
      <c r="C4074" s="1" t="inlineStr">
        <is>
          <t>Default Title</t>
        </is>
      </c>
      <c r="D4074" s="1" t="inlineStr">
        <is>
          <t>31/05/2026</t>
        </is>
      </c>
      <c r="E4074" s="1" t="n">
        <v>2026</v>
      </c>
      <c r="F4074" s="1" t="inlineStr">
        <is>
          <t>MAYO</t>
        </is>
      </c>
      <c r="G4074" s="1" t="inlineStr">
        <is>
          <t>NANCY</t>
        </is>
      </c>
      <c r="H4074" s="1" t="inlineStr">
        <is>
          <t>NANCY 31/05/2026</t>
        </is>
      </c>
      <c r="I4074" s="4" t="n">
        <v>2</v>
      </c>
      <c r="J4074" s="6" t="n">
        <v>8.59</v>
      </c>
      <c r="K4074" s="6" t="n">
        <v>208.4585956</v>
      </c>
      <c r="L4074" s="6">
        <f>I4074*K4074</f>
        <v/>
      </c>
      <c r="M4074" s="6">
        <f>K4074*4</f>
        <v/>
      </c>
      <c r="N4074" s="6" t="n">
        <v>0</v>
      </c>
    </row>
    <row r="4075">
      <c r="A4075" s="1" t="inlineStr">
        <is>
          <t>71288021950957</t>
        </is>
      </c>
      <c r="B4075" s="1" t="inlineStr">
        <is>
          <t>PULSERA VF FRIVOLE GOLD</t>
        </is>
      </c>
      <c r="C4075" s="1" t="inlineStr">
        <is>
          <t>Default Title</t>
        </is>
      </c>
      <c r="D4075" s="1" t="inlineStr">
        <is>
          <t>31/05/2026</t>
        </is>
      </c>
      <c r="E4075" s="1" t="n">
        <v>2026</v>
      </c>
      <c r="F4075" s="1" t="inlineStr">
        <is>
          <t>MAYO</t>
        </is>
      </c>
      <c r="G4075" s="1" t="inlineStr">
        <is>
          <t>NANCY</t>
        </is>
      </c>
      <c r="H4075" s="1" t="inlineStr">
        <is>
          <t>NANCY 31/05/2026</t>
        </is>
      </c>
      <c r="I4075" s="4" t="n">
        <v>2</v>
      </c>
      <c r="J4075" s="6" t="n">
        <v>5.99</v>
      </c>
      <c r="K4075" s="6" t="n">
        <v>145.3628624</v>
      </c>
      <c r="L4075" s="6">
        <f>I4075*K4075</f>
        <v/>
      </c>
      <c r="M4075" s="6">
        <f>K4075*4</f>
        <v/>
      </c>
      <c r="N4075" s="6" t="n">
        <v>0</v>
      </c>
    </row>
    <row r="4076">
      <c r="A4076" s="1" t="inlineStr">
        <is>
          <t>71288022047565</t>
        </is>
      </c>
      <c r="B4076" s="1" t="inlineStr">
        <is>
          <t>ANILLO VF ALHAMBRA GOLD</t>
        </is>
      </c>
      <c r="C4076" s="1" t="n">
        <v>6</v>
      </c>
      <c r="D4076" s="1" t="inlineStr">
        <is>
          <t>31/05/2026</t>
        </is>
      </c>
      <c r="E4076" s="1" t="n">
        <v>2026</v>
      </c>
      <c r="F4076" s="1" t="inlineStr">
        <is>
          <t>MAYO</t>
        </is>
      </c>
      <c r="G4076" s="1" t="inlineStr">
        <is>
          <t>NANCY</t>
        </is>
      </c>
      <c r="H4076" s="1" t="inlineStr">
        <is>
          <t>NANCY 31/05/2026</t>
        </is>
      </c>
      <c r="I4076" s="4" t="n">
        <v>2</v>
      </c>
      <c r="J4076" s="6" t="n">
        <v>5.59</v>
      </c>
      <c r="K4076" s="6" t="n">
        <v>135.6558265</v>
      </c>
      <c r="L4076" s="6">
        <f>I4076*K4076</f>
        <v/>
      </c>
      <c r="M4076" s="6">
        <f>K4076*4</f>
        <v/>
      </c>
      <c r="N4076" s="6" t="n">
        <v>0</v>
      </c>
    </row>
    <row r="4077">
      <c r="A4077" s="1" t="inlineStr">
        <is>
          <t>71288022180333</t>
        </is>
      </c>
      <c r="B4077" s="1" t="inlineStr">
        <is>
          <t>ANILLO VF ALHAMBRA GOLD</t>
        </is>
      </c>
      <c r="C4077" s="1" t="n">
        <v>7</v>
      </c>
      <c r="D4077" s="1" t="inlineStr">
        <is>
          <t>31/05/2026</t>
        </is>
      </c>
      <c r="E4077" s="1" t="n">
        <v>2026</v>
      </c>
      <c r="F4077" s="1" t="inlineStr">
        <is>
          <t>MAYO</t>
        </is>
      </c>
      <c r="G4077" s="1" t="inlineStr">
        <is>
          <t>NANCY</t>
        </is>
      </c>
      <c r="H4077" s="1" t="inlineStr">
        <is>
          <t>NANCY 31/05/2026</t>
        </is>
      </c>
      <c r="I4077" s="4" t="n">
        <v>2</v>
      </c>
      <c r="J4077" s="6" t="n">
        <v>5.59</v>
      </c>
      <c r="K4077" s="6" t="n">
        <v>135.6558265</v>
      </c>
      <c r="L4077" s="6">
        <f>I4077*K4077</f>
        <v/>
      </c>
      <c r="M4077" s="6">
        <f>K4077*4</f>
        <v/>
      </c>
      <c r="N4077" s="6" t="n">
        <v>0</v>
      </c>
    </row>
    <row r="4078">
      <c r="A4078" s="1" t="inlineStr">
        <is>
          <t>71288022239085</t>
        </is>
      </c>
      <c r="B4078" s="1" t="inlineStr">
        <is>
          <t>ANILLO VF ALHAMBRA SILVER</t>
        </is>
      </c>
      <c r="C4078" s="1" t="n">
        <v>6</v>
      </c>
      <c r="D4078" s="1" t="inlineStr">
        <is>
          <t>31/05/2026</t>
        </is>
      </c>
      <c r="E4078" s="1" t="n">
        <v>2026</v>
      </c>
      <c r="F4078" s="1" t="inlineStr">
        <is>
          <t>MAYO</t>
        </is>
      </c>
      <c r="G4078" s="1" t="inlineStr">
        <is>
          <t>NANCY</t>
        </is>
      </c>
      <c r="H4078" s="1" t="inlineStr">
        <is>
          <t>NANCY 31/05/2026</t>
        </is>
      </c>
      <c r="I4078" s="4" t="n">
        <v>2</v>
      </c>
      <c r="J4078" s="6" t="n">
        <v>5.59</v>
      </c>
      <c r="K4078" s="6" t="n">
        <v>135.6558265</v>
      </c>
      <c r="L4078" s="6">
        <f>I4078*K4078</f>
        <v/>
      </c>
      <c r="M4078" s="6">
        <f>K4078*4</f>
        <v/>
      </c>
      <c r="N4078" s="6" t="n">
        <v>0</v>
      </c>
    </row>
    <row r="4079">
      <c r="A4079" s="1" t="inlineStr">
        <is>
          <t>71288022371853</t>
        </is>
      </c>
      <c r="B4079" s="1" t="inlineStr">
        <is>
          <t>ANILLO VF ALHAMBRA SILVER</t>
        </is>
      </c>
      <c r="C4079" s="1" t="n">
        <v>7</v>
      </c>
      <c r="D4079" s="1" t="inlineStr">
        <is>
          <t>31/05/2026</t>
        </is>
      </c>
      <c r="E4079" s="1" t="n">
        <v>2026</v>
      </c>
      <c r="F4079" s="1" t="inlineStr">
        <is>
          <t>MAYO</t>
        </is>
      </c>
      <c r="G4079" s="1" t="inlineStr">
        <is>
          <t>NANCY</t>
        </is>
      </c>
      <c r="H4079" s="1" t="inlineStr">
        <is>
          <t>NANCY 31/05/2026</t>
        </is>
      </c>
      <c r="I4079" s="4" t="n">
        <v>2</v>
      </c>
      <c r="J4079" s="6" t="n">
        <v>5.59</v>
      </c>
      <c r="K4079" s="6" t="n">
        <v>135.6558265</v>
      </c>
      <c r="L4079" s="6">
        <f>I4079*K4079</f>
        <v/>
      </c>
      <c r="M4079" s="6">
        <f>K4079*4</f>
        <v/>
      </c>
      <c r="N4079" s="6" t="n">
        <v>0</v>
      </c>
    </row>
    <row r="4080">
      <c r="A4080" s="1" t="inlineStr">
        <is>
          <t>71288022468461</t>
        </is>
      </c>
      <c r="B4080" s="1" t="inlineStr">
        <is>
          <t>ANILLO VF TWIN ALHAMBRA SILVER</t>
        </is>
      </c>
      <c r="C4080" s="1" t="n">
        <v>7</v>
      </c>
      <c r="D4080" s="1" t="inlineStr">
        <is>
          <t>31/05/2026</t>
        </is>
      </c>
      <c r="E4080" s="1" t="n">
        <v>2026</v>
      </c>
      <c r="F4080" s="1" t="inlineStr">
        <is>
          <t>MAYO</t>
        </is>
      </c>
      <c r="G4080" s="1" t="inlineStr">
        <is>
          <t>NANCY</t>
        </is>
      </c>
      <c r="H4080" s="1" t="inlineStr">
        <is>
          <t>NANCY 31/05/2026</t>
        </is>
      </c>
      <c r="I4080" s="4" t="n">
        <v>2</v>
      </c>
      <c r="J4080" s="6" t="n">
        <v>7.99</v>
      </c>
      <c r="K4080" s="6" t="n">
        <v>193.8980418</v>
      </c>
      <c r="L4080" s="6">
        <f>I4080*K4080</f>
        <v/>
      </c>
      <c r="M4080" s="6">
        <f>K4080*4</f>
        <v/>
      </c>
      <c r="N4080" s="6" t="n">
        <v>0</v>
      </c>
    </row>
    <row r="4081">
      <c r="A4081" s="1" t="inlineStr">
        <is>
          <t>71288022597837</t>
        </is>
      </c>
      <c r="B4081" s="1" t="inlineStr">
        <is>
          <t>ANILLO VF PERLÉE DUO ROSE GOLD</t>
        </is>
      </c>
      <c r="C4081" s="1" t="n">
        <v>6</v>
      </c>
      <c r="D4081" s="1" t="inlineStr">
        <is>
          <t>31/05/2026</t>
        </is>
      </c>
      <c r="E4081" s="1" t="n">
        <v>2026</v>
      </c>
      <c r="F4081" s="1" t="inlineStr">
        <is>
          <t>MAYO</t>
        </is>
      </c>
      <c r="G4081" s="1" t="inlineStr">
        <is>
          <t>NANCY</t>
        </is>
      </c>
      <c r="H4081" s="1" t="inlineStr">
        <is>
          <t>NANCY 31/05/2026</t>
        </is>
      </c>
      <c r="I4081" s="4" t="n">
        <v>2</v>
      </c>
      <c r="J4081" s="6" t="n">
        <v>7.99</v>
      </c>
      <c r="K4081" s="6" t="n">
        <v>193.8980418</v>
      </c>
      <c r="L4081" s="6">
        <f>I4081*K4081</f>
        <v/>
      </c>
      <c r="M4081" s="6">
        <f>K4081*4</f>
        <v/>
      </c>
      <c r="N4081" s="6" t="n">
        <v>0</v>
      </c>
    </row>
    <row r="4082">
      <c r="A4082" s="1" t="inlineStr">
        <is>
          <t>71288022630605</t>
        </is>
      </c>
      <c r="B4082" s="1" t="inlineStr">
        <is>
          <t>ANILLO VF PERLÉE DUO ROSE GOLD</t>
        </is>
      </c>
      <c r="C4082" s="1" t="n">
        <v>7</v>
      </c>
      <c r="D4082" s="1" t="inlineStr">
        <is>
          <t>31/05/2026</t>
        </is>
      </c>
      <c r="E4082" s="1" t="n">
        <v>2026</v>
      </c>
      <c r="F4082" s="1" t="inlineStr">
        <is>
          <t>MAYO</t>
        </is>
      </c>
      <c r="G4082" s="1" t="inlineStr">
        <is>
          <t>NANCY</t>
        </is>
      </c>
      <c r="H4082" s="1" t="inlineStr">
        <is>
          <t>NANCY 31/05/2026</t>
        </is>
      </c>
      <c r="I4082" s="4" t="n">
        <v>2</v>
      </c>
      <c r="J4082" s="6" t="n">
        <v>7.99</v>
      </c>
      <c r="K4082" s="6" t="n">
        <v>193.8980418</v>
      </c>
      <c r="L4082" s="6">
        <f>I4082*K4082</f>
        <v/>
      </c>
      <c r="M4082" s="6">
        <f>K4082*4</f>
        <v/>
      </c>
      <c r="N4082" s="6" t="n">
        <v>0</v>
      </c>
    </row>
    <row r="4083">
      <c r="A4083" s="1" t="inlineStr">
        <is>
          <t>71288022725517</t>
        </is>
      </c>
      <c r="B4083" s="1" t="inlineStr">
        <is>
          <t>ANILLO VF PERLÉE DUO GOLD</t>
        </is>
      </c>
      <c r="C4083" s="1" t="n">
        <v>6</v>
      </c>
      <c r="D4083" s="1" t="inlineStr">
        <is>
          <t>31/05/2026</t>
        </is>
      </c>
      <c r="E4083" s="1" t="n">
        <v>2026</v>
      </c>
      <c r="F4083" s="1" t="inlineStr">
        <is>
          <t>MAYO</t>
        </is>
      </c>
      <c r="G4083" s="1" t="inlineStr">
        <is>
          <t>NANCY</t>
        </is>
      </c>
      <c r="H4083" s="1" t="inlineStr">
        <is>
          <t>NANCY 31/05/2026</t>
        </is>
      </c>
      <c r="I4083" s="4" t="n">
        <v>2</v>
      </c>
      <c r="J4083" s="6" t="n">
        <v>7.99</v>
      </c>
      <c r="K4083" s="6" t="n">
        <v>193.8980418</v>
      </c>
      <c r="L4083" s="6">
        <f>I4083*K4083</f>
        <v/>
      </c>
      <c r="M4083" s="6">
        <f>K4083*4</f>
        <v/>
      </c>
      <c r="N4083" s="6" t="n">
        <v>0</v>
      </c>
    </row>
    <row r="4084">
      <c r="A4084" s="1" t="inlineStr">
        <is>
          <t>71288022858285</t>
        </is>
      </c>
      <c r="B4084" s="1" t="inlineStr">
        <is>
          <t>ANILLO VF PERLÉE DUO GOLD</t>
        </is>
      </c>
      <c r="C4084" s="1" t="n">
        <v>7</v>
      </c>
      <c r="D4084" s="1" t="inlineStr">
        <is>
          <t>31/05/2026</t>
        </is>
      </c>
      <c r="E4084" s="1" t="n">
        <v>2026</v>
      </c>
      <c r="F4084" s="1" t="inlineStr">
        <is>
          <t>MAYO</t>
        </is>
      </c>
      <c r="G4084" s="1" t="inlineStr">
        <is>
          <t>NANCY</t>
        </is>
      </c>
      <c r="H4084" s="1" t="inlineStr">
        <is>
          <t>NANCY 31/05/2026</t>
        </is>
      </c>
      <c r="I4084" s="4" t="n">
        <v>2</v>
      </c>
      <c r="J4084" s="6" t="n">
        <v>7.99</v>
      </c>
      <c r="K4084" s="6" t="n">
        <v>193.8980418</v>
      </c>
      <c r="L4084" s="6">
        <f>I4084*K4084</f>
        <v/>
      </c>
      <c r="M4084" s="6">
        <f>K4084*4</f>
        <v/>
      </c>
      <c r="N4084" s="6" t="n">
        <v>0</v>
      </c>
    </row>
    <row r="4085">
      <c r="A4085" s="1" t="inlineStr">
        <is>
          <t>71288022951501</t>
        </is>
      </c>
      <c r="B4085" s="1" t="inlineStr">
        <is>
          <t>ANILLO VF PERLÉE DUO SILVER</t>
        </is>
      </c>
      <c r="C4085" s="1" t="n">
        <v>6</v>
      </c>
      <c r="D4085" s="1" t="inlineStr">
        <is>
          <t>31/05/2026</t>
        </is>
      </c>
      <c r="E4085" s="1" t="n">
        <v>2026</v>
      </c>
      <c r="F4085" s="1" t="inlineStr">
        <is>
          <t>MAYO</t>
        </is>
      </c>
      <c r="G4085" s="1" t="inlineStr">
        <is>
          <t>NANCY</t>
        </is>
      </c>
      <c r="H4085" s="1" t="inlineStr">
        <is>
          <t>NANCY 31/05/2026</t>
        </is>
      </c>
      <c r="I4085" s="4" t="n">
        <v>2</v>
      </c>
      <c r="J4085" s="6" t="n">
        <v>7.99</v>
      </c>
      <c r="K4085" s="6" t="n">
        <v>193.8980418</v>
      </c>
      <c r="L4085" s="6">
        <f>I4085*K4085</f>
        <v/>
      </c>
      <c r="M4085" s="6">
        <f>K4085*4</f>
        <v/>
      </c>
      <c r="N4085" s="6" t="n">
        <v>0</v>
      </c>
    </row>
    <row r="4086">
      <c r="A4086" s="1" t="inlineStr">
        <is>
          <t>71288023084269</t>
        </is>
      </c>
      <c r="B4086" s="1" t="inlineStr">
        <is>
          <t>ANILLO VF PERLÉE DUO SILVER</t>
        </is>
      </c>
      <c r="C4086" s="1" t="n">
        <v>7</v>
      </c>
      <c r="D4086" s="1" t="inlineStr">
        <is>
          <t>31/05/2026</t>
        </is>
      </c>
      <c r="E4086" s="1" t="n">
        <v>2026</v>
      </c>
      <c r="F4086" s="1" t="inlineStr">
        <is>
          <t>MAYO</t>
        </is>
      </c>
      <c r="G4086" s="1" t="inlineStr">
        <is>
          <t>NANCY</t>
        </is>
      </c>
      <c r="H4086" s="1" t="inlineStr">
        <is>
          <t>NANCY 31/05/2026</t>
        </is>
      </c>
      <c r="I4086" s="4" t="n">
        <v>2</v>
      </c>
      <c r="J4086" s="6" t="n">
        <v>7.99</v>
      </c>
      <c r="K4086" s="6" t="n">
        <v>193.8980418</v>
      </c>
      <c r="L4086" s="6">
        <f>I4086*K4086</f>
        <v/>
      </c>
      <c r="M4086" s="6">
        <f>K4086*4</f>
        <v/>
      </c>
      <c r="N4086" s="6" t="n">
        <v>0</v>
      </c>
    </row>
    <row r="4087">
      <c r="A4087" s="1" t="inlineStr">
        <is>
          <t>71288023182573</t>
        </is>
      </c>
      <c r="B4087" s="1" t="inlineStr">
        <is>
          <t>COLLAR T BEAN GOLD ZIRCONIAS</t>
        </is>
      </c>
      <c r="C4087" s="1" t="inlineStr">
        <is>
          <t>Default Title</t>
        </is>
      </c>
      <c r="D4087" s="1" t="inlineStr">
        <is>
          <t>31/05/2026</t>
        </is>
      </c>
      <c r="E4087" s="1" t="n">
        <v>2026</v>
      </c>
      <c r="F4087" s="1" t="inlineStr">
        <is>
          <t>MAYO</t>
        </is>
      </c>
      <c r="G4087" s="1" t="inlineStr">
        <is>
          <t>NANCY</t>
        </is>
      </c>
      <c r="H4087" s="1" t="inlineStr">
        <is>
          <t>NANCY 31/05/2026</t>
        </is>
      </c>
      <c r="I4087" s="4" t="n">
        <v>1</v>
      </c>
      <c r="J4087" s="6" t="n">
        <v>8.890000000000001</v>
      </c>
      <c r="K4087" s="6" t="n">
        <v>215.7388725</v>
      </c>
      <c r="L4087" s="6">
        <f>I4087*K4087</f>
        <v/>
      </c>
      <c r="M4087" s="6">
        <f>K4087*4</f>
        <v/>
      </c>
      <c r="N4087" s="6" t="n">
        <v>0</v>
      </c>
    </row>
    <row r="4088">
      <c r="A4088" s="1" t="inlineStr">
        <is>
          <t>71288023246413</t>
        </is>
      </c>
      <c r="B4088" s="1" t="inlineStr">
        <is>
          <t>COLLAR T BEAN SILVER ZIRCONIAS</t>
        </is>
      </c>
      <c r="C4088" s="1" t="inlineStr">
        <is>
          <t>Default Title</t>
        </is>
      </c>
      <c r="D4088" s="1" t="inlineStr">
        <is>
          <t>31/05/2026</t>
        </is>
      </c>
      <c r="E4088" s="1" t="n">
        <v>2026</v>
      </c>
      <c r="F4088" s="1" t="inlineStr">
        <is>
          <t>MAYO</t>
        </is>
      </c>
      <c r="G4088" s="1" t="inlineStr">
        <is>
          <t>NANCY</t>
        </is>
      </c>
      <c r="H4088" s="1" t="inlineStr">
        <is>
          <t>NANCY 31/05/2026</t>
        </is>
      </c>
      <c r="I4088" s="4" t="n">
        <v>1</v>
      </c>
      <c r="J4088" s="6" t="n">
        <v>8.890000000000001</v>
      </c>
      <c r="K4088" s="6" t="n">
        <v>215.7388725</v>
      </c>
      <c r="L4088" s="6">
        <f>I4088*K4088</f>
        <v/>
      </c>
      <c r="M4088" s="6">
        <f>K4088*4</f>
        <v/>
      </c>
      <c r="N4088" s="6" t="n">
        <v>0</v>
      </c>
    </row>
    <row r="4089">
      <c r="A4089" s="1" t="inlineStr">
        <is>
          <t>71326661043149</t>
        </is>
      </c>
      <c r="B4089" s="1" t="inlineStr">
        <is>
          <t>TRAJE DE BAÑO COMPLETO F LOGOS</t>
        </is>
      </c>
      <c r="C4089" s="1" t="inlineStr">
        <is>
          <t>BROWN-M</t>
        </is>
      </c>
      <c r="D4089" s="1" t="inlineStr">
        <is>
          <t>06/02/2026</t>
        </is>
      </c>
      <c r="E4089" s="1" t="n">
        <v>2026</v>
      </c>
      <c r="F4089" s="1" t="inlineStr">
        <is>
          <t>FEBRERO</t>
        </is>
      </c>
      <c r="G4089" s="1" t="inlineStr">
        <is>
          <t>DINA DU</t>
        </is>
      </c>
      <c r="H4089" s="1" t="inlineStr">
        <is>
          <t>DINA DU 06/02/2026</t>
        </is>
      </c>
      <c r="I4089" s="4" t="n">
        <v>2</v>
      </c>
      <c r="J4089" s="6" t="n">
        <v>22</v>
      </c>
      <c r="K4089" s="6" t="n">
        <v>587.8707114</v>
      </c>
      <c r="L4089" s="6">
        <f>I4089*K4089</f>
        <v/>
      </c>
      <c r="M4089" s="6">
        <f>K4089*4</f>
        <v/>
      </c>
      <c r="N4089" s="6" t="n">
        <v>2355</v>
      </c>
    </row>
    <row r="4090">
      <c r="A4090" s="1" t="inlineStr">
        <is>
          <t>71417611050957</t>
        </is>
      </c>
      <c r="B4090" s="1" t="inlineStr">
        <is>
          <t>LENTES LV ESCAPE SQUARE SILVER</t>
        </is>
      </c>
      <c r="C4090" s="1" t="inlineStr">
        <is>
          <t>HIGH QUALITY</t>
        </is>
      </c>
      <c r="D4090" s="1" t="inlineStr">
        <is>
          <t>15/05/2026</t>
        </is>
      </c>
      <c r="E4090" s="1" t="n">
        <v>2026</v>
      </c>
      <c r="F4090" s="1" t="inlineStr">
        <is>
          <t>MAYO</t>
        </is>
      </c>
      <c r="G4090" s="1" t="inlineStr">
        <is>
          <t>ZOEY</t>
        </is>
      </c>
      <c r="H4090" s="1" t="inlineStr">
        <is>
          <t>ZOEY 15/05/2026</t>
        </is>
      </c>
      <c r="I4090" s="4" t="n">
        <v>4</v>
      </c>
      <c r="J4090" s="6" t="n">
        <v>32</v>
      </c>
      <c r="K4090" s="6" t="n">
        <v>848.1479836</v>
      </c>
      <c r="L4090" s="6">
        <f>I4090*K4090</f>
        <v/>
      </c>
      <c r="M4090" s="6">
        <f>K4090*4</f>
        <v/>
      </c>
      <c r="N4090" s="6" t="n">
        <v>3399</v>
      </c>
    </row>
    <row r="4091">
      <c r="A4091" s="1" t="inlineStr">
        <is>
          <t>71556651035341</t>
        </is>
      </c>
      <c r="B4091" s="1" t="inlineStr">
        <is>
          <t>TRAJE DE BAÑO CD</t>
        </is>
      </c>
      <c r="C4091" s="1" t="inlineStr">
        <is>
          <t>L</t>
        </is>
      </c>
      <c r="D4091" s="1" t="inlineStr">
        <is>
          <t>02/03/2026</t>
        </is>
      </c>
      <c r="E4091" s="1" t="n">
        <v>2026</v>
      </c>
      <c r="F4091" s="1" t="inlineStr">
        <is>
          <t>MARZO</t>
        </is>
      </c>
      <c r="G4091" s="1" t="inlineStr">
        <is>
          <t>ZOEY</t>
        </is>
      </c>
      <c r="H4091" s="1" t="inlineStr">
        <is>
          <t>ZOEY 02/03/2026</t>
        </is>
      </c>
      <c r="I4091" s="4" t="n">
        <v>2</v>
      </c>
      <c r="J4091" s="6" t="n">
        <v>25</v>
      </c>
      <c r="K4091" s="6" t="n">
        <v>656.9243931</v>
      </c>
      <c r="L4091" s="6">
        <f>I4091*K4091</f>
        <v/>
      </c>
      <c r="M4091" s="6">
        <f>K4091*4</f>
        <v/>
      </c>
      <c r="N4091" s="6" t="n">
        <v>2659</v>
      </c>
    </row>
    <row r="4092">
      <c r="A4092" s="1" t="inlineStr">
        <is>
          <t>71556651035341</t>
        </is>
      </c>
      <c r="B4092" s="1" t="inlineStr">
        <is>
          <t>TRAJE DE BAÑO CD</t>
        </is>
      </c>
      <c r="C4092" s="1" t="inlineStr">
        <is>
          <t>L</t>
        </is>
      </c>
      <c r="D4092" s="1" t="inlineStr">
        <is>
          <t>19/03/2026</t>
        </is>
      </c>
      <c r="E4092" s="1" t="n">
        <v>2026</v>
      </c>
      <c r="F4092" s="1" t="inlineStr">
        <is>
          <t>MARZO</t>
        </is>
      </c>
      <c r="G4092" s="1" t="inlineStr">
        <is>
          <t>ZOEY</t>
        </is>
      </c>
      <c r="H4092" s="1" t="inlineStr">
        <is>
          <t>ZOEY 19/03/2026</t>
        </is>
      </c>
      <c r="I4092" s="4" t="n">
        <v>2</v>
      </c>
      <c r="J4092" s="6" t="n">
        <v>25</v>
      </c>
      <c r="K4092" s="6" t="n">
        <v>644.5512403</v>
      </c>
      <c r="L4092" s="6">
        <f>I4092*K4092</f>
        <v/>
      </c>
      <c r="M4092" s="6">
        <f>K4092*4</f>
        <v/>
      </c>
      <c r="N4092" s="6" t="n">
        <v>2659</v>
      </c>
    </row>
    <row r="4093">
      <c r="A4093" s="1" t="inlineStr">
        <is>
          <t>71628204107916</t>
        </is>
      </c>
      <c r="B4093" s="1" t="n"/>
      <c r="C4093" s="1" t="inlineStr">
        <is>
          <t>37 (23cm)</t>
        </is>
      </c>
      <c r="D4093" s="1" t="inlineStr">
        <is>
          <t>18/02/2026</t>
        </is>
      </c>
      <c r="E4093" s="1" t="n">
        <v>2026</v>
      </c>
      <c r="F4093" s="1" t="inlineStr">
        <is>
          <t>FEBRERO</t>
        </is>
      </c>
      <c r="G4093" s="1" t="inlineStr">
        <is>
          <t>CYNTHIA</t>
        </is>
      </c>
      <c r="H4093" s="1" t="inlineStr">
        <is>
          <t>CYNTHIA 18/02/2026</t>
        </is>
      </c>
      <c r="I4093" s="4" t="n">
        <v>1</v>
      </c>
      <c r="J4093" s="6" t="n">
        <v>30</v>
      </c>
      <c r="K4093" s="6" t="n">
        <v>811.300956</v>
      </c>
      <c r="L4093" s="6">
        <f>I4093*K4093</f>
        <v/>
      </c>
      <c r="M4093" s="6">
        <f>K4093*4</f>
        <v/>
      </c>
      <c r="N4093" s="6" t="n">
        <v>3189</v>
      </c>
    </row>
    <row r="4094">
      <c r="A4094" s="1" t="inlineStr">
        <is>
          <t>71628204927116</t>
        </is>
      </c>
      <c r="B4094" s="1" t="inlineStr">
        <is>
          <t>SANDALIAS H BLACK</t>
        </is>
      </c>
      <c r="C4094" s="1" t="inlineStr">
        <is>
          <t>37 (23 cm)</t>
        </is>
      </c>
      <c r="D4094" s="1" t="inlineStr">
        <is>
          <t>05/09/2025</t>
        </is>
      </c>
      <c r="E4094" s="1" t="n">
        <v>2025</v>
      </c>
      <c r="F4094" s="1" t="inlineStr">
        <is>
          <t>SEPTIEMBRE</t>
        </is>
      </c>
      <c r="G4094" s="1" t="inlineStr">
        <is>
          <t>CYNTHIA</t>
        </is>
      </c>
      <c r="H4094" s="1" t="inlineStr">
        <is>
          <t>CYNTHIA 05/09/2025</t>
        </is>
      </c>
      <c r="I4094" s="4" t="n">
        <v>1</v>
      </c>
      <c r="J4094" s="6" t="n">
        <v>34</v>
      </c>
      <c r="K4094" s="6" t="n">
        <v>856.0892956</v>
      </c>
      <c r="L4094" s="6">
        <f>I4094*K4094</f>
        <v/>
      </c>
      <c r="M4094" s="6">
        <f>K4094*4</f>
        <v/>
      </c>
      <c r="N4094" s="6" t="n">
        <v>2850</v>
      </c>
    </row>
    <row r="4095">
      <c r="A4095" s="1" t="inlineStr">
        <is>
          <t>71628204927116</t>
        </is>
      </c>
      <c r="B4095" s="1" t="inlineStr">
        <is>
          <t>SANDALIAS H BLACK</t>
        </is>
      </c>
      <c r="C4095" s="1" t="inlineStr">
        <is>
          <t>37 (23 cm)</t>
        </is>
      </c>
      <c r="D4095" s="1" t="inlineStr">
        <is>
          <t>18/02/2026</t>
        </is>
      </c>
      <c r="E4095" s="1" t="n">
        <v>2026</v>
      </c>
      <c r="F4095" s="1" t="inlineStr">
        <is>
          <t>FEBRERO</t>
        </is>
      </c>
      <c r="G4095" s="1" t="inlineStr">
        <is>
          <t>CYNTHIA</t>
        </is>
      </c>
      <c r="H4095" s="1" t="inlineStr">
        <is>
          <t>CYNTHIA 18/02/2026</t>
        </is>
      </c>
      <c r="I4095" s="4" t="n">
        <v>2</v>
      </c>
      <c r="J4095" s="6" t="n">
        <v>34</v>
      </c>
      <c r="K4095" s="6" t="n">
        <v>919.4744168</v>
      </c>
      <c r="L4095" s="6">
        <f>I4095*K4095</f>
        <v/>
      </c>
      <c r="M4095" s="6">
        <f>K4095*4</f>
        <v/>
      </c>
      <c r="N4095" s="6" t="n">
        <v>3649</v>
      </c>
    </row>
    <row r="4096">
      <c r="A4096" s="1" t="inlineStr">
        <is>
          <t>71628204927116</t>
        </is>
      </c>
      <c r="B4096" s="1" t="inlineStr">
        <is>
          <t>SANDALIAS H BLACK</t>
        </is>
      </c>
      <c r="C4096" s="1" t="inlineStr">
        <is>
          <t>37 (23 cm)</t>
        </is>
      </c>
      <c r="D4096" s="1" t="inlineStr">
        <is>
          <t>19/03/2026</t>
        </is>
      </c>
      <c r="E4096" s="1" t="n">
        <v>2026</v>
      </c>
      <c r="F4096" s="1" t="inlineStr">
        <is>
          <t>MARZO</t>
        </is>
      </c>
      <c r="G4096" s="1" t="inlineStr">
        <is>
          <t>CYNTHIA</t>
        </is>
      </c>
      <c r="H4096" s="1" t="inlineStr">
        <is>
          <t>CYNTHIA 19/03/2026</t>
        </is>
      </c>
      <c r="I4096" s="4" t="n">
        <v>1</v>
      </c>
      <c r="J4096" s="6" t="n">
        <v>34</v>
      </c>
      <c r="K4096" s="6" t="n">
        <v>913.152137</v>
      </c>
      <c r="L4096" s="6">
        <f>I4096*K4096</f>
        <v/>
      </c>
      <c r="M4096" s="6">
        <f>K4096*4</f>
        <v/>
      </c>
      <c r="N4096" s="6" t="n">
        <v>3649</v>
      </c>
    </row>
    <row r="4097">
      <c r="A4097" s="1" t="inlineStr">
        <is>
          <t>71628204959884</t>
        </is>
      </c>
      <c r="B4097" s="1" t="inlineStr">
        <is>
          <t>SANDALIAS H BLACK</t>
        </is>
      </c>
      <c r="C4097" s="1" t="inlineStr">
        <is>
          <t>38 (24cm)</t>
        </is>
      </c>
      <c r="D4097" s="1" t="inlineStr">
        <is>
          <t>05/09/2025</t>
        </is>
      </c>
      <c r="E4097" s="1" t="n">
        <v>2025</v>
      </c>
      <c r="F4097" s="1" t="inlineStr">
        <is>
          <t>SEPTIEMBRE</t>
        </is>
      </c>
      <c r="G4097" s="1" t="inlineStr">
        <is>
          <t>CYNTHIA</t>
        </is>
      </c>
      <c r="H4097" s="1" t="inlineStr">
        <is>
          <t>CYNTHIA 05/09/2025</t>
        </is>
      </c>
      <c r="I4097" s="4" t="n">
        <v>1</v>
      </c>
      <c r="J4097" s="6" t="n">
        <v>34</v>
      </c>
      <c r="K4097" s="6" t="n">
        <v>856.0892956</v>
      </c>
      <c r="L4097" s="6">
        <f>I4097*K4097</f>
        <v/>
      </c>
      <c r="M4097" s="6">
        <f>K4097*4</f>
        <v/>
      </c>
      <c r="N4097" s="6" t="n">
        <v>2850</v>
      </c>
    </row>
    <row r="4098">
      <c r="A4098" s="1" t="inlineStr">
        <is>
          <t>71628204959884</t>
        </is>
      </c>
      <c r="B4098" s="1" t="n"/>
      <c r="C4098" s="1" t="inlineStr">
        <is>
          <t>38 (24cm)</t>
        </is>
      </c>
      <c r="D4098" s="1" t="inlineStr">
        <is>
          <t>07/01/2026</t>
        </is>
      </c>
      <c r="E4098" s="1" t="n">
        <v>2026</v>
      </c>
      <c r="F4098" s="1" t="inlineStr">
        <is>
          <t>ENERO</t>
        </is>
      </c>
      <c r="G4098" s="1" t="inlineStr">
        <is>
          <t>CYNTHIA</t>
        </is>
      </c>
      <c r="H4098" s="1" t="inlineStr">
        <is>
          <t>CYNTHIA 07/01/2026</t>
        </is>
      </c>
      <c r="I4098" s="4" t="n">
        <v>1</v>
      </c>
      <c r="J4098" s="6" t="n">
        <v>34</v>
      </c>
      <c r="K4098" s="6" t="n">
        <v>903.9725409</v>
      </c>
      <c r="L4098" s="6">
        <f>I4098*K4098</f>
        <v/>
      </c>
      <c r="M4098" s="6">
        <f>K4098*4</f>
        <v/>
      </c>
      <c r="N4098" s="6" t="n">
        <v>3649</v>
      </c>
    </row>
    <row r="4099">
      <c r="A4099" s="1" t="inlineStr">
        <is>
          <t>71628204959884</t>
        </is>
      </c>
      <c r="B4099" s="1" t="n"/>
      <c r="C4099" s="1" t="inlineStr">
        <is>
          <t>38 (24cm)</t>
        </is>
      </c>
      <c r="D4099" s="1" t="inlineStr">
        <is>
          <t>07/01/2026</t>
        </is>
      </c>
      <c r="E4099" s="1" t="n">
        <v>2026</v>
      </c>
      <c r="F4099" s="1" t="inlineStr">
        <is>
          <t>ENERO</t>
        </is>
      </c>
      <c r="G4099" s="1" t="inlineStr">
        <is>
          <t>CYNTHIA</t>
        </is>
      </c>
      <c r="H4099" s="1" t="inlineStr">
        <is>
          <t>CYNTHIA 07/01/2026</t>
        </is>
      </c>
      <c r="I4099" s="4" t="n">
        <v>1</v>
      </c>
      <c r="J4099" s="6" t="n">
        <v>34</v>
      </c>
      <c r="K4099" s="6" t="n">
        <v>903.9725409</v>
      </c>
      <c r="L4099" s="6">
        <f>I4099*K4099</f>
        <v/>
      </c>
      <c r="M4099" s="6">
        <f>K4099*4</f>
        <v/>
      </c>
      <c r="N4099" s="6" t="n">
        <v>3649</v>
      </c>
    </row>
    <row r="4100">
      <c r="A4100" s="1" t="inlineStr">
        <is>
          <t>71628204959884</t>
        </is>
      </c>
      <c r="B4100" s="1" t="n"/>
      <c r="C4100" s="1" t="inlineStr">
        <is>
          <t>38 (24cm)</t>
        </is>
      </c>
      <c r="D4100" s="1" t="inlineStr">
        <is>
          <t>18/02/2026</t>
        </is>
      </c>
      <c r="E4100" s="1" t="n">
        <v>2026</v>
      </c>
      <c r="F4100" s="1" t="inlineStr">
        <is>
          <t>FEBRERO</t>
        </is>
      </c>
      <c r="G4100" s="1" t="inlineStr">
        <is>
          <t>CYNTHIA</t>
        </is>
      </c>
      <c r="H4100" s="1" t="inlineStr">
        <is>
          <t>CYNTHIA 18/02/2026</t>
        </is>
      </c>
      <c r="I4100" s="4" t="n">
        <v>1</v>
      </c>
      <c r="J4100" s="6" t="n">
        <v>34</v>
      </c>
      <c r="K4100" s="6" t="n">
        <v>919.4744168</v>
      </c>
      <c r="L4100" s="6">
        <f>I4100*K4100</f>
        <v/>
      </c>
      <c r="M4100" s="6">
        <f>K4100*4</f>
        <v/>
      </c>
      <c r="N4100" s="6" t="n">
        <v>3649</v>
      </c>
    </row>
    <row r="4101">
      <c r="A4101" s="1" t="inlineStr">
        <is>
          <t>71628205615244</t>
        </is>
      </c>
      <c r="B4101" s="1" t="inlineStr">
        <is>
          <t>SANDALIAS H BROWN</t>
        </is>
      </c>
      <c r="C4101" s="1" t="inlineStr">
        <is>
          <t>37 (23cm)</t>
        </is>
      </c>
      <c r="D4101" s="1" t="inlineStr">
        <is>
          <t>05/09/2025</t>
        </is>
      </c>
      <c r="E4101" s="1" t="n">
        <v>2025</v>
      </c>
      <c r="F4101" s="1" t="inlineStr">
        <is>
          <t>SEPTIEMBRE</t>
        </is>
      </c>
      <c r="G4101" s="1" t="inlineStr">
        <is>
          <t>CYNTHIA</t>
        </is>
      </c>
      <c r="H4101" s="1" t="inlineStr">
        <is>
          <t>CYNTHIA 05/09/2025</t>
        </is>
      </c>
      <c r="I4101" s="4" t="n">
        <v>1</v>
      </c>
      <c r="J4101" s="6" t="n">
        <v>30</v>
      </c>
      <c r="K4101" s="6" t="n">
        <v>755.3729079</v>
      </c>
      <c r="L4101" s="6">
        <f>I4101*K4101</f>
        <v/>
      </c>
      <c r="M4101" s="6">
        <f>K4101*4</f>
        <v/>
      </c>
      <c r="N4101" s="6" t="n">
        <v>2699</v>
      </c>
    </row>
    <row r="4102">
      <c r="A4102" s="1" t="inlineStr">
        <is>
          <t>71628205615244</t>
        </is>
      </c>
      <c r="B4102" s="1" t="inlineStr">
        <is>
          <t>SANDALIAS H BROWN</t>
        </is>
      </c>
      <c r="C4102" s="1" t="inlineStr">
        <is>
          <t>37 (23cm)</t>
        </is>
      </c>
      <c r="D4102" s="1" t="inlineStr">
        <is>
          <t>18/02/2026</t>
        </is>
      </c>
      <c r="E4102" s="1" t="n">
        <v>2026</v>
      </c>
      <c r="F4102" s="1" t="inlineStr">
        <is>
          <t>FEBRERO</t>
        </is>
      </c>
      <c r="G4102" s="1" t="inlineStr">
        <is>
          <t>CYNTHIA</t>
        </is>
      </c>
      <c r="H4102" s="1" t="inlineStr">
        <is>
          <t>CYNTHIA 18/02/2026</t>
        </is>
      </c>
      <c r="I4102" s="4" t="n">
        <v>1</v>
      </c>
      <c r="J4102" s="6" t="n">
        <v>30</v>
      </c>
      <c r="K4102" s="6" t="n">
        <v>811.300956</v>
      </c>
      <c r="L4102" s="6">
        <f>I4102*K4102</f>
        <v/>
      </c>
      <c r="M4102" s="6">
        <f>K4102*4</f>
        <v/>
      </c>
      <c r="N4102" s="6" t="n">
        <v>3189</v>
      </c>
    </row>
    <row r="4103">
      <c r="A4103" s="1" t="inlineStr">
        <is>
          <t>71628205615244</t>
        </is>
      </c>
      <c r="B4103" s="1" t="inlineStr">
        <is>
          <t>SANDALIAS H BROWN</t>
        </is>
      </c>
      <c r="C4103" s="1" t="inlineStr">
        <is>
          <t>37 (23cm)</t>
        </is>
      </c>
      <c r="D4103" s="1" t="inlineStr">
        <is>
          <t>31/05/2026</t>
        </is>
      </c>
      <c r="E4103" s="1" t="n">
        <v>2026</v>
      </c>
      <c r="F4103" s="1" t="inlineStr">
        <is>
          <t>MAYO</t>
        </is>
      </c>
      <c r="G4103" s="1" t="inlineStr">
        <is>
          <t>CYNTHIA</t>
        </is>
      </c>
      <c r="H4103" s="1" t="inlineStr">
        <is>
          <t>CYNTHIA 31/05/2026</t>
        </is>
      </c>
      <c r="I4103" s="4" t="n">
        <v>3</v>
      </c>
      <c r="J4103" s="6" t="n">
        <v>30</v>
      </c>
      <c r="K4103" s="6" t="n">
        <v>795.0313493</v>
      </c>
      <c r="L4103" s="6">
        <f>I4103*K4103</f>
        <v/>
      </c>
      <c r="M4103" s="6">
        <f>K4103*4</f>
        <v/>
      </c>
      <c r="N4103" s="6" t="n">
        <v>3189</v>
      </c>
    </row>
    <row r="4104">
      <c r="A4104" s="1" t="inlineStr">
        <is>
          <t>71628205648012</t>
        </is>
      </c>
      <c r="B4104" s="1" t="n"/>
      <c r="C4104" s="1" t="inlineStr">
        <is>
          <t>38 (24cm)</t>
        </is>
      </c>
      <c r="D4104" s="1" t="inlineStr">
        <is>
          <t>18/02/2026</t>
        </is>
      </c>
      <c r="E4104" s="1" t="n">
        <v>2026</v>
      </c>
      <c r="F4104" s="1" t="inlineStr">
        <is>
          <t>FEBRERO</t>
        </is>
      </c>
      <c r="G4104" s="1" t="inlineStr">
        <is>
          <t>CYNTHIA</t>
        </is>
      </c>
      <c r="H4104" s="1" t="inlineStr">
        <is>
          <t>CYNTHIA 18/02/2026</t>
        </is>
      </c>
      <c r="I4104" s="4" t="n">
        <v>1</v>
      </c>
      <c r="J4104" s="6" t="n">
        <v>30</v>
      </c>
      <c r="K4104" s="6" t="n">
        <v>811.300956</v>
      </c>
      <c r="L4104" s="6">
        <f>I4104*K4104</f>
        <v/>
      </c>
      <c r="M4104" s="6">
        <f>K4104*4</f>
        <v/>
      </c>
      <c r="N4104" s="6" t="n">
        <v>3189</v>
      </c>
    </row>
    <row r="4105">
      <c r="A4105" s="1" t="inlineStr">
        <is>
          <t>71628205648012</t>
        </is>
      </c>
      <c r="B4105" s="1" t="inlineStr">
        <is>
          <t>SANDALIAS H BROWN</t>
        </is>
      </c>
      <c r="C4105" s="1" t="inlineStr">
        <is>
          <t>38 (24cm)</t>
        </is>
      </c>
      <c r="D4105" s="1" t="inlineStr">
        <is>
          <t>19/03/2026</t>
        </is>
      </c>
      <c r="E4105" s="1" t="n">
        <v>2026</v>
      </c>
      <c r="F4105" s="1" t="inlineStr">
        <is>
          <t>MARZO</t>
        </is>
      </c>
      <c r="G4105" s="1" t="inlineStr">
        <is>
          <t>CYNTHIA</t>
        </is>
      </c>
      <c r="H4105" s="1" t="inlineStr">
        <is>
          <t>CYNTHIA 19/03/2026</t>
        </is>
      </c>
      <c r="I4105" s="4" t="n">
        <v>1</v>
      </c>
      <c r="J4105" s="6" t="n">
        <v>30</v>
      </c>
      <c r="K4105" s="6" t="n">
        <v>805.7224738</v>
      </c>
      <c r="L4105" s="6">
        <f>I4105*K4105</f>
        <v/>
      </c>
      <c r="M4105" s="6">
        <f>K4105*4</f>
        <v/>
      </c>
      <c r="N4105" s="6" t="n">
        <v>3189</v>
      </c>
    </row>
    <row r="4106">
      <c r="A4106" s="1" t="inlineStr">
        <is>
          <t>71628205648012</t>
        </is>
      </c>
      <c r="B4106" s="1" t="inlineStr">
        <is>
          <t>SANDALIAS H BROWN</t>
        </is>
      </c>
      <c r="C4106" s="1" t="inlineStr">
        <is>
          <t>38 (24cm)</t>
        </is>
      </c>
      <c r="D4106" s="1" t="inlineStr">
        <is>
          <t>31/05/2026</t>
        </is>
      </c>
      <c r="E4106" s="1" t="n">
        <v>2026</v>
      </c>
      <c r="F4106" s="1" t="inlineStr">
        <is>
          <t>MAYO</t>
        </is>
      </c>
      <c r="G4106" s="1" t="inlineStr">
        <is>
          <t>CYNTHIA</t>
        </is>
      </c>
      <c r="H4106" s="1" t="inlineStr">
        <is>
          <t>CYNTHIA 31/05/2026</t>
        </is>
      </c>
      <c r="I4106" s="4" t="n">
        <v>5</v>
      </c>
      <c r="J4106" s="6" t="n">
        <v>30</v>
      </c>
      <c r="K4106" s="6" t="n">
        <v>795.0313493</v>
      </c>
      <c r="L4106" s="6">
        <f>I4106*K4106</f>
        <v/>
      </c>
      <c r="M4106" s="6">
        <f>K4106*4</f>
        <v/>
      </c>
      <c r="N4106" s="6" t="n">
        <v>3189</v>
      </c>
    </row>
    <row r="4107">
      <c r="A4107" s="1" t="inlineStr">
        <is>
          <t>72002479482508</t>
        </is>
      </c>
      <c r="B4107" s="1" t="inlineStr">
        <is>
          <t>ZAPATILLA J’ADIOR</t>
        </is>
      </c>
      <c r="C4107" s="1" t="inlineStr">
        <is>
          <t>23cm</t>
        </is>
      </c>
      <c r="D4107" s="1" t="inlineStr">
        <is>
          <t>20/01/2026</t>
        </is>
      </c>
      <c r="E4107" s="1" t="n">
        <v>2026</v>
      </c>
      <c r="F4107" s="1" t="inlineStr">
        <is>
          <t>ENERO</t>
        </is>
      </c>
      <c r="G4107" s="1" t="inlineStr">
        <is>
          <t>ZOEY</t>
        </is>
      </c>
      <c r="H4107" s="1" t="inlineStr">
        <is>
          <t>ZOEY 20/01/2026</t>
        </is>
      </c>
      <c r="I4107" s="4" t="n">
        <v>2</v>
      </c>
      <c r="J4107" s="6" t="n">
        <v>58</v>
      </c>
      <c r="K4107" s="6" t="n">
        <v>1509.832763</v>
      </c>
      <c r="L4107" s="6">
        <f>I4107*K4107</f>
        <v/>
      </c>
      <c r="M4107" s="6">
        <f>K4107*4</f>
        <v/>
      </c>
      <c r="N4107" s="6" t="n">
        <v>5649</v>
      </c>
    </row>
    <row r="4108">
      <c r="A4108" s="1" t="inlineStr">
        <is>
          <t>72002488652044</t>
        </is>
      </c>
      <c r="B4108" s="1" t="inlineStr">
        <is>
          <t>ZAPATILLA J´ADIOR</t>
        </is>
      </c>
      <c r="C4108" s="1" t="inlineStr">
        <is>
          <t>24cm</t>
        </is>
      </c>
      <c r="D4108" s="1" t="inlineStr">
        <is>
          <t>25/10/2025</t>
        </is>
      </c>
      <c r="E4108" s="1" t="n">
        <v>2025</v>
      </c>
      <c r="F4108" s="1" t="inlineStr">
        <is>
          <t>OCTUBRE</t>
        </is>
      </c>
      <c r="G4108" s="1" t="inlineStr">
        <is>
          <t>ZOEY</t>
        </is>
      </c>
      <c r="H4108" s="1" t="inlineStr">
        <is>
          <t>ZOEY 25/10/2025</t>
        </is>
      </c>
      <c r="I4108" s="4" t="n">
        <v>1</v>
      </c>
      <c r="J4108" s="6" t="n">
        <v>58</v>
      </c>
      <c r="K4108" s="6" t="n">
        <v>1438.40634</v>
      </c>
      <c r="L4108" s="6">
        <f>I4108*K4108</f>
        <v/>
      </c>
      <c r="M4108" s="6">
        <f>K4108*4</f>
        <v/>
      </c>
      <c r="N4108" s="6" t="n">
        <v>5199</v>
      </c>
    </row>
    <row r="4109">
      <c r="A4109" s="1" t="inlineStr">
        <is>
          <t>72002488652044</t>
        </is>
      </c>
      <c r="B4109" s="1" t="inlineStr">
        <is>
          <t>ZAPATILLA J’ADIOR</t>
        </is>
      </c>
      <c r="C4109" s="1" t="inlineStr">
        <is>
          <t>24cm</t>
        </is>
      </c>
      <c r="D4109" s="1" t="inlineStr">
        <is>
          <t>20/01/2026</t>
        </is>
      </c>
      <c r="E4109" s="1" t="n">
        <v>2026</v>
      </c>
      <c r="F4109" s="1" t="inlineStr">
        <is>
          <t>ENERO</t>
        </is>
      </c>
      <c r="G4109" s="1" t="inlineStr">
        <is>
          <t>ZOEY</t>
        </is>
      </c>
      <c r="H4109" s="1" t="inlineStr">
        <is>
          <t>ZOEY 20/01/2026</t>
        </is>
      </c>
      <c r="I4109" s="4" t="n">
        <v>3</v>
      </c>
      <c r="J4109" s="6" t="n">
        <v>58</v>
      </c>
      <c r="K4109" s="6" t="n">
        <v>1509.832763</v>
      </c>
      <c r="L4109" s="6">
        <f>I4109*K4109</f>
        <v/>
      </c>
      <c r="M4109" s="6">
        <f>K4109*4</f>
        <v/>
      </c>
      <c r="N4109" s="6" t="n">
        <v>5649</v>
      </c>
    </row>
    <row r="4110">
      <c r="A4110" s="1" t="inlineStr">
        <is>
          <t>72002488652044</t>
        </is>
      </c>
      <c r="B4110" s="1" t="inlineStr">
        <is>
          <t>ZAPATILLA J’ADIOR</t>
        </is>
      </c>
      <c r="C4110" s="1" t="inlineStr">
        <is>
          <t>24cm</t>
        </is>
      </c>
      <c r="D4110" s="1" t="inlineStr">
        <is>
          <t>15/05/2026</t>
        </is>
      </c>
      <c r="E4110" s="1" t="n">
        <v>2026</v>
      </c>
      <c r="F4110" s="1" t="inlineStr">
        <is>
          <t>MAYO</t>
        </is>
      </c>
      <c r="G4110" s="1" t="inlineStr">
        <is>
          <t>ZOEY</t>
        </is>
      </c>
      <c r="H4110" s="1" t="inlineStr">
        <is>
          <t>ZOEY 15/05/2026</t>
        </is>
      </c>
      <c r="I4110" s="4" t="n">
        <v>2</v>
      </c>
      <c r="J4110" s="6" t="n">
        <v>58</v>
      </c>
      <c r="K4110" s="6" t="n">
        <v>1537.26822</v>
      </c>
      <c r="L4110" s="6">
        <f>I4110*K4110</f>
        <v/>
      </c>
      <c r="M4110" s="6">
        <f>K4110*4</f>
        <v/>
      </c>
      <c r="N4110" s="6" t="n">
        <v>6150</v>
      </c>
    </row>
    <row r="4111">
      <c r="A4111" s="1" t="inlineStr">
        <is>
          <t>72002489425036</t>
        </is>
      </c>
      <c r="B4111" s="1" t="inlineStr">
        <is>
          <t>ZAPATILLAS YSL OPYUM BLACK</t>
        </is>
      </c>
      <c r="C4111" s="1" t="inlineStr">
        <is>
          <t>23cm</t>
        </is>
      </c>
      <c r="D4111" s="1" t="inlineStr">
        <is>
          <t>20/01/2026</t>
        </is>
      </c>
      <c r="E4111" s="1" t="n">
        <v>2026</v>
      </c>
      <c r="F4111" s="1" t="inlineStr">
        <is>
          <t>ENERO</t>
        </is>
      </c>
      <c r="G4111" s="1" t="inlineStr">
        <is>
          <t>ZOEY</t>
        </is>
      </c>
      <c r="H4111" s="1" t="inlineStr">
        <is>
          <t>ZOEY 20/01/2026</t>
        </is>
      </c>
      <c r="I4111" s="4" t="n">
        <v>1</v>
      </c>
      <c r="J4111" s="6" t="n">
        <v>65</v>
      </c>
      <c r="K4111" s="6" t="n">
        <v>1692.053959</v>
      </c>
      <c r="L4111" s="6">
        <f>I4111*K4111</f>
        <v/>
      </c>
      <c r="M4111" s="6">
        <f>K4111*4</f>
        <v/>
      </c>
      <c r="N4111" s="6" t="n">
        <v>6339</v>
      </c>
    </row>
    <row r="4112">
      <c r="A4112" s="1" t="inlineStr">
        <is>
          <t>72002489425036</t>
        </is>
      </c>
      <c r="B4112" s="1" t="inlineStr">
        <is>
          <t>ZAPATILLAS YSL OPYUM BLACK</t>
        </is>
      </c>
      <c r="C4112" s="1" t="inlineStr">
        <is>
          <t>23cm=36</t>
        </is>
      </c>
      <c r="D4112" s="1" t="inlineStr">
        <is>
          <t>02/03/2026</t>
        </is>
      </c>
      <c r="E4112" s="1" t="n">
        <v>2026</v>
      </c>
      <c r="F4112" s="1" t="inlineStr">
        <is>
          <t>MARZO</t>
        </is>
      </c>
      <c r="G4112" s="1" t="inlineStr">
        <is>
          <t>ZOEY</t>
        </is>
      </c>
      <c r="H4112" s="1" t="inlineStr">
        <is>
          <t>ZOEY 02/03/2026</t>
        </is>
      </c>
      <c r="I4112" s="4" t="n">
        <v>1</v>
      </c>
      <c r="J4112" s="6" t="n">
        <v>65</v>
      </c>
      <c r="K4112" s="6" t="n">
        <v>1708.003422</v>
      </c>
      <c r="L4112" s="6">
        <f>I4112*K4112</f>
        <v/>
      </c>
      <c r="M4112" s="6">
        <f>K4112*4</f>
        <v/>
      </c>
      <c r="N4112" s="6" t="n">
        <v>6339</v>
      </c>
    </row>
    <row r="4113">
      <c r="A4113" s="1" t="inlineStr">
        <is>
          <t>72002489515276</t>
        </is>
      </c>
      <c r="B4113" s="1" t="inlineStr">
        <is>
          <t>ZAPATILLA J´ADIOR</t>
        </is>
      </c>
      <c r="C4113" s="1" t="inlineStr">
        <is>
          <t>25cm</t>
        </is>
      </c>
      <c r="D4113" s="1" t="inlineStr">
        <is>
          <t>25/10/2025</t>
        </is>
      </c>
      <c r="E4113" s="1" t="n">
        <v>2025</v>
      </c>
      <c r="F4113" s="1" t="inlineStr">
        <is>
          <t>OCTUBRE</t>
        </is>
      </c>
      <c r="G4113" s="1" t="inlineStr">
        <is>
          <t>ZOEY</t>
        </is>
      </c>
      <c r="H4113" s="1" t="inlineStr">
        <is>
          <t>ZOEY 25/10/2025</t>
        </is>
      </c>
      <c r="I4113" s="4" t="n">
        <v>2</v>
      </c>
      <c r="J4113" s="6" t="n">
        <v>58</v>
      </c>
      <c r="K4113" s="6" t="n">
        <v>1438.40634</v>
      </c>
      <c r="L4113" s="6">
        <f>I4113*K4113</f>
        <v/>
      </c>
      <c r="M4113" s="6">
        <f>K4113*4</f>
        <v/>
      </c>
      <c r="N4113" s="6" t="n">
        <v>5199</v>
      </c>
    </row>
    <row r="4114">
      <c r="A4114" s="1" t="inlineStr">
        <is>
          <t>72002489515276</t>
        </is>
      </c>
      <c r="B4114" s="1" t="inlineStr">
        <is>
          <t>ZAPATILLA J’ADIOR</t>
        </is>
      </c>
      <c r="C4114" s="1" t="inlineStr">
        <is>
          <t>25cm</t>
        </is>
      </c>
      <c r="D4114" s="1" t="inlineStr">
        <is>
          <t>20/01/2026</t>
        </is>
      </c>
      <c r="E4114" s="1" t="n">
        <v>2026</v>
      </c>
      <c r="F4114" s="1" t="inlineStr">
        <is>
          <t>ENERO</t>
        </is>
      </c>
      <c r="G4114" s="1" t="inlineStr">
        <is>
          <t>ZOEY</t>
        </is>
      </c>
      <c r="H4114" s="1" t="inlineStr">
        <is>
          <t>ZOEY 20/01/2026</t>
        </is>
      </c>
      <c r="I4114" s="4" t="n">
        <v>3</v>
      </c>
      <c r="J4114" s="6" t="n">
        <v>58</v>
      </c>
      <c r="K4114" s="6" t="n">
        <v>1509.832763</v>
      </c>
      <c r="L4114" s="6">
        <f>I4114*K4114</f>
        <v/>
      </c>
      <c r="M4114" s="6">
        <f>K4114*4</f>
        <v/>
      </c>
      <c r="N4114" s="6" t="n">
        <v>5649</v>
      </c>
    </row>
    <row r="4115">
      <c r="A4115" s="1" t="inlineStr">
        <is>
          <t>72002489515276</t>
        </is>
      </c>
      <c r="B4115" s="1" t="inlineStr">
        <is>
          <t>ZAPATILLA J’ADIOR</t>
        </is>
      </c>
      <c r="C4115" s="1" t="inlineStr">
        <is>
          <t>38/25cm</t>
        </is>
      </c>
      <c r="D4115" s="1" t="inlineStr">
        <is>
          <t>08/06/2026</t>
        </is>
      </c>
      <c r="E4115" s="1" t="n">
        <v>2026</v>
      </c>
      <c r="F4115" s="1" t="inlineStr">
        <is>
          <t>JUNIO</t>
        </is>
      </c>
      <c r="G4115" s="1" t="inlineStr">
        <is>
          <t>ZOEY</t>
        </is>
      </c>
      <c r="H4115" s="1" t="inlineStr">
        <is>
          <t>ZOEY 08/06/2026</t>
        </is>
      </c>
      <c r="I4115" s="4" t="n">
        <v>2</v>
      </c>
      <c r="J4115" s="6" t="n">
        <v>58</v>
      </c>
      <c r="K4115" s="6" t="n">
        <v>1421.663314</v>
      </c>
      <c r="L4115" s="6">
        <f>I4115*K4115</f>
        <v/>
      </c>
      <c r="M4115" s="6">
        <f>K4115*4</f>
        <v/>
      </c>
      <c r="N4115" s="6" t="n">
        <v>5649</v>
      </c>
    </row>
    <row r="4116">
      <c r="A4116" s="1" t="inlineStr">
        <is>
          <t>72002489640844</t>
        </is>
      </c>
      <c r="B4116" s="1" t="inlineStr">
        <is>
          <t>ZAPATILLAS CL KATE</t>
        </is>
      </c>
      <c r="C4116" s="1" t="inlineStr">
        <is>
          <t>24cm=38</t>
        </is>
      </c>
      <c r="D4116" s="1" t="inlineStr">
        <is>
          <t>02/03/2026</t>
        </is>
      </c>
      <c r="E4116" s="1" t="n">
        <v>2026</v>
      </c>
      <c r="F4116" s="1" t="inlineStr">
        <is>
          <t>MARZO</t>
        </is>
      </c>
      <c r="G4116" s="1" t="inlineStr">
        <is>
          <t>ZOEY</t>
        </is>
      </c>
      <c r="H4116" s="1" t="inlineStr">
        <is>
          <t>ZOEY 02/03/2026</t>
        </is>
      </c>
      <c r="I4116" s="4" t="n">
        <v>1</v>
      </c>
      <c r="J4116" s="6" t="n">
        <v>48</v>
      </c>
      <c r="K4116" s="6" t="n">
        <v>1261.294835</v>
      </c>
      <c r="L4116" s="6">
        <f>I4116*K4116</f>
        <v/>
      </c>
      <c r="M4116" s="6">
        <f>K4116*4</f>
        <v/>
      </c>
      <c r="N4116" s="6" t="n">
        <v>4675</v>
      </c>
    </row>
    <row r="4117">
      <c r="A4117" s="1" t="inlineStr">
        <is>
          <t>72002489640844</t>
        </is>
      </c>
      <c r="B4117" s="1" t="inlineStr">
        <is>
          <t>ZAPATILLAS CL KATE</t>
        </is>
      </c>
      <c r="C4117" s="1" t="inlineStr">
        <is>
          <t>36/24cm</t>
        </is>
      </c>
      <c r="D4117" s="1" t="inlineStr">
        <is>
          <t>08/06/2026</t>
        </is>
      </c>
      <c r="E4117" s="1" t="n">
        <v>2026</v>
      </c>
      <c r="F4117" s="1" t="inlineStr">
        <is>
          <t>JUNIO</t>
        </is>
      </c>
      <c r="G4117" s="1" t="inlineStr">
        <is>
          <t>ZOEY</t>
        </is>
      </c>
      <c r="H4117" s="1" t="inlineStr">
        <is>
          <t>ZOEY 08/06/2026</t>
        </is>
      </c>
      <c r="I4117" s="4" t="n">
        <v>2</v>
      </c>
      <c r="J4117" s="6" t="n">
        <v>48</v>
      </c>
      <c r="K4117" s="6" t="n">
        <v>1176.54895</v>
      </c>
      <c r="L4117" s="6">
        <f>I4117*K4117</f>
        <v/>
      </c>
      <c r="M4117" s="6">
        <f>K4117*4</f>
        <v/>
      </c>
      <c r="N4117" s="6" t="n">
        <v>4675</v>
      </c>
    </row>
    <row r="4118">
      <c r="A4118" s="1" t="inlineStr">
        <is>
          <t>72002489673612</t>
        </is>
      </c>
      <c r="B4118" s="1" t="inlineStr">
        <is>
          <t>ZAPATILLAS CL KATE</t>
        </is>
      </c>
      <c r="C4118" s="1" t="inlineStr">
        <is>
          <t>25cm=39</t>
        </is>
      </c>
      <c r="D4118" s="1" t="inlineStr">
        <is>
          <t>02/03/2026</t>
        </is>
      </c>
      <c r="E4118" s="1" t="n">
        <v>2026</v>
      </c>
      <c r="F4118" s="1" t="inlineStr">
        <is>
          <t>MARZO</t>
        </is>
      </c>
      <c r="G4118" s="1" t="inlineStr">
        <is>
          <t>ZOEY</t>
        </is>
      </c>
      <c r="H4118" s="1" t="inlineStr">
        <is>
          <t>ZOEY 02/03/2026</t>
        </is>
      </c>
      <c r="I4118" s="4" t="n">
        <v>2</v>
      </c>
      <c r="J4118" s="6" t="n">
        <v>48</v>
      </c>
      <c r="K4118" s="6" t="n">
        <v>1261.294835</v>
      </c>
      <c r="L4118" s="6">
        <f>I4118*K4118</f>
        <v/>
      </c>
      <c r="M4118" s="6">
        <f>K4118*4</f>
        <v/>
      </c>
      <c r="N4118" s="6" t="n">
        <v>4675</v>
      </c>
    </row>
    <row r="4119">
      <c r="A4119" s="1" t="inlineStr">
        <is>
          <t>72002489673612</t>
        </is>
      </c>
      <c r="B4119" s="1" t="inlineStr">
        <is>
          <t>ZAPATILLAS CL KATE</t>
        </is>
      </c>
      <c r="C4119" s="1" t="inlineStr">
        <is>
          <t>25cm=39</t>
        </is>
      </c>
      <c r="D4119" s="1" t="inlineStr">
        <is>
          <t>19/03/2026</t>
        </is>
      </c>
      <c r="E4119" s="1" t="n">
        <v>2026</v>
      </c>
      <c r="F4119" s="1" t="inlineStr">
        <is>
          <t>MARZO</t>
        </is>
      </c>
      <c r="G4119" s="1" t="inlineStr">
        <is>
          <t>ZOEY</t>
        </is>
      </c>
      <c r="H4119" s="1" t="inlineStr">
        <is>
          <t>ZOEY 19/03/2026</t>
        </is>
      </c>
      <c r="I4119" s="4" t="n">
        <v>1</v>
      </c>
      <c r="J4119" s="6" t="n">
        <v>48</v>
      </c>
      <c r="K4119" s="6" t="n">
        <v>1237.538381</v>
      </c>
      <c r="L4119" s="6">
        <f>I4119*K4119</f>
        <v/>
      </c>
      <c r="M4119" s="6">
        <f>K4119*4</f>
        <v/>
      </c>
      <c r="N4119" s="6" t="n">
        <v>4675</v>
      </c>
    </row>
    <row r="4120">
      <c r="A4120" s="1" t="inlineStr">
        <is>
          <t>72083641016013</t>
        </is>
      </c>
      <c r="B4120" s="1" t="inlineStr">
        <is>
          <t>PULSERA MM GOLD-WHITE</t>
        </is>
      </c>
      <c r="C4120" s="1" t="inlineStr">
        <is>
          <t>REGULAR</t>
        </is>
      </c>
      <c r="D4120" s="1" t="inlineStr">
        <is>
          <t>22/10/2025</t>
        </is>
      </c>
      <c r="E4120" s="1" t="n">
        <v>2025</v>
      </c>
      <c r="F4120" s="1" t="inlineStr">
        <is>
          <t>OCTUBRE</t>
        </is>
      </c>
      <c r="G4120" s="1" t="inlineStr">
        <is>
          <t>HAIFENG</t>
        </is>
      </c>
      <c r="H4120" s="1" t="inlineStr">
        <is>
          <t>HAIFENG 22/10/2025</t>
        </is>
      </c>
      <c r="I4120" s="4" t="n">
        <v>3</v>
      </c>
      <c r="J4120" s="6" t="n">
        <v>6.99</v>
      </c>
      <c r="K4120" s="6" t="n">
        <v>147.6865515</v>
      </c>
      <c r="L4120" s="6">
        <f>I4120*K4120</f>
        <v/>
      </c>
      <c r="M4120" s="6">
        <f>K4120*4</f>
        <v/>
      </c>
      <c r="N4120" s="6" t="n">
        <v>580</v>
      </c>
    </row>
    <row r="4121">
      <c r="A4121" s="1" t="inlineStr">
        <is>
          <t>72083641016013</t>
        </is>
      </c>
      <c r="B4121" s="1" t="inlineStr">
        <is>
          <t>PULSERA MM GOLD-WHITE</t>
        </is>
      </c>
      <c r="C4121" s="1" t="inlineStr">
        <is>
          <t>REGULAR</t>
        </is>
      </c>
      <c r="D4121" s="1" t="inlineStr">
        <is>
          <t>10/02/2026</t>
        </is>
      </c>
      <c r="E4121" s="1" t="n">
        <v>2026</v>
      </c>
      <c r="F4121" s="1" t="inlineStr">
        <is>
          <t>FEBRERO</t>
        </is>
      </c>
      <c r="G4121" s="1" t="inlineStr">
        <is>
          <t>HAIFENG</t>
        </is>
      </c>
      <c r="H4121" s="1" t="inlineStr">
        <is>
          <t>HAIFENG 10/02/2026</t>
        </is>
      </c>
      <c r="I4121" s="4" t="n">
        <v>2</v>
      </c>
      <c r="J4121" s="6" t="n">
        <v>6.99</v>
      </c>
      <c r="K4121" s="6" t="n">
        <v>147.2687875</v>
      </c>
      <c r="L4121" s="6">
        <f>I4121*K4121</f>
        <v/>
      </c>
      <c r="M4121" s="6">
        <f>K4121*4</f>
        <v/>
      </c>
      <c r="N4121" s="6" t="n">
        <v>580</v>
      </c>
    </row>
    <row r="4122">
      <c r="A4122" s="1" t="inlineStr">
        <is>
          <t>72142921022125</t>
        </is>
      </c>
      <c r="B4122" s="1" t="inlineStr">
        <is>
          <t>ANILLO CD GOLD WHITE CON ZIRCONIA</t>
        </is>
      </c>
      <c r="C4122" s="1" t="n">
        <v>6</v>
      </c>
      <c r="D4122" s="1" t="inlineStr">
        <is>
          <t>02/10/2025</t>
        </is>
      </c>
      <c r="E4122" s="1" t="n">
        <v>2025</v>
      </c>
      <c r="F4122" s="1" t="inlineStr">
        <is>
          <t>OCTUBRE</t>
        </is>
      </c>
      <c r="G4122" s="1" t="inlineStr">
        <is>
          <t>ZOEY</t>
        </is>
      </c>
      <c r="H4122" s="1" t="inlineStr">
        <is>
          <t>ZOEY 02/10/2025</t>
        </is>
      </c>
      <c r="I4122" s="4" t="n">
        <v>3</v>
      </c>
      <c r="J4122" s="6" t="n">
        <v>9</v>
      </c>
      <c r="K4122" s="6" t="n">
        <v>212.615424</v>
      </c>
      <c r="L4122" s="6">
        <f>I4122*K4122</f>
        <v/>
      </c>
      <c r="M4122" s="6">
        <f>K4122*4</f>
        <v/>
      </c>
      <c r="N4122" s="6" t="n">
        <v>975</v>
      </c>
    </row>
    <row r="4123">
      <c r="A4123" s="1" t="inlineStr">
        <is>
          <t>72142921022125</t>
        </is>
      </c>
      <c r="B4123" s="1" t="inlineStr">
        <is>
          <t>ANILLO CD GOLD WHITE CON ZIRCONIA</t>
        </is>
      </c>
      <c r="C4123" s="1" t="inlineStr">
        <is>
          <t>6</t>
        </is>
      </c>
      <c r="D4123" s="1" t="inlineStr">
        <is>
          <t>19/03/2026</t>
        </is>
      </c>
      <c r="E4123" s="1" t="n">
        <v>2026</v>
      </c>
      <c r="F4123" s="1" t="inlineStr">
        <is>
          <t>MARZO</t>
        </is>
      </c>
      <c r="G4123" s="1" t="inlineStr">
        <is>
          <t>ZOEY</t>
        </is>
      </c>
      <c r="H4123" s="1" t="inlineStr">
        <is>
          <t>ZOEY 19/03/2026</t>
        </is>
      </c>
      <c r="I4123" s="4" t="n">
        <v>1</v>
      </c>
      <c r="J4123" s="6" t="n">
        <v>9</v>
      </c>
      <c r="K4123" s="6" t="n">
        <v>232.0384465</v>
      </c>
      <c r="L4123" s="6">
        <f>I4123*K4123</f>
        <v/>
      </c>
      <c r="M4123" s="6">
        <f>K4123*4</f>
        <v/>
      </c>
      <c r="N4123" s="6" t="n">
        <v>975</v>
      </c>
    </row>
    <row r="4124">
      <c r="A4124" s="1" t="inlineStr">
        <is>
          <t>72142921022125</t>
        </is>
      </c>
      <c r="B4124" s="1" t="inlineStr">
        <is>
          <t>ANILLO CD GOLD WHITE CON ZIRCONIA</t>
        </is>
      </c>
      <c r="C4124" s="1" t="inlineStr">
        <is>
          <t>6</t>
        </is>
      </c>
      <c r="D4124" s="1" t="inlineStr">
        <is>
          <t>15/05/2026</t>
        </is>
      </c>
      <c r="E4124" s="1" t="n">
        <v>2026</v>
      </c>
      <c r="F4124" s="1" t="inlineStr">
        <is>
          <t>MAYO</t>
        </is>
      </c>
      <c r="G4124" s="1" t="inlineStr">
        <is>
          <t>ZOEY</t>
        </is>
      </c>
      <c r="H4124" s="1" t="inlineStr">
        <is>
          <t>ZOEY 15/05/2026</t>
        </is>
      </c>
      <c r="I4124" s="4" t="n">
        <v>2</v>
      </c>
      <c r="J4124" s="6" t="n">
        <v>9</v>
      </c>
      <c r="K4124" s="6" t="n">
        <v>238.5416204</v>
      </c>
      <c r="L4124" s="6">
        <f>I4124*K4124</f>
        <v/>
      </c>
      <c r="M4124" s="6">
        <f>K4124*4</f>
        <v/>
      </c>
      <c r="N4124" s="6" t="n">
        <v>975</v>
      </c>
    </row>
    <row r="4125">
      <c r="A4125" s="1" t="inlineStr">
        <is>
          <t>72142921022126</t>
        </is>
      </c>
      <c r="B4125" s="1" t="n"/>
      <c r="C4125" s="1" t="n">
        <v>7</v>
      </c>
      <c r="D4125" s="1" t="inlineStr">
        <is>
          <t>02/10/2025</t>
        </is>
      </c>
      <c r="E4125" s="1" t="n">
        <v>2025</v>
      </c>
      <c r="F4125" s="1" t="inlineStr">
        <is>
          <t>OCTUBRE</t>
        </is>
      </c>
      <c r="G4125" s="1" t="inlineStr">
        <is>
          <t>ZOEY</t>
        </is>
      </c>
      <c r="H4125" s="1" t="inlineStr">
        <is>
          <t>ZOEY 02/10/2025</t>
        </is>
      </c>
      <c r="I4125" s="4" t="n">
        <v>3</v>
      </c>
      <c r="J4125" s="6" t="n">
        <v>9</v>
      </c>
      <c r="K4125" s="6" t="n">
        <v>212.615424</v>
      </c>
      <c r="L4125" s="6">
        <f>I4125*K4125</f>
        <v/>
      </c>
      <c r="M4125" s="6">
        <f>K4125*4</f>
        <v/>
      </c>
      <c r="N4125" s="6" t="n">
        <v>755</v>
      </c>
    </row>
    <row r="4126">
      <c r="A4126" s="1" t="inlineStr">
        <is>
          <t>72142921022127</t>
        </is>
      </c>
      <c r="B4126" s="1" t="n"/>
      <c r="C4126" s="1" t="n">
        <v>8</v>
      </c>
      <c r="D4126" s="1" t="inlineStr">
        <is>
          <t>02/10/2025</t>
        </is>
      </c>
      <c r="E4126" s="1" t="n">
        <v>2025</v>
      </c>
      <c r="F4126" s="1" t="inlineStr">
        <is>
          <t>OCTUBRE</t>
        </is>
      </c>
      <c r="G4126" s="1" t="inlineStr">
        <is>
          <t>ZOEY</t>
        </is>
      </c>
      <c r="H4126" s="1" t="inlineStr">
        <is>
          <t>ZOEY 02/10/2025</t>
        </is>
      </c>
      <c r="I4126" s="4" t="n">
        <v>3</v>
      </c>
      <c r="J4126" s="6" t="n">
        <v>9</v>
      </c>
      <c r="K4126" s="6" t="n">
        <v>212.615424</v>
      </c>
      <c r="L4126" s="6">
        <f>I4126*K4126</f>
        <v/>
      </c>
      <c r="M4126" s="6">
        <f>K4126*4</f>
        <v/>
      </c>
      <c r="N4126" s="6" t="n">
        <v>755</v>
      </c>
    </row>
    <row r="4127">
      <c r="A4127" s="1" t="inlineStr">
        <is>
          <t>72233622795788</t>
        </is>
      </c>
      <c r="B4127" s="1" t="inlineStr">
        <is>
          <t>SUÉTER PR MILANO WHITE</t>
        </is>
      </c>
      <c r="C4127" s="1" t="inlineStr">
        <is>
          <t>L</t>
        </is>
      </c>
      <c r="D4127" s="1" t="inlineStr">
        <is>
          <t>20/04/2026</t>
        </is>
      </c>
      <c r="E4127" s="1" t="n">
        <v>2026</v>
      </c>
      <c r="F4127" s="1" t="inlineStr">
        <is>
          <t>ABRIL</t>
        </is>
      </c>
      <c r="G4127" s="1" t="inlineStr">
        <is>
          <t>ZOEY</t>
        </is>
      </c>
      <c r="H4127" s="1" t="inlineStr">
        <is>
          <t>ZOEY 20/04/2026</t>
        </is>
      </c>
      <c r="I4127" s="4" t="n">
        <v>1</v>
      </c>
      <c r="J4127" s="6" t="n">
        <v>38</v>
      </c>
      <c r="K4127" s="6" t="n">
        <v>973.1335768</v>
      </c>
      <c r="L4127" s="6">
        <f>I4127*K4127</f>
        <v/>
      </c>
      <c r="M4127" s="6">
        <f>K4127*4</f>
        <v/>
      </c>
      <c r="N4127" s="6" t="n">
        <v>3260</v>
      </c>
    </row>
    <row r="4128">
      <c r="A4128" s="1" t="inlineStr">
        <is>
          <t>72293841002509</t>
        </is>
      </c>
      <c r="B4128" s="1" t="inlineStr">
        <is>
          <t>PULSERA BV ROSEGOLD CON ZIRCONIA</t>
        </is>
      </c>
      <c r="C4128" s="1" t="inlineStr">
        <is>
          <t>Default Title</t>
        </is>
      </c>
      <c r="D4128" s="1" t="inlineStr">
        <is>
          <t>25/09/2025</t>
        </is>
      </c>
      <c r="E4128" s="1" t="n">
        <v>2025</v>
      </c>
      <c r="F4128" s="1" t="inlineStr">
        <is>
          <t>SEPTIEMBRE</t>
        </is>
      </c>
      <c r="G4128" s="1" t="inlineStr">
        <is>
          <t>HAIFENG</t>
        </is>
      </c>
      <c r="H4128" s="1" t="inlineStr">
        <is>
          <t>HAIFENG 25/09/2025</t>
        </is>
      </c>
      <c r="I4128" s="4" t="n">
        <v>3</v>
      </c>
      <c r="J4128" s="6" t="n">
        <v>7</v>
      </c>
      <c r="K4128" s="6" t="n">
        <v>147.6782004</v>
      </c>
      <c r="L4128" s="6">
        <f>I4128*K4128</f>
        <v/>
      </c>
      <c r="M4128" s="6">
        <f>K4128*4</f>
        <v/>
      </c>
      <c r="N4128" s="6" t="n">
        <v>599</v>
      </c>
    </row>
    <row r="4129">
      <c r="A4129" s="1" t="inlineStr">
        <is>
          <t>72293841002509</t>
        </is>
      </c>
      <c r="B4129" s="1" t="inlineStr">
        <is>
          <t>PULSERA BV ROSEGOLD CON ZIRCONIA</t>
        </is>
      </c>
      <c r="C4129" s="1" t="inlineStr">
        <is>
          <t>Default Title</t>
        </is>
      </c>
      <c r="D4129" s="1" t="inlineStr">
        <is>
          <t>06/05/2026</t>
        </is>
      </c>
      <c r="E4129" s="1" t="n">
        <v>2026</v>
      </c>
      <c r="F4129" s="1" t="inlineStr">
        <is>
          <t>MAYO</t>
        </is>
      </c>
      <c r="G4129" s="1" t="inlineStr">
        <is>
          <t>HAIFENG</t>
        </is>
      </c>
      <c r="H4129" s="1" t="inlineStr">
        <is>
          <t>HAIFENG 06/05/2026</t>
        </is>
      </c>
      <c r="I4129" s="4" t="n">
        <v>1</v>
      </c>
      <c r="J4129" s="6" t="n">
        <v>7</v>
      </c>
      <c r="K4129" s="6" t="n">
        <v>148.5304959</v>
      </c>
      <c r="L4129" s="6">
        <f>I4129*K4129</f>
        <v/>
      </c>
      <c r="M4129" s="6">
        <f>K4129*4</f>
        <v/>
      </c>
      <c r="N4129" s="6" t="n">
        <v>599</v>
      </c>
    </row>
    <row r="4130">
      <c r="A4130" s="1" t="inlineStr">
        <is>
          <t>72293841002509</t>
        </is>
      </c>
      <c r="B4130" s="1" t="inlineStr">
        <is>
          <t>PULSERA BV ROSEGOLD CON ZIRCONIA</t>
        </is>
      </c>
      <c r="C4130" s="1" t="inlineStr">
        <is>
          <t>Default Title</t>
        </is>
      </c>
      <c r="D4130" s="1" t="inlineStr">
        <is>
          <t>16/06/2026</t>
        </is>
      </c>
      <c r="E4130" s="1" t="n">
        <v>2026</v>
      </c>
      <c r="F4130" s="1" t="inlineStr">
        <is>
          <t>JUNIO</t>
        </is>
      </c>
      <c r="G4130" s="1" t="inlineStr">
        <is>
          <t>HAIFENG</t>
        </is>
      </c>
      <c r="H4130" s="1" t="inlineStr">
        <is>
          <t>HAIFENG 16/06/2026</t>
        </is>
      </c>
      <c r="I4130" s="4" t="n">
        <v>1</v>
      </c>
      <c r="J4130" s="6" t="n">
        <v>7</v>
      </c>
      <c r="K4130" s="6" t="n">
        <v>147.1022452</v>
      </c>
      <c r="L4130" s="6">
        <f>I4130*K4130</f>
        <v/>
      </c>
      <c r="M4130" s="6">
        <f>K4130*4</f>
        <v/>
      </c>
      <c r="N4130" s="6" t="n">
        <v>599</v>
      </c>
    </row>
    <row r="4131">
      <c r="A4131" s="1" t="inlineStr">
        <is>
          <t>73379601029069</t>
        </is>
      </c>
      <c r="B4131" s="1" t="inlineStr">
        <is>
          <t>PULSERA LOVE UNLIMITED GOLD</t>
        </is>
      </c>
      <c r="C4131" s="1" t="inlineStr">
        <is>
          <t>19cm</t>
        </is>
      </c>
      <c r="D4131" s="1" t="inlineStr">
        <is>
          <t>03/12/2025</t>
        </is>
      </c>
      <c r="E4131" s="1" t="n">
        <v>2025</v>
      </c>
      <c r="F4131" s="1" t="inlineStr">
        <is>
          <t>DICIEMBRE</t>
        </is>
      </c>
      <c r="G4131" s="1" t="inlineStr">
        <is>
          <t>HAIFENG</t>
        </is>
      </c>
      <c r="H4131" s="1" t="inlineStr">
        <is>
          <t>HAIFENG 03/12/2025</t>
        </is>
      </c>
      <c r="I4131" s="4" t="n">
        <v>5</v>
      </c>
      <c r="J4131" s="6" t="n">
        <v>15</v>
      </c>
      <c r="K4131" s="6" t="n">
        <v>313.7574002</v>
      </c>
      <c r="L4131" s="6">
        <f>I4131*K4131</f>
        <v/>
      </c>
      <c r="M4131" s="6">
        <f>K4131*4</f>
        <v/>
      </c>
      <c r="N4131" s="6" t="n">
        <v>1399</v>
      </c>
    </row>
    <row r="4132">
      <c r="A4132" s="1" t="inlineStr">
        <is>
          <t>73379601029069</t>
        </is>
      </c>
      <c r="B4132" s="1" t="inlineStr">
        <is>
          <t>PULSERA LOVE UNLIMITED GOLD</t>
        </is>
      </c>
      <c r="C4132" s="1" t="inlineStr">
        <is>
          <t>19</t>
        </is>
      </c>
      <c r="D4132" s="1" t="inlineStr">
        <is>
          <t>11/03/2026</t>
        </is>
      </c>
      <c r="E4132" s="1" t="n">
        <v>2026</v>
      </c>
      <c r="F4132" s="1" t="inlineStr">
        <is>
          <t>MARZO</t>
        </is>
      </c>
      <c r="G4132" s="1" t="inlineStr">
        <is>
          <t>HAIFENG</t>
        </is>
      </c>
      <c r="H4132" s="1" t="inlineStr">
        <is>
          <t>HAIFENG 11/03/2026</t>
        </is>
      </c>
      <c r="I4132" s="4" t="n">
        <v>10</v>
      </c>
      <c r="J4132" s="6" t="n">
        <v>20</v>
      </c>
      <c r="K4132" s="6" t="n">
        <v>426.0779243</v>
      </c>
      <c r="L4132" s="6">
        <f>I4132*K4132</f>
        <v/>
      </c>
      <c r="M4132" s="6">
        <f>K4132*4</f>
        <v/>
      </c>
      <c r="N4132" s="6" t="n">
        <v>1399</v>
      </c>
    </row>
    <row r="4133">
      <c r="A4133" s="1" t="inlineStr">
        <is>
          <t>73379601029069</t>
        </is>
      </c>
      <c r="B4133" s="1" t="inlineStr">
        <is>
          <t>PULSERA LOVE UNLIMITED GOLD</t>
        </is>
      </c>
      <c r="C4133" s="1" t="inlineStr">
        <is>
          <t>19</t>
        </is>
      </c>
      <c r="D4133" s="1" t="inlineStr">
        <is>
          <t>26/05/2026</t>
        </is>
      </c>
      <c r="E4133" s="1" t="n">
        <v>2026</v>
      </c>
      <c r="F4133" s="1" t="inlineStr">
        <is>
          <t>MAYO</t>
        </is>
      </c>
      <c r="G4133" s="1" t="inlineStr">
        <is>
          <t>HAIFENG</t>
        </is>
      </c>
      <c r="H4133" s="1" t="inlineStr">
        <is>
          <t>HAIFENG 26/05/2026</t>
        </is>
      </c>
      <c r="I4133" s="4" t="n">
        <v>2</v>
      </c>
      <c r="J4133" s="6" t="n">
        <v>15</v>
      </c>
      <c r="K4133" s="6" t="n">
        <v>314.8394294</v>
      </c>
      <c r="L4133" s="6">
        <f>I4133*K4133</f>
        <v/>
      </c>
      <c r="M4133" s="6">
        <f>K4133*4</f>
        <v/>
      </c>
      <c r="N4133" s="6" t="n">
        <v>1399</v>
      </c>
    </row>
    <row r="4134">
      <c r="A4134" s="1" t="inlineStr">
        <is>
          <t>73379601029069</t>
        </is>
      </c>
      <c r="B4134" s="1" t="inlineStr">
        <is>
          <t>PULSERA LOVE UNLIMITED GOLD</t>
        </is>
      </c>
      <c r="C4134" s="1" t="inlineStr">
        <is>
          <t>19</t>
        </is>
      </c>
      <c r="D4134" s="1" t="inlineStr">
        <is>
          <t>16/06/2026</t>
        </is>
      </c>
      <c r="E4134" s="1" t="n">
        <v>2026</v>
      </c>
      <c r="F4134" s="1" t="inlineStr">
        <is>
          <t>JUNIO</t>
        </is>
      </c>
      <c r="G4134" s="1" t="inlineStr">
        <is>
          <t>HAIFENG</t>
        </is>
      </c>
      <c r="H4134" s="1" t="inlineStr">
        <is>
          <t>HAIFENG 16/06/2026</t>
        </is>
      </c>
      <c r="I4134" s="4" t="n">
        <v>4</v>
      </c>
      <c r="J4134" s="6" t="n">
        <v>15</v>
      </c>
      <c r="K4134" s="6" t="n">
        <v>315.2190969</v>
      </c>
      <c r="L4134" s="6">
        <f>I4134*K4134</f>
        <v/>
      </c>
      <c r="M4134" s="6">
        <f>K4134*4</f>
        <v/>
      </c>
      <c r="N4134" s="6" t="n">
        <v>1399</v>
      </c>
    </row>
    <row r="4135">
      <c r="A4135" s="1" t="inlineStr">
        <is>
          <t>73379601161837</t>
        </is>
      </c>
      <c r="B4135" s="1" t="inlineStr">
        <is>
          <t>PULSERA LOVE UNLIMITED GOLD</t>
        </is>
      </c>
      <c r="C4135" s="1" t="inlineStr">
        <is>
          <t>21cm</t>
        </is>
      </c>
      <c r="D4135" s="1" t="inlineStr">
        <is>
          <t>03/12/2025</t>
        </is>
      </c>
      <c r="E4135" s="1" t="n">
        <v>2025</v>
      </c>
      <c r="F4135" s="1" t="inlineStr">
        <is>
          <t>DICIEMBRE</t>
        </is>
      </c>
      <c r="G4135" s="1" t="inlineStr">
        <is>
          <t>HAIFENG</t>
        </is>
      </c>
      <c r="H4135" s="1" t="inlineStr">
        <is>
          <t>HAIFENG 03/12/2025</t>
        </is>
      </c>
      <c r="I4135" s="4" t="n">
        <v>5</v>
      </c>
      <c r="J4135" s="6" t="n">
        <v>15</v>
      </c>
      <c r="K4135" s="6" t="n">
        <v>313.7574002</v>
      </c>
      <c r="L4135" s="6">
        <f>I4135*K4135</f>
        <v/>
      </c>
      <c r="M4135" s="6">
        <f>K4135*4</f>
        <v/>
      </c>
      <c r="N4135" s="6" t="n">
        <v>1399</v>
      </c>
    </row>
    <row r="4136">
      <c r="A4136" s="1" t="inlineStr">
        <is>
          <t>73379601161837</t>
        </is>
      </c>
      <c r="B4136" s="1" t="inlineStr">
        <is>
          <t>PULSERA LOVE UNLIMITED GOLD</t>
        </is>
      </c>
      <c r="C4136" s="1" t="inlineStr">
        <is>
          <t>21</t>
        </is>
      </c>
      <c r="D4136" s="1" t="inlineStr">
        <is>
          <t>26/05/2026</t>
        </is>
      </c>
      <c r="E4136" s="1" t="n">
        <v>2026</v>
      </c>
      <c r="F4136" s="1" t="inlineStr">
        <is>
          <t>MAYO</t>
        </is>
      </c>
      <c r="G4136" s="1" t="inlineStr">
        <is>
          <t>HAIFENG</t>
        </is>
      </c>
      <c r="H4136" s="1" t="inlineStr">
        <is>
          <t>HAIFENG 26/05/2026</t>
        </is>
      </c>
      <c r="I4136" s="4" t="n">
        <v>2</v>
      </c>
      <c r="J4136" s="6" t="n">
        <v>15</v>
      </c>
      <c r="K4136" s="6" t="n">
        <v>314.8394294</v>
      </c>
      <c r="L4136" s="6">
        <f>I4136*K4136</f>
        <v/>
      </c>
      <c r="M4136" s="6">
        <f>K4136*4</f>
        <v/>
      </c>
      <c r="N4136" s="6" t="n">
        <v>1399</v>
      </c>
    </row>
    <row r="4137">
      <c r="A4137" s="1" t="inlineStr">
        <is>
          <t>73379601161837</t>
        </is>
      </c>
      <c r="B4137" s="1" t="inlineStr">
        <is>
          <t>PULSERA LOVE UNLIMITED GOLD</t>
        </is>
      </c>
      <c r="C4137" s="1" t="inlineStr">
        <is>
          <t>21</t>
        </is>
      </c>
      <c r="D4137" s="1" t="inlineStr">
        <is>
          <t>16/06/2026</t>
        </is>
      </c>
      <c r="E4137" s="1" t="n">
        <v>2026</v>
      </c>
      <c r="F4137" s="1" t="inlineStr">
        <is>
          <t>JUNIO</t>
        </is>
      </c>
      <c r="G4137" s="1" t="inlineStr">
        <is>
          <t>HAIFENG</t>
        </is>
      </c>
      <c r="H4137" s="1" t="inlineStr">
        <is>
          <t>HAIFENG 16/06/2026</t>
        </is>
      </c>
      <c r="I4137" s="4" t="n">
        <v>1</v>
      </c>
      <c r="J4137" s="6" t="n">
        <v>15</v>
      </c>
      <c r="K4137" s="6" t="n">
        <v>315.2190969</v>
      </c>
      <c r="L4137" s="6">
        <f>I4137*K4137</f>
        <v/>
      </c>
      <c r="M4137" s="6">
        <f>K4137*4</f>
        <v/>
      </c>
      <c r="N4137" s="6" t="n">
        <v>1399</v>
      </c>
    </row>
    <row r="4138">
      <c r="A4138" s="1" t="inlineStr">
        <is>
          <t>73626631067117</t>
        </is>
      </c>
      <c r="B4138" s="1" t="inlineStr">
        <is>
          <t>BOLSA DE MANO G GREEN</t>
        </is>
      </c>
      <c r="C4138" s="1" t="inlineStr">
        <is>
          <t>Default Title</t>
        </is>
      </c>
      <c r="D4138" s="1" t="inlineStr">
        <is>
          <t>02/10/2025</t>
        </is>
      </c>
      <c r="E4138" s="1" t="n">
        <v>2025</v>
      </c>
      <c r="F4138" s="1" t="inlineStr">
        <is>
          <t>OCTUBRE</t>
        </is>
      </c>
      <c r="G4138" s="1" t="inlineStr">
        <is>
          <t>ZOEY</t>
        </is>
      </c>
      <c r="H4138" s="1" t="inlineStr">
        <is>
          <t>ZOEY 02/10/2025</t>
        </is>
      </c>
      <c r="I4138" s="4" t="n">
        <v>2</v>
      </c>
      <c r="J4138" s="6" t="n">
        <v>46</v>
      </c>
      <c r="K4138" s="6" t="n">
        <v>1086.701056</v>
      </c>
      <c r="L4138" s="6">
        <f>I4138*K4138</f>
        <v/>
      </c>
      <c r="M4138" s="6">
        <f>K4138*4</f>
        <v/>
      </c>
      <c r="N4138" s="6" t="n">
        <v>2999</v>
      </c>
    </row>
    <row r="4139">
      <c r="A4139" s="1" t="inlineStr">
        <is>
          <t>73626631067117</t>
        </is>
      </c>
      <c r="B4139" s="1" t="inlineStr">
        <is>
          <t>BOLSA DE MANO G GREEN</t>
        </is>
      </c>
      <c r="C4139" s="1" t="inlineStr">
        <is>
          <t>Default Title</t>
        </is>
      </c>
      <c r="D4139" s="1" t="inlineStr">
        <is>
          <t>20/01/2026</t>
        </is>
      </c>
      <c r="E4139" s="1" t="n">
        <v>2026</v>
      </c>
      <c r="F4139" s="1" t="inlineStr">
        <is>
          <t>ENERO</t>
        </is>
      </c>
      <c r="G4139" s="1" t="inlineStr">
        <is>
          <t>ZOEY</t>
        </is>
      </c>
      <c r="H4139" s="1" t="inlineStr">
        <is>
          <t>ZOEY 20/01/2026</t>
        </is>
      </c>
      <c r="I4139" s="4" t="n">
        <v>1</v>
      </c>
      <c r="J4139" s="6" t="n">
        <v>35</v>
      </c>
      <c r="K4139" s="6" t="n">
        <v>911.1059779</v>
      </c>
      <c r="L4139" s="6">
        <f>I4139*K4139</f>
        <v/>
      </c>
      <c r="M4139" s="6">
        <f>K4139*4</f>
        <v/>
      </c>
      <c r="N4139" s="6" t="n">
        <v>3399</v>
      </c>
    </row>
    <row r="4140">
      <c r="A4140" s="1" t="inlineStr">
        <is>
          <t>73626631067117</t>
        </is>
      </c>
      <c r="B4140" s="1" t="inlineStr">
        <is>
          <t>BOLSA DE MANO G GREEN</t>
        </is>
      </c>
      <c r="C4140" s="1" t="inlineStr">
        <is>
          <t>Default Title</t>
        </is>
      </c>
      <c r="D4140" s="1" t="inlineStr">
        <is>
          <t>19/03/2026</t>
        </is>
      </c>
      <c r="E4140" s="1" t="n">
        <v>2026</v>
      </c>
      <c r="F4140" s="1" t="inlineStr">
        <is>
          <t>MARZO</t>
        </is>
      </c>
      <c r="G4140" s="1" t="inlineStr">
        <is>
          <t>ZOEY</t>
        </is>
      </c>
      <c r="H4140" s="1" t="inlineStr">
        <is>
          <t>ZOEY 19/03/2026</t>
        </is>
      </c>
      <c r="I4140" s="4" t="n">
        <v>3</v>
      </c>
      <c r="J4140" s="6" t="n">
        <v>35</v>
      </c>
      <c r="K4140" s="6" t="n">
        <v>902.3717365</v>
      </c>
      <c r="L4140" s="6">
        <f>I4140*K4140</f>
        <v/>
      </c>
      <c r="M4140" s="6">
        <f>K4140*4</f>
        <v/>
      </c>
      <c r="N4140" s="6" t="n">
        <v>3399</v>
      </c>
    </row>
    <row r="4141">
      <c r="A4141" s="1" t="inlineStr">
        <is>
          <t>73626631067117</t>
        </is>
      </c>
      <c r="B4141" s="1" t="inlineStr">
        <is>
          <t>BOLSA DE MANO G GREEN</t>
        </is>
      </c>
      <c r="C4141" s="1" t="inlineStr">
        <is>
          <t>Default Title</t>
        </is>
      </c>
      <c r="D4141" s="1" t="inlineStr">
        <is>
          <t>08/06/2026</t>
        </is>
      </c>
      <c r="E4141" s="1" t="n">
        <v>2026</v>
      </c>
      <c r="F4141" s="1" t="inlineStr">
        <is>
          <t>JUNIO</t>
        </is>
      </c>
      <c r="G4141" s="1" t="inlineStr">
        <is>
          <t>ZOEY</t>
        </is>
      </c>
      <c r="H4141" s="1" t="inlineStr">
        <is>
          <t>ZOEY 08/06/2026</t>
        </is>
      </c>
      <c r="I4141" s="4" t="n">
        <v>3</v>
      </c>
      <c r="J4141" s="6" t="n">
        <v>35</v>
      </c>
      <c r="K4141" s="6" t="n">
        <v>857.9002759</v>
      </c>
      <c r="L4141" s="6">
        <f>I4141*K4141</f>
        <v/>
      </c>
      <c r="M4141" s="6">
        <f>K4141*4</f>
        <v/>
      </c>
      <c r="N4141" s="6" t="n">
        <v>3399</v>
      </c>
    </row>
    <row r="4142">
      <c r="A4142" s="1" t="inlineStr">
        <is>
          <t>73794531662733</t>
        </is>
      </c>
      <c r="B4142" s="1" t="inlineStr">
        <is>
          <t>BOLSO CD MY TOP HANDLE</t>
        </is>
      </c>
      <c r="C4142" s="1" t="inlineStr">
        <is>
          <t>WHITE</t>
        </is>
      </c>
      <c r="D4142" s="1" t="inlineStr">
        <is>
          <t>02/03/2026</t>
        </is>
      </c>
      <c r="E4142" s="1" t="n">
        <v>2026</v>
      </c>
      <c r="F4142" s="1" t="inlineStr">
        <is>
          <t>MARZO</t>
        </is>
      </c>
      <c r="G4142" s="1" t="inlineStr">
        <is>
          <t>ZOEY</t>
        </is>
      </c>
      <c r="H4142" s="1" t="inlineStr">
        <is>
          <t>ZOEY 02/03/2026</t>
        </is>
      </c>
      <c r="I4142" s="4" t="n">
        <v>1</v>
      </c>
      <c r="J4142" s="6" t="n">
        <v>55</v>
      </c>
      <c r="K4142" s="6" t="n">
        <v>1445.233665</v>
      </c>
      <c r="L4142" s="6">
        <f>I4142*K4142</f>
        <v/>
      </c>
      <c r="M4142" s="6">
        <f>K4142*4</f>
        <v/>
      </c>
      <c r="N4142" s="6" t="n">
        <v>5832</v>
      </c>
    </row>
    <row r="4143">
      <c r="A4143" s="1" t="inlineStr">
        <is>
          <t>73794531662733</t>
        </is>
      </c>
      <c r="B4143" s="1" t="inlineStr">
        <is>
          <t>BOLSO CD MY TOP HANDLE</t>
        </is>
      </c>
      <c r="C4143" s="1" t="inlineStr">
        <is>
          <t>Default Title</t>
        </is>
      </c>
      <c r="D4143" s="1" t="inlineStr">
        <is>
          <t>15/05/2026</t>
        </is>
      </c>
      <c r="E4143" s="1" t="n">
        <v>2026</v>
      </c>
      <c r="F4143" s="1" t="inlineStr">
        <is>
          <t>MAYO</t>
        </is>
      </c>
      <c r="G4143" s="1" t="inlineStr">
        <is>
          <t>ZOEY</t>
        </is>
      </c>
      <c r="H4143" s="1" t="inlineStr">
        <is>
          <t>ZOEY 15/05/2026</t>
        </is>
      </c>
      <c r="I4143" s="4" t="n">
        <v>2</v>
      </c>
      <c r="J4143" s="6" t="n">
        <v>55</v>
      </c>
      <c r="K4143" s="6" t="n">
        <v>1457.754347</v>
      </c>
      <c r="L4143" s="6">
        <f>I4143*K4143</f>
        <v/>
      </c>
      <c r="M4143" s="6">
        <f>K4143*4</f>
        <v/>
      </c>
      <c r="N4143" s="6" t="n">
        <v>5832</v>
      </c>
    </row>
    <row r="4144">
      <c r="A4144" s="1" t="inlineStr">
        <is>
          <t>73812531045133</t>
        </is>
      </c>
      <c r="B4144" s="1" t="inlineStr">
        <is>
          <t>SUETER LV BLACK CON EFECTO DEGRADADO</t>
        </is>
      </c>
      <c r="C4144" s="1" t="inlineStr">
        <is>
          <t>Default Title</t>
        </is>
      </c>
      <c r="D4144" s="1" t="inlineStr">
        <is>
          <t>02/10/2025</t>
        </is>
      </c>
      <c r="E4144" s="1" t="n">
        <v>2025</v>
      </c>
      <c r="F4144" s="1" t="inlineStr">
        <is>
          <t>OCTUBRE</t>
        </is>
      </c>
      <c r="G4144" s="1" t="inlineStr">
        <is>
          <t>ZOEY</t>
        </is>
      </c>
      <c r="H4144" s="1" t="inlineStr">
        <is>
          <t>ZOEY 02/10/2025</t>
        </is>
      </c>
      <c r="I4144" s="4" t="n">
        <v>2</v>
      </c>
      <c r="J4144" s="6" t="n">
        <v>27</v>
      </c>
      <c r="K4144" s="6" t="n">
        <v>637.846272</v>
      </c>
      <c r="L4144" s="6">
        <f>I4144*K4144</f>
        <v/>
      </c>
      <c r="M4144" s="6">
        <f>K4144*4</f>
        <v/>
      </c>
      <c r="N4144" s="6" t="n">
        <v>2898.67</v>
      </c>
    </row>
    <row r="4145">
      <c r="A4145" s="1" t="inlineStr">
        <is>
          <t>74011331080589</t>
        </is>
      </c>
      <c r="B4145" s="1" t="inlineStr">
        <is>
          <t>ARETES MM GOLD</t>
        </is>
      </c>
      <c r="C4145" s="1" t="inlineStr">
        <is>
          <t>Default Title</t>
        </is>
      </c>
      <c r="D4145" s="1" t="inlineStr">
        <is>
          <t>01/09/2025</t>
        </is>
      </c>
      <c r="E4145" s="1" t="n">
        <v>2025</v>
      </c>
      <c r="F4145" s="1" t="inlineStr">
        <is>
          <t>SEPTIEMBRE</t>
        </is>
      </c>
      <c r="G4145" s="1" t="inlineStr">
        <is>
          <t>HAIFENG</t>
        </is>
      </c>
      <c r="H4145" s="1" t="inlineStr">
        <is>
          <t>HAIFENG 01/09/2025</t>
        </is>
      </c>
      <c r="I4145" s="4" t="n">
        <v>2</v>
      </c>
      <c r="J4145" s="6" t="n">
        <v>7</v>
      </c>
      <c r="K4145" s="6" t="n">
        <v>148.7896974</v>
      </c>
      <c r="L4145" s="6">
        <f>I4145*K4145</f>
        <v/>
      </c>
      <c r="M4145" s="6">
        <f>K4145*4</f>
        <v/>
      </c>
      <c r="N4145" s="6" t="n">
        <v>599</v>
      </c>
    </row>
    <row r="4146">
      <c r="A4146" s="1" t="inlineStr">
        <is>
          <t>74011331080589</t>
        </is>
      </c>
      <c r="B4146" s="1" t="inlineStr">
        <is>
          <t>ARETES MM GOLD</t>
        </is>
      </c>
      <c r="C4146" s="1" t="inlineStr">
        <is>
          <t>Default Title</t>
        </is>
      </c>
      <c r="D4146" s="1" t="inlineStr">
        <is>
          <t>03/12/2025</t>
        </is>
      </c>
      <c r="E4146" s="1" t="n">
        <v>2025</v>
      </c>
      <c r="F4146" s="1" t="inlineStr">
        <is>
          <t>DICIEMBRE</t>
        </is>
      </c>
      <c r="G4146" s="1" t="inlineStr">
        <is>
          <t>HAIFENG</t>
        </is>
      </c>
      <c r="H4146" s="1" t="inlineStr">
        <is>
          <t>HAIFENG 03/12/2025</t>
        </is>
      </c>
      <c r="I4146" s="4" t="n">
        <v>6</v>
      </c>
      <c r="J4146" s="6" t="n">
        <v>7</v>
      </c>
      <c r="K4146" s="6" t="n">
        <v>146.4201201</v>
      </c>
      <c r="L4146" s="6">
        <f>I4146*K4146</f>
        <v/>
      </c>
      <c r="M4146" s="6">
        <f>K4146*4</f>
        <v/>
      </c>
      <c r="N4146" s="6" t="n">
        <v>599</v>
      </c>
    </row>
    <row r="4147">
      <c r="A4147" s="1" t="inlineStr">
        <is>
          <t>74011331080589</t>
        </is>
      </c>
      <c r="B4147" s="1" t="inlineStr">
        <is>
          <t>ARETES MM GOLD</t>
        </is>
      </c>
      <c r="C4147" s="1" t="inlineStr">
        <is>
          <t>Default Title</t>
        </is>
      </c>
      <c r="D4147" s="1" t="inlineStr">
        <is>
          <t>10/02/2026</t>
        </is>
      </c>
      <c r="E4147" s="1" t="n">
        <v>2026</v>
      </c>
      <c r="F4147" s="1" t="inlineStr">
        <is>
          <t>FEBRERO</t>
        </is>
      </c>
      <c r="G4147" s="1" t="inlineStr">
        <is>
          <t>HAIFENG</t>
        </is>
      </c>
      <c r="H4147" s="1" t="inlineStr">
        <is>
          <t>HAIFENG 10/02/2026</t>
        </is>
      </c>
      <c r="I4147" s="4" t="n">
        <v>6</v>
      </c>
      <c r="J4147" s="6" t="n">
        <v>7</v>
      </c>
      <c r="K4147" s="6" t="n">
        <v>147.4794725</v>
      </c>
      <c r="L4147" s="6">
        <f>I4147*K4147</f>
        <v/>
      </c>
      <c r="M4147" s="6">
        <f>K4147*4</f>
        <v/>
      </c>
      <c r="N4147" s="6" t="n">
        <v>599</v>
      </c>
    </row>
    <row r="4148">
      <c r="A4148" s="1" t="inlineStr">
        <is>
          <t>74011331080589</t>
        </is>
      </c>
      <c r="B4148" s="1" t="inlineStr">
        <is>
          <t>ARETES MM GOLD</t>
        </is>
      </c>
      <c r="C4148" s="1" t="inlineStr">
        <is>
          <t>Default Title</t>
        </is>
      </c>
      <c r="D4148" s="1" t="inlineStr">
        <is>
          <t>11/03/2026</t>
        </is>
      </c>
      <c r="E4148" s="1" t="n">
        <v>2026</v>
      </c>
      <c r="F4148" s="1" t="inlineStr">
        <is>
          <t>MARZO</t>
        </is>
      </c>
      <c r="G4148" s="1" t="inlineStr">
        <is>
          <t>HAIFENG</t>
        </is>
      </c>
      <c r="H4148" s="1" t="inlineStr">
        <is>
          <t>HAIFENG 11/03/2026</t>
        </is>
      </c>
      <c r="I4148" s="4" t="n">
        <v>6</v>
      </c>
      <c r="J4148" s="6" t="n">
        <v>7</v>
      </c>
      <c r="K4148" s="6" t="n">
        <v>149.1272735</v>
      </c>
      <c r="L4148" s="6">
        <f>I4148*K4148</f>
        <v/>
      </c>
      <c r="M4148" s="6">
        <f>K4148*4</f>
        <v/>
      </c>
      <c r="N4148" s="6" t="n">
        <v>599</v>
      </c>
    </row>
    <row r="4149">
      <c r="A4149" s="1" t="inlineStr">
        <is>
          <t>74011331080589</t>
        </is>
      </c>
      <c r="B4149" s="1" t="inlineStr">
        <is>
          <t>ARETES MM GOLD</t>
        </is>
      </c>
      <c r="C4149" s="1" t="inlineStr">
        <is>
          <t>Default Title</t>
        </is>
      </c>
      <c r="D4149" s="1" t="inlineStr">
        <is>
          <t>26/05/2026</t>
        </is>
      </c>
      <c r="E4149" s="1" t="n">
        <v>2026</v>
      </c>
      <c r="F4149" s="1" t="inlineStr">
        <is>
          <t>MAYO</t>
        </is>
      </c>
      <c r="G4149" s="1" t="inlineStr">
        <is>
          <t>HAIFENG</t>
        </is>
      </c>
      <c r="H4149" s="1" t="inlineStr">
        <is>
          <t>HAIFENG 26/05/2026</t>
        </is>
      </c>
      <c r="I4149" s="4" t="n">
        <v>17</v>
      </c>
      <c r="J4149" s="6" t="n">
        <v>7</v>
      </c>
      <c r="K4149" s="6" t="n">
        <v>146.9250671</v>
      </c>
      <c r="L4149" s="6">
        <f>I4149*K4149</f>
        <v/>
      </c>
      <c r="M4149" s="6">
        <f>K4149*4</f>
        <v/>
      </c>
      <c r="N4149" s="6" t="n">
        <v>599</v>
      </c>
    </row>
    <row r="4150">
      <c r="A4150" s="1" t="inlineStr">
        <is>
          <t>74289381073037</t>
        </is>
      </c>
      <c r="B4150" s="1" t="inlineStr">
        <is>
          <t>PULSERA LOVE UNLIMITED ROSEGOLD</t>
        </is>
      </c>
      <c r="C4150" s="1" t="inlineStr">
        <is>
          <t>17cm</t>
        </is>
      </c>
      <c r="D4150" s="1" t="inlineStr">
        <is>
          <t>03/12/2025</t>
        </is>
      </c>
      <c r="E4150" s="1" t="n">
        <v>2025</v>
      </c>
      <c r="F4150" s="1" t="inlineStr">
        <is>
          <t>DICIEMBRE</t>
        </is>
      </c>
      <c r="G4150" s="1" t="inlineStr">
        <is>
          <t>HAIFENG</t>
        </is>
      </c>
      <c r="H4150" s="1" t="inlineStr">
        <is>
          <t>HAIFENG 03/12/2025</t>
        </is>
      </c>
      <c r="I4150" s="4" t="n">
        <v>5</v>
      </c>
      <c r="J4150" s="6" t="n">
        <v>15</v>
      </c>
      <c r="K4150" s="6" t="n">
        <v>313.7574002</v>
      </c>
      <c r="L4150" s="6">
        <f>I4150*K4150</f>
        <v/>
      </c>
      <c r="M4150" s="6">
        <f>K4150*4</f>
        <v/>
      </c>
      <c r="N4150" s="6" t="n">
        <v>1399</v>
      </c>
    </row>
    <row r="4151">
      <c r="A4151" s="1" t="inlineStr">
        <is>
          <t>74289381073037</t>
        </is>
      </c>
      <c r="B4151" s="1" t="inlineStr">
        <is>
          <t>PULSERA LOVE UNLIMITED ROSEGOLD</t>
        </is>
      </c>
      <c r="C4151" s="1" t="inlineStr">
        <is>
          <t>17</t>
        </is>
      </c>
      <c r="D4151" s="1" t="inlineStr">
        <is>
          <t>11/03/2026</t>
        </is>
      </c>
      <c r="E4151" s="1" t="n">
        <v>2026</v>
      </c>
      <c r="F4151" s="1" t="inlineStr">
        <is>
          <t>MARZO</t>
        </is>
      </c>
      <c r="G4151" s="1" t="inlineStr">
        <is>
          <t>HAIFENG</t>
        </is>
      </c>
      <c r="H4151" s="1" t="inlineStr">
        <is>
          <t>HAIFENG 11/03/2026</t>
        </is>
      </c>
      <c r="I4151" s="4" t="n">
        <v>10</v>
      </c>
      <c r="J4151" s="6" t="n">
        <v>20</v>
      </c>
      <c r="K4151" s="6" t="n">
        <v>426.0779243</v>
      </c>
      <c r="L4151" s="6">
        <f>I4151*K4151</f>
        <v/>
      </c>
      <c r="M4151" s="6">
        <f>K4151*4</f>
        <v/>
      </c>
      <c r="N4151" s="6" t="n">
        <v>1399</v>
      </c>
    </row>
    <row r="4152">
      <c r="A4152" s="1" t="inlineStr">
        <is>
          <t>74289381073037</t>
        </is>
      </c>
      <c r="B4152" s="1" t="inlineStr">
        <is>
          <t>PULSERA LOVE UNLIMITED ROSEGOLD</t>
        </is>
      </c>
      <c r="C4152" s="1" t="inlineStr">
        <is>
          <t>17</t>
        </is>
      </c>
      <c r="D4152" s="1" t="inlineStr">
        <is>
          <t>26/05/2026</t>
        </is>
      </c>
      <c r="E4152" s="1" t="n">
        <v>2026</v>
      </c>
      <c r="F4152" s="1" t="inlineStr">
        <is>
          <t>MAYO</t>
        </is>
      </c>
      <c r="G4152" s="1" t="inlineStr">
        <is>
          <t>HAIFENG</t>
        </is>
      </c>
      <c r="H4152" s="1" t="inlineStr">
        <is>
          <t>HAIFENG 26/05/2026</t>
        </is>
      </c>
      <c r="I4152" s="4" t="n">
        <v>9</v>
      </c>
      <c r="J4152" s="6" t="n">
        <v>15</v>
      </c>
      <c r="K4152" s="6" t="n">
        <v>314.8394294</v>
      </c>
      <c r="L4152" s="6">
        <f>I4152*K4152</f>
        <v/>
      </c>
      <c r="M4152" s="6">
        <f>K4152*4</f>
        <v/>
      </c>
      <c r="N4152" s="6" t="n">
        <v>1399</v>
      </c>
    </row>
    <row r="4153">
      <c r="A4153" s="1" t="inlineStr">
        <is>
          <t>74289381105805</t>
        </is>
      </c>
      <c r="B4153" s="1" t="inlineStr">
        <is>
          <t>PULSERA LOVE UNLIMITED ROSEGOLD</t>
        </is>
      </c>
      <c r="C4153" s="1" t="inlineStr">
        <is>
          <t>19cm</t>
        </is>
      </c>
      <c r="D4153" s="1" t="inlineStr">
        <is>
          <t>03/12/2025</t>
        </is>
      </c>
      <c r="E4153" s="1" t="n">
        <v>2025</v>
      </c>
      <c r="F4153" s="1" t="inlineStr">
        <is>
          <t>DICIEMBRE</t>
        </is>
      </c>
      <c r="G4153" s="1" t="inlineStr">
        <is>
          <t>HAIFENG</t>
        </is>
      </c>
      <c r="H4153" s="1" t="inlineStr">
        <is>
          <t>HAIFENG 03/12/2025</t>
        </is>
      </c>
      <c r="I4153" s="4" t="n">
        <v>5</v>
      </c>
      <c r="J4153" s="6" t="n">
        <v>15</v>
      </c>
      <c r="K4153" s="6" t="n">
        <v>313.7574002</v>
      </c>
      <c r="L4153" s="6">
        <f>I4153*K4153</f>
        <v/>
      </c>
      <c r="M4153" s="6">
        <f>K4153*4</f>
        <v/>
      </c>
      <c r="N4153" s="6" t="n">
        <v>1399</v>
      </c>
    </row>
    <row r="4154">
      <c r="A4154" s="1" t="inlineStr">
        <is>
          <t>74289381105805</t>
        </is>
      </c>
      <c r="B4154" s="1" t="inlineStr">
        <is>
          <t>PULSERA LOVE UNLIMITED ROSEGOLD</t>
        </is>
      </c>
      <c r="C4154" s="1" t="inlineStr">
        <is>
          <t>19</t>
        </is>
      </c>
      <c r="D4154" s="1" t="inlineStr">
        <is>
          <t>11/03/2026</t>
        </is>
      </c>
      <c r="E4154" s="1" t="n">
        <v>2026</v>
      </c>
      <c r="F4154" s="1" t="inlineStr">
        <is>
          <t>MARZO</t>
        </is>
      </c>
      <c r="G4154" s="1" t="inlineStr">
        <is>
          <t>HAIFENG</t>
        </is>
      </c>
      <c r="H4154" s="1" t="inlineStr">
        <is>
          <t>HAIFENG 11/03/2026</t>
        </is>
      </c>
      <c r="I4154" s="4" t="n">
        <v>3</v>
      </c>
      <c r="J4154" s="6" t="n">
        <v>20</v>
      </c>
      <c r="K4154" s="6" t="n">
        <v>426.0779243</v>
      </c>
      <c r="L4154" s="6">
        <f>I4154*K4154</f>
        <v/>
      </c>
      <c r="M4154" s="6">
        <f>K4154*4</f>
        <v/>
      </c>
      <c r="N4154" s="6" t="n">
        <v>1399</v>
      </c>
    </row>
    <row r="4155">
      <c r="A4155" s="1" t="inlineStr">
        <is>
          <t>74289381105805</t>
        </is>
      </c>
      <c r="B4155" s="1" t="inlineStr">
        <is>
          <t>PULSERA LOVE UNLIMITED ROSEGOLD</t>
        </is>
      </c>
      <c r="C4155" s="1" t="inlineStr">
        <is>
          <t>19</t>
        </is>
      </c>
      <c r="D4155" s="1" t="inlineStr">
        <is>
          <t>16/04/2026</t>
        </is>
      </c>
      <c r="E4155" s="1" t="n">
        <v>2026</v>
      </c>
      <c r="F4155" s="1" t="inlineStr">
        <is>
          <t>ABRIL</t>
        </is>
      </c>
      <c r="G4155" s="1" t="inlineStr">
        <is>
          <t>HAIFENG</t>
        </is>
      </c>
      <c r="H4155" s="1" t="inlineStr">
        <is>
          <t>HAIFENG 16/04/2026</t>
        </is>
      </c>
      <c r="I4155" s="4" t="n">
        <v>5</v>
      </c>
      <c r="J4155" s="6" t="n">
        <v>15</v>
      </c>
      <c r="K4155" s="6" t="n">
        <v>315.4721038</v>
      </c>
      <c r="L4155" s="6">
        <f>I4155*K4155</f>
        <v/>
      </c>
      <c r="M4155" s="6">
        <f>K4155*4</f>
        <v/>
      </c>
      <c r="N4155" s="6" t="n">
        <v>1399</v>
      </c>
    </row>
    <row r="4156">
      <c r="A4156" s="1" t="inlineStr">
        <is>
          <t>74289381238573</t>
        </is>
      </c>
      <c r="B4156" s="1" t="inlineStr">
        <is>
          <t>PULSERA LOVE UNLIMITED ROSEGOLD</t>
        </is>
      </c>
      <c r="C4156" s="1" t="inlineStr">
        <is>
          <t>21cm</t>
        </is>
      </c>
      <c r="D4156" s="1" t="inlineStr">
        <is>
          <t>03/12/2025</t>
        </is>
      </c>
      <c r="E4156" s="1" t="n">
        <v>2025</v>
      </c>
      <c r="F4156" s="1" t="inlineStr">
        <is>
          <t>DICIEMBRE</t>
        </is>
      </c>
      <c r="G4156" s="1" t="inlineStr">
        <is>
          <t>HAIFENG</t>
        </is>
      </c>
      <c r="H4156" s="1" t="inlineStr">
        <is>
          <t>HAIFENG 03/12/2025</t>
        </is>
      </c>
      <c r="I4156" s="4" t="n">
        <v>5</v>
      </c>
      <c r="J4156" s="6" t="n">
        <v>15</v>
      </c>
      <c r="K4156" s="6" t="n">
        <v>313.7574002</v>
      </c>
      <c r="L4156" s="6">
        <f>I4156*K4156</f>
        <v/>
      </c>
      <c r="M4156" s="6">
        <f>K4156*4</f>
        <v/>
      </c>
      <c r="N4156" s="6" t="n">
        <v>1399</v>
      </c>
    </row>
    <row r="4157">
      <c r="A4157" s="1" t="inlineStr">
        <is>
          <t>74289381238573</t>
        </is>
      </c>
      <c r="B4157" s="1" t="inlineStr">
        <is>
          <t>PULSERA LOVE UNLIMITED ROSEGOLD</t>
        </is>
      </c>
      <c r="C4157" s="1" t="inlineStr">
        <is>
          <t>21</t>
        </is>
      </c>
      <c r="D4157" s="1" t="inlineStr">
        <is>
          <t>16/04/2026</t>
        </is>
      </c>
      <c r="E4157" s="1" t="n">
        <v>2026</v>
      </c>
      <c r="F4157" s="1" t="inlineStr">
        <is>
          <t>ABRIL</t>
        </is>
      </c>
      <c r="G4157" s="1" t="inlineStr">
        <is>
          <t>HAIFENG</t>
        </is>
      </c>
      <c r="H4157" s="1" t="inlineStr">
        <is>
          <t>HAIFENG 16/04/2026</t>
        </is>
      </c>
      <c r="I4157" s="4" t="n">
        <v>1</v>
      </c>
      <c r="J4157" s="6" t="n">
        <v>15</v>
      </c>
      <c r="K4157" s="6" t="n">
        <v>315.4721038</v>
      </c>
      <c r="L4157" s="6">
        <f>I4157*K4157</f>
        <v/>
      </c>
      <c r="M4157" s="6">
        <f>K4157*4</f>
        <v/>
      </c>
      <c r="N4157" s="6" t="n">
        <v>1399</v>
      </c>
    </row>
    <row r="4158">
      <c r="A4158" s="1" t="inlineStr">
        <is>
          <t>74289381238573</t>
        </is>
      </c>
      <c r="B4158" s="1" t="inlineStr">
        <is>
          <t>PULSERA LOVE UNLIMITED ROSEGOLD</t>
        </is>
      </c>
      <c r="C4158" s="1" t="inlineStr">
        <is>
          <t>21</t>
        </is>
      </c>
      <c r="D4158" s="1" t="inlineStr">
        <is>
          <t>16/06/2026</t>
        </is>
      </c>
      <c r="E4158" s="1" t="n">
        <v>2026</v>
      </c>
      <c r="F4158" s="1" t="inlineStr">
        <is>
          <t>JUNIO</t>
        </is>
      </c>
      <c r="G4158" s="1" t="inlineStr">
        <is>
          <t>HAIFENG</t>
        </is>
      </c>
      <c r="H4158" s="1" t="inlineStr">
        <is>
          <t>HAIFENG 16/06/2026</t>
        </is>
      </c>
      <c r="I4158" s="4" t="n">
        <v>2</v>
      </c>
      <c r="J4158" s="6" t="n">
        <v>15</v>
      </c>
      <c r="K4158" s="6" t="n">
        <v>315.2190969</v>
      </c>
      <c r="L4158" s="6">
        <f>I4158*K4158</f>
        <v/>
      </c>
      <c r="M4158" s="6">
        <f>K4158*4</f>
        <v/>
      </c>
      <c r="N4158" s="6" t="n">
        <v>1399</v>
      </c>
    </row>
    <row r="4159">
      <c r="A4159" s="1" t="inlineStr">
        <is>
          <t>75012331065165</t>
        </is>
      </c>
      <c r="B4159" s="1" t="inlineStr">
        <is>
          <t>PULSERA SIGNATURE ROSEGOLD VF</t>
        </is>
      </c>
      <c r="C4159" s="1" t="inlineStr">
        <is>
          <t>16CM</t>
        </is>
      </c>
      <c r="D4159" s="1" t="inlineStr">
        <is>
          <t>26/05/2026</t>
        </is>
      </c>
      <c r="E4159" s="1" t="n">
        <v>2026</v>
      </c>
      <c r="F4159" s="1" t="inlineStr">
        <is>
          <t>MAYO</t>
        </is>
      </c>
      <c r="G4159" s="1" t="inlineStr">
        <is>
          <t>HAIFENG</t>
        </is>
      </c>
      <c r="H4159" s="1" t="inlineStr">
        <is>
          <t>HAIFENG 26/05/2026</t>
        </is>
      </c>
      <c r="I4159" s="4" t="n">
        <v>5</v>
      </c>
      <c r="J4159" s="6" t="n">
        <v>12</v>
      </c>
      <c r="K4159" s="6" t="n">
        <v>251.8715435</v>
      </c>
      <c r="L4159" s="6">
        <f>I4159*K4159</f>
        <v/>
      </c>
      <c r="M4159" s="6">
        <f>K4159*4</f>
        <v/>
      </c>
      <c r="N4159" s="6" t="n">
        <v>999</v>
      </c>
    </row>
    <row r="4160">
      <c r="A4160" s="1" t="inlineStr">
        <is>
          <t>75249151006253</t>
        </is>
      </c>
      <c r="B4160" s="1" t="inlineStr">
        <is>
          <t>ARETES BV ZERO 1 GOLD CON ZIRCONIA</t>
        </is>
      </c>
      <c r="C4160" s="1" t="inlineStr">
        <is>
          <t>Default Title</t>
        </is>
      </c>
      <c r="D4160" s="1" t="inlineStr">
        <is>
          <t>02/10/2025</t>
        </is>
      </c>
      <c r="E4160" s="1" t="n">
        <v>2025</v>
      </c>
      <c r="F4160" s="1" t="inlineStr">
        <is>
          <t>OCTUBRE</t>
        </is>
      </c>
      <c r="G4160" s="1" t="inlineStr">
        <is>
          <t>ZOEY</t>
        </is>
      </c>
      <c r="H4160" s="1" t="inlineStr">
        <is>
          <t>ZOEY 02/10/2025</t>
        </is>
      </c>
      <c r="I4160" s="4" t="n">
        <v>2</v>
      </c>
      <c r="J4160" s="6" t="n">
        <v>9</v>
      </c>
      <c r="K4160" s="6" t="n">
        <v>212.615424</v>
      </c>
      <c r="L4160" s="6">
        <f>I4160*K4160</f>
        <v/>
      </c>
      <c r="M4160" s="6">
        <f>K4160*4</f>
        <v/>
      </c>
      <c r="N4160" s="6" t="n">
        <v>745</v>
      </c>
    </row>
    <row r="4161">
      <c r="A4161" s="1" t="inlineStr">
        <is>
          <t>75330961067949</t>
        </is>
      </c>
      <c r="B4161" s="1" t="inlineStr">
        <is>
          <t>PULSERA DOS VUELTAS SERPENTI ROSEGOLD CON ZIRCONIA</t>
        </is>
      </c>
      <c r="C4161" s="1" t="inlineStr">
        <is>
          <t>Default Title</t>
        </is>
      </c>
      <c r="D4161" s="1" t="inlineStr">
        <is>
          <t>25/09/2025</t>
        </is>
      </c>
      <c r="E4161" s="1" t="n">
        <v>2025</v>
      </c>
      <c r="F4161" s="1" t="inlineStr">
        <is>
          <t>SEPTIEMBRE</t>
        </is>
      </c>
      <c r="G4161" s="1" t="inlineStr">
        <is>
          <t>HAIFENG</t>
        </is>
      </c>
      <c r="H4161" s="1" t="inlineStr">
        <is>
          <t>HAIFENG 25/09/2025</t>
        </is>
      </c>
      <c r="I4161" s="4" t="n">
        <v>2</v>
      </c>
      <c r="J4161" s="6" t="n">
        <v>25</v>
      </c>
      <c r="K4161" s="6" t="n">
        <v>527.4221442</v>
      </c>
      <c r="L4161" s="6">
        <f>I4161*K4161</f>
        <v/>
      </c>
      <c r="M4161" s="6">
        <f>K4161*4</f>
        <v/>
      </c>
      <c r="N4161" s="6" t="n">
        <v>2099</v>
      </c>
    </row>
    <row r="4162">
      <c r="A4162" s="1" t="inlineStr">
        <is>
          <t>75330961067949</t>
        </is>
      </c>
      <c r="B4162" s="1" t="inlineStr">
        <is>
          <t>PULSERA DOS VUELTAS SERPENTI ROSEGOLD CON ZIRCONIA</t>
        </is>
      </c>
      <c r="C4162" s="1" t="inlineStr">
        <is>
          <t>Default Title</t>
        </is>
      </c>
      <c r="D4162" s="1" t="inlineStr">
        <is>
          <t>10/02/2026</t>
        </is>
      </c>
      <c r="E4162" s="1" t="n">
        <v>2026</v>
      </c>
      <c r="F4162" s="1" t="inlineStr">
        <is>
          <t>FEBRERO</t>
        </is>
      </c>
      <c r="G4162" s="1" t="inlineStr">
        <is>
          <t>HAIFENG</t>
        </is>
      </c>
      <c r="H4162" s="1" t="inlineStr">
        <is>
          <t>HAIFENG 10/02/2026</t>
        </is>
      </c>
      <c r="I4162" s="4" t="n">
        <v>1</v>
      </c>
      <c r="J4162" s="6" t="n">
        <v>25</v>
      </c>
      <c r="K4162" s="6" t="n">
        <v>526.7124016</v>
      </c>
      <c r="L4162" s="6">
        <f>I4162*K4162</f>
        <v/>
      </c>
      <c r="M4162" s="6">
        <f>K4162*4</f>
        <v/>
      </c>
      <c r="N4162" s="6" t="n">
        <v>2099</v>
      </c>
    </row>
    <row r="4163">
      <c r="A4163" s="1" t="inlineStr">
        <is>
          <t>75333231061005</t>
        </is>
      </c>
      <c r="B4163" s="1" t="inlineStr">
        <is>
          <t>TARJETERO YSL BURGUNDY</t>
        </is>
      </c>
      <c r="C4163" s="1" t="inlineStr">
        <is>
          <t>Default Title</t>
        </is>
      </c>
      <c r="D4163" s="1" t="inlineStr">
        <is>
          <t>19/03/2026</t>
        </is>
      </c>
      <c r="E4163" s="1" t="n">
        <v>2026</v>
      </c>
      <c r="F4163" s="1" t="inlineStr">
        <is>
          <t>MARZO</t>
        </is>
      </c>
      <c r="G4163" s="1" t="inlineStr">
        <is>
          <t>CYNTHIA</t>
        </is>
      </c>
      <c r="H4163" s="1" t="inlineStr">
        <is>
          <t>CYNTHIA 19/03/2026</t>
        </is>
      </c>
      <c r="I4163" s="4" t="n">
        <v>2</v>
      </c>
      <c r="J4163" s="6" t="n">
        <v>20</v>
      </c>
      <c r="K4163" s="6" t="n">
        <v>537.1483158999999</v>
      </c>
      <c r="L4163" s="6">
        <f>I4163*K4163</f>
        <v/>
      </c>
      <c r="M4163" s="6">
        <f>K4163*4</f>
        <v/>
      </c>
      <c r="N4163" s="6" t="n">
        <v>2150</v>
      </c>
    </row>
    <row r="4164">
      <c r="A4164" s="1" t="inlineStr">
        <is>
          <t>76195311060109</t>
        </is>
      </c>
      <c r="B4164" s="1" t="inlineStr">
        <is>
          <t>PULSERA T KNOT DELGADA GOLD ZIRCONIAS</t>
        </is>
      </c>
      <c r="C4164" s="1" t="inlineStr">
        <is>
          <t>Default Title</t>
        </is>
      </c>
      <c r="D4164" s="1" t="inlineStr">
        <is>
          <t>31/05/2026</t>
        </is>
      </c>
      <c r="E4164" s="1" t="n">
        <v>2026</v>
      </c>
      <c r="F4164" s="1" t="inlineStr">
        <is>
          <t>MAYO</t>
        </is>
      </c>
      <c r="G4164" s="1" t="inlineStr">
        <is>
          <t>NANCY</t>
        </is>
      </c>
      <c r="H4164" s="1" t="inlineStr">
        <is>
          <t>NANCY 31/05/2026</t>
        </is>
      </c>
      <c r="I4164" s="4" t="n">
        <v>2</v>
      </c>
      <c r="J4164" s="6" t="n">
        <v>7.49</v>
      </c>
      <c r="K4164" s="6" t="n">
        <v>181.7642469</v>
      </c>
      <c r="L4164" s="6">
        <f>I4164*K4164</f>
        <v/>
      </c>
      <c r="M4164" s="6">
        <f>K4164*4</f>
        <v/>
      </c>
      <c r="N4164" s="6" t="n">
        <v>0</v>
      </c>
    </row>
    <row r="4165">
      <c r="A4165" s="1" t="inlineStr">
        <is>
          <t>76195311162349</t>
        </is>
      </c>
      <c r="B4165" s="1" t="inlineStr">
        <is>
          <t>PULSERA T KNOT DELGADA ROSEGOLD ZIRCONIAS</t>
        </is>
      </c>
      <c r="C4165" s="1" t="inlineStr">
        <is>
          <t>Default Title</t>
        </is>
      </c>
      <c r="D4165" s="1" t="inlineStr">
        <is>
          <t>31/05/2026</t>
        </is>
      </c>
      <c r="E4165" s="1" t="n">
        <v>2026</v>
      </c>
      <c r="F4165" s="1" t="inlineStr">
        <is>
          <t>MAYO</t>
        </is>
      </c>
      <c r="G4165" s="1" t="inlineStr">
        <is>
          <t>NANCY</t>
        </is>
      </c>
      <c r="H4165" s="1" t="inlineStr">
        <is>
          <t>NANCY 31/05/2026</t>
        </is>
      </c>
      <c r="I4165" s="4" t="n">
        <v>2</v>
      </c>
      <c r="J4165" s="6" t="n">
        <v>7.49</v>
      </c>
      <c r="K4165" s="6" t="n">
        <v>181.7642469</v>
      </c>
      <c r="L4165" s="6">
        <f>I4165*K4165</f>
        <v/>
      </c>
      <c r="M4165" s="6">
        <f>K4165*4</f>
        <v/>
      </c>
      <c r="N4165" s="6" t="n">
        <v>0</v>
      </c>
    </row>
    <row r="4166">
      <c r="A4166" s="1" t="inlineStr">
        <is>
          <t>76327071018669</t>
        </is>
      </c>
      <c r="B4166" s="1" t="inlineStr">
        <is>
          <t>ARRACADAS SERPENTI VIPPER GOLD CON ZIRCONIA</t>
        </is>
      </c>
      <c r="C4166" s="1" t="inlineStr">
        <is>
          <t>Default Title</t>
        </is>
      </c>
      <c r="D4166" s="1" t="inlineStr">
        <is>
          <t>02/10/2025</t>
        </is>
      </c>
      <c r="E4166" s="1" t="n">
        <v>2025</v>
      </c>
      <c r="F4166" s="1" t="inlineStr">
        <is>
          <t>OCTUBRE</t>
        </is>
      </c>
      <c r="G4166" s="1" t="inlineStr">
        <is>
          <t>ZOEY</t>
        </is>
      </c>
      <c r="H4166" s="1" t="inlineStr">
        <is>
          <t>ZOEY 02/10/2025</t>
        </is>
      </c>
      <c r="I4166" s="4" t="n">
        <v>3</v>
      </c>
      <c r="J4166" s="6" t="n">
        <v>9</v>
      </c>
      <c r="K4166" s="6" t="n">
        <v>212.615424</v>
      </c>
      <c r="L4166" s="6">
        <f>I4166*K4166</f>
        <v/>
      </c>
      <c r="M4166" s="6">
        <f>K4166*4</f>
        <v/>
      </c>
      <c r="N4166" s="6" t="n">
        <v>799</v>
      </c>
    </row>
    <row r="4167">
      <c r="A4167" s="1" t="inlineStr">
        <is>
          <t>76327071018669</t>
        </is>
      </c>
      <c r="B4167" s="1" t="inlineStr">
        <is>
          <t>ARRACADAS SERPENTI VIPPER GOLD CON ZIRCONIA</t>
        </is>
      </c>
      <c r="C4167" s="1" t="inlineStr">
        <is>
          <t>Default Title</t>
        </is>
      </c>
      <c r="D4167" s="1" t="inlineStr">
        <is>
          <t>02/03/2026</t>
        </is>
      </c>
      <c r="E4167" s="1" t="n">
        <v>2026</v>
      </c>
      <c r="F4167" s="1" t="inlineStr">
        <is>
          <t>MARZO</t>
        </is>
      </c>
      <c r="G4167" s="1" t="inlineStr">
        <is>
          <t>ZOEY</t>
        </is>
      </c>
      <c r="H4167" s="1" t="inlineStr">
        <is>
          <t>ZOEY 02/03/2026</t>
        </is>
      </c>
      <c r="I4167" s="4" t="n">
        <v>5</v>
      </c>
      <c r="J4167" s="6" t="n">
        <v>9</v>
      </c>
      <c r="K4167" s="6" t="n">
        <v>236.4927815</v>
      </c>
      <c r="L4167" s="6">
        <f>I4167*K4167</f>
        <v/>
      </c>
      <c r="M4167" s="6">
        <f>K4167*4</f>
        <v/>
      </c>
      <c r="N4167" s="6" t="n">
        <v>876</v>
      </c>
    </row>
    <row r="4168">
      <c r="A4168" s="1" t="inlineStr">
        <is>
          <t>76327071018669</t>
        </is>
      </c>
      <c r="B4168" s="1" t="inlineStr">
        <is>
          <t>ARRACADAS SERPENTI VIPPER GOLD CON ZIRCONIA</t>
        </is>
      </c>
      <c r="C4168" s="1" t="inlineStr">
        <is>
          <t>Default Title</t>
        </is>
      </c>
      <c r="D4168" s="1" t="inlineStr">
        <is>
          <t>19/03/2026</t>
        </is>
      </c>
      <c r="E4168" s="1" t="n">
        <v>2026</v>
      </c>
      <c r="F4168" s="1" t="inlineStr">
        <is>
          <t>MARZO</t>
        </is>
      </c>
      <c r="G4168" s="1" t="inlineStr">
        <is>
          <t>ZOEY</t>
        </is>
      </c>
      <c r="H4168" s="1" t="inlineStr">
        <is>
          <t>ZOEY 19/03/2026</t>
        </is>
      </c>
      <c r="I4168" s="4" t="n">
        <v>5</v>
      </c>
      <c r="J4168" s="6" t="n">
        <v>9</v>
      </c>
      <c r="K4168" s="6" t="n">
        <v>232.0384465</v>
      </c>
      <c r="L4168" s="6">
        <f>I4168*K4168</f>
        <v/>
      </c>
      <c r="M4168" s="6">
        <f>K4168*4</f>
        <v/>
      </c>
      <c r="N4168" s="6" t="n">
        <v>876</v>
      </c>
    </row>
    <row r="4169">
      <c r="A4169" s="1" t="inlineStr">
        <is>
          <t>76327071018669</t>
        </is>
      </c>
      <c r="B4169" s="1" t="inlineStr">
        <is>
          <t>ARRACADAS SERPENTI VIPPER GOLD CON ZIRCONIA</t>
        </is>
      </c>
      <c r="C4169" s="1" t="inlineStr">
        <is>
          <t>Default Title</t>
        </is>
      </c>
      <c r="D4169" s="1" t="inlineStr">
        <is>
          <t>08/06/2026</t>
        </is>
      </c>
      <c r="E4169" s="1" t="n">
        <v>2026</v>
      </c>
      <c r="F4169" s="1" t="inlineStr">
        <is>
          <t>JUNIO</t>
        </is>
      </c>
      <c r="G4169" s="1" t="inlineStr">
        <is>
          <t>ZOEY</t>
        </is>
      </c>
      <c r="H4169" s="1" t="inlineStr">
        <is>
          <t>ZOEY 08/06/2026</t>
        </is>
      </c>
      <c r="I4169" s="4" t="n">
        <v>5</v>
      </c>
      <c r="J4169" s="6" t="n">
        <v>9</v>
      </c>
      <c r="K4169" s="6" t="n">
        <v>220.6029281</v>
      </c>
      <c r="L4169" s="6">
        <f>I4169*K4169</f>
        <v/>
      </c>
      <c r="M4169" s="6">
        <f>K4169*4</f>
        <v/>
      </c>
      <c r="N4169" s="6" t="n">
        <v>876</v>
      </c>
    </row>
    <row r="4170">
      <c r="A4170" s="1" t="inlineStr">
        <is>
          <t>76843721024525</t>
        </is>
      </c>
      <c r="B4170" s="1" t="inlineStr">
        <is>
          <t>ANILLO SIXTEEN STONE GOLD/RED</t>
        </is>
      </c>
      <c r="C4170" s="1" t="inlineStr">
        <is>
          <t>9</t>
        </is>
      </c>
      <c r="D4170" s="1" t="inlineStr">
        <is>
          <t>26/05/2026</t>
        </is>
      </c>
      <c r="E4170" s="1" t="n">
        <v>2026</v>
      </c>
      <c r="F4170" s="1" t="inlineStr">
        <is>
          <t>MAYO</t>
        </is>
      </c>
      <c r="G4170" s="1" t="inlineStr">
        <is>
          <t>HAIFENG</t>
        </is>
      </c>
      <c r="H4170" s="1" t="inlineStr">
        <is>
          <t>HAIFENG 26/05/2026</t>
        </is>
      </c>
      <c r="I4170" s="4" t="n">
        <v>2</v>
      </c>
      <c r="J4170" s="6" t="n">
        <v>6</v>
      </c>
      <c r="K4170" s="6" t="n">
        <v>125.9357718</v>
      </c>
      <c r="L4170" s="6">
        <f>I4170*K4170</f>
        <v/>
      </c>
      <c r="M4170" s="6">
        <f>K4170*4</f>
        <v/>
      </c>
      <c r="N4170" s="6" t="n">
        <v>550</v>
      </c>
    </row>
    <row r="4171">
      <c r="A4171" s="1" t="inlineStr">
        <is>
          <t>77000701043565</t>
        </is>
      </c>
      <c r="B4171" s="1" t="inlineStr">
        <is>
          <t>PULSERA BV SILVER CON ZIRCONIA</t>
        </is>
      </c>
      <c r="C4171" s="1" t="inlineStr">
        <is>
          <t>Default Title</t>
        </is>
      </c>
      <c r="D4171" s="1" t="inlineStr">
        <is>
          <t>25/09/2025</t>
        </is>
      </c>
      <c r="E4171" s="1" t="n">
        <v>2025</v>
      </c>
      <c r="F4171" s="1" t="inlineStr">
        <is>
          <t>SEPTIEMBRE</t>
        </is>
      </c>
      <c r="G4171" s="1" t="inlineStr">
        <is>
          <t>HAIFENG</t>
        </is>
      </c>
      <c r="H4171" s="1" t="inlineStr">
        <is>
          <t>HAIFENG 25/09/2025</t>
        </is>
      </c>
      <c r="I4171" s="4" t="n">
        <v>3</v>
      </c>
      <c r="J4171" s="6" t="n">
        <v>7</v>
      </c>
      <c r="K4171" s="6" t="n">
        <v>147.6782004</v>
      </c>
      <c r="L4171" s="6">
        <f>I4171*K4171</f>
        <v/>
      </c>
      <c r="M4171" s="6">
        <f>K4171*4</f>
        <v/>
      </c>
      <c r="N4171" s="6" t="n">
        <v>680</v>
      </c>
    </row>
    <row r="4172">
      <c r="A4172" s="1" t="inlineStr">
        <is>
          <t>77137551049901</t>
        </is>
      </c>
      <c r="B4172" s="1" t="inlineStr">
        <is>
          <t>CINTO FR</t>
        </is>
      </c>
      <c r="C4172" s="1" t="inlineStr">
        <is>
          <t>105CM</t>
        </is>
      </c>
      <c r="D4172" s="1" t="inlineStr">
        <is>
          <t>31/05/2026</t>
        </is>
      </c>
      <c r="E4172" s="1" t="n">
        <v>2026</v>
      </c>
      <c r="F4172" s="1" t="inlineStr">
        <is>
          <t>MAYO</t>
        </is>
      </c>
      <c r="G4172" s="1" t="inlineStr">
        <is>
          <t>CYNTHIA</t>
        </is>
      </c>
      <c r="H4172" s="1" t="inlineStr">
        <is>
          <t>CYNTHIA 31/05/2026</t>
        </is>
      </c>
      <c r="I4172" s="4" t="n">
        <v>3</v>
      </c>
      <c r="J4172" s="6" t="n">
        <v>9</v>
      </c>
      <c r="K4172" s="6" t="n">
        <v>238.5094048</v>
      </c>
      <c r="L4172" s="6">
        <f>I4172*K4172</f>
        <v/>
      </c>
      <c r="M4172" s="6">
        <f>K4172*4</f>
        <v/>
      </c>
      <c r="N4172" s="6" t="n">
        <v>999</v>
      </c>
    </row>
    <row r="4173">
      <c r="A4173" s="1" t="inlineStr">
        <is>
          <t>77137551158381</t>
        </is>
      </c>
      <c r="B4173" s="1" t="inlineStr">
        <is>
          <t>SANDALIAS CC TONGS WHITE</t>
        </is>
      </c>
      <c r="C4173" s="1" t="inlineStr">
        <is>
          <t>40(25MX)</t>
        </is>
      </c>
      <c r="D4173" s="1" t="inlineStr">
        <is>
          <t>31/05/2026</t>
        </is>
      </c>
      <c r="E4173" s="1" t="n">
        <v>2026</v>
      </c>
      <c r="F4173" s="1" t="inlineStr">
        <is>
          <t>MAYO</t>
        </is>
      </c>
      <c r="G4173" s="1" t="inlineStr">
        <is>
          <t>CYNTHIA</t>
        </is>
      </c>
      <c r="H4173" s="1" t="inlineStr">
        <is>
          <t>CYNTHIA 31/05/2026</t>
        </is>
      </c>
      <c r="I4173" s="4" t="n">
        <v>2</v>
      </c>
      <c r="J4173" s="6" t="n">
        <v>39</v>
      </c>
      <c r="K4173" s="6" t="n">
        <v>1033.540754</v>
      </c>
      <c r="L4173" s="6">
        <f>I4173*K4173</f>
        <v/>
      </c>
      <c r="M4173" s="6">
        <f>K4173*4</f>
        <v/>
      </c>
      <c r="N4173" s="6" t="n">
        <v>3999</v>
      </c>
    </row>
    <row r="4174">
      <c r="A4174" s="1" t="inlineStr">
        <is>
          <t>77137551286061</t>
        </is>
      </c>
      <c r="B4174" s="1" t="inlineStr">
        <is>
          <t>TARJETERO CC CLASSIC</t>
        </is>
      </c>
      <c r="C4174" s="1" t="inlineStr">
        <is>
          <t>PRODUCTO NUEVO</t>
        </is>
      </c>
      <c r="D4174" s="1" t="inlineStr">
        <is>
          <t>31/05/2026</t>
        </is>
      </c>
      <c r="E4174" s="1" t="n">
        <v>2026</v>
      </c>
      <c r="F4174" s="1" t="inlineStr">
        <is>
          <t>MAYO</t>
        </is>
      </c>
      <c r="G4174" s="1" t="inlineStr">
        <is>
          <t>CYNTHIA</t>
        </is>
      </c>
      <c r="H4174" s="1" t="inlineStr">
        <is>
          <t>CYNTHIA 31/05/2026</t>
        </is>
      </c>
      <c r="I4174" s="4" t="n">
        <v>2</v>
      </c>
      <c r="J4174" s="6" t="n">
        <v>19</v>
      </c>
      <c r="K4174" s="6" t="n">
        <v>503.5198546</v>
      </c>
      <c r="L4174" s="6">
        <f>I4174*K4174</f>
        <v/>
      </c>
      <c r="M4174" s="6">
        <f>K4174*4</f>
        <v/>
      </c>
      <c r="N4174" s="6" t="n">
        <v>1765</v>
      </c>
    </row>
    <row r="4175">
      <c r="A4175" s="1" t="inlineStr">
        <is>
          <t>77174549298188</t>
        </is>
      </c>
      <c r="B4175" s="1" t="inlineStr">
        <is>
          <t>ANILLO ONE T CON ZIRCONIA GOLD</t>
        </is>
      </c>
      <c r="C4175" s="1" t="inlineStr">
        <is>
          <t>8</t>
        </is>
      </c>
      <c r="D4175" s="1" t="inlineStr">
        <is>
          <t>01/09/2025</t>
        </is>
      </c>
      <c r="E4175" s="1" t="n">
        <v>2025</v>
      </c>
      <c r="F4175" s="1" t="inlineStr">
        <is>
          <t>SEPTIEMBRE</t>
        </is>
      </c>
      <c r="G4175" s="1" t="inlineStr">
        <is>
          <t>HAIFENG</t>
        </is>
      </c>
      <c r="H4175" s="1" t="inlineStr">
        <is>
          <t>HAIFENG 01/09/2025</t>
        </is>
      </c>
      <c r="I4175" s="4" t="n">
        <v>2</v>
      </c>
      <c r="J4175" s="6" t="n">
        <v>5</v>
      </c>
      <c r="K4175" s="6" t="n">
        <v>106.2783553</v>
      </c>
      <c r="L4175" s="6">
        <f>I4175*K4175</f>
        <v/>
      </c>
      <c r="M4175" s="6">
        <f>K4175*4</f>
        <v/>
      </c>
      <c r="N4175" s="6" t="n">
        <v>450</v>
      </c>
    </row>
    <row r="4176">
      <c r="A4176" s="1" t="inlineStr">
        <is>
          <t>77216891573644</t>
        </is>
      </c>
      <c r="B4176" s="1" t="inlineStr">
        <is>
          <t>GARGANTILLA SIXTEEN STONE</t>
        </is>
      </c>
      <c r="C4176" s="1" t="inlineStr">
        <is>
          <t>42cm</t>
        </is>
      </c>
      <c r="D4176" s="1" t="inlineStr">
        <is>
          <t>01/09/2025</t>
        </is>
      </c>
      <c r="E4176" s="1" t="n">
        <v>2025</v>
      </c>
      <c r="F4176" s="1" t="inlineStr">
        <is>
          <t>SEPTIEMBRE</t>
        </is>
      </c>
      <c r="G4176" s="1" t="inlineStr">
        <is>
          <t>HAIFENG</t>
        </is>
      </c>
      <c r="H4176" s="1" t="inlineStr">
        <is>
          <t>HAIFENG 01/09/2025</t>
        </is>
      </c>
      <c r="I4176" s="4" t="n">
        <v>2</v>
      </c>
      <c r="J4176" s="6" t="n">
        <v>25</v>
      </c>
      <c r="K4176" s="6" t="n">
        <v>531.3917766</v>
      </c>
      <c r="L4176" s="6">
        <f>I4176*K4176</f>
        <v/>
      </c>
      <c r="M4176" s="6">
        <f>K4176*4</f>
        <v/>
      </c>
      <c r="N4176" s="6" t="n">
        <v>2099</v>
      </c>
    </row>
    <row r="4177">
      <c r="A4177" s="1" t="inlineStr">
        <is>
          <t>77216891573644</t>
        </is>
      </c>
      <c r="B4177" s="1" t="inlineStr">
        <is>
          <t>GARGANTILLA SIXTEEN STONE</t>
        </is>
      </c>
      <c r="C4177" s="1" t="inlineStr">
        <is>
          <t>42cm</t>
        </is>
      </c>
      <c r="D4177" s="1" t="inlineStr">
        <is>
          <t>11/11/2025</t>
        </is>
      </c>
      <c r="E4177" s="1" t="n">
        <v>2025</v>
      </c>
      <c r="F4177" s="1" t="inlineStr">
        <is>
          <t>NOVIEMBRE</t>
        </is>
      </c>
      <c r="G4177" s="1" t="inlineStr">
        <is>
          <t>HAIFENG</t>
        </is>
      </c>
      <c r="H4177" s="1" t="inlineStr">
        <is>
          <t>HAIFENG 11/11/2025</t>
        </is>
      </c>
      <c r="I4177" s="4" t="n">
        <v>3</v>
      </c>
      <c r="J4177" s="6" t="n">
        <v>25</v>
      </c>
      <c r="K4177" s="6" t="n">
        <v>526.5124611</v>
      </c>
      <c r="L4177" s="6">
        <f>I4177*K4177</f>
        <v/>
      </c>
      <c r="M4177" s="6">
        <f>K4177*4</f>
        <v/>
      </c>
      <c r="N4177" s="6" t="n">
        <v>2099</v>
      </c>
    </row>
    <row r="4178">
      <c r="A4178" s="1" t="inlineStr">
        <is>
          <t>77216891573644</t>
        </is>
      </c>
      <c r="B4178" s="1" t="inlineStr">
        <is>
          <t>GARGANTILLA SIXTEEN STONE</t>
        </is>
      </c>
      <c r="C4178" s="1" t="inlineStr">
        <is>
          <t>42cm</t>
        </is>
      </c>
      <c r="D4178" s="1" t="inlineStr">
        <is>
          <t>03/12/2025</t>
        </is>
      </c>
      <c r="E4178" s="1" t="n">
        <v>2025</v>
      </c>
      <c r="F4178" s="1" t="inlineStr">
        <is>
          <t>DICIEMBRE</t>
        </is>
      </c>
      <c r="G4178" s="1" t="inlineStr">
        <is>
          <t>HAIFENG</t>
        </is>
      </c>
      <c r="H4178" s="1" t="inlineStr">
        <is>
          <t>HAIFENG 03/12/2025</t>
        </is>
      </c>
      <c r="I4178" s="4" t="n">
        <v>5</v>
      </c>
      <c r="J4178" s="6" t="n">
        <v>25</v>
      </c>
      <c r="K4178" s="6" t="n">
        <v>522.9290003</v>
      </c>
      <c r="L4178" s="6">
        <f>I4178*K4178</f>
        <v/>
      </c>
      <c r="M4178" s="6">
        <f>K4178*4</f>
        <v/>
      </c>
      <c r="N4178" s="6" t="n">
        <v>2099</v>
      </c>
    </row>
    <row r="4179">
      <c r="A4179" s="1" t="inlineStr">
        <is>
          <t>77216891573644</t>
        </is>
      </c>
      <c r="B4179" s="1" t="inlineStr">
        <is>
          <t>GARGANTILLA SIXTEEN STONE</t>
        </is>
      </c>
      <c r="C4179" s="1" t="inlineStr">
        <is>
          <t>42cm</t>
        </is>
      </c>
      <c r="D4179" s="1" t="inlineStr">
        <is>
          <t>10/02/2026</t>
        </is>
      </c>
      <c r="E4179" s="1" t="n">
        <v>2026</v>
      </c>
      <c r="F4179" s="1" t="inlineStr">
        <is>
          <t>FEBRERO</t>
        </is>
      </c>
      <c r="G4179" s="1" t="inlineStr">
        <is>
          <t>HAIFENG</t>
        </is>
      </c>
      <c r="H4179" s="1" t="inlineStr">
        <is>
          <t>HAIFENG 10/02/2026</t>
        </is>
      </c>
      <c r="I4179" s="4" t="n">
        <v>3</v>
      </c>
      <c r="J4179" s="6" t="n">
        <v>25</v>
      </c>
      <c r="K4179" s="6" t="n">
        <v>526.7124016</v>
      </c>
      <c r="L4179" s="6">
        <f>I4179*K4179</f>
        <v/>
      </c>
      <c r="M4179" s="6">
        <f>K4179*4</f>
        <v/>
      </c>
      <c r="N4179" s="6" t="n">
        <v>2099</v>
      </c>
    </row>
    <row r="4180">
      <c r="A4180" s="1" t="inlineStr">
        <is>
          <t>77216891573644</t>
        </is>
      </c>
      <c r="B4180" s="1" t="inlineStr">
        <is>
          <t>GARGANTILLA SIXTEEN STONE</t>
        </is>
      </c>
      <c r="C4180" s="1" t="inlineStr">
        <is>
          <t>42cm</t>
        </is>
      </c>
      <c r="D4180" s="1" t="inlineStr">
        <is>
          <t>06/05/2026</t>
        </is>
      </c>
      <c r="E4180" s="1" t="n">
        <v>2026</v>
      </c>
      <c r="F4180" s="1" t="inlineStr">
        <is>
          <t>MAYO</t>
        </is>
      </c>
      <c r="G4180" s="1" t="inlineStr">
        <is>
          <t>HAIFENG</t>
        </is>
      </c>
      <c r="H4180" s="1" t="inlineStr">
        <is>
          <t>HAIFENG 06/05/2026</t>
        </is>
      </c>
      <c r="I4180" s="4" t="n">
        <v>2</v>
      </c>
      <c r="J4180" s="6" t="n">
        <v>25</v>
      </c>
      <c r="K4180" s="6" t="n">
        <v>530.4660567</v>
      </c>
      <c r="L4180" s="6">
        <f>I4180*K4180</f>
        <v/>
      </c>
      <c r="M4180" s="6">
        <f>K4180*4</f>
        <v/>
      </c>
      <c r="N4180" s="6" t="n">
        <v>2099</v>
      </c>
    </row>
    <row r="4181">
      <c r="A4181" s="1" t="inlineStr">
        <is>
          <t>77216891573644</t>
        </is>
      </c>
      <c r="B4181" s="1" t="inlineStr">
        <is>
          <t>GARGANTILLA SIXTEEN STONE</t>
        </is>
      </c>
      <c r="C4181" s="1" t="inlineStr">
        <is>
          <t>42cm</t>
        </is>
      </c>
      <c r="D4181" s="1" t="inlineStr">
        <is>
          <t>16/06/2026</t>
        </is>
      </c>
      <c r="E4181" s="1" t="n">
        <v>2026</v>
      </c>
      <c r="F4181" s="1" t="inlineStr">
        <is>
          <t>JUNIO</t>
        </is>
      </c>
      <c r="G4181" s="1" t="inlineStr">
        <is>
          <t>HAIFENG</t>
        </is>
      </c>
      <c r="H4181" s="1" t="inlineStr">
        <is>
          <t>HAIFENG 16/06/2026</t>
        </is>
      </c>
      <c r="I4181" s="4" t="n">
        <v>2</v>
      </c>
      <c r="J4181" s="6" t="n">
        <v>25</v>
      </c>
      <c r="K4181" s="6" t="n">
        <v>525.3651615</v>
      </c>
      <c r="L4181" s="6">
        <f>I4181*K4181</f>
        <v/>
      </c>
      <c r="M4181" s="6">
        <f>K4181*4</f>
        <v/>
      </c>
      <c r="N4181" s="6" t="n">
        <v>2099</v>
      </c>
    </row>
    <row r="4182">
      <c r="A4182" s="1" t="inlineStr">
        <is>
          <t>77216894110092</t>
        </is>
      </c>
      <c r="B4182" s="1" t="inlineStr">
        <is>
          <t>GORRA C LOGO WHITE</t>
        </is>
      </c>
      <c r="C4182" s="1" t="inlineStr">
        <is>
          <t>AJUSTABLE</t>
        </is>
      </c>
      <c r="D4182" s="1" t="inlineStr">
        <is>
          <t>07/01/2026</t>
        </is>
      </c>
      <c r="E4182" s="1" t="n">
        <v>2026</v>
      </c>
      <c r="F4182" s="1" t="inlineStr">
        <is>
          <t>ENERO</t>
        </is>
      </c>
      <c r="G4182" s="1" t="inlineStr">
        <is>
          <t>CYNTHIA</t>
        </is>
      </c>
      <c r="H4182" s="1" t="inlineStr">
        <is>
          <t>CYNTHIA 07/01/2026</t>
        </is>
      </c>
      <c r="I4182" s="4" t="n">
        <v>4</v>
      </c>
      <c r="J4182" s="6" t="n">
        <v>8.300000000000001</v>
      </c>
      <c r="K4182" s="6" t="n">
        <v>220.6756497</v>
      </c>
      <c r="L4182" s="6">
        <f>I4182*K4182</f>
        <v/>
      </c>
      <c r="M4182" s="6">
        <f>K4182*4</f>
        <v/>
      </c>
      <c r="N4182" s="6" t="n">
        <v>750</v>
      </c>
    </row>
    <row r="4183">
      <c r="A4183" s="1" t="inlineStr">
        <is>
          <t>77216894110092</t>
        </is>
      </c>
      <c r="B4183" s="1" t="inlineStr">
        <is>
          <t>GORRA C LOGO WHITE</t>
        </is>
      </c>
      <c r="C4183" s="1" t="inlineStr">
        <is>
          <t>AJUSTABLE</t>
        </is>
      </c>
      <c r="D4183" s="1" t="inlineStr">
        <is>
          <t>18/02/2026</t>
        </is>
      </c>
      <c r="E4183" s="1" t="n">
        <v>2026</v>
      </c>
      <c r="F4183" s="1" t="inlineStr">
        <is>
          <t>FEBRERO</t>
        </is>
      </c>
      <c r="G4183" s="1" t="inlineStr">
        <is>
          <t>CYNTHIA</t>
        </is>
      </c>
      <c r="H4183" s="1" t="inlineStr">
        <is>
          <t>CYNTHIA 18/02/2026</t>
        </is>
      </c>
      <c r="I4183" s="4" t="n">
        <v>2</v>
      </c>
      <c r="J4183" s="6" t="n">
        <v>8.300000000000001</v>
      </c>
      <c r="K4183" s="6" t="n">
        <v>224.4599311</v>
      </c>
      <c r="L4183" s="6">
        <f>I4183*K4183</f>
        <v/>
      </c>
      <c r="M4183" s="6">
        <f>K4183*4</f>
        <v/>
      </c>
      <c r="N4183" s="6" t="n">
        <v>869</v>
      </c>
    </row>
    <row r="4184">
      <c r="A4184" s="1" t="inlineStr">
        <is>
          <t>77216894110092</t>
        </is>
      </c>
      <c r="B4184" s="1" t="inlineStr">
        <is>
          <t>GORRA C LOGO WHITE</t>
        </is>
      </c>
      <c r="C4184" s="1" t="inlineStr">
        <is>
          <t>AJUSTABLE</t>
        </is>
      </c>
      <c r="D4184" s="1" t="inlineStr">
        <is>
          <t>27/04/2026</t>
        </is>
      </c>
      <c r="E4184" s="1" t="n">
        <v>2026</v>
      </c>
      <c r="F4184" s="1" t="inlineStr">
        <is>
          <t>ABRIL</t>
        </is>
      </c>
      <c r="G4184" s="1" t="inlineStr">
        <is>
          <t>CYNTHIA</t>
        </is>
      </c>
      <c r="H4184" s="1" t="inlineStr">
        <is>
          <t>CYNTHIA 27/04/2026</t>
        </is>
      </c>
      <c r="I4184" s="4" t="n">
        <v>3</v>
      </c>
      <c r="J4184" s="6" t="n">
        <v>8.300000000000001</v>
      </c>
      <c r="K4184" s="6" t="n">
        <v>215.3857687</v>
      </c>
      <c r="L4184" s="6">
        <f>I4184*K4184</f>
        <v/>
      </c>
      <c r="M4184" s="6">
        <f>K4184*4</f>
        <v/>
      </c>
      <c r="N4184" s="6" t="n">
        <v>869</v>
      </c>
    </row>
    <row r="4185">
      <c r="A4185" s="1" t="inlineStr">
        <is>
          <t>77275241042893</t>
        </is>
      </c>
      <c r="B4185" s="1" t="inlineStr">
        <is>
          <t>ARETES MM HEART GOLD WHITE</t>
        </is>
      </c>
      <c r="C4185" s="1" t="inlineStr">
        <is>
          <t>2cm</t>
        </is>
      </c>
      <c r="D4185" s="1" t="inlineStr">
        <is>
          <t>02/10/2025</t>
        </is>
      </c>
      <c r="E4185" s="1" t="n">
        <v>2025</v>
      </c>
      <c r="F4185" s="1" t="inlineStr">
        <is>
          <t>OCTUBRE</t>
        </is>
      </c>
      <c r="G4185" s="1" t="inlineStr">
        <is>
          <t>ZOEY</t>
        </is>
      </c>
      <c r="H4185" s="1" t="inlineStr">
        <is>
          <t>ZOEY 02/10/2025</t>
        </is>
      </c>
      <c r="I4185" s="4" t="n">
        <v>4</v>
      </c>
      <c r="J4185" s="6" t="n">
        <v>8</v>
      </c>
      <c r="K4185" s="6" t="n">
        <v>188.991488</v>
      </c>
      <c r="L4185" s="6">
        <f>I4185*K4185</f>
        <v/>
      </c>
      <c r="M4185" s="6">
        <f>K4185*4</f>
        <v/>
      </c>
      <c r="N4185" s="6" t="n">
        <v>850</v>
      </c>
    </row>
    <row r="4186">
      <c r="A4186" s="1" t="inlineStr">
        <is>
          <t>77275241042893</t>
        </is>
      </c>
      <c r="B4186" s="1" t="inlineStr">
        <is>
          <t>ARETES MM HEART GOLD WHITE</t>
        </is>
      </c>
      <c r="C4186" s="1" t="inlineStr">
        <is>
          <t>Default Title</t>
        </is>
      </c>
      <c r="D4186" s="1" t="inlineStr">
        <is>
          <t>20/01/2026</t>
        </is>
      </c>
      <c r="E4186" s="1" t="n">
        <v>2026</v>
      </c>
      <c r="F4186" s="1" t="inlineStr">
        <is>
          <t>ENERO</t>
        </is>
      </c>
      <c r="G4186" s="1" t="inlineStr">
        <is>
          <t>ZOEY</t>
        </is>
      </c>
      <c r="H4186" s="1" t="inlineStr">
        <is>
          <t>ZOEY 20/01/2026</t>
        </is>
      </c>
      <c r="I4186" s="4" t="n">
        <v>6</v>
      </c>
      <c r="J4186" s="6" t="n">
        <v>8</v>
      </c>
      <c r="K4186" s="6" t="n">
        <v>208.252795</v>
      </c>
      <c r="L4186" s="6">
        <f>I4186*K4186</f>
        <v/>
      </c>
      <c r="M4186" s="6">
        <f>K4186*4</f>
        <v/>
      </c>
      <c r="N4186" s="6" t="n">
        <v>850</v>
      </c>
    </row>
    <row r="4187">
      <c r="A4187" s="1" t="inlineStr">
        <is>
          <t>77275241042893</t>
        </is>
      </c>
      <c r="B4187" s="1" t="inlineStr">
        <is>
          <t>ARETES MM HEART GOLD WHITE</t>
        </is>
      </c>
      <c r="C4187" s="1" t="inlineStr">
        <is>
          <t>2cm</t>
        </is>
      </c>
      <c r="D4187" s="1" t="inlineStr">
        <is>
          <t>19/03/2026</t>
        </is>
      </c>
      <c r="E4187" s="1" t="n">
        <v>2026</v>
      </c>
      <c r="F4187" s="1" t="inlineStr">
        <is>
          <t>MARZO</t>
        </is>
      </c>
      <c r="G4187" s="1" t="inlineStr">
        <is>
          <t>ZOEY</t>
        </is>
      </c>
      <c r="H4187" s="1" t="inlineStr">
        <is>
          <t>ZOEY 19/03/2026</t>
        </is>
      </c>
      <c r="I4187" s="4" t="n">
        <v>5</v>
      </c>
      <c r="J4187" s="6" t="n">
        <v>8</v>
      </c>
      <c r="K4187" s="6" t="n">
        <v>206.2563969</v>
      </c>
      <c r="L4187" s="6">
        <f>I4187*K4187</f>
        <v/>
      </c>
      <c r="M4187" s="6">
        <f>K4187*4</f>
        <v/>
      </c>
      <c r="N4187" s="6" t="n">
        <v>850</v>
      </c>
    </row>
    <row r="4188">
      <c r="A4188" s="1" t="inlineStr">
        <is>
          <t>77275241042893</t>
        </is>
      </c>
      <c r="B4188" s="1" t="inlineStr">
        <is>
          <t>ARETES MM HEART GOLD WHITE</t>
        </is>
      </c>
      <c r="C4188" s="1" t="inlineStr">
        <is>
          <t>2cm</t>
        </is>
      </c>
      <c r="D4188" s="1" t="inlineStr">
        <is>
          <t>15/05/2026</t>
        </is>
      </c>
      <c r="E4188" s="1" t="n">
        <v>2026</v>
      </c>
      <c r="F4188" s="1" t="inlineStr">
        <is>
          <t>MAYO</t>
        </is>
      </c>
      <c r="G4188" s="1" t="inlineStr">
        <is>
          <t>ZOEY</t>
        </is>
      </c>
      <c r="H4188" s="1" t="inlineStr">
        <is>
          <t>ZOEY 15/05/2026</t>
        </is>
      </c>
      <c r="I4188" s="4" t="n">
        <v>10</v>
      </c>
      <c r="J4188" s="6" t="n">
        <v>8</v>
      </c>
      <c r="K4188" s="6" t="n">
        <v>212.0369959</v>
      </c>
      <c r="L4188" s="6">
        <f>I4188*K4188</f>
        <v/>
      </c>
      <c r="M4188" s="6">
        <f>K4188*4</f>
        <v/>
      </c>
      <c r="N4188" s="6" t="n">
        <v>850</v>
      </c>
    </row>
    <row r="4189">
      <c r="A4189" s="1" t="inlineStr">
        <is>
          <t>77275241042893</t>
        </is>
      </c>
      <c r="B4189" s="1" t="inlineStr">
        <is>
          <t>ARETES MM HEART GOLD WHITE</t>
        </is>
      </c>
      <c r="C4189" s="1" t="inlineStr">
        <is>
          <t>2cm</t>
        </is>
      </c>
      <c r="D4189" s="1" t="inlineStr">
        <is>
          <t>08/06/2026</t>
        </is>
      </c>
      <c r="E4189" s="1" t="n">
        <v>2026</v>
      </c>
      <c r="F4189" s="1" t="inlineStr">
        <is>
          <t>JUNIO</t>
        </is>
      </c>
      <c r="G4189" s="1" t="inlineStr">
        <is>
          <t>ZOEY</t>
        </is>
      </c>
      <c r="H4189" s="1" t="inlineStr">
        <is>
          <t>ZOEY 08/06/2026</t>
        </is>
      </c>
      <c r="I4189" s="4" t="n">
        <v>5</v>
      </c>
      <c r="J4189" s="6" t="n">
        <v>8</v>
      </c>
      <c r="K4189" s="6" t="n">
        <v>196.0914916</v>
      </c>
      <c r="L4189" s="6">
        <f>I4189*K4189</f>
        <v/>
      </c>
      <c r="M4189" s="6">
        <f>K4189*4</f>
        <v/>
      </c>
      <c r="N4189" s="6" t="n">
        <v>850</v>
      </c>
    </row>
    <row r="4190">
      <c r="A4190" s="1" t="inlineStr">
        <is>
          <t>77590341697164</t>
        </is>
      </c>
      <c r="B4190" s="1" t="inlineStr">
        <is>
          <t>TRAJE DE BAÑO F MEN</t>
        </is>
      </c>
      <c r="C4190" s="1" t="inlineStr">
        <is>
          <t>M</t>
        </is>
      </c>
      <c r="D4190" s="1" t="inlineStr">
        <is>
          <t>01/09/2025</t>
        </is>
      </c>
      <c r="E4190" s="1" t="n">
        <v>2025</v>
      </c>
      <c r="F4190" s="1" t="inlineStr">
        <is>
          <t>SEPTIEMBRE</t>
        </is>
      </c>
      <c r="G4190" s="1" t="inlineStr">
        <is>
          <t>ZOEY</t>
        </is>
      </c>
      <c r="H4190" s="1" t="inlineStr">
        <is>
          <t>ZOEY 01/09/2025</t>
        </is>
      </c>
      <c r="I4190" s="4" t="n">
        <v>1</v>
      </c>
      <c r="J4190" s="6" t="n">
        <v>30</v>
      </c>
      <c r="K4190" s="6" t="n">
        <v>753.5353381</v>
      </c>
      <c r="L4190" s="6">
        <f>I4190*K4190</f>
        <v/>
      </c>
      <c r="M4190" s="6">
        <f>K4190*4</f>
        <v/>
      </c>
      <c r="N4190" s="6" t="n">
        <v>2650</v>
      </c>
    </row>
    <row r="4191">
      <c r="A4191" s="1" t="inlineStr">
        <is>
          <t>77590341697164</t>
        </is>
      </c>
      <c r="B4191" s="1" t="inlineStr">
        <is>
          <t>TRAJE DE BAÑO F MEN</t>
        </is>
      </c>
      <c r="C4191" s="1" t="inlineStr">
        <is>
          <t>M</t>
        </is>
      </c>
      <c r="D4191" s="1" t="inlineStr">
        <is>
          <t>15/05/2026</t>
        </is>
      </c>
      <c r="E4191" s="1" t="n">
        <v>2026</v>
      </c>
      <c r="F4191" s="1" t="inlineStr">
        <is>
          <t>MAYO</t>
        </is>
      </c>
      <c r="G4191" s="1" t="inlineStr">
        <is>
          <t>ZOEY</t>
        </is>
      </c>
      <c r="H4191" s="1" t="inlineStr">
        <is>
          <t>ZOEY 15/05/2026</t>
        </is>
      </c>
      <c r="I4191" s="4" t="n">
        <v>1</v>
      </c>
      <c r="J4191" s="6" t="n">
        <v>30</v>
      </c>
      <c r="K4191" s="6" t="n">
        <v>795.1387346</v>
      </c>
      <c r="L4191" s="6">
        <f>I4191*K4191</f>
        <v/>
      </c>
      <c r="M4191" s="6">
        <f>K4191*4</f>
        <v/>
      </c>
      <c r="N4191" s="6" t="n">
        <v>3189</v>
      </c>
    </row>
    <row r="4192">
      <c r="A4192" s="1" t="inlineStr">
        <is>
          <t>77590341729932</t>
        </is>
      </c>
      <c r="B4192" s="1" t="inlineStr">
        <is>
          <t>TRAJE DE BAÑO F MEN</t>
        </is>
      </c>
      <c r="C4192" s="1" t="inlineStr">
        <is>
          <t>L</t>
        </is>
      </c>
      <c r="D4192" s="1" t="inlineStr">
        <is>
          <t>01/09/2025</t>
        </is>
      </c>
      <c r="E4192" s="1" t="n">
        <v>2025</v>
      </c>
      <c r="F4192" s="1" t="inlineStr">
        <is>
          <t>SEPTIEMBRE</t>
        </is>
      </c>
      <c r="G4192" s="1" t="inlineStr">
        <is>
          <t>ZOEY</t>
        </is>
      </c>
      <c r="H4192" s="1" t="inlineStr">
        <is>
          <t>ZOEY 01/09/2025</t>
        </is>
      </c>
      <c r="I4192" s="4" t="n">
        <v>1</v>
      </c>
      <c r="J4192" s="6" t="n">
        <v>30</v>
      </c>
      <c r="K4192" s="6" t="n">
        <v>753.5353381</v>
      </c>
      <c r="L4192" s="6">
        <f>I4192*K4192</f>
        <v/>
      </c>
      <c r="M4192" s="6">
        <f>K4192*4</f>
        <v/>
      </c>
      <c r="N4192" s="6" t="n">
        <v>2650</v>
      </c>
    </row>
    <row r="4193">
      <c r="A4193" s="1" t="inlineStr">
        <is>
          <t>77590341729932</t>
        </is>
      </c>
      <c r="B4193" s="1" t="inlineStr">
        <is>
          <t>TRAJE DE BAÑO F MEN</t>
        </is>
      </c>
      <c r="C4193" s="1" t="inlineStr">
        <is>
          <t>L</t>
        </is>
      </c>
      <c r="D4193" s="1" t="inlineStr">
        <is>
          <t>15/05/2026</t>
        </is>
      </c>
      <c r="E4193" s="1" t="n">
        <v>2026</v>
      </c>
      <c r="F4193" s="1" t="inlineStr">
        <is>
          <t>MAYO</t>
        </is>
      </c>
      <c r="G4193" s="1" t="inlineStr">
        <is>
          <t>ZOEY</t>
        </is>
      </c>
      <c r="H4193" s="1" t="inlineStr">
        <is>
          <t>ZOEY 15/05/2026</t>
        </is>
      </c>
      <c r="I4193" s="4" t="n">
        <v>2</v>
      </c>
      <c r="J4193" s="6" t="n">
        <v>30</v>
      </c>
      <c r="K4193" s="6" t="n">
        <v>795.1387346</v>
      </c>
      <c r="L4193" s="6">
        <f>I4193*K4193</f>
        <v/>
      </c>
      <c r="M4193" s="6">
        <f>K4193*4</f>
        <v/>
      </c>
      <c r="N4193" s="6" t="n">
        <v>3189</v>
      </c>
    </row>
    <row r="4194">
      <c r="A4194" s="1" t="inlineStr">
        <is>
          <t>77590343216012</t>
        </is>
      </c>
      <c r="B4194" s="1" t="inlineStr">
        <is>
          <t>TRAJE DE BAÑO COMPLETO PR</t>
        </is>
      </c>
      <c r="C4194" s="1" t="inlineStr">
        <is>
          <t>S</t>
        </is>
      </c>
      <c r="D4194" s="1" t="inlineStr">
        <is>
          <t>20/01/2026</t>
        </is>
      </c>
      <c r="E4194" s="1" t="n">
        <v>2026</v>
      </c>
      <c r="F4194" s="1" t="inlineStr">
        <is>
          <t>ENERO</t>
        </is>
      </c>
      <c r="G4194" s="1" t="inlineStr">
        <is>
          <t>ZOEY</t>
        </is>
      </c>
      <c r="H4194" s="1" t="inlineStr">
        <is>
          <t>ZOEY 20/01/2026</t>
        </is>
      </c>
      <c r="I4194" s="4" t="n">
        <v>2</v>
      </c>
      <c r="J4194" s="6" t="n">
        <v>25</v>
      </c>
      <c r="K4194" s="6" t="n">
        <v>650.7899842</v>
      </c>
      <c r="L4194" s="6">
        <f>I4194*K4194</f>
        <v/>
      </c>
      <c r="M4194" s="6">
        <f>K4194*4</f>
        <v/>
      </c>
      <c r="N4194" s="6" t="n">
        <v>2500</v>
      </c>
    </row>
    <row r="4195">
      <c r="A4195" s="1" t="inlineStr">
        <is>
          <t>77590343216012</t>
        </is>
      </c>
      <c r="B4195" s="1" t="inlineStr">
        <is>
          <t>TRAJE DE BAÑO COMPLETO PR</t>
        </is>
      </c>
      <c r="C4195" s="1" t="inlineStr">
        <is>
          <t>S</t>
        </is>
      </c>
      <c r="D4195" s="1" t="inlineStr">
        <is>
          <t>20/04/2026</t>
        </is>
      </c>
      <c r="E4195" s="1" t="n">
        <v>2026</v>
      </c>
      <c r="F4195" s="1" t="inlineStr">
        <is>
          <t>ABRIL</t>
        </is>
      </c>
      <c r="G4195" s="1" t="inlineStr">
        <is>
          <t>ZOEY</t>
        </is>
      </c>
      <c r="H4195" s="1" t="inlineStr">
        <is>
          <t>ZOEY 20/04/2026</t>
        </is>
      </c>
      <c r="I4195" s="4" t="n">
        <v>2</v>
      </c>
      <c r="J4195" s="6" t="n">
        <v>25</v>
      </c>
      <c r="K4195" s="6" t="n">
        <v>640.2194584</v>
      </c>
      <c r="L4195" s="6">
        <f>I4195*K4195</f>
        <v/>
      </c>
      <c r="M4195" s="6">
        <f>K4195*4</f>
        <v/>
      </c>
      <c r="N4195" s="6" t="n">
        <v>2500</v>
      </c>
    </row>
    <row r="4196">
      <c r="A4196" s="1" t="inlineStr">
        <is>
          <t>77590343248780</t>
        </is>
      </c>
      <c r="B4196" s="1" t="inlineStr">
        <is>
          <t>TRAJE DE BAÑO COMPLETO PR</t>
        </is>
      </c>
      <c r="C4196" s="1" t="inlineStr">
        <is>
          <t>M</t>
        </is>
      </c>
      <c r="D4196" s="1" t="inlineStr">
        <is>
          <t>20/01/2026</t>
        </is>
      </c>
      <c r="E4196" s="1" t="n">
        <v>2026</v>
      </c>
      <c r="F4196" s="1" t="inlineStr">
        <is>
          <t>ENERO</t>
        </is>
      </c>
      <c r="G4196" s="1" t="inlineStr">
        <is>
          <t>ZOEY</t>
        </is>
      </c>
      <c r="H4196" s="1" t="inlineStr">
        <is>
          <t>ZOEY 20/01/2026</t>
        </is>
      </c>
      <c r="I4196" s="4" t="n">
        <v>4</v>
      </c>
      <c r="J4196" s="6" t="n">
        <v>25</v>
      </c>
      <c r="K4196" s="6" t="n">
        <v>650.7899842</v>
      </c>
      <c r="L4196" s="6">
        <f>I4196*K4196</f>
        <v/>
      </c>
      <c r="M4196" s="6">
        <f>K4196*4</f>
        <v/>
      </c>
      <c r="N4196" s="6" t="n">
        <v>2500</v>
      </c>
    </row>
    <row r="4197">
      <c r="A4197" s="1" t="inlineStr">
        <is>
          <t>77590343248780</t>
        </is>
      </c>
      <c r="B4197" s="1" t="inlineStr">
        <is>
          <t>TRAJE DE BAÑO COMPLETO PR</t>
        </is>
      </c>
      <c r="C4197" s="1" t="inlineStr">
        <is>
          <t>M</t>
        </is>
      </c>
      <c r="D4197" s="1" t="inlineStr">
        <is>
          <t>02/03/2026</t>
        </is>
      </c>
      <c r="E4197" s="1" t="n">
        <v>2026</v>
      </c>
      <c r="F4197" s="1" t="inlineStr">
        <is>
          <t>MARZO</t>
        </is>
      </c>
      <c r="G4197" s="1" t="inlineStr">
        <is>
          <t>ZOEY</t>
        </is>
      </c>
      <c r="H4197" s="1" t="inlineStr">
        <is>
          <t>ZOEY 02/03/2026</t>
        </is>
      </c>
      <c r="I4197" s="4" t="n">
        <v>3</v>
      </c>
      <c r="J4197" s="6" t="n">
        <v>25</v>
      </c>
      <c r="K4197" s="6" t="n">
        <v>656.9243931</v>
      </c>
      <c r="L4197" s="6">
        <f>I4197*K4197</f>
        <v/>
      </c>
      <c r="M4197" s="6">
        <f>K4197*4</f>
        <v/>
      </c>
      <c r="N4197" s="6" t="n">
        <v>2500</v>
      </c>
    </row>
    <row r="4198">
      <c r="A4198" s="1" t="inlineStr">
        <is>
          <t>77590343248780</t>
        </is>
      </c>
      <c r="B4198" s="1" t="inlineStr">
        <is>
          <t>TRAJE DE BAÑO COMPLETO PR</t>
        </is>
      </c>
      <c r="C4198" s="1" t="inlineStr">
        <is>
          <t>M</t>
        </is>
      </c>
      <c r="D4198" s="1" t="inlineStr">
        <is>
          <t>20/04/2026</t>
        </is>
      </c>
      <c r="E4198" s="1" t="n">
        <v>2026</v>
      </c>
      <c r="F4198" s="1" t="inlineStr">
        <is>
          <t>ABRIL</t>
        </is>
      </c>
      <c r="G4198" s="1" t="inlineStr">
        <is>
          <t>ZOEY</t>
        </is>
      </c>
      <c r="H4198" s="1" t="inlineStr">
        <is>
          <t>ZOEY 20/04/2026</t>
        </is>
      </c>
      <c r="I4198" s="4" t="n">
        <v>3</v>
      </c>
      <c r="J4198" s="6" t="n">
        <v>25</v>
      </c>
      <c r="K4198" s="6" t="n">
        <v>640.2194584</v>
      </c>
      <c r="L4198" s="6">
        <f>I4198*K4198</f>
        <v/>
      </c>
      <c r="M4198" s="6">
        <f>K4198*4</f>
        <v/>
      </c>
      <c r="N4198" s="6" t="n">
        <v>2500</v>
      </c>
    </row>
    <row r="4199">
      <c r="A4199" s="1" t="inlineStr">
        <is>
          <t>77590343909900</t>
        </is>
      </c>
      <c r="B4199" s="1" t="inlineStr">
        <is>
          <t>TRAJE DE BAÑO F</t>
        </is>
      </c>
      <c r="C4199" s="1" t="inlineStr">
        <is>
          <t>S</t>
        </is>
      </c>
      <c r="D4199" s="1" t="inlineStr">
        <is>
          <t>15/05/2026</t>
        </is>
      </c>
      <c r="E4199" s="1" t="n">
        <v>2026</v>
      </c>
      <c r="F4199" s="1" t="inlineStr">
        <is>
          <t>MAYO</t>
        </is>
      </c>
      <c r="G4199" s="1" t="inlineStr">
        <is>
          <t>ZOEY</t>
        </is>
      </c>
      <c r="H4199" s="1" t="inlineStr">
        <is>
          <t>ZOEY 15/05/2026</t>
        </is>
      </c>
      <c r="I4199" s="4" t="n">
        <v>2</v>
      </c>
      <c r="J4199" s="6" t="n">
        <v>25</v>
      </c>
      <c r="K4199" s="6" t="n">
        <v>662.6156122</v>
      </c>
      <c r="L4199" s="6">
        <f>I4199*K4199</f>
        <v/>
      </c>
      <c r="M4199" s="6">
        <f>K4199*4</f>
        <v/>
      </c>
      <c r="N4199" s="6" t="n">
        <v>2659</v>
      </c>
    </row>
    <row r="4200">
      <c r="A4200" s="1" t="inlineStr">
        <is>
          <t>77590343942668</t>
        </is>
      </c>
      <c r="B4200" s="1" t="inlineStr">
        <is>
          <t>TRAJE DE BAÑO F</t>
        </is>
      </c>
      <c r="C4200" s="1" t="inlineStr">
        <is>
          <t>M</t>
        </is>
      </c>
      <c r="D4200" s="1" t="inlineStr">
        <is>
          <t>20/01/2026</t>
        </is>
      </c>
      <c r="E4200" s="1" t="n">
        <v>2026</v>
      </c>
      <c r="F4200" s="1" t="inlineStr">
        <is>
          <t>ENERO</t>
        </is>
      </c>
      <c r="G4200" s="1" t="inlineStr">
        <is>
          <t>ZOEY</t>
        </is>
      </c>
      <c r="H4200" s="1" t="inlineStr">
        <is>
          <t>ZOEY 20/01/2026</t>
        </is>
      </c>
      <c r="I4200" s="4" t="n">
        <v>2</v>
      </c>
      <c r="J4200" s="6" t="n">
        <v>25</v>
      </c>
      <c r="K4200" s="6" t="n">
        <v>650.7899842</v>
      </c>
      <c r="L4200" s="6">
        <f>I4200*K4200</f>
        <v/>
      </c>
      <c r="M4200" s="6">
        <f>K4200*4</f>
        <v/>
      </c>
      <c r="N4200" s="6" t="n">
        <v>2659</v>
      </c>
    </row>
    <row r="4201">
      <c r="A4201" s="1" t="inlineStr">
        <is>
          <t>77590343942668</t>
        </is>
      </c>
      <c r="B4201" s="1" t="inlineStr">
        <is>
          <t>TRAJE DE BAÑO F</t>
        </is>
      </c>
      <c r="C4201" s="1" t="inlineStr">
        <is>
          <t>M</t>
        </is>
      </c>
      <c r="D4201" s="1" t="inlineStr">
        <is>
          <t>08/06/2026</t>
        </is>
      </c>
      <c r="E4201" s="1" t="n">
        <v>2026</v>
      </c>
      <c r="F4201" s="1" t="inlineStr">
        <is>
          <t>JUNIO</t>
        </is>
      </c>
      <c r="G4201" s="1" t="inlineStr">
        <is>
          <t>ZOEY</t>
        </is>
      </c>
      <c r="H4201" s="1" t="inlineStr">
        <is>
          <t>ZOEY 08/06/2026</t>
        </is>
      </c>
      <c r="I4201" s="4" t="n">
        <v>4</v>
      </c>
      <c r="J4201" s="6" t="n">
        <v>25</v>
      </c>
      <c r="K4201" s="6" t="n">
        <v>612.7859114</v>
      </c>
      <c r="L4201" s="6">
        <f>I4201*K4201</f>
        <v/>
      </c>
      <c r="M4201" s="6">
        <f>K4201*4</f>
        <v/>
      </c>
      <c r="N4201" s="6" t="n">
        <v>2659</v>
      </c>
    </row>
    <row r="4202">
      <c r="A4202" s="1" t="inlineStr">
        <is>
          <t>77590344914188</t>
        </is>
      </c>
      <c r="B4202" s="1" t="inlineStr">
        <is>
          <t>TRAJE DE BAÑO COMPLETO DG</t>
        </is>
      </c>
      <c r="C4202" s="1" t="inlineStr">
        <is>
          <t>M</t>
        </is>
      </c>
      <c r="D4202" s="1" t="inlineStr">
        <is>
          <t>20/01/2026</t>
        </is>
      </c>
      <c r="E4202" s="1" t="n">
        <v>2026</v>
      </c>
      <c r="F4202" s="1" t="inlineStr">
        <is>
          <t>ENERO</t>
        </is>
      </c>
      <c r="G4202" s="1" t="inlineStr">
        <is>
          <t>ZOEY</t>
        </is>
      </c>
      <c r="H4202" s="1" t="inlineStr">
        <is>
          <t>ZOEY 20/01/2026</t>
        </is>
      </c>
      <c r="I4202" s="4" t="n">
        <v>2</v>
      </c>
      <c r="J4202" s="6" t="n">
        <v>25</v>
      </c>
      <c r="K4202" s="6" t="n">
        <v>650.7899842</v>
      </c>
      <c r="L4202" s="6">
        <f>I4202*K4202</f>
        <v/>
      </c>
      <c r="M4202" s="6">
        <f>K4202*4</f>
        <v/>
      </c>
      <c r="N4202" s="6" t="n">
        <v>2659</v>
      </c>
    </row>
    <row r="4203">
      <c r="A4203" s="1" t="inlineStr">
        <is>
          <t>77590344914188</t>
        </is>
      </c>
      <c r="B4203" s="1" t="inlineStr">
        <is>
          <t>TRAJE DE BAÑO COMPLETO DG</t>
        </is>
      </c>
      <c r="C4203" s="1" t="inlineStr">
        <is>
          <t>M</t>
        </is>
      </c>
      <c r="D4203" s="1" t="inlineStr">
        <is>
          <t>15/05/2026</t>
        </is>
      </c>
      <c r="E4203" s="1" t="n">
        <v>2026</v>
      </c>
      <c r="F4203" s="1" t="inlineStr">
        <is>
          <t>MAYO</t>
        </is>
      </c>
      <c r="G4203" s="1" t="inlineStr">
        <is>
          <t>ZOEY</t>
        </is>
      </c>
      <c r="H4203" s="1" t="inlineStr">
        <is>
          <t>ZOEY 15/05/2026</t>
        </is>
      </c>
      <c r="I4203" s="4" t="n">
        <v>1</v>
      </c>
      <c r="J4203" s="6" t="n">
        <v>25</v>
      </c>
      <c r="K4203" s="6" t="n">
        <v>662.6156122</v>
      </c>
      <c r="L4203" s="6">
        <f>I4203*K4203</f>
        <v/>
      </c>
      <c r="M4203" s="6">
        <f>K4203*4</f>
        <v/>
      </c>
      <c r="N4203" s="6" t="n">
        <v>2659</v>
      </c>
    </row>
    <row r="4204">
      <c r="A4204" s="1" t="inlineStr">
        <is>
          <t>77724991007277</t>
        </is>
      </c>
      <c r="B4204" s="1" t="inlineStr">
        <is>
          <t>PULSERA LOVE DELGADA SILVER</t>
        </is>
      </c>
      <c r="C4204" s="1" t="inlineStr">
        <is>
          <t>16cm</t>
        </is>
      </c>
      <c r="D4204" s="1" t="inlineStr">
        <is>
          <t>01/09/2025</t>
        </is>
      </c>
      <c r="E4204" s="1" t="n">
        <v>2025</v>
      </c>
      <c r="F4204" s="1" t="inlineStr">
        <is>
          <t>SEPTIEMBRE</t>
        </is>
      </c>
      <c r="G4204" s="1" t="inlineStr">
        <is>
          <t>HAIFENG</t>
        </is>
      </c>
      <c r="H4204" s="1" t="inlineStr">
        <is>
          <t>HAIFENG 01/09/2025</t>
        </is>
      </c>
      <c r="I4204" s="4" t="n">
        <v>10</v>
      </c>
      <c r="J4204" s="6" t="n">
        <v>5</v>
      </c>
      <c r="K4204" s="6" t="n">
        <v>106.2783553</v>
      </c>
      <c r="L4204" s="6">
        <f>I4204*K4204</f>
        <v/>
      </c>
      <c r="M4204" s="6">
        <f>K4204*4</f>
        <v/>
      </c>
      <c r="N4204" s="6" t="n">
        <v>499</v>
      </c>
    </row>
    <row r="4205">
      <c r="A4205" s="1" t="inlineStr">
        <is>
          <t>77724991007277</t>
        </is>
      </c>
      <c r="B4205" s="1" t="inlineStr">
        <is>
          <t>PULSERA LOVE DELGADA SILVER</t>
        </is>
      </c>
      <c r="C4205" s="1" t="inlineStr">
        <is>
          <t>16cm</t>
        </is>
      </c>
      <c r="D4205" s="1" t="inlineStr">
        <is>
          <t>11/11/2025</t>
        </is>
      </c>
      <c r="E4205" s="1" t="n">
        <v>2025</v>
      </c>
      <c r="F4205" s="1" t="inlineStr">
        <is>
          <t>NOVIEMBRE</t>
        </is>
      </c>
      <c r="G4205" s="1" t="inlineStr">
        <is>
          <t>HAIFENG</t>
        </is>
      </c>
      <c r="H4205" s="1" t="inlineStr">
        <is>
          <t>HAIFENG 11/11/2025</t>
        </is>
      </c>
      <c r="I4205" s="4" t="n">
        <v>20</v>
      </c>
      <c r="J4205" s="6" t="n">
        <v>5</v>
      </c>
      <c r="K4205" s="6" t="n">
        <v>105.3024922</v>
      </c>
      <c r="L4205" s="6">
        <f>I4205*K4205</f>
        <v/>
      </c>
      <c r="M4205" s="6">
        <f>K4205*4</f>
        <v/>
      </c>
      <c r="N4205" s="6" t="n">
        <v>499</v>
      </c>
    </row>
    <row r="4206">
      <c r="A4206" s="1" t="inlineStr">
        <is>
          <t>77724991007277</t>
        </is>
      </c>
      <c r="B4206" s="1" t="inlineStr">
        <is>
          <t>PULSERA LOVE DELGADA SILVER</t>
        </is>
      </c>
      <c r="C4206" s="1" t="inlineStr">
        <is>
          <t>16cm</t>
        </is>
      </c>
      <c r="D4206" s="1" t="inlineStr">
        <is>
          <t>03/12/2025</t>
        </is>
      </c>
      <c r="E4206" s="1" t="n">
        <v>2025</v>
      </c>
      <c r="F4206" s="1" t="inlineStr">
        <is>
          <t>DICIEMBRE</t>
        </is>
      </c>
      <c r="G4206" s="1" t="inlineStr">
        <is>
          <t>HAIFENG</t>
        </is>
      </c>
      <c r="H4206" s="1" t="inlineStr">
        <is>
          <t>HAIFENG 03/12/2025</t>
        </is>
      </c>
      <c r="I4206" s="4" t="n">
        <v>10</v>
      </c>
      <c r="J4206" s="6" t="n">
        <v>4.5</v>
      </c>
      <c r="K4206" s="6" t="n">
        <v>94.12722005000001</v>
      </c>
      <c r="L4206" s="6">
        <f>I4206*K4206</f>
        <v/>
      </c>
      <c r="M4206" s="6">
        <f>K4206*4</f>
        <v/>
      </c>
      <c r="N4206" s="6" t="n">
        <v>499</v>
      </c>
    </row>
    <row r="4207">
      <c r="A4207" s="1" t="inlineStr">
        <is>
          <t>77724991007277</t>
        </is>
      </c>
      <c r="B4207" s="1" t="inlineStr">
        <is>
          <t>PULSERA LOVE DELGADA SILVER</t>
        </is>
      </c>
      <c r="C4207" s="1" t="inlineStr">
        <is>
          <t>16cm</t>
        </is>
      </c>
      <c r="D4207" s="1" t="inlineStr">
        <is>
          <t>10/02/2026</t>
        </is>
      </c>
      <c r="E4207" s="1" t="n">
        <v>2026</v>
      </c>
      <c r="F4207" s="1" t="inlineStr">
        <is>
          <t>FEBRERO</t>
        </is>
      </c>
      <c r="G4207" s="1" t="inlineStr">
        <is>
          <t>HAIFENG</t>
        </is>
      </c>
      <c r="H4207" s="1" t="inlineStr">
        <is>
          <t>HAIFENG 10/02/2026</t>
        </is>
      </c>
      <c r="I4207" s="4" t="n">
        <v>4</v>
      </c>
      <c r="J4207" s="6" t="n">
        <v>5</v>
      </c>
      <c r="K4207" s="6" t="n">
        <v>105.3424803</v>
      </c>
      <c r="L4207" s="6">
        <f>I4207*K4207</f>
        <v/>
      </c>
      <c r="M4207" s="6">
        <f>K4207*4</f>
        <v/>
      </c>
      <c r="N4207" s="6" t="n">
        <v>499</v>
      </c>
    </row>
    <row r="4208">
      <c r="A4208" s="1" t="inlineStr">
        <is>
          <t>77724991007277</t>
        </is>
      </c>
      <c r="B4208" s="1" t="inlineStr">
        <is>
          <t>PULSERA LOVE DELGADA SILVER</t>
        </is>
      </c>
      <c r="C4208" s="1" t="inlineStr">
        <is>
          <t>16cm</t>
        </is>
      </c>
      <c r="D4208" s="1" t="inlineStr">
        <is>
          <t>11/03/2026</t>
        </is>
      </c>
      <c r="E4208" s="1" t="n">
        <v>2026</v>
      </c>
      <c r="F4208" s="1" t="inlineStr">
        <is>
          <t>MARZO</t>
        </is>
      </c>
      <c r="G4208" s="1" t="inlineStr">
        <is>
          <t>HAIFENG</t>
        </is>
      </c>
      <c r="H4208" s="1" t="inlineStr">
        <is>
          <t>HAIFENG 11/03/2026</t>
        </is>
      </c>
      <c r="I4208" s="4" t="n">
        <v>5</v>
      </c>
      <c r="J4208" s="6" t="n">
        <v>5</v>
      </c>
      <c r="K4208" s="6" t="n">
        <v>106.5194811</v>
      </c>
      <c r="L4208" s="6">
        <f>I4208*K4208</f>
        <v/>
      </c>
      <c r="M4208" s="6">
        <f>K4208*4</f>
        <v/>
      </c>
      <c r="N4208" s="6" t="n">
        <v>499</v>
      </c>
    </row>
    <row r="4209">
      <c r="A4209" s="1" t="inlineStr">
        <is>
          <t>77724991007277</t>
        </is>
      </c>
      <c r="B4209" s="1" t="inlineStr">
        <is>
          <t>PULSERA LOVE DELGADA SILVER (THIN)</t>
        </is>
      </c>
      <c r="C4209" s="1" t="inlineStr">
        <is>
          <t>16cm</t>
        </is>
      </c>
      <c r="D4209" s="1" t="inlineStr">
        <is>
          <t>16/04/2026</t>
        </is>
      </c>
      <c r="E4209" s="1" t="n">
        <v>2026</v>
      </c>
      <c r="F4209" s="1" t="inlineStr">
        <is>
          <t>ABRIL</t>
        </is>
      </c>
      <c r="G4209" s="1" t="inlineStr">
        <is>
          <t>HAIFENG</t>
        </is>
      </c>
      <c r="H4209" s="1" t="inlineStr">
        <is>
          <t>HAIFENG 16/04/2026</t>
        </is>
      </c>
      <c r="I4209" s="4" t="n">
        <v>4</v>
      </c>
      <c r="J4209" s="6" t="n">
        <v>4.5</v>
      </c>
      <c r="K4209" s="6" t="n">
        <v>94.64163114999999</v>
      </c>
      <c r="L4209" s="6">
        <f>I4209*K4209</f>
        <v/>
      </c>
      <c r="M4209" s="6">
        <f>K4209*4</f>
        <v/>
      </c>
      <c r="N4209" s="6" t="n">
        <v>499</v>
      </c>
    </row>
    <row r="4210">
      <c r="A4210" s="1" t="inlineStr">
        <is>
          <t>77724991007277</t>
        </is>
      </c>
      <c r="B4210" s="1" t="inlineStr">
        <is>
          <t>PULSERA LOVE DELGADA SILVER</t>
        </is>
      </c>
      <c r="C4210" s="1" t="inlineStr">
        <is>
          <t>16cm</t>
        </is>
      </c>
      <c r="D4210" s="1" t="inlineStr">
        <is>
          <t>26/05/2026</t>
        </is>
      </c>
      <c r="E4210" s="1" t="n">
        <v>2026</v>
      </c>
      <c r="F4210" s="1" t="inlineStr">
        <is>
          <t>MAYO</t>
        </is>
      </c>
      <c r="G4210" s="1" t="inlineStr">
        <is>
          <t>HAIFENG</t>
        </is>
      </c>
      <c r="H4210" s="1" t="inlineStr">
        <is>
          <t>HAIFENG 26/05/2026</t>
        </is>
      </c>
      <c r="I4210" s="4" t="n">
        <v>10</v>
      </c>
      <c r="J4210" s="6" t="n">
        <v>5</v>
      </c>
      <c r="K4210" s="6" t="n">
        <v>104.9464765</v>
      </c>
      <c r="L4210" s="6">
        <f>I4210*K4210</f>
        <v/>
      </c>
      <c r="M4210" s="6">
        <f>K4210*4</f>
        <v/>
      </c>
      <c r="N4210" s="6" t="n">
        <v>499</v>
      </c>
    </row>
    <row r="4211">
      <c r="A4211" s="1" t="inlineStr">
        <is>
          <t>77724991140045</t>
        </is>
      </c>
      <c r="B4211" s="1" t="inlineStr">
        <is>
          <t>PULSERA LOVE DELGADA SILVER</t>
        </is>
      </c>
      <c r="C4211" s="1" t="inlineStr">
        <is>
          <t>17cm</t>
        </is>
      </c>
      <c r="D4211" s="1" t="inlineStr">
        <is>
          <t>03/12/2025</t>
        </is>
      </c>
      <c r="E4211" s="1" t="n">
        <v>2025</v>
      </c>
      <c r="F4211" s="1" t="inlineStr">
        <is>
          <t>DICIEMBRE</t>
        </is>
      </c>
      <c r="G4211" s="1" t="inlineStr">
        <is>
          <t>HAIFENG</t>
        </is>
      </c>
      <c r="H4211" s="1" t="inlineStr">
        <is>
          <t>HAIFENG 03/12/2025</t>
        </is>
      </c>
      <c r="I4211" s="4" t="n">
        <v>2</v>
      </c>
      <c r="J4211" s="6" t="n">
        <v>4.5</v>
      </c>
      <c r="K4211" s="6" t="n">
        <v>94.12722005000001</v>
      </c>
      <c r="L4211" s="6">
        <f>I4211*K4211</f>
        <v/>
      </c>
      <c r="M4211" s="6">
        <f>K4211*4</f>
        <v/>
      </c>
      <c r="N4211" s="6" t="n">
        <v>499</v>
      </c>
    </row>
    <row r="4212">
      <c r="A4212" s="1" t="inlineStr">
        <is>
          <t>77724991140045</t>
        </is>
      </c>
      <c r="B4212" s="1" t="inlineStr">
        <is>
          <t>PULSERA LOVE DELGADA SILVER</t>
        </is>
      </c>
      <c r="C4212" s="1" t="inlineStr">
        <is>
          <t>17cm</t>
        </is>
      </c>
      <c r="D4212" s="1" t="inlineStr">
        <is>
          <t>20/01/2026</t>
        </is>
      </c>
      <c r="E4212" s="1" t="n">
        <v>2026</v>
      </c>
      <c r="F4212" s="1" t="inlineStr">
        <is>
          <t>ENERO</t>
        </is>
      </c>
      <c r="G4212" s="1" t="inlineStr">
        <is>
          <t>HAIFENG</t>
        </is>
      </c>
      <c r="H4212" s="1" t="inlineStr">
        <is>
          <t>HAIFENG 20/01/2026</t>
        </is>
      </c>
      <c r="I4212" s="4" t="n">
        <v>4</v>
      </c>
      <c r="J4212" s="6" t="n">
        <v>5</v>
      </c>
      <c r="K4212" s="6" t="n">
        <v>106.002089</v>
      </c>
      <c r="L4212" s="6">
        <f>I4212*K4212</f>
        <v/>
      </c>
      <c r="M4212" s="6">
        <f>K4212*4</f>
        <v/>
      </c>
      <c r="N4212" s="6" t="n">
        <v>499</v>
      </c>
    </row>
    <row r="4213">
      <c r="A4213" s="1" t="inlineStr">
        <is>
          <t>77724991140045</t>
        </is>
      </c>
      <c r="B4213" s="1" t="inlineStr">
        <is>
          <t>PULSERA LOVE DELGADA SILVER</t>
        </is>
      </c>
      <c r="C4213" s="1" t="inlineStr">
        <is>
          <t>17cm</t>
        </is>
      </c>
      <c r="D4213" s="1" t="inlineStr">
        <is>
          <t>10/02/2026</t>
        </is>
      </c>
      <c r="E4213" s="1" t="n">
        <v>2026</v>
      </c>
      <c r="F4213" s="1" t="inlineStr">
        <is>
          <t>FEBRERO</t>
        </is>
      </c>
      <c r="G4213" s="1" t="inlineStr">
        <is>
          <t>HAIFENG</t>
        </is>
      </c>
      <c r="H4213" s="1" t="inlineStr">
        <is>
          <t>HAIFENG 10/02/2026</t>
        </is>
      </c>
      <c r="I4213" s="4" t="n">
        <v>3</v>
      </c>
      <c r="J4213" s="6" t="n">
        <v>5</v>
      </c>
      <c r="K4213" s="6" t="n">
        <v>105.3424803</v>
      </c>
      <c r="L4213" s="6">
        <f>I4213*K4213</f>
        <v/>
      </c>
      <c r="M4213" s="6">
        <f>K4213*4</f>
        <v/>
      </c>
      <c r="N4213" s="6" t="n">
        <v>499</v>
      </c>
    </row>
    <row r="4214">
      <c r="A4214" s="1" t="inlineStr">
        <is>
          <t>77724991140045</t>
        </is>
      </c>
      <c r="B4214" s="1" t="inlineStr">
        <is>
          <t>PULSERA LOVE DELGADA SILVER (THIN)</t>
        </is>
      </c>
      <c r="C4214" s="1" t="inlineStr">
        <is>
          <t>17cm</t>
        </is>
      </c>
      <c r="D4214" s="1" t="inlineStr">
        <is>
          <t>16/04/2026</t>
        </is>
      </c>
      <c r="E4214" s="1" t="n">
        <v>2026</v>
      </c>
      <c r="F4214" s="1" t="inlineStr">
        <is>
          <t>ABRIL</t>
        </is>
      </c>
      <c r="G4214" s="1" t="inlineStr">
        <is>
          <t>HAIFENG</t>
        </is>
      </c>
      <c r="H4214" s="1" t="inlineStr">
        <is>
          <t>HAIFENG 16/04/2026</t>
        </is>
      </c>
      <c r="I4214" s="4" t="n">
        <v>7</v>
      </c>
      <c r="J4214" s="6" t="n">
        <v>4.5</v>
      </c>
      <c r="K4214" s="6" t="n">
        <v>94.64163114999999</v>
      </c>
      <c r="L4214" s="6">
        <f>I4214*K4214</f>
        <v/>
      </c>
      <c r="M4214" s="6">
        <f>K4214*4</f>
        <v/>
      </c>
      <c r="N4214" s="6" t="n">
        <v>499</v>
      </c>
    </row>
    <row r="4215">
      <c r="A4215" s="1" t="inlineStr">
        <is>
          <t>77724991140045</t>
        </is>
      </c>
      <c r="B4215" s="1" t="inlineStr">
        <is>
          <t>PULSERA LOVE DELGADA SILVER</t>
        </is>
      </c>
      <c r="C4215" s="1" t="inlineStr">
        <is>
          <t>17cm</t>
        </is>
      </c>
      <c r="D4215" s="1" t="inlineStr">
        <is>
          <t>16/06/2026</t>
        </is>
      </c>
      <c r="E4215" s="1" t="n">
        <v>2026</v>
      </c>
      <c r="F4215" s="1" t="inlineStr">
        <is>
          <t>JUNIO</t>
        </is>
      </c>
      <c r="G4215" s="1" t="inlineStr">
        <is>
          <t>HAIFENG</t>
        </is>
      </c>
      <c r="H4215" s="1" t="inlineStr">
        <is>
          <t>HAIFENG 16/06/2026</t>
        </is>
      </c>
      <c r="I4215" s="4" t="n">
        <v>5</v>
      </c>
      <c r="J4215" s="6" t="n">
        <v>5</v>
      </c>
      <c r="K4215" s="6" t="n">
        <v>105.0730323</v>
      </c>
      <c r="L4215" s="6">
        <f>I4215*K4215</f>
        <v/>
      </c>
      <c r="M4215" s="6">
        <f>K4215*4</f>
        <v/>
      </c>
      <c r="N4215" s="6" t="n">
        <v>499</v>
      </c>
    </row>
    <row r="4216">
      <c r="A4216" s="1" t="inlineStr">
        <is>
          <t>77724991272813</t>
        </is>
      </c>
      <c r="B4216" s="1" t="inlineStr">
        <is>
          <t>PULSERA LOVE DELGADA SILVER</t>
        </is>
      </c>
      <c r="C4216" s="1" t="inlineStr">
        <is>
          <t>18cm</t>
        </is>
      </c>
      <c r="D4216" s="1" t="inlineStr">
        <is>
          <t>06/05/2026</t>
        </is>
      </c>
      <c r="E4216" s="1" t="n">
        <v>2026</v>
      </c>
      <c r="F4216" s="1" t="inlineStr">
        <is>
          <t>MAYO</t>
        </is>
      </c>
      <c r="G4216" s="1" t="inlineStr">
        <is>
          <t>HAIFENG</t>
        </is>
      </c>
      <c r="H4216" s="1" t="inlineStr">
        <is>
          <t>HAIFENG 06/05/2026</t>
        </is>
      </c>
      <c r="I4216" s="4" t="n">
        <v>1</v>
      </c>
      <c r="J4216" s="6" t="n">
        <v>5</v>
      </c>
      <c r="K4216" s="6" t="n">
        <v>106.0932113</v>
      </c>
      <c r="L4216" s="6">
        <f>I4216*K4216</f>
        <v/>
      </c>
      <c r="M4216" s="6">
        <f>K4216*4</f>
        <v/>
      </c>
      <c r="N4216" s="6" t="n">
        <v>499</v>
      </c>
    </row>
    <row r="4217">
      <c r="A4217" s="1" t="inlineStr">
        <is>
          <t>77724991272813</t>
        </is>
      </c>
      <c r="B4217" s="1" t="inlineStr">
        <is>
          <t>PULSERA LOVE DELGADA SILVER</t>
        </is>
      </c>
      <c r="C4217" s="1" t="inlineStr">
        <is>
          <t>18cm</t>
        </is>
      </c>
      <c r="D4217" s="1" t="inlineStr">
        <is>
          <t>26/05/2026</t>
        </is>
      </c>
      <c r="E4217" s="1" t="n">
        <v>2026</v>
      </c>
      <c r="F4217" s="1" t="inlineStr">
        <is>
          <t>MAYO</t>
        </is>
      </c>
      <c r="G4217" s="1" t="inlineStr">
        <is>
          <t>HAIFENG</t>
        </is>
      </c>
      <c r="H4217" s="1" t="inlineStr">
        <is>
          <t>HAIFENG 26/05/2026</t>
        </is>
      </c>
      <c r="I4217" s="4" t="n">
        <v>3</v>
      </c>
      <c r="J4217" s="6" t="n">
        <v>5</v>
      </c>
      <c r="K4217" s="6" t="n">
        <v>104.9464765</v>
      </c>
      <c r="L4217" s="6">
        <f>I4217*K4217</f>
        <v/>
      </c>
      <c r="M4217" s="6">
        <f>K4217*4</f>
        <v/>
      </c>
      <c r="N4217" s="6" t="n">
        <v>499</v>
      </c>
    </row>
    <row r="4218">
      <c r="A4218" s="1" t="inlineStr">
        <is>
          <t>77724991305581</t>
        </is>
      </c>
      <c r="B4218" s="1" t="inlineStr">
        <is>
          <t>PULSERA LOVE DELGADA SILVER</t>
        </is>
      </c>
      <c r="C4218" s="1" t="inlineStr">
        <is>
          <t>19cm</t>
        </is>
      </c>
      <c r="D4218" s="1" t="inlineStr">
        <is>
          <t>11/11/2025</t>
        </is>
      </c>
      <c r="E4218" s="1" t="n">
        <v>2025</v>
      </c>
      <c r="F4218" s="1" t="inlineStr">
        <is>
          <t>NOVIEMBRE</t>
        </is>
      </c>
      <c r="G4218" s="1" t="inlineStr">
        <is>
          <t>HAIFENG</t>
        </is>
      </c>
      <c r="H4218" s="1" t="inlineStr">
        <is>
          <t>HAIFENG 11/11/2025</t>
        </is>
      </c>
      <c r="I4218" s="4" t="n">
        <v>6</v>
      </c>
      <c r="J4218" s="6" t="n">
        <v>5</v>
      </c>
      <c r="K4218" s="6" t="n">
        <v>105.3024922</v>
      </c>
      <c r="L4218" s="6">
        <f>I4218*K4218</f>
        <v/>
      </c>
      <c r="M4218" s="6">
        <f>K4218*4</f>
        <v/>
      </c>
      <c r="N4218" s="6" t="n">
        <v>499</v>
      </c>
    </row>
    <row r="4219">
      <c r="A4219" s="1" t="inlineStr">
        <is>
          <t>77724991305581</t>
        </is>
      </c>
      <c r="B4219" s="1" t="inlineStr">
        <is>
          <t>PULSERA LOVE DELGADA SILVER</t>
        </is>
      </c>
      <c r="C4219" s="1" t="inlineStr">
        <is>
          <t>19cm</t>
        </is>
      </c>
      <c r="D4219" s="1" t="inlineStr">
        <is>
          <t>11/11/2025</t>
        </is>
      </c>
      <c r="E4219" s="1" t="n">
        <v>2025</v>
      </c>
      <c r="F4219" s="1" t="inlineStr">
        <is>
          <t>NOVIEMBRE</t>
        </is>
      </c>
      <c r="G4219" s="1" t="inlineStr">
        <is>
          <t>HAIFENG</t>
        </is>
      </c>
      <c r="H4219" s="1" t="inlineStr">
        <is>
          <t>HAIFENG 11/11/2025</t>
        </is>
      </c>
      <c r="I4219" s="4" t="n">
        <v>3</v>
      </c>
      <c r="J4219" s="6" t="n">
        <v>5</v>
      </c>
      <c r="K4219" s="6" t="n">
        <v>105.3024922</v>
      </c>
      <c r="L4219" s="6">
        <f>I4219*K4219</f>
        <v/>
      </c>
      <c r="M4219" s="6">
        <f>K4219*4</f>
        <v/>
      </c>
      <c r="N4219" s="6" t="n">
        <v>499</v>
      </c>
    </row>
    <row r="4220">
      <c r="A4220" s="1" t="inlineStr">
        <is>
          <t>77724991305581</t>
        </is>
      </c>
      <c r="B4220" s="1" t="inlineStr">
        <is>
          <t>PULSERA LOVE DELGADA SILVER</t>
        </is>
      </c>
      <c r="C4220" s="1" t="inlineStr">
        <is>
          <t>19cm</t>
        </is>
      </c>
      <c r="D4220" s="1" t="inlineStr">
        <is>
          <t>03/12/2025</t>
        </is>
      </c>
      <c r="E4220" s="1" t="n">
        <v>2025</v>
      </c>
      <c r="F4220" s="1" t="inlineStr">
        <is>
          <t>DICIEMBRE</t>
        </is>
      </c>
      <c r="G4220" s="1" t="inlineStr">
        <is>
          <t>HAIFENG</t>
        </is>
      </c>
      <c r="H4220" s="1" t="inlineStr">
        <is>
          <t>HAIFENG 03/12/2025</t>
        </is>
      </c>
      <c r="I4220" s="4" t="n">
        <v>2</v>
      </c>
      <c r="J4220" s="6" t="n">
        <v>4.5</v>
      </c>
      <c r="K4220" s="6" t="n">
        <v>94.12722005000001</v>
      </c>
      <c r="L4220" s="6">
        <f>I4220*K4220</f>
        <v/>
      </c>
      <c r="M4220" s="6">
        <f>K4220*4</f>
        <v/>
      </c>
      <c r="N4220" s="6" t="n">
        <v>499</v>
      </c>
    </row>
    <row r="4221">
      <c r="A4221" s="1" t="inlineStr">
        <is>
          <t>77724991305581</t>
        </is>
      </c>
      <c r="B4221" s="1" t="inlineStr">
        <is>
          <t>PULSERA LOVE DELGADA SILVER</t>
        </is>
      </c>
      <c r="C4221" s="1" t="inlineStr">
        <is>
          <t>19cm</t>
        </is>
      </c>
      <c r="D4221" s="1" t="inlineStr">
        <is>
          <t>11/03/2026</t>
        </is>
      </c>
      <c r="E4221" s="1" t="n">
        <v>2026</v>
      </c>
      <c r="F4221" s="1" t="inlineStr">
        <is>
          <t>MARZO</t>
        </is>
      </c>
      <c r="G4221" s="1" t="inlineStr">
        <is>
          <t>HAIFENG</t>
        </is>
      </c>
      <c r="H4221" s="1" t="inlineStr">
        <is>
          <t>HAIFENG 11/03/2026</t>
        </is>
      </c>
      <c r="I4221" s="4" t="n">
        <v>5</v>
      </c>
      <c r="J4221" s="6" t="n">
        <v>5</v>
      </c>
      <c r="K4221" s="6" t="n">
        <v>106.5194811</v>
      </c>
      <c r="L4221" s="6">
        <f>I4221*K4221</f>
        <v/>
      </c>
      <c r="M4221" s="6">
        <f>K4221*4</f>
        <v/>
      </c>
      <c r="N4221" s="6" t="n">
        <v>499</v>
      </c>
    </row>
    <row r="4222">
      <c r="A4222" s="1" t="inlineStr">
        <is>
          <t>77724991305581</t>
        </is>
      </c>
      <c r="B4222" s="1" t="inlineStr">
        <is>
          <t>PULSERA LOVE DELGADA SILVER</t>
        </is>
      </c>
      <c r="C4222" s="1" t="inlineStr">
        <is>
          <t>19cm</t>
        </is>
      </c>
      <c r="D4222" s="1" t="inlineStr">
        <is>
          <t>06/05/2026</t>
        </is>
      </c>
      <c r="E4222" s="1" t="n">
        <v>2026</v>
      </c>
      <c r="F4222" s="1" t="inlineStr">
        <is>
          <t>MAYO</t>
        </is>
      </c>
      <c r="G4222" s="1" t="inlineStr">
        <is>
          <t>HAIFENG</t>
        </is>
      </c>
      <c r="H4222" s="1" t="inlineStr">
        <is>
          <t>HAIFENG 06/05/2026</t>
        </is>
      </c>
      <c r="I4222" s="4" t="n">
        <v>4</v>
      </c>
      <c r="J4222" s="6" t="n">
        <v>5</v>
      </c>
      <c r="K4222" s="6" t="n">
        <v>106.0932113</v>
      </c>
      <c r="L4222" s="6">
        <f>I4222*K4222</f>
        <v/>
      </c>
      <c r="M4222" s="6">
        <f>K4222*4</f>
        <v/>
      </c>
      <c r="N4222" s="6" t="n">
        <v>499</v>
      </c>
    </row>
    <row r="4223">
      <c r="A4223" s="1" t="inlineStr">
        <is>
          <t>77724991305581</t>
        </is>
      </c>
      <c r="B4223" s="1" t="inlineStr">
        <is>
          <t>PULSERA LOVE DELGADA SILVER</t>
        </is>
      </c>
      <c r="C4223" s="1" t="inlineStr">
        <is>
          <t>19cm</t>
        </is>
      </c>
      <c r="D4223" s="1" t="inlineStr">
        <is>
          <t>16/06/2026</t>
        </is>
      </c>
      <c r="E4223" s="1" t="n">
        <v>2026</v>
      </c>
      <c r="F4223" s="1" t="inlineStr">
        <is>
          <t>JUNIO</t>
        </is>
      </c>
      <c r="G4223" s="1" t="inlineStr">
        <is>
          <t>HAIFENG</t>
        </is>
      </c>
      <c r="H4223" s="1" t="inlineStr">
        <is>
          <t>HAIFENG 16/06/2026</t>
        </is>
      </c>
      <c r="I4223" s="4" t="n">
        <v>1</v>
      </c>
      <c r="J4223" s="6" t="n">
        <v>5</v>
      </c>
      <c r="K4223" s="6" t="n">
        <v>105.0730323</v>
      </c>
      <c r="L4223" s="6">
        <f>I4223*K4223</f>
        <v/>
      </c>
      <c r="M4223" s="6">
        <f>K4223*4</f>
        <v/>
      </c>
      <c r="N4223" s="6" t="n">
        <v>499</v>
      </c>
    </row>
    <row r="4224">
      <c r="A4224" s="1" t="inlineStr">
        <is>
          <t>77763960600332</t>
        </is>
      </c>
      <c r="B4224" s="1" t="inlineStr">
        <is>
          <t>PERFUME BACCARAT</t>
        </is>
      </c>
      <c r="C4224" s="1" t="inlineStr">
        <is>
          <t>70ml</t>
        </is>
      </c>
      <c r="D4224" s="1" t="inlineStr">
        <is>
          <t>01/09/2025</t>
        </is>
      </c>
      <c r="E4224" s="1" t="n">
        <v>2025</v>
      </c>
      <c r="F4224" s="1" t="inlineStr">
        <is>
          <t>SEPTIEMBRE</t>
        </is>
      </c>
      <c r="G4224" s="1" t="inlineStr">
        <is>
          <t>ZOEY</t>
        </is>
      </c>
      <c r="H4224" s="1" t="inlineStr">
        <is>
          <t>ZOEY 01/09/2025</t>
        </is>
      </c>
      <c r="I4224" s="4" t="n">
        <v>7</v>
      </c>
      <c r="J4224" s="6" t="n">
        <v>18</v>
      </c>
      <c r="K4224" s="6" t="n">
        <v>452.1212029</v>
      </c>
      <c r="L4224" s="6">
        <f>I4224*K4224</f>
        <v/>
      </c>
      <c r="M4224" s="6">
        <f>K4224*4</f>
        <v/>
      </c>
      <c r="N4224" s="6" t="n">
        <v>1510</v>
      </c>
    </row>
    <row r="4225">
      <c r="A4225" s="1" t="inlineStr">
        <is>
          <t>77763960600332</t>
        </is>
      </c>
      <c r="B4225" s="1" t="inlineStr">
        <is>
          <t>PERFUME BACCARAT</t>
        </is>
      </c>
      <c r="C4225" s="1" t="inlineStr">
        <is>
          <t>70ml</t>
        </is>
      </c>
      <c r="D4225" s="1" t="inlineStr">
        <is>
          <t>25/10/2025</t>
        </is>
      </c>
      <c r="E4225" s="1" t="n">
        <v>2025</v>
      </c>
      <c r="F4225" s="1" t="inlineStr">
        <is>
          <t>OCTUBRE</t>
        </is>
      </c>
      <c r="G4225" s="1" t="inlineStr">
        <is>
          <t>ZOEY</t>
        </is>
      </c>
      <c r="H4225" s="1" t="inlineStr">
        <is>
          <t>ZOEY 25/10/2025</t>
        </is>
      </c>
      <c r="I4225" s="4" t="n">
        <v>3</v>
      </c>
      <c r="J4225" s="6" t="n">
        <v>18</v>
      </c>
      <c r="K4225" s="6" t="n">
        <v>446.4019675</v>
      </c>
      <c r="L4225" s="6">
        <f>I4225*K4225</f>
        <v/>
      </c>
      <c r="M4225" s="6">
        <f>K4225*4</f>
        <v/>
      </c>
      <c r="N4225" s="6" t="n">
        <v>1510</v>
      </c>
    </row>
    <row r="4226">
      <c r="A4226" s="1" t="inlineStr">
        <is>
          <t>77763960600332</t>
        </is>
      </c>
      <c r="B4226" s="1" t="inlineStr">
        <is>
          <t>PERFUME BACCARAT</t>
        </is>
      </c>
      <c r="C4226" s="1" t="inlineStr">
        <is>
          <t>70ml</t>
        </is>
      </c>
      <c r="D4226" s="1" t="inlineStr">
        <is>
          <t>19/03/2026</t>
        </is>
      </c>
      <c r="E4226" s="1" t="n">
        <v>2026</v>
      </c>
      <c r="F4226" s="1" t="inlineStr">
        <is>
          <t>MARZO</t>
        </is>
      </c>
      <c r="G4226" s="1" t="inlineStr">
        <is>
          <t>ZOEY</t>
        </is>
      </c>
      <c r="H4226" s="1" t="inlineStr">
        <is>
          <t>ZOEY 19/03/2026</t>
        </is>
      </c>
      <c r="I4226" s="4" t="n">
        <v>8</v>
      </c>
      <c r="J4226" s="6" t="n">
        <v>18</v>
      </c>
      <c r="K4226" s="6" t="n">
        <v>464.076893</v>
      </c>
      <c r="L4226" s="6">
        <f>I4226*K4226</f>
        <v/>
      </c>
      <c r="M4226" s="6">
        <f>K4226*4</f>
        <v/>
      </c>
      <c r="N4226" s="6" t="n">
        <v>1845</v>
      </c>
    </row>
    <row r="4227">
      <c r="A4227" s="1" t="inlineStr">
        <is>
          <t>77763960600332</t>
        </is>
      </c>
      <c r="B4227" s="1" t="inlineStr">
        <is>
          <t>PERFUME BACCARAT</t>
        </is>
      </c>
      <c r="C4227" s="1" t="inlineStr">
        <is>
          <t>70ml</t>
        </is>
      </c>
      <c r="D4227" s="1" t="inlineStr">
        <is>
          <t>20/04/2026</t>
        </is>
      </c>
      <c r="E4227" s="1" t="n">
        <v>2026</v>
      </c>
      <c r="F4227" s="1" t="inlineStr">
        <is>
          <t>ABRIL</t>
        </is>
      </c>
      <c r="G4227" s="1" t="inlineStr">
        <is>
          <t>ZOEY</t>
        </is>
      </c>
      <c r="H4227" s="1" t="inlineStr">
        <is>
          <t>ZOEY 20/04/2026</t>
        </is>
      </c>
      <c r="I4227" s="4" t="n">
        <v>11</v>
      </c>
      <c r="J4227" s="6" t="n">
        <v>18</v>
      </c>
      <c r="K4227" s="6" t="n">
        <v>460.9580101</v>
      </c>
      <c r="L4227" s="6">
        <f>I4227*K4227</f>
        <v/>
      </c>
      <c r="M4227" s="6">
        <f>K4227*4</f>
        <v/>
      </c>
      <c r="N4227" s="6" t="n">
        <v>1845</v>
      </c>
    </row>
    <row r="4228">
      <c r="A4228" s="1" t="inlineStr">
        <is>
          <t>77763961743628</t>
        </is>
      </c>
      <c r="B4228" s="1" t="inlineStr">
        <is>
          <t>PERFUME SANTAL 33</t>
        </is>
      </c>
      <c r="C4228" s="1" t="inlineStr">
        <is>
          <t>100ml</t>
        </is>
      </c>
      <c r="D4228" s="1" t="inlineStr">
        <is>
          <t>01/09/2025</t>
        </is>
      </c>
      <c r="E4228" s="1" t="n">
        <v>2025</v>
      </c>
      <c r="F4228" s="1" t="inlineStr">
        <is>
          <t>SEPTIEMBRE</t>
        </is>
      </c>
      <c r="G4228" s="1" t="inlineStr">
        <is>
          <t>ZOEY</t>
        </is>
      </c>
      <c r="H4228" s="1" t="inlineStr">
        <is>
          <t>ZOEY 01/09/2025</t>
        </is>
      </c>
      <c r="I4228" s="4" t="n">
        <v>5</v>
      </c>
      <c r="J4228" s="6" t="n">
        <v>18</v>
      </c>
      <c r="K4228" s="6" t="n">
        <v>452.1212029</v>
      </c>
      <c r="L4228" s="6">
        <f>I4228*K4228</f>
        <v/>
      </c>
      <c r="M4228" s="6">
        <f>K4228*4</f>
        <v/>
      </c>
      <c r="N4228" s="6" t="n">
        <v>1510</v>
      </c>
    </row>
    <row r="4229">
      <c r="A4229" s="1" t="inlineStr">
        <is>
          <t>77763961743628</t>
        </is>
      </c>
      <c r="B4229" s="1" t="inlineStr">
        <is>
          <t>PERFUME SANTAL 33</t>
        </is>
      </c>
      <c r="C4229" s="1" t="inlineStr">
        <is>
          <t>100ml</t>
        </is>
      </c>
      <c r="D4229" s="1" t="inlineStr">
        <is>
          <t>25/10/2025</t>
        </is>
      </c>
      <c r="E4229" s="1" t="n">
        <v>2025</v>
      </c>
      <c r="F4229" s="1" t="inlineStr">
        <is>
          <t>OCTUBRE</t>
        </is>
      </c>
      <c r="G4229" s="1" t="inlineStr">
        <is>
          <t>ZOEY</t>
        </is>
      </c>
      <c r="H4229" s="1" t="inlineStr">
        <is>
          <t>ZOEY 25/10/2025</t>
        </is>
      </c>
      <c r="I4229" s="4" t="n">
        <v>6</v>
      </c>
      <c r="J4229" s="6" t="n">
        <v>18</v>
      </c>
      <c r="K4229" s="6" t="n">
        <v>446.4019675</v>
      </c>
      <c r="L4229" s="6">
        <f>I4229*K4229</f>
        <v/>
      </c>
      <c r="M4229" s="6">
        <f>K4229*4</f>
        <v/>
      </c>
      <c r="N4229" s="6" t="n">
        <v>1510</v>
      </c>
    </row>
    <row r="4230">
      <c r="A4230" s="1" t="inlineStr">
        <is>
          <t>77763961743628</t>
        </is>
      </c>
      <c r="B4230" s="1" t="inlineStr">
        <is>
          <t>PERFUME SANTAL 33</t>
        </is>
      </c>
      <c r="C4230" s="1" t="inlineStr">
        <is>
          <t>100ml</t>
        </is>
      </c>
      <c r="D4230" s="1" t="inlineStr">
        <is>
          <t>02/03/2026</t>
        </is>
      </c>
      <c r="E4230" s="1" t="n">
        <v>2026</v>
      </c>
      <c r="F4230" s="1" t="inlineStr">
        <is>
          <t>MARZO</t>
        </is>
      </c>
      <c r="G4230" s="1" t="inlineStr">
        <is>
          <t>ZOEY</t>
        </is>
      </c>
      <c r="H4230" s="1" t="inlineStr">
        <is>
          <t>ZOEY 02/03/2026</t>
        </is>
      </c>
      <c r="I4230" s="4" t="n">
        <v>10</v>
      </c>
      <c r="J4230" s="6" t="n">
        <v>18</v>
      </c>
      <c r="K4230" s="6" t="n">
        <v>472.985563</v>
      </c>
      <c r="L4230" s="6">
        <f>I4230*K4230</f>
        <v/>
      </c>
      <c r="M4230" s="6">
        <f>K4230*4</f>
        <v/>
      </c>
      <c r="N4230" s="6" t="n">
        <v>1859</v>
      </c>
    </row>
    <row r="4231">
      <c r="A4231" s="1" t="inlineStr">
        <is>
          <t>77763961743628</t>
        </is>
      </c>
      <c r="B4231" s="1" t="inlineStr">
        <is>
          <t>PERFUME SANTAL 33</t>
        </is>
      </c>
      <c r="C4231" s="1" t="inlineStr">
        <is>
          <t>100ml</t>
        </is>
      </c>
      <c r="D4231" s="1" t="inlineStr">
        <is>
          <t>19/03/2026</t>
        </is>
      </c>
      <c r="E4231" s="1" t="n">
        <v>2026</v>
      </c>
      <c r="F4231" s="1" t="inlineStr">
        <is>
          <t>MARZO</t>
        </is>
      </c>
      <c r="G4231" s="1" t="inlineStr">
        <is>
          <t>ZOEY</t>
        </is>
      </c>
      <c r="H4231" s="1" t="inlineStr">
        <is>
          <t>ZOEY 19/03/2026</t>
        </is>
      </c>
      <c r="I4231" s="4" t="n">
        <v>5</v>
      </c>
      <c r="J4231" s="6" t="n">
        <v>18</v>
      </c>
      <c r="K4231" s="6" t="n">
        <v>464.076893</v>
      </c>
      <c r="L4231" s="6">
        <f>I4231*K4231</f>
        <v/>
      </c>
      <c r="M4231" s="6">
        <f>K4231*4</f>
        <v/>
      </c>
      <c r="N4231" s="6" t="n">
        <v>1859</v>
      </c>
    </row>
    <row r="4232">
      <c r="A4232" s="1" t="inlineStr">
        <is>
          <t>77791751017421</t>
        </is>
      </c>
      <c r="B4232" s="1" t="inlineStr">
        <is>
          <t>COLLAR MSS MOVE SILVER LISO</t>
        </is>
      </c>
      <c r="C4232" s="1" t="inlineStr">
        <is>
          <t>Default Title</t>
        </is>
      </c>
      <c r="D4232" s="1" t="inlineStr">
        <is>
          <t>01/09/2025</t>
        </is>
      </c>
      <c r="E4232" s="1" t="n">
        <v>2025</v>
      </c>
      <c r="F4232" s="1" t="inlineStr">
        <is>
          <t>SEPTIEMBRE</t>
        </is>
      </c>
      <c r="G4232" s="1" t="inlineStr">
        <is>
          <t>HAIFENG</t>
        </is>
      </c>
      <c r="H4232" s="1" t="inlineStr">
        <is>
          <t>HAIFENG 01/09/2025</t>
        </is>
      </c>
      <c r="I4232" s="4" t="n">
        <v>3</v>
      </c>
      <c r="J4232" s="6" t="n">
        <v>8</v>
      </c>
      <c r="K4232" s="6" t="n">
        <v>170.0453685</v>
      </c>
      <c r="L4232" s="6">
        <f>I4232*K4232</f>
        <v/>
      </c>
      <c r="M4232" s="6">
        <f>K4232*4</f>
        <v/>
      </c>
      <c r="N4232" s="6" t="n">
        <v>659.2</v>
      </c>
    </row>
    <row r="4233">
      <c r="A4233" s="1" t="inlineStr">
        <is>
          <t>77791751017421</t>
        </is>
      </c>
      <c r="B4233" s="1" t="inlineStr">
        <is>
          <t>COLLAR MSS MOVE SILVER LISO</t>
        </is>
      </c>
      <c r="C4233" s="1" t="inlineStr">
        <is>
          <t>Default Title</t>
        </is>
      </c>
      <c r="D4233" s="1" t="inlineStr">
        <is>
          <t>10/02/2026</t>
        </is>
      </c>
      <c r="E4233" s="1" t="n">
        <v>2026</v>
      </c>
      <c r="F4233" s="1" t="inlineStr">
        <is>
          <t>FEBRERO</t>
        </is>
      </c>
      <c r="G4233" s="1" t="inlineStr">
        <is>
          <t>HAIFENG</t>
        </is>
      </c>
      <c r="H4233" s="1" t="inlineStr">
        <is>
          <t>HAIFENG 10/02/2026</t>
        </is>
      </c>
      <c r="I4233" s="4" t="n">
        <v>7</v>
      </c>
      <c r="J4233" s="6" t="n">
        <v>8</v>
      </c>
      <c r="K4233" s="6" t="n">
        <v>168.5479685</v>
      </c>
      <c r="L4233" s="6">
        <f>I4233*K4233</f>
        <v/>
      </c>
      <c r="M4233" s="6">
        <f>K4233*4</f>
        <v/>
      </c>
      <c r="N4233" s="6" t="n">
        <v>659.2</v>
      </c>
    </row>
    <row r="4234">
      <c r="A4234" s="1" t="inlineStr">
        <is>
          <t>77791751017421</t>
        </is>
      </c>
      <c r="B4234" s="1" t="inlineStr">
        <is>
          <t>COLLAR MSS MOVE SILVER LISO</t>
        </is>
      </c>
      <c r="C4234" s="1" t="inlineStr">
        <is>
          <t>Default Title</t>
        </is>
      </c>
      <c r="D4234" s="1" t="inlineStr">
        <is>
          <t>06/05/2026</t>
        </is>
      </c>
      <c r="E4234" s="1" t="n">
        <v>2026</v>
      </c>
      <c r="F4234" s="1" t="inlineStr">
        <is>
          <t>MAYO</t>
        </is>
      </c>
      <c r="G4234" s="1" t="inlineStr">
        <is>
          <t>HAIFENG</t>
        </is>
      </c>
      <c r="H4234" s="1" t="inlineStr">
        <is>
          <t>HAIFENG 06/05/2026</t>
        </is>
      </c>
      <c r="I4234" s="4" t="n">
        <v>15</v>
      </c>
      <c r="J4234" s="6" t="n">
        <v>8</v>
      </c>
      <c r="K4234" s="6" t="n">
        <v>169.7491381</v>
      </c>
      <c r="L4234" s="6">
        <f>I4234*K4234</f>
        <v/>
      </c>
      <c r="M4234" s="6">
        <f>K4234*4</f>
        <v/>
      </c>
      <c r="N4234" s="6" t="n">
        <v>659.2</v>
      </c>
    </row>
    <row r="4235">
      <c r="A4235" s="1" t="inlineStr">
        <is>
          <t>77944125775884</t>
        </is>
      </c>
      <c r="B4235" s="1" t="inlineStr">
        <is>
          <t>VESTIDO A BACKSPIN</t>
        </is>
      </c>
      <c r="C4235" s="1" t="inlineStr">
        <is>
          <t>M</t>
        </is>
      </c>
      <c r="D4235" s="1" t="inlineStr">
        <is>
          <t>08/06/2026</t>
        </is>
      </c>
      <c r="E4235" s="1" t="n">
        <v>2026</v>
      </c>
      <c r="F4235" s="1" t="inlineStr">
        <is>
          <t>JUNIO</t>
        </is>
      </c>
      <c r="G4235" s="1" t="inlineStr">
        <is>
          <t>ZOEY</t>
        </is>
      </c>
      <c r="H4235" s="1" t="inlineStr">
        <is>
          <t>ZOEY 08/06/2026</t>
        </is>
      </c>
      <c r="I4235" s="4" t="n">
        <v>2</v>
      </c>
      <c r="J4235" s="6" t="n">
        <v>24</v>
      </c>
      <c r="K4235" s="6" t="n">
        <v>588.2744749</v>
      </c>
      <c r="L4235" s="6">
        <f>I4235*K4235</f>
        <v/>
      </c>
      <c r="M4235" s="6">
        <f>K4235*4</f>
        <v/>
      </c>
      <c r="N4235" s="6" t="n">
        <v>2359</v>
      </c>
    </row>
    <row r="4236">
      <c r="A4236" s="1" t="inlineStr">
        <is>
          <t>77978447716236</t>
        </is>
      </c>
      <c r="B4236" s="1" t="inlineStr">
        <is>
          <t>PULSERA LV CON INSIGNIA</t>
        </is>
      </c>
      <c r="C4236" s="1" t="inlineStr">
        <is>
          <t>16cm high quality</t>
        </is>
      </c>
      <c r="D4236" s="1" t="inlineStr">
        <is>
          <t>05/09/2025</t>
        </is>
      </c>
      <c r="E4236" s="1" t="n">
        <v>2025</v>
      </c>
      <c r="F4236" s="1" t="inlineStr">
        <is>
          <t>SEPTIEMBRE</t>
        </is>
      </c>
      <c r="G4236" s="1" t="inlineStr">
        <is>
          <t>CYNTHIA</t>
        </is>
      </c>
      <c r="H4236" s="1" t="inlineStr">
        <is>
          <t>CYNTHIA 05/09/2025</t>
        </is>
      </c>
      <c r="I4236" s="4" t="n">
        <v>2</v>
      </c>
      <c r="J4236" s="6" t="n">
        <v>8.800000000000001</v>
      </c>
      <c r="K4236" s="6" t="n">
        <v>221.576053</v>
      </c>
      <c r="L4236" s="6">
        <f>I4236*K4236</f>
        <v/>
      </c>
      <c r="M4236" s="6">
        <f>K4236*4</f>
        <v/>
      </c>
      <c r="N4236" s="6" t="n">
        <v>750</v>
      </c>
    </row>
    <row r="4237">
      <c r="A4237" s="1" t="inlineStr">
        <is>
          <t>77978447716236</t>
        </is>
      </c>
      <c r="B4237" s="1" t="inlineStr">
        <is>
          <t>PULSERA LV CON INSIGNIA</t>
        </is>
      </c>
      <c r="C4237" s="1" t="inlineStr">
        <is>
          <t>16cm high quality</t>
        </is>
      </c>
      <c r="D4237" s="1" t="inlineStr">
        <is>
          <t>31/05/2026</t>
        </is>
      </c>
      <c r="E4237" s="1" t="n">
        <v>2026</v>
      </c>
      <c r="F4237" s="1" t="inlineStr">
        <is>
          <t>MAYO</t>
        </is>
      </c>
      <c r="G4237" s="1" t="inlineStr">
        <is>
          <t>CYNTHIA</t>
        </is>
      </c>
      <c r="H4237" s="1" t="inlineStr">
        <is>
          <t>CYNTHIA 31/05/2026</t>
        </is>
      </c>
      <c r="I4237" s="4" t="n">
        <v>6</v>
      </c>
      <c r="J4237" s="6" t="n">
        <v>8.800000000000001</v>
      </c>
      <c r="K4237" s="6" t="n">
        <v>233.2091958</v>
      </c>
      <c r="L4237" s="6">
        <f>I4237*K4237</f>
        <v/>
      </c>
      <c r="M4237" s="6">
        <f>K4237*4</f>
        <v/>
      </c>
      <c r="N4237" s="6" t="n">
        <v>935</v>
      </c>
    </row>
    <row r="4238">
      <c r="A4238" s="1" t="inlineStr">
        <is>
          <t>78326321018849</t>
        </is>
      </c>
      <c r="B4238" s="1" t="inlineStr">
        <is>
          <t>COLLAR LOVESTRUCK</t>
        </is>
      </c>
      <c r="C4238" s="1" t="inlineStr">
        <is>
          <t>43CM</t>
        </is>
      </c>
      <c r="D4238" s="1" t="inlineStr">
        <is>
          <t>01/09/2025</t>
        </is>
      </c>
      <c r="E4238" s="1" t="n">
        <v>2025</v>
      </c>
      <c r="F4238" s="1" t="inlineStr">
        <is>
          <t>SEPTIEMBRE</t>
        </is>
      </c>
      <c r="G4238" s="1" t="inlineStr">
        <is>
          <t>ZOEY</t>
        </is>
      </c>
      <c r="H4238" s="1" t="inlineStr">
        <is>
          <t>ZOEY 01/09/2025</t>
        </is>
      </c>
      <c r="I4238" s="4" t="n">
        <v>5</v>
      </c>
      <c r="J4238" s="6" t="n">
        <v>9</v>
      </c>
      <c r="K4238" s="6" t="n">
        <v>226.0606014</v>
      </c>
      <c r="L4238" s="6">
        <f>I4238*K4238</f>
        <v/>
      </c>
      <c r="M4238" s="6">
        <f>K4238*4</f>
        <v/>
      </c>
      <c r="N4238" s="6" t="n">
        <v>748.25</v>
      </c>
    </row>
    <row r="4239">
      <c r="A4239" s="1" t="inlineStr">
        <is>
          <t>78326321018849</t>
        </is>
      </c>
      <c r="B4239" s="1" t="inlineStr">
        <is>
          <t>COLLAR LOVESTRUCK</t>
        </is>
      </c>
      <c r="C4239" s="1" t="inlineStr">
        <is>
          <t>43CM</t>
        </is>
      </c>
      <c r="D4239" s="1" t="inlineStr">
        <is>
          <t>05/02/2026</t>
        </is>
      </c>
      <c r="E4239" s="1" t="n">
        <v>2026</v>
      </c>
      <c r="F4239" s="1" t="inlineStr">
        <is>
          <t>FEBRERO</t>
        </is>
      </c>
      <c r="G4239" s="1" t="inlineStr">
        <is>
          <t>HAIFENG</t>
        </is>
      </c>
      <c r="H4239" s="1" t="inlineStr">
        <is>
          <t>HAIFENG 05/02/2026</t>
        </is>
      </c>
      <c r="I4239" s="4" t="n">
        <v>3</v>
      </c>
      <c r="J4239" s="6" t="n">
        <v>6</v>
      </c>
      <c r="K4239" s="6" t="n">
        <v>128.1257543</v>
      </c>
      <c r="L4239" s="6">
        <f>I4239*K4239</f>
        <v/>
      </c>
      <c r="M4239" s="6">
        <f>K4239*4</f>
        <v/>
      </c>
      <c r="N4239" s="6" t="n">
        <v>899</v>
      </c>
    </row>
    <row r="4240">
      <c r="A4240" s="1" t="inlineStr">
        <is>
          <t>78326321018849</t>
        </is>
      </c>
      <c r="B4240" s="1" t="inlineStr">
        <is>
          <t>COLLAR LOVESTRUCK</t>
        </is>
      </c>
      <c r="C4240" s="1" t="inlineStr">
        <is>
          <t>43CM</t>
        </is>
      </c>
      <c r="D4240" s="1" t="inlineStr">
        <is>
          <t>02/03/2026</t>
        </is>
      </c>
      <c r="E4240" s="1" t="n">
        <v>2026</v>
      </c>
      <c r="F4240" s="1" t="inlineStr">
        <is>
          <t>MARZO</t>
        </is>
      </c>
      <c r="G4240" s="1" t="inlineStr">
        <is>
          <t>ZOEY</t>
        </is>
      </c>
      <c r="H4240" s="1" t="inlineStr">
        <is>
          <t>ZOEY 02/03/2026</t>
        </is>
      </c>
      <c r="I4240" s="4" t="n">
        <v>3</v>
      </c>
      <c r="J4240" s="6" t="n">
        <v>6.5</v>
      </c>
      <c r="K4240" s="6" t="n">
        <v>170.8003422</v>
      </c>
      <c r="L4240" s="6">
        <f>I4240*K4240</f>
        <v/>
      </c>
      <c r="M4240" s="6">
        <f>K4240*4</f>
        <v/>
      </c>
      <c r="N4240" s="6" t="n">
        <v>899</v>
      </c>
    </row>
    <row r="4241">
      <c r="A4241" s="1" t="inlineStr">
        <is>
          <t>78326321018849</t>
        </is>
      </c>
      <c r="B4241" s="1" t="inlineStr">
        <is>
          <t>COLLAR LOVESTRUCK</t>
        </is>
      </c>
      <c r="C4241" s="1" t="inlineStr">
        <is>
          <t>43CM</t>
        </is>
      </c>
      <c r="D4241" s="1" t="inlineStr">
        <is>
          <t>19/03/2026</t>
        </is>
      </c>
      <c r="E4241" s="1" t="n">
        <v>2026</v>
      </c>
      <c r="F4241" s="1" t="inlineStr">
        <is>
          <t>MARZO</t>
        </is>
      </c>
      <c r="G4241" s="1" t="inlineStr">
        <is>
          <t>ZOEY</t>
        </is>
      </c>
      <c r="H4241" s="1" t="inlineStr">
        <is>
          <t>ZOEY 19/03/2026</t>
        </is>
      </c>
      <c r="I4241" s="4" t="n">
        <v>2</v>
      </c>
      <c r="J4241" s="6" t="n">
        <v>8</v>
      </c>
      <c r="K4241" s="6" t="n">
        <v>206.2563969</v>
      </c>
      <c r="L4241" s="6">
        <f>I4241*K4241</f>
        <v/>
      </c>
      <c r="M4241" s="6">
        <f>K4241*4</f>
        <v/>
      </c>
      <c r="N4241" s="6" t="n">
        <v>899</v>
      </c>
    </row>
    <row r="4242">
      <c r="A4242" s="1" t="inlineStr">
        <is>
          <t>78326321018849</t>
        </is>
      </c>
      <c r="B4242" s="1" t="inlineStr">
        <is>
          <t>COLLAR LOVESTRUCK</t>
        </is>
      </c>
      <c r="C4242" s="1" t="inlineStr">
        <is>
          <t>43CM</t>
        </is>
      </c>
      <c r="D4242" s="1" t="inlineStr">
        <is>
          <t>20/04/2026</t>
        </is>
      </c>
      <c r="E4242" s="1" t="n">
        <v>2026</v>
      </c>
      <c r="F4242" s="1" t="inlineStr">
        <is>
          <t>ABRIL</t>
        </is>
      </c>
      <c r="G4242" s="1" t="inlineStr">
        <is>
          <t>ZOEY</t>
        </is>
      </c>
      <c r="H4242" s="1" t="inlineStr">
        <is>
          <t>ZOEY 20/04/2026</t>
        </is>
      </c>
      <c r="I4242" s="4" t="n">
        <v>4</v>
      </c>
      <c r="J4242" s="6" t="n">
        <v>9</v>
      </c>
      <c r="K4242" s="6" t="n">
        <v>230.479005</v>
      </c>
      <c r="L4242" s="6">
        <f>I4242*K4242</f>
        <v/>
      </c>
      <c r="M4242" s="6">
        <f>K4242*4</f>
        <v/>
      </c>
      <c r="N4242" s="6" t="n">
        <v>899</v>
      </c>
    </row>
    <row r="4243">
      <c r="A4243" s="1" t="inlineStr">
        <is>
          <t>78326321018849</t>
        </is>
      </c>
      <c r="B4243" s="1" t="inlineStr">
        <is>
          <t>COLLAR LOVESTRUCK</t>
        </is>
      </c>
      <c r="C4243" s="1" t="inlineStr">
        <is>
          <t>43CM</t>
        </is>
      </c>
      <c r="D4243" s="1" t="inlineStr">
        <is>
          <t>08/06/2026</t>
        </is>
      </c>
      <c r="E4243" s="1" t="n">
        <v>2026</v>
      </c>
      <c r="F4243" s="1" t="inlineStr">
        <is>
          <t>JUNIO</t>
        </is>
      </c>
      <c r="G4243" s="1" t="inlineStr">
        <is>
          <t>ZOEY</t>
        </is>
      </c>
      <c r="H4243" s="1" t="inlineStr">
        <is>
          <t>ZOEY 08/06/2026</t>
        </is>
      </c>
      <c r="I4243" s="4" t="n">
        <v>4</v>
      </c>
      <c r="J4243" s="6" t="n">
        <v>9</v>
      </c>
      <c r="K4243" s="6" t="n">
        <v>220.6029281</v>
      </c>
      <c r="L4243" s="6">
        <f>I4243*K4243</f>
        <v/>
      </c>
      <c r="M4243" s="6">
        <f>K4243*4</f>
        <v/>
      </c>
      <c r="N4243" s="6" t="n">
        <v>899</v>
      </c>
    </row>
    <row r="4244">
      <c r="A4244" s="1" t="inlineStr">
        <is>
          <t>78439551060397</t>
        </is>
      </c>
      <c r="B4244" s="1" t="inlineStr">
        <is>
          <t>COLLAR MM SILVER WHITE</t>
        </is>
      </c>
      <c r="C4244" s="1" t="inlineStr">
        <is>
          <t>Default Title</t>
        </is>
      </c>
      <c r="D4244" s="1" t="inlineStr">
        <is>
          <t>02/10/2025</t>
        </is>
      </c>
      <c r="E4244" s="1" t="n">
        <v>2025</v>
      </c>
      <c r="F4244" s="1" t="inlineStr">
        <is>
          <t>OCTUBRE</t>
        </is>
      </c>
      <c r="G4244" s="1" t="inlineStr">
        <is>
          <t>ZOEY</t>
        </is>
      </c>
      <c r="H4244" s="1" t="inlineStr">
        <is>
          <t>ZOEY 02/10/2025</t>
        </is>
      </c>
      <c r="I4244" s="4" t="n">
        <v>5</v>
      </c>
      <c r="J4244" s="6" t="n">
        <v>8</v>
      </c>
      <c r="K4244" s="6" t="n">
        <v>188.991488</v>
      </c>
      <c r="L4244" s="6">
        <f>I4244*K4244</f>
        <v/>
      </c>
      <c r="M4244" s="6">
        <f>K4244*4</f>
        <v/>
      </c>
      <c r="N4244" s="6" t="n">
        <v>662.55</v>
      </c>
    </row>
    <row r="4245">
      <c r="A4245" s="1" t="inlineStr">
        <is>
          <t>79010371019917</t>
        </is>
      </c>
      <c r="B4245" s="1" t="inlineStr">
        <is>
          <t>SOMBRERO MM BEACH RAFFIA CAQUI</t>
        </is>
      </c>
      <c r="C4245" s="1" t="inlineStr">
        <is>
          <t>PRODUCTO NUEVO</t>
        </is>
      </c>
      <c r="D4245" s="1" t="inlineStr">
        <is>
          <t>31/05/2026</t>
        </is>
      </c>
      <c r="E4245" s="1" t="n">
        <v>2026</v>
      </c>
      <c r="F4245" s="1" t="inlineStr">
        <is>
          <t>MAYO</t>
        </is>
      </c>
      <c r="G4245" s="1" t="inlineStr">
        <is>
          <t>CYNTHIA</t>
        </is>
      </c>
      <c r="H4245" s="1" t="inlineStr">
        <is>
          <t>CYNTHIA 31/05/2026</t>
        </is>
      </c>
      <c r="I4245" s="4" t="n">
        <v>2</v>
      </c>
      <c r="J4245" s="6" t="n">
        <v>16</v>
      </c>
      <c r="K4245" s="6" t="n">
        <v>424.0167196</v>
      </c>
      <c r="L4245" s="6">
        <f>I4245*K4245</f>
        <v/>
      </c>
      <c r="M4245" s="6">
        <f>K4245*4</f>
        <v/>
      </c>
      <c r="N4245" s="6" t="n">
        <v>1699</v>
      </c>
    </row>
    <row r="4246">
      <c r="A4246" s="1" t="inlineStr">
        <is>
          <t>79024851004397</t>
        </is>
      </c>
      <c r="B4246" s="1" t="inlineStr">
        <is>
          <t>COLLAR MSS MOVE GOLD LISO</t>
        </is>
      </c>
      <c r="C4246" s="1" t="inlineStr">
        <is>
          <t>Default Title</t>
        </is>
      </c>
      <c r="D4246" s="1" t="inlineStr">
        <is>
          <t>01/09/2025</t>
        </is>
      </c>
      <c r="E4246" s="1" t="n">
        <v>2025</v>
      </c>
      <c r="F4246" s="1" t="inlineStr">
        <is>
          <t>SEPTIEMBRE</t>
        </is>
      </c>
      <c r="G4246" s="1" t="inlineStr">
        <is>
          <t>HAIFENG</t>
        </is>
      </c>
      <c r="H4246" s="1" t="inlineStr">
        <is>
          <t>HAIFENG 01/09/2025</t>
        </is>
      </c>
      <c r="I4246" s="4" t="n">
        <v>3</v>
      </c>
      <c r="J4246" s="6" t="n">
        <v>8</v>
      </c>
      <c r="K4246" s="6" t="n">
        <v>170.0453685</v>
      </c>
      <c r="L4246" s="6">
        <f>I4246*K4246</f>
        <v/>
      </c>
      <c r="M4246" s="6">
        <f>K4246*4</f>
        <v/>
      </c>
      <c r="N4246" s="6" t="n">
        <v>699</v>
      </c>
    </row>
    <row r="4247">
      <c r="A4247" s="1" t="inlineStr">
        <is>
          <t>79024851004397</t>
        </is>
      </c>
      <c r="B4247" s="1" t="inlineStr">
        <is>
          <t>COLLAR MSS MOVE GOLD LISO</t>
        </is>
      </c>
      <c r="C4247" s="1" t="inlineStr">
        <is>
          <t>Default Title</t>
        </is>
      </c>
      <c r="D4247" s="1" t="inlineStr">
        <is>
          <t>10/02/2026</t>
        </is>
      </c>
      <c r="E4247" s="1" t="n">
        <v>2026</v>
      </c>
      <c r="F4247" s="1" t="inlineStr">
        <is>
          <t>FEBRERO</t>
        </is>
      </c>
      <c r="G4247" s="1" t="inlineStr">
        <is>
          <t>HAIFENG</t>
        </is>
      </c>
      <c r="H4247" s="1" t="inlineStr">
        <is>
          <t>HAIFENG 10/02/2026</t>
        </is>
      </c>
      <c r="I4247" s="4" t="n">
        <v>6</v>
      </c>
      <c r="J4247" s="6" t="n">
        <v>8</v>
      </c>
      <c r="K4247" s="6" t="n">
        <v>168.5479685</v>
      </c>
      <c r="L4247" s="6">
        <f>I4247*K4247</f>
        <v/>
      </c>
      <c r="M4247" s="6">
        <f>K4247*4</f>
        <v/>
      </c>
      <c r="N4247" s="6" t="n">
        <v>699</v>
      </c>
    </row>
    <row r="4248">
      <c r="A4248" s="1" t="inlineStr">
        <is>
          <t>79024851004397</t>
        </is>
      </c>
      <c r="B4248" s="1" t="inlineStr">
        <is>
          <t>COLLAR MSS MOVE GOLD LISO</t>
        </is>
      </c>
      <c r="C4248" s="1" t="inlineStr">
        <is>
          <t>Default Title</t>
        </is>
      </c>
      <c r="D4248" s="1" t="inlineStr">
        <is>
          <t>16/04/2026</t>
        </is>
      </c>
      <c r="E4248" s="1" t="n">
        <v>2026</v>
      </c>
      <c r="F4248" s="1" t="inlineStr">
        <is>
          <t>ABRIL</t>
        </is>
      </c>
      <c r="G4248" s="1" t="inlineStr">
        <is>
          <t>HAIFENG</t>
        </is>
      </c>
      <c r="H4248" s="1" t="inlineStr">
        <is>
          <t>HAIFENG 16/04/2026</t>
        </is>
      </c>
      <c r="I4248" s="4" t="n">
        <v>20</v>
      </c>
      <c r="J4248" s="6" t="n">
        <v>8</v>
      </c>
      <c r="K4248" s="6" t="n">
        <v>168.2517887</v>
      </c>
      <c r="L4248" s="6">
        <f>I4248*K4248</f>
        <v/>
      </c>
      <c r="M4248" s="6">
        <f>K4248*4</f>
        <v/>
      </c>
      <c r="N4248" s="6" t="n">
        <v>699</v>
      </c>
    </row>
    <row r="4249">
      <c r="A4249" s="1" t="inlineStr">
        <is>
          <t>79024851004397</t>
        </is>
      </c>
      <c r="B4249" s="1" t="inlineStr">
        <is>
          <t>COLLAR MSS MOVE GOLD LISO</t>
        </is>
      </c>
      <c r="C4249" s="1" t="inlineStr">
        <is>
          <t>Default Title</t>
        </is>
      </c>
      <c r="D4249" s="1" t="inlineStr">
        <is>
          <t>26/05/2026</t>
        </is>
      </c>
      <c r="E4249" s="1" t="n">
        <v>2026</v>
      </c>
      <c r="F4249" s="1" t="inlineStr">
        <is>
          <t>MAYO</t>
        </is>
      </c>
      <c r="G4249" s="1" t="inlineStr">
        <is>
          <t>HAIFENG</t>
        </is>
      </c>
      <c r="H4249" s="1" t="inlineStr">
        <is>
          <t>HAIFENG 26/05/2026</t>
        </is>
      </c>
      <c r="I4249" s="4" t="n">
        <v>5</v>
      </c>
      <c r="J4249" s="6" t="n">
        <v>8</v>
      </c>
      <c r="K4249" s="6" t="n">
        <v>167.9143624</v>
      </c>
      <c r="L4249" s="6">
        <f>I4249*K4249</f>
        <v/>
      </c>
      <c r="M4249" s="6">
        <f>K4249*4</f>
        <v/>
      </c>
      <c r="N4249" s="6" t="n">
        <v>699</v>
      </c>
    </row>
    <row r="4250">
      <c r="A4250" s="1" t="inlineStr">
        <is>
          <t>79024851004397</t>
        </is>
      </c>
      <c r="B4250" s="1" t="inlineStr">
        <is>
          <t>COLLAR MSS MOVE GOLD LISO</t>
        </is>
      </c>
      <c r="C4250" s="1" t="inlineStr">
        <is>
          <t>Default Title</t>
        </is>
      </c>
      <c r="D4250" s="1" t="inlineStr">
        <is>
          <t>16/06/2026</t>
        </is>
      </c>
      <c r="E4250" s="1" t="n">
        <v>2026</v>
      </c>
      <c r="F4250" s="1" t="inlineStr">
        <is>
          <t>JUNIO</t>
        </is>
      </c>
      <c r="G4250" s="1" t="inlineStr">
        <is>
          <t>HAIFENG</t>
        </is>
      </c>
      <c r="H4250" s="1" t="inlineStr">
        <is>
          <t>HAIFENG 16/06/2026</t>
        </is>
      </c>
      <c r="I4250" s="4" t="n">
        <v>25</v>
      </c>
      <c r="J4250" s="6" t="n">
        <v>8</v>
      </c>
      <c r="K4250" s="6" t="n">
        <v>168.1168517</v>
      </c>
      <c r="L4250" s="6">
        <f>I4250*K4250</f>
        <v/>
      </c>
      <c r="M4250" s="6">
        <f>K4250*4</f>
        <v/>
      </c>
      <c r="N4250" s="6" t="n">
        <v>699</v>
      </c>
    </row>
    <row r="4251">
      <c r="A4251" s="1" t="inlineStr">
        <is>
          <t>79274691076205</t>
        </is>
      </c>
      <c r="B4251" s="1" t="inlineStr">
        <is>
          <t>PULSERA LOVE DELGADA GOLD</t>
        </is>
      </c>
      <c r="C4251" s="1" t="inlineStr">
        <is>
          <t>16cm</t>
        </is>
      </c>
      <c r="D4251" s="1" t="inlineStr">
        <is>
          <t>01/09/2025</t>
        </is>
      </c>
      <c r="E4251" s="1" t="n">
        <v>2025</v>
      </c>
      <c r="F4251" s="1" t="inlineStr">
        <is>
          <t>SEPTIEMBRE</t>
        </is>
      </c>
      <c r="G4251" s="1" t="inlineStr">
        <is>
          <t>HAIFENG</t>
        </is>
      </c>
      <c r="H4251" s="1" t="inlineStr">
        <is>
          <t>HAIFENG 01/09/2025</t>
        </is>
      </c>
      <c r="I4251" s="4" t="n">
        <v>10</v>
      </c>
      <c r="J4251" s="6" t="n">
        <v>5</v>
      </c>
      <c r="K4251" s="6" t="n">
        <v>106.2783553</v>
      </c>
      <c r="L4251" s="6">
        <f>I4251*K4251</f>
        <v/>
      </c>
      <c r="M4251" s="6">
        <f>K4251*4</f>
        <v/>
      </c>
      <c r="N4251" s="6" t="n">
        <v>499</v>
      </c>
    </row>
    <row r="4252">
      <c r="A4252" s="1" t="inlineStr">
        <is>
          <t>79274691076205</t>
        </is>
      </c>
      <c r="B4252" s="1" t="inlineStr">
        <is>
          <t>PULSERA LOVE DELGADA GOLD</t>
        </is>
      </c>
      <c r="C4252" s="1" t="inlineStr">
        <is>
          <t>16cm</t>
        </is>
      </c>
      <c r="D4252" s="1" t="inlineStr">
        <is>
          <t>11/11/2025</t>
        </is>
      </c>
      <c r="E4252" s="1" t="n">
        <v>2025</v>
      </c>
      <c r="F4252" s="1" t="inlineStr">
        <is>
          <t>NOVIEMBRE</t>
        </is>
      </c>
      <c r="G4252" s="1" t="inlineStr">
        <is>
          <t>HAIFENG</t>
        </is>
      </c>
      <c r="H4252" s="1" t="inlineStr">
        <is>
          <t>HAIFENG 11/11/2025</t>
        </is>
      </c>
      <c r="I4252" s="4" t="n">
        <v>20</v>
      </c>
      <c r="J4252" s="6" t="n">
        <v>5</v>
      </c>
      <c r="K4252" s="6" t="n">
        <v>105.3024922</v>
      </c>
      <c r="L4252" s="6">
        <f>I4252*K4252</f>
        <v/>
      </c>
      <c r="M4252" s="6">
        <f>K4252*4</f>
        <v/>
      </c>
      <c r="N4252" s="6" t="n">
        <v>499</v>
      </c>
    </row>
    <row r="4253">
      <c r="A4253" s="1" t="inlineStr">
        <is>
          <t>79274691076205</t>
        </is>
      </c>
      <c r="B4253" s="1" t="inlineStr">
        <is>
          <t>PULSERA LOVE DELGADA GOLD</t>
        </is>
      </c>
      <c r="C4253" s="1" t="inlineStr">
        <is>
          <t>16cm</t>
        </is>
      </c>
      <c r="D4253" s="1" t="inlineStr">
        <is>
          <t>03/12/2025</t>
        </is>
      </c>
      <c r="E4253" s="1" t="n">
        <v>2025</v>
      </c>
      <c r="F4253" s="1" t="inlineStr">
        <is>
          <t>DICIEMBRE</t>
        </is>
      </c>
      <c r="G4253" s="1" t="inlineStr">
        <is>
          <t>HAIFENG</t>
        </is>
      </c>
      <c r="H4253" s="1" t="inlineStr">
        <is>
          <t>HAIFENG 03/12/2025</t>
        </is>
      </c>
      <c r="I4253" s="4" t="n">
        <v>15</v>
      </c>
      <c r="J4253" s="6" t="n">
        <v>4.5</v>
      </c>
      <c r="K4253" s="6" t="n">
        <v>94.12722005000001</v>
      </c>
      <c r="L4253" s="6">
        <f>I4253*K4253</f>
        <v/>
      </c>
      <c r="M4253" s="6">
        <f>K4253*4</f>
        <v/>
      </c>
      <c r="N4253" s="6" t="n">
        <v>499</v>
      </c>
    </row>
    <row r="4254">
      <c r="A4254" s="1" t="inlineStr">
        <is>
          <t>79274691076205</t>
        </is>
      </c>
      <c r="B4254" s="1" t="inlineStr">
        <is>
          <t>PULSERA LOVE DELGADA GOLD</t>
        </is>
      </c>
      <c r="C4254" s="1" t="inlineStr">
        <is>
          <t>16cm</t>
        </is>
      </c>
      <c r="D4254" s="1" t="inlineStr">
        <is>
          <t>10/02/2026</t>
        </is>
      </c>
      <c r="E4254" s="1" t="n">
        <v>2026</v>
      </c>
      <c r="F4254" s="1" t="inlineStr">
        <is>
          <t>FEBRERO</t>
        </is>
      </c>
      <c r="G4254" s="1" t="inlineStr">
        <is>
          <t>HAIFENG</t>
        </is>
      </c>
      <c r="H4254" s="1" t="inlineStr">
        <is>
          <t>HAIFENG 10/02/2026</t>
        </is>
      </c>
      <c r="I4254" s="4" t="n">
        <v>15</v>
      </c>
      <c r="J4254" s="6" t="n">
        <v>5</v>
      </c>
      <c r="K4254" s="6" t="n">
        <v>105.3424803</v>
      </c>
      <c r="L4254" s="6">
        <f>I4254*K4254</f>
        <v/>
      </c>
      <c r="M4254" s="6">
        <f>K4254*4</f>
        <v/>
      </c>
      <c r="N4254" s="6" t="n">
        <v>499</v>
      </c>
    </row>
    <row r="4255">
      <c r="A4255" s="1" t="inlineStr">
        <is>
          <t>79274691076205</t>
        </is>
      </c>
      <c r="B4255" s="1" t="inlineStr">
        <is>
          <t>PULSERA LOVE DELGADA GOLD</t>
        </is>
      </c>
      <c r="C4255" s="1" t="inlineStr">
        <is>
          <t>16cm</t>
        </is>
      </c>
      <c r="D4255" s="1" t="inlineStr">
        <is>
          <t>11/03/2026</t>
        </is>
      </c>
      <c r="E4255" s="1" t="n">
        <v>2026</v>
      </c>
      <c r="F4255" s="1" t="inlineStr">
        <is>
          <t>MARZO</t>
        </is>
      </c>
      <c r="G4255" s="1" t="inlineStr">
        <is>
          <t>HAIFENG</t>
        </is>
      </c>
      <c r="H4255" s="1" t="inlineStr">
        <is>
          <t>HAIFENG 11/03/2026</t>
        </is>
      </c>
      <c r="I4255" s="4" t="n">
        <v>4</v>
      </c>
      <c r="J4255" s="6" t="n">
        <v>5</v>
      </c>
      <c r="K4255" s="6" t="n">
        <v>106.5194811</v>
      </c>
      <c r="L4255" s="6">
        <f>I4255*K4255</f>
        <v/>
      </c>
      <c r="M4255" s="6">
        <f>K4255*4</f>
        <v/>
      </c>
      <c r="N4255" s="6" t="n">
        <v>499</v>
      </c>
    </row>
    <row r="4256">
      <c r="A4256" s="1" t="inlineStr">
        <is>
          <t>79274691076205</t>
        </is>
      </c>
      <c r="B4256" s="1" t="inlineStr">
        <is>
          <t>PULSERA LOVE DELGADA GOLD (THIN)</t>
        </is>
      </c>
      <c r="C4256" s="1" t="inlineStr">
        <is>
          <t>16cm</t>
        </is>
      </c>
      <c r="D4256" s="1" t="inlineStr">
        <is>
          <t>16/04/2026</t>
        </is>
      </c>
      <c r="E4256" s="1" t="n">
        <v>2026</v>
      </c>
      <c r="F4256" s="1" t="inlineStr">
        <is>
          <t>ABRIL</t>
        </is>
      </c>
      <c r="G4256" s="1" t="inlineStr">
        <is>
          <t>HAIFENG</t>
        </is>
      </c>
      <c r="H4256" s="1" t="inlineStr">
        <is>
          <t>HAIFENG 16/04/2026</t>
        </is>
      </c>
      <c r="I4256" s="4" t="n">
        <v>20</v>
      </c>
      <c r="J4256" s="6" t="n">
        <v>4.5</v>
      </c>
      <c r="K4256" s="6" t="n">
        <v>94.64163114999999</v>
      </c>
      <c r="L4256" s="6">
        <f>I4256*K4256</f>
        <v/>
      </c>
      <c r="M4256" s="6">
        <f>K4256*4</f>
        <v/>
      </c>
      <c r="N4256" s="6" t="n">
        <v>499</v>
      </c>
    </row>
    <row r="4257">
      <c r="A4257" s="1" t="inlineStr">
        <is>
          <t>79274691076205</t>
        </is>
      </c>
      <c r="B4257" s="1" t="inlineStr">
        <is>
          <t>PULSERA LOVE DELGADA GOLD</t>
        </is>
      </c>
      <c r="C4257" s="1" t="inlineStr">
        <is>
          <t>16cm</t>
        </is>
      </c>
      <c r="D4257" s="1" t="inlineStr">
        <is>
          <t>26/05/2026</t>
        </is>
      </c>
      <c r="E4257" s="1" t="n">
        <v>2026</v>
      </c>
      <c r="F4257" s="1" t="inlineStr">
        <is>
          <t>MAYO</t>
        </is>
      </c>
      <c r="G4257" s="1" t="inlineStr">
        <is>
          <t>HAIFENG</t>
        </is>
      </c>
      <c r="H4257" s="1" t="inlineStr">
        <is>
          <t>HAIFENG 26/05/2026</t>
        </is>
      </c>
      <c r="I4257" s="4" t="n">
        <v>11</v>
      </c>
      <c r="J4257" s="6" t="n">
        <v>5</v>
      </c>
      <c r="K4257" s="6" t="n">
        <v>104.9464765</v>
      </c>
      <c r="L4257" s="6">
        <f>I4257*K4257</f>
        <v/>
      </c>
      <c r="M4257" s="6">
        <f>K4257*4</f>
        <v/>
      </c>
      <c r="N4257" s="6" t="n">
        <v>499</v>
      </c>
    </row>
    <row r="4258">
      <c r="A4258" s="1" t="inlineStr">
        <is>
          <t>79274691108973</t>
        </is>
      </c>
      <c r="B4258" s="1" t="inlineStr">
        <is>
          <t>PULSERA LOVE DELGADA GOLD</t>
        </is>
      </c>
      <c r="C4258" s="1" t="inlineStr">
        <is>
          <t>17cm</t>
        </is>
      </c>
      <c r="D4258" s="1" t="inlineStr">
        <is>
          <t>01/09/2025</t>
        </is>
      </c>
      <c r="E4258" s="1" t="n">
        <v>2025</v>
      </c>
      <c r="F4258" s="1" t="inlineStr">
        <is>
          <t>SEPTIEMBRE</t>
        </is>
      </c>
      <c r="G4258" s="1" t="inlineStr">
        <is>
          <t>HAIFENG</t>
        </is>
      </c>
      <c r="H4258" s="1" t="inlineStr">
        <is>
          <t>HAIFENG 01/09/2025</t>
        </is>
      </c>
      <c r="I4258" s="4" t="n">
        <v>10</v>
      </c>
      <c r="J4258" s="6" t="n">
        <v>5</v>
      </c>
      <c r="K4258" s="6" t="n">
        <v>106.2783553</v>
      </c>
      <c r="L4258" s="6">
        <f>I4258*K4258</f>
        <v/>
      </c>
      <c r="M4258" s="6">
        <f>K4258*4</f>
        <v/>
      </c>
      <c r="N4258" s="6" t="n">
        <v>499</v>
      </c>
    </row>
    <row r="4259">
      <c r="A4259" s="1" t="inlineStr">
        <is>
          <t>79274691108973</t>
        </is>
      </c>
      <c r="B4259" s="1" t="inlineStr">
        <is>
          <t>PULSERA LOVE DELGADA GOLD</t>
        </is>
      </c>
      <c r="C4259" s="1" t="inlineStr">
        <is>
          <t>17cm</t>
        </is>
      </c>
      <c r="D4259" s="1" t="inlineStr">
        <is>
          <t>11/11/2025</t>
        </is>
      </c>
      <c r="E4259" s="1" t="n">
        <v>2025</v>
      </c>
      <c r="F4259" s="1" t="inlineStr">
        <is>
          <t>NOVIEMBRE</t>
        </is>
      </c>
      <c r="G4259" s="1" t="inlineStr">
        <is>
          <t>HAIFENG</t>
        </is>
      </c>
      <c r="H4259" s="1" t="inlineStr">
        <is>
          <t>HAIFENG 11/11/2025</t>
        </is>
      </c>
      <c r="I4259" s="4" t="n">
        <v>20</v>
      </c>
      <c r="J4259" s="6" t="n">
        <v>5</v>
      </c>
      <c r="K4259" s="6" t="n">
        <v>105.3024922</v>
      </c>
      <c r="L4259" s="6">
        <f>I4259*K4259</f>
        <v/>
      </c>
      <c r="M4259" s="6">
        <f>K4259*4</f>
        <v/>
      </c>
      <c r="N4259" s="6" t="n">
        <v>499</v>
      </c>
    </row>
    <row r="4260">
      <c r="A4260" s="1" t="inlineStr">
        <is>
          <t>79274691108973</t>
        </is>
      </c>
      <c r="B4260" s="1" t="inlineStr">
        <is>
          <t>PULSERA LOVE DELGADA GOLD</t>
        </is>
      </c>
      <c r="C4260" s="1" t="inlineStr">
        <is>
          <t>17cm</t>
        </is>
      </c>
      <c r="D4260" s="1" t="inlineStr">
        <is>
          <t>03/12/2025</t>
        </is>
      </c>
      <c r="E4260" s="1" t="n">
        <v>2025</v>
      </c>
      <c r="F4260" s="1" t="inlineStr">
        <is>
          <t>DICIEMBRE</t>
        </is>
      </c>
      <c r="G4260" s="1" t="inlineStr">
        <is>
          <t>HAIFENG</t>
        </is>
      </c>
      <c r="H4260" s="1" t="inlineStr">
        <is>
          <t>HAIFENG 03/12/2025</t>
        </is>
      </c>
      <c r="I4260" s="4" t="n">
        <v>5</v>
      </c>
      <c r="J4260" s="6" t="n">
        <v>4.5</v>
      </c>
      <c r="K4260" s="6" t="n">
        <v>94.12722005000001</v>
      </c>
      <c r="L4260" s="6">
        <f>I4260*K4260</f>
        <v/>
      </c>
      <c r="M4260" s="6">
        <f>K4260*4</f>
        <v/>
      </c>
      <c r="N4260" s="6" t="n">
        <v>499</v>
      </c>
    </row>
    <row r="4261">
      <c r="A4261" s="1" t="inlineStr">
        <is>
          <t>79274691108973</t>
        </is>
      </c>
      <c r="B4261" s="1" t="inlineStr">
        <is>
          <t>PULSERA LOVE DELGADA GOLD (THIN)</t>
        </is>
      </c>
      <c r="C4261" s="1" t="inlineStr">
        <is>
          <t>17cm</t>
        </is>
      </c>
      <c r="D4261" s="1" t="inlineStr">
        <is>
          <t>16/04/2026</t>
        </is>
      </c>
      <c r="E4261" s="1" t="n">
        <v>2026</v>
      </c>
      <c r="F4261" s="1" t="inlineStr">
        <is>
          <t>ABRIL</t>
        </is>
      </c>
      <c r="G4261" s="1" t="inlineStr">
        <is>
          <t>HAIFENG</t>
        </is>
      </c>
      <c r="H4261" s="1" t="inlineStr">
        <is>
          <t>HAIFENG 16/04/2026</t>
        </is>
      </c>
      <c r="I4261" s="4" t="n">
        <v>15</v>
      </c>
      <c r="J4261" s="6" t="n">
        <v>4.5</v>
      </c>
      <c r="K4261" s="6" t="n">
        <v>94.64163114999999</v>
      </c>
      <c r="L4261" s="6">
        <f>I4261*K4261</f>
        <v/>
      </c>
      <c r="M4261" s="6">
        <f>K4261*4</f>
        <v/>
      </c>
      <c r="N4261" s="6" t="n">
        <v>499</v>
      </c>
    </row>
    <row r="4262">
      <c r="A4262" s="1" t="inlineStr">
        <is>
          <t>79274691108973</t>
        </is>
      </c>
      <c r="B4262" s="1" t="inlineStr">
        <is>
          <t>PULSERA LOVE DELGADA GOLD</t>
        </is>
      </c>
      <c r="C4262" s="1" t="inlineStr">
        <is>
          <t>17cm</t>
        </is>
      </c>
      <c r="D4262" s="1" t="inlineStr">
        <is>
          <t>26/05/2026</t>
        </is>
      </c>
      <c r="E4262" s="1" t="n">
        <v>2026</v>
      </c>
      <c r="F4262" s="1" t="inlineStr">
        <is>
          <t>MAYO</t>
        </is>
      </c>
      <c r="G4262" s="1" t="inlineStr">
        <is>
          <t>HAIFENG</t>
        </is>
      </c>
      <c r="H4262" s="1" t="inlineStr">
        <is>
          <t>HAIFENG 26/05/2026</t>
        </is>
      </c>
      <c r="I4262" s="4" t="n">
        <v>15</v>
      </c>
      <c r="J4262" s="6" t="n">
        <v>5</v>
      </c>
      <c r="K4262" s="6" t="n">
        <v>104.9464765</v>
      </c>
      <c r="L4262" s="6">
        <f>I4262*K4262</f>
        <v/>
      </c>
      <c r="M4262" s="6">
        <f>K4262*4</f>
        <v/>
      </c>
      <c r="N4262" s="6" t="n">
        <v>499</v>
      </c>
    </row>
    <row r="4263">
      <c r="A4263" s="1" t="inlineStr">
        <is>
          <t>79274691241741</t>
        </is>
      </c>
      <c r="B4263" s="1" t="inlineStr">
        <is>
          <t>PULSERA LOVE DELGADA GOLD</t>
        </is>
      </c>
      <c r="C4263" s="1" t="inlineStr">
        <is>
          <t>18cm</t>
        </is>
      </c>
      <c r="D4263" s="1" t="inlineStr">
        <is>
          <t>25/09/2025</t>
        </is>
      </c>
      <c r="E4263" s="1" t="n">
        <v>2025</v>
      </c>
      <c r="F4263" s="1" t="inlineStr">
        <is>
          <t>SEPTIEMBRE</t>
        </is>
      </c>
      <c r="G4263" s="1" t="inlineStr">
        <is>
          <t>HAIFENG</t>
        </is>
      </c>
      <c r="H4263" s="1" t="inlineStr">
        <is>
          <t>HAIFENG 25/09/2025</t>
        </is>
      </c>
      <c r="I4263" s="4" t="n">
        <v>8</v>
      </c>
      <c r="J4263" s="6" t="n">
        <v>5</v>
      </c>
      <c r="K4263" s="6" t="n">
        <v>105.4844288</v>
      </c>
      <c r="L4263" s="6">
        <f>I4263*K4263</f>
        <v/>
      </c>
      <c r="M4263" s="6">
        <f>K4263*4</f>
        <v/>
      </c>
      <c r="N4263" s="6" t="n">
        <v>499</v>
      </c>
    </row>
    <row r="4264">
      <c r="A4264" s="1" t="inlineStr">
        <is>
          <t>79274691241741</t>
        </is>
      </c>
      <c r="B4264" s="1" t="inlineStr">
        <is>
          <t>PULSERA LOVE DELGADA GOLD</t>
        </is>
      </c>
      <c r="C4264" s="1" t="inlineStr">
        <is>
          <t>18cm</t>
        </is>
      </c>
      <c r="D4264" s="1" t="inlineStr">
        <is>
          <t>10/02/2026</t>
        </is>
      </c>
      <c r="E4264" s="1" t="n">
        <v>2026</v>
      </c>
      <c r="F4264" s="1" t="inlineStr">
        <is>
          <t>FEBRERO</t>
        </is>
      </c>
      <c r="G4264" s="1" t="inlineStr">
        <is>
          <t>HAIFENG</t>
        </is>
      </c>
      <c r="H4264" s="1" t="inlineStr">
        <is>
          <t>HAIFENG 10/02/2026</t>
        </is>
      </c>
      <c r="I4264" s="4" t="n">
        <v>10</v>
      </c>
      <c r="J4264" s="6" t="n">
        <v>5</v>
      </c>
      <c r="K4264" s="6" t="n">
        <v>105.3424803</v>
      </c>
      <c r="L4264" s="6">
        <f>I4264*K4264</f>
        <v/>
      </c>
      <c r="M4264" s="6">
        <f>K4264*4</f>
        <v/>
      </c>
      <c r="N4264" s="6" t="n">
        <v>499</v>
      </c>
    </row>
    <row r="4265">
      <c r="A4265" s="1" t="inlineStr">
        <is>
          <t>79274691241741</t>
        </is>
      </c>
      <c r="B4265" s="1" t="inlineStr">
        <is>
          <t>PULSERA LOVE DELGADA GOLD</t>
        </is>
      </c>
      <c r="C4265" s="1" t="inlineStr">
        <is>
          <t>18cm</t>
        </is>
      </c>
      <c r="D4265" s="1" t="inlineStr">
        <is>
          <t>06/05/2026</t>
        </is>
      </c>
      <c r="E4265" s="1" t="n">
        <v>2026</v>
      </c>
      <c r="F4265" s="1" t="inlineStr">
        <is>
          <t>MAYO</t>
        </is>
      </c>
      <c r="G4265" s="1" t="inlineStr">
        <is>
          <t>HAIFENG</t>
        </is>
      </c>
      <c r="H4265" s="1" t="inlineStr">
        <is>
          <t>HAIFENG 06/05/2026</t>
        </is>
      </c>
      <c r="I4265" s="4" t="n">
        <v>3</v>
      </c>
      <c r="J4265" s="6" t="n">
        <v>5</v>
      </c>
      <c r="K4265" s="6" t="n">
        <v>106.0932113</v>
      </c>
      <c r="L4265" s="6">
        <f>I4265*K4265</f>
        <v/>
      </c>
      <c r="M4265" s="6">
        <f>K4265*4</f>
        <v/>
      </c>
      <c r="N4265" s="6" t="n">
        <v>499</v>
      </c>
    </row>
    <row r="4266">
      <c r="A4266" s="1" t="inlineStr">
        <is>
          <t>79274691241741</t>
        </is>
      </c>
      <c r="B4266" s="1" t="inlineStr">
        <is>
          <t>PULSERA LOVE DELGADA GOLD</t>
        </is>
      </c>
      <c r="C4266" s="1" t="inlineStr">
        <is>
          <t>18cm</t>
        </is>
      </c>
      <c r="D4266" s="1" t="inlineStr">
        <is>
          <t>26/05/2026</t>
        </is>
      </c>
      <c r="E4266" s="1" t="n">
        <v>2026</v>
      </c>
      <c r="F4266" s="1" t="inlineStr">
        <is>
          <t>MAYO</t>
        </is>
      </c>
      <c r="G4266" s="1" t="inlineStr">
        <is>
          <t>HAIFENG</t>
        </is>
      </c>
      <c r="H4266" s="1" t="inlineStr">
        <is>
          <t>HAIFENG 26/05/2026</t>
        </is>
      </c>
      <c r="I4266" s="4" t="n">
        <v>6</v>
      </c>
      <c r="J4266" s="6" t="n">
        <v>5</v>
      </c>
      <c r="K4266" s="6" t="n">
        <v>104.9464765</v>
      </c>
      <c r="L4266" s="6">
        <f>I4266*K4266</f>
        <v/>
      </c>
      <c r="M4266" s="6">
        <f>K4266*4</f>
        <v/>
      </c>
      <c r="N4266" s="6" t="n">
        <v>499</v>
      </c>
    </row>
    <row r="4267">
      <c r="A4267" s="1" t="inlineStr">
        <is>
          <t>79274691374509</t>
        </is>
      </c>
      <c r="B4267" s="1" t="inlineStr">
        <is>
          <t>PULSERA LOVE DELGADA GOLD</t>
        </is>
      </c>
      <c r="C4267" s="1" t="inlineStr">
        <is>
          <t>19cm</t>
        </is>
      </c>
      <c r="D4267" s="1" t="inlineStr">
        <is>
          <t>11/11/2025</t>
        </is>
      </c>
      <c r="E4267" s="1" t="n">
        <v>2025</v>
      </c>
      <c r="F4267" s="1" t="inlineStr">
        <is>
          <t>NOVIEMBRE</t>
        </is>
      </c>
      <c r="G4267" s="1" t="inlineStr">
        <is>
          <t>HAIFENG</t>
        </is>
      </c>
      <c r="H4267" s="1" t="inlineStr">
        <is>
          <t>HAIFENG 11/11/2025</t>
        </is>
      </c>
      <c r="I4267" s="4" t="n">
        <v>3</v>
      </c>
      <c r="J4267" s="6" t="n">
        <v>5</v>
      </c>
      <c r="K4267" s="6" t="n">
        <v>105.3024922</v>
      </c>
      <c r="L4267" s="6">
        <f>I4267*K4267</f>
        <v/>
      </c>
      <c r="M4267" s="6">
        <f>K4267*4</f>
        <v/>
      </c>
      <c r="N4267" s="6" t="n">
        <v>499</v>
      </c>
    </row>
    <row r="4268">
      <c r="A4268" s="1" t="inlineStr">
        <is>
          <t>79274691374509</t>
        </is>
      </c>
      <c r="B4268" s="1" t="inlineStr">
        <is>
          <t>PULSERA LOVE DELGADA GOLD</t>
        </is>
      </c>
      <c r="C4268" s="1" t="inlineStr">
        <is>
          <t>19cm</t>
        </is>
      </c>
      <c r="D4268" s="1" t="inlineStr">
        <is>
          <t>03/12/2025</t>
        </is>
      </c>
      <c r="E4268" s="1" t="n">
        <v>2025</v>
      </c>
      <c r="F4268" s="1" t="inlineStr">
        <is>
          <t>DICIEMBRE</t>
        </is>
      </c>
      <c r="G4268" s="1" t="inlineStr">
        <is>
          <t>HAIFENG</t>
        </is>
      </c>
      <c r="H4268" s="1" t="inlineStr">
        <is>
          <t>HAIFENG 03/12/2025</t>
        </is>
      </c>
      <c r="I4268" s="4" t="n">
        <v>5</v>
      </c>
      <c r="J4268" s="6" t="n">
        <v>4.5</v>
      </c>
      <c r="K4268" s="6" t="n">
        <v>94.12722005000001</v>
      </c>
      <c r="L4268" s="6">
        <f>I4268*K4268</f>
        <v/>
      </c>
      <c r="M4268" s="6">
        <f>K4268*4</f>
        <v/>
      </c>
      <c r="N4268" s="6" t="n">
        <v>499</v>
      </c>
    </row>
    <row r="4269">
      <c r="A4269" s="1" t="inlineStr">
        <is>
          <t>79274691374509</t>
        </is>
      </c>
      <c r="B4269" s="1" t="inlineStr">
        <is>
          <t>PULSERA LOVE DELGADA GOLD</t>
        </is>
      </c>
      <c r="C4269" s="1" t="inlineStr">
        <is>
          <t>19cm</t>
        </is>
      </c>
      <c r="D4269" s="1" t="inlineStr">
        <is>
          <t>11/03/2026</t>
        </is>
      </c>
      <c r="E4269" s="1" t="n">
        <v>2026</v>
      </c>
      <c r="F4269" s="1" t="inlineStr">
        <is>
          <t>MARZO</t>
        </is>
      </c>
      <c r="G4269" s="1" t="inlineStr">
        <is>
          <t>HAIFENG</t>
        </is>
      </c>
      <c r="H4269" s="1" t="inlineStr">
        <is>
          <t>HAIFENG 11/03/2026</t>
        </is>
      </c>
      <c r="I4269" s="4" t="n">
        <v>3</v>
      </c>
      <c r="J4269" s="6" t="n">
        <v>5</v>
      </c>
      <c r="K4269" s="6" t="n">
        <v>106.5194811</v>
      </c>
      <c r="L4269" s="6">
        <f>I4269*K4269</f>
        <v/>
      </c>
      <c r="M4269" s="6">
        <f>K4269*4</f>
        <v/>
      </c>
      <c r="N4269" s="6" t="n">
        <v>499</v>
      </c>
    </row>
    <row r="4270">
      <c r="A4270" s="1" t="inlineStr">
        <is>
          <t>79274691374509</t>
        </is>
      </c>
      <c r="B4270" s="1" t="inlineStr">
        <is>
          <t>PULSERA LOVE DELGADA GOLD</t>
        </is>
      </c>
      <c r="C4270" s="1" t="inlineStr">
        <is>
          <t>19cm</t>
        </is>
      </c>
      <c r="D4270" s="1" t="inlineStr">
        <is>
          <t>06/05/2026</t>
        </is>
      </c>
      <c r="E4270" s="1" t="n">
        <v>2026</v>
      </c>
      <c r="F4270" s="1" t="inlineStr">
        <is>
          <t>MAYO</t>
        </is>
      </c>
      <c r="G4270" s="1" t="inlineStr">
        <is>
          <t>HAIFENG</t>
        </is>
      </c>
      <c r="H4270" s="1" t="inlineStr">
        <is>
          <t>HAIFENG 06/05/2026</t>
        </is>
      </c>
      <c r="I4270" s="4" t="n">
        <v>12</v>
      </c>
      <c r="J4270" s="6" t="n">
        <v>5</v>
      </c>
      <c r="K4270" s="6" t="n">
        <v>106.0932113</v>
      </c>
      <c r="L4270" s="6">
        <f>I4270*K4270</f>
        <v/>
      </c>
      <c r="M4270" s="6">
        <f>K4270*4</f>
        <v/>
      </c>
      <c r="N4270" s="6" t="n">
        <v>499</v>
      </c>
    </row>
    <row r="4271">
      <c r="A4271" s="1" t="inlineStr">
        <is>
          <t>79416181049069</t>
        </is>
      </c>
      <c r="B4271" s="1" t="inlineStr">
        <is>
          <t>COLLAR MM GOLD BLACK</t>
        </is>
      </c>
      <c r="C4271" s="1" t="inlineStr">
        <is>
          <t>BRASS</t>
        </is>
      </c>
      <c r="D4271" s="1" t="inlineStr">
        <is>
          <t>02/10/2025</t>
        </is>
      </c>
      <c r="E4271" s="1" t="n">
        <v>2025</v>
      </c>
      <c r="F4271" s="1" t="inlineStr">
        <is>
          <t>OCTUBRE</t>
        </is>
      </c>
      <c r="G4271" s="1" t="inlineStr">
        <is>
          <t>ZOEY</t>
        </is>
      </c>
      <c r="H4271" s="1" t="inlineStr">
        <is>
          <t>ZOEY 02/10/2025</t>
        </is>
      </c>
      <c r="I4271" s="4" t="n">
        <v>5</v>
      </c>
      <c r="J4271" s="6" t="n">
        <v>8</v>
      </c>
      <c r="K4271" s="6" t="n">
        <v>188.991488</v>
      </c>
      <c r="L4271" s="6">
        <f>I4271*K4271</f>
        <v/>
      </c>
      <c r="M4271" s="6">
        <f>K4271*4</f>
        <v/>
      </c>
      <c r="N4271" s="6" t="n">
        <v>575</v>
      </c>
    </row>
    <row r="4272">
      <c r="A4272" s="1" t="inlineStr">
        <is>
          <t>79416181049069</t>
        </is>
      </c>
      <c r="B4272" s="1" t="inlineStr">
        <is>
          <t>COLLAR MM GOLD BLACK</t>
        </is>
      </c>
      <c r="C4272" s="1" t="inlineStr">
        <is>
          <t>BRASS</t>
        </is>
      </c>
      <c r="D4272" s="1" t="inlineStr">
        <is>
          <t>20/04/2026</t>
        </is>
      </c>
      <c r="E4272" s="1" t="n">
        <v>2026</v>
      </c>
      <c r="F4272" s="1" t="inlineStr">
        <is>
          <t>ABRIL</t>
        </is>
      </c>
      <c r="G4272" s="1" t="inlineStr">
        <is>
          <t>ZOEY</t>
        </is>
      </c>
      <c r="H4272" s="1" t="inlineStr">
        <is>
          <t>ZOEY 20/04/2026</t>
        </is>
      </c>
      <c r="I4272" s="4" t="n">
        <v>3</v>
      </c>
      <c r="J4272" s="6" t="n">
        <v>8</v>
      </c>
      <c r="K4272" s="6" t="n">
        <v>204.8702267</v>
      </c>
      <c r="L4272" s="6">
        <f>I4272*K4272</f>
        <v/>
      </c>
      <c r="M4272" s="6">
        <f>K4272*4</f>
        <v/>
      </c>
      <c r="N4272" s="6" t="n">
        <v>719</v>
      </c>
    </row>
    <row r="4273">
      <c r="A4273" s="1" t="inlineStr">
        <is>
          <t>79416181049070</t>
        </is>
      </c>
      <c r="B4273" s="1" t="inlineStr">
        <is>
          <t>COLLAR MM GOLD BLACK</t>
        </is>
      </c>
      <c r="C4273" s="1" t="inlineStr">
        <is>
          <t>COPPER</t>
        </is>
      </c>
      <c r="D4273" s="1" t="inlineStr">
        <is>
          <t>08/06/2026</t>
        </is>
      </c>
      <c r="E4273" s="1" t="n">
        <v>2026</v>
      </c>
      <c r="F4273" s="1" t="inlineStr">
        <is>
          <t>JUNIO</t>
        </is>
      </c>
      <c r="G4273" s="1" t="inlineStr">
        <is>
          <t>ZOEY</t>
        </is>
      </c>
      <c r="H4273" s="1" t="inlineStr">
        <is>
          <t>ZOEY 08/06/2026</t>
        </is>
      </c>
      <c r="I4273" s="4" t="n">
        <v>1</v>
      </c>
      <c r="J4273" s="6" t="n">
        <v>8</v>
      </c>
      <c r="K4273" s="6" t="n">
        <v>196.0914916</v>
      </c>
      <c r="L4273" s="6">
        <f>I4273*K4273</f>
        <v/>
      </c>
      <c r="M4273" s="6">
        <f>K4273*4</f>
        <v/>
      </c>
      <c r="N4273" s="6" t="n">
        <v>789</v>
      </c>
    </row>
    <row r="4274">
      <c r="A4274" s="1" t="inlineStr">
        <is>
          <t>79534521160493</t>
        </is>
      </c>
      <c r="B4274" s="1" t="inlineStr">
        <is>
          <t>UGG FUNKARRA BROWN</t>
        </is>
      </c>
      <c r="C4274" s="1" t="inlineStr">
        <is>
          <t>23CM</t>
        </is>
      </c>
      <c r="D4274" s="1" t="inlineStr">
        <is>
          <t>25/10/2025</t>
        </is>
      </c>
      <c r="E4274" s="1" t="n">
        <v>2025</v>
      </c>
      <c r="F4274" s="1" t="inlineStr">
        <is>
          <t>OCTUBRE</t>
        </is>
      </c>
      <c r="G4274" s="1" t="inlineStr">
        <is>
          <t>ZOEY</t>
        </is>
      </c>
      <c r="H4274" s="1" t="inlineStr">
        <is>
          <t>ZOEY 25/10/2025</t>
        </is>
      </c>
      <c r="I4274" s="4" t="n">
        <v>2</v>
      </c>
      <c r="J4274" s="6" t="n">
        <v>58</v>
      </c>
      <c r="K4274" s="6" t="n">
        <v>1438.40634</v>
      </c>
      <c r="L4274" s="6">
        <f>I4274*K4274</f>
        <v/>
      </c>
      <c r="M4274" s="6">
        <f>K4274*4</f>
        <v/>
      </c>
      <c r="N4274" s="6" t="n">
        <v>4820.09</v>
      </c>
    </row>
    <row r="4275">
      <c r="A4275" s="1" t="inlineStr">
        <is>
          <t>79534521293261</t>
        </is>
      </c>
      <c r="B4275" s="1" t="inlineStr">
        <is>
          <t>UGG FUNKARRA BROWN</t>
        </is>
      </c>
      <c r="C4275" s="1" t="inlineStr">
        <is>
          <t>24CM</t>
        </is>
      </c>
      <c r="D4275" s="1" t="inlineStr">
        <is>
          <t>25/10/2025</t>
        </is>
      </c>
      <c r="E4275" s="1" t="n">
        <v>2025</v>
      </c>
      <c r="F4275" s="1" t="inlineStr">
        <is>
          <t>OCTUBRE</t>
        </is>
      </c>
      <c r="G4275" s="1" t="inlineStr">
        <is>
          <t>ZOEY</t>
        </is>
      </c>
      <c r="H4275" s="1" t="inlineStr">
        <is>
          <t>ZOEY 25/10/2025</t>
        </is>
      </c>
      <c r="I4275" s="4" t="n">
        <v>2</v>
      </c>
      <c r="J4275" s="6" t="n">
        <v>58</v>
      </c>
      <c r="K4275" s="6" t="n">
        <v>1438.40634</v>
      </c>
      <c r="L4275" s="6">
        <f>I4275*K4275</f>
        <v/>
      </c>
      <c r="M4275" s="6">
        <f>K4275*4</f>
        <v/>
      </c>
      <c r="N4275" s="6" t="n">
        <v>4820.09</v>
      </c>
    </row>
    <row r="4276">
      <c r="A4276" s="1" t="inlineStr">
        <is>
          <t>79534521342989</t>
        </is>
      </c>
      <c r="B4276" s="1" t="inlineStr">
        <is>
          <t>CHAMARRA MM BLACK</t>
        </is>
      </c>
      <c r="C4276" s="1" t="inlineStr">
        <is>
          <t>M</t>
        </is>
      </c>
      <c r="D4276" s="1" t="inlineStr">
        <is>
          <t>25/10/2025</t>
        </is>
      </c>
      <c r="E4276" s="1" t="n">
        <v>2025</v>
      </c>
      <c r="F4276" s="1" t="inlineStr">
        <is>
          <t>OCTUBRE</t>
        </is>
      </c>
      <c r="G4276" s="1" t="inlineStr">
        <is>
          <t>ZOEY</t>
        </is>
      </c>
      <c r="H4276" s="1" t="inlineStr">
        <is>
          <t>ZOEY 25/10/2025</t>
        </is>
      </c>
      <c r="I4276" s="4" t="n">
        <v>2</v>
      </c>
      <c r="J4276" s="6" t="n">
        <v>58</v>
      </c>
      <c r="K4276" s="6" t="n">
        <v>1438.40634</v>
      </c>
      <c r="L4276" s="6">
        <f>I4276*K4276</f>
        <v/>
      </c>
      <c r="M4276" s="6">
        <f>K4276*4</f>
        <v/>
      </c>
      <c r="N4276" s="6" t="n">
        <v>4820.09</v>
      </c>
    </row>
    <row r="4277">
      <c r="A4277" s="1" t="inlineStr">
        <is>
          <t>79684371047437</t>
        </is>
      </c>
      <c r="B4277" s="1" t="inlineStr">
        <is>
          <t>ANILLO GC BLONDIE ANCHO CON ZIRCONIA</t>
        </is>
      </c>
      <c r="C4277" s="1" t="n">
        <v>8</v>
      </c>
      <c r="D4277" s="1" t="inlineStr">
        <is>
          <t>02/10/2025</t>
        </is>
      </c>
      <c r="E4277" s="1" t="n">
        <v>2025</v>
      </c>
      <c r="F4277" s="1" t="inlineStr">
        <is>
          <t>OCTUBRE</t>
        </is>
      </c>
      <c r="G4277" s="1" t="inlineStr">
        <is>
          <t>ZOEY</t>
        </is>
      </c>
      <c r="H4277" s="1" t="inlineStr">
        <is>
          <t>ZOEY 02/10/2025</t>
        </is>
      </c>
      <c r="I4277" s="4" t="n">
        <v>2</v>
      </c>
      <c r="J4277" s="6" t="n">
        <v>9</v>
      </c>
      <c r="K4277" s="6" t="n">
        <v>212.615424</v>
      </c>
      <c r="L4277" s="6">
        <f>I4277*K4277</f>
        <v/>
      </c>
      <c r="M4277" s="6">
        <f>K4277*4</f>
        <v/>
      </c>
      <c r="N4277" s="6" t="n">
        <v>799</v>
      </c>
    </row>
    <row r="4278">
      <c r="A4278" s="1" t="inlineStr">
        <is>
          <t>79684371047437</t>
        </is>
      </c>
      <c r="B4278" s="1" t="inlineStr">
        <is>
          <t>ANILLO GC BLONDIE ANCHO CON ZIRCONIA</t>
        </is>
      </c>
      <c r="C4278" s="1" t="inlineStr">
        <is>
          <t>8</t>
        </is>
      </c>
      <c r="D4278" s="1" t="inlineStr">
        <is>
          <t>02/03/2026</t>
        </is>
      </c>
      <c r="E4278" s="1" t="n">
        <v>2026</v>
      </c>
      <c r="F4278" s="1" t="inlineStr">
        <is>
          <t>MARZO</t>
        </is>
      </c>
      <c r="G4278" s="1" t="inlineStr">
        <is>
          <t>ZOEY</t>
        </is>
      </c>
      <c r="H4278" s="1" t="inlineStr">
        <is>
          <t>ZOEY 02/03/2026</t>
        </is>
      </c>
      <c r="I4278" s="4" t="n">
        <v>2</v>
      </c>
      <c r="J4278" s="6" t="n">
        <v>9</v>
      </c>
      <c r="K4278" s="6" t="n">
        <v>236.4927815</v>
      </c>
      <c r="L4278" s="6">
        <f>I4278*K4278</f>
        <v/>
      </c>
      <c r="M4278" s="6">
        <f>K4278*4</f>
        <v/>
      </c>
      <c r="N4278" s="6" t="n">
        <v>945</v>
      </c>
    </row>
    <row r="4279">
      <c r="A4279" s="1" t="inlineStr">
        <is>
          <t>79684371047438</t>
        </is>
      </c>
      <c r="B4279" s="1" t="n"/>
      <c r="C4279" s="1" t="n">
        <v>7</v>
      </c>
      <c r="D4279" s="1" t="inlineStr">
        <is>
          <t>02/10/2025</t>
        </is>
      </c>
      <c r="E4279" s="1" t="n">
        <v>2025</v>
      </c>
      <c r="F4279" s="1" t="inlineStr">
        <is>
          <t>OCTUBRE</t>
        </is>
      </c>
      <c r="G4279" s="1" t="inlineStr">
        <is>
          <t>ZOEY</t>
        </is>
      </c>
      <c r="H4279" s="1" t="inlineStr">
        <is>
          <t>ZOEY 02/10/2025</t>
        </is>
      </c>
      <c r="I4279" s="4" t="n">
        <v>3</v>
      </c>
      <c r="J4279" s="6" t="n">
        <v>12</v>
      </c>
      <c r="K4279" s="6" t="n">
        <v>283.487232</v>
      </c>
      <c r="L4279" s="6">
        <f>I4279*K4279</f>
        <v/>
      </c>
      <c r="M4279" s="6">
        <f>K4279*4</f>
        <v/>
      </c>
      <c r="N4279" s="6" t="n">
        <v>799</v>
      </c>
    </row>
    <row r="4280">
      <c r="A4280" s="1" t="inlineStr">
        <is>
          <t>79775011055341</t>
        </is>
      </c>
      <c r="B4280" s="1" t="inlineStr">
        <is>
          <t>BOLSO YSL SHOPER ICARE</t>
        </is>
      </c>
      <c r="C4280" s="1" t="inlineStr">
        <is>
          <t>42cm x 42cm</t>
        </is>
      </c>
      <c r="D4280" s="1" t="inlineStr">
        <is>
          <t>27/04/2026</t>
        </is>
      </c>
      <c r="E4280" s="1" t="n">
        <v>2026</v>
      </c>
      <c r="F4280" s="1" t="inlineStr">
        <is>
          <t>ABRIL</t>
        </is>
      </c>
      <c r="G4280" s="1" t="inlineStr">
        <is>
          <t>CYNTHIA</t>
        </is>
      </c>
      <c r="H4280" s="1" t="inlineStr">
        <is>
          <t>CYNTHIA 27/04/2026</t>
        </is>
      </c>
      <c r="I4280" s="4" t="n">
        <v>3</v>
      </c>
      <c r="J4280" s="6" t="n">
        <v>59</v>
      </c>
      <c r="K4280" s="6" t="n">
        <v>1531.055464</v>
      </c>
      <c r="L4280" s="6">
        <f>I4280*K4280</f>
        <v/>
      </c>
      <c r="M4280" s="6">
        <f>K4280*4</f>
        <v/>
      </c>
      <c r="N4280" s="6" t="n">
        <v>5840</v>
      </c>
    </row>
    <row r="4281">
      <c r="A4281" s="1" t="inlineStr">
        <is>
          <t>79958551028717</t>
        </is>
      </c>
      <c r="B4281" s="1" t="inlineStr">
        <is>
          <t>COLLAR MM HEART GOLD BLUE</t>
        </is>
      </c>
      <c r="C4281" s="1" t="inlineStr">
        <is>
          <t>Default Title</t>
        </is>
      </c>
      <c r="D4281" s="1" t="inlineStr">
        <is>
          <t>02/10/2025</t>
        </is>
      </c>
      <c r="E4281" s="1" t="n">
        <v>2025</v>
      </c>
      <c r="F4281" s="1" t="inlineStr">
        <is>
          <t>OCTUBRE</t>
        </is>
      </c>
      <c r="G4281" s="1" t="inlineStr">
        <is>
          <t>ZOEY</t>
        </is>
      </c>
      <c r="H4281" s="1" t="inlineStr">
        <is>
          <t>ZOEY 02/10/2025</t>
        </is>
      </c>
      <c r="I4281" s="4" t="n">
        <v>4</v>
      </c>
      <c r="J4281" s="6" t="n">
        <v>9</v>
      </c>
      <c r="K4281" s="6" t="n">
        <v>212.615424</v>
      </c>
      <c r="L4281" s="6">
        <f>I4281*K4281</f>
        <v/>
      </c>
      <c r="M4281" s="6">
        <f>K4281*4</f>
        <v/>
      </c>
      <c r="N4281" s="6" t="n">
        <v>652.2</v>
      </c>
    </row>
    <row r="4282">
      <c r="A4282" s="1" t="inlineStr">
        <is>
          <t>80380861033869</t>
        </is>
      </c>
      <c r="B4282" s="1" t="inlineStr">
        <is>
          <t>BRAZALETE GC BLONDIE CRISTAL BANGLE GOLD</t>
        </is>
      </c>
      <c r="C4282" s="1" t="inlineStr">
        <is>
          <t>HIGH QUALITY</t>
        </is>
      </c>
      <c r="D4282" s="1" t="inlineStr">
        <is>
          <t>02/10/2025</t>
        </is>
      </c>
      <c r="E4282" s="1" t="n">
        <v>2025</v>
      </c>
      <c r="F4282" s="1" t="inlineStr">
        <is>
          <t>OCTUBRE</t>
        </is>
      </c>
      <c r="G4282" s="1" t="inlineStr">
        <is>
          <t>ZOEY</t>
        </is>
      </c>
      <c r="H4282" s="1" t="inlineStr">
        <is>
          <t>ZOEY 02/10/2025</t>
        </is>
      </c>
      <c r="I4282" s="4" t="n">
        <v>2</v>
      </c>
      <c r="J4282" s="6" t="n">
        <v>11</v>
      </c>
      <c r="K4282" s="6" t="n">
        <v>259.863296</v>
      </c>
      <c r="L4282" s="6">
        <f>I4282*K4282</f>
        <v/>
      </c>
      <c r="M4282" s="6">
        <f>K4282*4</f>
        <v/>
      </c>
      <c r="N4282" s="6" t="n">
        <v>1020</v>
      </c>
    </row>
    <row r="4283">
      <c r="A4283" s="1" t="inlineStr">
        <is>
          <t>80380861033869</t>
        </is>
      </c>
      <c r="B4283" s="1" t="inlineStr">
        <is>
          <t>BRAZALETE GC BLONDIE CRISTAL BANGLE GOLD</t>
        </is>
      </c>
      <c r="C4283" s="1" t="inlineStr">
        <is>
          <t>Default Title</t>
        </is>
      </c>
      <c r="D4283" s="1" t="inlineStr">
        <is>
          <t>19/03/2026</t>
        </is>
      </c>
      <c r="E4283" s="1" t="n">
        <v>2026</v>
      </c>
      <c r="F4283" s="1" t="inlineStr">
        <is>
          <t>MARZO</t>
        </is>
      </c>
      <c r="G4283" s="1" t="inlineStr">
        <is>
          <t>ZOEY</t>
        </is>
      </c>
      <c r="H4283" s="1" t="inlineStr">
        <is>
          <t>ZOEY 19/03/2026</t>
        </is>
      </c>
      <c r="I4283" s="4" t="n">
        <v>3</v>
      </c>
      <c r="J4283" s="6" t="n">
        <v>12</v>
      </c>
      <c r="K4283" s="6" t="n">
        <v>309.3845954</v>
      </c>
      <c r="L4283" s="6">
        <f>I4283*K4283</f>
        <v/>
      </c>
      <c r="M4283" s="6">
        <f>K4283*4</f>
        <v/>
      </c>
      <c r="N4283" s="6" t="n">
        <v>1239</v>
      </c>
    </row>
    <row r="4284">
      <c r="A4284" s="1" t="inlineStr">
        <is>
          <t>80464311068525</t>
        </is>
      </c>
      <c r="B4284" s="1" t="inlineStr">
        <is>
          <t>ANILLO CD EVOLUTION</t>
        </is>
      </c>
      <c r="C4284" s="1" t="n">
        <v>6</v>
      </c>
      <c r="D4284" s="1" t="inlineStr">
        <is>
          <t>01/04/2026</t>
        </is>
      </c>
      <c r="E4284" s="1" t="n">
        <v>2026</v>
      </c>
      <c r="F4284" s="1" t="inlineStr">
        <is>
          <t>ABRIL</t>
        </is>
      </c>
      <c r="G4284" s="1" t="inlineStr">
        <is>
          <t>NANCY</t>
        </is>
      </c>
      <c r="H4284" s="1" t="inlineStr">
        <is>
          <t>NANCY 01/04/2026</t>
        </is>
      </c>
      <c r="I4284" s="4" t="n">
        <v>2</v>
      </c>
      <c r="J4284" s="6" t="n">
        <v>2.8</v>
      </c>
      <c r="K4284" s="6" t="n">
        <v>67.03342683</v>
      </c>
      <c r="L4284" s="6">
        <f>I4284*K4284</f>
        <v/>
      </c>
      <c r="M4284" s="6">
        <f>K4284*4</f>
        <v/>
      </c>
      <c r="N4284" s="6" t="n">
        <v>480</v>
      </c>
    </row>
    <row r="4285">
      <c r="A4285" s="1" t="inlineStr">
        <is>
          <t>80464311068525</t>
        </is>
      </c>
      <c r="B4285" s="1" t="inlineStr">
        <is>
          <t>ANILLO CD REVOLUTION</t>
        </is>
      </c>
      <c r="C4285" s="1" t="n">
        <v>6</v>
      </c>
      <c r="D4285" s="1" t="inlineStr">
        <is>
          <t>31/05/2026</t>
        </is>
      </c>
      <c r="E4285" s="1" t="n">
        <v>2026</v>
      </c>
      <c r="F4285" s="1" t="inlineStr">
        <is>
          <t>MAYO</t>
        </is>
      </c>
      <c r="G4285" s="1" t="inlineStr">
        <is>
          <t>NANCY</t>
        </is>
      </c>
      <c r="H4285" s="1" t="inlineStr">
        <is>
          <t>NANCY 31/05/2026</t>
        </is>
      </c>
      <c r="I4285" s="4" t="n">
        <v>2</v>
      </c>
      <c r="J4285" s="6" t="n">
        <v>4.99</v>
      </c>
      <c r="K4285" s="6" t="n">
        <v>121.0952727</v>
      </c>
      <c r="L4285" s="6">
        <f>I4285*K4285</f>
        <v/>
      </c>
      <c r="M4285" s="6">
        <f>K4285*4</f>
        <v/>
      </c>
      <c r="N4285" s="6" t="n">
        <v>480</v>
      </c>
    </row>
    <row r="4286">
      <c r="A4286" s="1" t="inlineStr">
        <is>
          <t>80490861006349</t>
        </is>
      </c>
      <c r="B4286" s="1" t="inlineStr">
        <is>
          <t>CAMISETA ALLS BLACK</t>
        </is>
      </c>
      <c r="C4286" s="1" t="inlineStr">
        <is>
          <t>l</t>
        </is>
      </c>
      <c r="D4286" s="1" t="inlineStr">
        <is>
          <t>02/10/2025</t>
        </is>
      </c>
      <c r="E4286" s="1" t="n">
        <v>2025</v>
      </c>
      <c r="F4286" s="1" t="inlineStr">
        <is>
          <t>OCTUBRE</t>
        </is>
      </c>
      <c r="G4286" s="1" t="inlineStr">
        <is>
          <t>ZOEY</t>
        </is>
      </c>
      <c r="H4286" s="1" t="inlineStr">
        <is>
          <t>ZOEY 02/10/2025</t>
        </is>
      </c>
      <c r="I4286" s="4" t="n">
        <v>2</v>
      </c>
      <c r="J4286" s="6" t="n">
        <v>27</v>
      </c>
      <c r="K4286" s="6" t="n">
        <v>637.846272</v>
      </c>
      <c r="L4286" s="6">
        <f>I4286*K4286</f>
        <v/>
      </c>
      <c r="M4286" s="6">
        <f>K4286*4</f>
        <v/>
      </c>
      <c r="N4286" s="6" t="n">
        <v>1370</v>
      </c>
    </row>
    <row r="4287">
      <c r="A4287" s="1" t="inlineStr">
        <is>
          <t>80490861139117</t>
        </is>
      </c>
      <c r="B4287" s="1" t="n"/>
      <c r="C4287" s="1" t="inlineStr">
        <is>
          <t>m</t>
        </is>
      </c>
      <c r="D4287" s="1" t="inlineStr">
        <is>
          <t>02/10/2025</t>
        </is>
      </c>
      <c r="E4287" s="1" t="n">
        <v>2025</v>
      </c>
      <c r="F4287" s="1" t="inlineStr">
        <is>
          <t>OCTUBRE</t>
        </is>
      </c>
      <c r="G4287" s="1" t="inlineStr">
        <is>
          <t>ZOEY</t>
        </is>
      </c>
      <c r="H4287" s="1" t="inlineStr">
        <is>
          <t>ZOEY 02/10/2025</t>
        </is>
      </c>
      <c r="I4287" s="4" t="n">
        <v>3</v>
      </c>
      <c r="J4287" s="6" t="n">
        <v>27</v>
      </c>
      <c r="K4287" s="6" t="n">
        <v>637.846272</v>
      </c>
      <c r="L4287" s="6">
        <f>I4287*K4287</f>
        <v/>
      </c>
      <c r="M4287" s="6">
        <f>K4287*4</f>
        <v/>
      </c>
      <c r="N4287" s="6" t="n">
        <v>1370</v>
      </c>
    </row>
    <row r="4288">
      <c r="A4288" s="1" t="inlineStr">
        <is>
          <t>81003591072449</t>
        </is>
      </c>
      <c r="B4288" s="1" t="inlineStr">
        <is>
          <t>LENTES FIRST CRYSTALF F</t>
        </is>
      </c>
      <c r="C4288" s="1" t="inlineStr">
        <is>
          <t>Default Title</t>
        </is>
      </c>
      <c r="D4288" s="1" t="inlineStr">
        <is>
          <t>27/04/2026</t>
        </is>
      </c>
      <c r="E4288" s="1" t="n">
        <v>2026</v>
      </c>
      <c r="F4288" s="1" t="inlineStr">
        <is>
          <t>ABRIL</t>
        </is>
      </c>
      <c r="G4288" s="1" t="inlineStr">
        <is>
          <t>CYNTHIA</t>
        </is>
      </c>
      <c r="H4288" s="1" t="inlineStr">
        <is>
          <t>CYNTHIA 27/04/2026</t>
        </is>
      </c>
      <c r="I4288" s="4" t="n">
        <v>5</v>
      </c>
      <c r="J4288" s="6" t="n">
        <v>11</v>
      </c>
      <c r="K4288" s="6" t="n">
        <v>285.4510188</v>
      </c>
      <c r="L4288" s="6">
        <f>I4288*K4288</f>
        <v/>
      </c>
      <c r="M4288" s="6">
        <f>K4288*4</f>
        <v/>
      </c>
      <c r="N4288" s="6" t="n">
        <v>1149</v>
      </c>
    </row>
    <row r="4289">
      <c r="A4289" s="1" t="inlineStr">
        <is>
          <t>81078751122989</t>
        </is>
      </c>
      <c r="B4289" s="1" t="inlineStr">
        <is>
          <t>PULSERA LV MULTIBLOSSOM ROSEGOLD</t>
        </is>
      </c>
      <c r="C4289" s="1" t="inlineStr">
        <is>
          <t>Default Title</t>
        </is>
      </c>
      <c r="D4289" s="1" t="inlineStr">
        <is>
          <t>22/10/2025</t>
        </is>
      </c>
      <c r="E4289" s="1" t="n">
        <v>2025</v>
      </c>
      <c r="F4289" s="1" t="inlineStr">
        <is>
          <t>OCTUBRE</t>
        </is>
      </c>
      <c r="G4289" s="1" t="inlineStr">
        <is>
          <t>HAIFENG</t>
        </is>
      </c>
      <c r="H4289" s="1" t="inlineStr">
        <is>
          <t>HAIFENG 22/10/2025</t>
        </is>
      </c>
      <c r="I4289" s="4" t="n">
        <v>2</v>
      </c>
      <c r="J4289" s="6" t="n">
        <v>11</v>
      </c>
      <c r="K4289" s="6" t="n">
        <v>232.4108822</v>
      </c>
      <c r="L4289" s="6">
        <f>I4289*K4289</f>
        <v/>
      </c>
      <c r="M4289" s="6">
        <f>K4289*4</f>
        <v/>
      </c>
      <c r="N4289" s="6" t="n">
        <v>909</v>
      </c>
    </row>
    <row r="4290">
      <c r="A4290" s="1" t="inlineStr">
        <is>
          <t>81078751122989</t>
        </is>
      </c>
      <c r="B4290" s="1" t="inlineStr">
        <is>
          <t>PULSERA LV MULTIBLOSSOM ROSEGOLD</t>
        </is>
      </c>
      <c r="C4290" s="1" t="inlineStr">
        <is>
          <t>Default Title</t>
        </is>
      </c>
      <c r="D4290" s="1" t="inlineStr">
        <is>
          <t>20/01/2026</t>
        </is>
      </c>
      <c r="E4290" s="1" t="n">
        <v>2026</v>
      </c>
      <c r="F4290" s="1" t="inlineStr">
        <is>
          <t>ENERO</t>
        </is>
      </c>
      <c r="G4290" s="1" t="inlineStr">
        <is>
          <t>HAIFENG</t>
        </is>
      </c>
      <c r="H4290" s="1" t="inlineStr">
        <is>
          <t>HAIFENG 20/01/2026</t>
        </is>
      </c>
      <c r="I4290" s="4" t="n">
        <v>4</v>
      </c>
      <c r="J4290" s="6" t="n">
        <v>11</v>
      </c>
      <c r="K4290" s="6" t="n">
        <v>233.2045957</v>
      </c>
      <c r="L4290" s="6">
        <f>I4290*K4290</f>
        <v/>
      </c>
      <c r="M4290" s="6">
        <f>K4290*4</f>
        <v/>
      </c>
      <c r="N4290" s="6" t="n">
        <v>909</v>
      </c>
    </row>
    <row r="4291">
      <c r="A4291" s="1" t="inlineStr">
        <is>
          <t>81078751264237</t>
        </is>
      </c>
      <c r="B4291" s="1" t="inlineStr">
        <is>
          <t>PULSERA LV BLOSSOM ROSEGOLD ZIRCONIAS</t>
        </is>
      </c>
      <c r="C4291" s="1" t="inlineStr">
        <is>
          <t>Default Title</t>
        </is>
      </c>
      <c r="D4291" s="1" t="inlineStr">
        <is>
          <t>22/10/2025</t>
        </is>
      </c>
      <c r="E4291" s="1" t="n">
        <v>2025</v>
      </c>
      <c r="F4291" s="1" t="inlineStr">
        <is>
          <t>OCTUBRE</t>
        </is>
      </c>
      <c r="G4291" s="1" t="inlineStr">
        <is>
          <t>HAIFENG</t>
        </is>
      </c>
      <c r="H4291" s="1" t="inlineStr">
        <is>
          <t>HAIFENG 22/10/2025</t>
        </is>
      </c>
      <c r="I4291" s="4" t="n">
        <v>2</v>
      </c>
      <c r="J4291" s="6" t="n">
        <v>6.99</v>
      </c>
      <c r="K4291" s="6" t="n">
        <v>147.6865515</v>
      </c>
      <c r="L4291" s="6">
        <f>I4291*K4291</f>
        <v/>
      </c>
      <c r="M4291" s="6">
        <f>K4291*4</f>
        <v/>
      </c>
      <c r="N4291" s="6" t="n">
        <v>599</v>
      </c>
    </row>
    <row r="4292">
      <c r="A4292" s="1" t="inlineStr">
        <is>
          <t>81078751264237</t>
        </is>
      </c>
      <c r="B4292" s="1" t="inlineStr">
        <is>
          <t>PULSERA LV BLOSSOM ROSEGOLD ZIRCONIAS</t>
        </is>
      </c>
      <c r="C4292" s="1" t="inlineStr">
        <is>
          <t>Default Title</t>
        </is>
      </c>
      <c r="D4292" s="1" t="inlineStr">
        <is>
          <t>11/03/2026</t>
        </is>
      </c>
      <c r="E4292" s="1" t="n">
        <v>2026</v>
      </c>
      <c r="F4292" s="1" t="inlineStr">
        <is>
          <t>MARZO</t>
        </is>
      </c>
      <c r="G4292" s="1" t="inlineStr">
        <is>
          <t>HAIFENG</t>
        </is>
      </c>
      <c r="H4292" s="1" t="inlineStr">
        <is>
          <t>HAIFENG 11/03/2026</t>
        </is>
      </c>
      <c r="I4292" s="4" t="n">
        <v>1</v>
      </c>
      <c r="J4292" s="6" t="n">
        <v>7</v>
      </c>
      <c r="K4292" s="6" t="n">
        <v>149.1272735</v>
      </c>
      <c r="L4292" s="6">
        <f>I4292*K4292</f>
        <v/>
      </c>
      <c r="M4292" s="6">
        <f>K4292*4</f>
        <v/>
      </c>
      <c r="N4292" s="6" t="n">
        <v>599</v>
      </c>
    </row>
    <row r="4293">
      <c r="A4293" s="1" t="inlineStr">
        <is>
          <t>81078751264237</t>
        </is>
      </c>
      <c r="B4293" s="1" t="inlineStr">
        <is>
          <t>PULSERA LV BLOSSOM ROSEGOLD ZIRCONIAS</t>
        </is>
      </c>
      <c r="C4293" s="1" t="inlineStr">
        <is>
          <t>Default Title</t>
        </is>
      </c>
      <c r="D4293" s="1" t="inlineStr">
        <is>
          <t>16/04/2026</t>
        </is>
      </c>
      <c r="E4293" s="1" t="n">
        <v>2026</v>
      </c>
      <c r="F4293" s="1" t="inlineStr">
        <is>
          <t>ABRIL</t>
        </is>
      </c>
      <c r="G4293" s="1" t="inlineStr">
        <is>
          <t>HAIFENG</t>
        </is>
      </c>
      <c r="H4293" s="1" t="inlineStr">
        <is>
          <t>HAIFENG 16/04/2026</t>
        </is>
      </c>
      <c r="I4293" s="4" t="n">
        <v>2</v>
      </c>
      <c r="J4293" s="6" t="n">
        <v>7</v>
      </c>
      <c r="K4293" s="6" t="n">
        <v>147.2203151</v>
      </c>
      <c r="L4293" s="6">
        <f>I4293*K4293</f>
        <v/>
      </c>
      <c r="M4293" s="6">
        <f>K4293*4</f>
        <v/>
      </c>
      <c r="N4293" s="6" t="n">
        <v>599</v>
      </c>
    </row>
    <row r="4294">
      <c r="A4294" s="1" t="inlineStr">
        <is>
          <t>81078751345773</t>
        </is>
      </c>
      <c r="B4294" s="1" t="inlineStr">
        <is>
          <t>ARETES BLOSSOM COLGANTES ROSEGOLD</t>
        </is>
      </c>
      <c r="C4294" s="1" t="inlineStr">
        <is>
          <t>Default Title</t>
        </is>
      </c>
      <c r="D4294" s="1" t="inlineStr">
        <is>
          <t>22/10/2025</t>
        </is>
      </c>
      <c r="E4294" s="1" t="n">
        <v>2025</v>
      </c>
      <c r="F4294" s="1" t="inlineStr">
        <is>
          <t>OCTUBRE</t>
        </is>
      </c>
      <c r="G4294" s="1" t="inlineStr">
        <is>
          <t>HAIFENG</t>
        </is>
      </c>
      <c r="H4294" s="1" t="inlineStr">
        <is>
          <t>HAIFENG 22/10/2025</t>
        </is>
      </c>
      <c r="I4294" s="4" t="n">
        <v>2</v>
      </c>
      <c r="J4294" s="6" t="n">
        <v>8.99</v>
      </c>
      <c r="K4294" s="6" t="n">
        <v>189.9430755</v>
      </c>
      <c r="L4294" s="6">
        <f>I4294*K4294</f>
        <v/>
      </c>
      <c r="M4294" s="6">
        <f>K4294*4</f>
        <v/>
      </c>
      <c r="N4294" s="6" t="n">
        <v>950</v>
      </c>
    </row>
    <row r="4295">
      <c r="A4295" s="1" t="inlineStr">
        <is>
          <t>81078751345773</t>
        </is>
      </c>
      <c r="B4295" s="1" t="inlineStr">
        <is>
          <t>ARETES BLOSSOM COLGANTES ROSEGOLD</t>
        </is>
      </c>
      <c r="C4295" s="1" t="inlineStr">
        <is>
          <t>Default Title</t>
        </is>
      </c>
      <c r="D4295" s="1" t="inlineStr">
        <is>
          <t>26/05/2026</t>
        </is>
      </c>
      <c r="E4295" s="1" t="n">
        <v>2026</v>
      </c>
      <c r="F4295" s="1" t="inlineStr">
        <is>
          <t>MAYO</t>
        </is>
      </c>
      <c r="G4295" s="1" t="inlineStr">
        <is>
          <t>HAIFENG</t>
        </is>
      </c>
      <c r="H4295" s="1" t="inlineStr">
        <is>
          <t>HAIFENG 26/05/2026</t>
        </is>
      </c>
      <c r="I4295" s="4" t="n">
        <v>4</v>
      </c>
      <c r="J4295" s="6" t="n">
        <v>11</v>
      </c>
      <c r="K4295" s="6" t="n">
        <v>230.8822483</v>
      </c>
      <c r="L4295" s="6">
        <f>I4295*K4295</f>
        <v/>
      </c>
      <c r="M4295" s="6">
        <f>K4295*4</f>
        <v/>
      </c>
      <c r="N4295" s="6" t="n">
        <v>950</v>
      </c>
    </row>
    <row r="4296">
      <c r="A4296" s="1" t="inlineStr">
        <is>
          <t>81078753280493</t>
        </is>
      </c>
      <c r="B4296" s="1" t="inlineStr">
        <is>
          <t>PULSERA BV.ZERO GAPS SILVER</t>
        </is>
      </c>
      <c r="C4296" s="1" t="inlineStr">
        <is>
          <t>Default Title</t>
        </is>
      </c>
      <c r="D4296" s="1" t="inlineStr">
        <is>
          <t>22/10/2025</t>
        </is>
      </c>
      <c r="E4296" s="1" t="n">
        <v>2025</v>
      </c>
      <c r="F4296" s="1" t="inlineStr">
        <is>
          <t>OCTUBRE</t>
        </is>
      </c>
      <c r="G4296" s="1" t="inlineStr">
        <is>
          <t>HAIFENG</t>
        </is>
      </c>
      <c r="H4296" s="1" t="inlineStr">
        <is>
          <t>HAIFENG 22/10/2025</t>
        </is>
      </c>
      <c r="I4296" s="4" t="n">
        <v>2</v>
      </c>
      <c r="J4296" s="6" t="n">
        <v>8.5</v>
      </c>
      <c r="K4296" s="6" t="n">
        <v>179.5902272</v>
      </c>
      <c r="L4296" s="6">
        <f>I4296*K4296</f>
        <v/>
      </c>
      <c r="M4296" s="6">
        <f>K4296*4</f>
        <v/>
      </c>
      <c r="N4296" s="6" t="n">
        <v>720</v>
      </c>
    </row>
    <row r="4297">
      <c r="A4297" s="1" t="inlineStr">
        <is>
          <t>81078753280493</t>
        </is>
      </c>
      <c r="B4297" s="1" t="inlineStr">
        <is>
          <t>PULSERA BV.ZERO GAPS SILVER</t>
        </is>
      </c>
      <c r="C4297" s="1" t="inlineStr">
        <is>
          <t>Default Title</t>
        </is>
      </c>
      <c r="D4297" s="1" t="inlineStr">
        <is>
          <t>10/02/2026</t>
        </is>
      </c>
      <c r="E4297" s="1" t="n">
        <v>2026</v>
      </c>
      <c r="F4297" s="1" t="inlineStr">
        <is>
          <t>FEBRERO</t>
        </is>
      </c>
      <c r="G4297" s="1" t="inlineStr">
        <is>
          <t>HAIFENG</t>
        </is>
      </c>
      <c r="H4297" s="1" t="inlineStr">
        <is>
          <t>HAIFENG 10/02/2026</t>
        </is>
      </c>
      <c r="I4297" s="4" t="n">
        <v>2</v>
      </c>
      <c r="J4297" s="6" t="n">
        <v>8.5</v>
      </c>
      <c r="K4297" s="6" t="n">
        <v>179.0822166</v>
      </c>
      <c r="L4297" s="6">
        <f>I4297*K4297</f>
        <v/>
      </c>
      <c r="M4297" s="6">
        <f>K4297*4</f>
        <v/>
      </c>
      <c r="N4297" s="6" t="n">
        <v>720</v>
      </c>
    </row>
    <row r="4298">
      <c r="A4298" s="1" t="inlineStr">
        <is>
          <t>81078753280493</t>
        </is>
      </c>
      <c r="B4298" s="1" t="inlineStr">
        <is>
          <t>PULSERA BV.ZERO GAPS SILVER</t>
        </is>
      </c>
      <c r="C4298" s="1" t="inlineStr">
        <is>
          <t>Default Title</t>
        </is>
      </c>
      <c r="D4298" s="1" t="inlineStr">
        <is>
          <t>16/06/2026</t>
        </is>
      </c>
      <c r="E4298" s="1" t="n">
        <v>2026</v>
      </c>
      <c r="F4298" s="1" t="inlineStr">
        <is>
          <t>JUNIO</t>
        </is>
      </c>
      <c r="G4298" s="1" t="inlineStr">
        <is>
          <t>HAIFENG</t>
        </is>
      </c>
      <c r="H4298" s="1" t="inlineStr">
        <is>
          <t>HAIFENG 16/06/2026</t>
        </is>
      </c>
      <c r="I4298" s="4" t="n">
        <v>3</v>
      </c>
      <c r="J4298" s="6" t="n">
        <v>8.5</v>
      </c>
      <c r="K4298" s="6" t="n">
        <v>178.6241549</v>
      </c>
      <c r="L4298" s="6">
        <f>I4298*K4298</f>
        <v/>
      </c>
      <c r="M4298" s="6">
        <f>K4298*4</f>
        <v/>
      </c>
      <c r="N4298" s="6" t="n">
        <v>720</v>
      </c>
    </row>
    <row r="4299">
      <c r="A4299" s="1" t="inlineStr">
        <is>
          <t>81078753595757</t>
        </is>
      </c>
      <c r="B4299" s="1" t="inlineStr">
        <is>
          <t>ARETES PANTHERE SILVER ZIRCONIAS</t>
        </is>
      </c>
      <c r="C4299" s="1" t="inlineStr">
        <is>
          <t>Default Title</t>
        </is>
      </c>
      <c r="D4299" s="1" t="inlineStr">
        <is>
          <t>22/10/2025</t>
        </is>
      </c>
      <c r="E4299" s="1" t="n">
        <v>2025</v>
      </c>
      <c r="F4299" s="1" t="inlineStr">
        <is>
          <t>OCTUBRE</t>
        </is>
      </c>
      <c r="G4299" s="1" t="inlineStr">
        <is>
          <t>HAIFENG</t>
        </is>
      </c>
      <c r="H4299" s="1" t="inlineStr">
        <is>
          <t>HAIFENG 22/10/2025</t>
        </is>
      </c>
      <c r="I4299" s="4" t="n">
        <v>2</v>
      </c>
      <c r="J4299" s="6" t="n">
        <v>6.5</v>
      </c>
      <c r="K4299" s="6" t="n">
        <v>137.3337031</v>
      </c>
      <c r="L4299" s="6">
        <f>I4299*K4299</f>
        <v/>
      </c>
      <c r="M4299" s="6">
        <f>K4299*4</f>
        <v/>
      </c>
      <c r="N4299" s="6" t="n">
        <v>550</v>
      </c>
    </row>
    <row r="4300">
      <c r="A4300" s="1" t="inlineStr">
        <is>
          <t>81078753595757</t>
        </is>
      </c>
      <c r="B4300" s="1" t="inlineStr">
        <is>
          <t>ARETES PANTHERE SILVER ZIRCONIAS</t>
        </is>
      </c>
      <c r="C4300" s="1" t="inlineStr">
        <is>
          <t>Default Title</t>
        </is>
      </c>
      <c r="D4300" s="1" t="inlineStr">
        <is>
          <t>20/01/2026</t>
        </is>
      </c>
      <c r="E4300" s="1" t="n">
        <v>2026</v>
      </c>
      <c r="F4300" s="1" t="inlineStr">
        <is>
          <t>ENERO</t>
        </is>
      </c>
      <c r="G4300" s="1" t="inlineStr">
        <is>
          <t>HAIFENG</t>
        </is>
      </c>
      <c r="H4300" s="1" t="inlineStr">
        <is>
          <t>HAIFENG 20/01/2026</t>
        </is>
      </c>
      <c r="I4300" s="4" t="n">
        <v>1</v>
      </c>
      <c r="J4300" s="6" t="n">
        <v>6.5</v>
      </c>
      <c r="K4300" s="6" t="n">
        <v>137.8027156</v>
      </c>
      <c r="L4300" s="6">
        <f>I4300*K4300</f>
        <v/>
      </c>
      <c r="M4300" s="6">
        <f>K4300*4</f>
        <v/>
      </c>
      <c r="N4300" s="6" t="n">
        <v>550</v>
      </c>
    </row>
    <row r="4301">
      <c r="A4301" s="1" t="inlineStr">
        <is>
          <t>81078753595757</t>
        </is>
      </c>
      <c r="B4301" s="1" t="inlineStr">
        <is>
          <t>ARETES PANTHERE SILVER ZIRCONIAS</t>
        </is>
      </c>
      <c r="C4301" s="1" t="inlineStr">
        <is>
          <t>Default Title</t>
        </is>
      </c>
      <c r="D4301" s="1" t="inlineStr">
        <is>
          <t>10/02/2026</t>
        </is>
      </c>
      <c r="E4301" s="1" t="n">
        <v>2026</v>
      </c>
      <c r="F4301" s="1" t="inlineStr">
        <is>
          <t>FEBRERO</t>
        </is>
      </c>
      <c r="G4301" s="1" t="inlineStr">
        <is>
          <t>HAIFENG</t>
        </is>
      </c>
      <c r="H4301" s="1" t="inlineStr">
        <is>
          <t>HAIFENG 10/02/2026</t>
        </is>
      </c>
      <c r="I4301" s="4" t="n">
        <v>2</v>
      </c>
      <c r="J4301" s="6" t="n">
        <v>6.5</v>
      </c>
      <c r="K4301" s="6" t="n">
        <v>136.9452244</v>
      </c>
      <c r="L4301" s="6">
        <f>I4301*K4301</f>
        <v/>
      </c>
      <c r="M4301" s="6">
        <f>K4301*4</f>
        <v/>
      </c>
      <c r="N4301" s="6" t="n">
        <v>550</v>
      </c>
    </row>
    <row r="4302">
      <c r="A4302" s="1" t="inlineStr">
        <is>
          <t>81078753595757</t>
        </is>
      </c>
      <c r="B4302" s="1" t="inlineStr">
        <is>
          <t>ARETES PANTHERE SILVER ZIRCONIAS</t>
        </is>
      </c>
      <c r="C4302" s="1" t="inlineStr">
        <is>
          <t>Default Title</t>
        </is>
      </c>
      <c r="D4302" s="1" t="inlineStr">
        <is>
          <t>16/04/2026</t>
        </is>
      </c>
      <c r="E4302" s="1" t="n">
        <v>2026</v>
      </c>
      <c r="F4302" s="1" t="inlineStr">
        <is>
          <t>ABRIL</t>
        </is>
      </c>
      <c r="G4302" s="1" t="inlineStr">
        <is>
          <t>HAIFENG</t>
        </is>
      </c>
      <c r="H4302" s="1" t="inlineStr">
        <is>
          <t>HAIFENG 16/04/2026</t>
        </is>
      </c>
      <c r="I4302" s="4" t="n">
        <v>1</v>
      </c>
      <c r="J4302" s="6" t="n">
        <v>6.5</v>
      </c>
      <c r="K4302" s="6" t="n">
        <v>136.7045783</v>
      </c>
      <c r="L4302" s="6">
        <f>I4302*K4302</f>
        <v/>
      </c>
      <c r="M4302" s="6">
        <f>K4302*4</f>
        <v/>
      </c>
      <c r="N4302" s="6" t="n">
        <v>550</v>
      </c>
    </row>
    <row r="4303">
      <c r="A4303" s="1" t="inlineStr">
        <is>
          <t>81078753595757</t>
        </is>
      </c>
      <c r="B4303" s="1" t="inlineStr">
        <is>
          <t>ARETES PANTHERE SILVER ZIRCONIAS</t>
        </is>
      </c>
      <c r="C4303" s="1" t="inlineStr">
        <is>
          <t>Default Title</t>
        </is>
      </c>
      <c r="D4303" s="1" t="inlineStr">
        <is>
          <t>16/06/2026</t>
        </is>
      </c>
      <c r="E4303" s="1" t="n">
        <v>2026</v>
      </c>
      <c r="F4303" s="1" t="inlineStr">
        <is>
          <t>JUNIO</t>
        </is>
      </c>
      <c r="G4303" s="1" t="inlineStr">
        <is>
          <t>HAIFENG</t>
        </is>
      </c>
      <c r="H4303" s="1" t="inlineStr">
        <is>
          <t>HAIFENG 16/06/2026</t>
        </is>
      </c>
      <c r="I4303" s="4" t="n">
        <v>2</v>
      </c>
      <c r="J4303" s="6" t="n">
        <v>6.5</v>
      </c>
      <c r="K4303" s="6" t="n">
        <v>136.594942</v>
      </c>
      <c r="L4303" s="6">
        <f>I4303*K4303</f>
        <v/>
      </c>
      <c r="M4303" s="6">
        <f>K4303*4</f>
        <v/>
      </c>
      <c r="N4303" s="6" t="n">
        <v>550</v>
      </c>
    </row>
    <row r="4304">
      <c r="A4304" s="1" t="inlineStr">
        <is>
          <t>81420901016909</t>
        </is>
      </c>
      <c r="B4304" s="1" t="inlineStr">
        <is>
          <t>COLLAR DE CADENA GC SCRIPT GOLD</t>
        </is>
      </c>
      <c r="C4304" s="1" t="inlineStr">
        <is>
          <t>Default Title</t>
        </is>
      </c>
      <c r="D4304" s="1" t="inlineStr">
        <is>
          <t>02/10/2025</t>
        </is>
      </c>
      <c r="E4304" s="1" t="n">
        <v>2025</v>
      </c>
      <c r="F4304" s="1" t="inlineStr">
        <is>
          <t>OCTUBRE</t>
        </is>
      </c>
      <c r="G4304" s="1" t="inlineStr">
        <is>
          <t>ZOEY</t>
        </is>
      </c>
      <c r="H4304" s="1" t="inlineStr">
        <is>
          <t>ZOEY 02/10/2025</t>
        </is>
      </c>
      <c r="I4304" s="4" t="n">
        <v>2</v>
      </c>
      <c r="J4304" s="6" t="n">
        <v>9</v>
      </c>
      <c r="K4304" s="6" t="n">
        <v>212.615424</v>
      </c>
      <c r="L4304" s="6">
        <f>I4304*K4304</f>
        <v/>
      </c>
      <c r="M4304" s="6">
        <f>K4304*4</f>
        <v/>
      </c>
      <c r="N4304" s="6" t="n">
        <v>1199</v>
      </c>
    </row>
    <row r="4305">
      <c r="A4305" s="1" t="inlineStr">
        <is>
          <t>81420901016909</t>
        </is>
      </c>
      <c r="B4305" s="1" t="inlineStr">
        <is>
          <t>COLLAR DE CADENA GC SCRIPT GOLD</t>
        </is>
      </c>
      <c r="C4305" s="1" t="inlineStr">
        <is>
          <t>Default Title</t>
        </is>
      </c>
      <c r="D4305" s="1" t="inlineStr">
        <is>
          <t>02/03/2026</t>
        </is>
      </c>
      <c r="E4305" s="1" t="n">
        <v>2026</v>
      </c>
      <c r="F4305" s="1" t="inlineStr">
        <is>
          <t>MARZO</t>
        </is>
      </c>
      <c r="G4305" s="1" t="inlineStr">
        <is>
          <t>ZOEY</t>
        </is>
      </c>
      <c r="H4305" s="1" t="inlineStr">
        <is>
          <t>ZOEY 02/03/2026</t>
        </is>
      </c>
      <c r="I4305" s="4" t="n">
        <v>1</v>
      </c>
      <c r="J4305" s="6" t="n">
        <v>9</v>
      </c>
      <c r="K4305" s="6" t="n">
        <v>236.4927815</v>
      </c>
      <c r="L4305" s="6">
        <f>I4305*K4305</f>
        <v/>
      </c>
      <c r="M4305" s="6">
        <f>K4305*4</f>
        <v/>
      </c>
      <c r="N4305" s="6" t="n">
        <v>1199</v>
      </c>
    </row>
    <row r="4306">
      <c r="A4306" s="1" t="inlineStr">
        <is>
          <t>81420901016909</t>
        </is>
      </c>
      <c r="B4306" s="1" t="inlineStr">
        <is>
          <t>COLLAR DE CADENA GC SCRIPT GOLD</t>
        </is>
      </c>
      <c r="C4306" s="1" t="inlineStr">
        <is>
          <t>Default Title</t>
        </is>
      </c>
      <c r="D4306" s="1" t="inlineStr">
        <is>
          <t>20/04/2026</t>
        </is>
      </c>
      <c r="E4306" s="1" t="n">
        <v>2026</v>
      </c>
      <c r="F4306" s="1" t="inlineStr">
        <is>
          <t>ABRIL</t>
        </is>
      </c>
      <c r="G4306" s="1" t="inlineStr">
        <is>
          <t>ZOEY</t>
        </is>
      </c>
      <c r="H4306" s="1" t="inlineStr">
        <is>
          <t>ZOEY 20/04/2026</t>
        </is>
      </c>
      <c r="I4306" s="4" t="n">
        <v>2</v>
      </c>
      <c r="J4306" s="6" t="n">
        <v>9</v>
      </c>
      <c r="K4306" s="6" t="n">
        <v>230.479005</v>
      </c>
      <c r="L4306" s="6">
        <f>I4306*K4306</f>
        <v/>
      </c>
      <c r="M4306" s="6">
        <f>K4306*4</f>
        <v/>
      </c>
      <c r="N4306" s="6" t="n">
        <v>1199</v>
      </c>
    </row>
    <row r="4307">
      <c r="A4307" s="1" t="inlineStr">
        <is>
          <t>81712804295948</t>
        </is>
      </c>
      <c r="B4307" s="1" t="inlineStr">
        <is>
          <t>SANDALIAS DG BIANCA</t>
        </is>
      </c>
      <c r="C4307" s="1" t="inlineStr">
        <is>
          <t>37/ 23cm</t>
        </is>
      </c>
      <c r="D4307" s="1" t="inlineStr">
        <is>
          <t>18/02/2026</t>
        </is>
      </c>
      <c r="E4307" s="1" t="n">
        <v>2026</v>
      </c>
      <c r="F4307" s="1" t="inlineStr">
        <is>
          <t>FEBRERO</t>
        </is>
      </c>
      <c r="G4307" s="1" t="inlineStr">
        <is>
          <t>CYNTHIA</t>
        </is>
      </c>
      <c r="H4307" s="1" t="inlineStr">
        <is>
          <t>CYNTHIA 18/02/2026</t>
        </is>
      </c>
      <c r="I4307" s="4" t="n">
        <v>1</v>
      </c>
      <c r="J4307" s="6" t="n">
        <v>28</v>
      </c>
      <c r="K4307" s="6" t="n">
        <v>757.2142256</v>
      </c>
      <c r="L4307" s="6">
        <f>I4307*K4307</f>
        <v/>
      </c>
      <c r="M4307" s="6">
        <f>K4307*4</f>
        <v/>
      </c>
      <c r="N4307" s="6" t="n">
        <v>1650</v>
      </c>
    </row>
    <row r="4308">
      <c r="A4308" s="1" t="inlineStr">
        <is>
          <t>81712806088460</t>
        </is>
      </c>
      <c r="B4308" s="1" t="inlineStr">
        <is>
          <t>SANDALIAS MM</t>
        </is>
      </c>
      <c r="C4308" s="1" t="inlineStr">
        <is>
          <t>37/ 23cm</t>
        </is>
      </c>
      <c r="D4308" s="1" t="inlineStr">
        <is>
          <t>18/02/2026</t>
        </is>
      </c>
      <c r="E4308" s="1" t="n">
        <v>2026</v>
      </c>
      <c r="F4308" s="1" t="inlineStr">
        <is>
          <t>FEBRERO</t>
        </is>
      </c>
      <c r="G4308" s="1" t="inlineStr">
        <is>
          <t>CYNTHIA</t>
        </is>
      </c>
      <c r="H4308" s="1" t="inlineStr">
        <is>
          <t>CYNTHIA 18/02/2026</t>
        </is>
      </c>
      <c r="I4308" s="4" t="n">
        <v>1</v>
      </c>
      <c r="J4308" s="6" t="n">
        <v>28</v>
      </c>
      <c r="K4308" s="6" t="n">
        <v>757.2142256</v>
      </c>
      <c r="L4308" s="6">
        <f>I4308*K4308</f>
        <v/>
      </c>
      <c r="M4308" s="6">
        <f>K4308*4</f>
        <v/>
      </c>
      <c r="N4308" s="6" t="n">
        <v>2999</v>
      </c>
    </row>
    <row r="4309">
      <c r="A4309" s="1" t="inlineStr">
        <is>
          <t>81712806088460</t>
        </is>
      </c>
      <c r="B4309" s="1" t="inlineStr">
        <is>
          <t>SANDALIAS MM</t>
        </is>
      </c>
      <c r="C4309" s="1" t="inlineStr">
        <is>
          <t>37/ 23cm</t>
        </is>
      </c>
      <c r="D4309" s="1" t="inlineStr">
        <is>
          <t>19/03/2026</t>
        </is>
      </c>
      <c r="E4309" s="1" t="n">
        <v>2026</v>
      </c>
      <c r="F4309" s="1" t="inlineStr">
        <is>
          <t>MARZO</t>
        </is>
      </c>
      <c r="G4309" s="1" t="inlineStr">
        <is>
          <t>CYNTHIA</t>
        </is>
      </c>
      <c r="H4309" s="1" t="inlineStr">
        <is>
          <t>CYNTHIA 19/03/2026</t>
        </is>
      </c>
      <c r="I4309" s="4" t="n">
        <v>2</v>
      </c>
      <c r="J4309" s="6" t="n">
        <v>28</v>
      </c>
      <c r="K4309" s="6" t="n">
        <v>752.0076422</v>
      </c>
      <c r="L4309" s="6">
        <f>I4309*K4309</f>
        <v/>
      </c>
      <c r="M4309" s="6">
        <f>K4309*4</f>
        <v/>
      </c>
      <c r="N4309" s="6" t="n">
        <v>2999</v>
      </c>
    </row>
    <row r="4310">
      <c r="A4310" s="1" t="inlineStr">
        <is>
          <t>81712806088460</t>
        </is>
      </c>
      <c r="B4310" s="1" t="inlineStr">
        <is>
          <t>SANDALIAS MM</t>
        </is>
      </c>
      <c r="C4310" s="1" t="inlineStr">
        <is>
          <t>37/ 23cm</t>
        </is>
      </c>
      <c r="D4310" s="1" t="inlineStr">
        <is>
          <t>31/05/2026</t>
        </is>
      </c>
      <c r="E4310" s="1" t="n">
        <v>2026</v>
      </c>
      <c r="F4310" s="1" t="inlineStr">
        <is>
          <t>MAYO</t>
        </is>
      </c>
      <c r="G4310" s="1" t="inlineStr">
        <is>
          <t>CYNTHIA</t>
        </is>
      </c>
      <c r="H4310" s="1" t="inlineStr">
        <is>
          <t>CYNTHIA 31/05/2026</t>
        </is>
      </c>
      <c r="I4310" s="4" t="n">
        <v>3</v>
      </c>
      <c r="J4310" s="6" t="n">
        <v>28</v>
      </c>
      <c r="K4310" s="6" t="n">
        <v>742.0292594</v>
      </c>
      <c r="L4310" s="6">
        <f>I4310*K4310</f>
        <v/>
      </c>
      <c r="M4310" s="6">
        <f>K4310*4</f>
        <v/>
      </c>
      <c r="N4310" s="6" t="n">
        <v>2999</v>
      </c>
    </row>
    <row r="4311">
      <c r="A4311" s="1" t="inlineStr">
        <is>
          <t>81712806121228</t>
        </is>
      </c>
      <c r="B4311" s="1" t="inlineStr">
        <is>
          <t>SANDALIAS MM</t>
        </is>
      </c>
      <c r="C4311" s="1" t="inlineStr">
        <is>
          <t>38/ 24cm</t>
        </is>
      </c>
      <c r="D4311" s="1" t="inlineStr">
        <is>
          <t>05/09/2025</t>
        </is>
      </c>
      <c r="E4311" s="1" t="n">
        <v>2025</v>
      </c>
      <c r="F4311" s="1" t="inlineStr">
        <is>
          <t>SEPTIEMBRE</t>
        </is>
      </c>
      <c r="G4311" s="1" t="inlineStr">
        <is>
          <t>CYNTHIA</t>
        </is>
      </c>
      <c r="H4311" s="1" t="inlineStr">
        <is>
          <t>CYNTHIA 05/09/2025</t>
        </is>
      </c>
      <c r="I4311" s="4" t="n">
        <v>2</v>
      </c>
      <c r="J4311" s="6" t="n">
        <v>28</v>
      </c>
      <c r="K4311" s="6" t="n">
        <v>705.014714</v>
      </c>
      <c r="L4311" s="6">
        <f>I4311*K4311</f>
        <v/>
      </c>
      <c r="M4311" s="6">
        <f>K4311*4</f>
        <v/>
      </c>
      <c r="N4311" s="6" t="n">
        <v>2499</v>
      </c>
    </row>
    <row r="4312">
      <c r="A4312" s="1" t="inlineStr">
        <is>
          <t>81712806121228</t>
        </is>
      </c>
      <c r="B4312" s="1" t="n"/>
      <c r="C4312" s="1" t="inlineStr">
        <is>
          <t>38/ 24cm</t>
        </is>
      </c>
      <c r="D4312" s="1" t="inlineStr">
        <is>
          <t>18/02/2026</t>
        </is>
      </c>
      <c r="E4312" s="1" t="n">
        <v>2026</v>
      </c>
      <c r="F4312" s="1" t="inlineStr">
        <is>
          <t>FEBRERO</t>
        </is>
      </c>
      <c r="G4312" s="1" t="inlineStr">
        <is>
          <t>CYNTHIA</t>
        </is>
      </c>
      <c r="H4312" s="1" t="inlineStr">
        <is>
          <t>CYNTHIA 18/02/2026</t>
        </is>
      </c>
      <c r="I4312" s="4" t="n">
        <v>1</v>
      </c>
      <c r="J4312" s="6" t="n">
        <v>28</v>
      </c>
      <c r="K4312" s="6" t="n">
        <v>757.2142256</v>
      </c>
      <c r="L4312" s="6">
        <f>I4312*K4312</f>
        <v/>
      </c>
      <c r="M4312" s="6">
        <f>K4312*4</f>
        <v/>
      </c>
      <c r="N4312" s="6" t="n">
        <v>2999</v>
      </c>
    </row>
    <row r="4313">
      <c r="A4313" s="1" t="inlineStr">
        <is>
          <t>81712806121228</t>
        </is>
      </c>
      <c r="B4313" s="1" t="inlineStr">
        <is>
          <t>SANDALIAS MM</t>
        </is>
      </c>
      <c r="C4313" s="1" t="inlineStr">
        <is>
          <t>38/ 24cm</t>
        </is>
      </c>
      <c r="D4313" s="1" t="inlineStr">
        <is>
          <t>19/03/2026</t>
        </is>
      </c>
      <c r="E4313" s="1" t="n">
        <v>2026</v>
      </c>
      <c r="F4313" s="1" t="inlineStr">
        <is>
          <t>MARZO</t>
        </is>
      </c>
      <c r="G4313" s="1" t="inlineStr">
        <is>
          <t>CYNTHIA</t>
        </is>
      </c>
      <c r="H4313" s="1" t="inlineStr">
        <is>
          <t>CYNTHIA 19/03/2026</t>
        </is>
      </c>
      <c r="I4313" s="4" t="n">
        <v>2</v>
      </c>
      <c r="J4313" s="6" t="n">
        <v>28</v>
      </c>
      <c r="K4313" s="6" t="n">
        <v>752.0076422</v>
      </c>
      <c r="L4313" s="6">
        <f>I4313*K4313</f>
        <v/>
      </c>
      <c r="M4313" s="6">
        <f>K4313*4</f>
        <v/>
      </c>
      <c r="N4313" s="6" t="n">
        <v>2999</v>
      </c>
    </row>
    <row r="4314">
      <c r="A4314" s="1" t="inlineStr">
        <is>
          <t>81712806121228</t>
        </is>
      </c>
      <c r="B4314" s="1" t="inlineStr">
        <is>
          <t>SANDALIAS MM</t>
        </is>
      </c>
      <c r="C4314" s="1" t="inlineStr">
        <is>
          <t>38/ 24cm</t>
        </is>
      </c>
      <c r="D4314" s="1" t="inlineStr">
        <is>
          <t>31/05/2026</t>
        </is>
      </c>
      <c r="E4314" s="1" t="n">
        <v>2026</v>
      </c>
      <c r="F4314" s="1" t="inlineStr">
        <is>
          <t>MAYO</t>
        </is>
      </c>
      <c r="G4314" s="1" t="inlineStr">
        <is>
          <t>CYNTHIA</t>
        </is>
      </c>
      <c r="H4314" s="1" t="inlineStr">
        <is>
          <t>CYNTHIA 31/05/2026</t>
        </is>
      </c>
      <c r="I4314" s="4" t="n">
        <v>2</v>
      </c>
      <c r="J4314" s="6" t="n">
        <v>28</v>
      </c>
      <c r="K4314" s="6" t="n">
        <v>742.0292594</v>
      </c>
      <c r="L4314" s="6">
        <f>I4314*K4314</f>
        <v/>
      </c>
      <c r="M4314" s="6">
        <f>K4314*4</f>
        <v/>
      </c>
      <c r="N4314" s="6" t="n">
        <v>2999</v>
      </c>
    </row>
    <row r="4315">
      <c r="A4315" s="1" t="inlineStr">
        <is>
          <t>81712806153996</t>
        </is>
      </c>
      <c r="B4315" s="1" t="inlineStr">
        <is>
          <t>SANDALIAS MM</t>
        </is>
      </c>
      <c r="C4315" s="1" t="inlineStr">
        <is>
          <t>40/ 25cm</t>
        </is>
      </c>
      <c r="D4315" s="1" t="inlineStr">
        <is>
          <t>05/09/2025</t>
        </is>
      </c>
      <c r="E4315" s="1" t="n">
        <v>2025</v>
      </c>
      <c r="F4315" s="1" t="inlineStr">
        <is>
          <t>SEPTIEMBRE</t>
        </is>
      </c>
      <c r="G4315" s="1" t="inlineStr">
        <is>
          <t>CYNTHIA</t>
        </is>
      </c>
      <c r="H4315" s="1" t="inlineStr">
        <is>
          <t>CYNTHIA 05/09/2025</t>
        </is>
      </c>
      <c r="I4315" s="4" t="n">
        <v>1</v>
      </c>
      <c r="J4315" s="6" t="n">
        <v>28</v>
      </c>
      <c r="K4315" s="6" t="n">
        <v>705.014714</v>
      </c>
      <c r="L4315" s="6">
        <f>I4315*K4315</f>
        <v/>
      </c>
      <c r="M4315" s="6">
        <f>K4315*4</f>
        <v/>
      </c>
      <c r="N4315" s="6" t="n">
        <v>2499</v>
      </c>
    </row>
    <row r="4316">
      <c r="A4316" s="1" t="inlineStr">
        <is>
          <t>81712806153996</t>
        </is>
      </c>
      <c r="B4316" s="1" t="n"/>
      <c r="C4316" s="1" t="inlineStr">
        <is>
          <t>40/ 25cm</t>
        </is>
      </c>
      <c r="D4316" s="1" t="inlineStr">
        <is>
          <t>07/01/2026</t>
        </is>
      </c>
      <c r="E4316" s="1" t="n">
        <v>2026</v>
      </c>
      <c r="F4316" s="1" t="inlineStr">
        <is>
          <t>ENERO</t>
        </is>
      </c>
      <c r="G4316" s="1" t="inlineStr">
        <is>
          <t>CYNTHIA</t>
        </is>
      </c>
      <c r="H4316" s="1" t="inlineStr">
        <is>
          <t>CYNTHIA 07/01/2026</t>
        </is>
      </c>
      <c r="I4316" s="4" t="n">
        <v>1</v>
      </c>
      <c r="J4316" s="6" t="n">
        <v>28</v>
      </c>
      <c r="K4316" s="6" t="n">
        <v>744.4479749</v>
      </c>
      <c r="L4316" s="6">
        <f>I4316*K4316</f>
        <v/>
      </c>
      <c r="M4316" s="6">
        <f>K4316*4</f>
        <v/>
      </c>
      <c r="N4316" s="6" t="n">
        <v>2999</v>
      </c>
    </row>
    <row r="4317">
      <c r="A4317" s="1" t="inlineStr">
        <is>
          <t>81712806153996</t>
        </is>
      </c>
      <c r="B4317" s="1" t="inlineStr">
        <is>
          <t>SANDALIAS MM</t>
        </is>
      </c>
      <c r="C4317" s="1" t="inlineStr">
        <is>
          <t>40/ 25cm</t>
        </is>
      </c>
      <c r="D4317" s="1" t="inlineStr">
        <is>
          <t>19/03/2026</t>
        </is>
      </c>
      <c r="E4317" s="1" t="n">
        <v>2026</v>
      </c>
      <c r="F4317" s="1" t="inlineStr">
        <is>
          <t>MARZO</t>
        </is>
      </c>
      <c r="G4317" s="1" t="inlineStr">
        <is>
          <t>CYNTHIA</t>
        </is>
      </c>
      <c r="H4317" s="1" t="inlineStr">
        <is>
          <t>CYNTHIA 19/03/2026</t>
        </is>
      </c>
      <c r="I4317" s="4" t="n">
        <v>2</v>
      </c>
      <c r="J4317" s="6" t="n">
        <v>28</v>
      </c>
      <c r="K4317" s="6" t="n">
        <v>752.0076422</v>
      </c>
      <c r="L4317" s="6">
        <f>I4317*K4317</f>
        <v/>
      </c>
      <c r="M4317" s="6">
        <f>K4317*4</f>
        <v/>
      </c>
      <c r="N4317" s="6" t="n">
        <v>2999</v>
      </c>
    </row>
    <row r="4318">
      <c r="A4318" s="1" t="inlineStr">
        <is>
          <t>81712806153996</t>
        </is>
      </c>
      <c r="B4318" s="1" t="inlineStr">
        <is>
          <t>SANDALIAS MM</t>
        </is>
      </c>
      <c r="C4318" s="1" t="inlineStr">
        <is>
          <t>40/ 25cm</t>
        </is>
      </c>
      <c r="D4318" s="1" t="inlineStr">
        <is>
          <t>31/05/2026</t>
        </is>
      </c>
      <c r="E4318" s="1" t="n">
        <v>2026</v>
      </c>
      <c r="F4318" s="1" t="inlineStr">
        <is>
          <t>MAYO</t>
        </is>
      </c>
      <c r="G4318" s="1" t="inlineStr">
        <is>
          <t>CYNTHIA</t>
        </is>
      </c>
      <c r="H4318" s="1" t="inlineStr">
        <is>
          <t>CYNTHIA 31/05/2026</t>
        </is>
      </c>
      <c r="I4318" s="4" t="n">
        <v>5</v>
      </c>
      <c r="J4318" s="6" t="n">
        <v>28</v>
      </c>
      <c r="K4318" s="6" t="n">
        <v>742.0292594</v>
      </c>
      <c r="L4318" s="6">
        <f>I4318*K4318</f>
        <v/>
      </c>
      <c r="M4318" s="6">
        <f>K4318*4</f>
        <v/>
      </c>
      <c r="N4318" s="6" t="n">
        <v>2999</v>
      </c>
    </row>
    <row r="4319">
      <c r="A4319" s="1" t="inlineStr">
        <is>
          <t>81712809885196</t>
        </is>
      </c>
      <c r="B4319" s="1" t="inlineStr">
        <is>
          <t>BOLSO C CLAUDE SILVER BLACK</t>
        </is>
      </c>
      <c r="C4319" s="1" t="inlineStr">
        <is>
          <t>20.5cm de largo x 11.5cm de alto x 3.5cm de ancho</t>
        </is>
      </c>
      <c r="D4319" s="1" t="inlineStr">
        <is>
          <t>25/10/2025</t>
        </is>
      </c>
      <c r="E4319" s="1" t="n">
        <v>2025</v>
      </c>
      <c r="F4319" s="1" t="inlineStr">
        <is>
          <t>OCTUBRE</t>
        </is>
      </c>
      <c r="G4319" s="1" t="inlineStr">
        <is>
          <t>CYNTHIA</t>
        </is>
      </c>
      <c r="H4319" s="1" t="inlineStr">
        <is>
          <t>CYNTHIA 25/10/2025</t>
        </is>
      </c>
      <c r="I4319" s="4" t="n">
        <v>3</v>
      </c>
      <c r="J4319" s="6" t="n">
        <v>48</v>
      </c>
      <c r="K4319" s="6" t="n">
        <v>1257.687532</v>
      </c>
      <c r="L4319" s="6">
        <f>I4319*K4319</f>
        <v/>
      </c>
      <c r="M4319" s="6">
        <f>K4319*4</f>
        <v/>
      </c>
      <c r="N4319" s="6" t="n">
        <v>5095</v>
      </c>
    </row>
    <row r="4320">
      <c r="A4320" s="1" t="inlineStr">
        <is>
          <t>81712809885196</t>
        </is>
      </c>
      <c r="B4320" s="1" t="inlineStr">
        <is>
          <t>BOLSO C CLAUDE SILVER BLACK</t>
        </is>
      </c>
      <c r="C4320" s="1" t="inlineStr">
        <is>
          <t>20.5cm de largo x 11.5cm de alto x 3.5cm de ancho</t>
        </is>
      </c>
      <c r="D4320" s="1" t="inlineStr">
        <is>
          <t>07/01/2026</t>
        </is>
      </c>
      <c r="E4320" s="1" t="n">
        <v>2026</v>
      </c>
      <c r="F4320" s="1" t="inlineStr">
        <is>
          <t>ENERO</t>
        </is>
      </c>
      <c r="G4320" s="1" t="inlineStr">
        <is>
          <t>CYNTHIA</t>
        </is>
      </c>
      <c r="H4320" s="1" t="inlineStr">
        <is>
          <t>CYNTHIA 07/01/2026</t>
        </is>
      </c>
      <c r="I4320" s="4" t="n">
        <v>2</v>
      </c>
      <c r="J4320" s="6" t="n">
        <v>46</v>
      </c>
      <c r="K4320" s="6" t="n">
        <v>1223.021673</v>
      </c>
      <c r="L4320" s="6">
        <f>I4320*K4320</f>
        <v/>
      </c>
      <c r="M4320" s="6">
        <f>K4320*4</f>
        <v/>
      </c>
      <c r="N4320" s="6" t="n">
        <v>5095</v>
      </c>
    </row>
    <row r="4321">
      <c r="A4321" s="1" t="inlineStr">
        <is>
          <t>81712809885196</t>
        </is>
      </c>
      <c r="B4321" s="1" t="inlineStr">
        <is>
          <t>BOLSO C CLAUDE SILVER BLACK</t>
        </is>
      </c>
      <c r="C4321" s="1" t="inlineStr">
        <is>
          <t>20.5cm de largo x 11.5cm de alto x 3.5cm de ancho</t>
        </is>
      </c>
      <c r="D4321" s="1" t="inlineStr">
        <is>
          <t>31/05/2026</t>
        </is>
      </c>
      <c r="E4321" s="1" t="n">
        <v>2026</v>
      </c>
      <c r="F4321" s="1" t="inlineStr">
        <is>
          <t>MAYO</t>
        </is>
      </c>
      <c r="G4321" s="1" t="inlineStr">
        <is>
          <t>CYNTHIA</t>
        </is>
      </c>
      <c r="H4321" s="1" t="inlineStr">
        <is>
          <t>CYNTHIA 31/05/2026</t>
        </is>
      </c>
      <c r="I4321" s="4" t="n">
        <v>3</v>
      </c>
      <c r="J4321" s="6" t="n">
        <v>48</v>
      </c>
      <c r="K4321" s="6" t="n">
        <v>1272.050159</v>
      </c>
      <c r="L4321" s="6">
        <f>I4321*K4321</f>
        <v/>
      </c>
      <c r="M4321" s="6">
        <f>K4321*4</f>
        <v/>
      </c>
      <c r="N4321" s="6" t="n">
        <v>5095</v>
      </c>
    </row>
    <row r="4322">
      <c r="A4322" s="1" t="inlineStr">
        <is>
          <t>81712814328716</t>
        </is>
      </c>
      <c r="B4322" s="1" t="n"/>
      <c r="C4322" s="1" t="inlineStr">
        <is>
          <t>38/24cm</t>
        </is>
      </c>
      <c r="D4322" s="1" t="inlineStr">
        <is>
          <t>18/02/2026</t>
        </is>
      </c>
      <c r="E4322" s="1" t="n">
        <v>2026</v>
      </c>
      <c r="F4322" s="1" t="inlineStr">
        <is>
          <t>FEBRERO</t>
        </is>
      </c>
      <c r="G4322" s="1" t="inlineStr">
        <is>
          <t>CYNTHIA</t>
        </is>
      </c>
      <c r="H4322" s="1" t="inlineStr">
        <is>
          <t>CYNTHIA 18/02/2026</t>
        </is>
      </c>
      <c r="I4322" s="4" t="n">
        <v>1</v>
      </c>
      <c r="J4322" s="6" t="n">
        <v>28</v>
      </c>
      <c r="K4322" s="6" t="n">
        <v>757.2142256</v>
      </c>
      <c r="L4322" s="6">
        <f>I4322*K4322</f>
        <v/>
      </c>
      <c r="M4322" s="6">
        <f>K4322*4</f>
        <v/>
      </c>
      <c r="N4322" s="6" t="n">
        <v>1650</v>
      </c>
    </row>
    <row r="4323">
      <c r="A4323" s="1" t="inlineStr">
        <is>
          <t>81712814361484</t>
        </is>
      </c>
      <c r="B4323" s="1" t="n"/>
      <c r="C4323" s="1" t="inlineStr">
        <is>
          <t>MEDIUM QUALITY 40/ 25cm</t>
        </is>
      </c>
      <c r="D4323" s="1" t="inlineStr">
        <is>
          <t>07/01/2026</t>
        </is>
      </c>
      <c r="E4323" s="1" t="n">
        <v>2026</v>
      </c>
      <c r="F4323" s="1" t="inlineStr">
        <is>
          <t>ENERO</t>
        </is>
      </c>
      <c r="G4323" s="1" t="inlineStr">
        <is>
          <t>CYNTHIA</t>
        </is>
      </c>
      <c r="H4323" s="1" t="inlineStr">
        <is>
          <t>CYNTHIA 07/01/2026</t>
        </is>
      </c>
      <c r="I4323" s="4" t="n">
        <v>2</v>
      </c>
      <c r="J4323" s="6" t="n">
        <v>28</v>
      </c>
      <c r="K4323" s="6" t="n">
        <v>744.4479749</v>
      </c>
      <c r="L4323" s="6">
        <f>I4323*K4323</f>
        <v/>
      </c>
      <c r="M4323" s="6">
        <f>K4323*4</f>
        <v/>
      </c>
      <c r="N4323" s="6" t="n">
        <v>1999</v>
      </c>
    </row>
    <row r="4324">
      <c r="A4324" s="1" t="inlineStr">
        <is>
          <t>81836201247181</t>
        </is>
      </c>
      <c r="B4324" s="1" t="inlineStr">
        <is>
          <t>ANILLO CLAVO SILVER (WITHOUT ZIRCONIAS)</t>
        </is>
      </c>
      <c r="C4324" s="1" t="inlineStr">
        <is>
          <t>10 HIGH QUALITY</t>
        </is>
      </c>
      <c r="D4324" s="1" t="inlineStr">
        <is>
          <t>16/04/2026</t>
        </is>
      </c>
      <c r="E4324" s="1" t="n">
        <v>2026</v>
      </c>
      <c r="F4324" s="1" t="inlineStr">
        <is>
          <t>ABRIL</t>
        </is>
      </c>
      <c r="G4324" s="1" t="inlineStr">
        <is>
          <t>HAIFENG</t>
        </is>
      </c>
      <c r="H4324" s="1" t="inlineStr">
        <is>
          <t>HAIFENG 16/04/2026</t>
        </is>
      </c>
      <c r="I4324" s="4" t="n">
        <v>6</v>
      </c>
      <c r="J4324" s="6" t="n">
        <v>2.5</v>
      </c>
      <c r="K4324" s="6" t="n">
        <v>52.57868397</v>
      </c>
      <c r="L4324" s="6">
        <f>I4324*K4324</f>
        <v/>
      </c>
      <c r="M4324" s="6">
        <f>K4324*4</f>
        <v/>
      </c>
      <c r="N4324" s="6" t="n">
        <v>400</v>
      </c>
    </row>
    <row r="4325">
      <c r="A4325" s="1" t="inlineStr">
        <is>
          <t>81836201485581</t>
        </is>
      </c>
      <c r="B4325" s="1" t="inlineStr">
        <is>
          <t>COLLAR TRES AROS</t>
        </is>
      </c>
      <c r="C4325" s="1" t="inlineStr">
        <is>
          <t>45cm middle quality</t>
        </is>
      </c>
      <c r="D4325" s="1" t="inlineStr">
        <is>
          <t>03/12/2025</t>
        </is>
      </c>
      <c r="E4325" s="1" t="n">
        <v>2025</v>
      </c>
      <c r="F4325" s="1" t="inlineStr">
        <is>
          <t>DICIEMBRE</t>
        </is>
      </c>
      <c r="G4325" s="1" t="inlineStr">
        <is>
          <t>NANCY</t>
        </is>
      </c>
      <c r="H4325" s="1" t="inlineStr">
        <is>
          <t>NANCY 03/12/2025</t>
        </is>
      </c>
      <c r="I4325" s="4" t="n">
        <v>2</v>
      </c>
      <c r="J4325" s="6" t="n">
        <v>7.39</v>
      </c>
      <c r="K4325" s="6" t="n">
        <v>174.823319</v>
      </c>
      <c r="L4325" s="6">
        <f>I4325*K4325</f>
        <v/>
      </c>
      <c r="M4325" s="6">
        <f>K4325*4</f>
        <v/>
      </c>
      <c r="N4325" s="6" t="n">
        <v>529.9400000000001</v>
      </c>
    </row>
    <row r="4326">
      <c r="A4326" s="1" t="inlineStr">
        <is>
          <t>81836201485581</t>
        </is>
      </c>
      <c r="B4326" s="1" t="inlineStr">
        <is>
          <t>COLLAR TRES AROS</t>
        </is>
      </c>
      <c r="C4326" s="1" t="inlineStr">
        <is>
          <t>45cm middle quality</t>
        </is>
      </c>
      <c r="D4326" s="1" t="inlineStr">
        <is>
          <t>06/05/2026</t>
        </is>
      </c>
      <c r="E4326" s="1" t="n">
        <v>2026</v>
      </c>
      <c r="F4326" s="1" t="inlineStr">
        <is>
          <t>MAYO</t>
        </is>
      </c>
      <c r="G4326" s="1" t="inlineStr">
        <is>
          <t>HAIFENG</t>
        </is>
      </c>
      <c r="H4326" s="1" t="inlineStr">
        <is>
          <t>HAIFENG 06/05/2026</t>
        </is>
      </c>
      <c r="I4326" s="4" t="n">
        <v>3</v>
      </c>
      <c r="J4326" s="6" t="n">
        <v>7</v>
      </c>
      <c r="K4326" s="6" t="n">
        <v>148.5304959</v>
      </c>
      <c r="L4326" s="6">
        <f>I4326*K4326</f>
        <v/>
      </c>
      <c r="M4326" s="6">
        <f>K4326*4</f>
        <v/>
      </c>
      <c r="N4326" s="6" t="n">
        <v>580</v>
      </c>
    </row>
    <row r="4327">
      <c r="A4327" s="1" t="inlineStr">
        <is>
          <t>81836202265453</t>
        </is>
      </c>
      <c r="B4327" s="1" t="inlineStr">
        <is>
          <t>ANILLO P STARS</t>
        </is>
      </c>
      <c r="C4327" s="1" t="inlineStr">
        <is>
          <t>9</t>
        </is>
      </c>
      <c r="D4327" s="1" t="inlineStr">
        <is>
          <t>31/05/2026</t>
        </is>
      </c>
      <c r="E4327" s="1" t="n">
        <v>2026</v>
      </c>
      <c r="F4327" s="1" t="inlineStr">
        <is>
          <t>MAYO</t>
        </is>
      </c>
      <c r="G4327" s="1" t="inlineStr">
        <is>
          <t>CYNTHIA</t>
        </is>
      </c>
      <c r="H4327" s="1" t="inlineStr">
        <is>
          <t>CYNTHIA 31/05/2026</t>
        </is>
      </c>
      <c r="I4327" s="4" t="n">
        <v>2</v>
      </c>
      <c r="J4327" s="6" t="n">
        <v>1.7</v>
      </c>
      <c r="K4327" s="6" t="n">
        <v>45.05177646</v>
      </c>
      <c r="L4327" s="6">
        <f>I4327*K4327</f>
        <v/>
      </c>
      <c r="M4327" s="6">
        <f>K4327*4</f>
        <v/>
      </c>
      <c r="N4327" s="6" t="n">
        <v>250</v>
      </c>
    </row>
    <row r="4328">
      <c r="A4328" s="1" t="inlineStr">
        <is>
          <t>82014673288716</t>
        </is>
      </c>
      <c r="B4328" s="1" t="inlineStr">
        <is>
          <t>COLLAR SIXTEEN STONE</t>
        </is>
      </c>
      <c r="C4328" s="1" t="inlineStr">
        <is>
          <t>43cm con extensión de 5cm</t>
        </is>
      </c>
      <c r="D4328" s="1" t="inlineStr">
        <is>
          <t>11/11/2025</t>
        </is>
      </c>
      <c r="E4328" s="1" t="n">
        <v>2025</v>
      </c>
      <c r="F4328" s="1" t="inlineStr">
        <is>
          <t>NOVIEMBRE</t>
        </is>
      </c>
      <c r="G4328" s="1" t="inlineStr">
        <is>
          <t>HAIFENG</t>
        </is>
      </c>
      <c r="H4328" s="1" t="inlineStr">
        <is>
          <t>HAIFENG 11/11/2025</t>
        </is>
      </c>
      <c r="I4328" s="4" t="n">
        <v>1</v>
      </c>
      <c r="J4328" s="6" t="n">
        <v>7.5</v>
      </c>
      <c r="K4328" s="6" t="n">
        <v>157.9537383</v>
      </c>
      <c r="L4328" s="6">
        <f>I4328*K4328</f>
        <v/>
      </c>
      <c r="M4328" s="6">
        <f>K4328*4</f>
        <v/>
      </c>
      <c r="N4328" s="6" t="n">
        <v>650</v>
      </c>
    </row>
    <row r="4329">
      <c r="A4329" s="1" t="inlineStr">
        <is>
          <t>82014673288716</t>
        </is>
      </c>
      <c r="B4329" s="1" t="inlineStr">
        <is>
          <t>COLLAR SIXTEEN STONE</t>
        </is>
      </c>
      <c r="C4329" s="1" t="inlineStr">
        <is>
          <t>43cm con extensión de 5cm</t>
        </is>
      </c>
      <c r="D4329" s="1" t="inlineStr">
        <is>
          <t>10/02/2026</t>
        </is>
      </c>
      <c r="E4329" s="1" t="n">
        <v>2026</v>
      </c>
      <c r="F4329" s="1" t="inlineStr">
        <is>
          <t>FEBRERO</t>
        </is>
      </c>
      <c r="G4329" s="1" t="inlineStr">
        <is>
          <t>HAIFENG</t>
        </is>
      </c>
      <c r="H4329" s="1" t="inlineStr">
        <is>
          <t>HAIFENG 10/02/2026</t>
        </is>
      </c>
      <c r="I4329" s="4" t="n">
        <v>4</v>
      </c>
      <c r="J4329" s="6" t="n">
        <v>7.5</v>
      </c>
      <c r="K4329" s="6" t="n">
        <v>158.0137205</v>
      </c>
      <c r="L4329" s="6">
        <f>I4329*K4329</f>
        <v/>
      </c>
      <c r="M4329" s="6">
        <f>K4329*4</f>
        <v/>
      </c>
      <c r="N4329" s="6" t="n">
        <v>650</v>
      </c>
    </row>
    <row r="4330">
      <c r="A4330" s="1" t="inlineStr">
        <is>
          <t>82014673288716</t>
        </is>
      </c>
      <c r="B4330" s="1" t="inlineStr">
        <is>
          <t>COLLAR SIXTEEN STONE</t>
        </is>
      </c>
      <c r="C4330" s="1" t="inlineStr">
        <is>
          <t>43cm con extensión de 5cm</t>
        </is>
      </c>
      <c r="D4330" s="1" t="inlineStr">
        <is>
          <t>26/05/2026</t>
        </is>
      </c>
      <c r="E4330" s="1" t="n">
        <v>2026</v>
      </c>
      <c r="F4330" s="1" t="inlineStr">
        <is>
          <t>MAYO</t>
        </is>
      </c>
      <c r="G4330" s="1" t="inlineStr">
        <is>
          <t>HAIFENG</t>
        </is>
      </c>
      <c r="H4330" s="1" t="inlineStr">
        <is>
          <t>HAIFENG 26/05/2026</t>
        </is>
      </c>
      <c r="I4330" s="4" t="n">
        <v>2</v>
      </c>
      <c r="J4330" s="6" t="n">
        <v>7.5</v>
      </c>
      <c r="K4330" s="6" t="n">
        <v>157.4197147</v>
      </c>
      <c r="L4330" s="6">
        <f>I4330*K4330</f>
        <v/>
      </c>
      <c r="M4330" s="6">
        <f>K4330*4</f>
        <v/>
      </c>
      <c r="N4330" s="6" t="n">
        <v>650</v>
      </c>
    </row>
    <row r="4331">
      <c r="A4331" s="1" t="inlineStr">
        <is>
          <t>82014673288716</t>
        </is>
      </c>
      <c r="B4331" s="1" t="inlineStr">
        <is>
          <t>COLLAR SIXTEEN STONE</t>
        </is>
      </c>
      <c r="C4331" s="1" t="inlineStr">
        <is>
          <t>43cm con extensión de 5cm</t>
        </is>
      </c>
      <c r="D4331" s="1" t="inlineStr">
        <is>
          <t>16/06/2026</t>
        </is>
      </c>
      <c r="E4331" s="1" t="n">
        <v>2026</v>
      </c>
      <c r="F4331" s="1" t="inlineStr">
        <is>
          <t>JUNIO</t>
        </is>
      </c>
      <c r="G4331" s="1" t="inlineStr">
        <is>
          <t>HAIFENG</t>
        </is>
      </c>
      <c r="H4331" s="1" t="inlineStr">
        <is>
          <t>HAIFENG 16/06/2026</t>
        </is>
      </c>
      <c r="I4331" s="4" t="n">
        <v>2</v>
      </c>
      <c r="J4331" s="6" t="n">
        <v>7.5</v>
      </c>
      <c r="K4331" s="6" t="n">
        <v>157.6095484</v>
      </c>
      <c r="L4331" s="6">
        <f>I4331*K4331</f>
        <v/>
      </c>
      <c r="M4331" s="6">
        <f>K4331*4</f>
        <v/>
      </c>
      <c r="N4331" s="6" t="n">
        <v>650</v>
      </c>
    </row>
    <row r="4332">
      <c r="A4332" s="1" t="inlineStr">
        <is>
          <t>82014673388812</t>
        </is>
      </c>
      <c r="B4332" s="1" t="inlineStr">
        <is>
          <t>PULSERA SMILE GOLD</t>
        </is>
      </c>
      <c r="C4332" s="1" t="inlineStr">
        <is>
          <t>16cm con extensión de 3cm</t>
        </is>
      </c>
      <c r="D4332" s="1" t="inlineStr">
        <is>
          <t>01/09/2025</t>
        </is>
      </c>
      <c r="E4332" s="1" t="n">
        <v>2025</v>
      </c>
      <c r="F4332" s="1" t="inlineStr">
        <is>
          <t>SEPTIEMBRE</t>
        </is>
      </c>
      <c r="G4332" s="1" t="inlineStr">
        <is>
          <t>HAIFENG</t>
        </is>
      </c>
      <c r="H4332" s="1" t="inlineStr">
        <is>
          <t>HAIFENG 01/09/2025</t>
        </is>
      </c>
      <c r="I4332" s="4" t="n">
        <v>8</v>
      </c>
      <c r="J4332" s="6" t="n">
        <v>7.5</v>
      </c>
      <c r="K4332" s="6" t="n">
        <v>159.417533</v>
      </c>
      <c r="L4332" s="6">
        <f>I4332*K4332</f>
        <v/>
      </c>
      <c r="M4332" s="6">
        <f>K4332*4</f>
        <v/>
      </c>
      <c r="N4332" s="6" t="n">
        <v>649</v>
      </c>
    </row>
    <row r="4333">
      <c r="A4333" s="1" t="inlineStr">
        <is>
          <t>82014673388812</t>
        </is>
      </c>
      <c r="B4333" s="1" t="inlineStr">
        <is>
          <t>PULSERA SMILE GOLD</t>
        </is>
      </c>
      <c r="C4333" s="1" t="inlineStr">
        <is>
          <t>16cm con extensión de 3cm</t>
        </is>
      </c>
      <c r="D4333" s="1" t="inlineStr">
        <is>
          <t>20/01/2026</t>
        </is>
      </c>
      <c r="E4333" s="1" t="n">
        <v>2026</v>
      </c>
      <c r="F4333" s="1" t="inlineStr">
        <is>
          <t>ENERO</t>
        </is>
      </c>
      <c r="G4333" s="1" t="inlineStr">
        <is>
          <t>HAIFENG</t>
        </is>
      </c>
      <c r="H4333" s="1" t="inlineStr">
        <is>
          <t>HAIFENG 20/01/2026</t>
        </is>
      </c>
      <c r="I4333" s="4" t="n">
        <v>2</v>
      </c>
      <c r="J4333" s="6" t="n">
        <v>7.5</v>
      </c>
      <c r="K4333" s="6" t="n">
        <v>159.0031334</v>
      </c>
      <c r="L4333" s="6">
        <f>I4333*K4333</f>
        <v/>
      </c>
      <c r="M4333" s="6">
        <f>K4333*4</f>
        <v/>
      </c>
      <c r="N4333" s="6" t="n">
        <v>649</v>
      </c>
    </row>
    <row r="4334">
      <c r="A4334" s="1" t="inlineStr">
        <is>
          <t>82014673388812</t>
        </is>
      </c>
      <c r="B4334" s="1" t="inlineStr">
        <is>
          <t>PULSERA SMILE GOLD</t>
        </is>
      </c>
      <c r="C4334" s="1" t="inlineStr">
        <is>
          <t>16cm con extensión de 3cm</t>
        </is>
      </c>
      <c r="D4334" s="1" t="inlineStr">
        <is>
          <t>16/04/2026</t>
        </is>
      </c>
      <c r="E4334" s="1" t="n">
        <v>2026</v>
      </c>
      <c r="F4334" s="1" t="inlineStr">
        <is>
          <t>ABRIL</t>
        </is>
      </c>
      <c r="G4334" s="1" t="inlineStr">
        <is>
          <t>HAIFENG</t>
        </is>
      </c>
      <c r="H4334" s="1" t="inlineStr">
        <is>
          <t>HAIFENG 16/04/2026</t>
        </is>
      </c>
      <c r="I4334" s="4" t="n">
        <v>7</v>
      </c>
      <c r="J4334" s="6" t="n">
        <v>7.5</v>
      </c>
      <c r="K4334" s="6" t="n">
        <v>157.7360519</v>
      </c>
      <c r="L4334" s="6">
        <f>I4334*K4334</f>
        <v/>
      </c>
      <c r="M4334" s="6">
        <f>K4334*4</f>
        <v/>
      </c>
      <c r="N4334" s="6" t="n">
        <v>649</v>
      </c>
    </row>
    <row r="4335">
      <c r="A4335" s="1" t="inlineStr">
        <is>
          <t>82014675304844</t>
        </is>
      </c>
      <c r="B4335" s="1" t="inlineStr">
        <is>
          <t>PULSERA SMILE ROSEGOLD</t>
        </is>
      </c>
      <c r="C4335" s="1" t="inlineStr">
        <is>
          <t>16cm con extensión de 3cm</t>
        </is>
      </c>
      <c r="D4335" s="1" t="inlineStr">
        <is>
          <t>11/03/2026</t>
        </is>
      </c>
      <c r="E4335" s="1" t="n">
        <v>2026</v>
      </c>
      <c r="F4335" s="1" t="inlineStr">
        <is>
          <t>MARZO</t>
        </is>
      </c>
      <c r="G4335" s="1" t="inlineStr">
        <is>
          <t>HAIFENG</t>
        </is>
      </c>
      <c r="H4335" s="1" t="inlineStr">
        <is>
          <t>HAIFENG 11/03/2026</t>
        </is>
      </c>
      <c r="I4335" s="4" t="n">
        <v>3</v>
      </c>
      <c r="J4335" s="6" t="n">
        <v>7.5</v>
      </c>
      <c r="K4335" s="6" t="n">
        <v>159.7792216</v>
      </c>
      <c r="L4335" s="6">
        <f>I4335*K4335</f>
        <v/>
      </c>
      <c r="M4335" s="6">
        <f>K4335*4</f>
        <v/>
      </c>
      <c r="N4335" s="6" t="n">
        <v>650</v>
      </c>
    </row>
    <row r="4336">
      <c r="A4336" s="1" t="inlineStr">
        <is>
          <t>82014675304844</t>
        </is>
      </c>
      <c r="B4336" s="1" t="inlineStr">
        <is>
          <t>PULSERA SMILE ROSEGOLD</t>
        </is>
      </c>
      <c r="C4336" s="1" t="inlineStr">
        <is>
          <t>16cm con extensión de 3cm</t>
        </is>
      </c>
      <c r="D4336" s="1" t="inlineStr">
        <is>
          <t>16/06/2026</t>
        </is>
      </c>
      <c r="E4336" s="1" t="n">
        <v>2026</v>
      </c>
      <c r="F4336" s="1" t="inlineStr">
        <is>
          <t>JUNIO</t>
        </is>
      </c>
      <c r="G4336" s="1" t="inlineStr">
        <is>
          <t>HAIFENG</t>
        </is>
      </c>
      <c r="H4336" s="1" t="inlineStr">
        <is>
          <t>HAIFENG 16/06/2026</t>
        </is>
      </c>
      <c r="I4336" s="4" t="n">
        <v>2</v>
      </c>
      <c r="J4336" s="6" t="n">
        <v>7.5</v>
      </c>
      <c r="K4336" s="6" t="n">
        <v>157.6095484</v>
      </c>
      <c r="L4336" s="6">
        <f>I4336*K4336</f>
        <v/>
      </c>
      <c r="M4336" s="6">
        <f>K4336*4</f>
        <v/>
      </c>
      <c r="N4336" s="6" t="n">
        <v>650</v>
      </c>
    </row>
    <row r="4337">
      <c r="A4337" s="1" t="inlineStr">
        <is>
          <t>82014675495692</t>
        </is>
      </c>
      <c r="B4337" s="1" t="inlineStr">
        <is>
          <t>PULSERA SMILE SILVER</t>
        </is>
      </c>
      <c r="C4337" s="1" t="inlineStr">
        <is>
          <t>16cm con extensión de 3cm</t>
        </is>
      </c>
      <c r="D4337" s="1" t="inlineStr">
        <is>
          <t>03/12/2025</t>
        </is>
      </c>
      <c r="E4337" s="1" t="n">
        <v>2025</v>
      </c>
      <c r="F4337" s="1" t="inlineStr">
        <is>
          <t>DICIEMBRE</t>
        </is>
      </c>
      <c r="G4337" s="1" t="inlineStr">
        <is>
          <t>HAIFENG</t>
        </is>
      </c>
      <c r="H4337" s="1" t="inlineStr">
        <is>
          <t>HAIFENG 03/12/2025</t>
        </is>
      </c>
      <c r="I4337" s="4" t="n">
        <v>1</v>
      </c>
      <c r="J4337" s="6" t="n">
        <v>6</v>
      </c>
      <c r="K4337" s="6" t="n">
        <v>125.5029601</v>
      </c>
      <c r="L4337" s="6">
        <f>I4337*K4337</f>
        <v/>
      </c>
      <c r="M4337" s="6">
        <f>K4337*4</f>
        <v/>
      </c>
      <c r="N4337" s="6" t="n">
        <v>650</v>
      </c>
    </row>
    <row r="4338">
      <c r="A4338" s="1" t="inlineStr">
        <is>
          <t>82014675495692</t>
        </is>
      </c>
      <c r="B4338" s="1" t="inlineStr">
        <is>
          <t>PULSERA SMILE SILVER</t>
        </is>
      </c>
      <c r="C4338" s="1" t="inlineStr">
        <is>
          <t>16cm con extensión de 5cm</t>
        </is>
      </c>
      <c r="D4338" s="1" t="inlineStr">
        <is>
          <t>11/03/2026</t>
        </is>
      </c>
      <c r="E4338" s="1" t="n">
        <v>2026</v>
      </c>
      <c r="F4338" s="1" t="inlineStr">
        <is>
          <t>MARZO</t>
        </is>
      </c>
      <c r="G4338" s="1" t="inlineStr">
        <is>
          <t>HAIFENG</t>
        </is>
      </c>
      <c r="H4338" s="1" t="inlineStr">
        <is>
          <t>HAIFENG 11/03/2026</t>
        </is>
      </c>
      <c r="I4338" s="4" t="n">
        <v>3</v>
      </c>
      <c r="J4338" s="6" t="n">
        <v>7.5</v>
      </c>
      <c r="K4338" s="6" t="n">
        <v>159.7792216</v>
      </c>
      <c r="L4338" s="6">
        <f>I4338*K4338</f>
        <v/>
      </c>
      <c r="M4338" s="6">
        <f>K4338*4</f>
        <v/>
      </c>
      <c r="N4338" s="6" t="n">
        <v>650</v>
      </c>
    </row>
    <row r="4339">
      <c r="A4339" s="1" t="inlineStr">
        <is>
          <t>82014675495692</t>
        </is>
      </c>
      <c r="B4339" s="1" t="inlineStr">
        <is>
          <t>PULSERA SMILE SILVER</t>
        </is>
      </c>
      <c r="C4339" s="1" t="inlineStr">
        <is>
          <t>16cm con extensión de 5cm</t>
        </is>
      </c>
      <c r="D4339" s="1" t="inlineStr">
        <is>
          <t>06/05/2026</t>
        </is>
      </c>
      <c r="E4339" s="1" t="n">
        <v>2026</v>
      </c>
      <c r="F4339" s="1" t="inlineStr">
        <is>
          <t>MAYO</t>
        </is>
      </c>
      <c r="G4339" s="1" t="inlineStr">
        <is>
          <t>HAIFENG</t>
        </is>
      </c>
      <c r="H4339" s="1" t="inlineStr">
        <is>
          <t>HAIFENG 06/05/2026</t>
        </is>
      </c>
      <c r="I4339" s="4" t="n">
        <v>2</v>
      </c>
      <c r="J4339" s="6" t="n">
        <v>7.5</v>
      </c>
      <c r="K4339" s="6" t="n">
        <v>159.139817</v>
      </c>
      <c r="L4339" s="6">
        <f>I4339*K4339</f>
        <v/>
      </c>
      <c r="M4339" s="6">
        <f>K4339*4</f>
        <v/>
      </c>
      <c r="N4339" s="6" t="n">
        <v>650</v>
      </c>
    </row>
    <row r="4340">
      <c r="A4340" s="1" t="inlineStr">
        <is>
          <t>82014675495692</t>
        </is>
      </c>
      <c r="B4340" s="1" t="inlineStr">
        <is>
          <t>PULSERA SMILE SILVER</t>
        </is>
      </c>
      <c r="C4340" s="1" t="inlineStr">
        <is>
          <t>16cm con extensión de 5cm</t>
        </is>
      </c>
      <c r="D4340" s="1" t="inlineStr">
        <is>
          <t>16/06/2026</t>
        </is>
      </c>
      <c r="E4340" s="1" t="n">
        <v>2026</v>
      </c>
      <c r="F4340" s="1" t="inlineStr">
        <is>
          <t>JUNIO</t>
        </is>
      </c>
      <c r="G4340" s="1" t="inlineStr">
        <is>
          <t>HAIFENG</t>
        </is>
      </c>
      <c r="H4340" s="1" t="inlineStr">
        <is>
          <t>HAIFENG 16/06/2026</t>
        </is>
      </c>
      <c r="I4340" s="4" t="n">
        <v>2</v>
      </c>
      <c r="J4340" s="6" t="n">
        <v>7.5</v>
      </c>
      <c r="K4340" s="6" t="n">
        <v>157.6095484</v>
      </c>
      <c r="L4340" s="6">
        <f>I4340*K4340</f>
        <v/>
      </c>
      <c r="M4340" s="6">
        <f>K4340*4</f>
        <v/>
      </c>
      <c r="N4340" s="6" t="n">
        <v>650</v>
      </c>
    </row>
    <row r="4341">
      <c r="A4341" s="1" t="inlineStr">
        <is>
          <t>82112081096013</t>
        </is>
      </c>
      <c r="B4341" s="1" t="inlineStr">
        <is>
          <t>ANILLO LV INSTICT GOLD-8</t>
        </is>
      </c>
      <c r="C4341" s="1" t="n">
        <v>8</v>
      </c>
      <c r="D4341" s="1" t="inlineStr">
        <is>
          <t>25/09/2025</t>
        </is>
      </c>
      <c r="E4341" s="1" t="n">
        <v>2025</v>
      </c>
      <c r="F4341" s="1" t="inlineStr">
        <is>
          <t>SEPTIEMBRE</t>
        </is>
      </c>
      <c r="G4341" s="1" t="inlineStr">
        <is>
          <t>HAIFENG</t>
        </is>
      </c>
      <c r="H4341" s="1" t="inlineStr">
        <is>
          <t>HAIFENG 25/09/2025</t>
        </is>
      </c>
      <c r="I4341" s="4" t="n">
        <v>2</v>
      </c>
      <c r="J4341" s="6" t="n">
        <v>5.99</v>
      </c>
      <c r="K4341" s="6" t="n">
        <v>126.3703458</v>
      </c>
      <c r="L4341" s="6">
        <f>I4341*K4341</f>
        <v/>
      </c>
      <c r="M4341" s="6">
        <f>K4341*4</f>
        <v/>
      </c>
      <c r="N4341" s="6" t="n">
        <v>493.58</v>
      </c>
    </row>
    <row r="4342">
      <c r="A4342" s="1" t="inlineStr">
        <is>
          <t>82112081096014</t>
        </is>
      </c>
      <c r="B4342" s="1" t="inlineStr">
        <is>
          <t>ANILLO LV INSTICT GOLD-9</t>
        </is>
      </c>
      <c r="C4342" s="1" t="n">
        <v>9</v>
      </c>
      <c r="D4342" s="1" t="inlineStr">
        <is>
          <t>25/09/2025</t>
        </is>
      </c>
      <c r="E4342" s="1" t="n">
        <v>2025</v>
      </c>
      <c r="F4342" s="1" t="inlineStr">
        <is>
          <t>SEPTIEMBRE</t>
        </is>
      </c>
      <c r="G4342" s="1" t="inlineStr">
        <is>
          <t>HAIFENG</t>
        </is>
      </c>
      <c r="H4342" s="1" t="inlineStr">
        <is>
          <t>HAIFENG 25/09/2025</t>
        </is>
      </c>
      <c r="I4342" s="4" t="n">
        <v>2</v>
      </c>
      <c r="J4342" s="6" t="n">
        <v>5.99</v>
      </c>
      <c r="K4342" s="6" t="n">
        <v>126.3703458</v>
      </c>
      <c r="L4342" s="6">
        <f>I4342*K4342</f>
        <v/>
      </c>
      <c r="M4342" s="6">
        <f>K4342*4</f>
        <v/>
      </c>
      <c r="N4342" s="6" t="n">
        <v>493.58</v>
      </c>
    </row>
    <row r="4343">
      <c r="A4343" s="1" t="inlineStr">
        <is>
          <t>82224431085741</t>
        </is>
      </c>
      <c r="B4343" s="1" t="inlineStr">
        <is>
          <t>BOLSO MM WANDER OFF WHITE</t>
        </is>
      </c>
      <c r="C4343" s="1" t="inlineStr">
        <is>
          <t>WHITE</t>
        </is>
      </c>
      <c r="D4343" s="1" t="inlineStr">
        <is>
          <t>02/03/2026</t>
        </is>
      </c>
      <c r="E4343" s="1" t="n">
        <v>2026</v>
      </c>
      <c r="F4343" s="1" t="inlineStr">
        <is>
          <t>MARZO</t>
        </is>
      </c>
      <c r="G4343" s="1" t="inlineStr">
        <is>
          <t>ZOEY</t>
        </is>
      </c>
      <c r="H4343" s="1" t="inlineStr">
        <is>
          <t>ZOEY 02/03/2026</t>
        </is>
      </c>
      <c r="I4343" s="4" t="n">
        <v>2</v>
      </c>
      <c r="J4343" s="6" t="n">
        <v>48</v>
      </c>
      <c r="K4343" s="6" t="n">
        <v>1261.294835</v>
      </c>
      <c r="L4343" s="6">
        <f>I4343*K4343</f>
        <v/>
      </c>
      <c r="M4343" s="6">
        <f>K4343*4</f>
        <v/>
      </c>
      <c r="N4343" s="6" t="n">
        <v>4414.53</v>
      </c>
    </row>
    <row r="4344">
      <c r="A4344" s="1" t="inlineStr">
        <is>
          <t>82224431124141</t>
        </is>
      </c>
      <c r="B4344" s="1" t="n"/>
      <c r="C4344" s="1" t="inlineStr">
        <is>
          <t>40 (25 cm)</t>
        </is>
      </c>
      <c r="D4344" s="1" t="inlineStr">
        <is>
          <t>18/02/2026</t>
        </is>
      </c>
      <c r="E4344" s="1" t="n">
        <v>2026</v>
      </c>
      <c r="F4344" s="1" t="inlineStr">
        <is>
          <t>FEBRERO</t>
        </is>
      </c>
      <c r="G4344" s="1" t="inlineStr">
        <is>
          <t>CYNTHIA</t>
        </is>
      </c>
      <c r="H4344" s="1" t="inlineStr">
        <is>
          <t>CYNTHIA 18/02/2026</t>
        </is>
      </c>
      <c r="I4344" s="4" t="n">
        <v>2</v>
      </c>
      <c r="J4344" s="6" t="n">
        <v>30</v>
      </c>
      <c r="K4344" s="6" t="n">
        <v>811.300956</v>
      </c>
      <c r="L4344" s="6">
        <f>I4344*K4344</f>
        <v/>
      </c>
      <c r="M4344" s="6">
        <f>K4344*4</f>
        <v/>
      </c>
      <c r="N4344" s="6" t="n">
        <v>3189</v>
      </c>
    </row>
    <row r="4345">
      <c r="A4345" s="1" t="inlineStr">
        <is>
          <t>82224431124141</t>
        </is>
      </c>
      <c r="B4345" s="1" t="inlineStr">
        <is>
          <t>SANDALIAS H WHITE</t>
        </is>
      </c>
      <c r="C4345" s="1" t="inlineStr">
        <is>
          <t>40 (25 cm)</t>
        </is>
      </c>
      <c r="D4345" s="1" t="inlineStr">
        <is>
          <t>19/03/2026</t>
        </is>
      </c>
      <c r="E4345" s="1" t="n">
        <v>2026</v>
      </c>
      <c r="F4345" s="1" t="inlineStr">
        <is>
          <t>MARZO</t>
        </is>
      </c>
      <c r="G4345" s="1" t="inlineStr">
        <is>
          <t>CYNTHIA</t>
        </is>
      </c>
      <c r="H4345" s="1" t="inlineStr">
        <is>
          <t>CYNTHIA 19/03/2026</t>
        </is>
      </c>
      <c r="I4345" s="4" t="n">
        <v>1</v>
      </c>
      <c r="J4345" s="6" t="n">
        <v>30</v>
      </c>
      <c r="K4345" s="6" t="n">
        <v>805.7224738</v>
      </c>
      <c r="L4345" s="6">
        <f>I4345*K4345</f>
        <v/>
      </c>
      <c r="M4345" s="6">
        <f>K4345*4</f>
        <v/>
      </c>
      <c r="N4345" s="6" t="n">
        <v>3189</v>
      </c>
    </row>
    <row r="4346">
      <c r="A4346" s="1" t="inlineStr">
        <is>
          <t>82224431124141</t>
        </is>
      </c>
      <c r="B4346" s="1" t="inlineStr">
        <is>
          <t>SANDALIAS H WHITE</t>
        </is>
      </c>
      <c r="C4346" s="1" t="inlineStr">
        <is>
          <t>40 (25 cm)</t>
        </is>
      </c>
      <c r="D4346" s="1" t="inlineStr">
        <is>
          <t>31/05/2026</t>
        </is>
      </c>
      <c r="E4346" s="1" t="n">
        <v>2026</v>
      </c>
      <c r="F4346" s="1" t="inlineStr">
        <is>
          <t>MAYO</t>
        </is>
      </c>
      <c r="G4346" s="1" t="inlineStr">
        <is>
          <t>CYNTHIA</t>
        </is>
      </c>
      <c r="H4346" s="1" t="inlineStr">
        <is>
          <t>CYNTHIA 31/05/2026</t>
        </is>
      </c>
      <c r="I4346" s="4" t="n">
        <v>6</v>
      </c>
      <c r="J4346" s="6" t="n">
        <v>30</v>
      </c>
      <c r="K4346" s="6" t="n">
        <v>795.0313493</v>
      </c>
      <c r="L4346" s="6">
        <f>I4346*K4346</f>
        <v/>
      </c>
      <c r="M4346" s="6">
        <f>K4346*4</f>
        <v/>
      </c>
      <c r="N4346" s="6" t="n">
        <v>3189</v>
      </c>
    </row>
    <row r="4347">
      <c r="A4347" s="1" t="inlineStr">
        <is>
          <t>82224432134061</t>
        </is>
      </c>
      <c r="B4347" s="1" t="inlineStr">
        <is>
          <t>ZAPATILLAS YSL OPYUM BLACK</t>
        </is>
      </c>
      <c r="C4347" s="1" t="inlineStr">
        <is>
          <t>26 cm</t>
        </is>
      </c>
      <c r="D4347" s="1" t="inlineStr">
        <is>
          <t>20/01/2026</t>
        </is>
      </c>
      <c r="E4347" s="1" t="n">
        <v>2026</v>
      </c>
      <c r="F4347" s="1" t="inlineStr">
        <is>
          <t>ENERO</t>
        </is>
      </c>
      <c r="G4347" s="1" t="inlineStr">
        <is>
          <t>ZOEY</t>
        </is>
      </c>
      <c r="H4347" s="1" t="inlineStr">
        <is>
          <t>ZOEY 20/01/2026</t>
        </is>
      </c>
      <c r="I4347" s="4" t="n">
        <v>2</v>
      </c>
      <c r="J4347" s="6" t="n">
        <v>65</v>
      </c>
      <c r="K4347" s="6" t="n">
        <v>1692.053959</v>
      </c>
      <c r="L4347" s="6">
        <f>I4347*K4347</f>
        <v/>
      </c>
      <c r="M4347" s="6">
        <f>K4347*4</f>
        <v/>
      </c>
      <c r="N4347" s="6" t="n">
        <v>6339</v>
      </c>
    </row>
    <row r="4348">
      <c r="A4348" s="1" t="inlineStr">
        <is>
          <t>82224432971117</t>
        </is>
      </c>
      <c r="B4348" s="1" t="inlineStr">
        <is>
          <t>PULSERA CLAVO ROSE GOLD CON ZIRCONIA</t>
        </is>
      </c>
      <c r="C4348" s="1" t="inlineStr">
        <is>
          <t>17 cm</t>
        </is>
      </c>
      <c r="D4348" s="1" t="inlineStr">
        <is>
          <t>06/09/2025</t>
        </is>
      </c>
      <c r="E4348" s="1" t="n">
        <v>2025</v>
      </c>
      <c r="F4348" s="1" t="inlineStr">
        <is>
          <t>SEPTIEMBRE</t>
        </is>
      </c>
      <c r="G4348" s="1" t="inlineStr">
        <is>
          <t>NANCY</t>
        </is>
      </c>
      <c r="H4348" s="1" t="inlineStr">
        <is>
          <t>NANCY 06/09/2025</t>
        </is>
      </c>
      <c r="I4348" s="4" t="n">
        <v>5</v>
      </c>
      <c r="J4348" s="6" t="n">
        <v>3.99</v>
      </c>
      <c r="K4348" s="6" t="n">
        <v>92.90978174</v>
      </c>
      <c r="L4348" s="6">
        <f>I4348*K4348</f>
        <v/>
      </c>
      <c r="M4348" s="6">
        <f>K4348*4</f>
        <v/>
      </c>
      <c r="N4348" s="6" t="n">
        <v>430</v>
      </c>
    </row>
    <row r="4349">
      <c r="A4349" s="1" t="inlineStr">
        <is>
          <t>82224432971117</t>
        </is>
      </c>
      <c r="B4349" s="1" t="inlineStr">
        <is>
          <t>PULSERA CLAVO JUST UN CLOU ZIRCONIA ROSEGOLD</t>
        </is>
      </c>
      <c r="C4349" s="1" t="inlineStr">
        <is>
          <t>17 cm</t>
        </is>
      </c>
      <c r="D4349" s="1" t="inlineStr">
        <is>
          <t>03/12/2025</t>
        </is>
      </c>
      <c r="E4349" s="1" t="n">
        <v>2025</v>
      </c>
      <c r="F4349" s="1" t="inlineStr">
        <is>
          <t>DICIEMBRE</t>
        </is>
      </c>
      <c r="G4349" s="1" t="inlineStr">
        <is>
          <t>NANCY</t>
        </is>
      </c>
      <c r="H4349" s="1" t="inlineStr">
        <is>
          <t>NANCY 03/12/2025</t>
        </is>
      </c>
      <c r="I4349" s="4" t="n">
        <v>3</v>
      </c>
      <c r="J4349" s="6" t="n">
        <v>3.99</v>
      </c>
      <c r="K4349" s="6" t="n">
        <v>94.39039819</v>
      </c>
      <c r="L4349" s="6">
        <f>I4349*K4349</f>
        <v/>
      </c>
      <c r="M4349" s="6">
        <f>K4349*4</f>
        <v/>
      </c>
      <c r="N4349" s="6" t="n">
        <v>430</v>
      </c>
    </row>
    <row r="4350">
      <c r="A4350" s="1" t="inlineStr">
        <is>
          <t>82224432971117</t>
        </is>
      </c>
      <c r="B4350" s="1" t="inlineStr">
        <is>
          <t>PULSERA CLAVO JUST UN CLOU ZIRCONIA ROSEGOLD</t>
        </is>
      </c>
      <c r="C4350" s="1" t="inlineStr">
        <is>
          <t>17 cm</t>
        </is>
      </c>
      <c r="D4350" s="1" t="inlineStr">
        <is>
          <t>01/03/2026</t>
        </is>
      </c>
      <c r="E4350" s="1" t="n">
        <v>2026</v>
      </c>
      <c r="F4350" s="1" t="inlineStr">
        <is>
          <t>MARZO</t>
        </is>
      </c>
      <c r="G4350" s="1" t="inlineStr">
        <is>
          <t>NANCY</t>
        </is>
      </c>
      <c r="H4350" s="1" t="inlineStr">
        <is>
          <t>NANCY 01/03/2026</t>
        </is>
      </c>
      <c r="I4350" s="4" t="n">
        <v>1</v>
      </c>
      <c r="J4350" s="6" t="n">
        <v>3.99</v>
      </c>
      <c r="K4350" s="6" t="n">
        <v>100.9618362</v>
      </c>
      <c r="L4350" s="6">
        <f>I4350*K4350</f>
        <v/>
      </c>
      <c r="M4350" s="6">
        <f>K4350*4</f>
        <v/>
      </c>
      <c r="N4350" s="6" t="n">
        <v>430</v>
      </c>
    </row>
    <row r="4351">
      <c r="A4351" s="1" t="inlineStr">
        <is>
          <t>82224432971117</t>
        </is>
      </c>
      <c r="B4351" s="1" t="inlineStr">
        <is>
          <t>PULSERA CLAVO JUST UN CLOU ZIRCONIA ROSEGOLD</t>
        </is>
      </c>
      <c r="C4351" s="1" t="inlineStr">
        <is>
          <t>17 cm</t>
        </is>
      </c>
      <c r="D4351" s="1" t="inlineStr">
        <is>
          <t>01/04/2026</t>
        </is>
      </c>
      <c r="E4351" s="1" t="n">
        <v>2026</v>
      </c>
      <c r="F4351" s="1" t="inlineStr">
        <is>
          <t>ABRIL</t>
        </is>
      </c>
      <c r="G4351" s="1" t="inlineStr">
        <is>
          <t>NANCY</t>
        </is>
      </c>
      <c r="H4351" s="1" t="inlineStr">
        <is>
          <t>NANCY 01/04/2026</t>
        </is>
      </c>
      <c r="I4351" s="4" t="n">
        <v>2</v>
      </c>
      <c r="J4351" s="6" t="n">
        <v>3.99</v>
      </c>
      <c r="K4351" s="6" t="n">
        <v>95.52263323</v>
      </c>
      <c r="L4351" s="6">
        <f>I4351*K4351</f>
        <v/>
      </c>
      <c r="M4351" s="6">
        <f>K4351*4</f>
        <v/>
      </c>
      <c r="N4351" s="6" t="n">
        <v>430</v>
      </c>
    </row>
    <row r="4352">
      <c r="A4352" s="1" t="inlineStr">
        <is>
          <t>82224433003885</t>
        </is>
      </c>
      <c r="B4352" s="1" t="inlineStr">
        <is>
          <t>PULSERA CLAVO ROSE GOLD CON ZIRCONIA</t>
        </is>
      </c>
      <c r="C4352" s="1" t="inlineStr">
        <is>
          <t>19 cm</t>
        </is>
      </c>
      <c r="D4352" s="1" t="inlineStr">
        <is>
          <t>06/09/2025</t>
        </is>
      </c>
      <c r="E4352" s="1" t="n">
        <v>2025</v>
      </c>
      <c r="F4352" s="1" t="inlineStr">
        <is>
          <t>SEPTIEMBRE</t>
        </is>
      </c>
      <c r="G4352" s="1" t="inlineStr">
        <is>
          <t>NANCY</t>
        </is>
      </c>
      <c r="H4352" s="1" t="inlineStr">
        <is>
          <t>NANCY 06/09/2025</t>
        </is>
      </c>
      <c r="I4352" s="4" t="n">
        <v>3</v>
      </c>
      <c r="J4352" s="6" t="n">
        <v>3.99</v>
      </c>
      <c r="K4352" s="6" t="n">
        <v>92.90978174</v>
      </c>
      <c r="L4352" s="6">
        <f>I4352*K4352</f>
        <v/>
      </c>
      <c r="M4352" s="6">
        <f>K4352*4</f>
        <v/>
      </c>
      <c r="N4352" s="6" t="n">
        <v>250</v>
      </c>
    </row>
    <row r="4353">
      <c r="A4353" s="1" t="inlineStr">
        <is>
          <t>82224433003885</t>
        </is>
      </c>
      <c r="B4353" s="1" t="n"/>
      <c r="C4353" s="1" t="inlineStr">
        <is>
          <t>19 cm</t>
        </is>
      </c>
      <c r="D4353" s="1" t="inlineStr">
        <is>
          <t>03/12/2025</t>
        </is>
      </c>
      <c r="E4353" s="1" t="n">
        <v>2025</v>
      </c>
      <c r="F4353" s="1" t="inlineStr">
        <is>
          <t>DICIEMBRE</t>
        </is>
      </c>
      <c r="G4353" s="1" t="inlineStr">
        <is>
          <t>NANCY</t>
        </is>
      </c>
      <c r="H4353" s="1" t="inlineStr">
        <is>
          <t>NANCY 03/12/2025</t>
        </is>
      </c>
      <c r="I4353" s="4" t="n">
        <v>2</v>
      </c>
      <c r="J4353" s="6" t="n">
        <v>3.99</v>
      </c>
      <c r="K4353" s="6" t="n">
        <v>94.39039819</v>
      </c>
      <c r="L4353" s="6">
        <f>I4353*K4353</f>
        <v/>
      </c>
      <c r="M4353" s="6">
        <f>K4353*4</f>
        <v/>
      </c>
      <c r="N4353" s="6" t="n">
        <v>250</v>
      </c>
    </row>
    <row r="4354">
      <c r="A4354" s="1" t="inlineStr">
        <is>
          <t>82224433136653</t>
        </is>
      </c>
      <c r="B4354" s="1" t="inlineStr">
        <is>
          <t>PULSERA CLAVO ROSEGOLD</t>
        </is>
      </c>
      <c r="C4354" s="1" t="inlineStr">
        <is>
          <t>17 cm</t>
        </is>
      </c>
      <c r="D4354" s="1" t="inlineStr">
        <is>
          <t>01/03/2026</t>
        </is>
      </c>
      <c r="E4354" s="1" t="n">
        <v>2026</v>
      </c>
      <c r="F4354" s="1" t="inlineStr">
        <is>
          <t>MARZO</t>
        </is>
      </c>
      <c r="G4354" s="1" t="inlineStr">
        <is>
          <t>NANCY</t>
        </is>
      </c>
      <c r="H4354" s="1" t="inlineStr">
        <is>
          <t>NANCY 01/03/2026</t>
        </is>
      </c>
      <c r="I4354" s="4" t="n">
        <v>4</v>
      </c>
      <c r="J4354" s="6" t="n">
        <v>2.99</v>
      </c>
      <c r="K4354" s="6" t="n">
        <v>75.65811782</v>
      </c>
      <c r="L4354" s="6">
        <f>I4354*K4354</f>
        <v/>
      </c>
      <c r="M4354" s="6">
        <f>K4354*4</f>
        <v/>
      </c>
      <c r="N4354" s="6" t="n">
        <v>450</v>
      </c>
    </row>
    <row r="4355">
      <c r="A4355" s="1" t="inlineStr">
        <is>
          <t>82224433136653</t>
        </is>
      </c>
      <c r="B4355" s="1" t="inlineStr">
        <is>
          <t>PULSERA CLAVO ROSE GOLD</t>
        </is>
      </c>
      <c r="C4355" s="1" t="inlineStr">
        <is>
          <t>17 cm</t>
        </is>
      </c>
      <c r="D4355" s="1" t="inlineStr">
        <is>
          <t>16/04/2026</t>
        </is>
      </c>
      <c r="E4355" s="1" t="n">
        <v>2026</v>
      </c>
      <c r="F4355" s="1" t="inlineStr">
        <is>
          <t>ABRIL</t>
        </is>
      </c>
      <c r="G4355" s="1" t="inlineStr">
        <is>
          <t>HAIFENG</t>
        </is>
      </c>
      <c r="H4355" s="1" t="inlineStr">
        <is>
          <t>HAIFENG 16/04/2026</t>
        </is>
      </c>
      <c r="I4355" s="4" t="n">
        <v>2</v>
      </c>
      <c r="J4355" s="6" t="n">
        <v>5</v>
      </c>
      <c r="K4355" s="6" t="n">
        <v>105.1573679</v>
      </c>
      <c r="L4355" s="6">
        <f>I4355*K4355</f>
        <v/>
      </c>
      <c r="M4355" s="6">
        <f>K4355*4</f>
        <v/>
      </c>
      <c r="N4355" s="6" t="n">
        <v>450</v>
      </c>
    </row>
    <row r="4356">
      <c r="A4356" s="1" t="inlineStr">
        <is>
          <t>82224433136653</t>
        </is>
      </c>
      <c r="B4356" s="1" t="inlineStr">
        <is>
          <t>PULSERA CLAVO ROSEGOLD</t>
        </is>
      </c>
      <c r="C4356" s="1" t="inlineStr">
        <is>
          <t>17 cm</t>
        </is>
      </c>
      <c r="D4356" s="1" t="inlineStr">
        <is>
          <t>08/05/2026</t>
        </is>
      </c>
      <c r="E4356" s="1" t="n">
        <v>2026</v>
      </c>
      <c r="F4356" s="1" t="inlineStr">
        <is>
          <t>MAYO</t>
        </is>
      </c>
      <c r="G4356" s="1" t="inlineStr">
        <is>
          <t>NANCY</t>
        </is>
      </c>
      <c r="H4356" s="1" t="inlineStr">
        <is>
          <t>NANCY 08/05/2026</t>
        </is>
      </c>
      <c r="I4356" s="4" t="n">
        <v>2</v>
      </c>
      <c r="J4356" s="6" t="n">
        <v>2.99</v>
      </c>
      <c r="K4356" s="6" t="n">
        <v>70.73670423</v>
      </c>
      <c r="L4356" s="6">
        <f>I4356*K4356</f>
        <v/>
      </c>
      <c r="M4356" s="6">
        <f>K4356*4</f>
        <v/>
      </c>
      <c r="N4356" s="6" t="n">
        <v>450</v>
      </c>
    </row>
    <row r="4357">
      <c r="A4357" s="1" t="inlineStr">
        <is>
          <t>82224433136653</t>
        </is>
      </c>
      <c r="B4357" s="1" t="inlineStr">
        <is>
          <t>PULSERA CLAVO ROSEGOLD</t>
        </is>
      </c>
      <c r="C4357" s="1" t="inlineStr">
        <is>
          <t>17 cm</t>
        </is>
      </c>
      <c r="D4357" s="1" t="inlineStr">
        <is>
          <t>09/07/2026</t>
        </is>
      </c>
      <c r="E4357" s="1" t="n">
        <v>2026</v>
      </c>
      <c r="F4357" s="1" t="inlineStr">
        <is>
          <t>JULIO</t>
        </is>
      </c>
      <c r="G4357" s="1" t="inlineStr">
        <is>
          <t>NANCY</t>
        </is>
      </c>
      <c r="H4357" s="1" t="inlineStr">
        <is>
          <t>NANCY 09/07/2026</t>
        </is>
      </c>
      <c r="I4357" s="4" t="n">
        <v>2</v>
      </c>
      <c r="J4357" s="6" t="n">
        <v>2.99</v>
      </c>
      <c r="K4357" s="6" t="n">
        <v>72.85276514</v>
      </c>
      <c r="L4357" s="6">
        <f>I4357*K4357</f>
        <v/>
      </c>
      <c r="M4357" s="6">
        <f>K4357*4</f>
        <v/>
      </c>
      <c r="N4357" s="6" t="n">
        <v>450</v>
      </c>
    </row>
    <row r="4358">
      <c r="A4358" s="1" t="inlineStr">
        <is>
          <t>82224433269421</t>
        </is>
      </c>
      <c r="B4358" s="1" t="inlineStr">
        <is>
          <t>PULSERA CLAVO ROSEGOLD</t>
        </is>
      </c>
      <c r="C4358" s="1" t="inlineStr">
        <is>
          <t>19 cm</t>
        </is>
      </c>
      <c r="D4358" s="1" t="inlineStr">
        <is>
          <t>01/03/2026</t>
        </is>
      </c>
      <c r="E4358" s="1" t="n">
        <v>2026</v>
      </c>
      <c r="F4358" s="1" t="inlineStr">
        <is>
          <t>MARZO</t>
        </is>
      </c>
      <c r="G4358" s="1" t="inlineStr">
        <is>
          <t>NANCY</t>
        </is>
      </c>
      <c r="H4358" s="1" t="inlineStr">
        <is>
          <t>NANCY 01/03/2026</t>
        </is>
      </c>
      <c r="I4358" s="4" t="n">
        <v>2</v>
      </c>
      <c r="J4358" s="6" t="n">
        <v>2.99</v>
      </c>
      <c r="K4358" s="6" t="n">
        <v>75.65811782</v>
      </c>
      <c r="L4358" s="6">
        <f>I4358*K4358</f>
        <v/>
      </c>
      <c r="M4358" s="6">
        <f>K4358*4</f>
        <v/>
      </c>
      <c r="N4358" s="6" t="n">
        <v>450</v>
      </c>
    </row>
    <row r="4359">
      <c r="A4359" s="1" t="inlineStr">
        <is>
          <t>82224433269421</t>
        </is>
      </c>
      <c r="B4359" s="1" t="inlineStr">
        <is>
          <t>PULSERA CLAVO ROSEGOLD</t>
        </is>
      </c>
      <c r="C4359" s="1" t="inlineStr">
        <is>
          <t>19 cm</t>
        </is>
      </c>
      <c r="D4359" s="1" t="inlineStr">
        <is>
          <t>08/05/2026</t>
        </is>
      </c>
      <c r="E4359" s="1" t="n">
        <v>2026</v>
      </c>
      <c r="F4359" s="1" t="inlineStr">
        <is>
          <t>MAYO</t>
        </is>
      </c>
      <c r="G4359" s="1" t="inlineStr">
        <is>
          <t>NANCY</t>
        </is>
      </c>
      <c r="H4359" s="1" t="inlineStr">
        <is>
          <t>NANCY 08/05/2026</t>
        </is>
      </c>
      <c r="I4359" s="4" t="n">
        <v>5</v>
      </c>
      <c r="J4359" s="6" t="n">
        <v>2.99</v>
      </c>
      <c r="K4359" s="6" t="n">
        <v>70.73670423</v>
      </c>
      <c r="L4359" s="6">
        <f>I4359*K4359</f>
        <v/>
      </c>
      <c r="M4359" s="6">
        <f>K4359*4</f>
        <v/>
      </c>
      <c r="N4359" s="6" t="n">
        <v>450</v>
      </c>
    </row>
    <row r="4360">
      <c r="A4360" s="1" t="inlineStr">
        <is>
          <t>82224433400493</t>
        </is>
      </c>
      <c r="B4360" s="1" t="inlineStr">
        <is>
          <t>ANILLO LOVE CON ZIRCONIA GOLD</t>
        </is>
      </c>
      <c r="C4360" s="1" t="inlineStr">
        <is>
          <t>5</t>
        </is>
      </c>
      <c r="D4360" s="1" t="inlineStr">
        <is>
          <t>03/12/2025</t>
        </is>
      </c>
      <c r="E4360" s="1" t="n">
        <v>2025</v>
      </c>
      <c r="F4360" s="1" t="inlineStr">
        <is>
          <t>DICIEMBRE</t>
        </is>
      </c>
      <c r="G4360" s="1" t="inlineStr">
        <is>
          <t>HAIFENG</t>
        </is>
      </c>
      <c r="H4360" s="1" t="inlineStr">
        <is>
          <t>HAIFENG 03/12/2025</t>
        </is>
      </c>
      <c r="I4360" s="4" t="n">
        <v>6</v>
      </c>
      <c r="J4360" s="6" t="n">
        <v>1.8</v>
      </c>
      <c r="K4360" s="6" t="n">
        <v>37.65088802</v>
      </c>
      <c r="L4360" s="6">
        <f>I4360*K4360</f>
        <v/>
      </c>
      <c r="M4360" s="6">
        <f>K4360*4</f>
        <v/>
      </c>
      <c r="N4360" s="6" t="n">
        <v>450</v>
      </c>
    </row>
    <row r="4361">
      <c r="A4361" s="1" t="inlineStr">
        <is>
          <t>82224433400493</t>
        </is>
      </c>
      <c r="B4361" s="1" t="inlineStr">
        <is>
          <t>ANILLO LOVE CON ZIRCONIA GOLD</t>
        </is>
      </c>
      <c r="C4361" s="1" t="inlineStr">
        <is>
          <t>5</t>
        </is>
      </c>
      <c r="D4361" s="1" t="inlineStr">
        <is>
          <t>10/02/2026</t>
        </is>
      </c>
      <c r="E4361" s="1" t="n">
        <v>2026</v>
      </c>
      <c r="F4361" s="1" t="inlineStr">
        <is>
          <t>FEBRERO</t>
        </is>
      </c>
      <c r="G4361" s="1" t="inlineStr">
        <is>
          <t>HAIFENG</t>
        </is>
      </c>
      <c r="H4361" s="1" t="inlineStr">
        <is>
          <t>HAIFENG 10/02/2026</t>
        </is>
      </c>
      <c r="I4361" s="4" t="n">
        <v>6</v>
      </c>
      <c r="J4361" s="6" t="n">
        <v>1.8</v>
      </c>
      <c r="K4361" s="6" t="n">
        <v>37.92329292</v>
      </c>
      <c r="L4361" s="6">
        <f>I4361*K4361</f>
        <v/>
      </c>
      <c r="M4361" s="6">
        <f>K4361*4</f>
        <v/>
      </c>
      <c r="N4361" s="6" t="n">
        <v>450</v>
      </c>
    </row>
    <row r="4362">
      <c r="A4362" s="1" t="inlineStr">
        <is>
          <t>82224433533261</t>
        </is>
      </c>
      <c r="B4362" s="1" t="inlineStr">
        <is>
          <t>ANILLO LOVE CON ZIRCONIA GOLD</t>
        </is>
      </c>
      <c r="C4362" s="1" t="inlineStr">
        <is>
          <t>6</t>
        </is>
      </c>
      <c r="D4362" s="1" t="inlineStr">
        <is>
          <t>25/09/2025</t>
        </is>
      </c>
      <c r="E4362" s="1" t="n">
        <v>2025</v>
      </c>
      <c r="F4362" s="1" t="inlineStr">
        <is>
          <t>SEPTIEMBRE</t>
        </is>
      </c>
      <c r="G4362" s="1" t="inlineStr">
        <is>
          <t>HAIFENG</t>
        </is>
      </c>
      <c r="H4362" s="1" t="inlineStr">
        <is>
          <t>HAIFENG 25/09/2025</t>
        </is>
      </c>
      <c r="I4362" s="4" t="n">
        <v>4</v>
      </c>
      <c r="J4362" s="6" t="n">
        <v>1.8</v>
      </c>
      <c r="K4362" s="6" t="n">
        <v>37.97439438</v>
      </c>
      <c r="L4362" s="6">
        <f>I4362*K4362</f>
        <v/>
      </c>
      <c r="M4362" s="6">
        <f>K4362*4</f>
        <v/>
      </c>
      <c r="N4362" s="6" t="n">
        <v>450</v>
      </c>
    </row>
    <row r="4363">
      <c r="A4363" s="1" t="inlineStr">
        <is>
          <t>82224433533261</t>
        </is>
      </c>
      <c r="B4363" s="1" t="inlineStr">
        <is>
          <t>ANILLO LOVE CON ZIRCONIA GOLD</t>
        </is>
      </c>
      <c r="C4363" s="1" t="inlineStr">
        <is>
          <t>6</t>
        </is>
      </c>
      <c r="D4363" s="1" t="inlineStr">
        <is>
          <t>20/01/2026</t>
        </is>
      </c>
      <c r="E4363" s="1" t="n">
        <v>2026</v>
      </c>
      <c r="F4363" s="1" t="inlineStr">
        <is>
          <t>ENERO</t>
        </is>
      </c>
      <c r="G4363" s="1" t="inlineStr">
        <is>
          <t>HAIFENG</t>
        </is>
      </c>
      <c r="H4363" s="1" t="inlineStr">
        <is>
          <t>HAIFENG 20/01/2026</t>
        </is>
      </c>
      <c r="I4363" s="4" t="n">
        <v>4</v>
      </c>
      <c r="J4363" s="6" t="n">
        <v>1.8</v>
      </c>
      <c r="K4363" s="6" t="n">
        <v>38.16075203</v>
      </c>
      <c r="L4363" s="6">
        <f>I4363*K4363</f>
        <v/>
      </c>
      <c r="M4363" s="6">
        <f>K4363*4</f>
        <v/>
      </c>
      <c r="N4363" s="6" t="n">
        <v>450</v>
      </c>
    </row>
    <row r="4364">
      <c r="A4364" s="1" t="inlineStr">
        <is>
          <t>82224433533261</t>
        </is>
      </c>
      <c r="B4364" s="1" t="n"/>
      <c r="C4364" s="1" t="inlineStr">
        <is>
          <t>6</t>
        </is>
      </c>
      <c r="D4364" s="1" t="inlineStr">
        <is>
          <t>10/02/2026</t>
        </is>
      </c>
      <c r="E4364" s="1" t="n">
        <v>2026</v>
      </c>
      <c r="F4364" s="1" t="inlineStr">
        <is>
          <t>FEBRERO</t>
        </is>
      </c>
      <c r="G4364" s="1" t="inlineStr">
        <is>
          <t>HAIFENG</t>
        </is>
      </c>
      <c r="H4364" s="1" t="inlineStr">
        <is>
          <t>HAIFENG 10/02/2026</t>
        </is>
      </c>
      <c r="I4364" s="4" t="n">
        <v>2</v>
      </c>
      <c r="J4364" s="6" t="n">
        <v>1.8</v>
      </c>
      <c r="K4364" s="6" t="n">
        <v>37.92329292</v>
      </c>
      <c r="L4364" s="6">
        <f>I4364*K4364</f>
        <v/>
      </c>
      <c r="M4364" s="6">
        <f>K4364*4</f>
        <v/>
      </c>
      <c r="N4364" s="6" t="n">
        <v>450</v>
      </c>
    </row>
    <row r="4365">
      <c r="A4365" s="1" t="inlineStr">
        <is>
          <t>82224433533261</t>
        </is>
      </c>
      <c r="B4365" s="1" t="n"/>
      <c r="C4365" s="1" t="inlineStr">
        <is>
          <t>6</t>
        </is>
      </c>
      <c r="D4365" s="1" t="inlineStr">
        <is>
          <t>10/02/2026</t>
        </is>
      </c>
      <c r="E4365" s="1" t="n">
        <v>2026</v>
      </c>
      <c r="F4365" s="1" t="inlineStr">
        <is>
          <t>FEBRERO</t>
        </is>
      </c>
      <c r="G4365" s="1" t="inlineStr">
        <is>
          <t>HAIFENG</t>
        </is>
      </c>
      <c r="H4365" s="1" t="inlineStr">
        <is>
          <t>HAIFENG 10/02/2026</t>
        </is>
      </c>
      <c r="I4365" s="4" t="n">
        <v>2</v>
      </c>
      <c r="J4365" s="6" t="n">
        <v>1.8</v>
      </c>
      <c r="K4365" s="6" t="n">
        <v>37.92329292</v>
      </c>
      <c r="L4365" s="6">
        <f>I4365*K4365</f>
        <v/>
      </c>
      <c r="M4365" s="6">
        <f>K4365*4</f>
        <v/>
      </c>
      <c r="N4365" s="6" t="n">
        <v>450</v>
      </c>
    </row>
    <row r="4366">
      <c r="A4366" s="1" t="inlineStr">
        <is>
          <t>82224433666029</t>
        </is>
      </c>
      <c r="B4366" s="1" t="inlineStr">
        <is>
          <t>ANILLO LOVE CON ZIRCONIA GOLD</t>
        </is>
      </c>
      <c r="C4366" s="1" t="inlineStr">
        <is>
          <t>7</t>
        </is>
      </c>
      <c r="D4366" s="1" t="inlineStr">
        <is>
          <t>11/11/2025</t>
        </is>
      </c>
      <c r="E4366" s="1" t="n">
        <v>2025</v>
      </c>
      <c r="F4366" s="1" t="inlineStr">
        <is>
          <t>NOVIEMBRE</t>
        </is>
      </c>
      <c r="G4366" s="1" t="inlineStr">
        <is>
          <t>HAIFENG</t>
        </is>
      </c>
      <c r="H4366" s="1" t="inlineStr">
        <is>
          <t>HAIFENG 11/11/2025</t>
        </is>
      </c>
      <c r="I4366" s="4" t="n">
        <v>6</v>
      </c>
      <c r="J4366" s="6" t="n">
        <v>1.8</v>
      </c>
      <c r="K4366" s="6" t="n">
        <v>37.9088972</v>
      </c>
      <c r="L4366" s="6">
        <f>I4366*K4366</f>
        <v/>
      </c>
      <c r="M4366" s="6">
        <f>K4366*4</f>
        <v/>
      </c>
      <c r="N4366" s="6" t="n">
        <v>450</v>
      </c>
    </row>
    <row r="4367">
      <c r="A4367" s="1" t="inlineStr">
        <is>
          <t>82224433666029</t>
        </is>
      </c>
      <c r="B4367" s="1" t="inlineStr">
        <is>
          <t>ANILLO LOVE CON ZIRCONIA GOLD</t>
        </is>
      </c>
      <c r="C4367" s="1" t="inlineStr">
        <is>
          <t>7</t>
        </is>
      </c>
      <c r="D4367" s="1" t="inlineStr">
        <is>
          <t>03/12/2025</t>
        </is>
      </c>
      <c r="E4367" s="1" t="n">
        <v>2025</v>
      </c>
      <c r="F4367" s="1" t="inlineStr">
        <is>
          <t>DICIEMBRE</t>
        </is>
      </c>
      <c r="G4367" s="1" t="inlineStr">
        <is>
          <t>HAIFENG</t>
        </is>
      </c>
      <c r="H4367" s="1" t="inlineStr">
        <is>
          <t>HAIFENG 03/12/2025</t>
        </is>
      </c>
      <c r="I4367" s="4" t="n">
        <v>8</v>
      </c>
      <c r="J4367" s="6" t="n">
        <v>1.8</v>
      </c>
      <c r="K4367" s="6" t="n">
        <v>37.65088802</v>
      </c>
      <c r="L4367" s="6">
        <f>I4367*K4367</f>
        <v/>
      </c>
      <c r="M4367" s="6">
        <f>K4367*4</f>
        <v/>
      </c>
      <c r="N4367" s="6" t="n">
        <v>450</v>
      </c>
    </row>
    <row r="4368">
      <c r="A4368" s="1" t="inlineStr">
        <is>
          <t>82224433666029</t>
        </is>
      </c>
      <c r="B4368" s="1" t="inlineStr">
        <is>
          <t>ANILLO LOVE CON ZIRCONIA GOLD</t>
        </is>
      </c>
      <c r="C4368" s="1" t="inlineStr">
        <is>
          <t>7</t>
        </is>
      </c>
      <c r="D4368" s="1" t="inlineStr">
        <is>
          <t>26/05/2026</t>
        </is>
      </c>
      <c r="E4368" s="1" t="n">
        <v>2026</v>
      </c>
      <c r="F4368" s="1" t="inlineStr">
        <is>
          <t>MAYO</t>
        </is>
      </c>
      <c r="G4368" s="1" t="inlineStr">
        <is>
          <t>HAIFENG</t>
        </is>
      </c>
      <c r="H4368" s="1" t="inlineStr">
        <is>
          <t>HAIFENG 26/05/2026</t>
        </is>
      </c>
      <c r="I4368" s="4" t="n">
        <v>2</v>
      </c>
      <c r="J4368" s="6" t="n">
        <v>1.8</v>
      </c>
      <c r="K4368" s="6" t="n">
        <v>37.78073153</v>
      </c>
      <c r="L4368" s="6">
        <f>I4368*K4368</f>
        <v/>
      </c>
      <c r="M4368" s="6">
        <f>K4368*4</f>
        <v/>
      </c>
      <c r="N4368" s="6" t="n">
        <v>450</v>
      </c>
    </row>
    <row r="4369">
      <c r="A4369" s="1" t="inlineStr">
        <is>
          <t>82224433798797</t>
        </is>
      </c>
      <c r="B4369" s="1" t="inlineStr">
        <is>
          <t>ANILLO LOVE CON ZIRCONIA GOLD</t>
        </is>
      </c>
      <c r="C4369" s="1" t="inlineStr">
        <is>
          <t>8</t>
        </is>
      </c>
      <c r="D4369" s="1" t="inlineStr">
        <is>
          <t>03/12/2025</t>
        </is>
      </c>
      <c r="E4369" s="1" t="n">
        <v>2025</v>
      </c>
      <c r="F4369" s="1" t="inlineStr">
        <is>
          <t>DICIEMBRE</t>
        </is>
      </c>
      <c r="G4369" s="1" t="inlineStr">
        <is>
          <t>HAIFENG</t>
        </is>
      </c>
      <c r="H4369" s="1" t="inlineStr">
        <is>
          <t>HAIFENG 03/12/2025</t>
        </is>
      </c>
      <c r="I4369" s="4" t="n">
        <v>5</v>
      </c>
      <c r="J4369" s="6" t="n">
        <v>1.8</v>
      </c>
      <c r="K4369" s="6" t="n">
        <v>37.65088802</v>
      </c>
      <c r="L4369" s="6">
        <f>I4369*K4369</f>
        <v/>
      </c>
      <c r="M4369" s="6">
        <f>K4369*4</f>
        <v/>
      </c>
      <c r="N4369" s="6" t="n">
        <v>450</v>
      </c>
    </row>
    <row r="4370">
      <c r="A4370" s="1" t="inlineStr">
        <is>
          <t>82224433798797</t>
        </is>
      </c>
      <c r="B4370" s="1" t="inlineStr">
        <is>
          <t>ANILLO LOVE CON ZIRCONIA GOLD</t>
        </is>
      </c>
      <c r="C4370" s="1" t="inlineStr">
        <is>
          <t>8</t>
        </is>
      </c>
      <c r="D4370" s="1" t="inlineStr">
        <is>
          <t>20/01/2026</t>
        </is>
      </c>
      <c r="E4370" s="1" t="n">
        <v>2026</v>
      </c>
      <c r="F4370" s="1" t="inlineStr">
        <is>
          <t>ENERO</t>
        </is>
      </c>
      <c r="G4370" s="1" t="inlineStr">
        <is>
          <t>HAIFENG</t>
        </is>
      </c>
      <c r="H4370" s="1" t="inlineStr">
        <is>
          <t>HAIFENG 20/01/2026</t>
        </is>
      </c>
      <c r="I4370" s="4" t="n">
        <v>3</v>
      </c>
      <c r="J4370" s="6" t="n">
        <v>1.8</v>
      </c>
      <c r="K4370" s="6" t="n">
        <v>38.16075203</v>
      </c>
      <c r="L4370" s="6">
        <f>I4370*K4370</f>
        <v/>
      </c>
      <c r="M4370" s="6">
        <f>K4370*4</f>
        <v/>
      </c>
      <c r="N4370" s="6" t="n">
        <v>450</v>
      </c>
    </row>
    <row r="4371">
      <c r="A4371" s="1" t="inlineStr">
        <is>
          <t>82224433798797</t>
        </is>
      </c>
      <c r="B4371" s="1" t="inlineStr">
        <is>
          <t>ANILLO LOVE CON ZIRCONIA GOLD</t>
        </is>
      </c>
      <c r="C4371" s="1" t="inlineStr">
        <is>
          <t>8</t>
        </is>
      </c>
      <c r="D4371" s="1" t="inlineStr">
        <is>
          <t>26/05/2026</t>
        </is>
      </c>
      <c r="E4371" s="1" t="n">
        <v>2026</v>
      </c>
      <c r="F4371" s="1" t="inlineStr">
        <is>
          <t>MAYO</t>
        </is>
      </c>
      <c r="G4371" s="1" t="inlineStr">
        <is>
          <t>HAIFENG</t>
        </is>
      </c>
      <c r="H4371" s="1" t="inlineStr">
        <is>
          <t>HAIFENG 26/05/2026</t>
        </is>
      </c>
      <c r="I4371" s="4" t="n">
        <v>2</v>
      </c>
      <c r="J4371" s="6" t="n">
        <v>1.8</v>
      </c>
      <c r="K4371" s="6" t="n">
        <v>37.78073153</v>
      </c>
      <c r="L4371" s="6">
        <f>I4371*K4371</f>
        <v/>
      </c>
      <c r="M4371" s="6">
        <f>K4371*4</f>
        <v/>
      </c>
      <c r="N4371" s="6" t="n">
        <v>450</v>
      </c>
    </row>
    <row r="4372">
      <c r="A4372" s="1" t="inlineStr">
        <is>
          <t>82224433831565</t>
        </is>
      </c>
      <c r="B4372" s="1" t="inlineStr">
        <is>
          <t>ANILLO LOVE CON ZIRCONIA GOLD</t>
        </is>
      </c>
      <c r="C4372" s="1" t="inlineStr">
        <is>
          <t>9</t>
        </is>
      </c>
      <c r="D4372" s="1" t="inlineStr">
        <is>
          <t>25/09/2025</t>
        </is>
      </c>
      <c r="E4372" s="1" t="n">
        <v>2025</v>
      </c>
      <c r="F4372" s="1" t="inlineStr">
        <is>
          <t>SEPTIEMBRE</t>
        </is>
      </c>
      <c r="G4372" s="1" t="inlineStr">
        <is>
          <t>HAIFENG</t>
        </is>
      </c>
      <c r="H4372" s="1" t="inlineStr">
        <is>
          <t>HAIFENG 25/09/2025</t>
        </is>
      </c>
      <c r="I4372" s="4" t="n">
        <v>2</v>
      </c>
      <c r="J4372" s="6" t="n">
        <v>1.8</v>
      </c>
      <c r="K4372" s="6" t="n">
        <v>37.97439438</v>
      </c>
      <c r="L4372" s="6">
        <f>I4372*K4372</f>
        <v/>
      </c>
      <c r="M4372" s="6">
        <f>K4372*4</f>
        <v/>
      </c>
      <c r="N4372" s="6" t="n">
        <v>450</v>
      </c>
    </row>
    <row r="4373">
      <c r="A4373" s="1" t="inlineStr">
        <is>
          <t>82224433831565</t>
        </is>
      </c>
      <c r="B4373" s="1" t="inlineStr">
        <is>
          <t>ANILLO LOVE CON ZIRCONIA GOLD</t>
        </is>
      </c>
      <c r="C4373" s="1" t="inlineStr">
        <is>
          <t>9</t>
        </is>
      </c>
      <c r="D4373" s="1" t="inlineStr">
        <is>
          <t>03/12/2025</t>
        </is>
      </c>
      <c r="E4373" s="1" t="n">
        <v>2025</v>
      </c>
      <c r="F4373" s="1" t="inlineStr">
        <is>
          <t>DICIEMBRE</t>
        </is>
      </c>
      <c r="G4373" s="1" t="inlineStr">
        <is>
          <t>HAIFENG</t>
        </is>
      </c>
      <c r="H4373" s="1" t="inlineStr">
        <is>
          <t>HAIFENG 03/12/2025</t>
        </is>
      </c>
      <c r="I4373" s="4" t="n">
        <v>2</v>
      </c>
      <c r="J4373" s="6" t="n">
        <v>1.8</v>
      </c>
      <c r="K4373" s="6" t="n">
        <v>37.65088802</v>
      </c>
      <c r="L4373" s="6">
        <f>I4373*K4373</f>
        <v/>
      </c>
      <c r="M4373" s="6">
        <f>K4373*4</f>
        <v/>
      </c>
      <c r="N4373" s="6" t="n">
        <v>450</v>
      </c>
    </row>
    <row r="4374">
      <c r="A4374" s="1" t="inlineStr">
        <is>
          <t>82224433831565</t>
        </is>
      </c>
      <c r="B4374" s="1" t="n"/>
      <c r="C4374" s="1" t="inlineStr">
        <is>
          <t>9</t>
        </is>
      </c>
      <c r="D4374" s="1" t="inlineStr">
        <is>
          <t>10/02/2026</t>
        </is>
      </c>
      <c r="E4374" s="1" t="n">
        <v>2026</v>
      </c>
      <c r="F4374" s="1" t="inlineStr">
        <is>
          <t>FEBRERO</t>
        </is>
      </c>
      <c r="G4374" s="1" t="inlineStr">
        <is>
          <t>HAIFENG</t>
        </is>
      </c>
      <c r="H4374" s="1" t="inlineStr">
        <is>
          <t>HAIFENG 10/02/2026</t>
        </is>
      </c>
      <c r="I4374" s="4" t="n">
        <v>2</v>
      </c>
      <c r="J4374" s="6" t="n">
        <v>1.8</v>
      </c>
      <c r="K4374" s="6" t="n">
        <v>37.92329292</v>
      </c>
      <c r="L4374" s="6">
        <f>I4374*K4374</f>
        <v/>
      </c>
      <c r="M4374" s="6">
        <f>K4374*4</f>
        <v/>
      </c>
      <c r="N4374" s="6" t="n">
        <v>450</v>
      </c>
    </row>
    <row r="4375">
      <c r="A4375" s="1" t="inlineStr">
        <is>
          <t>82224433831565</t>
        </is>
      </c>
      <c r="B4375" s="1" t="inlineStr">
        <is>
          <t>ANILLO LOVE CON ZIRCONIA GOLD</t>
        </is>
      </c>
      <c r="C4375" s="1" t="inlineStr">
        <is>
          <t>9</t>
        </is>
      </c>
      <c r="D4375" s="1" t="inlineStr">
        <is>
          <t>11/03/2026</t>
        </is>
      </c>
      <c r="E4375" s="1" t="n">
        <v>2026</v>
      </c>
      <c r="F4375" s="1" t="inlineStr">
        <is>
          <t>MARZO</t>
        </is>
      </c>
      <c r="G4375" s="1" t="inlineStr">
        <is>
          <t>HAIFENG</t>
        </is>
      </c>
      <c r="H4375" s="1" t="inlineStr">
        <is>
          <t>HAIFENG 11/03/2026</t>
        </is>
      </c>
      <c r="I4375" s="4" t="n">
        <v>2</v>
      </c>
      <c r="J4375" s="6" t="n">
        <v>1.8</v>
      </c>
      <c r="K4375" s="6" t="n">
        <v>38.34701319</v>
      </c>
      <c r="L4375" s="6">
        <f>I4375*K4375</f>
        <v/>
      </c>
      <c r="M4375" s="6">
        <f>K4375*4</f>
        <v/>
      </c>
      <c r="N4375" s="6" t="n">
        <v>450</v>
      </c>
    </row>
    <row r="4376">
      <c r="A4376" s="1" t="inlineStr">
        <is>
          <t>82224433964333</t>
        </is>
      </c>
      <c r="B4376" s="1" t="inlineStr">
        <is>
          <t>ANILLO LOVE CON ZIRCONIA GOLD</t>
        </is>
      </c>
      <c r="C4376" s="1" t="inlineStr">
        <is>
          <t>10</t>
        </is>
      </c>
      <c r="D4376" s="1" t="inlineStr">
        <is>
          <t>03/12/2025</t>
        </is>
      </c>
      <c r="E4376" s="1" t="n">
        <v>2025</v>
      </c>
      <c r="F4376" s="1" t="inlineStr">
        <is>
          <t>DICIEMBRE</t>
        </is>
      </c>
      <c r="G4376" s="1" t="inlineStr">
        <is>
          <t>HAIFENG</t>
        </is>
      </c>
      <c r="H4376" s="1" t="inlineStr">
        <is>
          <t>HAIFENG 03/12/2025</t>
        </is>
      </c>
      <c r="I4376" s="4" t="n">
        <v>1</v>
      </c>
      <c r="J4376" s="6" t="n">
        <v>1.8</v>
      </c>
      <c r="K4376" s="6" t="n">
        <v>37.65088802</v>
      </c>
      <c r="L4376" s="6">
        <f>I4376*K4376</f>
        <v/>
      </c>
      <c r="M4376" s="6">
        <f>K4376*4</f>
        <v/>
      </c>
      <c r="N4376" s="6" t="n">
        <v>450</v>
      </c>
    </row>
    <row r="4377">
      <c r="A4377" s="1" t="inlineStr">
        <is>
          <t>82224433964333</t>
        </is>
      </c>
      <c r="B4377" s="1" t="inlineStr">
        <is>
          <t>ANILLO LOVE CON ZIRCONIA GOLD</t>
        </is>
      </c>
      <c r="C4377" s="1" t="inlineStr">
        <is>
          <t>10</t>
        </is>
      </c>
      <c r="D4377" s="1" t="inlineStr">
        <is>
          <t>11/03/2026</t>
        </is>
      </c>
      <c r="E4377" s="1" t="n">
        <v>2026</v>
      </c>
      <c r="F4377" s="1" t="inlineStr">
        <is>
          <t>MARZO</t>
        </is>
      </c>
      <c r="G4377" s="1" t="inlineStr">
        <is>
          <t>HAIFENG</t>
        </is>
      </c>
      <c r="H4377" s="1" t="inlineStr">
        <is>
          <t>HAIFENG 11/03/2026</t>
        </is>
      </c>
      <c r="I4377" s="4" t="n">
        <v>2</v>
      </c>
      <c r="J4377" s="6" t="n">
        <v>1.8</v>
      </c>
      <c r="K4377" s="6" t="n">
        <v>38.34701319</v>
      </c>
      <c r="L4377" s="6">
        <f>I4377*K4377</f>
        <v/>
      </c>
      <c r="M4377" s="6">
        <f>K4377*4</f>
        <v/>
      </c>
      <c r="N4377" s="6" t="n">
        <v>450</v>
      </c>
    </row>
    <row r="4378">
      <c r="A4378" s="1" t="inlineStr">
        <is>
          <t>82224434159245</t>
        </is>
      </c>
      <c r="B4378" s="1" t="inlineStr">
        <is>
          <t>ANILLO LOVE CON ZIRCONIA ROSEGOLD</t>
        </is>
      </c>
      <c r="C4378" s="1" t="inlineStr">
        <is>
          <t>6</t>
        </is>
      </c>
      <c r="D4378" s="1" t="inlineStr">
        <is>
          <t>03/12/2025</t>
        </is>
      </c>
      <c r="E4378" s="1" t="n">
        <v>2025</v>
      </c>
      <c r="F4378" s="1" t="inlineStr">
        <is>
          <t>DICIEMBRE</t>
        </is>
      </c>
      <c r="G4378" s="1" t="inlineStr">
        <is>
          <t>HAIFENG</t>
        </is>
      </c>
      <c r="H4378" s="1" t="inlineStr">
        <is>
          <t>HAIFENG 03/12/2025</t>
        </is>
      </c>
      <c r="I4378" s="4" t="n">
        <v>2</v>
      </c>
      <c r="J4378" s="6" t="n">
        <v>1.8</v>
      </c>
      <c r="K4378" s="6" t="n">
        <v>37.65088802</v>
      </c>
      <c r="L4378" s="6">
        <f>I4378*K4378</f>
        <v/>
      </c>
      <c r="M4378" s="6">
        <f>K4378*4</f>
        <v/>
      </c>
      <c r="N4378" s="6" t="n">
        <v>450</v>
      </c>
    </row>
    <row r="4379">
      <c r="A4379" s="1" t="inlineStr">
        <is>
          <t>82224434292013</t>
        </is>
      </c>
      <c r="B4379" s="1" t="inlineStr">
        <is>
          <t>ANILLO LOVE CON ZIRCONIA ROSE GOLD</t>
        </is>
      </c>
      <c r="C4379" s="1" t="inlineStr">
        <is>
          <t>7</t>
        </is>
      </c>
      <c r="D4379" s="1" t="inlineStr">
        <is>
          <t>16/06/2026</t>
        </is>
      </c>
      <c r="E4379" s="1" t="n">
        <v>2026</v>
      </c>
      <c r="F4379" s="1" t="inlineStr">
        <is>
          <t>JUNIO</t>
        </is>
      </c>
      <c r="G4379" s="1" t="inlineStr">
        <is>
          <t>HAIFENG</t>
        </is>
      </c>
      <c r="H4379" s="1" t="inlineStr">
        <is>
          <t>HAIFENG 16/06/2026</t>
        </is>
      </c>
      <c r="I4379" s="4" t="n">
        <v>2</v>
      </c>
      <c r="J4379" s="6" t="n">
        <v>1.8</v>
      </c>
      <c r="K4379" s="6" t="n">
        <v>37.82629163</v>
      </c>
      <c r="L4379" s="6">
        <f>I4379*K4379</f>
        <v/>
      </c>
      <c r="M4379" s="6">
        <f>K4379*4</f>
        <v/>
      </c>
      <c r="N4379" s="6" t="n">
        <v>280</v>
      </c>
    </row>
    <row r="4380">
      <c r="A4380" s="1" t="inlineStr">
        <is>
          <t>82224434457549</t>
        </is>
      </c>
      <c r="B4380" s="1" t="inlineStr">
        <is>
          <t>ANILLO LOVE CON ZIRCONIA ROSE GOLD</t>
        </is>
      </c>
      <c r="C4380" s="1" t="inlineStr">
        <is>
          <t>9</t>
        </is>
      </c>
      <c r="D4380" s="1" t="inlineStr">
        <is>
          <t>16/06/2026</t>
        </is>
      </c>
      <c r="E4380" s="1" t="n">
        <v>2026</v>
      </c>
      <c r="F4380" s="1" t="inlineStr">
        <is>
          <t>JUNIO</t>
        </is>
      </c>
      <c r="G4380" s="1" t="inlineStr">
        <is>
          <t>HAIFENG</t>
        </is>
      </c>
      <c r="H4380" s="1" t="inlineStr">
        <is>
          <t>HAIFENG 16/06/2026</t>
        </is>
      </c>
      <c r="I4380" s="4" t="n">
        <v>2</v>
      </c>
      <c r="J4380" s="6" t="n">
        <v>1.8</v>
      </c>
      <c r="K4380" s="6" t="n">
        <v>37.82629163</v>
      </c>
      <c r="L4380" s="6">
        <f>I4380*K4380</f>
        <v/>
      </c>
      <c r="M4380" s="6">
        <f>K4380*4</f>
        <v/>
      </c>
      <c r="N4380" s="6" t="n">
        <v>140</v>
      </c>
    </row>
    <row r="4381">
      <c r="A4381" s="1" t="inlineStr">
        <is>
          <t>82224434630413</t>
        </is>
      </c>
      <c r="B4381" s="1" t="inlineStr">
        <is>
          <t>COLLAR TREBOL ROSEGOLD WHITE</t>
        </is>
      </c>
      <c r="C4381" s="1" t="inlineStr">
        <is>
          <t>45cm</t>
        </is>
      </c>
      <c r="D4381" s="1" t="inlineStr">
        <is>
          <t>25/09/2025</t>
        </is>
      </c>
      <c r="E4381" s="1" t="n">
        <v>2025</v>
      </c>
      <c r="F4381" s="1" t="inlineStr">
        <is>
          <t>SEPTIEMBRE</t>
        </is>
      </c>
      <c r="G4381" s="1" t="inlineStr">
        <is>
          <t>HAIFENG</t>
        </is>
      </c>
      <c r="H4381" s="1" t="inlineStr">
        <is>
          <t>HAIFENG 25/09/2025</t>
        </is>
      </c>
      <c r="I4381" s="4" t="n">
        <v>1</v>
      </c>
      <c r="J4381" s="6" t="n">
        <v>11</v>
      </c>
      <c r="K4381" s="6" t="n">
        <v>232.0657435</v>
      </c>
      <c r="L4381" s="6">
        <f>I4381*K4381</f>
        <v/>
      </c>
      <c r="M4381" s="6">
        <f>K4381*4</f>
        <v/>
      </c>
      <c r="N4381" s="6" t="n">
        <v>693</v>
      </c>
    </row>
    <row r="4382">
      <c r="A4382" s="1" t="inlineStr">
        <is>
          <t>82224434630413</t>
        </is>
      </c>
      <c r="B4382" s="1" t="inlineStr">
        <is>
          <t>COLLAR TREBOL ROSEGOLD WHITE</t>
        </is>
      </c>
      <c r="C4382" s="1" t="inlineStr">
        <is>
          <t>45cm</t>
        </is>
      </c>
      <c r="D4382" s="1" t="inlineStr">
        <is>
          <t>11/11/2025</t>
        </is>
      </c>
      <c r="E4382" s="1" t="n">
        <v>2025</v>
      </c>
      <c r="F4382" s="1" t="inlineStr">
        <is>
          <t>NOVIEMBRE</t>
        </is>
      </c>
      <c r="G4382" s="1" t="inlineStr">
        <is>
          <t>HAIFENG</t>
        </is>
      </c>
      <c r="H4382" s="1" t="inlineStr">
        <is>
          <t>HAIFENG 11/11/2025</t>
        </is>
      </c>
      <c r="I4382" s="4" t="n">
        <v>8</v>
      </c>
      <c r="J4382" s="6" t="n">
        <v>12</v>
      </c>
      <c r="K4382" s="6" t="n">
        <v>252.7259813</v>
      </c>
      <c r="L4382" s="6">
        <f>I4382*K4382</f>
        <v/>
      </c>
      <c r="M4382" s="6">
        <f>K4382*4</f>
        <v/>
      </c>
      <c r="N4382" s="6" t="n">
        <v>693</v>
      </c>
    </row>
    <row r="4383">
      <c r="A4383" s="1" t="inlineStr">
        <is>
          <t>82224434630413</t>
        </is>
      </c>
      <c r="B4383" s="1" t="inlineStr">
        <is>
          <t>COLLAR TREBOL ROSEGOLD WHITE</t>
        </is>
      </c>
      <c r="C4383" s="1" t="inlineStr">
        <is>
          <t>45cm</t>
        </is>
      </c>
      <c r="D4383" s="1" t="inlineStr">
        <is>
          <t>03/12/2025</t>
        </is>
      </c>
      <c r="E4383" s="1" t="n">
        <v>2025</v>
      </c>
      <c r="F4383" s="1" t="inlineStr">
        <is>
          <t>DICIEMBRE</t>
        </is>
      </c>
      <c r="G4383" s="1" t="inlineStr">
        <is>
          <t>HAIFENG</t>
        </is>
      </c>
      <c r="H4383" s="1" t="inlineStr">
        <is>
          <t>HAIFENG 03/12/2025</t>
        </is>
      </c>
      <c r="I4383" s="4" t="n">
        <v>5</v>
      </c>
      <c r="J4383" s="6" t="n">
        <v>12</v>
      </c>
      <c r="K4383" s="6" t="n">
        <v>251.0059201</v>
      </c>
      <c r="L4383" s="6">
        <f>I4383*K4383</f>
        <v/>
      </c>
      <c r="M4383" s="6">
        <f>K4383*4</f>
        <v/>
      </c>
      <c r="N4383" s="6" t="n">
        <v>989</v>
      </c>
    </row>
    <row r="4384">
      <c r="A4384" s="1" t="inlineStr">
        <is>
          <t>82310551082381</t>
        </is>
      </c>
      <c r="B4384" s="1" t="inlineStr">
        <is>
          <t>ARRACADAS F LOGO GOLD</t>
        </is>
      </c>
      <c r="C4384" s="1" t="inlineStr">
        <is>
          <t>Default Title</t>
        </is>
      </c>
      <c r="D4384" s="1" t="inlineStr">
        <is>
          <t>02/10/2025</t>
        </is>
      </c>
      <c r="E4384" s="1" t="n">
        <v>2025</v>
      </c>
      <c r="F4384" s="1" t="inlineStr">
        <is>
          <t>OCTUBRE</t>
        </is>
      </c>
      <c r="G4384" s="1" t="inlineStr">
        <is>
          <t>ZOEY</t>
        </is>
      </c>
      <c r="H4384" s="1" t="inlineStr">
        <is>
          <t>ZOEY 02/10/2025</t>
        </is>
      </c>
      <c r="I4384" s="4" t="n">
        <v>4</v>
      </c>
      <c r="J4384" s="6" t="n">
        <v>9</v>
      </c>
      <c r="K4384" s="6" t="n">
        <v>212.615424</v>
      </c>
      <c r="L4384" s="6">
        <f>I4384*K4384</f>
        <v/>
      </c>
      <c r="M4384" s="6">
        <f>K4384*4</f>
        <v/>
      </c>
      <c r="N4384" s="6" t="n">
        <v>652.2</v>
      </c>
    </row>
    <row r="4385">
      <c r="A4385" s="1" t="inlineStr">
        <is>
          <t>82310551082381</t>
        </is>
      </c>
      <c r="B4385" s="1" t="inlineStr">
        <is>
          <t>ARRACADAS F LOGO GOLD</t>
        </is>
      </c>
      <c r="C4385" s="1" t="inlineStr">
        <is>
          <t>Default Title</t>
        </is>
      </c>
      <c r="D4385" s="1" t="inlineStr">
        <is>
          <t>08/06/2026</t>
        </is>
      </c>
      <c r="E4385" s="1" t="n">
        <v>2026</v>
      </c>
      <c r="F4385" s="1" t="inlineStr">
        <is>
          <t>JUNIO</t>
        </is>
      </c>
      <c r="G4385" s="1" t="inlineStr">
        <is>
          <t>ZOEY</t>
        </is>
      </c>
      <c r="H4385" s="1" t="inlineStr">
        <is>
          <t>ZOEY 08/06/2026</t>
        </is>
      </c>
      <c r="I4385" s="4" t="n">
        <v>3</v>
      </c>
      <c r="J4385" s="6" t="n">
        <v>9</v>
      </c>
      <c r="K4385" s="6" t="n">
        <v>220.6029281</v>
      </c>
      <c r="L4385" s="6">
        <f>I4385*K4385</f>
        <v/>
      </c>
      <c r="M4385" s="6">
        <f>K4385*4</f>
        <v/>
      </c>
      <c r="N4385" s="6" t="n">
        <v>876</v>
      </c>
    </row>
    <row r="4386">
      <c r="A4386" s="1" t="inlineStr">
        <is>
          <t>82350491022541</t>
        </is>
      </c>
      <c r="B4386" s="1" t="inlineStr">
        <is>
          <t>PULSERA GC SCRIPT DE CADENA GOLD</t>
        </is>
      </c>
      <c r="C4386" s="1" t="inlineStr">
        <is>
          <t>Default Title</t>
        </is>
      </c>
      <c r="D4386" s="1" t="inlineStr">
        <is>
          <t>02/10/2025</t>
        </is>
      </c>
      <c r="E4386" s="1" t="n">
        <v>2025</v>
      </c>
      <c r="F4386" s="1" t="inlineStr">
        <is>
          <t>OCTUBRE</t>
        </is>
      </c>
      <c r="G4386" s="1" t="inlineStr">
        <is>
          <t>ZOEY</t>
        </is>
      </c>
      <c r="H4386" s="1" t="inlineStr">
        <is>
          <t>ZOEY 02/10/2025</t>
        </is>
      </c>
      <c r="I4386" s="4" t="n">
        <v>4</v>
      </c>
      <c r="J4386" s="6" t="n">
        <v>8</v>
      </c>
      <c r="K4386" s="6" t="n">
        <v>188.991488</v>
      </c>
      <c r="L4386" s="6">
        <f>I4386*K4386</f>
        <v/>
      </c>
      <c r="M4386" s="6">
        <f>K4386*4</f>
        <v/>
      </c>
      <c r="N4386" s="6" t="n">
        <v>652.2</v>
      </c>
    </row>
    <row r="4387">
      <c r="A4387" s="1" t="inlineStr">
        <is>
          <t>82350491022541</t>
        </is>
      </c>
      <c r="B4387" s="1" t="inlineStr">
        <is>
          <t>PULSERA GC SCRIPT DE CADENA GOLD</t>
        </is>
      </c>
      <c r="C4387" s="1" t="inlineStr">
        <is>
          <t>Default Title</t>
        </is>
      </c>
      <c r="D4387" s="1" t="inlineStr">
        <is>
          <t>08/06/2026</t>
        </is>
      </c>
      <c r="E4387" s="1" t="n">
        <v>2026</v>
      </c>
      <c r="F4387" s="1" t="inlineStr">
        <is>
          <t>JUNIO</t>
        </is>
      </c>
      <c r="G4387" s="1" t="inlineStr">
        <is>
          <t>ZOEY</t>
        </is>
      </c>
      <c r="H4387" s="1" t="inlineStr">
        <is>
          <t>ZOEY 08/06/2026</t>
        </is>
      </c>
      <c r="I4387" s="4" t="n">
        <v>2</v>
      </c>
      <c r="J4387" s="6" t="n">
        <v>9</v>
      </c>
      <c r="K4387" s="6" t="n">
        <v>220.6029281</v>
      </c>
      <c r="L4387" s="6">
        <f>I4387*K4387</f>
        <v/>
      </c>
      <c r="M4387" s="6">
        <f>K4387*4</f>
        <v/>
      </c>
      <c r="N4387" s="6" t="n">
        <v>775</v>
      </c>
    </row>
    <row r="4388">
      <c r="A4388" s="1" t="inlineStr">
        <is>
          <t>8275727247244</t>
        </is>
      </c>
      <c r="B4388" s="1" t="inlineStr">
        <is>
          <t>ARETES CD COLGANTES</t>
        </is>
      </c>
      <c r="C4388" s="1" t="inlineStr">
        <is>
          <t>Default Title</t>
        </is>
      </c>
      <c r="D4388" s="1" t="inlineStr">
        <is>
          <t>25/10/2025</t>
        </is>
      </c>
      <c r="E4388" s="1" t="n">
        <v>2025</v>
      </c>
      <c r="F4388" s="1" t="inlineStr">
        <is>
          <t>OCTUBRE</t>
        </is>
      </c>
      <c r="G4388" s="1" t="inlineStr">
        <is>
          <t>CYNTHIA</t>
        </is>
      </c>
      <c r="H4388" s="1" t="inlineStr">
        <is>
          <t>CYNTHIA 25/10/2025</t>
        </is>
      </c>
      <c r="I4388" s="4" t="n">
        <v>4</v>
      </c>
      <c r="J4388" s="6" t="n">
        <v>8.800000000000001</v>
      </c>
      <c r="K4388" s="6" t="n">
        <v>230.5760476</v>
      </c>
      <c r="L4388" s="6">
        <f>I4388*K4388</f>
        <v/>
      </c>
      <c r="M4388" s="6">
        <f>K4388*4</f>
        <v/>
      </c>
      <c r="N4388" s="6" t="n">
        <v>850</v>
      </c>
    </row>
    <row r="4389">
      <c r="A4389" s="1" t="inlineStr">
        <is>
          <t>8275727247244</t>
        </is>
      </c>
      <c r="B4389" s="1" t="inlineStr">
        <is>
          <t>ARETES CD COLGANTES</t>
        </is>
      </c>
      <c r="C4389" s="1" t="inlineStr">
        <is>
          <t>Default Title</t>
        </is>
      </c>
      <c r="D4389" s="1" t="inlineStr">
        <is>
          <t>18/02/2026</t>
        </is>
      </c>
      <c r="E4389" s="1" t="n">
        <v>2026</v>
      </c>
      <c r="F4389" s="1" t="inlineStr">
        <is>
          <t>FEBRERO</t>
        </is>
      </c>
      <c r="G4389" s="1" t="inlineStr">
        <is>
          <t>CYNTHIA</t>
        </is>
      </c>
      <c r="H4389" s="1" t="inlineStr">
        <is>
          <t>CYNTHIA 18/02/2026</t>
        </is>
      </c>
      <c r="I4389" s="4" t="n">
        <v>2</v>
      </c>
      <c r="J4389" s="6" t="n">
        <v>8.800000000000001</v>
      </c>
      <c r="K4389" s="6" t="n">
        <v>237.9816137</v>
      </c>
      <c r="L4389" s="6">
        <f>I4389*K4389</f>
        <v/>
      </c>
      <c r="M4389" s="6">
        <f>K4389*4</f>
        <v/>
      </c>
      <c r="N4389" s="6" t="n">
        <v>935</v>
      </c>
    </row>
    <row r="4390">
      <c r="A4390" s="1" t="inlineStr">
        <is>
          <t>8275727247244</t>
        </is>
      </c>
      <c r="B4390" s="1" t="inlineStr">
        <is>
          <t>ARETES CD COLGANTES</t>
        </is>
      </c>
      <c r="C4390" s="1" t="inlineStr">
        <is>
          <t>Default Title</t>
        </is>
      </c>
      <c r="D4390" s="1" t="inlineStr">
        <is>
          <t>19/03/2026</t>
        </is>
      </c>
      <c r="E4390" s="1" t="n">
        <v>2026</v>
      </c>
      <c r="F4390" s="1" t="inlineStr">
        <is>
          <t>MARZO</t>
        </is>
      </c>
      <c r="G4390" s="1" t="inlineStr">
        <is>
          <t>CYNTHIA</t>
        </is>
      </c>
      <c r="H4390" s="1" t="inlineStr">
        <is>
          <t>CYNTHIA 19/03/2026</t>
        </is>
      </c>
      <c r="I4390" s="4" t="n">
        <v>2</v>
      </c>
      <c r="J4390" s="6" t="n">
        <v>8.800000000000001</v>
      </c>
      <c r="K4390" s="6" t="n">
        <v>236.345259</v>
      </c>
      <c r="L4390" s="6">
        <f>I4390*K4390</f>
        <v/>
      </c>
      <c r="M4390" s="6">
        <f>K4390*4</f>
        <v/>
      </c>
      <c r="N4390" s="6" t="n">
        <v>935</v>
      </c>
    </row>
    <row r="4391">
      <c r="A4391" s="1" t="inlineStr">
        <is>
          <t>8275727247244</t>
        </is>
      </c>
      <c r="B4391" s="1" t="inlineStr">
        <is>
          <t>ARETES CD COLGANTES</t>
        </is>
      </c>
      <c r="C4391" s="1" t="inlineStr">
        <is>
          <t>Default Title</t>
        </is>
      </c>
      <c r="D4391" s="1" t="inlineStr">
        <is>
          <t>31/05/2026</t>
        </is>
      </c>
      <c r="E4391" s="1" t="n">
        <v>2026</v>
      </c>
      <c r="F4391" s="1" t="inlineStr">
        <is>
          <t>MAYO</t>
        </is>
      </c>
      <c r="G4391" s="1" t="inlineStr">
        <is>
          <t>CYNTHIA</t>
        </is>
      </c>
      <c r="H4391" s="1" t="inlineStr">
        <is>
          <t>CYNTHIA 31/05/2026</t>
        </is>
      </c>
      <c r="I4391" s="4" t="n">
        <v>2</v>
      </c>
      <c r="J4391" s="6" t="n">
        <v>8.800000000000001</v>
      </c>
      <c r="K4391" s="6" t="n">
        <v>233.2091958</v>
      </c>
      <c r="L4391" s="6">
        <f>I4391*K4391</f>
        <v/>
      </c>
      <c r="M4391" s="6">
        <f>K4391*4</f>
        <v/>
      </c>
      <c r="N4391" s="6" t="n">
        <v>935</v>
      </c>
    </row>
    <row r="4392">
      <c r="A4392" s="1" t="inlineStr">
        <is>
          <t>8275735417996</t>
        </is>
      </c>
      <c r="B4392" s="1" t="inlineStr">
        <is>
          <t>PULSERA LV BLOSSOM GOLD</t>
        </is>
      </c>
      <c r="C4392" s="1" t="inlineStr">
        <is>
          <t>17cm</t>
        </is>
      </c>
      <c r="D4392" s="1" t="inlineStr">
        <is>
          <t>05/09/2025</t>
        </is>
      </c>
      <c r="E4392" s="1" t="n">
        <v>2025</v>
      </c>
      <c r="F4392" s="1" t="inlineStr">
        <is>
          <t>SEPTIEMBRE</t>
        </is>
      </c>
      <c r="G4392" s="1" t="inlineStr">
        <is>
          <t>CYNTHIA</t>
        </is>
      </c>
      <c r="H4392" s="1" t="inlineStr">
        <is>
          <t>CYNTHIA 05/09/2025</t>
        </is>
      </c>
      <c r="I4392" s="4" t="n">
        <v>4</v>
      </c>
      <c r="J4392" s="6" t="n">
        <v>12.8</v>
      </c>
      <c r="K4392" s="6" t="n">
        <v>322.2924407</v>
      </c>
      <c r="L4392" s="6">
        <f>I4392*K4392</f>
        <v/>
      </c>
      <c r="M4392" s="6">
        <f>K4392*4</f>
        <v/>
      </c>
      <c r="N4392" s="6" t="n">
        <v>1099</v>
      </c>
    </row>
    <row r="4393">
      <c r="A4393" s="1" t="inlineStr">
        <is>
          <t>8275735417996</t>
        </is>
      </c>
      <c r="B4393" s="1" t="inlineStr">
        <is>
          <t>PULSERA LV BLOSSOM GOLD</t>
        </is>
      </c>
      <c r="C4393" s="1" t="inlineStr">
        <is>
          <t>17cm</t>
        </is>
      </c>
      <c r="D4393" s="1" t="inlineStr">
        <is>
          <t>25/10/2025</t>
        </is>
      </c>
      <c r="E4393" s="1" t="n">
        <v>2025</v>
      </c>
      <c r="F4393" s="1" t="inlineStr">
        <is>
          <t>OCTUBRE</t>
        </is>
      </c>
      <c r="G4393" s="1" t="inlineStr">
        <is>
          <t>CYNTHIA</t>
        </is>
      </c>
      <c r="H4393" s="1" t="inlineStr">
        <is>
          <t>CYNTHIA 25/10/2025</t>
        </is>
      </c>
      <c r="I4393" s="4" t="n">
        <v>7</v>
      </c>
      <c r="J4393" s="6" t="n">
        <v>12.8</v>
      </c>
      <c r="K4393" s="6" t="n">
        <v>335.3833419</v>
      </c>
      <c r="L4393" s="6">
        <f>I4393*K4393</f>
        <v/>
      </c>
      <c r="M4393" s="6">
        <f>K4393*4</f>
        <v/>
      </c>
      <c r="N4393" s="6" t="n">
        <v>1099</v>
      </c>
    </row>
    <row r="4394">
      <c r="A4394" s="1" t="inlineStr">
        <is>
          <t>8275735417996</t>
        </is>
      </c>
      <c r="B4394" s="1" t="inlineStr">
        <is>
          <t>PULSERA LV BLOSSOM GOLD</t>
        </is>
      </c>
      <c r="C4394" s="1" t="inlineStr">
        <is>
          <t>17cm</t>
        </is>
      </c>
      <c r="D4394" s="1" t="inlineStr">
        <is>
          <t>07/01/2026</t>
        </is>
      </c>
      <c r="E4394" s="1" t="n">
        <v>2026</v>
      </c>
      <c r="F4394" s="1" t="inlineStr">
        <is>
          <t>ENERO</t>
        </is>
      </c>
      <c r="G4394" s="1" t="inlineStr">
        <is>
          <t>CYNTHIA</t>
        </is>
      </c>
      <c r="H4394" s="1" t="inlineStr">
        <is>
          <t>CYNTHIA 07/01/2026</t>
        </is>
      </c>
      <c r="I4394" s="4" t="n">
        <v>6</v>
      </c>
      <c r="J4394" s="6" t="n">
        <v>12.8</v>
      </c>
      <c r="K4394" s="6" t="n">
        <v>340.3190742</v>
      </c>
      <c r="L4394" s="6">
        <f>I4394*K4394</f>
        <v/>
      </c>
      <c r="M4394" s="6">
        <f>K4394*4</f>
        <v/>
      </c>
      <c r="N4394" s="6" t="n">
        <v>1399</v>
      </c>
    </row>
    <row r="4395">
      <c r="A4395" s="1" t="inlineStr">
        <is>
          <t>8275735417996</t>
        </is>
      </c>
      <c r="B4395" s="1" t="inlineStr">
        <is>
          <t>PULSERA LV BLOSSOM GOLD</t>
        </is>
      </c>
      <c r="C4395" s="1" t="inlineStr">
        <is>
          <t>17cm</t>
        </is>
      </c>
      <c r="D4395" s="1" t="inlineStr">
        <is>
          <t>31/05/2026</t>
        </is>
      </c>
      <c r="E4395" s="1" t="n">
        <v>2026</v>
      </c>
      <c r="F4395" s="1" t="inlineStr">
        <is>
          <t>MAYO</t>
        </is>
      </c>
      <c r="G4395" s="1" t="inlineStr">
        <is>
          <t>CYNTHIA</t>
        </is>
      </c>
      <c r="H4395" s="1" t="inlineStr">
        <is>
          <t>CYNTHIA 31/05/2026</t>
        </is>
      </c>
      <c r="I4395" s="4" t="n">
        <v>6</v>
      </c>
      <c r="J4395" s="6" t="n">
        <v>12.8</v>
      </c>
      <c r="K4395" s="6" t="n">
        <v>339.2133757</v>
      </c>
      <c r="L4395" s="6">
        <f>I4395*K4395</f>
        <v/>
      </c>
      <c r="M4395" s="6">
        <f>K4395*4</f>
        <v/>
      </c>
      <c r="N4395" s="6" t="n">
        <v>1399</v>
      </c>
    </row>
    <row r="4396">
      <c r="A4396" s="1" t="inlineStr">
        <is>
          <t>82932047388428</t>
        </is>
      </c>
      <c r="B4396" s="1" t="inlineStr">
        <is>
          <t>PULSERA GC LOGO</t>
        </is>
      </c>
      <c r="C4396" s="1" t="inlineStr">
        <is>
          <t>20cm</t>
        </is>
      </c>
      <c r="D4396" s="1" t="inlineStr">
        <is>
          <t>19/03/2026</t>
        </is>
      </c>
      <c r="E4396" s="1" t="n">
        <v>2026</v>
      </c>
      <c r="F4396" s="1" t="inlineStr">
        <is>
          <t>MARZO</t>
        </is>
      </c>
      <c r="G4396" s="1" t="inlineStr">
        <is>
          <t>CYNTHIA</t>
        </is>
      </c>
      <c r="H4396" s="1" t="inlineStr">
        <is>
          <t>CYNTHIA 19/03/2026</t>
        </is>
      </c>
      <c r="I4396" s="4" t="n">
        <v>2</v>
      </c>
      <c r="J4396" s="6" t="n">
        <v>12.8</v>
      </c>
      <c r="K4396" s="6" t="n">
        <v>343.7749222</v>
      </c>
      <c r="L4396" s="6">
        <f>I4396*K4396</f>
        <v/>
      </c>
      <c r="M4396" s="6">
        <f>K4396*4</f>
        <v/>
      </c>
      <c r="N4396" s="6" t="n">
        <v>1205</v>
      </c>
    </row>
    <row r="4397">
      <c r="A4397" s="1" t="inlineStr">
        <is>
          <t>83188051093645</t>
        </is>
      </c>
      <c r="B4397" s="1" t="inlineStr">
        <is>
          <t>BRAZALETE F GOLD BLACK</t>
        </is>
      </c>
      <c r="C4397" s="1" t="inlineStr">
        <is>
          <t>HIGH QUALITY</t>
        </is>
      </c>
      <c r="D4397" s="1" t="inlineStr">
        <is>
          <t>02/10/2025</t>
        </is>
      </c>
      <c r="E4397" s="1" t="n">
        <v>2025</v>
      </c>
      <c r="F4397" s="1" t="inlineStr">
        <is>
          <t>OCTUBRE</t>
        </is>
      </c>
      <c r="G4397" s="1" t="inlineStr">
        <is>
          <t>ZOEY</t>
        </is>
      </c>
      <c r="H4397" s="1" t="inlineStr">
        <is>
          <t>ZOEY 02/10/2025</t>
        </is>
      </c>
      <c r="I4397" s="4" t="n">
        <v>4</v>
      </c>
      <c r="J4397" s="6" t="n">
        <v>11</v>
      </c>
      <c r="K4397" s="6" t="n">
        <v>259.863296</v>
      </c>
      <c r="L4397" s="6">
        <f>I4397*K4397</f>
        <v/>
      </c>
      <c r="M4397" s="6">
        <f>K4397*4</f>
        <v/>
      </c>
      <c r="N4397" s="6" t="n">
        <v>911.01</v>
      </c>
    </row>
    <row r="4398">
      <c r="A4398" s="1" t="inlineStr">
        <is>
          <t>83342111044589</t>
        </is>
      </c>
      <c r="B4398" s="1" t="inlineStr">
        <is>
          <t>TRAJE DE BAÑO DG BLACK</t>
        </is>
      </c>
      <c r="C4398" s="1" t="inlineStr">
        <is>
          <t>m</t>
        </is>
      </c>
      <c r="D4398" s="1" t="inlineStr">
        <is>
          <t>19/03/2026</t>
        </is>
      </c>
      <c r="E4398" s="1" t="n">
        <v>2026</v>
      </c>
      <c r="F4398" s="1" t="inlineStr">
        <is>
          <t>MARZO</t>
        </is>
      </c>
      <c r="G4398" s="1" t="inlineStr">
        <is>
          <t>CYNTHIA</t>
        </is>
      </c>
      <c r="H4398" s="1" t="inlineStr">
        <is>
          <t>CYNTHIA 19/03/2026</t>
        </is>
      </c>
      <c r="I4398" s="4" t="n">
        <v>1</v>
      </c>
      <c r="J4398" s="6" t="n">
        <v>10.8</v>
      </c>
      <c r="K4398" s="6" t="n">
        <v>290.0600906</v>
      </c>
      <c r="L4398" s="6">
        <f>I4398*K4398</f>
        <v/>
      </c>
      <c r="M4398" s="6">
        <f>K4398*4</f>
        <v/>
      </c>
      <c r="N4398" s="6" t="n">
        <v>1199</v>
      </c>
    </row>
    <row r="4399">
      <c r="A4399" s="1" t="inlineStr">
        <is>
          <t>83391721047053</t>
        </is>
      </c>
      <c r="B4399" s="1" t="inlineStr">
        <is>
          <t>PULSERA SMILE ROSE GOLD CON ZIRCONIAS</t>
        </is>
      </c>
      <c r="C4399" s="1" t="inlineStr">
        <is>
          <t>Default Title</t>
        </is>
      </c>
      <c r="D4399" s="1" t="inlineStr">
        <is>
          <t>05/02/2026</t>
        </is>
      </c>
      <c r="E4399" s="1" t="n">
        <v>2026</v>
      </c>
      <c r="F4399" s="1" t="inlineStr">
        <is>
          <t>FEBRERO</t>
        </is>
      </c>
      <c r="G4399" s="1" t="inlineStr">
        <is>
          <t>HAIFENG</t>
        </is>
      </c>
      <c r="H4399" s="1" t="inlineStr">
        <is>
          <t>HAIFENG 05/02/2026</t>
        </is>
      </c>
      <c r="I4399" s="4" t="n">
        <v>2</v>
      </c>
      <c r="J4399" s="6" t="n">
        <v>7.5</v>
      </c>
      <c r="K4399" s="6" t="n">
        <v>160.1571929</v>
      </c>
      <c r="L4399" s="6">
        <f>I4399*K4399</f>
        <v/>
      </c>
      <c r="M4399" s="6">
        <f>K4399*4</f>
        <v/>
      </c>
      <c r="N4399" s="6" t="n">
        <v>618</v>
      </c>
    </row>
    <row r="4400">
      <c r="A4400" s="1" t="inlineStr">
        <is>
          <t>83391731114285</t>
        </is>
      </c>
      <c r="B4400" s="1" t="inlineStr">
        <is>
          <t>PULSERA SMILE SILVER CON ZIRCONIAS</t>
        </is>
      </c>
      <c r="C4400" s="1" t="inlineStr">
        <is>
          <t>Default Title</t>
        </is>
      </c>
      <c r="D4400" s="1" t="inlineStr">
        <is>
          <t>05/02/2026</t>
        </is>
      </c>
      <c r="E4400" s="1" t="n">
        <v>2026</v>
      </c>
      <c r="F4400" s="1" t="inlineStr">
        <is>
          <t>FEBRERO</t>
        </is>
      </c>
      <c r="G4400" s="1" t="inlineStr">
        <is>
          <t>HAIFENG</t>
        </is>
      </c>
      <c r="H4400" s="1" t="inlineStr">
        <is>
          <t>HAIFENG 05/02/2026</t>
        </is>
      </c>
      <c r="I4400" s="4" t="n">
        <v>2</v>
      </c>
      <c r="J4400" s="6" t="n">
        <v>7.5</v>
      </c>
      <c r="K4400" s="6" t="n">
        <v>160.1571929</v>
      </c>
      <c r="L4400" s="6">
        <f>I4400*K4400</f>
        <v/>
      </c>
      <c r="M4400" s="6">
        <f>K4400*4</f>
        <v/>
      </c>
      <c r="N4400" s="6" t="n">
        <v>649</v>
      </c>
    </row>
    <row r="4401">
      <c r="A4401" s="1" t="inlineStr">
        <is>
          <t>83391731283213</t>
        </is>
      </c>
      <c r="B4401" s="1" t="inlineStr">
        <is>
          <t>ANILLO DOBLE T SILVER ZIRCONIAS</t>
        </is>
      </c>
      <c r="C4401" s="1" t="inlineStr">
        <is>
          <t>6</t>
        </is>
      </c>
      <c r="D4401" s="1" t="inlineStr">
        <is>
          <t>05/02/2026</t>
        </is>
      </c>
      <c r="E4401" s="1" t="n">
        <v>2026</v>
      </c>
      <c r="F4401" s="1" t="inlineStr">
        <is>
          <t>FEBRERO</t>
        </is>
      </c>
      <c r="G4401" s="1" t="inlineStr">
        <is>
          <t>HAIFENG</t>
        </is>
      </c>
      <c r="H4401" s="1" t="inlineStr">
        <is>
          <t>HAIFENG 05/02/2026</t>
        </is>
      </c>
      <c r="I4401" s="4" t="n">
        <v>2</v>
      </c>
      <c r="J4401" s="6" t="n">
        <v>7</v>
      </c>
      <c r="K4401" s="6" t="n">
        <v>149.4800467</v>
      </c>
      <c r="L4401" s="6">
        <f>I4401*K4401</f>
        <v/>
      </c>
      <c r="M4401" s="6">
        <f>K4401*4</f>
        <v/>
      </c>
      <c r="N4401" s="6" t="n">
        <v>507</v>
      </c>
    </row>
    <row r="4402">
      <c r="A4402" s="1" t="inlineStr">
        <is>
          <t>83391731315981</t>
        </is>
      </c>
      <c r="B4402" s="1" t="inlineStr">
        <is>
          <t>ANILLO DOBLE T SILVER ZIRCONIAS</t>
        </is>
      </c>
      <c r="C4402" s="1" t="inlineStr">
        <is>
          <t>7</t>
        </is>
      </c>
      <c r="D4402" s="1" t="inlineStr">
        <is>
          <t>05/02/2026</t>
        </is>
      </c>
      <c r="E4402" s="1" t="n">
        <v>2026</v>
      </c>
      <c r="F4402" s="1" t="inlineStr">
        <is>
          <t>FEBRERO</t>
        </is>
      </c>
      <c r="G4402" s="1" t="inlineStr">
        <is>
          <t>HAIFENG</t>
        </is>
      </c>
      <c r="H4402" s="1" t="inlineStr">
        <is>
          <t>HAIFENG 05/02/2026</t>
        </is>
      </c>
      <c r="I4402" s="4" t="n">
        <v>2</v>
      </c>
      <c r="J4402" s="6" t="n">
        <v>7</v>
      </c>
      <c r="K4402" s="6" t="n">
        <v>149.4800467</v>
      </c>
      <c r="L4402" s="6">
        <f>I4402*K4402</f>
        <v/>
      </c>
      <c r="M4402" s="6">
        <f>K4402*4</f>
        <v/>
      </c>
      <c r="N4402" s="6" t="n">
        <v>507</v>
      </c>
    </row>
    <row r="4403">
      <c r="A4403" s="1" t="inlineStr">
        <is>
          <t>83391731482125</t>
        </is>
      </c>
      <c r="B4403" s="1" t="inlineStr">
        <is>
          <t>ANILLO DOBLE T ROSE GOLD ZIRCONIAS</t>
        </is>
      </c>
      <c r="C4403" s="1" t="inlineStr">
        <is>
          <t>7</t>
        </is>
      </c>
      <c r="D4403" s="1" t="inlineStr">
        <is>
          <t>05/02/2026</t>
        </is>
      </c>
      <c r="E4403" s="1" t="n">
        <v>2026</v>
      </c>
      <c r="F4403" s="1" t="inlineStr">
        <is>
          <t>FEBRERO</t>
        </is>
      </c>
      <c r="G4403" s="1" t="inlineStr">
        <is>
          <t>HAIFENG</t>
        </is>
      </c>
      <c r="H4403" s="1" t="inlineStr">
        <is>
          <t>HAIFENG 05/02/2026</t>
        </is>
      </c>
      <c r="I4403" s="4" t="n">
        <v>2</v>
      </c>
      <c r="J4403" s="6" t="n">
        <v>7</v>
      </c>
      <c r="K4403" s="6" t="n">
        <v>149.4800467</v>
      </c>
      <c r="L4403" s="6">
        <f>I4403*K4403</f>
        <v/>
      </c>
      <c r="M4403" s="6">
        <f>K4403*4</f>
        <v/>
      </c>
      <c r="N4403" s="6" t="n">
        <v>780</v>
      </c>
    </row>
    <row r="4404">
      <c r="A4404" s="1" t="inlineStr">
        <is>
          <t>83445961082989</t>
        </is>
      </c>
      <c r="B4404" s="1" t="inlineStr">
        <is>
          <t>ARETES GC MARMONT GOLD CON PERLA</t>
        </is>
      </c>
      <c r="C4404" s="1" t="inlineStr">
        <is>
          <t>Default Title</t>
        </is>
      </c>
      <c r="D4404" s="1" t="inlineStr">
        <is>
          <t>02/10/2025</t>
        </is>
      </c>
      <c r="E4404" s="1" t="n">
        <v>2025</v>
      </c>
      <c r="F4404" s="1" t="inlineStr">
        <is>
          <t>OCTUBRE</t>
        </is>
      </c>
      <c r="G4404" s="1" t="inlineStr">
        <is>
          <t>ZOEY</t>
        </is>
      </c>
      <c r="H4404" s="1" t="inlineStr">
        <is>
          <t>ZOEY 02/10/2025</t>
        </is>
      </c>
      <c r="I4404" s="4" t="n">
        <v>3</v>
      </c>
      <c r="J4404" s="6" t="n">
        <v>9</v>
      </c>
      <c r="K4404" s="6" t="n">
        <v>212.615424</v>
      </c>
      <c r="L4404" s="6">
        <f>I4404*K4404</f>
        <v/>
      </c>
      <c r="M4404" s="6">
        <f>K4404*4</f>
        <v/>
      </c>
      <c r="N4404" s="6" t="n">
        <v>580</v>
      </c>
    </row>
    <row r="4405">
      <c r="A4405" s="1" t="inlineStr">
        <is>
          <t>83445961082989</t>
        </is>
      </c>
      <c r="B4405" s="1" t="inlineStr">
        <is>
          <t>ARETES GC MARMONT GOLD CON PERLA</t>
        </is>
      </c>
      <c r="C4405" s="1" t="inlineStr">
        <is>
          <t>Default Title</t>
        </is>
      </c>
      <c r="D4405" s="1" t="inlineStr">
        <is>
          <t>08/06/2026</t>
        </is>
      </c>
      <c r="E4405" s="1" t="n">
        <v>2026</v>
      </c>
      <c r="F4405" s="1" t="inlineStr">
        <is>
          <t>JUNIO</t>
        </is>
      </c>
      <c r="G4405" s="1" t="inlineStr">
        <is>
          <t>ZOEY</t>
        </is>
      </c>
      <c r="H4405" s="1" t="inlineStr">
        <is>
          <t>ZOEY 08/06/2026</t>
        </is>
      </c>
      <c r="I4405" s="4" t="n">
        <v>6</v>
      </c>
      <c r="J4405" s="6" t="n">
        <v>8</v>
      </c>
      <c r="K4405" s="6" t="n">
        <v>196.0914916</v>
      </c>
      <c r="L4405" s="6">
        <f>I4405*K4405</f>
        <v/>
      </c>
      <c r="M4405" s="6">
        <f>K4405*4</f>
        <v/>
      </c>
      <c r="N4405" s="6" t="n">
        <v>779</v>
      </c>
    </row>
    <row r="4406">
      <c r="A4406" s="1" t="inlineStr">
        <is>
          <t>83765241087533</t>
        </is>
      </c>
      <c r="B4406" s="1" t="inlineStr">
        <is>
          <t>ANILLO LV INSTICT SILVER-8</t>
        </is>
      </c>
      <c r="C4406" s="1" t="n">
        <v>8</v>
      </c>
      <c r="D4406" s="1" t="inlineStr">
        <is>
          <t>25/09/2025</t>
        </is>
      </c>
      <c r="E4406" s="1" t="n">
        <v>2025</v>
      </c>
      <c r="F4406" s="1" t="inlineStr">
        <is>
          <t>SEPTIEMBRE</t>
        </is>
      </c>
      <c r="G4406" s="1" t="inlineStr">
        <is>
          <t>HAIFENG</t>
        </is>
      </c>
      <c r="H4406" s="1" t="inlineStr">
        <is>
          <t>HAIFENG 25/09/2025</t>
        </is>
      </c>
      <c r="I4406" s="4" t="n">
        <v>2</v>
      </c>
      <c r="J4406" s="6" t="n">
        <v>5.99</v>
      </c>
      <c r="K4406" s="6" t="n">
        <v>126.3703458</v>
      </c>
      <c r="L4406" s="6">
        <f>I4406*K4406</f>
        <v/>
      </c>
      <c r="M4406" s="6">
        <f>K4406*4</f>
        <v/>
      </c>
      <c r="N4406" s="6" t="n">
        <v>560</v>
      </c>
    </row>
    <row r="4407">
      <c r="A4407" s="1" t="inlineStr">
        <is>
          <t>83765241087533</t>
        </is>
      </c>
      <c r="B4407" s="1" t="inlineStr">
        <is>
          <t>ANILLO LV INSTICT SILVER</t>
        </is>
      </c>
      <c r="C4407" s="1" t="inlineStr">
        <is>
          <t>8</t>
        </is>
      </c>
      <c r="D4407" s="1" t="inlineStr">
        <is>
          <t>10/02/2026</t>
        </is>
      </c>
      <c r="E4407" s="1" t="n">
        <v>2026</v>
      </c>
      <c r="F4407" s="1" t="inlineStr">
        <is>
          <t>FEBRERO</t>
        </is>
      </c>
      <c r="G4407" s="1" t="inlineStr">
        <is>
          <t>HAIFENG</t>
        </is>
      </c>
      <c r="H4407" s="1" t="inlineStr">
        <is>
          <t>HAIFENG 10/02/2026</t>
        </is>
      </c>
      <c r="I4407" s="4" t="n">
        <v>2</v>
      </c>
      <c r="J4407" s="6" t="n">
        <v>5.99</v>
      </c>
      <c r="K4407" s="6" t="n">
        <v>126.2002914</v>
      </c>
      <c r="L4407" s="6">
        <f>I4407*K4407</f>
        <v/>
      </c>
      <c r="M4407" s="6">
        <f>K4407*4</f>
        <v/>
      </c>
      <c r="N4407" s="6" t="n">
        <v>560</v>
      </c>
    </row>
    <row r="4408">
      <c r="A4408" s="1" t="inlineStr">
        <is>
          <t>83844901025261</t>
        </is>
      </c>
      <c r="B4408" s="1" t="inlineStr">
        <is>
          <t>PULSERA DE TELA F GOLD BLACK</t>
        </is>
      </c>
      <c r="C4408" s="1" t="inlineStr">
        <is>
          <t>Default Title</t>
        </is>
      </c>
      <c r="D4408" s="1" t="inlineStr">
        <is>
          <t>02/10/2025</t>
        </is>
      </c>
      <c r="E4408" s="1" t="n">
        <v>2025</v>
      </c>
      <c r="F4408" s="1" t="inlineStr">
        <is>
          <t>OCTUBRE</t>
        </is>
      </c>
      <c r="G4408" s="1" t="inlineStr">
        <is>
          <t>ZOEY</t>
        </is>
      </c>
      <c r="H4408" s="1" t="inlineStr">
        <is>
          <t>ZOEY 02/10/2025</t>
        </is>
      </c>
      <c r="I4408" s="4" t="n">
        <v>2</v>
      </c>
      <c r="J4408" s="6" t="n">
        <v>8</v>
      </c>
      <c r="K4408" s="6" t="n">
        <v>188.991488</v>
      </c>
      <c r="L4408" s="6">
        <f>I4408*K4408</f>
        <v/>
      </c>
      <c r="M4408" s="6">
        <f>K4408*4</f>
        <v/>
      </c>
      <c r="N4408" s="6" t="n">
        <v>599</v>
      </c>
    </row>
    <row r="4409">
      <c r="A4409" s="1" t="inlineStr">
        <is>
          <t>84158211070285</t>
        </is>
      </c>
      <c r="B4409" s="1" t="inlineStr">
        <is>
          <t>COLLAR TREBOL ROSEGOLD-RED</t>
        </is>
      </c>
      <c r="C4409" s="1" t="inlineStr">
        <is>
          <t>High Quality 43cm y dije 10mm</t>
        </is>
      </c>
      <c r="D4409" s="1" t="inlineStr">
        <is>
          <t>16/06/2026</t>
        </is>
      </c>
      <c r="E4409" s="1" t="n">
        <v>2026</v>
      </c>
      <c r="F4409" s="1" t="inlineStr">
        <is>
          <t>JUNIO</t>
        </is>
      </c>
      <c r="G4409" s="1" t="inlineStr">
        <is>
          <t>HAIFENG</t>
        </is>
      </c>
      <c r="H4409" s="1" t="inlineStr">
        <is>
          <t>HAIFENG 16/06/2026</t>
        </is>
      </c>
      <c r="I4409" s="4" t="n">
        <v>2</v>
      </c>
      <c r="J4409" s="6" t="n">
        <v>4</v>
      </c>
      <c r="K4409" s="6" t="n">
        <v>84.05842584</v>
      </c>
      <c r="L4409" s="6">
        <f>I4409*K4409</f>
        <v/>
      </c>
      <c r="M4409" s="6">
        <f>K4409*4</f>
        <v/>
      </c>
      <c r="N4409" s="6" t="n">
        <v>599</v>
      </c>
    </row>
    <row r="4410">
      <c r="A4410" s="1" t="inlineStr">
        <is>
          <t>84159921033261</t>
        </is>
      </c>
      <c r="B4410" s="1" t="inlineStr">
        <is>
          <t>PULSERA GC ROSE GOLD BLONDIE CON ZIRCONIAS</t>
        </is>
      </c>
      <c r="C4410" s="1" t="inlineStr">
        <is>
          <t>Default Title</t>
        </is>
      </c>
      <c r="D4410" s="1" t="inlineStr">
        <is>
          <t>02/10/2025</t>
        </is>
      </c>
      <c r="E4410" s="1" t="n">
        <v>2025</v>
      </c>
      <c r="F4410" s="1" t="inlineStr">
        <is>
          <t>OCTUBRE</t>
        </is>
      </c>
      <c r="G4410" s="1" t="inlineStr">
        <is>
          <t>ZOEY</t>
        </is>
      </c>
      <c r="H4410" s="1" t="inlineStr">
        <is>
          <t>ZOEY 02/10/2025</t>
        </is>
      </c>
      <c r="I4410" s="4" t="n">
        <v>3</v>
      </c>
      <c r="J4410" s="6" t="n">
        <v>8</v>
      </c>
      <c r="K4410" s="6" t="n">
        <v>188.991488</v>
      </c>
      <c r="L4410" s="6">
        <f>I4410*K4410</f>
        <v/>
      </c>
      <c r="M4410" s="6">
        <f>K4410*4</f>
        <v/>
      </c>
      <c r="N4410" s="6" t="n">
        <v>652</v>
      </c>
    </row>
    <row r="4411">
      <c r="A4411" s="1" t="inlineStr">
        <is>
          <t>84911031092013</t>
        </is>
      </c>
      <c r="B4411" s="1" t="inlineStr">
        <is>
          <t>PULSERA GC GOLD BLONDIE CON ZIRCONIAS</t>
        </is>
      </c>
      <c r="C4411" s="1" t="inlineStr">
        <is>
          <t>MEDIUM QUALITY</t>
        </is>
      </c>
      <c r="D4411" s="1" t="inlineStr">
        <is>
          <t>02/10/2025</t>
        </is>
      </c>
      <c r="E4411" s="1" t="n">
        <v>2025</v>
      </c>
      <c r="F4411" s="1" t="inlineStr">
        <is>
          <t>OCTUBRE</t>
        </is>
      </c>
      <c r="G4411" s="1" t="inlineStr">
        <is>
          <t>ZOEY</t>
        </is>
      </c>
      <c r="H4411" s="1" t="inlineStr">
        <is>
          <t>ZOEY 02/10/2025</t>
        </is>
      </c>
      <c r="I4411" s="4" t="n">
        <v>1</v>
      </c>
      <c r="J4411" s="6" t="n">
        <v>15</v>
      </c>
      <c r="K4411" s="6" t="n">
        <v>354.35904</v>
      </c>
      <c r="L4411" s="6">
        <f>I4411*K4411</f>
        <v/>
      </c>
      <c r="M4411" s="6">
        <f>K4411*4</f>
        <v/>
      </c>
      <c r="N4411" s="6" t="n">
        <v>1215</v>
      </c>
    </row>
    <row r="4412">
      <c r="A4412" s="1" t="inlineStr">
        <is>
          <t>84911031092013</t>
        </is>
      </c>
      <c r="B4412" s="1" t="inlineStr">
        <is>
          <t>PULSERA GC GOLD BLONDIE CON ZIRCONIAS</t>
        </is>
      </c>
      <c r="C4412" s="1" t="inlineStr">
        <is>
          <t>Default Title</t>
        </is>
      </c>
      <c r="D4412" s="1" t="inlineStr">
        <is>
          <t>15/05/2026</t>
        </is>
      </c>
      <c r="E4412" s="1" t="n">
        <v>2026</v>
      </c>
      <c r="F4412" s="1" t="inlineStr">
        <is>
          <t>MAYO</t>
        </is>
      </c>
      <c r="G4412" s="1" t="inlineStr">
        <is>
          <t>ZOEY</t>
        </is>
      </c>
      <c r="H4412" s="1" t="inlineStr">
        <is>
          <t>ZOEY 15/05/2026</t>
        </is>
      </c>
      <c r="I4412" s="4" t="n">
        <v>2</v>
      </c>
      <c r="J4412" s="6" t="n">
        <v>15</v>
      </c>
      <c r="K4412" s="6" t="n">
        <v>397.5693673</v>
      </c>
      <c r="L4412" s="6">
        <f>I4412*K4412</f>
        <v/>
      </c>
      <c r="M4412" s="6">
        <f>K4412*4</f>
        <v/>
      </c>
      <c r="N4412" s="6" t="n">
        <v>1599</v>
      </c>
    </row>
    <row r="4413">
      <c r="A4413" s="1" t="inlineStr">
        <is>
          <t>85245863092492</t>
        </is>
      </c>
      <c r="B4413" s="1" t="inlineStr">
        <is>
          <t>PULSERA DE TELA TRES AROS RED</t>
        </is>
      </c>
      <c r="C4413" s="1" t="inlineStr">
        <is>
          <t>AJUSTABLE</t>
        </is>
      </c>
      <c r="D4413" s="1" t="inlineStr">
        <is>
          <t>20/01/2026</t>
        </is>
      </c>
      <c r="E4413" s="1" t="n">
        <v>2026</v>
      </c>
      <c r="F4413" s="1" t="inlineStr">
        <is>
          <t>ENERO</t>
        </is>
      </c>
      <c r="G4413" s="1" t="inlineStr">
        <is>
          <t>HAIFENG</t>
        </is>
      </c>
      <c r="H4413" s="1" t="inlineStr">
        <is>
          <t>HAIFENG 20/01/2026</t>
        </is>
      </c>
      <c r="I4413" s="4" t="n">
        <v>5</v>
      </c>
      <c r="J4413" s="6" t="n">
        <v>4.5</v>
      </c>
      <c r="K4413" s="6" t="n">
        <v>95.40188006</v>
      </c>
      <c r="L4413" s="6">
        <f>I4413*K4413</f>
        <v/>
      </c>
      <c r="M4413" s="6">
        <f>K4413*4</f>
        <v/>
      </c>
      <c r="N4413" s="6" t="n">
        <v>399</v>
      </c>
    </row>
    <row r="4414">
      <c r="A4414" s="1" t="inlineStr">
        <is>
          <t>85245863092492</t>
        </is>
      </c>
      <c r="B4414" s="1" t="inlineStr">
        <is>
          <t>PULSERA DE TELA TRES AROS RED</t>
        </is>
      </c>
      <c r="C4414" s="1" t="inlineStr">
        <is>
          <t>AJUSTABLE</t>
        </is>
      </c>
      <c r="D4414" s="1" t="inlineStr">
        <is>
          <t>10/02/2026</t>
        </is>
      </c>
      <c r="E4414" s="1" t="n">
        <v>2026</v>
      </c>
      <c r="F4414" s="1" t="inlineStr">
        <is>
          <t>FEBRERO</t>
        </is>
      </c>
      <c r="G4414" s="1" t="inlineStr">
        <is>
          <t>HAIFENG</t>
        </is>
      </c>
      <c r="H4414" s="1" t="inlineStr">
        <is>
          <t>HAIFENG 10/02/2026</t>
        </is>
      </c>
      <c r="I4414" s="4" t="n">
        <v>3</v>
      </c>
      <c r="J4414" s="6" t="n">
        <v>4.7</v>
      </c>
      <c r="K4414" s="6" t="n">
        <v>99.02193151</v>
      </c>
      <c r="L4414" s="6">
        <f>I4414*K4414</f>
        <v/>
      </c>
      <c r="M4414" s="6">
        <f>K4414*4</f>
        <v/>
      </c>
      <c r="N4414" s="6" t="n">
        <v>399</v>
      </c>
    </row>
    <row r="4415">
      <c r="A4415" s="1" t="inlineStr">
        <is>
          <t>85245863092492</t>
        </is>
      </c>
      <c r="B4415" s="1" t="inlineStr">
        <is>
          <t>PULSERA DE TELA TRES AROS RED</t>
        </is>
      </c>
      <c r="C4415" s="1" t="inlineStr">
        <is>
          <t>AJUSTABLE</t>
        </is>
      </c>
      <c r="D4415" s="1" t="inlineStr">
        <is>
          <t>26/05/2026</t>
        </is>
      </c>
      <c r="E4415" s="1" t="n">
        <v>2026</v>
      </c>
      <c r="F4415" s="1" t="inlineStr">
        <is>
          <t>MAYO</t>
        </is>
      </c>
      <c r="G4415" s="1" t="inlineStr">
        <is>
          <t>HAIFENG</t>
        </is>
      </c>
      <c r="H4415" s="1" t="inlineStr">
        <is>
          <t>HAIFENG 26/05/2026</t>
        </is>
      </c>
      <c r="I4415" s="4" t="n">
        <v>4</v>
      </c>
      <c r="J4415" s="6" t="n">
        <v>4.7</v>
      </c>
      <c r="K4415" s="6" t="n">
        <v>98.64968789</v>
      </c>
      <c r="L4415" s="6">
        <f>I4415*K4415</f>
        <v/>
      </c>
      <c r="M4415" s="6">
        <f>K4415*4</f>
        <v/>
      </c>
      <c r="N4415" s="6" t="n">
        <v>399</v>
      </c>
    </row>
    <row r="4416">
      <c r="A4416" s="1" t="inlineStr">
        <is>
          <t>85367151238285</t>
        </is>
      </c>
      <c r="B4416" s="1" t="inlineStr">
        <is>
          <t>BOLSO CD SAFARI OBLIQUE</t>
        </is>
      </c>
      <c r="C4416" s="1" t="inlineStr">
        <is>
          <t>BLACK/BLUE</t>
        </is>
      </c>
      <c r="D4416" s="1" t="inlineStr">
        <is>
          <t>06/02/2026</t>
        </is>
      </c>
      <c r="E4416" s="1" t="n">
        <v>2026</v>
      </c>
      <c r="F4416" s="1" t="inlineStr">
        <is>
          <t>FEBRERO</t>
        </is>
      </c>
      <c r="G4416" s="1" t="inlineStr">
        <is>
          <t>DINA DU</t>
        </is>
      </c>
      <c r="H4416" s="1" t="inlineStr">
        <is>
          <t>DINA DU 06/02/2026</t>
        </is>
      </c>
      <c r="I4416" s="4" t="n">
        <v>2</v>
      </c>
      <c r="J4416" s="6" t="n">
        <v>48</v>
      </c>
      <c r="K4416" s="6" t="n">
        <v>1282.627007</v>
      </c>
      <c r="L4416" s="6">
        <f>I4416*K4416</f>
        <v/>
      </c>
      <c r="M4416" s="6">
        <f>K4416*4</f>
        <v/>
      </c>
      <c r="N4416" s="6" t="n">
        <v>4499</v>
      </c>
    </row>
    <row r="4417">
      <c r="A4417" s="1" t="inlineStr">
        <is>
          <t>85367151372749</t>
        </is>
      </c>
      <c r="B4417" s="1" t="inlineStr">
        <is>
          <t>BOLSO CD MESSENGER SOLAPA</t>
        </is>
      </c>
      <c r="C4417" s="1" t="inlineStr">
        <is>
          <t>BLACK</t>
        </is>
      </c>
      <c r="D4417" s="1" t="inlineStr">
        <is>
          <t>06/02/2026</t>
        </is>
      </c>
      <c r="E4417" s="1" t="n">
        <v>2026</v>
      </c>
      <c r="F4417" s="1" t="inlineStr">
        <is>
          <t>FEBRERO</t>
        </is>
      </c>
      <c r="G4417" s="1" t="inlineStr">
        <is>
          <t>DINA DU</t>
        </is>
      </c>
      <c r="H4417" s="1" t="inlineStr">
        <is>
          <t>DINA DU 06/02/2026</t>
        </is>
      </c>
      <c r="I4417" s="4" t="n">
        <v>2</v>
      </c>
      <c r="J4417" s="6" t="n">
        <v>43</v>
      </c>
      <c r="K4417" s="6" t="n">
        <v>1149.020027</v>
      </c>
      <c r="L4417" s="6">
        <f>I4417*K4417</f>
        <v/>
      </c>
      <c r="M4417" s="6">
        <f>K4417*4</f>
        <v/>
      </c>
      <c r="N4417" s="6" t="n">
        <v>4021.57</v>
      </c>
    </row>
    <row r="4418">
      <c r="A4418" s="1" t="inlineStr">
        <is>
          <t>85367151407213</t>
        </is>
      </c>
      <c r="B4418" s="1" t="inlineStr">
        <is>
          <t>CARTERA LV SARAH MONOGRAM</t>
        </is>
      </c>
      <c r="C4418" s="1" t="inlineStr">
        <is>
          <t>BROWN</t>
        </is>
      </c>
      <c r="D4418" s="1" t="inlineStr">
        <is>
          <t>06/02/2026</t>
        </is>
      </c>
      <c r="E4418" s="1" t="n">
        <v>2026</v>
      </c>
      <c r="F4418" s="1" t="inlineStr">
        <is>
          <t>FEBRERO</t>
        </is>
      </c>
      <c r="G4418" s="1" t="inlineStr">
        <is>
          <t>DINA DU</t>
        </is>
      </c>
      <c r="H4418" s="1" t="inlineStr">
        <is>
          <t>DINA DU 06/02/2026</t>
        </is>
      </c>
      <c r="I4418" s="4" t="n">
        <v>2</v>
      </c>
      <c r="J4418" s="6" t="n">
        <v>18</v>
      </c>
      <c r="K4418" s="6" t="n">
        <v>480.9851275</v>
      </c>
      <c r="L4418" s="6">
        <f>I4418*K4418</f>
        <v/>
      </c>
      <c r="M4418" s="6">
        <f>K4418*4</f>
        <v/>
      </c>
      <c r="N4418" s="6" t="n">
        <v>1929</v>
      </c>
    </row>
    <row r="4419">
      <c r="A4419" s="1" t="inlineStr">
        <is>
          <t>85367151541677</t>
        </is>
      </c>
      <c r="B4419" s="1" t="inlineStr">
        <is>
          <t>TARJETERO C LOGO</t>
        </is>
      </c>
      <c r="C4419" s="1" t="inlineStr">
        <is>
          <t>BLACK/GOLD</t>
        </is>
      </c>
      <c r="D4419" s="1" t="inlineStr">
        <is>
          <t>06/02/2026</t>
        </is>
      </c>
      <c r="E4419" s="1" t="n">
        <v>2026</v>
      </c>
      <c r="F4419" s="1" t="inlineStr">
        <is>
          <t>FEBRERO</t>
        </is>
      </c>
      <c r="G4419" s="1" t="inlineStr">
        <is>
          <t>DINA DU</t>
        </is>
      </c>
      <c r="H4419" s="1" t="inlineStr">
        <is>
          <t>DINA DU 06/02/2026</t>
        </is>
      </c>
      <c r="I4419" s="4" t="n">
        <v>3</v>
      </c>
      <c r="J4419" s="6" t="n">
        <v>12</v>
      </c>
      <c r="K4419" s="6" t="n">
        <v>320.6567517</v>
      </c>
      <c r="L4419" s="6">
        <f>I4419*K4419</f>
        <v/>
      </c>
      <c r="M4419" s="6">
        <f>K4419*4</f>
        <v/>
      </c>
      <c r="N4419" s="6" t="n">
        <v>1299</v>
      </c>
    </row>
    <row r="4420">
      <c r="A4420" s="1" t="inlineStr">
        <is>
          <t>85367151645069</t>
        </is>
      </c>
      <c r="B4420" s="1" t="inlineStr">
        <is>
          <t>CARTERA C SMALL BLACK</t>
        </is>
      </c>
      <c r="C4420" s="1" t="inlineStr">
        <is>
          <t>BLACK/GOLD</t>
        </is>
      </c>
      <c r="D4420" s="1" t="inlineStr">
        <is>
          <t>06/02/2026</t>
        </is>
      </c>
      <c r="E4420" s="1" t="n">
        <v>2026</v>
      </c>
      <c r="F4420" s="1" t="inlineStr">
        <is>
          <t>FEBRERO</t>
        </is>
      </c>
      <c r="G4420" s="1" t="inlineStr">
        <is>
          <t>DINA DU</t>
        </is>
      </c>
      <c r="H4420" s="1" t="inlineStr">
        <is>
          <t>DINA DU 06/02/2026</t>
        </is>
      </c>
      <c r="I4420" s="4" t="n">
        <v>3</v>
      </c>
      <c r="J4420" s="6" t="n">
        <v>28</v>
      </c>
      <c r="K4420" s="6" t="n">
        <v>748.1990872</v>
      </c>
      <c r="L4420" s="6">
        <f>I4420*K4420</f>
        <v/>
      </c>
      <c r="M4420" s="6">
        <f>K4420*4</f>
        <v/>
      </c>
      <c r="N4420" s="6" t="n">
        <v>2999</v>
      </c>
    </row>
    <row r="4421">
      <c r="A4421" s="1" t="inlineStr">
        <is>
          <t>85367151779533</t>
        </is>
      </c>
      <c r="B4421" s="1" t="inlineStr">
        <is>
          <t>CARTERA PR LOGO</t>
        </is>
      </c>
      <c r="C4421" s="1" t="inlineStr">
        <is>
          <t>BLACK/GOLD</t>
        </is>
      </c>
      <c r="D4421" s="1" t="inlineStr">
        <is>
          <t>06/02/2026</t>
        </is>
      </c>
      <c r="E4421" s="1" t="n">
        <v>2026</v>
      </c>
      <c r="F4421" s="1" t="inlineStr">
        <is>
          <t>FEBRERO</t>
        </is>
      </c>
      <c r="G4421" s="1" t="inlineStr">
        <is>
          <t>DINA DU</t>
        </is>
      </c>
      <c r="H4421" s="1" t="inlineStr">
        <is>
          <t>DINA DU 06/02/2026</t>
        </is>
      </c>
      <c r="I4421" s="4" t="n">
        <v>3</v>
      </c>
      <c r="J4421" s="6" t="n">
        <v>29</v>
      </c>
      <c r="K4421" s="6" t="n">
        <v>774.9204832</v>
      </c>
      <c r="L4421" s="6">
        <f>I4421*K4421</f>
        <v/>
      </c>
      <c r="M4421" s="6">
        <f>K4421*4</f>
        <v/>
      </c>
      <c r="N4421" s="6" t="n">
        <v>3100</v>
      </c>
    </row>
    <row r="4422">
      <c r="A4422" s="1" t="inlineStr">
        <is>
          <t>85367151846765</t>
        </is>
      </c>
      <c r="B4422" s="1" t="inlineStr">
        <is>
          <t>CARTERA YSL SILVER LOGO</t>
        </is>
      </c>
      <c r="C4422" s="1" t="inlineStr">
        <is>
          <t>BLACK/SILVER</t>
        </is>
      </c>
      <c r="D4422" s="1" t="inlineStr">
        <is>
          <t>06/02/2026</t>
        </is>
      </c>
      <c r="E4422" s="1" t="n">
        <v>2026</v>
      </c>
      <c r="F4422" s="1" t="inlineStr">
        <is>
          <t>FEBRERO</t>
        </is>
      </c>
      <c r="G4422" s="1" t="inlineStr">
        <is>
          <t>DINA DU</t>
        </is>
      </c>
      <c r="H4422" s="1" t="inlineStr">
        <is>
          <t>DINA DU 06/02/2026</t>
        </is>
      </c>
      <c r="I4422" s="4" t="n">
        <v>3</v>
      </c>
      <c r="J4422" s="6" t="n">
        <v>25</v>
      </c>
      <c r="K4422" s="6" t="n">
        <v>668.0348993</v>
      </c>
      <c r="L4422" s="6">
        <f>I4422*K4422</f>
        <v/>
      </c>
      <c r="M4422" s="6">
        <f>K4422*4</f>
        <v/>
      </c>
      <c r="N4422" s="6" t="n">
        <v>2675</v>
      </c>
    </row>
    <row r="4423">
      <c r="A4423" s="1" t="inlineStr">
        <is>
          <t>85367151913997</t>
        </is>
      </c>
      <c r="B4423" s="1" t="inlineStr">
        <is>
          <t>TARJETERO CC JOLIE BLACK</t>
        </is>
      </c>
      <c r="C4423" s="1" t="inlineStr">
        <is>
          <t>BLACK/GOLD</t>
        </is>
      </c>
      <c r="D4423" s="1" t="inlineStr">
        <is>
          <t>06/02/2026</t>
        </is>
      </c>
      <c r="E4423" s="1" t="n">
        <v>2026</v>
      </c>
      <c r="F4423" s="1" t="inlineStr">
        <is>
          <t>FEBRERO</t>
        </is>
      </c>
      <c r="G4423" s="1" t="inlineStr">
        <is>
          <t>DINA DU</t>
        </is>
      </c>
      <c r="H4423" s="1" t="inlineStr">
        <is>
          <t>DINA DU 06/02/2026</t>
        </is>
      </c>
      <c r="I4423" s="4" t="n">
        <v>3</v>
      </c>
      <c r="J4423" s="6" t="n">
        <v>15</v>
      </c>
      <c r="K4423" s="6" t="n">
        <v>400.8209396</v>
      </c>
      <c r="L4423" s="6">
        <f>I4423*K4423</f>
        <v/>
      </c>
      <c r="M4423" s="6">
        <f>K4423*4</f>
        <v/>
      </c>
      <c r="N4423" s="6" t="n">
        <v>1609</v>
      </c>
    </row>
    <row r="4424">
      <c r="A4424" s="1" t="inlineStr">
        <is>
          <t>85367152015693</t>
        </is>
      </c>
      <c r="B4424" s="1" t="inlineStr">
        <is>
          <t>CARTERA CC JOLIE BLACK</t>
        </is>
      </c>
      <c r="C4424" s="1" t="inlineStr">
        <is>
          <t>BLACK/GOLD</t>
        </is>
      </c>
      <c r="D4424" s="1" t="inlineStr">
        <is>
          <t>06/02/2026</t>
        </is>
      </c>
      <c r="E4424" s="1" t="n">
        <v>2026</v>
      </c>
      <c r="F4424" s="1" t="inlineStr">
        <is>
          <t>FEBRERO</t>
        </is>
      </c>
      <c r="G4424" s="1" t="inlineStr">
        <is>
          <t>DINA DU</t>
        </is>
      </c>
      <c r="H4424" s="1" t="inlineStr">
        <is>
          <t>DINA DU 06/02/2026</t>
        </is>
      </c>
      <c r="I4424" s="4" t="n">
        <v>3</v>
      </c>
      <c r="J4424" s="6" t="n">
        <v>23</v>
      </c>
      <c r="K4424" s="6" t="n">
        <v>614.5921074</v>
      </c>
      <c r="L4424" s="6">
        <f>I4424*K4424</f>
        <v/>
      </c>
      <c r="M4424" s="6">
        <f>K4424*4</f>
        <v/>
      </c>
      <c r="N4424" s="6" t="n">
        <v>2459</v>
      </c>
    </row>
    <row r="4425">
      <c r="A4425" s="1" t="inlineStr">
        <is>
          <t>85367152182925</t>
        </is>
      </c>
      <c r="B4425" s="1" t="inlineStr">
        <is>
          <t>BOLSO CC SHINY STAR BLACK</t>
        </is>
      </c>
      <c r="C4425" s="1" t="inlineStr">
        <is>
          <t>BLACK/GOLD</t>
        </is>
      </c>
      <c r="D4425" s="1" t="inlineStr">
        <is>
          <t>06/02/2026</t>
        </is>
      </c>
      <c r="E4425" s="1" t="n">
        <v>2026</v>
      </c>
      <c r="F4425" s="1" t="inlineStr">
        <is>
          <t>FEBRERO</t>
        </is>
      </c>
      <c r="G4425" s="1" t="inlineStr">
        <is>
          <t>DINA DU</t>
        </is>
      </c>
      <c r="H4425" s="1" t="inlineStr">
        <is>
          <t>DINA DU 06/02/2026</t>
        </is>
      </c>
      <c r="I4425" s="4" t="n">
        <v>2</v>
      </c>
      <c r="J4425" s="6" t="n">
        <v>56</v>
      </c>
      <c r="K4425" s="6" t="n">
        <v>1496.398174</v>
      </c>
      <c r="L4425" s="6">
        <f>I4425*K4425</f>
        <v/>
      </c>
      <c r="M4425" s="6">
        <f>K4425*4</f>
        <v/>
      </c>
      <c r="N4425" s="6" t="n">
        <v>5237.3936107005</v>
      </c>
    </row>
    <row r="4426">
      <c r="A4426" s="1" t="inlineStr">
        <is>
          <t>85367152250157</t>
        </is>
      </c>
      <c r="B4426" s="1" t="inlineStr">
        <is>
          <t>BOLSO C NINO BLACK</t>
        </is>
      </c>
      <c r="C4426" s="1" t="inlineStr">
        <is>
          <t>BLACK/GOLD</t>
        </is>
      </c>
      <c r="D4426" s="1" t="inlineStr">
        <is>
          <t>06/02/2026</t>
        </is>
      </c>
      <c r="E4426" s="1" t="n">
        <v>2026</v>
      </c>
      <c r="F4426" s="1" t="inlineStr">
        <is>
          <t>FEBRERO</t>
        </is>
      </c>
      <c r="G4426" s="1" t="inlineStr">
        <is>
          <t>DINA DU</t>
        </is>
      </c>
      <c r="H4426" s="1" t="inlineStr">
        <is>
          <t>DINA DU 06/02/2026</t>
        </is>
      </c>
      <c r="I4426" s="4" t="n">
        <v>2</v>
      </c>
      <c r="J4426" s="6" t="n">
        <v>45</v>
      </c>
      <c r="K4426" s="6" t="n">
        <v>1202.462819</v>
      </c>
      <c r="L4426" s="6">
        <f>I4426*K4426</f>
        <v/>
      </c>
      <c r="M4426" s="6">
        <f>K4426*4</f>
        <v/>
      </c>
      <c r="N4426" s="6" t="n">
        <v>4210</v>
      </c>
    </row>
    <row r="4427">
      <c r="A4427" s="1" t="inlineStr">
        <is>
          <t>85367152384621</t>
        </is>
      </c>
      <c r="B4427" s="1" t="inlineStr">
        <is>
          <t>BOLSO CC BOY BLACK</t>
        </is>
      </c>
      <c r="C4427" s="1" t="inlineStr">
        <is>
          <t>BLACK/GOLD</t>
        </is>
      </c>
      <c r="D4427" s="1" t="inlineStr">
        <is>
          <t>06/02/2026</t>
        </is>
      </c>
      <c r="E4427" s="1" t="n">
        <v>2026</v>
      </c>
      <c r="F4427" s="1" t="inlineStr">
        <is>
          <t>FEBRERO</t>
        </is>
      </c>
      <c r="G4427" s="1" t="inlineStr">
        <is>
          <t>DINA DU</t>
        </is>
      </c>
      <c r="H4427" s="1" t="inlineStr">
        <is>
          <t>DINA DU 06/02/2026</t>
        </is>
      </c>
      <c r="I4427" s="4" t="n">
        <v>2</v>
      </c>
      <c r="J4427" s="6" t="n">
        <v>15</v>
      </c>
      <c r="K4427" s="6" t="n">
        <v>400.8209396</v>
      </c>
      <c r="L4427" s="6">
        <f>I4427*K4427</f>
        <v/>
      </c>
      <c r="M4427" s="6">
        <f>K4427*4</f>
        <v/>
      </c>
      <c r="N4427" s="6" t="n">
        <v>2000</v>
      </c>
    </row>
    <row r="4428">
      <c r="A4428" s="1" t="inlineStr">
        <is>
          <t>85367152486317</t>
        </is>
      </c>
      <c r="B4428" s="1" t="inlineStr">
        <is>
          <t>CINTO FR SILVER BROWN</t>
        </is>
      </c>
      <c r="C4428" s="1" t="inlineStr">
        <is>
          <t>100cm</t>
        </is>
      </c>
      <c r="D4428" s="1" t="inlineStr">
        <is>
          <t>06/02/2026</t>
        </is>
      </c>
      <c r="E4428" s="1" t="n">
        <v>2026</v>
      </c>
      <c r="F4428" s="1" t="inlineStr">
        <is>
          <t>FEBRERO</t>
        </is>
      </c>
      <c r="G4428" s="1" t="inlineStr">
        <is>
          <t>DINA DU</t>
        </is>
      </c>
      <c r="H4428" s="1" t="inlineStr">
        <is>
          <t>DINA DU 06/02/2026</t>
        </is>
      </c>
      <c r="I4428" s="4" t="n">
        <v>3</v>
      </c>
      <c r="J4428" s="6" t="n">
        <v>12</v>
      </c>
      <c r="K4428" s="6" t="n">
        <v>320.6567517</v>
      </c>
      <c r="L4428" s="6">
        <f>I4428*K4428</f>
        <v/>
      </c>
      <c r="M4428" s="6">
        <f>K4428*4</f>
        <v/>
      </c>
      <c r="N4428" s="6" t="n">
        <v>1289</v>
      </c>
    </row>
    <row r="4429">
      <c r="A4429" s="1" t="inlineStr">
        <is>
          <t>85409401017325</t>
        </is>
      </c>
      <c r="B4429" s="1" t="inlineStr">
        <is>
          <t>ARETES F OVAL GOLD CON ZIRCONIA</t>
        </is>
      </c>
      <c r="C4429" s="1" t="inlineStr">
        <is>
          <t>Default Title</t>
        </is>
      </c>
      <c r="D4429" s="1" t="inlineStr">
        <is>
          <t>02/10/2025</t>
        </is>
      </c>
      <c r="E4429" s="1" t="n">
        <v>2025</v>
      </c>
      <c r="F4429" s="1" t="inlineStr">
        <is>
          <t>OCTUBRE</t>
        </is>
      </c>
      <c r="G4429" s="1" t="inlineStr">
        <is>
          <t>ZOEY</t>
        </is>
      </c>
      <c r="H4429" s="1" t="inlineStr">
        <is>
          <t>ZOEY 02/10/2025</t>
        </is>
      </c>
      <c r="I4429" s="4" t="n">
        <v>3</v>
      </c>
      <c r="J4429" s="6" t="n">
        <v>8</v>
      </c>
      <c r="K4429" s="6" t="n">
        <v>188.991488</v>
      </c>
      <c r="L4429" s="6">
        <f>I4429*K4429</f>
        <v/>
      </c>
      <c r="M4429" s="6">
        <f>K4429*4</f>
        <v/>
      </c>
      <c r="N4429" s="6" t="n">
        <v>850</v>
      </c>
    </row>
    <row r="4430">
      <c r="A4430" s="1" t="inlineStr">
        <is>
          <t>85409401017325</t>
        </is>
      </c>
      <c r="B4430" s="1" t="inlineStr">
        <is>
          <t>ARETES F OVAL GOLD CON ZIRCONIA</t>
        </is>
      </c>
      <c r="C4430" s="1" t="inlineStr">
        <is>
          <t>Default Title</t>
        </is>
      </c>
      <c r="D4430" s="1" t="inlineStr">
        <is>
          <t>20/01/2026</t>
        </is>
      </c>
      <c r="E4430" s="1" t="n">
        <v>2026</v>
      </c>
      <c r="F4430" s="1" t="inlineStr">
        <is>
          <t>ENERO</t>
        </is>
      </c>
      <c r="G4430" s="1" t="inlineStr">
        <is>
          <t>ZOEY</t>
        </is>
      </c>
      <c r="H4430" s="1" t="inlineStr">
        <is>
          <t>ZOEY 20/01/2026</t>
        </is>
      </c>
      <c r="I4430" s="4" t="n">
        <v>2</v>
      </c>
      <c r="J4430" s="6" t="n">
        <v>8</v>
      </c>
      <c r="K4430" s="6" t="n">
        <v>208.252795</v>
      </c>
      <c r="L4430" s="6">
        <f>I4430*K4430</f>
        <v/>
      </c>
      <c r="M4430" s="6">
        <f>K4430*4</f>
        <v/>
      </c>
      <c r="N4430" s="6" t="n">
        <v>850</v>
      </c>
    </row>
    <row r="4431">
      <c r="A4431" s="1" t="inlineStr">
        <is>
          <t>85409401017325</t>
        </is>
      </c>
      <c r="B4431" s="1" t="inlineStr">
        <is>
          <t>ARETES F OVAL GOLD CON ZIRCONIA</t>
        </is>
      </c>
      <c r="C4431" s="1" t="inlineStr">
        <is>
          <t>Default Title</t>
        </is>
      </c>
      <c r="D4431" s="1" t="inlineStr">
        <is>
          <t>02/03/2026</t>
        </is>
      </c>
      <c r="E4431" s="1" t="n">
        <v>2026</v>
      </c>
      <c r="F4431" s="1" t="inlineStr">
        <is>
          <t>MARZO</t>
        </is>
      </c>
      <c r="G4431" s="1" t="inlineStr">
        <is>
          <t>ZOEY</t>
        </is>
      </c>
      <c r="H4431" s="1" t="inlineStr">
        <is>
          <t>ZOEY 02/03/2026</t>
        </is>
      </c>
      <c r="I4431" s="4" t="n">
        <v>1</v>
      </c>
      <c r="J4431" s="6" t="n">
        <v>8</v>
      </c>
      <c r="K4431" s="6" t="n">
        <v>210.2158058</v>
      </c>
      <c r="L4431" s="6">
        <f>I4431*K4431</f>
        <v/>
      </c>
      <c r="M4431" s="6">
        <f>K4431*4</f>
        <v/>
      </c>
      <c r="N4431" s="6" t="n">
        <v>850</v>
      </c>
    </row>
    <row r="4432">
      <c r="A4432" s="1" t="inlineStr">
        <is>
          <t>85409401017325</t>
        </is>
      </c>
      <c r="B4432" s="1" t="inlineStr">
        <is>
          <t>ARETES F OVAL GOLD CON ZIRCONIA</t>
        </is>
      </c>
      <c r="C4432" s="1" t="inlineStr">
        <is>
          <t>Default Title</t>
        </is>
      </c>
      <c r="D4432" s="1" t="inlineStr">
        <is>
          <t>20/04/2026</t>
        </is>
      </c>
      <c r="E4432" s="1" t="n">
        <v>2026</v>
      </c>
      <c r="F4432" s="1" t="inlineStr">
        <is>
          <t>ABRIL</t>
        </is>
      </c>
      <c r="G4432" s="1" t="inlineStr">
        <is>
          <t>ZOEY</t>
        </is>
      </c>
      <c r="H4432" s="1" t="inlineStr">
        <is>
          <t>ZOEY 20/04/2026</t>
        </is>
      </c>
      <c r="I4432" s="4" t="n">
        <v>2</v>
      </c>
      <c r="J4432" s="6" t="n">
        <v>8</v>
      </c>
      <c r="K4432" s="6" t="n">
        <v>204.8702267</v>
      </c>
      <c r="L4432" s="6">
        <f>I4432*K4432</f>
        <v/>
      </c>
      <c r="M4432" s="6">
        <f>K4432*4</f>
        <v/>
      </c>
      <c r="N4432" s="6" t="n">
        <v>850</v>
      </c>
    </row>
    <row r="4433">
      <c r="A4433" s="1" t="inlineStr">
        <is>
          <t>85409401017325</t>
        </is>
      </c>
      <c r="B4433" s="1" t="inlineStr">
        <is>
          <t>ARETES F OVAL GOLD CON ZIRCONIA</t>
        </is>
      </c>
      <c r="C4433" s="1" t="inlineStr">
        <is>
          <t>Default Title</t>
        </is>
      </c>
      <c r="D4433" s="1" t="inlineStr">
        <is>
          <t>15/05/2026</t>
        </is>
      </c>
      <c r="E4433" s="1" t="n">
        <v>2026</v>
      </c>
      <c r="F4433" s="1" t="inlineStr">
        <is>
          <t>MAYO</t>
        </is>
      </c>
      <c r="G4433" s="1" t="inlineStr">
        <is>
          <t>ZOEY</t>
        </is>
      </c>
      <c r="H4433" s="1" t="inlineStr">
        <is>
          <t>ZOEY 15/05/2026</t>
        </is>
      </c>
      <c r="I4433" s="4" t="n">
        <v>2</v>
      </c>
      <c r="J4433" s="6" t="n">
        <v>8</v>
      </c>
      <c r="K4433" s="6" t="n">
        <v>212.0369959</v>
      </c>
      <c r="L4433" s="6">
        <f>I4433*K4433</f>
        <v/>
      </c>
      <c r="M4433" s="6">
        <f>K4433*4</f>
        <v/>
      </c>
      <c r="N4433" s="6" t="n">
        <v>850</v>
      </c>
    </row>
    <row r="4434">
      <c r="A4434" s="1" t="inlineStr">
        <is>
          <t>85430731026029</t>
        </is>
      </c>
      <c r="B4434" s="1" t="inlineStr">
        <is>
          <t>RELOJ PANTHERE SILVER</t>
        </is>
      </c>
      <c r="C4434" s="1" t="inlineStr">
        <is>
          <t>RELOJ CON CAJA</t>
        </is>
      </c>
      <c r="D4434" s="1" t="inlineStr">
        <is>
          <t>08/06/2026</t>
        </is>
      </c>
      <c r="E4434" s="1" t="n">
        <v>2026</v>
      </c>
      <c r="F4434" s="1" t="inlineStr">
        <is>
          <t>JUNIO</t>
        </is>
      </c>
      <c r="G4434" s="1" t="inlineStr">
        <is>
          <t>ZOEY</t>
        </is>
      </c>
      <c r="H4434" s="1" t="inlineStr">
        <is>
          <t>ZOEY 08/06/2026</t>
        </is>
      </c>
      <c r="I4434" s="4" t="n">
        <v>2</v>
      </c>
      <c r="J4434" s="6" t="n">
        <v>58</v>
      </c>
      <c r="K4434" s="6" t="n">
        <v>1421.663314</v>
      </c>
      <c r="L4434" s="6">
        <f>I4434*K4434</f>
        <v/>
      </c>
      <c r="M4434" s="6">
        <f>K4434*4</f>
        <v/>
      </c>
      <c r="N4434" s="6" t="n">
        <v>5720</v>
      </c>
    </row>
    <row r="4435">
      <c r="A4435" s="1" t="inlineStr">
        <is>
          <t>85549091025933</t>
        </is>
      </c>
      <c r="B4435" s="1" t="inlineStr">
        <is>
          <t>ANILLO CD LOGO GOLD CON ZIRCONIAS</t>
        </is>
      </c>
      <c r="C4435" s="1" t="inlineStr">
        <is>
          <t>Default Title</t>
        </is>
      </c>
      <c r="D4435" s="1" t="inlineStr">
        <is>
          <t>03/12/2025</t>
        </is>
      </c>
      <c r="E4435" s="1" t="n">
        <v>2025</v>
      </c>
      <c r="F4435" s="1" t="inlineStr">
        <is>
          <t>DICIEMBRE</t>
        </is>
      </c>
      <c r="G4435" s="1" t="inlineStr">
        <is>
          <t>HAIFENG</t>
        </is>
      </c>
      <c r="H4435" s="1" t="inlineStr">
        <is>
          <t>HAIFENG 03/12/2025</t>
        </is>
      </c>
      <c r="I4435" s="4" t="n">
        <v>2</v>
      </c>
      <c r="J4435" s="6" t="n">
        <v>6</v>
      </c>
      <c r="K4435" s="6" t="n">
        <v>125.5029601</v>
      </c>
      <c r="L4435" s="6">
        <f>I4435*K4435</f>
        <v/>
      </c>
      <c r="M4435" s="6">
        <f>K4435*4</f>
        <v/>
      </c>
      <c r="N4435" s="6" t="n">
        <v>495</v>
      </c>
    </row>
    <row r="4436">
      <c r="A4436" s="1" t="inlineStr">
        <is>
          <t>85563421017997</t>
        </is>
      </c>
      <c r="B4436" s="1" t="inlineStr">
        <is>
          <t>COLLAR LV INSIGNIAS BLOSSOM GOLD BLACK</t>
        </is>
      </c>
      <c r="C4436" s="1" t="inlineStr">
        <is>
          <t>Default Title</t>
        </is>
      </c>
      <c r="D4436" s="1" t="inlineStr">
        <is>
          <t>02/10/2025</t>
        </is>
      </c>
      <c r="E4436" s="1" t="n">
        <v>2025</v>
      </c>
      <c r="F4436" s="1" t="inlineStr">
        <is>
          <t>OCTUBRE</t>
        </is>
      </c>
      <c r="G4436" s="1" t="inlineStr">
        <is>
          <t>ZOEY</t>
        </is>
      </c>
      <c r="H4436" s="1" t="inlineStr">
        <is>
          <t>ZOEY 02/10/2025</t>
        </is>
      </c>
      <c r="I4436" s="4" t="n">
        <v>2</v>
      </c>
      <c r="J4436" s="6" t="n">
        <v>11</v>
      </c>
      <c r="K4436" s="6" t="n">
        <v>259.863296</v>
      </c>
      <c r="L4436" s="6">
        <f>I4436*K4436</f>
        <v/>
      </c>
      <c r="M4436" s="6">
        <f>K4436*4</f>
        <v/>
      </c>
      <c r="N4436" s="6" t="n">
        <v>1242</v>
      </c>
    </row>
    <row r="4437">
      <c r="A4437" s="1" t="inlineStr">
        <is>
          <t>85887251053901</t>
        </is>
      </c>
      <c r="B4437" s="1" t="inlineStr">
        <is>
          <t>ABRIGO CAQUI JW</t>
        </is>
      </c>
      <c r="C4437" s="1" t="inlineStr">
        <is>
          <t>M</t>
        </is>
      </c>
      <c r="D4437" s="1" t="inlineStr">
        <is>
          <t>10/10/2025</t>
        </is>
      </c>
      <c r="E4437" s="1" t="n">
        <v>2025</v>
      </c>
      <c r="F4437" s="1" t="inlineStr">
        <is>
          <t>OCTUBRE</t>
        </is>
      </c>
      <c r="G4437" s="1" t="inlineStr">
        <is>
          <t>MOLLY</t>
        </is>
      </c>
      <c r="H4437" s="1" t="inlineStr">
        <is>
          <t>MOLLY 10/10/2025</t>
        </is>
      </c>
      <c r="I4437" s="4" t="n">
        <v>2</v>
      </c>
      <c r="J4437" s="6" t="n">
        <v>7.9</v>
      </c>
      <c r="K4437" s="6" t="n">
        <v>225.7214403</v>
      </c>
      <c r="L4437" s="6">
        <f>I4437*K4437</f>
        <v/>
      </c>
      <c r="M4437" s="6">
        <f>K4437*4</f>
        <v/>
      </c>
      <c r="N4437" s="6" t="n">
        <v>662.05</v>
      </c>
    </row>
    <row r="4438">
      <c r="A4438" s="1" t="inlineStr">
        <is>
          <t>85887251172013</t>
        </is>
      </c>
      <c r="B4438" s="1" t="inlineStr">
        <is>
          <t>ABRIGO WHITE JW</t>
        </is>
      </c>
      <c r="C4438" s="1" t="inlineStr">
        <is>
          <t>M</t>
        </is>
      </c>
      <c r="D4438" s="1" t="inlineStr">
        <is>
          <t>10/10/2025</t>
        </is>
      </c>
      <c r="E4438" s="1" t="n">
        <v>2025</v>
      </c>
      <c r="F4438" s="1" t="inlineStr">
        <is>
          <t>OCTUBRE</t>
        </is>
      </c>
      <c r="G4438" s="1" t="inlineStr">
        <is>
          <t>MOLLY</t>
        </is>
      </c>
      <c r="H4438" s="1" t="inlineStr">
        <is>
          <t>MOLLY 10/10/2025</t>
        </is>
      </c>
      <c r="I4438" s="4" t="n">
        <v>2</v>
      </c>
      <c r="J4438" s="6" t="n">
        <v>14.8</v>
      </c>
      <c r="K4438" s="6" t="n">
        <v>422.8705464</v>
      </c>
      <c r="L4438" s="6">
        <f>I4438*K4438</f>
        <v/>
      </c>
      <c r="M4438" s="6">
        <f>K4438*4</f>
        <v/>
      </c>
      <c r="N4438" s="6" t="n">
        <v>930.22</v>
      </c>
    </row>
    <row r="4439">
      <c r="A4439" s="1" t="inlineStr">
        <is>
          <t>85887251265229</t>
        </is>
      </c>
      <c r="B4439" s="1" t="inlineStr">
        <is>
          <t>ABRIGO WHITE-BLACK JW</t>
        </is>
      </c>
      <c r="C4439" s="1" t="inlineStr">
        <is>
          <t>S</t>
        </is>
      </c>
      <c r="D4439" s="1" t="inlineStr">
        <is>
          <t>10/10/2025</t>
        </is>
      </c>
      <c r="E4439" s="1" t="n">
        <v>2025</v>
      </c>
      <c r="F4439" s="1" t="inlineStr">
        <is>
          <t>OCTUBRE</t>
        </is>
      </c>
      <c r="G4439" s="1" t="inlineStr">
        <is>
          <t>MOLLY</t>
        </is>
      </c>
      <c r="H4439" s="1" t="inlineStr">
        <is>
          <t>MOLLY 10/10/2025</t>
        </is>
      </c>
      <c r="I4439" s="4" t="n">
        <v>2</v>
      </c>
      <c r="J4439" s="6" t="n">
        <v>5.12</v>
      </c>
      <c r="K4439" s="6" t="n">
        <v>146.2903512</v>
      </c>
      <c r="L4439" s="6">
        <f>I4439*K4439</f>
        <v/>
      </c>
      <c r="M4439" s="6">
        <f>K4439*4</f>
        <v/>
      </c>
      <c r="N4439" s="6" t="n">
        <v>675.4400000000001</v>
      </c>
    </row>
    <row r="4440">
      <c r="A4440" s="1" t="inlineStr">
        <is>
          <t>85887251331053</t>
        </is>
      </c>
      <c r="B4440" s="1" t="inlineStr">
        <is>
          <t>SUDADERA ZIPPER BEIGE JW</t>
        </is>
      </c>
      <c r="C4440" s="1" t="inlineStr">
        <is>
          <t>M</t>
        </is>
      </c>
      <c r="D4440" s="1" t="inlineStr">
        <is>
          <t>10/10/2025</t>
        </is>
      </c>
      <c r="E4440" s="1" t="n">
        <v>2025</v>
      </c>
      <c r="F4440" s="1" t="inlineStr">
        <is>
          <t>OCTUBRE</t>
        </is>
      </c>
      <c r="G4440" s="1" t="inlineStr">
        <is>
          <t>MOLLY</t>
        </is>
      </c>
      <c r="H4440" s="1" t="inlineStr">
        <is>
          <t>MOLLY 10/10/2025</t>
        </is>
      </c>
      <c r="I4440" s="4" t="n">
        <v>2</v>
      </c>
      <c r="J4440" s="6" t="n">
        <v>18.9</v>
      </c>
      <c r="K4440" s="6" t="n">
        <v>540.0171166</v>
      </c>
      <c r="L4440" s="6">
        <f>I4440*K4440</f>
        <v/>
      </c>
      <c r="M4440" s="6">
        <f>K4440*4</f>
        <v/>
      </c>
      <c r="N4440" s="6" t="n">
        <v>950</v>
      </c>
    </row>
    <row r="4441">
      <c r="A4441" s="1" t="inlineStr">
        <is>
          <t>85887251403373</t>
        </is>
      </c>
      <c r="B4441" s="1" t="inlineStr">
        <is>
          <t>SUETER CLASSIC BLACK CASHMERE</t>
        </is>
      </c>
      <c r="C4441" s="1" t="inlineStr">
        <is>
          <t>M</t>
        </is>
      </c>
      <c r="D4441" s="1" t="inlineStr">
        <is>
          <t>10/10/2025</t>
        </is>
      </c>
      <c r="E4441" s="1" t="n">
        <v>2025</v>
      </c>
      <c r="F4441" s="1" t="inlineStr">
        <is>
          <t>OCTUBRE</t>
        </is>
      </c>
      <c r="G4441" s="1" t="inlineStr">
        <is>
          <t>MOLLY</t>
        </is>
      </c>
      <c r="H4441" s="1" t="inlineStr">
        <is>
          <t>MOLLY 10/10/2025</t>
        </is>
      </c>
      <c r="I4441" s="4" t="n">
        <v>2</v>
      </c>
      <c r="J4441" s="6" t="n">
        <v>18</v>
      </c>
      <c r="K4441" s="6" t="n">
        <v>514.3020158</v>
      </c>
      <c r="L4441" s="6">
        <f>I4441*K4441</f>
        <v/>
      </c>
      <c r="M4441" s="6">
        <f>K4441*4</f>
        <v/>
      </c>
      <c r="N4441" s="6" t="n">
        <v>1508.46</v>
      </c>
    </row>
    <row r="4442">
      <c r="A4442" s="1" t="inlineStr">
        <is>
          <t>85887251539533</t>
        </is>
      </c>
      <c r="B4442" s="1" t="inlineStr">
        <is>
          <t>SUETER CLASSIC CAQUI CASHMERE</t>
        </is>
      </c>
      <c r="C4442" s="1" t="inlineStr">
        <is>
          <t>M</t>
        </is>
      </c>
      <c r="D4442" s="1" t="inlineStr">
        <is>
          <t>10/10/2025</t>
        </is>
      </c>
      <c r="E4442" s="1" t="n">
        <v>2025</v>
      </c>
      <c r="F4442" s="1" t="inlineStr">
        <is>
          <t>OCTUBRE</t>
        </is>
      </c>
      <c r="G4442" s="1" t="inlineStr">
        <is>
          <t>MOLLY</t>
        </is>
      </c>
      <c r="H4442" s="1" t="inlineStr">
        <is>
          <t>MOLLY 10/10/2025</t>
        </is>
      </c>
      <c r="I4442" s="4" t="n">
        <v>2</v>
      </c>
      <c r="J4442" s="6" t="n">
        <v>18</v>
      </c>
      <c r="K4442" s="6" t="n">
        <v>514.3020158</v>
      </c>
      <c r="L4442" s="6">
        <f>I4442*K4442</f>
        <v/>
      </c>
      <c r="M4442" s="6">
        <f>K4442*4</f>
        <v/>
      </c>
      <c r="N4442" s="6" t="n">
        <v>1508.46</v>
      </c>
    </row>
    <row r="4443">
      <c r="A4443" s="1" t="inlineStr">
        <is>
          <t>85887251610157</t>
        </is>
      </c>
      <c r="B4443" s="1" t="inlineStr">
        <is>
          <t>SUETER CLASSIC GREY CASHMERE</t>
        </is>
      </c>
      <c r="C4443" s="1" t="inlineStr">
        <is>
          <t>M</t>
        </is>
      </c>
      <c r="D4443" s="1" t="inlineStr">
        <is>
          <t>10/10/2025</t>
        </is>
      </c>
      <c r="E4443" s="1" t="n">
        <v>2025</v>
      </c>
      <c r="F4443" s="1" t="inlineStr">
        <is>
          <t>OCTUBRE</t>
        </is>
      </c>
      <c r="G4443" s="1" t="inlineStr">
        <is>
          <t>MOLLY</t>
        </is>
      </c>
      <c r="H4443" s="1" t="inlineStr">
        <is>
          <t>MOLLY 10/10/2025</t>
        </is>
      </c>
      <c r="I4443" s="4" t="n">
        <v>2</v>
      </c>
      <c r="J4443" s="6" t="n">
        <v>18</v>
      </c>
      <c r="K4443" s="6" t="n">
        <v>514.3020158</v>
      </c>
      <c r="L4443" s="6">
        <f>I4443*K4443</f>
        <v/>
      </c>
      <c r="M4443" s="6">
        <f>K4443*4</f>
        <v/>
      </c>
      <c r="N4443" s="6" t="n">
        <v>1508.46</v>
      </c>
    </row>
    <row r="4444">
      <c r="A4444" s="1" t="inlineStr">
        <is>
          <t>85887251787565</t>
        </is>
      </c>
      <c r="B4444" s="1" t="inlineStr">
        <is>
          <t>CAMISETA GREEN JW</t>
        </is>
      </c>
      <c r="C4444" s="1" t="inlineStr">
        <is>
          <t>M</t>
        </is>
      </c>
      <c r="D4444" s="1" t="inlineStr">
        <is>
          <t>10/10/2025</t>
        </is>
      </c>
      <c r="E4444" s="1" t="n">
        <v>2025</v>
      </c>
      <c r="F4444" s="1" t="inlineStr">
        <is>
          <t>OCTUBRE</t>
        </is>
      </c>
      <c r="G4444" s="1" t="inlineStr">
        <is>
          <t>MOLLY</t>
        </is>
      </c>
      <c r="H4444" s="1" t="inlineStr">
        <is>
          <t>MOLLY 10/10/2025</t>
        </is>
      </c>
      <c r="I4444" s="4" t="n">
        <v>2</v>
      </c>
      <c r="J4444" s="6" t="n">
        <v>14.2</v>
      </c>
      <c r="K4444" s="6" t="n">
        <v>405.7271458</v>
      </c>
      <c r="L4444" s="6">
        <f>I4444*K4444</f>
        <v/>
      </c>
      <c r="M4444" s="6">
        <f>K4444*4</f>
        <v/>
      </c>
      <c r="N4444" s="6" t="n">
        <v>1190.01</v>
      </c>
    </row>
    <row r="4445">
      <c r="A4445" s="1" t="inlineStr">
        <is>
          <t>85887251827853</t>
        </is>
      </c>
      <c r="B4445" s="1" t="inlineStr">
        <is>
          <t>CAMISETA BLUE JW</t>
        </is>
      </c>
      <c r="C4445" s="1" t="inlineStr">
        <is>
          <t>L</t>
        </is>
      </c>
      <c r="D4445" s="1" t="inlineStr">
        <is>
          <t>10/10/2025</t>
        </is>
      </c>
      <c r="E4445" s="1" t="n">
        <v>2025</v>
      </c>
      <c r="F4445" s="1" t="inlineStr">
        <is>
          <t>OCTUBRE</t>
        </is>
      </c>
      <c r="G4445" s="1" t="inlineStr">
        <is>
          <t>MOLLY</t>
        </is>
      </c>
      <c r="H4445" s="1" t="inlineStr">
        <is>
          <t>MOLLY 10/10/2025</t>
        </is>
      </c>
      <c r="I4445" s="4" t="n">
        <v>2</v>
      </c>
      <c r="J4445" s="6" t="n">
        <v>14.2</v>
      </c>
      <c r="K4445" s="6" t="n">
        <v>405.7271458</v>
      </c>
      <c r="L4445" s="6">
        <f>I4445*K4445</f>
        <v/>
      </c>
      <c r="M4445" s="6">
        <f>K4445*4</f>
        <v/>
      </c>
      <c r="N4445" s="6" t="n">
        <v>1041.26</v>
      </c>
    </row>
    <row r="4446">
      <c r="A4446" s="1" t="inlineStr">
        <is>
          <t>85887251964013</t>
        </is>
      </c>
      <c r="B4446" s="1" t="inlineStr">
        <is>
          <t>CAMISETA WHITE JW</t>
        </is>
      </c>
      <c r="C4446" s="1" t="inlineStr">
        <is>
          <t>M</t>
        </is>
      </c>
      <c r="D4446" s="1" t="inlineStr">
        <is>
          <t>10/10/2025</t>
        </is>
      </c>
      <c r="E4446" s="1" t="n">
        <v>2025</v>
      </c>
      <c r="F4446" s="1" t="inlineStr">
        <is>
          <t>OCTUBRE</t>
        </is>
      </c>
      <c r="G4446" s="1" t="inlineStr">
        <is>
          <t>MOLLY</t>
        </is>
      </c>
      <c r="H4446" s="1" t="inlineStr">
        <is>
          <t>MOLLY 10/10/2025</t>
        </is>
      </c>
      <c r="I4446" s="4" t="n">
        <v>2</v>
      </c>
      <c r="J4446" s="6" t="n">
        <v>14.2</v>
      </c>
      <c r="K4446" s="6" t="n">
        <v>405.7271458</v>
      </c>
      <c r="L4446" s="6">
        <f>I4446*K4446</f>
        <v/>
      </c>
      <c r="M4446" s="6">
        <f>K4446*4</f>
        <v/>
      </c>
      <c r="N4446" s="6" t="n">
        <v>1190.01</v>
      </c>
    </row>
    <row r="4447">
      <c r="A4447" s="1" t="inlineStr">
        <is>
          <t>85887252087757</t>
        </is>
      </c>
      <c r="B4447" s="1" t="inlineStr">
        <is>
          <t>SUETER BONE JW</t>
        </is>
      </c>
      <c r="C4447" s="1" t="inlineStr">
        <is>
          <t>L</t>
        </is>
      </c>
      <c r="D4447" s="1" t="inlineStr">
        <is>
          <t>10/10/2025</t>
        </is>
      </c>
      <c r="E4447" s="1" t="n">
        <v>2025</v>
      </c>
      <c r="F4447" s="1" t="inlineStr">
        <is>
          <t>OCTUBRE</t>
        </is>
      </c>
      <c r="G4447" s="1" t="inlineStr">
        <is>
          <t>MOLLY</t>
        </is>
      </c>
      <c r="H4447" s="1" t="inlineStr">
        <is>
          <t>MOLLY 10/10/2025</t>
        </is>
      </c>
      <c r="I4447" s="4" t="n">
        <v>2</v>
      </c>
      <c r="J4447" s="6" t="n">
        <v>17.5</v>
      </c>
      <c r="K4447" s="6" t="n">
        <v>500.0158487</v>
      </c>
      <c r="L4447" s="6">
        <f>I4447*K4447</f>
        <v/>
      </c>
      <c r="M4447" s="6">
        <f>K4447*4</f>
        <v/>
      </c>
      <c r="N4447" s="6" t="n">
        <v>1283.24</v>
      </c>
    </row>
    <row r="4448">
      <c r="A4448" s="1" t="inlineStr">
        <is>
          <t>85887252166317</t>
        </is>
      </c>
      <c r="B4448" s="1" t="inlineStr">
        <is>
          <t>SUETER GREY CASHMERE</t>
        </is>
      </c>
      <c r="C4448" s="1" t="inlineStr">
        <is>
          <t>L</t>
        </is>
      </c>
      <c r="D4448" s="1" t="inlineStr">
        <is>
          <t>10/10/2025</t>
        </is>
      </c>
      <c r="E4448" s="1" t="n">
        <v>2025</v>
      </c>
      <c r="F4448" s="1" t="inlineStr">
        <is>
          <t>OCTUBRE</t>
        </is>
      </c>
      <c r="G4448" s="1" t="inlineStr">
        <is>
          <t>MOLLY</t>
        </is>
      </c>
      <c r="H4448" s="1" t="inlineStr">
        <is>
          <t>MOLLY 10/10/2025</t>
        </is>
      </c>
      <c r="I4448" s="4" t="n">
        <v>2</v>
      </c>
      <c r="J4448" s="6" t="n">
        <v>17.5</v>
      </c>
      <c r="K4448" s="6" t="n">
        <v>500.0158487</v>
      </c>
      <c r="L4448" s="6">
        <f>I4448*K4448</f>
        <v/>
      </c>
      <c r="M4448" s="6">
        <f>K4448*4</f>
        <v/>
      </c>
      <c r="N4448" s="6" t="n">
        <v>1283.24</v>
      </c>
    </row>
    <row r="4449">
      <c r="A4449" s="1" t="inlineStr">
        <is>
          <t>85887252207565</t>
        </is>
      </c>
      <c r="B4449" s="1" t="inlineStr">
        <is>
          <t>SUETER GREY PEARL JW</t>
        </is>
      </c>
      <c r="C4449" s="1" t="inlineStr">
        <is>
          <t>M</t>
        </is>
      </c>
      <c r="D4449" s="1" t="inlineStr">
        <is>
          <t>10/10/2025</t>
        </is>
      </c>
      <c r="E4449" s="1" t="n">
        <v>2025</v>
      </c>
      <c r="F4449" s="1" t="inlineStr">
        <is>
          <t>OCTUBRE</t>
        </is>
      </c>
      <c r="G4449" s="1" t="inlineStr">
        <is>
          <t>MOLLY</t>
        </is>
      </c>
      <c r="H4449" s="1" t="inlineStr">
        <is>
          <t>MOLLY 10/10/2025</t>
        </is>
      </c>
      <c r="I4449" s="4" t="n">
        <v>2</v>
      </c>
      <c r="J4449" s="6" t="n">
        <v>16</v>
      </c>
      <c r="K4449" s="6" t="n">
        <v>457.1573474</v>
      </c>
      <c r="L4449" s="6">
        <f>I4449*K4449</f>
        <v/>
      </c>
      <c r="M4449" s="6">
        <f>K4449*4</f>
        <v/>
      </c>
      <c r="N4449" s="6" t="n">
        <v>1340.85</v>
      </c>
    </row>
    <row r="4450">
      <c r="A4450" s="1" t="inlineStr">
        <is>
          <t>85887252345421</t>
        </is>
      </c>
      <c r="B4450" s="1" t="inlineStr">
        <is>
          <t>SUETER ZIPPER WHITE JW</t>
        </is>
      </c>
      <c r="C4450" s="1" t="inlineStr">
        <is>
          <t>M</t>
        </is>
      </c>
      <c r="D4450" s="1" t="inlineStr">
        <is>
          <t>10/10/2025</t>
        </is>
      </c>
      <c r="E4450" s="1" t="n">
        <v>2025</v>
      </c>
      <c r="F4450" s="1" t="inlineStr">
        <is>
          <t>OCTUBRE</t>
        </is>
      </c>
      <c r="G4450" s="1" t="inlineStr">
        <is>
          <t>MOLLY</t>
        </is>
      </c>
      <c r="H4450" s="1" t="inlineStr">
        <is>
          <t>MOLLY 10/10/2025</t>
        </is>
      </c>
      <c r="I4450" s="4" t="n">
        <v>2</v>
      </c>
      <c r="J4450" s="6" t="n">
        <v>8.800000000000001</v>
      </c>
      <c r="K4450" s="6" t="n">
        <v>251.4365411</v>
      </c>
      <c r="L4450" s="6">
        <f>I4450*K4450</f>
        <v/>
      </c>
      <c r="M4450" s="6">
        <f>K4450*4</f>
        <v/>
      </c>
      <c r="N4450" s="6" t="n">
        <v>737.47</v>
      </c>
    </row>
    <row r="4451">
      <c r="A4451" s="1" t="inlineStr">
        <is>
          <t>85887252483277</t>
        </is>
      </c>
      <c r="B4451" s="1" t="inlineStr">
        <is>
          <t>CHAMARRA BLACK JW</t>
        </is>
      </c>
      <c r="C4451" s="1" t="inlineStr">
        <is>
          <t>L</t>
        </is>
      </c>
      <c r="D4451" s="1" t="inlineStr">
        <is>
          <t>10/10/2025</t>
        </is>
      </c>
      <c r="E4451" s="1" t="n">
        <v>2025</v>
      </c>
      <c r="F4451" s="1" t="inlineStr">
        <is>
          <t>OCTUBRE</t>
        </is>
      </c>
      <c r="G4451" s="1" t="inlineStr">
        <is>
          <t>MOLLY</t>
        </is>
      </c>
      <c r="H4451" s="1" t="inlineStr">
        <is>
          <t>MOLLY 10/10/2025</t>
        </is>
      </c>
      <c r="I4451" s="4" t="n">
        <v>2</v>
      </c>
      <c r="J4451" s="6" t="n">
        <v>20.8</v>
      </c>
      <c r="K4451" s="6" t="n">
        <v>594.3045516</v>
      </c>
      <c r="L4451" s="6">
        <f>I4451*K4451</f>
        <v/>
      </c>
      <c r="M4451" s="6">
        <f>K4451*4</f>
        <v/>
      </c>
      <c r="N4451" s="6" t="n">
        <v>899</v>
      </c>
    </row>
    <row r="4452">
      <c r="A4452" s="1" t="inlineStr">
        <is>
          <t>85887252596845</t>
        </is>
      </c>
      <c r="B4452" s="1" t="inlineStr">
        <is>
          <t>SUETER BROWN CASHMERE</t>
        </is>
      </c>
      <c r="C4452" s="1" t="inlineStr">
        <is>
          <t>S</t>
        </is>
      </c>
      <c r="D4452" s="1" t="inlineStr">
        <is>
          <t>10/10/2025</t>
        </is>
      </c>
      <c r="E4452" s="1" t="n">
        <v>2025</v>
      </c>
      <c r="F4452" s="1" t="inlineStr">
        <is>
          <t>OCTUBRE</t>
        </is>
      </c>
      <c r="G4452" s="1" t="inlineStr">
        <is>
          <t>MOLLY</t>
        </is>
      </c>
      <c r="H4452" s="1" t="inlineStr">
        <is>
          <t>MOLLY 10/10/2025</t>
        </is>
      </c>
      <c r="I4452" s="4" t="n">
        <v>2</v>
      </c>
      <c r="J4452" s="6" t="n">
        <v>16</v>
      </c>
      <c r="K4452" s="6" t="n">
        <v>457.1573474</v>
      </c>
      <c r="L4452" s="6">
        <f>I4452*K4452</f>
        <v/>
      </c>
      <c r="M4452" s="6">
        <f>K4452*4</f>
        <v/>
      </c>
      <c r="N4452" s="6" t="n">
        <v>1340.85</v>
      </c>
    </row>
    <row r="4453">
      <c r="A4453" s="1" t="inlineStr">
        <is>
          <t>85887252613805</t>
        </is>
      </c>
      <c r="B4453" s="1" t="inlineStr">
        <is>
          <t>BLAZER BLACK FEATHERS JW</t>
        </is>
      </c>
      <c r="C4453" s="1" t="inlineStr">
        <is>
          <t>M</t>
        </is>
      </c>
      <c r="D4453" s="1" t="inlineStr">
        <is>
          <t>10/10/2025</t>
        </is>
      </c>
      <c r="E4453" s="1" t="n">
        <v>2025</v>
      </c>
      <c r="F4453" s="1" t="inlineStr">
        <is>
          <t>OCTUBRE</t>
        </is>
      </c>
      <c r="G4453" s="1" t="inlineStr">
        <is>
          <t>MOLLY</t>
        </is>
      </c>
      <c r="H4453" s="1" t="inlineStr">
        <is>
          <t>MOLLY 10/10/2025</t>
        </is>
      </c>
      <c r="I4453" s="4" t="n">
        <v>2</v>
      </c>
      <c r="J4453" s="6" t="n">
        <v>20</v>
      </c>
      <c r="K4453" s="6" t="n">
        <v>571.4466843</v>
      </c>
      <c r="L4453" s="6">
        <f>I4453*K4453</f>
        <v/>
      </c>
      <c r="M4453" s="6">
        <f>K4453*4</f>
        <v/>
      </c>
      <c r="N4453" s="6" t="n">
        <v>1676.07</v>
      </c>
    </row>
    <row r="4454">
      <c r="A4454" s="1" t="inlineStr">
        <is>
          <t>85887252725133</t>
        </is>
      </c>
      <c r="B4454" s="1" t="inlineStr">
        <is>
          <t>CONJUNTO WHITE CASHMERE</t>
        </is>
      </c>
      <c r="C4454" s="1" t="inlineStr">
        <is>
          <t>M</t>
        </is>
      </c>
      <c r="D4454" s="1" t="inlineStr">
        <is>
          <t>10/10/2025</t>
        </is>
      </c>
      <c r="E4454" s="1" t="n">
        <v>2025</v>
      </c>
      <c r="F4454" s="1" t="inlineStr">
        <is>
          <t>OCTUBRE</t>
        </is>
      </c>
      <c r="G4454" s="1" t="inlineStr">
        <is>
          <t>MOLLY</t>
        </is>
      </c>
      <c r="H4454" s="1" t="inlineStr">
        <is>
          <t>MOLLY 10/10/2025</t>
        </is>
      </c>
      <c r="I4454" s="4" t="n">
        <v>2</v>
      </c>
      <c r="J4454" s="6" t="n">
        <v>16.9</v>
      </c>
      <c r="K4454" s="6" t="n">
        <v>482.8724482</v>
      </c>
      <c r="L4454" s="6">
        <f>I4454*K4454</f>
        <v/>
      </c>
      <c r="M4454" s="6">
        <f>K4454*4</f>
        <v/>
      </c>
      <c r="N4454" s="6" t="n">
        <v>1416.28</v>
      </c>
    </row>
    <row r="4455">
      <c r="A4455" s="1" t="inlineStr">
        <is>
          <t>85887252823437</t>
        </is>
      </c>
      <c r="B4455" s="1" t="inlineStr">
        <is>
          <t>BLUSA WHITE-BLACK JW</t>
        </is>
      </c>
      <c r="C4455" s="1" t="inlineStr">
        <is>
          <t>M</t>
        </is>
      </c>
      <c r="D4455" s="1" t="inlineStr">
        <is>
          <t>10/10/2025</t>
        </is>
      </c>
      <c r="E4455" s="1" t="n">
        <v>2025</v>
      </c>
      <c r="F4455" s="1" t="inlineStr">
        <is>
          <t>OCTUBRE</t>
        </is>
      </c>
      <c r="G4455" s="1" t="inlineStr">
        <is>
          <t>MOLLY</t>
        </is>
      </c>
      <c r="H4455" s="1" t="inlineStr">
        <is>
          <t>MOLLY 10/10/2025</t>
        </is>
      </c>
      <c r="I4455" s="4" t="n">
        <v>2</v>
      </c>
      <c r="J4455" s="6" t="n">
        <v>10.9</v>
      </c>
      <c r="K4455" s="6" t="n">
        <v>311.4384429</v>
      </c>
      <c r="L4455" s="6">
        <f>I4455*K4455</f>
        <v/>
      </c>
      <c r="M4455" s="6">
        <f>K4455*4</f>
        <v/>
      </c>
      <c r="N4455" s="6" t="n">
        <v>1000</v>
      </c>
    </row>
    <row r="4456">
      <c r="A4456" s="1" t="inlineStr">
        <is>
          <t>86072001212237</t>
        </is>
      </c>
      <c r="B4456" s="1" t="inlineStr">
        <is>
          <t>ARRACADAS MM APPLE PEARL</t>
        </is>
      </c>
      <c r="C4456" s="1" t="n"/>
      <c r="D4456" s="1" t="inlineStr">
        <is>
          <t>09/07/2026</t>
        </is>
      </c>
      <c r="E4456" s="1" t="n">
        <v>2026</v>
      </c>
      <c r="F4456" s="1" t="inlineStr">
        <is>
          <t>JULIO</t>
        </is>
      </c>
      <c r="G4456" s="1" t="inlineStr">
        <is>
          <t>NANCY</t>
        </is>
      </c>
      <c r="H4456" s="1" t="inlineStr">
        <is>
          <t>NANCY 09/07/2026</t>
        </is>
      </c>
      <c r="I4456" s="4" t="n">
        <v>2</v>
      </c>
      <c r="J4456" s="6" t="n">
        <v>7.29</v>
      </c>
      <c r="K4456" s="6" t="n">
        <v>177.6243003</v>
      </c>
      <c r="L4456" s="6">
        <f>I4456*K4456</f>
        <v/>
      </c>
      <c r="M4456" s="6">
        <f>K4456*4</f>
        <v/>
      </c>
      <c r="N4456" s="6" t="n"/>
    </row>
    <row r="4457">
      <c r="A4457" s="1" t="inlineStr">
        <is>
          <t>86290411075053</t>
        </is>
      </c>
      <c r="B4457" s="1" t="inlineStr">
        <is>
          <t>COLLAR LV EVER BLOSSOM GOLD BLACK</t>
        </is>
      </c>
      <c r="C4457" s="1" t="inlineStr">
        <is>
          <t>Default Title</t>
        </is>
      </c>
      <c r="D4457" s="1" t="inlineStr">
        <is>
          <t>02/10/2025</t>
        </is>
      </c>
      <c r="E4457" s="1" t="n">
        <v>2025</v>
      </c>
      <c r="F4457" s="1" t="inlineStr">
        <is>
          <t>OCTUBRE</t>
        </is>
      </c>
      <c r="G4457" s="1" t="inlineStr">
        <is>
          <t>ZOEY</t>
        </is>
      </c>
      <c r="H4457" s="1" t="inlineStr">
        <is>
          <t>ZOEY 02/10/2025</t>
        </is>
      </c>
      <c r="I4457" s="4" t="n">
        <v>3</v>
      </c>
      <c r="J4457" s="6" t="n">
        <v>8</v>
      </c>
      <c r="K4457" s="6" t="n">
        <v>188.991488</v>
      </c>
      <c r="L4457" s="6">
        <f>I4457*K4457</f>
        <v/>
      </c>
      <c r="M4457" s="6">
        <f>K4457*4</f>
        <v/>
      </c>
      <c r="N4457" s="6" t="n">
        <v>850</v>
      </c>
    </row>
    <row r="4458">
      <c r="A4458" s="1" t="inlineStr">
        <is>
          <t>86290411075053</t>
        </is>
      </c>
      <c r="B4458" s="1" t="inlineStr">
        <is>
          <t>COLLAR LV EVER BLOSSOM GOLD BLACK</t>
        </is>
      </c>
      <c r="C4458" s="1" t="inlineStr">
        <is>
          <t>Default Title</t>
        </is>
      </c>
      <c r="D4458" s="1" t="inlineStr">
        <is>
          <t>20/04/2026</t>
        </is>
      </c>
      <c r="E4458" s="1" t="n">
        <v>2026</v>
      </c>
      <c r="F4458" s="1" t="inlineStr">
        <is>
          <t>ABRIL</t>
        </is>
      </c>
      <c r="G4458" s="1" t="inlineStr">
        <is>
          <t>ZOEY</t>
        </is>
      </c>
      <c r="H4458" s="1" t="inlineStr">
        <is>
          <t>ZOEY 20/04/2026</t>
        </is>
      </c>
      <c r="I4458" s="4" t="n">
        <v>2</v>
      </c>
      <c r="J4458" s="6" t="n">
        <v>11</v>
      </c>
      <c r="K4458" s="6" t="n">
        <v>281.6965617</v>
      </c>
      <c r="L4458" s="6">
        <f>I4458*K4458</f>
        <v/>
      </c>
      <c r="M4458" s="6">
        <f>K4458*4</f>
        <v/>
      </c>
      <c r="N4458" s="6" t="n">
        <v>850</v>
      </c>
    </row>
    <row r="4459">
      <c r="A4459" s="1" t="inlineStr">
        <is>
          <t>86290411075053</t>
        </is>
      </c>
      <c r="B4459" s="1" t="inlineStr">
        <is>
          <t>COLLAR LV EVER BLOSSOM GOLD BLACK</t>
        </is>
      </c>
      <c r="C4459" s="1" t="inlineStr">
        <is>
          <t>Default Title</t>
        </is>
      </c>
      <c r="D4459" s="1" t="inlineStr">
        <is>
          <t>15/05/2026</t>
        </is>
      </c>
      <c r="E4459" s="1" t="n">
        <v>2026</v>
      </c>
      <c r="F4459" s="1" t="inlineStr">
        <is>
          <t>MAYO</t>
        </is>
      </c>
      <c r="G4459" s="1" t="inlineStr">
        <is>
          <t>ZOEY</t>
        </is>
      </c>
      <c r="H4459" s="1" t="inlineStr">
        <is>
          <t>ZOEY 15/05/2026</t>
        </is>
      </c>
      <c r="I4459" s="4" t="n">
        <v>2</v>
      </c>
      <c r="J4459" s="6" t="n">
        <v>8</v>
      </c>
      <c r="K4459" s="6" t="n">
        <v>212.0369959</v>
      </c>
      <c r="L4459" s="6">
        <f>I4459*K4459</f>
        <v/>
      </c>
      <c r="M4459" s="6">
        <f>K4459*4</f>
        <v/>
      </c>
      <c r="N4459" s="6" t="n">
        <v>850</v>
      </c>
    </row>
    <row r="4460">
      <c r="A4460" s="1" t="inlineStr">
        <is>
          <t>86312001095277</t>
        </is>
      </c>
      <c r="B4460" s="1" t="inlineStr">
        <is>
          <t>BRAZALETE F SILVER CON MICROZIRCONIAS</t>
        </is>
      </c>
      <c r="C4460" s="1" t="inlineStr">
        <is>
          <t>Default Title</t>
        </is>
      </c>
      <c r="D4460" s="1" t="inlineStr">
        <is>
          <t>02/10/2025</t>
        </is>
      </c>
      <c r="E4460" s="1" t="n">
        <v>2025</v>
      </c>
      <c r="F4460" s="1" t="inlineStr">
        <is>
          <t>OCTUBRE</t>
        </is>
      </c>
      <c r="G4460" s="1" t="inlineStr">
        <is>
          <t>ZOEY</t>
        </is>
      </c>
      <c r="H4460" s="1" t="inlineStr">
        <is>
          <t>ZOEY 02/10/2025</t>
        </is>
      </c>
      <c r="I4460" s="4" t="n">
        <v>4</v>
      </c>
      <c r="J4460" s="6" t="n">
        <v>8</v>
      </c>
      <c r="K4460" s="6" t="n">
        <v>188.991488</v>
      </c>
      <c r="L4460" s="6">
        <f>I4460*K4460</f>
        <v/>
      </c>
      <c r="M4460" s="6">
        <f>K4460*4</f>
        <v/>
      </c>
      <c r="N4460" s="6" t="n">
        <v>663</v>
      </c>
    </row>
    <row r="4461">
      <c r="A4461" s="1" t="inlineStr">
        <is>
          <t>86347031066381</t>
        </is>
      </c>
      <c r="B4461" s="1" t="inlineStr">
        <is>
          <t>ARETES CLAVO SILVER ZIRCONIAS</t>
        </is>
      </c>
      <c r="C4461" s="1" t="inlineStr">
        <is>
          <t>Default Title</t>
        </is>
      </c>
      <c r="D4461" s="1" t="inlineStr">
        <is>
          <t>22/10/2025</t>
        </is>
      </c>
      <c r="E4461" s="1" t="n">
        <v>2025</v>
      </c>
      <c r="F4461" s="1" t="inlineStr">
        <is>
          <t>OCTUBRE</t>
        </is>
      </c>
      <c r="G4461" s="1" t="inlineStr">
        <is>
          <t>HAIFENG</t>
        </is>
      </c>
      <c r="H4461" s="1" t="inlineStr">
        <is>
          <t>HAIFENG 22/10/2025</t>
        </is>
      </c>
      <c r="I4461" s="4" t="n">
        <v>2</v>
      </c>
      <c r="J4461" s="6" t="n">
        <v>7</v>
      </c>
      <c r="K4461" s="6" t="n">
        <v>147.8978341</v>
      </c>
      <c r="L4461" s="6">
        <f>I4461*K4461</f>
        <v/>
      </c>
      <c r="M4461" s="6">
        <f>K4461*4</f>
        <v/>
      </c>
      <c r="N4461" s="6" t="n">
        <v>576.8</v>
      </c>
    </row>
    <row r="4462">
      <c r="A4462" s="1" t="inlineStr">
        <is>
          <t>86347031066381</t>
        </is>
      </c>
      <c r="B4462" s="1" t="inlineStr">
        <is>
          <t>ARETES CLAVO SILVER ZIRCONIAS</t>
        </is>
      </c>
      <c r="C4462" s="1" t="inlineStr">
        <is>
          <t>Default Title</t>
        </is>
      </c>
      <c r="D4462" s="1" t="inlineStr">
        <is>
          <t>10/02/2026</t>
        </is>
      </c>
      <c r="E4462" s="1" t="n">
        <v>2026</v>
      </c>
      <c r="F4462" s="1" t="inlineStr">
        <is>
          <t>FEBRERO</t>
        </is>
      </c>
      <c r="G4462" s="1" t="inlineStr">
        <is>
          <t>HAIFENG</t>
        </is>
      </c>
      <c r="H4462" s="1" t="inlineStr">
        <is>
          <t>HAIFENG 10/02/2026</t>
        </is>
      </c>
      <c r="I4462" s="4" t="n">
        <v>2</v>
      </c>
      <c r="J4462" s="6" t="n">
        <v>7</v>
      </c>
      <c r="K4462" s="6" t="n">
        <v>147.4794725</v>
      </c>
      <c r="L4462" s="6">
        <f>I4462*K4462</f>
        <v/>
      </c>
      <c r="M4462" s="6">
        <f>K4462*4</f>
        <v/>
      </c>
      <c r="N4462" s="6" t="n">
        <v>576.8</v>
      </c>
    </row>
    <row r="4463">
      <c r="A4463" s="1" t="inlineStr">
        <is>
          <t>86347031066381</t>
        </is>
      </c>
      <c r="B4463" s="1" t="inlineStr">
        <is>
          <t>ARETES CLAVO SILVER ZIRCONIAS</t>
        </is>
      </c>
      <c r="C4463" s="1" t="inlineStr">
        <is>
          <t>Default Title</t>
        </is>
      </c>
      <c r="D4463" s="1" t="inlineStr">
        <is>
          <t>16/04/2026</t>
        </is>
      </c>
      <c r="E4463" s="1" t="n">
        <v>2026</v>
      </c>
      <c r="F4463" s="1" t="inlineStr">
        <is>
          <t>ABRIL</t>
        </is>
      </c>
      <c r="G4463" s="1" t="inlineStr">
        <is>
          <t>HAIFENG</t>
        </is>
      </c>
      <c r="H4463" s="1" t="inlineStr">
        <is>
          <t>HAIFENG 16/04/2026</t>
        </is>
      </c>
      <c r="I4463" s="4" t="n">
        <v>2</v>
      </c>
      <c r="J4463" s="6" t="n">
        <v>5</v>
      </c>
      <c r="K4463" s="6" t="n">
        <v>105.1573679</v>
      </c>
      <c r="L4463" s="6">
        <f>I4463*K4463</f>
        <v/>
      </c>
      <c r="M4463" s="6">
        <f>K4463*4</f>
        <v/>
      </c>
      <c r="N4463" s="6" t="n">
        <v>576.8</v>
      </c>
    </row>
    <row r="4464">
      <c r="A4464" s="1" t="inlineStr">
        <is>
          <t>86347031100845</t>
        </is>
      </c>
      <c r="B4464" s="1" t="inlineStr">
        <is>
          <t>ARETES CLAVO GOLD ZIRCONIAS</t>
        </is>
      </c>
      <c r="C4464" s="1" t="inlineStr">
        <is>
          <t>HIGH QUALITY</t>
        </is>
      </c>
      <c r="D4464" s="1" t="inlineStr">
        <is>
          <t>22/10/2025</t>
        </is>
      </c>
      <c r="E4464" s="1" t="n">
        <v>2025</v>
      </c>
      <c r="F4464" s="1" t="inlineStr">
        <is>
          <t>OCTUBRE</t>
        </is>
      </c>
      <c r="G4464" s="1" t="inlineStr">
        <is>
          <t>HAIFENG</t>
        </is>
      </c>
      <c r="H4464" s="1" t="inlineStr">
        <is>
          <t>HAIFENG 22/10/2025</t>
        </is>
      </c>
      <c r="I4464" s="4" t="n">
        <v>2</v>
      </c>
      <c r="J4464" s="6" t="n">
        <v>7</v>
      </c>
      <c r="K4464" s="6" t="n">
        <v>147.8978341</v>
      </c>
      <c r="L4464" s="6">
        <f>I4464*K4464</f>
        <v/>
      </c>
      <c r="M4464" s="6">
        <f>K4464*4</f>
        <v/>
      </c>
      <c r="N4464" s="6" t="n">
        <v>599</v>
      </c>
    </row>
    <row r="4465">
      <c r="A4465" s="1" t="inlineStr">
        <is>
          <t>86347031100845</t>
        </is>
      </c>
      <c r="B4465" s="1" t="inlineStr">
        <is>
          <t>ARETES CLAVO GOLD ZIRCONIAS</t>
        </is>
      </c>
      <c r="C4465" s="1" t="inlineStr">
        <is>
          <t>Default Title</t>
        </is>
      </c>
      <c r="D4465" s="1" t="inlineStr">
        <is>
          <t>20/01/2026</t>
        </is>
      </c>
      <c r="E4465" s="1" t="n">
        <v>2026</v>
      </c>
      <c r="F4465" s="1" t="inlineStr">
        <is>
          <t>ENERO</t>
        </is>
      </c>
      <c r="G4465" s="1" t="inlineStr">
        <is>
          <t>HAIFENG</t>
        </is>
      </c>
      <c r="H4465" s="1" t="inlineStr">
        <is>
          <t>HAIFENG 20/01/2026</t>
        </is>
      </c>
      <c r="I4465" s="4" t="n">
        <v>4</v>
      </c>
      <c r="J4465" s="6" t="n">
        <v>7</v>
      </c>
      <c r="K4465" s="6" t="n">
        <v>148.4029245</v>
      </c>
      <c r="L4465" s="6">
        <f>I4465*K4465</f>
        <v/>
      </c>
      <c r="M4465" s="6">
        <f>K4465*4</f>
        <v/>
      </c>
      <c r="N4465" s="6" t="n">
        <v>599</v>
      </c>
    </row>
    <row r="4466">
      <c r="A4466" s="1" t="inlineStr">
        <is>
          <t>86347031100845</t>
        </is>
      </c>
      <c r="B4466" s="1" t="inlineStr">
        <is>
          <t>ARETES CLAVO GOLD ZIRCONIAS</t>
        </is>
      </c>
      <c r="C4466" s="1" t="inlineStr">
        <is>
          <t>HIGH QUALITY</t>
        </is>
      </c>
      <c r="D4466" s="1" t="inlineStr">
        <is>
          <t>10/02/2026</t>
        </is>
      </c>
      <c r="E4466" s="1" t="n">
        <v>2026</v>
      </c>
      <c r="F4466" s="1" t="inlineStr">
        <is>
          <t>FEBRERO</t>
        </is>
      </c>
      <c r="G4466" s="1" t="inlineStr">
        <is>
          <t>HAIFENG</t>
        </is>
      </c>
      <c r="H4466" s="1" t="inlineStr">
        <is>
          <t>HAIFENG 10/02/2026</t>
        </is>
      </c>
      <c r="I4466" s="4" t="n">
        <v>3</v>
      </c>
      <c r="J4466" s="6" t="n">
        <v>7</v>
      </c>
      <c r="K4466" s="6" t="n">
        <v>147.4794725</v>
      </c>
      <c r="L4466" s="6">
        <f>I4466*K4466</f>
        <v/>
      </c>
      <c r="M4466" s="6">
        <f>K4466*4</f>
        <v/>
      </c>
      <c r="N4466" s="6" t="n">
        <v>599</v>
      </c>
    </row>
    <row r="4467">
      <c r="A4467" s="1" t="inlineStr">
        <is>
          <t>86347031100845</t>
        </is>
      </c>
      <c r="B4467" s="1" t="inlineStr">
        <is>
          <t>ARETES CLAVO GOLD ZIRCONIAS</t>
        </is>
      </c>
      <c r="C4467" s="1" t="inlineStr">
        <is>
          <t>HIGH QUALITY</t>
        </is>
      </c>
      <c r="D4467" s="1" t="inlineStr">
        <is>
          <t>16/04/2026</t>
        </is>
      </c>
      <c r="E4467" s="1" t="n">
        <v>2026</v>
      </c>
      <c r="F4467" s="1" t="inlineStr">
        <is>
          <t>ABRIL</t>
        </is>
      </c>
      <c r="G4467" s="1" t="inlineStr">
        <is>
          <t>HAIFENG</t>
        </is>
      </c>
      <c r="H4467" s="1" t="inlineStr">
        <is>
          <t>HAIFENG 16/04/2026</t>
        </is>
      </c>
      <c r="I4467" s="4" t="n">
        <v>4</v>
      </c>
      <c r="J4467" s="6" t="n">
        <v>7</v>
      </c>
      <c r="K4467" s="6" t="n">
        <v>147.2203151</v>
      </c>
      <c r="L4467" s="6">
        <f>I4467*K4467</f>
        <v/>
      </c>
      <c r="M4467" s="6">
        <f>K4467*4</f>
        <v/>
      </c>
      <c r="N4467" s="6" t="n">
        <v>599</v>
      </c>
    </row>
    <row r="4468">
      <c r="A4468" s="1" t="inlineStr">
        <is>
          <t>86347031100845</t>
        </is>
      </c>
      <c r="B4468" s="1" t="inlineStr">
        <is>
          <t>ARETES CLAVO GOLD ZIRCONIAS</t>
        </is>
      </c>
      <c r="C4468" s="1" t="inlineStr">
        <is>
          <t>HIGH QUALITY</t>
        </is>
      </c>
      <c r="D4468" s="1" t="inlineStr">
        <is>
          <t>26/05/2026</t>
        </is>
      </c>
      <c r="E4468" s="1" t="n">
        <v>2026</v>
      </c>
      <c r="F4468" s="1" t="inlineStr">
        <is>
          <t>MAYO</t>
        </is>
      </c>
      <c r="G4468" s="1" t="inlineStr">
        <is>
          <t>HAIFENG</t>
        </is>
      </c>
      <c r="H4468" s="1" t="inlineStr">
        <is>
          <t>HAIFENG 26/05/2026</t>
        </is>
      </c>
      <c r="I4468" s="4" t="n">
        <v>3</v>
      </c>
      <c r="J4468" s="6" t="n">
        <v>7</v>
      </c>
      <c r="K4468" s="6" t="n">
        <v>146.9250671</v>
      </c>
      <c r="L4468" s="6">
        <f>I4468*K4468</f>
        <v/>
      </c>
      <c r="M4468" s="6">
        <f>K4468*4</f>
        <v/>
      </c>
      <c r="N4468" s="6" t="n">
        <v>599</v>
      </c>
    </row>
    <row r="4469">
      <c r="A4469" s="1" t="inlineStr">
        <is>
          <t>86347031100845</t>
        </is>
      </c>
      <c r="B4469" s="1" t="inlineStr">
        <is>
          <t>ARETES CLAVO GOLD ZIRCONIAS</t>
        </is>
      </c>
      <c r="C4469" s="1" t="inlineStr">
        <is>
          <t>HIGH QUALITY</t>
        </is>
      </c>
      <c r="D4469" s="1" t="inlineStr">
        <is>
          <t>16/06/2026</t>
        </is>
      </c>
      <c r="E4469" s="1" t="n">
        <v>2026</v>
      </c>
      <c r="F4469" s="1" t="inlineStr">
        <is>
          <t>JUNIO</t>
        </is>
      </c>
      <c r="G4469" s="1" t="inlineStr">
        <is>
          <t>HAIFENG</t>
        </is>
      </c>
      <c r="H4469" s="1" t="inlineStr">
        <is>
          <t>HAIFENG 16/06/2026</t>
        </is>
      </c>
      <c r="I4469" s="4" t="n">
        <v>2</v>
      </c>
      <c r="J4469" s="6" t="n">
        <v>7</v>
      </c>
      <c r="K4469" s="6" t="n">
        <v>147.1022452</v>
      </c>
      <c r="L4469" s="6">
        <f>I4469*K4469</f>
        <v/>
      </c>
      <c r="M4469" s="6">
        <f>K4469*4</f>
        <v/>
      </c>
      <c r="N4469" s="6" t="n">
        <v>599</v>
      </c>
    </row>
    <row r="4470">
      <c r="A4470" s="1" t="inlineStr">
        <is>
          <t>86347031202541</t>
        </is>
      </c>
      <c r="B4470" s="1" t="inlineStr">
        <is>
          <t>ARRACADAS LOVELOVE ROSEGOLD</t>
        </is>
      </c>
      <c r="C4470" s="1" t="inlineStr">
        <is>
          <t>Default Title</t>
        </is>
      </c>
      <c r="D4470" s="1" t="inlineStr">
        <is>
          <t>22/10/2025</t>
        </is>
      </c>
      <c r="E4470" s="1" t="n">
        <v>2025</v>
      </c>
      <c r="F4470" s="1" t="inlineStr">
        <is>
          <t>OCTUBRE</t>
        </is>
      </c>
      <c r="G4470" s="1" t="inlineStr">
        <is>
          <t>HAIFENG</t>
        </is>
      </c>
      <c r="H4470" s="1" t="inlineStr">
        <is>
          <t>HAIFENG 22/10/2025</t>
        </is>
      </c>
      <c r="I4470" s="4" t="n">
        <v>2</v>
      </c>
      <c r="J4470" s="6" t="n">
        <v>6.5</v>
      </c>
      <c r="K4470" s="6" t="n">
        <v>137.3337031</v>
      </c>
      <c r="L4470" s="6">
        <f>I4470*K4470</f>
        <v/>
      </c>
      <c r="M4470" s="6">
        <f>K4470*4</f>
        <v/>
      </c>
      <c r="N4470" s="6" t="n">
        <v>536</v>
      </c>
    </row>
    <row r="4471">
      <c r="A4471" s="1" t="inlineStr">
        <is>
          <t>86347031202541</t>
        </is>
      </c>
      <c r="B4471" s="1" t="inlineStr">
        <is>
          <t>ARRACADAS LOVELOVE ROSEGOLD</t>
        </is>
      </c>
      <c r="C4471" s="1" t="inlineStr">
        <is>
          <t>Default Title</t>
        </is>
      </c>
      <c r="D4471" s="1" t="inlineStr">
        <is>
          <t>20/01/2026</t>
        </is>
      </c>
      <c r="E4471" s="1" t="n">
        <v>2026</v>
      </c>
      <c r="F4471" s="1" t="inlineStr">
        <is>
          <t>ENERO</t>
        </is>
      </c>
      <c r="G4471" s="1" t="inlineStr">
        <is>
          <t>HAIFENG</t>
        </is>
      </c>
      <c r="H4471" s="1" t="inlineStr">
        <is>
          <t>HAIFENG 20/01/2026</t>
        </is>
      </c>
      <c r="I4471" s="4" t="n">
        <v>1</v>
      </c>
      <c r="J4471" s="6" t="n">
        <v>6.5</v>
      </c>
      <c r="K4471" s="6" t="n">
        <v>137.8027156</v>
      </c>
      <c r="L4471" s="6">
        <f>I4471*K4471</f>
        <v/>
      </c>
      <c r="M4471" s="6">
        <f>K4471*4</f>
        <v/>
      </c>
      <c r="N4471" s="6" t="n">
        <v>536</v>
      </c>
    </row>
    <row r="4472">
      <c r="A4472" s="1" t="inlineStr">
        <is>
          <t>86347031202541</t>
        </is>
      </c>
      <c r="B4472" s="1" t="inlineStr">
        <is>
          <t>ARRACADAS LOVELOVE ROSEGOLD</t>
        </is>
      </c>
      <c r="C4472" s="1" t="inlineStr">
        <is>
          <t>Default Title</t>
        </is>
      </c>
      <c r="D4472" s="1" t="inlineStr">
        <is>
          <t>10/02/2026</t>
        </is>
      </c>
      <c r="E4472" s="1" t="n">
        <v>2026</v>
      </c>
      <c r="F4472" s="1" t="inlineStr">
        <is>
          <t>FEBRERO</t>
        </is>
      </c>
      <c r="G4472" s="1" t="inlineStr">
        <is>
          <t>HAIFENG</t>
        </is>
      </c>
      <c r="H4472" s="1" t="inlineStr">
        <is>
          <t>HAIFENG 10/02/2026</t>
        </is>
      </c>
      <c r="I4472" s="4" t="n">
        <v>3</v>
      </c>
      <c r="J4472" s="6" t="n">
        <v>6.5</v>
      </c>
      <c r="K4472" s="6" t="n">
        <v>136.9452244</v>
      </c>
      <c r="L4472" s="6">
        <f>I4472*K4472</f>
        <v/>
      </c>
      <c r="M4472" s="6">
        <f>K4472*4</f>
        <v/>
      </c>
      <c r="N4472" s="6" t="n">
        <v>536</v>
      </c>
    </row>
    <row r="4473">
      <c r="A4473" s="1" t="inlineStr">
        <is>
          <t>86347031304237</t>
        </is>
      </c>
      <c r="B4473" s="1" t="inlineStr">
        <is>
          <t>ARRACADAS LOVELOVE SILVER</t>
        </is>
      </c>
      <c r="C4473" s="1" t="inlineStr">
        <is>
          <t>Default Title</t>
        </is>
      </c>
      <c r="D4473" s="1" t="inlineStr">
        <is>
          <t>22/10/2025</t>
        </is>
      </c>
      <c r="E4473" s="1" t="n">
        <v>2025</v>
      </c>
      <c r="F4473" s="1" t="inlineStr">
        <is>
          <t>OCTUBRE</t>
        </is>
      </c>
      <c r="G4473" s="1" t="inlineStr">
        <is>
          <t>HAIFENG</t>
        </is>
      </c>
      <c r="H4473" s="1" t="inlineStr">
        <is>
          <t>HAIFENG 22/10/2025</t>
        </is>
      </c>
      <c r="I4473" s="4" t="n">
        <v>2</v>
      </c>
      <c r="J4473" s="6" t="n">
        <v>6.5</v>
      </c>
      <c r="K4473" s="6" t="n">
        <v>137.3337031</v>
      </c>
      <c r="L4473" s="6">
        <f>I4473*K4473</f>
        <v/>
      </c>
      <c r="M4473" s="6">
        <f>K4473*4</f>
        <v/>
      </c>
      <c r="N4473" s="6" t="n">
        <v>536</v>
      </c>
    </row>
    <row r="4474">
      <c r="A4474" s="1" t="inlineStr">
        <is>
          <t>86347031304237</t>
        </is>
      </c>
      <c r="B4474" s="1" t="inlineStr">
        <is>
          <t>ARRACADAS LOVELOVE SILVER</t>
        </is>
      </c>
      <c r="C4474" s="1" t="inlineStr">
        <is>
          <t>Default Title</t>
        </is>
      </c>
      <c r="D4474" s="1" t="inlineStr">
        <is>
          <t>20/01/2026</t>
        </is>
      </c>
      <c r="E4474" s="1" t="n">
        <v>2026</v>
      </c>
      <c r="F4474" s="1" t="inlineStr">
        <is>
          <t>ENERO</t>
        </is>
      </c>
      <c r="G4474" s="1" t="inlineStr">
        <is>
          <t>HAIFENG</t>
        </is>
      </c>
      <c r="H4474" s="1" t="inlineStr">
        <is>
          <t>HAIFENG 20/01/2026</t>
        </is>
      </c>
      <c r="I4474" s="4" t="n">
        <v>1</v>
      </c>
      <c r="J4474" s="6" t="n">
        <v>6.5</v>
      </c>
      <c r="K4474" s="6" t="n">
        <v>137.8027156</v>
      </c>
      <c r="L4474" s="6">
        <f>I4474*K4474</f>
        <v/>
      </c>
      <c r="M4474" s="6">
        <f>K4474*4</f>
        <v/>
      </c>
      <c r="N4474" s="6" t="n">
        <v>536</v>
      </c>
    </row>
    <row r="4475">
      <c r="A4475" s="1" t="inlineStr">
        <is>
          <t>86347031304237</t>
        </is>
      </c>
      <c r="B4475" s="1" t="inlineStr">
        <is>
          <t>ARRACADAS LOVELOVE SILVER</t>
        </is>
      </c>
      <c r="C4475" s="1" t="inlineStr">
        <is>
          <t>Default Title</t>
        </is>
      </c>
      <c r="D4475" s="1" t="inlineStr">
        <is>
          <t>10/02/2026</t>
        </is>
      </c>
      <c r="E4475" s="1" t="n">
        <v>2026</v>
      </c>
      <c r="F4475" s="1" t="inlineStr">
        <is>
          <t>FEBRERO</t>
        </is>
      </c>
      <c r="G4475" s="1" t="inlineStr">
        <is>
          <t>HAIFENG</t>
        </is>
      </c>
      <c r="H4475" s="1" t="inlineStr">
        <is>
          <t>HAIFENG 10/02/2026</t>
        </is>
      </c>
      <c r="I4475" s="4" t="n">
        <v>2</v>
      </c>
      <c r="J4475" s="6" t="n">
        <v>6.5</v>
      </c>
      <c r="K4475" s="6" t="n">
        <v>136.9452244</v>
      </c>
      <c r="L4475" s="6">
        <f>I4475*K4475</f>
        <v/>
      </c>
      <c r="M4475" s="6">
        <f>K4475*4</f>
        <v/>
      </c>
      <c r="N4475" s="6" t="n">
        <v>536</v>
      </c>
    </row>
    <row r="4476">
      <c r="A4476" s="1" t="inlineStr">
        <is>
          <t>86347031405933</t>
        </is>
      </c>
      <c r="B4476" s="1" t="inlineStr">
        <is>
          <t>COLLAR POP H ROSEGOLD BABYPINK</t>
        </is>
      </c>
      <c r="C4476" s="1" t="inlineStr">
        <is>
          <t>Default Title</t>
        </is>
      </c>
      <c r="D4476" s="1" t="inlineStr">
        <is>
          <t>10/02/2026</t>
        </is>
      </c>
      <c r="E4476" s="1" t="n">
        <v>2026</v>
      </c>
      <c r="F4476" s="1" t="inlineStr">
        <is>
          <t>FEBRERO</t>
        </is>
      </c>
      <c r="G4476" s="1" t="inlineStr">
        <is>
          <t>HAIFENG</t>
        </is>
      </c>
      <c r="H4476" s="1" t="inlineStr">
        <is>
          <t>HAIFENG 10/02/2026</t>
        </is>
      </c>
      <c r="I4476" s="4" t="n">
        <v>2</v>
      </c>
      <c r="J4476" s="6" t="n">
        <v>7.99</v>
      </c>
      <c r="K4476" s="6" t="n">
        <v>168.3372836</v>
      </c>
      <c r="L4476" s="6">
        <f>I4476*K4476</f>
        <v/>
      </c>
      <c r="M4476" s="6">
        <f>K4476*4</f>
        <v/>
      </c>
      <c r="N4476" s="6" t="n">
        <v>699</v>
      </c>
    </row>
    <row r="4477">
      <c r="A4477" s="1" t="inlineStr">
        <is>
          <t>86347031405933</t>
        </is>
      </c>
      <c r="B4477" s="1" t="inlineStr">
        <is>
          <t>COLLAR POP H ROSEGOLD BABYPINK</t>
        </is>
      </c>
      <c r="C4477" s="1" t="inlineStr">
        <is>
          <t>Default Title</t>
        </is>
      </c>
      <c r="D4477" s="1" t="inlineStr">
        <is>
          <t>16/04/2026</t>
        </is>
      </c>
      <c r="E4477" s="1" t="n">
        <v>2026</v>
      </c>
      <c r="F4477" s="1" t="inlineStr">
        <is>
          <t>ABRIL</t>
        </is>
      </c>
      <c r="G4477" s="1" t="inlineStr">
        <is>
          <t>HAIFENG</t>
        </is>
      </c>
      <c r="H4477" s="1" t="inlineStr">
        <is>
          <t>HAIFENG 16/04/2026</t>
        </is>
      </c>
      <c r="I4477" s="4" t="n">
        <v>2</v>
      </c>
      <c r="J4477" s="6" t="n">
        <v>7.99</v>
      </c>
      <c r="K4477" s="6" t="n">
        <v>168.041474</v>
      </c>
      <c r="L4477" s="6">
        <f>I4477*K4477</f>
        <v/>
      </c>
      <c r="M4477" s="6">
        <f>K4477*4</f>
        <v/>
      </c>
      <c r="N4477" s="6" t="n">
        <v>699</v>
      </c>
    </row>
    <row r="4478">
      <c r="A4478" s="1" t="inlineStr">
        <is>
          <t>86347031552269</t>
        </is>
      </c>
      <c r="B4478" s="1" t="inlineStr">
        <is>
          <t>ANILLO OLYMPE GOLD-BLACK</t>
        </is>
      </c>
      <c r="C4478" s="1" t="n">
        <v>8</v>
      </c>
      <c r="D4478" s="1" t="inlineStr">
        <is>
          <t>22/10/2025</t>
        </is>
      </c>
      <c r="E4478" s="1" t="n">
        <v>2025</v>
      </c>
      <c r="F4478" s="1" t="inlineStr">
        <is>
          <t>OCTUBRE</t>
        </is>
      </c>
      <c r="G4478" s="1" t="inlineStr">
        <is>
          <t>HAIFENG</t>
        </is>
      </c>
      <c r="H4478" s="1" t="inlineStr">
        <is>
          <t>HAIFENG 22/10/2025</t>
        </is>
      </c>
      <c r="I4478" s="4" t="n">
        <v>2</v>
      </c>
      <c r="J4478" s="6" t="n">
        <v>6</v>
      </c>
      <c r="K4478" s="6" t="n">
        <v>126.7695721</v>
      </c>
      <c r="L4478" s="6">
        <f>I4478*K4478</f>
        <v/>
      </c>
      <c r="M4478" s="6">
        <f>K4478*4</f>
        <v/>
      </c>
      <c r="N4478" s="6" t="n">
        <v>800</v>
      </c>
    </row>
    <row r="4479">
      <c r="A4479" s="1" t="inlineStr">
        <is>
          <t>86347031552269</t>
        </is>
      </c>
      <c r="B4479" s="1" t="inlineStr">
        <is>
          <t>ANILLO OLYMPE GOLD-BLACK</t>
        </is>
      </c>
      <c r="C4479" s="1" t="inlineStr">
        <is>
          <t>8</t>
        </is>
      </c>
      <c r="D4479" s="1" t="inlineStr">
        <is>
          <t>10/02/2026</t>
        </is>
      </c>
      <c r="E4479" s="1" t="n">
        <v>2026</v>
      </c>
      <c r="F4479" s="1" t="inlineStr">
        <is>
          <t>FEBRERO</t>
        </is>
      </c>
      <c r="G4479" s="1" t="inlineStr">
        <is>
          <t>HAIFENG</t>
        </is>
      </c>
      <c r="H4479" s="1" t="inlineStr">
        <is>
          <t>HAIFENG 10/02/2026</t>
        </is>
      </c>
      <c r="I4479" s="4" t="n">
        <v>5</v>
      </c>
      <c r="J4479" s="6" t="n">
        <v>9</v>
      </c>
      <c r="K4479" s="6" t="n">
        <v>189.6164646</v>
      </c>
      <c r="L4479" s="6">
        <f>I4479*K4479</f>
        <v/>
      </c>
      <c r="M4479" s="6">
        <f>K4479*4</f>
        <v/>
      </c>
      <c r="N4479" s="6" t="n">
        <v>520</v>
      </c>
    </row>
    <row r="4480">
      <c r="A4480" s="1" t="inlineStr">
        <is>
          <t>86347031685037</t>
        </is>
      </c>
      <c r="B4480" s="1" t="inlineStr">
        <is>
          <t>ANILLO OLYMPE GOLD-BLACK</t>
        </is>
      </c>
      <c r="C4480" s="1" t="n">
        <v>9</v>
      </c>
      <c r="D4480" s="1" t="inlineStr">
        <is>
          <t>22/10/2025</t>
        </is>
      </c>
      <c r="E4480" s="1" t="n">
        <v>2025</v>
      </c>
      <c r="F4480" s="1" t="inlineStr">
        <is>
          <t>OCTUBRE</t>
        </is>
      </c>
      <c r="G4480" s="1" t="inlineStr">
        <is>
          <t>HAIFENG</t>
        </is>
      </c>
      <c r="H4480" s="1" t="inlineStr">
        <is>
          <t>HAIFENG 22/10/2025</t>
        </is>
      </c>
      <c r="I4480" s="4" t="n">
        <v>2</v>
      </c>
      <c r="J4480" s="6" t="n">
        <v>6</v>
      </c>
      <c r="K4480" s="6" t="n">
        <v>126.7695721</v>
      </c>
      <c r="L4480" s="6">
        <f>I4480*K4480</f>
        <v/>
      </c>
      <c r="M4480" s="6">
        <f>K4480*4</f>
        <v/>
      </c>
      <c r="N4480" s="6" t="n">
        <v>800</v>
      </c>
    </row>
    <row r="4481">
      <c r="A4481" s="1" t="inlineStr">
        <is>
          <t>86347031685037</t>
        </is>
      </c>
      <c r="B4481" s="1" t="n"/>
      <c r="C4481" s="1" t="inlineStr">
        <is>
          <t>9</t>
        </is>
      </c>
      <c r="D4481" s="1" t="inlineStr">
        <is>
          <t>10/02/2026</t>
        </is>
      </c>
      <c r="E4481" s="1" t="n">
        <v>2026</v>
      </c>
      <c r="F4481" s="1" t="inlineStr">
        <is>
          <t>FEBRERO</t>
        </is>
      </c>
      <c r="G4481" s="1" t="inlineStr">
        <is>
          <t>HAIFENG</t>
        </is>
      </c>
      <c r="H4481" s="1" t="inlineStr">
        <is>
          <t>HAIFENG 10/02/2026</t>
        </is>
      </c>
      <c r="I4481" s="4" t="n">
        <v>1</v>
      </c>
      <c r="J4481" s="6" t="n">
        <v>9</v>
      </c>
      <c r="K4481" s="6" t="n">
        <v>189.6164646</v>
      </c>
      <c r="L4481" s="6">
        <f>I4481*K4481</f>
        <v/>
      </c>
      <c r="M4481" s="6">
        <f>K4481*4</f>
        <v/>
      </c>
      <c r="N4481" s="6" t="n">
        <v>520</v>
      </c>
    </row>
    <row r="4482">
      <c r="A4482" s="1" t="inlineStr">
        <is>
          <t>86347031781645</t>
        </is>
      </c>
      <c r="B4482" s="1" t="inlineStr">
        <is>
          <t>ANILLO OLYMPE GOLD-BLACK</t>
        </is>
      </c>
      <c r="C4482" s="1" t="n">
        <v>10</v>
      </c>
      <c r="D4482" s="1" t="inlineStr">
        <is>
          <t>22/10/2025</t>
        </is>
      </c>
      <c r="E4482" s="1" t="n">
        <v>2025</v>
      </c>
      <c r="F4482" s="1" t="inlineStr">
        <is>
          <t>OCTUBRE</t>
        </is>
      </c>
      <c r="G4482" s="1" t="inlineStr">
        <is>
          <t>HAIFENG</t>
        </is>
      </c>
      <c r="H4482" s="1" t="inlineStr">
        <is>
          <t>HAIFENG 22/10/2025</t>
        </is>
      </c>
      <c r="I4482" s="4" t="n">
        <v>2</v>
      </c>
      <c r="J4482" s="6" t="n">
        <v>6</v>
      </c>
      <c r="K4482" s="6" t="n">
        <v>126.7695721</v>
      </c>
      <c r="L4482" s="6">
        <f>I4482*K4482</f>
        <v/>
      </c>
      <c r="M4482" s="6">
        <f>K4482*4</f>
        <v/>
      </c>
      <c r="N4482" s="6" t="n">
        <v>800</v>
      </c>
    </row>
    <row r="4483">
      <c r="A4483" s="1" t="inlineStr">
        <is>
          <t>86347031857357</t>
        </is>
      </c>
      <c r="B4483" s="1" t="inlineStr">
        <is>
          <t>BRAZALETE H UNI GOLD-BLACK</t>
        </is>
      </c>
      <c r="C4483" s="1" t="inlineStr">
        <is>
          <t>Default Title</t>
        </is>
      </c>
      <c r="D4483" s="1" t="inlineStr">
        <is>
          <t>22/10/2025</t>
        </is>
      </c>
      <c r="E4483" s="1" t="n">
        <v>2025</v>
      </c>
      <c r="F4483" s="1" t="inlineStr">
        <is>
          <t>OCTUBRE</t>
        </is>
      </c>
      <c r="G4483" s="1" t="inlineStr">
        <is>
          <t>HAIFENG</t>
        </is>
      </c>
      <c r="H4483" s="1" t="inlineStr">
        <is>
          <t>HAIFENG 22/10/2025</t>
        </is>
      </c>
      <c r="I4483" s="4" t="n">
        <v>2</v>
      </c>
      <c r="J4483" s="6" t="n">
        <v>15</v>
      </c>
      <c r="K4483" s="6" t="n">
        <v>316.9239303</v>
      </c>
      <c r="L4483" s="6">
        <f>I4483*K4483</f>
        <v/>
      </c>
      <c r="M4483" s="6">
        <f>K4483*4</f>
        <v/>
      </c>
      <c r="N4483" s="6" t="n">
        <v>1236</v>
      </c>
    </row>
    <row r="4484">
      <c r="A4484" s="1" t="inlineStr">
        <is>
          <t>86347031857357</t>
        </is>
      </c>
      <c r="B4484" s="1" t="inlineStr">
        <is>
          <t>BRAZALETE H UNI GOLD-BLACK</t>
        </is>
      </c>
      <c r="C4484" s="1" t="inlineStr">
        <is>
          <t>Default Title</t>
        </is>
      </c>
      <c r="D4484" s="1" t="inlineStr">
        <is>
          <t>20/01/2026</t>
        </is>
      </c>
      <c r="E4484" s="1" t="n">
        <v>2026</v>
      </c>
      <c r="F4484" s="1" t="inlineStr">
        <is>
          <t>ENERO</t>
        </is>
      </c>
      <c r="G4484" s="1" t="inlineStr">
        <is>
          <t>HAIFENG</t>
        </is>
      </c>
      <c r="H4484" s="1" t="inlineStr">
        <is>
          <t>HAIFENG 20/01/2026</t>
        </is>
      </c>
      <c r="I4484" s="4" t="n">
        <v>4</v>
      </c>
      <c r="J4484" s="6" t="n">
        <v>15</v>
      </c>
      <c r="K4484" s="6" t="n">
        <v>318.0062669</v>
      </c>
      <c r="L4484" s="6">
        <f>I4484*K4484</f>
        <v/>
      </c>
      <c r="M4484" s="6">
        <f>K4484*4</f>
        <v/>
      </c>
      <c r="N4484" s="6" t="n">
        <v>1236</v>
      </c>
    </row>
    <row r="4485">
      <c r="A4485" s="1" t="inlineStr">
        <is>
          <t>86347031857357</t>
        </is>
      </c>
      <c r="B4485" s="1" t="inlineStr">
        <is>
          <t>BRAZALETE H UNI GOLD-BLACK</t>
        </is>
      </c>
      <c r="C4485" s="1" t="inlineStr">
        <is>
          <t>Default Title</t>
        </is>
      </c>
      <c r="D4485" s="1" t="inlineStr">
        <is>
          <t>10/02/2026</t>
        </is>
      </c>
      <c r="E4485" s="1" t="n">
        <v>2026</v>
      </c>
      <c r="F4485" s="1" t="inlineStr">
        <is>
          <t>FEBRERO</t>
        </is>
      </c>
      <c r="G4485" s="1" t="inlineStr">
        <is>
          <t>HAIFENG</t>
        </is>
      </c>
      <c r="H4485" s="1" t="inlineStr">
        <is>
          <t>HAIFENG 10/02/2026</t>
        </is>
      </c>
      <c r="I4485" s="4" t="n">
        <v>2</v>
      </c>
      <c r="J4485" s="6" t="n">
        <v>15</v>
      </c>
      <c r="K4485" s="6" t="n">
        <v>316.027441</v>
      </c>
      <c r="L4485" s="6">
        <f>I4485*K4485</f>
        <v/>
      </c>
      <c r="M4485" s="6">
        <f>K4485*4</f>
        <v/>
      </c>
      <c r="N4485" s="6" t="n">
        <v>1236</v>
      </c>
    </row>
    <row r="4486">
      <c r="A4486" s="1" t="inlineStr">
        <is>
          <t>86347032026285</t>
        </is>
      </c>
      <c r="B4486" s="1" t="inlineStr">
        <is>
          <t>BRAZALETE H KELLY SILVER ZIRCONIAS</t>
        </is>
      </c>
      <c r="C4486" s="1" t="inlineStr">
        <is>
          <t>Default Title</t>
        </is>
      </c>
      <c r="D4486" s="1" t="inlineStr">
        <is>
          <t>22/10/2025</t>
        </is>
      </c>
      <c r="E4486" s="1" t="n">
        <v>2025</v>
      </c>
      <c r="F4486" s="1" t="inlineStr">
        <is>
          <t>OCTUBRE</t>
        </is>
      </c>
      <c r="G4486" s="1" t="inlineStr">
        <is>
          <t>HAIFENG</t>
        </is>
      </c>
      <c r="H4486" s="1" t="inlineStr">
        <is>
          <t>HAIFENG 22/10/2025</t>
        </is>
      </c>
      <c r="I4486" s="4" t="n">
        <v>2</v>
      </c>
      <c r="J4486" s="6" t="n">
        <v>11</v>
      </c>
      <c r="K4486" s="6" t="n">
        <v>232.4108822</v>
      </c>
      <c r="L4486" s="6">
        <f>I4486*K4486</f>
        <v/>
      </c>
      <c r="M4486" s="6">
        <f>K4486*4</f>
        <v/>
      </c>
      <c r="N4486" s="6" t="n">
        <v>906.4</v>
      </c>
    </row>
    <row r="4487">
      <c r="A4487" s="1" t="inlineStr">
        <is>
          <t>86347032026285</t>
        </is>
      </c>
      <c r="B4487" s="1" t="inlineStr">
        <is>
          <t>BRAZALETE H KELLY SILVER ZIRCONIAS</t>
        </is>
      </c>
      <c r="C4487" s="1" t="inlineStr">
        <is>
          <t>Default Title</t>
        </is>
      </c>
      <c r="D4487" s="1" t="inlineStr">
        <is>
          <t>06/05/2026</t>
        </is>
      </c>
      <c r="E4487" s="1" t="n">
        <v>2026</v>
      </c>
      <c r="F4487" s="1" t="inlineStr">
        <is>
          <t>MAYO</t>
        </is>
      </c>
      <c r="G4487" s="1" t="inlineStr">
        <is>
          <t>HAIFENG</t>
        </is>
      </c>
      <c r="H4487" s="1" t="inlineStr">
        <is>
          <t>HAIFENG 06/05/2026</t>
        </is>
      </c>
      <c r="I4487" s="4" t="n">
        <v>2</v>
      </c>
      <c r="J4487" s="6" t="n">
        <v>10</v>
      </c>
      <c r="K4487" s="6" t="n">
        <v>212.1864227</v>
      </c>
      <c r="L4487" s="6">
        <f>I4487*K4487</f>
        <v/>
      </c>
      <c r="M4487" s="6">
        <f>K4487*4</f>
        <v/>
      </c>
      <c r="N4487" s="6" t="n">
        <v>906.4</v>
      </c>
    </row>
    <row r="4488">
      <c r="A4488" s="1" t="inlineStr">
        <is>
          <t>86347032129677</t>
        </is>
      </c>
      <c r="B4488" s="1" t="inlineStr">
        <is>
          <t>ARETES CD BAROQUE GOLD-BLACK</t>
        </is>
      </c>
      <c r="C4488" s="1" t="inlineStr">
        <is>
          <t>Default Title</t>
        </is>
      </c>
      <c r="D4488" s="1" t="inlineStr">
        <is>
          <t>22/10/2025</t>
        </is>
      </c>
      <c r="E4488" s="1" t="n">
        <v>2025</v>
      </c>
      <c r="F4488" s="1" t="inlineStr">
        <is>
          <t>OCTUBRE</t>
        </is>
      </c>
      <c r="G4488" s="1" t="inlineStr">
        <is>
          <t>HAIFENG</t>
        </is>
      </c>
      <c r="H4488" s="1" t="inlineStr">
        <is>
          <t>HAIFENG 22/10/2025</t>
        </is>
      </c>
      <c r="I4488" s="4" t="n">
        <v>2</v>
      </c>
      <c r="J4488" s="6" t="n">
        <v>6</v>
      </c>
      <c r="K4488" s="6" t="n">
        <v>126.7695721</v>
      </c>
      <c r="L4488" s="6">
        <f>I4488*K4488</f>
        <v/>
      </c>
      <c r="M4488" s="6">
        <f>K4488*4</f>
        <v/>
      </c>
      <c r="N4488" s="6" t="n">
        <v>495</v>
      </c>
    </row>
    <row r="4489">
      <c r="A4489" s="1" t="inlineStr">
        <is>
          <t>86347032129677</t>
        </is>
      </c>
      <c r="B4489" s="1" t="inlineStr">
        <is>
          <t>ARETES CD BAROQUE GOLD-BLACK</t>
        </is>
      </c>
      <c r="C4489" s="1" t="inlineStr">
        <is>
          <t>Default Title</t>
        </is>
      </c>
      <c r="D4489" s="1" t="inlineStr">
        <is>
          <t>20/01/2026</t>
        </is>
      </c>
      <c r="E4489" s="1" t="n">
        <v>2026</v>
      </c>
      <c r="F4489" s="1" t="inlineStr">
        <is>
          <t>ENERO</t>
        </is>
      </c>
      <c r="G4489" s="1" t="inlineStr">
        <is>
          <t>HAIFENG</t>
        </is>
      </c>
      <c r="H4489" s="1" t="inlineStr">
        <is>
          <t>HAIFENG 20/01/2026</t>
        </is>
      </c>
      <c r="I4489" s="4" t="n">
        <v>4</v>
      </c>
      <c r="J4489" s="6" t="n">
        <v>6</v>
      </c>
      <c r="K4489" s="6" t="n">
        <v>127.2025068</v>
      </c>
      <c r="L4489" s="6">
        <f>I4489*K4489</f>
        <v/>
      </c>
      <c r="M4489" s="6">
        <f>K4489*4</f>
        <v/>
      </c>
      <c r="N4489" s="6" t="n">
        <v>495</v>
      </c>
    </row>
    <row r="4490">
      <c r="A4490" s="1" t="inlineStr">
        <is>
          <t>86347032129677</t>
        </is>
      </c>
      <c r="B4490" s="1" t="inlineStr">
        <is>
          <t>ARETES CD BAROQUE GOLD-BLACK</t>
        </is>
      </c>
      <c r="C4490" s="1" t="inlineStr">
        <is>
          <t>Default Title</t>
        </is>
      </c>
      <c r="D4490" s="1" t="inlineStr">
        <is>
          <t>10/02/2026</t>
        </is>
      </c>
      <c r="E4490" s="1" t="n">
        <v>2026</v>
      </c>
      <c r="F4490" s="1" t="inlineStr">
        <is>
          <t>FEBRERO</t>
        </is>
      </c>
      <c r="G4490" s="1" t="inlineStr">
        <is>
          <t>HAIFENG</t>
        </is>
      </c>
      <c r="H4490" s="1" t="inlineStr">
        <is>
          <t>HAIFENG 10/02/2026</t>
        </is>
      </c>
      <c r="I4490" s="4" t="n">
        <v>3</v>
      </c>
      <c r="J4490" s="6" t="n">
        <v>6</v>
      </c>
      <c r="K4490" s="6" t="n">
        <v>126.4109764</v>
      </c>
      <c r="L4490" s="6">
        <f>I4490*K4490</f>
        <v/>
      </c>
      <c r="M4490" s="6">
        <f>K4490*4</f>
        <v/>
      </c>
      <c r="N4490" s="6" t="n">
        <v>495</v>
      </c>
    </row>
    <row r="4491">
      <c r="A4491" s="1" t="inlineStr">
        <is>
          <t>86347032129677</t>
        </is>
      </c>
      <c r="B4491" s="1" t="inlineStr">
        <is>
          <t>ARETES CD BAROQUE GOLD-BLACK</t>
        </is>
      </c>
      <c r="C4491" s="1" t="inlineStr">
        <is>
          <t>Default Title</t>
        </is>
      </c>
      <c r="D4491" s="1" t="inlineStr">
        <is>
          <t>06/05/2026</t>
        </is>
      </c>
      <c r="E4491" s="1" t="n">
        <v>2026</v>
      </c>
      <c r="F4491" s="1" t="inlineStr">
        <is>
          <t>MAYO</t>
        </is>
      </c>
      <c r="G4491" s="1" t="inlineStr">
        <is>
          <t>HAIFENG</t>
        </is>
      </c>
      <c r="H4491" s="1" t="inlineStr">
        <is>
          <t>HAIFENG 06/05/2026</t>
        </is>
      </c>
      <c r="I4491" s="4" t="n">
        <v>1</v>
      </c>
      <c r="J4491" s="6" t="n">
        <v>6</v>
      </c>
      <c r="K4491" s="6" t="n">
        <v>127.3118536</v>
      </c>
      <c r="L4491" s="6">
        <f>I4491*K4491</f>
        <v/>
      </c>
      <c r="M4491" s="6">
        <f>K4491*4</f>
        <v/>
      </c>
      <c r="N4491" s="6" t="n">
        <v>495</v>
      </c>
    </row>
    <row r="4492">
      <c r="A4492" s="1" t="inlineStr">
        <is>
          <t>86347032270925</t>
        </is>
      </c>
      <c r="B4492" s="1" t="inlineStr">
        <is>
          <t>ARETES CD LUCKY DIAMOND SILVER</t>
        </is>
      </c>
      <c r="C4492" s="1" t="inlineStr">
        <is>
          <t>Default Title</t>
        </is>
      </c>
      <c r="D4492" s="1" t="inlineStr">
        <is>
          <t>22/10/2025</t>
        </is>
      </c>
      <c r="E4492" s="1" t="n">
        <v>2025</v>
      </c>
      <c r="F4492" s="1" t="inlineStr">
        <is>
          <t>OCTUBRE</t>
        </is>
      </c>
      <c r="G4492" s="1" t="inlineStr">
        <is>
          <t>HAIFENG</t>
        </is>
      </c>
      <c r="H4492" s="1" t="inlineStr">
        <is>
          <t>HAIFENG 22/10/2025</t>
        </is>
      </c>
      <c r="I4492" s="4" t="n">
        <v>2</v>
      </c>
      <c r="J4492" s="6" t="n">
        <v>5.5</v>
      </c>
      <c r="K4492" s="6" t="n">
        <v>116.2054411</v>
      </c>
      <c r="L4492" s="6">
        <f>I4492*K4492</f>
        <v/>
      </c>
      <c r="M4492" s="6">
        <f>K4492*4</f>
        <v/>
      </c>
      <c r="N4492" s="6" t="n">
        <v>500</v>
      </c>
    </row>
    <row r="4493">
      <c r="A4493" s="1" t="inlineStr">
        <is>
          <t>86347032270925</t>
        </is>
      </c>
      <c r="B4493" s="1" t="inlineStr">
        <is>
          <t>ARETES CD LUCKY DIAMOND SILVER</t>
        </is>
      </c>
      <c r="C4493" s="1" t="inlineStr">
        <is>
          <t>Default Title</t>
        </is>
      </c>
      <c r="D4493" s="1" t="inlineStr">
        <is>
          <t>20/01/2026</t>
        </is>
      </c>
      <c r="E4493" s="1" t="n">
        <v>2026</v>
      </c>
      <c r="F4493" s="1" t="inlineStr">
        <is>
          <t>ENERO</t>
        </is>
      </c>
      <c r="G4493" s="1" t="inlineStr">
        <is>
          <t>HAIFENG</t>
        </is>
      </c>
      <c r="H4493" s="1" t="inlineStr">
        <is>
          <t>HAIFENG 20/01/2026</t>
        </is>
      </c>
      <c r="I4493" s="4" t="n">
        <v>1</v>
      </c>
      <c r="J4493" s="6" t="n">
        <v>5.5</v>
      </c>
      <c r="K4493" s="6" t="n">
        <v>116.6022979</v>
      </c>
      <c r="L4493" s="6">
        <f>I4493*K4493</f>
        <v/>
      </c>
      <c r="M4493" s="6">
        <f>K4493*4</f>
        <v/>
      </c>
      <c r="N4493" s="6" t="n">
        <v>500</v>
      </c>
    </row>
    <row r="4494">
      <c r="A4494" s="1" t="inlineStr">
        <is>
          <t>86347032494669</t>
        </is>
      </c>
      <c r="B4494" s="1" t="inlineStr">
        <is>
          <t>COLLAR CD PETIT LUCKY GOLD</t>
        </is>
      </c>
      <c r="C4494" s="1" t="inlineStr">
        <is>
          <t>Default Title</t>
        </is>
      </c>
      <c r="D4494" s="1" t="inlineStr">
        <is>
          <t>22/10/2025</t>
        </is>
      </c>
      <c r="E4494" s="1" t="n">
        <v>2025</v>
      </c>
      <c r="F4494" s="1" t="inlineStr">
        <is>
          <t>OCTUBRE</t>
        </is>
      </c>
      <c r="G4494" s="1" t="inlineStr">
        <is>
          <t>HAIFENG</t>
        </is>
      </c>
      <c r="H4494" s="1" t="inlineStr">
        <is>
          <t>HAIFENG 22/10/2025</t>
        </is>
      </c>
      <c r="I4494" s="4" t="n">
        <v>2</v>
      </c>
      <c r="J4494" s="6" t="n">
        <v>8</v>
      </c>
      <c r="K4494" s="6" t="n">
        <v>169.0260961</v>
      </c>
      <c r="L4494" s="6">
        <f>I4494*K4494</f>
        <v/>
      </c>
      <c r="M4494" s="6">
        <f>K4494*4</f>
        <v/>
      </c>
      <c r="N4494" s="6" t="n">
        <v>999</v>
      </c>
    </row>
    <row r="4495">
      <c r="A4495" s="1" t="inlineStr">
        <is>
          <t>86347032494669</t>
        </is>
      </c>
      <c r="B4495" s="1" t="inlineStr">
        <is>
          <t>COLLAR CD PETIT LUCKY GOLD</t>
        </is>
      </c>
      <c r="C4495" s="1" t="inlineStr">
        <is>
          <t>Default Title</t>
        </is>
      </c>
      <c r="D4495" s="1" t="inlineStr">
        <is>
          <t>11/03/2026</t>
        </is>
      </c>
      <c r="E4495" s="1" t="n">
        <v>2026</v>
      </c>
      <c r="F4495" s="1" t="inlineStr">
        <is>
          <t>MARZO</t>
        </is>
      </c>
      <c r="G4495" s="1" t="inlineStr">
        <is>
          <t>HAIFENG</t>
        </is>
      </c>
      <c r="H4495" s="1" t="inlineStr">
        <is>
          <t>HAIFENG 11/03/2026</t>
        </is>
      </c>
      <c r="I4495" s="4" t="n">
        <v>4</v>
      </c>
      <c r="J4495" s="6" t="n">
        <v>12</v>
      </c>
      <c r="K4495" s="6" t="n">
        <v>255.6467546</v>
      </c>
      <c r="L4495" s="6">
        <f>I4495*K4495</f>
        <v/>
      </c>
      <c r="M4495" s="6">
        <f>K4495*4</f>
        <v/>
      </c>
      <c r="N4495" s="6" t="n">
        <v>999</v>
      </c>
    </row>
    <row r="4496">
      <c r="A4496" s="1" t="inlineStr">
        <is>
          <t>86347032550093</t>
        </is>
      </c>
      <c r="B4496" s="1" t="inlineStr">
        <is>
          <t>ANILLO CD DIAMOND ZIRCONIAS</t>
        </is>
      </c>
      <c r="C4496" s="1" t="n">
        <v>7</v>
      </c>
      <c r="D4496" s="1" t="inlineStr">
        <is>
          <t>22/10/2025</t>
        </is>
      </c>
      <c r="E4496" s="1" t="n">
        <v>2025</v>
      </c>
      <c r="F4496" s="1" t="inlineStr">
        <is>
          <t>OCTUBRE</t>
        </is>
      </c>
      <c r="G4496" s="1" t="inlineStr">
        <is>
          <t>HAIFENG</t>
        </is>
      </c>
      <c r="H4496" s="1" t="inlineStr">
        <is>
          <t>HAIFENG 22/10/2025</t>
        </is>
      </c>
      <c r="I4496" s="4" t="n">
        <v>2</v>
      </c>
      <c r="J4496" s="6" t="n">
        <v>6</v>
      </c>
      <c r="K4496" s="6" t="n">
        <v>126.7695721</v>
      </c>
      <c r="L4496" s="6">
        <f>I4496*K4496</f>
        <v/>
      </c>
      <c r="M4496" s="6">
        <f>K4496*4</f>
        <v/>
      </c>
      <c r="N4496" s="6" t="n">
        <v>499</v>
      </c>
    </row>
    <row r="4497">
      <c r="A4497" s="1" t="inlineStr">
        <is>
          <t>86347032550093</t>
        </is>
      </c>
      <c r="B4497" s="1" t="inlineStr">
        <is>
          <t>ANILLO CD DIAMOND ZIRCONIAS</t>
        </is>
      </c>
      <c r="C4497" s="1" t="inlineStr">
        <is>
          <t>7</t>
        </is>
      </c>
      <c r="D4497" s="1" t="inlineStr">
        <is>
          <t>10/02/2026</t>
        </is>
      </c>
      <c r="E4497" s="1" t="n">
        <v>2026</v>
      </c>
      <c r="F4497" s="1" t="inlineStr">
        <is>
          <t>FEBRERO</t>
        </is>
      </c>
      <c r="G4497" s="1" t="inlineStr">
        <is>
          <t>HAIFENG</t>
        </is>
      </c>
      <c r="H4497" s="1" t="inlineStr">
        <is>
          <t>HAIFENG 10/02/2026</t>
        </is>
      </c>
      <c r="I4497" s="4" t="n">
        <v>2</v>
      </c>
      <c r="J4497" s="6" t="n">
        <v>4.9</v>
      </c>
      <c r="K4497" s="6" t="n">
        <v>103.2356307</v>
      </c>
      <c r="L4497" s="6">
        <f>I4497*K4497</f>
        <v/>
      </c>
      <c r="M4497" s="6">
        <f>K4497*4</f>
        <v/>
      </c>
      <c r="N4497" s="6" t="n">
        <v>499</v>
      </c>
    </row>
    <row r="4498">
      <c r="A4498" s="1" t="inlineStr">
        <is>
          <t>86347032550093</t>
        </is>
      </c>
      <c r="B4498" s="1" t="inlineStr">
        <is>
          <t>ANILLO CD DIAMOND ZIRCONIAS</t>
        </is>
      </c>
      <c r="C4498" s="1" t="inlineStr">
        <is>
          <t>7</t>
        </is>
      </c>
      <c r="D4498" s="1" t="inlineStr">
        <is>
          <t>16/04/2026</t>
        </is>
      </c>
      <c r="E4498" s="1" t="n">
        <v>2026</v>
      </c>
      <c r="F4498" s="1" t="inlineStr">
        <is>
          <t>ABRIL</t>
        </is>
      </c>
      <c r="G4498" s="1" t="inlineStr">
        <is>
          <t>HAIFENG</t>
        </is>
      </c>
      <c r="H4498" s="1" t="inlineStr">
        <is>
          <t>HAIFENG 16/04/2026</t>
        </is>
      </c>
      <c r="I4498" s="4" t="n">
        <v>2</v>
      </c>
      <c r="J4498" s="6" t="n">
        <v>4.9</v>
      </c>
      <c r="K4498" s="6" t="n">
        <v>103.0542206</v>
      </c>
      <c r="L4498" s="6">
        <f>I4498*K4498</f>
        <v/>
      </c>
      <c r="M4498" s="6">
        <f>K4498*4</f>
        <v/>
      </c>
      <c r="N4498" s="6" t="n">
        <v>499</v>
      </c>
    </row>
    <row r="4499">
      <c r="A4499" s="1" t="inlineStr">
        <is>
          <t>86347032550093</t>
        </is>
      </c>
      <c r="B4499" s="1" t="inlineStr">
        <is>
          <t>ANILLO CD DIAMOND ZIRCONIAS</t>
        </is>
      </c>
      <c r="C4499" s="1" t="inlineStr">
        <is>
          <t>7</t>
        </is>
      </c>
      <c r="D4499" s="1" t="inlineStr">
        <is>
          <t>26/05/2026</t>
        </is>
      </c>
      <c r="E4499" s="1" t="n">
        <v>2026</v>
      </c>
      <c r="F4499" s="1" t="inlineStr">
        <is>
          <t>MAYO</t>
        </is>
      </c>
      <c r="G4499" s="1" t="inlineStr">
        <is>
          <t>HAIFENG</t>
        </is>
      </c>
      <c r="H4499" s="1" t="inlineStr">
        <is>
          <t>HAIFENG 26/05/2026</t>
        </is>
      </c>
      <c r="I4499" s="4" t="n">
        <v>3</v>
      </c>
      <c r="J4499" s="6" t="n">
        <v>4.9</v>
      </c>
      <c r="K4499" s="6" t="n">
        <v>102.8475469</v>
      </c>
      <c r="L4499" s="6">
        <f>I4499*K4499</f>
        <v/>
      </c>
      <c r="M4499" s="6">
        <f>K4499*4</f>
        <v/>
      </c>
      <c r="N4499" s="6" t="n">
        <v>499</v>
      </c>
    </row>
    <row r="4500">
      <c r="A4500" s="1" t="inlineStr">
        <is>
          <t>86347032691341</t>
        </is>
      </c>
      <c r="B4500" s="1" t="inlineStr">
        <is>
          <t>ANILLO TWO-ROW GOLD</t>
        </is>
      </c>
      <c r="C4500" s="1" t="n">
        <v>6</v>
      </c>
      <c r="D4500" s="1" t="inlineStr">
        <is>
          <t>22/10/2025</t>
        </is>
      </c>
      <c r="E4500" s="1" t="n">
        <v>2025</v>
      </c>
      <c r="F4500" s="1" t="inlineStr">
        <is>
          <t>OCTUBRE</t>
        </is>
      </c>
      <c r="G4500" s="1" t="inlineStr">
        <is>
          <t>HAIFENG</t>
        </is>
      </c>
      <c r="H4500" s="1" t="inlineStr">
        <is>
          <t>HAIFENG 22/10/2025</t>
        </is>
      </c>
      <c r="I4500" s="4" t="n">
        <v>2</v>
      </c>
      <c r="J4500" s="6" t="n">
        <v>6.99</v>
      </c>
      <c r="K4500" s="6" t="n">
        <v>147.6865515</v>
      </c>
      <c r="L4500" s="6">
        <f>I4500*K4500</f>
        <v/>
      </c>
      <c r="M4500" s="6">
        <f>K4500*4</f>
        <v/>
      </c>
      <c r="N4500" s="6" t="n">
        <v>580</v>
      </c>
    </row>
    <row r="4501">
      <c r="A4501" s="1" t="inlineStr">
        <is>
          <t>86347032691341</t>
        </is>
      </c>
      <c r="B4501" s="1" t="inlineStr">
        <is>
          <t>ANILLO TWO-ROW GOLD</t>
        </is>
      </c>
      <c r="C4501" s="1" t="inlineStr">
        <is>
          <t>6</t>
        </is>
      </c>
      <c r="D4501" s="1" t="inlineStr">
        <is>
          <t>10/02/2026</t>
        </is>
      </c>
      <c r="E4501" s="1" t="n">
        <v>2026</v>
      </c>
      <c r="F4501" s="1" t="inlineStr">
        <is>
          <t>FEBRERO</t>
        </is>
      </c>
      <c r="G4501" s="1" t="inlineStr">
        <is>
          <t>HAIFENG</t>
        </is>
      </c>
      <c r="H4501" s="1" t="inlineStr">
        <is>
          <t>HAIFENG 10/02/2026</t>
        </is>
      </c>
      <c r="I4501" s="4" t="n">
        <v>4</v>
      </c>
      <c r="J4501" s="6" t="n">
        <v>5.5</v>
      </c>
      <c r="K4501" s="6" t="n">
        <v>115.8767284</v>
      </c>
      <c r="L4501" s="6">
        <f>I4501*K4501</f>
        <v/>
      </c>
      <c r="M4501" s="6">
        <f>K4501*4</f>
        <v/>
      </c>
      <c r="N4501" s="6" t="n">
        <v>580</v>
      </c>
    </row>
    <row r="4502">
      <c r="A4502" s="1" t="inlineStr">
        <is>
          <t>86347032691341</t>
        </is>
      </c>
      <c r="B4502" s="1" t="inlineStr">
        <is>
          <t>ANILLO TWO-ROW GOLD</t>
        </is>
      </c>
      <c r="C4502" s="1" t="inlineStr">
        <is>
          <t>6</t>
        </is>
      </c>
      <c r="D4502" s="1" t="inlineStr">
        <is>
          <t>16/06/2026</t>
        </is>
      </c>
      <c r="E4502" s="1" t="n">
        <v>2026</v>
      </c>
      <c r="F4502" s="1" t="inlineStr">
        <is>
          <t>JUNIO</t>
        </is>
      </c>
      <c r="G4502" s="1" t="inlineStr">
        <is>
          <t>HAIFENG</t>
        </is>
      </c>
      <c r="H4502" s="1" t="inlineStr">
        <is>
          <t>HAIFENG 16/06/2026</t>
        </is>
      </c>
      <c r="I4502" s="4" t="n">
        <v>3</v>
      </c>
      <c r="J4502" s="6" t="n">
        <v>5.5</v>
      </c>
      <c r="K4502" s="6" t="n">
        <v>115.5803355</v>
      </c>
      <c r="L4502" s="6">
        <f>I4502*K4502</f>
        <v/>
      </c>
      <c r="M4502" s="6">
        <f>K4502*4</f>
        <v/>
      </c>
      <c r="N4502" s="6" t="n">
        <v>580</v>
      </c>
    </row>
    <row r="4503">
      <c r="A4503" s="1" t="inlineStr">
        <is>
          <t>86347032724109</t>
        </is>
      </c>
      <c r="B4503" s="1" t="inlineStr">
        <is>
          <t>ANILLO TWO-ROW GOLD</t>
        </is>
      </c>
      <c r="C4503" s="1" t="n">
        <v>7</v>
      </c>
      <c r="D4503" s="1" t="inlineStr">
        <is>
          <t>22/10/2025</t>
        </is>
      </c>
      <c r="E4503" s="1" t="n">
        <v>2025</v>
      </c>
      <c r="F4503" s="1" t="inlineStr">
        <is>
          <t>OCTUBRE</t>
        </is>
      </c>
      <c r="G4503" s="1" t="inlineStr">
        <is>
          <t>HAIFENG</t>
        </is>
      </c>
      <c r="H4503" s="1" t="inlineStr">
        <is>
          <t>HAIFENG 22/10/2025</t>
        </is>
      </c>
      <c r="I4503" s="4" t="n">
        <v>2</v>
      </c>
      <c r="J4503" s="6" t="n">
        <v>6.99</v>
      </c>
      <c r="K4503" s="6" t="n">
        <v>147.6865515</v>
      </c>
      <c r="L4503" s="6">
        <f>I4503*K4503</f>
        <v/>
      </c>
      <c r="M4503" s="6">
        <f>K4503*4</f>
        <v/>
      </c>
      <c r="N4503" s="6" t="n">
        <v>580</v>
      </c>
    </row>
    <row r="4504">
      <c r="A4504" s="1" t="inlineStr">
        <is>
          <t>86347032724109</t>
        </is>
      </c>
      <c r="B4504" s="1" t="inlineStr">
        <is>
          <t>ANILLO TWO-ROW GOLD</t>
        </is>
      </c>
      <c r="C4504" s="1" t="inlineStr">
        <is>
          <t>7</t>
        </is>
      </c>
      <c r="D4504" s="1" t="inlineStr">
        <is>
          <t>20/01/2026</t>
        </is>
      </c>
      <c r="E4504" s="1" t="n">
        <v>2026</v>
      </c>
      <c r="F4504" s="1" t="inlineStr">
        <is>
          <t>ENERO</t>
        </is>
      </c>
      <c r="G4504" s="1" t="inlineStr">
        <is>
          <t>HAIFENG</t>
        </is>
      </c>
      <c r="H4504" s="1" t="inlineStr">
        <is>
          <t>HAIFENG 20/01/2026</t>
        </is>
      </c>
      <c r="I4504" s="4" t="n">
        <v>4</v>
      </c>
      <c r="J4504" s="6" t="n">
        <v>6</v>
      </c>
      <c r="K4504" s="6" t="n">
        <v>127.2025068</v>
      </c>
      <c r="L4504" s="6">
        <f>I4504*K4504</f>
        <v/>
      </c>
      <c r="M4504" s="6">
        <f>K4504*4</f>
        <v/>
      </c>
      <c r="N4504" s="6" t="n">
        <v>580</v>
      </c>
    </row>
    <row r="4505">
      <c r="A4505" s="1" t="inlineStr">
        <is>
          <t>86347032724109</t>
        </is>
      </c>
      <c r="B4505" s="1" t="inlineStr">
        <is>
          <t>ANILLO TWO-ROW GOLD</t>
        </is>
      </c>
      <c r="C4505" s="1" t="inlineStr">
        <is>
          <t>7</t>
        </is>
      </c>
      <c r="D4505" s="1" t="inlineStr">
        <is>
          <t>11/03/2026</t>
        </is>
      </c>
      <c r="E4505" s="1" t="n">
        <v>2026</v>
      </c>
      <c r="F4505" s="1" t="inlineStr">
        <is>
          <t>MARZO</t>
        </is>
      </c>
      <c r="G4505" s="1" t="inlineStr">
        <is>
          <t>HAIFENG</t>
        </is>
      </c>
      <c r="H4505" s="1" t="inlineStr">
        <is>
          <t>HAIFENG 11/03/2026</t>
        </is>
      </c>
      <c r="I4505" s="4" t="n">
        <v>2</v>
      </c>
      <c r="J4505" s="6" t="n">
        <v>5.5</v>
      </c>
      <c r="K4505" s="6" t="n">
        <v>117.1714292</v>
      </c>
      <c r="L4505" s="6">
        <f>I4505*K4505</f>
        <v/>
      </c>
      <c r="M4505" s="6">
        <f>K4505*4</f>
        <v/>
      </c>
      <c r="N4505" s="6" t="n">
        <v>580</v>
      </c>
    </row>
    <row r="4506">
      <c r="A4506" s="1" t="inlineStr">
        <is>
          <t>86347032724109</t>
        </is>
      </c>
      <c r="B4506" s="1" t="inlineStr">
        <is>
          <t>ANILLO TWO-ROW GOLD</t>
        </is>
      </c>
      <c r="C4506" s="1" t="inlineStr">
        <is>
          <t>7</t>
        </is>
      </c>
      <c r="D4506" s="1" t="inlineStr">
        <is>
          <t>16/04/2026</t>
        </is>
      </c>
      <c r="E4506" s="1" t="n">
        <v>2026</v>
      </c>
      <c r="F4506" s="1" t="inlineStr">
        <is>
          <t>ABRIL</t>
        </is>
      </c>
      <c r="G4506" s="1" t="inlineStr">
        <is>
          <t>HAIFENG</t>
        </is>
      </c>
      <c r="H4506" s="1" t="inlineStr">
        <is>
          <t>HAIFENG 16/04/2026</t>
        </is>
      </c>
      <c r="I4506" s="4" t="n">
        <v>2</v>
      </c>
      <c r="J4506" s="6" t="n">
        <v>5.5</v>
      </c>
      <c r="K4506" s="6" t="n">
        <v>115.6731047</v>
      </c>
      <c r="L4506" s="6">
        <f>I4506*K4506</f>
        <v/>
      </c>
      <c r="M4506" s="6">
        <f>K4506*4</f>
        <v/>
      </c>
      <c r="N4506" s="6" t="n">
        <v>580</v>
      </c>
    </row>
    <row r="4507">
      <c r="A4507" s="1" t="inlineStr">
        <is>
          <t>86347032724109</t>
        </is>
      </c>
      <c r="B4507" s="1" t="inlineStr">
        <is>
          <t>ANILLO TWO-ROW GOLD</t>
        </is>
      </c>
      <c r="C4507" s="1" t="inlineStr">
        <is>
          <t>7</t>
        </is>
      </c>
      <c r="D4507" s="1" t="inlineStr">
        <is>
          <t>26/05/2026</t>
        </is>
      </c>
      <c r="E4507" s="1" t="n">
        <v>2026</v>
      </c>
      <c r="F4507" s="1" t="inlineStr">
        <is>
          <t>MAYO</t>
        </is>
      </c>
      <c r="G4507" s="1" t="inlineStr">
        <is>
          <t>HAIFENG</t>
        </is>
      </c>
      <c r="H4507" s="1" t="inlineStr">
        <is>
          <t>HAIFENG 26/05/2026</t>
        </is>
      </c>
      <c r="I4507" s="4" t="n">
        <v>2</v>
      </c>
      <c r="J4507" s="6" t="n">
        <v>5.5</v>
      </c>
      <c r="K4507" s="6" t="n">
        <v>115.4411241</v>
      </c>
      <c r="L4507" s="6">
        <f>I4507*K4507</f>
        <v/>
      </c>
      <c r="M4507" s="6">
        <f>K4507*4</f>
        <v/>
      </c>
      <c r="N4507" s="6" t="n">
        <v>580</v>
      </c>
    </row>
    <row r="4508">
      <c r="A4508" s="1" t="inlineStr">
        <is>
          <t>86347032827501</t>
        </is>
      </c>
      <c r="B4508" s="1" t="inlineStr">
        <is>
          <t>ANILLO ESLABONES ROSEGOLD ZIRCONIAS</t>
        </is>
      </c>
      <c r="C4508" s="1" t="n">
        <v>7</v>
      </c>
      <c r="D4508" s="1" t="inlineStr">
        <is>
          <t>22/10/2025</t>
        </is>
      </c>
      <c r="E4508" s="1" t="n">
        <v>2025</v>
      </c>
      <c r="F4508" s="1" t="inlineStr">
        <is>
          <t>OCTUBRE</t>
        </is>
      </c>
      <c r="G4508" s="1" t="inlineStr">
        <is>
          <t>HAIFENG</t>
        </is>
      </c>
      <c r="H4508" s="1" t="inlineStr">
        <is>
          <t>HAIFENG 22/10/2025</t>
        </is>
      </c>
      <c r="I4508" s="4" t="n">
        <v>2</v>
      </c>
      <c r="J4508" s="6" t="n">
        <v>7</v>
      </c>
      <c r="K4508" s="6" t="n">
        <v>147.8978341</v>
      </c>
      <c r="L4508" s="6">
        <f>I4508*K4508</f>
        <v/>
      </c>
      <c r="M4508" s="6">
        <f>K4508*4</f>
        <v/>
      </c>
      <c r="N4508" s="6" t="n">
        <v>580</v>
      </c>
    </row>
    <row r="4509">
      <c r="A4509" s="1" t="inlineStr">
        <is>
          <t>86347032827501</t>
        </is>
      </c>
      <c r="B4509" s="1" t="inlineStr">
        <is>
          <t>ANILLO ESLABONES ROSEGOLD ZIRCONIAS</t>
        </is>
      </c>
      <c r="C4509" s="1" t="inlineStr">
        <is>
          <t>7</t>
        </is>
      </c>
      <c r="D4509" s="1" t="inlineStr">
        <is>
          <t>20/01/2026</t>
        </is>
      </c>
      <c r="E4509" s="1" t="n">
        <v>2026</v>
      </c>
      <c r="F4509" s="1" t="inlineStr">
        <is>
          <t>ENERO</t>
        </is>
      </c>
      <c r="G4509" s="1" t="inlineStr">
        <is>
          <t>HAIFENG</t>
        </is>
      </c>
      <c r="H4509" s="1" t="inlineStr">
        <is>
          <t>HAIFENG 20/01/2026</t>
        </is>
      </c>
      <c r="I4509" s="4" t="n">
        <v>1</v>
      </c>
      <c r="J4509" s="6" t="n">
        <v>7</v>
      </c>
      <c r="K4509" s="6" t="n">
        <v>148.4029245</v>
      </c>
      <c r="L4509" s="6">
        <f>I4509*K4509</f>
        <v/>
      </c>
      <c r="M4509" s="6">
        <f>K4509*4</f>
        <v/>
      </c>
      <c r="N4509" s="6" t="n">
        <v>580</v>
      </c>
    </row>
    <row r="4510">
      <c r="A4510" s="1" t="inlineStr">
        <is>
          <t>86347032827501</t>
        </is>
      </c>
      <c r="B4510" s="1" t="inlineStr">
        <is>
          <t>ANILLO ESLABONES ROSEGOLD ZIRCONIAS</t>
        </is>
      </c>
      <c r="C4510" s="1" t="inlineStr">
        <is>
          <t>7</t>
        </is>
      </c>
      <c r="D4510" s="1" t="inlineStr">
        <is>
          <t>10/02/2026</t>
        </is>
      </c>
      <c r="E4510" s="1" t="n">
        <v>2026</v>
      </c>
      <c r="F4510" s="1" t="inlineStr">
        <is>
          <t>FEBRERO</t>
        </is>
      </c>
      <c r="G4510" s="1" t="inlineStr">
        <is>
          <t>HAIFENG</t>
        </is>
      </c>
      <c r="H4510" s="1" t="inlineStr">
        <is>
          <t>HAIFENG 10/02/2026</t>
        </is>
      </c>
      <c r="I4510" s="4" t="n">
        <v>2</v>
      </c>
      <c r="J4510" s="6" t="n">
        <v>7</v>
      </c>
      <c r="K4510" s="6" t="n">
        <v>147.4794725</v>
      </c>
      <c r="L4510" s="6">
        <f>I4510*K4510</f>
        <v/>
      </c>
      <c r="M4510" s="6">
        <f>K4510*4</f>
        <v/>
      </c>
      <c r="N4510" s="6" t="n">
        <v>580</v>
      </c>
    </row>
    <row r="4511">
      <c r="A4511" s="1" t="inlineStr">
        <is>
          <t>86347032960269</t>
        </is>
      </c>
      <c r="B4511" s="1" t="inlineStr">
        <is>
          <t>ANILLO ESLABONES ROSEGOLD ZIRCONIAS</t>
        </is>
      </c>
      <c r="C4511" s="1" t="n">
        <v>9</v>
      </c>
      <c r="D4511" s="1" t="inlineStr">
        <is>
          <t>22/10/2025</t>
        </is>
      </c>
      <c r="E4511" s="1" t="n">
        <v>2025</v>
      </c>
      <c r="F4511" s="1" t="inlineStr">
        <is>
          <t>OCTUBRE</t>
        </is>
      </c>
      <c r="G4511" s="1" t="inlineStr">
        <is>
          <t>HAIFENG</t>
        </is>
      </c>
      <c r="H4511" s="1" t="inlineStr">
        <is>
          <t>HAIFENG 22/10/2025</t>
        </is>
      </c>
      <c r="I4511" s="4" t="n">
        <v>2</v>
      </c>
      <c r="J4511" s="6" t="n">
        <v>7</v>
      </c>
      <c r="K4511" s="6" t="n">
        <v>147.8978341</v>
      </c>
      <c r="L4511" s="6">
        <f>I4511*K4511</f>
        <v/>
      </c>
      <c r="M4511" s="6">
        <f>K4511*4</f>
        <v/>
      </c>
      <c r="N4511" s="6" t="n">
        <v>580</v>
      </c>
    </row>
    <row r="4512">
      <c r="A4512" s="1" t="inlineStr">
        <is>
          <t>86347032960269</t>
        </is>
      </c>
      <c r="B4512" s="1" t="inlineStr">
        <is>
          <t>ANILLO ESLABONES ROSEGOLD ZIRCONIAS</t>
        </is>
      </c>
      <c r="C4512" s="1" t="inlineStr">
        <is>
          <t>9</t>
        </is>
      </c>
      <c r="D4512" s="1" t="inlineStr">
        <is>
          <t>20/01/2026</t>
        </is>
      </c>
      <c r="E4512" s="1" t="n">
        <v>2026</v>
      </c>
      <c r="F4512" s="1" t="inlineStr">
        <is>
          <t>ENERO</t>
        </is>
      </c>
      <c r="G4512" s="1" t="inlineStr">
        <is>
          <t>HAIFENG</t>
        </is>
      </c>
      <c r="H4512" s="1" t="inlineStr">
        <is>
          <t>HAIFENG 20/01/2026</t>
        </is>
      </c>
      <c r="I4512" s="4" t="n">
        <v>2</v>
      </c>
      <c r="J4512" s="6" t="n">
        <v>7</v>
      </c>
      <c r="K4512" s="6" t="n">
        <v>148.4029245</v>
      </c>
      <c r="L4512" s="6">
        <f>I4512*K4512</f>
        <v/>
      </c>
      <c r="M4512" s="6">
        <f>K4512*4</f>
        <v/>
      </c>
      <c r="N4512" s="6" t="n">
        <v>580</v>
      </c>
    </row>
    <row r="4513">
      <c r="A4513" s="1" t="inlineStr">
        <is>
          <t>86347032960269</t>
        </is>
      </c>
      <c r="B4513" s="1" t="n"/>
      <c r="C4513" s="1" t="inlineStr">
        <is>
          <t>9</t>
        </is>
      </c>
      <c r="D4513" s="1" t="inlineStr">
        <is>
          <t>10/02/2026</t>
        </is>
      </c>
      <c r="E4513" s="1" t="n">
        <v>2026</v>
      </c>
      <c r="F4513" s="1" t="inlineStr">
        <is>
          <t>FEBRERO</t>
        </is>
      </c>
      <c r="G4513" s="1" t="inlineStr">
        <is>
          <t>HAIFENG</t>
        </is>
      </c>
      <c r="H4513" s="1" t="inlineStr">
        <is>
          <t>HAIFENG 10/02/2026</t>
        </is>
      </c>
      <c r="I4513" s="4" t="n">
        <v>3</v>
      </c>
      <c r="J4513" s="6" t="n">
        <v>7</v>
      </c>
      <c r="K4513" s="6" t="n">
        <v>147.4794725</v>
      </c>
      <c r="L4513" s="6">
        <f>I4513*K4513</f>
        <v/>
      </c>
      <c r="M4513" s="6">
        <f>K4513*4</f>
        <v/>
      </c>
      <c r="N4513" s="6" t="n">
        <v>580</v>
      </c>
    </row>
    <row r="4514">
      <c r="A4514" s="1" t="inlineStr">
        <is>
          <t>86347033042765</t>
        </is>
      </c>
      <c r="B4514" s="1" t="inlineStr">
        <is>
          <t>ANILLO T ENTRELAZDOS SILVER</t>
        </is>
      </c>
      <c r="C4514" s="1" t="n">
        <v>7</v>
      </c>
      <c r="D4514" s="1" t="inlineStr">
        <is>
          <t>22/10/2025</t>
        </is>
      </c>
      <c r="E4514" s="1" t="n">
        <v>2025</v>
      </c>
      <c r="F4514" s="1" t="inlineStr">
        <is>
          <t>OCTUBRE</t>
        </is>
      </c>
      <c r="G4514" s="1" t="inlineStr">
        <is>
          <t>HAIFENG</t>
        </is>
      </c>
      <c r="H4514" s="1" t="inlineStr">
        <is>
          <t>HAIFENG 22/10/2025</t>
        </is>
      </c>
      <c r="I4514" s="4" t="n">
        <v>2</v>
      </c>
      <c r="J4514" s="6" t="n">
        <v>8.99</v>
      </c>
      <c r="K4514" s="6" t="n">
        <v>189.9430755</v>
      </c>
      <c r="L4514" s="6">
        <f>I4514*K4514</f>
        <v/>
      </c>
      <c r="M4514" s="6">
        <f>K4514*4</f>
        <v/>
      </c>
      <c r="N4514" s="6" t="n">
        <v>740.78</v>
      </c>
    </row>
    <row r="4515">
      <c r="A4515" s="1" t="inlineStr">
        <is>
          <t>86347033042765</t>
        </is>
      </c>
      <c r="B4515" s="1" t="inlineStr">
        <is>
          <t>ANILLO T ENTRELAZDOS SILVER</t>
        </is>
      </c>
      <c r="C4515" s="1" t="inlineStr">
        <is>
          <t>7</t>
        </is>
      </c>
      <c r="D4515" s="1" t="inlineStr">
        <is>
          <t>10/02/2026</t>
        </is>
      </c>
      <c r="E4515" s="1" t="n">
        <v>2026</v>
      </c>
      <c r="F4515" s="1" t="inlineStr">
        <is>
          <t>FEBRERO</t>
        </is>
      </c>
      <c r="G4515" s="1" t="inlineStr">
        <is>
          <t>HAIFENG</t>
        </is>
      </c>
      <c r="H4515" s="1" t="inlineStr">
        <is>
          <t>HAIFENG 10/02/2026</t>
        </is>
      </c>
      <c r="I4515" s="4" t="n">
        <v>4</v>
      </c>
      <c r="J4515" s="6" t="n">
        <v>6</v>
      </c>
      <c r="K4515" s="6" t="n">
        <v>126.4109764</v>
      </c>
      <c r="L4515" s="6">
        <f>I4515*K4515</f>
        <v/>
      </c>
      <c r="M4515" s="6">
        <f>K4515*4</f>
        <v/>
      </c>
      <c r="N4515" s="6" t="n">
        <v>740.78</v>
      </c>
    </row>
    <row r="4516">
      <c r="A4516" s="1" t="inlineStr">
        <is>
          <t>86347033175533</t>
        </is>
      </c>
      <c r="B4516" s="1" t="inlineStr">
        <is>
          <t>ANILLO T ENTRELAZDOS SILVER</t>
        </is>
      </c>
      <c r="C4516" s="1" t="n">
        <v>8</v>
      </c>
      <c r="D4516" s="1" t="inlineStr">
        <is>
          <t>22/10/2025</t>
        </is>
      </c>
      <c r="E4516" s="1" t="n">
        <v>2025</v>
      </c>
      <c r="F4516" s="1" t="inlineStr">
        <is>
          <t>OCTUBRE</t>
        </is>
      </c>
      <c r="G4516" s="1" t="inlineStr">
        <is>
          <t>HAIFENG</t>
        </is>
      </c>
      <c r="H4516" s="1" t="inlineStr">
        <is>
          <t>HAIFENG 22/10/2025</t>
        </is>
      </c>
      <c r="I4516" s="4" t="n">
        <v>2</v>
      </c>
      <c r="J4516" s="6" t="n">
        <v>8.99</v>
      </c>
      <c r="K4516" s="6" t="n">
        <v>189.9430755</v>
      </c>
      <c r="L4516" s="6">
        <f>I4516*K4516</f>
        <v/>
      </c>
      <c r="M4516" s="6">
        <f>K4516*4</f>
        <v/>
      </c>
      <c r="N4516" s="6" t="n">
        <v>740.78</v>
      </c>
    </row>
    <row r="4517">
      <c r="A4517" s="1" t="inlineStr">
        <is>
          <t>86347033175533</t>
        </is>
      </c>
      <c r="B4517" s="1" t="inlineStr">
        <is>
          <t>ANILLO T ENTRELAZDOS SILVER</t>
        </is>
      </c>
      <c r="C4517" s="1" t="inlineStr">
        <is>
          <t>8</t>
        </is>
      </c>
      <c r="D4517" s="1" t="inlineStr">
        <is>
          <t>16/04/2026</t>
        </is>
      </c>
      <c r="E4517" s="1" t="n">
        <v>2026</v>
      </c>
      <c r="F4517" s="1" t="inlineStr">
        <is>
          <t>ABRIL</t>
        </is>
      </c>
      <c r="G4517" s="1" t="inlineStr">
        <is>
          <t>HAIFENG</t>
        </is>
      </c>
      <c r="H4517" s="1" t="inlineStr">
        <is>
          <t>HAIFENG 16/04/2026</t>
        </is>
      </c>
      <c r="I4517" s="4" t="n">
        <v>3</v>
      </c>
      <c r="J4517" s="6" t="n">
        <v>3</v>
      </c>
      <c r="K4517" s="6" t="n">
        <v>63.09442077</v>
      </c>
      <c r="L4517" s="6">
        <f>I4517*K4517</f>
        <v/>
      </c>
      <c r="M4517" s="6">
        <f>K4517*4</f>
        <v/>
      </c>
      <c r="N4517" s="6" t="n">
        <v>740.78</v>
      </c>
    </row>
    <row r="4518">
      <c r="A4518" s="1" t="inlineStr">
        <is>
          <t>86347033266957</t>
        </is>
      </c>
      <c r="B4518" s="1" t="inlineStr">
        <is>
          <t>ANILLO KNOT DOBLE GOLD ZIRCONIAS</t>
        </is>
      </c>
      <c r="C4518" s="1" t="n">
        <v>6</v>
      </c>
      <c r="D4518" s="1" t="inlineStr">
        <is>
          <t>22/10/2025</t>
        </is>
      </c>
      <c r="E4518" s="1" t="n">
        <v>2025</v>
      </c>
      <c r="F4518" s="1" t="inlineStr">
        <is>
          <t>OCTUBRE</t>
        </is>
      </c>
      <c r="G4518" s="1" t="inlineStr">
        <is>
          <t>HAIFENG</t>
        </is>
      </c>
      <c r="H4518" s="1" t="inlineStr">
        <is>
          <t>HAIFENG 22/10/2025</t>
        </is>
      </c>
      <c r="I4518" s="4" t="n">
        <v>2</v>
      </c>
      <c r="J4518" s="6" t="n">
        <v>6.5</v>
      </c>
      <c r="K4518" s="6" t="n">
        <v>137.3337031</v>
      </c>
      <c r="L4518" s="6">
        <f>I4518*K4518</f>
        <v/>
      </c>
      <c r="M4518" s="6">
        <f>K4518*4</f>
        <v/>
      </c>
      <c r="N4518" s="6" t="n">
        <v>550</v>
      </c>
    </row>
    <row r="4519">
      <c r="A4519" s="1" t="inlineStr">
        <is>
          <t>86347033266957</t>
        </is>
      </c>
      <c r="B4519" s="1" t="inlineStr">
        <is>
          <t>ANILLO KNOT DOBLE GOLD ZIRCONIAS</t>
        </is>
      </c>
      <c r="C4519" s="1" t="inlineStr">
        <is>
          <t>6</t>
        </is>
      </c>
      <c r="D4519" s="1" t="inlineStr">
        <is>
          <t>20/01/2026</t>
        </is>
      </c>
      <c r="E4519" s="1" t="n">
        <v>2026</v>
      </c>
      <c r="F4519" s="1" t="inlineStr">
        <is>
          <t>ENERO</t>
        </is>
      </c>
      <c r="G4519" s="1" t="inlineStr">
        <is>
          <t>HAIFENG</t>
        </is>
      </c>
      <c r="H4519" s="1" t="inlineStr">
        <is>
          <t>HAIFENG 20/01/2026</t>
        </is>
      </c>
      <c r="I4519" s="4" t="n">
        <v>3</v>
      </c>
      <c r="J4519" s="6" t="n">
        <v>6.5</v>
      </c>
      <c r="K4519" s="6" t="n">
        <v>137.8027156</v>
      </c>
      <c r="L4519" s="6">
        <f>I4519*K4519</f>
        <v/>
      </c>
      <c r="M4519" s="6">
        <f>K4519*4</f>
        <v/>
      </c>
      <c r="N4519" s="6" t="n">
        <v>550</v>
      </c>
    </row>
    <row r="4520">
      <c r="A4520" s="1" t="inlineStr">
        <is>
          <t>86347033266957</t>
        </is>
      </c>
      <c r="B4520" s="1" t="inlineStr">
        <is>
          <t>ANILLO KNOT DOBLE GOLD ZIRCONIAS</t>
        </is>
      </c>
      <c r="C4520" s="1" t="inlineStr">
        <is>
          <t>6</t>
        </is>
      </c>
      <c r="D4520" s="1" t="inlineStr">
        <is>
          <t>10/02/2026</t>
        </is>
      </c>
      <c r="E4520" s="1" t="n">
        <v>2026</v>
      </c>
      <c r="F4520" s="1" t="inlineStr">
        <is>
          <t>FEBRERO</t>
        </is>
      </c>
      <c r="G4520" s="1" t="inlineStr">
        <is>
          <t>HAIFENG</t>
        </is>
      </c>
      <c r="H4520" s="1" t="inlineStr">
        <is>
          <t>HAIFENG 10/02/2026</t>
        </is>
      </c>
      <c r="I4520" s="4" t="n">
        <v>3</v>
      </c>
      <c r="J4520" s="6" t="n">
        <v>6.5</v>
      </c>
      <c r="K4520" s="6" t="n">
        <v>136.9452244</v>
      </c>
      <c r="L4520" s="6">
        <f>I4520*K4520</f>
        <v/>
      </c>
      <c r="M4520" s="6">
        <f>K4520*4</f>
        <v/>
      </c>
      <c r="N4520" s="6" t="n">
        <v>550</v>
      </c>
    </row>
    <row r="4521">
      <c r="A4521" s="1" t="inlineStr">
        <is>
          <t>86347033266957</t>
        </is>
      </c>
      <c r="B4521" s="1" t="inlineStr">
        <is>
          <t>ANILLO KNOT DOBLE GOLD ZIRCONIAS</t>
        </is>
      </c>
      <c r="C4521" s="1" t="inlineStr">
        <is>
          <t>6</t>
        </is>
      </c>
      <c r="D4521" s="1" t="inlineStr">
        <is>
          <t>16/04/2026</t>
        </is>
      </c>
      <c r="E4521" s="1" t="n">
        <v>2026</v>
      </c>
      <c r="F4521" s="1" t="inlineStr">
        <is>
          <t>ABRIL</t>
        </is>
      </c>
      <c r="G4521" s="1" t="inlineStr">
        <is>
          <t>HAIFENG</t>
        </is>
      </c>
      <c r="H4521" s="1" t="inlineStr">
        <is>
          <t>HAIFENG 16/04/2026</t>
        </is>
      </c>
      <c r="I4521" s="4" t="n">
        <v>3</v>
      </c>
      <c r="J4521" s="6" t="n">
        <v>6.5</v>
      </c>
      <c r="K4521" s="6" t="n">
        <v>136.7045783</v>
      </c>
      <c r="L4521" s="6">
        <f>I4521*K4521</f>
        <v/>
      </c>
      <c r="M4521" s="6">
        <f>K4521*4</f>
        <v/>
      </c>
      <c r="N4521" s="6" t="n">
        <v>550</v>
      </c>
    </row>
    <row r="4522">
      <c r="A4522" s="1" t="inlineStr">
        <is>
          <t>86347033266957</t>
        </is>
      </c>
      <c r="B4522" s="1" t="inlineStr">
        <is>
          <t>ANILLO KNOT DOBLE GOLD ZIRCONIAS</t>
        </is>
      </c>
      <c r="C4522" s="1" t="inlineStr">
        <is>
          <t>6</t>
        </is>
      </c>
      <c r="D4522" s="1" t="inlineStr">
        <is>
          <t>26/05/2026</t>
        </is>
      </c>
      <c r="E4522" s="1" t="n">
        <v>2026</v>
      </c>
      <c r="F4522" s="1" t="inlineStr">
        <is>
          <t>MAYO</t>
        </is>
      </c>
      <c r="G4522" s="1" t="inlineStr">
        <is>
          <t>HAIFENG</t>
        </is>
      </c>
      <c r="H4522" s="1" t="inlineStr">
        <is>
          <t>HAIFENG 26/05/2026</t>
        </is>
      </c>
      <c r="I4522" s="4" t="n">
        <v>2</v>
      </c>
      <c r="J4522" s="6" t="n">
        <v>6.5</v>
      </c>
      <c r="K4522" s="6" t="n">
        <v>136.4304194</v>
      </c>
      <c r="L4522" s="6">
        <f>I4522*K4522</f>
        <v/>
      </c>
      <c r="M4522" s="6">
        <f>K4522*4</f>
        <v/>
      </c>
      <c r="N4522" s="6" t="n">
        <v>550</v>
      </c>
    </row>
    <row r="4523">
      <c r="A4523" s="1" t="inlineStr">
        <is>
          <t>86347033266957</t>
        </is>
      </c>
      <c r="B4523" s="1" t="inlineStr">
        <is>
          <t>ANILLO KNOT DOBLE GOLD ZIRCONIAS</t>
        </is>
      </c>
      <c r="C4523" s="1" t="inlineStr">
        <is>
          <t>6</t>
        </is>
      </c>
      <c r="D4523" s="1" t="inlineStr">
        <is>
          <t>16/06/2026</t>
        </is>
      </c>
      <c r="E4523" s="1" t="n">
        <v>2026</v>
      </c>
      <c r="F4523" s="1" t="inlineStr">
        <is>
          <t>JUNIO</t>
        </is>
      </c>
      <c r="G4523" s="1" t="inlineStr">
        <is>
          <t>HAIFENG</t>
        </is>
      </c>
      <c r="H4523" s="1" t="inlineStr">
        <is>
          <t>HAIFENG 16/06/2026</t>
        </is>
      </c>
      <c r="I4523" s="4" t="n">
        <v>1</v>
      </c>
      <c r="J4523" s="6" t="n">
        <v>6.5</v>
      </c>
      <c r="K4523" s="6" t="n">
        <v>136.594942</v>
      </c>
      <c r="L4523" s="6">
        <f>I4523*K4523</f>
        <v/>
      </c>
      <c r="M4523" s="6">
        <f>K4523*4</f>
        <v/>
      </c>
      <c r="N4523" s="6" t="n">
        <v>550</v>
      </c>
    </row>
    <row r="4524">
      <c r="A4524" s="1" t="inlineStr">
        <is>
          <t>86347033399725</t>
        </is>
      </c>
      <c r="B4524" s="1" t="inlineStr">
        <is>
          <t>ANILLO KNOT DOBLE GOLD ZIRCONIAS</t>
        </is>
      </c>
      <c r="C4524" s="1" t="n">
        <v>7</v>
      </c>
      <c r="D4524" s="1" t="inlineStr">
        <is>
          <t>22/10/2025</t>
        </is>
      </c>
      <c r="E4524" s="1" t="n">
        <v>2025</v>
      </c>
      <c r="F4524" s="1" t="inlineStr">
        <is>
          <t>OCTUBRE</t>
        </is>
      </c>
      <c r="G4524" s="1" t="inlineStr">
        <is>
          <t>HAIFENG</t>
        </is>
      </c>
      <c r="H4524" s="1" t="inlineStr">
        <is>
          <t>HAIFENG 22/10/2025</t>
        </is>
      </c>
      <c r="I4524" s="4" t="n">
        <v>2</v>
      </c>
      <c r="J4524" s="6" t="n">
        <v>6.5</v>
      </c>
      <c r="K4524" s="6" t="n">
        <v>137.3337031</v>
      </c>
      <c r="L4524" s="6">
        <f>I4524*K4524</f>
        <v/>
      </c>
      <c r="M4524" s="6">
        <f>K4524*4</f>
        <v/>
      </c>
      <c r="N4524" s="6" t="n">
        <v>550</v>
      </c>
    </row>
    <row r="4525">
      <c r="A4525" s="1" t="inlineStr">
        <is>
          <t>86347033399725</t>
        </is>
      </c>
      <c r="B4525" s="1" t="inlineStr">
        <is>
          <t>ANILLO KNOT DOBLE GOLD ZIRCONIAS</t>
        </is>
      </c>
      <c r="C4525" s="1" t="inlineStr">
        <is>
          <t>7</t>
        </is>
      </c>
      <c r="D4525" s="1" t="inlineStr">
        <is>
          <t>20/01/2026</t>
        </is>
      </c>
      <c r="E4525" s="1" t="n">
        <v>2026</v>
      </c>
      <c r="F4525" s="1" t="inlineStr">
        <is>
          <t>ENERO</t>
        </is>
      </c>
      <c r="G4525" s="1" t="inlineStr">
        <is>
          <t>HAIFENG</t>
        </is>
      </c>
      <c r="H4525" s="1" t="inlineStr">
        <is>
          <t>HAIFENG 20/01/2026</t>
        </is>
      </c>
      <c r="I4525" s="4" t="n">
        <v>3</v>
      </c>
      <c r="J4525" s="6" t="n">
        <v>6.5</v>
      </c>
      <c r="K4525" s="6" t="n">
        <v>137.8027156</v>
      </c>
      <c r="L4525" s="6">
        <f>I4525*K4525</f>
        <v/>
      </c>
      <c r="M4525" s="6">
        <f>K4525*4</f>
        <v/>
      </c>
      <c r="N4525" s="6" t="n">
        <v>550</v>
      </c>
    </row>
    <row r="4526">
      <c r="A4526" s="1" t="inlineStr">
        <is>
          <t>86347033399725</t>
        </is>
      </c>
      <c r="B4526" s="1" t="n"/>
      <c r="C4526" s="1" t="inlineStr">
        <is>
          <t>7</t>
        </is>
      </c>
      <c r="D4526" s="1" t="inlineStr">
        <is>
          <t>10/02/2026</t>
        </is>
      </c>
      <c r="E4526" s="1" t="n">
        <v>2026</v>
      </c>
      <c r="F4526" s="1" t="inlineStr">
        <is>
          <t>FEBRERO</t>
        </is>
      </c>
      <c r="G4526" s="1" t="inlineStr">
        <is>
          <t>HAIFENG</t>
        </is>
      </c>
      <c r="H4526" s="1" t="inlineStr">
        <is>
          <t>HAIFENG 10/02/2026</t>
        </is>
      </c>
      <c r="I4526" s="4" t="n">
        <v>1</v>
      </c>
      <c r="J4526" s="6" t="n">
        <v>6.5</v>
      </c>
      <c r="K4526" s="6" t="n">
        <v>136.9452244</v>
      </c>
      <c r="L4526" s="6">
        <f>I4526*K4526</f>
        <v/>
      </c>
      <c r="M4526" s="6">
        <f>K4526*4</f>
        <v/>
      </c>
      <c r="N4526" s="6" t="n">
        <v>550</v>
      </c>
    </row>
    <row r="4527">
      <c r="A4527" s="1" t="inlineStr">
        <is>
          <t>86347033399725</t>
        </is>
      </c>
      <c r="B4527" s="1" t="inlineStr">
        <is>
          <t>ANILLO KNOT DOBLE GOLD ZIRCONIAS</t>
        </is>
      </c>
      <c r="C4527" s="1" t="inlineStr">
        <is>
          <t>7</t>
        </is>
      </c>
      <c r="D4527" s="1" t="inlineStr">
        <is>
          <t>16/04/2026</t>
        </is>
      </c>
      <c r="E4527" s="1" t="n">
        <v>2026</v>
      </c>
      <c r="F4527" s="1" t="inlineStr">
        <is>
          <t>ABRIL</t>
        </is>
      </c>
      <c r="G4527" s="1" t="inlineStr">
        <is>
          <t>HAIFENG</t>
        </is>
      </c>
      <c r="H4527" s="1" t="inlineStr">
        <is>
          <t>HAIFENG 16/04/2026</t>
        </is>
      </c>
      <c r="I4527" s="4" t="n">
        <v>4</v>
      </c>
      <c r="J4527" s="6" t="n">
        <v>6.5</v>
      </c>
      <c r="K4527" s="6" t="n">
        <v>136.7045783</v>
      </c>
      <c r="L4527" s="6">
        <f>I4527*K4527</f>
        <v/>
      </c>
      <c r="M4527" s="6">
        <f>K4527*4</f>
        <v/>
      </c>
      <c r="N4527" s="6" t="n">
        <v>550</v>
      </c>
    </row>
    <row r="4528">
      <c r="A4528" s="1" t="inlineStr">
        <is>
          <t>86347033399725</t>
        </is>
      </c>
      <c r="B4528" s="1" t="inlineStr">
        <is>
          <t>ANILLO KNOT DOBLE GOLD ZIRCONIAS</t>
        </is>
      </c>
      <c r="C4528" s="1" t="inlineStr">
        <is>
          <t>7</t>
        </is>
      </c>
      <c r="D4528" s="1" t="inlineStr">
        <is>
          <t>26/05/2026</t>
        </is>
      </c>
      <c r="E4528" s="1" t="n">
        <v>2026</v>
      </c>
      <c r="F4528" s="1" t="inlineStr">
        <is>
          <t>MAYO</t>
        </is>
      </c>
      <c r="G4528" s="1" t="inlineStr">
        <is>
          <t>HAIFENG</t>
        </is>
      </c>
      <c r="H4528" s="1" t="inlineStr">
        <is>
          <t>HAIFENG 26/05/2026</t>
        </is>
      </c>
      <c r="I4528" s="4" t="n">
        <v>3</v>
      </c>
      <c r="J4528" s="6" t="n">
        <v>6.5</v>
      </c>
      <c r="K4528" s="6" t="n">
        <v>136.4304194</v>
      </c>
      <c r="L4528" s="6">
        <f>I4528*K4528</f>
        <v/>
      </c>
      <c r="M4528" s="6">
        <f>K4528*4</f>
        <v/>
      </c>
      <c r="N4528" s="6" t="n">
        <v>550</v>
      </c>
    </row>
    <row r="4529">
      <c r="A4529" s="1" t="inlineStr">
        <is>
          <t>86347033399725</t>
        </is>
      </c>
      <c r="B4529" s="1" t="inlineStr">
        <is>
          <t>ANILLO KNOT DOBLE GOLD ZIRCONIAS</t>
        </is>
      </c>
      <c r="C4529" s="1" t="inlineStr">
        <is>
          <t>7</t>
        </is>
      </c>
      <c r="D4529" s="1" t="inlineStr">
        <is>
          <t>16/06/2026</t>
        </is>
      </c>
      <c r="E4529" s="1" t="n">
        <v>2026</v>
      </c>
      <c r="F4529" s="1" t="inlineStr">
        <is>
          <t>JUNIO</t>
        </is>
      </c>
      <c r="G4529" s="1" t="inlineStr">
        <is>
          <t>HAIFENG</t>
        </is>
      </c>
      <c r="H4529" s="1" t="inlineStr">
        <is>
          <t>HAIFENG 16/06/2026</t>
        </is>
      </c>
      <c r="I4529" s="4" t="n">
        <v>5</v>
      </c>
      <c r="J4529" s="6" t="n">
        <v>6.5</v>
      </c>
      <c r="K4529" s="6" t="n">
        <v>136.594942</v>
      </c>
      <c r="L4529" s="6">
        <f>I4529*K4529</f>
        <v/>
      </c>
      <c r="M4529" s="6">
        <f>K4529*4</f>
        <v/>
      </c>
      <c r="N4529" s="6" t="n">
        <v>550</v>
      </c>
    </row>
    <row r="4530">
      <c r="A4530" s="1" t="inlineStr">
        <is>
          <t>86347033456237</t>
        </is>
      </c>
      <c r="B4530" s="1" t="inlineStr">
        <is>
          <t>PULSERA TITAN GOLD ZIRCONIAS</t>
        </is>
      </c>
      <c r="C4530" s="1" t="inlineStr">
        <is>
          <t>Default Title</t>
        </is>
      </c>
      <c r="D4530" s="1" t="inlineStr">
        <is>
          <t>22/10/2025</t>
        </is>
      </c>
      <c r="E4530" s="1" t="n">
        <v>2025</v>
      </c>
      <c r="F4530" s="1" t="inlineStr">
        <is>
          <t>OCTUBRE</t>
        </is>
      </c>
      <c r="G4530" s="1" t="inlineStr">
        <is>
          <t>HAIFENG</t>
        </is>
      </c>
      <c r="H4530" s="1" t="inlineStr">
        <is>
          <t>HAIFENG 22/10/2025</t>
        </is>
      </c>
      <c r="I4530" s="4" t="n">
        <v>2</v>
      </c>
      <c r="J4530" s="6" t="n">
        <v>10</v>
      </c>
      <c r="K4530" s="6" t="n">
        <v>211.2826202</v>
      </c>
      <c r="L4530" s="6">
        <f>I4530*K4530</f>
        <v/>
      </c>
      <c r="M4530" s="6">
        <f>K4530*4</f>
        <v/>
      </c>
      <c r="N4530" s="6" t="n">
        <v>824</v>
      </c>
    </row>
    <row r="4531">
      <c r="A4531" s="1" t="inlineStr">
        <is>
          <t>86347033456237</t>
        </is>
      </c>
      <c r="B4531" s="1" t="inlineStr">
        <is>
          <t>BRAZALETE TITAN GOLD ZIRCONIAS</t>
        </is>
      </c>
      <c r="C4531" s="1" t="inlineStr">
        <is>
          <t>Default Title</t>
        </is>
      </c>
      <c r="D4531" s="1" t="inlineStr">
        <is>
          <t>20/01/2026</t>
        </is>
      </c>
      <c r="E4531" s="1" t="n">
        <v>2026</v>
      </c>
      <c r="F4531" s="1" t="inlineStr">
        <is>
          <t>ENERO</t>
        </is>
      </c>
      <c r="G4531" s="1" t="inlineStr">
        <is>
          <t>HAIFENG</t>
        </is>
      </c>
      <c r="H4531" s="1" t="inlineStr">
        <is>
          <t>HAIFENG 20/01/2026</t>
        </is>
      </c>
      <c r="I4531" s="4" t="n">
        <v>4</v>
      </c>
      <c r="J4531" s="6" t="n">
        <v>10</v>
      </c>
      <c r="K4531" s="6" t="n">
        <v>212.0041779</v>
      </c>
      <c r="L4531" s="6">
        <f>I4531*K4531</f>
        <v/>
      </c>
      <c r="M4531" s="6">
        <f>K4531*4</f>
        <v/>
      </c>
      <c r="N4531" s="6" t="n">
        <v>824</v>
      </c>
    </row>
    <row r="4532">
      <c r="A4532" s="1" t="inlineStr">
        <is>
          <t>86347033456237</t>
        </is>
      </c>
      <c r="B4532" s="1" t="inlineStr">
        <is>
          <t>PULSERA TITAN GOLD ZIRCONIAS</t>
        </is>
      </c>
      <c r="C4532" s="1" t="inlineStr">
        <is>
          <t>Default Title</t>
        </is>
      </c>
      <c r="D4532" s="1" t="inlineStr">
        <is>
          <t>10/02/2026</t>
        </is>
      </c>
      <c r="E4532" s="1" t="n">
        <v>2026</v>
      </c>
      <c r="F4532" s="1" t="inlineStr">
        <is>
          <t>FEBRERO</t>
        </is>
      </c>
      <c r="G4532" s="1" t="inlineStr">
        <is>
          <t>HAIFENG</t>
        </is>
      </c>
      <c r="H4532" s="1" t="inlineStr">
        <is>
          <t>HAIFENG 10/02/2026</t>
        </is>
      </c>
      <c r="I4532" s="4" t="n">
        <v>2</v>
      </c>
      <c r="J4532" s="6" t="n">
        <v>10</v>
      </c>
      <c r="K4532" s="6" t="n">
        <v>210.6849607</v>
      </c>
      <c r="L4532" s="6">
        <f>I4532*K4532</f>
        <v/>
      </c>
      <c r="M4532" s="6">
        <f>K4532*4</f>
        <v/>
      </c>
      <c r="N4532" s="6" t="n">
        <v>824</v>
      </c>
    </row>
    <row r="4533">
      <c r="A4533" s="1" t="inlineStr">
        <is>
          <t>86347033456237</t>
        </is>
      </c>
      <c r="B4533" s="1" t="inlineStr">
        <is>
          <t>BRAZALETE TITAN GOLD ZIRCONIAS</t>
        </is>
      </c>
      <c r="C4533" s="1" t="inlineStr">
        <is>
          <t>Default Title</t>
        </is>
      </c>
      <c r="D4533" s="1" t="inlineStr">
        <is>
          <t>11/03/2026</t>
        </is>
      </c>
      <c r="E4533" s="1" t="n">
        <v>2026</v>
      </c>
      <c r="F4533" s="1" t="inlineStr">
        <is>
          <t>MARZO</t>
        </is>
      </c>
      <c r="G4533" s="1" t="inlineStr">
        <is>
          <t>HAIFENG</t>
        </is>
      </c>
      <c r="H4533" s="1" t="inlineStr">
        <is>
          <t>HAIFENG 11/03/2026</t>
        </is>
      </c>
      <c r="I4533" s="4" t="n">
        <v>2</v>
      </c>
      <c r="J4533" s="6" t="n">
        <v>10</v>
      </c>
      <c r="K4533" s="6" t="n">
        <v>213.0389622</v>
      </c>
      <c r="L4533" s="6">
        <f>I4533*K4533</f>
        <v/>
      </c>
      <c r="M4533" s="6">
        <f>K4533*4</f>
        <v/>
      </c>
      <c r="N4533" s="6" t="n">
        <v>824</v>
      </c>
    </row>
    <row r="4534">
      <c r="A4534" s="1" t="inlineStr">
        <is>
          <t>86347033456237</t>
        </is>
      </c>
      <c r="B4534" s="1" t="inlineStr">
        <is>
          <t>BRAZALETE TITAN GOLD ZIRCONIAS</t>
        </is>
      </c>
      <c r="C4534" s="1" t="inlineStr">
        <is>
          <t>Default Title</t>
        </is>
      </c>
      <c r="D4534" s="1" t="inlineStr">
        <is>
          <t>06/05/2026</t>
        </is>
      </c>
      <c r="E4534" s="1" t="n">
        <v>2026</v>
      </c>
      <c r="F4534" s="1" t="inlineStr">
        <is>
          <t>MAYO</t>
        </is>
      </c>
      <c r="G4534" s="1" t="inlineStr">
        <is>
          <t>HAIFENG</t>
        </is>
      </c>
      <c r="H4534" s="1" t="inlineStr">
        <is>
          <t>HAIFENG 06/05/2026</t>
        </is>
      </c>
      <c r="I4534" s="4" t="n">
        <v>2</v>
      </c>
      <c r="J4534" s="6" t="n">
        <v>10</v>
      </c>
      <c r="K4534" s="6" t="n">
        <v>212.1864227</v>
      </c>
      <c r="L4534" s="6">
        <f>I4534*K4534</f>
        <v/>
      </c>
      <c r="M4534" s="6">
        <f>K4534*4</f>
        <v/>
      </c>
      <c r="N4534" s="6" t="n">
        <v>824</v>
      </c>
    </row>
    <row r="4535">
      <c r="A4535" s="1" t="inlineStr">
        <is>
          <t>86347033612749</t>
        </is>
      </c>
      <c r="B4535" s="1" t="inlineStr">
        <is>
          <t>PULSERA ESLABONES ROSEGOLD ZIRCONIA</t>
        </is>
      </c>
      <c r="C4535" s="1" t="inlineStr">
        <is>
          <t>Default Title</t>
        </is>
      </c>
      <c r="D4535" s="1" t="inlineStr">
        <is>
          <t>22/10/2025</t>
        </is>
      </c>
      <c r="E4535" s="1" t="n">
        <v>2025</v>
      </c>
      <c r="F4535" s="1" t="inlineStr">
        <is>
          <t>OCTUBRE</t>
        </is>
      </c>
      <c r="G4535" s="1" t="inlineStr">
        <is>
          <t>HAIFENG</t>
        </is>
      </c>
      <c r="H4535" s="1" t="inlineStr">
        <is>
          <t>HAIFENG 22/10/2025</t>
        </is>
      </c>
      <c r="I4535" s="4" t="n">
        <v>2</v>
      </c>
      <c r="J4535" s="6" t="n">
        <v>10</v>
      </c>
      <c r="K4535" s="6" t="n">
        <v>211.2826202</v>
      </c>
      <c r="L4535" s="6">
        <f>I4535*K4535</f>
        <v/>
      </c>
      <c r="M4535" s="6">
        <f>K4535*4</f>
        <v/>
      </c>
      <c r="N4535" s="6" t="n">
        <v>824</v>
      </c>
    </row>
    <row r="4536">
      <c r="A4536" s="1" t="inlineStr">
        <is>
          <t>86347033612749</t>
        </is>
      </c>
      <c r="B4536" s="1" t="inlineStr">
        <is>
          <t>PULSERA ESLABONES ROSEGOLD ZIRCONIA</t>
        </is>
      </c>
      <c r="C4536" s="1" t="inlineStr">
        <is>
          <t>Default Title</t>
        </is>
      </c>
      <c r="D4536" s="1" t="inlineStr">
        <is>
          <t>20/01/2026</t>
        </is>
      </c>
      <c r="E4536" s="1" t="n">
        <v>2026</v>
      </c>
      <c r="F4536" s="1" t="inlineStr">
        <is>
          <t>ENERO</t>
        </is>
      </c>
      <c r="G4536" s="1" t="inlineStr">
        <is>
          <t>HAIFENG</t>
        </is>
      </c>
      <c r="H4536" s="1" t="inlineStr">
        <is>
          <t>HAIFENG 20/01/2026</t>
        </is>
      </c>
      <c r="I4536" s="4" t="n">
        <v>2</v>
      </c>
      <c r="J4536" s="6" t="n">
        <v>10</v>
      </c>
      <c r="K4536" s="6" t="n">
        <v>212.0041779</v>
      </c>
      <c r="L4536" s="6">
        <f>I4536*K4536</f>
        <v/>
      </c>
      <c r="M4536" s="6">
        <f>K4536*4</f>
        <v/>
      </c>
      <c r="N4536" s="6" t="n">
        <v>824</v>
      </c>
    </row>
    <row r="4537">
      <c r="A4537" s="1" t="inlineStr">
        <is>
          <t>86347033612749</t>
        </is>
      </c>
      <c r="B4537" s="1" t="inlineStr">
        <is>
          <t>PULSERA ESLABONES ROSEGOLD ZIRCONIA</t>
        </is>
      </c>
      <c r="C4537" s="1" t="inlineStr">
        <is>
          <t>Default Title</t>
        </is>
      </c>
      <c r="D4537" s="1" t="inlineStr">
        <is>
          <t>10/02/2026</t>
        </is>
      </c>
      <c r="E4537" s="1" t="n">
        <v>2026</v>
      </c>
      <c r="F4537" s="1" t="inlineStr">
        <is>
          <t>FEBRERO</t>
        </is>
      </c>
      <c r="G4537" s="1" t="inlineStr">
        <is>
          <t>HAIFENG</t>
        </is>
      </c>
      <c r="H4537" s="1" t="inlineStr">
        <is>
          <t>HAIFENG 10/02/2026</t>
        </is>
      </c>
      <c r="I4537" s="4" t="n">
        <v>3</v>
      </c>
      <c r="J4537" s="6" t="n">
        <v>10</v>
      </c>
      <c r="K4537" s="6" t="n">
        <v>210.6849607</v>
      </c>
      <c r="L4537" s="6">
        <f>I4537*K4537</f>
        <v/>
      </c>
      <c r="M4537" s="6">
        <f>K4537*4</f>
        <v/>
      </c>
      <c r="N4537" s="6" t="n">
        <v>824</v>
      </c>
    </row>
    <row r="4538">
      <c r="A4538" s="1" t="inlineStr">
        <is>
          <t>86347033612749</t>
        </is>
      </c>
      <c r="B4538" s="1" t="inlineStr">
        <is>
          <t>PULSERA ESLABONES ROSEGOLD ZIRCONIA</t>
        </is>
      </c>
      <c r="C4538" s="1" t="inlineStr">
        <is>
          <t>Default Title</t>
        </is>
      </c>
      <c r="D4538" s="1" t="inlineStr">
        <is>
          <t>16/04/2026</t>
        </is>
      </c>
      <c r="E4538" s="1" t="n">
        <v>2026</v>
      </c>
      <c r="F4538" s="1" t="inlineStr">
        <is>
          <t>ABRIL</t>
        </is>
      </c>
      <c r="G4538" s="1" t="inlineStr">
        <is>
          <t>HAIFENG</t>
        </is>
      </c>
      <c r="H4538" s="1" t="inlineStr">
        <is>
          <t>HAIFENG 16/04/2026</t>
        </is>
      </c>
      <c r="I4538" s="4" t="n">
        <v>2</v>
      </c>
      <c r="J4538" s="6" t="n">
        <v>10</v>
      </c>
      <c r="K4538" s="6" t="n">
        <v>210.3147359</v>
      </c>
      <c r="L4538" s="6">
        <f>I4538*K4538</f>
        <v/>
      </c>
      <c r="M4538" s="6">
        <f>K4538*4</f>
        <v/>
      </c>
      <c r="N4538" s="6" t="n">
        <v>824</v>
      </c>
    </row>
    <row r="4539">
      <c r="A4539" s="1" t="inlineStr">
        <is>
          <t>86347033785069</t>
        </is>
      </c>
      <c r="B4539" s="1" t="inlineStr">
        <is>
          <t>ARRACADAS KNOT ROSEGOLD ZIRCONIAS</t>
        </is>
      </c>
      <c r="C4539" s="1" t="inlineStr">
        <is>
          <t>Default Title</t>
        </is>
      </c>
      <c r="D4539" s="1" t="inlineStr">
        <is>
          <t>22/10/2025</t>
        </is>
      </c>
      <c r="E4539" s="1" t="n">
        <v>2025</v>
      </c>
      <c r="F4539" s="1" t="inlineStr">
        <is>
          <t>OCTUBRE</t>
        </is>
      </c>
      <c r="G4539" s="1" t="inlineStr">
        <is>
          <t>HAIFENG</t>
        </is>
      </c>
      <c r="H4539" s="1" t="inlineStr">
        <is>
          <t>HAIFENG 22/10/2025</t>
        </is>
      </c>
      <c r="I4539" s="4" t="n">
        <v>2</v>
      </c>
      <c r="J4539" s="6" t="n">
        <v>7</v>
      </c>
      <c r="K4539" s="6" t="n">
        <v>147.8978341</v>
      </c>
      <c r="L4539" s="6">
        <f>I4539*K4539</f>
        <v/>
      </c>
      <c r="M4539" s="6">
        <f>K4539*4</f>
        <v/>
      </c>
      <c r="N4539" s="6" t="n">
        <v>670</v>
      </c>
    </row>
    <row r="4540">
      <c r="A4540" s="1" t="inlineStr">
        <is>
          <t>86347033785069</t>
        </is>
      </c>
      <c r="B4540" s="1" t="inlineStr">
        <is>
          <t>ARRACADAS KNOT ROSEGOLD ZIRCONIAS</t>
        </is>
      </c>
      <c r="C4540" s="1" t="inlineStr">
        <is>
          <t>Default Title</t>
        </is>
      </c>
      <c r="D4540" s="1" t="inlineStr">
        <is>
          <t>20/01/2026</t>
        </is>
      </c>
      <c r="E4540" s="1" t="n">
        <v>2026</v>
      </c>
      <c r="F4540" s="1" t="inlineStr">
        <is>
          <t>ENERO</t>
        </is>
      </c>
      <c r="G4540" s="1" t="inlineStr">
        <is>
          <t>HAIFENG</t>
        </is>
      </c>
      <c r="H4540" s="1" t="inlineStr">
        <is>
          <t>HAIFENG 20/01/2026</t>
        </is>
      </c>
      <c r="I4540" s="4" t="n">
        <v>3</v>
      </c>
      <c r="J4540" s="6" t="n">
        <v>8</v>
      </c>
      <c r="K4540" s="6" t="n">
        <v>169.6033423</v>
      </c>
      <c r="L4540" s="6">
        <f>I4540*K4540</f>
        <v/>
      </c>
      <c r="M4540" s="6">
        <f>K4540*4</f>
        <v/>
      </c>
      <c r="N4540" s="6" t="n">
        <v>670</v>
      </c>
    </row>
    <row r="4541">
      <c r="A4541" s="1" t="inlineStr">
        <is>
          <t>86347033785069</t>
        </is>
      </c>
      <c r="B4541" s="1" t="inlineStr">
        <is>
          <t>ARRACADAS KNOT ROSEGOLD ZIRCONIAS</t>
        </is>
      </c>
      <c r="C4541" s="1" t="inlineStr">
        <is>
          <t>Default Title</t>
        </is>
      </c>
      <c r="D4541" s="1" t="inlineStr">
        <is>
          <t>10/02/2026</t>
        </is>
      </c>
      <c r="E4541" s="1" t="n">
        <v>2026</v>
      </c>
      <c r="F4541" s="1" t="inlineStr">
        <is>
          <t>FEBRERO</t>
        </is>
      </c>
      <c r="G4541" s="1" t="inlineStr">
        <is>
          <t>HAIFENG</t>
        </is>
      </c>
      <c r="H4541" s="1" t="inlineStr">
        <is>
          <t>HAIFENG 10/02/2026</t>
        </is>
      </c>
      <c r="I4541" s="4" t="n">
        <v>2</v>
      </c>
      <c r="J4541" s="6" t="n">
        <v>8</v>
      </c>
      <c r="K4541" s="6" t="n">
        <v>168.5479685</v>
      </c>
      <c r="L4541" s="6">
        <f>I4541*K4541</f>
        <v/>
      </c>
      <c r="M4541" s="6">
        <f>K4541*4</f>
        <v/>
      </c>
      <c r="N4541" s="6" t="n">
        <v>670</v>
      </c>
    </row>
    <row r="4542">
      <c r="A4542" s="1" t="inlineStr">
        <is>
          <t>86347033785069</t>
        </is>
      </c>
      <c r="B4542" s="1" t="inlineStr">
        <is>
          <t>ARRACADAS KNOT ROSEGOLD ZIRCONIAS</t>
        </is>
      </c>
      <c r="C4542" s="1" t="inlineStr">
        <is>
          <t>Default Title</t>
        </is>
      </c>
      <c r="D4542" s="1" t="inlineStr">
        <is>
          <t>11/03/2026</t>
        </is>
      </c>
      <c r="E4542" s="1" t="n">
        <v>2026</v>
      </c>
      <c r="F4542" s="1" t="inlineStr">
        <is>
          <t>MARZO</t>
        </is>
      </c>
      <c r="G4542" s="1" t="inlineStr">
        <is>
          <t>HAIFENG</t>
        </is>
      </c>
      <c r="H4542" s="1" t="inlineStr">
        <is>
          <t>HAIFENG 11/03/2026</t>
        </is>
      </c>
      <c r="I4542" s="4" t="n">
        <v>2</v>
      </c>
      <c r="J4542" s="6" t="n">
        <v>8</v>
      </c>
      <c r="K4542" s="6" t="n">
        <v>170.4311697</v>
      </c>
      <c r="L4542" s="6">
        <f>I4542*K4542</f>
        <v/>
      </c>
      <c r="M4542" s="6">
        <f>K4542*4</f>
        <v/>
      </c>
      <c r="N4542" s="6" t="n">
        <v>670</v>
      </c>
    </row>
    <row r="4543">
      <c r="A4543" s="1" t="inlineStr">
        <is>
          <t>86347033785069</t>
        </is>
      </c>
      <c r="B4543" s="1" t="inlineStr">
        <is>
          <t>ARRACADAS KNOT ROSEGOLD ZIRCONIAS</t>
        </is>
      </c>
      <c r="C4543" s="1" t="inlineStr">
        <is>
          <t>Default Title</t>
        </is>
      </c>
      <c r="D4543" s="1" t="inlineStr">
        <is>
          <t>16/04/2026</t>
        </is>
      </c>
      <c r="E4543" s="1" t="n">
        <v>2026</v>
      </c>
      <c r="F4543" s="1" t="inlineStr">
        <is>
          <t>ABRIL</t>
        </is>
      </c>
      <c r="G4543" s="1" t="inlineStr">
        <is>
          <t>HAIFENG</t>
        </is>
      </c>
      <c r="H4543" s="1" t="inlineStr">
        <is>
          <t>HAIFENG 16/04/2026</t>
        </is>
      </c>
      <c r="I4543" s="4" t="n">
        <v>3</v>
      </c>
      <c r="J4543" s="6" t="n">
        <v>8</v>
      </c>
      <c r="K4543" s="6" t="n">
        <v>168.2517887</v>
      </c>
      <c r="L4543" s="6">
        <f>I4543*K4543</f>
        <v/>
      </c>
      <c r="M4543" s="6">
        <f>K4543*4</f>
        <v/>
      </c>
      <c r="N4543" s="6" t="n">
        <v>670</v>
      </c>
    </row>
    <row r="4544">
      <c r="A4544" s="1" t="inlineStr">
        <is>
          <t>86347033884525</t>
        </is>
      </c>
      <c r="B4544" s="1" t="inlineStr">
        <is>
          <t>BRAZALETE PERETTI GOLD ZIRCONIAS</t>
        </is>
      </c>
      <c r="C4544" s="1" t="inlineStr">
        <is>
          <t>Default Title</t>
        </is>
      </c>
      <c r="D4544" s="1" t="inlineStr">
        <is>
          <t>20/01/2026</t>
        </is>
      </c>
      <c r="E4544" s="1" t="n">
        <v>2026</v>
      </c>
      <c r="F4544" s="1" t="inlineStr">
        <is>
          <t>ENERO</t>
        </is>
      </c>
      <c r="G4544" s="1" t="inlineStr">
        <is>
          <t>HAIFENG</t>
        </is>
      </c>
      <c r="H4544" s="1" t="inlineStr">
        <is>
          <t>HAIFENG 20/01/2026</t>
        </is>
      </c>
      <c r="I4544" s="4" t="n">
        <v>4</v>
      </c>
      <c r="J4544" s="6" t="n">
        <v>8</v>
      </c>
      <c r="K4544" s="6" t="n">
        <v>169.6033423</v>
      </c>
      <c r="L4544" s="6">
        <f>I4544*K4544</f>
        <v/>
      </c>
      <c r="M4544" s="6">
        <f>K4544*4</f>
        <v/>
      </c>
      <c r="N4544" s="6" t="n">
        <v>740</v>
      </c>
    </row>
    <row r="4545">
      <c r="A4545" s="1" t="inlineStr">
        <is>
          <t>86347033884525</t>
        </is>
      </c>
      <c r="B4545" s="1" t="inlineStr">
        <is>
          <t>BRAZALETE PERETTI GOLD ZIRCONIAS</t>
        </is>
      </c>
      <c r="C4545" s="1" t="inlineStr">
        <is>
          <t>Default Title</t>
        </is>
      </c>
      <c r="D4545" s="1" t="inlineStr">
        <is>
          <t>10/02/2026</t>
        </is>
      </c>
      <c r="E4545" s="1" t="n">
        <v>2026</v>
      </c>
      <c r="F4545" s="1" t="inlineStr">
        <is>
          <t>FEBRERO</t>
        </is>
      </c>
      <c r="G4545" s="1" t="inlineStr">
        <is>
          <t>HAIFENG</t>
        </is>
      </c>
      <c r="H4545" s="1" t="inlineStr">
        <is>
          <t>HAIFENG 10/02/2026</t>
        </is>
      </c>
      <c r="I4545" s="4" t="n">
        <v>2</v>
      </c>
      <c r="J4545" s="6" t="n">
        <v>8</v>
      </c>
      <c r="K4545" s="6" t="n">
        <v>168.5479685</v>
      </c>
      <c r="L4545" s="6">
        <f>I4545*K4545</f>
        <v/>
      </c>
      <c r="M4545" s="6">
        <f>K4545*4</f>
        <v/>
      </c>
      <c r="N4545" s="6" t="n">
        <v>740</v>
      </c>
    </row>
    <row r="4546">
      <c r="A4546" s="1" t="inlineStr">
        <is>
          <t>86347033994701</t>
        </is>
      </c>
      <c r="B4546" s="1" t="inlineStr">
        <is>
          <t>COLLAR SIXTEEN STONE SCHLUM</t>
        </is>
      </c>
      <c r="C4546" s="1" t="inlineStr">
        <is>
          <t>Default Title</t>
        </is>
      </c>
      <c r="D4546" s="1" t="inlineStr">
        <is>
          <t>22/10/2025</t>
        </is>
      </c>
      <c r="E4546" s="1" t="n">
        <v>2025</v>
      </c>
      <c r="F4546" s="1" t="inlineStr">
        <is>
          <t>OCTUBRE</t>
        </is>
      </c>
      <c r="G4546" s="1" t="inlineStr">
        <is>
          <t>HAIFENG</t>
        </is>
      </c>
      <c r="H4546" s="1" t="inlineStr">
        <is>
          <t>HAIFENG 22/10/2025</t>
        </is>
      </c>
      <c r="I4546" s="4" t="n">
        <v>2</v>
      </c>
      <c r="J4546" s="6" t="n">
        <v>6</v>
      </c>
      <c r="K4546" s="6" t="n">
        <v>126.7695721</v>
      </c>
      <c r="L4546" s="6">
        <f>I4546*K4546</f>
        <v/>
      </c>
      <c r="M4546" s="6">
        <f>K4546*4</f>
        <v/>
      </c>
      <c r="N4546" s="6" t="n">
        <v>495</v>
      </c>
    </row>
    <row r="4547">
      <c r="A4547" s="1" t="inlineStr">
        <is>
          <t>86347033994701</t>
        </is>
      </c>
      <c r="B4547" s="1" t="inlineStr">
        <is>
          <t>COLLAR SIXTEEN STONE SCHLUM</t>
        </is>
      </c>
      <c r="C4547" s="1" t="inlineStr">
        <is>
          <t>Default Title</t>
        </is>
      </c>
      <c r="D4547" s="1" t="inlineStr">
        <is>
          <t>20/01/2026</t>
        </is>
      </c>
      <c r="E4547" s="1" t="n">
        <v>2026</v>
      </c>
      <c r="F4547" s="1" t="inlineStr">
        <is>
          <t>ENERO</t>
        </is>
      </c>
      <c r="G4547" s="1" t="inlineStr">
        <is>
          <t>HAIFENG</t>
        </is>
      </c>
      <c r="H4547" s="1" t="inlineStr">
        <is>
          <t>HAIFENG 20/01/2026</t>
        </is>
      </c>
      <c r="I4547" s="4" t="n">
        <v>4</v>
      </c>
      <c r="J4547" s="6" t="n">
        <v>6</v>
      </c>
      <c r="K4547" s="6" t="n">
        <v>127.2025068</v>
      </c>
      <c r="L4547" s="6">
        <f>I4547*K4547</f>
        <v/>
      </c>
      <c r="M4547" s="6">
        <f>K4547*4</f>
        <v/>
      </c>
      <c r="N4547" s="6" t="n">
        <v>495</v>
      </c>
    </row>
    <row r="4548">
      <c r="A4548" s="1" t="inlineStr">
        <is>
          <t>86347033994701</t>
        </is>
      </c>
      <c r="B4548" s="1" t="inlineStr">
        <is>
          <t>COLLAR SIXTEEN STONE SCHLUM</t>
        </is>
      </c>
      <c r="C4548" s="1" t="inlineStr">
        <is>
          <t>Default Title</t>
        </is>
      </c>
      <c r="D4548" s="1" t="inlineStr">
        <is>
          <t>10/02/2026</t>
        </is>
      </c>
      <c r="E4548" s="1" t="n">
        <v>2026</v>
      </c>
      <c r="F4548" s="1" t="inlineStr">
        <is>
          <t>FEBRERO</t>
        </is>
      </c>
      <c r="G4548" s="1" t="inlineStr">
        <is>
          <t>HAIFENG</t>
        </is>
      </c>
      <c r="H4548" s="1" t="inlineStr">
        <is>
          <t>HAIFENG 10/02/2026</t>
        </is>
      </c>
      <c r="I4548" s="4" t="n">
        <v>2</v>
      </c>
      <c r="J4548" s="6" t="n">
        <v>6</v>
      </c>
      <c r="K4548" s="6" t="n">
        <v>126.4109764</v>
      </c>
      <c r="L4548" s="6">
        <f>I4548*K4548</f>
        <v/>
      </c>
      <c r="M4548" s="6">
        <f>K4548*4</f>
        <v/>
      </c>
      <c r="N4548" s="6" t="n">
        <v>495</v>
      </c>
    </row>
    <row r="4549">
      <c r="A4549" s="1" t="inlineStr">
        <is>
          <t>86347033994701</t>
        </is>
      </c>
      <c r="B4549" s="1" t="inlineStr">
        <is>
          <t>COLLAR SIXTEEN STONE SCHLUM</t>
        </is>
      </c>
      <c r="C4549" s="1" t="inlineStr">
        <is>
          <t>Default Title</t>
        </is>
      </c>
      <c r="D4549" s="1" t="inlineStr">
        <is>
          <t>06/05/2026</t>
        </is>
      </c>
      <c r="E4549" s="1" t="n">
        <v>2026</v>
      </c>
      <c r="F4549" s="1" t="inlineStr">
        <is>
          <t>MAYO</t>
        </is>
      </c>
      <c r="G4549" s="1" t="inlineStr">
        <is>
          <t>HAIFENG</t>
        </is>
      </c>
      <c r="H4549" s="1" t="inlineStr">
        <is>
          <t>HAIFENG 06/05/2026</t>
        </is>
      </c>
      <c r="I4549" s="4" t="n">
        <v>2</v>
      </c>
      <c r="J4549" s="6" t="n">
        <v>6</v>
      </c>
      <c r="K4549" s="6" t="n">
        <v>127.3118536</v>
      </c>
      <c r="L4549" s="6">
        <f>I4549*K4549</f>
        <v/>
      </c>
      <c r="M4549" s="6">
        <f>K4549*4</f>
        <v/>
      </c>
      <c r="N4549" s="6" t="n">
        <v>495</v>
      </c>
    </row>
    <row r="4550">
      <c r="A4550" s="1" t="inlineStr">
        <is>
          <t>86347034024077</t>
        </is>
      </c>
      <c r="B4550" s="1" t="inlineStr">
        <is>
          <t>COLLAR SIXTEEN STONE SCHLUM RED</t>
        </is>
      </c>
      <c r="C4550" s="1" t="inlineStr">
        <is>
          <t>Default Title</t>
        </is>
      </c>
      <c r="D4550" s="1" t="inlineStr">
        <is>
          <t>22/10/2025</t>
        </is>
      </c>
      <c r="E4550" s="1" t="n">
        <v>2025</v>
      </c>
      <c r="F4550" s="1" t="inlineStr">
        <is>
          <t>OCTUBRE</t>
        </is>
      </c>
      <c r="G4550" s="1" t="inlineStr">
        <is>
          <t>HAIFENG</t>
        </is>
      </c>
      <c r="H4550" s="1" t="inlineStr">
        <is>
          <t>HAIFENG 22/10/2025</t>
        </is>
      </c>
      <c r="I4550" s="4" t="n">
        <v>2</v>
      </c>
      <c r="J4550" s="6" t="n">
        <v>6</v>
      </c>
      <c r="K4550" s="6" t="n">
        <v>126.7695721</v>
      </c>
      <c r="L4550" s="6">
        <f>I4550*K4550</f>
        <v/>
      </c>
      <c r="M4550" s="6">
        <f>K4550*4</f>
        <v/>
      </c>
      <c r="N4550" s="6" t="n">
        <v>499</v>
      </c>
    </row>
    <row r="4551">
      <c r="A4551" s="1" t="inlineStr">
        <is>
          <t>86347034024077</t>
        </is>
      </c>
      <c r="B4551" s="1" t="inlineStr">
        <is>
          <t>COLLAR SIXTEEN STONE SCHLUM RED</t>
        </is>
      </c>
      <c r="C4551" s="1" t="inlineStr">
        <is>
          <t>Default Title</t>
        </is>
      </c>
      <c r="D4551" s="1" t="inlineStr">
        <is>
          <t>10/02/2026</t>
        </is>
      </c>
      <c r="E4551" s="1" t="n">
        <v>2026</v>
      </c>
      <c r="F4551" s="1" t="inlineStr">
        <is>
          <t>FEBRERO</t>
        </is>
      </c>
      <c r="G4551" s="1" t="inlineStr">
        <is>
          <t>HAIFENG</t>
        </is>
      </c>
      <c r="H4551" s="1" t="inlineStr">
        <is>
          <t>HAIFENG 10/02/2026</t>
        </is>
      </c>
      <c r="I4551" s="4" t="n">
        <v>2</v>
      </c>
      <c r="J4551" s="6" t="n">
        <v>6</v>
      </c>
      <c r="K4551" s="6" t="n">
        <v>126.4109764</v>
      </c>
      <c r="L4551" s="6">
        <f>I4551*K4551</f>
        <v/>
      </c>
      <c r="M4551" s="6">
        <f>K4551*4</f>
        <v/>
      </c>
      <c r="N4551" s="6" t="n">
        <v>499</v>
      </c>
    </row>
    <row r="4552">
      <c r="A4552" s="1" t="inlineStr">
        <is>
          <t>86347034024077</t>
        </is>
      </c>
      <c r="B4552" s="1" t="inlineStr">
        <is>
          <t>COLLAR SIXTEEN STONE SCHLUM RED</t>
        </is>
      </c>
      <c r="C4552" s="1" t="inlineStr">
        <is>
          <t>Default Title</t>
        </is>
      </c>
      <c r="D4552" s="1" t="inlineStr">
        <is>
          <t>16/04/2026</t>
        </is>
      </c>
      <c r="E4552" s="1" t="n">
        <v>2026</v>
      </c>
      <c r="F4552" s="1" t="inlineStr">
        <is>
          <t>ABRIL</t>
        </is>
      </c>
      <c r="G4552" s="1" t="inlineStr">
        <is>
          <t>HAIFENG</t>
        </is>
      </c>
      <c r="H4552" s="1" t="inlineStr">
        <is>
          <t>HAIFENG 16/04/2026</t>
        </is>
      </c>
      <c r="I4552" s="4" t="n">
        <v>2</v>
      </c>
      <c r="J4552" s="6" t="n">
        <v>6</v>
      </c>
      <c r="K4552" s="6" t="n">
        <v>126.1888415</v>
      </c>
      <c r="L4552" s="6">
        <f>I4552*K4552</f>
        <v/>
      </c>
      <c r="M4552" s="6">
        <f>K4552*4</f>
        <v/>
      </c>
      <c r="N4552" s="6" t="n">
        <v>499</v>
      </c>
    </row>
    <row r="4553">
      <c r="A4553" s="1" t="inlineStr">
        <is>
          <t>86741781048077</t>
        </is>
      </c>
      <c r="B4553" s="1" t="inlineStr">
        <is>
          <t>ARETES KNOT GOLD CON ZIRCONIAS</t>
        </is>
      </c>
      <c r="C4553" s="1" t="inlineStr">
        <is>
          <t>Default Title</t>
        </is>
      </c>
      <c r="D4553" s="1" t="inlineStr">
        <is>
          <t>16/04/2026</t>
        </is>
      </c>
      <c r="E4553" s="1" t="n">
        <v>2026</v>
      </c>
      <c r="F4553" s="1" t="inlineStr">
        <is>
          <t>ABRIL</t>
        </is>
      </c>
      <c r="G4553" s="1" t="inlineStr">
        <is>
          <t>HAIFENG</t>
        </is>
      </c>
      <c r="H4553" s="1" t="inlineStr">
        <is>
          <t>HAIFENG 16/04/2026</t>
        </is>
      </c>
      <c r="I4553" s="4" t="n">
        <v>2</v>
      </c>
      <c r="J4553" s="6" t="n">
        <v>9</v>
      </c>
      <c r="K4553" s="6" t="n">
        <v>189.2832623</v>
      </c>
      <c r="L4553" s="6">
        <f>I4553*K4553</f>
        <v/>
      </c>
      <c r="M4553" s="6">
        <f>K4553*4</f>
        <v/>
      </c>
      <c r="N4553" s="6" t="n">
        <v>780</v>
      </c>
    </row>
    <row r="4554">
      <c r="A4554" s="1" t="inlineStr">
        <is>
          <t>87045211023629</t>
        </is>
      </c>
      <c r="B4554" s="1" t="inlineStr">
        <is>
          <t>PULSERA LV BLOSSOM TWIST GOLD</t>
        </is>
      </c>
      <c r="C4554" s="1" t="inlineStr">
        <is>
          <t>Default Title</t>
        </is>
      </c>
      <c r="D4554" s="1" t="inlineStr">
        <is>
          <t>02/10/2025</t>
        </is>
      </c>
      <c r="E4554" s="1" t="n">
        <v>2025</v>
      </c>
      <c r="F4554" s="1" t="inlineStr">
        <is>
          <t>OCTUBRE</t>
        </is>
      </c>
      <c r="G4554" s="1" t="inlineStr">
        <is>
          <t>ZOEY</t>
        </is>
      </c>
      <c r="H4554" s="1" t="inlineStr">
        <is>
          <t>ZOEY 02/10/2025</t>
        </is>
      </c>
      <c r="I4554" s="4" t="n">
        <v>2</v>
      </c>
      <c r="J4554" s="6" t="n">
        <v>9</v>
      </c>
      <c r="K4554" s="6" t="n">
        <v>212.615424</v>
      </c>
      <c r="L4554" s="6">
        <f>I4554*K4554</f>
        <v/>
      </c>
      <c r="M4554" s="6">
        <f>K4554*4</f>
        <v/>
      </c>
      <c r="N4554" s="6" t="n">
        <v>975</v>
      </c>
    </row>
    <row r="4555">
      <c r="A4555" s="1" t="inlineStr">
        <is>
          <t>87045211023629</t>
        </is>
      </c>
      <c r="B4555" s="1" t="inlineStr">
        <is>
          <t>PULSERA LV BLOSSOM TWIST GOLD</t>
        </is>
      </c>
      <c r="C4555" s="1" t="inlineStr">
        <is>
          <t>Default Title</t>
        </is>
      </c>
      <c r="D4555" s="1" t="inlineStr">
        <is>
          <t>25/10/2025</t>
        </is>
      </c>
      <c r="E4555" s="1" t="n">
        <v>2025</v>
      </c>
      <c r="F4555" s="1" t="inlineStr">
        <is>
          <t>OCTUBRE</t>
        </is>
      </c>
      <c r="G4555" s="1" t="inlineStr">
        <is>
          <t>CYNTHIA</t>
        </is>
      </c>
      <c r="H4555" s="1" t="inlineStr">
        <is>
          <t>CYNTHIA 25/10/2025</t>
        </is>
      </c>
      <c r="I4555" s="4" t="n">
        <v>2</v>
      </c>
      <c r="J4555" s="6" t="n">
        <v>8.800000000000001</v>
      </c>
      <c r="K4555" s="6" t="n">
        <v>230.5760476</v>
      </c>
      <c r="L4555" s="6">
        <f>I4555*K4555</f>
        <v/>
      </c>
      <c r="M4555" s="6">
        <f>K4555*4</f>
        <v/>
      </c>
      <c r="N4555" s="6" t="n">
        <v>975</v>
      </c>
    </row>
    <row r="4556">
      <c r="A4556" s="1" t="inlineStr">
        <is>
          <t>87045211023629</t>
        </is>
      </c>
      <c r="B4556" s="1" t="inlineStr">
        <is>
          <t>PULSERA LV BLOSSOM TWIST GOLD</t>
        </is>
      </c>
      <c r="C4556" s="1" t="inlineStr">
        <is>
          <t>Default Title</t>
        </is>
      </c>
      <c r="D4556" s="1" t="inlineStr">
        <is>
          <t>15/05/2026</t>
        </is>
      </c>
      <c r="E4556" s="1" t="n">
        <v>2026</v>
      </c>
      <c r="F4556" s="1" t="inlineStr">
        <is>
          <t>MAYO</t>
        </is>
      </c>
      <c r="G4556" s="1" t="inlineStr">
        <is>
          <t>ZOEY</t>
        </is>
      </c>
      <c r="H4556" s="1" t="inlineStr">
        <is>
          <t>ZOEY 15/05/2026</t>
        </is>
      </c>
      <c r="I4556" s="4" t="n">
        <v>2</v>
      </c>
      <c r="J4556" s="6" t="n">
        <v>9</v>
      </c>
      <c r="K4556" s="6" t="n">
        <v>238.5416204</v>
      </c>
      <c r="L4556" s="6">
        <f>I4556*K4556</f>
        <v/>
      </c>
      <c r="M4556" s="6">
        <f>K4556*4</f>
        <v/>
      </c>
      <c r="N4556" s="6" t="n">
        <v>975</v>
      </c>
    </row>
    <row r="4557">
      <c r="A4557" s="1" t="inlineStr">
        <is>
          <t>87084241011085</t>
        </is>
      </c>
      <c r="B4557" s="1" t="inlineStr">
        <is>
          <t>COLLAR F SILVER CON ZIRCONIA</t>
        </is>
      </c>
      <c r="C4557" s="1" t="inlineStr">
        <is>
          <t>Default Title</t>
        </is>
      </c>
      <c r="D4557" s="1" t="inlineStr">
        <is>
          <t>02/10/2025</t>
        </is>
      </c>
      <c r="E4557" s="1" t="n">
        <v>2025</v>
      </c>
      <c r="F4557" s="1" t="inlineStr">
        <is>
          <t>OCTUBRE</t>
        </is>
      </c>
      <c r="G4557" s="1" t="inlineStr">
        <is>
          <t>ZOEY</t>
        </is>
      </c>
      <c r="H4557" s="1" t="inlineStr">
        <is>
          <t>ZOEY 02/10/2025</t>
        </is>
      </c>
      <c r="I4557" s="4" t="n">
        <v>3</v>
      </c>
      <c r="J4557" s="6" t="n">
        <v>9</v>
      </c>
      <c r="K4557" s="6" t="n">
        <v>212.615424</v>
      </c>
      <c r="L4557" s="6">
        <f>I4557*K4557</f>
        <v/>
      </c>
      <c r="M4557" s="6">
        <f>K4557*4</f>
        <v/>
      </c>
      <c r="N4557" s="6" t="n">
        <v>755</v>
      </c>
    </row>
    <row r="4558">
      <c r="A4558" s="1" t="inlineStr">
        <is>
          <t>87084241011085</t>
        </is>
      </c>
      <c r="B4558" s="1" t="inlineStr">
        <is>
          <t>COLLAR F SILVER CON ZIRCONIA</t>
        </is>
      </c>
      <c r="C4558" s="1" t="inlineStr">
        <is>
          <t>Default Title</t>
        </is>
      </c>
      <c r="D4558" s="1" t="inlineStr">
        <is>
          <t>02/03/2026</t>
        </is>
      </c>
      <c r="E4558" s="1" t="n">
        <v>2026</v>
      </c>
      <c r="F4558" s="1" t="inlineStr">
        <is>
          <t>MARZO</t>
        </is>
      </c>
      <c r="G4558" s="1" t="inlineStr">
        <is>
          <t>ZOEY</t>
        </is>
      </c>
      <c r="H4558" s="1" t="inlineStr">
        <is>
          <t>ZOEY 02/03/2026</t>
        </is>
      </c>
      <c r="I4558" s="4" t="n">
        <v>1</v>
      </c>
      <c r="J4558" s="6" t="n">
        <v>9</v>
      </c>
      <c r="K4558" s="6" t="n">
        <v>236.4927815</v>
      </c>
      <c r="L4558" s="6">
        <f>I4558*K4558</f>
        <v/>
      </c>
      <c r="M4558" s="6">
        <f>K4558*4</f>
        <v/>
      </c>
      <c r="N4558" s="6" t="n">
        <v>928</v>
      </c>
    </row>
    <row r="4559">
      <c r="A4559" s="1" t="inlineStr">
        <is>
          <t>87084241011085</t>
        </is>
      </c>
      <c r="B4559" s="1" t="inlineStr">
        <is>
          <t>COLLAR F SILVER CON ZIRCONIA</t>
        </is>
      </c>
      <c r="C4559" s="1" t="inlineStr">
        <is>
          <t>Default Title</t>
        </is>
      </c>
      <c r="D4559" s="1" t="inlineStr">
        <is>
          <t>19/03/2026</t>
        </is>
      </c>
      <c r="E4559" s="1" t="n">
        <v>2026</v>
      </c>
      <c r="F4559" s="1" t="inlineStr">
        <is>
          <t>MARZO</t>
        </is>
      </c>
      <c r="G4559" s="1" t="inlineStr">
        <is>
          <t>ZOEY</t>
        </is>
      </c>
      <c r="H4559" s="1" t="inlineStr">
        <is>
          <t>ZOEY 19/03/2026</t>
        </is>
      </c>
      <c r="I4559" s="4" t="n">
        <v>4</v>
      </c>
      <c r="J4559" s="6" t="n">
        <v>9</v>
      </c>
      <c r="K4559" s="6" t="n">
        <v>232.0384465</v>
      </c>
      <c r="L4559" s="6">
        <f>I4559*K4559</f>
        <v/>
      </c>
      <c r="M4559" s="6">
        <f>K4559*4</f>
        <v/>
      </c>
      <c r="N4559" s="6" t="n">
        <v>928</v>
      </c>
    </row>
    <row r="4560">
      <c r="A4560" s="1" t="inlineStr">
        <is>
          <t>87401991025249</t>
        </is>
      </c>
      <c r="B4560" s="1" t="inlineStr">
        <is>
          <t>PULSERA LOVESTRUCK</t>
        </is>
      </c>
      <c r="C4560" s="1" t="inlineStr">
        <is>
          <t>16 cm</t>
        </is>
      </c>
      <c r="D4560" s="1" t="inlineStr">
        <is>
          <t>01/09/2025</t>
        </is>
      </c>
      <c r="E4560" s="1" t="n">
        <v>2025</v>
      </c>
      <c r="F4560" s="1" t="inlineStr">
        <is>
          <t>SEPTIEMBRE</t>
        </is>
      </c>
      <c r="G4560" s="1" t="inlineStr">
        <is>
          <t>ZOEY</t>
        </is>
      </c>
      <c r="H4560" s="1" t="inlineStr">
        <is>
          <t>ZOEY 01/09/2025</t>
        </is>
      </c>
      <c r="I4560" s="4" t="n">
        <v>5</v>
      </c>
      <c r="J4560" s="6" t="n">
        <v>9</v>
      </c>
      <c r="K4560" s="6" t="n">
        <v>226.0606014</v>
      </c>
      <c r="L4560" s="6">
        <f>I4560*K4560</f>
        <v/>
      </c>
      <c r="M4560" s="6">
        <f>K4560*4</f>
        <v/>
      </c>
      <c r="N4560" s="6" t="n">
        <v>850</v>
      </c>
    </row>
    <row r="4561">
      <c r="A4561" s="1" t="inlineStr">
        <is>
          <t>87401991025249</t>
        </is>
      </c>
      <c r="B4561" s="1" t="inlineStr">
        <is>
          <t>PULSERA LOVESTRUCK</t>
        </is>
      </c>
      <c r="C4561" s="1" t="inlineStr">
        <is>
          <t>18 cm</t>
        </is>
      </c>
      <c r="D4561" s="1" t="inlineStr">
        <is>
          <t>05/02/2026</t>
        </is>
      </c>
      <c r="E4561" s="1" t="n">
        <v>2026</v>
      </c>
      <c r="F4561" s="1" t="inlineStr">
        <is>
          <t>FEBRERO</t>
        </is>
      </c>
      <c r="G4561" s="1" t="inlineStr">
        <is>
          <t>HAIFENG</t>
        </is>
      </c>
      <c r="H4561" s="1" t="inlineStr">
        <is>
          <t>HAIFENG 05/02/2026</t>
        </is>
      </c>
      <c r="I4561" s="4" t="n">
        <v>1</v>
      </c>
      <c r="J4561" s="6" t="n">
        <v>6</v>
      </c>
      <c r="K4561" s="6" t="n">
        <v>128.1257543</v>
      </c>
      <c r="L4561" s="6">
        <f>I4561*K4561</f>
        <v/>
      </c>
      <c r="M4561" s="6">
        <f>K4561*4</f>
        <v/>
      </c>
      <c r="N4561" s="6" t="n">
        <v>850</v>
      </c>
    </row>
    <row r="4562">
      <c r="A4562" s="1" t="inlineStr">
        <is>
          <t>87401991025249</t>
        </is>
      </c>
      <c r="B4562" s="1" t="inlineStr">
        <is>
          <t>PULSERA LOVESTRUCK</t>
        </is>
      </c>
      <c r="C4562" s="1" t="inlineStr">
        <is>
          <t>18 cm</t>
        </is>
      </c>
      <c r="D4562" s="1" t="inlineStr">
        <is>
          <t>02/03/2026</t>
        </is>
      </c>
      <c r="E4562" s="1" t="n">
        <v>2026</v>
      </c>
      <c r="F4562" s="1" t="inlineStr">
        <is>
          <t>MARZO</t>
        </is>
      </c>
      <c r="G4562" s="1" t="inlineStr">
        <is>
          <t>ZOEY</t>
        </is>
      </c>
      <c r="H4562" s="1" t="inlineStr">
        <is>
          <t>ZOEY 02/03/2026</t>
        </is>
      </c>
      <c r="I4562" s="4" t="n">
        <v>4</v>
      </c>
      <c r="J4562" s="6" t="n">
        <v>6.5</v>
      </c>
      <c r="K4562" s="6" t="n">
        <v>170.8003422</v>
      </c>
      <c r="L4562" s="6">
        <f>I4562*K4562</f>
        <v/>
      </c>
      <c r="M4562" s="6">
        <f>K4562*4</f>
        <v/>
      </c>
      <c r="N4562" s="6" t="n">
        <v>850</v>
      </c>
    </row>
    <row r="4563">
      <c r="A4563" s="1" t="inlineStr">
        <is>
          <t>87401991025249</t>
        </is>
      </c>
      <c r="B4563" s="1" t="inlineStr">
        <is>
          <t>PULSERA LOVESTRUCK</t>
        </is>
      </c>
      <c r="C4563" s="1" t="inlineStr">
        <is>
          <t>18 cm</t>
        </is>
      </c>
      <c r="D4563" s="1" t="inlineStr">
        <is>
          <t>19/03/2026</t>
        </is>
      </c>
      <c r="E4563" s="1" t="n">
        <v>2026</v>
      </c>
      <c r="F4563" s="1" t="inlineStr">
        <is>
          <t>MARZO</t>
        </is>
      </c>
      <c r="G4563" s="1" t="inlineStr">
        <is>
          <t>ZOEY</t>
        </is>
      </c>
      <c r="H4563" s="1" t="inlineStr">
        <is>
          <t>ZOEY 19/03/2026</t>
        </is>
      </c>
      <c r="I4563" s="4" t="n">
        <v>5</v>
      </c>
      <c r="J4563" s="6" t="n">
        <v>9</v>
      </c>
      <c r="K4563" s="6" t="n">
        <v>232.0384465</v>
      </c>
      <c r="L4563" s="6">
        <f>I4563*K4563</f>
        <v/>
      </c>
      <c r="M4563" s="6">
        <f>K4563*4</f>
        <v/>
      </c>
      <c r="N4563" s="6" t="n">
        <v>850</v>
      </c>
    </row>
    <row r="4564">
      <c r="A4564" s="1" t="inlineStr">
        <is>
          <t>87401991025249</t>
        </is>
      </c>
      <c r="B4564" s="1" t="inlineStr">
        <is>
          <t>PULSERA LOVESTRUCK</t>
        </is>
      </c>
      <c r="C4564" s="1" t="inlineStr">
        <is>
          <t>18 cm</t>
        </is>
      </c>
      <c r="D4564" s="1" t="inlineStr">
        <is>
          <t>15/05/2026</t>
        </is>
      </c>
      <c r="E4564" s="1" t="n">
        <v>2026</v>
      </c>
      <c r="F4564" s="1" t="inlineStr">
        <is>
          <t>MAYO</t>
        </is>
      </c>
      <c r="G4564" s="1" t="inlineStr">
        <is>
          <t>ZOEY</t>
        </is>
      </c>
      <c r="H4564" s="1" t="inlineStr">
        <is>
          <t>ZOEY 15/05/2026</t>
        </is>
      </c>
      <c r="I4564" s="4" t="n">
        <v>5</v>
      </c>
      <c r="J4564" s="6" t="n">
        <v>7.75</v>
      </c>
      <c r="K4564" s="6" t="n">
        <v>205.4108398</v>
      </c>
      <c r="L4564" s="6">
        <f>I4564*K4564</f>
        <v/>
      </c>
      <c r="M4564" s="6">
        <f>K4564*4</f>
        <v/>
      </c>
      <c r="N4564" s="6" t="n">
        <v>850</v>
      </c>
    </row>
    <row r="4565">
      <c r="A4565" s="1" t="inlineStr">
        <is>
          <t>87725181046765</t>
        </is>
      </c>
      <c r="B4565" s="1" t="inlineStr">
        <is>
          <t>PULSERA LV IDYLLE BLOSSOM TRES OROS</t>
        </is>
      </c>
      <c r="C4565" s="1" t="inlineStr">
        <is>
          <t>HIGH QUALITY</t>
        </is>
      </c>
      <c r="D4565" s="1" t="inlineStr">
        <is>
          <t>02/10/2025</t>
        </is>
      </c>
      <c r="E4565" s="1" t="n">
        <v>2025</v>
      </c>
      <c r="F4565" s="1" t="inlineStr">
        <is>
          <t>OCTUBRE</t>
        </is>
      </c>
      <c r="G4565" s="1" t="inlineStr">
        <is>
          <t>ZOEY</t>
        </is>
      </c>
      <c r="H4565" s="1" t="inlineStr">
        <is>
          <t>ZOEY 02/10/2025</t>
        </is>
      </c>
      <c r="I4565" s="4" t="n">
        <v>2</v>
      </c>
      <c r="J4565" s="6" t="n">
        <v>9</v>
      </c>
      <c r="K4565" s="6" t="n">
        <v>212.615424</v>
      </c>
      <c r="L4565" s="6">
        <f>I4565*K4565</f>
        <v/>
      </c>
      <c r="M4565" s="6">
        <f>K4565*4</f>
        <v/>
      </c>
      <c r="N4565" s="6" t="n">
        <v>975</v>
      </c>
    </row>
    <row r="4566">
      <c r="A4566" s="1" t="inlineStr">
        <is>
          <t>87725181046765</t>
        </is>
      </c>
      <c r="B4566" s="1" t="inlineStr">
        <is>
          <t>PULSERA LV IDYLLE BLOSSOM TRES OROS</t>
        </is>
      </c>
      <c r="C4566" s="1" t="inlineStr">
        <is>
          <t>Default Title</t>
        </is>
      </c>
      <c r="D4566" s="1" t="inlineStr">
        <is>
          <t>15/05/2026</t>
        </is>
      </c>
      <c r="E4566" s="1" t="n">
        <v>2026</v>
      </c>
      <c r="F4566" s="1" t="inlineStr">
        <is>
          <t>MAYO</t>
        </is>
      </c>
      <c r="G4566" s="1" t="inlineStr">
        <is>
          <t>ZOEY</t>
        </is>
      </c>
      <c r="H4566" s="1" t="inlineStr">
        <is>
          <t>ZOEY 15/05/2026</t>
        </is>
      </c>
      <c r="I4566" s="4" t="n">
        <v>2</v>
      </c>
      <c r="J4566" s="6" t="n">
        <v>9</v>
      </c>
      <c r="K4566" s="6" t="n">
        <v>238.5416204</v>
      </c>
      <c r="L4566" s="6">
        <f>I4566*K4566</f>
        <v/>
      </c>
      <c r="M4566" s="6">
        <f>K4566*4</f>
        <v/>
      </c>
      <c r="N4566" s="6" t="n">
        <v>975</v>
      </c>
    </row>
    <row r="4567">
      <c r="A4567" s="1" t="inlineStr">
        <is>
          <t>87729331097505</t>
        </is>
      </c>
      <c r="B4567" s="1" t="inlineStr">
        <is>
          <t>PULSERA T BLANCA CON ZIRCONIA</t>
        </is>
      </c>
      <c r="C4567" s="1" t="inlineStr">
        <is>
          <t>16 cm</t>
        </is>
      </c>
      <c r="D4567" s="1" t="inlineStr">
        <is>
          <t>15/05/2026</t>
        </is>
      </c>
      <c r="E4567" s="1" t="n">
        <v>2026</v>
      </c>
      <c r="F4567" s="1" t="inlineStr">
        <is>
          <t>MAYO</t>
        </is>
      </c>
      <c r="G4567" s="1" t="inlineStr">
        <is>
          <t>ZOEY</t>
        </is>
      </c>
      <c r="H4567" s="1" t="inlineStr">
        <is>
          <t>ZOEY 15/05/2026</t>
        </is>
      </c>
      <c r="I4567" s="4" t="n">
        <v>3</v>
      </c>
      <c r="J4567" s="6" t="n">
        <v>8</v>
      </c>
      <c r="K4567" s="6" t="n">
        <v>212.0369959</v>
      </c>
      <c r="L4567" s="6">
        <f>I4567*K4567</f>
        <v/>
      </c>
      <c r="M4567" s="6">
        <f>K4567*4</f>
        <v/>
      </c>
      <c r="N4567" s="6" t="n">
        <v>850</v>
      </c>
    </row>
    <row r="4568">
      <c r="A4568" s="1" t="inlineStr">
        <is>
          <t>87893051058957</t>
        </is>
      </c>
      <c r="B4568" s="1" t="inlineStr">
        <is>
          <t>BOLSO YSL NUDE</t>
        </is>
      </c>
      <c r="C4568" s="1" t="inlineStr">
        <is>
          <t>Default Title</t>
        </is>
      </c>
      <c r="D4568" s="1" t="inlineStr">
        <is>
          <t>19/03/2026</t>
        </is>
      </c>
      <c r="E4568" s="1" t="n">
        <v>2026</v>
      </c>
      <c r="F4568" s="1" t="inlineStr">
        <is>
          <t>MARZO</t>
        </is>
      </c>
      <c r="G4568" s="1" t="inlineStr">
        <is>
          <t>ZOEY</t>
        </is>
      </c>
      <c r="H4568" s="1" t="inlineStr">
        <is>
          <t>ZOEY 19/03/2026</t>
        </is>
      </c>
      <c r="I4568" s="4" t="n">
        <v>2</v>
      </c>
      <c r="J4568" s="6" t="n">
        <v>52</v>
      </c>
      <c r="K4568" s="6" t="n">
        <v>1340.66658</v>
      </c>
      <c r="L4568" s="6">
        <f>I4568*K4568</f>
        <v/>
      </c>
      <c r="M4568" s="6">
        <f>K4568*4</f>
        <v/>
      </c>
      <c r="N4568" s="6" t="n">
        <v>4699</v>
      </c>
    </row>
    <row r="4569">
      <c r="A4569" s="1" t="inlineStr">
        <is>
          <t>87904131075277</t>
        </is>
      </c>
      <c r="B4569" s="1" t="inlineStr">
        <is>
          <t>GORRA A BLACK</t>
        </is>
      </c>
      <c r="C4569" s="1" t="inlineStr">
        <is>
          <t>Default Title</t>
        </is>
      </c>
      <c r="D4569" s="1" t="inlineStr">
        <is>
          <t>02/10/2025</t>
        </is>
      </c>
      <c r="E4569" s="1" t="n">
        <v>2025</v>
      </c>
      <c r="F4569" s="1" t="inlineStr">
        <is>
          <t>OCTUBRE</t>
        </is>
      </c>
      <c r="G4569" s="1" t="inlineStr">
        <is>
          <t>ZOEY</t>
        </is>
      </c>
      <c r="H4569" s="1" t="inlineStr">
        <is>
          <t>ZOEY 02/10/2025</t>
        </is>
      </c>
      <c r="I4569" s="4" t="n">
        <v>4</v>
      </c>
      <c r="J4569" s="6" t="n">
        <v>10</v>
      </c>
      <c r="K4569" s="6" t="n">
        <v>236.23936</v>
      </c>
      <c r="L4569" s="6">
        <f>I4569*K4569</f>
        <v/>
      </c>
      <c r="M4569" s="6">
        <f>K4569*4</f>
        <v/>
      </c>
      <c r="N4569" s="6" t="n">
        <v>1069</v>
      </c>
    </row>
    <row r="4570">
      <c r="A4570" s="1" t="inlineStr">
        <is>
          <t>87904131075277</t>
        </is>
      </c>
      <c r="B4570" s="1" t="inlineStr">
        <is>
          <t>GORRA A BLACK</t>
        </is>
      </c>
      <c r="C4570" s="1" t="inlineStr">
        <is>
          <t>Default Title</t>
        </is>
      </c>
      <c r="D4570" s="1" t="inlineStr">
        <is>
          <t>25/10/2025</t>
        </is>
      </c>
      <c r="E4570" s="1" t="n">
        <v>2025</v>
      </c>
      <c r="F4570" s="1" t="inlineStr">
        <is>
          <t>OCTUBRE</t>
        </is>
      </c>
      <c r="G4570" s="1" t="inlineStr">
        <is>
          <t>CYNTHIA</t>
        </is>
      </c>
      <c r="H4570" s="1" t="inlineStr">
        <is>
          <t>CYNTHIA 25/10/2025</t>
        </is>
      </c>
      <c r="I4570" s="4" t="n">
        <v>4</v>
      </c>
      <c r="J4570" s="6" t="n">
        <v>7.8</v>
      </c>
      <c r="K4570" s="6" t="n">
        <v>204.374224</v>
      </c>
      <c r="L4570" s="6">
        <f>I4570*K4570</f>
        <v/>
      </c>
      <c r="M4570" s="6">
        <f>K4570*4</f>
        <v/>
      </c>
      <c r="N4570" s="6" t="n">
        <v>1069</v>
      </c>
    </row>
    <row r="4571">
      <c r="A4571" s="1" t="inlineStr">
        <is>
          <t>87904131075277</t>
        </is>
      </c>
      <c r="B4571" s="1" t="inlineStr">
        <is>
          <t>GORRA A BLACK</t>
        </is>
      </c>
      <c r="C4571" s="1" t="inlineStr">
        <is>
          <t>Default Title</t>
        </is>
      </c>
      <c r="D4571" s="1" t="inlineStr">
        <is>
          <t>20/01/2026</t>
        </is>
      </c>
      <c r="E4571" s="1" t="n">
        <v>2026</v>
      </c>
      <c r="F4571" s="1" t="inlineStr">
        <is>
          <t>ENERO</t>
        </is>
      </c>
      <c r="G4571" s="1" t="inlineStr">
        <is>
          <t>ZOEY</t>
        </is>
      </c>
      <c r="H4571" s="1" t="inlineStr">
        <is>
          <t>ZOEY 20/01/2026</t>
        </is>
      </c>
      <c r="I4571" s="4" t="n">
        <v>2</v>
      </c>
      <c r="J4571" s="6" t="n">
        <v>10</v>
      </c>
      <c r="K4571" s="6" t="n">
        <v>260.3159937</v>
      </c>
      <c r="L4571" s="6">
        <f>I4571*K4571</f>
        <v/>
      </c>
      <c r="M4571" s="6">
        <f>K4571*4</f>
        <v/>
      </c>
      <c r="N4571" s="6" t="n">
        <v>1069</v>
      </c>
    </row>
    <row r="4572">
      <c r="A4572" s="1" t="inlineStr">
        <is>
          <t>87904131075277</t>
        </is>
      </c>
      <c r="B4572" s="1" t="inlineStr">
        <is>
          <t>GORRA A BLACK</t>
        </is>
      </c>
      <c r="C4572" s="1" t="inlineStr">
        <is>
          <t>Default Title</t>
        </is>
      </c>
      <c r="D4572" s="1" t="inlineStr">
        <is>
          <t>20/04/2026</t>
        </is>
      </c>
      <c r="E4572" s="1" t="n">
        <v>2026</v>
      </c>
      <c r="F4572" s="1" t="inlineStr">
        <is>
          <t>ABRIL</t>
        </is>
      </c>
      <c r="G4572" s="1" t="inlineStr">
        <is>
          <t>ZOEY</t>
        </is>
      </c>
      <c r="H4572" s="1" t="inlineStr">
        <is>
          <t>ZOEY 20/04/2026</t>
        </is>
      </c>
      <c r="I4572" s="4" t="n">
        <v>1</v>
      </c>
      <c r="J4572" s="6" t="n">
        <v>10</v>
      </c>
      <c r="K4572" s="6" t="n">
        <v>256.0877834</v>
      </c>
      <c r="L4572" s="6">
        <f>I4572*K4572</f>
        <v/>
      </c>
      <c r="M4572" s="6">
        <f>K4572*4</f>
        <v/>
      </c>
      <c r="N4572" s="6" t="n">
        <v>1069</v>
      </c>
    </row>
    <row r="4573">
      <c r="A4573" s="1" t="inlineStr">
        <is>
          <t>87904131075277</t>
        </is>
      </c>
      <c r="B4573" s="1" t="inlineStr">
        <is>
          <t>GORRA A BLACK</t>
        </is>
      </c>
      <c r="C4573" s="1" t="inlineStr">
        <is>
          <t>Default Title</t>
        </is>
      </c>
      <c r="D4573" s="1" t="inlineStr">
        <is>
          <t>15/05/2026</t>
        </is>
      </c>
      <c r="E4573" s="1" t="n">
        <v>2026</v>
      </c>
      <c r="F4573" s="1" t="inlineStr">
        <is>
          <t>MAYO</t>
        </is>
      </c>
      <c r="G4573" s="1" t="inlineStr">
        <is>
          <t>ZOEY</t>
        </is>
      </c>
      <c r="H4573" s="1" t="inlineStr">
        <is>
          <t>ZOEY 15/05/2026</t>
        </is>
      </c>
      <c r="I4573" s="4" t="n">
        <v>2</v>
      </c>
      <c r="J4573" s="6" t="n">
        <v>10</v>
      </c>
      <c r="K4573" s="6" t="n">
        <v>265.0462449</v>
      </c>
      <c r="L4573" s="6">
        <f>I4573*K4573</f>
        <v/>
      </c>
      <c r="M4573" s="6">
        <f>K4573*4</f>
        <v/>
      </c>
      <c r="N4573" s="6" t="n">
        <v>1069</v>
      </c>
    </row>
    <row r="4574">
      <c r="A4574" s="1" t="inlineStr">
        <is>
          <t>88016261004301</t>
        </is>
      </c>
      <c r="B4574" s="1" t="inlineStr">
        <is>
          <t>SUDADERA ALLS BLACK</t>
        </is>
      </c>
      <c r="C4574" s="1" t="inlineStr">
        <is>
          <t>L</t>
        </is>
      </c>
      <c r="D4574" s="1" t="inlineStr">
        <is>
          <t>02/10/2025</t>
        </is>
      </c>
      <c r="E4574" s="1" t="n">
        <v>2025</v>
      </c>
      <c r="F4574" s="1" t="inlineStr">
        <is>
          <t>OCTUBRE</t>
        </is>
      </c>
      <c r="G4574" s="1" t="inlineStr">
        <is>
          <t>ZOEY</t>
        </is>
      </c>
      <c r="H4574" s="1" t="inlineStr">
        <is>
          <t>ZOEY 02/10/2025</t>
        </is>
      </c>
      <c r="I4574" s="4" t="n">
        <v>2</v>
      </c>
      <c r="J4574" s="6" t="n">
        <v>35</v>
      </c>
      <c r="K4574" s="6" t="n">
        <v>826.83776</v>
      </c>
      <c r="L4574" s="6">
        <f>I4574*K4574</f>
        <v/>
      </c>
      <c r="M4574" s="6">
        <f>K4574*4</f>
        <v/>
      </c>
      <c r="N4574" s="6" t="n">
        <v>2536</v>
      </c>
    </row>
    <row r="4575">
      <c r="A4575" s="1" t="inlineStr">
        <is>
          <t>88016261004302</t>
        </is>
      </c>
      <c r="B4575" s="1" t="n"/>
      <c r="C4575" s="1" t="inlineStr">
        <is>
          <t>M</t>
        </is>
      </c>
      <c r="D4575" s="1" t="inlineStr">
        <is>
          <t>02/10/2025</t>
        </is>
      </c>
      <c r="E4575" s="1" t="n">
        <v>2025</v>
      </c>
      <c r="F4575" s="1" t="inlineStr">
        <is>
          <t>OCTUBRE</t>
        </is>
      </c>
      <c r="G4575" s="1" t="inlineStr">
        <is>
          <t>ZOEY</t>
        </is>
      </c>
      <c r="H4575" s="1" t="inlineStr">
        <is>
          <t>ZOEY 02/10/2025</t>
        </is>
      </c>
      <c r="I4575" s="4" t="n">
        <v>2</v>
      </c>
      <c r="J4575" s="6" t="n">
        <v>35</v>
      </c>
      <c r="K4575" s="6" t="n">
        <v>826.83776</v>
      </c>
      <c r="L4575" s="6">
        <f>I4575*K4575</f>
        <v/>
      </c>
      <c r="M4575" s="6">
        <f>K4575*4</f>
        <v/>
      </c>
      <c r="N4575" s="6" t="n">
        <v>2898.67</v>
      </c>
    </row>
    <row r="4576">
      <c r="A4576" s="1" t="inlineStr">
        <is>
          <t>88201821024717</t>
        </is>
      </c>
      <c r="B4576" s="1" t="inlineStr">
        <is>
          <t>ANILLO LV SILVER MICROZIRCONIAS</t>
        </is>
      </c>
      <c r="C4576" s="1" t="n">
        <v>8</v>
      </c>
      <c r="D4576" s="1" t="inlineStr">
        <is>
          <t>02/10/2025</t>
        </is>
      </c>
      <c r="E4576" s="1" t="n">
        <v>2025</v>
      </c>
      <c r="F4576" s="1" t="inlineStr">
        <is>
          <t>OCTUBRE</t>
        </is>
      </c>
      <c r="G4576" s="1" t="inlineStr">
        <is>
          <t>ZOEY</t>
        </is>
      </c>
      <c r="H4576" s="1" t="inlineStr">
        <is>
          <t>ZOEY 02/10/2025</t>
        </is>
      </c>
      <c r="I4576" s="4" t="n">
        <v>2</v>
      </c>
      <c r="J4576" s="6" t="n">
        <v>9</v>
      </c>
      <c r="K4576" s="6" t="n">
        <v>212.615424</v>
      </c>
      <c r="L4576" s="6">
        <f>I4576*K4576</f>
        <v/>
      </c>
      <c r="M4576" s="6">
        <f>K4576*4</f>
        <v/>
      </c>
      <c r="N4576" s="6" t="n">
        <v>652</v>
      </c>
    </row>
    <row r="4577">
      <c r="A4577" s="1" t="inlineStr">
        <is>
          <t>88621311058381</t>
        </is>
      </c>
      <c r="B4577" s="1" t="inlineStr">
        <is>
          <t>PULSERA LOVE UNLIMITED GOLD</t>
        </is>
      </c>
      <c r="C4577" s="1" t="inlineStr">
        <is>
          <t>17cm</t>
        </is>
      </c>
      <c r="D4577" s="1" t="inlineStr">
        <is>
          <t>03/12/2025</t>
        </is>
      </c>
      <c r="E4577" s="1" t="n">
        <v>2025</v>
      </c>
      <c r="F4577" s="1" t="inlineStr">
        <is>
          <t>DICIEMBRE</t>
        </is>
      </c>
      <c r="G4577" s="1" t="inlineStr">
        <is>
          <t>HAIFENG</t>
        </is>
      </c>
      <c r="H4577" s="1" t="inlineStr">
        <is>
          <t>HAIFENG 03/12/2025</t>
        </is>
      </c>
      <c r="I4577" s="4" t="n">
        <v>10</v>
      </c>
      <c r="J4577" s="6" t="n">
        <v>15</v>
      </c>
      <c r="K4577" s="6" t="n">
        <v>313.7574002</v>
      </c>
      <c r="L4577" s="6">
        <f>I4577*K4577</f>
        <v/>
      </c>
      <c r="M4577" s="6">
        <f>K4577*4</f>
        <v/>
      </c>
      <c r="N4577" s="6" t="n">
        <v>1399</v>
      </c>
    </row>
    <row r="4578">
      <c r="A4578" s="1" t="inlineStr">
        <is>
          <t>88621311058381</t>
        </is>
      </c>
      <c r="B4578" s="1" t="inlineStr">
        <is>
          <t>PULSERA LOVE UNLIMITED GOLD</t>
        </is>
      </c>
      <c r="C4578" s="1" t="inlineStr">
        <is>
          <t>17</t>
        </is>
      </c>
      <c r="D4578" s="1" t="inlineStr">
        <is>
          <t>11/03/2026</t>
        </is>
      </c>
      <c r="E4578" s="1" t="n">
        <v>2026</v>
      </c>
      <c r="F4578" s="1" t="inlineStr">
        <is>
          <t>MARZO</t>
        </is>
      </c>
      <c r="G4578" s="1" t="inlineStr">
        <is>
          <t>HAIFENG</t>
        </is>
      </c>
      <c r="H4578" s="1" t="inlineStr">
        <is>
          <t>HAIFENG 11/03/2026</t>
        </is>
      </c>
      <c r="I4578" s="4" t="n">
        <v>14</v>
      </c>
      <c r="J4578" s="6" t="n">
        <v>20</v>
      </c>
      <c r="K4578" s="6" t="n">
        <v>426.0779243</v>
      </c>
      <c r="L4578" s="6">
        <f>I4578*K4578</f>
        <v/>
      </c>
      <c r="M4578" s="6">
        <f>K4578*4</f>
        <v/>
      </c>
      <c r="N4578" s="6" t="n">
        <v>1399</v>
      </c>
    </row>
    <row r="4579">
      <c r="A4579" s="1" t="inlineStr">
        <is>
          <t>89205551037229</t>
        </is>
      </c>
      <c r="B4579" s="1" t="inlineStr">
        <is>
          <t>ANILLO KNOT SILVER</t>
        </is>
      </c>
      <c r="C4579" s="1" t="n">
        <v>6</v>
      </c>
      <c r="D4579" s="1" t="inlineStr">
        <is>
          <t>25/09/2025</t>
        </is>
      </c>
      <c r="E4579" s="1" t="n">
        <v>2025</v>
      </c>
      <c r="F4579" s="1" t="inlineStr">
        <is>
          <t>SEPTIEMBRE</t>
        </is>
      </c>
      <c r="G4579" s="1" t="inlineStr">
        <is>
          <t>HAIFENG</t>
        </is>
      </c>
      <c r="H4579" s="1" t="inlineStr">
        <is>
          <t>HAIFENG 25/09/2025</t>
        </is>
      </c>
      <c r="I4579" s="4" t="n">
        <v>2</v>
      </c>
      <c r="J4579" s="6" t="n">
        <v>5</v>
      </c>
      <c r="K4579" s="6" t="n">
        <v>105.4844288</v>
      </c>
      <c r="L4579" s="6">
        <f>I4579*K4579</f>
        <v/>
      </c>
      <c r="M4579" s="6">
        <f>K4579*4</f>
        <v/>
      </c>
      <c r="N4579" s="6" t="n">
        <v>450</v>
      </c>
    </row>
    <row r="4580">
      <c r="A4580" s="1" t="inlineStr">
        <is>
          <t>89205551037229</t>
        </is>
      </c>
      <c r="B4580" s="1" t="inlineStr">
        <is>
          <t>ANILLO KNOT SILVER</t>
        </is>
      </c>
      <c r="C4580" s="1" t="inlineStr">
        <is>
          <t>6</t>
        </is>
      </c>
      <c r="D4580" s="1" t="inlineStr">
        <is>
          <t>20/01/2026</t>
        </is>
      </c>
      <c r="E4580" s="1" t="n">
        <v>2026</v>
      </c>
      <c r="F4580" s="1" t="inlineStr">
        <is>
          <t>ENERO</t>
        </is>
      </c>
      <c r="G4580" s="1" t="inlineStr">
        <is>
          <t>HAIFENG</t>
        </is>
      </c>
      <c r="H4580" s="1" t="inlineStr">
        <is>
          <t>HAIFENG 20/01/2026</t>
        </is>
      </c>
      <c r="I4580" s="4" t="n">
        <v>1</v>
      </c>
      <c r="J4580" s="6" t="n">
        <v>5</v>
      </c>
      <c r="K4580" s="6" t="n">
        <v>106.002089</v>
      </c>
      <c r="L4580" s="6">
        <f>I4580*K4580</f>
        <v/>
      </c>
      <c r="M4580" s="6">
        <f>K4580*4</f>
        <v/>
      </c>
      <c r="N4580" s="6" t="n">
        <v>450</v>
      </c>
    </row>
    <row r="4581">
      <c r="A4581" s="1" t="inlineStr">
        <is>
          <t>89205551037229</t>
        </is>
      </c>
      <c r="B4581" s="1" t="inlineStr">
        <is>
          <t>ANILLO KNOT SILVER ANCHO</t>
        </is>
      </c>
      <c r="C4581" s="1" t="inlineStr">
        <is>
          <t>6</t>
        </is>
      </c>
      <c r="D4581" s="1" t="inlineStr">
        <is>
          <t>11/03/2026</t>
        </is>
      </c>
      <c r="E4581" s="1" t="n">
        <v>2026</v>
      </c>
      <c r="F4581" s="1" t="inlineStr">
        <is>
          <t>MARZO</t>
        </is>
      </c>
      <c r="G4581" s="1" t="inlineStr">
        <is>
          <t>HAIFENG</t>
        </is>
      </c>
      <c r="H4581" s="1" t="inlineStr">
        <is>
          <t>HAIFENG 11/03/2026</t>
        </is>
      </c>
      <c r="I4581" s="4" t="n">
        <v>1</v>
      </c>
      <c r="J4581" s="6" t="n">
        <v>5</v>
      </c>
      <c r="K4581" s="6" t="n">
        <v>106.5194811</v>
      </c>
      <c r="L4581" s="6">
        <f>I4581*K4581</f>
        <v/>
      </c>
      <c r="M4581" s="6">
        <f>K4581*4</f>
        <v/>
      </c>
      <c r="N4581" s="6" t="n">
        <v>450</v>
      </c>
    </row>
    <row r="4582">
      <c r="A4582" s="1" t="inlineStr">
        <is>
          <t>89205551037229</t>
        </is>
      </c>
      <c r="B4582" s="1" t="inlineStr">
        <is>
          <t>ANILLO KNOT SILVER ANCHO</t>
        </is>
      </c>
      <c r="C4582" s="1" t="inlineStr">
        <is>
          <t>6</t>
        </is>
      </c>
      <c r="D4582" s="1" t="inlineStr">
        <is>
          <t>16/04/2026</t>
        </is>
      </c>
      <c r="E4582" s="1" t="n">
        <v>2026</v>
      </c>
      <c r="F4582" s="1" t="inlineStr">
        <is>
          <t>ABRIL</t>
        </is>
      </c>
      <c r="G4582" s="1" t="inlineStr">
        <is>
          <t>HAIFENG</t>
        </is>
      </c>
      <c r="H4582" s="1" t="inlineStr">
        <is>
          <t>HAIFENG 16/04/2026</t>
        </is>
      </c>
      <c r="I4582" s="4" t="n">
        <v>1</v>
      </c>
      <c r="J4582" s="6" t="n">
        <v>5</v>
      </c>
      <c r="K4582" s="6" t="n">
        <v>105.1573679</v>
      </c>
      <c r="L4582" s="6">
        <f>I4582*K4582</f>
        <v/>
      </c>
      <c r="M4582" s="6">
        <f>K4582*4</f>
        <v/>
      </c>
      <c r="N4582" s="6" t="n">
        <v>450</v>
      </c>
    </row>
    <row r="4583">
      <c r="A4583" s="1" t="inlineStr">
        <is>
          <t>89205551037229</t>
        </is>
      </c>
      <c r="B4583" s="1" t="inlineStr">
        <is>
          <t>ANILLO KNOT SILVER ANCHO</t>
        </is>
      </c>
      <c r="C4583" s="1" t="inlineStr">
        <is>
          <t>6</t>
        </is>
      </c>
      <c r="D4583" s="1" t="inlineStr">
        <is>
          <t>16/06/2026</t>
        </is>
      </c>
      <c r="E4583" s="1" t="n">
        <v>2026</v>
      </c>
      <c r="F4583" s="1" t="inlineStr">
        <is>
          <t>JUNIO</t>
        </is>
      </c>
      <c r="G4583" s="1" t="inlineStr">
        <is>
          <t>HAIFENG</t>
        </is>
      </c>
      <c r="H4583" s="1" t="inlineStr">
        <is>
          <t>HAIFENG 16/06/2026</t>
        </is>
      </c>
      <c r="I4583" s="4" t="n">
        <v>2</v>
      </c>
      <c r="J4583" s="6" t="n">
        <v>5</v>
      </c>
      <c r="K4583" s="6" t="n">
        <v>105.0730323</v>
      </c>
      <c r="L4583" s="6">
        <f>I4583*K4583</f>
        <v/>
      </c>
      <c r="M4583" s="6">
        <f>K4583*4</f>
        <v/>
      </c>
      <c r="N4583" s="6" t="n">
        <v>450</v>
      </c>
    </row>
    <row r="4584">
      <c r="A4584" s="1" t="inlineStr">
        <is>
          <t>89205551169997</t>
        </is>
      </c>
      <c r="B4584" s="1" t="inlineStr">
        <is>
          <t>ANILLO KNOT SILVER</t>
        </is>
      </c>
      <c r="C4584" s="1" t="n">
        <v>7</v>
      </c>
      <c r="D4584" s="1" t="inlineStr">
        <is>
          <t>25/09/2025</t>
        </is>
      </c>
      <c r="E4584" s="1" t="n">
        <v>2025</v>
      </c>
      <c r="F4584" s="1" t="inlineStr">
        <is>
          <t>SEPTIEMBRE</t>
        </is>
      </c>
      <c r="G4584" s="1" t="inlineStr">
        <is>
          <t>HAIFENG</t>
        </is>
      </c>
      <c r="H4584" s="1" t="inlineStr">
        <is>
          <t>HAIFENG 25/09/2025</t>
        </is>
      </c>
      <c r="I4584" s="4" t="n">
        <v>2</v>
      </c>
      <c r="J4584" s="6" t="n">
        <v>5</v>
      </c>
      <c r="K4584" s="6" t="n">
        <v>105.4844288</v>
      </c>
      <c r="L4584" s="6">
        <f>I4584*K4584</f>
        <v/>
      </c>
      <c r="M4584" s="6">
        <f>K4584*4</f>
        <v/>
      </c>
      <c r="N4584" s="6" t="n">
        <v>450</v>
      </c>
    </row>
    <row r="4585">
      <c r="A4585" s="1" t="inlineStr">
        <is>
          <t>89205551202765</t>
        </is>
      </c>
      <c r="B4585" s="1" t="inlineStr">
        <is>
          <t>ANILLO KNOT SILVER</t>
        </is>
      </c>
      <c r="C4585" s="1" t="n">
        <v>8</v>
      </c>
      <c r="D4585" s="1" t="inlineStr">
        <is>
          <t>25/09/2025</t>
        </is>
      </c>
      <c r="E4585" s="1" t="n">
        <v>2025</v>
      </c>
      <c r="F4585" s="1" t="inlineStr">
        <is>
          <t>SEPTIEMBRE</t>
        </is>
      </c>
      <c r="G4585" s="1" t="inlineStr">
        <is>
          <t>HAIFENG</t>
        </is>
      </c>
      <c r="H4585" s="1" t="inlineStr">
        <is>
          <t>HAIFENG 25/09/2025</t>
        </is>
      </c>
      <c r="I4585" s="4" t="n">
        <v>2</v>
      </c>
      <c r="J4585" s="6" t="n">
        <v>5</v>
      </c>
      <c r="K4585" s="6" t="n">
        <v>105.4844288</v>
      </c>
      <c r="L4585" s="6">
        <f>I4585*K4585</f>
        <v/>
      </c>
      <c r="M4585" s="6">
        <f>K4585*4</f>
        <v/>
      </c>
      <c r="N4585" s="6" t="n">
        <v>450</v>
      </c>
    </row>
    <row r="4586">
      <c r="A4586" s="1" t="inlineStr">
        <is>
          <t>89205551202765</t>
        </is>
      </c>
      <c r="B4586" s="1" t="inlineStr">
        <is>
          <t>ANILLO KNOT SILVER ANCHO</t>
        </is>
      </c>
      <c r="C4586" s="1" t="inlineStr">
        <is>
          <t>8</t>
        </is>
      </c>
      <c r="D4586" s="1" t="inlineStr">
        <is>
          <t>11/03/2026</t>
        </is>
      </c>
      <c r="E4586" s="1" t="n">
        <v>2026</v>
      </c>
      <c r="F4586" s="1" t="inlineStr">
        <is>
          <t>MARZO</t>
        </is>
      </c>
      <c r="G4586" s="1" t="inlineStr">
        <is>
          <t>HAIFENG</t>
        </is>
      </c>
      <c r="H4586" s="1" t="inlineStr">
        <is>
          <t>HAIFENG 11/03/2026</t>
        </is>
      </c>
      <c r="I4586" s="4" t="n">
        <v>1</v>
      </c>
      <c r="J4586" s="6" t="n">
        <v>5</v>
      </c>
      <c r="K4586" s="6" t="n">
        <v>106.5194811</v>
      </c>
      <c r="L4586" s="6">
        <f>I4586*K4586</f>
        <v/>
      </c>
      <c r="M4586" s="6">
        <f>K4586*4</f>
        <v/>
      </c>
      <c r="N4586" s="6" t="n">
        <v>450</v>
      </c>
    </row>
    <row r="4587">
      <c r="A4587" s="1" t="inlineStr">
        <is>
          <t>89205551202765</t>
        </is>
      </c>
      <c r="B4587" s="1" t="inlineStr">
        <is>
          <t>ANILLO KNOT SILVER ANCHO</t>
        </is>
      </c>
      <c r="C4587" s="1" t="inlineStr">
        <is>
          <t>8</t>
        </is>
      </c>
      <c r="D4587" s="1" t="inlineStr">
        <is>
          <t>16/04/2026</t>
        </is>
      </c>
      <c r="E4587" s="1" t="n">
        <v>2026</v>
      </c>
      <c r="F4587" s="1" t="inlineStr">
        <is>
          <t>ABRIL</t>
        </is>
      </c>
      <c r="G4587" s="1" t="inlineStr">
        <is>
          <t>HAIFENG</t>
        </is>
      </c>
      <c r="H4587" s="1" t="inlineStr">
        <is>
          <t>HAIFENG 16/04/2026</t>
        </is>
      </c>
      <c r="I4587" s="4" t="n">
        <v>3</v>
      </c>
      <c r="J4587" s="6" t="n">
        <v>5</v>
      </c>
      <c r="K4587" s="6" t="n">
        <v>105.1573679</v>
      </c>
      <c r="L4587" s="6">
        <f>I4587*K4587</f>
        <v/>
      </c>
      <c r="M4587" s="6">
        <f>K4587*4</f>
        <v/>
      </c>
      <c r="N4587" s="6" t="n">
        <v>450</v>
      </c>
    </row>
    <row r="4588">
      <c r="A4588" s="1" t="inlineStr">
        <is>
          <t>89205551347661</t>
        </is>
      </c>
      <c r="B4588" s="1" t="inlineStr">
        <is>
          <t>ANILLO KNOT SILVER ZIRCONIAS</t>
        </is>
      </c>
      <c r="C4588" s="1" t="n">
        <v>6</v>
      </c>
      <c r="D4588" s="1" t="inlineStr">
        <is>
          <t>25/09/2025</t>
        </is>
      </c>
      <c r="E4588" s="1" t="n">
        <v>2025</v>
      </c>
      <c r="F4588" s="1" t="inlineStr">
        <is>
          <t>SEPTIEMBRE</t>
        </is>
      </c>
      <c r="G4588" s="1" t="inlineStr">
        <is>
          <t>HAIFENG</t>
        </is>
      </c>
      <c r="H4588" s="1" t="inlineStr">
        <is>
          <t>HAIFENG 25/09/2025</t>
        </is>
      </c>
      <c r="I4588" s="4" t="n">
        <v>2</v>
      </c>
      <c r="J4588" s="6" t="n">
        <v>6.5</v>
      </c>
      <c r="K4588" s="6" t="n">
        <v>137.1297575</v>
      </c>
      <c r="L4588" s="6">
        <f>I4588*K4588</f>
        <v/>
      </c>
      <c r="M4588" s="6">
        <f>K4588*4</f>
        <v/>
      </c>
      <c r="N4588" s="6" t="n">
        <v>550</v>
      </c>
    </row>
    <row r="4589">
      <c r="A4589" s="1" t="inlineStr">
        <is>
          <t>89205551347661</t>
        </is>
      </c>
      <c r="B4589" s="1" t="inlineStr">
        <is>
          <t>ANILLO KNOT SILVER ZIRCONIAS</t>
        </is>
      </c>
      <c r="C4589" s="1" t="inlineStr">
        <is>
          <t>6</t>
        </is>
      </c>
      <c r="D4589" s="1" t="inlineStr">
        <is>
          <t>20/01/2026</t>
        </is>
      </c>
      <c r="E4589" s="1" t="n">
        <v>2026</v>
      </c>
      <c r="F4589" s="1" t="inlineStr">
        <is>
          <t>ENERO</t>
        </is>
      </c>
      <c r="G4589" s="1" t="inlineStr">
        <is>
          <t>HAIFENG</t>
        </is>
      </c>
      <c r="H4589" s="1" t="inlineStr">
        <is>
          <t>HAIFENG 20/01/2026</t>
        </is>
      </c>
      <c r="I4589" s="4" t="n">
        <v>2</v>
      </c>
      <c r="J4589" s="6" t="n">
        <v>6.5</v>
      </c>
      <c r="K4589" s="6" t="n">
        <v>137.8027156</v>
      </c>
      <c r="L4589" s="6">
        <f>I4589*K4589</f>
        <v/>
      </c>
      <c r="M4589" s="6">
        <f>K4589*4</f>
        <v/>
      </c>
      <c r="N4589" s="6" t="n">
        <v>550</v>
      </c>
    </row>
    <row r="4590">
      <c r="A4590" s="1" t="inlineStr">
        <is>
          <t>89205551347661</t>
        </is>
      </c>
      <c r="B4590" s="1" t="inlineStr">
        <is>
          <t>ANILLO KNOT SILVER ZIRCONIAS</t>
        </is>
      </c>
      <c r="C4590" s="1" t="inlineStr">
        <is>
          <t>6</t>
        </is>
      </c>
      <c r="D4590" s="1" t="inlineStr">
        <is>
          <t>16/04/2026</t>
        </is>
      </c>
      <c r="E4590" s="1" t="n">
        <v>2026</v>
      </c>
      <c r="F4590" s="1" t="inlineStr">
        <is>
          <t>ABRIL</t>
        </is>
      </c>
      <c r="G4590" s="1" t="inlineStr">
        <is>
          <t>HAIFENG</t>
        </is>
      </c>
      <c r="H4590" s="1" t="inlineStr">
        <is>
          <t>HAIFENG 16/04/2026</t>
        </is>
      </c>
      <c r="I4590" s="4" t="n">
        <v>2</v>
      </c>
      <c r="J4590" s="6" t="n">
        <v>6.5</v>
      </c>
      <c r="K4590" s="6" t="n">
        <v>136.7045783</v>
      </c>
      <c r="L4590" s="6">
        <f>I4590*K4590</f>
        <v/>
      </c>
      <c r="M4590" s="6">
        <f>K4590*4</f>
        <v/>
      </c>
      <c r="N4590" s="6" t="n">
        <v>550</v>
      </c>
    </row>
    <row r="4591">
      <c r="A4591" s="1" t="inlineStr">
        <is>
          <t>89205551347661</t>
        </is>
      </c>
      <c r="B4591" s="1" t="inlineStr">
        <is>
          <t>ANILLO KNOT SILVER ZIRCONIAS</t>
        </is>
      </c>
      <c r="C4591" s="1" t="inlineStr">
        <is>
          <t>6</t>
        </is>
      </c>
      <c r="D4591" s="1" t="inlineStr">
        <is>
          <t>16/06/2026</t>
        </is>
      </c>
      <c r="E4591" s="1" t="n">
        <v>2026</v>
      </c>
      <c r="F4591" s="1" t="inlineStr">
        <is>
          <t>JUNIO</t>
        </is>
      </c>
      <c r="G4591" s="1" t="inlineStr">
        <is>
          <t>HAIFENG</t>
        </is>
      </c>
      <c r="H4591" s="1" t="inlineStr">
        <is>
          <t>HAIFENG 16/06/2026</t>
        </is>
      </c>
      <c r="I4591" s="4" t="n">
        <v>2</v>
      </c>
      <c r="J4591" s="6" t="n">
        <v>6.5</v>
      </c>
      <c r="K4591" s="6" t="n">
        <v>136.594942</v>
      </c>
      <c r="L4591" s="6">
        <f>I4591*K4591</f>
        <v/>
      </c>
      <c r="M4591" s="6">
        <f>K4591*4</f>
        <v/>
      </c>
      <c r="N4591" s="6" t="n">
        <v>550</v>
      </c>
    </row>
    <row r="4592">
      <c r="A4592" s="1" t="inlineStr">
        <is>
          <t>89205551480429</t>
        </is>
      </c>
      <c r="B4592" s="1" t="inlineStr">
        <is>
          <t>ANILLO KNOT SILVER ZIRCONIAS</t>
        </is>
      </c>
      <c r="C4592" s="1" t="n">
        <v>7</v>
      </c>
      <c r="D4592" s="1" t="inlineStr">
        <is>
          <t>25/09/2025</t>
        </is>
      </c>
      <c r="E4592" s="1" t="n">
        <v>2025</v>
      </c>
      <c r="F4592" s="1" t="inlineStr">
        <is>
          <t>SEPTIEMBRE</t>
        </is>
      </c>
      <c r="G4592" s="1" t="inlineStr">
        <is>
          <t>HAIFENG</t>
        </is>
      </c>
      <c r="H4592" s="1" t="inlineStr">
        <is>
          <t>HAIFENG 25/09/2025</t>
        </is>
      </c>
      <c r="I4592" s="4" t="n">
        <v>2</v>
      </c>
      <c r="J4592" s="6" t="n">
        <v>6.5</v>
      </c>
      <c r="K4592" s="6" t="n">
        <v>137.1297575</v>
      </c>
      <c r="L4592" s="6">
        <f>I4592*K4592</f>
        <v/>
      </c>
      <c r="M4592" s="6">
        <f>K4592*4</f>
        <v/>
      </c>
      <c r="N4592" s="6" t="n">
        <v>550</v>
      </c>
    </row>
    <row r="4593">
      <c r="A4593" s="1" t="inlineStr">
        <is>
          <t>89205551513197</t>
        </is>
      </c>
      <c r="B4593" s="1" t="inlineStr">
        <is>
          <t>ANILLO KNOT SILVER ZIRCONIAS</t>
        </is>
      </c>
      <c r="C4593" s="1" t="n">
        <v>8</v>
      </c>
      <c r="D4593" s="1" t="inlineStr">
        <is>
          <t>25/09/2025</t>
        </is>
      </c>
      <c r="E4593" s="1" t="n">
        <v>2025</v>
      </c>
      <c r="F4593" s="1" t="inlineStr">
        <is>
          <t>SEPTIEMBRE</t>
        </is>
      </c>
      <c r="G4593" s="1" t="inlineStr">
        <is>
          <t>HAIFENG</t>
        </is>
      </c>
      <c r="H4593" s="1" t="inlineStr">
        <is>
          <t>HAIFENG 25/09/2025</t>
        </is>
      </c>
      <c r="I4593" s="4" t="n">
        <v>2</v>
      </c>
      <c r="J4593" s="6" t="n">
        <v>6.5</v>
      </c>
      <c r="K4593" s="6" t="n">
        <v>137.1297575</v>
      </c>
      <c r="L4593" s="6">
        <f>I4593*K4593</f>
        <v/>
      </c>
      <c r="M4593" s="6">
        <f>K4593*4</f>
        <v/>
      </c>
      <c r="N4593" s="6" t="n">
        <v>550</v>
      </c>
    </row>
    <row r="4594">
      <c r="A4594" s="1" t="inlineStr">
        <is>
          <t>89205551513197</t>
        </is>
      </c>
      <c r="B4594" s="1" t="inlineStr">
        <is>
          <t>ANILLO KNOT SILVER ZIRCONIAS</t>
        </is>
      </c>
      <c r="C4594" s="1" t="inlineStr">
        <is>
          <t>8</t>
        </is>
      </c>
      <c r="D4594" s="1" t="inlineStr">
        <is>
          <t>16/06/2026</t>
        </is>
      </c>
      <c r="E4594" s="1" t="n">
        <v>2026</v>
      </c>
      <c r="F4594" s="1" t="inlineStr">
        <is>
          <t>JUNIO</t>
        </is>
      </c>
      <c r="G4594" s="1" t="inlineStr">
        <is>
          <t>HAIFENG</t>
        </is>
      </c>
      <c r="H4594" s="1" t="inlineStr">
        <is>
          <t>HAIFENG 16/06/2026</t>
        </is>
      </c>
      <c r="I4594" s="4" t="n">
        <v>2</v>
      </c>
      <c r="J4594" s="6" t="n">
        <v>6.5</v>
      </c>
      <c r="K4594" s="6" t="n">
        <v>136.594942</v>
      </c>
      <c r="L4594" s="6">
        <f>I4594*K4594</f>
        <v/>
      </c>
      <c r="M4594" s="6">
        <f>K4594*4</f>
        <v/>
      </c>
      <c r="N4594" s="6" t="n">
        <v>550</v>
      </c>
    </row>
    <row r="4595">
      <c r="A4595" s="1" t="inlineStr">
        <is>
          <t>89205551641453</t>
        </is>
      </c>
      <c r="B4595" s="1" t="inlineStr">
        <is>
          <t>ARETES BV ROSEGOLD-WHITE</t>
        </is>
      </c>
      <c r="C4595" s="1" t="inlineStr">
        <is>
          <t>Default Title</t>
        </is>
      </c>
      <c r="D4595" s="1" t="inlineStr">
        <is>
          <t>25/09/2025</t>
        </is>
      </c>
      <c r="E4595" s="1" t="n">
        <v>2025</v>
      </c>
      <c r="F4595" s="1" t="inlineStr">
        <is>
          <t>SEPTIEMBRE</t>
        </is>
      </c>
      <c r="G4595" s="1" t="inlineStr">
        <is>
          <t>HAIFENG</t>
        </is>
      </c>
      <c r="H4595" s="1" t="inlineStr">
        <is>
          <t>HAIFENG 25/09/2025</t>
        </is>
      </c>
      <c r="I4595" s="4" t="n">
        <v>2</v>
      </c>
      <c r="J4595" s="6" t="n">
        <v>6</v>
      </c>
      <c r="K4595" s="6" t="n">
        <v>126.5813146</v>
      </c>
      <c r="L4595" s="6">
        <f>I4595*K4595</f>
        <v/>
      </c>
      <c r="M4595" s="6">
        <f>K4595*4</f>
        <v/>
      </c>
      <c r="N4595" s="6" t="n">
        <v>575</v>
      </c>
    </row>
    <row r="4596">
      <c r="A4596" s="1" t="inlineStr">
        <is>
          <t>89205551641453</t>
        </is>
      </c>
      <c r="B4596" s="1" t="inlineStr">
        <is>
          <t>ARETES BV ROSEGOLD-WHITE</t>
        </is>
      </c>
      <c r="C4596" s="1" t="inlineStr">
        <is>
          <t>Default Title</t>
        </is>
      </c>
      <c r="D4596" s="1" t="inlineStr">
        <is>
          <t>20/01/2026</t>
        </is>
      </c>
      <c r="E4596" s="1" t="n">
        <v>2026</v>
      </c>
      <c r="F4596" s="1" t="inlineStr">
        <is>
          <t>ENERO</t>
        </is>
      </c>
      <c r="G4596" s="1" t="inlineStr">
        <is>
          <t>HAIFENG</t>
        </is>
      </c>
      <c r="H4596" s="1" t="inlineStr">
        <is>
          <t>HAIFENG 20/01/2026</t>
        </is>
      </c>
      <c r="I4596" s="4" t="n">
        <v>2</v>
      </c>
      <c r="J4596" s="6" t="n">
        <v>6</v>
      </c>
      <c r="K4596" s="6" t="n">
        <v>127.2025068</v>
      </c>
      <c r="L4596" s="6">
        <f>I4596*K4596</f>
        <v/>
      </c>
      <c r="M4596" s="6">
        <f>K4596*4</f>
        <v/>
      </c>
      <c r="N4596" s="6" t="n">
        <v>575</v>
      </c>
    </row>
    <row r="4597">
      <c r="A4597" s="1" t="inlineStr">
        <is>
          <t>89205551641453</t>
        </is>
      </c>
      <c r="B4597" s="1" t="inlineStr">
        <is>
          <t>ARETES BV ROSEGOLD-WHITE</t>
        </is>
      </c>
      <c r="C4597" s="1" t="inlineStr">
        <is>
          <t>Default Title</t>
        </is>
      </c>
      <c r="D4597" s="1" t="inlineStr">
        <is>
          <t>10/02/2026</t>
        </is>
      </c>
      <c r="E4597" s="1" t="n">
        <v>2026</v>
      </c>
      <c r="F4597" s="1" t="inlineStr">
        <is>
          <t>FEBRERO</t>
        </is>
      </c>
      <c r="G4597" s="1" t="inlineStr">
        <is>
          <t>HAIFENG</t>
        </is>
      </c>
      <c r="H4597" s="1" t="inlineStr">
        <is>
          <t>HAIFENG 10/02/2026</t>
        </is>
      </c>
      <c r="I4597" s="4" t="n">
        <v>3</v>
      </c>
      <c r="J4597" s="6" t="n">
        <v>6</v>
      </c>
      <c r="K4597" s="6" t="n">
        <v>126.4109764</v>
      </c>
      <c r="L4597" s="6">
        <f>I4597*K4597</f>
        <v/>
      </c>
      <c r="M4597" s="6">
        <f>K4597*4</f>
        <v/>
      </c>
      <c r="N4597" s="6" t="n">
        <v>575</v>
      </c>
    </row>
    <row r="4598">
      <c r="A4598" s="1" t="inlineStr">
        <is>
          <t>89205551641453</t>
        </is>
      </c>
      <c r="B4598" s="1" t="inlineStr">
        <is>
          <t>ARETES BV ROSEGOLD-WHITE</t>
        </is>
      </c>
      <c r="C4598" s="1" t="inlineStr">
        <is>
          <t>Default Title</t>
        </is>
      </c>
      <c r="D4598" s="1" t="inlineStr">
        <is>
          <t>26/05/2026</t>
        </is>
      </c>
      <c r="E4598" s="1" t="n">
        <v>2026</v>
      </c>
      <c r="F4598" s="1" t="inlineStr">
        <is>
          <t>MAYO</t>
        </is>
      </c>
      <c r="G4598" s="1" t="inlineStr">
        <is>
          <t>HAIFENG</t>
        </is>
      </c>
      <c r="H4598" s="1" t="inlineStr">
        <is>
          <t>HAIFENG 26/05/2026</t>
        </is>
      </c>
      <c r="I4598" s="4" t="n">
        <v>2</v>
      </c>
      <c r="J4598" s="6" t="n">
        <v>6</v>
      </c>
      <c r="K4598" s="6" t="n">
        <v>125.9357718</v>
      </c>
      <c r="L4598" s="6">
        <f>I4598*K4598</f>
        <v/>
      </c>
      <c r="M4598" s="6">
        <f>K4598*4</f>
        <v/>
      </c>
      <c r="N4598" s="6" t="n">
        <v>575</v>
      </c>
    </row>
    <row r="4599">
      <c r="A4599" s="1" t="inlineStr">
        <is>
          <t>89205551757581</t>
        </is>
      </c>
      <c r="B4599" s="1" t="inlineStr">
        <is>
          <t>PULSERA BV ROSEGOLD PEARL ZIRCONIA</t>
        </is>
      </c>
      <c r="C4599" s="1" t="inlineStr">
        <is>
          <t>Default Title</t>
        </is>
      </c>
      <c r="D4599" s="1" t="inlineStr">
        <is>
          <t>26/05/2026</t>
        </is>
      </c>
      <c r="E4599" s="1" t="n">
        <v>2026</v>
      </c>
      <c r="F4599" s="1" t="inlineStr">
        <is>
          <t>MAYO</t>
        </is>
      </c>
      <c r="G4599" s="1" t="inlineStr">
        <is>
          <t>HAIFENG</t>
        </is>
      </c>
      <c r="H4599" s="1" t="inlineStr">
        <is>
          <t>HAIFENG 26/05/2026</t>
        </is>
      </c>
      <c r="I4599" s="4" t="n">
        <v>2</v>
      </c>
      <c r="J4599" s="6" t="n">
        <v>7.5</v>
      </c>
      <c r="K4599" s="6" t="n">
        <v>157.4197147</v>
      </c>
      <c r="L4599" s="6">
        <f>I4599*K4599</f>
        <v/>
      </c>
      <c r="M4599" s="6">
        <f>K4599*4</f>
        <v/>
      </c>
      <c r="N4599" s="6" t="n">
        <v>650</v>
      </c>
    </row>
    <row r="4600">
      <c r="A4600" s="1" t="inlineStr">
        <is>
          <t>89246881063213</t>
        </is>
      </c>
      <c r="B4600" s="1" t="inlineStr">
        <is>
          <t>ANILLO LOVE CERAMIC</t>
        </is>
      </c>
      <c r="C4600" s="1" t="inlineStr">
        <is>
          <t>8</t>
        </is>
      </c>
      <c r="D4600" s="1" t="inlineStr">
        <is>
          <t>16/04/2026</t>
        </is>
      </c>
      <c r="E4600" s="1" t="n">
        <v>2026</v>
      </c>
      <c r="F4600" s="1" t="inlineStr">
        <is>
          <t>ABRIL</t>
        </is>
      </c>
      <c r="G4600" s="1" t="inlineStr">
        <is>
          <t>HAIFENG</t>
        </is>
      </c>
      <c r="H4600" s="1" t="inlineStr">
        <is>
          <t>HAIFENG 16/04/2026</t>
        </is>
      </c>
      <c r="I4600" s="4" t="n">
        <v>2</v>
      </c>
      <c r="J4600" s="6" t="n">
        <v>6</v>
      </c>
      <c r="K4600" s="6" t="n">
        <v>126.1888415</v>
      </c>
      <c r="L4600" s="6">
        <f>I4600*K4600</f>
        <v/>
      </c>
      <c r="M4600" s="6">
        <f>K4600*4</f>
        <v/>
      </c>
      <c r="N4600" s="6" t="n">
        <v>499</v>
      </c>
    </row>
    <row r="4601">
      <c r="A4601" s="1" t="inlineStr">
        <is>
          <t>89246881116333</t>
        </is>
      </c>
      <c r="B4601" s="1" t="inlineStr">
        <is>
          <t>ANILLO TRINITY TRES AROS</t>
        </is>
      </c>
      <c r="C4601" s="1" t="inlineStr">
        <is>
          <t>7</t>
        </is>
      </c>
      <c r="D4601" s="1" t="inlineStr">
        <is>
          <t>16/04/2026</t>
        </is>
      </c>
      <c r="E4601" s="1" t="n">
        <v>2026</v>
      </c>
      <c r="F4601" s="1" t="inlineStr">
        <is>
          <t>ABRIL</t>
        </is>
      </c>
      <c r="G4601" s="1" t="inlineStr">
        <is>
          <t>HAIFENG</t>
        </is>
      </c>
      <c r="H4601" s="1" t="inlineStr">
        <is>
          <t>HAIFENG 16/04/2026</t>
        </is>
      </c>
      <c r="I4601" s="4" t="n">
        <v>2</v>
      </c>
      <c r="J4601" s="6" t="n">
        <v>6</v>
      </c>
      <c r="K4601" s="6" t="n">
        <v>126.1888415</v>
      </c>
      <c r="L4601" s="6">
        <f>I4601*K4601</f>
        <v/>
      </c>
      <c r="M4601" s="6">
        <f>K4601*4</f>
        <v/>
      </c>
      <c r="N4601" s="6" t="n">
        <v>499</v>
      </c>
    </row>
    <row r="4602">
      <c r="A4602" s="1" t="inlineStr">
        <is>
          <t>89246881231597</t>
        </is>
      </c>
      <c r="B4602" s="1" t="inlineStr">
        <is>
          <t>ARRACADAS TRES AROS</t>
        </is>
      </c>
      <c r="C4602" s="1" t="inlineStr">
        <is>
          <t>Default Title</t>
        </is>
      </c>
      <c r="D4602" s="1" t="inlineStr">
        <is>
          <t>16/04/2026</t>
        </is>
      </c>
      <c r="E4602" s="1" t="n">
        <v>2026</v>
      </c>
      <c r="F4602" s="1" t="inlineStr">
        <is>
          <t>ABRIL</t>
        </is>
      </c>
      <c r="G4602" s="1" t="inlineStr">
        <is>
          <t>HAIFENG</t>
        </is>
      </c>
      <c r="H4602" s="1" t="inlineStr">
        <is>
          <t>HAIFENG 16/04/2026</t>
        </is>
      </c>
      <c r="I4602" s="4" t="n">
        <v>2</v>
      </c>
      <c r="J4602" s="6" t="n">
        <v>8</v>
      </c>
      <c r="K4602" s="6" t="n">
        <v>168.2517887</v>
      </c>
      <c r="L4602" s="6">
        <f>I4602*K4602</f>
        <v/>
      </c>
      <c r="M4602" s="6">
        <f>K4602*4</f>
        <v/>
      </c>
      <c r="N4602" s="6" t="n">
        <v>699</v>
      </c>
    </row>
    <row r="4603">
      <c r="A4603" s="1" t="inlineStr">
        <is>
          <t>89246881340077</t>
        </is>
      </c>
      <c r="B4603" s="1" t="inlineStr">
        <is>
          <t>ARRACADAS CLAVO GOLD</t>
        </is>
      </c>
      <c r="C4603" s="1" t="inlineStr">
        <is>
          <t>Default Title</t>
        </is>
      </c>
      <c r="D4603" s="1" t="inlineStr">
        <is>
          <t>16/04/2026</t>
        </is>
      </c>
      <c r="E4603" s="1" t="n">
        <v>2026</v>
      </c>
      <c r="F4603" s="1" t="inlineStr">
        <is>
          <t>ABRIL</t>
        </is>
      </c>
      <c r="G4603" s="1" t="inlineStr">
        <is>
          <t>HAIFENG</t>
        </is>
      </c>
      <c r="H4603" s="1" t="inlineStr">
        <is>
          <t>HAIFENG 16/04/2026</t>
        </is>
      </c>
      <c r="I4603" s="4" t="n">
        <v>2</v>
      </c>
      <c r="J4603" s="6" t="n">
        <v>10</v>
      </c>
      <c r="K4603" s="6" t="n">
        <v>210.3147359</v>
      </c>
      <c r="L4603" s="6">
        <f>I4603*K4603</f>
        <v/>
      </c>
      <c r="M4603" s="6">
        <f>K4603*4</f>
        <v/>
      </c>
      <c r="N4603" s="6" t="n">
        <v>850</v>
      </c>
    </row>
    <row r="4604">
      <c r="A4604" s="1" t="inlineStr">
        <is>
          <t>89246881412397</t>
        </is>
      </c>
      <c r="B4604" s="1" t="inlineStr">
        <is>
          <t>BROCHE CD GOLD</t>
        </is>
      </c>
      <c r="C4604" s="1" t="inlineStr">
        <is>
          <t>Default Title</t>
        </is>
      </c>
      <c r="D4604" s="1" t="inlineStr">
        <is>
          <t>16/04/2026</t>
        </is>
      </c>
      <c r="E4604" s="1" t="n">
        <v>2026</v>
      </c>
      <c r="F4604" s="1" t="inlineStr">
        <is>
          <t>ABRIL</t>
        </is>
      </c>
      <c r="G4604" s="1" t="inlineStr">
        <is>
          <t>HAIFENG</t>
        </is>
      </c>
      <c r="H4604" s="1" t="inlineStr">
        <is>
          <t>HAIFENG 16/04/2026</t>
        </is>
      </c>
      <c r="I4604" s="4" t="n">
        <v>2</v>
      </c>
      <c r="J4604" s="6" t="n">
        <v>4.5</v>
      </c>
      <c r="K4604" s="6" t="n">
        <v>94.64163114999999</v>
      </c>
      <c r="L4604" s="6">
        <f>I4604*K4604</f>
        <v/>
      </c>
      <c r="M4604" s="6">
        <f>K4604*4</f>
        <v/>
      </c>
      <c r="N4604" s="6" t="n">
        <v>400</v>
      </c>
    </row>
    <row r="4605">
      <c r="A4605" s="1" t="inlineStr">
        <is>
          <t>89246881583021</t>
        </is>
      </c>
      <c r="B4605" s="1" t="inlineStr">
        <is>
          <t>BROCHE CD GOLD ZIRCONIAS PEARL</t>
        </is>
      </c>
      <c r="C4605" s="1" t="inlineStr">
        <is>
          <t>Default Title</t>
        </is>
      </c>
      <c r="D4605" s="1" t="inlineStr">
        <is>
          <t>16/04/2026</t>
        </is>
      </c>
      <c r="E4605" s="1" t="n">
        <v>2026</v>
      </c>
      <c r="F4605" s="1" t="inlineStr">
        <is>
          <t>ABRIL</t>
        </is>
      </c>
      <c r="G4605" s="1" t="inlineStr">
        <is>
          <t>HAIFENG</t>
        </is>
      </c>
      <c r="H4605" s="1" t="inlineStr">
        <is>
          <t>HAIFENG 16/04/2026</t>
        </is>
      </c>
      <c r="I4605" s="4" t="n">
        <v>2</v>
      </c>
      <c r="J4605" s="6" t="n">
        <v>6</v>
      </c>
      <c r="K4605" s="6" t="n">
        <v>126.1888415</v>
      </c>
      <c r="L4605" s="6">
        <f>I4605*K4605</f>
        <v/>
      </c>
      <c r="M4605" s="6">
        <f>K4605*4</f>
        <v/>
      </c>
      <c r="N4605" s="6" t="n">
        <v>499</v>
      </c>
    </row>
    <row r="4606">
      <c r="A4606" s="1" t="inlineStr">
        <is>
          <t>89246881583021</t>
        </is>
      </c>
      <c r="B4606" s="1" t="inlineStr">
        <is>
          <t>BROCHE CD GOLD ZIRCONIAS PEARL</t>
        </is>
      </c>
      <c r="C4606" s="1" t="inlineStr">
        <is>
          <t>Default Title</t>
        </is>
      </c>
      <c r="D4606" s="1" t="inlineStr">
        <is>
          <t>16/06/2026</t>
        </is>
      </c>
      <c r="E4606" s="1" t="n">
        <v>2026</v>
      </c>
      <c r="F4606" s="1" t="inlineStr">
        <is>
          <t>JUNIO</t>
        </is>
      </c>
      <c r="G4606" s="1" t="inlineStr">
        <is>
          <t>HAIFENG</t>
        </is>
      </c>
      <c r="H4606" s="1" t="inlineStr">
        <is>
          <t>HAIFENG 16/06/2026</t>
        </is>
      </c>
      <c r="I4606" s="4" t="n">
        <v>2</v>
      </c>
      <c r="J4606" s="6" t="n">
        <v>6</v>
      </c>
      <c r="K4606" s="6" t="n">
        <v>126.0876388</v>
      </c>
      <c r="L4606" s="6">
        <f>I4606*K4606</f>
        <v/>
      </c>
      <c r="M4606" s="6">
        <f>K4606*4</f>
        <v/>
      </c>
      <c r="N4606" s="6" t="n">
        <v>499</v>
      </c>
    </row>
    <row r="4607">
      <c r="A4607" s="1" t="inlineStr">
        <is>
          <t>89246881658733</t>
        </is>
      </c>
      <c r="B4607" s="1" t="inlineStr">
        <is>
          <t>PULSERA CD PETIT ZIRCONIAS GOLD</t>
        </is>
      </c>
      <c r="C4607" s="1" t="inlineStr">
        <is>
          <t>Default Title</t>
        </is>
      </c>
      <c r="D4607" s="1" t="inlineStr">
        <is>
          <t>16/04/2026</t>
        </is>
      </c>
      <c r="E4607" s="1" t="n">
        <v>2026</v>
      </c>
      <c r="F4607" s="1" t="inlineStr">
        <is>
          <t>ABRIL</t>
        </is>
      </c>
      <c r="G4607" s="1" t="inlineStr">
        <is>
          <t>HAIFENG</t>
        </is>
      </c>
      <c r="H4607" s="1" t="inlineStr">
        <is>
          <t>HAIFENG 16/04/2026</t>
        </is>
      </c>
      <c r="I4607" s="4" t="n">
        <v>2</v>
      </c>
      <c r="J4607" s="6" t="n">
        <v>4</v>
      </c>
      <c r="K4607" s="6" t="n">
        <v>84.12589436</v>
      </c>
      <c r="L4607" s="6">
        <f>I4607*K4607</f>
        <v/>
      </c>
      <c r="M4607" s="6">
        <f>K4607*4</f>
        <v/>
      </c>
      <c r="N4607" s="6" t="n">
        <v>400</v>
      </c>
    </row>
    <row r="4608">
      <c r="A4608" s="1" t="inlineStr">
        <is>
          <t>89246881737837</t>
        </is>
      </c>
      <c r="B4608" s="1" t="inlineStr">
        <is>
          <t>PULSERA CD PETIT ZIRCONIAS SILVER</t>
        </is>
      </c>
      <c r="C4608" s="1" t="inlineStr">
        <is>
          <t>Default Title</t>
        </is>
      </c>
      <c r="D4608" s="1" t="inlineStr">
        <is>
          <t>16/04/2026</t>
        </is>
      </c>
      <c r="E4608" s="1" t="n">
        <v>2026</v>
      </c>
      <c r="F4608" s="1" t="inlineStr">
        <is>
          <t>ABRIL</t>
        </is>
      </c>
      <c r="G4608" s="1" t="inlineStr">
        <is>
          <t>HAIFENG</t>
        </is>
      </c>
      <c r="H4608" s="1" t="inlineStr">
        <is>
          <t>HAIFENG 16/04/2026</t>
        </is>
      </c>
      <c r="I4608" s="4" t="n">
        <v>2</v>
      </c>
      <c r="J4608" s="6" t="n">
        <v>4</v>
      </c>
      <c r="K4608" s="6" t="n">
        <v>84.12589436</v>
      </c>
      <c r="L4608" s="6">
        <f>I4608*K4608</f>
        <v/>
      </c>
      <c r="M4608" s="6">
        <f>K4608*4</f>
        <v/>
      </c>
      <c r="N4608" s="6" t="n">
        <v>0</v>
      </c>
    </row>
    <row r="4609">
      <c r="A4609" s="1" t="inlineStr">
        <is>
          <t>89246881897741</t>
        </is>
      </c>
      <c r="B4609" s="1" t="inlineStr">
        <is>
          <t>COLLAR CD CHOKER</t>
        </is>
      </c>
      <c r="C4609" s="1" t="inlineStr">
        <is>
          <t>Default Title</t>
        </is>
      </c>
      <c r="D4609" s="1" t="inlineStr">
        <is>
          <t>16/04/2026</t>
        </is>
      </c>
      <c r="E4609" s="1" t="n">
        <v>2026</v>
      </c>
      <c r="F4609" s="1" t="inlineStr">
        <is>
          <t>ABRIL</t>
        </is>
      </c>
      <c r="G4609" s="1" t="inlineStr">
        <is>
          <t>HAIFENG</t>
        </is>
      </c>
      <c r="H4609" s="1" t="inlineStr">
        <is>
          <t>HAIFENG 16/04/2026</t>
        </is>
      </c>
      <c r="I4609" s="4" t="n">
        <v>2</v>
      </c>
      <c r="J4609" s="6" t="n">
        <v>4</v>
      </c>
      <c r="K4609" s="6" t="n">
        <v>84.12589436</v>
      </c>
      <c r="L4609" s="6">
        <f>I4609*K4609</f>
        <v/>
      </c>
      <c r="M4609" s="6">
        <f>K4609*4</f>
        <v/>
      </c>
      <c r="N4609" s="6" t="n">
        <v>400</v>
      </c>
    </row>
    <row r="4610">
      <c r="A4610" s="1" t="inlineStr">
        <is>
          <t>89246882037293</t>
        </is>
      </c>
      <c r="B4610" s="1" t="inlineStr">
        <is>
          <t>ARETES CD HALF PEARL</t>
        </is>
      </c>
      <c r="C4610" s="1" t="inlineStr">
        <is>
          <t>Default Title</t>
        </is>
      </c>
      <c r="D4610" s="1" t="inlineStr">
        <is>
          <t>16/04/2026</t>
        </is>
      </c>
      <c r="E4610" s="1" t="n">
        <v>2026</v>
      </c>
      <c r="F4610" s="1" t="inlineStr">
        <is>
          <t>ABRIL</t>
        </is>
      </c>
      <c r="G4610" s="1" t="inlineStr">
        <is>
          <t>HAIFENG</t>
        </is>
      </c>
      <c r="H4610" s="1" t="inlineStr">
        <is>
          <t>HAIFENG 16/04/2026</t>
        </is>
      </c>
      <c r="I4610" s="4" t="n">
        <v>2</v>
      </c>
      <c r="J4610" s="6" t="n">
        <v>4</v>
      </c>
      <c r="K4610" s="6" t="n">
        <v>84.12589436</v>
      </c>
      <c r="L4610" s="6">
        <f>I4610*K4610</f>
        <v/>
      </c>
      <c r="M4610" s="6">
        <f>K4610*4</f>
        <v/>
      </c>
      <c r="N4610" s="6" t="n">
        <v>400</v>
      </c>
    </row>
    <row r="4611">
      <c r="A4611" s="1" t="inlineStr">
        <is>
          <t>89246882101133</t>
        </is>
      </c>
      <c r="B4611" s="1" t="inlineStr">
        <is>
          <t>ARETES CD PEARL</t>
        </is>
      </c>
      <c r="C4611" s="1" t="inlineStr">
        <is>
          <t>Default Title</t>
        </is>
      </c>
      <c r="D4611" s="1" t="inlineStr">
        <is>
          <t>16/04/2026</t>
        </is>
      </c>
      <c r="E4611" s="1" t="n">
        <v>2026</v>
      </c>
      <c r="F4611" s="1" t="inlineStr">
        <is>
          <t>ABRIL</t>
        </is>
      </c>
      <c r="G4611" s="1" t="inlineStr">
        <is>
          <t>HAIFENG</t>
        </is>
      </c>
      <c r="H4611" s="1" t="inlineStr">
        <is>
          <t>HAIFENG 16/04/2026</t>
        </is>
      </c>
      <c r="I4611" s="4" t="n">
        <v>3</v>
      </c>
      <c r="J4611" s="6" t="n">
        <v>5</v>
      </c>
      <c r="K4611" s="6" t="n">
        <v>105.1573679</v>
      </c>
      <c r="L4611" s="6">
        <f>I4611*K4611</f>
        <v/>
      </c>
      <c r="M4611" s="6">
        <f>K4611*4</f>
        <v/>
      </c>
      <c r="N4611" s="6" t="n">
        <v>450</v>
      </c>
    </row>
    <row r="4612">
      <c r="A4612" s="1" t="inlineStr">
        <is>
          <t>89246882101133</t>
        </is>
      </c>
      <c r="B4612" s="1" t="inlineStr">
        <is>
          <t>ARETES CD PEARL</t>
        </is>
      </c>
      <c r="C4612" s="1" t="inlineStr">
        <is>
          <t>Default Title</t>
        </is>
      </c>
      <c r="D4612" s="1" t="inlineStr">
        <is>
          <t>16/06/2026</t>
        </is>
      </c>
      <c r="E4612" s="1" t="n">
        <v>2026</v>
      </c>
      <c r="F4612" s="1" t="inlineStr">
        <is>
          <t>JUNIO</t>
        </is>
      </c>
      <c r="G4612" s="1" t="inlineStr">
        <is>
          <t>HAIFENG</t>
        </is>
      </c>
      <c r="H4612" s="1" t="inlineStr">
        <is>
          <t>HAIFENG 16/06/2026</t>
        </is>
      </c>
      <c r="I4612" s="4" t="n">
        <v>3</v>
      </c>
      <c r="J4612" s="6" t="n">
        <v>5</v>
      </c>
      <c r="K4612" s="6" t="n">
        <v>105.0730323</v>
      </c>
      <c r="L4612" s="6">
        <f>I4612*K4612</f>
        <v/>
      </c>
      <c r="M4612" s="6">
        <f>K4612*4</f>
        <v/>
      </c>
      <c r="N4612" s="6" t="n">
        <v>450</v>
      </c>
    </row>
    <row r="4613">
      <c r="A4613" s="1" t="inlineStr">
        <is>
          <t>89246882202829</t>
        </is>
      </c>
      <c r="B4613" s="1" t="inlineStr">
        <is>
          <t>ARETES CD VINTAGE PEARL GOLD</t>
        </is>
      </c>
      <c r="C4613" s="1" t="inlineStr">
        <is>
          <t>Default Title</t>
        </is>
      </c>
      <c r="D4613" s="1" t="inlineStr">
        <is>
          <t>16/04/2026</t>
        </is>
      </c>
      <c r="E4613" s="1" t="n">
        <v>2026</v>
      </c>
      <c r="F4613" s="1" t="inlineStr">
        <is>
          <t>ABRIL</t>
        </is>
      </c>
      <c r="G4613" s="1" t="inlineStr">
        <is>
          <t>HAIFENG</t>
        </is>
      </c>
      <c r="H4613" s="1" t="inlineStr">
        <is>
          <t>HAIFENG 16/04/2026</t>
        </is>
      </c>
      <c r="I4613" s="4" t="n">
        <v>2</v>
      </c>
      <c r="J4613" s="6" t="n">
        <v>5</v>
      </c>
      <c r="K4613" s="6" t="n">
        <v>105.1573679</v>
      </c>
      <c r="L4613" s="6">
        <f>I4613*K4613</f>
        <v/>
      </c>
      <c r="M4613" s="6">
        <f>K4613*4</f>
        <v/>
      </c>
      <c r="N4613" s="6" t="n">
        <v>0</v>
      </c>
    </row>
    <row r="4614">
      <c r="A4614" s="1" t="inlineStr">
        <is>
          <t>89246882368365</t>
        </is>
      </c>
      <c r="B4614" s="1" t="inlineStr">
        <is>
          <t>ARETES CD TREASURE GOLD</t>
        </is>
      </c>
      <c r="C4614" s="1" t="inlineStr">
        <is>
          <t>Default Title</t>
        </is>
      </c>
      <c r="D4614" s="1" t="inlineStr">
        <is>
          <t>16/04/2026</t>
        </is>
      </c>
      <c r="E4614" s="1" t="n">
        <v>2026</v>
      </c>
      <c r="F4614" s="1" t="inlineStr">
        <is>
          <t>ABRIL</t>
        </is>
      </c>
      <c r="G4614" s="1" t="inlineStr">
        <is>
          <t>HAIFENG</t>
        </is>
      </c>
      <c r="H4614" s="1" t="inlineStr">
        <is>
          <t>HAIFENG 16/04/2026</t>
        </is>
      </c>
      <c r="I4614" s="4" t="n">
        <v>2</v>
      </c>
      <c r="J4614" s="6" t="n">
        <v>4</v>
      </c>
      <c r="K4614" s="6" t="n">
        <v>84.12589436</v>
      </c>
      <c r="L4614" s="6">
        <f>I4614*K4614</f>
        <v/>
      </c>
      <c r="M4614" s="6">
        <f>K4614*4</f>
        <v/>
      </c>
      <c r="N4614" s="6" t="n">
        <v>400</v>
      </c>
    </row>
    <row r="4615">
      <c r="A4615" s="1" t="inlineStr">
        <is>
          <t>89246882471757</t>
        </is>
      </c>
      <c r="B4615" s="1" t="inlineStr">
        <is>
          <t>ANILLO H ESCAPE SILVER</t>
        </is>
      </c>
      <c r="C4615" s="1" t="inlineStr">
        <is>
          <t>7</t>
        </is>
      </c>
      <c r="D4615" s="1" t="inlineStr">
        <is>
          <t>16/04/2026</t>
        </is>
      </c>
      <c r="E4615" s="1" t="n">
        <v>2026</v>
      </c>
      <c r="F4615" s="1" t="inlineStr">
        <is>
          <t>ABRIL</t>
        </is>
      </c>
      <c r="G4615" s="1" t="inlineStr">
        <is>
          <t>HAIFENG</t>
        </is>
      </c>
      <c r="H4615" s="1" t="inlineStr">
        <is>
          <t>HAIFENG 16/04/2026</t>
        </is>
      </c>
      <c r="I4615" s="4" t="n">
        <v>2</v>
      </c>
      <c r="J4615" s="6" t="n">
        <v>7</v>
      </c>
      <c r="K4615" s="6" t="n">
        <v>147.2203151</v>
      </c>
      <c r="L4615" s="6">
        <f>I4615*K4615</f>
        <v/>
      </c>
      <c r="M4615" s="6">
        <f>K4615*4</f>
        <v/>
      </c>
      <c r="N4615" s="6" t="n">
        <v>599</v>
      </c>
    </row>
    <row r="4616">
      <c r="A4616" s="1" t="inlineStr">
        <is>
          <t>89246882509613</t>
        </is>
      </c>
      <c r="B4616" s="1" t="inlineStr">
        <is>
          <t>ANILLO H KELLY SILVER</t>
        </is>
      </c>
      <c r="C4616" s="1" t="inlineStr">
        <is>
          <t>7</t>
        </is>
      </c>
      <c r="D4616" s="1" t="inlineStr">
        <is>
          <t>16/04/2026</t>
        </is>
      </c>
      <c r="E4616" s="1" t="n">
        <v>2026</v>
      </c>
      <c r="F4616" s="1" t="inlineStr">
        <is>
          <t>ABRIL</t>
        </is>
      </c>
      <c r="G4616" s="1" t="inlineStr">
        <is>
          <t>HAIFENG</t>
        </is>
      </c>
      <c r="H4616" s="1" t="inlineStr">
        <is>
          <t>HAIFENG 16/04/2026</t>
        </is>
      </c>
      <c r="I4616" s="4" t="n">
        <v>2</v>
      </c>
      <c r="J4616" s="6" t="n">
        <v>7</v>
      </c>
      <c r="K4616" s="6" t="n">
        <v>147.2203151</v>
      </c>
      <c r="L4616" s="6">
        <f>I4616*K4616</f>
        <v/>
      </c>
      <c r="M4616" s="6">
        <f>K4616*4</f>
        <v/>
      </c>
      <c r="N4616" s="6" t="n">
        <v>599</v>
      </c>
    </row>
    <row r="4617">
      <c r="A4617" s="1" t="inlineStr">
        <is>
          <t>89246882645773</t>
        </is>
      </c>
      <c r="B4617" s="1" t="inlineStr">
        <is>
          <t>PULSERA H FINESSE SILVER</t>
        </is>
      </c>
      <c r="C4617" s="1" t="inlineStr">
        <is>
          <t>Default Title</t>
        </is>
      </c>
      <c r="D4617" s="1" t="inlineStr">
        <is>
          <t>16/04/2026</t>
        </is>
      </c>
      <c r="E4617" s="1" t="n">
        <v>2026</v>
      </c>
      <c r="F4617" s="1" t="inlineStr">
        <is>
          <t>ABRIL</t>
        </is>
      </c>
      <c r="G4617" s="1" t="inlineStr">
        <is>
          <t>HAIFENG</t>
        </is>
      </c>
      <c r="H4617" s="1" t="inlineStr">
        <is>
          <t>HAIFENG 16/04/2026</t>
        </is>
      </c>
      <c r="I4617" s="4" t="n">
        <v>2</v>
      </c>
      <c r="J4617" s="6" t="n">
        <v>10</v>
      </c>
      <c r="K4617" s="6" t="n">
        <v>210.3147359</v>
      </c>
      <c r="L4617" s="6">
        <f>I4617*K4617</f>
        <v/>
      </c>
      <c r="M4617" s="6">
        <f>K4617*4</f>
        <v/>
      </c>
      <c r="N4617" s="6" t="n">
        <v>850</v>
      </c>
    </row>
    <row r="4618">
      <c r="A4618" s="1" t="inlineStr">
        <is>
          <t>89246882713005</t>
        </is>
      </c>
      <c r="B4618" s="1" t="inlineStr">
        <is>
          <t>BRAZALETE H ESLABONES CHAINE GOLD</t>
        </is>
      </c>
      <c r="C4618" s="1" t="inlineStr">
        <is>
          <t>Default Title</t>
        </is>
      </c>
      <c r="D4618" s="1" t="inlineStr">
        <is>
          <t>16/04/2026</t>
        </is>
      </c>
      <c r="E4618" s="1" t="n">
        <v>2026</v>
      </c>
      <c r="F4618" s="1" t="inlineStr">
        <is>
          <t>ABRIL</t>
        </is>
      </c>
      <c r="G4618" s="1" t="inlineStr">
        <is>
          <t>HAIFENG</t>
        </is>
      </c>
      <c r="H4618" s="1" t="inlineStr">
        <is>
          <t>HAIFENG 16/04/2026</t>
        </is>
      </c>
      <c r="I4618" s="4" t="n">
        <v>2</v>
      </c>
      <c r="J4618" s="6" t="n">
        <v>12</v>
      </c>
      <c r="K4618" s="6" t="n">
        <v>252.3776831</v>
      </c>
      <c r="L4618" s="6">
        <f>I4618*K4618</f>
        <v/>
      </c>
      <c r="M4618" s="6">
        <f>K4618*4</f>
        <v/>
      </c>
      <c r="N4618" s="6" t="n">
        <v>999</v>
      </c>
    </row>
    <row r="4619">
      <c r="A4619" s="1" t="inlineStr">
        <is>
          <t>89246882816397</t>
        </is>
      </c>
      <c r="B4619" s="1" t="inlineStr">
        <is>
          <t>BRAZALETE H FARANDOLE SILVER</t>
        </is>
      </c>
      <c r="C4619" s="1" t="inlineStr">
        <is>
          <t>Default Title</t>
        </is>
      </c>
      <c r="D4619" s="1" t="inlineStr">
        <is>
          <t>16/04/2026</t>
        </is>
      </c>
      <c r="E4619" s="1" t="n">
        <v>2026</v>
      </c>
      <c r="F4619" s="1" t="inlineStr">
        <is>
          <t>ABRIL</t>
        </is>
      </c>
      <c r="G4619" s="1" t="inlineStr">
        <is>
          <t>HAIFENG</t>
        </is>
      </c>
      <c r="H4619" s="1" t="inlineStr">
        <is>
          <t>HAIFENG 16/04/2026</t>
        </is>
      </c>
      <c r="I4619" s="4" t="n">
        <v>2</v>
      </c>
      <c r="J4619" s="6" t="n">
        <v>9</v>
      </c>
      <c r="K4619" s="6" t="n">
        <v>189.2832623</v>
      </c>
      <c r="L4619" s="6">
        <f>I4619*K4619</f>
        <v/>
      </c>
      <c r="M4619" s="6">
        <f>K4619*4</f>
        <v/>
      </c>
      <c r="N4619" s="6" t="n">
        <v>750</v>
      </c>
    </row>
    <row r="4620">
      <c r="A4620" s="1" t="inlineStr">
        <is>
          <t>89246882985325</t>
        </is>
      </c>
      <c r="B4620" s="1" t="inlineStr">
        <is>
          <t>COLLAR H CHAINE D'ANCRE GOLD</t>
        </is>
      </c>
      <c r="C4620" s="1" t="inlineStr">
        <is>
          <t>Default Title</t>
        </is>
      </c>
      <c r="D4620" s="1" t="inlineStr">
        <is>
          <t>16/04/2026</t>
        </is>
      </c>
      <c r="E4620" s="1" t="n">
        <v>2026</v>
      </c>
      <c r="F4620" s="1" t="inlineStr">
        <is>
          <t>ABRIL</t>
        </is>
      </c>
      <c r="G4620" s="1" t="inlineStr">
        <is>
          <t>HAIFENG</t>
        </is>
      </c>
      <c r="H4620" s="1" t="inlineStr">
        <is>
          <t>HAIFENG 16/04/2026</t>
        </is>
      </c>
      <c r="I4620" s="4" t="n">
        <v>2</v>
      </c>
      <c r="J4620" s="6" t="n">
        <v>10</v>
      </c>
      <c r="K4620" s="6" t="n">
        <v>210.3147359</v>
      </c>
      <c r="L4620" s="6">
        <f>I4620*K4620</f>
        <v/>
      </c>
      <c r="M4620" s="6">
        <f>K4620*4</f>
        <v/>
      </c>
      <c r="N4620" s="6" t="n">
        <v>850</v>
      </c>
    </row>
    <row r="4621">
      <c r="A4621" s="1" t="inlineStr">
        <is>
          <t>89246883050861</t>
        </is>
      </c>
      <c r="B4621" s="1" t="inlineStr">
        <is>
          <t>COLLAR H CHAINE GOLD</t>
        </is>
      </c>
      <c r="C4621" s="1" t="inlineStr">
        <is>
          <t>Default Title</t>
        </is>
      </c>
      <c r="D4621" s="1" t="inlineStr">
        <is>
          <t>16/04/2026</t>
        </is>
      </c>
      <c r="E4621" s="1" t="n">
        <v>2026</v>
      </c>
      <c r="F4621" s="1" t="inlineStr">
        <is>
          <t>ABRIL</t>
        </is>
      </c>
      <c r="G4621" s="1" t="inlineStr">
        <is>
          <t>HAIFENG</t>
        </is>
      </c>
      <c r="H4621" s="1" t="inlineStr">
        <is>
          <t>HAIFENG 16/04/2026</t>
        </is>
      </c>
      <c r="I4621" s="4" t="n">
        <v>2</v>
      </c>
      <c r="J4621" s="6" t="n">
        <v>7</v>
      </c>
      <c r="K4621" s="6" t="n">
        <v>147.2203151</v>
      </c>
      <c r="L4621" s="6">
        <f>I4621*K4621</f>
        <v/>
      </c>
      <c r="M4621" s="6">
        <f>K4621*4</f>
        <v/>
      </c>
      <c r="N4621" s="6" t="n">
        <v>599</v>
      </c>
    </row>
    <row r="4622">
      <c r="A4622" s="1" t="inlineStr">
        <is>
          <t>89246883152557</t>
        </is>
      </c>
      <c r="B4622" s="1" t="inlineStr">
        <is>
          <t>COLLAR H CHAINE GOLD ZIRCONIAS</t>
        </is>
      </c>
      <c r="C4622" s="1" t="inlineStr">
        <is>
          <t>Default Title</t>
        </is>
      </c>
      <c r="D4622" s="1" t="inlineStr">
        <is>
          <t>16/04/2026</t>
        </is>
      </c>
      <c r="E4622" s="1" t="n">
        <v>2026</v>
      </c>
      <c r="F4622" s="1" t="inlineStr">
        <is>
          <t>ABRIL</t>
        </is>
      </c>
      <c r="G4622" s="1" t="inlineStr">
        <is>
          <t>HAIFENG</t>
        </is>
      </c>
      <c r="H4622" s="1" t="inlineStr">
        <is>
          <t>HAIFENG 16/04/2026</t>
        </is>
      </c>
      <c r="I4622" s="4" t="n">
        <v>2</v>
      </c>
      <c r="J4622" s="6" t="n">
        <v>6.99</v>
      </c>
      <c r="K4622" s="6" t="n">
        <v>147.0100004</v>
      </c>
      <c r="L4622" s="6">
        <f>I4622*K4622</f>
        <v/>
      </c>
      <c r="M4622" s="6">
        <f>K4622*4</f>
        <v/>
      </c>
      <c r="N4622" s="6" t="n">
        <v>599</v>
      </c>
    </row>
    <row r="4623">
      <c r="A4623" s="1" t="inlineStr">
        <is>
          <t>89246883287021</t>
        </is>
      </c>
      <c r="B4623" s="1" t="inlineStr">
        <is>
          <t>ARETES H FINESSE SILVER</t>
        </is>
      </c>
      <c r="C4623" s="1" t="inlineStr">
        <is>
          <t>Default Title</t>
        </is>
      </c>
      <c r="D4623" s="1" t="inlineStr">
        <is>
          <t>16/04/2026</t>
        </is>
      </c>
      <c r="E4623" s="1" t="n">
        <v>2026</v>
      </c>
      <c r="F4623" s="1" t="inlineStr">
        <is>
          <t>ABRIL</t>
        </is>
      </c>
      <c r="G4623" s="1" t="inlineStr">
        <is>
          <t>HAIFENG</t>
        </is>
      </c>
      <c r="H4623" s="1" t="inlineStr">
        <is>
          <t>HAIFENG 16/04/2026</t>
        </is>
      </c>
      <c r="I4623" s="4" t="n">
        <v>2</v>
      </c>
      <c r="J4623" s="6" t="n">
        <v>6</v>
      </c>
      <c r="K4623" s="6" t="n">
        <v>126.1888415</v>
      </c>
      <c r="L4623" s="6">
        <f>I4623*K4623</f>
        <v/>
      </c>
      <c r="M4623" s="6">
        <f>K4623*4</f>
        <v/>
      </c>
      <c r="N4623" s="6" t="n">
        <v>499</v>
      </c>
    </row>
    <row r="4624">
      <c r="A4624" s="1" t="inlineStr">
        <is>
          <t>89246883343533</t>
        </is>
      </c>
      <c r="B4624" s="1" t="inlineStr">
        <is>
          <t>ARETES LOGO H GOLD ZIRCONIAS</t>
        </is>
      </c>
      <c r="C4624" s="1" t="inlineStr">
        <is>
          <t>Default Title</t>
        </is>
      </c>
      <c r="D4624" s="1" t="inlineStr">
        <is>
          <t>16/04/2026</t>
        </is>
      </c>
      <c r="E4624" s="1" t="n">
        <v>2026</v>
      </c>
      <c r="F4624" s="1" t="inlineStr">
        <is>
          <t>ABRIL</t>
        </is>
      </c>
      <c r="G4624" s="1" t="inlineStr">
        <is>
          <t>HAIFENG</t>
        </is>
      </c>
      <c r="H4624" s="1" t="inlineStr">
        <is>
          <t>HAIFENG 16/04/2026</t>
        </is>
      </c>
      <c r="I4624" s="4" t="n">
        <v>2</v>
      </c>
      <c r="J4624" s="6" t="n">
        <v>8</v>
      </c>
      <c r="K4624" s="6" t="n">
        <v>168.2517887</v>
      </c>
      <c r="L4624" s="6">
        <f>I4624*K4624</f>
        <v/>
      </c>
      <c r="M4624" s="6">
        <f>K4624*4</f>
        <v/>
      </c>
      <c r="N4624" s="6" t="n">
        <v>699</v>
      </c>
    </row>
    <row r="4625">
      <c r="A4625" s="1" t="inlineStr">
        <is>
          <t>89246883414157</t>
        </is>
      </c>
      <c r="B4625" s="1" t="inlineStr">
        <is>
          <t>ANILLO MOVE UNO SILVER ZIRCONIAS</t>
        </is>
      </c>
      <c r="C4625" s="1" t="inlineStr">
        <is>
          <t>7</t>
        </is>
      </c>
      <c r="D4625" s="1" t="inlineStr">
        <is>
          <t>16/04/2026</t>
        </is>
      </c>
      <c r="E4625" s="1" t="n">
        <v>2026</v>
      </c>
      <c r="F4625" s="1" t="inlineStr">
        <is>
          <t>ABRIL</t>
        </is>
      </c>
      <c r="G4625" s="1" t="inlineStr">
        <is>
          <t>HAIFENG</t>
        </is>
      </c>
      <c r="H4625" s="1" t="inlineStr">
        <is>
          <t>HAIFENG 16/04/2026</t>
        </is>
      </c>
      <c r="I4625" s="4" t="n">
        <v>2</v>
      </c>
      <c r="J4625" s="6" t="n">
        <v>5</v>
      </c>
      <c r="K4625" s="6" t="n">
        <v>105.1573679</v>
      </c>
      <c r="L4625" s="6">
        <f>I4625*K4625</f>
        <v/>
      </c>
      <c r="M4625" s="6">
        <f>K4625*4</f>
        <v/>
      </c>
      <c r="N4625" s="6" t="n">
        <v>450</v>
      </c>
    </row>
    <row r="4626">
      <c r="A4626" s="1" t="inlineStr">
        <is>
          <t>89246883546925</t>
        </is>
      </c>
      <c r="B4626" s="1" t="inlineStr">
        <is>
          <t>ANILLO MOVE UNO SILVER ZIRCONIAS</t>
        </is>
      </c>
      <c r="C4626" s="1" t="inlineStr">
        <is>
          <t>8</t>
        </is>
      </c>
      <c r="D4626" s="1" t="inlineStr">
        <is>
          <t>16/04/2026</t>
        </is>
      </c>
      <c r="E4626" s="1" t="n">
        <v>2026</v>
      </c>
      <c r="F4626" s="1" t="inlineStr">
        <is>
          <t>ABRIL</t>
        </is>
      </c>
      <c r="G4626" s="1" t="inlineStr">
        <is>
          <t>HAIFENG</t>
        </is>
      </c>
      <c r="H4626" s="1" t="inlineStr">
        <is>
          <t>HAIFENG 16/04/2026</t>
        </is>
      </c>
      <c r="I4626" s="4" t="n">
        <v>2</v>
      </c>
      <c r="J4626" s="6" t="n">
        <v>5</v>
      </c>
      <c r="K4626" s="6" t="n">
        <v>105.1573679</v>
      </c>
      <c r="L4626" s="6">
        <f>I4626*K4626</f>
        <v/>
      </c>
      <c r="M4626" s="6">
        <f>K4626*4</f>
        <v/>
      </c>
      <c r="N4626" s="6" t="n">
        <v>450</v>
      </c>
    </row>
    <row r="4627">
      <c r="A4627" s="1" t="inlineStr">
        <is>
          <t>89631571079533</t>
        </is>
      </c>
      <c r="B4627" s="1" t="inlineStr">
        <is>
          <t>BOLSO LV TOTE PILLOW BLACK</t>
        </is>
      </c>
      <c r="C4627" s="1" t="n"/>
      <c r="D4627" s="1" t="inlineStr">
        <is>
          <t>20/01/2026</t>
        </is>
      </c>
      <c r="E4627" s="1" t="n">
        <v>2026</v>
      </c>
      <c r="F4627" s="1" t="inlineStr">
        <is>
          <t>ENERO</t>
        </is>
      </c>
      <c r="G4627" s="1" t="inlineStr">
        <is>
          <t>ZOEY</t>
        </is>
      </c>
      <c r="H4627" s="1" t="inlineStr">
        <is>
          <t>ZOEY 20/01/2026</t>
        </is>
      </c>
      <c r="I4627" s="4" t="n">
        <v>1</v>
      </c>
      <c r="J4627" s="6" t="n">
        <v>48</v>
      </c>
      <c r="K4627" s="6" t="n">
        <v>1249.51677</v>
      </c>
      <c r="L4627" s="6">
        <f>I4627*K4627</f>
        <v/>
      </c>
      <c r="M4627" s="6">
        <f>K4627*4</f>
        <v/>
      </c>
      <c r="N4627" s="6" t="n">
        <v>5090</v>
      </c>
    </row>
    <row r="4628">
      <c r="A4628" s="1" t="inlineStr">
        <is>
          <t>89631571079533</t>
        </is>
      </c>
      <c r="B4628" s="1" t="inlineStr">
        <is>
          <t>BOLSO LV TOTE PILLOW BLACK</t>
        </is>
      </c>
      <c r="C4628" s="1" t="inlineStr">
        <is>
          <t>Default Title</t>
        </is>
      </c>
      <c r="D4628" s="1" t="inlineStr">
        <is>
          <t>19/03/2026</t>
        </is>
      </c>
      <c r="E4628" s="1" t="n">
        <v>2026</v>
      </c>
      <c r="F4628" s="1" t="inlineStr">
        <is>
          <t>MARZO</t>
        </is>
      </c>
      <c r="G4628" s="1" t="inlineStr">
        <is>
          <t>ZOEY</t>
        </is>
      </c>
      <c r="H4628" s="1" t="inlineStr">
        <is>
          <t>ZOEY 19/03/2026</t>
        </is>
      </c>
      <c r="I4628" s="4" t="n">
        <v>1</v>
      </c>
      <c r="J4628" s="6" t="n">
        <v>48</v>
      </c>
      <c r="K4628" s="6" t="n">
        <v>1237.538381</v>
      </c>
      <c r="L4628" s="6">
        <f>I4628*K4628</f>
        <v/>
      </c>
      <c r="M4628" s="6">
        <f>K4628*4</f>
        <v/>
      </c>
      <c r="N4628" s="6" t="n">
        <v>5090</v>
      </c>
    </row>
    <row r="4629">
      <c r="A4629" s="1" t="inlineStr">
        <is>
          <t>89631571079533</t>
        </is>
      </c>
      <c r="B4629" s="1" t="inlineStr">
        <is>
          <t>BOLSO LV TOTE PILLOW BLACK</t>
        </is>
      </c>
      <c r="C4629" s="1" t="inlineStr">
        <is>
          <t>Default Title</t>
        </is>
      </c>
      <c r="D4629" s="1" t="inlineStr">
        <is>
          <t>15/05/2026</t>
        </is>
      </c>
      <c r="E4629" s="1" t="n">
        <v>2026</v>
      </c>
      <c r="F4629" s="1" t="inlineStr">
        <is>
          <t>MAYO</t>
        </is>
      </c>
      <c r="G4629" s="1" t="inlineStr">
        <is>
          <t>ZOEY</t>
        </is>
      </c>
      <c r="H4629" s="1" t="inlineStr">
        <is>
          <t>ZOEY 15/05/2026</t>
        </is>
      </c>
      <c r="I4629" s="4" t="n">
        <v>3</v>
      </c>
      <c r="J4629" s="6" t="n">
        <v>48</v>
      </c>
      <c r="K4629" s="6" t="n">
        <v>1272.221975</v>
      </c>
      <c r="L4629" s="6">
        <f>I4629*K4629</f>
        <v/>
      </c>
      <c r="M4629" s="6">
        <f>K4629*4</f>
        <v/>
      </c>
      <c r="N4629" s="6" t="n">
        <v>5090</v>
      </c>
    </row>
    <row r="4630">
      <c r="A4630" s="1" t="inlineStr">
        <is>
          <t>89633861063789</t>
        </is>
      </c>
      <c r="B4630" s="1" t="inlineStr">
        <is>
          <t>ARETES CD ROUND LOGO CON ZIRCONIAS</t>
        </is>
      </c>
      <c r="C4630" s="1" t="inlineStr">
        <is>
          <t>HIGH QUALITY</t>
        </is>
      </c>
      <c r="D4630" s="1" t="inlineStr">
        <is>
          <t>22/10/2025</t>
        </is>
      </c>
      <c r="E4630" s="1" t="n">
        <v>2025</v>
      </c>
      <c r="F4630" s="1" t="inlineStr">
        <is>
          <t>OCTUBRE</t>
        </is>
      </c>
      <c r="G4630" s="1" t="inlineStr">
        <is>
          <t>HAIFENG</t>
        </is>
      </c>
      <c r="H4630" s="1" t="inlineStr">
        <is>
          <t>HAIFENG 22/10/2025</t>
        </is>
      </c>
      <c r="I4630" s="4" t="n">
        <v>2</v>
      </c>
      <c r="J4630" s="6" t="n">
        <v>6</v>
      </c>
      <c r="K4630" s="6" t="n">
        <v>126.7695721</v>
      </c>
      <c r="L4630" s="6">
        <f>I4630*K4630</f>
        <v/>
      </c>
      <c r="M4630" s="6">
        <f>K4630*4</f>
        <v/>
      </c>
      <c r="N4630" s="6" t="n">
        <v>599</v>
      </c>
    </row>
    <row r="4631">
      <c r="A4631" s="1" t="inlineStr">
        <is>
          <t>89633861063789</t>
        </is>
      </c>
      <c r="B4631" s="1" t="inlineStr">
        <is>
          <t>ARETES CD ROUND LOGO CON ZIRCONIAS</t>
        </is>
      </c>
      <c r="C4631" s="1" t="inlineStr">
        <is>
          <t>HIGH QUALITY</t>
        </is>
      </c>
      <c r="D4631" s="1" t="inlineStr">
        <is>
          <t>25/10/2025</t>
        </is>
      </c>
      <c r="E4631" s="1" t="n">
        <v>2025</v>
      </c>
      <c r="F4631" s="1" t="inlineStr">
        <is>
          <t>OCTUBRE</t>
        </is>
      </c>
      <c r="G4631" s="1" t="inlineStr">
        <is>
          <t>CYNTHIA</t>
        </is>
      </c>
      <c r="H4631" s="1" t="inlineStr">
        <is>
          <t>CYNTHIA 25/10/2025</t>
        </is>
      </c>
      <c r="I4631" s="4" t="n">
        <v>3</v>
      </c>
      <c r="J4631" s="6" t="n">
        <v>7</v>
      </c>
      <c r="K4631" s="6" t="n">
        <v>183.4127651</v>
      </c>
      <c r="L4631" s="6">
        <f>I4631*K4631</f>
        <v/>
      </c>
      <c r="M4631" s="6">
        <f>K4631*4</f>
        <v/>
      </c>
      <c r="N4631" s="6" t="n">
        <v>599</v>
      </c>
    </row>
    <row r="4632">
      <c r="A4632" s="1" t="inlineStr">
        <is>
          <t>89633861063789</t>
        </is>
      </c>
      <c r="B4632" s="1" t="inlineStr">
        <is>
          <t>ARETES CD ROUND LOGO CON ZIRCONIAS</t>
        </is>
      </c>
      <c r="C4632" s="1" t="inlineStr">
        <is>
          <t>HIGH QUALITY</t>
        </is>
      </c>
      <c r="D4632" s="1" t="inlineStr">
        <is>
          <t>07/01/2026</t>
        </is>
      </c>
      <c r="E4632" s="1" t="n">
        <v>2026</v>
      </c>
      <c r="F4632" s="1" t="inlineStr">
        <is>
          <t>ENERO</t>
        </is>
      </c>
      <c r="G4632" s="1" t="inlineStr">
        <is>
          <t>CYNTHIA</t>
        </is>
      </c>
      <c r="H4632" s="1" t="inlineStr">
        <is>
          <t>CYNTHIA 07/01/2026</t>
        </is>
      </c>
      <c r="I4632" s="4" t="n">
        <v>5</v>
      </c>
      <c r="J4632" s="6" t="n">
        <v>7</v>
      </c>
      <c r="K4632" s="6" t="n">
        <v>186.1119937</v>
      </c>
      <c r="L4632" s="6">
        <f>I4632*K4632</f>
        <v/>
      </c>
      <c r="M4632" s="6">
        <f>K4632*4</f>
        <v/>
      </c>
      <c r="N4632" s="6" t="n">
        <v>749</v>
      </c>
    </row>
    <row r="4633">
      <c r="A4633" s="1" t="inlineStr">
        <is>
          <t>89668081080557</t>
        </is>
      </c>
      <c r="B4633" s="1" t="inlineStr">
        <is>
          <t>COLLAR MSS MOVE UNO GOLD</t>
        </is>
      </c>
      <c r="C4633" s="1" t="inlineStr">
        <is>
          <t>Default Title</t>
        </is>
      </c>
      <c r="D4633" s="1" t="inlineStr">
        <is>
          <t>01/09/2025</t>
        </is>
      </c>
      <c r="E4633" s="1" t="n">
        <v>2025</v>
      </c>
      <c r="F4633" s="1" t="inlineStr">
        <is>
          <t>SEPTIEMBRE</t>
        </is>
      </c>
      <c r="G4633" s="1" t="inlineStr">
        <is>
          <t>HAIFENG</t>
        </is>
      </c>
      <c r="H4633" s="1" t="inlineStr">
        <is>
          <t>HAIFENG 01/09/2025</t>
        </is>
      </c>
      <c r="I4633" s="4" t="n">
        <v>3</v>
      </c>
      <c r="J4633" s="6" t="n">
        <v>8</v>
      </c>
      <c r="K4633" s="6" t="n">
        <v>170.0453685</v>
      </c>
      <c r="L4633" s="6">
        <f>I4633*K4633</f>
        <v/>
      </c>
      <c r="M4633" s="6">
        <f>K4633*4</f>
        <v/>
      </c>
      <c r="N4633" s="6" t="n">
        <v>659.2</v>
      </c>
    </row>
    <row r="4634">
      <c r="A4634" s="1" t="inlineStr">
        <is>
          <t>89668081080557</t>
        </is>
      </c>
      <c r="B4634" s="1" t="inlineStr">
        <is>
          <t>COLLAR MSS MOVE UNO GOLD</t>
        </is>
      </c>
      <c r="C4634" s="1" t="inlineStr">
        <is>
          <t>Default Title</t>
        </is>
      </c>
      <c r="D4634" s="1" t="inlineStr">
        <is>
          <t>03/12/2025</t>
        </is>
      </c>
      <c r="E4634" s="1" t="n">
        <v>2025</v>
      </c>
      <c r="F4634" s="1" t="inlineStr">
        <is>
          <t>DICIEMBRE</t>
        </is>
      </c>
      <c r="G4634" s="1" t="inlineStr">
        <is>
          <t>HAIFENG</t>
        </is>
      </c>
      <c r="H4634" s="1" t="inlineStr">
        <is>
          <t>HAIFENG 03/12/2025</t>
        </is>
      </c>
      <c r="I4634" s="4" t="n">
        <v>2</v>
      </c>
      <c r="J4634" s="6" t="n">
        <v>8</v>
      </c>
      <c r="K4634" s="6" t="n">
        <v>167.3372801</v>
      </c>
      <c r="L4634" s="6">
        <f>I4634*K4634</f>
        <v/>
      </c>
      <c r="M4634" s="6">
        <f>K4634*4</f>
        <v/>
      </c>
      <c r="N4634" s="6" t="n">
        <v>659.2</v>
      </c>
    </row>
    <row r="4635">
      <c r="A4635" s="1" t="inlineStr">
        <is>
          <t>89668081080557</t>
        </is>
      </c>
      <c r="B4635" s="1" t="inlineStr">
        <is>
          <t>COLLAR MSS MOVE UNO GOLD</t>
        </is>
      </c>
      <c r="C4635" s="1" t="inlineStr">
        <is>
          <t>Default Title</t>
        </is>
      </c>
      <c r="D4635" s="1" t="inlineStr">
        <is>
          <t>16/04/2026</t>
        </is>
      </c>
      <c r="E4635" s="1" t="n">
        <v>2026</v>
      </c>
      <c r="F4635" s="1" t="inlineStr">
        <is>
          <t>ABRIL</t>
        </is>
      </c>
      <c r="G4635" s="1" t="inlineStr">
        <is>
          <t>HAIFENG</t>
        </is>
      </c>
      <c r="H4635" s="1" t="inlineStr">
        <is>
          <t>HAIFENG 16/04/2026</t>
        </is>
      </c>
      <c r="I4635" s="4" t="n">
        <v>10</v>
      </c>
      <c r="J4635" s="6" t="n">
        <v>8</v>
      </c>
      <c r="K4635" s="6" t="n">
        <v>168.2517887</v>
      </c>
      <c r="L4635" s="6">
        <f>I4635*K4635</f>
        <v/>
      </c>
      <c r="M4635" s="6">
        <f>K4635*4</f>
        <v/>
      </c>
      <c r="N4635" s="6" t="n">
        <v>659.2</v>
      </c>
    </row>
    <row r="4636">
      <c r="A4636" s="1" t="inlineStr">
        <is>
          <t>89668081080557</t>
        </is>
      </c>
      <c r="B4636" s="1" t="inlineStr">
        <is>
          <t>COLLAR MSS MOVE UNO GOLD</t>
        </is>
      </c>
      <c r="C4636" s="1" t="inlineStr">
        <is>
          <t>Default Title</t>
        </is>
      </c>
      <c r="D4636" s="1" t="inlineStr">
        <is>
          <t>16/06/2026</t>
        </is>
      </c>
      <c r="E4636" s="1" t="n">
        <v>2026</v>
      </c>
      <c r="F4636" s="1" t="inlineStr">
        <is>
          <t>JUNIO</t>
        </is>
      </c>
      <c r="G4636" s="1" t="inlineStr">
        <is>
          <t>HAIFENG</t>
        </is>
      </c>
      <c r="H4636" s="1" t="inlineStr">
        <is>
          <t>HAIFENG 16/06/2026</t>
        </is>
      </c>
      <c r="I4636" s="4" t="n">
        <v>8</v>
      </c>
      <c r="J4636" s="6" t="n">
        <v>8</v>
      </c>
      <c r="K4636" s="6" t="n">
        <v>168.1168517</v>
      </c>
      <c r="L4636" s="6">
        <f>I4636*K4636</f>
        <v/>
      </c>
      <c r="M4636" s="6">
        <f>K4636*4</f>
        <v/>
      </c>
      <c r="N4636" s="6" t="n">
        <v>659.2</v>
      </c>
    </row>
    <row r="4637">
      <c r="A4637" s="1" t="inlineStr">
        <is>
          <t>89695511098893</t>
        </is>
      </c>
      <c r="B4637" s="1" t="inlineStr">
        <is>
          <t>COLLAR BV SILVER CON ZIRCONIA ALREDEDOR</t>
        </is>
      </c>
      <c r="C4637" s="1" t="inlineStr">
        <is>
          <t>Default Title</t>
        </is>
      </c>
      <c r="D4637" s="1" t="inlineStr">
        <is>
          <t>25/09/2025</t>
        </is>
      </c>
      <c r="E4637" s="1" t="n">
        <v>2025</v>
      </c>
      <c r="F4637" s="1" t="inlineStr">
        <is>
          <t>SEPTIEMBRE</t>
        </is>
      </c>
      <c r="G4637" s="1" t="inlineStr">
        <is>
          <t>HAIFENG</t>
        </is>
      </c>
      <c r="H4637" s="1" t="inlineStr">
        <is>
          <t>HAIFENG 25/09/2025</t>
        </is>
      </c>
      <c r="I4637" s="4" t="n">
        <v>2</v>
      </c>
      <c r="J4637" s="6" t="n">
        <v>7.5</v>
      </c>
      <c r="K4637" s="6" t="n">
        <v>158.2266433</v>
      </c>
      <c r="L4637" s="6">
        <f>I4637*K4637</f>
        <v/>
      </c>
      <c r="M4637" s="6">
        <f>K4637*4</f>
        <v/>
      </c>
      <c r="N4637" s="6" t="n">
        <v>659</v>
      </c>
    </row>
    <row r="4638">
      <c r="A4638" s="1" t="inlineStr">
        <is>
          <t>89695511098893</t>
        </is>
      </c>
      <c r="B4638" s="1" t="inlineStr">
        <is>
          <t>COLLAR BV SILVER CON ZIRCONIA ALREDEDOR</t>
        </is>
      </c>
      <c r="C4638" s="1" t="inlineStr">
        <is>
          <t>Default Title</t>
        </is>
      </c>
      <c r="D4638" s="1" t="inlineStr">
        <is>
          <t>22/10/2025</t>
        </is>
      </c>
      <c r="E4638" s="1" t="n">
        <v>2025</v>
      </c>
      <c r="F4638" s="1" t="inlineStr">
        <is>
          <t>OCTUBRE</t>
        </is>
      </c>
      <c r="G4638" s="1" t="inlineStr">
        <is>
          <t>HAIFENG</t>
        </is>
      </c>
      <c r="H4638" s="1" t="inlineStr">
        <is>
          <t>HAIFENG 22/10/2025</t>
        </is>
      </c>
      <c r="I4638" s="4" t="n">
        <v>2</v>
      </c>
      <c r="J4638" s="6" t="n">
        <v>8</v>
      </c>
      <c r="K4638" s="6" t="n">
        <v>169.0260961</v>
      </c>
      <c r="L4638" s="6">
        <f>I4638*K4638</f>
        <v/>
      </c>
      <c r="M4638" s="6">
        <f>K4638*4</f>
        <v/>
      </c>
      <c r="N4638" s="6" t="n">
        <v>659</v>
      </c>
    </row>
    <row r="4639">
      <c r="A4639" s="1" t="inlineStr">
        <is>
          <t>89695511098893</t>
        </is>
      </c>
      <c r="B4639" s="1" t="inlineStr">
        <is>
          <t>COLLAR BV SILVER CON ZIRCONIA ALREDEDOR</t>
        </is>
      </c>
      <c r="C4639" s="1" t="inlineStr">
        <is>
          <t>Default Title</t>
        </is>
      </c>
      <c r="D4639" s="1" t="inlineStr">
        <is>
          <t>20/01/2026</t>
        </is>
      </c>
      <c r="E4639" s="1" t="n">
        <v>2026</v>
      </c>
      <c r="F4639" s="1" t="inlineStr">
        <is>
          <t>ENERO</t>
        </is>
      </c>
      <c r="G4639" s="1" t="inlineStr">
        <is>
          <t>HAIFENG</t>
        </is>
      </c>
      <c r="H4639" s="1" t="inlineStr">
        <is>
          <t>HAIFENG 20/01/2026</t>
        </is>
      </c>
      <c r="I4639" s="4" t="n">
        <v>1</v>
      </c>
      <c r="J4639" s="6" t="n">
        <v>7.5</v>
      </c>
      <c r="K4639" s="6" t="n">
        <v>159.0031334</v>
      </c>
      <c r="L4639" s="6">
        <f>I4639*K4639</f>
        <v/>
      </c>
      <c r="M4639" s="6">
        <f>K4639*4</f>
        <v/>
      </c>
      <c r="N4639" s="6" t="n">
        <v>659</v>
      </c>
    </row>
    <row r="4640">
      <c r="A4640" s="1" t="inlineStr">
        <is>
          <t>89695511098893</t>
        </is>
      </c>
      <c r="B4640" s="1" t="inlineStr">
        <is>
          <t>COLLAR BV SILVER CON ZIRCONIA ALREDEDOR</t>
        </is>
      </c>
      <c r="C4640" s="1" t="inlineStr">
        <is>
          <t>Default Title</t>
        </is>
      </c>
      <c r="D4640" s="1" t="inlineStr">
        <is>
          <t>10/02/2026</t>
        </is>
      </c>
      <c r="E4640" s="1" t="n">
        <v>2026</v>
      </c>
      <c r="F4640" s="1" t="inlineStr">
        <is>
          <t>FEBRERO</t>
        </is>
      </c>
      <c r="G4640" s="1" t="inlineStr">
        <is>
          <t>HAIFENG</t>
        </is>
      </c>
      <c r="H4640" s="1" t="inlineStr">
        <is>
          <t>HAIFENG 10/02/2026</t>
        </is>
      </c>
      <c r="I4640" s="4" t="n">
        <v>5</v>
      </c>
      <c r="J4640" s="6" t="n">
        <v>7.5</v>
      </c>
      <c r="K4640" s="6" t="n">
        <v>158.0137205</v>
      </c>
      <c r="L4640" s="6">
        <f>I4640*K4640</f>
        <v/>
      </c>
      <c r="M4640" s="6">
        <f>K4640*4</f>
        <v/>
      </c>
      <c r="N4640" s="6" t="n">
        <v>659</v>
      </c>
    </row>
    <row r="4641">
      <c r="A4641" s="1" t="inlineStr">
        <is>
          <t>89695511098893</t>
        </is>
      </c>
      <c r="B4641" s="1" t="inlineStr">
        <is>
          <t>COLLAR BV SILVER CON ZIRCONIA ALREDEDOR</t>
        </is>
      </c>
      <c r="C4641" s="1" t="inlineStr">
        <is>
          <t>Default Title</t>
        </is>
      </c>
      <c r="D4641" s="1" t="inlineStr">
        <is>
          <t>16/06/2026</t>
        </is>
      </c>
      <c r="E4641" s="1" t="n">
        <v>2026</v>
      </c>
      <c r="F4641" s="1" t="inlineStr">
        <is>
          <t>JUNIO</t>
        </is>
      </c>
      <c r="G4641" s="1" t="inlineStr">
        <is>
          <t>HAIFENG</t>
        </is>
      </c>
      <c r="H4641" s="1" t="inlineStr">
        <is>
          <t>HAIFENG 16/06/2026</t>
        </is>
      </c>
      <c r="I4641" s="4" t="n">
        <v>2</v>
      </c>
      <c r="J4641" s="6" t="n">
        <v>7.5</v>
      </c>
      <c r="K4641" s="6" t="n">
        <v>157.6095484</v>
      </c>
      <c r="L4641" s="6">
        <f>I4641*K4641</f>
        <v/>
      </c>
      <c r="M4641" s="6">
        <f>K4641*4</f>
        <v/>
      </c>
      <c r="N4641" s="6" t="n">
        <v>659</v>
      </c>
    </row>
    <row r="4642">
      <c r="A4642" s="1" t="inlineStr">
        <is>
          <t>89790741012877</t>
        </is>
      </c>
      <c r="B4642" s="1" t="inlineStr">
        <is>
          <t>ARETES T SILVER LISO</t>
        </is>
      </c>
      <c r="C4642" s="1" t="inlineStr">
        <is>
          <t>Default Title</t>
        </is>
      </c>
      <c r="D4642" s="1" t="inlineStr">
        <is>
          <t>25/09/2025</t>
        </is>
      </c>
      <c r="E4642" s="1" t="n">
        <v>2025</v>
      </c>
      <c r="F4642" s="1" t="inlineStr">
        <is>
          <t>SEPTIEMBRE</t>
        </is>
      </c>
      <c r="G4642" s="1" t="inlineStr">
        <is>
          <t>HAIFENG</t>
        </is>
      </c>
      <c r="H4642" s="1" t="inlineStr">
        <is>
          <t>HAIFENG 25/09/2025</t>
        </is>
      </c>
      <c r="I4642" s="4" t="n">
        <v>3</v>
      </c>
      <c r="J4642" s="6" t="n">
        <v>5</v>
      </c>
      <c r="K4642" s="6" t="n">
        <v>105.4844288</v>
      </c>
      <c r="L4642" s="6">
        <f>I4642*K4642</f>
        <v/>
      </c>
      <c r="M4642" s="6">
        <f>K4642*4</f>
        <v/>
      </c>
      <c r="N4642" s="6" t="n">
        <v>580</v>
      </c>
    </row>
    <row r="4643">
      <c r="A4643" s="1" t="inlineStr">
        <is>
          <t>89790741012877</t>
        </is>
      </c>
      <c r="B4643" s="1" t="inlineStr">
        <is>
          <t>ARETES T SILVER LISO</t>
        </is>
      </c>
      <c r="C4643" s="1" t="inlineStr">
        <is>
          <t>Default Title</t>
        </is>
      </c>
      <c r="D4643" s="1" t="inlineStr">
        <is>
          <t>20/01/2026</t>
        </is>
      </c>
      <c r="E4643" s="1" t="n">
        <v>2026</v>
      </c>
      <c r="F4643" s="1" t="inlineStr">
        <is>
          <t>ENERO</t>
        </is>
      </c>
      <c r="G4643" s="1" t="inlineStr">
        <is>
          <t>HAIFENG</t>
        </is>
      </c>
      <c r="H4643" s="1" t="inlineStr">
        <is>
          <t>HAIFENG 20/01/2026</t>
        </is>
      </c>
      <c r="I4643" s="4" t="n">
        <v>2</v>
      </c>
      <c r="J4643" s="6" t="n">
        <v>7</v>
      </c>
      <c r="K4643" s="6" t="n">
        <v>148.4029245</v>
      </c>
      <c r="L4643" s="6">
        <f>I4643*K4643</f>
        <v/>
      </c>
      <c r="M4643" s="6">
        <f>K4643*4</f>
        <v/>
      </c>
      <c r="N4643" s="6" t="n">
        <v>580</v>
      </c>
    </row>
    <row r="4644">
      <c r="A4644" s="1" t="inlineStr">
        <is>
          <t>89790741012877</t>
        </is>
      </c>
      <c r="B4644" s="1" t="inlineStr">
        <is>
          <t>ARETES T SILVER LISO</t>
        </is>
      </c>
      <c r="C4644" s="1" t="inlineStr">
        <is>
          <t>Default Title</t>
        </is>
      </c>
      <c r="D4644" s="1" t="inlineStr">
        <is>
          <t>06/05/2026</t>
        </is>
      </c>
      <c r="E4644" s="1" t="n">
        <v>2026</v>
      </c>
      <c r="F4644" s="1" t="inlineStr">
        <is>
          <t>MAYO</t>
        </is>
      </c>
      <c r="G4644" s="1" t="inlineStr">
        <is>
          <t>HAIFENG</t>
        </is>
      </c>
      <c r="H4644" s="1" t="inlineStr">
        <is>
          <t>HAIFENG 06/05/2026</t>
        </is>
      </c>
      <c r="I4644" s="4" t="n">
        <v>3</v>
      </c>
      <c r="J4644" s="6" t="n">
        <v>5</v>
      </c>
      <c r="K4644" s="6" t="n">
        <v>106.0932113</v>
      </c>
      <c r="L4644" s="6">
        <f>I4644*K4644</f>
        <v/>
      </c>
      <c r="M4644" s="6">
        <f>K4644*4</f>
        <v/>
      </c>
      <c r="N4644" s="6" t="n">
        <v>580</v>
      </c>
    </row>
    <row r="4645">
      <c r="A4645" s="1" t="inlineStr">
        <is>
          <t>89790741157517</t>
        </is>
      </c>
      <c r="B4645" s="1" t="inlineStr">
        <is>
          <t>ARETES T SILVER GOLD</t>
        </is>
      </c>
      <c r="C4645" s="1" t="inlineStr">
        <is>
          <t>Default Title</t>
        </is>
      </c>
      <c r="D4645" s="1" t="inlineStr">
        <is>
          <t>25/09/2025</t>
        </is>
      </c>
      <c r="E4645" s="1" t="n">
        <v>2025</v>
      </c>
      <c r="F4645" s="1" t="inlineStr">
        <is>
          <t>SEPTIEMBRE</t>
        </is>
      </c>
      <c r="G4645" s="1" t="inlineStr">
        <is>
          <t>HAIFENG</t>
        </is>
      </c>
      <c r="H4645" s="1" t="inlineStr">
        <is>
          <t>HAIFENG 25/09/2025</t>
        </is>
      </c>
      <c r="I4645" s="4" t="n">
        <v>3</v>
      </c>
      <c r="J4645" s="6" t="n">
        <v>5</v>
      </c>
      <c r="K4645" s="6" t="n">
        <v>105.4844288</v>
      </c>
      <c r="L4645" s="6">
        <f>I4645*K4645</f>
        <v/>
      </c>
      <c r="M4645" s="6">
        <f>K4645*4</f>
        <v/>
      </c>
      <c r="N4645" s="6" t="n">
        <v>599</v>
      </c>
    </row>
    <row r="4646">
      <c r="A4646" s="1" t="inlineStr">
        <is>
          <t>89790741157517</t>
        </is>
      </c>
      <c r="B4646" s="1" t="inlineStr">
        <is>
          <t>ARETES T GOLD LISO</t>
        </is>
      </c>
      <c r="C4646" s="1" t="inlineStr">
        <is>
          <t>Default Title</t>
        </is>
      </c>
      <c r="D4646" s="1" t="inlineStr">
        <is>
          <t>20/01/2026</t>
        </is>
      </c>
      <c r="E4646" s="1" t="n">
        <v>2026</v>
      </c>
      <c r="F4646" s="1" t="inlineStr">
        <is>
          <t>ENERO</t>
        </is>
      </c>
      <c r="G4646" s="1" t="inlineStr">
        <is>
          <t>HAIFENG</t>
        </is>
      </c>
      <c r="H4646" s="1" t="inlineStr">
        <is>
          <t>HAIFENG 20/01/2026</t>
        </is>
      </c>
      <c r="I4646" s="4" t="n">
        <v>5</v>
      </c>
      <c r="J4646" s="6" t="n">
        <v>7</v>
      </c>
      <c r="K4646" s="6" t="n">
        <v>148.4029245</v>
      </c>
      <c r="L4646" s="6">
        <f>I4646*K4646</f>
        <v/>
      </c>
      <c r="M4646" s="6">
        <f>K4646*4</f>
        <v/>
      </c>
      <c r="N4646" s="6" t="n">
        <v>599</v>
      </c>
    </row>
    <row r="4647">
      <c r="A4647" s="1" t="inlineStr">
        <is>
          <t>89790741157517</t>
        </is>
      </c>
      <c r="B4647" s="1" t="inlineStr">
        <is>
          <t>ARETES T GOLD LISO</t>
        </is>
      </c>
      <c r="C4647" s="1" t="inlineStr">
        <is>
          <t>Default Title</t>
        </is>
      </c>
      <c r="D4647" s="1" t="inlineStr">
        <is>
          <t>16/04/2026</t>
        </is>
      </c>
      <c r="E4647" s="1" t="n">
        <v>2026</v>
      </c>
      <c r="F4647" s="1" t="inlineStr">
        <is>
          <t>ABRIL</t>
        </is>
      </c>
      <c r="G4647" s="1" t="inlineStr">
        <is>
          <t>HAIFENG</t>
        </is>
      </c>
      <c r="H4647" s="1" t="inlineStr">
        <is>
          <t>HAIFENG 16/04/2026</t>
        </is>
      </c>
      <c r="I4647" s="4" t="n">
        <v>3</v>
      </c>
      <c r="J4647" s="6" t="n">
        <v>7</v>
      </c>
      <c r="K4647" s="6" t="n">
        <v>147.2203151</v>
      </c>
      <c r="L4647" s="6">
        <f>I4647*K4647</f>
        <v/>
      </c>
      <c r="M4647" s="6">
        <f>K4647*4</f>
        <v/>
      </c>
      <c r="N4647" s="6" t="n">
        <v>599</v>
      </c>
    </row>
    <row r="4648">
      <c r="A4648" s="1" t="inlineStr">
        <is>
          <t>89790741157517</t>
        </is>
      </c>
      <c r="B4648" s="1" t="inlineStr">
        <is>
          <t>ARETES T GOLD LISO</t>
        </is>
      </c>
      <c r="C4648" s="1" t="inlineStr">
        <is>
          <t>Default Title</t>
        </is>
      </c>
      <c r="D4648" s="1" t="inlineStr">
        <is>
          <t>26/05/2026</t>
        </is>
      </c>
      <c r="E4648" s="1" t="n">
        <v>2026</v>
      </c>
      <c r="F4648" s="1" t="inlineStr">
        <is>
          <t>MAYO</t>
        </is>
      </c>
      <c r="G4648" s="1" t="inlineStr">
        <is>
          <t>HAIFENG</t>
        </is>
      </c>
      <c r="H4648" s="1" t="inlineStr">
        <is>
          <t>HAIFENG 26/05/2026</t>
        </is>
      </c>
      <c r="I4648" s="4" t="n">
        <v>3</v>
      </c>
      <c r="J4648" s="6" t="n">
        <v>7</v>
      </c>
      <c r="K4648" s="6" t="n">
        <v>146.9250671</v>
      </c>
      <c r="L4648" s="6">
        <f>I4648*K4648</f>
        <v/>
      </c>
      <c r="M4648" s="6">
        <f>K4648*4</f>
        <v/>
      </c>
      <c r="N4648" s="6" t="n">
        <v>599</v>
      </c>
    </row>
    <row r="4649">
      <c r="A4649" s="1" t="inlineStr">
        <is>
          <t>89790741157517</t>
        </is>
      </c>
      <c r="B4649" s="1" t="inlineStr">
        <is>
          <t>ARETES T GOLD LISO</t>
        </is>
      </c>
      <c r="C4649" s="1" t="inlineStr">
        <is>
          <t>Default Title</t>
        </is>
      </c>
      <c r="D4649" s="1" t="inlineStr">
        <is>
          <t>16/06/2026</t>
        </is>
      </c>
      <c r="E4649" s="1" t="n">
        <v>2026</v>
      </c>
      <c r="F4649" s="1" t="inlineStr">
        <is>
          <t>JUNIO</t>
        </is>
      </c>
      <c r="G4649" s="1" t="inlineStr">
        <is>
          <t>HAIFENG</t>
        </is>
      </c>
      <c r="H4649" s="1" t="inlineStr">
        <is>
          <t>HAIFENG 16/06/2026</t>
        </is>
      </c>
      <c r="I4649" s="4" t="n">
        <v>2</v>
      </c>
      <c r="J4649" s="6" t="n">
        <v>7</v>
      </c>
      <c r="K4649" s="6" t="n">
        <v>147.1022452</v>
      </c>
      <c r="L4649" s="6">
        <f>I4649*K4649</f>
        <v/>
      </c>
      <c r="M4649" s="6">
        <f>K4649*4</f>
        <v/>
      </c>
      <c r="N4649" s="6" t="n">
        <v>599</v>
      </c>
    </row>
    <row r="4650">
      <c r="A4650" s="1" t="inlineStr">
        <is>
          <t>89790741264077</t>
        </is>
      </c>
      <c r="B4650" s="1" t="inlineStr">
        <is>
          <t>ARETES T ROSEGOLD CON ZIRCONIA</t>
        </is>
      </c>
      <c r="C4650" s="1" t="inlineStr">
        <is>
          <t>Default Title</t>
        </is>
      </c>
      <c r="D4650" s="1" t="inlineStr">
        <is>
          <t>11/03/2026</t>
        </is>
      </c>
      <c r="E4650" s="1" t="n">
        <v>2026</v>
      </c>
      <c r="F4650" s="1" t="inlineStr">
        <is>
          <t>MARZO</t>
        </is>
      </c>
      <c r="G4650" s="1" t="inlineStr">
        <is>
          <t>HAIFENG</t>
        </is>
      </c>
      <c r="H4650" s="1" t="inlineStr">
        <is>
          <t>HAIFENG 11/03/2026</t>
        </is>
      </c>
      <c r="I4650" s="4" t="n">
        <v>2</v>
      </c>
      <c r="J4650" s="6" t="n">
        <v>10</v>
      </c>
      <c r="K4650" s="6" t="n">
        <v>213.0389622</v>
      </c>
      <c r="L4650" s="6">
        <f>I4650*K4650</f>
        <v/>
      </c>
      <c r="M4650" s="6">
        <f>K4650*4</f>
        <v/>
      </c>
      <c r="N4650" s="6" t="n">
        <v>830</v>
      </c>
    </row>
    <row r="4651">
      <c r="A4651" s="1" t="inlineStr">
        <is>
          <t>89790741347789</t>
        </is>
      </c>
      <c r="B4651" s="1" t="inlineStr">
        <is>
          <t>ARETES KNOT SILVER CON ZIRCONIA</t>
        </is>
      </c>
      <c r="C4651" s="1" t="inlineStr">
        <is>
          <t>Default Title</t>
        </is>
      </c>
      <c r="D4651" s="1" t="inlineStr">
        <is>
          <t>25/09/2025</t>
        </is>
      </c>
      <c r="E4651" s="1" t="n">
        <v>2025</v>
      </c>
      <c r="F4651" s="1" t="inlineStr">
        <is>
          <t>SEPTIEMBRE</t>
        </is>
      </c>
      <c r="G4651" s="1" t="inlineStr">
        <is>
          <t>HAIFENG</t>
        </is>
      </c>
      <c r="H4651" s="1" t="inlineStr">
        <is>
          <t>HAIFENG 25/09/2025</t>
        </is>
      </c>
      <c r="I4651" s="4" t="n">
        <v>2</v>
      </c>
      <c r="J4651" s="6" t="n">
        <v>7.5</v>
      </c>
      <c r="K4651" s="6" t="n">
        <v>158.2266433</v>
      </c>
      <c r="L4651" s="6">
        <f>I4651*K4651</f>
        <v/>
      </c>
      <c r="M4651" s="6">
        <f>K4651*4</f>
        <v/>
      </c>
      <c r="N4651" s="6" t="n">
        <v>750</v>
      </c>
    </row>
    <row r="4652">
      <c r="A4652" s="1" t="inlineStr">
        <is>
          <t>89790741347789</t>
        </is>
      </c>
      <c r="B4652" s="1" t="inlineStr">
        <is>
          <t>ARETES KNOT SILVER CON ZIRCONIA</t>
        </is>
      </c>
      <c r="C4652" s="1" t="inlineStr">
        <is>
          <t>Default Title</t>
        </is>
      </c>
      <c r="D4652" s="1" t="inlineStr">
        <is>
          <t>20/01/2026</t>
        </is>
      </c>
      <c r="E4652" s="1" t="n">
        <v>2026</v>
      </c>
      <c r="F4652" s="1" t="inlineStr">
        <is>
          <t>ENERO</t>
        </is>
      </c>
      <c r="G4652" s="1" t="inlineStr">
        <is>
          <t>HAIFENG</t>
        </is>
      </c>
      <c r="H4652" s="1" t="inlineStr">
        <is>
          <t>HAIFENG 20/01/2026</t>
        </is>
      </c>
      <c r="I4652" s="4" t="n">
        <v>1</v>
      </c>
      <c r="J4652" s="6" t="n">
        <v>9</v>
      </c>
      <c r="K4652" s="6" t="n">
        <v>190.8037601</v>
      </c>
      <c r="L4652" s="6">
        <f>I4652*K4652</f>
        <v/>
      </c>
      <c r="M4652" s="6">
        <f>K4652*4</f>
        <v/>
      </c>
      <c r="N4652" s="6" t="n">
        <v>750</v>
      </c>
    </row>
    <row r="4653">
      <c r="A4653" s="1" t="inlineStr">
        <is>
          <t>89790741347789</t>
        </is>
      </c>
      <c r="B4653" s="1" t="inlineStr">
        <is>
          <t>ARETES KNOT SILVER CON ZIRCONIAS</t>
        </is>
      </c>
      <c r="C4653" s="1" t="inlineStr">
        <is>
          <t>Default Title</t>
        </is>
      </c>
      <c r="D4653" s="1" t="inlineStr">
        <is>
          <t>10/02/2026</t>
        </is>
      </c>
      <c r="E4653" s="1" t="n">
        <v>2026</v>
      </c>
      <c r="F4653" s="1" t="inlineStr">
        <is>
          <t>FEBRERO</t>
        </is>
      </c>
      <c r="G4653" s="1" t="inlineStr">
        <is>
          <t>HAIFENG</t>
        </is>
      </c>
      <c r="H4653" s="1" t="inlineStr">
        <is>
          <t>HAIFENG 10/02/2026</t>
        </is>
      </c>
      <c r="I4653" s="4" t="n">
        <v>3</v>
      </c>
      <c r="J4653" s="6" t="n">
        <v>9</v>
      </c>
      <c r="K4653" s="6" t="n">
        <v>189.6164646</v>
      </c>
      <c r="L4653" s="6">
        <f>I4653*K4653</f>
        <v/>
      </c>
      <c r="M4653" s="6">
        <f>K4653*4</f>
        <v/>
      </c>
      <c r="N4653" s="6" t="n">
        <v>750</v>
      </c>
    </row>
    <row r="4654">
      <c r="A4654" s="1" t="inlineStr">
        <is>
          <t>89790741347789</t>
        </is>
      </c>
      <c r="B4654" s="1" t="inlineStr">
        <is>
          <t>ARETES KNOT SILVER CON ZIRCONIAS</t>
        </is>
      </c>
      <c r="C4654" s="1" t="inlineStr">
        <is>
          <t>Default Title</t>
        </is>
      </c>
      <c r="D4654" s="1" t="inlineStr">
        <is>
          <t>16/06/2026</t>
        </is>
      </c>
      <c r="E4654" s="1" t="n">
        <v>2026</v>
      </c>
      <c r="F4654" s="1" t="inlineStr">
        <is>
          <t>JUNIO</t>
        </is>
      </c>
      <c r="G4654" s="1" t="inlineStr">
        <is>
          <t>HAIFENG</t>
        </is>
      </c>
      <c r="H4654" s="1" t="inlineStr">
        <is>
          <t>HAIFENG 16/06/2026</t>
        </is>
      </c>
      <c r="I4654" s="4" t="n">
        <v>3</v>
      </c>
      <c r="J4654" s="6" t="n">
        <v>9</v>
      </c>
      <c r="K4654" s="6" t="n">
        <v>189.1314581</v>
      </c>
      <c r="L4654" s="6">
        <f>I4654*K4654</f>
        <v/>
      </c>
      <c r="M4654" s="6">
        <f>K4654*4</f>
        <v/>
      </c>
      <c r="N4654" s="6" t="n">
        <v>750</v>
      </c>
    </row>
    <row r="4655">
      <c r="A4655" s="1" t="inlineStr">
        <is>
          <t>89790741422093</t>
        </is>
      </c>
      <c r="B4655" s="1" t="inlineStr">
        <is>
          <t>ARRACADAS CD GOLD WHITE ZIRCONIAS</t>
        </is>
      </c>
      <c r="C4655" s="1" t="inlineStr">
        <is>
          <t>Default Title</t>
        </is>
      </c>
      <c r="D4655" s="1" t="inlineStr">
        <is>
          <t>25/09/2025</t>
        </is>
      </c>
      <c r="E4655" s="1" t="n">
        <v>2025</v>
      </c>
      <c r="F4655" s="1" t="inlineStr">
        <is>
          <t>SEPTIEMBRE</t>
        </is>
      </c>
      <c r="G4655" s="1" t="inlineStr">
        <is>
          <t>HAIFENG</t>
        </is>
      </c>
      <c r="H4655" s="1" t="inlineStr">
        <is>
          <t>HAIFENG 25/09/2025</t>
        </is>
      </c>
      <c r="I4655" s="4" t="n">
        <v>3</v>
      </c>
      <c r="J4655" s="6" t="n">
        <v>7</v>
      </c>
      <c r="K4655" s="6" t="n">
        <v>147.6782004</v>
      </c>
      <c r="L4655" s="6">
        <f>I4655*K4655</f>
        <v/>
      </c>
      <c r="M4655" s="6">
        <f>K4655*4</f>
        <v/>
      </c>
      <c r="N4655" s="6" t="n">
        <v>580</v>
      </c>
    </row>
    <row r="4656">
      <c r="A4656" s="1" t="inlineStr">
        <is>
          <t>89790741422093</t>
        </is>
      </c>
      <c r="B4656" s="1" t="inlineStr">
        <is>
          <t>ARRACADAS CD GOLD WHITE ZIRCONIAS</t>
        </is>
      </c>
      <c r="C4656" s="1" t="inlineStr">
        <is>
          <t>Default Title</t>
        </is>
      </c>
      <c r="D4656" s="1" t="inlineStr">
        <is>
          <t>20/01/2026</t>
        </is>
      </c>
      <c r="E4656" s="1" t="n">
        <v>2026</v>
      </c>
      <c r="F4656" s="1" t="inlineStr">
        <is>
          <t>ENERO</t>
        </is>
      </c>
      <c r="G4656" s="1" t="inlineStr">
        <is>
          <t>HAIFENG</t>
        </is>
      </c>
      <c r="H4656" s="1" t="inlineStr">
        <is>
          <t>HAIFENG 20/01/2026</t>
        </is>
      </c>
      <c r="I4656" s="4" t="n">
        <v>2</v>
      </c>
      <c r="J4656" s="6" t="n">
        <v>7</v>
      </c>
      <c r="K4656" s="6" t="n">
        <v>148.4029245</v>
      </c>
      <c r="L4656" s="6">
        <f>I4656*K4656</f>
        <v/>
      </c>
      <c r="M4656" s="6">
        <f>K4656*4</f>
        <v/>
      </c>
      <c r="N4656" s="6" t="n">
        <v>580</v>
      </c>
    </row>
    <row r="4657">
      <c r="A4657" s="1" t="inlineStr">
        <is>
          <t>89790741422093</t>
        </is>
      </c>
      <c r="B4657" s="1" t="inlineStr">
        <is>
          <t>ARRACADAS CD GOLD WHITE ZIRCONIAS</t>
        </is>
      </c>
      <c r="C4657" s="1" t="inlineStr">
        <is>
          <t>Default Title</t>
        </is>
      </c>
      <c r="D4657" s="1" t="inlineStr">
        <is>
          <t>16/06/2026</t>
        </is>
      </c>
      <c r="E4657" s="1" t="n">
        <v>2026</v>
      </c>
      <c r="F4657" s="1" t="inlineStr">
        <is>
          <t>JUNIO</t>
        </is>
      </c>
      <c r="G4657" s="1" t="inlineStr">
        <is>
          <t>HAIFENG</t>
        </is>
      </c>
      <c r="H4657" s="1" t="inlineStr">
        <is>
          <t>HAIFENG 16/06/2026</t>
        </is>
      </c>
      <c r="I4657" s="4" t="n">
        <v>2</v>
      </c>
      <c r="J4657" s="6" t="n">
        <v>7</v>
      </c>
      <c r="K4657" s="6" t="n">
        <v>147.1022452</v>
      </c>
      <c r="L4657" s="6">
        <f>I4657*K4657</f>
        <v/>
      </c>
      <c r="M4657" s="6">
        <f>K4657*4</f>
        <v/>
      </c>
      <c r="N4657" s="6" t="n">
        <v>580</v>
      </c>
    </row>
    <row r="4658">
      <c r="A4658" s="1" t="inlineStr">
        <is>
          <t>89790741558733</t>
        </is>
      </c>
      <c r="B4658" s="1" t="inlineStr">
        <is>
          <t>COLLAR BV ROSEGOLD PEARL ZIRCONIA</t>
        </is>
      </c>
      <c r="C4658" s="1" t="inlineStr">
        <is>
          <t>Default Title</t>
        </is>
      </c>
      <c r="D4658" s="1" t="inlineStr">
        <is>
          <t>25/09/2025</t>
        </is>
      </c>
      <c r="E4658" s="1" t="n">
        <v>2025</v>
      </c>
      <c r="F4658" s="1" t="inlineStr">
        <is>
          <t>SEPTIEMBRE</t>
        </is>
      </c>
      <c r="G4658" s="1" t="inlineStr">
        <is>
          <t>HAIFENG</t>
        </is>
      </c>
      <c r="H4658" s="1" t="inlineStr">
        <is>
          <t>HAIFENG 25/09/2025</t>
        </is>
      </c>
      <c r="I4658" s="4" t="n">
        <v>2</v>
      </c>
      <c r="J4658" s="6" t="n">
        <v>7</v>
      </c>
      <c r="K4658" s="6" t="n">
        <v>147.6782004</v>
      </c>
      <c r="L4658" s="6">
        <f>I4658*K4658</f>
        <v/>
      </c>
      <c r="M4658" s="6">
        <f>K4658*4</f>
        <v/>
      </c>
      <c r="N4658" s="6" t="n">
        <v>599</v>
      </c>
    </row>
    <row r="4659">
      <c r="A4659" s="1" t="inlineStr">
        <is>
          <t>89790741558733</t>
        </is>
      </c>
      <c r="B4659" s="1" t="inlineStr">
        <is>
          <t>COLLAR BV ROSEGOLD PEARL ZIRCONIA</t>
        </is>
      </c>
      <c r="C4659" s="1" t="inlineStr">
        <is>
          <t>Default Title</t>
        </is>
      </c>
      <c r="D4659" s="1" t="inlineStr">
        <is>
          <t>10/02/2026</t>
        </is>
      </c>
      <c r="E4659" s="1" t="n">
        <v>2026</v>
      </c>
      <c r="F4659" s="1" t="inlineStr">
        <is>
          <t>FEBRERO</t>
        </is>
      </c>
      <c r="G4659" s="1" t="inlineStr">
        <is>
          <t>HAIFENG</t>
        </is>
      </c>
      <c r="H4659" s="1" t="inlineStr">
        <is>
          <t>HAIFENG 10/02/2026</t>
        </is>
      </c>
      <c r="I4659" s="4" t="n">
        <v>2</v>
      </c>
      <c r="J4659" s="6" t="n">
        <v>7</v>
      </c>
      <c r="K4659" s="6" t="n">
        <v>147.4794725</v>
      </c>
      <c r="L4659" s="6">
        <f>I4659*K4659</f>
        <v/>
      </c>
      <c r="M4659" s="6">
        <f>K4659*4</f>
        <v/>
      </c>
      <c r="N4659" s="6" t="n">
        <v>599</v>
      </c>
    </row>
    <row r="4660">
      <c r="A4660" s="1" t="inlineStr">
        <is>
          <t>89790741558733</t>
        </is>
      </c>
      <c r="B4660" s="1" t="inlineStr">
        <is>
          <t>COLLAR BV ROSEGOLD PEARL ZIRCONIA</t>
        </is>
      </c>
      <c r="C4660" s="1" t="inlineStr">
        <is>
          <t>Default Title</t>
        </is>
      </c>
      <c r="D4660" s="1" t="inlineStr">
        <is>
          <t>16/06/2026</t>
        </is>
      </c>
      <c r="E4660" s="1" t="n">
        <v>2026</v>
      </c>
      <c r="F4660" s="1" t="inlineStr">
        <is>
          <t>JUNIO</t>
        </is>
      </c>
      <c r="G4660" s="1" t="inlineStr">
        <is>
          <t>HAIFENG</t>
        </is>
      </c>
      <c r="H4660" s="1" t="inlineStr">
        <is>
          <t>HAIFENG 16/06/2026</t>
        </is>
      </c>
      <c r="I4660" s="4" t="n">
        <v>2</v>
      </c>
      <c r="J4660" s="6" t="n">
        <v>7</v>
      </c>
      <c r="K4660" s="6" t="n">
        <v>147.1022452</v>
      </c>
      <c r="L4660" s="6">
        <f>I4660*K4660</f>
        <v/>
      </c>
      <c r="M4660" s="6">
        <f>K4660*4</f>
        <v/>
      </c>
      <c r="N4660" s="6" t="n">
        <v>599</v>
      </c>
    </row>
    <row r="4661">
      <c r="A4661" s="1" t="inlineStr">
        <is>
          <t>89790741679565</t>
        </is>
      </c>
      <c r="B4661" s="1" t="inlineStr">
        <is>
          <t>COLLAR BV GOLD PEARL ZIRCONIA</t>
        </is>
      </c>
      <c r="C4661" s="1" t="inlineStr">
        <is>
          <t>Default Title</t>
        </is>
      </c>
      <c r="D4661" s="1" t="inlineStr">
        <is>
          <t>25/09/2025</t>
        </is>
      </c>
      <c r="E4661" s="1" t="n">
        <v>2025</v>
      </c>
      <c r="F4661" s="1" t="inlineStr">
        <is>
          <t>SEPTIEMBRE</t>
        </is>
      </c>
      <c r="G4661" s="1" t="inlineStr">
        <is>
          <t>HAIFENG</t>
        </is>
      </c>
      <c r="H4661" s="1" t="inlineStr">
        <is>
          <t>HAIFENG 25/09/2025</t>
        </is>
      </c>
      <c r="I4661" s="4" t="n">
        <v>2</v>
      </c>
      <c r="J4661" s="6" t="n">
        <v>7</v>
      </c>
      <c r="K4661" s="6" t="n">
        <v>147.6782004</v>
      </c>
      <c r="L4661" s="6">
        <f>I4661*K4661</f>
        <v/>
      </c>
      <c r="M4661" s="6">
        <f>K4661*4</f>
        <v/>
      </c>
      <c r="N4661" s="6" t="n">
        <v>599</v>
      </c>
    </row>
    <row r="4662">
      <c r="A4662" s="1" t="inlineStr">
        <is>
          <t>89790741679565</t>
        </is>
      </c>
      <c r="B4662" s="1" t="inlineStr">
        <is>
          <t>COLLAR BV GOLD PEARL ZIRCONIA</t>
        </is>
      </c>
      <c r="C4662" s="1" t="inlineStr">
        <is>
          <t>Default Title</t>
        </is>
      </c>
      <c r="D4662" s="1" t="inlineStr">
        <is>
          <t>26/05/2026</t>
        </is>
      </c>
      <c r="E4662" s="1" t="n">
        <v>2026</v>
      </c>
      <c r="F4662" s="1" t="inlineStr">
        <is>
          <t>MAYO</t>
        </is>
      </c>
      <c r="G4662" s="1" t="inlineStr">
        <is>
          <t>HAIFENG</t>
        </is>
      </c>
      <c r="H4662" s="1" t="inlineStr">
        <is>
          <t>HAIFENG 26/05/2026</t>
        </is>
      </c>
      <c r="I4662" s="4" t="n">
        <v>2</v>
      </c>
      <c r="J4662" s="6" t="n">
        <v>7</v>
      </c>
      <c r="K4662" s="6" t="n">
        <v>146.9250671</v>
      </c>
      <c r="L4662" s="6">
        <f>I4662*K4662</f>
        <v/>
      </c>
      <c r="M4662" s="6">
        <f>K4662*4</f>
        <v/>
      </c>
      <c r="N4662" s="6" t="n">
        <v>599</v>
      </c>
    </row>
    <row r="4663">
      <c r="A4663" s="1" t="inlineStr">
        <is>
          <t>89790741719597</t>
        </is>
      </c>
      <c r="B4663" s="1" t="inlineStr">
        <is>
          <t>COLLAR BV SILVER PEARL ZIRCONIA</t>
        </is>
      </c>
      <c r="C4663" s="1" t="inlineStr">
        <is>
          <t>Default Title</t>
        </is>
      </c>
      <c r="D4663" s="1" t="inlineStr">
        <is>
          <t>25/09/2025</t>
        </is>
      </c>
      <c r="E4663" s="1" t="n">
        <v>2025</v>
      </c>
      <c r="F4663" s="1" t="inlineStr">
        <is>
          <t>SEPTIEMBRE</t>
        </is>
      </c>
      <c r="G4663" s="1" t="inlineStr">
        <is>
          <t>HAIFENG</t>
        </is>
      </c>
      <c r="H4663" s="1" t="inlineStr">
        <is>
          <t>HAIFENG 25/09/2025</t>
        </is>
      </c>
      <c r="I4663" s="4" t="n">
        <v>2</v>
      </c>
      <c r="J4663" s="6" t="n">
        <v>7</v>
      </c>
      <c r="K4663" s="6" t="n">
        <v>147.6782004</v>
      </c>
      <c r="L4663" s="6">
        <f>I4663*K4663</f>
        <v/>
      </c>
      <c r="M4663" s="6">
        <f>K4663*4</f>
        <v/>
      </c>
      <c r="N4663" s="6" t="n">
        <v>599</v>
      </c>
    </row>
    <row r="4664">
      <c r="A4664" s="1" t="inlineStr">
        <is>
          <t>89790741719597</t>
        </is>
      </c>
      <c r="B4664" s="1" t="inlineStr">
        <is>
          <t>COLLAR BV SILVER PEARL ZIRCONIA</t>
        </is>
      </c>
      <c r="C4664" s="1" t="inlineStr">
        <is>
          <t>Default Title</t>
        </is>
      </c>
      <c r="D4664" s="1" t="inlineStr">
        <is>
          <t>26/05/2026</t>
        </is>
      </c>
      <c r="E4664" s="1" t="n">
        <v>2026</v>
      </c>
      <c r="F4664" s="1" t="inlineStr">
        <is>
          <t>MAYO</t>
        </is>
      </c>
      <c r="G4664" s="1" t="inlineStr">
        <is>
          <t>HAIFENG</t>
        </is>
      </c>
      <c r="H4664" s="1" t="inlineStr">
        <is>
          <t>HAIFENG 26/05/2026</t>
        </is>
      </c>
      <c r="I4664" s="4" t="n">
        <v>2</v>
      </c>
      <c r="J4664" s="6" t="n">
        <v>7</v>
      </c>
      <c r="K4664" s="6" t="n">
        <v>146.9250671</v>
      </c>
      <c r="L4664" s="6">
        <f>I4664*K4664</f>
        <v/>
      </c>
      <c r="M4664" s="6">
        <f>K4664*4</f>
        <v/>
      </c>
      <c r="N4664" s="6" t="n">
        <v>599</v>
      </c>
    </row>
    <row r="4665">
      <c r="A4665" s="1" t="inlineStr">
        <is>
          <t>89790741803853</t>
        </is>
      </c>
      <c r="B4665" s="1" t="inlineStr">
        <is>
          <t>COLLAR BV SILVER GRABADO CON ZIRCONIA</t>
        </is>
      </c>
      <c r="C4665" s="1" t="n"/>
      <c r="D4665" s="1" t="inlineStr">
        <is>
          <t>25/09/2025</t>
        </is>
      </c>
      <c r="E4665" s="1" t="n">
        <v>2025</v>
      </c>
      <c r="F4665" s="1" t="inlineStr">
        <is>
          <t>SEPTIEMBRE</t>
        </is>
      </c>
      <c r="G4665" s="1" t="inlineStr">
        <is>
          <t>HAIFENG</t>
        </is>
      </c>
      <c r="H4665" s="1" t="inlineStr">
        <is>
          <t>HAIFENG 25/09/2025</t>
        </is>
      </c>
      <c r="I4665" s="4" t="n">
        <v>3</v>
      </c>
      <c r="J4665" s="6" t="n">
        <v>7</v>
      </c>
      <c r="K4665" s="6" t="n">
        <v>147.6782004</v>
      </c>
      <c r="L4665" s="6">
        <f>I4665*K4665</f>
        <v/>
      </c>
      <c r="M4665" s="6">
        <f>K4665*4</f>
        <v/>
      </c>
      <c r="N4665" s="6" t="n"/>
    </row>
    <row r="4666">
      <c r="A4666" s="1" t="inlineStr">
        <is>
          <t>89790741914029</t>
        </is>
      </c>
      <c r="B4666" s="1" t="inlineStr">
        <is>
          <t>COLLAR BV ROSEGOLD GRABADO CON ZIRCONIA</t>
        </is>
      </c>
      <c r="C4666" s="1" t="inlineStr">
        <is>
          <t>Default Title</t>
        </is>
      </c>
      <c r="D4666" s="1" t="inlineStr">
        <is>
          <t>25/09/2025</t>
        </is>
      </c>
      <c r="E4666" s="1" t="n">
        <v>2025</v>
      </c>
      <c r="F4666" s="1" t="inlineStr">
        <is>
          <t>SEPTIEMBRE</t>
        </is>
      </c>
      <c r="G4666" s="1" t="inlineStr">
        <is>
          <t>HAIFENG</t>
        </is>
      </c>
      <c r="H4666" s="1" t="inlineStr">
        <is>
          <t>HAIFENG 25/09/2025</t>
        </is>
      </c>
      <c r="I4666" s="4" t="n">
        <v>3</v>
      </c>
      <c r="J4666" s="6" t="n">
        <v>7</v>
      </c>
      <c r="K4666" s="6" t="n">
        <v>147.6782004</v>
      </c>
      <c r="L4666" s="6">
        <f>I4666*K4666</f>
        <v/>
      </c>
      <c r="M4666" s="6">
        <f>K4666*4</f>
        <v/>
      </c>
      <c r="N4666" s="6" t="n">
        <v>577</v>
      </c>
    </row>
    <row r="4667">
      <c r="A4667" s="1" t="inlineStr">
        <is>
          <t>89845001062349</t>
        </is>
      </c>
      <c r="B4667" s="1" t="inlineStr">
        <is>
          <t>PULSERA LV FLOWER ROSEGOLD CON ZIRCONIAS</t>
        </is>
      </c>
      <c r="C4667" s="1" t="inlineStr">
        <is>
          <t>Default Title</t>
        </is>
      </c>
      <c r="D4667" s="1" t="inlineStr">
        <is>
          <t>25/09/2025</t>
        </is>
      </c>
      <c r="E4667" s="1" t="n">
        <v>2025</v>
      </c>
      <c r="F4667" s="1" t="inlineStr">
        <is>
          <t>SEPTIEMBRE</t>
        </is>
      </c>
      <c r="G4667" s="1" t="inlineStr">
        <is>
          <t>HAIFENG</t>
        </is>
      </c>
      <c r="H4667" s="1" t="inlineStr">
        <is>
          <t>HAIFENG 25/09/2025</t>
        </is>
      </c>
      <c r="I4667" s="4" t="n">
        <v>2</v>
      </c>
      <c r="J4667" s="6" t="n">
        <v>11</v>
      </c>
      <c r="K4667" s="6" t="n">
        <v>232.0657435</v>
      </c>
      <c r="L4667" s="6">
        <f>I4667*K4667</f>
        <v/>
      </c>
      <c r="M4667" s="6">
        <f>K4667*4</f>
        <v/>
      </c>
      <c r="N4667" s="6" t="n">
        <v>910</v>
      </c>
    </row>
    <row r="4668">
      <c r="A4668" s="1" t="inlineStr">
        <is>
          <t>89845001062349</t>
        </is>
      </c>
      <c r="B4668" s="1" t="inlineStr">
        <is>
          <t>PULSERA LV FLOWER ROSEGOLD CON ZIRCONIAS</t>
        </is>
      </c>
      <c r="C4668" s="1" t="inlineStr">
        <is>
          <t>Default Title</t>
        </is>
      </c>
      <c r="D4668" s="1" t="inlineStr">
        <is>
          <t>16/06/2026</t>
        </is>
      </c>
      <c r="E4668" s="1" t="n">
        <v>2026</v>
      </c>
      <c r="F4668" s="1" t="inlineStr">
        <is>
          <t>JUNIO</t>
        </is>
      </c>
      <c r="G4668" s="1" t="inlineStr">
        <is>
          <t>HAIFENG</t>
        </is>
      </c>
      <c r="H4668" s="1" t="inlineStr">
        <is>
          <t>HAIFENG 16/06/2026</t>
        </is>
      </c>
      <c r="I4668" s="4" t="n">
        <v>3</v>
      </c>
      <c r="J4668" s="6" t="n">
        <v>11</v>
      </c>
      <c r="K4668" s="6" t="n">
        <v>231.1606711</v>
      </c>
      <c r="L4668" s="6">
        <f>I4668*K4668</f>
        <v/>
      </c>
      <c r="M4668" s="6">
        <f>K4668*4</f>
        <v/>
      </c>
      <c r="N4668" s="6" t="n">
        <v>910</v>
      </c>
    </row>
    <row r="4669">
      <c r="A4669" s="1" t="inlineStr">
        <is>
          <t>90487929592844</t>
        </is>
      </c>
      <c r="B4669" s="1" t="inlineStr">
        <is>
          <t>LENTES CD B23</t>
        </is>
      </c>
      <c r="C4669" s="1" t="inlineStr">
        <is>
          <t>Default Title</t>
        </is>
      </c>
      <c r="D4669" s="1" t="inlineStr">
        <is>
          <t>25/10/2025</t>
        </is>
      </c>
      <c r="E4669" s="1" t="n">
        <v>2025</v>
      </c>
      <c r="F4669" s="1" t="inlineStr">
        <is>
          <t>OCTUBRE</t>
        </is>
      </c>
      <c r="G4669" s="1" t="inlineStr">
        <is>
          <t>CYNTHIA</t>
        </is>
      </c>
      <c r="H4669" s="1" t="inlineStr">
        <is>
          <t>CYNTHIA 25/10/2025</t>
        </is>
      </c>
      <c r="I4669" s="4" t="n">
        <v>1</v>
      </c>
      <c r="J4669" s="6" t="n">
        <v>30</v>
      </c>
      <c r="K4669" s="6" t="n">
        <v>786.0547077</v>
      </c>
      <c r="L4669" s="6">
        <f>I4669*K4669</f>
        <v/>
      </c>
      <c r="M4669" s="6">
        <f>K4669*4</f>
        <v/>
      </c>
      <c r="N4669" s="6" t="n">
        <v>2500</v>
      </c>
    </row>
    <row r="4670">
      <c r="A4670" s="1" t="inlineStr">
        <is>
          <t>90487929592844</t>
        </is>
      </c>
      <c r="B4670" s="1" t="inlineStr">
        <is>
          <t>LENTES CD B23</t>
        </is>
      </c>
      <c r="C4670" s="1" t="inlineStr">
        <is>
          <t>Default Title</t>
        </is>
      </c>
      <c r="D4670" s="1" t="inlineStr">
        <is>
          <t>07/01/2026</t>
        </is>
      </c>
      <c r="E4670" s="1" t="n">
        <v>2026</v>
      </c>
      <c r="F4670" s="1" t="inlineStr">
        <is>
          <t>ENERO</t>
        </is>
      </c>
      <c r="G4670" s="1" t="inlineStr">
        <is>
          <t>CYNTHIA</t>
        </is>
      </c>
      <c r="H4670" s="1" t="inlineStr">
        <is>
          <t>CYNTHIA 07/01/2026</t>
        </is>
      </c>
      <c r="I4670" s="4" t="n">
        <v>4</v>
      </c>
      <c r="J4670" s="6" t="n">
        <v>30</v>
      </c>
      <c r="K4670" s="6" t="n">
        <v>797.6228302</v>
      </c>
      <c r="L4670" s="6">
        <f>I4670*K4670</f>
        <v/>
      </c>
      <c r="M4670" s="6">
        <f>K4670*4</f>
        <v/>
      </c>
      <c r="N4670" s="6" t="n">
        <v>3195</v>
      </c>
    </row>
    <row r="4671">
      <c r="A4671" s="1" t="inlineStr">
        <is>
          <t>90820181028909</t>
        </is>
      </c>
      <c r="B4671" s="1" t="inlineStr">
        <is>
          <t>BOLSO SADDLE CD JACQUARD BLUE</t>
        </is>
      </c>
      <c r="C4671" s="1" t="inlineStr">
        <is>
          <t>24cm de largo x 15 cm de alto</t>
        </is>
      </c>
      <c r="D4671" s="1" t="inlineStr">
        <is>
          <t>19/03/2026</t>
        </is>
      </c>
      <c r="E4671" s="1" t="n">
        <v>2026</v>
      </c>
      <c r="F4671" s="1" t="inlineStr">
        <is>
          <t>MARZO</t>
        </is>
      </c>
      <c r="G4671" s="1" t="inlineStr">
        <is>
          <t>CYNTHIA</t>
        </is>
      </c>
      <c r="H4671" s="1" t="inlineStr">
        <is>
          <t>CYNTHIA 19/03/2026</t>
        </is>
      </c>
      <c r="I4671" s="4" t="n">
        <v>2</v>
      </c>
      <c r="J4671" s="6" t="n">
        <v>42</v>
      </c>
      <c r="K4671" s="6" t="n">
        <v>1128.011463</v>
      </c>
      <c r="L4671" s="6">
        <f>I4671*K4671</f>
        <v/>
      </c>
      <c r="M4671" s="6">
        <f>K4671*4</f>
        <v/>
      </c>
      <c r="N4671" s="6" t="n">
        <v>6690</v>
      </c>
    </row>
    <row r="4672">
      <c r="A4672" s="1" t="inlineStr">
        <is>
          <t>90820181028909</t>
        </is>
      </c>
      <c r="B4672" s="1" t="inlineStr">
        <is>
          <t>BOLSO SADDLE CD JACQUARD BLUE</t>
        </is>
      </c>
      <c r="C4672" s="1" t="inlineStr">
        <is>
          <t>24cm de largo x 15 cm de alto</t>
        </is>
      </c>
      <c r="D4672" s="1" t="inlineStr">
        <is>
          <t>31/05/2026</t>
        </is>
      </c>
      <c r="E4672" s="1" t="n">
        <v>2026</v>
      </c>
      <c r="F4672" s="1" t="inlineStr">
        <is>
          <t>MAYO</t>
        </is>
      </c>
      <c r="G4672" s="1" t="inlineStr">
        <is>
          <t>CYNTHIA</t>
        </is>
      </c>
      <c r="H4672" s="1" t="inlineStr">
        <is>
          <t>CYNTHIA 31/05/2026</t>
        </is>
      </c>
      <c r="I4672" s="4" t="n">
        <v>2</v>
      </c>
      <c r="J4672" s="6" t="n">
        <v>63</v>
      </c>
      <c r="K4672" s="6" t="n">
        <v>1669.565834</v>
      </c>
      <c r="L4672" s="6">
        <f>I4672*K4672</f>
        <v/>
      </c>
      <c r="M4672" s="6">
        <f>K4672*4</f>
        <v/>
      </c>
      <c r="N4672" s="6" t="n">
        <v>6690</v>
      </c>
    </row>
    <row r="4673">
      <c r="A4673" s="1" t="inlineStr">
        <is>
          <t>90834961057229</t>
        </is>
      </c>
      <c r="B4673" s="1" t="inlineStr">
        <is>
          <t>COLLAR MSS MOVE UNO ROSE GOLD</t>
        </is>
      </c>
      <c r="C4673" s="1" t="inlineStr">
        <is>
          <t>Default Title</t>
        </is>
      </c>
      <c r="D4673" s="1" t="inlineStr">
        <is>
          <t>01/09/2025</t>
        </is>
      </c>
      <c r="E4673" s="1" t="n">
        <v>2025</v>
      </c>
      <c r="F4673" s="1" t="inlineStr">
        <is>
          <t>SEPTIEMBRE</t>
        </is>
      </c>
      <c r="G4673" s="1" t="inlineStr">
        <is>
          <t>HAIFENG</t>
        </is>
      </c>
      <c r="H4673" s="1" t="inlineStr">
        <is>
          <t>HAIFENG 01/09/2025</t>
        </is>
      </c>
      <c r="I4673" s="4" t="n">
        <v>3</v>
      </c>
      <c r="J4673" s="6" t="n">
        <v>8</v>
      </c>
      <c r="K4673" s="6" t="n">
        <v>170.0453685</v>
      </c>
      <c r="L4673" s="6">
        <f>I4673*K4673</f>
        <v/>
      </c>
      <c r="M4673" s="6">
        <f>K4673*4</f>
        <v/>
      </c>
      <c r="N4673" s="6" t="n">
        <v>659.2</v>
      </c>
    </row>
    <row r="4674">
      <c r="A4674" s="1" t="inlineStr">
        <is>
          <t>90883811004365</t>
        </is>
      </c>
      <c r="B4674" s="1" t="inlineStr">
        <is>
          <t>COLLAR T CORAZÓN CON ZIRCONIA</t>
        </is>
      </c>
      <c r="C4674" s="1" t="inlineStr">
        <is>
          <t>HIGH QUALITY</t>
        </is>
      </c>
      <c r="D4674" s="1" t="inlineStr">
        <is>
          <t>20/04/2026</t>
        </is>
      </c>
      <c r="E4674" s="1" t="n">
        <v>2026</v>
      </c>
      <c r="F4674" s="1" t="inlineStr">
        <is>
          <t>ABRIL</t>
        </is>
      </c>
      <c r="G4674" s="1" t="inlineStr">
        <is>
          <t>ZOEY</t>
        </is>
      </c>
      <c r="H4674" s="1" t="inlineStr">
        <is>
          <t>ZOEY 20/04/2026</t>
        </is>
      </c>
      <c r="I4674" s="4" t="n">
        <v>9</v>
      </c>
      <c r="J4674" s="6" t="n">
        <v>9</v>
      </c>
      <c r="K4674" s="6" t="n">
        <v>230.479005</v>
      </c>
      <c r="L4674" s="6">
        <f>I4674*K4674</f>
        <v/>
      </c>
      <c r="M4674" s="6">
        <f>K4674*4</f>
        <v/>
      </c>
      <c r="N4674" s="6" t="n">
        <v>1100</v>
      </c>
    </row>
    <row r="4675">
      <c r="A4675" s="1" t="inlineStr">
        <is>
          <t>90883811004365</t>
        </is>
      </c>
      <c r="B4675" s="1" t="inlineStr">
        <is>
          <t>COLLAR T CORAZÓN CON ZIRCONIA</t>
        </is>
      </c>
      <c r="C4675" s="1" t="inlineStr">
        <is>
          <t>HIGH QUALITY</t>
        </is>
      </c>
      <c r="D4675" s="1" t="inlineStr">
        <is>
          <t>20/04/2026</t>
        </is>
      </c>
      <c r="E4675" s="1" t="n">
        <v>2026</v>
      </c>
      <c r="F4675" s="1" t="inlineStr">
        <is>
          <t>ABRIL</t>
        </is>
      </c>
      <c r="G4675" s="1" t="inlineStr">
        <is>
          <t>ZOEY</t>
        </is>
      </c>
      <c r="H4675" s="1" t="inlineStr">
        <is>
          <t>ZOEY 20/04/2026</t>
        </is>
      </c>
      <c r="I4675" s="4" t="n">
        <v>3</v>
      </c>
      <c r="J4675" s="6" t="n">
        <v>9</v>
      </c>
      <c r="K4675" s="6" t="n">
        <v>230.479005</v>
      </c>
      <c r="L4675" s="6">
        <f>I4675*K4675</f>
        <v/>
      </c>
      <c r="M4675" s="6">
        <f>K4675*4</f>
        <v/>
      </c>
      <c r="N4675" s="6" t="n">
        <v>1100</v>
      </c>
    </row>
    <row r="4676">
      <c r="A4676" s="1" t="inlineStr">
        <is>
          <t>90883811004365</t>
        </is>
      </c>
      <c r="B4676" s="1" t="inlineStr">
        <is>
          <t>COLLAR T CORAZÓN CON ZIRCONIA</t>
        </is>
      </c>
      <c r="C4676" s="1" t="inlineStr">
        <is>
          <t>HIGH QUALITY</t>
        </is>
      </c>
      <c r="D4676" s="1" t="inlineStr">
        <is>
          <t>15/05/2026</t>
        </is>
      </c>
      <c r="E4676" s="1" t="n">
        <v>2026</v>
      </c>
      <c r="F4676" s="1" t="inlineStr">
        <is>
          <t>MAYO</t>
        </is>
      </c>
      <c r="G4676" s="1" t="inlineStr">
        <is>
          <t>ZOEY</t>
        </is>
      </c>
      <c r="H4676" s="1" t="inlineStr">
        <is>
          <t>ZOEY 15/05/2026</t>
        </is>
      </c>
      <c r="I4676" s="4" t="n">
        <v>2</v>
      </c>
      <c r="J4676" s="6" t="n">
        <v>9</v>
      </c>
      <c r="K4676" s="6" t="n">
        <v>238.5416204</v>
      </c>
      <c r="L4676" s="6">
        <f>I4676*K4676</f>
        <v/>
      </c>
      <c r="M4676" s="6">
        <f>K4676*4</f>
        <v/>
      </c>
      <c r="N4676" s="6" t="n">
        <v>1100</v>
      </c>
    </row>
    <row r="4677">
      <c r="A4677" s="1" t="inlineStr">
        <is>
          <t>91078752530157</t>
        </is>
      </c>
      <c r="B4677" s="1" t="inlineStr">
        <is>
          <t>ARETES C SILVER</t>
        </is>
      </c>
      <c r="C4677" s="1" t="inlineStr">
        <is>
          <t>Default Title</t>
        </is>
      </c>
      <c r="D4677" s="1" t="inlineStr">
        <is>
          <t>22/10/2025</t>
        </is>
      </c>
      <c r="E4677" s="1" t="n">
        <v>2025</v>
      </c>
      <c r="F4677" s="1" t="inlineStr">
        <is>
          <t>OCTUBRE</t>
        </is>
      </c>
      <c r="G4677" s="1" t="inlineStr">
        <is>
          <t>HAIFENG</t>
        </is>
      </c>
      <c r="H4677" s="1" t="inlineStr">
        <is>
          <t>HAIFENG 22/10/2025</t>
        </is>
      </c>
      <c r="I4677" s="4" t="n">
        <v>2</v>
      </c>
      <c r="J4677" s="6" t="n">
        <v>5.99</v>
      </c>
      <c r="K4677" s="6" t="n">
        <v>126.5582895</v>
      </c>
      <c r="L4677" s="6">
        <f>I4677*K4677</f>
        <v/>
      </c>
      <c r="M4677" s="6">
        <f>K4677*4</f>
        <v/>
      </c>
      <c r="N4677" s="6" t="n">
        <v>499</v>
      </c>
    </row>
    <row r="4678">
      <c r="A4678" s="1" t="inlineStr">
        <is>
          <t>91078752530157</t>
        </is>
      </c>
      <c r="B4678" s="1" t="inlineStr">
        <is>
          <t>ARETES C SILVER</t>
        </is>
      </c>
      <c r="C4678" s="1" t="inlineStr">
        <is>
          <t>Default Title</t>
        </is>
      </c>
      <c r="D4678" s="1" t="inlineStr">
        <is>
          <t>20/01/2026</t>
        </is>
      </c>
      <c r="E4678" s="1" t="n">
        <v>2026</v>
      </c>
      <c r="F4678" s="1" t="inlineStr">
        <is>
          <t>ENERO</t>
        </is>
      </c>
      <c r="G4678" s="1" t="inlineStr">
        <is>
          <t>HAIFENG</t>
        </is>
      </c>
      <c r="H4678" s="1" t="inlineStr">
        <is>
          <t>HAIFENG 20/01/2026</t>
        </is>
      </c>
      <c r="I4678" s="4" t="n">
        <v>4</v>
      </c>
      <c r="J4678" s="6" t="n">
        <v>5.99</v>
      </c>
      <c r="K4678" s="6" t="n">
        <v>126.9905026</v>
      </c>
      <c r="L4678" s="6">
        <f>I4678*K4678</f>
        <v/>
      </c>
      <c r="M4678" s="6">
        <f>K4678*4</f>
        <v/>
      </c>
      <c r="N4678" s="6" t="n">
        <v>499</v>
      </c>
    </row>
    <row r="4679">
      <c r="A4679" s="1" t="inlineStr">
        <is>
          <t>91078752530157</t>
        </is>
      </c>
      <c r="B4679" s="1" t="inlineStr">
        <is>
          <t>ARETES C SILVER</t>
        </is>
      </c>
      <c r="C4679" s="1" t="inlineStr">
        <is>
          <t>Default Title</t>
        </is>
      </c>
      <c r="D4679" s="1" t="inlineStr">
        <is>
          <t>10/02/2026</t>
        </is>
      </c>
      <c r="E4679" s="1" t="n">
        <v>2026</v>
      </c>
      <c r="F4679" s="1" t="inlineStr">
        <is>
          <t>FEBRERO</t>
        </is>
      </c>
      <c r="G4679" s="1" t="inlineStr">
        <is>
          <t>HAIFENG</t>
        </is>
      </c>
      <c r="H4679" s="1" t="inlineStr">
        <is>
          <t>HAIFENG 10/02/2026</t>
        </is>
      </c>
      <c r="I4679" s="4" t="n">
        <v>4</v>
      </c>
      <c r="J4679" s="6" t="n">
        <v>5.99</v>
      </c>
      <c r="K4679" s="6" t="n">
        <v>126.2002914</v>
      </c>
      <c r="L4679" s="6">
        <f>I4679*K4679</f>
        <v/>
      </c>
      <c r="M4679" s="6">
        <f>K4679*4</f>
        <v/>
      </c>
      <c r="N4679" s="6" t="n">
        <v>499</v>
      </c>
    </row>
    <row r="4680">
      <c r="A4680" s="1" t="inlineStr">
        <is>
          <t>91078752530157</t>
        </is>
      </c>
      <c r="B4680" s="1" t="inlineStr">
        <is>
          <t>ARETES C SILVER</t>
        </is>
      </c>
      <c r="C4680" s="1" t="inlineStr">
        <is>
          <t>Default Title</t>
        </is>
      </c>
      <c r="D4680" s="1" t="inlineStr">
        <is>
          <t>16/04/2026</t>
        </is>
      </c>
      <c r="E4680" s="1" t="n">
        <v>2026</v>
      </c>
      <c r="F4680" s="1" t="inlineStr">
        <is>
          <t>ABRIL</t>
        </is>
      </c>
      <c r="G4680" s="1" t="inlineStr">
        <is>
          <t>HAIFENG</t>
        </is>
      </c>
      <c r="H4680" s="1" t="inlineStr">
        <is>
          <t>HAIFENG 16/04/2026</t>
        </is>
      </c>
      <c r="I4680" s="4" t="n">
        <v>7</v>
      </c>
      <c r="J4680" s="6" t="n">
        <v>5.99</v>
      </c>
      <c r="K4680" s="6" t="n">
        <v>125.9785268</v>
      </c>
      <c r="L4680" s="6">
        <f>I4680*K4680</f>
        <v/>
      </c>
      <c r="M4680" s="6">
        <f>K4680*4</f>
        <v/>
      </c>
      <c r="N4680" s="6" t="n">
        <v>499</v>
      </c>
    </row>
    <row r="4681">
      <c r="A4681" s="1" t="inlineStr">
        <is>
          <t>91078752530157</t>
        </is>
      </c>
      <c r="B4681" s="1" t="inlineStr">
        <is>
          <t>ARETES C SILVER</t>
        </is>
      </c>
      <c r="C4681" s="1" t="inlineStr">
        <is>
          <t>Default Title</t>
        </is>
      </c>
      <c r="D4681" s="1" t="inlineStr">
        <is>
          <t>16/06/2026</t>
        </is>
      </c>
      <c r="E4681" s="1" t="n">
        <v>2026</v>
      </c>
      <c r="F4681" s="1" t="inlineStr">
        <is>
          <t>JUNIO</t>
        </is>
      </c>
      <c r="G4681" s="1" t="inlineStr">
        <is>
          <t>HAIFENG</t>
        </is>
      </c>
      <c r="H4681" s="1" t="inlineStr">
        <is>
          <t>HAIFENG 16/06/2026</t>
        </is>
      </c>
      <c r="I4681" s="4" t="n">
        <v>2</v>
      </c>
      <c r="J4681" s="6" t="n">
        <v>5.99</v>
      </c>
      <c r="K4681" s="6" t="n">
        <v>125.8774927</v>
      </c>
      <c r="L4681" s="6">
        <f>I4681*K4681</f>
        <v/>
      </c>
      <c r="M4681" s="6">
        <f>K4681*4</f>
        <v/>
      </c>
      <c r="N4681" s="6" t="n">
        <v>499</v>
      </c>
    </row>
    <row r="4682">
      <c r="A4682" s="1" t="inlineStr">
        <is>
          <t>91078752962381</t>
        </is>
      </c>
      <c r="B4682" s="1" t="inlineStr">
        <is>
          <t>COLLAR BV GOLD PEAKS CON ZIRCONIA ALREDEDOR</t>
        </is>
      </c>
      <c r="C4682" s="1" t="inlineStr">
        <is>
          <t>Default Title</t>
        </is>
      </c>
      <c r="D4682" s="1" t="inlineStr">
        <is>
          <t>22/10/2025</t>
        </is>
      </c>
      <c r="E4682" s="1" t="n">
        <v>2025</v>
      </c>
      <c r="F4682" s="1" t="inlineStr">
        <is>
          <t>OCTUBRE</t>
        </is>
      </c>
      <c r="G4682" s="1" t="inlineStr">
        <is>
          <t>HAIFENG</t>
        </is>
      </c>
      <c r="H4682" s="1" t="inlineStr">
        <is>
          <t>HAIFENG 22/10/2025</t>
        </is>
      </c>
      <c r="I4682" s="4" t="n">
        <v>2</v>
      </c>
      <c r="J4682" s="6" t="n">
        <v>8</v>
      </c>
      <c r="K4682" s="6" t="n">
        <v>169.0260961</v>
      </c>
      <c r="L4682" s="6">
        <f>I4682*K4682</f>
        <v/>
      </c>
      <c r="M4682" s="6">
        <f>K4682*4</f>
        <v/>
      </c>
      <c r="N4682" s="6" t="n">
        <v>659.2</v>
      </c>
    </row>
    <row r="4683">
      <c r="A4683" s="1" t="inlineStr">
        <is>
          <t>91078752962381</t>
        </is>
      </c>
      <c r="B4683" s="1" t="inlineStr">
        <is>
          <t>COLLAR BV GOLD PEAKS CON ZIRCONIA ALREDEDOR</t>
        </is>
      </c>
      <c r="C4683" s="1" t="inlineStr">
        <is>
          <t>Default Title</t>
        </is>
      </c>
      <c r="D4683" s="1" t="inlineStr">
        <is>
          <t>10/02/2026</t>
        </is>
      </c>
      <c r="E4683" s="1" t="n">
        <v>2026</v>
      </c>
      <c r="F4683" s="1" t="inlineStr">
        <is>
          <t>FEBRERO</t>
        </is>
      </c>
      <c r="G4683" s="1" t="inlineStr">
        <is>
          <t>HAIFENG</t>
        </is>
      </c>
      <c r="H4683" s="1" t="inlineStr">
        <is>
          <t>HAIFENG 10/02/2026</t>
        </is>
      </c>
      <c r="I4683" s="4" t="n">
        <v>2</v>
      </c>
      <c r="J4683" s="6" t="n">
        <v>8</v>
      </c>
      <c r="K4683" s="6" t="n">
        <v>168.5479685</v>
      </c>
      <c r="L4683" s="6">
        <f>I4683*K4683</f>
        <v/>
      </c>
      <c r="M4683" s="6">
        <f>K4683*4</f>
        <v/>
      </c>
      <c r="N4683" s="6" t="n">
        <v>659.2</v>
      </c>
    </row>
    <row r="4684">
      <c r="A4684" s="1" t="inlineStr">
        <is>
          <t>91078752962381</t>
        </is>
      </c>
      <c r="B4684" s="1" t="inlineStr">
        <is>
          <t>COLLAR BV GOLD PEAKS CON ZIRCONIA ALREDEDOR</t>
        </is>
      </c>
      <c r="C4684" s="1" t="inlineStr">
        <is>
          <t>Default Title</t>
        </is>
      </c>
      <c r="D4684" s="1" t="inlineStr">
        <is>
          <t>16/04/2026</t>
        </is>
      </c>
      <c r="E4684" s="1" t="n">
        <v>2026</v>
      </c>
      <c r="F4684" s="1" t="inlineStr">
        <is>
          <t>ABRIL</t>
        </is>
      </c>
      <c r="G4684" s="1" t="inlineStr">
        <is>
          <t>HAIFENG</t>
        </is>
      </c>
      <c r="H4684" s="1" t="inlineStr">
        <is>
          <t>HAIFENG 16/04/2026</t>
        </is>
      </c>
      <c r="I4684" s="4" t="n">
        <v>2</v>
      </c>
      <c r="J4684" s="6" t="n">
        <v>8</v>
      </c>
      <c r="K4684" s="6" t="n">
        <v>168.2517887</v>
      </c>
      <c r="L4684" s="6">
        <f>I4684*K4684</f>
        <v/>
      </c>
      <c r="M4684" s="6">
        <f>K4684*4</f>
        <v/>
      </c>
      <c r="N4684" s="6" t="n">
        <v>659.2</v>
      </c>
    </row>
    <row r="4685">
      <c r="A4685" s="1" t="inlineStr">
        <is>
          <t>91078753349421</t>
        </is>
      </c>
      <c r="B4685" s="1" t="inlineStr">
        <is>
          <t>PULSERA BV.ZERO GAPS ROSEGOLD</t>
        </is>
      </c>
      <c r="C4685" s="1" t="inlineStr">
        <is>
          <t>Default Title</t>
        </is>
      </c>
      <c r="D4685" s="1" t="inlineStr">
        <is>
          <t>22/10/2025</t>
        </is>
      </c>
      <c r="E4685" s="1" t="n">
        <v>2025</v>
      </c>
      <c r="F4685" s="1" t="inlineStr">
        <is>
          <t>OCTUBRE</t>
        </is>
      </c>
      <c r="G4685" s="1" t="inlineStr">
        <is>
          <t>HAIFENG</t>
        </is>
      </c>
      <c r="H4685" s="1" t="inlineStr">
        <is>
          <t>HAIFENG 22/10/2025</t>
        </is>
      </c>
      <c r="I4685" s="4" t="n">
        <v>2</v>
      </c>
      <c r="J4685" s="6" t="n">
        <v>8.5</v>
      </c>
      <c r="K4685" s="6" t="n">
        <v>179.5902272</v>
      </c>
      <c r="L4685" s="6">
        <f>I4685*K4685</f>
        <v/>
      </c>
      <c r="M4685" s="6">
        <f>K4685*4</f>
        <v/>
      </c>
      <c r="N4685" s="6" t="n">
        <v>700.4</v>
      </c>
    </row>
    <row r="4686">
      <c r="A4686" s="1" t="inlineStr">
        <is>
          <t>91078753349421</t>
        </is>
      </c>
      <c r="B4686" s="1" t="inlineStr">
        <is>
          <t>PULSERA BV.ZERO GAPS ROSEGOLD</t>
        </is>
      </c>
      <c r="C4686" s="1" t="inlineStr">
        <is>
          <t>Default Title</t>
        </is>
      </c>
      <c r="D4686" s="1" t="inlineStr">
        <is>
          <t>11/03/2026</t>
        </is>
      </c>
      <c r="E4686" s="1" t="n">
        <v>2026</v>
      </c>
      <c r="F4686" s="1" t="inlineStr">
        <is>
          <t>MARZO</t>
        </is>
      </c>
      <c r="G4686" s="1" t="inlineStr">
        <is>
          <t>HAIFENG</t>
        </is>
      </c>
      <c r="H4686" s="1" t="inlineStr">
        <is>
          <t>HAIFENG 11/03/2026</t>
        </is>
      </c>
      <c r="I4686" s="4" t="n">
        <v>1</v>
      </c>
      <c r="J4686" s="6" t="n">
        <v>8.5</v>
      </c>
      <c r="K4686" s="6" t="n">
        <v>181.0831178</v>
      </c>
      <c r="L4686" s="6">
        <f>I4686*K4686</f>
        <v/>
      </c>
      <c r="M4686" s="6">
        <f>K4686*4</f>
        <v/>
      </c>
      <c r="N4686" s="6" t="n">
        <v>700.4</v>
      </c>
    </row>
    <row r="4687">
      <c r="A4687" s="1" t="inlineStr">
        <is>
          <t>91078753456205</t>
        </is>
      </c>
      <c r="B4687" s="1" t="inlineStr">
        <is>
          <t>PULSERA BV.ZERO ROSEGOLD</t>
        </is>
      </c>
      <c r="C4687" s="1" t="inlineStr">
        <is>
          <t>Default Title</t>
        </is>
      </c>
      <c r="D4687" s="1" t="inlineStr">
        <is>
          <t>22/10/2025</t>
        </is>
      </c>
      <c r="E4687" s="1" t="n">
        <v>2025</v>
      </c>
      <c r="F4687" s="1" t="inlineStr">
        <is>
          <t>OCTUBRE</t>
        </is>
      </c>
      <c r="G4687" s="1" t="inlineStr">
        <is>
          <t>HAIFENG</t>
        </is>
      </c>
      <c r="H4687" s="1" t="inlineStr">
        <is>
          <t>HAIFENG 22/10/2025</t>
        </is>
      </c>
      <c r="I4687" s="4" t="n">
        <v>2</v>
      </c>
      <c r="J4687" s="6" t="n">
        <v>12</v>
      </c>
      <c r="K4687" s="6" t="n">
        <v>253.5391442</v>
      </c>
      <c r="L4687" s="6">
        <f>I4687*K4687</f>
        <v/>
      </c>
      <c r="M4687" s="6">
        <f>K4687*4</f>
        <v/>
      </c>
      <c r="N4687" s="6" t="n">
        <v>850</v>
      </c>
    </row>
    <row r="4688">
      <c r="A4688" s="1" t="inlineStr">
        <is>
          <t>91078753456205</t>
        </is>
      </c>
      <c r="B4688" s="1" t="inlineStr">
        <is>
          <t>PULSERA BV.ZERO ROSEGOLD</t>
        </is>
      </c>
      <c r="C4688" s="1" t="inlineStr">
        <is>
          <t>Default Title</t>
        </is>
      </c>
      <c r="D4688" s="1" t="inlineStr">
        <is>
          <t>20/01/2026</t>
        </is>
      </c>
      <c r="E4688" s="1" t="n">
        <v>2026</v>
      </c>
      <c r="F4688" s="1" t="inlineStr">
        <is>
          <t>ENERO</t>
        </is>
      </c>
      <c r="G4688" s="1" t="inlineStr">
        <is>
          <t>HAIFENG</t>
        </is>
      </c>
      <c r="H4688" s="1" t="inlineStr">
        <is>
          <t>HAIFENG 20/01/2026</t>
        </is>
      </c>
      <c r="I4688" s="4" t="n">
        <v>3</v>
      </c>
      <c r="J4688" s="6" t="n">
        <v>10</v>
      </c>
      <c r="K4688" s="6" t="n">
        <v>212.0041779</v>
      </c>
      <c r="L4688" s="6">
        <f>I4688*K4688</f>
        <v/>
      </c>
      <c r="M4688" s="6">
        <f>K4688*4</f>
        <v/>
      </c>
      <c r="N4688" s="6" t="n">
        <v>850</v>
      </c>
    </row>
    <row r="4689">
      <c r="A4689" s="1" t="inlineStr">
        <is>
          <t>91078753456205</t>
        </is>
      </c>
      <c r="B4689" s="1" t="inlineStr">
        <is>
          <t>PULSERA BV.ZERO ROSEGOLD</t>
        </is>
      </c>
      <c r="C4689" s="1" t="inlineStr">
        <is>
          <t>HIGH QUALITY</t>
        </is>
      </c>
      <c r="D4689" s="1" t="inlineStr">
        <is>
          <t>10/02/2026</t>
        </is>
      </c>
      <c r="E4689" s="1" t="n">
        <v>2026</v>
      </c>
      <c r="F4689" s="1" t="inlineStr">
        <is>
          <t>FEBRERO</t>
        </is>
      </c>
      <c r="G4689" s="1" t="inlineStr">
        <is>
          <t>HAIFENG</t>
        </is>
      </c>
      <c r="H4689" s="1" t="inlineStr">
        <is>
          <t>HAIFENG 10/02/2026</t>
        </is>
      </c>
      <c r="I4689" s="4" t="n">
        <v>2</v>
      </c>
      <c r="J4689" s="6" t="n">
        <v>10</v>
      </c>
      <c r="K4689" s="6" t="n">
        <v>210.6849607</v>
      </c>
      <c r="L4689" s="6">
        <f>I4689*K4689</f>
        <v/>
      </c>
      <c r="M4689" s="6">
        <f>K4689*4</f>
        <v/>
      </c>
      <c r="N4689" s="6" t="n">
        <v>850</v>
      </c>
    </row>
    <row r="4690">
      <c r="A4690" s="1" t="inlineStr">
        <is>
          <t>91345321067917</t>
        </is>
      </c>
      <c r="B4690" s="1" t="inlineStr">
        <is>
          <t>PERFUME V&amp;R SPICEBOMB EXTREME</t>
        </is>
      </c>
      <c r="C4690" s="1" t="inlineStr">
        <is>
          <t>Default Title</t>
        </is>
      </c>
      <c r="D4690" s="1" t="inlineStr">
        <is>
          <t>20/04/2026</t>
        </is>
      </c>
      <c r="E4690" s="1" t="n">
        <v>2026</v>
      </c>
      <c r="F4690" s="1" t="inlineStr">
        <is>
          <t>ABRIL</t>
        </is>
      </c>
      <c r="G4690" s="1" t="inlineStr">
        <is>
          <t>ZOEY</t>
        </is>
      </c>
      <c r="H4690" s="1" t="inlineStr">
        <is>
          <t>ZOEY 20/04/2026</t>
        </is>
      </c>
      <c r="I4690" s="4" t="n">
        <v>2</v>
      </c>
      <c r="J4690" s="6" t="n">
        <v>18</v>
      </c>
      <c r="K4690" s="6" t="n">
        <v>460.9580101</v>
      </c>
      <c r="L4690" s="6">
        <f>I4690*K4690</f>
        <v/>
      </c>
      <c r="M4690" s="6">
        <f>K4690*4</f>
        <v/>
      </c>
      <c r="N4690" s="6" t="n">
        <v>1849</v>
      </c>
    </row>
    <row r="4691">
      <c r="A4691" s="1" t="inlineStr">
        <is>
          <t>91345321754957</t>
        </is>
      </c>
      <c r="B4691" s="1" t="inlineStr">
        <is>
          <t>ZAPATILLAS CD HEELED</t>
        </is>
      </c>
      <c r="C4691" s="1" t="inlineStr">
        <is>
          <t>25MX (39UK)</t>
        </is>
      </c>
      <c r="D4691" s="1" t="inlineStr">
        <is>
          <t>20/04/2026</t>
        </is>
      </c>
      <c r="E4691" s="1" t="n">
        <v>2026</v>
      </c>
      <c r="F4691" s="1" t="inlineStr">
        <is>
          <t>ABRIL</t>
        </is>
      </c>
      <c r="G4691" s="1" t="inlineStr">
        <is>
          <t>ZOEY</t>
        </is>
      </c>
      <c r="H4691" s="1" t="inlineStr">
        <is>
          <t>ZOEY 20/04/2026</t>
        </is>
      </c>
      <c r="I4691" s="4" t="n">
        <v>2</v>
      </c>
      <c r="J4691" s="6" t="n">
        <v>65</v>
      </c>
      <c r="K4691" s="6" t="n">
        <v>1664.570592</v>
      </c>
      <c r="L4691" s="6">
        <f>I4691*K4691</f>
        <v/>
      </c>
      <c r="M4691" s="6">
        <f>K4691*4</f>
        <v/>
      </c>
      <c r="N4691" s="6" t="n">
        <v>5826</v>
      </c>
    </row>
    <row r="4692">
      <c r="A4692" s="1" t="inlineStr">
        <is>
          <t>91345321930669</t>
        </is>
      </c>
      <c r="B4692" s="1" t="inlineStr">
        <is>
          <t>LENTES F BAGUETTE</t>
        </is>
      </c>
      <c r="C4692" s="1" t="inlineStr">
        <is>
          <t>Default Title</t>
        </is>
      </c>
      <c r="D4692" s="1" t="inlineStr">
        <is>
          <t>20/04/2026</t>
        </is>
      </c>
      <c r="E4692" s="1" t="n">
        <v>2026</v>
      </c>
      <c r="F4692" s="1" t="inlineStr">
        <is>
          <t>ABRIL</t>
        </is>
      </c>
      <c r="G4692" s="1" t="inlineStr">
        <is>
          <t>ZOEY</t>
        </is>
      </c>
      <c r="H4692" s="1" t="inlineStr">
        <is>
          <t>ZOEY 20/04/2026</t>
        </is>
      </c>
      <c r="I4692" s="4" t="n">
        <v>2</v>
      </c>
      <c r="J4692" s="6" t="n">
        <v>38</v>
      </c>
      <c r="K4692" s="6" t="n">
        <v>973.1335768</v>
      </c>
      <c r="L4692" s="6">
        <f>I4692*K4692</f>
        <v/>
      </c>
      <c r="M4692" s="6">
        <f>K4692*4</f>
        <v/>
      </c>
      <c r="N4692" s="6" t="n">
        <v>3899</v>
      </c>
    </row>
    <row r="4693">
      <c r="A4693" s="1" t="inlineStr">
        <is>
          <t>91345322036909</t>
        </is>
      </c>
      <c r="B4693" s="1" t="inlineStr">
        <is>
          <t>LENTES F FIRST BROWN</t>
        </is>
      </c>
      <c r="C4693" s="1" t="inlineStr">
        <is>
          <t>Default Title</t>
        </is>
      </c>
      <c r="D4693" s="1" t="inlineStr">
        <is>
          <t>20/04/2026</t>
        </is>
      </c>
      <c r="E4693" s="1" t="n">
        <v>2026</v>
      </c>
      <c r="F4693" s="1" t="inlineStr">
        <is>
          <t>ABRIL</t>
        </is>
      </c>
      <c r="G4693" s="1" t="inlineStr">
        <is>
          <t>ZOEY</t>
        </is>
      </c>
      <c r="H4693" s="1" t="inlineStr">
        <is>
          <t>ZOEY 20/04/2026</t>
        </is>
      </c>
      <c r="I4693" s="4" t="n">
        <v>2</v>
      </c>
      <c r="J4693" s="6" t="n">
        <v>38</v>
      </c>
      <c r="K4693" s="6" t="n">
        <v>973.1335768</v>
      </c>
      <c r="L4693" s="6">
        <f>I4693*K4693</f>
        <v/>
      </c>
      <c r="M4693" s="6">
        <f>K4693*4</f>
        <v/>
      </c>
      <c r="N4693" s="6" t="n">
        <v>3200</v>
      </c>
    </row>
    <row r="4694">
      <c r="A4694" s="1" t="inlineStr">
        <is>
          <t>91345322411533</t>
        </is>
      </c>
      <c r="B4694" s="1" t="inlineStr">
        <is>
          <t>BOLSO F MON TRESOR</t>
        </is>
      </c>
      <c r="C4694" s="1" t="inlineStr">
        <is>
          <t>Default Title</t>
        </is>
      </c>
      <c r="D4694" s="1" t="inlineStr">
        <is>
          <t>20/04/2026</t>
        </is>
      </c>
      <c r="E4694" s="1" t="n">
        <v>2026</v>
      </c>
      <c r="F4694" s="1" t="inlineStr">
        <is>
          <t>ABRIL</t>
        </is>
      </c>
      <c r="G4694" s="1" t="inlineStr">
        <is>
          <t>ZOEY</t>
        </is>
      </c>
      <c r="H4694" s="1" t="inlineStr">
        <is>
          <t>ZOEY 20/04/2026</t>
        </is>
      </c>
      <c r="I4694" s="4" t="n">
        <v>2</v>
      </c>
      <c r="J4694" s="6" t="n">
        <v>52</v>
      </c>
      <c r="K4694" s="6" t="n">
        <v>1331.656473</v>
      </c>
      <c r="L4694" s="6">
        <f>I4694*K4694</f>
        <v/>
      </c>
      <c r="M4694" s="6">
        <f>K4694*4</f>
        <v/>
      </c>
      <c r="N4694" s="6" t="n">
        <v>5099</v>
      </c>
    </row>
    <row r="4695">
      <c r="A4695" s="1" t="inlineStr">
        <is>
          <t>91345322411533</t>
        </is>
      </c>
      <c r="B4695" s="1" t="inlineStr">
        <is>
          <t>BOLSO F MON TRESOR</t>
        </is>
      </c>
      <c r="C4695" s="1" t="inlineStr">
        <is>
          <t>Default Title</t>
        </is>
      </c>
      <c r="D4695" s="1" t="inlineStr">
        <is>
          <t>08/06/2026</t>
        </is>
      </c>
      <c r="E4695" s="1" t="n">
        <v>2026</v>
      </c>
      <c r="F4695" s="1" t="inlineStr">
        <is>
          <t>JUNIO</t>
        </is>
      </c>
      <c r="G4695" s="1" t="inlineStr">
        <is>
          <t>ZOEY</t>
        </is>
      </c>
      <c r="H4695" s="1" t="inlineStr">
        <is>
          <t>ZOEY 08/06/2026</t>
        </is>
      </c>
      <c r="I4695" s="4" t="n">
        <v>2</v>
      </c>
      <c r="J4695" s="6" t="n">
        <v>52</v>
      </c>
      <c r="K4695" s="6" t="n">
        <v>1274.594696</v>
      </c>
      <c r="L4695" s="6">
        <f>I4695*K4695</f>
        <v/>
      </c>
      <c r="M4695" s="6">
        <f>K4695*4</f>
        <v/>
      </c>
      <c r="N4695" s="6" t="n">
        <v>5099</v>
      </c>
    </row>
    <row r="4696">
      <c r="A4696" s="1" t="inlineStr">
        <is>
          <t>91345323018381</t>
        </is>
      </c>
      <c r="B4696" s="1" t="inlineStr">
        <is>
          <t>ZAPATILLAS YSL SLINGBACK</t>
        </is>
      </c>
      <c r="C4696" s="1" t="inlineStr">
        <is>
          <t>25MX</t>
        </is>
      </c>
      <c r="D4696" s="1" t="inlineStr">
        <is>
          <t>20/04/2026</t>
        </is>
      </c>
      <c r="E4696" s="1" t="n">
        <v>2026</v>
      </c>
      <c r="F4696" s="1" t="inlineStr">
        <is>
          <t>ABRIL</t>
        </is>
      </c>
      <c r="G4696" s="1" t="inlineStr">
        <is>
          <t>ZOEY</t>
        </is>
      </c>
      <c r="H4696" s="1" t="inlineStr">
        <is>
          <t>ZOEY 20/04/2026</t>
        </is>
      </c>
      <c r="I4696" s="4" t="n">
        <v>2</v>
      </c>
      <c r="J4696" s="6" t="n">
        <v>68</v>
      </c>
      <c r="K4696" s="6" t="n">
        <v>1741.396927</v>
      </c>
      <c r="L4696" s="6">
        <f>I4696*K4696</f>
        <v/>
      </c>
      <c r="M4696" s="6">
        <f>K4696*4</f>
        <v/>
      </c>
      <c r="N4696" s="6" t="n">
        <v>6099</v>
      </c>
    </row>
    <row r="4697">
      <c r="A4697" s="1" t="inlineStr">
        <is>
          <t>91345323151149</t>
        </is>
      </c>
      <c r="B4697" s="1" t="inlineStr">
        <is>
          <t>ZAPATILLAS YSL SLINGBACK</t>
        </is>
      </c>
      <c r="C4697" s="1" t="inlineStr">
        <is>
          <t>24MX</t>
        </is>
      </c>
      <c r="D4697" s="1" t="inlineStr">
        <is>
          <t>20/04/2026</t>
        </is>
      </c>
      <c r="E4697" s="1" t="n">
        <v>2026</v>
      </c>
      <c r="F4697" s="1" t="inlineStr">
        <is>
          <t>ABRIL</t>
        </is>
      </c>
      <c r="G4697" s="1" t="inlineStr">
        <is>
          <t>ZOEY</t>
        </is>
      </c>
      <c r="H4697" s="1" t="inlineStr">
        <is>
          <t>ZOEY 20/04/2026</t>
        </is>
      </c>
      <c r="I4697" s="4" t="n">
        <v>2</v>
      </c>
      <c r="J4697" s="6" t="n">
        <v>68</v>
      </c>
      <c r="K4697" s="6" t="n">
        <v>1741.396927</v>
      </c>
      <c r="L4697" s="6">
        <f>I4697*K4697</f>
        <v/>
      </c>
      <c r="M4697" s="6">
        <f>K4697*4</f>
        <v/>
      </c>
      <c r="N4697" s="6" t="n">
        <v>6099</v>
      </c>
    </row>
    <row r="4698">
      <c r="A4698" s="1" t="inlineStr">
        <is>
          <t>91345323547213</t>
        </is>
      </c>
      <c r="B4698" s="1" t="inlineStr">
        <is>
          <t>RELOJ C BAIGNOIRE GOLD</t>
        </is>
      </c>
      <c r="C4698" s="1" t="inlineStr">
        <is>
          <t>Default Title</t>
        </is>
      </c>
      <c r="D4698" s="1" t="inlineStr">
        <is>
          <t>20/04/2026</t>
        </is>
      </c>
      <c r="E4698" s="1" t="n">
        <v>2026</v>
      </c>
      <c r="F4698" s="1" t="inlineStr">
        <is>
          <t>ABRIL</t>
        </is>
      </c>
      <c r="G4698" s="1" t="inlineStr">
        <is>
          <t>ZOEY</t>
        </is>
      </c>
      <c r="H4698" s="1" t="inlineStr">
        <is>
          <t>ZOEY 20/04/2026</t>
        </is>
      </c>
      <c r="I4698" s="4" t="n">
        <v>2</v>
      </c>
      <c r="J4698" s="6" t="n">
        <v>82</v>
      </c>
      <c r="K4698" s="6" t="n">
        <v>2099.919824</v>
      </c>
      <c r="L4698" s="6">
        <f>I4698*K4698</f>
        <v/>
      </c>
      <c r="M4698" s="6">
        <f>K4698*4</f>
        <v/>
      </c>
      <c r="N4698" s="6" t="n">
        <v>7349</v>
      </c>
    </row>
    <row r="4699">
      <c r="A4699" s="1" t="inlineStr">
        <is>
          <t>91345323704269</t>
        </is>
      </c>
      <c r="B4699" s="1" t="inlineStr">
        <is>
          <t>RELOJ C BAIGNOIRE ROSEGOLD</t>
        </is>
      </c>
      <c r="C4699" s="1" t="inlineStr">
        <is>
          <t>Default Title</t>
        </is>
      </c>
      <c r="D4699" s="1" t="inlineStr">
        <is>
          <t>20/04/2026</t>
        </is>
      </c>
      <c r="E4699" s="1" t="n">
        <v>2026</v>
      </c>
      <c r="F4699" s="1" t="inlineStr">
        <is>
          <t>ABRIL</t>
        </is>
      </c>
      <c r="G4699" s="1" t="inlineStr">
        <is>
          <t>ZOEY</t>
        </is>
      </c>
      <c r="H4699" s="1" t="inlineStr">
        <is>
          <t>ZOEY 20/04/2026</t>
        </is>
      </c>
      <c r="I4699" s="4" t="n">
        <v>2</v>
      </c>
      <c r="J4699" s="6" t="n">
        <v>82</v>
      </c>
      <c r="K4699" s="6" t="n">
        <v>2099.919824</v>
      </c>
      <c r="L4699" s="6">
        <f>I4699*K4699</f>
        <v/>
      </c>
      <c r="M4699" s="6">
        <f>K4699*4</f>
        <v/>
      </c>
      <c r="N4699" s="6" t="n">
        <v>7349</v>
      </c>
    </row>
    <row r="4700">
      <c r="A4700" s="1" t="inlineStr">
        <is>
          <t>93098781071405</t>
        </is>
      </c>
      <c r="B4700" s="1" t="inlineStr">
        <is>
          <t>PULSERA LV SAILOR SOO</t>
        </is>
      </c>
      <c r="C4700" s="1" t="inlineStr">
        <is>
          <t>SILVER</t>
        </is>
      </c>
      <c r="D4700" s="1" t="inlineStr">
        <is>
          <t>02/03/2026</t>
        </is>
      </c>
      <c r="E4700" s="1" t="n">
        <v>2026</v>
      </c>
      <c r="F4700" s="1" t="inlineStr">
        <is>
          <t>MARZO</t>
        </is>
      </c>
      <c r="G4700" s="1" t="inlineStr">
        <is>
          <t>ZOEY</t>
        </is>
      </c>
      <c r="H4700" s="1" t="inlineStr">
        <is>
          <t>ZOEY 02/03/2026</t>
        </is>
      </c>
      <c r="I4700" s="4" t="n">
        <v>2</v>
      </c>
      <c r="J4700" s="6" t="n">
        <v>9</v>
      </c>
      <c r="K4700" s="6" t="n">
        <v>236.4927815</v>
      </c>
      <c r="L4700" s="6">
        <f>I4700*K4700</f>
        <v/>
      </c>
      <c r="M4700" s="6">
        <f>K4700*4</f>
        <v/>
      </c>
      <c r="N4700" s="6" t="n">
        <v>899</v>
      </c>
    </row>
    <row r="4701">
      <c r="A4701" s="1" t="inlineStr">
        <is>
          <t>93098781071405</t>
        </is>
      </c>
      <c r="B4701" s="1" t="inlineStr">
        <is>
          <t>PULSERA LV SAILOR SOO</t>
        </is>
      </c>
      <c r="C4701" s="1" t="inlineStr">
        <is>
          <t>Default Title</t>
        </is>
      </c>
      <c r="D4701" s="1" t="inlineStr">
        <is>
          <t>08/06/2026</t>
        </is>
      </c>
      <c r="E4701" s="1" t="n">
        <v>2026</v>
      </c>
      <c r="F4701" s="1" t="inlineStr">
        <is>
          <t>JUNIO</t>
        </is>
      </c>
      <c r="G4701" s="1" t="inlineStr">
        <is>
          <t>ZOEY</t>
        </is>
      </c>
      <c r="H4701" s="1" t="inlineStr">
        <is>
          <t>ZOEY 08/06/2026</t>
        </is>
      </c>
      <c r="I4701" s="4" t="n">
        <v>2</v>
      </c>
      <c r="J4701" s="6" t="n">
        <v>9</v>
      </c>
      <c r="K4701" s="6" t="n">
        <v>220.6029281</v>
      </c>
      <c r="L4701" s="6">
        <f>I4701*K4701</f>
        <v/>
      </c>
      <c r="M4701" s="6">
        <f>K4701*4</f>
        <v/>
      </c>
      <c r="N4701" s="6" t="n">
        <v>899</v>
      </c>
    </row>
    <row r="4702">
      <c r="A4702" s="1" t="inlineStr">
        <is>
          <t>93098781173101</t>
        </is>
      </c>
      <c r="B4702" s="1" t="inlineStr">
        <is>
          <t>LENTES LV ESCAPE SQUARE</t>
        </is>
      </c>
      <c r="C4702" s="1" t="inlineStr">
        <is>
          <t>BLACK</t>
        </is>
      </c>
      <c r="D4702" s="1" t="inlineStr">
        <is>
          <t>02/03/2026</t>
        </is>
      </c>
      <c r="E4702" s="1" t="n">
        <v>2026</v>
      </c>
      <c r="F4702" s="1" t="inlineStr">
        <is>
          <t>MARZO</t>
        </is>
      </c>
      <c r="G4702" s="1" t="inlineStr">
        <is>
          <t>ZOEY</t>
        </is>
      </c>
      <c r="H4702" s="1" t="inlineStr">
        <is>
          <t>ZOEY 02/03/2026</t>
        </is>
      </c>
      <c r="I4702" s="4" t="n">
        <v>2</v>
      </c>
      <c r="J4702" s="6" t="n">
        <v>32</v>
      </c>
      <c r="K4702" s="6" t="n">
        <v>840.8632231</v>
      </c>
      <c r="L4702" s="6">
        <f>I4702*K4702</f>
        <v/>
      </c>
      <c r="M4702" s="6">
        <f>K4702*4</f>
        <v/>
      </c>
      <c r="N4702" s="6" t="n">
        <v>3369</v>
      </c>
    </row>
    <row r="4703">
      <c r="A4703" s="1" t="inlineStr">
        <is>
          <t>93098781240333</t>
        </is>
      </c>
      <c r="B4703" s="1" t="inlineStr">
        <is>
          <t>PULSERA LV SPIKE SOO</t>
        </is>
      </c>
      <c r="C4703" s="1" t="inlineStr">
        <is>
          <t>SILVER</t>
        </is>
      </c>
      <c r="D4703" s="1" t="inlineStr">
        <is>
          <t>02/03/2026</t>
        </is>
      </c>
      <c r="E4703" s="1" t="n">
        <v>2026</v>
      </c>
      <c r="F4703" s="1" t="inlineStr">
        <is>
          <t>MARZO</t>
        </is>
      </c>
      <c r="G4703" s="1" t="inlineStr">
        <is>
          <t>ZOEY</t>
        </is>
      </c>
      <c r="H4703" s="1" t="inlineStr">
        <is>
          <t>ZOEY 02/03/2026</t>
        </is>
      </c>
      <c r="I4703" s="4" t="n">
        <v>2</v>
      </c>
      <c r="J4703" s="6" t="n">
        <v>8</v>
      </c>
      <c r="K4703" s="6" t="n">
        <v>210.2158058</v>
      </c>
      <c r="L4703" s="6">
        <f>I4703*K4703</f>
        <v/>
      </c>
      <c r="M4703" s="6">
        <f>K4703*4</f>
        <v/>
      </c>
      <c r="N4703" s="6" t="n">
        <v>1190</v>
      </c>
    </row>
    <row r="4704">
      <c r="A4704" s="1" t="inlineStr">
        <is>
          <t>93098781301933</t>
        </is>
      </c>
      <c r="B4704" s="1" t="inlineStr">
        <is>
          <t>LENTES LV HIT SOO</t>
        </is>
      </c>
      <c r="C4704" s="1" t="inlineStr">
        <is>
          <t>BLACK</t>
        </is>
      </c>
      <c r="D4704" s="1" t="inlineStr">
        <is>
          <t>02/03/2026</t>
        </is>
      </c>
      <c r="E4704" s="1" t="n">
        <v>2026</v>
      </c>
      <c r="F4704" s="1" t="inlineStr">
        <is>
          <t>MARZO</t>
        </is>
      </c>
      <c r="G4704" s="1" t="inlineStr">
        <is>
          <t>ZOEY</t>
        </is>
      </c>
      <c r="H4704" s="1" t="inlineStr">
        <is>
          <t>ZOEY 02/03/2026</t>
        </is>
      </c>
      <c r="I4704" s="4" t="n">
        <v>2</v>
      </c>
      <c r="J4704" s="6" t="n">
        <v>32</v>
      </c>
      <c r="K4704" s="6" t="n">
        <v>840.8632231</v>
      </c>
      <c r="L4704" s="6">
        <f>I4704*K4704</f>
        <v/>
      </c>
      <c r="M4704" s="6">
        <f>K4704*4</f>
        <v/>
      </c>
      <c r="N4704" s="6" t="n">
        <v>3399</v>
      </c>
    </row>
    <row r="4705">
      <c r="A4705" s="1" t="inlineStr">
        <is>
          <t>93098781301933</t>
        </is>
      </c>
      <c r="B4705" s="1" t="inlineStr">
        <is>
          <t>LENTES LV HIT SOO</t>
        </is>
      </c>
      <c r="C4705" s="1" t="inlineStr">
        <is>
          <t>Default Title</t>
        </is>
      </c>
      <c r="D4705" s="1" t="inlineStr">
        <is>
          <t>15/05/2026</t>
        </is>
      </c>
      <c r="E4705" s="1" t="n">
        <v>2026</v>
      </c>
      <c r="F4705" s="1" t="inlineStr">
        <is>
          <t>MAYO</t>
        </is>
      </c>
      <c r="G4705" s="1" t="inlineStr">
        <is>
          <t>ZOEY</t>
        </is>
      </c>
      <c r="H4705" s="1" t="inlineStr">
        <is>
          <t>ZOEY 15/05/2026</t>
        </is>
      </c>
      <c r="I4705" s="4" t="n">
        <v>4</v>
      </c>
      <c r="J4705" s="6" t="n">
        <v>32</v>
      </c>
      <c r="K4705" s="6" t="n">
        <v>848.1479836</v>
      </c>
      <c r="L4705" s="6">
        <f>I4705*K4705</f>
        <v/>
      </c>
      <c r="M4705" s="6">
        <f>K4705*4</f>
        <v/>
      </c>
      <c r="N4705" s="6" t="n">
        <v>3399</v>
      </c>
    </row>
    <row r="4706">
      <c r="A4706" s="1" t="inlineStr">
        <is>
          <t>93098781469165</t>
        </is>
      </c>
      <c r="B4706" s="1" t="inlineStr">
        <is>
          <t>PULSERA LV CATCH IT BLACK</t>
        </is>
      </c>
      <c r="C4706" s="1" t="inlineStr">
        <is>
          <t>BLACK</t>
        </is>
      </c>
      <c r="D4706" s="1" t="inlineStr">
        <is>
          <t>02/03/2026</t>
        </is>
      </c>
      <c r="E4706" s="1" t="n">
        <v>2026</v>
      </c>
      <c r="F4706" s="1" t="inlineStr">
        <is>
          <t>MARZO</t>
        </is>
      </c>
      <c r="G4706" s="1" t="inlineStr">
        <is>
          <t>ZOEY</t>
        </is>
      </c>
      <c r="H4706" s="1" t="inlineStr">
        <is>
          <t>ZOEY 02/03/2026</t>
        </is>
      </c>
      <c r="I4706" s="4" t="n">
        <v>2</v>
      </c>
      <c r="J4706" s="6" t="n">
        <v>10</v>
      </c>
      <c r="K4706" s="6" t="n">
        <v>262.7697572</v>
      </c>
      <c r="L4706" s="6">
        <f>I4706*K4706</f>
        <v/>
      </c>
      <c r="M4706" s="6">
        <f>K4706*4</f>
        <v/>
      </c>
      <c r="N4706" s="6" t="n">
        <v>1069</v>
      </c>
    </row>
    <row r="4707">
      <c r="A4707" s="1" t="inlineStr">
        <is>
          <t>93098781469165</t>
        </is>
      </c>
      <c r="B4707" s="1" t="inlineStr">
        <is>
          <t>PULSERA LV CATCH IT BLACK</t>
        </is>
      </c>
      <c r="C4707" s="1" t="inlineStr">
        <is>
          <t>Default Title</t>
        </is>
      </c>
      <c r="D4707" s="1" t="inlineStr">
        <is>
          <t>15/05/2026</t>
        </is>
      </c>
      <c r="E4707" s="1" t="n">
        <v>2026</v>
      </c>
      <c r="F4707" s="1" t="inlineStr">
        <is>
          <t>MAYO</t>
        </is>
      </c>
      <c r="G4707" s="1" t="inlineStr">
        <is>
          <t>ZOEY</t>
        </is>
      </c>
      <c r="H4707" s="1" t="inlineStr">
        <is>
          <t>ZOEY 15/05/2026</t>
        </is>
      </c>
      <c r="I4707" s="4" t="n">
        <v>2</v>
      </c>
      <c r="J4707" s="6" t="n">
        <v>10</v>
      </c>
      <c r="K4707" s="6" t="n">
        <v>265.0462449</v>
      </c>
      <c r="L4707" s="6">
        <f>I4707*K4707</f>
        <v/>
      </c>
      <c r="M4707" s="6">
        <f>K4707*4</f>
        <v/>
      </c>
      <c r="N4707" s="6" t="n">
        <v>1069</v>
      </c>
    </row>
    <row r="4708">
      <c r="A4708" s="1" t="inlineStr">
        <is>
          <t>93098781536397</t>
        </is>
      </c>
      <c r="B4708" s="1" t="inlineStr">
        <is>
          <t>LENTES LV ATTITUDE SOO</t>
        </is>
      </c>
      <c r="C4708" s="1" t="inlineStr">
        <is>
          <t>BROWN</t>
        </is>
      </c>
      <c r="D4708" s="1" t="inlineStr">
        <is>
          <t>02/03/2026</t>
        </is>
      </c>
      <c r="E4708" s="1" t="n">
        <v>2026</v>
      </c>
      <c r="F4708" s="1" t="inlineStr">
        <is>
          <t>MARZO</t>
        </is>
      </c>
      <c r="G4708" s="1" t="inlineStr">
        <is>
          <t>ZOEY</t>
        </is>
      </c>
      <c r="H4708" s="1" t="inlineStr">
        <is>
          <t>ZOEY 02/03/2026</t>
        </is>
      </c>
      <c r="I4708" s="4" t="n">
        <v>2</v>
      </c>
      <c r="J4708" s="6" t="n">
        <v>32</v>
      </c>
      <c r="K4708" s="6" t="n">
        <v>840.8632231</v>
      </c>
      <c r="L4708" s="6">
        <f>I4708*K4708</f>
        <v/>
      </c>
      <c r="M4708" s="6">
        <f>K4708*4</f>
        <v/>
      </c>
      <c r="N4708" s="6" t="n">
        <v>3399</v>
      </c>
    </row>
    <row r="4709">
      <c r="A4709" s="1" t="inlineStr">
        <is>
          <t>93098781536397</t>
        </is>
      </c>
      <c r="B4709" s="1" t="inlineStr">
        <is>
          <t>LENTES LV ATTITUDE SOO</t>
        </is>
      </c>
      <c r="C4709" s="1" t="inlineStr">
        <is>
          <t>Default Title</t>
        </is>
      </c>
      <c r="D4709" s="1" t="inlineStr">
        <is>
          <t>15/05/2026</t>
        </is>
      </c>
      <c r="E4709" s="1" t="n">
        <v>2026</v>
      </c>
      <c r="F4709" s="1" t="inlineStr">
        <is>
          <t>MAYO</t>
        </is>
      </c>
      <c r="G4709" s="1" t="inlineStr">
        <is>
          <t>ZOEY</t>
        </is>
      </c>
      <c r="H4709" s="1" t="inlineStr">
        <is>
          <t>ZOEY 15/05/2026</t>
        </is>
      </c>
      <c r="I4709" s="4" t="n">
        <v>4</v>
      </c>
      <c r="J4709" s="6" t="n">
        <v>32</v>
      </c>
      <c r="K4709" s="6" t="n">
        <v>848.1479836</v>
      </c>
      <c r="L4709" s="6">
        <f>I4709*K4709</f>
        <v/>
      </c>
      <c r="M4709" s="6">
        <f>K4709*4</f>
        <v/>
      </c>
      <c r="N4709" s="6" t="n">
        <v>3399</v>
      </c>
    </row>
    <row r="4710">
      <c r="A4710" s="1" t="inlineStr">
        <is>
          <t>93098781603629</t>
        </is>
      </c>
      <c r="B4710" s="1" t="inlineStr">
        <is>
          <t>CARTERA LV MULTIPLE MONOGRAM</t>
        </is>
      </c>
      <c r="C4710" s="1" t="inlineStr">
        <is>
          <t>BLACK</t>
        </is>
      </c>
      <c r="D4710" s="1" t="inlineStr">
        <is>
          <t>02/03/2026</t>
        </is>
      </c>
      <c r="E4710" s="1" t="n">
        <v>2026</v>
      </c>
      <c r="F4710" s="1" t="inlineStr">
        <is>
          <t>MARZO</t>
        </is>
      </c>
      <c r="G4710" s="1" t="inlineStr">
        <is>
          <t>ZOEY</t>
        </is>
      </c>
      <c r="H4710" s="1" t="inlineStr">
        <is>
          <t>ZOEY 02/03/2026</t>
        </is>
      </c>
      <c r="I4710" s="4" t="n">
        <v>3</v>
      </c>
      <c r="J4710" s="6" t="n">
        <v>17</v>
      </c>
      <c r="K4710" s="6" t="n">
        <v>446.7085873</v>
      </c>
      <c r="L4710" s="6">
        <f>I4710*K4710</f>
        <v/>
      </c>
      <c r="M4710" s="6">
        <f>K4710*4</f>
        <v/>
      </c>
      <c r="N4710" s="6" t="n">
        <v>1699</v>
      </c>
    </row>
    <row r="4711">
      <c r="A4711" s="1" t="inlineStr">
        <is>
          <t>93098781603629</t>
        </is>
      </c>
      <c r="B4711" s="1" t="inlineStr">
        <is>
          <t>CARTERA LV MULTIPLE MONOGRAM</t>
        </is>
      </c>
      <c r="C4711" s="1" t="inlineStr">
        <is>
          <t>Default Title</t>
        </is>
      </c>
      <c r="D4711" s="1" t="inlineStr">
        <is>
          <t>08/06/2026</t>
        </is>
      </c>
      <c r="E4711" s="1" t="n">
        <v>2026</v>
      </c>
      <c r="F4711" s="1" t="inlineStr">
        <is>
          <t>JUNIO</t>
        </is>
      </c>
      <c r="G4711" s="1" t="inlineStr">
        <is>
          <t>ZOEY</t>
        </is>
      </c>
      <c r="H4711" s="1" t="inlineStr">
        <is>
          <t>ZOEY 08/06/2026</t>
        </is>
      </c>
      <c r="I4711" s="4" t="n">
        <v>2</v>
      </c>
      <c r="J4711" s="6" t="n">
        <v>17</v>
      </c>
      <c r="K4711" s="6" t="n">
        <v>416.6944197</v>
      </c>
      <c r="L4711" s="6">
        <f>I4711*K4711</f>
        <v/>
      </c>
      <c r="M4711" s="6">
        <f>K4711*4</f>
        <v/>
      </c>
      <c r="N4711" s="6" t="n">
        <v>1699</v>
      </c>
    </row>
    <row r="4712">
      <c r="A4712" s="1" t="inlineStr">
        <is>
          <t>93098781770861</t>
        </is>
      </c>
      <c r="B4712" s="1" t="inlineStr">
        <is>
          <t>CARTERA LV EMPREINTE BLACK</t>
        </is>
      </c>
      <c r="C4712" s="1" t="inlineStr">
        <is>
          <t>BLACK</t>
        </is>
      </c>
      <c r="D4712" s="1" t="inlineStr">
        <is>
          <t>02/03/2026</t>
        </is>
      </c>
      <c r="E4712" s="1" t="n">
        <v>2026</v>
      </c>
      <c r="F4712" s="1" t="inlineStr">
        <is>
          <t>MARZO</t>
        </is>
      </c>
      <c r="G4712" s="1" t="inlineStr">
        <is>
          <t>ZOEY</t>
        </is>
      </c>
      <c r="H4712" s="1" t="inlineStr">
        <is>
          <t>ZOEY 02/03/2026</t>
        </is>
      </c>
      <c r="I4712" s="4" t="n">
        <v>3</v>
      </c>
      <c r="J4712" s="6" t="n">
        <v>17</v>
      </c>
      <c r="K4712" s="6" t="n">
        <v>446.7085873</v>
      </c>
      <c r="L4712" s="6">
        <f>I4712*K4712</f>
        <v/>
      </c>
      <c r="M4712" s="6">
        <f>K4712*4</f>
        <v/>
      </c>
      <c r="N4712" s="6" t="n">
        <v>1810</v>
      </c>
    </row>
    <row r="4713">
      <c r="A4713" s="1" t="inlineStr">
        <is>
          <t>93098781770861</t>
        </is>
      </c>
      <c r="B4713" s="1" t="inlineStr">
        <is>
          <t>CARTERA LV EMPREINTE BLACK</t>
        </is>
      </c>
      <c r="C4713" s="1" t="inlineStr">
        <is>
          <t>Default Title</t>
        </is>
      </c>
      <c r="D4713" s="1" t="inlineStr">
        <is>
          <t>15/05/2026</t>
        </is>
      </c>
      <c r="E4713" s="1" t="n">
        <v>2026</v>
      </c>
      <c r="F4713" s="1" t="inlineStr">
        <is>
          <t>MAYO</t>
        </is>
      </c>
      <c r="G4713" s="1" t="inlineStr">
        <is>
          <t>ZOEY</t>
        </is>
      </c>
      <c r="H4713" s="1" t="inlineStr">
        <is>
          <t>ZOEY 15/05/2026</t>
        </is>
      </c>
      <c r="I4713" s="4" t="n">
        <v>5</v>
      </c>
      <c r="J4713" s="6" t="n">
        <v>17</v>
      </c>
      <c r="K4713" s="6" t="n">
        <v>450.5786163</v>
      </c>
      <c r="L4713" s="6">
        <f>I4713*K4713</f>
        <v/>
      </c>
      <c r="M4713" s="6">
        <f>K4713*4</f>
        <v/>
      </c>
      <c r="N4713" s="6" t="n">
        <v>1810</v>
      </c>
    </row>
    <row r="4714">
      <c r="A4714" s="1" t="inlineStr">
        <is>
          <t>93098781839789</t>
        </is>
      </c>
      <c r="B4714" s="1" t="inlineStr">
        <is>
          <t>PORTADOCUMENTOS LV VOYAGE</t>
        </is>
      </c>
      <c r="C4714" s="1" t="inlineStr">
        <is>
          <t>BLACK</t>
        </is>
      </c>
      <c r="D4714" s="1" t="inlineStr">
        <is>
          <t>02/03/2026</t>
        </is>
      </c>
      <c r="E4714" s="1" t="n">
        <v>2026</v>
      </c>
      <c r="F4714" s="1" t="inlineStr">
        <is>
          <t>MARZO</t>
        </is>
      </c>
      <c r="G4714" s="1" t="inlineStr">
        <is>
          <t>ZOEY</t>
        </is>
      </c>
      <c r="H4714" s="1" t="inlineStr">
        <is>
          <t>ZOEY 02/03/2026</t>
        </is>
      </c>
      <c r="I4714" s="4" t="n">
        <v>1</v>
      </c>
      <c r="J4714" s="6" t="n">
        <v>55</v>
      </c>
      <c r="K4714" s="6" t="n">
        <v>1445.233665</v>
      </c>
      <c r="L4714" s="6">
        <f>I4714*K4714</f>
        <v/>
      </c>
      <c r="M4714" s="6">
        <f>K4714*4</f>
        <v/>
      </c>
      <c r="N4714" s="6" t="n">
        <v>5839</v>
      </c>
    </row>
    <row r="4715">
      <c r="A4715" s="1" t="inlineStr">
        <is>
          <t>93098781839789</t>
        </is>
      </c>
      <c r="B4715" s="1" t="inlineStr">
        <is>
          <t>PORTADOCUMENTOS LV VOYAGE</t>
        </is>
      </c>
      <c r="C4715" s="1" t="inlineStr">
        <is>
          <t>Default Title</t>
        </is>
      </c>
      <c r="D4715" s="1" t="inlineStr">
        <is>
          <t>15/05/2026</t>
        </is>
      </c>
      <c r="E4715" s="1" t="n">
        <v>2026</v>
      </c>
      <c r="F4715" s="1" t="inlineStr">
        <is>
          <t>MAYO</t>
        </is>
      </c>
      <c r="G4715" s="1" t="inlineStr">
        <is>
          <t>ZOEY</t>
        </is>
      </c>
      <c r="H4715" s="1" t="inlineStr">
        <is>
          <t>ZOEY 15/05/2026</t>
        </is>
      </c>
      <c r="I4715" s="4" t="n">
        <v>2</v>
      </c>
      <c r="J4715" s="6" t="n">
        <v>55</v>
      </c>
      <c r="K4715" s="6" t="n">
        <v>1457.754347</v>
      </c>
      <c r="L4715" s="6">
        <f>I4715*K4715</f>
        <v/>
      </c>
      <c r="M4715" s="6">
        <f>K4715*4</f>
        <v/>
      </c>
      <c r="N4715" s="6" t="n">
        <v>5839</v>
      </c>
    </row>
    <row r="4716">
      <c r="A4716" s="1" t="inlineStr">
        <is>
          <t>93098781907021</t>
        </is>
      </c>
      <c r="B4716" s="1" t="inlineStr">
        <is>
          <t>CARTERA LV GASTON MONOGRAM</t>
        </is>
      </c>
      <c r="C4716" s="1" t="inlineStr">
        <is>
          <t>BLACK</t>
        </is>
      </c>
      <c r="D4716" s="1" t="inlineStr">
        <is>
          <t>02/03/2026</t>
        </is>
      </c>
      <c r="E4716" s="1" t="n">
        <v>2026</v>
      </c>
      <c r="F4716" s="1" t="inlineStr">
        <is>
          <t>MARZO</t>
        </is>
      </c>
      <c r="G4716" s="1" t="inlineStr">
        <is>
          <t>ZOEY</t>
        </is>
      </c>
      <c r="H4716" s="1" t="inlineStr">
        <is>
          <t>ZOEY 02/03/2026</t>
        </is>
      </c>
      <c r="I4716" s="4" t="n">
        <v>2</v>
      </c>
      <c r="J4716" s="6" t="n">
        <v>45</v>
      </c>
      <c r="K4716" s="6" t="n">
        <v>1182.463908</v>
      </c>
      <c r="L4716" s="6">
        <f>I4716*K4716</f>
        <v/>
      </c>
      <c r="M4716" s="6">
        <f>K4716*4</f>
        <v/>
      </c>
      <c r="N4716" s="6" t="n">
        <v>4779</v>
      </c>
    </row>
    <row r="4717">
      <c r="A4717" s="1" t="inlineStr">
        <is>
          <t>93098781907021</t>
        </is>
      </c>
      <c r="B4717" s="1" t="inlineStr">
        <is>
          <t>CARTERA LV GASTON MONOGRAM</t>
        </is>
      </c>
      <c r="C4717" s="1" t="inlineStr">
        <is>
          <t>Default Title</t>
        </is>
      </c>
      <c r="D4717" s="1" t="inlineStr">
        <is>
          <t>15/05/2026</t>
        </is>
      </c>
      <c r="E4717" s="1" t="n">
        <v>2026</v>
      </c>
      <c r="F4717" s="1" t="inlineStr">
        <is>
          <t>MAYO</t>
        </is>
      </c>
      <c r="G4717" s="1" t="inlineStr">
        <is>
          <t>ZOEY</t>
        </is>
      </c>
      <c r="H4717" s="1" t="inlineStr">
        <is>
          <t>ZOEY 15/05/2026</t>
        </is>
      </c>
      <c r="I4717" s="4" t="n">
        <v>4</v>
      </c>
      <c r="J4717" s="6" t="n">
        <v>45</v>
      </c>
      <c r="K4717" s="6" t="n">
        <v>1192.708102</v>
      </c>
      <c r="L4717" s="6">
        <f>I4717*K4717</f>
        <v/>
      </c>
      <c r="M4717" s="6">
        <f>K4717*4</f>
        <v/>
      </c>
      <c r="N4717" s="6" t="n">
        <v>4779</v>
      </c>
    </row>
    <row r="4718">
      <c r="A4718" s="1" t="inlineStr">
        <is>
          <t>93098782074253</t>
        </is>
      </c>
      <c r="B4718" s="1" t="inlineStr">
        <is>
          <t>BOLSO LV CHRISTOPHER MESSENGER</t>
        </is>
      </c>
      <c r="C4718" s="1" t="inlineStr">
        <is>
          <t>BLACK</t>
        </is>
      </c>
      <c r="D4718" s="1" t="inlineStr">
        <is>
          <t>02/03/2026</t>
        </is>
      </c>
      <c r="E4718" s="1" t="n">
        <v>2026</v>
      </c>
      <c r="F4718" s="1" t="inlineStr">
        <is>
          <t>MARZO</t>
        </is>
      </c>
      <c r="G4718" s="1" t="inlineStr">
        <is>
          <t>ZOEY</t>
        </is>
      </c>
      <c r="H4718" s="1" t="inlineStr">
        <is>
          <t>ZOEY 02/03/2026</t>
        </is>
      </c>
      <c r="I4718" s="4" t="n">
        <v>2</v>
      </c>
      <c r="J4718" s="6" t="n">
        <v>45</v>
      </c>
      <c r="K4718" s="6" t="n">
        <v>1182.463908</v>
      </c>
      <c r="L4718" s="6">
        <f>I4718*K4718</f>
        <v/>
      </c>
      <c r="M4718" s="6">
        <f>K4718*4</f>
        <v/>
      </c>
      <c r="N4718" s="6" t="n">
        <v>4779</v>
      </c>
    </row>
    <row r="4719">
      <c r="A4719" s="1" t="inlineStr">
        <is>
          <t>93098782074253</t>
        </is>
      </c>
      <c r="B4719" s="1" t="inlineStr">
        <is>
          <t>BOLSO LV CHRISTOPHER MESSENGER</t>
        </is>
      </c>
      <c r="C4719" s="1" t="inlineStr">
        <is>
          <t>Default Title</t>
        </is>
      </c>
      <c r="D4719" s="1" t="inlineStr">
        <is>
          <t>15/05/2026</t>
        </is>
      </c>
      <c r="E4719" s="1" t="n">
        <v>2026</v>
      </c>
      <c r="F4719" s="1" t="inlineStr">
        <is>
          <t>MAYO</t>
        </is>
      </c>
      <c r="G4719" s="1" t="inlineStr">
        <is>
          <t>ZOEY</t>
        </is>
      </c>
      <c r="H4719" s="1" t="inlineStr">
        <is>
          <t>ZOEY 15/05/2026</t>
        </is>
      </c>
      <c r="I4719" s="4" t="n">
        <v>1</v>
      </c>
      <c r="J4719" s="6" t="n">
        <v>45</v>
      </c>
      <c r="K4719" s="6" t="n">
        <v>1192.708102</v>
      </c>
      <c r="L4719" s="6">
        <f>I4719*K4719</f>
        <v/>
      </c>
      <c r="M4719" s="6">
        <f>K4719*4</f>
        <v/>
      </c>
      <c r="N4719" s="6" t="n">
        <v>4779</v>
      </c>
    </row>
    <row r="4720">
      <c r="A4720" s="1" t="inlineStr">
        <is>
          <t>93098782074253</t>
        </is>
      </c>
      <c r="B4720" s="1" t="inlineStr">
        <is>
          <t>BOLSO LV CHRISTOPHER MESSENGER</t>
        </is>
      </c>
      <c r="C4720" s="1" t="inlineStr">
        <is>
          <t>Default Title</t>
        </is>
      </c>
      <c r="D4720" s="1" t="inlineStr">
        <is>
          <t>08/06/2026</t>
        </is>
      </c>
      <c r="E4720" s="1" t="n">
        <v>2026</v>
      </c>
      <c r="F4720" s="1" t="inlineStr">
        <is>
          <t>JUNIO</t>
        </is>
      </c>
      <c r="G4720" s="1" t="inlineStr">
        <is>
          <t>ZOEY</t>
        </is>
      </c>
      <c r="H4720" s="1" t="inlineStr">
        <is>
          <t>ZOEY 08/06/2026</t>
        </is>
      </c>
      <c r="I4720" s="4" t="n">
        <v>3</v>
      </c>
      <c r="J4720" s="6" t="n">
        <v>45</v>
      </c>
      <c r="K4720" s="6" t="n">
        <v>1103.01464</v>
      </c>
      <c r="L4720" s="6">
        <f>I4720*K4720</f>
        <v/>
      </c>
      <c r="M4720" s="6">
        <f>K4720*4</f>
        <v/>
      </c>
      <c r="N4720" s="6" t="n">
        <v>4399</v>
      </c>
    </row>
    <row r="4721">
      <c r="A4721" s="1" t="inlineStr">
        <is>
          <t>93098782175949</t>
        </is>
      </c>
      <c r="B4721" s="1" t="inlineStr">
        <is>
          <t>CANGURERA LV HIGH RISE PM</t>
        </is>
      </c>
      <c r="C4721" s="1" t="inlineStr">
        <is>
          <t>BLACK</t>
        </is>
      </c>
      <c r="D4721" s="1" t="inlineStr">
        <is>
          <t>02/03/2026</t>
        </is>
      </c>
      <c r="E4721" s="1" t="n">
        <v>2026</v>
      </c>
      <c r="F4721" s="1" t="inlineStr">
        <is>
          <t>MARZO</t>
        </is>
      </c>
      <c r="G4721" s="1" t="inlineStr">
        <is>
          <t>ZOEY</t>
        </is>
      </c>
      <c r="H4721" s="1" t="inlineStr">
        <is>
          <t>ZOEY 02/03/2026</t>
        </is>
      </c>
      <c r="I4721" s="4" t="n">
        <v>1</v>
      </c>
      <c r="J4721" s="6" t="n">
        <v>40</v>
      </c>
      <c r="K4721" s="6" t="n">
        <v>1051.079029</v>
      </c>
      <c r="L4721" s="6">
        <f>I4721*K4721</f>
        <v/>
      </c>
      <c r="M4721" s="6">
        <f>K4721*4</f>
        <v/>
      </c>
      <c r="N4721" s="6" t="n">
        <v>4249</v>
      </c>
    </row>
    <row r="4722">
      <c r="A4722" s="1" t="inlineStr">
        <is>
          <t>93098782175949</t>
        </is>
      </c>
      <c r="B4722" s="1" t="inlineStr">
        <is>
          <t>CANGURERA LV HIGH RISE PM</t>
        </is>
      </c>
      <c r="C4722" s="1" t="inlineStr">
        <is>
          <t>Default Title</t>
        </is>
      </c>
      <c r="D4722" s="1" t="inlineStr">
        <is>
          <t>15/05/2026</t>
        </is>
      </c>
      <c r="E4722" s="1" t="n">
        <v>2026</v>
      </c>
      <c r="F4722" s="1" t="inlineStr">
        <is>
          <t>MAYO</t>
        </is>
      </c>
      <c r="G4722" s="1" t="inlineStr">
        <is>
          <t>ZOEY</t>
        </is>
      </c>
      <c r="H4722" s="1" t="inlineStr">
        <is>
          <t>ZOEY 15/05/2026</t>
        </is>
      </c>
      <c r="I4722" s="4" t="n">
        <v>2</v>
      </c>
      <c r="J4722" s="6" t="n">
        <v>40</v>
      </c>
      <c r="K4722" s="6" t="n">
        <v>1060.184979</v>
      </c>
      <c r="L4722" s="6">
        <f>I4722*K4722</f>
        <v/>
      </c>
      <c r="M4722" s="6">
        <f>K4722*4</f>
        <v/>
      </c>
      <c r="N4722" s="6" t="n">
        <v>4249</v>
      </c>
    </row>
    <row r="4723">
      <c r="A4723" s="1" t="inlineStr">
        <is>
          <t>93098782243181</t>
        </is>
      </c>
      <c r="B4723" s="1" t="inlineStr">
        <is>
          <t>BOLSO LV ALMA BB BLACK</t>
        </is>
      </c>
      <c r="C4723" s="1" t="inlineStr">
        <is>
          <t>BLACK</t>
        </is>
      </c>
      <c r="D4723" s="1" t="inlineStr">
        <is>
          <t>02/03/2026</t>
        </is>
      </c>
      <c r="E4723" s="1" t="n">
        <v>2026</v>
      </c>
      <c r="F4723" s="1" t="inlineStr">
        <is>
          <t>MARZO</t>
        </is>
      </c>
      <c r="G4723" s="1" t="inlineStr">
        <is>
          <t>ZOEY</t>
        </is>
      </c>
      <c r="H4723" s="1" t="inlineStr">
        <is>
          <t>ZOEY 02/03/2026</t>
        </is>
      </c>
      <c r="I4723" s="4" t="n">
        <v>2</v>
      </c>
      <c r="J4723" s="6" t="n">
        <v>47</v>
      </c>
      <c r="K4723" s="6" t="n">
        <v>1235.017859</v>
      </c>
      <c r="L4723" s="6">
        <f>I4723*K4723</f>
        <v/>
      </c>
      <c r="M4723" s="6">
        <f>K4723*4</f>
        <v/>
      </c>
      <c r="N4723" s="6" t="n">
        <v>4989</v>
      </c>
    </row>
    <row r="4724">
      <c r="A4724" s="1" t="inlineStr">
        <is>
          <t>93098782243181</t>
        </is>
      </c>
      <c r="B4724" s="1" t="inlineStr">
        <is>
          <t>BOLSO LV ALMA BB BLACK</t>
        </is>
      </c>
      <c r="C4724" s="1" t="inlineStr">
        <is>
          <t>Default Title</t>
        </is>
      </c>
      <c r="D4724" s="1" t="inlineStr">
        <is>
          <t>15/05/2026</t>
        </is>
      </c>
      <c r="E4724" s="1" t="n">
        <v>2026</v>
      </c>
      <c r="F4724" s="1" t="inlineStr">
        <is>
          <t>MAYO</t>
        </is>
      </c>
      <c r="G4724" s="1" t="inlineStr">
        <is>
          <t>ZOEY</t>
        </is>
      </c>
      <c r="H4724" s="1" t="inlineStr">
        <is>
          <t>ZOEY 15/05/2026</t>
        </is>
      </c>
      <c r="I4724" s="4" t="n">
        <v>4</v>
      </c>
      <c r="J4724" s="6" t="n">
        <v>47</v>
      </c>
      <c r="K4724" s="6" t="n">
        <v>1245.717351</v>
      </c>
      <c r="L4724" s="6">
        <f>I4724*K4724</f>
        <v/>
      </c>
      <c r="M4724" s="6">
        <f>K4724*4</f>
        <v/>
      </c>
      <c r="N4724" s="6" t="n">
        <v>4989</v>
      </c>
    </row>
    <row r="4725">
      <c r="A4725" s="1" t="inlineStr">
        <is>
          <t>93098782381037</t>
        </is>
      </c>
      <c r="B4725" s="1" t="inlineStr">
        <is>
          <t>BOLSO LV LOW KEY HOBO</t>
        </is>
      </c>
      <c r="C4725" s="1" t="inlineStr">
        <is>
          <t>BLACK</t>
        </is>
      </c>
      <c r="D4725" s="1" t="inlineStr">
        <is>
          <t>02/03/2026</t>
        </is>
      </c>
      <c r="E4725" s="1" t="n">
        <v>2026</v>
      </c>
      <c r="F4725" s="1" t="inlineStr">
        <is>
          <t>MARZO</t>
        </is>
      </c>
      <c r="G4725" s="1" t="inlineStr">
        <is>
          <t>ZOEY</t>
        </is>
      </c>
      <c r="H4725" s="1" t="inlineStr">
        <is>
          <t>ZOEY 02/03/2026</t>
        </is>
      </c>
      <c r="I4725" s="4" t="n">
        <v>2</v>
      </c>
      <c r="J4725" s="6" t="n">
        <v>54</v>
      </c>
      <c r="K4725" s="6" t="n">
        <v>1418.956689</v>
      </c>
      <c r="L4725" s="6">
        <f>I4725*K4725</f>
        <v/>
      </c>
      <c r="M4725" s="6">
        <f>K4725*4</f>
        <v/>
      </c>
      <c r="N4725" s="6" t="n">
        <v>5729</v>
      </c>
    </row>
    <row r="4726">
      <c r="A4726" s="1" t="inlineStr">
        <is>
          <t>93098782381037</t>
        </is>
      </c>
      <c r="B4726" s="1" t="inlineStr">
        <is>
          <t>BOLSO LV LOW KEY HOBO</t>
        </is>
      </c>
      <c r="C4726" s="1" t="inlineStr">
        <is>
          <t>Default Title</t>
        </is>
      </c>
      <c r="D4726" s="1" t="inlineStr">
        <is>
          <t>15/05/2026</t>
        </is>
      </c>
      <c r="E4726" s="1" t="n">
        <v>2026</v>
      </c>
      <c r="F4726" s="1" t="inlineStr">
        <is>
          <t>MAYO</t>
        </is>
      </c>
      <c r="G4726" s="1" t="inlineStr">
        <is>
          <t>ZOEY</t>
        </is>
      </c>
      <c r="H4726" s="1" t="inlineStr">
        <is>
          <t>ZOEY 15/05/2026</t>
        </is>
      </c>
      <c r="I4726" s="4" t="n">
        <v>5</v>
      </c>
      <c r="J4726" s="6" t="n">
        <v>54</v>
      </c>
      <c r="K4726" s="6" t="n">
        <v>1431.249722</v>
      </c>
      <c r="L4726" s="6">
        <f>I4726*K4726</f>
        <v/>
      </c>
      <c r="M4726" s="6">
        <f>K4726*4</f>
        <v/>
      </c>
      <c r="N4726" s="6" t="n">
        <v>5729</v>
      </c>
    </row>
    <row r="4727">
      <c r="A4727" s="1" t="inlineStr">
        <is>
          <t>93098782449965</t>
        </is>
      </c>
      <c r="B4727" s="1" t="inlineStr">
        <is>
          <t>GORRA LV MY PARIS</t>
        </is>
      </c>
      <c r="C4727" s="1" t="inlineStr">
        <is>
          <t>BLACK</t>
        </is>
      </c>
      <c r="D4727" s="1" t="inlineStr">
        <is>
          <t>02/03/2026</t>
        </is>
      </c>
      <c r="E4727" s="1" t="n">
        <v>2026</v>
      </c>
      <c r="F4727" s="1" t="inlineStr">
        <is>
          <t>MARZO</t>
        </is>
      </c>
      <c r="G4727" s="1" t="inlineStr">
        <is>
          <t>ZOEY</t>
        </is>
      </c>
      <c r="H4727" s="1" t="inlineStr">
        <is>
          <t>ZOEY 02/03/2026</t>
        </is>
      </c>
      <c r="I4727" s="4" t="n">
        <v>2</v>
      </c>
      <c r="J4727" s="6" t="n">
        <v>20</v>
      </c>
      <c r="K4727" s="6" t="n">
        <v>525.5395145</v>
      </c>
      <c r="L4727" s="6">
        <f>I4727*K4727</f>
        <v/>
      </c>
      <c r="M4727" s="6">
        <f>K4727*4</f>
        <v/>
      </c>
      <c r="N4727" s="6" t="n">
        <v>2125</v>
      </c>
    </row>
    <row r="4728">
      <c r="A4728" s="1" t="inlineStr">
        <is>
          <t>93098782449965</t>
        </is>
      </c>
      <c r="B4728" s="1" t="inlineStr">
        <is>
          <t>GORRA LV MY PARIS</t>
        </is>
      </c>
      <c r="C4728" s="1" t="inlineStr">
        <is>
          <t>Default Title</t>
        </is>
      </c>
      <c r="D4728" s="1" t="inlineStr">
        <is>
          <t>20/04/2026</t>
        </is>
      </c>
      <c r="E4728" s="1" t="n">
        <v>2026</v>
      </c>
      <c r="F4728" s="1" t="inlineStr">
        <is>
          <t>ABRIL</t>
        </is>
      </c>
      <c r="G4728" s="1" t="inlineStr">
        <is>
          <t>ZOEY</t>
        </is>
      </c>
      <c r="H4728" s="1" t="inlineStr">
        <is>
          <t>ZOEY 20/04/2026</t>
        </is>
      </c>
      <c r="I4728" s="4" t="n">
        <v>2</v>
      </c>
      <c r="J4728" s="6" t="n">
        <v>20</v>
      </c>
      <c r="K4728" s="6" t="n">
        <v>512.1755667</v>
      </c>
      <c r="L4728" s="6">
        <f>I4728*K4728</f>
        <v/>
      </c>
      <c r="M4728" s="6">
        <f>K4728*4</f>
        <v/>
      </c>
      <c r="N4728" s="6" t="n">
        <v>2125</v>
      </c>
    </row>
    <row r="4729">
      <c r="A4729" s="1" t="inlineStr">
        <is>
          <t>93098782449965</t>
        </is>
      </c>
      <c r="B4729" s="1" t="inlineStr">
        <is>
          <t>GORRA LV MY PARIS</t>
        </is>
      </c>
      <c r="C4729" s="1" t="inlineStr">
        <is>
          <t>Default Title</t>
        </is>
      </c>
      <c r="D4729" s="1" t="inlineStr">
        <is>
          <t>15/05/2026</t>
        </is>
      </c>
      <c r="E4729" s="1" t="n">
        <v>2026</v>
      </c>
      <c r="F4729" s="1" t="inlineStr">
        <is>
          <t>MAYO</t>
        </is>
      </c>
      <c r="G4729" s="1" t="inlineStr">
        <is>
          <t>ZOEY</t>
        </is>
      </c>
      <c r="H4729" s="1" t="inlineStr">
        <is>
          <t>ZOEY 15/05/2026</t>
        </is>
      </c>
      <c r="I4729" s="4" t="n">
        <v>2</v>
      </c>
      <c r="J4729" s="6" t="n">
        <v>20</v>
      </c>
      <c r="K4729" s="6" t="n">
        <v>530.0924897</v>
      </c>
      <c r="L4729" s="6">
        <f>I4729*K4729</f>
        <v/>
      </c>
      <c r="M4729" s="6">
        <f>K4729*4</f>
        <v/>
      </c>
      <c r="N4729" s="6" t="n">
        <v>2125</v>
      </c>
    </row>
    <row r="4730">
      <c r="A4730" s="1" t="inlineStr">
        <is>
          <t>93098782555053</t>
        </is>
      </c>
      <c r="B4730" s="1" t="inlineStr">
        <is>
          <t>CINTO LV REVERSIBLE MINI</t>
        </is>
      </c>
      <c r="C4730" s="1" t="inlineStr">
        <is>
          <t>BLACK</t>
        </is>
      </c>
      <c r="D4730" s="1" t="inlineStr">
        <is>
          <t>02/03/2026</t>
        </is>
      </c>
      <c r="E4730" s="1" t="n">
        <v>2026</v>
      </c>
      <c r="F4730" s="1" t="inlineStr">
        <is>
          <t>MARZO</t>
        </is>
      </c>
      <c r="G4730" s="1" t="inlineStr">
        <is>
          <t>ZOEY</t>
        </is>
      </c>
      <c r="H4730" s="1" t="inlineStr">
        <is>
          <t>ZOEY 02/03/2026</t>
        </is>
      </c>
      <c r="I4730" s="4" t="n">
        <v>1</v>
      </c>
      <c r="J4730" s="6" t="n">
        <v>45</v>
      </c>
      <c r="K4730" s="6" t="n">
        <v>1182.463908</v>
      </c>
      <c r="L4730" s="6">
        <f>I4730*K4730</f>
        <v/>
      </c>
      <c r="M4730" s="6">
        <f>K4730*4</f>
        <v/>
      </c>
      <c r="N4730" s="6" t="n">
        <v>4138.62</v>
      </c>
    </row>
    <row r="4731">
      <c r="A4731" s="1" t="inlineStr">
        <is>
          <t>93098782656749</t>
        </is>
      </c>
      <c r="B4731" s="1" t="inlineStr">
        <is>
          <t>CINTO LV REVERSIBLE PRETTY</t>
        </is>
      </c>
      <c r="C4731" s="1" t="inlineStr">
        <is>
          <t>BLACK</t>
        </is>
      </c>
      <c r="D4731" s="1" t="inlineStr">
        <is>
          <t>02/03/2026</t>
        </is>
      </c>
      <c r="E4731" s="1" t="n">
        <v>2026</v>
      </c>
      <c r="F4731" s="1" t="inlineStr">
        <is>
          <t>MARZO</t>
        </is>
      </c>
      <c r="G4731" s="1" t="inlineStr">
        <is>
          <t>ZOEY</t>
        </is>
      </c>
      <c r="H4731" s="1" t="inlineStr">
        <is>
          <t>ZOEY 02/03/2026</t>
        </is>
      </c>
      <c r="I4731" s="4" t="n">
        <v>1</v>
      </c>
      <c r="J4731" s="6" t="n">
        <v>45</v>
      </c>
      <c r="K4731" s="6" t="n">
        <v>1182.463908</v>
      </c>
      <c r="L4731" s="6">
        <f>I4731*K4731</f>
        <v/>
      </c>
      <c r="M4731" s="6">
        <f>K4731*4</f>
        <v/>
      </c>
      <c r="N4731" s="6" t="n">
        <v>4138.62</v>
      </c>
    </row>
    <row r="4732">
      <c r="A4732" s="1" t="inlineStr">
        <is>
          <t>93098782758445</t>
        </is>
      </c>
      <c r="B4732" s="1" t="inlineStr">
        <is>
          <t>CINTO LV REVERSIBLE INITIALES</t>
        </is>
      </c>
      <c r="C4732" s="1" t="inlineStr">
        <is>
          <t>BLACK</t>
        </is>
      </c>
      <c r="D4732" s="1" t="inlineStr">
        <is>
          <t>02/03/2026</t>
        </is>
      </c>
      <c r="E4732" s="1" t="n">
        <v>2026</v>
      </c>
      <c r="F4732" s="1" t="inlineStr">
        <is>
          <t>MARZO</t>
        </is>
      </c>
      <c r="G4732" s="1" t="inlineStr">
        <is>
          <t>ZOEY</t>
        </is>
      </c>
      <c r="H4732" s="1" t="inlineStr">
        <is>
          <t>ZOEY 02/03/2026</t>
        </is>
      </c>
      <c r="I4732" s="4" t="n">
        <v>1</v>
      </c>
      <c r="J4732" s="6" t="n">
        <v>35</v>
      </c>
      <c r="K4732" s="6" t="n">
        <v>919.6941503</v>
      </c>
      <c r="L4732" s="6">
        <f>I4732*K4732</f>
        <v/>
      </c>
      <c r="M4732" s="6">
        <f>K4732*4</f>
        <v/>
      </c>
      <c r="N4732" s="6" t="n">
        <v>3720</v>
      </c>
    </row>
    <row r="4733">
      <c r="A4733" s="1" t="inlineStr">
        <is>
          <t>93098782758445</t>
        </is>
      </c>
      <c r="B4733" s="1" t="inlineStr">
        <is>
          <t>CINTO LV REVERSIBLE INITIALES</t>
        </is>
      </c>
      <c r="C4733" s="1" t="inlineStr">
        <is>
          <t>100CM</t>
        </is>
      </c>
      <c r="D4733" s="1" t="inlineStr">
        <is>
          <t>15/05/2026</t>
        </is>
      </c>
      <c r="E4733" s="1" t="n">
        <v>2026</v>
      </c>
      <c r="F4733" s="1" t="inlineStr">
        <is>
          <t>MAYO</t>
        </is>
      </c>
      <c r="G4733" s="1" t="inlineStr">
        <is>
          <t>ZOEY</t>
        </is>
      </c>
      <c r="H4733" s="1" t="inlineStr">
        <is>
          <t>ZOEY 15/05/2026</t>
        </is>
      </c>
      <c r="I4733" s="4" t="n">
        <v>3</v>
      </c>
      <c r="J4733" s="6" t="n">
        <v>35</v>
      </c>
      <c r="K4733" s="6" t="n">
        <v>927.6618571</v>
      </c>
      <c r="L4733" s="6">
        <f>I4733*K4733</f>
        <v/>
      </c>
      <c r="M4733" s="6">
        <f>K4733*4</f>
        <v/>
      </c>
      <c r="N4733" s="6" t="n">
        <v>3720</v>
      </c>
    </row>
    <row r="4734">
      <c r="A4734" s="1" t="inlineStr">
        <is>
          <t>93098782860141</t>
        </is>
      </c>
      <c r="B4734" s="1" t="inlineStr">
        <is>
          <t>CINTO LV SKYLINE BLACK</t>
        </is>
      </c>
      <c r="C4734" s="1" t="inlineStr">
        <is>
          <t>BLACK</t>
        </is>
      </c>
      <c r="D4734" s="1" t="inlineStr">
        <is>
          <t>02/03/2026</t>
        </is>
      </c>
      <c r="E4734" s="1" t="n">
        <v>2026</v>
      </c>
      <c r="F4734" s="1" t="inlineStr">
        <is>
          <t>MARZO</t>
        </is>
      </c>
      <c r="G4734" s="1" t="inlineStr">
        <is>
          <t>ZOEY</t>
        </is>
      </c>
      <c r="H4734" s="1" t="inlineStr">
        <is>
          <t>ZOEY 02/03/2026</t>
        </is>
      </c>
      <c r="I4734" s="4" t="n">
        <v>1</v>
      </c>
      <c r="J4734" s="6" t="n">
        <v>35</v>
      </c>
      <c r="K4734" s="6" t="n">
        <v>919.6941503</v>
      </c>
      <c r="L4734" s="6">
        <f>I4734*K4734</f>
        <v/>
      </c>
      <c r="M4734" s="6">
        <f>K4734*4</f>
        <v/>
      </c>
      <c r="N4734" s="6" t="n">
        <v>3679</v>
      </c>
    </row>
    <row r="4735">
      <c r="A4735" s="1" t="inlineStr">
        <is>
          <t>93098782959597</t>
        </is>
      </c>
      <c r="B4735" s="1" t="inlineStr">
        <is>
          <t>CINTO LV PONT NEUF BLACK</t>
        </is>
      </c>
      <c r="C4735" s="1" t="inlineStr">
        <is>
          <t>BLACK</t>
        </is>
      </c>
      <c r="D4735" s="1" t="inlineStr">
        <is>
          <t>02/03/2026</t>
        </is>
      </c>
      <c r="E4735" s="1" t="n">
        <v>2026</v>
      </c>
      <c r="F4735" s="1" t="inlineStr">
        <is>
          <t>MARZO</t>
        </is>
      </c>
      <c r="G4735" s="1" t="inlineStr">
        <is>
          <t>ZOEY</t>
        </is>
      </c>
      <c r="H4735" s="1" t="inlineStr">
        <is>
          <t>ZOEY 02/03/2026</t>
        </is>
      </c>
      <c r="I4735" s="4" t="n">
        <v>1</v>
      </c>
      <c r="J4735" s="6" t="n">
        <v>35</v>
      </c>
      <c r="K4735" s="6" t="n">
        <v>919.6941503</v>
      </c>
      <c r="L4735" s="6">
        <f>I4735*K4735</f>
        <v/>
      </c>
      <c r="M4735" s="6">
        <f>K4735*4</f>
        <v/>
      </c>
      <c r="N4735" s="6" t="n">
        <v>3679</v>
      </c>
    </row>
    <row r="4736">
      <c r="A4736" s="1" t="inlineStr">
        <is>
          <t>93098783094061</t>
        </is>
      </c>
      <c r="B4736" s="1" t="inlineStr">
        <is>
          <t>BOLSO LV POCHETTE FELICIE</t>
        </is>
      </c>
      <c r="C4736" s="1" t="inlineStr">
        <is>
          <t>BROWN</t>
        </is>
      </c>
      <c r="D4736" s="1" t="inlineStr">
        <is>
          <t>02/03/2026</t>
        </is>
      </c>
      <c r="E4736" s="1" t="n">
        <v>2026</v>
      </c>
      <c r="F4736" s="1" t="inlineStr">
        <is>
          <t>MARZO</t>
        </is>
      </c>
      <c r="G4736" s="1" t="inlineStr">
        <is>
          <t>ZOEY</t>
        </is>
      </c>
      <c r="H4736" s="1" t="inlineStr">
        <is>
          <t>ZOEY 02/03/2026</t>
        </is>
      </c>
      <c r="I4736" s="4" t="n">
        <v>2</v>
      </c>
      <c r="J4736" s="6" t="n">
        <v>21</v>
      </c>
      <c r="K4736" s="6" t="n">
        <v>551.8164902</v>
      </c>
      <c r="L4736" s="6">
        <f>I4736*K4736</f>
        <v/>
      </c>
      <c r="M4736" s="6">
        <f>K4736*4</f>
        <v/>
      </c>
      <c r="N4736" s="6" t="n">
        <v>2500</v>
      </c>
    </row>
    <row r="4737">
      <c r="A4737" s="1" t="inlineStr">
        <is>
          <t>93098783094061</t>
        </is>
      </c>
      <c r="B4737" s="1" t="inlineStr">
        <is>
          <t>BOLSO LV POCHETTE FELICIE</t>
        </is>
      </c>
      <c r="C4737" s="1" t="inlineStr">
        <is>
          <t>Default Title</t>
        </is>
      </c>
      <c r="D4737" s="1" t="inlineStr">
        <is>
          <t>20/04/2026</t>
        </is>
      </c>
      <c r="E4737" s="1" t="n">
        <v>2026</v>
      </c>
      <c r="F4737" s="1" t="inlineStr">
        <is>
          <t>ABRIL</t>
        </is>
      </c>
      <c r="G4737" s="1" t="inlineStr">
        <is>
          <t>ZOEY</t>
        </is>
      </c>
      <c r="H4737" s="1" t="inlineStr">
        <is>
          <t>ZOEY 20/04/2026</t>
        </is>
      </c>
      <c r="I4737" s="4" t="n">
        <v>3</v>
      </c>
      <c r="J4737" s="6" t="n">
        <v>21</v>
      </c>
      <c r="K4737" s="6" t="n">
        <v>537.7843451</v>
      </c>
      <c r="L4737" s="6">
        <f>I4737*K4737</f>
        <v/>
      </c>
      <c r="M4737" s="6">
        <f>K4737*4</f>
        <v/>
      </c>
      <c r="N4737" s="6" t="n">
        <v>2500</v>
      </c>
    </row>
    <row r="4738">
      <c r="A4738" s="1" t="inlineStr">
        <is>
          <t>93098783094061</t>
        </is>
      </c>
      <c r="B4738" s="1" t="inlineStr">
        <is>
          <t>BOLSO LV POCHETTE FELICIE</t>
        </is>
      </c>
      <c r="C4738" s="1" t="inlineStr">
        <is>
          <t>Default Title</t>
        </is>
      </c>
      <c r="D4738" s="1" t="inlineStr">
        <is>
          <t>15/05/2026</t>
        </is>
      </c>
      <c r="E4738" s="1" t="n">
        <v>2026</v>
      </c>
      <c r="F4738" s="1" t="inlineStr">
        <is>
          <t>MAYO</t>
        </is>
      </c>
      <c r="G4738" s="1" t="inlineStr">
        <is>
          <t>ZOEY</t>
        </is>
      </c>
      <c r="H4738" s="1" t="inlineStr">
        <is>
          <t>ZOEY 15/05/2026</t>
        </is>
      </c>
      <c r="I4738" s="4" t="n">
        <v>8</v>
      </c>
      <c r="J4738" s="6" t="n">
        <v>21</v>
      </c>
      <c r="K4738" s="6" t="n">
        <v>556.5971142</v>
      </c>
      <c r="L4738" s="6">
        <f>I4738*K4738</f>
        <v/>
      </c>
      <c r="M4738" s="6">
        <f>K4738*4</f>
        <v/>
      </c>
      <c r="N4738" s="6" t="n">
        <v>2500</v>
      </c>
    </row>
    <row r="4739">
      <c r="A4739" s="1" t="inlineStr">
        <is>
          <t>93098783161293</t>
        </is>
      </c>
      <c r="B4739" s="1" t="inlineStr">
        <is>
          <t>BOLSO LV POCHETTE HILLS</t>
        </is>
      </c>
      <c r="C4739" s="1" t="inlineStr">
        <is>
          <t>BROWN</t>
        </is>
      </c>
      <c r="D4739" s="1" t="inlineStr">
        <is>
          <t>02/03/2026</t>
        </is>
      </c>
      <c r="E4739" s="1" t="n">
        <v>2026</v>
      </c>
      <c r="F4739" s="1" t="inlineStr">
        <is>
          <t>MARZO</t>
        </is>
      </c>
      <c r="G4739" s="1" t="inlineStr">
        <is>
          <t>ZOEY</t>
        </is>
      </c>
      <c r="H4739" s="1" t="inlineStr">
        <is>
          <t>ZOEY 02/03/2026</t>
        </is>
      </c>
      <c r="I4739" s="4" t="n">
        <v>1</v>
      </c>
      <c r="J4739" s="6" t="n">
        <v>41</v>
      </c>
      <c r="K4739" s="6" t="n">
        <v>1077.356005</v>
      </c>
      <c r="L4739" s="6">
        <f>I4739*K4739</f>
        <v/>
      </c>
      <c r="M4739" s="6">
        <f>K4739*4</f>
        <v/>
      </c>
      <c r="N4739" s="6" t="n">
        <v>4349</v>
      </c>
    </row>
    <row r="4740">
      <c r="A4740" s="1" t="inlineStr">
        <is>
          <t>93098783161293</t>
        </is>
      </c>
      <c r="B4740" s="1" t="inlineStr">
        <is>
          <t>BOLSO LV POCHETTE HILLS</t>
        </is>
      </c>
      <c r="C4740" s="1" t="inlineStr">
        <is>
          <t>Default Title</t>
        </is>
      </c>
      <c r="D4740" s="1" t="inlineStr">
        <is>
          <t>15/05/2026</t>
        </is>
      </c>
      <c r="E4740" s="1" t="n">
        <v>2026</v>
      </c>
      <c r="F4740" s="1" t="inlineStr">
        <is>
          <t>MAYO</t>
        </is>
      </c>
      <c r="G4740" s="1" t="inlineStr">
        <is>
          <t>ZOEY</t>
        </is>
      </c>
      <c r="H4740" s="1" t="inlineStr">
        <is>
          <t>ZOEY 15/05/2026</t>
        </is>
      </c>
      <c r="I4740" s="4" t="n">
        <v>2</v>
      </c>
      <c r="J4740" s="6" t="n">
        <v>41</v>
      </c>
      <c r="K4740" s="6" t="n">
        <v>1086.689604</v>
      </c>
      <c r="L4740" s="6">
        <f>I4740*K4740</f>
        <v/>
      </c>
      <c r="M4740" s="6">
        <f>K4740*4</f>
        <v/>
      </c>
      <c r="N4740" s="6" t="n">
        <v>4349</v>
      </c>
    </row>
    <row r="4741">
      <c r="A4741" s="1" t="inlineStr">
        <is>
          <t>93098783231917</t>
        </is>
      </c>
      <c r="B4741" s="1" t="inlineStr">
        <is>
          <t>MONEDERO LV ROSALIE BLACK</t>
        </is>
      </c>
      <c r="C4741" s="1" t="inlineStr">
        <is>
          <t>BLACK</t>
        </is>
      </c>
      <c r="D4741" s="1" t="inlineStr">
        <is>
          <t>02/03/2026</t>
        </is>
      </c>
      <c r="E4741" s="1" t="n">
        <v>2026</v>
      </c>
      <c r="F4741" s="1" t="inlineStr">
        <is>
          <t>MARZO</t>
        </is>
      </c>
      <c r="G4741" s="1" t="inlineStr">
        <is>
          <t>ZOEY</t>
        </is>
      </c>
      <c r="H4741" s="1" t="inlineStr">
        <is>
          <t>ZOEY 02/03/2026</t>
        </is>
      </c>
      <c r="I4741" s="4" t="n">
        <v>3</v>
      </c>
      <c r="J4741" s="6" t="n">
        <v>17</v>
      </c>
      <c r="K4741" s="6" t="n">
        <v>446.7085873</v>
      </c>
      <c r="L4741" s="6">
        <f>I4741*K4741</f>
        <v/>
      </c>
      <c r="M4741" s="6">
        <f>K4741*4</f>
        <v/>
      </c>
      <c r="N4741" s="6" t="n">
        <v>1810</v>
      </c>
    </row>
    <row r="4742">
      <c r="A4742" s="1" t="inlineStr">
        <is>
          <t>93098783231917</t>
        </is>
      </c>
      <c r="B4742" s="1" t="inlineStr">
        <is>
          <t>MONEDERO LV ROSALIE BLACK</t>
        </is>
      </c>
      <c r="C4742" s="1" t="inlineStr">
        <is>
          <t>Default Title</t>
        </is>
      </c>
      <c r="D4742" s="1" t="inlineStr">
        <is>
          <t>15/05/2026</t>
        </is>
      </c>
      <c r="E4742" s="1" t="n">
        <v>2026</v>
      </c>
      <c r="F4742" s="1" t="inlineStr">
        <is>
          <t>MAYO</t>
        </is>
      </c>
      <c r="G4742" s="1" t="inlineStr">
        <is>
          <t>ZOEY</t>
        </is>
      </c>
      <c r="H4742" s="1" t="inlineStr">
        <is>
          <t>ZOEY 15/05/2026</t>
        </is>
      </c>
      <c r="I4742" s="4" t="n">
        <v>3</v>
      </c>
      <c r="J4742" s="6" t="n">
        <v>17</v>
      </c>
      <c r="K4742" s="6" t="n">
        <v>450.5786163</v>
      </c>
      <c r="L4742" s="6">
        <f>I4742*K4742</f>
        <v/>
      </c>
      <c r="M4742" s="6">
        <f>K4742*4</f>
        <v/>
      </c>
      <c r="N4742" s="6" t="n">
        <v>1810</v>
      </c>
    </row>
    <row r="4743">
      <c r="A4743" s="1" t="inlineStr">
        <is>
          <t>93098783399149</t>
        </is>
      </c>
      <c r="B4743" s="1" t="inlineStr">
        <is>
          <t>CARTERA LV ZIPPY CLIP</t>
        </is>
      </c>
      <c r="C4743" s="1" t="inlineStr">
        <is>
          <t>BROWN</t>
        </is>
      </c>
      <c r="D4743" s="1" t="inlineStr">
        <is>
          <t>02/03/2026</t>
        </is>
      </c>
      <c r="E4743" s="1" t="n">
        <v>2026</v>
      </c>
      <c r="F4743" s="1" t="inlineStr">
        <is>
          <t>MARZO</t>
        </is>
      </c>
      <c r="G4743" s="1" t="inlineStr">
        <is>
          <t>ZOEY</t>
        </is>
      </c>
      <c r="H4743" s="1" t="inlineStr">
        <is>
          <t>ZOEY 02/03/2026</t>
        </is>
      </c>
      <c r="I4743" s="4" t="n">
        <v>3</v>
      </c>
      <c r="J4743" s="6" t="n">
        <v>14</v>
      </c>
      <c r="K4743" s="6" t="n">
        <v>367.8776601</v>
      </c>
      <c r="L4743" s="6">
        <f>I4743*K4743</f>
        <v/>
      </c>
      <c r="M4743" s="6">
        <f>K4743*4</f>
        <v/>
      </c>
      <c r="N4743" s="6" t="n">
        <v>1499</v>
      </c>
    </row>
    <row r="4744">
      <c r="A4744" s="1" t="inlineStr">
        <is>
          <t>93098783399149</t>
        </is>
      </c>
      <c r="B4744" s="1" t="inlineStr">
        <is>
          <t>CARTERA LV ZIPPY CLIP</t>
        </is>
      </c>
      <c r="C4744" s="1" t="inlineStr">
        <is>
          <t>Default Title</t>
        </is>
      </c>
      <c r="D4744" s="1" t="inlineStr">
        <is>
          <t>15/05/2026</t>
        </is>
      </c>
      <c r="E4744" s="1" t="n">
        <v>2026</v>
      </c>
      <c r="F4744" s="1" t="inlineStr">
        <is>
          <t>MAYO</t>
        </is>
      </c>
      <c r="G4744" s="1" t="inlineStr">
        <is>
          <t>ZOEY</t>
        </is>
      </c>
      <c r="H4744" s="1" t="inlineStr">
        <is>
          <t>ZOEY 15/05/2026</t>
        </is>
      </c>
      <c r="I4744" s="4" t="n">
        <v>6</v>
      </c>
      <c r="J4744" s="6" t="n">
        <v>14</v>
      </c>
      <c r="K4744" s="6" t="n">
        <v>371.0647428</v>
      </c>
      <c r="L4744" s="6">
        <f>I4744*K4744</f>
        <v/>
      </c>
      <c r="M4744" s="6">
        <f>K4744*4</f>
        <v/>
      </c>
      <c r="N4744" s="6" t="n">
        <v>1499</v>
      </c>
    </row>
    <row r="4745">
      <c r="A4745" s="1" t="inlineStr">
        <is>
          <t>93098783400845</t>
        </is>
      </c>
      <c r="B4745" s="1" t="inlineStr">
        <is>
          <t>MONEDERO LV ZIPPY</t>
        </is>
      </c>
      <c r="C4745" s="1" t="inlineStr">
        <is>
          <t>BROWN</t>
        </is>
      </c>
      <c r="D4745" s="1" t="inlineStr">
        <is>
          <t>02/03/2026</t>
        </is>
      </c>
      <c r="E4745" s="1" t="n">
        <v>2026</v>
      </c>
      <c r="F4745" s="1" t="inlineStr">
        <is>
          <t>MARZO</t>
        </is>
      </c>
      <c r="G4745" s="1" t="inlineStr">
        <is>
          <t>ZOEY</t>
        </is>
      </c>
      <c r="H4745" s="1" t="inlineStr">
        <is>
          <t>ZOEY 02/03/2026</t>
        </is>
      </c>
      <c r="I4745" s="4" t="n">
        <v>3</v>
      </c>
      <c r="J4745" s="6" t="n">
        <v>14</v>
      </c>
      <c r="K4745" s="6" t="n">
        <v>367.8776601</v>
      </c>
      <c r="L4745" s="6">
        <f>I4745*K4745</f>
        <v/>
      </c>
      <c r="M4745" s="6">
        <f>K4745*4</f>
        <v/>
      </c>
      <c r="N4745" s="6" t="n">
        <v>1475</v>
      </c>
    </row>
    <row r="4746">
      <c r="A4746" s="1" t="inlineStr">
        <is>
          <t>93378831084685</t>
        </is>
      </c>
      <c r="B4746" s="1" t="inlineStr">
        <is>
          <t>BALLERINAS CC BEIGE BLACK</t>
        </is>
      </c>
      <c r="C4746" s="1" t="inlineStr">
        <is>
          <t>23CM</t>
        </is>
      </c>
      <c r="D4746" s="1" t="inlineStr">
        <is>
          <t>25/10/2025</t>
        </is>
      </c>
      <c r="E4746" s="1" t="n">
        <v>2025</v>
      </c>
      <c r="F4746" s="1" t="inlineStr">
        <is>
          <t>OCTUBRE</t>
        </is>
      </c>
      <c r="G4746" s="1" t="inlineStr">
        <is>
          <t>ZOEY</t>
        </is>
      </c>
      <c r="H4746" s="1" t="inlineStr">
        <is>
          <t>ZOEY 25/10/2025</t>
        </is>
      </c>
      <c r="I4746" s="4" t="n">
        <v>1</v>
      </c>
      <c r="J4746" s="6" t="n">
        <v>55</v>
      </c>
      <c r="K4746" s="6" t="n">
        <v>1364.006012</v>
      </c>
      <c r="L4746" s="6">
        <f>I4746*K4746</f>
        <v/>
      </c>
      <c r="M4746" s="6">
        <f>K4746*4</f>
        <v/>
      </c>
      <c r="N4746" s="6" t="n">
        <v>5840</v>
      </c>
    </row>
    <row r="4747">
      <c r="A4747" s="1" t="inlineStr">
        <is>
          <t>93378831084685</t>
        </is>
      </c>
      <c r="B4747" s="1" t="inlineStr">
        <is>
          <t>BALLERINAS CC BEIGE BLACK</t>
        </is>
      </c>
      <c r="C4747" s="1" t="inlineStr">
        <is>
          <t>23cm</t>
        </is>
      </c>
      <c r="D4747" s="1" t="inlineStr">
        <is>
          <t>20/01/2026</t>
        </is>
      </c>
      <c r="E4747" s="1" t="n">
        <v>2026</v>
      </c>
      <c r="F4747" s="1" t="inlineStr">
        <is>
          <t>ENERO</t>
        </is>
      </c>
      <c r="G4747" s="1" t="inlineStr">
        <is>
          <t>ZOEY</t>
        </is>
      </c>
      <c r="H4747" s="1" t="inlineStr">
        <is>
          <t>ZOEY 20/01/2026</t>
        </is>
      </c>
      <c r="I4747" s="4" t="n">
        <v>2</v>
      </c>
      <c r="J4747" s="6" t="n">
        <v>55</v>
      </c>
      <c r="K4747" s="6" t="n">
        <v>1431.737965</v>
      </c>
      <c r="L4747" s="6">
        <f>I4747*K4747</f>
        <v/>
      </c>
      <c r="M4747" s="6">
        <f>K4747*4</f>
        <v/>
      </c>
      <c r="N4747" s="6" t="n">
        <v>5840</v>
      </c>
    </row>
    <row r="4748">
      <c r="A4748" s="1" t="inlineStr">
        <is>
          <t>93378831084685</t>
        </is>
      </c>
      <c r="B4748" s="1" t="inlineStr">
        <is>
          <t>BALLERINAS CC BEIGE BLACK</t>
        </is>
      </c>
      <c r="C4748" s="1" t="inlineStr">
        <is>
          <t>23cm</t>
        </is>
      </c>
      <c r="D4748" s="1" t="inlineStr">
        <is>
          <t>15/05/2026</t>
        </is>
      </c>
      <c r="E4748" s="1" t="n">
        <v>2026</v>
      </c>
      <c r="F4748" s="1" t="inlineStr">
        <is>
          <t>MAYO</t>
        </is>
      </c>
      <c r="G4748" s="1" t="inlineStr">
        <is>
          <t>ZOEY</t>
        </is>
      </c>
      <c r="H4748" s="1" t="inlineStr">
        <is>
          <t>ZOEY 15/05/2026</t>
        </is>
      </c>
      <c r="I4748" s="4" t="n">
        <v>2</v>
      </c>
      <c r="J4748" s="6" t="n">
        <v>55</v>
      </c>
      <c r="K4748" s="6" t="n">
        <v>1457.754347</v>
      </c>
      <c r="L4748" s="6">
        <f>I4748*K4748</f>
        <v/>
      </c>
      <c r="M4748" s="6">
        <f>K4748*4</f>
        <v/>
      </c>
      <c r="N4748" s="6" t="n">
        <v>5840</v>
      </c>
    </row>
    <row r="4749">
      <c r="A4749" s="1" t="inlineStr">
        <is>
          <t>93378841117453</t>
        </is>
      </c>
      <c r="B4749" s="1" t="inlineStr">
        <is>
          <t>BALLERINAS CC BEIGE BLACK</t>
        </is>
      </c>
      <c r="C4749" s="1" t="inlineStr">
        <is>
          <t>24CM</t>
        </is>
      </c>
      <c r="D4749" s="1" t="inlineStr">
        <is>
          <t>25/10/2025</t>
        </is>
      </c>
      <c r="E4749" s="1" t="n">
        <v>2025</v>
      </c>
      <c r="F4749" s="1" t="inlineStr">
        <is>
          <t>OCTUBRE</t>
        </is>
      </c>
      <c r="G4749" s="1" t="inlineStr">
        <is>
          <t>ZOEY</t>
        </is>
      </c>
      <c r="H4749" s="1" t="inlineStr">
        <is>
          <t>ZOEY 25/10/2025</t>
        </is>
      </c>
      <c r="I4749" s="4" t="n">
        <v>1</v>
      </c>
      <c r="J4749" s="6" t="n">
        <v>55</v>
      </c>
      <c r="K4749" s="6" t="n">
        <v>1364.006012</v>
      </c>
      <c r="L4749" s="6">
        <f>I4749*K4749</f>
        <v/>
      </c>
      <c r="M4749" s="6">
        <f>K4749*4</f>
        <v/>
      </c>
      <c r="N4749" s="6" t="n">
        <v>5200</v>
      </c>
    </row>
    <row r="4750">
      <c r="A4750" s="1" t="inlineStr">
        <is>
          <t>93378841117453</t>
        </is>
      </c>
      <c r="B4750" s="1" t="inlineStr">
        <is>
          <t>BALLERINAS CC BEIGE BLACK</t>
        </is>
      </c>
      <c r="C4750" s="1" t="inlineStr">
        <is>
          <t>24cm</t>
        </is>
      </c>
      <c r="D4750" s="1" t="inlineStr">
        <is>
          <t>20/01/2026</t>
        </is>
      </c>
      <c r="E4750" s="1" t="n">
        <v>2026</v>
      </c>
      <c r="F4750" s="1" t="inlineStr">
        <is>
          <t>ENERO</t>
        </is>
      </c>
      <c r="G4750" s="1" t="inlineStr">
        <is>
          <t>ZOEY</t>
        </is>
      </c>
      <c r="H4750" s="1" t="inlineStr">
        <is>
          <t>ZOEY 20/01/2026</t>
        </is>
      </c>
      <c r="I4750" s="4" t="n">
        <v>2</v>
      </c>
      <c r="J4750" s="6" t="n">
        <v>55</v>
      </c>
      <c r="K4750" s="6" t="n">
        <v>1431.737965</v>
      </c>
      <c r="L4750" s="6">
        <f>I4750*K4750</f>
        <v/>
      </c>
      <c r="M4750" s="6">
        <f>K4750*4</f>
        <v/>
      </c>
      <c r="N4750" s="6" t="n">
        <v>5840</v>
      </c>
    </row>
    <row r="4751">
      <c r="A4751" s="1" t="inlineStr">
        <is>
          <t>93378841117453</t>
        </is>
      </c>
      <c r="B4751" s="1" t="inlineStr">
        <is>
          <t>BALLERINAS CC BEIGE BLACK</t>
        </is>
      </c>
      <c r="C4751" s="1" t="inlineStr">
        <is>
          <t>24-cm</t>
        </is>
      </c>
      <c r="D4751" s="1" t="inlineStr">
        <is>
          <t>20/04/2026</t>
        </is>
      </c>
      <c r="E4751" s="1" t="n">
        <v>2026</v>
      </c>
      <c r="F4751" s="1" t="inlineStr">
        <is>
          <t>ABRIL</t>
        </is>
      </c>
      <c r="G4751" s="1" t="inlineStr">
        <is>
          <t>ZOEY</t>
        </is>
      </c>
      <c r="H4751" s="1" t="inlineStr">
        <is>
          <t>ZOEY 20/04/2026</t>
        </is>
      </c>
      <c r="I4751" s="4" t="n">
        <v>1</v>
      </c>
      <c r="J4751" s="6" t="n">
        <v>55</v>
      </c>
      <c r="K4751" s="6" t="n">
        <v>1408.482808</v>
      </c>
      <c r="L4751" s="6">
        <f>I4751*K4751</f>
        <v/>
      </c>
      <c r="M4751" s="6">
        <f>K4751*4</f>
        <v/>
      </c>
      <c r="N4751" s="6" t="n">
        <v>5840</v>
      </c>
    </row>
    <row r="4752">
      <c r="A4752" s="1" t="inlineStr">
        <is>
          <t>93378841221933</t>
        </is>
      </c>
      <c r="B4752" s="1" t="inlineStr">
        <is>
          <t>BALLERINAS LV BROWN CON INSIGNIAS</t>
        </is>
      </c>
      <c r="C4752" s="1" t="inlineStr">
        <is>
          <t>24cm</t>
        </is>
      </c>
      <c r="D4752" s="1" t="inlineStr">
        <is>
          <t>20/01/2026</t>
        </is>
      </c>
      <c r="E4752" s="1" t="n">
        <v>2026</v>
      </c>
      <c r="F4752" s="1" t="inlineStr">
        <is>
          <t>ENERO</t>
        </is>
      </c>
      <c r="G4752" s="1" t="inlineStr">
        <is>
          <t>ZOEY</t>
        </is>
      </c>
      <c r="H4752" s="1" t="inlineStr">
        <is>
          <t>ZOEY 20/01/2026</t>
        </is>
      </c>
      <c r="I4752" s="4" t="n">
        <v>2</v>
      </c>
      <c r="J4752" s="6" t="n">
        <v>68</v>
      </c>
      <c r="K4752" s="6" t="n">
        <v>1770.148757</v>
      </c>
      <c r="L4752" s="6">
        <f>I4752*K4752</f>
        <v/>
      </c>
      <c r="M4752" s="6">
        <f>K4752*4</f>
        <v/>
      </c>
      <c r="N4752" s="6" t="n">
        <v>6599</v>
      </c>
    </row>
    <row r="4753">
      <c r="A4753" s="1" t="inlineStr">
        <is>
          <t>93378841221933</t>
        </is>
      </c>
      <c r="B4753" s="1" t="inlineStr">
        <is>
          <t>BALLERINAS LV BROWN CON INSIGNIAS</t>
        </is>
      </c>
      <c r="C4753" s="1" t="inlineStr">
        <is>
          <t>24cm</t>
        </is>
      </c>
      <c r="D4753" s="1" t="inlineStr">
        <is>
          <t>08/06/2026</t>
        </is>
      </c>
      <c r="E4753" s="1" t="n">
        <v>2026</v>
      </c>
      <c r="F4753" s="1" t="inlineStr">
        <is>
          <t>JUNIO</t>
        </is>
      </c>
      <c r="G4753" s="1" t="inlineStr">
        <is>
          <t>ZOEY</t>
        </is>
      </c>
      <c r="H4753" s="1" t="inlineStr">
        <is>
          <t>ZOEY 08/06/2026</t>
        </is>
      </c>
      <c r="I4753" s="4" t="n">
        <v>2</v>
      </c>
      <c r="J4753" s="6" t="n">
        <v>68</v>
      </c>
      <c r="K4753" s="6" t="n">
        <v>1666.777679</v>
      </c>
      <c r="L4753" s="6">
        <f>I4753*K4753</f>
        <v/>
      </c>
      <c r="M4753" s="6">
        <f>K4753*4</f>
        <v/>
      </c>
      <c r="N4753" s="6" t="n">
        <v>6599</v>
      </c>
    </row>
    <row r="4754">
      <c r="A4754" s="1" t="inlineStr">
        <is>
          <t>93378841354701</t>
        </is>
      </c>
      <c r="B4754" s="1" t="inlineStr">
        <is>
          <t>BALLERINAS LV BROWN CON INSIGNIAS</t>
        </is>
      </c>
      <c r="C4754" s="1" t="inlineStr">
        <is>
          <t>25CM</t>
        </is>
      </c>
      <c r="D4754" s="1" t="inlineStr">
        <is>
          <t>25/10/2025</t>
        </is>
      </c>
      <c r="E4754" s="1" t="n">
        <v>2025</v>
      </c>
      <c r="F4754" s="1" t="inlineStr">
        <is>
          <t>OCTUBRE</t>
        </is>
      </c>
      <c r="G4754" s="1" t="inlineStr">
        <is>
          <t>ZOEY</t>
        </is>
      </c>
      <c r="H4754" s="1" t="inlineStr">
        <is>
          <t>ZOEY 25/10/2025</t>
        </is>
      </c>
      <c r="I4754" s="4" t="n">
        <v>1</v>
      </c>
      <c r="J4754" s="6" t="n">
        <v>68</v>
      </c>
      <c r="K4754" s="6" t="n">
        <v>1686.407433</v>
      </c>
      <c r="L4754" s="6">
        <f>I4754*K4754</f>
        <v/>
      </c>
      <c r="M4754" s="6">
        <f>K4754*4</f>
        <v/>
      </c>
      <c r="N4754" s="6" t="n">
        <v>5663</v>
      </c>
    </row>
    <row r="4755">
      <c r="A4755" s="1" t="inlineStr">
        <is>
          <t>93378841354701</t>
        </is>
      </c>
      <c r="B4755" s="1" t="inlineStr">
        <is>
          <t>BALLERINAS LV BROWN CON INSIGNIAS</t>
        </is>
      </c>
      <c r="C4755" s="1" t="inlineStr">
        <is>
          <t>25cm</t>
        </is>
      </c>
      <c r="D4755" s="1" t="inlineStr">
        <is>
          <t>20/01/2026</t>
        </is>
      </c>
      <c r="E4755" s="1" t="n">
        <v>2026</v>
      </c>
      <c r="F4755" s="1" t="inlineStr">
        <is>
          <t>ENERO</t>
        </is>
      </c>
      <c r="G4755" s="1" t="inlineStr">
        <is>
          <t>ZOEY</t>
        </is>
      </c>
      <c r="H4755" s="1" t="inlineStr">
        <is>
          <t>ZOEY 20/01/2026</t>
        </is>
      </c>
      <c r="I4755" s="4" t="n">
        <v>2</v>
      </c>
      <c r="J4755" s="6" t="n">
        <v>68</v>
      </c>
      <c r="K4755" s="6" t="n">
        <v>1770.148757</v>
      </c>
      <c r="L4755" s="6">
        <f>I4755*K4755</f>
        <v/>
      </c>
      <c r="M4755" s="6">
        <f>K4755*4</f>
        <v/>
      </c>
      <c r="N4755" s="6" t="n">
        <v>6599</v>
      </c>
    </row>
    <row r="4756">
      <c r="A4756" s="1" t="inlineStr">
        <is>
          <t>93378841354701</t>
        </is>
      </c>
      <c r="B4756" s="1" t="inlineStr">
        <is>
          <t>BALLERINAS LV BROWN CON INSIGNIAS</t>
        </is>
      </c>
      <c r="C4756" s="1" t="inlineStr">
        <is>
          <t>25cm</t>
        </is>
      </c>
      <c r="D4756" s="1" t="inlineStr">
        <is>
          <t>08/06/2026</t>
        </is>
      </c>
      <c r="E4756" s="1" t="n">
        <v>2026</v>
      </c>
      <c r="F4756" s="1" t="inlineStr">
        <is>
          <t>JUNIO</t>
        </is>
      </c>
      <c r="G4756" s="1" t="inlineStr">
        <is>
          <t>ZOEY</t>
        </is>
      </c>
      <c r="H4756" s="1" t="inlineStr">
        <is>
          <t>ZOEY 08/06/2026</t>
        </is>
      </c>
      <c r="I4756" s="4" t="n">
        <v>2</v>
      </c>
      <c r="J4756" s="6" t="n">
        <v>68</v>
      </c>
      <c r="K4756" s="6" t="n">
        <v>1666.777679</v>
      </c>
      <c r="L4756" s="6">
        <f>I4756*K4756</f>
        <v/>
      </c>
      <c r="M4756" s="6">
        <f>K4756*4</f>
        <v/>
      </c>
      <c r="N4756" s="6" t="n">
        <v>6669</v>
      </c>
    </row>
    <row r="4757">
      <c r="A4757" s="1" t="inlineStr">
        <is>
          <t>93378841495885</t>
        </is>
      </c>
      <c r="B4757" s="1" t="inlineStr">
        <is>
          <t>BALLERINAS MM BLACK CON ZIRCONIAS</t>
        </is>
      </c>
      <c r="C4757" s="1" t="inlineStr">
        <is>
          <t>24CM</t>
        </is>
      </c>
      <c r="D4757" s="1" t="inlineStr">
        <is>
          <t>25/10/2025</t>
        </is>
      </c>
      <c r="E4757" s="1" t="n">
        <v>2025</v>
      </c>
      <c r="F4757" s="1" t="inlineStr">
        <is>
          <t>OCTUBRE</t>
        </is>
      </c>
      <c r="G4757" s="1" t="inlineStr">
        <is>
          <t>ZOEY</t>
        </is>
      </c>
      <c r="H4757" s="1" t="inlineStr">
        <is>
          <t>ZOEY 25/10/2025</t>
        </is>
      </c>
      <c r="I4757" s="4" t="n">
        <v>1</v>
      </c>
      <c r="J4757" s="6" t="n">
        <v>72</v>
      </c>
      <c r="K4757" s="6" t="n">
        <v>1785.60787</v>
      </c>
      <c r="L4757" s="6">
        <f>I4757*K4757</f>
        <v/>
      </c>
      <c r="M4757" s="6">
        <f>K4757*4</f>
        <v/>
      </c>
      <c r="N4757" s="6" t="n">
        <v>5240</v>
      </c>
    </row>
    <row r="4758">
      <c r="A4758" s="1" t="inlineStr">
        <is>
          <t>93378841508909</t>
        </is>
      </c>
      <c r="B4758" s="1" t="inlineStr">
        <is>
          <t>BALLERINAS PR BLACK CON LOGO</t>
        </is>
      </c>
      <c r="C4758" s="1" t="inlineStr">
        <is>
          <t>24CM</t>
        </is>
      </c>
      <c r="D4758" s="1" t="inlineStr">
        <is>
          <t>25/10/2025</t>
        </is>
      </c>
      <c r="E4758" s="1" t="n">
        <v>2025</v>
      </c>
      <c r="F4758" s="1" t="inlineStr">
        <is>
          <t>OCTUBRE</t>
        </is>
      </c>
      <c r="G4758" s="1" t="inlineStr">
        <is>
          <t>ZOEY</t>
        </is>
      </c>
      <c r="H4758" s="1" t="inlineStr">
        <is>
          <t>ZOEY 25/10/2025</t>
        </is>
      </c>
      <c r="I4758" s="4" t="n">
        <v>1</v>
      </c>
      <c r="J4758" s="6" t="n">
        <v>58</v>
      </c>
      <c r="K4758" s="6" t="n">
        <v>1438.40634</v>
      </c>
      <c r="L4758" s="6">
        <f>I4758*K4758</f>
        <v/>
      </c>
      <c r="M4758" s="6">
        <f>K4758*4</f>
        <v/>
      </c>
      <c r="N4758" s="6" t="n">
        <v>4899</v>
      </c>
    </row>
    <row r="4759">
      <c r="A4759" s="1" t="inlineStr">
        <is>
          <t>93378841508909</t>
        </is>
      </c>
      <c r="B4759" s="1" t="inlineStr">
        <is>
          <t>BALLERINAS PR BLACK CON LOGO</t>
        </is>
      </c>
      <c r="C4759" s="1" t="inlineStr">
        <is>
          <t>24cm</t>
        </is>
      </c>
      <c r="D4759" s="1" t="inlineStr">
        <is>
          <t>20/01/2026</t>
        </is>
      </c>
      <c r="E4759" s="1" t="n">
        <v>2026</v>
      </c>
      <c r="F4759" s="1" t="inlineStr">
        <is>
          <t>ENERO</t>
        </is>
      </c>
      <c r="G4759" s="1" t="inlineStr">
        <is>
          <t>ZOEY</t>
        </is>
      </c>
      <c r="H4759" s="1" t="inlineStr">
        <is>
          <t>ZOEY 20/01/2026</t>
        </is>
      </c>
      <c r="I4759" s="4" t="n">
        <v>2</v>
      </c>
      <c r="J4759" s="6" t="n">
        <v>58</v>
      </c>
      <c r="K4759" s="6" t="n">
        <v>1509.832763</v>
      </c>
      <c r="L4759" s="6">
        <f>I4759*K4759</f>
        <v/>
      </c>
      <c r="M4759" s="6">
        <f>K4759*4</f>
        <v/>
      </c>
      <c r="N4759" s="6" t="n">
        <v>5949</v>
      </c>
    </row>
    <row r="4760">
      <c r="A4760" s="1" t="inlineStr">
        <is>
          <t>93378841641677</t>
        </is>
      </c>
      <c r="B4760" s="1" t="inlineStr">
        <is>
          <t>BALLERINAS PR BLACK CON LOGO</t>
        </is>
      </c>
      <c r="C4760" s="1" t="inlineStr">
        <is>
          <t>25CM</t>
        </is>
      </c>
      <c r="D4760" s="1" t="inlineStr">
        <is>
          <t>25/10/2025</t>
        </is>
      </c>
      <c r="E4760" s="1" t="n">
        <v>2025</v>
      </c>
      <c r="F4760" s="1" t="inlineStr">
        <is>
          <t>OCTUBRE</t>
        </is>
      </c>
      <c r="G4760" s="1" t="inlineStr">
        <is>
          <t>ZOEY</t>
        </is>
      </c>
      <c r="H4760" s="1" t="inlineStr">
        <is>
          <t>ZOEY 25/10/2025</t>
        </is>
      </c>
      <c r="I4760" s="4" t="n">
        <v>1</v>
      </c>
      <c r="J4760" s="6" t="n">
        <v>58</v>
      </c>
      <c r="K4760" s="6" t="n">
        <v>1438.40634</v>
      </c>
      <c r="L4760" s="6">
        <f>I4760*K4760</f>
        <v/>
      </c>
      <c r="M4760" s="6">
        <f>K4760*4</f>
        <v/>
      </c>
      <c r="N4760" s="6" t="n">
        <v>4899</v>
      </c>
    </row>
    <row r="4761">
      <c r="A4761" s="1" t="inlineStr">
        <is>
          <t>93378841641677</t>
        </is>
      </c>
      <c r="B4761" s="1" t="inlineStr">
        <is>
          <t>BALLERINAS PR BLACK CON LOGO</t>
        </is>
      </c>
      <c r="C4761" s="1" t="inlineStr">
        <is>
          <t>25cm</t>
        </is>
      </c>
      <c r="D4761" s="1" t="inlineStr">
        <is>
          <t>20/01/2026</t>
        </is>
      </c>
      <c r="E4761" s="1" t="n">
        <v>2026</v>
      </c>
      <c r="F4761" s="1" t="inlineStr">
        <is>
          <t>ENERO</t>
        </is>
      </c>
      <c r="G4761" s="1" t="inlineStr">
        <is>
          <t>ZOEY</t>
        </is>
      </c>
      <c r="H4761" s="1" t="inlineStr">
        <is>
          <t>ZOEY 20/01/2026</t>
        </is>
      </c>
      <c r="I4761" s="4" t="n">
        <v>2</v>
      </c>
      <c r="J4761" s="6" t="n">
        <v>58</v>
      </c>
      <c r="K4761" s="6" t="n">
        <v>1509.832763</v>
      </c>
      <c r="L4761" s="6">
        <f>I4761*K4761</f>
        <v/>
      </c>
      <c r="M4761" s="6">
        <f>K4761*4</f>
        <v/>
      </c>
      <c r="N4761" s="6" t="n">
        <v>5949</v>
      </c>
    </row>
    <row r="4762">
      <c r="A4762" s="1" t="inlineStr">
        <is>
          <t>93378841641677</t>
        </is>
      </c>
      <c r="B4762" s="1" t="inlineStr">
        <is>
          <t>BALLERINAS PR BLACK CON LOGO</t>
        </is>
      </c>
      <c r="C4762" s="1" t="inlineStr">
        <is>
          <t>25-cm</t>
        </is>
      </c>
      <c r="D4762" s="1" t="inlineStr">
        <is>
          <t>20/04/2026</t>
        </is>
      </c>
      <c r="E4762" s="1" t="n">
        <v>2026</v>
      </c>
      <c r="F4762" s="1" t="inlineStr">
        <is>
          <t>ABRIL</t>
        </is>
      </c>
      <c r="G4762" s="1" t="inlineStr">
        <is>
          <t>ZOEY</t>
        </is>
      </c>
      <c r="H4762" s="1" t="inlineStr">
        <is>
          <t>ZOEY 20/04/2026</t>
        </is>
      </c>
      <c r="I4762" s="4" t="n">
        <v>1</v>
      </c>
      <c r="J4762" s="6" t="n">
        <v>58</v>
      </c>
      <c r="K4762" s="6" t="n">
        <v>1485.309144</v>
      </c>
      <c r="L4762" s="6">
        <f>I4762*K4762</f>
        <v/>
      </c>
      <c r="M4762" s="6">
        <f>K4762*4</f>
        <v/>
      </c>
      <c r="N4762" s="6" t="n">
        <v>5949</v>
      </c>
    </row>
    <row r="4763">
      <c r="A4763" s="1" t="inlineStr">
        <is>
          <t>93794531066669</t>
        </is>
      </c>
      <c r="B4763" s="1" t="inlineStr">
        <is>
          <t>LENTES CD M1U</t>
        </is>
      </c>
      <c r="C4763" s="1" t="n"/>
      <c r="D4763" s="1" t="inlineStr">
        <is>
          <t>02/03/2026</t>
        </is>
      </c>
      <c r="E4763" s="1" t="n">
        <v>2026</v>
      </c>
      <c r="F4763" s="1" t="inlineStr">
        <is>
          <t>MARZO</t>
        </is>
      </c>
      <c r="G4763" s="1" t="inlineStr">
        <is>
          <t>ZOEY</t>
        </is>
      </c>
      <c r="H4763" s="1" t="inlineStr">
        <is>
          <t>ZOEY 02/03/2026</t>
        </is>
      </c>
      <c r="I4763" s="4" t="n">
        <v>1</v>
      </c>
      <c r="J4763" s="6" t="n">
        <v>32</v>
      </c>
      <c r="K4763" s="6" t="n">
        <v>840.8632231</v>
      </c>
      <c r="L4763" s="6">
        <f>I4763*K4763</f>
        <v/>
      </c>
      <c r="M4763" s="6">
        <f>K4763*4</f>
        <v/>
      </c>
      <c r="N4763" s="6" t="n">
        <v>3279</v>
      </c>
    </row>
    <row r="4764">
      <c r="A4764" s="1" t="inlineStr">
        <is>
          <t>93794531066669</t>
        </is>
      </c>
      <c r="B4764" s="1" t="inlineStr">
        <is>
          <t>LENTES CD M1U</t>
        </is>
      </c>
      <c r="C4764" s="1" t="inlineStr">
        <is>
          <t>Default Title</t>
        </is>
      </c>
      <c r="D4764" s="1" t="inlineStr">
        <is>
          <t>20/04/2026</t>
        </is>
      </c>
      <c r="E4764" s="1" t="n">
        <v>2026</v>
      </c>
      <c r="F4764" s="1" t="inlineStr">
        <is>
          <t>ABRIL</t>
        </is>
      </c>
      <c r="G4764" s="1" t="inlineStr">
        <is>
          <t>ZOEY</t>
        </is>
      </c>
      <c r="H4764" s="1" t="inlineStr">
        <is>
          <t>ZOEY 20/04/2026</t>
        </is>
      </c>
      <c r="I4764" s="4" t="n">
        <v>3</v>
      </c>
      <c r="J4764" s="6" t="n">
        <v>32</v>
      </c>
      <c r="K4764" s="6" t="n">
        <v>819.4809068</v>
      </c>
      <c r="L4764" s="6">
        <f>I4764*K4764</f>
        <v/>
      </c>
      <c r="M4764" s="6">
        <f>K4764*4</f>
        <v/>
      </c>
      <c r="N4764" s="6" t="n">
        <v>3279</v>
      </c>
    </row>
    <row r="4765">
      <c r="A4765" s="1" t="inlineStr">
        <is>
          <t>93794531735053</t>
        </is>
      </c>
      <c r="B4765" s="1" t="inlineStr">
        <is>
          <t>CARTERA PR SAFFIANO</t>
        </is>
      </c>
      <c r="C4765" s="1" t="inlineStr">
        <is>
          <t>BLACK</t>
        </is>
      </c>
      <c r="D4765" s="1" t="inlineStr">
        <is>
          <t>02/03/2026</t>
        </is>
      </c>
      <c r="E4765" s="1" t="n">
        <v>2026</v>
      </c>
      <c r="F4765" s="1" t="inlineStr">
        <is>
          <t>MARZO</t>
        </is>
      </c>
      <c r="G4765" s="1" t="inlineStr">
        <is>
          <t>ZOEY</t>
        </is>
      </c>
      <c r="H4765" s="1" t="inlineStr">
        <is>
          <t>ZOEY 02/03/2026</t>
        </is>
      </c>
      <c r="I4765" s="4" t="n">
        <v>2</v>
      </c>
      <c r="J4765" s="6" t="n">
        <v>19</v>
      </c>
      <c r="K4765" s="6" t="n">
        <v>499.2625387</v>
      </c>
      <c r="L4765" s="6">
        <f>I4765*K4765</f>
        <v/>
      </c>
      <c r="M4765" s="6">
        <f>K4765*4</f>
        <v/>
      </c>
      <c r="N4765" s="6" t="n">
        <v>1999</v>
      </c>
    </row>
    <row r="4766">
      <c r="A4766" s="1" t="inlineStr">
        <is>
          <t>93794531735053</t>
        </is>
      </c>
      <c r="B4766" s="1" t="inlineStr">
        <is>
          <t>CARTERA PR SAFFIANO</t>
        </is>
      </c>
      <c r="C4766" s="1" t="inlineStr">
        <is>
          <t>Default Title</t>
        </is>
      </c>
      <c r="D4766" s="1" t="inlineStr">
        <is>
          <t>08/06/2026</t>
        </is>
      </c>
      <c r="E4766" s="1" t="n">
        <v>2026</v>
      </c>
      <c r="F4766" s="1" t="inlineStr">
        <is>
          <t>JUNIO</t>
        </is>
      </c>
      <c r="G4766" s="1" t="inlineStr">
        <is>
          <t>ZOEY</t>
        </is>
      </c>
      <c r="H4766" s="1" t="inlineStr">
        <is>
          <t>ZOEY 08/06/2026</t>
        </is>
      </c>
      <c r="I4766" s="4" t="n">
        <v>2</v>
      </c>
      <c r="J4766" s="6" t="n">
        <v>19</v>
      </c>
      <c r="K4766" s="6" t="n">
        <v>465.7172926</v>
      </c>
      <c r="L4766" s="6">
        <f>I4766*K4766</f>
        <v/>
      </c>
      <c r="M4766" s="6">
        <f>K4766*4</f>
        <v/>
      </c>
      <c r="N4766" s="6" t="n">
        <v>1999</v>
      </c>
    </row>
    <row r="4767">
      <c r="A4767" s="1" t="inlineStr">
        <is>
          <t>94122711058029</t>
        </is>
      </c>
      <c r="B4767" s="1" t="inlineStr">
        <is>
          <t>ANILLO BV ZERO 1 SILVER-7</t>
        </is>
      </c>
      <c r="C4767" s="1" t="n">
        <v>7</v>
      </c>
      <c r="D4767" s="1" t="inlineStr">
        <is>
          <t>25/09/2025</t>
        </is>
      </c>
      <c r="E4767" s="1" t="n">
        <v>2025</v>
      </c>
      <c r="F4767" s="1" t="inlineStr">
        <is>
          <t>SEPTIEMBRE</t>
        </is>
      </c>
      <c r="G4767" s="1" t="inlineStr">
        <is>
          <t>HAIFENG</t>
        </is>
      </c>
      <c r="H4767" s="1" t="inlineStr">
        <is>
          <t>HAIFENG 25/09/2025</t>
        </is>
      </c>
      <c r="I4767" s="4" t="n">
        <v>2</v>
      </c>
      <c r="J4767" s="6" t="n">
        <v>7</v>
      </c>
      <c r="K4767" s="6" t="n">
        <v>147.6782004</v>
      </c>
      <c r="L4767" s="6">
        <f>I4767*K4767</f>
        <v/>
      </c>
      <c r="M4767" s="6">
        <f>K4767*4</f>
        <v/>
      </c>
      <c r="N4767" s="6" t="n">
        <v>500</v>
      </c>
    </row>
    <row r="4768">
      <c r="A4768" s="1" t="inlineStr">
        <is>
          <t>94122711058029</t>
        </is>
      </c>
      <c r="B4768" s="1" t="inlineStr">
        <is>
          <t>ANILLO BV ZERO 1 SILVER</t>
        </is>
      </c>
      <c r="C4768" s="1" t="inlineStr">
        <is>
          <t>7</t>
        </is>
      </c>
      <c r="D4768" s="1" t="inlineStr">
        <is>
          <t>11/03/2026</t>
        </is>
      </c>
      <c r="E4768" s="1" t="n">
        <v>2026</v>
      </c>
      <c r="F4768" s="1" t="inlineStr">
        <is>
          <t>MARZO</t>
        </is>
      </c>
      <c r="G4768" s="1" t="inlineStr">
        <is>
          <t>HAIFENG</t>
        </is>
      </c>
      <c r="H4768" s="1" t="inlineStr">
        <is>
          <t>HAIFENG 11/03/2026</t>
        </is>
      </c>
      <c r="I4768" s="4" t="n">
        <v>1</v>
      </c>
      <c r="J4768" s="6" t="n">
        <v>6</v>
      </c>
      <c r="K4768" s="6" t="n">
        <v>127.8233773</v>
      </c>
      <c r="L4768" s="6">
        <f>I4768*K4768</f>
        <v/>
      </c>
      <c r="M4768" s="6">
        <f>K4768*4</f>
        <v/>
      </c>
      <c r="N4768" s="6" t="n">
        <v>500</v>
      </c>
    </row>
    <row r="4769">
      <c r="A4769" s="1" t="inlineStr">
        <is>
          <t>94122711058030</t>
        </is>
      </c>
      <c r="B4769" s="1" t="inlineStr">
        <is>
          <t>ANILLO BV ZERO 1 SILVER-8</t>
        </is>
      </c>
      <c r="C4769" s="1" t="n">
        <v>8</v>
      </c>
      <c r="D4769" s="1" t="inlineStr">
        <is>
          <t>25/09/2025</t>
        </is>
      </c>
      <c r="E4769" s="1" t="n">
        <v>2025</v>
      </c>
      <c r="F4769" s="1" t="inlineStr">
        <is>
          <t>SEPTIEMBRE</t>
        </is>
      </c>
      <c r="G4769" s="1" t="inlineStr">
        <is>
          <t>HAIFENG</t>
        </is>
      </c>
      <c r="H4769" s="1" t="inlineStr">
        <is>
          <t>HAIFENG 25/09/2025</t>
        </is>
      </c>
      <c r="I4769" s="4" t="n">
        <v>2</v>
      </c>
      <c r="J4769" s="6" t="n">
        <v>6</v>
      </c>
      <c r="K4769" s="6" t="n">
        <v>126.5813146</v>
      </c>
      <c r="L4769" s="6">
        <f>I4769*K4769</f>
        <v/>
      </c>
      <c r="M4769" s="6">
        <f>K4769*4</f>
        <v/>
      </c>
      <c r="N4769" s="6" t="n">
        <v>500</v>
      </c>
    </row>
    <row r="4770">
      <c r="A4770" s="1" t="inlineStr">
        <is>
          <t>94122711058030</t>
        </is>
      </c>
      <c r="B4770" s="1" t="inlineStr">
        <is>
          <t>ANILLO BV ZERO 1 SILVER</t>
        </is>
      </c>
      <c r="C4770" s="1" t="inlineStr">
        <is>
          <t>8</t>
        </is>
      </c>
      <c r="D4770" s="1" t="inlineStr">
        <is>
          <t>11/03/2026</t>
        </is>
      </c>
      <c r="E4770" s="1" t="n">
        <v>2026</v>
      </c>
      <c r="F4770" s="1" t="inlineStr">
        <is>
          <t>MARZO</t>
        </is>
      </c>
      <c r="G4770" s="1" t="inlineStr">
        <is>
          <t>HAIFENG</t>
        </is>
      </c>
      <c r="H4770" s="1" t="inlineStr">
        <is>
          <t>HAIFENG 11/03/2026</t>
        </is>
      </c>
      <c r="I4770" s="4" t="n">
        <v>3</v>
      </c>
      <c r="J4770" s="6" t="n">
        <v>6</v>
      </c>
      <c r="K4770" s="6" t="n">
        <v>127.8233773</v>
      </c>
      <c r="L4770" s="6">
        <f>I4770*K4770</f>
        <v/>
      </c>
      <c r="M4770" s="6">
        <f>K4770*4</f>
        <v/>
      </c>
      <c r="N4770" s="6" t="n">
        <v>500</v>
      </c>
    </row>
    <row r="4771">
      <c r="A4771" s="1" t="inlineStr">
        <is>
          <t>94122711058031</t>
        </is>
      </c>
      <c r="B4771" s="1" t="inlineStr">
        <is>
          <t>ANILLO BV ZERO 1 SILVER-9</t>
        </is>
      </c>
      <c r="C4771" s="1" t="n">
        <v>9</v>
      </c>
      <c r="D4771" s="1" t="inlineStr">
        <is>
          <t>25/09/2025</t>
        </is>
      </c>
      <c r="E4771" s="1" t="n">
        <v>2025</v>
      </c>
      <c r="F4771" s="1" t="inlineStr">
        <is>
          <t>SEPTIEMBRE</t>
        </is>
      </c>
      <c r="G4771" s="1" t="inlineStr">
        <is>
          <t>HAIFENG</t>
        </is>
      </c>
      <c r="H4771" s="1" t="inlineStr">
        <is>
          <t>HAIFENG 25/09/2025</t>
        </is>
      </c>
      <c r="I4771" s="4" t="n">
        <v>2</v>
      </c>
      <c r="J4771" s="6" t="n">
        <v>6</v>
      </c>
      <c r="K4771" s="6" t="n">
        <v>126.5813146</v>
      </c>
      <c r="L4771" s="6">
        <f>I4771*K4771</f>
        <v/>
      </c>
      <c r="M4771" s="6">
        <f>K4771*4</f>
        <v/>
      </c>
      <c r="N4771" s="6" t="n">
        <v>500</v>
      </c>
    </row>
    <row r="4772">
      <c r="A4772" s="1" t="inlineStr">
        <is>
          <t>94122711058031</t>
        </is>
      </c>
      <c r="B4772" s="1" t="n"/>
      <c r="C4772" s="1" t="inlineStr">
        <is>
          <t>9</t>
        </is>
      </c>
      <c r="D4772" s="1" t="inlineStr">
        <is>
          <t>10/02/2026</t>
        </is>
      </c>
      <c r="E4772" s="1" t="n">
        <v>2026</v>
      </c>
      <c r="F4772" s="1" t="inlineStr">
        <is>
          <t>FEBRERO</t>
        </is>
      </c>
      <c r="G4772" s="1" t="inlineStr">
        <is>
          <t>HAIFENG</t>
        </is>
      </c>
      <c r="H4772" s="1" t="inlineStr">
        <is>
          <t>HAIFENG 10/02/2026</t>
        </is>
      </c>
      <c r="I4772" s="4" t="n">
        <v>1</v>
      </c>
      <c r="J4772" s="6" t="n">
        <v>6</v>
      </c>
      <c r="K4772" s="6" t="n">
        <v>126.4109764</v>
      </c>
      <c r="L4772" s="6">
        <f>I4772*K4772</f>
        <v/>
      </c>
      <c r="M4772" s="6">
        <f>K4772*4</f>
        <v/>
      </c>
      <c r="N4772" s="6" t="n">
        <v>500</v>
      </c>
    </row>
    <row r="4773">
      <c r="A4773" s="1" t="inlineStr">
        <is>
          <t>94122711058031</t>
        </is>
      </c>
      <c r="B4773" s="1" t="inlineStr">
        <is>
          <t>ANILLO BV ZERO 1 SILVER</t>
        </is>
      </c>
      <c r="C4773" s="1" t="inlineStr">
        <is>
          <t>9</t>
        </is>
      </c>
      <c r="D4773" s="1" t="inlineStr">
        <is>
          <t>16/04/2026</t>
        </is>
      </c>
      <c r="E4773" s="1" t="n">
        <v>2026</v>
      </c>
      <c r="F4773" s="1" t="inlineStr">
        <is>
          <t>ABRIL</t>
        </is>
      </c>
      <c r="G4773" s="1" t="inlineStr">
        <is>
          <t>HAIFENG</t>
        </is>
      </c>
      <c r="H4773" s="1" t="inlineStr">
        <is>
          <t>HAIFENG 16/04/2026</t>
        </is>
      </c>
      <c r="I4773" s="4" t="n">
        <v>1</v>
      </c>
      <c r="J4773" s="6" t="n">
        <v>6</v>
      </c>
      <c r="K4773" s="6" t="n">
        <v>126.1888415</v>
      </c>
      <c r="L4773" s="6">
        <f>I4773*K4773</f>
        <v/>
      </c>
      <c r="M4773" s="6">
        <f>K4773*4</f>
        <v/>
      </c>
      <c r="N4773" s="6" t="n">
        <v>500</v>
      </c>
    </row>
    <row r="4774">
      <c r="A4774" s="1" t="inlineStr">
        <is>
          <t>94122711058031</t>
        </is>
      </c>
      <c r="B4774" s="1" t="inlineStr">
        <is>
          <t>ANILLO BV ZERO 1 SILVER</t>
        </is>
      </c>
      <c r="C4774" s="1" t="inlineStr">
        <is>
          <t>9</t>
        </is>
      </c>
      <c r="D4774" s="1" t="inlineStr">
        <is>
          <t>16/06/2026</t>
        </is>
      </c>
      <c r="E4774" s="1" t="n">
        <v>2026</v>
      </c>
      <c r="F4774" s="1" t="inlineStr">
        <is>
          <t>JUNIO</t>
        </is>
      </c>
      <c r="G4774" s="1" t="inlineStr">
        <is>
          <t>HAIFENG</t>
        </is>
      </c>
      <c r="H4774" s="1" t="inlineStr">
        <is>
          <t>HAIFENG 16/06/2026</t>
        </is>
      </c>
      <c r="I4774" s="4" t="n">
        <v>2</v>
      </c>
      <c r="J4774" s="6" t="n">
        <v>6</v>
      </c>
      <c r="K4774" s="6" t="n">
        <v>126.0876388</v>
      </c>
      <c r="L4774" s="6">
        <f>I4774*K4774</f>
        <v/>
      </c>
      <c r="M4774" s="6">
        <f>K4774*4</f>
        <v/>
      </c>
      <c r="N4774" s="6" t="n">
        <v>500</v>
      </c>
    </row>
    <row r="4775">
      <c r="A4775" s="1" t="inlineStr">
        <is>
          <t>94256261066701</t>
        </is>
      </c>
      <c r="B4775" s="1" t="inlineStr">
        <is>
          <t>ANILLO LV IDYLLE BLOSSOM TRICOLOR</t>
        </is>
      </c>
      <c r="C4775" s="1" t="inlineStr">
        <is>
          <t>Default Title</t>
        </is>
      </c>
      <c r="D4775" s="1" t="inlineStr">
        <is>
          <t>25/09/2025</t>
        </is>
      </c>
      <c r="E4775" s="1" t="n">
        <v>2025</v>
      </c>
      <c r="F4775" s="1" t="inlineStr">
        <is>
          <t>SEPTIEMBRE</t>
        </is>
      </c>
      <c r="G4775" s="1" t="inlineStr">
        <is>
          <t>HAIFENG</t>
        </is>
      </c>
      <c r="H4775" s="1" t="inlineStr">
        <is>
          <t>HAIFENG 25/09/2025</t>
        </is>
      </c>
      <c r="I4775" s="4" t="n">
        <v>2</v>
      </c>
      <c r="J4775" s="6" t="n">
        <v>5.99</v>
      </c>
      <c r="K4775" s="6" t="n">
        <v>126.3703458</v>
      </c>
      <c r="L4775" s="6">
        <f>I4775*K4775</f>
        <v/>
      </c>
      <c r="M4775" s="6">
        <f>K4775*4</f>
        <v/>
      </c>
      <c r="N4775" s="6" t="n">
        <v>1250</v>
      </c>
    </row>
    <row r="4776">
      <c r="A4776" s="1" t="inlineStr">
        <is>
          <t>94256261066701</t>
        </is>
      </c>
      <c r="B4776" s="1" t="inlineStr">
        <is>
          <t>ANILLO LV IDYLLE BLOSSOM TRICOLOR</t>
        </is>
      </c>
      <c r="C4776" s="1" t="inlineStr">
        <is>
          <t>Default Title</t>
        </is>
      </c>
      <c r="D4776" s="1" t="inlineStr">
        <is>
          <t>25/09/2025</t>
        </is>
      </c>
      <c r="E4776" s="1" t="n">
        <v>2025</v>
      </c>
      <c r="F4776" s="1" t="inlineStr">
        <is>
          <t>SEPTIEMBRE</t>
        </is>
      </c>
      <c r="G4776" s="1" t="inlineStr">
        <is>
          <t>HAIFENG</t>
        </is>
      </c>
      <c r="H4776" s="1" t="inlineStr">
        <is>
          <t>HAIFENG 25/09/2025</t>
        </is>
      </c>
      <c r="I4776" s="4" t="n">
        <v>2</v>
      </c>
      <c r="J4776" s="6" t="n">
        <v>5.99</v>
      </c>
      <c r="K4776" s="6" t="n">
        <v>126.3703458</v>
      </c>
      <c r="L4776" s="6">
        <f>I4776*K4776</f>
        <v/>
      </c>
      <c r="M4776" s="6">
        <f>K4776*4</f>
        <v/>
      </c>
      <c r="N4776" s="6" t="n">
        <v>1250</v>
      </c>
    </row>
    <row r="4777">
      <c r="A4777" s="1" t="inlineStr">
        <is>
          <t>94256261066701</t>
        </is>
      </c>
      <c r="B4777" s="1" t="inlineStr">
        <is>
          <t>ANILLO LV IDYLLE BLOSSOM TRICOLOR</t>
        </is>
      </c>
      <c r="C4777" s="1" t="inlineStr">
        <is>
          <t>Default Title</t>
        </is>
      </c>
      <c r="D4777" s="1" t="inlineStr">
        <is>
          <t>25/09/2025</t>
        </is>
      </c>
      <c r="E4777" s="1" t="n">
        <v>2025</v>
      </c>
      <c r="F4777" s="1" t="inlineStr">
        <is>
          <t>SEPTIEMBRE</t>
        </is>
      </c>
      <c r="G4777" s="1" t="inlineStr">
        <is>
          <t>HAIFENG</t>
        </is>
      </c>
      <c r="H4777" s="1" t="inlineStr">
        <is>
          <t>HAIFENG 25/09/2025</t>
        </is>
      </c>
      <c r="I4777" s="4" t="n">
        <v>2</v>
      </c>
      <c r="J4777" s="6" t="n">
        <v>5.99</v>
      </c>
      <c r="K4777" s="6" t="n">
        <v>126.3703458</v>
      </c>
      <c r="L4777" s="6">
        <f>I4777*K4777</f>
        <v/>
      </c>
      <c r="M4777" s="6">
        <f>K4777*4</f>
        <v/>
      </c>
      <c r="N4777" s="6" t="n">
        <v>1250</v>
      </c>
    </row>
    <row r="4778">
      <c r="A4778" s="1" t="inlineStr">
        <is>
          <t>94256261066701</t>
        </is>
      </c>
      <c r="B4778" s="1" t="inlineStr">
        <is>
          <t>ANILLO LV IDYLLE BLOSSOM TRICOLOR</t>
        </is>
      </c>
      <c r="C4778" s="1" t="inlineStr">
        <is>
          <t>Default Title</t>
        </is>
      </c>
      <c r="D4778" s="1" t="inlineStr">
        <is>
          <t>20/01/2026</t>
        </is>
      </c>
      <c r="E4778" s="1" t="n">
        <v>2026</v>
      </c>
      <c r="F4778" s="1" t="inlineStr">
        <is>
          <t>ENERO</t>
        </is>
      </c>
      <c r="G4778" s="1" t="inlineStr">
        <is>
          <t>HAIFENG</t>
        </is>
      </c>
      <c r="H4778" s="1" t="inlineStr">
        <is>
          <t>HAIFENG 20/01/2026</t>
        </is>
      </c>
      <c r="I4778" s="4" t="n">
        <v>4</v>
      </c>
      <c r="J4778" s="6" t="n">
        <v>5.99</v>
      </c>
      <c r="K4778" s="6" t="n">
        <v>126.9905026</v>
      </c>
      <c r="L4778" s="6">
        <f>I4778*K4778</f>
        <v/>
      </c>
      <c r="M4778" s="6">
        <f>K4778*4</f>
        <v/>
      </c>
      <c r="N4778" s="6" t="n">
        <v>1250</v>
      </c>
    </row>
    <row r="4779">
      <c r="A4779" s="1" t="inlineStr">
        <is>
          <t>94256261066701</t>
        </is>
      </c>
      <c r="B4779" s="1" t="inlineStr">
        <is>
          <t>ANILLO LV IDYLLE BLOSSOM TRICOLOR</t>
        </is>
      </c>
      <c r="C4779" s="1" t="inlineStr">
        <is>
          <t>Default Title</t>
        </is>
      </c>
      <c r="D4779" s="1" t="inlineStr">
        <is>
          <t>06/05/2026</t>
        </is>
      </c>
      <c r="E4779" s="1" t="n">
        <v>2026</v>
      </c>
      <c r="F4779" s="1" t="inlineStr">
        <is>
          <t>MAYO</t>
        </is>
      </c>
      <c r="G4779" s="1" t="inlineStr">
        <is>
          <t>HAIFENG</t>
        </is>
      </c>
      <c r="H4779" s="1" t="inlineStr">
        <is>
          <t>HAIFENG 06/05/2026</t>
        </is>
      </c>
      <c r="I4779" s="4" t="n">
        <v>3</v>
      </c>
      <c r="J4779" s="6" t="n">
        <v>14.97</v>
      </c>
      <c r="K4779" s="6" t="n">
        <v>317.6430747</v>
      </c>
      <c r="L4779" s="6">
        <f>I4779*K4779</f>
        <v/>
      </c>
      <c r="M4779" s="6">
        <f>K4779*4</f>
        <v/>
      </c>
      <c r="N4779" s="6" t="n">
        <v>1250</v>
      </c>
    </row>
    <row r="4780">
      <c r="A4780" s="1" t="inlineStr">
        <is>
          <t>94350532835596</t>
        </is>
      </c>
      <c r="B4780" s="1" t="inlineStr">
        <is>
          <t>BOLSO YSL CON CADENA NUDE</t>
        </is>
      </c>
      <c r="C4780" s="1" t="inlineStr">
        <is>
          <t>REGULAR</t>
        </is>
      </c>
      <c r="D4780" s="1" t="inlineStr">
        <is>
          <t>21/10/2025</t>
        </is>
      </c>
      <c r="E4780" s="1" t="n">
        <v>2025</v>
      </c>
      <c r="F4780" s="1" t="inlineStr">
        <is>
          <t>OCTUBRE</t>
        </is>
      </c>
      <c r="G4780" s="1" t="inlineStr">
        <is>
          <t>DINA DU</t>
        </is>
      </c>
      <c r="H4780" s="1" t="inlineStr">
        <is>
          <t>DINA DU 21/10/2025</t>
        </is>
      </c>
      <c r="I4780" s="4" t="n">
        <v>2</v>
      </c>
      <c r="J4780" s="6" t="n">
        <v>46</v>
      </c>
      <c r="K4780" s="6" t="n">
        <v>1289.587432</v>
      </c>
      <c r="L4780" s="6">
        <f>I4780*K4780</f>
        <v/>
      </c>
      <c r="M4780" s="6">
        <f>K4780*4</f>
        <v/>
      </c>
      <c r="N4780" s="6" t="n">
        <v>3850</v>
      </c>
    </row>
    <row r="4781">
      <c r="A4781" s="1" t="inlineStr">
        <is>
          <t>94350543859468</t>
        </is>
      </c>
      <c r="B4781" s="1" t="inlineStr">
        <is>
          <t>BOLSO YSL CHAROL WHITE</t>
        </is>
      </c>
      <c r="C4781" s="1" t="inlineStr">
        <is>
          <t>24cm x 15cm</t>
        </is>
      </c>
      <c r="D4781" s="1" t="inlineStr">
        <is>
          <t>05/09/2025</t>
        </is>
      </c>
      <c r="E4781" s="1" t="n">
        <v>2025</v>
      </c>
      <c r="F4781" s="1" t="inlineStr">
        <is>
          <t>SEPTIEMBRE</t>
        </is>
      </c>
      <c r="G4781" s="1" t="inlineStr">
        <is>
          <t>CYNTHIA</t>
        </is>
      </c>
      <c r="H4781" s="1" t="inlineStr">
        <is>
          <t>CYNTHIA 05/09/2025</t>
        </is>
      </c>
      <c r="I4781" s="4" t="n">
        <v>3</v>
      </c>
      <c r="J4781" s="6" t="n">
        <v>54</v>
      </c>
      <c r="K4781" s="6" t="n">
        <v>1359.671234</v>
      </c>
      <c r="L4781" s="6">
        <f>I4781*K4781</f>
        <v/>
      </c>
      <c r="M4781" s="6">
        <f>K4781*4</f>
        <v/>
      </c>
      <c r="N4781" s="6" t="n">
        <v>4580</v>
      </c>
    </row>
    <row r="4782">
      <c r="A4782" s="1" t="inlineStr">
        <is>
          <t>94350543859468</t>
        </is>
      </c>
      <c r="B4782" s="1" t="inlineStr">
        <is>
          <t>BOLSO YSL CHAROL WHITE</t>
        </is>
      </c>
      <c r="C4782" s="1" t="inlineStr">
        <is>
          <t>24cm x 15cm</t>
        </is>
      </c>
      <c r="D4782" s="1" t="inlineStr">
        <is>
          <t>18/02/2026</t>
        </is>
      </c>
      <c r="E4782" s="1" t="n">
        <v>2026</v>
      </c>
      <c r="F4782" s="1" t="inlineStr">
        <is>
          <t>FEBRERO</t>
        </is>
      </c>
      <c r="G4782" s="1" t="inlineStr">
        <is>
          <t>CYNTHIA</t>
        </is>
      </c>
      <c r="H4782" s="1" t="inlineStr">
        <is>
          <t>CYNTHIA 18/02/2026</t>
        </is>
      </c>
      <c r="I4782" s="4" t="n">
        <v>1</v>
      </c>
      <c r="J4782" s="6" t="n">
        <v>55</v>
      </c>
      <c r="K4782" s="6" t="n">
        <v>1487.385086</v>
      </c>
      <c r="L4782" s="6">
        <f>I4782*K4782</f>
        <v/>
      </c>
      <c r="M4782" s="6">
        <f>K4782*4</f>
        <v/>
      </c>
      <c r="N4782" s="6" t="n">
        <v>5209</v>
      </c>
    </row>
    <row r="4783">
      <c r="A4783" s="1" t="inlineStr">
        <is>
          <t>94350549840780</t>
        </is>
      </c>
      <c r="B4783" s="1" t="inlineStr">
        <is>
          <t>BOLSO A TIEDIE</t>
        </is>
      </c>
      <c r="C4783" s="1" t="inlineStr">
        <is>
          <t>31cm de alto x 45.5cm de largo x 18cm de ancho</t>
        </is>
      </c>
      <c r="D4783" s="1" t="inlineStr">
        <is>
          <t>01/09/2025</t>
        </is>
      </c>
      <c r="E4783" s="1" t="n">
        <v>2025</v>
      </c>
      <c r="F4783" s="1" t="inlineStr">
        <is>
          <t>SEPTIEMBRE</t>
        </is>
      </c>
      <c r="G4783" s="1" t="inlineStr">
        <is>
          <t>ZOEY</t>
        </is>
      </c>
      <c r="H4783" s="1" t="inlineStr">
        <is>
          <t>ZOEY 01/09/2025</t>
        </is>
      </c>
      <c r="I4783" s="4" t="n">
        <v>6</v>
      </c>
      <c r="J4783" s="6" t="n">
        <v>10</v>
      </c>
      <c r="K4783" s="6" t="n">
        <v>251.178446</v>
      </c>
      <c r="L4783" s="6">
        <f>I4783*K4783</f>
        <v/>
      </c>
      <c r="M4783" s="6">
        <f>K4783*4</f>
        <v/>
      </c>
      <c r="N4783" s="6" t="n">
        <v>1069</v>
      </c>
    </row>
    <row r="4784">
      <c r="A4784" s="1" t="inlineStr">
        <is>
          <t>94350549840780</t>
        </is>
      </c>
      <c r="B4784" s="1" t="inlineStr">
        <is>
          <t>BOLSO A TIEDIE</t>
        </is>
      </c>
      <c r="C4784" s="1" t="inlineStr">
        <is>
          <t>31cm de alto x 45.5cm de largo x 18cm de ancho</t>
        </is>
      </c>
      <c r="D4784" s="1" t="inlineStr">
        <is>
          <t>25/10/2025</t>
        </is>
      </c>
      <c r="E4784" s="1" t="n">
        <v>2025</v>
      </c>
      <c r="F4784" s="1" t="inlineStr">
        <is>
          <t>OCTUBRE</t>
        </is>
      </c>
      <c r="G4784" s="1" t="inlineStr">
        <is>
          <t>ZOEY</t>
        </is>
      </c>
      <c r="H4784" s="1" t="inlineStr">
        <is>
          <t>ZOEY 25/10/2025</t>
        </is>
      </c>
      <c r="I4784" s="4" t="n">
        <v>20</v>
      </c>
      <c r="J4784" s="6" t="n">
        <v>10</v>
      </c>
      <c r="K4784" s="6" t="n">
        <v>248.001093</v>
      </c>
      <c r="L4784" s="6">
        <f>I4784*K4784</f>
        <v/>
      </c>
      <c r="M4784" s="6">
        <f>K4784*4</f>
        <v/>
      </c>
      <c r="N4784" s="6" t="n">
        <v>1069</v>
      </c>
    </row>
    <row r="4785">
      <c r="A4785" s="1" t="inlineStr">
        <is>
          <t>94350549840780</t>
        </is>
      </c>
      <c r="B4785" s="1" t="inlineStr">
        <is>
          <t>BOLSO A TIEDIE</t>
        </is>
      </c>
      <c r="C4785" s="1" t="inlineStr">
        <is>
          <t>31cm de alto x 45.5cm de largo x 18cm de ancho</t>
        </is>
      </c>
      <c r="D4785" s="1" t="inlineStr">
        <is>
          <t>02/03/2026</t>
        </is>
      </c>
      <c r="E4785" s="1" t="n">
        <v>2026</v>
      </c>
      <c r="F4785" s="1" t="inlineStr">
        <is>
          <t>MARZO</t>
        </is>
      </c>
      <c r="G4785" s="1" t="inlineStr">
        <is>
          <t>ZOEY</t>
        </is>
      </c>
      <c r="H4785" s="1" t="inlineStr">
        <is>
          <t>ZOEY 02/03/2026</t>
        </is>
      </c>
      <c r="I4785" s="4" t="n">
        <v>12</v>
      </c>
      <c r="J4785" s="6" t="n">
        <v>10</v>
      </c>
      <c r="K4785" s="6" t="n">
        <v>262.7697572</v>
      </c>
      <c r="L4785" s="6">
        <f>I4785*K4785</f>
        <v/>
      </c>
      <c r="M4785" s="6">
        <f>K4785*4</f>
        <v/>
      </c>
      <c r="N4785" s="6" t="n">
        <v>1069</v>
      </c>
    </row>
    <row r="4786">
      <c r="A4786" s="1" t="inlineStr">
        <is>
          <t>94350549840780</t>
        </is>
      </c>
      <c r="B4786" s="1" t="inlineStr">
        <is>
          <t>BOLSO A TIEDIE</t>
        </is>
      </c>
      <c r="C4786" s="1" t="inlineStr">
        <is>
          <t>32cm de alto x 47.5cm de largo x 18cm de ancho</t>
        </is>
      </c>
      <c r="D4786" s="1" t="inlineStr">
        <is>
          <t>20/04/2026</t>
        </is>
      </c>
      <c r="E4786" s="1" t="n">
        <v>2026</v>
      </c>
      <c r="F4786" s="1" t="inlineStr">
        <is>
          <t>ABRIL</t>
        </is>
      </c>
      <c r="G4786" s="1" t="inlineStr">
        <is>
          <t>ZOEY</t>
        </is>
      </c>
      <c r="H4786" s="1" t="inlineStr">
        <is>
          <t>ZOEY 20/04/2026</t>
        </is>
      </c>
      <c r="I4786" s="4" t="n">
        <v>4</v>
      </c>
      <c r="J4786" s="6" t="n">
        <v>10</v>
      </c>
      <c r="K4786" s="6" t="n">
        <v>256.0877834</v>
      </c>
      <c r="L4786" s="6">
        <f>I4786*K4786</f>
        <v/>
      </c>
      <c r="M4786" s="6">
        <f>K4786*4</f>
        <v/>
      </c>
      <c r="N4786" s="6" t="n">
        <v>1069</v>
      </c>
    </row>
    <row r="4787">
      <c r="A4787" s="1" t="inlineStr">
        <is>
          <t>94350549840780</t>
        </is>
      </c>
      <c r="B4787" s="1" t="inlineStr">
        <is>
          <t>BOLSO A TIEDIE</t>
        </is>
      </c>
      <c r="C4787" s="1" t="inlineStr">
        <is>
          <t>31cm de alto x 45.5cm de largo x 18cm de ancho</t>
        </is>
      </c>
      <c r="D4787" s="1" t="inlineStr">
        <is>
          <t>15/05/2026</t>
        </is>
      </c>
      <c r="E4787" s="1" t="n">
        <v>2026</v>
      </c>
      <c r="F4787" s="1" t="inlineStr">
        <is>
          <t>MAYO</t>
        </is>
      </c>
      <c r="G4787" s="1" t="inlineStr">
        <is>
          <t>ZOEY</t>
        </is>
      </c>
      <c r="H4787" s="1" t="inlineStr">
        <is>
          <t>ZOEY 15/05/2026</t>
        </is>
      </c>
      <c r="I4787" s="4" t="n">
        <v>8</v>
      </c>
      <c r="J4787" s="6" t="n">
        <v>10</v>
      </c>
      <c r="K4787" s="6" t="n">
        <v>265.0462449</v>
      </c>
      <c r="L4787" s="6">
        <f>I4787*K4787</f>
        <v/>
      </c>
      <c r="M4787" s="6">
        <f>K4787*4</f>
        <v/>
      </c>
      <c r="N4787" s="6" t="n">
        <v>1069</v>
      </c>
    </row>
    <row r="4788">
      <c r="A4788" s="1" t="inlineStr">
        <is>
          <t>94530225617804</t>
        </is>
      </c>
      <c r="B4788" s="1" t="inlineStr">
        <is>
          <t>ARETES TRIBALES CD</t>
        </is>
      </c>
      <c r="C4788" s="1" t="inlineStr">
        <is>
          <t>Default Title</t>
        </is>
      </c>
      <c r="D4788" s="1" t="inlineStr">
        <is>
          <t>05/09/2025</t>
        </is>
      </c>
      <c r="E4788" s="1" t="n">
        <v>2025</v>
      </c>
      <c r="F4788" s="1" t="inlineStr">
        <is>
          <t>SEPTIEMBRE</t>
        </is>
      </c>
      <c r="G4788" s="1" t="inlineStr">
        <is>
          <t>CYNTHIA</t>
        </is>
      </c>
      <c r="H4788" s="1" t="inlineStr">
        <is>
          <t>CYNTHIA 05/09/2025</t>
        </is>
      </c>
      <c r="I4788" s="4" t="n">
        <v>4</v>
      </c>
      <c r="J4788" s="6" t="n">
        <v>8.800000000000001</v>
      </c>
      <c r="K4788" s="6" t="n">
        <v>221.576053</v>
      </c>
      <c r="L4788" s="6">
        <f>I4788*K4788</f>
        <v/>
      </c>
      <c r="M4788" s="6">
        <f>K4788*4</f>
        <v/>
      </c>
      <c r="N4788" s="6" t="n">
        <v>250</v>
      </c>
    </row>
    <row r="4789">
      <c r="A4789" s="1" t="inlineStr">
        <is>
          <t>94663831026189</t>
        </is>
      </c>
      <c r="B4789" s="1" t="inlineStr">
        <is>
          <t>ARETES MM ROSE GOLD</t>
        </is>
      </c>
      <c r="C4789" s="1" t="inlineStr">
        <is>
          <t>Default Title</t>
        </is>
      </c>
      <c r="D4789" s="1" t="inlineStr">
        <is>
          <t>01/09/2025</t>
        </is>
      </c>
      <c r="E4789" s="1" t="n">
        <v>2025</v>
      </c>
      <c r="F4789" s="1" t="inlineStr">
        <is>
          <t>SEPTIEMBRE</t>
        </is>
      </c>
      <c r="G4789" s="1" t="inlineStr">
        <is>
          <t>HAIFENG</t>
        </is>
      </c>
      <c r="H4789" s="1" t="inlineStr">
        <is>
          <t>HAIFENG 01/09/2025</t>
        </is>
      </c>
      <c r="I4789" s="4" t="n">
        <v>2</v>
      </c>
      <c r="J4789" s="6" t="n">
        <v>7</v>
      </c>
      <c r="K4789" s="6" t="n">
        <v>148.7896974</v>
      </c>
      <c r="L4789" s="6">
        <f>I4789*K4789</f>
        <v/>
      </c>
      <c r="M4789" s="6">
        <f>K4789*4</f>
        <v/>
      </c>
      <c r="N4789" s="6" t="n">
        <v>599</v>
      </c>
    </row>
    <row r="4790">
      <c r="A4790" s="1" t="inlineStr">
        <is>
          <t>94663831026189</t>
        </is>
      </c>
      <c r="B4790" s="1" t="inlineStr">
        <is>
          <t>ARETES MM ROSEGOLD</t>
        </is>
      </c>
      <c r="C4790" s="1" t="inlineStr">
        <is>
          <t>Default Title</t>
        </is>
      </c>
      <c r="D4790" s="1" t="inlineStr">
        <is>
          <t>03/12/2025</t>
        </is>
      </c>
      <c r="E4790" s="1" t="n">
        <v>2025</v>
      </c>
      <c r="F4790" s="1" t="inlineStr">
        <is>
          <t>DICIEMBRE</t>
        </is>
      </c>
      <c r="G4790" s="1" t="inlineStr">
        <is>
          <t>HAIFENG</t>
        </is>
      </c>
      <c r="H4790" s="1" t="inlineStr">
        <is>
          <t>HAIFENG 03/12/2025</t>
        </is>
      </c>
      <c r="I4790" s="4" t="n">
        <v>3</v>
      </c>
      <c r="J4790" s="6" t="n">
        <v>7</v>
      </c>
      <c r="K4790" s="6" t="n">
        <v>146.4201201</v>
      </c>
      <c r="L4790" s="6">
        <f>I4790*K4790</f>
        <v/>
      </c>
      <c r="M4790" s="6">
        <f>K4790*4</f>
        <v/>
      </c>
      <c r="N4790" s="6" t="n">
        <v>599</v>
      </c>
    </row>
    <row r="4791">
      <c r="A4791" s="1" t="inlineStr">
        <is>
          <t>94663831026189</t>
        </is>
      </c>
      <c r="B4791" s="1" t="inlineStr">
        <is>
          <t>ARETES MM ROSEGOLD</t>
        </is>
      </c>
      <c r="C4791" s="1" t="inlineStr">
        <is>
          <t>Default Title</t>
        </is>
      </c>
      <c r="D4791" s="1" t="inlineStr">
        <is>
          <t>26/05/2026</t>
        </is>
      </c>
      <c r="E4791" s="1" t="n">
        <v>2026</v>
      </c>
      <c r="F4791" s="1" t="inlineStr">
        <is>
          <t>MAYO</t>
        </is>
      </c>
      <c r="G4791" s="1" t="inlineStr">
        <is>
          <t>HAIFENG</t>
        </is>
      </c>
      <c r="H4791" s="1" t="inlineStr">
        <is>
          <t>HAIFENG 26/05/2026</t>
        </is>
      </c>
      <c r="I4791" s="4" t="n">
        <v>3</v>
      </c>
      <c r="J4791" s="6" t="n">
        <v>7</v>
      </c>
      <c r="K4791" s="6" t="n">
        <v>146.9250671</v>
      </c>
      <c r="L4791" s="6">
        <f>I4791*K4791</f>
        <v/>
      </c>
      <c r="M4791" s="6">
        <f>K4791*4</f>
        <v/>
      </c>
      <c r="N4791" s="6" t="n">
        <v>599</v>
      </c>
    </row>
    <row r="4792">
      <c r="A4792" s="1" t="inlineStr">
        <is>
          <t>94758097365260</t>
        </is>
      </c>
      <c r="B4792" s="1" t="inlineStr">
        <is>
          <t>CARTERA G SAINT-MARC GREY</t>
        </is>
      </c>
      <c r="C4792" s="1" t="inlineStr">
        <is>
          <t>11cm x 8cm</t>
        </is>
      </c>
      <c r="D4792" s="1" t="inlineStr">
        <is>
          <t>01/09/2025</t>
        </is>
      </c>
      <c r="E4792" s="1" t="n">
        <v>2025</v>
      </c>
      <c r="F4792" s="1" t="inlineStr">
        <is>
          <t>SEPTIEMBRE</t>
        </is>
      </c>
      <c r="G4792" s="1" t="inlineStr">
        <is>
          <t>ZOEY</t>
        </is>
      </c>
      <c r="H4792" s="1" t="inlineStr">
        <is>
          <t>ZOEY 01/09/2025</t>
        </is>
      </c>
      <c r="I4792" s="4" t="n">
        <v>6</v>
      </c>
      <c r="J4792" s="6" t="n">
        <v>15</v>
      </c>
      <c r="K4792" s="6" t="n">
        <v>376.7676691</v>
      </c>
      <c r="L4792" s="6">
        <f>I4792*K4792</f>
        <v/>
      </c>
      <c r="M4792" s="6">
        <f>K4792*4</f>
        <v/>
      </c>
      <c r="N4792" s="6" t="n">
        <v>1599</v>
      </c>
    </row>
    <row r="4793">
      <c r="A4793" s="1" t="inlineStr">
        <is>
          <t>94758097365260</t>
        </is>
      </c>
      <c r="B4793" s="1" t="inlineStr">
        <is>
          <t>CARTERA G SAINT-MARC GREY</t>
        </is>
      </c>
      <c r="C4793" s="1" t="inlineStr">
        <is>
          <t>11cm x 8cm</t>
        </is>
      </c>
      <c r="D4793" s="1" t="inlineStr">
        <is>
          <t>25/10/2025</t>
        </is>
      </c>
      <c r="E4793" s="1" t="n">
        <v>2025</v>
      </c>
      <c r="F4793" s="1" t="inlineStr">
        <is>
          <t>OCTUBRE</t>
        </is>
      </c>
      <c r="G4793" s="1" t="inlineStr">
        <is>
          <t>ZOEY</t>
        </is>
      </c>
      <c r="H4793" s="1" t="inlineStr">
        <is>
          <t>ZOEY 25/10/2025</t>
        </is>
      </c>
      <c r="I4793" s="4" t="n">
        <v>15</v>
      </c>
      <c r="J4793" s="6" t="n">
        <v>15</v>
      </c>
      <c r="K4793" s="6" t="n">
        <v>372.0016396</v>
      </c>
      <c r="L4793" s="6">
        <f>I4793*K4793</f>
        <v/>
      </c>
      <c r="M4793" s="6">
        <f>K4793*4</f>
        <v/>
      </c>
      <c r="N4793" s="6" t="n">
        <v>1599</v>
      </c>
    </row>
    <row r="4794">
      <c r="A4794" s="1" t="inlineStr">
        <is>
          <t>94758097365260</t>
        </is>
      </c>
      <c r="B4794" s="1" t="inlineStr">
        <is>
          <t>CARTERA G SAINT-MARC GREY</t>
        </is>
      </c>
      <c r="C4794" s="1" t="inlineStr">
        <is>
          <t>11cm x 8cm</t>
        </is>
      </c>
      <c r="D4794" s="1" t="inlineStr">
        <is>
          <t>20/01/2026</t>
        </is>
      </c>
      <c r="E4794" s="1" t="n">
        <v>2026</v>
      </c>
      <c r="F4794" s="1" t="inlineStr">
        <is>
          <t>ENERO</t>
        </is>
      </c>
      <c r="G4794" s="1" t="inlineStr">
        <is>
          <t>ZOEY</t>
        </is>
      </c>
      <c r="H4794" s="1" t="inlineStr">
        <is>
          <t>ZOEY 20/01/2026</t>
        </is>
      </c>
      <c r="I4794" s="4" t="n">
        <v>8</v>
      </c>
      <c r="J4794" s="6" t="n">
        <v>15</v>
      </c>
      <c r="K4794" s="6" t="n">
        <v>390.4739905</v>
      </c>
      <c r="L4794" s="6">
        <f>I4794*K4794</f>
        <v/>
      </c>
      <c r="M4794" s="6">
        <f>K4794*4</f>
        <v/>
      </c>
      <c r="N4794" s="6" t="n">
        <v>1599</v>
      </c>
    </row>
    <row r="4795">
      <c r="A4795" s="1" t="inlineStr">
        <is>
          <t>94758097365260</t>
        </is>
      </c>
      <c r="B4795" s="1" t="inlineStr">
        <is>
          <t>CARTERA G SAINT-MARC GREY</t>
        </is>
      </c>
      <c r="C4795" s="1" t="inlineStr">
        <is>
          <t>11cm x 8cm</t>
        </is>
      </c>
      <c r="D4795" s="1" t="inlineStr">
        <is>
          <t>02/03/2026</t>
        </is>
      </c>
      <c r="E4795" s="1" t="n">
        <v>2026</v>
      </c>
      <c r="F4795" s="1" t="inlineStr">
        <is>
          <t>MARZO</t>
        </is>
      </c>
      <c r="G4795" s="1" t="inlineStr">
        <is>
          <t>ZOEY</t>
        </is>
      </c>
      <c r="H4795" s="1" t="inlineStr">
        <is>
          <t>ZOEY 02/03/2026</t>
        </is>
      </c>
      <c r="I4795" s="4" t="n">
        <v>3</v>
      </c>
      <c r="J4795" s="6" t="n">
        <v>15</v>
      </c>
      <c r="K4795" s="6" t="n">
        <v>394.1546358</v>
      </c>
      <c r="L4795" s="6">
        <f>I4795*K4795</f>
        <v/>
      </c>
      <c r="M4795" s="6">
        <f>K4795*4</f>
        <v/>
      </c>
      <c r="N4795" s="6" t="n">
        <v>1599</v>
      </c>
    </row>
    <row r="4796">
      <c r="A4796" s="1" t="inlineStr">
        <is>
          <t>94758097365260</t>
        </is>
      </c>
      <c r="B4796" s="1" t="inlineStr">
        <is>
          <t>CARTERA G SAINT-MARC GREY</t>
        </is>
      </c>
      <c r="C4796" s="1" t="inlineStr">
        <is>
          <t>11cm x 8cm</t>
        </is>
      </c>
      <c r="D4796" s="1" t="inlineStr">
        <is>
          <t>19/03/2026</t>
        </is>
      </c>
      <c r="E4796" s="1" t="n">
        <v>2026</v>
      </c>
      <c r="F4796" s="1" t="inlineStr">
        <is>
          <t>MARZO</t>
        </is>
      </c>
      <c r="G4796" s="1" t="inlineStr">
        <is>
          <t>ZOEY</t>
        </is>
      </c>
      <c r="H4796" s="1" t="inlineStr">
        <is>
          <t>ZOEY 19/03/2026</t>
        </is>
      </c>
      <c r="I4796" s="4" t="n">
        <v>7</v>
      </c>
      <c r="J4796" s="6" t="n">
        <v>15</v>
      </c>
      <c r="K4796" s="6" t="n">
        <v>386.7307442</v>
      </c>
      <c r="L4796" s="6">
        <f>I4796*K4796</f>
        <v/>
      </c>
      <c r="M4796" s="6">
        <f>K4796*4</f>
        <v/>
      </c>
      <c r="N4796" s="6" t="n">
        <v>1599</v>
      </c>
    </row>
    <row r="4797">
      <c r="A4797" s="1" t="inlineStr">
        <is>
          <t>94758097365260</t>
        </is>
      </c>
      <c r="B4797" s="1" t="inlineStr">
        <is>
          <t>CARTERA G SAINT-MARC GREY</t>
        </is>
      </c>
      <c r="C4797" s="1" t="inlineStr">
        <is>
          <t>11cm x 8cm</t>
        </is>
      </c>
      <c r="D4797" s="1" t="inlineStr">
        <is>
          <t>15/05/2026</t>
        </is>
      </c>
      <c r="E4797" s="1" t="n">
        <v>2026</v>
      </c>
      <c r="F4797" s="1" t="inlineStr">
        <is>
          <t>MAYO</t>
        </is>
      </c>
      <c r="G4797" s="1" t="inlineStr">
        <is>
          <t>ZOEY</t>
        </is>
      </c>
      <c r="H4797" s="1" t="inlineStr">
        <is>
          <t>ZOEY 15/05/2026</t>
        </is>
      </c>
      <c r="I4797" s="4" t="n">
        <v>10</v>
      </c>
      <c r="J4797" s="6" t="n">
        <v>15</v>
      </c>
      <c r="K4797" s="6" t="n">
        <v>397.5693673</v>
      </c>
      <c r="L4797" s="6">
        <f>I4797*K4797</f>
        <v/>
      </c>
      <c r="M4797" s="6">
        <f>K4797*4</f>
        <v/>
      </c>
      <c r="N4797" s="6" t="n">
        <v>1599</v>
      </c>
    </row>
    <row r="4798">
      <c r="A4798" s="1" t="inlineStr">
        <is>
          <t>94792221051565</t>
        </is>
      </c>
      <c r="B4798" s="1" t="inlineStr">
        <is>
          <t>ARETES BLOSSOM STAR GOLD</t>
        </is>
      </c>
      <c r="C4798" s="1" t="inlineStr">
        <is>
          <t>REGULAR</t>
        </is>
      </c>
      <c r="D4798" s="1" t="inlineStr">
        <is>
          <t>18/02/2026</t>
        </is>
      </c>
      <c r="E4798" s="1" t="n">
        <v>2026</v>
      </c>
      <c r="F4798" s="1" t="inlineStr">
        <is>
          <t>FEBRERO</t>
        </is>
      </c>
      <c r="G4798" s="1" t="inlineStr">
        <is>
          <t>CYNTHIA</t>
        </is>
      </c>
      <c r="H4798" s="1" t="inlineStr">
        <is>
          <t>CYNTHIA 18/02/2026</t>
        </is>
      </c>
      <c r="I4798" s="4" t="n">
        <v>2</v>
      </c>
      <c r="J4798" s="6" t="n">
        <v>6.8</v>
      </c>
      <c r="K4798" s="6" t="n">
        <v>183.8948834</v>
      </c>
      <c r="L4798" s="6">
        <f>I4798*K4798</f>
        <v/>
      </c>
      <c r="M4798" s="6">
        <f>K4798*4</f>
        <v/>
      </c>
      <c r="N4798" s="6" t="n">
        <v>722</v>
      </c>
    </row>
    <row r="4799">
      <c r="A4799" s="1" t="inlineStr">
        <is>
          <t>94792221051565</t>
        </is>
      </c>
      <c r="B4799" s="1" t="inlineStr">
        <is>
          <t>ARETES BLOSSOM STAR GOLD</t>
        </is>
      </c>
      <c r="C4799" s="1" t="inlineStr">
        <is>
          <t>REGULAR</t>
        </is>
      </c>
      <c r="D4799" s="1" t="inlineStr">
        <is>
          <t>31/05/2026</t>
        </is>
      </c>
      <c r="E4799" s="1" t="n">
        <v>2026</v>
      </c>
      <c r="F4799" s="1" t="inlineStr">
        <is>
          <t>MAYO</t>
        </is>
      </c>
      <c r="G4799" s="1" t="inlineStr">
        <is>
          <t>CYNTHIA</t>
        </is>
      </c>
      <c r="H4799" s="1" t="inlineStr">
        <is>
          <t>CYNTHIA 31/05/2026</t>
        </is>
      </c>
      <c r="I4799" s="4" t="n">
        <v>2</v>
      </c>
      <c r="J4799" s="6" t="n">
        <v>6.8</v>
      </c>
      <c r="K4799" s="6" t="n">
        <v>180.2071058</v>
      </c>
      <c r="L4799" s="6">
        <f>I4799*K4799</f>
        <v/>
      </c>
      <c r="M4799" s="6">
        <f>K4799*4</f>
        <v/>
      </c>
      <c r="N4799" s="6" t="n">
        <v>722</v>
      </c>
    </row>
    <row r="4800">
      <c r="A4800" s="1" t="inlineStr">
        <is>
          <t>94956734303628</t>
        </is>
      </c>
      <c r="B4800" s="1" t="inlineStr">
        <is>
          <t>MONEDERO LV</t>
        </is>
      </c>
      <c r="C4800" s="1" t="inlineStr">
        <is>
          <t>15.5cm de largo x 11cm de alto</t>
        </is>
      </c>
      <c r="D4800" s="1" t="inlineStr">
        <is>
          <t>06/02/2026</t>
        </is>
      </c>
      <c r="E4800" s="1" t="n">
        <v>2026</v>
      </c>
      <c r="F4800" s="1" t="inlineStr">
        <is>
          <t>FEBRERO</t>
        </is>
      </c>
      <c r="G4800" s="1" t="inlineStr">
        <is>
          <t>DINA DU</t>
        </is>
      </c>
      <c r="H4800" s="1" t="inlineStr">
        <is>
          <t>DINA DU 06/02/2026</t>
        </is>
      </c>
      <c r="I4800" s="4" t="n">
        <v>3</v>
      </c>
      <c r="J4800" s="6" t="n">
        <v>13</v>
      </c>
      <c r="K4800" s="6" t="n">
        <v>347.3781476</v>
      </c>
      <c r="L4800" s="6">
        <f>I4800*K4800</f>
        <v/>
      </c>
      <c r="M4800" s="6">
        <f>K4800*4</f>
        <v/>
      </c>
      <c r="N4800" s="6" t="n">
        <v>1410</v>
      </c>
    </row>
    <row r="4801">
      <c r="A4801" s="1" t="inlineStr">
        <is>
          <t>94956734303628</t>
        </is>
      </c>
      <c r="B4801" s="1" t="inlineStr">
        <is>
          <t>MONEDERO LV</t>
        </is>
      </c>
      <c r="C4801" s="1" t="inlineStr">
        <is>
          <t>15.5cm de largo x 11cm de alto</t>
        </is>
      </c>
      <c r="D4801" s="1" t="inlineStr">
        <is>
          <t>27/04/2026</t>
        </is>
      </c>
      <c r="E4801" s="1" t="n">
        <v>2026</v>
      </c>
      <c r="F4801" s="1" t="inlineStr">
        <is>
          <t>ABRIL</t>
        </is>
      </c>
      <c r="G4801" s="1" t="inlineStr">
        <is>
          <t>DINA DU</t>
        </is>
      </c>
      <c r="H4801" s="1" t="inlineStr">
        <is>
          <t>DINA DU 27/04/2026</t>
        </is>
      </c>
      <c r="I4801" s="4" t="n">
        <v>4</v>
      </c>
      <c r="J4801" s="6" t="n">
        <v>13</v>
      </c>
      <c r="K4801" s="6" t="n">
        <v>351.5760657</v>
      </c>
      <c r="L4801" s="6">
        <f>I4801*K4801</f>
        <v/>
      </c>
      <c r="M4801" s="6">
        <f>K4801*4</f>
        <v/>
      </c>
      <c r="N4801" s="6" t="n">
        <v>1410</v>
      </c>
    </row>
    <row r="4802">
      <c r="A4802" s="1" t="inlineStr">
        <is>
          <t>94956736687244</t>
        </is>
      </c>
      <c r="B4802" s="1" t="inlineStr">
        <is>
          <t>BOLSA MINI POCHETTE LV</t>
        </is>
      </c>
      <c r="C4802" s="1" t="inlineStr">
        <is>
          <t>9cm de alto x 15cm de largo x 3cm de ancho</t>
        </is>
      </c>
      <c r="D4802" s="1" t="inlineStr">
        <is>
          <t>06/02/2026</t>
        </is>
      </c>
      <c r="E4802" s="1" t="n">
        <v>2026</v>
      </c>
      <c r="F4802" s="1" t="inlineStr">
        <is>
          <t>FEBRERO</t>
        </is>
      </c>
      <c r="G4802" s="1" t="inlineStr">
        <is>
          <t>DINA DU</t>
        </is>
      </c>
      <c r="H4802" s="1" t="inlineStr">
        <is>
          <t>DINA DU 06/02/2026</t>
        </is>
      </c>
      <c r="I4802" s="4" t="n">
        <v>7</v>
      </c>
      <c r="J4802" s="6" t="n">
        <v>22</v>
      </c>
      <c r="K4802" s="6" t="n">
        <v>587.8707114</v>
      </c>
      <c r="L4802" s="6">
        <f>I4802*K4802</f>
        <v/>
      </c>
      <c r="M4802" s="6">
        <f>K4802*4</f>
        <v/>
      </c>
      <c r="N4802" s="6" t="n">
        <v>2380</v>
      </c>
    </row>
    <row r="4803">
      <c r="A4803" s="1" t="inlineStr">
        <is>
          <t>94956736687244</t>
        </is>
      </c>
      <c r="B4803" s="1" t="inlineStr">
        <is>
          <t>BOLSA MINI POCHETTE LV</t>
        </is>
      </c>
      <c r="C4803" s="1" t="inlineStr">
        <is>
          <t>9cm de alto x 15cm de largo x 3cm de ancho</t>
        </is>
      </c>
      <c r="D4803" s="1" t="inlineStr">
        <is>
          <t>27/04/2026</t>
        </is>
      </c>
      <c r="E4803" s="1" t="n">
        <v>2026</v>
      </c>
      <c r="F4803" s="1" t="inlineStr">
        <is>
          <t>ABRIL</t>
        </is>
      </c>
      <c r="G4803" s="1" t="inlineStr">
        <is>
          <t>DINA DU</t>
        </is>
      </c>
      <c r="H4803" s="1" t="inlineStr">
        <is>
          <t>DINA DU 27/04/2026</t>
        </is>
      </c>
      <c r="I4803" s="4" t="n">
        <v>3</v>
      </c>
      <c r="J4803" s="6" t="n">
        <v>22</v>
      </c>
      <c r="K4803" s="6" t="n">
        <v>594.9748805</v>
      </c>
      <c r="L4803" s="6">
        <f>I4803*K4803</f>
        <v/>
      </c>
      <c r="M4803" s="6">
        <f>K4803*4</f>
        <v/>
      </c>
      <c r="N4803" s="6" t="n">
        <v>2380</v>
      </c>
    </row>
    <row r="4804">
      <c r="A4804" s="1" t="inlineStr">
        <is>
          <t>95383471436684</t>
        </is>
      </c>
      <c r="B4804" s="1" t="inlineStr">
        <is>
          <t>HOODIE C BLACK</t>
        </is>
      </c>
      <c r="C4804" s="1" t="inlineStr">
        <is>
          <t>L</t>
        </is>
      </c>
      <c r="D4804" s="1" t="inlineStr">
        <is>
          <t>21/10/2025</t>
        </is>
      </c>
      <c r="E4804" s="1" t="n">
        <v>2025</v>
      </c>
      <c r="F4804" s="1" t="inlineStr">
        <is>
          <t>OCTUBRE</t>
        </is>
      </c>
      <c r="G4804" s="1" t="inlineStr">
        <is>
          <t>DINA DU</t>
        </is>
      </c>
      <c r="H4804" s="1" t="inlineStr">
        <is>
          <t>DINA DU 21/10/2025</t>
        </is>
      </c>
      <c r="I4804" s="4" t="n">
        <v>5</v>
      </c>
      <c r="J4804" s="6" t="n">
        <v>27</v>
      </c>
      <c r="K4804" s="6" t="n">
        <v>756.9317538</v>
      </c>
      <c r="L4804" s="6">
        <f>I4804*K4804</f>
        <v/>
      </c>
      <c r="M4804" s="6">
        <f>K4804*4</f>
        <v/>
      </c>
      <c r="N4804" s="6" t="n">
        <v>1977</v>
      </c>
    </row>
    <row r="4805">
      <c r="A4805" s="1" t="inlineStr">
        <is>
          <t>95510921069549</t>
        </is>
      </c>
      <c r="B4805" s="1" t="inlineStr">
        <is>
          <t>PERFUME YSL BLACK OPIUM OVER RED</t>
        </is>
      </c>
      <c r="C4805" s="1" t="inlineStr">
        <is>
          <t>Default Title</t>
        </is>
      </c>
      <c r="D4805" s="1" t="inlineStr">
        <is>
          <t>20/04/2026</t>
        </is>
      </c>
      <c r="E4805" s="1" t="n">
        <v>2026</v>
      </c>
      <c r="F4805" s="1" t="inlineStr">
        <is>
          <t>ABRIL</t>
        </is>
      </c>
      <c r="G4805" s="1" t="inlineStr">
        <is>
          <t>ZOEY</t>
        </is>
      </c>
      <c r="H4805" s="1" t="inlineStr">
        <is>
          <t>ZOEY 20/04/2026</t>
        </is>
      </c>
      <c r="I4805" s="4" t="n">
        <v>2</v>
      </c>
      <c r="J4805" s="6" t="n">
        <v>18</v>
      </c>
      <c r="K4805" s="6" t="n">
        <v>460.9580101</v>
      </c>
      <c r="L4805" s="6">
        <f>I4805*K4805</f>
        <v/>
      </c>
      <c r="M4805" s="6">
        <f>K4805*4</f>
        <v/>
      </c>
      <c r="N4805" s="6" t="n">
        <v>1849</v>
      </c>
    </row>
    <row r="4806">
      <c r="A4806" s="1" t="inlineStr">
        <is>
          <t>95510921204013</t>
        </is>
      </c>
      <c r="B4806" s="1" t="inlineStr">
        <is>
          <t>PERFUME CD HOMME INTENSE</t>
        </is>
      </c>
      <c r="C4806" s="1" t="inlineStr">
        <is>
          <t>Default Title</t>
        </is>
      </c>
      <c r="D4806" s="1" t="inlineStr">
        <is>
          <t>20/04/2026</t>
        </is>
      </c>
      <c r="E4806" s="1" t="n">
        <v>2026</v>
      </c>
      <c r="F4806" s="1" t="inlineStr">
        <is>
          <t>ABRIL</t>
        </is>
      </c>
      <c r="G4806" s="1" t="inlineStr">
        <is>
          <t>ZOEY</t>
        </is>
      </c>
      <c r="H4806" s="1" t="inlineStr">
        <is>
          <t>ZOEY 20/04/2026</t>
        </is>
      </c>
      <c r="I4806" s="4" t="n">
        <v>2</v>
      </c>
      <c r="J4806" s="6" t="n">
        <v>18</v>
      </c>
      <c r="K4806" s="6" t="n">
        <v>460.9580101</v>
      </c>
      <c r="L4806" s="6">
        <f>I4806*K4806</f>
        <v/>
      </c>
      <c r="M4806" s="6">
        <f>K4806*4</f>
        <v/>
      </c>
      <c r="N4806" s="6" t="n">
        <v>1999</v>
      </c>
    </row>
    <row r="4807">
      <c r="A4807" s="1" t="inlineStr">
        <is>
          <t>95510921488205</t>
        </is>
      </c>
      <c r="B4807" s="1" t="inlineStr">
        <is>
          <t>PERFUME JEAN PAUL LE MALE</t>
        </is>
      </c>
      <c r="C4807" s="1" t="inlineStr">
        <is>
          <t>Default Title</t>
        </is>
      </c>
      <c r="D4807" s="1" t="inlineStr">
        <is>
          <t>20/04/2026</t>
        </is>
      </c>
      <c r="E4807" s="1" t="n">
        <v>2026</v>
      </c>
      <c r="F4807" s="1" t="inlineStr">
        <is>
          <t>ABRIL</t>
        </is>
      </c>
      <c r="G4807" s="1" t="inlineStr">
        <is>
          <t>ZOEY</t>
        </is>
      </c>
      <c r="H4807" s="1" t="inlineStr">
        <is>
          <t>ZOEY 20/04/2026</t>
        </is>
      </c>
      <c r="I4807" s="4" t="n">
        <v>2</v>
      </c>
      <c r="J4807" s="6" t="n">
        <v>18</v>
      </c>
      <c r="K4807" s="6" t="n">
        <v>460.9580101</v>
      </c>
      <c r="L4807" s="6">
        <f>I4807*K4807</f>
        <v/>
      </c>
      <c r="M4807" s="6">
        <f>K4807*4</f>
        <v/>
      </c>
      <c r="N4807" s="6" t="n">
        <v>1849</v>
      </c>
    </row>
    <row r="4808">
      <c r="A4808" s="1" t="inlineStr">
        <is>
          <t>95510921532845</t>
        </is>
      </c>
      <c r="B4808" s="1" t="inlineStr">
        <is>
          <t>PERFUME CD HYPNOTIC POISON</t>
        </is>
      </c>
      <c r="C4808" s="1" t="inlineStr">
        <is>
          <t>Default Title</t>
        </is>
      </c>
      <c r="D4808" s="1" t="inlineStr">
        <is>
          <t>20/04/2026</t>
        </is>
      </c>
      <c r="E4808" s="1" t="n">
        <v>2026</v>
      </c>
      <c r="F4808" s="1" t="inlineStr">
        <is>
          <t>ABRIL</t>
        </is>
      </c>
      <c r="G4808" s="1" t="inlineStr">
        <is>
          <t>ZOEY</t>
        </is>
      </c>
      <c r="H4808" s="1" t="inlineStr">
        <is>
          <t>ZOEY 20/04/2026</t>
        </is>
      </c>
      <c r="I4808" s="4" t="n">
        <v>2</v>
      </c>
      <c r="J4808" s="6" t="n">
        <v>18</v>
      </c>
      <c r="K4808" s="6" t="n">
        <v>460.9580101</v>
      </c>
      <c r="L4808" s="6">
        <f>I4808*K4808</f>
        <v/>
      </c>
      <c r="M4808" s="6">
        <f>K4808*4</f>
        <v/>
      </c>
      <c r="N4808" s="6" t="n">
        <v>1849</v>
      </c>
    </row>
    <row r="4809">
      <c r="A4809" s="1" t="inlineStr">
        <is>
          <t>95510921532845</t>
        </is>
      </c>
      <c r="B4809" s="1" t="inlineStr">
        <is>
          <t>PERFUME CD HYPNOTIC POISON</t>
        </is>
      </c>
      <c r="C4809" s="1" t="inlineStr">
        <is>
          <t>Default Title</t>
        </is>
      </c>
      <c r="D4809" s="1" t="inlineStr">
        <is>
          <t>08/06/2026</t>
        </is>
      </c>
      <c r="E4809" s="1" t="n">
        <v>2026</v>
      </c>
      <c r="F4809" s="1" t="inlineStr">
        <is>
          <t>JUNIO</t>
        </is>
      </c>
      <c r="G4809" s="1" t="inlineStr">
        <is>
          <t>ZOEY</t>
        </is>
      </c>
      <c r="H4809" s="1" t="inlineStr">
        <is>
          <t>ZOEY 08/06/2026</t>
        </is>
      </c>
      <c r="I4809" s="4" t="n">
        <v>2</v>
      </c>
      <c r="J4809" s="6" t="n">
        <v>18</v>
      </c>
      <c r="K4809" s="6" t="n">
        <v>441.2058562</v>
      </c>
      <c r="L4809" s="6">
        <f>I4809*K4809</f>
        <v/>
      </c>
      <c r="M4809" s="6">
        <f>K4809*4</f>
        <v/>
      </c>
      <c r="N4809" s="6" t="n">
        <v>1849</v>
      </c>
    </row>
    <row r="4810">
      <c r="A4810" s="1" t="inlineStr">
        <is>
          <t>95510922056045</t>
        </is>
      </c>
      <c r="B4810" s="1" t="inlineStr">
        <is>
          <t>PERFUME YSL MYSLF</t>
        </is>
      </c>
      <c r="C4810" s="1" t="inlineStr">
        <is>
          <t>Default Title</t>
        </is>
      </c>
      <c r="D4810" s="1" t="inlineStr">
        <is>
          <t>20/04/2026</t>
        </is>
      </c>
      <c r="E4810" s="1" t="n">
        <v>2026</v>
      </c>
      <c r="F4810" s="1" t="inlineStr">
        <is>
          <t>ABRIL</t>
        </is>
      </c>
      <c r="G4810" s="1" t="inlineStr">
        <is>
          <t>ZOEY</t>
        </is>
      </c>
      <c r="H4810" s="1" t="inlineStr">
        <is>
          <t>ZOEY 20/04/2026</t>
        </is>
      </c>
      <c r="I4810" s="4" t="n">
        <v>2</v>
      </c>
      <c r="J4810" s="6" t="n">
        <v>18</v>
      </c>
      <c r="K4810" s="6" t="n">
        <v>460.9580101</v>
      </c>
      <c r="L4810" s="6">
        <f>I4810*K4810</f>
        <v/>
      </c>
      <c r="M4810" s="6">
        <f>K4810*4</f>
        <v/>
      </c>
      <c r="N4810" s="6" t="n">
        <v>1849</v>
      </c>
    </row>
    <row r="4811">
      <c r="A4811" s="1" t="inlineStr">
        <is>
          <t>95662171066189</t>
        </is>
      </c>
      <c r="B4811" s="1" t="inlineStr">
        <is>
          <t>CARTERA C TRIOMPHE CON SOLAPA</t>
        </is>
      </c>
      <c r="C4811" s="1" t="inlineStr">
        <is>
          <t>Default Title</t>
        </is>
      </c>
      <c r="D4811" s="1" t="inlineStr">
        <is>
          <t>15/05/2026</t>
        </is>
      </c>
      <c r="E4811" s="1" t="n">
        <v>2026</v>
      </c>
      <c r="F4811" s="1" t="inlineStr">
        <is>
          <t>MAYO</t>
        </is>
      </c>
      <c r="G4811" s="1" t="inlineStr">
        <is>
          <t>ZOEY</t>
        </is>
      </c>
      <c r="H4811" s="1" t="inlineStr">
        <is>
          <t>ZOEY 15/05/2026</t>
        </is>
      </c>
      <c r="I4811" s="4" t="n">
        <v>2</v>
      </c>
      <c r="J4811" s="6" t="n">
        <v>22</v>
      </c>
      <c r="K4811" s="6" t="n">
        <v>583.1017387000001</v>
      </c>
      <c r="L4811" s="6">
        <f>I4811*K4811</f>
        <v/>
      </c>
      <c r="M4811" s="6">
        <f>K4811*4</f>
        <v/>
      </c>
      <c r="N4811" s="6" t="n">
        <v>2339</v>
      </c>
    </row>
    <row r="4812">
      <c r="A4812" s="1" t="inlineStr">
        <is>
          <t>95854371043949</t>
        </is>
      </c>
      <c r="B4812" s="1" t="inlineStr">
        <is>
          <t>PULSERA GC BLONDIE GOLD</t>
        </is>
      </c>
      <c r="C4812" s="1" t="inlineStr">
        <is>
          <t>Default Title</t>
        </is>
      </c>
      <c r="D4812" s="1" t="inlineStr">
        <is>
          <t>16/04/2026</t>
        </is>
      </c>
      <c r="E4812" s="1" t="n">
        <v>2026</v>
      </c>
      <c r="F4812" s="1" t="inlineStr">
        <is>
          <t>ABRIL</t>
        </is>
      </c>
      <c r="G4812" s="1" t="inlineStr">
        <is>
          <t>HAIFENG</t>
        </is>
      </c>
      <c r="H4812" s="1" t="inlineStr">
        <is>
          <t>HAIFENG 16/04/2026</t>
        </is>
      </c>
      <c r="I4812" s="4" t="n">
        <v>2</v>
      </c>
      <c r="J4812" s="6" t="n">
        <v>6</v>
      </c>
      <c r="K4812" s="6" t="n">
        <v>126.1888415</v>
      </c>
      <c r="L4812" s="6">
        <f>I4812*K4812</f>
        <v/>
      </c>
      <c r="M4812" s="6">
        <f>K4812*4</f>
        <v/>
      </c>
      <c r="N4812" s="6" t="n">
        <v>499</v>
      </c>
    </row>
    <row r="4813">
      <c r="A4813" s="1" t="inlineStr">
        <is>
          <t>95854381181805</t>
        </is>
      </c>
      <c r="B4813" s="1" t="inlineStr">
        <is>
          <t>ANILLO VF PERLEE CLOVERS</t>
        </is>
      </c>
      <c r="C4813" s="1" t="inlineStr">
        <is>
          <t>7</t>
        </is>
      </c>
      <c r="D4813" s="1" t="inlineStr">
        <is>
          <t>16/04/2026</t>
        </is>
      </c>
      <c r="E4813" s="1" t="n">
        <v>2026</v>
      </c>
      <c r="F4813" s="1" t="inlineStr">
        <is>
          <t>ABRIL</t>
        </is>
      </c>
      <c r="G4813" s="1" t="inlineStr">
        <is>
          <t>HAIFENG</t>
        </is>
      </c>
      <c r="H4813" s="1" t="inlineStr">
        <is>
          <t>HAIFENG 16/04/2026</t>
        </is>
      </c>
      <c r="I4813" s="4" t="n">
        <v>1</v>
      </c>
      <c r="J4813" s="6" t="n">
        <v>6.99</v>
      </c>
      <c r="K4813" s="6" t="n">
        <v>147.0100004</v>
      </c>
      <c r="L4813" s="6">
        <f>I4813*K4813</f>
        <v/>
      </c>
      <c r="M4813" s="6">
        <f>K4813*4</f>
        <v/>
      </c>
      <c r="N4813" s="6" t="n">
        <v>599</v>
      </c>
    </row>
    <row r="4814">
      <c r="A4814" s="1" t="inlineStr">
        <is>
          <t>95854381283501</t>
        </is>
      </c>
      <c r="B4814" s="1" t="inlineStr">
        <is>
          <t>ANILLO VF 1FLOR</t>
        </is>
      </c>
      <c r="C4814" s="1" t="inlineStr">
        <is>
          <t>7</t>
        </is>
      </c>
      <c r="D4814" s="1" t="inlineStr">
        <is>
          <t>16/04/2026</t>
        </is>
      </c>
      <c r="E4814" s="1" t="n">
        <v>2026</v>
      </c>
      <c r="F4814" s="1" t="inlineStr">
        <is>
          <t>ABRIL</t>
        </is>
      </c>
      <c r="G4814" s="1" t="inlineStr">
        <is>
          <t>HAIFENG</t>
        </is>
      </c>
      <c r="H4814" s="1" t="inlineStr">
        <is>
          <t>HAIFENG 16/04/2026</t>
        </is>
      </c>
      <c r="I4814" s="4" t="n">
        <v>2</v>
      </c>
      <c r="J4814" s="6" t="n">
        <v>6.99</v>
      </c>
      <c r="K4814" s="6" t="n">
        <v>147.0100004</v>
      </c>
      <c r="L4814" s="6">
        <f>I4814*K4814</f>
        <v/>
      </c>
      <c r="M4814" s="6">
        <f>K4814*4</f>
        <v/>
      </c>
      <c r="N4814" s="6" t="n">
        <v>599</v>
      </c>
    </row>
    <row r="4815">
      <c r="A4815" s="1" t="inlineStr">
        <is>
          <t>95854381352429</t>
        </is>
      </c>
      <c r="B4815" s="1" t="inlineStr">
        <is>
          <t>ANILLO VF VINTAGE ALHAMBRA</t>
        </is>
      </c>
      <c r="C4815" s="1" t="inlineStr">
        <is>
          <t>7</t>
        </is>
      </c>
      <c r="D4815" s="1" t="inlineStr">
        <is>
          <t>16/04/2026</t>
        </is>
      </c>
      <c r="E4815" s="1" t="n">
        <v>2026</v>
      </c>
      <c r="F4815" s="1" t="inlineStr">
        <is>
          <t>ABRIL</t>
        </is>
      </c>
      <c r="G4815" s="1" t="inlineStr">
        <is>
          <t>HAIFENG</t>
        </is>
      </c>
      <c r="H4815" s="1" t="inlineStr">
        <is>
          <t>HAIFENG 16/04/2026</t>
        </is>
      </c>
      <c r="I4815" s="4" t="n">
        <v>2</v>
      </c>
      <c r="J4815" s="6" t="n">
        <v>5.99</v>
      </c>
      <c r="K4815" s="6" t="n">
        <v>125.9785268</v>
      </c>
      <c r="L4815" s="6">
        <f>I4815*K4815</f>
        <v/>
      </c>
      <c r="M4815" s="6">
        <f>K4815*4</f>
        <v/>
      </c>
      <c r="N4815" s="6" t="n">
        <v>499</v>
      </c>
    </row>
    <row r="4816">
      <c r="A4816" s="1" t="inlineStr">
        <is>
          <t>95854381428141</t>
        </is>
      </c>
      <c r="B4816" s="1" t="inlineStr">
        <is>
          <t>PULSERA VF FRIVOLE</t>
        </is>
      </c>
      <c r="C4816" s="1" t="inlineStr">
        <is>
          <t>Default Title</t>
        </is>
      </c>
      <c r="D4816" s="1" t="inlineStr">
        <is>
          <t>16/04/2026</t>
        </is>
      </c>
      <c r="E4816" s="1" t="n">
        <v>2026</v>
      </c>
      <c r="F4816" s="1" t="inlineStr">
        <is>
          <t>ABRIL</t>
        </is>
      </c>
      <c r="G4816" s="1" t="inlineStr">
        <is>
          <t>HAIFENG</t>
        </is>
      </c>
      <c r="H4816" s="1" t="inlineStr">
        <is>
          <t>HAIFENG 16/04/2026</t>
        </is>
      </c>
      <c r="I4816" s="4" t="n">
        <v>3</v>
      </c>
      <c r="J4816" s="6" t="n">
        <v>6</v>
      </c>
      <c r="K4816" s="6" t="n">
        <v>126.1888415</v>
      </c>
      <c r="L4816" s="6">
        <f>I4816*K4816</f>
        <v/>
      </c>
      <c r="M4816" s="6">
        <f>K4816*4</f>
        <v/>
      </c>
      <c r="N4816" s="6" t="n">
        <v>499</v>
      </c>
    </row>
    <row r="4817">
      <c r="A4817" s="1" t="inlineStr">
        <is>
          <t>95854381581261</t>
        </is>
      </c>
      <c r="B4817" s="1" t="inlineStr">
        <is>
          <t>PULSERA VF VINTAGE ALHAMBRA</t>
        </is>
      </c>
      <c r="C4817" s="1" t="inlineStr">
        <is>
          <t>Default Title</t>
        </is>
      </c>
      <c r="D4817" s="1" t="inlineStr">
        <is>
          <t>16/04/2026</t>
        </is>
      </c>
      <c r="E4817" s="1" t="n">
        <v>2026</v>
      </c>
      <c r="F4817" s="1" t="inlineStr">
        <is>
          <t>ABRIL</t>
        </is>
      </c>
      <c r="G4817" s="1" t="inlineStr">
        <is>
          <t>HAIFENG</t>
        </is>
      </c>
      <c r="H4817" s="1" t="inlineStr">
        <is>
          <t>HAIFENG 16/04/2026</t>
        </is>
      </c>
      <c r="I4817" s="4" t="n">
        <v>3</v>
      </c>
      <c r="J4817" s="6" t="n">
        <v>7</v>
      </c>
      <c r="K4817" s="6" t="n">
        <v>147.2203151</v>
      </c>
      <c r="L4817" s="6">
        <f>I4817*K4817</f>
        <v/>
      </c>
      <c r="M4817" s="6">
        <f>K4817*4</f>
        <v/>
      </c>
      <c r="N4817" s="6" t="n">
        <v>599</v>
      </c>
    </row>
    <row r="4818">
      <c r="A4818" s="1" t="inlineStr">
        <is>
          <t>95854381684653</t>
        </is>
      </c>
      <c r="B4818" s="1" t="inlineStr">
        <is>
          <t>PULSERA VF LUCKY SPRING SINGLE ROSE GOLD</t>
        </is>
      </c>
      <c r="C4818" s="1" t="inlineStr">
        <is>
          <t>Default Title</t>
        </is>
      </c>
      <c r="D4818" s="1" t="inlineStr">
        <is>
          <t>16/04/2026</t>
        </is>
      </c>
      <c r="E4818" s="1" t="n">
        <v>2026</v>
      </c>
      <c r="F4818" s="1" t="inlineStr">
        <is>
          <t>ABRIL</t>
        </is>
      </c>
      <c r="G4818" s="1" t="inlineStr">
        <is>
          <t>HAIFENG</t>
        </is>
      </c>
      <c r="H4818" s="1" t="inlineStr">
        <is>
          <t>HAIFENG 16/04/2026</t>
        </is>
      </c>
      <c r="I4818" s="4" t="n">
        <v>3</v>
      </c>
      <c r="J4818" s="6" t="n">
        <v>4</v>
      </c>
      <c r="K4818" s="6" t="n">
        <v>84.12589436</v>
      </c>
      <c r="L4818" s="6">
        <f>I4818*K4818</f>
        <v/>
      </c>
      <c r="M4818" s="6">
        <f>K4818*4</f>
        <v/>
      </c>
      <c r="N4818" s="6" t="n">
        <v>400</v>
      </c>
    </row>
    <row r="4819">
      <c r="A4819" s="1" t="inlineStr">
        <is>
          <t>95854381684653</t>
        </is>
      </c>
      <c r="B4819" s="1" t="inlineStr">
        <is>
          <t>PULSERA VF LUCKY SPRING SINGLE ROSE GOLD</t>
        </is>
      </c>
      <c r="C4819" s="1" t="inlineStr">
        <is>
          <t>Default Title</t>
        </is>
      </c>
      <c r="D4819" s="1" t="inlineStr">
        <is>
          <t>16/06/2026</t>
        </is>
      </c>
      <c r="E4819" s="1" t="n">
        <v>2026</v>
      </c>
      <c r="F4819" s="1" t="inlineStr">
        <is>
          <t>JUNIO</t>
        </is>
      </c>
      <c r="G4819" s="1" t="inlineStr">
        <is>
          <t>HAIFENG</t>
        </is>
      </c>
      <c r="H4819" s="1" t="inlineStr">
        <is>
          <t>HAIFENG 16/06/2026</t>
        </is>
      </c>
      <c r="I4819" s="4" t="n">
        <v>3</v>
      </c>
      <c r="J4819" s="6" t="n">
        <v>4</v>
      </c>
      <c r="K4819" s="6" t="n">
        <v>84.05842584</v>
      </c>
      <c r="L4819" s="6">
        <f>I4819*K4819</f>
        <v/>
      </c>
      <c r="M4819" s="6">
        <f>K4819*4</f>
        <v/>
      </c>
      <c r="N4819" s="6" t="n">
        <v>400</v>
      </c>
    </row>
    <row r="4820">
      <c r="A4820" s="1" t="inlineStr">
        <is>
          <t>95854381747949</t>
        </is>
      </c>
      <c r="B4820" s="1" t="inlineStr">
        <is>
          <t>COLLAR VF PERLEE GOLD</t>
        </is>
      </c>
      <c r="C4820" s="1" t="inlineStr">
        <is>
          <t>Default Title</t>
        </is>
      </c>
      <c r="D4820" s="1" t="inlineStr">
        <is>
          <t>16/04/2026</t>
        </is>
      </c>
      <c r="E4820" s="1" t="n">
        <v>2026</v>
      </c>
      <c r="F4820" s="1" t="inlineStr">
        <is>
          <t>ABRIL</t>
        </is>
      </c>
      <c r="G4820" s="1" t="inlineStr">
        <is>
          <t>HAIFENG</t>
        </is>
      </c>
      <c r="H4820" s="1" t="inlineStr">
        <is>
          <t>HAIFENG 16/04/2026</t>
        </is>
      </c>
      <c r="I4820" s="4" t="n">
        <v>2</v>
      </c>
      <c r="J4820" s="6" t="n">
        <v>6.5</v>
      </c>
      <c r="K4820" s="6" t="n">
        <v>136.7045783</v>
      </c>
      <c r="L4820" s="6">
        <f>I4820*K4820</f>
        <v/>
      </c>
      <c r="M4820" s="6">
        <f>K4820*4</f>
        <v/>
      </c>
      <c r="N4820" s="6" t="n">
        <v>550</v>
      </c>
    </row>
    <row r="4821">
      <c r="A4821" s="1" t="inlineStr">
        <is>
          <t>95854381915181</t>
        </is>
      </c>
      <c r="B4821" s="1" t="inlineStr">
        <is>
          <t>COLLAR VF SWEET HEARTS ROSE GOLD</t>
        </is>
      </c>
      <c r="C4821" s="1" t="inlineStr">
        <is>
          <t>Default Title</t>
        </is>
      </c>
      <c r="D4821" s="1" t="inlineStr">
        <is>
          <t>16/04/2026</t>
        </is>
      </c>
      <c r="E4821" s="1" t="n">
        <v>2026</v>
      </c>
      <c r="F4821" s="1" t="inlineStr">
        <is>
          <t>ABRIL</t>
        </is>
      </c>
      <c r="G4821" s="1" t="inlineStr">
        <is>
          <t>HAIFENG</t>
        </is>
      </c>
      <c r="H4821" s="1" t="inlineStr">
        <is>
          <t>HAIFENG 16/04/2026</t>
        </is>
      </c>
      <c r="I4821" s="4" t="n">
        <v>2</v>
      </c>
      <c r="J4821" s="6" t="n">
        <v>4</v>
      </c>
      <c r="K4821" s="6" t="n">
        <v>84.12589436</v>
      </c>
      <c r="L4821" s="6">
        <f>I4821*K4821</f>
        <v/>
      </c>
      <c r="M4821" s="6">
        <f>K4821*4</f>
        <v/>
      </c>
      <c r="N4821" s="6" t="n">
        <v>400</v>
      </c>
    </row>
    <row r="4822">
      <c r="A4822" s="1" t="inlineStr">
        <is>
          <t>95854382018573</t>
        </is>
      </c>
      <c r="B4822" s="1" t="inlineStr">
        <is>
          <t>COLLAR VF BUTTERFLIES</t>
        </is>
      </c>
      <c r="C4822" s="1" t="inlineStr">
        <is>
          <t>Default Title</t>
        </is>
      </c>
      <c r="D4822" s="1" t="inlineStr">
        <is>
          <t>16/04/2026</t>
        </is>
      </c>
      <c r="E4822" s="1" t="n">
        <v>2026</v>
      </c>
      <c r="F4822" s="1" t="inlineStr">
        <is>
          <t>ABRIL</t>
        </is>
      </c>
      <c r="G4822" s="1" t="inlineStr">
        <is>
          <t>HAIFENG</t>
        </is>
      </c>
      <c r="H4822" s="1" t="inlineStr">
        <is>
          <t>HAIFENG 16/04/2026</t>
        </is>
      </c>
      <c r="I4822" s="4" t="n">
        <v>2</v>
      </c>
      <c r="J4822" s="6" t="n">
        <v>5</v>
      </c>
      <c r="K4822" s="6" t="n">
        <v>105.1573679</v>
      </c>
      <c r="L4822" s="6">
        <f>I4822*K4822</f>
        <v/>
      </c>
      <c r="M4822" s="6">
        <f>K4822*4</f>
        <v/>
      </c>
      <c r="N4822" s="6" t="n">
        <v>450</v>
      </c>
    </row>
    <row r="4823">
      <c r="A4823" s="1" t="inlineStr">
        <is>
          <t>95854382120269</t>
        </is>
      </c>
      <c r="B4823" s="1" t="inlineStr">
        <is>
          <t>COLLAR VF BUTTERFLY SILVER</t>
        </is>
      </c>
      <c r="C4823" s="1" t="inlineStr">
        <is>
          <t>Default Title</t>
        </is>
      </c>
      <c r="D4823" s="1" t="inlineStr">
        <is>
          <t>16/04/2026</t>
        </is>
      </c>
      <c r="E4823" s="1" t="n">
        <v>2026</v>
      </c>
      <c r="F4823" s="1" t="inlineStr">
        <is>
          <t>ABRIL</t>
        </is>
      </c>
      <c r="G4823" s="1" t="inlineStr">
        <is>
          <t>HAIFENG</t>
        </is>
      </c>
      <c r="H4823" s="1" t="inlineStr">
        <is>
          <t>HAIFENG 16/04/2026</t>
        </is>
      </c>
      <c r="I4823" s="4" t="n">
        <v>2</v>
      </c>
      <c r="J4823" s="6" t="n">
        <v>6</v>
      </c>
      <c r="K4823" s="6" t="n">
        <v>126.1888415</v>
      </c>
      <c r="L4823" s="6">
        <f>I4823*K4823</f>
        <v/>
      </c>
      <c r="M4823" s="6">
        <f>K4823*4</f>
        <v/>
      </c>
      <c r="N4823" s="6" t="n">
        <v>499</v>
      </c>
    </row>
    <row r="4824">
      <c r="A4824" s="1" t="inlineStr">
        <is>
          <t>95854382223661</t>
        </is>
      </c>
      <c r="B4824" s="1" t="inlineStr">
        <is>
          <t>COLLAR VF FRIVOLE GOLD</t>
        </is>
      </c>
      <c r="C4824" s="1" t="inlineStr">
        <is>
          <t>Default Title</t>
        </is>
      </c>
      <c r="D4824" s="1" t="inlineStr">
        <is>
          <t>16/04/2026</t>
        </is>
      </c>
      <c r="E4824" s="1" t="n">
        <v>2026</v>
      </c>
      <c r="F4824" s="1" t="inlineStr">
        <is>
          <t>ABRIL</t>
        </is>
      </c>
      <c r="G4824" s="1" t="inlineStr">
        <is>
          <t>HAIFENG</t>
        </is>
      </c>
      <c r="H4824" s="1" t="inlineStr">
        <is>
          <t>HAIFENG 16/04/2026</t>
        </is>
      </c>
      <c r="I4824" s="4" t="n">
        <v>2</v>
      </c>
      <c r="J4824" s="6" t="n">
        <v>4</v>
      </c>
      <c r="K4824" s="6" t="n">
        <v>84.12589436</v>
      </c>
      <c r="L4824" s="6">
        <f>I4824*K4824</f>
        <v/>
      </c>
      <c r="M4824" s="6">
        <f>K4824*4</f>
        <v/>
      </c>
      <c r="N4824" s="6" t="n">
        <v>499</v>
      </c>
    </row>
    <row r="4825">
      <c r="A4825" s="1" t="inlineStr">
        <is>
          <t>95854382325357</t>
        </is>
      </c>
      <c r="B4825" s="1" t="inlineStr">
        <is>
          <t>COLLAR VF VINTAGE GOLD</t>
        </is>
      </c>
      <c r="C4825" s="1" t="inlineStr">
        <is>
          <t>Default Title</t>
        </is>
      </c>
      <c r="D4825" s="1" t="inlineStr">
        <is>
          <t>16/04/2026</t>
        </is>
      </c>
      <c r="E4825" s="1" t="n">
        <v>2026</v>
      </c>
      <c r="F4825" s="1" t="inlineStr">
        <is>
          <t>ABRIL</t>
        </is>
      </c>
      <c r="G4825" s="1" t="inlineStr">
        <is>
          <t>HAIFENG</t>
        </is>
      </c>
      <c r="H4825" s="1" t="inlineStr">
        <is>
          <t>HAIFENG 16/04/2026</t>
        </is>
      </c>
      <c r="I4825" s="4" t="n">
        <v>2</v>
      </c>
      <c r="J4825" s="6" t="n">
        <v>4</v>
      </c>
      <c r="K4825" s="6" t="n">
        <v>84.12589436</v>
      </c>
      <c r="L4825" s="6">
        <f>I4825*K4825</f>
        <v/>
      </c>
      <c r="M4825" s="6">
        <f>K4825*4</f>
        <v/>
      </c>
      <c r="N4825" s="6" t="n">
        <v>400</v>
      </c>
    </row>
    <row r="4826">
      <c r="A4826" s="1" t="inlineStr">
        <is>
          <t>95854382461517</t>
        </is>
      </c>
      <c r="B4826" s="1" t="inlineStr">
        <is>
          <t>ARETES VF BUTTERFLIES</t>
        </is>
      </c>
      <c r="C4826" s="1" t="inlineStr">
        <is>
          <t>Default Title</t>
        </is>
      </c>
      <c r="D4826" s="1" t="inlineStr">
        <is>
          <t>16/04/2026</t>
        </is>
      </c>
      <c r="E4826" s="1" t="n">
        <v>2026</v>
      </c>
      <c r="F4826" s="1" t="inlineStr">
        <is>
          <t>ABRIL</t>
        </is>
      </c>
      <c r="G4826" s="1" t="inlineStr">
        <is>
          <t>HAIFENG</t>
        </is>
      </c>
      <c r="H4826" s="1" t="inlineStr">
        <is>
          <t>HAIFENG 16/04/2026</t>
        </is>
      </c>
      <c r="I4826" s="4" t="n">
        <v>2</v>
      </c>
      <c r="J4826" s="6" t="n">
        <v>6</v>
      </c>
      <c r="K4826" s="6" t="n">
        <v>126.1888415</v>
      </c>
      <c r="L4826" s="6">
        <f>I4826*K4826</f>
        <v/>
      </c>
      <c r="M4826" s="6">
        <f>K4826*4</f>
        <v/>
      </c>
      <c r="N4826" s="6" t="n">
        <v>499</v>
      </c>
    </row>
    <row r="4827">
      <c r="A4827" s="1" t="inlineStr">
        <is>
          <t>95854382461517</t>
        </is>
      </c>
      <c r="B4827" s="1" t="inlineStr">
        <is>
          <t>ARETES VF BUTTERFLIES</t>
        </is>
      </c>
      <c r="C4827" s="1" t="inlineStr">
        <is>
          <t>Default Title</t>
        </is>
      </c>
      <c r="D4827" s="1" t="inlineStr">
        <is>
          <t>16/06/2026</t>
        </is>
      </c>
      <c r="E4827" s="1" t="n">
        <v>2026</v>
      </c>
      <c r="F4827" s="1" t="inlineStr">
        <is>
          <t>JUNIO</t>
        </is>
      </c>
      <c r="G4827" s="1" t="inlineStr">
        <is>
          <t>HAIFENG</t>
        </is>
      </c>
      <c r="H4827" s="1" t="inlineStr">
        <is>
          <t>HAIFENG 16/06/2026</t>
        </is>
      </c>
      <c r="I4827" s="4" t="n">
        <v>3</v>
      </c>
      <c r="J4827" s="6" t="n">
        <v>6</v>
      </c>
      <c r="K4827" s="6" t="n">
        <v>126.0876388</v>
      </c>
      <c r="L4827" s="6">
        <f>I4827*K4827</f>
        <v/>
      </c>
      <c r="M4827" s="6">
        <f>K4827*4</f>
        <v/>
      </c>
      <c r="N4827" s="6" t="n">
        <v>499</v>
      </c>
    </row>
    <row r="4828">
      <c r="A4828" s="1" t="inlineStr">
        <is>
          <t>95854382554189</t>
        </is>
      </c>
      <c r="B4828" s="1" t="inlineStr">
        <is>
          <t>ANILLO TRINITY TRICOLOR</t>
        </is>
      </c>
      <c r="C4828" s="1" t="inlineStr">
        <is>
          <t>7</t>
        </is>
      </c>
      <c r="D4828" s="1" t="inlineStr">
        <is>
          <t>16/04/2026</t>
        </is>
      </c>
      <c r="E4828" s="1" t="n">
        <v>2026</v>
      </c>
      <c r="F4828" s="1" t="inlineStr">
        <is>
          <t>ABRIL</t>
        </is>
      </c>
      <c r="G4828" s="1" t="inlineStr">
        <is>
          <t>HAIFENG</t>
        </is>
      </c>
      <c r="H4828" s="1" t="inlineStr">
        <is>
          <t>HAIFENG 16/04/2026</t>
        </is>
      </c>
      <c r="I4828" s="4" t="n">
        <v>2</v>
      </c>
      <c r="J4828" s="6" t="n">
        <v>7.5</v>
      </c>
      <c r="K4828" s="6" t="n">
        <v>157.7360519</v>
      </c>
      <c r="L4828" s="6">
        <f>I4828*K4828</f>
        <v/>
      </c>
      <c r="M4828" s="6">
        <f>K4828*4</f>
        <v/>
      </c>
      <c r="N4828" s="6" t="n">
        <v>650</v>
      </c>
    </row>
    <row r="4829">
      <c r="A4829" s="1" t="inlineStr">
        <is>
          <t>96547211050721</t>
        </is>
      </c>
      <c r="B4829" s="1" t="n"/>
      <c r="C4829" s="1" t="inlineStr">
        <is>
          <t>6 titanio</t>
        </is>
      </c>
      <c r="D4829" s="1" t="inlineStr">
        <is>
          <t>10/02/2026</t>
        </is>
      </c>
      <c r="E4829" s="1" t="n">
        <v>2026</v>
      </c>
      <c r="F4829" s="1" t="inlineStr">
        <is>
          <t>FEBRERO</t>
        </is>
      </c>
      <c r="G4829" s="1" t="inlineStr">
        <is>
          <t>HAIFENG</t>
        </is>
      </c>
      <c r="H4829" s="1" t="inlineStr">
        <is>
          <t>HAIFENG 10/02/2026</t>
        </is>
      </c>
      <c r="I4829" s="4" t="n">
        <v>1</v>
      </c>
      <c r="J4829" s="6" t="n">
        <v>4</v>
      </c>
      <c r="K4829" s="6" t="n">
        <v>84.27398426000001</v>
      </c>
      <c r="L4829" s="6">
        <f>I4829*K4829</f>
        <v/>
      </c>
      <c r="M4829" s="6">
        <f>K4829*4</f>
        <v/>
      </c>
      <c r="N4829" s="6" t="n">
        <v>572</v>
      </c>
    </row>
    <row r="4830">
      <c r="A4830" s="1" t="inlineStr">
        <is>
          <t>96547211050721</t>
        </is>
      </c>
      <c r="B4830" s="1" t="inlineStr">
        <is>
          <t>ANILLO ONE T GOLD</t>
        </is>
      </c>
      <c r="C4830" s="1" t="inlineStr">
        <is>
          <t>6 titanio</t>
        </is>
      </c>
      <c r="D4830" s="1" t="inlineStr">
        <is>
          <t>16/06/2026</t>
        </is>
      </c>
      <c r="E4830" s="1" t="n">
        <v>2026</v>
      </c>
      <c r="F4830" s="1" t="inlineStr">
        <is>
          <t>JUNIO</t>
        </is>
      </c>
      <c r="G4830" s="1" t="inlineStr">
        <is>
          <t>HAIFENG</t>
        </is>
      </c>
      <c r="H4830" s="1" t="inlineStr">
        <is>
          <t>HAIFENG 16/06/2026</t>
        </is>
      </c>
      <c r="I4830" s="4" t="n">
        <v>2</v>
      </c>
      <c r="J4830" s="6" t="n">
        <v>4</v>
      </c>
      <c r="K4830" s="6" t="n">
        <v>84.05842584</v>
      </c>
      <c r="L4830" s="6">
        <f>I4830*K4830</f>
        <v/>
      </c>
      <c r="M4830" s="6">
        <f>K4830*4</f>
        <v/>
      </c>
      <c r="N4830" s="6" t="n">
        <v>572</v>
      </c>
    </row>
    <row r="4831">
      <c r="A4831" s="1" t="inlineStr">
        <is>
          <t>96676174592652</t>
        </is>
      </c>
      <c r="B4831" s="1" t="inlineStr">
        <is>
          <t>BOLSO C CLAUDE BLACK</t>
        </is>
      </c>
      <c r="C4831" s="1" t="n"/>
      <c r="D4831" s="1" t="inlineStr">
        <is>
          <t>27/04/2026</t>
        </is>
      </c>
      <c r="E4831" s="1" t="n">
        <v>2026</v>
      </c>
      <c r="F4831" s="1" t="inlineStr">
        <is>
          <t>ABRIL</t>
        </is>
      </c>
      <c r="G4831" s="1" t="inlineStr">
        <is>
          <t>CYNTHIA</t>
        </is>
      </c>
      <c r="H4831" s="1" t="inlineStr">
        <is>
          <t>CYNTHIA 27/04/2026</t>
        </is>
      </c>
      <c r="I4831" s="4" t="n">
        <v>1</v>
      </c>
      <c r="J4831" s="6" t="n">
        <v>48</v>
      </c>
      <c r="K4831" s="6" t="n">
        <v>1245.604446</v>
      </c>
      <c r="L4831" s="6">
        <f>I4831*K4831</f>
        <v/>
      </c>
      <c r="M4831" s="6">
        <f>K4831*4</f>
        <v/>
      </c>
      <c r="N4831" s="6" t="n"/>
    </row>
    <row r="4832">
      <c r="A4832" s="1" t="inlineStr">
        <is>
          <t>97902501045901</t>
        </is>
      </c>
      <c r="B4832" s="1" t="inlineStr">
        <is>
          <t>ANILLO TB GOLD</t>
        </is>
      </c>
      <c r="C4832" s="1" t="n">
        <v>6</v>
      </c>
      <c r="D4832" s="1" t="inlineStr">
        <is>
          <t>06/09/2025</t>
        </is>
      </c>
      <c r="E4832" s="1" t="n">
        <v>2025</v>
      </c>
      <c r="F4832" s="1" t="inlineStr">
        <is>
          <t>SEPTIEMBRE</t>
        </is>
      </c>
      <c r="G4832" s="1" t="inlineStr">
        <is>
          <t>NANCY</t>
        </is>
      </c>
      <c r="H4832" s="1" t="inlineStr">
        <is>
          <t>NANCY 06/09/2025</t>
        </is>
      </c>
      <c r="I4832" s="4" t="n">
        <v>3</v>
      </c>
      <c r="J4832" s="6" t="n">
        <v>2.99</v>
      </c>
      <c r="K4832" s="6" t="n">
        <v>69.62412216</v>
      </c>
      <c r="L4832" s="6">
        <f>I4832*K4832</f>
        <v/>
      </c>
      <c r="M4832" s="6">
        <f>K4832*4</f>
        <v/>
      </c>
      <c r="N4832" s="6" t="n">
        <v>450</v>
      </c>
    </row>
    <row r="4833">
      <c r="A4833" s="1" t="inlineStr">
        <is>
          <t>98043701041197</t>
        </is>
      </c>
      <c r="B4833" s="1" t="inlineStr">
        <is>
          <t>PULSERA DE TENNIS ESSENTIAL GOLD</t>
        </is>
      </c>
      <c r="C4833" s="1" t="inlineStr">
        <is>
          <t>16.5</t>
        </is>
      </c>
      <c r="D4833" s="1" t="inlineStr">
        <is>
          <t>19/03/2026</t>
        </is>
      </c>
      <c r="E4833" s="1" t="n">
        <v>2026</v>
      </c>
      <c r="F4833" s="1" t="inlineStr">
        <is>
          <t>MARZO</t>
        </is>
      </c>
      <c r="G4833" s="1" t="inlineStr">
        <is>
          <t>CYNTHIA</t>
        </is>
      </c>
      <c r="H4833" s="1" t="inlineStr">
        <is>
          <t>CYNTHIA 19/03/2026</t>
        </is>
      </c>
      <c r="I4833" s="4" t="n">
        <v>10</v>
      </c>
      <c r="J4833" s="6" t="n">
        <v>4.98</v>
      </c>
      <c r="K4833" s="6" t="n">
        <v>133.7499307</v>
      </c>
      <c r="L4833" s="6">
        <f>I4833*K4833</f>
        <v/>
      </c>
      <c r="M4833" s="6">
        <f>K4833*4</f>
        <v/>
      </c>
      <c r="N4833" s="6" t="n">
        <v>450</v>
      </c>
    </row>
    <row r="4834">
      <c r="A4834" s="1" t="inlineStr">
        <is>
          <t>98043701173965</t>
        </is>
      </c>
      <c r="B4834" s="1" t="inlineStr">
        <is>
          <t>PULSERA DE TENNIS ESSENTIAL GOLD</t>
        </is>
      </c>
      <c r="C4834" s="1" t="inlineStr">
        <is>
          <t>17.5</t>
        </is>
      </c>
      <c r="D4834" s="1" t="inlineStr">
        <is>
          <t>19/03/2026</t>
        </is>
      </c>
      <c r="E4834" s="1" t="n">
        <v>2026</v>
      </c>
      <c r="F4834" s="1" t="inlineStr">
        <is>
          <t>MARZO</t>
        </is>
      </c>
      <c r="G4834" s="1" t="inlineStr">
        <is>
          <t>CYNTHIA</t>
        </is>
      </c>
      <c r="H4834" s="1" t="inlineStr">
        <is>
          <t>CYNTHIA 19/03/2026</t>
        </is>
      </c>
      <c r="I4834" s="4" t="n">
        <v>10</v>
      </c>
      <c r="J4834" s="6" t="n">
        <v>4.98</v>
      </c>
      <c r="K4834" s="6" t="n">
        <v>133.7499307</v>
      </c>
      <c r="L4834" s="6">
        <f>I4834*K4834</f>
        <v/>
      </c>
      <c r="M4834" s="6">
        <f>K4834*4</f>
        <v/>
      </c>
      <c r="N4834" s="6" t="n">
        <v>450</v>
      </c>
    </row>
    <row r="4835">
      <c r="A4835" s="1" t="inlineStr">
        <is>
          <t>98043701215213</t>
        </is>
      </c>
      <c r="B4835" s="1" t="inlineStr">
        <is>
          <t>PULSERA DE TENNIS ESSENTIAL SILVER</t>
        </is>
      </c>
      <c r="C4835" s="1" t="inlineStr">
        <is>
          <t>16.5</t>
        </is>
      </c>
      <c r="D4835" s="1" t="inlineStr">
        <is>
          <t>19/03/2026</t>
        </is>
      </c>
      <c r="E4835" s="1" t="n">
        <v>2026</v>
      </c>
      <c r="F4835" s="1" t="inlineStr">
        <is>
          <t>MARZO</t>
        </is>
      </c>
      <c r="G4835" s="1" t="inlineStr">
        <is>
          <t>CYNTHIA</t>
        </is>
      </c>
      <c r="H4835" s="1" t="inlineStr">
        <is>
          <t>CYNTHIA 19/03/2026</t>
        </is>
      </c>
      <c r="I4835" s="4" t="n">
        <v>10</v>
      </c>
      <c r="J4835" s="6" t="n">
        <v>4.9</v>
      </c>
      <c r="K4835" s="6" t="n">
        <v>131.6013374</v>
      </c>
      <c r="L4835" s="6">
        <f>I4835*K4835</f>
        <v/>
      </c>
      <c r="M4835" s="6">
        <f>K4835*4</f>
        <v/>
      </c>
      <c r="N4835" s="6" t="n">
        <v>540</v>
      </c>
    </row>
    <row r="4836">
      <c r="A4836" s="1" t="inlineStr">
        <is>
          <t>98043701215213</t>
        </is>
      </c>
      <c r="B4836" s="1" t="inlineStr">
        <is>
          <t>PULSERA DE TENNIS ESSENTIAL SILVER</t>
        </is>
      </c>
      <c r="C4836" s="1" t="inlineStr">
        <is>
          <t>16.5</t>
        </is>
      </c>
      <c r="D4836" s="1" t="inlineStr">
        <is>
          <t>26/05/2026</t>
        </is>
      </c>
      <c r="E4836" s="1" t="n">
        <v>2026</v>
      </c>
      <c r="F4836" s="1" t="inlineStr">
        <is>
          <t>MAYO</t>
        </is>
      </c>
      <c r="G4836" s="1" t="inlineStr">
        <is>
          <t>HAIFENG</t>
        </is>
      </c>
      <c r="H4836" s="1" t="inlineStr">
        <is>
          <t>HAIFENG 26/05/2026</t>
        </is>
      </c>
      <c r="I4836" s="4" t="n">
        <v>2</v>
      </c>
      <c r="J4836" s="6" t="n">
        <v>6</v>
      </c>
      <c r="K4836" s="6" t="n">
        <v>125.9357718</v>
      </c>
      <c r="L4836" s="6">
        <f>I4836*K4836</f>
        <v/>
      </c>
      <c r="M4836" s="6">
        <f>K4836*4</f>
        <v/>
      </c>
      <c r="N4836" s="6" t="n">
        <v>540</v>
      </c>
    </row>
    <row r="4837">
      <c r="A4837" s="1" t="inlineStr">
        <is>
          <t>98043701347981</t>
        </is>
      </c>
      <c r="B4837" s="1" t="inlineStr">
        <is>
          <t>PULSERA DE TENNIS ESSENTIAL SILVER</t>
        </is>
      </c>
      <c r="C4837" s="1" t="inlineStr">
        <is>
          <t>17.5</t>
        </is>
      </c>
      <c r="D4837" s="1" t="inlineStr">
        <is>
          <t>19/03/2026</t>
        </is>
      </c>
      <c r="E4837" s="1" t="n">
        <v>2026</v>
      </c>
      <c r="F4837" s="1" t="inlineStr">
        <is>
          <t>MARZO</t>
        </is>
      </c>
      <c r="G4837" s="1" t="inlineStr">
        <is>
          <t>CYNTHIA</t>
        </is>
      </c>
      <c r="H4837" s="1" t="inlineStr">
        <is>
          <t>CYNTHIA 19/03/2026</t>
        </is>
      </c>
      <c r="I4837" s="4" t="n">
        <v>10</v>
      </c>
      <c r="J4837" s="6" t="n">
        <v>4.98</v>
      </c>
      <c r="K4837" s="6" t="n">
        <v>133.7499307</v>
      </c>
      <c r="L4837" s="6">
        <f>I4837*K4837</f>
        <v/>
      </c>
      <c r="M4837" s="6">
        <f>K4837*4</f>
        <v/>
      </c>
      <c r="N4837" s="6" t="n">
        <v>540</v>
      </c>
    </row>
    <row r="4838">
      <c r="A4838" s="1" t="inlineStr">
        <is>
          <t>98043701458157</t>
        </is>
      </c>
      <c r="B4838" s="1" t="inlineStr">
        <is>
          <t>BOLSO CD HOBO DIORSTAR</t>
        </is>
      </c>
      <c r="C4838" s="1" t="inlineStr">
        <is>
          <t>Default Title</t>
        </is>
      </c>
      <c r="D4838" s="1" t="inlineStr">
        <is>
          <t>19/03/2026</t>
        </is>
      </c>
      <c r="E4838" s="1" t="n">
        <v>2026</v>
      </c>
      <c r="F4838" s="1" t="inlineStr">
        <is>
          <t>MARZO</t>
        </is>
      </c>
      <c r="G4838" s="1" t="inlineStr">
        <is>
          <t>CYNTHIA</t>
        </is>
      </c>
      <c r="H4838" s="1" t="inlineStr">
        <is>
          <t>CYNTHIA 19/03/2026</t>
        </is>
      </c>
      <c r="I4838" s="4" t="n">
        <v>1</v>
      </c>
      <c r="J4838" s="6" t="n">
        <v>67</v>
      </c>
      <c r="K4838" s="6" t="n">
        <v>1799.446858</v>
      </c>
      <c r="L4838" s="6">
        <f>I4838*K4838</f>
        <v/>
      </c>
      <c r="M4838" s="6">
        <f>K4838*4</f>
        <v/>
      </c>
      <c r="N4838" s="6" t="n">
        <v>6500</v>
      </c>
    </row>
    <row r="4839">
      <c r="A4839" s="1" t="inlineStr">
        <is>
          <t>98043701458157</t>
        </is>
      </c>
      <c r="B4839" s="1" t="inlineStr">
        <is>
          <t>BOLSO CD HOBO DIORSTAR</t>
        </is>
      </c>
      <c r="C4839" s="1" t="inlineStr">
        <is>
          <t>Default Title</t>
        </is>
      </c>
      <c r="D4839" s="1" t="inlineStr">
        <is>
          <t>31/05/2026</t>
        </is>
      </c>
      <c r="E4839" s="1" t="n">
        <v>2026</v>
      </c>
      <c r="F4839" s="1" t="inlineStr">
        <is>
          <t>MAYO</t>
        </is>
      </c>
      <c r="G4839" s="1" t="inlineStr">
        <is>
          <t>CYNTHIA</t>
        </is>
      </c>
      <c r="H4839" s="1" t="inlineStr">
        <is>
          <t>CYNTHIA 31/05/2026</t>
        </is>
      </c>
      <c r="I4839" s="4" t="n">
        <v>3</v>
      </c>
      <c r="J4839" s="6" t="n">
        <v>67</v>
      </c>
      <c r="K4839" s="6" t="n">
        <v>1775.570013</v>
      </c>
      <c r="L4839" s="6">
        <f>I4839*K4839</f>
        <v/>
      </c>
      <c r="M4839" s="6">
        <f>K4839*4</f>
        <v/>
      </c>
      <c r="N4839" s="6" t="n">
        <v>6500</v>
      </c>
    </row>
    <row r="4840">
      <c r="A4840" s="1" t="inlineStr">
        <is>
          <t>98219285835148</t>
        </is>
      </c>
      <c r="B4840" s="1" t="inlineStr">
        <is>
          <t>MINI BOLSO LV STEAMER</t>
        </is>
      </c>
      <c r="C4840" s="1" t="inlineStr">
        <is>
          <t>17cm de largo x 10cm de alto x 7cm de ancho</t>
        </is>
      </c>
      <c r="D4840" s="1" t="inlineStr">
        <is>
          <t>01/09/2025</t>
        </is>
      </c>
      <c r="E4840" s="1" t="n">
        <v>2025</v>
      </c>
      <c r="F4840" s="1" t="inlineStr">
        <is>
          <t>SEPTIEMBRE</t>
        </is>
      </c>
      <c r="G4840" s="1" t="inlineStr">
        <is>
          <t>ZOEY</t>
        </is>
      </c>
      <c r="H4840" s="1" t="inlineStr">
        <is>
          <t>ZOEY 01/09/2025</t>
        </is>
      </c>
      <c r="I4840" s="4" t="n">
        <v>2</v>
      </c>
      <c r="J4840" s="6" t="n">
        <v>45</v>
      </c>
      <c r="K4840" s="6" t="n">
        <v>1130.303007</v>
      </c>
      <c r="L4840" s="6">
        <f>I4840*K4840</f>
        <v/>
      </c>
      <c r="M4840" s="6">
        <f>K4840*4</f>
        <v/>
      </c>
      <c r="N4840" s="6" t="n">
        <v>3741</v>
      </c>
    </row>
    <row r="4841">
      <c r="A4841" s="1" t="inlineStr">
        <is>
          <t>98219285835148</t>
        </is>
      </c>
      <c r="B4841" s="1" t="inlineStr">
        <is>
          <t>MINI BOLSO LV STEAMER</t>
        </is>
      </c>
      <c r="C4841" s="1" t="inlineStr">
        <is>
          <t>17cm de largo x 10cm de alto x 7cm de ancho</t>
        </is>
      </c>
      <c r="D4841" s="1" t="inlineStr">
        <is>
          <t>25/10/2025</t>
        </is>
      </c>
      <c r="E4841" s="1" t="n">
        <v>2025</v>
      </c>
      <c r="F4841" s="1" t="inlineStr">
        <is>
          <t>OCTUBRE</t>
        </is>
      </c>
      <c r="G4841" s="1" t="inlineStr">
        <is>
          <t>ZOEY</t>
        </is>
      </c>
      <c r="H4841" s="1" t="inlineStr">
        <is>
          <t>ZOEY 25/10/2025</t>
        </is>
      </c>
      <c r="I4841" s="4" t="n">
        <v>3</v>
      </c>
      <c r="J4841" s="6" t="n">
        <v>45</v>
      </c>
      <c r="K4841" s="6" t="n">
        <v>1116.004919</v>
      </c>
      <c r="L4841" s="6">
        <f>I4841*K4841</f>
        <v/>
      </c>
      <c r="M4841" s="6">
        <f>K4841*4</f>
        <v/>
      </c>
      <c r="N4841" s="6" t="n">
        <v>3741</v>
      </c>
    </row>
    <row r="4842">
      <c r="A4842" s="1" t="inlineStr">
        <is>
          <t>98269341086957</t>
        </is>
      </c>
      <c r="B4842" s="1" t="inlineStr">
        <is>
          <t>CINTO C TRIOMPHE BROWN</t>
        </is>
      </c>
      <c r="C4842" s="1" t="inlineStr">
        <is>
          <t>Default Title</t>
        </is>
      </c>
      <c r="D4842" s="1" t="inlineStr">
        <is>
          <t>25/10/2025</t>
        </is>
      </c>
      <c r="E4842" s="1" t="n">
        <v>2025</v>
      </c>
      <c r="F4842" s="1" t="inlineStr">
        <is>
          <t>OCTUBRE</t>
        </is>
      </c>
      <c r="G4842" s="1" t="inlineStr">
        <is>
          <t>CYNTHIA</t>
        </is>
      </c>
      <c r="H4842" s="1" t="inlineStr">
        <is>
          <t>CYNTHIA 25/10/2025</t>
        </is>
      </c>
      <c r="I4842" s="4" t="n">
        <v>5</v>
      </c>
      <c r="J4842" s="6" t="n">
        <v>8</v>
      </c>
      <c r="K4842" s="6" t="n">
        <v>209.6145887</v>
      </c>
      <c r="L4842" s="6">
        <f>I4842*K4842</f>
        <v/>
      </c>
      <c r="M4842" s="6">
        <f>K4842*4</f>
        <v/>
      </c>
      <c r="N4842" s="6" t="n">
        <v>999</v>
      </c>
    </row>
    <row r="4843">
      <c r="A4843" s="1" t="inlineStr">
        <is>
          <t>98269341086957</t>
        </is>
      </c>
      <c r="B4843" s="1" t="inlineStr">
        <is>
          <t>CINTO C TRIOMPHE BROWN</t>
        </is>
      </c>
      <c r="C4843" s="1" t="inlineStr">
        <is>
          <t>Default Title</t>
        </is>
      </c>
      <c r="D4843" s="1" t="inlineStr">
        <is>
          <t>07/01/2026</t>
        </is>
      </c>
      <c r="E4843" s="1" t="n">
        <v>2026</v>
      </c>
      <c r="F4843" s="1" t="inlineStr">
        <is>
          <t>ENERO</t>
        </is>
      </c>
      <c r="G4843" s="1" t="inlineStr">
        <is>
          <t>CYNTHIA</t>
        </is>
      </c>
      <c r="H4843" s="1" t="inlineStr">
        <is>
          <t>CYNTHIA 07/01/2026</t>
        </is>
      </c>
      <c r="I4843" s="4" t="n">
        <v>10</v>
      </c>
      <c r="J4843" s="6" t="n">
        <v>7.5</v>
      </c>
      <c r="K4843" s="6" t="n">
        <v>199.4057076</v>
      </c>
      <c r="L4843" s="6">
        <f>I4843*K4843</f>
        <v/>
      </c>
      <c r="M4843" s="6">
        <f>K4843*4</f>
        <v/>
      </c>
      <c r="N4843" s="6" t="n">
        <v>999</v>
      </c>
    </row>
    <row r="4844">
      <c r="A4844" s="1" t="inlineStr">
        <is>
          <t>98269341086957</t>
        </is>
      </c>
      <c r="B4844" s="1" t="inlineStr">
        <is>
          <t>CINTO C TRIOMPHE BROWN</t>
        </is>
      </c>
      <c r="C4844" s="1" t="inlineStr">
        <is>
          <t>Default Title</t>
        </is>
      </c>
      <c r="D4844" s="1" t="inlineStr">
        <is>
          <t>19/03/2026</t>
        </is>
      </c>
      <c r="E4844" s="1" t="n">
        <v>2026</v>
      </c>
      <c r="F4844" s="1" t="inlineStr">
        <is>
          <t>MARZO</t>
        </is>
      </c>
      <c r="G4844" s="1" t="inlineStr">
        <is>
          <t>CYNTHIA</t>
        </is>
      </c>
      <c r="H4844" s="1" t="inlineStr">
        <is>
          <t>CYNTHIA 19/03/2026</t>
        </is>
      </c>
      <c r="I4844" s="4" t="n">
        <v>24</v>
      </c>
      <c r="J4844" s="6" t="n">
        <v>8</v>
      </c>
      <c r="K4844" s="6" t="n">
        <v>214.8593263</v>
      </c>
      <c r="L4844" s="6">
        <f>I4844*K4844</f>
        <v/>
      </c>
      <c r="M4844" s="6">
        <f>K4844*4</f>
        <v/>
      </c>
      <c r="N4844" s="6" t="n">
        <v>999</v>
      </c>
    </row>
    <row r="4845">
      <c r="A4845" s="1" t="inlineStr">
        <is>
          <t>98269341086957</t>
        </is>
      </c>
      <c r="B4845" s="1" t="inlineStr">
        <is>
          <t>CINTO C TRIOMPHE BROWN</t>
        </is>
      </c>
      <c r="C4845" s="1" t="inlineStr">
        <is>
          <t>Default Title</t>
        </is>
      </c>
      <c r="D4845" s="1" t="inlineStr">
        <is>
          <t>31/05/2026</t>
        </is>
      </c>
      <c r="E4845" s="1" t="n">
        <v>2026</v>
      </c>
      <c r="F4845" s="1" t="inlineStr">
        <is>
          <t>MAYO</t>
        </is>
      </c>
      <c r="G4845" s="1" t="inlineStr">
        <is>
          <t>CYNTHIA</t>
        </is>
      </c>
      <c r="H4845" s="1" t="inlineStr">
        <is>
          <t>CYNTHIA 31/05/2026</t>
        </is>
      </c>
      <c r="I4845" s="4" t="n">
        <v>5</v>
      </c>
      <c r="J4845" s="6" t="n">
        <v>8</v>
      </c>
      <c r="K4845" s="6" t="n">
        <v>212.0083598</v>
      </c>
      <c r="L4845" s="6">
        <f>I4845*K4845</f>
        <v/>
      </c>
      <c r="M4845" s="6">
        <f>K4845*4</f>
        <v/>
      </c>
      <c r="N4845" s="6" t="n">
        <v>999</v>
      </c>
    </row>
    <row r="4846">
      <c r="A4846" s="1" t="inlineStr">
        <is>
          <t>98269341086957</t>
        </is>
      </c>
      <c r="B4846" s="1" t="inlineStr">
        <is>
          <t>CINTO C TRIOMPHE BROWN</t>
        </is>
      </c>
      <c r="C4846" s="1" t="inlineStr">
        <is>
          <t>Default Title</t>
        </is>
      </c>
      <c r="D4846" s="1" t="inlineStr">
        <is>
          <t>31/05/2026</t>
        </is>
      </c>
      <c r="E4846" s="1" t="n">
        <v>2026</v>
      </c>
      <c r="F4846" s="1" t="inlineStr">
        <is>
          <t>MAYO</t>
        </is>
      </c>
      <c r="G4846" s="1" t="inlineStr">
        <is>
          <t>CYNTHIA</t>
        </is>
      </c>
      <c r="H4846" s="1" t="inlineStr">
        <is>
          <t>CYNTHIA 31/05/2026</t>
        </is>
      </c>
      <c r="I4846" s="4" t="n">
        <v>30</v>
      </c>
      <c r="J4846" s="6" t="n">
        <v>8</v>
      </c>
      <c r="K4846" s="6" t="n">
        <v>212.0083598</v>
      </c>
      <c r="L4846" s="6">
        <f>I4846*K4846</f>
        <v/>
      </c>
      <c r="M4846" s="6">
        <f>K4846*4</f>
        <v/>
      </c>
      <c r="N4846" s="6" t="n">
        <v>999</v>
      </c>
    </row>
    <row r="4847">
      <c r="A4847" s="1" t="inlineStr">
        <is>
          <t>98269341115213</t>
        </is>
      </c>
      <c r="B4847" s="1" t="inlineStr">
        <is>
          <t>BOLSA CC Nº25 BURDEOS</t>
        </is>
      </c>
      <c r="C4847" s="1" t="inlineStr">
        <is>
          <t>Default Title</t>
        </is>
      </c>
      <c r="D4847" s="1" t="inlineStr">
        <is>
          <t>25/10/2025</t>
        </is>
      </c>
      <c r="E4847" s="1" t="n">
        <v>2025</v>
      </c>
      <c r="F4847" s="1" t="inlineStr">
        <is>
          <t>OCTUBRE</t>
        </is>
      </c>
      <c r="G4847" s="1" t="inlineStr">
        <is>
          <t>CYNTHIA</t>
        </is>
      </c>
      <c r="H4847" s="1" t="inlineStr">
        <is>
          <t>CYNTHIA 25/10/2025</t>
        </is>
      </c>
      <c r="I4847" s="4" t="n">
        <v>3</v>
      </c>
      <c r="J4847" s="6" t="n">
        <v>66</v>
      </c>
      <c r="K4847" s="6" t="n">
        <v>1729.320357</v>
      </c>
      <c r="L4847" s="6">
        <f>I4847*K4847</f>
        <v/>
      </c>
      <c r="M4847" s="6">
        <f>K4847*4</f>
        <v/>
      </c>
      <c r="N4847" s="6" t="n">
        <v>6999.6</v>
      </c>
    </row>
    <row r="4848">
      <c r="A4848" s="1" t="inlineStr">
        <is>
          <t>98269341115213</t>
        </is>
      </c>
      <c r="B4848" s="1" t="inlineStr">
        <is>
          <t>BOLSA CC Nº25 BURDEOS</t>
        </is>
      </c>
      <c r="C4848" s="1" t="inlineStr">
        <is>
          <t>Default Title</t>
        </is>
      </c>
      <c r="D4848" s="1" t="inlineStr">
        <is>
          <t>07/01/2026</t>
        </is>
      </c>
      <c r="E4848" s="1" t="n">
        <v>2026</v>
      </c>
      <c r="F4848" s="1" t="inlineStr">
        <is>
          <t>ENERO</t>
        </is>
      </c>
      <c r="G4848" s="1" t="inlineStr">
        <is>
          <t>CYNTHIA</t>
        </is>
      </c>
      <c r="H4848" s="1" t="inlineStr">
        <is>
          <t>CYNTHIA 07/01/2026</t>
        </is>
      </c>
      <c r="I4848" s="4" t="n">
        <v>5</v>
      </c>
      <c r="J4848" s="6" t="n">
        <v>66</v>
      </c>
      <c r="K4848" s="6" t="n">
        <v>1754.770226</v>
      </c>
      <c r="L4848" s="6">
        <f>I4848*K4848</f>
        <v/>
      </c>
      <c r="M4848" s="6">
        <f>K4848*4</f>
        <v/>
      </c>
      <c r="N4848" s="6" t="n">
        <v>6999.6</v>
      </c>
    </row>
    <row r="4849">
      <c r="A4849" s="1" t="inlineStr">
        <is>
          <t>98269341115213</t>
        </is>
      </c>
      <c r="B4849" s="1" t="inlineStr">
        <is>
          <t>BOLSA CC Nº25 BURDEOS</t>
        </is>
      </c>
      <c r="C4849" s="1" t="inlineStr">
        <is>
          <t>Default Title</t>
        </is>
      </c>
      <c r="D4849" s="1" t="inlineStr">
        <is>
          <t>18/02/2026</t>
        </is>
      </c>
      <c r="E4849" s="1" t="n">
        <v>2026</v>
      </c>
      <c r="F4849" s="1" t="inlineStr">
        <is>
          <t>FEBRERO</t>
        </is>
      </c>
      <c r="G4849" s="1" t="inlineStr">
        <is>
          <t>CYNTHIA</t>
        </is>
      </c>
      <c r="H4849" s="1" t="inlineStr">
        <is>
          <t>CYNTHIA 18/02/2026</t>
        </is>
      </c>
      <c r="I4849" s="4" t="n">
        <v>2</v>
      </c>
      <c r="J4849" s="6" t="n">
        <v>66</v>
      </c>
      <c r="K4849" s="6" t="n">
        <v>1784.862103</v>
      </c>
      <c r="L4849" s="6">
        <f>I4849*K4849</f>
        <v/>
      </c>
      <c r="M4849" s="6">
        <f>K4849*4</f>
        <v/>
      </c>
      <c r="N4849" s="6" t="n">
        <v>6999.6</v>
      </c>
    </row>
    <row r="4850">
      <c r="A4850" s="1" t="inlineStr">
        <is>
          <t>98269341115213</t>
        </is>
      </c>
      <c r="B4850" s="1" t="inlineStr">
        <is>
          <t>BOLSA CC Nº25 BURDEOS</t>
        </is>
      </c>
      <c r="C4850" s="1" t="inlineStr">
        <is>
          <t>Default Title</t>
        </is>
      </c>
      <c r="D4850" s="1" t="inlineStr">
        <is>
          <t>31/05/2026</t>
        </is>
      </c>
      <c r="E4850" s="1" t="n">
        <v>2026</v>
      </c>
      <c r="F4850" s="1" t="inlineStr">
        <is>
          <t>MAYO</t>
        </is>
      </c>
      <c r="G4850" s="1" t="inlineStr">
        <is>
          <t>CYNTHIA</t>
        </is>
      </c>
      <c r="H4850" s="1" t="inlineStr">
        <is>
          <t>CYNTHIA 31/05/2026</t>
        </is>
      </c>
      <c r="I4850" s="4" t="n">
        <v>4</v>
      </c>
      <c r="J4850" s="6" t="n">
        <v>66</v>
      </c>
      <c r="K4850" s="6" t="n">
        <v>1749.068969</v>
      </c>
      <c r="L4850" s="6">
        <f>I4850*K4850</f>
        <v/>
      </c>
      <c r="M4850" s="6">
        <f>K4850*4</f>
        <v/>
      </c>
      <c r="N4850" s="6" t="n">
        <v>6999.6</v>
      </c>
    </row>
    <row r="4851">
      <c r="A4851" s="1" t="inlineStr">
        <is>
          <t>98269341115213</t>
        </is>
      </c>
      <c r="B4851" s="1" t="inlineStr">
        <is>
          <t>BOLSA CC Nº25 BURDEOS</t>
        </is>
      </c>
      <c r="C4851" s="1" t="inlineStr">
        <is>
          <t>Default Title</t>
        </is>
      </c>
      <c r="D4851" s="1" t="inlineStr">
        <is>
          <t>31/05/2026</t>
        </is>
      </c>
      <c r="E4851" s="1" t="n">
        <v>2026</v>
      </c>
      <c r="F4851" s="1" t="inlineStr">
        <is>
          <t>MAYO</t>
        </is>
      </c>
      <c r="G4851" s="1" t="inlineStr">
        <is>
          <t>CYNTHIA</t>
        </is>
      </c>
      <c r="H4851" s="1" t="inlineStr">
        <is>
          <t>CYNTHIA 31/05/2026</t>
        </is>
      </c>
      <c r="I4851" s="4" t="n">
        <v>6</v>
      </c>
      <c r="J4851" s="6" t="n">
        <v>66</v>
      </c>
      <c r="K4851" s="6" t="n">
        <v>1749.068969</v>
      </c>
      <c r="L4851" s="6">
        <f>I4851*K4851</f>
        <v/>
      </c>
      <c r="M4851" s="6">
        <f>K4851*4</f>
        <v/>
      </c>
      <c r="N4851" s="6" t="n">
        <v>6999.6</v>
      </c>
    </row>
    <row r="4852">
      <c r="A4852" s="1" t="inlineStr">
        <is>
          <t>98269341208877</t>
        </is>
      </c>
      <c r="B4852" s="1" t="inlineStr">
        <is>
          <t>BOLSO GC APHRODITE BROWN</t>
        </is>
      </c>
      <c r="C4852" s="1" t="inlineStr">
        <is>
          <t>Default Title</t>
        </is>
      </c>
      <c r="D4852" s="1" t="inlineStr">
        <is>
          <t>25/10/2025</t>
        </is>
      </c>
      <c r="E4852" s="1" t="n">
        <v>2025</v>
      </c>
      <c r="F4852" s="1" t="inlineStr">
        <is>
          <t>OCTUBRE</t>
        </is>
      </c>
      <c r="G4852" s="1" t="inlineStr">
        <is>
          <t>CYNTHIA</t>
        </is>
      </c>
      <c r="H4852" s="1" t="inlineStr">
        <is>
          <t>CYNTHIA 25/10/2025</t>
        </is>
      </c>
      <c r="I4852" s="4" t="n">
        <v>2</v>
      </c>
      <c r="J4852" s="6" t="n">
        <v>69</v>
      </c>
      <c r="K4852" s="6" t="n">
        <v>1807.925828</v>
      </c>
      <c r="L4852" s="6">
        <f>I4852*K4852</f>
        <v/>
      </c>
      <c r="M4852" s="6">
        <f>K4852*4</f>
        <v/>
      </c>
      <c r="N4852" s="6" t="n">
        <v>6500</v>
      </c>
    </row>
    <row r="4853">
      <c r="A4853" s="1" t="inlineStr">
        <is>
          <t>98269341208877</t>
        </is>
      </c>
      <c r="B4853" s="1" t="inlineStr">
        <is>
          <t>BOLSO GC APHRODITE BROWN</t>
        </is>
      </c>
      <c r="C4853" s="1" t="inlineStr">
        <is>
          <t>Default Title</t>
        </is>
      </c>
      <c r="D4853" s="1" t="inlineStr">
        <is>
          <t>31/05/2026</t>
        </is>
      </c>
      <c r="E4853" s="1" t="n">
        <v>2026</v>
      </c>
      <c r="F4853" s="1" t="inlineStr">
        <is>
          <t>MAYO</t>
        </is>
      </c>
      <c r="G4853" s="1" t="inlineStr">
        <is>
          <t>CYNTHIA</t>
        </is>
      </c>
      <c r="H4853" s="1" t="inlineStr">
        <is>
          <t>CYNTHIA 31/05/2026</t>
        </is>
      </c>
      <c r="I4853" s="4" t="n">
        <v>3</v>
      </c>
      <c r="J4853" s="6" t="n">
        <v>69</v>
      </c>
      <c r="K4853" s="6" t="n">
        <v>1828.572103</v>
      </c>
      <c r="L4853" s="6">
        <f>I4853*K4853</f>
        <v/>
      </c>
      <c r="M4853" s="6">
        <f>K4853*4</f>
        <v/>
      </c>
      <c r="N4853" s="6" t="n">
        <v>6500</v>
      </c>
    </row>
    <row r="4854">
      <c r="A4854" s="1" t="inlineStr">
        <is>
          <t>98269351344877</t>
        </is>
      </c>
      <c r="B4854" s="1" t="inlineStr">
        <is>
          <t>BOLSO CC MINI KELLY BURDEOS</t>
        </is>
      </c>
      <c r="C4854" s="1" t="inlineStr">
        <is>
          <t>Default Title</t>
        </is>
      </c>
      <c r="D4854" s="1" t="inlineStr">
        <is>
          <t>25/10/2025</t>
        </is>
      </c>
      <c r="E4854" s="1" t="n">
        <v>2025</v>
      </c>
      <c r="F4854" s="1" t="inlineStr">
        <is>
          <t>OCTUBRE</t>
        </is>
      </c>
      <c r="G4854" s="1" t="inlineStr">
        <is>
          <t>CYNTHIA</t>
        </is>
      </c>
      <c r="H4854" s="1" t="inlineStr">
        <is>
          <t>CYNTHIA 25/10/2025</t>
        </is>
      </c>
      <c r="I4854" s="4" t="n">
        <v>2</v>
      </c>
      <c r="J4854" s="6" t="n">
        <v>53</v>
      </c>
      <c r="K4854" s="6" t="n">
        <v>1388.69665</v>
      </c>
      <c r="L4854" s="6">
        <f>I4854*K4854</f>
        <v/>
      </c>
      <c r="M4854" s="6">
        <f>K4854*4</f>
        <v/>
      </c>
      <c r="N4854" s="6" t="n">
        <v>5629</v>
      </c>
    </row>
    <row r="4855">
      <c r="A4855" s="1" t="inlineStr">
        <is>
          <t>98269351344877</t>
        </is>
      </c>
      <c r="B4855" s="1" t="inlineStr">
        <is>
          <t>BOLSO CC MINI KELLY BURDEOS</t>
        </is>
      </c>
      <c r="C4855" s="1" t="inlineStr">
        <is>
          <t>Default Title</t>
        </is>
      </c>
      <c r="D4855" s="1" t="inlineStr">
        <is>
          <t>07/01/2026</t>
        </is>
      </c>
      <c r="E4855" s="1" t="n">
        <v>2026</v>
      </c>
      <c r="F4855" s="1" t="inlineStr">
        <is>
          <t>ENERO</t>
        </is>
      </c>
      <c r="G4855" s="1" t="inlineStr">
        <is>
          <t>CYNTHIA</t>
        </is>
      </c>
      <c r="H4855" s="1" t="inlineStr">
        <is>
          <t>CYNTHIA 07/01/2026</t>
        </is>
      </c>
      <c r="I4855" s="4" t="n">
        <v>3</v>
      </c>
      <c r="J4855" s="6" t="n">
        <v>51</v>
      </c>
      <c r="K4855" s="6" t="n">
        <v>1355.958811</v>
      </c>
      <c r="L4855" s="6">
        <f>I4855*K4855</f>
        <v/>
      </c>
      <c r="M4855" s="6">
        <f>K4855*4</f>
        <v/>
      </c>
      <c r="N4855" s="6" t="n">
        <v>5629</v>
      </c>
    </row>
    <row r="4856">
      <c r="A4856" s="1" t="inlineStr">
        <is>
          <t>98269351344877</t>
        </is>
      </c>
      <c r="B4856" s="1" t="inlineStr">
        <is>
          <t>BOLSO CC MINI KELLY BURDEOS</t>
        </is>
      </c>
      <c r="C4856" s="1" t="inlineStr">
        <is>
          <t>Default Title</t>
        </is>
      </c>
      <c r="D4856" s="1" t="inlineStr">
        <is>
          <t>18/02/2026</t>
        </is>
      </c>
      <c r="E4856" s="1" t="n">
        <v>2026</v>
      </c>
      <c r="F4856" s="1" t="inlineStr">
        <is>
          <t>FEBRERO</t>
        </is>
      </c>
      <c r="G4856" s="1" t="inlineStr">
        <is>
          <t>CYNTHIA</t>
        </is>
      </c>
      <c r="H4856" s="1" t="inlineStr">
        <is>
          <t>CYNTHIA 18/02/2026</t>
        </is>
      </c>
      <c r="I4856" s="4" t="n">
        <v>2</v>
      </c>
      <c r="J4856" s="6" t="n">
        <v>53</v>
      </c>
      <c r="K4856" s="6" t="n">
        <v>1433.298356</v>
      </c>
      <c r="L4856" s="6">
        <f>I4856*K4856</f>
        <v/>
      </c>
      <c r="M4856" s="6">
        <f>K4856*4</f>
        <v/>
      </c>
      <c r="N4856" s="6" t="n">
        <v>5629</v>
      </c>
    </row>
    <row r="4857">
      <c r="A4857" s="1" t="inlineStr">
        <is>
          <t>98269351344877</t>
        </is>
      </c>
      <c r="B4857" s="1" t="inlineStr">
        <is>
          <t>BOLSO CC MINI KELLY BURDEOS</t>
        </is>
      </c>
      <c r="C4857" s="1" t="inlineStr">
        <is>
          <t>Default Title</t>
        </is>
      </c>
      <c r="D4857" s="1" t="inlineStr">
        <is>
          <t>19/03/2026</t>
        </is>
      </c>
      <c r="E4857" s="1" t="n">
        <v>2026</v>
      </c>
      <c r="F4857" s="1" t="inlineStr">
        <is>
          <t>MARZO</t>
        </is>
      </c>
      <c r="G4857" s="1" t="inlineStr">
        <is>
          <t>CYNTHIA</t>
        </is>
      </c>
      <c r="H4857" s="1" t="inlineStr">
        <is>
          <t>CYNTHIA 19/03/2026</t>
        </is>
      </c>
      <c r="I4857" s="4" t="n">
        <v>2</v>
      </c>
      <c r="J4857" s="6" t="n">
        <v>53</v>
      </c>
      <c r="K4857" s="6" t="n">
        <v>1423.443037</v>
      </c>
      <c r="L4857" s="6">
        <f>I4857*K4857</f>
        <v/>
      </c>
      <c r="M4857" s="6">
        <f>K4857*4</f>
        <v/>
      </c>
      <c r="N4857" s="6" t="n">
        <v>5629</v>
      </c>
    </row>
    <row r="4858">
      <c r="A4858" s="1" t="inlineStr">
        <is>
          <t>98269351344877</t>
        </is>
      </c>
      <c r="B4858" s="1" t="inlineStr">
        <is>
          <t>BOLSO CC MINI KELLY BURDEOS</t>
        </is>
      </c>
      <c r="C4858" s="1" t="inlineStr">
        <is>
          <t>Default Title</t>
        </is>
      </c>
      <c r="D4858" s="1" t="inlineStr">
        <is>
          <t>31/05/2026</t>
        </is>
      </c>
      <c r="E4858" s="1" t="n">
        <v>2026</v>
      </c>
      <c r="F4858" s="1" t="inlineStr">
        <is>
          <t>MAYO</t>
        </is>
      </c>
      <c r="G4858" s="1" t="inlineStr">
        <is>
          <t>CYNTHIA</t>
        </is>
      </c>
      <c r="H4858" s="1" t="inlineStr">
        <is>
          <t>CYNTHIA 31/05/2026</t>
        </is>
      </c>
      <c r="I4858" s="4" t="n">
        <v>1</v>
      </c>
      <c r="J4858" s="6" t="n">
        <v>53</v>
      </c>
      <c r="K4858" s="6" t="n">
        <v>1404.555384</v>
      </c>
      <c r="L4858" s="6">
        <f>I4858*K4858</f>
        <v/>
      </c>
      <c r="M4858" s="6">
        <f>K4858*4</f>
        <v/>
      </c>
      <c r="N4858" s="6" t="n">
        <v>5629</v>
      </c>
    </row>
    <row r="4859">
      <c r="A4859" s="1" t="inlineStr">
        <is>
          <t>98269351492173</t>
        </is>
      </c>
      <c r="B4859" s="1" t="inlineStr">
        <is>
          <t>BOLSO C CLAUDE BURDEOS</t>
        </is>
      </c>
      <c r="C4859" s="1" t="inlineStr">
        <is>
          <t>Default Title</t>
        </is>
      </c>
      <c r="D4859" s="1" t="inlineStr">
        <is>
          <t>25/10/2025</t>
        </is>
      </c>
      <c r="E4859" s="1" t="n">
        <v>2025</v>
      </c>
      <c r="F4859" s="1" t="inlineStr">
        <is>
          <t>OCTUBRE</t>
        </is>
      </c>
      <c r="G4859" s="1" t="inlineStr">
        <is>
          <t>CYNTHIA</t>
        </is>
      </c>
      <c r="H4859" s="1" t="inlineStr">
        <is>
          <t>CYNTHIA 25/10/2025</t>
        </is>
      </c>
      <c r="I4859" s="4" t="n">
        <v>3</v>
      </c>
      <c r="J4859" s="6" t="n">
        <v>49</v>
      </c>
      <c r="K4859" s="6" t="n">
        <v>1283.889356</v>
      </c>
      <c r="L4859" s="6">
        <f>I4859*K4859</f>
        <v/>
      </c>
      <c r="M4859" s="6">
        <f>K4859*4</f>
        <v/>
      </c>
      <c r="N4859" s="6" t="n">
        <v>5200</v>
      </c>
    </row>
    <row r="4860">
      <c r="A4860" s="1" t="inlineStr">
        <is>
          <t>98269351492173</t>
        </is>
      </c>
      <c r="B4860" s="1" t="inlineStr">
        <is>
          <t>BOLSO C CLAUDE BURDEOS</t>
        </is>
      </c>
      <c r="C4860" s="1" t="inlineStr">
        <is>
          <t>Default Title</t>
        </is>
      </c>
      <c r="D4860" s="1" t="inlineStr">
        <is>
          <t>31/05/2026</t>
        </is>
      </c>
      <c r="E4860" s="1" t="n">
        <v>2026</v>
      </c>
      <c r="F4860" s="1" t="inlineStr">
        <is>
          <t>MAYO</t>
        </is>
      </c>
      <c r="G4860" s="1" t="inlineStr">
        <is>
          <t>CYNTHIA</t>
        </is>
      </c>
      <c r="H4860" s="1" t="inlineStr">
        <is>
          <t>CYNTHIA 31/05/2026</t>
        </is>
      </c>
      <c r="I4860" s="4" t="n">
        <v>2</v>
      </c>
      <c r="J4860" s="6" t="n">
        <v>49</v>
      </c>
      <c r="K4860" s="6" t="n">
        <v>1298.551204</v>
      </c>
      <c r="L4860" s="6">
        <f>I4860*K4860</f>
        <v/>
      </c>
      <c r="M4860" s="6">
        <f>K4860*4</f>
        <v/>
      </c>
      <c r="N4860" s="6" t="n">
        <v>5200</v>
      </c>
    </row>
    <row r="4861">
      <c r="A4861" s="1" t="inlineStr">
        <is>
          <t>98269351593261</t>
        </is>
      </c>
      <c r="B4861" s="1" t="inlineStr">
        <is>
          <t>SUETER PR BLACK CON PLACA DEL LOGO</t>
        </is>
      </c>
      <c r="C4861" s="1" t="inlineStr">
        <is>
          <t>m</t>
        </is>
      </c>
      <c r="D4861" s="1" t="inlineStr">
        <is>
          <t>19/03/2026</t>
        </is>
      </c>
      <c r="E4861" s="1" t="n">
        <v>2026</v>
      </c>
      <c r="F4861" s="1" t="inlineStr">
        <is>
          <t>MARZO</t>
        </is>
      </c>
      <c r="G4861" s="1" t="inlineStr">
        <is>
          <t>CYNTHIA</t>
        </is>
      </c>
      <c r="H4861" s="1" t="inlineStr">
        <is>
          <t>CYNTHIA 19/03/2026</t>
        </is>
      </c>
      <c r="I4861" s="4" t="n">
        <v>2</v>
      </c>
      <c r="J4861" s="6" t="n">
        <v>22.8</v>
      </c>
      <c r="K4861" s="6" t="n">
        <v>612.3490801</v>
      </c>
      <c r="L4861" s="6">
        <f>I4861*K4861</f>
        <v/>
      </c>
      <c r="M4861" s="6">
        <f>K4861*4</f>
        <v/>
      </c>
      <c r="N4861" s="6" t="n">
        <v>2499</v>
      </c>
    </row>
    <row r="4862">
      <c r="A4862" s="1" t="inlineStr">
        <is>
          <t>98269351593261</t>
        </is>
      </c>
      <c r="B4862" s="1" t="inlineStr">
        <is>
          <t>SUETER PR BLACK CON PLACA DEL LOGO</t>
        </is>
      </c>
      <c r="C4862" s="1" t="inlineStr">
        <is>
          <t>S</t>
        </is>
      </c>
      <c r="D4862" s="1" t="inlineStr">
        <is>
          <t>31/05/2026</t>
        </is>
      </c>
      <c r="E4862" s="1" t="n">
        <v>2026</v>
      </c>
      <c r="F4862" s="1" t="inlineStr">
        <is>
          <t>MAYO</t>
        </is>
      </c>
      <c r="G4862" s="1" t="inlineStr">
        <is>
          <t>CYNTHIA</t>
        </is>
      </c>
      <c r="H4862" s="1" t="inlineStr">
        <is>
          <t>CYNTHIA 31/05/2026</t>
        </is>
      </c>
      <c r="I4862" s="4" t="n">
        <v>3</v>
      </c>
      <c r="J4862" s="6" t="n">
        <v>22.8</v>
      </c>
      <c r="K4862" s="6" t="n">
        <v>604.2238255</v>
      </c>
      <c r="L4862" s="6">
        <f>I4862*K4862</f>
        <v/>
      </c>
      <c r="M4862" s="6">
        <f>K4862*4</f>
        <v/>
      </c>
      <c r="N4862" s="6" t="n">
        <v>2499</v>
      </c>
    </row>
    <row r="4863">
      <c r="A4863" s="1" t="inlineStr">
        <is>
          <t>98269351593262</t>
        </is>
      </c>
      <c r="B4863" s="1" t="inlineStr">
        <is>
          <t>SUETER PR BLACK CON PLACA DEL LOGO</t>
        </is>
      </c>
      <c r="C4863" s="1" t="inlineStr">
        <is>
          <t>M</t>
        </is>
      </c>
      <c r="D4863" s="1" t="inlineStr">
        <is>
          <t>31/05/2026</t>
        </is>
      </c>
      <c r="E4863" s="1" t="n">
        <v>2026</v>
      </c>
      <c r="F4863" s="1" t="inlineStr">
        <is>
          <t>MAYO</t>
        </is>
      </c>
      <c r="G4863" s="1" t="inlineStr">
        <is>
          <t>CYNTHIA</t>
        </is>
      </c>
      <c r="H4863" s="1" t="inlineStr">
        <is>
          <t>CYNTHIA 31/05/2026</t>
        </is>
      </c>
      <c r="I4863" s="4" t="n">
        <v>2</v>
      </c>
      <c r="J4863" s="6" t="n">
        <v>22.8</v>
      </c>
      <c r="K4863" s="6" t="n">
        <v>604.2238255</v>
      </c>
      <c r="L4863" s="6">
        <f>I4863*K4863</f>
        <v/>
      </c>
      <c r="M4863" s="6">
        <f>K4863*4</f>
        <v/>
      </c>
      <c r="N4863" s="6" t="n">
        <v>2499</v>
      </c>
    </row>
    <row r="4864">
      <c r="A4864" s="1" t="inlineStr">
        <is>
          <t>98946151012205</t>
        </is>
      </c>
      <c r="B4864" s="1" t="inlineStr">
        <is>
          <t>COLLAR CON PASADOR Y PLACA ESTILO CORAZÓN CON ZIRCONIA</t>
        </is>
      </c>
      <c r="C4864" s="1" t="inlineStr">
        <is>
          <t>Default Title</t>
        </is>
      </c>
      <c r="D4864" s="1" t="inlineStr">
        <is>
          <t>08/06/2026</t>
        </is>
      </c>
      <c r="E4864" s="1" t="n">
        <v>2026</v>
      </c>
      <c r="F4864" s="1" t="inlineStr">
        <is>
          <t>JUNIO</t>
        </is>
      </c>
      <c r="G4864" s="1" t="inlineStr">
        <is>
          <t>ZOEY</t>
        </is>
      </c>
      <c r="H4864" s="1" t="inlineStr">
        <is>
          <t>ZOEY 08/06/2026</t>
        </is>
      </c>
      <c r="I4864" s="4" t="n">
        <v>2</v>
      </c>
      <c r="J4864" s="6" t="n">
        <v>9</v>
      </c>
      <c r="K4864" s="6" t="n">
        <v>220.6029281</v>
      </c>
      <c r="L4864" s="6">
        <f>I4864*K4864</f>
        <v/>
      </c>
      <c r="M4864" s="6">
        <f>K4864*4</f>
        <v/>
      </c>
      <c r="N4864" s="6" t="n">
        <v>899</v>
      </c>
    </row>
    <row r="4865">
      <c r="A4865" s="1" t="inlineStr">
        <is>
          <t>99045341185485</t>
        </is>
      </c>
      <c r="B4865" s="1" t="inlineStr">
        <is>
          <t>ANILLO TRÉBOL CON ZIRCONIA GOLD VF</t>
        </is>
      </c>
      <c r="C4865" s="1" t="inlineStr">
        <is>
          <t>7</t>
        </is>
      </c>
      <c r="D4865" s="1" t="inlineStr">
        <is>
          <t>16/06/2026</t>
        </is>
      </c>
      <c r="E4865" s="1" t="n">
        <v>2026</v>
      </c>
      <c r="F4865" s="1" t="inlineStr">
        <is>
          <t>JUNIO</t>
        </is>
      </c>
      <c r="G4865" s="1" t="inlineStr">
        <is>
          <t>HAIFENG</t>
        </is>
      </c>
      <c r="H4865" s="1" t="inlineStr">
        <is>
          <t>HAIFENG 16/06/2026</t>
        </is>
      </c>
      <c r="I4865" s="4" t="n">
        <v>2</v>
      </c>
      <c r="J4865" s="6" t="n">
        <v>5.99</v>
      </c>
      <c r="K4865" s="6" t="n">
        <v>125.8774927</v>
      </c>
      <c r="L4865" s="6">
        <f>I4865*K4865</f>
        <v/>
      </c>
      <c r="M4865" s="6">
        <f>K4865*4</f>
        <v/>
      </c>
      <c r="N4865" s="6" t="n">
        <v>480</v>
      </c>
    </row>
    <row r="4866">
      <c r="A4866" s="1" t="inlineStr">
        <is>
          <t>99507971069997</t>
        </is>
      </c>
      <c r="B4866" s="1" t="inlineStr">
        <is>
          <t>ARETES TRES AROS CON ZIRCONIA</t>
        </is>
      </c>
      <c r="C4866" s="1" t="inlineStr">
        <is>
          <t>2cm</t>
        </is>
      </c>
      <c r="D4866" s="1" t="inlineStr">
        <is>
          <t>11/11/2025</t>
        </is>
      </c>
      <c r="E4866" s="1" t="n">
        <v>2025</v>
      </c>
      <c r="F4866" s="1" t="inlineStr">
        <is>
          <t>NOVIEMBRE</t>
        </is>
      </c>
      <c r="G4866" s="1" t="inlineStr">
        <is>
          <t>HAIFENG</t>
        </is>
      </c>
      <c r="H4866" s="1" t="inlineStr">
        <is>
          <t>HAIFENG 11/11/2025</t>
        </is>
      </c>
      <c r="I4866" s="4" t="n">
        <v>5</v>
      </c>
      <c r="J4866" s="6" t="n">
        <v>11</v>
      </c>
      <c r="K4866" s="6" t="n">
        <v>231.6654829</v>
      </c>
      <c r="L4866" s="6">
        <f>I4866*K4866</f>
        <v/>
      </c>
      <c r="M4866" s="6">
        <f>K4866*4</f>
        <v/>
      </c>
      <c r="N4866" s="6" t="n">
        <v>906</v>
      </c>
    </row>
    <row r="4867">
      <c r="A4867" s="1" t="inlineStr">
        <is>
          <t>99507971069997</t>
        </is>
      </c>
      <c r="B4867" s="1" t="inlineStr">
        <is>
          <t>ARETES TRES AROS CON ZIRCONIA</t>
        </is>
      </c>
      <c r="C4867" s="1" t="inlineStr">
        <is>
          <t>2cm</t>
        </is>
      </c>
      <c r="D4867" s="1" t="inlineStr">
        <is>
          <t>03/12/2025</t>
        </is>
      </c>
      <c r="E4867" s="1" t="n">
        <v>2025</v>
      </c>
      <c r="F4867" s="1" t="inlineStr">
        <is>
          <t>DICIEMBRE</t>
        </is>
      </c>
      <c r="G4867" s="1" t="inlineStr">
        <is>
          <t>HAIFENG</t>
        </is>
      </c>
      <c r="H4867" s="1" t="inlineStr">
        <is>
          <t>HAIFENG 03/12/2025</t>
        </is>
      </c>
      <c r="I4867" s="4" t="n">
        <v>6</v>
      </c>
      <c r="J4867" s="6" t="n">
        <v>9</v>
      </c>
      <c r="K4867" s="6" t="n">
        <v>188.2544401</v>
      </c>
      <c r="L4867" s="6">
        <f>I4867*K4867</f>
        <v/>
      </c>
      <c r="M4867" s="6">
        <f>K4867*4</f>
        <v/>
      </c>
      <c r="N4867" s="6" t="n">
        <v>906</v>
      </c>
    </row>
    <row r="4868">
      <c r="A4868" s="1" t="inlineStr">
        <is>
          <t>99781781012045</t>
        </is>
      </c>
      <c r="B4868" s="1" t="inlineStr">
        <is>
          <t>CINTO GC DELGADO MARMONT</t>
        </is>
      </c>
      <c r="C4868" s="1" t="inlineStr">
        <is>
          <t>BLACK</t>
        </is>
      </c>
      <c r="D4868" s="1" t="inlineStr">
        <is>
          <t>02/03/2026</t>
        </is>
      </c>
      <c r="E4868" s="1" t="n">
        <v>2026</v>
      </c>
      <c r="F4868" s="1" t="inlineStr">
        <is>
          <t>MARZO</t>
        </is>
      </c>
      <c r="G4868" s="1" t="inlineStr">
        <is>
          <t>ZOEY</t>
        </is>
      </c>
      <c r="H4868" s="1" t="inlineStr">
        <is>
          <t>ZOEY 02/03/2026</t>
        </is>
      </c>
      <c r="I4868" s="4" t="n">
        <v>1</v>
      </c>
      <c r="J4868" s="6" t="n">
        <v>45</v>
      </c>
      <c r="K4868" s="6" t="n">
        <v>1182.463908</v>
      </c>
      <c r="L4868" s="6">
        <f>I4868*K4868</f>
        <v/>
      </c>
      <c r="M4868" s="6">
        <f>K4868*4</f>
        <v/>
      </c>
      <c r="N4868" s="6" t="n">
        <v>4779</v>
      </c>
    </row>
    <row r="4869">
      <c r="A4869" s="1" t="inlineStr">
        <is>
          <t>99781781012045</t>
        </is>
      </c>
      <c r="B4869" s="1" t="inlineStr">
        <is>
          <t>CINTO GC DELGADO MARMONT</t>
        </is>
      </c>
      <c r="C4869" s="1" t="inlineStr">
        <is>
          <t>100CM</t>
        </is>
      </c>
      <c r="D4869" s="1" t="inlineStr">
        <is>
          <t>15/05/2026</t>
        </is>
      </c>
      <c r="E4869" s="1" t="n">
        <v>2026</v>
      </c>
      <c r="F4869" s="1" t="inlineStr">
        <is>
          <t>MAYO</t>
        </is>
      </c>
      <c r="G4869" s="1" t="inlineStr">
        <is>
          <t>ZOEY</t>
        </is>
      </c>
      <c r="H4869" s="1" t="inlineStr">
        <is>
          <t>ZOEY 15/05/2026</t>
        </is>
      </c>
      <c r="I4869" s="4" t="n">
        <v>3</v>
      </c>
      <c r="J4869" s="6" t="n">
        <v>45</v>
      </c>
      <c r="K4869" s="6" t="n">
        <v>1192.708102</v>
      </c>
      <c r="L4869" s="6">
        <f>I4869*K4869</f>
        <v/>
      </c>
      <c r="M4869" s="6">
        <f>K4869*4</f>
        <v/>
      </c>
      <c r="N4869" s="6" t="n">
        <v>4779</v>
      </c>
    </row>
    <row r="4870">
      <c r="A4870" s="1" t="inlineStr">
        <is>
          <t>99781781126317</t>
        </is>
      </c>
      <c r="B4870" s="1" t="inlineStr">
        <is>
          <t>CINTO GC REVERSIBLE HEBILLA</t>
        </is>
      </c>
      <c r="C4870" s="1" t="inlineStr">
        <is>
          <t>BLACK</t>
        </is>
      </c>
      <c r="D4870" s="1" t="inlineStr">
        <is>
          <t>02/03/2026</t>
        </is>
      </c>
      <c r="E4870" s="1" t="n">
        <v>2026</v>
      </c>
      <c r="F4870" s="1" t="inlineStr">
        <is>
          <t>MARZO</t>
        </is>
      </c>
      <c r="G4870" s="1" t="inlineStr">
        <is>
          <t>ZOEY</t>
        </is>
      </c>
      <c r="H4870" s="1" t="inlineStr">
        <is>
          <t>ZOEY 02/03/2026</t>
        </is>
      </c>
      <c r="I4870" s="4" t="n">
        <v>1</v>
      </c>
      <c r="J4870" s="6" t="n">
        <v>45</v>
      </c>
      <c r="K4870" s="6" t="n">
        <v>1182.463908</v>
      </c>
      <c r="L4870" s="6">
        <f>I4870*K4870</f>
        <v/>
      </c>
      <c r="M4870" s="6">
        <f>K4870*4</f>
        <v/>
      </c>
      <c r="N4870" s="6" t="n">
        <v>4779</v>
      </c>
    </row>
    <row r="4871">
      <c r="A4871" s="1" t="inlineStr">
        <is>
          <t>99781781126317</t>
        </is>
      </c>
      <c r="B4871" s="1" t="inlineStr">
        <is>
          <t>CINTO GC REVERSIBLE HEBILLA</t>
        </is>
      </c>
      <c r="C4871" s="1" t="inlineStr">
        <is>
          <t>100CM</t>
        </is>
      </c>
      <c r="D4871" s="1" t="inlineStr">
        <is>
          <t>15/05/2026</t>
        </is>
      </c>
      <c r="E4871" s="1" t="n">
        <v>2026</v>
      </c>
      <c r="F4871" s="1" t="inlineStr">
        <is>
          <t>MAYO</t>
        </is>
      </c>
      <c r="G4871" s="1" t="inlineStr">
        <is>
          <t>ZOEY</t>
        </is>
      </c>
      <c r="H4871" s="1" t="inlineStr">
        <is>
          <t>ZOEY 15/05/2026</t>
        </is>
      </c>
      <c r="I4871" s="4" t="n">
        <v>3</v>
      </c>
      <c r="J4871" s="6" t="n">
        <v>45</v>
      </c>
      <c r="K4871" s="6" t="n">
        <v>1192.708102</v>
      </c>
      <c r="L4871" s="6">
        <f>I4871*K4871</f>
        <v/>
      </c>
      <c r="M4871" s="6">
        <f>K4871*4</f>
        <v/>
      </c>
      <c r="N4871" s="6" t="n">
        <v>4779</v>
      </c>
    </row>
    <row r="4872">
      <c r="A4872" s="1" t="inlineStr">
        <is>
          <t>99781781282669</t>
        </is>
      </c>
      <c r="B4872" s="1" t="inlineStr">
        <is>
          <t>CARTERA GC CONTINENTAL BICOLOR</t>
        </is>
      </c>
      <c r="C4872" s="1" t="inlineStr">
        <is>
          <t>BLACK</t>
        </is>
      </c>
      <c r="D4872" s="1" t="inlineStr">
        <is>
          <t>02/03/2026</t>
        </is>
      </c>
      <c r="E4872" s="1" t="n">
        <v>2026</v>
      </c>
      <c r="F4872" s="1" t="inlineStr">
        <is>
          <t>MARZO</t>
        </is>
      </c>
      <c r="G4872" s="1" t="inlineStr">
        <is>
          <t>ZOEY</t>
        </is>
      </c>
      <c r="H4872" s="1" t="inlineStr">
        <is>
          <t>ZOEY 02/03/2026</t>
        </is>
      </c>
      <c r="I4872" s="4" t="n">
        <v>2</v>
      </c>
      <c r="J4872" s="6" t="n">
        <v>27</v>
      </c>
      <c r="K4872" s="6" t="n">
        <v>709.4783445</v>
      </c>
      <c r="L4872" s="6">
        <f>I4872*K4872</f>
        <v/>
      </c>
      <c r="M4872" s="6">
        <f>K4872*4</f>
        <v/>
      </c>
      <c r="N4872" s="6" t="n">
        <v>2869</v>
      </c>
    </row>
    <row r="4873">
      <c r="A4873" s="1" t="inlineStr">
        <is>
          <t>99781781282669</t>
        </is>
      </c>
      <c r="B4873" s="1" t="inlineStr">
        <is>
          <t>CARTERA GC CONTINENTAL BICOLOR</t>
        </is>
      </c>
      <c r="C4873" s="1" t="inlineStr">
        <is>
          <t>Default Title</t>
        </is>
      </c>
      <c r="D4873" s="1" t="inlineStr">
        <is>
          <t>20/04/2026</t>
        </is>
      </c>
      <c r="E4873" s="1" t="n">
        <v>2026</v>
      </c>
      <c r="F4873" s="1" t="inlineStr">
        <is>
          <t>ABRIL</t>
        </is>
      </c>
      <c r="G4873" s="1" t="inlineStr">
        <is>
          <t>ZOEY</t>
        </is>
      </c>
      <c r="H4873" s="1" t="inlineStr">
        <is>
          <t>ZOEY 20/04/2026</t>
        </is>
      </c>
      <c r="I4873" s="4" t="n">
        <v>2</v>
      </c>
      <c r="J4873" s="6" t="n">
        <v>27</v>
      </c>
      <c r="K4873" s="6" t="n">
        <v>691.4370151000001</v>
      </c>
      <c r="L4873" s="6">
        <f>I4873*K4873</f>
        <v/>
      </c>
      <c r="M4873" s="6">
        <f>K4873*4</f>
        <v/>
      </c>
      <c r="N4873" s="6" t="n">
        <v>2869</v>
      </c>
    </row>
    <row r="4874">
      <c r="A4874" s="1" t="inlineStr">
        <is>
          <t>99781781282669</t>
        </is>
      </c>
      <c r="B4874" s="1" t="inlineStr">
        <is>
          <t>CARTERA GC CONTINENTAL BICOLOR</t>
        </is>
      </c>
      <c r="C4874" s="1" t="inlineStr">
        <is>
          <t>Default Title</t>
        </is>
      </c>
      <c r="D4874" s="1" t="inlineStr">
        <is>
          <t>15/05/2026</t>
        </is>
      </c>
      <c r="E4874" s="1" t="n">
        <v>2026</v>
      </c>
      <c r="F4874" s="1" t="inlineStr">
        <is>
          <t>MAYO</t>
        </is>
      </c>
      <c r="G4874" s="1" t="inlineStr">
        <is>
          <t>ZOEY</t>
        </is>
      </c>
      <c r="H4874" s="1" t="inlineStr">
        <is>
          <t>ZOEY 15/05/2026</t>
        </is>
      </c>
      <c r="I4874" s="4" t="n">
        <v>3</v>
      </c>
      <c r="J4874" s="6" t="n">
        <v>27</v>
      </c>
      <c r="K4874" s="6" t="n">
        <v>715.6248612000001</v>
      </c>
      <c r="L4874" s="6">
        <f>I4874*K4874</f>
        <v/>
      </c>
      <c r="M4874" s="6">
        <f>K4874*4</f>
        <v/>
      </c>
      <c r="N4874" s="6" t="n">
        <v>2869</v>
      </c>
    </row>
    <row r="4875">
      <c r="A4875" s="1" t="inlineStr">
        <is>
          <t>99781781384365</t>
        </is>
      </c>
      <c r="B4875" s="1" t="inlineStr">
        <is>
          <t>TARJETERO GC MARMONT</t>
        </is>
      </c>
      <c r="C4875" s="1" t="inlineStr">
        <is>
          <t>BLACK</t>
        </is>
      </c>
      <c r="D4875" s="1" t="inlineStr">
        <is>
          <t>02/03/2026</t>
        </is>
      </c>
      <c r="E4875" s="1" t="n">
        <v>2026</v>
      </c>
      <c r="F4875" s="1" t="inlineStr">
        <is>
          <t>MARZO</t>
        </is>
      </c>
      <c r="G4875" s="1" t="inlineStr">
        <is>
          <t>ZOEY</t>
        </is>
      </c>
      <c r="H4875" s="1" t="inlineStr">
        <is>
          <t>ZOEY 02/03/2026</t>
        </is>
      </c>
      <c r="I4875" s="4" t="n">
        <v>2</v>
      </c>
      <c r="J4875" s="6" t="n">
        <v>14</v>
      </c>
      <c r="K4875" s="6" t="n">
        <v>367.8776601</v>
      </c>
      <c r="L4875" s="6">
        <f>I4875*K4875</f>
        <v/>
      </c>
      <c r="M4875" s="6">
        <f>K4875*4</f>
        <v/>
      </c>
      <c r="N4875" s="6" t="n">
        <v>1399</v>
      </c>
    </row>
    <row r="4876">
      <c r="A4876" s="1" t="inlineStr">
        <is>
          <t>99781781384365</t>
        </is>
      </c>
      <c r="B4876" s="1" t="inlineStr">
        <is>
          <t>TARJETERO GC MARMONT</t>
        </is>
      </c>
      <c r="C4876" s="1" t="inlineStr">
        <is>
          <t>Default Title</t>
        </is>
      </c>
      <c r="D4876" s="1" t="inlineStr">
        <is>
          <t>08/06/2026</t>
        </is>
      </c>
      <c r="E4876" s="1" t="n">
        <v>2026</v>
      </c>
      <c r="F4876" s="1" t="inlineStr">
        <is>
          <t>JUNIO</t>
        </is>
      </c>
      <c r="G4876" s="1" t="inlineStr">
        <is>
          <t>ZOEY</t>
        </is>
      </c>
      <c r="H4876" s="1" t="inlineStr">
        <is>
          <t>ZOEY 08/06/2026</t>
        </is>
      </c>
      <c r="I4876" s="4" t="n">
        <v>2</v>
      </c>
      <c r="J4876" s="6" t="n">
        <v>14</v>
      </c>
      <c r="K4876" s="6" t="n">
        <v>343.1601104</v>
      </c>
      <c r="L4876" s="6">
        <f>I4876*K4876</f>
        <v/>
      </c>
      <c r="M4876" s="6">
        <f>K4876*4</f>
        <v/>
      </c>
      <c r="N4876" s="6" t="n">
        <v>1399</v>
      </c>
    </row>
    <row r="4877">
      <c r="A4877" s="1" t="inlineStr">
        <is>
          <t>99781781418829</t>
        </is>
      </c>
      <c r="B4877" s="1" t="inlineStr">
        <is>
          <t>CARTERA GC PLEGABLE</t>
        </is>
      </c>
      <c r="C4877" s="1" t="inlineStr">
        <is>
          <t>BLACK</t>
        </is>
      </c>
      <c r="D4877" s="1" t="inlineStr">
        <is>
          <t>02/03/2026</t>
        </is>
      </c>
      <c r="E4877" s="1" t="n">
        <v>2026</v>
      </c>
      <c r="F4877" s="1" t="inlineStr">
        <is>
          <t>MARZO</t>
        </is>
      </c>
      <c r="G4877" s="1" t="inlineStr">
        <is>
          <t>ZOEY</t>
        </is>
      </c>
      <c r="H4877" s="1" t="inlineStr">
        <is>
          <t>ZOEY 02/03/2026</t>
        </is>
      </c>
      <c r="I4877" s="4" t="n">
        <v>2</v>
      </c>
      <c r="J4877" s="6" t="n">
        <v>19</v>
      </c>
      <c r="K4877" s="6" t="n">
        <v>499.2625387</v>
      </c>
      <c r="L4877" s="6">
        <f>I4877*K4877</f>
        <v/>
      </c>
      <c r="M4877" s="6">
        <f>K4877*4</f>
        <v/>
      </c>
      <c r="N4877" s="6" t="n">
        <v>1999</v>
      </c>
    </row>
    <row r="4878">
      <c r="A4878" s="1" t="inlineStr">
        <is>
          <t>99781781554989</t>
        </is>
      </c>
      <c r="B4878" s="1" t="inlineStr">
        <is>
          <t>CARTERA GC CADENA OPHIDIA</t>
        </is>
      </c>
      <c r="C4878" s="1" t="inlineStr">
        <is>
          <t>BROWN</t>
        </is>
      </c>
      <c r="D4878" s="1" t="inlineStr">
        <is>
          <t>02/03/2026</t>
        </is>
      </c>
      <c r="E4878" s="1" t="n">
        <v>2026</v>
      </c>
      <c r="F4878" s="1" t="inlineStr">
        <is>
          <t>MARZO</t>
        </is>
      </c>
      <c r="G4878" s="1" t="inlineStr">
        <is>
          <t>ZOEY</t>
        </is>
      </c>
      <c r="H4878" s="1" t="inlineStr">
        <is>
          <t>ZOEY 02/03/2026</t>
        </is>
      </c>
      <c r="I4878" s="4" t="n">
        <v>2</v>
      </c>
      <c r="J4878" s="6" t="n">
        <v>27</v>
      </c>
      <c r="K4878" s="6" t="n">
        <v>709.4783445</v>
      </c>
      <c r="L4878" s="6">
        <f>I4878*K4878</f>
        <v/>
      </c>
      <c r="M4878" s="6">
        <f>K4878*4</f>
        <v/>
      </c>
      <c r="N4878" s="6" t="n">
        <v>2869</v>
      </c>
    </row>
    <row r="4879">
      <c r="A4879" s="1" t="inlineStr">
        <is>
          <t>99781781554989</t>
        </is>
      </c>
      <c r="B4879" s="1" t="inlineStr">
        <is>
          <t>CARTERA GC CADENA OPHIDIA</t>
        </is>
      </c>
      <c r="C4879" s="1" t="inlineStr">
        <is>
          <t>Default Title</t>
        </is>
      </c>
      <c r="D4879" s="1" t="inlineStr">
        <is>
          <t>20/04/2026</t>
        </is>
      </c>
      <c r="E4879" s="1" t="n">
        <v>2026</v>
      </c>
      <c r="F4879" s="1" t="inlineStr">
        <is>
          <t>ABRIL</t>
        </is>
      </c>
      <c r="G4879" s="1" t="inlineStr">
        <is>
          <t>ZOEY</t>
        </is>
      </c>
      <c r="H4879" s="1" t="inlineStr">
        <is>
          <t>ZOEY 20/04/2026</t>
        </is>
      </c>
      <c r="I4879" s="4" t="n">
        <v>2</v>
      </c>
      <c r="J4879" s="6" t="n">
        <v>27</v>
      </c>
      <c r="K4879" s="6" t="n">
        <v>691.4370151000001</v>
      </c>
      <c r="L4879" s="6">
        <f>I4879*K4879</f>
        <v/>
      </c>
      <c r="M4879" s="6">
        <f>K4879*4</f>
        <v/>
      </c>
      <c r="N4879" s="6" t="n">
        <v>2869</v>
      </c>
    </row>
    <row r="4880">
      <c r="A4880" s="1" t="inlineStr">
        <is>
          <t>99781781554989</t>
        </is>
      </c>
      <c r="B4880" s="1" t="inlineStr">
        <is>
          <t>CARTERA GC CADENA OPHIDIA</t>
        </is>
      </c>
      <c r="C4880" s="1" t="inlineStr">
        <is>
          <t>Default Title</t>
        </is>
      </c>
      <c r="D4880" s="1" t="inlineStr">
        <is>
          <t>15/05/2026</t>
        </is>
      </c>
      <c r="E4880" s="1" t="n">
        <v>2026</v>
      </c>
      <c r="F4880" s="1" t="inlineStr">
        <is>
          <t>MAYO</t>
        </is>
      </c>
      <c r="G4880" s="1" t="inlineStr">
        <is>
          <t>ZOEY</t>
        </is>
      </c>
      <c r="H4880" s="1" t="inlineStr">
        <is>
          <t>ZOEY 15/05/2026</t>
        </is>
      </c>
      <c r="I4880" s="4" t="n">
        <v>3</v>
      </c>
      <c r="J4880" s="6" t="n">
        <v>27</v>
      </c>
      <c r="K4880" s="6" t="n">
        <v>715.6248612000001</v>
      </c>
      <c r="L4880" s="6">
        <f>I4880*K4880</f>
        <v/>
      </c>
      <c r="M4880" s="6">
        <f>K4880*4</f>
        <v/>
      </c>
      <c r="N4880" s="6" t="n">
        <v>2869</v>
      </c>
    </row>
    <row r="4881">
      <c r="A4881" s="1" t="inlineStr">
        <is>
          <t>99781781623917</t>
        </is>
      </c>
      <c r="B4881" s="1" t="inlineStr">
        <is>
          <t>TARJETERO GC LEATHER LOGO SILVER</t>
        </is>
      </c>
      <c r="C4881" s="1" t="inlineStr">
        <is>
          <t>BLACK</t>
        </is>
      </c>
      <c r="D4881" s="1" t="inlineStr">
        <is>
          <t>02/03/2026</t>
        </is>
      </c>
      <c r="E4881" s="1" t="n">
        <v>2026</v>
      </c>
      <c r="F4881" s="1" t="inlineStr">
        <is>
          <t>MARZO</t>
        </is>
      </c>
      <c r="G4881" s="1" t="inlineStr">
        <is>
          <t>ZOEY</t>
        </is>
      </c>
      <c r="H4881" s="1" t="inlineStr">
        <is>
          <t>ZOEY 02/03/2026</t>
        </is>
      </c>
      <c r="I4881" s="4" t="n">
        <v>2</v>
      </c>
      <c r="J4881" s="6" t="n">
        <v>19</v>
      </c>
      <c r="K4881" s="6" t="n">
        <v>499.2625387</v>
      </c>
      <c r="L4881" s="6">
        <f>I4881*K4881</f>
        <v/>
      </c>
      <c r="M4881" s="6">
        <f>K4881*4</f>
        <v/>
      </c>
      <c r="N4881" s="6" t="n">
        <v>1999</v>
      </c>
    </row>
    <row r="4882">
      <c r="A4882" s="1" t="inlineStr">
        <is>
          <t>99781781725613</t>
        </is>
      </c>
      <c r="B4882" s="1" t="inlineStr">
        <is>
          <t>CARTERA GC LEATHER</t>
        </is>
      </c>
      <c r="C4882" s="1" t="inlineStr">
        <is>
          <t>BLACK</t>
        </is>
      </c>
      <c r="D4882" s="1" t="inlineStr">
        <is>
          <t>02/03/2026</t>
        </is>
      </c>
      <c r="E4882" s="1" t="n">
        <v>2026</v>
      </c>
      <c r="F4882" s="1" t="inlineStr">
        <is>
          <t>MARZO</t>
        </is>
      </c>
      <c r="G4882" s="1" t="inlineStr">
        <is>
          <t>ZOEY</t>
        </is>
      </c>
      <c r="H4882" s="1" t="inlineStr">
        <is>
          <t>ZOEY 02/03/2026</t>
        </is>
      </c>
      <c r="I4882" s="4" t="n">
        <v>2</v>
      </c>
      <c r="J4882" s="6" t="n">
        <v>19</v>
      </c>
      <c r="K4882" s="6" t="n">
        <v>499.2625387</v>
      </c>
      <c r="L4882" s="6">
        <f>I4882*K4882</f>
        <v/>
      </c>
      <c r="M4882" s="6">
        <f>K4882*4</f>
        <v/>
      </c>
      <c r="N4882" s="6" t="n">
        <v>2020</v>
      </c>
    </row>
    <row r="4883">
      <c r="A4883" s="1" t="inlineStr">
        <is>
          <t>99781781725613</t>
        </is>
      </c>
      <c r="B4883" s="1" t="inlineStr">
        <is>
          <t>CARTERA GC LEATHER</t>
        </is>
      </c>
      <c r="C4883" s="1" t="inlineStr">
        <is>
          <t>Default Title</t>
        </is>
      </c>
      <c r="D4883" s="1" t="inlineStr">
        <is>
          <t>15/05/2026</t>
        </is>
      </c>
      <c r="E4883" s="1" t="n">
        <v>2026</v>
      </c>
      <c r="F4883" s="1" t="inlineStr">
        <is>
          <t>MAYO</t>
        </is>
      </c>
      <c r="G4883" s="1" t="inlineStr">
        <is>
          <t>ZOEY</t>
        </is>
      </c>
      <c r="H4883" s="1" t="inlineStr">
        <is>
          <t>ZOEY 15/05/2026</t>
        </is>
      </c>
      <c r="I4883" s="4" t="n">
        <v>4</v>
      </c>
      <c r="J4883" s="6" t="n">
        <v>19</v>
      </c>
      <c r="K4883" s="6" t="n">
        <v>503.5878653</v>
      </c>
      <c r="L4883" s="6">
        <f>I4883*K4883</f>
        <v/>
      </c>
      <c r="M4883" s="6">
        <f>K4883*4</f>
        <v/>
      </c>
      <c r="N4883" s="6" t="n">
        <v>2020</v>
      </c>
    </row>
    <row r="4884">
      <c r="A4884" s="1" t="inlineStr">
        <is>
          <t>99781781861773</t>
        </is>
      </c>
      <c r="B4884" s="1" t="inlineStr">
        <is>
          <t>TARJETERO GC EBANO</t>
        </is>
      </c>
      <c r="C4884" s="1" t="inlineStr">
        <is>
          <t>BROWN</t>
        </is>
      </c>
      <c r="D4884" s="1" t="inlineStr">
        <is>
          <t>02/03/2026</t>
        </is>
      </c>
      <c r="E4884" s="1" t="n">
        <v>2026</v>
      </c>
      <c r="F4884" s="1" t="inlineStr">
        <is>
          <t>MARZO</t>
        </is>
      </c>
      <c r="G4884" s="1" t="inlineStr">
        <is>
          <t>ZOEY</t>
        </is>
      </c>
      <c r="H4884" s="1" t="inlineStr">
        <is>
          <t>ZOEY 02/03/2026</t>
        </is>
      </c>
      <c r="I4884" s="4" t="n">
        <v>1</v>
      </c>
      <c r="J4884" s="6" t="n">
        <v>14</v>
      </c>
      <c r="K4884" s="6" t="n">
        <v>367.8776601</v>
      </c>
      <c r="L4884" s="6">
        <f>I4884*K4884</f>
        <v/>
      </c>
      <c r="M4884" s="6">
        <f>K4884*4</f>
        <v/>
      </c>
      <c r="N4884" s="6" t="n">
        <v>2350</v>
      </c>
    </row>
    <row r="4885">
      <c r="A4885" s="1" t="inlineStr">
        <is>
          <t>99781781934093</t>
        </is>
      </c>
      <c r="B4885" s="1" t="inlineStr">
        <is>
          <t>TARJETERO GC OPHIDIA SUPREME</t>
        </is>
      </c>
      <c r="C4885" s="1" t="inlineStr">
        <is>
          <t>BROWN</t>
        </is>
      </c>
      <c r="D4885" s="1" t="inlineStr">
        <is>
          <t>02/03/2026</t>
        </is>
      </c>
      <c r="E4885" s="1" t="n">
        <v>2026</v>
      </c>
      <c r="F4885" s="1" t="inlineStr">
        <is>
          <t>MARZO</t>
        </is>
      </c>
      <c r="G4885" s="1" t="inlineStr">
        <is>
          <t>ZOEY</t>
        </is>
      </c>
      <c r="H4885" s="1" t="inlineStr">
        <is>
          <t>ZOEY 02/03/2026</t>
        </is>
      </c>
      <c r="I4885" s="4" t="n">
        <v>2</v>
      </c>
      <c r="J4885" s="6" t="n">
        <v>14</v>
      </c>
      <c r="K4885" s="6" t="n">
        <v>367.8776601</v>
      </c>
      <c r="L4885" s="6">
        <f>I4885*K4885</f>
        <v/>
      </c>
      <c r="M4885" s="6">
        <f>K4885*4</f>
        <v/>
      </c>
      <c r="N4885" s="6" t="n">
        <v>1475</v>
      </c>
    </row>
    <row r="4886">
      <c r="A4886" s="1" t="inlineStr">
        <is>
          <t>99781782096237</t>
        </is>
      </c>
      <c r="B4886" s="1" t="inlineStr">
        <is>
          <t>TARJETERO GC SUPREME</t>
        </is>
      </c>
      <c r="C4886" s="1" t="inlineStr">
        <is>
          <t>BROWN</t>
        </is>
      </c>
      <c r="D4886" s="1" t="inlineStr">
        <is>
          <t>02/03/2026</t>
        </is>
      </c>
      <c r="E4886" s="1" t="n">
        <v>2026</v>
      </c>
      <c r="F4886" s="1" t="inlineStr">
        <is>
          <t>MARZO</t>
        </is>
      </c>
      <c r="G4886" s="1" t="inlineStr">
        <is>
          <t>ZOEY</t>
        </is>
      </c>
      <c r="H4886" s="1" t="inlineStr">
        <is>
          <t>ZOEY 02/03/2026</t>
        </is>
      </c>
      <c r="I4886" s="4" t="n">
        <v>2</v>
      </c>
      <c r="J4886" s="6" t="n">
        <v>16</v>
      </c>
      <c r="K4886" s="6" t="n">
        <v>420.4316116</v>
      </c>
      <c r="L4886" s="6">
        <f>I4886*K4886</f>
        <v/>
      </c>
      <c r="M4886" s="6">
        <f>K4886*4</f>
        <v/>
      </c>
      <c r="N4886" s="6" t="n">
        <v>1685</v>
      </c>
    </row>
    <row r="4887">
      <c r="A4887" s="1" t="inlineStr">
        <is>
          <t>99781782139949</t>
        </is>
      </c>
      <c r="B4887" s="1" t="inlineStr">
        <is>
          <t>TARJETERO GC EMBLEM</t>
        </is>
      </c>
      <c r="C4887" s="1" t="inlineStr">
        <is>
          <t>BLACK</t>
        </is>
      </c>
      <c r="D4887" s="1" t="inlineStr">
        <is>
          <t>02/03/2026</t>
        </is>
      </c>
      <c r="E4887" s="1" t="n">
        <v>2026</v>
      </c>
      <c r="F4887" s="1" t="inlineStr">
        <is>
          <t>MARZO</t>
        </is>
      </c>
      <c r="G4887" s="1" t="inlineStr">
        <is>
          <t>ZOEY</t>
        </is>
      </c>
      <c r="H4887" s="1" t="inlineStr">
        <is>
          <t>ZOEY 02/03/2026</t>
        </is>
      </c>
      <c r="I4887" s="4" t="n">
        <v>3</v>
      </c>
      <c r="J4887" s="6" t="n">
        <v>14</v>
      </c>
      <c r="K4887" s="6" t="n">
        <v>367.8776601</v>
      </c>
      <c r="L4887" s="6">
        <f>I4887*K4887</f>
        <v/>
      </c>
      <c r="M4887" s="6">
        <f>K4887*4</f>
        <v/>
      </c>
      <c r="N4887" s="6" t="n">
        <v>1399</v>
      </c>
    </row>
    <row r="4888">
      <c r="A4888" s="1" t="inlineStr">
        <is>
          <t>99781782139949</t>
        </is>
      </c>
      <c r="B4888" s="1" t="inlineStr">
        <is>
          <t>TARJETERO GC EMBLEM</t>
        </is>
      </c>
      <c r="C4888" s="1" t="inlineStr">
        <is>
          <t>Default Title</t>
        </is>
      </c>
      <c r="D4888" s="1" t="inlineStr">
        <is>
          <t>08/06/2026</t>
        </is>
      </c>
      <c r="E4888" s="1" t="n">
        <v>2026</v>
      </c>
      <c r="F4888" s="1" t="inlineStr">
        <is>
          <t>JUNIO</t>
        </is>
      </c>
      <c r="G4888" s="1" t="inlineStr">
        <is>
          <t>ZOEY</t>
        </is>
      </c>
      <c r="H4888" s="1" t="inlineStr">
        <is>
          <t>ZOEY 08/06/2026</t>
        </is>
      </c>
      <c r="I4888" s="4" t="n">
        <v>4</v>
      </c>
      <c r="J4888" s="6" t="n">
        <v>14</v>
      </c>
      <c r="K4888" s="6" t="n">
        <v>343.1601104</v>
      </c>
      <c r="L4888" s="6">
        <f>I4888*K4888</f>
        <v/>
      </c>
      <c r="M4888" s="6">
        <f>K4888*4</f>
        <v/>
      </c>
      <c r="N4888" s="6" t="n">
        <v>1399</v>
      </c>
    </row>
    <row r="4889">
      <c r="A4889" s="1" t="inlineStr">
        <is>
          <t>99781782263469</t>
        </is>
      </c>
      <c r="B4889" s="1" t="inlineStr">
        <is>
          <t>CARTERA GC ALARGADA</t>
        </is>
      </c>
      <c r="C4889" s="1" t="inlineStr">
        <is>
          <t>BLACK</t>
        </is>
      </c>
      <c r="D4889" s="1" t="inlineStr">
        <is>
          <t>02/03/2026</t>
        </is>
      </c>
      <c r="E4889" s="1" t="n">
        <v>2026</v>
      </c>
      <c r="F4889" s="1" t="inlineStr">
        <is>
          <t>MARZO</t>
        </is>
      </c>
      <c r="G4889" s="1" t="inlineStr">
        <is>
          <t>ZOEY</t>
        </is>
      </c>
      <c r="H4889" s="1" t="inlineStr">
        <is>
          <t>ZOEY 02/03/2026</t>
        </is>
      </c>
      <c r="I4889" s="4" t="n">
        <v>2</v>
      </c>
      <c r="J4889" s="6" t="n">
        <v>17</v>
      </c>
      <c r="K4889" s="6" t="n">
        <v>446.7085873</v>
      </c>
      <c r="L4889" s="6">
        <f>I4889*K4889</f>
        <v/>
      </c>
      <c r="M4889" s="6">
        <f>K4889*4</f>
        <v/>
      </c>
      <c r="N4889" s="6" t="n">
        <v>1800</v>
      </c>
    </row>
    <row r="4890">
      <c r="A4890" s="1" t="inlineStr">
        <is>
          <t>99781782263469</t>
        </is>
      </c>
      <c r="B4890" s="1" t="inlineStr">
        <is>
          <t>CARTERA GC ALARGADA</t>
        </is>
      </c>
      <c r="C4890" s="1" t="inlineStr">
        <is>
          <t>Default Title</t>
        </is>
      </c>
      <c r="D4890" s="1" t="inlineStr">
        <is>
          <t>15/05/2026</t>
        </is>
      </c>
      <c r="E4890" s="1" t="n">
        <v>2026</v>
      </c>
      <c r="F4890" s="1" t="inlineStr">
        <is>
          <t>MAYO</t>
        </is>
      </c>
      <c r="G4890" s="1" t="inlineStr">
        <is>
          <t>ZOEY</t>
        </is>
      </c>
      <c r="H4890" s="1" t="inlineStr">
        <is>
          <t>ZOEY 15/05/2026</t>
        </is>
      </c>
      <c r="I4890" s="4" t="n">
        <v>4</v>
      </c>
      <c r="J4890" s="6" t="n">
        <v>17</v>
      </c>
      <c r="K4890" s="6" t="n">
        <v>450.5786163</v>
      </c>
      <c r="L4890" s="6">
        <f>I4890*K4890</f>
        <v/>
      </c>
      <c r="M4890" s="6">
        <f>K4890*4</f>
        <v/>
      </c>
      <c r="N4890" s="6" t="n">
        <v>1800</v>
      </c>
    </row>
    <row r="4891">
      <c r="A4891" s="1" t="inlineStr">
        <is>
          <t>99781782370253</t>
        </is>
      </c>
      <c r="B4891" s="1" t="inlineStr">
        <is>
          <t>BOLSO GC BUCKET MARMONT</t>
        </is>
      </c>
      <c r="C4891" s="1" t="inlineStr">
        <is>
          <t>WHITE</t>
        </is>
      </c>
      <c r="D4891" s="1" t="inlineStr">
        <is>
          <t>02/03/2026</t>
        </is>
      </c>
      <c r="E4891" s="1" t="n">
        <v>2026</v>
      </c>
      <c r="F4891" s="1" t="inlineStr">
        <is>
          <t>MARZO</t>
        </is>
      </c>
      <c r="G4891" s="1" t="inlineStr">
        <is>
          <t>ZOEY</t>
        </is>
      </c>
      <c r="H4891" s="1" t="inlineStr">
        <is>
          <t>ZOEY 02/03/2026</t>
        </is>
      </c>
      <c r="I4891" s="4" t="n">
        <v>2</v>
      </c>
      <c r="J4891" s="6" t="n">
        <v>42</v>
      </c>
      <c r="K4891" s="6" t="n">
        <v>1103.63298</v>
      </c>
      <c r="L4891" s="6">
        <f>I4891*K4891</f>
        <v/>
      </c>
      <c r="M4891" s="6">
        <f>K4891*4</f>
        <v/>
      </c>
      <c r="N4891" s="6" t="n">
        <v>4453</v>
      </c>
    </row>
    <row r="4892">
      <c r="A4892" s="1" t="inlineStr">
        <is>
          <t>99781782370253</t>
        </is>
      </c>
      <c r="B4892" s="1" t="inlineStr">
        <is>
          <t>BOLSO GC BUCKET MARMONT</t>
        </is>
      </c>
      <c r="C4892" s="1" t="inlineStr">
        <is>
          <t>Default Title</t>
        </is>
      </c>
      <c r="D4892" s="1" t="inlineStr">
        <is>
          <t>15/05/2026</t>
        </is>
      </c>
      <c r="E4892" s="1" t="n">
        <v>2026</v>
      </c>
      <c r="F4892" s="1" t="inlineStr">
        <is>
          <t>MAYO</t>
        </is>
      </c>
      <c r="G4892" s="1" t="inlineStr">
        <is>
          <t>ZOEY</t>
        </is>
      </c>
      <c r="H4892" s="1" t="inlineStr">
        <is>
          <t>ZOEY 15/05/2026</t>
        </is>
      </c>
      <c r="I4892" s="4" t="n">
        <v>4</v>
      </c>
      <c r="J4892" s="6" t="n">
        <v>42</v>
      </c>
      <c r="K4892" s="6" t="n">
        <v>1113.194228</v>
      </c>
      <c r="L4892" s="6">
        <f>I4892*K4892</f>
        <v/>
      </c>
      <c r="M4892" s="6">
        <f>K4892*4</f>
        <v/>
      </c>
      <c r="N4892" s="6" t="n">
        <v>4453</v>
      </c>
    </row>
    <row r="4893">
      <c r="A4893" s="1" t="inlineStr">
        <is>
          <t>99781782406413</t>
        </is>
      </c>
      <c r="B4893" s="1" t="inlineStr">
        <is>
          <t>BOLSO GC BUCKET EMBLEM</t>
        </is>
      </c>
      <c r="C4893" s="1" t="inlineStr">
        <is>
          <t>BEIGE</t>
        </is>
      </c>
      <c r="D4893" s="1" t="inlineStr">
        <is>
          <t>02/03/2026</t>
        </is>
      </c>
      <c r="E4893" s="1" t="n">
        <v>2026</v>
      </c>
      <c r="F4893" s="1" t="inlineStr">
        <is>
          <t>MARZO</t>
        </is>
      </c>
      <c r="G4893" s="1" t="inlineStr">
        <is>
          <t>ZOEY</t>
        </is>
      </c>
      <c r="H4893" s="1" t="inlineStr">
        <is>
          <t>ZOEY 02/03/2026</t>
        </is>
      </c>
      <c r="I4893" s="4" t="n">
        <v>1</v>
      </c>
      <c r="J4893" s="6" t="n">
        <v>58</v>
      </c>
      <c r="K4893" s="6" t="n">
        <v>1524.064592</v>
      </c>
      <c r="L4893" s="6">
        <f>I4893*K4893</f>
        <v/>
      </c>
      <c r="M4893" s="6">
        <f>K4893*4</f>
        <v/>
      </c>
      <c r="N4893" s="6" t="n">
        <v>5699</v>
      </c>
    </row>
    <row r="4894">
      <c r="A4894" s="1" t="inlineStr">
        <is>
          <t>99781782406413</t>
        </is>
      </c>
      <c r="B4894" s="1" t="inlineStr">
        <is>
          <t>BOLSO GC BUCKET EMBLEM</t>
        </is>
      </c>
      <c r="C4894" s="1" t="inlineStr">
        <is>
          <t>Default Title</t>
        </is>
      </c>
      <c r="D4894" s="1" t="inlineStr">
        <is>
          <t>20/04/2026</t>
        </is>
      </c>
      <c r="E4894" s="1" t="n">
        <v>2026</v>
      </c>
      <c r="F4894" s="1" t="inlineStr">
        <is>
          <t>ABRIL</t>
        </is>
      </c>
      <c r="G4894" s="1" t="inlineStr">
        <is>
          <t>ZOEY</t>
        </is>
      </c>
      <c r="H4894" s="1" t="inlineStr">
        <is>
          <t>ZOEY 20/04/2026</t>
        </is>
      </c>
      <c r="I4894" s="4" t="n">
        <v>3</v>
      </c>
      <c r="J4894" s="6" t="n">
        <v>58</v>
      </c>
      <c r="K4894" s="6" t="n">
        <v>1485.309144</v>
      </c>
      <c r="L4894" s="6">
        <f>I4894*K4894</f>
        <v/>
      </c>
      <c r="M4894" s="6">
        <f>K4894*4</f>
        <v/>
      </c>
      <c r="N4894" s="6" t="n">
        <v>5699</v>
      </c>
    </row>
    <row r="4895">
      <c r="A4895" s="1" t="inlineStr">
        <is>
          <t>99781782406413</t>
        </is>
      </c>
      <c r="B4895" s="1" t="inlineStr">
        <is>
          <t>BOLSO GC BUCKET EMBLEM</t>
        </is>
      </c>
      <c r="C4895" s="1" t="inlineStr">
        <is>
          <t>Default Title</t>
        </is>
      </c>
      <c r="D4895" s="1" t="inlineStr">
        <is>
          <t>15/05/2026</t>
        </is>
      </c>
      <c r="E4895" s="1" t="n">
        <v>2026</v>
      </c>
      <c r="F4895" s="1" t="inlineStr">
        <is>
          <t>MAYO</t>
        </is>
      </c>
      <c r="G4895" s="1" t="inlineStr">
        <is>
          <t>ZOEY</t>
        </is>
      </c>
      <c r="H4895" s="1" t="inlineStr">
        <is>
          <t>ZOEY 15/05/2026</t>
        </is>
      </c>
      <c r="I4895" s="4" t="n">
        <v>2</v>
      </c>
      <c r="J4895" s="6" t="n">
        <v>58</v>
      </c>
      <c r="K4895" s="6" t="n">
        <v>1537.26822</v>
      </c>
      <c r="L4895" s="6">
        <f>I4895*K4895</f>
        <v/>
      </c>
      <c r="M4895" s="6">
        <f>K4895*4</f>
        <v/>
      </c>
      <c r="N4895" s="6" t="n">
        <v>5699</v>
      </c>
    </row>
    <row r="4896">
      <c r="A4896" s="1" t="inlineStr">
        <is>
          <t>99781782406413</t>
        </is>
      </c>
      <c r="B4896" s="1" t="inlineStr">
        <is>
          <t>BOLSO GC BUCKET EMBLEM</t>
        </is>
      </c>
      <c r="C4896" s="1" t="inlineStr">
        <is>
          <t>Default Title</t>
        </is>
      </c>
      <c r="D4896" s="1" t="inlineStr">
        <is>
          <t>08/06/2026</t>
        </is>
      </c>
      <c r="E4896" s="1" t="n">
        <v>2026</v>
      </c>
      <c r="F4896" s="1" t="inlineStr">
        <is>
          <t>JUNIO</t>
        </is>
      </c>
      <c r="G4896" s="1" t="inlineStr">
        <is>
          <t>ZOEY</t>
        </is>
      </c>
      <c r="H4896" s="1" t="inlineStr">
        <is>
          <t>ZOEY 08/06/2026</t>
        </is>
      </c>
      <c r="I4896" s="4" t="n">
        <v>5</v>
      </c>
      <c r="J4896" s="6" t="n">
        <v>58</v>
      </c>
      <c r="K4896" s="6" t="n">
        <v>1421.663314</v>
      </c>
      <c r="L4896" s="6">
        <f>I4896*K4896</f>
        <v/>
      </c>
      <c r="M4896" s="6">
        <f>K4896*4</f>
        <v/>
      </c>
      <c r="N4896" s="6" t="n">
        <v>5699</v>
      </c>
    </row>
    <row r="4897">
      <c r="A4897" s="1" t="inlineStr">
        <is>
          <t>99781782573645</t>
        </is>
      </c>
      <c r="B4897" s="1" t="inlineStr">
        <is>
          <t>BOLSO C TANK TOP</t>
        </is>
      </c>
      <c r="C4897" s="1" t="inlineStr">
        <is>
          <t>BROWN</t>
        </is>
      </c>
      <c r="D4897" s="1" t="inlineStr">
        <is>
          <t>02/03/2026</t>
        </is>
      </c>
      <c r="E4897" s="1" t="n">
        <v>2026</v>
      </c>
      <c r="F4897" s="1" t="inlineStr">
        <is>
          <t>MARZO</t>
        </is>
      </c>
      <c r="G4897" s="1" t="inlineStr">
        <is>
          <t>ZOEY</t>
        </is>
      </c>
      <c r="H4897" s="1" t="inlineStr">
        <is>
          <t>ZOEY 02/03/2026</t>
        </is>
      </c>
      <c r="I4897" s="4" t="n">
        <v>1</v>
      </c>
      <c r="J4897" s="6" t="n">
        <v>55</v>
      </c>
      <c r="K4897" s="6" t="n">
        <v>1445.233665</v>
      </c>
      <c r="L4897" s="6">
        <f>I4897*K4897</f>
        <v/>
      </c>
      <c r="M4897" s="6">
        <f>K4897*4</f>
        <v/>
      </c>
      <c r="N4897" s="6" t="n">
        <v>5839</v>
      </c>
    </row>
    <row r="4898">
      <c r="A4898" s="1" t="inlineStr">
        <is>
          <t>99781782573645</t>
        </is>
      </c>
      <c r="B4898" s="1" t="inlineStr">
        <is>
          <t>BOLSO C TANK TOP</t>
        </is>
      </c>
      <c r="C4898" s="1" t="inlineStr">
        <is>
          <t>Default Title</t>
        </is>
      </c>
      <c r="D4898" s="1" t="inlineStr">
        <is>
          <t>15/05/2026</t>
        </is>
      </c>
      <c r="E4898" s="1" t="n">
        <v>2026</v>
      </c>
      <c r="F4898" s="1" t="inlineStr">
        <is>
          <t>MAYO</t>
        </is>
      </c>
      <c r="G4898" s="1" t="inlineStr">
        <is>
          <t>ZOEY</t>
        </is>
      </c>
      <c r="H4898" s="1" t="inlineStr">
        <is>
          <t>ZOEY 15/05/2026</t>
        </is>
      </c>
      <c r="I4898" s="4" t="n">
        <v>3</v>
      </c>
      <c r="J4898" s="6" t="n">
        <v>55</v>
      </c>
      <c r="K4898" s="6" t="n">
        <v>1457.754347</v>
      </c>
      <c r="L4898" s="6">
        <f>I4898*K4898</f>
        <v/>
      </c>
      <c r="M4898" s="6">
        <f>K4898*4</f>
        <v/>
      </c>
      <c r="N4898" s="6" t="n">
        <v>5839</v>
      </c>
    </row>
    <row r="4899">
      <c r="A4899" s="1" t="inlineStr">
        <is>
          <t>99781782675341</t>
        </is>
      </c>
      <c r="B4899" s="1" t="inlineStr">
        <is>
          <t>CINTO C TRIOMPHIE BUCKLE</t>
        </is>
      </c>
      <c r="C4899" s="1" t="inlineStr">
        <is>
          <t>BLACK</t>
        </is>
      </c>
      <c r="D4899" s="1" t="inlineStr">
        <is>
          <t>02/03/2026</t>
        </is>
      </c>
      <c r="E4899" s="1" t="n">
        <v>2026</v>
      </c>
      <c r="F4899" s="1" t="inlineStr">
        <is>
          <t>MARZO</t>
        </is>
      </c>
      <c r="G4899" s="1" t="inlineStr">
        <is>
          <t>ZOEY</t>
        </is>
      </c>
      <c r="H4899" s="1" t="inlineStr">
        <is>
          <t>ZOEY 02/03/2026</t>
        </is>
      </c>
      <c r="I4899" s="4" t="n">
        <v>1</v>
      </c>
      <c r="J4899" s="6" t="n">
        <v>45</v>
      </c>
      <c r="K4899" s="6" t="n">
        <v>1182.463908</v>
      </c>
      <c r="L4899" s="6">
        <f>I4899*K4899</f>
        <v/>
      </c>
      <c r="M4899" s="6">
        <f>K4899*4</f>
        <v/>
      </c>
      <c r="N4899" s="6" t="n">
        <v>4779</v>
      </c>
    </row>
    <row r="4900">
      <c r="A4900" s="1" t="inlineStr">
        <is>
          <t>99781782675341</t>
        </is>
      </c>
      <c r="B4900" s="1" t="inlineStr">
        <is>
          <t>CINTO C TRIOMPHIE BUCKLE</t>
        </is>
      </c>
      <c r="C4900" s="1" t="inlineStr">
        <is>
          <t>100CM</t>
        </is>
      </c>
      <c r="D4900" s="1" t="inlineStr">
        <is>
          <t>15/05/2026</t>
        </is>
      </c>
      <c r="E4900" s="1" t="n">
        <v>2026</v>
      </c>
      <c r="F4900" s="1" t="inlineStr">
        <is>
          <t>MAYO</t>
        </is>
      </c>
      <c r="G4900" s="1" t="inlineStr">
        <is>
          <t>ZOEY</t>
        </is>
      </c>
      <c r="H4900" s="1" t="inlineStr">
        <is>
          <t>ZOEY 15/05/2026</t>
        </is>
      </c>
      <c r="I4900" s="4" t="n">
        <v>3</v>
      </c>
      <c r="J4900" s="6" t="n">
        <v>45</v>
      </c>
      <c r="K4900" s="6" t="n">
        <v>1192.708102</v>
      </c>
      <c r="L4900" s="6">
        <f>I4900*K4900</f>
        <v/>
      </c>
      <c r="M4900" s="6">
        <f>K4900*4</f>
        <v/>
      </c>
      <c r="N4900" s="6" t="n">
        <v>4779</v>
      </c>
    </row>
    <row r="4901">
      <c r="A4901" s="1" t="inlineStr">
        <is>
          <t>99781782742573</t>
        </is>
      </c>
      <c r="B4901" s="1" t="inlineStr">
        <is>
          <t>GORRA C DENIM LAVADO</t>
        </is>
      </c>
      <c r="C4901" s="1" t="inlineStr">
        <is>
          <t>BLUE</t>
        </is>
      </c>
      <c r="D4901" s="1" t="inlineStr">
        <is>
          <t>02/03/2026</t>
        </is>
      </c>
      <c r="E4901" s="1" t="n">
        <v>2026</v>
      </c>
      <c r="F4901" s="1" t="inlineStr">
        <is>
          <t>MARZO</t>
        </is>
      </c>
      <c r="G4901" s="1" t="inlineStr">
        <is>
          <t>ZOEY</t>
        </is>
      </c>
      <c r="H4901" s="1" t="inlineStr">
        <is>
          <t>ZOEY 02/03/2026</t>
        </is>
      </c>
      <c r="I4901" s="4" t="n">
        <v>2</v>
      </c>
      <c r="J4901" s="6" t="n">
        <v>17</v>
      </c>
      <c r="K4901" s="6" t="n">
        <v>446.7085873</v>
      </c>
      <c r="L4901" s="6">
        <f>I4901*K4901</f>
        <v/>
      </c>
      <c r="M4901" s="6">
        <f>K4901*4</f>
        <v/>
      </c>
      <c r="N4901" s="6" t="n">
        <v>1699</v>
      </c>
    </row>
    <row r="4902">
      <c r="A4902" s="1" t="inlineStr">
        <is>
          <t>99781782742573</t>
        </is>
      </c>
      <c r="B4902" s="1" t="inlineStr">
        <is>
          <t>GORRA C DENIM LAVADO</t>
        </is>
      </c>
      <c r="C4902" s="1" t="inlineStr">
        <is>
          <t>Default Title</t>
        </is>
      </c>
      <c r="D4902" s="1" t="inlineStr">
        <is>
          <t>20/04/2026</t>
        </is>
      </c>
      <c r="E4902" s="1" t="n">
        <v>2026</v>
      </c>
      <c r="F4902" s="1" t="inlineStr">
        <is>
          <t>ABRIL</t>
        </is>
      </c>
      <c r="G4902" s="1" t="inlineStr">
        <is>
          <t>ZOEY</t>
        </is>
      </c>
      <c r="H4902" s="1" t="inlineStr">
        <is>
          <t>ZOEY 20/04/2026</t>
        </is>
      </c>
      <c r="I4902" s="4" t="n">
        <v>5</v>
      </c>
      <c r="J4902" s="6" t="n">
        <v>17</v>
      </c>
      <c r="K4902" s="6" t="n">
        <v>435.3492317</v>
      </c>
      <c r="L4902" s="6">
        <f>I4902*K4902</f>
        <v/>
      </c>
      <c r="M4902" s="6">
        <f>K4902*4</f>
        <v/>
      </c>
      <c r="N4902" s="6" t="n">
        <v>1699</v>
      </c>
    </row>
    <row r="4903">
      <c r="A4903" s="1" t="inlineStr">
        <is>
          <t>99781782742573</t>
        </is>
      </c>
      <c r="B4903" s="1" t="inlineStr">
        <is>
          <t>GORRA C DENIM LAVADO</t>
        </is>
      </c>
      <c r="C4903" s="1" t="inlineStr">
        <is>
          <t>Default Title</t>
        </is>
      </c>
      <c r="D4903" s="1" t="inlineStr">
        <is>
          <t>08/06/2026</t>
        </is>
      </c>
      <c r="E4903" s="1" t="n">
        <v>2026</v>
      </c>
      <c r="F4903" s="1" t="inlineStr">
        <is>
          <t>JUNIO</t>
        </is>
      </c>
      <c r="G4903" s="1" t="inlineStr">
        <is>
          <t>ZOEY</t>
        </is>
      </c>
      <c r="H4903" s="1" t="inlineStr">
        <is>
          <t>ZOEY 08/06/2026</t>
        </is>
      </c>
      <c r="I4903" s="4" t="n">
        <v>5</v>
      </c>
      <c r="J4903" s="6" t="n">
        <v>17</v>
      </c>
      <c r="K4903" s="6" t="n">
        <v>416.6944197</v>
      </c>
      <c r="L4903" s="6">
        <f>I4903*K4903</f>
        <v/>
      </c>
      <c r="M4903" s="6">
        <f>K4903*4</f>
        <v/>
      </c>
      <c r="N4903" s="6" t="n">
        <v>1699</v>
      </c>
    </row>
    <row r="4904">
      <c r="A4904" s="1" t="inlineStr">
        <is>
          <t>99781782880429</t>
        </is>
      </c>
      <c r="B4904" s="1" t="inlineStr">
        <is>
          <t>CINTO C HERITAGE</t>
        </is>
      </c>
      <c r="C4904" s="1" t="inlineStr">
        <is>
          <t>BLACK</t>
        </is>
      </c>
      <c r="D4904" s="1" t="inlineStr">
        <is>
          <t>02/03/2026</t>
        </is>
      </c>
      <c r="E4904" s="1" t="n">
        <v>2026</v>
      </c>
      <c r="F4904" s="1" t="inlineStr">
        <is>
          <t>MARZO</t>
        </is>
      </c>
      <c r="G4904" s="1" t="inlineStr">
        <is>
          <t>ZOEY</t>
        </is>
      </c>
      <c r="H4904" s="1" t="inlineStr">
        <is>
          <t>ZOEY 02/03/2026</t>
        </is>
      </c>
      <c r="I4904" s="4" t="n">
        <v>1</v>
      </c>
      <c r="J4904" s="6" t="n">
        <v>45</v>
      </c>
      <c r="K4904" s="6" t="n">
        <v>1182.463908</v>
      </c>
      <c r="L4904" s="6">
        <f>I4904*K4904</f>
        <v/>
      </c>
      <c r="M4904" s="6">
        <f>K4904*4</f>
        <v/>
      </c>
      <c r="N4904" s="6" t="n">
        <v>4779</v>
      </c>
    </row>
    <row r="4905">
      <c r="A4905" s="1" t="inlineStr">
        <is>
          <t>99781782880429</t>
        </is>
      </c>
      <c r="B4905" s="1" t="inlineStr">
        <is>
          <t>CINTO C HERITAGE</t>
        </is>
      </c>
      <c r="C4905" s="1" t="inlineStr">
        <is>
          <t>100CM</t>
        </is>
      </c>
      <c r="D4905" s="1" t="inlineStr">
        <is>
          <t>15/05/2026</t>
        </is>
      </c>
      <c r="E4905" s="1" t="n">
        <v>2026</v>
      </c>
      <c r="F4905" s="1" t="inlineStr">
        <is>
          <t>MAYO</t>
        </is>
      </c>
      <c r="G4905" s="1" t="inlineStr">
        <is>
          <t>ZOEY</t>
        </is>
      </c>
      <c r="H4905" s="1" t="inlineStr">
        <is>
          <t>ZOEY 15/05/2026</t>
        </is>
      </c>
      <c r="I4905" s="4" t="n">
        <v>4</v>
      </c>
      <c r="J4905" s="6" t="n">
        <v>45</v>
      </c>
      <c r="K4905" s="6" t="n">
        <v>1192.708102</v>
      </c>
      <c r="L4905" s="6">
        <f>I4905*K4905</f>
        <v/>
      </c>
      <c r="M4905" s="6">
        <f>K4905*4</f>
        <v/>
      </c>
      <c r="N4905" s="6" t="n">
        <v>4779</v>
      </c>
    </row>
    <row r="4906">
      <c r="A4906" s="1" t="inlineStr">
        <is>
          <t>99781782982125</t>
        </is>
      </c>
      <c r="B4906" s="1" t="inlineStr">
        <is>
          <t>CINTO C VIVIENNE 25</t>
        </is>
      </c>
      <c r="C4906" s="1" t="inlineStr">
        <is>
          <t>BROWN</t>
        </is>
      </c>
      <c r="D4906" s="1" t="inlineStr">
        <is>
          <t>02/03/2026</t>
        </is>
      </c>
      <c r="E4906" s="1" t="n">
        <v>2026</v>
      </c>
      <c r="F4906" s="1" t="inlineStr">
        <is>
          <t>MARZO</t>
        </is>
      </c>
      <c r="G4906" s="1" t="inlineStr">
        <is>
          <t>ZOEY</t>
        </is>
      </c>
      <c r="H4906" s="1" t="inlineStr">
        <is>
          <t>ZOEY 02/03/2026</t>
        </is>
      </c>
      <c r="I4906" s="4" t="n">
        <v>1</v>
      </c>
      <c r="J4906" s="6" t="n">
        <v>45</v>
      </c>
      <c r="K4906" s="6" t="n">
        <v>1182.463908</v>
      </c>
      <c r="L4906" s="6">
        <f>I4906*K4906</f>
        <v/>
      </c>
      <c r="M4906" s="6">
        <f>K4906*4</f>
        <v/>
      </c>
      <c r="N4906" s="6" t="n">
        <v>4609</v>
      </c>
    </row>
    <row r="4907">
      <c r="A4907" s="1" t="inlineStr">
        <is>
          <t>99781782982125</t>
        </is>
      </c>
      <c r="B4907" s="1" t="inlineStr">
        <is>
          <t>CINTO C VIVIENNE 25</t>
        </is>
      </c>
      <c r="C4907" s="1" t="inlineStr">
        <is>
          <t>Default Title</t>
        </is>
      </c>
      <c r="D4907" s="1" t="inlineStr">
        <is>
          <t>20/04/2026</t>
        </is>
      </c>
      <c r="E4907" s="1" t="n">
        <v>2026</v>
      </c>
      <c r="F4907" s="1" t="inlineStr">
        <is>
          <t>ABRIL</t>
        </is>
      </c>
      <c r="G4907" s="1" t="inlineStr">
        <is>
          <t>ZOEY</t>
        </is>
      </c>
      <c r="H4907" s="1" t="inlineStr">
        <is>
          <t>ZOEY 20/04/2026</t>
        </is>
      </c>
      <c r="I4907" s="4" t="n">
        <v>5</v>
      </c>
      <c r="J4907" s="6" t="n">
        <v>45</v>
      </c>
      <c r="K4907" s="6" t="n">
        <v>1152.395025</v>
      </c>
      <c r="L4907" s="6">
        <f>I4907*K4907</f>
        <v/>
      </c>
      <c r="M4907" s="6">
        <f>K4907*4</f>
        <v/>
      </c>
      <c r="N4907" s="6" t="n">
        <v>4609</v>
      </c>
    </row>
    <row r="4908">
      <c r="A4908" s="1" t="inlineStr">
        <is>
          <t>99781782982125</t>
        </is>
      </c>
      <c r="B4908" s="1" t="inlineStr">
        <is>
          <t>CINTO C VIVIENNE 25</t>
        </is>
      </c>
      <c r="C4908" s="1" t="inlineStr">
        <is>
          <t>100cm</t>
        </is>
      </c>
      <c r="D4908" s="1" t="inlineStr">
        <is>
          <t>08/06/2026</t>
        </is>
      </c>
      <c r="E4908" s="1" t="n">
        <v>2026</v>
      </c>
      <c r="F4908" s="1" t="inlineStr">
        <is>
          <t>JUNIO</t>
        </is>
      </c>
      <c r="G4908" s="1" t="inlineStr">
        <is>
          <t>ZOEY</t>
        </is>
      </c>
      <c r="H4908" s="1" t="inlineStr">
        <is>
          <t>ZOEY 08/06/2026</t>
        </is>
      </c>
      <c r="I4908" s="4" t="n">
        <v>3</v>
      </c>
      <c r="J4908" s="6" t="n">
        <v>45</v>
      </c>
      <c r="K4908" s="6" t="n">
        <v>1103.01464</v>
      </c>
      <c r="L4908" s="6">
        <f>I4908*K4908</f>
        <v/>
      </c>
      <c r="M4908" s="6">
        <f>K4908*4</f>
        <v/>
      </c>
      <c r="N4908" s="6" t="n">
        <v>4450</v>
      </c>
    </row>
    <row r="4909">
      <c r="A4909" s="1" t="inlineStr">
        <is>
          <t>99781783009805</t>
        </is>
      </c>
      <c r="B4909" s="1" t="inlineStr">
        <is>
          <t>CINTO C VIVIENNE 25 BLACK</t>
        </is>
      </c>
      <c r="C4909" s="1" t="inlineStr">
        <is>
          <t>BLACK</t>
        </is>
      </c>
      <c r="D4909" s="1" t="inlineStr">
        <is>
          <t>02/03/2026</t>
        </is>
      </c>
      <c r="E4909" s="1" t="n">
        <v>2026</v>
      </c>
      <c r="F4909" s="1" t="inlineStr">
        <is>
          <t>MARZO</t>
        </is>
      </c>
      <c r="G4909" s="1" t="inlineStr">
        <is>
          <t>ZOEY</t>
        </is>
      </c>
      <c r="H4909" s="1" t="inlineStr">
        <is>
          <t>ZOEY 02/03/2026</t>
        </is>
      </c>
      <c r="I4909" s="4" t="n">
        <v>1</v>
      </c>
      <c r="J4909" s="6" t="n">
        <v>45</v>
      </c>
      <c r="K4909" s="6" t="n">
        <v>1182.463908</v>
      </c>
      <c r="L4909" s="6">
        <f>I4909*K4909</f>
        <v/>
      </c>
      <c r="M4909" s="6">
        <f>K4909*4</f>
        <v/>
      </c>
      <c r="N4909" s="6" t="n">
        <v>4609</v>
      </c>
    </row>
    <row r="4910">
      <c r="A4910" s="1" t="inlineStr">
        <is>
          <t>99781783009805</t>
        </is>
      </c>
      <c r="B4910" s="1" t="inlineStr">
        <is>
          <t>CINTO C VIVIENNE 25 BLACK</t>
        </is>
      </c>
      <c r="C4910" s="1" t="inlineStr">
        <is>
          <t>Default Title</t>
        </is>
      </c>
      <c r="D4910" s="1" t="inlineStr">
        <is>
          <t>20/04/2026</t>
        </is>
      </c>
      <c r="E4910" s="1" t="n">
        <v>2026</v>
      </c>
      <c r="F4910" s="1" t="inlineStr">
        <is>
          <t>ABRIL</t>
        </is>
      </c>
      <c r="G4910" s="1" t="inlineStr">
        <is>
          <t>ZOEY</t>
        </is>
      </c>
      <c r="H4910" s="1" t="inlineStr">
        <is>
          <t>ZOEY 20/04/2026</t>
        </is>
      </c>
      <c r="I4910" s="4" t="n">
        <v>5</v>
      </c>
      <c r="J4910" s="6" t="n">
        <v>45</v>
      </c>
      <c r="K4910" s="6" t="n">
        <v>1152.395025</v>
      </c>
      <c r="L4910" s="6">
        <f>I4910*K4910</f>
        <v/>
      </c>
      <c r="M4910" s="6">
        <f>K4910*4</f>
        <v/>
      </c>
      <c r="N4910" s="6" t="n">
        <v>3746.97</v>
      </c>
    </row>
    <row r="4911">
      <c r="A4911" s="1" t="inlineStr">
        <is>
          <t>99781783009805</t>
        </is>
      </c>
      <c r="B4911" s="1" t="inlineStr">
        <is>
          <t>CINTO C VIVIENNE 25 BLACK</t>
        </is>
      </c>
      <c r="C4911" s="1" t="inlineStr">
        <is>
          <t>100cm</t>
        </is>
      </c>
      <c r="D4911" s="1" t="inlineStr">
        <is>
          <t>08/06/2026</t>
        </is>
      </c>
      <c r="E4911" s="1" t="n">
        <v>2026</v>
      </c>
      <c r="F4911" s="1" t="inlineStr">
        <is>
          <t>JUNIO</t>
        </is>
      </c>
      <c r="G4911" s="1" t="inlineStr">
        <is>
          <t>ZOEY</t>
        </is>
      </c>
      <c r="H4911" s="1" t="inlineStr">
        <is>
          <t>ZOEY 08/06/2026</t>
        </is>
      </c>
      <c r="I4911" s="4" t="n">
        <v>3</v>
      </c>
      <c r="J4911" s="6" t="n">
        <v>45</v>
      </c>
      <c r="K4911" s="6" t="n">
        <v>1103.01464</v>
      </c>
      <c r="L4911" s="6">
        <f>I4911*K4911</f>
        <v/>
      </c>
      <c r="M4911" s="6">
        <f>K4911*4</f>
        <v/>
      </c>
      <c r="N4911" s="6" t="n">
        <v>4450</v>
      </c>
    </row>
    <row r="4912">
      <c r="A4912" s="1" t="inlineStr">
        <is>
          <t>99781783183821</t>
        </is>
      </c>
      <c r="B4912" s="1" t="inlineStr">
        <is>
          <t>CARTERA C FLAP TRIOMPHIE</t>
        </is>
      </c>
      <c r="C4912" s="1" t="inlineStr">
        <is>
          <t>BROWN</t>
        </is>
      </c>
      <c r="D4912" s="1" t="inlineStr">
        <is>
          <t>02/03/2026</t>
        </is>
      </c>
      <c r="E4912" s="1" t="n">
        <v>2026</v>
      </c>
      <c r="F4912" s="1" t="inlineStr">
        <is>
          <t>MARZO</t>
        </is>
      </c>
      <c r="G4912" s="1" t="inlineStr">
        <is>
          <t>ZOEY</t>
        </is>
      </c>
      <c r="H4912" s="1" t="inlineStr">
        <is>
          <t>ZOEY 02/03/2026</t>
        </is>
      </c>
      <c r="I4912" s="4" t="n">
        <v>3</v>
      </c>
      <c r="J4912" s="6" t="n">
        <v>22</v>
      </c>
      <c r="K4912" s="6" t="n">
        <v>578.0934659</v>
      </c>
      <c r="L4912" s="6">
        <f>I4912*K4912</f>
        <v/>
      </c>
      <c r="M4912" s="6">
        <f>K4912*4</f>
        <v/>
      </c>
      <c r="N4912" s="6" t="n">
        <v>2339</v>
      </c>
    </row>
    <row r="4913">
      <c r="A4913" s="1" t="inlineStr">
        <is>
          <t>99781783183821</t>
        </is>
      </c>
      <c r="B4913" s="1" t="inlineStr">
        <is>
          <t>CARTERA C FLAP TRIOMPHIE</t>
        </is>
      </c>
      <c r="C4913" s="1" t="inlineStr">
        <is>
          <t>Default Title</t>
        </is>
      </c>
      <c r="D4913" s="1" t="inlineStr">
        <is>
          <t>08/06/2026</t>
        </is>
      </c>
      <c r="E4913" s="1" t="n">
        <v>2026</v>
      </c>
      <c r="F4913" s="1" t="inlineStr">
        <is>
          <t>JUNIO</t>
        </is>
      </c>
      <c r="G4913" s="1" t="inlineStr">
        <is>
          <t>ZOEY</t>
        </is>
      </c>
      <c r="H4913" s="1" t="inlineStr">
        <is>
          <t>ZOEY 08/06/2026</t>
        </is>
      </c>
      <c r="I4913" s="4" t="n">
        <v>3</v>
      </c>
      <c r="J4913" s="6" t="n">
        <v>22</v>
      </c>
      <c r="K4913" s="6" t="n">
        <v>539.251602</v>
      </c>
      <c r="L4913" s="6">
        <f>I4913*K4913</f>
        <v/>
      </c>
      <c r="M4913" s="6">
        <f>K4913*4</f>
        <v/>
      </c>
      <c r="N4913" s="6" t="n">
        <v>2339</v>
      </c>
    </row>
    <row r="4914">
      <c r="A4914" s="1" t="inlineStr">
        <is>
          <t>99781783219981</t>
        </is>
      </c>
      <c r="B4914" s="1" t="inlineStr">
        <is>
          <t>LENTES C TRIOMPHIE 01</t>
        </is>
      </c>
      <c r="C4914" s="1" t="inlineStr">
        <is>
          <t>BLACK</t>
        </is>
      </c>
      <c r="D4914" s="1" t="inlineStr">
        <is>
          <t>02/03/2026</t>
        </is>
      </c>
      <c r="E4914" s="1" t="n">
        <v>2026</v>
      </c>
      <c r="F4914" s="1" t="inlineStr">
        <is>
          <t>MARZO</t>
        </is>
      </c>
      <c r="G4914" s="1" t="inlineStr">
        <is>
          <t>ZOEY</t>
        </is>
      </c>
      <c r="H4914" s="1" t="inlineStr">
        <is>
          <t>ZOEY 02/03/2026</t>
        </is>
      </c>
      <c r="I4914" s="4" t="n">
        <v>2</v>
      </c>
      <c r="J4914" s="6" t="n">
        <v>32</v>
      </c>
      <c r="K4914" s="6" t="n">
        <v>840.8632231</v>
      </c>
      <c r="L4914" s="6">
        <f>I4914*K4914</f>
        <v/>
      </c>
      <c r="M4914" s="6">
        <f>K4914*4</f>
        <v/>
      </c>
      <c r="N4914" s="6" t="n">
        <v>2943.02128092486</v>
      </c>
    </row>
    <row r="4915">
      <c r="A4915" s="1" t="inlineStr">
        <is>
          <t>99781783326765</t>
        </is>
      </c>
      <c r="B4915" s="1" t="inlineStr">
        <is>
          <t>LENTES PANTHERE GOLD</t>
        </is>
      </c>
      <c r="C4915" s="1" t="inlineStr">
        <is>
          <t>GOLD</t>
        </is>
      </c>
      <c r="D4915" s="1" t="inlineStr">
        <is>
          <t>02/03/2026</t>
        </is>
      </c>
      <c r="E4915" s="1" t="n">
        <v>2026</v>
      </c>
      <c r="F4915" s="1" t="inlineStr">
        <is>
          <t>MARZO</t>
        </is>
      </c>
      <c r="G4915" s="1" t="inlineStr">
        <is>
          <t>ZOEY</t>
        </is>
      </c>
      <c r="H4915" s="1" t="inlineStr">
        <is>
          <t>ZOEY 02/03/2026</t>
        </is>
      </c>
      <c r="I4915" s="4" t="n">
        <v>2</v>
      </c>
      <c r="J4915" s="6" t="n">
        <v>32</v>
      </c>
      <c r="K4915" s="6" t="n">
        <v>840.8632231</v>
      </c>
      <c r="L4915" s="6">
        <f>I4915*K4915</f>
        <v/>
      </c>
      <c r="M4915" s="6">
        <f>K4915*4</f>
        <v/>
      </c>
      <c r="N4915" s="6" t="n">
        <v>3365</v>
      </c>
    </row>
    <row r="4916">
      <c r="A4916" s="1" t="inlineStr">
        <is>
          <t>99781783430157</t>
        </is>
      </c>
      <c r="B4916" s="1" t="inlineStr">
        <is>
          <t>COLLAR LV SAILOR SOO</t>
        </is>
      </c>
      <c r="C4916" s="1" t="inlineStr">
        <is>
          <t>SILVER</t>
        </is>
      </c>
      <c r="D4916" s="1" t="inlineStr">
        <is>
          <t>02/03/2026</t>
        </is>
      </c>
      <c r="E4916" s="1" t="n">
        <v>2026</v>
      </c>
      <c r="F4916" s="1" t="inlineStr">
        <is>
          <t>MARZO</t>
        </is>
      </c>
      <c r="G4916" s="1" t="inlineStr">
        <is>
          <t>ZOEY</t>
        </is>
      </c>
      <c r="H4916" s="1" t="inlineStr">
        <is>
          <t>ZOEY 02/03/2026</t>
        </is>
      </c>
      <c r="I4916" s="4" t="n">
        <v>2</v>
      </c>
      <c r="J4916" s="6" t="n">
        <v>14</v>
      </c>
      <c r="K4916" s="6" t="n">
        <v>367.8776601</v>
      </c>
      <c r="L4916" s="6">
        <f>I4916*K4916</f>
        <v/>
      </c>
      <c r="M4916" s="6">
        <f>K4916*4</f>
        <v/>
      </c>
      <c r="N4916" s="6" t="n">
        <v>1299</v>
      </c>
    </row>
    <row r="4917">
      <c r="A4917" s="1" t="inlineStr">
        <is>
          <t>99781783430157</t>
        </is>
      </c>
      <c r="B4917" s="1" t="inlineStr">
        <is>
          <t>COLLAR LV SAILOR SOO</t>
        </is>
      </c>
      <c r="C4917" s="1" t="inlineStr">
        <is>
          <t>Default Title</t>
        </is>
      </c>
      <c r="D4917" s="1" t="inlineStr">
        <is>
          <t>08/06/2026</t>
        </is>
      </c>
      <c r="E4917" s="1" t="n">
        <v>2026</v>
      </c>
      <c r="F4917" s="1" t="inlineStr">
        <is>
          <t>JUNIO</t>
        </is>
      </c>
      <c r="G4917" s="1" t="inlineStr">
        <is>
          <t>ZOEY</t>
        </is>
      </c>
      <c r="H4917" s="1" t="inlineStr">
        <is>
          <t>ZOEY 08/06/2026</t>
        </is>
      </c>
      <c r="I4917" s="4" t="n">
        <v>1</v>
      </c>
      <c r="J4917" s="6" t="n">
        <v>14</v>
      </c>
      <c r="K4917" s="6" t="n">
        <v>343.1601104</v>
      </c>
      <c r="L4917" s="6">
        <f>I4917*K4917</f>
        <v/>
      </c>
      <c r="M4917" s="6">
        <f>K4917*4</f>
        <v/>
      </c>
      <c r="N4917" s="6" t="n">
        <v>1299</v>
      </c>
    </row>
    <row r="4918">
      <c r="A4918" s="1" t="inlineStr">
        <is>
          <t>99824591015117</t>
        </is>
      </c>
      <c r="B4918" s="1" t="inlineStr">
        <is>
          <t>ANILLO TRES AROS CON ZIRCONIA</t>
        </is>
      </c>
      <c r="C4918" s="1" t="inlineStr">
        <is>
          <t>5</t>
        </is>
      </c>
      <c r="D4918" s="1" t="inlineStr">
        <is>
          <t>11/03/2026</t>
        </is>
      </c>
      <c r="E4918" s="1" t="n">
        <v>2026</v>
      </c>
      <c r="F4918" s="1" t="inlineStr">
        <is>
          <t>MARZO</t>
        </is>
      </c>
      <c r="G4918" s="1" t="inlineStr">
        <is>
          <t>HAIFENG</t>
        </is>
      </c>
      <c r="H4918" s="1" t="inlineStr">
        <is>
          <t>HAIFENG 11/03/2026</t>
        </is>
      </c>
      <c r="I4918" s="4" t="n">
        <v>1</v>
      </c>
      <c r="J4918" s="6" t="n">
        <v>10</v>
      </c>
      <c r="K4918" s="6" t="n">
        <v>213.0389622</v>
      </c>
      <c r="L4918" s="6">
        <f>I4918*K4918</f>
        <v/>
      </c>
      <c r="M4918" s="6">
        <f>K4918*4</f>
        <v/>
      </c>
      <c r="N4918" s="6" t="n">
        <v>850</v>
      </c>
    </row>
    <row r="4919">
      <c r="A4919" s="1" t="inlineStr">
        <is>
          <t>99824591015117</t>
        </is>
      </c>
      <c r="B4919" s="1" t="inlineStr">
        <is>
          <t>ANILLO TRES AROS CON ZIRCONIA</t>
        </is>
      </c>
      <c r="C4919" s="1" t="inlineStr">
        <is>
          <t>5</t>
        </is>
      </c>
      <c r="D4919" s="1" t="inlineStr">
        <is>
          <t>26/05/2026</t>
        </is>
      </c>
      <c r="E4919" s="1" t="n">
        <v>2026</v>
      </c>
      <c r="F4919" s="1" t="inlineStr">
        <is>
          <t>MAYO</t>
        </is>
      </c>
      <c r="G4919" s="1" t="inlineStr">
        <is>
          <t>HAIFENG</t>
        </is>
      </c>
      <c r="H4919" s="1" t="inlineStr">
        <is>
          <t>HAIFENG 26/05/2026</t>
        </is>
      </c>
      <c r="I4919" s="4" t="n">
        <v>2</v>
      </c>
      <c r="J4919" s="6" t="n">
        <v>10</v>
      </c>
      <c r="K4919" s="6" t="n">
        <v>209.892953</v>
      </c>
      <c r="L4919" s="6">
        <f>I4919*K4919</f>
        <v/>
      </c>
      <c r="M4919" s="6">
        <f>K4919*4</f>
        <v/>
      </c>
      <c r="N4919" s="6" t="n">
        <v>850</v>
      </c>
    </row>
  </sheetData>
  <autoFilter ref="A1:N4919"/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26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1" sqref="A1"/>
    </sheetView>
  </sheetViews>
  <sheetFormatPr baseColWidth="10" defaultColWidth="8.6640625" defaultRowHeight="15"/>
  <cols>
    <col width="17" customWidth="1" min="1" max="1"/>
    <col width="42" customWidth="1" min="2" max="2"/>
    <col width="11" customWidth="1" min="3" max="14"/>
  </cols>
  <sheetData>
    <row r="1">
      <c r="A1" s="2" t="inlineStr">
        <is>
          <t>COSTO UNITARIO TOTAL (MXN) POR MES — celda vacía = no se compró ese mes</t>
        </is>
      </c>
    </row>
    <row r="2"/>
    <row r="3" ht="31.5" customHeight="1">
      <c r="A3" s="3" t="inlineStr">
        <is>
          <t>SKU</t>
        </is>
      </c>
      <c r="B3" s="3" t="inlineStr">
        <is>
          <t>PRODUCTO</t>
        </is>
      </c>
      <c r="C3" s="3" t="inlineStr">
        <is>
          <t>MAY-25</t>
        </is>
      </c>
      <c r="D3" s="3" t="inlineStr">
        <is>
          <t>SEP-25</t>
        </is>
      </c>
      <c r="E3" s="3" t="inlineStr">
        <is>
          <t>OCT-25</t>
        </is>
      </c>
      <c r="F3" s="3" t="inlineStr">
        <is>
          <t>NOV-25</t>
        </is>
      </c>
      <c r="G3" s="3" t="inlineStr">
        <is>
          <t>DIC-25</t>
        </is>
      </c>
      <c r="H3" s="3" t="inlineStr">
        <is>
          <t>ENE-26</t>
        </is>
      </c>
      <c r="I3" s="3" t="inlineStr">
        <is>
          <t>FEB-26</t>
        </is>
      </c>
      <c r="J3" s="3" t="inlineStr">
        <is>
          <t>MAR-26</t>
        </is>
      </c>
      <c r="K3" s="3" t="inlineStr">
        <is>
          <t>ABR-26</t>
        </is>
      </c>
      <c r="L3" s="3" t="inlineStr">
        <is>
          <t>MAY-26</t>
        </is>
      </c>
      <c r="M3" s="3" t="inlineStr">
        <is>
          <t>JUN-26</t>
        </is>
      </c>
      <c r="N3" s="3" t="inlineStr">
        <is>
          <t>JUL-26</t>
        </is>
      </c>
    </row>
    <row r="4">
      <c r="A4" s="1" t="inlineStr">
        <is>
          <t>10065591041229</t>
        </is>
      </c>
      <c r="B4" s="1" t="inlineStr">
        <is>
          <t>TRAJE DE BAÑO COMPLETO TRIOMPHE</t>
        </is>
      </c>
      <c r="C4" s="1" t="n"/>
      <c r="D4" s="1" t="n"/>
      <c r="E4" s="1" t="n"/>
      <c r="F4" s="1" t="n"/>
      <c r="G4" s="1" t="n"/>
      <c r="H4" s="1" t="n"/>
      <c r="I4" s="1" t="n"/>
      <c r="J4" s="6" t="n">
        <v>644.5512403</v>
      </c>
      <c r="K4" s="1" t="n"/>
      <c r="L4" s="1" t="n"/>
      <c r="M4" s="6" t="n">
        <v>612.7859114</v>
      </c>
      <c r="N4" s="1" t="n"/>
    </row>
    <row r="5">
      <c r="A5" s="1" t="inlineStr">
        <is>
          <t>10065591106765</t>
        </is>
      </c>
      <c r="B5" s="1" t="inlineStr">
        <is>
          <t>TRAJE DE BAÑO C TRIOMPHE ALL BLACK</t>
        </is>
      </c>
      <c r="C5" s="1" t="n"/>
      <c r="D5" s="1" t="n"/>
      <c r="E5" s="1" t="n"/>
      <c r="F5" s="1" t="n"/>
      <c r="G5" s="1" t="n"/>
      <c r="H5" s="1" t="n"/>
      <c r="I5" s="1" t="n"/>
      <c r="J5" s="6" t="n">
        <v>644.5512403</v>
      </c>
      <c r="K5" s="1" t="n"/>
      <c r="L5" s="1" t="n"/>
      <c r="M5" s="1" t="n"/>
      <c r="N5" s="1" t="n"/>
    </row>
    <row r="6">
      <c r="A6" s="1" t="inlineStr">
        <is>
          <t>10065591251949</t>
        </is>
      </c>
      <c r="B6" s="1" t="inlineStr">
        <is>
          <t>TRAJE DE BAÑO GC PINK</t>
        </is>
      </c>
      <c r="C6" s="1" t="n"/>
      <c r="D6" s="1" t="n"/>
      <c r="E6" s="1" t="n"/>
      <c r="F6" s="1" t="n"/>
      <c r="G6" s="1" t="n"/>
      <c r="H6" s="1" t="n"/>
      <c r="I6" s="1" t="n"/>
      <c r="J6" s="6" t="n">
        <v>644.5512403</v>
      </c>
      <c r="K6" s="1" t="n"/>
      <c r="L6" s="1" t="n"/>
      <c r="M6" s="1" t="n"/>
      <c r="N6" s="1" t="n"/>
    </row>
    <row r="7">
      <c r="A7" s="1" t="inlineStr">
        <is>
          <t>10065591348557</t>
        </is>
      </c>
      <c r="B7" s="1" t="inlineStr">
        <is>
          <t>TRAJE DE BAÑO COMPLETO CD</t>
        </is>
      </c>
      <c r="C7" s="1" t="n"/>
      <c r="D7" s="1" t="n"/>
      <c r="E7" s="1" t="n"/>
      <c r="F7" s="1" t="n"/>
      <c r="G7" s="1" t="n"/>
      <c r="H7" s="1" t="n"/>
      <c r="I7" s="1" t="n"/>
      <c r="J7" s="6" t="n">
        <v>644.5512403</v>
      </c>
      <c r="K7" s="1" t="n"/>
      <c r="L7" s="1" t="n"/>
      <c r="M7" s="1" t="n"/>
      <c r="N7" s="1" t="n"/>
    </row>
    <row r="8">
      <c r="A8" s="1" t="inlineStr">
        <is>
          <t>10132411046285</t>
        </is>
      </c>
      <c r="B8" s="1" t="inlineStr">
        <is>
          <t>SANDALIAS CD DIORACT BLACK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6" t="n">
        <v>946.5509462</v>
      </c>
      <c r="L8" s="1" t="n"/>
      <c r="M8" s="1" t="n"/>
      <c r="N8" s="1" t="n"/>
    </row>
    <row r="9">
      <c r="A9" s="1" t="inlineStr">
        <is>
          <t>10132411116909</t>
        </is>
      </c>
      <c r="B9" s="1" t="inlineStr">
        <is>
          <t>BOLSO CD SADDLE ALL BLACK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6" t="n">
        <v>1703.791703</v>
      </c>
      <c r="L9" s="1" t="n"/>
      <c r="M9" s="1" t="n"/>
      <c r="N9" s="1" t="n"/>
    </row>
    <row r="10">
      <c r="A10" s="1" t="inlineStr">
        <is>
          <t>10132411251373</t>
        </is>
      </c>
      <c r="B10" s="1" t="inlineStr">
        <is>
          <t>BOLSO CD BOW BURGUNDY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6" t="n">
        <v>1920.146205</v>
      </c>
      <c r="L10" s="1" t="n"/>
      <c r="M10" s="1" t="n"/>
      <c r="N10" s="1" t="n"/>
    </row>
    <row r="11">
      <c r="A11" s="1" t="inlineStr">
        <is>
          <t>10132411318605</t>
        </is>
      </c>
      <c r="B11" s="1" t="inlineStr">
        <is>
          <t>BOLSO CD BOW BLACK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  <c r="K11" s="6" t="n">
        <v>1920.146205</v>
      </c>
      <c r="L11" s="1" t="n"/>
      <c r="M11" s="1" t="n"/>
      <c r="N11" s="1" t="n"/>
    </row>
    <row r="12">
      <c r="A12" s="1" t="inlineStr">
        <is>
          <t>10132411463245</t>
        </is>
      </c>
      <c r="B12" s="1" t="inlineStr">
        <is>
          <t>GORRO F LOGOS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6" t="n">
        <v>270.4431275</v>
      </c>
      <c r="L12" s="1" t="n"/>
      <c r="M12" s="1" t="n"/>
      <c r="N12" s="1" t="n"/>
    </row>
    <row r="13">
      <c r="A13" s="1" t="inlineStr">
        <is>
          <t>10132411501101</t>
        </is>
      </c>
      <c r="B13" s="1" t="inlineStr">
        <is>
          <t>CARTERA F GRAPHY WHITE</t>
        </is>
      </c>
      <c r="C13" s="1" t="n"/>
      <c r="D13" s="1" t="n"/>
      <c r="E13" s="1" t="n"/>
      <c r="F13" s="1" t="n"/>
      <c r="G13" s="1" t="n"/>
      <c r="H13" s="1" t="n"/>
      <c r="I13" s="1" t="n"/>
      <c r="J13" s="1" t="n"/>
      <c r="K13" s="6" t="n">
        <v>1406.304263</v>
      </c>
      <c r="L13" s="1" t="n"/>
      <c r="M13" s="1" t="n"/>
      <c r="N13" s="1" t="n"/>
    </row>
    <row r="14">
      <c r="A14" s="1" t="inlineStr">
        <is>
          <t>10132411606189</t>
        </is>
      </c>
      <c r="B14" s="1" t="inlineStr">
        <is>
          <t>CARTERA F BAGUETTE MINI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6" t="n">
        <v>2028.323456</v>
      </c>
      <c r="L14" s="1" t="n"/>
      <c r="M14" s="1" t="n"/>
      <c r="N14" s="1" t="n"/>
    </row>
    <row r="15">
      <c r="A15" s="1" t="inlineStr">
        <is>
          <t>10132411776813</t>
        </is>
      </c>
      <c r="B15" s="1" t="inlineStr">
        <is>
          <t>BOLSO F GRAPHY LOGOS</t>
        </is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6" t="n">
        <v>2109.456394</v>
      </c>
      <c r="L15" s="1" t="n"/>
      <c r="M15" s="1" t="n"/>
      <c r="N15" s="1" t="n"/>
    </row>
    <row r="16">
      <c r="A16" s="1" t="inlineStr">
        <is>
          <t>10427542282892</t>
        </is>
      </c>
      <c r="B16" s="1" t="inlineStr">
        <is>
          <t>RELOJ SANTOS SILVER</t>
        </is>
      </c>
      <c r="C16" s="1" t="n"/>
      <c r="D16" s="6" t="n">
        <v>1708.013433</v>
      </c>
      <c r="E16" s="6" t="n">
        <v>1528.2978605</v>
      </c>
      <c r="F16" s="1" t="n"/>
      <c r="G16" s="1" t="n"/>
      <c r="H16" s="1" t="n"/>
      <c r="I16" s="1" t="n"/>
      <c r="J16" s="6" t="n">
        <v>1786.834349</v>
      </c>
      <c r="K16" s="1" t="n"/>
      <c r="L16" s="1" t="n"/>
      <c r="M16" s="6" t="n">
        <v>1666.777679</v>
      </c>
      <c r="N16" s="1" t="n"/>
    </row>
    <row r="17">
      <c r="A17" s="1" t="inlineStr">
        <is>
          <t>10427542282893</t>
        </is>
      </c>
      <c r="B17" s="1" t="inlineStr">
        <is>
          <t>RELOJ SANTOS SILVER</t>
        </is>
      </c>
      <c r="C17" s="1" t="n"/>
      <c r="D17" s="1" t="n"/>
      <c r="E17" s="6" t="n">
        <v>1522.416994</v>
      </c>
      <c r="F17" s="1" t="n"/>
      <c r="G17" s="1" t="n"/>
      <c r="H17" s="1" t="n"/>
      <c r="I17" s="1" t="n"/>
      <c r="J17" s="1" t="n"/>
      <c r="K17" s="1" t="n"/>
      <c r="L17" s="1" t="n"/>
      <c r="M17" s="6" t="n">
        <v>1666.777679</v>
      </c>
      <c r="N17" s="1" t="n"/>
    </row>
    <row r="18">
      <c r="A18" s="1" t="inlineStr">
        <is>
          <t>10473111097537</t>
        </is>
      </c>
      <c r="B18" s="1" t="inlineStr">
        <is>
          <t>PULSERA DE CUENTAS ROSEGOLD</t>
        </is>
      </c>
      <c r="C18" s="1" t="n"/>
      <c r="D18" s="6" t="n">
        <v>226.0606014</v>
      </c>
      <c r="E18" s="6" t="n">
        <v>223.2009837</v>
      </c>
      <c r="F18" s="1" t="n"/>
      <c r="G18" s="1" t="n"/>
      <c r="H18" s="6" t="n">
        <v>234.2843943</v>
      </c>
      <c r="I18" s="1" t="n"/>
      <c r="J18" s="6" t="n">
        <v>157.6618543</v>
      </c>
      <c r="K18" s="1" t="n"/>
      <c r="L18" s="1" t="n"/>
      <c r="M18" s="6" t="n">
        <v>220.6029281</v>
      </c>
      <c r="N18" s="1" t="n"/>
    </row>
    <row r="19">
      <c r="A19" s="1" t="inlineStr">
        <is>
          <t>10717801055213</t>
        </is>
      </c>
      <c r="B19" s="1" t="inlineStr">
        <is>
          <t>ANILLO CD ZIRCONIAS GOLD-BLACK</t>
        </is>
      </c>
      <c r="C19" s="1" t="n"/>
      <c r="D19" s="1" t="n"/>
      <c r="E19" s="1" t="n"/>
      <c r="F19" s="1" t="n"/>
      <c r="G19" s="1" t="n"/>
      <c r="H19" s="6" t="n">
        <v>201.403969</v>
      </c>
      <c r="I19" s="6" t="n">
        <v>200.1507126</v>
      </c>
      <c r="J19" s="1" t="n"/>
      <c r="K19" s="1" t="n"/>
      <c r="L19" s="1" t="n"/>
      <c r="M19" s="1" t="n"/>
      <c r="N19" s="1" t="n"/>
    </row>
    <row r="20">
      <c r="A20" s="1" t="inlineStr">
        <is>
          <t>10956321024557</t>
        </is>
      </c>
      <c r="B20" s="1" t="inlineStr">
        <is>
          <t>ANILLO BV BUMPS GOLD ZIRCONIAS</t>
        </is>
      </c>
      <c r="C20" s="1" t="n"/>
      <c r="D20" s="6" t="n">
        <v>210.9688577</v>
      </c>
      <c r="E20" s="1" t="n"/>
      <c r="F20" s="1" t="n"/>
      <c r="G20" s="1" t="n"/>
      <c r="H20" s="1" t="n"/>
      <c r="I20" s="1" t="n"/>
      <c r="J20" s="6" t="n">
        <v>234.3428584</v>
      </c>
      <c r="K20" s="1" t="n"/>
      <c r="L20" s="1" t="n"/>
      <c r="M20" s="1" t="n"/>
      <c r="N20" s="1" t="n"/>
    </row>
    <row r="21">
      <c r="A21" s="1" t="inlineStr">
        <is>
          <t>10956321157325</t>
        </is>
      </c>
      <c r="B21" s="1" t="inlineStr">
        <is>
          <t>ANILLO BV BUMPS GOLD ZIRCONIAS</t>
        </is>
      </c>
      <c r="C21" s="1" t="n"/>
      <c r="D21" s="6" t="n">
        <v>210.9688577</v>
      </c>
      <c r="E21" s="1" t="n"/>
      <c r="F21" s="1" t="n"/>
      <c r="G21" s="1" t="n"/>
      <c r="H21" s="1" t="n"/>
      <c r="I21" s="6" t="n">
        <v>231.7534567</v>
      </c>
      <c r="J21" s="1" t="n"/>
      <c r="K21" s="1" t="n"/>
      <c r="L21" s="6" t="n">
        <v>254.6237072</v>
      </c>
      <c r="M21" s="1" t="n"/>
      <c r="N21" s="1" t="n"/>
    </row>
    <row r="22">
      <c r="A22" s="1" t="inlineStr">
        <is>
          <t>10956321291309</t>
        </is>
      </c>
      <c r="B22" s="1" t="inlineStr">
        <is>
          <t>ANILLO BV BUMPS SILVER ZIRCONIAS-6</t>
        </is>
      </c>
      <c r="C22" s="1" t="n"/>
      <c r="D22" s="6" t="n">
        <v>210.9688577</v>
      </c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" t="inlineStr">
        <is>
          <t>10956321324077</t>
        </is>
      </c>
      <c r="B23" s="1" t="inlineStr">
        <is>
          <t>ANILLO BV BUMPS SILVER ZIRCONIAS</t>
        </is>
      </c>
      <c r="C23" s="1" t="n"/>
      <c r="D23" s="6" t="n">
        <v>210.9688577</v>
      </c>
      <c r="E23" s="1" t="n"/>
      <c r="F23" s="1" t="n"/>
      <c r="G23" s="1" t="n"/>
      <c r="H23" s="1" t="n"/>
      <c r="I23" s="1" t="n"/>
      <c r="J23" s="1" t="n"/>
      <c r="K23" s="6" t="n">
        <v>210.3147359</v>
      </c>
      <c r="L23" s="1" t="n"/>
      <c r="M23" s="1" t="n"/>
      <c r="N23" s="1" t="n"/>
    </row>
    <row r="24">
      <c r="A24" s="1" t="inlineStr">
        <is>
          <t>11078751761037</t>
        </is>
      </c>
      <c r="B24" s="1" t="inlineStr">
        <is>
          <t>COLLAR C GOLD ZIRCONIAS</t>
        </is>
      </c>
      <c r="C24" s="1" t="n"/>
      <c r="D24" s="1" t="n"/>
      <c r="E24" s="6" t="n">
        <v>126.5582895</v>
      </c>
      <c r="F24" s="1" t="n"/>
      <c r="G24" s="1" t="n"/>
      <c r="H24" s="1" t="n"/>
      <c r="I24" s="6" t="n">
        <v>126.2002914</v>
      </c>
      <c r="J24" s="1" t="n"/>
      <c r="K24" s="6" t="n">
        <v>125.9785268</v>
      </c>
      <c r="L24" s="6" t="n">
        <v>125.7258788</v>
      </c>
      <c r="M24" s="1" t="n"/>
      <c r="N24" s="1" t="n"/>
    </row>
    <row r="25">
      <c r="A25" s="1" t="inlineStr">
        <is>
          <t>11078751910221</t>
        </is>
      </c>
      <c r="B25" s="1" t="inlineStr">
        <is>
          <t>ARETES C GOLD ZIRCONIAS</t>
        </is>
      </c>
      <c r="C25" s="1" t="n"/>
      <c r="D25" s="1" t="n"/>
      <c r="E25" s="6" t="n">
        <v>126.5582895</v>
      </c>
      <c r="F25" s="1" t="n"/>
      <c r="G25" s="1" t="n"/>
      <c r="H25" s="6" t="n">
        <v>126.9905026</v>
      </c>
      <c r="I25" s="6" t="n">
        <v>126.2002914</v>
      </c>
      <c r="J25" s="1" t="n"/>
      <c r="K25" s="6" t="n">
        <v>125.9785268</v>
      </c>
      <c r="L25" s="6" t="n">
        <v>125.7258788</v>
      </c>
      <c r="M25" s="1" t="n"/>
      <c r="N25" s="1" t="n"/>
    </row>
    <row r="26">
      <c r="A26" s="1" t="inlineStr">
        <is>
          <t>11078752382541</t>
        </is>
      </c>
      <c r="B26" s="1" t="inlineStr">
        <is>
          <t>ARETES C GOLD PEARL</t>
        </is>
      </c>
      <c r="C26" s="1" t="n"/>
      <c r="D26" s="1" t="n"/>
      <c r="E26" s="6" t="n">
        <v>126.5582895</v>
      </c>
      <c r="F26" s="1" t="n"/>
      <c r="G26" s="1" t="n"/>
      <c r="H26" s="6" t="n">
        <v>126.9905026</v>
      </c>
      <c r="I26" s="6" t="n">
        <v>126.2002914</v>
      </c>
      <c r="J26" s="1" t="n"/>
      <c r="K26" s="6" t="n">
        <v>125.9785268</v>
      </c>
      <c r="L26" s="1" t="n"/>
      <c r="M26" s="6" t="n">
        <v>125.8774927</v>
      </c>
      <c r="N26" s="1" t="n"/>
    </row>
    <row r="27">
      <c r="A27" s="1" t="inlineStr">
        <is>
          <t>11453671120077</t>
        </is>
      </c>
      <c r="B27" s="1" t="inlineStr">
        <is>
          <t>ARETES FR GOLD ONE PEARL</t>
        </is>
      </c>
      <c r="C27" s="1" t="n"/>
      <c r="D27" s="1" t="n"/>
      <c r="E27" s="1" t="n"/>
      <c r="F27" s="1" t="n"/>
      <c r="G27" s="1" t="n"/>
      <c r="H27" s="6" t="n">
        <v>127.2025068</v>
      </c>
      <c r="I27" s="1" t="n"/>
      <c r="J27" s="1" t="n"/>
      <c r="K27" s="1" t="n"/>
      <c r="L27" s="1" t="n"/>
      <c r="M27" s="1" t="n"/>
      <c r="N27" s="1" t="n"/>
    </row>
    <row r="28">
      <c r="A28" s="1" t="inlineStr">
        <is>
          <t>11915813184811</t>
        </is>
      </c>
      <c r="B28" s="1" t="inlineStr">
        <is>
          <t>LENTES DE SOL MM BROWN</t>
        </is>
      </c>
      <c r="C28" s="1" t="n"/>
      <c r="D28" s="6" t="n">
        <v>705.014714</v>
      </c>
      <c r="E28" s="1" t="n"/>
      <c r="F28" s="1" t="n"/>
      <c r="G28" s="1" t="n"/>
      <c r="H28" s="1" t="n"/>
      <c r="I28" s="1" t="n"/>
      <c r="J28" s="6" t="n">
        <v>778.865058</v>
      </c>
      <c r="K28" s="1" t="n"/>
      <c r="L28" s="1" t="n"/>
      <c r="M28" s="1" t="n"/>
      <c r="N28" s="1" t="n"/>
    </row>
    <row r="29">
      <c r="A29" s="1" t="inlineStr">
        <is>
          <t>11915820343339</t>
        </is>
      </c>
      <c r="B29" s="1" t="inlineStr">
        <is>
          <t>LENTES MM HAVANA</t>
        </is>
      </c>
      <c r="C29" s="1" t="n"/>
      <c r="D29" s="6" t="n">
        <v>679.8356171</v>
      </c>
      <c r="E29" s="6" t="n">
        <v>707.4492369</v>
      </c>
      <c r="F29" s="1" t="n"/>
      <c r="G29" s="1" t="n"/>
      <c r="H29" s="6" t="n">
        <v>717.8605472</v>
      </c>
      <c r="I29" s="1" t="n"/>
      <c r="J29" s="1" t="n"/>
      <c r="K29" s="1" t="n"/>
      <c r="L29" s="6" t="n">
        <v>715.5282144</v>
      </c>
      <c r="M29" s="1" t="n"/>
      <c r="N29" s="1" t="n"/>
    </row>
    <row r="30">
      <c r="A30" s="1" t="inlineStr">
        <is>
          <t>11915825730987</t>
        </is>
      </c>
      <c r="B30" s="1" t="inlineStr">
        <is>
          <t>TRAJE DE BAÑO C</t>
        </is>
      </c>
      <c r="C30" s="1" t="n"/>
      <c r="D30" s="1" t="n"/>
      <c r="E30" s="1" t="n"/>
      <c r="F30" s="1" t="n"/>
      <c r="G30" s="1" t="n"/>
      <c r="H30" s="1" t="n"/>
      <c r="I30" s="1" t="n"/>
      <c r="J30" s="6" t="n">
        <v>859.4373054</v>
      </c>
      <c r="K30" s="1" t="n"/>
      <c r="L30" s="1" t="n"/>
      <c r="M30" s="1" t="n"/>
      <c r="N30" s="1" t="n"/>
    </row>
    <row r="31">
      <c r="A31" s="1" t="inlineStr">
        <is>
          <t>11915825763755</t>
        </is>
      </c>
      <c r="B31" s="1" t="inlineStr">
        <is>
          <t>TRAJE DE BAÑO C</t>
        </is>
      </c>
      <c r="C31" s="1" t="n"/>
      <c r="D31" s="1" t="n"/>
      <c r="E31" s="1" t="n"/>
      <c r="F31" s="1" t="n"/>
      <c r="G31" s="1" t="n"/>
      <c r="H31" s="1" t="n"/>
      <c r="I31" s="1" t="n"/>
      <c r="J31" s="1" t="n"/>
      <c r="K31" s="6" t="n">
        <v>830.4029637</v>
      </c>
      <c r="L31" s="1" t="n"/>
      <c r="M31" s="1" t="n"/>
      <c r="N31" s="1" t="n"/>
    </row>
    <row r="32">
      <c r="A32" s="1" t="inlineStr">
        <is>
          <t>11915826071979</t>
        </is>
      </c>
      <c r="B32" s="1" t="inlineStr">
        <is>
          <t>LENTES LV EVIDENCE</t>
        </is>
      </c>
      <c r="C32" s="1" t="n"/>
      <c r="D32" s="6" t="n">
        <v>226.6118724</v>
      </c>
      <c r="E32" s="1" t="n"/>
      <c r="F32" s="1" t="n"/>
      <c r="G32" s="1" t="n"/>
      <c r="H32" s="6" t="n">
        <v>239.2868491</v>
      </c>
      <c r="I32" s="1" t="n"/>
      <c r="J32" s="6" t="n">
        <v>241.7167421</v>
      </c>
      <c r="K32" s="1" t="n"/>
      <c r="L32" s="6" t="n">
        <v>238.5094048</v>
      </c>
      <c r="M32" s="1" t="n"/>
      <c r="N32" s="1" t="n"/>
    </row>
    <row r="33">
      <c r="A33" s="1" t="inlineStr">
        <is>
          <t>11915828032299</t>
        </is>
      </c>
      <c r="B33" s="1" t="inlineStr">
        <is>
          <t>BOLSO DE VIAJE G BOWLING 55 GREEN</t>
        </is>
      </c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6" t="n">
        <v>1987.578373</v>
      </c>
      <c r="M33" s="1" t="n"/>
      <c r="N33" s="1" t="n"/>
    </row>
    <row r="34">
      <c r="A34" s="1" t="inlineStr">
        <is>
          <t>11915828105387</t>
        </is>
      </c>
      <c r="B34" s="1" t="inlineStr">
        <is>
          <t>TRAJE DE BAÑO V</t>
        </is>
      </c>
      <c r="C34" s="1" t="n"/>
      <c r="D34" s="6" t="n">
        <v>246.7551499</v>
      </c>
      <c r="E34" s="1" t="n"/>
      <c r="F34" s="1" t="n"/>
      <c r="G34" s="1" t="n"/>
      <c r="H34" s="1" t="n"/>
      <c r="I34" s="1" t="n"/>
      <c r="J34" s="6" t="n">
        <v>290.0600906</v>
      </c>
      <c r="K34" s="6" t="n">
        <v>280.2610003</v>
      </c>
      <c r="L34" s="1" t="n"/>
      <c r="M34" s="1" t="n"/>
      <c r="N34" s="1" t="n"/>
    </row>
    <row r="35">
      <c r="A35" s="1" t="inlineStr">
        <is>
          <t>11915828138155</t>
        </is>
      </c>
      <c r="B35" s="1" t="inlineStr">
        <is>
          <t>TRAJE DE BAÑO V</t>
        </is>
      </c>
      <c r="C35" s="1" t="n"/>
      <c r="D35" s="6" t="n">
        <v>246.7551499</v>
      </c>
      <c r="E35" s="1" t="n"/>
      <c r="F35" s="1" t="n"/>
      <c r="G35" s="1" t="n"/>
      <c r="H35" s="1" t="n"/>
      <c r="I35" s="1" t="n"/>
      <c r="J35" s="1" t="n"/>
      <c r="K35" s="1" t="n"/>
      <c r="L35" s="6" t="n">
        <v>286.2112858</v>
      </c>
      <c r="M35" s="1" t="n"/>
      <c r="N35" s="1" t="n"/>
    </row>
    <row r="36">
      <c r="A36" s="1" t="inlineStr">
        <is>
          <t>11966951169965</t>
        </is>
      </c>
      <c r="B36" s="1" t="inlineStr">
        <is>
          <t>PULSERA DE CUENTAS CON INSIGNIA DE CORAZÓN BLUE</t>
        </is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6" t="n">
        <v>105.0730323</v>
      </c>
      <c r="N36" s="1" t="n"/>
    </row>
    <row r="37">
      <c r="A37" s="1" t="inlineStr">
        <is>
          <t>12314361063501</t>
        </is>
      </c>
      <c r="B37" s="1" t="inlineStr">
        <is>
          <t>ANILLO F DOBLE GOLD</t>
        </is>
      </c>
      <c r="C37" s="1" t="n"/>
      <c r="D37" s="1" t="n"/>
      <c r="E37" s="6" t="n">
        <v>147.8978341</v>
      </c>
      <c r="F37" s="1" t="n"/>
      <c r="G37" s="1" t="n"/>
      <c r="H37" s="6" t="n">
        <v>148.4029245</v>
      </c>
      <c r="I37" s="6" t="n">
        <v>147.4794725</v>
      </c>
      <c r="J37" s="1" t="n"/>
      <c r="K37" s="6" t="n">
        <v>147.2203151</v>
      </c>
      <c r="L37" s="6" t="n">
        <v>148.5304959</v>
      </c>
      <c r="M37" s="6" t="n">
        <v>147.1022452</v>
      </c>
      <c r="N37" s="1" t="n"/>
    </row>
    <row r="38">
      <c r="A38" s="1" t="inlineStr">
        <is>
          <t>12314361226797</t>
        </is>
      </c>
      <c r="B38" s="1" t="inlineStr">
        <is>
          <t>ARRACADAS COLGANTES F ZIRCONIA</t>
        </is>
      </c>
      <c r="C38" s="1" t="n"/>
      <c r="D38" s="1" t="n"/>
      <c r="E38" s="6" t="n">
        <v>169.0260961</v>
      </c>
      <c r="F38" s="1" t="n"/>
      <c r="G38" s="1" t="n"/>
      <c r="H38" s="6" t="n">
        <v>169.6033423</v>
      </c>
      <c r="I38" s="6" t="n">
        <v>168.5479685</v>
      </c>
      <c r="J38" s="1" t="n"/>
      <c r="K38" s="1" t="n"/>
      <c r="L38" s="1" t="n"/>
      <c r="M38" s="1" t="n"/>
      <c r="N38" s="1" t="n"/>
    </row>
    <row r="39">
      <c r="A39" s="1" t="inlineStr">
        <is>
          <t>12314361364653</t>
        </is>
      </c>
      <c r="B39" s="1" t="inlineStr">
        <is>
          <t>ARETES F GOLD PEARL</t>
        </is>
      </c>
      <c r="C39" s="1" t="n"/>
      <c r="D39" s="1" t="n"/>
      <c r="E39" s="6" t="n">
        <v>169.0260961</v>
      </c>
      <c r="F39" s="1" t="n"/>
      <c r="G39" s="1" t="n"/>
      <c r="H39" s="6" t="n">
        <v>169.6033423</v>
      </c>
      <c r="I39" s="6" t="n">
        <v>168.5479685</v>
      </c>
      <c r="J39" s="1" t="n"/>
      <c r="K39" s="1" t="n"/>
      <c r="L39" s="6" t="n">
        <v>167.9143624</v>
      </c>
      <c r="M39" s="6" t="n">
        <v>168.1168517</v>
      </c>
      <c r="N39" s="1" t="n"/>
    </row>
    <row r="40">
      <c r="A40" s="1" t="inlineStr">
        <is>
          <t>12314361469741</t>
        </is>
      </c>
      <c r="B40" s="1" t="inlineStr">
        <is>
          <t>ARETES F FILO GOLD</t>
        </is>
      </c>
      <c r="C40" s="1" t="n"/>
      <c r="D40" s="1" t="n"/>
      <c r="E40" s="6" t="n">
        <v>126.7695721</v>
      </c>
      <c r="F40" s="1" t="n"/>
      <c r="G40" s="1" t="n"/>
      <c r="H40" s="1" t="n"/>
      <c r="I40" s="1" t="n"/>
      <c r="J40" s="1" t="n"/>
      <c r="K40" s="1" t="n"/>
      <c r="L40" s="6" t="n">
        <v>167.7044694</v>
      </c>
      <c r="M40" s="1" t="n"/>
      <c r="N40" s="1" t="n"/>
    </row>
    <row r="41">
      <c r="A41" s="1" t="inlineStr">
        <is>
          <t>12314361504205</t>
        </is>
      </c>
      <c r="B41" s="1" t="inlineStr">
        <is>
          <t>ANILLO F SILVER ZIRCONIAS</t>
        </is>
      </c>
      <c r="C41" s="1" t="n"/>
      <c r="D41" s="1" t="n"/>
      <c r="E41" s="6" t="n">
        <v>147.8978341</v>
      </c>
      <c r="F41" s="1" t="n"/>
      <c r="G41" s="1" t="n"/>
      <c r="H41" s="1" t="n"/>
      <c r="I41" s="1" t="n"/>
      <c r="J41" s="1" t="n"/>
      <c r="K41" s="1" t="n"/>
      <c r="L41" s="1" t="n"/>
      <c r="M41" s="6" t="n">
        <v>147.1022452</v>
      </c>
      <c r="N41" s="1" t="n"/>
    </row>
    <row r="42">
      <c r="A42" s="1" t="inlineStr">
        <is>
          <t>12314361636973</t>
        </is>
      </c>
      <c r="B42" s="1" t="inlineStr">
        <is>
          <t>ANILLO F SILVER ZIRCONIAS</t>
        </is>
      </c>
      <c r="C42" s="1" t="n"/>
      <c r="D42" s="1" t="n"/>
      <c r="E42" s="6" t="n">
        <v>147.8978341</v>
      </c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A43" s="1" t="inlineStr">
        <is>
          <t>12314361740365</t>
        </is>
      </c>
      <c r="B43" s="1" t="inlineStr">
        <is>
          <t>COLLAR F GOLD ZIRCONIAS</t>
        </is>
      </c>
      <c r="C43" s="1" t="n"/>
      <c r="D43" s="1" t="n"/>
      <c r="E43" s="6" t="n">
        <v>169.0260961</v>
      </c>
      <c r="F43" s="1" t="n"/>
      <c r="G43" s="1" t="n"/>
      <c r="H43" s="6" t="n">
        <v>169.6033423</v>
      </c>
      <c r="I43" s="6" t="n">
        <v>168.5479685</v>
      </c>
      <c r="J43" s="1" t="n"/>
      <c r="K43" s="1" t="n"/>
      <c r="L43" s="1" t="n"/>
      <c r="M43" s="1" t="n"/>
      <c r="N43" s="1" t="n"/>
    </row>
    <row r="44">
      <c r="A44" s="1" t="inlineStr">
        <is>
          <t>12314361978221</t>
        </is>
      </c>
      <c r="B44" s="1" t="inlineStr">
        <is>
          <t>ARETES F SILVER ZIRCONIAS</t>
        </is>
      </c>
      <c r="C44" s="1" t="n"/>
      <c r="D44" s="1" t="n"/>
      <c r="E44" s="6" t="n">
        <v>147.8978341</v>
      </c>
      <c r="F44" s="1" t="n"/>
      <c r="G44" s="1" t="n"/>
      <c r="H44" s="6" t="n">
        <v>148.4029245</v>
      </c>
      <c r="I44" s="6" t="n">
        <v>147.4794725</v>
      </c>
      <c r="J44" s="1" t="n"/>
      <c r="K44" s="1" t="n"/>
      <c r="L44" s="1" t="n"/>
      <c r="M44" s="6" t="n">
        <v>147.1022452</v>
      </c>
      <c r="N44" s="1" t="n"/>
    </row>
    <row r="45">
      <c r="A45" s="1" t="inlineStr">
        <is>
          <t>12314362081613</t>
        </is>
      </c>
      <c r="B45" s="1" t="inlineStr">
        <is>
          <t>ARETES F GOLD ZIRCONIAS</t>
        </is>
      </c>
      <c r="C45" s="1" t="n"/>
      <c r="D45" s="1" t="n"/>
      <c r="E45" s="6" t="n">
        <v>147.8978341</v>
      </c>
      <c r="F45" s="1" t="n"/>
      <c r="G45" s="1" t="n"/>
      <c r="H45" s="6" t="n">
        <v>148.4029245</v>
      </c>
      <c r="I45" s="6" t="n">
        <v>147.4794725</v>
      </c>
      <c r="J45" s="1" t="n"/>
      <c r="K45" s="6" t="n">
        <v>147.2203151</v>
      </c>
      <c r="L45" s="1" t="n"/>
      <c r="M45" s="6" t="n">
        <v>147.1022452</v>
      </c>
      <c r="N45" s="1" t="n"/>
    </row>
    <row r="46">
      <c r="A46" s="1" t="inlineStr">
        <is>
          <t>12314362119469</t>
        </is>
      </c>
      <c r="B46" s="1" t="inlineStr">
        <is>
          <t>PULSERA F O'LOCK GOLD</t>
        </is>
      </c>
      <c r="C46" s="1" t="n"/>
      <c r="D46" s="1" t="n"/>
      <c r="E46" s="6" t="n">
        <v>147.8978341</v>
      </c>
      <c r="F46" s="1" t="n"/>
      <c r="G46" s="1" t="n"/>
      <c r="H46" s="6" t="n">
        <v>148.4029245</v>
      </c>
      <c r="I46" s="6" t="n">
        <v>147.4794725</v>
      </c>
      <c r="J46" s="1" t="n"/>
      <c r="K46" s="1" t="n"/>
      <c r="L46" s="1" t="n"/>
      <c r="M46" s="1" t="n"/>
      <c r="N46" s="1" t="n"/>
    </row>
    <row r="47">
      <c r="A47" s="1" t="inlineStr">
        <is>
          <t>12314362492941</t>
        </is>
      </c>
      <c r="B47" s="1" t="inlineStr">
        <is>
          <t>ARETES F GOLD</t>
        </is>
      </c>
      <c r="C47" s="1" t="n"/>
      <c r="D47" s="1" t="n"/>
      <c r="E47" s="6" t="n">
        <v>126.7695721</v>
      </c>
      <c r="F47" s="1" t="n"/>
      <c r="G47" s="1" t="n"/>
      <c r="H47" s="6" t="n">
        <v>127.2025068</v>
      </c>
      <c r="I47" s="6" t="n">
        <v>126.4109764</v>
      </c>
      <c r="J47" s="6" t="n">
        <v>127.8233773</v>
      </c>
      <c r="K47" s="1" t="n"/>
      <c r="L47" s="6" t="n">
        <v>126.6238127</v>
      </c>
      <c r="M47" s="1" t="n"/>
      <c r="N47" s="1" t="n"/>
    </row>
    <row r="48">
      <c r="A48" s="1" t="inlineStr">
        <is>
          <t>12314362540493</t>
        </is>
      </c>
      <c r="B48" s="1" t="inlineStr">
        <is>
          <t>ARRACADAS F GOLD-BLACK</t>
        </is>
      </c>
      <c r="C48" s="1" t="n"/>
      <c r="D48" s="1" t="n"/>
      <c r="E48" s="6" t="n">
        <v>147.8978341</v>
      </c>
      <c r="F48" s="1" t="n"/>
      <c r="G48" s="1" t="n"/>
      <c r="H48" s="1" t="n"/>
      <c r="I48" s="6" t="n">
        <v>147.4794725</v>
      </c>
      <c r="J48" s="1" t="n"/>
      <c r="K48" s="6" t="n">
        <v>147.2203151</v>
      </c>
      <c r="L48" s="1" t="n"/>
      <c r="M48" s="1" t="n"/>
      <c r="N48" s="1" t="n"/>
    </row>
    <row r="49">
      <c r="A49" s="1" t="inlineStr">
        <is>
          <t>12314362665261</t>
        </is>
      </c>
      <c r="B49" s="1" t="inlineStr">
        <is>
          <t>BRAZALETE F GOLD ZIRCONIAS</t>
        </is>
      </c>
      <c r="C49" s="1" t="n"/>
      <c r="D49" s="1" t="n"/>
      <c r="E49" s="6" t="n">
        <v>211.2826202</v>
      </c>
      <c r="F49" s="1" t="n"/>
      <c r="G49" s="1" t="n"/>
      <c r="H49" s="6" t="n">
        <v>212.0041779</v>
      </c>
      <c r="I49" s="6" t="n">
        <v>210.6849607</v>
      </c>
      <c r="J49" s="1" t="n"/>
      <c r="K49" s="1" t="n"/>
      <c r="L49" s="1" t="n"/>
      <c r="M49" s="1" t="n"/>
      <c r="N49" s="1" t="n"/>
    </row>
    <row r="50">
      <c r="A50" s="1" t="inlineStr">
        <is>
          <t>12314362703117</t>
        </is>
      </c>
      <c r="B50" s="1" t="inlineStr">
        <is>
          <t>ANILLO F GOLD ZIRCONIAS</t>
        </is>
      </c>
      <c r="C50" s="1" t="n"/>
      <c r="D50" s="1" t="n"/>
      <c r="E50" s="6" t="n">
        <v>147.8978341</v>
      </c>
      <c r="F50" s="1" t="n"/>
      <c r="G50" s="1" t="n"/>
      <c r="H50" s="1" t="n"/>
      <c r="I50" s="1" t="n"/>
      <c r="J50" s="6" t="n">
        <v>149.1272735</v>
      </c>
      <c r="K50" s="1" t="n"/>
      <c r="L50" s="1" t="n"/>
      <c r="M50" s="1" t="n"/>
      <c r="N50" s="1" t="n"/>
    </row>
    <row r="51">
      <c r="A51" s="1" t="inlineStr">
        <is>
          <t>12314362835885</t>
        </is>
      </c>
      <c r="B51" s="1" t="inlineStr">
        <is>
          <t>ANILLO F GOLD ZIRCONIAS</t>
        </is>
      </c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6" t="n">
        <v>147.1022452</v>
      </c>
      <c r="N51" s="1" t="n"/>
    </row>
    <row r="52">
      <c r="A52" s="1" t="inlineStr">
        <is>
          <t>12314363483981</t>
        </is>
      </c>
      <c r="B52" s="1" t="inlineStr">
        <is>
          <t>PULSERA F LOGOS GOLD-BLACK</t>
        </is>
      </c>
      <c r="C52" s="1" t="n"/>
      <c r="D52" s="1" t="n"/>
      <c r="E52" s="6" t="n">
        <v>253.5391442</v>
      </c>
      <c r="F52" s="1" t="n"/>
      <c r="G52" s="1" t="n"/>
      <c r="H52" s="6" t="n">
        <v>212.0041779</v>
      </c>
      <c r="I52" s="6" t="n">
        <v>210.6849607</v>
      </c>
      <c r="J52" s="1" t="n"/>
      <c r="K52" s="1" t="n"/>
      <c r="L52" s="1" t="n"/>
      <c r="M52" s="1" t="n"/>
      <c r="N52" s="1" t="n"/>
    </row>
    <row r="53">
      <c r="A53" s="1" t="inlineStr">
        <is>
          <t>12314363576653</t>
        </is>
      </c>
      <c r="B53" s="1" t="inlineStr">
        <is>
          <t>BRAZALETE F LOGOS GOLD</t>
        </is>
      </c>
      <c r="C53" s="1" t="n"/>
      <c r="D53" s="1" t="n"/>
      <c r="E53" s="6" t="n">
        <v>211.2826202</v>
      </c>
      <c r="F53" s="1" t="n"/>
      <c r="G53" s="1" t="n"/>
      <c r="H53" s="6" t="n">
        <v>212.0041779</v>
      </c>
      <c r="I53" s="6" t="n">
        <v>210.6849607</v>
      </c>
      <c r="J53" s="1" t="n"/>
      <c r="K53" s="1" t="n"/>
      <c r="L53" s="1" t="n"/>
      <c r="M53" s="1" t="n"/>
      <c r="N53" s="1" t="n"/>
    </row>
    <row r="54">
      <c r="A54" s="1" t="inlineStr">
        <is>
          <t>12314363611117</t>
        </is>
      </c>
      <c r="B54" s="1" t="inlineStr">
        <is>
          <t>PULSERA MM SILVER-WHITE</t>
        </is>
      </c>
      <c r="C54" s="1" t="n"/>
      <c r="D54" s="1" t="n"/>
      <c r="E54" s="6" t="n">
        <v>147.6865515</v>
      </c>
      <c r="F54" s="1" t="n"/>
      <c r="G54" s="1" t="n"/>
      <c r="H54" s="6" t="n">
        <v>148.1909204</v>
      </c>
      <c r="I54" s="1" t="n"/>
      <c r="J54" s="1" t="n"/>
      <c r="K54" s="6" t="n">
        <v>147.0100004</v>
      </c>
      <c r="L54" s="1" t="n"/>
      <c r="M54" s="1" t="n"/>
      <c r="N54" s="1" t="n"/>
    </row>
    <row r="55">
      <c r="A55" s="1" t="inlineStr">
        <is>
          <t>12314363883437</t>
        </is>
      </c>
      <c r="B55" s="1" t="inlineStr">
        <is>
          <t>PULSERA MM GOLD-WHITE</t>
        </is>
      </c>
      <c r="C55" s="1" t="n"/>
      <c r="D55" s="1" t="n"/>
      <c r="E55" s="1" t="n"/>
      <c r="F55" s="1" t="n"/>
      <c r="G55" s="1" t="n"/>
      <c r="H55" s="6" t="n">
        <v>148.1909204</v>
      </c>
      <c r="I55" s="1" t="n"/>
      <c r="J55" s="1" t="n"/>
      <c r="K55" s="1" t="n"/>
      <c r="L55" s="6" t="n">
        <v>148.3183094</v>
      </c>
      <c r="M55" s="1" t="n"/>
      <c r="N55" s="1" t="n"/>
    </row>
    <row r="56">
      <c r="A56" s="1" t="inlineStr">
        <is>
          <t>12314363985133</t>
        </is>
      </c>
      <c r="B56" s="1" t="inlineStr">
        <is>
          <t>ARRACADAS MM GOLD-BLACK</t>
        </is>
      </c>
      <c r="C56" s="1" t="n"/>
      <c r="D56" s="1" t="n"/>
      <c r="E56" s="6" t="n">
        <v>168.8148135</v>
      </c>
      <c r="F56" s="1" t="n"/>
      <c r="G56" s="1" t="n"/>
      <c r="H56" s="6" t="n">
        <v>169.3913382</v>
      </c>
      <c r="I56" s="1" t="n"/>
      <c r="J56" s="1" t="n"/>
      <c r="K56" s="6" t="n">
        <v>168.041474</v>
      </c>
      <c r="L56" s="1" t="n"/>
      <c r="M56" s="1" t="n"/>
      <c r="N56" s="1" t="n"/>
    </row>
    <row r="57">
      <c r="A57" s="1" t="inlineStr">
        <is>
          <t>12314364086829</t>
        </is>
      </c>
      <c r="B57" s="1" t="inlineStr">
        <is>
          <t>ARRACADAS MM GOLD-WHITE</t>
        </is>
      </c>
      <c r="C57" s="1" t="n"/>
      <c r="D57" s="1" t="n"/>
      <c r="E57" s="6" t="n">
        <v>168.8148135</v>
      </c>
      <c r="F57" s="1" t="n"/>
      <c r="G57" s="1" t="n"/>
      <c r="H57" s="6" t="n">
        <v>169.3913382</v>
      </c>
      <c r="I57" s="1" t="n"/>
      <c r="J57" s="1" t="n"/>
      <c r="K57" s="1" t="n"/>
      <c r="L57" s="1" t="n"/>
      <c r="M57" s="1" t="n"/>
      <c r="N57" s="1" t="n"/>
    </row>
    <row r="58">
      <c r="A58" s="1" t="inlineStr">
        <is>
          <t>12731906776716</t>
        </is>
      </c>
      <c r="B58" s="1" t="inlineStr">
        <is>
          <t>COLLAR CORAZÓN SILVER</t>
        </is>
      </c>
      <c r="C58" s="1" t="n"/>
      <c r="D58" s="1" t="n"/>
      <c r="E58" s="1" t="n"/>
      <c r="F58" s="1" t="n"/>
      <c r="G58" s="1" t="n"/>
      <c r="H58" s="1" t="n"/>
      <c r="I58" s="1" t="n"/>
      <c r="J58" s="6" t="n">
        <v>236.4927815</v>
      </c>
      <c r="K58" s="1" t="n"/>
      <c r="L58" s="1" t="n"/>
      <c r="M58" s="1" t="n"/>
      <c r="N58" s="1" t="n"/>
    </row>
    <row r="59">
      <c r="A59" s="1" t="inlineStr">
        <is>
          <t>13667531088813</t>
        </is>
      </c>
      <c r="B59" s="1" t="inlineStr">
        <is>
          <t>ANILLO BV BUMPS GOLD-BLACK</t>
        </is>
      </c>
      <c r="C59" s="1" t="n"/>
      <c r="D59" s="6" t="n">
        <v>189.8719719</v>
      </c>
      <c r="E59" s="1" t="n"/>
      <c r="F59" s="1" t="n"/>
      <c r="G59" s="1" t="n"/>
      <c r="H59" s="1" t="n"/>
      <c r="I59" s="6" t="n">
        <v>189.6164646</v>
      </c>
      <c r="J59" s="1" t="n"/>
      <c r="K59" s="1" t="n"/>
      <c r="L59" s="1" t="n"/>
      <c r="M59" s="1" t="n"/>
      <c r="N59" s="1" t="n"/>
    </row>
    <row r="60">
      <c r="A60" s="1" t="inlineStr">
        <is>
          <t>13794531858861</t>
        </is>
      </c>
      <c r="B60" s="1" t="inlineStr">
        <is>
          <t>CARTERA PR SAFFIANO DARKBLUE</t>
        </is>
      </c>
      <c r="C60" s="1" t="n"/>
      <c r="D60" s="1" t="n"/>
      <c r="E60" s="1" t="n"/>
      <c r="F60" s="1" t="n"/>
      <c r="G60" s="1" t="n"/>
      <c r="H60" s="1" t="n"/>
      <c r="I60" s="1" t="n"/>
      <c r="J60" s="6" t="n">
        <v>499.2625387</v>
      </c>
      <c r="K60" s="1" t="n"/>
      <c r="L60" s="1" t="n"/>
      <c r="M60" s="1" t="n"/>
      <c r="N60" s="1" t="n"/>
    </row>
    <row r="61">
      <c r="A61" s="1" t="inlineStr">
        <is>
          <t>13794532310349</t>
        </is>
      </c>
      <c r="B61" s="1" t="inlineStr">
        <is>
          <t>CARTERA MM NAPA PINK</t>
        </is>
      </c>
      <c r="C61" s="1" t="n"/>
      <c r="D61" s="1" t="n"/>
      <c r="E61" s="1" t="n"/>
      <c r="F61" s="1" t="n"/>
      <c r="G61" s="1" t="n"/>
      <c r="H61" s="1" t="n"/>
      <c r="I61" s="1" t="n"/>
      <c r="J61" s="6" t="n">
        <v>604.3704416</v>
      </c>
      <c r="K61" s="1" t="n"/>
      <c r="L61" s="6" t="n">
        <v>609.6063632</v>
      </c>
      <c r="M61" s="6" t="n">
        <v>563.7630385</v>
      </c>
      <c r="N61" s="1" t="n"/>
    </row>
    <row r="62">
      <c r="A62" s="1" t="inlineStr">
        <is>
          <t>13798161017037</t>
        </is>
      </c>
      <c r="B62" s="1" t="inlineStr">
        <is>
          <t>CADENA H GOLD</t>
        </is>
      </c>
      <c r="C62" s="1" t="n"/>
      <c r="D62" s="6" t="n">
        <v>274.0485461</v>
      </c>
      <c r="E62" s="1" t="n"/>
      <c r="F62" s="1" t="n"/>
      <c r="G62" s="1" t="n"/>
      <c r="H62" s="1" t="n"/>
      <c r="I62" s="1" t="n"/>
      <c r="J62" s="1" t="n"/>
      <c r="K62" s="1" t="n"/>
      <c r="L62" s="6" t="n">
        <v>272.6509459</v>
      </c>
      <c r="M62" s="1" t="n"/>
      <c r="N62" s="1" t="n"/>
    </row>
    <row r="63">
      <c r="A63" s="1" t="inlineStr">
        <is>
          <t>13863311065325</t>
        </is>
      </c>
      <c r="B63" s="1" t="inlineStr">
        <is>
          <t>BOLSO CD MESSENGER SADDLE BLACK</t>
        </is>
      </c>
      <c r="C63" s="1" t="n"/>
      <c r="D63" s="1" t="n"/>
      <c r="E63" s="1" t="n"/>
      <c r="F63" s="1" t="n"/>
      <c r="G63" s="1" t="n"/>
      <c r="H63" s="6" t="n">
        <v>1302.783956</v>
      </c>
      <c r="I63" s="1" t="n"/>
      <c r="J63" s="6" t="n">
        <v>1316.013374</v>
      </c>
      <c r="K63" s="1" t="n"/>
      <c r="L63" s="1" t="n"/>
      <c r="M63" s="1" t="n"/>
      <c r="N63" s="1" t="n"/>
    </row>
    <row r="64">
      <c r="A64" s="1" t="inlineStr">
        <is>
          <t>14156151055725</t>
        </is>
      </c>
      <c r="B64" s="1" t="inlineStr">
        <is>
          <t>RELOJ PANTHERE SILVER</t>
        </is>
      </c>
      <c r="C64" s="1" t="n"/>
      <c r="D64" s="1" t="n"/>
      <c r="E64" s="6" t="n">
        <v>1438.40634</v>
      </c>
      <c r="F64" s="1" t="n"/>
      <c r="G64" s="1" t="n"/>
      <c r="H64" s="6" t="n">
        <v>1509.832763</v>
      </c>
      <c r="I64" s="1" t="n"/>
      <c r="J64" s="1" t="n"/>
      <c r="K64" s="1" t="n"/>
      <c r="L64" s="1" t="n"/>
      <c r="M64" s="1" t="n"/>
      <c r="N64" s="1" t="n"/>
    </row>
    <row r="65">
      <c r="A65" s="1" t="inlineStr">
        <is>
          <t>14247351086093</t>
        </is>
      </c>
      <c r="B65" s="1" t="inlineStr">
        <is>
          <t>ARETES F O'LOCK SILVER</t>
        </is>
      </c>
      <c r="C65" s="1" t="n"/>
      <c r="D65" s="1" t="n"/>
      <c r="E65" s="6" t="n">
        <v>169.0260961</v>
      </c>
      <c r="F65" s="1" t="n"/>
      <c r="G65" s="1" t="n"/>
      <c r="H65" s="6" t="n">
        <v>169.6033423</v>
      </c>
      <c r="I65" s="6" t="n">
        <v>168.5479685</v>
      </c>
      <c r="J65" s="1" t="n"/>
      <c r="K65" s="6" t="n">
        <v>1577.360519</v>
      </c>
      <c r="L65" s="1" t="n"/>
      <c r="M65" s="6" t="n">
        <v>168.1168517</v>
      </c>
      <c r="N65" s="1" t="n"/>
    </row>
    <row r="66">
      <c r="A66" s="1" t="inlineStr">
        <is>
          <t>14361211269805</t>
        </is>
      </c>
      <c r="B66" s="1" t="inlineStr">
        <is>
          <t>BRAZALETE BV SILVER WHITE</t>
        </is>
      </c>
      <c r="C66" s="1" t="n"/>
      <c r="D66" s="6" t="n">
        <v>210.9688577</v>
      </c>
      <c r="E66" s="1" t="n"/>
      <c r="F66" s="1" t="n"/>
      <c r="G66" s="1" t="n"/>
      <c r="H66" s="1" t="n"/>
      <c r="I66" s="1" t="n"/>
      <c r="J66" s="1" t="n"/>
      <c r="K66" s="6" t="n">
        <v>210.3147359</v>
      </c>
      <c r="L66" s="1" t="n"/>
      <c r="M66" s="1" t="n"/>
      <c r="N66" s="1" t="n"/>
    </row>
    <row r="67">
      <c r="A67" s="1" t="inlineStr">
        <is>
          <t>14361211408813</t>
        </is>
      </c>
      <c r="B67" s="1" t="inlineStr">
        <is>
          <t>BRAZALETE BV ROSEGOLD WHITE</t>
        </is>
      </c>
      <c r="C67" s="1" t="n"/>
      <c r="D67" s="6" t="n">
        <v>210.9688577</v>
      </c>
      <c r="E67" s="1" t="n"/>
      <c r="F67" s="1" t="n"/>
      <c r="G67" s="1" t="n"/>
      <c r="H67" s="1" t="n"/>
      <c r="I67" s="1" t="n"/>
      <c r="J67" s="1" t="n"/>
      <c r="K67" s="6" t="n">
        <v>210.3147359</v>
      </c>
      <c r="L67" s="1" t="n"/>
      <c r="M67" s="1" t="n"/>
      <c r="N67" s="1" t="n"/>
    </row>
    <row r="68">
      <c r="A68" s="1" t="inlineStr">
        <is>
          <t>14401521021389</t>
        </is>
      </c>
      <c r="B68" s="1" t="inlineStr">
        <is>
          <t>CINTO LV REVERSIBLE HERITAGE</t>
        </is>
      </c>
      <c r="C68" s="1" t="n"/>
      <c r="D68" s="1" t="n"/>
      <c r="E68" s="1" t="n"/>
      <c r="F68" s="1" t="n"/>
      <c r="G68" s="1" t="n"/>
      <c r="H68" s="1" t="n"/>
      <c r="I68" s="6" t="n">
        <v>237.9816137</v>
      </c>
      <c r="J68" s="1" t="n"/>
      <c r="K68" s="6" t="n">
        <v>228.360815</v>
      </c>
      <c r="L68" s="1" t="n"/>
      <c r="M68" s="1" t="n"/>
      <c r="N68" s="1" t="n"/>
    </row>
    <row r="69">
      <c r="A69" s="1" t="inlineStr">
        <is>
          <t>14401521186925</t>
        </is>
      </c>
      <c r="B69" s="1" t="inlineStr">
        <is>
          <t>CARTERA LV STREAMER MOCASIN</t>
        </is>
      </c>
      <c r="C69" s="1" t="n"/>
      <c r="D69" s="1" t="n"/>
      <c r="E69" s="1" t="n"/>
      <c r="F69" s="1" t="n"/>
      <c r="G69" s="1" t="n"/>
      <c r="H69" s="1" t="n"/>
      <c r="I69" s="6" t="n">
        <v>1054.691243</v>
      </c>
      <c r="J69" s="1" t="n"/>
      <c r="K69" s="1" t="n"/>
      <c r="L69" s="6" t="n">
        <v>1033.540754</v>
      </c>
      <c r="M69" s="1" t="n"/>
      <c r="N69" s="1" t="n"/>
    </row>
    <row r="70">
      <c r="A70" s="1" t="inlineStr">
        <is>
          <t>14401521219693</t>
        </is>
      </c>
      <c r="B70" s="1" t="inlineStr">
        <is>
          <t>LENTES C SANTOS</t>
        </is>
      </c>
      <c r="C70" s="1" t="n"/>
      <c r="D70" s="1" t="n"/>
      <c r="E70" s="1" t="n"/>
      <c r="F70" s="1" t="n"/>
      <c r="G70" s="1" t="n"/>
      <c r="H70" s="1" t="n"/>
      <c r="I70" s="6" t="n">
        <v>878.909369</v>
      </c>
      <c r="J70" s="1" t="n"/>
      <c r="K70" s="1" t="n"/>
      <c r="L70" s="1" t="n"/>
      <c r="M70" s="1" t="n"/>
      <c r="N70" s="1" t="n"/>
    </row>
    <row r="71">
      <c r="A71" s="1" t="inlineStr">
        <is>
          <t>14401521352461</t>
        </is>
      </c>
      <c r="B71" s="1" t="inlineStr">
        <is>
          <t>LENTES C TRIOMPHE GOLD CAT</t>
        </is>
      </c>
      <c r="C71" s="1" t="n"/>
      <c r="D71" s="1" t="n"/>
      <c r="E71" s="1" t="n"/>
      <c r="F71" s="1" t="n"/>
      <c r="G71" s="1" t="n"/>
      <c r="H71" s="1" t="n"/>
      <c r="I71" s="6" t="n">
        <v>797.7792734</v>
      </c>
      <c r="J71" s="1" t="n"/>
      <c r="K71" s="1" t="n"/>
      <c r="L71" s="1" t="n"/>
      <c r="M71" s="1" t="n"/>
      <c r="N71" s="1" t="n"/>
    </row>
    <row r="72">
      <c r="A72" s="1" t="inlineStr">
        <is>
          <t>14401521483533</t>
        </is>
      </c>
      <c r="B72" s="1" t="inlineStr">
        <is>
          <t>CINTO C TRIOMPHE LOGOS</t>
        </is>
      </c>
      <c r="C72" s="1" t="n"/>
      <c r="D72" s="1" t="n"/>
      <c r="E72" s="1" t="n"/>
      <c r="F72" s="1" t="n"/>
      <c r="G72" s="1" t="n"/>
      <c r="H72" s="1" t="n"/>
      <c r="I72" s="6" t="n">
        <v>237.9816137</v>
      </c>
      <c r="J72" s="1" t="n"/>
      <c r="K72" s="6" t="n">
        <v>228.360815</v>
      </c>
      <c r="L72" s="1" t="n"/>
      <c r="M72" s="1" t="n"/>
      <c r="N72" s="1" t="n"/>
    </row>
    <row r="73">
      <c r="A73" s="1" t="inlineStr">
        <is>
          <t>14401521547373</t>
        </is>
      </c>
      <c r="B73" s="1" t="inlineStr">
        <is>
          <t>BOLSO C CABAS PANIER BLACK16cm</t>
        </is>
      </c>
      <c r="C73" s="1" t="n"/>
      <c r="D73" s="1" t="n"/>
      <c r="E73" s="1" t="n"/>
      <c r="F73" s="1" t="n"/>
      <c r="G73" s="1" t="n"/>
      <c r="H73" s="1" t="n"/>
      <c r="I73" s="6" t="n">
        <v>1162.864704</v>
      </c>
      <c r="J73" s="1" t="n"/>
      <c r="K73" s="6" t="n">
        <v>1115.853983</v>
      </c>
      <c r="L73" s="1" t="n"/>
      <c r="M73" s="1" t="n"/>
      <c r="N73" s="1" t="n"/>
    </row>
    <row r="74">
      <c r="A74" s="1" t="inlineStr">
        <is>
          <t>14401521612909</t>
        </is>
      </c>
      <c r="B74" s="1" t="inlineStr">
        <is>
          <t>BOLSO C PANIER HOBO</t>
        </is>
      </c>
      <c r="C74" s="1" t="n"/>
      <c r="D74" s="1" t="n"/>
      <c r="E74" s="1" t="n"/>
      <c r="F74" s="1" t="n"/>
      <c r="G74" s="1" t="n"/>
      <c r="H74" s="1" t="n"/>
      <c r="I74" s="6" t="n">
        <v>1135.821338</v>
      </c>
      <c r="J74" s="1" t="n"/>
      <c r="K74" s="1" t="n"/>
      <c r="L74" s="6" t="n">
        <v>1113.043889</v>
      </c>
      <c r="M74" s="1" t="n"/>
      <c r="N74" s="1" t="n"/>
    </row>
    <row r="75">
      <c r="A75" s="1" t="inlineStr">
        <is>
          <t>14401521745677</t>
        </is>
      </c>
      <c r="B75" s="1" t="inlineStr">
        <is>
          <t>BOLSO C CABAS PANIER BROWN</t>
        </is>
      </c>
      <c r="C75" s="1" t="n"/>
      <c r="D75" s="1" t="n"/>
      <c r="E75" s="1" t="n"/>
      <c r="F75" s="1" t="n"/>
      <c r="G75" s="1" t="n"/>
      <c r="H75" s="1" t="n"/>
      <c r="I75" s="6" t="n">
        <v>1162.864704</v>
      </c>
      <c r="J75" s="1" t="n"/>
      <c r="K75" s="6" t="n">
        <v>1115.853983</v>
      </c>
      <c r="L75" s="1" t="n"/>
      <c r="M75" s="1" t="n"/>
      <c r="N75" s="1" t="n"/>
    </row>
    <row r="76">
      <c r="A76" s="1" t="inlineStr">
        <is>
          <t>14401521878445</t>
        </is>
      </c>
      <c r="B76" s="1" t="inlineStr">
        <is>
          <t>BOLSO C HALFMOON BLACK</t>
        </is>
      </c>
      <c r="C76" s="1" t="n"/>
      <c r="D76" s="1" t="n"/>
      <c r="E76" s="1" t="n"/>
      <c r="F76" s="1" t="n"/>
      <c r="G76" s="1" t="n"/>
      <c r="H76" s="1" t="n"/>
      <c r="I76" s="6" t="n">
        <v>1757.818738</v>
      </c>
      <c r="J76" s="1" t="n"/>
      <c r="K76" s="6" t="n">
        <v>1686.75602</v>
      </c>
      <c r="L76" s="1" t="n"/>
      <c r="M76" s="1" t="n"/>
      <c r="N76" s="1" t="n"/>
    </row>
    <row r="77">
      <c r="A77" s="1" t="inlineStr">
        <is>
          <t>14401521907821</t>
        </is>
      </c>
      <c r="B77" s="1" t="inlineStr">
        <is>
          <t>BOLSO GC SHOULDER BLACK</t>
        </is>
      </c>
      <c r="C77" s="1" t="n"/>
      <c r="D77" s="1" t="n"/>
      <c r="E77" s="1" t="n"/>
      <c r="F77" s="1" t="n"/>
      <c r="G77" s="1" t="n"/>
      <c r="H77" s="1" t="n"/>
      <c r="I77" s="6" t="n">
        <v>1514.428451</v>
      </c>
      <c r="J77" s="1" t="n"/>
      <c r="K77" s="6" t="n">
        <v>1453.205187</v>
      </c>
      <c r="L77" s="1" t="n"/>
      <c r="M77" s="1" t="n"/>
      <c r="N77" s="1" t="n"/>
    </row>
    <row r="78">
      <c r="A78" s="1" t="inlineStr">
        <is>
          <t>14401522038893</t>
        </is>
      </c>
      <c r="B78" s="1" t="inlineStr">
        <is>
          <t>BOLSO GC TOTE BEATRIX BROWN</t>
        </is>
      </c>
      <c r="C78" s="1" t="n"/>
      <c r="D78" s="1" t="n"/>
      <c r="E78" s="1" t="n"/>
      <c r="F78" s="1" t="n"/>
      <c r="G78" s="1" t="n"/>
      <c r="H78" s="1" t="n"/>
      <c r="I78" s="6" t="n">
        <v>1433.298356</v>
      </c>
      <c r="J78" s="1" t="n"/>
      <c r="K78" s="6" t="n">
        <v>1375.354909</v>
      </c>
      <c r="L78" s="1" t="n"/>
      <c r="M78" s="1" t="n"/>
      <c r="N78" s="1" t="n"/>
    </row>
    <row r="79">
      <c r="A79" s="1" t="inlineStr">
        <is>
          <t>14401522171661</t>
        </is>
      </c>
      <c r="B79" s="1" t="inlineStr">
        <is>
          <t>CARTERA GC PLEGABLE ALL BLACK</t>
        </is>
      </c>
      <c r="C79" s="1" t="n"/>
      <c r="D79" s="1" t="n"/>
      <c r="E79" s="1" t="n"/>
      <c r="F79" s="1" t="n"/>
      <c r="G79" s="1" t="n"/>
      <c r="H79" s="1" t="n"/>
      <c r="I79" s="6" t="n">
        <v>594.9540344</v>
      </c>
      <c r="J79" s="1" t="n"/>
      <c r="K79" s="1" t="n"/>
      <c r="L79" s="1" t="n"/>
      <c r="M79" s="1" t="n"/>
      <c r="N79" s="1" t="n"/>
    </row>
    <row r="80">
      <c r="A80" s="1" t="inlineStr">
        <is>
          <t>14401522235501</t>
        </is>
      </c>
      <c r="B80" s="1" t="inlineStr">
        <is>
          <t>TARJETERO GC HORSEBIT 1955</t>
        </is>
      </c>
      <c r="C80" s="1" t="n"/>
      <c r="D80" s="1" t="n"/>
      <c r="E80" s="1" t="n"/>
      <c r="F80" s="1" t="n"/>
      <c r="G80" s="1" t="n"/>
      <c r="H80" s="1" t="n"/>
      <c r="I80" s="6" t="n">
        <v>892.4310516</v>
      </c>
      <c r="J80" s="1" t="n"/>
      <c r="K80" s="1" t="n"/>
      <c r="L80" s="6" t="n">
        <v>874.5344843</v>
      </c>
      <c r="M80" s="1" t="n"/>
      <c r="N80" s="1" t="n"/>
    </row>
    <row r="81">
      <c r="A81" s="1" t="inlineStr">
        <is>
          <t>14401522366573</t>
        </is>
      </c>
      <c r="B81" s="1" t="inlineStr">
        <is>
          <t>CARTERA GC ZIP MARMONT BLACK</t>
        </is>
      </c>
      <c r="C81" s="1" t="n"/>
      <c r="D81" s="1" t="n"/>
      <c r="E81" s="1" t="n"/>
      <c r="F81" s="1" t="n"/>
      <c r="G81" s="1" t="n"/>
      <c r="H81" s="1" t="n"/>
      <c r="I81" s="6" t="n">
        <v>784.2575908</v>
      </c>
      <c r="J81" s="1" t="n"/>
      <c r="K81" s="1" t="n"/>
      <c r="L81" s="6" t="n">
        <v>768.5303043</v>
      </c>
      <c r="M81" s="1" t="n"/>
      <c r="N81" s="1" t="n"/>
    </row>
    <row r="82">
      <c r="A82" s="1" t="inlineStr">
        <is>
          <t>14401522499341</t>
        </is>
      </c>
      <c r="B82" s="1" t="inlineStr">
        <is>
          <t>BOLSO GC SHOULDER SUPREME</t>
        </is>
      </c>
      <c r="C82" s="1" t="n"/>
      <c r="D82" s="1" t="n"/>
      <c r="E82" s="1" t="n"/>
      <c r="F82" s="1" t="n"/>
      <c r="G82" s="1" t="n"/>
      <c r="H82" s="1" t="n"/>
      <c r="I82" s="6" t="n">
        <v>1325.124895</v>
      </c>
      <c r="J82" s="1" t="n"/>
      <c r="K82" s="1" t="n"/>
      <c r="L82" s="1" t="n"/>
      <c r="M82" s="1" t="n"/>
      <c r="N82" s="1" t="n"/>
    </row>
    <row r="83">
      <c r="A83" s="1" t="inlineStr">
        <is>
          <t>14401522525325</t>
        </is>
      </c>
      <c r="B83" s="1" t="inlineStr">
        <is>
          <t>CARTERA GC PLEGABLE LOGOS</t>
        </is>
      </c>
      <c r="C83" s="1" t="n"/>
      <c r="D83" s="1" t="n"/>
      <c r="E83" s="1" t="n"/>
      <c r="F83" s="1" t="n"/>
      <c r="G83" s="1" t="n"/>
      <c r="H83" s="1" t="n"/>
      <c r="I83" s="6" t="n">
        <v>676.08413</v>
      </c>
      <c r="J83" s="1" t="n"/>
      <c r="K83" s="1" t="n"/>
      <c r="L83" s="1" t="n"/>
      <c r="M83" s="1" t="n"/>
      <c r="N83" s="1" t="n"/>
    </row>
    <row r="84">
      <c r="A84" s="1" t="inlineStr">
        <is>
          <t>14401522621933</t>
        </is>
      </c>
      <c r="B84" s="1" t="inlineStr">
        <is>
          <t>LENTES GC EYEWEAR NEW POP</t>
        </is>
      </c>
      <c r="C84" s="1" t="n"/>
      <c r="D84" s="1" t="n"/>
      <c r="E84" s="1" t="n"/>
      <c r="F84" s="1" t="n"/>
      <c r="G84" s="1" t="n"/>
      <c r="H84" s="1" t="n"/>
      <c r="I84" s="6" t="n">
        <v>892.4310516</v>
      </c>
      <c r="J84" s="1" t="n"/>
      <c r="K84" s="1" t="n"/>
      <c r="L84" s="1" t="n"/>
      <c r="M84" s="1" t="n"/>
      <c r="N84" s="1" t="n"/>
    </row>
    <row r="85">
      <c r="A85" s="1" t="inlineStr">
        <is>
          <t>14401522754701</t>
        </is>
      </c>
      <c r="B85" s="1" t="inlineStr">
        <is>
          <t>LENTES GC ALL BLACK</t>
        </is>
      </c>
      <c r="C85" s="1" t="n"/>
      <c r="D85" s="1" t="n"/>
      <c r="E85" s="1" t="n"/>
      <c r="F85" s="1" t="n"/>
      <c r="G85" s="1" t="n"/>
      <c r="H85" s="1" t="n"/>
      <c r="I85" s="6" t="n">
        <v>1135.821338</v>
      </c>
      <c r="J85" s="1" t="n"/>
      <c r="K85" s="1" t="n"/>
      <c r="L85" s="1" t="n"/>
      <c r="M85" s="1" t="n"/>
      <c r="N85" s="1" t="n"/>
    </row>
    <row r="86">
      <c r="A86" s="1" t="inlineStr">
        <is>
          <t>14401522887469</t>
        </is>
      </c>
      <c r="B86" s="1" t="inlineStr">
        <is>
          <t>CINTO GC WHITE</t>
        </is>
      </c>
      <c r="C86" s="1" t="n"/>
      <c r="D86" s="1" t="n"/>
      <c r="E86" s="1" t="n"/>
      <c r="F86" s="1" t="n"/>
      <c r="G86" s="1" t="n"/>
      <c r="H86" s="1" t="n"/>
      <c r="I86" s="6" t="n">
        <v>216.3469216</v>
      </c>
      <c r="J86" s="1" t="n"/>
      <c r="K86" s="6" t="n">
        <v>207.6007409</v>
      </c>
      <c r="L86" s="6" t="n">
        <v>212.0083598</v>
      </c>
      <c r="M86" s="1" t="n"/>
      <c r="N86" s="1" t="n"/>
    </row>
    <row r="87">
      <c r="A87" s="1" t="inlineStr">
        <is>
          <t>14401522920237</t>
        </is>
      </c>
      <c r="B87" s="1" t="inlineStr">
        <is>
          <t>BOLSO CC DOUBLE FLAP</t>
        </is>
      </c>
      <c r="C87" s="1" t="n"/>
      <c r="D87" s="1" t="n"/>
      <c r="E87" s="1" t="n"/>
      <c r="F87" s="1" t="n"/>
      <c r="G87" s="1" t="n"/>
      <c r="H87" s="1" t="n"/>
      <c r="I87" s="6" t="n">
        <v>1947.122294</v>
      </c>
      <c r="J87" s="1" t="n"/>
      <c r="K87" s="6" t="n">
        <v>1868.406668</v>
      </c>
      <c r="L87" s="1" t="n"/>
      <c r="M87" s="1" t="n"/>
      <c r="N87" s="1" t="n"/>
    </row>
    <row r="88">
      <c r="A88" s="1" t="inlineStr">
        <is>
          <t>14401523053005</t>
        </is>
      </c>
      <c r="B88" s="1" t="inlineStr">
        <is>
          <t>CARTERA MM BLACK</t>
        </is>
      </c>
      <c r="C88" s="1" t="n"/>
      <c r="D88" s="1" t="n"/>
      <c r="E88" s="1" t="n"/>
      <c r="F88" s="1" t="n"/>
      <c r="G88" s="1" t="n"/>
      <c r="H88" s="1" t="n"/>
      <c r="I88" s="6" t="n">
        <v>892.4310516</v>
      </c>
      <c r="J88" s="1" t="n"/>
      <c r="K88" s="1" t="n"/>
      <c r="L88" s="1" t="n"/>
      <c r="M88" s="1" t="n"/>
      <c r="N88" s="1" t="n"/>
    </row>
    <row r="89">
      <c r="A89" s="1" t="inlineStr">
        <is>
          <t>14401523185773</t>
        </is>
      </c>
      <c r="B89" s="1" t="inlineStr">
        <is>
          <t>TARJETERO MM BLACK</t>
        </is>
      </c>
      <c r="C89" s="1" t="n"/>
      <c r="D89" s="1" t="n"/>
      <c r="E89" s="1" t="n"/>
      <c r="F89" s="1" t="n"/>
      <c r="G89" s="1" t="n"/>
      <c r="H89" s="1" t="n"/>
      <c r="I89" s="6" t="n">
        <v>676.08413</v>
      </c>
      <c r="J89" s="1" t="n"/>
      <c r="K89" s="1" t="n"/>
      <c r="L89" s="1" t="n"/>
      <c r="M89" s="1" t="n"/>
      <c r="N89" s="1" t="n"/>
    </row>
    <row r="90">
      <c r="A90" s="1" t="inlineStr">
        <is>
          <t>14401523218541</t>
        </is>
      </c>
      <c r="B90" s="1" t="inlineStr">
        <is>
          <t>BOLSO PR RE-NYLON</t>
        </is>
      </c>
      <c r="C90" s="1" t="n"/>
      <c r="D90" s="1" t="n"/>
      <c r="E90" s="1" t="n"/>
      <c r="F90" s="1" t="n"/>
      <c r="G90" s="1" t="n"/>
      <c r="H90" s="1" t="n"/>
      <c r="I90" s="6" t="n">
        <v>1325.124895</v>
      </c>
      <c r="J90" s="1" t="n"/>
      <c r="K90" s="1" t="n"/>
      <c r="L90" s="1" t="n"/>
      <c r="M90" s="1" t="n"/>
      <c r="N90" s="1" t="n"/>
    </row>
    <row r="91">
      <c r="A91" s="1" t="inlineStr">
        <is>
          <t>14401523316845</t>
        </is>
      </c>
      <c r="B91" s="1" t="inlineStr">
        <is>
          <t>MOCHILA PR RE-NYLON</t>
        </is>
      </c>
      <c r="C91" s="1" t="n"/>
      <c r="D91" s="1" t="n"/>
      <c r="E91" s="1" t="n"/>
      <c r="F91" s="1" t="n"/>
      <c r="G91" s="1" t="n"/>
      <c r="H91" s="1" t="n"/>
      <c r="I91" s="6" t="n">
        <v>1433.298356</v>
      </c>
      <c r="J91" s="1" t="n"/>
      <c r="K91" s="1" t="n"/>
      <c r="L91" s="1" t="n"/>
      <c r="M91" s="1" t="n"/>
      <c r="N91" s="1" t="n"/>
    </row>
    <row r="92">
      <c r="A92" s="1" t="inlineStr">
        <is>
          <t>14401523449613</t>
        </is>
      </c>
      <c r="B92" s="1" t="inlineStr">
        <is>
          <t>BOLSO CD CON CREMALLERA</t>
        </is>
      </c>
      <c r="C92" s="1" t="n"/>
      <c r="D92" s="1" t="n"/>
      <c r="E92" s="1" t="n"/>
      <c r="F92" s="1" t="n"/>
      <c r="G92" s="1" t="n"/>
      <c r="H92" s="1" t="n"/>
      <c r="I92" s="6" t="n">
        <v>1298.08153</v>
      </c>
      <c r="J92" s="1" t="n"/>
      <c r="K92" s="6" t="n">
        <v>1245.604446</v>
      </c>
      <c r="L92" s="6" t="n">
        <v>1272.050159</v>
      </c>
      <c r="M92" s="1" t="n"/>
      <c r="N92" s="1" t="n"/>
    </row>
    <row r="93">
      <c r="A93" s="1" t="inlineStr">
        <is>
          <t>14512841047597</t>
        </is>
      </c>
      <c r="B93" s="1" t="inlineStr">
        <is>
          <t>PULSERA LV IDYLLE BLOSSOM GOLD</t>
        </is>
      </c>
      <c r="C93" s="1" t="n"/>
      <c r="D93" s="6" t="n">
        <v>232.0657435</v>
      </c>
      <c r="E93" s="1" t="n"/>
      <c r="F93" s="1" t="n"/>
      <c r="G93" s="1" t="n"/>
      <c r="H93" s="1" t="n"/>
      <c r="I93" s="1" t="n"/>
      <c r="J93" s="1" t="n"/>
      <c r="K93" s="6" t="n">
        <v>231.3462095</v>
      </c>
      <c r="L93" s="1" t="n"/>
      <c r="M93" s="1" t="n"/>
      <c r="N93" s="1" t="n"/>
    </row>
    <row r="94">
      <c r="A94" s="1" t="inlineStr">
        <is>
          <t>14679511089581</t>
        </is>
      </c>
      <c r="B94" s="1" t="inlineStr">
        <is>
          <t>PULSERA H SILVER</t>
        </is>
      </c>
      <c r="C94" s="1" t="n"/>
      <c r="D94" s="1" t="n"/>
      <c r="E94" s="1" t="n"/>
      <c r="F94" s="1" t="n"/>
      <c r="G94" s="1" t="n"/>
      <c r="H94" s="1" t="n"/>
      <c r="I94" s="1" t="n"/>
      <c r="J94" s="1" t="n"/>
      <c r="K94" s="6" t="n">
        <v>273.1988419</v>
      </c>
      <c r="L94" s="1" t="n"/>
      <c r="M94" s="1" t="n"/>
      <c r="N94" s="1" t="n"/>
    </row>
    <row r="95">
      <c r="A95" s="1" t="inlineStr">
        <is>
          <t>15104851060781</t>
        </is>
      </c>
      <c r="B95" s="1" t="inlineStr">
        <is>
          <t>COLLAR ALHAMBRA GOLD</t>
        </is>
      </c>
      <c r="C95" s="1" t="n"/>
      <c r="D95" s="1" t="n"/>
      <c r="E95" s="1" t="n"/>
      <c r="F95" s="1" t="n"/>
      <c r="G95" s="1" t="n"/>
      <c r="H95" s="1" t="n"/>
      <c r="I95" s="6" t="n">
        <v>106.7714619</v>
      </c>
      <c r="J95" s="1" t="n"/>
      <c r="K95" s="1" t="n"/>
      <c r="L95" s="1" t="n"/>
      <c r="M95" s="6" t="n">
        <v>105.0730323</v>
      </c>
      <c r="N95" s="1" t="n"/>
    </row>
    <row r="96">
      <c r="A96" s="1" t="inlineStr">
        <is>
          <t>15104861195245</t>
        </is>
      </c>
      <c r="B96" s="1" t="inlineStr">
        <is>
          <t>ANILLO LV RED BLOSSOM STAR ROSE GOLD</t>
        </is>
      </c>
      <c r="C96" s="1" t="n"/>
      <c r="D96" s="1" t="n"/>
      <c r="E96" s="1" t="n"/>
      <c r="F96" s="1" t="n"/>
      <c r="G96" s="1" t="n"/>
      <c r="H96" s="1" t="n"/>
      <c r="I96" s="6" t="n">
        <v>191.9750886</v>
      </c>
      <c r="J96" s="1" t="n"/>
      <c r="K96" s="1" t="n"/>
      <c r="L96" s="1" t="n"/>
      <c r="M96" s="1" t="n"/>
      <c r="N96" s="1" t="n"/>
    </row>
    <row r="97">
      <c r="A97" s="1" t="inlineStr">
        <is>
          <t>15104861228013</t>
        </is>
      </c>
      <c r="B97" s="1" t="inlineStr">
        <is>
          <t>ANILLO LV RED BLOSSOM STAR ROSE GOLD</t>
        </is>
      </c>
      <c r="C97" s="1" t="n"/>
      <c r="D97" s="1" t="n"/>
      <c r="E97" s="1" t="n"/>
      <c r="F97" s="1" t="n"/>
      <c r="G97" s="1" t="n"/>
      <c r="H97" s="1" t="n"/>
      <c r="I97" s="6" t="n">
        <v>191.9750886</v>
      </c>
      <c r="J97" s="1" t="n"/>
      <c r="K97" s="1" t="n"/>
      <c r="L97" s="6" t="n">
        <v>188.6937647</v>
      </c>
      <c r="M97" s="1" t="n"/>
      <c r="N97" s="1" t="n"/>
    </row>
    <row r="98">
      <c r="A98" s="1" t="inlineStr">
        <is>
          <t>15104861336493</t>
        </is>
      </c>
      <c r="B98" s="1" t="inlineStr">
        <is>
          <t>ANILLO LV GREEN BLOSSOM STAR ROSE GOLD</t>
        </is>
      </c>
      <c r="C98" s="1" t="n"/>
      <c r="D98" s="1" t="n"/>
      <c r="E98" s="1" t="n"/>
      <c r="F98" s="1" t="n"/>
      <c r="G98" s="1" t="n"/>
      <c r="H98" s="1" t="n"/>
      <c r="I98" s="6" t="n">
        <v>191.9750886</v>
      </c>
      <c r="J98" s="1" t="n"/>
      <c r="K98" s="1" t="n"/>
      <c r="L98" s="1" t="n"/>
      <c r="M98" s="1" t="n"/>
      <c r="N98" s="1" t="n"/>
    </row>
    <row r="99">
      <c r="A99" s="1" t="inlineStr">
        <is>
          <t>15104861469261</t>
        </is>
      </c>
      <c r="B99" s="1" t="inlineStr">
        <is>
          <t>ANILLO LV GREEN BLOSSOM STAR ROSE GOLD</t>
        </is>
      </c>
      <c r="C99" s="1" t="n"/>
      <c r="D99" s="1" t="n"/>
      <c r="E99" s="1" t="n"/>
      <c r="F99" s="1" t="n"/>
      <c r="G99" s="1" t="n"/>
      <c r="H99" s="1" t="n"/>
      <c r="I99" s="6" t="n">
        <v>191.9750886</v>
      </c>
      <c r="J99" s="1" t="n"/>
      <c r="K99" s="1" t="n"/>
      <c r="L99" s="6" t="n">
        <v>188.6937647</v>
      </c>
      <c r="M99" s="1" t="n"/>
      <c r="N99" s="1" t="n"/>
    </row>
    <row r="100">
      <c r="A100" s="1" t="inlineStr">
        <is>
          <t>15104861551757</t>
        </is>
      </c>
      <c r="B100" s="1" t="inlineStr">
        <is>
          <t>BRAZALETE IDYLLE ROSE GOLD ZIRCONIAS</t>
        </is>
      </c>
      <c r="C100" s="1" t="n"/>
      <c r="D100" s="1" t="n"/>
      <c r="E100" s="1" t="n"/>
      <c r="F100" s="1" t="n"/>
      <c r="G100" s="1" t="n"/>
      <c r="H100" s="1" t="n"/>
      <c r="I100" s="6" t="n">
        <v>320.3143858</v>
      </c>
      <c r="J100" s="1" t="n"/>
      <c r="K100" s="1" t="n"/>
      <c r="L100" s="6" t="n">
        <v>314.8394294</v>
      </c>
      <c r="M100" s="1" t="n"/>
      <c r="N100" s="1" t="n"/>
    </row>
    <row r="101">
      <c r="A101" s="1" t="inlineStr">
        <is>
          <t>15104861653453</t>
        </is>
      </c>
      <c r="B101" s="1" t="inlineStr">
        <is>
          <t>PULSERA LV BLOSSOM ROSE GOLD RED</t>
        </is>
      </c>
      <c r="C101" s="1" t="n"/>
      <c r="D101" s="1" t="n"/>
      <c r="E101" s="1" t="n"/>
      <c r="F101" s="1" t="n"/>
      <c r="G101" s="1" t="n"/>
      <c r="H101" s="1" t="n"/>
      <c r="I101" s="6" t="n">
        <v>234.8972162</v>
      </c>
      <c r="J101" s="1" t="n"/>
      <c r="K101" s="6" t="n">
        <v>231.3462095</v>
      </c>
      <c r="L101" s="1" t="n"/>
      <c r="M101" s="1" t="n"/>
      <c r="N101" s="1" t="n"/>
    </row>
    <row r="102">
      <c r="A102" s="1" t="inlineStr">
        <is>
          <t>15104861720685</t>
        </is>
      </c>
      <c r="B102" s="1" t="inlineStr">
        <is>
          <t>PULSERA LV SILVER LOGOS PEARL</t>
        </is>
      </c>
      <c r="C102" s="1" t="n"/>
      <c r="D102" s="1" t="n"/>
      <c r="E102" s="1" t="n"/>
      <c r="F102" s="1" t="n"/>
      <c r="G102" s="1" t="n"/>
      <c r="H102" s="1" t="n"/>
      <c r="I102" s="6" t="n">
        <v>277.605801</v>
      </c>
      <c r="J102" s="1" t="n"/>
      <c r="K102" s="1" t="n"/>
      <c r="L102" s="1" t="n"/>
      <c r="M102" s="1" t="n"/>
      <c r="N102" s="1" t="n"/>
    </row>
    <row r="103">
      <c r="A103" s="1" t="inlineStr">
        <is>
          <t>15104861829165</t>
        </is>
      </c>
      <c r="B103" s="1" t="inlineStr">
        <is>
          <t>COLLAR SUN BLACK BLOSSOM GOLD</t>
        </is>
      </c>
      <c r="C103" s="1" t="n"/>
      <c r="D103" s="1" t="n"/>
      <c r="E103" s="1" t="n"/>
      <c r="F103" s="1" t="n"/>
      <c r="G103" s="1" t="n"/>
      <c r="H103" s="1" t="n"/>
      <c r="I103" s="6" t="n">
        <v>127.9122114</v>
      </c>
      <c r="J103" s="1" t="n"/>
      <c r="K103" s="1" t="n"/>
      <c r="L103" s="6" t="n">
        <v>125.7258788</v>
      </c>
      <c r="M103" s="1" t="n"/>
      <c r="N103" s="1" t="n"/>
    </row>
    <row r="104">
      <c r="A104" s="1" t="inlineStr">
        <is>
          <t>15104861996397</t>
        </is>
      </c>
      <c r="B104" s="1" t="inlineStr">
        <is>
          <t>COLLAR SUN BLACK BLOSSOM ROSE GOLD</t>
        </is>
      </c>
      <c r="C104" s="1" t="n"/>
      <c r="D104" s="1" t="n"/>
      <c r="E104" s="1" t="n"/>
      <c r="F104" s="1" t="n"/>
      <c r="G104" s="1" t="n"/>
      <c r="H104" s="1" t="n"/>
      <c r="I104" s="6" t="n">
        <v>127.9122114</v>
      </c>
      <c r="J104" s="1" t="n"/>
      <c r="K104" s="1" t="n"/>
      <c r="L104" s="1" t="n"/>
      <c r="M104" s="1" t="n"/>
      <c r="N104" s="1" t="n"/>
    </row>
    <row r="105">
      <c r="A105" s="1" t="inlineStr">
        <is>
          <t>15104862051213</t>
        </is>
      </c>
      <c r="B105" s="1" t="inlineStr">
        <is>
          <t>COLLAR SUN GREEN BLOSSOM GOLD</t>
        </is>
      </c>
      <c r="C105" s="1" t="n"/>
      <c r="D105" s="1" t="n"/>
      <c r="E105" s="1" t="n"/>
      <c r="F105" s="1" t="n"/>
      <c r="G105" s="1" t="n"/>
      <c r="H105" s="1" t="n"/>
      <c r="I105" s="6" t="n">
        <v>127.9122114</v>
      </c>
      <c r="J105" s="1" t="n"/>
      <c r="K105" s="1" t="n"/>
      <c r="L105" s="6" t="n">
        <v>125.7258788</v>
      </c>
      <c r="M105" s="1" t="n"/>
      <c r="N105" s="1" t="n"/>
    </row>
    <row r="106">
      <c r="A106" s="1" t="inlineStr">
        <is>
          <t>15104862187373</t>
        </is>
      </c>
      <c r="B106" s="1" t="inlineStr">
        <is>
          <t>COLLAR SUN GREEN BLOSSOM ROSE GOLD</t>
        </is>
      </c>
      <c r="C106" s="1" t="n"/>
      <c r="D106" s="1" t="n"/>
      <c r="E106" s="1" t="n"/>
      <c r="F106" s="1" t="n"/>
      <c r="G106" s="1" t="n"/>
      <c r="H106" s="1" t="n"/>
      <c r="I106" s="6" t="n">
        <v>127.9122114</v>
      </c>
      <c r="J106" s="1" t="n"/>
      <c r="K106" s="1" t="n"/>
      <c r="L106" s="1" t="n"/>
      <c r="M106" s="1" t="n"/>
      <c r="N106" s="1" t="n"/>
    </row>
    <row r="107">
      <c r="A107" s="1" t="inlineStr">
        <is>
          <t>15104862263629</t>
        </is>
      </c>
      <c r="B107" s="1" t="inlineStr">
        <is>
          <t>COLLAR SUN RED BLOSSOM GOLD</t>
        </is>
      </c>
      <c r="C107" s="1" t="n"/>
      <c r="D107" s="1" t="n"/>
      <c r="E107" s="1" t="n"/>
      <c r="F107" s="1" t="n"/>
      <c r="G107" s="1" t="n"/>
      <c r="H107" s="1" t="n"/>
      <c r="I107" s="6" t="n">
        <v>127.9122114</v>
      </c>
      <c r="J107" s="1" t="n"/>
      <c r="K107" s="1" t="n"/>
      <c r="L107" s="6" t="n">
        <v>125.7258788</v>
      </c>
      <c r="M107" s="1" t="n"/>
      <c r="N107" s="1" t="n"/>
    </row>
    <row r="108">
      <c r="A108" s="1" t="inlineStr">
        <is>
          <t>15104862383981</t>
        </is>
      </c>
      <c r="B108" s="1" t="inlineStr">
        <is>
          <t>COLLAR SUN RED BLOSSOM ROSE GOLD</t>
        </is>
      </c>
      <c r="C108" s="1" t="n"/>
      <c r="D108" s="1" t="n"/>
      <c r="E108" s="1" t="n"/>
      <c r="F108" s="1" t="n"/>
      <c r="G108" s="1" t="n"/>
      <c r="H108" s="1" t="n"/>
      <c r="I108" s="6" t="n">
        <v>127.9122114</v>
      </c>
      <c r="J108" s="1" t="n"/>
      <c r="K108" s="1" t="n"/>
      <c r="L108" s="6" t="n">
        <v>127.0996672</v>
      </c>
      <c r="M108" s="1" t="n"/>
      <c r="N108" s="1" t="n"/>
    </row>
    <row r="109">
      <c r="A109" s="1" t="inlineStr">
        <is>
          <t>15104862489069</t>
        </is>
      </c>
      <c r="B109" s="1" t="inlineStr">
        <is>
          <t>ARETES LV FLOWERGRAM GOLD</t>
        </is>
      </c>
      <c r="C109" s="1" t="n"/>
      <c r="D109" s="1" t="n"/>
      <c r="E109" s="1" t="n"/>
      <c r="F109" s="1" t="n"/>
      <c r="G109" s="1" t="n"/>
      <c r="H109" s="1" t="n"/>
      <c r="I109" s="6" t="n">
        <v>191.9750886</v>
      </c>
      <c r="J109" s="1" t="n"/>
      <c r="K109" s="1" t="n"/>
      <c r="L109" s="6" t="n">
        <v>190.755594</v>
      </c>
      <c r="M109" s="6" t="n">
        <v>188.9213121</v>
      </c>
      <c r="N109" s="1" t="n"/>
    </row>
    <row r="110">
      <c r="A110" s="1" t="inlineStr">
        <is>
          <t>15104862595853</t>
        </is>
      </c>
      <c r="B110" s="1" t="inlineStr">
        <is>
          <t>ARETES LV LOGO PEARL</t>
        </is>
      </c>
      <c r="C110" s="1" t="n"/>
      <c r="D110" s="1" t="n"/>
      <c r="E110" s="1" t="n"/>
      <c r="F110" s="1" t="n"/>
      <c r="G110" s="1" t="n"/>
      <c r="H110" s="1" t="n"/>
      <c r="I110" s="6" t="n">
        <v>191.9750886</v>
      </c>
      <c r="J110" s="1" t="n"/>
      <c r="K110" s="6" t="n">
        <v>189.0729476</v>
      </c>
      <c r="L110" s="6" t="n">
        <v>190.755594</v>
      </c>
      <c r="M110" s="6" t="n">
        <v>188.9213121</v>
      </c>
      <c r="N110" s="1" t="n"/>
    </row>
    <row r="111">
      <c r="A111" s="1" t="inlineStr">
        <is>
          <t>15104862668173</t>
        </is>
      </c>
      <c r="B111" s="1" t="inlineStr">
        <is>
          <t>COLLAR KELLY ROSE GOLD</t>
        </is>
      </c>
      <c r="C111" s="1" t="n"/>
      <c r="D111" s="1" t="n"/>
      <c r="E111" s="1" t="n"/>
      <c r="F111" s="1" t="n"/>
      <c r="G111" s="1" t="n"/>
      <c r="H111" s="1" t="n"/>
      <c r="I111" s="6" t="n">
        <v>128.1257543</v>
      </c>
      <c r="J111" s="1" t="n"/>
      <c r="K111" s="1" t="n"/>
      <c r="L111" s="6" t="n">
        <v>125.9357718</v>
      </c>
      <c r="M111" s="1" t="n"/>
      <c r="N111" s="1" t="n"/>
    </row>
    <row r="112">
      <c r="A112" s="1" t="inlineStr">
        <is>
          <t>15104862702637</t>
        </is>
      </c>
      <c r="B112" s="1" t="inlineStr">
        <is>
          <t>ARETES H GOLD</t>
        </is>
      </c>
      <c r="C112" s="1" t="n"/>
      <c r="D112" s="1" t="n"/>
      <c r="E112" s="1" t="n"/>
      <c r="F112" s="1" t="n"/>
      <c r="G112" s="1" t="n"/>
      <c r="H112" s="1" t="n"/>
      <c r="I112" s="6" t="n">
        <v>190.0532022</v>
      </c>
      <c r="J112" s="1" t="n"/>
      <c r="K112" s="6" t="n">
        <v>187.1801149</v>
      </c>
      <c r="L112" s="6" t="n">
        <v>188.8459162</v>
      </c>
      <c r="M112" s="1" t="n"/>
      <c r="N112" s="1" t="n"/>
    </row>
    <row r="113">
      <c r="A113" s="1" t="inlineStr">
        <is>
          <t>15104862806029</t>
        </is>
      </c>
      <c r="B113" s="1" t="inlineStr">
        <is>
          <t>ARETES LOGO H ROSE GOLD ZIRCONIAS</t>
        </is>
      </c>
      <c r="C113" s="1" t="n"/>
      <c r="D113" s="1" t="n"/>
      <c r="E113" s="1" t="n"/>
      <c r="F113" s="1" t="n"/>
      <c r="G113" s="1" t="n"/>
      <c r="H113" s="1" t="n"/>
      <c r="I113" s="6" t="n">
        <v>170.8343391</v>
      </c>
      <c r="J113" s="1" t="n"/>
      <c r="K113" s="1" t="n"/>
      <c r="L113" s="1" t="n"/>
      <c r="M113" s="1" t="n"/>
      <c r="N113" s="1" t="n"/>
    </row>
    <row r="114">
      <c r="A114" s="1" t="inlineStr">
        <is>
          <t>15104862909421</t>
        </is>
      </c>
      <c r="B114" s="1" t="inlineStr">
        <is>
          <t>COLLAR PANTHERE LISO GOLD</t>
        </is>
      </c>
      <c r="C114" s="1" t="n"/>
      <c r="D114" s="1" t="n"/>
      <c r="E114" s="1" t="n"/>
      <c r="F114" s="1" t="n"/>
      <c r="G114" s="1" t="n"/>
      <c r="H114" s="1" t="n"/>
      <c r="I114" s="6" t="n">
        <v>192.1886315</v>
      </c>
      <c r="J114" s="1" t="n"/>
      <c r="K114" s="1" t="n"/>
      <c r="L114" s="1" t="n"/>
      <c r="M114" s="6" t="n">
        <v>189.1314581</v>
      </c>
      <c r="N114" s="1" t="n"/>
    </row>
    <row r="115">
      <c r="A115" s="1" t="inlineStr">
        <is>
          <t>15104863078349</t>
        </is>
      </c>
      <c r="B115" s="1" t="inlineStr">
        <is>
          <t>COLLAR PANTHERE LISO SILVER</t>
        </is>
      </c>
      <c r="C115" s="1" t="n"/>
      <c r="D115" s="1" t="n"/>
      <c r="E115" s="1" t="n"/>
      <c r="F115" s="1" t="n"/>
      <c r="G115" s="1" t="n"/>
      <c r="H115" s="1" t="n"/>
      <c r="I115" s="6" t="n">
        <v>192.1886315</v>
      </c>
      <c r="J115" s="1" t="n"/>
      <c r="K115" s="1" t="n"/>
      <c r="L115" s="1" t="n"/>
      <c r="M115" s="1" t="n"/>
      <c r="N115" s="1" t="n"/>
    </row>
    <row r="116">
      <c r="A116" s="1" t="inlineStr">
        <is>
          <t>15104863162605</t>
        </is>
      </c>
      <c r="B116" s="1" t="inlineStr">
        <is>
          <t>COLLAR T KEY HEART</t>
        </is>
      </c>
      <c r="C116" s="1" t="n"/>
      <c r="D116" s="1" t="n"/>
      <c r="E116" s="1" t="n"/>
      <c r="F116" s="1" t="n"/>
      <c r="G116" s="1" t="n"/>
      <c r="H116" s="1" t="n"/>
      <c r="I116" s="6" t="n">
        <v>160.1571929</v>
      </c>
      <c r="J116" s="1" t="n"/>
      <c r="K116" s="1" t="n"/>
      <c r="L116" s="6" t="n">
        <v>159.139817</v>
      </c>
      <c r="M116" s="1" t="n"/>
      <c r="N116" s="1" t="n"/>
    </row>
    <row r="117">
      <c r="A117" s="1" t="inlineStr">
        <is>
          <t>15104863274477</t>
        </is>
      </c>
      <c r="B117" s="1" t="inlineStr">
        <is>
          <t>COLLAR KNOT SILVER ZIRCONIAS</t>
        </is>
      </c>
      <c r="C117" s="1" t="n"/>
      <c r="D117" s="1" t="n"/>
      <c r="E117" s="1" t="n"/>
      <c r="F117" s="1" t="n"/>
      <c r="G117" s="1" t="n"/>
      <c r="H117" s="1" t="n"/>
      <c r="I117" s="6" t="n">
        <v>149.4800467</v>
      </c>
      <c r="J117" s="1" t="n"/>
      <c r="K117" s="1" t="n"/>
      <c r="L117" s="1" t="n"/>
      <c r="M117" s="6" t="n">
        <v>147.1022452</v>
      </c>
      <c r="N117" s="1" t="n"/>
    </row>
    <row r="118">
      <c r="A118" s="1" t="inlineStr">
        <is>
          <t>15104863347341</t>
        </is>
      </c>
      <c r="B118" s="1" t="inlineStr">
        <is>
          <t>COLLAR KNOT ROSEGOLD HALF ZIRCONIAS</t>
        </is>
      </c>
      <c r="C118" s="1" t="n"/>
      <c r="D118" s="1" t="n"/>
      <c r="E118" s="1" t="n"/>
      <c r="F118" s="1" t="n"/>
      <c r="G118" s="1" t="n"/>
      <c r="H118" s="1" t="n"/>
      <c r="I118" s="6" t="n">
        <v>138.8029005</v>
      </c>
      <c r="J118" s="1" t="n"/>
      <c r="K118" s="1" t="n"/>
      <c r="L118" s="1" t="n"/>
      <c r="M118" s="6" t="n">
        <v>136.594942</v>
      </c>
      <c r="N118" s="1" t="n"/>
    </row>
    <row r="119">
      <c r="A119" s="1" t="inlineStr">
        <is>
          <t>15104863437293</t>
        </is>
      </c>
      <c r="B119" s="1" t="inlineStr">
        <is>
          <t>COLLAR KNOT GOLD ZIRCONIAS</t>
        </is>
      </c>
      <c r="C119" s="1" t="n"/>
      <c r="D119" s="1" t="n"/>
      <c r="E119" s="1" t="n"/>
      <c r="F119" s="1" t="n"/>
      <c r="G119" s="1" t="n"/>
      <c r="H119" s="1" t="n"/>
      <c r="I119" s="6" t="n">
        <v>149.4800467</v>
      </c>
      <c r="J119" s="1" t="n"/>
      <c r="K119" s="1" t="n"/>
      <c r="L119" s="6" t="n">
        <v>148.5304959</v>
      </c>
      <c r="M119" s="1" t="n"/>
      <c r="N119" s="1" t="n"/>
    </row>
    <row r="120">
      <c r="A120" s="1" t="inlineStr">
        <is>
          <t>15104863595501</t>
        </is>
      </c>
      <c r="B120" s="1" t="inlineStr">
        <is>
          <t>PULSERA T HEART</t>
        </is>
      </c>
      <c r="C120" s="1" t="n"/>
      <c r="D120" s="1" t="n"/>
      <c r="E120" s="1" t="n"/>
      <c r="F120" s="1" t="n"/>
      <c r="G120" s="1" t="n"/>
      <c r="H120" s="1" t="n"/>
      <c r="I120" s="6" t="n">
        <v>149.4800467</v>
      </c>
      <c r="J120" s="1" t="n"/>
      <c r="K120" s="1" t="n"/>
      <c r="L120" s="6" t="n">
        <v>146.9250671</v>
      </c>
      <c r="M120" s="1" t="n"/>
      <c r="N120" s="1" t="n"/>
    </row>
    <row r="121">
      <c r="A121" s="1" t="inlineStr">
        <is>
          <t>15104863678477</t>
        </is>
      </c>
      <c r="B121" s="1" t="inlineStr">
        <is>
          <t>ARETES CC BOUTON CAMELIA GOLD</t>
        </is>
      </c>
      <c r="C121" s="1" t="n"/>
      <c r="D121" s="1" t="n"/>
      <c r="E121" s="1" t="n"/>
      <c r="F121" s="1" t="n"/>
      <c r="G121" s="1" t="n"/>
      <c r="H121" s="1" t="n"/>
      <c r="I121" s="6" t="n">
        <v>191.9750886</v>
      </c>
      <c r="J121" s="1" t="n"/>
      <c r="K121" s="1" t="n"/>
      <c r="L121" s="1" t="n"/>
      <c r="M121" s="1" t="n"/>
      <c r="N121" s="1" t="n"/>
    </row>
    <row r="122">
      <c r="A122" s="1" t="inlineStr">
        <is>
          <t>15118061083949</t>
        </is>
      </c>
      <c r="B122" s="1" t="inlineStr">
        <is>
          <t>ARETES T CORAZÓN CON FLECHA</t>
        </is>
      </c>
      <c r="C122" s="1" t="n"/>
      <c r="D122" s="1" t="n"/>
      <c r="E122" s="1" t="n"/>
      <c r="F122" s="6" t="n">
        <v>105.3024922</v>
      </c>
      <c r="G122" s="6" t="n">
        <v>104.5858001</v>
      </c>
      <c r="H122" s="6" t="n">
        <v>106.002089</v>
      </c>
      <c r="I122" s="6" t="n">
        <v>105.3424803</v>
      </c>
      <c r="J122" s="6" t="n">
        <v>106.5194811</v>
      </c>
      <c r="K122" s="1" t="n"/>
      <c r="L122" s="6" t="n">
        <v>104.9464765</v>
      </c>
      <c r="M122" s="1" t="n"/>
      <c r="N122" s="1" t="n"/>
    </row>
    <row r="123">
      <c r="A123" s="1" t="inlineStr">
        <is>
          <t>15489301069581</t>
        </is>
      </c>
      <c r="B123" s="1" t="inlineStr">
        <is>
          <t>COLLAR TRES AROS ROSE GOLD</t>
        </is>
      </c>
      <c r="C123" s="1" t="n"/>
      <c r="D123" s="1" t="n"/>
      <c r="E123" s="1" t="n"/>
      <c r="F123" s="1" t="n"/>
      <c r="G123" s="1" t="n"/>
      <c r="H123" s="1" t="n"/>
      <c r="I123" s="1" t="n"/>
      <c r="J123" s="1" t="n"/>
      <c r="K123" s="6" t="n">
        <v>629.892634</v>
      </c>
      <c r="L123" s="1" t="n"/>
      <c r="M123" s="1" t="n"/>
      <c r="N123" s="1" t="n"/>
    </row>
    <row r="124">
      <c r="A124" s="1" t="inlineStr">
        <is>
          <t>15554121015853</t>
        </is>
      </c>
      <c r="B124" s="1" t="inlineStr">
        <is>
          <t>ANILLO MOVE PAVE GOLD</t>
        </is>
      </c>
      <c r="C124" s="1" t="n"/>
      <c r="D124" s="1" t="n"/>
      <c r="E124" s="1" t="n"/>
      <c r="F124" s="1" t="n"/>
      <c r="G124" s="1" t="n"/>
      <c r="H124" s="1" t="n"/>
      <c r="I124" s="1" t="n"/>
      <c r="J124" s="1" t="n"/>
      <c r="K124" s="6" t="n">
        <v>126.1888415</v>
      </c>
      <c r="L124" s="1" t="n"/>
      <c r="M124" s="1" t="n"/>
      <c r="N124" s="1" t="n"/>
    </row>
    <row r="125">
      <c r="A125" s="1" t="inlineStr">
        <is>
          <t>15554121148621</t>
        </is>
      </c>
      <c r="B125" s="1" t="inlineStr">
        <is>
          <t>ANILLO MOVE PAVE GOLD</t>
        </is>
      </c>
      <c r="C125" s="1" t="n"/>
      <c r="D125" s="1" t="n"/>
      <c r="E125" s="1" t="n"/>
      <c r="F125" s="1" t="n"/>
      <c r="G125" s="1" t="n"/>
      <c r="H125" s="1" t="n"/>
      <c r="I125" s="1" t="n"/>
      <c r="J125" s="1" t="n"/>
      <c r="K125" s="6" t="n">
        <v>126.1888415</v>
      </c>
      <c r="L125" s="1" t="n"/>
      <c r="M125" s="1" t="n"/>
      <c r="N125" s="1" t="n"/>
    </row>
    <row r="126">
      <c r="A126" s="1" t="inlineStr">
        <is>
          <t>15554121245229</t>
        </is>
      </c>
      <c r="B126" s="1" t="inlineStr">
        <is>
          <t>ANILLO MOVE UNO PAVE DROP GOLD</t>
        </is>
      </c>
      <c r="C126" s="1" t="n"/>
      <c r="D126" s="1" t="n"/>
      <c r="E126" s="1" t="n"/>
      <c r="F126" s="1" t="n"/>
      <c r="G126" s="1" t="n"/>
      <c r="H126" s="1" t="n"/>
      <c r="I126" s="1" t="n"/>
      <c r="J126" s="1" t="n"/>
      <c r="K126" s="6" t="n">
        <v>147.2203151</v>
      </c>
      <c r="L126" s="1" t="n"/>
      <c r="M126" s="1" t="n"/>
      <c r="N126" s="1" t="n"/>
    </row>
    <row r="127">
      <c r="A127" s="1" t="inlineStr">
        <is>
          <t>15554121358797</t>
        </is>
      </c>
      <c r="B127" s="1" t="inlineStr">
        <is>
          <t>BRAZALETE MOVE NOA CISELE GOLD</t>
        </is>
      </c>
      <c r="C127" s="1" t="n"/>
      <c r="D127" s="1" t="n"/>
      <c r="E127" s="1" t="n"/>
      <c r="F127" s="1" t="n"/>
      <c r="G127" s="1" t="n"/>
      <c r="H127" s="1" t="n"/>
      <c r="I127" s="1" t="n"/>
      <c r="J127" s="1" t="n"/>
      <c r="K127" s="6" t="n">
        <v>378.5665246</v>
      </c>
      <c r="L127" s="1" t="n"/>
      <c r="M127" s="1" t="n"/>
      <c r="N127" s="1" t="n"/>
    </row>
    <row r="128">
      <c r="A128" s="1" t="inlineStr">
        <is>
          <t>15554121422637</t>
        </is>
      </c>
      <c r="B128" s="1" t="inlineStr">
        <is>
          <t>ANILLO MOVE PAVE SILVER</t>
        </is>
      </c>
      <c r="C128" s="1" t="n"/>
      <c r="D128" s="1" t="n"/>
      <c r="E128" s="1" t="n"/>
      <c r="F128" s="1" t="n"/>
      <c r="G128" s="1" t="n"/>
      <c r="H128" s="1" t="n"/>
      <c r="I128" s="1" t="n"/>
      <c r="J128" s="1" t="n"/>
      <c r="K128" s="6" t="n">
        <v>136.7045783</v>
      </c>
      <c r="L128" s="1" t="n"/>
      <c r="M128" s="1" t="n"/>
      <c r="N128" s="1" t="n"/>
    </row>
    <row r="129">
      <c r="A129" s="1" t="inlineStr">
        <is>
          <t>15554121555405</t>
        </is>
      </c>
      <c r="B129" s="1" t="inlineStr">
        <is>
          <t>ANILLO MOVE PAVE SILVER</t>
        </is>
      </c>
      <c r="C129" s="1" t="n"/>
      <c r="D129" s="1" t="n"/>
      <c r="E129" s="1" t="n"/>
      <c r="F129" s="1" t="n"/>
      <c r="G129" s="1" t="n"/>
      <c r="H129" s="1" t="n"/>
      <c r="I129" s="1" t="n"/>
      <c r="J129" s="1" t="n"/>
      <c r="K129" s="6" t="n">
        <v>136.7045783</v>
      </c>
      <c r="L129" s="1" t="n"/>
      <c r="M129" s="1" t="n"/>
      <c r="N129" s="1" t="n"/>
    </row>
    <row r="130">
      <c r="A130" s="1" t="inlineStr">
        <is>
          <t>15554121626029</t>
        </is>
      </c>
      <c r="B130" s="1" t="inlineStr">
        <is>
          <t>BRAZALETE MOVE UNO GOLD ZIRCONIAS</t>
        </is>
      </c>
      <c r="C130" s="1" t="n"/>
      <c r="D130" s="1" t="n"/>
      <c r="E130" s="1" t="n"/>
      <c r="F130" s="1" t="n"/>
      <c r="G130" s="1" t="n"/>
      <c r="H130" s="1" t="n"/>
      <c r="I130" s="1" t="n"/>
      <c r="J130" s="1" t="n"/>
      <c r="K130" s="6" t="n">
        <v>210.3147359</v>
      </c>
      <c r="L130" s="1" t="n"/>
      <c r="M130" s="1" t="n"/>
      <c r="N130" s="1" t="n"/>
    </row>
    <row r="131">
      <c r="A131" s="1" t="inlineStr">
        <is>
          <t>15554121796653</t>
        </is>
      </c>
      <c r="B131" s="1" t="inlineStr">
        <is>
          <t>PULSERA MOVE CORDON PAVÉ</t>
        </is>
      </c>
      <c r="C131" s="1" t="n"/>
      <c r="D131" s="1" t="n"/>
      <c r="E131" s="1" t="n"/>
      <c r="F131" s="1" t="n"/>
      <c r="G131" s="1" t="n"/>
      <c r="H131" s="1" t="n"/>
      <c r="I131" s="1" t="n"/>
      <c r="J131" s="1" t="n"/>
      <c r="K131" s="6" t="n">
        <v>168.2517887</v>
      </c>
      <c r="L131" s="1" t="n"/>
      <c r="M131" s="1" t="n"/>
      <c r="N131" s="1" t="n"/>
    </row>
    <row r="132">
      <c r="A132" s="1" t="inlineStr">
        <is>
          <t>15554121831117</t>
        </is>
      </c>
      <c r="B132" s="1" t="inlineStr">
        <is>
          <t>COLLAR MSS SILVER CON ZIRCONIA</t>
        </is>
      </c>
      <c r="C132" s="1" t="n"/>
      <c r="D132" s="1" t="n"/>
      <c r="E132" s="1" t="n"/>
      <c r="F132" s="1" t="n"/>
      <c r="G132" s="1" t="n"/>
      <c r="H132" s="1" t="n"/>
      <c r="I132" s="1" t="n"/>
      <c r="J132" s="1" t="n"/>
      <c r="K132" s="6" t="n">
        <v>168.2517887</v>
      </c>
      <c r="L132" s="1" t="n"/>
      <c r="M132" s="1" t="n"/>
      <c r="N132" s="1" t="n"/>
    </row>
    <row r="133">
      <c r="A133" s="1" t="inlineStr">
        <is>
          <t>15554122051469</t>
        </is>
      </c>
      <c r="B133" s="1" t="inlineStr">
        <is>
          <t>BRAZALETE MOVE NOA GOLD</t>
        </is>
      </c>
      <c r="C133" s="1" t="n"/>
      <c r="D133" s="1" t="n"/>
      <c r="E133" s="1" t="n"/>
      <c r="F133" s="1" t="n"/>
      <c r="G133" s="1" t="n"/>
      <c r="H133" s="1" t="n"/>
      <c r="I133" s="1" t="n"/>
      <c r="J133" s="1" t="n"/>
      <c r="K133" s="6" t="n">
        <v>210.3147359</v>
      </c>
      <c r="L133" s="1" t="n"/>
      <c r="M133" s="6" t="n">
        <v>210.1460646</v>
      </c>
      <c r="N133" s="1" t="n"/>
    </row>
    <row r="134">
      <c r="A134" s="1" t="inlineStr">
        <is>
          <t>15554122120397</t>
        </is>
      </c>
      <c r="B134" s="1" t="inlineStr">
        <is>
          <t>COLLAR MOVE UNO DOBLE ZIRCONIAS ROSE GOLD</t>
        </is>
      </c>
      <c r="C134" s="1" t="n"/>
      <c r="D134" s="1" t="n"/>
      <c r="E134" s="1" t="n"/>
      <c r="F134" s="1" t="n"/>
      <c r="G134" s="1" t="n"/>
      <c r="H134" s="1" t="n"/>
      <c r="I134" s="1" t="n"/>
      <c r="J134" s="1" t="n"/>
      <c r="K134" s="6" t="n">
        <v>231.3462095</v>
      </c>
      <c r="L134" s="1" t="n"/>
      <c r="M134" s="1" t="n"/>
      <c r="N134" s="1" t="n"/>
    </row>
    <row r="135">
      <c r="A135" s="1" t="inlineStr">
        <is>
          <t>15554122254861</t>
        </is>
      </c>
      <c r="B135" s="1" t="inlineStr">
        <is>
          <t>COLLAR MOVE UNO SILVER</t>
        </is>
      </c>
      <c r="C135" s="1" t="n"/>
      <c r="D135" s="1" t="n"/>
      <c r="E135" s="1" t="n"/>
      <c r="F135" s="1" t="n"/>
      <c r="G135" s="1" t="n"/>
      <c r="H135" s="1" t="n"/>
      <c r="I135" s="1" t="n"/>
      <c r="J135" s="1" t="n"/>
      <c r="K135" s="6" t="n">
        <v>147.2203151</v>
      </c>
      <c r="L135" s="1" t="n"/>
      <c r="M135" s="1" t="n"/>
      <c r="N135" s="1" t="n"/>
    </row>
    <row r="136">
      <c r="A136" s="1" t="inlineStr">
        <is>
          <t>15554122489325</t>
        </is>
      </c>
      <c r="B136" s="1" t="inlineStr">
        <is>
          <t>COLLAR MOVE UNO GOLD</t>
        </is>
      </c>
      <c r="C136" s="1" t="n"/>
      <c r="D136" s="1" t="n"/>
      <c r="E136" s="1" t="n"/>
      <c r="F136" s="1" t="n"/>
      <c r="G136" s="1" t="n"/>
      <c r="H136" s="1" t="n"/>
      <c r="I136" s="1" t="n"/>
      <c r="J136" s="1" t="n"/>
      <c r="K136" s="6" t="n">
        <v>147.2203151</v>
      </c>
      <c r="L136" s="1" t="n"/>
      <c r="M136" s="1" t="n"/>
      <c r="N136" s="1" t="n"/>
    </row>
    <row r="137">
      <c r="A137" s="1" t="inlineStr">
        <is>
          <t>15554122553165</t>
        </is>
      </c>
      <c r="B137" s="1" t="inlineStr">
        <is>
          <t>COLLAR MOVE UNO GOLD ZIRCONIAS</t>
        </is>
      </c>
      <c r="C137" s="1" t="n"/>
      <c r="D137" s="1" t="n"/>
      <c r="E137" s="1" t="n"/>
      <c r="F137" s="1" t="n"/>
      <c r="G137" s="1" t="n"/>
      <c r="H137" s="1" t="n"/>
      <c r="I137" s="1" t="n"/>
      <c r="J137" s="1" t="n"/>
      <c r="K137" s="6" t="n">
        <v>168.2517887</v>
      </c>
      <c r="L137" s="1" t="n"/>
      <c r="M137" s="1" t="n"/>
      <c r="N137" s="1" t="n"/>
    </row>
    <row r="138">
      <c r="A138" s="1" t="inlineStr">
        <is>
          <t>15554122623789</t>
        </is>
      </c>
      <c r="B138" s="1" t="inlineStr">
        <is>
          <t>COLLAR MOVE CIRCLE SILVER</t>
        </is>
      </c>
      <c r="C138" s="1" t="n"/>
      <c r="D138" s="1" t="n"/>
      <c r="E138" s="1" t="n"/>
      <c r="F138" s="1" t="n"/>
      <c r="G138" s="1" t="n"/>
      <c r="H138" s="1" t="n"/>
      <c r="I138" s="1" t="n"/>
      <c r="J138" s="1" t="n"/>
      <c r="K138" s="6" t="n">
        <v>168.2517887</v>
      </c>
      <c r="L138" s="1" t="n"/>
      <c r="M138" s="1" t="n"/>
      <c r="N138" s="1" t="n"/>
    </row>
    <row r="139">
      <c r="A139" s="1" t="inlineStr">
        <is>
          <t>15554122759949</t>
        </is>
      </c>
      <c r="B139" s="1" t="inlineStr">
        <is>
          <t>ARETES MOVE UNO STUD SILVER</t>
        </is>
      </c>
      <c r="C139" s="1" t="n"/>
      <c r="D139" s="1" t="n"/>
      <c r="E139" s="1" t="n"/>
      <c r="F139" s="1" t="n"/>
      <c r="G139" s="1" t="n"/>
      <c r="H139" s="1" t="n"/>
      <c r="I139" s="1" t="n"/>
      <c r="J139" s="1" t="n"/>
      <c r="K139" s="6" t="n">
        <v>189.0729476</v>
      </c>
      <c r="L139" s="1" t="n"/>
      <c r="M139" s="1" t="n"/>
      <c r="N139" s="1" t="n"/>
    </row>
    <row r="140">
      <c r="A140" s="1" t="inlineStr">
        <is>
          <t>15554122891021</t>
        </is>
      </c>
      <c r="B140" s="1" t="inlineStr">
        <is>
          <t>COLLAR MOVE 10TH SILVER</t>
        </is>
      </c>
      <c r="C140" s="1" t="n"/>
      <c r="D140" s="1" t="n"/>
      <c r="E140" s="1" t="n"/>
      <c r="F140" s="1" t="n"/>
      <c r="G140" s="1" t="n"/>
      <c r="H140" s="1" t="n"/>
      <c r="I140" s="1" t="n"/>
      <c r="J140" s="1" t="n"/>
      <c r="K140" s="6" t="n">
        <v>168.2517887</v>
      </c>
      <c r="L140" s="1" t="n"/>
      <c r="M140" s="1" t="n"/>
      <c r="N140" s="1" t="n"/>
    </row>
    <row r="141">
      <c r="A141" s="1" t="inlineStr">
        <is>
          <t>15554122997805</t>
        </is>
      </c>
      <c r="B141" s="1" t="inlineStr">
        <is>
          <t>ARETES MOVE UNO LISO GOLD</t>
        </is>
      </c>
      <c r="C141" s="1" t="n"/>
      <c r="D141" s="1" t="n"/>
      <c r="E141" s="1" t="n"/>
      <c r="F141" s="1" t="n"/>
      <c r="G141" s="1" t="n"/>
      <c r="H141" s="1" t="n"/>
      <c r="I141" s="1" t="n"/>
      <c r="J141" s="1" t="n"/>
      <c r="K141" s="6" t="n">
        <v>125.9785268</v>
      </c>
      <c r="L141" s="1" t="n"/>
      <c r="M141" s="1" t="n"/>
      <c r="N141" s="1" t="n"/>
    </row>
    <row r="142">
      <c r="A142" s="1" t="inlineStr">
        <is>
          <t>15554123061645</t>
        </is>
      </c>
      <c r="B142" s="1" t="inlineStr">
        <is>
          <t>ARETES MOVE UNO LISO ROSE GOLD</t>
        </is>
      </c>
      <c r="C142" s="1" t="n"/>
      <c r="D142" s="1" t="n"/>
      <c r="E142" s="1" t="n"/>
      <c r="F142" s="1" t="n"/>
      <c r="G142" s="1" t="n"/>
      <c r="H142" s="1" t="n"/>
      <c r="I142" s="1" t="n"/>
      <c r="J142" s="1" t="n"/>
      <c r="K142" s="6" t="n">
        <v>125.9785268</v>
      </c>
      <c r="L142" s="1" t="n"/>
      <c r="M142" s="1" t="n"/>
      <c r="N142" s="1" t="n"/>
    </row>
    <row r="143">
      <c r="A143" s="1" t="inlineStr">
        <is>
          <t>15554123135661</t>
        </is>
      </c>
      <c r="B143" s="1" t="inlineStr">
        <is>
          <t>ARETES MOVE UNO LISO SILVER</t>
        </is>
      </c>
      <c r="C143" s="1" t="n"/>
      <c r="D143" s="1" t="n"/>
      <c r="E143" s="1" t="n"/>
      <c r="F143" s="1" t="n"/>
      <c r="G143" s="1" t="n"/>
      <c r="H143" s="1" t="n"/>
      <c r="I143" s="1" t="n"/>
      <c r="J143" s="1" t="n"/>
      <c r="K143" s="6" t="n">
        <v>125.9785268</v>
      </c>
      <c r="L143" s="1" t="n"/>
      <c r="M143" s="6" t="n">
        <v>125.8774927</v>
      </c>
      <c r="N143" s="1" t="n"/>
    </row>
    <row r="144">
      <c r="A144" s="1" t="inlineStr">
        <is>
          <t>15554123204589</t>
        </is>
      </c>
      <c r="B144" s="1" t="inlineStr">
        <is>
          <t>ARETES MOVE UNO Y UNO GOLD</t>
        </is>
      </c>
      <c r="C144" s="1" t="n"/>
      <c r="D144" s="1" t="n"/>
      <c r="E144" s="1" t="n"/>
      <c r="F144" s="1" t="n"/>
      <c r="G144" s="1" t="n"/>
      <c r="H144" s="1" t="n"/>
      <c r="I144" s="1" t="n"/>
      <c r="J144" s="1" t="n"/>
      <c r="K144" s="6" t="n">
        <v>126.1888415</v>
      </c>
      <c r="L144" s="1" t="n"/>
      <c r="M144" s="1" t="n"/>
      <c r="N144" s="1" t="n"/>
    </row>
    <row r="145">
      <c r="A145" s="1" t="inlineStr">
        <is>
          <t>15554123342445</t>
        </is>
      </c>
      <c r="B145" s="1" t="inlineStr">
        <is>
          <t>ARETES MOVE UNO Y UNO SILVER</t>
        </is>
      </c>
      <c r="C145" s="1" t="n"/>
      <c r="D145" s="1" t="n"/>
      <c r="E145" s="1" t="n"/>
      <c r="F145" s="1" t="n"/>
      <c r="G145" s="1" t="n"/>
      <c r="H145" s="1" t="n"/>
      <c r="I145" s="1" t="n"/>
      <c r="J145" s="1" t="n"/>
      <c r="K145" s="6" t="n">
        <v>126.1888415</v>
      </c>
      <c r="L145" s="1" t="n"/>
      <c r="M145" s="6" t="n">
        <v>126.0876388</v>
      </c>
      <c r="N145" s="1" t="n"/>
    </row>
    <row r="146">
      <c r="A146" s="1" t="inlineStr">
        <is>
          <t>15554123464493</t>
        </is>
      </c>
      <c r="B146" s="1" t="inlineStr">
        <is>
          <t>ARETES MOVE UNO GOLD ZIRCONIAS</t>
        </is>
      </c>
      <c r="C146" s="1" t="n"/>
      <c r="D146" s="1" t="n"/>
      <c r="E146" s="1" t="n"/>
      <c r="F146" s="1" t="n"/>
      <c r="G146" s="1" t="n"/>
      <c r="H146" s="1" t="n"/>
      <c r="I146" s="1" t="n"/>
      <c r="J146" s="1" t="n"/>
      <c r="K146" s="6" t="n">
        <v>105.1573679</v>
      </c>
      <c r="L146" s="1" t="n"/>
      <c r="M146" s="1" t="n"/>
      <c r="N146" s="1" t="n"/>
    </row>
    <row r="147">
      <c r="A147" s="1" t="inlineStr">
        <is>
          <t>15554123566189</t>
        </is>
      </c>
      <c r="B147" s="1" t="inlineStr">
        <is>
          <t>ARETES MOVE CIRCLE GOLD</t>
        </is>
      </c>
      <c r="C147" s="1" t="n"/>
      <c r="D147" s="1" t="n"/>
      <c r="E147" s="1" t="n"/>
      <c r="F147" s="1" t="n"/>
      <c r="G147" s="1" t="n"/>
      <c r="H147" s="1" t="n"/>
      <c r="I147" s="1" t="n"/>
      <c r="J147" s="1" t="n"/>
      <c r="K147" s="6" t="n">
        <v>168.2517887</v>
      </c>
      <c r="L147" s="1" t="n"/>
      <c r="M147" s="1" t="n"/>
      <c r="N147" s="1" t="n"/>
    </row>
    <row r="148">
      <c r="A148" s="1" t="inlineStr">
        <is>
          <t>15554123602349</t>
        </is>
      </c>
      <c r="B148" s="1" t="inlineStr">
        <is>
          <t>ARETES MOVE CIRCLE SILVER</t>
        </is>
      </c>
      <c r="C148" s="1" t="n"/>
      <c r="D148" s="1" t="n"/>
      <c r="E148" s="1" t="n"/>
      <c r="F148" s="1" t="n"/>
      <c r="G148" s="1" t="n"/>
      <c r="H148" s="1" t="n"/>
      <c r="I148" s="1" t="n"/>
      <c r="J148" s="1" t="n"/>
      <c r="K148" s="6" t="n">
        <v>168.2517887</v>
      </c>
      <c r="L148" s="1" t="n"/>
      <c r="M148" s="1" t="n"/>
      <c r="N148" s="1" t="n"/>
    </row>
    <row r="149">
      <c r="A149" s="1" t="inlineStr">
        <is>
          <t>15565825325196</t>
        </is>
      </c>
      <c r="B149" s="1" t="inlineStr">
        <is>
          <t>CARTERA GC BI-FOLD</t>
        </is>
      </c>
      <c r="C149" s="1" t="n"/>
      <c r="D149" s="1" t="n"/>
      <c r="E149" s="1" t="n"/>
      <c r="F149" s="1" t="n"/>
      <c r="G149" s="1" t="n"/>
      <c r="H149" s="1" t="n"/>
      <c r="I149" s="1" t="n"/>
      <c r="J149" s="6" t="n">
        <v>468.531228</v>
      </c>
      <c r="K149" s="1" t="n"/>
      <c r="L149" s="1" t="n"/>
      <c r="M149" s="1" t="n"/>
      <c r="N149" s="1" t="n"/>
    </row>
    <row r="150">
      <c r="A150" s="1" t="inlineStr">
        <is>
          <t>15711171018701</t>
        </is>
      </c>
      <c r="B150" s="1" t="inlineStr">
        <is>
          <t>ANILLO DOBLE T GOLD</t>
        </is>
      </c>
      <c r="C150" s="1" t="n"/>
      <c r="D150" s="1" t="n"/>
      <c r="E150" s="1" t="n"/>
      <c r="F150" s="6" t="n">
        <v>105.3024922</v>
      </c>
      <c r="G150" s="6" t="n">
        <v>104.5858001</v>
      </c>
      <c r="H150" s="1" t="n"/>
      <c r="I150" s="1" t="n"/>
      <c r="J150" s="1" t="n"/>
      <c r="K150" s="1" t="n"/>
      <c r="L150" s="1" t="n"/>
      <c r="M150" s="1" t="n"/>
      <c r="N150" s="1" t="n"/>
    </row>
    <row r="151">
      <c r="A151" s="1" t="inlineStr">
        <is>
          <t>15711171151469</t>
        </is>
      </c>
      <c r="B151" s="1" t="inlineStr">
        <is>
          <t>ANILLO DOBLE T GOLD</t>
        </is>
      </c>
      <c r="C151" s="1" t="n"/>
      <c r="D151" s="1" t="n"/>
      <c r="E151" s="1" t="n"/>
      <c r="F151" s="1" t="n"/>
      <c r="G151" s="1" t="n"/>
      <c r="H151" s="6" t="n">
        <v>106.002089</v>
      </c>
      <c r="I151" s="6" t="n">
        <v>105.3424803</v>
      </c>
      <c r="J151" s="1" t="n"/>
      <c r="K151" s="1" t="n"/>
      <c r="L151" s="1" t="n"/>
      <c r="M151" s="1" t="n"/>
      <c r="N151" s="1" t="n"/>
    </row>
    <row r="152">
      <c r="A152" s="1" t="inlineStr">
        <is>
          <t>15711171284237</t>
        </is>
      </c>
      <c r="B152" s="1" t="inlineStr">
        <is>
          <t>ANILLO DOBLE T GOLD</t>
        </is>
      </c>
      <c r="C152" s="1" t="n"/>
      <c r="D152" s="1" t="n"/>
      <c r="E152" s="1" t="n"/>
      <c r="F152" s="6" t="n">
        <v>105.3024922</v>
      </c>
      <c r="G152" s="6" t="n">
        <v>104.5858001</v>
      </c>
      <c r="H152" s="1" t="n"/>
      <c r="I152" s="6" t="n">
        <v>105.3424803</v>
      </c>
      <c r="J152" s="6" t="n">
        <v>106.5194811</v>
      </c>
      <c r="K152" s="1" t="n"/>
      <c r="L152" s="6" t="n">
        <v>106.0932113</v>
      </c>
      <c r="M152" s="1" t="n"/>
      <c r="N152" s="1" t="n"/>
    </row>
    <row r="153">
      <c r="A153" s="1" t="inlineStr">
        <is>
          <t>15711171361197</t>
        </is>
      </c>
      <c r="B153" s="1" t="inlineStr">
        <is>
          <t>ANILLO DOBLE T ROSE GOLD</t>
        </is>
      </c>
      <c r="C153" s="1" t="n"/>
      <c r="D153" s="1" t="n"/>
      <c r="E153" s="1" t="n"/>
      <c r="F153" s="1" t="n"/>
      <c r="G153" s="1" t="n"/>
      <c r="H153" s="1" t="n"/>
      <c r="I153" s="1" t="n"/>
      <c r="J153" s="6" t="n">
        <v>106.5194811</v>
      </c>
      <c r="K153" s="1" t="n"/>
      <c r="L153" s="1" t="n"/>
      <c r="M153" s="1" t="n"/>
      <c r="N153" s="1" t="n"/>
    </row>
    <row r="154">
      <c r="A154" s="1" t="inlineStr">
        <is>
          <t>15711171493965</t>
        </is>
      </c>
      <c r="B154" s="1" t="inlineStr">
        <is>
          <t>ANILLO DOBLE T ROSE GOLD</t>
        </is>
      </c>
      <c r="C154" s="1" t="n"/>
      <c r="D154" s="1" t="n"/>
      <c r="E154" s="1" t="n"/>
      <c r="F154" s="1" t="n"/>
      <c r="G154" s="6" t="n">
        <v>104.5858001</v>
      </c>
      <c r="H154" s="1" t="n"/>
      <c r="I154" s="1" t="n"/>
      <c r="J154" s="1" t="n"/>
      <c r="K154" s="1" t="n"/>
      <c r="L154" s="1" t="n"/>
      <c r="M154" s="1" t="n"/>
      <c r="N154" s="1" t="n"/>
    </row>
    <row r="155">
      <c r="A155" s="1" t="inlineStr">
        <is>
          <t>15711171526733</t>
        </is>
      </c>
      <c r="B155" s="1" t="inlineStr">
        <is>
          <t>ANILLO DOBLE T ROSE GOLD</t>
        </is>
      </c>
      <c r="C155" s="1" t="n"/>
      <c r="D155" s="1" t="n"/>
      <c r="E155" s="1" t="n"/>
      <c r="F155" s="6" t="n">
        <v>105.3024922</v>
      </c>
      <c r="G155" s="6" t="n">
        <v>104.5858001</v>
      </c>
      <c r="H155" s="6" t="n">
        <v>106.002089</v>
      </c>
      <c r="I155" s="1" t="n"/>
      <c r="J155" s="1" t="n"/>
      <c r="K155" s="1" t="n"/>
      <c r="L155" s="1" t="n"/>
      <c r="M155" s="1" t="n"/>
      <c r="N155" s="1" t="n"/>
    </row>
    <row r="156">
      <c r="A156" s="1" t="inlineStr">
        <is>
          <t>15711171624141</t>
        </is>
      </c>
      <c r="B156" s="1" t="inlineStr">
        <is>
          <t>ANILLO DOBLE T SILVER</t>
        </is>
      </c>
      <c r="C156" s="1" t="n"/>
      <c r="D156" s="1" t="n"/>
      <c r="E156" s="1" t="n"/>
      <c r="F156" s="6" t="n">
        <v>105.3024922</v>
      </c>
      <c r="G156" s="6" t="n">
        <v>104.5858001</v>
      </c>
      <c r="H156" s="1" t="n"/>
      <c r="I156" s="1" t="n"/>
      <c r="J156" s="1" t="n"/>
      <c r="K156" s="1" t="n"/>
      <c r="L156" s="1" t="n"/>
      <c r="M156" s="6" t="n">
        <v>105.0730323</v>
      </c>
      <c r="N156" s="1" t="n"/>
    </row>
    <row r="157">
      <c r="A157" s="1" t="inlineStr">
        <is>
          <t>15711171756909</t>
        </is>
      </c>
      <c r="B157" s="1" t="n"/>
      <c r="C157" s="1" t="n"/>
      <c r="D157" s="1" t="n"/>
      <c r="E157" s="1" t="n"/>
      <c r="F157" s="1" t="n"/>
      <c r="G157" s="1" t="n"/>
      <c r="H157" s="1" t="n"/>
      <c r="I157" s="6" t="n">
        <v>105.3424803</v>
      </c>
      <c r="J157" s="1" t="n"/>
      <c r="K157" s="1" t="n"/>
      <c r="L157" s="1" t="n"/>
      <c r="M157" s="1" t="n"/>
      <c r="N157" s="1" t="n"/>
    </row>
    <row r="158">
      <c r="A158" s="1" t="inlineStr">
        <is>
          <t>15711171889677</t>
        </is>
      </c>
      <c r="B158" s="1" t="inlineStr">
        <is>
          <t>ANILLO DOBLE T SILVER</t>
        </is>
      </c>
      <c r="C158" s="1" t="n"/>
      <c r="D158" s="1" t="n"/>
      <c r="E158" s="1" t="n"/>
      <c r="F158" s="1" t="n"/>
      <c r="G158" s="6" t="n">
        <v>104.5858001</v>
      </c>
      <c r="H158" s="6" t="n">
        <v>106.002089</v>
      </c>
      <c r="I158" s="1" t="n"/>
      <c r="J158" s="1" t="n"/>
      <c r="K158" s="1" t="n"/>
      <c r="L158" s="1" t="n"/>
      <c r="M158" s="1" t="n"/>
      <c r="N158" s="1" t="n"/>
    </row>
    <row r="159">
      <c r="A159" s="1" t="inlineStr">
        <is>
          <t>15711171972493</t>
        </is>
      </c>
      <c r="B159" s="1" t="inlineStr">
        <is>
          <t>PULSERA PANTHERE DOBLE CADENA C</t>
        </is>
      </c>
      <c r="C159" s="1" t="n"/>
      <c r="D159" s="1" t="n"/>
      <c r="E159" s="1" t="n"/>
      <c r="F159" s="6" t="n">
        <v>147.4234891</v>
      </c>
      <c r="G159" s="6" t="n">
        <v>146.4201201</v>
      </c>
      <c r="H159" s="1" t="n"/>
      <c r="I159" s="1" t="n"/>
      <c r="J159" s="1" t="n"/>
      <c r="K159" s="1" t="n"/>
      <c r="L159" s="1" t="n"/>
      <c r="M159" s="6" t="n">
        <v>147.1022452</v>
      </c>
      <c r="N159" s="1" t="n"/>
    </row>
    <row r="160">
      <c r="A160" s="1" t="inlineStr">
        <is>
          <t>15711172030349</t>
        </is>
      </c>
      <c r="B160" s="1" t="inlineStr">
        <is>
          <t>ARETES BEAN GOLD T</t>
        </is>
      </c>
      <c r="C160" s="1" t="n"/>
      <c r="D160" s="6" t="n">
        <v>201.4327754</v>
      </c>
      <c r="E160" s="6" t="n">
        <v>209.6145887</v>
      </c>
      <c r="F160" s="1" t="n"/>
      <c r="G160" s="1" t="n"/>
      <c r="H160" s="1" t="n"/>
      <c r="I160" s="6" t="n">
        <v>202.825239</v>
      </c>
      <c r="J160" s="6" t="n">
        <v>214.8593263</v>
      </c>
      <c r="K160" s="1" t="n"/>
      <c r="L160" s="6" t="n">
        <v>233.2091958</v>
      </c>
      <c r="M160" s="1" t="n"/>
      <c r="N160" s="1" t="n"/>
    </row>
    <row r="161">
      <c r="A161" s="1" t="inlineStr">
        <is>
          <t>15711172175405</t>
        </is>
      </c>
      <c r="B161" s="1" t="inlineStr">
        <is>
          <t>ARETES DIORIVIERA GOLD CD</t>
        </is>
      </c>
      <c r="C161" s="1" t="n"/>
      <c r="D161" s="1" t="n"/>
      <c r="E161" s="6" t="n">
        <v>262.0182359</v>
      </c>
      <c r="F161" s="1" t="n"/>
      <c r="G161" s="1" t="n"/>
      <c r="H161" s="1" t="n"/>
      <c r="I161" s="6" t="n">
        <v>270.433652</v>
      </c>
      <c r="J161" s="1" t="n"/>
      <c r="K161" s="1" t="n"/>
      <c r="L161" s="1" t="n"/>
      <c r="M161" s="1" t="n"/>
      <c r="N161" s="1" t="n"/>
    </row>
    <row r="162">
      <c r="A162" s="1" t="inlineStr">
        <is>
          <t>15711172277517</t>
        </is>
      </c>
      <c r="B162" s="1" t="inlineStr">
        <is>
          <t>ARETES CD SADDLE GOLD</t>
        </is>
      </c>
      <c r="C162" s="1" t="n"/>
      <c r="D162" s="1" t="n"/>
      <c r="E162" s="6" t="n">
        <v>183.4127651</v>
      </c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</row>
    <row r="163">
      <c r="A163" s="1" t="inlineStr">
        <is>
          <t>15711172330573</t>
        </is>
      </c>
      <c r="B163" s="1" t="inlineStr">
        <is>
          <t>ARETES CD PETIT JOLIE GOLD</t>
        </is>
      </c>
      <c r="C163" s="1" t="n"/>
      <c r="D163" s="1" t="n"/>
      <c r="E163" s="6" t="n">
        <v>144.1100297</v>
      </c>
      <c r="F163" s="1" t="n"/>
      <c r="G163" s="1" t="n"/>
      <c r="H163" s="6" t="n">
        <v>159.524566</v>
      </c>
      <c r="I163" s="6" t="n">
        <v>162.2601912</v>
      </c>
      <c r="J163" s="1" t="n"/>
      <c r="K163" s="6" t="n">
        <v>176.4606298</v>
      </c>
      <c r="L163" s="1" t="n"/>
      <c r="M163" s="1" t="n"/>
      <c r="N163" s="1" t="n"/>
    </row>
    <row r="164">
      <c r="A164" s="1" t="inlineStr">
        <is>
          <t>15711172404461</t>
        </is>
      </c>
      <c r="B164" s="1" t="inlineStr">
        <is>
          <t>PULSERA PETIT CD JOLIE GOLD</t>
        </is>
      </c>
      <c r="C164" s="1" t="n"/>
      <c r="D164" s="6" t="n">
        <v>221.576053</v>
      </c>
      <c r="E164" s="1" t="n"/>
      <c r="F164" s="1" t="n"/>
      <c r="G164" s="1" t="n"/>
      <c r="H164" s="6" t="n">
        <v>233.9693635</v>
      </c>
      <c r="I164" s="1" t="n"/>
      <c r="J164" s="1" t="n"/>
      <c r="K164" s="1" t="n"/>
      <c r="L164" s="1" t="n"/>
      <c r="M164" s="1" t="n"/>
      <c r="N164" s="1" t="n"/>
    </row>
    <row r="165">
      <c r="A165" s="1" t="inlineStr">
        <is>
          <t>15711172573869</t>
        </is>
      </c>
      <c r="B165" s="1" t="inlineStr">
        <is>
          <t>COLLAR JOLIE CD GOLD</t>
        </is>
      </c>
      <c r="C165" s="1" t="n"/>
      <c r="D165" s="6" t="n">
        <v>221.576053</v>
      </c>
      <c r="E165" s="1" t="n"/>
      <c r="F165" s="1" t="n"/>
      <c r="G165" s="1" t="n"/>
      <c r="H165" s="6" t="n">
        <v>233.9693635</v>
      </c>
      <c r="I165" s="1" t="n"/>
      <c r="J165" s="1" t="n"/>
      <c r="K165" s="1" t="n"/>
      <c r="L165" s="1" t="n"/>
      <c r="M165" s="1" t="n"/>
      <c r="N165" s="1" t="n"/>
    </row>
    <row r="166">
      <c r="A166" s="1" t="inlineStr">
        <is>
          <t>15711172684525</t>
        </is>
      </c>
      <c r="B166" s="1" t="inlineStr">
        <is>
          <t>COLLAR LOGO CD CON ZIRCONIA SILVER</t>
        </is>
      </c>
      <c r="C166" s="1" t="n"/>
      <c r="D166" s="6" t="n">
        <v>221.576053</v>
      </c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</row>
    <row r="167">
      <c r="A167" s="1" t="inlineStr">
        <is>
          <t>15711172766221</t>
        </is>
      </c>
      <c r="B167" s="1" t="inlineStr">
        <is>
          <t>PULSERA C GOLD</t>
        </is>
      </c>
      <c r="C167" s="1" t="n"/>
      <c r="D167" s="1" t="n"/>
      <c r="E167" s="6" t="n">
        <v>230.5760476</v>
      </c>
      <c r="F167" s="1" t="n"/>
      <c r="G167" s="1" t="n"/>
      <c r="H167" s="1" t="n"/>
      <c r="I167" s="6" t="n">
        <v>237.9816137</v>
      </c>
      <c r="J167" s="1" t="n"/>
      <c r="K167" s="1" t="n"/>
      <c r="L167" s="6" t="n">
        <v>233.2091958</v>
      </c>
      <c r="M167" s="1" t="n"/>
      <c r="N167" s="1" t="n"/>
    </row>
    <row r="168">
      <c r="A168" s="1" t="inlineStr">
        <is>
          <t>15711172845805</t>
        </is>
      </c>
      <c r="B168" s="1" t="inlineStr">
        <is>
          <t>PULSERA C SILVER</t>
        </is>
      </c>
      <c r="C168" s="1" t="n"/>
      <c r="D168" s="1" t="n"/>
      <c r="E168" s="1" t="n"/>
      <c r="F168" s="1" t="n"/>
      <c r="G168" s="1" t="n"/>
      <c r="H168" s="6" t="n">
        <v>233.9693635</v>
      </c>
      <c r="I168" s="1" t="n"/>
      <c r="J168" s="1" t="n"/>
      <c r="K168" s="1" t="n"/>
      <c r="L168" s="1" t="n"/>
      <c r="M168" s="1" t="n"/>
      <c r="N168" s="1" t="n"/>
    </row>
    <row r="169">
      <c r="A169" s="1" t="inlineStr">
        <is>
          <t>15711173032365</t>
        </is>
      </c>
      <c r="B169" s="1" t="inlineStr">
        <is>
          <t>PERFUME DEVOTION, EAU DE PARFUM 100ML</t>
        </is>
      </c>
      <c r="C169" s="1" t="n"/>
      <c r="D169" s="1" t="n"/>
      <c r="E169" s="6" t="n">
        <v>446.4019675</v>
      </c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</row>
    <row r="170">
      <c r="A170" s="1" t="inlineStr">
        <is>
          <t>15711173123085</t>
        </is>
      </c>
      <c r="B170" s="1" t="inlineStr">
        <is>
          <t>PERFUME LAYTON DE MARLY 125ML</t>
        </is>
      </c>
      <c r="C170" s="1" t="n"/>
      <c r="D170" s="1" t="n"/>
      <c r="E170" s="6" t="n">
        <v>446.4019675</v>
      </c>
      <c r="F170" s="1" t="n"/>
      <c r="G170" s="1" t="n"/>
      <c r="H170" s="1" t="n"/>
      <c r="I170" s="1" t="n"/>
      <c r="J170" s="6" t="n">
        <v>472.985563</v>
      </c>
      <c r="K170" s="1" t="n"/>
      <c r="L170" s="1" t="n"/>
      <c r="M170" s="6" t="n">
        <v>441.2058562</v>
      </c>
      <c r="N170" s="1" t="n"/>
    </row>
    <row r="171">
      <c r="A171" s="1" t="inlineStr">
        <is>
          <t>15711173203885</t>
        </is>
      </c>
      <c r="B171" s="1" t="inlineStr">
        <is>
          <t>PERFUME LES SABLES ROSES</t>
        </is>
      </c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6" t="n">
        <v>901.1572326</v>
      </c>
      <c r="M171" s="1" t="n"/>
      <c r="N171" s="1" t="n"/>
    </row>
    <row r="172">
      <c r="A172" s="1" t="inlineStr">
        <is>
          <t>15711173374893</t>
        </is>
      </c>
      <c r="B172" s="1" t="inlineStr">
        <is>
          <t>PERFUME PARADOXE, EAU DE PARFUM 90ML</t>
        </is>
      </c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6" t="n">
        <v>477.0832408</v>
      </c>
      <c r="M172" s="1" t="n"/>
      <c r="N172" s="1" t="n"/>
    </row>
    <row r="173">
      <c r="A173" s="1" t="inlineStr">
        <is>
          <t>15711173480813</t>
        </is>
      </c>
      <c r="B173" s="1" t="inlineStr">
        <is>
          <t>PERFUME TERRE H</t>
        </is>
      </c>
      <c r="C173" s="1" t="n"/>
      <c r="D173" s="6" t="n">
        <v>452.1212029</v>
      </c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</row>
    <row r="174">
      <c r="A174" s="1" t="inlineStr">
        <is>
          <t>15711173551373</t>
        </is>
      </c>
      <c r="B174" s="1" t="inlineStr">
        <is>
          <t>PERFUME TF COSTA AZZURRA 100ML</t>
        </is>
      </c>
      <c r="C174" s="1" t="n"/>
      <c r="D174" s="1" t="n"/>
      <c r="E174" s="1" t="n"/>
      <c r="F174" s="1" t="n"/>
      <c r="G174" s="1" t="n"/>
      <c r="H174" s="1" t="n"/>
      <c r="I174" s="1" t="n"/>
      <c r="J174" s="6" t="n">
        <v>464.076893</v>
      </c>
      <c r="K174" s="1" t="n"/>
      <c r="L174" s="1" t="n"/>
      <c r="M174" s="1" t="n"/>
      <c r="N174" s="1" t="n"/>
    </row>
    <row r="175">
      <c r="A175" s="1" t="inlineStr">
        <is>
          <t>15711173666157</t>
        </is>
      </c>
      <c r="B175" s="1" t="inlineStr">
        <is>
          <t>PERFUME, DELINA EXCLUSIF EAU DE PARFUM, 75 ML</t>
        </is>
      </c>
      <c r="C175" s="1" t="n"/>
      <c r="D175" s="6" t="n">
        <v>452.1212029</v>
      </c>
      <c r="E175" s="1" t="n"/>
      <c r="F175" s="1" t="n"/>
      <c r="G175" s="1" t="n"/>
      <c r="H175" s="1" t="n"/>
      <c r="I175" s="1" t="n"/>
      <c r="J175" s="6" t="n">
        <v>464.076893</v>
      </c>
      <c r="K175" s="1" t="n"/>
      <c r="L175" s="6" t="n">
        <v>477.0832408</v>
      </c>
      <c r="M175" s="1" t="n"/>
      <c r="N175" s="1" t="n"/>
    </row>
    <row r="176">
      <c r="A176" s="1" t="inlineStr">
        <is>
          <t>15857683908876</t>
        </is>
      </c>
      <c r="B176" s="1" t="inlineStr">
        <is>
          <t>ANILLO TRES AROS</t>
        </is>
      </c>
      <c r="C176" s="1" t="n"/>
      <c r="D176" s="6" t="n">
        <v>99.15536311</v>
      </c>
      <c r="E176" s="1" t="n"/>
      <c r="F176" s="1" t="n"/>
      <c r="G176" s="6" t="n">
        <v>98.31065205</v>
      </c>
      <c r="H176" s="6" t="n">
        <v>99.64196362</v>
      </c>
      <c r="I176" s="1" t="n"/>
      <c r="J176" s="1" t="n"/>
      <c r="K176" s="1" t="n"/>
      <c r="L176" s="6" t="n">
        <v>98.64968789</v>
      </c>
      <c r="M176" s="1" t="n"/>
      <c r="N176" s="1" t="n"/>
    </row>
    <row r="177">
      <c r="A177" s="1" t="inlineStr">
        <is>
          <t>15857685448972</t>
        </is>
      </c>
      <c r="B177" s="1" t="inlineStr">
        <is>
          <t>ANILLO TRES AROS</t>
        </is>
      </c>
      <c r="C177" s="1" t="n"/>
      <c r="D177" s="1" t="n"/>
      <c r="E177" s="1" t="n"/>
      <c r="F177" s="6" t="n">
        <v>98.98434268</v>
      </c>
      <c r="G177" s="6" t="n">
        <v>98.31065205</v>
      </c>
      <c r="H177" s="6" t="n">
        <v>99.64196362</v>
      </c>
      <c r="I177" s="1" t="n"/>
      <c r="J177" s="1" t="n"/>
      <c r="K177" s="1" t="n"/>
      <c r="L177" s="6" t="n">
        <v>99.72761865</v>
      </c>
      <c r="M177" s="6" t="n">
        <v>98.76865036</v>
      </c>
      <c r="N177" s="1" t="n"/>
    </row>
    <row r="178">
      <c r="A178" s="1" t="inlineStr">
        <is>
          <t>15857685585804</t>
        </is>
      </c>
      <c r="B178" s="1" t="inlineStr">
        <is>
          <t>ANILLO TRES AROS</t>
        </is>
      </c>
      <c r="C178" s="1" t="n"/>
      <c r="D178" s="6" t="n">
        <v>106.2783553</v>
      </c>
      <c r="E178" s="1" t="n"/>
      <c r="F178" s="1" t="n"/>
      <c r="G178" s="6" t="n">
        <v>98.31065205</v>
      </c>
      <c r="H178" s="6" t="n">
        <v>99.64196362</v>
      </c>
      <c r="I178" s="1" t="n"/>
      <c r="J178" s="1" t="n"/>
      <c r="K178" s="6" t="n">
        <v>98.84792587</v>
      </c>
      <c r="L178" s="6" t="n">
        <v>128.838717395</v>
      </c>
      <c r="M178" s="6" t="n">
        <v>98.76865036</v>
      </c>
      <c r="N178" s="1" t="n"/>
    </row>
    <row r="179">
      <c r="A179" s="1" t="inlineStr">
        <is>
          <t>15857686786700</t>
        </is>
      </c>
      <c r="B179" s="1" t="inlineStr">
        <is>
          <t>ANILLO TRES AROS</t>
        </is>
      </c>
      <c r="C179" s="1" t="n"/>
      <c r="D179" s="1" t="n"/>
      <c r="E179" s="1" t="n"/>
      <c r="F179" s="6" t="n">
        <v>98.98434268</v>
      </c>
      <c r="G179" s="1" t="n"/>
      <c r="H179" s="6" t="n">
        <v>99.64196362</v>
      </c>
      <c r="I179" s="1" t="n"/>
      <c r="J179" s="6" t="n">
        <v>100.1283122</v>
      </c>
      <c r="K179" s="6" t="n">
        <v>98.84792587</v>
      </c>
      <c r="L179" s="6" t="n">
        <v>99.72761865</v>
      </c>
      <c r="M179" s="1" t="n"/>
      <c r="N179" s="1" t="n"/>
    </row>
    <row r="180">
      <c r="A180" s="1" t="inlineStr">
        <is>
          <t>16048621033133</t>
        </is>
      </c>
      <c r="B180" s="1" t="inlineStr">
        <is>
          <t>COLLAR MSS MOVE ROSEGOLD LISO</t>
        </is>
      </c>
      <c r="C180" s="1" t="n"/>
      <c r="D180" s="6" t="n">
        <v>170.0453685</v>
      </c>
      <c r="E180" s="1" t="n"/>
      <c r="F180" s="1" t="n"/>
      <c r="G180" s="1" t="n"/>
      <c r="H180" s="1" t="n"/>
      <c r="I180" s="1" t="n"/>
      <c r="J180" s="6" t="n">
        <v>170.4311697</v>
      </c>
      <c r="K180" s="6" t="n">
        <v>1682.517887</v>
      </c>
      <c r="L180" s="6" t="n">
        <v>169.7491381</v>
      </c>
      <c r="M180" s="6" t="n">
        <v>168.1168517</v>
      </c>
      <c r="N180" s="1" t="n"/>
    </row>
    <row r="181">
      <c r="A181" s="1" t="inlineStr">
        <is>
          <t>16117871063213</t>
        </is>
      </c>
      <c r="B181" s="1" t="inlineStr">
        <is>
          <t>ARETES CD SASOM PEARL BLUE</t>
        </is>
      </c>
      <c r="C181" s="1" t="n"/>
      <c r="D181" s="6" t="n">
        <v>126.5813146</v>
      </c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</row>
    <row r="182">
      <c r="A182" s="1" t="inlineStr">
        <is>
          <t>16117871175085</t>
        </is>
      </c>
      <c r="B182" s="1" t="inlineStr">
        <is>
          <t>ARRACADAS CD GOLD BLACK ZIRCONIAS</t>
        </is>
      </c>
      <c r="C182" s="1" t="n"/>
      <c r="D182" s="6" t="n">
        <v>147.6782004</v>
      </c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</row>
    <row r="183">
      <c r="A183" s="1" t="inlineStr">
        <is>
          <t>16117871480237</t>
        </is>
      </c>
      <c r="B183" s="1" t="inlineStr">
        <is>
          <t>PULSERA KNOT ONE ROSE GOLD CON ZIRCONIA</t>
        </is>
      </c>
      <c r="C183" s="1" t="n"/>
      <c r="D183" s="6" t="n">
        <v>210.9688577</v>
      </c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</row>
    <row r="184">
      <c r="A184" s="1" t="inlineStr">
        <is>
          <t>16117871577997</t>
        </is>
      </c>
      <c r="B184" s="1" t="inlineStr">
        <is>
          <t>ANILLO BV ZERO 1 BLACK-ROSEGOLD</t>
        </is>
      </c>
      <c r="C184" s="1" t="n"/>
      <c r="D184" s="6" t="n">
        <v>189.8719719</v>
      </c>
      <c r="E184" s="1" t="n"/>
      <c r="F184" s="1" t="n"/>
      <c r="G184" s="1" t="n"/>
      <c r="H184" s="1" t="n"/>
      <c r="I184" s="6" t="n">
        <v>147.4794725</v>
      </c>
      <c r="J184" s="1" t="n"/>
      <c r="K184" s="6" t="n">
        <v>147.2203151</v>
      </c>
      <c r="L184" s="1" t="n"/>
      <c r="M184" s="1" t="n"/>
      <c r="N184" s="1" t="n"/>
    </row>
    <row r="185">
      <c r="A185" s="1" t="inlineStr">
        <is>
          <t>16117871610765</t>
        </is>
      </c>
      <c r="B185" s="1" t="inlineStr">
        <is>
          <t>ANILLO BV ZERO 1 BLACK-ROSEGOLD</t>
        </is>
      </c>
      <c r="C185" s="1" t="n"/>
      <c r="D185" s="6" t="n">
        <v>189.8719719</v>
      </c>
      <c r="E185" s="1" t="n"/>
      <c r="F185" s="1" t="n"/>
      <c r="G185" s="1" t="n"/>
      <c r="H185" s="1" t="n"/>
      <c r="I185" s="6" t="n">
        <v>147.4794725</v>
      </c>
      <c r="J185" s="1" t="n"/>
      <c r="K185" s="1" t="n"/>
      <c r="L185" s="1" t="n"/>
      <c r="M185" s="6" t="n">
        <v>189.1314581</v>
      </c>
      <c r="N185" s="1" t="n"/>
    </row>
    <row r="186">
      <c r="A186" s="1" t="inlineStr">
        <is>
          <t>16117871722093</t>
        </is>
      </c>
      <c r="B186" s="1" t="inlineStr">
        <is>
          <t>PULSERA BV GOLD CON ZIRCONIA</t>
        </is>
      </c>
      <c r="C186" s="1" t="n"/>
      <c r="D186" s="6" t="n">
        <v>147.6782004</v>
      </c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</row>
    <row r="187">
      <c r="A187" s="1" t="inlineStr">
        <is>
          <t>16483891088621</t>
        </is>
      </c>
      <c r="B187" s="1" t="inlineStr">
        <is>
          <t>CINTO LV HERITAGE LOGO SILVER</t>
        </is>
      </c>
      <c r="C187" s="1" t="n"/>
      <c r="D187" s="1" t="n"/>
      <c r="E187" s="1" t="n"/>
      <c r="F187" s="1" t="n"/>
      <c r="G187" s="1" t="n"/>
      <c r="H187" s="1" t="n"/>
      <c r="I187" s="6" t="n">
        <v>237.9816137</v>
      </c>
      <c r="J187" s="1" t="n"/>
      <c r="K187" s="6" t="n">
        <v>228.360815</v>
      </c>
      <c r="L187" s="1" t="n"/>
      <c r="M187" s="1" t="n"/>
      <c r="N187" s="1" t="n"/>
    </row>
    <row r="188">
      <c r="A188" s="1" t="inlineStr">
        <is>
          <t>16498231076513</t>
        </is>
      </c>
      <c r="B188" s="1" t="inlineStr">
        <is>
          <t>SET DE COLLAR Y PULSERA CORAZÓN CON ZIRCONIA. Titanio</t>
        </is>
      </c>
      <c r="C188" s="1" t="n"/>
      <c r="D188" s="1" t="n"/>
      <c r="E188" s="1" t="n"/>
      <c r="F188" s="1" t="n"/>
      <c r="G188" s="1" t="n"/>
      <c r="H188" s="1" t="n"/>
      <c r="I188" s="1" t="n"/>
      <c r="J188" s="6" t="n">
        <v>236.4927815</v>
      </c>
      <c r="K188" s="1" t="n"/>
      <c r="L188" s="1" t="n"/>
      <c r="M188" s="6" t="n">
        <v>208.34720985</v>
      </c>
      <c r="N188" s="1" t="n"/>
    </row>
    <row r="189">
      <c r="A189" s="1" t="inlineStr">
        <is>
          <t>16572644570636</t>
        </is>
      </c>
      <c r="B189" s="1" t="inlineStr">
        <is>
          <t>TRAJE DE BAÑO GC</t>
        </is>
      </c>
      <c r="C189" s="1" t="n"/>
      <c r="D189" s="1" t="n"/>
      <c r="E189" s="1" t="n"/>
      <c r="F189" s="1" t="n"/>
      <c r="G189" s="1" t="n"/>
      <c r="H189" s="6" t="n">
        <v>287.1442189</v>
      </c>
      <c r="I189" s="6" t="n">
        <v>292.0683441</v>
      </c>
      <c r="J189" s="1" t="n"/>
      <c r="K189" s="6" t="n">
        <v>280.2610003</v>
      </c>
      <c r="L189" s="1" t="n"/>
      <c r="M189" s="1" t="n"/>
      <c r="N189" s="1" t="n"/>
    </row>
    <row r="190">
      <c r="A190" s="1" t="inlineStr">
        <is>
          <t>16572644603404</t>
        </is>
      </c>
      <c r="B190" s="1" t="inlineStr">
        <is>
          <t>TRAJE DE BANO GC</t>
        </is>
      </c>
      <c r="C190" s="1" t="n"/>
      <c r="D190" s="6" t="n">
        <v>271.9342468</v>
      </c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</row>
    <row r="191">
      <c r="A191" s="1" t="inlineStr">
        <is>
          <t>16572647978508</t>
        </is>
      </c>
      <c r="B191" s="1" t="inlineStr">
        <is>
          <t>TRAJE DE BAÑO COMPLETO VC</t>
        </is>
      </c>
      <c r="C191" s="1" t="n"/>
      <c r="D191" s="6" t="n">
        <v>322.2924407</v>
      </c>
      <c r="E191" s="1" t="n"/>
      <c r="F191" s="1" t="n"/>
      <c r="G191" s="1" t="n"/>
      <c r="H191" s="1" t="n"/>
      <c r="I191" s="1" t="n"/>
      <c r="J191" s="1" t="n"/>
      <c r="K191" s="6" t="n">
        <v>332.1611855</v>
      </c>
      <c r="L191" s="1" t="n"/>
      <c r="M191" s="1" t="n"/>
      <c r="N191" s="1" t="n"/>
    </row>
    <row r="192">
      <c r="A192" s="1" t="inlineStr">
        <is>
          <t>16572648011276</t>
        </is>
      </c>
      <c r="B192" s="1" t="inlineStr">
        <is>
          <t>TRAJE DE BAÑO COMPLETO VC</t>
        </is>
      </c>
      <c r="C192" s="1" t="n"/>
      <c r="D192" s="6" t="n">
        <v>322.2924407</v>
      </c>
      <c r="E192" s="1" t="n"/>
      <c r="F192" s="1" t="n"/>
      <c r="G192" s="1" t="n"/>
      <c r="H192" s="1" t="n"/>
      <c r="I192" s="1" t="n"/>
      <c r="J192" s="1" t="n"/>
      <c r="K192" s="1" t="n"/>
      <c r="L192" s="6" t="n">
        <v>339.2133757</v>
      </c>
      <c r="M192" s="1" t="n"/>
      <c r="N192" s="1" t="n"/>
    </row>
    <row r="193">
      <c r="A193" s="1" t="inlineStr">
        <is>
          <t>16572648568332</t>
        </is>
      </c>
      <c r="B193" s="1" t="inlineStr">
        <is>
          <t>TRAJE DE BAÑO PR BLACK</t>
        </is>
      </c>
      <c r="C193" s="1" t="n"/>
      <c r="D193" s="1" t="n"/>
      <c r="E193" s="1" t="n"/>
      <c r="F193" s="1" t="n"/>
      <c r="G193" s="1" t="n"/>
      <c r="H193" s="1" t="n"/>
      <c r="I193" s="1" t="n"/>
      <c r="J193" s="1" t="n"/>
      <c r="K193" s="6" t="n">
        <v>280.2610003</v>
      </c>
      <c r="L193" s="1" t="n"/>
      <c r="M193" s="1" t="n"/>
      <c r="N193" s="1" t="n"/>
    </row>
    <row r="194">
      <c r="A194" s="1" t="inlineStr">
        <is>
          <t>16572648601100</t>
        </is>
      </c>
      <c r="B194" s="1" t="inlineStr">
        <is>
          <t>TRAJE DE BAÑO PR BLACK</t>
        </is>
      </c>
      <c r="C194" s="1" t="n"/>
      <c r="D194" s="1" t="n"/>
      <c r="E194" s="1" t="n"/>
      <c r="F194" s="1" t="n"/>
      <c r="G194" s="1" t="n"/>
      <c r="H194" s="1" t="n"/>
      <c r="I194" s="1" t="n"/>
      <c r="J194" s="1" t="n"/>
      <c r="K194" s="6" t="n">
        <v>280.2610003</v>
      </c>
      <c r="L194" s="6" t="n">
        <v>286.2112858</v>
      </c>
      <c r="M194" s="1" t="n"/>
      <c r="N194" s="1" t="n"/>
    </row>
    <row r="195">
      <c r="A195" s="1" t="inlineStr">
        <is>
          <t>17235661006529</t>
        </is>
      </c>
      <c r="B195" s="1" t="inlineStr">
        <is>
          <t>ARETES CD TRIBALES</t>
        </is>
      </c>
      <c r="C195" s="1" t="n"/>
      <c r="D195" s="1" t="n"/>
      <c r="E195" s="1" t="n"/>
      <c r="F195" s="1" t="n"/>
      <c r="G195" s="1" t="n"/>
      <c r="H195" s="6" t="n">
        <v>233.9693635</v>
      </c>
      <c r="I195" s="6" t="n">
        <v>237.9816137</v>
      </c>
      <c r="J195" s="1" t="n"/>
      <c r="K195" s="1" t="n"/>
      <c r="L195" s="6" t="n">
        <v>233.2091958</v>
      </c>
      <c r="M195" s="1" t="n"/>
      <c r="N195" s="1" t="n"/>
    </row>
    <row r="196">
      <c r="A196" s="1" t="inlineStr">
        <is>
          <t>17360611039917</t>
        </is>
      </c>
      <c r="B196" s="1" t="inlineStr">
        <is>
          <t>ANILLO DOBLE T CON ZIRCONIAS SILVER</t>
        </is>
      </c>
      <c r="C196" s="1" t="n"/>
      <c r="D196" s="1" t="n"/>
      <c r="E196" s="1" t="n"/>
      <c r="F196" s="6" t="n">
        <v>147.4234891</v>
      </c>
      <c r="G196" s="6" t="n">
        <v>146.4201201</v>
      </c>
      <c r="H196" s="1" t="n"/>
      <c r="I196" s="1" t="n"/>
      <c r="J196" s="1" t="n"/>
      <c r="K196" s="1" t="n"/>
      <c r="L196" s="1" t="n"/>
      <c r="M196" s="1" t="n"/>
      <c r="N196" s="1" t="n"/>
    </row>
    <row r="197">
      <c r="A197" s="1" t="inlineStr">
        <is>
          <t>17360611172685</t>
        </is>
      </c>
      <c r="B197" s="1" t="inlineStr">
        <is>
          <t>ANILLO DOBLE T CON ZIRCONIAS SILVER</t>
        </is>
      </c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6" t="n">
        <v>125.9357718</v>
      </c>
      <c r="M197" s="1" t="n"/>
      <c r="N197" s="1" t="n"/>
    </row>
    <row r="198">
      <c r="A198" s="1" t="inlineStr">
        <is>
          <t>17360611212237</t>
        </is>
      </c>
      <c r="B198" s="1" t="inlineStr">
        <is>
          <t>RELOJ BALLON BLUE C</t>
        </is>
      </c>
      <c r="C198" s="1" t="n"/>
      <c r="D198" s="1" t="n"/>
      <c r="E198" s="6" t="n">
        <v>1606.427648</v>
      </c>
      <c r="F198" s="1" t="n"/>
      <c r="G198" s="1" t="n"/>
      <c r="H198" s="6" t="n">
        <v>728.8847823</v>
      </c>
      <c r="I198" s="1" t="n"/>
      <c r="J198" s="1" t="n"/>
      <c r="K198" s="6" t="n">
        <v>717.0457934</v>
      </c>
      <c r="L198" s="1" t="n"/>
      <c r="M198" s="6" t="n">
        <v>686.3202207</v>
      </c>
      <c r="N198" s="1" t="n"/>
    </row>
    <row r="199">
      <c r="A199" s="1" t="inlineStr">
        <is>
          <t>17360611212238</t>
        </is>
      </c>
      <c r="B199" s="1" t="inlineStr">
        <is>
          <t>RELOJ BALLON BLUE C</t>
        </is>
      </c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6" t="n">
        <v>742.1294856</v>
      </c>
      <c r="M199" s="1" t="n"/>
      <c r="N199" s="1" t="n"/>
    </row>
    <row r="200">
      <c r="A200" s="1" t="inlineStr">
        <is>
          <t>17360611377165</t>
        </is>
      </c>
      <c r="B200" s="1" t="inlineStr">
        <is>
          <t>RELOJ COSMOGRAPH DAYTONA GREEN DIAL R</t>
        </is>
      </c>
      <c r="C200" s="1" t="n"/>
      <c r="D200" s="1" t="n"/>
      <c r="E200" s="1" t="n"/>
      <c r="F200" s="1" t="n"/>
      <c r="G200" s="1" t="n"/>
      <c r="H200" s="1" t="n"/>
      <c r="I200" s="1" t="n"/>
      <c r="J200" s="1" t="n"/>
      <c r="K200" s="6" t="n">
        <v>1229.22136</v>
      </c>
      <c r="L200" s="1" t="n"/>
      <c r="M200" s="1" t="n"/>
      <c r="N200" s="1" t="n"/>
    </row>
    <row r="201">
      <c r="A201" s="1" t="inlineStr">
        <is>
          <t>17360611377166</t>
        </is>
      </c>
      <c r="B201" s="1" t="inlineStr">
        <is>
          <t>RELOJ COSMOGRAPH DAYTONA GREEN DIAL R</t>
        </is>
      </c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6" t="n">
        <v>1272.221975</v>
      </c>
      <c r="M201" s="1" t="n"/>
      <c r="N201" s="1" t="n"/>
    </row>
    <row r="202">
      <c r="A202" s="1" t="inlineStr">
        <is>
          <t>17360611474253</t>
        </is>
      </c>
      <c r="B202" s="1" t="inlineStr">
        <is>
          <t>RELOJ LADY DATEJUST GOLD RX</t>
        </is>
      </c>
      <c r="C202" s="1" t="n"/>
      <c r="D202" s="1" t="n"/>
      <c r="E202" s="1" t="n"/>
      <c r="F202" s="1" t="n"/>
      <c r="G202" s="1" t="n"/>
      <c r="H202" s="1" t="n"/>
      <c r="I202" s="1" t="n"/>
      <c r="J202" s="6" t="n">
        <v>1261.294835</v>
      </c>
      <c r="K202" s="1" t="n"/>
      <c r="L202" s="1" t="n"/>
      <c r="M202" s="1" t="n"/>
      <c r="N202" s="1" t="n"/>
    </row>
    <row r="203">
      <c r="A203" s="1" t="inlineStr">
        <is>
          <t>17360611572910</t>
        </is>
      </c>
      <c r="B203" s="1" t="inlineStr">
        <is>
          <t>RELOJ NAUTILUS PP</t>
        </is>
      </c>
      <c r="C203" s="1" t="n"/>
      <c r="D203" s="1" t="n"/>
      <c r="E203" s="1" t="n"/>
      <c r="F203" s="1" t="n"/>
      <c r="G203" s="1" t="n"/>
      <c r="H203" s="1" t="n"/>
      <c r="I203" s="1" t="n"/>
      <c r="J203" s="1" t="n"/>
      <c r="K203" s="6" t="n">
        <v>1485.309144</v>
      </c>
      <c r="L203" s="1" t="n"/>
      <c r="M203" s="1" t="n"/>
      <c r="N203" s="1" t="n"/>
    </row>
    <row r="204">
      <c r="A204" s="1" t="inlineStr">
        <is>
          <t>17360611631597</t>
        </is>
      </c>
      <c r="B204" s="1" t="inlineStr">
        <is>
          <t>RELOJ GENEVA PP</t>
        </is>
      </c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6" t="n">
        <v>1802.314465</v>
      </c>
      <c r="M204" s="1" t="n"/>
      <c r="N204" s="1" t="n"/>
    </row>
    <row r="205">
      <c r="A205" s="1" t="inlineStr">
        <is>
          <t>17360611631598</t>
        </is>
      </c>
      <c r="B205" s="1" t="inlineStr">
        <is>
          <t>RELOJ GENEVA PP</t>
        </is>
      </c>
      <c r="C205" s="1" t="n"/>
      <c r="D205" s="1" t="n"/>
      <c r="E205" s="1" t="n"/>
      <c r="F205" s="1" t="n"/>
      <c r="G205" s="1" t="n"/>
      <c r="H205" s="1" t="n"/>
      <c r="I205" s="1" t="n"/>
      <c r="J205" s="1" t="n"/>
      <c r="K205" s="6" t="n">
        <v>1741.396927</v>
      </c>
      <c r="L205" s="1" t="n"/>
      <c r="M205" s="1" t="n"/>
      <c r="N205" s="1" t="n"/>
    </row>
    <row r="206">
      <c r="A206" s="1" t="inlineStr">
        <is>
          <t>17416232396428</t>
        </is>
      </c>
      <c r="B206" s="1" t="inlineStr">
        <is>
          <t>BOLSO CD TOTE</t>
        </is>
      </c>
      <c r="C206" s="1" t="n"/>
      <c r="D206" s="6" t="n">
        <v>1130.303007</v>
      </c>
      <c r="E206" s="6" t="n">
        <v>1116.004919</v>
      </c>
      <c r="F206" s="1" t="n"/>
      <c r="G206" s="1" t="n"/>
      <c r="H206" s="1" t="n"/>
      <c r="I206" s="1" t="n"/>
      <c r="J206" s="6" t="n">
        <v>1171.3280705</v>
      </c>
      <c r="K206" s="1" t="n"/>
      <c r="L206" s="1" t="n"/>
      <c r="M206" s="1" t="n"/>
      <c r="N206" s="1" t="n"/>
    </row>
    <row r="207">
      <c r="A207" s="1" t="inlineStr">
        <is>
          <t>17760786033676</t>
        </is>
      </c>
      <c r="B207" s="1" t="inlineStr">
        <is>
          <t>BOLSO CC 22 SILVER</t>
        </is>
      </c>
      <c r="C207" s="1" t="n"/>
      <c r="D207" s="1" t="n"/>
      <c r="E207" s="6" t="n">
        <v>1240.005465</v>
      </c>
      <c r="F207" s="1" t="n"/>
      <c r="G207" s="1" t="n"/>
      <c r="H207" s="6" t="n">
        <v>1301.579968</v>
      </c>
      <c r="I207" s="1" t="n"/>
      <c r="J207" s="6" t="n">
        <v>1289.102481</v>
      </c>
      <c r="K207" s="1" t="n"/>
      <c r="L207" s="1" t="n"/>
      <c r="M207" s="1" t="n"/>
      <c r="N207" s="1" t="n"/>
    </row>
    <row r="208">
      <c r="A208" s="1" t="inlineStr">
        <is>
          <t>17872087535244</t>
        </is>
      </c>
      <c r="B208" s="1" t="inlineStr">
        <is>
          <t>BOLSO LW ANAGRAM</t>
        </is>
      </c>
      <c r="C208" s="1" t="n"/>
      <c r="D208" s="6" t="n">
        <v>879.1245611000001</v>
      </c>
      <c r="E208" s="1" t="n"/>
      <c r="F208" s="1" t="n"/>
      <c r="G208" s="1" t="n"/>
      <c r="H208" s="1" t="n"/>
      <c r="I208" s="1" t="n"/>
      <c r="J208" s="6" t="n">
        <v>911.0329434</v>
      </c>
      <c r="K208" s="6" t="n">
        <v>896.3072418</v>
      </c>
      <c r="L208" s="6" t="n">
        <v>927.6618571</v>
      </c>
      <c r="M208" s="1" t="n"/>
      <c r="N208" s="1" t="n"/>
    </row>
    <row r="209">
      <c r="A209" s="1" t="inlineStr">
        <is>
          <t>17964141062349</t>
        </is>
      </c>
      <c r="B209" s="1" t="inlineStr">
        <is>
          <t>BRAZALETE LV TAILOR SOO</t>
        </is>
      </c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6" t="n">
        <v>169.7491381</v>
      </c>
      <c r="M209" s="1" t="n"/>
      <c r="N209" s="1" t="n"/>
    </row>
    <row r="210">
      <c r="A210" s="1" t="inlineStr">
        <is>
          <t>17964141190029</t>
        </is>
      </c>
      <c r="B210" s="1" t="inlineStr">
        <is>
          <t>ANILLO LV TAILOR SOO</t>
        </is>
      </c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6" t="n">
        <v>127.3118536</v>
      </c>
      <c r="M210" s="1" t="n"/>
      <c r="N210" s="1" t="n"/>
    </row>
    <row r="211">
      <c r="A211" s="1" t="inlineStr">
        <is>
          <t>17964141219949</t>
        </is>
      </c>
      <c r="B211" s="1" t="inlineStr">
        <is>
          <t>PULSERA LV MONOGRAM BOLD SOO</t>
        </is>
      </c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6" t="n">
        <v>190.755594</v>
      </c>
      <c r="M211" s="1" t="n"/>
      <c r="N211" s="1" t="n"/>
    </row>
    <row r="212">
      <c r="A212" s="1" t="inlineStr">
        <is>
          <t>17964141313165</t>
        </is>
      </c>
      <c r="B212" s="1" t="inlineStr">
        <is>
          <t>PULSERA LV DAMIER STAPLES SOO</t>
        </is>
      </c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6" t="n">
        <v>190.9677804</v>
      </c>
      <c r="M212" s="1" t="n"/>
      <c r="N212" s="1" t="n"/>
    </row>
    <row r="213">
      <c r="A213" s="1" t="inlineStr">
        <is>
          <t>17964141440845</t>
        </is>
      </c>
      <c r="B213" s="1" t="inlineStr">
        <is>
          <t>ANILLO LV MOSAIC SOO</t>
        </is>
      </c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6" t="n">
        <v>127.3118536</v>
      </c>
      <c r="M213" s="1" t="n"/>
      <c r="N213" s="1" t="n"/>
    </row>
    <row r="214">
      <c r="A214" s="1" t="inlineStr">
        <is>
          <t>17964141539149</t>
        </is>
      </c>
      <c r="B214" s="1" t="inlineStr">
        <is>
          <t>LENTES LV WAIMEA</t>
        </is>
      </c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6" t="n">
        <v>594.1219835000001</v>
      </c>
      <c r="M214" s="1" t="n"/>
      <c r="N214" s="1" t="n"/>
    </row>
    <row r="215">
      <c r="A215" s="1" t="inlineStr">
        <is>
          <t>17964141660045</t>
        </is>
      </c>
      <c r="B215" s="1" t="inlineStr">
        <is>
          <t>ANILLO F FF</t>
        </is>
      </c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6" t="n">
        <v>127.3118536</v>
      </c>
      <c r="M215" s="1" t="n"/>
      <c r="N215" s="1" t="n"/>
    </row>
    <row r="216">
      <c r="A216" s="1" t="inlineStr">
        <is>
          <t>17964141754957</t>
        </is>
      </c>
      <c r="B216" s="1" t="inlineStr">
        <is>
          <t>LENTES CD OBLIQUE S1</t>
        </is>
      </c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6" t="n">
        <v>742.6524793</v>
      </c>
      <c r="M216" s="1" t="n"/>
      <c r="N216" s="1" t="n"/>
    </row>
    <row r="217">
      <c r="A217" s="1" t="inlineStr">
        <is>
          <t>17964141887725</t>
        </is>
      </c>
      <c r="B217" s="1" t="inlineStr">
        <is>
          <t>LENTES CD LINK A1U</t>
        </is>
      </c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6" t="n">
        <v>742.6524793</v>
      </c>
      <c r="M217" s="1" t="n"/>
      <c r="N217" s="1" t="n"/>
    </row>
    <row r="218">
      <c r="A218" s="1" t="inlineStr">
        <is>
          <t>17964141953261</t>
        </is>
      </c>
      <c r="B218" s="1" t="inlineStr">
        <is>
          <t>PULSERA PR SYMBOLE</t>
        </is>
      </c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6" t="n">
        <v>190.755594</v>
      </c>
      <c r="M218" s="1" t="n"/>
      <c r="N218" s="1" t="n"/>
    </row>
    <row r="219">
      <c r="A219" s="1" t="inlineStr">
        <is>
          <t>17964142049869</t>
        </is>
      </c>
      <c r="B219" s="1" t="inlineStr">
        <is>
          <t>PULSERA BV GOLD BLACK-WHITE</t>
        </is>
      </c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6" t="n">
        <v>159.139817</v>
      </c>
      <c r="M219" s="1" t="n"/>
      <c r="N219" s="1" t="n"/>
    </row>
    <row r="220">
      <c r="A220" s="1" t="inlineStr">
        <is>
          <t>17964142179245</t>
        </is>
      </c>
      <c r="B220" s="1" t="inlineStr">
        <is>
          <t>ANILLO BV ANISH KAPOOR</t>
        </is>
      </c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6" t="n">
        <v>169.7491381</v>
      </c>
      <c r="M220" s="1" t="n"/>
      <c r="N220" s="1" t="n"/>
    </row>
    <row r="221">
      <c r="A221" s="1" t="inlineStr">
        <is>
          <t>17964142243085</t>
        </is>
      </c>
      <c r="B221" s="1" t="inlineStr">
        <is>
          <t>ANILLO BV SORTIJA SILVER</t>
        </is>
      </c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6" t="n">
        <v>148.5304959</v>
      </c>
      <c r="M221" s="1" t="n"/>
      <c r="N221" s="1" t="n"/>
    </row>
    <row r="222">
      <c r="A222" s="1" t="inlineStr">
        <is>
          <t>17964142322733</t>
        </is>
      </c>
      <c r="B222" s="1" t="inlineStr">
        <is>
          <t>COLLAR LV SPIKE SILVER</t>
        </is>
      </c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6" t="n">
        <v>253.24762535</v>
      </c>
      <c r="M222" s="1" t="n"/>
      <c r="N222" s="1" t="n"/>
    </row>
    <row r="223">
      <c r="A223" s="1" t="inlineStr">
        <is>
          <t>17964142453805</t>
        </is>
      </c>
      <c r="B223" s="1" t="inlineStr">
        <is>
          <t>COLLAR LV BLOSSOM BB STAR SILVER</t>
        </is>
      </c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6" t="n">
        <v>127.0996672</v>
      </c>
      <c r="M223" s="1" t="n"/>
      <c r="N223" s="1" t="n"/>
    </row>
    <row r="224">
      <c r="A224" s="1" t="inlineStr">
        <is>
          <t>17964142517645</t>
        </is>
      </c>
      <c r="B224" s="1" t="inlineStr">
        <is>
          <t>COLLAR LV BLOSSOM BB STAR GOLD</t>
        </is>
      </c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6" t="n">
        <v>127.0996672</v>
      </c>
      <c r="M224" s="1" t="n"/>
      <c r="N224" s="1" t="n"/>
    </row>
    <row r="225">
      <c r="A225" s="1" t="inlineStr">
        <is>
          <t>17964142645325</t>
        </is>
      </c>
      <c r="B225" s="1" t="inlineStr">
        <is>
          <t>PULSERA LV MONOGRAM CHAIN SOO</t>
        </is>
      </c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6" t="n">
        <v>379.87143805</v>
      </c>
      <c r="M225" s="1" t="n"/>
      <c r="N225" s="1" t="n"/>
    </row>
    <row r="226">
      <c r="A226" s="1" t="inlineStr">
        <is>
          <t>17964142743629</t>
        </is>
      </c>
      <c r="B226" s="1" t="inlineStr">
        <is>
          <t>PULSERA LV DAMIER MONOGRAM</t>
        </is>
      </c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6" t="n">
        <v>316.5595317</v>
      </c>
      <c r="M226" s="1" t="n"/>
      <c r="N226" s="1" t="n"/>
    </row>
    <row r="227">
      <c r="A227" s="1" t="inlineStr">
        <is>
          <t>17964142823277</t>
        </is>
      </c>
      <c r="B227" s="1" t="inlineStr">
        <is>
          <t>GORRA C BEIS BABY BLUE</t>
        </is>
      </c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6" t="n">
        <v>509.2474144</v>
      </c>
      <c r="M227" s="1" t="n"/>
      <c r="N227" s="1" t="n"/>
    </row>
    <row r="228">
      <c r="A228" s="1" t="inlineStr">
        <is>
          <t>17964142921581</t>
        </is>
      </c>
      <c r="B228" s="1" t="inlineStr">
        <is>
          <t>GORRA MM DRILL BLUE</t>
        </is>
      </c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6" t="n">
        <v>509.2474144</v>
      </c>
      <c r="M228" s="1" t="n"/>
      <c r="N228" s="1" t="n"/>
    </row>
    <row r="229">
      <c r="A229" s="1" t="inlineStr">
        <is>
          <t>17964143087117</t>
        </is>
      </c>
      <c r="B229" s="1" t="inlineStr">
        <is>
          <t>GORRA MM DRILL PINK</t>
        </is>
      </c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6" t="n">
        <v>506.49525075</v>
      </c>
      <c r="M229" s="1" t="n"/>
      <c r="N229" s="1" t="n"/>
    </row>
    <row r="230">
      <c r="A230" s="1" t="inlineStr">
        <is>
          <t>18652671095713</t>
        </is>
      </c>
      <c r="B230" s="1" t="inlineStr">
        <is>
          <t>PULSERA DE TELA TRES AROS GREY</t>
        </is>
      </c>
      <c r="C230" s="1" t="n"/>
      <c r="D230" s="6" t="n">
        <v>99.15536311</v>
      </c>
      <c r="E230" s="1" t="n"/>
      <c r="F230" s="1" t="n"/>
      <c r="G230" s="6" t="n">
        <v>98.31065205</v>
      </c>
      <c r="H230" s="1" t="n"/>
      <c r="I230" s="1" t="n"/>
      <c r="J230" s="6" t="n">
        <v>100.1283122</v>
      </c>
      <c r="K230" s="1" t="n"/>
      <c r="L230" s="6" t="n">
        <v>99.72761865</v>
      </c>
      <c r="M230" s="1" t="n"/>
      <c r="N230" s="1" t="n"/>
    </row>
    <row r="231">
      <c r="A231" s="1" t="inlineStr">
        <is>
          <t>18936841085197</t>
        </is>
      </c>
      <c r="B231" s="1" t="inlineStr">
        <is>
          <t>GORRA A BLACK AND WHITE</t>
        </is>
      </c>
      <c r="C231" s="1" t="n"/>
      <c r="D231" s="1" t="n"/>
      <c r="E231" s="6" t="n">
        <v>236.23936</v>
      </c>
      <c r="F231" s="1" t="n"/>
      <c r="G231" s="1" t="n"/>
      <c r="H231" s="1" t="n"/>
      <c r="I231" s="1" t="n"/>
      <c r="J231" s="1" t="n"/>
      <c r="K231" s="6" t="n">
        <v>256.0877834</v>
      </c>
      <c r="L231" s="1" t="n"/>
      <c r="M231" s="1" t="n"/>
      <c r="N231" s="1" t="n"/>
    </row>
    <row r="232" ht="29" customHeight="1">
      <c r="A232" s="1" t="inlineStr">
        <is>
          <t>19693770314380</t>
        </is>
      </c>
      <c r="B232" s="9" t="inlineStr">
        <is>
          <t>BOLSO DE VIAJE BROWN LV
55cm</t>
        </is>
      </c>
      <c r="C232" s="1" t="n"/>
      <c r="D232" s="1" t="n"/>
      <c r="E232" s="1" t="n"/>
      <c r="F232" s="1" t="n"/>
      <c r="G232" s="1" t="n"/>
      <c r="H232" s="1" t="n"/>
      <c r="I232" s="1" t="n"/>
      <c r="J232" s="1" t="n"/>
      <c r="K232" s="6" t="n">
        <v>1703.791703</v>
      </c>
      <c r="L232" s="1" t="n"/>
      <c r="M232" s="1" t="n"/>
      <c r="N232" s="1" t="n"/>
    </row>
    <row r="233">
      <c r="A233" s="1" t="inlineStr">
        <is>
          <t>19874081084045</t>
        </is>
      </c>
      <c r="B233" s="1" t="inlineStr">
        <is>
          <t>GORRA A WHITE</t>
        </is>
      </c>
      <c r="C233" s="1" t="n"/>
      <c r="D233" s="1" t="n"/>
      <c r="E233" s="6" t="n">
        <v>944.95744</v>
      </c>
      <c r="F233" s="1" t="n"/>
      <c r="G233" s="1" t="n"/>
      <c r="H233" s="1" t="n"/>
      <c r="I233" s="1" t="n"/>
      <c r="J233" s="1" t="n"/>
      <c r="K233" s="1" t="n"/>
      <c r="L233" s="6" t="n">
        <v>265.0462449</v>
      </c>
      <c r="M233" s="1" t="n"/>
      <c r="N233" s="1" t="n"/>
    </row>
    <row r="234">
      <c r="A234" s="1" t="inlineStr">
        <is>
          <t>19976221521036</t>
        </is>
      </c>
      <c r="B234" s="1" t="inlineStr">
        <is>
          <t>BOLSO DE VIAJE BLACK PÉGASE LV</t>
        </is>
      </c>
      <c r="C234" s="1" t="n"/>
      <c r="D234" s="1" t="n"/>
      <c r="E234" s="1" t="n"/>
      <c r="F234" s="1" t="n"/>
      <c r="G234" s="1" t="n"/>
      <c r="H234" s="6" t="n">
        <v>1435.721094</v>
      </c>
      <c r="I234" s="6" t="n">
        <v>1460.341721</v>
      </c>
      <c r="J234" s="6" t="n">
        <v>1450.300453</v>
      </c>
      <c r="K234" s="6" t="n">
        <v>1401.305001</v>
      </c>
      <c r="L234" s="1" t="n"/>
      <c r="M234" s="1" t="n"/>
      <c r="N234" s="1" t="n"/>
    </row>
    <row r="235">
      <c r="A235" s="1" t="inlineStr">
        <is>
          <t>20002741079437</t>
        </is>
      </c>
      <c r="B235" s="1" t="inlineStr">
        <is>
          <t>ARETES LV PADLOCK SILVER CON ZIRCONIA</t>
        </is>
      </c>
      <c r="C235" s="1" t="n"/>
      <c r="D235" s="6" t="n">
        <v>316.4532865</v>
      </c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</row>
    <row r="236">
      <c r="A236" s="1" t="inlineStr">
        <is>
          <t>21078752836941</t>
        </is>
      </c>
      <c r="B236" s="1" t="inlineStr">
        <is>
          <t>ARRACADAS C GOLD ZIRCONIAS</t>
        </is>
      </c>
      <c r="C236" s="1" t="n"/>
      <c r="D236" s="1" t="n"/>
      <c r="E236" s="6" t="n">
        <v>147.8978341</v>
      </c>
      <c r="F236" s="1" t="n"/>
      <c r="G236" s="1" t="n"/>
      <c r="H236" s="1" t="n"/>
      <c r="I236" s="6" t="n">
        <v>147.4794725</v>
      </c>
      <c r="J236" s="1" t="n"/>
      <c r="K236" s="6" t="n">
        <v>147.2203151</v>
      </c>
      <c r="L236" s="1" t="n"/>
      <c r="M236" s="1" t="n"/>
      <c r="N236" s="1" t="n"/>
    </row>
    <row r="237">
      <c r="A237" s="1" t="inlineStr">
        <is>
          <t>21120091008141</t>
        </is>
      </c>
      <c r="B237" s="1" t="n"/>
      <c r="C237" s="1" t="n"/>
      <c r="D237" s="1" t="n"/>
      <c r="E237" s="6" t="n">
        <v>826.83776</v>
      </c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</row>
    <row r="238">
      <c r="A238" s="1" t="inlineStr">
        <is>
          <t>21206411051949</t>
        </is>
      </c>
      <c r="B238" s="1" t="inlineStr">
        <is>
          <t>ANILLO LOVE UNLIMITED ROSEGOLD</t>
        </is>
      </c>
      <c r="C238" s="1" t="n"/>
      <c r="D238" s="1" t="n"/>
      <c r="E238" s="1" t="n"/>
      <c r="F238" s="1" t="n"/>
      <c r="G238" s="1" t="n"/>
      <c r="H238" s="1" t="n"/>
      <c r="I238" s="6" t="n">
        <v>105.3424803</v>
      </c>
      <c r="J238" s="6" t="n">
        <v>106.5194811</v>
      </c>
      <c r="K238" s="1" t="n"/>
      <c r="L238" s="1" t="n"/>
      <c r="M238" s="1" t="n"/>
      <c r="N238" s="1" t="n"/>
    </row>
    <row r="239">
      <c r="A239" s="1" t="inlineStr">
        <is>
          <t>21206411184717</t>
        </is>
      </c>
      <c r="B239" s="1" t="inlineStr">
        <is>
          <t>ANILLO LOVE UNLIMITED ROSEGOLD</t>
        </is>
      </c>
      <c r="C239" s="1" t="n"/>
      <c r="D239" s="1" t="n"/>
      <c r="E239" s="1" t="n"/>
      <c r="F239" s="6" t="n">
        <v>105.3024922</v>
      </c>
      <c r="G239" s="1" t="n"/>
      <c r="H239" s="1" t="n"/>
      <c r="I239" s="1" t="n"/>
      <c r="J239" s="6" t="n">
        <v>106.5194811</v>
      </c>
      <c r="K239" s="6" t="n">
        <v>105.1573679</v>
      </c>
      <c r="L239" s="1" t="n"/>
      <c r="M239" s="1" t="n"/>
      <c r="N239" s="1" t="n"/>
    </row>
    <row r="240">
      <c r="A240" s="1" t="inlineStr">
        <is>
          <t>21206411294893</t>
        </is>
      </c>
      <c r="B240" s="1" t="inlineStr">
        <is>
          <t>ANILLO LOVE UNLIMITED GOLD</t>
        </is>
      </c>
      <c r="C240" s="1" t="n"/>
      <c r="D240" s="1" t="n"/>
      <c r="E240" s="1" t="n"/>
      <c r="F240" s="6" t="n">
        <v>105.3024922</v>
      </c>
      <c r="G240" s="1" t="n"/>
      <c r="H240" s="1" t="n"/>
      <c r="I240" s="1" t="n"/>
      <c r="J240" s="1" t="n"/>
      <c r="K240" s="1" t="n"/>
      <c r="L240" s="6" t="n">
        <v>116.02307185</v>
      </c>
      <c r="M240" s="1" t="n"/>
      <c r="N240" s="1" t="n"/>
    </row>
    <row r="241">
      <c r="A241" s="1" t="inlineStr">
        <is>
          <t>21206411327661</t>
        </is>
      </c>
      <c r="B241" s="1" t="inlineStr">
        <is>
          <t>ANILLO LOVE UNLIMITED GOLD</t>
        </is>
      </c>
      <c r="C241" s="1" t="n"/>
      <c r="D241" s="1" t="n"/>
      <c r="E241" s="1" t="n"/>
      <c r="F241" s="6" t="n">
        <v>105.3024922</v>
      </c>
      <c r="G241" s="1" t="n"/>
      <c r="H241" s="1" t="n"/>
      <c r="I241" s="1" t="n"/>
      <c r="J241" s="1" t="n"/>
      <c r="K241" s="6" t="n">
        <v>105.1573679</v>
      </c>
      <c r="L241" s="1" t="n"/>
      <c r="M241" s="6" t="n">
        <v>105.0730323</v>
      </c>
      <c r="N241" s="1" t="n"/>
    </row>
    <row r="242">
      <c r="A242" s="1" t="inlineStr">
        <is>
          <t>21206411460429</t>
        </is>
      </c>
      <c r="B242" s="1" t="inlineStr">
        <is>
          <t>ANILLO LOVE UNLIMITED GOLD</t>
        </is>
      </c>
      <c r="C242" s="1" t="n"/>
      <c r="D242" s="1" t="n"/>
      <c r="E242" s="1" t="n"/>
      <c r="F242" s="6" t="n">
        <v>105.3024922</v>
      </c>
      <c r="G242" s="1" t="n"/>
      <c r="H242" s="6" t="n">
        <v>106.002089</v>
      </c>
      <c r="I242" s="6" t="n">
        <v>105.3424803</v>
      </c>
      <c r="J242" s="1" t="n"/>
      <c r="K242" s="6" t="n">
        <v>105.1573679</v>
      </c>
      <c r="L242" s="1" t="n"/>
      <c r="M242" s="1" t="n"/>
      <c r="N242" s="1" t="n"/>
    </row>
    <row r="243">
      <c r="A243" s="1" t="inlineStr">
        <is>
          <t>21206411515789</t>
        </is>
      </c>
      <c r="B243" s="1" t="inlineStr">
        <is>
          <t>ANILLO LOVE UNLIMITED SILVER</t>
        </is>
      </c>
      <c r="C243" s="1" t="n"/>
      <c r="D243" s="1" t="n"/>
      <c r="E243" s="1" t="n"/>
      <c r="F243" s="6" t="n">
        <v>105.3024922</v>
      </c>
      <c r="G243" s="1" t="n"/>
      <c r="H243" s="1" t="n"/>
      <c r="I243" s="1" t="n"/>
      <c r="J243" s="1" t="n"/>
      <c r="K243" s="1" t="n"/>
      <c r="L243" s="6" t="n">
        <v>104.9464765</v>
      </c>
      <c r="M243" s="1" t="n"/>
      <c r="N243" s="1" t="n"/>
    </row>
    <row r="244">
      <c r="A244" s="1" t="inlineStr">
        <is>
          <t>21206421648557</t>
        </is>
      </c>
      <c r="B244" s="1" t="inlineStr">
        <is>
          <t>ANILLO LOVE UNLIMITED SILVER</t>
        </is>
      </c>
      <c r="C244" s="1" t="n"/>
      <c r="D244" s="1" t="n"/>
      <c r="E244" s="1" t="n"/>
      <c r="F244" s="6" t="n">
        <v>105.3024922</v>
      </c>
      <c r="G244" s="1" t="n"/>
      <c r="H244" s="1" t="n"/>
      <c r="I244" s="1" t="n"/>
      <c r="J244" s="1" t="n"/>
      <c r="K244" s="6" t="n">
        <v>105.1573679</v>
      </c>
      <c r="L244" s="1" t="n"/>
      <c r="M244" s="1" t="n"/>
      <c r="N244" s="1" t="n"/>
    </row>
    <row r="245">
      <c r="A245" s="1" t="inlineStr">
        <is>
          <t>21206421781325</t>
        </is>
      </c>
      <c r="B245" s="1" t="inlineStr">
        <is>
          <t>ANILLO LOVE UNLIMITED SILVER</t>
        </is>
      </c>
      <c r="C245" s="1" t="n"/>
      <c r="D245" s="1" t="n"/>
      <c r="E245" s="1" t="n"/>
      <c r="F245" s="6" t="n">
        <v>105.3024922</v>
      </c>
      <c r="G245" s="1" t="n"/>
      <c r="H245" s="1" t="n"/>
      <c r="I245" s="1" t="n"/>
      <c r="J245" s="6" t="n">
        <v>106.5194811</v>
      </c>
      <c r="K245" s="1" t="n"/>
      <c r="L245" s="6" t="n">
        <v>104.9464765</v>
      </c>
      <c r="M245" s="1" t="n"/>
      <c r="N245" s="1" t="n"/>
    </row>
    <row r="246">
      <c r="A246" s="1" t="inlineStr">
        <is>
          <t>21605761269037</t>
        </is>
      </c>
      <c r="B246" s="1" t="inlineStr">
        <is>
          <t>ANILLO BACK SOON T ROSE GOLD</t>
        </is>
      </c>
      <c r="C246" s="1" t="n"/>
      <c r="D246" s="6" t="n">
        <v>63.29065731</v>
      </c>
      <c r="E246" s="1" t="n"/>
      <c r="F246" s="1" t="n"/>
      <c r="G246" s="1" t="n"/>
      <c r="H246" s="1" t="n"/>
      <c r="I246" s="1" t="n"/>
      <c r="J246" s="1" t="n"/>
      <c r="K246" s="6" t="n">
        <v>63.09442077</v>
      </c>
      <c r="L246" s="1" t="n"/>
      <c r="M246" s="1" t="n"/>
      <c r="N246" s="1" t="n"/>
    </row>
    <row r="247">
      <c r="A247" s="1" t="inlineStr">
        <is>
          <t>21605771301805</t>
        </is>
      </c>
      <c r="B247" s="1" t="inlineStr">
        <is>
          <t>ANILLO BACK SOON T ROSE GOLD</t>
        </is>
      </c>
      <c r="C247" s="1" t="n"/>
      <c r="D247" s="6" t="n">
        <v>63.29065731</v>
      </c>
      <c r="E247" s="1" t="n"/>
      <c r="F247" s="1" t="n"/>
      <c r="G247" s="1" t="n"/>
      <c r="H247" s="1" t="n"/>
      <c r="I247" s="1" t="n"/>
      <c r="J247" s="6" t="n">
        <v>63.91168865</v>
      </c>
      <c r="K247" s="1" t="n"/>
      <c r="L247" s="1" t="n"/>
      <c r="M247" s="6" t="n">
        <v>63.04381938</v>
      </c>
      <c r="N247" s="1" t="n"/>
    </row>
    <row r="248">
      <c r="A248" s="1" t="inlineStr">
        <is>
          <t>21605771334573</t>
        </is>
      </c>
      <c r="B248" s="1" t="inlineStr">
        <is>
          <t>ANILLO BACK SOON T ROSE GOLD</t>
        </is>
      </c>
      <c r="C248" s="1" t="n"/>
      <c r="D248" s="1" t="n"/>
      <c r="E248" s="1" t="n"/>
      <c r="F248" s="6" t="n">
        <v>63.18149533</v>
      </c>
      <c r="G248" s="6" t="n">
        <v>62.75148003</v>
      </c>
      <c r="H248" s="1" t="n"/>
      <c r="I248" s="1" t="n"/>
      <c r="J248" s="1" t="n"/>
      <c r="K248" s="1" t="n"/>
      <c r="L248" s="1" t="n"/>
      <c r="M248" s="1" t="n"/>
      <c r="N248" s="1" t="n"/>
    </row>
    <row r="249">
      <c r="A249" s="1" t="inlineStr">
        <is>
          <t>21605774283693</t>
        </is>
      </c>
      <c r="B249" s="1" t="inlineStr">
        <is>
          <t>ANILLO BACK SOON T SILVER</t>
        </is>
      </c>
      <c r="C249" s="1" t="n"/>
      <c r="D249" s="6" t="n">
        <v>63.29065731</v>
      </c>
      <c r="E249" s="1" t="n"/>
      <c r="F249" s="1" t="n"/>
      <c r="G249" s="6" t="n">
        <v>62.75148003</v>
      </c>
      <c r="H249" s="6" t="n">
        <v>63.60125338</v>
      </c>
      <c r="I249" s="1" t="n"/>
      <c r="J249" s="1" t="n"/>
      <c r="K249" s="1" t="n"/>
      <c r="L249" s="6" t="n">
        <v>63.311906345</v>
      </c>
      <c r="M249" s="1" t="n"/>
      <c r="N249" s="1" t="n"/>
    </row>
    <row r="250">
      <c r="A250" s="1" t="inlineStr">
        <is>
          <t>21605774316461</t>
        </is>
      </c>
      <c r="B250" s="1" t="inlineStr">
        <is>
          <t>ANILLO BACK SOON T SILVER</t>
        </is>
      </c>
      <c r="C250" s="1" t="n"/>
      <c r="D250" s="1" t="n"/>
      <c r="E250" s="1" t="n"/>
      <c r="F250" s="6" t="n">
        <v>63.18149533</v>
      </c>
      <c r="G250" s="6" t="n">
        <v>62.75148003</v>
      </c>
      <c r="H250" s="6" t="n">
        <v>63.60125338</v>
      </c>
      <c r="I250" s="6" t="n">
        <v>63.2054882</v>
      </c>
      <c r="J250" s="1" t="n"/>
      <c r="K250" s="6" t="n">
        <v>63.09442077</v>
      </c>
      <c r="L250" s="1" t="n"/>
      <c r="M250" s="1" t="n"/>
      <c r="N250" s="1" t="n"/>
    </row>
    <row r="251">
      <c r="A251" s="1" t="inlineStr">
        <is>
          <t>21605774349229</t>
        </is>
      </c>
      <c r="B251" s="1" t="inlineStr">
        <is>
          <t>ANILLO BACK SOON T SILVER</t>
        </is>
      </c>
      <c r="C251" s="1" t="n"/>
      <c r="D251" s="6" t="n">
        <v>63.29065731</v>
      </c>
      <c r="E251" s="1" t="n"/>
      <c r="F251" s="6" t="n">
        <v>63.18149533</v>
      </c>
      <c r="G251" s="6" t="n">
        <v>62.75148003</v>
      </c>
      <c r="H251" s="1" t="n"/>
      <c r="I251" s="1" t="n"/>
      <c r="J251" s="1" t="n"/>
      <c r="K251" s="6" t="n">
        <v>63.09442077</v>
      </c>
      <c r="L251" s="1" t="n"/>
      <c r="M251" s="1" t="n"/>
      <c r="N251" s="1" t="n"/>
    </row>
    <row r="252">
      <c r="A252" s="1" t="inlineStr">
        <is>
          <t>22064321023405</t>
        </is>
      </c>
      <c r="B252" s="1" t="inlineStr">
        <is>
          <t>BRAZALETE LOVE GOLD</t>
        </is>
      </c>
      <c r="C252" s="1" t="n"/>
      <c r="D252" s="1" t="n"/>
      <c r="E252" s="1" t="n"/>
      <c r="F252" s="1" t="n"/>
      <c r="G252" s="1" t="n"/>
      <c r="H252" s="1" t="n"/>
      <c r="I252" s="6" t="n">
        <v>63.84933424</v>
      </c>
      <c r="J252" s="1" t="n"/>
      <c r="K252" s="1" t="n"/>
      <c r="L252" s="6" t="n">
        <v>62.75799293</v>
      </c>
      <c r="M252" s="1" t="n"/>
      <c r="N252" s="1" t="n"/>
    </row>
    <row r="253">
      <c r="A253" s="1" t="inlineStr">
        <is>
          <t>22064321131885</t>
        </is>
      </c>
      <c r="B253" s="1" t="inlineStr">
        <is>
          <t>PULSERA LOVE SILVER-BLACK MICROZIRCONIAS</t>
        </is>
      </c>
      <c r="C253" s="1" t="n"/>
      <c r="D253" s="1" t="n"/>
      <c r="E253" s="1" t="n"/>
      <c r="F253" s="1" t="n"/>
      <c r="G253" s="1" t="n"/>
      <c r="H253" s="1" t="n"/>
      <c r="I253" s="6" t="n">
        <v>533.8573097</v>
      </c>
      <c r="J253" s="1" t="n"/>
      <c r="K253" s="1" t="n"/>
      <c r="L253" s="1" t="n"/>
      <c r="M253" s="1" t="n"/>
      <c r="N253" s="1" t="n"/>
    </row>
    <row r="254">
      <c r="A254" s="1" t="inlineStr">
        <is>
          <t>22064321264653</t>
        </is>
      </c>
      <c r="B254" s="1" t="inlineStr">
        <is>
          <t>PULSERA LOVE SILVER-BLACK MICROZIRCONIAS</t>
        </is>
      </c>
      <c r="C254" s="1" t="n"/>
      <c r="D254" s="1" t="n"/>
      <c r="E254" s="1" t="n"/>
      <c r="F254" s="1" t="n"/>
      <c r="G254" s="1" t="n"/>
      <c r="H254" s="1" t="n"/>
      <c r="I254" s="6" t="n">
        <v>533.8573097</v>
      </c>
      <c r="J254" s="1" t="n"/>
      <c r="K254" s="6" t="n">
        <v>525.7868397</v>
      </c>
      <c r="L254" s="1" t="n"/>
      <c r="M254" s="1" t="n"/>
      <c r="N254" s="1" t="n"/>
    </row>
    <row r="255">
      <c r="A255" s="1" t="inlineStr">
        <is>
          <t>22064321319469</t>
        </is>
      </c>
      <c r="B255" s="1" t="inlineStr">
        <is>
          <t>ANILLO LOVE SILVER-BLACK MICROZIRCONIAS</t>
        </is>
      </c>
      <c r="C255" s="1" t="n"/>
      <c r="D255" s="1" t="n"/>
      <c r="E255" s="1" t="n"/>
      <c r="F255" s="1" t="n"/>
      <c r="G255" s="1" t="n"/>
      <c r="H255" s="1" t="n"/>
      <c r="I255" s="6" t="n">
        <v>170.8343391</v>
      </c>
      <c r="J255" s="1" t="n"/>
      <c r="K255" s="1" t="n"/>
      <c r="L255" s="6" t="n">
        <v>251.8715435</v>
      </c>
      <c r="M255" s="1" t="n"/>
      <c r="N255" s="1" t="n"/>
    </row>
    <row r="256">
      <c r="A256" s="1" t="inlineStr">
        <is>
          <t>22064321452237</t>
        </is>
      </c>
      <c r="B256" s="1" t="inlineStr">
        <is>
          <t>ANILLO LOVE SILVER-BLACK MICROZIRCONIAS</t>
        </is>
      </c>
      <c r="C256" s="1" t="n"/>
      <c r="D256" s="1" t="n"/>
      <c r="E256" s="1" t="n"/>
      <c r="F256" s="1" t="n"/>
      <c r="G256" s="1" t="n"/>
      <c r="H256" s="1" t="n"/>
      <c r="I256" s="6" t="n">
        <v>170.8343391</v>
      </c>
      <c r="J256" s="1" t="n"/>
      <c r="K256" s="1" t="n"/>
      <c r="L256" s="1" t="n"/>
      <c r="M256" s="1" t="n"/>
      <c r="N256" s="1" t="n"/>
    </row>
    <row r="257">
      <c r="A257" s="1" t="inlineStr">
        <is>
          <t>22064321560717</t>
        </is>
      </c>
      <c r="B257" s="1" t="inlineStr">
        <is>
          <t>PULSERA LOVE-LOVE GOLD ZIRCONIAS</t>
        </is>
      </c>
      <c r="C257" s="1" t="n"/>
      <c r="D257" s="1" t="n"/>
      <c r="E257" s="1" t="n"/>
      <c r="F257" s="1" t="n"/>
      <c r="G257" s="1" t="n"/>
      <c r="H257" s="1" t="n"/>
      <c r="I257" s="6" t="n">
        <v>106.7714619</v>
      </c>
      <c r="J257" s="1" t="n"/>
      <c r="K257" s="1" t="n"/>
      <c r="L257" s="1" t="n"/>
      <c r="M257" s="6" t="n">
        <v>105.0730323</v>
      </c>
      <c r="N257" s="1" t="n"/>
    </row>
    <row r="258">
      <c r="A258" s="1" t="inlineStr">
        <is>
          <t>22064321629645</t>
        </is>
      </c>
      <c r="B258" s="1" t="inlineStr">
        <is>
          <t>ANILLO DOBLE PANTHERE GOLD</t>
        </is>
      </c>
      <c r="C258" s="1" t="n"/>
      <c r="D258" s="1" t="n"/>
      <c r="E258" s="1" t="n"/>
      <c r="F258" s="1" t="n"/>
      <c r="G258" s="1" t="n"/>
      <c r="H258" s="1" t="n"/>
      <c r="I258" s="6" t="n">
        <v>192.1886315</v>
      </c>
      <c r="J258" s="1" t="n"/>
      <c r="K258" s="1" t="n"/>
      <c r="L258" s="1" t="n"/>
      <c r="M258" s="6" t="n">
        <v>189.1314581</v>
      </c>
      <c r="N258" s="1" t="n"/>
    </row>
    <row r="259">
      <c r="A259" s="1" t="inlineStr">
        <is>
          <t>22064321762413</t>
        </is>
      </c>
      <c r="B259" s="1" t="inlineStr">
        <is>
          <t>ANILLO DOBLE PANTHERE GOLD</t>
        </is>
      </c>
      <c r="C259" s="1" t="n"/>
      <c r="D259" s="1" t="n"/>
      <c r="E259" s="1" t="n"/>
      <c r="F259" s="1" t="n"/>
      <c r="G259" s="1" t="n"/>
      <c r="H259" s="1" t="n"/>
      <c r="I259" s="6" t="n">
        <v>192.1886315</v>
      </c>
      <c r="J259" s="1" t="n"/>
      <c r="K259" s="1" t="n"/>
      <c r="L259" s="1" t="n"/>
      <c r="M259" s="6" t="n">
        <v>189.1314581</v>
      </c>
      <c r="N259" s="1" t="n"/>
    </row>
    <row r="260">
      <c r="A260" s="1" t="inlineStr">
        <is>
          <t>22064321801965</t>
        </is>
      </c>
      <c r="B260" s="1" t="inlineStr">
        <is>
          <t>ANILLO TRINITY</t>
        </is>
      </c>
      <c r="C260" s="1" t="n"/>
      <c r="D260" s="1" t="n"/>
      <c r="E260" s="1" t="n"/>
      <c r="F260" s="1" t="n"/>
      <c r="G260" s="1" t="n"/>
      <c r="H260" s="1" t="n"/>
      <c r="I260" s="6" t="n">
        <v>170.8343391</v>
      </c>
      <c r="J260" s="1" t="n"/>
      <c r="K260" s="1" t="n"/>
      <c r="L260" s="1" t="n"/>
      <c r="M260" s="1" t="n"/>
      <c r="N260" s="1" t="n"/>
    </row>
    <row r="261">
      <c r="A261" s="1" t="inlineStr">
        <is>
          <t>22064321934733</t>
        </is>
      </c>
      <c r="B261" s="1" t="inlineStr">
        <is>
          <t>ANILLO TRINITY</t>
        </is>
      </c>
      <c r="C261" s="1" t="n"/>
      <c r="D261" s="1" t="n"/>
      <c r="E261" s="1" t="n"/>
      <c r="F261" s="1" t="n"/>
      <c r="G261" s="1" t="n"/>
      <c r="H261" s="1" t="n"/>
      <c r="I261" s="6" t="n">
        <v>170.8343391</v>
      </c>
      <c r="J261" s="1" t="n"/>
      <c r="K261" s="1" t="n"/>
      <c r="L261" s="1" t="n"/>
      <c r="M261" s="6" t="n">
        <v>168.1168517</v>
      </c>
      <c r="N261" s="1" t="n"/>
    </row>
    <row r="262">
      <c r="A262" s="1" t="inlineStr">
        <is>
          <t>22064322048301</t>
        </is>
      </c>
      <c r="B262" s="1" t="inlineStr">
        <is>
          <t>ANILLO CLASH DOBLE ROSE GOLD</t>
        </is>
      </c>
      <c r="C262" s="1" t="n"/>
      <c r="D262" s="1" t="n"/>
      <c r="E262" s="1" t="n"/>
      <c r="F262" s="1" t="n"/>
      <c r="G262" s="1" t="n"/>
      <c r="H262" s="1" t="n"/>
      <c r="I262" s="6" t="n">
        <v>213.5429239</v>
      </c>
      <c r="J262" s="1" t="n"/>
      <c r="K262" s="1" t="n"/>
      <c r="L262" s="1" t="n"/>
      <c r="M262" s="1" t="n"/>
      <c r="N262" s="1" t="n"/>
    </row>
    <row r="263">
      <c r="A263" s="1" t="inlineStr">
        <is>
          <t>22064322181069</t>
        </is>
      </c>
      <c r="B263" s="1" t="inlineStr">
        <is>
          <t>ANILLO CLASH DOBLE ROSE GOLD</t>
        </is>
      </c>
      <c r="C263" s="1" t="n"/>
      <c r="D263" s="1" t="n"/>
      <c r="E263" s="1" t="n"/>
      <c r="F263" s="1" t="n"/>
      <c r="G263" s="1" t="n"/>
      <c r="H263" s="1" t="n"/>
      <c r="I263" s="6" t="n">
        <v>213.5429239</v>
      </c>
      <c r="J263" s="1" t="n"/>
      <c r="K263" s="1" t="n"/>
      <c r="L263" s="1" t="n"/>
      <c r="M263" s="1" t="n"/>
      <c r="N263" s="1" t="n"/>
    </row>
    <row r="264">
      <c r="A264" s="1" t="inlineStr">
        <is>
          <t>22064322217229</t>
        </is>
      </c>
      <c r="B264" s="1" t="inlineStr">
        <is>
          <t>LENTES F LOGO</t>
        </is>
      </c>
      <c r="C264" s="1" t="n"/>
      <c r="D264" s="1" t="n"/>
      <c r="E264" s="1" t="n"/>
      <c r="F264" s="1" t="n"/>
      <c r="G264" s="1" t="n"/>
      <c r="H264" s="1" t="n"/>
      <c r="I264" s="6" t="n">
        <v>640.6287716000001</v>
      </c>
      <c r="J264" s="1" t="n"/>
      <c r="K264" s="1" t="n"/>
      <c r="L264" s="1" t="n"/>
      <c r="M264" s="6" t="n">
        <v>630.4381938</v>
      </c>
      <c r="N264" s="1" t="n"/>
    </row>
    <row r="265">
      <c r="A265" s="1" t="inlineStr">
        <is>
          <t>22064322363565</t>
        </is>
      </c>
      <c r="B265" s="1" t="inlineStr">
        <is>
          <t>LENTES LV SQUARE</t>
        </is>
      </c>
      <c r="C265" s="1" t="n"/>
      <c r="D265" s="1" t="n"/>
      <c r="E265" s="1" t="n"/>
      <c r="F265" s="1" t="n"/>
      <c r="G265" s="1" t="n"/>
      <c r="H265" s="1" t="n"/>
      <c r="I265" s="6" t="n">
        <v>1238.548958</v>
      </c>
      <c r="J265" s="1" t="n"/>
      <c r="K265" s="1" t="n"/>
      <c r="L265" s="6" t="n">
        <v>1217.379127</v>
      </c>
      <c r="M265" s="1" t="n"/>
      <c r="N265" s="1" t="n"/>
    </row>
    <row r="266">
      <c r="A266" s="1" t="inlineStr">
        <is>
          <t>22064322466957</t>
        </is>
      </c>
      <c r="B266" s="1" t="inlineStr">
        <is>
          <t>LENTES MM RUNWAY</t>
        </is>
      </c>
      <c r="C266" s="1" t="n"/>
      <c r="D266" s="1" t="n"/>
      <c r="E266" s="1" t="n"/>
      <c r="F266" s="1" t="n"/>
      <c r="G266" s="1" t="n"/>
      <c r="H266" s="1" t="n"/>
      <c r="I266" s="6" t="n">
        <v>747.4002335</v>
      </c>
      <c r="J266" s="1" t="n"/>
      <c r="K266" s="1" t="n"/>
      <c r="L266" s="1" t="n"/>
      <c r="M266" s="6" t="n">
        <v>735.5112261</v>
      </c>
      <c r="N266" s="1" t="n"/>
    </row>
    <row r="267">
      <c r="A267" s="1" t="inlineStr">
        <is>
          <t>22064322578829</t>
        </is>
      </c>
      <c r="B267" s="1" t="inlineStr">
        <is>
          <t>ARETES BV B.ZERO ROSE GOLD</t>
        </is>
      </c>
      <c r="C267" s="1" t="n"/>
      <c r="D267" s="1" t="n"/>
      <c r="E267" s="1" t="n"/>
      <c r="F267" s="1" t="n"/>
      <c r="G267" s="1" t="n"/>
      <c r="H267" s="1" t="n"/>
      <c r="I267" s="6" t="n">
        <v>213.5429239</v>
      </c>
      <c r="J267" s="1" t="n"/>
      <c r="K267" s="1" t="n"/>
      <c r="L267" s="1" t="n"/>
      <c r="M267" s="1" t="n"/>
      <c r="N267" s="1" t="n"/>
    </row>
    <row r="268">
      <c r="A268" s="1" t="inlineStr">
        <is>
          <t>22064322680525</t>
        </is>
      </c>
      <c r="B268" s="1" t="inlineStr">
        <is>
          <t>ANILLO BV ROSE GOLD PEARL</t>
        </is>
      </c>
      <c r="C268" s="1" t="n"/>
      <c r="D268" s="1" t="n"/>
      <c r="E268" s="1" t="n"/>
      <c r="F268" s="1" t="n"/>
      <c r="G268" s="1" t="n"/>
      <c r="H268" s="1" t="n"/>
      <c r="I268" s="6" t="n">
        <v>170.8343391</v>
      </c>
      <c r="J268" s="1" t="n"/>
      <c r="K268" s="1" t="n"/>
      <c r="L268" s="1" t="n"/>
      <c r="M268" s="1" t="n"/>
      <c r="N268" s="1" t="n"/>
    </row>
    <row r="269">
      <c r="A269" s="1" t="inlineStr">
        <is>
          <t>22064322713293</t>
        </is>
      </c>
      <c r="B269" s="1" t="inlineStr">
        <is>
          <t>ANILLO BV ROSE GOLD PEARL</t>
        </is>
      </c>
      <c r="C269" s="1" t="n"/>
      <c r="D269" s="1" t="n"/>
      <c r="E269" s="1" t="n"/>
      <c r="F269" s="1" t="n"/>
      <c r="G269" s="1" t="n"/>
      <c r="H269" s="1" t="n"/>
      <c r="I269" s="6" t="n">
        <v>170.8343391</v>
      </c>
      <c r="J269" s="1" t="n"/>
      <c r="K269" s="1" t="n"/>
      <c r="L269" s="6" t="n">
        <v>167.9143624</v>
      </c>
      <c r="M269" s="1" t="n"/>
      <c r="N269" s="1" t="n"/>
    </row>
    <row r="270">
      <c r="A270" s="1" t="inlineStr">
        <is>
          <t>22064322816685</t>
        </is>
      </c>
      <c r="B270" s="1" t="inlineStr">
        <is>
          <t>ANILLO SERPENTI VIPER ROSE GOLD GREEN</t>
        </is>
      </c>
      <c r="C270" s="1" t="n"/>
      <c r="D270" s="1" t="n"/>
      <c r="E270" s="1" t="n"/>
      <c r="F270" s="1" t="n"/>
      <c r="G270" s="1" t="n"/>
      <c r="H270" s="1" t="n"/>
      <c r="I270" s="6" t="n">
        <v>192.1886315</v>
      </c>
      <c r="J270" s="1" t="n"/>
      <c r="K270" s="1" t="n"/>
      <c r="L270" s="6" t="n">
        <v>190.9677804</v>
      </c>
      <c r="M270" s="1" t="n"/>
      <c r="N270" s="1" t="n"/>
    </row>
    <row r="271">
      <c r="A271" s="1" t="inlineStr">
        <is>
          <t>22064322949453</t>
        </is>
      </c>
      <c r="B271" s="1" t="inlineStr">
        <is>
          <t>ANILLO SERPENTI VIPER ROSE GOLD GREEN</t>
        </is>
      </c>
      <c r="C271" s="1" t="n"/>
      <c r="D271" s="1" t="n"/>
      <c r="E271" s="1" t="n"/>
      <c r="F271" s="1" t="n"/>
      <c r="G271" s="1" t="n"/>
      <c r="H271" s="1" t="n"/>
      <c r="I271" s="6" t="n">
        <v>192.1886315</v>
      </c>
      <c r="J271" s="1" t="n"/>
      <c r="K271" s="1" t="n"/>
      <c r="L271" s="1" t="n"/>
      <c r="M271" s="6" t="n">
        <v>189.1314581</v>
      </c>
      <c r="N271" s="1" t="n"/>
    </row>
    <row r="272">
      <c r="A272" s="1" t="inlineStr">
        <is>
          <t>22064323054541</t>
        </is>
      </c>
      <c r="B272" s="1" t="inlineStr">
        <is>
          <t>ANILLO SERPENTI VIPER ROSE GOLD WHITE</t>
        </is>
      </c>
      <c r="C272" s="1" t="n"/>
      <c r="D272" s="1" t="n"/>
      <c r="E272" s="1" t="n"/>
      <c r="F272" s="1" t="n"/>
      <c r="G272" s="1" t="n"/>
      <c r="H272" s="1" t="n"/>
      <c r="I272" s="6" t="n">
        <v>192.1886315</v>
      </c>
      <c r="J272" s="1" t="n"/>
      <c r="K272" s="1" t="n"/>
      <c r="L272" s="1" t="n"/>
      <c r="M272" s="1" t="n"/>
      <c r="N272" s="1" t="n"/>
    </row>
    <row r="273">
      <c r="A273" s="1" t="inlineStr">
        <is>
          <t>22064323187309</t>
        </is>
      </c>
      <c r="B273" s="1" t="inlineStr">
        <is>
          <t>ANILLO SERPENTI VIPER ROSE GOLD WHITE</t>
        </is>
      </c>
      <c r="C273" s="1" t="n"/>
      <c r="D273" s="1" t="n"/>
      <c r="E273" s="1" t="n"/>
      <c r="F273" s="1" t="n"/>
      <c r="G273" s="1" t="n"/>
      <c r="H273" s="1" t="n"/>
      <c r="I273" s="6" t="n">
        <v>192.1886315</v>
      </c>
      <c r="J273" s="1" t="n"/>
      <c r="K273" s="1" t="n"/>
      <c r="L273" s="1" t="n"/>
      <c r="M273" s="1" t="n"/>
      <c r="N273" s="1" t="n"/>
    </row>
    <row r="274">
      <c r="A274" s="1" t="inlineStr">
        <is>
          <t>22064323225165</t>
        </is>
      </c>
      <c r="B274" s="1" t="inlineStr">
        <is>
          <t>ANILLO DIVAS DREAM ROSE GOLD</t>
        </is>
      </c>
      <c r="C274" s="1" t="n"/>
      <c r="D274" s="1" t="n"/>
      <c r="E274" s="1" t="n"/>
      <c r="F274" s="1" t="n"/>
      <c r="G274" s="1" t="n"/>
      <c r="H274" s="1" t="n"/>
      <c r="I274" s="6" t="n">
        <v>128.1257543</v>
      </c>
      <c r="J274" s="1" t="n"/>
      <c r="K274" s="1" t="n"/>
      <c r="L274" s="1" t="n"/>
      <c r="M274" s="1" t="n"/>
      <c r="N274" s="1" t="n"/>
    </row>
    <row r="275">
      <c r="A275" s="1" t="inlineStr">
        <is>
          <t>22064323357933</t>
        </is>
      </c>
      <c r="B275" s="1" t="inlineStr">
        <is>
          <t>ANILLO DIVAS DREAM ROSE GOLD</t>
        </is>
      </c>
      <c r="C275" s="1" t="n"/>
      <c r="D275" s="1" t="n"/>
      <c r="E275" s="1" t="n"/>
      <c r="F275" s="1" t="n"/>
      <c r="G275" s="1" t="n"/>
      <c r="H275" s="1" t="n"/>
      <c r="I275" s="6" t="n">
        <v>128.1257543</v>
      </c>
      <c r="J275" s="1" t="n"/>
      <c r="K275" s="1" t="n"/>
      <c r="L275" s="1" t="n"/>
      <c r="M275" s="1" t="n"/>
      <c r="N275" s="1" t="n"/>
    </row>
    <row r="276">
      <c r="A276" s="1" t="inlineStr">
        <is>
          <t>22064323404269</t>
        </is>
      </c>
      <c r="B276" s="1" t="inlineStr">
        <is>
          <t>ANILLO FLOWER DOBLE SILVER</t>
        </is>
      </c>
      <c r="C276" s="1" t="n"/>
      <c r="D276" s="1" t="n"/>
      <c r="E276" s="1" t="n"/>
      <c r="F276" s="1" t="n"/>
      <c r="G276" s="1" t="n"/>
      <c r="H276" s="1" t="n"/>
      <c r="I276" s="6" t="n">
        <v>190.0532022</v>
      </c>
      <c r="J276" s="1" t="n"/>
      <c r="K276" s="1" t="n"/>
      <c r="L276" s="6" t="n">
        <v>186.8047281</v>
      </c>
      <c r="M276" s="1" t="n"/>
      <c r="N276" s="1" t="n"/>
    </row>
    <row r="277">
      <c r="A277" s="1" t="inlineStr">
        <is>
          <t>22064323571501</t>
        </is>
      </c>
      <c r="B277" s="1" t="inlineStr">
        <is>
          <t>ANILLO FLOWER DOBLE GOLD</t>
        </is>
      </c>
      <c r="C277" s="1" t="n"/>
      <c r="D277" s="1" t="n"/>
      <c r="E277" s="1" t="n"/>
      <c r="F277" s="1" t="n"/>
      <c r="G277" s="1" t="n"/>
      <c r="H277" s="1" t="n"/>
      <c r="I277" s="6" t="n">
        <v>190.0532022</v>
      </c>
      <c r="J277" s="1" t="n"/>
      <c r="K277" s="1" t="n"/>
      <c r="L277" s="1" t="n"/>
      <c r="M277" s="6" t="n">
        <v>187.0299975</v>
      </c>
      <c r="N277" s="1" t="n"/>
    </row>
    <row r="278">
      <c r="A278" s="1" t="inlineStr">
        <is>
          <t>22064323607661</t>
        </is>
      </c>
      <c r="B278" s="1" t="inlineStr">
        <is>
          <t>ANILLO MARIPOSA DOBLE SILVER</t>
        </is>
      </c>
      <c r="C278" s="1" t="n"/>
      <c r="D278" s="1" t="n"/>
      <c r="E278" s="1" t="n"/>
      <c r="F278" s="1" t="n"/>
      <c r="G278" s="1" t="n"/>
      <c r="H278" s="1" t="n"/>
      <c r="I278" s="6" t="n">
        <v>190.0532022</v>
      </c>
      <c r="J278" s="1" t="n"/>
      <c r="K278" s="1" t="n"/>
      <c r="L278" s="6" t="n">
        <v>186.8047281</v>
      </c>
      <c r="M278" s="6" t="n">
        <v>187.0299975</v>
      </c>
      <c r="N278" s="1" t="n"/>
    </row>
    <row r="279">
      <c r="A279" s="1" t="inlineStr">
        <is>
          <t>22064323778285</t>
        </is>
      </c>
      <c r="B279" s="1" t="inlineStr">
        <is>
          <t>ANILLO FLOWER HALF ZIRCONIAS GOLD</t>
        </is>
      </c>
      <c r="C279" s="1" t="n"/>
      <c r="D279" s="1" t="n"/>
      <c r="E279" s="1" t="n"/>
      <c r="F279" s="1" t="n"/>
      <c r="G279" s="1" t="n"/>
      <c r="H279" s="1" t="n"/>
      <c r="I279" s="6" t="n">
        <v>190.0532022</v>
      </c>
      <c r="J279" s="1" t="n"/>
      <c r="K279" s="1" t="n"/>
      <c r="L279" s="6" t="n">
        <v>186.8047281</v>
      </c>
      <c r="M279" s="1" t="n"/>
      <c r="N279" s="1" t="n"/>
    </row>
    <row r="280">
      <c r="A280" s="1" t="inlineStr">
        <is>
          <t>22064323845517</t>
        </is>
      </c>
      <c r="B280" s="1" t="inlineStr">
        <is>
          <t>ANILLO MARIQUITA ROSE GOLD</t>
        </is>
      </c>
      <c r="C280" s="1" t="n"/>
      <c r="D280" s="1" t="n"/>
      <c r="E280" s="1" t="n"/>
      <c r="F280" s="1" t="n"/>
      <c r="G280" s="1" t="n"/>
      <c r="H280" s="1" t="n"/>
      <c r="I280" s="6" t="n">
        <v>190.0532022</v>
      </c>
      <c r="J280" s="1" t="n"/>
      <c r="K280" s="1" t="n"/>
      <c r="L280" s="6" t="n">
        <v>187.82532215</v>
      </c>
      <c r="M280" s="1" t="n"/>
      <c r="N280" s="1" t="n"/>
    </row>
    <row r="281">
      <c r="A281" s="1" t="inlineStr">
        <is>
          <t>22064323912749</t>
        </is>
      </c>
      <c r="B281" s="1" t="inlineStr">
        <is>
          <t>PULSERA HEART ROSE GOLD</t>
        </is>
      </c>
      <c r="C281" s="1" t="n"/>
      <c r="D281" s="1" t="n"/>
      <c r="E281" s="1" t="n"/>
      <c r="F281" s="1" t="n"/>
      <c r="G281" s="1" t="n"/>
      <c r="H281" s="1" t="n"/>
      <c r="I281" s="6" t="n">
        <v>85.41716955</v>
      </c>
      <c r="J281" s="1" t="n"/>
      <c r="K281" s="6" t="n">
        <v>84.12589436</v>
      </c>
      <c r="L281" s="1" t="n"/>
      <c r="M281" s="6" t="n">
        <v>84.05842584</v>
      </c>
      <c r="N281" s="1" t="n"/>
    </row>
    <row r="282">
      <c r="A282" s="1" t="inlineStr">
        <is>
          <t>22064324048909</t>
        </is>
      </c>
      <c r="B282" s="1" t="inlineStr">
        <is>
          <t>COLLAR MARIPOSA ROSE GOLD WHITE</t>
        </is>
      </c>
      <c r="C282" s="1" t="n"/>
      <c r="D282" s="1" t="n"/>
      <c r="E282" s="1" t="n"/>
      <c r="F282" s="1" t="n"/>
      <c r="G282" s="1" t="n"/>
      <c r="H282" s="1" t="n"/>
      <c r="I282" s="6" t="n">
        <v>128.1257543</v>
      </c>
      <c r="J282" s="1" t="n"/>
      <c r="K282" s="1" t="n"/>
      <c r="L282" s="6" t="n">
        <v>125.9357718</v>
      </c>
      <c r="M282" s="1" t="n"/>
      <c r="N282" s="1" t="n"/>
    </row>
    <row r="283">
      <c r="A283" s="1" t="inlineStr">
        <is>
          <t>22064324185069</t>
        </is>
      </c>
      <c r="B283" s="1" t="inlineStr">
        <is>
          <t>COLLAR MARIPOSA SILVER ZIRCONIAS</t>
        </is>
      </c>
      <c r="C283" s="1" t="n"/>
      <c r="D283" s="1" t="n"/>
      <c r="E283" s="1" t="n"/>
      <c r="F283" s="1" t="n"/>
      <c r="G283" s="1" t="n"/>
      <c r="H283" s="1" t="n"/>
      <c r="I283" s="6" t="n">
        <v>128.1257543</v>
      </c>
      <c r="J283" s="1" t="n"/>
      <c r="K283" s="1" t="n"/>
      <c r="L283" s="1" t="n"/>
      <c r="M283" s="1" t="n"/>
      <c r="N283" s="1" t="n"/>
    </row>
    <row r="284">
      <c r="A284" s="1" t="inlineStr">
        <is>
          <t>22064324293549</t>
        </is>
      </c>
      <c r="B284" s="1" t="inlineStr">
        <is>
          <t>COLLAR MARIPOSA TURQUESA GOLD</t>
        </is>
      </c>
      <c r="C284" s="1" t="n"/>
      <c r="D284" s="1" t="n"/>
      <c r="E284" s="1" t="n"/>
      <c r="F284" s="1" t="n"/>
      <c r="G284" s="1" t="n"/>
      <c r="H284" s="1" t="n"/>
      <c r="I284" s="6" t="n">
        <v>128.1257543</v>
      </c>
      <c r="J284" s="1" t="n"/>
      <c r="K284" s="1" t="n"/>
      <c r="L284" s="6" t="n">
        <v>125.9357718</v>
      </c>
      <c r="M284" s="1" t="n"/>
      <c r="N284" s="1" t="n"/>
    </row>
    <row r="285">
      <c r="A285" s="1" t="inlineStr">
        <is>
          <t>22064324357101</t>
        </is>
      </c>
      <c r="B285" s="1" t="inlineStr">
        <is>
          <t>PULSERA T SILVER PADLOCK</t>
        </is>
      </c>
      <c r="C285" s="1" t="n"/>
      <c r="D285" s="1" t="n"/>
      <c r="E285" s="1" t="n"/>
      <c r="F285" s="1" t="n"/>
      <c r="G285" s="1" t="n"/>
      <c r="H285" s="1" t="n"/>
      <c r="I285" s="6" t="n">
        <v>128.1257543</v>
      </c>
      <c r="J285" s="1" t="n"/>
      <c r="K285" s="1" t="n"/>
      <c r="L285" s="6" t="n">
        <v>125.9357718</v>
      </c>
      <c r="M285" s="1" t="n"/>
      <c r="N285" s="1" t="n"/>
    </row>
    <row r="286">
      <c r="A286" s="1" t="inlineStr">
        <is>
          <t>22154981086081</t>
        </is>
      </c>
      <c r="B286" s="1" t="inlineStr">
        <is>
          <t>COLLAR DOBLE PLACA - GOLD PINK</t>
        </is>
      </c>
      <c r="C286" s="1" t="n"/>
      <c r="D286" s="6" t="n">
        <v>226.0606014</v>
      </c>
      <c r="E286" s="1" t="n"/>
      <c r="F286" s="1" t="n"/>
      <c r="G286" s="1" t="n"/>
      <c r="H286" s="6" t="n">
        <v>234.2843943</v>
      </c>
      <c r="I286" s="1" t="n"/>
      <c r="J286" s="1" t="n"/>
      <c r="K286" s="1" t="n"/>
      <c r="L286" s="1" t="n"/>
      <c r="M286" s="1" t="n"/>
      <c r="N286" s="1" t="n"/>
    </row>
    <row r="287">
      <c r="A287" s="1" t="inlineStr">
        <is>
          <t>22214572663341</t>
        </is>
      </c>
      <c r="B287" s="1" t="inlineStr">
        <is>
          <t>ANILLO SIXTEEN STONE SILVER</t>
        </is>
      </c>
      <c r="C287" s="1" t="n"/>
      <c r="D287" s="1" t="n"/>
      <c r="E287" s="1" t="n"/>
      <c r="F287" s="1" t="n"/>
      <c r="G287" s="1" t="n"/>
      <c r="H287" s="1" t="n"/>
      <c r="I287" s="1" t="n"/>
      <c r="J287" s="6" t="n">
        <v>127.8233773</v>
      </c>
      <c r="K287" s="1" t="n"/>
      <c r="L287" s="1" t="n"/>
      <c r="M287" s="1" t="n"/>
      <c r="N287" s="1" t="n"/>
    </row>
    <row r="288">
      <c r="A288" s="1" t="inlineStr">
        <is>
          <t>22351461089709</t>
        </is>
      </c>
      <c r="B288" s="1" t="inlineStr">
        <is>
          <t>PULSERA BV ROSEGOLD WHITE CON ZIRCONIA</t>
        </is>
      </c>
      <c r="C288" s="1" t="n"/>
      <c r="D288" s="6" t="n">
        <v>168.7750861</v>
      </c>
      <c r="E288" s="1" t="n"/>
      <c r="F288" s="1" t="n"/>
      <c r="G288" s="1" t="n"/>
      <c r="H288" s="1" t="n"/>
      <c r="I288" s="1" t="n"/>
      <c r="J288" s="1" t="n"/>
      <c r="K288" s="1" t="n"/>
      <c r="L288" s="6" t="n">
        <v>167.9143624</v>
      </c>
      <c r="M288" s="1" t="n"/>
      <c r="N288" s="1" t="n"/>
    </row>
    <row r="289">
      <c r="A289" s="1" t="inlineStr">
        <is>
          <t>22649971041005</t>
        </is>
      </c>
      <c r="B289" s="1" t="inlineStr">
        <is>
          <t>CADENA H SILVER</t>
        </is>
      </c>
      <c r="C289" s="1" t="n"/>
      <c r="D289" s="6" t="n">
        <v>274.0485461</v>
      </c>
      <c r="E289" s="1" t="n"/>
      <c r="F289" s="1" t="n"/>
      <c r="G289" s="1" t="n"/>
      <c r="H289" s="1" t="n"/>
      <c r="I289" s="1" t="n"/>
      <c r="J289" s="1" t="n"/>
      <c r="K289" s="1" t="n"/>
      <c r="L289" s="6" t="n">
        <v>272.6509459</v>
      </c>
      <c r="M289" s="1" t="n"/>
      <c r="N289" s="1" t="n"/>
    </row>
    <row r="290">
      <c r="A290" s="1" t="inlineStr">
        <is>
          <t>22731921054541</t>
        </is>
      </c>
      <c r="B290" s="1" t="inlineStr">
        <is>
          <t>PULSERA BV ROSEGOLD BLACK CON ZIRCONIA</t>
        </is>
      </c>
      <c r="C290" s="1" t="n"/>
      <c r="D290" s="6" t="n">
        <v>168.7750861</v>
      </c>
      <c r="E290" s="1" t="n"/>
      <c r="F290" s="1" t="n"/>
      <c r="G290" s="1" t="n"/>
      <c r="H290" s="6" t="n">
        <v>169.6033423</v>
      </c>
      <c r="I290" s="1" t="n"/>
      <c r="J290" s="1" t="n"/>
      <c r="K290" s="1" t="n"/>
      <c r="L290" s="6" t="n">
        <v>167.9143624</v>
      </c>
      <c r="M290" s="1" t="n"/>
      <c r="N290" s="1" t="n"/>
    </row>
    <row r="291">
      <c r="A291" s="1" t="inlineStr">
        <is>
          <t>22974391090893</t>
        </is>
      </c>
      <c r="B291" s="1" t="inlineStr">
        <is>
          <t>COLLAR LV LADY GOLD</t>
        </is>
      </c>
      <c r="C291" s="1" t="n"/>
      <c r="D291" s="1" t="n"/>
      <c r="E291" s="1" t="n"/>
      <c r="F291" s="1" t="n"/>
      <c r="G291" s="1" t="n"/>
      <c r="H291" s="1" t="n"/>
      <c r="I291" s="1" t="n"/>
      <c r="J291" s="1" t="n"/>
      <c r="K291" s="6" t="n">
        <v>239.1656907</v>
      </c>
      <c r="L291" s="1" t="n"/>
      <c r="M291" s="1" t="n"/>
      <c r="N291" s="6" t="n">
        <v>233.6648888</v>
      </c>
    </row>
    <row r="292">
      <c r="A292" s="1" t="inlineStr">
        <is>
          <t>22974391120269</t>
        </is>
      </c>
      <c r="B292" s="1" t="inlineStr">
        <is>
          <t>COLLAR LV GO-SOO GOLD</t>
        </is>
      </c>
      <c r="C292" s="1" t="n"/>
      <c r="D292" s="1" t="n"/>
      <c r="E292" s="1" t="n"/>
      <c r="F292" s="1" t="n"/>
      <c r="G292" s="1" t="n"/>
      <c r="H292" s="1" t="n"/>
      <c r="I292" s="1" t="n"/>
      <c r="J292" s="1" t="n"/>
      <c r="K292" s="6" t="n">
        <v>133.8274486</v>
      </c>
      <c r="L292" s="1" t="n"/>
      <c r="M292" s="1" t="n"/>
      <c r="N292" s="1" t="n"/>
    </row>
    <row r="293">
      <c r="A293" s="1" t="inlineStr">
        <is>
          <t>22974391279021</t>
        </is>
      </c>
      <c r="B293" s="1" t="inlineStr">
        <is>
          <t>COLLAR LV ICONIC LOUISA SILVER</t>
        </is>
      </c>
      <c r="C293" s="1" t="n"/>
      <c r="D293" s="1" t="n"/>
      <c r="E293" s="1" t="n"/>
      <c r="F293" s="1" t="n"/>
      <c r="G293" s="1" t="n"/>
      <c r="H293" s="1" t="n"/>
      <c r="I293" s="1" t="n"/>
      <c r="J293" s="1" t="n"/>
      <c r="K293" s="6" t="n">
        <v>191.2846715</v>
      </c>
      <c r="L293" s="1" t="n"/>
      <c r="M293" s="1" t="n"/>
      <c r="N293" s="1" t="n"/>
    </row>
    <row r="294">
      <c r="A294" s="1" t="inlineStr">
        <is>
          <t>22974391301613</t>
        </is>
      </c>
      <c r="B294" s="1" t="inlineStr">
        <is>
          <t>PULSERA LV ICONIC LOUISA SILVER</t>
        </is>
      </c>
      <c r="C294" s="1" t="n"/>
      <c r="D294" s="1" t="n"/>
      <c r="E294" s="1" t="n"/>
      <c r="F294" s="1" t="n"/>
      <c r="G294" s="1" t="n"/>
      <c r="H294" s="1" t="n"/>
      <c r="I294" s="1" t="n"/>
      <c r="J294" s="1" t="n"/>
      <c r="K294" s="6" t="n">
        <v>181.7084677</v>
      </c>
      <c r="L294" s="1" t="n"/>
      <c r="M294" s="1" t="n"/>
      <c r="N294" s="1" t="n"/>
    </row>
    <row r="295">
      <c r="A295" s="1" t="inlineStr">
        <is>
          <t>22974391456973</t>
        </is>
      </c>
      <c r="B295" s="1" t="inlineStr">
        <is>
          <t>BRAZALETE LV EMPREINTE SILVER</t>
        </is>
      </c>
      <c r="C295" s="1" t="n"/>
      <c r="D295" s="1" t="n"/>
      <c r="E295" s="1" t="n"/>
      <c r="F295" s="1" t="n"/>
      <c r="G295" s="1" t="n"/>
      <c r="H295" s="1" t="n"/>
      <c r="I295" s="1" t="n"/>
      <c r="J295" s="1" t="n"/>
      <c r="K295" s="6" t="n">
        <v>143.4036524</v>
      </c>
      <c r="L295" s="1" t="n"/>
      <c r="M295" s="1" t="n"/>
      <c r="N295" s="6" t="n">
        <v>209.2994156</v>
      </c>
    </row>
    <row r="296">
      <c r="A296" s="1" t="inlineStr">
        <is>
          <t>22974391600461</t>
        </is>
      </c>
      <c r="B296" s="1" t="inlineStr">
        <is>
          <t>ARETES LV LADY GOLD</t>
        </is>
      </c>
      <c r="C296" s="1" t="n"/>
      <c r="D296" s="1" t="n"/>
      <c r="E296" s="1" t="n"/>
      <c r="F296" s="1" t="n"/>
      <c r="G296" s="1" t="n"/>
      <c r="H296" s="1" t="n"/>
      <c r="I296" s="1" t="n"/>
      <c r="J296" s="1" t="n"/>
      <c r="K296" s="6" t="n">
        <v>164.950111</v>
      </c>
      <c r="L296" s="1" t="n"/>
      <c r="M296" s="1" t="n"/>
      <c r="N296" s="1" t="n"/>
    </row>
    <row r="297">
      <c r="A297" s="1" t="inlineStr">
        <is>
          <t>22974391930381</t>
        </is>
      </c>
      <c r="B297" s="1" t="inlineStr">
        <is>
          <t>COLLAR CC CAMELIA ROSE GOLD</t>
        </is>
      </c>
      <c r="C297" s="1" t="n"/>
      <c r="D297" s="1" t="n"/>
      <c r="E297" s="1" t="n"/>
      <c r="F297" s="1" t="n"/>
      <c r="G297" s="1" t="n"/>
      <c r="H297" s="1" t="n"/>
      <c r="I297" s="1" t="n"/>
      <c r="J297" s="1" t="n"/>
      <c r="K297" s="6" t="n">
        <v>203.2549263</v>
      </c>
      <c r="L297" s="1" t="n"/>
      <c r="M297" s="1" t="n"/>
      <c r="N297" s="1" t="n"/>
    </row>
    <row r="298">
      <c r="A298" s="1" t="inlineStr">
        <is>
          <t>22974392089133</t>
        </is>
      </c>
      <c r="B298" s="1" t="inlineStr">
        <is>
          <t>PULSERA CC COMETE GEODE SILVER</t>
        </is>
      </c>
      <c r="C298" s="1" t="n"/>
      <c r="D298" s="1" t="n"/>
      <c r="E298" s="1" t="n"/>
      <c r="F298" s="1" t="n"/>
      <c r="G298" s="1" t="n"/>
      <c r="H298" s="1" t="n"/>
      <c r="I298" s="1" t="n"/>
      <c r="J298" s="1" t="n"/>
      <c r="K298" s="6" t="n">
        <v>150.5858053</v>
      </c>
      <c r="L298" s="1" t="n"/>
      <c r="M298" s="1" t="n"/>
      <c r="N298" s="6" t="n">
        <v>153.258827</v>
      </c>
    </row>
    <row r="299">
      <c r="A299" s="1" t="inlineStr">
        <is>
          <t>22974392136013</t>
        </is>
      </c>
      <c r="B299" s="1" t="inlineStr">
        <is>
          <t>BRAZALETE CC WHITE LOGOS</t>
        </is>
      </c>
      <c r="C299" s="1" t="n"/>
      <c r="D299" s="1" t="n"/>
      <c r="E299" s="1" t="n"/>
      <c r="F299" s="1" t="n"/>
      <c r="G299" s="1" t="n"/>
      <c r="H299" s="1" t="n"/>
      <c r="I299" s="1" t="n"/>
      <c r="J299" s="1" t="n"/>
      <c r="K299" s="6" t="n">
        <v>174.5263148</v>
      </c>
      <c r="L299" s="1" t="n"/>
      <c r="M299" s="1" t="n"/>
      <c r="N299" s="6" t="n">
        <v>170.3146583</v>
      </c>
    </row>
    <row r="300">
      <c r="A300" s="1" t="inlineStr">
        <is>
          <t>22974392232621</t>
        </is>
      </c>
      <c r="B300" s="1" t="inlineStr">
        <is>
          <t>ARETES CC RESIN PEARL SILVER</t>
        </is>
      </c>
      <c r="C300" s="1" t="n"/>
      <c r="D300" s="1" t="n"/>
      <c r="E300" s="1" t="n"/>
      <c r="F300" s="1" t="n"/>
      <c r="G300" s="1" t="n"/>
      <c r="H300" s="1" t="n"/>
      <c r="I300" s="1" t="n"/>
      <c r="J300" s="1" t="n"/>
      <c r="K300" s="6" t="n">
        <v>71.58212365</v>
      </c>
      <c r="L300" s="1" t="n"/>
      <c r="M300" s="1" t="n"/>
      <c r="N300" s="1" t="n"/>
    </row>
    <row r="301">
      <c r="A301" s="1" t="inlineStr">
        <is>
          <t>22974392394765</t>
        </is>
      </c>
      <c r="B301" s="1" t="inlineStr">
        <is>
          <t>BRAZALETE GG HORSEBIT GOLD</t>
        </is>
      </c>
      <c r="C301" s="1" t="n"/>
      <c r="D301" s="1" t="n"/>
      <c r="E301" s="1" t="n"/>
      <c r="F301" s="1" t="n"/>
      <c r="G301" s="1" t="n"/>
      <c r="H301" s="1" t="n"/>
      <c r="I301" s="1" t="n"/>
      <c r="J301" s="1" t="n"/>
      <c r="K301" s="6" t="n">
        <v>133.8274486</v>
      </c>
      <c r="L301" s="1" t="n"/>
      <c r="M301" s="1" t="n"/>
      <c r="N301" s="1" t="n"/>
    </row>
    <row r="302">
      <c r="A302" s="1" t="inlineStr">
        <is>
          <t>22974392487981</t>
        </is>
      </c>
      <c r="B302" s="1" t="inlineStr">
        <is>
          <t>ARRACADAS GG BLONDIE GOLD</t>
        </is>
      </c>
      <c r="C302" s="1" t="n"/>
      <c r="D302" s="1" t="n"/>
      <c r="E302" s="1" t="n"/>
      <c r="F302" s="1" t="n"/>
      <c r="G302" s="1" t="n"/>
      <c r="H302" s="1" t="n"/>
      <c r="I302" s="1" t="n"/>
      <c r="J302" s="1" t="n"/>
      <c r="K302" s="6" t="n">
        <v>133.8274486</v>
      </c>
      <c r="L302" s="6" t="n">
        <v>145.3628624</v>
      </c>
      <c r="M302" s="1" t="n"/>
      <c r="N302" s="1" t="n"/>
    </row>
    <row r="303">
      <c r="A303" s="1" t="inlineStr">
        <is>
          <t>22974392517357</t>
        </is>
      </c>
      <c r="B303" s="1" t="inlineStr">
        <is>
          <t>GARGANTILLA CD BLACK</t>
        </is>
      </c>
      <c r="C303" s="1" t="n"/>
      <c r="D303" s="1" t="n"/>
      <c r="E303" s="1" t="n"/>
      <c r="F303" s="1" t="n"/>
      <c r="G303" s="1" t="n"/>
      <c r="H303" s="1" t="n"/>
      <c r="I303" s="1" t="n"/>
      <c r="J303" s="1" t="n"/>
      <c r="K303" s="6" t="n">
        <v>133.8274486</v>
      </c>
      <c r="L303" s="6" t="n">
        <v>135.6558265</v>
      </c>
      <c r="M303" s="1" t="n"/>
      <c r="N303" s="6" t="n">
        <v>136.2029957</v>
      </c>
    </row>
    <row r="304">
      <c r="A304" s="1" t="inlineStr">
        <is>
          <t>22974392600397</t>
        </is>
      </c>
      <c r="B304" s="1" t="inlineStr">
        <is>
          <t>BRAZALETE CD PETIT MULTI GOLD</t>
        </is>
      </c>
      <c r="C304" s="1" t="n"/>
      <c r="D304" s="1" t="n"/>
      <c r="E304" s="1" t="n"/>
      <c r="F304" s="1" t="n"/>
      <c r="G304" s="1" t="n"/>
      <c r="H304" s="1" t="n"/>
      <c r="I304" s="1" t="n"/>
      <c r="J304" s="1" t="n"/>
      <c r="K304" s="6" t="n">
        <v>186.4965696</v>
      </c>
      <c r="L304" s="1" t="n"/>
      <c r="M304" s="1" t="n"/>
      <c r="N304" s="6" t="n">
        <v>194.6801316</v>
      </c>
    </row>
    <row r="305">
      <c r="A305" s="1" t="inlineStr">
        <is>
          <t>22974392766477</t>
        </is>
      </c>
      <c r="B305" s="1" t="inlineStr">
        <is>
          <t>ARRACADAS CD NEW LOOK GOLD</t>
        </is>
      </c>
      <c r="C305" s="1" t="n"/>
      <c r="D305" s="1" t="n"/>
      <c r="E305" s="1" t="n"/>
      <c r="F305" s="1" t="n"/>
      <c r="G305" s="1" t="n"/>
      <c r="H305" s="1" t="n"/>
      <c r="I305" s="1" t="n"/>
      <c r="J305" s="1" t="n"/>
      <c r="K305" s="6" t="n">
        <v>150.5858053</v>
      </c>
      <c r="L305" s="1" t="n"/>
      <c r="M305" s="1" t="n"/>
      <c r="N305" s="1" t="n"/>
    </row>
    <row r="306">
      <c r="A306" s="1" t="inlineStr">
        <is>
          <t>22974393035949</t>
        </is>
      </c>
      <c r="B306" s="1" t="inlineStr">
        <is>
          <t>ARETES V MEDUSA GOLD</t>
        </is>
      </c>
      <c r="C306" s="1" t="n"/>
      <c r="D306" s="1" t="n"/>
      <c r="E306" s="1" t="n"/>
      <c r="F306" s="1" t="n"/>
      <c r="G306" s="1" t="n"/>
      <c r="H306" s="1" t="n"/>
      <c r="I306" s="1" t="n"/>
      <c r="J306" s="1" t="n"/>
      <c r="K306" s="6" t="n">
        <v>133.5880435</v>
      </c>
      <c r="L306" s="6" t="n">
        <v>135.4131506</v>
      </c>
      <c r="M306" s="1" t="n"/>
      <c r="N306" s="1" t="n"/>
    </row>
    <row r="307">
      <c r="A307" s="1" t="inlineStr">
        <is>
          <t>22974393134797</t>
        </is>
      </c>
      <c r="B307" s="1" t="inlineStr">
        <is>
          <t>BRAZALETE V B.ZERO1 ROSE GOLD</t>
        </is>
      </c>
      <c r="C307" s="1" t="n"/>
      <c r="D307" s="1" t="n"/>
      <c r="E307" s="1" t="n"/>
      <c r="F307" s="1" t="n"/>
      <c r="G307" s="1" t="n"/>
      <c r="H307" s="1" t="n"/>
      <c r="I307" s="1" t="n"/>
      <c r="J307" s="1" t="n"/>
      <c r="K307" s="6" t="n">
        <v>143.4036524</v>
      </c>
      <c r="L307" s="1" t="n"/>
      <c r="M307" s="1" t="n"/>
      <c r="N307" s="1" t="n"/>
    </row>
    <row r="308">
      <c r="A308" s="1" t="inlineStr">
        <is>
          <t>22974393293549</t>
        </is>
      </c>
      <c r="B308" s="1" t="inlineStr">
        <is>
          <t>BRAZALETE V B.ZERO1 ALL GOLD</t>
        </is>
      </c>
      <c r="C308" s="1" t="n"/>
      <c r="D308" s="1" t="n"/>
      <c r="E308" s="1" t="n"/>
      <c r="F308" s="1" t="n"/>
      <c r="G308" s="1" t="n"/>
      <c r="H308" s="1" t="n"/>
      <c r="I308" s="1" t="n"/>
      <c r="J308" s="1" t="n"/>
      <c r="K308" s="6" t="n">
        <v>133.8274486</v>
      </c>
      <c r="L308" s="1" t="n"/>
      <c r="M308" s="1" t="n"/>
      <c r="N308" s="1" t="n"/>
    </row>
    <row r="309">
      <c r="A309" s="1" t="inlineStr">
        <is>
          <t>23025461018285</t>
        </is>
      </c>
      <c r="B309" s="1" t="inlineStr">
        <is>
          <t>TENIS LV CLASSIC</t>
        </is>
      </c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6" t="n">
        <v>1669.791343</v>
      </c>
      <c r="M309" s="1" t="n"/>
      <c r="N309" s="1" t="n"/>
    </row>
    <row r="310">
      <c r="A310" s="1" t="inlineStr">
        <is>
          <t>23025461105261</t>
        </is>
      </c>
      <c r="B310" s="1" t="inlineStr">
        <is>
          <t>SANDALIAS H CHYPRE</t>
        </is>
      </c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6" t="n">
        <v>1192.708102</v>
      </c>
      <c r="M310" s="1" t="n"/>
      <c r="N310" s="1" t="n"/>
    </row>
    <row r="311">
      <c r="A311" s="1" t="inlineStr">
        <is>
          <t>23025461238029</t>
        </is>
      </c>
      <c r="B311" s="1" t="inlineStr">
        <is>
          <t>SANDALIAS H CHYPRE</t>
        </is>
      </c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6" t="n">
        <v>1192.708102</v>
      </c>
      <c r="M311" s="1" t="n"/>
      <c r="N311" s="1" t="n"/>
    </row>
    <row r="312">
      <c r="A312" s="1" t="inlineStr">
        <is>
          <t>23025461332941</t>
        </is>
      </c>
      <c r="B312" s="1" t="inlineStr">
        <is>
          <t>TENIS H BOUNCING WHITE</t>
        </is>
      </c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6" t="n">
        <v>1590.277469</v>
      </c>
      <c r="M312" s="1" t="n"/>
      <c r="N312" s="1" t="n"/>
    </row>
    <row r="313">
      <c r="A313" s="1" t="inlineStr">
        <is>
          <t>23025461465709</t>
        </is>
      </c>
      <c r="B313" s="1" t="inlineStr">
        <is>
          <t>TENIS H BOUNCING WHITE</t>
        </is>
      </c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6" t="n">
        <v>1590.277469</v>
      </c>
      <c r="M313" s="1" t="n"/>
      <c r="N313" s="1" t="n"/>
    </row>
    <row r="314">
      <c r="A314" s="1" t="inlineStr">
        <is>
          <t>23025461529549</t>
        </is>
      </c>
      <c r="B314" s="1" t="inlineStr">
        <is>
          <t>TENIS H BOUNCING BLACK</t>
        </is>
      </c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6" t="n">
        <v>1590.277469</v>
      </c>
      <c r="M314" s="1" t="n"/>
      <c r="N314" s="1" t="n"/>
    </row>
    <row r="315">
      <c r="A315" s="1" t="inlineStr">
        <is>
          <t>23025461662317</t>
        </is>
      </c>
      <c r="B315" s="1" t="inlineStr">
        <is>
          <t>TENIS H BOUNCING BLACK</t>
        </is>
      </c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6" t="n">
        <v>1590.277469</v>
      </c>
      <c r="M315" s="1" t="n"/>
      <c r="N315" s="1" t="n"/>
    </row>
    <row r="316">
      <c r="A316" s="1" t="inlineStr">
        <is>
          <t>23025461724461</t>
        </is>
      </c>
      <c r="B316" s="1" t="inlineStr">
        <is>
          <t>MOCASINES GC HORSEBIT</t>
        </is>
      </c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6" t="n">
        <v>1537.26822</v>
      </c>
      <c r="M316" s="1" t="n"/>
      <c r="N316" s="1" t="n"/>
    </row>
    <row r="317">
      <c r="A317" s="1" t="inlineStr">
        <is>
          <t>23025461857229</t>
        </is>
      </c>
      <c r="B317" s="1" t="inlineStr">
        <is>
          <t>MOCASINES GC HORSEBIT</t>
        </is>
      </c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6" t="n">
        <v>1537.26822</v>
      </c>
      <c r="M317" s="1" t="n"/>
      <c r="N317" s="1" t="n"/>
    </row>
    <row r="318">
      <c r="A318" s="1" t="inlineStr">
        <is>
          <t>2314362835885</t>
        </is>
      </c>
      <c r="B318" s="1" t="n"/>
      <c r="C318" s="1" t="n"/>
      <c r="D318" s="1" t="n"/>
      <c r="E318" s="6" t="n">
        <v>147.8978341</v>
      </c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</row>
    <row r="319">
      <c r="A319" s="1" t="inlineStr">
        <is>
          <t>23663391024461</t>
        </is>
      </c>
      <c r="B319" s="1" t="inlineStr">
        <is>
          <t>COLLAR LOVE ROSEGOLD CON ZIRCONIA</t>
        </is>
      </c>
      <c r="C319" s="1" t="n"/>
      <c r="D319" s="6" t="n">
        <v>105.4844288</v>
      </c>
      <c r="E319" s="1" t="n"/>
      <c r="F319" s="1" t="n"/>
      <c r="G319" s="1" t="n"/>
      <c r="H319" s="1" t="n"/>
      <c r="I319" s="1" t="n"/>
      <c r="J319" s="1" t="n"/>
      <c r="K319" s="1" t="n"/>
      <c r="L319" s="6" t="n">
        <v>106.0932113</v>
      </c>
      <c r="M319" s="1" t="n"/>
      <c r="N319" s="1" t="n"/>
    </row>
    <row r="320">
      <c r="A320" s="1" t="inlineStr">
        <is>
          <t>23794532108653</t>
        </is>
      </c>
      <c r="B320" s="1" t="inlineStr">
        <is>
          <t>CARTERA MM MATELASSE</t>
        </is>
      </c>
      <c r="C320" s="1" t="n"/>
      <c r="D320" s="1" t="n"/>
      <c r="E320" s="1" t="n"/>
      <c r="F320" s="1" t="n"/>
      <c r="G320" s="1" t="n"/>
      <c r="H320" s="1" t="n"/>
      <c r="I320" s="1" t="n"/>
      <c r="J320" s="6" t="n">
        <v>578.0934659</v>
      </c>
      <c r="K320" s="1" t="n"/>
      <c r="L320" s="6" t="n">
        <v>583.1017387000001</v>
      </c>
      <c r="M320" s="1" t="n"/>
      <c r="N320" s="1" t="n"/>
    </row>
    <row r="321">
      <c r="A321" s="1" t="inlineStr">
        <is>
          <t>24072851084557</t>
        </is>
      </c>
      <c r="B321" s="1" t="inlineStr">
        <is>
          <t>BOLSO CC MINI KELLY WHITE</t>
        </is>
      </c>
      <c r="C321" s="1" t="n"/>
      <c r="D321" s="1" t="n"/>
      <c r="E321" s="1" t="n"/>
      <c r="F321" s="1" t="n"/>
      <c r="G321" s="1" t="n"/>
      <c r="H321" s="6" t="n">
        <v>1355.958811</v>
      </c>
      <c r="I321" s="1" t="n"/>
      <c r="J321" s="1" t="n"/>
      <c r="K321" s="1" t="n"/>
      <c r="L321" s="6" t="n">
        <v>1404.555384</v>
      </c>
      <c r="M321" s="1" t="n"/>
      <c r="N321" s="1" t="n"/>
    </row>
    <row r="322">
      <c r="A322" s="1" t="inlineStr">
        <is>
          <t>24072851105773</t>
        </is>
      </c>
      <c r="B322" s="1" t="inlineStr">
        <is>
          <t>BOLSO CC MINI KELLY BLACK</t>
        </is>
      </c>
      <c r="C322" s="1" t="n"/>
      <c r="D322" s="1" t="n"/>
      <c r="E322" s="1" t="n"/>
      <c r="F322" s="1" t="n"/>
      <c r="G322" s="1" t="n"/>
      <c r="H322" s="6" t="n">
        <v>1355.958811</v>
      </c>
      <c r="I322" s="1" t="n"/>
      <c r="J322" s="1" t="n"/>
      <c r="K322" s="6" t="n">
        <v>1375.354909</v>
      </c>
      <c r="L322" s="1" t="n"/>
      <c r="M322" s="1" t="n"/>
      <c r="N322" s="1" t="n"/>
    </row>
    <row r="323">
      <c r="A323" s="1" t="inlineStr">
        <is>
          <t>24469401092557</t>
        </is>
      </c>
      <c r="B323" s="1" t="inlineStr">
        <is>
          <t>UGG PANTUFLAS TAZZ II</t>
        </is>
      </c>
      <c r="C323" s="1" t="n"/>
      <c r="D323" s="1" t="n"/>
      <c r="E323" s="6" t="n">
        <v>1014.43180095</v>
      </c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</row>
    <row r="324">
      <c r="A324" s="1" t="inlineStr">
        <is>
          <t>24469411243981</t>
        </is>
      </c>
      <c r="B324" s="1" t="inlineStr">
        <is>
          <t>BOLSO MM AVENTURE BROWN</t>
        </is>
      </c>
      <c r="C324" s="1" t="n"/>
      <c r="D324" s="1" t="n"/>
      <c r="E324" s="6" t="n">
        <v>1807.925828</v>
      </c>
      <c r="F324" s="1" t="n"/>
      <c r="G324" s="1" t="n"/>
      <c r="H324" s="1" t="n"/>
      <c r="I324" s="6" t="n">
        <v>1865.992199</v>
      </c>
      <c r="J324" s="1" t="n"/>
      <c r="K324" s="1" t="n"/>
      <c r="L324" s="1" t="n"/>
      <c r="M324" s="1" t="n"/>
      <c r="N324" s="1" t="n"/>
    </row>
    <row r="325">
      <c r="A325" s="1" t="inlineStr">
        <is>
          <t>24469411303885</t>
        </is>
      </c>
      <c r="B325" s="1" t="inlineStr">
        <is>
          <t>BOLSO CC CLASIC NUDE</t>
        </is>
      </c>
      <c r="C325" s="1" t="n"/>
      <c r="D325" s="1" t="n"/>
      <c r="E325" s="6" t="n">
        <v>1414.898474</v>
      </c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</row>
    <row r="326">
      <c r="A326" s="1" t="inlineStr">
        <is>
          <t>24469411472813</t>
        </is>
      </c>
      <c r="B326" s="1" t="inlineStr">
        <is>
          <t>BOLSO CC CLASIC BROWN</t>
        </is>
      </c>
      <c r="C326" s="1" t="n"/>
      <c r="D326" s="1" t="n"/>
      <c r="E326" s="6" t="n">
        <v>1414.898474</v>
      </c>
      <c r="F326" s="1" t="n"/>
      <c r="G326" s="1" t="n"/>
      <c r="H326" s="6" t="n">
        <v>1435.721094</v>
      </c>
      <c r="I326" s="6" t="n">
        <v>1460.341721</v>
      </c>
      <c r="J326" s="1" t="n"/>
      <c r="K326" s="6" t="n">
        <v>1401.305001</v>
      </c>
      <c r="L326" s="1" t="n"/>
      <c r="M326" s="1" t="n"/>
      <c r="N326" s="1" t="n"/>
    </row>
    <row r="327">
      <c r="A327" s="1" t="inlineStr">
        <is>
          <t>24469411540045</t>
        </is>
      </c>
      <c r="B327" s="1" t="inlineStr">
        <is>
          <t>BOLSO ZV BLACK</t>
        </is>
      </c>
      <c r="C327" s="1" t="n"/>
      <c r="D327" s="1" t="n"/>
      <c r="E327" s="6" t="n">
        <v>786.0547077</v>
      </c>
      <c r="F327" s="1" t="n"/>
      <c r="G327" s="1" t="n"/>
      <c r="H327" s="1" t="n"/>
      <c r="I327" s="6" t="n">
        <v>811.300956</v>
      </c>
      <c r="J327" s="1" t="n"/>
      <c r="K327" s="1" t="n"/>
      <c r="L327" s="6" t="n">
        <v>795.0313493</v>
      </c>
      <c r="M327" s="1" t="n"/>
      <c r="N327" s="1" t="n"/>
    </row>
    <row r="328">
      <c r="A328" s="1" t="inlineStr">
        <is>
          <t>24703361096333</t>
        </is>
      </c>
      <c r="B328" s="1" t="inlineStr">
        <is>
          <t>ANILLO DELGADO T TRUE GOLD</t>
        </is>
      </c>
      <c r="C328" s="1" t="n"/>
      <c r="D328" s="1" t="n"/>
      <c r="E328" s="6" t="n">
        <v>137.3337031</v>
      </c>
      <c r="F328" s="1" t="n"/>
      <c r="G328" s="1" t="n"/>
      <c r="H328" s="1" t="n"/>
      <c r="I328" s="1" t="n"/>
      <c r="J328" s="1" t="n"/>
      <c r="K328" s="6" t="n">
        <v>42.06294718</v>
      </c>
      <c r="L328" s="1" t="n"/>
      <c r="M328" s="1" t="n"/>
      <c r="N328" s="1" t="n"/>
    </row>
    <row r="329">
      <c r="A329" s="1" t="inlineStr">
        <is>
          <t>24703361129101</t>
        </is>
      </c>
      <c r="B329" s="1" t="inlineStr">
        <is>
          <t>ANILLO DELGADO T TRUE GOLD</t>
        </is>
      </c>
      <c r="C329" s="1" t="n"/>
      <c r="D329" s="1" t="n"/>
      <c r="E329" s="6" t="n">
        <v>137.3337031</v>
      </c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</row>
    <row r="330">
      <c r="A330" s="1" t="inlineStr">
        <is>
          <t>24780441054861</t>
        </is>
      </c>
      <c r="B330" s="1" t="inlineStr">
        <is>
          <t>CARTERA LV VICTORINE MONOGRAM EMPREINTE</t>
        </is>
      </c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6" t="n">
        <v>392.1829833</v>
      </c>
      <c r="N330" s="1" t="n"/>
    </row>
    <row r="331">
      <c r="A331" s="1" t="inlineStr">
        <is>
          <t>24780441141293</t>
        </is>
      </c>
      <c r="B331" s="1" t="inlineStr">
        <is>
          <t>CARTERA LV BLOOM H36</t>
        </is>
      </c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6" t="n">
        <v>392.1829833</v>
      </c>
      <c r="N331" s="1" t="n"/>
    </row>
    <row r="332">
      <c r="A332" s="1" t="inlineStr">
        <is>
          <t>24780441200045</t>
        </is>
      </c>
      <c r="B332" s="1" t="inlineStr">
        <is>
          <t>CARTERA LV EMILIE REVERSO</t>
        </is>
      </c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6" t="n">
        <v>392.1829833</v>
      </c>
      <c r="N332" s="1" t="n"/>
    </row>
    <row r="333">
      <c r="A333" s="1" t="inlineStr">
        <is>
          <t>24780441331117</t>
        </is>
      </c>
      <c r="B333" s="1" t="inlineStr">
        <is>
          <t>BOLSO LV NANO DIANE MONOGRAM</t>
        </is>
      </c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6" t="n">
        <v>931.4345853</v>
      </c>
      <c r="N333" s="1" t="n"/>
    </row>
    <row r="334">
      <c r="A334" s="1" t="inlineStr">
        <is>
          <t>24780441426573</t>
        </is>
      </c>
      <c r="B334" s="1" t="inlineStr">
        <is>
          <t>CINTO LV MINI FLOWERGRAM</t>
        </is>
      </c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6" t="n">
        <v>1593.24337</v>
      </c>
      <c r="N334" s="1" t="n"/>
    </row>
    <row r="335">
      <c r="A335" s="1" t="inlineStr">
        <is>
          <t>24780441590413</t>
        </is>
      </c>
      <c r="B335" s="1" t="inlineStr">
        <is>
          <t>CINTO LV DARLING ARD</t>
        </is>
      </c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6" t="n">
        <v>1274.594696</v>
      </c>
      <c r="N335" s="1" t="n"/>
    </row>
    <row r="336">
      <c r="A336" s="1" t="inlineStr">
        <is>
          <t>24780441651405</t>
        </is>
      </c>
      <c r="B336" s="1" t="inlineStr">
        <is>
          <t>CINTO LV S-LOCK REVERSIBLE</t>
        </is>
      </c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6" t="n">
        <v>1274.594696</v>
      </c>
      <c r="N336" s="1" t="n"/>
    </row>
    <row r="337">
      <c r="A337" s="1" t="inlineStr">
        <is>
          <t>24780441715245</t>
        </is>
      </c>
      <c r="B337" s="1" t="inlineStr">
        <is>
          <t>CINTO LV REVERSIBLE DAMOFLAJE</t>
        </is>
      </c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6" t="n">
        <v>1103.01464</v>
      </c>
      <c r="N337" s="1" t="n"/>
    </row>
    <row r="338">
      <c r="A338" s="1" t="inlineStr">
        <is>
          <t>24780441879085</t>
        </is>
      </c>
      <c r="B338" s="1" t="inlineStr">
        <is>
          <t>CINTO LV REVERSIBLE FROG</t>
        </is>
      </c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6" t="n">
        <v>1176.54895</v>
      </c>
      <c r="N338" s="1" t="n"/>
    </row>
    <row r="339">
      <c r="A339" s="1" t="inlineStr">
        <is>
          <t>24780441910157</t>
        </is>
      </c>
      <c r="B339" s="1" t="inlineStr">
        <is>
          <t>CINTO LV REVERSIBLE OPTIC</t>
        </is>
      </c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6" t="n">
        <v>1176.54895</v>
      </c>
      <c r="N339" s="1" t="n"/>
    </row>
    <row r="340">
      <c r="A340" s="1" t="inlineStr">
        <is>
          <t>24780442041229</t>
        </is>
      </c>
      <c r="B340" s="1" t="inlineStr">
        <is>
          <t>BOLSO CC SHOPPING TOTE</t>
        </is>
      </c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6" t="n">
        <v>1348.129005</v>
      </c>
      <c r="N340" s="1" t="n"/>
    </row>
    <row r="341">
      <c r="A341" s="1" t="inlineStr">
        <is>
          <t>24780442101677</t>
        </is>
      </c>
      <c r="B341" s="1" t="inlineStr">
        <is>
          <t>BOLSO CC N°25 WHITE BROWN</t>
        </is>
      </c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6" t="n">
        <v>1691.289115</v>
      </c>
      <c r="N341" s="1" t="n"/>
    </row>
    <row r="342">
      <c r="A342" s="1" t="inlineStr">
        <is>
          <t>24780442224269</t>
        </is>
      </c>
      <c r="B342" s="1" t="inlineStr">
        <is>
          <t>BOLSO CC MARY JANES</t>
        </is>
      </c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6" t="n">
        <v>1421.663314</v>
      </c>
      <c r="N342" s="1" t="n"/>
    </row>
    <row r="343">
      <c r="A343" s="1" t="inlineStr">
        <is>
          <t>24780442388109</t>
        </is>
      </c>
      <c r="B343" s="1" t="inlineStr">
        <is>
          <t>BOLSO CC LARGE TOTE</t>
        </is>
      </c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6" t="n">
        <v>1691.289115</v>
      </c>
      <c r="N343" s="1" t="n"/>
    </row>
    <row r="344">
      <c r="A344" s="1" t="inlineStr">
        <is>
          <t>24780442420877</t>
        </is>
      </c>
      <c r="B344" s="1" t="inlineStr">
        <is>
          <t>BOLSO C N°25 DENIM</t>
        </is>
      </c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6" t="n">
        <v>1593.24337</v>
      </c>
      <c r="N344" s="1" t="n"/>
    </row>
    <row r="345">
      <c r="A345" s="1" t="inlineStr">
        <is>
          <t>24780442584717</t>
        </is>
      </c>
      <c r="B345" s="1" t="inlineStr">
        <is>
          <t>BOLSO C N°25 GOLD</t>
        </is>
      </c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6" t="n">
        <v>1593.24337</v>
      </c>
      <c r="N345" s="1" t="n"/>
    </row>
    <row r="346">
      <c r="A346" s="1" t="inlineStr">
        <is>
          <t>24780442614093</t>
        </is>
      </c>
      <c r="B346" s="1" t="inlineStr">
        <is>
          <t>BOLSO CC MINITASKE</t>
        </is>
      </c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6" t="n">
        <v>1593.24337</v>
      </c>
      <c r="N346" s="1" t="n"/>
    </row>
    <row r="347">
      <c r="A347" s="1" t="inlineStr">
        <is>
          <t>24780442777933</t>
        </is>
      </c>
      <c r="B347" s="1" t="inlineStr">
        <is>
          <t>BOLSO CC CLUTCH WHITE PEARL</t>
        </is>
      </c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6" t="n">
        <v>1421.663314</v>
      </c>
      <c r="N347" s="1" t="n"/>
    </row>
    <row r="348">
      <c r="A348" s="1" t="inlineStr">
        <is>
          <t>24780442803917</t>
        </is>
      </c>
      <c r="B348" s="1" t="inlineStr">
        <is>
          <t>CARTERA CC CON SOLAPA BLACK</t>
        </is>
      </c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6" t="n">
        <v>539.251602</v>
      </c>
      <c r="N348" s="1" t="n"/>
    </row>
    <row r="349">
      <c r="A349" s="1" t="inlineStr">
        <is>
          <t>24780442908333</t>
        </is>
      </c>
      <c r="B349" s="1" t="inlineStr">
        <is>
          <t>BALLERINAS CC COCO MARK</t>
        </is>
      </c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6" t="n">
        <v>1470.686187</v>
      </c>
      <c r="N349" s="1" t="n"/>
    </row>
    <row r="350">
      <c r="A350" s="1" t="inlineStr">
        <is>
          <t>24780443041101</t>
        </is>
      </c>
      <c r="B350" s="1" t="inlineStr">
        <is>
          <t>BALLERINAS CC COCO MARK</t>
        </is>
      </c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6" t="n">
        <v>1470.686187</v>
      </c>
      <c r="N350" s="1" t="n"/>
    </row>
    <row r="351">
      <c r="A351" s="1" t="inlineStr">
        <is>
          <t>24780443136013</t>
        </is>
      </c>
      <c r="B351" s="1" t="inlineStr">
        <is>
          <t>CINTO CC LEATHER BLACK</t>
        </is>
      </c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6" t="n">
        <v>1176.54895</v>
      </c>
      <c r="N351" s="1" t="n"/>
    </row>
    <row r="352">
      <c r="A352" s="1" t="inlineStr">
        <is>
          <t>24780443296461</t>
        </is>
      </c>
      <c r="B352" s="1" t="inlineStr">
        <is>
          <t>CINTO CC LEATHER</t>
        </is>
      </c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6" t="n">
        <v>1176.54895</v>
      </c>
      <c r="N352" s="1" t="n"/>
    </row>
    <row r="353">
      <c r="A353" s="1" t="inlineStr">
        <is>
          <t>24780443358605</t>
        </is>
      </c>
      <c r="B353" s="1" t="inlineStr">
        <is>
          <t>CINTO CC SLINGBACK</t>
        </is>
      </c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6" t="n">
        <v>1176.54895</v>
      </c>
      <c r="N353" s="1" t="n"/>
    </row>
    <row r="354">
      <c r="A354" s="1" t="inlineStr">
        <is>
          <t>24780443453517</t>
        </is>
      </c>
      <c r="B354" s="1" t="inlineStr">
        <is>
          <t>CINTO CC CHAIN</t>
        </is>
      </c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6" t="n">
        <v>1593.24337</v>
      </c>
      <c r="N354" s="1" t="n"/>
    </row>
    <row r="355">
      <c r="A355" s="1" t="inlineStr">
        <is>
          <t>24780443529645</t>
        </is>
      </c>
      <c r="B355" s="1" t="inlineStr">
        <is>
          <t>CINTO CC CLASSIC</t>
        </is>
      </c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6" t="n">
        <v>1103.01464</v>
      </c>
      <c r="N355" s="1" t="n"/>
    </row>
    <row r="356">
      <c r="A356" s="1" t="inlineStr">
        <is>
          <t>25156441068705</t>
        </is>
      </c>
      <c r="B356" s="1" t="inlineStr">
        <is>
          <t>COLLAR DOBLE PLACA-GOLD TURQUESA</t>
        </is>
      </c>
      <c r="C356" s="1" t="n"/>
      <c r="D356" s="6" t="n">
        <v>226.0606014</v>
      </c>
      <c r="E356" s="1" t="n"/>
      <c r="F356" s="1" t="n"/>
      <c r="G356" s="1" t="n"/>
      <c r="H356" s="6" t="n">
        <v>234.2843943</v>
      </c>
      <c r="I356" s="1" t="n"/>
      <c r="J356" s="1" t="n"/>
      <c r="K356" s="6" t="n">
        <v>230.479005</v>
      </c>
      <c r="L356" s="1" t="n"/>
      <c r="M356" s="1" t="n"/>
      <c r="N356" s="1" t="n"/>
    </row>
    <row r="357">
      <c r="A357" s="1" t="inlineStr">
        <is>
          <t>26487151099425</t>
        </is>
      </c>
      <c r="B357" s="1" t="inlineStr">
        <is>
          <t>PULSERA BEAN GOLD</t>
        </is>
      </c>
      <c r="C357" s="1" t="n"/>
      <c r="D357" s="6" t="n">
        <v>159.417533</v>
      </c>
      <c r="E357" s="1" t="n"/>
      <c r="F357" s="6" t="n">
        <v>157.9537383</v>
      </c>
      <c r="G357" s="6" t="n">
        <v>156.8787001</v>
      </c>
      <c r="H357" s="1" t="n"/>
      <c r="I357" s="1" t="n"/>
      <c r="J357" s="1" t="n"/>
      <c r="K357" s="1" t="n"/>
      <c r="L357" s="1" t="n"/>
      <c r="M357" s="6" t="n">
        <v>157.6095484</v>
      </c>
      <c r="N357" s="1" t="n"/>
    </row>
    <row r="358">
      <c r="A358" s="1" t="inlineStr">
        <is>
          <t>26487151166497</t>
        </is>
      </c>
      <c r="B358" s="1" t="inlineStr">
        <is>
          <t>ARETES TRINITY</t>
        </is>
      </c>
      <c r="C358" s="1" t="n"/>
      <c r="D358" s="1" t="n"/>
      <c r="E358" s="1" t="n"/>
      <c r="F358" s="1" t="n"/>
      <c r="G358" s="6" t="n">
        <v>118.0471396</v>
      </c>
      <c r="H358" s="1" t="n"/>
      <c r="I358" s="1" t="n"/>
      <c r="J358" s="1" t="n"/>
      <c r="K358" s="1" t="n"/>
      <c r="L358" s="1" t="n"/>
      <c r="M358" s="1" t="n"/>
      <c r="N358" s="1" t="n"/>
    </row>
    <row r="359">
      <c r="A359" s="1" t="inlineStr">
        <is>
          <t>2653019476748</t>
        </is>
      </c>
      <c r="B359" s="1" t="inlineStr">
        <is>
          <t>ANILLO SIXTEEN STONE SILVER</t>
        </is>
      </c>
      <c r="C359" s="1" t="n"/>
      <c r="D359" s="6" t="n">
        <v>127.5340264</v>
      </c>
      <c r="E359" s="1" t="n"/>
      <c r="F359" s="6" t="n">
        <v>126.3629907</v>
      </c>
      <c r="G359" s="6" t="n">
        <v>125.5029601</v>
      </c>
      <c r="H359" s="1" t="n"/>
      <c r="I359" s="1" t="n"/>
      <c r="J359" s="1" t="n"/>
      <c r="K359" s="1" t="n"/>
      <c r="L359" s="1" t="n"/>
      <c r="M359" s="6" t="n">
        <v>126.0876388</v>
      </c>
      <c r="N359" s="1" t="n"/>
    </row>
    <row r="360">
      <c r="A360" s="1" t="inlineStr">
        <is>
          <t>2653019509516</t>
        </is>
      </c>
      <c r="B360" s="1" t="inlineStr">
        <is>
          <t>ANILLO SIXTEEN STONE SILVER</t>
        </is>
      </c>
      <c r="C360" s="1" t="n"/>
      <c r="D360" s="1" t="n"/>
      <c r="E360" s="1" t="n"/>
      <c r="F360" s="6" t="n">
        <v>126.3629907</v>
      </c>
      <c r="G360" s="6" t="n">
        <v>125.5029601</v>
      </c>
      <c r="H360" s="1" t="n"/>
      <c r="I360" s="1" t="n"/>
      <c r="J360" s="1" t="n"/>
      <c r="K360" s="1" t="n"/>
      <c r="L360" s="1" t="n"/>
      <c r="M360" s="1" t="n"/>
      <c r="N360" s="1" t="n"/>
    </row>
    <row r="361">
      <c r="A361" s="1" t="inlineStr">
        <is>
          <t>2653019542284</t>
        </is>
      </c>
      <c r="B361" s="1" t="inlineStr">
        <is>
          <t>ANILLO SIXTEEN STONE SILVER</t>
        </is>
      </c>
      <c r="C361" s="1" t="n"/>
      <c r="D361" s="6" t="n">
        <v>126.5813146</v>
      </c>
      <c r="E361" s="1" t="n"/>
      <c r="F361" s="6" t="n">
        <v>126.3629907</v>
      </c>
      <c r="G361" s="1" t="n"/>
      <c r="H361" s="1" t="n"/>
      <c r="I361" s="1" t="n"/>
      <c r="J361" s="1" t="n"/>
      <c r="K361" s="1" t="n"/>
      <c r="L361" s="1" t="n"/>
      <c r="M361" s="1" t="n"/>
      <c r="N361" s="1" t="n"/>
    </row>
    <row r="362">
      <c r="A362" s="1" t="inlineStr">
        <is>
          <t>2653020127500</t>
        </is>
      </c>
      <c r="B362" s="1" t="inlineStr">
        <is>
          <t>ANILLO TREBOL GOLD BLACK</t>
        </is>
      </c>
      <c r="C362" s="1" t="n"/>
      <c r="D362" s="1" t="n"/>
      <c r="E362" s="1" t="n"/>
      <c r="F362" s="1" t="n"/>
      <c r="G362" s="6" t="n">
        <v>132.2411844</v>
      </c>
      <c r="H362" s="1" t="n"/>
      <c r="I362" s="1" t="n"/>
      <c r="J362" s="1" t="n"/>
      <c r="K362" s="1" t="n"/>
      <c r="L362" s="6" t="n">
        <v>132.2468818</v>
      </c>
      <c r="M362" s="1" t="n"/>
      <c r="N362" s="1" t="n"/>
    </row>
    <row r="363">
      <c r="A363" s="1" t="inlineStr">
        <is>
          <t>2653021417996</t>
        </is>
      </c>
      <c r="B363" s="1" t="inlineStr">
        <is>
          <t>ANILLO LOVE GOLD ANCHO (WIDE)</t>
        </is>
      </c>
      <c r="C363" s="1" t="n"/>
      <c r="D363" s="6" t="n">
        <v>38.26020791</v>
      </c>
      <c r="E363" s="1" t="n"/>
      <c r="F363" s="1" t="n"/>
      <c r="G363" s="6" t="n">
        <v>37.65088802</v>
      </c>
      <c r="H363" s="6" t="n">
        <v>38.16075203</v>
      </c>
      <c r="I363" s="1" t="n"/>
      <c r="J363" s="1" t="n"/>
      <c r="K363" s="1" t="n"/>
      <c r="L363" s="6" t="n">
        <v>38.19355608</v>
      </c>
      <c r="M363" s="6" t="n">
        <v>37.82629163</v>
      </c>
      <c r="N363" s="1" t="n"/>
    </row>
    <row r="364">
      <c r="A364" s="1" t="inlineStr">
        <is>
          <t>2653021450764</t>
        </is>
      </c>
      <c r="B364" s="1" t="inlineStr">
        <is>
          <t>ANILLO LOVE GOLD ANCHO (WIDE)</t>
        </is>
      </c>
      <c r="C364" s="1" t="n"/>
      <c r="D364" s="6" t="n">
        <v>38.26020791</v>
      </c>
      <c r="E364" s="1" t="n"/>
      <c r="F364" s="1" t="n"/>
      <c r="G364" s="6" t="n">
        <v>37.65088802</v>
      </c>
      <c r="H364" s="6" t="n">
        <v>38.16075203</v>
      </c>
      <c r="I364" s="1" t="n"/>
      <c r="J364" s="1" t="n"/>
      <c r="K364" s="6" t="n">
        <v>37.85665246</v>
      </c>
      <c r="L364" s="1" t="n"/>
      <c r="M364" s="6" t="n">
        <v>37.82629163</v>
      </c>
      <c r="N364" s="1" t="n"/>
    </row>
    <row r="365">
      <c r="A365" s="1" t="inlineStr">
        <is>
          <t>2653021483532</t>
        </is>
      </c>
      <c r="B365" s="1" t="inlineStr">
        <is>
          <t>ANILLO LOVE GOLD ANCHO (WIDHT WITHOUT ZIRCONIAS)</t>
        </is>
      </c>
      <c r="C365" s="1" t="n"/>
      <c r="D365" s="6" t="n">
        <v>37.97439438</v>
      </c>
      <c r="E365" s="1" t="n"/>
      <c r="F365" s="6" t="n">
        <v>37.9088972</v>
      </c>
      <c r="G365" s="6" t="n">
        <v>37.65088802</v>
      </c>
      <c r="H365" s="6" t="n">
        <v>38.16075203</v>
      </c>
      <c r="I365" s="1" t="n"/>
      <c r="J365" s="1" t="n"/>
      <c r="K365" s="6" t="n">
        <v>37.85665246</v>
      </c>
      <c r="L365" s="1" t="n"/>
      <c r="M365" s="1" t="n"/>
      <c r="N365" s="1" t="n"/>
    </row>
    <row r="366">
      <c r="A366" s="1" t="inlineStr">
        <is>
          <t>2653021516300</t>
        </is>
      </c>
      <c r="B366" s="1" t="inlineStr">
        <is>
          <t>ANILLO LOVE GOLD ANCHO (WIDE)</t>
        </is>
      </c>
      <c r="C366" s="1" t="n"/>
      <c r="D366" s="6" t="n">
        <v>37.97439438</v>
      </c>
      <c r="E366" s="1" t="n"/>
      <c r="F366" s="6" t="n">
        <v>37.9088972</v>
      </c>
      <c r="G366" s="6" t="n">
        <v>37.65088802</v>
      </c>
      <c r="H366" s="6" t="n">
        <v>38.16075203</v>
      </c>
      <c r="I366" s="1" t="n"/>
      <c r="J366" s="1" t="n"/>
      <c r="K366" s="1" t="n"/>
      <c r="L366" s="6" t="n">
        <v>38.19355608</v>
      </c>
      <c r="M366" s="6" t="n">
        <v>37.82629163</v>
      </c>
      <c r="N366" s="1" t="n"/>
    </row>
    <row r="367">
      <c r="A367" s="1" t="inlineStr">
        <is>
          <t>2653021549068</t>
        </is>
      </c>
      <c r="B367" s="1" t="inlineStr">
        <is>
          <t>ANILLO LOVE GOLD ANCHO (WIDE)</t>
        </is>
      </c>
      <c r="C367" s="1" t="n"/>
      <c r="D367" s="6" t="n">
        <v>37.97439438</v>
      </c>
      <c r="E367" s="1" t="n"/>
      <c r="F367" s="6" t="n">
        <v>37.9088972</v>
      </c>
      <c r="G367" s="1" t="n"/>
      <c r="H367" s="6" t="n">
        <v>38.16075203</v>
      </c>
      <c r="I367" s="1" t="n"/>
      <c r="J367" s="1" t="n"/>
      <c r="K367" s="6" t="n">
        <v>37.85665246</v>
      </c>
      <c r="L367" s="1" t="n"/>
      <c r="M367" s="6" t="n">
        <v>37.82629163</v>
      </c>
      <c r="N367" s="1" t="n"/>
    </row>
    <row r="368">
      <c r="A368" s="1" t="inlineStr">
        <is>
          <t>2653021581836</t>
        </is>
      </c>
      <c r="B368" s="1" t="inlineStr">
        <is>
          <t>ANILLO LOVE GOLD ANCHO</t>
        </is>
      </c>
      <c r="C368" s="1" t="n"/>
      <c r="D368" s="6" t="n">
        <v>37.97439438</v>
      </c>
      <c r="E368" s="1" t="n"/>
      <c r="F368" s="1" t="n"/>
      <c r="G368" s="1" t="n"/>
      <c r="H368" s="6" t="n">
        <v>38.16075203</v>
      </c>
      <c r="I368" s="1" t="n"/>
      <c r="J368" s="1" t="n"/>
      <c r="K368" s="1" t="n"/>
      <c r="L368" s="6" t="n">
        <v>38.19355608</v>
      </c>
      <c r="M368" s="1" t="n"/>
      <c r="N368" s="1" t="n"/>
    </row>
    <row r="369">
      <c r="A369" s="1" t="inlineStr">
        <is>
          <t>2653021614604</t>
        </is>
      </c>
      <c r="B369" s="1" t="inlineStr">
        <is>
          <t>ANILLO LOVE GOLD ANCHO</t>
        </is>
      </c>
      <c r="C369" s="1" t="n"/>
      <c r="D369" s="6" t="n">
        <v>38.26020791</v>
      </c>
      <c r="E369" s="1" t="n"/>
      <c r="F369" s="1" t="n"/>
      <c r="G369" s="1" t="n"/>
      <c r="H369" s="6" t="n">
        <v>38.16075203</v>
      </c>
      <c r="I369" s="1" t="n"/>
      <c r="J369" s="1" t="n"/>
      <c r="K369" s="1" t="n"/>
      <c r="L369" s="6" t="n">
        <v>37.987143805</v>
      </c>
      <c r="M369" s="1" t="n"/>
      <c r="N369" s="1" t="n"/>
    </row>
    <row r="370">
      <c r="A370" s="1" t="inlineStr">
        <is>
          <t>2653025069708</t>
        </is>
      </c>
      <c r="B370" s="1" t="inlineStr">
        <is>
          <t>ANILLO TREBOL GOLD WHITE</t>
        </is>
      </c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6" t="n">
        <v>132.2468818</v>
      </c>
      <c r="M370" s="1" t="n"/>
      <c r="N370" s="1" t="n"/>
    </row>
    <row r="371">
      <c r="A371" s="1" t="inlineStr">
        <is>
          <t>2653026071052</t>
        </is>
      </c>
      <c r="B371" s="1" t="inlineStr">
        <is>
          <t>ANILLO LOVE SILVER ANCHO</t>
        </is>
      </c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6" t="n">
        <v>38.19355608</v>
      </c>
      <c r="M371" s="1" t="n"/>
      <c r="N371" s="1" t="n"/>
    </row>
    <row r="372">
      <c r="A372" s="1" t="inlineStr">
        <is>
          <t>2653026103820</t>
        </is>
      </c>
      <c r="B372" s="1" t="inlineStr">
        <is>
          <t>ANILLO LOVE SILVER ANCHO</t>
        </is>
      </c>
      <c r="C372" s="1" t="n"/>
      <c r="D372" s="1" t="n"/>
      <c r="E372" s="1" t="n"/>
      <c r="F372" s="1" t="n"/>
      <c r="G372" s="1" t="n"/>
      <c r="H372" s="1" t="n"/>
      <c r="I372" s="1" t="n"/>
      <c r="J372" s="6" t="n">
        <v>38.34701319</v>
      </c>
      <c r="K372" s="1" t="n"/>
      <c r="L372" s="6" t="n">
        <v>38.19355608</v>
      </c>
      <c r="M372" s="1" t="n"/>
      <c r="N372" s="1" t="n"/>
    </row>
    <row r="373">
      <c r="A373" s="1" t="inlineStr">
        <is>
          <t>2653026136588</t>
        </is>
      </c>
      <c r="B373" s="1" t="inlineStr">
        <is>
          <t>ANILLO LOVE SILVER ANCHO (WIDHT WIHTOUT ZIRCONIAS)</t>
        </is>
      </c>
      <c r="C373" s="1" t="n"/>
      <c r="D373" s="1" t="n"/>
      <c r="E373" s="1" t="n"/>
      <c r="F373" s="1" t="n"/>
      <c r="G373" s="1" t="n"/>
      <c r="H373" s="1" t="n"/>
      <c r="I373" s="1" t="n"/>
      <c r="J373" s="6" t="n">
        <v>38.34701319</v>
      </c>
      <c r="K373" s="6" t="n">
        <v>37.85665246</v>
      </c>
      <c r="L373" s="1" t="n"/>
      <c r="M373" s="1" t="n"/>
      <c r="N373" s="1" t="n"/>
    </row>
    <row r="374">
      <c r="A374" s="1" t="inlineStr">
        <is>
          <t>2653027325964</t>
        </is>
      </c>
      <c r="B374" s="1" t="inlineStr">
        <is>
          <t>ANILLO KNOT GOLD</t>
        </is>
      </c>
      <c r="C374" s="1" t="n"/>
      <c r="D374" s="1" t="n"/>
      <c r="E374" s="1" t="n"/>
      <c r="F374" s="1" t="n"/>
      <c r="G374" s="1" t="n"/>
      <c r="H374" s="1" t="n"/>
      <c r="I374" s="1" t="n"/>
      <c r="J374" s="6" t="n">
        <v>141.4477855</v>
      </c>
      <c r="K374" s="1" t="n"/>
      <c r="L374" s="6" t="n">
        <v>132.2468818</v>
      </c>
      <c r="M374" s="1" t="n"/>
      <c r="N374" s="6" t="n">
        <v>121.5837117</v>
      </c>
    </row>
    <row r="375">
      <c r="A375" s="1" t="inlineStr">
        <is>
          <t>2653028529932</t>
        </is>
      </c>
      <c r="B375" s="1" t="inlineStr">
        <is>
          <t>ANILLO SIXTEEN STONE SILVER</t>
        </is>
      </c>
      <c r="C375" s="1" t="n"/>
      <c r="D375" s="1" t="n"/>
      <c r="E375" s="1" t="n"/>
      <c r="F375" s="1" t="n"/>
      <c r="G375" s="1" t="n"/>
      <c r="H375" s="6" t="n">
        <v>127.2025068</v>
      </c>
      <c r="I375" s="1" t="n"/>
      <c r="J375" s="1" t="n"/>
      <c r="K375" s="1" t="n"/>
      <c r="L375" s="1" t="n"/>
      <c r="M375" s="1" t="n"/>
      <c r="N375" s="1" t="n"/>
    </row>
    <row r="376">
      <c r="A376" s="1" t="inlineStr">
        <is>
          <t>2653028882316</t>
        </is>
      </c>
      <c r="B376" s="1" t="inlineStr">
        <is>
          <t>ANILLO TREBOL GOLD BLACK</t>
        </is>
      </c>
      <c r="C376" s="1" t="n"/>
      <c r="D376" s="1" t="n"/>
      <c r="E376" s="1" t="n"/>
      <c r="F376" s="1" t="n"/>
      <c r="G376" s="1" t="n"/>
      <c r="H376" s="1" t="n"/>
      <c r="I376" s="1" t="n"/>
      <c r="J376" s="6" t="n">
        <v>141.4477855</v>
      </c>
      <c r="K376" s="1" t="n"/>
      <c r="L376" s="1" t="n"/>
      <c r="M376" s="1" t="n"/>
      <c r="N376" s="1" t="n"/>
    </row>
    <row r="377">
      <c r="A377" s="1" t="inlineStr">
        <is>
          <t>2653032923532</t>
        </is>
      </c>
      <c r="B377" s="1" t="n"/>
      <c r="C377" s="1" t="n"/>
      <c r="D377" s="1" t="n"/>
      <c r="E377" s="1" t="n"/>
      <c r="F377" s="1" t="n"/>
      <c r="G377" s="6" t="n">
        <v>132.2411844</v>
      </c>
      <c r="H377" s="1" t="n"/>
      <c r="I377" s="1" t="n"/>
      <c r="J377" s="1" t="n"/>
      <c r="K377" s="1" t="n"/>
      <c r="L377" s="1" t="n"/>
      <c r="M377" s="1" t="n"/>
      <c r="N377" s="1" t="n"/>
    </row>
    <row r="378">
      <c r="A378" s="1" t="inlineStr">
        <is>
          <t>2653036169356</t>
        </is>
      </c>
      <c r="B378" s="1" t="inlineStr">
        <is>
          <t>ANILLO LOVE SILVER ANCHO</t>
        </is>
      </c>
      <c r="C378" s="1" t="n"/>
      <c r="D378" s="1" t="n"/>
      <c r="E378" s="1" t="n"/>
      <c r="F378" s="6" t="n">
        <v>37.9088972</v>
      </c>
      <c r="G378" s="6" t="n">
        <v>37.65088802</v>
      </c>
      <c r="H378" s="1" t="n"/>
      <c r="I378" s="1" t="n"/>
      <c r="J378" s="6" t="n">
        <v>38.34701319</v>
      </c>
      <c r="K378" s="1" t="n"/>
      <c r="L378" s="1" t="n"/>
      <c r="M378" s="1" t="n"/>
      <c r="N378" s="1" t="n"/>
    </row>
    <row r="379">
      <c r="A379" s="1" t="inlineStr">
        <is>
          <t>2653036202124</t>
        </is>
      </c>
      <c r="B379" s="1" t="inlineStr">
        <is>
          <t>ANILLO LOVE SILVER ANCHO</t>
        </is>
      </c>
      <c r="C379" s="1" t="n"/>
      <c r="D379" s="6" t="n">
        <v>38.26020791</v>
      </c>
      <c r="E379" s="1" t="n"/>
      <c r="F379" s="6" t="n">
        <v>37.9088972</v>
      </c>
      <c r="G379" s="6" t="n">
        <v>37.65088802</v>
      </c>
      <c r="H379" s="1" t="n"/>
      <c r="I379" s="1" t="n"/>
      <c r="J379" s="1" t="n"/>
      <c r="K379" s="1" t="n"/>
      <c r="L379" s="1" t="n"/>
      <c r="M379" s="1" t="n"/>
      <c r="N379" s="1" t="n"/>
    </row>
    <row r="380">
      <c r="A380" s="1" t="inlineStr">
        <is>
          <t>2653036234892</t>
        </is>
      </c>
      <c r="B380" s="1" t="inlineStr">
        <is>
          <t>ANILLO LOVE SILVER ANCHO (WIDHT WIHTOUT ZIRCONIAS)</t>
        </is>
      </c>
      <c r="C380" s="1" t="n"/>
      <c r="D380" s="1" t="n"/>
      <c r="E380" s="1" t="n"/>
      <c r="F380" s="1" t="n"/>
      <c r="G380" s="1" t="n"/>
      <c r="H380" s="1" t="n"/>
      <c r="I380" s="1" t="n"/>
      <c r="J380" s="1" t="n"/>
      <c r="K380" s="6" t="n">
        <v>37.85665246</v>
      </c>
      <c r="L380" s="1" t="n"/>
      <c r="M380" s="1" t="n"/>
      <c r="N380" s="1" t="n"/>
    </row>
    <row r="381">
      <c r="A381" s="1" t="inlineStr">
        <is>
          <t>2653036267660</t>
        </is>
      </c>
      <c r="B381" s="1" t="inlineStr">
        <is>
          <t>ANILLO LOVE SILVER ANCHO</t>
        </is>
      </c>
      <c r="C381" s="1" t="n"/>
      <c r="D381" s="1" t="n"/>
      <c r="E381" s="1" t="n"/>
      <c r="F381" s="1" t="n"/>
      <c r="G381" s="1" t="n"/>
      <c r="H381" s="1" t="n"/>
      <c r="I381" s="1" t="n"/>
      <c r="J381" s="6" t="n">
        <v>38.34701319</v>
      </c>
      <c r="K381" s="1" t="n"/>
      <c r="L381" s="6" t="n">
        <v>37.78073153</v>
      </c>
      <c r="M381" s="1" t="n"/>
      <c r="N381" s="1" t="n"/>
    </row>
    <row r="382">
      <c r="A382" s="1" t="inlineStr">
        <is>
          <t>2653039338124</t>
        </is>
      </c>
      <c r="B382" s="1" t="inlineStr">
        <is>
          <t>ANILLO BV GOLD</t>
        </is>
      </c>
      <c r="C382" s="1" t="n"/>
      <c r="D382" s="1" t="n"/>
      <c r="E382" s="1" t="n"/>
      <c r="F382" s="1" t="n"/>
      <c r="G382" s="1" t="n"/>
      <c r="H382" s="6" t="n">
        <v>103.9090874</v>
      </c>
      <c r="I382" s="1" t="n"/>
      <c r="J382" s="1" t="n"/>
      <c r="K382" s="1" t="n"/>
      <c r="L382" s="1" t="n"/>
      <c r="M382" s="1" t="n"/>
      <c r="N382" s="1" t="n"/>
    </row>
    <row r="383">
      <c r="A383" s="1" t="inlineStr">
        <is>
          <t>2653039370892</t>
        </is>
      </c>
      <c r="B383" s="1" t="inlineStr">
        <is>
          <t>ANILLO BV GOLD</t>
        </is>
      </c>
      <c r="C383" s="6" t="n">
        <v>99.45060599999999</v>
      </c>
      <c r="D383" s="1" t="n"/>
      <c r="E383" s="1" t="n"/>
      <c r="F383" s="1" t="n"/>
      <c r="G383" s="1" t="n"/>
      <c r="H383" s="6" t="n">
        <v>103.9090874</v>
      </c>
      <c r="I383" s="1" t="n"/>
      <c r="J383" s="1" t="n"/>
      <c r="K383" s="1" t="n"/>
      <c r="L383" s="1" t="n"/>
      <c r="M383" s="1" t="n"/>
      <c r="N383" s="1" t="n"/>
    </row>
    <row r="384">
      <c r="A384" s="1" t="inlineStr">
        <is>
          <t>2653039403660</t>
        </is>
      </c>
      <c r="B384" s="1" t="inlineStr">
        <is>
          <t>ANILLO BV GOLD</t>
        </is>
      </c>
      <c r="C384" s="6" t="n">
        <v>99.45060599999999</v>
      </c>
      <c r="D384" s="1" t="n"/>
      <c r="E384" s="1" t="n"/>
      <c r="F384" s="1" t="n"/>
      <c r="G384" s="1" t="n"/>
      <c r="H384" s="6" t="n">
        <v>103.9090874</v>
      </c>
      <c r="I384" s="1" t="n"/>
      <c r="J384" s="1" t="n"/>
      <c r="K384" s="1" t="n"/>
      <c r="L384" s="1" t="n"/>
      <c r="M384" s="1" t="n"/>
      <c r="N384" s="1" t="n"/>
    </row>
    <row r="385">
      <c r="A385" s="1" t="inlineStr">
        <is>
          <t>2653039436428</t>
        </is>
      </c>
      <c r="B385" s="1" t="inlineStr">
        <is>
          <t>ANILLO BV GOLD</t>
        </is>
      </c>
      <c r="C385" s="6" t="n">
        <v>99.45060599999999</v>
      </c>
      <c r="D385" s="1" t="n"/>
      <c r="E385" s="1" t="n"/>
      <c r="F385" s="1" t="n"/>
      <c r="G385" s="1" t="n"/>
      <c r="H385" s="6" t="n">
        <v>103.9090874</v>
      </c>
      <c r="I385" s="1" t="n"/>
      <c r="J385" s="1" t="n"/>
      <c r="K385" s="1" t="n"/>
      <c r="L385" s="1" t="n"/>
      <c r="M385" s="1" t="n"/>
      <c r="N385" s="1" t="n"/>
    </row>
    <row r="386">
      <c r="A386" s="1" t="inlineStr">
        <is>
          <t>2653039469196</t>
        </is>
      </c>
      <c r="B386" s="1" t="inlineStr">
        <is>
          <t>ANILLO BV GOLD</t>
        </is>
      </c>
      <c r="C386" s="1" t="n"/>
      <c r="D386" s="1" t="n"/>
      <c r="E386" s="1" t="n"/>
      <c r="F386" s="1" t="n"/>
      <c r="G386" s="1" t="n"/>
      <c r="H386" s="6" t="n">
        <v>103.9090874</v>
      </c>
      <c r="I386" s="1" t="n"/>
      <c r="J386" s="1" t="n"/>
      <c r="K386" s="1" t="n"/>
      <c r="L386" s="1" t="n"/>
      <c r="M386" s="1" t="n"/>
      <c r="N386" s="1" t="n"/>
    </row>
    <row r="387">
      <c r="A387" s="1" t="inlineStr">
        <is>
          <t>2653039501964</t>
        </is>
      </c>
      <c r="B387" s="1" t="inlineStr">
        <is>
          <t>ANILLO BV GOLD</t>
        </is>
      </c>
      <c r="C387" s="6" t="n">
        <v>99.45060599999999</v>
      </c>
      <c r="D387" s="1" t="n"/>
      <c r="E387" s="1" t="n"/>
      <c r="F387" s="1" t="n"/>
      <c r="G387" s="1" t="n"/>
      <c r="H387" s="6" t="n">
        <v>103.9090874</v>
      </c>
      <c r="I387" s="1" t="n"/>
      <c r="J387" s="1" t="n"/>
      <c r="K387" s="1" t="n"/>
      <c r="L387" s="1" t="n"/>
      <c r="M387" s="1" t="n"/>
      <c r="N387" s="1" t="n"/>
    </row>
    <row r="388">
      <c r="A388" s="1" t="inlineStr">
        <is>
          <t>2653039534732</t>
        </is>
      </c>
      <c r="B388" s="1" t="inlineStr">
        <is>
          <t>ANILLO BV GOLD</t>
        </is>
      </c>
      <c r="C388" s="1" t="n"/>
      <c r="D388" s="1" t="n"/>
      <c r="E388" s="1" t="n"/>
      <c r="F388" s="1" t="n"/>
      <c r="G388" s="1" t="n"/>
      <c r="H388" s="6" t="n">
        <v>103.9090874</v>
      </c>
      <c r="I388" s="1" t="n"/>
      <c r="J388" s="1" t="n"/>
      <c r="K388" s="1" t="n"/>
      <c r="L388" s="1" t="n"/>
      <c r="M388" s="1" t="n"/>
      <c r="N388" s="1" t="n"/>
    </row>
    <row r="389">
      <c r="A389" s="1" t="inlineStr">
        <is>
          <t>2653039567500</t>
        </is>
      </c>
      <c r="B389" s="1" t="inlineStr">
        <is>
          <t>ANILLO BV GOLD</t>
        </is>
      </c>
      <c r="C389" s="1" t="n"/>
      <c r="D389" s="1" t="n"/>
      <c r="E389" s="1" t="n"/>
      <c r="F389" s="1" t="n"/>
      <c r="G389" s="1" t="n"/>
      <c r="H389" s="6" t="n">
        <v>103.9090874</v>
      </c>
      <c r="I389" s="1" t="n"/>
      <c r="J389" s="1" t="n"/>
      <c r="K389" s="1" t="n"/>
      <c r="L389" s="1" t="n"/>
      <c r="M389" s="1" t="n"/>
      <c r="N389" s="1" t="n"/>
    </row>
    <row r="390">
      <c r="A390" s="1" t="inlineStr">
        <is>
          <t>26853591099213</t>
        </is>
      </c>
      <c r="B390" s="1" t="inlineStr">
        <is>
          <t>GORRA BARBAS EL MAGO</t>
        </is>
      </c>
      <c r="C390" s="1" t="n"/>
      <c r="D390" s="1" t="n"/>
      <c r="E390" s="1" t="n"/>
      <c r="F390" s="1" t="n"/>
      <c r="G390" s="1" t="n"/>
      <c r="H390" s="1" t="n"/>
      <c r="I390" s="6" t="n">
        <v>309</v>
      </c>
      <c r="J390" s="1" t="n"/>
      <c r="K390" s="1" t="n"/>
      <c r="L390" s="1" t="n"/>
      <c r="M390" s="1" t="n"/>
      <c r="N390" s="1" t="n"/>
    </row>
    <row r="391">
      <c r="A391" s="1" t="inlineStr">
        <is>
          <t>26853591164749</t>
        </is>
      </c>
      <c r="B391" s="1" t="inlineStr">
        <is>
          <t>GORRA THIRTY ONE FOREVER</t>
        </is>
      </c>
      <c r="C391" s="1" t="n"/>
      <c r="D391" s="1" t="n"/>
      <c r="E391" s="1" t="n"/>
      <c r="F391" s="1" t="n"/>
      <c r="G391" s="1" t="n"/>
      <c r="H391" s="1" t="n"/>
      <c r="I391" s="6" t="n">
        <v>309</v>
      </c>
      <c r="J391" s="1" t="n"/>
      <c r="K391" s="1" t="n"/>
      <c r="L391" s="1" t="n"/>
      <c r="M391" s="1" t="n"/>
      <c r="N391" s="1" t="n"/>
    </row>
    <row r="392">
      <c r="A392" s="1" t="inlineStr">
        <is>
          <t>26853591295821</t>
        </is>
      </c>
      <c r="B392" s="1" t="inlineStr">
        <is>
          <t>GORRA EL BARBAS CHROME X CT</t>
        </is>
      </c>
      <c r="C392" s="1" t="n"/>
      <c r="D392" s="1" t="n"/>
      <c r="E392" s="1" t="n"/>
      <c r="F392" s="1" t="n"/>
      <c r="G392" s="1" t="n"/>
      <c r="H392" s="1" t="n"/>
      <c r="I392" s="6" t="n">
        <v>309</v>
      </c>
      <c r="J392" s="1" t="n"/>
      <c r="K392" s="1" t="n"/>
      <c r="L392" s="1" t="n"/>
      <c r="M392" s="1" t="n"/>
      <c r="N392" s="1" t="n"/>
    </row>
    <row r="393">
      <c r="A393" s="1" t="inlineStr">
        <is>
          <t>26853591330285</t>
        </is>
      </c>
      <c r="B393" s="1" t="inlineStr">
        <is>
          <t>GORRA EL BARBAS CHROME</t>
        </is>
      </c>
      <c r="C393" s="1" t="n"/>
      <c r="D393" s="1" t="n"/>
      <c r="E393" s="1" t="n"/>
      <c r="F393" s="1" t="n"/>
      <c r="G393" s="1" t="n"/>
      <c r="H393" s="1" t="n"/>
      <c r="I393" s="6" t="n">
        <v>309</v>
      </c>
      <c r="J393" s="1" t="n"/>
      <c r="K393" s="1" t="n"/>
      <c r="L393" s="1" t="n"/>
      <c r="M393" s="1" t="n"/>
      <c r="N393" s="1" t="n"/>
    </row>
    <row r="394">
      <c r="A394" s="1" t="inlineStr">
        <is>
          <t>26853591497517</t>
        </is>
      </c>
      <c r="B394" s="1" t="inlineStr">
        <is>
          <t>GORRA DANDY ONYX</t>
        </is>
      </c>
      <c r="C394" s="1" t="n"/>
      <c r="D394" s="1" t="n"/>
      <c r="E394" s="1" t="n"/>
      <c r="F394" s="1" t="n"/>
      <c r="G394" s="1" t="n"/>
      <c r="H394" s="1" t="n"/>
      <c r="I394" s="6" t="n">
        <v>309</v>
      </c>
      <c r="J394" s="1" t="n"/>
      <c r="K394" s="1" t="n"/>
      <c r="L394" s="1" t="n"/>
      <c r="M394" s="1" t="n"/>
      <c r="N394" s="1" t="n"/>
    </row>
    <row r="395">
      <c r="A395" s="1" t="inlineStr">
        <is>
          <t>26853591559661</t>
        </is>
      </c>
      <c r="B395" s="1" t="inlineStr">
        <is>
          <t>GORRA EL BARBAS X RICH THE KID STATE</t>
        </is>
      </c>
      <c r="C395" s="1" t="n"/>
      <c r="D395" s="1" t="n"/>
      <c r="E395" s="1" t="n"/>
      <c r="F395" s="1" t="n"/>
      <c r="G395" s="1" t="n"/>
      <c r="H395" s="1" t="n"/>
      <c r="I395" s="6" t="n">
        <v>309</v>
      </c>
      <c r="J395" s="1" t="n"/>
      <c r="K395" s="1" t="n"/>
      <c r="L395" s="1" t="n"/>
      <c r="M395" s="1" t="n"/>
      <c r="N395" s="1" t="n"/>
    </row>
    <row r="396">
      <c r="A396" s="1" t="inlineStr">
        <is>
          <t>26853591657965</t>
        </is>
      </c>
      <c r="B396" s="1" t="inlineStr">
        <is>
          <t>GORRA DANDY X JUNIOR EL AZUL</t>
        </is>
      </c>
      <c r="C396" s="1" t="n"/>
      <c r="D396" s="1" t="n"/>
      <c r="E396" s="1" t="n"/>
      <c r="F396" s="1" t="n"/>
      <c r="G396" s="1" t="n"/>
      <c r="H396" s="1" t="n"/>
      <c r="I396" s="6" t="n">
        <v>309</v>
      </c>
      <c r="J396" s="1" t="n"/>
      <c r="K396" s="1" t="n"/>
      <c r="L396" s="1" t="n"/>
      <c r="M396" s="1" t="n"/>
      <c r="N396" s="1" t="n"/>
    </row>
    <row r="397">
      <c r="A397" s="1" t="inlineStr">
        <is>
          <t>26853591721805</t>
        </is>
      </c>
      <c r="B397" s="1" t="inlineStr">
        <is>
          <t>GORRA DANDY X JUNIOR CLAVE ALI</t>
        </is>
      </c>
      <c r="C397" s="1" t="n"/>
      <c r="D397" s="1" t="n"/>
      <c r="E397" s="1" t="n"/>
      <c r="F397" s="1" t="n"/>
      <c r="G397" s="1" t="n"/>
      <c r="H397" s="1" t="n"/>
      <c r="I397" s="6" t="n">
        <v>309</v>
      </c>
      <c r="J397" s="1" t="n"/>
      <c r="K397" s="1" t="n"/>
      <c r="L397" s="1" t="n"/>
      <c r="M397" s="1" t="n"/>
      <c r="N397" s="1" t="n"/>
    </row>
    <row r="398">
      <c r="A398" s="1" t="inlineStr">
        <is>
          <t>26853591847789</t>
        </is>
      </c>
      <c r="B398" s="1" t="inlineStr">
        <is>
          <t>GORRA EL BARBAS GALAXY</t>
        </is>
      </c>
      <c r="C398" s="1" t="n"/>
      <c r="D398" s="1" t="n"/>
      <c r="E398" s="1" t="n"/>
      <c r="F398" s="1" t="n"/>
      <c r="G398" s="1" t="n"/>
      <c r="H398" s="1" t="n"/>
      <c r="I398" s="6" t="n">
        <v>309</v>
      </c>
      <c r="J398" s="1" t="n"/>
      <c r="K398" s="1" t="n"/>
      <c r="L398" s="1" t="n"/>
      <c r="M398" s="1" t="n"/>
      <c r="N398" s="1" t="n"/>
    </row>
    <row r="399">
      <c r="A399" s="1" t="inlineStr">
        <is>
          <t>26853591980557</t>
        </is>
      </c>
      <c r="B399" s="1" t="inlineStr">
        <is>
          <t>GORRA BARBAS B CHROME</t>
        </is>
      </c>
      <c r="C399" s="1" t="n"/>
      <c r="D399" s="1" t="n"/>
      <c r="E399" s="1" t="n"/>
      <c r="F399" s="1" t="n"/>
      <c r="G399" s="1" t="n"/>
      <c r="H399" s="1" t="n"/>
      <c r="I399" s="6" t="n">
        <v>309</v>
      </c>
      <c r="J399" s="1" t="n"/>
      <c r="K399" s="1" t="n"/>
      <c r="L399" s="1" t="n"/>
      <c r="M399" s="1" t="n"/>
      <c r="N399" s="1" t="n"/>
    </row>
    <row r="400">
      <c r="A400" s="1" t="inlineStr">
        <is>
          <t>26853592046093</t>
        </is>
      </c>
      <c r="B400" s="1" t="inlineStr">
        <is>
          <t>GORRA DANDY X LOST HILLS LH CHROME</t>
        </is>
      </c>
      <c r="C400" s="1" t="n"/>
      <c r="D400" s="1" t="n"/>
      <c r="E400" s="1" t="n"/>
      <c r="F400" s="1" t="n"/>
      <c r="G400" s="1" t="n"/>
      <c r="H400" s="1" t="n"/>
      <c r="I400" s="6" t="n">
        <v>309</v>
      </c>
      <c r="J400" s="1" t="n"/>
      <c r="K400" s="1" t="n"/>
      <c r="L400" s="1" t="n"/>
      <c r="M400" s="1" t="n"/>
      <c r="N400" s="1" t="n"/>
    </row>
    <row r="401">
      <c r="A401" s="1" t="inlineStr">
        <is>
          <t>26853592178861</t>
        </is>
      </c>
      <c r="B401" s="1" t="inlineStr">
        <is>
          <t>GORRA 31 FOREVER BLACK</t>
        </is>
      </c>
      <c r="C401" s="1" t="n"/>
      <c r="D401" s="1" t="n"/>
      <c r="E401" s="1" t="n"/>
      <c r="F401" s="1" t="n"/>
      <c r="G401" s="1" t="n"/>
      <c r="H401" s="1" t="n"/>
      <c r="I401" s="6" t="n">
        <v>309</v>
      </c>
      <c r="J401" s="1" t="n"/>
      <c r="K401" s="1" t="n"/>
      <c r="L401" s="1" t="n"/>
      <c r="M401" s="1" t="n"/>
      <c r="N401" s="1" t="n"/>
    </row>
    <row r="402">
      <c r="A402" s="1" t="inlineStr">
        <is>
          <t>26853592244397</t>
        </is>
      </c>
      <c r="B402" s="1" t="inlineStr">
        <is>
          <t>GORRA EL BARBAS 77</t>
        </is>
      </c>
      <c r="C402" s="1" t="n"/>
      <c r="D402" s="1" t="n"/>
      <c r="E402" s="1" t="n"/>
      <c r="F402" s="1" t="n"/>
      <c r="G402" s="1" t="n"/>
      <c r="H402" s="1" t="n"/>
      <c r="I402" s="6" t="n">
        <v>309</v>
      </c>
      <c r="J402" s="1" t="n"/>
      <c r="K402" s="1" t="n"/>
      <c r="L402" s="1" t="n"/>
      <c r="M402" s="1" t="n"/>
      <c r="N402" s="1" t="n"/>
    </row>
    <row r="403">
      <c r="A403" s="1" t="inlineStr">
        <is>
          <t>27009181053197</t>
        </is>
      </c>
      <c r="B403" s="1" t="inlineStr">
        <is>
          <t>ANILLO PANTHERE BIG SILVER C</t>
        </is>
      </c>
      <c r="C403" s="1" t="n"/>
      <c r="D403" s="1" t="n"/>
      <c r="E403" s="1" t="n"/>
      <c r="F403" s="6" t="n">
        <v>189.544486</v>
      </c>
      <c r="G403" s="6" t="n">
        <v>188.2544401</v>
      </c>
      <c r="H403" s="1" t="n"/>
      <c r="I403" s="1" t="n"/>
      <c r="J403" s="1" t="n"/>
      <c r="K403" s="1" t="n"/>
      <c r="L403" s="1" t="n"/>
      <c r="M403" s="1" t="n"/>
      <c r="N403" s="1" t="n"/>
    </row>
    <row r="404">
      <c r="A404" s="1" t="inlineStr">
        <is>
          <t>27127011173132</t>
        </is>
      </c>
      <c r="B404" s="1" t="inlineStr">
        <is>
          <t>COLLAR Bzero SILVER BLACK</t>
        </is>
      </c>
      <c r="C404" s="1" t="n"/>
      <c r="D404" s="1" t="n"/>
      <c r="E404" s="1" t="n"/>
      <c r="F404" s="1" t="n"/>
      <c r="G404" s="6" t="n">
        <v>104.5858001</v>
      </c>
      <c r="H404" s="1" t="n"/>
      <c r="I404" s="1" t="n"/>
      <c r="J404" s="1" t="n"/>
      <c r="K404" s="6" t="n">
        <v>105.1573679</v>
      </c>
      <c r="L404" s="1" t="n"/>
      <c r="M404" s="6" t="n">
        <v>105.0730323</v>
      </c>
      <c r="N404" s="1" t="n"/>
    </row>
    <row r="405">
      <c r="A405" s="1" t="inlineStr">
        <is>
          <t>27127017235212</t>
        </is>
      </c>
      <c r="B405" s="1" t="inlineStr">
        <is>
          <t>COLLAR Bzero ROSEGOLD BLACK</t>
        </is>
      </c>
      <c r="C405" s="1" t="n"/>
      <c r="D405" s="1" t="n"/>
      <c r="E405" s="1" t="n"/>
      <c r="F405" s="6" t="n">
        <v>84.03138878999999</v>
      </c>
      <c r="G405" s="1" t="n"/>
      <c r="H405" s="1" t="n"/>
      <c r="I405" s="6" t="n">
        <v>84.0632993</v>
      </c>
      <c r="J405" s="1" t="n"/>
      <c r="K405" s="1" t="n"/>
      <c r="L405" s="1" t="n"/>
      <c r="M405" s="1" t="n"/>
      <c r="N405" s="1" t="n"/>
    </row>
    <row r="406">
      <c r="A406" s="1" t="inlineStr">
        <is>
          <t>27168511089165</t>
        </is>
      </c>
      <c r="B406" s="1" t="inlineStr">
        <is>
          <t>BOLSA GG SMALL BROWN</t>
        </is>
      </c>
      <c r="C406" s="1" t="n"/>
      <c r="D406" s="1" t="n"/>
      <c r="E406" s="6" t="n">
        <v>661.470208</v>
      </c>
      <c r="F406" s="1" t="n"/>
      <c r="G406" s="1" t="n"/>
      <c r="H406" s="6" t="n">
        <v>1197.453571</v>
      </c>
      <c r="I406" s="1" t="n"/>
      <c r="J406" s="6" t="n">
        <v>1208.740883</v>
      </c>
      <c r="K406" s="1" t="n"/>
      <c r="L406" s="1" t="n"/>
      <c r="M406" s="1" t="n"/>
      <c r="N406" s="1" t="n"/>
    </row>
    <row r="407">
      <c r="A407" s="1" t="inlineStr">
        <is>
          <t>27854241086413</t>
        </is>
      </c>
      <c r="B407" s="1" t="inlineStr">
        <is>
          <t>ARETES KNOT GOLD</t>
        </is>
      </c>
      <c r="C407" s="1" t="n"/>
      <c r="D407" s="1" t="n"/>
      <c r="E407" s="1" t="n"/>
      <c r="F407" s="6" t="n">
        <v>115.8327414</v>
      </c>
      <c r="G407" s="1" t="n"/>
      <c r="H407" s="1" t="n"/>
      <c r="I407" s="1" t="n"/>
      <c r="J407" s="1" t="n"/>
      <c r="K407" s="1" t="n"/>
      <c r="L407" s="1" t="n"/>
      <c r="M407" s="6" t="n">
        <v>115.5803355</v>
      </c>
      <c r="N407" s="1" t="n"/>
    </row>
    <row r="408">
      <c r="A408" s="1" t="inlineStr">
        <is>
          <t>29024531094765</t>
        </is>
      </c>
      <c r="B408" s="1" t="inlineStr">
        <is>
          <t>UGG PANTUFLAS TAZZ II</t>
        </is>
      </c>
      <c r="C408" s="1" t="n"/>
      <c r="D408" s="1" t="n"/>
      <c r="E408" s="6" t="n">
        <v>1190.405247</v>
      </c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</row>
    <row r="409">
      <c r="A409" s="1" t="inlineStr">
        <is>
          <t>29502191036205</t>
        </is>
      </c>
      <c r="B409" s="1" t="inlineStr">
        <is>
          <t>ANILLO LV LES GASTONS SILVER</t>
        </is>
      </c>
      <c r="C409" s="1" t="n"/>
      <c r="D409" s="1" t="n"/>
      <c r="E409" s="6" t="n">
        <v>212.615424</v>
      </c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</row>
    <row r="410">
      <c r="A410" s="1" t="inlineStr">
        <is>
          <t>29502191036206</t>
        </is>
      </c>
      <c r="B410" s="1" t="n"/>
      <c r="C410" s="1" t="n"/>
      <c r="D410" s="1" t="n"/>
      <c r="E410" s="6" t="n">
        <v>212.615424</v>
      </c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</row>
    <row r="411">
      <c r="A411" s="1" t="inlineStr">
        <is>
          <t>29603521001805</t>
        </is>
      </c>
      <c r="B411" s="1" t="inlineStr">
        <is>
          <t>ARRACADAS CD LOGO CON ZIRCONIAS</t>
        </is>
      </c>
      <c r="C411" s="1" t="n"/>
      <c r="D411" s="1" t="n"/>
      <c r="E411" s="6" t="n">
        <v>230.5760476</v>
      </c>
      <c r="F411" s="1" t="n"/>
      <c r="G411" s="1" t="n"/>
      <c r="H411" s="1" t="n"/>
      <c r="I411" s="1" t="n"/>
      <c r="J411" s="1" t="n"/>
      <c r="K411" s="6" t="n">
        <v>228.360815</v>
      </c>
      <c r="L411" s="1" t="n"/>
      <c r="M411" s="1" t="n"/>
      <c r="N411" s="1" t="n"/>
    </row>
    <row r="412">
      <c r="A412" s="1" t="inlineStr">
        <is>
          <t>29736661018765</t>
        </is>
      </c>
      <c r="B412" s="1" t="inlineStr">
        <is>
          <t>PULSERA CD D-LUCK GOLD</t>
        </is>
      </c>
      <c r="C412" s="1" t="n"/>
      <c r="D412" s="1" t="n"/>
      <c r="E412" s="1" t="n"/>
      <c r="F412" s="1" t="n"/>
      <c r="G412" s="1" t="n"/>
      <c r="H412" s="1" t="n"/>
      <c r="I412" s="6" t="n">
        <v>384.377263</v>
      </c>
      <c r="J412" s="1" t="n"/>
      <c r="K412" s="1" t="n"/>
      <c r="L412" s="1" t="n"/>
      <c r="M412" s="1" t="n"/>
      <c r="N412" s="1" t="n"/>
    </row>
    <row r="413">
      <c r="A413" s="1" t="inlineStr">
        <is>
          <t>29736661175277</t>
        </is>
      </c>
      <c r="B413" s="1" t="inlineStr">
        <is>
          <t>COLLAR CD FLEUR GOLD</t>
        </is>
      </c>
      <c r="C413" s="1" t="n"/>
      <c r="D413" s="1" t="n"/>
      <c r="E413" s="1" t="n"/>
      <c r="F413" s="1" t="n"/>
      <c r="G413" s="1" t="n"/>
      <c r="H413" s="1" t="n"/>
      <c r="I413" s="6" t="n">
        <v>256.2515086</v>
      </c>
      <c r="J413" s="1" t="n"/>
      <c r="K413" s="1" t="n"/>
      <c r="L413" s="1" t="n"/>
      <c r="M413" s="6" t="n">
        <v>252.1752775</v>
      </c>
      <c r="N413" s="1" t="n"/>
    </row>
    <row r="414">
      <c r="A414" s="1" t="inlineStr">
        <is>
          <t>29736661267949</t>
        </is>
      </c>
      <c r="B414" s="1" t="inlineStr">
        <is>
          <t>PULSERA CD PETIT JOLIE METAL GOLD</t>
        </is>
      </c>
      <c r="C414" s="1" t="n"/>
      <c r="D414" s="1" t="n"/>
      <c r="E414" s="1" t="n"/>
      <c r="F414" s="1" t="n"/>
      <c r="G414" s="1" t="n"/>
      <c r="H414" s="1" t="n"/>
      <c r="I414" s="6" t="n">
        <v>213.5429239</v>
      </c>
      <c r="J414" s="1" t="n"/>
      <c r="K414" s="1" t="n"/>
      <c r="L414" s="1" t="n"/>
      <c r="M414" s="6" t="n">
        <v>210.1460646</v>
      </c>
      <c r="N414" s="1" t="n"/>
    </row>
    <row r="415">
      <c r="A415" s="1" t="inlineStr">
        <is>
          <t>29736661383277</t>
        </is>
      </c>
      <c r="B415" s="1" t="inlineStr">
        <is>
          <t>PULSERA CD PETIT CIRCLE GOLD</t>
        </is>
      </c>
      <c r="C415" s="1" t="n"/>
      <c r="D415" s="1" t="n"/>
      <c r="E415" s="1" t="n"/>
      <c r="F415" s="1" t="n"/>
      <c r="G415" s="1" t="n"/>
      <c r="H415" s="1" t="n"/>
      <c r="I415" s="6" t="n">
        <v>149.4800467</v>
      </c>
      <c r="J415" s="1" t="n"/>
      <c r="K415" s="1" t="n"/>
      <c r="L415" s="1" t="n"/>
      <c r="M415" s="6" t="n">
        <v>147.1022452</v>
      </c>
      <c r="N415" s="1" t="n"/>
    </row>
    <row r="416">
      <c r="A416" s="1" t="inlineStr">
        <is>
          <t>29736661440333</t>
        </is>
      </c>
      <c r="B416" s="1" t="inlineStr">
        <is>
          <t>ARETES CD PETIT DUO GOLD</t>
        </is>
      </c>
      <c r="C416" s="1" t="n"/>
      <c r="D416" s="1" t="n"/>
      <c r="E416" s="1" t="n"/>
      <c r="F416" s="1" t="n"/>
      <c r="G416" s="1" t="n"/>
      <c r="H416" s="1" t="n"/>
      <c r="I416" s="6" t="n">
        <v>213.5429239</v>
      </c>
      <c r="J416" s="1" t="n"/>
      <c r="K416" s="1" t="n"/>
      <c r="L416" s="6" t="n">
        <v>209.892953</v>
      </c>
      <c r="M416" s="1" t="n"/>
      <c r="N416" s="1" t="n"/>
    </row>
    <row r="417">
      <c r="A417" s="1" t="inlineStr">
        <is>
          <t>29736661558989</t>
        </is>
      </c>
      <c r="B417" s="1" t="inlineStr">
        <is>
          <t>ARETES CD D-LUCK GOLD</t>
        </is>
      </c>
      <c r="C417" s="1" t="n"/>
      <c r="D417" s="1" t="n"/>
      <c r="E417" s="1" t="n"/>
      <c r="F417" s="1" t="n"/>
      <c r="G417" s="1" t="n"/>
      <c r="H417" s="1" t="n"/>
      <c r="I417" s="6" t="n">
        <v>128.1257543</v>
      </c>
      <c r="J417" s="1" t="n"/>
      <c r="K417" s="1" t="n"/>
      <c r="L417" s="6" t="n">
        <v>125.9357718</v>
      </c>
      <c r="M417" s="1" t="n"/>
      <c r="N417" s="1" t="n"/>
    </row>
    <row r="418">
      <c r="A418" s="1" t="inlineStr">
        <is>
          <t>29736661629069</t>
        </is>
      </c>
      <c r="B418" s="1" t="inlineStr">
        <is>
          <t>BROCHE CD PETIT PEARL GOLD</t>
        </is>
      </c>
      <c r="C418" s="1" t="n"/>
      <c r="D418" s="1" t="n"/>
      <c r="E418" s="1" t="n"/>
      <c r="F418" s="1" t="n"/>
      <c r="G418" s="1" t="n"/>
      <c r="H418" s="1" t="n"/>
      <c r="I418" s="6" t="n">
        <v>128.1257543</v>
      </c>
      <c r="J418" s="1" t="n"/>
      <c r="K418" s="1" t="n"/>
      <c r="L418" s="1" t="n"/>
      <c r="M418" s="1" t="n"/>
      <c r="N418" s="1" t="n"/>
    </row>
    <row r="419">
      <c r="A419" s="1" t="inlineStr">
        <is>
          <t>29736661772013</t>
        </is>
      </c>
      <c r="B419" s="1" t="inlineStr">
        <is>
          <t>COLLAR CD DOBLE PETIT GOLD</t>
        </is>
      </c>
      <c r="C419" s="1" t="n"/>
      <c r="D419" s="1" t="n"/>
      <c r="E419" s="1" t="n"/>
      <c r="F419" s="1" t="n"/>
      <c r="G419" s="1" t="n"/>
      <c r="H419" s="1" t="n"/>
      <c r="I419" s="6" t="n">
        <v>128.1257543</v>
      </c>
      <c r="J419" s="1" t="n"/>
      <c r="K419" s="1" t="n"/>
      <c r="L419" s="6" t="n">
        <v>127.3118536</v>
      </c>
      <c r="M419" s="1" t="n"/>
      <c r="N419" s="1" t="n"/>
    </row>
    <row r="420">
      <c r="A420" s="1" t="inlineStr">
        <is>
          <t>29736661818349</t>
        </is>
      </c>
      <c r="B420" s="1" t="inlineStr">
        <is>
          <t>ANILLO T X GOLD</t>
        </is>
      </c>
      <c r="C420" s="1" t="n"/>
      <c r="D420" s="1" t="n"/>
      <c r="E420" s="1" t="n"/>
      <c r="F420" s="1" t="n"/>
      <c r="G420" s="1" t="n"/>
      <c r="H420" s="1" t="n"/>
      <c r="I420" s="6" t="n">
        <v>128.1257543</v>
      </c>
      <c r="J420" s="1" t="n"/>
      <c r="K420" s="1" t="n"/>
      <c r="L420" s="6" t="n">
        <v>125.9357718</v>
      </c>
      <c r="M420" s="1" t="n"/>
      <c r="N420" s="1" t="n"/>
    </row>
    <row r="421">
      <c r="A421" s="1" t="inlineStr">
        <is>
          <t>29736661951117</t>
        </is>
      </c>
      <c r="B421" s="1" t="inlineStr">
        <is>
          <t>ANILLO T X GOLD</t>
        </is>
      </c>
      <c r="C421" s="1" t="n"/>
      <c r="D421" s="1" t="n"/>
      <c r="E421" s="1" t="n"/>
      <c r="F421" s="1" t="n"/>
      <c r="G421" s="1" t="n"/>
      <c r="H421" s="1" t="n"/>
      <c r="I421" s="6" t="n">
        <v>128.1257543</v>
      </c>
      <c r="J421" s="1" t="n"/>
      <c r="K421" s="1" t="n"/>
      <c r="L421" s="1" t="n"/>
      <c r="M421" s="1" t="n"/>
      <c r="N421" s="1" t="n"/>
    </row>
    <row r="422">
      <c r="A422" s="1" t="inlineStr">
        <is>
          <t>29736662086733</t>
        </is>
      </c>
      <c r="B422" s="1" t="inlineStr">
        <is>
          <t>ANILLO T SERPIENTE GOLD</t>
        </is>
      </c>
      <c r="C422" s="1" t="n"/>
      <c r="D422" s="1" t="n"/>
      <c r="E422" s="1" t="n"/>
      <c r="F422" s="1" t="n"/>
      <c r="G422" s="1" t="n"/>
      <c r="H422" s="1" t="n"/>
      <c r="I422" s="6" t="n">
        <v>106.7714619</v>
      </c>
      <c r="J422" s="1" t="n"/>
      <c r="K422" s="1" t="n"/>
      <c r="L422" s="6" t="n">
        <v>104.9464765</v>
      </c>
      <c r="M422" s="1" t="n"/>
      <c r="N422" s="1" t="n"/>
    </row>
    <row r="423">
      <c r="A423" s="1" t="inlineStr">
        <is>
          <t>29736662119501</t>
        </is>
      </c>
      <c r="B423" s="1" t="inlineStr">
        <is>
          <t>ANILLO T SERPIENTE GOLD</t>
        </is>
      </c>
      <c r="C423" s="1" t="n"/>
      <c r="D423" s="1" t="n"/>
      <c r="E423" s="1" t="n"/>
      <c r="F423" s="1" t="n"/>
      <c r="G423" s="1" t="n"/>
      <c r="H423" s="1" t="n"/>
      <c r="I423" s="6" t="n">
        <v>106.7714619</v>
      </c>
      <c r="J423" s="1" t="n"/>
      <c r="K423" s="1" t="n"/>
      <c r="L423" s="6" t="n">
        <v>148.3183094</v>
      </c>
      <c r="M423" s="1" t="n"/>
      <c r="N423" s="1" t="n"/>
    </row>
    <row r="424">
      <c r="A424" s="1" t="inlineStr">
        <is>
          <t>29736662234765</t>
        </is>
      </c>
      <c r="B424" s="1" t="inlineStr">
        <is>
          <t>ANILLO CD TRIBALES GOLD</t>
        </is>
      </c>
      <c r="C424" s="1" t="n"/>
      <c r="D424" s="1" t="n"/>
      <c r="E424" s="1" t="n"/>
      <c r="F424" s="1" t="n"/>
      <c r="G424" s="1" t="n"/>
      <c r="H424" s="1" t="n"/>
      <c r="I424" s="6" t="n">
        <v>149.2665038</v>
      </c>
      <c r="J424" s="1" t="n"/>
      <c r="K424" s="1" t="n"/>
      <c r="L424" s="6" t="n">
        <v>146.7151741</v>
      </c>
      <c r="M424" s="1" t="n"/>
      <c r="N424" s="1" t="n"/>
    </row>
    <row r="425">
      <c r="A425" s="1" t="inlineStr">
        <is>
          <t>29736662373773</t>
        </is>
      </c>
      <c r="B425" s="1" t="inlineStr">
        <is>
          <t>ANILLO T CIERRE DOBLE SILVER</t>
        </is>
      </c>
      <c r="C425" s="1" t="n"/>
      <c r="D425" s="1" t="n"/>
      <c r="E425" s="1" t="n"/>
      <c r="F425" s="1" t="n"/>
      <c r="G425" s="1" t="n"/>
      <c r="H425" s="1" t="n"/>
      <c r="I425" s="6" t="n">
        <v>106.7714619</v>
      </c>
      <c r="J425" s="1" t="n"/>
      <c r="K425" s="1" t="n"/>
      <c r="L425" s="1" t="n"/>
      <c r="M425" s="1" t="n"/>
      <c r="N425" s="1" t="n"/>
    </row>
    <row r="426">
      <c r="A426" s="1" t="inlineStr">
        <is>
          <t>29736662406541</t>
        </is>
      </c>
      <c r="B426" s="1" t="inlineStr">
        <is>
          <t>ANILLO T CIERRE DOBLE SILVER</t>
        </is>
      </c>
      <c r="C426" s="1" t="n"/>
      <c r="D426" s="1" t="n"/>
      <c r="E426" s="1" t="n"/>
      <c r="F426" s="1" t="n"/>
      <c r="G426" s="1" t="n"/>
      <c r="H426" s="1" t="n"/>
      <c r="I426" s="6" t="n">
        <v>106.7714619</v>
      </c>
      <c r="J426" s="1" t="n"/>
      <c r="K426" s="1" t="n"/>
      <c r="L426" s="1" t="n"/>
      <c r="M426" s="1" t="n"/>
      <c r="N426" s="1" t="n"/>
    </row>
    <row r="427">
      <c r="A427" s="1" t="inlineStr">
        <is>
          <t>29736662528589</t>
        </is>
      </c>
      <c r="B427" s="1" t="inlineStr">
        <is>
          <t>ANILLO OPEN HEART SILVER</t>
        </is>
      </c>
      <c r="C427" s="1" t="n"/>
      <c r="D427" s="1" t="n"/>
      <c r="E427" s="1" t="n"/>
      <c r="F427" s="1" t="n"/>
      <c r="G427" s="1" t="n"/>
      <c r="H427" s="1" t="n"/>
      <c r="I427" s="6" t="n">
        <v>149.2665038</v>
      </c>
      <c r="J427" s="1" t="n"/>
      <c r="K427" s="1" t="n"/>
      <c r="L427" s="1" t="n"/>
      <c r="M427" s="1" t="n"/>
      <c r="N427" s="1" t="n"/>
    </row>
    <row r="428">
      <c r="A428" s="1" t="inlineStr">
        <is>
          <t>29736662661357</t>
        </is>
      </c>
      <c r="B428" s="1" t="inlineStr">
        <is>
          <t>ANILLO OPEN HEART SILVER</t>
        </is>
      </c>
      <c r="C428" s="1" t="n"/>
      <c r="D428" s="1" t="n"/>
      <c r="E428" s="1" t="n"/>
      <c r="F428" s="1" t="n"/>
      <c r="G428" s="1" t="n"/>
      <c r="H428" s="1" t="n"/>
      <c r="I428" s="6" t="n">
        <v>149.2665038</v>
      </c>
      <c r="J428" s="1" t="n"/>
      <c r="K428" s="1" t="n"/>
      <c r="L428" s="6" t="n">
        <v>146.7151741</v>
      </c>
      <c r="M428" s="6" t="n">
        <v>146.8920992</v>
      </c>
      <c r="N428" s="1" t="n"/>
    </row>
    <row r="429">
      <c r="A429" s="1" t="inlineStr">
        <is>
          <t>29736662752941</t>
        </is>
      </c>
      <c r="B429" s="1" t="inlineStr">
        <is>
          <t>ANILLO T SILVER CON ZIRCONIA</t>
        </is>
      </c>
      <c r="C429" s="1" t="n"/>
      <c r="D429" s="1" t="n"/>
      <c r="E429" s="1" t="n"/>
      <c r="F429" s="1" t="n"/>
      <c r="G429" s="1" t="n"/>
      <c r="H429" s="1" t="n"/>
      <c r="I429" s="6" t="n">
        <v>85.41716955</v>
      </c>
      <c r="J429" s="1" t="n"/>
      <c r="K429" s="1" t="n"/>
      <c r="L429" s="6" t="n">
        <v>83.95718118000001</v>
      </c>
      <c r="M429" s="1" t="n"/>
      <c r="N429" s="1" t="n"/>
    </row>
    <row r="430">
      <c r="A430" s="1" t="inlineStr">
        <is>
          <t>29736662885709</t>
        </is>
      </c>
      <c r="B430" s="1" t="inlineStr">
        <is>
          <t>ANILLO T SILVER ZIRCONIAS</t>
        </is>
      </c>
      <c r="C430" s="1" t="n"/>
      <c r="D430" s="1" t="n"/>
      <c r="E430" s="1" t="n"/>
      <c r="F430" s="1" t="n"/>
      <c r="G430" s="1" t="n"/>
      <c r="H430" s="1" t="n"/>
      <c r="I430" s="6" t="n">
        <v>85.41716955</v>
      </c>
      <c r="J430" s="1" t="n"/>
      <c r="K430" s="1" t="n"/>
      <c r="L430" s="1" t="n"/>
      <c r="M430" s="1" t="n"/>
      <c r="N430" s="1" t="n"/>
    </row>
    <row r="431">
      <c r="A431" s="1" t="inlineStr">
        <is>
          <t>29736672903821</t>
        </is>
      </c>
      <c r="B431" s="1" t="inlineStr">
        <is>
          <t>ANILLO T PEARL ROSE GOLD</t>
        </is>
      </c>
      <c r="C431" s="1" t="n"/>
      <c r="D431" s="1" t="n"/>
      <c r="E431" s="1" t="n"/>
      <c r="F431" s="1" t="n"/>
      <c r="G431" s="1" t="n"/>
      <c r="H431" s="1" t="n"/>
      <c r="I431" s="6" t="n">
        <v>106.7714619</v>
      </c>
      <c r="J431" s="1" t="n"/>
      <c r="K431" s="1" t="n"/>
      <c r="L431" s="1" t="n"/>
      <c r="M431" s="6" t="n">
        <v>105.0730323</v>
      </c>
      <c r="N431" s="1" t="n"/>
    </row>
    <row r="432">
      <c r="A432" s="1" t="inlineStr">
        <is>
          <t>29736673036589</t>
        </is>
      </c>
      <c r="B432" s="1" t="inlineStr">
        <is>
          <t>ANILLO T PEARL ROSE GOLD</t>
        </is>
      </c>
      <c r="C432" s="1" t="n"/>
      <c r="D432" s="1" t="n"/>
      <c r="E432" s="1" t="n"/>
      <c r="F432" s="1" t="n"/>
      <c r="G432" s="1" t="n"/>
      <c r="H432" s="1" t="n"/>
      <c r="I432" s="6" t="n">
        <v>106.7714619</v>
      </c>
      <c r="J432" s="1" t="n"/>
      <c r="K432" s="1" t="n"/>
      <c r="L432" s="1" t="n"/>
      <c r="M432" s="1" t="n"/>
      <c r="N432" s="1" t="n"/>
    </row>
    <row r="433">
      <c r="A433" s="1" t="inlineStr">
        <is>
          <t>29736673163725</t>
        </is>
      </c>
      <c r="B433" s="1" t="inlineStr">
        <is>
          <t>ANILLO T BONE SILVER</t>
        </is>
      </c>
      <c r="C433" s="1" t="n"/>
      <c r="D433" s="1" t="n"/>
      <c r="E433" s="1" t="n"/>
      <c r="F433" s="1" t="n"/>
      <c r="G433" s="1" t="n"/>
      <c r="H433" s="1" t="n"/>
      <c r="I433" s="6" t="n">
        <v>170.8343391</v>
      </c>
      <c r="J433" s="1" t="n"/>
      <c r="K433" s="1" t="n"/>
      <c r="L433" s="1" t="n"/>
      <c r="M433" s="1" t="n"/>
      <c r="N433" s="1" t="n"/>
    </row>
    <row r="434">
      <c r="A434" s="1" t="inlineStr">
        <is>
          <t>29736673276749</t>
        </is>
      </c>
      <c r="B434" s="1" t="inlineStr">
        <is>
          <t>ANILLO T ZIRCONIAS GOLD</t>
        </is>
      </c>
      <c r="C434" s="1" t="n"/>
      <c r="D434" s="1" t="n"/>
      <c r="E434" s="1" t="n"/>
      <c r="F434" s="1" t="n"/>
      <c r="G434" s="1" t="n"/>
      <c r="H434" s="1" t="n"/>
      <c r="I434" s="6" t="n">
        <v>85.41716955</v>
      </c>
      <c r="J434" s="1" t="n"/>
      <c r="K434" s="1" t="n"/>
      <c r="L434" s="1" t="n"/>
      <c r="M434" s="1" t="n"/>
      <c r="N434" s="1" t="n"/>
    </row>
    <row r="435">
      <c r="A435" s="1" t="inlineStr">
        <is>
          <t>29736673309517</t>
        </is>
      </c>
      <c r="B435" s="1" t="inlineStr">
        <is>
          <t>ANILLO T ZIRCONIAS GOLD</t>
        </is>
      </c>
      <c r="C435" s="1" t="n"/>
      <c r="D435" s="1" t="n"/>
      <c r="E435" s="1" t="n"/>
      <c r="F435" s="1" t="n"/>
      <c r="G435" s="1" t="n"/>
      <c r="H435" s="1" t="n"/>
      <c r="I435" s="6" t="n">
        <v>85.41716955</v>
      </c>
      <c r="J435" s="1" t="n"/>
      <c r="K435" s="1" t="n"/>
      <c r="L435" s="1" t="n"/>
      <c r="M435" s="1" t="n"/>
      <c r="N435" s="1" t="n"/>
    </row>
    <row r="436">
      <c r="A436" s="1" t="inlineStr">
        <is>
          <t>29736673439437</t>
        </is>
      </c>
      <c r="B436" s="1" t="inlineStr">
        <is>
          <t>ANILLO T ZIRCONIAS ROSE GOLD</t>
        </is>
      </c>
      <c r="C436" s="1" t="n"/>
      <c r="D436" s="1" t="n"/>
      <c r="E436" s="1" t="n"/>
      <c r="F436" s="1" t="n"/>
      <c r="G436" s="1" t="n"/>
      <c r="H436" s="1" t="n"/>
      <c r="I436" s="6" t="n">
        <v>85.41716955</v>
      </c>
      <c r="J436" s="1" t="n"/>
      <c r="K436" s="1" t="n"/>
      <c r="L436" s="1" t="n"/>
      <c r="M436" s="1" t="n"/>
      <c r="N436" s="1" t="n"/>
    </row>
    <row r="437">
      <c r="A437" s="1" t="inlineStr">
        <is>
          <t>29736673572205</t>
        </is>
      </c>
      <c r="B437" s="1" t="inlineStr">
        <is>
          <t>ANILLO T ZIRCONIAS ROSE GOLD</t>
        </is>
      </c>
      <c r="C437" s="1" t="n"/>
      <c r="D437" s="1" t="n"/>
      <c r="E437" s="1" t="n"/>
      <c r="F437" s="1" t="n"/>
      <c r="G437" s="1" t="n"/>
      <c r="H437" s="1" t="n"/>
      <c r="I437" s="6" t="n">
        <v>85.41716955</v>
      </c>
      <c r="J437" s="1" t="n"/>
      <c r="K437" s="1" t="n"/>
      <c r="L437" s="1" t="n"/>
      <c r="M437" s="1" t="n"/>
      <c r="N437" s="1" t="n"/>
    </row>
    <row r="438">
      <c r="A438" s="1" t="inlineStr">
        <is>
          <t>29736673659245</t>
        </is>
      </c>
      <c r="B438" s="1" t="inlineStr">
        <is>
          <t>ARETES T SMILE HALF ZIRCONIAS GOLD</t>
        </is>
      </c>
      <c r="C438" s="1" t="n"/>
      <c r="D438" s="1" t="n"/>
      <c r="E438" s="1" t="n"/>
      <c r="F438" s="1" t="n"/>
      <c r="G438" s="1" t="n"/>
      <c r="H438" s="1" t="n"/>
      <c r="I438" s="6" t="n">
        <v>106.557919</v>
      </c>
      <c r="J438" s="1" t="n"/>
      <c r="K438" s="1" t="n"/>
      <c r="L438" s="6" t="n">
        <v>104.7365835</v>
      </c>
      <c r="M438" s="6" t="n">
        <v>104.8628862</v>
      </c>
      <c r="N438" s="1" t="n"/>
    </row>
    <row r="439">
      <c r="A439" s="1" t="inlineStr">
        <is>
          <t>29736673779597</t>
        </is>
      </c>
      <c r="B439" s="1" t="inlineStr">
        <is>
          <t>ARETES T VICTORIA</t>
        </is>
      </c>
      <c r="C439" s="1" t="n"/>
      <c r="D439" s="1" t="n"/>
      <c r="E439" s="1" t="n"/>
      <c r="F439" s="1" t="n"/>
      <c r="G439" s="1" t="n"/>
      <c r="H439" s="1" t="n"/>
      <c r="I439" s="6" t="n">
        <v>128.1257543</v>
      </c>
      <c r="J439" s="1" t="n"/>
      <c r="K439" s="1" t="n"/>
      <c r="L439" s="6" t="n">
        <v>125.9357718</v>
      </c>
      <c r="M439" s="1" t="n"/>
      <c r="N439" s="1" t="n"/>
    </row>
    <row r="440">
      <c r="A440" s="1" t="inlineStr">
        <is>
          <t>29736673893165</t>
        </is>
      </c>
      <c r="B440" s="1" t="inlineStr">
        <is>
          <t>ARETES T SQUARE SIXTEEN STONE SILVER</t>
        </is>
      </c>
      <c r="C440" s="1" t="n"/>
      <c r="D440" s="1" t="n"/>
      <c r="E440" s="1" t="n"/>
      <c r="F440" s="1" t="n"/>
      <c r="G440" s="1" t="n"/>
      <c r="H440" s="1" t="n"/>
      <c r="I440" s="6" t="n">
        <v>138.8029005</v>
      </c>
      <c r="J440" s="1" t="n"/>
      <c r="K440" s="6" t="n">
        <v>136.7045783</v>
      </c>
      <c r="L440" s="6" t="n">
        <v>137.9211747</v>
      </c>
      <c r="M440" s="6" t="n">
        <v>136.594942</v>
      </c>
      <c r="N440" s="1" t="n"/>
    </row>
    <row r="441">
      <c r="A441" s="1" t="inlineStr">
        <is>
          <t>29736673965485</t>
        </is>
      </c>
      <c r="B441" s="1" t="inlineStr">
        <is>
          <t>ARETES KNOT SMALL GOLD</t>
        </is>
      </c>
      <c r="C441" s="1" t="n"/>
      <c r="D441" s="1" t="n"/>
      <c r="E441" s="1" t="n"/>
      <c r="F441" s="1" t="n"/>
      <c r="G441" s="1" t="n"/>
      <c r="H441" s="1" t="n"/>
      <c r="I441" s="6" t="n">
        <v>128.1257543</v>
      </c>
      <c r="J441" s="1" t="n"/>
      <c r="K441" s="6" t="n">
        <v>126.1888415</v>
      </c>
      <c r="L441" s="6" t="n">
        <v>127.3118536</v>
      </c>
      <c r="M441" s="6" t="n">
        <v>126.0876388</v>
      </c>
      <c r="N441" s="1" t="n"/>
    </row>
    <row r="442">
      <c r="A442" s="1" t="inlineStr">
        <is>
          <t>29736674042893</t>
        </is>
      </c>
      <c r="B442" s="1" t="inlineStr">
        <is>
          <t>ARETES T CIRCULARES ROSE GOLD</t>
        </is>
      </c>
      <c r="C442" s="1" t="n"/>
      <c r="D442" s="1" t="n"/>
      <c r="E442" s="1" t="n"/>
      <c r="F442" s="1" t="n"/>
      <c r="G442" s="1" t="n"/>
      <c r="H442" s="1" t="n"/>
      <c r="I442" s="6" t="n">
        <v>170.8343391</v>
      </c>
      <c r="J442" s="1" t="n"/>
      <c r="K442" s="1" t="n"/>
      <c r="L442" s="1" t="n"/>
      <c r="M442" s="6" t="n">
        <v>168.1168517</v>
      </c>
      <c r="N442" s="1" t="n"/>
    </row>
    <row r="443">
      <c r="A443" s="1" t="inlineStr">
        <is>
          <t>29736674158157</t>
        </is>
      </c>
      <c r="B443" s="1" t="inlineStr">
        <is>
          <t>COLLAR OPEN HEAR GOLD ZIRCONIAS</t>
        </is>
      </c>
      <c r="C443" s="1" t="n"/>
      <c r="D443" s="1" t="n"/>
      <c r="E443" s="1" t="n"/>
      <c r="F443" s="1" t="n"/>
      <c r="G443" s="1" t="n"/>
      <c r="H443" s="1" t="n"/>
      <c r="I443" s="6" t="n">
        <v>170.8343391</v>
      </c>
      <c r="J443" s="1" t="n"/>
      <c r="K443" s="1" t="n"/>
      <c r="L443" s="6" t="n">
        <v>169.7491381</v>
      </c>
      <c r="M443" s="1" t="n"/>
      <c r="N443" s="1" t="n"/>
    </row>
    <row r="444">
      <c r="A444" s="1" t="inlineStr">
        <is>
          <t>29736674296013</t>
        </is>
      </c>
      <c r="B444" s="1" t="inlineStr">
        <is>
          <t>COLLAR COLGANTE LOVE</t>
        </is>
      </c>
      <c r="C444" s="1" t="n"/>
      <c r="D444" s="1" t="n"/>
      <c r="E444" s="1" t="n"/>
      <c r="F444" s="1" t="n"/>
      <c r="G444" s="1" t="n"/>
      <c r="H444" s="1" t="n"/>
      <c r="I444" s="6" t="n">
        <v>213.5429239</v>
      </c>
      <c r="J444" s="1" t="n"/>
      <c r="K444" s="1" t="n"/>
      <c r="L444" s="1" t="n"/>
      <c r="M444" s="1" t="n"/>
      <c r="N444" s="1" t="n"/>
    </row>
    <row r="445">
      <c r="A445" s="1" t="inlineStr">
        <is>
          <t>29852177262732</t>
        </is>
      </c>
      <c r="B445" s="1" t="inlineStr">
        <is>
          <t>PULSERA TREBOL GOLD VF</t>
        </is>
      </c>
      <c r="C445" s="1" t="n"/>
      <c r="D445" s="1" t="n"/>
      <c r="E445" s="1" t="n"/>
      <c r="F445" s="1" t="n"/>
      <c r="G445" s="6" t="n">
        <v>711.1834404</v>
      </c>
      <c r="H445" s="1" t="n"/>
      <c r="I445" s="1" t="n"/>
      <c r="J445" s="1" t="n"/>
      <c r="K445" s="6" t="n">
        <v>147.2203151</v>
      </c>
      <c r="L445" s="6" t="n">
        <v>146.9250671</v>
      </c>
      <c r="M445" s="1" t="n"/>
      <c r="N445" s="1" t="n"/>
    </row>
    <row r="446">
      <c r="A446" s="1" t="inlineStr">
        <is>
          <t>29857041083437</t>
        </is>
      </c>
      <c r="B446" s="1" t="inlineStr">
        <is>
          <t>PULSERA CHROMES</t>
        </is>
      </c>
      <c r="C446" s="1" t="n"/>
      <c r="D446" s="1" t="n"/>
      <c r="E446" s="1" t="n"/>
      <c r="F446" s="1" t="n"/>
      <c r="G446" s="1" t="n"/>
      <c r="H446" s="1" t="n"/>
      <c r="I446" s="1" t="n"/>
      <c r="J446" s="1" t="n"/>
      <c r="K446" s="6" t="n">
        <v>157.7679581</v>
      </c>
      <c r="L446" s="6" t="n">
        <v>159.9234162</v>
      </c>
      <c r="M446" s="1" t="n"/>
      <c r="N446" s="1" t="n"/>
    </row>
    <row r="447">
      <c r="A447" s="1" t="inlineStr">
        <is>
          <t>29953901022861</t>
        </is>
      </c>
      <c r="B447" s="1" t="inlineStr">
        <is>
          <t>GORRA CC WHITE</t>
        </is>
      </c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6" t="n">
        <v>441.2058562</v>
      </c>
      <c r="N447" s="1" t="n"/>
    </row>
    <row r="448">
      <c r="A448" s="1" t="inlineStr">
        <is>
          <t>29953901152237</t>
        </is>
      </c>
      <c r="B448" s="1" t="inlineStr">
        <is>
          <t>BOLSO CD CRUNCHY MILLY</t>
        </is>
      </c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6" t="n">
        <v>1593.24337</v>
      </c>
      <c r="N448" s="1" t="n"/>
    </row>
    <row r="449">
      <c r="A449" s="1" t="inlineStr">
        <is>
          <t>29953901285005</t>
        </is>
      </c>
      <c r="B449" s="1" t="inlineStr">
        <is>
          <t>CINTO CD MEDALLON</t>
        </is>
      </c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6" t="n">
        <v>1299.106132</v>
      </c>
      <c r="N449" s="1" t="n"/>
    </row>
    <row r="450">
      <c r="A450" s="1" t="inlineStr">
        <is>
          <t>29953901383309</t>
        </is>
      </c>
      <c r="B450" s="1" t="inlineStr">
        <is>
          <t>BOLSO CD BOOK TOTE BANDOLERA</t>
        </is>
      </c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6" t="n">
        <v>2157.006408</v>
      </c>
      <c r="N450" s="1" t="n"/>
    </row>
    <row r="451">
      <c r="A451" s="1" t="inlineStr">
        <is>
          <t>29953901454477</t>
        </is>
      </c>
      <c r="B451" s="1" t="inlineStr">
        <is>
          <t>BOLSO CD MESSENGER SADDLE ALL BLACK</t>
        </is>
      </c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6" t="n">
        <v>1568.731933</v>
      </c>
      <c r="N451" s="1" t="n"/>
    </row>
    <row r="452">
      <c r="A452" s="1" t="inlineStr">
        <is>
          <t>29953901549389</t>
        </is>
      </c>
      <c r="B452" s="1" t="inlineStr">
        <is>
          <t>CARTERA CD DAHLIA OBLIQUE</t>
        </is>
      </c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6" t="n">
        <v>539.251602</v>
      </c>
      <c r="N452" s="1" t="n"/>
    </row>
    <row r="453">
      <c r="A453" s="1" t="inlineStr">
        <is>
          <t>29953901642605</t>
        </is>
      </c>
      <c r="B453" s="1" t="inlineStr">
        <is>
          <t>CARTERA CD LADY D GLYCINE</t>
        </is>
      </c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6" t="n">
        <v>539.251602</v>
      </c>
      <c r="N453" s="1" t="n"/>
    </row>
    <row r="454">
      <c r="A454" s="1" t="inlineStr">
        <is>
          <t>29953901737517</t>
        </is>
      </c>
      <c r="B454" s="1" t="inlineStr">
        <is>
          <t>CARTERA CD CARO CANNAGE</t>
        </is>
      </c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6" t="n">
        <v>539.251602</v>
      </c>
      <c r="N454" s="1" t="n"/>
    </row>
    <row r="455">
      <c r="A455" s="1" t="inlineStr">
        <is>
          <t>29953901866893</t>
        </is>
      </c>
      <c r="B455" s="1" t="inlineStr">
        <is>
          <t>CARTERA CD ALARGADA CARO ORCHID</t>
        </is>
      </c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6" t="n">
        <v>539.251602</v>
      </c>
      <c r="N455" s="1" t="n"/>
    </row>
    <row r="456">
      <c r="A456" s="1" t="inlineStr">
        <is>
          <t>29953901989485</t>
        </is>
      </c>
      <c r="B456" s="1" t="inlineStr">
        <is>
          <t>CARTERA CD LOTUS SADDLE OBLIQUE</t>
        </is>
      </c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6" t="n">
        <v>539.251602</v>
      </c>
      <c r="N456" s="1" t="n"/>
    </row>
    <row r="457">
      <c r="A457" s="1" t="inlineStr">
        <is>
          <t>29953902018861</t>
        </is>
      </c>
      <c r="B457" s="1" t="inlineStr">
        <is>
          <t>CARTERA CD LOTUS SADDLE</t>
        </is>
      </c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6" t="n">
        <v>539.251602</v>
      </c>
      <c r="N457" s="1" t="n"/>
    </row>
    <row r="458">
      <c r="A458" s="1" t="inlineStr">
        <is>
          <t>29953902146541</t>
        </is>
      </c>
      <c r="B458" s="1" t="inlineStr">
        <is>
          <t>MONEDERO CD MYRTE OBLIQUE</t>
        </is>
      </c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6" t="n">
        <v>465.7172926</v>
      </c>
      <c r="N458" s="1" t="n"/>
    </row>
    <row r="459">
      <c r="A459" s="1" t="inlineStr">
        <is>
          <t>29953902272525</t>
        </is>
      </c>
      <c r="B459" s="1" t="inlineStr">
        <is>
          <t>BOLSO YSL JAMIE SHOPPING</t>
        </is>
      </c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6" t="n">
        <v>1691.289115</v>
      </c>
      <c r="N459" s="1" t="n"/>
    </row>
    <row r="460">
      <c r="A460" s="1" t="inlineStr">
        <is>
          <t>29953902351501</t>
        </is>
      </c>
      <c r="B460" s="1" t="inlineStr">
        <is>
          <t>BOLSO YSL JAMIE SHOPPING ALL BLACK</t>
        </is>
      </c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6" t="n">
        <v>1691.289115</v>
      </c>
      <c r="N460" s="1" t="n"/>
    </row>
    <row r="461">
      <c r="A461" s="1" t="inlineStr">
        <is>
          <t>29953902481485</t>
        </is>
      </c>
      <c r="B461" s="1" t="inlineStr">
        <is>
          <t>BOLSO YSL JAMIE SHOPPING BURGUNDY</t>
        </is>
      </c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6" t="n">
        <v>1593.24337</v>
      </c>
      <c r="N461" s="1" t="n"/>
    </row>
    <row r="462">
      <c r="A462" s="1" t="inlineStr">
        <is>
          <t>29953902560653</t>
        </is>
      </c>
      <c r="B462" s="1" t="inlineStr">
        <is>
          <t>BOLSO YSL ICARE NAPA</t>
        </is>
      </c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6" t="n">
        <v>1421.663314</v>
      </c>
      <c r="N462" s="1" t="n"/>
    </row>
    <row r="463">
      <c r="A463" s="1" t="inlineStr">
        <is>
          <t>29953902655501</t>
        </is>
      </c>
      <c r="B463" s="1" t="inlineStr">
        <is>
          <t>BOLSO YSL ICARE NAPA BLACK</t>
        </is>
      </c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6" t="n">
        <v>1446.174751</v>
      </c>
      <c r="N463" s="1" t="n"/>
    </row>
    <row r="464">
      <c r="A464" s="1" t="inlineStr">
        <is>
          <t>29953902748109</t>
        </is>
      </c>
      <c r="B464" s="1" t="inlineStr">
        <is>
          <t>BOLSO POCHETTE YSL CASSANDRE</t>
        </is>
      </c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6" t="n">
        <v>1838.357734</v>
      </c>
      <c r="N464" s="1" t="n"/>
    </row>
    <row r="465">
      <c r="A465" s="1" t="inlineStr">
        <is>
          <t>29953902810253</t>
        </is>
      </c>
      <c r="B465" s="1" t="inlineStr">
        <is>
          <t>BOLSO YSL LOULOU BLACK GOLD</t>
        </is>
      </c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6" t="n">
        <v>1421.663314</v>
      </c>
      <c r="N465" s="1" t="n"/>
    </row>
    <row r="466">
      <c r="A466" s="1" t="inlineStr">
        <is>
          <t>29953902939629</t>
        </is>
      </c>
      <c r="B466" s="1" t="inlineStr">
        <is>
          <t>BOLSO YSL LOULOU WHITE</t>
        </is>
      </c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6" t="n">
        <v>1372.640441</v>
      </c>
      <c r="N466" s="1" t="n"/>
    </row>
    <row r="467">
      <c r="A467" s="1" t="inlineStr">
        <is>
          <t>29953903034541</t>
        </is>
      </c>
      <c r="B467" s="1" t="inlineStr">
        <is>
          <t>BOLSO YSL LOULOU BLACK SILVER</t>
        </is>
      </c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6" t="n">
        <v>1372.640441</v>
      </c>
      <c r="N467" s="1" t="n"/>
    </row>
    <row r="468">
      <c r="A468" s="1" t="inlineStr">
        <is>
          <t>29953903165613</t>
        </is>
      </c>
      <c r="B468" s="1" t="inlineStr">
        <is>
          <t>BOLSO YSL LOULOU BURGUNDY</t>
        </is>
      </c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6" t="n">
        <v>1446.174751</v>
      </c>
      <c r="N468" s="1" t="n"/>
    </row>
    <row r="469">
      <c r="A469" s="1" t="inlineStr">
        <is>
          <t>29953903227757</t>
        </is>
      </c>
      <c r="B469" s="1" t="inlineStr">
        <is>
          <t>BOLSO YSL KATE CLASSIC</t>
        </is>
      </c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6" t="n">
        <v>1201.060386</v>
      </c>
      <c r="N469" s="1" t="n"/>
    </row>
    <row r="470">
      <c r="A470" s="1" t="inlineStr">
        <is>
          <t>29953903326061</t>
        </is>
      </c>
      <c r="B470" s="1" t="inlineStr">
        <is>
          <t>BOLSO YSL GABY VANITY</t>
        </is>
      </c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6" t="n">
        <v>1299.106132</v>
      </c>
      <c r="N470" s="1" t="n"/>
    </row>
    <row r="471">
      <c r="A471" s="1" t="inlineStr">
        <is>
          <t>29953903457133</t>
        </is>
      </c>
      <c r="B471" s="1" t="inlineStr">
        <is>
          <t>BOLSO YSL SAC DE JOUR</t>
        </is>
      </c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6" t="n">
        <v>2083.472099</v>
      </c>
      <c r="N471" s="1" t="n"/>
    </row>
    <row r="472">
      <c r="A472" s="1" t="inlineStr">
        <is>
          <t>29973521015533</t>
        </is>
      </c>
      <c r="B472" s="1" t="inlineStr">
        <is>
          <t>ANILLO TRÉBOL SILVER</t>
        </is>
      </c>
      <c r="C472" s="1" t="n"/>
      <c r="D472" s="1" t="n"/>
      <c r="E472" s="1" t="n"/>
      <c r="F472" s="6" t="n">
        <v>126.1523857</v>
      </c>
      <c r="G472" s="1" t="n"/>
      <c r="H472" s="1" t="n"/>
      <c r="I472" s="1" t="n"/>
      <c r="J472" s="1" t="n"/>
      <c r="K472" s="1" t="n"/>
      <c r="L472" s="1" t="n"/>
      <c r="M472" s="1" t="n"/>
      <c r="N472" s="1" t="n"/>
    </row>
    <row r="473">
      <c r="A473" s="1" t="inlineStr">
        <is>
          <t>30410821083277</t>
        </is>
      </c>
      <c r="B473" s="1" t="inlineStr">
        <is>
          <t>PULSERA KNOT ONE GOLD CON ZIRCONIA</t>
        </is>
      </c>
      <c r="C473" s="1" t="n"/>
      <c r="D473" s="6" t="n">
        <v>210.9688577</v>
      </c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</row>
    <row r="474">
      <c r="A474" s="1" t="inlineStr">
        <is>
          <t>30615281046477</t>
        </is>
      </c>
      <c r="B474" s="1" t="inlineStr">
        <is>
          <t>ANILLO T SERPIENTE GOLD</t>
        </is>
      </c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6" t="n">
        <v>146.8920992</v>
      </c>
      <c r="N474" s="1" t="n"/>
    </row>
    <row r="475">
      <c r="A475" s="1" t="inlineStr">
        <is>
          <t>31058341012141</t>
        </is>
      </c>
      <c r="B475" s="1" t="inlineStr">
        <is>
          <t>ANILLO KNOT DOBLE SILVER ZIRCONIAS</t>
        </is>
      </c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6" t="n">
        <v>136.594942</v>
      </c>
      <c r="N475" s="1" t="n"/>
    </row>
    <row r="476">
      <c r="A476" s="1" t="inlineStr">
        <is>
          <t>31058341012142</t>
        </is>
      </c>
      <c r="B476" s="1" t="inlineStr">
        <is>
          <t>ANILLO KNOT DOBLE SILVER ZIRCONIAS</t>
        </is>
      </c>
      <c r="C476" s="1" t="n"/>
      <c r="D476" s="1" t="n"/>
      <c r="E476" s="1" t="n"/>
      <c r="F476" s="1" t="n"/>
      <c r="G476" s="1" t="n"/>
      <c r="H476" s="1" t="n"/>
      <c r="I476" s="1" t="n"/>
      <c r="J476" s="1" t="n"/>
      <c r="K476" s="6" t="n">
        <v>136.7045783</v>
      </c>
      <c r="L476" s="1" t="n"/>
      <c r="M476" s="1" t="n"/>
      <c r="N476" s="1" t="n"/>
    </row>
    <row r="477">
      <c r="A477" s="1" t="inlineStr">
        <is>
          <t>31078752039597</t>
        </is>
      </c>
      <c r="B477" s="1" t="inlineStr">
        <is>
          <t>ARETES C SILVER ZIRCONIAS</t>
        </is>
      </c>
      <c r="C477" s="1" t="n"/>
      <c r="D477" s="1" t="n"/>
      <c r="E477" s="6" t="n">
        <v>126.5582895</v>
      </c>
      <c r="F477" s="1" t="n"/>
      <c r="G477" s="1" t="n"/>
      <c r="H477" s="1" t="n"/>
      <c r="I477" s="1" t="n"/>
      <c r="J477" s="6" t="n">
        <v>127.6103383</v>
      </c>
      <c r="K477" s="1" t="n"/>
      <c r="L477" s="6" t="n">
        <v>127.0996672</v>
      </c>
      <c r="M477" s="6" t="n">
        <v>125.8774927</v>
      </c>
      <c r="N477" s="1" t="n"/>
    </row>
    <row r="478">
      <c r="A478" s="1" t="inlineStr">
        <is>
          <t>31078752766317</t>
        </is>
      </c>
      <c r="B478" s="1" t="inlineStr">
        <is>
          <t>PULSERA C LOGO GOLD</t>
        </is>
      </c>
      <c r="C478" s="1" t="n"/>
      <c r="D478" s="1" t="n"/>
      <c r="E478" s="6" t="n">
        <v>168.8148135</v>
      </c>
      <c r="F478" s="1" t="n"/>
      <c r="G478" s="1" t="n"/>
      <c r="H478" s="1" t="n"/>
      <c r="I478" s="1" t="n"/>
      <c r="J478" s="6" t="n">
        <v>168.3007801</v>
      </c>
      <c r="K478" s="6" t="n">
        <v>166.1486414</v>
      </c>
      <c r="L478" s="1" t="n"/>
      <c r="M478" s="1" t="n"/>
      <c r="N478" s="1" t="n"/>
    </row>
    <row r="479">
      <c r="A479" s="1" t="inlineStr">
        <is>
          <t>31078753113261</t>
        </is>
      </c>
      <c r="B479" s="1" t="inlineStr">
        <is>
          <t>PULSERA BV.ZERO GAPS GOLD</t>
        </is>
      </c>
      <c r="C479" s="1" t="n"/>
      <c r="D479" s="1" t="n"/>
      <c r="E479" s="6" t="n">
        <v>179.5902272</v>
      </c>
      <c r="F479" s="1" t="n"/>
      <c r="G479" s="1" t="n"/>
      <c r="H479" s="1" t="n"/>
      <c r="I479" s="1" t="n"/>
      <c r="J479" s="6" t="n">
        <v>181.0831178</v>
      </c>
      <c r="K479" s="1" t="n"/>
      <c r="L479" s="1" t="n"/>
      <c r="M479" s="6" t="n">
        <v>178.6241549</v>
      </c>
      <c r="N479" s="1" t="n"/>
    </row>
    <row r="480">
      <c r="A480" s="1" t="inlineStr">
        <is>
          <t>31453671066413</t>
        </is>
      </c>
      <c r="B480" s="1" t="inlineStr">
        <is>
          <t>COLLAR FR GOLD CON PERLA</t>
        </is>
      </c>
      <c r="C480" s="1" t="n"/>
      <c r="D480" s="1" t="n"/>
      <c r="E480" s="1" t="n"/>
      <c r="F480" s="1" t="n"/>
      <c r="G480" s="1" t="n"/>
      <c r="H480" s="6" t="n">
        <v>146.2828828</v>
      </c>
      <c r="I480" s="1" t="n"/>
      <c r="J480" s="1" t="n"/>
      <c r="K480" s="1" t="n"/>
      <c r="L480" s="1" t="n"/>
      <c r="M480" s="1" t="n"/>
      <c r="N480" s="1" t="n"/>
    </row>
    <row r="481">
      <c r="A481" s="1" t="inlineStr">
        <is>
          <t>31453671341517</t>
        </is>
      </c>
      <c r="B481" s="1" t="inlineStr">
        <is>
          <t>ARETES FR SILVER ZIRCONIAS</t>
        </is>
      </c>
      <c r="C481" s="1" t="n"/>
      <c r="D481" s="1" t="n"/>
      <c r="E481" s="1" t="n"/>
      <c r="F481" s="1" t="n"/>
      <c r="G481" s="1" t="n"/>
      <c r="H481" s="6" t="n">
        <v>127.2025068</v>
      </c>
      <c r="I481" s="1" t="n"/>
      <c r="J481" s="1" t="n"/>
      <c r="K481" s="6" t="n">
        <v>126.1888415</v>
      </c>
      <c r="L481" s="1" t="n"/>
      <c r="M481" s="6" t="n">
        <v>126.0876388</v>
      </c>
      <c r="N481" s="1" t="n"/>
    </row>
    <row r="482">
      <c r="A482" s="1" t="inlineStr">
        <is>
          <t>31704301081517</t>
        </is>
      </c>
      <c r="B482" s="1" t="inlineStr">
        <is>
          <t>BOLSO CC DENIM</t>
        </is>
      </c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6" t="n">
        <v>1786.241549</v>
      </c>
      <c r="N482" s="1" t="n"/>
    </row>
    <row r="483">
      <c r="A483" s="1" t="inlineStr">
        <is>
          <t>32044741019373</t>
        </is>
      </c>
      <c r="B483" s="1" t="inlineStr">
        <is>
          <t>BOLSO CC SEQUINS WHITE</t>
        </is>
      </c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6" t="n">
        <v>1891.314581</v>
      </c>
      <c r="N483" s="1" t="n"/>
    </row>
    <row r="484">
      <c r="A484" s="1" t="inlineStr">
        <is>
          <t>33089531091469</t>
        </is>
      </c>
      <c r="B484" s="1" t="inlineStr">
        <is>
          <t>COLLAR BV ROSEGOLD CON ZIRCONIA ALREDEDOR</t>
        </is>
      </c>
      <c r="C484" s="1" t="n"/>
      <c r="D484" s="6" t="n">
        <v>158.2266433</v>
      </c>
      <c r="E484" s="6" t="n">
        <v>169.0260961</v>
      </c>
      <c r="F484" s="1" t="n"/>
      <c r="G484" s="1" t="n"/>
      <c r="H484" s="1" t="n"/>
      <c r="I484" s="1" t="n"/>
      <c r="J484" s="1" t="n"/>
      <c r="K484" s="1" t="n"/>
      <c r="L484" s="1" t="n"/>
      <c r="M484" s="6" t="n">
        <v>157.6095484</v>
      </c>
      <c r="N484" s="1" t="n"/>
    </row>
    <row r="485">
      <c r="A485" s="1" t="inlineStr">
        <is>
          <t>33644561048589</t>
        </is>
      </c>
      <c r="B485" s="1" t="inlineStr">
        <is>
          <t>BOLSO F FENDIGRAPHY WHITE</t>
        </is>
      </c>
      <c r="C485" s="1" t="n"/>
      <c r="D485" s="1" t="n"/>
      <c r="E485" s="1" t="n"/>
      <c r="F485" s="1" t="n"/>
      <c r="G485" s="1" t="n"/>
      <c r="H485" s="1" t="n"/>
      <c r="I485" s="1" t="n"/>
      <c r="J485" s="1" t="n"/>
      <c r="K485" s="6" t="n">
        <v>1349.404816</v>
      </c>
      <c r="L485" s="1" t="n"/>
      <c r="M485" s="1" t="n"/>
      <c r="N485" s="1" t="n"/>
    </row>
    <row r="486">
      <c r="A486" s="1" t="inlineStr">
        <is>
          <t>33644561183053</t>
        </is>
      </c>
      <c r="B486" s="1" t="inlineStr">
        <is>
          <t>BOLSO F CHAIN LOGOS</t>
        </is>
      </c>
      <c r="C486" s="1" t="n"/>
      <c r="D486" s="1" t="n"/>
      <c r="E486" s="1" t="n"/>
      <c r="F486" s="1" t="n"/>
      <c r="G486" s="1" t="n"/>
      <c r="H486" s="1" t="n"/>
      <c r="I486" s="1" t="n"/>
      <c r="J486" s="1" t="n"/>
      <c r="K486" s="6" t="n">
        <v>1193.70426</v>
      </c>
      <c r="L486" s="1" t="n"/>
      <c r="M486" s="1" t="n"/>
      <c r="N486" s="1" t="n"/>
    </row>
    <row r="487">
      <c r="A487" s="1" t="inlineStr">
        <is>
          <t>33644561253677</t>
        </is>
      </c>
      <c r="B487" s="1" t="inlineStr">
        <is>
          <t>BOLSO MM TOTE DE TELA</t>
        </is>
      </c>
      <c r="C487" s="1" t="n"/>
      <c r="D487" s="1" t="n"/>
      <c r="E487" s="1" t="n"/>
      <c r="F487" s="1" t="n"/>
      <c r="G487" s="1" t="n"/>
      <c r="H487" s="1" t="n"/>
      <c r="I487" s="1" t="n"/>
      <c r="J487" s="1" t="n"/>
      <c r="K487" s="6" t="n">
        <v>1115.853983</v>
      </c>
      <c r="L487" s="1" t="n"/>
      <c r="M487" s="1" t="n"/>
      <c r="N487" s="1" t="n"/>
    </row>
    <row r="488">
      <c r="A488" s="1" t="inlineStr">
        <is>
          <t>33644561374637</t>
        </is>
      </c>
      <c r="B488" s="1" t="inlineStr">
        <is>
          <t>SOMBRERO MM BEACH RAFFIA</t>
        </is>
      </c>
      <c r="C488" s="1" t="n"/>
      <c r="D488" s="1" t="n"/>
      <c r="E488" s="1" t="n"/>
      <c r="F488" s="1" t="n"/>
      <c r="G488" s="1" t="n"/>
      <c r="H488" s="1" t="n"/>
      <c r="I488" s="1" t="n"/>
      <c r="J488" s="1" t="n"/>
      <c r="K488" s="6" t="n">
        <v>415.2014819</v>
      </c>
      <c r="L488" s="6" t="n">
        <v>424.0167196</v>
      </c>
      <c r="M488" s="1" t="n"/>
      <c r="N488" s="1" t="n"/>
    </row>
    <row r="489">
      <c r="A489" s="1" t="inlineStr">
        <is>
          <t>33644561498925</t>
        </is>
      </c>
      <c r="B489" s="1" t="inlineStr">
        <is>
          <t>SOMBRERO MM BEACH RAFFIA BROWN</t>
        </is>
      </c>
      <c r="C489" s="1" t="n"/>
      <c r="D489" s="1" t="n"/>
      <c r="E489" s="1" t="n"/>
      <c r="F489" s="1" t="n"/>
      <c r="G489" s="1" t="n"/>
      <c r="H489" s="1" t="n"/>
      <c r="I489" s="1" t="n"/>
      <c r="J489" s="1" t="n"/>
      <c r="K489" s="6" t="n">
        <v>415.2014819</v>
      </c>
      <c r="L489" s="6" t="n">
        <v>424.0167196</v>
      </c>
      <c r="M489" s="1" t="n"/>
      <c r="N489" s="1" t="n"/>
    </row>
    <row r="490">
      <c r="A490" s="1" t="inlineStr">
        <is>
          <t>33644561555373</t>
        </is>
      </c>
      <c r="B490" s="1" t="inlineStr">
        <is>
          <t>SOMBRERO MM RAFFIA</t>
        </is>
      </c>
      <c r="C490" s="1" t="n"/>
      <c r="D490" s="1" t="n"/>
      <c r="E490" s="1" t="n"/>
      <c r="F490" s="1" t="n"/>
      <c r="G490" s="1" t="n"/>
      <c r="H490" s="1" t="n"/>
      <c r="I490" s="1" t="n"/>
      <c r="J490" s="1" t="n"/>
      <c r="K490" s="6" t="n">
        <v>259.5009262</v>
      </c>
      <c r="L490" s="1" t="n"/>
      <c r="M490" s="1" t="n"/>
      <c r="N490" s="1" t="n"/>
    </row>
    <row r="491">
      <c r="A491" s="1" t="inlineStr">
        <is>
          <t>33644561619885</t>
        </is>
      </c>
      <c r="B491" s="1" t="inlineStr">
        <is>
          <t>SOMBRERO MM RAFFIA BEIGE/RED</t>
        </is>
      </c>
      <c r="C491" s="1" t="n"/>
      <c r="D491" s="1" t="n"/>
      <c r="E491" s="1" t="n"/>
      <c r="F491" s="1" t="n"/>
      <c r="G491" s="1" t="n"/>
      <c r="H491" s="1" t="n"/>
      <c r="I491" s="1" t="n"/>
      <c r="J491" s="1" t="n"/>
      <c r="K491" s="6" t="n">
        <v>952.0973889000001</v>
      </c>
      <c r="L491" s="1" t="n"/>
      <c r="M491" s="1" t="n"/>
      <c r="N491" s="1" t="n"/>
    </row>
    <row r="492">
      <c r="A492" s="1" t="inlineStr">
        <is>
          <t>33644561748045</t>
        </is>
      </c>
      <c r="B492" s="1" t="inlineStr">
        <is>
          <t>SOMBRERO MM DENIM BLUE</t>
        </is>
      </c>
      <c r="C492" s="1" t="n"/>
      <c r="D492" s="1" t="n"/>
      <c r="E492" s="1" t="n"/>
      <c r="F492" s="1" t="n"/>
      <c r="G492" s="1" t="n"/>
      <c r="H492" s="1" t="n"/>
      <c r="I492" s="1" t="n"/>
      <c r="J492" s="1" t="n"/>
      <c r="K492" s="6" t="n">
        <v>254.3109076</v>
      </c>
      <c r="L492" s="1" t="n"/>
      <c r="M492" s="1" t="n"/>
      <c r="N492" s="1" t="n"/>
    </row>
    <row r="493">
      <c r="A493" s="1" t="inlineStr">
        <is>
          <t>33644561853133</t>
        </is>
      </c>
      <c r="B493" s="1" t="inlineStr">
        <is>
          <t>BOLSO MM TOTE RAFFIA</t>
        </is>
      </c>
      <c r="C493" s="1" t="n"/>
      <c r="D493" s="1" t="n"/>
      <c r="E493" s="1" t="n"/>
      <c r="F493" s="1" t="n"/>
      <c r="G493" s="1" t="n"/>
      <c r="H493" s="1" t="n"/>
      <c r="I493" s="1" t="n"/>
      <c r="J493" s="1" t="n"/>
      <c r="K493" s="6" t="n">
        <v>1427.255094</v>
      </c>
      <c r="L493" s="1" t="n"/>
      <c r="M493" s="1" t="n"/>
      <c r="N493" s="1" t="n"/>
    </row>
    <row r="494">
      <c r="A494" s="1" t="inlineStr">
        <is>
          <t>33644561954829</t>
        </is>
      </c>
      <c r="B494" s="1" t="inlineStr">
        <is>
          <t>BOLSO MM DENIM BLUE</t>
        </is>
      </c>
      <c r="C494" s="1" t="n"/>
      <c r="D494" s="1" t="n"/>
      <c r="E494" s="1" t="n"/>
      <c r="F494" s="1" t="n"/>
      <c r="G494" s="1" t="n"/>
      <c r="H494" s="1" t="n"/>
      <c r="I494" s="1" t="n"/>
      <c r="J494" s="1" t="n"/>
      <c r="K494" s="6" t="n">
        <v>1686.75602</v>
      </c>
      <c r="L494" s="1" t="n"/>
      <c r="M494" s="1" t="n"/>
      <c r="N494" s="1" t="n"/>
    </row>
    <row r="495">
      <c r="A495" s="1" t="inlineStr">
        <is>
          <t>33644562004557</t>
        </is>
      </c>
      <c r="B495" s="1" t="inlineStr">
        <is>
          <t>LENTES MM OVAL BLACK</t>
        </is>
      </c>
      <c r="C495" s="1" t="n"/>
      <c r="D495" s="1" t="n"/>
      <c r="E495" s="1" t="n"/>
      <c r="F495" s="1" t="n"/>
      <c r="G495" s="1" t="n"/>
      <c r="H495" s="1" t="n"/>
      <c r="I495" s="1" t="n"/>
      <c r="J495" s="1" t="n"/>
      <c r="K495" s="6" t="n">
        <v>726.6025933</v>
      </c>
      <c r="L495" s="1" t="n"/>
      <c r="M495" s="1" t="n"/>
      <c r="N495" s="1" t="n"/>
    </row>
    <row r="496">
      <c r="A496" s="1" t="inlineStr">
        <is>
          <t>33644562259373</t>
        </is>
      </c>
      <c r="B496" s="1" t="inlineStr">
        <is>
          <t>GORRA MM BROWN</t>
        </is>
      </c>
      <c r="C496" s="1" t="n"/>
      <c r="D496" s="1" t="n"/>
      <c r="E496" s="1" t="n"/>
      <c r="F496" s="1" t="n"/>
      <c r="G496" s="1" t="n"/>
      <c r="H496" s="1" t="n"/>
      <c r="I496" s="1" t="n"/>
      <c r="J496" s="1" t="n"/>
      <c r="K496" s="6" t="n">
        <v>233.5508336</v>
      </c>
      <c r="L496" s="1" t="n"/>
      <c r="M496" s="1" t="n"/>
      <c r="N496" s="1" t="n"/>
    </row>
    <row r="497">
      <c r="A497" s="1" t="inlineStr">
        <is>
          <t>33765241120301</t>
        </is>
      </c>
      <c r="B497" s="1" t="inlineStr">
        <is>
          <t>ANILLO LV INSTICT SILVER-9</t>
        </is>
      </c>
      <c r="C497" s="1" t="n"/>
      <c r="D497" s="6" t="n">
        <v>126.3703458</v>
      </c>
      <c r="E497" s="1" t="n"/>
      <c r="F497" s="1" t="n"/>
      <c r="G497" s="1" t="n"/>
      <c r="H497" s="1" t="n"/>
      <c r="I497" s="6" t="n">
        <v>126.2002914</v>
      </c>
      <c r="J497" s="1" t="n"/>
      <c r="K497" s="1" t="n"/>
      <c r="L497" s="1" t="n"/>
      <c r="M497" s="1" t="n"/>
      <c r="N497" s="1" t="n"/>
    </row>
    <row r="498">
      <c r="A498" s="1" t="inlineStr">
        <is>
          <t>3378841221933</t>
        </is>
      </c>
      <c r="B498" s="1" t="inlineStr">
        <is>
          <t>BALLERINAS LV BROWN CON INSIGNIAS</t>
        </is>
      </c>
      <c r="C498" s="1" t="n"/>
      <c r="D498" s="1" t="n"/>
      <c r="E498" s="6" t="n">
        <v>1686.407433</v>
      </c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</row>
    <row r="499">
      <c r="A499" s="1" t="inlineStr">
        <is>
          <t>33794531202829</t>
        </is>
      </c>
      <c r="B499" s="1" t="inlineStr">
        <is>
          <t>LENTES CD GLOW S1</t>
        </is>
      </c>
      <c r="C499" s="1" t="n"/>
      <c r="D499" s="1" t="n"/>
      <c r="E499" s="1" t="n"/>
      <c r="F499" s="1" t="n"/>
      <c r="G499" s="1" t="n"/>
      <c r="H499" s="1" t="n"/>
      <c r="I499" s="1" t="n"/>
      <c r="J499" s="6" t="n">
        <v>840.8632231</v>
      </c>
      <c r="K499" s="1" t="n"/>
      <c r="L499" s="6" t="n">
        <v>848.1479836</v>
      </c>
      <c r="M499" s="1" t="n"/>
      <c r="N499" s="1" t="n"/>
    </row>
    <row r="500">
      <c r="A500" s="1" t="inlineStr">
        <is>
          <t>33794532055533</t>
        </is>
      </c>
      <c r="B500" s="1" t="inlineStr">
        <is>
          <t>TARJETERO MM NAPA</t>
        </is>
      </c>
      <c r="C500" s="1" t="n"/>
      <c r="D500" s="1" t="n"/>
      <c r="E500" s="1" t="n"/>
      <c r="F500" s="1" t="n"/>
      <c r="G500" s="1" t="n"/>
      <c r="H500" s="1" t="n"/>
      <c r="I500" s="1" t="n"/>
      <c r="J500" s="6" t="n">
        <v>394.1546358</v>
      </c>
      <c r="K500" s="1" t="n"/>
      <c r="L500" s="6" t="n">
        <v>397.5693673</v>
      </c>
      <c r="M500" s="6" t="n">
        <v>367.6715468</v>
      </c>
      <c r="N500" s="1" t="n"/>
    </row>
    <row r="501">
      <c r="A501" s="1" t="inlineStr">
        <is>
          <t>33801891077645</t>
        </is>
      </c>
      <c r="B501" s="1" t="inlineStr">
        <is>
          <t>COLLAR BV SILVER SERPIENTE</t>
        </is>
      </c>
      <c r="C501" s="1" t="n"/>
      <c r="D501" s="6" t="n">
        <v>147.6782004</v>
      </c>
      <c r="E501" s="1" t="n"/>
      <c r="F501" s="1" t="n"/>
      <c r="G501" s="1" t="n"/>
      <c r="H501" s="1" t="n"/>
      <c r="I501" s="1" t="n"/>
      <c r="J501" s="6" t="n">
        <v>149.1272735</v>
      </c>
      <c r="K501" s="1" t="n"/>
      <c r="L501" s="6" t="n">
        <v>148.5304959</v>
      </c>
      <c r="M501" s="1" t="n"/>
      <c r="N501" s="1" t="n"/>
    </row>
    <row r="502">
      <c r="A502" s="1" t="inlineStr">
        <is>
          <t>3382853668492</t>
        </is>
      </c>
      <c r="B502" s="1" t="inlineStr">
        <is>
          <t>GORRA C BLACK</t>
        </is>
      </c>
      <c r="C502" s="1" t="n"/>
      <c r="D502" s="1" t="n"/>
      <c r="E502" s="6" t="n">
        <v>446.4019675</v>
      </c>
      <c r="F502" s="1" t="n"/>
      <c r="G502" s="1" t="n"/>
      <c r="H502" s="6" t="n">
        <v>468.5687886</v>
      </c>
      <c r="I502" s="1" t="n"/>
      <c r="J502" s="6" t="n">
        <v>468.531228</v>
      </c>
      <c r="K502" s="1" t="n"/>
      <c r="L502" s="1" t="n"/>
      <c r="M502" s="1" t="n"/>
      <c r="N502" s="1" t="n"/>
    </row>
    <row r="503">
      <c r="A503" s="1" t="inlineStr">
        <is>
          <t>3382860722828</t>
        </is>
      </c>
      <c r="B503" s="1" t="inlineStr">
        <is>
          <t>GORRA C LOGO BLACK</t>
        </is>
      </c>
      <c r="C503" s="1" t="n"/>
      <c r="D503" s="1" t="n"/>
      <c r="E503" s="1" t="n"/>
      <c r="F503" s="1" t="n"/>
      <c r="G503" s="1" t="n"/>
      <c r="H503" s="6" t="n">
        <v>220.6756497</v>
      </c>
      <c r="I503" s="6" t="n">
        <v>224.4599311</v>
      </c>
      <c r="J503" s="6" t="n">
        <v>222.9165511</v>
      </c>
      <c r="K503" s="1" t="n"/>
      <c r="L503" s="1" t="n"/>
      <c r="M503" s="1" t="n"/>
      <c r="N503" s="1" t="n"/>
    </row>
    <row r="504">
      <c r="A504" s="1" t="inlineStr">
        <is>
          <t>3382867546764</t>
        </is>
      </c>
      <c r="B504" s="1" t="inlineStr">
        <is>
          <t>GORRA C BEIGE</t>
        </is>
      </c>
      <c r="C504" s="1" t="n"/>
      <c r="D504" s="6" t="n">
        <v>452.1212029</v>
      </c>
      <c r="E504" s="1" t="n"/>
      <c r="F504" s="1" t="n"/>
      <c r="G504" s="1" t="n"/>
      <c r="H504" s="6" t="n">
        <v>468.5687886</v>
      </c>
      <c r="I504" s="1" t="n"/>
      <c r="J504" s="1" t="n"/>
      <c r="K504" s="6" t="n">
        <v>460.9580101</v>
      </c>
      <c r="L504" s="1" t="n"/>
      <c r="M504" s="1" t="n"/>
      <c r="N504" s="1" t="n"/>
    </row>
    <row r="505">
      <c r="A505" s="1" t="inlineStr">
        <is>
          <t>33891171089901</t>
        </is>
      </c>
      <c r="B505" s="1" t="inlineStr">
        <is>
          <t>BOLSO YSL CHAROL CHERRY 37</t>
        </is>
      </c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6" t="n">
        <v>1348.129005</v>
      </c>
      <c r="N505" s="1" t="n"/>
    </row>
    <row r="506">
      <c r="A506" s="1" t="inlineStr">
        <is>
          <t>33891171186509</t>
        </is>
      </c>
      <c r="B506" s="1" t="inlineStr">
        <is>
          <t>BOLSO YSL VOLTAIRE BOX</t>
        </is>
      </c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6" t="n">
        <v>1593.24337</v>
      </c>
      <c r="N506" s="1" t="n"/>
    </row>
    <row r="507">
      <c r="A507" s="1" t="inlineStr">
        <is>
          <t>33891171250349</t>
        </is>
      </c>
      <c r="B507" s="1" t="inlineStr">
        <is>
          <t>BOLSO H EVELYNE 29</t>
        </is>
      </c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6" t="n">
        <v>1691.289115</v>
      </c>
      <c r="N507" s="1" t="n"/>
    </row>
    <row r="508">
      <c r="A508" s="1" t="inlineStr">
        <is>
          <t>33891171359725</t>
        </is>
      </c>
      <c r="B508" s="1" t="inlineStr">
        <is>
          <t>CARTERA CD LIBRO ALARGADA SADDLE</t>
        </is>
      </c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6" t="n">
        <v>539.251602</v>
      </c>
      <c r="N508" s="1" t="n"/>
    </row>
    <row r="509">
      <c r="A509" s="1" t="inlineStr">
        <is>
          <t>33891171489101</t>
        </is>
      </c>
      <c r="B509" s="1" t="inlineStr">
        <is>
          <t>CARTERA CD LIBRO ALARGADA OBLIQUE</t>
        </is>
      </c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6" t="n">
        <v>539.251602</v>
      </c>
      <c r="N509" s="1" t="n"/>
    </row>
    <row r="510">
      <c r="A510" s="1" t="inlineStr">
        <is>
          <t>33891171584013</t>
        </is>
      </c>
      <c r="B510" s="1" t="inlineStr">
        <is>
          <t>CARTERA H SELLIER COMPACT</t>
        </is>
      </c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6" t="n">
        <v>588.2744749</v>
      </c>
      <c r="N510" s="1" t="n"/>
    </row>
    <row r="511">
      <c r="A511" s="1" t="inlineStr">
        <is>
          <t>33891171670445</t>
        </is>
      </c>
      <c r="B511" s="1" t="inlineStr">
        <is>
          <t>CARTERA H SELLIER COMPACT BLACK</t>
        </is>
      </c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6" t="n">
        <v>588.2744749</v>
      </c>
      <c r="N511" s="1" t="n"/>
    </row>
    <row r="512">
      <c r="A512" s="1" t="inlineStr">
        <is>
          <t>33891171713389</t>
        </is>
      </c>
      <c r="B512" s="1" t="inlineStr">
        <is>
          <t>CARTERA H BEARN BLACK</t>
        </is>
      </c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6" t="n">
        <v>588.2744749</v>
      </c>
      <c r="N512" s="1" t="n"/>
    </row>
    <row r="513">
      <c r="A513" s="1" t="inlineStr">
        <is>
          <t>33891171856877</t>
        </is>
      </c>
      <c r="B513" s="1" t="inlineStr">
        <is>
          <t>CINTO GC HEBILLA OVALADA</t>
        </is>
      </c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6" t="n">
        <v>1176.54895</v>
      </c>
      <c r="N513" s="1" t="n"/>
    </row>
    <row r="514">
      <c r="A514" s="1" t="inlineStr">
        <is>
          <t>33891171950093</t>
        </is>
      </c>
      <c r="B514" s="1" t="inlineStr">
        <is>
          <t>CINTO GC HORSEBIT BROWN</t>
        </is>
      </c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6" t="n">
        <v>1176.54895</v>
      </c>
      <c r="N514" s="1" t="n"/>
    </row>
    <row r="515">
      <c r="A515" s="1" t="inlineStr">
        <is>
          <t>33891172043309</t>
        </is>
      </c>
      <c r="B515" s="1" t="inlineStr">
        <is>
          <t>CINTO GC HORSEBIT</t>
        </is>
      </c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6" t="n">
        <v>1176.54895</v>
      </c>
      <c r="N515" s="1" t="n"/>
    </row>
    <row r="516">
      <c r="A516" s="1" t="inlineStr">
        <is>
          <t>33891172105453</t>
        </is>
      </c>
      <c r="B516" s="1" t="inlineStr">
        <is>
          <t>CINTO GC CON HEBILLA REDONDA</t>
        </is>
      </c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6" t="n">
        <v>1176.54895</v>
      </c>
      <c r="N516" s="1" t="n"/>
    </row>
    <row r="517">
      <c r="A517" s="1" t="inlineStr">
        <is>
          <t>33891172265901</t>
        </is>
      </c>
      <c r="B517" s="1" t="inlineStr">
        <is>
          <t>CINTO GC ENTRELAZADA SILVER</t>
        </is>
      </c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6" t="n">
        <v>1176.54895</v>
      </c>
      <c r="N517" s="1" t="n"/>
    </row>
    <row r="518">
      <c r="A518" s="1" t="inlineStr">
        <is>
          <t>33891172393581</t>
        </is>
      </c>
      <c r="B518" s="1" t="inlineStr">
        <is>
          <t>CINTO GC ENTRELAZADA GOLD</t>
        </is>
      </c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6" t="n">
        <v>1176.54895</v>
      </c>
      <c r="N518" s="1" t="n"/>
    </row>
    <row r="519">
      <c r="A519" s="1" t="inlineStr">
        <is>
          <t>33891172488493</t>
        </is>
      </c>
      <c r="B519" s="1" t="inlineStr">
        <is>
          <t>CINTO FR ALL BLACK</t>
        </is>
      </c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6" t="n">
        <v>1103.01464</v>
      </c>
      <c r="N519" s="1" t="n"/>
    </row>
    <row r="520">
      <c r="A520" s="1" t="inlineStr">
        <is>
          <t>33891172512781</t>
        </is>
      </c>
      <c r="B520" s="1" t="inlineStr">
        <is>
          <t>CINTO FR REVERSIBLE BROWN</t>
        </is>
      </c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6" t="n">
        <v>1103.01464</v>
      </c>
      <c r="N520" s="1" t="n"/>
    </row>
    <row r="521">
      <c r="A521" s="1" t="inlineStr">
        <is>
          <t>33891172607693</t>
        </is>
      </c>
      <c r="B521" s="1" t="inlineStr">
        <is>
          <t>CINTO FR BLACK GANCINI</t>
        </is>
      </c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6" t="n">
        <v>1103.01464</v>
      </c>
      <c r="N521" s="1" t="n"/>
    </row>
    <row r="522">
      <c r="A522" s="1" t="inlineStr">
        <is>
          <t>33891172797517</t>
        </is>
      </c>
      <c r="B522" s="1" t="inlineStr">
        <is>
          <t>CINTO CD SADDLE OBLIQUE</t>
        </is>
      </c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6" t="n">
        <v>1176.54895</v>
      </c>
      <c r="N522" s="1" t="n"/>
    </row>
    <row r="523">
      <c r="A523" s="1" t="inlineStr">
        <is>
          <t>33891172826893</t>
        </is>
      </c>
      <c r="B523" s="1" t="inlineStr">
        <is>
          <t>CINTO CD MONTAIGNE 30</t>
        </is>
      </c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6" t="n">
        <v>1176.54895</v>
      </c>
      <c r="N523" s="1" t="n"/>
    </row>
    <row r="524">
      <c r="A524" s="1" t="inlineStr">
        <is>
          <t>33943761064813</t>
        </is>
      </c>
      <c r="B524" s="1" t="inlineStr">
        <is>
          <t>ANILLO TRES AROS SILVER/BLACK</t>
        </is>
      </c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6" t="n">
        <v>104.9464765</v>
      </c>
      <c r="M524" s="1" t="n"/>
      <c r="N524" s="1" t="n"/>
    </row>
    <row r="525">
      <c r="A525" s="1" t="inlineStr">
        <is>
          <t>34163621043821</t>
        </is>
      </c>
      <c r="B525" s="1" t="inlineStr">
        <is>
          <t>PERFUME CREED SILVER MOUNTAIN WATER</t>
        </is>
      </c>
      <c r="C525" s="1" t="n"/>
      <c r="D525" s="1" t="n"/>
      <c r="E525" s="1" t="n"/>
      <c r="F525" s="1" t="n"/>
      <c r="G525" s="1" t="n"/>
      <c r="H525" s="1" t="n"/>
      <c r="I525" s="1" t="n"/>
      <c r="J525" s="1" t="n"/>
      <c r="K525" s="6" t="n">
        <v>460.9580101</v>
      </c>
      <c r="L525" s="1" t="n"/>
      <c r="M525" s="6" t="n">
        <v>441.2058562</v>
      </c>
      <c r="N525" s="1" t="n"/>
    </row>
    <row r="526">
      <c r="A526" s="1" t="inlineStr">
        <is>
          <t>34163621292397</t>
        </is>
      </c>
      <c r="B526" s="1" t="inlineStr">
        <is>
          <t>PERFUME YSL MEN</t>
        </is>
      </c>
      <c r="C526" s="1" t="n"/>
      <c r="D526" s="1" t="n"/>
      <c r="E526" s="1" t="n"/>
      <c r="F526" s="1" t="n"/>
      <c r="G526" s="1" t="n"/>
      <c r="H526" s="1" t="n"/>
      <c r="I526" s="1" t="n"/>
      <c r="J526" s="1" t="n"/>
      <c r="K526" s="6" t="n">
        <v>460.9580101</v>
      </c>
      <c r="L526" s="1" t="n"/>
      <c r="M526" s="1" t="n"/>
      <c r="N526" s="1" t="n"/>
    </row>
    <row r="527">
      <c r="A527" s="1" t="inlineStr">
        <is>
          <t>34163621325165</t>
        </is>
      </c>
      <c r="B527" s="1" t="inlineStr">
        <is>
          <t>PERFUME GIORGO PASSIONE</t>
        </is>
      </c>
      <c r="C527" s="1" t="n"/>
      <c r="D527" s="1" t="n"/>
      <c r="E527" s="1" t="n"/>
      <c r="F527" s="1" t="n"/>
      <c r="G527" s="1" t="n"/>
      <c r="H527" s="1" t="n"/>
      <c r="I527" s="1" t="n"/>
      <c r="J527" s="1" t="n"/>
      <c r="K527" s="6" t="n">
        <v>460.9580101</v>
      </c>
      <c r="L527" s="1" t="n"/>
      <c r="M527" s="1" t="n"/>
      <c r="N527" s="1" t="n"/>
    </row>
    <row r="528">
      <c r="A528" s="1" t="inlineStr">
        <is>
          <t>34163621418381</t>
        </is>
      </c>
      <c r="B528" s="1" t="inlineStr">
        <is>
          <t>PERUFUME JEAN PAUL SCANDAL WOMEN</t>
        </is>
      </c>
      <c r="C528" s="1" t="n"/>
      <c r="D528" s="1" t="n"/>
      <c r="E528" s="1" t="n"/>
      <c r="F528" s="1" t="n"/>
      <c r="G528" s="1" t="n"/>
      <c r="H528" s="1" t="n"/>
      <c r="I528" s="1" t="n"/>
      <c r="J528" s="1" t="n"/>
      <c r="K528" s="6" t="n">
        <v>460.9580101</v>
      </c>
      <c r="L528" s="1" t="n"/>
      <c r="M528" s="1" t="n"/>
      <c r="N528" s="1" t="n"/>
    </row>
    <row r="529">
      <c r="A529" s="1" t="inlineStr">
        <is>
          <t>34163621682221</t>
        </is>
      </c>
      <c r="B529" s="1" t="inlineStr">
        <is>
          <t>PERFUME VERSACE CRYSTAL NOIR</t>
        </is>
      </c>
      <c r="C529" s="1" t="n"/>
      <c r="D529" s="1" t="n"/>
      <c r="E529" s="1" t="n"/>
      <c r="F529" s="1" t="n"/>
      <c r="G529" s="1" t="n"/>
      <c r="H529" s="1" t="n"/>
      <c r="I529" s="1" t="n"/>
      <c r="J529" s="1" t="n"/>
      <c r="K529" s="6" t="n">
        <v>460.9580101</v>
      </c>
      <c r="L529" s="1" t="n"/>
      <c r="M529" s="1" t="n"/>
      <c r="N529" s="1" t="n"/>
    </row>
    <row r="530">
      <c r="A530" s="1" t="inlineStr">
        <is>
          <t>34163621960461</t>
        </is>
      </c>
      <c r="B530" s="1" t="inlineStr">
        <is>
          <t>CARTERA F BAGUETTE BLACK</t>
        </is>
      </c>
      <c r="C530" s="1" t="n"/>
      <c r="D530" s="1" t="n"/>
      <c r="E530" s="1" t="n"/>
      <c r="F530" s="1" t="n"/>
      <c r="G530" s="1" t="n"/>
      <c r="H530" s="1" t="n"/>
      <c r="I530" s="1" t="n"/>
      <c r="J530" s="1" t="n"/>
      <c r="K530" s="6" t="n">
        <v>1178.003803</v>
      </c>
      <c r="L530" s="1" t="n"/>
      <c r="M530" s="1" t="n"/>
      <c r="N530" s="1" t="n"/>
    </row>
    <row r="531">
      <c r="A531" s="1" t="inlineStr">
        <is>
          <t>34163622017517</t>
        </is>
      </c>
      <c r="B531" s="1" t="inlineStr">
        <is>
          <t>CARTERA F BAGUETTE WHITE</t>
        </is>
      </c>
      <c r="C531" s="1" t="n"/>
      <c r="D531" s="1" t="n"/>
      <c r="E531" s="1" t="n"/>
      <c r="F531" s="1" t="n"/>
      <c r="G531" s="1" t="n"/>
      <c r="H531" s="1" t="n"/>
      <c r="I531" s="1" t="n"/>
      <c r="J531" s="1" t="n"/>
      <c r="K531" s="6" t="n">
        <v>1331.656473</v>
      </c>
      <c r="L531" s="1" t="n"/>
      <c r="M531" s="1" t="n"/>
      <c r="N531" s="1" t="n"/>
    </row>
    <row r="532">
      <c r="A532" s="1" t="inlineStr">
        <is>
          <t>34163622177965</t>
        </is>
      </c>
      <c r="B532" s="1" t="inlineStr">
        <is>
          <t>SANDALIAS F FEEL BLACK</t>
        </is>
      </c>
      <c r="C532" s="1" t="n"/>
      <c r="D532" s="1" t="n"/>
      <c r="E532" s="1" t="n"/>
      <c r="F532" s="1" t="n"/>
      <c r="G532" s="1" t="n"/>
      <c r="H532" s="1" t="n"/>
      <c r="I532" s="1" t="n"/>
      <c r="J532" s="1" t="n"/>
      <c r="K532" s="6" t="n">
        <v>1408.482808</v>
      </c>
      <c r="L532" s="1" t="n"/>
      <c r="M532" s="6" t="n">
        <v>1348.129005</v>
      </c>
      <c r="N532" s="1" t="n"/>
    </row>
    <row r="533">
      <c r="A533" s="1" t="inlineStr">
        <is>
          <t>34163622241805</t>
        </is>
      </c>
      <c r="B533" s="1" t="inlineStr">
        <is>
          <t>LENTES F OVAL CRYSTAL BLACK</t>
        </is>
      </c>
      <c r="C533" s="1" t="n"/>
      <c r="D533" s="1" t="n"/>
      <c r="E533" s="1" t="n"/>
      <c r="F533" s="1" t="n"/>
      <c r="G533" s="1" t="n"/>
      <c r="H533" s="1" t="n"/>
      <c r="I533" s="1" t="n"/>
      <c r="J533" s="1" t="n"/>
      <c r="K533" s="6" t="n">
        <v>819.4809068</v>
      </c>
      <c r="L533" s="1" t="n"/>
      <c r="M533" s="1" t="n"/>
      <c r="N533" s="1" t="n"/>
    </row>
    <row r="534">
      <c r="A534" s="1" t="inlineStr">
        <is>
          <t>34163622302253</t>
        </is>
      </c>
      <c r="B534" s="1" t="inlineStr">
        <is>
          <t>LENTES F OVAL CRYSTAL</t>
        </is>
      </c>
      <c r="C534" s="1" t="n"/>
      <c r="D534" s="1" t="n"/>
      <c r="E534" s="1" t="n"/>
      <c r="F534" s="1" t="n"/>
      <c r="G534" s="1" t="n"/>
      <c r="H534" s="1" t="n"/>
      <c r="I534" s="1" t="n"/>
      <c r="J534" s="1" t="n"/>
      <c r="K534" s="6" t="n">
        <v>819.4809068</v>
      </c>
      <c r="L534" s="1" t="n"/>
      <c r="M534" s="1" t="n"/>
      <c r="N534" s="1" t="n"/>
    </row>
    <row r="535">
      <c r="A535" s="1" t="inlineStr">
        <is>
          <t>34163622492077</t>
        </is>
      </c>
      <c r="B535" s="1" t="inlineStr">
        <is>
          <t>SANDALIAS CD DIORACT WHITE</t>
        </is>
      </c>
      <c r="C535" s="1" t="n"/>
      <c r="D535" s="1" t="n"/>
      <c r="E535" s="1" t="n"/>
      <c r="F535" s="1" t="n"/>
      <c r="G535" s="1" t="n"/>
      <c r="H535" s="1" t="n"/>
      <c r="I535" s="1" t="n"/>
      <c r="J535" s="1" t="n"/>
      <c r="K535" s="6" t="n">
        <v>1536.5267</v>
      </c>
      <c r="L535" s="1" t="n"/>
      <c r="M535" s="6" t="n">
        <v>1470.686187</v>
      </c>
      <c r="N535" s="1" t="n"/>
    </row>
    <row r="536">
      <c r="A536" s="1" t="inlineStr">
        <is>
          <t>34163622524845</t>
        </is>
      </c>
      <c r="B536" s="1" t="inlineStr">
        <is>
          <t>SANDALIAS CD DIORACT WHITE</t>
        </is>
      </c>
      <c r="C536" s="1" t="n"/>
      <c r="D536" s="1" t="n"/>
      <c r="E536" s="1" t="n"/>
      <c r="F536" s="1" t="n"/>
      <c r="G536" s="1" t="n"/>
      <c r="H536" s="1" t="n"/>
      <c r="I536" s="1" t="n"/>
      <c r="J536" s="1" t="n"/>
      <c r="K536" s="6" t="n">
        <v>1536.5267</v>
      </c>
      <c r="L536" s="1" t="n"/>
      <c r="M536" s="1" t="n"/>
      <c r="N536" s="1" t="n"/>
    </row>
    <row r="537">
      <c r="A537" s="1" t="inlineStr">
        <is>
          <t>34163622623149</t>
        </is>
      </c>
      <c r="B537" s="1" t="inlineStr">
        <is>
          <t>SANDALIAS LV MULE BOM DIA</t>
        </is>
      </c>
      <c r="C537" s="1" t="n"/>
      <c r="D537" s="1" t="n"/>
      <c r="E537" s="1" t="n"/>
      <c r="F537" s="1" t="n"/>
      <c r="G537" s="1" t="n"/>
      <c r="H537" s="1" t="n"/>
      <c r="I537" s="1" t="n"/>
      <c r="J537" s="1" t="n"/>
      <c r="K537" s="6" t="n">
        <v>1280.438917</v>
      </c>
      <c r="L537" s="1" t="n"/>
      <c r="M537" s="6" t="n">
        <v>1225.571823</v>
      </c>
      <c r="N537" s="1" t="n"/>
    </row>
    <row r="538">
      <c r="A538" s="1" t="inlineStr">
        <is>
          <t>34163622788685</t>
        </is>
      </c>
      <c r="B538" s="1" t="inlineStr">
        <is>
          <t>BOLSO YSL ICARINO NAPA BLACK</t>
        </is>
      </c>
      <c r="C538" s="1" t="n"/>
      <c r="D538" s="1" t="n"/>
      <c r="E538" s="1" t="n"/>
      <c r="F538" s="1" t="n"/>
      <c r="G538" s="1" t="n"/>
      <c r="H538" s="1" t="n"/>
      <c r="I538" s="1" t="n"/>
      <c r="J538" s="1" t="n"/>
      <c r="K538" s="6" t="n">
        <v>1408.482808</v>
      </c>
      <c r="L538" s="1" t="n"/>
      <c r="M538" s="6" t="n">
        <v>1348.129005</v>
      </c>
      <c r="N538" s="1" t="n"/>
    </row>
    <row r="539">
      <c r="A539" s="1" t="inlineStr">
        <is>
          <t>34163622850829</t>
        </is>
      </c>
      <c r="B539" s="1" t="inlineStr">
        <is>
          <t>LENTES YSL SL 914 BROWN</t>
        </is>
      </c>
      <c r="C539" s="1" t="n"/>
      <c r="D539" s="1" t="n"/>
      <c r="E539" s="1" t="n"/>
      <c r="F539" s="1" t="n"/>
      <c r="G539" s="1" t="n"/>
      <c r="H539" s="1" t="n"/>
      <c r="I539" s="1" t="n"/>
      <c r="J539" s="1" t="n"/>
      <c r="K539" s="6" t="n">
        <v>1024.351133</v>
      </c>
      <c r="L539" s="1" t="n"/>
      <c r="M539" s="1" t="n"/>
      <c r="N539" s="1" t="n"/>
    </row>
    <row r="540">
      <c r="A540" s="1" t="inlineStr">
        <is>
          <t>34163622950605</t>
        </is>
      </c>
      <c r="B540" s="1" t="inlineStr">
        <is>
          <t>PERFUME YOU STRONGER TOBACCO</t>
        </is>
      </c>
      <c r="C540" s="1" t="n"/>
      <c r="D540" s="1" t="n"/>
      <c r="E540" s="1" t="n"/>
      <c r="F540" s="1" t="n"/>
      <c r="G540" s="1" t="n"/>
      <c r="H540" s="1" t="n"/>
      <c r="I540" s="1" t="n"/>
      <c r="J540" s="1" t="n"/>
      <c r="K540" s="6" t="n">
        <v>460.9580101</v>
      </c>
      <c r="L540" s="1" t="n"/>
      <c r="M540" s="1" t="n"/>
      <c r="N540" s="1" t="n"/>
    </row>
    <row r="541">
      <c r="A541" s="1" t="inlineStr">
        <is>
          <t>34163623006797</t>
        </is>
      </c>
      <c r="B541" s="1" t="inlineStr">
        <is>
          <t>BOLSO F BAGUETTE TEJIDO</t>
        </is>
      </c>
      <c r="C541" s="1" t="n"/>
      <c r="D541" s="1" t="n"/>
      <c r="E541" s="1" t="n"/>
      <c r="F541" s="1" t="n"/>
      <c r="G541" s="1" t="n"/>
      <c r="H541" s="1" t="n"/>
      <c r="I541" s="1" t="n"/>
      <c r="J541" s="1" t="n"/>
      <c r="K541" s="6" t="n">
        <v>1178.003803</v>
      </c>
      <c r="L541" s="1" t="n"/>
      <c r="M541" s="1" t="n"/>
      <c r="N541" s="1" t="n"/>
    </row>
    <row r="542">
      <c r="A542" s="1" t="inlineStr">
        <is>
          <t>34163623137869</t>
        </is>
      </c>
      <c r="B542" s="1" t="inlineStr">
        <is>
          <t>BOLSO F SUNSHINE BLACK</t>
        </is>
      </c>
      <c r="C542" s="1" t="n"/>
      <c r="D542" s="1" t="n"/>
      <c r="E542" s="1" t="n"/>
      <c r="F542" s="1" t="n"/>
      <c r="G542" s="1" t="n"/>
      <c r="H542" s="1" t="n"/>
      <c r="I542" s="1" t="n"/>
      <c r="J542" s="1" t="n"/>
      <c r="K542" s="6" t="n">
        <v>1434.091587</v>
      </c>
      <c r="L542" s="1" t="n"/>
      <c r="M542" s="1" t="n"/>
      <c r="N542" s="1" t="n"/>
    </row>
    <row r="543">
      <c r="A543" s="1" t="inlineStr">
        <is>
          <t>34163623210189</t>
        </is>
      </c>
      <c r="B543" s="1" t="inlineStr">
        <is>
          <t>ZAPATILLAS V ROCKSTUD BEIGE</t>
        </is>
      </c>
      <c r="C543" s="1" t="n"/>
      <c r="D543" s="1" t="n"/>
      <c r="E543" s="1" t="n"/>
      <c r="F543" s="1" t="n"/>
      <c r="G543" s="1" t="n"/>
      <c r="H543" s="1" t="n"/>
      <c r="I543" s="1" t="n"/>
      <c r="J543" s="1" t="n"/>
      <c r="K543" s="6" t="n">
        <v>1408.482808</v>
      </c>
      <c r="L543" s="1" t="n"/>
      <c r="M543" s="1" t="n"/>
      <c r="N543" s="1" t="n"/>
    </row>
    <row r="544">
      <c r="A544" s="1" t="inlineStr">
        <is>
          <t>34163623342957</t>
        </is>
      </c>
      <c r="B544" s="1" t="inlineStr">
        <is>
          <t>ZAPATILLAS V ROCKSTUD BEIGE</t>
        </is>
      </c>
      <c r="C544" s="1" t="n"/>
      <c r="D544" s="1" t="n"/>
      <c r="E544" s="1" t="n"/>
      <c r="F544" s="1" t="n"/>
      <c r="G544" s="1" t="n"/>
      <c r="H544" s="1" t="n"/>
      <c r="I544" s="1" t="n"/>
      <c r="J544" s="1" t="n"/>
      <c r="K544" s="6" t="n">
        <v>1408.482808</v>
      </c>
      <c r="L544" s="1" t="n"/>
      <c r="M544" s="6" t="n">
        <v>1348.129005</v>
      </c>
      <c r="N544" s="1" t="n"/>
    </row>
    <row r="545">
      <c r="A545" s="1" t="inlineStr">
        <is>
          <t>34163623457677</t>
        </is>
      </c>
      <c r="B545" s="1" t="inlineStr">
        <is>
          <t>PULSERA DE TENNIS DIAMONDS BLUE</t>
        </is>
      </c>
      <c r="C545" s="1" t="n"/>
      <c r="D545" s="1" t="n"/>
      <c r="E545" s="1" t="n"/>
      <c r="F545" s="1" t="n"/>
      <c r="G545" s="1" t="n"/>
      <c r="H545" s="1" t="n"/>
      <c r="I545" s="1" t="n"/>
      <c r="J545" s="1" t="n"/>
      <c r="K545" s="6" t="n">
        <v>307.30534</v>
      </c>
      <c r="L545" s="1" t="n"/>
      <c r="M545" s="1" t="n"/>
      <c r="N545" s="1" t="n"/>
    </row>
    <row r="546">
      <c r="A546" s="1" t="inlineStr">
        <is>
          <t>34163623595533</t>
        </is>
      </c>
      <c r="B546" s="1" t="inlineStr">
        <is>
          <t>PULSERA DE TENNIS DIAMONDS GOLD</t>
        </is>
      </c>
      <c r="C546" s="1" t="n"/>
      <c r="D546" s="1" t="n"/>
      <c r="E546" s="1" t="n"/>
      <c r="F546" s="1" t="n"/>
      <c r="G546" s="1" t="n"/>
      <c r="H546" s="1" t="n"/>
      <c r="I546" s="1" t="n"/>
      <c r="J546" s="1" t="n"/>
      <c r="K546" s="6" t="n">
        <v>256.0877834</v>
      </c>
      <c r="L546" s="1" t="n"/>
      <c r="M546" s="1" t="n"/>
      <c r="N546" s="1" t="n"/>
    </row>
    <row r="547">
      <c r="A547" s="1" t="inlineStr">
        <is>
          <t>34163623621517</t>
        </is>
      </c>
      <c r="B547" s="1" t="inlineStr">
        <is>
          <t>PULSERA DE TENNIS DIAMONDS SILVER</t>
        </is>
      </c>
      <c r="C547" s="1" t="n"/>
      <c r="D547" s="1" t="n"/>
      <c r="E547" s="1" t="n"/>
      <c r="F547" s="1" t="n"/>
      <c r="G547" s="1" t="n"/>
      <c r="H547" s="1" t="n"/>
      <c r="I547" s="1" t="n"/>
      <c r="J547" s="1" t="n"/>
      <c r="K547" s="6" t="n">
        <v>230.479005</v>
      </c>
      <c r="L547" s="1" t="n"/>
      <c r="M547" s="1" t="n"/>
      <c r="N547" s="1" t="n"/>
    </row>
    <row r="548">
      <c r="A548" s="1" t="inlineStr">
        <is>
          <t>34163623705709</t>
        </is>
      </c>
      <c r="B548" s="1" t="inlineStr">
        <is>
          <t>RELOJ C BAIGNOIRE BLACK-GOLD</t>
        </is>
      </c>
      <c r="C548" s="1" t="n"/>
      <c r="D548" s="1" t="n"/>
      <c r="E548" s="1" t="n"/>
      <c r="F548" s="1" t="n"/>
      <c r="G548" s="1" t="n"/>
      <c r="H548" s="1" t="n"/>
      <c r="I548" s="1" t="n"/>
      <c r="J548" s="1" t="n"/>
      <c r="K548" s="6" t="n">
        <v>1664.570592</v>
      </c>
      <c r="L548" s="1" t="n"/>
      <c r="M548" s="6" t="n">
        <v>1593.24337</v>
      </c>
      <c r="N548" s="1" t="n"/>
    </row>
    <row r="549">
      <c r="A549" s="1" t="inlineStr">
        <is>
          <t>34241171019789</t>
        </is>
      </c>
      <c r="B549" s="1" t="inlineStr">
        <is>
          <t>COLLAR MM LOGO SILVER CON ZIRCONIA</t>
        </is>
      </c>
      <c r="C549" s="1" t="n"/>
      <c r="D549" s="1" t="n"/>
      <c r="E549" s="6" t="n">
        <v>236.23936</v>
      </c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</row>
    <row r="550">
      <c r="A550" s="1" t="inlineStr">
        <is>
          <t>34313011061229</t>
        </is>
      </c>
      <c r="B550" s="1" t="inlineStr">
        <is>
          <t>BOLSO PR HANDBAG BROWN</t>
        </is>
      </c>
      <c r="C550" s="1" t="n"/>
      <c r="D550" s="1" t="n"/>
      <c r="E550" s="1" t="n"/>
      <c r="F550" s="1" t="n"/>
      <c r="G550" s="1" t="n"/>
      <c r="H550" s="6" t="n">
        <v>1382.546239</v>
      </c>
      <c r="I550" s="1" t="n"/>
      <c r="J550" s="6" t="n">
        <v>1342.87079</v>
      </c>
      <c r="K550" s="1" t="n"/>
      <c r="L550" s="6" t="n">
        <v>1378.054339</v>
      </c>
      <c r="M550" s="1" t="n"/>
      <c r="N550" s="1" t="n"/>
    </row>
    <row r="551">
      <c r="A551" s="1" t="inlineStr">
        <is>
          <t>34361211039213</t>
        </is>
      </c>
      <c r="B551" s="1" t="inlineStr">
        <is>
          <t>PULSERA DIVAS DREAM SILVER</t>
        </is>
      </c>
      <c r="C551" s="1" t="n"/>
      <c r="D551" s="6" t="n">
        <v>158.2266433</v>
      </c>
      <c r="E551" s="1" t="n"/>
      <c r="F551" s="1" t="n"/>
      <c r="G551" s="1" t="n"/>
      <c r="H551" s="1" t="n"/>
      <c r="I551" s="6" t="n">
        <v>158.0137205</v>
      </c>
      <c r="J551" s="1" t="n"/>
      <c r="K551" s="6" t="n">
        <v>157.7360519</v>
      </c>
      <c r="L551" s="1" t="n"/>
      <c r="M551" s="1" t="n"/>
      <c r="N551" s="1" t="n"/>
    </row>
    <row r="552">
      <c r="A552" s="1" t="inlineStr">
        <is>
          <t>34762981018093</t>
        </is>
      </c>
      <c r="B552" s="1" t="inlineStr">
        <is>
          <t>RELOJ TANK CR BLACK GOLD CROCODILE</t>
        </is>
      </c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6" t="n">
        <v>927.6618571</v>
      </c>
      <c r="M552" s="1" t="n"/>
      <c r="N552" s="1" t="n"/>
    </row>
    <row r="553">
      <c r="A553" s="1" t="inlineStr">
        <is>
          <t>34876761034381</t>
        </is>
      </c>
      <c r="B553" s="1" t="inlineStr">
        <is>
          <t>COLLAR DE CUENTAS BLUE T</t>
        </is>
      </c>
      <c r="C553" s="1" t="n"/>
      <c r="D553" s="1" t="n"/>
      <c r="E553" s="6" t="n">
        <v>256.7778712</v>
      </c>
      <c r="F553" s="1" t="n"/>
      <c r="G553" s="1" t="n"/>
      <c r="H553" s="1" t="n"/>
      <c r="I553" s="6" t="n">
        <v>265.0249789</v>
      </c>
      <c r="J553" s="1" t="n"/>
      <c r="K553" s="1" t="n"/>
      <c r="L553" s="6" t="n">
        <v>259.7102408</v>
      </c>
      <c r="M553" s="1" t="n"/>
      <c r="N553" s="1" t="n"/>
    </row>
    <row r="554">
      <c r="A554" s="1" t="inlineStr">
        <is>
          <t>34876761146797</t>
        </is>
      </c>
      <c r="B554" s="1" t="inlineStr">
        <is>
          <t>COLLAR DE CUENTAS PINK T</t>
        </is>
      </c>
      <c r="C554" s="1" t="n"/>
      <c r="D554" s="1" t="n"/>
      <c r="E554" s="1" t="n"/>
      <c r="F554" s="1" t="n"/>
      <c r="G554" s="1" t="n"/>
      <c r="H554" s="1" t="n"/>
      <c r="I554" s="1" t="n"/>
      <c r="J554" s="6" t="n">
        <v>263.2026748</v>
      </c>
      <c r="K554" s="1" t="n"/>
      <c r="L554" s="6" t="n">
        <v>259.7102408</v>
      </c>
      <c r="M554" s="1" t="n"/>
      <c r="N554" s="1" t="n"/>
    </row>
    <row r="555">
      <c r="A555" s="1" t="inlineStr">
        <is>
          <t>34876761251373</t>
        </is>
      </c>
      <c r="B555" s="1" t="inlineStr">
        <is>
          <t>ARETES T SQUARE SIXTEEN STONE</t>
        </is>
      </c>
      <c r="C555" s="1" t="n"/>
      <c r="D555" s="1" t="n"/>
      <c r="E555" s="6" t="n">
        <v>183.4127651</v>
      </c>
      <c r="F555" s="1" t="n"/>
      <c r="G555" s="1" t="n"/>
      <c r="H555" s="6" t="n">
        <v>186.1119937</v>
      </c>
      <c r="I555" s="6" t="n">
        <v>189.3035564</v>
      </c>
      <c r="J555" s="1" t="n"/>
      <c r="K555" s="6" t="n">
        <v>181.6506483</v>
      </c>
      <c r="L555" s="6" t="n">
        <v>185.5073148</v>
      </c>
      <c r="M555" s="1" t="n"/>
      <c r="N555" s="1" t="n"/>
    </row>
    <row r="556">
      <c r="A556" s="1" t="inlineStr">
        <is>
          <t>34876761335341</t>
        </is>
      </c>
      <c r="B556" s="1" t="inlineStr">
        <is>
          <t>ANILLO T LOVESTRUCK SILVER-ROSE GOLD</t>
        </is>
      </c>
      <c r="C556" s="1" t="n"/>
      <c r="D556" s="1" t="n"/>
      <c r="E556" s="6" t="n">
        <v>230.5760476</v>
      </c>
      <c r="F556" s="1" t="n"/>
      <c r="G556" s="1" t="n"/>
      <c r="H556" s="6" t="n">
        <v>233.9693635</v>
      </c>
      <c r="I556" s="1" t="n"/>
      <c r="J556" s="6" t="n">
        <v>236.345259</v>
      </c>
      <c r="K556" s="6" t="n">
        <v>228.360815</v>
      </c>
      <c r="L556" s="1" t="n"/>
      <c r="M556" s="1" t="n"/>
      <c r="N556" s="1" t="n"/>
    </row>
    <row r="557">
      <c r="A557" s="1" t="inlineStr">
        <is>
          <t>34876761468109</t>
        </is>
      </c>
      <c r="B557" s="1" t="inlineStr">
        <is>
          <t>ANILLO T LOVESTRUCK SILVER-ROSE GOLD</t>
        </is>
      </c>
      <c r="C557" s="1" t="n"/>
      <c r="D557" s="1" t="n"/>
      <c r="E557" s="1" t="n"/>
      <c r="F557" s="1" t="n"/>
      <c r="G557" s="1" t="n"/>
      <c r="H557" s="6" t="n">
        <v>233.9693635</v>
      </c>
      <c r="I557" s="6" t="n">
        <v>106.7714619</v>
      </c>
      <c r="J557" s="1" t="n"/>
      <c r="K557" s="6" t="n">
        <v>228.360815</v>
      </c>
      <c r="L557" s="1" t="n"/>
      <c r="M557" s="1" t="n"/>
      <c r="N557" s="1" t="n"/>
    </row>
    <row r="558">
      <c r="A558" s="1" t="inlineStr">
        <is>
          <t>35127151093997</t>
        </is>
      </c>
      <c r="B558" s="1" t="inlineStr">
        <is>
          <t>BOLSO PR HANDBAG BROWN</t>
        </is>
      </c>
      <c r="C558" s="1" t="n"/>
      <c r="D558" s="1" t="n"/>
      <c r="E558" s="6" t="n">
        <v>1257.687532</v>
      </c>
      <c r="F558" s="1" t="n"/>
      <c r="G558" s="1" t="n"/>
      <c r="H558" s="6" t="n">
        <v>1276.196528</v>
      </c>
      <c r="I558" s="1" t="n"/>
      <c r="J558" s="1" t="n"/>
      <c r="K558" s="1" t="n"/>
      <c r="L558" s="6" t="n">
        <v>1272.050159</v>
      </c>
      <c r="M558" s="1" t="n"/>
      <c r="N558" s="1" t="n"/>
    </row>
    <row r="559">
      <c r="A559" s="1" t="inlineStr">
        <is>
          <t>35245867974284</t>
        </is>
      </c>
      <c r="B559" s="1" t="inlineStr">
        <is>
          <t>BOLSO YSL SHOPER ICARE</t>
        </is>
      </c>
      <c r="C559" s="1" t="n"/>
      <c r="D559" s="1" t="n"/>
      <c r="E559" s="1" t="n"/>
      <c r="F559" s="1" t="n"/>
      <c r="G559" s="1" t="n"/>
      <c r="H559" s="6" t="n">
        <v>1462.308522</v>
      </c>
      <c r="I559" s="1" t="n"/>
      <c r="J559" s="6" t="n">
        <v>1477.157869</v>
      </c>
      <c r="K559" s="1" t="n"/>
      <c r="L559" s="6" t="n">
        <v>1457.557474</v>
      </c>
      <c r="M559" s="1" t="n"/>
      <c r="N559" s="1" t="n"/>
    </row>
    <row r="560">
      <c r="A560" s="1" t="inlineStr">
        <is>
          <t>35432871092045</t>
        </is>
      </c>
      <c r="B560" s="1" t="inlineStr">
        <is>
          <t>BRAZALETE CC COCO RUSH SILVER</t>
        </is>
      </c>
      <c r="C560" s="1" t="n"/>
      <c r="D560" s="1" t="n"/>
      <c r="E560" s="1" t="n"/>
      <c r="F560" s="1" t="n"/>
      <c r="G560" s="1" t="n"/>
      <c r="H560" s="1" t="n"/>
      <c r="I560" s="6" t="n">
        <v>191.9750886</v>
      </c>
      <c r="J560" s="1" t="n"/>
      <c r="K560" s="1" t="n"/>
      <c r="L560" s="1" t="n"/>
      <c r="M560" s="1" t="n"/>
      <c r="N560" s="1" t="n"/>
    </row>
    <row r="561">
      <c r="A561" s="1" t="inlineStr">
        <is>
          <t>35432871136685</t>
        </is>
      </c>
      <c r="B561" s="1" t="inlineStr">
        <is>
          <t>COLLAR CC BOUTON CAMELIA GOLD</t>
        </is>
      </c>
      <c r="C561" s="1" t="n"/>
      <c r="D561" s="1" t="n"/>
      <c r="E561" s="1" t="n"/>
      <c r="F561" s="1" t="n"/>
      <c r="G561" s="1" t="n"/>
      <c r="H561" s="1" t="n"/>
      <c r="I561" s="6" t="n">
        <v>256.2515086</v>
      </c>
      <c r="J561" s="1" t="n"/>
      <c r="K561" s="1" t="n"/>
      <c r="L561" s="1" t="n"/>
      <c r="M561" s="1" t="n"/>
      <c r="N561" s="1" t="n"/>
    </row>
    <row r="562">
      <c r="A562" s="1" t="inlineStr">
        <is>
          <t>35432871289805</t>
        </is>
      </c>
      <c r="B562" s="1" t="inlineStr">
        <is>
          <t>ANILLO CC COCO CRUSH ROSE GOLD</t>
        </is>
      </c>
      <c r="C562" s="1" t="n"/>
      <c r="D562" s="1" t="n"/>
      <c r="E562" s="1" t="n"/>
      <c r="F562" s="1" t="n"/>
      <c r="G562" s="1" t="n"/>
      <c r="H562" s="1" t="n"/>
      <c r="I562" s="6" t="n">
        <v>213.5429239</v>
      </c>
      <c r="J562" s="1" t="n"/>
      <c r="K562" s="1" t="n"/>
      <c r="L562" s="1" t="n"/>
      <c r="M562" s="1" t="n"/>
      <c r="N562" s="1" t="n"/>
    </row>
    <row r="563">
      <c r="A563" s="1" t="inlineStr">
        <is>
          <t>35432871322573</t>
        </is>
      </c>
      <c r="B563" s="1" t="inlineStr">
        <is>
          <t>ANILLO CC COCO CRUSH ROSE GOLD</t>
        </is>
      </c>
      <c r="C563" s="1" t="n"/>
      <c r="D563" s="1" t="n"/>
      <c r="E563" s="1" t="n"/>
      <c r="F563" s="1" t="n"/>
      <c r="G563" s="1" t="n"/>
      <c r="H563" s="1" t="n"/>
      <c r="I563" s="6" t="n">
        <v>213.5429239</v>
      </c>
      <c r="J563" s="1" t="n"/>
      <c r="K563" s="1" t="n"/>
      <c r="L563" s="1" t="n"/>
      <c r="M563" s="1" t="n"/>
      <c r="N563" s="1" t="n"/>
    </row>
    <row r="564">
      <c r="A564" s="1" t="inlineStr">
        <is>
          <t>35432871441773</t>
        </is>
      </c>
      <c r="B564" s="1" t="inlineStr">
        <is>
          <t>ANILLO CC COCO CRUSH ROSE GOLD-SILVER</t>
        </is>
      </c>
      <c r="C564" s="1" t="n"/>
      <c r="D564" s="1" t="n"/>
      <c r="E564" s="1" t="n"/>
      <c r="F564" s="1" t="n"/>
      <c r="G564" s="1" t="n"/>
      <c r="H564" s="1" t="n"/>
      <c r="I564" s="6" t="n">
        <v>213.5429239</v>
      </c>
      <c r="J564" s="1" t="n"/>
      <c r="K564" s="1" t="n"/>
      <c r="L564" s="6" t="n">
        <v>209.892953</v>
      </c>
      <c r="M564" s="1" t="n"/>
      <c r="N564" s="1" t="n"/>
    </row>
    <row r="565">
      <c r="A565" s="1" t="inlineStr">
        <is>
          <t>35432871574541</t>
        </is>
      </c>
      <c r="B565" s="1" t="inlineStr">
        <is>
          <t>ANILLO CC COCO CRUSH ROSE GOLD-SILVER</t>
        </is>
      </c>
      <c r="C565" s="1" t="n"/>
      <c r="D565" s="1" t="n"/>
      <c r="E565" s="1" t="n"/>
      <c r="F565" s="1" t="n"/>
      <c r="G565" s="1" t="n"/>
      <c r="H565" s="1" t="n"/>
      <c r="I565" s="6" t="n">
        <v>213.5429239</v>
      </c>
      <c r="J565" s="1" t="n"/>
      <c r="K565" s="1" t="n"/>
      <c r="L565" s="6" t="n">
        <v>209.892953</v>
      </c>
      <c r="M565" s="1" t="n"/>
      <c r="N565" s="1" t="n"/>
    </row>
    <row r="566">
      <c r="A566" s="1" t="inlineStr">
        <is>
          <t>35432871634445</t>
        </is>
      </c>
      <c r="B566" s="1" t="inlineStr">
        <is>
          <t>COLLAR CC COCO CRUSH GOLD</t>
        </is>
      </c>
      <c r="C566" s="1" t="n"/>
      <c r="D566" s="1" t="n"/>
      <c r="E566" s="1" t="n"/>
      <c r="F566" s="1" t="n"/>
      <c r="G566" s="1" t="n"/>
      <c r="H566" s="1" t="n"/>
      <c r="I566" s="6" t="n">
        <v>170.6207962</v>
      </c>
      <c r="J566" s="1" t="n"/>
      <c r="K566" s="1" t="n"/>
      <c r="L566" s="1" t="n"/>
      <c r="M566" s="6" t="n">
        <v>167.9067056</v>
      </c>
      <c r="N566" s="1" t="n"/>
    </row>
    <row r="567">
      <c r="A567" s="1" t="inlineStr">
        <is>
          <t>35432871709069</t>
        </is>
      </c>
      <c r="B567" s="1" t="inlineStr">
        <is>
          <t>COLLAR CC COCO GOLD</t>
        </is>
      </c>
      <c r="C567" s="1" t="n"/>
      <c r="D567" s="1" t="n"/>
      <c r="E567" s="1" t="n"/>
      <c r="F567" s="1" t="n"/>
      <c r="G567" s="1" t="n"/>
      <c r="H567" s="1" t="n"/>
      <c r="I567" s="6" t="n">
        <v>170.6207962</v>
      </c>
      <c r="J567" s="1" t="n"/>
      <c r="K567" s="1" t="n"/>
      <c r="L567" s="1" t="n"/>
      <c r="M567" s="1" t="n"/>
      <c r="N567" s="1" t="n"/>
    </row>
    <row r="568">
      <c r="A568" s="1" t="inlineStr">
        <is>
          <t>35432871814157</t>
        </is>
      </c>
      <c r="B568" s="1" t="inlineStr">
        <is>
          <t>ARETES H MINI MAILLON GOLD-BLACK</t>
        </is>
      </c>
      <c r="C568" s="1" t="n"/>
      <c r="D568" s="1" t="n"/>
      <c r="E568" s="1" t="n"/>
      <c r="F568" s="1" t="n"/>
      <c r="G568" s="1" t="n"/>
      <c r="H568" s="1" t="n"/>
      <c r="I568" s="6" t="n">
        <v>190.0532022</v>
      </c>
      <c r="J568" s="1" t="n"/>
      <c r="K568" s="1" t="n"/>
      <c r="L568" s="1" t="n"/>
      <c r="M568" s="1" t="n"/>
      <c r="N568" s="1" t="n"/>
    </row>
    <row r="569">
      <c r="A569" s="1" t="inlineStr">
        <is>
          <t>35432871939597</t>
        </is>
      </c>
      <c r="B569" s="1" t="inlineStr">
        <is>
          <t>ARETES H MINI MAILLON ROSE GOLD-WHITE</t>
        </is>
      </c>
      <c r="C569" s="1" t="n"/>
      <c r="D569" s="1" t="n"/>
      <c r="E569" s="1" t="n"/>
      <c r="F569" s="1" t="n"/>
      <c r="G569" s="1" t="n"/>
      <c r="H569" s="1" t="n"/>
      <c r="I569" s="6" t="n">
        <v>190.0532022</v>
      </c>
      <c r="J569" s="1" t="n"/>
      <c r="K569" s="1" t="n"/>
      <c r="L569" s="1" t="n"/>
      <c r="M569" s="1" t="n"/>
      <c r="N569" s="1" t="n"/>
    </row>
    <row r="570">
      <c r="A570" s="1" t="inlineStr">
        <is>
          <t>35432872053165</t>
        </is>
      </c>
      <c r="B570" s="1" t="inlineStr">
        <is>
          <t>ARETES POP H SILVER-BLACK</t>
        </is>
      </c>
      <c r="C570" s="1" t="n"/>
      <c r="D570" s="1" t="n"/>
      <c r="E570" s="1" t="n"/>
      <c r="F570" s="1" t="n"/>
      <c r="G570" s="1" t="n"/>
      <c r="H570" s="1" t="n"/>
      <c r="I570" s="6" t="n">
        <v>190.0532022</v>
      </c>
      <c r="J570" s="1" t="n"/>
      <c r="K570" s="1" t="n"/>
      <c r="L570" s="1" t="n"/>
      <c r="M570" s="6" t="n">
        <v>187.0299975</v>
      </c>
      <c r="N570" s="1" t="n"/>
    </row>
    <row r="571">
      <c r="A571" s="1" t="inlineStr">
        <is>
          <t>35432872130573</t>
        </is>
      </c>
      <c r="B571" s="1" t="inlineStr">
        <is>
          <t>ARETES POP H SILVER-WHITE</t>
        </is>
      </c>
      <c r="C571" s="1" t="n"/>
      <c r="D571" s="1" t="n"/>
      <c r="E571" s="1" t="n"/>
      <c r="F571" s="1" t="n"/>
      <c r="G571" s="1" t="n"/>
      <c r="H571" s="1" t="n"/>
      <c r="I571" s="6" t="n">
        <v>190.0532022</v>
      </c>
      <c r="J571" s="1" t="n"/>
      <c r="K571" s="1" t="n"/>
      <c r="L571" s="1" t="n"/>
      <c r="M571" s="6" t="n">
        <v>187.0299975</v>
      </c>
      <c r="N571" s="1" t="n"/>
    </row>
    <row r="572">
      <c r="A572" s="1" t="inlineStr">
        <is>
          <t>35432872271821</t>
        </is>
      </c>
      <c r="B572" s="1" t="inlineStr">
        <is>
          <t>COLLAR H MINI MAILLON ROSE GOLD</t>
        </is>
      </c>
      <c r="C572" s="1" t="n"/>
      <c r="D572" s="1" t="n"/>
      <c r="E572" s="1" t="n"/>
      <c r="F572" s="1" t="n"/>
      <c r="G572" s="1" t="n"/>
      <c r="H572" s="1" t="n"/>
      <c r="I572" s="6" t="n">
        <v>149.2665038</v>
      </c>
      <c r="J572" s="1" t="n"/>
      <c r="K572" s="1" t="n"/>
      <c r="L572" s="1" t="n"/>
      <c r="M572" s="1" t="n"/>
      <c r="N572" s="1" t="n"/>
    </row>
    <row r="573">
      <c r="A573" s="1" t="inlineStr">
        <is>
          <t>35432872383693</t>
        </is>
      </c>
      <c r="B573" s="1" t="inlineStr">
        <is>
          <t>COLLAR H MINI MAILLON GOLD-BLACK</t>
        </is>
      </c>
      <c r="C573" s="1" t="n"/>
      <c r="D573" s="1" t="n"/>
      <c r="E573" s="1" t="n"/>
      <c r="F573" s="1" t="n"/>
      <c r="G573" s="1" t="n"/>
      <c r="H573" s="1" t="n"/>
      <c r="I573" s="6" t="n">
        <v>149.2665038</v>
      </c>
      <c r="J573" s="1" t="n"/>
      <c r="K573" s="1" t="n"/>
      <c r="L573" s="1" t="n"/>
      <c r="M573" s="6" t="n">
        <v>146.8920992</v>
      </c>
      <c r="N573" s="1" t="n"/>
    </row>
    <row r="574">
      <c r="A574" s="1" t="inlineStr">
        <is>
          <t>35432872421549</t>
        </is>
      </c>
      <c r="B574" s="1" t="inlineStr">
        <is>
          <t>ARETES POP H ROSE GOLD PINK</t>
        </is>
      </c>
      <c r="C574" s="1" t="n"/>
      <c r="D574" s="1" t="n"/>
      <c r="E574" s="1" t="n"/>
      <c r="F574" s="1" t="n"/>
      <c r="G574" s="1" t="n"/>
      <c r="H574" s="1" t="n"/>
      <c r="I574" s="6" t="n">
        <v>190.0532022</v>
      </c>
      <c r="J574" s="1" t="n"/>
      <c r="K574" s="1" t="n"/>
      <c r="L574" s="1" t="n"/>
      <c r="M574" s="1" t="n"/>
      <c r="N574" s="1" t="n"/>
    </row>
    <row r="575">
      <c r="A575" s="1" t="inlineStr">
        <is>
          <t>35432872592173</t>
        </is>
      </c>
      <c r="B575" s="1" t="inlineStr">
        <is>
          <t>BRAZALETE MINI CLIC CHAINE GOLD-BLACK</t>
        </is>
      </c>
      <c r="C575" s="1" t="n"/>
      <c r="D575" s="1" t="n"/>
      <c r="E575" s="1" t="n"/>
      <c r="F575" s="1" t="n"/>
      <c r="G575" s="1" t="n"/>
      <c r="H575" s="1" t="n"/>
      <c r="I575" s="6" t="n">
        <v>384.377263</v>
      </c>
      <c r="J575" s="1" t="n"/>
      <c r="K575" s="1" t="n"/>
      <c r="L575" s="1" t="n"/>
      <c r="M575" s="6" t="n">
        <v>378.2629163</v>
      </c>
      <c r="N575" s="1" t="n"/>
    </row>
    <row r="576">
      <c r="A576" s="1" t="inlineStr">
        <is>
          <t>35432872669581</t>
        </is>
      </c>
      <c r="B576" s="1" t="inlineStr">
        <is>
          <t>BRAZALETE MINI CLIC KELLY ROSE GOLD</t>
        </is>
      </c>
      <c r="C576" s="1" t="n"/>
      <c r="D576" s="1" t="n"/>
      <c r="E576" s="1" t="n"/>
      <c r="F576" s="1" t="n"/>
      <c r="G576" s="1" t="n"/>
      <c r="H576" s="1" t="n"/>
      <c r="I576" s="6" t="n">
        <v>384.377263</v>
      </c>
      <c r="J576" s="1" t="n"/>
      <c r="K576" s="1" t="n"/>
      <c r="L576" s="6" t="n">
        <v>377.8073153</v>
      </c>
      <c r="M576" s="1" t="n"/>
      <c r="N576" s="1" t="n"/>
    </row>
    <row r="577">
      <c r="A577" s="1" t="inlineStr">
        <is>
          <t>35432872781453</t>
        </is>
      </c>
      <c r="B577" s="1" t="inlineStr">
        <is>
          <t>BRAZALETE ELSA PERETTI SILVER</t>
        </is>
      </c>
      <c r="C577" s="1" t="n"/>
      <c r="D577" s="1" t="n"/>
      <c r="E577" s="1" t="n"/>
      <c r="F577" s="1" t="n"/>
      <c r="G577" s="1" t="n"/>
      <c r="H577" s="1" t="n"/>
      <c r="I577" s="6" t="n">
        <v>128.1257543</v>
      </c>
      <c r="J577" s="1" t="n"/>
      <c r="K577" s="1" t="n"/>
      <c r="L577" s="1" t="n"/>
      <c r="M577" s="1" t="n"/>
      <c r="N577" s="1" t="n"/>
    </row>
    <row r="578">
      <c r="A578" s="1" t="inlineStr">
        <is>
          <t>35432872862253</t>
        </is>
      </c>
      <c r="B578" s="1" t="inlineStr">
        <is>
          <t>PULSERA CD D-LUCK GOLD WHITE</t>
        </is>
      </c>
      <c r="C578" s="1" t="n"/>
      <c r="D578" s="1" t="n"/>
      <c r="E578" s="1" t="n"/>
      <c r="F578" s="1" t="n"/>
      <c r="G578" s="1" t="n"/>
      <c r="H578" s="1" t="n"/>
      <c r="I578" s="6" t="n">
        <v>384.377263</v>
      </c>
      <c r="J578" s="1" t="n"/>
      <c r="K578" s="1" t="n"/>
      <c r="L578" s="1" t="n"/>
      <c r="M578" s="1" t="n"/>
      <c r="N578" s="1" t="n"/>
    </row>
    <row r="579">
      <c r="A579" s="1" t="inlineStr">
        <is>
          <t>35997321035725</t>
        </is>
      </c>
      <c r="B579" s="1" t="inlineStr">
        <is>
          <t>ANILLO JUSTE UN CLOU SILVER CON ZIRCONIA-6</t>
        </is>
      </c>
      <c r="C579" s="1" t="n"/>
      <c r="D579" s="6" t="n">
        <v>158.2266433</v>
      </c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</row>
    <row r="580">
      <c r="A580" s="1" t="inlineStr">
        <is>
          <t>36002950539532</t>
        </is>
      </c>
      <c r="B580" s="1" t="inlineStr">
        <is>
          <t>COLLAR T CORAZÓN</t>
        </is>
      </c>
      <c r="C580" s="1" t="n"/>
      <c r="D580" s="6" t="n">
        <v>162.7667605</v>
      </c>
      <c r="E580" s="1" t="n"/>
      <c r="F580" s="1" t="n"/>
      <c r="G580" s="1" t="n"/>
      <c r="H580" s="1" t="n"/>
      <c r="I580" s="1" t="n"/>
      <c r="J580" s="6" t="n">
        <v>217.3589405</v>
      </c>
      <c r="K580" s="1" t="n"/>
      <c r="L580" s="6" t="n">
        <v>236.3410285</v>
      </c>
      <c r="M580" s="1" t="n"/>
      <c r="N580" s="1" t="n"/>
    </row>
    <row r="581">
      <c r="A581" s="1" t="inlineStr">
        <is>
          <t>36002951405580</t>
        </is>
      </c>
      <c r="B581" s="1" t="inlineStr">
        <is>
          <t>COLLAR CLAVO GOLD CON ZIRCONIA</t>
        </is>
      </c>
      <c r="C581" s="1" t="n"/>
      <c r="D581" s="6" t="n">
        <v>142.88033485</v>
      </c>
      <c r="E581" s="1" t="n"/>
      <c r="F581" s="6" t="n">
        <v>126.3629907</v>
      </c>
      <c r="G581" s="6" t="n">
        <v>125.5029601</v>
      </c>
      <c r="H581" s="1" t="n"/>
      <c r="I581" s="1" t="n"/>
      <c r="J581" s="1" t="n"/>
      <c r="K581" s="6" t="n">
        <v>126.1888415</v>
      </c>
      <c r="L581" s="1" t="n"/>
      <c r="M581" s="1" t="n"/>
      <c r="N581" s="1" t="n"/>
    </row>
    <row r="582">
      <c r="A582" s="1" t="inlineStr">
        <is>
          <t>36002955634060</t>
        </is>
      </c>
      <c r="B582" s="1" t="n"/>
      <c r="C582" s="1" t="n"/>
      <c r="D582" s="1" t="n"/>
      <c r="E582" s="1" t="n"/>
      <c r="F582" s="1" t="n"/>
      <c r="G582" s="1" t="n"/>
      <c r="H582" s="6" t="n">
        <v>340.3190742</v>
      </c>
      <c r="I582" s="1" t="n"/>
      <c r="J582" s="1" t="n"/>
      <c r="K582" s="1" t="n"/>
      <c r="L582" s="1" t="n"/>
      <c r="M582" s="1" t="n"/>
      <c r="N582" s="1" t="n"/>
    </row>
    <row r="583">
      <c r="A583" s="1" t="inlineStr">
        <is>
          <t>36002958128780</t>
        </is>
      </c>
      <c r="B583" s="1" t="inlineStr">
        <is>
          <t>COLLAR CLAVO GOLD MZ</t>
        </is>
      </c>
      <c r="C583" s="1" t="n"/>
      <c r="D583" s="6" t="n">
        <v>147.6782004</v>
      </c>
      <c r="E583" s="1" t="n"/>
      <c r="F583" s="1" t="n"/>
      <c r="G583" s="1" t="n"/>
      <c r="H583" s="1" t="n"/>
      <c r="I583" s="1" t="n"/>
      <c r="J583" s="1" t="n"/>
      <c r="K583" s="6" t="n">
        <v>147.2203151</v>
      </c>
      <c r="L583" s="6" t="n">
        <v>148.5304959</v>
      </c>
      <c r="M583" s="1" t="n"/>
      <c r="N583" s="1" t="n"/>
    </row>
    <row r="584">
      <c r="A584" s="1" t="inlineStr">
        <is>
          <t>36568531067821</t>
        </is>
      </c>
      <c r="B584" s="1" t="inlineStr">
        <is>
          <t>ARETES MM SILVER</t>
        </is>
      </c>
      <c r="C584" s="1" t="n"/>
      <c r="D584" s="6" t="n">
        <v>148.7896974</v>
      </c>
      <c r="E584" s="1" t="n"/>
      <c r="F584" s="1" t="n"/>
      <c r="G584" s="6" t="n">
        <v>146.4201201</v>
      </c>
      <c r="H584" s="1" t="n"/>
      <c r="I584" s="1" t="n"/>
      <c r="J584" s="6" t="n">
        <v>149.1272735</v>
      </c>
      <c r="K584" s="1" t="n"/>
      <c r="L584" s="6" t="n">
        <v>146.9250671</v>
      </c>
      <c r="M584" s="1" t="n"/>
      <c r="N584" s="1" t="n"/>
    </row>
    <row r="585">
      <c r="A585" s="1" t="inlineStr">
        <is>
          <t>37309581067981</t>
        </is>
      </c>
      <c r="B585" s="1" t="inlineStr">
        <is>
          <t>HOODIE ALLS BLACK</t>
        </is>
      </c>
      <c r="C585" s="1" t="n"/>
      <c r="D585" s="1" t="n"/>
      <c r="E585" s="6" t="n">
        <v>826.83776</v>
      </c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</row>
    <row r="586">
      <c r="A586" s="1" t="inlineStr">
        <is>
          <t>37319811028493</t>
        </is>
      </c>
      <c r="B586" s="1" t="inlineStr">
        <is>
          <t>BOLSO LADY D NUDE</t>
        </is>
      </c>
      <c r="C586" s="1" t="n"/>
      <c r="D586" s="1" t="n"/>
      <c r="E586" s="1" t="n"/>
      <c r="F586" s="1" t="n"/>
      <c r="G586" s="1" t="n"/>
      <c r="H586" s="1" t="n"/>
      <c r="I586" s="1" t="n"/>
      <c r="J586" s="1" t="n"/>
      <c r="K586" s="6" t="n">
        <v>1434.091587</v>
      </c>
      <c r="L586" s="1" t="n"/>
      <c r="M586" s="1" t="n"/>
      <c r="N586" s="1" t="n"/>
    </row>
    <row r="587">
      <c r="A587" s="1" t="inlineStr">
        <is>
          <t>37491240998540</t>
        </is>
      </c>
      <c r="B587" s="1" t="inlineStr">
        <is>
          <t>PULSERA C D’AMOUR GOLD</t>
        </is>
      </c>
      <c r="C587" s="1" t="n"/>
      <c r="D587" s="6" t="n">
        <v>106.2783553</v>
      </c>
      <c r="E587" s="1" t="n"/>
      <c r="F587" s="1" t="n"/>
      <c r="G587" s="1" t="n"/>
      <c r="H587" s="1" t="n"/>
      <c r="I587" s="1" t="n"/>
      <c r="J587" s="1" t="n"/>
      <c r="K587" s="1" t="n"/>
      <c r="L587" s="6" t="n">
        <v>105.5198439</v>
      </c>
      <c r="M587" s="1" t="n"/>
      <c r="N587" s="1" t="n"/>
    </row>
    <row r="588">
      <c r="A588" s="1" t="inlineStr">
        <is>
          <t>37491250366220</t>
        </is>
      </c>
      <c r="B588" s="1" t="inlineStr">
        <is>
          <t>ARETES FLOWER VF</t>
        </is>
      </c>
      <c r="C588" s="1" t="n"/>
      <c r="D588" s="6" t="n">
        <v>168.7750861</v>
      </c>
      <c r="E588" s="1" t="n"/>
      <c r="F588" s="6" t="n">
        <v>168.4839875</v>
      </c>
      <c r="G588" s="6" t="n">
        <v>167.3372801</v>
      </c>
      <c r="H588" s="1" t="n"/>
      <c r="I588" s="1" t="n"/>
      <c r="J588" s="1" t="n"/>
      <c r="K588" s="1" t="n"/>
      <c r="L588" s="6" t="n">
        <v>167.9143624</v>
      </c>
      <c r="M588" s="1" t="n"/>
      <c r="N588" s="1" t="n"/>
    </row>
    <row r="589">
      <c r="A589" s="1" t="inlineStr">
        <is>
          <t>37491253271052</t>
        </is>
      </c>
      <c r="B589" s="1" t="inlineStr">
        <is>
          <t>PULSERA MARIQUITA VF</t>
        </is>
      </c>
      <c r="C589" s="1" t="n"/>
      <c r="D589" s="6" t="n">
        <v>127.5340264</v>
      </c>
      <c r="E589" s="1" t="n"/>
      <c r="F589" s="6" t="n">
        <v>126.3629907</v>
      </c>
      <c r="G589" s="6" t="n">
        <v>125.5029601</v>
      </c>
      <c r="H589" s="6" t="n">
        <v>127.2025068</v>
      </c>
      <c r="I589" s="6" t="n">
        <v>126.4109764</v>
      </c>
      <c r="J589" s="1" t="n"/>
      <c r="K589" s="1" t="n"/>
      <c r="L589" s="1" t="n"/>
      <c r="M589" s="6" t="n">
        <v>126.0876388</v>
      </c>
      <c r="N589" s="1" t="n"/>
    </row>
    <row r="590">
      <c r="A590" s="1" t="inlineStr">
        <is>
          <t>37491254947980</t>
        </is>
      </c>
      <c r="B590" s="1" t="inlineStr">
        <is>
          <t>COLLAR MARIQUITA VF</t>
        </is>
      </c>
      <c r="C590" s="1" t="n"/>
      <c r="D590" s="6" t="n">
        <v>148.7896974</v>
      </c>
      <c r="E590" s="1" t="n"/>
      <c r="F590" s="6" t="n">
        <v>147.4234891</v>
      </c>
      <c r="G590" s="6" t="n">
        <v>146.4201201</v>
      </c>
      <c r="H590" s="6" t="n">
        <v>148.4029245</v>
      </c>
      <c r="I590" s="6" t="n">
        <v>147.4794725</v>
      </c>
      <c r="J590" s="1" t="n"/>
      <c r="K590" s="6" t="n">
        <v>147.2203151</v>
      </c>
      <c r="L590" s="1" t="n"/>
      <c r="M590" s="6" t="n">
        <v>147.1022452</v>
      </c>
      <c r="N590" s="1" t="n"/>
    </row>
    <row r="591">
      <c r="A591" s="1" t="inlineStr">
        <is>
          <t>37491258087948</t>
        </is>
      </c>
      <c r="B591" s="1" t="inlineStr">
        <is>
          <t>ARETES TRINITY DIAMOND</t>
        </is>
      </c>
      <c r="C591" s="1" t="n"/>
      <c r="D591" s="6" t="n">
        <v>148.7896974</v>
      </c>
      <c r="E591" s="1" t="n"/>
      <c r="F591" s="6" t="n">
        <v>147.4234891</v>
      </c>
      <c r="G591" s="6" t="n">
        <v>146.4201201</v>
      </c>
      <c r="H591" s="1" t="n"/>
      <c r="I591" s="1" t="n"/>
      <c r="J591" s="1" t="n"/>
      <c r="K591" s="6" t="n">
        <v>147.2203151</v>
      </c>
      <c r="L591" s="6" t="n">
        <v>146.9250671</v>
      </c>
      <c r="M591" s="6" t="n">
        <v>147.1022452</v>
      </c>
      <c r="N591" s="1" t="n"/>
    </row>
    <row r="592">
      <c r="A592" s="1" t="inlineStr">
        <is>
          <t>37491258394380</t>
        </is>
      </c>
      <c r="B592" s="1" t="inlineStr">
        <is>
          <t>COLLAR FLOWER VF</t>
        </is>
      </c>
      <c r="C592" s="1" t="n"/>
      <c r="D592" s="6" t="n">
        <v>106.2783553</v>
      </c>
      <c r="E592" s="1" t="n"/>
      <c r="F592" s="6" t="n">
        <v>105.3024922</v>
      </c>
      <c r="G592" s="6" t="n">
        <v>104.5858001</v>
      </c>
      <c r="H592" s="6" t="n">
        <v>106.002089</v>
      </c>
      <c r="I592" s="6" t="n">
        <v>105.3424803</v>
      </c>
      <c r="J592" s="1" t="n"/>
      <c r="K592" s="1" t="n"/>
      <c r="L592" s="6" t="n">
        <v>106.0932113</v>
      </c>
      <c r="M592" s="1" t="n"/>
      <c r="N592" s="1" t="n"/>
    </row>
    <row r="593">
      <c r="A593" s="1" t="inlineStr">
        <is>
          <t>37635091051341</t>
        </is>
      </c>
      <c r="B593" s="1" t="inlineStr">
        <is>
          <t>LENTES PR EYEWEAR PILOTO</t>
        </is>
      </c>
      <c r="C593" s="1" t="n"/>
      <c r="D593" s="1" t="n"/>
      <c r="E593" s="1" t="n"/>
      <c r="F593" s="1" t="n"/>
      <c r="G593" s="1" t="n"/>
      <c r="H593" s="1" t="n"/>
      <c r="I593" s="1" t="n"/>
      <c r="J593" s="1" t="n"/>
      <c r="K593" s="6" t="n">
        <v>673.0071549</v>
      </c>
      <c r="L593" s="1" t="n"/>
      <c r="M593" s="1" t="n"/>
      <c r="N593" s="1" t="n"/>
    </row>
    <row r="594">
      <c r="A594" s="1" t="inlineStr">
        <is>
          <t>38332091054029</t>
        </is>
      </c>
      <c r="B594" s="1" t="inlineStr">
        <is>
          <t>ANILLO T EDGE SILVER</t>
        </is>
      </c>
      <c r="C594" s="1" t="n"/>
      <c r="D594" s="1" t="n"/>
      <c r="E594" s="1" t="n"/>
      <c r="F594" s="1" t="n"/>
      <c r="G594" s="1" t="n"/>
      <c r="H594" s="6" t="n">
        <v>287.1442189</v>
      </c>
      <c r="I594" s="1" t="n"/>
      <c r="J594" s="1" t="n"/>
      <c r="K594" s="1" t="n"/>
      <c r="L594" s="6" t="n">
        <v>286.2112858</v>
      </c>
      <c r="M594" s="1" t="n"/>
      <c r="N594" s="1" t="n"/>
    </row>
    <row r="595">
      <c r="A595" s="1" t="inlineStr">
        <is>
          <t>38332091186797</t>
        </is>
      </c>
      <c r="B595" s="1" t="inlineStr">
        <is>
          <t>ANILLO T EDGE SILVER</t>
        </is>
      </c>
      <c r="C595" s="1" t="n"/>
      <c r="D595" s="1" t="n"/>
      <c r="E595" s="6" t="n">
        <v>282.9796948</v>
      </c>
      <c r="F595" s="1" t="n"/>
      <c r="G595" s="1" t="n"/>
      <c r="H595" s="6" t="n">
        <v>287.1442189</v>
      </c>
      <c r="I595" s="1" t="n"/>
      <c r="J595" s="1" t="n"/>
      <c r="K595" s="6" t="n">
        <v>280.2610003</v>
      </c>
      <c r="L595" s="1" t="n"/>
      <c r="M595" s="1" t="n"/>
      <c r="N595" s="1" t="n"/>
    </row>
    <row r="596">
      <c r="A596" s="1" t="inlineStr">
        <is>
          <t>38332091487821</t>
        </is>
      </c>
      <c r="B596" s="1" t="inlineStr">
        <is>
          <t>PULSERA LV DOUBLE HEART GOLD-SILVER</t>
        </is>
      </c>
      <c r="C596" s="1" t="n"/>
      <c r="D596" s="1" t="n"/>
      <c r="E596" s="1" t="n"/>
      <c r="F596" s="1" t="n"/>
      <c r="G596" s="1" t="n"/>
      <c r="H596" s="6" t="n">
        <v>119.6434245</v>
      </c>
      <c r="I596" s="1" t="n"/>
      <c r="J596" s="1" t="n"/>
      <c r="K596" s="1" t="n"/>
      <c r="L596" s="1" t="n"/>
      <c r="M596" s="1" t="n"/>
      <c r="N596" s="1" t="n"/>
    </row>
    <row r="597">
      <c r="A597" s="1" t="inlineStr">
        <is>
          <t>38332091513773</t>
        </is>
      </c>
      <c r="B597" s="1" t="inlineStr">
        <is>
          <t>ARETES LOGO CC GOLD CON ZIRCONIAS</t>
        </is>
      </c>
      <c r="C597" s="1" t="n"/>
      <c r="D597" s="1" t="n"/>
      <c r="E597" s="6" t="n">
        <v>99.04289317</v>
      </c>
      <c r="F597" s="1" t="n"/>
      <c r="G597" s="1" t="n"/>
      <c r="H597" s="6" t="n">
        <v>100.5004766</v>
      </c>
      <c r="I597" s="1" t="n"/>
      <c r="J597" s="1" t="n"/>
      <c r="K597" s="6" t="n">
        <v>98.09135009000001</v>
      </c>
      <c r="L597" s="1" t="n"/>
      <c r="M597" s="1" t="n"/>
      <c r="N597" s="1" t="n"/>
    </row>
    <row r="598">
      <c r="A598" s="1" t="inlineStr">
        <is>
          <t>38332091841901</t>
        </is>
      </c>
      <c r="B598" s="1" t="inlineStr">
        <is>
          <t>ARETES LW ANAGRAM GOLD</t>
        </is>
      </c>
      <c r="C598" s="1" t="n"/>
      <c r="D598" s="1" t="n"/>
      <c r="E598" s="6" t="n">
        <v>91.70638255999999</v>
      </c>
      <c r="F598" s="1" t="n"/>
      <c r="G598" s="1" t="n"/>
      <c r="H598" s="6" t="n">
        <v>93.05599685999999</v>
      </c>
      <c r="I598" s="1" t="n"/>
      <c r="J598" s="6" t="n">
        <v>107.4296632</v>
      </c>
      <c r="K598" s="1" t="n"/>
      <c r="L598" s="6" t="n">
        <v>106.0041799</v>
      </c>
      <c r="M598" s="1" t="n"/>
      <c r="N598" s="1" t="n"/>
    </row>
    <row r="599">
      <c r="A599" s="1" t="inlineStr">
        <is>
          <t>38332091970605</t>
        </is>
      </c>
      <c r="B599" s="1" t="inlineStr">
        <is>
          <t>ARETES DG CON PERLA GOLD</t>
        </is>
      </c>
      <c r="C599" s="1" t="n"/>
      <c r="D599" s="1" t="n"/>
      <c r="E599" s="1" t="n"/>
      <c r="F599" s="1" t="n"/>
      <c r="G599" s="1" t="n"/>
      <c r="H599" s="6" t="n">
        <v>233.9693635</v>
      </c>
      <c r="I599" s="1" t="n"/>
      <c r="J599" s="1" t="n"/>
      <c r="K599" s="1" t="n"/>
      <c r="L599" s="6" t="n">
        <v>233.2091958</v>
      </c>
      <c r="M599" s="1" t="n"/>
      <c r="N599" s="1" t="n"/>
    </row>
    <row r="600">
      <c r="A600" s="1" t="inlineStr">
        <is>
          <t>38332092017357</t>
        </is>
      </c>
      <c r="B600" s="1" t="inlineStr">
        <is>
          <t>LENTES LV MILIONAIRES SQUARE</t>
        </is>
      </c>
      <c r="C600" s="1" t="n"/>
      <c r="D600" s="1" t="n"/>
      <c r="E600" s="1" t="n"/>
      <c r="F600" s="1" t="n"/>
      <c r="G600" s="1" t="n"/>
      <c r="H600" s="6" t="n">
        <v>797.6228302</v>
      </c>
      <c r="I600" s="6" t="n">
        <v>811.300956</v>
      </c>
      <c r="J600" s="1" t="n"/>
      <c r="K600" s="6" t="n">
        <v>778.5027785</v>
      </c>
      <c r="L600" s="1" t="n"/>
      <c r="M600" s="1" t="n"/>
      <c r="N600" s="1" t="n"/>
    </row>
    <row r="601">
      <c r="A601" s="1" t="inlineStr">
        <is>
          <t>38334521007073</t>
        </is>
      </c>
      <c r="B601" s="1" t="inlineStr">
        <is>
          <t>ANILLO TRÉBOL GOLD</t>
        </is>
      </c>
      <c r="C601" s="1" t="n"/>
      <c r="D601" s="6" t="n">
        <v>126.3703458</v>
      </c>
      <c r="E601" s="1" t="n"/>
      <c r="F601" s="1" t="n"/>
      <c r="G601" s="1" t="n"/>
      <c r="H601" s="6" t="n">
        <v>126.9905026</v>
      </c>
      <c r="I601" s="6" t="n">
        <v>126.2002914</v>
      </c>
      <c r="J601" s="1" t="n"/>
      <c r="K601" s="1" t="n"/>
      <c r="L601" s="6" t="n">
        <v>125.7258788</v>
      </c>
      <c r="M601" s="1" t="n"/>
      <c r="N601" s="1" t="n"/>
    </row>
    <row r="602">
      <c r="A602" s="1" t="inlineStr">
        <is>
          <t>38334521139841</t>
        </is>
      </c>
      <c r="B602" s="1" t="inlineStr">
        <is>
          <t>ANILLO TREBOL GOLD</t>
        </is>
      </c>
      <c r="C602" s="1" t="n"/>
      <c r="D602" s="6" t="n">
        <v>127.3214697</v>
      </c>
      <c r="E602" s="1" t="n"/>
      <c r="F602" s="6" t="n">
        <v>126.1523857</v>
      </c>
      <c r="G602" s="1" t="n"/>
      <c r="H602" s="1" t="n"/>
      <c r="I602" s="1" t="n"/>
      <c r="J602" s="1" t="n"/>
      <c r="K602" s="1" t="n"/>
      <c r="L602" s="1" t="n"/>
      <c r="M602" s="1" t="n"/>
      <c r="N602" s="1" t="n"/>
    </row>
    <row r="603">
      <c r="A603" s="1" t="inlineStr">
        <is>
          <t>38334521369409</t>
        </is>
      </c>
      <c r="B603" s="1" t="inlineStr">
        <is>
          <t>ANILLO TRÉBOL SILVER</t>
        </is>
      </c>
      <c r="C603" s="1" t="n"/>
      <c r="D603" s="1" t="n"/>
      <c r="E603" s="1" t="n"/>
      <c r="F603" s="6" t="n">
        <v>126.1523857</v>
      </c>
      <c r="G603" s="6" t="n">
        <v>125.2937885</v>
      </c>
      <c r="H603" s="6" t="n">
        <v>126.9905026</v>
      </c>
      <c r="I603" s="1" t="n"/>
      <c r="J603" s="1" t="n"/>
      <c r="K603" s="6" t="n">
        <v>125.9785268</v>
      </c>
      <c r="L603" s="1" t="n"/>
      <c r="M603" s="1" t="n"/>
      <c r="N603" s="1" t="n"/>
    </row>
    <row r="604">
      <c r="A604" s="1" t="inlineStr">
        <is>
          <t>38367871068493</t>
        </is>
      </c>
      <c r="B604" s="1" t="inlineStr">
        <is>
          <t>ANILLO JUSTE UN CLOU SILVER CON ZIRCONIA-7</t>
        </is>
      </c>
      <c r="C604" s="1" t="n"/>
      <c r="D604" s="6" t="n">
        <v>158.2266433</v>
      </c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</row>
    <row r="605">
      <c r="A605" s="1" t="inlineStr">
        <is>
          <t>38563859802892</t>
        </is>
      </c>
      <c r="B605" s="1" t="inlineStr">
        <is>
          <t>COLLAR CORAZÓN GOLD</t>
        </is>
      </c>
      <c r="C605" s="1" t="n"/>
      <c r="D605" s="1" t="n"/>
      <c r="E605" s="1" t="n"/>
      <c r="F605" s="1" t="n"/>
      <c r="G605" s="1" t="n"/>
      <c r="H605" s="1" t="n"/>
      <c r="I605" s="1" t="n"/>
      <c r="J605" s="6" t="n">
        <v>236.4927815</v>
      </c>
      <c r="K605" s="1" t="n"/>
      <c r="L605" s="1" t="n"/>
      <c r="M605" s="1" t="n"/>
      <c r="N605" s="1" t="n"/>
    </row>
    <row r="606">
      <c r="A606" s="1" t="inlineStr">
        <is>
          <t>3886385575564</t>
        </is>
      </c>
      <c r="B606" s="1" t="inlineStr">
        <is>
          <t>COLLAR TREBOL SILVER BLACK</t>
        </is>
      </c>
      <c r="C606" s="1" t="n"/>
      <c r="D606" s="1" t="n"/>
      <c r="E606" s="1" t="n"/>
      <c r="F606" s="6" t="n">
        <v>252.7259813</v>
      </c>
      <c r="G606" s="6" t="n">
        <v>251.0059201</v>
      </c>
      <c r="H606" s="1" t="n"/>
      <c r="I606" s="1" t="n"/>
      <c r="J606" s="1" t="n"/>
      <c r="K606" s="1" t="n"/>
      <c r="L606" s="1" t="n"/>
      <c r="M606" s="1" t="n"/>
      <c r="N606" s="1" t="n"/>
    </row>
    <row r="607">
      <c r="A607" s="1" t="inlineStr">
        <is>
          <t>38991221063565</t>
        </is>
      </c>
      <c r="B607" s="1" t="inlineStr">
        <is>
          <t>PERFUME JEAN PAUL SCANDAL GAUTTER MEN</t>
        </is>
      </c>
      <c r="C607" s="1" t="n"/>
      <c r="D607" s="1" t="n"/>
      <c r="E607" s="1" t="n"/>
      <c r="F607" s="1" t="n"/>
      <c r="G607" s="1" t="n"/>
      <c r="H607" s="1" t="n"/>
      <c r="I607" s="1" t="n"/>
      <c r="J607" s="1" t="n"/>
      <c r="K607" s="6" t="n">
        <v>460.9580101</v>
      </c>
      <c r="L607" s="1" t="n"/>
      <c r="M607" s="1" t="n"/>
      <c r="N607" s="1" t="n"/>
    </row>
    <row r="608">
      <c r="A608" s="1" t="inlineStr">
        <is>
          <t>38991221168653</t>
        </is>
      </c>
      <c r="B608" s="1" t="inlineStr">
        <is>
          <t>PERFUME JEAN PAUL LE BELLE</t>
        </is>
      </c>
      <c r="C608" s="1" t="n"/>
      <c r="D608" s="1" t="n"/>
      <c r="E608" s="1" t="n"/>
      <c r="F608" s="1" t="n"/>
      <c r="G608" s="1" t="n"/>
      <c r="H608" s="1" t="n"/>
      <c r="I608" s="1" t="n"/>
      <c r="J608" s="1" t="n"/>
      <c r="K608" s="6" t="n">
        <v>460.9580101</v>
      </c>
      <c r="L608" s="1" t="n"/>
      <c r="M608" s="1" t="n"/>
      <c r="N608" s="1" t="n"/>
    </row>
    <row r="609">
      <c r="A609" s="1" t="inlineStr">
        <is>
          <t>39129741001261</t>
        </is>
      </c>
      <c r="B609" s="1" t="inlineStr">
        <is>
          <t>ANILLO CLAVO SPIRAL SILVER CON ZIRCONIA</t>
        </is>
      </c>
      <c r="C609" s="1" t="n"/>
      <c r="D609" s="6" t="n">
        <v>158.2266433</v>
      </c>
      <c r="E609" s="1" t="n"/>
      <c r="F609" s="1" t="n"/>
      <c r="G609" s="1" t="n"/>
      <c r="H609" s="1" t="n"/>
      <c r="I609" s="1" t="n"/>
      <c r="J609" s="1" t="n"/>
      <c r="K609" s="6" t="n">
        <v>157.7360519</v>
      </c>
      <c r="L609" s="1" t="n"/>
      <c r="M609" s="6" t="n">
        <v>157.6095484</v>
      </c>
      <c r="N609" s="1" t="n"/>
    </row>
    <row r="610">
      <c r="A610" s="1" t="inlineStr">
        <is>
          <t>39252671092621</t>
        </is>
      </c>
      <c r="B610" s="1" t="inlineStr">
        <is>
          <t>ANILLO LV LETTER SILVER</t>
        </is>
      </c>
      <c r="C610" s="1" t="n"/>
      <c r="D610" s="1" t="n"/>
      <c r="E610" s="6" t="n">
        <v>138.3456286</v>
      </c>
      <c r="F610" s="1" t="n"/>
      <c r="G610" s="1" t="n"/>
      <c r="H610" s="1" t="n"/>
      <c r="I610" s="6" t="n">
        <v>142.7889682</v>
      </c>
      <c r="J610" s="1" t="n"/>
      <c r="K610" s="1" t="n"/>
      <c r="L610" s="1" t="n"/>
      <c r="M610" s="1" t="n"/>
      <c r="N610" s="1" t="n"/>
    </row>
    <row r="611">
      <c r="A611" s="1" t="inlineStr">
        <is>
          <t>39252671125389</t>
        </is>
      </c>
      <c r="B611" s="1" t="inlineStr">
        <is>
          <t>ANILLO LV LETTER SILVER</t>
        </is>
      </c>
      <c r="C611" s="1" t="n"/>
      <c r="D611" s="1" t="n"/>
      <c r="E611" s="6" t="n">
        <v>138.3456286</v>
      </c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</row>
    <row r="612">
      <c r="A612" s="1" t="inlineStr">
        <is>
          <t>39252671264941</t>
        </is>
      </c>
      <c r="B612" s="1" t="inlineStr">
        <is>
          <t>ANILLO LV LETTER GOLD</t>
        </is>
      </c>
      <c r="C612" s="1" t="n"/>
      <c r="D612" s="1" t="n"/>
      <c r="E612" s="6" t="n">
        <v>138.3456286</v>
      </c>
      <c r="F612" s="1" t="n"/>
      <c r="G612" s="1" t="n"/>
      <c r="H612" s="1" t="n"/>
      <c r="I612" s="6" t="n">
        <v>142.7889682</v>
      </c>
      <c r="J612" s="6" t="n">
        <v>141.8071554</v>
      </c>
      <c r="K612" s="1" t="n"/>
      <c r="L612" s="1" t="n"/>
      <c r="M612" s="1" t="n"/>
      <c r="N612" s="1" t="n"/>
    </row>
    <row r="613">
      <c r="A613" s="1" t="inlineStr">
        <is>
          <t>39252671397709</t>
        </is>
      </c>
      <c r="B613" s="1" t="inlineStr">
        <is>
          <t>ANILLO LV LETTER GOLD</t>
        </is>
      </c>
      <c r="C613" s="1" t="n"/>
      <c r="D613" s="1" t="n"/>
      <c r="E613" s="6" t="n">
        <v>138.3456286</v>
      </c>
      <c r="F613" s="1" t="n"/>
      <c r="G613" s="1" t="n"/>
      <c r="H613" s="1" t="n"/>
      <c r="I613" s="1" t="n"/>
      <c r="J613" s="6" t="n">
        <v>141.8071554</v>
      </c>
      <c r="K613" s="1" t="n"/>
      <c r="L613" s="1" t="n"/>
      <c r="M613" s="1" t="n"/>
      <c r="N613" s="1" t="n"/>
    </row>
    <row r="614">
      <c r="A614" s="1" t="inlineStr">
        <is>
          <t>39252671462093</t>
        </is>
      </c>
      <c r="B614" s="1" t="inlineStr">
        <is>
          <t>LENTES GC 1SN BLACK</t>
        </is>
      </c>
      <c r="C614" s="1" t="n"/>
      <c r="D614" s="1" t="n"/>
      <c r="E614" s="6" t="n">
        <v>943.2656492</v>
      </c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</row>
    <row r="615">
      <c r="A615" s="1" t="inlineStr">
        <is>
          <t>39252671591341</t>
        </is>
      </c>
      <c r="B615" s="1" t="inlineStr">
        <is>
          <t>GORRA LULU WHITE</t>
        </is>
      </c>
      <c r="C615" s="1" t="n"/>
      <c r="D615" s="1" t="n"/>
      <c r="E615" s="6" t="n">
        <v>282.9796948</v>
      </c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</row>
    <row r="616">
      <c r="A616" s="1" t="inlineStr">
        <is>
          <t>39252671787533</t>
        </is>
      </c>
      <c r="B616" s="1" t="inlineStr">
        <is>
          <t>ARRACADAS F GOLD</t>
        </is>
      </c>
      <c r="C616" s="1" t="n"/>
      <c r="D616" s="1" t="n"/>
      <c r="E616" s="6" t="n">
        <v>256.7778712</v>
      </c>
      <c r="F616" s="1" t="n"/>
      <c r="G616" s="1" t="n"/>
      <c r="H616" s="1" t="n"/>
      <c r="I616" s="1" t="n"/>
      <c r="J616" s="1" t="n"/>
      <c r="K616" s="1" t="n"/>
      <c r="L616" s="6" t="n">
        <v>259.7102408</v>
      </c>
      <c r="M616" s="1" t="n"/>
      <c r="N616" s="1" t="n"/>
    </row>
    <row r="617">
      <c r="A617" s="1" t="inlineStr">
        <is>
          <t>39252671833741</t>
        </is>
      </c>
      <c r="B617" s="1" t="inlineStr">
        <is>
          <t>COLLAR F GOLD</t>
        </is>
      </c>
      <c r="C617" s="1" t="n"/>
      <c r="D617" s="1" t="n"/>
      <c r="E617" s="6" t="n">
        <v>183.4127651</v>
      </c>
      <c r="F617" s="1" t="n"/>
      <c r="G617" s="1" t="n"/>
      <c r="H617" s="1" t="n"/>
      <c r="I617" s="1" t="n"/>
      <c r="J617" s="1" t="n"/>
      <c r="K617" s="6" t="n">
        <v>228.360815</v>
      </c>
      <c r="L617" s="1" t="n"/>
      <c r="M617" s="1" t="n"/>
      <c r="N617" s="1" t="n"/>
    </row>
    <row r="618">
      <c r="A618" s="1" t="inlineStr">
        <is>
          <t>39252671973293</t>
        </is>
      </c>
      <c r="B618" s="1" t="inlineStr">
        <is>
          <t>BRAZALETE BLOSSOM ROSEGOLD ZIRCONIA</t>
        </is>
      </c>
      <c r="C618" s="1" t="n"/>
      <c r="D618" s="1" t="n"/>
      <c r="E618" s="6" t="n">
        <v>230.5760476</v>
      </c>
      <c r="F618" s="1" t="n"/>
      <c r="G618" s="1" t="n"/>
      <c r="H618" s="1" t="n"/>
      <c r="I618" s="6" t="n">
        <v>237.9816137</v>
      </c>
      <c r="J618" s="6" t="n">
        <v>236.345259</v>
      </c>
      <c r="K618" s="1" t="n"/>
      <c r="L618" s="1" t="n"/>
      <c r="M618" s="1" t="n"/>
      <c r="N618" s="1" t="n"/>
    </row>
    <row r="619">
      <c r="A619" s="1" t="inlineStr">
        <is>
          <t>39252672009453</t>
        </is>
      </c>
      <c r="B619" s="1" t="inlineStr">
        <is>
          <t>BRAZALETE BLOSSOM GOLD ZIRCONIA</t>
        </is>
      </c>
      <c r="C619" s="1" t="n"/>
      <c r="D619" s="1" t="n"/>
      <c r="E619" s="1" t="n"/>
      <c r="F619" s="1" t="n"/>
      <c r="G619" s="1" t="n"/>
      <c r="H619" s="1" t="n"/>
      <c r="I619" s="6" t="n">
        <v>237.9816137</v>
      </c>
      <c r="J619" s="1" t="n"/>
      <c r="K619" s="1" t="n"/>
      <c r="L619" s="1" t="n"/>
      <c r="M619" s="1" t="n"/>
      <c r="N619" s="1" t="n"/>
    </row>
    <row r="620">
      <c r="A620" s="1" t="inlineStr">
        <is>
          <t>39252672178381</t>
        </is>
      </c>
      <c r="B620" s="1" t="inlineStr">
        <is>
          <t>ARRACADAS BLOSSOM GOLD ZIRCONIAS</t>
        </is>
      </c>
      <c r="C620" s="1" t="n"/>
      <c r="D620" s="1" t="n"/>
      <c r="E620" s="6" t="n">
        <v>256.7778712</v>
      </c>
      <c r="F620" s="1" t="n"/>
      <c r="G620" s="1" t="n"/>
      <c r="H620" s="1" t="n"/>
      <c r="I620" s="1" t="n"/>
      <c r="J620" s="6" t="n">
        <v>263.2026748</v>
      </c>
      <c r="K620" s="1" t="n"/>
      <c r="L620" s="1" t="n"/>
      <c r="M620" s="1" t="n"/>
      <c r="N620" s="1" t="n"/>
    </row>
    <row r="621">
      <c r="A621" s="1" t="inlineStr">
        <is>
          <t>39396101044045</t>
        </is>
      </c>
      <c r="B621" s="1" t="inlineStr">
        <is>
          <t>PULSERA KNOT GOLD CON ZIRCONIA</t>
        </is>
      </c>
      <c r="C621" s="1" t="n"/>
      <c r="D621" s="6" t="n">
        <v>274.259515</v>
      </c>
      <c r="E621" s="1" t="n"/>
      <c r="F621" s="1" t="n"/>
      <c r="G621" s="1" t="n"/>
      <c r="H621" s="1" t="n"/>
      <c r="I621" s="6" t="n">
        <v>273.8904489</v>
      </c>
      <c r="J621" s="1" t="n"/>
      <c r="K621" s="1" t="n"/>
      <c r="L621" s="1" t="n"/>
      <c r="M621" s="1" t="n"/>
      <c r="N621" s="1" t="n"/>
    </row>
    <row r="622">
      <c r="A622" s="1" t="inlineStr">
        <is>
          <t>39966871032781</t>
        </is>
      </c>
      <c r="B622" s="1" t="inlineStr">
        <is>
          <t>COLLAR MSS GOLD CON ZIRCONIA</t>
        </is>
      </c>
      <c r="C622" s="1" t="n"/>
      <c r="D622" s="6" t="n">
        <v>170.0453685</v>
      </c>
      <c r="E622" s="1" t="n"/>
      <c r="F622" s="1" t="n"/>
      <c r="G622" s="6" t="n">
        <v>167.3372801</v>
      </c>
      <c r="H622" s="1" t="n"/>
      <c r="I622" s="6" t="n">
        <v>168.5479685</v>
      </c>
      <c r="J622" s="1" t="n"/>
      <c r="K622" s="6" t="n">
        <v>168.2517887</v>
      </c>
      <c r="L622" s="6" t="n">
        <v>169.7491381</v>
      </c>
      <c r="M622" s="1" t="n"/>
      <c r="N622" s="1" t="n"/>
    </row>
    <row r="623">
      <c r="A623" s="1" t="inlineStr">
        <is>
          <t>40049131038989</t>
        </is>
      </c>
      <c r="B623" s="1" t="inlineStr">
        <is>
          <t>TARJETERO CD OBLIQUE BLACK</t>
        </is>
      </c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6" t="n">
        <v>276.5592215</v>
      </c>
      <c r="M623" s="1" t="n"/>
      <c r="N623" s="1" t="n"/>
    </row>
    <row r="624">
      <c r="A624" s="1" t="inlineStr">
        <is>
          <t>40049131140685</t>
        </is>
      </c>
      <c r="B624" s="1" t="inlineStr">
        <is>
          <t>CARTERA LV X MURKAMI</t>
        </is>
      </c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6" t="n">
        <v>373.5560401</v>
      </c>
      <c r="M624" s="1" t="n"/>
      <c r="N624" s="1" t="n"/>
    </row>
    <row r="625">
      <c r="A625" s="1" t="inlineStr">
        <is>
          <t>40049131275149</t>
        </is>
      </c>
      <c r="B625" s="1" t="inlineStr">
        <is>
          <t>CARTERA LV VICTOIRE BICOLOR</t>
        </is>
      </c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6" t="n">
        <v>397.2138007</v>
      </c>
      <c r="M625" s="1" t="n"/>
      <c r="N625" s="1" t="n"/>
    </row>
    <row r="626">
      <c r="A626" s="1" t="inlineStr">
        <is>
          <t>40049131342381</t>
        </is>
      </c>
      <c r="B626" s="1" t="inlineStr">
        <is>
          <t>MONEDERO LV MONOGRAM BLACK</t>
        </is>
      </c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6" t="n">
        <v>222.1463721</v>
      </c>
      <c r="M626" s="1" t="n"/>
      <c r="N626" s="1" t="n"/>
    </row>
    <row r="627">
      <c r="A627" s="1" t="inlineStr">
        <is>
          <t>40049131409613</t>
        </is>
      </c>
      <c r="B627" s="1" t="inlineStr">
        <is>
          <t>MONEDERO LV ROSALIE DAMIER</t>
        </is>
      </c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6" t="n">
        <v>222.1463721</v>
      </c>
      <c r="M627" s="1" t="n"/>
      <c r="N627" s="1" t="n"/>
    </row>
    <row r="628">
      <c r="A628" s="1" t="inlineStr">
        <is>
          <t>40049131576845</t>
        </is>
      </c>
      <c r="B628" s="1" t="inlineStr">
        <is>
          <t>MONEDERO LV MONOGRAM</t>
        </is>
      </c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6" t="n">
        <v>276.5592215</v>
      </c>
      <c r="M628" s="1" t="n"/>
      <c r="N628" s="1" t="n"/>
    </row>
    <row r="629">
      <c r="A629" s="1" t="inlineStr">
        <is>
          <t>40071861011917</t>
        </is>
      </c>
      <c r="B629" s="1" t="inlineStr">
        <is>
          <t>CONJUNTO DEPORTIVO A NEGRO</t>
        </is>
      </c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6" t="n">
        <v>636.1109877</v>
      </c>
      <c r="M629" s="1" t="n"/>
      <c r="N629" s="1" t="n"/>
    </row>
    <row r="630">
      <c r="A630" s="1" t="inlineStr">
        <is>
          <t>40154171040653</t>
        </is>
      </c>
      <c r="B630" s="1" t="inlineStr">
        <is>
          <t>COLLAR T OPEN HEART PERETTI</t>
        </is>
      </c>
      <c r="C630" s="1" t="n"/>
      <c r="D630" s="1" t="n"/>
      <c r="E630" s="1" t="n"/>
      <c r="F630" s="1" t="n"/>
      <c r="G630" s="1" t="n"/>
      <c r="H630" s="1" t="n"/>
      <c r="I630" s="6" t="n">
        <v>213.5429239</v>
      </c>
      <c r="J630" s="1" t="n"/>
      <c r="K630" s="1" t="n"/>
      <c r="L630" s="1" t="n"/>
      <c r="M630" s="6" t="n">
        <v>210.1460646</v>
      </c>
      <c r="N630" s="1" t="n"/>
    </row>
    <row r="631">
      <c r="A631" s="1" t="inlineStr">
        <is>
          <t>40154171145741</t>
        </is>
      </c>
      <c r="B631" s="1" t="inlineStr">
        <is>
          <t>COLLAR T ESLABONES HARDWEAR</t>
        </is>
      </c>
      <c r="C631" s="1" t="n"/>
      <c r="D631" s="1" t="n"/>
      <c r="E631" s="1" t="n"/>
      <c r="F631" s="1" t="n"/>
      <c r="G631" s="1" t="n"/>
      <c r="H631" s="1" t="n"/>
      <c r="I631" s="6" t="n">
        <v>149.4800467</v>
      </c>
      <c r="J631" s="1" t="n"/>
      <c r="K631" s="1" t="n"/>
      <c r="L631" s="6" t="n">
        <v>146.9250671</v>
      </c>
      <c r="M631" s="1" t="n"/>
      <c r="N631" s="1" t="n"/>
    </row>
    <row r="632">
      <c r="A632" s="1" t="inlineStr">
        <is>
          <t>40154171267789</t>
        </is>
      </c>
      <c r="B632" s="1" t="inlineStr">
        <is>
          <t>BRAZALETE T ELSA PERETTI GOLD</t>
        </is>
      </c>
      <c r="C632" s="1" t="n"/>
      <c r="D632" s="1" t="n"/>
      <c r="E632" s="1" t="n"/>
      <c r="F632" s="1" t="n"/>
      <c r="G632" s="1" t="n"/>
      <c r="H632" s="1" t="n"/>
      <c r="I632" s="6" t="n">
        <v>160.1571929</v>
      </c>
      <c r="J632" s="1" t="n"/>
      <c r="K632" s="6" t="n">
        <v>157.7360519</v>
      </c>
      <c r="L632" s="1" t="n"/>
      <c r="M632" s="1" t="n"/>
      <c r="N632" s="1" t="n"/>
    </row>
    <row r="633">
      <c r="A633" s="1" t="inlineStr">
        <is>
          <t>40154171379661</t>
        </is>
      </c>
      <c r="B633" s="1" t="inlineStr">
        <is>
          <t>BRAZALETE T MULTIPLES PLACAS</t>
        </is>
      </c>
      <c r="C633" s="1" t="n"/>
      <c r="D633" s="1" t="n"/>
      <c r="E633" s="1" t="n"/>
      <c r="F633" s="1" t="n"/>
      <c r="G633" s="1" t="n"/>
      <c r="H633" s="1" t="n"/>
      <c r="I633" s="6" t="n">
        <v>256.2515086</v>
      </c>
      <c r="J633" s="1" t="n"/>
      <c r="K633" s="1" t="n"/>
      <c r="L633" s="6" t="n">
        <v>254.6237072</v>
      </c>
      <c r="M633" s="1" t="n"/>
      <c r="N633" s="1" t="n"/>
    </row>
    <row r="634">
      <c r="A634" s="1" t="inlineStr">
        <is>
          <t>40154171489837</t>
        </is>
      </c>
      <c r="B634" s="1" t="inlineStr">
        <is>
          <t>PULSERA LOVE SILVER LOVE ROSE GOLD</t>
        </is>
      </c>
      <c r="C634" s="1" t="n"/>
      <c r="D634" s="1" t="n"/>
      <c r="E634" s="1" t="n"/>
      <c r="F634" s="1" t="n"/>
      <c r="G634" s="1" t="n"/>
      <c r="H634" s="1" t="n"/>
      <c r="I634" s="6" t="n">
        <v>128.1257543</v>
      </c>
      <c r="J634" s="1" t="n"/>
      <c r="K634" s="1" t="n"/>
      <c r="L634" s="1" t="n"/>
      <c r="M634" s="1" t="n"/>
      <c r="N634" s="1" t="n"/>
    </row>
    <row r="635">
      <c r="A635" s="1" t="inlineStr">
        <is>
          <t>40154171506797</t>
        </is>
      </c>
      <c r="B635" s="1" t="inlineStr">
        <is>
          <t>BRAZALETE OPEN HEART GOLD</t>
        </is>
      </c>
      <c r="C635" s="1" t="n"/>
      <c r="D635" s="1" t="n"/>
      <c r="E635" s="6" t="n">
        <v>189.9430755</v>
      </c>
      <c r="F635" s="1" t="n"/>
      <c r="G635" s="1" t="n"/>
      <c r="H635" s="1" t="n"/>
      <c r="I635" s="6" t="n">
        <v>213.5429239</v>
      </c>
      <c r="J635" s="1" t="n"/>
      <c r="K635" s="1" t="n"/>
      <c r="L635" s="1" t="n"/>
      <c r="M635" s="1" t="n"/>
      <c r="N635" s="1" t="n"/>
    </row>
    <row r="636">
      <c r="A636" s="1" t="inlineStr">
        <is>
          <t>40154171618669</t>
        </is>
      </c>
      <c r="B636" s="1" t="inlineStr">
        <is>
          <t>PULSERA CLAIRE D LUNE DOBLE SILVER</t>
        </is>
      </c>
      <c r="C636" s="1" t="n"/>
      <c r="D636" s="1" t="n"/>
      <c r="E636" s="1" t="n"/>
      <c r="F636" s="1" t="n"/>
      <c r="G636" s="1" t="n"/>
      <c r="H636" s="1" t="n"/>
      <c r="I636" s="6" t="n">
        <v>128.1257543</v>
      </c>
      <c r="J636" s="1" t="n"/>
      <c r="K636" s="6" t="n">
        <v>126.1888415</v>
      </c>
      <c r="L636" s="1" t="n"/>
      <c r="M636" s="6" t="n">
        <v>126.0876388</v>
      </c>
      <c r="N636" s="1" t="n"/>
    </row>
    <row r="637">
      <c r="A637" s="1" t="inlineStr">
        <is>
          <t>40154171763309</t>
        </is>
      </c>
      <c r="B637" s="1" t="inlineStr">
        <is>
          <t>BRAZALETE T ELSA PERETTI SILVER</t>
        </is>
      </c>
      <c r="C637" s="1" t="n"/>
      <c r="D637" s="1" t="n"/>
      <c r="E637" s="1" t="n"/>
      <c r="F637" s="1" t="n"/>
      <c r="G637" s="1" t="n"/>
      <c r="H637" s="1" t="n"/>
      <c r="I637" s="6" t="n">
        <v>128.1257543</v>
      </c>
      <c r="J637" s="1" t="n"/>
      <c r="K637" s="1" t="n"/>
      <c r="L637" s="1" t="n"/>
      <c r="M637" s="1" t="n"/>
      <c r="N637" s="1" t="n"/>
    </row>
    <row r="638">
      <c r="A638" s="1" t="inlineStr">
        <is>
          <t>40154171869549</t>
        </is>
      </c>
      <c r="B638" s="1" t="inlineStr">
        <is>
          <t>PULSERA KNOT CADENA ROSE GOLD</t>
        </is>
      </c>
      <c r="C638" s="1" t="n"/>
      <c r="D638" s="1" t="n"/>
      <c r="E638" s="1" t="n"/>
      <c r="F638" s="1" t="n"/>
      <c r="G638" s="1" t="n"/>
      <c r="H638" s="1" t="n"/>
      <c r="I638" s="6" t="n">
        <v>149.4800467</v>
      </c>
      <c r="J638" s="1" t="n"/>
      <c r="K638" s="1" t="n"/>
      <c r="L638" s="6" t="n">
        <v>148.5304959</v>
      </c>
      <c r="M638" s="1" t="n"/>
      <c r="N638" s="1" t="n"/>
    </row>
    <row r="639">
      <c r="A639" s="1" t="inlineStr">
        <is>
          <t>40154171915885</t>
        </is>
      </c>
      <c r="B639" s="1" t="inlineStr">
        <is>
          <t>BRAZALETE DOBLE ESLABON GOLD</t>
        </is>
      </c>
      <c r="C639" s="1" t="n"/>
      <c r="D639" s="1" t="n"/>
      <c r="E639" s="1" t="n"/>
      <c r="F639" s="1" t="n"/>
      <c r="G639" s="1" t="n"/>
      <c r="H639" s="1" t="n"/>
      <c r="I639" s="6" t="n">
        <v>149.4800467</v>
      </c>
      <c r="J639" s="1" t="n"/>
      <c r="K639" s="1" t="n"/>
      <c r="L639" s="1" t="n"/>
      <c r="M639" s="6" t="n">
        <v>147.1022452</v>
      </c>
      <c r="N639" s="1" t="n"/>
    </row>
    <row r="640">
      <c r="A640" s="1" t="inlineStr">
        <is>
          <t>40154172024365</t>
        </is>
      </c>
      <c r="B640" s="1" t="inlineStr">
        <is>
          <t>BRAZALETE T BONE GOLD</t>
        </is>
      </c>
      <c r="C640" s="1" t="n"/>
      <c r="D640" s="1" t="n"/>
      <c r="E640" s="1" t="n"/>
      <c r="F640" s="1" t="n"/>
      <c r="G640" s="1" t="n"/>
      <c r="H640" s="1" t="n"/>
      <c r="I640" s="6" t="n">
        <v>747.4002335</v>
      </c>
      <c r="J640" s="1" t="n"/>
      <c r="K640" s="1" t="n"/>
      <c r="L640" s="1" t="n"/>
      <c r="M640" s="6" t="n">
        <v>735.5112261</v>
      </c>
      <c r="N640" s="1" t="n"/>
    </row>
    <row r="641">
      <c r="A641" s="1" t="inlineStr">
        <is>
          <t>40154172105165</t>
        </is>
      </c>
      <c r="B641" s="1" t="inlineStr">
        <is>
          <t>BRAZALETE T ESLABONES PEARL</t>
        </is>
      </c>
      <c r="C641" s="1" t="n"/>
      <c r="D641" s="1" t="n"/>
      <c r="E641" s="1" t="n"/>
      <c r="F641" s="1" t="n"/>
      <c r="G641" s="1" t="n"/>
      <c r="H641" s="1" t="n"/>
      <c r="I641" s="6" t="n">
        <v>21.35429239</v>
      </c>
      <c r="J641" s="1" t="n"/>
      <c r="K641" s="6" t="n">
        <v>63.09442077</v>
      </c>
      <c r="L641" s="6" t="n">
        <v>212.1864227</v>
      </c>
      <c r="M641" s="1" t="n"/>
      <c r="N641" s="1" t="n"/>
    </row>
    <row r="642">
      <c r="A642" s="1" t="inlineStr">
        <is>
          <t>40154172246477</t>
        </is>
      </c>
      <c r="B642" s="1" t="inlineStr">
        <is>
          <t>BRAZALETE T BONE SILVER</t>
        </is>
      </c>
      <c r="C642" s="1" t="n"/>
      <c r="D642" s="1" t="n"/>
      <c r="E642" s="1" t="n"/>
      <c r="F642" s="1" t="n"/>
      <c r="G642" s="1" t="n"/>
      <c r="H642" s="1" t="n"/>
      <c r="I642" s="6" t="n">
        <v>747.4002335</v>
      </c>
      <c r="J642" s="1" t="n"/>
      <c r="K642" s="1" t="n"/>
      <c r="L642" s="1" t="n"/>
      <c r="M642" s="1" t="n"/>
      <c r="N642" s="1" t="n"/>
    </row>
    <row r="643">
      <c r="A643" s="1" t="inlineStr">
        <is>
          <t>40154172394509</t>
        </is>
      </c>
      <c r="B643" s="1" t="inlineStr">
        <is>
          <t>BRAZALETE T DOBLE PALOMA SILVER</t>
        </is>
      </c>
      <c r="C643" s="1" t="n"/>
      <c r="D643" s="1" t="n"/>
      <c r="E643" s="1" t="n"/>
      <c r="F643" s="1" t="n"/>
      <c r="G643" s="1" t="n"/>
      <c r="H643" s="1" t="n"/>
      <c r="I643" s="6" t="n">
        <v>170.8343391</v>
      </c>
      <c r="J643" s="1" t="n"/>
      <c r="K643" s="1" t="n"/>
      <c r="L643" s="1" t="n"/>
      <c r="M643" s="1" t="n"/>
      <c r="N643" s="1" t="n"/>
    </row>
    <row r="644">
      <c r="A644" s="1" t="inlineStr">
        <is>
          <t>40154172453261</t>
        </is>
      </c>
      <c r="B644" s="1" t="inlineStr">
        <is>
          <t>BRAZALETE T PALOMA SILVER</t>
        </is>
      </c>
      <c r="C644" s="1" t="n"/>
      <c r="D644" s="1" t="n"/>
      <c r="E644" s="1" t="n"/>
      <c r="F644" s="1" t="n"/>
      <c r="G644" s="1" t="n"/>
      <c r="H644" s="1" t="n"/>
      <c r="I644" s="6" t="n">
        <v>149.4800467</v>
      </c>
      <c r="J644" s="1" t="n"/>
      <c r="K644" s="1" t="n"/>
      <c r="L644" s="1" t="n"/>
      <c r="M644" s="1" t="n"/>
      <c r="N644" s="1" t="n"/>
    </row>
    <row r="645">
      <c r="A645" s="1" t="inlineStr">
        <is>
          <t>40154172563437</t>
        </is>
      </c>
      <c r="B645" s="1" t="inlineStr">
        <is>
          <t>BRAZALETE T DOBLE PALOMA GOLD</t>
        </is>
      </c>
      <c r="C645" s="1" t="n"/>
      <c r="D645" s="1" t="n"/>
      <c r="E645" s="1" t="n"/>
      <c r="F645" s="1" t="n"/>
      <c r="G645" s="1" t="n"/>
      <c r="H645" s="1" t="n"/>
      <c r="I645" s="6" t="n">
        <v>170.8343391</v>
      </c>
      <c r="J645" s="1" t="n"/>
      <c r="K645" s="1" t="n"/>
      <c r="L645" s="1" t="n"/>
      <c r="M645" s="1" t="n"/>
      <c r="N645" s="1" t="n"/>
    </row>
    <row r="646">
      <c r="A646" s="1" t="inlineStr">
        <is>
          <t>40154172642541</t>
        </is>
      </c>
      <c r="B646" s="1" t="inlineStr">
        <is>
          <t>PULSERA T ROSE GOLD PEARL ZIRCONIAS</t>
        </is>
      </c>
      <c r="C646" s="1" t="n"/>
      <c r="D646" s="1" t="n"/>
      <c r="E646" s="1" t="n"/>
      <c r="F646" s="1" t="n"/>
      <c r="G646" s="1" t="n"/>
      <c r="H646" s="1" t="n"/>
      <c r="I646" s="6" t="n">
        <v>128.1257543</v>
      </c>
      <c r="J646" s="1" t="n"/>
      <c r="K646" s="6" t="n">
        <v>126.1888415</v>
      </c>
      <c r="L646" s="1" t="n"/>
      <c r="M646" s="1" t="n"/>
      <c r="N646" s="1" t="n"/>
    </row>
    <row r="647">
      <c r="A647" s="1" t="inlineStr">
        <is>
          <t>40154172721645</t>
        </is>
      </c>
      <c r="B647" s="1" t="inlineStr">
        <is>
          <t>COLLAR T ENVOLVENTE</t>
        </is>
      </c>
      <c r="C647" s="1" t="n"/>
      <c r="D647" s="1" t="n"/>
      <c r="E647" s="1" t="n"/>
      <c r="F647" s="1" t="n"/>
      <c r="G647" s="1" t="n"/>
      <c r="H647" s="1" t="n"/>
      <c r="I647" s="6" t="n">
        <v>256.2515086</v>
      </c>
      <c r="J647" s="1" t="n"/>
      <c r="K647" s="1" t="n"/>
      <c r="L647" s="6" t="n">
        <v>251.8715435</v>
      </c>
      <c r="M647" s="1" t="n"/>
      <c r="N647" s="1" t="n"/>
    </row>
    <row r="648">
      <c r="A648" s="1" t="inlineStr">
        <is>
          <t>40154172899053</t>
        </is>
      </c>
      <c r="B648" s="1" t="inlineStr">
        <is>
          <t>ANILLO SERPENTI VIPER SILVER</t>
        </is>
      </c>
      <c r="C648" s="1" t="n"/>
      <c r="D648" s="1" t="n"/>
      <c r="E648" s="1" t="n"/>
      <c r="F648" s="1" t="n"/>
      <c r="G648" s="1" t="n"/>
      <c r="H648" s="1" t="n"/>
      <c r="I648" s="6" t="n">
        <v>149.4800467</v>
      </c>
      <c r="J648" s="1" t="n"/>
      <c r="K648" s="1" t="n"/>
      <c r="L648" s="1" t="n"/>
      <c r="M648" s="1" t="n"/>
      <c r="N648" s="1" t="n"/>
    </row>
    <row r="649">
      <c r="A649" s="1" t="inlineStr">
        <is>
          <t>40154172931821</t>
        </is>
      </c>
      <c r="B649" s="1" t="inlineStr">
        <is>
          <t>ANILLO SERPENTI VIPER SILVER</t>
        </is>
      </c>
      <c r="C649" s="1" t="n"/>
      <c r="D649" s="1" t="n"/>
      <c r="E649" s="1" t="n"/>
      <c r="F649" s="1" t="n"/>
      <c r="G649" s="1" t="n"/>
      <c r="H649" s="1" t="n"/>
      <c r="I649" s="6" t="n">
        <v>149.4800467</v>
      </c>
      <c r="J649" s="1" t="n"/>
      <c r="K649" s="1" t="n"/>
      <c r="L649" s="1" t="n"/>
      <c r="M649" s="6" t="n">
        <v>147.1022452</v>
      </c>
      <c r="N649" s="1" t="n"/>
    </row>
    <row r="650">
      <c r="A650" s="1" t="inlineStr">
        <is>
          <t>40154173040301</t>
        </is>
      </c>
      <c r="B650" s="1" t="inlineStr">
        <is>
          <t>ANILLO BV B.ZERO1 DELGADO SILVER</t>
        </is>
      </c>
      <c r="C650" s="1" t="n"/>
      <c r="D650" s="1" t="n"/>
      <c r="E650" s="1" t="n"/>
      <c r="F650" s="1" t="n"/>
      <c r="G650" s="1" t="n"/>
      <c r="H650" s="1" t="n"/>
      <c r="I650" s="6" t="n">
        <v>149.4800467</v>
      </c>
      <c r="J650" s="1" t="n"/>
      <c r="K650" s="1" t="n"/>
      <c r="L650" s="1" t="n"/>
      <c r="M650" s="1" t="n"/>
      <c r="N650" s="1" t="n"/>
    </row>
    <row r="651">
      <c r="A651" s="1" t="inlineStr">
        <is>
          <t>40154173173069</t>
        </is>
      </c>
      <c r="B651" s="1" t="inlineStr">
        <is>
          <t>ANILLO BV B.ZERO1 DELGADO SILVER</t>
        </is>
      </c>
      <c r="C651" s="1" t="n"/>
      <c r="D651" s="1" t="n"/>
      <c r="E651" s="1" t="n"/>
      <c r="F651" s="1" t="n"/>
      <c r="G651" s="1" t="n"/>
      <c r="H651" s="1" t="n"/>
      <c r="I651" s="6" t="n">
        <v>149.4800467</v>
      </c>
      <c r="J651" s="1" t="n"/>
      <c r="K651" s="1" t="n"/>
      <c r="L651" s="1" t="n"/>
      <c r="M651" s="1" t="n"/>
      <c r="N651" s="1" t="n"/>
    </row>
    <row r="652">
      <c r="A652" s="1" t="inlineStr">
        <is>
          <t>40154173241997</t>
        </is>
      </c>
      <c r="B652" s="1" t="inlineStr">
        <is>
          <t>COLLAR JUSTE UN CLOU ROSE GOLD</t>
        </is>
      </c>
      <c r="C652" s="1" t="n"/>
      <c r="D652" s="1" t="n"/>
      <c r="E652" s="1" t="n"/>
      <c r="F652" s="1" t="n"/>
      <c r="G652" s="1" t="n"/>
      <c r="H652" s="1" t="n"/>
      <c r="I652" s="6" t="n">
        <v>224.2200701</v>
      </c>
      <c r="J652" s="1" t="n"/>
      <c r="K652" s="1" t="n"/>
      <c r="L652" s="1" t="n"/>
      <c r="M652" s="1" t="n"/>
      <c r="N652" s="1" t="n"/>
    </row>
    <row r="653">
      <c r="A653" s="1" t="inlineStr">
        <is>
          <t>40154173365741</t>
        </is>
      </c>
      <c r="B653" s="1" t="inlineStr">
        <is>
          <t>ANILLO CLAVO DOBLE SILVER ZIRCONIAS</t>
        </is>
      </c>
      <c r="C653" s="1" t="n"/>
      <c r="D653" s="1" t="n"/>
      <c r="E653" s="1" t="n"/>
      <c r="F653" s="1" t="n"/>
      <c r="G653" s="1" t="n"/>
      <c r="H653" s="1" t="n"/>
      <c r="I653" s="6" t="n">
        <v>106.7714619</v>
      </c>
      <c r="J653" s="1" t="n"/>
      <c r="K653" s="1" t="n"/>
      <c r="L653" s="1" t="n"/>
      <c r="M653" s="1" t="n"/>
      <c r="N653" s="1" t="n"/>
    </row>
    <row r="654">
      <c r="A654" s="1" t="inlineStr">
        <is>
          <t>40154173498509</t>
        </is>
      </c>
      <c r="B654" s="1" t="inlineStr">
        <is>
          <t>ANILLO CLAVO DOBLE SILVER ZIRCONIAS</t>
        </is>
      </c>
      <c r="C654" s="1" t="n"/>
      <c r="D654" s="1" t="n"/>
      <c r="E654" s="1" t="n"/>
      <c r="F654" s="1" t="n"/>
      <c r="G654" s="1" t="n"/>
      <c r="H654" s="1" t="n"/>
      <c r="I654" s="6" t="n">
        <v>106.7714619</v>
      </c>
      <c r="J654" s="1" t="n"/>
      <c r="K654" s="1" t="n"/>
      <c r="L654" s="1" t="n"/>
      <c r="M654" s="1" t="n"/>
      <c r="N654" s="1" t="n"/>
    </row>
    <row r="655">
      <c r="A655" s="1" t="inlineStr">
        <is>
          <t>40154173560109</t>
        </is>
      </c>
      <c r="B655" s="1" t="inlineStr">
        <is>
          <t>ANILLO CLAVO DOBLE GOLD ZIRCONIAS</t>
        </is>
      </c>
      <c r="C655" s="1" t="n"/>
      <c r="D655" s="1" t="n"/>
      <c r="E655" s="1" t="n"/>
      <c r="F655" s="1" t="n"/>
      <c r="G655" s="1" t="n"/>
      <c r="H655" s="1" t="n"/>
      <c r="I655" s="6" t="n">
        <v>106.7714619</v>
      </c>
      <c r="J655" s="1" t="n"/>
      <c r="K655" s="1" t="n"/>
      <c r="L655" s="1" t="n"/>
      <c r="M655" s="1" t="n"/>
      <c r="N655" s="1" t="n"/>
    </row>
    <row r="656">
      <c r="A656" s="1" t="inlineStr">
        <is>
          <t>40154173692877</t>
        </is>
      </c>
      <c r="B656" s="1" t="inlineStr">
        <is>
          <t>ANILLO CLAVO DOBLE GOLD ZIRCONIAS</t>
        </is>
      </c>
      <c r="C656" s="1" t="n"/>
      <c r="D656" s="1" t="n"/>
      <c r="E656" s="1" t="n"/>
      <c r="F656" s="1" t="n"/>
      <c r="G656" s="1" t="n"/>
      <c r="H656" s="1" t="n"/>
      <c r="I656" s="6" t="n">
        <v>106.7714619</v>
      </c>
      <c r="J656" s="1" t="n"/>
      <c r="K656" s="1" t="n"/>
      <c r="L656" s="6" t="n">
        <v>104.9464765</v>
      </c>
      <c r="M656" s="1" t="n"/>
      <c r="N656" s="1" t="n"/>
    </row>
    <row r="657">
      <c r="A657" s="1" t="inlineStr">
        <is>
          <t>40154173742605</t>
        </is>
      </c>
      <c r="B657" s="1" t="inlineStr">
        <is>
          <t>ARRACADAS CLAVO JUSTE GOLD</t>
        </is>
      </c>
      <c r="C657" s="1" t="n"/>
      <c r="D657" s="1" t="n"/>
      <c r="E657" s="1" t="n"/>
      <c r="F657" s="1" t="n"/>
      <c r="G657" s="1" t="n"/>
      <c r="H657" s="1" t="n"/>
      <c r="I657" s="6" t="n">
        <v>213.5429239</v>
      </c>
      <c r="J657" s="1" t="n"/>
      <c r="K657" s="1" t="n"/>
      <c r="L657" s="1" t="n"/>
      <c r="M657" s="1" t="n"/>
      <c r="N657" s="1" t="n"/>
    </row>
    <row r="658">
      <c r="A658" s="1" t="inlineStr">
        <is>
          <t>40154173820013</t>
        </is>
      </c>
      <c r="B658" s="1" t="inlineStr">
        <is>
          <t>ARRACADAS CLAVO JUSTE SILVER</t>
        </is>
      </c>
      <c r="C658" s="1" t="n"/>
      <c r="D658" s="1" t="n"/>
      <c r="E658" s="1" t="n"/>
      <c r="F658" s="1" t="n"/>
      <c r="G658" s="1" t="n"/>
      <c r="H658" s="1" t="n"/>
      <c r="I658" s="6" t="n">
        <v>213.5429239</v>
      </c>
      <c r="J658" s="1" t="n"/>
      <c r="K658" s="1" t="n"/>
      <c r="L658" s="1" t="n"/>
      <c r="M658" s="1" t="n"/>
      <c r="N658" s="1" t="n"/>
    </row>
    <row r="659">
      <c r="A659" s="1" t="inlineStr">
        <is>
          <t>40495211029965</t>
        </is>
      </c>
      <c r="B659" s="1" t="inlineStr">
        <is>
          <t>PERFUME  BV LE GEMME TYGAR EAU DE PARFUM</t>
        </is>
      </c>
      <c r="C659" s="1" t="n"/>
      <c r="D659" s="1" t="n"/>
      <c r="E659" s="6" t="n">
        <v>446.4019675</v>
      </c>
      <c r="F659" s="1" t="n"/>
      <c r="G659" s="1" t="n"/>
      <c r="H659" s="6" t="n">
        <v>468.5687886</v>
      </c>
      <c r="I659" s="1" t="n"/>
      <c r="J659" s="1" t="n"/>
      <c r="K659" s="1" t="n"/>
      <c r="L659" s="1" t="n"/>
      <c r="M659" s="1" t="n"/>
      <c r="N659" s="1" t="n"/>
    </row>
    <row r="660">
      <c r="A660" s="1" t="inlineStr">
        <is>
          <t>40495211154861</t>
        </is>
      </c>
      <c r="B660" s="1" t="inlineStr">
        <is>
          <t>PERFUME CREED AVENTUS EAU DE PARFUM</t>
        </is>
      </c>
      <c r="C660" s="1" t="n"/>
      <c r="D660" s="1" t="n"/>
      <c r="E660" s="6" t="n">
        <v>446.4019675</v>
      </c>
      <c r="F660" s="1" t="n"/>
      <c r="G660" s="1" t="n"/>
      <c r="H660" s="1" t="n"/>
      <c r="I660" s="1" t="n"/>
      <c r="J660" s="1" t="n"/>
      <c r="K660" s="6" t="n">
        <v>460.9580101</v>
      </c>
      <c r="L660" s="1" t="n"/>
      <c r="M660" s="6" t="n">
        <v>441.2058562</v>
      </c>
      <c r="N660" s="1" t="n"/>
    </row>
    <row r="661">
      <c r="A661" s="1" t="inlineStr">
        <is>
          <t>40495211254925</t>
        </is>
      </c>
      <c r="B661" s="1" t="inlineStr">
        <is>
          <t>PERFUME V BORN IN ROMA THE GOLD DONNA</t>
        </is>
      </c>
      <c r="C661" s="1" t="n"/>
      <c r="D661" s="1" t="n"/>
      <c r="E661" s="6" t="n">
        <v>446.4019675</v>
      </c>
      <c r="F661" s="1" t="n"/>
      <c r="G661" s="1" t="n"/>
      <c r="H661" s="1" t="n"/>
      <c r="I661" s="1" t="n"/>
      <c r="J661" s="6" t="n">
        <v>472.985563</v>
      </c>
      <c r="K661" s="1" t="n"/>
      <c r="L661" s="6" t="n">
        <v>477.0832408</v>
      </c>
      <c r="M661" s="1" t="n"/>
      <c r="N661" s="1" t="n"/>
    </row>
    <row r="662">
      <c r="A662" s="1" t="inlineStr">
        <is>
          <t>40495211372301</t>
        </is>
      </c>
      <c r="B662" s="1" t="inlineStr">
        <is>
          <t>PERFUME VC EROS EAU DE PARFUM</t>
        </is>
      </c>
      <c r="C662" s="1" t="n"/>
      <c r="D662" s="1" t="n"/>
      <c r="E662" s="6" t="n">
        <v>446.4019675</v>
      </c>
      <c r="F662" s="1" t="n"/>
      <c r="G662" s="1" t="n"/>
      <c r="H662" s="1" t="n"/>
      <c r="I662" s="1" t="n"/>
      <c r="J662" s="1" t="n"/>
      <c r="K662" s="6" t="n">
        <v>460.9580101</v>
      </c>
      <c r="L662" s="1" t="n"/>
      <c r="M662" s="1" t="n"/>
      <c r="N662" s="1" t="n"/>
    </row>
    <row r="663">
      <c r="A663" s="1" t="inlineStr">
        <is>
          <t>41078751514701</t>
        </is>
      </c>
      <c r="B663" s="1" t="inlineStr">
        <is>
          <t>ANILLO LV GRABADO SILVER</t>
        </is>
      </c>
      <c r="C663" s="1" t="n"/>
      <c r="D663" s="1" t="n"/>
      <c r="E663" s="6" t="n">
        <v>126.5582895</v>
      </c>
      <c r="F663" s="1" t="n"/>
      <c r="G663" s="1" t="n"/>
      <c r="H663" s="1" t="n"/>
      <c r="I663" s="6" t="n">
        <v>147.2687875</v>
      </c>
      <c r="J663" s="1" t="n"/>
      <c r="K663" s="1" t="n"/>
      <c r="L663" s="6" t="n">
        <v>146.7151741</v>
      </c>
      <c r="M663" s="1" t="n"/>
      <c r="N663" s="1" t="n"/>
    </row>
    <row r="664">
      <c r="A664" s="1" t="inlineStr">
        <is>
          <t>41078752148077</t>
        </is>
      </c>
      <c r="B664" s="1" t="inlineStr">
        <is>
          <t>BRAZALETE C SILVER</t>
        </is>
      </c>
      <c r="C664" s="1" t="n"/>
      <c r="D664" s="1" t="n"/>
      <c r="E664" s="6" t="n">
        <v>147.8978341</v>
      </c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</row>
    <row r="665">
      <c r="A665" s="1" t="inlineStr">
        <is>
          <t>41353991048077</t>
        </is>
      </c>
      <c r="B665" s="1" t="inlineStr">
        <is>
          <t>CINTO C TRIOMPHE BLACK</t>
        </is>
      </c>
      <c r="C665" s="1" t="n"/>
      <c r="D665" s="1" t="n"/>
      <c r="E665" s="1" t="n"/>
      <c r="F665" s="1" t="n"/>
      <c r="G665" s="1" t="n"/>
      <c r="H665" s="6" t="n">
        <v>199.4057076</v>
      </c>
      <c r="I665" s="1" t="n"/>
      <c r="J665" s="6" t="n">
        <v>214.8593263</v>
      </c>
      <c r="K665" s="1" t="n"/>
      <c r="L665" s="6" t="n">
        <v>212.0083598</v>
      </c>
      <c r="M665" s="1" t="n"/>
      <c r="N665" s="1" t="n"/>
    </row>
    <row r="666">
      <c r="A666" s="1" t="inlineStr">
        <is>
          <t>41353991156557</t>
        </is>
      </c>
      <c r="B666" s="1" t="inlineStr">
        <is>
          <t>CINTO C TRIOMPHE BURDEOS</t>
        </is>
      </c>
      <c r="C666" s="1" t="n"/>
      <c r="D666" s="1" t="n"/>
      <c r="E666" s="1" t="n"/>
      <c r="F666" s="1" t="n"/>
      <c r="G666" s="1" t="n"/>
      <c r="H666" s="6" t="n">
        <v>199.4057076</v>
      </c>
      <c r="I666" s="1" t="n"/>
      <c r="J666" s="6" t="n">
        <v>214.8593263</v>
      </c>
      <c r="K666" s="1" t="n"/>
      <c r="L666" s="6" t="n">
        <v>212.0083598</v>
      </c>
      <c r="M666" s="1" t="n"/>
      <c r="N666" s="1" t="n"/>
    </row>
    <row r="667">
      <c r="A667" s="1" t="inlineStr">
        <is>
          <t>41648081090125</t>
        </is>
      </c>
      <c r="B667" s="1" t="inlineStr">
        <is>
          <t>ANILLO T LOVESTRUCK SILVER-ROSE GOLD</t>
        </is>
      </c>
      <c r="C667" s="1" t="n"/>
      <c r="D667" s="1" t="n"/>
      <c r="E667" s="1" t="n"/>
      <c r="F667" s="1" t="n"/>
      <c r="G667" s="1" t="n"/>
      <c r="H667" s="1" t="n"/>
      <c r="I667" s="1" t="n"/>
      <c r="J667" s="1" t="n"/>
      <c r="K667" s="6" t="n">
        <v>228.360815</v>
      </c>
      <c r="L667" s="1" t="n"/>
      <c r="M667" s="1" t="n"/>
      <c r="N667" s="1" t="n"/>
    </row>
    <row r="668">
      <c r="A668" s="1" t="inlineStr">
        <is>
          <t>41889241004845</t>
        </is>
      </c>
      <c r="B668" s="1" t="inlineStr">
        <is>
          <t>CHOKER KNOT ZIRCONIAS GOLD</t>
        </is>
      </c>
      <c r="C668" s="1" t="n"/>
      <c r="D668" s="1" t="n"/>
      <c r="E668" s="6" t="n">
        <v>518.7961071</v>
      </c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</row>
    <row r="669">
      <c r="A669" s="1" t="inlineStr">
        <is>
          <t>41889241103149</t>
        </is>
      </c>
      <c r="B669" s="1" t="inlineStr">
        <is>
          <t>BRAZALETE T VICTORIA SILVER</t>
        </is>
      </c>
      <c r="C669" s="1" t="n"/>
      <c r="D669" s="1" t="n"/>
      <c r="E669" s="6" t="n">
        <v>649.805225</v>
      </c>
      <c r="F669" s="1" t="n"/>
      <c r="G669" s="1" t="n"/>
      <c r="H669" s="1" t="n"/>
      <c r="I669" s="1" t="n"/>
      <c r="J669" s="1" t="n"/>
      <c r="K669" s="6" t="n">
        <v>643.5622969</v>
      </c>
      <c r="L669" s="1" t="n"/>
      <c r="M669" s="1" t="n"/>
      <c r="N669" s="1" t="n"/>
    </row>
    <row r="670">
      <c r="A670" s="1" t="inlineStr">
        <is>
          <t>41889241279949</t>
        </is>
      </c>
      <c r="B670" s="1" t="inlineStr">
        <is>
          <t>ANILLO T V SILVER</t>
        </is>
      </c>
      <c r="C670" s="1" t="n"/>
      <c r="D670" s="1" t="n"/>
      <c r="E670" s="6" t="n">
        <v>256.7778712</v>
      </c>
      <c r="F670" s="1" t="n"/>
      <c r="G670" s="1" t="n"/>
      <c r="H670" s="1" t="n"/>
      <c r="I670" s="1" t="n"/>
      <c r="J670" s="6" t="n">
        <v>263.2026748</v>
      </c>
      <c r="K670" s="1" t="n"/>
      <c r="L670" s="1" t="n"/>
      <c r="M670" s="1" t="n"/>
      <c r="N670" s="1" t="n"/>
    </row>
    <row r="671">
      <c r="A671" s="1" t="inlineStr">
        <is>
          <t>41889241312717</t>
        </is>
      </c>
      <c r="B671" s="1" t="inlineStr">
        <is>
          <t>ANILLO T V SILVER</t>
        </is>
      </c>
      <c r="C671" s="1" t="n"/>
      <c r="D671" s="1" t="n"/>
      <c r="E671" s="6" t="n">
        <v>256.7778712</v>
      </c>
      <c r="F671" s="1" t="n"/>
      <c r="G671" s="1" t="n"/>
      <c r="H671" s="1" t="n"/>
      <c r="I671" s="1" t="n"/>
      <c r="J671" s="6" t="n">
        <v>263.2026748</v>
      </c>
      <c r="K671" s="1" t="n"/>
      <c r="L671" s="1" t="n"/>
      <c r="M671" s="1" t="n"/>
      <c r="N671" s="1" t="n"/>
    </row>
    <row r="672">
      <c r="A672" s="1" t="inlineStr">
        <is>
          <t>41889241445485</t>
        </is>
      </c>
      <c r="B672" s="1" t="inlineStr">
        <is>
          <t>ANILLO T V SILVER</t>
        </is>
      </c>
      <c r="C672" s="1" t="n"/>
      <c r="D672" s="1" t="n"/>
      <c r="E672" s="6" t="n">
        <v>256.7778712</v>
      </c>
      <c r="F672" s="1" t="n"/>
      <c r="G672" s="1" t="n"/>
      <c r="H672" s="1" t="n"/>
      <c r="I672" s="1" t="n"/>
      <c r="J672" s="6" t="n">
        <v>263.2026748</v>
      </c>
      <c r="K672" s="1" t="n"/>
      <c r="L672" s="1" t="n"/>
      <c r="M672" s="1" t="n"/>
      <c r="N672" s="1" t="n"/>
    </row>
    <row r="673">
      <c r="A673" s="1" t="inlineStr">
        <is>
          <t>41889241578253</t>
        </is>
      </c>
      <c r="B673" s="1" t="inlineStr">
        <is>
          <t>BRAZALETE CD ZIRCONIAS GOLD-BLACK</t>
        </is>
      </c>
      <c r="C673" s="1" t="n"/>
      <c r="D673" s="1" t="n"/>
      <c r="E673" s="6" t="n">
        <v>282.9796948</v>
      </c>
      <c r="F673" s="1" t="n"/>
      <c r="G673" s="1" t="n"/>
      <c r="H673" s="1" t="n"/>
      <c r="I673" s="6" t="n">
        <v>292.0683441</v>
      </c>
      <c r="J673" s="6" t="n">
        <v>290.0600906</v>
      </c>
      <c r="K673" s="1" t="n"/>
      <c r="L673" s="1" t="n"/>
      <c r="M673" s="1" t="n"/>
      <c r="N673" s="1" t="n"/>
    </row>
    <row r="674">
      <c r="A674" s="1" t="inlineStr">
        <is>
          <t>41889241640397</t>
        </is>
      </c>
      <c r="B674" s="1" t="inlineStr">
        <is>
          <t>ANILLO CD ZIRCONIAS GOLD-BLACK</t>
        </is>
      </c>
      <c r="C674" s="1" t="n"/>
      <c r="D674" s="1" t="n"/>
      <c r="E674" s="6" t="n">
        <v>248.9173241</v>
      </c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</row>
    <row r="675">
      <c r="A675" s="1" t="inlineStr">
        <is>
          <t>41889241773165</t>
        </is>
      </c>
      <c r="B675" s="1" t="inlineStr">
        <is>
          <t>BRAZALETE CD GOLD-WHITE ZIRCONIAS</t>
        </is>
      </c>
      <c r="C675" s="1" t="n"/>
      <c r="D675" s="1" t="n"/>
      <c r="E675" s="6" t="n">
        <v>282.9796948</v>
      </c>
      <c r="F675" s="1" t="n"/>
      <c r="G675" s="1" t="n"/>
      <c r="H675" s="1" t="n"/>
      <c r="I675" s="6" t="n">
        <v>292.0683441</v>
      </c>
      <c r="J675" s="1" t="n"/>
      <c r="K675" s="1" t="n"/>
      <c r="L675" s="1" t="n"/>
      <c r="M675" s="1" t="n"/>
      <c r="N675" s="1" t="n"/>
    </row>
    <row r="676">
      <c r="A676" s="1" t="inlineStr">
        <is>
          <t>41889241805933</t>
        </is>
      </c>
      <c r="B676" s="1" t="inlineStr">
        <is>
          <t>ARRACADAS BV ZIRCONIAS ROSEGOLD</t>
        </is>
      </c>
      <c r="C676" s="1" t="n"/>
      <c r="D676" s="1" t="n"/>
      <c r="E676" s="6" t="n">
        <v>366.8255303</v>
      </c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</row>
    <row r="677">
      <c r="A677" s="1" t="inlineStr">
        <is>
          <t>42101481043501</t>
        </is>
      </c>
      <c r="B677" s="1" t="inlineStr">
        <is>
          <t>BOLSA CC Nº25</t>
        </is>
      </c>
      <c r="C677" s="1" t="n"/>
      <c r="D677" s="6" t="n">
        <v>1661.820397</v>
      </c>
      <c r="E677" s="6" t="n">
        <v>1729.320357</v>
      </c>
      <c r="F677" s="1" t="n"/>
      <c r="G677" s="1" t="n"/>
      <c r="H677" s="6" t="n">
        <v>1754.770226</v>
      </c>
      <c r="I677" s="6" t="n">
        <v>1784.862103</v>
      </c>
      <c r="J677" s="1" t="n"/>
      <c r="K677" s="6" t="n">
        <v>1712.706113</v>
      </c>
      <c r="L677" s="1" t="n"/>
      <c r="M677" s="1" t="n"/>
      <c r="N677" s="1" t="n"/>
    </row>
    <row r="678">
      <c r="A678" s="1" t="inlineStr">
        <is>
          <t>42265107366028</t>
        </is>
      </c>
      <c r="B678" s="1" t="inlineStr">
        <is>
          <t>HOODIE C BLACK</t>
        </is>
      </c>
      <c r="C678" s="1" t="n"/>
      <c r="D678" s="1" t="n"/>
      <c r="E678" s="6" t="n">
        <v>756.9317538</v>
      </c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</row>
    <row r="679">
      <c r="A679" s="1" t="inlineStr">
        <is>
          <t>42265109266572</t>
        </is>
      </c>
      <c r="B679" s="1" t="inlineStr">
        <is>
          <t>CINTO CD</t>
        </is>
      </c>
      <c r="C679" s="1" t="n"/>
      <c r="D679" s="1" t="n"/>
      <c r="E679" s="1" t="n"/>
      <c r="F679" s="1" t="n"/>
      <c r="G679" s="1" t="n"/>
      <c r="H679" s="1" t="n"/>
      <c r="I679" s="6" t="n">
        <v>267.2139597</v>
      </c>
      <c r="J679" s="1" t="n"/>
      <c r="K679" s="1" t="n"/>
      <c r="L679" s="1" t="n"/>
      <c r="M679" s="1" t="n"/>
      <c r="N679" s="1" t="n"/>
    </row>
    <row r="680">
      <c r="A680" s="1" t="inlineStr">
        <is>
          <t>42283701061581</t>
        </is>
      </c>
      <c r="B680" s="1" t="inlineStr">
        <is>
          <t>RELOJ TANK CR BLACK GOLD</t>
        </is>
      </c>
      <c r="C680" s="1" t="n"/>
      <c r="D680" s="1" t="n"/>
      <c r="E680" s="6" t="n">
        <v>826.83776</v>
      </c>
      <c r="F680" s="1" t="n"/>
      <c r="G680" s="1" t="n"/>
      <c r="H680" s="6" t="n">
        <v>911.1059779</v>
      </c>
      <c r="I680" s="1" t="n"/>
      <c r="J680" s="6" t="n">
        <v>911.0329434</v>
      </c>
      <c r="K680" s="1" t="n"/>
      <c r="L680" s="1" t="n"/>
      <c r="M680" s="6" t="n">
        <v>857.9002759</v>
      </c>
      <c r="N680" s="1" t="n"/>
    </row>
    <row r="681">
      <c r="A681" s="1" t="inlineStr">
        <is>
          <t>42340124661388</t>
        </is>
      </c>
      <c r="B681" s="1" t="inlineStr">
        <is>
          <t>CINTO CD OBLIQUE</t>
        </is>
      </c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6" t="n">
        <v>1192.708102</v>
      </c>
      <c r="M681" s="1" t="n"/>
      <c r="N681" s="1" t="n"/>
    </row>
    <row r="682">
      <c r="A682" s="1" t="inlineStr">
        <is>
          <t>42556045426828</t>
        </is>
      </c>
      <c r="B682" s="1" t="inlineStr">
        <is>
          <t>CINTO FR ROSEGOLD</t>
        </is>
      </c>
      <c r="C682" s="1" t="n"/>
      <c r="D682" s="1" t="n"/>
      <c r="E682" s="6" t="n">
        <v>336.4141128</v>
      </c>
      <c r="F682" s="1" t="n"/>
      <c r="G682" s="1" t="n"/>
      <c r="H682" s="1" t="n"/>
      <c r="I682" s="6" t="n">
        <v>320.6567517</v>
      </c>
      <c r="J682" s="1" t="n"/>
      <c r="K682" s="6" t="n">
        <v>324.531753</v>
      </c>
      <c r="L682" s="1" t="n"/>
      <c r="M682" s="1" t="n"/>
      <c r="N682" s="1" t="n"/>
    </row>
    <row r="683">
      <c r="A683" s="1" t="inlineStr">
        <is>
          <t>42556129345676</t>
        </is>
      </c>
      <c r="B683" s="1" t="inlineStr">
        <is>
          <t>HOODIE C WHITE</t>
        </is>
      </c>
      <c r="C683" s="1" t="n"/>
      <c r="D683" s="1" t="n"/>
      <c r="E683" s="6" t="n">
        <v>756.9317538</v>
      </c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</row>
    <row r="684">
      <c r="A684" s="1" t="inlineStr">
        <is>
          <t>42833577705612</t>
        </is>
      </c>
      <c r="B684" s="1" t="inlineStr">
        <is>
          <t>COLLAR CLAVO ROUND SILVER</t>
        </is>
      </c>
      <c r="C684" s="1" t="n"/>
      <c r="D684" s="6" t="n">
        <v>176.7381562</v>
      </c>
      <c r="E684" s="1" t="n"/>
      <c r="F684" s="1" t="n"/>
      <c r="G684" s="6" t="n">
        <v>179.5546672</v>
      </c>
      <c r="H684" s="1" t="n"/>
      <c r="I684" s="1" t="n"/>
      <c r="J684" s="1" t="n"/>
      <c r="K684" s="1" t="n"/>
      <c r="L684" s="1" t="n"/>
      <c r="M684" s="1" t="n"/>
      <c r="N684" s="1" t="n"/>
    </row>
    <row r="685">
      <c r="A685" s="1" t="inlineStr">
        <is>
          <t>42834310172300</t>
        </is>
      </c>
      <c r="B685" s="1" t="inlineStr">
        <is>
          <t>SANDALIAS CD MULE</t>
        </is>
      </c>
      <c r="C685" s="1" t="n"/>
      <c r="D685" s="6" t="n">
        <v>879.1245611000001</v>
      </c>
      <c r="E685" s="1" t="n"/>
      <c r="F685" s="1" t="n"/>
      <c r="G685" s="1" t="n"/>
      <c r="H685" s="6" t="n">
        <v>911.1059779</v>
      </c>
      <c r="I685" s="1" t="n"/>
      <c r="J685" s="1" t="n"/>
      <c r="K685" s="6" t="n">
        <v>896.3072418</v>
      </c>
      <c r="L685" s="1" t="n"/>
      <c r="M685" s="1" t="n"/>
      <c r="N685" s="1" t="n"/>
    </row>
    <row r="686">
      <c r="A686" s="1" t="inlineStr">
        <is>
          <t>42834310205068</t>
        </is>
      </c>
      <c r="B686" s="1" t="inlineStr">
        <is>
          <t>SANDALIAS CD MULE</t>
        </is>
      </c>
      <c r="C686" s="1" t="n"/>
      <c r="D686" s="1" t="n"/>
      <c r="E686" s="6" t="n">
        <v>868.0038257</v>
      </c>
      <c r="F686" s="1" t="n"/>
      <c r="G686" s="1" t="n"/>
      <c r="H686" s="6" t="n">
        <v>911.1059779</v>
      </c>
      <c r="I686" s="1" t="n"/>
      <c r="J686" s="1" t="n"/>
      <c r="K686" s="1" t="n"/>
      <c r="L686" s="6" t="n">
        <v>927.6618571</v>
      </c>
      <c r="M686" s="6" t="n">
        <v>857.9002759</v>
      </c>
      <c r="N686" s="1" t="n"/>
    </row>
    <row r="687">
      <c r="A687" s="1" t="inlineStr">
        <is>
          <t>42834310237836</t>
        </is>
      </c>
      <c r="B687" s="1" t="inlineStr">
        <is>
          <t>SANDALIAS CD MULE</t>
        </is>
      </c>
      <c r="C687" s="1" t="n"/>
      <c r="D687" s="1" t="n"/>
      <c r="E687" s="6" t="n">
        <v>868.0038257</v>
      </c>
      <c r="F687" s="1" t="n"/>
      <c r="G687" s="1" t="n"/>
      <c r="H687" s="1" t="n"/>
      <c r="I687" s="1" t="n"/>
      <c r="J687" s="6" t="n">
        <v>902.3717365</v>
      </c>
      <c r="K687" s="6" t="n">
        <v>896.3072418</v>
      </c>
      <c r="L687" s="6" t="n">
        <v>927.6618571</v>
      </c>
      <c r="M687" s="1" t="n"/>
      <c r="N687" s="1" t="n"/>
    </row>
    <row r="688">
      <c r="A688" s="1" t="inlineStr">
        <is>
          <t>42834319871628</t>
        </is>
      </c>
      <c r="B688" s="1" t="inlineStr">
        <is>
          <t>SANDALIAS DG</t>
        </is>
      </c>
      <c r="C688" s="1" t="n"/>
      <c r="D688" s="6" t="n">
        <v>1004.713784</v>
      </c>
      <c r="E688" s="1" t="n"/>
      <c r="F688" s="1" t="n"/>
      <c r="G688" s="1" t="n"/>
      <c r="H688" s="1" t="n"/>
      <c r="I688" s="1" t="n"/>
      <c r="J688" s="1" t="n"/>
      <c r="K688" s="1" t="n"/>
      <c r="L688" s="1" t="n"/>
      <c r="M688" s="6" t="n">
        <v>980.4574582</v>
      </c>
      <c r="N688" s="1" t="n"/>
    </row>
    <row r="689">
      <c r="A689" s="1" t="inlineStr">
        <is>
          <t>42834319904396</t>
        </is>
      </c>
      <c r="B689" s="1" t="inlineStr">
        <is>
          <t>SANDALIAS DG</t>
        </is>
      </c>
      <c r="C689" s="1" t="n"/>
      <c r="D689" s="6" t="n">
        <v>1004.713784</v>
      </c>
      <c r="E689" s="1" t="n"/>
      <c r="F689" s="1" t="n"/>
      <c r="G689" s="1" t="n"/>
      <c r="H689" s="1" t="n"/>
      <c r="I689" s="1" t="n"/>
      <c r="J689" s="1" t="n"/>
      <c r="K689" s="1" t="n"/>
      <c r="L689" s="1" t="n"/>
      <c r="M689" s="6" t="n">
        <v>980.4574582</v>
      </c>
      <c r="N689" s="1" t="n"/>
    </row>
    <row r="690">
      <c r="A690" s="1" t="inlineStr">
        <is>
          <t>42951540310156</t>
        </is>
      </c>
      <c r="B690" s="1" t="inlineStr">
        <is>
          <t>ARRACADAS GC SILVER</t>
        </is>
      </c>
      <c r="C690" s="1" t="n"/>
      <c r="D690" s="1" t="n"/>
      <c r="E690" s="1" t="n"/>
      <c r="F690" s="1" t="n"/>
      <c r="G690" s="6" t="n">
        <v>155.8979258</v>
      </c>
      <c r="H690" s="1" t="n"/>
      <c r="I690" s="1" t="n"/>
      <c r="J690" s="1" t="n"/>
      <c r="K690" s="1" t="n"/>
      <c r="L690" s="6" t="n">
        <v>152.6431393</v>
      </c>
      <c r="M690" s="1" t="n"/>
      <c r="N690" s="1" t="n"/>
    </row>
    <row r="691">
      <c r="A691" s="1" t="inlineStr">
        <is>
          <t>42951547486348</t>
        </is>
      </c>
      <c r="B691" s="1" t="inlineStr">
        <is>
          <t>ANILLO CD REVOLUTION</t>
        </is>
      </c>
      <c r="C691" s="1" t="n"/>
      <c r="D691" s="6" t="n">
        <v>81.26695195000001</v>
      </c>
      <c r="E691" s="1" t="n"/>
      <c r="F691" s="1" t="n"/>
      <c r="G691" s="1" t="n"/>
      <c r="H691" s="1" t="n"/>
      <c r="I691" s="1" t="n"/>
      <c r="J691" s="1" t="n"/>
      <c r="K691" s="1" t="n"/>
      <c r="L691" s="6" t="n">
        <v>132.2468818</v>
      </c>
      <c r="M691" s="1" t="n"/>
      <c r="N691" s="1" t="n"/>
    </row>
    <row r="692">
      <c r="A692" s="1" t="inlineStr">
        <is>
          <t>42981553012876</t>
        </is>
      </c>
      <c r="B692" s="1" t="inlineStr">
        <is>
          <t>ARETES ESSENTIAL LV GOLD</t>
        </is>
      </c>
      <c r="C692" s="1" t="n"/>
      <c r="D692" s="6" t="n">
        <v>97.56691366</v>
      </c>
      <c r="E692" s="1" t="n"/>
      <c r="F692" s="1" t="n"/>
      <c r="G692" s="6" t="n">
        <v>132.2411844</v>
      </c>
      <c r="H692" s="1" t="n"/>
      <c r="I692" s="1" t="n"/>
      <c r="J692" s="6" t="n">
        <v>141.4477855</v>
      </c>
      <c r="K692" s="6" t="n">
        <v>133.8274486</v>
      </c>
      <c r="L692" s="6" t="n">
        <v>133.95135415</v>
      </c>
      <c r="M692" s="1" t="n"/>
      <c r="N692" s="1" t="n"/>
    </row>
    <row r="693">
      <c r="A693" s="1" t="inlineStr">
        <is>
          <t>42981569396876</t>
        </is>
      </c>
      <c r="B693" s="1" t="inlineStr">
        <is>
          <t>ARETES ESSENTIAL LV SILVER</t>
        </is>
      </c>
      <c r="C693" s="1" t="n"/>
      <c r="D693" s="1" t="n"/>
      <c r="E693" s="1" t="n"/>
      <c r="F693" s="1" t="n"/>
      <c r="G693" s="1" t="n"/>
      <c r="H693" s="1" t="n"/>
      <c r="I693" s="1" t="n"/>
      <c r="J693" s="6" t="n">
        <v>141.4477855</v>
      </c>
      <c r="K693" s="6" t="n">
        <v>133.8274486</v>
      </c>
      <c r="L693" s="6" t="n">
        <v>132.2468818</v>
      </c>
      <c r="M693" s="1" t="n"/>
      <c r="N693" s="1" t="n"/>
    </row>
    <row r="694">
      <c r="A694" s="1" t="inlineStr">
        <is>
          <t>42981580832908</t>
        </is>
      </c>
      <c r="B694" s="1" t="inlineStr">
        <is>
          <t>ANILLO LV VOLT MULTI</t>
        </is>
      </c>
      <c r="C694" s="1" t="n"/>
      <c r="D694" s="1" t="n"/>
      <c r="E694" s="1" t="n"/>
      <c r="F694" s="1" t="n"/>
      <c r="G694" s="1" t="n"/>
      <c r="H694" s="1" t="n"/>
      <c r="I694" s="1" t="n"/>
      <c r="J694" s="6" t="n">
        <v>141.4477855</v>
      </c>
      <c r="K694" s="1" t="n"/>
      <c r="L694" s="1" t="n"/>
      <c r="M694" s="1" t="n"/>
      <c r="N694" s="1" t="n"/>
    </row>
    <row r="695">
      <c r="A695" s="1" t="inlineStr">
        <is>
          <t>42981601575052</t>
        </is>
      </c>
      <c r="B695" s="1" t="inlineStr">
        <is>
          <t>ANILLO ESSENTIAL V PERLE</t>
        </is>
      </c>
      <c r="C695" s="1" t="n"/>
      <c r="D695" s="6" t="n">
        <v>116.1954413</v>
      </c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6" t="n">
        <v>136.2029957</v>
      </c>
    </row>
    <row r="696">
      <c r="A696" s="1" t="inlineStr">
        <is>
          <t>42981628018828</t>
        </is>
      </c>
      <c r="B696" s="1" t="inlineStr">
        <is>
          <t>ANILLO BLOSSOM STAR ROSEGOLD</t>
        </is>
      </c>
      <c r="C696" s="1" t="n"/>
      <c r="D696" s="6" t="n">
        <v>116.1954413</v>
      </c>
      <c r="E696" s="1" t="n"/>
      <c r="F696" s="1" t="n"/>
      <c r="G696" s="1" t="n"/>
      <c r="H696" s="1" t="n"/>
      <c r="I696" s="1" t="n"/>
      <c r="J696" s="1" t="n"/>
      <c r="K696" s="6" t="n">
        <v>55.06317204</v>
      </c>
      <c r="L696" s="6" t="n">
        <v>132.2468818</v>
      </c>
      <c r="M696" s="1" t="n"/>
      <c r="N696" s="1" t="n"/>
    </row>
    <row r="697">
      <c r="A697" s="1" t="inlineStr">
        <is>
          <t>42981640208524</t>
        </is>
      </c>
      <c r="B697" s="1" t="inlineStr">
        <is>
          <t>ARETES CD GOLD CON PERLA COLGANTE</t>
        </is>
      </c>
      <c r="C697" s="1" t="n"/>
      <c r="D697" s="6" t="n">
        <v>104.5526115</v>
      </c>
      <c r="E697" s="1" t="n"/>
      <c r="F697" s="1" t="n"/>
      <c r="G697" s="6" t="n">
        <v>106.2187689</v>
      </c>
      <c r="H697" s="1" t="n"/>
      <c r="I697" s="1" t="n"/>
      <c r="J697" s="6" t="n">
        <v>141.4477855</v>
      </c>
      <c r="K697" s="6" t="n">
        <v>133.8274486</v>
      </c>
      <c r="L697" s="6" t="n">
        <v>106.2233451</v>
      </c>
      <c r="M697" s="1" t="n"/>
      <c r="N697" s="6" t="n">
        <v>136.2029957</v>
      </c>
    </row>
    <row r="698">
      <c r="A698" s="1" t="inlineStr">
        <is>
          <t>42981773246604</t>
        </is>
      </c>
      <c r="B698" s="1" t="inlineStr">
        <is>
          <t>ANILLO PANTHERE GOLD</t>
        </is>
      </c>
      <c r="C698" s="1" t="n"/>
      <c r="D698" s="1" t="n"/>
      <c r="E698" s="1" t="n"/>
      <c r="F698" s="1" t="n"/>
      <c r="G698" s="6" t="n">
        <v>132.2411844</v>
      </c>
      <c r="H698" s="1" t="n"/>
      <c r="I698" s="1" t="n"/>
      <c r="J698" s="6" t="n">
        <v>141.4477855</v>
      </c>
      <c r="K698" s="1" t="n"/>
      <c r="L698" s="6" t="n">
        <v>135.6558265</v>
      </c>
      <c r="M698" s="1" t="n"/>
      <c r="N698" s="6" t="n">
        <v>177.6243003</v>
      </c>
    </row>
    <row r="699">
      <c r="A699" s="1" t="inlineStr">
        <is>
          <t>42981806637196</t>
        </is>
      </c>
      <c r="B699" s="1" t="inlineStr">
        <is>
          <t>ANILLO PANTHERE SILVER</t>
        </is>
      </c>
      <c r="C699" s="1" t="n"/>
      <c r="D699" s="1" t="n"/>
      <c r="E699" s="1" t="n"/>
      <c r="F699" s="1" t="n"/>
      <c r="G699" s="1" t="n"/>
      <c r="H699" s="1" t="n"/>
      <c r="I699" s="1" t="n"/>
      <c r="J699" s="1" t="n"/>
      <c r="K699" s="6" t="n">
        <v>133.8274486</v>
      </c>
      <c r="L699" s="6" t="n">
        <v>132.2468818</v>
      </c>
      <c r="M699" s="1" t="n"/>
      <c r="N699" s="1" t="n"/>
    </row>
    <row r="700">
      <c r="A700" s="1" t="inlineStr">
        <is>
          <t>42981825511564</t>
        </is>
      </c>
      <c r="B700" s="1" t="inlineStr">
        <is>
          <t>COLLAR LOCK CON ZIRCONIAS GOLD SILVER</t>
        </is>
      </c>
      <c r="C700" s="1" t="n"/>
      <c r="D700" s="1" t="n"/>
      <c r="E700" s="1" t="n"/>
      <c r="F700" s="1" t="n"/>
      <c r="G700" s="1" t="n"/>
      <c r="H700" s="1" t="n"/>
      <c r="I700" s="1" t="n"/>
      <c r="J700" s="6" t="n">
        <v>217.3589405</v>
      </c>
      <c r="K700" s="6" t="n">
        <v>133.8274486</v>
      </c>
      <c r="L700" s="6" t="n">
        <v>203.2201637</v>
      </c>
      <c r="M700" s="1" t="n"/>
      <c r="N700" s="1" t="n"/>
    </row>
    <row r="701">
      <c r="A701" s="1" t="inlineStr">
        <is>
          <t>42981877514380</t>
        </is>
      </c>
      <c r="B701" s="1" t="inlineStr">
        <is>
          <t>COLLAR LOCK CON ZIRCONIAS SILVER</t>
        </is>
      </c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6" t="n">
        <v>208.4585956</v>
      </c>
      <c r="M701" s="1" t="n"/>
      <c r="N701" s="1" t="n"/>
    </row>
    <row r="702">
      <c r="A702" s="1" t="inlineStr">
        <is>
          <t>42981893177484</t>
        </is>
      </c>
      <c r="B702" s="1" t="inlineStr">
        <is>
          <t>COLLAR LOCK CON ZIRCONIAS ROSEGOLD SILVER</t>
        </is>
      </c>
      <c r="C702" s="1" t="n"/>
      <c r="D702" s="1" t="n"/>
      <c r="E702" s="1" t="n"/>
      <c r="F702" s="1" t="n"/>
      <c r="G702" s="1" t="n"/>
      <c r="H702" s="1" t="n"/>
      <c r="I702" s="1" t="n"/>
      <c r="J702" s="6" t="n">
        <v>217.3589405</v>
      </c>
      <c r="K702" s="1" t="n"/>
      <c r="L702" s="6" t="n">
        <v>203.2201637</v>
      </c>
      <c r="M702" s="1" t="n"/>
      <c r="N702" s="1" t="n"/>
    </row>
    <row r="703">
      <c r="A703" s="1" t="inlineStr">
        <is>
          <t>42981908742284</t>
        </is>
      </c>
      <c r="B703" s="1" t="inlineStr">
        <is>
          <t>SET DE COLLAR Y PULSERA CORAZÓN (NECKLACE AND BRACALET)</t>
        </is>
      </c>
      <c r="C703" s="1" t="n"/>
      <c r="D703" s="1" t="n"/>
      <c r="E703" s="1" t="n"/>
      <c r="F703" s="1" t="n"/>
      <c r="G703" s="6" t="n">
        <v>401.691469</v>
      </c>
      <c r="H703" s="1" t="n"/>
      <c r="I703" s="1" t="n"/>
      <c r="J703" s="1" t="n"/>
      <c r="K703" s="1" t="n"/>
      <c r="L703" s="6" t="n">
        <v>439.5611922</v>
      </c>
      <c r="M703" s="1" t="n"/>
      <c r="N703" s="1" t="n"/>
    </row>
    <row r="704">
      <c r="A704" s="1" t="inlineStr">
        <is>
          <t>42981908742285</t>
        </is>
      </c>
      <c r="B704" s="1" t="inlineStr">
        <is>
          <t>SET DE COLLAR Y PULSERA CORAZÓN</t>
        </is>
      </c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6" t="n">
        <v>450.8918168</v>
      </c>
      <c r="M704" s="1" t="n"/>
      <c r="N704" s="1" t="n"/>
    </row>
    <row r="705">
      <c r="A705" s="1" t="inlineStr">
        <is>
          <t>42981951111308</t>
        </is>
      </c>
      <c r="B705" s="1" t="inlineStr">
        <is>
          <t>ANILLO TB GOLD</t>
        </is>
      </c>
      <c r="C705" s="1" t="n"/>
      <c r="D705" s="6" t="n">
        <v>69.62412216</v>
      </c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6" t="n">
        <v>72.85276514</v>
      </c>
    </row>
    <row r="706">
      <c r="A706" s="1" t="inlineStr">
        <is>
          <t>42981951144076</t>
        </is>
      </c>
      <c r="B706" s="1" t="inlineStr">
        <is>
          <t>ANILLO TB GOLD</t>
        </is>
      </c>
      <c r="C706" s="1" t="n"/>
      <c r="D706" s="6" t="n">
        <v>69.62412216</v>
      </c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</row>
    <row r="707">
      <c r="A707" s="1" t="inlineStr">
        <is>
          <t>42981955862668</t>
        </is>
      </c>
      <c r="B707" s="1" t="inlineStr">
        <is>
          <t>ANILLO TB SILVER</t>
        </is>
      </c>
      <c r="C707" s="1" t="n"/>
      <c r="D707" s="6" t="n">
        <v>69.62412216</v>
      </c>
      <c r="E707" s="1" t="n"/>
      <c r="F707" s="1" t="n"/>
      <c r="G707" s="1" t="n"/>
      <c r="H707" s="1" t="n"/>
      <c r="I707" s="1" t="n"/>
      <c r="J707" s="1" t="n"/>
      <c r="K707" s="1" t="n"/>
      <c r="L707" s="6" t="n">
        <v>70.73670423</v>
      </c>
      <c r="M707" s="1" t="n"/>
      <c r="N707" s="1" t="n"/>
    </row>
    <row r="708">
      <c r="A708" s="1" t="inlineStr">
        <is>
          <t>42981955895436</t>
        </is>
      </c>
      <c r="B708" s="1" t="inlineStr">
        <is>
          <t>ANILLO TB SILVER</t>
        </is>
      </c>
      <c r="C708" s="1" t="n"/>
      <c r="D708" s="6" t="n">
        <v>69.62412216</v>
      </c>
      <c r="E708" s="1" t="n"/>
      <c r="F708" s="1" t="n"/>
      <c r="G708" s="1" t="n"/>
      <c r="H708" s="1" t="n"/>
      <c r="I708" s="1" t="n"/>
      <c r="J708" s="1" t="n"/>
      <c r="K708" s="1" t="n"/>
      <c r="L708" s="6" t="n">
        <v>70.73670423</v>
      </c>
      <c r="M708" s="1" t="n"/>
      <c r="N708" s="1" t="n"/>
    </row>
    <row r="709">
      <c r="A709" s="1" t="inlineStr">
        <is>
          <t>42981955928204</t>
        </is>
      </c>
      <c r="B709" s="1" t="inlineStr">
        <is>
          <t>ANILLO TB SILVER</t>
        </is>
      </c>
      <c r="C709" s="1" t="n"/>
      <c r="D709" s="6" t="n">
        <v>69.62412216</v>
      </c>
      <c r="E709" s="1" t="n"/>
      <c r="F709" s="1" t="n"/>
      <c r="G709" s="1" t="n"/>
      <c r="H709" s="1" t="n"/>
      <c r="I709" s="1" t="n"/>
      <c r="J709" s="1" t="n"/>
      <c r="K709" s="1" t="n"/>
      <c r="L709" s="6" t="n">
        <v>70.73670423</v>
      </c>
      <c r="M709" s="1" t="n"/>
      <c r="N709" s="1" t="n"/>
    </row>
    <row r="710">
      <c r="A710" s="1" t="inlineStr">
        <is>
          <t>42981964578956</t>
        </is>
      </c>
      <c r="B710" s="1" t="inlineStr">
        <is>
          <t>COLLAR POP H SILVER BLACK</t>
        </is>
      </c>
      <c r="C710" s="1" t="n"/>
      <c r="D710" s="6" t="n">
        <v>92.90978174</v>
      </c>
      <c r="E710" s="1" t="n"/>
      <c r="F710" s="1" t="n"/>
      <c r="G710" s="6" t="n">
        <v>94.39039819</v>
      </c>
      <c r="H710" s="1" t="n"/>
      <c r="I710" s="1" t="n"/>
      <c r="J710" s="6" t="n">
        <v>100.9618362</v>
      </c>
      <c r="K710" s="6" t="n">
        <v>95.52263323</v>
      </c>
      <c r="L710" s="6" t="n">
        <v>94.39446484</v>
      </c>
      <c r="M710" s="1" t="n"/>
      <c r="N710" s="1" t="n"/>
    </row>
    <row r="711">
      <c r="A711" s="1" t="inlineStr">
        <is>
          <t>42981966872716</t>
        </is>
      </c>
      <c r="B711" s="1" t="inlineStr">
        <is>
          <t>COLLAR POP H GOLD BLACK</t>
        </is>
      </c>
      <c r="C711" s="1" t="n"/>
      <c r="D711" s="6" t="n">
        <v>92.90978174</v>
      </c>
      <c r="E711" s="1" t="n"/>
      <c r="F711" s="1" t="n"/>
      <c r="G711" s="6" t="n">
        <v>94.39039819</v>
      </c>
      <c r="H711" s="1" t="n"/>
      <c r="I711" s="1" t="n"/>
      <c r="J711" s="1" t="n"/>
      <c r="K711" s="6" t="n">
        <v>95.52263323</v>
      </c>
      <c r="L711" s="6" t="n">
        <v>94.39446484</v>
      </c>
      <c r="M711" s="1" t="n"/>
      <c r="N711" s="1" t="n"/>
    </row>
    <row r="712">
      <c r="A712" s="1" t="inlineStr">
        <is>
          <t>42981971361932</t>
        </is>
      </c>
      <c r="B712" s="1" t="inlineStr">
        <is>
          <t>COLLAR POP H ROSEGOLD WHITE</t>
        </is>
      </c>
      <c r="C712" s="1" t="n"/>
      <c r="D712" s="1" t="n"/>
      <c r="E712" s="6" t="n">
        <v>147.6865515</v>
      </c>
      <c r="F712" s="1" t="n"/>
      <c r="G712" s="6" t="n">
        <v>94.39039819</v>
      </c>
      <c r="H712" s="1" t="n"/>
      <c r="I712" s="1" t="n"/>
      <c r="J712" s="1" t="n"/>
      <c r="K712" s="1" t="n"/>
      <c r="L712" s="6" t="n">
        <v>96.82768294</v>
      </c>
      <c r="M712" s="1" t="n"/>
      <c r="N712" s="1" t="n"/>
    </row>
    <row r="713">
      <c r="A713" s="1" t="inlineStr">
        <is>
          <t>42981975064716</t>
        </is>
      </c>
      <c r="B713" s="1" t="inlineStr">
        <is>
          <t>COLLAR POP H GOLD WHITE</t>
        </is>
      </c>
      <c r="C713" s="1" t="n"/>
      <c r="D713" s="6" t="n">
        <v>92.90978174</v>
      </c>
      <c r="E713" s="1" t="n"/>
      <c r="F713" s="1" t="n"/>
      <c r="G713" s="1" t="n"/>
      <c r="H713" s="1" t="n"/>
      <c r="I713" s="1" t="n"/>
      <c r="J713" s="6" t="n">
        <v>100.9618362</v>
      </c>
      <c r="K713" s="1" t="n"/>
      <c r="L713" s="6" t="n">
        <v>94.39446484</v>
      </c>
      <c r="M713" s="1" t="n"/>
      <c r="N713" s="1" t="n"/>
    </row>
    <row r="714">
      <c r="A714" s="1" t="inlineStr">
        <is>
          <t>42981986795660</t>
        </is>
      </c>
      <c r="B714" s="1" t="inlineStr">
        <is>
          <t>ARETES V ROUND GOLD</t>
        </is>
      </c>
      <c r="C714" s="1" t="n"/>
      <c r="D714" s="1" t="n"/>
      <c r="E714" s="1" t="n"/>
      <c r="F714" s="1" t="n"/>
      <c r="G714" s="1" t="n"/>
      <c r="H714" s="1" t="n"/>
      <c r="I714" s="1" t="n"/>
      <c r="J714" s="1" t="n"/>
      <c r="K714" s="6" t="n">
        <v>150.5858053</v>
      </c>
      <c r="L714" s="6" t="n">
        <v>132.2468818</v>
      </c>
      <c r="M714" s="1" t="n"/>
      <c r="N714" s="6" t="n">
        <v>153.258827</v>
      </c>
    </row>
    <row r="715">
      <c r="A715" s="1" t="inlineStr">
        <is>
          <t>42981998657676</t>
        </is>
      </c>
      <c r="B715" s="1" t="inlineStr">
        <is>
          <t>ARETES FR GOLD</t>
        </is>
      </c>
      <c r="C715" s="1" t="n"/>
      <c r="D715" s="6" t="n">
        <v>104.5526115</v>
      </c>
      <c r="E715" s="1" t="n"/>
      <c r="F715" s="1" t="n"/>
      <c r="G715" s="6" t="n">
        <v>106.2187689</v>
      </c>
      <c r="H715" s="6" t="n">
        <v>106.002089</v>
      </c>
      <c r="I715" s="1" t="n"/>
      <c r="J715" s="1" t="n"/>
      <c r="K715" s="6" t="n">
        <v>133.8274486</v>
      </c>
      <c r="L715" s="6" t="n">
        <v>121.0952727</v>
      </c>
      <c r="M715" s="1" t="n"/>
      <c r="N715" s="1" t="n"/>
    </row>
    <row r="716">
      <c r="A716" s="1" t="inlineStr">
        <is>
          <t>42982006882444</t>
        </is>
      </c>
      <c r="B716" s="1" t="inlineStr">
        <is>
          <t>ARETES FR GOLD CON PERLA</t>
        </is>
      </c>
      <c r="C716" s="1" t="n"/>
      <c r="D716" s="6" t="n">
        <v>104.5526115</v>
      </c>
      <c r="E716" s="1" t="n"/>
      <c r="F716" s="1" t="n"/>
      <c r="G716" s="6" t="n">
        <v>106.2187689</v>
      </c>
      <c r="H716" s="6" t="n">
        <v>127.2025068</v>
      </c>
      <c r="I716" s="1" t="n"/>
      <c r="J716" s="1" t="n"/>
      <c r="K716" s="6" t="n">
        <v>133.8274486</v>
      </c>
      <c r="L716" s="6" t="n">
        <v>113.6593089</v>
      </c>
      <c r="M716" s="1" t="n"/>
      <c r="N716" s="6" t="n">
        <v>121.5837117</v>
      </c>
    </row>
    <row r="717">
      <c r="A717" s="1" t="inlineStr">
        <is>
          <t>42982026674316</t>
        </is>
      </c>
      <c r="B717" s="1" t="inlineStr">
        <is>
          <t>COLLAR V ROUND GOLD</t>
        </is>
      </c>
      <c r="C717" s="1" t="n"/>
      <c r="D717" s="6" t="n">
        <v>130.1668371</v>
      </c>
      <c r="E717" s="1" t="n"/>
      <c r="F717" s="1" t="n"/>
      <c r="G717" s="1" t="n"/>
      <c r="H717" s="1" t="n"/>
      <c r="I717" s="1" t="n"/>
      <c r="J717" s="1" t="n"/>
      <c r="K717" s="1" t="n"/>
      <c r="L717" s="6" t="n">
        <v>152.6431393</v>
      </c>
      <c r="M717" s="1" t="n"/>
      <c r="N717" s="1" t="n"/>
    </row>
    <row r="718">
      <c r="A718" s="1" t="inlineStr">
        <is>
          <t>43010669576332</t>
        </is>
      </c>
      <c r="B718" s="1" t="inlineStr">
        <is>
          <t>COLLAR TREBOL GREEN-ROSE GOLD</t>
        </is>
      </c>
      <c r="C718" s="1" t="n"/>
      <c r="D718" s="6" t="n">
        <v>232.0657435</v>
      </c>
      <c r="E718" s="1" t="n"/>
      <c r="F718" s="1" t="n"/>
      <c r="G718" s="1" t="n"/>
      <c r="H718" s="1" t="n"/>
      <c r="I718" s="1" t="n"/>
      <c r="J718" s="1" t="n"/>
      <c r="K718" s="1" t="n"/>
      <c r="L718" s="6" t="n">
        <v>83.95718118000001</v>
      </c>
      <c r="M718" s="1" t="n"/>
      <c r="N718" s="1" t="n"/>
    </row>
    <row r="719">
      <c r="A719" s="1" t="inlineStr">
        <is>
          <t>43016701149324</t>
        </is>
      </c>
      <c r="B719" s="1" t="inlineStr">
        <is>
          <t>COLLAR ROUND T SILVER CON ZIRCONIAS</t>
        </is>
      </c>
      <c r="C719" s="1" t="n"/>
      <c r="D719" s="1" t="n"/>
      <c r="E719" s="1" t="n"/>
      <c r="F719" s="1" t="n"/>
      <c r="G719" s="6" t="n">
        <v>177.7958601</v>
      </c>
      <c r="H719" s="1" t="n"/>
      <c r="I719" s="1" t="n"/>
      <c r="J719" s="1" t="n"/>
      <c r="K719" s="1" t="n"/>
      <c r="L719" s="1" t="n"/>
      <c r="M719" s="1" t="n"/>
      <c r="N719" s="1" t="n"/>
    </row>
    <row r="720">
      <c r="A720" s="1" t="inlineStr">
        <is>
          <t>43016706621580</t>
        </is>
      </c>
      <c r="B720" s="1" t="inlineStr">
        <is>
          <t>COLLAR ROUND T ROSEGOLD CON ZIRCONIAS</t>
        </is>
      </c>
      <c r="C720" s="1" t="n"/>
      <c r="D720" s="6" t="n">
        <v>179.323529</v>
      </c>
      <c r="E720" s="1" t="n"/>
      <c r="F720" s="1" t="n"/>
      <c r="G720" s="1" t="n"/>
      <c r="H720" s="1" t="n"/>
      <c r="I720" s="1" t="n"/>
      <c r="J720" s="1" t="n"/>
      <c r="K720" s="6" t="n">
        <v>178.7675255</v>
      </c>
      <c r="L720" s="1" t="n"/>
      <c r="M720" s="1" t="n"/>
      <c r="N720" s="1" t="n"/>
    </row>
    <row r="721">
      <c r="A721" s="1" t="inlineStr">
        <is>
          <t>43016717566092</t>
        </is>
      </c>
      <c r="B721" s="1" t="inlineStr">
        <is>
          <t>COLLAR CLASH ROSEGOLD</t>
        </is>
      </c>
      <c r="C721" s="1" t="n"/>
      <c r="D721" s="6" t="n">
        <v>169.8328118</v>
      </c>
      <c r="E721" s="1" t="n"/>
      <c r="F721" s="1" t="n"/>
      <c r="G721" s="1" t="n"/>
      <c r="H721" s="1" t="n"/>
      <c r="I721" s="1" t="n"/>
      <c r="J721" s="6" t="n">
        <v>170.4311697</v>
      </c>
      <c r="K721" s="1" t="n"/>
      <c r="L721" s="6" t="n">
        <v>169.5369517</v>
      </c>
      <c r="M721" s="1" t="n"/>
      <c r="N721" s="1" t="n"/>
    </row>
    <row r="722">
      <c r="A722" s="1" t="inlineStr">
        <is>
          <t>43020901133964</t>
        </is>
      </c>
      <c r="B722" s="1" t="inlineStr">
        <is>
          <t>BOLSO LV NEVERFULL</t>
        </is>
      </c>
      <c r="C722" s="1" t="n"/>
      <c r="D722" s="6" t="n">
        <v>1004.713784</v>
      </c>
      <c r="E722" s="1" t="n"/>
      <c r="F722" s="1" t="n"/>
      <c r="G722" s="1" t="n"/>
      <c r="H722" s="6" t="n">
        <v>1041.263975</v>
      </c>
      <c r="I722" s="1" t="n"/>
      <c r="J722" s="1" t="n"/>
      <c r="K722" s="1" t="n"/>
      <c r="L722" s="1" t="n"/>
      <c r="M722" s="6" t="n">
        <v>980.4574582</v>
      </c>
      <c r="N722" s="1" t="n"/>
    </row>
    <row r="723">
      <c r="A723" s="1" t="inlineStr">
        <is>
          <t>43026586435724</t>
        </is>
      </c>
      <c r="B723" s="1" t="inlineStr">
        <is>
          <t>LENTES YSL SQUARE</t>
        </is>
      </c>
      <c r="C723" s="1" t="n"/>
      <c r="D723" s="1" t="n"/>
      <c r="E723" s="1" t="n"/>
      <c r="F723" s="1" t="n"/>
      <c r="G723" s="1" t="n"/>
      <c r="H723" s="6" t="n">
        <v>212.6994214</v>
      </c>
      <c r="I723" s="6" t="n">
        <v>216.3469216</v>
      </c>
      <c r="J723" s="6" t="n">
        <v>214.8593263</v>
      </c>
      <c r="K723" s="6" t="n">
        <v>207.6007409</v>
      </c>
      <c r="L723" s="6" t="n">
        <v>212.0083598</v>
      </c>
      <c r="M723" s="1" t="n"/>
      <c r="N723" s="1" t="n"/>
    </row>
    <row r="724">
      <c r="A724" s="1" t="inlineStr">
        <is>
          <t>43026599575692</t>
        </is>
      </c>
      <c r="B724" s="1" t="inlineStr">
        <is>
          <t>LENTES YSL</t>
        </is>
      </c>
      <c r="C724" s="1" t="n"/>
      <c r="D724" s="1" t="n"/>
      <c r="E724" s="1" t="n"/>
      <c r="F724" s="1" t="n"/>
      <c r="G724" s="1" t="n"/>
      <c r="H724" s="6" t="n">
        <v>212.6994214</v>
      </c>
      <c r="I724" s="6" t="n">
        <v>216.3469216</v>
      </c>
      <c r="J724" s="6" t="n">
        <v>214.8593263</v>
      </c>
      <c r="K724" s="1" t="n"/>
      <c r="L724" s="1" t="n"/>
      <c r="M724" s="1" t="n"/>
      <c r="N724" s="1" t="n"/>
    </row>
    <row r="725">
      <c r="A725" s="1" t="inlineStr">
        <is>
          <t>43026605146252</t>
        </is>
      </c>
      <c r="B725" s="1" t="inlineStr">
        <is>
          <t>BOLSO G BLACK</t>
        </is>
      </c>
      <c r="C725" s="1" t="n"/>
      <c r="D725" s="6" t="n">
        <v>1007.163877</v>
      </c>
      <c r="E725" s="1" t="n"/>
      <c r="F725" s="1" t="n"/>
      <c r="G725" s="1" t="n"/>
      <c r="H725" s="6" t="n">
        <v>1302.783956</v>
      </c>
      <c r="I725" s="1" t="n"/>
      <c r="J725" s="6" t="n">
        <v>1316.013374</v>
      </c>
      <c r="K725" s="1" t="n"/>
      <c r="L725" s="6" t="n">
        <v>1298.551204</v>
      </c>
      <c r="M725" s="1" t="n"/>
      <c r="N725" s="1" t="n"/>
    </row>
    <row r="726">
      <c r="A726" s="1" t="inlineStr">
        <is>
          <t>43026762793100</t>
        </is>
      </c>
      <c r="B726" s="1" t="inlineStr">
        <is>
          <t>TRAJE DE BAÑO PR BLACK</t>
        </is>
      </c>
      <c r="C726" s="1" t="n"/>
      <c r="D726" s="1" t="n"/>
      <c r="E726" s="1" t="n"/>
      <c r="F726" s="1" t="n"/>
      <c r="G726" s="1" t="n"/>
      <c r="H726" s="1" t="n"/>
      <c r="I726" s="1" t="n"/>
      <c r="J726" s="6" t="n">
        <v>290.0600906</v>
      </c>
      <c r="K726" s="1" t="n"/>
      <c r="L726" s="1" t="n"/>
      <c r="M726" s="1" t="n"/>
      <c r="N726" s="1" t="n"/>
    </row>
    <row r="727">
      <c r="A727" s="1" t="inlineStr">
        <is>
          <t>43026765774988</t>
        </is>
      </c>
      <c r="B727" s="1" t="inlineStr">
        <is>
          <t>TRAJE DE BAÑO COMPLETO VC</t>
        </is>
      </c>
      <c r="C727" s="1" t="n"/>
      <c r="D727" s="1" t="n"/>
      <c r="E727" s="1" t="n"/>
      <c r="F727" s="1" t="n"/>
      <c r="G727" s="1" t="n"/>
      <c r="H727" s="1" t="n"/>
      <c r="I727" s="1" t="n"/>
      <c r="J727" s="1" t="n"/>
      <c r="K727" s="6" t="n">
        <v>332.1611855</v>
      </c>
      <c r="L727" s="1" t="n"/>
      <c r="M727" s="1" t="n"/>
      <c r="N727" s="1" t="n"/>
    </row>
    <row r="728">
      <c r="A728" s="1" t="inlineStr">
        <is>
          <t>43026767806604</t>
        </is>
      </c>
      <c r="B728" s="1" t="inlineStr">
        <is>
          <t>TRAJE DE BAÑO GC</t>
        </is>
      </c>
      <c r="C728" s="1" t="n"/>
      <c r="D728" s="1" t="n"/>
      <c r="E728" s="1" t="n"/>
      <c r="F728" s="1" t="n"/>
      <c r="G728" s="1" t="n"/>
      <c r="H728" s="1" t="n"/>
      <c r="I728" s="1" t="n"/>
      <c r="J728" s="6" t="n">
        <v>290.0600906</v>
      </c>
      <c r="K728" s="1" t="n"/>
      <c r="L728" s="1" t="n"/>
      <c r="M728" s="1" t="n"/>
      <c r="N728" s="1" t="n"/>
    </row>
    <row r="729">
      <c r="A729" s="1" t="inlineStr">
        <is>
          <t>43047194886284</t>
        </is>
      </c>
      <c r="B729" s="1" t="inlineStr">
        <is>
          <t>COLLAR CORAZÓN GOLD</t>
        </is>
      </c>
      <c r="C729" s="1" t="n"/>
      <c r="D729" s="1" t="n"/>
      <c r="E729" s="1" t="n"/>
      <c r="F729" s="1" t="n"/>
      <c r="G729" s="1" t="n"/>
      <c r="H729" s="1" t="n"/>
      <c r="I729" s="1" t="n"/>
      <c r="J729" s="6" t="n">
        <v>232.0384465</v>
      </c>
      <c r="K729" s="1" t="n"/>
      <c r="L729" s="6" t="n">
        <v>238.5416204</v>
      </c>
      <c r="M729" s="1" t="n"/>
      <c r="N729" s="1" t="n"/>
    </row>
    <row r="730">
      <c r="A730" s="1" t="inlineStr">
        <is>
          <t>43047195574412</t>
        </is>
      </c>
      <c r="B730" s="1" t="inlineStr">
        <is>
          <t>PULSERA ESLABONES ROSE GOLD</t>
        </is>
      </c>
      <c r="C730" s="1" t="n"/>
      <c r="D730" s="6" t="n">
        <v>322.2924407</v>
      </c>
      <c r="E730" s="1" t="n"/>
      <c r="F730" s="1" t="n"/>
      <c r="G730" s="1" t="n"/>
      <c r="H730" s="6" t="n">
        <v>340.3190742</v>
      </c>
      <c r="I730" s="1" t="n"/>
      <c r="J730" s="1" t="n"/>
      <c r="K730" s="6" t="n">
        <v>358.1112781</v>
      </c>
      <c r="L730" s="1" t="n"/>
      <c r="M730" s="1" t="n"/>
      <c r="N730" s="1" t="n"/>
    </row>
    <row r="731">
      <c r="A731" s="1" t="inlineStr">
        <is>
          <t>43047195607180</t>
        </is>
      </c>
      <c r="B731" s="1" t="inlineStr">
        <is>
          <t>PULSERA ESLABONES ROSE GOLD</t>
        </is>
      </c>
      <c r="C731" s="1" t="n"/>
      <c r="D731" s="1" t="n"/>
      <c r="E731" s="6" t="n">
        <v>413.9888127</v>
      </c>
      <c r="F731" s="1" t="n"/>
      <c r="G731" s="1" t="n"/>
      <c r="H731" s="1" t="n"/>
      <c r="I731" s="1" t="n"/>
      <c r="J731" s="1" t="n"/>
      <c r="K731" s="6" t="n">
        <v>410.0114634</v>
      </c>
      <c r="L731" s="1" t="n"/>
      <c r="M731" s="1" t="n"/>
      <c r="N731" s="1" t="n"/>
    </row>
    <row r="732">
      <c r="A732" s="1" t="inlineStr">
        <is>
          <t>43047196098700</t>
        </is>
      </c>
      <c r="B732" s="1" t="inlineStr">
        <is>
          <t>PULSERA TRUE GOLD</t>
        </is>
      </c>
      <c r="C732" s="1" t="n"/>
      <c r="D732" s="1" t="n"/>
      <c r="E732" s="1" t="n"/>
      <c r="F732" s="1" t="n"/>
      <c r="G732" s="1" t="n"/>
      <c r="H732" s="1" t="n"/>
      <c r="I732" s="1" t="n"/>
      <c r="J732" s="6" t="n">
        <v>692.9213275</v>
      </c>
      <c r="K732" s="1" t="n"/>
      <c r="L732" s="6" t="n">
        <v>683.7269604000001</v>
      </c>
      <c r="M732" s="1" t="n"/>
      <c r="N732" s="1" t="n"/>
    </row>
    <row r="733">
      <c r="A733" s="1" t="inlineStr">
        <is>
          <t>43047196360844</t>
        </is>
      </c>
      <c r="B733" s="1" t="inlineStr">
        <is>
          <t>ARETES CORAZÓN GRABADO SILVER</t>
        </is>
      </c>
      <c r="C733" s="1" t="n"/>
      <c r="D733" s="6" t="n">
        <v>101.852908155</v>
      </c>
      <c r="E733" s="6" t="n">
        <v>154.0667227</v>
      </c>
      <c r="F733" s="1" t="n"/>
      <c r="G733" s="1" t="n"/>
      <c r="H733" s="6" t="n">
        <v>156.3340747</v>
      </c>
      <c r="I733" s="6" t="n">
        <v>146.0341721</v>
      </c>
      <c r="J733" s="6" t="n">
        <v>157.9216049</v>
      </c>
      <c r="K733" s="1" t="n"/>
      <c r="L733" s="6" t="n">
        <v>155.8261445</v>
      </c>
      <c r="M733" s="1" t="n"/>
      <c r="N733" s="1" t="n"/>
    </row>
    <row r="734">
      <c r="A734" s="1" t="inlineStr">
        <is>
          <t>43047201243276</t>
        </is>
      </c>
      <c r="B734" s="1" t="inlineStr">
        <is>
          <t>PULSERA LOCK SILVER CON ZIRCONIAS</t>
        </is>
      </c>
      <c r="C734" s="1" t="n"/>
      <c r="D734" s="6" t="n">
        <v>246.595135</v>
      </c>
      <c r="E734" s="1" t="n"/>
      <c r="F734" s="1" t="n"/>
      <c r="G734" s="1" t="n"/>
      <c r="H734" s="1" t="n"/>
      <c r="I734" s="1" t="n"/>
      <c r="J734" s="1" t="n"/>
      <c r="K734" s="1" t="n"/>
      <c r="L734" s="6" t="n">
        <v>276.4078468</v>
      </c>
      <c r="M734" s="1" t="n"/>
      <c r="N734" s="1" t="n"/>
    </row>
    <row r="735">
      <c r="A735" s="1" t="inlineStr">
        <is>
          <t>43047201472652</t>
        </is>
      </c>
      <c r="B735" s="1" t="inlineStr">
        <is>
          <t>PULSERA KNOT SILVER</t>
        </is>
      </c>
      <c r="C735" s="1" t="n"/>
      <c r="D735" s="1" t="n"/>
      <c r="E735" s="1" t="n"/>
      <c r="F735" s="1" t="n"/>
      <c r="G735" s="1" t="n"/>
      <c r="H735" s="1" t="n"/>
      <c r="I735" s="1" t="n"/>
      <c r="J735" s="6" t="n">
        <v>184.4641067</v>
      </c>
      <c r="K735" s="1" t="n"/>
      <c r="L735" s="6" t="n">
        <v>184.1910059</v>
      </c>
      <c r="M735" s="1" t="n"/>
      <c r="N735" s="1" t="n"/>
    </row>
    <row r="736">
      <c r="A736" s="1" t="inlineStr">
        <is>
          <t>43047203897484</t>
        </is>
      </c>
      <c r="B736" s="1" t="inlineStr">
        <is>
          <t>PULSERA T ANGOSTA ROSE GOLD</t>
        </is>
      </c>
      <c r="C736" s="1" t="n"/>
      <c r="D736" s="1" t="n"/>
      <c r="E736" s="6" t="n">
        <v>366.8255303</v>
      </c>
      <c r="F736" s="1" t="n"/>
      <c r="G736" s="1" t="n"/>
      <c r="H736" s="6" t="n">
        <v>372.2239874</v>
      </c>
      <c r="I736" s="1" t="n"/>
      <c r="J736" s="1" t="n"/>
      <c r="K736" s="1" t="n"/>
      <c r="L736" s="1" t="n"/>
      <c r="M736" s="1" t="n"/>
      <c r="N736" s="1" t="n"/>
    </row>
    <row r="737">
      <c r="A737" s="1" t="inlineStr">
        <is>
          <t>43047204716684</t>
        </is>
      </c>
      <c r="B737" s="1" t="inlineStr">
        <is>
          <t>ARETES CORAZÓN GRABADO ROSEGOLD</t>
        </is>
      </c>
      <c r="C737" s="1" t="n"/>
      <c r="D737" s="6" t="n">
        <v>148.0530899</v>
      </c>
      <c r="E737" s="1" t="n"/>
      <c r="F737" s="1" t="n"/>
      <c r="G737" s="1" t="n"/>
      <c r="H737" s="1" t="n"/>
      <c r="I737" s="6" t="n">
        <v>146.0341721</v>
      </c>
      <c r="J737" s="1" t="n"/>
      <c r="K737" s="1" t="n"/>
      <c r="L737" s="1" t="n"/>
      <c r="M737" s="1" t="n"/>
      <c r="N737" s="1" t="n"/>
    </row>
    <row r="738">
      <c r="A738" s="1" t="inlineStr">
        <is>
          <t>43047204749452</t>
        </is>
      </c>
      <c r="B738" s="1" t="inlineStr">
        <is>
          <t>ARRACADAS T CORAZÓN</t>
        </is>
      </c>
      <c r="C738" s="1" t="n"/>
      <c r="D738" s="6" t="n">
        <v>99.89547962</v>
      </c>
      <c r="E738" s="1" t="n"/>
      <c r="F738" s="1" t="n"/>
      <c r="G738" s="1" t="n"/>
      <c r="H738" s="1" t="n"/>
      <c r="I738" s="1" t="n"/>
      <c r="J738" s="6" t="n">
        <v>141.4477855</v>
      </c>
      <c r="K738" s="1" t="n"/>
      <c r="L738" s="6" t="n">
        <v>132.2468818</v>
      </c>
      <c r="M738" s="1" t="n"/>
      <c r="N738" s="1" t="n"/>
    </row>
    <row r="739">
      <c r="A739" s="1" t="inlineStr">
        <is>
          <t>43047205109900</t>
        </is>
      </c>
      <c r="B739" s="1" t="inlineStr">
        <is>
          <t>COLLAR KNOT ROSEGOLD</t>
        </is>
      </c>
      <c r="C739" s="1" t="n"/>
      <c r="D739" s="1" t="n"/>
      <c r="E739" s="1" t="n"/>
      <c r="F739" s="1" t="n"/>
      <c r="G739" s="1" t="n"/>
      <c r="H739" s="1" t="n"/>
      <c r="I739" s="1" t="n"/>
      <c r="J739" s="1" t="n"/>
      <c r="K739" s="6" t="n">
        <v>133.8274486</v>
      </c>
      <c r="L739" s="6" t="n">
        <v>135.6558265</v>
      </c>
      <c r="M739" s="1" t="n"/>
      <c r="N739" s="1" t="n"/>
    </row>
    <row r="740">
      <c r="A740" s="1" t="inlineStr">
        <is>
          <t>43047205240972</t>
        </is>
      </c>
      <c r="B740" s="1" t="inlineStr">
        <is>
          <t>COLLAR KNOT GOLD</t>
        </is>
      </c>
      <c r="C740" s="1" t="n"/>
      <c r="D740" s="1" t="n"/>
      <c r="E740" s="1" t="n"/>
      <c r="F740" s="1" t="n"/>
      <c r="G740" s="6" t="n">
        <v>118.0471396</v>
      </c>
      <c r="H740" s="1" t="n"/>
      <c r="I740" s="1" t="n"/>
      <c r="J740" s="1" t="n"/>
      <c r="K740" s="6" t="n">
        <v>133.8274486</v>
      </c>
      <c r="L740" s="6" t="n">
        <v>132.2468818</v>
      </c>
      <c r="M740" s="1" t="n"/>
      <c r="N740" s="6" t="n">
        <v>160.568469</v>
      </c>
    </row>
    <row r="741">
      <c r="A741" s="1" t="inlineStr">
        <is>
          <t>43047206256780</t>
        </is>
      </c>
      <c r="B741" s="1" t="inlineStr">
        <is>
          <t>ANILLO LOCK GOLD-SILVER CON ZIRCONIAS</t>
        </is>
      </c>
      <c r="C741" s="1" t="n"/>
      <c r="D741" s="1" t="n"/>
      <c r="E741" s="1" t="n"/>
      <c r="F741" s="1" t="n"/>
      <c r="G741" s="1" t="n"/>
      <c r="H741" s="6" t="n">
        <v>313.7316465</v>
      </c>
      <c r="I741" s="1" t="n"/>
      <c r="J741" s="6" t="n">
        <v>343.7749222</v>
      </c>
      <c r="K741" s="6" t="n">
        <v>332.1611855</v>
      </c>
      <c r="L741" s="1" t="n"/>
      <c r="M741" s="1" t="n"/>
      <c r="N741" s="1" t="n"/>
    </row>
    <row r="742">
      <c r="A742" s="1" t="inlineStr">
        <is>
          <t>43047206289548</t>
        </is>
      </c>
      <c r="B742" s="1" t="inlineStr">
        <is>
          <t>ANILLO LOCK GOLD-SILVER CON ZIRCONIAS</t>
        </is>
      </c>
      <c r="C742" s="1" t="n"/>
      <c r="D742" s="1" t="n"/>
      <c r="E742" s="6" t="n">
        <v>335.3833419</v>
      </c>
      <c r="F742" s="1" t="n"/>
      <c r="G742" s="1" t="n"/>
      <c r="H742" s="6" t="n">
        <v>313.7316465</v>
      </c>
      <c r="I742" s="1" t="n"/>
      <c r="J742" s="1" t="n"/>
      <c r="K742" s="1" t="n"/>
      <c r="L742" s="6" t="n">
        <v>339.2133757</v>
      </c>
      <c r="M742" s="1" t="n"/>
      <c r="N742" s="1" t="n"/>
    </row>
    <row r="743">
      <c r="A743" s="1" t="inlineStr">
        <is>
          <t>43047206322316</t>
        </is>
      </c>
      <c r="B743" s="1" t="n"/>
      <c r="C743" s="1" t="n"/>
      <c r="D743" s="1" t="n"/>
      <c r="E743" s="1" t="n"/>
      <c r="F743" s="1" t="n"/>
      <c r="G743" s="1" t="n"/>
      <c r="H743" s="6" t="n">
        <v>313.7316465</v>
      </c>
      <c r="I743" s="1" t="n"/>
      <c r="J743" s="1" t="n"/>
      <c r="K743" s="1" t="n"/>
      <c r="L743" s="1" t="n"/>
      <c r="M743" s="1" t="n"/>
      <c r="N743" s="1" t="n"/>
    </row>
    <row r="744">
      <c r="A744" s="1" t="inlineStr">
        <is>
          <t>43047206682764</t>
        </is>
      </c>
      <c r="B744" s="1" t="inlineStr">
        <is>
          <t>ANILLO LOCK ROSEGOLD-SILVER CON ZIRCONIAS</t>
        </is>
      </c>
      <c r="C744" s="1" t="n"/>
      <c r="D744" s="1" t="n"/>
      <c r="E744" s="1" t="n"/>
      <c r="F744" s="1" t="n"/>
      <c r="G744" s="1" t="n"/>
      <c r="H744" s="6" t="n">
        <v>313.7316465</v>
      </c>
      <c r="I744" s="1" t="n"/>
      <c r="J744" s="1" t="n"/>
      <c r="K744" s="1" t="n"/>
      <c r="L744" s="1" t="n"/>
      <c r="M744" s="1" t="n"/>
      <c r="N744" s="1" t="n"/>
    </row>
    <row r="745">
      <c r="A745" s="1" t="inlineStr">
        <is>
          <t>43047206715532</t>
        </is>
      </c>
      <c r="B745" s="1" t="n"/>
      <c r="C745" s="1" t="n"/>
      <c r="D745" s="1" t="n"/>
      <c r="E745" s="1" t="n"/>
      <c r="F745" s="1" t="n"/>
      <c r="G745" s="1" t="n"/>
      <c r="H745" s="6" t="n">
        <v>313.7316465</v>
      </c>
      <c r="I745" s="1" t="n"/>
      <c r="J745" s="1" t="n"/>
      <c r="K745" s="1" t="n"/>
      <c r="L745" s="1" t="n"/>
      <c r="M745" s="1" t="n"/>
      <c r="N745" s="1" t="n"/>
    </row>
    <row r="746">
      <c r="A746" s="1" t="inlineStr">
        <is>
          <t>43047206748300</t>
        </is>
      </c>
      <c r="B746" s="1" t="inlineStr">
        <is>
          <t>ANILLO LOCK ROSEGOLD-SILVER CON ZIRCONIAS</t>
        </is>
      </c>
      <c r="C746" s="1" t="n"/>
      <c r="D746" s="1" t="n"/>
      <c r="E746" s="1" t="n"/>
      <c r="F746" s="1" t="n"/>
      <c r="G746" s="1" t="n"/>
      <c r="H746" s="6" t="n">
        <v>313.7316465</v>
      </c>
      <c r="I746" s="1" t="n"/>
      <c r="J746" s="1" t="n"/>
      <c r="K746" s="6" t="n">
        <v>332.1611855</v>
      </c>
      <c r="L746" s="1" t="n"/>
      <c r="M746" s="1" t="n"/>
      <c r="N746" s="1" t="n"/>
    </row>
    <row r="747">
      <c r="A747" s="1" t="inlineStr">
        <is>
          <t>43047207010444</t>
        </is>
      </c>
      <c r="B747" s="1" t="inlineStr">
        <is>
          <t>PULSERA T ANGOSTA SILVER</t>
        </is>
      </c>
      <c r="C747" s="1" t="n"/>
      <c r="D747" s="6" t="n">
        <v>352.507357</v>
      </c>
      <c r="E747" s="1" t="n"/>
      <c r="F747" s="1" t="n"/>
      <c r="G747" s="1" t="n"/>
      <c r="H747" s="1" t="n"/>
      <c r="I747" s="6" t="n">
        <v>378.6071128</v>
      </c>
      <c r="J747" s="1" t="n"/>
      <c r="K747" s="1" t="n"/>
      <c r="L747" s="1" t="n"/>
      <c r="M747" s="1" t="n"/>
      <c r="N747" s="1" t="n"/>
    </row>
    <row r="748">
      <c r="A748" s="1" t="inlineStr">
        <is>
          <t>43047208517772</t>
        </is>
      </c>
      <c r="B748" s="1" t="inlineStr">
        <is>
          <t>COLLAR ESLABÓN DOBLE CADENA ROSEGOLD</t>
        </is>
      </c>
      <c r="C748" s="1" t="n"/>
      <c r="D748" s="1" t="n"/>
      <c r="E748" s="6" t="n">
        <v>282.9796948</v>
      </c>
      <c r="F748" s="1" t="n"/>
      <c r="G748" s="1" t="n"/>
      <c r="H748" s="1" t="n"/>
      <c r="I748" s="6" t="n">
        <v>292.0683441</v>
      </c>
      <c r="J748" s="1" t="n"/>
      <c r="K748" s="1" t="n"/>
      <c r="L748" s="1" t="n"/>
      <c r="M748" s="1" t="n"/>
      <c r="N748" s="1" t="n"/>
    </row>
    <row r="749">
      <c r="A749" s="1" t="inlineStr">
        <is>
          <t>43047209828492</t>
        </is>
      </c>
      <c r="B749" s="1" t="inlineStr">
        <is>
          <t>PULSERA DE CUENTAS GOLD CON INSIGNIA DE CORAZÓN BLUE</t>
        </is>
      </c>
      <c r="C749" s="6" t="n">
        <v>114.1477399</v>
      </c>
      <c r="D749" s="1" t="n"/>
      <c r="E749" s="1" t="n"/>
      <c r="F749" s="1" t="n"/>
      <c r="G749" s="1" t="n"/>
      <c r="H749" s="6" t="n">
        <v>112.6084529</v>
      </c>
      <c r="I749" s="1" t="n"/>
      <c r="J749" s="1" t="n"/>
      <c r="K749" s="1" t="n"/>
      <c r="L749" s="1" t="n"/>
      <c r="M749" s="1" t="n"/>
      <c r="N749" s="1" t="n"/>
    </row>
    <row r="750">
      <c r="A750" s="1" t="inlineStr">
        <is>
          <t>43047210680460</t>
        </is>
      </c>
      <c r="B750" s="1" t="inlineStr">
        <is>
          <t>PULSERA DE CUENTAS GOLD CON INSIGNIA DE CORAZÓN RED</t>
        </is>
      </c>
      <c r="C750" s="6" t="n">
        <v>114.1477399</v>
      </c>
      <c r="D750" s="1" t="n"/>
      <c r="E750" s="1" t="n"/>
      <c r="F750" s="1" t="n"/>
      <c r="G750" s="1" t="n"/>
      <c r="H750" s="6" t="n">
        <v>112.6084529</v>
      </c>
      <c r="I750" s="1" t="n"/>
      <c r="J750" s="1" t="n"/>
      <c r="K750" s="1" t="n"/>
      <c r="L750" s="1" t="n"/>
      <c r="M750" s="1" t="n"/>
      <c r="N750" s="1" t="n"/>
    </row>
    <row r="751">
      <c r="A751" s="1" t="inlineStr">
        <is>
          <t>43047211597964</t>
        </is>
      </c>
      <c r="B751" s="1" t="inlineStr">
        <is>
          <t>ARETES CORAZÓN PLACA GRABADO GOLD</t>
        </is>
      </c>
      <c r="C751" s="1" t="n"/>
      <c r="D751" s="6" t="n">
        <v>176.2536785</v>
      </c>
      <c r="E751" s="1" t="n"/>
      <c r="F751" s="1" t="n"/>
      <c r="G751" s="1" t="n"/>
      <c r="H751" s="1" t="n"/>
      <c r="I751" s="1" t="n"/>
      <c r="J751" s="1" t="n"/>
      <c r="K751" s="1" t="n"/>
      <c r="L751" s="6" t="n">
        <v>185.5073148</v>
      </c>
      <c r="M751" s="1" t="n"/>
      <c r="N751" s="1" t="n"/>
    </row>
    <row r="752">
      <c r="A752" s="1" t="inlineStr">
        <is>
          <t>43047212384396</t>
        </is>
      </c>
      <c r="B752" s="1" t="inlineStr">
        <is>
          <t>PULSERA LOCK SILVER</t>
        </is>
      </c>
      <c r="C752" s="1" t="n"/>
      <c r="D752" s="1" t="n"/>
      <c r="E752" s="6" t="n">
        <v>413.9888127</v>
      </c>
      <c r="F752" s="1" t="n"/>
      <c r="G752" s="1" t="n"/>
      <c r="H752" s="6" t="n">
        <v>420.0813572</v>
      </c>
      <c r="I752" s="1" t="n"/>
      <c r="J752" s="1" t="n"/>
      <c r="K752" s="1" t="n"/>
      <c r="L752" s="6" t="n">
        <v>418.7165106</v>
      </c>
      <c r="M752" s="1" t="n"/>
      <c r="N752" s="1" t="n"/>
    </row>
    <row r="753">
      <c r="A753" s="1" t="inlineStr">
        <is>
          <t>43047213301900</t>
        </is>
      </c>
      <c r="B753" s="1" t="inlineStr">
        <is>
          <t>PULSERA KNOT GOLD</t>
        </is>
      </c>
      <c r="C753" s="1" t="n"/>
      <c r="D753" s="6" t="n">
        <v>239.2014208</v>
      </c>
      <c r="E753" s="1" t="n"/>
      <c r="F753" s="1" t="n"/>
      <c r="G753" s="1" t="n"/>
      <c r="H753" s="6" t="n">
        <v>425.3988428</v>
      </c>
      <c r="I753" s="1" t="n"/>
      <c r="J753" s="6" t="n">
        <v>429.7186527</v>
      </c>
      <c r="K753" s="1" t="n"/>
      <c r="L753" s="6" t="n">
        <v>384.28841895</v>
      </c>
      <c r="M753" s="1" t="n"/>
      <c r="N753" s="1" t="n"/>
    </row>
    <row r="754">
      <c r="A754" s="1" t="inlineStr">
        <is>
          <t>43047214612620</t>
        </is>
      </c>
      <c r="B754" s="1" t="inlineStr">
        <is>
          <t>ARETES SIXTEEN STONE</t>
        </is>
      </c>
      <c r="C754" s="1" t="n"/>
      <c r="D754" s="6" t="n">
        <v>322.2924407</v>
      </c>
      <c r="E754" s="1" t="n"/>
      <c r="F754" s="1" t="n"/>
      <c r="G754" s="1" t="n"/>
      <c r="H754" s="6" t="n">
        <v>340.3190742</v>
      </c>
      <c r="I754" s="6" t="n">
        <v>346.1550745</v>
      </c>
      <c r="J754" s="1" t="n"/>
      <c r="K754" s="6" t="n">
        <v>332.1611855</v>
      </c>
      <c r="L754" s="1" t="n"/>
      <c r="M754" s="1" t="n"/>
      <c r="N754" s="1" t="n"/>
    </row>
    <row r="755">
      <c r="A755" s="1" t="inlineStr">
        <is>
          <t>43047214907532</t>
        </is>
      </c>
      <c r="B755" s="1" t="inlineStr">
        <is>
          <t>PULSERA SIXTEEN STONES</t>
        </is>
      </c>
      <c r="C755" s="1" t="n"/>
      <c r="D755" s="6" t="n">
        <v>503.5819386</v>
      </c>
      <c r="E755" s="1" t="n"/>
      <c r="F755" s="1" t="n"/>
      <c r="G755" s="1" t="n"/>
      <c r="H755" s="6" t="n">
        <v>531.7485535</v>
      </c>
      <c r="I755" s="1" t="n"/>
      <c r="J755" s="1" t="n"/>
      <c r="K755" s="6" t="n">
        <v>519.0018523</v>
      </c>
      <c r="L755" s="1" t="n"/>
      <c r="M755" s="1" t="n"/>
      <c r="N755" s="1" t="n"/>
    </row>
    <row r="756">
      <c r="A756" s="1" t="inlineStr">
        <is>
          <t>43047215333516</t>
        </is>
      </c>
      <c r="B756" s="1" t="inlineStr">
        <is>
          <t>PULSERA LOCK ROSEGOLD-SILVER</t>
        </is>
      </c>
      <c r="C756" s="1" t="n"/>
      <c r="D756" s="1" t="n"/>
      <c r="E756" s="6" t="n">
        <v>432.3300892</v>
      </c>
      <c r="F756" s="1" t="n"/>
      <c r="G756" s="1" t="n"/>
      <c r="H756" s="1" t="n"/>
      <c r="I756" s="1" t="n"/>
      <c r="J756" s="6" t="n">
        <v>443.1473606</v>
      </c>
      <c r="K756" s="1" t="n"/>
      <c r="L756" s="1" t="n"/>
      <c r="M756" s="1" t="n"/>
      <c r="N756" s="1" t="n"/>
    </row>
    <row r="757">
      <c r="A757" s="1" t="inlineStr">
        <is>
          <t>43047215530124</t>
        </is>
      </c>
      <c r="B757" s="1" t="inlineStr">
        <is>
          <t>PULSERA LOCK GOLD-SILVER</t>
        </is>
      </c>
      <c r="C757" s="1" t="n"/>
      <c r="D757" s="1" t="n"/>
      <c r="E757" s="1" t="n"/>
      <c r="F757" s="1" t="n"/>
      <c r="G757" s="1" t="n"/>
      <c r="H757" s="6" t="n">
        <v>438.6925566</v>
      </c>
      <c r="I757" s="1" t="n"/>
      <c r="J757" s="1" t="n"/>
      <c r="K757" s="6" t="n">
        <v>428.1765282</v>
      </c>
      <c r="L757" s="6" t="n">
        <v>437.2672421</v>
      </c>
      <c r="M757" s="1" t="n"/>
      <c r="N757" s="1" t="n"/>
    </row>
    <row r="758">
      <c r="A758" s="1" t="inlineStr">
        <is>
          <t>43047216218252</t>
        </is>
      </c>
      <c r="B758" s="1" t="inlineStr">
        <is>
          <t>PULSERA LOCK GOLD GOLD</t>
        </is>
      </c>
      <c r="C758" s="1" t="n"/>
      <c r="D758" s="1" t="n"/>
      <c r="E758" s="1" t="n"/>
      <c r="F758" s="1" t="n"/>
      <c r="G758" s="1" t="n"/>
      <c r="H758" s="6" t="n">
        <v>438.6925566</v>
      </c>
      <c r="I758" s="1" t="n"/>
      <c r="J758" s="1" t="n"/>
      <c r="K758" s="1" t="n"/>
      <c r="L758" s="1" t="n"/>
      <c r="M758" s="1" t="n"/>
      <c r="N758" s="1" t="n"/>
    </row>
    <row r="759">
      <c r="A759" s="1" t="inlineStr">
        <is>
          <t>43047216545932</t>
        </is>
      </c>
      <c r="B759" s="1" t="inlineStr">
        <is>
          <t>ARETES ESLABON LISO ROSEGOLD</t>
        </is>
      </c>
      <c r="C759" s="1" t="n"/>
      <c r="D759" s="1" t="n"/>
      <c r="E759" s="1" t="n"/>
      <c r="F759" s="1" t="n"/>
      <c r="G759" s="1" t="n"/>
      <c r="H759" s="1" t="n"/>
      <c r="I759" s="1" t="n"/>
      <c r="J759" s="6" t="n">
        <v>146.5085292</v>
      </c>
      <c r="K759" s="1" t="n"/>
      <c r="L759" s="6" t="n">
        <v>140.5093444</v>
      </c>
      <c r="M759" s="1" t="n"/>
      <c r="N759" s="1" t="n"/>
    </row>
    <row r="760">
      <c r="A760" s="1" t="inlineStr">
        <is>
          <t>43047216775308</t>
        </is>
      </c>
      <c r="B760" s="1" t="inlineStr">
        <is>
          <t>ARETES ESLABON LISO  GOLD</t>
        </is>
      </c>
      <c r="C760" s="1" t="n"/>
      <c r="D760" s="1" t="n"/>
      <c r="E760" s="1" t="n"/>
      <c r="F760" s="1" t="n"/>
      <c r="G760" s="6" t="n">
        <v>136.9725327</v>
      </c>
      <c r="H760" s="1" t="n"/>
      <c r="I760" s="1" t="n"/>
      <c r="J760" s="1" t="n"/>
      <c r="K760" s="6" t="n">
        <v>138.6155505</v>
      </c>
      <c r="L760" s="6" t="n">
        <v>136.9784339</v>
      </c>
      <c r="M760" s="1" t="n"/>
      <c r="N760" s="1" t="n"/>
    </row>
    <row r="761">
      <c r="A761" s="1" t="inlineStr">
        <is>
          <t>43047217758348</t>
        </is>
      </c>
      <c r="B761" s="1" t="inlineStr">
        <is>
          <t>ARETES CORAZÓN GRABADO GOLD</t>
        </is>
      </c>
      <c r="C761" s="1" t="n"/>
      <c r="D761" s="6" t="n">
        <v>148.0530899</v>
      </c>
      <c r="E761" s="6" t="n">
        <v>154.0667227</v>
      </c>
      <c r="F761" s="1" t="n"/>
      <c r="G761" s="1" t="n"/>
      <c r="H761" s="1" t="n"/>
      <c r="I761" s="6" t="n">
        <v>146.0341721</v>
      </c>
      <c r="J761" s="6" t="n">
        <v>157.9216049</v>
      </c>
      <c r="K761" s="6" t="n">
        <v>152.5865446</v>
      </c>
      <c r="L761" s="6" t="n">
        <v>155.8261445</v>
      </c>
      <c r="M761" s="1" t="n"/>
      <c r="N761" s="1" t="n"/>
    </row>
    <row r="762">
      <c r="A762" s="1" t="inlineStr">
        <is>
          <t>43047218282636</t>
        </is>
      </c>
      <c r="B762" s="1" t="inlineStr">
        <is>
          <t>ARETES CORAZÓN TURQUESA</t>
        </is>
      </c>
      <c r="C762" s="1" t="n"/>
      <c r="D762" s="1" t="n"/>
      <c r="E762" s="1" t="n"/>
      <c r="F762" s="6" t="n">
        <v>126.3629907</v>
      </c>
      <c r="G762" s="6" t="n">
        <v>125.5029601</v>
      </c>
      <c r="H762" s="1" t="n"/>
      <c r="I762" s="1" t="n"/>
      <c r="J762" s="6" t="n">
        <v>127.8233773</v>
      </c>
      <c r="K762" s="6" t="n">
        <v>126.1888415</v>
      </c>
      <c r="L762" s="1" t="n"/>
      <c r="M762" s="1" t="n"/>
      <c r="N762" s="1" t="n"/>
    </row>
    <row r="763">
      <c r="A763" s="1" t="inlineStr">
        <is>
          <t>43047219560588</t>
        </is>
      </c>
      <c r="B763" s="1" t="inlineStr">
        <is>
          <t>PULSERA ONE T DOBLE ZIRCONIA ROSE GOLD</t>
        </is>
      </c>
      <c r="C763" s="1" t="n"/>
      <c r="D763" s="1" t="n"/>
      <c r="E763" s="1" t="n"/>
      <c r="F763" s="1" t="n"/>
      <c r="G763" s="1" t="n"/>
      <c r="H763" s="1" t="n"/>
      <c r="I763" s="6" t="n">
        <v>400.2418049</v>
      </c>
      <c r="J763" s="1" t="n"/>
      <c r="K763" s="1" t="n"/>
      <c r="L763" s="1" t="n"/>
      <c r="M763" s="1" t="n"/>
      <c r="N763" s="1" t="n"/>
    </row>
    <row r="764">
      <c r="A764" s="1" t="inlineStr">
        <is>
          <t>43047219789964</t>
        </is>
      </c>
      <c r="B764" s="1" t="inlineStr">
        <is>
          <t>PULSERA ONE T DOBLE ZIRCONIA SILVER</t>
        </is>
      </c>
      <c r="C764" s="1" t="n"/>
      <c r="D764" s="6" t="n">
        <v>372.6506345</v>
      </c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</row>
    <row r="765">
      <c r="A765" s="1" t="inlineStr">
        <is>
          <t>43047220412556</t>
        </is>
      </c>
      <c r="B765" s="1" t="inlineStr">
        <is>
          <t>PULSERA ONE T DOBLE ZIRCONIA GOLD</t>
        </is>
      </c>
      <c r="C765" s="1" t="n"/>
      <c r="D765" s="6" t="n">
        <v>372.6506345</v>
      </c>
      <c r="E765" s="1" t="n"/>
      <c r="F765" s="1" t="n"/>
      <c r="G765" s="1" t="n"/>
      <c r="H765" s="1" t="n"/>
      <c r="I765" s="6" t="n">
        <v>400.2418049</v>
      </c>
      <c r="J765" s="1" t="n"/>
      <c r="K765" s="1" t="n"/>
      <c r="L765" s="1" t="n"/>
      <c r="M765" s="1" t="n"/>
      <c r="N765" s="1" t="n"/>
    </row>
    <row r="766">
      <c r="A766" s="1" t="inlineStr">
        <is>
          <t>43047221198988</t>
        </is>
      </c>
      <c r="B766" s="1" t="inlineStr">
        <is>
          <t>PULSERA DE CUENTAS GOLD</t>
        </is>
      </c>
      <c r="C766" s="6" t="n">
        <v>108.2688863</v>
      </c>
      <c r="D766" s="1" t="n"/>
      <c r="E766" s="1" t="n"/>
      <c r="F766" s="1" t="n"/>
      <c r="G766" s="1" t="n"/>
      <c r="H766" s="6" t="n">
        <v>106.8088759</v>
      </c>
      <c r="I766" s="1" t="n"/>
      <c r="J766" s="1" t="n"/>
      <c r="K766" s="1" t="n"/>
      <c r="L766" s="1" t="n"/>
      <c r="M766" s="1" t="n"/>
      <c r="N766" s="1" t="n"/>
    </row>
    <row r="767">
      <c r="A767" s="1" t="inlineStr">
        <is>
          <t>43047222083724</t>
        </is>
      </c>
      <c r="B767" s="1" t="inlineStr">
        <is>
          <t>COLLAR SMILE ROSE GOLD CON ZIRCONIA</t>
        </is>
      </c>
      <c r="C767" s="1" t="n"/>
      <c r="D767" s="6" t="n">
        <v>322.2924407</v>
      </c>
      <c r="E767" s="1" t="n"/>
      <c r="F767" s="1" t="n"/>
      <c r="G767" s="1" t="n"/>
      <c r="H767" s="1" t="n"/>
      <c r="I767" s="6" t="n">
        <v>373.1984397</v>
      </c>
      <c r="J767" s="6" t="n">
        <v>370.632338</v>
      </c>
      <c r="K767" s="1" t="n"/>
      <c r="L767" s="1" t="n"/>
      <c r="M767" s="1" t="n"/>
      <c r="N767" s="1" t="n"/>
    </row>
    <row r="768">
      <c r="A768" s="1" t="inlineStr">
        <is>
          <t>43047224508556</t>
        </is>
      </c>
      <c r="B768" s="1" t="inlineStr">
        <is>
          <t>PULSERA DE CUENTAS CON INSIGNIA DE CORAZÓN PINK</t>
        </is>
      </c>
      <c r="C768" s="1" t="n"/>
      <c r="D768" s="1" t="n"/>
      <c r="E768" s="1" t="n"/>
      <c r="F768" s="1" t="n"/>
      <c r="G768" s="1" t="n"/>
      <c r="H768" s="1" t="n"/>
      <c r="I768" s="1" t="n"/>
      <c r="J768" s="6" t="n">
        <v>106.5194811</v>
      </c>
      <c r="K768" s="1" t="n"/>
      <c r="L768" s="6" t="n">
        <v>106.0932113</v>
      </c>
      <c r="M768" s="1" t="n"/>
      <c r="N768" s="1" t="n"/>
    </row>
    <row r="769">
      <c r="A769" s="1" t="inlineStr">
        <is>
          <t>43047224541324</t>
        </is>
      </c>
      <c r="B769" s="1" t="inlineStr">
        <is>
          <t>PULSERA DE CUENTAS CON INSIGNIA DE CORAZÓN PINK</t>
        </is>
      </c>
      <c r="C769" s="1" t="n"/>
      <c r="D769" s="1" t="n"/>
      <c r="E769" s="1" t="n"/>
      <c r="F769" s="6" t="n">
        <v>105.3024922</v>
      </c>
      <c r="G769" s="6" t="n">
        <v>104.5858001</v>
      </c>
      <c r="H769" s="6" t="n">
        <v>106.002089</v>
      </c>
      <c r="I769" s="6" t="n">
        <v>105.3424803</v>
      </c>
      <c r="J769" s="1" t="n"/>
      <c r="K769" s="1" t="n"/>
      <c r="L769" s="6" t="n">
        <v>104.9464765</v>
      </c>
      <c r="M769" s="6" t="n">
        <v>105.0730323</v>
      </c>
      <c r="N769" s="1" t="n"/>
    </row>
    <row r="770">
      <c r="A770" s="1" t="inlineStr">
        <is>
          <t>43047224574092</t>
        </is>
      </c>
      <c r="B770" s="1" t="inlineStr">
        <is>
          <t>PULSERA DE CUENTAS CON INSIGNIA DE CORAZÓN PINK</t>
        </is>
      </c>
      <c r="C770" s="1" t="n"/>
      <c r="D770" s="1" t="n"/>
      <c r="E770" s="1" t="n"/>
      <c r="F770" s="1" t="n"/>
      <c r="G770" s="1" t="n"/>
      <c r="H770" s="1" t="n"/>
      <c r="I770" s="1" t="n"/>
      <c r="J770" s="1" t="n"/>
      <c r="K770" s="6" t="n">
        <v>105.1573679</v>
      </c>
      <c r="L770" s="1" t="n"/>
      <c r="M770" s="1" t="n"/>
      <c r="N770" s="1" t="n"/>
    </row>
    <row r="771">
      <c r="A771" s="1" t="inlineStr">
        <is>
          <t>43047224606860</t>
        </is>
      </c>
      <c r="B771" s="1" t="inlineStr">
        <is>
          <t>PULSERA DE CUENTAS CON INSIGNIA DE CORAZÓN PINK</t>
        </is>
      </c>
      <c r="C771" s="1" t="n"/>
      <c r="D771" s="1" t="n"/>
      <c r="E771" s="1" t="n"/>
      <c r="F771" s="1" t="n"/>
      <c r="G771" s="1" t="n"/>
      <c r="H771" s="1" t="n"/>
      <c r="I771" s="1" t="n"/>
      <c r="J771" s="1" t="n"/>
      <c r="K771" s="6" t="n">
        <v>105.1573679</v>
      </c>
      <c r="L771" s="1" t="n"/>
      <c r="M771" s="1" t="n"/>
      <c r="N771" s="1" t="n"/>
    </row>
    <row r="772">
      <c r="A772" s="1" t="inlineStr">
        <is>
          <t>43047225884812</t>
        </is>
      </c>
      <c r="B772" s="1" t="inlineStr">
        <is>
          <t>ANILLO ONE T GOLD</t>
        </is>
      </c>
      <c r="C772" s="1" t="n"/>
      <c r="D772" s="1" t="n"/>
      <c r="E772" s="1" t="n"/>
      <c r="F772" s="6" t="n">
        <v>84.24199376999999</v>
      </c>
      <c r="G772" s="6" t="n">
        <v>83.66864004999999</v>
      </c>
      <c r="H772" s="1" t="n"/>
      <c r="I772" s="1" t="n"/>
      <c r="J772" s="1" t="n"/>
      <c r="K772" s="1" t="n"/>
      <c r="L772" s="1" t="n"/>
      <c r="M772" s="6" t="n">
        <v>84.05842584</v>
      </c>
      <c r="N772" s="1" t="n"/>
    </row>
    <row r="773">
      <c r="A773" s="1" t="inlineStr">
        <is>
          <t>43047225917580</t>
        </is>
      </c>
      <c r="B773" s="1" t="inlineStr">
        <is>
          <t>ANILLO ONE T GOLD</t>
        </is>
      </c>
      <c r="C773" s="1" t="n"/>
      <c r="D773" s="6" t="n">
        <v>105.4844288</v>
      </c>
      <c r="E773" s="1" t="n"/>
      <c r="F773" s="1" t="n"/>
      <c r="G773" s="1" t="n"/>
      <c r="H773" s="1" t="n"/>
      <c r="I773" s="6" t="n">
        <v>84.27398426000001</v>
      </c>
      <c r="J773" s="6" t="n">
        <v>85.21558486000001</v>
      </c>
      <c r="K773" s="1" t="n"/>
      <c r="L773" s="1" t="n"/>
      <c r="M773" s="1" t="n"/>
      <c r="N773" s="1" t="n"/>
    </row>
    <row r="774">
      <c r="A774" s="1" t="inlineStr">
        <is>
          <t>43047225950348</t>
        </is>
      </c>
      <c r="B774" s="1" t="inlineStr">
        <is>
          <t>ANILLO ONE T GOLD</t>
        </is>
      </c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6" t="n">
        <v>84.87456907000001</v>
      </c>
      <c r="M774" s="1" t="n"/>
      <c r="N774" s="1" t="n"/>
    </row>
    <row r="775">
      <c r="A775" s="1" t="inlineStr">
        <is>
          <t>43047226540172</t>
        </is>
      </c>
      <c r="B775" s="1" t="inlineStr">
        <is>
          <t>ANILLO SIXTEEN STONE</t>
        </is>
      </c>
      <c r="C775" s="1" t="n"/>
      <c r="D775" s="6" t="n">
        <v>127.5340264</v>
      </c>
      <c r="E775" s="1" t="n"/>
      <c r="F775" s="1" t="n"/>
      <c r="G775" s="1" t="n"/>
      <c r="H775" s="1" t="n"/>
      <c r="I775" s="6" t="n">
        <v>126.4109764</v>
      </c>
      <c r="J775" s="1" t="n"/>
      <c r="K775" s="1" t="n"/>
      <c r="L775" s="1" t="n"/>
      <c r="M775" s="1" t="n"/>
      <c r="N775" s="1" t="n"/>
    </row>
    <row r="776">
      <c r="A776" s="1" t="inlineStr">
        <is>
          <t>43047226572940</t>
        </is>
      </c>
      <c r="B776" s="1" t="inlineStr">
        <is>
          <t>ANILLO SIXTEEN STONE</t>
        </is>
      </c>
      <c r="C776" s="1" t="n"/>
      <c r="D776" s="6" t="n">
        <v>127.0576705</v>
      </c>
      <c r="E776" s="1" t="n"/>
      <c r="F776" s="1" t="n"/>
      <c r="G776" s="1" t="n"/>
      <c r="H776" s="6" t="n">
        <v>127.2025068</v>
      </c>
      <c r="I776" s="1" t="n"/>
      <c r="J776" s="1" t="n"/>
      <c r="K776" s="6" t="n">
        <v>126.1888415</v>
      </c>
      <c r="L776" s="6" t="n">
        <v>127.3118536</v>
      </c>
      <c r="M776" s="6" t="n">
        <v>126.0876388</v>
      </c>
      <c r="N776" s="1" t="n"/>
    </row>
    <row r="777">
      <c r="A777" s="1" t="inlineStr">
        <is>
          <t>43047226605708</t>
        </is>
      </c>
      <c r="B777" s="1" t="inlineStr">
        <is>
          <t>ANILLO SIXTEEN STONE</t>
        </is>
      </c>
      <c r="C777" s="1" t="n"/>
      <c r="D777" s="1" t="n"/>
      <c r="E777" s="1" t="n"/>
      <c r="F777" s="1" t="n"/>
      <c r="G777" s="1" t="n"/>
      <c r="H777" s="1" t="n"/>
      <c r="I777" s="6" t="n">
        <v>126.4109764</v>
      </c>
      <c r="J777" s="1" t="n"/>
      <c r="K777" s="1" t="n"/>
      <c r="L777" s="6" t="n">
        <v>126.6238127</v>
      </c>
      <c r="M777" s="1" t="n"/>
      <c r="N777" s="1" t="n"/>
    </row>
    <row r="778">
      <c r="A778" s="1" t="inlineStr">
        <is>
          <t>43047226638476</t>
        </is>
      </c>
      <c r="B778" s="1" t="inlineStr">
        <is>
          <t>ANILLO SIXTEEN STONE</t>
        </is>
      </c>
      <c r="C778" s="1" t="n"/>
      <c r="D778" s="6" t="n">
        <v>127.0576705</v>
      </c>
      <c r="E778" s="1" t="n"/>
      <c r="F778" s="1" t="n"/>
      <c r="G778" s="1" t="n"/>
      <c r="H778" s="6" t="n">
        <v>127.2025068</v>
      </c>
      <c r="I778" s="1" t="n"/>
      <c r="J778" s="1" t="n"/>
      <c r="K778" s="1" t="n"/>
      <c r="L778" s="6" t="n">
        <v>125.9357718</v>
      </c>
      <c r="M778" s="1" t="n"/>
      <c r="N778" s="1" t="n"/>
    </row>
    <row r="779">
      <c r="A779" s="1" t="inlineStr">
        <is>
          <t>43047227359372</t>
        </is>
      </c>
      <c r="B779" s="1" t="inlineStr">
        <is>
          <t>ANILLO ONE T ROSE GOLD CON ZIRCONIA</t>
        </is>
      </c>
      <c r="C779" s="1" t="n"/>
      <c r="D779" s="1" t="n"/>
      <c r="E779" s="1" t="n"/>
      <c r="F779" s="1" t="n"/>
      <c r="G779" s="1" t="n"/>
      <c r="H779" s="1" t="n"/>
      <c r="I779" s="1" t="n"/>
      <c r="J779" s="1" t="n"/>
      <c r="K779" s="6" t="n">
        <v>105.1573679</v>
      </c>
      <c r="L779" s="1" t="n"/>
      <c r="M779" s="1" t="n"/>
      <c r="N779" s="1" t="n"/>
    </row>
    <row r="780">
      <c r="A780" s="1" t="inlineStr">
        <is>
          <t>43047227392140</t>
        </is>
      </c>
      <c r="B780" s="1" t="inlineStr">
        <is>
          <t>ANILLO ONE T ROSE GOLD CON ZIRCONIA</t>
        </is>
      </c>
      <c r="C780" s="1" t="n"/>
      <c r="D780" s="1" t="n"/>
      <c r="E780" s="1" t="n"/>
      <c r="F780" s="1" t="n"/>
      <c r="G780" s="1" t="n"/>
      <c r="H780" s="1" t="n"/>
      <c r="I780" s="1" t="n"/>
      <c r="J780" s="6" t="n">
        <v>106.5194811</v>
      </c>
      <c r="K780" s="1" t="n"/>
      <c r="L780" s="1" t="n"/>
      <c r="M780" s="1" t="n"/>
      <c r="N780" s="1" t="n"/>
    </row>
    <row r="781">
      <c r="A781" s="1" t="inlineStr">
        <is>
          <t>43047227424908</t>
        </is>
      </c>
      <c r="B781" s="1" t="inlineStr">
        <is>
          <t>ANILLO ONE T ROSE GOLD CON ZIRCONIA</t>
        </is>
      </c>
      <c r="C781" s="1" t="n"/>
      <c r="D781" s="1" t="n"/>
      <c r="E781" s="1" t="n"/>
      <c r="F781" s="1" t="n"/>
      <c r="G781" s="1" t="n"/>
      <c r="H781" s="1" t="n"/>
      <c r="I781" s="1" t="n"/>
      <c r="J781" s="1" t="n"/>
      <c r="K781" s="6" t="n">
        <v>105.1573679</v>
      </c>
      <c r="L781" s="1" t="n"/>
      <c r="M781" s="1" t="n"/>
      <c r="N781" s="1" t="n"/>
    </row>
    <row r="782">
      <c r="A782" s="1" t="inlineStr">
        <is>
          <t>43047228014732</t>
        </is>
      </c>
      <c r="B782" s="1" t="inlineStr">
        <is>
          <t>ANILLO ONE T SILVER CON ZIRCONIA</t>
        </is>
      </c>
      <c r="C782" s="1" t="n"/>
      <c r="D782" s="6" t="n">
        <v>246.7551499</v>
      </c>
      <c r="E782" s="1" t="n"/>
      <c r="F782" s="1" t="n"/>
      <c r="G782" s="1" t="n"/>
      <c r="H782" s="6" t="n">
        <v>260.5567912</v>
      </c>
      <c r="I782" s="1" t="n"/>
      <c r="J782" s="1" t="n"/>
      <c r="K782" s="1" t="n"/>
      <c r="L782" s="6" t="n">
        <v>259.7102408</v>
      </c>
      <c r="M782" s="1" t="n"/>
      <c r="N782" s="1" t="n"/>
    </row>
    <row r="783">
      <c r="A783" s="1" t="inlineStr">
        <is>
          <t>43047228047500</t>
        </is>
      </c>
      <c r="B783" s="1" t="inlineStr">
        <is>
          <t>ANILLO ONE T SILVER CON ZIRCONIA</t>
        </is>
      </c>
      <c r="C783" s="1" t="n"/>
      <c r="D783" s="6" t="n">
        <v>246.7551499</v>
      </c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</row>
    <row r="784">
      <c r="A784" s="1" t="inlineStr">
        <is>
          <t>43047228080268</t>
        </is>
      </c>
      <c r="B784" s="1" t="n"/>
      <c r="C784" s="1" t="n"/>
      <c r="D784" s="1" t="n"/>
      <c r="E784" s="1" t="n"/>
      <c r="F784" s="1" t="n"/>
      <c r="G784" s="1" t="n"/>
      <c r="H784" s="6" t="n">
        <v>260.5567912</v>
      </c>
      <c r="I784" s="1" t="n"/>
      <c r="J784" s="1" t="n"/>
      <c r="K784" s="1" t="n"/>
      <c r="L784" s="1" t="n"/>
      <c r="M784" s="1" t="n"/>
      <c r="N784" s="1" t="n"/>
    </row>
    <row r="785">
      <c r="A785" s="1" t="inlineStr">
        <is>
          <t>43047247904908</t>
        </is>
      </c>
      <c r="B785" s="1" t="inlineStr">
        <is>
          <t>COLLAR ESLABON DOBLE CADENA SILVER</t>
        </is>
      </c>
      <c r="C785" s="1" t="n"/>
      <c r="D785" s="1" t="n"/>
      <c r="E785" s="6" t="n">
        <v>256.7778712</v>
      </c>
      <c r="F785" s="1" t="n"/>
      <c r="G785" s="1" t="n"/>
      <c r="H785" s="1" t="n"/>
      <c r="I785" s="6" t="n">
        <v>265.0249789</v>
      </c>
      <c r="J785" s="1" t="n"/>
      <c r="K785" s="1" t="n"/>
      <c r="L785" s="1" t="n"/>
      <c r="M785" s="1" t="n"/>
      <c r="N785" s="1" t="n"/>
    </row>
    <row r="786">
      <c r="A786" s="1" t="inlineStr">
        <is>
          <t>43047248920716</t>
        </is>
      </c>
      <c r="B786" s="1" t="inlineStr">
        <is>
          <t>PULSERA KNOT ROSE GOLD</t>
        </is>
      </c>
      <c r="C786" s="1" t="n"/>
      <c r="D786" s="6" t="n">
        <v>239.2014208</v>
      </c>
      <c r="E786" s="1" t="n"/>
      <c r="F786" s="1" t="n"/>
      <c r="G786" s="1" t="n"/>
      <c r="H786" s="6" t="n">
        <v>425.3988428</v>
      </c>
      <c r="I786" s="1" t="n"/>
      <c r="J786" s="6" t="n">
        <v>429.7186527</v>
      </c>
      <c r="K786" s="1" t="n"/>
      <c r="L786" s="1" t="n"/>
      <c r="M786" s="1" t="n"/>
      <c r="N786" s="1" t="n"/>
    </row>
    <row r="787">
      <c r="A787" s="1" t="inlineStr">
        <is>
          <t>43071645614220</t>
        </is>
      </c>
      <c r="B787" s="1" t="inlineStr">
        <is>
          <t>ARETES LV CON ZIRCONIA</t>
        </is>
      </c>
      <c r="C787" s="1" t="n"/>
      <c r="D787" s="6" t="n">
        <v>221.576053</v>
      </c>
      <c r="E787" s="1" t="n"/>
      <c r="F787" s="1" t="n"/>
      <c r="G787" s="1" t="n"/>
      <c r="H787" s="6" t="n">
        <v>233.9693635</v>
      </c>
      <c r="I787" s="1" t="n"/>
      <c r="J787" s="1" t="n"/>
      <c r="K787" s="1" t="n"/>
      <c r="L787" s="6" t="n">
        <v>233.2091958</v>
      </c>
      <c r="M787" s="1" t="n"/>
      <c r="N787" s="1" t="n"/>
    </row>
    <row r="788">
      <c r="A788" s="1" t="inlineStr">
        <is>
          <t>43071661277324</t>
        </is>
      </c>
      <c r="B788" s="1" t="inlineStr">
        <is>
          <t>ARETES LV ROUND CON ZIRCONIA</t>
        </is>
      </c>
      <c r="C788" s="1" t="n"/>
      <c r="D788" s="1" t="n"/>
      <c r="E788" s="6" t="n">
        <v>230.5760476</v>
      </c>
      <c r="F788" s="1" t="n"/>
      <c r="G788" s="1" t="n"/>
      <c r="H788" s="1" t="n"/>
      <c r="I788" s="1" t="n"/>
      <c r="J788" s="1" t="n"/>
      <c r="K788" s="6" t="n">
        <v>228.360815</v>
      </c>
      <c r="L788" s="1" t="n"/>
      <c r="M788" s="1" t="n"/>
      <c r="N788" s="1" t="n"/>
    </row>
    <row r="789">
      <c r="A789" s="1" t="inlineStr">
        <is>
          <t>43071749587084</t>
        </is>
      </c>
      <c r="B789" s="1" t="inlineStr">
        <is>
          <t>ARETES V CON PERLA</t>
        </is>
      </c>
      <c r="C789" s="1" t="n"/>
      <c r="D789" s="1" t="n"/>
      <c r="E789" s="1" t="n"/>
      <c r="F789" s="1" t="n"/>
      <c r="G789" s="1" t="n"/>
      <c r="H789" s="6" t="n">
        <v>233.9693635</v>
      </c>
      <c r="I789" s="1" t="n"/>
      <c r="J789" s="6" t="n">
        <v>236.345259</v>
      </c>
      <c r="K789" s="6" t="n">
        <v>228.360815</v>
      </c>
      <c r="L789" s="1" t="n"/>
      <c r="M789" s="1" t="n"/>
      <c r="N789" s="1" t="n"/>
    </row>
    <row r="790">
      <c r="A790" s="1" t="inlineStr">
        <is>
          <t>43071764562060</t>
        </is>
      </c>
      <c r="B790" s="1" t="inlineStr">
        <is>
          <t>ARRACADAS V GOLD</t>
        </is>
      </c>
      <c r="C790" s="1" t="n"/>
      <c r="D790" s="1" t="n"/>
      <c r="E790" s="1" t="n"/>
      <c r="F790" s="1" t="n"/>
      <c r="G790" s="1" t="n"/>
      <c r="H790" s="1" t="n"/>
      <c r="I790" s="1" t="n"/>
      <c r="J790" s="1" t="n"/>
      <c r="K790" s="6" t="n">
        <v>228.360815</v>
      </c>
      <c r="L790" s="1" t="n"/>
      <c r="M790" s="1" t="n"/>
      <c r="N790" s="1" t="n"/>
    </row>
    <row r="791">
      <c r="A791" s="1" t="inlineStr">
        <is>
          <t>43071800901772</t>
        </is>
      </c>
      <c r="B791" s="1" t="inlineStr">
        <is>
          <t>ARETES F GOLD BLACK</t>
        </is>
      </c>
      <c r="C791" s="1" t="n"/>
      <c r="D791" s="1" t="n"/>
      <c r="E791" s="1" t="n"/>
      <c r="F791" s="1" t="n"/>
      <c r="G791" s="1" t="n"/>
      <c r="H791" s="6" t="n">
        <v>233.9693635</v>
      </c>
      <c r="I791" s="1" t="n"/>
      <c r="J791" s="1" t="n"/>
      <c r="K791" s="1" t="n"/>
      <c r="L791" s="6" t="n">
        <v>233.2091958</v>
      </c>
      <c r="M791" s="1" t="n"/>
      <c r="N791" s="1" t="n"/>
    </row>
    <row r="792">
      <c r="A792" s="1" t="inlineStr">
        <is>
          <t>43071835930764</t>
        </is>
      </c>
      <c r="B792" s="1" t="inlineStr">
        <is>
          <t>ANILLO P STARS</t>
        </is>
      </c>
      <c r="C792" s="1" t="n"/>
      <c r="D792" s="1" t="n"/>
      <c r="E792" s="1" t="n"/>
      <c r="F792" s="1" t="n"/>
      <c r="G792" s="1" t="n"/>
      <c r="H792" s="1" t="n"/>
      <c r="I792" s="1" t="n"/>
      <c r="J792" s="6" t="n">
        <v>45.65760685</v>
      </c>
      <c r="K792" s="1" t="n"/>
      <c r="L792" s="1" t="n"/>
      <c r="M792" s="1" t="n"/>
      <c r="N792" s="1" t="n"/>
    </row>
    <row r="793">
      <c r="A793" s="1" t="inlineStr">
        <is>
          <t>43071835963532</t>
        </is>
      </c>
      <c r="B793" s="1" t="inlineStr">
        <is>
          <t>ANILLO P STARS</t>
        </is>
      </c>
      <c r="C793" s="1" t="n"/>
      <c r="D793" s="1" t="n"/>
      <c r="E793" s="1" t="n"/>
      <c r="F793" s="1" t="n"/>
      <c r="G793" s="1" t="n"/>
      <c r="H793" s="1" t="n"/>
      <c r="I793" s="6" t="n">
        <v>45.97372084</v>
      </c>
      <c r="J793" s="1" t="n"/>
      <c r="K793" s="1" t="n"/>
      <c r="L793" s="6" t="n">
        <v>45.05177646</v>
      </c>
      <c r="M793" s="1" t="n"/>
      <c r="N793" s="1" t="n"/>
    </row>
    <row r="794">
      <c r="A794" s="1" t="inlineStr">
        <is>
          <t>43078594756748</t>
        </is>
      </c>
      <c r="B794" s="1" t="inlineStr">
        <is>
          <t>ANILLO P SHINNY FLOWER</t>
        </is>
      </c>
      <c r="C794" s="1" t="n"/>
      <c r="D794" s="1" t="n"/>
      <c r="E794" s="6" t="n">
        <v>68.12474133000001</v>
      </c>
      <c r="F794" s="1" t="n"/>
      <c r="G794" s="1" t="n"/>
      <c r="H794" s="6" t="n">
        <v>69.12731195000001</v>
      </c>
      <c r="I794" s="1" t="n"/>
      <c r="J794" s="1" t="n"/>
      <c r="K794" s="1" t="n"/>
      <c r="L794" s="1" t="n"/>
      <c r="M794" s="1" t="n"/>
      <c r="N794" s="1" t="n"/>
    </row>
    <row r="795">
      <c r="A795" s="1" t="inlineStr">
        <is>
          <t>43078594789516</t>
        </is>
      </c>
      <c r="B795" s="1" t="inlineStr">
        <is>
          <t>ANILLO P SHINNY FLOWER</t>
        </is>
      </c>
      <c r="C795" s="1" t="n"/>
      <c r="D795" s="1" t="n"/>
      <c r="E795" s="1" t="n"/>
      <c r="F795" s="1" t="n"/>
      <c r="G795" s="1" t="n"/>
      <c r="H795" s="1" t="n"/>
      <c r="I795" s="6" t="n">
        <v>70.31274952</v>
      </c>
      <c r="J795" s="6" t="n">
        <v>69.82928106</v>
      </c>
      <c r="K795" s="1" t="n"/>
      <c r="L795" s="1" t="n"/>
      <c r="M795" s="1" t="n"/>
      <c r="N795" s="1" t="n"/>
    </row>
    <row r="796">
      <c r="A796" s="1" t="inlineStr">
        <is>
          <t>43124008910988</t>
        </is>
      </c>
      <c r="B796" s="1" t="inlineStr">
        <is>
          <t>BOLSO C CLAUDE</t>
        </is>
      </c>
      <c r="C796" s="1" t="n"/>
      <c r="D796" s="1" t="n"/>
      <c r="E796" s="6" t="n">
        <v>1261.552923</v>
      </c>
      <c r="F796" s="1" t="n"/>
      <c r="G796" s="1" t="n"/>
      <c r="H796" s="1" t="n"/>
      <c r="I796" s="6" t="n">
        <v>1202.462819</v>
      </c>
      <c r="J796" s="1" t="n"/>
      <c r="K796" s="1" t="n"/>
      <c r="L796" s="1" t="n"/>
      <c r="M796" s="1" t="n"/>
      <c r="N796" s="1" t="n"/>
    </row>
    <row r="797">
      <c r="A797" s="1" t="inlineStr">
        <is>
          <t>43124048199820</t>
        </is>
      </c>
      <c r="B797" s="1" t="inlineStr">
        <is>
          <t>BOLSO LADY D JOY WHITE</t>
        </is>
      </c>
      <c r="C797" s="1" t="n"/>
      <c r="D797" s="1" t="n"/>
      <c r="E797" s="1" t="n"/>
      <c r="F797" s="1" t="n"/>
      <c r="G797" s="1" t="n"/>
      <c r="H797" s="1" t="n"/>
      <c r="I797" s="1" t="n"/>
      <c r="J797" s="6" t="n">
        <v>1471.51064</v>
      </c>
      <c r="K797" s="1" t="n"/>
      <c r="L797" s="1" t="n"/>
      <c r="M797" s="1" t="n"/>
      <c r="N797" s="1" t="n"/>
    </row>
    <row r="798">
      <c r="A798" s="1" t="inlineStr">
        <is>
          <t>43124053803148</t>
        </is>
      </c>
      <c r="B798" s="1" t="inlineStr">
        <is>
          <t>BOLSO LADY D JOY BLACK</t>
        </is>
      </c>
      <c r="C798" s="1" t="n"/>
      <c r="D798" s="1" t="n"/>
      <c r="E798" s="6" t="n">
        <v>1388.806121</v>
      </c>
      <c r="F798" s="1" t="n"/>
      <c r="G798" s="1" t="n"/>
      <c r="H798" s="6" t="n">
        <v>1457.769565</v>
      </c>
      <c r="I798" s="1" t="n"/>
      <c r="J798" s="1" t="n"/>
      <c r="K798" s="6" t="n">
        <v>1434.091587</v>
      </c>
      <c r="L798" s="1" t="n"/>
      <c r="M798" s="1" t="n"/>
      <c r="N798" s="1" t="n"/>
    </row>
    <row r="799">
      <c r="A799" s="1" t="inlineStr">
        <is>
          <t>43267331015245</t>
        </is>
      </c>
      <c r="B799" s="1" t="inlineStr">
        <is>
          <t>PULSERA KNOT GOLD</t>
        </is>
      </c>
      <c r="C799" s="1" t="n"/>
      <c r="D799" s="1" t="n"/>
      <c r="E799" s="1" t="n"/>
      <c r="F799" s="1" t="n"/>
      <c r="G799" s="1" t="n"/>
      <c r="H799" s="1" t="n"/>
      <c r="I799" s="1" t="n"/>
      <c r="J799" s="1" t="n"/>
      <c r="K799" s="6" t="n">
        <v>415.2014819</v>
      </c>
      <c r="L799" s="1" t="n"/>
      <c r="M799" s="1" t="n"/>
      <c r="N799" s="1" t="n"/>
    </row>
    <row r="800">
      <c r="A800" s="1" t="inlineStr">
        <is>
          <t>43409491041677</t>
        </is>
      </c>
      <c r="B800" s="1" t="inlineStr">
        <is>
          <t>BOLSO YSL CON CADENA NUDE</t>
        </is>
      </c>
      <c r="C800" s="1" t="n"/>
      <c r="D800" s="1" t="n"/>
      <c r="E800" s="1" t="n"/>
      <c r="F800" s="1" t="n"/>
      <c r="G800" s="1" t="n"/>
      <c r="H800" s="1" t="n"/>
      <c r="I800" s="1" t="n"/>
      <c r="J800" s="1" t="n"/>
      <c r="K800" s="6" t="n">
        <v>1244.038386</v>
      </c>
      <c r="L800" s="1" t="n"/>
      <c r="M800" s="1" t="n"/>
      <c r="N800" s="1" t="n"/>
    </row>
    <row r="801">
      <c r="A801" s="1" t="inlineStr">
        <is>
          <t>43728071088236</t>
        </is>
      </c>
      <c r="B801" s="1" t="inlineStr">
        <is>
          <t>ARRACADAS BV SERPENTI</t>
        </is>
      </c>
      <c r="C801" s="1" t="n"/>
      <c r="D801" s="1" t="n"/>
      <c r="E801" s="1" t="n"/>
      <c r="F801" s="1" t="n"/>
      <c r="G801" s="1" t="n"/>
      <c r="H801" s="6" t="n">
        <v>233.9693635</v>
      </c>
      <c r="I801" s="1" t="n"/>
      <c r="J801" s="6" t="n">
        <v>236.345259</v>
      </c>
      <c r="K801" s="6" t="n">
        <v>228.360815</v>
      </c>
      <c r="L801" s="1" t="n"/>
      <c r="M801" s="1" t="n"/>
      <c r="N801" s="1" t="n"/>
    </row>
    <row r="802">
      <c r="A802" s="1" t="inlineStr">
        <is>
          <t>43728071182284</t>
        </is>
      </c>
      <c r="B802" s="1" t="inlineStr">
        <is>
          <t>ANILLO SERPENTI LISO SILVER</t>
        </is>
      </c>
      <c r="C802" s="1" t="n"/>
      <c r="D802" s="1" t="n"/>
      <c r="E802" s="1" t="n"/>
      <c r="F802" s="1" t="n"/>
      <c r="G802" s="1" t="n"/>
      <c r="H802" s="1" t="n"/>
      <c r="I802" s="1" t="n"/>
      <c r="J802" s="6" t="n">
        <v>182.6304274</v>
      </c>
      <c r="K802" s="6" t="n">
        <v>176.4606298</v>
      </c>
      <c r="L802" s="6" t="n">
        <v>180.2071058</v>
      </c>
      <c r="M802" s="1" t="n"/>
      <c r="N802" s="1" t="n"/>
    </row>
    <row r="803">
      <c r="A803" s="1" t="inlineStr">
        <is>
          <t>43728071296588</t>
        </is>
      </c>
      <c r="B803" s="1" t="inlineStr">
        <is>
          <t>ANILLO SERPENTI LISO GOLD</t>
        </is>
      </c>
      <c r="C803" s="1" t="n"/>
      <c r="D803" s="1" t="n"/>
      <c r="E803" s="6" t="n">
        <v>180.7925828</v>
      </c>
      <c r="F803" s="1" t="n"/>
      <c r="G803" s="1" t="n"/>
      <c r="H803" s="1" t="n"/>
      <c r="I803" s="1" t="n"/>
      <c r="J803" s="1" t="n"/>
      <c r="K803" s="6" t="n">
        <v>176.4606298</v>
      </c>
      <c r="L803" s="1" t="n"/>
      <c r="M803" s="1" t="n"/>
      <c r="N803" s="1" t="n"/>
    </row>
    <row r="804">
      <c r="A804" s="1" t="inlineStr">
        <is>
          <t>43728071397708</t>
        </is>
      </c>
      <c r="B804" s="1" t="inlineStr">
        <is>
          <t>TARJETERO YSL RED</t>
        </is>
      </c>
      <c r="C804" s="1" t="n"/>
      <c r="D804" s="1" t="n"/>
      <c r="E804" s="6" t="n">
        <v>524.0364718</v>
      </c>
      <c r="F804" s="1" t="n"/>
      <c r="G804" s="1" t="n"/>
      <c r="H804" s="6" t="n">
        <v>531.7485535</v>
      </c>
      <c r="I804" s="1" t="n"/>
      <c r="J804" s="1" t="n"/>
      <c r="K804" s="6" t="n">
        <v>519.0018523</v>
      </c>
      <c r="L804" s="1" t="n"/>
      <c r="M804" s="1" t="n"/>
      <c r="N804" s="1" t="n"/>
    </row>
    <row r="805">
      <c r="A805" s="1" t="inlineStr">
        <is>
          <t>43728071530988</t>
        </is>
      </c>
      <c r="B805" s="1" t="inlineStr">
        <is>
          <t>BOLSO YSL CHAROL BLACK</t>
        </is>
      </c>
      <c r="C805" s="1" t="n"/>
      <c r="D805" s="1" t="n"/>
      <c r="E805" s="6" t="n">
        <v>1414.898474</v>
      </c>
      <c r="F805" s="1" t="n"/>
      <c r="G805" s="1" t="n"/>
      <c r="H805" s="1" t="n"/>
      <c r="I805" s="1" t="n"/>
      <c r="J805" s="1" t="n"/>
      <c r="K805" s="1" t="n"/>
      <c r="L805" s="6" t="n">
        <v>1457.557474</v>
      </c>
      <c r="M805" s="1" t="n"/>
      <c r="N805" s="1" t="n"/>
    </row>
    <row r="806">
      <c r="A806" s="1" t="inlineStr">
        <is>
          <t>43728071667212</t>
        </is>
      </c>
      <c r="B806" s="1" t="inlineStr">
        <is>
          <t>CINTO H KELLY BLACK</t>
        </is>
      </c>
      <c r="C806" s="1" t="n"/>
      <c r="D806" s="1" t="n"/>
      <c r="E806" s="1" t="n"/>
      <c r="F806" s="1" t="n"/>
      <c r="G806" s="1" t="n"/>
      <c r="H806" s="6" t="n">
        <v>154.2070805</v>
      </c>
      <c r="I806" s="6" t="n">
        <v>156.8515182</v>
      </c>
      <c r="J806" s="6" t="n">
        <v>174.5732027</v>
      </c>
      <c r="K806" s="6" t="n">
        <v>168.675602</v>
      </c>
      <c r="L806" s="1" t="n"/>
      <c r="M806" s="1" t="n"/>
      <c r="N806" s="1" t="n"/>
    </row>
    <row r="807">
      <c r="A807" s="1" t="inlineStr">
        <is>
          <t>43728071764972</t>
        </is>
      </c>
      <c r="B807" s="1" t="inlineStr">
        <is>
          <t>CINTO H KELLY BROWN</t>
        </is>
      </c>
      <c r="C807" s="1" t="n"/>
      <c r="D807" s="1" t="n"/>
      <c r="E807" s="1" t="n"/>
      <c r="F807" s="1" t="n"/>
      <c r="G807" s="1" t="n"/>
      <c r="H807" s="1" t="n"/>
      <c r="I807" s="6" t="n">
        <v>156.8515182</v>
      </c>
      <c r="J807" s="6" t="n">
        <v>174.5732027</v>
      </c>
      <c r="K807" s="6" t="n">
        <v>168.675602</v>
      </c>
      <c r="L807" s="6" t="n">
        <v>172.2567924</v>
      </c>
      <c r="M807" s="1" t="n"/>
      <c r="N807" s="1" t="n"/>
    </row>
    <row r="808">
      <c r="A808" s="1" t="inlineStr">
        <is>
          <t>43728071845836</t>
        </is>
      </c>
      <c r="B808" s="1" t="inlineStr">
        <is>
          <t>BOLSO C AVA TRIOMPHE BROWN</t>
        </is>
      </c>
      <c r="C808" s="1" t="n"/>
      <c r="D808" s="1" t="n"/>
      <c r="E808" s="1" t="n"/>
      <c r="F808" s="1" t="n"/>
      <c r="G808" s="1" t="n"/>
      <c r="H808" s="1" t="n"/>
      <c r="I808" s="1" t="n"/>
      <c r="J808" s="6" t="n">
        <v>1235.441127</v>
      </c>
      <c r="K808" s="1" t="n"/>
      <c r="L808" s="1" t="n"/>
      <c r="M808" s="1" t="n"/>
      <c r="N808" s="1" t="n"/>
    </row>
    <row r="809">
      <c r="A809" s="1" t="inlineStr">
        <is>
          <t>43728071990540</t>
        </is>
      </c>
      <c r="B809" s="1" t="inlineStr">
        <is>
          <t>BOLSO LW BLACK</t>
        </is>
      </c>
      <c r="C809" s="1" t="n"/>
      <c r="D809" s="1" t="n"/>
      <c r="E809" s="1" t="n"/>
      <c r="F809" s="1" t="n"/>
      <c r="G809" s="1" t="n"/>
      <c r="H809" s="6" t="n">
        <v>1967.469648</v>
      </c>
      <c r="I809" s="6" t="n">
        <v>2001.209025</v>
      </c>
      <c r="J809" s="1" t="n"/>
      <c r="K809" s="1" t="n"/>
      <c r="L809" s="1" t="n"/>
      <c r="M809" s="1" t="n"/>
      <c r="N809" s="1" t="n"/>
    </row>
    <row r="810">
      <c r="A810" s="1" t="inlineStr">
        <is>
          <t>43728081992652</t>
        </is>
      </c>
      <c r="B810" s="1" t="inlineStr">
        <is>
          <t>PULSERA CON PASADOR Y PLACA ESTILO CORAZON SILVER</t>
        </is>
      </c>
      <c r="C810" s="1" t="n"/>
      <c r="D810" s="6" t="n">
        <v>147.6782004</v>
      </c>
      <c r="E810" s="1" t="n"/>
      <c r="F810" s="6" t="n">
        <v>147.4234891</v>
      </c>
      <c r="G810" s="6" t="n">
        <v>146.4201201</v>
      </c>
      <c r="H810" s="1" t="n"/>
      <c r="I810" s="6" t="n">
        <v>147.4794725</v>
      </c>
      <c r="J810" s="1" t="n"/>
      <c r="K810" s="1" t="n"/>
      <c r="L810" s="6" t="n">
        <v>147.7277815</v>
      </c>
      <c r="M810" s="1" t="n"/>
      <c r="N810" s="1" t="n"/>
    </row>
    <row r="811">
      <c r="A811" s="1" t="inlineStr">
        <is>
          <t>43728082064620</t>
        </is>
      </c>
      <c r="B811" s="1" t="inlineStr">
        <is>
          <t>BOLSO LW CHERRY</t>
        </is>
      </c>
      <c r="C811" s="1" t="n"/>
      <c r="D811" s="1" t="n"/>
      <c r="E811" s="6" t="n">
        <v>1965.136769</v>
      </c>
      <c r="F811" s="1" t="n"/>
      <c r="G811" s="1" t="n"/>
      <c r="H811" s="6" t="n">
        <v>1967.469648</v>
      </c>
      <c r="I811" s="6" t="n">
        <v>2001.209025</v>
      </c>
      <c r="J811" s="1" t="n"/>
      <c r="K811" s="1" t="n"/>
      <c r="L811" s="1" t="n"/>
      <c r="M811" s="1" t="n"/>
      <c r="N811" s="1" t="n"/>
    </row>
    <row r="812">
      <c r="A812" s="1" t="inlineStr">
        <is>
          <t>43728082231852</t>
        </is>
      </c>
      <c r="B812" s="1" t="inlineStr">
        <is>
          <t>COLLAR C D’AMOUR SILVER</t>
        </is>
      </c>
      <c r="C812" s="1" t="n"/>
      <c r="D812" s="1" t="n"/>
      <c r="E812" s="1" t="n"/>
      <c r="F812" s="6" t="n">
        <v>62.97089035</v>
      </c>
      <c r="G812" s="6" t="n">
        <v>62.54230843</v>
      </c>
      <c r="H812" s="1" t="n"/>
      <c r="I812" s="6" t="n">
        <v>62.99480324</v>
      </c>
      <c r="J812" s="1" t="n"/>
      <c r="K812" s="1" t="n"/>
      <c r="L812" s="6" t="n">
        <v>62.75799293</v>
      </c>
      <c r="M812" s="1" t="n"/>
      <c r="N812" s="1" t="n"/>
    </row>
    <row r="813">
      <c r="A813" s="1" t="inlineStr">
        <is>
          <t>43728082327916</t>
        </is>
      </c>
      <c r="B813" s="1" t="inlineStr">
        <is>
          <t>COLLAR C D’AMOUR GOLD</t>
        </is>
      </c>
      <c r="C813" s="1" t="n"/>
      <c r="D813" s="1" t="n"/>
      <c r="E813" s="1" t="n"/>
      <c r="F813" s="6" t="n">
        <v>62.97089035</v>
      </c>
      <c r="G813" s="6" t="n">
        <v>62.54230843</v>
      </c>
      <c r="H813" s="6" t="n">
        <v>63.3892492</v>
      </c>
      <c r="I813" s="1" t="n"/>
      <c r="J813" s="6" t="n">
        <v>63.69864968</v>
      </c>
      <c r="K813" s="6" t="n">
        <v>62.88410603</v>
      </c>
      <c r="L813" s="6" t="n">
        <v>63.44374038</v>
      </c>
      <c r="M813" s="6" t="n">
        <v>62.83367331</v>
      </c>
      <c r="N813" s="1" t="n"/>
    </row>
    <row r="814">
      <c r="A814" s="1" t="inlineStr">
        <is>
          <t>43728082412172</t>
        </is>
      </c>
      <c r="B814" s="1" t="inlineStr">
        <is>
          <t>COLLAR C D’AMOUR ROSE GOLD</t>
        </is>
      </c>
      <c r="C814" s="1" t="n"/>
      <c r="D814" s="6" t="n">
        <v>63.55445648</v>
      </c>
      <c r="E814" s="1" t="n"/>
      <c r="F814" s="1" t="n"/>
      <c r="G814" s="1" t="n"/>
      <c r="H814" s="6" t="n">
        <v>63.3892492</v>
      </c>
      <c r="I814" s="6" t="n">
        <v>62.99480324</v>
      </c>
      <c r="J814" s="1" t="n"/>
      <c r="K814" s="1" t="n"/>
      <c r="L814" s="1" t="n"/>
      <c r="M814" s="6" t="n">
        <v>62.83367331</v>
      </c>
      <c r="N814" s="1" t="n"/>
    </row>
    <row r="815">
      <c r="A815" s="1" t="inlineStr">
        <is>
          <t>43728083210732</t>
        </is>
      </c>
      <c r="B815" s="1" t="inlineStr">
        <is>
          <t>BOLSO CC 22</t>
        </is>
      </c>
      <c r="C815" s="1" t="n"/>
      <c r="D815" s="6" t="n">
        <v>1255.89223</v>
      </c>
      <c r="E815" s="1" t="n"/>
      <c r="F815" s="1" t="n"/>
      <c r="G815" s="1" t="n"/>
      <c r="H815" s="6" t="n">
        <v>1301.579968</v>
      </c>
      <c r="I815" s="1" t="n"/>
      <c r="J815" s="6" t="n">
        <v>1289.102481</v>
      </c>
      <c r="K815" s="1" t="n"/>
      <c r="L815" s="1" t="n"/>
      <c r="M815" s="1" t="n"/>
      <c r="N815" s="1" t="n"/>
    </row>
    <row r="816">
      <c r="A816" s="1" t="inlineStr">
        <is>
          <t>43728083428428</t>
        </is>
      </c>
      <c r="B816" s="1" t="inlineStr">
        <is>
          <t>BOLSO CD GROOVE 20</t>
        </is>
      </c>
      <c r="C816" s="1" t="n"/>
      <c r="D816" s="6" t="n">
        <v>1381.481453</v>
      </c>
      <c r="E816" s="1" t="n"/>
      <c r="F816" s="1" t="n"/>
      <c r="G816" s="1" t="n"/>
      <c r="H816" s="6" t="n">
        <v>1431.737965</v>
      </c>
      <c r="I816" s="1" t="n"/>
      <c r="J816" s="6" t="n">
        <v>1445.233665</v>
      </c>
      <c r="K816" s="1" t="n"/>
      <c r="L816" s="1" t="n"/>
      <c r="M816" s="1" t="n"/>
      <c r="N816" s="1" t="n"/>
    </row>
    <row r="817">
      <c r="A817" s="1" t="inlineStr">
        <is>
          <t>43728083615436</t>
        </is>
      </c>
      <c r="B817" s="1" t="inlineStr">
        <is>
          <t>LENTES CD SIGNATURE SI21</t>
        </is>
      </c>
      <c r="C817" s="1" t="n"/>
      <c r="D817" s="1" t="n"/>
      <c r="E817" s="1" t="n"/>
      <c r="F817" s="1" t="n"/>
      <c r="G817" s="1" t="n"/>
      <c r="H817" s="6" t="n">
        <v>937.1375773</v>
      </c>
      <c r="I817" s="1" t="n"/>
      <c r="J817" s="1" t="n"/>
      <c r="K817" s="1" t="n"/>
      <c r="L817" s="1" t="n"/>
      <c r="M817" s="6" t="n">
        <v>882.4117124000001</v>
      </c>
      <c r="N817" s="1" t="n"/>
    </row>
    <row r="818">
      <c r="A818" s="1" t="inlineStr">
        <is>
          <t>43728083774252</t>
        </is>
      </c>
      <c r="B818" s="1" t="inlineStr">
        <is>
          <t>BOLSO DE VIAJE  LV KEEPALL 45</t>
        </is>
      </c>
      <c r="C818" s="1" t="n"/>
      <c r="D818" s="1" t="n"/>
      <c r="E818" s="1" t="n"/>
      <c r="F818" s="1" t="n"/>
      <c r="G818" s="1" t="n"/>
      <c r="H818" s="6" t="n">
        <v>1561.895962</v>
      </c>
      <c r="I818" s="1" t="n"/>
      <c r="J818" s="6" t="n">
        <v>1546.922977</v>
      </c>
      <c r="K818" s="1" t="n"/>
      <c r="L818" s="1" t="n"/>
      <c r="M818" s="1" t="n"/>
      <c r="N818" s="1" t="n"/>
    </row>
    <row r="819">
      <c r="A819" s="1" t="inlineStr">
        <is>
          <t>43728083875724</t>
        </is>
      </c>
      <c r="B819" s="1" t="inlineStr">
        <is>
          <t>BOLSO MISS D BLACK</t>
        </is>
      </c>
      <c r="C819" s="1" t="n"/>
      <c r="D819" s="1" t="n"/>
      <c r="E819" s="1" t="n"/>
      <c r="F819" s="1" t="n"/>
      <c r="G819" s="1" t="n"/>
      <c r="H819" s="1" t="n"/>
      <c r="I819" s="1" t="n"/>
      <c r="J819" s="6" t="n">
        <v>1495.358878</v>
      </c>
      <c r="K819" s="1" t="n"/>
      <c r="L819" s="1" t="n"/>
      <c r="M819" s="1" t="n"/>
      <c r="N819" s="1" t="n"/>
    </row>
    <row r="820">
      <c r="A820" s="1" t="inlineStr">
        <is>
          <t>43728084018412</t>
        </is>
      </c>
      <c r="B820" s="1" t="inlineStr">
        <is>
          <t>LENTES MM</t>
        </is>
      </c>
      <c r="C820" s="1" t="n"/>
      <c r="D820" s="1" t="n"/>
      <c r="E820" s="6" t="n">
        <v>1021.87112</v>
      </c>
      <c r="F820" s="1" t="n"/>
      <c r="G820" s="1" t="n"/>
      <c r="H820" s="6" t="n">
        <v>1036.909679</v>
      </c>
      <c r="I820" s="1" t="n"/>
      <c r="J820" s="1" t="n"/>
      <c r="K820" s="1" t="n"/>
      <c r="L820" s="1" t="n"/>
      <c r="M820" s="1" t="n"/>
      <c r="N820" s="1" t="n"/>
    </row>
    <row r="821">
      <c r="A821" s="1" t="inlineStr">
        <is>
          <t>43728084218572</t>
        </is>
      </c>
      <c r="B821" s="1" t="inlineStr">
        <is>
          <t>BOLSO LV DISTRICT BLACK</t>
        </is>
      </c>
      <c r="C821" s="1" t="n"/>
      <c r="D821" s="1" t="n"/>
      <c r="E821" s="6" t="n">
        <v>588.7246974</v>
      </c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</row>
    <row r="822">
      <c r="A822" s="1" t="inlineStr">
        <is>
          <t>43728084530892</t>
        </is>
      </c>
      <c r="B822" s="1" t="inlineStr">
        <is>
          <t>SUÉTER PR MILANO WHITE</t>
        </is>
      </c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6" t="n">
        <v>931.4345853</v>
      </c>
      <c r="N822" s="1" t="n"/>
    </row>
    <row r="823">
      <c r="A823" s="1" t="inlineStr">
        <is>
          <t>43728084634892</t>
        </is>
      </c>
      <c r="B823" s="1" t="inlineStr">
        <is>
          <t>SUETER PR MILANO BLACK</t>
        </is>
      </c>
      <c r="C823" s="1" t="n"/>
      <c r="D823" s="1" t="n"/>
      <c r="E823" s="6" t="n">
        <v>712.4024364000001</v>
      </c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</row>
    <row r="824">
      <c r="A824" s="1" t="inlineStr">
        <is>
          <t>43728084854796</t>
        </is>
      </c>
      <c r="B824" s="1" t="inlineStr">
        <is>
          <t>SUETER YSL</t>
        </is>
      </c>
      <c r="C824" s="1" t="n"/>
      <c r="D824" s="6" t="n">
        <v>954.4780949</v>
      </c>
      <c r="E824" s="6" t="n">
        <v>942.4041536</v>
      </c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</row>
    <row r="825">
      <c r="A825" s="1" t="inlineStr">
        <is>
          <t>43728085170668</t>
        </is>
      </c>
      <c r="B825" s="1" t="inlineStr">
        <is>
          <t>COLLAR ESLABON DOBLE CADENA GOLD</t>
        </is>
      </c>
      <c r="C825" s="1" t="n"/>
      <c r="D825" s="6" t="n">
        <v>246.7551499</v>
      </c>
      <c r="E825" s="1" t="n"/>
      <c r="F825" s="1" t="n"/>
      <c r="G825" s="1" t="n"/>
      <c r="H825" s="6" t="n">
        <v>313.7316465</v>
      </c>
      <c r="I825" s="1" t="n"/>
      <c r="J825" s="6" t="n">
        <v>290.0600906</v>
      </c>
      <c r="K825" s="1" t="n"/>
      <c r="L825" s="6" t="n">
        <v>286.2112858</v>
      </c>
      <c r="M825" s="1" t="n"/>
      <c r="N825" s="1" t="n"/>
    </row>
    <row r="826">
      <c r="A826" s="1" t="inlineStr">
        <is>
          <t>43728085695276</t>
        </is>
      </c>
      <c r="B826" s="1" t="inlineStr">
        <is>
          <t>BOLSO F FENDIGRAPHY BLACK</t>
        </is>
      </c>
      <c r="C826" s="1" t="n"/>
      <c r="D826" s="6" t="n">
        <v>1255.89223</v>
      </c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</row>
    <row r="827">
      <c r="A827" s="1" t="inlineStr">
        <is>
          <t>43728085758636</t>
        </is>
      </c>
      <c r="B827" s="1" t="inlineStr">
        <is>
          <t>BOLSO DE VIAJE GC LOGO</t>
        </is>
      </c>
      <c r="C827" s="1" t="n"/>
      <c r="D827" s="6" t="n">
        <v>1883.838345</v>
      </c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</row>
    <row r="828">
      <c r="A828" s="1" t="inlineStr">
        <is>
          <t>43728085897228</t>
        </is>
      </c>
      <c r="B828" s="1" t="inlineStr">
        <is>
          <t>CARTERA GC OPHIDIA</t>
        </is>
      </c>
      <c r="C828" s="1" t="n"/>
      <c r="D828" s="6" t="n">
        <v>452.1212029</v>
      </c>
      <c r="E828" s="6" t="n">
        <v>446.4019675</v>
      </c>
      <c r="F828" s="1" t="n"/>
      <c r="G828" s="1" t="n"/>
      <c r="H828" s="6" t="n">
        <v>468.5687886</v>
      </c>
      <c r="I828" s="1" t="n"/>
      <c r="J828" s="1" t="n"/>
      <c r="K828" s="6" t="n">
        <v>460.9580101</v>
      </c>
      <c r="L828" s="1" t="n"/>
      <c r="M828" s="1" t="n"/>
      <c r="N828" s="1" t="n"/>
    </row>
    <row r="829">
      <c r="A829" s="1" t="inlineStr">
        <is>
          <t>43728086200460</t>
        </is>
      </c>
      <c r="B829" s="1" t="inlineStr">
        <is>
          <t>CINTO GC MILANO</t>
        </is>
      </c>
      <c r="C829" s="1" t="n"/>
      <c r="D829" s="1" t="n"/>
      <c r="E829" s="1" t="n"/>
      <c r="F829" s="1" t="n"/>
      <c r="G829" s="1" t="n"/>
      <c r="H829" s="1" t="n"/>
      <c r="I829" s="1" t="n"/>
      <c r="J829" s="1" t="n"/>
      <c r="K829" s="6" t="n">
        <v>1152.395025</v>
      </c>
      <c r="L829" s="1" t="n"/>
      <c r="M829" s="1" t="n"/>
      <c r="N829" s="1" t="n"/>
    </row>
    <row r="830">
      <c r="A830" s="1" t="inlineStr">
        <is>
          <t>43728086581452</t>
        </is>
      </c>
      <c r="B830" s="1" t="inlineStr">
        <is>
          <t>BOLSO LV LOCKIT BB</t>
        </is>
      </c>
      <c r="C830" s="1" t="n"/>
      <c r="D830" s="6" t="n">
        <v>1080.067318</v>
      </c>
      <c r="E830" s="6" t="n">
        <v>1066.4047</v>
      </c>
      <c r="F830" s="1" t="n"/>
      <c r="G830" s="1" t="n"/>
      <c r="H830" s="6" t="n">
        <v>1119.358773</v>
      </c>
      <c r="I830" s="1" t="n"/>
      <c r="J830" s="1" t="n"/>
      <c r="K830" s="1" t="n"/>
      <c r="L830" s="1" t="n"/>
      <c r="M830" s="1" t="n"/>
      <c r="N830" s="1" t="n"/>
    </row>
    <row r="831">
      <c r="A831" s="1" t="inlineStr">
        <is>
          <t>43728086795884</t>
        </is>
      </c>
      <c r="B831" s="1" t="inlineStr">
        <is>
          <t>BOLSO GC CHERRY</t>
        </is>
      </c>
      <c r="C831" s="1" t="n"/>
      <c r="D831" s="1" t="n"/>
      <c r="E831" s="1" t="n"/>
      <c r="F831" s="1" t="n"/>
      <c r="G831" s="1" t="n"/>
      <c r="H831" s="6" t="n">
        <v>1457.769565</v>
      </c>
      <c r="I831" s="1" t="n"/>
      <c r="J831" s="6" t="n">
        <v>1443.794778</v>
      </c>
      <c r="K831" s="1" t="n"/>
      <c r="L831" s="1" t="n"/>
      <c r="M831" s="1" t="n"/>
      <c r="N831" s="1" t="n"/>
    </row>
    <row r="832">
      <c r="A832" s="1" t="inlineStr">
        <is>
          <t>43728086947500</t>
        </is>
      </c>
      <c r="B832" s="1" t="inlineStr">
        <is>
          <t>COLLAR SIXTEEN STONE SILVER</t>
        </is>
      </c>
      <c r="C832" s="1" t="n"/>
      <c r="D832" s="1" t="n"/>
      <c r="E832" s="1" t="n"/>
      <c r="F832" s="1" t="n"/>
      <c r="G832" s="1" t="n"/>
      <c r="H832" s="1" t="n"/>
      <c r="I832" s="1" t="n"/>
      <c r="J832" s="1" t="n"/>
      <c r="K832" s="6" t="n">
        <v>126.1888415</v>
      </c>
      <c r="L832" s="1" t="n"/>
      <c r="M832" s="6" t="n">
        <v>126.0876388</v>
      </c>
      <c r="N832" s="1" t="n"/>
    </row>
    <row r="833">
      <c r="A833" s="1" t="inlineStr">
        <is>
          <t>43728087914796</t>
        </is>
      </c>
      <c r="B833" s="1" t="inlineStr">
        <is>
          <t>BOLSO CD 30 MONTAIGNE BLACK</t>
        </is>
      </c>
      <c r="C833" s="1" t="n"/>
      <c r="D833" s="6" t="n">
        <v>1306.127919</v>
      </c>
      <c r="E833" s="1" t="n"/>
      <c r="F833" s="1" t="n"/>
      <c r="G833" s="1" t="n"/>
      <c r="H833" s="1" t="n"/>
      <c r="I833" s="1" t="n"/>
      <c r="J833" s="1" t="n"/>
      <c r="K833" s="1" t="n"/>
      <c r="L833" s="6" t="n">
        <v>1378.240473</v>
      </c>
      <c r="M833" s="1" t="n"/>
      <c r="N833" s="1" t="n"/>
    </row>
    <row r="834">
      <c r="A834" s="1" t="inlineStr">
        <is>
          <t>43728088191436</t>
        </is>
      </c>
      <c r="B834" s="1" t="inlineStr">
        <is>
          <t>BOLSO LADY D CHAROL RED</t>
        </is>
      </c>
      <c r="C834" s="1" t="n"/>
      <c r="D834" s="1" t="n"/>
      <c r="E834" s="1" t="n"/>
      <c r="F834" s="1" t="n"/>
      <c r="G834" s="1" t="n"/>
      <c r="H834" s="1" t="n"/>
      <c r="I834" s="1" t="n"/>
      <c r="J834" s="6" t="n">
        <v>1443.794778</v>
      </c>
      <c r="K834" s="1" t="n"/>
      <c r="L834" s="1" t="n"/>
      <c r="M834" s="1" t="n"/>
      <c r="N834" s="1" t="n"/>
    </row>
    <row r="835">
      <c r="A835" s="1" t="inlineStr">
        <is>
          <t>43728090185228</t>
        </is>
      </c>
      <c r="B835" s="1" t="inlineStr">
        <is>
          <t>LENTES DE SOL MM GLIMPSE BLACK</t>
        </is>
      </c>
      <c r="C835" s="1" t="n"/>
      <c r="D835" s="6" t="n">
        <v>805.7311017</v>
      </c>
      <c r="E835" s="1" t="n"/>
      <c r="F835" s="1" t="n"/>
      <c r="G835" s="1" t="n"/>
      <c r="H835" s="1" t="n"/>
      <c r="I835" s="6" t="n">
        <v>865.3876864</v>
      </c>
      <c r="J835" s="1" t="n"/>
      <c r="K835" s="1" t="n"/>
      <c r="L835" s="6" t="n">
        <v>848.0334393000001</v>
      </c>
      <c r="M835" s="1" t="n"/>
      <c r="N835" s="1" t="n"/>
    </row>
    <row r="836">
      <c r="A836" s="1" t="inlineStr">
        <is>
          <t>43728090715788</t>
        </is>
      </c>
      <c r="B836" s="1" t="inlineStr">
        <is>
          <t>PULSERA LOVE SILVER</t>
        </is>
      </c>
      <c r="C836" s="1" t="n"/>
      <c r="D836" s="1" t="n"/>
      <c r="E836" s="1" t="n"/>
      <c r="F836" s="1" t="n"/>
      <c r="G836" s="1" t="n"/>
      <c r="H836" s="6" t="n">
        <v>95.40188006</v>
      </c>
      <c r="I836" s="6" t="n">
        <v>94.8082323</v>
      </c>
      <c r="J836" s="6" t="n">
        <v>95.86753297</v>
      </c>
      <c r="K836" s="1" t="n"/>
      <c r="L836" s="6" t="n">
        <v>95.4838902</v>
      </c>
      <c r="M836" s="1" t="n"/>
      <c r="N836" s="1" t="n"/>
    </row>
    <row r="837">
      <c r="A837" s="1" t="inlineStr">
        <is>
          <t>43728090848556</t>
        </is>
      </c>
      <c r="B837" s="1" t="inlineStr">
        <is>
          <t>PULSERA LOVE SILVER</t>
        </is>
      </c>
      <c r="C837" s="1" t="n"/>
      <c r="D837" s="1" t="n"/>
      <c r="E837" s="1" t="n"/>
      <c r="F837" s="1" t="n"/>
      <c r="G837" s="1" t="n"/>
      <c r="H837" s="1" t="n"/>
      <c r="I837" s="6" t="n">
        <v>94.8082323</v>
      </c>
      <c r="J837" s="6" t="n">
        <v>95.86753297</v>
      </c>
      <c r="K837" s="1" t="n"/>
      <c r="L837" s="6" t="n">
        <v>94.45182883</v>
      </c>
      <c r="M837" s="6" t="n">
        <v>94.56572907</v>
      </c>
      <c r="N837" s="1" t="n"/>
    </row>
    <row r="838">
      <c r="A838" s="1" t="inlineStr">
        <is>
          <t>43728090981324</t>
        </is>
      </c>
      <c r="B838" s="1" t="inlineStr">
        <is>
          <t>PULSERA LOVE SILVER</t>
        </is>
      </c>
      <c r="C838" s="1" t="n"/>
      <c r="D838" s="1" t="n"/>
      <c r="E838" s="1" t="n"/>
      <c r="F838" s="1" t="n"/>
      <c r="G838" s="1" t="n"/>
      <c r="H838" s="1" t="n"/>
      <c r="I838" s="1" t="n"/>
      <c r="J838" s="6" t="n">
        <v>95.86753297</v>
      </c>
      <c r="K838" s="6" t="n">
        <v>94.64163114999999</v>
      </c>
      <c r="L838" s="1" t="n"/>
      <c r="M838" s="1" t="n"/>
      <c r="N838" s="1" t="n"/>
    </row>
    <row r="839">
      <c r="A839" s="1" t="inlineStr">
        <is>
          <t>43728091014092</t>
        </is>
      </c>
      <c r="B839" s="1" t="inlineStr">
        <is>
          <t>PULSERA LOVE SILVER</t>
        </is>
      </c>
      <c r="C839" s="1" t="n"/>
      <c r="D839" s="1" t="n"/>
      <c r="E839" s="1" t="n"/>
      <c r="F839" s="1" t="n"/>
      <c r="G839" s="6" t="n">
        <v>94.12722005000001</v>
      </c>
      <c r="H839" s="6" t="n">
        <v>95.40188006</v>
      </c>
      <c r="I839" s="6" t="n">
        <v>94.8082323</v>
      </c>
      <c r="J839" s="1" t="n"/>
      <c r="K839" s="6" t="n">
        <v>94.64163114999999</v>
      </c>
      <c r="L839" s="6" t="n">
        <v>94.45182883</v>
      </c>
      <c r="M839" s="1" t="n"/>
      <c r="N839" s="1" t="n"/>
    </row>
    <row r="840">
      <c r="A840" s="1" t="inlineStr">
        <is>
          <t>43728091146860</t>
        </is>
      </c>
      <c r="B840" s="1" t="inlineStr">
        <is>
          <t>PULSERA LOVE SILVER</t>
        </is>
      </c>
      <c r="C840" s="1" t="n"/>
      <c r="D840" s="1" t="n"/>
      <c r="E840" s="1" t="n"/>
      <c r="F840" s="1" t="n"/>
      <c r="G840" s="6" t="n">
        <v>94.12722005000001</v>
      </c>
      <c r="H840" s="6" t="n">
        <v>95.40188006</v>
      </c>
      <c r="I840" s="6" t="n">
        <v>94.8082323</v>
      </c>
      <c r="J840" s="1" t="n"/>
      <c r="K840" s="1" t="n"/>
      <c r="L840" s="6" t="n">
        <v>94.45182883</v>
      </c>
      <c r="M840" s="1" t="n"/>
      <c r="N840" s="1" t="n"/>
    </row>
    <row r="841">
      <c r="A841" s="1" t="inlineStr">
        <is>
          <t>43728091279628</t>
        </is>
      </c>
      <c r="B841" s="1" t="inlineStr">
        <is>
          <t>PULSERA LOVE SILVER</t>
        </is>
      </c>
      <c r="C841" s="1" t="n"/>
      <c r="D841" s="1" t="n"/>
      <c r="E841" s="1" t="n"/>
      <c r="F841" s="1" t="n"/>
      <c r="G841" s="1" t="n"/>
      <c r="H841" s="6" t="n">
        <v>95.40188006</v>
      </c>
      <c r="I841" s="1" t="n"/>
      <c r="J841" s="1" t="n"/>
      <c r="K841" s="6" t="n">
        <v>94.64163114999999</v>
      </c>
      <c r="L841" s="6" t="n">
        <v>95.4838902</v>
      </c>
      <c r="M841" s="6" t="n">
        <v>94.56572907</v>
      </c>
      <c r="N841" s="1" t="n"/>
    </row>
    <row r="842">
      <c r="A842" s="1" t="inlineStr">
        <is>
          <t>43728091372908</t>
        </is>
      </c>
      <c r="B842" s="1" t="inlineStr">
        <is>
          <t>PULSERA TRÉBOL ROSEGOLD RED VF</t>
        </is>
      </c>
      <c r="C842" s="1" t="n"/>
      <c r="D842" s="6" t="n">
        <v>467.6247634</v>
      </c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</row>
    <row r="843">
      <c r="A843" s="1" t="inlineStr">
        <is>
          <t>43728091639180</t>
        </is>
      </c>
      <c r="B843" s="1" t="inlineStr">
        <is>
          <t>CARTERA LV BLUE</t>
        </is>
      </c>
      <c r="C843" s="1" t="n"/>
      <c r="D843" s="1" t="n"/>
      <c r="E843" s="6" t="n">
        <v>364.4486222</v>
      </c>
      <c r="F843" s="1" t="n"/>
      <c r="G843" s="1" t="n"/>
      <c r="H843" s="1" t="n"/>
      <c r="I843" s="1" t="n"/>
      <c r="J843" s="1" t="n"/>
      <c r="K843" s="6" t="n">
        <v>351.5760657</v>
      </c>
      <c r="L843" s="1" t="n"/>
      <c r="M843" s="1" t="n"/>
      <c r="N843" s="1" t="n"/>
    </row>
    <row r="844">
      <c r="A844" s="1" t="inlineStr">
        <is>
          <t>43728091877228</t>
        </is>
      </c>
      <c r="B844" s="1" t="inlineStr">
        <is>
          <t>CARTERA CC BLACK</t>
        </is>
      </c>
      <c r="C844" s="1" t="n"/>
      <c r="D844" s="1" t="n"/>
      <c r="E844" s="6" t="n">
        <v>672.8282256</v>
      </c>
      <c r="F844" s="1" t="n"/>
      <c r="G844" s="1" t="n"/>
      <c r="H844" s="1" t="n"/>
      <c r="I844" s="6" t="n">
        <v>641.3135033999999</v>
      </c>
      <c r="J844" s="1" t="n"/>
      <c r="K844" s="6" t="n">
        <v>649.063506</v>
      </c>
      <c r="L844" s="1" t="n"/>
      <c r="M844" s="1" t="n"/>
      <c r="N844" s="1" t="n"/>
    </row>
    <row r="845">
      <c r="A845" s="1" t="inlineStr">
        <is>
          <t>43728095967788</t>
        </is>
      </c>
      <c r="B845" s="1" t="inlineStr">
        <is>
          <t>PULSERA DOBLE STAR CD</t>
        </is>
      </c>
      <c r="C845" s="6" t="n">
        <v>97.49098815000001</v>
      </c>
      <c r="D845" s="1" t="n"/>
      <c r="E845" s="1" t="n"/>
      <c r="F845" s="1" t="n"/>
      <c r="G845" s="1" t="n"/>
      <c r="H845" s="6" t="n">
        <v>96.17631813</v>
      </c>
      <c r="I845" s="1" t="n"/>
      <c r="J845" s="1" t="n"/>
      <c r="K845" s="1" t="n"/>
      <c r="L845" s="1" t="n"/>
      <c r="M845" s="1" t="n"/>
      <c r="N845" s="1" t="n"/>
    </row>
    <row r="846">
      <c r="A846" s="1" t="inlineStr">
        <is>
          <t>43728096383020</t>
        </is>
      </c>
      <c r="B846" s="1" t="inlineStr">
        <is>
          <t>COLLAR FR GOLD</t>
        </is>
      </c>
      <c r="C846" s="1" t="n"/>
      <c r="D846" s="1" t="n"/>
      <c r="E846" s="1" t="n"/>
      <c r="F846" s="1" t="n"/>
      <c r="G846" s="6" t="n">
        <v>132.2411844</v>
      </c>
      <c r="H846" s="6" t="n">
        <v>146.2828828</v>
      </c>
      <c r="I846" s="1" t="n"/>
      <c r="J846" s="1" t="n"/>
      <c r="K846" s="1" t="n"/>
      <c r="L846" s="6" t="n">
        <v>159.9234162</v>
      </c>
      <c r="M846" s="1" t="n"/>
      <c r="N846" s="1" t="n"/>
    </row>
    <row r="847">
      <c r="A847" s="1" t="inlineStr">
        <is>
          <t>43728096469580</t>
        </is>
      </c>
      <c r="B847" s="1" t="inlineStr">
        <is>
          <t>COLLAR FR SILVER</t>
        </is>
      </c>
      <c r="C847" s="1" t="n"/>
      <c r="D847" s="6" t="n">
        <v>130.1668371</v>
      </c>
      <c r="E847" s="1" t="n"/>
      <c r="F847" s="1" t="n"/>
      <c r="G847" s="1" t="n"/>
      <c r="H847" s="6" t="n">
        <v>146.2828828</v>
      </c>
      <c r="I847" s="1" t="n"/>
      <c r="J847" s="1" t="n"/>
      <c r="K847" s="1" t="n"/>
      <c r="L847" s="1" t="n"/>
      <c r="M847" s="1" t="n"/>
      <c r="N847" s="1" t="n"/>
    </row>
    <row r="848">
      <c r="A848" s="1" t="inlineStr">
        <is>
          <t>43728099701932</t>
        </is>
      </c>
      <c r="B848" s="1" t="inlineStr">
        <is>
          <t>BOLSO JM WHITE</t>
        </is>
      </c>
      <c r="C848" s="1" t="n"/>
      <c r="D848" s="1" t="n"/>
      <c r="E848" s="1" t="n"/>
      <c r="F848" s="1" t="n"/>
      <c r="G848" s="1" t="n"/>
      <c r="H848" s="1" t="n"/>
      <c r="I848" s="1" t="n"/>
      <c r="J848" s="6" t="n">
        <v>1471.51064</v>
      </c>
      <c r="K848" s="1" t="n"/>
      <c r="L848" s="1" t="n"/>
      <c r="M848" s="1" t="n"/>
      <c r="N848" s="1" t="n"/>
    </row>
    <row r="849">
      <c r="A849" s="1" t="inlineStr">
        <is>
          <t>43728112129132</t>
        </is>
      </c>
      <c r="B849" s="1" t="inlineStr">
        <is>
          <t>ANILLO P SHINNY FLOWER</t>
        </is>
      </c>
      <c r="C849" s="1" t="n"/>
      <c r="D849" s="1" t="n"/>
      <c r="E849" s="6" t="n">
        <v>68.12474133000001</v>
      </c>
      <c r="F849" s="1" t="n"/>
      <c r="G849" s="1" t="n"/>
      <c r="H849" s="1" t="n"/>
      <c r="I849" s="1" t="n"/>
      <c r="J849" s="6" t="n">
        <v>69.82928106</v>
      </c>
      <c r="K849" s="1" t="n"/>
      <c r="L849" s="1" t="n"/>
      <c r="M849" s="1" t="n"/>
      <c r="N849" s="1" t="n"/>
    </row>
    <row r="850">
      <c r="A850" s="1" t="inlineStr">
        <is>
          <t>43728112856684</t>
        </is>
      </c>
      <c r="B850" s="1" t="inlineStr">
        <is>
          <t>ANILLO P STARS</t>
        </is>
      </c>
      <c r="C850" s="1" t="n"/>
      <c r="D850" s="1" t="n"/>
      <c r="E850" s="1" t="n"/>
      <c r="F850" s="1" t="n"/>
      <c r="G850" s="1" t="n"/>
      <c r="H850" s="1" t="n"/>
      <c r="I850" s="1" t="n"/>
      <c r="J850" s="6" t="n">
        <v>45.65760685</v>
      </c>
      <c r="K850" s="1" t="n"/>
      <c r="L850" s="1" t="n"/>
      <c r="M850" s="1" t="n"/>
      <c r="N850" s="1" t="n"/>
    </row>
    <row r="851">
      <c r="A851" s="1" t="inlineStr">
        <is>
          <t>43728113631628</t>
        </is>
      </c>
      <c r="B851" s="1" t="inlineStr">
        <is>
          <t>ARETES LV LOGO ROUND GOLD</t>
        </is>
      </c>
      <c r="C851" s="1" t="n"/>
      <c r="D851" s="1" t="n"/>
      <c r="E851" s="1" t="n"/>
      <c r="F851" s="1" t="n"/>
      <c r="G851" s="1" t="n"/>
      <c r="H851" s="1" t="n"/>
      <c r="I851" s="1" t="n"/>
      <c r="J851" s="6" t="n">
        <v>102.05818</v>
      </c>
      <c r="K851" s="6" t="n">
        <v>98.61035194</v>
      </c>
      <c r="L851" s="1" t="n"/>
      <c r="M851" s="1" t="n"/>
      <c r="N851" s="1" t="n"/>
    </row>
    <row r="852">
      <c r="A852" s="1" t="inlineStr">
        <is>
          <t>43728116060268</t>
        </is>
      </c>
      <c r="B852" s="1" t="inlineStr">
        <is>
          <t>ANILLO SIXTEEN STONE SILVER</t>
        </is>
      </c>
      <c r="C852" s="1" t="n"/>
      <c r="D852" s="1" t="n"/>
      <c r="E852" s="1" t="n"/>
      <c r="F852" s="1" t="n"/>
      <c r="G852" s="1" t="n"/>
      <c r="H852" s="1" t="n"/>
      <c r="I852" s="1" t="n"/>
      <c r="J852" s="6" t="n">
        <v>127.8233773</v>
      </c>
      <c r="K852" s="1" t="n"/>
      <c r="L852" s="1" t="n"/>
      <c r="M852" s="1" t="n"/>
      <c r="N852" s="1" t="n"/>
    </row>
    <row r="853">
      <c r="A853" s="1" t="inlineStr">
        <is>
          <t>43728116293036</t>
        </is>
      </c>
      <c r="B853" s="1" t="inlineStr">
        <is>
          <t>ANILLO SIXTEEN STONE SILVER</t>
        </is>
      </c>
      <c r="C853" s="1" t="n"/>
      <c r="D853" s="1" t="n"/>
      <c r="E853" s="1" t="n"/>
      <c r="F853" s="1" t="n"/>
      <c r="G853" s="1" t="n"/>
      <c r="H853" s="1" t="n"/>
      <c r="I853" s="1" t="n"/>
      <c r="J853" s="6" t="n">
        <v>127.8233773</v>
      </c>
      <c r="K853" s="1" t="n"/>
      <c r="L853" s="1" t="n"/>
      <c r="M853" s="1" t="n"/>
      <c r="N853" s="1" t="n"/>
    </row>
    <row r="854">
      <c r="A854" s="1" t="inlineStr">
        <is>
          <t>43728117034540</t>
        </is>
      </c>
      <c r="B854" s="1" t="inlineStr">
        <is>
          <t>TARJETERO YSL GOLD</t>
        </is>
      </c>
      <c r="C854" s="1" t="n"/>
      <c r="D854" s="6" t="n">
        <v>326.5319799</v>
      </c>
      <c r="E854" s="1" t="n"/>
      <c r="F854" s="1" t="n"/>
      <c r="G854" s="1" t="n"/>
      <c r="H854" s="1" t="n"/>
      <c r="I854" s="1" t="n"/>
      <c r="J854" s="6" t="n">
        <v>335.166645</v>
      </c>
      <c r="K854" s="6" t="n">
        <v>332.9141184</v>
      </c>
      <c r="L854" s="1" t="n"/>
      <c r="M854" s="6" t="n">
        <v>318.6486739</v>
      </c>
      <c r="N854" s="1" t="n"/>
    </row>
    <row r="855">
      <c r="A855" s="1" t="inlineStr">
        <is>
          <t>43728133191212</t>
        </is>
      </c>
      <c r="B855" s="1" t="inlineStr">
        <is>
          <t>COLLAR TREBOL SILVER</t>
        </is>
      </c>
      <c r="C855" s="1" t="n"/>
      <c r="D855" s="6" t="n">
        <v>212.5567106</v>
      </c>
      <c r="E855" s="1" t="n"/>
      <c r="F855" s="1" t="n"/>
      <c r="G855" s="6" t="n">
        <v>209.1716001</v>
      </c>
      <c r="H855" s="6" t="n">
        <v>84.80167117000001</v>
      </c>
      <c r="I855" s="1" t="n"/>
      <c r="J855" s="1" t="n"/>
      <c r="K855" s="1" t="n"/>
      <c r="L855" s="6" t="n">
        <v>84.87456907000001</v>
      </c>
      <c r="M855" s="1" t="n"/>
      <c r="N855" s="1" t="n"/>
    </row>
    <row r="856">
      <c r="A856" s="1" t="inlineStr">
        <is>
          <t>43728135084716</t>
        </is>
      </c>
      <c r="B856" s="1" t="inlineStr">
        <is>
          <t>COLLAR YSL GOLD (NECKLACE)</t>
        </is>
      </c>
      <c r="C856" s="1" t="n"/>
      <c r="D856" s="1" t="n"/>
      <c r="E856" s="1" t="n"/>
      <c r="F856" s="1" t="n"/>
      <c r="G856" s="6" t="n">
        <v>132.2411844</v>
      </c>
      <c r="H856" s="1" t="n"/>
      <c r="I856" s="1" t="n"/>
      <c r="J856" s="1" t="n"/>
      <c r="K856" s="1" t="n"/>
      <c r="L856" s="6" t="n">
        <v>152.6431393</v>
      </c>
      <c r="M856" s="1" t="n"/>
      <c r="N856" s="1" t="n"/>
    </row>
    <row r="857">
      <c r="A857" s="1" t="inlineStr">
        <is>
          <t>43728135385740</t>
        </is>
      </c>
      <c r="B857" s="1" t="inlineStr">
        <is>
          <t>PULSERA TRÉBOL GOLD-GREEN VF</t>
        </is>
      </c>
      <c r="C857" s="1" t="n"/>
      <c r="D857" s="1" t="n"/>
      <c r="E857" s="1" t="n"/>
      <c r="F857" s="1" t="n"/>
      <c r="G857" s="1" t="n"/>
      <c r="H857" s="1" t="n"/>
      <c r="I857" s="6" t="n">
        <v>147.4794725</v>
      </c>
      <c r="J857" s="1" t="n"/>
      <c r="K857" s="6" t="n">
        <v>147.2203151</v>
      </c>
      <c r="L857" s="6" t="n">
        <v>146.9250671</v>
      </c>
      <c r="M857" s="6" t="n">
        <v>147.1022452</v>
      </c>
      <c r="N857" s="1" t="n"/>
    </row>
    <row r="858">
      <c r="A858" s="1" t="inlineStr">
        <is>
          <t>43728135714860</t>
        </is>
      </c>
      <c r="B858" s="1" t="inlineStr">
        <is>
          <t>BOLSO YSL CHAROL CROCODILE</t>
        </is>
      </c>
      <c r="C858" s="1" t="n"/>
      <c r="D858" s="1" t="n"/>
      <c r="E858" s="1" t="n"/>
      <c r="F858" s="1" t="n"/>
      <c r="G858" s="1" t="n"/>
      <c r="H858" s="1" t="n"/>
      <c r="I858" s="6" t="n">
        <v>1108.777973</v>
      </c>
      <c r="J858" s="1" t="n"/>
      <c r="K858" s="1" t="n"/>
      <c r="L858" s="6" t="n">
        <v>1086.542844</v>
      </c>
      <c r="M858" s="1" t="n"/>
      <c r="N858" s="1" t="n"/>
    </row>
    <row r="859">
      <c r="A859" s="1" t="inlineStr">
        <is>
          <t>43728136587308</t>
        </is>
      </c>
      <c r="B859" s="1" t="inlineStr">
        <is>
          <t>BOLSO DE VIAJE LV BLACK</t>
        </is>
      </c>
      <c r="C859" s="1" t="n"/>
      <c r="D859" s="6" t="n">
        <v>1381.481453</v>
      </c>
      <c r="E859" s="1" t="n"/>
      <c r="F859" s="1" t="n"/>
      <c r="G859" s="1" t="n"/>
      <c r="H859" s="1" t="n"/>
      <c r="I859" s="1" t="n"/>
      <c r="J859" s="6" t="n">
        <v>1418.012729</v>
      </c>
      <c r="K859" s="6" t="n">
        <v>1408.482808</v>
      </c>
      <c r="L859" s="1" t="n"/>
      <c r="M859" s="1" t="n"/>
      <c r="N859" s="1" t="n"/>
    </row>
    <row r="860">
      <c r="A860" s="1" t="inlineStr">
        <is>
          <t>43792107834124</t>
        </is>
      </c>
      <c r="B860" s="1" t="inlineStr">
        <is>
          <t>CINTO CD REVOLUTION</t>
        </is>
      </c>
      <c r="C860" s="1" t="n"/>
      <c r="D860" s="1" t="n"/>
      <c r="E860" s="1" t="n"/>
      <c r="F860" s="1" t="n"/>
      <c r="G860" s="1" t="n"/>
      <c r="H860" s="6" t="n">
        <v>1171.421972</v>
      </c>
      <c r="I860" s="1" t="n"/>
      <c r="J860" s="1" t="n"/>
      <c r="K860" s="1" t="n"/>
      <c r="L860" s="1" t="n"/>
      <c r="M860" s="6" t="n">
        <v>1103.01464</v>
      </c>
      <c r="N860" s="1" t="n"/>
    </row>
    <row r="861">
      <c r="A861" s="1" t="inlineStr">
        <is>
          <t>43794531550861</t>
        </is>
      </c>
      <c r="B861" s="1" t="inlineStr">
        <is>
          <t>LENTES CD PACIFIC R1</t>
        </is>
      </c>
      <c r="C861" s="1" t="n"/>
      <c r="D861" s="1" t="n"/>
      <c r="E861" s="1" t="n"/>
      <c r="F861" s="1" t="n"/>
      <c r="G861" s="1" t="n"/>
      <c r="H861" s="1" t="n"/>
      <c r="I861" s="1" t="n"/>
      <c r="J861" s="6" t="n">
        <v>840.8632231</v>
      </c>
      <c r="K861" s="6" t="n">
        <v>819.4809068</v>
      </c>
      <c r="L861" s="1" t="n"/>
      <c r="M861" s="6" t="n">
        <v>784.3659666</v>
      </c>
      <c r="N861" s="1" t="n"/>
    </row>
    <row r="862">
      <c r="A862" s="1" t="inlineStr">
        <is>
          <t>43794531982605</t>
        </is>
      </c>
      <c r="B862" s="1" t="inlineStr">
        <is>
          <t>CARTERA PR LOGO TRIANGULAR</t>
        </is>
      </c>
      <c r="C862" s="1" t="n"/>
      <c r="D862" s="1" t="n"/>
      <c r="E862" s="1" t="n"/>
      <c r="F862" s="1" t="n"/>
      <c r="G862" s="1" t="n"/>
      <c r="H862" s="1" t="n"/>
      <c r="I862" s="1" t="n"/>
      <c r="J862" s="6" t="n">
        <v>604.3704416</v>
      </c>
      <c r="K862" s="1" t="n"/>
      <c r="L862" s="6" t="n">
        <v>609.6063632</v>
      </c>
      <c r="M862" s="1" t="n"/>
      <c r="N862" s="1" t="n"/>
    </row>
    <row r="863">
      <c r="A863" s="1" t="inlineStr">
        <is>
          <t>43794532275885</t>
        </is>
      </c>
      <c r="B863" s="1" t="inlineStr">
        <is>
          <t>CARTERA MM NAPA BLACK</t>
        </is>
      </c>
      <c r="C863" s="1" t="n"/>
      <c r="D863" s="1" t="n"/>
      <c r="E863" s="1" t="n"/>
      <c r="F863" s="1" t="n"/>
      <c r="G863" s="1" t="n"/>
      <c r="H863" s="1" t="n"/>
      <c r="I863" s="1" t="n"/>
      <c r="J863" s="6" t="n">
        <v>604.3704416</v>
      </c>
      <c r="K863" s="1" t="n"/>
      <c r="L863" s="6" t="n">
        <v>609.6063632</v>
      </c>
      <c r="M863" s="1" t="n"/>
      <c r="N863" s="1" t="n"/>
    </row>
    <row r="864">
      <c r="A864" s="1" t="inlineStr">
        <is>
          <t>438973010904</t>
        </is>
      </c>
      <c r="B864" s="1" t="inlineStr">
        <is>
          <t>BOLSA CC Nº25 YELLOW</t>
        </is>
      </c>
      <c r="C864" s="1" t="n"/>
      <c r="D864" s="1" t="n"/>
      <c r="E864" s="1" t="n"/>
      <c r="F864" s="1" t="n"/>
      <c r="G864" s="1" t="n"/>
      <c r="H864" s="1" t="n"/>
      <c r="I864" s="1" t="n"/>
      <c r="J864" s="6" t="n">
        <v>1745.732027</v>
      </c>
      <c r="K864" s="1" t="n"/>
      <c r="L864" s="1" t="n"/>
      <c r="M864" s="1" t="n"/>
      <c r="N864" s="1" t="n"/>
    </row>
    <row r="865">
      <c r="A865" s="1" t="inlineStr">
        <is>
          <t>43897301090413</t>
        </is>
      </c>
      <c r="B865" s="1" t="inlineStr">
        <is>
          <t>BOLSA CC Nº25 YELLOW</t>
        </is>
      </c>
      <c r="C865" s="1" t="n"/>
      <c r="D865" s="1" t="n"/>
      <c r="E865" s="1" t="n"/>
      <c r="F865" s="1" t="n"/>
      <c r="G865" s="1" t="n"/>
      <c r="H865" s="6" t="n">
        <v>1675.007943</v>
      </c>
      <c r="I865" s="1" t="n"/>
      <c r="J865" s="1" t="n"/>
      <c r="K865" s="1" t="n"/>
      <c r="L865" s="6" t="n">
        <v>1722.567924</v>
      </c>
      <c r="M865" s="1" t="n"/>
      <c r="N865" s="1" t="n"/>
    </row>
    <row r="866">
      <c r="A866" s="1" t="inlineStr">
        <is>
          <t>43897301164429</t>
        </is>
      </c>
      <c r="B866" s="1" t="inlineStr">
        <is>
          <t>BOLSA CC Nº25 BABY BLUE</t>
        </is>
      </c>
      <c r="C866" s="1" t="n"/>
      <c r="D866" s="1" t="n"/>
      <c r="E866" s="1" t="n"/>
      <c r="F866" s="1" t="n"/>
      <c r="G866" s="1" t="n"/>
      <c r="H866" s="6" t="n">
        <v>1675.007943</v>
      </c>
      <c r="I866" s="1" t="n"/>
      <c r="J866" s="6" t="n">
        <v>1745.732027</v>
      </c>
      <c r="K866" s="6" t="n">
        <v>1686.75602</v>
      </c>
      <c r="L866" s="1" t="n"/>
      <c r="M866" s="1" t="n"/>
      <c r="N866" s="1" t="n"/>
    </row>
    <row r="867">
      <c r="A867" s="1" t="inlineStr">
        <is>
          <t>43897301288173</t>
        </is>
      </c>
      <c r="B867" s="1" t="inlineStr">
        <is>
          <t>BOLSA CC Nº25 WHITE</t>
        </is>
      </c>
      <c r="C867" s="1" t="n"/>
      <c r="D867" s="1" t="n"/>
      <c r="E867" s="1" t="n"/>
      <c r="F867" s="1" t="n"/>
      <c r="G867" s="1" t="n"/>
      <c r="H867" s="6" t="n">
        <v>1675.007943</v>
      </c>
      <c r="I867" s="1" t="n"/>
      <c r="J867" s="1" t="n"/>
      <c r="K867" s="6" t="n">
        <v>1686.75602</v>
      </c>
      <c r="L867" s="1" t="n"/>
      <c r="M867" s="1" t="n"/>
      <c r="N867" s="1" t="n"/>
    </row>
    <row r="868">
      <c r="A868" s="1" t="inlineStr">
        <is>
          <t>43986811051937</t>
        </is>
      </c>
      <c r="B868" s="1" t="inlineStr">
        <is>
          <t>COLLAR CORAZÓN GOLD</t>
        </is>
      </c>
      <c r="C868" s="1" t="n"/>
      <c r="D868" s="1" t="n"/>
      <c r="E868" s="6" t="n">
        <v>223.2009837</v>
      </c>
      <c r="F868" s="1" t="n"/>
      <c r="G868" s="1" t="n"/>
      <c r="H868" s="6" t="n">
        <v>234.2843943</v>
      </c>
      <c r="I868" s="1" t="n"/>
      <c r="J868" s="1" t="n"/>
      <c r="K868" s="1" t="n"/>
      <c r="L868" s="1" t="n"/>
      <c r="M868" s="1" t="n"/>
      <c r="N868" s="1" t="n"/>
    </row>
    <row r="869">
      <c r="A869" s="1" t="inlineStr">
        <is>
          <t>44504631084621</t>
        </is>
      </c>
      <c r="B869" s="1" t="inlineStr">
        <is>
          <t>BOLSO C TILLY BROWN</t>
        </is>
      </c>
      <c r="C869" s="1" t="n"/>
      <c r="D869" s="1" t="n"/>
      <c r="E869" s="6" t="n">
        <v>1177.449395</v>
      </c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</row>
    <row r="870">
      <c r="A870" s="1" t="inlineStr">
        <is>
          <t>45043621046701</t>
        </is>
      </c>
      <c r="B870" s="1" t="inlineStr">
        <is>
          <t>ARETES T GOLD CON ZIRCONIA</t>
        </is>
      </c>
      <c r="C870" s="1" t="n"/>
      <c r="D870" s="6" t="n">
        <v>147.6782004</v>
      </c>
      <c r="E870" s="1" t="n"/>
      <c r="F870" s="1" t="n"/>
      <c r="G870" s="1" t="n"/>
      <c r="H870" s="6" t="n">
        <v>212.0041779</v>
      </c>
      <c r="I870" s="6" t="n">
        <v>210.6849607</v>
      </c>
      <c r="J870" s="6" t="n">
        <v>213.0389622</v>
      </c>
      <c r="K870" s="1" t="n"/>
      <c r="L870" s="6" t="n">
        <v>148.5304959</v>
      </c>
      <c r="M870" s="1" t="n"/>
      <c r="N870" s="1" t="n"/>
    </row>
    <row r="871">
      <c r="A871" s="1" t="inlineStr">
        <is>
          <t>46022281088705</t>
        </is>
      </c>
      <c r="B871" s="1" t="inlineStr">
        <is>
          <t>COLLAR CORAZÓN SILVER</t>
        </is>
      </c>
      <c r="C871" s="1" t="n"/>
      <c r="D871" s="6" t="n">
        <v>226.0606014</v>
      </c>
      <c r="E871" s="1" t="n"/>
      <c r="F871" s="1" t="n"/>
      <c r="G871" s="1" t="n"/>
      <c r="H871" s="6" t="n">
        <v>234.2843943</v>
      </c>
      <c r="I871" s="1" t="n"/>
      <c r="J871" s="6" t="n">
        <v>236.4927815</v>
      </c>
      <c r="K871" s="1" t="n"/>
      <c r="L871" s="1" t="n"/>
      <c r="M871" s="1" t="n"/>
      <c r="N871" s="1" t="n"/>
    </row>
    <row r="872">
      <c r="A872" s="1" t="inlineStr">
        <is>
          <t>46281181071009</t>
        </is>
      </c>
      <c r="B872" s="1" t="inlineStr">
        <is>
          <t>BOLSA YSL WHITE</t>
        </is>
      </c>
      <c r="C872" s="1" t="n"/>
      <c r="D872" s="1" t="n"/>
      <c r="E872" s="1" t="n"/>
      <c r="F872" s="1" t="n"/>
      <c r="G872" s="1" t="n"/>
      <c r="H872" s="1" t="n"/>
      <c r="I872" s="1" t="n"/>
      <c r="J872" s="1" t="n"/>
      <c r="K872" s="6" t="n">
        <v>1331.656473</v>
      </c>
      <c r="L872" s="1" t="n"/>
      <c r="M872" s="1" t="n"/>
      <c r="N872" s="1" t="n"/>
    </row>
    <row r="873">
      <c r="A873" s="1" t="inlineStr">
        <is>
          <t>46509631089741</t>
        </is>
      </c>
      <c r="B873" s="1" t="inlineStr">
        <is>
          <t>ANILLO CLAVO SPIRAL GOLD CON ZIRCONIA</t>
        </is>
      </c>
      <c r="C873" s="1" t="n"/>
      <c r="D873" s="6" t="n">
        <v>158.2266433</v>
      </c>
      <c r="E873" s="1" t="n"/>
      <c r="F873" s="1" t="n"/>
      <c r="G873" s="1" t="n"/>
      <c r="H873" s="6" t="n">
        <v>159.0031334</v>
      </c>
      <c r="I873" s="6" t="n">
        <v>158.0137205</v>
      </c>
      <c r="J873" s="1" t="n"/>
      <c r="K873" s="1" t="n"/>
      <c r="L873" s="1" t="n"/>
      <c r="M873" s="1" t="n"/>
      <c r="N873" s="1" t="n"/>
    </row>
    <row r="874">
      <c r="A874" s="1" t="inlineStr">
        <is>
          <t>46636991009581</t>
        </is>
      </c>
      <c r="B874" s="1" t="inlineStr">
        <is>
          <t>ARETES T SILVER CON ZIRCONIA</t>
        </is>
      </c>
      <c r="C874" s="1" t="n"/>
      <c r="D874" s="6" t="n">
        <v>147.6782004</v>
      </c>
      <c r="E874" s="1" t="n"/>
      <c r="F874" s="1" t="n"/>
      <c r="G874" s="1" t="n"/>
      <c r="H874" s="1" t="n"/>
      <c r="I874" s="1" t="n"/>
      <c r="J874" s="1" t="n"/>
      <c r="K874" s="1" t="n"/>
      <c r="L874" s="6" t="n">
        <v>147.7277815</v>
      </c>
      <c r="M874" s="1" t="n"/>
      <c r="N874" s="1" t="n"/>
    </row>
    <row r="875">
      <c r="A875" s="1" t="inlineStr">
        <is>
          <t>46740671064493</t>
        </is>
      </c>
      <c r="B875" s="1" t="inlineStr">
        <is>
          <t>BOLSA DE DEPORTE BLACK</t>
        </is>
      </c>
      <c r="C875" s="1" t="n"/>
      <c r="D875" s="1" t="n"/>
      <c r="E875" s="6" t="n">
        <v>354.35904</v>
      </c>
      <c r="F875" s="1" t="n"/>
      <c r="G875" s="1" t="n"/>
      <c r="H875" s="6" t="n">
        <v>1041.263975</v>
      </c>
      <c r="I875" s="1" t="n"/>
      <c r="J875" s="1" t="n"/>
      <c r="K875" s="1" t="n"/>
      <c r="L875" s="1" t="n"/>
      <c r="M875" s="1" t="n"/>
      <c r="N875" s="1" t="n"/>
    </row>
    <row r="876">
      <c r="A876" s="1" t="inlineStr">
        <is>
          <t>46912391017229</t>
        </is>
      </c>
      <c r="B876" s="1" t="inlineStr">
        <is>
          <t>COLLAR LOVELOVE ROSE GOLD</t>
        </is>
      </c>
      <c r="C876" s="1" t="n"/>
      <c r="D876" s="1" t="n"/>
      <c r="E876" s="1" t="n"/>
      <c r="F876" s="1" t="n"/>
      <c r="G876" s="1" t="n"/>
      <c r="H876" s="1" t="n"/>
      <c r="I876" s="6" t="n">
        <v>105.3424803</v>
      </c>
      <c r="J876" s="1" t="n"/>
      <c r="K876" s="1" t="n"/>
      <c r="L876" s="1" t="n"/>
      <c r="M876" s="1" t="n"/>
      <c r="N876" s="1" t="n"/>
    </row>
    <row r="877">
      <c r="A877" s="1" t="inlineStr">
        <is>
          <t>47030519289356</t>
        </is>
      </c>
      <c r="B877" s="1" t="inlineStr">
        <is>
          <t>RELOJ RX OYSTER PERPETUAL GREEN</t>
        </is>
      </c>
      <c r="C877" s="1" t="n"/>
      <c r="D877" s="1" t="n"/>
      <c r="E877" s="6" t="n">
        <v>1041.604591</v>
      </c>
      <c r="F877" s="1" t="n"/>
      <c r="G877" s="1" t="n"/>
      <c r="H877" s="1" t="n"/>
      <c r="I877" s="1" t="n"/>
      <c r="J877" s="1" t="n"/>
      <c r="K877" s="6" t="n">
        <v>1075.56869</v>
      </c>
      <c r="L877" s="1" t="n"/>
      <c r="M877" s="1" t="n"/>
      <c r="N877" s="1" t="n"/>
    </row>
    <row r="878">
      <c r="A878" s="1" t="inlineStr">
        <is>
          <t>47076841081421</t>
        </is>
      </c>
      <c r="B878" s="1" t="inlineStr">
        <is>
          <t>ARRACADAS T SILVER CON ZIRCONIA</t>
        </is>
      </c>
      <c r="C878" s="1" t="n"/>
      <c r="D878" s="6" t="n">
        <v>147.6782004</v>
      </c>
      <c r="E878" s="1" t="n"/>
      <c r="F878" s="1" t="n"/>
      <c r="G878" s="1" t="n"/>
      <c r="H878" s="1" t="n"/>
      <c r="I878" s="1" t="n"/>
      <c r="J878" s="1" t="n"/>
      <c r="K878" s="6" t="n">
        <v>147.2203151</v>
      </c>
      <c r="L878" s="1" t="n"/>
      <c r="M878" s="1" t="n"/>
      <c r="N878" s="1" t="n"/>
    </row>
    <row r="879">
      <c r="A879" s="1" t="inlineStr">
        <is>
          <t>47076841105709</t>
        </is>
      </c>
      <c r="B879" s="1" t="inlineStr">
        <is>
          <t>ARRACADAS T ROSEGOLD CON ZIRCONIA</t>
        </is>
      </c>
      <c r="C879" s="1" t="n"/>
      <c r="D879" s="6" t="n">
        <v>147.6782004</v>
      </c>
      <c r="E879" s="1" t="n"/>
      <c r="F879" s="1" t="n"/>
      <c r="G879" s="1" t="n"/>
      <c r="H879" s="1" t="n"/>
      <c r="I879" s="1" t="n"/>
      <c r="J879" s="1" t="n"/>
      <c r="K879" s="6" t="n">
        <v>147.2203151</v>
      </c>
      <c r="L879" s="1" t="n"/>
      <c r="M879" s="1" t="n"/>
      <c r="N879" s="1" t="n"/>
    </row>
    <row r="880">
      <c r="A880" s="1" t="inlineStr">
        <is>
          <t>47076841262765</t>
        </is>
      </c>
      <c r="B880" s="1" t="inlineStr">
        <is>
          <t>ARRACADAS T GOLD CON ZIRCONIA</t>
        </is>
      </c>
      <c r="C880" s="1" t="n"/>
      <c r="D880" s="6" t="n">
        <v>147.6782004</v>
      </c>
      <c r="E880" s="1" t="n"/>
      <c r="F880" s="1" t="n"/>
      <c r="G880" s="1" t="n"/>
      <c r="H880" s="1" t="n"/>
      <c r="I880" s="6" t="n">
        <v>147.4794725</v>
      </c>
      <c r="J880" s="1" t="n"/>
      <c r="K880" s="1" t="n"/>
      <c r="L880" s="1" t="n"/>
      <c r="M880" s="6" t="n">
        <v>147.1022452</v>
      </c>
      <c r="N880" s="1" t="n"/>
    </row>
    <row r="881">
      <c r="A881" s="1" t="inlineStr">
        <is>
          <t>47179791074049</t>
        </is>
      </c>
      <c r="B881" s="1" t="inlineStr">
        <is>
          <t>PULSERA LOVE LOVE GOLD</t>
        </is>
      </c>
      <c r="C881" s="1" t="n"/>
      <c r="D881" s="6" t="n">
        <v>106.2783553</v>
      </c>
      <c r="E881" s="1" t="n"/>
      <c r="F881" s="1" t="n"/>
      <c r="G881" s="1" t="n"/>
      <c r="H881" s="6" t="n">
        <v>106.002089</v>
      </c>
      <c r="I881" s="6" t="n">
        <v>105.3424803</v>
      </c>
      <c r="J881" s="1" t="n"/>
      <c r="K881" s="6" t="n">
        <v>94.64163114999999</v>
      </c>
      <c r="L881" s="6" t="n">
        <v>106.0932113</v>
      </c>
      <c r="M881" s="1" t="n"/>
      <c r="N881" s="1" t="n"/>
    </row>
    <row r="882">
      <c r="A882" s="1" t="inlineStr">
        <is>
          <t>47396161022509</t>
        </is>
      </c>
      <c r="B882" s="1" t="inlineStr">
        <is>
          <t>ANILLO CLAVO SPIRAL GOLD CON ZIRCONIA</t>
        </is>
      </c>
      <c r="C882" s="1" t="n"/>
      <c r="D882" s="6" t="n">
        <v>158.2266433</v>
      </c>
      <c r="E882" s="1" t="n"/>
      <c r="F882" s="1" t="n"/>
      <c r="G882" s="1" t="n"/>
      <c r="H882" s="6" t="n">
        <v>159.0031334</v>
      </c>
      <c r="I882" s="1" t="n"/>
      <c r="J882" s="1" t="n"/>
      <c r="K882" s="1" t="n"/>
      <c r="L882" s="6" t="n">
        <v>157.4197147</v>
      </c>
      <c r="M882" s="1" t="n"/>
      <c r="N882" s="1" t="n"/>
    </row>
    <row r="883">
      <c r="A883" s="1" t="inlineStr">
        <is>
          <t>47685114092812</t>
        </is>
      </c>
      <c r="B883" s="1" t="inlineStr">
        <is>
          <t>TRAJE DE BAÑO CD</t>
        </is>
      </c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6" t="n">
        <v>662.6156122</v>
      </c>
      <c r="M883" s="1" t="n"/>
      <c r="N883" s="1" t="n"/>
    </row>
    <row r="884">
      <c r="A884" s="1" t="inlineStr">
        <is>
          <t>47685124125580</t>
        </is>
      </c>
      <c r="B884" s="1" t="inlineStr">
        <is>
          <t>TRAJE DE BAÑO CD</t>
        </is>
      </c>
      <c r="C884" s="1" t="n"/>
      <c r="D884" s="1" t="n"/>
      <c r="E884" s="1" t="n"/>
      <c r="F884" s="1" t="n"/>
      <c r="G884" s="1" t="n"/>
      <c r="H884" s="6" t="n">
        <v>650.7899842</v>
      </c>
      <c r="I884" s="1" t="n"/>
      <c r="J884" s="1" t="n"/>
      <c r="K884" s="1" t="n"/>
      <c r="L884" s="6" t="n">
        <v>662.6156122</v>
      </c>
      <c r="M884" s="6" t="n">
        <v>612.7859114</v>
      </c>
      <c r="N884" s="1" t="n"/>
    </row>
    <row r="885">
      <c r="A885" s="1" t="inlineStr">
        <is>
          <t>47754352942988</t>
        </is>
      </c>
      <c r="B885" s="1" t="inlineStr">
        <is>
          <t>TARJETERO CD FREESIA</t>
        </is>
      </c>
      <c r="C885" s="1" t="n"/>
      <c r="D885" s="6" t="n">
        <v>326.5319799</v>
      </c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</row>
    <row r="886">
      <c r="A886" s="1" t="inlineStr">
        <is>
          <t>47861321014669</t>
        </is>
      </c>
      <c r="B886" s="1" t="inlineStr">
        <is>
          <t>ANILLO PANTHERE BIG GOLD C</t>
        </is>
      </c>
      <c r="C886" s="1" t="n"/>
      <c r="D886" s="1" t="n"/>
      <c r="E886" s="1" t="n"/>
      <c r="F886" s="6" t="n">
        <v>189.544486</v>
      </c>
      <c r="G886" s="6" t="n">
        <v>188.2544401</v>
      </c>
      <c r="H886" s="1" t="n"/>
      <c r="I886" s="6" t="n">
        <v>189.6164646</v>
      </c>
      <c r="J886" s="1" t="n"/>
      <c r="K886" s="1" t="n"/>
      <c r="L886" s="1" t="n"/>
      <c r="M886" s="1" t="n"/>
      <c r="N886" s="1" t="n"/>
    </row>
    <row r="887">
      <c r="A887" s="1" t="inlineStr">
        <is>
          <t>48321436441740</t>
        </is>
      </c>
      <c r="B887" s="1" t="inlineStr">
        <is>
          <t>PERFUME CC No 5</t>
        </is>
      </c>
      <c r="C887" s="1" t="n"/>
      <c r="D887" s="1" t="n"/>
      <c r="E887" s="1" t="n"/>
      <c r="F887" s="1" t="n"/>
      <c r="G887" s="1" t="n"/>
      <c r="H887" s="1" t="n"/>
      <c r="I887" s="1" t="n"/>
      <c r="J887" s="6" t="n">
        <v>472.985563</v>
      </c>
      <c r="K887" s="1" t="n"/>
      <c r="L887" s="1" t="n"/>
      <c r="M887" s="1" t="n"/>
      <c r="N887" s="1" t="n"/>
    </row>
    <row r="888">
      <c r="A888" s="1" t="inlineStr">
        <is>
          <t>48321437841036</t>
        </is>
      </c>
      <c r="B888" s="1" t="inlineStr">
        <is>
          <t>PERFUME SAUVAGE</t>
        </is>
      </c>
      <c r="C888" s="1" t="n"/>
      <c r="D888" s="6" t="n">
        <v>452.1212029</v>
      </c>
      <c r="E888" s="1" t="n"/>
      <c r="F888" s="1" t="n"/>
      <c r="G888" s="1" t="n"/>
      <c r="H888" s="1" t="n"/>
      <c r="I888" s="1" t="n"/>
      <c r="J888" s="1" t="n"/>
      <c r="K888" s="1" t="n"/>
      <c r="L888" s="6" t="n">
        <v>477.0832408</v>
      </c>
      <c r="M888" s="1" t="n"/>
      <c r="N888" s="1" t="n"/>
    </row>
    <row r="889">
      <c r="A889" s="1" t="inlineStr">
        <is>
          <t>48321439631756</t>
        </is>
      </c>
      <c r="B889" s="1" t="inlineStr">
        <is>
          <t>PERFUME TF LOST CHERRY</t>
        </is>
      </c>
      <c r="C889" s="1" t="n"/>
      <c r="D889" s="1" t="n"/>
      <c r="E889" s="6" t="n">
        <v>446.4019675</v>
      </c>
      <c r="F889" s="1" t="n"/>
      <c r="G889" s="1" t="n"/>
      <c r="H889" s="6" t="n">
        <v>468.5687886</v>
      </c>
      <c r="I889" s="1" t="n"/>
      <c r="J889" s="6" t="n">
        <v>464.076893</v>
      </c>
      <c r="K889" s="1" t="n"/>
      <c r="L889" s="6" t="n">
        <v>477.0832408</v>
      </c>
      <c r="M889" s="6" t="n">
        <v>441.2058562</v>
      </c>
      <c r="N889" s="1" t="n"/>
    </row>
    <row r="890">
      <c r="A890" s="1" t="inlineStr">
        <is>
          <t>48915671011501</t>
        </is>
      </c>
      <c r="B890" s="1" t="inlineStr">
        <is>
          <t>CAMISETA CD OBLIQUE BLACK</t>
        </is>
      </c>
      <c r="C890" s="1" t="n"/>
      <c r="D890" s="1" t="n"/>
      <c r="E890" s="6" t="n">
        <v>236.23936</v>
      </c>
      <c r="F890" s="1" t="n"/>
      <c r="G890" s="1" t="n"/>
      <c r="H890" s="1" t="n"/>
      <c r="I890" s="1" t="n"/>
      <c r="J890" s="1" t="n"/>
      <c r="K890" s="6" t="n">
        <v>691.4370151000001</v>
      </c>
      <c r="L890" s="1" t="n"/>
      <c r="M890" s="1" t="n"/>
      <c r="N890" s="1" t="n"/>
    </row>
    <row r="891">
      <c r="A891" s="1" t="inlineStr">
        <is>
          <t>48915671144269</t>
        </is>
      </c>
      <c r="B891" s="1" t="inlineStr">
        <is>
          <t>CAMISETA CD OBLIQUE BLACK</t>
        </is>
      </c>
      <c r="C891" s="1" t="n"/>
      <c r="D891" s="1" t="n"/>
      <c r="E891" s="6" t="n">
        <v>637.846272</v>
      </c>
      <c r="F891" s="1" t="n"/>
      <c r="G891" s="1" t="n"/>
      <c r="H891" s="1" t="n"/>
      <c r="I891" s="1" t="n"/>
      <c r="J891" s="6" t="n">
        <v>709.4783445</v>
      </c>
      <c r="K891" s="6" t="n">
        <v>691.4370151000001</v>
      </c>
      <c r="L891" s="1" t="n"/>
      <c r="M891" s="1" t="n"/>
      <c r="N891" s="1" t="n"/>
    </row>
    <row r="892">
      <c r="A892" s="1" t="inlineStr">
        <is>
          <t>49680571041677</t>
        </is>
      </c>
      <c r="B892" s="1" t="inlineStr">
        <is>
          <t>ARETES BV ROUND SILVER CON ZIRCONIA</t>
        </is>
      </c>
      <c r="C892" s="1" t="n"/>
      <c r="D892" s="6" t="n">
        <v>147.6782004</v>
      </c>
      <c r="E892" s="1" t="n"/>
      <c r="F892" s="1" t="n"/>
      <c r="G892" s="1" t="n"/>
      <c r="H892" s="1" t="n"/>
      <c r="I892" s="1" t="n"/>
      <c r="J892" s="1" t="n"/>
      <c r="K892" s="1" t="n"/>
      <c r="L892" s="6" t="n">
        <v>148.5304959</v>
      </c>
      <c r="M892" s="1" t="n"/>
      <c r="N892" s="1" t="n"/>
    </row>
    <row r="893">
      <c r="A893" s="1" t="inlineStr">
        <is>
          <t>49975331055277</t>
        </is>
      </c>
      <c r="B893" s="1" t="inlineStr">
        <is>
          <t>ANILLO CLAVO SPIRAL GOLD CON ZIRCONIA</t>
        </is>
      </c>
      <c r="C893" s="1" t="n"/>
      <c r="D893" s="6" t="n">
        <v>158.2266433</v>
      </c>
      <c r="E893" s="1" t="n"/>
      <c r="F893" s="1" t="n"/>
      <c r="G893" s="1" t="n"/>
      <c r="H893" s="1" t="n"/>
      <c r="I893" s="1" t="n"/>
      <c r="J893" s="1" t="n"/>
      <c r="K893" s="1" t="n"/>
      <c r="L893" s="6" t="n">
        <v>159.139817</v>
      </c>
      <c r="M893" s="1" t="n"/>
      <c r="N893" s="1" t="n"/>
    </row>
    <row r="894">
      <c r="A894" s="1" t="inlineStr">
        <is>
          <t>50016841020461</t>
        </is>
      </c>
      <c r="B894" s="1" t="inlineStr">
        <is>
          <t>COLLAR MSS MOVE UNO SILVER</t>
        </is>
      </c>
      <c r="C894" s="1" t="n"/>
      <c r="D894" s="6" t="n">
        <v>170.0453685</v>
      </c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</row>
    <row r="895">
      <c r="A895" s="1" t="inlineStr">
        <is>
          <t>50328871088397</t>
        </is>
      </c>
      <c r="B895" s="1" t="inlineStr">
        <is>
          <t>ANILLO PERLEE SILVER</t>
        </is>
      </c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6" t="n">
        <v>136.2029957</v>
      </c>
    </row>
    <row r="896">
      <c r="A896" s="1" t="inlineStr">
        <is>
          <t>50498801106509</t>
        </is>
      </c>
      <c r="B896" s="1" t="inlineStr">
        <is>
          <t>ANILLO TRÉBOL CON ZIRCONIA SILVER VF</t>
        </is>
      </c>
      <c r="C896" s="1" t="n"/>
      <c r="D896" s="1" t="n"/>
      <c r="E896" s="1" t="n"/>
      <c r="F896" s="1" t="n"/>
      <c r="G896" s="1" t="n"/>
      <c r="H896" s="6" t="n">
        <v>126.9905026</v>
      </c>
      <c r="I896" s="6" t="n">
        <v>126.2002914</v>
      </c>
      <c r="J896" s="1" t="n"/>
      <c r="K896" s="1" t="n"/>
      <c r="L896" s="1" t="n"/>
      <c r="M896" s="1" t="n"/>
      <c r="N896" s="1" t="n"/>
    </row>
    <row r="897">
      <c r="A897" s="1" t="inlineStr">
        <is>
          <t>50869451078413</t>
        </is>
      </c>
      <c r="B897" s="1" t="inlineStr">
        <is>
          <t>COLLAR MSS ROSEGOLD CON ZIRCONIA</t>
        </is>
      </c>
      <c r="C897" s="1" t="n"/>
      <c r="D897" s="6" t="n">
        <v>170.0453685</v>
      </c>
      <c r="E897" s="1" t="n"/>
      <c r="F897" s="1" t="n"/>
      <c r="G897" s="6" t="n">
        <v>167.3372801</v>
      </c>
      <c r="H897" s="6" t="n">
        <v>169.6033423</v>
      </c>
      <c r="I897" s="6" t="n">
        <v>168.5479685</v>
      </c>
      <c r="J897" s="6" t="n">
        <v>170.4311697</v>
      </c>
      <c r="K897" s="1" t="n"/>
      <c r="L897" s="6" t="n">
        <v>169.7491381</v>
      </c>
      <c r="M897" s="1" t="n"/>
      <c r="N897" s="1" t="n"/>
    </row>
    <row r="898">
      <c r="A898" s="1" t="inlineStr">
        <is>
          <t>51078752492301</t>
        </is>
      </c>
      <c r="B898" s="1" t="inlineStr">
        <is>
          <t>ARETES C GOLD</t>
        </is>
      </c>
      <c r="C898" s="1" t="n"/>
      <c r="D898" s="1" t="n"/>
      <c r="E898" s="6" t="n">
        <v>126.5582895</v>
      </c>
      <c r="F898" s="1" t="n"/>
      <c r="G898" s="1" t="n"/>
      <c r="H898" s="6" t="n">
        <v>126.9905026</v>
      </c>
      <c r="I898" s="6" t="n">
        <v>126.2002914</v>
      </c>
      <c r="J898" s="6" t="n">
        <v>127.6103383</v>
      </c>
      <c r="K898" s="1" t="n"/>
      <c r="L898" s="6" t="n">
        <v>126.412773</v>
      </c>
      <c r="M898" s="1" t="n"/>
      <c r="N898" s="1" t="n"/>
    </row>
    <row r="899">
      <c r="A899" s="1" t="inlineStr">
        <is>
          <t>52064791097837</t>
        </is>
      </c>
      <c r="B899" s="1" t="inlineStr">
        <is>
          <t>ARETES BV GOLD-WHITE</t>
        </is>
      </c>
      <c r="C899" s="1" t="n"/>
      <c r="D899" s="6" t="n">
        <v>85.92408387</v>
      </c>
      <c r="E899" s="1" t="n"/>
      <c r="F899" s="1" t="n"/>
      <c r="G899" s="1" t="n"/>
      <c r="H899" s="1" t="n"/>
      <c r="I899" s="1" t="n"/>
      <c r="J899" s="6" t="n">
        <v>93.37072066</v>
      </c>
      <c r="K899" s="1" t="n"/>
      <c r="L899" s="6" t="n">
        <v>87.29713666000001</v>
      </c>
      <c r="M899" s="1" t="n"/>
      <c r="N899" s="1" t="n"/>
    </row>
    <row r="900">
      <c r="A900" s="1" t="inlineStr">
        <is>
          <t>52306841075693</t>
        </is>
      </c>
      <c r="B900" s="1" t="inlineStr">
        <is>
          <t>COLLAR BV ROSEGOLD SERPIENTE</t>
        </is>
      </c>
      <c r="C900" s="1" t="n"/>
      <c r="D900" s="6" t="n">
        <v>147.6782004</v>
      </c>
      <c r="E900" s="1" t="n"/>
      <c r="F900" s="1" t="n"/>
      <c r="G900" s="1" t="n"/>
      <c r="H900" s="1" t="n"/>
      <c r="I900" s="1" t="n"/>
      <c r="J900" s="1" t="n"/>
      <c r="K900" s="1" t="n"/>
      <c r="L900" s="6" t="n">
        <v>148.5304959</v>
      </c>
      <c r="M900" s="1" t="n"/>
      <c r="N900" s="1" t="n"/>
    </row>
    <row r="901">
      <c r="A901" s="1" t="inlineStr">
        <is>
          <t>52394691046605</t>
        </is>
      </c>
      <c r="B901" s="1" t="inlineStr">
        <is>
          <t>BOLSA NANO NOÉ LV BROWN</t>
        </is>
      </c>
      <c r="C901" s="1" t="n"/>
      <c r="D901" s="1" t="n"/>
      <c r="E901" s="1" t="n"/>
      <c r="F901" s="1" t="n"/>
      <c r="G901" s="1" t="n"/>
      <c r="H901" s="6" t="n">
        <v>520.6319874</v>
      </c>
      <c r="I901" s="1" t="n"/>
      <c r="J901" s="1" t="n"/>
      <c r="K901" s="6" t="n">
        <v>512.1755667</v>
      </c>
      <c r="L901" s="1" t="n"/>
      <c r="M901" s="1" t="n"/>
      <c r="N901" s="1" t="n"/>
    </row>
    <row r="902">
      <c r="A902" s="1" t="inlineStr">
        <is>
          <t>52394691183085</t>
        </is>
      </c>
      <c r="B902" s="1" t="inlineStr">
        <is>
          <t>CARTERA ZIPPY LV BROWN</t>
        </is>
      </c>
      <c r="C902" s="1" t="n"/>
      <c r="D902" s="1" t="n"/>
      <c r="E902" s="1" t="n"/>
      <c r="F902" s="1" t="n"/>
      <c r="G902" s="1" t="n"/>
      <c r="H902" s="6" t="n">
        <v>390.4739905</v>
      </c>
      <c r="I902" s="1" t="n"/>
      <c r="J902" s="1" t="n"/>
      <c r="K902" s="1" t="n"/>
      <c r="L902" s="1" t="n"/>
      <c r="M902" s="1" t="n"/>
      <c r="N902" s="1" t="n"/>
    </row>
    <row r="903">
      <c r="A903" s="1" t="inlineStr">
        <is>
          <t>52394691183086</t>
        </is>
      </c>
      <c r="B903" s="1" t="inlineStr">
        <is>
          <t>CARTERA ZIPPY LV BROWN</t>
        </is>
      </c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6" t="n">
        <v>344.5601183</v>
      </c>
      <c r="M903" s="1" t="n"/>
      <c r="N903" s="1" t="n"/>
    </row>
    <row r="904">
      <c r="A904" s="1" t="inlineStr">
        <is>
          <t>52477061035757</t>
        </is>
      </c>
      <c r="B904" s="1" t="inlineStr">
        <is>
          <t>PULSERA CLAVO GOLD</t>
        </is>
      </c>
      <c r="C904" s="1" t="n"/>
      <c r="D904" s="1" t="n"/>
      <c r="E904" s="1" t="n"/>
      <c r="F904" s="1" t="n"/>
      <c r="G904" s="1" t="n"/>
      <c r="H904" s="1" t="n"/>
      <c r="I904" s="1" t="n"/>
      <c r="J904" s="6" t="n">
        <v>75.65811782</v>
      </c>
      <c r="K904" s="1" t="n"/>
      <c r="L904" s="6" t="n">
        <v>72.56009323000001</v>
      </c>
      <c r="M904" s="1" t="n"/>
      <c r="N904" s="1" t="n"/>
    </row>
    <row r="905">
      <c r="A905" s="1" t="inlineStr">
        <is>
          <t>53073321001165</t>
        </is>
      </c>
      <c r="B905" s="1" t="inlineStr">
        <is>
          <t>ANILLO LV SELLO GOLD-8</t>
        </is>
      </c>
      <c r="C905" s="1" t="n"/>
      <c r="D905" s="6" t="n">
        <v>189.6610031</v>
      </c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</row>
    <row r="906">
      <c r="A906" s="1" t="inlineStr">
        <is>
          <t>53283371020909</t>
        </is>
      </c>
      <c r="B906" s="1" t="inlineStr">
        <is>
          <t>PULSERA ONE TRÉBOL GOLD RED</t>
        </is>
      </c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6" t="n">
        <v>84.87456907000001</v>
      </c>
      <c r="M906" s="6" t="n">
        <v>84.05842584</v>
      </c>
      <c r="N906" s="1" t="n"/>
    </row>
    <row r="907">
      <c r="A907" s="1" t="inlineStr">
        <is>
          <t>53794531101133</t>
        </is>
      </c>
      <c r="B907" s="1" t="inlineStr">
        <is>
          <t>LENTES CD CANNAGE S2U</t>
        </is>
      </c>
      <c r="C907" s="1" t="n"/>
      <c r="D907" s="1" t="n"/>
      <c r="E907" s="1" t="n"/>
      <c r="F907" s="1" t="n"/>
      <c r="G907" s="1" t="n"/>
      <c r="H907" s="1" t="n"/>
      <c r="I907" s="1" t="n"/>
      <c r="J907" s="6" t="n">
        <v>840.8632231</v>
      </c>
      <c r="K907" s="1" t="n"/>
      <c r="L907" s="1" t="n"/>
      <c r="M907" s="6" t="n">
        <v>784.3659666</v>
      </c>
      <c r="N907" s="1" t="n"/>
    </row>
    <row r="908">
      <c r="A908" s="1" t="inlineStr">
        <is>
          <t>53794531481933</t>
        </is>
      </c>
      <c r="B908" s="1" t="inlineStr">
        <is>
          <t>LENTES CD TREASURE R1</t>
        </is>
      </c>
      <c r="C908" s="1" t="n"/>
      <c r="D908" s="1" t="n"/>
      <c r="E908" s="1" t="n"/>
      <c r="F908" s="1" t="n"/>
      <c r="G908" s="1" t="n"/>
      <c r="H908" s="1" t="n"/>
      <c r="I908" s="1" t="n"/>
      <c r="J908" s="6" t="n">
        <v>840.8632231</v>
      </c>
      <c r="K908" s="6" t="n">
        <v>819.4809068</v>
      </c>
      <c r="L908" s="1" t="n"/>
      <c r="M908" s="1" t="n"/>
      <c r="N908" s="1" t="n"/>
    </row>
    <row r="909">
      <c r="A909" s="1" t="inlineStr">
        <is>
          <t>53864631024909</t>
        </is>
      </c>
      <c r="B909" s="1" t="inlineStr">
        <is>
          <t>COLLAR CON PASADOR Y PLACA ESTILO CORAZÓN SILVER</t>
        </is>
      </c>
      <c r="C909" s="1" t="n"/>
      <c r="D909" s="1" t="n"/>
      <c r="E909" s="1" t="n"/>
      <c r="F909" s="6" t="n">
        <v>252.7259813</v>
      </c>
      <c r="G909" s="6" t="n">
        <v>251.0059201</v>
      </c>
      <c r="H909" s="1" t="n"/>
      <c r="I909" s="6" t="n">
        <v>252.8219528</v>
      </c>
      <c r="J909" s="1" t="n"/>
      <c r="K909" s="1" t="n"/>
      <c r="L909" s="6" t="n">
        <v>254.6237072</v>
      </c>
      <c r="M909" s="1" t="n"/>
      <c r="N909" s="1" t="n"/>
    </row>
    <row r="910">
      <c r="A910" s="1" t="inlineStr">
        <is>
          <t>53890267165196</t>
        </is>
      </c>
      <c r="B910" s="1" t="inlineStr">
        <is>
          <t>RELOJ PANTHERE GOLD</t>
        </is>
      </c>
      <c r="C910" s="1" t="n"/>
      <c r="D910" s="1" t="n"/>
      <c r="E910" s="1" t="n"/>
      <c r="F910" s="1" t="n"/>
      <c r="G910" s="1" t="n"/>
      <c r="H910" s="6" t="n">
        <v>1561.895962</v>
      </c>
      <c r="I910" s="1" t="n"/>
      <c r="J910" s="6" t="n">
        <v>1576.618543</v>
      </c>
      <c r="K910" s="6" t="n">
        <v>1536.5267</v>
      </c>
      <c r="L910" s="1" t="n"/>
      <c r="M910" s="1" t="n"/>
      <c r="N910" s="1" t="n"/>
    </row>
    <row r="911">
      <c r="A911" s="1" t="inlineStr">
        <is>
          <t>54361211302573</t>
        </is>
      </c>
      <c r="B911" s="1" t="inlineStr">
        <is>
          <t>BRAZALETE BV SILVER WHITE</t>
        </is>
      </c>
      <c r="C911" s="1" t="n"/>
      <c r="D911" s="6" t="n">
        <v>210.9688577</v>
      </c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</row>
    <row r="912">
      <c r="A912" s="1" t="inlineStr">
        <is>
          <t>54479961098957</t>
        </is>
      </c>
      <c r="B912" s="1" t="inlineStr">
        <is>
          <t>COLLAR MSS SILVER CON ZIRCONIA</t>
        </is>
      </c>
      <c r="C912" s="1" t="n"/>
      <c r="D912" s="6" t="n">
        <v>170.0453685</v>
      </c>
      <c r="E912" s="1" t="n"/>
      <c r="F912" s="1" t="n"/>
      <c r="G912" s="6" t="n">
        <v>167.3372801</v>
      </c>
      <c r="H912" s="1" t="n"/>
      <c r="I912" s="6" t="n">
        <v>168.5479685</v>
      </c>
      <c r="J912" s="1" t="n"/>
      <c r="K912" s="1" t="n"/>
      <c r="L912" s="6" t="n">
        <v>168.5259543</v>
      </c>
      <c r="M912" s="1" t="n"/>
      <c r="N912" s="1" t="n"/>
    </row>
    <row r="913">
      <c r="A913" s="1" t="inlineStr">
        <is>
          <t>54804110299361</t>
        </is>
      </c>
      <c r="B913" s="1" t="inlineStr">
        <is>
          <t>COLLAR DOBLE PLACA CORAZÓN ROJO-PLATA</t>
        </is>
      </c>
      <c r="C913" s="1" t="n"/>
      <c r="D913" s="6" t="n">
        <v>106.2783553</v>
      </c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</row>
    <row r="914">
      <c r="A914" s="1" t="inlineStr">
        <is>
          <t>56072001110541</t>
        </is>
      </c>
      <c r="B914" s="1" t="inlineStr">
        <is>
          <t>PULSERA F FOREVER BLACK GOLD</t>
        </is>
      </c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6" t="n">
        <v>170.3146583</v>
      </c>
    </row>
    <row r="915">
      <c r="A915" s="1" t="inlineStr">
        <is>
          <t>56481450498956</t>
        </is>
      </c>
      <c r="B915" s="1" t="inlineStr">
        <is>
          <t>ANILLO CORAZÓN GRABADO</t>
        </is>
      </c>
      <c r="C915" s="1" t="n"/>
      <c r="D915" s="6" t="n">
        <v>106.2783553</v>
      </c>
      <c r="E915" s="1" t="n"/>
      <c r="F915" s="6" t="n">
        <v>105.3024922</v>
      </c>
      <c r="G915" s="6" t="n">
        <v>104.5858001</v>
      </c>
      <c r="H915" s="6" t="n">
        <v>106.002089</v>
      </c>
      <c r="I915" s="6" t="n">
        <v>105.3424803</v>
      </c>
      <c r="J915" s="1" t="n"/>
      <c r="K915" s="1" t="n"/>
      <c r="L915" s="1" t="n"/>
      <c r="M915" s="1" t="n"/>
      <c r="N915" s="1" t="n"/>
    </row>
    <row r="916">
      <c r="A916" s="1" t="inlineStr">
        <is>
          <t>56481450531724</t>
        </is>
      </c>
      <c r="B916" s="1" t="inlineStr">
        <is>
          <t>ANILLO CORAZÓN GRABADO</t>
        </is>
      </c>
      <c r="C916" s="1" t="n"/>
      <c r="D916" s="6" t="n">
        <v>105.4844288</v>
      </c>
      <c r="E916" s="1" t="n"/>
      <c r="F916" s="1" t="n"/>
      <c r="G916" s="6" t="n">
        <v>104.5858001</v>
      </c>
      <c r="H916" s="1" t="n"/>
      <c r="I916" s="6" t="n">
        <v>105.3424803</v>
      </c>
      <c r="J916" s="1" t="n"/>
      <c r="K916" s="6" t="n">
        <v>105.1573679</v>
      </c>
      <c r="L916" s="1" t="n"/>
      <c r="M916" s="1" t="n"/>
      <c r="N916" s="1" t="n"/>
    </row>
    <row r="917">
      <c r="A917" s="1" t="inlineStr">
        <is>
          <t>56481450564492</t>
        </is>
      </c>
      <c r="B917" s="1" t="inlineStr">
        <is>
          <t>ANILLO CORAZÓN GRABADO</t>
        </is>
      </c>
      <c r="C917" s="1" t="n"/>
      <c r="D917" s="6" t="n">
        <v>105.4844288</v>
      </c>
      <c r="E917" s="1" t="n"/>
      <c r="F917" s="6" t="n">
        <v>105.3024922</v>
      </c>
      <c r="G917" s="6" t="n">
        <v>104.5858001</v>
      </c>
      <c r="H917" s="6" t="n">
        <v>106.002089</v>
      </c>
      <c r="I917" s="1" t="n"/>
      <c r="J917" s="1" t="n"/>
      <c r="K917" s="1" t="n"/>
      <c r="L917" s="1" t="n"/>
      <c r="M917" s="6" t="n">
        <v>105.0730323</v>
      </c>
      <c r="N917" s="1" t="n"/>
    </row>
    <row r="918">
      <c r="A918" s="1" t="inlineStr">
        <is>
          <t>56481462558348</t>
        </is>
      </c>
      <c r="B918" s="1" t="inlineStr">
        <is>
          <t>ANILLO ECROU SILVER</t>
        </is>
      </c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6" t="n">
        <v>79.84037015</v>
      </c>
      <c r="M918" s="1" t="n"/>
      <c r="N918" s="1" t="n"/>
    </row>
    <row r="919">
      <c r="A919" s="1" t="inlineStr">
        <is>
          <t>56481462591116</t>
        </is>
      </c>
      <c r="B919" s="1" t="inlineStr">
        <is>
          <t>ANILLO ECROU SILVER</t>
        </is>
      </c>
      <c r="C919" s="1" t="n"/>
      <c r="D919" s="1" t="n"/>
      <c r="E919" s="1" t="n"/>
      <c r="F919" s="1" t="n"/>
      <c r="G919" s="1" t="n"/>
      <c r="H919" s="1" t="n"/>
      <c r="I919" s="1" t="n"/>
      <c r="J919" s="6" t="n">
        <v>83.24923332</v>
      </c>
      <c r="K919" s="6" t="n">
        <v>78.76427652</v>
      </c>
      <c r="L919" s="1" t="n"/>
      <c r="M919" s="1" t="n"/>
      <c r="N919" s="1" t="n"/>
    </row>
    <row r="920">
      <c r="A920" s="1" t="inlineStr">
        <is>
          <t>56481462623884</t>
        </is>
      </c>
      <c r="B920" s="1" t="inlineStr">
        <is>
          <t>ANILLO ECROU SILVER</t>
        </is>
      </c>
      <c r="C920" s="1" t="n"/>
      <c r="D920" s="1" t="n"/>
      <c r="E920" s="1" t="n"/>
      <c r="F920" s="1" t="n"/>
      <c r="G920" s="6" t="n">
        <v>77.83067921</v>
      </c>
      <c r="H920" s="1" t="n"/>
      <c r="I920" s="1" t="n"/>
      <c r="J920" s="1" t="n"/>
      <c r="K920" s="6" t="n">
        <v>78.76427652</v>
      </c>
      <c r="L920" s="1" t="n"/>
      <c r="M920" s="1" t="n"/>
      <c r="N920" s="1" t="n"/>
    </row>
    <row r="921">
      <c r="A921" s="1" t="inlineStr">
        <is>
          <t>56481463199244</t>
        </is>
      </c>
      <c r="B921" s="1" t="inlineStr">
        <is>
          <t>ANILLO ESLABÓN GOLD</t>
        </is>
      </c>
      <c r="C921" s="1" t="n"/>
      <c r="D921" s="6" t="n">
        <v>127.5340264</v>
      </c>
      <c r="E921" s="1" t="n"/>
      <c r="F921" s="6" t="n">
        <v>126.3629907</v>
      </c>
      <c r="G921" s="6" t="n">
        <v>125.5029601</v>
      </c>
      <c r="H921" s="1" t="n"/>
      <c r="I921" s="1" t="n"/>
      <c r="J921" s="6" t="n">
        <v>127.8233773</v>
      </c>
      <c r="K921" s="1" t="n"/>
      <c r="L921" s="1" t="n"/>
      <c r="M921" s="1" t="n"/>
      <c r="N921" s="1" t="n"/>
    </row>
    <row r="922">
      <c r="A922" s="1" t="inlineStr">
        <is>
          <t>56481463232012</t>
        </is>
      </c>
      <c r="B922" s="1" t="inlineStr">
        <is>
          <t>ANILLO ESLABÓN GOLD</t>
        </is>
      </c>
      <c r="C922" s="1" t="n"/>
      <c r="D922" s="6" t="n">
        <v>127.5340264</v>
      </c>
      <c r="E922" s="1" t="n"/>
      <c r="F922" s="6" t="n">
        <v>126.3629907</v>
      </c>
      <c r="G922" s="6" t="n">
        <v>125.5029601</v>
      </c>
      <c r="H922" s="1" t="n"/>
      <c r="I922" s="6" t="n">
        <v>126.4109764</v>
      </c>
      <c r="J922" s="1" t="n"/>
      <c r="K922" s="6" t="n">
        <v>126.1888415</v>
      </c>
      <c r="L922" s="6" t="n">
        <v>127.3118536</v>
      </c>
      <c r="M922" s="6" t="n">
        <v>126.0876388</v>
      </c>
      <c r="N922" s="1" t="n"/>
    </row>
    <row r="923">
      <c r="A923" s="1" t="inlineStr">
        <is>
          <t>56481470225932</t>
        </is>
      </c>
      <c r="B923" s="1" t="inlineStr">
        <is>
          <t>ARETES T LOVE</t>
        </is>
      </c>
      <c r="C923" s="1" t="n"/>
      <c r="D923" s="1" t="n"/>
      <c r="E923" s="1" t="n"/>
      <c r="F923" s="1" t="n"/>
      <c r="G923" s="1" t="n"/>
      <c r="H923" s="1" t="n"/>
      <c r="I923" s="6" t="n">
        <v>147.4794725</v>
      </c>
      <c r="J923" s="1" t="n"/>
      <c r="K923" s="1" t="n"/>
      <c r="L923" s="1" t="n"/>
      <c r="M923" s="1" t="n"/>
      <c r="N923" s="1" t="n"/>
    </row>
    <row r="924">
      <c r="A924" s="1" t="inlineStr">
        <is>
          <t>56481470598284</t>
        </is>
      </c>
      <c r="B924" s="1" t="inlineStr">
        <is>
          <t>PULSERA BEAN SILVER</t>
        </is>
      </c>
      <c r="C924" s="1" t="n"/>
      <c r="D924" s="1" t="n"/>
      <c r="E924" s="1" t="n"/>
      <c r="F924" s="1" t="n"/>
      <c r="G924" s="6" t="n">
        <v>156.8787001</v>
      </c>
      <c r="H924" s="1" t="n"/>
      <c r="I924" s="1" t="n"/>
      <c r="J924" s="1" t="n"/>
      <c r="K924" s="1" t="n"/>
      <c r="L924" s="6" t="n">
        <v>159.139817</v>
      </c>
      <c r="M924" s="1" t="n"/>
      <c r="N924" s="1" t="n"/>
    </row>
    <row r="925">
      <c r="A925" s="1" t="inlineStr">
        <is>
          <t>56481471411340</t>
        </is>
      </c>
      <c r="B925" s="1" t="inlineStr">
        <is>
          <t>ARETES FULL HEART ROSE GOLD</t>
        </is>
      </c>
      <c r="C925" s="1" t="n"/>
      <c r="D925" s="1" t="n"/>
      <c r="E925" s="1" t="n"/>
      <c r="F925" s="6" t="n">
        <v>105.3024922</v>
      </c>
      <c r="G925" s="6" t="n">
        <v>104.5858001</v>
      </c>
      <c r="H925" s="1" t="n"/>
      <c r="I925" s="1" t="n"/>
      <c r="J925" s="1" t="n"/>
      <c r="K925" s="1" t="n"/>
      <c r="L925" s="1" t="n"/>
      <c r="M925" s="1" t="n"/>
      <c r="N925" s="1" t="n"/>
    </row>
    <row r="926">
      <c r="A926" s="1" t="inlineStr">
        <is>
          <t>56481472890252</t>
        </is>
      </c>
      <c r="B926" s="1" t="inlineStr">
        <is>
          <t>PULSERA ARO LOVE GOLD</t>
        </is>
      </c>
      <c r="C926" s="1" t="n"/>
      <c r="D926" s="1" t="n"/>
      <c r="E926" s="1" t="n"/>
      <c r="F926" s="1" t="n"/>
      <c r="G926" s="1" t="n"/>
      <c r="H926" s="6" t="n">
        <v>106.002089</v>
      </c>
      <c r="I926" s="6" t="n">
        <v>105.3424803</v>
      </c>
      <c r="J926" s="1" t="n"/>
      <c r="K926" s="1" t="n"/>
      <c r="L926" s="6" t="n">
        <v>106.0932113</v>
      </c>
      <c r="M926" s="1" t="n"/>
      <c r="N926" s="1" t="n"/>
    </row>
    <row r="927">
      <c r="A927" s="1" t="inlineStr">
        <is>
          <t>56481473264780</t>
        </is>
      </c>
      <c r="B927" s="1" t="inlineStr">
        <is>
          <t>ANILLO ESLABÓN GOLD</t>
        </is>
      </c>
      <c r="C927" s="1" t="n"/>
      <c r="D927" s="6" t="n">
        <v>126.5813146</v>
      </c>
      <c r="E927" s="1" t="n"/>
      <c r="F927" s="6" t="n">
        <v>126.3629907</v>
      </c>
      <c r="G927" s="6" t="n">
        <v>125.5029601</v>
      </c>
      <c r="H927" s="1" t="n"/>
      <c r="I927" s="1" t="n"/>
      <c r="J927" s="1" t="n"/>
      <c r="K927" s="6" t="n">
        <v>126.1888415</v>
      </c>
      <c r="L927" s="6" t="n">
        <v>126.6238127</v>
      </c>
      <c r="M927" s="1" t="n"/>
      <c r="N927" s="1" t="n"/>
    </row>
    <row r="928">
      <c r="A928" s="1" t="inlineStr">
        <is>
          <t>56481473329548</t>
        </is>
      </c>
      <c r="B928" s="1" t="inlineStr">
        <is>
          <t>PULSERA T DE CUENTAS LOVE</t>
        </is>
      </c>
      <c r="C928" s="1" t="n"/>
      <c r="D928" s="1" t="n"/>
      <c r="E928" s="1" t="n"/>
      <c r="F928" s="1" t="n"/>
      <c r="G928" s="6" t="n">
        <v>167.3372801</v>
      </c>
      <c r="H928" s="1" t="n"/>
      <c r="I928" s="1" t="n"/>
      <c r="J928" s="1" t="n"/>
      <c r="K928" s="6" t="n">
        <v>168.2517887</v>
      </c>
      <c r="L928" s="1" t="n"/>
      <c r="M928" s="1" t="n"/>
      <c r="N928" s="1" t="n"/>
    </row>
    <row r="929">
      <c r="A929" s="1" t="inlineStr">
        <is>
          <t>56481474339212</t>
        </is>
      </c>
      <c r="B929" s="1" t="inlineStr">
        <is>
          <t>ARETES FULL HEART GOLD</t>
        </is>
      </c>
      <c r="C929" s="1" t="n"/>
      <c r="D929" s="1" t="n"/>
      <c r="E929" s="1" t="n"/>
      <c r="F929" s="6" t="n">
        <v>105.3024922</v>
      </c>
      <c r="G929" s="6" t="n">
        <v>104.5858001</v>
      </c>
      <c r="H929" s="1" t="n"/>
      <c r="I929" s="1" t="n"/>
      <c r="J929" s="1" t="n"/>
      <c r="K929" s="6" t="n">
        <v>105.1573679</v>
      </c>
      <c r="L929" s="1" t="n"/>
      <c r="M929" s="6" t="n">
        <v>105.0730323</v>
      </c>
      <c r="N929" s="1" t="n"/>
    </row>
    <row r="930">
      <c r="A930" s="1" t="inlineStr">
        <is>
          <t>56481477937932</t>
        </is>
      </c>
      <c r="B930" s="1" t="inlineStr">
        <is>
          <t>ARETES FULL HEART SILVER</t>
        </is>
      </c>
      <c r="C930" s="1" t="n"/>
      <c r="D930" s="6" t="n">
        <v>105.88139205</v>
      </c>
      <c r="E930" s="1" t="n"/>
      <c r="F930" s="6" t="n">
        <v>105.3024922</v>
      </c>
      <c r="G930" s="6" t="n">
        <v>104.5858001</v>
      </c>
      <c r="H930" s="1" t="n"/>
      <c r="I930" s="6" t="n">
        <v>105.3424803</v>
      </c>
      <c r="J930" s="1" t="n"/>
      <c r="K930" s="1" t="n"/>
      <c r="L930" s="1" t="n"/>
      <c r="M930" s="6" t="n">
        <v>105.0730323</v>
      </c>
      <c r="N930" s="1" t="n"/>
    </row>
    <row r="931">
      <c r="A931" s="1" t="inlineStr">
        <is>
          <t>56481478255884</t>
        </is>
      </c>
      <c r="B931" s="1" t="inlineStr">
        <is>
          <t>ARETES KNOT GOLD CON ZIRCONIA</t>
        </is>
      </c>
      <c r="C931" s="1" t="n"/>
      <c r="D931" s="6" t="n">
        <v>147.6782004</v>
      </c>
      <c r="E931" s="1" t="n"/>
      <c r="F931" s="6" t="n">
        <v>147.4234891</v>
      </c>
      <c r="G931" s="6" t="n">
        <v>146.4201201</v>
      </c>
      <c r="H931" s="6" t="n">
        <v>127.2025068</v>
      </c>
      <c r="I931" s="1" t="n"/>
      <c r="J931" s="1" t="n"/>
      <c r="K931" s="1" t="n"/>
      <c r="L931" s="1" t="n"/>
      <c r="M931" s="1" t="n"/>
      <c r="N931" s="1" t="n"/>
    </row>
    <row r="932">
      <c r="A932" s="1" t="inlineStr">
        <is>
          <t>56481480610956</t>
        </is>
      </c>
      <c r="B932" s="1" t="inlineStr">
        <is>
          <t>ANILLO LOVE LOVE ROSEGOLD-SILVER ZIRCONIAS</t>
        </is>
      </c>
      <c r="C932" s="1" t="n"/>
      <c r="D932" s="6" t="n">
        <v>159.417533</v>
      </c>
      <c r="E932" s="1" t="n"/>
      <c r="F932" s="1" t="n"/>
      <c r="G932" s="6" t="n">
        <v>156.8787001</v>
      </c>
      <c r="H932" s="1" t="n"/>
      <c r="I932" s="6" t="n">
        <v>158.0137205</v>
      </c>
      <c r="J932" s="1" t="n"/>
      <c r="K932" s="1" t="n"/>
      <c r="L932" s="1" t="n"/>
      <c r="M932" s="1" t="n"/>
      <c r="N932" s="1" t="n"/>
    </row>
    <row r="933">
      <c r="A933" s="1" t="inlineStr">
        <is>
          <t>56481480643724</t>
        </is>
      </c>
      <c r="B933" s="1" t="inlineStr">
        <is>
          <t>ANILLO LOVE LOVE ROSEGOLD-SILVER ZIRCONIAS</t>
        </is>
      </c>
      <c r="C933" s="1" t="n"/>
      <c r="D933" s="6" t="n">
        <v>158.82208815</v>
      </c>
      <c r="E933" s="1" t="n"/>
      <c r="F933" s="1" t="n"/>
      <c r="G933" s="1" t="n"/>
      <c r="H933" s="1" t="n"/>
      <c r="I933" s="6" t="n">
        <v>158.0137205</v>
      </c>
      <c r="J933" s="1" t="n"/>
      <c r="K933" s="1" t="n"/>
      <c r="L933" s="1" t="n"/>
      <c r="M933" s="1" t="n"/>
      <c r="N933" s="1" t="n"/>
    </row>
    <row r="934">
      <c r="A934" s="1" t="inlineStr">
        <is>
          <t>56481480676492</t>
        </is>
      </c>
      <c r="B934" s="1" t="inlineStr">
        <is>
          <t>ANILLO LOVE LOVE ROSEGOLD-SILVER ZIRCONIAS</t>
        </is>
      </c>
      <c r="C934" s="1" t="n"/>
      <c r="D934" s="6" t="n">
        <v>159.417533</v>
      </c>
      <c r="E934" s="1" t="n"/>
      <c r="F934" s="1" t="n"/>
      <c r="G934" s="1" t="n"/>
      <c r="H934" s="1" t="n"/>
      <c r="I934" s="1" t="n"/>
      <c r="J934" s="1" t="n"/>
      <c r="K934" s="1" t="n"/>
      <c r="L934" s="1" t="n"/>
      <c r="M934" s="6" t="n">
        <v>157.6095484</v>
      </c>
      <c r="N934" s="1" t="n"/>
    </row>
    <row r="935">
      <c r="A935" s="1" t="inlineStr">
        <is>
          <t>56481482264076</t>
        </is>
      </c>
      <c r="B935" s="1" t="inlineStr">
        <is>
          <t>COLLAR BEAN SILVER</t>
        </is>
      </c>
      <c r="C935" s="1" t="n"/>
      <c r="D935" s="6" t="n">
        <v>126.5813146</v>
      </c>
      <c r="E935" s="1" t="n"/>
      <c r="F935" s="6" t="n">
        <v>126.3629907</v>
      </c>
      <c r="G935" s="6" t="n">
        <v>125.5029601</v>
      </c>
      <c r="H935" s="1" t="n"/>
      <c r="I935" s="6" t="n">
        <v>126.4109764</v>
      </c>
      <c r="J935" s="1" t="n"/>
      <c r="K935" s="1" t="n"/>
      <c r="L935" s="6" t="n">
        <v>125.9357718</v>
      </c>
      <c r="M935" s="1" t="n"/>
      <c r="N935" s="1" t="n"/>
    </row>
    <row r="936">
      <c r="A936" s="1" t="inlineStr">
        <is>
          <t>56481484246028</t>
        </is>
      </c>
      <c r="B936" s="1" t="inlineStr">
        <is>
          <t>ANILLO SIXTEEN STONE GOLD/RED</t>
        </is>
      </c>
      <c r="C936" s="1" t="n"/>
      <c r="D936" s="6" t="n">
        <v>127.5340264</v>
      </c>
      <c r="E936" s="1" t="n"/>
      <c r="F936" s="6" t="n">
        <v>126.3629907</v>
      </c>
      <c r="G936" s="6" t="n">
        <v>125.5029601</v>
      </c>
      <c r="H936" s="1" t="n"/>
      <c r="I936" s="6" t="n">
        <v>126.4109764</v>
      </c>
      <c r="J936" s="1" t="n"/>
      <c r="K936" s="1" t="n"/>
      <c r="L936" s="6" t="n">
        <v>125.9357718</v>
      </c>
      <c r="M936" s="1" t="n"/>
      <c r="N936" s="1" t="n"/>
    </row>
    <row r="937">
      <c r="A937" s="1" t="inlineStr">
        <is>
          <t>56481484278796</t>
        </is>
      </c>
      <c r="B937" s="1" t="inlineStr">
        <is>
          <t>ANILLO SIXTEEN STONE GOLD/RED</t>
        </is>
      </c>
      <c r="C937" s="1" t="n"/>
      <c r="D937" s="6" t="n">
        <v>127.0576705</v>
      </c>
      <c r="E937" s="1" t="n"/>
      <c r="F937" s="6" t="n">
        <v>126.3629907</v>
      </c>
      <c r="G937" s="6" t="n">
        <v>125.5029601</v>
      </c>
      <c r="H937" s="6" t="n">
        <v>127.2025068</v>
      </c>
      <c r="I937" s="6" t="n">
        <v>126.4109764</v>
      </c>
      <c r="J937" s="1" t="n"/>
      <c r="K937" s="1" t="n"/>
      <c r="L937" s="1" t="n"/>
      <c r="M937" s="6" t="n">
        <v>126.0876388</v>
      </c>
      <c r="N937" s="1" t="n"/>
    </row>
    <row r="938">
      <c r="A938" s="1" t="inlineStr">
        <is>
          <t>56481484311564</t>
        </is>
      </c>
      <c r="B938" s="1" t="inlineStr">
        <is>
          <t>ANILLO SIXTEEN STONE GOLD/RED</t>
        </is>
      </c>
      <c r="C938" s="1" t="n"/>
      <c r="D938" s="1" t="n"/>
      <c r="E938" s="1" t="n"/>
      <c r="F938" s="1" t="n"/>
      <c r="G938" s="6" t="n">
        <v>125.5029601</v>
      </c>
      <c r="H938" s="6" t="n">
        <v>127.2025068</v>
      </c>
      <c r="I938" s="1" t="n"/>
      <c r="J938" s="6" t="n">
        <v>127.8233773</v>
      </c>
      <c r="K938" s="6" t="n">
        <v>126.1888415</v>
      </c>
      <c r="L938" s="6" t="n">
        <v>127.3118536</v>
      </c>
      <c r="M938" s="1" t="n"/>
      <c r="N938" s="1" t="n"/>
    </row>
    <row r="939">
      <c r="A939" s="1" t="inlineStr">
        <is>
          <t>56481484584844</t>
        </is>
      </c>
      <c r="B939" s="1" t="inlineStr">
        <is>
          <t>COLLAR BEAN GOLD</t>
        </is>
      </c>
      <c r="C939" s="1" t="n"/>
      <c r="D939" s="6" t="n">
        <v>127.0576705</v>
      </c>
      <c r="E939" s="1" t="n"/>
      <c r="F939" s="6" t="n">
        <v>126.3629907</v>
      </c>
      <c r="G939" s="6" t="n">
        <v>125.5029601</v>
      </c>
      <c r="H939" s="1" t="n"/>
      <c r="I939" s="6" t="n">
        <v>126.4109764</v>
      </c>
      <c r="J939" s="6" t="n">
        <v>127.8233773</v>
      </c>
      <c r="K939" s="1" t="n"/>
      <c r="L939" s="1" t="n"/>
      <c r="M939" s="1" t="n"/>
      <c r="N939" s="1" t="n"/>
    </row>
    <row r="940">
      <c r="A940" s="1" t="inlineStr">
        <is>
          <t>56481485030668</t>
        </is>
      </c>
      <c r="B940" s="1" t="inlineStr">
        <is>
          <t>ANILLO TRES AROS SILVER/BLACK</t>
        </is>
      </c>
      <c r="C940" s="1" t="n"/>
      <c r="D940" s="6" t="n">
        <v>106.2783553</v>
      </c>
      <c r="E940" s="1" t="n"/>
      <c r="F940" s="6" t="n">
        <v>105.3024922</v>
      </c>
      <c r="G940" s="6" t="n">
        <v>104.5858001</v>
      </c>
      <c r="H940" s="1" t="n"/>
      <c r="I940" s="1" t="n"/>
      <c r="J940" s="6" t="n">
        <v>106.5194811</v>
      </c>
      <c r="K940" s="1" t="n"/>
      <c r="L940" s="6" t="n">
        <v>131.9871117</v>
      </c>
      <c r="M940" s="6" t="n">
        <v>105.0730323</v>
      </c>
      <c r="N940" s="1" t="n"/>
    </row>
    <row r="941">
      <c r="A941" s="1" t="inlineStr">
        <is>
          <t>56481485063436</t>
        </is>
      </c>
      <c r="B941" s="1" t="inlineStr">
        <is>
          <t>ANILLO TRES AROS SILVER/BLACK</t>
        </is>
      </c>
      <c r="C941" s="1" t="n"/>
      <c r="D941" s="6" t="n">
        <v>106.2783553</v>
      </c>
      <c r="E941" s="1" t="n"/>
      <c r="F941" s="1" t="n"/>
      <c r="G941" s="1" t="n"/>
      <c r="H941" s="6" t="n">
        <v>106.002089</v>
      </c>
      <c r="I941" s="6" t="n">
        <v>105.3424803</v>
      </c>
      <c r="J941" s="1" t="n"/>
      <c r="K941" s="1" t="n"/>
      <c r="L941" s="1" t="n"/>
      <c r="M941" s="6" t="n">
        <v>105.0730323</v>
      </c>
      <c r="N941" s="1" t="n"/>
    </row>
    <row r="942">
      <c r="A942" s="1" t="inlineStr">
        <is>
          <t>56481485096204</t>
        </is>
      </c>
      <c r="B942" s="1" t="inlineStr">
        <is>
          <t>ANILLO TRES AROS SILVER/BLACK</t>
        </is>
      </c>
      <c r="C942" s="1" t="n"/>
      <c r="D942" s="6" t="n">
        <v>105.4844288</v>
      </c>
      <c r="E942" s="1" t="n"/>
      <c r="F942" s="1" t="n"/>
      <c r="G942" s="6" t="n">
        <v>104.5858001</v>
      </c>
      <c r="H942" s="1" t="n"/>
      <c r="I942" s="6" t="n">
        <v>105.3424803</v>
      </c>
      <c r="J942" s="1" t="n"/>
      <c r="K942" s="1" t="n"/>
      <c r="L942" s="1" t="n"/>
      <c r="M942" s="6" t="n">
        <v>105.0730323</v>
      </c>
      <c r="N942" s="1" t="n"/>
    </row>
    <row r="943">
      <c r="A943" s="1" t="inlineStr">
        <is>
          <t>56481485321228</t>
        </is>
      </c>
      <c r="B943" s="1" t="inlineStr">
        <is>
          <t>COLLAR OPEN HEART</t>
        </is>
      </c>
      <c r="C943" s="1" t="n"/>
      <c r="D943" s="1" t="n"/>
      <c r="E943" s="1" t="n"/>
      <c r="F943" s="1" t="n"/>
      <c r="G943" s="6" t="n">
        <v>146.4201201</v>
      </c>
      <c r="H943" s="1" t="n"/>
      <c r="I943" s="1" t="n"/>
      <c r="J943" s="1" t="n"/>
      <c r="K943" s="6" t="n">
        <v>147.2203151</v>
      </c>
      <c r="L943" s="1" t="n"/>
      <c r="M943" s="6" t="n">
        <v>147.1022452</v>
      </c>
      <c r="N943" s="1" t="n"/>
    </row>
    <row r="944">
      <c r="A944" s="1" t="inlineStr">
        <is>
          <t>56481488272140</t>
        </is>
      </c>
      <c r="B944" s="1" t="inlineStr">
        <is>
          <t>COLLAR PASADOR FULL HEART</t>
        </is>
      </c>
      <c r="C944" s="1" t="n"/>
      <c r="D944" s="6" t="n">
        <v>255.0680528</v>
      </c>
      <c r="E944" s="1" t="n"/>
      <c r="F944" s="6" t="n">
        <v>252.7259813</v>
      </c>
      <c r="G944" s="6" t="n">
        <v>251.0059201</v>
      </c>
      <c r="H944" s="1" t="n"/>
      <c r="I944" s="1" t="n"/>
      <c r="J944" s="1" t="n"/>
      <c r="K944" s="6" t="n">
        <v>252.3776831</v>
      </c>
      <c r="L944" s="1" t="n"/>
      <c r="M944" s="1" t="n"/>
      <c r="N944" s="1" t="n"/>
    </row>
    <row r="945">
      <c r="A945" s="1" t="inlineStr">
        <is>
          <t>56481488554124</t>
        </is>
      </c>
      <c r="B945" s="1" t="inlineStr">
        <is>
          <t>ANILLO TRES AROS CON ZIRCONIA</t>
        </is>
      </c>
      <c r="C945" s="1" t="n"/>
      <c r="D945" s="6" t="n">
        <v>189.8719719</v>
      </c>
      <c r="E945" s="1" t="n"/>
      <c r="F945" s="6" t="n">
        <v>210.6049844</v>
      </c>
      <c r="G945" s="6" t="n">
        <v>209.1716001</v>
      </c>
      <c r="H945" s="1" t="n"/>
      <c r="I945" s="6" t="n">
        <v>210.6849607</v>
      </c>
      <c r="J945" s="1" t="n"/>
      <c r="K945" s="1" t="n"/>
      <c r="L945" s="6" t="n">
        <v>344.5601183</v>
      </c>
      <c r="M945" s="1" t="n"/>
      <c r="N945" s="1" t="n"/>
    </row>
    <row r="946">
      <c r="A946" s="1" t="inlineStr">
        <is>
          <t>56481488586892</t>
        </is>
      </c>
      <c r="B946" s="1" t="inlineStr">
        <is>
          <t>ANILLO TRES AROS CON ZIRCONIA</t>
        </is>
      </c>
      <c r="C946" s="1" t="n"/>
      <c r="D946" s="6" t="n">
        <v>106.2783553</v>
      </c>
      <c r="E946" s="1" t="n"/>
      <c r="F946" s="6" t="n">
        <v>210.6049844</v>
      </c>
      <c r="G946" s="6" t="n">
        <v>209.1716001</v>
      </c>
      <c r="H946" s="1" t="n"/>
      <c r="I946" s="1" t="n"/>
      <c r="J946" s="1" t="n"/>
      <c r="K946" s="1" t="n"/>
      <c r="L946" s="1" t="n"/>
      <c r="M946" s="1" t="n"/>
      <c r="N946" s="1" t="n"/>
    </row>
    <row r="947">
      <c r="A947" s="1" t="inlineStr">
        <is>
          <t>56481488619660</t>
        </is>
      </c>
      <c r="B947" s="1" t="inlineStr">
        <is>
          <t>ANILLO TRES AROS CON ZIRCONIA</t>
        </is>
      </c>
      <c r="C947" s="1" t="n"/>
      <c r="D947" s="1" t="n"/>
      <c r="E947" s="1" t="n"/>
      <c r="F947" s="6" t="n">
        <v>210.6049844</v>
      </c>
      <c r="G947" s="1" t="n"/>
      <c r="H947" s="6" t="n">
        <v>212.0041779</v>
      </c>
      <c r="I947" s="1" t="n"/>
      <c r="J947" s="6" t="n">
        <v>213.0389622</v>
      </c>
      <c r="K947" s="6" t="n">
        <v>210.3147359</v>
      </c>
      <c r="L947" s="6" t="n">
        <v>212.1864227</v>
      </c>
      <c r="M947" s="1" t="n"/>
      <c r="N947" s="1" t="n"/>
    </row>
    <row r="948">
      <c r="A948" s="1" t="inlineStr">
        <is>
          <t>56481489561612</t>
        </is>
      </c>
      <c r="B948" s="1" t="inlineStr">
        <is>
          <t>COLLAR DOBLE PLACA ROSEGOLD</t>
        </is>
      </c>
      <c r="C948" s="1" t="n"/>
      <c r="D948" s="6" t="n">
        <v>105.4844288</v>
      </c>
      <c r="E948" s="1" t="n"/>
      <c r="F948" s="1" t="n"/>
      <c r="G948" s="1" t="n"/>
      <c r="H948" s="6" t="n">
        <v>106.002089</v>
      </c>
      <c r="I948" s="6" t="n">
        <v>105.3424803</v>
      </c>
      <c r="J948" s="1" t="n"/>
      <c r="K948" s="1" t="n"/>
      <c r="L948" s="6" t="n">
        <v>104.9464765</v>
      </c>
      <c r="M948" s="6" t="n">
        <v>105.0730323</v>
      </c>
      <c r="N948" s="1" t="n"/>
    </row>
    <row r="949">
      <c r="A949" s="1" t="inlineStr">
        <is>
          <t>56481494507404</t>
        </is>
      </c>
      <c r="B949" s="1" t="inlineStr">
        <is>
          <t>PULSERA PASADOR FULL HEART</t>
        </is>
      </c>
      <c r="C949" s="1" t="n"/>
      <c r="D949" s="1" t="n"/>
      <c r="E949" s="1" t="n"/>
      <c r="F949" s="1" t="n"/>
      <c r="G949" s="6" t="n">
        <v>209.1716001</v>
      </c>
      <c r="H949" s="1" t="n"/>
      <c r="I949" s="1" t="n"/>
      <c r="J949" s="6" t="n">
        <v>213.0389622</v>
      </c>
      <c r="K949" s="1" t="n"/>
      <c r="L949" s="6" t="n">
        <v>212.1864227</v>
      </c>
      <c r="M949" s="6" t="n">
        <v>210.1460646</v>
      </c>
      <c r="N949" s="1" t="n"/>
    </row>
    <row r="950">
      <c r="A950" s="1" t="inlineStr">
        <is>
          <t>56481495914636</t>
        </is>
      </c>
      <c r="B950" s="1" t="inlineStr">
        <is>
          <t>PULSERA LOVE LOVE GOLD</t>
        </is>
      </c>
      <c r="C950" s="1" t="n"/>
      <c r="D950" s="6" t="n">
        <v>105.4844288</v>
      </c>
      <c r="E950" s="1" t="n"/>
      <c r="F950" s="6" t="n">
        <v>105.3024922</v>
      </c>
      <c r="G950" s="1" t="n"/>
      <c r="H950" s="1" t="n"/>
      <c r="I950" s="1" t="n"/>
      <c r="J950" s="1" t="n"/>
      <c r="K950" s="1" t="n"/>
      <c r="L950" s="1" t="n"/>
      <c r="M950" s="1" t="n"/>
      <c r="N950" s="1" t="n"/>
    </row>
    <row r="951">
      <c r="A951" s="1" t="inlineStr">
        <is>
          <t>56481497298188</t>
        </is>
      </c>
      <c r="B951" s="1" t="inlineStr">
        <is>
          <t>COLLAR LV OMBRE</t>
        </is>
      </c>
      <c r="C951" s="1" t="n"/>
      <c r="D951" s="1" t="n"/>
      <c r="E951" s="1" t="n"/>
      <c r="F951" s="1" t="n"/>
      <c r="G951" s="1" t="n"/>
      <c r="H951" s="1" t="n"/>
      <c r="I951" s="1" t="n"/>
      <c r="J951" s="1" t="n"/>
      <c r="K951" s="6" t="n">
        <v>157.7679581</v>
      </c>
      <c r="L951" s="6" t="n">
        <v>155.9046424</v>
      </c>
      <c r="M951" s="1" t="n"/>
      <c r="N951" s="1" t="n"/>
    </row>
    <row r="952">
      <c r="A952" s="1" t="inlineStr">
        <is>
          <t>56481497508748</t>
        </is>
      </c>
      <c r="B952" s="1" t="inlineStr">
        <is>
          <t>COLLAR DOBLE PLACA ROSEGOLD PLATA</t>
        </is>
      </c>
      <c r="C952" s="1" t="n"/>
      <c r="D952" s="1" t="n"/>
      <c r="E952" s="1" t="n"/>
      <c r="F952" s="1" t="n"/>
      <c r="G952" s="6" t="n">
        <v>104.5858001</v>
      </c>
      <c r="H952" s="1" t="n"/>
      <c r="I952" s="6" t="n">
        <v>105.3424803</v>
      </c>
      <c r="J952" s="1" t="n"/>
      <c r="K952" s="6" t="n">
        <v>105.1573679</v>
      </c>
      <c r="L952" s="6" t="n">
        <v>104.9464765</v>
      </c>
      <c r="M952" s="6" t="n">
        <v>105.0730323</v>
      </c>
      <c r="N952" s="1" t="n"/>
    </row>
    <row r="953">
      <c r="A953" s="1" t="inlineStr">
        <is>
          <t>57465711014125</t>
        </is>
      </c>
      <c r="B953" s="1" t="inlineStr">
        <is>
          <t>SET DEPORTIVO LLM CON ESCOTE V PINK</t>
        </is>
      </c>
      <c r="C953" s="1" t="n"/>
      <c r="D953" s="1" t="n"/>
      <c r="E953" s="6" t="n">
        <v>708.71808</v>
      </c>
      <c r="F953" s="1" t="n"/>
      <c r="G953" s="1" t="n"/>
      <c r="H953" s="1" t="n"/>
      <c r="I953" s="1" t="n"/>
      <c r="J953" s="6" t="n">
        <v>644.5512403</v>
      </c>
      <c r="K953" s="1" t="n"/>
      <c r="L953" s="1" t="n"/>
      <c r="M953" s="1" t="n"/>
      <c r="N953" s="1" t="n"/>
    </row>
    <row r="954">
      <c r="A954" s="1" t="inlineStr">
        <is>
          <t>57529861058989</t>
        </is>
      </c>
      <c r="B954" s="1" t="inlineStr">
        <is>
          <t>PULSERA MM GOLD-BLACK</t>
        </is>
      </c>
      <c r="C954" s="1" t="n"/>
      <c r="D954" s="1" t="n"/>
      <c r="E954" s="6" t="n">
        <v>147.6865515</v>
      </c>
      <c r="F954" s="1" t="n"/>
      <c r="G954" s="1" t="n"/>
      <c r="H954" s="1" t="n"/>
      <c r="I954" s="1" t="n"/>
      <c r="J954" s="1" t="n"/>
      <c r="K954" s="6" t="n">
        <v>147.0100004</v>
      </c>
      <c r="L954" s="6" t="n">
        <v>167.7044694</v>
      </c>
      <c r="M954" s="1" t="n"/>
      <c r="N954" s="1" t="n"/>
    </row>
    <row r="955">
      <c r="A955" s="1" t="inlineStr">
        <is>
          <t>57913391088461</t>
        </is>
      </c>
      <c r="B955" s="1" t="inlineStr">
        <is>
          <t>COLLAR T ESLABONES GOLD CON PEARL</t>
        </is>
      </c>
      <c r="C955" s="1" t="n"/>
      <c r="D955" s="1" t="n"/>
      <c r="E955" s="6" t="n">
        <v>401.606912</v>
      </c>
      <c r="F955" s="1" t="n"/>
      <c r="G955" s="1" t="n"/>
      <c r="H955" s="6" t="n">
        <v>442.5371893</v>
      </c>
      <c r="I955" s="1" t="n"/>
      <c r="J955" s="1" t="n"/>
      <c r="K955" s="1" t="n"/>
      <c r="L955" s="1" t="n"/>
      <c r="M955" s="1" t="n"/>
      <c r="N955" s="1" t="n"/>
    </row>
    <row r="956">
      <c r="A956" s="1" t="inlineStr">
        <is>
          <t>58071991054829</t>
        </is>
      </c>
      <c r="B956" s="1" t="inlineStr">
        <is>
          <t>BOLSO YSL CON CADENA BURDEOS</t>
        </is>
      </c>
      <c r="C956" s="1" t="n"/>
      <c r="D956" s="1" t="n"/>
      <c r="E956" s="1" t="n"/>
      <c r="F956" s="1" t="n"/>
      <c r="G956" s="1" t="n"/>
      <c r="H956" s="1" t="n"/>
      <c r="I956" s="1" t="n"/>
      <c r="J956" s="1" t="n"/>
      <c r="K956" s="6" t="n">
        <v>1244.038386</v>
      </c>
      <c r="L956" s="1" t="n"/>
      <c r="M956" s="1" t="n"/>
      <c r="N956" s="1" t="n"/>
    </row>
    <row r="957">
      <c r="A957" s="1" t="inlineStr">
        <is>
          <t>58120951042445</t>
        </is>
      </c>
      <c r="B957" s="1" t="inlineStr">
        <is>
          <t>BOLSO SADDLE CD BLACK</t>
        </is>
      </c>
      <c r="C957" s="1" t="n"/>
      <c r="D957" s="1" t="n"/>
      <c r="E957" s="6" t="n">
        <v>1493.503945</v>
      </c>
      <c r="F957" s="1" t="n"/>
      <c r="G957" s="1" t="n"/>
      <c r="H957" s="6" t="n">
        <v>1515.483377</v>
      </c>
      <c r="I957" s="1" t="n"/>
      <c r="J957" s="1" t="n"/>
      <c r="K957" s="1" t="n"/>
      <c r="L957" s="1" t="n"/>
      <c r="M957" s="1" t="n"/>
      <c r="N957" s="1" t="n"/>
    </row>
    <row r="958">
      <c r="A958" s="1" t="inlineStr">
        <is>
          <t>58431441010509</t>
        </is>
      </c>
      <c r="B958" s="1" t="inlineStr">
        <is>
          <t>ANILLO T SILVER ZIRCONIAS</t>
        </is>
      </c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6" t="n">
        <v>84.87456907000001</v>
      </c>
      <c r="M958" s="1" t="n"/>
      <c r="N958" s="1" t="n"/>
    </row>
    <row r="959">
      <c r="A959" s="1" t="inlineStr">
        <is>
          <t>58450831080173</t>
        </is>
      </c>
      <c r="B959" s="1" t="inlineStr">
        <is>
          <t>BOLSA DE RAQUETA LLM CREAM</t>
        </is>
      </c>
      <c r="C959" s="1" t="n"/>
      <c r="D959" s="1" t="n"/>
      <c r="E959" s="6" t="n">
        <v>188.991488</v>
      </c>
      <c r="F959" s="1" t="n"/>
      <c r="G959" s="1" t="n"/>
      <c r="H959" s="6" t="n">
        <v>780.9479811</v>
      </c>
      <c r="I959" s="1" t="n"/>
      <c r="J959" s="1" t="n"/>
      <c r="K959" s="6" t="n">
        <v>768.2633501</v>
      </c>
      <c r="L959" s="1" t="n"/>
      <c r="M959" s="1" t="n"/>
      <c r="N959" s="1" t="n"/>
    </row>
    <row r="960">
      <c r="A960" s="1" t="inlineStr">
        <is>
          <t>58501868312588</t>
        </is>
      </c>
      <c r="B960" s="1" t="inlineStr">
        <is>
          <t>PULSERA PERLEÉ ROSEGOLD ANCHA</t>
        </is>
      </c>
      <c r="C960" s="1" t="n"/>
      <c r="D960" s="6" t="n">
        <v>302.480718</v>
      </c>
      <c r="E960" s="1" t="n"/>
      <c r="F960" s="1" t="n"/>
      <c r="G960" s="1" t="n"/>
      <c r="H960" s="1" t="n"/>
      <c r="I960" s="1" t="n"/>
      <c r="J960" s="1" t="n"/>
      <c r="K960" s="1" t="n"/>
      <c r="L960" s="6" t="n">
        <v>340.4351752</v>
      </c>
      <c r="M960" s="1" t="n"/>
      <c r="N960" s="6" t="n">
        <v>321.3805927</v>
      </c>
    </row>
    <row r="961">
      <c r="A961" s="1" t="inlineStr">
        <is>
          <t>58825512266892</t>
        </is>
      </c>
      <c r="B961" s="1" t="inlineStr">
        <is>
          <t>TARJETERO G BROWN</t>
        </is>
      </c>
      <c r="C961" s="1" t="n"/>
      <c r="D961" s="1" t="n"/>
      <c r="E961" s="6" t="n">
        <v>662.9061368</v>
      </c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</row>
    <row r="962">
      <c r="A962" s="1" t="inlineStr">
        <is>
          <t>58980701022381</t>
        </is>
      </c>
      <c r="B962" s="1" t="inlineStr">
        <is>
          <t>TARJETERO LV ENVELOPE</t>
        </is>
      </c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6" t="n">
        <v>349.2106159</v>
      </c>
      <c r="M962" s="1" t="n"/>
      <c r="N962" s="1" t="n"/>
    </row>
    <row r="963">
      <c r="A963" s="1" t="inlineStr">
        <is>
          <t>58980701120685</t>
        </is>
      </c>
      <c r="B963" s="1" t="inlineStr">
        <is>
          <t>TARJETERO LV CHARMS PINK</t>
        </is>
      </c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6" t="n">
        <v>358.9176518</v>
      </c>
      <c r="M963" s="1" t="n"/>
      <c r="N963" s="1" t="n"/>
    </row>
    <row r="964">
      <c r="A964" s="1" t="inlineStr">
        <is>
          <t>58980701284525</t>
        </is>
      </c>
      <c r="B964" s="1" t="inlineStr">
        <is>
          <t>TARJETERO LV SLIM G69</t>
        </is>
      </c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6" t="n">
        <v>378.3317236</v>
      </c>
      <c r="M964" s="1" t="n"/>
      <c r="N964" s="1" t="n"/>
    </row>
    <row r="965">
      <c r="A965" s="1" t="inlineStr">
        <is>
          <t>58980701348365</t>
        </is>
      </c>
      <c r="B965" s="1" t="inlineStr">
        <is>
          <t>TARJETERO CC CLASSIC CON CREMALLERA</t>
        </is>
      </c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6" t="n">
        <v>426.866903</v>
      </c>
      <c r="M965" s="1" t="n"/>
      <c r="N965" s="1" t="n"/>
    </row>
    <row r="966">
      <c r="A966" s="1" t="inlineStr">
        <is>
          <t>58980701413901</t>
        </is>
      </c>
      <c r="B966" s="1" t="inlineStr">
        <is>
          <t>BROCHE CC PEARLS BLACK</t>
        </is>
      </c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6" t="n">
        <v>167.2036931</v>
      </c>
      <c r="M966" s="1" t="n"/>
      <c r="N966" s="1" t="n"/>
    </row>
    <row r="967">
      <c r="A967" s="1" t="inlineStr">
        <is>
          <t>58980701543277</t>
        </is>
      </c>
      <c r="B967" s="1" t="inlineStr">
        <is>
          <t>ANILLO CC COCO ZIRCONIA ROSE GOLD</t>
        </is>
      </c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6" t="n">
        <v>162.3501752</v>
      </c>
      <c r="M967" s="1" t="n"/>
      <c r="N967" s="1" t="n"/>
    </row>
    <row r="968">
      <c r="A968" s="1" t="inlineStr">
        <is>
          <t>58980701641581</t>
        </is>
      </c>
      <c r="B968" s="1" t="inlineStr">
        <is>
          <t>ANILLO CC COCO ZIRCONIA GOLD</t>
        </is>
      </c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6" t="n">
        <v>162.3501752</v>
      </c>
      <c r="M968" s="1" t="n"/>
      <c r="N968" s="1" t="n"/>
    </row>
    <row r="969">
      <c r="A969" s="1" t="inlineStr">
        <is>
          <t>58980701738189</t>
        </is>
      </c>
      <c r="B969" s="1" t="inlineStr">
        <is>
          <t>ANILLO CC COCO ZIRCONIA SILVER</t>
        </is>
      </c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6" t="n">
        <v>162.3501752</v>
      </c>
      <c r="M969" s="1" t="n"/>
      <c r="N969" s="1" t="n"/>
    </row>
    <row r="970">
      <c r="A970" s="1" t="inlineStr">
        <is>
          <t>58980701834797</t>
        </is>
      </c>
      <c r="B970" s="1" t="inlineStr">
        <is>
          <t>ANILLO CC COCO SLIM SILVER</t>
        </is>
      </c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6" t="n">
        <v>179.337488</v>
      </c>
      <c r="M970" s="1" t="n"/>
      <c r="N970" s="1" t="n"/>
    </row>
    <row r="971">
      <c r="A971" s="1" t="inlineStr">
        <is>
          <t>58980701967565</t>
        </is>
      </c>
      <c r="B971" s="1" t="inlineStr">
        <is>
          <t>ANILLO CC COCO SLIM SILVER</t>
        </is>
      </c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6" t="n">
        <v>179.337488</v>
      </c>
      <c r="M971" s="1" t="n"/>
      <c r="N971" s="1" t="n"/>
    </row>
    <row r="972">
      <c r="A972" s="1" t="inlineStr">
        <is>
          <t>58980702033101</t>
        </is>
      </c>
      <c r="B972" s="1" t="inlineStr">
        <is>
          <t>ANILLO CC CAMELIA ROSE GOLD</t>
        </is>
      </c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6" t="n">
        <v>256.993775</v>
      </c>
      <c r="M972" s="1" t="n"/>
      <c r="N972" s="1" t="n"/>
    </row>
    <row r="973">
      <c r="A973" s="1" t="inlineStr">
        <is>
          <t>58980702165869</t>
        </is>
      </c>
      <c r="B973" s="1" t="inlineStr">
        <is>
          <t>ANILLO CC CAMELIA ROSE GOLD</t>
        </is>
      </c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6" t="n">
        <v>256.993775</v>
      </c>
      <c r="M973" s="1" t="n"/>
      <c r="N973" s="1" t="n"/>
    </row>
    <row r="974">
      <c r="A974" s="1" t="inlineStr">
        <is>
          <t>58980702231405</t>
        </is>
      </c>
      <c r="B974" s="1" t="inlineStr">
        <is>
          <t>ANILLO CC ETERNAL N5</t>
        </is>
      </c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6" t="n">
        <v>162.3501752</v>
      </c>
      <c r="M974" s="1" t="n"/>
      <c r="N974" s="1" t="n"/>
    </row>
    <row r="975">
      <c r="A975" s="1" t="inlineStr">
        <is>
          <t>58980702364173</t>
        </is>
      </c>
      <c r="B975" s="1" t="inlineStr">
        <is>
          <t>ANILLO CC ETERNAL N5</t>
        </is>
      </c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6" t="n">
        <v>162.3501752</v>
      </c>
      <c r="M975" s="1" t="n"/>
      <c r="N975" s="1" t="n"/>
    </row>
    <row r="976">
      <c r="A976" s="1" t="inlineStr">
        <is>
          <t>58980702491853</t>
        </is>
      </c>
      <c r="B976" s="1" t="inlineStr">
        <is>
          <t>PULSERA CC COCO C ROSEGOLD</t>
        </is>
      </c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6" t="n">
        <v>162.3501752</v>
      </c>
      <c r="M976" s="1" t="n"/>
      <c r="N976" s="1" t="n"/>
    </row>
    <row r="977">
      <c r="A977" s="1" t="inlineStr">
        <is>
          <t>58980702524621</t>
        </is>
      </c>
      <c r="B977" s="1" t="inlineStr">
        <is>
          <t>PULSERA CC EXTRAIT CAMELIA</t>
        </is>
      </c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6" t="n">
        <v>193.8980418</v>
      </c>
      <c r="M977" s="1" t="n"/>
      <c r="N977" s="1" t="n"/>
    </row>
    <row r="978">
      <c r="A978" s="1" t="inlineStr">
        <is>
          <t>58980702657389</t>
        </is>
      </c>
      <c r="B978" s="1" t="inlineStr">
        <is>
          <t>BRAZALETE CC COCO CRUSH SILVER</t>
        </is>
      </c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6" t="n">
        <v>305.5289544</v>
      </c>
      <c r="M978" s="1" t="n"/>
      <c r="N978" s="1" t="n"/>
    </row>
    <row r="979">
      <c r="A979" s="1" t="inlineStr">
        <is>
          <t>58980702753997</t>
        </is>
      </c>
      <c r="B979" s="1" t="inlineStr">
        <is>
          <t>BRAZALETE CC COCO CRUSH GOLD ZIRCONIAS</t>
        </is>
      </c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6" t="n">
        <v>533.6442977</v>
      </c>
      <c r="M979" s="1" t="n"/>
      <c r="N979" s="1" t="n"/>
    </row>
    <row r="980">
      <c r="A980" s="1" t="inlineStr">
        <is>
          <t>58980702817837</t>
        </is>
      </c>
      <c r="B980" s="1" t="inlineStr">
        <is>
          <t>ARETES CC ETOILE FILANTE SILVER</t>
        </is>
      </c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6" t="n">
        <v>184.1910059</v>
      </c>
      <c r="M980" s="1" t="n"/>
      <c r="N980" s="1" t="n"/>
    </row>
    <row r="981">
      <c r="A981" s="1" t="inlineStr">
        <is>
          <t>58980702950605</t>
        </is>
      </c>
      <c r="B981" s="1" t="inlineStr">
        <is>
          <t>ARRACADAS CC COCO HOOPS</t>
        </is>
      </c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6" t="n">
        <v>198.7515597</v>
      </c>
      <c r="M981" s="1" t="n"/>
      <c r="N981" s="1" t="n"/>
    </row>
    <row r="982">
      <c r="A982" s="1" t="inlineStr">
        <is>
          <t>58980703081677</t>
        </is>
      </c>
      <c r="B982" s="1" t="inlineStr">
        <is>
          <t>ARETES CC BOUTON CAMELIA</t>
        </is>
      </c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6" t="n">
        <v>193.8980418</v>
      </c>
      <c r="M982" s="1" t="n"/>
      <c r="N982" s="1" t="n"/>
    </row>
    <row r="983">
      <c r="A983" s="1" t="inlineStr">
        <is>
          <t>58980703240429</t>
        </is>
      </c>
      <c r="B983" s="1" t="inlineStr">
        <is>
          <t>COLLAR CC ETOILE FILANTE</t>
        </is>
      </c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6" t="n">
        <v>198.7515597</v>
      </c>
      <c r="M983" s="1" t="n"/>
      <c r="N983" s="1" t="n"/>
    </row>
    <row r="984">
      <c r="A984" s="1" t="inlineStr">
        <is>
          <t>58980703373197</t>
        </is>
      </c>
      <c r="B984" s="1" t="inlineStr">
        <is>
          <t>CARTERA CD ALARGADA GRAVITY</t>
        </is>
      </c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6" t="n">
        <v>523.9372618</v>
      </c>
      <c r="M984" s="1" t="n"/>
      <c r="N984" s="1" t="n"/>
    </row>
    <row r="985">
      <c r="A985" s="1" t="inlineStr">
        <is>
          <t>58980703437037</t>
        </is>
      </c>
      <c r="B985" s="1" t="inlineStr">
        <is>
          <t>CARTERA CD LONG BIFOLD</t>
        </is>
      </c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6" t="n">
        <v>523.9372618</v>
      </c>
      <c r="M985" s="1" t="n"/>
      <c r="N985" s="1" t="n"/>
    </row>
    <row r="986">
      <c r="A986" s="1" t="inlineStr">
        <is>
          <t>58980703502573</t>
        </is>
      </c>
      <c r="B986" s="1" t="inlineStr">
        <is>
          <t>CARTERA CD GRAVITY</t>
        </is>
      </c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6" t="n">
        <v>475.4020824</v>
      </c>
      <c r="M986" s="1" t="n"/>
      <c r="N986" s="1" t="n"/>
    </row>
    <row r="987">
      <c r="A987" s="1" t="inlineStr">
        <is>
          <t>58980703623469</t>
        </is>
      </c>
      <c r="B987" s="1" t="inlineStr">
        <is>
          <t>CARTERA CD SADDLE BLACK</t>
        </is>
      </c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6" t="n">
        <v>475.4020824</v>
      </c>
      <c r="M987" s="1" t="n"/>
      <c r="N987" s="1" t="n"/>
    </row>
    <row r="988">
      <c r="A988" s="1" t="inlineStr">
        <is>
          <t>58980703754541</t>
        </is>
      </c>
      <c r="B988" s="1" t="inlineStr">
        <is>
          <t>CARTERA CD SADDLE</t>
        </is>
      </c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6" t="n">
        <v>475.4020824</v>
      </c>
      <c r="M988" s="1" t="n"/>
      <c r="N988" s="1" t="n"/>
    </row>
    <row r="989">
      <c r="A989" s="1" t="inlineStr">
        <is>
          <t>59002381085069</t>
        </is>
      </c>
      <c r="B989" s="1" t="inlineStr">
        <is>
          <t>ANILLO T ZIRCONIAS GOLD</t>
        </is>
      </c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6" t="n">
        <v>84.87456907000001</v>
      </c>
      <c r="M989" s="1" t="n"/>
      <c r="N989" s="1" t="n"/>
    </row>
    <row r="990">
      <c r="A990" s="1" t="inlineStr">
        <is>
          <t>59109721071085</t>
        </is>
      </c>
      <c r="B990" s="1" t="inlineStr">
        <is>
          <t>GORRA CD BEIS BLACK</t>
        </is>
      </c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6" t="n">
        <v>587.7002682999999</v>
      </c>
      <c r="M990" s="1" t="n"/>
      <c r="N990" s="1" t="n"/>
    </row>
    <row r="991">
      <c r="A991" s="1" t="inlineStr">
        <is>
          <t>59109721136621</t>
        </is>
      </c>
      <c r="B991" s="1" t="inlineStr">
        <is>
          <t>VISERA CD V1U</t>
        </is>
      </c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6" t="n">
        <v>629.6788589</v>
      </c>
      <c r="M991" s="1" t="n"/>
      <c r="N991" s="1" t="n"/>
    </row>
    <row r="992">
      <c r="A992" s="1" t="inlineStr">
        <is>
          <t>59109721202157</t>
        </is>
      </c>
      <c r="B992" s="1" t="inlineStr">
        <is>
          <t>GARGANTILLA F O'LOCK GOLD</t>
        </is>
      </c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6" t="n">
        <v>293.8501341</v>
      </c>
      <c r="M992" s="1" t="n"/>
      <c r="N992" s="1" t="n"/>
    </row>
    <row r="993">
      <c r="A993" s="1" t="inlineStr">
        <is>
          <t>59109721331533</t>
        </is>
      </c>
      <c r="B993" s="1" t="inlineStr">
        <is>
          <t>COLLAR F O'LOCK TRIPLE GOLD</t>
        </is>
      </c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6" t="n">
        <v>188.9036577</v>
      </c>
      <c r="M993" s="1" t="n"/>
      <c r="N993" s="1" t="n"/>
    </row>
    <row r="994">
      <c r="A994" s="1" t="inlineStr">
        <is>
          <t>59109721417965</t>
        </is>
      </c>
      <c r="B994" s="1" t="inlineStr">
        <is>
          <t>COLLAR F TRIPLE GOLD</t>
        </is>
      </c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6" t="n">
        <v>188.6937647</v>
      </c>
      <c r="M994" s="1" t="n"/>
      <c r="N994" s="1" t="n"/>
    </row>
    <row r="995">
      <c r="A995" s="1" t="inlineStr">
        <is>
          <t>59109721516269</t>
        </is>
      </c>
      <c r="B995" s="1" t="inlineStr">
        <is>
          <t>COLLAR F O'LOCK CRYSTALS</t>
        </is>
      </c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6" t="n">
        <v>188.6937647</v>
      </c>
      <c r="M995" s="1" t="n"/>
      <c r="N995" s="1" t="n"/>
    </row>
    <row r="996">
      <c r="A996" s="1" t="inlineStr">
        <is>
          <t>59109721657165</t>
        </is>
      </c>
      <c r="B996" s="1" t="inlineStr">
        <is>
          <t>BRAZALETE LOVE GOLD</t>
        </is>
      </c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6" t="n">
        <v>62.75799293</v>
      </c>
      <c r="M996" s="1" t="n"/>
      <c r="N996" s="1" t="n"/>
    </row>
    <row r="997">
      <c r="A997" s="1" t="inlineStr">
        <is>
          <t>59109721776717</t>
        </is>
      </c>
      <c r="B997" s="1" t="inlineStr">
        <is>
          <t>ARETES LV X TM CERISE</t>
        </is>
      </c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6" t="n">
        <v>167.9143624</v>
      </c>
      <c r="M997" s="1" t="n"/>
      <c r="N997" s="1" t="n"/>
    </row>
    <row r="998">
      <c r="A998" s="1" t="inlineStr">
        <is>
          <t>59109721807789</t>
        </is>
      </c>
      <c r="B998" s="1" t="inlineStr">
        <is>
          <t>COLLAR BV PARENTESI SILVER</t>
        </is>
      </c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6" t="n">
        <v>178.40901</v>
      </c>
      <c r="M998" s="1" t="n"/>
      <c r="N998" s="1" t="n"/>
    </row>
    <row r="999">
      <c r="A999" s="1" t="inlineStr">
        <is>
          <t>59109721938861</t>
        </is>
      </c>
      <c r="B999" s="1" t="inlineStr">
        <is>
          <t>ARETES MM HEART PINK</t>
        </is>
      </c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6" t="n">
        <v>188.6937647</v>
      </c>
      <c r="M999" s="1" t="n"/>
      <c r="N999" s="1" t="n"/>
    </row>
    <row r="1000">
      <c r="A1000" s="1" t="inlineStr">
        <is>
          <t>59109722069933</t>
        </is>
      </c>
      <c r="B1000" s="1" t="inlineStr">
        <is>
          <t>COLLAR MM GOLD-PINK</t>
        </is>
      </c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6" t="n">
        <v>188.6937647</v>
      </c>
      <c r="M1000" s="1" t="n"/>
      <c r="N1000" s="1" t="n"/>
    </row>
    <row r="1001">
      <c r="A1001" s="1" t="inlineStr">
        <is>
          <t>59109722102701</t>
        </is>
      </c>
      <c r="B1001" s="1" t="inlineStr">
        <is>
          <t>COLLAR MM GOLD-WHITE</t>
        </is>
      </c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6" t="n">
        <v>188.6937647</v>
      </c>
      <c r="M1001" s="1" t="n"/>
      <c r="N1001" s="1" t="n"/>
    </row>
    <row r="1002">
      <c r="A1002" s="1" t="inlineStr">
        <is>
          <t>59109722266541</t>
        </is>
      </c>
      <c r="B1002" s="1" t="inlineStr">
        <is>
          <t>ANILLO T PADLOCK SILVER</t>
        </is>
      </c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6" t="n">
        <v>104.9464765</v>
      </c>
      <c r="M1002" s="1" t="n"/>
      <c r="N1002" s="1" t="n"/>
    </row>
    <row r="1003">
      <c r="A1003" s="1" t="inlineStr">
        <is>
          <t>59109722399309</t>
        </is>
      </c>
      <c r="B1003" s="1" t="inlineStr">
        <is>
          <t>ANILLO T PADLOCK SILVER</t>
        </is>
      </c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6" t="n">
        <v>104.9464765</v>
      </c>
      <c r="M1003" s="1" t="n"/>
      <c r="N1003" s="1" t="n"/>
    </row>
    <row r="1004">
      <c r="A1004" s="1" t="inlineStr">
        <is>
          <t>59109722426989</t>
        </is>
      </c>
      <c r="B1004" s="1" t="inlineStr">
        <is>
          <t>ANILLO T LOVE HEART</t>
        </is>
      </c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  <c r="L1004" s="6" t="n">
        <v>115.4411241</v>
      </c>
      <c r="M1004" s="1" t="n"/>
      <c r="N1004" s="1" t="n"/>
    </row>
    <row r="1005">
      <c r="A1005" s="1" t="inlineStr">
        <is>
          <t>59109722559757</t>
        </is>
      </c>
      <c r="B1005" s="1" t="inlineStr">
        <is>
          <t>ANILLO T LOVE HEART</t>
        </is>
      </c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  <c r="L1005" s="6" t="n">
        <v>115.4411241</v>
      </c>
      <c r="M1005" s="1" t="n"/>
      <c r="N1005" s="1" t="n"/>
    </row>
    <row r="1006">
      <c r="A1006" s="1" t="inlineStr">
        <is>
          <t>59109722620205</t>
        </is>
      </c>
      <c r="B1006" s="1" t="inlineStr">
        <is>
          <t>ANILLO T BUGS BUTTERFLY</t>
        </is>
      </c>
      <c r="C1006" s="1" t="n"/>
      <c r="D1006" s="1" t="n"/>
      <c r="E1006" s="1" t="n"/>
      <c r="F1006" s="1" t="n"/>
      <c r="G1006" s="1" t="n"/>
      <c r="H1006" s="1" t="n"/>
      <c r="I1006" s="1" t="n"/>
      <c r="J1006" s="1" t="n"/>
      <c r="K1006" s="1" t="n"/>
      <c r="L1006" s="6" t="n">
        <v>104.9464765</v>
      </c>
      <c r="M1006" s="1" t="n"/>
      <c r="N1006" s="1" t="n"/>
    </row>
    <row r="1007">
      <c r="A1007" s="1" t="inlineStr">
        <is>
          <t>59109722752973</t>
        </is>
      </c>
      <c r="B1007" s="1" t="inlineStr">
        <is>
          <t>ANILLO T BUGS BUTTERFLY</t>
        </is>
      </c>
      <c r="C1007" s="1" t="n"/>
      <c r="D1007" s="1" t="n"/>
      <c r="E1007" s="1" t="n"/>
      <c r="F1007" s="1" t="n"/>
      <c r="G1007" s="1" t="n"/>
      <c r="H1007" s="1" t="n"/>
      <c r="I1007" s="1" t="n"/>
      <c r="J1007" s="1" t="n"/>
      <c r="K1007" s="1" t="n"/>
      <c r="L1007" s="6" t="n">
        <v>104.9464765</v>
      </c>
      <c r="M1007" s="1" t="n"/>
      <c r="N1007" s="1" t="n"/>
    </row>
    <row r="1008">
      <c r="A1008" s="1" t="inlineStr">
        <is>
          <t>59109722815117</t>
        </is>
      </c>
      <c r="B1008" s="1" t="inlineStr">
        <is>
          <t>ANILLO T LADY BUG</t>
        </is>
      </c>
      <c r="C1008" s="1" t="n"/>
      <c r="D1008" s="1" t="n"/>
      <c r="E1008" s="1" t="n"/>
      <c r="F1008" s="1" t="n"/>
      <c r="G1008" s="1" t="n"/>
      <c r="H1008" s="1" t="n"/>
      <c r="I1008" s="1" t="n"/>
      <c r="J1008" s="1" t="n"/>
      <c r="K1008" s="1" t="n"/>
      <c r="L1008" s="6" t="n">
        <v>104.9464765</v>
      </c>
      <c r="M1008" s="1" t="n"/>
      <c r="N1008" s="1" t="n"/>
    </row>
    <row r="1009">
      <c r="A1009" s="1" t="inlineStr">
        <is>
          <t>59109722947885</t>
        </is>
      </c>
      <c r="B1009" s="1" t="inlineStr">
        <is>
          <t>ANILLO T LADY BUG</t>
        </is>
      </c>
      <c r="C1009" s="1" t="n"/>
      <c r="D1009" s="1" t="n"/>
      <c r="E1009" s="1" t="n"/>
      <c r="F1009" s="1" t="n"/>
      <c r="G1009" s="1" t="n"/>
      <c r="H1009" s="1" t="n"/>
      <c r="I1009" s="1" t="n"/>
      <c r="J1009" s="1" t="n"/>
      <c r="K1009" s="1" t="n"/>
      <c r="L1009" s="6" t="n">
        <v>104.9464765</v>
      </c>
      <c r="M1009" s="1" t="n"/>
      <c r="N1009" s="1" t="n"/>
    </row>
    <row r="1010">
      <c r="A1010" s="1" t="inlineStr">
        <is>
          <t>59109723011725</t>
        </is>
      </c>
      <c r="B1010" s="1" t="inlineStr">
        <is>
          <t>ANILLO SIXTEEN STONE SCHLUM</t>
        </is>
      </c>
      <c r="C1010" s="1" t="n"/>
      <c r="D1010" s="1" t="n"/>
      <c r="E1010" s="1" t="n"/>
      <c r="F1010" s="1" t="n"/>
      <c r="G1010" s="1" t="n"/>
      <c r="H1010" s="1" t="n"/>
      <c r="I1010" s="1" t="n"/>
      <c r="J1010" s="1" t="n"/>
      <c r="K1010" s="1" t="n"/>
      <c r="L1010" s="6" t="n">
        <v>115.4411241</v>
      </c>
      <c r="M1010" s="1" t="n"/>
      <c r="N1010" s="1" t="n"/>
    </row>
    <row r="1011">
      <c r="A1011" s="1" t="inlineStr">
        <is>
          <t>59109723144493</t>
        </is>
      </c>
      <c r="B1011" s="1" t="inlineStr">
        <is>
          <t>ANILLO SIXTEEN STONE SCHLUM</t>
        </is>
      </c>
      <c r="C1011" s="1" t="n"/>
      <c r="D1011" s="1" t="n"/>
      <c r="E1011" s="1" t="n"/>
      <c r="F1011" s="1" t="n"/>
      <c r="G1011" s="1" t="n"/>
      <c r="H1011" s="1" t="n"/>
      <c r="I1011" s="1" t="n"/>
      <c r="J1011" s="1" t="n"/>
      <c r="K1011" s="1" t="n"/>
      <c r="L1011" s="6" t="n">
        <v>115.4411241</v>
      </c>
      <c r="M1011" s="1" t="n"/>
      <c r="N1011" s="1" t="n"/>
    </row>
    <row r="1012">
      <c r="A1012" s="1" t="inlineStr">
        <is>
          <t>59109723277261</t>
        </is>
      </c>
      <c r="B1012" s="1" t="inlineStr">
        <is>
          <t>ANILLO SIXTEEN STONE SCHLUM</t>
        </is>
      </c>
      <c r="C1012" s="1" t="n"/>
      <c r="D1012" s="1" t="n"/>
      <c r="E1012" s="1" t="n"/>
      <c r="F1012" s="1" t="n"/>
      <c r="G1012" s="1" t="n"/>
      <c r="H1012" s="1" t="n"/>
      <c r="I1012" s="1" t="n"/>
      <c r="J1012" s="1" t="n"/>
      <c r="K1012" s="1" t="n"/>
      <c r="L1012" s="6" t="n">
        <v>115.4411241</v>
      </c>
      <c r="M1012" s="1" t="n"/>
      <c r="N1012" s="1" t="n"/>
    </row>
    <row r="1013">
      <c r="A1013" s="1" t="inlineStr">
        <is>
          <t>59109723341101</t>
        </is>
      </c>
      <c r="B1013" s="1" t="inlineStr">
        <is>
          <t>ANILLO T VICTORIA VINE</t>
        </is>
      </c>
      <c r="C1013" s="1" t="n"/>
      <c r="D1013" s="1" t="n"/>
      <c r="E1013" s="1" t="n"/>
      <c r="F1013" s="1" t="n"/>
      <c r="G1013" s="1" t="n"/>
      <c r="H1013" s="1" t="n"/>
      <c r="I1013" s="1" t="n"/>
      <c r="J1013" s="1" t="n"/>
      <c r="K1013" s="1" t="n"/>
      <c r="L1013" s="6" t="n">
        <v>136.4304194</v>
      </c>
      <c r="M1013" s="1" t="n"/>
      <c r="N1013" s="1" t="n"/>
    </row>
    <row r="1014">
      <c r="A1014" s="1" t="inlineStr">
        <is>
          <t>59109723473869</t>
        </is>
      </c>
      <c r="B1014" s="1" t="inlineStr">
        <is>
          <t>ANILLO T VICTORIA VINE</t>
        </is>
      </c>
      <c r="C1014" s="1" t="n"/>
      <c r="D1014" s="1" t="n"/>
      <c r="E1014" s="1" t="n"/>
      <c r="F1014" s="1" t="n"/>
      <c r="G1014" s="1" t="n"/>
      <c r="H1014" s="1" t="n"/>
      <c r="I1014" s="1" t="n"/>
      <c r="J1014" s="1" t="n"/>
      <c r="K1014" s="1" t="n"/>
      <c r="L1014" s="6" t="n">
        <v>136.4304194</v>
      </c>
      <c r="M1014" s="1" t="n"/>
      <c r="N1014" s="1" t="n"/>
    </row>
    <row r="1015">
      <c r="A1015" s="1" t="inlineStr">
        <is>
          <t>59109723572173</t>
        </is>
      </c>
      <c r="B1015" s="1" t="inlineStr">
        <is>
          <t>ANILLO T STERLING SILVER</t>
        </is>
      </c>
      <c r="C1015" s="1" t="n"/>
      <c r="D1015" s="1" t="n"/>
      <c r="E1015" s="1" t="n"/>
      <c r="F1015" s="1" t="n"/>
      <c r="G1015" s="1" t="n"/>
      <c r="H1015" s="1" t="n"/>
      <c r="I1015" s="1" t="n"/>
      <c r="J1015" s="1" t="n"/>
      <c r="K1015" s="1" t="n"/>
      <c r="L1015" s="6" t="n">
        <v>125.9357718</v>
      </c>
      <c r="M1015" s="1" t="n"/>
      <c r="N1015" s="1" t="n"/>
    </row>
    <row r="1016">
      <c r="A1016" s="1" t="inlineStr">
        <is>
          <t>59109723604941</t>
        </is>
      </c>
      <c r="B1016" s="1" t="inlineStr">
        <is>
          <t>ANILLO T STERLING SILVER</t>
        </is>
      </c>
      <c r="C1016" s="1" t="n"/>
      <c r="D1016" s="1" t="n"/>
      <c r="E1016" s="1" t="n"/>
      <c r="F1016" s="1" t="n"/>
      <c r="G1016" s="1" t="n"/>
      <c r="H1016" s="1" t="n"/>
      <c r="I1016" s="1" t="n"/>
      <c r="J1016" s="1" t="n"/>
      <c r="K1016" s="1" t="n"/>
      <c r="L1016" s="6" t="n">
        <v>125.9357718</v>
      </c>
      <c r="M1016" s="1" t="n"/>
      <c r="N1016" s="1" t="n"/>
    </row>
    <row r="1017">
      <c r="A1017" s="1" t="inlineStr">
        <is>
          <t>59109723736013</t>
        </is>
      </c>
      <c r="B1017" s="1" t="inlineStr">
        <is>
          <t>PULSERA T DOUBLE CHAIN SILVER</t>
        </is>
      </c>
      <c r="C1017" s="1" t="n"/>
      <c r="D1017" s="1" t="n"/>
      <c r="E1017" s="1" t="n"/>
      <c r="F1017" s="1" t="n"/>
      <c r="G1017" s="1" t="n"/>
      <c r="H1017" s="1" t="n"/>
      <c r="I1017" s="1" t="n"/>
      <c r="J1017" s="1" t="n"/>
      <c r="K1017" s="1" t="n"/>
      <c r="L1017" s="6" t="n">
        <v>125.9357718</v>
      </c>
      <c r="M1017" s="1" t="n"/>
      <c r="N1017" s="1" t="n"/>
    </row>
    <row r="1018">
      <c r="A1018" s="1" t="inlineStr">
        <is>
          <t>59109723868781</t>
        </is>
      </c>
      <c r="B1018" s="1" t="inlineStr">
        <is>
          <t>COLLAR T LOVE ENTRELAZADOS</t>
        </is>
      </c>
      <c r="C1018" s="1" t="n"/>
      <c r="D1018" s="1" t="n"/>
      <c r="E1018" s="1" t="n"/>
      <c r="F1018" s="1" t="n"/>
      <c r="G1018" s="1" t="n"/>
      <c r="H1018" s="1" t="n"/>
      <c r="I1018" s="1" t="n"/>
      <c r="J1018" s="1" t="n"/>
      <c r="K1018" s="1" t="n"/>
      <c r="L1018" s="6" t="n">
        <v>125.9357718</v>
      </c>
      <c r="M1018" s="1" t="n"/>
      <c r="N1018" s="1" t="n"/>
    </row>
    <row r="1019">
      <c r="A1019" s="1" t="inlineStr">
        <is>
          <t>59109723934317</t>
        </is>
      </c>
      <c r="B1019" s="1" t="inlineStr">
        <is>
          <t>COLLAR T FLOWER SILVER</t>
        </is>
      </c>
      <c r="C1019" s="1" t="n"/>
      <c r="D1019" s="1" t="n"/>
      <c r="E1019" s="1" t="n"/>
      <c r="F1019" s="1" t="n"/>
      <c r="G1019" s="1" t="n"/>
      <c r="H1019" s="1" t="n"/>
      <c r="I1019" s="1" t="n"/>
      <c r="J1019" s="1" t="n"/>
      <c r="K1019" s="1" t="n"/>
      <c r="L1019" s="6" t="n">
        <v>125.9357718</v>
      </c>
      <c r="M1019" s="1" t="n"/>
      <c r="N1019" s="1" t="n"/>
    </row>
    <row r="1020">
      <c r="A1020" s="1" t="inlineStr">
        <is>
          <t>59109724067085</t>
        </is>
      </c>
      <c r="B1020" s="1" t="inlineStr">
        <is>
          <t>COLLAR T BUGS BUTTERFLY ROSE GOLD</t>
        </is>
      </c>
      <c r="C1020" s="1" t="n"/>
      <c r="D1020" s="1" t="n"/>
      <c r="E1020" s="1" t="n"/>
      <c r="F1020" s="1" t="n"/>
      <c r="G1020" s="1" t="n"/>
      <c r="H1020" s="1" t="n"/>
      <c r="I1020" s="1" t="n"/>
      <c r="J1020" s="1" t="n"/>
      <c r="K1020" s="1" t="n"/>
      <c r="L1020" s="6" t="n">
        <v>125.9357718</v>
      </c>
      <c r="M1020" s="1" t="n"/>
      <c r="N1020" s="1" t="n"/>
    </row>
    <row r="1021">
      <c r="A1021" s="1" t="inlineStr">
        <is>
          <t>59109724194765</t>
        </is>
      </c>
      <c r="B1021" s="1" t="inlineStr">
        <is>
          <t>COLLAR T ENAMEL LADYBUG</t>
        </is>
      </c>
      <c r="C1021" s="1" t="n"/>
      <c r="D1021" s="1" t="n"/>
      <c r="E1021" s="1" t="n"/>
      <c r="F1021" s="1" t="n"/>
      <c r="G1021" s="1" t="n"/>
      <c r="H1021" s="1" t="n"/>
      <c r="I1021" s="1" t="n"/>
      <c r="J1021" s="1" t="n"/>
      <c r="K1021" s="1" t="n"/>
      <c r="L1021" s="6" t="n">
        <v>125.9357718</v>
      </c>
      <c r="M1021" s="1" t="n"/>
      <c r="N1021" s="1" t="n"/>
    </row>
    <row r="1022">
      <c r="A1022" s="1" t="inlineStr">
        <is>
          <t>59416971022989</t>
        </is>
      </c>
      <c r="B1022" s="1" t="n"/>
      <c r="C1022" s="1" t="n"/>
      <c r="D1022" s="1" t="n"/>
      <c r="E1022" s="1" t="n"/>
      <c r="F1022" s="1" t="n"/>
      <c r="G1022" s="1" t="n"/>
      <c r="H1022" s="1" t="n"/>
      <c r="I1022" s="6" t="n">
        <v>1379.211625</v>
      </c>
      <c r="J1022" s="1" t="n"/>
      <c r="K1022" s="1" t="n"/>
      <c r="L1022" s="1" t="n"/>
      <c r="M1022" s="1" t="n"/>
      <c r="N1022" s="1" t="n"/>
    </row>
    <row r="1023">
      <c r="A1023" s="1" t="inlineStr">
        <is>
          <t>59436481029869</t>
        </is>
      </c>
      <c r="B1023" s="1" t="inlineStr">
        <is>
          <t>ANILLO LOVE CON ZIRCONIA SILVER</t>
        </is>
      </c>
      <c r="C1023" s="1" t="n"/>
      <c r="D1023" s="6" t="n">
        <v>37.97439438</v>
      </c>
      <c r="E1023" s="1" t="n"/>
      <c r="F1023" s="1" t="n"/>
      <c r="G1023" s="1" t="n"/>
      <c r="H1023" s="1" t="n"/>
      <c r="I1023" s="6" t="n">
        <v>37.92329292</v>
      </c>
      <c r="J1023" s="1" t="n"/>
      <c r="K1023" s="1" t="n"/>
      <c r="L1023" s="6" t="n">
        <v>37.78073153</v>
      </c>
      <c r="M1023" s="1" t="n"/>
      <c r="N1023" s="1" t="n"/>
    </row>
    <row r="1024">
      <c r="A1024" s="1" t="inlineStr">
        <is>
          <t>59436481162637</t>
        </is>
      </c>
      <c r="B1024" s="1" t="inlineStr">
        <is>
          <t>ANILLO LOVE CON ZIRCONIA SILVER</t>
        </is>
      </c>
      <c r="C1024" s="1" t="n"/>
      <c r="D1024" s="1" t="n"/>
      <c r="E1024" s="1" t="n"/>
      <c r="F1024" s="1" t="n"/>
      <c r="G1024" s="6" t="n">
        <v>37.65088802</v>
      </c>
      <c r="H1024" s="1" t="n"/>
      <c r="I1024" s="1" t="n"/>
      <c r="J1024" s="6" t="n">
        <v>38.34701319</v>
      </c>
      <c r="K1024" s="1" t="n"/>
      <c r="L1024" s="1" t="n"/>
      <c r="M1024" s="1" t="n"/>
      <c r="N1024" s="1" t="n"/>
    </row>
    <row r="1025">
      <c r="A1025" s="1" t="inlineStr">
        <is>
          <t>59436481295405</t>
        </is>
      </c>
      <c r="B1025" s="1" t="inlineStr">
        <is>
          <t>ANILLO LOVE CON ZIRCONIA SILVER</t>
        </is>
      </c>
      <c r="C1025" s="1" t="n"/>
      <c r="D1025" s="1" t="n"/>
      <c r="E1025" s="1" t="n"/>
      <c r="F1025" s="6" t="n">
        <v>37.9088972</v>
      </c>
      <c r="G1025" s="6" t="n">
        <v>37.65088802</v>
      </c>
      <c r="H1025" s="1" t="n"/>
      <c r="I1025" s="1" t="n"/>
      <c r="J1025" s="1" t="n"/>
      <c r="K1025" s="1" t="n"/>
      <c r="L1025" s="6" t="n">
        <v>37.78073153</v>
      </c>
      <c r="M1025" s="1" t="n"/>
      <c r="N1025" s="1" t="n"/>
    </row>
    <row r="1026">
      <c r="A1026" s="1" t="inlineStr">
        <is>
          <t>59436481328173</t>
        </is>
      </c>
      <c r="B1026" s="1" t="inlineStr">
        <is>
          <t>ANILLO LOVE CON ZIRCONIA SILVER</t>
        </is>
      </c>
      <c r="C1026" s="1" t="n"/>
      <c r="D1026" s="6" t="n">
        <v>37.97439438</v>
      </c>
      <c r="E1026" s="1" t="n"/>
      <c r="F1026" s="1" t="n"/>
      <c r="G1026" s="1" t="n"/>
      <c r="H1026" s="1" t="n"/>
      <c r="I1026" s="1" t="n"/>
      <c r="J1026" s="1" t="n"/>
      <c r="K1026" s="1" t="n"/>
      <c r="L1026" s="6" t="n">
        <v>37.78073153</v>
      </c>
      <c r="M1026" s="1" t="n"/>
      <c r="N1026" s="1" t="n"/>
    </row>
    <row r="1027">
      <c r="A1027" s="1" t="inlineStr">
        <is>
          <t>59436481460941</t>
        </is>
      </c>
      <c r="B1027" s="1" t="inlineStr">
        <is>
          <t>ANILLO LOVE CON ZIRCONIA SILVER</t>
        </is>
      </c>
      <c r="C1027" s="1" t="n"/>
      <c r="D1027" s="6" t="n">
        <v>37.97439438</v>
      </c>
      <c r="E1027" s="1" t="n"/>
      <c r="F1027" s="6" t="n">
        <v>37.9088972</v>
      </c>
      <c r="G1027" s="1" t="n"/>
      <c r="H1027" s="1" t="n"/>
      <c r="I1027" s="1" t="n"/>
      <c r="J1027" s="1" t="n"/>
      <c r="K1027" s="1" t="n"/>
      <c r="L1027" s="1" t="n"/>
      <c r="M1027" s="6" t="n">
        <v>37.82629163</v>
      </c>
      <c r="N1027" s="1" t="n"/>
    </row>
    <row r="1028">
      <c r="A1028" s="1" t="inlineStr">
        <is>
          <t>59436481593709</t>
        </is>
      </c>
      <c r="B1028" s="1" t="inlineStr">
        <is>
          <t>ANILLO LOVE CON ZIRCONIA SILVER</t>
        </is>
      </c>
      <c r="C1028" s="1" t="n"/>
      <c r="D1028" s="1" t="n"/>
      <c r="E1028" s="1" t="n"/>
      <c r="F1028" s="1" t="n"/>
      <c r="G1028" s="6" t="n">
        <v>37.65088802</v>
      </c>
      <c r="H1028" s="1" t="n"/>
      <c r="I1028" s="1" t="n"/>
      <c r="J1028" s="1" t="n"/>
      <c r="K1028" s="6" t="n">
        <v>37.85665246</v>
      </c>
      <c r="L1028" s="1" t="n"/>
      <c r="M1028" s="6" t="n">
        <v>37.82629163</v>
      </c>
      <c r="N1028" s="1" t="n"/>
    </row>
    <row r="1029">
      <c r="A1029" s="1" t="inlineStr">
        <is>
          <t>59950731067117</t>
        </is>
      </c>
      <c r="B1029" s="1" t="inlineStr">
        <is>
          <t>BRAZALETE LOVE GOLD</t>
        </is>
      </c>
      <c r="C1029" s="1" t="n"/>
      <c r="D1029" s="1" t="n"/>
      <c r="E1029" s="1" t="n"/>
      <c r="F1029" s="1" t="n"/>
      <c r="G1029" s="1" t="n"/>
      <c r="H1029" s="1" t="n"/>
      <c r="I1029" s="1" t="n"/>
      <c r="J1029" s="1" t="n"/>
      <c r="K1029" s="6" t="n">
        <v>105.1573679</v>
      </c>
      <c r="L1029" s="1" t="n"/>
      <c r="M1029" s="6" t="n">
        <v>105.0730323</v>
      </c>
      <c r="N1029" s="1" t="n"/>
    </row>
    <row r="1030">
      <c r="A1030" s="1" t="inlineStr">
        <is>
          <t>60255941038093</t>
        </is>
      </c>
      <c r="B1030" s="1" t="inlineStr">
        <is>
          <t>ARETES BV ROUND ROSEGOLD CON ZIRCONIA</t>
        </is>
      </c>
      <c r="C1030" s="1" t="n"/>
      <c r="D1030" s="6" t="n">
        <v>147.6782004</v>
      </c>
      <c r="E1030" s="1" t="n"/>
      <c r="F1030" s="1" t="n"/>
      <c r="G1030" s="1" t="n"/>
      <c r="H1030" s="1" t="n"/>
      <c r="I1030" s="1" t="n"/>
      <c r="J1030" s="1" t="n"/>
      <c r="K1030" s="1" t="n"/>
      <c r="L1030" s="6" t="n">
        <v>148.5304959</v>
      </c>
      <c r="M1030" s="1" t="n"/>
      <c r="N1030" s="1" t="n"/>
    </row>
    <row r="1031">
      <c r="A1031" s="1" t="inlineStr">
        <is>
          <t>60411861009357</t>
        </is>
      </c>
      <c r="B1031" s="1" t="inlineStr">
        <is>
          <t>PULSERA CLAIR DE LUNE SILVER CON ZIRCONIA</t>
        </is>
      </c>
      <c r="C1031" s="1" t="n"/>
      <c r="D1031" s="1" t="n"/>
      <c r="E1031" s="6" t="n">
        <v>188.991488</v>
      </c>
      <c r="F1031" s="1" t="n"/>
      <c r="G1031" s="1" t="n"/>
      <c r="H1031" s="1" t="n"/>
      <c r="I1031" s="1" t="n"/>
      <c r="J1031" s="1" t="n"/>
      <c r="K1031" s="1" t="n"/>
      <c r="L1031" s="1" t="n"/>
      <c r="M1031" s="1" t="n"/>
      <c r="N1031" s="1" t="n"/>
    </row>
    <row r="1032">
      <c r="A1032" s="1" t="inlineStr">
        <is>
          <t>60477551054605</t>
        </is>
      </c>
      <c r="B1032" s="1" t="inlineStr">
        <is>
          <t>CAMISETA ALLS WHITE</t>
        </is>
      </c>
      <c r="C1032" s="1" t="n"/>
      <c r="D1032" s="1" t="n"/>
      <c r="E1032" s="6" t="n">
        <v>637.846272</v>
      </c>
      <c r="F1032" s="1" t="n"/>
      <c r="G1032" s="1" t="n"/>
      <c r="H1032" s="1" t="n"/>
      <c r="I1032" s="1" t="n"/>
      <c r="J1032" s="1" t="n"/>
      <c r="K1032" s="1" t="n"/>
      <c r="L1032" s="1" t="n"/>
      <c r="M1032" s="1" t="n"/>
      <c r="N1032" s="1" t="n"/>
    </row>
    <row r="1033">
      <c r="A1033" s="1" t="inlineStr">
        <is>
          <t>60477551054606</t>
        </is>
      </c>
      <c r="B1033" s="1" t="n"/>
      <c r="C1033" s="1" t="n"/>
      <c r="D1033" s="1" t="n"/>
      <c r="E1033" s="6" t="n">
        <v>637.846272</v>
      </c>
      <c r="F1033" s="1" t="n"/>
      <c r="G1033" s="1" t="n"/>
      <c r="H1033" s="1" t="n"/>
      <c r="I1033" s="1" t="n"/>
      <c r="J1033" s="1" t="n"/>
      <c r="K1033" s="1" t="n"/>
      <c r="L1033" s="1" t="n"/>
      <c r="M1033" s="1" t="n"/>
      <c r="N1033" s="1" t="n"/>
    </row>
    <row r="1034">
      <c r="A1034" s="1" t="inlineStr">
        <is>
          <t>60739441017133</t>
        </is>
      </c>
      <c r="B1034" s="1" t="inlineStr">
        <is>
          <t>SHORT DEPORTIVO ALLS BLACK</t>
        </is>
      </c>
      <c r="C1034" s="1" t="n"/>
      <c r="D1034" s="1" t="n"/>
      <c r="E1034" s="6" t="n">
        <v>755.965952</v>
      </c>
      <c r="F1034" s="1" t="n"/>
      <c r="G1034" s="1" t="n"/>
      <c r="H1034" s="1" t="n"/>
      <c r="I1034" s="1" t="n"/>
      <c r="J1034" s="1" t="n"/>
      <c r="K1034" s="1" t="n"/>
      <c r="L1034" s="1" t="n"/>
      <c r="M1034" s="1" t="n"/>
      <c r="N1034" s="1" t="n"/>
    </row>
    <row r="1035">
      <c r="A1035" s="1" t="inlineStr">
        <is>
          <t>61050601014957</t>
        </is>
      </c>
      <c r="B1035" s="1" t="inlineStr">
        <is>
          <t>LEGGINGS LLM BLACK</t>
        </is>
      </c>
      <c r="C1035" s="1" t="n"/>
      <c r="D1035" s="1" t="n"/>
      <c r="E1035" s="6" t="n">
        <v>590.5984</v>
      </c>
      <c r="F1035" s="1" t="n"/>
      <c r="G1035" s="1" t="n"/>
      <c r="H1035" s="1" t="n"/>
      <c r="I1035" s="1" t="n"/>
      <c r="J1035" s="6" t="n">
        <v>656.9243931</v>
      </c>
      <c r="K1035" s="1" t="n"/>
      <c r="L1035" s="6" t="n">
        <v>662.6156122</v>
      </c>
      <c r="M1035" s="1" t="n"/>
      <c r="N1035" s="1" t="n"/>
    </row>
    <row r="1036">
      <c r="A1036" s="1" t="inlineStr">
        <is>
          <t>61222821052141</t>
        </is>
      </c>
      <c r="B1036" s="1" t="inlineStr">
        <is>
          <t>ANILLO CD GRABADO GOLD BLACK ZIRCONIAS</t>
        </is>
      </c>
      <c r="C1036" s="1" t="n"/>
      <c r="D1036" s="6" t="n">
        <v>145.5685118</v>
      </c>
      <c r="E1036" s="1" t="n"/>
      <c r="F1036" s="1" t="n"/>
      <c r="G1036" s="1" t="n"/>
      <c r="H1036" s="1" t="n"/>
      <c r="I1036" s="6" t="n">
        <v>145.3726229</v>
      </c>
      <c r="J1036" s="1" t="n"/>
      <c r="K1036" s="1" t="n"/>
      <c r="L1036" s="1" t="n"/>
      <c r="M1036" s="1" t="n"/>
      <c r="N1036" s="1" t="n"/>
    </row>
    <row r="1037">
      <c r="A1037" s="1" t="inlineStr">
        <is>
          <t>61222821166797</t>
        </is>
      </c>
      <c r="B1037" s="1" t="inlineStr">
        <is>
          <t>ANILLO CD GRABADO GOLD BLACK ZIRCONIAS</t>
        </is>
      </c>
      <c r="C1037" s="1" t="n"/>
      <c r="D1037" s="6" t="n">
        <v>145.5685118</v>
      </c>
      <c r="E1037" s="1" t="n"/>
      <c r="F1037" s="1" t="n"/>
      <c r="G1037" s="1" t="n"/>
      <c r="H1037" s="1" t="n"/>
      <c r="I1037" s="6" t="n">
        <v>145.3726229</v>
      </c>
      <c r="J1037" s="1" t="n"/>
      <c r="K1037" s="1" t="n"/>
      <c r="L1037" s="6" t="n">
        <v>165.8154328</v>
      </c>
      <c r="M1037" s="1" t="n"/>
      <c r="N1037" s="1" t="n"/>
    </row>
    <row r="1038">
      <c r="A1038" s="1" t="inlineStr">
        <is>
          <t>61453671212141</t>
        </is>
      </c>
      <c r="B1038" s="1" t="inlineStr">
        <is>
          <t>COLLAR FR SILVER PEARL</t>
        </is>
      </c>
      <c r="C1038" s="1" t="n"/>
      <c r="D1038" s="1" t="n"/>
      <c r="E1038" s="1" t="n"/>
      <c r="F1038" s="1" t="n"/>
      <c r="G1038" s="1" t="n"/>
      <c r="H1038" s="6" t="n">
        <v>146.2828828</v>
      </c>
      <c r="I1038" s="1" t="n"/>
      <c r="J1038" s="1" t="n"/>
      <c r="K1038" s="1" t="n"/>
      <c r="L1038" s="1" t="n"/>
      <c r="M1038" s="1" t="n"/>
      <c r="N1038" s="1" t="n"/>
    </row>
    <row r="1039">
      <c r="A1039" s="1" t="inlineStr">
        <is>
          <t>61744051068109</t>
        </is>
      </c>
      <c r="B1039" s="1" t="inlineStr">
        <is>
          <t>PULSERA CD GOLD CON ZIRCONIA</t>
        </is>
      </c>
      <c r="C1039" s="1" t="n"/>
      <c r="D1039" s="1" t="n"/>
      <c r="E1039" s="6" t="n">
        <v>212.615424</v>
      </c>
      <c r="F1039" s="1" t="n"/>
      <c r="G1039" s="1" t="n"/>
      <c r="H1039" s="6" t="n">
        <v>468.5687886</v>
      </c>
      <c r="I1039" s="1" t="n"/>
      <c r="J1039" s="1" t="n"/>
      <c r="K1039" s="1" t="n"/>
      <c r="L1039" s="1" t="n"/>
      <c r="M1039" s="1" t="n"/>
      <c r="N1039" s="1" t="n"/>
    </row>
    <row r="1040">
      <c r="A1040" s="1" t="inlineStr">
        <is>
          <t>62101481140653</t>
        </is>
      </c>
      <c r="B1040" s="1" t="inlineStr">
        <is>
          <t>ARETES BEAN SILVER T</t>
        </is>
      </c>
      <c r="C1040" s="1" t="n"/>
      <c r="D1040" s="6" t="n">
        <v>201.4327754</v>
      </c>
      <c r="E1040" s="6" t="n">
        <v>209.6145887</v>
      </c>
      <c r="F1040" s="1" t="n"/>
      <c r="G1040" s="1" t="n"/>
      <c r="H1040" s="1" t="n"/>
      <c r="I1040" s="6" t="n">
        <v>202.825239</v>
      </c>
      <c r="J1040" s="1" t="n"/>
      <c r="K1040" s="6" t="n">
        <v>207.6007409</v>
      </c>
      <c r="L1040" s="6" t="n">
        <v>212.0083598</v>
      </c>
      <c r="M1040" s="1" t="n"/>
      <c r="N1040" s="1" t="n"/>
    </row>
    <row r="1041">
      <c r="A1041" s="1" t="inlineStr">
        <is>
          <t>62328733504652</t>
        </is>
      </c>
      <c r="B1041" s="1" t="inlineStr">
        <is>
          <t>PULSERA CD PETIT</t>
        </is>
      </c>
      <c r="C1041" s="1" t="n"/>
      <c r="D1041" s="6" t="n">
        <v>175.8249122</v>
      </c>
      <c r="E1041" s="1" t="n"/>
      <c r="F1041" s="1" t="n"/>
      <c r="G1041" s="1" t="n"/>
      <c r="H1041" s="1" t="n"/>
      <c r="I1041" s="1" t="n"/>
      <c r="J1041" s="6" t="n">
        <v>180.4743473</v>
      </c>
      <c r="K1041" s="1" t="n"/>
      <c r="L1041" s="6" t="n">
        <v>185.5323714</v>
      </c>
      <c r="M1041" s="1" t="n"/>
      <c r="N1041" s="1" t="n"/>
    </row>
    <row r="1042">
      <c r="A1042" s="1" t="inlineStr">
        <is>
          <t>62571331097101</t>
        </is>
      </c>
      <c r="B1042" s="1" t="inlineStr">
        <is>
          <t>BOLSA LLM BLACK</t>
        </is>
      </c>
      <c r="C1042" s="1" t="n"/>
      <c r="D1042" s="1" t="n"/>
      <c r="E1042" s="6" t="n">
        <v>826.83776</v>
      </c>
      <c r="F1042" s="1" t="n"/>
      <c r="G1042" s="1" t="n"/>
      <c r="H1042" s="6" t="n">
        <v>208.252795</v>
      </c>
      <c r="I1042" s="1" t="n"/>
      <c r="J1042" s="1" t="n"/>
      <c r="K1042" s="6" t="n">
        <v>204.8702267</v>
      </c>
      <c r="L1042" s="1" t="n"/>
      <c r="M1042" s="6" t="n">
        <v>196.0914916</v>
      </c>
      <c r="N1042" s="1" t="n"/>
    </row>
    <row r="1043">
      <c r="A1043" s="1" t="inlineStr">
        <is>
          <t>62745761085613</t>
        </is>
      </c>
      <c r="B1043" s="1" t="inlineStr">
        <is>
          <t>MONEDERO G PM BLACK</t>
        </is>
      </c>
      <c r="C1043" s="1" t="n"/>
      <c r="D1043" s="1" t="n"/>
      <c r="E1043" s="1" t="n"/>
      <c r="F1043" s="1" t="n"/>
      <c r="G1043" s="1" t="n"/>
      <c r="H1043" s="1" t="n"/>
      <c r="I1043" s="1" t="n"/>
      <c r="J1043" s="1" t="n"/>
      <c r="K1043" s="1" t="n"/>
      <c r="L1043" s="6" t="n">
        <v>320.0895083</v>
      </c>
      <c r="M1043" s="1" t="n"/>
      <c r="N1043" s="1" t="n"/>
    </row>
    <row r="1044">
      <c r="A1044" s="1" t="inlineStr">
        <is>
          <t>62745761151149</t>
        </is>
      </c>
      <c r="B1044" s="1" t="inlineStr">
        <is>
          <t>MONEDERO G PM WHITE</t>
        </is>
      </c>
      <c r="C1044" s="1" t="n"/>
      <c r="D1044" s="1" t="n"/>
      <c r="E1044" s="1" t="n"/>
      <c r="F1044" s="1" t="n"/>
      <c r="G1044" s="1" t="n"/>
      <c r="H1044" s="1" t="n"/>
      <c r="I1044" s="1" t="n"/>
      <c r="J1044" s="1" t="n"/>
      <c r="K1044" s="1" t="n"/>
      <c r="L1044" s="6" t="n">
        <v>320.0895083</v>
      </c>
      <c r="M1044" s="1" t="n"/>
      <c r="N1044" s="1" t="n"/>
    </row>
    <row r="1045">
      <c r="A1045" s="1" t="inlineStr">
        <is>
          <t>62745761283917</t>
        </is>
      </c>
      <c r="B1045" s="1" t="inlineStr">
        <is>
          <t>CARTERA G GABRIEL</t>
        </is>
      </c>
      <c r="C1045" s="1" t="n"/>
      <c r="D1045" s="1" t="n"/>
      <c r="E1045" s="1" t="n"/>
      <c r="F1045" s="1" t="n"/>
      <c r="G1045" s="1" t="n"/>
      <c r="H1045" s="1" t="n"/>
      <c r="I1045" s="1" t="n"/>
      <c r="J1045" s="1" t="n"/>
      <c r="K1045" s="1" t="n"/>
      <c r="L1045" s="6" t="n">
        <v>320.0895083</v>
      </c>
      <c r="M1045" s="1" t="n"/>
      <c r="N1045" s="1" t="n"/>
    </row>
    <row r="1046">
      <c r="A1046" s="1" t="inlineStr">
        <is>
          <t>62745761377133</t>
        </is>
      </c>
      <c r="B1046" s="1" t="inlineStr">
        <is>
          <t>CARTERA G GABRIEL GREEN</t>
        </is>
      </c>
      <c r="C1046" s="1" t="n"/>
      <c r="D1046" s="1" t="n"/>
      <c r="E1046" s="1" t="n"/>
      <c r="F1046" s="1" t="n"/>
      <c r="G1046" s="1" t="n"/>
      <c r="H1046" s="1" t="n"/>
      <c r="I1046" s="1" t="n"/>
      <c r="J1046" s="1" t="n"/>
      <c r="K1046" s="1" t="n"/>
      <c r="L1046" s="6" t="n">
        <v>320.0895083</v>
      </c>
      <c r="M1046" s="1" t="n"/>
      <c r="N1046" s="1" t="n"/>
    </row>
    <row r="1047">
      <c r="A1047" s="1" t="inlineStr">
        <is>
          <t>62745761409901</t>
        </is>
      </c>
      <c r="B1047" s="1" t="inlineStr">
        <is>
          <t>CARTERA G GABRIEL GREY</t>
        </is>
      </c>
      <c r="C1047" s="1" t="n"/>
      <c r="D1047" s="1" t="n"/>
      <c r="E1047" s="1" t="n"/>
      <c r="F1047" s="1" t="n"/>
      <c r="G1047" s="1" t="n"/>
      <c r="H1047" s="1" t="n"/>
      <c r="I1047" s="1" t="n"/>
      <c r="J1047" s="1" t="n"/>
      <c r="K1047" s="1" t="n"/>
      <c r="L1047" s="6" t="n">
        <v>320.0895083</v>
      </c>
      <c r="M1047" s="1" t="n"/>
      <c r="N1047" s="1" t="n"/>
    </row>
    <row r="1048">
      <c r="A1048" s="1" t="inlineStr">
        <is>
          <t>62745761513293</t>
        </is>
      </c>
      <c r="B1048" s="1" t="inlineStr">
        <is>
          <t>CARTERA G GABRIEL WHITE</t>
        </is>
      </c>
      <c r="C1048" s="1" t="n"/>
      <c r="D1048" s="1" t="n"/>
      <c r="E1048" s="1" t="n"/>
      <c r="F1048" s="1" t="n"/>
      <c r="G1048" s="1" t="n"/>
      <c r="H1048" s="1" t="n"/>
      <c r="I1048" s="1" t="n"/>
      <c r="J1048" s="1" t="n"/>
      <c r="K1048" s="1" t="n"/>
      <c r="L1048" s="6" t="n">
        <v>320.0895083</v>
      </c>
      <c r="M1048" s="1" t="n"/>
      <c r="N1048" s="1" t="n"/>
    </row>
    <row r="1049">
      <c r="A1049" s="1" t="inlineStr">
        <is>
          <t>62745761639277</t>
        </is>
      </c>
      <c r="B1049" s="1" t="inlineStr">
        <is>
          <t>CARTERA G MATIGNON</t>
        </is>
      </c>
      <c r="C1049" s="1" t="n"/>
      <c r="D1049" s="1" t="n"/>
      <c r="E1049" s="1" t="n"/>
      <c r="F1049" s="1" t="n"/>
      <c r="G1049" s="1" t="n"/>
      <c r="H1049" s="1" t="n"/>
      <c r="I1049" s="1" t="n"/>
      <c r="J1049" s="1" t="n"/>
      <c r="K1049" s="1" t="n"/>
      <c r="L1049" s="6" t="n">
        <v>548.2048515</v>
      </c>
      <c r="M1049" s="1" t="n"/>
      <c r="N1049" s="1" t="n"/>
    </row>
    <row r="1050">
      <c r="A1050" s="1" t="inlineStr">
        <is>
          <t>62745761737581</t>
        </is>
      </c>
      <c r="B1050" s="1" t="inlineStr">
        <is>
          <t>CARTERA G MATIGNON GREEN</t>
        </is>
      </c>
      <c r="C1050" s="1" t="n"/>
      <c r="D1050" s="1" t="n"/>
      <c r="E1050" s="1" t="n"/>
      <c r="F1050" s="1" t="n"/>
      <c r="G1050" s="1" t="n"/>
      <c r="H1050" s="1" t="n"/>
      <c r="I1050" s="1" t="n"/>
      <c r="J1050" s="1" t="n"/>
      <c r="K1050" s="1" t="n"/>
      <c r="L1050" s="6" t="n">
        <v>548.2048515</v>
      </c>
      <c r="M1050" s="1" t="n"/>
      <c r="N1050" s="1" t="n"/>
    </row>
    <row r="1051">
      <c r="A1051" s="1" t="inlineStr">
        <is>
          <t>62745761872045</t>
        </is>
      </c>
      <c r="B1051" s="1" t="inlineStr">
        <is>
          <t>CARTERA G MATIGNON WHITE</t>
        </is>
      </c>
      <c r="C1051" s="1" t="n"/>
      <c r="D1051" s="1" t="n"/>
      <c r="E1051" s="1" t="n"/>
      <c r="F1051" s="1" t="n"/>
      <c r="G1051" s="1" t="n"/>
      <c r="H1051" s="1" t="n"/>
      <c r="I1051" s="1" t="n"/>
      <c r="J1051" s="1" t="n"/>
      <c r="K1051" s="1" t="n"/>
      <c r="L1051" s="6" t="n">
        <v>548.2048515</v>
      </c>
      <c r="M1051" s="1" t="n"/>
      <c r="N1051" s="1" t="n"/>
    </row>
    <row r="1052">
      <c r="A1052" s="1" t="inlineStr">
        <is>
          <t>62745761965261</t>
        </is>
      </c>
      <c r="B1052" s="1" t="inlineStr">
        <is>
          <t>ANILLO LOVE GOLD CON MICROZIRCONIAS Y ZIRCONIAS</t>
        </is>
      </c>
      <c r="C1052" s="1" t="n"/>
      <c r="D1052" s="1" t="n"/>
      <c r="E1052" s="1" t="n"/>
      <c r="F1052" s="1" t="n"/>
      <c r="G1052" s="1" t="n"/>
      <c r="H1052" s="1" t="n"/>
      <c r="I1052" s="1" t="n"/>
      <c r="J1052" s="1" t="n"/>
      <c r="K1052" s="1" t="n"/>
      <c r="L1052" s="6" t="n">
        <v>145.3628624</v>
      </c>
      <c r="M1052" s="1" t="n"/>
      <c r="N1052" s="1" t="n"/>
    </row>
    <row r="1053">
      <c r="A1053" s="1" t="inlineStr">
        <is>
          <t>62745762098029</t>
        </is>
      </c>
      <c r="B1053" s="1" t="inlineStr">
        <is>
          <t>ANILLO LOVE GOLD CON MICROZIRCONIAS Y ZIRCONIAS</t>
        </is>
      </c>
      <c r="C1053" s="1" t="n"/>
      <c r="D1053" s="1" t="n"/>
      <c r="E1053" s="1" t="n"/>
      <c r="F1053" s="1" t="n"/>
      <c r="G1053" s="1" t="n"/>
      <c r="H1053" s="1" t="n"/>
      <c r="I1053" s="1" t="n"/>
      <c r="J1053" s="1" t="n"/>
      <c r="K1053" s="1" t="n"/>
      <c r="L1053" s="6" t="n">
        <v>145.3628624</v>
      </c>
      <c r="M1053" s="1" t="n"/>
      <c r="N1053" s="1" t="n"/>
    </row>
    <row r="1054">
      <c r="A1054" s="1" t="inlineStr">
        <is>
          <t>62745762125709</t>
        </is>
      </c>
      <c r="B1054" s="1" t="inlineStr">
        <is>
          <t>ANILLO LOVE ROSE GOLD CON MICROZIRCONIAS Y ZIRCONIAS</t>
        </is>
      </c>
      <c r="C1054" s="1" t="n"/>
      <c r="D1054" s="1" t="n"/>
      <c r="E1054" s="1" t="n"/>
      <c r="F1054" s="1" t="n"/>
      <c r="G1054" s="1" t="n"/>
      <c r="H1054" s="1" t="n"/>
      <c r="I1054" s="1" t="n"/>
      <c r="J1054" s="1" t="n"/>
      <c r="K1054" s="1" t="n"/>
      <c r="L1054" s="6" t="n">
        <v>145.3628624</v>
      </c>
      <c r="M1054" s="1" t="n"/>
      <c r="N1054" s="1" t="n"/>
    </row>
    <row r="1055">
      <c r="A1055" s="1" t="inlineStr">
        <is>
          <t>62745762258477</t>
        </is>
      </c>
      <c r="B1055" s="1" t="inlineStr">
        <is>
          <t>ANILLO LOVE ROSE GOLD CON MICROZIRCONIAS Y ZIRCONIAS</t>
        </is>
      </c>
      <c r="C1055" s="1" t="n"/>
      <c r="D1055" s="1" t="n"/>
      <c r="E1055" s="1" t="n"/>
      <c r="F1055" s="1" t="n"/>
      <c r="G1055" s="1" t="n"/>
      <c r="H1055" s="1" t="n"/>
      <c r="I1055" s="1" t="n"/>
      <c r="J1055" s="1" t="n"/>
      <c r="K1055" s="1" t="n"/>
      <c r="L1055" s="6" t="n">
        <v>145.3628624</v>
      </c>
      <c r="M1055" s="1" t="n"/>
      <c r="N1055" s="1" t="n"/>
    </row>
    <row r="1056">
      <c r="A1056" s="1" t="inlineStr">
        <is>
          <t>62745762329101</t>
        </is>
      </c>
      <c r="B1056" s="1" t="inlineStr">
        <is>
          <t>ANILLO LOVE SILVER CON MICROZIRCONIAS Y ZIRCONIAS</t>
        </is>
      </c>
      <c r="C1056" s="1" t="n"/>
      <c r="D1056" s="1" t="n"/>
      <c r="E1056" s="1" t="n"/>
      <c r="F1056" s="1" t="n"/>
      <c r="G1056" s="1" t="n"/>
      <c r="H1056" s="1" t="n"/>
      <c r="I1056" s="1" t="n"/>
      <c r="J1056" s="1" t="n"/>
      <c r="K1056" s="1" t="n"/>
      <c r="L1056" s="6" t="n">
        <v>145.3628624</v>
      </c>
      <c r="M1056" s="1" t="n"/>
      <c r="N1056" s="1" t="n"/>
    </row>
    <row r="1057">
      <c r="A1057" s="1" t="inlineStr">
        <is>
          <t>62745762461869</t>
        </is>
      </c>
      <c r="B1057" s="1" t="inlineStr">
        <is>
          <t>ANILLO LOVE SILVER CON MICROZIRCONIAS Y ZIRCONIAS</t>
        </is>
      </c>
      <c r="C1057" s="1" t="n"/>
      <c r="D1057" s="1" t="n"/>
      <c r="E1057" s="1" t="n"/>
      <c r="F1057" s="1" t="n"/>
      <c r="G1057" s="1" t="n"/>
      <c r="H1057" s="1" t="n"/>
      <c r="I1057" s="1" t="n"/>
      <c r="J1057" s="1" t="n"/>
      <c r="K1057" s="1" t="n"/>
      <c r="L1057" s="6" t="n">
        <v>145.3628624</v>
      </c>
      <c r="M1057" s="1" t="n"/>
      <c r="N1057" s="1" t="n"/>
    </row>
    <row r="1058">
      <c r="A1058" s="1" t="inlineStr">
        <is>
          <t>62745762555085</t>
        </is>
      </c>
      <c r="B1058" s="1" t="inlineStr">
        <is>
          <t>ANILLO LOVE ROSE GOLD CON MICROZIRCONIAS</t>
        </is>
      </c>
      <c r="C1058" s="1" t="n"/>
      <c r="D1058" s="1" t="n"/>
      <c r="E1058" s="1" t="n"/>
      <c r="F1058" s="1" t="n"/>
      <c r="G1058" s="1" t="n"/>
      <c r="H1058" s="1" t="n"/>
      <c r="I1058" s="1" t="n"/>
      <c r="J1058" s="1" t="n"/>
      <c r="K1058" s="1" t="n"/>
      <c r="L1058" s="6" t="n">
        <v>130.8023085</v>
      </c>
      <c r="M1058" s="1" t="n"/>
      <c r="N1058" s="1" t="n"/>
    </row>
    <row r="1059">
      <c r="A1059" s="1" t="inlineStr">
        <is>
          <t>62745762687853</t>
        </is>
      </c>
      <c r="B1059" s="1" t="inlineStr">
        <is>
          <t>ANILLO LOVE ROSE GOLD CON MICROZIRCONIAS</t>
        </is>
      </c>
      <c r="C1059" s="1" t="n"/>
      <c r="D1059" s="1" t="n"/>
      <c r="E1059" s="1" t="n"/>
      <c r="F1059" s="1" t="n"/>
      <c r="G1059" s="1" t="n"/>
      <c r="H1059" s="1" t="n"/>
      <c r="I1059" s="1" t="n"/>
      <c r="J1059" s="1" t="n"/>
      <c r="K1059" s="1" t="n"/>
      <c r="L1059" s="6" t="n">
        <v>130.8023085</v>
      </c>
      <c r="M1059" s="1" t="n"/>
      <c r="N1059" s="1" t="n"/>
    </row>
    <row r="1060">
      <c r="A1060" s="1" t="inlineStr">
        <is>
          <t>62745762751693</t>
        </is>
      </c>
      <c r="B1060" s="1" t="inlineStr">
        <is>
          <t>PULSERA LOVE GOLD CON MICROZIRCONIAS Y ZIRCONIAS</t>
        </is>
      </c>
      <c r="C1060" s="1" t="n"/>
      <c r="D1060" s="1" t="n"/>
      <c r="E1060" s="1" t="n"/>
      <c r="F1060" s="1" t="n"/>
      <c r="G1060" s="1" t="n"/>
      <c r="H1060" s="1" t="n"/>
      <c r="I1060" s="1" t="n"/>
      <c r="J1060" s="1" t="n"/>
      <c r="K1060" s="1" t="n"/>
      <c r="L1060" s="6" t="n">
        <v>388.0387595</v>
      </c>
      <c r="M1060" s="1" t="n"/>
      <c r="N1060" s="1" t="n"/>
    </row>
    <row r="1061">
      <c r="A1061" s="1" t="inlineStr">
        <is>
          <t>62745762884461</t>
        </is>
      </c>
      <c r="B1061" s="1" t="inlineStr">
        <is>
          <t>PULSERA LOVE GOLD CON MICROZIRCONIAS Y ZIRCONIAS</t>
        </is>
      </c>
      <c r="C1061" s="1" t="n"/>
      <c r="D1061" s="1" t="n"/>
      <c r="E1061" s="1" t="n"/>
      <c r="F1061" s="1" t="n"/>
      <c r="G1061" s="1" t="n"/>
      <c r="H1061" s="1" t="n"/>
      <c r="I1061" s="1" t="n"/>
      <c r="J1061" s="1" t="n"/>
      <c r="K1061" s="1" t="n"/>
      <c r="L1061" s="6" t="n">
        <v>388.0387595</v>
      </c>
      <c r="M1061" s="1" t="n"/>
      <c r="N1061" s="1" t="n"/>
    </row>
    <row r="1062">
      <c r="A1062" s="1" t="inlineStr">
        <is>
          <t>62745762948301</t>
        </is>
      </c>
      <c r="B1062" s="1" t="inlineStr">
        <is>
          <t>PULSERA LOVE SILVER CON MICROZIRCONIAS Y ZIRCONIAS</t>
        </is>
      </c>
      <c r="C1062" s="1" t="n"/>
      <c r="D1062" s="1" t="n"/>
      <c r="E1062" s="1" t="n"/>
      <c r="F1062" s="1" t="n"/>
      <c r="G1062" s="1" t="n"/>
      <c r="H1062" s="1" t="n"/>
      <c r="I1062" s="1" t="n"/>
      <c r="J1062" s="1" t="n"/>
      <c r="K1062" s="1" t="n"/>
      <c r="L1062" s="6" t="n">
        <v>388.0387595</v>
      </c>
      <c r="M1062" s="1" t="n"/>
      <c r="N1062" s="1" t="n"/>
    </row>
    <row r="1063">
      <c r="A1063" s="1" t="inlineStr">
        <is>
          <t>62745763081069</t>
        </is>
      </c>
      <c r="B1063" s="1" t="inlineStr">
        <is>
          <t>PULSERA LOVE SILVER CON MICROZIRCONIAS Y ZIRCONIAS</t>
        </is>
      </c>
      <c r="C1063" s="1" t="n"/>
      <c r="D1063" s="1" t="n"/>
      <c r="E1063" s="1" t="n"/>
      <c r="F1063" s="1" t="n"/>
      <c r="G1063" s="1" t="n"/>
      <c r="H1063" s="1" t="n"/>
      <c r="I1063" s="1" t="n"/>
      <c r="J1063" s="1" t="n"/>
      <c r="K1063" s="1" t="n"/>
      <c r="L1063" s="6" t="n">
        <v>388.0387595</v>
      </c>
      <c r="M1063" s="1" t="n"/>
      <c r="N1063" s="1" t="n"/>
    </row>
    <row r="1064">
      <c r="A1064" s="1" t="inlineStr">
        <is>
          <t>62745763146605</t>
        </is>
      </c>
      <c r="B1064" s="1" t="inlineStr">
        <is>
          <t>PULSERA C CLAVO SILVER FULL DIAMOND</t>
        </is>
      </c>
      <c r="C1064" s="1" t="n"/>
      <c r="D1064" s="1" t="n"/>
      <c r="E1064" s="1" t="n"/>
      <c r="F1064" s="1" t="n"/>
      <c r="G1064" s="1" t="n"/>
      <c r="H1064" s="1" t="n"/>
      <c r="I1064" s="1" t="n"/>
      <c r="J1064" s="1" t="n"/>
      <c r="K1064" s="1" t="n"/>
      <c r="L1064" s="6" t="n">
        <v>320.0895083</v>
      </c>
      <c r="M1064" s="1" t="n"/>
      <c r="N1064" s="1" t="n"/>
    </row>
    <row r="1065">
      <c r="A1065" s="1" t="inlineStr">
        <is>
          <t>62745763277677</t>
        </is>
      </c>
      <c r="B1065" s="1" t="inlineStr">
        <is>
          <t>ANILLO C CLASH ONYX</t>
        </is>
      </c>
      <c r="C1065" s="1" t="n"/>
      <c r="D1065" s="1" t="n"/>
      <c r="E1065" s="1" t="n"/>
      <c r="F1065" s="1" t="n"/>
      <c r="G1065" s="1" t="n"/>
      <c r="H1065" s="1" t="n"/>
      <c r="I1065" s="1" t="n"/>
      <c r="J1065" s="1" t="n"/>
      <c r="K1065" s="1" t="n"/>
      <c r="L1065" s="6" t="n">
        <v>264.2740519</v>
      </c>
      <c r="M1065" s="1" t="n"/>
      <c r="N1065" s="1" t="n"/>
    </row>
    <row r="1066">
      <c r="A1066" s="1" t="inlineStr">
        <is>
          <t>62745763310445</t>
        </is>
      </c>
      <c r="B1066" s="1" t="inlineStr">
        <is>
          <t>ANILLO C CLASH ONYX</t>
        </is>
      </c>
      <c r="C1066" s="1" t="n"/>
      <c r="D1066" s="1" t="n"/>
      <c r="E1066" s="1" t="n"/>
      <c r="F1066" s="1" t="n"/>
      <c r="G1066" s="1" t="n"/>
      <c r="H1066" s="1" t="n"/>
      <c r="I1066" s="1" t="n"/>
      <c r="J1066" s="1" t="n"/>
      <c r="K1066" s="1" t="n"/>
      <c r="L1066" s="6" t="n">
        <v>264.2740519</v>
      </c>
      <c r="M1066" s="1" t="n"/>
      <c r="N1066" s="1" t="n"/>
    </row>
    <row r="1067">
      <c r="A1067" s="1" t="inlineStr">
        <is>
          <t>62745763441517</t>
        </is>
      </c>
      <c r="B1067" s="1" t="inlineStr">
        <is>
          <t>ARETES C CLASH ONYX</t>
        </is>
      </c>
      <c r="C1067" s="1" t="n"/>
      <c r="D1067" s="1" t="n"/>
      <c r="E1067" s="1" t="n"/>
      <c r="F1067" s="1" t="n"/>
      <c r="G1067" s="1" t="n"/>
      <c r="H1067" s="1" t="n"/>
      <c r="I1067" s="1" t="n"/>
      <c r="J1067" s="1" t="n"/>
      <c r="K1067" s="1" t="n"/>
      <c r="L1067" s="6" t="n">
        <v>349.2106159</v>
      </c>
      <c r="M1067" s="1" t="n"/>
      <c r="N1067" s="1" t="n"/>
    </row>
    <row r="1068">
      <c r="A1068" s="1" t="inlineStr">
        <is>
          <t>62745763507053</t>
        </is>
      </c>
      <c r="B1068" s="1" t="inlineStr">
        <is>
          <t>ARETES C CLASH ROSEGOLD TRIPLE</t>
        </is>
      </c>
      <c r="C1068" s="1" t="n"/>
      <c r="D1068" s="1" t="n"/>
      <c r="E1068" s="1" t="n"/>
      <c r="F1068" s="1" t="n"/>
      <c r="G1068" s="1" t="n"/>
      <c r="H1068" s="1" t="n"/>
      <c r="I1068" s="1" t="n"/>
      <c r="J1068" s="1" t="n"/>
      <c r="K1068" s="1" t="n"/>
      <c r="L1068" s="6" t="n">
        <v>349.2106159</v>
      </c>
      <c r="M1068" s="1" t="n"/>
      <c r="N1068" s="1" t="n"/>
    </row>
    <row r="1069">
      <c r="A1069" s="1" t="inlineStr">
        <is>
          <t>62745763603661</t>
        </is>
      </c>
      <c r="B1069" s="1" t="inlineStr">
        <is>
          <t>COLLAR T LOCK ALL ZIRCONIAS GOLD</t>
        </is>
      </c>
      <c r="C1069" s="1" t="n"/>
      <c r="D1069" s="1" t="n"/>
      <c r="E1069" s="1" t="n"/>
      <c r="F1069" s="1" t="n"/>
      <c r="G1069" s="1" t="n"/>
      <c r="H1069" s="1" t="n"/>
      <c r="I1069" s="1" t="n"/>
      <c r="J1069" s="1" t="n"/>
      <c r="K1069" s="1" t="n"/>
      <c r="L1069" s="6" t="n">
        <v>208.4585956</v>
      </c>
      <c r="M1069" s="1" t="n"/>
      <c r="N1069" s="1" t="n"/>
    </row>
    <row r="1070">
      <c r="A1070" s="1" t="inlineStr">
        <is>
          <t>62745763733037</t>
        </is>
      </c>
      <c r="B1070" s="1" t="inlineStr">
        <is>
          <t>COLLAR T LOCK GOLD</t>
        </is>
      </c>
      <c r="C1070" s="1" t="n"/>
      <c r="D1070" s="1" t="n"/>
      <c r="E1070" s="1" t="n"/>
      <c r="F1070" s="1" t="n"/>
      <c r="G1070" s="1" t="n"/>
      <c r="H1070" s="1" t="n"/>
      <c r="I1070" s="1" t="n"/>
      <c r="J1070" s="1" t="n"/>
      <c r="K1070" s="1" t="n"/>
      <c r="L1070" s="6" t="n">
        <v>184.1910059</v>
      </c>
      <c r="M1070" s="1" t="n"/>
      <c r="N1070" s="1" t="n"/>
    </row>
    <row r="1071">
      <c r="A1071" s="1" t="inlineStr">
        <is>
          <t>62745763822861</t>
        </is>
      </c>
      <c r="B1071" s="1" t="inlineStr">
        <is>
          <t>COLLAR T LOCK ROSE GOLD</t>
        </is>
      </c>
      <c r="C1071" s="1" t="n"/>
      <c r="D1071" s="1" t="n"/>
      <c r="E1071" s="1" t="n"/>
      <c r="F1071" s="1" t="n"/>
      <c r="G1071" s="1" t="n"/>
      <c r="H1071" s="1" t="n"/>
      <c r="I1071" s="1" t="n"/>
      <c r="J1071" s="1" t="n"/>
      <c r="K1071" s="1" t="n"/>
      <c r="L1071" s="6" t="n">
        <v>184.1910059</v>
      </c>
      <c r="M1071" s="1" t="n"/>
      <c r="N1071" s="1" t="n"/>
    </row>
    <row r="1072">
      <c r="A1072" s="1" t="inlineStr">
        <is>
          <t>62745763998573</t>
        </is>
      </c>
      <c r="B1072" s="1" t="inlineStr">
        <is>
          <t>COLLAR T SMILE ZIRCONIAS GOLD</t>
        </is>
      </c>
      <c r="C1072" s="1" t="n"/>
      <c r="D1072" s="1" t="n"/>
      <c r="E1072" s="1" t="n"/>
      <c r="F1072" s="1" t="n"/>
      <c r="G1072" s="1" t="n"/>
      <c r="H1072" s="1" t="n"/>
      <c r="I1072" s="1" t="n"/>
      <c r="J1072" s="1" t="n"/>
      <c r="K1072" s="1" t="n"/>
      <c r="L1072" s="6" t="n">
        <v>174.48397</v>
      </c>
      <c r="M1072" s="1" t="n"/>
      <c r="N1072" s="1" t="n"/>
    </row>
    <row r="1073">
      <c r="A1073" s="1" t="inlineStr">
        <is>
          <t>62745764027949</t>
        </is>
      </c>
      <c r="B1073" s="1" t="inlineStr">
        <is>
          <t>COLLAR T SMILE ZIRCONIAS ROSE GOLD</t>
        </is>
      </c>
      <c r="C1073" s="1" t="n"/>
      <c r="D1073" s="1" t="n"/>
      <c r="E1073" s="1" t="n"/>
      <c r="F1073" s="1" t="n"/>
      <c r="G1073" s="1" t="n"/>
      <c r="H1073" s="1" t="n"/>
      <c r="I1073" s="1" t="n"/>
      <c r="J1073" s="1" t="n"/>
      <c r="K1073" s="1" t="n"/>
      <c r="L1073" s="6" t="n">
        <v>174.48397</v>
      </c>
      <c r="M1073" s="1" t="n"/>
      <c r="N1073" s="1" t="n"/>
    </row>
    <row r="1074">
      <c r="A1074" s="1" t="inlineStr">
        <is>
          <t>62745764129645</t>
        </is>
      </c>
      <c r="B1074" s="1" t="inlineStr">
        <is>
          <t>COLLAR T SIXTEEN STONE</t>
        </is>
      </c>
      <c r="C1074" s="1" t="n"/>
      <c r="D1074" s="1" t="n"/>
      <c r="E1074" s="1" t="n"/>
      <c r="F1074" s="1" t="n"/>
      <c r="G1074" s="1" t="n"/>
      <c r="H1074" s="1" t="n"/>
      <c r="I1074" s="1" t="n"/>
      <c r="J1074" s="1" t="n"/>
      <c r="K1074" s="1" t="n"/>
      <c r="L1074" s="6" t="n">
        <v>186.6177649</v>
      </c>
      <c r="M1074" s="1" t="n"/>
      <c r="N1074" s="1" t="n"/>
    </row>
    <row r="1075">
      <c r="A1075" s="1" t="inlineStr">
        <is>
          <t>62809482933772</t>
        </is>
      </c>
      <c r="B1075" s="1" t="inlineStr">
        <is>
          <t>BOLSO CD MESSENGER SADDLE BLUE</t>
        </is>
      </c>
      <c r="C1075" s="1" t="n"/>
      <c r="D1075" s="1" t="n"/>
      <c r="E1075" s="6" t="n">
        <v>1310.091179</v>
      </c>
      <c r="F1075" s="1" t="n"/>
      <c r="G1075" s="1" t="n"/>
      <c r="H1075" s="1" t="n"/>
      <c r="I1075" s="6" t="n">
        <v>1325.124895</v>
      </c>
      <c r="J1075" s="6" t="n">
        <v>1342.87079</v>
      </c>
      <c r="K1075" s="1" t="n"/>
      <c r="L1075" s="1" t="n"/>
      <c r="M1075" s="1" t="n"/>
      <c r="N1075" s="1" t="n"/>
    </row>
    <row r="1076">
      <c r="A1076" s="1" t="inlineStr">
        <is>
          <t>63220631032173</t>
        </is>
      </c>
      <c r="B1076" s="1" t="inlineStr">
        <is>
          <t>ANILLO LV SELLO GOLD-9</t>
        </is>
      </c>
      <c r="C1076" s="1" t="n"/>
      <c r="D1076" s="6" t="n">
        <v>189.6610031</v>
      </c>
      <c r="E1076" s="1" t="n"/>
      <c r="F1076" s="1" t="n"/>
      <c r="G1076" s="1" t="n"/>
      <c r="H1076" s="1" t="n"/>
      <c r="I1076" s="6" t="n">
        <v>189.4057796</v>
      </c>
      <c r="J1076" s="1" t="n"/>
      <c r="K1076" s="1" t="n"/>
      <c r="L1076" s="1" t="n"/>
      <c r="M1076" s="1" t="n"/>
      <c r="N1076" s="1" t="n"/>
    </row>
    <row r="1077">
      <c r="A1077" s="1" t="inlineStr">
        <is>
          <t>63264441047757</t>
        </is>
      </c>
      <c r="B1077" s="1" t="inlineStr">
        <is>
          <t>COLLAR CD GOLD CON PERLAS</t>
        </is>
      </c>
      <c r="C1077" s="1" t="n"/>
      <c r="D1077" s="1" t="n"/>
      <c r="E1077" s="6" t="n">
        <v>212.615424</v>
      </c>
      <c r="F1077" s="1" t="n"/>
      <c r="G1077" s="1" t="n"/>
      <c r="H1077" s="6" t="n">
        <v>234.2843943</v>
      </c>
      <c r="I1077" s="1" t="n"/>
      <c r="J1077" s="6" t="n">
        <v>232.0384465</v>
      </c>
      <c r="K1077" s="1" t="n"/>
      <c r="L1077" s="6" t="n">
        <v>238.5416204</v>
      </c>
      <c r="M1077" s="1" t="n"/>
      <c r="N1077" s="1" t="n"/>
    </row>
    <row r="1078">
      <c r="A1078" s="1" t="inlineStr">
        <is>
          <t>63529311036333</t>
        </is>
      </c>
      <c r="B1078" s="1" t="inlineStr">
        <is>
          <t>ARETES T-SMILE GOLD CON ZIRCONIAS</t>
        </is>
      </c>
      <c r="C1078" s="1" t="n"/>
      <c r="D1078" s="1" t="n"/>
      <c r="E1078" s="1" t="n"/>
      <c r="F1078" s="1" t="n"/>
      <c r="G1078" s="1" t="n"/>
      <c r="H1078" s="6" t="n">
        <v>180.7945082</v>
      </c>
      <c r="I1078" s="6" t="n">
        <v>183.8948834</v>
      </c>
      <c r="J1078" s="1" t="n"/>
      <c r="K1078" s="1" t="n"/>
      <c r="L1078" s="1" t="n"/>
      <c r="M1078" s="1" t="n"/>
      <c r="N1078" s="1" t="n"/>
    </row>
    <row r="1079">
      <c r="A1079" s="1" t="inlineStr">
        <is>
          <t>63666799441676</t>
        </is>
      </c>
      <c r="B1079" s="1" t="inlineStr">
        <is>
          <t>BOLSO C TOTE</t>
        </is>
      </c>
      <c r="C1079" s="1" t="n"/>
      <c r="D1079" s="6" t="n">
        <v>1808.484811</v>
      </c>
      <c r="E1079" s="1" t="n"/>
      <c r="F1079" s="1" t="n"/>
      <c r="G1079" s="1" t="n"/>
      <c r="H1079" s="1" t="n"/>
      <c r="I1079" s="1" t="n"/>
      <c r="J1079" s="6" t="n">
        <v>1891.942252</v>
      </c>
      <c r="K1079" s="1" t="n"/>
      <c r="L1079" s="1" t="n"/>
      <c r="M1079" s="1" t="n"/>
      <c r="N1079" s="1" t="n"/>
    </row>
    <row r="1080">
      <c r="A1080" s="1" t="inlineStr">
        <is>
          <t>63794531345773</t>
        </is>
      </c>
      <c r="B1080" s="1" t="inlineStr">
        <is>
          <t>LENTES CD SIGNATURE B8U</t>
        </is>
      </c>
      <c r="C1080" s="1" t="n"/>
      <c r="D1080" s="1" t="n"/>
      <c r="E1080" s="1" t="n"/>
      <c r="F1080" s="1" t="n"/>
      <c r="G1080" s="1" t="n"/>
      <c r="H1080" s="1" t="n"/>
      <c r="I1080" s="1" t="n"/>
      <c r="J1080" s="6" t="n">
        <v>840.8632231</v>
      </c>
      <c r="K1080" s="1" t="n"/>
      <c r="L1080" s="1" t="n"/>
      <c r="M1080" s="1" t="n"/>
      <c r="N1080" s="1" t="n"/>
    </row>
    <row r="1081">
      <c r="A1081" s="1" t="inlineStr">
        <is>
          <t>63e0b1e29450b</t>
        </is>
      </c>
      <c r="B1081" s="1" t="inlineStr">
        <is>
          <t>ANILLO BV ROSE GOLD</t>
        </is>
      </c>
      <c r="C1081" s="1" t="n"/>
      <c r="D1081" s="1" t="n"/>
      <c r="E1081" s="1" t="n"/>
      <c r="F1081" s="1" t="n"/>
      <c r="G1081" s="1" t="n"/>
      <c r="H1081" s="6" t="n">
        <v>103.9090874</v>
      </c>
      <c r="I1081" s="1" t="n"/>
      <c r="J1081" s="1" t="n"/>
      <c r="K1081" s="1" t="n"/>
      <c r="L1081" s="1" t="n"/>
      <c r="M1081" s="1" t="n"/>
      <c r="N1081" s="1" t="n"/>
    </row>
    <row r="1082">
      <c r="A1082" s="1" t="inlineStr">
        <is>
          <t>63e0b1e2d5f1e</t>
        </is>
      </c>
      <c r="B1082" s="1" t="inlineStr">
        <is>
          <t>ANILLO BV ROSE GOLD DELGADO</t>
        </is>
      </c>
      <c r="C1082" s="1" t="n"/>
      <c r="D1082" s="1" t="n"/>
      <c r="E1082" s="1" t="n"/>
      <c r="F1082" s="1" t="n"/>
      <c r="G1082" s="1" t="n"/>
      <c r="H1082" s="6" t="n">
        <v>190.661093</v>
      </c>
      <c r="I1082" s="1" t="n"/>
      <c r="J1082" s="1" t="n"/>
      <c r="K1082" s="1" t="n"/>
      <c r="L1082" s="1" t="n"/>
      <c r="M1082" s="1" t="n"/>
      <c r="N1082" s="1" t="n"/>
    </row>
    <row r="1083">
      <c r="A1083" s="1" t="inlineStr">
        <is>
          <t>63e0b1e3636a9</t>
        </is>
      </c>
      <c r="B1083" s="1" t="inlineStr">
        <is>
          <t>ANILLO BV GOLD DELGADO</t>
        </is>
      </c>
      <c r="C1083" s="6" t="n">
        <v>193.2673107</v>
      </c>
      <c r="D1083" s="1" t="n"/>
      <c r="E1083" s="1" t="n"/>
      <c r="F1083" s="1" t="n"/>
      <c r="G1083" s="1" t="n"/>
      <c r="H1083" s="1" t="n"/>
      <c r="I1083" s="1" t="n"/>
      <c r="J1083" s="1" t="n"/>
      <c r="K1083" s="1" t="n"/>
      <c r="L1083" s="1" t="n"/>
      <c r="M1083" s="1" t="n"/>
      <c r="N1083" s="1" t="n"/>
    </row>
    <row r="1084">
      <c r="A1084" s="1" t="inlineStr">
        <is>
          <t>63e0b1e36f7c6</t>
        </is>
      </c>
      <c r="B1084" s="1" t="inlineStr">
        <is>
          <t>ANILLO BV ROSE GOLD</t>
        </is>
      </c>
      <c r="C1084" s="1" t="n"/>
      <c r="D1084" s="1" t="n"/>
      <c r="E1084" s="1" t="n"/>
      <c r="F1084" s="1" t="n"/>
      <c r="G1084" s="1" t="n"/>
      <c r="H1084" s="6" t="n">
        <v>103.9090874</v>
      </c>
      <c r="I1084" s="1" t="n"/>
      <c r="J1084" s="1" t="n"/>
      <c r="K1084" s="1" t="n"/>
      <c r="L1084" s="1" t="n"/>
      <c r="M1084" s="1" t="n"/>
      <c r="N1084" s="1" t="n"/>
    </row>
    <row r="1085">
      <c r="A1085" s="1" t="inlineStr">
        <is>
          <t>63e0b1e3b4fa0</t>
        </is>
      </c>
      <c r="B1085" s="1" t="inlineStr">
        <is>
          <t>ANILLO BV ROSE GOLD DELGADO</t>
        </is>
      </c>
      <c r="C1085" s="1" t="n"/>
      <c r="D1085" s="1" t="n"/>
      <c r="E1085" s="1" t="n"/>
      <c r="F1085" s="1" t="n"/>
      <c r="G1085" s="1" t="n"/>
      <c r="H1085" s="6" t="n">
        <v>190.661093</v>
      </c>
      <c r="I1085" s="1" t="n"/>
      <c r="J1085" s="1" t="n"/>
      <c r="K1085" s="1" t="n"/>
      <c r="L1085" s="1" t="n"/>
      <c r="M1085" s="1" t="n"/>
      <c r="N1085" s="1" t="n"/>
    </row>
    <row r="1086">
      <c r="A1086" s="1" t="inlineStr">
        <is>
          <t>63e0b1e44c6d7</t>
        </is>
      </c>
      <c r="B1086" s="1" t="inlineStr">
        <is>
          <t>ANILLO BV ROSE GOLD</t>
        </is>
      </c>
      <c r="C1086" s="1" t="n"/>
      <c r="D1086" s="1" t="n"/>
      <c r="E1086" s="1" t="n"/>
      <c r="F1086" s="1" t="n"/>
      <c r="G1086" s="1" t="n"/>
      <c r="H1086" s="6" t="n">
        <v>103.9090874</v>
      </c>
      <c r="I1086" s="1" t="n"/>
      <c r="J1086" s="1" t="n"/>
      <c r="K1086" s="1" t="n"/>
      <c r="L1086" s="1" t="n"/>
      <c r="M1086" s="1" t="n"/>
      <c r="N1086" s="1" t="n"/>
    </row>
    <row r="1087">
      <c r="A1087" s="1" t="inlineStr">
        <is>
          <t>63e0b1e45372f</t>
        </is>
      </c>
      <c r="B1087" s="1" t="inlineStr">
        <is>
          <t>ANILLO BV GOLD DELGADO</t>
        </is>
      </c>
      <c r="C1087" s="6" t="n">
        <v>193.2673107</v>
      </c>
      <c r="D1087" s="1" t="n"/>
      <c r="E1087" s="1" t="n"/>
      <c r="F1087" s="1" t="n"/>
      <c r="G1087" s="1" t="n"/>
      <c r="H1087" s="6" t="n">
        <v>190.661093</v>
      </c>
      <c r="I1087" s="1" t="n"/>
      <c r="J1087" s="1" t="n"/>
      <c r="K1087" s="1" t="n"/>
      <c r="L1087" s="1" t="n"/>
      <c r="M1087" s="1" t="n"/>
      <c r="N1087" s="1" t="n"/>
    </row>
    <row r="1088">
      <c r="A1088" s="1" t="inlineStr">
        <is>
          <t>63e0b1e49258e</t>
        </is>
      </c>
      <c r="B1088" s="1" t="inlineStr">
        <is>
          <t>ANILLO BV ROSE GOLD DELGADO</t>
        </is>
      </c>
      <c r="C1088" s="1" t="n"/>
      <c r="D1088" s="1" t="n"/>
      <c r="E1088" s="1" t="n"/>
      <c r="F1088" s="1" t="n"/>
      <c r="G1088" s="1" t="n"/>
      <c r="H1088" s="6" t="n">
        <v>190.661093</v>
      </c>
      <c r="I1088" s="1" t="n"/>
      <c r="J1088" s="1" t="n"/>
      <c r="K1088" s="1" t="n"/>
      <c r="L1088" s="1" t="n"/>
      <c r="M1088" s="1" t="n"/>
      <c r="N1088" s="1" t="n"/>
    </row>
    <row r="1089">
      <c r="A1089" s="1" t="inlineStr">
        <is>
          <t>63e0b1e52d057</t>
        </is>
      </c>
      <c r="B1089" s="1" t="inlineStr">
        <is>
          <t>ANILLO BV GOLD DELGADO</t>
        </is>
      </c>
      <c r="C1089" s="1" t="n"/>
      <c r="D1089" s="1" t="n"/>
      <c r="E1089" s="1" t="n"/>
      <c r="F1089" s="1" t="n"/>
      <c r="G1089" s="1" t="n"/>
      <c r="H1089" s="6" t="n">
        <v>190.661093</v>
      </c>
      <c r="I1089" s="1" t="n"/>
      <c r="J1089" s="1" t="n"/>
      <c r="K1089" s="1" t="n"/>
      <c r="L1089" s="1" t="n"/>
      <c r="M1089" s="1" t="n"/>
      <c r="N1089" s="1" t="n"/>
    </row>
    <row r="1090">
      <c r="A1090" s="1" t="inlineStr">
        <is>
          <t>63e0b1e537df8</t>
        </is>
      </c>
      <c r="B1090" s="1" t="inlineStr">
        <is>
          <t>ANILLO BV ROSE GOLD</t>
        </is>
      </c>
      <c r="C1090" s="1" t="n"/>
      <c r="D1090" s="1" t="n"/>
      <c r="E1090" s="1" t="n"/>
      <c r="F1090" s="1" t="n"/>
      <c r="G1090" s="1" t="n"/>
      <c r="H1090" s="6" t="n">
        <v>103.9090874</v>
      </c>
      <c r="I1090" s="1" t="n"/>
      <c r="J1090" s="1" t="n"/>
      <c r="K1090" s="1" t="n"/>
      <c r="L1090" s="1" t="n"/>
      <c r="M1090" s="1" t="n"/>
      <c r="N1090" s="1" t="n"/>
    </row>
    <row r="1091">
      <c r="A1091" s="1" t="inlineStr">
        <is>
          <t>63e0b1e577108</t>
        </is>
      </c>
      <c r="B1091" s="1" t="inlineStr">
        <is>
          <t>ANILLO BV ROSE GOLD DELGADO</t>
        </is>
      </c>
      <c r="C1091" s="1" t="n"/>
      <c r="D1091" s="1" t="n"/>
      <c r="E1091" s="1" t="n"/>
      <c r="F1091" s="1" t="n"/>
      <c r="G1091" s="1" t="n"/>
      <c r="H1091" s="6" t="n">
        <v>190.661093</v>
      </c>
      <c r="I1091" s="1" t="n"/>
      <c r="J1091" s="1" t="n"/>
      <c r="K1091" s="1" t="n"/>
      <c r="L1091" s="1" t="n"/>
      <c r="M1091" s="1" t="n"/>
      <c r="N1091" s="1" t="n"/>
    </row>
    <row r="1092">
      <c r="A1092" s="1" t="inlineStr">
        <is>
          <t>63e0b1e628eb5</t>
        </is>
      </c>
      <c r="B1092" s="1" t="inlineStr">
        <is>
          <t>ANILLO BV ROSE GOLD</t>
        </is>
      </c>
      <c r="C1092" s="1" t="n"/>
      <c r="D1092" s="1" t="n"/>
      <c r="E1092" s="1" t="n"/>
      <c r="F1092" s="1" t="n"/>
      <c r="G1092" s="1" t="n"/>
      <c r="H1092" s="6" t="n">
        <v>103.9090874</v>
      </c>
      <c r="I1092" s="1" t="n"/>
      <c r="J1092" s="1" t="n"/>
      <c r="K1092" s="1" t="n"/>
      <c r="L1092" s="1" t="n"/>
      <c r="M1092" s="1" t="n"/>
      <c r="N1092" s="1" t="n"/>
    </row>
    <row r="1093">
      <c r="A1093" s="1" t="inlineStr">
        <is>
          <t>63e0b1e659918</t>
        </is>
      </c>
      <c r="B1093" s="1" t="inlineStr">
        <is>
          <t>ANILLO BV ROSE GOLD DELGADO</t>
        </is>
      </c>
      <c r="C1093" s="1" t="n"/>
      <c r="D1093" s="1" t="n"/>
      <c r="E1093" s="1" t="n"/>
      <c r="F1093" s="1" t="n"/>
      <c r="G1093" s="1" t="n"/>
      <c r="H1093" s="6" t="n">
        <v>190.661093</v>
      </c>
      <c r="I1093" s="1" t="n"/>
      <c r="J1093" s="1" t="n"/>
      <c r="K1093" s="1" t="n"/>
      <c r="L1093" s="1" t="n"/>
      <c r="M1093" s="1" t="n"/>
      <c r="N1093" s="1" t="n"/>
    </row>
    <row r="1094">
      <c r="A1094" s="1" t="inlineStr">
        <is>
          <t>63e0b1e6f022f</t>
        </is>
      </c>
      <c r="B1094" s="1" t="inlineStr">
        <is>
          <t>ANILLO BV GOLD DELGADO</t>
        </is>
      </c>
      <c r="C1094" s="1" t="n"/>
      <c r="D1094" s="1" t="n"/>
      <c r="E1094" s="1" t="n"/>
      <c r="F1094" s="1" t="n"/>
      <c r="G1094" s="1" t="n"/>
      <c r="H1094" s="6" t="n">
        <v>190.661093</v>
      </c>
      <c r="I1094" s="1" t="n"/>
      <c r="J1094" s="1" t="n"/>
      <c r="K1094" s="1" t="n"/>
      <c r="L1094" s="1" t="n"/>
      <c r="M1094" s="1" t="n"/>
      <c r="N1094" s="1" t="n"/>
    </row>
    <row r="1095">
      <c r="A1095" s="1" t="inlineStr">
        <is>
          <t>63e0b1e70453e</t>
        </is>
      </c>
      <c r="B1095" s="1" t="inlineStr">
        <is>
          <t>ANILLO BV ROSE GOLD</t>
        </is>
      </c>
      <c r="C1095" s="1" t="n"/>
      <c r="D1095" s="1" t="n"/>
      <c r="E1095" s="1" t="n"/>
      <c r="F1095" s="1" t="n"/>
      <c r="G1095" s="1" t="n"/>
      <c r="H1095" s="6" t="n">
        <v>103.9090874</v>
      </c>
      <c r="I1095" s="1" t="n"/>
      <c r="J1095" s="1" t="n"/>
      <c r="K1095" s="1" t="n"/>
      <c r="L1095" s="1" t="n"/>
      <c r="M1095" s="1" t="n"/>
      <c r="N1095" s="1" t="n"/>
    </row>
    <row r="1096">
      <c r="A1096" s="1" t="inlineStr">
        <is>
          <t>63e0b1f7d50b1</t>
        </is>
      </c>
      <c r="B1096" s="1" t="inlineStr">
        <is>
          <t>ANILLO BV SILVER</t>
        </is>
      </c>
      <c r="C1096" s="1" t="n"/>
      <c r="D1096" s="1" t="n"/>
      <c r="E1096" s="1" t="n"/>
      <c r="F1096" s="1" t="n"/>
      <c r="G1096" s="1" t="n"/>
      <c r="H1096" s="6" t="n">
        <v>98.10951046</v>
      </c>
      <c r="I1096" s="1" t="n"/>
      <c r="J1096" s="1" t="n"/>
      <c r="K1096" s="1" t="n"/>
      <c r="L1096" s="1" t="n"/>
      <c r="M1096" s="1" t="n"/>
      <c r="N1096" s="1" t="n"/>
    </row>
    <row r="1097">
      <c r="A1097" s="1" t="inlineStr">
        <is>
          <t>63e0b1f8bb7d5</t>
        </is>
      </c>
      <c r="B1097" s="1" t="inlineStr">
        <is>
          <t>ANILLO BV SILVER</t>
        </is>
      </c>
      <c r="C1097" s="6" t="n">
        <v>99.45060599999999</v>
      </c>
      <c r="D1097" s="1" t="n"/>
      <c r="E1097" s="1" t="n"/>
      <c r="F1097" s="1" t="n"/>
      <c r="G1097" s="1" t="n"/>
      <c r="H1097" s="6" t="n">
        <v>98.10951046</v>
      </c>
      <c r="I1097" s="1" t="n"/>
      <c r="J1097" s="1" t="n"/>
      <c r="K1097" s="1" t="n"/>
      <c r="L1097" s="1" t="n"/>
      <c r="M1097" s="1" t="n"/>
      <c r="N1097" s="1" t="n"/>
    </row>
    <row r="1098">
      <c r="A1098" s="1" t="inlineStr">
        <is>
          <t>63e0b1f91d20d</t>
        </is>
      </c>
      <c r="B1098" s="1" t="inlineStr">
        <is>
          <t>ANILLO BV SILVER DELGADO</t>
        </is>
      </c>
      <c r="C1098" s="1" t="n"/>
      <c r="D1098" s="1" t="n"/>
      <c r="E1098" s="1" t="n"/>
      <c r="F1098" s="1" t="n"/>
      <c r="G1098" s="1" t="n"/>
      <c r="H1098" s="6" t="n">
        <v>190.661093</v>
      </c>
      <c r="I1098" s="1" t="n"/>
      <c r="J1098" s="1" t="n"/>
      <c r="K1098" s="1" t="n"/>
      <c r="L1098" s="1" t="n"/>
      <c r="M1098" s="1" t="n"/>
      <c r="N1098" s="1" t="n"/>
    </row>
    <row r="1099">
      <c r="A1099" s="1" t="inlineStr">
        <is>
          <t>63e0b1f9a5ac2</t>
        </is>
      </c>
      <c r="B1099" s="1" t="inlineStr">
        <is>
          <t>ANILLO BV SILVER</t>
        </is>
      </c>
      <c r="C1099" s="6" t="n">
        <v>99.45060599999999</v>
      </c>
      <c r="D1099" s="1" t="n"/>
      <c r="E1099" s="1" t="n"/>
      <c r="F1099" s="1" t="n"/>
      <c r="G1099" s="1" t="n"/>
      <c r="H1099" s="6" t="n">
        <v>98.10951046</v>
      </c>
      <c r="I1099" s="1" t="n"/>
      <c r="J1099" s="1" t="n"/>
      <c r="K1099" s="1" t="n"/>
      <c r="L1099" s="1" t="n"/>
      <c r="M1099" s="1" t="n"/>
      <c r="N1099" s="1" t="n"/>
    </row>
    <row r="1100">
      <c r="A1100" s="1" t="inlineStr">
        <is>
          <t>63e0b1fa23537</t>
        </is>
      </c>
      <c r="B1100" s="1" t="inlineStr">
        <is>
          <t>ANILLO BV SILVER DELGADO</t>
        </is>
      </c>
      <c r="C1100" s="1" t="n"/>
      <c r="D1100" s="1" t="n"/>
      <c r="E1100" s="1" t="n"/>
      <c r="F1100" s="1" t="n"/>
      <c r="G1100" s="1" t="n"/>
      <c r="H1100" s="6" t="n">
        <v>190.661093</v>
      </c>
      <c r="I1100" s="1" t="n"/>
      <c r="J1100" s="1" t="n"/>
      <c r="K1100" s="1" t="n"/>
      <c r="L1100" s="1" t="n"/>
      <c r="M1100" s="1" t="n"/>
      <c r="N1100" s="1" t="n"/>
    </row>
    <row r="1101">
      <c r="A1101" s="1" t="inlineStr">
        <is>
          <t>63e0b1fa92d45</t>
        </is>
      </c>
      <c r="B1101" s="1" t="inlineStr">
        <is>
          <t>ANILLO BV SILVER</t>
        </is>
      </c>
      <c r="C1101" s="1" t="n"/>
      <c r="D1101" s="1" t="n"/>
      <c r="E1101" s="1" t="n"/>
      <c r="F1101" s="1" t="n"/>
      <c r="G1101" s="1" t="n"/>
      <c r="H1101" s="6" t="n">
        <v>98.10951046</v>
      </c>
      <c r="I1101" s="1" t="n"/>
      <c r="J1101" s="1" t="n"/>
      <c r="K1101" s="1" t="n"/>
      <c r="L1101" s="1" t="n"/>
      <c r="M1101" s="1" t="n"/>
      <c r="N1101" s="1" t="n"/>
    </row>
    <row r="1102">
      <c r="A1102" s="1" t="inlineStr">
        <is>
          <t>63e0b1fb11aa3</t>
        </is>
      </c>
      <c r="B1102" s="1" t="inlineStr">
        <is>
          <t>ANILLO BV SILVER DELGADO</t>
        </is>
      </c>
      <c r="C1102" s="1" t="n"/>
      <c r="D1102" s="1" t="n"/>
      <c r="E1102" s="1" t="n"/>
      <c r="F1102" s="1" t="n"/>
      <c r="G1102" s="1" t="n"/>
      <c r="H1102" s="6" t="n">
        <v>190.661093</v>
      </c>
      <c r="I1102" s="1" t="n"/>
      <c r="J1102" s="1" t="n"/>
      <c r="K1102" s="1" t="n"/>
      <c r="L1102" s="1" t="n"/>
      <c r="M1102" s="1" t="n"/>
      <c r="N1102" s="1" t="n"/>
    </row>
    <row r="1103">
      <c r="A1103" s="1" t="inlineStr">
        <is>
          <t>63e0b1fbdf1a6</t>
        </is>
      </c>
      <c r="B1103" s="1" t="inlineStr">
        <is>
          <t>ANILLO BV SILVER</t>
        </is>
      </c>
      <c r="C1103" s="6" t="n">
        <v>99.45060599999999</v>
      </c>
      <c r="D1103" s="1" t="n"/>
      <c r="E1103" s="1" t="n"/>
      <c r="F1103" s="1" t="n"/>
      <c r="G1103" s="1" t="n"/>
      <c r="H1103" s="6" t="n">
        <v>98.10951046</v>
      </c>
      <c r="I1103" s="1" t="n"/>
      <c r="J1103" s="1" t="n"/>
      <c r="K1103" s="1" t="n"/>
      <c r="L1103" s="1" t="n"/>
      <c r="M1103" s="1" t="n"/>
      <c r="N1103" s="1" t="n"/>
    </row>
    <row r="1104">
      <c r="A1104" s="1" t="inlineStr">
        <is>
          <t>63e0b1fc15c01</t>
        </is>
      </c>
      <c r="B1104" s="1" t="inlineStr">
        <is>
          <t>ANILLO BV SILVER DELGADO</t>
        </is>
      </c>
      <c r="C1104" s="1" t="n"/>
      <c r="D1104" s="1" t="n"/>
      <c r="E1104" s="1" t="n"/>
      <c r="F1104" s="1" t="n"/>
      <c r="G1104" s="1" t="n"/>
      <c r="H1104" s="6" t="n">
        <v>190.661093</v>
      </c>
      <c r="I1104" s="1" t="n"/>
      <c r="J1104" s="1" t="n"/>
      <c r="K1104" s="1" t="n"/>
      <c r="L1104" s="1" t="n"/>
      <c r="M1104" s="1" t="n"/>
      <c r="N1104" s="1" t="n"/>
    </row>
    <row r="1105">
      <c r="A1105" s="1" t="inlineStr">
        <is>
          <t>63e0b1fcc7359</t>
        </is>
      </c>
      <c r="B1105" s="1" t="inlineStr">
        <is>
          <t>ANILLO BV SILVER</t>
        </is>
      </c>
      <c r="C1105" s="6" t="n">
        <v>99.45060599999999</v>
      </c>
      <c r="D1105" s="1" t="n"/>
      <c r="E1105" s="1" t="n"/>
      <c r="F1105" s="1" t="n"/>
      <c r="G1105" s="1" t="n"/>
      <c r="H1105" s="6" t="n">
        <v>98.10951046</v>
      </c>
      <c r="I1105" s="1" t="n"/>
      <c r="J1105" s="1" t="n"/>
      <c r="K1105" s="1" t="n"/>
      <c r="L1105" s="1" t="n"/>
      <c r="M1105" s="1" t="n"/>
      <c r="N1105" s="1" t="n"/>
    </row>
    <row r="1106">
      <c r="A1106" s="1" t="inlineStr">
        <is>
          <t>63e0b1fd046c4</t>
        </is>
      </c>
      <c r="B1106" s="1" t="inlineStr">
        <is>
          <t>ANILLO BV SILVER DELGADO</t>
        </is>
      </c>
      <c r="C1106" s="1" t="n"/>
      <c r="D1106" s="1" t="n"/>
      <c r="E1106" s="1" t="n"/>
      <c r="F1106" s="1" t="n"/>
      <c r="G1106" s="1" t="n"/>
      <c r="H1106" s="6" t="n">
        <v>190.661093</v>
      </c>
      <c r="I1106" s="1" t="n"/>
      <c r="J1106" s="1" t="n"/>
      <c r="K1106" s="1" t="n"/>
      <c r="L1106" s="1" t="n"/>
      <c r="M1106" s="1" t="n"/>
      <c r="N1106" s="1" t="n"/>
    </row>
    <row r="1107">
      <c r="A1107" s="1" t="inlineStr">
        <is>
          <t>63e0b1fde9905</t>
        </is>
      </c>
      <c r="B1107" s="1" t="inlineStr">
        <is>
          <t>ANILLO BV SILVER</t>
        </is>
      </c>
      <c r="C1107" s="6" t="n">
        <v>99.45060599999999</v>
      </c>
      <c r="D1107" s="1" t="n"/>
      <c r="E1107" s="1" t="n"/>
      <c r="F1107" s="1" t="n"/>
      <c r="G1107" s="1" t="n"/>
      <c r="H1107" s="6" t="n">
        <v>98.10951046</v>
      </c>
      <c r="I1107" s="1" t="n"/>
      <c r="J1107" s="1" t="n"/>
      <c r="K1107" s="1" t="n"/>
      <c r="L1107" s="1" t="n"/>
      <c r="M1107" s="1" t="n"/>
      <c r="N1107" s="1" t="n"/>
    </row>
    <row r="1108">
      <c r="A1108" s="1" t="inlineStr">
        <is>
          <t>63e0b72a8a859</t>
        </is>
      </c>
      <c r="B1108" s="1" t="inlineStr">
        <is>
          <t>ANILLO COCO GOLD</t>
        </is>
      </c>
      <c r="C1108" s="1" t="n"/>
      <c r="D1108" s="1" t="n"/>
      <c r="E1108" s="1" t="n"/>
      <c r="F1108" s="1" t="n"/>
      <c r="G1108" s="1" t="n"/>
      <c r="H1108" s="6" t="n">
        <v>38.16075203</v>
      </c>
      <c r="I1108" s="6" t="n">
        <v>37.92329292</v>
      </c>
      <c r="J1108" s="1" t="n"/>
      <c r="K1108" s="1" t="n"/>
      <c r="L1108" s="6" t="n">
        <v>38.19355608</v>
      </c>
      <c r="M1108" s="6" t="n">
        <v>37.82629163</v>
      </c>
      <c r="N1108" s="1" t="n"/>
    </row>
    <row r="1109">
      <c r="A1109" s="1" t="inlineStr">
        <is>
          <t>63e0b72b646a2</t>
        </is>
      </c>
      <c r="B1109" s="1" t="inlineStr">
        <is>
          <t>ANILLO COCO GOLD</t>
        </is>
      </c>
      <c r="C1109" s="1" t="n"/>
      <c r="D1109" s="6" t="n">
        <v>38.117301145</v>
      </c>
      <c r="E1109" s="1" t="n"/>
      <c r="F1109" s="1" t="n"/>
      <c r="G1109" s="6" t="n">
        <v>37.65088802</v>
      </c>
      <c r="H1109" s="1" t="n"/>
      <c r="I1109" s="6" t="n">
        <v>37.92329292</v>
      </c>
      <c r="J1109" s="1" t="n"/>
      <c r="K1109" s="1" t="n"/>
      <c r="L1109" s="6" t="n">
        <v>37.78073153</v>
      </c>
      <c r="M1109" s="1" t="n"/>
      <c r="N1109" s="1" t="n"/>
    </row>
    <row r="1110">
      <c r="A1110" s="1" t="inlineStr">
        <is>
          <t>63e0b72c4613b</t>
        </is>
      </c>
      <c r="B1110" s="1" t="inlineStr">
        <is>
          <t>ANILLO COCO GOLD</t>
        </is>
      </c>
      <c r="C1110" s="1" t="n"/>
      <c r="D1110" s="1" t="n"/>
      <c r="E1110" s="1" t="n"/>
      <c r="F1110" s="1" t="n"/>
      <c r="G1110" s="1" t="n"/>
      <c r="H1110" s="1" t="n"/>
      <c r="I1110" s="6" t="n">
        <v>37.92329292</v>
      </c>
      <c r="J1110" s="6" t="n">
        <v>38.34701319</v>
      </c>
      <c r="K1110" s="1" t="n"/>
      <c r="L1110" s="1" t="n"/>
      <c r="M1110" s="1" t="n"/>
      <c r="N1110" s="1" t="n"/>
    </row>
    <row r="1111">
      <c r="A1111" s="1" t="inlineStr">
        <is>
          <t>63e0b72d387b2</t>
        </is>
      </c>
      <c r="B1111" s="1" t="inlineStr">
        <is>
          <t>ANILLO COCO GOLD</t>
        </is>
      </c>
      <c r="C1111" s="1" t="n"/>
      <c r="D1111" s="1" t="n"/>
      <c r="E1111" s="1" t="n"/>
      <c r="F1111" s="1" t="n"/>
      <c r="G1111" s="1" t="n"/>
      <c r="H1111" s="1" t="n"/>
      <c r="I1111" s="6" t="n">
        <v>37.92329292</v>
      </c>
      <c r="J1111" s="1" t="n"/>
      <c r="K1111" s="1" t="n"/>
      <c r="L1111" s="6" t="n">
        <v>37.78073153</v>
      </c>
      <c r="M1111" s="6" t="n">
        <v>37.82629163</v>
      </c>
      <c r="N1111" s="1" t="n"/>
    </row>
    <row r="1112">
      <c r="A1112" s="1" t="inlineStr">
        <is>
          <t>63e0b72d92a68</t>
        </is>
      </c>
      <c r="B1112" s="1" t="inlineStr">
        <is>
          <t>ANILLO COCO ROSE GOLD</t>
        </is>
      </c>
      <c r="C1112" s="1" t="n"/>
      <c r="D1112" s="1" t="n"/>
      <c r="E1112" s="1" t="n"/>
      <c r="F1112" s="1" t="n"/>
      <c r="G1112" s="1" t="n"/>
      <c r="H1112" s="1" t="n"/>
      <c r="I1112" s="1" t="n"/>
      <c r="J1112" s="6" t="n">
        <v>38.34701319</v>
      </c>
      <c r="K1112" s="1" t="n"/>
      <c r="L1112" s="1" t="n"/>
      <c r="M1112" s="6" t="n">
        <v>37.82629163</v>
      </c>
      <c r="N1112" s="1" t="n"/>
    </row>
    <row r="1113">
      <c r="A1113" s="1" t="inlineStr">
        <is>
          <t>63e0b72e8ae97</t>
        </is>
      </c>
      <c r="B1113" s="1" t="inlineStr">
        <is>
          <t>ANILLO COCO GOLD</t>
        </is>
      </c>
      <c r="C1113" s="1" t="n"/>
      <c r="D1113" s="1" t="n"/>
      <c r="E1113" s="1" t="n"/>
      <c r="F1113" s="1" t="n"/>
      <c r="G1113" s="6" t="n">
        <v>37.65088802</v>
      </c>
      <c r="H1113" s="1" t="n"/>
      <c r="I1113" s="1" t="n"/>
      <c r="J1113" s="6" t="n">
        <v>38.34701319</v>
      </c>
      <c r="K1113" s="1" t="n"/>
      <c r="L1113" s="6" t="n">
        <v>37.987143805</v>
      </c>
      <c r="M1113" s="1" t="n"/>
      <c r="N1113" s="1" t="n"/>
    </row>
    <row r="1114">
      <c r="A1114" s="1" t="inlineStr">
        <is>
          <t>63e0b72e8ceb1</t>
        </is>
      </c>
      <c r="B1114" s="1" t="inlineStr">
        <is>
          <t>ANILLO COCO ROSE GOLD</t>
        </is>
      </c>
      <c r="C1114" s="1" t="n"/>
      <c r="D1114" s="1" t="n"/>
      <c r="E1114" s="1" t="n"/>
      <c r="F1114" s="1" t="n"/>
      <c r="G1114" s="6" t="n">
        <v>37.65088802</v>
      </c>
      <c r="H1114" s="1" t="n"/>
      <c r="I1114" s="1" t="n"/>
      <c r="J1114" s="1" t="n"/>
      <c r="K1114" s="6" t="n">
        <v>37.85665246</v>
      </c>
      <c r="L1114" s="1" t="n"/>
      <c r="M1114" s="1" t="n"/>
      <c r="N1114" s="1" t="n"/>
    </row>
    <row r="1115">
      <c r="A1115" s="1" t="inlineStr">
        <is>
          <t>63e0b72f8b602</t>
        </is>
      </c>
      <c r="B1115" s="1" t="inlineStr">
        <is>
          <t>ANILLO COCO SILVER</t>
        </is>
      </c>
      <c r="C1115" s="1" t="n"/>
      <c r="D1115" s="1" t="n"/>
      <c r="E1115" s="1" t="n"/>
      <c r="F1115" s="1" t="n"/>
      <c r="G1115" s="6" t="n">
        <v>37.65088802</v>
      </c>
      <c r="H1115" s="1" t="n"/>
      <c r="I1115" s="1" t="n"/>
      <c r="J1115" s="1" t="n"/>
      <c r="K1115" s="1" t="n"/>
      <c r="L1115" s="6" t="n">
        <v>37.78073153</v>
      </c>
      <c r="M1115" s="6" t="n">
        <v>37.82629163</v>
      </c>
      <c r="N1115" s="1" t="n"/>
    </row>
    <row r="1116">
      <c r="A1116" s="1" t="inlineStr">
        <is>
          <t>63e0b73078446</t>
        </is>
      </c>
      <c r="B1116" s="1" t="inlineStr">
        <is>
          <t>ANILLO COCO SILVER</t>
        </is>
      </c>
      <c r="C1116" s="1" t="n"/>
      <c r="D1116" s="6" t="n">
        <v>38.26020791</v>
      </c>
      <c r="E1116" s="1" t="n"/>
      <c r="F1116" s="6" t="n">
        <v>37.9088972</v>
      </c>
      <c r="G1116" s="1" t="n"/>
      <c r="H1116" s="1" t="n"/>
      <c r="I1116" s="1" t="n"/>
      <c r="J1116" s="1" t="n"/>
      <c r="K1116" s="6" t="n">
        <v>37.85665246</v>
      </c>
      <c r="L1116" s="1" t="n"/>
      <c r="M1116" s="6" t="n">
        <v>37.82629163</v>
      </c>
      <c r="N1116" s="1" t="n"/>
    </row>
    <row r="1117">
      <c r="A1117" s="1" t="inlineStr">
        <is>
          <t>63e0b7307c4b5</t>
        </is>
      </c>
      <c r="B1117" s="1" t="inlineStr">
        <is>
          <t>ANILLO COCO ROSE GOLD</t>
        </is>
      </c>
      <c r="C1117" s="1" t="n"/>
      <c r="D1117" s="1" t="n"/>
      <c r="E1117" s="1" t="n"/>
      <c r="F1117" s="1" t="n"/>
      <c r="G1117" s="1" t="n"/>
      <c r="H1117" s="1" t="n"/>
      <c r="I1117" s="6" t="n">
        <v>37.92329292</v>
      </c>
      <c r="J1117" s="1" t="n"/>
      <c r="K1117" s="6" t="n">
        <v>37.85665246</v>
      </c>
      <c r="L1117" s="1" t="n"/>
      <c r="M1117" s="6" t="n">
        <v>37.82629163</v>
      </c>
      <c r="N1117" s="1" t="n"/>
    </row>
    <row r="1118">
      <c r="A1118" s="1" t="inlineStr">
        <is>
          <t>63e0b7315fccc</t>
        </is>
      </c>
      <c r="B1118" s="1" t="inlineStr">
        <is>
          <t>ANILLO COCO ROSE GOLD</t>
        </is>
      </c>
      <c r="C1118" s="1" t="n"/>
      <c r="D1118" s="1" t="n"/>
      <c r="E1118" s="1" t="n"/>
      <c r="F1118" s="1" t="n"/>
      <c r="G1118" s="6" t="n">
        <v>37.65088802</v>
      </c>
      <c r="H1118" s="1" t="n"/>
      <c r="I1118" s="1" t="n"/>
      <c r="J1118" s="1" t="n"/>
      <c r="K1118" s="6" t="n">
        <v>37.85665246</v>
      </c>
      <c r="L1118" s="1" t="n"/>
      <c r="M1118" s="1" t="n"/>
      <c r="N1118" s="1" t="n"/>
    </row>
    <row r="1119">
      <c r="A1119" s="1" t="inlineStr">
        <is>
          <t>63e0b731a865e</t>
        </is>
      </c>
      <c r="B1119" s="1" t="inlineStr">
        <is>
          <t>ANILLO COCO SILVER</t>
        </is>
      </c>
      <c r="C1119" s="1" t="n"/>
      <c r="D1119" s="6" t="n">
        <v>38.117301145</v>
      </c>
      <c r="E1119" s="1" t="n"/>
      <c r="F1119" s="1" t="n"/>
      <c r="G1119" s="1" t="n"/>
      <c r="H1119" s="1" t="n"/>
      <c r="I1119" s="1" t="n"/>
      <c r="J1119" s="1" t="n"/>
      <c r="K1119" s="1" t="n"/>
      <c r="L1119" s="6" t="n">
        <v>38.19355608</v>
      </c>
      <c r="M1119" s="1" t="n"/>
      <c r="N1119" s="1" t="n"/>
    </row>
    <row r="1120">
      <c r="A1120" s="1" t="inlineStr">
        <is>
          <t>63e0b7329703a</t>
        </is>
      </c>
      <c r="B1120" s="1" t="inlineStr">
        <is>
          <t>ANILLO COCO SILVER</t>
        </is>
      </c>
      <c r="C1120" s="1" t="n"/>
      <c r="D1120" s="6" t="n">
        <v>38.26020791</v>
      </c>
      <c r="E1120" s="1" t="n"/>
      <c r="F1120" s="6" t="n">
        <v>37.9088972</v>
      </c>
      <c r="G1120" s="1" t="n"/>
      <c r="H1120" s="1" t="n"/>
      <c r="I1120" s="1" t="n"/>
      <c r="J1120" s="6" t="n">
        <v>38.34701319</v>
      </c>
      <c r="K1120" s="1" t="n"/>
      <c r="L1120" s="1" t="n"/>
      <c r="M1120" s="6" t="n">
        <v>37.82629163</v>
      </c>
      <c r="N1120" s="1" t="n"/>
    </row>
    <row r="1121">
      <c r="A1121" s="1" t="inlineStr">
        <is>
          <t>63e0b7337fc65</t>
        </is>
      </c>
      <c r="B1121" s="1" t="inlineStr">
        <is>
          <t>ANILLO COCO SILVER</t>
        </is>
      </c>
      <c r="C1121" s="1" t="n"/>
      <c r="D1121" s="1" t="n"/>
      <c r="E1121" s="1" t="n"/>
      <c r="F1121" s="1" t="n"/>
      <c r="G1121" s="1" t="n"/>
      <c r="H1121" s="1" t="n"/>
      <c r="I1121" s="1" t="n"/>
      <c r="J1121" s="6" t="n">
        <v>38.34701319</v>
      </c>
      <c r="K1121" s="1" t="n"/>
      <c r="L1121" s="1" t="n"/>
      <c r="M1121" s="1" t="n"/>
      <c r="N1121" s="1" t="n"/>
    </row>
    <row r="1122">
      <c r="A1122" s="1" t="inlineStr">
        <is>
          <t>63e0bb0816c62</t>
        </is>
      </c>
      <c r="B1122" s="1" t="inlineStr">
        <is>
          <t>ARETES CC SILVER</t>
        </is>
      </c>
      <c r="C1122" s="1" t="n"/>
      <c r="D1122" s="1" t="n"/>
      <c r="E1122" s="1" t="n"/>
      <c r="F1122" s="1" t="n"/>
      <c r="G1122" s="1" t="n"/>
      <c r="H1122" s="1" t="n"/>
      <c r="I1122" s="1" t="n"/>
      <c r="J1122" s="6" t="n">
        <v>53.71483159</v>
      </c>
      <c r="K1122" s="1" t="n"/>
      <c r="L1122" s="6" t="n">
        <v>53.00208995</v>
      </c>
      <c r="M1122" s="1" t="n"/>
      <c r="N1122" s="1" t="n"/>
    </row>
    <row r="1123">
      <c r="A1123" s="1" t="inlineStr">
        <is>
          <t>63e0bb0b18c6d</t>
        </is>
      </c>
      <c r="B1123" s="1" t="inlineStr">
        <is>
          <t>ARETES GC ZIRCONIA</t>
        </is>
      </c>
      <c r="C1123" s="1" t="n"/>
      <c r="D1123" s="1" t="n"/>
      <c r="E1123" s="1" t="n"/>
      <c r="F1123" s="1" t="n"/>
      <c r="G1123" s="1" t="n"/>
      <c r="H1123" s="6" t="n">
        <v>83.61056803</v>
      </c>
      <c r="I1123" s="1" t="n"/>
      <c r="J1123" s="1" t="n"/>
      <c r="K1123" s="1" t="n"/>
      <c r="L1123" s="1" t="n"/>
      <c r="M1123" s="1" t="n"/>
      <c r="N1123" s="1" t="n"/>
    </row>
    <row r="1124">
      <c r="A1124" s="1" t="inlineStr">
        <is>
          <t>63e0bd172995f-1</t>
        </is>
      </c>
      <c r="B1124" s="1" t="inlineStr">
        <is>
          <t>ARETES LV GOLD</t>
        </is>
      </c>
      <c r="C1124" s="1" t="n"/>
      <c r="D1124" s="6" t="n">
        <v>130.4277221</v>
      </c>
      <c r="E1124" s="1" t="n"/>
      <c r="F1124" s="1" t="n"/>
      <c r="G1124" s="1" t="n"/>
      <c r="H1124" s="6" t="n">
        <v>137.7228753</v>
      </c>
      <c r="I1124" s="6" t="n">
        <v>140.0846317</v>
      </c>
      <c r="J1124" s="6" t="n">
        <v>139.1214138</v>
      </c>
      <c r="K1124" s="1" t="n"/>
      <c r="L1124" s="1" t="n"/>
      <c r="M1124" s="1" t="n"/>
      <c r="N1124" s="1" t="n"/>
    </row>
    <row r="1125">
      <c r="A1125" s="1" t="inlineStr">
        <is>
          <t>63e0bd1a27e4e</t>
        </is>
      </c>
      <c r="B1125" s="1" t="inlineStr">
        <is>
          <t>ARETES LV SILVER</t>
        </is>
      </c>
      <c r="C1125" s="1" t="n"/>
      <c r="D1125" s="1" t="n"/>
      <c r="E1125" s="1" t="n"/>
      <c r="F1125" s="1" t="n"/>
      <c r="G1125" s="1" t="n"/>
      <c r="H1125" s="1" t="n"/>
      <c r="I1125" s="6" t="n">
        <v>140.0846317</v>
      </c>
      <c r="J1125" s="1" t="n"/>
      <c r="K1125" s="1" t="n"/>
      <c r="L1125" s="1" t="n"/>
      <c r="M1125" s="1" t="n"/>
      <c r="N1125" s="1" t="n"/>
    </row>
    <row r="1126">
      <c r="A1126" s="1" t="inlineStr">
        <is>
          <t>63e0bd204f826</t>
        </is>
      </c>
      <c r="B1126" s="1" t="inlineStr">
        <is>
          <t>ARETES T-SMILE GOLD</t>
        </is>
      </c>
      <c r="C1126" s="1" t="n"/>
      <c r="D1126" s="1" t="n"/>
      <c r="E1126" s="1" t="n"/>
      <c r="F1126" s="1" t="n"/>
      <c r="G1126" s="1" t="n"/>
      <c r="H1126" s="6" t="n">
        <v>87.73851132</v>
      </c>
      <c r="I1126" s="1" t="n"/>
      <c r="J1126" s="6" t="n">
        <v>104.2067733</v>
      </c>
      <c r="K1126" s="6" t="n">
        <v>100.6863594</v>
      </c>
      <c r="L1126" s="1" t="n"/>
      <c r="M1126" s="1" t="n"/>
      <c r="N1126" s="1" t="n"/>
    </row>
    <row r="1127">
      <c r="A1127" s="1" t="inlineStr">
        <is>
          <t>63e0bd2165d38</t>
        </is>
      </c>
      <c r="B1127" s="1" t="n"/>
      <c r="C1127" s="1" t="n"/>
      <c r="D1127" s="1" t="n"/>
      <c r="E1127" s="1" t="n"/>
      <c r="F1127" s="1" t="n"/>
      <c r="G1127" s="1" t="n"/>
      <c r="H1127" s="6" t="n">
        <v>87.73851132</v>
      </c>
      <c r="I1127" s="6" t="n">
        <v>104.928257</v>
      </c>
      <c r="J1127" s="1" t="n"/>
      <c r="K1127" s="1" t="n"/>
      <c r="L1127" s="1" t="n"/>
      <c r="M1127" s="1" t="n"/>
      <c r="N1127" s="1" t="n"/>
    </row>
    <row r="1128">
      <c r="A1128" s="1" t="inlineStr">
        <is>
          <t>63e0bd216689b-1</t>
        </is>
      </c>
      <c r="B1128" s="1" t="inlineStr">
        <is>
          <t>ARETES T-SMILE SILVER</t>
        </is>
      </c>
      <c r="C1128" s="1" t="n"/>
      <c r="D1128" s="1" t="n"/>
      <c r="E1128" s="1" t="n"/>
      <c r="F1128" s="1" t="n"/>
      <c r="G1128" s="1" t="n"/>
      <c r="H1128" s="6" t="n">
        <v>87.73851132</v>
      </c>
      <c r="I1128" s="1" t="n"/>
      <c r="J1128" s="1" t="n"/>
      <c r="K1128" s="1" t="n"/>
      <c r="L1128" s="1" t="n"/>
      <c r="M1128" s="1" t="n"/>
      <c r="N1128" s="1" t="n"/>
    </row>
    <row r="1129">
      <c r="A1129" s="1" t="inlineStr">
        <is>
          <t>63e0bd216689b-2</t>
        </is>
      </c>
      <c r="B1129" s="1" t="inlineStr">
        <is>
          <t>ARETES T-SMILE SILVER</t>
        </is>
      </c>
      <c r="C1129" s="1" t="n"/>
      <c r="D1129" s="6" t="n">
        <v>97.69489608000001</v>
      </c>
      <c r="E1129" s="1" t="n"/>
      <c r="F1129" s="1" t="n"/>
      <c r="G1129" s="1" t="n"/>
      <c r="H1129" s="1" t="n"/>
      <c r="I1129" s="1" t="n"/>
      <c r="J1129" s="1" t="n"/>
      <c r="K1129" s="1" t="n"/>
      <c r="L1129" s="1" t="n"/>
      <c r="M1129" s="1" t="n"/>
      <c r="N1129" s="1" t="n"/>
    </row>
    <row r="1130">
      <c r="A1130" s="1" t="inlineStr">
        <is>
          <t>63e0bdd7637c5</t>
        </is>
      </c>
      <c r="B1130" s="1" t="inlineStr">
        <is>
          <t>COLLAR ARO LOVE GOLD</t>
        </is>
      </c>
      <c r="C1130" s="1" t="n"/>
      <c r="D1130" s="1" t="n"/>
      <c r="E1130" s="1" t="n"/>
      <c r="F1130" s="1" t="n"/>
      <c r="G1130" s="6" t="n">
        <v>104.5858001</v>
      </c>
      <c r="H1130" s="6" t="n">
        <v>99.64196362</v>
      </c>
      <c r="I1130" s="6" t="n">
        <v>99.02193151</v>
      </c>
      <c r="J1130" s="1" t="n"/>
      <c r="K1130" s="1" t="n"/>
      <c r="L1130" s="6" t="n">
        <v>99.18865327</v>
      </c>
      <c r="M1130" s="1" t="n"/>
      <c r="N1130" s="1" t="n"/>
    </row>
    <row r="1131">
      <c r="A1131" s="1" t="inlineStr">
        <is>
          <t>63e0bdd7a5137</t>
        </is>
      </c>
      <c r="B1131" s="1" t="inlineStr">
        <is>
          <t>COLLAR ARO LOVE ROSE GOLD</t>
        </is>
      </c>
      <c r="C1131" s="1" t="n"/>
      <c r="D1131" s="1" t="n"/>
      <c r="E1131" s="1" t="n"/>
      <c r="F1131" s="6" t="n">
        <v>105.3024922</v>
      </c>
      <c r="G1131" s="1" t="n"/>
      <c r="H1131" s="1" t="n"/>
      <c r="I1131" s="1" t="n"/>
      <c r="J1131" s="1" t="n"/>
      <c r="K1131" s="6" t="n">
        <v>105.1573679</v>
      </c>
      <c r="L1131" s="1" t="n"/>
      <c r="M1131" s="1" t="n"/>
      <c r="N1131" s="1" t="n"/>
    </row>
    <row r="1132">
      <c r="A1132" s="1" t="inlineStr">
        <is>
          <t>63e0bddac5dbe</t>
        </is>
      </c>
      <c r="B1132" s="1" t="inlineStr">
        <is>
          <t>COLLAR ARO LOVE SILVER</t>
        </is>
      </c>
      <c r="C1132" s="1" t="n"/>
      <c r="D1132" s="6" t="n">
        <v>99.90165399999999</v>
      </c>
      <c r="E1132" s="1" t="n"/>
      <c r="F1132" s="1" t="n"/>
      <c r="G1132" s="1" t="n"/>
      <c r="H1132" s="6" t="n">
        <v>99.64196362</v>
      </c>
      <c r="I1132" s="1" t="n"/>
      <c r="J1132" s="1" t="n"/>
      <c r="K1132" s="1" t="n"/>
      <c r="L1132" s="1" t="n"/>
      <c r="M1132" s="1" t="n"/>
      <c r="N1132" s="1" t="n"/>
    </row>
    <row r="1133">
      <c r="A1133" s="1" t="inlineStr">
        <is>
          <t>63e0beee6c617</t>
        </is>
      </c>
      <c r="B1133" s="1" t="inlineStr">
        <is>
          <t>COLLAR LOVE GOLD</t>
        </is>
      </c>
      <c r="C1133" s="1" t="n"/>
      <c r="D1133" s="6" t="n">
        <v>105.4844288</v>
      </c>
      <c r="E1133" s="1" t="n"/>
      <c r="F1133" s="6" t="n">
        <v>105.3024922</v>
      </c>
      <c r="G1133" s="6" t="n">
        <v>104.5858001</v>
      </c>
      <c r="H1133" s="1" t="n"/>
      <c r="I1133" s="1" t="n"/>
      <c r="J1133" s="1" t="n"/>
      <c r="K1133" s="6" t="n">
        <v>105.1573679</v>
      </c>
      <c r="L1133" s="6" t="n">
        <v>104.9464765</v>
      </c>
      <c r="M1133" s="6" t="n">
        <v>105.0730323</v>
      </c>
      <c r="N1133" s="1" t="n"/>
    </row>
    <row r="1134">
      <c r="A1134" s="1" t="inlineStr">
        <is>
          <t>63e0bef7903cb</t>
        </is>
      </c>
      <c r="B1134" s="1" t="inlineStr">
        <is>
          <t>COLLAR LOVE-LOVE SILVER</t>
        </is>
      </c>
      <c r="C1134" s="1" t="n"/>
      <c r="D1134" s="1" t="n"/>
      <c r="E1134" s="1" t="n"/>
      <c r="F1134" s="1" t="n"/>
      <c r="G1134" s="6" t="n">
        <v>79.48520804</v>
      </c>
      <c r="H1134" s="6" t="n">
        <v>80.56158761</v>
      </c>
      <c r="I1134" s="1" t="n"/>
      <c r="J1134" s="1" t="n"/>
      <c r="K1134" s="1" t="n"/>
      <c r="L1134" s="6" t="n">
        <v>80.63084061000001</v>
      </c>
      <c r="M1134" s="6" t="n">
        <v>79.85550455000001</v>
      </c>
      <c r="N1134" s="1" t="n"/>
    </row>
    <row r="1135">
      <c r="A1135" s="1" t="inlineStr">
        <is>
          <t>63e0bf8dbe95e</t>
        </is>
      </c>
      <c r="B1135" s="1" t="inlineStr">
        <is>
          <t>COLLAR SMILE DORADO</t>
        </is>
      </c>
      <c r="C1135" s="1" t="n"/>
      <c r="D1135" s="6" t="n">
        <v>72.26928160999999</v>
      </c>
      <c r="E1135" s="1" t="n"/>
      <c r="F1135" s="6" t="n">
        <v>71.60569470999999</v>
      </c>
      <c r="G1135" s="6" t="n">
        <v>71.11834404</v>
      </c>
      <c r="H1135" s="1" t="n"/>
      <c r="I1135" s="1" t="n"/>
      <c r="J1135" s="6" t="n">
        <v>72.43324713</v>
      </c>
      <c r="K1135" s="1" t="n"/>
      <c r="L1135" s="6" t="n">
        <v>79.75932211999999</v>
      </c>
      <c r="M1135" s="6" t="n">
        <v>79.85550455000001</v>
      </c>
      <c r="N1135" s="1" t="n"/>
    </row>
    <row r="1136">
      <c r="A1136" s="1" t="inlineStr">
        <is>
          <t>63e0c0e63c828</t>
        </is>
      </c>
      <c r="B1136" s="1" t="inlineStr">
        <is>
          <t>PULSERA CLAVO DELGADA ROSE GOLD CON ZIRCONIA</t>
        </is>
      </c>
      <c r="C1136" s="1" t="n"/>
      <c r="D1136" s="6" t="n">
        <v>92.90978174</v>
      </c>
      <c r="E1136" s="1" t="n"/>
      <c r="F1136" s="1" t="n"/>
      <c r="G1136" s="6" t="n">
        <v>94.39039819</v>
      </c>
      <c r="H1136" s="1" t="n"/>
      <c r="I1136" s="1" t="n"/>
      <c r="J1136" s="1" t="n"/>
      <c r="K1136" s="1" t="n"/>
      <c r="L1136" s="1" t="n"/>
      <c r="M1136" s="1" t="n"/>
      <c r="N1136" s="1" t="n"/>
    </row>
    <row r="1137">
      <c r="A1137" s="1" t="inlineStr">
        <is>
          <t>63e0c0e97703d</t>
        </is>
      </c>
      <c r="B1137" s="1" t="inlineStr">
        <is>
          <t>PULSERA CLAVO GOLD DELGADA</t>
        </is>
      </c>
      <c r="C1137" s="1" t="n"/>
      <c r="D1137" s="6" t="n">
        <v>69.62412216</v>
      </c>
      <c r="E1137" s="1" t="n"/>
      <c r="F1137" s="1" t="n"/>
      <c r="G1137" s="6" t="n">
        <v>70.73365679</v>
      </c>
      <c r="H1137" s="1" t="n"/>
      <c r="I1137" s="1" t="n"/>
      <c r="J1137" s="6" t="n">
        <v>75.65811782</v>
      </c>
      <c r="K1137" s="6" t="n">
        <v>53.74644401</v>
      </c>
      <c r="L1137" s="6" t="n">
        <v>72.56009323000001</v>
      </c>
      <c r="M1137" s="1" t="n"/>
      <c r="N1137" s="6" t="n">
        <v>72.85276514</v>
      </c>
    </row>
    <row r="1138">
      <c r="A1138" s="1" t="inlineStr">
        <is>
          <t>63e0c0ea219d0</t>
        </is>
      </c>
      <c r="B1138" s="1" t="inlineStr">
        <is>
          <t>PULSERA CLAVO GOLD DELGADA CON ZIRCONIA</t>
        </is>
      </c>
      <c r="C1138" s="1" t="n"/>
      <c r="D1138" s="6" t="n">
        <v>92.90978174</v>
      </c>
      <c r="E1138" s="1" t="n"/>
      <c r="F1138" s="1" t="n"/>
      <c r="G1138" s="1" t="n"/>
      <c r="H1138" s="1" t="n"/>
      <c r="I1138" s="1" t="n"/>
      <c r="J1138" s="1" t="n"/>
      <c r="K1138" s="1" t="n"/>
      <c r="L1138" s="6" t="n">
        <v>96.82768294</v>
      </c>
      <c r="M1138" s="1" t="n"/>
      <c r="N1138" s="1" t="n"/>
    </row>
    <row r="1139">
      <c r="A1139" s="1" t="inlineStr">
        <is>
          <t>63e0c0ed991c0</t>
        </is>
      </c>
      <c r="B1139" s="1" t="inlineStr">
        <is>
          <t>PULSERA CLAVO GOLD</t>
        </is>
      </c>
      <c r="C1139" s="1" t="n"/>
      <c r="D1139" s="6" t="n">
        <v>69.62412216</v>
      </c>
      <c r="E1139" s="1" t="n"/>
      <c r="F1139" s="1" t="n"/>
      <c r="G1139" s="6" t="n">
        <v>70.73365679</v>
      </c>
      <c r="H1139" s="1" t="n"/>
      <c r="I1139" s="1" t="n"/>
      <c r="J1139" s="6" t="n">
        <v>75.65811782</v>
      </c>
      <c r="K1139" s="6" t="n">
        <v>71.58212365</v>
      </c>
      <c r="L1139" s="6" t="n">
        <v>71.64839873</v>
      </c>
      <c r="M1139" s="1" t="n"/>
      <c r="N1139" s="1" t="n"/>
    </row>
    <row r="1140">
      <c r="A1140" s="1" t="inlineStr">
        <is>
          <t>63e0c0ee76103</t>
        </is>
      </c>
      <c r="B1140" s="1" t="inlineStr">
        <is>
          <t>PULSERA CLAVO GOLD</t>
        </is>
      </c>
      <c r="C1140" s="1" t="n"/>
      <c r="D1140" s="6" t="n">
        <v>69.62412216</v>
      </c>
      <c r="E1140" s="1" t="n"/>
      <c r="F1140" s="1" t="n"/>
      <c r="G1140" s="6" t="n">
        <v>70.73365679</v>
      </c>
      <c r="H1140" s="1" t="n"/>
      <c r="I1140" s="1" t="n"/>
      <c r="J1140" s="1" t="n"/>
      <c r="K1140" s="6" t="n">
        <v>71.58212365</v>
      </c>
      <c r="L1140" s="6" t="n">
        <v>70.73670423</v>
      </c>
      <c r="M1140" s="1" t="n"/>
      <c r="N1140" s="1" t="n"/>
    </row>
    <row r="1141">
      <c r="A1141" s="1" t="inlineStr">
        <is>
          <t>63e0c0f1b69e8</t>
        </is>
      </c>
      <c r="B1141" s="1" t="inlineStr">
        <is>
          <t>PULSERA CLAVO GOLD CON ZIRCONIA</t>
        </is>
      </c>
      <c r="C1141" s="1" t="n"/>
      <c r="D1141" s="6" t="n">
        <v>92.90978174</v>
      </c>
      <c r="E1141" s="1" t="n"/>
      <c r="F1141" s="1" t="n"/>
      <c r="G1141" s="6" t="n">
        <v>94.39039819</v>
      </c>
      <c r="H1141" s="1" t="n"/>
      <c r="I1141" s="1" t="n"/>
      <c r="J1141" s="1" t="n"/>
      <c r="K1141" s="1" t="n"/>
      <c r="L1141" s="1" t="n"/>
      <c r="M1141" s="1" t="n"/>
      <c r="N1141" s="6" t="n">
        <v>97.21823843</v>
      </c>
    </row>
    <row r="1142">
      <c r="A1142" s="1" t="inlineStr">
        <is>
          <t>63e0c0f2996bf</t>
        </is>
      </c>
      <c r="B1142" s="1" t="inlineStr">
        <is>
          <t>PULSERA CLAVO GOLD CON ZIRCONIA</t>
        </is>
      </c>
      <c r="C1142" s="1" t="n"/>
      <c r="D1142" s="6" t="n">
        <v>92.90978174</v>
      </c>
      <c r="E1142" s="1" t="n"/>
      <c r="F1142" s="1" t="n"/>
      <c r="G1142" s="6" t="n">
        <v>94.39039819</v>
      </c>
      <c r="H1142" s="1" t="n"/>
      <c r="I1142" s="1" t="n"/>
      <c r="J1142" s="1" t="n"/>
      <c r="K1142" s="1" t="n"/>
      <c r="L1142" s="6" t="n">
        <v>96.82768294</v>
      </c>
      <c r="M1142" s="1" t="n"/>
      <c r="N1142" s="6" t="n">
        <v>97.21823843</v>
      </c>
    </row>
    <row r="1143">
      <c r="A1143" s="1" t="inlineStr">
        <is>
          <t>63e0c2284930d</t>
        </is>
      </c>
      <c r="B1143" s="1" t="inlineStr">
        <is>
          <t>PULSERA CLAVO ROSE GOLD DELGADA</t>
        </is>
      </c>
      <c r="C1143" s="1" t="n"/>
      <c r="D1143" s="6" t="n">
        <v>69.62412216</v>
      </c>
      <c r="E1143" s="1" t="n"/>
      <c r="F1143" s="1" t="n"/>
      <c r="G1143" s="6" t="n">
        <v>70.73365679</v>
      </c>
      <c r="H1143" s="1" t="n"/>
      <c r="I1143" s="1" t="n"/>
      <c r="J1143" s="1" t="n"/>
      <c r="K1143" s="1" t="n"/>
      <c r="L1143" s="1" t="n"/>
      <c r="M1143" s="1" t="n"/>
      <c r="N1143" s="1" t="n"/>
    </row>
    <row r="1144">
      <c r="A1144" s="1" t="inlineStr">
        <is>
          <t>63e0c22875cb9</t>
        </is>
      </c>
      <c r="B1144" s="1" t="inlineStr">
        <is>
          <t>PULSERA CLAVO SILVER DELGADA</t>
        </is>
      </c>
      <c r="C1144" s="1" t="n"/>
      <c r="D1144" s="6" t="n">
        <v>69.62412216</v>
      </c>
      <c r="E1144" s="1" t="n"/>
      <c r="F1144" s="1" t="n"/>
      <c r="G1144" s="1" t="n"/>
      <c r="H1144" s="1" t="n"/>
      <c r="I1144" s="1" t="n"/>
      <c r="J1144" s="1" t="n"/>
      <c r="K1144" s="1" t="n"/>
      <c r="L1144" s="1" t="n"/>
      <c r="M1144" s="1" t="n"/>
      <c r="N1144" s="6" t="n">
        <v>72.85276514</v>
      </c>
    </row>
    <row r="1145">
      <c r="A1145" s="1" t="inlineStr">
        <is>
          <t>63e0c22967d6a</t>
        </is>
      </c>
      <c r="B1145" s="1" t="inlineStr">
        <is>
          <t>PULSERA CLAVO JUSTE UN CLOU ZIRCONIA SILVER</t>
        </is>
      </c>
      <c r="C1145" s="1" t="n"/>
      <c r="D1145" s="6" t="n">
        <v>92.90978174</v>
      </c>
      <c r="E1145" s="1" t="n"/>
      <c r="F1145" s="1" t="n"/>
      <c r="G1145" s="6" t="n">
        <v>94.39039819</v>
      </c>
      <c r="H1145" s="1" t="n"/>
      <c r="I1145" s="1" t="n"/>
      <c r="J1145" s="1" t="n"/>
      <c r="K1145" s="1" t="n"/>
      <c r="L1145" s="6" t="n">
        <v>96.82768294</v>
      </c>
      <c r="M1145" s="1" t="n"/>
      <c r="N1145" s="1" t="n"/>
    </row>
    <row r="1146">
      <c r="A1146" s="1" t="inlineStr">
        <is>
          <t>63e0c2310d7f4</t>
        </is>
      </c>
      <c r="B1146" s="1" t="inlineStr">
        <is>
          <t>PULSERA CLIC H SILVER WHITE</t>
        </is>
      </c>
      <c r="C1146" s="1" t="n"/>
      <c r="D1146" s="6" t="n">
        <v>105.4844288</v>
      </c>
      <c r="E1146" s="1" t="n"/>
      <c r="F1146" s="6" t="n">
        <v>105.3024922</v>
      </c>
      <c r="G1146" s="6" t="n">
        <v>104.5858001</v>
      </c>
      <c r="H1146" s="1" t="n"/>
      <c r="I1146" s="6" t="n">
        <v>105.3424803</v>
      </c>
      <c r="J1146" s="1" t="n"/>
      <c r="K1146" s="1" t="n"/>
      <c r="L1146" s="6" t="n">
        <v>106.0932113</v>
      </c>
      <c r="M1146" s="6" t="n">
        <v>105.0730323</v>
      </c>
      <c r="N1146" s="1" t="n"/>
    </row>
    <row r="1147">
      <c r="A1147" s="1" t="inlineStr">
        <is>
          <t>63e0c23142764</t>
        </is>
      </c>
      <c r="B1147" s="1" t="inlineStr">
        <is>
          <t>PULSERA CLIC H GOLD PINK</t>
        </is>
      </c>
      <c r="C1147" s="1" t="n"/>
      <c r="D1147" s="1" t="n"/>
      <c r="E1147" s="1" t="n"/>
      <c r="F1147" s="1" t="n"/>
      <c r="G1147" s="1" t="n"/>
      <c r="H1147" s="6" t="n">
        <v>106.002089</v>
      </c>
      <c r="I1147" s="1" t="n"/>
      <c r="J1147" s="6" t="n">
        <v>106.5194811</v>
      </c>
      <c r="K1147" s="1" t="n"/>
      <c r="L1147" s="6" t="n">
        <v>104.9464765</v>
      </c>
      <c r="M1147" s="1" t="n"/>
      <c r="N1147" s="1" t="n"/>
    </row>
    <row r="1148">
      <c r="A1148" s="1" t="inlineStr">
        <is>
          <t>63e0c23442e74</t>
        </is>
      </c>
      <c r="B1148" s="1" t="inlineStr">
        <is>
          <t>PULSERA CLIC H GOLD BLACK</t>
        </is>
      </c>
      <c r="C1148" s="1" t="n"/>
      <c r="D1148" s="6" t="n">
        <v>105.4844288</v>
      </c>
      <c r="E1148" s="1" t="n"/>
      <c r="F1148" s="6" t="n">
        <v>105.3024922</v>
      </c>
      <c r="G1148" s="1" t="n"/>
      <c r="H1148" s="6" t="n">
        <v>106.002089</v>
      </c>
      <c r="I1148" s="6" t="n">
        <v>105.3424803</v>
      </c>
      <c r="J1148" s="6" t="n">
        <v>106.5194811</v>
      </c>
      <c r="K1148" s="1" t="n"/>
      <c r="L1148" s="6" t="n">
        <v>105.5198439</v>
      </c>
      <c r="M1148" s="6" t="n">
        <v>105.0730323</v>
      </c>
      <c r="N1148" s="1" t="n"/>
    </row>
    <row r="1149">
      <c r="A1149" s="1" t="inlineStr">
        <is>
          <t>63e0c234b0e65</t>
        </is>
      </c>
      <c r="B1149" s="1" t="inlineStr">
        <is>
          <t>PULSERA CLIC H SILVER BLACK</t>
        </is>
      </c>
      <c r="C1149" s="1" t="n"/>
      <c r="D1149" s="1" t="n"/>
      <c r="E1149" s="1" t="n"/>
      <c r="F1149" s="6" t="n">
        <v>105.3024922</v>
      </c>
      <c r="G1149" s="1" t="n"/>
      <c r="H1149" s="1" t="n"/>
      <c r="I1149" s="6" t="n">
        <v>105.3424803</v>
      </c>
      <c r="J1149" s="1" t="n"/>
      <c r="K1149" s="1" t="n"/>
      <c r="L1149" s="6" t="n">
        <v>104.9464765</v>
      </c>
      <c r="M1149" s="1" t="n"/>
      <c r="N1149" s="1" t="n"/>
    </row>
    <row r="1150">
      <c r="A1150" s="1" t="inlineStr">
        <is>
          <t>63e0c23519a54</t>
        </is>
      </c>
      <c r="B1150" s="1" t="inlineStr">
        <is>
          <t>PULSERA CLIC H SILVER PINK</t>
        </is>
      </c>
      <c r="C1150" s="1" t="n"/>
      <c r="D1150" s="1" t="n"/>
      <c r="E1150" s="1" t="n"/>
      <c r="F1150" s="6" t="n">
        <v>105.3024922</v>
      </c>
      <c r="G1150" s="1" t="n"/>
      <c r="H1150" s="1" t="n"/>
      <c r="I1150" s="6" t="n">
        <v>105.3424803</v>
      </c>
      <c r="J1150" s="1" t="n"/>
      <c r="K1150" s="1" t="n"/>
      <c r="L1150" s="6" t="n">
        <v>104.9464765</v>
      </c>
      <c r="M1150" s="1" t="n"/>
      <c r="N1150" s="1" t="n"/>
    </row>
    <row r="1151">
      <c r="A1151" s="1" t="inlineStr">
        <is>
          <t>63e0c53833f26</t>
        </is>
      </c>
      <c r="B1151" s="1" t="inlineStr">
        <is>
          <t>PULSERA LOVE CON ZIRCONIA GOLD</t>
        </is>
      </c>
      <c r="C1151" s="1" t="n"/>
      <c r="D1151" s="1" t="n"/>
      <c r="E1151" s="1" t="n"/>
      <c r="F1151" s="1" t="n"/>
      <c r="G1151" s="1" t="n"/>
      <c r="H1151" s="1" t="n"/>
      <c r="I1151" s="1" t="n"/>
      <c r="J1151" s="1" t="n"/>
      <c r="K1151" s="1" t="n"/>
      <c r="L1151" s="6" t="n">
        <v>94.45182883</v>
      </c>
      <c r="M1151" s="6" t="n">
        <v>94.56572907</v>
      </c>
      <c r="N1151" s="1" t="n"/>
    </row>
    <row r="1152">
      <c r="A1152" s="1" t="inlineStr">
        <is>
          <t>63e0c5387bab1</t>
        </is>
      </c>
      <c r="B1152" s="1" t="inlineStr">
        <is>
          <t>PULSERA LOVE CON ZIRCONIA ROSE GOLD</t>
        </is>
      </c>
      <c r="C1152" s="1" t="n"/>
      <c r="D1152" s="1" t="n"/>
      <c r="E1152" s="1" t="n"/>
      <c r="F1152" s="1" t="n"/>
      <c r="G1152" s="1" t="n"/>
      <c r="H1152" s="1" t="n"/>
      <c r="I1152" s="1" t="n"/>
      <c r="J1152" s="1" t="n"/>
      <c r="K1152" s="1" t="n"/>
      <c r="L1152" s="6" t="n">
        <v>94.45182883</v>
      </c>
      <c r="M1152" s="1" t="n"/>
      <c r="N1152" s="1" t="n"/>
    </row>
    <row r="1153">
      <c r="A1153" s="1" t="inlineStr">
        <is>
          <t>63e0c53946490</t>
        </is>
      </c>
      <c r="B1153" s="1" t="inlineStr">
        <is>
          <t>PULSERA LOVE CON ZIRCONIA GOLD</t>
        </is>
      </c>
      <c r="C1153" s="1" t="n"/>
      <c r="D1153" s="1" t="n"/>
      <c r="E1153" s="1" t="n"/>
      <c r="F1153" s="6" t="n">
        <v>94.772243</v>
      </c>
      <c r="G1153" s="6" t="n">
        <v>94.12722005000001</v>
      </c>
      <c r="H1153" s="1" t="n"/>
      <c r="I1153" s="1" t="n"/>
      <c r="J1153" s="1" t="n"/>
      <c r="K1153" s="1" t="n"/>
      <c r="L1153" s="1" t="n"/>
      <c r="M1153" s="1" t="n"/>
      <c r="N1153" s="1" t="n"/>
    </row>
    <row r="1154">
      <c r="A1154" s="1" t="inlineStr">
        <is>
          <t>63e0c5395cc64</t>
        </is>
      </c>
      <c r="B1154" s="1" t="inlineStr">
        <is>
          <t>PULSERA LOVE CON ZIRCONIA ROSE GOLD</t>
        </is>
      </c>
      <c r="C1154" s="1" t="n"/>
      <c r="D1154" s="1" t="n"/>
      <c r="E1154" s="1" t="n"/>
      <c r="F1154" s="1" t="n"/>
      <c r="G1154" s="6" t="n">
        <v>94.12722005000001</v>
      </c>
      <c r="H1154" s="1" t="n"/>
      <c r="I1154" s="1" t="n"/>
      <c r="J1154" s="1" t="n"/>
      <c r="K1154" s="1" t="n"/>
      <c r="L1154" s="6" t="n">
        <v>95.4838902</v>
      </c>
      <c r="M1154" s="1" t="n"/>
      <c r="N1154" s="1" t="n"/>
    </row>
    <row r="1155">
      <c r="A1155" s="1" t="inlineStr">
        <is>
          <t>63e0c53a2b722</t>
        </is>
      </c>
      <c r="B1155" s="1" t="inlineStr">
        <is>
          <t>PULSERA LOVE CON ZIRCONIA GOLD</t>
        </is>
      </c>
      <c r="C1155" s="1" t="n"/>
      <c r="D1155" s="1" t="n"/>
      <c r="E1155" s="1" t="n"/>
      <c r="F1155" s="6" t="n">
        <v>94.772243</v>
      </c>
      <c r="G1155" s="6" t="n">
        <v>94.12722005000001</v>
      </c>
      <c r="H1155" s="1" t="n"/>
      <c r="I1155" s="1" t="n"/>
      <c r="J1155" s="1" t="n"/>
      <c r="K1155" s="1" t="n"/>
      <c r="L1155" s="1" t="n"/>
      <c r="M1155" s="1" t="n"/>
      <c r="N1155" s="1" t="n"/>
    </row>
    <row r="1156">
      <c r="A1156" s="1" t="inlineStr">
        <is>
          <t>63e0c53be61bd</t>
        </is>
      </c>
      <c r="B1156" s="1" t="inlineStr">
        <is>
          <t>PULSERA LOVE CON ZIRCONIA GOLD</t>
        </is>
      </c>
      <c r="C1156" s="1" t="n"/>
      <c r="D1156" s="1" t="n"/>
      <c r="E1156" s="1" t="n"/>
      <c r="F1156" s="1" t="n"/>
      <c r="G1156" s="1" t="n"/>
      <c r="H1156" s="6" t="n">
        <v>95.40188006</v>
      </c>
      <c r="I1156" s="1" t="n"/>
      <c r="J1156" s="1" t="n"/>
      <c r="K1156" s="1" t="n"/>
      <c r="L1156" s="1" t="n"/>
      <c r="M1156" s="1" t="n"/>
      <c r="N1156" s="1" t="n"/>
    </row>
    <row r="1157">
      <c r="A1157" s="1" t="inlineStr">
        <is>
          <t>63e0c53cbec21</t>
        </is>
      </c>
      <c r="B1157" s="1" t="inlineStr">
        <is>
          <t>PULSERA LOVE CON ZIRCONIA GOLD</t>
        </is>
      </c>
      <c r="C1157" s="1" t="n"/>
      <c r="D1157" s="1" t="n"/>
      <c r="E1157" s="1" t="n"/>
      <c r="F1157" s="1" t="n"/>
      <c r="G1157" s="6" t="n">
        <v>94.12722005000001</v>
      </c>
      <c r="H1157" s="1" t="n"/>
      <c r="I1157" s="1" t="n"/>
      <c r="J1157" s="1" t="n"/>
      <c r="K1157" s="1" t="n"/>
      <c r="L1157" s="1" t="n"/>
      <c r="M1157" s="1" t="n"/>
      <c r="N1157" s="1" t="n"/>
    </row>
    <row r="1158">
      <c r="A1158" s="1" t="inlineStr">
        <is>
          <t>63e0c53f88fe1</t>
        </is>
      </c>
      <c r="B1158" s="1" t="inlineStr">
        <is>
          <t>PULSERA LOVE CON ZIRCONIA SILVER</t>
        </is>
      </c>
      <c r="C1158" s="1" t="n"/>
      <c r="D1158" s="1" t="n"/>
      <c r="E1158" s="1" t="n"/>
      <c r="F1158" s="1" t="n"/>
      <c r="G1158" s="1" t="n"/>
      <c r="H1158" s="1" t="n"/>
      <c r="I1158" s="1" t="n"/>
      <c r="J1158" s="1" t="n"/>
      <c r="K1158" s="1" t="n"/>
      <c r="L1158" s="1" t="n"/>
      <c r="M1158" s="6" t="n">
        <v>94.56572907</v>
      </c>
      <c r="N1158" s="1" t="n"/>
    </row>
    <row r="1159">
      <c r="A1159" s="1" t="inlineStr">
        <is>
          <t>63e0c54172948</t>
        </is>
      </c>
      <c r="B1159" s="1" t="inlineStr">
        <is>
          <t>PULSERA LOVE CON ZIRCONIA SILVER</t>
        </is>
      </c>
      <c r="C1159" s="1" t="n"/>
      <c r="D1159" s="1" t="n"/>
      <c r="E1159" s="1" t="n"/>
      <c r="F1159" s="1" t="n"/>
      <c r="G1159" s="1" t="n"/>
      <c r="H1159" s="1" t="n"/>
      <c r="I1159" s="1" t="n"/>
      <c r="J1159" s="1" t="n"/>
      <c r="K1159" s="6" t="n">
        <v>94.64163114999999</v>
      </c>
      <c r="L1159" s="1" t="n"/>
      <c r="M1159" s="1" t="n"/>
      <c r="N1159" s="1" t="n"/>
    </row>
    <row r="1160">
      <c r="A1160" s="1" t="inlineStr">
        <is>
          <t>63e0c58ca26ac</t>
        </is>
      </c>
      <c r="B1160" s="1" t="inlineStr">
        <is>
          <t>PULSERA LOVE DELGADA ROSE GOLD</t>
        </is>
      </c>
      <c r="C1160" s="1" t="n"/>
      <c r="D1160" s="6" t="n">
        <v>106.2783553</v>
      </c>
      <c r="E1160" s="1" t="n"/>
      <c r="F1160" s="6" t="n">
        <v>105.3024922</v>
      </c>
      <c r="G1160" s="6" t="n">
        <v>94.12722005000001</v>
      </c>
      <c r="H1160" s="1" t="n"/>
      <c r="I1160" s="6" t="n">
        <v>105.3424803</v>
      </c>
      <c r="J1160" s="6" t="n">
        <v>106.5194811</v>
      </c>
      <c r="K1160" s="1" t="n"/>
      <c r="L1160" s="6" t="n">
        <v>105.5198439</v>
      </c>
      <c r="M1160" s="1" t="n"/>
      <c r="N1160" s="1" t="n"/>
    </row>
    <row r="1161">
      <c r="A1161" s="1" t="inlineStr">
        <is>
          <t>63e0c58da8cda</t>
        </is>
      </c>
      <c r="B1161" s="1" t="inlineStr">
        <is>
          <t>PULSERA LOVE DELGADA ROSE GOLD</t>
        </is>
      </c>
      <c r="C1161" s="1" t="n"/>
      <c r="D1161" s="6" t="n">
        <v>105.4844288</v>
      </c>
      <c r="E1161" s="1" t="n"/>
      <c r="F1161" s="1" t="n"/>
      <c r="G1161" s="1" t="n"/>
      <c r="H1161" s="1" t="n"/>
      <c r="I1161" s="1" t="n"/>
      <c r="J1161" s="6" t="n">
        <v>106.5194811</v>
      </c>
      <c r="K1161" s="1" t="n"/>
      <c r="L1161" s="1" t="n"/>
      <c r="M1161" s="6" t="n">
        <v>105.0730323</v>
      </c>
      <c r="N1161" s="1" t="n"/>
    </row>
    <row r="1162">
      <c r="A1162" s="1" t="inlineStr">
        <is>
          <t>63e0c58e84d6e</t>
        </is>
      </c>
      <c r="B1162" s="1" t="inlineStr">
        <is>
          <t>PULSERA LOVE DELGADA ROSE GOLD</t>
        </is>
      </c>
      <c r="C1162" s="1" t="n"/>
      <c r="D1162" s="1" t="n"/>
      <c r="E1162" s="1" t="n"/>
      <c r="F1162" s="6" t="n">
        <v>105.3024922</v>
      </c>
      <c r="G1162" s="6" t="n">
        <v>94.12722005000001</v>
      </c>
      <c r="H1162" s="1" t="n"/>
      <c r="I1162" s="1" t="n"/>
      <c r="J1162" s="1" t="n"/>
      <c r="K1162" s="6" t="n">
        <v>94.64163114999999</v>
      </c>
      <c r="L1162" s="6" t="n">
        <v>104.9464765</v>
      </c>
      <c r="M1162" s="1" t="n"/>
      <c r="N1162" s="1" t="n"/>
    </row>
    <row r="1163">
      <c r="A1163" s="1" t="inlineStr">
        <is>
          <t>63e0c58f999f5</t>
        </is>
      </c>
      <c r="B1163" s="1" t="inlineStr">
        <is>
          <t>PULSERA LOVE DELGADA ROSE GOLD</t>
        </is>
      </c>
      <c r="C1163" s="1" t="n"/>
      <c r="D1163" s="1" t="n"/>
      <c r="E1163" s="1" t="n"/>
      <c r="F1163" s="6" t="n">
        <v>105.3024922</v>
      </c>
      <c r="G1163" s="1" t="n"/>
      <c r="H1163" s="1" t="n"/>
      <c r="I1163" s="1" t="n"/>
      <c r="J1163" s="1" t="n"/>
      <c r="K1163" s="1" t="n"/>
      <c r="L1163" s="1" t="n"/>
      <c r="M1163" s="1" t="n"/>
      <c r="N1163" s="1" t="n"/>
    </row>
    <row r="1164">
      <c r="A1164" s="1" t="inlineStr">
        <is>
          <t>63e0c59590d66</t>
        </is>
      </c>
      <c r="B1164" s="1" t="inlineStr">
        <is>
          <t>PULSERA LOVE ROSE GOLD</t>
        </is>
      </c>
      <c r="C1164" s="1" t="n"/>
      <c r="D1164" s="6" t="n">
        <v>105.4844288</v>
      </c>
      <c r="E1164" s="1" t="n"/>
      <c r="F1164" s="6" t="n">
        <v>105.3024922</v>
      </c>
      <c r="G1164" s="1" t="n"/>
      <c r="H1164" s="6" t="n">
        <v>95.40188006</v>
      </c>
      <c r="I1164" s="1" t="n"/>
      <c r="J1164" s="1" t="n"/>
      <c r="K1164" s="1" t="n"/>
      <c r="L1164" s="1" t="n"/>
      <c r="M1164" s="6" t="n">
        <v>94.56572907</v>
      </c>
      <c r="N1164" s="1" t="n"/>
    </row>
    <row r="1165">
      <c r="A1165" s="1" t="inlineStr">
        <is>
          <t>63e0c596835bb</t>
        </is>
      </c>
      <c r="B1165" s="1" t="inlineStr">
        <is>
          <t>PULSERA LOVE ROSE GOLD</t>
        </is>
      </c>
      <c r="C1165" s="1" t="n"/>
      <c r="D1165" s="1" t="n"/>
      <c r="E1165" s="1" t="n"/>
      <c r="F1165" s="1" t="n"/>
      <c r="G1165" s="1" t="n"/>
      <c r="H1165" s="1" t="n"/>
      <c r="I1165" s="1" t="n"/>
      <c r="J1165" s="1" t="n"/>
      <c r="K1165" s="1" t="n"/>
      <c r="L1165" s="1" t="n"/>
      <c r="M1165" s="6" t="n">
        <v>94.56572907</v>
      </c>
      <c r="N1165" s="1" t="n"/>
    </row>
    <row r="1166">
      <c r="A1166" s="1" t="inlineStr">
        <is>
          <t>63e0c59aab12a</t>
        </is>
      </c>
      <c r="B1166" s="1" t="inlineStr">
        <is>
          <t>PULSERA LOVE ROSE GOLD</t>
        </is>
      </c>
      <c r="C1166" s="1" t="n"/>
      <c r="D1166" s="1" t="n"/>
      <c r="E1166" s="1" t="n"/>
      <c r="F1166" s="1" t="n"/>
      <c r="G1166" s="6" t="n">
        <v>94.12722005000001</v>
      </c>
      <c r="H1166" s="1" t="n"/>
      <c r="I1166" s="1" t="n"/>
      <c r="J1166" s="1" t="n"/>
      <c r="K1166" s="1" t="n"/>
      <c r="L1166" s="6" t="n">
        <v>94.45182883</v>
      </c>
      <c r="M1166" s="6" t="n">
        <v>94.56572907</v>
      </c>
      <c r="N1166" s="1" t="n"/>
    </row>
    <row r="1167">
      <c r="A1167" s="1" t="inlineStr">
        <is>
          <t>63e0c5f8a96a2</t>
        </is>
      </c>
      <c r="B1167" s="1" t="inlineStr">
        <is>
          <t>PULSERA TRÉBOL ROSEGOLD BLACK VF</t>
        </is>
      </c>
      <c r="C1167" s="1" t="n"/>
      <c r="D1167" s="6" t="n">
        <v>467.6247634</v>
      </c>
      <c r="E1167" s="1" t="n"/>
      <c r="F1167" s="6" t="n">
        <v>526.5124611</v>
      </c>
      <c r="G1167" s="1" t="n"/>
      <c r="H1167" s="1" t="n"/>
      <c r="I1167" s="1" t="n"/>
      <c r="J1167" s="1" t="n"/>
      <c r="K1167" s="1" t="n"/>
      <c r="L1167" s="6" t="n">
        <v>146.9250671</v>
      </c>
      <c r="M1167" s="1" t="n"/>
      <c r="N1167" s="1" t="n"/>
    </row>
    <row r="1168">
      <c r="A1168" s="1" t="inlineStr">
        <is>
          <t>63ebd3f136b3c</t>
        </is>
      </c>
      <c r="B1168" s="1" t="inlineStr">
        <is>
          <t>ANILLO CLASH SILVER</t>
        </is>
      </c>
      <c r="C1168" s="1" t="n"/>
      <c r="D1168" s="6" t="n">
        <v>212.5567106</v>
      </c>
      <c r="E1168" s="1" t="n"/>
      <c r="F1168" s="1" t="n"/>
      <c r="G1168" s="1" t="n"/>
      <c r="H1168" s="1" t="n"/>
      <c r="I1168" s="1" t="n"/>
      <c r="J1168" s="1" t="n"/>
      <c r="K1168" s="1" t="n"/>
      <c r="L1168" s="1" t="n"/>
      <c r="M1168" s="1" t="n"/>
      <c r="N1168" s="1" t="n"/>
    </row>
    <row r="1169">
      <c r="A1169" s="1" t="inlineStr">
        <is>
          <t>63ebd3f2335dc</t>
        </is>
      </c>
      <c r="B1169" s="1" t="inlineStr">
        <is>
          <t>ANILLO CLASH SILVER</t>
        </is>
      </c>
      <c r="C1169" s="1" t="n"/>
      <c r="D1169" s="1" t="n"/>
      <c r="E1169" s="1" t="n"/>
      <c r="F1169" s="1" t="n"/>
      <c r="G1169" s="6" t="n">
        <v>209.1716001</v>
      </c>
      <c r="H1169" s="1" t="n"/>
      <c r="I1169" s="1" t="n"/>
      <c r="J1169" s="1" t="n"/>
      <c r="K1169" s="1" t="n"/>
      <c r="L1169" s="6" t="n">
        <v>209.892953</v>
      </c>
      <c r="M1169" s="1" t="n"/>
      <c r="N1169" s="1" t="n"/>
    </row>
    <row r="1170">
      <c r="A1170" s="1" t="inlineStr">
        <is>
          <t>63ebd3f32bfc9</t>
        </is>
      </c>
      <c r="B1170" s="1" t="inlineStr">
        <is>
          <t>ANILLO CLASH SILVER</t>
        </is>
      </c>
      <c r="C1170" s="1" t="n"/>
      <c r="D1170" s="6" t="n">
        <v>212.5567106</v>
      </c>
      <c r="E1170" s="1" t="n"/>
      <c r="F1170" s="1" t="n"/>
      <c r="G1170" s="1" t="n"/>
      <c r="H1170" s="1" t="n"/>
      <c r="I1170" s="1" t="n"/>
      <c r="J1170" s="1" t="n"/>
      <c r="K1170" s="6" t="n">
        <v>210.3147359</v>
      </c>
      <c r="L1170" s="1" t="n"/>
      <c r="M1170" s="1" t="n"/>
      <c r="N1170" s="1" t="n"/>
    </row>
    <row r="1171">
      <c r="A1171" s="1" t="inlineStr">
        <is>
          <t>63ebd3f42d4db</t>
        </is>
      </c>
      <c r="B1171" s="1" t="inlineStr">
        <is>
          <t>ANILLO CLASH SILVER</t>
        </is>
      </c>
      <c r="C1171" s="1" t="n"/>
      <c r="D1171" s="6" t="n">
        <v>212.5567106</v>
      </c>
      <c r="E1171" s="1" t="n"/>
      <c r="F1171" s="1" t="n"/>
      <c r="G1171" s="6" t="n">
        <v>209.1716001</v>
      </c>
      <c r="H1171" s="6" t="n">
        <v>212.0041779</v>
      </c>
      <c r="I1171" s="6" t="n">
        <v>210.6849607</v>
      </c>
      <c r="J1171" s="1" t="n"/>
      <c r="K1171" s="6" t="n">
        <v>210.3147359</v>
      </c>
      <c r="L1171" s="1" t="n"/>
      <c r="M1171" s="1" t="n"/>
      <c r="N1171" s="1" t="n"/>
    </row>
    <row r="1172">
      <c r="A1172" s="1" t="inlineStr">
        <is>
          <t>63ebd3f53c553</t>
        </is>
      </c>
      <c r="B1172" s="1" t="inlineStr">
        <is>
          <t>ANILLO CLASH SILVER</t>
        </is>
      </c>
      <c r="C1172" s="1" t="n"/>
      <c r="D1172" s="1" t="n"/>
      <c r="E1172" s="1" t="n"/>
      <c r="F1172" s="6" t="n">
        <v>210.6049844</v>
      </c>
      <c r="G1172" s="6" t="n">
        <v>209.1716001</v>
      </c>
      <c r="H1172" s="1" t="n"/>
      <c r="I1172" s="1" t="n"/>
      <c r="J1172" s="1" t="n"/>
      <c r="K1172" s="1" t="n"/>
      <c r="L1172" s="1" t="n"/>
      <c r="M1172" s="1" t="n"/>
      <c r="N1172" s="1" t="n"/>
    </row>
    <row r="1173">
      <c r="A1173" s="1" t="inlineStr">
        <is>
          <t>63ebd3f635fb6</t>
        </is>
      </c>
      <c r="B1173" s="1" t="inlineStr">
        <is>
          <t>ANILLO CLASH SILVER</t>
        </is>
      </c>
      <c r="C1173" s="1" t="n"/>
      <c r="D1173" s="6" t="n">
        <v>210.9688577</v>
      </c>
      <c r="E1173" s="1" t="n"/>
      <c r="F1173" s="1" t="n"/>
      <c r="G1173" s="1" t="n"/>
      <c r="H1173" s="1" t="n"/>
      <c r="I1173" s="1" t="n"/>
      <c r="J1173" s="1" t="n"/>
      <c r="K1173" s="1" t="n"/>
      <c r="L1173" s="1" t="n"/>
      <c r="M1173" s="6" t="n">
        <v>210.1460646</v>
      </c>
      <c r="N1173" s="1" t="n"/>
    </row>
    <row r="1174">
      <c r="A1174" s="1" t="inlineStr">
        <is>
          <t>63ebd3f721f2e</t>
        </is>
      </c>
      <c r="B1174" s="1" t="inlineStr">
        <is>
          <t>ANILLO CLASH SILVER</t>
        </is>
      </c>
      <c r="C1174" s="1" t="n"/>
      <c r="D1174" s="1" t="n"/>
      <c r="E1174" s="1" t="n"/>
      <c r="F1174" s="1" t="n"/>
      <c r="G1174" s="6" t="n">
        <v>209.1716001</v>
      </c>
      <c r="H1174" s="1" t="n"/>
      <c r="I1174" s="1" t="n"/>
      <c r="J1174" s="6" t="n">
        <v>213.0389622</v>
      </c>
      <c r="K1174" s="1" t="n"/>
      <c r="L1174" s="1" t="n"/>
      <c r="M1174" s="6" t="n">
        <v>210.1460646</v>
      </c>
      <c r="N1174" s="1" t="n"/>
    </row>
    <row r="1175">
      <c r="A1175" s="1" t="inlineStr">
        <is>
          <t>63ebd619250f6</t>
        </is>
      </c>
      <c r="B1175" s="1" t="inlineStr">
        <is>
          <t>ARETES BV ROSE GOLD CON ZIRCONIA</t>
        </is>
      </c>
      <c r="C1175" s="1" t="n"/>
      <c r="D1175" s="1" t="n"/>
      <c r="E1175" s="1" t="n"/>
      <c r="F1175" s="1" t="n"/>
      <c r="G1175" s="6" t="n">
        <v>132.2411844</v>
      </c>
      <c r="H1175" s="1" t="n"/>
      <c r="I1175" s="1" t="n"/>
      <c r="J1175" s="1" t="n"/>
      <c r="K1175" s="1" t="n"/>
      <c r="L1175" s="6" t="n">
        <v>133.95135415</v>
      </c>
      <c r="M1175" s="1" t="n"/>
      <c r="N1175" s="1" t="n"/>
    </row>
    <row r="1176">
      <c r="A1176" s="1" t="inlineStr">
        <is>
          <t>63ebd61958890</t>
        </is>
      </c>
      <c r="B1176" s="1" t="inlineStr">
        <is>
          <t>ARETES BV ROSE GOLD-BLACK</t>
        </is>
      </c>
      <c r="C1176" s="1" t="n"/>
      <c r="D1176" s="1" t="n"/>
      <c r="E1176" s="1" t="n"/>
      <c r="F1176" s="1" t="n"/>
      <c r="G1176" s="6" t="n">
        <v>87.29337577</v>
      </c>
      <c r="H1176" s="1" t="n"/>
      <c r="I1176" s="1" t="n"/>
      <c r="J1176" s="6" t="n">
        <v>93.37072066</v>
      </c>
      <c r="K1176" s="1" t="n"/>
      <c r="L1176" s="6" t="n">
        <v>87.29713666000001</v>
      </c>
      <c r="M1176" s="1" t="n"/>
      <c r="N1176" s="1" t="n"/>
    </row>
    <row r="1177">
      <c r="A1177" s="1" t="inlineStr">
        <is>
          <t>63ebd72976d60</t>
        </is>
      </c>
      <c r="B1177" s="1" t="inlineStr">
        <is>
          <t>ARETES CC ROSE GOLD</t>
        </is>
      </c>
      <c r="C1177" s="1" t="n"/>
      <c r="D1177" s="6" t="n">
        <v>50.35819386</v>
      </c>
      <c r="E1177" s="1" t="n"/>
      <c r="F1177" s="1" t="n"/>
      <c r="G1177" s="1" t="n"/>
      <c r="H1177" s="6" t="n">
        <v>53.17485535</v>
      </c>
      <c r="I1177" s="1" t="n"/>
      <c r="J1177" s="6" t="n">
        <v>53.71483159</v>
      </c>
      <c r="K1177" s="1" t="n"/>
      <c r="L1177" s="6" t="n">
        <v>53.00208995</v>
      </c>
      <c r="M1177" s="1" t="n"/>
      <c r="N1177" s="1" t="n"/>
    </row>
    <row r="1178">
      <c r="A1178" s="1" t="inlineStr">
        <is>
          <t>63ebd81634b8a</t>
        </is>
      </c>
      <c r="B1178" s="1" t="inlineStr">
        <is>
          <t>ARETES CC GOLD CON ZIRCONIA</t>
        </is>
      </c>
      <c r="C1178" s="1" t="n"/>
      <c r="D1178" s="1" t="n"/>
      <c r="E1178" s="1" t="n"/>
      <c r="F1178" s="1" t="n"/>
      <c r="G1178" s="1" t="n"/>
      <c r="H1178" s="6" t="n">
        <v>101.0092989</v>
      </c>
      <c r="I1178" s="1" t="n"/>
      <c r="J1178" s="1" t="n"/>
      <c r="K1178" s="1" t="n"/>
      <c r="L1178" s="1" t="n"/>
      <c r="M1178" s="1" t="n"/>
      <c r="N1178" s="1" t="n"/>
    </row>
    <row r="1179">
      <c r="A1179" s="1" t="inlineStr">
        <is>
          <t>63ebd921017f7</t>
        </is>
      </c>
      <c r="B1179" s="1" t="inlineStr">
        <is>
          <t>ARETES T-SMILE SILVER CON ZIRCONIA</t>
        </is>
      </c>
      <c r="C1179" s="1" t="n"/>
      <c r="D1179" s="6" t="n">
        <v>171.2178591</v>
      </c>
      <c r="E1179" s="1" t="n"/>
      <c r="F1179" s="1" t="n"/>
      <c r="G1179" s="1" t="n"/>
      <c r="H1179" s="6" t="n">
        <v>180.7945082</v>
      </c>
      <c r="I1179" s="1" t="n"/>
      <c r="J1179" s="6" t="n">
        <v>182.6304274</v>
      </c>
      <c r="K1179" s="1" t="n"/>
      <c r="L1179" s="6" t="n">
        <v>180.2071058</v>
      </c>
      <c r="M1179" s="1" t="n"/>
      <c r="N1179" s="1" t="n"/>
    </row>
    <row r="1180">
      <c r="A1180" s="1" t="inlineStr">
        <is>
          <t>63ebdb90c5a7d</t>
        </is>
      </c>
      <c r="B1180" s="1" t="inlineStr">
        <is>
          <t>COLLAR TREBOL BLACK-ROSE GOLD</t>
        </is>
      </c>
      <c r="C1180" s="1" t="n"/>
      <c r="D1180" s="1" t="n"/>
      <c r="E1180" s="1" t="n"/>
      <c r="F1180" s="1" t="n"/>
      <c r="G1180" s="6" t="n">
        <v>251.0059201</v>
      </c>
      <c r="H1180" s="6" t="n">
        <v>84.80167117000001</v>
      </c>
      <c r="I1180" s="6" t="n">
        <v>84.27398426000001</v>
      </c>
      <c r="J1180" s="1" t="n"/>
      <c r="K1180" s="1" t="n"/>
      <c r="L1180" s="1" t="n"/>
      <c r="M1180" s="1" t="n"/>
      <c r="N1180" s="1" t="n"/>
    </row>
    <row r="1181">
      <c r="A1181" s="1" t="inlineStr">
        <is>
          <t>63ebdbffe0b2d</t>
        </is>
      </c>
      <c r="B1181" s="1" t="inlineStr">
        <is>
          <t>GARGANTILLA CD PERLAS</t>
        </is>
      </c>
      <c r="C1181" s="1" t="n"/>
      <c r="D1181" s="6" t="n">
        <v>272.1498264</v>
      </c>
      <c r="E1181" s="1" t="n"/>
      <c r="F1181" s="1" t="n"/>
      <c r="G1181" s="6" t="n">
        <v>269.8313641</v>
      </c>
      <c r="H1181" s="1" t="n"/>
      <c r="I1181" s="1" t="n"/>
      <c r="J1181" s="1" t="n"/>
      <c r="K1181" s="1" t="n"/>
      <c r="L1181" s="6" t="n">
        <v>273.7204852</v>
      </c>
      <c r="M1181" s="1" t="n"/>
      <c r="N1181" s="1" t="n"/>
    </row>
    <row r="1182">
      <c r="A1182" s="1" t="inlineStr">
        <is>
          <t>63ebdc0092a53</t>
        </is>
      </c>
      <c r="B1182" s="1" t="inlineStr">
        <is>
          <t>GARGANTILLA TRÉBOL GOLD</t>
        </is>
      </c>
      <c r="C1182" s="1" t="n"/>
      <c r="D1182" s="1" t="n"/>
      <c r="E1182" s="1" t="n"/>
      <c r="F1182" s="1" t="n"/>
      <c r="G1182" s="6" t="n">
        <v>392.4653398</v>
      </c>
      <c r="H1182" s="1" t="n"/>
      <c r="I1182" s="1" t="n"/>
      <c r="J1182" s="1" t="n"/>
      <c r="K1182" s="6" t="n">
        <v>397.1730539</v>
      </c>
      <c r="L1182" s="1" t="n"/>
      <c r="M1182" s="1" t="n"/>
      <c r="N1182" s="1" t="n"/>
    </row>
    <row r="1183">
      <c r="A1183" s="1" t="inlineStr">
        <is>
          <t>63ebddd057ca2</t>
        </is>
      </c>
      <c r="B1183" s="1" t="inlineStr">
        <is>
          <t>PULSERA CLAVO SILVER DELGADA CON ZIRCONIA</t>
        </is>
      </c>
      <c r="C1183" s="1" t="n"/>
      <c r="D1183" s="6" t="n">
        <v>92.90978174</v>
      </c>
      <c r="E1183" s="1" t="n"/>
      <c r="F1183" s="1" t="n"/>
      <c r="G1183" s="1" t="n"/>
      <c r="H1183" s="1" t="n"/>
      <c r="I1183" s="1" t="n"/>
      <c r="J1183" s="1" t="n"/>
      <c r="K1183" s="1" t="n"/>
      <c r="L1183" s="1" t="n"/>
      <c r="M1183" s="1" t="n"/>
      <c r="N1183" s="1" t="n"/>
    </row>
    <row r="1184">
      <c r="A1184" s="1" t="inlineStr">
        <is>
          <t>63ebddddb879a</t>
        </is>
      </c>
      <c r="B1184" s="1" t="inlineStr">
        <is>
          <t>PULSERA CLIC H GOLD WHITE</t>
        </is>
      </c>
      <c r="C1184" s="1" t="n"/>
      <c r="D1184" s="1" t="n"/>
      <c r="E1184" s="1" t="n"/>
      <c r="F1184" s="6" t="n">
        <v>105.3024922</v>
      </c>
      <c r="G1184" s="1" t="n"/>
      <c r="H1184" s="6" t="n">
        <v>106.002089</v>
      </c>
      <c r="I1184" s="6" t="n">
        <v>105.3424803</v>
      </c>
      <c r="J1184" s="6" t="n">
        <v>106.5194811</v>
      </c>
      <c r="K1184" s="1" t="n"/>
      <c r="L1184" s="6" t="n">
        <v>106.0932113</v>
      </c>
      <c r="M1184" s="1" t="n"/>
      <c r="N1184" s="1" t="n"/>
    </row>
    <row r="1185">
      <c r="A1185" s="1" t="inlineStr">
        <is>
          <t>63ebde48917bc</t>
        </is>
      </c>
      <c r="B1185" s="1" t="inlineStr">
        <is>
          <t>PULSERA CLIC H GOLD BLUE</t>
        </is>
      </c>
      <c r="C1185" s="1" t="n"/>
      <c r="D1185" s="1" t="n"/>
      <c r="E1185" s="1" t="n"/>
      <c r="F1185" s="1" t="n"/>
      <c r="G1185" s="1" t="n"/>
      <c r="H1185" s="1" t="n"/>
      <c r="I1185" s="1" t="n"/>
      <c r="J1185" s="6" t="n">
        <v>106.5194811</v>
      </c>
      <c r="K1185" s="1" t="n"/>
      <c r="L1185" s="6" t="n">
        <v>104.9464765</v>
      </c>
      <c r="M1185" s="1" t="n"/>
      <c r="N1185" s="1" t="n"/>
    </row>
    <row r="1186">
      <c r="A1186" s="1" t="inlineStr">
        <is>
          <t>63ebdf168b8f4</t>
        </is>
      </c>
      <c r="B1186" s="1" t="inlineStr">
        <is>
          <t>PULSERA CON INSIGNIA DE MOÑO SILVER</t>
        </is>
      </c>
      <c r="C1186" s="1" t="n"/>
      <c r="D1186" s="6" t="n">
        <v>106.2783553</v>
      </c>
      <c r="E1186" s="1" t="n"/>
      <c r="F1186" s="1" t="n"/>
      <c r="G1186" s="1" t="n"/>
      <c r="H1186" s="1" t="n"/>
      <c r="I1186" s="1" t="n"/>
      <c r="J1186" s="6" t="n">
        <v>106.5194811</v>
      </c>
      <c r="K1186" s="1" t="n"/>
      <c r="L1186" s="1" t="n"/>
      <c r="M1186" s="1" t="n"/>
      <c r="N1186" s="1" t="n"/>
    </row>
    <row r="1187">
      <c r="A1187" s="1" t="inlineStr">
        <is>
          <t>63ebdf24125c5</t>
        </is>
      </c>
      <c r="B1187" s="1" t="inlineStr">
        <is>
          <t>PULSERA LOVE DELGADA SILVER CON MICRO ZIRCONIAS</t>
        </is>
      </c>
      <c r="C1187" s="1" t="n"/>
      <c r="D1187" s="1" t="n"/>
      <c r="E1187" s="1" t="n"/>
      <c r="F1187" s="6" t="n">
        <v>273.7864798</v>
      </c>
      <c r="G1187" s="1" t="n"/>
      <c r="H1187" s="1" t="n"/>
      <c r="I1187" s="1" t="n"/>
      <c r="J1187" s="1" t="n"/>
      <c r="K1187" s="1" t="n"/>
      <c r="L1187" s="1" t="n"/>
      <c r="M1187" s="1" t="n"/>
      <c r="N1187" s="1" t="n"/>
    </row>
    <row r="1188">
      <c r="A1188" s="1" t="inlineStr">
        <is>
          <t>63ebdf2503ebb</t>
        </is>
      </c>
      <c r="B1188" s="1" t="inlineStr">
        <is>
          <t>PULSERA LOVE DELGADA SILVER CON MICRO ZIRCONIAS</t>
        </is>
      </c>
      <c r="C1188" s="1" t="n"/>
      <c r="D1188" s="1" t="n"/>
      <c r="E1188" s="1" t="n"/>
      <c r="F1188" s="1" t="n"/>
      <c r="G1188" s="6" t="n">
        <v>271.9230801</v>
      </c>
      <c r="H1188" s="1" t="n"/>
      <c r="I1188" s="1" t="n"/>
      <c r="J1188" s="6" t="n">
        <v>276.9506508</v>
      </c>
      <c r="K1188" s="1" t="n"/>
      <c r="L1188" s="6" t="n">
        <v>272.8608388</v>
      </c>
      <c r="M1188" s="1" t="n"/>
      <c r="N1188" s="1" t="n"/>
    </row>
    <row r="1189">
      <c r="A1189" s="1" t="inlineStr">
        <is>
          <t>63ebdf25cba1e</t>
        </is>
      </c>
      <c r="B1189" s="1" t="inlineStr">
        <is>
          <t>PULSERA LOVE DELGADA SILVER CON MICRO ZIRCONIAS</t>
        </is>
      </c>
      <c r="C1189" s="1" t="n"/>
      <c r="D1189" s="6" t="n">
        <v>274.259515</v>
      </c>
      <c r="E1189" s="1" t="n"/>
      <c r="F1189" s="1" t="n"/>
      <c r="G1189" s="1" t="n"/>
      <c r="H1189" s="1" t="n"/>
      <c r="I1189" s="1" t="n"/>
      <c r="J1189" s="1" t="n"/>
      <c r="K1189" s="6" t="n">
        <v>273.4091567</v>
      </c>
      <c r="L1189" s="1" t="n"/>
      <c r="M1189" s="1" t="n"/>
      <c r="N1189" s="1" t="n"/>
    </row>
    <row r="1190">
      <c r="A1190" s="1" t="inlineStr">
        <is>
          <t>63ebdf98523b4</t>
        </is>
      </c>
      <c r="B1190" s="1" t="inlineStr">
        <is>
          <t>PULSERA LOVE DELGADA GOLD CON MICRO ZIRCONIAS</t>
        </is>
      </c>
      <c r="C1190" s="1" t="n"/>
      <c r="D1190" s="1" t="n"/>
      <c r="E1190" s="1" t="n"/>
      <c r="F1190" s="6" t="n">
        <v>273.7864798</v>
      </c>
      <c r="G1190" s="1" t="n"/>
      <c r="H1190" s="1" t="n"/>
      <c r="I1190" s="1" t="n"/>
      <c r="J1190" s="1" t="n"/>
      <c r="K1190" s="6" t="n">
        <v>273.4091567</v>
      </c>
      <c r="L1190" s="6" t="n">
        <v>275.8423495</v>
      </c>
      <c r="M1190" s="6" t="n">
        <v>273.189884</v>
      </c>
      <c r="N1190" s="1" t="n"/>
    </row>
    <row r="1191">
      <c r="A1191" s="1" t="inlineStr">
        <is>
          <t>63ebdf992a2c6</t>
        </is>
      </c>
      <c r="B1191" s="1" t="inlineStr">
        <is>
          <t>PULSERA LOVE DELGADA GOLD CON MICRO ZIRCONIAS</t>
        </is>
      </c>
      <c r="C1191" s="1" t="n"/>
      <c r="D1191" s="1" t="n"/>
      <c r="E1191" s="1" t="n"/>
      <c r="F1191" s="1" t="n"/>
      <c r="G1191" s="6" t="n">
        <v>271.9230801</v>
      </c>
      <c r="H1191" s="1" t="n"/>
      <c r="I1191" s="1" t="n"/>
      <c r="J1191" s="1" t="n"/>
      <c r="K1191" s="1" t="n"/>
      <c r="L1191" s="1" t="n"/>
      <c r="M1191" s="6" t="n">
        <v>273.189884</v>
      </c>
      <c r="N1191" s="1" t="n"/>
    </row>
    <row r="1192">
      <c r="A1192" s="1" t="inlineStr">
        <is>
          <t>63ebdf99e880b</t>
        </is>
      </c>
      <c r="B1192" s="1" t="inlineStr">
        <is>
          <t>PULSERA LOVE DELGADA GOLD CON MICRO ZIRCONIAS</t>
        </is>
      </c>
      <c r="C1192" s="1" t="n"/>
      <c r="D1192" s="1" t="n"/>
      <c r="E1192" s="1" t="n"/>
      <c r="F1192" s="6" t="n">
        <v>273.7864798</v>
      </c>
      <c r="G1192" s="6" t="n">
        <v>271.9230801</v>
      </c>
      <c r="H1192" s="1" t="n"/>
      <c r="I1192" s="1" t="n"/>
      <c r="J1192" s="1" t="n"/>
      <c r="K1192" s="1" t="n"/>
      <c r="L1192" s="1" t="n"/>
      <c r="M1192" s="1" t="n"/>
      <c r="N1192" s="1" t="n"/>
    </row>
    <row r="1193">
      <c r="A1193" s="1" t="inlineStr">
        <is>
          <t>63ebdf9ac3082</t>
        </is>
      </c>
      <c r="B1193" s="1" t="inlineStr">
        <is>
          <t>PULSERA LOVE DELGADA GOLD CON MICRO ZIRCONIAS</t>
        </is>
      </c>
      <c r="C1193" s="1" t="n"/>
      <c r="D1193" s="1" t="n"/>
      <c r="E1193" s="1" t="n"/>
      <c r="F1193" s="6" t="n">
        <v>273.7864798</v>
      </c>
      <c r="G1193" s="1" t="n"/>
      <c r="H1193" s="1" t="n"/>
      <c r="I1193" s="1" t="n"/>
      <c r="J1193" s="1" t="n"/>
      <c r="K1193" s="1" t="n"/>
      <c r="L1193" s="1" t="n"/>
      <c r="M1193" s="1" t="n"/>
      <c r="N1193" s="1" t="n"/>
    </row>
    <row r="1194">
      <c r="A1194" s="1" t="inlineStr">
        <is>
          <t>63ebdf9b7c339</t>
        </is>
      </c>
      <c r="B1194" s="1" t="inlineStr">
        <is>
          <t>PULSERA LOVE DELGADA GOLD CON MICRO ZIRCONIAS</t>
        </is>
      </c>
      <c r="C1194" s="1" t="n"/>
      <c r="D1194" s="1" t="n"/>
      <c r="E1194" s="1" t="n"/>
      <c r="F1194" s="1" t="n"/>
      <c r="G1194" s="1" t="n"/>
      <c r="H1194" s="1" t="n"/>
      <c r="I1194" s="1" t="n"/>
      <c r="J1194" s="6" t="n">
        <v>276.9506508</v>
      </c>
      <c r="K1194" s="1" t="n"/>
      <c r="L1194" s="1" t="n"/>
      <c r="M1194" s="1" t="n"/>
      <c r="N1194" s="1" t="n"/>
    </row>
    <row r="1195">
      <c r="A1195" s="1" t="inlineStr">
        <is>
          <t>63ebe022e73ea</t>
        </is>
      </c>
      <c r="B1195" s="1" t="inlineStr">
        <is>
          <t>PULSERA SERPENTI ROSE GOLD CON ZIRCONIA</t>
        </is>
      </c>
      <c r="C1195" s="1" t="n"/>
      <c r="D1195" s="1" t="n"/>
      <c r="E1195" s="1" t="n"/>
      <c r="F1195" s="1" t="n"/>
      <c r="G1195" s="1" t="n"/>
      <c r="H1195" s="1" t="n"/>
      <c r="I1195" s="6" t="n">
        <v>373.1984397</v>
      </c>
      <c r="J1195" s="1" t="n"/>
      <c r="K1195" s="1" t="n"/>
      <c r="L1195" s="1" t="n"/>
      <c r="M1195" s="1" t="n"/>
      <c r="N1195" s="1" t="n"/>
    </row>
    <row r="1196">
      <c r="A1196" s="1" t="inlineStr">
        <is>
          <t>63ebe0260e034</t>
        </is>
      </c>
      <c r="B1196" s="1" t="inlineStr">
        <is>
          <t>PULSERA SERPENTI SILVER CON ZIRCONIA</t>
        </is>
      </c>
      <c r="C1196" s="1" t="n"/>
      <c r="D1196" s="1" t="n"/>
      <c r="E1196" s="1" t="n"/>
      <c r="F1196" s="1" t="n"/>
      <c r="G1196" s="1" t="n"/>
      <c r="H1196" s="6" t="n">
        <v>366.9065019</v>
      </c>
      <c r="I1196" s="1" t="n"/>
      <c r="J1196" s="1" t="n"/>
      <c r="K1196" s="6" t="n">
        <v>358.1112781</v>
      </c>
      <c r="L1196" s="1" t="n"/>
      <c r="M1196" s="1" t="n"/>
      <c r="N1196" s="1" t="n"/>
    </row>
    <row r="1197">
      <c r="A1197" s="1" t="inlineStr">
        <is>
          <t>63ebe03ea2adc</t>
        </is>
      </c>
      <c r="B1197" s="1" t="inlineStr">
        <is>
          <t>PULSERA V GOLD CON ZIRCONIA</t>
        </is>
      </c>
      <c r="C1197" s="1" t="n"/>
      <c r="D1197" s="6" t="n">
        <v>144.1382328</v>
      </c>
      <c r="E1197" s="1" t="n"/>
      <c r="F1197" s="1" t="n"/>
      <c r="G1197" s="1" t="n"/>
      <c r="H1197" s="1" t="n"/>
      <c r="I1197" s="1" t="n"/>
      <c r="J1197" s="1" t="n"/>
      <c r="K1197" s="1" t="n"/>
      <c r="L1197" s="6" t="n">
        <v>146.4415382</v>
      </c>
      <c r="M1197" s="1" t="n"/>
      <c r="N1197" s="1" t="n"/>
    </row>
    <row r="1198">
      <c r="A1198" s="1" t="inlineStr">
        <is>
          <t>64085721001581</t>
        </is>
      </c>
      <c r="B1198" s="1" t="inlineStr">
        <is>
          <t>ARETES D’AMOUR XS GOLD C</t>
        </is>
      </c>
      <c r="C1198" s="1" t="n"/>
      <c r="D1198" s="1" t="n"/>
      <c r="E1198" s="1" t="n"/>
      <c r="F1198" s="1" t="n"/>
      <c r="G1198" s="1" t="n"/>
      <c r="H1198" s="1" t="n"/>
      <c r="I1198" s="1" t="n"/>
      <c r="J1198" s="1" t="n"/>
      <c r="K1198" s="6" t="n">
        <v>62.88410603</v>
      </c>
      <c r="L1198" s="6" t="n">
        <v>116.7025325</v>
      </c>
      <c r="M1198" s="1" t="n"/>
      <c r="N1198" s="1" t="n"/>
    </row>
    <row r="1199">
      <c r="A1199" s="1" t="inlineStr">
        <is>
          <t>64085741126029</t>
        </is>
      </c>
      <c r="B1199" s="1" t="inlineStr">
        <is>
          <t>ARETES PANTHERE GOLD C</t>
        </is>
      </c>
      <c r="C1199" s="1" t="n"/>
      <c r="D1199" s="6" t="n">
        <v>126.5813146</v>
      </c>
      <c r="E1199" s="1" t="n"/>
      <c r="F1199" s="1" t="n"/>
      <c r="G1199" s="1" t="n"/>
      <c r="H1199" s="6" t="n">
        <v>127.2025068</v>
      </c>
      <c r="I1199" s="6" t="n">
        <v>126.4109764</v>
      </c>
      <c r="J1199" s="1" t="n"/>
      <c r="K1199" s="1" t="n"/>
      <c r="L1199" s="1" t="n"/>
      <c r="M1199" s="1" t="n"/>
      <c r="N1199" s="1" t="n"/>
    </row>
    <row r="1200">
      <c r="A1200" s="1" t="inlineStr">
        <is>
          <t>64085741294285</t>
        </is>
      </c>
      <c r="B1200" s="1" t="inlineStr">
        <is>
          <t>ARETES CLASH GOLD C</t>
        </is>
      </c>
      <c r="C1200" s="1" t="n"/>
      <c r="D1200" s="6" t="n">
        <v>190.58650575</v>
      </c>
      <c r="E1200" s="1" t="n"/>
      <c r="F1200" s="1" t="n"/>
      <c r="G1200" s="6" t="n">
        <v>188.2544401</v>
      </c>
      <c r="H1200" s="6" t="n">
        <v>190.8037601</v>
      </c>
      <c r="I1200" s="1" t="n"/>
      <c r="J1200" s="1" t="n"/>
      <c r="K1200" s="6" t="n">
        <v>189.2832623</v>
      </c>
      <c r="L1200" s="6" t="n">
        <v>188.9036577</v>
      </c>
      <c r="M1200" s="6" t="n">
        <v>189.1314581</v>
      </c>
      <c r="N1200" s="1" t="n"/>
    </row>
    <row r="1201">
      <c r="A1201" s="1" t="inlineStr">
        <is>
          <t>64085741359693</t>
        </is>
      </c>
      <c r="B1201" s="1" t="inlineStr">
        <is>
          <t>ARETES CLASH ROSE GOLD C</t>
        </is>
      </c>
      <c r="C1201" s="1" t="n"/>
      <c r="D1201" s="6" t="n">
        <v>190.58650575</v>
      </c>
      <c r="E1201" s="1" t="n"/>
      <c r="F1201" s="6" t="n">
        <v>189.544486</v>
      </c>
      <c r="G1201" s="6" t="n">
        <v>188.2544401</v>
      </c>
      <c r="H1201" s="1" t="n"/>
      <c r="I1201" s="6" t="n">
        <v>189.6164646</v>
      </c>
      <c r="J1201" s="6" t="n">
        <v>191.7350659</v>
      </c>
      <c r="K1201" s="1" t="n"/>
      <c r="L1201" s="1" t="n"/>
      <c r="M1201" s="6" t="n">
        <v>189.1314581</v>
      </c>
      <c r="N1201" s="1" t="n"/>
    </row>
    <row r="1202">
      <c r="A1202" s="1" t="inlineStr">
        <is>
          <t>64085741420077</t>
        </is>
      </c>
      <c r="B1202" s="1" t="inlineStr">
        <is>
          <t>ARETES CLASH SILVER C</t>
        </is>
      </c>
      <c r="C1202" s="1" t="n"/>
      <c r="D1202" s="6" t="n">
        <v>189.8719719</v>
      </c>
      <c r="E1202" s="1" t="n"/>
      <c r="F1202" s="1" t="n"/>
      <c r="G1202" s="1" t="n"/>
      <c r="H1202" s="1" t="n"/>
      <c r="I1202" s="1" t="n"/>
      <c r="J1202" s="1" t="n"/>
      <c r="K1202" s="6" t="n">
        <v>189.2832623</v>
      </c>
      <c r="L1202" s="1" t="n"/>
      <c r="M1202" s="6" t="n">
        <v>189.1314581</v>
      </c>
      <c r="N1202" s="1" t="n"/>
    </row>
    <row r="1203">
      <c r="A1203" s="1" t="inlineStr">
        <is>
          <t>64085741543021</t>
        </is>
      </c>
      <c r="B1203" s="1" t="inlineStr">
        <is>
          <t>ARETES LOVE CON MICRO ZIRCONIAS GOLD C</t>
        </is>
      </c>
      <c r="C1203" s="1" t="n"/>
      <c r="D1203" s="1" t="n"/>
      <c r="E1203" s="1" t="n"/>
      <c r="F1203" s="6" t="n">
        <v>168.4839875</v>
      </c>
      <c r="G1203" s="6" t="n">
        <v>188.2544401</v>
      </c>
      <c r="H1203" s="1" t="n"/>
      <c r="I1203" s="6" t="n">
        <v>189.6164646</v>
      </c>
      <c r="J1203" s="1" t="n"/>
      <c r="K1203" s="1" t="n"/>
      <c r="L1203" s="6" t="n">
        <v>169.7491381</v>
      </c>
      <c r="M1203" s="1" t="n"/>
      <c r="N1203" s="1" t="n"/>
    </row>
    <row r="1204">
      <c r="A1204" s="1" t="inlineStr">
        <is>
          <t>64085741631661</t>
        </is>
      </c>
      <c r="B1204" s="1" t="inlineStr">
        <is>
          <t>COLLAR SILVER BLACK C</t>
        </is>
      </c>
      <c r="C1204" s="1" t="n"/>
      <c r="D1204" s="1" t="n"/>
      <c r="E1204" s="1" t="n"/>
      <c r="F1204" s="6" t="n">
        <v>147.4234891</v>
      </c>
      <c r="G1204" s="1" t="n"/>
      <c r="H1204" s="1" t="n"/>
      <c r="I1204" s="1" t="n"/>
      <c r="J1204" s="1" t="n"/>
      <c r="K1204" s="1" t="n"/>
      <c r="L1204" s="1" t="n"/>
      <c r="M1204" s="1" t="n"/>
      <c r="N1204" s="1" t="n"/>
    </row>
    <row r="1205">
      <c r="A1205" s="1" t="inlineStr">
        <is>
          <t>64085741817357</t>
        </is>
      </c>
      <c r="B1205" s="1" t="inlineStr">
        <is>
          <t>COLLAR LOVE 3 AROS CON ZIRCONIA</t>
        </is>
      </c>
      <c r="C1205" s="1" t="n"/>
      <c r="D1205" s="1" t="n"/>
      <c r="E1205" s="1" t="n"/>
      <c r="F1205" s="1" t="n"/>
      <c r="G1205" s="1" t="n"/>
      <c r="H1205" s="1" t="n"/>
      <c r="I1205" s="6" t="n">
        <v>147.4794725</v>
      </c>
      <c r="J1205" s="1" t="n"/>
      <c r="K1205" s="6" t="n">
        <v>147.2203151</v>
      </c>
      <c r="L1205" s="1" t="n"/>
      <c r="M1205" s="1" t="n"/>
      <c r="N1205" s="1" t="n"/>
    </row>
    <row r="1206">
      <c r="A1206" s="1" t="inlineStr">
        <is>
          <t>64085741986765</t>
        </is>
      </c>
      <c r="B1206" s="1" t="inlineStr">
        <is>
          <t>COLLAR PANTHERE GOLD C</t>
        </is>
      </c>
      <c r="C1206" s="1" t="n"/>
      <c r="D1206" s="6" t="n">
        <v>147.6782004</v>
      </c>
      <c r="E1206" s="1" t="n"/>
      <c r="F1206" s="6" t="n">
        <v>147.4234891</v>
      </c>
      <c r="G1206" s="6" t="n">
        <v>146.4201201</v>
      </c>
      <c r="H1206" s="6" t="n">
        <v>148.4029245</v>
      </c>
      <c r="I1206" s="6" t="n">
        <v>147.4794725</v>
      </c>
      <c r="J1206" s="1" t="n"/>
      <c r="K1206" s="1" t="n"/>
      <c r="L1206" s="1" t="n"/>
      <c r="M1206" s="1" t="n"/>
      <c r="N1206" s="1" t="n"/>
    </row>
    <row r="1207">
      <c r="A1207" s="1" t="inlineStr">
        <is>
          <t>64085742023341</t>
        </is>
      </c>
      <c r="B1207" s="1" t="inlineStr">
        <is>
          <t>ANILLO VENDOME TRICOLOR C</t>
        </is>
      </c>
      <c r="C1207" s="1" t="n"/>
      <c r="D1207" s="1" t="n"/>
      <c r="E1207" s="1" t="n"/>
      <c r="F1207" s="6" t="n">
        <v>126.3629907</v>
      </c>
      <c r="G1207" s="6" t="n">
        <v>125.5029601</v>
      </c>
      <c r="H1207" s="1" t="n"/>
      <c r="I1207" s="1" t="n"/>
      <c r="J1207" s="1" t="n"/>
      <c r="K1207" s="1" t="n"/>
      <c r="L1207" s="6" t="n">
        <v>125.9357718</v>
      </c>
      <c r="M1207" s="1" t="n"/>
      <c r="N1207" s="1" t="n"/>
    </row>
    <row r="1208">
      <c r="A1208" s="1" t="inlineStr">
        <is>
          <t>64085742114861</t>
        </is>
      </c>
      <c r="B1208" s="1" t="inlineStr">
        <is>
          <t>ANILLO VENDOME TRICOLOR C</t>
        </is>
      </c>
      <c r="C1208" s="1" t="n"/>
      <c r="D1208" s="6" t="n">
        <v>126.5813146</v>
      </c>
      <c r="E1208" s="1" t="n"/>
      <c r="F1208" s="1" t="n"/>
      <c r="G1208" s="1" t="n"/>
      <c r="H1208" s="1" t="n"/>
      <c r="I1208" s="6" t="n">
        <v>126.4109764</v>
      </c>
      <c r="J1208" s="1" t="n"/>
      <c r="K1208" s="1" t="n"/>
      <c r="L1208" s="6" t="n">
        <v>125.9357718</v>
      </c>
      <c r="M1208" s="1" t="n"/>
      <c r="N1208" s="1" t="n"/>
    </row>
    <row r="1209">
      <c r="A1209" s="1" t="inlineStr">
        <is>
          <t>64085742247629</t>
        </is>
      </c>
      <c r="B1209" s="1" t="inlineStr">
        <is>
          <t>ANILLO VENDOME TRICOLOR C</t>
        </is>
      </c>
      <c r="C1209" s="1" t="n"/>
      <c r="D1209" s="1" t="n"/>
      <c r="E1209" s="1" t="n"/>
      <c r="F1209" s="6" t="n">
        <v>126.3629907</v>
      </c>
      <c r="G1209" s="6" t="n">
        <v>125.5029601</v>
      </c>
      <c r="H1209" s="1" t="n"/>
      <c r="I1209" s="1" t="n"/>
      <c r="J1209" s="1" t="n"/>
      <c r="K1209" s="1" t="n"/>
      <c r="L1209" s="6" t="n">
        <v>125.9357718</v>
      </c>
      <c r="M1209" s="1" t="n"/>
      <c r="N1209" s="1" t="n"/>
    </row>
    <row r="1210">
      <c r="A1210" s="1" t="inlineStr">
        <is>
          <t>64085742311277</t>
        </is>
      </c>
      <c r="B1210" s="1" t="inlineStr">
        <is>
          <t>ANILLO ALLIANCE CON ZIRCONIA C</t>
        </is>
      </c>
      <c r="C1210" s="1" t="n"/>
      <c r="D1210" s="6" t="n">
        <v>42.19377154</v>
      </c>
      <c r="E1210" s="1" t="n"/>
      <c r="F1210" s="1" t="n"/>
      <c r="G1210" s="1" t="n"/>
      <c r="H1210" s="1" t="n"/>
      <c r="I1210" s="1" t="n"/>
      <c r="J1210" s="1" t="n"/>
      <c r="K1210" s="1" t="n"/>
      <c r="L1210" s="1" t="n"/>
      <c r="M1210" s="1" t="n"/>
      <c r="N1210" s="1" t="n"/>
    </row>
    <row r="1211">
      <c r="A1211" s="1" t="inlineStr">
        <is>
          <t>64085742444045</t>
        </is>
      </c>
      <c r="B1211" s="1" t="inlineStr">
        <is>
          <t>ANILLO ALLIANCE CON ZIRCONIA C</t>
        </is>
      </c>
      <c r="C1211" s="1" t="n"/>
      <c r="D1211" s="6" t="n">
        <v>42.19377154</v>
      </c>
      <c r="E1211" s="1" t="n"/>
      <c r="F1211" s="1" t="n"/>
      <c r="G1211" s="1" t="n"/>
      <c r="H1211" s="1" t="n"/>
      <c r="I1211" s="1" t="n"/>
      <c r="J1211" s="1" t="n"/>
      <c r="K1211" s="1" t="n"/>
      <c r="L1211" s="1" t="n"/>
      <c r="M1211" s="1" t="n"/>
      <c r="N1211" s="1" t="n"/>
    </row>
    <row r="1212">
      <c r="A1212" s="1" t="inlineStr">
        <is>
          <t>64085742576813</t>
        </is>
      </c>
      <c r="B1212" s="1" t="inlineStr">
        <is>
          <t>ANILLO ALLIANCE CON ZIRCONIA ROSE GOLD C</t>
        </is>
      </c>
      <c r="C1212" s="1" t="n"/>
      <c r="D1212" s="1" t="n"/>
      <c r="E1212" s="1" t="n"/>
      <c r="F1212" s="6" t="n">
        <v>42.12099689</v>
      </c>
      <c r="G1212" s="6" t="n">
        <v>41.83432002</v>
      </c>
      <c r="H1212" s="1" t="n"/>
      <c r="I1212" s="1" t="n"/>
      <c r="J1212" s="1" t="n"/>
      <c r="K1212" s="1" t="n"/>
      <c r="L1212" s="6" t="n">
        <v>41.97859059</v>
      </c>
      <c r="M1212" s="1" t="n"/>
      <c r="N1212" s="1" t="n"/>
    </row>
    <row r="1213">
      <c r="A1213" s="1" t="inlineStr">
        <is>
          <t>64085742794061</t>
        </is>
      </c>
      <c r="B1213" s="1" t="inlineStr">
        <is>
          <t>ANILLO ALLIANCE ROSE GOLD C</t>
        </is>
      </c>
      <c r="C1213" s="1" t="n"/>
      <c r="D1213" s="6" t="n">
        <v>42.19377154</v>
      </c>
      <c r="E1213" s="1" t="n"/>
      <c r="F1213" s="1" t="n"/>
      <c r="G1213" s="1" t="n"/>
      <c r="H1213" s="1" t="n"/>
      <c r="I1213" s="1" t="n"/>
      <c r="J1213" s="1" t="n"/>
      <c r="K1213" s="1" t="n"/>
      <c r="L1213" s="1" t="n"/>
      <c r="M1213" s="1" t="n"/>
      <c r="N1213" s="1" t="n"/>
    </row>
    <row r="1214">
      <c r="A1214" s="1" t="inlineStr">
        <is>
          <t>64085742826829</t>
        </is>
      </c>
      <c r="B1214" s="1" t="inlineStr">
        <is>
          <t>ANILLO ALLIANCE ROSE GOLD C</t>
        </is>
      </c>
      <c r="C1214" s="1" t="n"/>
      <c r="D1214" s="1" t="n"/>
      <c r="E1214" s="1" t="n"/>
      <c r="F1214" s="1" t="n"/>
      <c r="G1214" s="1" t="n"/>
      <c r="H1214" s="1" t="n"/>
      <c r="I1214" s="1" t="n"/>
      <c r="J1214" s="1" t="n"/>
      <c r="K1214" s="1" t="n"/>
      <c r="L1214" s="6" t="n">
        <v>41.97859059</v>
      </c>
      <c r="M1214" s="1" t="n"/>
      <c r="N1214" s="1" t="n"/>
    </row>
    <row r="1215">
      <c r="A1215" s="1" t="inlineStr">
        <is>
          <t>64155891097709</t>
        </is>
      </c>
      <c r="B1215" s="1" t="inlineStr">
        <is>
          <t>ANILLO LV SELLO SILVER</t>
        </is>
      </c>
      <c r="C1215" s="1" t="n"/>
      <c r="D1215" s="6" t="n">
        <v>126.3703458</v>
      </c>
      <c r="E1215" s="1" t="n"/>
      <c r="F1215" s="1" t="n"/>
      <c r="G1215" s="1" t="n"/>
      <c r="H1215" s="1" t="n"/>
      <c r="I1215" s="6" t="n">
        <v>189.4057796</v>
      </c>
      <c r="J1215" s="1" t="n"/>
      <c r="K1215" s="1" t="n"/>
      <c r="L1215" s="1" t="n"/>
      <c r="M1215" s="1" t="n"/>
      <c r="N1215" s="1" t="n"/>
    </row>
    <row r="1216">
      <c r="A1216" s="1" t="inlineStr">
        <is>
          <t>641887036d043</t>
        </is>
      </c>
      <c r="B1216" s="1" t="inlineStr">
        <is>
          <t>COLLAR TRÉBOL GOLD-RED</t>
        </is>
      </c>
      <c r="C1216" s="1" t="n"/>
      <c r="D1216" s="6" t="n">
        <v>232.0657435</v>
      </c>
      <c r="E1216" s="1" t="n"/>
      <c r="F1216" s="1" t="n"/>
      <c r="G1216" s="6" t="n">
        <v>251.0059201</v>
      </c>
      <c r="H1216" s="1" t="n"/>
      <c r="I1216" s="1" t="n"/>
      <c r="J1216" s="1" t="n"/>
      <c r="K1216" s="1" t="n"/>
      <c r="L1216" s="6" t="n">
        <v>84.87456907000001</v>
      </c>
      <c r="M1216" s="1" t="n"/>
      <c r="N1216" s="1" t="n"/>
    </row>
    <row r="1217">
      <c r="A1217" s="1" t="inlineStr">
        <is>
          <t>641b376c85b37</t>
        </is>
      </c>
      <c r="B1217" s="1" t="inlineStr">
        <is>
          <t>ARETES T-SMILE ROSE GOLD CON ZIRCONIA</t>
        </is>
      </c>
      <c r="C1217" s="1" t="n"/>
      <c r="D1217" s="1" t="n"/>
      <c r="E1217" s="1" t="n"/>
      <c r="F1217" s="1" t="n"/>
      <c r="G1217" s="1" t="n"/>
      <c r="H1217" s="1" t="n"/>
      <c r="I1217" s="1" t="n"/>
      <c r="J1217" s="6" t="n">
        <v>182.6304274</v>
      </c>
      <c r="K1217" s="1" t="n"/>
      <c r="L1217" s="1" t="n"/>
      <c r="M1217" s="1" t="n"/>
      <c r="N1217" s="1" t="n"/>
    </row>
    <row r="1218">
      <c r="A1218" s="1" t="inlineStr">
        <is>
          <t>64361211113837</t>
        </is>
      </c>
      <c r="B1218" s="1" t="inlineStr">
        <is>
          <t>PULSERA BV ROSEGOLD BLACK-WHITE</t>
        </is>
      </c>
      <c r="C1218" s="1" t="n"/>
      <c r="D1218" s="6" t="n">
        <v>158.2266433</v>
      </c>
      <c r="E1218" s="1" t="n"/>
      <c r="F1218" s="1" t="n"/>
      <c r="G1218" s="1" t="n"/>
      <c r="H1218" s="1" t="n"/>
      <c r="I1218" s="1" t="n"/>
      <c r="J1218" s="1" t="n"/>
      <c r="K1218" s="6" t="n">
        <v>157.7360519</v>
      </c>
      <c r="L1218" s="6" t="n">
        <v>159.139817</v>
      </c>
      <c r="M1218" s="1" t="n"/>
      <c r="N1218" s="1" t="n"/>
    </row>
    <row r="1219">
      <c r="A1219" s="1" t="inlineStr">
        <is>
          <t>64361211541581</t>
        </is>
      </c>
      <c r="B1219" s="1" t="inlineStr">
        <is>
          <t>BRAZALETE BV ROSEGOLD WHITE</t>
        </is>
      </c>
      <c r="C1219" s="1" t="n"/>
      <c r="D1219" s="6" t="n">
        <v>210.9688577</v>
      </c>
      <c r="E1219" s="1" t="n"/>
      <c r="F1219" s="1" t="n"/>
      <c r="G1219" s="1" t="n"/>
      <c r="H1219" s="1" t="n"/>
      <c r="I1219" s="1" t="n"/>
      <c r="J1219" s="1" t="n"/>
      <c r="K1219" s="1" t="n"/>
      <c r="L1219" s="1" t="n"/>
      <c r="M1219" s="1" t="n"/>
      <c r="N1219" s="1" t="n"/>
    </row>
    <row r="1220">
      <c r="A1220" s="1" t="inlineStr">
        <is>
          <t>64385161101d4</t>
        </is>
      </c>
      <c r="B1220" s="1" t="inlineStr">
        <is>
          <t>PULSERA TRÉBOL ROSEGOLD WHITE VF</t>
        </is>
      </c>
      <c r="C1220" s="1" t="n"/>
      <c r="D1220" s="6" t="n">
        <v>467.6247634</v>
      </c>
      <c r="E1220" s="1" t="n"/>
      <c r="F1220" s="6" t="n">
        <v>526.5124611</v>
      </c>
      <c r="G1220" s="1" t="n"/>
      <c r="H1220" s="1" t="n"/>
      <c r="I1220" s="1" t="n"/>
      <c r="J1220" s="1" t="n"/>
      <c r="K1220" s="1" t="n"/>
      <c r="L1220" s="1" t="n"/>
      <c r="M1220" s="1" t="n"/>
      <c r="N1220" s="1" t="n"/>
    </row>
    <row r="1221">
      <c r="A1221" s="1" t="inlineStr">
        <is>
          <t>643ec108c3efe</t>
        </is>
      </c>
      <c r="B1221" s="1" t="inlineStr">
        <is>
          <t>COLLAR BV GOLD</t>
        </is>
      </c>
      <c r="C1221" s="1" t="n"/>
      <c r="D1221" s="1" t="n"/>
      <c r="E1221" s="1" t="n"/>
      <c r="F1221" s="6" t="n">
        <v>84.03138878999999</v>
      </c>
      <c r="G1221" s="6" t="n">
        <v>104.5858001</v>
      </c>
      <c r="H1221" s="6" t="n">
        <v>84.58966699</v>
      </c>
      <c r="I1221" s="6" t="n">
        <v>84.0632993</v>
      </c>
      <c r="J1221" s="1" t="n"/>
      <c r="K1221" s="6" t="n">
        <v>83.91557962</v>
      </c>
      <c r="L1221" s="1" t="n"/>
      <c r="M1221" s="1" t="n"/>
      <c r="N1221" s="1" t="n"/>
    </row>
    <row r="1222">
      <c r="A1222" s="1" t="inlineStr">
        <is>
          <t>643ec10bc63f5</t>
        </is>
      </c>
      <c r="B1222" s="1" t="inlineStr">
        <is>
          <t>COLLAR BV SILVER</t>
        </is>
      </c>
      <c r="C1222" s="1" t="n"/>
      <c r="D1222" s="6" t="n">
        <v>126.5813146</v>
      </c>
      <c r="E1222" s="1" t="n"/>
      <c r="F1222" s="1" t="n"/>
      <c r="G1222" s="6" t="n">
        <v>104.5858001</v>
      </c>
      <c r="H1222" s="1" t="n"/>
      <c r="I1222" s="1" t="n"/>
      <c r="J1222" s="1" t="n"/>
      <c r="K1222" s="1" t="n"/>
      <c r="L1222" s="1" t="n"/>
      <c r="M1222" s="6" t="n">
        <v>105.0730323</v>
      </c>
      <c r="N1222" s="1" t="n"/>
    </row>
    <row r="1223">
      <c r="A1223" s="1" t="inlineStr">
        <is>
          <t>6453fd2f11ef1</t>
        </is>
      </c>
      <c r="B1223" s="1" t="inlineStr">
        <is>
          <t>PULSERA TREBOL GOLD BLACK VF</t>
        </is>
      </c>
      <c r="C1223" s="1" t="n"/>
      <c r="D1223" s="1" t="n"/>
      <c r="E1223" s="1" t="n"/>
      <c r="F1223" s="1" t="n"/>
      <c r="G1223" s="1" t="n"/>
      <c r="H1223" s="1" t="n"/>
      <c r="I1223" s="1" t="n"/>
      <c r="J1223" s="1" t="n"/>
      <c r="K1223" s="6" t="n">
        <v>147.2203151</v>
      </c>
      <c r="L1223" s="1" t="n"/>
      <c r="M1223" s="6" t="n">
        <v>147.1022452</v>
      </c>
      <c r="N1223" s="1" t="n"/>
    </row>
    <row r="1224">
      <c r="A1224" s="1" t="inlineStr">
        <is>
          <t>64571791072897</t>
        </is>
      </c>
      <c r="B1224" s="1" t="inlineStr">
        <is>
          <t>BOLSO CC BLACK</t>
        </is>
      </c>
      <c r="C1224" s="1" t="n"/>
      <c r="D1224" s="6" t="n">
        <v>1205.656541</v>
      </c>
      <c r="E1224" s="1" t="n"/>
      <c r="F1224" s="1" t="n"/>
      <c r="G1224" s="1" t="n"/>
      <c r="H1224" s="6" t="n">
        <v>1249.51677</v>
      </c>
      <c r="I1224" s="1" t="n"/>
      <c r="J1224" s="6" t="n">
        <v>1249.416608</v>
      </c>
      <c r="K1224" s="1" t="n"/>
      <c r="L1224" s="6" t="n">
        <v>1272.221975</v>
      </c>
      <c r="M1224" s="6" t="n">
        <v>1176.54895</v>
      </c>
      <c r="N1224" s="1" t="n"/>
    </row>
    <row r="1225">
      <c r="A1225" s="1" t="inlineStr">
        <is>
          <t>646f846abc38f</t>
        </is>
      </c>
      <c r="B1225" s="1" t="inlineStr">
        <is>
          <t>PULSERA COCO ROSEGOLD</t>
        </is>
      </c>
      <c r="C1225" s="1" t="n"/>
      <c r="D1225" s="1" t="n"/>
      <c r="E1225" s="1" t="n"/>
      <c r="F1225" s="1" t="n"/>
      <c r="G1225" s="1" t="n"/>
      <c r="H1225" s="1" t="n"/>
      <c r="I1225" s="6" t="n">
        <v>378.6071128</v>
      </c>
      <c r="J1225" s="1" t="n"/>
      <c r="K1225" s="1" t="n"/>
      <c r="L1225" s="6" t="n">
        <v>371.0146297</v>
      </c>
      <c r="M1225" s="1" t="n"/>
      <c r="N1225" s="1" t="n"/>
    </row>
    <row r="1226">
      <c r="A1226" s="1" t="inlineStr">
        <is>
          <t>646f84740b09f</t>
        </is>
      </c>
      <c r="B1226" s="1" t="inlineStr">
        <is>
          <t>PULSERA COCO GOLD</t>
        </is>
      </c>
      <c r="C1226" s="1" t="n"/>
      <c r="D1226" s="1" t="n"/>
      <c r="E1226" s="1" t="n"/>
      <c r="F1226" s="1" t="n"/>
      <c r="G1226" s="1" t="n"/>
      <c r="H1226" s="1" t="n"/>
      <c r="I1226" s="1" t="n"/>
      <c r="J1226" s="1" t="n"/>
      <c r="K1226" s="1" t="n"/>
      <c r="L1226" s="6" t="n">
        <v>371.0146297</v>
      </c>
      <c r="M1226" s="1" t="n"/>
      <c r="N1226" s="1" t="n"/>
    </row>
    <row r="1227">
      <c r="A1227" s="1" t="inlineStr">
        <is>
          <t>646f84b99a256</t>
        </is>
      </c>
      <c r="B1227" s="1" t="inlineStr">
        <is>
          <t>ARETES T SILVER</t>
        </is>
      </c>
      <c r="C1227" s="6" t="n">
        <v>90.63232567</v>
      </c>
      <c r="D1227" s="1" t="n"/>
      <c r="E1227" s="1" t="n"/>
      <c r="F1227" s="1" t="n"/>
      <c r="G1227" s="1" t="n"/>
      <c r="H1227" s="6" t="n">
        <v>89.410145</v>
      </c>
      <c r="I1227" s="1" t="n"/>
      <c r="J1227" s="1" t="n"/>
      <c r="K1227" s="1" t="n"/>
      <c r="L1227" s="1" t="n"/>
      <c r="M1227" s="1" t="n"/>
      <c r="N1227" s="1" t="n"/>
    </row>
    <row r="1228">
      <c r="A1228" s="1" t="inlineStr">
        <is>
          <t>646f84b9b65ea</t>
        </is>
      </c>
      <c r="B1228" s="1" t="inlineStr">
        <is>
          <t>ARETES T ROSE GOLD</t>
        </is>
      </c>
      <c r="C1228" s="1" t="n"/>
      <c r="D1228" s="1" t="n"/>
      <c r="E1228" s="1" t="n"/>
      <c r="F1228" s="1" t="n"/>
      <c r="G1228" s="1" t="n"/>
      <c r="H1228" s="6" t="n">
        <v>89.410145</v>
      </c>
      <c r="I1228" s="1" t="n"/>
      <c r="J1228" s="1" t="n"/>
      <c r="K1228" s="1" t="n"/>
      <c r="L1228" s="1" t="n"/>
      <c r="M1228" s="1" t="n"/>
      <c r="N1228" s="1" t="n"/>
    </row>
    <row r="1229">
      <c r="A1229" s="1" t="inlineStr">
        <is>
          <t>646f84bcb068f</t>
        </is>
      </c>
      <c r="B1229" s="1" t="inlineStr">
        <is>
          <t>ARETES T GOLD</t>
        </is>
      </c>
      <c r="C1229" s="6" t="n">
        <v>90.63232567</v>
      </c>
      <c r="D1229" s="1" t="n"/>
      <c r="E1229" s="1" t="n"/>
      <c r="F1229" s="1" t="n"/>
      <c r="G1229" s="1" t="n"/>
      <c r="H1229" s="6" t="n">
        <v>89.410145</v>
      </c>
      <c r="I1229" s="1" t="n"/>
      <c r="J1229" s="1" t="n"/>
      <c r="K1229" s="1" t="n"/>
      <c r="L1229" s="1" t="n"/>
      <c r="M1229" s="1" t="n"/>
      <c r="N1229" s="1" t="n"/>
    </row>
    <row r="1230">
      <c r="A1230" s="1" t="inlineStr">
        <is>
          <t>646f84bdcd369</t>
        </is>
      </c>
      <c r="B1230" s="1" t="inlineStr">
        <is>
          <t>COLLAR SMILE CON ZIRCONIA SILVER</t>
        </is>
      </c>
      <c r="C1230" s="1" t="n"/>
      <c r="D1230" s="1" t="n"/>
      <c r="E1230" s="6" t="n">
        <v>335.3833419</v>
      </c>
      <c r="F1230" s="1" t="n"/>
      <c r="G1230" s="1" t="n"/>
      <c r="H1230" s="1" t="n"/>
      <c r="I1230" s="1" t="n"/>
      <c r="J1230" s="1" t="n"/>
      <c r="K1230" s="1" t="n"/>
      <c r="L1230" s="6" t="n">
        <v>339.2133757</v>
      </c>
      <c r="M1230" s="1" t="n"/>
      <c r="N1230" s="1" t="n"/>
    </row>
    <row r="1231">
      <c r="A1231" s="1" t="inlineStr">
        <is>
          <t>646f84c070459</t>
        </is>
      </c>
      <c r="B1231" s="1" t="inlineStr">
        <is>
          <t>ARETES LV COLGANTE</t>
        </is>
      </c>
      <c r="C1231" s="1" t="n"/>
      <c r="D1231" s="1" t="n"/>
      <c r="E1231" s="1" t="n"/>
      <c r="F1231" s="1" t="n"/>
      <c r="G1231" s="1" t="n"/>
      <c r="H1231" s="6" t="n">
        <v>89.410145</v>
      </c>
      <c r="I1231" s="1" t="n"/>
      <c r="J1231" s="1" t="n"/>
      <c r="K1231" s="1" t="n"/>
      <c r="L1231" s="1" t="n"/>
      <c r="M1231" s="1" t="n"/>
      <c r="N1231" s="1" t="n"/>
    </row>
    <row r="1232">
      <c r="A1232" s="1" t="inlineStr">
        <is>
          <t>646f84c300fa5</t>
        </is>
      </c>
      <c r="B1232" s="1" t="inlineStr">
        <is>
          <t>ARETES BV GOLD-BLACK</t>
        </is>
      </c>
      <c r="C1232" s="1" t="n"/>
      <c r="D1232" s="6" t="n">
        <v>85.92408387</v>
      </c>
      <c r="E1232" s="1" t="n"/>
      <c r="F1232" s="1" t="n"/>
      <c r="G1232" s="1" t="n"/>
      <c r="H1232" s="1" t="n"/>
      <c r="I1232" s="1" t="n"/>
      <c r="J1232" s="6" t="n">
        <v>93.37072066</v>
      </c>
      <c r="K1232" s="6" t="n">
        <v>88.34048035000001</v>
      </c>
      <c r="L1232" s="6" t="n">
        <v>87.29713666000001</v>
      </c>
      <c r="M1232" s="1" t="n"/>
      <c r="N1232" s="6" t="n">
        <v>136.2029957</v>
      </c>
    </row>
    <row r="1233">
      <c r="A1233" s="1" t="inlineStr">
        <is>
          <t>646f850714a60</t>
        </is>
      </c>
      <c r="B1233" s="1" t="inlineStr">
        <is>
          <t>PULSERA COCO SILVER</t>
        </is>
      </c>
      <c r="C1233" s="1" t="n"/>
      <c r="D1233" s="1" t="n"/>
      <c r="E1233" s="1" t="n"/>
      <c r="F1233" s="1" t="n"/>
      <c r="G1233" s="1" t="n"/>
      <c r="H1233" s="6" t="n">
        <v>372.2239874</v>
      </c>
      <c r="I1233" s="1" t="n"/>
      <c r="J1233" s="1" t="n"/>
      <c r="K1233" s="1" t="n"/>
      <c r="L1233" s="1" t="n"/>
      <c r="M1233" s="1" t="n"/>
      <c r="N1233" s="1" t="n"/>
    </row>
    <row r="1234">
      <c r="A1234" s="1" t="inlineStr">
        <is>
          <t>6478f28defde2</t>
        </is>
      </c>
      <c r="B1234" s="1" t="inlineStr">
        <is>
          <t>COLLAR BV BICOLOR ROSEGOLD</t>
        </is>
      </c>
      <c r="C1234" s="1" t="n"/>
      <c r="D1234" s="1" t="n"/>
      <c r="E1234" s="1" t="n"/>
      <c r="F1234" s="1" t="n"/>
      <c r="G1234" s="1" t="n"/>
      <c r="H1234" s="6" t="n">
        <v>137.8027156</v>
      </c>
      <c r="I1234" s="1" t="n"/>
      <c r="J1234" s="1" t="n"/>
      <c r="K1234" s="1" t="n"/>
      <c r="L1234" s="1" t="n"/>
      <c r="M1234" s="1" t="n"/>
      <c r="N1234" s="1" t="n"/>
    </row>
    <row r="1235">
      <c r="A1235" s="1" t="inlineStr">
        <is>
          <t>6478f2edc6631</t>
        </is>
      </c>
      <c r="B1235" s="1" t="inlineStr">
        <is>
          <t>PULSERA V LISA GOLD</t>
        </is>
      </c>
      <c r="C1235" s="1" t="n"/>
      <c r="D1235" s="1" t="n"/>
      <c r="E1235" s="6" t="n">
        <v>178.1724004</v>
      </c>
      <c r="F1235" s="1" t="n"/>
      <c r="G1235" s="1" t="n"/>
      <c r="H1235" s="1" t="n"/>
      <c r="I1235" s="1" t="n"/>
      <c r="J1235" s="1" t="n"/>
      <c r="K1235" s="1" t="n"/>
      <c r="L1235" s="6" t="n">
        <v>233.2091958</v>
      </c>
      <c r="M1235" s="1" t="n"/>
      <c r="N1235" s="1" t="n"/>
    </row>
    <row r="1236">
      <c r="A1236" s="1" t="inlineStr">
        <is>
          <t>648cc31f234b1</t>
        </is>
      </c>
      <c r="B1236" s="1" t="inlineStr">
        <is>
          <t>COLLAR BV ROSE GOLD</t>
        </is>
      </c>
      <c r="C1236" s="1" t="n"/>
      <c r="D1236" s="6" t="n">
        <v>126.5813146</v>
      </c>
      <c r="E1236" s="1" t="n"/>
      <c r="F1236" s="1" t="n"/>
      <c r="G1236" s="1" t="n"/>
      <c r="H1236" s="1" t="n"/>
      <c r="I1236" s="1" t="n"/>
      <c r="J1236" s="1" t="n"/>
      <c r="K1236" s="1" t="n"/>
      <c r="L1236" s="6" t="n">
        <v>125.9357718</v>
      </c>
      <c r="M1236" s="1" t="n"/>
      <c r="N1236" s="1" t="n"/>
    </row>
    <row r="1237">
      <c r="A1237" s="1" t="inlineStr">
        <is>
          <t>648cc32b9ef2d</t>
        </is>
      </c>
      <c r="B1237" s="1" t="inlineStr">
        <is>
          <t>COLLAR CC DORADO</t>
        </is>
      </c>
      <c r="C1237" s="1" t="n"/>
      <c r="D1237" s="1" t="n"/>
      <c r="E1237" s="6" t="n">
        <v>58.95410308</v>
      </c>
      <c r="F1237" s="1" t="n"/>
      <c r="G1237" s="1" t="n"/>
      <c r="H1237" s="6" t="n">
        <v>59.82171227</v>
      </c>
      <c r="I1237" s="1" t="n"/>
      <c r="J1237" s="1" t="n"/>
      <c r="K1237" s="1" t="n"/>
      <c r="L1237" s="6" t="n">
        <v>59.6273512</v>
      </c>
      <c r="M1237" s="1" t="n"/>
      <c r="N1237" s="1" t="n"/>
    </row>
    <row r="1238">
      <c r="A1238" s="1" t="inlineStr">
        <is>
          <t>648cc38968e97</t>
        </is>
      </c>
      <c r="B1238" s="1" t="inlineStr">
        <is>
          <t>LENTES DE SOL PR BLANCO</t>
        </is>
      </c>
      <c r="C1238" s="1" t="n"/>
      <c r="D1238" s="1" t="n"/>
      <c r="E1238" s="1" t="n"/>
      <c r="F1238" s="1" t="n"/>
      <c r="G1238" s="1" t="n"/>
      <c r="H1238" s="6" t="n">
        <v>593.6116982</v>
      </c>
      <c r="I1238" s="1" t="n"/>
      <c r="J1238" s="1" t="n"/>
      <c r="K1238" s="1" t="n"/>
      <c r="L1238" s="1" t="n"/>
      <c r="M1238" s="1" t="n"/>
      <c r="N1238" s="1" t="n"/>
    </row>
    <row r="1239">
      <c r="A1239" s="1" t="inlineStr">
        <is>
          <t>648cc5b33a8a2</t>
        </is>
      </c>
      <c r="B1239" s="1" t="inlineStr">
        <is>
          <t>ARETES SQUARE V GOLD</t>
        </is>
      </c>
      <c r="C1239" s="1" t="n"/>
      <c r="D1239" s="6" t="n">
        <v>139.4811009</v>
      </c>
      <c r="E1239" s="1" t="n"/>
      <c r="F1239" s="1" t="n"/>
      <c r="G1239" s="1" t="n"/>
      <c r="H1239" s="1" t="n"/>
      <c r="I1239" s="1" t="n"/>
      <c r="J1239" s="1" t="n"/>
      <c r="K1239" s="6" t="n">
        <v>157.7679581</v>
      </c>
      <c r="L1239" s="1" t="n"/>
      <c r="M1239" s="1" t="n"/>
      <c r="N1239" s="1" t="n"/>
    </row>
    <row r="1240">
      <c r="A1240" s="1" t="inlineStr">
        <is>
          <t>648cc5b58feaa</t>
        </is>
      </c>
      <c r="B1240" s="1" t="inlineStr">
        <is>
          <t>ARETES MM COLGANTE</t>
        </is>
      </c>
      <c r="C1240" s="1" t="n"/>
      <c r="D1240" s="1" t="n"/>
      <c r="E1240" s="6" t="n">
        <v>67.00247747</v>
      </c>
      <c r="F1240" s="1" t="n"/>
      <c r="G1240" s="1" t="n"/>
      <c r="H1240" s="1" t="n"/>
      <c r="I1240" s="1" t="n"/>
      <c r="J1240" s="1" t="n"/>
      <c r="K1240" s="6" t="n">
        <v>64.63590747000001</v>
      </c>
      <c r="L1240" s="1" t="n"/>
      <c r="M1240" s="1" t="n"/>
      <c r="N1240" s="1" t="n"/>
    </row>
    <row r="1241">
      <c r="A1241" s="1" t="inlineStr">
        <is>
          <t>648cc5bf129eb</t>
        </is>
      </c>
      <c r="B1241" s="1" t="inlineStr">
        <is>
          <t>COLLAR TRÉBOL GOLD</t>
        </is>
      </c>
      <c r="C1241" s="1" t="n"/>
      <c r="D1241" s="1" t="n"/>
      <c r="E1241" s="1" t="n"/>
      <c r="F1241" s="1" t="n"/>
      <c r="G1241" s="1" t="n"/>
      <c r="H1241" s="6" t="n">
        <v>84.80167117000001</v>
      </c>
      <c r="I1241" s="6" t="n">
        <v>84.27398426000001</v>
      </c>
      <c r="J1241" s="1" t="n"/>
      <c r="K1241" s="6" t="n">
        <v>84.12589436</v>
      </c>
      <c r="L1241" s="6" t="n">
        <v>84.87456907000001</v>
      </c>
      <c r="M1241" s="6" t="n">
        <v>84.05842584</v>
      </c>
      <c r="N1241" s="1" t="n"/>
    </row>
    <row r="1242">
      <c r="A1242" s="1" t="inlineStr">
        <is>
          <t>648cc5c03c2b5</t>
        </is>
      </c>
      <c r="B1242" s="1" t="inlineStr">
        <is>
          <t>CHOKER MM ZIRCONIAS</t>
        </is>
      </c>
      <c r="C1242" s="1" t="n"/>
      <c r="D1242" s="1" t="n"/>
      <c r="E1242" s="1" t="n"/>
      <c r="F1242" s="1" t="n"/>
      <c r="G1242" s="1" t="n"/>
      <c r="H1242" s="1" t="n"/>
      <c r="I1242" s="1" t="n"/>
      <c r="J1242" s="1" t="n"/>
      <c r="K1242" s="6" t="n">
        <v>110.6112391</v>
      </c>
      <c r="L1242" s="1" t="n"/>
      <c r="M1242" s="1" t="n"/>
      <c r="N1242" s="1" t="n"/>
    </row>
    <row r="1243">
      <c r="A1243" s="1" t="inlineStr">
        <is>
          <t>648cc5c47664a</t>
        </is>
      </c>
      <c r="B1243" s="1" t="inlineStr">
        <is>
          <t>PULSERA CD DE TELA BEIGE</t>
        </is>
      </c>
      <c r="C1243" s="1" t="n"/>
      <c r="D1243" s="1" t="n"/>
      <c r="E1243" s="1" t="n"/>
      <c r="F1243" s="1" t="n"/>
      <c r="G1243" s="1" t="n"/>
      <c r="H1243" s="1" t="n"/>
      <c r="I1243" s="6" t="n">
        <v>106.8855839</v>
      </c>
      <c r="J1243" s="1" t="n"/>
      <c r="K1243" s="6" t="n">
        <v>108.177251</v>
      </c>
      <c r="L1243" s="1" t="n"/>
      <c r="M1243" s="1" t="n"/>
      <c r="N1243" s="1" t="n"/>
    </row>
    <row r="1244">
      <c r="A1244" s="1" t="inlineStr">
        <is>
          <t>648cc5c57f64d</t>
        </is>
      </c>
      <c r="B1244" s="1" t="inlineStr">
        <is>
          <t>PULSERA CD DE TELA DARK BLUE</t>
        </is>
      </c>
      <c r="C1244" s="1" t="n"/>
      <c r="D1244" s="1" t="n"/>
      <c r="E1244" s="1" t="n"/>
      <c r="F1244" s="1" t="n"/>
      <c r="G1244" s="1" t="n"/>
      <c r="H1244" s="1" t="n"/>
      <c r="I1244" s="6" t="n">
        <v>106.8855839</v>
      </c>
      <c r="J1244" s="1" t="n"/>
      <c r="K1244" s="1" t="n"/>
      <c r="L1244" s="1" t="n"/>
      <c r="M1244" s="1" t="n"/>
      <c r="N1244" s="1" t="n"/>
    </row>
    <row r="1245">
      <c r="A1245" s="1" t="inlineStr">
        <is>
          <t>648cc5f7495e2</t>
        </is>
      </c>
      <c r="B1245" s="1" t="inlineStr">
        <is>
          <t>PULSERA CD DE TELA PINK</t>
        </is>
      </c>
      <c r="C1245" s="1" t="n"/>
      <c r="D1245" s="1" t="n"/>
      <c r="E1245" s="1" t="n"/>
      <c r="F1245" s="1" t="n"/>
      <c r="G1245" s="1" t="n"/>
      <c r="H1245" s="1" t="n"/>
      <c r="I1245" s="1" t="n"/>
      <c r="J1245" s="1" t="n"/>
      <c r="K1245" s="6" t="n">
        <v>108.177251</v>
      </c>
      <c r="L1245" s="1" t="n"/>
      <c r="M1245" s="1" t="n"/>
      <c r="N1245" s="1" t="n"/>
    </row>
    <row r="1246">
      <c r="A1246" s="1" t="inlineStr">
        <is>
          <t>648cc5ff73cd7</t>
        </is>
      </c>
      <c r="B1246" s="1" t="inlineStr">
        <is>
          <t>COLLAR YSL GOLD (NECKLACE)</t>
        </is>
      </c>
      <c r="C1246" s="1" t="n"/>
      <c r="D1246" s="1" t="n"/>
      <c r="E1246" s="1" t="n"/>
      <c r="F1246" s="1" t="n"/>
      <c r="G1246" s="1" t="n"/>
      <c r="H1246" s="1" t="n"/>
      <c r="I1246" s="1" t="n"/>
      <c r="J1246" s="1" t="n"/>
      <c r="K1246" s="6" t="n">
        <v>150.5858053</v>
      </c>
      <c r="L1246" s="6" t="n">
        <v>148.8073142</v>
      </c>
      <c r="M1246" s="1" t="n"/>
      <c r="N1246" s="1" t="n"/>
    </row>
    <row r="1247">
      <c r="A1247" s="1" t="inlineStr">
        <is>
          <t>648cc600a2ec5</t>
        </is>
      </c>
      <c r="B1247" s="1" t="inlineStr">
        <is>
          <t>GORRO PR BLACK</t>
        </is>
      </c>
      <c r="C1247" s="1" t="n"/>
      <c r="D1247" s="1" t="n"/>
      <c r="E1247" s="1" t="n"/>
      <c r="F1247" s="1" t="n"/>
      <c r="G1247" s="1" t="n"/>
      <c r="H1247" s="1" t="n"/>
      <c r="I1247" s="1" t="n"/>
      <c r="J1247" s="1" t="n"/>
      <c r="K1247" s="6" t="n">
        <v>297.4874402</v>
      </c>
      <c r="L1247" s="1" t="n"/>
      <c r="M1247" s="1" t="n"/>
      <c r="N1247" s="1" t="n"/>
    </row>
    <row r="1248">
      <c r="A1248" s="1" t="inlineStr">
        <is>
          <t>648cc60ce32b1</t>
        </is>
      </c>
      <c r="B1248" s="1" t="inlineStr">
        <is>
          <t>CARTERA LV BROWN</t>
        </is>
      </c>
      <c r="C1248" s="1" t="n"/>
      <c r="D1248" s="1" t="n"/>
      <c r="E1248" s="6" t="n">
        <v>364.4486222</v>
      </c>
      <c r="F1248" s="1" t="n"/>
      <c r="G1248" s="1" t="n"/>
      <c r="H1248" s="1" t="n"/>
      <c r="I1248" s="1" t="n"/>
      <c r="J1248" s="1" t="n"/>
      <c r="K1248" s="6" t="n">
        <v>351.5760657</v>
      </c>
      <c r="L1248" s="1" t="n"/>
      <c r="M1248" s="1" t="n"/>
      <c r="N1248" s="1" t="n"/>
    </row>
    <row r="1249">
      <c r="A1249" s="1" t="inlineStr">
        <is>
          <t>648cc60e5d7a4</t>
        </is>
      </c>
      <c r="B1249" s="1" t="inlineStr">
        <is>
          <t>CINTO GC BLACK</t>
        </is>
      </c>
      <c r="C1249" s="1" t="n"/>
      <c r="D1249" s="1" t="n"/>
      <c r="E1249" s="6" t="n">
        <v>336.4141128</v>
      </c>
      <c r="F1249" s="1" t="n"/>
      <c r="G1249" s="1" t="n"/>
      <c r="H1249" s="1" t="n"/>
      <c r="I1249" s="1" t="n"/>
      <c r="J1249" s="1" t="n"/>
      <c r="K1249" s="1" t="n"/>
      <c r="L1249" s="1" t="n"/>
      <c r="M1249" s="1" t="n"/>
      <c r="N1249" s="1" t="n"/>
    </row>
    <row r="1250">
      <c r="A1250" s="1" t="inlineStr">
        <is>
          <t>648cc614da168</t>
        </is>
      </c>
      <c r="B1250" s="1" t="inlineStr">
        <is>
          <t>BOLSO YSL BLACK</t>
        </is>
      </c>
      <c r="C1250" s="1" t="n"/>
      <c r="D1250" s="6" t="n">
        <v>1359.671234</v>
      </c>
      <c r="E1250" s="1" t="n"/>
      <c r="F1250" s="1" t="n"/>
      <c r="G1250" s="1" t="n"/>
      <c r="H1250" s="1" t="n"/>
      <c r="I1250" s="1" t="n"/>
      <c r="J1250" s="6" t="n">
        <v>1249.416608</v>
      </c>
      <c r="K1250" s="1" t="n"/>
      <c r="L1250" s="1" t="n"/>
      <c r="M1250" s="1" t="n"/>
      <c r="N1250" s="1" t="n"/>
    </row>
    <row r="1251">
      <c r="A1251" s="1" t="inlineStr">
        <is>
          <t>64e78c9c19fe7</t>
        </is>
      </c>
      <c r="B1251" s="1" t="inlineStr">
        <is>
          <t>ARETES V CON PERLA COLGANTE</t>
        </is>
      </c>
      <c r="C1251" s="1" t="n"/>
      <c r="D1251" s="1" t="n"/>
      <c r="E1251" s="1" t="n"/>
      <c r="F1251" s="1" t="n"/>
      <c r="G1251" s="6" t="n">
        <v>155.8979258</v>
      </c>
      <c r="H1251" s="1" t="n"/>
      <c r="I1251" s="1" t="n"/>
      <c r="J1251" s="6" t="n">
        <v>184.4641067</v>
      </c>
      <c r="K1251" s="6" t="n">
        <v>164.950111</v>
      </c>
      <c r="L1251" s="6" t="n">
        <v>155.9046424</v>
      </c>
      <c r="M1251" s="1" t="n"/>
      <c r="N1251" s="1" t="n"/>
    </row>
    <row r="1252">
      <c r="A1252" s="1" t="inlineStr">
        <is>
          <t>64e78ca1ee3ac</t>
        </is>
      </c>
      <c r="B1252" s="1" t="inlineStr">
        <is>
          <t>BRAZALETE CD WHITE</t>
        </is>
      </c>
      <c r="C1252" s="1" t="n"/>
      <c r="D1252" s="1" t="n"/>
      <c r="E1252" s="1" t="n"/>
      <c r="F1252" s="1" t="n"/>
      <c r="G1252" s="6" t="n">
        <v>155.8979258</v>
      </c>
      <c r="H1252" s="1" t="n"/>
      <c r="I1252" s="1" t="n"/>
      <c r="J1252" s="1" t="n"/>
      <c r="K1252" s="1" t="n"/>
      <c r="L1252" s="6" t="n">
        <v>157.9140293</v>
      </c>
      <c r="M1252" s="1" t="n"/>
      <c r="N1252" s="1" t="n"/>
    </row>
    <row r="1253">
      <c r="A1253" s="1" t="inlineStr">
        <is>
          <t>64e78ca4a13f0</t>
        </is>
      </c>
      <c r="B1253" s="1" t="inlineStr">
        <is>
          <t>BRAZALETE CD BLACK</t>
        </is>
      </c>
      <c r="C1253" s="1" t="n"/>
      <c r="D1253" s="6" t="n">
        <v>126.5813146</v>
      </c>
      <c r="E1253" s="1" t="n"/>
      <c r="F1253" s="1" t="n"/>
      <c r="G1253" s="6" t="n">
        <v>137.8440845</v>
      </c>
      <c r="H1253" s="1" t="n"/>
      <c r="I1253" s="1" t="n"/>
      <c r="J1253" s="1" t="n"/>
      <c r="K1253" s="1" t="n"/>
      <c r="L1253" s="1" t="n"/>
      <c r="M1253" s="1" t="n"/>
      <c r="N1253" s="1" t="n"/>
    </row>
    <row r="1254">
      <c r="A1254" s="1" t="inlineStr">
        <is>
          <t>64e78ca690d8e</t>
        </is>
      </c>
      <c r="B1254" s="1" t="inlineStr">
        <is>
          <t>ARETES BV SILVER-BLACK</t>
        </is>
      </c>
      <c r="C1254" s="1" t="n"/>
      <c r="D1254" s="6" t="n">
        <v>126.5813146</v>
      </c>
      <c r="E1254" s="1" t="n"/>
      <c r="F1254" s="1" t="n"/>
      <c r="G1254" s="6" t="n">
        <v>87.29337577</v>
      </c>
      <c r="H1254" s="1" t="n"/>
      <c r="I1254" s="1" t="n"/>
      <c r="J1254" s="1" t="n"/>
      <c r="K1254" s="1" t="n"/>
      <c r="L1254" s="1" t="n"/>
      <c r="M1254" s="1" t="n"/>
      <c r="N1254" s="6" t="n">
        <v>136.2029957</v>
      </c>
    </row>
    <row r="1255">
      <c r="A1255" s="1" t="inlineStr">
        <is>
          <t>64e78ca71edc7</t>
        </is>
      </c>
      <c r="B1255" s="1" t="inlineStr">
        <is>
          <t>ARETES BV SILVER- WHITE</t>
        </is>
      </c>
      <c r="C1255" s="1" t="n"/>
      <c r="D1255" s="1" t="n"/>
      <c r="E1255" s="1" t="n"/>
      <c r="F1255" s="1" t="n"/>
      <c r="G1255" s="6" t="n">
        <v>87.29337577</v>
      </c>
      <c r="H1255" s="1" t="n"/>
      <c r="I1255" s="1" t="n"/>
      <c r="J1255" s="6" t="n">
        <v>93.37072066</v>
      </c>
      <c r="K1255" s="6" t="n">
        <v>88.34048035000001</v>
      </c>
      <c r="L1255" s="6" t="n">
        <v>89.54740603</v>
      </c>
      <c r="M1255" s="1" t="n"/>
      <c r="N1255" s="1" t="n"/>
    </row>
    <row r="1256">
      <c r="A1256" s="1" t="inlineStr">
        <is>
          <t>64e78ca83b5da-1</t>
        </is>
      </c>
      <c r="B1256" s="1" t="inlineStr">
        <is>
          <t>ARETES GC GOLD</t>
        </is>
      </c>
      <c r="C1256" s="1" t="n"/>
      <c r="D1256" s="1" t="n"/>
      <c r="E1256" s="1" t="n"/>
      <c r="F1256" s="1" t="n"/>
      <c r="G1256" s="1" t="n"/>
      <c r="H1256" s="1" t="n"/>
      <c r="I1256" s="1" t="n"/>
      <c r="J1256" s="6" t="n">
        <v>141.4477855</v>
      </c>
      <c r="K1256" s="1" t="n"/>
      <c r="L1256" s="6" t="n">
        <v>132.2468818</v>
      </c>
      <c r="M1256" s="1" t="n"/>
      <c r="N1256" s="6" t="n">
        <v>72.85276514</v>
      </c>
    </row>
    <row r="1257">
      <c r="A1257" s="1" t="inlineStr">
        <is>
          <t>64e78caddd20d</t>
        </is>
      </c>
      <c r="B1257" s="1" t="inlineStr">
        <is>
          <t>COLLAR LV FLOWER SILVER</t>
        </is>
      </c>
      <c r="C1257" s="1" t="n"/>
      <c r="D1257" s="1" t="n"/>
      <c r="E1257" s="1" t="n"/>
      <c r="F1257" s="1" t="n"/>
      <c r="G1257" s="1" t="n"/>
      <c r="H1257" s="1" t="n"/>
      <c r="I1257" s="1" t="n"/>
      <c r="J1257" s="6" t="n">
        <v>159.1603883</v>
      </c>
      <c r="K1257" s="6" t="n">
        <v>174.5263148</v>
      </c>
      <c r="L1257" s="6" t="n">
        <v>157.4966572</v>
      </c>
      <c r="M1257" s="1" t="n"/>
      <c r="N1257" s="1" t="n"/>
    </row>
    <row r="1258">
      <c r="A1258" s="1" t="inlineStr">
        <is>
          <t>64e78caddd8f1</t>
        </is>
      </c>
      <c r="B1258" s="1" t="inlineStr">
        <is>
          <t>ARETES LV CORAZÓN GOLD</t>
        </is>
      </c>
      <c r="C1258" s="1" t="n"/>
      <c r="D1258" s="1" t="n"/>
      <c r="E1258" s="1" t="n"/>
      <c r="F1258" s="1" t="n"/>
      <c r="G1258" s="1" t="n"/>
      <c r="H1258" s="1" t="n"/>
      <c r="I1258" s="1" t="n"/>
      <c r="J1258" s="1" t="n"/>
      <c r="K1258" s="1" t="n"/>
      <c r="L1258" s="6" t="n">
        <v>132.2468818</v>
      </c>
      <c r="M1258" s="1" t="n"/>
      <c r="N1258" s="1" t="n"/>
    </row>
    <row r="1259">
      <c r="A1259" s="1" t="inlineStr">
        <is>
          <t>64e78caeba151</t>
        </is>
      </c>
      <c r="B1259" s="1" t="inlineStr">
        <is>
          <t>COLLAR LV FLOWER ROSE-GOLD</t>
        </is>
      </c>
      <c r="C1259" s="1" t="n"/>
      <c r="D1259" s="6" t="n">
        <v>172.0810243</v>
      </c>
      <c r="E1259" s="1" t="n"/>
      <c r="F1259" s="1" t="n"/>
      <c r="G1259" s="6" t="n">
        <v>132.2411844</v>
      </c>
      <c r="H1259" s="1" t="n"/>
      <c r="I1259" s="1" t="n"/>
      <c r="J1259" s="6" t="n">
        <v>159.1603883</v>
      </c>
      <c r="K1259" s="6" t="n">
        <v>174.5263148</v>
      </c>
      <c r="L1259" s="6" t="n">
        <v>157.4966572</v>
      </c>
      <c r="M1259" s="1" t="n"/>
      <c r="N1259" s="1" t="n"/>
    </row>
    <row r="1260">
      <c r="A1260" s="1" t="inlineStr">
        <is>
          <t>64e78caf2dfa6</t>
        </is>
      </c>
      <c r="B1260" s="1" t="inlineStr">
        <is>
          <t>COLLAR LV FLOWER GOLD</t>
        </is>
      </c>
      <c r="C1260" s="1" t="n"/>
      <c r="D1260" s="1" t="n"/>
      <c r="E1260" s="1" t="n"/>
      <c r="F1260" s="1" t="n"/>
      <c r="G1260" s="6" t="n">
        <v>132.2411844</v>
      </c>
      <c r="H1260" s="1" t="n"/>
      <c r="I1260" s="1" t="n"/>
      <c r="J1260" s="6" t="n">
        <v>159.1603883</v>
      </c>
      <c r="K1260" s="6" t="n">
        <v>174.5263148</v>
      </c>
      <c r="L1260" s="6" t="n">
        <v>157.4966572</v>
      </c>
      <c r="M1260" s="1" t="n"/>
      <c r="N1260" s="6" t="n">
        <v>170.3146583</v>
      </c>
    </row>
    <row r="1261">
      <c r="A1261" s="1" t="inlineStr">
        <is>
          <t>64e78d3baafe7</t>
        </is>
      </c>
      <c r="B1261" s="1" t="inlineStr">
        <is>
          <t>ARETES BLOSSOM STAR ROSE GOLD</t>
        </is>
      </c>
      <c r="C1261" s="1" t="n"/>
      <c r="D1261" s="6" t="n">
        <v>171.2178591</v>
      </c>
      <c r="E1261" s="1" t="n"/>
      <c r="F1261" s="1" t="n"/>
      <c r="G1261" s="1" t="n"/>
      <c r="H1261" s="6" t="n">
        <v>180.7945082</v>
      </c>
      <c r="I1261" s="6" t="n">
        <v>183.8948834</v>
      </c>
      <c r="J1261" s="1" t="n"/>
      <c r="K1261" s="6" t="n">
        <v>176.4606298</v>
      </c>
      <c r="L1261" s="1" t="n"/>
      <c r="M1261" s="1" t="n"/>
      <c r="N1261" s="1" t="n"/>
    </row>
    <row r="1262">
      <c r="A1262" s="1" t="inlineStr">
        <is>
          <t>64e78d3bae5c1</t>
        </is>
      </c>
      <c r="B1262" s="1" t="inlineStr">
        <is>
          <t>ARETES BLOSSOM STAR GOLD</t>
        </is>
      </c>
      <c r="C1262" s="1" t="n"/>
      <c r="D1262" s="6" t="n">
        <v>171.2178591</v>
      </c>
      <c r="E1262" s="1" t="n"/>
      <c r="F1262" s="1" t="n"/>
      <c r="G1262" s="1" t="n"/>
      <c r="H1262" s="6" t="n">
        <v>180.7945082</v>
      </c>
      <c r="I1262" s="1" t="n"/>
      <c r="J1262" s="1" t="n"/>
      <c r="K1262" s="1" t="n"/>
      <c r="L1262" s="1" t="n"/>
      <c r="M1262" s="1" t="n"/>
      <c r="N1262" s="1" t="n"/>
    </row>
    <row r="1263">
      <c r="A1263" s="1" t="inlineStr">
        <is>
          <t>64e78d3c1c538</t>
        </is>
      </c>
      <c r="B1263" s="1" t="inlineStr">
        <is>
          <t>ARETES BLOSSOM STAR SILVER</t>
        </is>
      </c>
      <c r="C1263" s="1" t="n"/>
      <c r="D1263" s="6" t="n">
        <v>171.2178591</v>
      </c>
      <c r="E1263" s="1" t="n"/>
      <c r="F1263" s="1" t="n"/>
      <c r="G1263" s="1" t="n"/>
      <c r="H1263" s="6" t="n">
        <v>180.7945082</v>
      </c>
      <c r="I1263" s="1" t="n"/>
      <c r="J1263" s="6" t="n">
        <v>182.6304274</v>
      </c>
      <c r="K1263" s="6" t="n">
        <v>176.4606298</v>
      </c>
      <c r="L1263" s="1" t="n"/>
      <c r="M1263" s="1" t="n"/>
      <c r="N1263" s="1" t="n"/>
    </row>
    <row r="1264">
      <c r="A1264" s="1" t="inlineStr">
        <is>
          <t>64e78d44e18fa</t>
        </is>
      </c>
      <c r="B1264" s="1" t="inlineStr">
        <is>
          <t>COLLAR LV CON ZIRCONIA GOLD</t>
        </is>
      </c>
      <c r="C1264" s="1" t="n"/>
      <c r="D1264" s="1" t="n"/>
      <c r="E1264" s="1" t="n"/>
      <c r="F1264" s="1" t="n"/>
      <c r="G1264" s="1" t="n"/>
      <c r="H1264" s="1" t="n"/>
      <c r="I1264" s="1" t="n"/>
      <c r="J1264" s="6" t="n">
        <v>174.3426193</v>
      </c>
      <c r="K1264" s="6" t="n">
        <v>164.950111</v>
      </c>
      <c r="L1264" s="6" t="n">
        <v>167.2036931</v>
      </c>
      <c r="M1264" s="1" t="n"/>
      <c r="N1264" s="1" t="n"/>
    </row>
    <row r="1265">
      <c r="A1265" s="1" t="inlineStr">
        <is>
          <t>64e78dfc1baee</t>
        </is>
      </c>
      <c r="B1265" s="1" t="inlineStr">
        <is>
          <t>LENTES PR MEN</t>
        </is>
      </c>
      <c r="C1265" s="1" t="n"/>
      <c r="D1265" s="6" t="n">
        <v>289.5596147</v>
      </c>
      <c r="E1265" s="1" t="n"/>
      <c r="F1265" s="1" t="n"/>
      <c r="G1265" s="1" t="n"/>
      <c r="H1265" s="6" t="n">
        <v>305.7554182</v>
      </c>
      <c r="I1265" s="1" t="n"/>
      <c r="J1265" s="6" t="n">
        <v>308.8602816</v>
      </c>
      <c r="K1265" s="1" t="n"/>
      <c r="L1265" s="1" t="n"/>
      <c r="M1265" s="1" t="n"/>
      <c r="N1265" s="1" t="n"/>
    </row>
    <row r="1266">
      <c r="A1266" s="1" t="inlineStr">
        <is>
          <t>64e78e112a71e</t>
        </is>
      </c>
      <c r="B1266" s="1" t="inlineStr">
        <is>
          <t>PULSERA DY SILVER</t>
        </is>
      </c>
      <c r="C1266" s="1" t="n"/>
      <c r="D1266" s="1" t="n"/>
      <c r="E1266" s="1" t="n"/>
      <c r="F1266" s="1" t="n"/>
      <c r="G1266" s="1" t="n"/>
      <c r="H1266" s="1" t="n"/>
      <c r="I1266" s="1" t="n"/>
      <c r="J1266" s="1" t="n"/>
      <c r="K1266" s="6" t="n">
        <v>384.0613707</v>
      </c>
      <c r="L1266" s="1" t="n"/>
      <c r="M1266" s="1" t="n"/>
      <c r="N1266" s="1" t="n"/>
    </row>
    <row r="1267">
      <c r="A1267" s="1" t="inlineStr">
        <is>
          <t>64e78e722fe81</t>
        </is>
      </c>
      <c r="B1267" s="1" t="inlineStr">
        <is>
          <t>BROCHE CD GOLD CON PERLA</t>
        </is>
      </c>
      <c r="C1267" s="1" t="n"/>
      <c r="D1267" s="6" t="n">
        <v>221.576053</v>
      </c>
      <c r="E1267" s="1" t="n"/>
      <c r="F1267" s="1" t="n"/>
      <c r="G1267" s="1" t="n"/>
      <c r="H1267" s="1" t="n"/>
      <c r="I1267" s="1" t="n"/>
      <c r="J1267" s="1" t="n"/>
      <c r="K1267" s="6" t="n">
        <v>228.360815</v>
      </c>
      <c r="L1267" s="1" t="n"/>
      <c r="M1267" s="1" t="n"/>
      <c r="N1267" s="1" t="n"/>
    </row>
    <row r="1268">
      <c r="A1268" s="1" t="inlineStr">
        <is>
          <t>64e78e725d8db</t>
        </is>
      </c>
      <c r="B1268" s="1" t="inlineStr">
        <is>
          <t>ARETES CD CON PERLA GOLD DR</t>
        </is>
      </c>
      <c r="C1268" s="1" t="n"/>
      <c r="D1268" s="6" t="n">
        <v>153.0889093</v>
      </c>
      <c r="E1268" s="1" t="n"/>
      <c r="F1268" s="1" t="n"/>
      <c r="G1268" s="1" t="n"/>
      <c r="H1268" s="6" t="n">
        <v>161.6515603</v>
      </c>
      <c r="I1268" s="1" t="n"/>
      <c r="J1268" s="6" t="n">
        <v>163.293088</v>
      </c>
      <c r="K1268" s="1" t="n"/>
      <c r="L1268" s="6" t="n">
        <v>161.1263535</v>
      </c>
      <c r="M1268" s="1" t="n"/>
      <c r="N1268" s="1" t="n"/>
    </row>
    <row r="1269">
      <c r="A1269" s="1" t="inlineStr">
        <is>
          <t>64e78e740ecaf-1</t>
        </is>
      </c>
      <c r="B1269" s="1" t="inlineStr">
        <is>
          <t>ARETES LV LOGO GOLD</t>
        </is>
      </c>
      <c r="C1269" s="1" t="n"/>
      <c r="D1269" s="6" t="n">
        <v>151.0745816</v>
      </c>
      <c r="E1269" s="6" t="n">
        <v>157.2109415</v>
      </c>
      <c r="F1269" s="1" t="n"/>
      <c r="G1269" s="1" t="n"/>
      <c r="H1269" s="1" t="n"/>
      <c r="I1269" s="1" t="n"/>
      <c r="J1269" s="6" t="n">
        <v>182.6304274</v>
      </c>
      <c r="K1269" s="6" t="n">
        <v>176.4606298</v>
      </c>
      <c r="L1269" s="6" t="n">
        <v>180.2071058</v>
      </c>
      <c r="M1269" s="1" t="n"/>
      <c r="N1269" s="1" t="n"/>
    </row>
    <row r="1270">
      <c r="A1270" s="1" t="inlineStr">
        <is>
          <t>64e78e797f140</t>
        </is>
      </c>
      <c r="B1270" s="1" t="inlineStr">
        <is>
          <t>ANILLO BV 3 OROS</t>
        </is>
      </c>
      <c r="C1270" s="6" t="n">
        <v>99.94051047000001</v>
      </c>
      <c r="D1270" s="1" t="n"/>
      <c r="E1270" s="1" t="n"/>
      <c r="F1270" s="1" t="n"/>
      <c r="G1270" s="1" t="n"/>
      <c r="H1270" s="6" t="n">
        <v>98.59280853999999</v>
      </c>
      <c r="I1270" s="1" t="n"/>
      <c r="J1270" s="1" t="n"/>
      <c r="K1270" s="1" t="n"/>
      <c r="L1270" s="1" t="n"/>
      <c r="M1270" s="1" t="n"/>
      <c r="N1270" s="1" t="n"/>
    </row>
    <row r="1271">
      <c r="A1271" s="1" t="inlineStr">
        <is>
          <t>64e78e7a486d9</t>
        </is>
      </c>
      <c r="B1271" s="1" t="inlineStr">
        <is>
          <t>ANILLO BV 3 OROS</t>
        </is>
      </c>
      <c r="C1271" s="6" t="n">
        <v>99.94051047000001</v>
      </c>
      <c r="D1271" s="1" t="n"/>
      <c r="E1271" s="1" t="n"/>
      <c r="F1271" s="1" t="n"/>
      <c r="G1271" s="1" t="n"/>
      <c r="H1271" s="6" t="n">
        <v>98.59280853999999</v>
      </c>
      <c r="I1271" s="1" t="n"/>
      <c r="J1271" s="1" t="n"/>
      <c r="K1271" s="1" t="n"/>
      <c r="L1271" s="1" t="n"/>
      <c r="M1271" s="1" t="n"/>
      <c r="N1271" s="1" t="n"/>
    </row>
    <row r="1272">
      <c r="A1272" s="1" t="inlineStr">
        <is>
          <t>64e78e7b03ab1</t>
        </is>
      </c>
      <c r="B1272" s="1" t="inlineStr">
        <is>
          <t>ANILLO BV 3 OROS</t>
        </is>
      </c>
      <c r="C1272" s="6" t="n">
        <v>99.94051047000001</v>
      </c>
      <c r="D1272" s="6" t="n">
        <v>168.7750861</v>
      </c>
      <c r="E1272" s="1" t="n"/>
      <c r="F1272" s="1" t="n"/>
      <c r="G1272" s="1" t="n"/>
      <c r="H1272" s="6" t="n">
        <v>98.59280853999999</v>
      </c>
      <c r="I1272" s="1" t="n"/>
      <c r="J1272" s="1" t="n"/>
      <c r="K1272" s="1" t="n"/>
      <c r="L1272" s="1" t="n"/>
      <c r="M1272" s="1" t="n"/>
      <c r="N1272" s="1" t="n"/>
    </row>
    <row r="1273">
      <c r="A1273" s="1" t="inlineStr">
        <is>
          <t>64e78e7bb52a6</t>
        </is>
      </c>
      <c r="B1273" s="1" t="inlineStr">
        <is>
          <t>ANILLO BV 3 OROS</t>
        </is>
      </c>
      <c r="C1273" s="6" t="n">
        <v>99.94051047000001</v>
      </c>
      <c r="D1273" s="6" t="n">
        <v>168.7750861</v>
      </c>
      <c r="E1273" s="1" t="n"/>
      <c r="F1273" s="1" t="n"/>
      <c r="G1273" s="1" t="n"/>
      <c r="H1273" s="6" t="n">
        <v>98.59280853999999</v>
      </c>
      <c r="I1273" s="1" t="n"/>
      <c r="J1273" s="1" t="n"/>
      <c r="K1273" s="1" t="n"/>
      <c r="L1273" s="1" t="n"/>
      <c r="M1273" s="1" t="n"/>
      <c r="N1273" s="1" t="n"/>
    </row>
    <row r="1274">
      <c r="A1274" s="1" t="inlineStr">
        <is>
          <t>64e78e7d211b8</t>
        </is>
      </c>
      <c r="B1274" s="1" t="inlineStr">
        <is>
          <t>PULSERA ONE TRÉBOL GOLD</t>
        </is>
      </c>
      <c r="C1274" s="1" t="n"/>
      <c r="D1274" s="6" t="n">
        <v>130.1668371</v>
      </c>
      <c r="E1274" s="1" t="n"/>
      <c r="F1274" s="1" t="n"/>
      <c r="G1274" s="1" t="n"/>
      <c r="H1274" s="1" t="n"/>
      <c r="I1274" s="1" t="n"/>
      <c r="J1274" s="1" t="n"/>
      <c r="K1274" s="6" t="n">
        <v>133.8274486</v>
      </c>
      <c r="L1274" s="1" t="n"/>
      <c r="M1274" s="1" t="n"/>
      <c r="N1274" s="6" t="n">
        <v>136.2029957</v>
      </c>
    </row>
    <row r="1275">
      <c r="A1275" s="1" t="inlineStr">
        <is>
          <t>64e78ed3b6948</t>
        </is>
      </c>
      <c r="B1275" s="1" t="inlineStr">
        <is>
          <t>ARETES YSL</t>
        </is>
      </c>
      <c r="C1275" s="1" t="n"/>
      <c r="D1275" s="6" t="n">
        <v>246.7551499</v>
      </c>
      <c r="E1275" s="6" t="n">
        <v>256.7778712</v>
      </c>
      <c r="F1275" s="1" t="n"/>
      <c r="G1275" s="1" t="n"/>
      <c r="H1275" s="6" t="n">
        <v>260.5567912</v>
      </c>
      <c r="I1275" s="1" t="n"/>
      <c r="J1275" s="1" t="n"/>
      <c r="K1275" s="1" t="n"/>
      <c r="L1275" s="6" t="n">
        <v>259.7102408</v>
      </c>
      <c r="M1275" s="1" t="n"/>
      <c r="N1275" s="1" t="n"/>
    </row>
    <row r="1276">
      <c r="A1276" s="1" t="inlineStr">
        <is>
          <t>64e78ed47e099</t>
        </is>
      </c>
      <c r="B1276" s="1" t="inlineStr">
        <is>
          <t>PULSERA BLOSSOM STAR ROSEGOLD</t>
        </is>
      </c>
      <c r="C1276" s="1" t="n"/>
      <c r="D1276" s="6" t="n">
        <v>100.2128058</v>
      </c>
      <c r="E1276" s="1" t="n"/>
      <c r="F1276" s="1" t="n"/>
      <c r="G1276" s="1" t="n"/>
      <c r="H1276" s="6" t="n">
        <v>105.8179621</v>
      </c>
      <c r="I1276" s="1" t="n"/>
      <c r="J1276" s="1" t="n"/>
      <c r="K1276" s="1" t="n"/>
      <c r="L1276" s="1" t="n"/>
      <c r="M1276" s="1" t="n"/>
      <c r="N1276" s="1" t="n"/>
    </row>
    <row r="1277">
      <c r="A1277" s="1" t="inlineStr">
        <is>
          <t>64e78f24a8521</t>
        </is>
      </c>
      <c r="B1277" s="1" t="inlineStr">
        <is>
          <t>COLLAR DE INSIGNIAS LV GOLD</t>
        </is>
      </c>
      <c r="C1277" s="1" t="n"/>
      <c r="D1277" s="1" t="n"/>
      <c r="E1277" s="1" t="n"/>
      <c r="F1277" s="1" t="n"/>
      <c r="G1277" s="1" t="n"/>
      <c r="H1277" s="6" t="n">
        <v>287.1442189</v>
      </c>
      <c r="I1277" s="1" t="n"/>
      <c r="J1277" s="1" t="n"/>
      <c r="K1277" s="1" t="n"/>
      <c r="L1277" s="6" t="n">
        <v>286.2112858</v>
      </c>
      <c r="M1277" s="1" t="n"/>
      <c r="N1277" s="1" t="n"/>
    </row>
    <row r="1278">
      <c r="A1278" s="1" t="inlineStr">
        <is>
          <t>64e78f2d04b05</t>
        </is>
      </c>
      <c r="B1278" s="1" t="inlineStr">
        <is>
          <t>COLLAR SMILE GOLD CON ZIRCONIA SMALL</t>
        </is>
      </c>
      <c r="C1278" s="1" t="n"/>
      <c r="D1278" s="1" t="n"/>
      <c r="E1278" s="1" t="n"/>
      <c r="F1278" s="1" t="n"/>
      <c r="G1278" s="1" t="n"/>
      <c r="H1278" s="1" t="n"/>
      <c r="I1278" s="1" t="n"/>
      <c r="J1278" s="1" t="n"/>
      <c r="K1278" s="6" t="n">
        <v>254.3109076</v>
      </c>
      <c r="L1278" s="1" t="n"/>
      <c r="M1278" s="1" t="n"/>
      <c r="N1278" s="1" t="n"/>
    </row>
    <row r="1279">
      <c r="A1279" s="1" t="inlineStr">
        <is>
          <t>64e78f8a50e61</t>
        </is>
      </c>
      <c r="B1279" s="1" t="inlineStr">
        <is>
          <t>BOLSO GC BLACK</t>
        </is>
      </c>
      <c r="C1279" s="1" t="n"/>
      <c r="D1279" s="1" t="n"/>
      <c r="E1279" s="6" t="n">
        <v>1388.806121</v>
      </c>
      <c r="F1279" s="1" t="n"/>
      <c r="G1279" s="1" t="n"/>
      <c r="H1279" s="6" t="n">
        <v>1457.769565</v>
      </c>
      <c r="I1279" s="1" t="n"/>
      <c r="J1279" s="1" t="n"/>
      <c r="K1279" s="1" t="n"/>
      <c r="L1279" s="1" t="n"/>
      <c r="M1279" s="1" t="n"/>
      <c r="N1279" s="1" t="n"/>
    </row>
    <row r="1280">
      <c r="A1280" s="1" t="inlineStr">
        <is>
          <t>64e78f8c69235</t>
        </is>
      </c>
      <c r="B1280" s="1" t="inlineStr">
        <is>
          <t>BOLSA GC WHITE</t>
        </is>
      </c>
      <c r="C1280" s="1" t="n"/>
      <c r="D1280" s="1" t="n"/>
      <c r="E1280" s="6" t="n">
        <v>1388.806121</v>
      </c>
      <c r="F1280" s="1" t="n"/>
      <c r="G1280" s="1" t="n"/>
      <c r="H1280" s="1" t="n"/>
      <c r="I1280" s="1" t="n"/>
      <c r="J1280" s="1" t="n"/>
      <c r="K1280" s="6" t="n">
        <v>1434.091587</v>
      </c>
      <c r="L1280" s="1" t="n"/>
      <c r="M1280" s="1" t="n"/>
      <c r="N1280" s="1" t="n"/>
    </row>
    <row r="1281">
      <c r="A1281" s="1" t="inlineStr">
        <is>
          <t>64e78f8d3897d</t>
        </is>
      </c>
      <c r="B1281" s="1" t="inlineStr">
        <is>
          <t>BOLSO GC BROWN</t>
        </is>
      </c>
      <c r="C1281" s="1" t="n"/>
      <c r="D1281" s="1" t="n"/>
      <c r="E1281" s="6" t="n">
        <v>1388.806121</v>
      </c>
      <c r="F1281" s="1" t="n"/>
      <c r="G1281" s="1" t="n"/>
      <c r="H1281" s="1" t="n"/>
      <c r="I1281" s="1" t="n"/>
      <c r="J1281" s="1" t="n"/>
      <c r="K1281" s="6" t="n">
        <v>1434.091587</v>
      </c>
      <c r="L1281" s="1" t="n"/>
      <c r="M1281" s="1" t="n"/>
      <c r="N1281" s="1" t="n"/>
    </row>
    <row r="1282">
      <c r="A1282" s="1" t="inlineStr">
        <is>
          <t>64e78f9336406</t>
        </is>
      </c>
      <c r="B1282" s="1" t="inlineStr">
        <is>
          <t>BOLSO V BLACK</t>
        </is>
      </c>
      <c r="C1282" s="1" t="n"/>
      <c r="D1282" s="1" t="n"/>
      <c r="E1282" s="6" t="n">
        <v>1289.587432</v>
      </c>
      <c r="F1282" s="1" t="n"/>
      <c r="G1282" s="1" t="n"/>
      <c r="H1282" s="1" t="n"/>
      <c r="I1282" s="6" t="n">
        <v>1229.184215</v>
      </c>
      <c r="J1282" s="1" t="n"/>
      <c r="K1282" s="1" t="n"/>
      <c r="L1282" s="1" t="n"/>
      <c r="M1282" s="1" t="n"/>
      <c r="N1282" s="1" t="n"/>
    </row>
    <row r="1283">
      <c r="A1283" s="1" t="inlineStr">
        <is>
          <t>64e78f941b012</t>
        </is>
      </c>
      <c r="B1283" s="1" t="inlineStr">
        <is>
          <t>BOLSO V WHITE</t>
        </is>
      </c>
      <c r="C1283" s="1" t="n"/>
      <c r="D1283" s="1" t="n"/>
      <c r="E1283" s="6" t="n">
        <v>1289.587432</v>
      </c>
      <c r="F1283" s="1" t="n"/>
      <c r="G1283" s="1" t="n"/>
      <c r="H1283" s="1" t="n"/>
      <c r="I1283" s="1" t="n"/>
      <c r="J1283" s="1" t="n"/>
      <c r="K1283" s="1" t="n"/>
      <c r="L1283" s="1" t="n"/>
      <c r="M1283" s="1" t="n"/>
      <c r="N1283" s="1" t="n"/>
    </row>
    <row r="1284">
      <c r="A1284" s="1" t="inlineStr">
        <is>
          <t>64e78f9c9c153</t>
        </is>
      </c>
      <c r="B1284" s="1" t="inlineStr">
        <is>
          <t>GORRO PR MEZCLILLA BLACK</t>
        </is>
      </c>
      <c r="C1284" s="1" t="n"/>
      <c r="D1284" s="1" t="n"/>
      <c r="E1284" s="1" t="n"/>
      <c r="F1284" s="1" t="n"/>
      <c r="G1284" s="1" t="n"/>
      <c r="H1284" s="1" t="n"/>
      <c r="I1284" s="1" t="n"/>
      <c r="J1284" s="1" t="n"/>
      <c r="K1284" s="6" t="n">
        <v>297.4874402</v>
      </c>
      <c r="L1284" s="1" t="n"/>
      <c r="M1284" s="1" t="n"/>
      <c r="N1284" s="1" t="n"/>
    </row>
    <row r="1285">
      <c r="A1285" s="1" t="inlineStr">
        <is>
          <t>65332801087437</t>
        </is>
      </c>
      <c r="B1285" s="1" t="inlineStr">
        <is>
          <t>RELOJ PANTHERE GOLD ZIRCONIA</t>
        </is>
      </c>
      <c r="C1285" s="1" t="n"/>
      <c r="D1285" s="1" t="n"/>
      <c r="E1285" s="1" t="n"/>
      <c r="F1285" s="1" t="n"/>
      <c r="G1285" s="1" t="n"/>
      <c r="H1285" s="1" t="n"/>
      <c r="I1285" s="1" t="n"/>
      <c r="J1285" s="6" t="n">
        <v>1546.922977</v>
      </c>
      <c r="K1285" s="1" t="n"/>
      <c r="L1285" s="6" t="n">
        <v>1590.277469</v>
      </c>
      <c r="M1285" s="1" t="n"/>
      <c r="N1285" s="1" t="n"/>
    </row>
    <row r="1286">
      <c r="A1286" s="1" t="inlineStr">
        <is>
          <t>654bd7ac2dee3</t>
        </is>
      </c>
      <c r="B1286" s="1" t="inlineStr">
        <is>
          <t>ANILLO BV 3 OROS</t>
        </is>
      </c>
      <c r="C1286" s="6" t="n">
        <v>99.94051047000001</v>
      </c>
      <c r="D1286" s="6" t="n">
        <v>168.7750861</v>
      </c>
      <c r="E1286" s="1" t="n"/>
      <c r="F1286" s="1" t="n"/>
      <c r="G1286" s="1" t="n"/>
      <c r="H1286" s="6" t="n">
        <v>98.59280853999999</v>
      </c>
      <c r="I1286" s="1" t="n"/>
      <c r="J1286" s="1" t="n"/>
      <c r="K1286" s="1" t="n"/>
      <c r="L1286" s="1" t="n"/>
      <c r="M1286" s="1" t="n"/>
      <c r="N1286" s="1" t="n"/>
    </row>
    <row r="1287">
      <c r="A1287" s="1" t="inlineStr">
        <is>
          <t>654bdadbcb222</t>
        </is>
      </c>
      <c r="B1287" s="1" t="inlineStr">
        <is>
          <t>PULSERA CD DE TELA BABY PINK</t>
        </is>
      </c>
      <c r="C1287" s="1" t="n"/>
      <c r="D1287" s="1" t="n"/>
      <c r="E1287" s="1" t="n"/>
      <c r="F1287" s="1" t="n"/>
      <c r="G1287" s="1" t="n"/>
      <c r="H1287" s="1" t="n"/>
      <c r="I1287" s="6" t="n">
        <v>106.8855839</v>
      </c>
      <c r="J1287" s="1" t="n"/>
      <c r="K1287" s="6" t="n">
        <v>108.177251</v>
      </c>
      <c r="L1287" s="1" t="n"/>
      <c r="M1287" s="1" t="n"/>
      <c r="N1287" s="1" t="n"/>
    </row>
    <row r="1288">
      <c r="A1288" s="1" t="inlineStr">
        <is>
          <t>654bdb2332905</t>
        </is>
      </c>
      <c r="B1288" s="1" t="inlineStr">
        <is>
          <t>ARETES V GOLD</t>
        </is>
      </c>
      <c r="C1288" s="1" t="n"/>
      <c r="D1288" s="1" t="n"/>
      <c r="E1288" s="1" t="n"/>
      <c r="F1288" s="1" t="n"/>
      <c r="G1288" s="6" t="n">
        <v>132.2411844</v>
      </c>
      <c r="H1288" s="1" t="n"/>
      <c r="I1288" s="1" t="n"/>
      <c r="J1288" s="1" t="n"/>
      <c r="K1288" s="6" t="n">
        <v>133.8274486</v>
      </c>
      <c r="L1288" s="6" t="n">
        <v>133.95135415</v>
      </c>
      <c r="M1288" s="1" t="n"/>
      <c r="N1288" s="6" t="n">
        <v>136.2029957</v>
      </c>
    </row>
    <row r="1289">
      <c r="A1289" s="1" t="inlineStr">
        <is>
          <t>654bdb23ce5c1</t>
        </is>
      </c>
      <c r="B1289" s="1" t="inlineStr">
        <is>
          <t>ARETES GC ICE CREAM</t>
        </is>
      </c>
      <c r="C1289" s="1" t="n"/>
      <c r="D1289" s="1" t="n"/>
      <c r="E1289" s="1" t="n"/>
      <c r="F1289" s="1" t="n"/>
      <c r="G1289" s="1" t="n"/>
      <c r="H1289" s="1" t="n"/>
      <c r="I1289" s="1" t="n"/>
      <c r="J1289" s="1" t="n"/>
      <c r="K1289" s="1" t="n"/>
      <c r="L1289" s="6" t="n">
        <v>152.6431393</v>
      </c>
      <c r="M1289" s="1" t="n"/>
      <c r="N1289" s="1" t="n"/>
    </row>
    <row r="1290">
      <c r="A1290" s="1" t="inlineStr">
        <is>
          <t>654bdb241005f</t>
        </is>
      </c>
      <c r="B1290" s="1" t="inlineStr">
        <is>
          <t>ARRACADAS GC GOLD</t>
        </is>
      </c>
      <c r="C1290" s="1" t="n"/>
      <c r="D1290" s="6" t="n">
        <v>148.7953647</v>
      </c>
      <c r="E1290" s="1" t="n"/>
      <c r="F1290" s="1" t="n"/>
      <c r="G1290" s="1" t="n"/>
      <c r="H1290" s="1" t="n"/>
      <c r="I1290" s="1" t="n"/>
      <c r="J1290" s="1" t="n"/>
      <c r="K1290" s="1" t="n"/>
      <c r="L1290" s="6" t="n">
        <v>148.8073142</v>
      </c>
      <c r="M1290" s="1" t="n"/>
      <c r="N1290" s="1" t="n"/>
    </row>
    <row r="1291">
      <c r="A1291" s="1" t="inlineStr">
        <is>
          <t>654bdb24c007a</t>
        </is>
      </c>
      <c r="B1291" s="1" t="inlineStr">
        <is>
          <t>BOLSO LADY D BLACK</t>
        </is>
      </c>
      <c r="C1291" s="1" t="n"/>
      <c r="D1291" s="1" t="n"/>
      <c r="E1291" s="6" t="n">
        <v>1388.806121</v>
      </c>
      <c r="F1291" s="1" t="n"/>
      <c r="G1291" s="1" t="n"/>
      <c r="H1291" s="1" t="n"/>
      <c r="I1291" s="1" t="n"/>
      <c r="J1291" s="1" t="n"/>
      <c r="K1291" s="1" t="n"/>
      <c r="L1291" s="1" t="n"/>
      <c r="M1291" s="1" t="n"/>
      <c r="N1291" s="1" t="n"/>
    </row>
    <row r="1292">
      <c r="A1292" s="1" t="inlineStr">
        <is>
          <t>654bdb2a8966e</t>
        </is>
      </c>
      <c r="B1292" s="1" t="inlineStr">
        <is>
          <t>BOLSO LADY D WHITE</t>
        </is>
      </c>
      <c r="C1292" s="1" t="n"/>
      <c r="D1292" s="1" t="n"/>
      <c r="E1292" s="1" t="n"/>
      <c r="F1292" s="1" t="n"/>
      <c r="G1292" s="1" t="n"/>
      <c r="H1292" s="1" t="n"/>
      <c r="I1292" s="1" t="n"/>
      <c r="J1292" s="6" t="n">
        <v>1471.51064</v>
      </c>
      <c r="K1292" s="6" t="n">
        <v>1434.091587</v>
      </c>
      <c r="L1292" s="1" t="n"/>
      <c r="M1292" s="1" t="n"/>
      <c r="N1292" s="1" t="n"/>
    </row>
    <row r="1293">
      <c r="A1293" s="1" t="inlineStr">
        <is>
          <t>654bdb8083165</t>
        </is>
      </c>
      <c r="B1293" s="1" t="inlineStr">
        <is>
          <t>PULSERA TRÉBOL SILVER VF</t>
        </is>
      </c>
      <c r="C1293" s="1" t="n"/>
      <c r="D1293" s="1" t="n"/>
      <c r="E1293" s="1" t="n"/>
      <c r="F1293" s="1" t="n"/>
      <c r="G1293" s="6" t="n">
        <v>711.1834404</v>
      </c>
      <c r="H1293" s="1" t="n"/>
      <c r="I1293" s="6" t="n">
        <v>147.4794725</v>
      </c>
      <c r="J1293" s="1" t="n"/>
      <c r="K1293" s="6" t="n">
        <v>147.2203151</v>
      </c>
      <c r="L1293" s="1" t="n"/>
      <c r="M1293" s="1" t="n"/>
      <c r="N1293" s="1" t="n"/>
    </row>
    <row r="1294">
      <c r="A1294" s="1" t="inlineStr">
        <is>
          <t>654bdb81039f7</t>
        </is>
      </c>
      <c r="B1294" s="1" t="inlineStr">
        <is>
          <t>ARETES LV LOGO SILVER</t>
        </is>
      </c>
      <c r="C1294" s="1" t="n"/>
      <c r="D1294" s="6" t="n">
        <v>151.0745816</v>
      </c>
      <c r="E1294" s="1" t="n"/>
      <c r="F1294" s="1" t="n"/>
      <c r="G1294" s="1" t="n"/>
      <c r="H1294" s="1" t="n"/>
      <c r="I1294" s="1" t="n"/>
      <c r="J1294" s="1" t="n"/>
      <c r="K1294" s="1" t="n"/>
      <c r="L1294" s="6" t="n">
        <v>180.2071058</v>
      </c>
      <c r="M1294" s="1" t="n"/>
      <c r="N1294" s="1" t="n"/>
    </row>
    <row r="1295">
      <c r="A1295" s="1" t="inlineStr">
        <is>
          <t>654bdbcf948ed</t>
        </is>
      </c>
      <c r="B1295" s="1" t="inlineStr">
        <is>
          <t>CINTO FR GOLD BLACK</t>
        </is>
      </c>
      <c r="C1295" s="1" t="n"/>
      <c r="D1295" s="1" t="n"/>
      <c r="E1295" s="1" t="n"/>
      <c r="F1295" s="1" t="n"/>
      <c r="G1295" s="1" t="n"/>
      <c r="H1295" s="1" t="n"/>
      <c r="I1295" s="6" t="n">
        <v>320.6567517</v>
      </c>
      <c r="J1295" s="1" t="n"/>
      <c r="K1295" s="1" t="n"/>
      <c r="L1295" s="1" t="n"/>
      <c r="M1295" s="1" t="n"/>
      <c r="N1295" s="1" t="n"/>
    </row>
    <row r="1296">
      <c r="A1296" s="1" t="inlineStr">
        <is>
          <t>654bdbcfbb016</t>
        </is>
      </c>
      <c r="B1296" s="1" t="inlineStr">
        <is>
          <t>CINTO H SILVER BLACK</t>
        </is>
      </c>
      <c r="C1296" s="1" t="n"/>
      <c r="D1296" s="1" t="n"/>
      <c r="E1296" s="1" t="n"/>
      <c r="F1296" s="1" t="n"/>
      <c r="G1296" s="1" t="n"/>
      <c r="H1296" s="1" t="n"/>
      <c r="I1296" s="6" t="n">
        <v>400.8209396</v>
      </c>
      <c r="J1296" s="1" t="n"/>
      <c r="K1296" s="6" t="n">
        <v>405.6646912</v>
      </c>
      <c r="L1296" s="1" t="n"/>
      <c r="M1296" s="1" t="n"/>
      <c r="N1296" s="1" t="n"/>
    </row>
    <row r="1297">
      <c r="A1297" s="1" t="inlineStr">
        <is>
          <t>654bdbcfcfee3</t>
        </is>
      </c>
      <c r="B1297" s="1" t="inlineStr">
        <is>
          <t>CINTO C GOLD BLACK</t>
        </is>
      </c>
      <c r="C1297" s="1" t="n"/>
      <c r="D1297" s="1" t="n"/>
      <c r="E1297" s="1" t="n"/>
      <c r="F1297" s="1" t="n"/>
      <c r="G1297" s="1" t="n"/>
      <c r="H1297" s="1" t="n"/>
      <c r="I1297" s="6" t="n">
        <v>400.8209396</v>
      </c>
      <c r="J1297" s="1" t="n"/>
      <c r="K1297" s="1" t="n"/>
      <c r="L1297" s="1" t="n"/>
      <c r="M1297" s="1" t="n"/>
      <c r="N1297" s="1" t="n"/>
    </row>
    <row r="1298">
      <c r="A1298" s="1" t="inlineStr">
        <is>
          <t>654bdbcfd9269</t>
        </is>
      </c>
      <c r="B1298" s="1" t="inlineStr">
        <is>
          <t>CINTO H BLACK</t>
        </is>
      </c>
      <c r="C1298" s="1" t="n"/>
      <c r="D1298" s="1" t="n"/>
      <c r="E1298" s="6" t="n">
        <v>420.517641</v>
      </c>
      <c r="F1298" s="1" t="n"/>
      <c r="G1298" s="1" t="n"/>
      <c r="H1298" s="1" t="n"/>
      <c r="I1298" s="6" t="n">
        <v>400.8209396</v>
      </c>
      <c r="J1298" s="1" t="n"/>
      <c r="K1298" s="1" t="n"/>
      <c r="L1298" s="1" t="n"/>
      <c r="M1298" s="1" t="n"/>
      <c r="N1298" s="1" t="n"/>
    </row>
    <row r="1299">
      <c r="A1299" s="1" t="inlineStr">
        <is>
          <t>654bdbcfddee8</t>
        </is>
      </c>
      <c r="B1299" s="1" t="inlineStr">
        <is>
          <t>BOLSO B BLACK LISA</t>
        </is>
      </c>
      <c r="C1299" s="1" t="n"/>
      <c r="D1299" s="1" t="n"/>
      <c r="E1299" s="1" t="n"/>
      <c r="F1299" s="1" t="n"/>
      <c r="G1299" s="1" t="n"/>
      <c r="H1299" s="1" t="n"/>
      <c r="I1299" s="1" t="n"/>
      <c r="J1299" s="1" t="n"/>
      <c r="K1299" s="6" t="n">
        <v>1152.395025</v>
      </c>
      <c r="L1299" s="1" t="n"/>
      <c r="M1299" s="1" t="n"/>
      <c r="N1299" s="1" t="n"/>
    </row>
    <row r="1300">
      <c r="A1300" s="1" t="inlineStr">
        <is>
          <t>654bdbcfde867</t>
        </is>
      </c>
      <c r="B1300" s="1" t="inlineStr">
        <is>
          <t>CINTO YSL GOLD BLACK</t>
        </is>
      </c>
      <c r="C1300" s="1" t="n"/>
      <c r="D1300" s="1" t="n"/>
      <c r="E1300" s="6" t="n">
        <v>336.4141128</v>
      </c>
      <c r="F1300" s="1" t="n"/>
      <c r="G1300" s="1" t="n"/>
      <c r="H1300" s="1" t="n"/>
      <c r="I1300" s="6" t="n">
        <v>320.6567517</v>
      </c>
      <c r="J1300" s="1" t="n"/>
      <c r="K1300" s="1" t="n"/>
      <c r="L1300" s="1" t="n"/>
      <c r="M1300" s="1" t="n"/>
      <c r="N1300" s="1" t="n"/>
    </row>
    <row r="1301">
      <c r="A1301" s="1" t="inlineStr">
        <is>
          <t>654bdbd00f373</t>
        </is>
      </c>
      <c r="B1301" s="1" t="inlineStr">
        <is>
          <t>BOLSO B WHITE</t>
        </is>
      </c>
      <c r="C1301" s="1" t="n"/>
      <c r="D1301" s="6" t="n">
        <v>1130.303007</v>
      </c>
      <c r="E1301" s="1" t="n"/>
      <c r="F1301" s="1" t="n"/>
      <c r="G1301" s="1" t="n"/>
      <c r="H1301" s="6" t="n">
        <v>1171.421972</v>
      </c>
      <c r="I1301" s="1" t="n"/>
      <c r="J1301" s="1" t="n"/>
      <c r="K1301" s="1" t="n"/>
      <c r="L1301" s="1" t="n"/>
      <c r="M1301" s="1" t="n"/>
      <c r="N1301" s="1" t="n"/>
    </row>
    <row r="1302">
      <c r="A1302" s="1" t="inlineStr">
        <is>
          <t>654bdbd026f64</t>
        </is>
      </c>
      <c r="B1302" s="1" t="inlineStr">
        <is>
          <t>CINTO H GOLD BLACK</t>
        </is>
      </c>
      <c r="C1302" s="1" t="n"/>
      <c r="D1302" s="1" t="n"/>
      <c r="E1302" s="1" t="n"/>
      <c r="F1302" s="1" t="n"/>
      <c r="G1302" s="1" t="n"/>
      <c r="H1302" s="1" t="n"/>
      <c r="I1302" s="1" t="n"/>
      <c r="J1302" s="1" t="n"/>
      <c r="K1302" s="6" t="n">
        <v>405.6646912</v>
      </c>
      <c r="L1302" s="1" t="n"/>
      <c r="M1302" s="1" t="n"/>
      <c r="N1302" s="1" t="n"/>
    </row>
    <row r="1303">
      <c r="A1303" s="1" t="inlineStr">
        <is>
          <t>654bdbd5ab77d</t>
        </is>
      </c>
      <c r="B1303" s="1" t="inlineStr">
        <is>
          <t>BOLSO CC BOY MINI BLACK</t>
        </is>
      </c>
      <c r="C1303" s="1" t="n"/>
      <c r="D1303" s="1" t="n"/>
      <c r="E1303" s="6" t="n">
        <v>420.517641</v>
      </c>
      <c r="F1303" s="1" t="n"/>
      <c r="G1303" s="1" t="n"/>
      <c r="H1303" s="1" t="n"/>
      <c r="I1303" s="6" t="n">
        <v>400.8209396</v>
      </c>
      <c r="J1303" s="1" t="n"/>
      <c r="K1303" s="6" t="n">
        <v>405.6646912</v>
      </c>
      <c r="L1303" s="1" t="n"/>
      <c r="M1303" s="1" t="n"/>
      <c r="N1303" s="1" t="n"/>
    </row>
    <row r="1304">
      <c r="A1304" s="1" t="inlineStr">
        <is>
          <t>654bdbd8c9587</t>
        </is>
      </c>
      <c r="B1304" s="1" t="inlineStr">
        <is>
          <t>GORRA C WHITE</t>
        </is>
      </c>
      <c r="C1304" s="1" t="n"/>
      <c r="D1304" s="1" t="n"/>
      <c r="E1304" s="1" t="n"/>
      <c r="F1304" s="1" t="n"/>
      <c r="G1304" s="1" t="n"/>
      <c r="H1304" s="6" t="n">
        <v>468.5687886</v>
      </c>
      <c r="I1304" s="1" t="n"/>
      <c r="J1304" s="1" t="n"/>
      <c r="K1304" s="1" t="n"/>
      <c r="L1304" s="1" t="n"/>
      <c r="M1304" s="1" t="n"/>
      <c r="N1304" s="1" t="n"/>
    </row>
    <row r="1305">
      <c r="A1305" s="1" t="inlineStr">
        <is>
          <t>654bdbdb26372</t>
        </is>
      </c>
      <c r="B1305" s="1" t="inlineStr">
        <is>
          <t>BOLSA CC WHITE</t>
        </is>
      </c>
      <c r="C1305" s="1" t="n"/>
      <c r="D1305" s="1" t="n"/>
      <c r="E1305" s="1" t="n"/>
      <c r="F1305" s="1" t="n"/>
      <c r="G1305" s="1" t="n"/>
      <c r="H1305" s="1" t="n"/>
      <c r="I1305" s="1" t="n"/>
      <c r="J1305" s="1" t="n"/>
      <c r="K1305" s="6" t="n">
        <v>486.7976295</v>
      </c>
      <c r="L1305" s="1" t="n"/>
      <c r="M1305" s="1" t="n"/>
      <c r="N1305" s="1" t="n"/>
    </row>
    <row r="1306">
      <c r="A1306" s="1" t="inlineStr">
        <is>
          <t>654bdc38b0ca9</t>
        </is>
      </c>
      <c r="B1306" s="1" t="inlineStr">
        <is>
          <t>BOLSO YSL CON CADENA RED</t>
        </is>
      </c>
      <c r="C1306" s="1" t="n"/>
      <c r="D1306" s="1" t="n"/>
      <c r="E1306" s="6" t="n">
        <v>1289.587432</v>
      </c>
      <c r="F1306" s="1" t="n"/>
      <c r="G1306" s="1" t="n"/>
      <c r="H1306" s="1" t="n"/>
      <c r="I1306" s="1" t="n"/>
      <c r="J1306" s="1" t="n"/>
      <c r="K1306" s="1" t="n"/>
      <c r="L1306" s="1" t="n"/>
      <c r="M1306" s="1" t="n"/>
      <c r="N1306" s="1" t="n"/>
    </row>
    <row r="1307">
      <c r="A1307" s="1" t="inlineStr">
        <is>
          <t>654bdc4220c7b</t>
        </is>
      </c>
      <c r="B1307" s="1" t="inlineStr">
        <is>
          <t>BOLSO DE VIAJE BLACK PÉGASE LV</t>
        </is>
      </c>
      <c r="C1307" s="1" t="n"/>
      <c r="D1307" s="1" t="n"/>
      <c r="E1307" s="1" t="n"/>
      <c r="F1307" s="1" t="n"/>
      <c r="G1307" s="1" t="n"/>
      <c r="H1307" s="1" t="n"/>
      <c r="I1307" s="1" t="n"/>
      <c r="J1307" s="1" t="n"/>
      <c r="K1307" s="1" t="n"/>
      <c r="L1307" s="6" t="n">
        <v>1431.056429</v>
      </c>
      <c r="M1307" s="1" t="n"/>
      <c r="N1307" s="1" t="n"/>
    </row>
    <row r="1308">
      <c r="A1308" s="1" t="inlineStr">
        <is>
          <t>654bdc44be732</t>
        </is>
      </c>
      <c r="B1308" s="1" t="inlineStr">
        <is>
          <t>BOLSO LV PÉGASE BLACK</t>
        </is>
      </c>
      <c r="C1308" s="1" t="n"/>
      <c r="D1308" s="1" t="n"/>
      <c r="E1308" s="6" t="n">
        <v>588.7246974</v>
      </c>
      <c r="F1308" s="1" t="n"/>
      <c r="G1308" s="1" t="n"/>
      <c r="H1308" s="1" t="n"/>
      <c r="I1308" s="1" t="n"/>
      <c r="J1308" s="1" t="n"/>
      <c r="K1308" s="1" t="n"/>
      <c r="L1308" s="1" t="n"/>
      <c r="M1308" s="1" t="n"/>
      <c r="N1308" s="1" t="n"/>
    </row>
    <row r="1309">
      <c r="A1309" s="1" t="inlineStr">
        <is>
          <t>654bdc4810167</t>
        </is>
      </c>
      <c r="B1309" s="1" t="inlineStr">
        <is>
          <t>BOLSO CC BLACK SILVER</t>
        </is>
      </c>
      <c r="C1309" s="1" t="n"/>
      <c r="D1309" s="1" t="n"/>
      <c r="E1309" s="6" t="n">
        <v>1414.898474</v>
      </c>
      <c r="F1309" s="1" t="n"/>
      <c r="G1309" s="1" t="n"/>
      <c r="H1309" s="6" t="n">
        <v>1435.721094</v>
      </c>
      <c r="I1309" s="1" t="n"/>
      <c r="J1309" s="6" t="n">
        <v>1450.300453</v>
      </c>
      <c r="K1309" s="1" t="n"/>
      <c r="L1309" s="6" t="n">
        <v>1431.056429</v>
      </c>
      <c r="M1309" s="1" t="n"/>
      <c r="N1309" s="1" t="n"/>
    </row>
    <row r="1310">
      <c r="A1310" s="1" t="inlineStr">
        <is>
          <t>65654871016909</t>
        </is>
      </c>
      <c r="B1310" s="1" t="inlineStr">
        <is>
          <t>ANILLO LV SELLO SILVER-9</t>
        </is>
      </c>
      <c r="C1310" s="1" t="n"/>
      <c r="D1310" s="6" t="n">
        <v>126.3703458</v>
      </c>
      <c r="E1310" s="1" t="n"/>
      <c r="F1310" s="1" t="n"/>
      <c r="G1310" s="1" t="n"/>
      <c r="H1310" s="1" t="n"/>
      <c r="I1310" s="1" t="n"/>
      <c r="J1310" s="1" t="n"/>
      <c r="K1310" s="1" t="n"/>
      <c r="L1310" s="1" t="n"/>
      <c r="M1310" s="1" t="n"/>
      <c r="N1310" s="1" t="n"/>
    </row>
    <row r="1311">
      <c r="A1311" s="1" t="inlineStr">
        <is>
          <t>65786751076141</t>
        </is>
      </c>
      <c r="B1311" s="1" t="inlineStr">
        <is>
          <t>COLLAR POP H SILVER WHITE</t>
        </is>
      </c>
      <c r="C1311" s="1" t="n"/>
      <c r="D1311" s="6" t="n">
        <v>92.90978174</v>
      </c>
      <c r="E1311" s="1" t="n"/>
      <c r="F1311" s="1" t="n"/>
      <c r="G1311" s="1" t="n"/>
      <c r="H1311" s="1" t="n"/>
      <c r="I1311" s="1" t="n"/>
      <c r="J1311" s="1" t="n"/>
      <c r="K1311" s="1" t="n"/>
      <c r="L1311" s="6" t="n">
        <v>94.39446484</v>
      </c>
      <c r="M1311" s="1" t="n"/>
      <c r="N1311" s="1" t="n"/>
    </row>
    <row r="1312">
      <c r="A1312" s="1" t="inlineStr">
        <is>
          <t>66009451058221</t>
        </is>
      </c>
      <c r="B1312" s="1" t="inlineStr">
        <is>
          <t>ANILLO BV BROWN</t>
        </is>
      </c>
      <c r="C1312" s="1" t="n"/>
      <c r="D1312" s="1" t="n"/>
      <c r="E1312" s="1" t="n"/>
      <c r="F1312" s="1" t="n"/>
      <c r="G1312" s="1" t="n"/>
      <c r="H1312" s="1" t="n"/>
      <c r="I1312" s="6" t="n">
        <v>147.4794725</v>
      </c>
      <c r="J1312" s="1" t="n"/>
      <c r="K1312" s="1" t="n"/>
      <c r="L1312" s="1" t="n"/>
      <c r="M1312" s="1" t="n"/>
      <c r="N1312" s="1" t="n"/>
    </row>
    <row r="1313">
      <c r="A1313" s="1" t="inlineStr">
        <is>
          <t>66009451058222</t>
        </is>
      </c>
      <c r="B1313" s="1" t="inlineStr">
        <is>
          <t>ANILLO BV BROWN</t>
        </is>
      </c>
      <c r="C1313" s="1" t="n"/>
      <c r="D1313" s="1" t="n"/>
      <c r="E1313" s="1" t="n"/>
      <c r="F1313" s="1" t="n"/>
      <c r="G1313" s="1" t="n"/>
      <c r="H1313" s="6" t="n">
        <v>148.4029245</v>
      </c>
      <c r="I1313" s="6" t="n">
        <v>147.4794725</v>
      </c>
      <c r="J1313" s="1" t="n"/>
      <c r="K1313" s="1" t="n"/>
      <c r="L1313" s="6" t="n">
        <v>148.5304959</v>
      </c>
      <c r="M1313" s="1" t="n"/>
      <c r="N1313" s="1" t="n"/>
    </row>
    <row r="1314">
      <c r="A1314" s="1" t="inlineStr">
        <is>
          <t>66009451058223</t>
        </is>
      </c>
      <c r="B1314" s="1" t="inlineStr">
        <is>
          <t>ANILLO BV BROWN</t>
        </is>
      </c>
      <c r="C1314" s="1" t="n"/>
      <c r="D1314" s="1" t="n"/>
      <c r="E1314" s="1" t="n"/>
      <c r="F1314" s="1" t="n"/>
      <c r="G1314" s="1" t="n"/>
      <c r="H1314" s="6" t="n">
        <v>148.4029245</v>
      </c>
      <c r="I1314" s="6" t="n">
        <v>147.4794725</v>
      </c>
      <c r="J1314" s="1" t="n"/>
      <c r="K1314" s="1" t="n"/>
      <c r="L1314" s="1" t="n"/>
      <c r="M1314" s="6" t="n">
        <v>147.1022452</v>
      </c>
      <c r="N1314" s="1" t="n"/>
    </row>
    <row r="1315">
      <c r="A1315" s="1" t="inlineStr">
        <is>
          <t>66075791007693</t>
        </is>
      </c>
      <c r="B1315" s="1" t="inlineStr">
        <is>
          <t>ANILLO ALLIANCE SILVER C</t>
        </is>
      </c>
      <c r="C1315" s="1" t="n"/>
      <c r="D1315" s="1" t="n"/>
      <c r="E1315" s="1" t="n"/>
      <c r="F1315" s="6" t="n">
        <v>42.12099689</v>
      </c>
      <c r="G1315" s="1" t="n"/>
      <c r="H1315" s="1" t="n"/>
      <c r="I1315" s="1" t="n"/>
      <c r="J1315" s="1" t="n"/>
      <c r="K1315" s="1" t="n"/>
      <c r="L1315" s="6" t="n">
        <v>42.43728453</v>
      </c>
      <c r="M1315" s="1" t="n"/>
      <c r="N1315" s="1" t="n"/>
    </row>
    <row r="1316">
      <c r="A1316" s="1" t="inlineStr">
        <is>
          <t>66075801140461</t>
        </is>
      </c>
      <c r="B1316" s="1" t="inlineStr">
        <is>
          <t>ANILLO ALLIANCE SILVER C</t>
        </is>
      </c>
      <c r="C1316" s="1" t="n"/>
      <c r="D1316" s="1" t="n"/>
      <c r="E1316" s="1" t="n"/>
      <c r="F1316" s="6" t="n">
        <v>42.12099689</v>
      </c>
      <c r="G1316" s="1" t="n"/>
      <c r="H1316" s="1" t="n"/>
      <c r="I1316" s="1" t="n"/>
      <c r="J1316" s="1" t="n"/>
      <c r="K1316" s="1" t="n"/>
      <c r="L1316" s="1" t="n"/>
      <c r="M1316" s="1" t="n"/>
      <c r="N1316" s="1" t="n"/>
    </row>
    <row r="1317">
      <c r="A1317" s="1" t="inlineStr">
        <is>
          <t>66075801273229</t>
        </is>
      </c>
      <c r="B1317" s="1" t="inlineStr">
        <is>
          <t>ANILLO ALLIANCE SILVER C</t>
        </is>
      </c>
      <c r="C1317" s="1" t="n"/>
      <c r="D1317" s="1" t="n"/>
      <c r="E1317" s="1" t="n"/>
      <c r="F1317" s="6" t="n">
        <v>42.12099689</v>
      </c>
      <c r="G1317" s="6" t="n">
        <v>41.83432002</v>
      </c>
      <c r="H1317" s="6" t="n">
        <v>42.40083558</v>
      </c>
      <c r="I1317" s="1" t="n"/>
      <c r="J1317" s="1" t="n"/>
      <c r="K1317" s="6" t="n">
        <v>42.06294718</v>
      </c>
      <c r="L1317" s="1" t="n"/>
      <c r="M1317" s="1" t="n"/>
      <c r="N1317" s="1" t="n"/>
    </row>
    <row r="1318">
      <c r="A1318" s="1" t="inlineStr">
        <is>
          <t>66075801474733</t>
        </is>
      </c>
      <c r="B1318" s="1" t="inlineStr">
        <is>
          <t>ANILLO LOVE SOLITAIRE ROSE GOLD C</t>
        </is>
      </c>
      <c r="C1318" s="1" t="n"/>
      <c r="D1318" s="1" t="n"/>
      <c r="E1318" s="1" t="n"/>
      <c r="F1318" s="1" t="n"/>
      <c r="G1318" s="6" t="n">
        <v>146.4201201</v>
      </c>
      <c r="H1318" s="1" t="n"/>
      <c r="I1318" s="1" t="n"/>
      <c r="J1318" s="1" t="n"/>
      <c r="K1318" s="1" t="n"/>
      <c r="L1318" s="1" t="n"/>
      <c r="M1318" s="1" t="n"/>
      <c r="N1318" s="1" t="n"/>
    </row>
    <row r="1319">
      <c r="A1319" s="1" t="inlineStr">
        <is>
          <t>66075801507501</t>
        </is>
      </c>
      <c r="B1319" s="1" t="n"/>
      <c r="C1319" s="1" t="n"/>
      <c r="D1319" s="1" t="n"/>
      <c r="E1319" s="1" t="n"/>
      <c r="F1319" s="1" t="n"/>
      <c r="G1319" s="1" t="n"/>
      <c r="H1319" s="1" t="n"/>
      <c r="I1319" s="6" t="n">
        <v>147.4794725</v>
      </c>
      <c r="J1319" s="1" t="n"/>
      <c r="K1319" s="1" t="n"/>
      <c r="L1319" s="1" t="n"/>
      <c r="M1319" s="1" t="n"/>
      <c r="N1319" s="1" t="n"/>
    </row>
    <row r="1320">
      <c r="A1320" s="1" t="inlineStr">
        <is>
          <t>66075801735181</t>
        </is>
      </c>
      <c r="B1320" s="1" t="inlineStr">
        <is>
          <t>PULSERA PANTHERE SILVER C</t>
        </is>
      </c>
      <c r="C1320" s="1" t="n"/>
      <c r="D1320" s="1" t="n"/>
      <c r="E1320" s="1" t="n"/>
      <c r="F1320" s="6" t="n">
        <v>168.4839875</v>
      </c>
      <c r="G1320" s="6" t="n">
        <v>167.3372801</v>
      </c>
      <c r="H1320" s="1" t="n"/>
      <c r="I1320" s="1" t="n"/>
      <c r="J1320" s="1" t="n"/>
      <c r="K1320" s="1" t="n"/>
      <c r="L1320" s="1" t="n"/>
      <c r="M1320" s="1" t="n"/>
      <c r="N1320" s="1" t="n"/>
    </row>
    <row r="1321">
      <c r="A1321" s="1" t="inlineStr">
        <is>
          <t>66075801824557</t>
        </is>
      </c>
      <c r="B1321" s="1" t="inlineStr">
        <is>
          <t>PULSERA TRES AROS</t>
        </is>
      </c>
      <c r="C1321" s="1" t="n"/>
      <c r="D1321" s="6" t="n">
        <v>158.2266433</v>
      </c>
      <c r="E1321" s="1" t="n"/>
      <c r="F1321" s="1" t="n"/>
      <c r="G1321" s="1" t="n"/>
      <c r="H1321" s="6" t="n">
        <v>159.0031334</v>
      </c>
      <c r="I1321" s="1" t="n"/>
      <c r="J1321" s="1" t="n"/>
      <c r="K1321" s="1" t="n"/>
      <c r="L1321" s="6" t="n">
        <v>157.4197147</v>
      </c>
      <c r="M1321" s="1" t="n"/>
      <c r="N1321" s="1" t="n"/>
    </row>
    <row r="1322">
      <c r="A1322" s="1" t="inlineStr">
        <is>
          <t>66075801971917</t>
        </is>
      </c>
      <c r="B1322" s="1" t="inlineStr">
        <is>
          <t>ARETES CD PETIT GOLD</t>
        </is>
      </c>
      <c r="C1322" s="1" t="n"/>
      <c r="D1322" s="6" t="n">
        <v>80.77155003999999</v>
      </c>
      <c r="E1322" s="1" t="n"/>
      <c r="F1322" s="6" t="n">
        <v>80.02989409</v>
      </c>
      <c r="G1322" s="6" t="n">
        <v>79.48520804</v>
      </c>
      <c r="H1322" s="1" t="n"/>
      <c r="I1322" s="1" t="n"/>
      <c r="J1322" s="6" t="n">
        <v>80.95480562</v>
      </c>
      <c r="K1322" s="6" t="n">
        <v>79.91959964</v>
      </c>
      <c r="L1322" s="6" t="n">
        <v>80.19508136499999</v>
      </c>
      <c r="M1322" s="1" t="n"/>
      <c r="N1322" s="1" t="n"/>
    </row>
    <row r="1323">
      <c r="A1323" s="1" t="inlineStr">
        <is>
          <t>66075802035149</t>
        </is>
      </c>
      <c r="B1323" s="1" t="inlineStr">
        <is>
          <t>ARETES CLAIR D LUNE GOLD CD</t>
        </is>
      </c>
      <c r="C1323" s="1" t="n"/>
      <c r="D1323" s="6" t="n">
        <v>105.4844288</v>
      </c>
      <c r="E1323" s="1" t="n"/>
      <c r="F1323" s="1" t="n"/>
      <c r="G1323" s="6" t="n">
        <v>104.5858001</v>
      </c>
      <c r="H1323" s="1" t="n"/>
      <c r="I1323" s="1" t="n"/>
      <c r="J1323" s="1" t="n"/>
      <c r="K1323" s="6" t="n">
        <v>105.1573679</v>
      </c>
      <c r="L1323" s="6" t="n">
        <v>106.0932113</v>
      </c>
      <c r="M1323" s="6" t="n">
        <v>105.0730323</v>
      </c>
      <c r="N1323" s="1" t="n"/>
    </row>
    <row r="1324">
      <c r="A1324" s="1" t="inlineStr">
        <is>
          <t>66075802259373</t>
        </is>
      </c>
      <c r="B1324" s="1" t="inlineStr">
        <is>
          <t>PULSERA MONTAIGNE GOLD CD</t>
        </is>
      </c>
      <c r="C1324" s="1" t="n"/>
      <c r="D1324" s="6" t="n">
        <v>148.7896974</v>
      </c>
      <c r="E1324" s="1" t="n"/>
      <c r="F1324" s="1" t="n"/>
      <c r="G1324" s="6" t="n">
        <v>146.4201201</v>
      </c>
      <c r="H1324" s="1" t="n"/>
      <c r="I1324" s="1" t="n"/>
      <c r="J1324" s="1" t="n"/>
      <c r="K1324" s="6" t="n">
        <v>147.2203151</v>
      </c>
      <c r="L1324" s="6" t="n">
        <v>148.5304959</v>
      </c>
      <c r="M1324" s="6" t="n">
        <v>147.1022452</v>
      </c>
      <c r="N1324" s="1" t="n"/>
    </row>
    <row r="1325">
      <c r="A1325" s="1" t="inlineStr">
        <is>
          <t>66075802307341</t>
        </is>
      </c>
      <c r="B1325" s="1" t="inlineStr">
        <is>
          <t>PULSERA CLAIR D LUNE SILVER CD</t>
        </is>
      </c>
      <c r="C1325" s="1" t="n"/>
      <c r="D1325" s="6" t="n">
        <v>85.02268425</v>
      </c>
      <c r="E1325" s="1" t="n"/>
      <c r="F1325" s="1" t="n"/>
      <c r="G1325" s="6" t="n">
        <v>83.66864004999999</v>
      </c>
      <c r="H1325" s="1" t="n"/>
      <c r="I1325" s="1" t="n"/>
      <c r="J1325" s="1" t="n"/>
      <c r="K1325" s="6" t="n">
        <v>84.12589436</v>
      </c>
      <c r="L1325" s="1" t="n"/>
      <c r="M1325" s="1" t="n"/>
      <c r="N1325" s="1" t="n"/>
    </row>
    <row r="1326">
      <c r="A1326" s="1" t="inlineStr">
        <is>
          <t>66075802428173</t>
        </is>
      </c>
      <c r="B1326" s="1" t="inlineStr">
        <is>
          <t>PULSERA CHAIN GOLD CD</t>
        </is>
      </c>
      <c r="C1326" s="1" t="n"/>
      <c r="D1326" s="6" t="n">
        <v>166.6653976</v>
      </c>
      <c r="E1326" s="1" t="n"/>
      <c r="F1326" s="1" t="n"/>
      <c r="G1326" s="1" t="n"/>
      <c r="H1326" s="6" t="n">
        <v>167.4833006</v>
      </c>
      <c r="I1326" s="6" t="n">
        <v>166.4411189</v>
      </c>
      <c r="J1326" s="1" t="n"/>
      <c r="K1326" s="1" t="n"/>
      <c r="L1326" s="6" t="n">
        <v>167.6272739</v>
      </c>
      <c r="M1326" s="1" t="n"/>
      <c r="N1326" s="1" t="n"/>
    </row>
    <row r="1327">
      <c r="A1327" s="1" t="inlineStr">
        <is>
          <t>66148671022797</t>
        </is>
      </c>
      <c r="B1327" s="1" t="inlineStr">
        <is>
          <t>ARETES CD GOLD BLACK CON ZIRCONIA</t>
        </is>
      </c>
      <c r="C1327" s="1" t="n"/>
      <c r="D1327" s="1" t="n"/>
      <c r="E1327" s="6" t="n">
        <v>212.615424</v>
      </c>
      <c r="F1327" s="1" t="n"/>
      <c r="G1327" s="1" t="n"/>
      <c r="H1327" s="1" t="n"/>
      <c r="I1327" s="1" t="n"/>
      <c r="J1327" s="6" t="n">
        <v>236.4927815</v>
      </c>
      <c r="K1327" s="6" t="n">
        <v>230.479005</v>
      </c>
      <c r="L1327" s="1" t="n"/>
      <c r="M1327" s="1" t="n"/>
      <c r="N1327" s="1" t="n"/>
    </row>
    <row r="1328">
      <c r="A1328" s="1" t="inlineStr">
        <is>
          <t>66176a393a025</t>
        </is>
      </c>
      <c r="B1328" s="1" t="inlineStr">
        <is>
          <t>ANILLO LOVE GOLD</t>
        </is>
      </c>
      <c r="C1328" s="1" t="n"/>
      <c r="D1328" s="6" t="n">
        <v>37.97439438</v>
      </c>
      <c r="E1328" s="1" t="n"/>
      <c r="F1328" s="1" t="n"/>
      <c r="G1328" s="1" t="n"/>
      <c r="H1328" s="6" t="n">
        <v>38.16075203</v>
      </c>
      <c r="I1328" s="1" t="n"/>
      <c r="J1328" s="1" t="n"/>
      <c r="K1328" s="1" t="n"/>
      <c r="L1328" s="6" t="n">
        <v>37.987143805</v>
      </c>
      <c r="M1328" s="1" t="n"/>
      <c r="N1328" s="1" t="n"/>
    </row>
    <row r="1329">
      <c r="A1329" s="1" t="inlineStr">
        <is>
          <t>66176a39da1f0</t>
        </is>
      </c>
      <c r="B1329" s="1" t="inlineStr">
        <is>
          <t>ANILLO LOVE GOLD</t>
        </is>
      </c>
      <c r="C1329" s="1" t="n"/>
      <c r="D1329" s="6" t="n">
        <v>37.97439438</v>
      </c>
      <c r="E1329" s="1" t="n"/>
      <c r="F1329" s="1" t="n"/>
      <c r="G1329" s="6" t="n">
        <v>37.65088802</v>
      </c>
      <c r="H1329" s="6" t="n">
        <v>38.16075203</v>
      </c>
      <c r="I1329" s="6" t="n">
        <v>37.92329292</v>
      </c>
      <c r="J1329" s="6" t="n">
        <v>38.34701319</v>
      </c>
      <c r="K1329" s="1" t="n"/>
      <c r="L1329" s="6" t="n">
        <v>38.19355608</v>
      </c>
      <c r="M1329" s="6" t="n">
        <v>37.82629163</v>
      </c>
      <c r="N1329" s="1" t="n"/>
    </row>
    <row r="1330">
      <c r="A1330" s="1" t="inlineStr">
        <is>
          <t>66176a3a6e732</t>
        </is>
      </c>
      <c r="B1330" s="1" t="inlineStr">
        <is>
          <t>ANILLO LOVE GOLD</t>
        </is>
      </c>
      <c r="C1330" s="1" t="n"/>
      <c r="D1330" s="6" t="n">
        <v>38.26020791</v>
      </c>
      <c r="E1330" s="1" t="n"/>
      <c r="F1330" s="6" t="n">
        <v>37.9088972</v>
      </c>
      <c r="G1330" s="6" t="n">
        <v>37.65088802</v>
      </c>
      <c r="H1330" s="6" t="n">
        <v>38.16075203</v>
      </c>
      <c r="I1330" s="6" t="n">
        <v>37.92329292</v>
      </c>
      <c r="J1330" s="1" t="n"/>
      <c r="K1330" s="6" t="n">
        <v>37.85665246</v>
      </c>
      <c r="L1330" s="6" t="n">
        <v>37.78073153</v>
      </c>
      <c r="M1330" s="6" t="n">
        <v>37.82629163</v>
      </c>
      <c r="N1330" s="1" t="n"/>
    </row>
    <row r="1331">
      <c r="A1331" s="1" t="inlineStr">
        <is>
          <t>66176a3b07b47</t>
        </is>
      </c>
      <c r="B1331" s="1" t="inlineStr">
        <is>
          <t>ANILLO LOVE GOLD</t>
        </is>
      </c>
      <c r="C1331" s="1" t="n"/>
      <c r="D1331" s="6" t="n">
        <v>38.26020791</v>
      </c>
      <c r="E1331" s="1" t="n"/>
      <c r="F1331" s="6" t="n">
        <v>37.9088972</v>
      </c>
      <c r="G1331" s="6" t="n">
        <v>37.65088802</v>
      </c>
      <c r="H1331" s="6" t="n">
        <v>38.16075203</v>
      </c>
      <c r="I1331" s="6" t="n">
        <v>37.92329292</v>
      </c>
      <c r="J1331" s="1" t="n"/>
      <c r="K1331" s="1" t="n"/>
      <c r="L1331" s="1" t="n"/>
      <c r="M1331" s="6" t="n">
        <v>37.82629163</v>
      </c>
      <c r="N1331" s="1" t="n"/>
    </row>
    <row r="1332">
      <c r="A1332" s="1" t="inlineStr">
        <is>
          <t>66176a3b97be5</t>
        </is>
      </c>
      <c r="B1332" s="1" t="inlineStr">
        <is>
          <t>ANILLO LOVE GOLD</t>
        </is>
      </c>
      <c r="C1332" s="1" t="n"/>
      <c r="D1332" s="6" t="n">
        <v>37.97439438</v>
      </c>
      <c r="E1332" s="1" t="n"/>
      <c r="F1332" s="1" t="n"/>
      <c r="G1332" s="6" t="n">
        <v>37.65088802</v>
      </c>
      <c r="H1332" s="6" t="n">
        <v>38.16075203</v>
      </c>
      <c r="I1332" s="6" t="n">
        <v>37.92329292</v>
      </c>
      <c r="J1332" s="1" t="n"/>
      <c r="K1332" s="1" t="n"/>
      <c r="L1332" s="1" t="n"/>
      <c r="M1332" s="1" t="n"/>
      <c r="N1332" s="1" t="n"/>
    </row>
    <row r="1333">
      <c r="A1333" s="1" t="inlineStr">
        <is>
          <t>66176a3c25a91</t>
        </is>
      </c>
      <c r="B1333" s="1" t="inlineStr">
        <is>
          <t>ANILLO LOVE GOLD</t>
        </is>
      </c>
      <c r="C1333" s="1" t="n"/>
      <c r="D1333" s="1" t="n"/>
      <c r="E1333" s="1" t="n"/>
      <c r="F1333" s="6" t="n">
        <v>37.9088972</v>
      </c>
      <c r="G1333" s="6" t="n">
        <v>37.65088802</v>
      </c>
      <c r="H1333" s="1" t="n"/>
      <c r="I1333" s="6" t="n">
        <v>37.92329292</v>
      </c>
      <c r="J1333" s="1" t="n"/>
      <c r="K1333" s="1" t="n"/>
      <c r="L1333" s="1" t="n"/>
      <c r="M1333" s="1" t="n"/>
      <c r="N1333" s="1" t="n"/>
    </row>
    <row r="1334">
      <c r="A1334" s="1" t="inlineStr">
        <is>
          <t>66176a3cab809</t>
        </is>
      </c>
      <c r="B1334" s="1" t="inlineStr">
        <is>
          <t>ANILLO LOVE GOLD</t>
        </is>
      </c>
      <c r="C1334" s="1" t="n"/>
      <c r="D1334" s="1" t="n"/>
      <c r="E1334" s="1" t="n"/>
      <c r="F1334" s="6" t="n">
        <v>37.9088972</v>
      </c>
      <c r="G1334" s="1" t="n"/>
      <c r="H1334" s="1" t="n"/>
      <c r="I1334" s="6" t="n">
        <v>37.92329292</v>
      </c>
      <c r="J1334" s="1" t="n"/>
      <c r="K1334" s="1" t="n"/>
      <c r="L1334" s="1" t="n"/>
      <c r="M1334" s="1" t="n"/>
      <c r="N1334" s="1" t="n"/>
    </row>
    <row r="1335">
      <c r="A1335" s="1" t="inlineStr">
        <is>
          <t>66176c83f3f50</t>
        </is>
      </c>
      <c r="B1335" s="1" t="inlineStr">
        <is>
          <t>ANILLO LOVE SILVER</t>
        </is>
      </c>
      <c r="C1335" s="1" t="n"/>
      <c r="D1335" s="1" t="n"/>
      <c r="E1335" s="1" t="n"/>
      <c r="F1335" s="1" t="n"/>
      <c r="G1335" s="6" t="n">
        <v>37.65088802</v>
      </c>
      <c r="H1335" s="6" t="n">
        <v>38.16075203</v>
      </c>
      <c r="I1335" s="6" t="n">
        <v>37.92329292</v>
      </c>
      <c r="J1335" s="1" t="n"/>
      <c r="K1335" s="6" t="n">
        <v>37.85665246</v>
      </c>
      <c r="L1335" s="6" t="n">
        <v>38.19355608</v>
      </c>
      <c r="M1335" s="1" t="n"/>
      <c r="N1335" s="1" t="n"/>
    </row>
    <row r="1336">
      <c r="A1336" s="1" t="inlineStr">
        <is>
          <t>66176c8482af4</t>
        </is>
      </c>
      <c r="B1336" s="1" t="inlineStr">
        <is>
          <t>ANILLO LOVE SILVER</t>
        </is>
      </c>
      <c r="C1336" s="1" t="n"/>
      <c r="D1336" s="1" t="n"/>
      <c r="E1336" s="1" t="n"/>
      <c r="F1336" s="6" t="n">
        <v>37.9088972</v>
      </c>
      <c r="G1336" s="1" t="n"/>
      <c r="H1336" s="6" t="n">
        <v>38.16075203</v>
      </c>
      <c r="I1336" s="6" t="n">
        <v>37.92329292</v>
      </c>
      <c r="J1336" s="1" t="n"/>
      <c r="K1336" s="1" t="n"/>
      <c r="L1336" s="6" t="n">
        <v>37.78073153</v>
      </c>
      <c r="M1336" s="6" t="n">
        <v>37.82629163</v>
      </c>
      <c r="N1336" s="1" t="n"/>
    </row>
    <row r="1337">
      <c r="A1337" s="1" t="inlineStr">
        <is>
          <t>66176c850b76a</t>
        </is>
      </c>
      <c r="B1337" s="1" t="inlineStr">
        <is>
          <t>ANILLO LOVE SILVER (THIN WITHOUT ZIRCONIAS)</t>
        </is>
      </c>
      <c r="C1337" s="1" t="n"/>
      <c r="D1337" s="1" t="n"/>
      <c r="E1337" s="1" t="n"/>
      <c r="F1337" s="1" t="n"/>
      <c r="G1337" s="6" t="n">
        <v>37.65088802</v>
      </c>
      <c r="H1337" s="6" t="n">
        <v>38.16075203</v>
      </c>
      <c r="I1337" s="6" t="n">
        <v>37.92329292</v>
      </c>
      <c r="J1337" s="1" t="n"/>
      <c r="K1337" s="6" t="n">
        <v>37.85665246</v>
      </c>
      <c r="L1337" s="1" t="n"/>
      <c r="M1337" s="1" t="n"/>
      <c r="N1337" s="1" t="n"/>
    </row>
    <row r="1338">
      <c r="A1338" s="1" t="inlineStr">
        <is>
          <t>66176c8589787</t>
        </is>
      </c>
      <c r="B1338" s="1" t="inlineStr">
        <is>
          <t>ANILLO LOVE SILVER (THIN WITHOUT ZIRCONIAS)</t>
        </is>
      </c>
      <c r="C1338" s="1" t="n"/>
      <c r="D1338" s="1" t="n"/>
      <c r="E1338" s="1" t="n"/>
      <c r="F1338" s="6" t="n">
        <v>37.9088972</v>
      </c>
      <c r="G1338" s="6" t="n">
        <v>37.65088802</v>
      </c>
      <c r="H1338" s="6" t="n">
        <v>38.16075203</v>
      </c>
      <c r="I1338" s="6" t="n">
        <v>37.92329292</v>
      </c>
      <c r="J1338" s="1" t="n"/>
      <c r="K1338" s="6" t="n">
        <v>37.85665246</v>
      </c>
      <c r="L1338" s="1" t="n"/>
      <c r="M1338" s="1" t="n"/>
      <c r="N1338" s="1" t="n"/>
    </row>
    <row r="1339">
      <c r="A1339" s="1" t="inlineStr">
        <is>
          <t>66176c8628af3</t>
        </is>
      </c>
      <c r="B1339" s="1" t="inlineStr">
        <is>
          <t>ANILLO LOVE SILVER</t>
        </is>
      </c>
      <c r="C1339" s="1" t="n"/>
      <c r="D1339" s="1" t="n"/>
      <c r="E1339" s="1" t="n"/>
      <c r="F1339" s="6" t="n">
        <v>37.9088972</v>
      </c>
      <c r="G1339" s="6" t="n">
        <v>37.65088802</v>
      </c>
      <c r="H1339" s="6" t="n">
        <v>38.16075203</v>
      </c>
      <c r="I1339" s="1" t="n"/>
      <c r="J1339" s="1" t="n"/>
      <c r="K1339" s="6" t="n">
        <v>37.85665246</v>
      </c>
      <c r="L1339" s="6" t="n">
        <v>37.78073153</v>
      </c>
      <c r="M1339" s="1" t="n"/>
      <c r="N1339" s="1" t="n"/>
    </row>
    <row r="1340">
      <c r="A1340" s="1" t="inlineStr">
        <is>
          <t>66176c86bbe5a</t>
        </is>
      </c>
      <c r="B1340" s="1" t="inlineStr">
        <is>
          <t>ANILLO LOVE SILVER</t>
        </is>
      </c>
      <c r="C1340" s="1" t="n"/>
      <c r="D1340" s="1" t="n"/>
      <c r="E1340" s="1" t="n"/>
      <c r="F1340" s="1" t="n"/>
      <c r="G1340" s="6" t="n">
        <v>37.65088802</v>
      </c>
      <c r="H1340" s="1" t="n"/>
      <c r="I1340" s="1" t="n"/>
      <c r="J1340" s="1" t="n"/>
      <c r="K1340" s="6" t="n">
        <v>37.85665246</v>
      </c>
      <c r="L1340" s="1" t="n"/>
      <c r="M1340" s="6" t="n">
        <v>37.82629163</v>
      </c>
      <c r="N1340" s="1" t="n"/>
    </row>
    <row r="1341">
      <c r="A1341" s="1" t="inlineStr">
        <is>
          <t>66176c87347f1</t>
        </is>
      </c>
      <c r="B1341" s="1" t="inlineStr">
        <is>
          <t>ANILLO LOVE ROSE GOLD</t>
        </is>
      </c>
      <c r="C1341" s="1" t="n"/>
      <c r="D1341" s="1" t="n"/>
      <c r="E1341" s="1" t="n"/>
      <c r="F1341" s="1" t="n"/>
      <c r="G1341" s="6" t="n">
        <v>37.65088802</v>
      </c>
      <c r="H1341" s="1" t="n"/>
      <c r="I1341" s="1" t="n"/>
      <c r="J1341" s="1" t="n"/>
      <c r="K1341" s="1" t="n"/>
      <c r="L1341" s="1" t="n"/>
      <c r="M1341" s="1" t="n"/>
      <c r="N1341" s="1" t="n"/>
    </row>
    <row r="1342">
      <c r="A1342" s="1" t="inlineStr">
        <is>
          <t>66176c87490bf</t>
        </is>
      </c>
      <c r="B1342" s="1" t="n"/>
      <c r="C1342" s="1" t="n"/>
      <c r="D1342" s="1" t="n"/>
      <c r="E1342" s="1" t="n"/>
      <c r="F1342" s="1" t="n"/>
      <c r="G1342" s="1" t="n"/>
      <c r="H1342" s="1" t="n"/>
      <c r="I1342" s="6" t="n">
        <v>37.92329292</v>
      </c>
      <c r="J1342" s="1" t="n"/>
      <c r="K1342" s="1" t="n"/>
      <c r="L1342" s="1" t="n"/>
      <c r="M1342" s="1" t="n"/>
      <c r="N1342" s="1" t="n"/>
    </row>
    <row r="1343">
      <c r="A1343" s="1" t="inlineStr">
        <is>
          <t>66176c87bb2e1</t>
        </is>
      </c>
      <c r="B1343" s="1" t="inlineStr">
        <is>
          <t>ANILLO LOVE ROSE GOLD</t>
        </is>
      </c>
      <c r="C1343" s="1" t="n"/>
      <c r="D1343" s="1" t="n"/>
      <c r="E1343" s="1" t="n"/>
      <c r="F1343" s="1" t="n"/>
      <c r="G1343" s="1" t="n"/>
      <c r="H1343" s="6" t="n">
        <v>38.16075203</v>
      </c>
      <c r="I1343" s="6" t="n">
        <v>37.92329292</v>
      </c>
      <c r="J1343" s="1" t="n"/>
      <c r="K1343" s="1" t="n"/>
      <c r="L1343" s="1" t="n"/>
      <c r="M1343" s="1" t="n"/>
      <c r="N1343" s="1" t="n"/>
    </row>
    <row r="1344">
      <c r="A1344" s="1" t="inlineStr">
        <is>
          <t>66176c8851d40</t>
        </is>
      </c>
      <c r="B1344" s="1" t="inlineStr">
        <is>
          <t>ANILLO LOVE ROSE GOLD</t>
        </is>
      </c>
      <c r="C1344" s="1" t="n"/>
      <c r="D1344" s="1" t="n"/>
      <c r="E1344" s="1" t="n"/>
      <c r="F1344" s="1" t="n"/>
      <c r="G1344" s="1" t="n"/>
      <c r="H1344" s="1" t="n"/>
      <c r="I1344" s="1" t="n"/>
      <c r="J1344" s="1" t="n"/>
      <c r="K1344" s="1" t="n"/>
      <c r="L1344" s="1" t="n"/>
      <c r="M1344" s="6" t="n">
        <v>37.82629163</v>
      </c>
      <c r="N1344" s="1" t="n"/>
    </row>
    <row r="1345">
      <c r="A1345" s="1" t="inlineStr">
        <is>
          <t>66176c88cd9cc</t>
        </is>
      </c>
      <c r="B1345" s="1" t="n"/>
      <c r="C1345" s="1" t="n"/>
      <c r="D1345" s="1" t="n"/>
      <c r="E1345" s="1" t="n"/>
      <c r="F1345" s="1" t="n"/>
      <c r="G1345" s="1" t="n"/>
      <c r="H1345" s="1" t="n"/>
      <c r="I1345" s="6" t="n">
        <v>37.92329292</v>
      </c>
      <c r="J1345" s="1" t="n"/>
      <c r="K1345" s="1" t="n"/>
      <c r="L1345" s="1" t="n"/>
      <c r="M1345" s="1" t="n"/>
      <c r="N1345" s="1" t="n"/>
    </row>
    <row r="1346">
      <c r="A1346" s="1" t="inlineStr">
        <is>
          <t>66176c895cc2a</t>
        </is>
      </c>
      <c r="B1346" s="1" t="inlineStr">
        <is>
          <t>ANILLO LOVE ROSE GOLD</t>
        </is>
      </c>
      <c r="C1346" s="1" t="n"/>
      <c r="D1346" s="1" t="n"/>
      <c r="E1346" s="1" t="n"/>
      <c r="F1346" s="1" t="n"/>
      <c r="G1346" s="6" t="n">
        <v>37.65088802</v>
      </c>
      <c r="H1346" s="6" t="n">
        <v>38.16075203</v>
      </c>
      <c r="I1346" s="6" t="n">
        <v>37.92329292</v>
      </c>
      <c r="J1346" s="1" t="n"/>
      <c r="K1346" s="1" t="n"/>
      <c r="L1346" s="1" t="n"/>
      <c r="M1346" s="1" t="n"/>
      <c r="N1346" s="1" t="n"/>
    </row>
    <row r="1347">
      <c r="A1347" s="1" t="inlineStr">
        <is>
          <t>66176c8a6cba6</t>
        </is>
      </c>
      <c r="B1347" s="1" t="n"/>
      <c r="C1347" s="1" t="n"/>
      <c r="D1347" s="1" t="n"/>
      <c r="E1347" s="1" t="n"/>
      <c r="F1347" s="1" t="n"/>
      <c r="G1347" s="1" t="n"/>
      <c r="H1347" s="1" t="n"/>
      <c r="I1347" s="6" t="n">
        <v>37.92329292</v>
      </c>
      <c r="J1347" s="1" t="n"/>
      <c r="K1347" s="1" t="n"/>
      <c r="L1347" s="1" t="n"/>
      <c r="M1347" s="1" t="n"/>
      <c r="N1347" s="1" t="n"/>
    </row>
    <row r="1348">
      <c r="A1348" s="1" t="inlineStr">
        <is>
          <t>66176c8ac28e0</t>
        </is>
      </c>
      <c r="B1348" s="1" t="inlineStr">
        <is>
          <t>ANILLO LOVE ROSE GOLD ANCHO</t>
        </is>
      </c>
      <c r="C1348" s="1" t="n"/>
      <c r="D1348" s="1" t="n"/>
      <c r="E1348" s="1" t="n"/>
      <c r="F1348" s="1" t="n"/>
      <c r="G1348" s="6" t="n">
        <v>37.65088802</v>
      </c>
      <c r="H1348" s="1" t="n"/>
      <c r="I1348" s="1" t="n"/>
      <c r="J1348" s="1" t="n"/>
      <c r="K1348" s="1" t="n"/>
      <c r="L1348" s="6" t="n">
        <v>38.19355608</v>
      </c>
      <c r="M1348" s="1" t="n"/>
      <c r="N1348" s="1" t="n"/>
    </row>
    <row r="1349">
      <c r="A1349" s="1" t="inlineStr">
        <is>
          <t>66176c8b55e0c</t>
        </is>
      </c>
      <c r="B1349" s="1" t="inlineStr">
        <is>
          <t>ANILLO LOVE ROSE GOLD ANCHO</t>
        </is>
      </c>
      <c r="C1349" s="1" t="n"/>
      <c r="D1349" s="6" t="n">
        <v>42.19377154</v>
      </c>
      <c r="E1349" s="1" t="n"/>
      <c r="F1349" s="1" t="n"/>
      <c r="G1349" s="6" t="n">
        <v>37.65088802</v>
      </c>
      <c r="H1349" s="1" t="n"/>
      <c r="I1349" s="1" t="n"/>
      <c r="J1349" s="1" t="n"/>
      <c r="K1349" s="1" t="n"/>
      <c r="L1349" s="1" t="n"/>
      <c r="M1349" s="1" t="n"/>
      <c r="N1349" s="1" t="n"/>
    </row>
    <row r="1350">
      <c r="A1350" s="1" t="inlineStr">
        <is>
          <t>66176c8bd1187</t>
        </is>
      </c>
      <c r="B1350" s="1" t="inlineStr">
        <is>
          <t>ANILLO LOVE ROSE GOLD ANCHO (WIDE)</t>
        </is>
      </c>
      <c r="C1350" s="1" t="n"/>
      <c r="D1350" s="1" t="n"/>
      <c r="E1350" s="1" t="n"/>
      <c r="F1350" s="1" t="n"/>
      <c r="G1350" s="1" t="n"/>
      <c r="H1350" s="1" t="n"/>
      <c r="I1350" s="1" t="n"/>
      <c r="J1350" s="1" t="n"/>
      <c r="K1350" s="6" t="n">
        <v>37.85665246</v>
      </c>
      <c r="L1350" s="1" t="n"/>
      <c r="M1350" s="6" t="n">
        <v>37.82629163</v>
      </c>
      <c r="N1350" s="1" t="n"/>
    </row>
    <row r="1351">
      <c r="A1351" s="1" t="inlineStr">
        <is>
          <t>66176c8c6241e</t>
        </is>
      </c>
      <c r="B1351" s="1" t="inlineStr">
        <is>
          <t>ANILLO LOVE ROSE GOLD ANCHO</t>
        </is>
      </c>
      <c r="C1351" s="1" t="n"/>
      <c r="D1351" s="1" t="n"/>
      <c r="E1351" s="1" t="n"/>
      <c r="F1351" s="6" t="n">
        <v>37.9088972</v>
      </c>
      <c r="G1351" s="1" t="n"/>
      <c r="H1351" s="1" t="n"/>
      <c r="I1351" s="1" t="n"/>
      <c r="J1351" s="1" t="n"/>
      <c r="K1351" s="1" t="n"/>
      <c r="L1351" s="1" t="n"/>
      <c r="M1351" s="1" t="n"/>
      <c r="N1351" s="1" t="n"/>
    </row>
    <row r="1352">
      <c r="A1352" s="1" t="inlineStr">
        <is>
          <t>66176c8d6ed4d</t>
        </is>
      </c>
      <c r="B1352" s="1" t="inlineStr">
        <is>
          <t>ANILLO LOVE ROSE GOLD ANCHO</t>
        </is>
      </c>
      <c r="C1352" s="1" t="n"/>
      <c r="D1352" s="1" t="n"/>
      <c r="E1352" s="1" t="n"/>
      <c r="F1352" s="6" t="n">
        <v>37.9088972</v>
      </c>
      <c r="G1352" s="1" t="n"/>
      <c r="H1352" s="1" t="n"/>
      <c r="I1352" s="1" t="n"/>
      <c r="J1352" s="1" t="n"/>
      <c r="K1352" s="1" t="n"/>
      <c r="L1352" s="1" t="n"/>
      <c r="M1352" s="1" t="n"/>
      <c r="N1352" s="1" t="n"/>
    </row>
    <row r="1353">
      <c r="A1353" s="1" t="inlineStr">
        <is>
          <t>66176c908bd7d</t>
        </is>
      </c>
      <c r="B1353" s="1" t="inlineStr">
        <is>
          <t>ANILLO LOVE GOLD ANCHO (WIDHT WITh ZIRCONIAS)</t>
        </is>
      </c>
      <c r="C1353" s="1" t="n"/>
      <c r="D1353" s="6" t="n">
        <v>38.26020791</v>
      </c>
      <c r="E1353" s="1" t="n"/>
      <c r="F1353" s="1" t="n"/>
      <c r="G1353" s="1" t="n"/>
      <c r="H1353" s="1" t="n"/>
      <c r="I1353" s="1" t="n"/>
      <c r="J1353" s="1" t="n"/>
      <c r="K1353" s="6" t="n">
        <v>37.85665246</v>
      </c>
      <c r="L1353" s="1" t="n"/>
      <c r="M1353" s="1" t="n"/>
      <c r="N1353" s="1" t="n"/>
    </row>
    <row r="1354">
      <c r="A1354" s="1" t="inlineStr">
        <is>
          <t>66176c9121303</t>
        </is>
      </c>
      <c r="B1354" s="1" t="inlineStr">
        <is>
          <t>ANILLO LOVE GOLD ANCHO CON ZIRCONIA</t>
        </is>
      </c>
      <c r="C1354" s="1" t="n"/>
      <c r="D1354" s="1" t="n"/>
      <c r="E1354" s="1" t="n"/>
      <c r="F1354" s="6" t="n">
        <v>37.9088972</v>
      </c>
      <c r="G1354" s="1" t="n"/>
      <c r="H1354" s="1" t="n"/>
      <c r="I1354" s="1" t="n"/>
      <c r="J1354" s="1" t="n"/>
      <c r="K1354" s="1" t="n"/>
      <c r="L1354" s="1" t="n"/>
      <c r="M1354" s="1" t="n"/>
      <c r="N1354" s="1" t="n"/>
    </row>
    <row r="1355">
      <c r="A1355" s="1" t="inlineStr">
        <is>
          <t>66176c91b3d77</t>
        </is>
      </c>
      <c r="B1355" s="1" t="inlineStr">
        <is>
          <t>ANILLO LOVE GOLD ANCHO CON ZIRCONIA</t>
        </is>
      </c>
      <c r="C1355" s="1" t="n"/>
      <c r="D1355" s="6" t="n">
        <v>37.97439438</v>
      </c>
      <c r="E1355" s="1" t="n"/>
      <c r="F1355" s="6" t="n">
        <v>37.9088972</v>
      </c>
      <c r="G1355" s="1" t="n"/>
      <c r="H1355" s="1" t="n"/>
      <c r="I1355" s="1" t="n"/>
      <c r="J1355" s="1" t="n"/>
      <c r="K1355" s="1" t="n"/>
      <c r="L1355" s="6" t="n">
        <v>38.19355608</v>
      </c>
      <c r="M1355" s="1" t="n"/>
      <c r="N1355" s="1" t="n"/>
    </row>
    <row r="1356">
      <c r="A1356" s="1" t="inlineStr">
        <is>
          <t>66176c924830f</t>
        </is>
      </c>
      <c r="B1356" s="1" t="inlineStr">
        <is>
          <t>ANILLO LOVE GOLD ANCHO CON ZIRCONIA(WIDE)</t>
        </is>
      </c>
      <c r="C1356" s="1" t="n"/>
      <c r="D1356" s="1" t="n"/>
      <c r="E1356" s="1" t="n"/>
      <c r="F1356" s="1" t="n"/>
      <c r="G1356" s="1" t="n"/>
      <c r="H1356" s="6" t="n">
        <v>38.16075203</v>
      </c>
      <c r="I1356" s="6" t="n">
        <v>63.2054882</v>
      </c>
      <c r="J1356" s="1" t="n"/>
      <c r="K1356" s="1" t="n"/>
      <c r="L1356" s="1" t="n"/>
      <c r="M1356" s="6" t="n">
        <v>37.82629163</v>
      </c>
      <c r="N1356" s="1" t="n"/>
    </row>
    <row r="1357">
      <c r="A1357" s="1" t="inlineStr">
        <is>
          <t>66176c92ddb57</t>
        </is>
      </c>
      <c r="B1357" s="1" t="inlineStr">
        <is>
          <t>ANILLO LOVE GOLD ANCHO CON ZIRCONIA</t>
        </is>
      </c>
      <c r="C1357" s="1" t="n"/>
      <c r="D1357" s="6" t="n">
        <v>38.26020791</v>
      </c>
      <c r="E1357" s="1" t="n"/>
      <c r="F1357" s="6" t="n">
        <v>37.9088972</v>
      </c>
      <c r="G1357" s="1" t="n"/>
      <c r="H1357" s="6" t="n">
        <v>38.16075203</v>
      </c>
      <c r="I1357" s="1" t="n"/>
      <c r="J1357" s="1" t="n"/>
      <c r="K1357" s="1" t="n"/>
      <c r="L1357" s="6" t="n">
        <v>37.987143805</v>
      </c>
      <c r="M1357" s="1" t="n"/>
      <c r="N1357" s="1" t="n"/>
    </row>
    <row r="1358">
      <c r="A1358" s="1" t="inlineStr">
        <is>
          <t>66176c93808a4</t>
        </is>
      </c>
      <c r="B1358" s="1" t="inlineStr">
        <is>
          <t>ANILLO LOVE GOLD ANCHO CON ZIRCONIA</t>
        </is>
      </c>
      <c r="C1358" s="1" t="n"/>
      <c r="D1358" s="1" t="n"/>
      <c r="E1358" s="1" t="n"/>
      <c r="F1358" s="1" t="n"/>
      <c r="G1358" s="6" t="n">
        <v>37.65088802</v>
      </c>
      <c r="H1358" s="1" t="n"/>
      <c r="I1358" s="6" t="n">
        <v>63.2054882</v>
      </c>
      <c r="J1358" s="1" t="n"/>
      <c r="K1358" s="1" t="n"/>
      <c r="L1358" s="1" t="n"/>
      <c r="M1358" s="1" t="n"/>
      <c r="N1358" s="1" t="n"/>
    </row>
    <row r="1359">
      <c r="A1359" s="1" t="inlineStr">
        <is>
          <t>66176cdacbf36</t>
        </is>
      </c>
      <c r="B1359" s="1" t="inlineStr">
        <is>
          <t>ANILLO CLAVO ZIRCONIA GOLD</t>
        </is>
      </c>
      <c r="C1359" s="1" t="n"/>
      <c r="D1359" s="1" t="n"/>
      <c r="E1359" s="1" t="n"/>
      <c r="F1359" s="1" t="n"/>
      <c r="G1359" s="1" t="n"/>
      <c r="H1359" s="1" t="n"/>
      <c r="I1359" s="1" t="n"/>
      <c r="J1359" s="6" t="n">
        <v>53.25974054</v>
      </c>
      <c r="K1359" s="1" t="n"/>
      <c r="L1359" s="1" t="n"/>
      <c r="M1359" s="1" t="n"/>
      <c r="N1359" s="1" t="n"/>
    </row>
    <row r="1360">
      <c r="A1360" s="1" t="inlineStr">
        <is>
          <t>66176cdae92c1</t>
        </is>
      </c>
      <c r="B1360" s="1" t="inlineStr">
        <is>
          <t>ANILLO CLAVO GOLD</t>
        </is>
      </c>
      <c r="C1360" s="1" t="n"/>
      <c r="D1360" s="1" t="n"/>
      <c r="E1360" s="1" t="n"/>
      <c r="F1360" s="1" t="n"/>
      <c r="G1360" s="6" t="n">
        <v>52.29290003</v>
      </c>
      <c r="H1360" s="6" t="n">
        <v>53.00104448</v>
      </c>
      <c r="I1360" s="6" t="n">
        <v>52.67124016</v>
      </c>
      <c r="J1360" s="1" t="n"/>
      <c r="K1360" s="6" t="n">
        <v>52.57868397</v>
      </c>
      <c r="L1360" s="1" t="n"/>
      <c r="M1360" s="6" t="n">
        <v>52.53651615</v>
      </c>
      <c r="N1360" s="1" t="n"/>
    </row>
    <row r="1361">
      <c r="A1361" s="1" t="inlineStr">
        <is>
          <t>66176cdaf1735</t>
        </is>
      </c>
      <c r="B1361" s="1" t="inlineStr">
        <is>
          <t>ANILLO CLAVO SILVER (WITHOUT ZIRCONIAS)</t>
        </is>
      </c>
      <c r="C1361" s="1" t="n"/>
      <c r="D1361" s="1" t="n"/>
      <c r="E1361" s="1" t="n"/>
      <c r="F1361" s="6" t="n">
        <v>52.65124611</v>
      </c>
      <c r="G1361" s="1" t="n"/>
      <c r="H1361" s="1" t="n"/>
      <c r="I1361" s="6" t="n">
        <v>52.67124016</v>
      </c>
      <c r="J1361" s="1" t="n"/>
      <c r="K1361" s="6" t="n">
        <v>52.57868397</v>
      </c>
      <c r="L1361" s="1" t="n"/>
      <c r="M1361" s="1" t="n"/>
      <c r="N1361" s="1" t="n"/>
    </row>
    <row r="1362">
      <c r="A1362" s="1" t="inlineStr">
        <is>
          <t>66176cdb6225d</t>
        </is>
      </c>
      <c r="B1362" s="1" t="inlineStr">
        <is>
          <t>ANILLO CLAVO ZIRCONIA GOLD</t>
        </is>
      </c>
      <c r="C1362" s="1" t="n"/>
      <c r="D1362" s="1" t="n"/>
      <c r="E1362" s="1" t="n"/>
      <c r="F1362" s="1" t="n"/>
      <c r="G1362" s="1" t="n"/>
      <c r="H1362" s="1" t="n"/>
      <c r="I1362" s="1" t="n"/>
      <c r="J1362" s="6" t="n">
        <v>53.25974054</v>
      </c>
      <c r="K1362" s="1" t="n"/>
      <c r="L1362" s="1" t="n"/>
      <c r="M1362" s="6" t="n">
        <v>52.53651615</v>
      </c>
      <c r="N1362" s="1" t="n"/>
    </row>
    <row r="1363">
      <c r="A1363" s="1" t="inlineStr">
        <is>
          <t>66176cdb7d238</t>
        </is>
      </c>
      <c r="B1363" s="1" t="inlineStr">
        <is>
          <t>ANILLO CLAVO SILVER (WITHOUT ZIRCONIAS)</t>
        </is>
      </c>
      <c r="C1363" s="1" t="n"/>
      <c r="D1363" s="1" t="n"/>
      <c r="E1363" s="1" t="n"/>
      <c r="F1363" s="1" t="n"/>
      <c r="G1363" s="6" t="n">
        <v>52.29290003</v>
      </c>
      <c r="H1363" s="1" t="n"/>
      <c r="I1363" s="1" t="n"/>
      <c r="J1363" s="1" t="n"/>
      <c r="K1363" s="6" t="n">
        <v>52.57868397</v>
      </c>
      <c r="L1363" s="1" t="n"/>
      <c r="M1363" s="1" t="n"/>
      <c r="N1363" s="1" t="n"/>
    </row>
    <row r="1364">
      <c r="A1364" s="1" t="inlineStr">
        <is>
          <t>66176cdb9f129</t>
        </is>
      </c>
      <c r="B1364" s="1" t="inlineStr">
        <is>
          <t>ANILLO CLAVO GOLD</t>
        </is>
      </c>
      <c r="C1364" s="1" t="n"/>
      <c r="D1364" s="6" t="n">
        <v>52.94069604</v>
      </c>
      <c r="E1364" s="1" t="n"/>
      <c r="F1364" s="6" t="n">
        <v>52.65124611</v>
      </c>
      <c r="G1364" s="6" t="n">
        <v>52.29290003</v>
      </c>
      <c r="H1364" s="1" t="n"/>
      <c r="I1364" s="6" t="n">
        <v>52.67124016</v>
      </c>
      <c r="J1364" s="6" t="n">
        <v>53.25974054</v>
      </c>
      <c r="K1364" s="1" t="n"/>
      <c r="L1364" s="6" t="n">
        <v>52.47323824</v>
      </c>
      <c r="M1364" s="1" t="n"/>
      <c r="N1364" s="1" t="n"/>
    </row>
    <row r="1365">
      <c r="A1365" s="1" t="inlineStr">
        <is>
          <t>66176cdbe0e8a</t>
        </is>
      </c>
      <c r="B1365" s="1" t="inlineStr">
        <is>
          <t>ANILLO CLAVO ZIRCONIA GOLD</t>
        </is>
      </c>
      <c r="C1365" s="1" t="n"/>
      <c r="D1365" s="1" t="n"/>
      <c r="E1365" s="1" t="n"/>
      <c r="F1365" s="1" t="n"/>
      <c r="G1365" s="1" t="n"/>
      <c r="H1365" s="1" t="n"/>
      <c r="I1365" s="1" t="n"/>
      <c r="J1365" s="6" t="n">
        <v>53.25974054</v>
      </c>
      <c r="K1365" s="1" t="n"/>
      <c r="L1365" s="6" t="n">
        <v>52.47323824</v>
      </c>
      <c r="M1365" s="6" t="n">
        <v>52.53651615</v>
      </c>
      <c r="N1365" s="1" t="n"/>
    </row>
    <row r="1366">
      <c r="A1366" s="1" t="inlineStr">
        <is>
          <t>66176cdc142e2</t>
        </is>
      </c>
      <c r="B1366" s="1" t="inlineStr">
        <is>
          <t>ANILLO CLAVO SILVER</t>
        </is>
      </c>
      <c r="C1366" s="1" t="n"/>
      <c r="D1366" s="6" t="n">
        <v>53.13917766</v>
      </c>
      <c r="E1366" s="1" t="n"/>
      <c r="F1366" s="1" t="n"/>
      <c r="G1366" s="6" t="n">
        <v>52.29290003</v>
      </c>
      <c r="H1366" s="1" t="n"/>
      <c r="I1366" s="1" t="n"/>
      <c r="J1366" s="1" t="n"/>
      <c r="K1366" s="6" t="n">
        <v>52.57868397</v>
      </c>
      <c r="L1366" s="6" t="n">
        <v>53.04660567</v>
      </c>
      <c r="M1366" s="1" t="n"/>
      <c r="N1366" s="1" t="n"/>
    </row>
    <row r="1367">
      <c r="A1367" s="1" t="inlineStr">
        <is>
          <t>66176cdc59c57</t>
        </is>
      </c>
      <c r="B1367" s="1" t="inlineStr">
        <is>
          <t>ANILLO CLAVO GOLD (WITHOUT ZIRCONIAS)</t>
        </is>
      </c>
      <c r="C1367" s="1" t="n"/>
      <c r="D1367" s="6" t="n">
        <v>52.94069604</v>
      </c>
      <c r="E1367" s="1" t="n"/>
      <c r="F1367" s="6" t="n">
        <v>52.65124611</v>
      </c>
      <c r="G1367" s="6" t="n">
        <v>52.29290003</v>
      </c>
      <c r="H1367" s="6" t="n">
        <v>53.00104448</v>
      </c>
      <c r="I1367" s="1" t="n"/>
      <c r="J1367" s="1" t="n"/>
      <c r="K1367" s="6" t="n">
        <v>52.57868397</v>
      </c>
      <c r="L1367" s="1" t="n"/>
      <c r="M1367" s="1" t="n"/>
      <c r="N1367" s="1" t="n"/>
    </row>
    <row r="1368">
      <c r="A1368" s="1" t="inlineStr">
        <is>
          <t>66176cdc74210</t>
        </is>
      </c>
      <c r="B1368" s="1" t="inlineStr">
        <is>
          <t>ANILLO CLAVO ZIRCONIA GOLD</t>
        </is>
      </c>
      <c r="C1368" s="1" t="n"/>
      <c r="D1368" s="1" t="n"/>
      <c r="E1368" s="1" t="n"/>
      <c r="F1368" s="1" t="n"/>
      <c r="G1368" s="1" t="n"/>
      <c r="H1368" s="1" t="n"/>
      <c r="I1368" s="1" t="n"/>
      <c r="J1368" s="6" t="n">
        <v>53.25974054</v>
      </c>
      <c r="K1368" s="1" t="n"/>
      <c r="L1368" s="6" t="n">
        <v>52.47323824</v>
      </c>
      <c r="M1368" s="1" t="n"/>
      <c r="N1368" s="1" t="n"/>
    </row>
    <row r="1369">
      <c r="A1369" s="1" t="inlineStr">
        <is>
          <t>66176cdcae75a</t>
        </is>
      </c>
      <c r="B1369" s="1" t="inlineStr">
        <is>
          <t>ANILLO CLAVO SILVER</t>
        </is>
      </c>
      <c r="C1369" s="1" t="n"/>
      <c r="D1369" s="6" t="n">
        <v>52.74221442</v>
      </c>
      <c r="E1369" s="1" t="n"/>
      <c r="F1369" s="1" t="n"/>
      <c r="G1369" s="1" t="n"/>
      <c r="H1369" s="1" t="n"/>
      <c r="I1369" s="1" t="n"/>
      <c r="J1369" s="1" t="n"/>
      <c r="K1369" s="1" t="n"/>
      <c r="L1369" s="1" t="n"/>
      <c r="M1369" s="1" t="n"/>
      <c r="N1369" s="1" t="n"/>
    </row>
    <row r="1370">
      <c r="A1370" s="1" t="inlineStr">
        <is>
          <t>66176cdce18ea</t>
        </is>
      </c>
      <c r="B1370" s="1" t="inlineStr">
        <is>
          <t>ANILLO CLAVO GOLD</t>
        </is>
      </c>
      <c r="C1370" s="1" t="n"/>
      <c r="D1370" s="6" t="n">
        <v>53.13917766</v>
      </c>
      <c r="E1370" s="1" t="n"/>
      <c r="F1370" s="6" t="n">
        <v>52.65124611</v>
      </c>
      <c r="G1370" s="6" t="n">
        <v>52.29290003</v>
      </c>
      <c r="H1370" s="1" t="n"/>
      <c r="I1370" s="1" t="n"/>
      <c r="J1370" s="6" t="n">
        <v>53.25974054</v>
      </c>
      <c r="K1370" s="1" t="n"/>
      <c r="L1370" s="1" t="n"/>
      <c r="M1370" s="6" t="n">
        <v>52.53651615</v>
      </c>
      <c r="N1370" s="1" t="n"/>
    </row>
    <row r="1371">
      <c r="A1371" s="1" t="inlineStr">
        <is>
          <t>66176cdd1243a</t>
        </is>
      </c>
      <c r="B1371" s="1" t="inlineStr">
        <is>
          <t>ANILLO CLAVO ZIRCONIA GOLD</t>
        </is>
      </c>
      <c r="C1371" s="1" t="n"/>
      <c r="D1371" s="1" t="n"/>
      <c r="E1371" s="1" t="n"/>
      <c r="F1371" s="1" t="n"/>
      <c r="G1371" s="1" t="n"/>
      <c r="H1371" s="1" t="n"/>
      <c r="I1371" s="1" t="n"/>
      <c r="J1371" s="6" t="n">
        <v>53.25974054</v>
      </c>
      <c r="K1371" s="1" t="n"/>
      <c r="L1371" s="6" t="n">
        <v>52.47323824</v>
      </c>
      <c r="M1371" s="1" t="n"/>
      <c r="N1371" s="1" t="n"/>
    </row>
    <row r="1372">
      <c r="A1372" s="1" t="inlineStr">
        <is>
          <t>66176cdd461aa</t>
        </is>
      </c>
      <c r="B1372" s="1" t="inlineStr">
        <is>
          <t>ANILLO CLAVO SILVER</t>
        </is>
      </c>
      <c r="C1372" s="1" t="n"/>
      <c r="D1372" s="6" t="n">
        <v>52.74221442</v>
      </c>
      <c r="E1372" s="1" t="n"/>
      <c r="F1372" s="1" t="n"/>
      <c r="G1372" s="1" t="n"/>
      <c r="H1372" s="1" t="n"/>
      <c r="I1372" s="6" t="n">
        <v>52.67124016</v>
      </c>
      <c r="J1372" s="1" t="n"/>
      <c r="K1372" s="1" t="n"/>
      <c r="L1372" s="1" t="n"/>
      <c r="M1372" s="1" t="n"/>
      <c r="N1372" s="1" t="n"/>
    </row>
    <row r="1373">
      <c r="A1373" s="1" t="inlineStr">
        <is>
          <t>66176cdd7cc61</t>
        </is>
      </c>
      <c r="B1373" s="1" t="inlineStr">
        <is>
          <t>ANILLO CLAVO GOLD</t>
        </is>
      </c>
      <c r="C1373" s="1" t="n"/>
      <c r="D1373" s="6" t="n">
        <v>53.13917766</v>
      </c>
      <c r="E1373" s="1" t="n"/>
      <c r="F1373" s="6" t="n">
        <v>52.65124611</v>
      </c>
      <c r="G1373" s="6" t="n">
        <v>52.29290003</v>
      </c>
      <c r="H1373" s="1" t="n"/>
      <c r="I1373" s="6" t="n">
        <v>52.67124016</v>
      </c>
      <c r="J1373" s="1" t="n"/>
      <c r="K1373" s="1" t="n"/>
      <c r="L1373" s="1" t="n"/>
      <c r="M1373" s="6" t="n">
        <v>52.53651615</v>
      </c>
      <c r="N1373" s="1" t="n"/>
    </row>
    <row r="1374">
      <c r="A1374" s="1" t="inlineStr">
        <is>
          <t>66176cde0d667</t>
        </is>
      </c>
      <c r="B1374" s="1" t="inlineStr">
        <is>
          <t>ANILLO CLAVO ZIRCONIA ROSE GOLD (WITH ZIRCONIAS)</t>
        </is>
      </c>
      <c r="C1374" s="1" t="n"/>
      <c r="D1374" s="1" t="n"/>
      <c r="E1374" s="1" t="n"/>
      <c r="F1374" s="1" t="n"/>
      <c r="G1374" s="1" t="n"/>
      <c r="H1374" s="1" t="n"/>
      <c r="I1374" s="1" t="n"/>
      <c r="J1374" s="1" t="n"/>
      <c r="K1374" s="6" t="n">
        <v>52.57868397</v>
      </c>
      <c r="L1374" s="1" t="n"/>
      <c r="M1374" s="1" t="n"/>
      <c r="N1374" s="1" t="n"/>
    </row>
    <row r="1375">
      <c r="A1375" s="1" t="inlineStr">
        <is>
          <t>66176cde28afb</t>
        </is>
      </c>
      <c r="B1375" s="1" t="inlineStr">
        <is>
          <t>ANILLO CLAVO GOLD</t>
        </is>
      </c>
      <c r="C1375" s="1" t="n"/>
      <c r="D1375" s="1" t="n"/>
      <c r="E1375" s="1" t="n"/>
      <c r="F1375" s="1" t="n"/>
      <c r="G1375" s="1" t="n"/>
      <c r="H1375" s="1" t="n"/>
      <c r="I1375" s="6" t="n">
        <v>52.67124016</v>
      </c>
      <c r="J1375" s="1" t="n"/>
      <c r="K1375" s="6" t="n">
        <v>52.57868397</v>
      </c>
      <c r="L1375" s="1" t="n"/>
      <c r="M1375" s="6" t="n">
        <v>52.53651615</v>
      </c>
      <c r="N1375" s="1" t="n"/>
    </row>
    <row r="1376">
      <c r="A1376" s="1" t="inlineStr">
        <is>
          <t>66176cde74709</t>
        </is>
      </c>
      <c r="B1376" s="1" t="inlineStr">
        <is>
          <t>ANILLO CLAVO SILVER</t>
        </is>
      </c>
      <c r="C1376" s="1" t="n"/>
      <c r="D1376" s="1" t="n"/>
      <c r="E1376" s="1" t="n"/>
      <c r="F1376" s="1" t="n"/>
      <c r="G1376" s="6" t="n">
        <v>52.29290003</v>
      </c>
      <c r="H1376" s="1" t="n"/>
      <c r="I1376" s="1" t="n"/>
      <c r="J1376" s="1" t="n"/>
      <c r="K1376" s="1" t="n"/>
      <c r="L1376" s="1" t="n"/>
      <c r="M1376" s="1" t="n"/>
      <c r="N1376" s="1" t="n"/>
    </row>
    <row r="1377">
      <c r="A1377" s="1" t="inlineStr">
        <is>
          <t>66176cde9bf02</t>
        </is>
      </c>
      <c r="B1377" s="1" t="inlineStr">
        <is>
          <t>ANILLO CLAVO ZIRCONIA ROSE GOLD</t>
        </is>
      </c>
      <c r="C1377" s="1" t="n"/>
      <c r="D1377" s="1" t="n"/>
      <c r="E1377" s="1" t="n"/>
      <c r="F1377" s="1" t="n"/>
      <c r="G1377" s="1" t="n"/>
      <c r="H1377" s="1" t="n"/>
      <c r="I1377" s="1" t="n"/>
      <c r="J1377" s="6" t="n">
        <v>53.25974054</v>
      </c>
      <c r="K1377" s="1" t="n"/>
      <c r="L1377" s="1" t="n"/>
      <c r="M1377" s="1" t="n"/>
      <c r="N1377" s="1" t="n"/>
    </row>
    <row r="1378">
      <c r="A1378" s="1" t="inlineStr">
        <is>
          <t>66176cdeab849</t>
        </is>
      </c>
      <c r="B1378" s="1" t="inlineStr">
        <is>
          <t>ANILLO CLAVO GOLD</t>
        </is>
      </c>
      <c r="C1378" s="1" t="n"/>
      <c r="D1378" s="1" t="n"/>
      <c r="E1378" s="1" t="n"/>
      <c r="F1378" s="6" t="n">
        <v>52.65124611</v>
      </c>
      <c r="G1378" s="1" t="n"/>
      <c r="H1378" s="1" t="n"/>
      <c r="I1378" s="1" t="n"/>
      <c r="J1378" s="1" t="n"/>
      <c r="K1378" s="1" t="n"/>
      <c r="L1378" s="1" t="n"/>
      <c r="M1378" s="1" t="n"/>
      <c r="N1378" s="1" t="n"/>
    </row>
    <row r="1379">
      <c r="A1379" s="1" t="inlineStr">
        <is>
          <t>66176cdf23c82</t>
        </is>
      </c>
      <c r="B1379" s="1" t="inlineStr">
        <is>
          <t>ANILLO CLAVO ZIRCONIA ROSE GOLD</t>
        </is>
      </c>
      <c r="C1379" s="1" t="n"/>
      <c r="D1379" s="1" t="n"/>
      <c r="E1379" s="1" t="n"/>
      <c r="F1379" s="1" t="n"/>
      <c r="G1379" s="1" t="n"/>
      <c r="H1379" s="1" t="n"/>
      <c r="I1379" s="1" t="n"/>
      <c r="J1379" s="6" t="n">
        <v>53.25974054</v>
      </c>
      <c r="K1379" s="1" t="n"/>
      <c r="L1379" s="6" t="n">
        <v>52.47323824</v>
      </c>
      <c r="M1379" s="1" t="n"/>
      <c r="N1379" s="1" t="n"/>
    </row>
    <row r="1380">
      <c r="A1380" s="1" t="inlineStr">
        <is>
          <t>66176cdfac886</t>
        </is>
      </c>
      <c r="B1380" s="1" t="inlineStr">
        <is>
          <t>ANILLO CLAVO ZIRCONIA ROSE GOLD</t>
        </is>
      </c>
      <c r="C1380" s="1" t="n"/>
      <c r="D1380" s="1" t="n"/>
      <c r="E1380" s="1" t="n"/>
      <c r="F1380" s="1" t="n"/>
      <c r="G1380" s="1" t="n"/>
      <c r="H1380" s="1" t="n"/>
      <c r="I1380" s="1" t="n"/>
      <c r="J1380" s="6" t="n">
        <v>53.25974054</v>
      </c>
      <c r="K1380" s="1" t="n"/>
      <c r="L1380" s="1" t="n"/>
      <c r="M1380" s="6" t="n">
        <v>52.53651615</v>
      </c>
      <c r="N1380" s="1" t="n"/>
    </row>
    <row r="1381">
      <c r="A1381" s="1" t="inlineStr">
        <is>
          <t>66176ce0abf98</t>
        </is>
      </c>
      <c r="B1381" s="1" t="inlineStr">
        <is>
          <t>ANILLO CLAVO ROSE GOLD</t>
        </is>
      </c>
      <c r="C1381" s="1" t="n"/>
      <c r="D1381" s="6" t="n">
        <v>53.13917766</v>
      </c>
      <c r="E1381" s="1" t="n"/>
      <c r="F1381" s="1" t="n"/>
      <c r="G1381" s="1" t="n"/>
      <c r="H1381" s="1" t="n"/>
      <c r="I1381" s="1" t="n"/>
      <c r="J1381" s="1" t="n"/>
      <c r="K1381" s="6" t="n">
        <v>52.57868397</v>
      </c>
      <c r="L1381" s="1" t="n"/>
      <c r="M1381" s="6" t="n">
        <v>52.53651615</v>
      </c>
      <c r="N1381" s="1" t="n"/>
    </row>
    <row r="1382">
      <c r="A1382" s="1" t="inlineStr">
        <is>
          <t>66176ce151d29</t>
        </is>
      </c>
      <c r="B1382" s="1" t="inlineStr">
        <is>
          <t>ANILLO CLAVO ROSE GOLD</t>
        </is>
      </c>
      <c r="C1382" s="1" t="n"/>
      <c r="D1382" s="6" t="n">
        <v>53.13917766</v>
      </c>
      <c r="E1382" s="1" t="n"/>
      <c r="F1382" s="6" t="n">
        <v>52.65124611</v>
      </c>
      <c r="G1382" s="6" t="n">
        <v>52.29290003</v>
      </c>
      <c r="H1382" s="1" t="n"/>
      <c r="I1382" s="1" t="n"/>
      <c r="J1382" s="1" t="n"/>
      <c r="K1382" s="6" t="n">
        <v>52.57868397</v>
      </c>
      <c r="L1382" s="1" t="n"/>
      <c r="M1382" s="6" t="n">
        <v>52.53651615</v>
      </c>
      <c r="N1382" s="1" t="n"/>
    </row>
    <row r="1383">
      <c r="A1383" s="1" t="inlineStr">
        <is>
          <t>66176ce1d817d</t>
        </is>
      </c>
      <c r="B1383" s="1" t="inlineStr">
        <is>
          <t>ANILLO CLAVO ROSE GOLD</t>
        </is>
      </c>
      <c r="C1383" s="1" t="n"/>
      <c r="D1383" s="6" t="n">
        <v>52.94069604</v>
      </c>
      <c r="E1383" s="1" t="n"/>
      <c r="F1383" s="1" t="n"/>
      <c r="G1383" s="1" t="n"/>
      <c r="H1383" s="1" t="n"/>
      <c r="I1383" s="1" t="n"/>
      <c r="J1383" s="1" t="n"/>
      <c r="K1383" s="1" t="n"/>
      <c r="L1383" s="6" t="n">
        <v>52.47323824</v>
      </c>
      <c r="M1383" s="6" t="n">
        <v>52.53651615</v>
      </c>
      <c r="N1383" s="1" t="n"/>
    </row>
    <row r="1384">
      <c r="A1384" s="1" t="inlineStr">
        <is>
          <t>66176ce26bdb9</t>
        </is>
      </c>
      <c r="B1384" s="1" t="inlineStr">
        <is>
          <t>ANILLO CLAVO ROSE GOLD</t>
        </is>
      </c>
      <c r="C1384" s="1" t="n"/>
      <c r="D1384" s="1" t="n"/>
      <c r="E1384" s="1" t="n"/>
      <c r="F1384" s="1" t="n"/>
      <c r="G1384" s="6" t="n">
        <v>52.29290003</v>
      </c>
      <c r="H1384" s="1" t="n"/>
      <c r="I1384" s="1" t="n"/>
      <c r="J1384" s="6" t="n">
        <v>53.25974054</v>
      </c>
      <c r="K1384" s="1" t="n"/>
      <c r="L1384" s="1" t="n"/>
      <c r="M1384" s="6" t="n">
        <v>52.53651615</v>
      </c>
      <c r="N1384" s="1" t="n"/>
    </row>
    <row r="1385">
      <c r="A1385" s="1" t="inlineStr">
        <is>
          <t>66176ce3090a4</t>
        </is>
      </c>
      <c r="B1385" s="1" t="inlineStr">
        <is>
          <t>ANILLO CLAVO ROSE GOLD</t>
        </is>
      </c>
      <c r="C1385" s="1" t="n"/>
      <c r="D1385" s="1" t="n"/>
      <c r="E1385" s="1" t="n"/>
      <c r="F1385" s="1" t="n"/>
      <c r="G1385" s="6" t="n">
        <v>52.29290003</v>
      </c>
      <c r="H1385" s="1" t="n"/>
      <c r="I1385" s="1" t="n"/>
      <c r="J1385" s="6" t="n">
        <v>53.25974054</v>
      </c>
      <c r="K1385" s="1" t="n"/>
      <c r="L1385" s="1" t="n"/>
      <c r="M1385" s="1" t="n"/>
      <c r="N1385" s="1" t="n"/>
    </row>
    <row r="1386">
      <c r="A1386" s="1" t="inlineStr">
        <is>
          <t>66176ce38fa21</t>
        </is>
      </c>
      <c r="B1386" s="1" t="inlineStr">
        <is>
          <t>ANILLO CLAVO ROSE GOLD</t>
        </is>
      </c>
      <c r="C1386" s="1" t="n"/>
      <c r="D1386" s="6" t="n">
        <v>52.74221442</v>
      </c>
      <c r="E1386" s="1" t="n"/>
      <c r="F1386" s="1" t="n"/>
      <c r="G1386" s="1" t="n"/>
      <c r="H1386" s="1" t="n"/>
      <c r="I1386" s="1" t="n"/>
      <c r="J1386" s="1" t="n"/>
      <c r="K1386" s="1" t="n"/>
      <c r="L1386" s="1" t="n"/>
      <c r="M1386" s="1" t="n"/>
      <c r="N1386" s="1" t="n"/>
    </row>
    <row r="1387">
      <c r="A1387" s="1" t="inlineStr">
        <is>
          <t>66176ce532532</t>
        </is>
      </c>
      <c r="B1387" s="1" t="inlineStr">
        <is>
          <t>ANILLO CLAVO SILVER CON ZIRCONIA</t>
        </is>
      </c>
      <c r="C1387" s="1" t="n"/>
      <c r="D1387" s="1" t="n"/>
      <c r="E1387" s="1" t="n"/>
      <c r="F1387" s="1" t="n"/>
      <c r="G1387" s="1" t="n"/>
      <c r="H1387" s="1" t="n"/>
      <c r="I1387" s="1" t="n"/>
      <c r="J1387" s="6" t="n">
        <v>53.25974054</v>
      </c>
      <c r="K1387" s="1" t="n"/>
      <c r="L1387" s="6" t="n">
        <v>52.47323824</v>
      </c>
      <c r="M1387" s="1" t="n"/>
      <c r="N1387" s="1" t="n"/>
    </row>
    <row r="1388">
      <c r="A1388" s="1" t="inlineStr">
        <is>
          <t>66176ce5b696e</t>
        </is>
      </c>
      <c r="B1388" s="1" t="inlineStr">
        <is>
          <t>ANILLO CLAVO SILVER CON ZIRCONIA</t>
        </is>
      </c>
      <c r="C1388" s="1" t="n"/>
      <c r="D1388" s="1" t="n"/>
      <c r="E1388" s="1" t="n"/>
      <c r="F1388" s="1" t="n"/>
      <c r="G1388" s="1" t="n"/>
      <c r="H1388" s="1" t="n"/>
      <c r="I1388" s="1" t="n"/>
      <c r="J1388" s="6" t="n">
        <v>53.25974054</v>
      </c>
      <c r="K1388" s="1" t="n"/>
      <c r="L1388" s="1" t="n"/>
      <c r="M1388" s="1" t="n"/>
      <c r="N1388" s="1" t="n"/>
    </row>
    <row r="1389">
      <c r="A1389" s="1" t="inlineStr">
        <is>
          <t>66176ce64d96f</t>
        </is>
      </c>
      <c r="B1389" s="1" t="inlineStr">
        <is>
          <t>ANILLO CLAVO SILVER CON ZIRCONIA</t>
        </is>
      </c>
      <c r="C1389" s="1" t="n"/>
      <c r="D1389" s="1" t="n"/>
      <c r="E1389" s="1" t="n"/>
      <c r="F1389" s="1" t="n"/>
      <c r="G1389" s="1" t="n"/>
      <c r="H1389" s="1" t="n"/>
      <c r="I1389" s="1" t="n"/>
      <c r="J1389" s="6" t="n">
        <v>53.25974054</v>
      </c>
      <c r="K1389" s="1" t="n"/>
      <c r="L1389" s="1" t="n"/>
      <c r="M1389" s="1" t="n"/>
      <c r="N1389" s="1" t="n"/>
    </row>
    <row r="1390">
      <c r="A1390" s="1" t="inlineStr">
        <is>
          <t>66176ce6d29ca</t>
        </is>
      </c>
      <c r="B1390" s="1" t="inlineStr">
        <is>
          <t>ANILLO CLAVO SILVER CON ZIRCONIA</t>
        </is>
      </c>
      <c r="C1390" s="1" t="n"/>
      <c r="D1390" s="1" t="n"/>
      <c r="E1390" s="1" t="n"/>
      <c r="F1390" s="1" t="n"/>
      <c r="G1390" s="1" t="n"/>
      <c r="H1390" s="1" t="n"/>
      <c r="I1390" s="1" t="n"/>
      <c r="J1390" s="6" t="n">
        <v>53.25974054</v>
      </c>
      <c r="K1390" s="1" t="n"/>
      <c r="L1390" s="1" t="n"/>
      <c r="M1390" s="1" t="n"/>
      <c r="N1390" s="1" t="n"/>
    </row>
    <row r="1391">
      <c r="A1391" s="1" t="inlineStr">
        <is>
          <t>66176e5ecde32</t>
        </is>
      </c>
      <c r="B1391" s="1" t="inlineStr">
        <is>
          <t>ANILLO CLASH GOLD</t>
        </is>
      </c>
      <c r="C1391" s="1" t="n"/>
      <c r="D1391" s="1" t="n"/>
      <c r="E1391" s="1" t="n"/>
      <c r="F1391" s="1" t="n"/>
      <c r="G1391" s="1" t="n"/>
      <c r="H1391" s="1" t="n"/>
      <c r="I1391" s="1" t="n"/>
      <c r="J1391" s="1" t="n"/>
      <c r="K1391" s="1" t="n"/>
      <c r="L1391" s="1" t="n"/>
      <c r="M1391" s="6" t="n">
        <v>210.1460646</v>
      </c>
      <c r="N1391" s="1" t="n"/>
    </row>
    <row r="1392">
      <c r="A1392" s="1" t="inlineStr">
        <is>
          <t>66176e5ee773d</t>
        </is>
      </c>
      <c r="B1392" s="1" t="inlineStr">
        <is>
          <t>ANILLO CLASH ROSEGOLD</t>
        </is>
      </c>
      <c r="C1392" s="1" t="n"/>
      <c r="D1392" s="1" t="n"/>
      <c r="E1392" s="1" t="n"/>
      <c r="F1392" s="6" t="n">
        <v>210.6049844</v>
      </c>
      <c r="G1392" s="1" t="n"/>
      <c r="H1392" s="1" t="n"/>
      <c r="I1392" s="6" t="n">
        <v>210.6849607</v>
      </c>
      <c r="J1392" s="1" t="n"/>
      <c r="K1392" s="6" t="n">
        <v>210.3147359</v>
      </c>
      <c r="L1392" s="1" t="n"/>
      <c r="M1392" s="1" t="n"/>
      <c r="N1392" s="1" t="n"/>
    </row>
    <row r="1393">
      <c r="A1393" s="1" t="inlineStr">
        <is>
          <t>66176e5f7392c</t>
        </is>
      </c>
      <c r="B1393" s="1" t="inlineStr">
        <is>
          <t>ANILLO CLASH GOLD</t>
        </is>
      </c>
      <c r="C1393" s="1" t="n"/>
      <c r="D1393" s="6" t="n">
        <v>212.5567106</v>
      </c>
      <c r="E1393" s="1" t="n"/>
      <c r="F1393" s="1" t="n"/>
      <c r="G1393" s="1" t="n"/>
      <c r="H1393" s="6" t="n">
        <v>212.0041779</v>
      </c>
      <c r="I1393" s="1" t="n"/>
      <c r="J1393" s="1" t="n"/>
      <c r="K1393" s="6" t="n">
        <v>210.3147359</v>
      </c>
      <c r="L1393" s="1" t="n"/>
      <c r="M1393" s="6" t="n">
        <v>210.1460646</v>
      </c>
      <c r="N1393" s="1" t="n"/>
    </row>
    <row r="1394">
      <c r="A1394" s="1" t="inlineStr">
        <is>
          <t>66176e5f8fac7</t>
        </is>
      </c>
      <c r="B1394" s="1" t="inlineStr">
        <is>
          <t>ANILLO CLASH ROSEGOLD</t>
        </is>
      </c>
      <c r="C1394" s="1" t="n"/>
      <c r="D1394" s="6" t="n">
        <v>212.5567106</v>
      </c>
      <c r="E1394" s="1" t="n"/>
      <c r="F1394" s="6" t="n">
        <v>210.6049844</v>
      </c>
      <c r="G1394" s="1" t="n"/>
      <c r="H1394" s="1" t="n"/>
      <c r="I1394" s="6" t="n">
        <v>210.6849607</v>
      </c>
      <c r="J1394" s="1" t="n"/>
      <c r="K1394" s="1" t="n"/>
      <c r="L1394" s="1" t="n"/>
      <c r="M1394" s="6" t="n">
        <v>210.1460646</v>
      </c>
      <c r="N1394" s="1" t="n"/>
    </row>
    <row r="1395">
      <c r="A1395" s="1" t="inlineStr">
        <is>
          <t>66176e6009ab0</t>
        </is>
      </c>
      <c r="B1395" s="1" t="inlineStr">
        <is>
          <t>ANILLO CLASH GOLD</t>
        </is>
      </c>
      <c r="C1395" s="1" t="n"/>
      <c r="D1395" s="6" t="n">
        <v>212.5567106</v>
      </c>
      <c r="E1395" s="1" t="n"/>
      <c r="F1395" s="1" t="n"/>
      <c r="G1395" s="1" t="n"/>
      <c r="H1395" s="6" t="n">
        <v>212.0041779</v>
      </c>
      <c r="I1395" s="1" t="n"/>
      <c r="J1395" s="6" t="n">
        <v>213.0389622</v>
      </c>
      <c r="K1395" s="1" t="n"/>
      <c r="L1395" s="1" t="n"/>
      <c r="M1395" s="6" t="n">
        <v>210.1460646</v>
      </c>
      <c r="N1395" s="1" t="n"/>
    </row>
    <row r="1396">
      <c r="A1396" s="1" t="inlineStr">
        <is>
          <t>66176e602b0bf</t>
        </is>
      </c>
      <c r="B1396" s="1" t="inlineStr">
        <is>
          <t>ANILLO CLASH ROSEGOLD</t>
        </is>
      </c>
      <c r="C1396" s="1" t="n"/>
      <c r="D1396" s="6" t="n">
        <v>210.9688577</v>
      </c>
      <c r="E1396" s="1" t="n"/>
      <c r="F1396" s="1" t="n"/>
      <c r="G1396" s="6" t="n">
        <v>209.1716001</v>
      </c>
      <c r="H1396" s="6" t="n">
        <v>212.0041779</v>
      </c>
      <c r="I1396" s="1" t="n"/>
      <c r="J1396" s="1" t="n"/>
      <c r="K1396" s="6" t="n">
        <v>210.3147359</v>
      </c>
      <c r="L1396" s="6" t="n">
        <v>212.1864227</v>
      </c>
      <c r="M1396" s="1" t="n"/>
      <c r="N1396" s="1" t="n"/>
    </row>
    <row r="1397">
      <c r="A1397" s="1" t="inlineStr">
        <is>
          <t>66176e609b95a</t>
        </is>
      </c>
      <c r="B1397" s="1" t="inlineStr">
        <is>
          <t>ANILLO CLASH GOLD</t>
        </is>
      </c>
      <c r="C1397" s="1" t="n"/>
      <c r="D1397" s="6" t="n">
        <v>210.9688577</v>
      </c>
      <c r="E1397" s="1" t="n"/>
      <c r="F1397" s="1" t="n"/>
      <c r="G1397" s="1" t="n"/>
      <c r="H1397" s="1" t="n"/>
      <c r="I1397" s="1" t="n"/>
      <c r="J1397" s="6" t="n">
        <v>213.0389622</v>
      </c>
      <c r="K1397" s="1" t="n"/>
      <c r="L1397" s="6" t="n">
        <v>212.1864227</v>
      </c>
      <c r="M1397" s="1" t="n"/>
      <c r="N1397" s="1" t="n"/>
    </row>
    <row r="1398">
      <c r="A1398" s="1" t="inlineStr">
        <is>
          <t>66176e60bbec9</t>
        </is>
      </c>
      <c r="B1398" s="1" t="inlineStr">
        <is>
          <t>ANILLO CLASH ROSEGOLD</t>
        </is>
      </c>
      <c r="C1398" s="1" t="n"/>
      <c r="D1398" s="1" t="n"/>
      <c r="E1398" s="1" t="n"/>
      <c r="F1398" s="6" t="n">
        <v>210.6049844</v>
      </c>
      <c r="G1398" s="1" t="n"/>
      <c r="H1398" s="6" t="n">
        <v>212.0041779</v>
      </c>
      <c r="I1398" s="6" t="n">
        <v>210.6849607</v>
      </c>
      <c r="J1398" s="1" t="n"/>
      <c r="K1398" s="1" t="n"/>
      <c r="L1398" s="1" t="n"/>
      <c r="M1398" s="6" t="n">
        <v>210.1460646</v>
      </c>
      <c r="N1398" s="1" t="n"/>
    </row>
    <row r="1399">
      <c r="A1399" s="1" t="inlineStr">
        <is>
          <t>66176e6140134</t>
        </is>
      </c>
      <c r="B1399" s="1" t="inlineStr">
        <is>
          <t>ANILLO CLASH GOLD</t>
        </is>
      </c>
      <c r="C1399" s="1" t="n"/>
      <c r="D1399" s="6" t="n">
        <v>212.5567106</v>
      </c>
      <c r="E1399" s="1" t="n"/>
      <c r="F1399" s="1" t="n"/>
      <c r="G1399" s="6" t="n">
        <v>209.1716001</v>
      </c>
      <c r="H1399" s="1" t="n"/>
      <c r="I1399" s="1" t="n"/>
      <c r="J1399" s="1" t="n"/>
      <c r="K1399" s="6" t="n">
        <v>210.3147359</v>
      </c>
      <c r="L1399" s="1" t="n"/>
      <c r="M1399" s="6" t="n">
        <v>210.1460646</v>
      </c>
      <c r="N1399" s="1" t="n"/>
    </row>
    <row r="1400">
      <c r="A1400" s="1" t="inlineStr">
        <is>
          <t>66176e616caf6</t>
        </is>
      </c>
      <c r="B1400" s="1" t="inlineStr">
        <is>
          <t>ANILLO CLASH ROSEGOLD</t>
        </is>
      </c>
      <c r="C1400" s="1" t="n"/>
      <c r="D1400" s="6" t="n">
        <v>210.9688577</v>
      </c>
      <c r="E1400" s="1" t="n"/>
      <c r="F1400" s="1" t="n"/>
      <c r="G1400" s="6" t="n">
        <v>209.1716001</v>
      </c>
      <c r="H1400" s="1" t="n"/>
      <c r="I1400" s="6" t="n">
        <v>210.6849607</v>
      </c>
      <c r="J1400" s="1" t="n"/>
      <c r="K1400" s="1" t="n"/>
      <c r="L1400" s="1" t="n"/>
      <c r="M1400" s="1" t="n"/>
      <c r="N1400" s="1" t="n"/>
    </row>
    <row r="1401">
      <c r="A1401" s="1" t="inlineStr">
        <is>
          <t>66176e62063fb</t>
        </is>
      </c>
      <c r="B1401" s="1" t="inlineStr">
        <is>
          <t>ANILLO CLASH GOLD</t>
        </is>
      </c>
      <c r="C1401" s="1" t="n"/>
      <c r="D1401" s="1" t="n"/>
      <c r="E1401" s="1" t="n"/>
      <c r="F1401" s="6" t="n">
        <v>210.6049844</v>
      </c>
      <c r="G1401" s="6" t="n">
        <v>209.1716001</v>
      </c>
      <c r="H1401" s="1" t="n"/>
      <c r="I1401" s="6" t="n">
        <v>210.6849607</v>
      </c>
      <c r="J1401" s="1" t="n"/>
      <c r="K1401" s="1" t="n"/>
      <c r="L1401" s="1" t="n"/>
      <c r="M1401" s="1" t="n"/>
      <c r="N1401" s="1" t="n"/>
    </row>
    <row r="1402">
      <c r="A1402" s="1" t="inlineStr">
        <is>
          <t>66176e62285d1</t>
        </is>
      </c>
      <c r="B1402" s="1" t="inlineStr">
        <is>
          <t>ANILLO CLASH ROSEGOLD</t>
        </is>
      </c>
      <c r="C1402" s="1" t="n"/>
      <c r="D1402" s="6" t="n">
        <v>212.5567106</v>
      </c>
      <c r="E1402" s="1" t="n"/>
      <c r="F1402" s="1" t="n"/>
      <c r="G1402" s="1" t="n"/>
      <c r="H1402" s="6" t="n">
        <v>212.0041779</v>
      </c>
      <c r="I1402" s="1" t="n"/>
      <c r="J1402" s="1" t="n"/>
      <c r="K1402" s="1" t="n"/>
      <c r="L1402" s="1" t="n"/>
      <c r="M1402" s="1" t="n"/>
      <c r="N1402" s="1" t="n"/>
    </row>
    <row r="1403">
      <c r="A1403" s="1" t="inlineStr">
        <is>
          <t>66176e628d423</t>
        </is>
      </c>
      <c r="B1403" s="1" t="inlineStr">
        <is>
          <t>ANILLO CLASH GOLD</t>
        </is>
      </c>
      <c r="C1403" s="1" t="n"/>
      <c r="D1403" s="1" t="n"/>
      <c r="E1403" s="1" t="n"/>
      <c r="F1403" s="6" t="n">
        <v>210.6049844</v>
      </c>
      <c r="G1403" s="6" t="n">
        <v>209.1716001</v>
      </c>
      <c r="H1403" s="1" t="n"/>
      <c r="I1403" s="1" t="n"/>
      <c r="J1403" s="1" t="n"/>
      <c r="K1403" s="1" t="n"/>
      <c r="L1403" s="1" t="n"/>
      <c r="M1403" s="1" t="n"/>
      <c r="N1403" s="1" t="n"/>
    </row>
    <row r="1404">
      <c r="A1404" s="1" t="inlineStr">
        <is>
          <t>66177006d3573</t>
        </is>
      </c>
      <c r="B1404" s="1" t="inlineStr">
        <is>
          <t>PULSERA LOVE GOLD</t>
        </is>
      </c>
      <c r="C1404" s="1" t="n"/>
      <c r="D1404" s="6" t="n">
        <v>105.4844288</v>
      </c>
      <c r="E1404" s="1" t="n"/>
      <c r="F1404" s="1" t="n"/>
      <c r="G1404" s="6" t="n">
        <v>94.12722005000001</v>
      </c>
      <c r="H1404" s="6" t="n">
        <v>95.40188006</v>
      </c>
      <c r="I1404" s="1" t="n"/>
      <c r="J1404" s="1" t="n"/>
      <c r="K1404" s="6" t="n">
        <v>94.64163114999999</v>
      </c>
      <c r="L1404" s="6" t="n">
        <v>94.45182883</v>
      </c>
      <c r="M1404" s="6" t="n">
        <v>94.56572907</v>
      </c>
      <c r="N1404" s="1" t="n"/>
    </row>
    <row r="1405">
      <c r="A1405" s="1" t="inlineStr">
        <is>
          <t>66177007689da</t>
        </is>
      </c>
      <c r="B1405" s="1" t="inlineStr">
        <is>
          <t>PULSERA LOVE GOLD</t>
        </is>
      </c>
      <c r="C1405" s="1" t="n"/>
      <c r="D1405" s="1" t="n"/>
      <c r="E1405" s="1" t="n"/>
      <c r="F1405" s="6" t="n">
        <v>94.772243</v>
      </c>
      <c r="G1405" s="6" t="n">
        <v>94.12722005000001</v>
      </c>
      <c r="H1405" s="6" t="n">
        <v>95.40188006</v>
      </c>
      <c r="I1405" s="1" t="n"/>
      <c r="J1405" s="1" t="n"/>
      <c r="K1405" s="6" t="n">
        <v>94.64163114999999</v>
      </c>
      <c r="L1405" s="6" t="n">
        <v>94.45182883</v>
      </c>
      <c r="M1405" s="6" t="n">
        <v>94.56572907</v>
      </c>
      <c r="N1405" s="1" t="n"/>
    </row>
    <row r="1406">
      <c r="A1406" s="1" t="inlineStr">
        <is>
          <t>66177008100f3</t>
        </is>
      </c>
      <c r="B1406" s="1" t="inlineStr">
        <is>
          <t>PULSERA LOVE GOLD</t>
        </is>
      </c>
      <c r="C1406" s="1" t="n"/>
      <c r="D1406" s="1" t="n"/>
      <c r="E1406" s="1" t="n"/>
      <c r="F1406" s="6" t="n">
        <v>94.772243</v>
      </c>
      <c r="G1406" s="6" t="n">
        <v>94.12722005000001</v>
      </c>
      <c r="H1406" s="6" t="n">
        <v>95.40188006</v>
      </c>
      <c r="I1406" s="1" t="n"/>
      <c r="J1406" s="1" t="n"/>
      <c r="K1406" s="1" t="n"/>
      <c r="L1406" s="6" t="n">
        <v>94.967859515</v>
      </c>
      <c r="M1406" s="6" t="n">
        <v>94.56572907</v>
      </c>
      <c r="N1406" s="1" t="n"/>
    </row>
    <row r="1407">
      <c r="A1407" s="1" t="inlineStr">
        <is>
          <t>66177008afe90</t>
        </is>
      </c>
      <c r="B1407" s="1" t="inlineStr">
        <is>
          <t>PULSERA LOVE GOLD</t>
        </is>
      </c>
      <c r="C1407" s="1" t="n"/>
      <c r="D1407" s="1" t="n"/>
      <c r="E1407" s="1" t="n"/>
      <c r="F1407" s="1" t="n"/>
      <c r="G1407" s="1" t="n"/>
      <c r="H1407" s="1" t="n"/>
      <c r="I1407" s="1" t="n"/>
      <c r="J1407" s="1" t="n"/>
      <c r="K1407" s="1" t="n"/>
      <c r="L1407" s="6" t="n">
        <v>94.45182883</v>
      </c>
      <c r="M1407" s="1" t="n"/>
      <c r="N1407" s="1" t="n"/>
    </row>
    <row r="1408">
      <c r="A1408" s="1" t="inlineStr">
        <is>
          <t>66177009444c0</t>
        </is>
      </c>
      <c r="B1408" s="1" t="inlineStr">
        <is>
          <t>PULSERA LOVE GOLD</t>
        </is>
      </c>
      <c r="C1408" s="1" t="n"/>
      <c r="D1408" s="1" t="n"/>
      <c r="E1408" s="1" t="n"/>
      <c r="F1408" s="6" t="n">
        <v>94.772243</v>
      </c>
      <c r="G1408" s="6" t="n">
        <v>94.12722005000001</v>
      </c>
      <c r="H1408" s="1" t="n"/>
      <c r="I1408" s="1" t="n"/>
      <c r="J1408" s="1" t="n"/>
      <c r="K1408" s="6" t="n">
        <v>94.64163114999999</v>
      </c>
      <c r="L1408" s="1" t="n"/>
      <c r="M1408" s="6" t="n">
        <v>94.56572907</v>
      </c>
      <c r="N1408" s="1" t="n"/>
    </row>
    <row r="1409">
      <c r="A1409" s="1" t="inlineStr">
        <is>
          <t>66177009de26b</t>
        </is>
      </c>
      <c r="B1409" s="1" t="inlineStr">
        <is>
          <t>PULSERA LOVE GOLD</t>
        </is>
      </c>
      <c r="C1409" s="1" t="n"/>
      <c r="D1409" s="1" t="n"/>
      <c r="E1409" s="1" t="n"/>
      <c r="F1409" s="6" t="n">
        <v>94.772243</v>
      </c>
      <c r="G1409" s="1" t="n"/>
      <c r="H1409" s="1" t="n"/>
      <c r="I1409" s="1" t="n"/>
      <c r="J1409" s="1" t="n"/>
      <c r="K1409" s="1" t="n"/>
      <c r="L1409" s="1" t="n"/>
      <c r="M1409" s="1" t="n"/>
      <c r="N1409" s="1" t="n"/>
    </row>
    <row r="1410">
      <c r="A1410" s="1" t="inlineStr">
        <is>
          <t>661770f08cba3</t>
        </is>
      </c>
      <c r="B1410" s="1" t="inlineStr">
        <is>
          <t>PULSERA CLAVO SILVER</t>
        </is>
      </c>
      <c r="C1410" s="1" t="n"/>
      <c r="D1410" s="6" t="n">
        <v>69.62412216</v>
      </c>
      <c r="E1410" s="1" t="n"/>
      <c r="F1410" s="1" t="n"/>
      <c r="G1410" s="6" t="n">
        <v>70.73365679</v>
      </c>
      <c r="H1410" s="1" t="n"/>
      <c r="I1410" s="1" t="n"/>
      <c r="J1410" s="1" t="n"/>
      <c r="K1410" s="1" t="n"/>
      <c r="L1410" s="1" t="n"/>
      <c r="M1410" s="1" t="n"/>
      <c r="N1410" s="1" t="n"/>
    </row>
    <row r="1411">
      <c r="A1411" s="1" t="inlineStr">
        <is>
          <t>661770f12a6a9</t>
        </is>
      </c>
      <c r="B1411" s="1" t="inlineStr">
        <is>
          <t>PULSERA CLAVO SILVER</t>
        </is>
      </c>
      <c r="C1411" s="1" t="n"/>
      <c r="D1411" s="6" t="n">
        <v>69.62412216</v>
      </c>
      <c r="E1411" s="1" t="n"/>
      <c r="F1411" s="1" t="n"/>
      <c r="G1411" s="6" t="n">
        <v>70.73365679</v>
      </c>
      <c r="H1411" s="1" t="n"/>
      <c r="I1411" s="1" t="n"/>
      <c r="J1411" s="1" t="n"/>
      <c r="K1411" s="1" t="n"/>
      <c r="L1411" s="6" t="n">
        <v>72.56009323000001</v>
      </c>
      <c r="M1411" s="1" t="n"/>
      <c r="N1411" s="1" t="n"/>
    </row>
    <row r="1412">
      <c r="A1412" s="1" t="inlineStr">
        <is>
          <t>6617744996481</t>
        </is>
      </c>
      <c r="B1412" s="1" t="inlineStr">
        <is>
          <t>PULSERA ONE TRÉBOL GOLD BLACK</t>
        </is>
      </c>
      <c r="C1412" s="1" t="n"/>
      <c r="D1412" s="1" t="n"/>
      <c r="E1412" s="1" t="n"/>
      <c r="F1412" s="1" t="n"/>
      <c r="G1412" s="6" t="n">
        <v>132.2411844</v>
      </c>
      <c r="H1412" s="1" t="n"/>
      <c r="I1412" s="1" t="n"/>
      <c r="J1412" s="1" t="n"/>
      <c r="K1412" s="1" t="n"/>
      <c r="L1412" s="6" t="n">
        <v>133.95135415</v>
      </c>
      <c r="M1412" s="1" t="n"/>
      <c r="N1412" s="6" t="n">
        <v>136.2029957</v>
      </c>
    </row>
    <row r="1413">
      <c r="A1413" s="1" t="inlineStr">
        <is>
          <t>6617744c91a0e</t>
        </is>
      </c>
      <c r="B1413" s="1" t="inlineStr">
        <is>
          <t>PULSERA ONE TRÉBOL GOLD WHITE</t>
        </is>
      </c>
      <c r="C1413" s="1" t="n"/>
      <c r="D1413" s="1" t="n"/>
      <c r="E1413" s="1" t="n"/>
      <c r="F1413" s="1" t="n"/>
      <c r="G1413" s="6" t="n">
        <v>132.2411844</v>
      </c>
      <c r="H1413" s="1" t="n"/>
      <c r="I1413" s="1" t="n"/>
      <c r="J1413" s="1" t="n"/>
      <c r="K1413" s="1" t="n"/>
      <c r="L1413" s="1" t="n"/>
      <c r="M1413" s="1" t="n"/>
      <c r="N1413" s="6" t="n">
        <v>136.2029957</v>
      </c>
    </row>
    <row r="1414">
      <c r="A1414" s="1" t="inlineStr">
        <is>
          <t>6617744e4fde3</t>
        </is>
      </c>
      <c r="B1414" s="1" t="inlineStr">
        <is>
          <t>PULSERA TRÉBOL GOLD WHITE VF</t>
        </is>
      </c>
      <c r="C1414" s="1" t="n"/>
      <c r="D1414" s="1" t="n"/>
      <c r="E1414" s="1" t="n"/>
      <c r="F1414" s="1" t="n"/>
      <c r="G1414" s="6" t="n">
        <v>502.0118403</v>
      </c>
      <c r="H1414" s="6" t="n">
        <v>148.4029245</v>
      </c>
      <c r="I1414" s="6" t="n">
        <v>147.4794725</v>
      </c>
      <c r="J1414" s="6" t="n">
        <v>149.1272735</v>
      </c>
      <c r="K1414" s="1" t="n"/>
      <c r="L1414" s="1" t="n"/>
      <c r="M1414" s="1" t="n"/>
      <c r="N1414" s="1" t="n"/>
    </row>
    <row r="1415">
      <c r="A1415" s="1" t="inlineStr">
        <is>
          <t>661774512157c</t>
        </is>
      </c>
      <c r="B1415" s="1" t="inlineStr">
        <is>
          <t>PULSERA TRÉBOL SILVER WHITE VF</t>
        </is>
      </c>
      <c r="C1415" s="1" t="n"/>
      <c r="D1415" s="1" t="n"/>
      <c r="E1415" s="1" t="n"/>
      <c r="F1415" s="6" t="n">
        <v>526.5124611</v>
      </c>
      <c r="G1415" s="6" t="n">
        <v>564.7633203</v>
      </c>
      <c r="H1415" s="1" t="n"/>
      <c r="I1415" s="1" t="n"/>
      <c r="J1415" s="1" t="n"/>
      <c r="K1415" s="1" t="n"/>
      <c r="L1415" s="6" t="n">
        <v>147.7277815</v>
      </c>
      <c r="M1415" s="1" t="n"/>
      <c r="N1415" s="1" t="n"/>
    </row>
    <row r="1416">
      <c r="A1416" s="1" t="inlineStr">
        <is>
          <t>6617745150ec8</t>
        </is>
      </c>
      <c r="B1416" s="1" t="inlineStr">
        <is>
          <t>PULSERA TRÉBOL SILVER BLACK VF</t>
        </is>
      </c>
      <c r="C1416" s="1" t="n"/>
      <c r="D1416" s="1" t="n"/>
      <c r="E1416" s="1" t="n"/>
      <c r="F1416" s="1" t="n"/>
      <c r="G1416" s="1" t="n"/>
      <c r="H1416" s="1" t="n"/>
      <c r="I1416" s="6" t="n">
        <v>147.4794725</v>
      </c>
      <c r="J1416" s="6" t="n">
        <v>149.1272735</v>
      </c>
      <c r="K1416" s="6" t="n">
        <v>147.2203151</v>
      </c>
      <c r="L1416" s="1" t="n"/>
      <c r="M1416" s="6" t="n">
        <v>147.1022452</v>
      </c>
      <c r="N1416" s="1" t="n"/>
    </row>
    <row r="1417">
      <c r="A1417" s="1" t="inlineStr">
        <is>
          <t>661774545334c</t>
        </is>
      </c>
      <c r="B1417" s="1" t="inlineStr">
        <is>
          <t>PULSERA TRÉBOL GOLD RED VF</t>
        </is>
      </c>
      <c r="C1417" s="1" t="n"/>
      <c r="D1417" s="1" t="n"/>
      <c r="E1417" s="1" t="n"/>
      <c r="F1417" s="1" t="n"/>
      <c r="G1417" s="1" t="n"/>
      <c r="H1417" s="1" t="n"/>
      <c r="I1417" s="1" t="n"/>
      <c r="J1417" s="1" t="n"/>
      <c r="K1417" s="1" t="n"/>
      <c r="L1417" s="6" t="n">
        <v>147.7277815</v>
      </c>
      <c r="M1417" s="1" t="n"/>
      <c r="N1417" s="1" t="n"/>
    </row>
    <row r="1418">
      <c r="A1418" s="1" t="inlineStr">
        <is>
          <t>6617748fe62cc</t>
        </is>
      </c>
      <c r="B1418" s="1" t="inlineStr">
        <is>
          <t>PULSERA DE TELA TRES AROS BLACK</t>
        </is>
      </c>
      <c r="C1418" s="1" t="n"/>
      <c r="D1418" s="1" t="n"/>
      <c r="E1418" s="1" t="n"/>
      <c r="F1418" s="1" t="n"/>
      <c r="G1418" s="6" t="n">
        <v>98.31065205</v>
      </c>
      <c r="H1418" s="1" t="n"/>
      <c r="I1418" s="6" t="n">
        <v>99.02193151</v>
      </c>
      <c r="J1418" s="6" t="n">
        <v>100.1283122</v>
      </c>
      <c r="K1418" s="1" t="n"/>
      <c r="L1418" s="6" t="n">
        <v>99.72761865</v>
      </c>
      <c r="M1418" s="6" t="n">
        <v>98.76865036</v>
      </c>
      <c r="N1418" s="1" t="n"/>
    </row>
    <row r="1419">
      <c r="A1419" s="1" t="inlineStr">
        <is>
          <t>661774c11e19f</t>
        </is>
      </c>
      <c r="B1419" s="1" t="inlineStr">
        <is>
          <t>PULSERA ECROU GOLD</t>
        </is>
      </c>
      <c r="C1419" s="1" t="n"/>
      <c r="D1419" s="1" t="n"/>
      <c r="E1419" s="1" t="n"/>
      <c r="F1419" s="1" t="n"/>
      <c r="G1419" s="1" t="n"/>
      <c r="H1419" s="1" t="n"/>
      <c r="I1419" s="1" t="n"/>
      <c r="J1419" s="6" t="n">
        <v>136.3870418</v>
      </c>
      <c r="K1419" s="1" t="n"/>
      <c r="L1419" s="6" t="n">
        <v>130.8023085</v>
      </c>
      <c r="M1419" s="1" t="n"/>
      <c r="N1419" s="1" t="n"/>
    </row>
    <row r="1420">
      <c r="A1420" s="1" t="inlineStr">
        <is>
          <t>661774c181d21</t>
        </is>
      </c>
      <c r="B1420" s="1" t="inlineStr">
        <is>
          <t>PULSERA ECROU SILVER</t>
        </is>
      </c>
      <c r="C1420" s="1" t="n"/>
      <c r="D1420" s="6" t="n">
        <v>125.5097052</v>
      </c>
      <c r="E1420" s="1" t="n"/>
      <c r="F1420" s="1" t="n"/>
      <c r="G1420" s="6" t="n">
        <v>127.5098362</v>
      </c>
      <c r="H1420" s="1" t="n"/>
      <c r="I1420" s="1" t="n"/>
      <c r="J1420" s="6" t="n">
        <v>136.3870418</v>
      </c>
      <c r="K1420" s="1" t="n"/>
      <c r="L1420" s="6" t="n">
        <v>127.5153297</v>
      </c>
      <c r="M1420" s="1" t="n"/>
      <c r="N1420" s="6" t="n">
        <v>131.329901</v>
      </c>
    </row>
    <row r="1421">
      <c r="A1421" s="1" t="inlineStr">
        <is>
          <t>661774c19f755</t>
        </is>
      </c>
      <c r="B1421" s="1" t="inlineStr">
        <is>
          <t>PULSERA ECROU ROSEGOLD</t>
        </is>
      </c>
      <c r="C1421" s="1" t="n"/>
      <c r="D1421" s="6" t="n">
        <v>125.5097052</v>
      </c>
      <c r="E1421" s="1" t="n"/>
      <c r="F1421" s="1" t="n"/>
      <c r="G1421" s="6" t="n">
        <v>127.5098362</v>
      </c>
      <c r="H1421" s="1" t="n"/>
      <c r="I1421" s="1" t="n"/>
      <c r="J1421" s="6" t="n">
        <v>161.6907602</v>
      </c>
      <c r="K1421" s="1" t="n"/>
      <c r="L1421" s="6" t="n">
        <v>130.8023085</v>
      </c>
      <c r="M1421" s="1" t="n"/>
      <c r="N1421" s="1" t="n"/>
    </row>
    <row r="1422">
      <c r="A1422" s="1" t="inlineStr">
        <is>
          <t>661774c1c7ccf</t>
        </is>
      </c>
      <c r="B1422" s="1" t="inlineStr">
        <is>
          <t>PULSERA ECROU GOLD</t>
        </is>
      </c>
      <c r="C1422" s="1" t="n"/>
      <c r="D1422" s="1" t="n"/>
      <c r="E1422" s="1" t="n"/>
      <c r="F1422" s="1" t="n"/>
      <c r="G1422" s="1" t="n"/>
      <c r="H1422" s="1" t="n"/>
      <c r="I1422" s="1" t="n"/>
      <c r="J1422" s="1" t="n"/>
      <c r="K1422" s="1" t="n"/>
      <c r="L1422" s="6" t="n">
        <v>130.8023085</v>
      </c>
      <c r="M1422" s="1" t="n"/>
      <c r="N1422" s="1" t="n"/>
    </row>
    <row r="1423">
      <c r="A1423" s="1" t="inlineStr">
        <is>
          <t>661774c22d9a0</t>
        </is>
      </c>
      <c r="B1423" s="1" t="inlineStr">
        <is>
          <t>PULSERA ECROU SILVER</t>
        </is>
      </c>
      <c r="C1423" s="1" t="n"/>
      <c r="D1423" s="6" t="n">
        <v>125.5097052</v>
      </c>
      <c r="E1423" s="1" t="n"/>
      <c r="F1423" s="1" t="n"/>
      <c r="G1423" s="6" t="n">
        <v>127.5098362</v>
      </c>
      <c r="H1423" s="1" t="n"/>
      <c r="I1423" s="1" t="n"/>
      <c r="J1423" s="6" t="n">
        <v>136.3870418</v>
      </c>
      <c r="K1423" s="1" t="n"/>
      <c r="L1423" s="6" t="n">
        <v>129.1588191</v>
      </c>
      <c r="M1423" s="1" t="n"/>
      <c r="N1423" s="1" t="n"/>
    </row>
    <row r="1424">
      <c r="A1424" s="1" t="inlineStr">
        <is>
          <t>661774c249e2a</t>
        </is>
      </c>
      <c r="B1424" s="1" t="inlineStr">
        <is>
          <t>PULSERA ECROU ROSEGOLD</t>
        </is>
      </c>
      <c r="C1424" s="1" t="n"/>
      <c r="D1424" s="6" t="n">
        <v>125.5097052</v>
      </c>
      <c r="E1424" s="1" t="n"/>
      <c r="F1424" s="1" t="n"/>
      <c r="G1424" s="1" t="n"/>
      <c r="H1424" s="1" t="n"/>
      <c r="I1424" s="1" t="n"/>
      <c r="J1424" s="6" t="n">
        <v>136.3870418</v>
      </c>
      <c r="K1424" s="1" t="n"/>
      <c r="L1424" s="1" t="n"/>
      <c r="M1424" s="1" t="n"/>
      <c r="N1424" s="1" t="n"/>
    </row>
    <row r="1425">
      <c r="A1425" s="1" t="inlineStr">
        <is>
          <t>66177b4581060</t>
        </is>
      </c>
      <c r="B1425" s="1" t="inlineStr">
        <is>
          <t>COLLAR TRÉBOL GOLD-GREEN</t>
        </is>
      </c>
      <c r="C1425" s="1" t="n"/>
      <c r="D1425" s="1" t="n"/>
      <c r="E1425" s="1" t="n"/>
      <c r="F1425" s="1" t="n"/>
      <c r="G1425" s="1" t="n"/>
      <c r="H1425" s="1" t="n"/>
      <c r="I1425" s="1" t="n"/>
      <c r="J1425" s="1" t="n"/>
      <c r="K1425" s="6" t="n">
        <v>84.12589436</v>
      </c>
      <c r="L1425" s="1" t="n"/>
      <c r="M1425" s="6" t="n">
        <v>84.05842584</v>
      </c>
      <c r="N1425" s="1" t="n"/>
    </row>
    <row r="1426">
      <c r="A1426" s="1" t="inlineStr">
        <is>
          <t>66177b4fc21fd</t>
        </is>
      </c>
      <c r="B1426" s="1" t="inlineStr">
        <is>
          <t>COLLAR TRÉBOL GOLD-WHITE</t>
        </is>
      </c>
      <c r="C1426" s="1" t="n"/>
      <c r="D1426" s="1" t="n"/>
      <c r="E1426" s="1" t="n"/>
      <c r="F1426" s="1" t="n"/>
      <c r="G1426" s="1" t="n"/>
      <c r="H1426" s="1" t="n"/>
      <c r="I1426" s="1" t="n"/>
      <c r="J1426" s="1" t="n"/>
      <c r="K1426" s="1" t="n"/>
      <c r="L1426" s="6" t="n">
        <v>84.87456907000001</v>
      </c>
      <c r="M1426" s="1" t="n"/>
      <c r="N1426" s="1" t="n"/>
    </row>
    <row r="1427">
      <c r="A1427" s="1" t="inlineStr">
        <is>
          <t>66177b50250a5</t>
        </is>
      </c>
      <c r="B1427" s="1" t="inlineStr">
        <is>
          <t>COLLAR TREBOL SILVER WHITE</t>
        </is>
      </c>
      <c r="C1427" s="1" t="n"/>
      <c r="D1427" s="1" t="n"/>
      <c r="E1427" s="1" t="n"/>
      <c r="F1427" s="1" t="n"/>
      <c r="G1427" s="6" t="n">
        <v>251.0059201</v>
      </c>
      <c r="H1427" s="1" t="n"/>
      <c r="I1427" s="1" t="n"/>
      <c r="J1427" s="1" t="n"/>
      <c r="K1427" s="1" t="n"/>
      <c r="L1427" s="6" t="n">
        <v>84.415875125</v>
      </c>
      <c r="M1427" s="1" t="n"/>
      <c r="N1427" s="1" t="n"/>
    </row>
    <row r="1428">
      <c r="A1428" s="1" t="inlineStr">
        <is>
          <t>66177b506a320</t>
        </is>
      </c>
      <c r="B1428" s="1" t="inlineStr">
        <is>
          <t>COLLAR TRÉBOL GOLD-RED</t>
        </is>
      </c>
      <c r="C1428" s="1" t="n"/>
      <c r="D1428" s="6" t="n">
        <v>212.5567106</v>
      </c>
      <c r="E1428" s="1" t="n"/>
      <c r="F1428" s="1" t="n"/>
      <c r="G1428" s="1" t="n"/>
      <c r="H1428" s="1" t="n"/>
      <c r="I1428" s="6" t="n">
        <v>84.27398426000001</v>
      </c>
      <c r="J1428" s="1" t="n"/>
      <c r="K1428" s="6" t="n">
        <v>84.12589436</v>
      </c>
      <c r="L1428" s="1" t="n"/>
      <c r="M1428" s="1" t="n"/>
      <c r="N1428" s="1" t="n"/>
    </row>
    <row r="1429">
      <c r="A1429" s="1" t="inlineStr">
        <is>
          <t>66177b50c9a71</t>
        </is>
      </c>
      <c r="B1429" s="1" t="inlineStr">
        <is>
          <t>COLLAR TRÉBOL BLACK-GOLD</t>
        </is>
      </c>
      <c r="C1429" s="1" t="n"/>
      <c r="D1429" s="1" t="n"/>
      <c r="E1429" s="1" t="n"/>
      <c r="F1429" s="1" t="n"/>
      <c r="G1429" s="1" t="n"/>
      <c r="H1429" s="6" t="n">
        <v>84.80167117000001</v>
      </c>
      <c r="I1429" s="6" t="n">
        <v>84.27398426000001</v>
      </c>
      <c r="J1429" s="1" t="n"/>
      <c r="K1429" s="1" t="n"/>
      <c r="L1429" s="6" t="n">
        <v>83.95718118000001</v>
      </c>
      <c r="M1429" s="6" t="n">
        <v>84.05842584</v>
      </c>
      <c r="N1429" s="1" t="n"/>
    </row>
    <row r="1430">
      <c r="A1430" s="1" t="inlineStr">
        <is>
          <t>66177b572d821</t>
        </is>
      </c>
      <c r="B1430" s="1" t="inlineStr">
        <is>
          <t>COLLAR TREBOL ROSEGOLD</t>
        </is>
      </c>
      <c r="C1430" s="1" t="n"/>
      <c r="D1430" s="6" t="n">
        <v>253.1626292</v>
      </c>
      <c r="E1430" s="1" t="n"/>
      <c r="F1430" s="1" t="n"/>
      <c r="G1430" s="1" t="n"/>
      <c r="H1430" s="1" t="n"/>
      <c r="I1430" s="1" t="n"/>
      <c r="J1430" s="1" t="n"/>
      <c r="K1430" s="1" t="n"/>
      <c r="L1430" s="1" t="n"/>
      <c r="M1430" s="1" t="n"/>
      <c r="N1430" s="1" t="n"/>
    </row>
    <row r="1431">
      <c r="A1431" s="1" t="inlineStr">
        <is>
          <t>66177be046ec0-1</t>
        </is>
      </c>
      <c r="B1431" s="1" t="inlineStr">
        <is>
          <t>COLLAR CLAVO ROUND ROSEGOLD</t>
        </is>
      </c>
      <c r="C1431" s="1" t="n"/>
      <c r="D1431" s="6" t="n">
        <v>176.7381562</v>
      </c>
      <c r="E1431" s="1" t="n"/>
      <c r="F1431" s="1" t="n"/>
      <c r="G1431" s="6" t="n">
        <v>179.5546672</v>
      </c>
      <c r="H1431" s="1" t="n"/>
      <c r="I1431" s="1" t="n"/>
      <c r="J1431" s="6" t="n">
        <v>192.0552222</v>
      </c>
      <c r="K1431" s="6" t="n">
        <v>181.7084677</v>
      </c>
      <c r="L1431" s="1" t="n"/>
      <c r="M1431" s="1" t="n"/>
      <c r="N1431" s="1" t="n"/>
    </row>
    <row r="1432">
      <c r="A1432" s="1" t="inlineStr">
        <is>
          <t>66177be17fc51</t>
        </is>
      </c>
      <c r="B1432" s="1" t="inlineStr">
        <is>
          <t>COLLAR CLAVO ROUND GOLD</t>
        </is>
      </c>
      <c r="C1432" s="1" t="n"/>
      <c r="D1432" s="6" t="n">
        <v>176.7381562</v>
      </c>
      <c r="E1432" s="1" t="n"/>
      <c r="F1432" s="1" t="n"/>
      <c r="G1432" s="6" t="n">
        <v>179.5546672</v>
      </c>
      <c r="H1432" s="1" t="n"/>
      <c r="I1432" s="1" t="n"/>
      <c r="J1432" s="6" t="n">
        <v>192.0552222</v>
      </c>
      <c r="K1432" s="6" t="n">
        <v>181.7084677</v>
      </c>
      <c r="L1432" s="1" t="n"/>
      <c r="M1432" s="1" t="n"/>
      <c r="N1432" s="6" t="n">
        <v>184.9339423</v>
      </c>
    </row>
    <row r="1433">
      <c r="A1433" s="1" t="inlineStr">
        <is>
          <t>66177c3e7206b</t>
        </is>
      </c>
      <c r="B1433" s="1" t="inlineStr">
        <is>
          <t>COLLAR LOVE-LOVE GOLD</t>
        </is>
      </c>
      <c r="C1433" s="1" t="n"/>
      <c r="D1433" s="6" t="n">
        <v>80.77155003999999</v>
      </c>
      <c r="E1433" s="1" t="n"/>
      <c r="F1433" s="6" t="n">
        <v>80.02989409</v>
      </c>
      <c r="G1433" s="6" t="n">
        <v>79.48520804</v>
      </c>
      <c r="H1433" s="6" t="n">
        <v>80.56158761</v>
      </c>
      <c r="I1433" s="1" t="n"/>
      <c r="J1433" s="1" t="n"/>
      <c r="K1433" s="6" t="n">
        <v>79.91959964</v>
      </c>
      <c r="L1433" s="1" t="n"/>
      <c r="M1433" s="6" t="n">
        <v>79.85550455000001</v>
      </c>
      <c r="N1433" s="1" t="n"/>
    </row>
    <row r="1434">
      <c r="A1434" s="1" t="inlineStr">
        <is>
          <t>66178423967c9</t>
        </is>
      </c>
      <c r="B1434" s="1" t="inlineStr">
        <is>
          <t>COLLAR SERPENTI CON ZIRCONIA</t>
        </is>
      </c>
      <c r="C1434" s="1" t="n"/>
      <c r="D1434" s="6" t="n">
        <v>465.4803351</v>
      </c>
      <c r="E1434" s="6" t="n">
        <v>633.8478605</v>
      </c>
      <c r="F1434" s="1" t="n"/>
      <c r="G1434" s="6" t="n">
        <v>472.8982606</v>
      </c>
      <c r="H1434" s="1" t="n"/>
      <c r="I1434" s="6" t="n">
        <v>674.1918740999999</v>
      </c>
      <c r="J1434" s="1" t="n"/>
      <c r="K1434" s="1" t="n"/>
      <c r="L1434" s="1" t="n"/>
      <c r="M1434" s="6" t="n">
        <v>672.4674067</v>
      </c>
      <c r="N1434" s="1" t="n"/>
    </row>
    <row r="1435">
      <c r="A1435" s="1" t="inlineStr">
        <is>
          <t>6617849b95942</t>
        </is>
      </c>
      <c r="B1435" s="1" t="inlineStr">
        <is>
          <t>ARETES TREBOL SILVER BLACK</t>
        </is>
      </c>
      <c r="C1435" s="1" t="n"/>
      <c r="D1435" s="1" t="n"/>
      <c r="E1435" s="1" t="n"/>
      <c r="F1435" s="1" t="n"/>
      <c r="G1435" s="1" t="n"/>
      <c r="H1435" s="1" t="n"/>
      <c r="I1435" s="1" t="n"/>
      <c r="J1435" s="6" t="n">
        <v>170.4311697</v>
      </c>
      <c r="K1435" s="1" t="n"/>
      <c r="L1435" s="1" t="n"/>
      <c r="M1435" s="1" t="n"/>
      <c r="N1435" s="1" t="n"/>
    </row>
    <row r="1436">
      <c r="A1436" s="1" t="inlineStr">
        <is>
          <t>6617849b98dff</t>
        </is>
      </c>
      <c r="B1436" s="1" t="inlineStr">
        <is>
          <t>ARETES TREBOL SILVER</t>
        </is>
      </c>
      <c r="C1436" s="1" t="n"/>
      <c r="D1436" s="1" t="n"/>
      <c r="E1436" s="1" t="n"/>
      <c r="F1436" s="1" t="n"/>
      <c r="G1436" s="6" t="n">
        <v>355.5917202</v>
      </c>
      <c r="H1436" s="6" t="n">
        <v>169.6033423</v>
      </c>
      <c r="I1436" s="1" t="n"/>
      <c r="J1436" s="1" t="n"/>
      <c r="K1436" s="1" t="n"/>
      <c r="L1436" s="6" t="n">
        <v>169.7491381</v>
      </c>
      <c r="M1436" s="6" t="n">
        <v>168.1168517</v>
      </c>
      <c r="N1436" s="1" t="n"/>
    </row>
    <row r="1437">
      <c r="A1437" s="1" t="inlineStr">
        <is>
          <t>6617849b9a844</t>
        </is>
      </c>
      <c r="B1437" s="1" t="inlineStr">
        <is>
          <t>ARETES TRÉBOL GOLD</t>
        </is>
      </c>
      <c r="C1437" s="1" t="n"/>
      <c r="D1437" s="1" t="n"/>
      <c r="E1437" s="1" t="n"/>
      <c r="F1437" s="1" t="n"/>
      <c r="G1437" s="6" t="n">
        <v>355.5917202</v>
      </c>
      <c r="H1437" s="6" t="n">
        <v>169.6033423</v>
      </c>
      <c r="I1437" s="1" t="n"/>
      <c r="J1437" s="1" t="n"/>
      <c r="K1437" s="6" t="n">
        <v>168.2517887</v>
      </c>
      <c r="L1437" s="1" t="n"/>
      <c r="M1437" s="6" t="n">
        <v>168.1168517</v>
      </c>
      <c r="N1437" s="1" t="n"/>
    </row>
    <row r="1438">
      <c r="A1438" s="1" t="inlineStr">
        <is>
          <t>6617849bc365a</t>
        </is>
      </c>
      <c r="B1438" s="1" t="inlineStr">
        <is>
          <t>ARETES TRÉBOL ROSE GOLD RED</t>
        </is>
      </c>
      <c r="C1438" s="1" t="n"/>
      <c r="D1438" s="6" t="n">
        <v>318.8350659</v>
      </c>
      <c r="E1438" s="1" t="n"/>
      <c r="F1438" s="1" t="n"/>
      <c r="G1438" s="1" t="n"/>
      <c r="H1438" s="1" t="n"/>
      <c r="I1438" s="1" t="n"/>
      <c r="J1438" s="1" t="n"/>
      <c r="K1438" s="1" t="n"/>
      <c r="L1438" s="6" t="n">
        <v>167.9143624</v>
      </c>
      <c r="M1438" s="1" t="n"/>
      <c r="N1438" s="1" t="n"/>
    </row>
    <row r="1439">
      <c r="A1439" s="1" t="inlineStr">
        <is>
          <t>661784a18007c</t>
        </is>
      </c>
      <c r="B1439" s="1" t="inlineStr">
        <is>
          <t>ARETES TRÉBOL GOLD-GREEN</t>
        </is>
      </c>
      <c r="C1439" s="1" t="n"/>
      <c r="D1439" s="1" t="n"/>
      <c r="E1439" s="1" t="n"/>
      <c r="F1439" s="6" t="n">
        <v>336.9679751</v>
      </c>
      <c r="G1439" s="6" t="n">
        <v>334.6745602</v>
      </c>
      <c r="H1439" s="6" t="n">
        <v>169.6033423</v>
      </c>
      <c r="I1439" s="1" t="n"/>
      <c r="J1439" s="1" t="n"/>
      <c r="K1439" s="1" t="n"/>
      <c r="L1439" s="6" t="n">
        <v>168.83175025</v>
      </c>
      <c r="M1439" s="1" t="n"/>
      <c r="N1439" s="1" t="n"/>
    </row>
    <row r="1440">
      <c r="A1440" s="1" t="inlineStr">
        <is>
          <t>661784a190a7f</t>
        </is>
      </c>
      <c r="B1440" s="1" t="inlineStr">
        <is>
          <t>ARETES TREBOL GOLD-RED</t>
        </is>
      </c>
      <c r="C1440" s="1" t="n"/>
      <c r="D1440" s="6" t="n">
        <v>318.8350659</v>
      </c>
      <c r="E1440" s="1" t="n"/>
      <c r="F1440" s="6" t="n">
        <v>336.9679751</v>
      </c>
      <c r="G1440" s="1" t="n"/>
      <c r="H1440" s="6" t="n">
        <v>169.6033423</v>
      </c>
      <c r="I1440" s="6" t="n">
        <v>168.5479685</v>
      </c>
      <c r="J1440" s="6" t="n">
        <v>170.4311697</v>
      </c>
      <c r="K1440" s="1" t="n"/>
      <c r="L1440" s="6" t="n">
        <v>167.9143624</v>
      </c>
      <c r="M1440" s="1" t="n"/>
      <c r="N1440" s="1" t="n"/>
    </row>
    <row r="1441">
      <c r="A1441" s="1" t="inlineStr">
        <is>
          <t>661784a33b867</t>
        </is>
      </c>
      <c r="B1441" s="1" t="inlineStr">
        <is>
          <t>ARETES TRÉBOL GOLD-BLACK</t>
        </is>
      </c>
      <c r="C1441" s="1" t="n"/>
      <c r="D1441" s="1" t="n"/>
      <c r="E1441" s="1" t="n"/>
      <c r="F1441" s="1" t="n"/>
      <c r="G1441" s="1" t="n"/>
      <c r="H1441" s="6" t="n">
        <v>169.6033423</v>
      </c>
      <c r="I1441" s="1" t="n"/>
      <c r="J1441" s="1" t="n"/>
      <c r="K1441" s="6" t="n">
        <v>168.2517887</v>
      </c>
      <c r="L1441" s="1" t="n"/>
      <c r="M1441" s="6" t="n">
        <v>168.1168517</v>
      </c>
      <c r="N1441" s="1" t="n"/>
    </row>
    <row r="1442">
      <c r="A1442" s="1" t="inlineStr">
        <is>
          <t>661784a3704f4</t>
        </is>
      </c>
      <c r="B1442" s="1" t="inlineStr">
        <is>
          <t>ARETES TRÉBOL SILVER WHITE</t>
        </is>
      </c>
      <c r="C1442" s="1" t="n"/>
      <c r="D1442" s="1" t="n"/>
      <c r="E1442" s="1" t="n"/>
      <c r="F1442" s="1" t="n"/>
      <c r="G1442" s="6" t="n">
        <v>334.6745602</v>
      </c>
      <c r="H1442" s="1" t="n"/>
      <c r="I1442" s="1" t="n"/>
      <c r="J1442" s="1" t="n"/>
      <c r="K1442" s="1" t="n"/>
      <c r="L1442" s="1" t="n"/>
      <c r="M1442" s="6" t="n">
        <v>168.1168517</v>
      </c>
      <c r="N1442" s="1" t="n"/>
    </row>
    <row r="1443">
      <c r="A1443" s="1" t="inlineStr">
        <is>
          <t>661786775a1bb</t>
        </is>
      </c>
      <c r="B1443" s="1" t="inlineStr">
        <is>
          <t>ARETES LOVE SILVER</t>
        </is>
      </c>
      <c r="C1443" s="1" t="n"/>
      <c r="D1443" s="1" t="n"/>
      <c r="E1443" s="6" t="n">
        <v>68.12474133000001</v>
      </c>
      <c r="F1443" s="1" t="n"/>
      <c r="G1443" s="1" t="n"/>
      <c r="H1443" s="1" t="n"/>
      <c r="I1443" s="1" t="n"/>
      <c r="J1443" s="1" t="n"/>
      <c r="K1443" s="6" t="n">
        <v>67.4702408</v>
      </c>
      <c r="L1443" s="1" t="n"/>
      <c r="M1443" s="1" t="n"/>
      <c r="N1443" s="1" t="n"/>
    </row>
    <row r="1444">
      <c r="A1444" s="1" t="inlineStr">
        <is>
          <t>6617867765c65</t>
        </is>
      </c>
      <c r="B1444" s="1" t="inlineStr">
        <is>
          <t>ARETES LOVE SILVER CON ZIRCONIA</t>
        </is>
      </c>
      <c r="C1444" s="1" t="n"/>
      <c r="D1444" s="1" t="n"/>
      <c r="E1444" s="6" t="n">
        <v>68.12474133000001</v>
      </c>
      <c r="F1444" s="1" t="n"/>
      <c r="G1444" s="1" t="n"/>
      <c r="H1444" s="1" t="n"/>
      <c r="I1444" s="1" t="n"/>
      <c r="J1444" s="1" t="n"/>
      <c r="K1444" s="6" t="n">
        <v>67.4702408</v>
      </c>
      <c r="L1444" s="1" t="n"/>
      <c r="M1444" s="1" t="n"/>
      <c r="N1444" s="1" t="n"/>
    </row>
    <row r="1445">
      <c r="A1445" s="1" t="inlineStr">
        <is>
          <t>6617867767475</t>
        </is>
      </c>
      <c r="B1445" s="1" t="inlineStr">
        <is>
          <t>ARETES LOVE ROSEGOLD CON ZIRCONIA</t>
        </is>
      </c>
      <c r="C1445" s="1" t="n"/>
      <c r="D1445" s="6" t="n">
        <v>65.46565201999999</v>
      </c>
      <c r="E1445" s="1" t="n"/>
      <c r="F1445" s="1" t="n"/>
      <c r="G1445" s="1" t="n"/>
      <c r="H1445" s="1" t="n"/>
      <c r="I1445" s="1" t="n"/>
      <c r="J1445" s="1" t="n"/>
      <c r="K1445" s="1" t="n"/>
      <c r="L1445" s="1" t="n"/>
      <c r="M1445" s="1" t="n"/>
      <c r="N1445" s="1" t="n"/>
    </row>
    <row r="1446">
      <c r="A1446" s="1" t="inlineStr">
        <is>
          <t>6617867e8acd0</t>
        </is>
      </c>
      <c r="B1446" s="1" t="inlineStr">
        <is>
          <t>ARETES LOVE GOLD CON ZIRCONIA</t>
        </is>
      </c>
      <c r="C1446" s="1" t="n"/>
      <c r="D1446" s="6" t="n">
        <v>65.46565201999999</v>
      </c>
      <c r="E1446" s="1" t="n"/>
      <c r="F1446" s="1" t="n"/>
      <c r="G1446" s="1" t="n"/>
      <c r="H1446" s="6" t="n">
        <v>69.12731195000001</v>
      </c>
      <c r="I1446" s="1" t="n"/>
      <c r="J1446" s="1" t="n"/>
      <c r="K1446" s="6" t="n">
        <v>67.4702408</v>
      </c>
      <c r="L1446" s="1" t="n"/>
      <c r="M1446" s="1" t="n"/>
      <c r="N1446" s="1" t="n"/>
    </row>
    <row r="1447">
      <c r="A1447" s="1" t="inlineStr">
        <is>
          <t>661786a2c48dd</t>
        </is>
      </c>
      <c r="B1447" s="1" t="inlineStr">
        <is>
          <t>ARETES SCREW LOVE ROSE GOLD</t>
        </is>
      </c>
      <c r="C1447" s="1" t="n"/>
      <c r="D1447" s="1" t="n"/>
      <c r="E1447" s="1" t="n"/>
      <c r="F1447" s="6" t="n">
        <v>62.97089035</v>
      </c>
      <c r="G1447" s="1" t="n"/>
      <c r="H1447" s="1" t="n"/>
      <c r="I1447" s="1" t="n"/>
      <c r="J1447" s="1" t="n"/>
      <c r="K1447" s="1" t="n"/>
      <c r="L1447" s="1" t="n"/>
      <c r="M1447" s="1" t="n"/>
      <c r="N1447" s="1" t="n"/>
    </row>
    <row r="1448">
      <c r="A1448" s="1" t="inlineStr">
        <is>
          <t>66178b9555250</t>
        </is>
      </c>
      <c r="B1448" s="1" t="inlineStr">
        <is>
          <t>ARETES CLASH ROSEGOLD ZIRCONIA</t>
        </is>
      </c>
      <c r="C1448" s="1" t="n"/>
      <c r="D1448" s="6" t="n">
        <v>133.4492137</v>
      </c>
      <c r="E1448" s="1" t="n"/>
      <c r="F1448" s="1" t="n"/>
      <c r="G1448" s="1" t="n"/>
      <c r="H1448" s="1" t="n"/>
      <c r="I1448" s="1" t="n"/>
      <c r="J1448" s="1" t="n"/>
      <c r="K1448" s="1" t="n"/>
      <c r="L1448" s="6" t="n">
        <v>140.4555384</v>
      </c>
      <c r="M1448" s="1" t="n"/>
      <c r="N1448" s="1" t="n"/>
    </row>
    <row r="1449">
      <c r="A1449" s="1" t="inlineStr">
        <is>
          <t>66280391087437</t>
        </is>
      </c>
      <c r="B1449" s="1" t="inlineStr">
        <is>
          <t>BOLSO LADY D CHAROL OFF WHITE</t>
        </is>
      </c>
      <c r="C1449" s="1" t="n"/>
      <c r="D1449" s="1" t="n"/>
      <c r="E1449" s="1" t="n"/>
      <c r="F1449" s="1" t="n"/>
      <c r="G1449" s="1" t="n"/>
      <c r="H1449" s="1" t="n"/>
      <c r="I1449" s="1" t="n"/>
      <c r="J1449" s="1" t="n"/>
      <c r="K1449" s="1" t="n"/>
      <c r="L1449" s="1" t="n"/>
      <c r="M1449" s="6" t="n">
        <v>1372.640441</v>
      </c>
      <c r="N1449" s="1" t="n"/>
    </row>
    <row r="1450">
      <c r="A1450" s="1" t="inlineStr">
        <is>
          <t>663528bd8c9d8</t>
        </is>
      </c>
      <c r="B1450" s="1" t="inlineStr">
        <is>
          <t>PULSERA LOVE DELGADA SILVER CON MICRO ZIRCONIAS</t>
        </is>
      </c>
      <c r="C1450" s="1" t="n"/>
      <c r="D1450" s="1" t="n"/>
      <c r="E1450" s="1" t="n"/>
      <c r="F1450" s="1" t="n"/>
      <c r="G1450" s="6" t="n">
        <v>271.9230801</v>
      </c>
      <c r="H1450" s="1" t="n"/>
      <c r="I1450" s="1" t="n"/>
      <c r="J1450" s="1" t="n"/>
      <c r="K1450" s="1" t="n"/>
      <c r="L1450" s="6" t="n">
        <v>272.8608388</v>
      </c>
      <c r="M1450" s="1" t="n"/>
      <c r="N1450" s="1" t="n"/>
    </row>
    <row r="1451">
      <c r="A1451" s="1" t="inlineStr">
        <is>
          <t>66360701088653</t>
        </is>
      </c>
      <c r="B1451" s="1" t="inlineStr">
        <is>
          <t>PULSERA LUCKY SILVER CD</t>
        </is>
      </c>
      <c r="C1451" s="1" t="n"/>
      <c r="D1451" s="6" t="n">
        <v>127.5340264</v>
      </c>
      <c r="E1451" s="1" t="n"/>
      <c r="F1451" s="1" t="n"/>
      <c r="G1451" s="1" t="n"/>
      <c r="H1451" s="6" t="n">
        <v>127.2025068</v>
      </c>
      <c r="I1451" s="1" t="n"/>
      <c r="J1451" s="1" t="n"/>
      <c r="K1451" s="1" t="n"/>
      <c r="L1451" s="6" t="n">
        <v>127.3118536</v>
      </c>
      <c r="M1451" s="1" t="n"/>
      <c r="N1451" s="1" t="n"/>
    </row>
    <row r="1452">
      <c r="A1452" s="1" t="inlineStr">
        <is>
          <t>664fc85011676</t>
        </is>
      </c>
      <c r="B1452" s="1" t="inlineStr">
        <is>
          <t>LENTES C THICK GOLD</t>
        </is>
      </c>
      <c r="C1452" s="1" t="n"/>
      <c r="D1452" s="6" t="n">
        <v>226.6118724</v>
      </c>
      <c r="E1452" s="1" t="n"/>
      <c r="F1452" s="1" t="n"/>
      <c r="G1452" s="1" t="n"/>
      <c r="H1452" s="6" t="n">
        <v>239.2868491</v>
      </c>
      <c r="I1452" s="1" t="n"/>
      <c r="J1452" s="1" t="n"/>
      <c r="K1452" s="1" t="n"/>
      <c r="L1452" s="1" t="n"/>
      <c r="M1452" s="1" t="n"/>
      <c r="N1452" s="1" t="n"/>
    </row>
    <row r="1453">
      <c r="A1453" s="1" t="inlineStr">
        <is>
          <t>664fc854d5243</t>
        </is>
      </c>
      <c r="B1453" s="1" t="inlineStr">
        <is>
          <t>LENTES C OVAL SILVER BLACK</t>
        </is>
      </c>
      <c r="C1453" s="1" t="n"/>
      <c r="D1453" s="1" t="n"/>
      <c r="E1453" s="6" t="n">
        <v>772.9537959</v>
      </c>
      <c r="F1453" s="1" t="n"/>
      <c r="G1453" s="1" t="n"/>
      <c r="H1453" s="1" t="n"/>
      <c r="I1453" s="1" t="n"/>
      <c r="J1453" s="1" t="n"/>
      <c r="K1453" s="6" t="n">
        <v>765.5277321999999</v>
      </c>
      <c r="L1453" s="1" t="n"/>
      <c r="M1453" s="1" t="n"/>
      <c r="N1453" s="1" t="n"/>
    </row>
    <row r="1454">
      <c r="A1454" s="1" t="inlineStr">
        <is>
          <t>664fc858469b1</t>
        </is>
      </c>
      <c r="B1454" s="1" t="inlineStr">
        <is>
          <t>LENTES C OVAL GREEN</t>
        </is>
      </c>
      <c r="C1454" s="1" t="n"/>
      <c r="D1454" s="1" t="n"/>
      <c r="E1454" s="6" t="n">
        <v>772.9537959</v>
      </c>
      <c r="F1454" s="1" t="n"/>
      <c r="G1454" s="1" t="n"/>
      <c r="H1454" s="1" t="n"/>
      <c r="I1454" s="6" t="n">
        <v>797.7792734</v>
      </c>
      <c r="J1454" s="1" t="n"/>
      <c r="K1454" s="1" t="n"/>
      <c r="L1454" s="6" t="n">
        <v>781.7808268</v>
      </c>
      <c r="M1454" s="1" t="n"/>
      <c r="N1454" s="1" t="n"/>
    </row>
    <row r="1455">
      <c r="A1455" s="1" t="inlineStr">
        <is>
          <t>664fc85ecbb14</t>
        </is>
      </c>
      <c r="B1455" s="1" t="inlineStr">
        <is>
          <t>LENTES C BROWN</t>
        </is>
      </c>
      <c r="C1455" s="1" t="n"/>
      <c r="D1455" s="1" t="n"/>
      <c r="E1455" s="6" t="n">
        <v>248.9173241</v>
      </c>
      <c r="F1455" s="1" t="n"/>
      <c r="G1455" s="1" t="n"/>
      <c r="H1455" s="6" t="n">
        <v>225.9931352</v>
      </c>
      <c r="I1455" s="1" t="n"/>
      <c r="J1455" s="1" t="n"/>
      <c r="K1455" s="1" t="n"/>
      <c r="L1455" s="6" t="n">
        <v>225.2588823</v>
      </c>
      <c r="M1455" s="1" t="n"/>
      <c r="N1455" s="1" t="n"/>
    </row>
    <row r="1456">
      <c r="A1456" s="1" t="inlineStr">
        <is>
          <t>665818c705471</t>
        </is>
      </c>
      <c r="B1456" s="1" t="inlineStr">
        <is>
          <t>LENTES C GREEN</t>
        </is>
      </c>
      <c r="C1456" s="1" t="n"/>
      <c r="D1456" s="1" t="n"/>
      <c r="E1456" s="6" t="n">
        <v>248.9173241</v>
      </c>
      <c r="F1456" s="1" t="n"/>
      <c r="G1456" s="1" t="n"/>
      <c r="H1456" s="1" t="n"/>
      <c r="I1456" s="1" t="n"/>
      <c r="J1456" s="1" t="n"/>
      <c r="K1456" s="6" t="n">
        <v>246.5258799</v>
      </c>
      <c r="L1456" s="6" t="n">
        <v>251.7599273</v>
      </c>
      <c r="M1456" s="1" t="n"/>
      <c r="N1456" s="1" t="n"/>
    </row>
    <row r="1457">
      <c r="A1457" s="1" t="inlineStr">
        <is>
          <t>66581907ee9cb-1</t>
        </is>
      </c>
      <c r="B1457" s="1" t="inlineStr">
        <is>
          <t>LENTES C OVAL BROWN</t>
        </is>
      </c>
      <c r="C1457" s="1" t="n"/>
      <c r="D1457" s="6" t="n">
        <v>742.7833594</v>
      </c>
      <c r="E1457" s="1" t="n"/>
      <c r="F1457" s="1" t="n"/>
      <c r="G1457" s="1" t="n"/>
      <c r="H1457" s="1" t="n"/>
      <c r="I1457" s="6" t="n">
        <v>797.7792734</v>
      </c>
      <c r="J1457" s="6" t="n">
        <v>792.2937659</v>
      </c>
      <c r="K1457" s="1" t="n"/>
      <c r="L1457" s="1" t="n"/>
      <c r="M1457" s="1" t="n"/>
      <c r="N1457" s="1" t="n"/>
    </row>
    <row r="1458">
      <c r="A1458" s="1" t="inlineStr">
        <is>
          <t>66581df1de94d</t>
        </is>
      </c>
      <c r="B1458" s="1" t="inlineStr">
        <is>
          <t>BOLSO B BLACK</t>
        </is>
      </c>
      <c r="C1458" s="1" t="n"/>
      <c r="D1458" s="6" t="n">
        <v>1130.303007</v>
      </c>
      <c r="E1458" s="1" t="n"/>
      <c r="F1458" s="1" t="n"/>
      <c r="G1458" s="1" t="n"/>
      <c r="H1458" s="1" t="n"/>
      <c r="I1458" s="1" t="n"/>
      <c r="J1458" s="6" t="n">
        <v>1182.463908</v>
      </c>
      <c r="K1458" s="6" t="n">
        <v>1152.395025</v>
      </c>
      <c r="L1458" s="1" t="n"/>
      <c r="M1458" s="1" t="n"/>
      <c r="N1458" s="1" t="n"/>
    </row>
    <row r="1459">
      <c r="A1459" s="1" t="inlineStr">
        <is>
          <t>66581dfb2f7ce</t>
        </is>
      </c>
      <c r="B1459" s="1" t="inlineStr">
        <is>
          <t>BOLSO LADY D NUDE</t>
        </is>
      </c>
      <c r="C1459" s="1" t="n"/>
      <c r="D1459" s="1" t="n"/>
      <c r="E1459" s="6" t="n">
        <v>1388.806121</v>
      </c>
      <c r="F1459" s="1" t="n"/>
      <c r="G1459" s="1" t="n"/>
      <c r="H1459" s="1" t="n"/>
      <c r="I1459" s="1" t="n"/>
      <c r="J1459" s="6" t="n">
        <v>1471.51064</v>
      </c>
      <c r="K1459" s="6" t="n">
        <v>1434.091587</v>
      </c>
      <c r="L1459" s="6" t="n">
        <v>1484.258971</v>
      </c>
      <c r="M1459" s="1" t="n"/>
      <c r="N1459" s="1" t="n"/>
    </row>
    <row r="1460">
      <c r="A1460" s="1" t="inlineStr">
        <is>
          <t>66581dfdba9ed</t>
        </is>
      </c>
      <c r="B1460" s="1" t="inlineStr">
        <is>
          <t>BOLSO LADY D RED</t>
        </is>
      </c>
      <c r="C1460" s="1" t="n"/>
      <c r="D1460" s="1" t="n"/>
      <c r="E1460" s="1" t="n"/>
      <c r="F1460" s="1" t="n"/>
      <c r="G1460" s="1" t="n"/>
      <c r="H1460" s="6" t="n">
        <v>1457.769565</v>
      </c>
      <c r="I1460" s="1" t="n"/>
      <c r="J1460" s="1" t="n"/>
      <c r="K1460" s="1" t="n"/>
      <c r="L1460" s="6" t="n">
        <v>1484.258971</v>
      </c>
      <c r="M1460" s="1" t="n"/>
      <c r="N1460" s="1" t="n"/>
    </row>
    <row r="1461">
      <c r="A1461" s="1" t="inlineStr">
        <is>
          <t>66581e33ea15d</t>
        </is>
      </c>
      <c r="B1461" s="1" t="inlineStr">
        <is>
          <t>BOLSA G GREEN</t>
        </is>
      </c>
      <c r="C1461" s="1" t="n"/>
      <c r="D1461" s="1" t="n"/>
      <c r="E1461" s="1" t="n"/>
      <c r="F1461" s="1" t="n"/>
      <c r="G1461" s="1" t="n"/>
      <c r="H1461" s="6" t="n">
        <v>1063.497107</v>
      </c>
      <c r="I1461" s="6" t="n">
        <v>1081.734608</v>
      </c>
      <c r="J1461" s="6" t="n">
        <v>1074.296632</v>
      </c>
      <c r="K1461" s="1" t="n"/>
      <c r="L1461" s="6" t="n">
        <v>1060.041799</v>
      </c>
      <c r="M1461" s="1" t="n"/>
      <c r="N1461" s="1" t="n"/>
    </row>
    <row r="1462">
      <c r="A1462" s="1" t="inlineStr">
        <is>
          <t>66581e37d7ef3</t>
        </is>
      </c>
      <c r="B1462" s="1" t="inlineStr">
        <is>
          <t>BOLSA LV BROWN</t>
        </is>
      </c>
      <c r="C1462" s="1" t="n"/>
      <c r="D1462" s="1" t="n"/>
      <c r="E1462" s="1" t="n"/>
      <c r="F1462" s="1" t="n"/>
      <c r="G1462" s="1" t="n"/>
      <c r="H1462" s="1" t="n"/>
      <c r="I1462" s="6" t="n">
        <v>1487.385086</v>
      </c>
      <c r="J1462" s="1" t="n"/>
      <c r="K1462" s="1" t="n"/>
      <c r="L1462" s="6" t="n">
        <v>1510.559564</v>
      </c>
      <c r="M1462" s="1" t="n"/>
      <c r="N1462" s="1" t="n"/>
    </row>
    <row r="1463">
      <c r="A1463" s="1" t="inlineStr">
        <is>
          <t>66593a9c168cf</t>
        </is>
      </c>
      <c r="B1463" s="1" t="inlineStr">
        <is>
          <t>ANILLO KNOT GOLD</t>
        </is>
      </c>
      <c r="C1463" s="1" t="n"/>
      <c r="D1463" s="1" t="n"/>
      <c r="E1463" s="1" t="n"/>
      <c r="F1463" s="1" t="n"/>
      <c r="G1463" s="6" t="n">
        <v>141.703881</v>
      </c>
      <c r="H1463" s="1" t="n"/>
      <c r="I1463" s="1" t="n"/>
      <c r="J1463" s="6" t="n">
        <v>141.4477855</v>
      </c>
      <c r="K1463" s="6" t="n">
        <v>133.8274486</v>
      </c>
      <c r="L1463" s="6" t="n">
        <v>132.2468818</v>
      </c>
      <c r="M1463" s="1" t="n"/>
      <c r="N1463" s="6" t="n">
        <v>121.5837117</v>
      </c>
    </row>
    <row r="1464">
      <c r="A1464" s="1" t="inlineStr">
        <is>
          <t>66593a9cc1aaa</t>
        </is>
      </c>
      <c r="B1464" s="1" t="inlineStr">
        <is>
          <t>ANILLO KNOT GOLD</t>
        </is>
      </c>
      <c r="C1464" s="1" t="n"/>
      <c r="D1464" s="1" t="n"/>
      <c r="E1464" s="1" t="n"/>
      <c r="F1464" s="1" t="n"/>
      <c r="G1464" s="1" t="n"/>
      <c r="H1464" s="1" t="n"/>
      <c r="I1464" s="1" t="n"/>
      <c r="J1464" s="6" t="n">
        <v>141.4477855</v>
      </c>
      <c r="K1464" s="6" t="n">
        <v>133.8274486</v>
      </c>
      <c r="L1464" s="6" t="n">
        <v>133.95135415</v>
      </c>
      <c r="M1464" s="1" t="n"/>
      <c r="N1464" s="1" t="n"/>
    </row>
    <row r="1465">
      <c r="A1465" s="1" t="inlineStr">
        <is>
          <t>66593bc1df809</t>
        </is>
      </c>
      <c r="B1465" s="1" t="inlineStr">
        <is>
          <t>ANILLO LOVE MZ GOLD</t>
        </is>
      </c>
      <c r="C1465" s="1" t="n"/>
      <c r="D1465" s="1" t="n"/>
      <c r="E1465" s="1" t="n"/>
      <c r="F1465" s="1" t="n"/>
      <c r="G1465" s="1" t="n"/>
      <c r="H1465" s="1" t="n"/>
      <c r="I1465" s="6" t="n">
        <v>122.1972772</v>
      </c>
      <c r="J1465" s="1" t="n"/>
      <c r="K1465" s="1" t="n"/>
      <c r="L1465" s="6" t="n">
        <v>121.7379127</v>
      </c>
      <c r="M1465" s="1" t="n"/>
      <c r="N1465" s="1" t="n"/>
    </row>
    <row r="1466">
      <c r="A1466" s="1" t="inlineStr">
        <is>
          <t>66593bc1ef37c</t>
        </is>
      </c>
      <c r="B1466" s="1" t="inlineStr">
        <is>
          <t>ANILLO LOVE MZ SILVER</t>
        </is>
      </c>
      <c r="C1466" s="1" t="n"/>
      <c r="D1466" s="6" t="n">
        <v>123.2828922</v>
      </c>
      <c r="E1466" s="1" t="n"/>
      <c r="F1466" s="1" t="n"/>
      <c r="G1466" s="1" t="n"/>
      <c r="H1466" s="1" t="n"/>
      <c r="I1466" s="1" t="n"/>
      <c r="J1466" s="1" t="n"/>
      <c r="K1466" s="1" t="n"/>
      <c r="L1466" s="6" t="n">
        <v>122.4030189</v>
      </c>
      <c r="M1466" s="1" t="n"/>
      <c r="N1466" s="1" t="n"/>
    </row>
    <row r="1467">
      <c r="A1467" s="1" t="inlineStr">
        <is>
          <t>66593bc27f55c</t>
        </is>
      </c>
      <c r="B1467" s="1" t="inlineStr">
        <is>
          <t>ANILLO LOVE MZ GOLD</t>
        </is>
      </c>
      <c r="C1467" s="1" t="n"/>
      <c r="D1467" s="1" t="n"/>
      <c r="E1467" s="1" t="n"/>
      <c r="F1467" s="1" t="n"/>
      <c r="G1467" s="1" t="n"/>
      <c r="H1467" s="6" t="n">
        <v>122.9624232</v>
      </c>
      <c r="I1467" s="6" t="n">
        <v>122.1972772</v>
      </c>
      <c r="J1467" s="6" t="n">
        <v>123.562598</v>
      </c>
      <c r="K1467" s="1" t="n"/>
      <c r="L1467" s="1" t="n"/>
      <c r="M1467" s="6" t="n">
        <v>121.8847175</v>
      </c>
      <c r="N1467" s="1" t="n"/>
    </row>
    <row r="1468">
      <c r="A1468" s="1" t="inlineStr">
        <is>
          <t>66593bc296789</t>
        </is>
      </c>
      <c r="B1468" s="1" t="inlineStr">
        <is>
          <t>ANILLO LOVE MZ SILVER</t>
        </is>
      </c>
      <c r="C1468" s="1" t="n"/>
      <c r="D1468" s="6" t="n">
        <v>123.2828922</v>
      </c>
      <c r="E1468" s="1" t="n"/>
      <c r="F1468" s="1" t="n"/>
      <c r="G1468" s="6" t="n">
        <v>121.3195281</v>
      </c>
      <c r="H1468" s="1" t="n"/>
      <c r="I1468" s="6" t="n">
        <v>122.1972772</v>
      </c>
      <c r="J1468" s="6" t="n">
        <v>123.562598</v>
      </c>
      <c r="K1468" s="1" t="n"/>
      <c r="L1468" s="1" t="n"/>
      <c r="M1468" s="1" t="n"/>
      <c r="N1468" s="1" t="n"/>
    </row>
    <row r="1469">
      <c r="A1469" s="1" t="inlineStr">
        <is>
          <t>66593bc3186e1</t>
        </is>
      </c>
      <c r="B1469" s="1" t="inlineStr">
        <is>
          <t>ANILLO LOVE MZ GOLD</t>
        </is>
      </c>
      <c r="C1469" s="1" t="n"/>
      <c r="D1469" s="1" t="n"/>
      <c r="E1469" s="1" t="n"/>
      <c r="F1469" s="1" t="n"/>
      <c r="G1469" s="1" t="n"/>
      <c r="H1469" s="1" t="n"/>
      <c r="I1469" s="6" t="n">
        <v>122.1972772</v>
      </c>
      <c r="J1469" s="1" t="n"/>
      <c r="K1469" s="6" t="n">
        <v>121.9825468</v>
      </c>
      <c r="L1469" s="1" t="n"/>
      <c r="M1469" s="1" t="n"/>
      <c r="N1469" s="1" t="n"/>
    </row>
    <row r="1470">
      <c r="A1470" s="1" t="inlineStr">
        <is>
          <t>66593bc339714</t>
        </is>
      </c>
      <c r="B1470" s="1" t="inlineStr">
        <is>
          <t>ANILLO LOVE MZ SILVER</t>
        </is>
      </c>
      <c r="C1470" s="1" t="n"/>
      <c r="D1470" s="6" t="n">
        <v>123.2828922</v>
      </c>
      <c r="E1470" s="1" t="n"/>
      <c r="F1470" s="6" t="n">
        <v>122.150891</v>
      </c>
      <c r="G1470" s="6" t="n">
        <v>121.3195281</v>
      </c>
      <c r="H1470" s="1" t="n"/>
      <c r="I1470" s="1" t="n"/>
      <c r="J1470" s="1" t="n"/>
      <c r="K1470" s="6" t="n">
        <v>121.9825468</v>
      </c>
      <c r="L1470" s="1" t="n"/>
      <c r="M1470" s="1" t="n"/>
      <c r="N1470" s="1" t="n"/>
    </row>
    <row r="1471">
      <c r="A1471" s="1" t="inlineStr">
        <is>
          <t>66593bc3b73c7</t>
        </is>
      </c>
      <c r="B1471" s="1" t="inlineStr">
        <is>
          <t>ANILLO LOVE MZ GOLD</t>
        </is>
      </c>
      <c r="C1471" s="1" t="n"/>
      <c r="D1471" s="6" t="n">
        <v>122.3619375</v>
      </c>
      <c r="E1471" s="1" t="n"/>
      <c r="F1471" s="1" t="n"/>
      <c r="G1471" s="1" t="n"/>
      <c r="H1471" s="1" t="n"/>
      <c r="I1471" s="6" t="n">
        <v>122.1972772</v>
      </c>
      <c r="J1471" s="1" t="n"/>
      <c r="K1471" s="1" t="n"/>
      <c r="L1471" s="6" t="n">
        <v>123.0681251</v>
      </c>
      <c r="M1471" s="6" t="n">
        <v>121.8847175</v>
      </c>
      <c r="N1471" s="1" t="n"/>
    </row>
    <row r="1472">
      <c r="A1472" s="1" t="inlineStr">
        <is>
          <t>66593bc3df025</t>
        </is>
      </c>
      <c r="B1472" s="1" t="inlineStr">
        <is>
          <t>ANILLO LOVE MZ SILVER</t>
        </is>
      </c>
      <c r="C1472" s="1" t="n"/>
      <c r="D1472" s="6" t="n">
        <v>123.2828922</v>
      </c>
      <c r="E1472" s="1" t="n"/>
      <c r="F1472" s="1" t="n"/>
      <c r="G1472" s="1" t="n"/>
      <c r="H1472" s="1" t="n"/>
      <c r="I1472" s="6" t="n">
        <v>122.1972772</v>
      </c>
      <c r="J1472" s="1" t="n"/>
      <c r="K1472" s="1" t="n"/>
      <c r="L1472" s="6" t="n">
        <v>121.7379127</v>
      </c>
      <c r="M1472" s="1" t="n"/>
      <c r="N1472" s="1" t="n"/>
    </row>
    <row r="1473">
      <c r="A1473" s="1" t="inlineStr">
        <is>
          <t>66593bc4595bd</t>
        </is>
      </c>
      <c r="B1473" s="1" t="inlineStr">
        <is>
          <t>ANILLO LOVE MZ GOLD</t>
        </is>
      </c>
      <c r="C1473" s="1" t="n"/>
      <c r="D1473" s="6" t="n">
        <v>123.2828922</v>
      </c>
      <c r="E1473" s="1" t="n"/>
      <c r="F1473" s="1" t="n"/>
      <c r="G1473" s="1" t="n"/>
      <c r="H1473" s="1" t="n"/>
      <c r="I1473" s="1" t="n"/>
      <c r="J1473" s="1" t="n"/>
      <c r="K1473" s="1" t="n"/>
      <c r="L1473" s="6" t="n">
        <v>121.7379127</v>
      </c>
      <c r="M1473" s="1" t="n"/>
      <c r="N1473" s="1" t="n"/>
    </row>
    <row r="1474">
      <c r="A1474" s="1" t="inlineStr">
        <is>
          <t>66593bc48c52f</t>
        </is>
      </c>
      <c r="B1474" s="1" t="inlineStr">
        <is>
          <t>ANILLO LOVE MZ SILVER</t>
        </is>
      </c>
      <c r="C1474" s="1" t="n"/>
      <c r="D1474" s="6" t="n">
        <v>123.2828922</v>
      </c>
      <c r="E1474" s="1" t="n"/>
      <c r="F1474" s="1" t="n"/>
      <c r="G1474" s="1" t="n"/>
      <c r="H1474" s="1" t="n"/>
      <c r="I1474" s="1" t="n"/>
      <c r="J1474" s="1" t="n"/>
      <c r="K1474" s="6" t="n">
        <v>121.9825468</v>
      </c>
      <c r="L1474" s="1" t="n"/>
      <c r="M1474" s="6" t="n">
        <v>121.8847175</v>
      </c>
      <c r="N1474" s="1" t="n"/>
    </row>
    <row r="1475">
      <c r="A1475" s="1" t="inlineStr">
        <is>
          <t>66593bc501571</t>
        </is>
      </c>
      <c r="B1475" s="1" t="inlineStr">
        <is>
          <t>ANILLO LOVE MZ GOLD</t>
        </is>
      </c>
      <c r="C1475" s="1" t="n"/>
      <c r="D1475" s="1" t="n"/>
      <c r="E1475" s="1" t="n"/>
      <c r="F1475" s="1" t="n"/>
      <c r="G1475" s="1" t="n"/>
      <c r="H1475" s="1" t="n"/>
      <c r="I1475" s="1" t="n"/>
      <c r="J1475" s="1" t="n"/>
      <c r="K1475" s="1" t="n"/>
      <c r="L1475" s="6" t="n">
        <v>123.0681251</v>
      </c>
      <c r="M1475" s="1" t="n"/>
      <c r="N1475" s="1" t="n"/>
    </row>
    <row r="1476">
      <c r="A1476" s="1" t="inlineStr">
        <is>
          <t>66593bc531d7c</t>
        </is>
      </c>
      <c r="B1476" s="1" t="inlineStr">
        <is>
          <t>ANILLO LOVE MZ SILVER</t>
        </is>
      </c>
      <c r="C1476" s="1" t="n"/>
      <c r="D1476" s="6" t="n">
        <v>123.2828922</v>
      </c>
      <c r="E1476" s="1" t="n"/>
      <c r="F1476" s="1" t="n"/>
      <c r="G1476" s="6" t="n">
        <v>121.3195281</v>
      </c>
      <c r="H1476" s="1" t="n"/>
      <c r="I1476" s="6" t="n">
        <v>122.1972772</v>
      </c>
      <c r="J1476" s="1" t="n"/>
      <c r="K1476" s="1" t="n"/>
      <c r="L1476" s="1" t="n"/>
      <c r="M1476" s="1" t="n"/>
      <c r="N1476" s="1" t="n"/>
    </row>
    <row r="1477">
      <c r="A1477" s="1" t="inlineStr">
        <is>
          <t>66593bc59b5a1</t>
        </is>
      </c>
      <c r="B1477" s="1" t="inlineStr">
        <is>
          <t>ANILLO LOVE MZ GOLD</t>
        </is>
      </c>
      <c r="C1477" s="1" t="n"/>
      <c r="D1477" s="6" t="n">
        <v>122.3619375</v>
      </c>
      <c r="E1477" s="1" t="n"/>
      <c r="F1477" s="1" t="n"/>
      <c r="G1477" s="1" t="n"/>
      <c r="H1477" s="1" t="n"/>
      <c r="I1477" s="1" t="n"/>
      <c r="J1477" s="1" t="n"/>
      <c r="K1477" s="1" t="n"/>
      <c r="L1477" s="1" t="n"/>
      <c r="M1477" s="1" t="n"/>
      <c r="N1477" s="1" t="n"/>
    </row>
    <row r="1478">
      <c r="A1478" s="1" t="inlineStr">
        <is>
          <t>66593bc5d26f2</t>
        </is>
      </c>
      <c r="B1478" s="1" t="inlineStr">
        <is>
          <t>ANILLO LOVE MZ SILVER</t>
        </is>
      </c>
      <c r="C1478" s="1" t="n"/>
      <c r="D1478" s="6" t="n">
        <v>123.2828922</v>
      </c>
      <c r="E1478" s="1" t="n"/>
      <c r="F1478" s="1" t="n"/>
      <c r="G1478" s="1" t="n"/>
      <c r="H1478" s="1" t="n"/>
      <c r="I1478" s="1" t="n"/>
      <c r="J1478" s="1" t="n"/>
      <c r="K1478" s="1" t="n"/>
      <c r="L1478" s="1" t="n"/>
      <c r="M1478" s="1" t="n"/>
      <c r="N1478" s="1" t="n"/>
    </row>
    <row r="1479">
      <c r="A1479" s="1" t="inlineStr">
        <is>
          <t>66593bca3c26c</t>
        </is>
      </c>
      <c r="B1479" s="1" t="inlineStr">
        <is>
          <t>ANILLO LOVE ROSE GOLD ANCHO CON ZIRCONIA (WIDHT WITH ZIRCONIAS)</t>
        </is>
      </c>
      <c r="C1479" s="1" t="n"/>
      <c r="D1479" s="1" t="n"/>
      <c r="E1479" s="1" t="n"/>
      <c r="F1479" s="1" t="n"/>
      <c r="G1479" s="1" t="n"/>
      <c r="H1479" s="1" t="n"/>
      <c r="I1479" s="1" t="n"/>
      <c r="J1479" s="1" t="n"/>
      <c r="K1479" s="6" t="n">
        <v>37.85665246</v>
      </c>
      <c r="L1479" s="1" t="n"/>
      <c r="M1479" s="1" t="n"/>
      <c r="N1479" s="1" t="n"/>
    </row>
    <row r="1480">
      <c r="A1480" s="1" t="inlineStr">
        <is>
          <t>66593bcedcf0c</t>
        </is>
      </c>
      <c r="B1480" s="1" t="inlineStr">
        <is>
          <t>ANILLO LOVE SILVER ANCHO CON ZIRCONIA</t>
        </is>
      </c>
      <c r="C1480" s="1" t="n"/>
      <c r="D1480" s="1" t="n"/>
      <c r="E1480" s="1" t="n"/>
      <c r="F1480" s="1" t="n"/>
      <c r="G1480" s="1" t="n"/>
      <c r="H1480" s="1" t="n"/>
      <c r="I1480" s="1" t="n"/>
      <c r="J1480" s="1" t="n"/>
      <c r="K1480" s="1" t="n"/>
      <c r="L1480" s="6" t="n">
        <v>38.19355608</v>
      </c>
      <c r="M1480" s="1" t="n"/>
      <c r="N1480" s="1" t="n"/>
    </row>
    <row r="1481">
      <c r="A1481" s="1" t="inlineStr">
        <is>
          <t>66593bcf8df22</t>
        </is>
      </c>
      <c r="B1481" s="1" t="inlineStr">
        <is>
          <t>ANILLO LOVE ANCHO CON ZIRCONIA SILVER</t>
        </is>
      </c>
      <c r="C1481" s="1" t="n"/>
      <c r="D1481" s="1" t="n"/>
      <c r="E1481" s="1" t="n"/>
      <c r="F1481" s="1" t="n"/>
      <c r="G1481" s="6" t="n">
        <v>37.65088802</v>
      </c>
      <c r="H1481" s="1" t="n"/>
      <c r="I1481" s="1" t="n"/>
      <c r="J1481" s="1" t="n"/>
      <c r="K1481" s="1" t="n"/>
      <c r="L1481" s="6" t="n">
        <v>38.19355608</v>
      </c>
      <c r="M1481" s="1" t="n"/>
      <c r="N1481" s="1" t="n"/>
    </row>
    <row r="1482">
      <c r="A1482" s="1" t="inlineStr">
        <is>
          <t>66593bcfaca6f</t>
        </is>
      </c>
      <c r="B1482" s="1" t="inlineStr">
        <is>
          <t>ANILLO MM</t>
        </is>
      </c>
      <c r="C1482" s="1" t="n"/>
      <c r="D1482" s="1" t="n"/>
      <c r="E1482" s="1" t="n"/>
      <c r="F1482" s="1" t="n"/>
      <c r="G1482" s="1" t="n"/>
      <c r="H1482" s="1" t="n"/>
      <c r="I1482" s="6" t="n">
        <v>74.55269475999999</v>
      </c>
      <c r="J1482" s="1" t="n"/>
      <c r="K1482" s="6" t="n">
        <v>75.45363257</v>
      </c>
      <c r="L1482" s="1" t="n"/>
      <c r="M1482" s="1" t="n"/>
      <c r="N1482" s="1" t="n"/>
    </row>
    <row r="1483">
      <c r="A1483" s="1" t="inlineStr">
        <is>
          <t>66593bd178f08</t>
        </is>
      </c>
      <c r="B1483" s="1" t="inlineStr">
        <is>
          <t>ANILLO LOVE SILVER ANCHO CON ZIRCONIA</t>
        </is>
      </c>
      <c r="C1483" s="1" t="n"/>
      <c r="D1483" s="1" t="n"/>
      <c r="E1483" s="1" t="n"/>
      <c r="F1483" s="1" t="n"/>
      <c r="G1483" s="1" t="n"/>
      <c r="H1483" s="1" t="n"/>
      <c r="I1483" s="1" t="n"/>
      <c r="J1483" s="1" t="n"/>
      <c r="K1483" s="1" t="n"/>
      <c r="L1483" s="1" t="n"/>
      <c r="M1483" s="6" t="n">
        <v>37.82629163</v>
      </c>
      <c r="N1483" s="1" t="n"/>
    </row>
    <row r="1484">
      <c r="A1484" s="1" t="inlineStr">
        <is>
          <t>66593bd6d7885</t>
        </is>
      </c>
      <c r="B1484" s="1" t="inlineStr">
        <is>
          <t>ANILLO PERLEE GOLD</t>
        </is>
      </c>
      <c r="C1484" s="1" t="n"/>
      <c r="D1484" s="1" t="n"/>
      <c r="E1484" s="1" t="n"/>
      <c r="F1484" s="1" t="n"/>
      <c r="G1484" s="1" t="n"/>
      <c r="H1484" s="1" t="n"/>
      <c r="I1484" s="1" t="n"/>
      <c r="J1484" s="1" t="n"/>
      <c r="K1484" s="1" t="n"/>
      <c r="L1484" s="6" t="n">
        <v>132.2468818</v>
      </c>
      <c r="M1484" s="1" t="n"/>
      <c r="N1484" s="1" t="n"/>
    </row>
    <row r="1485">
      <c r="A1485" s="1" t="inlineStr">
        <is>
          <t>66593bd77de70</t>
        </is>
      </c>
      <c r="B1485" s="1" t="inlineStr">
        <is>
          <t>ANILLO PERLEE GOLD</t>
        </is>
      </c>
      <c r="C1485" s="1" t="n"/>
      <c r="D1485" s="1" t="n"/>
      <c r="E1485" s="1" t="n"/>
      <c r="F1485" s="1" t="n"/>
      <c r="G1485" s="1" t="n"/>
      <c r="H1485" s="1" t="n"/>
      <c r="I1485" s="1" t="n"/>
      <c r="J1485" s="6" t="n">
        <v>141.4477855</v>
      </c>
      <c r="K1485" s="6" t="n">
        <v>133.8274486</v>
      </c>
      <c r="L1485" s="1" t="n"/>
      <c r="M1485" s="1" t="n"/>
      <c r="N1485" s="1" t="n"/>
    </row>
    <row r="1486">
      <c r="A1486" s="1" t="inlineStr">
        <is>
          <t>66593be00cc70</t>
        </is>
      </c>
      <c r="B1486" s="1" t="inlineStr">
        <is>
          <t>ANILLO PERLEE ROSEGOLD</t>
        </is>
      </c>
      <c r="C1486" s="1" t="n"/>
      <c r="D1486" s="1" t="n"/>
      <c r="E1486" s="1" t="n"/>
      <c r="F1486" s="1" t="n"/>
      <c r="G1486" s="6" t="n">
        <v>132.2411844</v>
      </c>
      <c r="H1486" s="1" t="n"/>
      <c r="I1486" s="1" t="n"/>
      <c r="J1486" s="1" t="n"/>
      <c r="K1486" s="1" t="n"/>
      <c r="L1486" s="6" t="n">
        <v>158.8896266</v>
      </c>
      <c r="M1486" s="1" t="n"/>
      <c r="N1486" s="1" t="n"/>
    </row>
    <row r="1487">
      <c r="A1487" s="1" t="inlineStr">
        <is>
          <t>66593be0a0b51</t>
        </is>
      </c>
      <c r="B1487" s="1" t="inlineStr">
        <is>
          <t>ANILLO PERLEE ROSEGOLD</t>
        </is>
      </c>
      <c r="C1487" s="1" t="n"/>
      <c r="D1487" s="1" t="n"/>
      <c r="E1487" s="1" t="n"/>
      <c r="F1487" s="1" t="n"/>
      <c r="G1487" s="6" t="n">
        <v>132.2411844</v>
      </c>
      <c r="H1487" s="1" t="n"/>
      <c r="I1487" s="1" t="n"/>
      <c r="J1487" s="6" t="n">
        <v>141.4477855</v>
      </c>
      <c r="K1487" s="1" t="n"/>
      <c r="L1487" s="1" t="n"/>
      <c r="M1487" s="1" t="n"/>
      <c r="N1487" s="1" t="n"/>
    </row>
    <row r="1488">
      <c r="A1488" s="1" t="inlineStr">
        <is>
          <t>66593be14e8c5</t>
        </is>
      </c>
      <c r="B1488" s="1" t="inlineStr">
        <is>
          <t>ANILLO PERLEE SILVER</t>
        </is>
      </c>
      <c r="C1488" s="1" t="n"/>
      <c r="D1488" s="1" t="n"/>
      <c r="E1488" s="1" t="n"/>
      <c r="F1488" s="1" t="n"/>
      <c r="G1488" s="1" t="n"/>
      <c r="H1488" s="1" t="n"/>
      <c r="I1488" s="1" t="n"/>
      <c r="J1488" s="6" t="n">
        <v>141.4477855</v>
      </c>
      <c r="K1488" s="6" t="n">
        <v>133.8274486</v>
      </c>
      <c r="L1488" s="1" t="n"/>
      <c r="M1488" s="1" t="n"/>
      <c r="N1488" s="1" t="n"/>
    </row>
    <row r="1489">
      <c r="A1489" s="1" t="inlineStr">
        <is>
          <t>66593be202d61</t>
        </is>
      </c>
      <c r="B1489" s="1" t="inlineStr">
        <is>
          <t>ANILLO PERLEE SILVER</t>
        </is>
      </c>
      <c r="C1489" s="1" t="n"/>
      <c r="D1489" s="1" t="n"/>
      <c r="E1489" s="1" t="n"/>
      <c r="F1489" s="1" t="n"/>
      <c r="G1489" s="6" t="n">
        <v>132.2411844</v>
      </c>
      <c r="H1489" s="1" t="n"/>
      <c r="I1489" s="1" t="n"/>
      <c r="J1489" s="1" t="n"/>
      <c r="K1489" s="1" t="n"/>
      <c r="L1489" s="1" t="n"/>
      <c r="M1489" s="1" t="n"/>
      <c r="N1489" s="6" t="n">
        <v>136.2029957</v>
      </c>
    </row>
    <row r="1490">
      <c r="A1490" s="1" t="inlineStr">
        <is>
          <t>66593be29b6a6</t>
        </is>
      </c>
      <c r="B1490" s="1" t="inlineStr">
        <is>
          <t>ANILLO PERLEE SILVER</t>
        </is>
      </c>
      <c r="C1490" s="1" t="n"/>
      <c r="D1490" s="1" t="n"/>
      <c r="E1490" s="1" t="n"/>
      <c r="F1490" s="1" t="n"/>
      <c r="G1490" s="1" t="n"/>
      <c r="H1490" s="1" t="n"/>
      <c r="I1490" s="1" t="n"/>
      <c r="J1490" s="6" t="n">
        <v>141.4477855</v>
      </c>
      <c r="K1490" s="1" t="n"/>
      <c r="L1490" s="1" t="n"/>
      <c r="M1490" s="1" t="n"/>
      <c r="N1490" s="1" t="n"/>
    </row>
    <row r="1491">
      <c r="A1491" s="1" t="inlineStr">
        <is>
          <t>665bb4bf5d480</t>
        </is>
      </c>
      <c r="B1491" s="1" t="inlineStr">
        <is>
          <t>ANILLO TREBOL GOLD BLACK</t>
        </is>
      </c>
      <c r="C1491" s="1" t="n"/>
      <c r="D1491" s="1" t="n"/>
      <c r="E1491" s="1" t="n"/>
      <c r="F1491" s="1" t="n"/>
      <c r="G1491" s="6" t="n">
        <v>132.2411844</v>
      </c>
      <c r="H1491" s="1" t="n"/>
      <c r="I1491" s="1" t="n"/>
      <c r="J1491" s="6" t="n">
        <v>141.4477855</v>
      </c>
      <c r="K1491" s="1" t="n"/>
      <c r="L1491" s="1" t="n"/>
      <c r="M1491" s="1" t="n"/>
      <c r="N1491" s="1" t="n"/>
    </row>
    <row r="1492">
      <c r="A1492" s="1" t="inlineStr">
        <is>
          <t>665bb4c1438b1</t>
        </is>
      </c>
      <c r="B1492" s="1" t="inlineStr">
        <is>
          <t>ANILLO TREBOL GOLD GREEN</t>
        </is>
      </c>
      <c r="C1492" s="1" t="n"/>
      <c r="D1492" s="1" t="n"/>
      <c r="E1492" s="1" t="n"/>
      <c r="F1492" s="1" t="n"/>
      <c r="G1492" s="6" t="n">
        <v>132.2411844</v>
      </c>
      <c r="H1492" s="1" t="n"/>
      <c r="I1492" s="1" t="n"/>
      <c r="J1492" s="6" t="n">
        <v>141.4477855</v>
      </c>
      <c r="K1492" s="6" t="n">
        <v>133.8274486</v>
      </c>
      <c r="L1492" s="1" t="n"/>
      <c r="M1492" s="1" t="n"/>
      <c r="N1492" s="1" t="n"/>
    </row>
    <row r="1493">
      <c r="A1493" s="1" t="inlineStr">
        <is>
          <t>665bb4c20b268</t>
        </is>
      </c>
      <c r="B1493" s="1" t="inlineStr">
        <is>
          <t>ANILLO V GOLD</t>
        </is>
      </c>
      <c r="C1493" s="1" t="n"/>
      <c r="D1493" s="1" t="n"/>
      <c r="E1493" s="1" t="n"/>
      <c r="F1493" s="1" t="n"/>
      <c r="G1493" s="1" t="n"/>
      <c r="H1493" s="1" t="n"/>
      <c r="I1493" s="1" t="n"/>
      <c r="J1493" s="1" t="n"/>
      <c r="K1493" s="1" t="n"/>
      <c r="L1493" s="6" t="n">
        <v>180.2071058</v>
      </c>
      <c r="M1493" s="1" t="n"/>
      <c r="N1493" s="1" t="n"/>
    </row>
    <row r="1494">
      <c r="A1494" s="1" t="inlineStr">
        <is>
          <t>665bb4c25887b</t>
        </is>
      </c>
      <c r="B1494" s="1" t="inlineStr">
        <is>
          <t>ANILLO TREBOL GOLD WHITE</t>
        </is>
      </c>
      <c r="C1494" s="1" t="n"/>
      <c r="D1494" s="1" t="n"/>
      <c r="E1494" s="1" t="n"/>
      <c r="F1494" s="1" t="n"/>
      <c r="G1494" s="1" t="n"/>
      <c r="H1494" s="1" t="n"/>
      <c r="I1494" s="1" t="n"/>
      <c r="J1494" s="6" t="n">
        <v>141.4477855</v>
      </c>
      <c r="K1494" s="1" t="n"/>
      <c r="L1494" s="1" t="n"/>
      <c r="M1494" s="1" t="n"/>
      <c r="N1494" s="1" t="n"/>
    </row>
    <row r="1495">
      <c r="A1495" s="1" t="inlineStr">
        <is>
          <t>665bb4e06b7c8</t>
        </is>
      </c>
      <c r="B1495" s="1" t="inlineStr">
        <is>
          <t>ARETES CC DORADO</t>
        </is>
      </c>
      <c r="C1495" s="1" t="n"/>
      <c r="D1495" s="6" t="n">
        <v>50.35819386</v>
      </c>
      <c r="E1495" s="6" t="n">
        <v>52.40364718</v>
      </c>
      <c r="F1495" s="1" t="n"/>
      <c r="G1495" s="1" t="n"/>
      <c r="H1495" s="1" t="n"/>
      <c r="I1495" s="6" t="n">
        <v>54.0867304</v>
      </c>
      <c r="J1495" s="1" t="n"/>
      <c r="K1495" s="1" t="n"/>
      <c r="L1495" s="6" t="n">
        <v>53.00208995</v>
      </c>
      <c r="M1495" s="1" t="n"/>
      <c r="N1495" s="1" t="n"/>
    </row>
    <row r="1496">
      <c r="A1496" s="1" t="inlineStr">
        <is>
          <t>665bb4e678422</t>
        </is>
      </c>
      <c r="B1496" s="1" t="inlineStr">
        <is>
          <t>ARETES CD GOLD</t>
        </is>
      </c>
      <c r="C1496" s="1" t="n"/>
      <c r="D1496" s="6" t="n">
        <v>176.2536785</v>
      </c>
      <c r="E1496" s="1" t="n"/>
      <c r="F1496" s="1" t="n"/>
      <c r="G1496" s="1" t="n"/>
      <c r="H1496" s="6" t="n">
        <v>186.1119937</v>
      </c>
      <c r="I1496" s="1" t="n"/>
      <c r="J1496" s="6" t="n">
        <v>188.0019106</v>
      </c>
      <c r="K1496" s="1" t="n"/>
      <c r="L1496" s="6" t="n">
        <v>185.5073148</v>
      </c>
      <c r="M1496" s="1" t="n"/>
      <c r="N1496" s="1" t="n"/>
    </row>
    <row r="1497">
      <c r="A1497" s="1" t="inlineStr">
        <is>
          <t>665bb4e91bcaf</t>
        </is>
      </c>
      <c r="B1497" s="1" t="inlineStr">
        <is>
          <t>ARETES CD GOLD BLACK</t>
        </is>
      </c>
      <c r="C1497" s="1" t="n"/>
      <c r="D1497" s="1" t="n"/>
      <c r="E1497" s="1" t="n"/>
      <c r="F1497" s="1" t="n"/>
      <c r="G1497" s="1" t="n"/>
      <c r="H1497" s="1" t="n"/>
      <c r="I1497" s="1" t="n"/>
      <c r="J1497" s="6" t="n">
        <v>141.4477855</v>
      </c>
      <c r="K1497" s="1" t="n"/>
      <c r="L1497" s="6" t="n">
        <v>133.95135415</v>
      </c>
      <c r="M1497" s="1" t="n"/>
      <c r="N1497" s="6" t="n">
        <v>136.2029957</v>
      </c>
    </row>
    <row r="1498">
      <c r="A1498" s="1" t="inlineStr">
        <is>
          <t>665bb4f54f46f</t>
        </is>
      </c>
      <c r="B1498" s="1" t="inlineStr">
        <is>
          <t>ARETES CORAZÓN GC</t>
        </is>
      </c>
      <c r="C1498" s="1" t="n"/>
      <c r="D1498" s="1" t="n"/>
      <c r="E1498" s="1" t="n"/>
      <c r="F1498" s="1" t="n"/>
      <c r="G1498" s="1" t="n"/>
      <c r="H1498" s="1" t="n"/>
      <c r="I1498" s="1" t="n"/>
      <c r="J1498" s="6" t="n">
        <v>141.4477855</v>
      </c>
      <c r="K1498" s="1" t="n"/>
      <c r="L1498" s="1" t="n"/>
      <c r="M1498" s="1" t="n"/>
      <c r="N1498" s="6" t="n">
        <v>89.90859644</v>
      </c>
    </row>
    <row r="1499">
      <c r="A1499" s="1" t="inlineStr">
        <is>
          <t>665bb4fe45383</t>
        </is>
      </c>
      <c r="B1499" s="1" t="inlineStr">
        <is>
          <t>ARETES PERLA YSL</t>
        </is>
      </c>
      <c r="C1499" s="1" t="n"/>
      <c r="D1499" s="1" t="n"/>
      <c r="E1499" s="1" t="n"/>
      <c r="F1499" s="1" t="n"/>
      <c r="G1499" s="6" t="n">
        <v>99.12174647000001</v>
      </c>
      <c r="H1499" s="1" t="n"/>
      <c r="I1499" s="1" t="n"/>
      <c r="J1499" s="6" t="n">
        <v>141.4477855</v>
      </c>
      <c r="K1499" s="1" t="n"/>
      <c r="L1499" s="6" t="n">
        <v>100.40360893</v>
      </c>
      <c r="M1499" s="1" t="n"/>
      <c r="N1499" s="1" t="n"/>
    </row>
    <row r="1500">
      <c r="A1500" s="1" t="inlineStr">
        <is>
          <t>665bb512aacaa</t>
        </is>
      </c>
      <c r="B1500" s="1" t="inlineStr">
        <is>
          <t>ARETES GC LOGO GOLD</t>
        </is>
      </c>
      <c r="C1500" s="1" t="n"/>
      <c r="D1500" s="6" t="n">
        <v>92.90978174</v>
      </c>
      <c r="E1500" s="1" t="n"/>
      <c r="F1500" s="1" t="n"/>
      <c r="G1500" s="6" t="n">
        <v>94.39039819</v>
      </c>
      <c r="H1500" s="1" t="n"/>
      <c r="I1500" s="1" t="n"/>
      <c r="J1500" s="6" t="n">
        <v>141.4477855</v>
      </c>
      <c r="K1500" s="1" t="n"/>
      <c r="L1500" s="6" t="n">
        <v>135.6558265</v>
      </c>
      <c r="M1500" s="1" t="n"/>
      <c r="N1500" s="6" t="n">
        <v>136.2029957</v>
      </c>
    </row>
    <row r="1501">
      <c r="A1501" s="1" t="inlineStr">
        <is>
          <t>665bb51372697</t>
        </is>
      </c>
      <c r="B1501" s="1" t="inlineStr">
        <is>
          <t>ARETES GC LOGO SILVER</t>
        </is>
      </c>
      <c r="C1501" s="1" t="n"/>
      <c r="D1501" s="1" t="n"/>
      <c r="E1501" s="1" t="n"/>
      <c r="F1501" s="1" t="n"/>
      <c r="G1501" s="1" t="n"/>
      <c r="H1501" s="1" t="n"/>
      <c r="I1501" s="1" t="n"/>
      <c r="J1501" s="1" t="n"/>
      <c r="K1501" s="1" t="n"/>
      <c r="L1501" s="6" t="n">
        <v>132.2468818</v>
      </c>
      <c r="M1501" s="1" t="n"/>
      <c r="N1501" s="1" t="n"/>
    </row>
    <row r="1502">
      <c r="A1502" s="1" t="inlineStr">
        <is>
          <t>665bb5192cc3b</t>
        </is>
      </c>
      <c r="B1502" s="1" t="inlineStr">
        <is>
          <t>ARETES LOCK GOLD</t>
        </is>
      </c>
      <c r="C1502" s="1" t="n"/>
      <c r="D1502" s="1" t="n"/>
      <c r="E1502" s="1" t="n"/>
      <c r="F1502" s="1" t="n"/>
      <c r="G1502" s="6" t="n">
        <v>179.5546672</v>
      </c>
      <c r="H1502" s="1" t="n"/>
      <c r="I1502" s="1" t="n"/>
      <c r="J1502" s="1" t="n"/>
      <c r="K1502" s="6" t="n">
        <v>181.7084677</v>
      </c>
      <c r="L1502" s="6" t="n">
        <v>179.562403</v>
      </c>
      <c r="M1502" s="1" t="n"/>
      <c r="N1502" s="1" t="n"/>
    </row>
    <row r="1503">
      <c r="A1503" s="1" t="inlineStr">
        <is>
          <t>665bb51b8f87b-1</t>
        </is>
      </c>
      <c r="B1503" s="1" t="inlineStr">
        <is>
          <t>ARETES LOVE DORADOS</t>
        </is>
      </c>
      <c r="C1503" s="1" t="n"/>
      <c r="D1503" s="6" t="n">
        <v>65.46565201999999</v>
      </c>
      <c r="E1503" s="1" t="n"/>
      <c r="F1503" s="1" t="n"/>
      <c r="G1503" s="1" t="n"/>
      <c r="H1503" s="6" t="n">
        <v>69.12731195000001</v>
      </c>
      <c r="I1503" s="1" t="n"/>
      <c r="J1503" s="1" t="n"/>
      <c r="K1503" s="1" t="n"/>
      <c r="L1503" s="6" t="n">
        <v>68.90271694</v>
      </c>
      <c r="M1503" s="1" t="n"/>
      <c r="N1503" s="1" t="n"/>
    </row>
    <row r="1504">
      <c r="A1504" s="1" t="inlineStr">
        <is>
          <t>665bb51ee66d3</t>
        </is>
      </c>
      <c r="B1504" s="1" t="inlineStr">
        <is>
          <t>ARETES LOVE ROSE GOLD</t>
        </is>
      </c>
      <c r="C1504" s="1" t="n"/>
      <c r="D1504" s="6" t="n">
        <v>65.46565201999999</v>
      </c>
      <c r="E1504" s="1" t="n"/>
      <c r="F1504" s="1" t="n"/>
      <c r="G1504" s="1" t="n"/>
      <c r="H1504" s="1" t="n"/>
      <c r="I1504" s="1" t="n"/>
      <c r="J1504" s="1" t="n"/>
      <c r="K1504" s="1" t="n"/>
      <c r="L1504" s="1" t="n"/>
      <c r="M1504" s="1" t="n"/>
      <c r="N1504" s="1" t="n"/>
    </row>
    <row r="1505">
      <c r="A1505" s="1" t="inlineStr">
        <is>
          <t>665bb75a563b8</t>
        </is>
      </c>
      <c r="B1505" s="1" t="inlineStr">
        <is>
          <t>ARETES MY LV SILVER</t>
        </is>
      </c>
      <c r="C1505" s="1" t="n"/>
      <c r="D1505" s="1" t="n"/>
      <c r="E1505" s="1" t="n"/>
      <c r="F1505" s="1" t="n"/>
      <c r="G1505" s="1" t="n"/>
      <c r="H1505" s="1" t="n"/>
      <c r="I1505" s="1" t="n"/>
      <c r="J1505" s="6" t="n">
        <v>141.4477855</v>
      </c>
      <c r="K1505" s="1" t="n"/>
      <c r="L1505" s="1" t="n"/>
      <c r="M1505" s="1" t="n"/>
      <c r="N1505" s="6" t="n">
        <v>153.258827</v>
      </c>
    </row>
    <row r="1506">
      <c r="A1506" s="1" t="inlineStr">
        <is>
          <t>665bb75c10369</t>
        </is>
      </c>
      <c r="B1506" s="1" t="inlineStr">
        <is>
          <t>ARETES LV MY GOLD</t>
        </is>
      </c>
      <c r="C1506" s="1" t="n"/>
      <c r="D1506" s="1" t="n"/>
      <c r="E1506" s="1" t="n"/>
      <c r="F1506" s="1" t="n"/>
      <c r="G1506" s="6" t="n">
        <v>132.2411844</v>
      </c>
      <c r="H1506" s="1" t="n"/>
      <c r="I1506" s="1" t="n"/>
      <c r="J1506" s="1" t="n"/>
      <c r="K1506" s="1" t="n"/>
      <c r="L1506" s="6" t="n">
        <v>152.6431393</v>
      </c>
      <c r="M1506" s="1" t="n"/>
      <c r="N1506" s="1" t="n"/>
    </row>
    <row r="1507">
      <c r="A1507" s="1" t="inlineStr">
        <is>
          <t>665bb75e1389b</t>
        </is>
      </c>
      <c r="B1507" s="1" t="inlineStr">
        <is>
          <t>ARETES SCREW LOVE GOLD</t>
        </is>
      </c>
      <c r="C1507" s="1" t="n"/>
      <c r="D1507" s="1" t="n"/>
      <c r="E1507" s="1" t="n"/>
      <c r="F1507" s="6" t="n">
        <v>62.97089035</v>
      </c>
      <c r="G1507" s="1" t="n"/>
      <c r="H1507" s="1" t="n"/>
      <c r="I1507" s="6" t="n">
        <v>62.99480324</v>
      </c>
      <c r="J1507" s="1" t="n"/>
      <c r="K1507" s="6" t="n">
        <v>62.88410603</v>
      </c>
      <c r="L1507" s="6" t="n">
        <v>63.44374038</v>
      </c>
      <c r="M1507" s="6" t="n">
        <v>62.83367331</v>
      </c>
      <c r="N1507" s="1" t="n"/>
    </row>
    <row r="1508">
      <c r="A1508" s="1" t="inlineStr">
        <is>
          <t>665bb75f8312e</t>
        </is>
      </c>
      <c r="B1508" s="1" t="inlineStr">
        <is>
          <t>ARETES SCREW LOVE ROSE GOLD</t>
        </is>
      </c>
      <c r="C1508" s="1" t="n"/>
      <c r="D1508" s="6" t="n">
        <v>63.07968845</v>
      </c>
      <c r="E1508" s="1" t="n"/>
      <c r="F1508" s="1" t="n"/>
      <c r="G1508" s="6" t="n">
        <v>62.54230843</v>
      </c>
      <c r="H1508" s="1" t="n"/>
      <c r="I1508" s="1" t="n"/>
      <c r="J1508" s="1" t="n"/>
      <c r="K1508" s="1" t="n"/>
      <c r="L1508" s="1" t="n"/>
      <c r="M1508" s="6" t="n">
        <v>62.83367331</v>
      </c>
      <c r="N1508" s="1" t="n"/>
    </row>
    <row r="1509">
      <c r="A1509" s="1" t="inlineStr">
        <is>
          <t>665bb7668ef3c</t>
        </is>
      </c>
      <c r="B1509" s="1" t="inlineStr">
        <is>
          <t>ARETES SCREW LOVE SILVER</t>
        </is>
      </c>
      <c r="C1509" s="1" t="n"/>
      <c r="D1509" s="6" t="n">
        <v>63.07968845</v>
      </c>
      <c r="E1509" s="1" t="n"/>
      <c r="F1509" s="6" t="n">
        <v>62.97089035</v>
      </c>
      <c r="G1509" s="6" t="n">
        <v>62.54230843</v>
      </c>
      <c r="H1509" s="1" t="n"/>
      <c r="I1509" s="6" t="n">
        <v>62.99480324</v>
      </c>
      <c r="J1509" s="1" t="n"/>
      <c r="K1509" s="1" t="n"/>
      <c r="L1509" s="6" t="n">
        <v>62.75799293</v>
      </c>
      <c r="M1509" s="6" t="n">
        <v>62.83367331</v>
      </c>
      <c r="N1509" s="1" t="n"/>
    </row>
    <row r="1510">
      <c r="A1510" s="1" t="inlineStr">
        <is>
          <t>665bb76e6de16</t>
        </is>
      </c>
      <c r="B1510" s="1" t="inlineStr">
        <is>
          <t>ARETES TB GOLD</t>
        </is>
      </c>
      <c r="C1510" s="1" t="n"/>
      <c r="D1510" s="1" t="n"/>
      <c r="E1510" s="1" t="n"/>
      <c r="F1510" s="1" t="n"/>
      <c r="G1510" s="6" t="n">
        <v>66.00230851000001</v>
      </c>
      <c r="H1510" s="1" t="n"/>
      <c r="I1510" s="1" t="n"/>
      <c r="J1510" s="6" t="n">
        <v>70.59737416</v>
      </c>
      <c r="K1510" s="1" t="n"/>
      <c r="L1510" s="6" t="n">
        <v>66.00515211</v>
      </c>
      <c r="M1510" s="1" t="n"/>
      <c r="N1510" s="1" t="n"/>
    </row>
    <row r="1511">
      <c r="A1511" s="1" t="inlineStr">
        <is>
          <t>665bb76fc6270</t>
        </is>
      </c>
      <c r="B1511" s="1" t="inlineStr">
        <is>
          <t>ARETES TB SILVER</t>
        </is>
      </c>
      <c r="C1511" s="1" t="n"/>
      <c r="D1511" s="1" t="n"/>
      <c r="E1511" s="1" t="n"/>
      <c r="F1511" s="1" t="n"/>
      <c r="G1511" s="6" t="n">
        <v>66.00230851000001</v>
      </c>
      <c r="H1511" s="1" t="n"/>
      <c r="I1511" s="1" t="n"/>
      <c r="J1511" s="1" t="n"/>
      <c r="K1511" s="1" t="n"/>
      <c r="L1511" s="6" t="n">
        <v>72.56009323000001</v>
      </c>
      <c r="M1511" s="1" t="n"/>
      <c r="N1511" s="1" t="n"/>
    </row>
    <row r="1512">
      <c r="A1512" s="1" t="inlineStr">
        <is>
          <t>665bb779989a5</t>
        </is>
      </c>
      <c r="B1512" s="1" t="inlineStr">
        <is>
          <t>ARETES TRÉBOL GOLD-WHITE</t>
        </is>
      </c>
      <c r="C1512" s="1" t="n"/>
      <c r="D1512" s="1" t="n"/>
      <c r="E1512" s="1" t="n"/>
      <c r="F1512" s="1" t="n"/>
      <c r="G1512" s="1" t="n"/>
      <c r="H1512" s="6" t="n">
        <v>169.6033423</v>
      </c>
      <c r="I1512" s="6" t="n">
        <v>168.5479685</v>
      </c>
      <c r="J1512" s="1" t="n"/>
      <c r="K1512" s="6" t="n">
        <v>168.2517887</v>
      </c>
      <c r="L1512" s="6" t="n">
        <v>167.9143624</v>
      </c>
      <c r="M1512" s="6" t="n">
        <v>168.1168517</v>
      </c>
      <c r="N1512" s="1" t="n"/>
    </row>
    <row r="1513">
      <c r="A1513" s="1" t="inlineStr">
        <is>
          <t>665bb779a07ff</t>
        </is>
      </c>
      <c r="B1513" s="1" t="inlineStr">
        <is>
          <t>ARETES TREBOL ROSE GOLD WHITE</t>
        </is>
      </c>
      <c r="C1513" s="1" t="n"/>
      <c r="D1513" s="1" t="n"/>
      <c r="E1513" s="1" t="n"/>
      <c r="F1513" s="6" t="n">
        <v>336.9679751</v>
      </c>
      <c r="G1513" s="6" t="n">
        <v>334.6745602</v>
      </c>
      <c r="H1513" s="1" t="n"/>
      <c r="I1513" s="1" t="n"/>
      <c r="J1513" s="1" t="n"/>
      <c r="K1513" s="1" t="n"/>
      <c r="L1513" s="6" t="n">
        <v>169.7491381</v>
      </c>
      <c r="M1513" s="1" t="n"/>
      <c r="N1513" s="1" t="n"/>
    </row>
    <row r="1514">
      <c r="A1514" s="1" t="inlineStr">
        <is>
          <t>665bb7808142d</t>
        </is>
      </c>
      <c r="B1514" s="1" t="inlineStr">
        <is>
          <t>ARETES TRES AROS</t>
        </is>
      </c>
      <c r="C1514" s="1" t="n"/>
      <c r="D1514" s="6" t="n">
        <v>167.2925995</v>
      </c>
      <c r="E1514" s="1" t="n"/>
      <c r="F1514" s="6" t="n">
        <v>166.3779377</v>
      </c>
      <c r="G1514" s="6" t="n">
        <v>165.2455641</v>
      </c>
      <c r="H1514" s="1" t="n"/>
      <c r="I1514" s="1" t="n"/>
      <c r="J1514" s="6" t="n">
        <v>168.3007801</v>
      </c>
      <c r="K1514" s="1" t="n"/>
      <c r="L1514" s="6" t="n">
        <v>167.6272739</v>
      </c>
      <c r="M1514" s="1" t="n"/>
      <c r="N1514" s="1" t="n"/>
    </row>
    <row r="1515">
      <c r="A1515" s="1" t="inlineStr">
        <is>
          <t>665bb78f1ae43</t>
        </is>
      </c>
      <c r="B1515" s="1" t="inlineStr">
        <is>
          <t>ARETES YSL GOLD CON ZIRCONIA</t>
        </is>
      </c>
      <c r="C1515" s="1" t="n"/>
      <c r="D1515" s="1" t="n"/>
      <c r="E1515" s="1" t="n"/>
      <c r="F1515" s="1" t="n"/>
      <c r="G1515" s="6" t="n">
        <v>165.3606224</v>
      </c>
      <c r="H1515" s="1" t="n"/>
      <c r="I1515" s="1" t="n"/>
      <c r="J1515" s="1" t="n"/>
      <c r="K1515" s="6" t="n">
        <v>167.344162</v>
      </c>
      <c r="L1515" s="6" t="n">
        <v>167.4990994</v>
      </c>
      <c r="M1515" s="1" t="n"/>
      <c r="N1515" s="1" t="n"/>
    </row>
    <row r="1516">
      <c r="A1516" s="1" t="inlineStr">
        <is>
          <t>665bb79224272</t>
        </is>
      </c>
      <c r="B1516" s="1" t="inlineStr">
        <is>
          <t>ARRACADAS CD GOLD BLACK</t>
        </is>
      </c>
      <c r="C1516" s="1" t="n"/>
      <c r="D1516" s="6" t="n">
        <v>130.1668371</v>
      </c>
      <c r="E1516" s="1" t="n"/>
      <c r="F1516" s="1" t="n"/>
      <c r="G1516" s="6" t="n">
        <v>165.3606224</v>
      </c>
      <c r="H1516" s="1" t="n"/>
      <c r="I1516" s="1" t="n"/>
      <c r="J1516" s="6" t="n">
        <v>192.0552222</v>
      </c>
      <c r="K1516" s="1" t="n"/>
      <c r="L1516" s="6" t="n">
        <v>132.2468818</v>
      </c>
      <c r="M1516" s="1" t="n"/>
      <c r="N1516" s="1" t="n"/>
    </row>
    <row r="1517">
      <c r="A1517" s="1" t="inlineStr">
        <is>
          <t>665bb79776b6f-1</t>
        </is>
      </c>
      <c r="B1517" s="1" t="inlineStr">
        <is>
          <t>ARRACADAS NANOGRAMA LV</t>
        </is>
      </c>
      <c r="C1517" s="1" t="n"/>
      <c r="D1517" s="1" t="n"/>
      <c r="E1517" s="1" t="n"/>
      <c r="F1517" s="1" t="n"/>
      <c r="G1517" s="6" t="n">
        <v>118.0471396</v>
      </c>
      <c r="H1517" s="1" t="n"/>
      <c r="I1517" s="1" t="n"/>
      <c r="J1517" s="1" t="n"/>
      <c r="K1517" s="6" t="n">
        <v>133.8274486</v>
      </c>
      <c r="L1517" s="6" t="n">
        <v>135.6558265</v>
      </c>
      <c r="M1517" s="1" t="n"/>
      <c r="N1517" s="1" t="n"/>
    </row>
    <row r="1518">
      <c r="A1518" s="1" t="inlineStr">
        <is>
          <t>665bb79d85c5b-1</t>
        </is>
      </c>
      <c r="B1518" s="1" t="inlineStr">
        <is>
          <t>ARRACADAS VC</t>
        </is>
      </c>
      <c r="C1518" s="1" t="n"/>
      <c r="D1518" s="1" t="n"/>
      <c r="E1518" s="1" t="n"/>
      <c r="F1518" s="1" t="n"/>
      <c r="G1518" s="1" t="n"/>
      <c r="H1518" s="1" t="n"/>
      <c r="I1518" s="1" t="n"/>
      <c r="J1518" s="1" t="n"/>
      <c r="K1518" s="1" t="n"/>
      <c r="L1518" s="6" t="n">
        <v>132.2468818</v>
      </c>
      <c r="M1518" s="1" t="n"/>
      <c r="N1518" s="1" t="n"/>
    </row>
    <row r="1519">
      <c r="A1519" s="1" t="inlineStr">
        <is>
          <t>665bb9079b157</t>
        </is>
      </c>
      <c r="B1519" s="1" t="inlineStr">
        <is>
          <t>BOLSO DOUBLE V LV</t>
        </is>
      </c>
      <c r="C1519" s="1" t="n"/>
      <c r="D1519" s="1" t="n"/>
      <c r="E1519" s="6" t="n">
        <v>1261.552923</v>
      </c>
      <c r="F1519" s="1" t="n"/>
      <c r="G1519" s="1" t="n"/>
      <c r="H1519" s="1" t="n"/>
      <c r="I1519" s="1" t="n"/>
      <c r="J1519" s="1" t="n"/>
      <c r="K1519" s="1" t="n"/>
      <c r="L1519" s="1" t="n"/>
      <c r="M1519" s="1" t="n"/>
      <c r="N1519" s="1" t="n"/>
    </row>
    <row r="1520">
      <c r="A1520" s="1" t="inlineStr">
        <is>
          <t>665bb919e080e</t>
        </is>
      </c>
      <c r="B1520" s="1" t="inlineStr">
        <is>
          <t>BRAZALETE CLASH GOLD</t>
        </is>
      </c>
      <c r="C1520" s="1" t="n"/>
      <c r="D1520" s="6" t="n">
        <v>467.6247634</v>
      </c>
      <c r="E1520" s="1" t="n"/>
      <c r="F1520" s="6" t="n">
        <v>463.3309658</v>
      </c>
      <c r="G1520" s="6" t="n">
        <v>460.1775202</v>
      </c>
      <c r="H1520" s="1" t="n"/>
      <c r="I1520" s="1" t="n"/>
      <c r="J1520" s="1" t="n"/>
      <c r="K1520" s="1" t="n"/>
      <c r="L1520" s="6" t="n">
        <v>464.2873132</v>
      </c>
      <c r="M1520" s="1" t="n"/>
      <c r="N1520" s="1" t="n"/>
    </row>
    <row r="1521">
      <c r="A1521" s="1" t="inlineStr">
        <is>
          <t>665bb91f1ebf4</t>
        </is>
      </c>
      <c r="B1521" s="1" t="inlineStr">
        <is>
          <t>BRAZALETE CLASH ROSE GOLD</t>
        </is>
      </c>
      <c r="C1521" s="1" t="n"/>
      <c r="D1521" s="6" t="n">
        <v>465.87812515</v>
      </c>
      <c r="E1521" s="1" t="n"/>
      <c r="F1521" s="1" t="n"/>
      <c r="G1521" s="1" t="n"/>
      <c r="H1521" s="6" t="n">
        <v>466.4091914</v>
      </c>
      <c r="I1521" s="6" t="n">
        <v>463.5069134</v>
      </c>
      <c r="J1521" s="1" t="n"/>
      <c r="K1521" s="1" t="n"/>
      <c r="L1521" s="1" t="n"/>
      <c r="M1521" s="1" t="n"/>
      <c r="N1521" s="1" t="n"/>
    </row>
    <row r="1522">
      <c r="A1522" s="1" t="inlineStr">
        <is>
          <t>665bb920c632c</t>
        </is>
      </c>
      <c r="B1522" s="1" t="inlineStr">
        <is>
          <t>BRAZALETE CLASH SILVER</t>
        </is>
      </c>
      <c r="C1522" s="1" t="n"/>
      <c r="D1522" s="6" t="n">
        <v>467.6247634</v>
      </c>
      <c r="E1522" s="1" t="n"/>
      <c r="F1522" s="1" t="n"/>
      <c r="G1522" s="6" t="n">
        <v>460.1775202</v>
      </c>
      <c r="H1522" s="1" t="n"/>
      <c r="I1522" s="6" t="n">
        <v>463.5069134</v>
      </c>
      <c r="J1522" s="1" t="n"/>
      <c r="K1522" s="1" t="n"/>
      <c r="L1522" s="6" t="n">
        <v>461.7644965</v>
      </c>
      <c r="M1522" s="1" t="n"/>
      <c r="N1522" s="1" t="n"/>
    </row>
    <row r="1523">
      <c r="A1523" s="1" t="inlineStr">
        <is>
          <t>665bb924de84e</t>
        </is>
      </c>
      <c r="B1523" s="1" t="inlineStr">
        <is>
          <t>BRAZALETE PANTHERE SILVER</t>
        </is>
      </c>
      <c r="C1523" s="1" t="n"/>
      <c r="D1523" s="1" t="n"/>
      <c r="E1523" s="1" t="n"/>
      <c r="F1523" s="1" t="n"/>
      <c r="G1523" s="1" t="n"/>
      <c r="H1523" s="6" t="n">
        <v>254.4050135</v>
      </c>
      <c r="I1523" s="1" t="n"/>
      <c r="J1523" s="1" t="n"/>
      <c r="K1523" s="1" t="n"/>
      <c r="L1523" s="1" t="n"/>
      <c r="M1523" s="6" t="n">
        <v>252.1752775</v>
      </c>
      <c r="N1523" s="1" t="n"/>
    </row>
    <row r="1524">
      <c r="A1524" s="1" t="inlineStr">
        <is>
          <t>665bbd3eee796</t>
        </is>
      </c>
      <c r="B1524" s="1" t="inlineStr">
        <is>
          <t>COLLAR CC SILVER</t>
        </is>
      </c>
      <c r="C1524" s="1" t="n"/>
      <c r="D1524" s="1" t="n"/>
      <c r="E1524" s="6" t="n">
        <v>58.95410308</v>
      </c>
      <c r="F1524" s="1" t="n"/>
      <c r="G1524" s="1" t="n"/>
      <c r="H1524" s="6" t="n">
        <v>59.82171227</v>
      </c>
      <c r="I1524" s="1" t="n"/>
      <c r="J1524" s="1" t="n"/>
      <c r="K1524" s="1" t="n"/>
      <c r="L1524" s="1" t="n"/>
      <c r="M1524" s="1" t="n"/>
      <c r="N1524" s="1" t="n"/>
    </row>
    <row r="1525">
      <c r="A1525" s="1" t="inlineStr">
        <is>
          <t>665bbe3eb9388</t>
        </is>
      </c>
      <c r="B1525" s="1" t="inlineStr">
        <is>
          <t>COLLAR LOVE SILVER</t>
        </is>
      </c>
      <c r="C1525" s="1" t="n"/>
      <c r="D1525" s="6" t="n">
        <v>106.2783553</v>
      </c>
      <c r="E1525" s="1" t="n"/>
      <c r="F1525" s="6" t="n">
        <v>105.3024922</v>
      </c>
      <c r="G1525" s="6" t="n">
        <v>104.5858001</v>
      </c>
      <c r="H1525" s="1" t="n"/>
      <c r="I1525" s="1" t="n"/>
      <c r="J1525" s="1" t="n"/>
      <c r="K1525" s="6" t="n">
        <v>105.1573679</v>
      </c>
      <c r="L1525" s="1" t="n"/>
      <c r="M1525" s="1" t="n"/>
      <c r="N1525" s="1" t="n"/>
    </row>
    <row r="1526">
      <c r="A1526" s="1" t="inlineStr">
        <is>
          <t>665bbe4f55773</t>
        </is>
      </c>
      <c r="B1526" s="1" t="inlineStr">
        <is>
          <t>COLLAR SERPENTI SILVER LISO</t>
        </is>
      </c>
      <c r="C1526" s="1" t="n"/>
      <c r="D1526" s="1" t="n"/>
      <c r="E1526" s="1" t="n"/>
      <c r="F1526" s="1" t="n"/>
      <c r="G1526" s="6" t="n">
        <v>425.5847778</v>
      </c>
      <c r="H1526" s="1" t="n"/>
      <c r="I1526" s="1" t="n"/>
      <c r="J1526" s="1" t="n"/>
      <c r="K1526" s="1" t="n"/>
      <c r="L1526" s="6" t="n">
        <v>485.1091183</v>
      </c>
      <c r="M1526" s="1" t="n"/>
      <c r="N1526" s="1" t="n"/>
    </row>
    <row r="1527">
      <c r="A1527" s="1" t="inlineStr">
        <is>
          <t>665bbe801cd41</t>
        </is>
      </c>
      <c r="B1527" s="1" t="inlineStr">
        <is>
          <t>COLLAR TREBOL ROSEGOLD-RED</t>
        </is>
      </c>
      <c r="C1527" s="1" t="n"/>
      <c r="D1527" s="6" t="n">
        <v>232.0657435</v>
      </c>
      <c r="E1527" s="1" t="n"/>
      <c r="F1527" s="1" t="n"/>
      <c r="G1527" s="1" t="n"/>
      <c r="H1527" s="1" t="n"/>
      <c r="I1527" s="1" t="n"/>
      <c r="J1527" s="6" t="n">
        <v>85.21558486000001</v>
      </c>
      <c r="K1527" s="1" t="n"/>
      <c r="L1527" s="6" t="n">
        <v>84.87456907000001</v>
      </c>
      <c r="M1527" s="1" t="n"/>
      <c r="N1527" s="1" t="n"/>
    </row>
    <row r="1528">
      <c r="A1528" s="1" t="inlineStr">
        <is>
          <t>665bbe8b6904f</t>
        </is>
      </c>
      <c r="B1528" s="1" t="inlineStr">
        <is>
          <t>COLLAR TRES AROS</t>
        </is>
      </c>
      <c r="C1528" s="1" t="n"/>
      <c r="D1528" s="1" t="n"/>
      <c r="E1528" s="1" t="n"/>
      <c r="F1528" s="1" t="n"/>
      <c r="G1528" s="1" t="n"/>
      <c r="H1528" s="1" t="n"/>
      <c r="I1528" s="6" t="n">
        <v>147.4794725</v>
      </c>
      <c r="J1528" s="6" t="n">
        <v>149.1272735</v>
      </c>
      <c r="K1528" s="1" t="n"/>
      <c r="L1528" s="1" t="n"/>
      <c r="M1528" s="1" t="n"/>
      <c r="N1528" s="1" t="n"/>
    </row>
    <row r="1529">
      <c r="A1529" s="1" t="inlineStr">
        <is>
          <t>665bc0b8d1cab-2</t>
        </is>
      </c>
      <c r="B1529" s="1" t="inlineStr">
        <is>
          <t>LENTES C GOLD SLIM BLACK</t>
        </is>
      </c>
      <c r="C1529" s="1" t="n"/>
      <c r="D1529" s="1" t="n"/>
      <c r="E1529" s="1" t="n"/>
      <c r="F1529" s="1" t="n"/>
      <c r="G1529" s="1" t="n"/>
      <c r="H1529" s="1" t="n"/>
      <c r="I1529" s="6" t="n">
        <v>229.8686042</v>
      </c>
      <c r="J1529" s="6" t="n">
        <v>228.2880342</v>
      </c>
      <c r="K1529" s="1" t="n"/>
      <c r="L1529" s="1" t="n"/>
      <c r="M1529" s="1" t="n"/>
      <c r="N1529" s="1" t="n"/>
    </row>
    <row r="1530">
      <c r="A1530" s="1" t="inlineStr">
        <is>
          <t>665bc0bb805f5</t>
        </is>
      </c>
      <c r="B1530" s="1" t="inlineStr">
        <is>
          <t>LENTES C OVAL GOLD BLACK</t>
        </is>
      </c>
      <c r="C1530" s="1" t="n"/>
      <c r="D1530" s="6" t="n">
        <v>742.7833594</v>
      </c>
      <c r="E1530" s="1" t="n"/>
      <c r="F1530" s="1" t="n"/>
      <c r="G1530" s="1" t="n"/>
      <c r="H1530" s="6" t="n">
        <v>784.3291164</v>
      </c>
      <c r="I1530" s="6" t="n">
        <v>797.7792734</v>
      </c>
      <c r="J1530" s="1" t="n"/>
      <c r="K1530" s="1" t="n"/>
      <c r="L1530" s="1" t="n"/>
      <c r="M1530" s="1" t="n"/>
      <c r="N1530" s="1" t="n"/>
    </row>
    <row r="1531">
      <c r="A1531" s="1" t="inlineStr">
        <is>
          <t>665bc135c2aa8</t>
        </is>
      </c>
      <c r="B1531" s="1" t="inlineStr">
        <is>
          <t>PULSERA C KNOT SILVER</t>
        </is>
      </c>
      <c r="C1531" s="1" t="n"/>
      <c r="D1531" s="1" t="n"/>
      <c r="E1531" s="1" t="n"/>
      <c r="F1531" s="1" t="n"/>
      <c r="G1531" s="1" t="n"/>
      <c r="H1531" s="1" t="n"/>
      <c r="I1531" s="1" t="n"/>
      <c r="J1531" s="1" t="n"/>
      <c r="K1531" s="1" t="n"/>
      <c r="L1531" s="6" t="n">
        <v>286.2112858</v>
      </c>
      <c r="M1531" s="1" t="n"/>
      <c r="N1531" s="1" t="n"/>
    </row>
    <row r="1532">
      <c r="A1532" s="1" t="inlineStr">
        <is>
          <t>665bcd30f2870</t>
        </is>
      </c>
      <c r="B1532" s="1" t="inlineStr">
        <is>
          <t>PULSERA DY ESCLAVA</t>
        </is>
      </c>
      <c r="C1532" s="1" t="n"/>
      <c r="D1532" s="1" t="n"/>
      <c r="E1532" s="6" t="n">
        <v>348.4842537</v>
      </c>
      <c r="F1532" s="1" t="n"/>
      <c r="G1532" s="1" t="n"/>
      <c r="H1532" s="1" t="n"/>
      <c r="I1532" s="6" t="n">
        <v>359.6767571</v>
      </c>
      <c r="J1532" s="1" t="n"/>
      <c r="K1532" s="1" t="n"/>
      <c r="L1532" s="6" t="n">
        <v>352.4638982</v>
      </c>
      <c r="M1532" s="1" t="n"/>
      <c r="N1532" s="1" t="n"/>
    </row>
    <row r="1533">
      <c r="A1533" s="1" t="inlineStr">
        <is>
          <t>665bce15b9cc7</t>
        </is>
      </c>
      <c r="B1533" s="1" t="inlineStr">
        <is>
          <t>PULSERA LV DE CUERO LOGO</t>
        </is>
      </c>
      <c r="C1533" s="1" t="n"/>
      <c r="D1533" s="1" t="n"/>
      <c r="E1533" s="1" t="n"/>
      <c r="F1533" s="1" t="n"/>
      <c r="G1533" s="1" t="n"/>
      <c r="H1533" s="1" t="n"/>
      <c r="I1533" s="1" t="n"/>
      <c r="J1533" s="1" t="n"/>
      <c r="K1533" s="1" t="n"/>
      <c r="L1533" s="6" t="n">
        <v>286.2112858</v>
      </c>
      <c r="M1533" s="1" t="n"/>
      <c r="N1533" s="1" t="n"/>
    </row>
    <row r="1534">
      <c r="A1534" s="1" t="inlineStr">
        <is>
          <t>665bce42479e9</t>
        </is>
      </c>
      <c r="B1534" s="1" t="inlineStr">
        <is>
          <t>PULSERA P STARS</t>
        </is>
      </c>
      <c r="C1534" s="1" t="n"/>
      <c r="D1534" s="6" t="n">
        <v>151.0745816</v>
      </c>
      <c r="E1534" s="1" t="n"/>
      <c r="F1534" s="1" t="n"/>
      <c r="G1534" s="1" t="n"/>
      <c r="H1534" s="6" t="n">
        <v>159.524566</v>
      </c>
      <c r="I1534" s="1" t="n"/>
      <c r="J1534" s="1" t="n"/>
      <c r="K1534" s="6" t="n">
        <v>155.7005557</v>
      </c>
      <c r="L1534" s="1" t="n"/>
      <c r="M1534" s="1" t="n"/>
      <c r="N1534" s="1" t="n"/>
    </row>
    <row r="1535">
      <c r="A1535" s="1" t="inlineStr">
        <is>
          <t>665bce4734fce</t>
        </is>
      </c>
      <c r="B1535" s="1" t="inlineStr">
        <is>
          <t>PULSERA PERLEÉ ROSEGOLD</t>
        </is>
      </c>
      <c r="C1535" s="1" t="n"/>
      <c r="D1535" s="1" t="n"/>
      <c r="E1535" s="1" t="n"/>
      <c r="F1535" s="1" t="n"/>
      <c r="G1535" s="1" t="n"/>
      <c r="H1535" s="1" t="n"/>
      <c r="I1535" s="1" t="n"/>
      <c r="J1535" s="6" t="n">
        <v>278.0878645</v>
      </c>
      <c r="K1535" s="1" t="n"/>
      <c r="L1535" s="1" t="n"/>
      <c r="M1535" s="1" t="n"/>
      <c r="N1535" s="6" t="n">
        <v>277.5227408</v>
      </c>
    </row>
    <row r="1536">
      <c r="A1536" s="1" t="inlineStr">
        <is>
          <t>665bce4a7cf8d</t>
        </is>
      </c>
      <c r="B1536" s="1" t="inlineStr">
        <is>
          <t>PULSERA PERLEÉ SILVER</t>
        </is>
      </c>
      <c r="C1536" s="1" t="n"/>
      <c r="D1536" s="1" t="n"/>
      <c r="E1536" s="1" t="n"/>
      <c r="F1536" s="1" t="n"/>
      <c r="G1536" s="1" t="n"/>
      <c r="H1536" s="1" t="n"/>
      <c r="I1536" s="1" t="n"/>
      <c r="J1536" s="1" t="n"/>
      <c r="K1536" s="1" t="n"/>
      <c r="L1536" s="6" t="n">
        <v>259.9987891</v>
      </c>
      <c r="M1536" s="1" t="n"/>
      <c r="N1536" s="1" t="n"/>
    </row>
    <row r="1537">
      <c r="A1537" s="1" t="inlineStr">
        <is>
          <t>665bce4e1ec6b</t>
        </is>
      </c>
      <c r="B1537" s="1" t="inlineStr">
        <is>
          <t>PULSERA PERLEÉ GOLD</t>
        </is>
      </c>
      <c r="C1537" s="1" t="n"/>
      <c r="D1537" s="1" t="n"/>
      <c r="E1537" s="1" t="n"/>
      <c r="F1537" s="1" t="n"/>
      <c r="G1537" s="6" t="n">
        <v>259.987588</v>
      </c>
      <c r="H1537" s="1" t="n"/>
      <c r="I1537" s="1" t="n"/>
      <c r="J1537" s="1" t="n"/>
      <c r="K1537" s="6" t="n">
        <v>263.1062003</v>
      </c>
      <c r="L1537" s="1" t="n"/>
      <c r="M1537" s="1" t="n"/>
      <c r="N1537" s="6" t="n">
        <v>277.5227408</v>
      </c>
    </row>
    <row r="1538">
      <c r="A1538" s="1" t="inlineStr">
        <is>
          <t>665bce619b90b</t>
        </is>
      </c>
      <c r="B1538" s="1" t="inlineStr">
        <is>
          <t>PULSERA SERPENTI LISA ROSEGOLD</t>
        </is>
      </c>
      <c r="C1538" s="1" t="n"/>
      <c r="D1538" s="1" t="n"/>
      <c r="E1538" s="1" t="n"/>
      <c r="F1538" s="1" t="n"/>
      <c r="G1538" s="6" t="n">
        <v>222.1368018</v>
      </c>
      <c r="H1538" s="1" t="n"/>
      <c r="I1538" s="1" t="n"/>
      <c r="J1538" s="6" t="n">
        <v>237.6019152</v>
      </c>
      <c r="K1538" s="1" t="n"/>
      <c r="L1538" s="6" t="n">
        <v>222.1463721</v>
      </c>
      <c r="M1538" s="1" t="n"/>
      <c r="N1538" s="1" t="n"/>
    </row>
    <row r="1539">
      <c r="A1539" s="1" t="inlineStr">
        <is>
          <t>665bce65c57fd</t>
        </is>
      </c>
      <c r="B1539" s="1" t="inlineStr">
        <is>
          <t>PULSERA SERPENTI LISA SILVER</t>
        </is>
      </c>
      <c r="C1539" s="1" t="n"/>
      <c r="D1539" s="6" t="n">
        <v>218.6523435</v>
      </c>
      <c r="E1539" s="1" t="n"/>
      <c r="F1539" s="1" t="n"/>
      <c r="G1539" s="6" t="n">
        <v>222.1368018</v>
      </c>
      <c r="H1539" s="1" t="n"/>
      <c r="I1539" s="1" t="n"/>
      <c r="J1539" s="6" t="n">
        <v>237.6019152</v>
      </c>
      <c r="K1539" s="1" t="n"/>
      <c r="L1539" s="1" t="n"/>
      <c r="M1539" s="1" t="n"/>
      <c r="N1539" s="6" t="n">
        <v>233.6648888</v>
      </c>
    </row>
    <row r="1540">
      <c r="A1540" s="1" t="inlineStr">
        <is>
          <t>665bce699c07e-1</t>
        </is>
      </c>
      <c r="B1540" s="1" t="inlineStr">
        <is>
          <t>PULSERA SERPENTI LISA GOLD</t>
        </is>
      </c>
      <c r="C1540" s="1" t="n"/>
      <c r="D1540" s="1" t="n"/>
      <c r="E1540" s="1" t="n"/>
      <c r="F1540" s="1" t="n"/>
      <c r="G1540" s="1" t="n"/>
      <c r="H1540" s="1" t="n"/>
      <c r="I1540" s="1" t="n"/>
      <c r="J1540" s="6" t="n">
        <v>237.6019152</v>
      </c>
      <c r="K1540" s="1" t="n"/>
      <c r="L1540" s="6" t="n">
        <v>227.8726674</v>
      </c>
      <c r="M1540" s="1" t="n"/>
      <c r="N1540" s="1" t="n"/>
    </row>
    <row r="1541">
      <c r="A1541" s="1" t="inlineStr">
        <is>
          <t>665bd055c2e65</t>
        </is>
      </c>
      <c r="B1541" s="1" t="inlineStr">
        <is>
          <t>PULSERA TB CON UNA INSIGNIA BLACK</t>
        </is>
      </c>
      <c r="C1541" s="1" t="n"/>
      <c r="D1541" s="6" t="n">
        <v>130.1668371</v>
      </c>
      <c r="E1541" s="1" t="n"/>
      <c r="F1541" s="1" t="n"/>
      <c r="G1541" s="1" t="n"/>
      <c r="H1541" s="1" t="n"/>
      <c r="I1541" s="1" t="n"/>
      <c r="J1541" s="1" t="n"/>
      <c r="K1541" s="1" t="n"/>
      <c r="L1541" s="1" t="n"/>
      <c r="M1541" s="1" t="n"/>
      <c r="N1541" s="6" t="n">
        <v>145.949185</v>
      </c>
    </row>
    <row r="1542">
      <c r="A1542" s="1" t="inlineStr">
        <is>
          <t>665bd055d2452</t>
        </is>
      </c>
      <c r="B1542" s="1" t="inlineStr">
        <is>
          <t>PULSERA TB CON UNA INSIGNIA WHITE</t>
        </is>
      </c>
      <c r="C1542" s="1" t="n"/>
      <c r="D1542" s="6" t="n">
        <v>130.1668371</v>
      </c>
      <c r="E1542" s="1" t="n"/>
      <c r="F1542" s="1" t="n"/>
      <c r="G1542" s="1" t="n"/>
      <c r="H1542" s="1" t="n"/>
      <c r="I1542" s="1" t="n"/>
      <c r="J1542" s="1" t="n"/>
      <c r="K1542" s="1" t="n"/>
      <c r="L1542" s="6" t="n">
        <v>135.6558265</v>
      </c>
      <c r="M1542" s="1" t="n"/>
      <c r="N1542" s="1" t="n"/>
    </row>
    <row r="1543">
      <c r="A1543" s="1" t="inlineStr">
        <is>
          <t>665bd05b5a37f</t>
        </is>
      </c>
      <c r="B1543" s="1" t="inlineStr">
        <is>
          <t>PULSERA TB GOLD</t>
        </is>
      </c>
      <c r="C1543" s="1" t="n"/>
      <c r="D1543" s="6" t="n">
        <v>125.5097052</v>
      </c>
      <c r="E1543" s="1" t="n"/>
      <c r="F1543" s="1" t="n"/>
      <c r="G1543" s="1" t="n"/>
      <c r="H1543" s="1" t="n"/>
      <c r="I1543" s="1" t="n"/>
      <c r="J1543" s="1" t="n"/>
      <c r="K1543" s="1" t="n"/>
      <c r="L1543" s="6" t="n">
        <v>130.8023085</v>
      </c>
      <c r="M1543" s="1" t="n"/>
      <c r="N1543" s="1" t="n"/>
    </row>
    <row r="1544">
      <c r="A1544" s="1" t="inlineStr">
        <is>
          <t>665bd22d2f1c6</t>
        </is>
      </c>
      <c r="B1544" s="1" t="inlineStr">
        <is>
          <t>ARETES FR GOLD CON ZIRCONIA</t>
        </is>
      </c>
      <c r="C1544" s="1" t="n"/>
      <c r="D1544" s="6" t="n">
        <v>116.1954413</v>
      </c>
      <c r="E1544" s="1" t="n"/>
      <c r="F1544" s="1" t="n"/>
      <c r="G1544" s="1" t="n"/>
      <c r="H1544" s="6" t="n">
        <v>127.2025068</v>
      </c>
      <c r="I1544" s="1" t="n"/>
      <c r="J1544" s="1" t="n"/>
      <c r="K1544" s="6" t="n">
        <v>133.8274486</v>
      </c>
      <c r="L1544" s="6" t="n">
        <v>132.2468818</v>
      </c>
      <c r="M1544" s="1" t="n"/>
      <c r="N1544" s="6" t="n">
        <v>121.5837117</v>
      </c>
    </row>
    <row r="1545">
      <c r="A1545" s="1" t="inlineStr">
        <is>
          <t>665bd49b4a58a</t>
        </is>
      </c>
      <c r="B1545" s="1" t="inlineStr">
        <is>
          <t>TARJETERO LV BLUE</t>
        </is>
      </c>
      <c r="C1545" s="1" t="n"/>
      <c r="D1545" s="1" t="n"/>
      <c r="E1545" s="6" t="n">
        <v>476.5866598</v>
      </c>
      <c r="F1545" s="1" t="n"/>
      <c r="G1545" s="1" t="n"/>
      <c r="H1545" s="1" t="n"/>
      <c r="I1545" s="1" t="n"/>
      <c r="J1545" s="1" t="n"/>
      <c r="K1545" s="1" t="n"/>
      <c r="L1545" s="1" t="n"/>
      <c r="M1545" s="1" t="n"/>
      <c r="N1545" s="1" t="n"/>
    </row>
    <row r="1546">
      <c r="A1546" s="1" t="inlineStr">
        <is>
          <t>665bd4a0c3b63</t>
        </is>
      </c>
      <c r="B1546" s="1" t="inlineStr">
        <is>
          <t>TARJETERO LV BROWN</t>
        </is>
      </c>
      <c r="C1546" s="1" t="n"/>
      <c r="D1546" s="1" t="n"/>
      <c r="E1546" s="6" t="n">
        <v>476.5866598</v>
      </c>
      <c r="F1546" s="1" t="n"/>
      <c r="G1546" s="1" t="n"/>
      <c r="H1546" s="1" t="n"/>
      <c r="I1546" s="1" t="n"/>
      <c r="J1546" s="1" t="n"/>
      <c r="K1546" s="1" t="n"/>
      <c r="L1546" s="1" t="n"/>
      <c r="M1546" s="1" t="n"/>
      <c r="N1546" s="1" t="n"/>
    </row>
    <row r="1547">
      <c r="A1547" s="1" t="inlineStr">
        <is>
          <t>665bd4a33373e</t>
        </is>
      </c>
      <c r="B1547" s="1" t="inlineStr">
        <is>
          <t>PULSERA DE TELA TRES AROS DARK BLUE</t>
        </is>
      </c>
      <c r="C1547" s="1" t="n"/>
      <c r="D1547" s="1" t="n"/>
      <c r="E1547" s="1" t="n"/>
      <c r="F1547" s="1" t="n"/>
      <c r="G1547" s="1" t="n"/>
      <c r="H1547" s="1" t="n"/>
      <c r="I1547" s="1" t="n"/>
      <c r="J1547" s="1" t="n"/>
      <c r="K1547" s="6" t="n">
        <v>105.1573679</v>
      </c>
      <c r="L1547" s="1" t="n"/>
      <c r="M1547" s="1" t="n"/>
      <c r="N1547" s="1" t="n"/>
    </row>
    <row r="1548">
      <c r="A1548" s="1" t="inlineStr">
        <is>
          <t>665bd4a42501a-1</t>
        </is>
      </c>
      <c r="B1548" s="1" t="inlineStr">
        <is>
          <t>ARETES CLAVO SILVER</t>
        </is>
      </c>
      <c r="C1548" s="1" t="n"/>
      <c r="D1548" s="1" t="n"/>
      <c r="E1548" s="1" t="n"/>
      <c r="F1548" s="1" t="n"/>
      <c r="G1548" s="6" t="n">
        <v>62.54230843</v>
      </c>
      <c r="H1548" s="1" t="n"/>
      <c r="I1548" s="6" t="n">
        <v>62.99480324</v>
      </c>
      <c r="J1548" s="1" t="n"/>
      <c r="K1548" s="6" t="n">
        <v>62.88410603</v>
      </c>
      <c r="L1548" s="1" t="n"/>
      <c r="M1548" s="6" t="n">
        <v>62.83367331</v>
      </c>
      <c r="N1548" s="1" t="n"/>
    </row>
    <row r="1549">
      <c r="A1549" s="1" t="inlineStr">
        <is>
          <t>665bd4a63435b</t>
        </is>
      </c>
      <c r="B1549" s="1" t="inlineStr">
        <is>
          <t>ARETES CLAVO GOLD</t>
        </is>
      </c>
      <c r="C1549" s="1" t="n"/>
      <c r="D1549" s="6" t="n">
        <v>63.07968845</v>
      </c>
      <c r="E1549" s="1" t="n"/>
      <c r="F1549" s="6" t="n">
        <v>62.97089035</v>
      </c>
      <c r="G1549" s="6" t="n">
        <v>62.54230843</v>
      </c>
      <c r="H1549" s="6" t="n">
        <v>63.3892492</v>
      </c>
      <c r="I1549" s="6" t="n">
        <v>62.99480324</v>
      </c>
      <c r="J1549" s="6" t="n">
        <v>63.69864968</v>
      </c>
      <c r="K1549" s="1" t="n"/>
      <c r="L1549" s="6" t="n">
        <v>62.75799293</v>
      </c>
      <c r="M1549" s="6" t="n">
        <v>62.83367331</v>
      </c>
      <c r="N1549" s="1" t="n"/>
    </row>
    <row r="1550">
      <c r="A1550" s="1" t="inlineStr">
        <is>
          <t>665bd4aa5e311</t>
        </is>
      </c>
      <c r="B1550" s="1" t="inlineStr">
        <is>
          <t>TARJETERO YSL LOGO BLACK</t>
        </is>
      </c>
      <c r="C1550" s="1" t="n"/>
      <c r="D1550" s="1" t="n"/>
      <c r="E1550" s="1" t="n"/>
      <c r="F1550" s="1" t="n"/>
      <c r="G1550" s="1" t="n"/>
      <c r="H1550" s="6" t="n">
        <v>638.0982642</v>
      </c>
      <c r="I1550" s="6" t="n">
        <v>649.0407648</v>
      </c>
      <c r="J1550" s="1" t="n"/>
      <c r="K1550" s="1" t="n"/>
      <c r="L1550" s="1" t="n"/>
      <c r="M1550" s="1" t="n"/>
      <c r="N1550" s="1" t="n"/>
    </row>
    <row r="1551">
      <c r="A1551" s="1" t="inlineStr">
        <is>
          <t>665bd4aee8cb5</t>
        </is>
      </c>
      <c r="B1551" s="1" t="inlineStr">
        <is>
          <t>ARETES CD PERLAS/ ZIRCONIAS</t>
        </is>
      </c>
      <c r="C1551" s="1" t="n"/>
      <c r="D1551" s="1" t="n"/>
      <c r="E1551" s="6" t="n">
        <v>230.5760476</v>
      </c>
      <c r="F1551" s="1" t="n"/>
      <c r="G1551" s="1" t="n"/>
      <c r="H1551" s="6" t="n">
        <v>233.9693635</v>
      </c>
      <c r="I1551" s="1" t="n"/>
      <c r="J1551" s="1" t="n"/>
      <c r="K1551" s="1" t="n"/>
      <c r="L1551" s="6" t="n">
        <v>233.2091958</v>
      </c>
      <c r="M1551" s="1" t="n"/>
      <c r="N1551" s="1" t="n"/>
    </row>
    <row r="1552">
      <c r="A1552" s="1" t="inlineStr">
        <is>
          <t>665bd4b01f958</t>
        </is>
      </c>
      <c r="B1552" s="1" t="inlineStr">
        <is>
          <t>ARETES PR SILVER</t>
        </is>
      </c>
      <c r="C1552" s="1" t="n"/>
      <c r="D1552" s="1" t="n"/>
      <c r="E1552" s="1" t="n"/>
      <c r="F1552" s="1" t="n"/>
      <c r="G1552" s="1" t="n"/>
      <c r="H1552" s="1" t="n"/>
      <c r="I1552" s="1" t="n"/>
      <c r="J1552" s="6" t="n">
        <v>182.6304274</v>
      </c>
      <c r="K1552" s="1" t="n"/>
      <c r="L1552" s="6" t="n">
        <v>180.2071058</v>
      </c>
      <c r="M1552" s="1" t="n"/>
      <c r="N1552" s="1" t="n"/>
    </row>
    <row r="1553">
      <c r="A1553" s="1" t="inlineStr">
        <is>
          <t>665bd4b033012</t>
        </is>
      </c>
      <c r="B1553" s="1" t="inlineStr">
        <is>
          <t>ARETES YSL SILVER</t>
        </is>
      </c>
      <c r="C1553" s="1" t="n"/>
      <c r="D1553" s="1" t="n"/>
      <c r="E1553" s="1" t="n"/>
      <c r="F1553" s="1" t="n"/>
      <c r="G1553" s="1" t="n"/>
      <c r="H1553" s="6" t="n">
        <v>122.3021673</v>
      </c>
      <c r="I1553" s="1" t="n"/>
      <c r="J1553" s="6" t="n">
        <v>123.5441127</v>
      </c>
      <c r="K1553" s="6" t="n">
        <v>119.370426</v>
      </c>
      <c r="L1553" s="1" t="n"/>
      <c r="M1553" s="1" t="n"/>
      <c r="N1553" s="1" t="n"/>
    </row>
    <row r="1554">
      <c r="A1554" s="1" t="inlineStr">
        <is>
          <t>66745969cb7d0</t>
        </is>
      </c>
      <c r="B1554" s="1" t="inlineStr">
        <is>
          <t>COLLAR 20 TRÉBOLES GOLD GREEN</t>
        </is>
      </c>
      <c r="C1554" s="1" t="n"/>
      <c r="D1554" s="1" t="n"/>
      <c r="E1554" s="1" t="n"/>
      <c r="F1554" s="1" t="n"/>
      <c r="G1554" s="1" t="n"/>
      <c r="H1554" s="1" t="n"/>
      <c r="I1554" s="1" t="n"/>
      <c r="J1554" s="1" t="n"/>
      <c r="K1554" s="1" t="n"/>
      <c r="L1554" s="6" t="n">
        <v>841.9797002</v>
      </c>
      <c r="M1554" s="1" t="n"/>
      <c r="N1554" s="1" t="n"/>
    </row>
    <row r="1555">
      <c r="A1555" s="1" t="inlineStr">
        <is>
          <t>6674596a63af2</t>
        </is>
      </c>
      <c r="B1555" s="1" t="inlineStr">
        <is>
          <t>COLLAR 20 TRÉBOLES GOLD BLACK</t>
        </is>
      </c>
      <c r="C1555" s="1" t="n"/>
      <c r="D1555" s="1" t="n"/>
      <c r="E1555" s="1" t="n"/>
      <c r="F1555" s="1" t="n"/>
      <c r="G1555" s="1" t="n"/>
      <c r="H1555" s="1" t="n"/>
      <c r="I1555" s="1" t="n"/>
      <c r="J1555" s="1" t="n"/>
      <c r="K1555" s="6" t="n">
        <v>852.042736</v>
      </c>
      <c r="L1555" s="6" t="n">
        <v>863.6835178</v>
      </c>
      <c r="M1555" s="1" t="n"/>
      <c r="N1555" s="1" t="n"/>
    </row>
    <row r="1556">
      <c r="A1556" s="1" t="inlineStr">
        <is>
          <t>66745971e789e</t>
        </is>
      </c>
      <c r="B1556" s="1" t="inlineStr">
        <is>
          <t>COLLAR 20 TRÉBOLES GOLD WHITE</t>
        </is>
      </c>
      <c r="C1556" s="1" t="n"/>
      <c r="D1556" s="1" t="n"/>
      <c r="E1556" s="1" t="n"/>
      <c r="F1556" s="1" t="n"/>
      <c r="G1556" s="1" t="n"/>
      <c r="H1556" s="1" t="n"/>
      <c r="I1556" s="1" t="n"/>
      <c r="J1556" s="1" t="n"/>
      <c r="K1556" s="1" t="n"/>
      <c r="L1556" s="6" t="n">
        <v>863.6835178</v>
      </c>
      <c r="M1556" s="1" t="n"/>
      <c r="N1556" s="1" t="n"/>
    </row>
    <row r="1557">
      <c r="A1557" s="1" t="inlineStr">
        <is>
          <t>66745973ed916</t>
        </is>
      </c>
      <c r="B1557" s="1" t="inlineStr">
        <is>
          <t>COLLAR 20 TRÉBOLES GOLD RED</t>
        </is>
      </c>
      <c r="C1557" s="1" t="n"/>
      <c r="D1557" s="1" t="n"/>
      <c r="E1557" s="1" t="n"/>
      <c r="F1557" s="1" t="n"/>
      <c r="G1557" s="1" t="n"/>
      <c r="H1557" s="1" t="n"/>
      <c r="I1557" s="1" t="n"/>
      <c r="J1557" s="1" t="n"/>
      <c r="K1557" s="1" t="n"/>
      <c r="L1557" s="6" t="n">
        <v>841.9797002</v>
      </c>
      <c r="M1557" s="1" t="n"/>
      <c r="N1557" s="1" t="n"/>
    </row>
    <row r="1558">
      <c r="A1558" s="1" t="inlineStr">
        <is>
          <t>66745aa7a2ba5</t>
        </is>
      </c>
      <c r="B1558" s="1" t="inlineStr">
        <is>
          <t>GARGANTILLA 10 TRÉBOLES GOLD BLACK</t>
        </is>
      </c>
      <c r="C1558" s="1" t="n"/>
      <c r="D1558" s="1" t="n"/>
      <c r="E1558" s="1" t="n"/>
      <c r="F1558" s="1" t="n"/>
      <c r="G1558" s="1" t="n"/>
      <c r="H1558" s="1" t="n"/>
      <c r="I1558" s="1" t="n"/>
      <c r="J1558" s="6" t="n">
        <v>419.7886872</v>
      </c>
      <c r="K1558" s="1" t="n"/>
      <c r="L1558" s="6" t="n">
        <v>392.4822485</v>
      </c>
      <c r="M1558" s="1" t="n"/>
      <c r="N1558" s="1" t="n"/>
    </row>
    <row r="1559">
      <c r="A1559" s="1" t="inlineStr">
        <is>
          <t>66745aa830c56</t>
        </is>
      </c>
      <c r="B1559" s="1" t="inlineStr">
        <is>
          <t>GARGANTILLA 10 TRÉBOLES GOLD GREEN</t>
        </is>
      </c>
      <c r="C1559" s="1" t="n"/>
      <c r="D1559" s="1" t="n"/>
      <c r="E1559" s="1" t="n"/>
      <c r="F1559" s="1" t="n"/>
      <c r="G1559" s="6" t="n">
        <v>392.4653398</v>
      </c>
      <c r="H1559" s="1" t="n"/>
      <c r="I1559" s="1" t="n"/>
      <c r="J1559" s="6" t="n">
        <v>419.7886872</v>
      </c>
      <c r="K1559" s="1" t="n"/>
      <c r="L1559" s="1" t="n"/>
      <c r="M1559" s="1" t="n"/>
      <c r="N1559" s="1" t="n"/>
    </row>
    <row r="1560">
      <c r="A1560" s="1" t="inlineStr">
        <is>
          <t>66745adaed578</t>
        </is>
      </c>
      <c r="B1560" s="1" t="inlineStr">
        <is>
          <t>GARGANTILLA 10 TRÉBOLES GOLD RED</t>
        </is>
      </c>
      <c r="C1560" s="1" t="n"/>
      <c r="D1560" s="6" t="n">
        <v>386.3090925</v>
      </c>
      <c r="E1560" s="1" t="n"/>
      <c r="F1560" s="1" t="n"/>
      <c r="G1560" s="1" t="n"/>
      <c r="H1560" s="1" t="n"/>
      <c r="I1560" s="1" t="n"/>
      <c r="J1560" s="1" t="n"/>
      <c r="K1560" s="1" t="n"/>
      <c r="L1560" s="1" t="n"/>
      <c r="M1560" s="1" t="n"/>
      <c r="N1560" s="1" t="n"/>
    </row>
    <row r="1561">
      <c r="A1561" s="1" t="inlineStr">
        <is>
          <t>66745adb8510f-1</t>
        </is>
      </c>
      <c r="B1561" s="1" t="inlineStr">
        <is>
          <t>GARGANTILLA 10 TRÉBOLES SILVER BLACK</t>
        </is>
      </c>
      <c r="C1561" s="1" t="n"/>
      <c r="D1561" s="1" t="n"/>
      <c r="E1561" s="1" t="n"/>
      <c r="F1561" s="1" t="n"/>
      <c r="G1561" s="1" t="n"/>
      <c r="H1561" s="1" t="n"/>
      <c r="I1561" s="1" t="n"/>
      <c r="J1561" s="1" t="n"/>
      <c r="K1561" s="1" t="n"/>
      <c r="L1561" s="6" t="n">
        <v>392.4822485</v>
      </c>
      <c r="M1561" s="1" t="n"/>
      <c r="N1561" s="1" t="n"/>
    </row>
    <row r="1562">
      <c r="A1562" s="1" t="inlineStr">
        <is>
          <t>66768001116909</t>
        </is>
      </c>
      <c r="B1562" s="1" t="inlineStr">
        <is>
          <t>BRAZALETE H GOLD ZIRCONIAS</t>
        </is>
      </c>
      <c r="C1562" s="1" t="n"/>
      <c r="D1562" s="1" t="n"/>
      <c r="E1562" s="1" t="n"/>
      <c r="F1562" s="1" t="n"/>
      <c r="G1562" s="1" t="n"/>
      <c r="H1562" s="1" t="n"/>
      <c r="I1562" s="1" t="n"/>
      <c r="J1562" s="1" t="n"/>
      <c r="K1562" s="1" t="n"/>
      <c r="L1562" s="6" t="n">
        <v>314.8394294</v>
      </c>
      <c r="M1562" s="1" t="n"/>
      <c r="N1562" s="1" t="n"/>
    </row>
    <row r="1563">
      <c r="A1563" s="1" t="inlineStr">
        <is>
          <t>66768001258381</t>
        </is>
      </c>
      <c r="B1563" s="1" t="inlineStr">
        <is>
          <t>BRAZALETE KELLY CLIC H GOLD</t>
        </is>
      </c>
      <c r="C1563" s="1" t="n"/>
      <c r="D1563" s="6" t="n">
        <v>210.9688577</v>
      </c>
      <c r="E1563" s="1" t="n"/>
      <c r="F1563" s="1" t="n"/>
      <c r="G1563" s="1" t="n"/>
      <c r="H1563" s="1" t="n"/>
      <c r="I1563" s="6" t="n">
        <v>210.6849607</v>
      </c>
      <c r="J1563" s="1" t="n"/>
      <c r="K1563" s="1" t="n"/>
      <c r="L1563" s="1" t="n"/>
      <c r="M1563" s="1" t="n"/>
      <c r="N1563" s="1" t="n"/>
    </row>
    <row r="1564">
      <c r="A1564" s="1" t="inlineStr">
        <is>
          <t>668eecae452bf</t>
        </is>
      </c>
      <c r="B1564" s="1" t="inlineStr">
        <is>
          <t>PULSERA WRAP ESLABONES SILVER</t>
        </is>
      </c>
      <c r="C1564" s="1" t="n"/>
      <c r="D1564" s="1" t="n"/>
      <c r="E1564" s="1" t="n"/>
      <c r="F1564" s="1" t="n"/>
      <c r="G1564" s="1" t="n"/>
      <c r="H1564" s="1" t="n"/>
      <c r="I1564" s="1" t="n"/>
      <c r="J1564" s="1" t="n"/>
      <c r="K1564" s="1" t="n"/>
      <c r="L1564" s="6" t="n">
        <v>662.5261244</v>
      </c>
      <c r="M1564" s="1" t="n"/>
      <c r="N1564" s="1" t="n"/>
    </row>
    <row r="1565">
      <c r="A1565" s="1" t="inlineStr">
        <is>
          <t>668eecb8df0eb</t>
        </is>
      </c>
      <c r="B1565" s="1" t="inlineStr">
        <is>
          <t>PULSERA T GOLD</t>
        </is>
      </c>
      <c r="C1565" s="1" t="n"/>
      <c r="D1565" s="6" t="n">
        <v>226.6118724</v>
      </c>
      <c r="E1565" s="1" t="n"/>
      <c r="F1565" s="1" t="n"/>
      <c r="G1565" s="1" t="n"/>
      <c r="H1565" s="6" t="n">
        <v>252.5805629</v>
      </c>
      <c r="I1565" s="6" t="n">
        <v>256.9119694</v>
      </c>
      <c r="J1565" s="6" t="n">
        <v>255.14545</v>
      </c>
      <c r="K1565" s="1" t="n"/>
      <c r="L1565" s="6" t="n">
        <v>251.7599273</v>
      </c>
      <c r="M1565" s="1" t="n"/>
      <c r="N1565" s="1" t="n"/>
    </row>
    <row r="1566">
      <c r="A1566" s="1" t="inlineStr">
        <is>
          <t>668eecc4d784e</t>
        </is>
      </c>
      <c r="B1566" s="1" t="inlineStr">
        <is>
          <t>PULSERA T ROSE GOLD</t>
        </is>
      </c>
      <c r="C1566" s="1" t="n"/>
      <c r="D1566" s="6" t="n">
        <v>226.6118724</v>
      </c>
      <c r="E1566" s="1" t="n"/>
      <c r="F1566" s="1" t="n"/>
      <c r="G1566" s="1" t="n"/>
      <c r="H1566" s="1" t="n"/>
      <c r="I1566" s="1" t="n"/>
      <c r="J1566" s="6" t="n">
        <v>255.14545</v>
      </c>
      <c r="K1566" s="1" t="n"/>
      <c r="L1566" s="1" t="n"/>
      <c r="M1566" s="1" t="n"/>
      <c r="N1566" s="1" t="n"/>
    </row>
    <row r="1567">
      <c r="A1567" s="1" t="inlineStr">
        <is>
          <t>668eeccb35ffc</t>
        </is>
      </c>
      <c r="B1567" s="1" t="inlineStr">
        <is>
          <t>PULSERA T PLATA</t>
        </is>
      </c>
      <c r="C1567" s="1" t="n"/>
      <c r="D1567" s="6" t="n">
        <v>226.6118724</v>
      </c>
      <c r="E1567" s="1" t="n"/>
      <c r="F1567" s="1" t="n"/>
      <c r="G1567" s="1" t="n"/>
      <c r="H1567" s="1" t="n"/>
      <c r="I1567" s="1" t="n"/>
      <c r="J1567" s="6" t="n">
        <v>255.14545</v>
      </c>
      <c r="K1567" s="1" t="n"/>
      <c r="L1567" s="6" t="n">
        <v>251.7599273</v>
      </c>
      <c r="M1567" s="1" t="n"/>
      <c r="N1567" s="1" t="n"/>
    </row>
    <row r="1568">
      <c r="A1568" s="1" t="inlineStr">
        <is>
          <t>668eeccf75387</t>
        </is>
      </c>
      <c r="B1568" s="1" t="inlineStr">
        <is>
          <t>PULSERA T DORADA ZIRCONIA</t>
        </is>
      </c>
      <c r="C1568" s="1" t="n"/>
      <c r="D1568" s="1" t="n"/>
      <c r="E1568" s="1" t="n"/>
      <c r="F1568" s="1" t="n"/>
      <c r="G1568" s="1" t="n"/>
      <c r="H1568" s="1" t="n"/>
      <c r="I1568" s="6" t="n">
        <v>106.7714619</v>
      </c>
      <c r="J1568" s="6" t="n">
        <v>106.5194811</v>
      </c>
      <c r="K1568" s="1" t="n"/>
      <c r="L1568" s="6" t="n">
        <v>106.0932113</v>
      </c>
      <c r="M1568" s="6" t="n">
        <v>105.0730323</v>
      </c>
      <c r="N1568" s="1" t="n"/>
    </row>
    <row r="1569">
      <c r="A1569" s="1" t="inlineStr">
        <is>
          <t>668eecd028acd</t>
        </is>
      </c>
      <c r="B1569" s="1" t="inlineStr">
        <is>
          <t>ANILLO T ROSE GOLD</t>
        </is>
      </c>
      <c r="C1569" s="1" t="n"/>
      <c r="D1569" s="1" t="n"/>
      <c r="E1569" s="1" t="n"/>
      <c r="F1569" s="6" t="n">
        <v>105.3024922</v>
      </c>
      <c r="G1569" s="6" t="n">
        <v>104.5858001</v>
      </c>
      <c r="H1569" s="1" t="n"/>
      <c r="I1569" s="1" t="n"/>
      <c r="J1569" s="1" t="n"/>
      <c r="K1569" s="1" t="n"/>
      <c r="L1569" s="6" t="n">
        <v>106.0932113</v>
      </c>
      <c r="M1569" s="1" t="n"/>
      <c r="N1569" s="1" t="n"/>
    </row>
    <row r="1570">
      <c r="A1570" s="1" t="inlineStr">
        <is>
          <t>668eecd0c3f2e</t>
        </is>
      </c>
      <c r="B1570" s="1" t="inlineStr">
        <is>
          <t>ANILLO T ROSE GOLD</t>
        </is>
      </c>
      <c r="C1570" s="1" t="n"/>
      <c r="D1570" s="1" t="n"/>
      <c r="E1570" s="1" t="n"/>
      <c r="F1570" s="6" t="n">
        <v>105.3024922</v>
      </c>
      <c r="G1570" s="6" t="n">
        <v>104.5858001</v>
      </c>
      <c r="H1570" s="6" t="n">
        <v>106.002089</v>
      </c>
      <c r="I1570" s="6" t="n">
        <v>105.3424803</v>
      </c>
      <c r="J1570" s="6" t="n">
        <v>106.5194811</v>
      </c>
      <c r="K1570" s="1" t="n"/>
      <c r="L1570" s="1" t="n"/>
      <c r="M1570" s="1" t="n"/>
      <c r="N1570" s="1" t="n"/>
    </row>
    <row r="1571">
      <c r="A1571" s="1" t="inlineStr">
        <is>
          <t>668eecd16590f</t>
        </is>
      </c>
      <c r="B1571" s="1" t="inlineStr">
        <is>
          <t>ANILLO T ROSE GOLD</t>
        </is>
      </c>
      <c r="C1571" s="1" t="n"/>
      <c r="D1571" s="6" t="n">
        <v>106.2783553</v>
      </c>
      <c r="E1571" s="1" t="n"/>
      <c r="F1571" s="6" t="n">
        <v>105.3024922</v>
      </c>
      <c r="G1571" s="1" t="n"/>
      <c r="H1571" s="1" t="n"/>
      <c r="I1571" s="1" t="n"/>
      <c r="J1571" s="1" t="n"/>
      <c r="K1571" s="1" t="n"/>
      <c r="L1571" s="1" t="n"/>
      <c r="M1571" s="6" t="n">
        <v>105.0730323</v>
      </c>
      <c r="N1571" s="1" t="n"/>
    </row>
    <row r="1572">
      <c r="A1572" s="1" t="inlineStr">
        <is>
          <t>668eecd447a15</t>
        </is>
      </c>
      <c r="B1572" s="1" t="inlineStr">
        <is>
          <t>ANILLO T GOLD</t>
        </is>
      </c>
      <c r="C1572" s="1" t="n"/>
      <c r="D1572" s="6" t="n">
        <v>106.2783553</v>
      </c>
      <c r="E1572" s="1" t="n"/>
      <c r="F1572" s="6" t="n">
        <v>105.3024922</v>
      </c>
      <c r="G1572" s="6" t="n">
        <v>104.5858001</v>
      </c>
      <c r="H1572" s="1" t="n"/>
      <c r="I1572" s="1" t="n"/>
      <c r="J1572" s="1" t="n"/>
      <c r="K1572" s="1" t="n"/>
      <c r="L1572" s="6" t="n">
        <v>105.5198439</v>
      </c>
      <c r="M1572" s="1" t="n"/>
      <c r="N1572" s="1" t="n"/>
    </row>
    <row r="1573">
      <c r="A1573" s="1" t="inlineStr">
        <is>
          <t>668eecd4df850</t>
        </is>
      </c>
      <c r="B1573" s="1" t="inlineStr">
        <is>
          <t>ANILLO T GOLD</t>
        </is>
      </c>
      <c r="C1573" s="1" t="n"/>
      <c r="D1573" s="6" t="n">
        <v>106.2783553</v>
      </c>
      <c r="E1573" s="1" t="n"/>
      <c r="F1573" s="6" t="n">
        <v>105.3024922</v>
      </c>
      <c r="G1573" s="6" t="n">
        <v>104.5858001</v>
      </c>
      <c r="H1573" s="1" t="n"/>
      <c r="I1573" s="1" t="n"/>
      <c r="J1573" s="6" t="n">
        <v>106.5194811</v>
      </c>
      <c r="K1573" s="1" t="n"/>
      <c r="L1573" s="6" t="n">
        <v>104.9464765</v>
      </c>
      <c r="M1573" s="6" t="n">
        <v>105.0730323</v>
      </c>
      <c r="N1573" s="1" t="n"/>
    </row>
    <row r="1574">
      <c r="A1574" s="1" t="inlineStr">
        <is>
          <t>668eecd5a989f</t>
        </is>
      </c>
      <c r="B1574" s="1" t="inlineStr">
        <is>
          <t>ANILLO T GOLD</t>
        </is>
      </c>
      <c r="C1574" s="1" t="n"/>
      <c r="D1574" s="6" t="n">
        <v>106.2783553</v>
      </c>
      <c r="E1574" s="1" t="n"/>
      <c r="F1574" s="1" t="n"/>
      <c r="G1574" s="6" t="n">
        <v>104.5858001</v>
      </c>
      <c r="H1574" s="1" t="n"/>
      <c r="I1574" s="1" t="n"/>
      <c r="J1574" s="1" t="n"/>
      <c r="K1574" s="1" t="n"/>
      <c r="L1574" s="6" t="n">
        <v>106.0932113</v>
      </c>
      <c r="M1574" s="6" t="n">
        <v>105.0730323</v>
      </c>
      <c r="N1574" s="1" t="n"/>
    </row>
    <row r="1575">
      <c r="A1575" s="1" t="inlineStr">
        <is>
          <t>668eee338c77b</t>
        </is>
      </c>
      <c r="B1575" s="1" t="inlineStr">
        <is>
          <t>ANILLO T SILVER</t>
        </is>
      </c>
      <c r="C1575" s="1" t="n"/>
      <c r="D1575" s="6" t="n">
        <v>106.2783553</v>
      </c>
      <c r="E1575" s="1" t="n"/>
      <c r="F1575" s="1" t="n"/>
      <c r="G1575" s="6" t="n">
        <v>104.5858001</v>
      </c>
      <c r="H1575" s="6" t="n">
        <v>106.002089</v>
      </c>
      <c r="I1575" s="1" t="n"/>
      <c r="J1575" s="1" t="n"/>
      <c r="K1575" s="6" t="n">
        <v>105.1573679</v>
      </c>
      <c r="L1575" s="1" t="n"/>
      <c r="M1575" s="6" t="n">
        <v>105.0730323</v>
      </c>
      <c r="N1575" s="1" t="n"/>
    </row>
    <row r="1576">
      <c r="A1576" s="1" t="inlineStr">
        <is>
          <t>668eee34483a2</t>
        </is>
      </c>
      <c r="B1576" s="1" t="inlineStr">
        <is>
          <t>ANILLO T SILVER</t>
        </is>
      </c>
      <c r="C1576" s="1" t="n"/>
      <c r="D1576" s="6" t="n">
        <v>105.88139205</v>
      </c>
      <c r="E1576" s="1" t="n"/>
      <c r="F1576" s="1" t="n"/>
      <c r="G1576" s="1" t="n"/>
      <c r="H1576" s="6" t="n">
        <v>106.002089</v>
      </c>
      <c r="I1576" s="6" t="n">
        <v>105.3424803</v>
      </c>
      <c r="J1576" s="1" t="n"/>
      <c r="K1576" s="6" t="n">
        <v>105.1573679</v>
      </c>
      <c r="L1576" s="6" t="n">
        <v>106.0932113</v>
      </c>
      <c r="M1576" s="1" t="n"/>
      <c r="N1576" s="1" t="n"/>
    </row>
    <row r="1577">
      <c r="A1577" s="1" t="inlineStr">
        <is>
          <t>668eee34bc314</t>
        </is>
      </c>
      <c r="B1577" s="1" t="inlineStr">
        <is>
          <t>PULSERA DE CUENTAS CON INSIGNIA DE CORAZÓN BLUE</t>
        </is>
      </c>
      <c r="C1577" s="1" t="n"/>
      <c r="D1577" s="6" t="n">
        <v>105.88139205</v>
      </c>
      <c r="E1577" s="1" t="n"/>
      <c r="F1577" s="1" t="n"/>
      <c r="G1577" s="6" t="n">
        <v>104.5858001</v>
      </c>
      <c r="H1577" s="6" t="n">
        <v>106.002089</v>
      </c>
      <c r="I1577" s="1" t="n"/>
      <c r="J1577" s="1" t="n"/>
      <c r="K1577" s="6" t="n">
        <v>105.1573679</v>
      </c>
      <c r="L1577" s="6" t="n">
        <v>106.0932113</v>
      </c>
      <c r="M1577" s="6" t="n">
        <v>105.0730323</v>
      </c>
      <c r="N1577" s="1" t="n"/>
    </row>
    <row r="1578">
      <c r="A1578" s="1" t="inlineStr">
        <is>
          <t>668eee34e7e6d</t>
        </is>
      </c>
      <c r="B1578" s="1" t="inlineStr">
        <is>
          <t>ANILLO T SILVER</t>
        </is>
      </c>
      <c r="C1578" s="1" t="n"/>
      <c r="D1578" s="6" t="n">
        <v>106.2783553</v>
      </c>
      <c r="E1578" s="1" t="n"/>
      <c r="F1578" s="1" t="n"/>
      <c r="G1578" s="6" t="n">
        <v>104.5858001</v>
      </c>
      <c r="H1578" s="1" t="n"/>
      <c r="I1578" s="6" t="n">
        <v>105.3424803</v>
      </c>
      <c r="J1578" s="1" t="n"/>
      <c r="K1578" s="6" t="n">
        <v>105.1573679</v>
      </c>
      <c r="L1578" s="1" t="n"/>
      <c r="M1578" s="1" t="n"/>
      <c r="N1578" s="1" t="n"/>
    </row>
    <row r="1579">
      <c r="A1579" s="1" t="inlineStr">
        <is>
          <t>668eee3550b09</t>
        </is>
      </c>
      <c r="B1579" s="1" t="inlineStr">
        <is>
          <t>COLLAR DOBLE PLACA CORAZÓN ROJO-PLATA</t>
        </is>
      </c>
      <c r="C1579" s="1" t="n"/>
      <c r="D1579" s="1" t="n"/>
      <c r="E1579" s="1" t="n"/>
      <c r="F1579" s="1" t="n"/>
      <c r="G1579" s="1" t="n"/>
      <c r="H1579" s="1" t="n"/>
      <c r="I1579" s="6" t="n">
        <v>105.3424803</v>
      </c>
      <c r="J1579" s="1" t="n"/>
      <c r="K1579" s="6" t="n">
        <v>105.1573679</v>
      </c>
      <c r="L1579" s="6" t="n">
        <v>106.0932113</v>
      </c>
      <c r="M1579" s="1" t="n"/>
      <c r="N1579" s="1" t="n"/>
    </row>
    <row r="1580">
      <c r="A1580" s="1" t="inlineStr">
        <is>
          <t>668eee357952c</t>
        </is>
      </c>
      <c r="B1580" s="1" t="inlineStr">
        <is>
          <t>PULSERA DE CUENTAS CON INSIGNIA DE CORAZÓN BLUE</t>
        </is>
      </c>
      <c r="C1580" s="1" t="n"/>
      <c r="D1580" s="1" t="n"/>
      <c r="E1580" s="1" t="n"/>
      <c r="F1580" s="1" t="n"/>
      <c r="G1580" s="6" t="n">
        <v>104.5858001</v>
      </c>
      <c r="H1580" s="6" t="n">
        <v>106.002089</v>
      </c>
      <c r="I1580" s="6" t="n">
        <v>105.3424803</v>
      </c>
      <c r="J1580" s="1" t="n"/>
      <c r="K1580" s="1" t="n"/>
      <c r="L1580" s="6" t="n">
        <v>104.9464765</v>
      </c>
      <c r="M1580" s="6" t="n">
        <v>105.0730323</v>
      </c>
      <c r="N1580" s="1" t="n"/>
    </row>
    <row r="1581">
      <c r="A1581" s="1" t="inlineStr">
        <is>
          <t>668eee360a47c</t>
        </is>
      </c>
      <c r="B1581" s="1" t="inlineStr">
        <is>
          <t>PULSERA DE CUENTAS CON INSIGNIA DE CORAZÓN BLUE</t>
        </is>
      </c>
      <c r="C1581" s="1" t="n"/>
      <c r="D1581" s="1" t="n"/>
      <c r="E1581" s="1" t="n"/>
      <c r="F1581" s="1" t="n"/>
      <c r="G1581" s="1" t="n"/>
      <c r="H1581" s="1" t="n"/>
      <c r="I1581" s="1" t="n"/>
      <c r="J1581" s="1" t="n"/>
      <c r="K1581" s="1" t="n"/>
      <c r="L1581" s="6" t="n">
        <v>104.9464765</v>
      </c>
      <c r="M1581" s="6" t="n">
        <v>105.0730323</v>
      </c>
      <c r="N1581" s="1" t="n"/>
    </row>
    <row r="1582">
      <c r="A1582" s="1" t="inlineStr">
        <is>
          <t>668eee369b9c1</t>
        </is>
      </c>
      <c r="B1582" s="1" t="inlineStr">
        <is>
          <t>PULSERA DE CUENTAS CON INSIGNIA DE CORAZÓN BLUE</t>
        </is>
      </c>
      <c r="C1582" s="1" t="n"/>
      <c r="D1582" s="1" t="n"/>
      <c r="E1582" s="1" t="n"/>
      <c r="F1582" s="1" t="n"/>
      <c r="G1582" s="1" t="n"/>
      <c r="H1582" s="1" t="n"/>
      <c r="I1582" s="6" t="n">
        <v>105.3424803</v>
      </c>
      <c r="J1582" s="1" t="n"/>
      <c r="K1582" s="1" t="n"/>
      <c r="L1582" s="6" t="n">
        <v>104.9464765</v>
      </c>
      <c r="M1582" s="6" t="n">
        <v>105.0730323</v>
      </c>
      <c r="N1582" s="1" t="n"/>
    </row>
    <row r="1583">
      <c r="A1583" s="1" t="inlineStr">
        <is>
          <t>668eee3870a7d</t>
        </is>
      </c>
      <c r="B1583" s="1" t="inlineStr">
        <is>
          <t>COLLAR ESLABONES SILVER</t>
        </is>
      </c>
      <c r="C1583" s="1" t="n"/>
      <c r="D1583" s="1" t="n"/>
      <c r="E1583" s="1" t="n"/>
      <c r="F1583" s="1" t="n"/>
      <c r="G1583" s="1" t="n"/>
      <c r="H1583" s="1" t="n"/>
      <c r="I1583" s="1" t="n"/>
      <c r="J1583" s="6" t="n">
        <v>370.632338</v>
      </c>
      <c r="K1583" s="1" t="n"/>
      <c r="L1583" s="1" t="n"/>
      <c r="M1583" s="1" t="n"/>
      <c r="N1583" s="1" t="n"/>
    </row>
    <row r="1584">
      <c r="A1584" s="1" t="inlineStr">
        <is>
          <t>668eee3921529</t>
        </is>
      </c>
      <c r="B1584" s="1" t="inlineStr">
        <is>
          <t>COLLAR ESLABONES SILVER</t>
        </is>
      </c>
      <c r="C1584" s="1" t="n"/>
      <c r="D1584" s="6" t="n">
        <v>347.4715376</v>
      </c>
      <c r="E1584" s="1" t="n"/>
      <c r="F1584" s="1" t="n"/>
      <c r="G1584" s="1" t="n"/>
      <c r="H1584" s="6" t="n">
        <v>366.9065019</v>
      </c>
      <c r="I1584" s="1" t="n"/>
      <c r="J1584" s="1" t="n"/>
      <c r="K1584" s="6" t="n">
        <v>358.1112781</v>
      </c>
      <c r="L1584" s="6" t="n">
        <v>365.7144207</v>
      </c>
      <c r="M1584" s="1" t="n"/>
      <c r="N1584" s="1" t="n"/>
    </row>
    <row r="1585">
      <c r="A1585" s="1" t="inlineStr">
        <is>
          <t>668eee3b4af12</t>
        </is>
      </c>
      <c r="B1585" s="1" t="inlineStr">
        <is>
          <t>PULSERA T CON ZIRCONIA Y COLOR TURQUESA</t>
        </is>
      </c>
      <c r="C1585" s="1" t="n"/>
      <c r="D1585" s="1" t="n"/>
      <c r="E1585" s="1" t="n"/>
      <c r="F1585" s="1" t="n"/>
      <c r="G1585" s="1" t="n"/>
      <c r="H1585" s="6" t="n">
        <v>159.524566</v>
      </c>
      <c r="I1585" s="1" t="n"/>
      <c r="J1585" s="1" t="n"/>
      <c r="K1585" s="1" t="n"/>
      <c r="L1585" s="6" t="n">
        <v>159.0062699</v>
      </c>
      <c r="M1585" s="1" t="n"/>
      <c r="N1585" s="1" t="n"/>
    </row>
    <row r="1586">
      <c r="A1586" s="1" t="inlineStr">
        <is>
          <t>668eee3e3e067</t>
        </is>
      </c>
      <c r="B1586" s="1" t="inlineStr">
        <is>
          <t>COLLAR DOBLE PLACA CORAZÓN TURQUESA-PLATA</t>
        </is>
      </c>
      <c r="C1586" s="1" t="n"/>
      <c r="D1586" s="6" t="n">
        <v>105.4844288</v>
      </c>
      <c r="E1586" s="1" t="n"/>
      <c r="F1586" s="6" t="n">
        <v>105.3024922</v>
      </c>
      <c r="G1586" s="6" t="n">
        <v>104.5858001</v>
      </c>
      <c r="H1586" s="1" t="n"/>
      <c r="I1586" s="1" t="n"/>
      <c r="J1586" s="1" t="n"/>
      <c r="K1586" s="6" t="n">
        <v>105.1573679</v>
      </c>
      <c r="L1586" s="1" t="n"/>
      <c r="M1586" s="6" t="n">
        <v>105.0730323</v>
      </c>
      <c r="N1586" s="1" t="n"/>
    </row>
    <row r="1587">
      <c r="A1587" s="1" t="inlineStr">
        <is>
          <t>668eee3eadc59</t>
        </is>
      </c>
      <c r="B1587" s="1" t="inlineStr">
        <is>
          <t>COLLAR DOBLE PLACA CORAZÓN ROSA-PLATA</t>
        </is>
      </c>
      <c r="C1587" s="1" t="n"/>
      <c r="D1587" s="1" t="n"/>
      <c r="E1587" s="6" t="n">
        <v>303.9411536</v>
      </c>
      <c r="F1587" s="1" t="n"/>
      <c r="G1587" s="1" t="n"/>
      <c r="H1587" s="1" t="n"/>
      <c r="I1587" s="1" t="n"/>
      <c r="J1587" s="6" t="n">
        <v>236.345259</v>
      </c>
      <c r="K1587" s="1" t="n"/>
      <c r="L1587" s="1" t="n"/>
      <c r="M1587" s="1" t="n"/>
      <c r="N1587" s="1" t="n"/>
    </row>
    <row r="1588">
      <c r="A1588" s="1" t="inlineStr">
        <is>
          <t>668eee4037675</t>
        </is>
      </c>
      <c r="B1588" s="1" t="inlineStr">
        <is>
          <t>COLLAR ESLABONES GOLD</t>
        </is>
      </c>
      <c r="C1588" s="1" t="n"/>
      <c r="D1588" s="6" t="n">
        <v>347.4715376</v>
      </c>
      <c r="E1588" s="1" t="n"/>
      <c r="F1588" s="1" t="n"/>
      <c r="G1588" s="1" t="n"/>
      <c r="H1588" s="6" t="n">
        <v>366.9065019</v>
      </c>
      <c r="I1588" s="1" t="n"/>
      <c r="J1588" s="6" t="n">
        <v>370.632338</v>
      </c>
      <c r="K1588" s="6" t="n">
        <v>358.1112781</v>
      </c>
      <c r="L1588" s="6" t="n">
        <v>365.7144207</v>
      </c>
      <c r="M1588" s="1" t="n"/>
      <c r="N1588" s="1" t="n"/>
    </row>
    <row r="1589">
      <c r="A1589" s="1" t="inlineStr">
        <is>
          <t>668eee41bab7a</t>
        </is>
      </c>
      <c r="B1589" s="1" t="inlineStr">
        <is>
          <t>PULSERA ESLABONES GOLD</t>
        </is>
      </c>
      <c r="C1589" s="1" t="n"/>
      <c r="D1589" s="6" t="n">
        <v>322.2924407</v>
      </c>
      <c r="E1589" s="1" t="n"/>
      <c r="F1589" s="1" t="n"/>
      <c r="G1589" s="1" t="n"/>
      <c r="H1589" s="6" t="n">
        <v>340.3190742</v>
      </c>
      <c r="I1589" s="1" t="n"/>
      <c r="J1589" s="6" t="n">
        <v>370.632338</v>
      </c>
      <c r="K1589" s="1" t="n"/>
      <c r="L1589" s="6" t="n">
        <v>365.7144207</v>
      </c>
      <c r="M1589" s="1" t="n"/>
      <c r="N1589" s="1" t="n"/>
    </row>
    <row r="1590">
      <c r="A1590" s="1" t="inlineStr">
        <is>
          <t>668eee4272e66</t>
        </is>
      </c>
      <c r="B1590" s="1" t="inlineStr">
        <is>
          <t>PULSERA ESLABONES GOLD</t>
        </is>
      </c>
      <c r="C1590" s="1" t="n"/>
      <c r="D1590" s="6" t="n">
        <v>377.6864539</v>
      </c>
      <c r="E1590" s="1" t="n"/>
      <c r="F1590" s="1" t="n"/>
      <c r="G1590" s="1" t="n"/>
      <c r="H1590" s="6" t="n">
        <v>398.8114151</v>
      </c>
      <c r="I1590" s="1" t="n"/>
      <c r="J1590" s="6" t="n">
        <v>424.3471695</v>
      </c>
      <c r="K1590" s="6" t="n">
        <v>410.0114634</v>
      </c>
      <c r="L1590" s="1" t="n"/>
      <c r="M1590" s="1" t="n"/>
      <c r="N1590" s="1" t="n"/>
    </row>
    <row r="1591">
      <c r="A1591" s="1" t="inlineStr">
        <is>
          <t>668eee430f697</t>
        </is>
      </c>
      <c r="B1591" s="1" t="inlineStr">
        <is>
          <t>COLLAR SMILE ROSE GOLD</t>
        </is>
      </c>
      <c r="C1591" s="1" t="n"/>
      <c r="D1591" s="6" t="n">
        <v>72.26928160999999</v>
      </c>
      <c r="E1591" s="1" t="n"/>
      <c r="F1591" s="1" t="n"/>
      <c r="G1591" s="6" t="n">
        <v>71.11834404</v>
      </c>
      <c r="H1591" s="1" t="n"/>
      <c r="I1591" s="1" t="n"/>
      <c r="J1591" s="1" t="n"/>
      <c r="K1591" s="6" t="n">
        <v>71.5070102</v>
      </c>
      <c r="L1591" s="1" t="n"/>
      <c r="M1591" s="1" t="n"/>
      <c r="N1591" s="1" t="n"/>
    </row>
    <row r="1592">
      <c r="A1592" s="1" t="inlineStr">
        <is>
          <t>668eee443df70</t>
        </is>
      </c>
      <c r="B1592" s="1" t="inlineStr">
        <is>
          <t>COLLAR SMILE SILVER</t>
        </is>
      </c>
      <c r="C1592" s="1" t="n"/>
      <c r="D1592" s="6" t="n">
        <v>80.16816592000001</v>
      </c>
      <c r="E1592" s="1" t="n"/>
      <c r="F1592" s="1" t="n"/>
      <c r="G1592" s="6" t="n">
        <v>79.48520804</v>
      </c>
      <c r="H1592" s="1" t="n"/>
      <c r="I1592" s="1" t="n"/>
      <c r="J1592" s="6" t="n">
        <v>80.95480562</v>
      </c>
      <c r="K1592" s="1" t="n"/>
      <c r="L1592" s="6" t="n">
        <v>79.75932211999999</v>
      </c>
      <c r="M1592" s="6" t="n">
        <v>79.85550455000001</v>
      </c>
      <c r="N1592" s="1" t="n"/>
    </row>
    <row r="1593">
      <c r="A1593" s="1" t="inlineStr">
        <is>
          <t>668eee447fb3d</t>
        </is>
      </c>
      <c r="B1593" s="1" t="inlineStr">
        <is>
          <t>ARETES DE ESLABONES GOLD MZ</t>
        </is>
      </c>
      <c r="C1593" s="1" t="n"/>
      <c r="D1593" s="1" t="n"/>
      <c r="E1593" s="1" t="n"/>
      <c r="F1593" s="1" t="n"/>
      <c r="G1593" s="1" t="n"/>
      <c r="H1593" s="1" t="n"/>
      <c r="I1593" s="1" t="n"/>
      <c r="J1593" s="1" t="n"/>
      <c r="K1593" s="6" t="n">
        <v>138.6155505</v>
      </c>
      <c r="L1593" s="6" t="n">
        <v>167.4990994</v>
      </c>
      <c r="M1593" s="1" t="n"/>
      <c r="N1593" s="6" t="n">
        <v>184.9339423</v>
      </c>
    </row>
    <row r="1594">
      <c r="A1594" s="1" t="inlineStr">
        <is>
          <t>668eee4709a5f</t>
        </is>
      </c>
      <c r="B1594" s="1" t="inlineStr">
        <is>
          <t>PULSERA DE CUENTAS CON INSIGNIA DE CORAZÓN ROSE GOLD</t>
        </is>
      </c>
      <c r="C1594" s="6" t="n">
        <v>108.2688863</v>
      </c>
      <c r="D1594" s="1" t="n"/>
      <c r="E1594" s="1" t="n"/>
      <c r="F1594" s="1" t="n"/>
      <c r="G1594" s="1" t="n"/>
      <c r="H1594" s="6" t="n">
        <v>106.8088759</v>
      </c>
      <c r="I1594" s="1" t="n"/>
      <c r="J1594" s="1" t="n"/>
      <c r="K1594" s="1" t="n"/>
      <c r="L1594" s="1" t="n"/>
      <c r="M1594" s="1" t="n"/>
      <c r="N1594" s="1" t="n"/>
    </row>
    <row r="1595">
      <c r="A1595" s="1" t="inlineStr">
        <is>
          <t>668eee497dfb4</t>
        </is>
      </c>
      <c r="B1595" s="1" t="inlineStr">
        <is>
          <t>ANILLO T CON TURQUESA Y ZIRCONIA</t>
        </is>
      </c>
      <c r="C1595" s="1" t="n"/>
      <c r="D1595" s="6" t="n">
        <v>105.4844288</v>
      </c>
      <c r="E1595" s="1" t="n"/>
      <c r="F1595" s="1" t="n"/>
      <c r="G1595" s="6" t="n">
        <v>104.5858001</v>
      </c>
      <c r="H1595" s="6" t="n">
        <v>106.002089</v>
      </c>
      <c r="I1595" s="1" t="n"/>
      <c r="J1595" s="1" t="n"/>
      <c r="K1595" s="6" t="n">
        <v>105.1573679</v>
      </c>
      <c r="L1595" s="6" t="n">
        <v>104.9464765</v>
      </c>
      <c r="M1595" s="1" t="n"/>
      <c r="N1595" s="1" t="n"/>
    </row>
    <row r="1596">
      <c r="A1596" s="1" t="inlineStr">
        <is>
          <t>668eee4d3cd9f</t>
        </is>
      </c>
      <c r="B1596" s="1" t="inlineStr">
        <is>
          <t>PULSERA T ANGOSTA GOLD</t>
        </is>
      </c>
      <c r="C1596" s="1" t="n"/>
      <c r="D1596" s="6" t="n">
        <v>352.507357</v>
      </c>
      <c r="E1596" s="1" t="n"/>
      <c r="F1596" s="1" t="n"/>
      <c r="G1596" s="1" t="n"/>
      <c r="H1596" s="1" t="n"/>
      <c r="I1596" s="1" t="n"/>
      <c r="J1596" s="6" t="n">
        <v>376.0038211</v>
      </c>
      <c r="K1596" s="1" t="n"/>
      <c r="L1596" s="1" t="n"/>
      <c r="M1596" s="1" t="n"/>
      <c r="N1596" s="1" t="n"/>
    </row>
    <row r="1597">
      <c r="A1597" s="1" t="inlineStr">
        <is>
          <t>668eee4e0326c</t>
        </is>
      </c>
      <c r="B1597" s="1" t="inlineStr">
        <is>
          <t>PULSERA ESLABONES SILVER</t>
        </is>
      </c>
      <c r="C1597" s="1" t="n"/>
      <c r="D1597" s="6" t="n">
        <v>322.2924407</v>
      </c>
      <c r="E1597" s="1" t="n"/>
      <c r="F1597" s="1" t="n"/>
      <c r="G1597" s="1" t="n"/>
      <c r="H1597" s="6" t="n">
        <v>340.3190742</v>
      </c>
      <c r="I1597" s="6" t="n">
        <v>373.1984397</v>
      </c>
      <c r="J1597" s="6" t="n">
        <v>370.632338</v>
      </c>
      <c r="K1597" s="1" t="n"/>
      <c r="L1597" s="6" t="n">
        <v>365.7144207</v>
      </c>
      <c r="M1597" s="1" t="n"/>
      <c r="N1597" s="1" t="n"/>
    </row>
    <row r="1598">
      <c r="A1598" s="1" t="inlineStr">
        <is>
          <t>668eee4ea136d</t>
        </is>
      </c>
      <c r="B1598" s="1" t="inlineStr">
        <is>
          <t>PULSERA ESLABONES SILVER</t>
        </is>
      </c>
      <c r="C1598" s="1" t="n"/>
      <c r="D1598" s="6" t="n">
        <v>377.6864539</v>
      </c>
      <c r="E1598" s="1" t="n"/>
      <c r="F1598" s="1" t="n"/>
      <c r="G1598" s="1" t="n"/>
      <c r="H1598" s="6" t="n">
        <v>398.8114151</v>
      </c>
      <c r="I1598" s="1" t="n"/>
      <c r="J1598" s="6" t="n">
        <v>424.3471695</v>
      </c>
      <c r="K1598" s="1" t="n"/>
      <c r="L1598" s="1" t="n"/>
      <c r="M1598" s="1" t="n"/>
      <c r="N1598" s="1" t="n"/>
    </row>
    <row r="1599">
      <c r="A1599" s="1" t="inlineStr">
        <is>
          <t>668eee50dfb13</t>
        </is>
      </c>
      <c r="B1599" s="1" t="inlineStr">
        <is>
          <t>PULSERA DE CUENTAS CON INSIGNIA DE CORAZÓN RED</t>
        </is>
      </c>
      <c r="C1599" s="1" t="n"/>
      <c r="D1599" s="1" t="n"/>
      <c r="E1599" s="1" t="n"/>
      <c r="F1599" s="1" t="n"/>
      <c r="G1599" s="1" t="n"/>
      <c r="H1599" s="1" t="n"/>
      <c r="I1599" s="1" t="n"/>
      <c r="J1599" s="1" t="n"/>
      <c r="K1599" s="6" t="n">
        <v>105.1573679</v>
      </c>
      <c r="L1599" s="1" t="n"/>
      <c r="M1599" s="1" t="n"/>
      <c r="N1599" s="1" t="n"/>
    </row>
    <row r="1600">
      <c r="A1600" s="1" t="inlineStr">
        <is>
          <t>668eee51ba91b</t>
        </is>
      </c>
      <c r="B1600" s="1" t="inlineStr">
        <is>
          <t>PULSERA DE CUENTAS CON INSIGNIA DE CORAZÓN RED</t>
        </is>
      </c>
      <c r="C1600" s="1" t="n"/>
      <c r="D1600" s="1" t="n"/>
      <c r="E1600" s="1" t="n"/>
      <c r="F1600" s="1" t="n"/>
      <c r="G1600" s="6" t="n">
        <v>104.5858001</v>
      </c>
      <c r="H1600" s="1" t="n"/>
      <c r="I1600" s="6" t="n">
        <v>105.3424803</v>
      </c>
      <c r="J1600" s="1" t="n"/>
      <c r="K1600" s="1" t="n"/>
      <c r="L1600" s="6" t="n">
        <v>105.5198439</v>
      </c>
      <c r="M1600" s="6" t="n">
        <v>105.0730323</v>
      </c>
      <c r="N1600" s="1" t="n"/>
    </row>
    <row r="1601">
      <c r="A1601" s="1" t="inlineStr">
        <is>
          <t>668eee52c5906</t>
        </is>
      </c>
      <c r="B1601" s="1" t="inlineStr">
        <is>
          <t>PULSERA DE CUENTAS CON INSIGNIA DE CORAZÓN RED</t>
        </is>
      </c>
      <c r="C1601" s="1" t="n"/>
      <c r="D1601" s="1" t="n"/>
      <c r="E1601" s="1" t="n"/>
      <c r="F1601" s="1" t="n"/>
      <c r="G1601" s="1" t="n"/>
      <c r="H1601" s="1" t="n"/>
      <c r="I1601" s="6" t="n">
        <v>105.3424803</v>
      </c>
      <c r="J1601" s="6" t="n">
        <v>106.5194811</v>
      </c>
      <c r="K1601" s="1" t="n"/>
      <c r="L1601" s="1" t="n"/>
      <c r="M1601" s="6" t="n">
        <v>105.0730323</v>
      </c>
      <c r="N1601" s="1" t="n"/>
    </row>
    <row r="1602">
      <c r="A1602" s="1" t="inlineStr">
        <is>
          <t>668eee53b2d19</t>
        </is>
      </c>
      <c r="B1602" s="1" t="inlineStr">
        <is>
          <t>PULSERA DE CUENTAS CON INSIGNIA DE CORAZÓN RED</t>
        </is>
      </c>
      <c r="C1602" s="1" t="n"/>
      <c r="D1602" s="1" t="n"/>
      <c r="E1602" s="1" t="n"/>
      <c r="F1602" s="1" t="n"/>
      <c r="G1602" s="1" t="n"/>
      <c r="H1602" s="1" t="n"/>
      <c r="I1602" s="1" t="n"/>
      <c r="J1602" s="1" t="n"/>
      <c r="K1602" s="6" t="n">
        <v>105.1573679</v>
      </c>
      <c r="L1602" s="1" t="n"/>
      <c r="M1602" s="1" t="n"/>
      <c r="N1602" s="1" t="n"/>
    </row>
    <row r="1603">
      <c r="A1603" s="1" t="inlineStr">
        <is>
          <t>668eeef9cf7b1</t>
        </is>
      </c>
      <c r="B1603" s="1" t="inlineStr">
        <is>
          <t>BOLSO SADDLE CD JACQUARD BLUE</t>
        </is>
      </c>
      <c r="C1603" s="1" t="n"/>
      <c r="D1603" s="6" t="n">
        <v>1359.671234</v>
      </c>
      <c r="E1603" s="1" t="n"/>
      <c r="F1603" s="1" t="n"/>
      <c r="G1603" s="1" t="n"/>
      <c r="H1603" s="6" t="n">
        <v>1462.308522</v>
      </c>
      <c r="I1603" s="1" t="n"/>
      <c r="J1603" s="1" t="n"/>
      <c r="K1603" s="1" t="n"/>
      <c r="L1603" s="1" t="n"/>
      <c r="M1603" s="1" t="n"/>
      <c r="N1603" s="1" t="n"/>
    </row>
    <row r="1604">
      <c r="A1604" s="1" t="inlineStr">
        <is>
          <t>668eeefb6a924</t>
        </is>
      </c>
      <c r="B1604" s="1" t="inlineStr">
        <is>
          <t>BOLSO YSL KATE</t>
        </is>
      </c>
      <c r="C1604" s="1" t="n"/>
      <c r="D1604" s="6" t="n">
        <v>856.0892956</v>
      </c>
      <c r="E1604" s="1" t="n"/>
      <c r="F1604" s="1" t="n"/>
      <c r="G1604" s="1" t="n"/>
      <c r="H1604" s="6" t="n">
        <v>903.9725409</v>
      </c>
      <c r="I1604" s="1" t="n"/>
      <c r="J1604" s="6" t="n">
        <v>913.152137</v>
      </c>
      <c r="K1604" s="1" t="n"/>
      <c r="L1604" s="6" t="n">
        <v>901.0355292</v>
      </c>
      <c r="M1604" s="1" t="n"/>
      <c r="N1604" s="1" t="n"/>
    </row>
    <row r="1605">
      <c r="A1605" s="1" t="inlineStr">
        <is>
          <t>668ef00538c27</t>
        </is>
      </c>
      <c r="B1605" s="1" t="inlineStr">
        <is>
          <t>PULSERA TRÉBOL SILVER RED</t>
        </is>
      </c>
      <c r="C1605" s="1" t="n"/>
      <c r="D1605" s="6" t="n">
        <v>467.6247634</v>
      </c>
      <c r="E1605" s="1" t="n"/>
      <c r="F1605" s="1" t="n"/>
      <c r="G1605" s="6" t="n">
        <v>502.0118403</v>
      </c>
      <c r="H1605" s="1" t="n"/>
      <c r="I1605" s="1" t="n"/>
      <c r="J1605" s="1" t="n"/>
      <c r="K1605" s="1" t="n"/>
      <c r="L1605" s="6" t="n">
        <v>148.5304959</v>
      </c>
      <c r="M1605" s="1" t="n"/>
      <c r="N1605" s="1" t="n"/>
    </row>
    <row r="1606">
      <c r="A1606" s="1" t="inlineStr">
        <is>
          <t>66958009110540</t>
        </is>
      </c>
      <c r="B1606" s="1" t="inlineStr">
        <is>
          <t>BOLSO LADY D JOY BLACK</t>
        </is>
      </c>
      <c r="C1606" s="1" t="n"/>
      <c r="D1606" s="1" t="n"/>
      <c r="E1606" s="1" t="n"/>
      <c r="F1606" s="1" t="n"/>
      <c r="G1606" s="1" t="n"/>
      <c r="H1606" s="1" t="n"/>
      <c r="I1606" s="1" t="n"/>
      <c r="J1606" s="6" t="n">
        <v>1471.51064</v>
      </c>
      <c r="K1606" s="6" t="n">
        <v>1434.091587</v>
      </c>
      <c r="L1606" s="1" t="n"/>
      <c r="M1606" s="1" t="n"/>
      <c r="N1606" s="1" t="n"/>
    </row>
    <row r="1607">
      <c r="A1607" s="1" t="inlineStr">
        <is>
          <t>66b5a7ced89a8</t>
        </is>
      </c>
      <c r="B1607" s="1" t="inlineStr">
        <is>
          <t>COLLAR 20 TRÉBOLES SILVER BLACK</t>
        </is>
      </c>
      <c r="C1607" s="1" t="n"/>
      <c r="D1607" s="1" t="n"/>
      <c r="E1607" s="1" t="n"/>
      <c r="F1607" s="1" t="n"/>
      <c r="G1607" s="1" t="n"/>
      <c r="H1607" s="1" t="n"/>
      <c r="I1607" s="1" t="n"/>
      <c r="J1607" s="1" t="n"/>
      <c r="K1607" s="6" t="n">
        <v>852.042736</v>
      </c>
      <c r="L1607" s="6" t="n">
        <v>841.9797002</v>
      </c>
      <c r="M1607" s="1" t="n"/>
      <c r="N1607" s="1" t="n"/>
    </row>
    <row r="1608">
      <c r="A1608" s="1" t="inlineStr">
        <is>
          <t>66b6834cd5e9b</t>
        </is>
      </c>
      <c r="B1608" s="1" t="inlineStr">
        <is>
          <t>ARETES TRINITY</t>
        </is>
      </c>
      <c r="C1608" s="1" t="n"/>
      <c r="D1608" s="1" t="n"/>
      <c r="E1608" s="1" t="n"/>
      <c r="F1608" s="1" t="n"/>
      <c r="G1608" s="1" t="n"/>
      <c r="H1608" s="1" t="n"/>
      <c r="I1608" s="6" t="n">
        <v>168.5479685</v>
      </c>
      <c r="J1608" s="1" t="n"/>
      <c r="K1608" s="1" t="n"/>
      <c r="L1608" s="1" t="n"/>
      <c r="M1608" s="1" t="n"/>
      <c r="N1608" s="1" t="n"/>
    </row>
    <row r="1609">
      <c r="A1609" s="1" t="inlineStr">
        <is>
          <t>66df5ec06fc76</t>
        </is>
      </c>
      <c r="B1609" s="1" t="inlineStr">
        <is>
          <t>BOLSO LADY D CHAROL BLACK</t>
        </is>
      </c>
      <c r="C1609" s="1" t="n"/>
      <c r="D1609" s="1" t="n"/>
      <c r="E1609" s="1" t="n"/>
      <c r="F1609" s="1" t="n"/>
      <c r="G1609" s="1" t="n"/>
      <c r="H1609" s="6" t="n">
        <v>1457.769565</v>
      </c>
      <c r="I1609" s="1" t="n"/>
      <c r="J1609" s="1" t="n"/>
      <c r="K1609" s="1" t="n"/>
      <c r="L1609" s="1" t="n"/>
      <c r="M1609" s="6" t="n">
        <v>1372.640441</v>
      </c>
      <c r="N1609" s="1" t="n"/>
    </row>
    <row r="1610">
      <c r="A1610" s="1" t="inlineStr">
        <is>
          <t>66df5ec1b9bcc</t>
        </is>
      </c>
      <c r="B1610" s="1" t="inlineStr">
        <is>
          <t>BOLSO LADY D CHAROL DUSTY PINK</t>
        </is>
      </c>
      <c r="C1610" s="1" t="n"/>
      <c r="D1610" s="6" t="n">
        <v>1406.599298</v>
      </c>
      <c r="E1610" s="1" t="n"/>
      <c r="F1610" s="1" t="n"/>
      <c r="G1610" s="1" t="n"/>
      <c r="H1610" s="6" t="n">
        <v>1457.769565</v>
      </c>
      <c r="I1610" s="1" t="n"/>
      <c r="J1610" s="6" t="n">
        <v>1443.794778</v>
      </c>
      <c r="K1610" s="1" t="n"/>
      <c r="L1610" s="6" t="n">
        <v>1484.258971</v>
      </c>
      <c r="M1610" s="1" t="n"/>
      <c r="N1610" s="1" t="n"/>
    </row>
    <row r="1611">
      <c r="A1611" s="1" t="inlineStr">
        <is>
          <t>66df5ec68a185</t>
        </is>
      </c>
      <c r="B1611" s="1" t="inlineStr">
        <is>
          <t>BOLSO LADY D CHAROL OFF WHITE</t>
        </is>
      </c>
      <c r="C1611" s="1" t="n"/>
      <c r="D1611" s="1" t="n"/>
      <c r="E1611" s="1" t="n"/>
      <c r="F1611" s="1" t="n"/>
      <c r="G1611" s="1" t="n"/>
      <c r="H1611" s="1" t="n"/>
      <c r="I1611" s="1" t="n"/>
      <c r="J1611" s="1" t="n"/>
      <c r="K1611" s="1" t="n"/>
      <c r="L1611" s="6" t="n">
        <v>1484.258971</v>
      </c>
      <c r="M1611" s="1" t="n"/>
      <c r="N1611" s="1" t="n"/>
    </row>
    <row r="1612">
      <c r="A1612" s="1" t="inlineStr">
        <is>
          <t>66e2425fcbc7e</t>
        </is>
      </c>
      <c r="B1612" s="1" t="inlineStr">
        <is>
          <t>TARJETERO G BLACK</t>
        </is>
      </c>
      <c r="C1612" s="1" t="n"/>
      <c r="D1612" s="1" t="n"/>
      <c r="E1612" s="6" t="n">
        <v>681.2474132999999</v>
      </c>
      <c r="F1612" s="1" t="n"/>
      <c r="G1612" s="1" t="n"/>
      <c r="H1612" s="6" t="n">
        <v>691.2731195</v>
      </c>
      <c r="I1612" s="1" t="n"/>
      <c r="J1612" s="1" t="n"/>
      <c r="K1612" s="1" t="n"/>
      <c r="L1612" s="1" t="n"/>
      <c r="M1612" s="1" t="n"/>
      <c r="N1612" s="1" t="n"/>
    </row>
    <row r="1613">
      <c r="A1613" s="1" t="inlineStr">
        <is>
          <t>66ec817c20ce6</t>
        </is>
      </c>
      <c r="B1613" s="1" t="inlineStr">
        <is>
          <t>BOLSO B BLACK</t>
        </is>
      </c>
      <c r="C1613" s="1" t="n"/>
      <c r="D1613" s="1" t="n"/>
      <c r="E1613" s="6" t="n">
        <v>1116.004919</v>
      </c>
      <c r="F1613" s="1" t="n"/>
      <c r="G1613" s="1" t="n"/>
      <c r="H1613" s="1" t="n"/>
      <c r="I1613" s="1" t="n"/>
      <c r="J1613" s="1" t="n"/>
      <c r="K1613" s="1" t="n"/>
      <c r="L1613" s="1" t="n"/>
      <c r="M1613" s="1" t="n"/>
      <c r="N1613" s="1" t="n"/>
    </row>
    <row r="1614">
      <c r="A1614" s="1" t="inlineStr">
        <is>
          <t>66ec817ce19fe</t>
        </is>
      </c>
      <c r="B1614" s="1" t="inlineStr">
        <is>
          <t>BOLSO B BLACK LISO</t>
        </is>
      </c>
      <c r="C1614" s="1" t="n"/>
      <c r="D1614" s="6" t="n">
        <v>1130.303007</v>
      </c>
      <c r="E1614" s="1" t="n"/>
      <c r="F1614" s="1" t="n"/>
      <c r="G1614" s="1" t="n"/>
      <c r="H1614" s="1" t="n"/>
      <c r="I1614" s="1" t="n"/>
      <c r="J1614" s="6" t="n">
        <v>1171.3280705</v>
      </c>
      <c r="K1614" s="1" t="n"/>
      <c r="L1614" s="1" t="n"/>
      <c r="M1614" s="1" t="n"/>
      <c r="N1614" s="1" t="n"/>
    </row>
    <row r="1615">
      <c r="A1615" s="1" t="inlineStr">
        <is>
          <t>66f1ed26445d0</t>
        </is>
      </c>
      <c r="B1615" s="1" t="inlineStr">
        <is>
          <t>CARTERA G VICTORIE BLACK</t>
        </is>
      </c>
      <c r="C1615" s="1" t="n"/>
      <c r="D1615" s="1" t="n"/>
      <c r="E1615" s="1" t="n"/>
      <c r="F1615" s="1" t="n"/>
      <c r="G1615" s="1" t="n"/>
      <c r="H1615" s="6" t="n">
        <v>505.1611258</v>
      </c>
      <c r="I1615" s="1" t="n"/>
      <c r="J1615" s="1" t="n"/>
      <c r="K1615" s="1" t="n"/>
      <c r="L1615" s="1" t="n"/>
      <c r="M1615" s="1" t="n"/>
      <c r="N1615" s="1" t="n"/>
    </row>
    <row r="1616">
      <c r="A1616" s="1" t="inlineStr">
        <is>
          <t>66f1ed264fc77</t>
        </is>
      </c>
      <c r="B1616" s="1" t="inlineStr">
        <is>
          <t>CARTERA G VICTORIE GREEN</t>
        </is>
      </c>
      <c r="C1616" s="1" t="n"/>
      <c r="D1616" s="1" t="n"/>
      <c r="E1616" s="1" t="n"/>
      <c r="F1616" s="1" t="n"/>
      <c r="G1616" s="1" t="n"/>
      <c r="H1616" s="6" t="n">
        <v>505.1611258</v>
      </c>
      <c r="I1616" s="1" t="n"/>
      <c r="J1616" s="6" t="n">
        <v>537.1483158999999</v>
      </c>
      <c r="K1616" s="1" t="n"/>
      <c r="L1616" s="6" t="n">
        <v>530.0208995</v>
      </c>
      <c r="M1616" s="1" t="n"/>
      <c r="N1616" s="1" t="n"/>
    </row>
    <row r="1617">
      <c r="A1617" s="1" t="inlineStr">
        <is>
          <t>66f1ed2e521fd</t>
        </is>
      </c>
      <c r="B1617" s="1" t="inlineStr">
        <is>
          <t>TARJETERO YSL SILVER</t>
        </is>
      </c>
      <c r="C1617" s="1" t="n"/>
      <c r="D1617" s="1" t="n"/>
      <c r="E1617" s="1" t="n"/>
      <c r="F1617" s="1" t="n"/>
      <c r="G1617" s="1" t="n"/>
      <c r="H1617" s="6" t="n">
        <v>338.4107918</v>
      </c>
      <c r="I1617" s="1" t="n"/>
      <c r="J1617" s="6" t="n">
        <v>341.6006844</v>
      </c>
      <c r="K1617" s="1" t="n"/>
      <c r="L1617" s="1" t="n"/>
      <c r="M1617" s="1" t="n"/>
      <c r="N1617" s="1" t="n"/>
    </row>
    <row r="1618">
      <c r="A1618" s="1" t="inlineStr">
        <is>
          <t>66f1ed2f6cfb6</t>
        </is>
      </c>
      <c r="B1618" s="1" t="inlineStr">
        <is>
          <t>TARJETERO G GRAY</t>
        </is>
      </c>
      <c r="C1618" s="1" t="n"/>
      <c r="D1618" s="6" t="n">
        <v>654.6565202</v>
      </c>
      <c r="E1618" s="1" t="n"/>
      <c r="F1618" s="1" t="n"/>
      <c r="G1618" s="1" t="n"/>
      <c r="H1618" s="6" t="n">
        <v>691.2731195</v>
      </c>
      <c r="I1618" s="1" t="n"/>
      <c r="J1618" s="1" t="n"/>
      <c r="K1618" s="6" t="n">
        <v>674.702408</v>
      </c>
      <c r="L1618" s="1" t="n"/>
      <c r="M1618" s="1" t="n"/>
      <c r="N1618" s="1" t="n"/>
    </row>
    <row r="1619">
      <c r="A1619" s="1" t="inlineStr">
        <is>
          <t>66f1ed306f6b4</t>
        </is>
      </c>
      <c r="B1619" s="1" t="inlineStr">
        <is>
          <t>TARJETERO G GREEN</t>
        </is>
      </c>
      <c r="C1619" s="1" t="n"/>
      <c r="D1619" s="1" t="n"/>
      <c r="E1619" s="1" t="n"/>
      <c r="F1619" s="1" t="n"/>
      <c r="G1619" s="1" t="n"/>
      <c r="H1619" s="1" t="n"/>
      <c r="I1619" s="1" t="n"/>
      <c r="J1619" s="6" t="n">
        <v>698.2928106000001</v>
      </c>
      <c r="K1619" s="1" t="n"/>
      <c r="L1619" s="1" t="n"/>
      <c r="M1619" s="1" t="n"/>
      <c r="N1619" s="1" t="n"/>
    </row>
    <row r="1620">
      <c r="A1620" s="1" t="inlineStr">
        <is>
          <t>6701d185b1594</t>
        </is>
      </c>
      <c r="B1620" s="1" t="inlineStr">
        <is>
          <t>PULSERA ONE TRÉBOL GOLD GREEN</t>
        </is>
      </c>
      <c r="C1620" s="1" t="n"/>
      <c r="D1620" s="1" t="n"/>
      <c r="E1620" s="1" t="n"/>
      <c r="F1620" s="1" t="n"/>
      <c r="G1620" s="6" t="n">
        <v>132.2411844</v>
      </c>
      <c r="H1620" s="1" t="n"/>
      <c r="I1620" s="1" t="n"/>
      <c r="J1620" s="1" t="n"/>
      <c r="K1620" s="6" t="n">
        <v>133.8274486</v>
      </c>
      <c r="L1620" s="6" t="n">
        <v>135.6558265</v>
      </c>
      <c r="M1620" s="1" t="n"/>
      <c r="N1620" s="6" t="n">
        <v>136.2029957</v>
      </c>
    </row>
    <row r="1621">
      <c r="A1621" s="1" t="inlineStr">
        <is>
          <t>6701d185cad9a</t>
        </is>
      </c>
      <c r="B1621" s="1" t="inlineStr">
        <is>
          <t>PULSERA ONE TRÉBOL ROSEGOLD RED</t>
        </is>
      </c>
      <c r="C1621" s="1" t="n"/>
      <c r="D1621" s="1" t="n"/>
      <c r="E1621" s="1" t="n"/>
      <c r="F1621" s="1" t="n"/>
      <c r="G1621" s="6" t="n">
        <v>132.2411844</v>
      </c>
      <c r="H1621" s="1" t="n"/>
      <c r="I1621" s="1" t="n"/>
      <c r="J1621" s="1" t="n"/>
      <c r="K1621" s="6" t="n">
        <v>133.8274486</v>
      </c>
      <c r="L1621" s="6" t="n">
        <v>133.95135415</v>
      </c>
      <c r="M1621" s="1" t="n"/>
      <c r="N1621" s="6" t="n">
        <v>136.2029957</v>
      </c>
    </row>
    <row r="1622">
      <c r="A1622" s="1" t="inlineStr">
        <is>
          <t>6701d185d4f38</t>
        </is>
      </c>
      <c r="B1622" s="1" t="inlineStr">
        <is>
          <t>BOLSO MM WANDER BLACK</t>
        </is>
      </c>
      <c r="C1622" s="1" t="n"/>
      <c r="D1622" s="1" t="n"/>
      <c r="E1622" s="1" t="n"/>
      <c r="F1622" s="1" t="n"/>
      <c r="G1622" s="1" t="n"/>
      <c r="H1622" s="6" t="n">
        <v>1249.51677</v>
      </c>
      <c r="I1622" s="1" t="n"/>
      <c r="J1622" s="1" t="n"/>
      <c r="K1622" s="6" t="n">
        <v>1229.22136</v>
      </c>
      <c r="L1622" s="1" t="n"/>
      <c r="M1622" s="1" t="n"/>
      <c r="N1622" s="1" t="n"/>
    </row>
    <row r="1623">
      <c r="A1623" s="1" t="inlineStr">
        <is>
          <t>6701d1c8792fe</t>
        </is>
      </c>
      <c r="B1623" s="1" t="inlineStr">
        <is>
          <t>BOLSO MM WANDER OFF WHITE</t>
        </is>
      </c>
      <c r="C1623" s="1" t="n"/>
      <c r="D1623" s="1" t="n"/>
      <c r="E1623" s="6" t="n">
        <v>1190.405247</v>
      </c>
      <c r="F1623" s="1" t="n"/>
      <c r="G1623" s="1" t="n"/>
      <c r="H1623" s="6" t="n">
        <v>1249.51677</v>
      </c>
      <c r="I1623" s="1" t="n"/>
      <c r="J1623" s="1" t="n"/>
      <c r="K1623" s="1" t="n"/>
      <c r="L1623" s="1" t="n"/>
      <c r="M1623" s="1" t="n"/>
      <c r="N1623" s="1" t="n"/>
    </row>
    <row r="1624">
      <c r="A1624" s="1" t="inlineStr">
        <is>
          <t>6701d1d077e13</t>
        </is>
      </c>
      <c r="B1624" s="1" t="inlineStr">
        <is>
          <t>BOLSO MM HOBO OFF WHITE CHAROL</t>
        </is>
      </c>
      <c r="C1624" s="1" t="n"/>
      <c r="D1624" s="1" t="n"/>
      <c r="E1624" s="1" t="n"/>
      <c r="F1624" s="1" t="n"/>
      <c r="G1624" s="1" t="n"/>
      <c r="H1624" s="1" t="n"/>
      <c r="I1624" s="1" t="n"/>
      <c r="J1624" s="1" t="n"/>
      <c r="K1624" s="6" t="n">
        <v>1664.570592</v>
      </c>
      <c r="L1624" s="1" t="n"/>
      <c r="M1624" s="1" t="n"/>
      <c r="N1624" s="1" t="n"/>
    </row>
    <row r="1625">
      <c r="A1625" s="1" t="inlineStr">
        <is>
          <t>6701d2474e1b0</t>
        </is>
      </c>
      <c r="B1625" s="1" t="inlineStr">
        <is>
          <t>BOLSO GC MARMONT BLACK</t>
        </is>
      </c>
      <c r="C1625" s="1" t="n"/>
      <c r="D1625" s="1" t="n"/>
      <c r="E1625" s="6" t="n">
        <v>1190.405247</v>
      </c>
      <c r="F1625" s="1" t="n"/>
      <c r="G1625" s="1" t="n"/>
      <c r="H1625" s="6" t="n">
        <v>1249.51677</v>
      </c>
      <c r="I1625" s="1" t="n"/>
      <c r="J1625" s="1" t="n"/>
      <c r="K1625" s="1" t="n"/>
      <c r="L1625" s="1" t="n"/>
      <c r="M1625" s="1" t="n"/>
      <c r="N1625" s="1" t="n"/>
    </row>
    <row r="1626">
      <c r="A1626" s="1" t="inlineStr">
        <is>
          <t>6701d24a43166</t>
        </is>
      </c>
      <c r="B1626" s="1" t="inlineStr">
        <is>
          <t>BOLSO MM WANDER NUDE</t>
        </is>
      </c>
      <c r="C1626" s="1" t="n"/>
      <c r="D1626" s="1" t="n"/>
      <c r="E1626" s="1" t="n"/>
      <c r="F1626" s="1" t="n"/>
      <c r="G1626" s="1" t="n"/>
      <c r="H1626" s="1" t="n"/>
      <c r="I1626" s="1" t="n"/>
      <c r="J1626" s="1" t="n"/>
      <c r="K1626" s="1" t="n"/>
      <c r="L1626" s="1" t="n"/>
      <c r="M1626" s="6" t="n">
        <v>1176.54895</v>
      </c>
      <c r="N1626" s="1" t="n"/>
    </row>
    <row r="1627">
      <c r="A1627" s="1" t="inlineStr">
        <is>
          <t>6701d24d46b00</t>
        </is>
      </c>
      <c r="B1627" s="1" t="inlineStr">
        <is>
          <t>BOLSO LV CAPUCINES</t>
        </is>
      </c>
      <c r="C1627" s="1" t="n"/>
      <c r="D1627" s="6" t="n">
        <v>1456.834987</v>
      </c>
      <c r="E1627" s="1" t="n"/>
      <c r="F1627" s="1" t="n"/>
      <c r="G1627" s="1" t="n"/>
      <c r="H1627" s="1" t="n"/>
      <c r="I1627" s="1" t="n"/>
      <c r="J1627" s="6" t="n">
        <v>1495.358878</v>
      </c>
      <c r="K1627" s="6" t="n">
        <v>1485.309144</v>
      </c>
      <c r="L1627" s="1" t="n"/>
      <c r="M1627" s="1" t="n"/>
      <c r="N1627" s="1" t="n"/>
    </row>
    <row r="1628">
      <c r="A1628" s="1" t="inlineStr">
        <is>
          <t>6701d25048325</t>
        </is>
      </c>
      <c r="B1628" s="1" t="inlineStr">
        <is>
          <t>BOLSO LV LOOP</t>
        </is>
      </c>
      <c r="C1628" s="1" t="n"/>
      <c r="D1628" s="6" t="n">
        <v>1130.303007</v>
      </c>
      <c r="E1628" s="1" t="n"/>
      <c r="F1628" s="1" t="n"/>
      <c r="G1628" s="1" t="n"/>
      <c r="H1628" s="1" t="n"/>
      <c r="I1628" s="1" t="n"/>
      <c r="J1628" s="6" t="n">
        <v>1160.192233</v>
      </c>
      <c r="K1628" s="1" t="n"/>
      <c r="L1628" s="1" t="n"/>
      <c r="M1628" s="1" t="n"/>
      <c r="N1628" s="1" t="n"/>
    </row>
    <row r="1629">
      <c r="A1629" s="1" t="inlineStr">
        <is>
          <t>6701d2514beab</t>
        </is>
      </c>
      <c r="B1629" s="1" t="inlineStr">
        <is>
          <t>BOLSO F FENDIGRAPHY</t>
        </is>
      </c>
      <c r="C1629" s="1" t="n"/>
      <c r="D1629" s="1" t="n"/>
      <c r="E1629" s="1" t="n"/>
      <c r="F1629" s="1" t="n"/>
      <c r="G1629" s="1" t="n"/>
      <c r="H1629" s="1" t="n"/>
      <c r="I1629" s="1" t="n"/>
      <c r="J1629" s="1" t="n"/>
      <c r="K1629" s="6" t="n">
        <v>1664.570592</v>
      </c>
      <c r="L1629" s="1" t="n"/>
      <c r="M1629" s="1" t="n"/>
      <c r="N1629" s="1" t="n"/>
    </row>
    <row r="1630">
      <c r="A1630" s="1" t="inlineStr">
        <is>
          <t>6701d2533c12e</t>
        </is>
      </c>
      <c r="B1630" s="1" t="inlineStr">
        <is>
          <t>BOLSO PR BLACK RE-EDITION 2000</t>
        </is>
      </c>
      <c r="C1630" s="1" t="n"/>
      <c r="D1630" s="1" t="n"/>
      <c r="E1630" s="1" t="n"/>
      <c r="F1630" s="1" t="n"/>
      <c r="G1630" s="1" t="n"/>
      <c r="H1630" s="1" t="n"/>
      <c r="I1630" s="1" t="n"/>
      <c r="J1630" s="6" t="n">
        <v>1005.499935</v>
      </c>
      <c r="K1630" s="1" t="n"/>
      <c r="L1630" s="6" t="n">
        <v>1033.680355</v>
      </c>
      <c r="M1630" s="1" t="n"/>
      <c r="N1630" s="1" t="n"/>
    </row>
    <row r="1631">
      <c r="A1631" s="1" t="inlineStr">
        <is>
          <t>6701d2559565d</t>
        </is>
      </c>
      <c r="B1631" s="1" t="inlineStr">
        <is>
          <t>BOLSO LV DAUPHINE</t>
        </is>
      </c>
      <c r="C1631" s="1" t="n"/>
      <c r="D1631" s="1" t="n"/>
      <c r="E1631" s="1" t="n"/>
      <c r="F1631" s="1" t="n"/>
      <c r="G1631" s="1" t="n"/>
      <c r="H1631" s="6" t="n">
        <v>1431.737965</v>
      </c>
      <c r="I1631" s="1" t="n"/>
      <c r="J1631" s="1" t="n"/>
      <c r="K1631" s="1" t="n"/>
      <c r="L1631" s="6" t="n">
        <v>1457.754347</v>
      </c>
      <c r="M1631" s="1" t="n"/>
      <c r="N1631" s="1" t="n"/>
    </row>
    <row r="1632">
      <c r="A1632" s="1" t="inlineStr">
        <is>
          <t>6701d25e998f7</t>
        </is>
      </c>
      <c r="B1632" s="1" t="inlineStr">
        <is>
          <t>SANDALIAS H BROWN</t>
        </is>
      </c>
      <c r="C1632" s="1" t="n"/>
      <c r="D1632" s="1" t="n"/>
      <c r="E1632" s="6" t="n">
        <v>786.0547077</v>
      </c>
      <c r="F1632" s="1" t="n"/>
      <c r="G1632" s="1" t="n"/>
      <c r="H1632" s="6" t="n">
        <v>797.6228302</v>
      </c>
      <c r="I1632" s="1" t="n"/>
      <c r="J1632" s="6" t="n">
        <v>805.7224738</v>
      </c>
      <c r="K1632" s="1" t="n"/>
      <c r="L1632" s="6" t="n">
        <v>795.0313493</v>
      </c>
      <c r="M1632" s="1" t="n"/>
      <c r="N1632" s="1" t="n"/>
    </row>
    <row r="1633">
      <c r="A1633" s="1" t="inlineStr">
        <is>
          <t>6701d25f548f5</t>
        </is>
      </c>
      <c r="B1633" s="1" t="inlineStr">
        <is>
          <t>SANDALIAS H BLUE</t>
        </is>
      </c>
      <c r="C1633" s="1" t="n"/>
      <c r="D1633" s="1" t="n"/>
      <c r="E1633" s="1" t="n"/>
      <c r="F1633" s="1" t="n"/>
      <c r="G1633" s="1" t="n"/>
      <c r="H1633" s="1" t="n"/>
      <c r="I1633" s="1" t="n"/>
      <c r="J1633" s="6" t="n">
        <v>805.7224738</v>
      </c>
      <c r="K1633" s="1" t="n"/>
      <c r="L1633" s="6" t="n">
        <v>795.0313493</v>
      </c>
      <c r="M1633" s="1" t="n"/>
      <c r="N1633" s="1" t="n"/>
    </row>
    <row r="1634">
      <c r="A1634" s="1" t="inlineStr">
        <is>
          <t>6701d26083b55</t>
        </is>
      </c>
      <c r="B1634" s="1" t="inlineStr">
        <is>
          <t>SANDALIAS H WHITE</t>
        </is>
      </c>
      <c r="C1634" s="1" t="n"/>
      <c r="D1634" s="1" t="n"/>
      <c r="E1634" s="1" t="n"/>
      <c r="F1634" s="1" t="n"/>
      <c r="G1634" s="1" t="n"/>
      <c r="H1634" s="1" t="n"/>
      <c r="I1634" s="6" t="n">
        <v>811.300956</v>
      </c>
      <c r="J1634" s="6" t="n">
        <v>805.7224738</v>
      </c>
      <c r="K1634" s="1" t="n"/>
      <c r="L1634" s="6" t="n">
        <v>795.0313493</v>
      </c>
      <c r="M1634" s="1" t="n"/>
      <c r="N1634" s="1" t="n"/>
    </row>
    <row r="1635">
      <c r="A1635" s="1" t="inlineStr">
        <is>
          <t>6701d26098e78</t>
        </is>
      </c>
      <c r="B1635" s="1" t="inlineStr">
        <is>
          <t>SANDALIAS H BLACK</t>
        </is>
      </c>
      <c r="C1635" s="1" t="n"/>
      <c r="D1635" s="6" t="n">
        <v>856.0892956</v>
      </c>
      <c r="E1635" s="1" t="n"/>
      <c r="F1635" s="1" t="n"/>
      <c r="G1635" s="1" t="n"/>
      <c r="H1635" s="6" t="n">
        <v>903.9725409</v>
      </c>
      <c r="I1635" s="6" t="n">
        <v>919.4744168</v>
      </c>
      <c r="J1635" s="1" t="n"/>
      <c r="K1635" s="1" t="n"/>
      <c r="L1635" s="6" t="n">
        <v>901.0355292</v>
      </c>
      <c r="M1635" s="1" t="n"/>
      <c r="N1635" s="1" t="n"/>
    </row>
    <row r="1636">
      <c r="A1636" s="1" t="inlineStr">
        <is>
          <t>6701d2610aff8</t>
        </is>
      </c>
      <c r="B1636" s="1" t="inlineStr">
        <is>
          <t>BOLSO G BROWN</t>
        </is>
      </c>
      <c r="C1636" s="1" t="n"/>
      <c r="D1636" s="1" t="n"/>
      <c r="E1636" s="1" t="n"/>
      <c r="F1636" s="1" t="n"/>
      <c r="G1636" s="1" t="n"/>
      <c r="H1636" s="6" t="n">
        <v>1302.783956</v>
      </c>
      <c r="I1636" s="6" t="n">
        <v>1325.124895</v>
      </c>
      <c r="J1636" s="6" t="n">
        <v>1316.013374</v>
      </c>
      <c r="K1636" s="1" t="n"/>
      <c r="L1636" s="6" t="n">
        <v>1298.551204</v>
      </c>
      <c r="M1636" s="1" t="n"/>
      <c r="N1636" s="1" t="n"/>
    </row>
    <row r="1637">
      <c r="A1637" s="1" t="inlineStr">
        <is>
          <t>6701d2613fe66</t>
        </is>
      </c>
      <c r="B1637" s="1" t="inlineStr">
        <is>
          <t>BOLSO G DARK BLUE</t>
        </is>
      </c>
      <c r="C1637" s="1" t="n"/>
      <c r="D1637" s="1" t="n"/>
      <c r="E1637" s="6" t="n">
        <v>1283.889356</v>
      </c>
      <c r="F1637" s="1" t="n"/>
      <c r="G1637" s="1" t="n"/>
      <c r="H1637" s="1" t="n"/>
      <c r="I1637" s="6" t="n">
        <v>1298.08153</v>
      </c>
      <c r="J1637" s="1" t="n"/>
      <c r="K1637" s="1" t="n"/>
      <c r="L1637" s="1" t="n"/>
      <c r="M1637" s="1" t="n"/>
      <c r="N1637" s="1" t="n"/>
    </row>
    <row r="1638">
      <c r="A1638" s="1" t="inlineStr">
        <is>
          <t>6701d26146e52</t>
        </is>
      </c>
      <c r="B1638" s="1" t="inlineStr">
        <is>
          <t>SANDALIAS H WHITE</t>
        </is>
      </c>
      <c r="C1638" s="1" t="n"/>
      <c r="D1638" s="6" t="n">
        <v>755.3729079</v>
      </c>
      <c r="E1638" s="1" t="n"/>
      <c r="F1638" s="1" t="n"/>
      <c r="G1638" s="1" t="n"/>
      <c r="H1638" s="1" t="n"/>
      <c r="I1638" s="1" t="n"/>
      <c r="J1638" s="6" t="n">
        <v>805.7224738</v>
      </c>
      <c r="K1638" s="1" t="n"/>
      <c r="L1638" s="6" t="n">
        <v>795.0313493</v>
      </c>
      <c r="M1638" s="1" t="n"/>
      <c r="N1638" s="1" t="n"/>
    </row>
    <row r="1639">
      <c r="A1639" s="1" t="inlineStr">
        <is>
          <t>6701d2626ff26</t>
        </is>
      </c>
      <c r="B1639" s="1" t="inlineStr">
        <is>
          <t>PULSERA P DIAMOND</t>
        </is>
      </c>
      <c r="C1639" s="1" t="n"/>
      <c r="D1639" s="6" t="n">
        <v>151.0745816</v>
      </c>
      <c r="E1639" s="1" t="n"/>
      <c r="F1639" s="1" t="n"/>
      <c r="G1639" s="1" t="n"/>
      <c r="H1639" s="1" t="n"/>
      <c r="I1639" s="1" t="n"/>
      <c r="J1639" s="6" t="n">
        <v>161.1444948</v>
      </c>
      <c r="K1639" s="1" t="n"/>
      <c r="L1639" s="1" t="n"/>
      <c r="M1639" s="1" t="n"/>
      <c r="N1639" s="1" t="n"/>
    </row>
    <row r="1640">
      <c r="A1640" s="1" t="inlineStr">
        <is>
          <t>6701d26c9c67e</t>
        </is>
      </c>
      <c r="B1640" s="1" t="inlineStr">
        <is>
          <t>BOLSO C CABAS</t>
        </is>
      </c>
      <c r="C1640" s="1" t="n"/>
      <c r="D1640" s="1" t="n"/>
      <c r="E1640" s="1" t="n"/>
      <c r="F1640" s="1" t="n"/>
      <c r="G1640" s="1" t="n"/>
      <c r="H1640" s="1" t="n"/>
      <c r="I1640" s="1" t="n"/>
      <c r="J1640" s="1" t="n"/>
      <c r="K1640" s="6" t="n">
        <v>1245.604446</v>
      </c>
      <c r="L1640" s="1" t="n"/>
      <c r="M1640" s="1" t="n"/>
      <c r="N1640" s="1" t="n"/>
    </row>
    <row r="1641">
      <c r="A1641" s="1" t="inlineStr">
        <is>
          <t>6701d26ca0522</t>
        </is>
      </c>
      <c r="B1641" s="1" t="inlineStr">
        <is>
          <t>BOLSO DE VIAJE G GREEN</t>
        </is>
      </c>
      <c r="C1641" s="1" t="n"/>
      <c r="D1641" s="6" t="n">
        <v>1460.387622</v>
      </c>
      <c r="E1641" s="1" t="n"/>
      <c r="F1641" s="1" t="n"/>
      <c r="G1641" s="1" t="n"/>
      <c r="H1641" s="1" t="n"/>
      <c r="I1641" s="1" t="n"/>
      <c r="J1641" s="1" t="n"/>
      <c r="K1641" s="1" t="n"/>
      <c r="L1641" s="6" t="n">
        <v>2464.597183</v>
      </c>
      <c r="M1641" s="1" t="n"/>
      <c r="N1641" s="1" t="n"/>
    </row>
    <row r="1642">
      <c r="A1642" s="1" t="inlineStr">
        <is>
          <t>6701d26d1f472</t>
        </is>
      </c>
      <c r="B1642" s="1" t="inlineStr">
        <is>
          <t>BOLSO DE VIAJE G BLACK</t>
        </is>
      </c>
      <c r="C1642" s="1" t="n"/>
      <c r="D1642" s="6" t="n">
        <v>1460.387622</v>
      </c>
      <c r="E1642" s="1" t="n"/>
      <c r="F1642" s="1" t="n"/>
      <c r="G1642" s="1" t="n"/>
      <c r="H1642" s="1" t="n"/>
      <c r="I1642" s="1" t="n"/>
      <c r="J1642" s="1" t="n"/>
      <c r="K1642" s="1" t="n"/>
      <c r="L1642" s="6" t="n">
        <v>2464.597183</v>
      </c>
      <c r="M1642" s="1" t="n"/>
      <c r="N1642" s="1" t="n"/>
    </row>
    <row r="1643">
      <c r="A1643" s="1" t="inlineStr">
        <is>
          <t>6701d26e04890</t>
        </is>
      </c>
      <c r="B1643" s="1" t="inlineStr">
        <is>
          <t>BOLSO H BIRKIN 30 GRIS TOURTERELLE</t>
        </is>
      </c>
      <c r="C1643" s="1" t="n"/>
      <c r="D1643" s="1" t="n"/>
      <c r="E1643" s="1" t="n"/>
      <c r="F1643" s="1" t="n"/>
      <c r="G1643" s="1" t="n"/>
      <c r="H1643" s="6" t="n">
        <v>1728.182799</v>
      </c>
      <c r="I1643" s="1" t="n"/>
      <c r="J1643" s="1" t="n"/>
      <c r="K1643" s="6" t="n">
        <v>1686.75602</v>
      </c>
      <c r="L1643" s="6" t="n">
        <v>1722.567924</v>
      </c>
      <c r="M1643" s="1" t="n"/>
      <c r="N1643" s="1" t="n"/>
    </row>
    <row r="1644">
      <c r="A1644" s="1" t="inlineStr">
        <is>
          <t>6701d26e72186</t>
        </is>
      </c>
      <c r="B1644" s="1" t="inlineStr">
        <is>
          <t>BOLSO H BIRKIN 30 WHITE</t>
        </is>
      </c>
      <c r="C1644" s="1" t="n"/>
      <c r="D1644" s="1" t="n"/>
      <c r="E1644" s="1" t="n"/>
      <c r="F1644" s="1" t="n"/>
      <c r="G1644" s="1" t="n"/>
      <c r="H1644" s="1" t="n"/>
      <c r="I1644" s="1" t="n"/>
      <c r="J1644" s="6" t="n">
        <v>1745.732027</v>
      </c>
      <c r="K1644" s="1" t="n"/>
      <c r="L1644" s="1" t="n"/>
      <c r="M1644" s="1" t="n"/>
      <c r="N1644" s="1" t="n"/>
    </row>
    <row r="1645">
      <c r="A1645" s="1" t="inlineStr">
        <is>
          <t>6701d26f13b86</t>
        </is>
      </c>
      <c r="B1645" s="1" t="inlineStr">
        <is>
          <t>LENTES PR OVAL BLACK</t>
        </is>
      </c>
      <c r="C1645" s="1" t="n"/>
      <c r="D1645" s="1" t="n"/>
      <c r="E1645" s="6" t="n">
        <v>733.6510605</v>
      </c>
      <c r="F1645" s="1" t="n"/>
      <c r="G1645" s="1" t="n"/>
      <c r="H1645" s="1" t="n"/>
      <c r="I1645" s="6" t="n">
        <v>757.2142256</v>
      </c>
      <c r="J1645" s="6" t="n">
        <v>752.0076422</v>
      </c>
      <c r="K1645" s="1" t="n"/>
      <c r="L1645" s="1" t="n"/>
      <c r="M1645" s="1" t="n"/>
      <c r="N1645" s="1" t="n"/>
    </row>
    <row r="1646">
      <c r="A1646" s="1" t="inlineStr">
        <is>
          <t>6701d27b47f9e</t>
        </is>
      </c>
      <c r="B1646" s="1" t="inlineStr">
        <is>
          <t>BOLSO C AVA TRIOMPHE BLACK</t>
        </is>
      </c>
      <c r="C1646" s="1" t="n"/>
      <c r="D1646" s="1" t="n"/>
      <c r="E1646" s="1" t="n"/>
      <c r="F1646" s="1" t="n"/>
      <c r="G1646" s="1" t="n"/>
      <c r="H1646" s="1" t="n"/>
      <c r="I1646" s="6" t="n">
        <v>1243.994799</v>
      </c>
      <c r="J1646" s="1" t="n"/>
      <c r="K1646" s="1" t="n"/>
      <c r="L1646" s="1" t="n"/>
      <c r="M1646" s="1" t="n"/>
      <c r="N1646" s="1" t="n"/>
    </row>
    <row r="1647">
      <c r="A1647" s="1" t="inlineStr">
        <is>
          <t>6701d27d41def</t>
        </is>
      </c>
      <c r="B1647" s="1" t="inlineStr">
        <is>
          <t>BOLSO GC NUDE</t>
        </is>
      </c>
      <c r="C1647" s="1" t="n"/>
      <c r="D1647" s="6" t="n">
        <v>1406.599298</v>
      </c>
      <c r="E1647" s="1" t="n"/>
      <c r="F1647" s="1" t="n"/>
      <c r="G1647" s="1" t="n"/>
      <c r="H1647" s="1" t="n"/>
      <c r="I1647" s="1" t="n"/>
      <c r="J1647" s="6" t="n">
        <v>1443.794778</v>
      </c>
      <c r="K1647" s="1" t="n"/>
      <c r="L1647" s="6" t="n">
        <v>1484.258971</v>
      </c>
      <c r="M1647" s="1" t="n"/>
      <c r="N1647" s="1" t="n"/>
    </row>
    <row r="1648">
      <c r="A1648" s="1" t="inlineStr">
        <is>
          <t>67201531075373</t>
        </is>
      </c>
      <c r="B1648" s="1" t="inlineStr">
        <is>
          <t>PULSERA LUCKY GOLD CD</t>
        </is>
      </c>
      <c r="C1648" s="1" t="n"/>
      <c r="D1648" s="1" t="n"/>
      <c r="E1648" s="1" t="n"/>
      <c r="F1648" s="6" t="n">
        <v>126.3629907</v>
      </c>
      <c r="G1648" s="6" t="n">
        <v>125.5029601</v>
      </c>
      <c r="H1648" s="1" t="n"/>
      <c r="I1648" s="1" t="n"/>
      <c r="J1648" s="1" t="n"/>
      <c r="K1648" s="1" t="n"/>
      <c r="L1648" s="6" t="n">
        <v>125.9357718</v>
      </c>
      <c r="M1648" s="6" t="n">
        <v>126.0876388</v>
      </c>
      <c r="N1648" s="1" t="n"/>
    </row>
    <row r="1649">
      <c r="A1649" s="1" t="inlineStr">
        <is>
          <t>67201531170029</t>
        </is>
      </c>
      <c r="B1649" s="1" t="inlineStr">
        <is>
          <t>ARETES CD LOGO CON ZIRCONIA</t>
        </is>
      </c>
      <c r="C1649" s="1" t="n"/>
      <c r="D1649" s="6" t="n">
        <v>125.4084593</v>
      </c>
      <c r="E1649" s="1" t="n"/>
      <c r="F1649" s="1" t="n"/>
      <c r="G1649" s="6" t="n">
        <v>123.4112441</v>
      </c>
      <c r="H1649" s="1" t="n"/>
      <c r="I1649" s="1" t="n"/>
      <c r="J1649" s="1" t="n"/>
      <c r="K1649" s="6" t="n">
        <v>124.0856942</v>
      </c>
      <c r="L1649" s="1" t="n"/>
      <c r="M1649" s="1" t="n"/>
      <c r="N1649" s="1" t="n"/>
    </row>
    <row r="1650">
      <c r="A1650" s="1" t="inlineStr">
        <is>
          <t>67201531268621</t>
        </is>
      </c>
      <c r="B1650" s="1" t="inlineStr">
        <is>
          <t>LENTES EYEWEAR BROWN MM</t>
        </is>
      </c>
      <c r="C1650" s="1" t="n"/>
      <c r="D1650" s="1" t="n"/>
      <c r="E1650" s="1" t="n"/>
      <c r="F1650" s="6" t="n">
        <v>884.5409346</v>
      </c>
      <c r="G1650" s="6" t="n">
        <v>878.5207205</v>
      </c>
      <c r="H1650" s="1" t="n"/>
      <c r="I1650" s="6" t="n">
        <v>884.8768348</v>
      </c>
      <c r="J1650" s="1" t="n"/>
      <c r="K1650" s="1" t="n"/>
      <c r="L1650" s="6" t="n">
        <v>881.5504024000001</v>
      </c>
      <c r="M1650" s="1" t="n"/>
      <c r="N1650" s="1" t="n"/>
    </row>
    <row r="1651">
      <c r="A1651" s="1" t="inlineStr">
        <is>
          <t>67201531386477</t>
        </is>
      </c>
      <c r="B1651" s="1" t="inlineStr">
        <is>
          <t>LENTES GOLD BLACK GC</t>
        </is>
      </c>
      <c r="C1651" s="1" t="n"/>
      <c r="D1651" s="1" t="n"/>
      <c r="E1651" s="1" t="n"/>
      <c r="F1651" s="1" t="n"/>
      <c r="G1651" s="6" t="n">
        <v>732.1006004</v>
      </c>
      <c r="H1651" s="1" t="n"/>
      <c r="I1651" s="6" t="n">
        <v>737.3973623000001</v>
      </c>
      <c r="J1651" s="1" t="n"/>
      <c r="K1651" s="6" t="n">
        <v>736.1015756</v>
      </c>
      <c r="L1651" s="1" t="n"/>
      <c r="M1651" s="1" t="n"/>
      <c r="N1651" s="1" t="n"/>
    </row>
    <row r="1652">
      <c r="A1652" s="1" t="inlineStr">
        <is>
          <t>67201531422989</t>
        </is>
      </c>
      <c r="B1652" s="1" t="inlineStr">
        <is>
          <t>LENTES TRIOMPHE C BROWN</t>
        </is>
      </c>
      <c r="C1652" s="1" t="n"/>
      <c r="D1652" s="1" t="n"/>
      <c r="E1652" s="1" t="n"/>
      <c r="F1652" s="1" t="n"/>
      <c r="G1652" s="6" t="n">
        <v>669.3491203999999</v>
      </c>
      <c r="H1652" s="1" t="n"/>
      <c r="I1652" s="1" t="n"/>
      <c r="J1652" s="1" t="n"/>
      <c r="K1652" s="1" t="n"/>
      <c r="L1652" s="6" t="n">
        <v>671.6574495</v>
      </c>
      <c r="M1652" s="1" t="n"/>
      <c r="N1652" s="1" t="n"/>
    </row>
    <row r="1653">
      <c r="A1653" s="1" t="inlineStr">
        <is>
          <t>67201531515469</t>
        </is>
      </c>
      <c r="B1653" s="1" t="inlineStr">
        <is>
          <t>ARETES LOGO H SILVER</t>
        </is>
      </c>
      <c r="C1653" s="1" t="n"/>
      <c r="D1653" s="6" t="n">
        <v>106.2783553</v>
      </c>
      <c r="E1653" s="1" t="n"/>
      <c r="F1653" s="1" t="n"/>
      <c r="G1653" s="6" t="n">
        <v>104.5858001</v>
      </c>
      <c r="H1653" s="1" t="n"/>
      <c r="I1653" s="1" t="n"/>
      <c r="J1653" s="6" t="n">
        <v>106.5194811</v>
      </c>
      <c r="K1653" s="1" t="n"/>
      <c r="L1653" s="1" t="n"/>
      <c r="M1653" s="1" t="n"/>
      <c r="N1653" s="1" t="n"/>
    </row>
    <row r="1654">
      <c r="A1654" s="1" t="inlineStr">
        <is>
          <t>67201531685421</t>
        </is>
      </c>
      <c r="B1654" s="1" t="inlineStr">
        <is>
          <t>ARETES LOGO H GOLD</t>
        </is>
      </c>
      <c r="C1654" s="1" t="n"/>
      <c r="D1654" s="6" t="n">
        <v>106.2783553</v>
      </c>
      <c r="E1654" s="1" t="n"/>
      <c r="F1654" s="6" t="n">
        <v>105.3024922</v>
      </c>
      <c r="G1654" s="6" t="n">
        <v>104.5858001</v>
      </c>
      <c r="H1654" s="1" t="n"/>
      <c r="I1654" s="1" t="n"/>
      <c r="J1654" s="1" t="n"/>
      <c r="K1654" s="1" t="n"/>
      <c r="L1654" s="6" t="n">
        <v>106.0932113</v>
      </c>
      <c r="M1654" s="6" t="n">
        <v>105.0730323</v>
      </c>
      <c r="N1654" s="1" t="n"/>
    </row>
    <row r="1655">
      <c r="A1655" s="1" t="inlineStr">
        <is>
          <t>67201531759373</t>
        </is>
      </c>
      <c r="B1655" s="1" t="inlineStr">
        <is>
          <t>ARETES LOGO H ROSE GOLD</t>
        </is>
      </c>
      <c r="C1655" s="1" t="n"/>
      <c r="D1655" s="6" t="n">
        <v>106.2783553</v>
      </c>
      <c r="E1655" s="1" t="n"/>
      <c r="F1655" s="6" t="n">
        <v>105.3024922</v>
      </c>
      <c r="G1655" s="1" t="n"/>
      <c r="H1655" s="1" t="n"/>
      <c r="I1655" s="1" t="n"/>
      <c r="J1655" s="1" t="n"/>
      <c r="K1655" s="1" t="n"/>
      <c r="L1655" s="1" t="n"/>
      <c r="M1655" s="1" t="n"/>
      <c r="N1655" s="1" t="n"/>
    </row>
    <row r="1656">
      <c r="A1656" s="1" t="inlineStr">
        <is>
          <t>67201531837869</t>
        </is>
      </c>
      <c r="B1656" s="1" t="inlineStr">
        <is>
          <t>BRAZALETE KELLY CLIC H ROSE GOLD</t>
        </is>
      </c>
      <c r="C1656" s="1" t="n"/>
      <c r="D1656" s="6" t="n">
        <v>210.9688577</v>
      </c>
      <c r="E1656" s="1" t="n"/>
      <c r="F1656" s="6" t="n">
        <v>210.6049844</v>
      </c>
      <c r="G1656" s="6" t="n">
        <v>209.1716001</v>
      </c>
      <c r="H1656" s="1" t="n"/>
      <c r="I1656" s="1" t="n"/>
      <c r="J1656" s="6" t="n">
        <v>213.0389622</v>
      </c>
      <c r="K1656" s="1" t="n"/>
      <c r="L1656" s="6" t="n">
        <v>212.1864227</v>
      </c>
      <c r="M1656" s="1" t="n"/>
      <c r="N1656" s="1" t="n"/>
    </row>
    <row r="1657">
      <c r="A1657" s="1" t="inlineStr">
        <is>
          <t>67201531970989</t>
        </is>
      </c>
      <c r="B1657" s="1" t="inlineStr">
        <is>
          <t>BRAZALETE MSS GOLD</t>
        </is>
      </c>
      <c r="C1657" s="1" t="n"/>
      <c r="D1657" s="6" t="n">
        <v>212.5567106</v>
      </c>
      <c r="E1657" s="1" t="n"/>
      <c r="F1657" s="1" t="n"/>
      <c r="G1657" s="1" t="n"/>
      <c r="H1657" s="1" t="n"/>
      <c r="I1657" s="1" t="n"/>
      <c r="J1657" s="1" t="n"/>
      <c r="K1657" s="6" t="n">
        <v>210.3147359</v>
      </c>
      <c r="L1657" s="1" t="n"/>
      <c r="M1657" s="6" t="n">
        <v>210.1460646</v>
      </c>
      <c r="N1657" s="1" t="n"/>
    </row>
    <row r="1658">
      <c r="A1658" s="1" t="inlineStr">
        <is>
          <t>67201532004237</t>
        </is>
      </c>
      <c r="B1658" s="1" t="inlineStr">
        <is>
          <t>PULSERA MSS SILVER</t>
        </is>
      </c>
      <c r="C1658" s="1" t="n"/>
      <c r="D1658" s="6" t="n">
        <v>148.2339489</v>
      </c>
      <c r="E1658" s="1" t="n"/>
      <c r="F1658" s="1" t="n"/>
      <c r="G1658" s="6" t="n">
        <v>146.4201201</v>
      </c>
      <c r="H1658" s="1" t="n"/>
      <c r="I1658" s="6" t="n">
        <v>147.4794725</v>
      </c>
      <c r="J1658" s="1" t="n"/>
      <c r="K1658" s="1" t="n"/>
      <c r="L1658" s="6" t="n">
        <v>147.7277815</v>
      </c>
      <c r="M1658" s="1" t="n"/>
      <c r="N1658" s="1" t="n"/>
    </row>
    <row r="1659">
      <c r="A1659" s="1" t="inlineStr">
        <is>
          <t>67201532161837</t>
        </is>
      </c>
      <c r="B1659" s="1" t="inlineStr">
        <is>
          <t>PULSERA MSS GOLD</t>
        </is>
      </c>
      <c r="C1659" s="1" t="n"/>
      <c r="D1659" s="6" t="n">
        <v>148.7896974</v>
      </c>
      <c r="E1659" s="1" t="n"/>
      <c r="F1659" s="6" t="n">
        <v>147.4234891</v>
      </c>
      <c r="G1659" s="6" t="n">
        <v>146.4201201</v>
      </c>
      <c r="H1659" s="1" t="n"/>
      <c r="I1659" s="6" t="n">
        <v>147.4794725</v>
      </c>
      <c r="J1659" s="1" t="n"/>
      <c r="K1659" s="1" t="n"/>
      <c r="L1659" s="6" t="n">
        <v>147.7277815</v>
      </c>
      <c r="M1659" s="1" t="n"/>
      <c r="N1659" s="1" t="n"/>
    </row>
    <row r="1660">
      <c r="A1660" s="1" t="inlineStr">
        <is>
          <t>67201532907277</t>
        </is>
      </c>
      <c r="B1660" s="1" t="inlineStr">
        <is>
          <t>ANILLO T1 T GOLD</t>
        </is>
      </c>
      <c r="C1660" s="1" t="n"/>
      <c r="D1660" s="1" t="n"/>
      <c r="E1660" s="1" t="n"/>
      <c r="F1660" s="1" t="n"/>
      <c r="G1660" s="1" t="n"/>
      <c r="H1660" s="1" t="n"/>
      <c r="I1660" s="1" t="n"/>
      <c r="J1660" s="6" t="n">
        <v>117.1714292</v>
      </c>
      <c r="K1660" s="1" t="n"/>
      <c r="L1660" s="1" t="n"/>
      <c r="M1660" s="1" t="n"/>
      <c r="N1660" s="1" t="n"/>
    </row>
    <row r="1661">
      <c r="A1661" s="1" t="inlineStr">
        <is>
          <t>67201533040045</t>
        </is>
      </c>
      <c r="B1661" s="1" t="inlineStr">
        <is>
          <t>ANILLO T1 T GOLD</t>
        </is>
      </c>
      <c r="C1661" s="1" t="n"/>
      <c r="D1661" s="1" t="n"/>
      <c r="E1661" s="1" t="n"/>
      <c r="F1661" s="1" t="n"/>
      <c r="G1661" s="1" t="n"/>
      <c r="H1661" s="1" t="n"/>
      <c r="I1661" s="1" t="n"/>
      <c r="J1661" s="6" t="n">
        <v>117.1714292</v>
      </c>
      <c r="K1661" s="1" t="n"/>
      <c r="L1661" s="1" t="n"/>
      <c r="M1661" s="1" t="n"/>
      <c r="N1661" s="1" t="n"/>
    </row>
    <row r="1662">
      <c r="A1662" s="1" t="inlineStr">
        <is>
          <t>67201533116173</t>
        </is>
      </c>
      <c r="B1662" s="1" t="inlineStr">
        <is>
          <t>ANILLO T1 T SILVER</t>
        </is>
      </c>
      <c r="C1662" s="1" t="n"/>
      <c r="D1662" s="1" t="n"/>
      <c r="E1662" s="1" t="n"/>
      <c r="F1662" s="6" t="n">
        <v>115.8327414</v>
      </c>
      <c r="G1662" s="6" t="n">
        <v>115.0443801</v>
      </c>
      <c r="H1662" s="6" t="n">
        <v>116.6022979</v>
      </c>
      <c r="I1662" s="1" t="n"/>
      <c r="J1662" s="1" t="n"/>
      <c r="K1662" s="1" t="n"/>
      <c r="L1662" s="1" t="n"/>
      <c r="M1662" s="1" t="n"/>
      <c r="N1662" s="1" t="n"/>
    </row>
    <row r="1663">
      <c r="A1663" s="1" t="inlineStr">
        <is>
          <t>67201533248941</t>
        </is>
      </c>
      <c r="B1663" s="1" t="inlineStr">
        <is>
          <t>ANILLO T1 T SILVER</t>
        </is>
      </c>
      <c r="C1663" s="1" t="n"/>
      <c r="D1663" s="1" t="n"/>
      <c r="E1663" s="1" t="n"/>
      <c r="F1663" s="1" t="n"/>
      <c r="G1663" s="6" t="n">
        <v>115.0443801</v>
      </c>
      <c r="H1663" s="6" t="n">
        <v>116.6022979</v>
      </c>
      <c r="I1663" s="1" t="n"/>
      <c r="J1663" s="1" t="n"/>
      <c r="K1663" s="1" t="n"/>
      <c r="L1663" s="1" t="n"/>
      <c r="M1663" s="1" t="n"/>
      <c r="N1663" s="1" t="n"/>
    </row>
    <row r="1664">
      <c r="A1664" s="1" t="inlineStr">
        <is>
          <t>67201533381709</t>
        </is>
      </c>
      <c r="B1664" s="1" t="inlineStr">
        <is>
          <t>ANILLO T1 T SILVER</t>
        </is>
      </c>
      <c r="C1664" s="1" t="n"/>
      <c r="D1664" s="1" t="n"/>
      <c r="E1664" s="1" t="n"/>
      <c r="F1664" s="1" t="n"/>
      <c r="G1664" s="1" t="n"/>
      <c r="H1664" s="6" t="n">
        <v>116.6022979</v>
      </c>
      <c r="I1664" s="1" t="n"/>
      <c r="J1664" s="1" t="n"/>
      <c r="K1664" s="6" t="n">
        <v>115.6731047</v>
      </c>
      <c r="L1664" s="1" t="n"/>
      <c r="M1664" s="1" t="n"/>
      <c r="N1664" s="1" t="n"/>
    </row>
    <row r="1665">
      <c r="A1665" s="1" t="inlineStr">
        <is>
          <t>67201533404653</t>
        </is>
      </c>
      <c r="B1665" s="1" t="inlineStr">
        <is>
          <t>ANILLO ANCHO TRUE T GOLD</t>
        </is>
      </c>
      <c r="C1665" s="1" t="n"/>
      <c r="D1665" s="1" t="n"/>
      <c r="E1665" s="1" t="n"/>
      <c r="F1665" s="1" t="n"/>
      <c r="G1665" s="1" t="n"/>
      <c r="H1665" s="1" t="n"/>
      <c r="I1665" s="1" t="n"/>
      <c r="J1665" s="1" t="n"/>
      <c r="K1665" s="1" t="n"/>
      <c r="L1665" s="1" t="n"/>
      <c r="M1665" s="6" t="n">
        <v>147.1022452</v>
      </c>
      <c r="N1665" s="1" t="n"/>
    </row>
    <row r="1666">
      <c r="A1666" s="1" t="inlineStr">
        <is>
          <t>67201533537421</t>
        </is>
      </c>
      <c r="B1666" s="1" t="inlineStr">
        <is>
          <t>ANILLO ANCHO TRUE T GOLD</t>
        </is>
      </c>
      <c r="C1666" s="1" t="n"/>
      <c r="D1666" s="6" t="n">
        <v>148.7896974</v>
      </c>
      <c r="E1666" s="1" t="n"/>
      <c r="F1666" s="6" t="n">
        <v>147.4234891</v>
      </c>
      <c r="G1666" s="6" t="n">
        <v>146.4201201</v>
      </c>
      <c r="H1666" s="1" t="n"/>
      <c r="I1666" s="1" t="n"/>
      <c r="J1666" s="1" t="n"/>
      <c r="K1666" s="1" t="n"/>
      <c r="L1666" s="1" t="n"/>
      <c r="M1666" s="1" t="n"/>
      <c r="N1666" s="1" t="n"/>
    </row>
    <row r="1667">
      <c r="A1667" s="1" t="inlineStr">
        <is>
          <t>67201533670189</t>
        </is>
      </c>
      <c r="B1667" s="1" t="inlineStr">
        <is>
          <t>ANILLO ANCHO TRUE T GOLD</t>
        </is>
      </c>
      <c r="C1667" s="1" t="n"/>
      <c r="D1667" s="6" t="n">
        <v>148.7896974</v>
      </c>
      <c r="E1667" s="1" t="n"/>
      <c r="F1667" s="1" t="n"/>
      <c r="G1667" s="6" t="n">
        <v>146.4201201</v>
      </c>
      <c r="H1667" s="1" t="n"/>
      <c r="I1667" s="1" t="n"/>
      <c r="J1667" s="1" t="n"/>
      <c r="K1667" s="6" t="n">
        <v>147.2203151</v>
      </c>
      <c r="L1667" s="1" t="n"/>
      <c r="M1667" s="1" t="n"/>
      <c r="N1667" s="1" t="n"/>
    </row>
    <row r="1668">
      <c r="A1668" s="1" t="inlineStr">
        <is>
          <t>67201533776845</t>
        </is>
      </c>
      <c r="B1668" s="1" t="inlineStr">
        <is>
          <t>ANILLO BEAN CON ZIRCONIA GOLD</t>
        </is>
      </c>
      <c r="C1668" s="1" t="n"/>
      <c r="D1668" s="1" t="n"/>
      <c r="E1668" s="1" t="n"/>
      <c r="F1668" s="6" t="n">
        <v>105.3024922</v>
      </c>
      <c r="G1668" s="6" t="n">
        <v>104.5858001</v>
      </c>
      <c r="H1668" s="6" t="n">
        <v>106.002089</v>
      </c>
      <c r="I1668" s="1" t="n"/>
      <c r="J1668" s="1" t="n"/>
      <c r="K1668" s="6" t="n">
        <v>105.1573679</v>
      </c>
      <c r="L1668" s="1" t="n"/>
      <c r="M1668" s="1" t="n"/>
      <c r="N1668" s="1" t="n"/>
    </row>
    <row r="1669">
      <c r="A1669" s="1" t="inlineStr">
        <is>
          <t>67201533809613</t>
        </is>
      </c>
      <c r="B1669" s="1" t="inlineStr">
        <is>
          <t>ANILLO BEAN CON ZIRCONIA GOLD</t>
        </is>
      </c>
      <c r="C1669" s="1" t="n"/>
      <c r="D1669" s="6" t="n">
        <v>105.4844288</v>
      </c>
      <c r="E1669" s="1" t="n"/>
      <c r="F1669" s="1" t="n"/>
      <c r="G1669" s="1" t="n"/>
      <c r="H1669" s="6" t="n">
        <v>106.002089</v>
      </c>
      <c r="I1669" s="6" t="n">
        <v>105.3424803</v>
      </c>
      <c r="J1669" s="1" t="n"/>
      <c r="K1669" s="1" t="n"/>
      <c r="L1669" s="1" t="n"/>
      <c r="M1669" s="1" t="n"/>
      <c r="N1669" s="1" t="n"/>
    </row>
    <row r="1670">
      <c r="A1670" s="1" t="inlineStr">
        <is>
          <t>67201533942381</t>
        </is>
      </c>
      <c r="B1670" s="1" t="inlineStr">
        <is>
          <t>ANILLO BEAN CON ZIRCONIA GOLD</t>
        </is>
      </c>
      <c r="C1670" s="1" t="n"/>
      <c r="D1670" s="1" t="n"/>
      <c r="E1670" s="1" t="n"/>
      <c r="F1670" s="1" t="n"/>
      <c r="G1670" s="6" t="n">
        <v>104.5858001</v>
      </c>
      <c r="H1670" s="1" t="n"/>
      <c r="I1670" s="1" t="n"/>
      <c r="J1670" s="1" t="n"/>
      <c r="K1670" s="1" t="n"/>
      <c r="L1670" s="1" t="n"/>
      <c r="M1670" s="1" t="n"/>
      <c r="N1670" s="1" t="n"/>
    </row>
    <row r="1671">
      <c r="A1671" s="1" t="inlineStr">
        <is>
          <t>67201534097677</t>
        </is>
      </c>
      <c r="B1671" s="1" t="inlineStr">
        <is>
          <t>ANILLO KNOT CON ZIRCONIAS T GOLD</t>
        </is>
      </c>
      <c r="C1671" s="1" t="n"/>
      <c r="D1671" s="1" t="n"/>
      <c r="E1671" s="1" t="n"/>
      <c r="F1671" s="1" t="n"/>
      <c r="G1671" s="1" t="n"/>
      <c r="H1671" s="1" t="n"/>
      <c r="I1671" s="1" t="n"/>
      <c r="J1671" s="1" t="n"/>
      <c r="K1671" s="6" t="n">
        <v>42.06294718</v>
      </c>
      <c r="L1671" s="1" t="n"/>
      <c r="M1671" s="1" t="n"/>
      <c r="N1671" s="1" t="n"/>
    </row>
    <row r="1672">
      <c r="A1672" s="1" t="inlineStr">
        <is>
          <t>67201534287725</t>
        </is>
      </c>
      <c r="B1672" s="1" t="inlineStr">
        <is>
          <t>ANILLO BEAN T SILVER MINI</t>
        </is>
      </c>
      <c r="C1672" s="1" t="n"/>
      <c r="D1672" s="1" t="n"/>
      <c r="E1672" s="1" t="n"/>
      <c r="F1672" s="1" t="n"/>
      <c r="G1672" s="6" t="n">
        <v>104.5858001</v>
      </c>
      <c r="H1672" s="6" t="n">
        <v>106.002089</v>
      </c>
      <c r="I1672" s="6" t="n">
        <v>105.3424803</v>
      </c>
      <c r="J1672" s="1" t="n"/>
      <c r="K1672" s="1" t="n"/>
      <c r="L1672" s="1" t="n"/>
      <c r="M1672" s="1" t="n"/>
      <c r="N1672" s="1" t="n"/>
    </row>
    <row r="1673">
      <c r="A1673" s="1" t="inlineStr">
        <is>
          <t>67201534320493</t>
        </is>
      </c>
      <c r="B1673" s="1" t="inlineStr">
        <is>
          <t>ANILLO MINI BEAN T SILVER</t>
        </is>
      </c>
      <c r="C1673" s="1" t="n"/>
      <c r="D1673" s="1" t="n"/>
      <c r="E1673" s="1" t="n"/>
      <c r="F1673" s="6" t="n">
        <v>105.3024922</v>
      </c>
      <c r="G1673" s="6" t="n">
        <v>104.5858001</v>
      </c>
      <c r="H1673" s="6" t="n">
        <v>106.002089</v>
      </c>
      <c r="I1673" s="1" t="n"/>
      <c r="J1673" s="1" t="n"/>
      <c r="K1673" s="1" t="n"/>
      <c r="L1673" s="1" t="n"/>
      <c r="M1673" s="1" t="n"/>
      <c r="N1673" s="1" t="n"/>
    </row>
    <row r="1674">
      <c r="A1674" s="1" t="inlineStr">
        <is>
          <t>67201534427213</t>
        </is>
      </c>
      <c r="B1674" s="1" t="inlineStr">
        <is>
          <t>PULSERA DOBLE CADENA Y PLACA ESTILO CORAZÓN T SILVER</t>
        </is>
      </c>
      <c r="C1674" s="1" t="n"/>
      <c r="D1674" s="6" t="n">
        <v>105.4844288</v>
      </c>
      <c r="E1674" s="1" t="n"/>
      <c r="F1674" s="1" t="n"/>
      <c r="G1674" s="6" t="n">
        <v>104.5858001</v>
      </c>
      <c r="H1674" s="1" t="n"/>
      <c r="I1674" s="1" t="n"/>
      <c r="J1674" s="1" t="n"/>
      <c r="K1674" s="6" t="n">
        <v>105.1573679</v>
      </c>
      <c r="L1674" s="1" t="n"/>
      <c r="M1674" s="1" t="n"/>
      <c r="N1674" s="1" t="n"/>
    </row>
    <row r="1675">
      <c r="A1675" s="1" t="inlineStr">
        <is>
          <t>67201534558861</t>
        </is>
      </c>
      <c r="B1675" s="1" t="inlineStr">
        <is>
          <t>COLLAR OPEN HEART ROSE GOLD</t>
        </is>
      </c>
      <c r="C1675" s="1" t="n"/>
      <c r="D1675" s="1" t="n"/>
      <c r="E1675" s="1" t="n"/>
      <c r="F1675" s="6" t="n">
        <v>147.4234891</v>
      </c>
      <c r="G1675" s="6" t="n">
        <v>146.4201201</v>
      </c>
      <c r="H1675" s="1" t="n"/>
      <c r="I1675" s="1" t="n"/>
      <c r="J1675" s="1" t="n"/>
      <c r="K1675" s="1" t="n"/>
      <c r="L1675" s="1" t="n"/>
      <c r="M1675" s="1" t="n"/>
      <c r="N1675" s="1" t="n"/>
    </row>
    <row r="1676">
      <c r="A1676" s="1" t="inlineStr">
        <is>
          <t>67201534607245</t>
        </is>
      </c>
      <c r="B1676" s="1" t="inlineStr">
        <is>
          <t>COLLAR OPEN HEART GOLD</t>
        </is>
      </c>
      <c r="C1676" s="1" t="n"/>
      <c r="D1676" s="1" t="n"/>
      <c r="E1676" s="1" t="n"/>
      <c r="F1676" s="6" t="n">
        <v>147.4234891</v>
      </c>
      <c r="G1676" s="6" t="n">
        <v>146.4201201</v>
      </c>
      <c r="H1676" s="1" t="n"/>
      <c r="I1676" s="6" t="n">
        <v>147.4794725</v>
      </c>
      <c r="J1676" s="1" t="n"/>
      <c r="K1676" s="6" t="n">
        <v>147.2203151</v>
      </c>
      <c r="L1676" s="1" t="n"/>
      <c r="M1676" s="6" t="n">
        <v>147.1022452</v>
      </c>
      <c r="N1676" s="1" t="n"/>
    </row>
    <row r="1677">
      <c r="A1677" s="1" t="inlineStr">
        <is>
          <t>67201534708013</t>
        </is>
      </c>
      <c r="B1677" s="1" t="inlineStr">
        <is>
          <t>COLLAR CRUZ T GOLD</t>
        </is>
      </c>
      <c r="C1677" s="1" t="n"/>
      <c r="D1677" s="6" t="n">
        <v>147.6782004</v>
      </c>
      <c r="E1677" s="1" t="n"/>
      <c r="F1677" s="6" t="n">
        <v>147.4234891</v>
      </c>
      <c r="G1677" s="6" t="n">
        <v>146.4201201</v>
      </c>
      <c r="H1677" s="1" t="n"/>
      <c r="I1677" s="6" t="n">
        <v>147.4794725</v>
      </c>
      <c r="J1677" s="1" t="n"/>
      <c r="K1677" s="1" t="n"/>
      <c r="L1677" s="6" t="n">
        <v>148.5304959</v>
      </c>
      <c r="M1677" s="1" t="n"/>
      <c r="N1677" s="1" t="n"/>
    </row>
    <row r="1678">
      <c r="A1678" s="1" t="inlineStr">
        <is>
          <t>67201534868749</t>
        </is>
      </c>
      <c r="B1678" s="1" t="inlineStr">
        <is>
          <t>ARETES CON DOBLE CIERRE T GOLD</t>
        </is>
      </c>
      <c r="C1678" s="1" t="n"/>
      <c r="D1678" s="6" t="n">
        <v>106.2783553</v>
      </c>
      <c r="E1678" s="1" t="n"/>
      <c r="F1678" s="1" t="n"/>
      <c r="G1678" s="1" t="n"/>
      <c r="H1678" s="6" t="n">
        <v>169.6033423</v>
      </c>
      <c r="I1678" s="1" t="n"/>
      <c r="J1678" s="1" t="n"/>
      <c r="K1678" s="1" t="n"/>
      <c r="L1678" s="1" t="n"/>
      <c r="M1678" s="1" t="n"/>
      <c r="N1678" s="1" t="n"/>
    </row>
    <row r="1679">
      <c r="A1679" s="1" t="inlineStr">
        <is>
          <t>67201534966797</t>
        </is>
      </c>
      <c r="B1679" s="1" t="inlineStr">
        <is>
          <t>ARETES LOVING HEART</t>
        </is>
      </c>
      <c r="C1679" s="1" t="n"/>
      <c r="D1679" s="6" t="n">
        <v>85.02268425</v>
      </c>
      <c r="E1679" s="1" t="n"/>
      <c r="F1679" s="1" t="n"/>
      <c r="G1679" s="6" t="n">
        <v>83.66864004999999</v>
      </c>
      <c r="H1679" s="1" t="n"/>
      <c r="I1679" s="1" t="n"/>
      <c r="J1679" s="6" t="n">
        <v>127.8233773</v>
      </c>
      <c r="K1679" s="1" t="n"/>
      <c r="L1679" s="1" t="n"/>
      <c r="M1679" s="1" t="n"/>
      <c r="N1679" s="1" t="n"/>
    </row>
    <row r="1680">
      <c r="A1680" s="1" t="inlineStr">
        <is>
          <t>67201535022509</t>
        </is>
      </c>
      <c r="B1680" s="1" t="inlineStr">
        <is>
          <t>ARETES MARIPOSA ROSE GOLD WHITE VF</t>
        </is>
      </c>
      <c r="C1680" s="1" t="n"/>
      <c r="D1680" s="6" t="n">
        <v>147.6782004</v>
      </c>
      <c r="E1680" s="1" t="n"/>
      <c r="F1680" s="1" t="n"/>
      <c r="G1680" s="6" t="n">
        <v>146.4201201</v>
      </c>
      <c r="H1680" s="1" t="n"/>
      <c r="I1680" s="6" t="n">
        <v>147.4794725</v>
      </c>
      <c r="J1680" s="1" t="n"/>
      <c r="K1680" s="1" t="n"/>
      <c r="L1680" s="6" t="n">
        <v>146.9250671</v>
      </c>
      <c r="M1680" s="1" t="n"/>
      <c r="N1680" s="1" t="n"/>
    </row>
    <row r="1681">
      <c r="A1681" s="1" t="inlineStr">
        <is>
          <t>67201535108205</t>
        </is>
      </c>
      <c r="B1681" s="1" t="inlineStr">
        <is>
          <t>ARETES MARIPOSA BICOLOR GOLD BLUE VF</t>
        </is>
      </c>
      <c r="C1681" s="1" t="n"/>
      <c r="D1681" s="6" t="n">
        <v>148.2339489</v>
      </c>
      <c r="E1681" s="1" t="n"/>
      <c r="F1681" s="6" t="n">
        <v>147.4234891</v>
      </c>
      <c r="G1681" s="6" t="n">
        <v>146.4201201</v>
      </c>
      <c r="H1681" s="6" t="n">
        <v>148.4029245</v>
      </c>
      <c r="I1681" s="6" t="n">
        <v>147.4794725</v>
      </c>
      <c r="J1681" s="1" t="n"/>
      <c r="K1681" s="1" t="n"/>
      <c r="L1681" s="6" t="n">
        <v>146.9250671</v>
      </c>
      <c r="M1681" s="6" t="n">
        <v>147.1022452</v>
      </c>
      <c r="N1681" s="1" t="n"/>
    </row>
    <row r="1682">
      <c r="A1682" s="1" t="inlineStr">
        <is>
          <t>67201535214413</t>
        </is>
      </c>
      <c r="B1682" s="1" t="inlineStr">
        <is>
          <t>PULSERA LUCKY SPRING ROSE GOLD VF</t>
        </is>
      </c>
      <c r="C1682" s="1" t="n"/>
      <c r="D1682" s="6" t="n">
        <v>148.7896974</v>
      </c>
      <c r="E1682" s="1" t="n"/>
      <c r="F1682" s="6" t="n">
        <v>147.4234891</v>
      </c>
      <c r="G1682" s="6" t="n">
        <v>146.4201201</v>
      </c>
      <c r="H1682" s="1" t="n"/>
      <c r="I1682" s="6" t="n">
        <v>147.4794725</v>
      </c>
      <c r="J1682" s="1" t="n"/>
      <c r="K1682" s="1" t="n"/>
      <c r="L1682" s="6" t="n">
        <v>148.5304959</v>
      </c>
      <c r="M1682" s="6" t="n">
        <v>147.1022452</v>
      </c>
      <c r="N1682" s="1" t="n"/>
    </row>
    <row r="1683">
      <c r="A1683" s="1" t="inlineStr">
        <is>
          <t>67201535328333</t>
        </is>
      </c>
      <c r="B1683" s="1" t="inlineStr">
        <is>
          <t>PULSERA SWEET BUTTERFLY WHITE VF</t>
        </is>
      </c>
      <c r="C1683" s="1" t="n"/>
      <c r="D1683" s="6" t="n">
        <v>126.5813146</v>
      </c>
      <c r="E1683" s="1" t="n"/>
      <c r="F1683" s="6" t="n">
        <v>126.3629907</v>
      </c>
      <c r="G1683" s="6" t="n">
        <v>125.5029601</v>
      </c>
      <c r="H1683" s="1" t="n"/>
      <c r="I1683" s="1" t="n"/>
      <c r="J1683" s="1" t="n"/>
      <c r="K1683" s="1" t="n"/>
      <c r="L1683" s="6" t="n">
        <v>127.3118536</v>
      </c>
      <c r="M1683" s="6" t="n">
        <v>105.0730323</v>
      </c>
      <c r="N1683" s="1" t="n"/>
    </row>
    <row r="1684">
      <c r="A1684" s="1" t="inlineStr">
        <is>
          <t>67201535429901</t>
        </is>
      </c>
      <c r="B1684" s="1" t="inlineStr">
        <is>
          <t>ANILLO PERLEE SIGNATURE SILVER VF</t>
        </is>
      </c>
      <c r="C1684" s="1" t="n"/>
      <c r="D1684" s="6" t="n">
        <v>147.4672315</v>
      </c>
      <c r="E1684" s="1" t="n"/>
      <c r="F1684" s="1" t="n"/>
      <c r="G1684" s="1" t="n"/>
      <c r="H1684" s="1" t="n"/>
      <c r="I1684" s="1" t="n"/>
      <c r="J1684" s="1" t="n"/>
      <c r="K1684" s="1" t="n"/>
      <c r="L1684" s="1" t="n"/>
      <c r="M1684" s="1" t="n"/>
      <c r="N1684" s="1" t="n"/>
    </row>
    <row r="1685">
      <c r="A1685" s="1" t="inlineStr">
        <is>
          <t>67201535695437</t>
        </is>
      </c>
      <c r="B1685" s="1" t="n"/>
      <c r="C1685" s="1" t="n"/>
      <c r="D1685" s="1" t="n"/>
      <c r="E1685" s="1" t="n"/>
      <c r="F1685" s="1" t="n"/>
      <c r="G1685" s="1" t="n"/>
      <c r="H1685" s="1" t="n"/>
      <c r="I1685" s="6" t="n">
        <v>105.3424803</v>
      </c>
      <c r="J1685" s="1" t="n"/>
      <c r="K1685" s="1" t="n"/>
      <c r="L1685" s="1" t="n"/>
      <c r="M1685" s="1" t="n"/>
      <c r="N1685" s="1" t="n"/>
    </row>
    <row r="1686">
      <c r="A1686" s="1" t="inlineStr">
        <is>
          <t>67201535739341</t>
        </is>
      </c>
      <c r="B1686" s="1" t="inlineStr">
        <is>
          <t>ANILLO TRÉBOL CON ZIRCONIA ROSE GOLD VF</t>
        </is>
      </c>
      <c r="C1686" s="1" t="n"/>
      <c r="D1686" s="1" t="n"/>
      <c r="E1686" s="1" t="n"/>
      <c r="F1686" s="1" t="n"/>
      <c r="G1686" s="1" t="n"/>
      <c r="H1686" s="1" t="n"/>
      <c r="I1686" s="1" t="n"/>
      <c r="J1686" s="1" t="n"/>
      <c r="K1686" s="1" t="n"/>
      <c r="L1686" s="1" t="n"/>
      <c r="M1686" s="6" t="n">
        <v>125.8774927</v>
      </c>
      <c r="N1686" s="1" t="n"/>
    </row>
    <row r="1687">
      <c r="A1687" s="1" t="inlineStr">
        <is>
          <t>67201535928013</t>
        </is>
      </c>
      <c r="B1687" s="1" t="inlineStr">
        <is>
          <t>PULSERA SNAKE GOLD T</t>
        </is>
      </c>
      <c r="C1687" s="1" t="n"/>
      <c r="D1687" s="1" t="n"/>
      <c r="E1687" s="1" t="n"/>
      <c r="F1687" s="1" t="n"/>
      <c r="G1687" s="1" t="n"/>
      <c r="H1687" s="6" t="n">
        <v>372.2239874</v>
      </c>
      <c r="I1687" s="1" t="n"/>
      <c r="J1687" s="1" t="n"/>
      <c r="K1687" s="1" t="n"/>
      <c r="L1687" s="1" t="n"/>
      <c r="M1687" s="1" t="n"/>
      <c r="N1687" s="1" t="n"/>
    </row>
    <row r="1688">
      <c r="A1688" s="1" t="inlineStr">
        <is>
          <t>67308101075309</t>
        </is>
      </c>
      <c r="B1688" s="1" t="inlineStr">
        <is>
          <t>ANILLO CD GOLD BLACK CON ZIRCONIA ANCHO</t>
        </is>
      </c>
      <c r="C1688" s="1" t="n"/>
      <c r="D1688" s="1" t="n"/>
      <c r="E1688" s="6" t="n">
        <v>212.615424</v>
      </c>
      <c r="F1688" s="1" t="n"/>
      <c r="G1688" s="1" t="n"/>
      <c r="H1688" s="1" t="n"/>
      <c r="I1688" s="1" t="n"/>
      <c r="J1688" s="1" t="n"/>
      <c r="K1688" s="1" t="n"/>
      <c r="L1688" s="1" t="n"/>
      <c r="M1688" s="1" t="n"/>
      <c r="N1688" s="1" t="n"/>
    </row>
    <row r="1689">
      <c r="A1689" s="1" t="inlineStr">
        <is>
          <t>67308101075310</t>
        </is>
      </c>
      <c r="B1689" s="1" t="n"/>
      <c r="C1689" s="1" t="n"/>
      <c r="D1689" s="1" t="n"/>
      <c r="E1689" s="6" t="n">
        <v>212.615424</v>
      </c>
      <c r="F1689" s="1" t="n"/>
      <c r="G1689" s="1" t="n"/>
      <c r="H1689" s="1" t="n"/>
      <c r="I1689" s="1" t="n"/>
      <c r="J1689" s="1" t="n"/>
      <c r="K1689" s="1" t="n"/>
      <c r="L1689" s="1" t="n"/>
      <c r="M1689" s="1" t="n"/>
      <c r="N1689" s="1" t="n"/>
    </row>
    <row r="1690">
      <c r="A1690" s="1" t="inlineStr">
        <is>
          <t>67319253498892</t>
        </is>
      </c>
      <c r="B1690" s="1" t="inlineStr">
        <is>
          <t>COLLAR CD REVOLUTION</t>
        </is>
      </c>
      <c r="C1690" s="1" t="n"/>
      <c r="D1690" s="6" t="n">
        <v>200.9427568</v>
      </c>
      <c r="E1690" s="1" t="n"/>
      <c r="F1690" s="1" t="n"/>
      <c r="G1690" s="1" t="n"/>
      <c r="H1690" s="6" t="n">
        <v>208.252795</v>
      </c>
      <c r="I1690" s="1" t="n"/>
      <c r="J1690" s="1" t="n"/>
      <c r="K1690" s="1" t="n"/>
      <c r="L1690" s="6" t="n">
        <v>212.0369959</v>
      </c>
      <c r="M1690" s="1" t="n"/>
      <c r="N1690" s="1" t="n"/>
    </row>
    <row r="1691">
      <c r="A1691" s="1" t="inlineStr">
        <is>
          <t>6737d91d66417</t>
        </is>
      </c>
      <c r="B1691" s="1" t="inlineStr">
        <is>
          <t>TARJETERO CD SADDLE</t>
        </is>
      </c>
      <c r="C1691" s="1" t="n"/>
      <c r="D1691" s="6" t="n">
        <v>452.1212029</v>
      </c>
      <c r="E1691" s="6" t="n">
        <v>446.4019675</v>
      </c>
      <c r="F1691" s="1" t="n"/>
      <c r="G1691" s="1" t="n"/>
      <c r="H1691" s="6" t="n">
        <v>468.5687886</v>
      </c>
      <c r="I1691" s="1" t="n"/>
      <c r="J1691" s="6" t="n">
        <v>464.076893</v>
      </c>
      <c r="K1691" s="1" t="n"/>
      <c r="L1691" s="1" t="n"/>
      <c r="M1691" s="1" t="n"/>
      <c r="N1691" s="1" t="n"/>
    </row>
    <row r="1692">
      <c r="A1692" s="1" t="inlineStr">
        <is>
          <t>673cd55cc4ae5</t>
        </is>
      </c>
      <c r="B1692" s="1" t="inlineStr">
        <is>
          <t>ANILLO ONE T ROSEGOLD</t>
        </is>
      </c>
      <c r="C1692" s="1" t="n"/>
      <c r="D1692" s="1" t="n"/>
      <c r="E1692" s="1" t="n"/>
      <c r="F1692" s="1" t="n"/>
      <c r="G1692" s="1" t="n"/>
      <c r="H1692" s="1" t="n"/>
      <c r="I1692" s="6" t="n">
        <v>84.27398426000001</v>
      </c>
      <c r="J1692" s="1" t="n"/>
      <c r="K1692" s="1" t="n"/>
      <c r="L1692" s="6" t="n">
        <v>83.95718118000001</v>
      </c>
      <c r="M1692" s="1" t="n"/>
      <c r="N1692" s="1" t="n"/>
    </row>
    <row r="1693">
      <c r="A1693" s="1" t="inlineStr">
        <is>
          <t>673cd55d87e7f</t>
        </is>
      </c>
      <c r="B1693" s="1" t="inlineStr">
        <is>
          <t>ANILLO ONE T ROSEGOLD</t>
        </is>
      </c>
      <c r="C1693" s="1" t="n"/>
      <c r="D1693" s="6" t="n">
        <v>105.4844288</v>
      </c>
      <c r="E1693" s="1" t="n"/>
      <c r="F1693" s="6" t="n">
        <v>84.24199376999999</v>
      </c>
      <c r="G1693" s="1" t="n"/>
      <c r="H1693" s="1" t="n"/>
      <c r="I1693" s="6" t="n">
        <v>84.27398426000001</v>
      </c>
      <c r="J1693" s="1" t="n"/>
      <c r="K1693" s="1" t="n"/>
      <c r="L1693" s="1" t="n"/>
      <c r="M1693" s="1" t="n"/>
      <c r="N1693" s="1" t="n"/>
    </row>
    <row r="1694">
      <c r="A1694" s="1" t="inlineStr">
        <is>
          <t>673cd55e24dd4</t>
        </is>
      </c>
      <c r="B1694" s="1" t="n"/>
      <c r="C1694" s="1" t="n"/>
      <c r="D1694" s="1" t="n"/>
      <c r="E1694" s="1" t="n"/>
      <c r="F1694" s="1" t="n"/>
      <c r="G1694" s="1" t="n"/>
      <c r="H1694" s="1" t="n"/>
      <c r="I1694" s="6" t="n">
        <v>84.27398426000001</v>
      </c>
      <c r="J1694" s="1" t="n"/>
      <c r="K1694" s="1" t="n"/>
      <c r="L1694" s="1" t="n"/>
      <c r="M1694" s="1" t="n"/>
      <c r="N1694" s="1" t="n"/>
    </row>
    <row r="1695">
      <c r="A1695" s="1" t="inlineStr">
        <is>
          <t>673cd55e4a3ca</t>
        </is>
      </c>
      <c r="B1695" s="1" t="inlineStr">
        <is>
          <t>ANILLO ONE T CON ZIRCONIA GOLD</t>
        </is>
      </c>
      <c r="C1695" s="1" t="n"/>
      <c r="D1695" s="1" t="n"/>
      <c r="E1695" s="1" t="n"/>
      <c r="F1695" s="1" t="n"/>
      <c r="G1695" s="1" t="n"/>
      <c r="H1695" s="1" t="n"/>
      <c r="I1695" s="6" t="n">
        <v>105.3424803</v>
      </c>
      <c r="J1695" s="1" t="n"/>
      <c r="K1695" s="6" t="n">
        <v>105.1573679</v>
      </c>
      <c r="L1695" s="1" t="n"/>
      <c r="M1695" s="1" t="n"/>
      <c r="N1695" s="1" t="n"/>
    </row>
    <row r="1696">
      <c r="A1696" s="1" t="inlineStr">
        <is>
          <t>673cd55edea9b</t>
        </is>
      </c>
      <c r="B1696" s="1" t="inlineStr">
        <is>
          <t>ANILLO ONE T CON ZIRCONIA GOLD</t>
        </is>
      </c>
      <c r="C1696" s="1" t="n"/>
      <c r="D1696" s="6" t="n">
        <v>106.2783553</v>
      </c>
      <c r="E1696" s="1" t="n"/>
      <c r="F1696" s="1" t="n"/>
      <c r="G1696" s="6" t="n">
        <v>104.5858001</v>
      </c>
      <c r="H1696" s="1" t="n"/>
      <c r="I1696" s="1" t="n"/>
      <c r="J1696" s="1" t="n"/>
      <c r="K1696" s="1" t="n"/>
      <c r="L1696" s="1" t="n"/>
      <c r="M1696" s="6" t="n">
        <v>105.0730323</v>
      </c>
      <c r="N1696" s="1" t="n"/>
    </row>
    <row r="1697">
      <c r="A1697" s="1" t="inlineStr">
        <is>
          <t>673cd561eb622</t>
        </is>
      </c>
      <c r="B1697" s="1" t="inlineStr">
        <is>
          <t>ANILLO ONE T ROSE GOLD CON ZIRCONIA</t>
        </is>
      </c>
      <c r="C1697" s="1" t="n"/>
      <c r="D1697" s="1" t="n"/>
      <c r="E1697" s="1" t="n"/>
      <c r="F1697" s="1" t="n"/>
      <c r="G1697" s="1" t="n"/>
      <c r="H1697" s="1" t="n"/>
      <c r="I1697" s="1" t="n"/>
      <c r="J1697" s="1" t="n"/>
      <c r="K1697" s="1" t="n"/>
      <c r="L1697" s="6" t="n">
        <v>106.0932113</v>
      </c>
      <c r="M1697" s="6" t="n">
        <v>105.0730323</v>
      </c>
      <c r="N1697" s="1" t="n"/>
    </row>
    <row r="1698">
      <c r="A1698" s="1" t="inlineStr">
        <is>
          <t>673cd5677aee7</t>
        </is>
      </c>
      <c r="B1698" s="1" t="inlineStr">
        <is>
          <t>ANILLO TRUE GOLD</t>
        </is>
      </c>
      <c r="C1698" s="1" t="n"/>
      <c r="D1698" s="1" t="n"/>
      <c r="E1698" s="1" t="n"/>
      <c r="F1698" s="1" t="n"/>
      <c r="G1698" s="1" t="n"/>
      <c r="H1698" s="1" t="n"/>
      <c r="I1698" s="1" t="n"/>
      <c r="J1698" s="6" t="n">
        <v>192.0552222</v>
      </c>
      <c r="K1698" s="1" t="n"/>
      <c r="L1698" s="1" t="n"/>
      <c r="M1698" s="1" t="n"/>
      <c r="N1698" s="1" t="n"/>
    </row>
    <row r="1699">
      <c r="A1699" s="1" t="inlineStr">
        <is>
          <t>673cd567a7edc</t>
        </is>
      </c>
      <c r="B1699" s="1" t="inlineStr">
        <is>
          <t>ANILLO TRES AROS</t>
        </is>
      </c>
      <c r="C1699" s="1" t="n"/>
      <c r="D1699" s="1" t="n"/>
      <c r="E1699" s="1" t="n"/>
      <c r="F1699" s="1" t="n"/>
      <c r="G1699" s="6" t="n">
        <v>98.31065205</v>
      </c>
      <c r="H1699" s="6" t="n">
        <v>99.64196362</v>
      </c>
      <c r="I1699" s="1" t="n"/>
      <c r="J1699" s="1" t="n"/>
      <c r="K1699" s="1" t="n"/>
      <c r="L1699" s="1" t="n"/>
      <c r="M1699" s="1" t="n"/>
      <c r="N1699" s="1" t="n"/>
    </row>
    <row r="1700">
      <c r="A1700" s="1" t="inlineStr">
        <is>
          <t>673cd568aea80</t>
        </is>
      </c>
      <c r="B1700" s="1" t="inlineStr">
        <is>
          <t>ANILLO TRUE GOLD</t>
        </is>
      </c>
      <c r="C1700" s="1" t="n"/>
      <c r="D1700" s="1" t="n"/>
      <c r="E1700" s="1" t="n"/>
      <c r="F1700" s="1" t="n"/>
      <c r="G1700" s="1" t="n"/>
      <c r="H1700" s="1" t="n"/>
      <c r="I1700" s="1" t="n"/>
      <c r="J1700" s="1" t="n"/>
      <c r="K1700" s="1" t="n"/>
      <c r="L1700" s="6" t="n">
        <v>132.2468818</v>
      </c>
      <c r="M1700" s="1" t="n"/>
      <c r="N1700" s="1" t="n"/>
    </row>
    <row r="1701">
      <c r="A1701" s="1" t="inlineStr">
        <is>
          <t>673cd62fa988f</t>
        </is>
      </c>
      <c r="B1701" s="1" t="inlineStr">
        <is>
          <t>COLLAR B zero SILVER CON ZIRCONIAS</t>
        </is>
      </c>
      <c r="C1701" s="1" t="n"/>
      <c r="D1701" s="6" t="n">
        <v>147.6782004</v>
      </c>
      <c r="E1701" s="1" t="n"/>
      <c r="F1701" s="1" t="n"/>
      <c r="G1701" s="1" t="n"/>
      <c r="H1701" s="1" t="n"/>
      <c r="I1701" s="1" t="n"/>
      <c r="J1701" s="1" t="n"/>
      <c r="K1701" s="1" t="n"/>
      <c r="L1701" s="6" t="n">
        <v>148.5304959</v>
      </c>
      <c r="M1701" s="1" t="n"/>
      <c r="N1701" s="1" t="n"/>
    </row>
    <row r="1702">
      <c r="A1702" s="1" t="inlineStr">
        <is>
          <t>6748bba38eb40</t>
        </is>
      </c>
      <c r="B1702" s="1" t="inlineStr">
        <is>
          <t>ZAPATILLAS YSL OPYUM BLACK</t>
        </is>
      </c>
      <c r="C1702" s="1" t="n"/>
      <c r="D1702" s="6" t="n">
        <v>1632.659899</v>
      </c>
      <c r="E1702" s="1" t="n"/>
      <c r="F1702" s="1" t="n"/>
      <c r="G1702" s="1" t="n"/>
      <c r="H1702" s="6" t="n">
        <v>1692.053959</v>
      </c>
      <c r="I1702" s="1" t="n"/>
      <c r="J1702" s="6" t="n">
        <v>1675.833225</v>
      </c>
      <c r="K1702" s="1" t="n"/>
      <c r="L1702" s="1" t="n"/>
      <c r="M1702" s="1" t="n"/>
      <c r="N1702" s="1" t="n"/>
    </row>
    <row r="1703">
      <c r="A1703" s="1" t="inlineStr">
        <is>
          <t>6748bba425e93</t>
        </is>
      </c>
      <c r="B1703" s="1" t="inlineStr">
        <is>
          <t>ZAPATILLAS YSL OPYUM BLACK</t>
        </is>
      </c>
      <c r="C1703" s="1" t="n"/>
      <c r="D1703" s="1" t="n"/>
      <c r="E1703" s="1" t="n"/>
      <c r="F1703" s="1" t="n"/>
      <c r="G1703" s="1" t="n"/>
      <c r="H1703" s="6" t="n">
        <v>1692.053959</v>
      </c>
      <c r="I1703" s="1" t="n"/>
      <c r="J1703" s="6" t="n">
        <v>1675.833225</v>
      </c>
      <c r="K1703" s="1" t="n"/>
      <c r="L1703" s="1" t="n"/>
      <c r="M1703" s="6" t="n">
        <v>1593.24337</v>
      </c>
      <c r="N1703" s="1" t="n"/>
    </row>
    <row r="1704">
      <c r="A1704" s="1" t="inlineStr">
        <is>
          <t>67535d2d7860a</t>
        </is>
      </c>
      <c r="B1704" s="1" t="inlineStr">
        <is>
          <t>RELOJ PANTHERE GOLD SILVER</t>
        </is>
      </c>
      <c r="C1704" s="1" t="n"/>
      <c r="D1704" s="6" t="n">
        <v>1456.834987</v>
      </c>
      <c r="E1704" s="1" t="n"/>
      <c r="F1704" s="1" t="n"/>
      <c r="G1704" s="1" t="n"/>
      <c r="H1704" s="1" t="n"/>
      <c r="I1704" s="1" t="n"/>
      <c r="J1704" s="1" t="n"/>
      <c r="K1704" s="1" t="n"/>
      <c r="L1704" s="1" t="n"/>
      <c r="M1704" s="1" t="n"/>
      <c r="N1704" s="1" t="n"/>
    </row>
    <row r="1705">
      <c r="A1705" s="1" t="inlineStr">
        <is>
          <t>67535d2d7860a-1</t>
        </is>
      </c>
      <c r="B1705" s="1" t="inlineStr">
        <is>
          <t>RELOJ PANTHERE GOLD SILVER</t>
        </is>
      </c>
      <c r="C1705" s="1" t="n"/>
      <c r="D1705" s="1" t="n"/>
      <c r="E1705" s="6" t="n">
        <v>1438.40634</v>
      </c>
      <c r="F1705" s="1" t="n"/>
      <c r="G1705" s="1" t="n"/>
      <c r="H1705" s="6" t="n">
        <v>1509.832763</v>
      </c>
      <c r="I1705" s="1" t="n"/>
      <c r="J1705" s="1" t="n"/>
      <c r="K1705" s="6" t="n">
        <v>1485.309144</v>
      </c>
      <c r="L1705" s="1" t="n"/>
      <c r="M1705" s="1" t="n"/>
      <c r="N1705" s="1" t="n"/>
    </row>
    <row r="1706">
      <c r="A1706" s="1" t="inlineStr">
        <is>
          <t>67535d2d7860a-2</t>
        </is>
      </c>
      <c r="B1706" s="1" t="inlineStr">
        <is>
          <t>RELOJ PANTHERE GOLD SILVER</t>
        </is>
      </c>
      <c r="C1706" s="1" t="n"/>
      <c r="D1706" s="1" t="n"/>
      <c r="E1706" s="1" t="n"/>
      <c r="F1706" s="1" t="n"/>
      <c r="G1706" s="1" t="n"/>
      <c r="H1706" s="1" t="n"/>
      <c r="I1706" s="1" t="n"/>
      <c r="J1706" s="1" t="n"/>
      <c r="K1706" s="1" t="n"/>
      <c r="L1706" s="1" t="n"/>
      <c r="M1706" s="6" t="n">
        <v>1421.663314</v>
      </c>
      <c r="N1706" s="1" t="n"/>
    </row>
    <row r="1707">
      <c r="A1707" s="1" t="inlineStr">
        <is>
          <t>67535d35b8818</t>
        </is>
      </c>
      <c r="B1707" s="1" t="inlineStr">
        <is>
          <t>RELOJ SERPENTI SEDUTTORI</t>
        </is>
      </c>
      <c r="C1707" s="1" t="n"/>
      <c r="D1707" s="1" t="n"/>
      <c r="E1707" s="1" t="n"/>
      <c r="F1707" s="1" t="n"/>
      <c r="G1707" s="1" t="n"/>
      <c r="H1707" s="6" t="n">
        <v>1509.832763</v>
      </c>
      <c r="I1707" s="1" t="n"/>
      <c r="J1707" s="1" t="n"/>
      <c r="K1707" s="1" t="n"/>
      <c r="L1707" s="6" t="n">
        <v>1537.26822</v>
      </c>
      <c r="M1707" s="1" t="n"/>
      <c r="N1707" s="1" t="n"/>
    </row>
    <row r="1708">
      <c r="A1708" s="1" t="inlineStr">
        <is>
          <t>67535d35b8819</t>
        </is>
      </c>
      <c r="B1708" s="1" t="inlineStr">
        <is>
          <t>RELOJ SERPENTI SEDUTTORI</t>
        </is>
      </c>
      <c r="C1708" s="1" t="n"/>
      <c r="D1708" s="1" t="n"/>
      <c r="E1708" s="1" t="n"/>
      <c r="F1708" s="1" t="n"/>
      <c r="G1708" s="1" t="n"/>
      <c r="H1708" s="1" t="n"/>
      <c r="I1708" s="1" t="n"/>
      <c r="J1708" s="1" t="n"/>
      <c r="K1708" s="1" t="n"/>
      <c r="L1708" s="1" t="n"/>
      <c r="M1708" s="6" t="n">
        <v>1421.663314</v>
      </c>
      <c r="N1708" s="1" t="n"/>
    </row>
    <row r="1709">
      <c r="A1709" s="1" t="inlineStr">
        <is>
          <t>67572c78e34a0</t>
        </is>
      </c>
      <c r="B1709" s="1" t="inlineStr">
        <is>
          <t>BOLSO YSL CHERRY CHAROL</t>
        </is>
      </c>
      <c r="C1709" s="1" t="n"/>
      <c r="D1709" s="1" t="n"/>
      <c r="E1709" s="6" t="n">
        <v>1414.898474</v>
      </c>
      <c r="F1709" s="1" t="n"/>
      <c r="G1709" s="1" t="n"/>
      <c r="H1709" s="1" t="n"/>
      <c r="I1709" s="6" t="n">
        <v>1487.385086</v>
      </c>
      <c r="J1709" s="1" t="n"/>
      <c r="K1709" s="6" t="n">
        <v>1427.255094</v>
      </c>
      <c r="L1709" s="6" t="n">
        <v>1457.557474</v>
      </c>
      <c r="M1709" s="1" t="n"/>
      <c r="N1709" s="1" t="n"/>
    </row>
    <row r="1710">
      <c r="A1710" s="1" t="inlineStr">
        <is>
          <t>67572cbd4a7ca</t>
        </is>
      </c>
      <c r="B1710" s="1" t="inlineStr">
        <is>
          <t>BOLSO YSL CON CADENA BLACK</t>
        </is>
      </c>
      <c r="C1710" s="1" t="n"/>
      <c r="D1710" s="1" t="n"/>
      <c r="E1710" s="6" t="n">
        <v>1289.587432</v>
      </c>
      <c r="F1710" s="1" t="n"/>
      <c r="G1710" s="1" t="n"/>
      <c r="H1710" s="1" t="n"/>
      <c r="I1710" s="6" t="n">
        <v>1229.184215</v>
      </c>
      <c r="J1710" s="1" t="n"/>
      <c r="K1710" s="1" t="n"/>
      <c r="L1710" s="1" t="n"/>
      <c r="M1710" s="1" t="n"/>
      <c r="N1710" s="1" t="n"/>
    </row>
    <row r="1711">
      <c r="A1711" s="1" t="inlineStr">
        <is>
          <t>67572cbe60534</t>
        </is>
      </c>
      <c r="B1711" s="1" t="inlineStr">
        <is>
          <t>BOLSO YSL CON CADENA OFF WHITE</t>
        </is>
      </c>
      <c r="C1711" s="1" t="n"/>
      <c r="D1711" s="1" t="n"/>
      <c r="E1711" s="1" t="n"/>
      <c r="F1711" s="1" t="n"/>
      <c r="G1711" s="1" t="n"/>
      <c r="H1711" s="1" t="n"/>
      <c r="I1711" s="1" t="n"/>
      <c r="J1711" s="1" t="n"/>
      <c r="K1711" s="6" t="n">
        <v>1244.038386</v>
      </c>
      <c r="L1711" s="1" t="n"/>
      <c r="M1711" s="1" t="n"/>
      <c r="N1711" s="1" t="n"/>
    </row>
    <row r="1712">
      <c r="A1712" s="1" t="inlineStr">
        <is>
          <t>67762863713709</t>
        </is>
      </c>
      <c r="B1712" s="1" t="inlineStr">
        <is>
          <t>ANILLO LOVE ROSE GOLD ANCHO</t>
        </is>
      </c>
      <c r="C1712" s="1" t="n"/>
      <c r="D1712" s="1" t="n"/>
      <c r="E1712" s="1" t="n"/>
      <c r="F1712" s="6" t="n">
        <v>37.9088972</v>
      </c>
      <c r="G1712" s="1" t="n"/>
      <c r="H1712" s="1" t="n"/>
      <c r="I1712" s="1" t="n"/>
      <c r="J1712" s="6" t="n">
        <v>38.34701319</v>
      </c>
      <c r="K1712" s="1" t="n"/>
      <c r="L1712" s="1" t="n"/>
      <c r="M1712" s="1" t="n"/>
      <c r="N1712" s="1" t="n"/>
    </row>
    <row r="1713">
      <c r="A1713" s="1" t="inlineStr">
        <is>
          <t>677c26ae9f248</t>
        </is>
      </c>
      <c r="B1713" s="1" t="inlineStr">
        <is>
          <t>BOLSO LV BAGATELLE</t>
        </is>
      </c>
      <c r="C1713" s="1" t="n"/>
      <c r="D1713" s="1" t="n"/>
      <c r="E1713" s="6" t="n">
        <v>1205.483904</v>
      </c>
      <c r="F1713" s="1" t="n"/>
      <c r="G1713" s="1" t="n"/>
      <c r="H1713" s="1" t="n"/>
      <c r="I1713" s="1" t="n"/>
      <c r="J1713" s="1" t="n"/>
      <c r="K1713" s="6" t="n">
        <v>1162.905448</v>
      </c>
      <c r="L1713" s="1" t="n"/>
      <c r="M1713" s="1" t="n"/>
      <c r="N1713" s="1" t="n"/>
    </row>
    <row r="1714">
      <c r="A1714" s="1" t="inlineStr">
        <is>
          <t>677c26af628d5</t>
        </is>
      </c>
      <c r="B1714" s="1" t="inlineStr">
        <is>
          <t>BOLSO GC DIONYSUS CHERRY RED</t>
        </is>
      </c>
      <c r="C1714" s="1" t="n"/>
      <c r="D1714" s="1" t="n"/>
      <c r="E1714" s="6" t="n">
        <v>1289.605684</v>
      </c>
      <c r="F1714" s="1" t="n"/>
      <c r="G1714" s="1" t="n"/>
      <c r="H1714" s="1" t="n"/>
      <c r="I1714" s="1" t="n"/>
      <c r="J1714" s="1" t="n"/>
      <c r="K1714" s="6" t="n">
        <v>1514.481514</v>
      </c>
      <c r="L1714" s="1" t="n"/>
      <c r="M1714" s="1" t="n"/>
      <c r="N1714" s="1" t="n"/>
    </row>
    <row r="1715">
      <c r="A1715" s="1" t="inlineStr">
        <is>
          <t>677c26b31023a</t>
        </is>
      </c>
      <c r="B1715" s="1" t="inlineStr">
        <is>
          <t>BOLSO LW GREEN</t>
        </is>
      </c>
      <c r="C1715" s="1" t="n"/>
      <c r="D1715" s="6" t="n">
        <v>1913.611367</v>
      </c>
      <c r="E1715" s="6" t="n">
        <v>1965.136769</v>
      </c>
      <c r="F1715" s="1" t="n"/>
      <c r="G1715" s="1" t="n"/>
      <c r="H1715" s="6" t="n">
        <v>1967.469648</v>
      </c>
      <c r="I1715" s="6" t="n">
        <v>2001.209025</v>
      </c>
      <c r="J1715" s="1" t="n"/>
      <c r="K1715" s="1" t="n"/>
      <c r="L1715" s="6" t="n">
        <v>2014.079418</v>
      </c>
      <c r="M1715" s="1" t="n"/>
      <c r="N1715" s="1" t="n"/>
    </row>
    <row r="1716">
      <c r="A1716" s="1" t="inlineStr">
        <is>
          <t>677c26b37ee9a</t>
        </is>
      </c>
      <c r="B1716" s="1" t="inlineStr">
        <is>
          <t>RELOJ PP NAUTILUS ROSEGOLD</t>
        </is>
      </c>
      <c r="C1716" s="1" t="n"/>
      <c r="D1716" s="1" t="n"/>
      <c r="E1716" s="1" t="n"/>
      <c r="F1716" s="1" t="n"/>
      <c r="G1716" s="1" t="n"/>
      <c r="H1716" s="1" t="n"/>
      <c r="I1716" s="1" t="n"/>
      <c r="J1716" s="1" t="n"/>
      <c r="K1716" s="6" t="n">
        <v>1843.83204</v>
      </c>
      <c r="L1716" s="1" t="n"/>
      <c r="M1716" s="1" t="n"/>
      <c r="N1716" s="1" t="n"/>
    </row>
    <row r="1717">
      <c r="A1717" s="1" t="inlineStr">
        <is>
          <t>677c26b553b3f</t>
        </is>
      </c>
      <c r="B1717" s="1" t="inlineStr">
        <is>
          <t>RELOJ RX OYSTER PERPETUAL BLACK</t>
        </is>
      </c>
      <c r="C1717" s="1" t="n"/>
      <c r="D1717" s="6" t="n">
        <v>1054.949473</v>
      </c>
      <c r="E1717" s="1" t="n"/>
      <c r="F1717" s="1" t="n"/>
      <c r="G1717" s="1" t="n"/>
      <c r="H1717" s="1" t="n"/>
      <c r="I1717" s="1" t="n"/>
      <c r="J1717" s="1" t="n"/>
      <c r="K1717" s="1" t="n"/>
      <c r="L1717" s="1" t="n"/>
      <c r="M1717" s="1" t="n"/>
      <c r="N1717" s="1" t="n"/>
    </row>
    <row r="1718">
      <c r="A1718" s="1" t="inlineStr">
        <is>
          <t>677c26b553b3f-1</t>
        </is>
      </c>
      <c r="B1718" s="1" t="inlineStr">
        <is>
          <t>RELOJ RX OYSTER PERPETUAL BLACK</t>
        </is>
      </c>
      <c r="C1718" s="1" t="n"/>
      <c r="D1718" s="1" t="n"/>
      <c r="E1718" s="6" t="n">
        <v>1041.604591</v>
      </c>
      <c r="F1718" s="1" t="n"/>
      <c r="G1718" s="1" t="n"/>
      <c r="H1718" s="1" t="n"/>
      <c r="I1718" s="1" t="n"/>
      <c r="J1718" s="1" t="n"/>
      <c r="K1718" s="1" t="n"/>
      <c r="L1718" s="1" t="n"/>
      <c r="M1718" s="6" t="n">
        <v>1029.480331</v>
      </c>
      <c r="N1718" s="1" t="n"/>
    </row>
    <row r="1719">
      <c r="A1719" s="1" t="inlineStr">
        <is>
          <t>677c26b553b3f-2</t>
        </is>
      </c>
      <c r="B1719" s="1" t="inlineStr">
        <is>
          <t>RELOJ RX OYSTER PERPETUAL BLACK</t>
        </is>
      </c>
      <c r="C1719" s="1" t="n"/>
      <c r="D1719" s="1" t="n"/>
      <c r="E1719" s="1" t="n"/>
      <c r="F1719" s="1" t="n"/>
      <c r="G1719" s="1" t="n"/>
      <c r="H1719" s="1" t="n"/>
      <c r="I1719" s="1" t="n"/>
      <c r="J1719" s="1" t="n"/>
      <c r="K1719" s="1" t="n"/>
      <c r="L1719" s="1" t="n"/>
      <c r="M1719" s="6" t="n">
        <v>1029.480331</v>
      </c>
      <c r="N1719" s="1" t="n"/>
    </row>
    <row r="1720">
      <c r="A1720" s="1" t="inlineStr">
        <is>
          <t>677c26b6bfd93</t>
        </is>
      </c>
      <c r="B1720" s="1" t="inlineStr">
        <is>
          <t>ARETES CD SILVER</t>
        </is>
      </c>
      <c r="C1720" s="1" t="n"/>
      <c r="D1720" s="6" t="n">
        <v>171.2178591</v>
      </c>
      <c r="E1720" s="1" t="n"/>
      <c r="F1720" s="1" t="n"/>
      <c r="G1720" s="1" t="n"/>
      <c r="H1720" s="1" t="n"/>
      <c r="I1720" s="1" t="n"/>
      <c r="J1720" s="6" t="n">
        <v>188.0019106</v>
      </c>
      <c r="K1720" s="1" t="n"/>
      <c r="L1720" s="6" t="n">
        <v>185.5073148</v>
      </c>
      <c r="M1720" s="1" t="n"/>
      <c r="N1720" s="1" t="n"/>
    </row>
    <row r="1721">
      <c r="A1721" s="1" t="inlineStr">
        <is>
          <t>677c26b82bccf</t>
        </is>
      </c>
      <c r="B1721" s="1" t="inlineStr">
        <is>
          <t>ARETES TRÉBOL GOLD CON ZIRCONIA</t>
        </is>
      </c>
      <c r="C1721" s="1" t="n"/>
      <c r="D1721" s="6" t="n">
        <v>221.576053</v>
      </c>
      <c r="E1721" s="1" t="n"/>
      <c r="F1721" s="1" t="n"/>
      <c r="G1721" s="1" t="n"/>
      <c r="H1721" s="6" t="n">
        <v>233.9693635</v>
      </c>
      <c r="I1721" s="1" t="n"/>
      <c r="J1721" s="1" t="n"/>
      <c r="K1721" s="1" t="n"/>
      <c r="L1721" s="1" t="n"/>
      <c r="M1721" s="1" t="n"/>
      <c r="N1721" s="1" t="n"/>
    </row>
    <row r="1722">
      <c r="A1722" s="1" t="inlineStr">
        <is>
          <t>678a9af11a3e6</t>
        </is>
      </c>
      <c r="B1722" s="1" t="inlineStr">
        <is>
          <t>ARETES TRÉBOL SILVER CON ZIRCONIA</t>
        </is>
      </c>
      <c r="C1722" s="1" t="n"/>
      <c r="D1722" s="6" t="n">
        <v>221.576053</v>
      </c>
      <c r="E1722" s="1" t="n"/>
      <c r="F1722" s="1" t="n"/>
      <c r="G1722" s="1" t="n"/>
      <c r="H1722" s="1" t="n"/>
      <c r="I1722" s="1" t="n"/>
      <c r="J1722" s="1" t="n"/>
      <c r="K1722" s="6" t="n">
        <v>228.360815</v>
      </c>
      <c r="L1722" s="1" t="n"/>
      <c r="M1722" s="1" t="n"/>
      <c r="N1722" s="1" t="n"/>
    </row>
    <row r="1723">
      <c r="A1723" s="1" t="inlineStr">
        <is>
          <t>678a9af396518</t>
        </is>
      </c>
      <c r="B1723" s="1" t="inlineStr">
        <is>
          <t>ARETES FR SILVER</t>
        </is>
      </c>
      <c r="C1723" s="1" t="n"/>
      <c r="D1723" s="1" t="n"/>
      <c r="E1723" s="1" t="n"/>
      <c r="F1723" s="1" t="n"/>
      <c r="G1723" s="6" t="n">
        <v>106.2187689</v>
      </c>
      <c r="H1723" s="6" t="n">
        <v>106.002089</v>
      </c>
      <c r="I1723" s="1" t="n"/>
      <c r="J1723" s="1" t="n"/>
      <c r="K1723" s="1" t="n"/>
      <c r="L1723" s="6" t="n">
        <v>121.0952727</v>
      </c>
      <c r="M1723" s="1" t="n"/>
      <c r="N1723" s="6" t="n">
        <v>121.5837117</v>
      </c>
    </row>
    <row r="1724">
      <c r="A1724" s="1" t="inlineStr">
        <is>
          <t>679aa28b5f6b1</t>
        </is>
      </c>
      <c r="B1724" s="1" t="inlineStr">
        <is>
          <t>PULSERA P DIAMOND BLUE</t>
        </is>
      </c>
      <c r="C1724" s="1" t="n"/>
      <c r="D1724" s="1" t="n"/>
      <c r="E1724" s="1" t="n"/>
      <c r="F1724" s="1" t="n"/>
      <c r="G1724" s="1" t="n"/>
      <c r="H1724" s="6" t="n">
        <v>159.524566</v>
      </c>
      <c r="I1724" s="1" t="n"/>
      <c r="J1724" s="1" t="n"/>
      <c r="K1724" s="6" t="n">
        <v>155.7005557</v>
      </c>
      <c r="L1724" s="1" t="n"/>
      <c r="M1724" s="1" t="n"/>
      <c r="N1724" s="1" t="n"/>
    </row>
    <row r="1725">
      <c r="A1725" s="1" t="inlineStr">
        <is>
          <t>679be1f9f363c</t>
        </is>
      </c>
      <c r="B1725" s="1" t="inlineStr">
        <is>
          <t>RELOJ PP NAUTILUS SILVER BLUE</t>
        </is>
      </c>
      <c r="C1725" s="1" t="n"/>
      <c r="D1725" s="1" t="n"/>
      <c r="E1725" s="1" t="n"/>
      <c r="F1725" s="1" t="n"/>
      <c r="G1725" s="1" t="n"/>
      <c r="H1725" s="6" t="n">
        <v>1509.832763</v>
      </c>
      <c r="I1725" s="1" t="n"/>
      <c r="J1725" s="1" t="n"/>
      <c r="K1725" s="1" t="n"/>
      <c r="L1725" s="1" t="n"/>
      <c r="M1725" s="1" t="n"/>
      <c r="N1725" s="1" t="n"/>
    </row>
    <row r="1726">
      <c r="A1726" s="1" t="inlineStr">
        <is>
          <t>679be1fa82b97</t>
        </is>
      </c>
      <c r="B1726" s="1" t="inlineStr">
        <is>
          <t>RELOJ C SANTOS BLACK</t>
        </is>
      </c>
      <c r="C1726" s="1" t="n"/>
      <c r="D1726" s="6" t="n">
        <v>879.1245611000001</v>
      </c>
      <c r="E1726" s="6" t="n">
        <v>868.0038257</v>
      </c>
      <c r="F1726" s="1" t="n"/>
      <c r="G1726" s="1" t="n"/>
      <c r="H1726" s="6" t="n">
        <v>911.1059779</v>
      </c>
      <c r="I1726" s="1" t="n"/>
      <c r="J1726" s="1" t="n"/>
      <c r="K1726" s="6" t="n">
        <v>896.3072418</v>
      </c>
      <c r="L1726" s="6" t="n">
        <v>927.6618571</v>
      </c>
      <c r="M1726" s="1" t="n"/>
      <c r="N1726" s="1" t="n"/>
    </row>
    <row r="1727">
      <c r="A1727" s="1" t="inlineStr">
        <is>
          <t>679be1fb57d7e</t>
        </is>
      </c>
      <c r="B1727" s="1" t="inlineStr">
        <is>
          <t>RELOJ RX DAY DATE ROSEGOLD</t>
        </is>
      </c>
      <c r="C1727" s="1" t="n"/>
      <c r="D1727" s="6" t="n">
        <v>1205.656541</v>
      </c>
      <c r="E1727" s="1" t="n"/>
      <c r="F1727" s="1" t="n"/>
      <c r="G1727" s="1" t="n"/>
      <c r="H1727" s="1" t="n"/>
      <c r="I1727" s="1" t="n"/>
      <c r="J1727" s="1" t="n"/>
      <c r="K1727" s="1" t="n"/>
      <c r="L1727" s="1" t="n"/>
      <c r="M1727" s="1" t="n"/>
      <c r="N1727" s="1" t="n"/>
    </row>
    <row r="1728">
      <c r="A1728" s="1" t="inlineStr">
        <is>
          <t>679be1fb57d7e-1</t>
        </is>
      </c>
      <c r="B1728" s="1" t="inlineStr">
        <is>
          <t>RELOJ RX DAY DATE ROSEGOLD</t>
        </is>
      </c>
      <c r="C1728" s="1" t="n"/>
      <c r="D1728" s="1" t="n"/>
      <c r="E1728" s="1" t="n"/>
      <c r="F1728" s="1" t="n"/>
      <c r="G1728" s="1" t="n"/>
      <c r="H1728" s="6" t="n">
        <v>1249.51677</v>
      </c>
      <c r="I1728" s="1" t="n"/>
      <c r="J1728" s="1" t="n"/>
      <c r="K1728" s="1" t="n"/>
      <c r="L1728" s="1" t="n"/>
      <c r="M1728" s="1" t="n"/>
      <c r="N1728" s="1" t="n"/>
    </row>
    <row r="1729">
      <c r="A1729" s="1" t="inlineStr">
        <is>
          <t>679be962d942d</t>
        </is>
      </c>
      <c r="B1729" s="1" t="inlineStr">
        <is>
          <t>HOODIE C WHITE</t>
        </is>
      </c>
      <c r="C1729" s="1" t="n"/>
      <c r="D1729" s="1" t="n"/>
      <c r="E1729" s="1" t="n"/>
      <c r="F1729" s="1" t="n"/>
      <c r="G1729" s="1" t="n"/>
      <c r="H1729" s="1" t="n"/>
      <c r="I1729" s="1" t="n"/>
      <c r="J1729" s="1" t="n"/>
      <c r="K1729" s="6" t="n">
        <v>730.1964442</v>
      </c>
      <c r="L1729" s="1" t="n"/>
      <c r="M1729" s="1" t="n"/>
      <c r="N1729" s="1" t="n"/>
    </row>
    <row r="1730">
      <c r="A1730" s="1" t="inlineStr">
        <is>
          <t>679bf19779a29</t>
        </is>
      </c>
      <c r="B1730" s="1" t="inlineStr">
        <is>
          <t>CALCETÍN A BLACK</t>
        </is>
      </c>
      <c r="C1730" s="1" t="n"/>
      <c r="D1730" s="1" t="n"/>
      <c r="E1730" s="6" t="n">
        <v>124.0005465</v>
      </c>
      <c r="F1730" s="1" t="n"/>
      <c r="G1730" s="1" t="n"/>
      <c r="H1730" s="1" t="n"/>
      <c r="I1730" s="1" t="n"/>
      <c r="J1730" s="6" t="n">
        <v>128.9102481</v>
      </c>
      <c r="K1730" s="1" t="n"/>
      <c r="L1730" s="1" t="n"/>
      <c r="M1730" s="1" t="n"/>
      <c r="N1730" s="1" t="n"/>
    </row>
    <row r="1731">
      <c r="A1731" s="1" t="inlineStr">
        <is>
          <t>679bf1982d8ea</t>
        </is>
      </c>
      <c r="B1731" s="1" t="inlineStr">
        <is>
          <t>CALCETÍN A WHITE</t>
        </is>
      </c>
      <c r="C1731" s="1" t="n"/>
      <c r="D1731" s="6" t="n">
        <v>125.589223</v>
      </c>
      <c r="E1731" s="6" t="n">
        <v>124.0005465</v>
      </c>
      <c r="F1731" s="1" t="n"/>
      <c r="G1731" s="1" t="n"/>
      <c r="H1731" s="1" t="n"/>
      <c r="I1731" s="1" t="n"/>
      <c r="J1731" s="6" t="n">
        <v>128.9102481</v>
      </c>
      <c r="K1731" s="1" t="n"/>
      <c r="L1731" s="1" t="n"/>
      <c r="M1731" s="6" t="n">
        <v>122.5571823</v>
      </c>
      <c r="N1731" s="1" t="n"/>
    </row>
    <row r="1732">
      <c r="A1732" s="1" t="inlineStr">
        <is>
          <t>68089821024557</t>
        </is>
      </c>
      <c r="B1732" s="1" t="inlineStr">
        <is>
          <t>COLLAR T LOCK SILVER</t>
        </is>
      </c>
      <c r="C1732" s="1" t="n"/>
      <c r="D1732" s="1" t="n"/>
      <c r="E1732" s="1" t="n"/>
      <c r="F1732" s="1" t="n"/>
      <c r="G1732" s="1" t="n"/>
      <c r="H1732" s="1" t="n"/>
      <c r="I1732" s="1" t="n"/>
      <c r="J1732" s="1" t="n"/>
      <c r="K1732" s="1" t="n"/>
      <c r="L1732" s="6" t="n">
        <v>184.1910059</v>
      </c>
      <c r="M1732" s="1" t="n"/>
      <c r="N1732" s="1" t="n"/>
    </row>
    <row r="1733">
      <c r="A1733" s="1" t="inlineStr">
        <is>
          <t>68089821121165</t>
        </is>
      </c>
      <c r="B1733" s="1" t="inlineStr">
        <is>
          <t>COLLAR T FULL HEART RETURN</t>
        </is>
      </c>
      <c r="C1733" s="1" t="n"/>
      <c r="D1733" s="1" t="n"/>
      <c r="E1733" s="1" t="n"/>
      <c r="F1733" s="1" t="n"/>
      <c r="G1733" s="1" t="n"/>
      <c r="H1733" s="1" t="n"/>
      <c r="I1733" s="1" t="n"/>
      <c r="J1733" s="1" t="n"/>
      <c r="K1733" s="1" t="n"/>
      <c r="L1733" s="6" t="n">
        <v>125.9487906</v>
      </c>
      <c r="M1733" s="1" t="n"/>
      <c r="N1733" s="1" t="n"/>
    </row>
    <row r="1734">
      <c r="A1734" s="1" t="inlineStr">
        <is>
          <t>68089821250541</t>
        </is>
      </c>
      <c r="B1734" s="1" t="inlineStr">
        <is>
          <t>COLLAR T CON CIERRE DOBLE</t>
        </is>
      </c>
      <c r="C1734" s="1" t="n"/>
      <c r="D1734" s="1" t="n"/>
      <c r="E1734" s="1" t="n"/>
      <c r="F1734" s="1" t="n"/>
      <c r="G1734" s="1" t="n"/>
      <c r="H1734" s="1" t="n"/>
      <c r="I1734" s="1" t="n"/>
      <c r="J1734" s="1" t="n"/>
      <c r="K1734" s="1" t="n"/>
      <c r="L1734" s="6" t="n">
        <v>169.6304521</v>
      </c>
      <c r="M1734" s="1" t="n"/>
      <c r="N1734" s="1" t="n"/>
    </row>
    <row r="1735">
      <c r="A1735" s="1" t="inlineStr">
        <is>
          <t>68089821383309</t>
        </is>
      </c>
      <c r="B1735" s="1" t="inlineStr">
        <is>
          <t>PULSERA T BEAN GOLD ZIRCONIAS</t>
        </is>
      </c>
      <c r="C1735" s="1" t="n"/>
      <c r="D1735" s="1" t="n"/>
      <c r="E1735" s="1" t="n"/>
      <c r="F1735" s="1" t="n"/>
      <c r="G1735" s="1" t="n"/>
      <c r="H1735" s="1" t="n"/>
      <c r="I1735" s="1" t="n"/>
      <c r="J1735" s="1" t="n"/>
      <c r="K1735" s="1" t="n"/>
      <c r="L1735" s="6" t="n">
        <v>215.7388725</v>
      </c>
      <c r="M1735" s="1" t="n"/>
      <c r="N1735" s="1" t="n"/>
    </row>
    <row r="1736">
      <c r="A1736" s="1" t="inlineStr">
        <is>
          <t>68089821479917</t>
        </is>
      </c>
      <c r="B1736" s="1" t="inlineStr">
        <is>
          <t>PULSERA T BEAN SILVER ZIRCONIAS</t>
        </is>
      </c>
      <c r="C1736" s="1" t="n"/>
      <c r="D1736" s="1" t="n"/>
      <c r="E1736" s="1" t="n"/>
      <c r="F1736" s="1" t="n"/>
      <c r="G1736" s="1" t="n"/>
      <c r="H1736" s="1" t="n"/>
      <c r="I1736" s="1" t="n"/>
      <c r="J1736" s="1" t="n"/>
      <c r="K1736" s="1" t="n"/>
      <c r="L1736" s="6" t="n">
        <v>215.7388725</v>
      </c>
      <c r="M1736" s="1" t="n"/>
      <c r="N1736" s="1" t="n"/>
    </row>
    <row r="1737">
      <c r="A1737" s="1" t="inlineStr">
        <is>
          <t>68089821542061</t>
        </is>
      </c>
      <c r="B1737" s="1" t="inlineStr">
        <is>
          <t>COLLAR T SIXTEEN STONE SILVER BLUE</t>
        </is>
      </c>
      <c r="C1737" s="1" t="n"/>
      <c r="D1737" s="1" t="n"/>
      <c r="E1737" s="1" t="n"/>
      <c r="F1737" s="1" t="n"/>
      <c r="G1737" s="1" t="n"/>
      <c r="H1737" s="1" t="n"/>
      <c r="I1737" s="1" t="n"/>
      <c r="J1737" s="1" t="n"/>
      <c r="K1737" s="1" t="n"/>
      <c r="L1737" s="6" t="n">
        <v>198.7515597</v>
      </c>
      <c r="M1737" s="1" t="n"/>
      <c r="N1737" s="1" t="n"/>
    </row>
    <row r="1738">
      <c r="A1738" s="1" t="inlineStr">
        <is>
          <t>68089821636973</t>
        </is>
      </c>
      <c r="B1738" s="1" t="inlineStr">
        <is>
          <t>COLLAR T PALOMA PICASSO</t>
        </is>
      </c>
      <c r="C1738" s="1" t="n"/>
      <c r="D1738" s="1" t="n"/>
      <c r="E1738" s="1" t="n"/>
      <c r="F1738" s="1" t="n"/>
      <c r="G1738" s="1" t="n"/>
      <c r="H1738" s="1" t="n"/>
      <c r="I1738" s="1" t="n"/>
      <c r="J1738" s="1" t="n"/>
      <c r="K1738" s="1" t="n"/>
      <c r="L1738" s="6" t="n">
        <v>159.9234162</v>
      </c>
      <c r="M1738" s="1" t="n"/>
      <c r="N1738" s="1" t="n"/>
    </row>
    <row r="1739">
      <c r="A1739" s="1" t="inlineStr">
        <is>
          <t>68089821735277</t>
        </is>
      </c>
      <c r="B1739" s="1" t="inlineStr">
        <is>
          <t>COLLAR T TIPO LAZO OPEN HEART ROSE GOLD</t>
        </is>
      </c>
      <c r="C1739" s="1" t="n"/>
      <c r="D1739" s="1" t="n"/>
      <c r="E1739" s="1" t="n"/>
      <c r="F1739" s="1" t="n"/>
      <c r="G1739" s="1" t="n"/>
      <c r="H1739" s="1" t="n"/>
      <c r="I1739" s="1" t="n"/>
      <c r="J1739" s="1" t="n"/>
      <c r="K1739" s="1" t="n"/>
      <c r="L1739" s="6" t="n">
        <v>176.910729</v>
      </c>
      <c r="M1739" s="1" t="n"/>
      <c r="N1739" s="1" t="n"/>
    </row>
    <row r="1740">
      <c r="A1740" s="1" t="inlineStr">
        <is>
          <t>68089821833581</t>
        </is>
      </c>
      <c r="B1740" s="1" t="inlineStr">
        <is>
          <t>ARETES T LOCK ALL GOLD</t>
        </is>
      </c>
      <c r="C1740" s="1" t="n"/>
      <c r="D1740" s="1" t="n"/>
      <c r="E1740" s="1" t="n"/>
      <c r="F1740" s="1" t="n"/>
      <c r="G1740" s="1" t="n"/>
      <c r="H1740" s="1" t="n"/>
      <c r="I1740" s="1" t="n"/>
      <c r="J1740" s="1" t="n"/>
      <c r="K1740" s="1" t="n"/>
      <c r="L1740" s="6" t="n">
        <v>186.6177649</v>
      </c>
      <c r="M1740" s="1" t="n"/>
      <c r="N1740" s="1" t="n"/>
    </row>
    <row r="1741">
      <c r="A1741" s="1" t="inlineStr">
        <is>
          <t>68089821931885</t>
        </is>
      </c>
      <c r="B1741" s="1" t="inlineStr">
        <is>
          <t>ARRACADAS SIXTEEN STONE</t>
        </is>
      </c>
      <c r="C1741" s="1" t="n"/>
      <c r="D1741" s="1" t="n"/>
      <c r="E1741" s="1" t="n"/>
      <c r="F1741" s="1" t="n"/>
      <c r="G1741" s="1" t="n"/>
      <c r="H1741" s="1" t="n"/>
      <c r="I1741" s="1" t="n"/>
      <c r="J1741" s="1" t="n"/>
      <c r="K1741" s="1" t="n"/>
      <c r="L1741" s="6" t="n">
        <v>159.9234162</v>
      </c>
      <c r="M1741" s="1" t="n"/>
      <c r="N1741" s="1" t="n"/>
    </row>
    <row r="1742">
      <c r="A1742" s="1" t="inlineStr">
        <is>
          <t>68089822030189</t>
        </is>
      </c>
      <c r="B1742" s="1" t="inlineStr">
        <is>
          <t>ARETES T LOCK ROSE GOLD</t>
        </is>
      </c>
      <c r="C1742" s="1" t="n"/>
      <c r="D1742" s="1" t="n"/>
      <c r="E1742" s="1" t="n"/>
      <c r="F1742" s="1" t="n"/>
      <c r="G1742" s="1" t="n"/>
      <c r="H1742" s="1" t="n"/>
      <c r="I1742" s="1" t="n"/>
      <c r="J1742" s="1" t="n"/>
      <c r="K1742" s="1" t="n"/>
      <c r="L1742" s="6" t="n">
        <v>186.6177649</v>
      </c>
      <c r="M1742" s="1" t="n"/>
      <c r="N1742" s="1" t="n"/>
    </row>
    <row r="1743">
      <c r="A1743" s="1" t="inlineStr">
        <is>
          <t>68089822125101</t>
        </is>
      </c>
      <c r="B1743" s="1" t="inlineStr">
        <is>
          <t>ARETES T LOCK ROSE GOLD HALF ZIRCONIAS</t>
        </is>
      </c>
      <c r="C1743" s="1" t="n"/>
      <c r="D1743" s="1" t="n"/>
      <c r="E1743" s="1" t="n"/>
      <c r="F1743" s="1" t="n"/>
      <c r="G1743" s="1" t="n"/>
      <c r="H1743" s="1" t="n"/>
      <c r="I1743" s="1" t="n"/>
      <c r="J1743" s="1" t="n"/>
      <c r="K1743" s="1" t="n"/>
      <c r="L1743" s="6" t="n">
        <v>198.7515597</v>
      </c>
      <c r="M1743" s="1" t="n"/>
      <c r="N1743" s="1" t="n"/>
    </row>
    <row r="1744">
      <c r="A1744" s="1" t="inlineStr">
        <is>
          <t>68089822295725</t>
        </is>
      </c>
      <c r="B1744" s="1" t="inlineStr">
        <is>
          <t>ARETES T LOCK SILVER</t>
        </is>
      </c>
      <c r="C1744" s="1" t="n"/>
      <c r="D1744" s="1" t="n"/>
      <c r="E1744" s="1" t="n"/>
      <c r="F1744" s="1" t="n"/>
      <c r="G1744" s="1" t="n"/>
      <c r="H1744" s="1" t="n"/>
      <c r="I1744" s="1" t="n"/>
      <c r="J1744" s="1" t="n"/>
      <c r="K1744" s="1" t="n"/>
      <c r="L1744" s="6" t="n">
        <v>186.6177649</v>
      </c>
      <c r="M1744" s="1" t="n"/>
      <c r="N1744" s="1" t="n"/>
    </row>
    <row r="1745">
      <c r="A1745" s="1" t="inlineStr">
        <is>
          <t>68089822361261</t>
        </is>
      </c>
      <c r="B1745" s="1" t="inlineStr">
        <is>
          <t>ARETES T LOCK SILVER HALF ZIRCONIAS</t>
        </is>
      </c>
      <c r="C1745" s="1" t="n"/>
      <c r="D1745" s="1" t="n"/>
      <c r="E1745" s="1" t="n"/>
      <c r="F1745" s="1" t="n"/>
      <c r="G1745" s="1" t="n"/>
      <c r="H1745" s="1" t="n"/>
      <c r="I1745" s="1" t="n"/>
      <c r="J1745" s="1" t="n"/>
      <c r="K1745" s="1" t="n"/>
      <c r="L1745" s="6" t="n">
        <v>198.7515597</v>
      </c>
      <c r="M1745" s="1" t="n"/>
      <c r="N1745" s="1" t="n"/>
    </row>
    <row r="1746">
      <c r="A1746" s="1" t="inlineStr">
        <is>
          <t>68089822457869</t>
        </is>
      </c>
      <c r="B1746" s="1" t="inlineStr">
        <is>
          <t>ARETES T LOCK GOLD HALF ZIRCONIAS</t>
        </is>
      </c>
      <c r="C1746" s="1" t="n"/>
      <c r="D1746" s="1" t="n"/>
      <c r="E1746" s="1" t="n"/>
      <c r="F1746" s="1" t="n"/>
      <c r="G1746" s="1" t="n"/>
      <c r="H1746" s="1" t="n"/>
      <c r="I1746" s="1" t="n"/>
      <c r="J1746" s="1" t="n"/>
      <c r="K1746" s="1" t="n"/>
      <c r="L1746" s="6" t="n">
        <v>198.7515597</v>
      </c>
      <c r="M1746" s="1" t="n"/>
      <c r="N1746" s="1" t="n"/>
    </row>
    <row r="1747">
      <c r="A1747" s="1" t="inlineStr">
        <is>
          <t>68089822523405</t>
        </is>
      </c>
      <c r="B1747" s="1" t="inlineStr">
        <is>
          <t>ARETES T BEAN SILVER ZIRCONIAS</t>
        </is>
      </c>
      <c r="C1747" s="1" t="n"/>
      <c r="D1747" s="1" t="n"/>
      <c r="E1747" s="1" t="n"/>
      <c r="F1747" s="1" t="n"/>
      <c r="G1747" s="1" t="n"/>
      <c r="H1747" s="1" t="n"/>
      <c r="I1747" s="1" t="n"/>
      <c r="J1747" s="1" t="n"/>
      <c r="K1747" s="1" t="n"/>
      <c r="L1747" s="6" t="n">
        <v>193.8980418</v>
      </c>
      <c r="M1747" s="1" t="n"/>
      <c r="N1747" s="1" t="n"/>
    </row>
    <row r="1748">
      <c r="A1748" s="1" t="inlineStr">
        <is>
          <t>68089822656173</t>
        </is>
      </c>
      <c r="B1748" s="1" t="inlineStr">
        <is>
          <t>BRAZALETE T 1837</t>
        </is>
      </c>
      <c r="C1748" s="1" t="n"/>
      <c r="D1748" s="1" t="n"/>
      <c r="E1748" s="1" t="n"/>
      <c r="F1748" s="1" t="n"/>
      <c r="G1748" s="1" t="n"/>
      <c r="H1748" s="1" t="n"/>
      <c r="I1748" s="1" t="n"/>
      <c r="J1748" s="1" t="n"/>
      <c r="K1748" s="1" t="n"/>
      <c r="L1748" s="6" t="n">
        <v>193.8980418</v>
      </c>
      <c r="M1748" s="1" t="n"/>
      <c r="N1748" s="1" t="n"/>
    </row>
    <row r="1749">
      <c r="A1749" s="1" t="inlineStr">
        <is>
          <t>68089822787245</t>
        </is>
      </c>
      <c r="B1749" s="1" t="inlineStr">
        <is>
          <t>BRAZALETE T ENTRELAZADOS</t>
        </is>
      </c>
      <c r="C1749" s="1" t="n"/>
      <c r="D1749" s="1" t="n"/>
      <c r="E1749" s="1" t="n"/>
      <c r="F1749" s="1" t="n"/>
      <c r="G1749" s="1" t="n"/>
      <c r="H1749" s="1" t="n"/>
      <c r="I1749" s="1" t="n"/>
      <c r="J1749" s="1" t="n"/>
      <c r="K1749" s="1" t="n"/>
      <c r="L1749" s="6" t="n">
        <v>193.8980418</v>
      </c>
      <c r="M1749" s="1" t="n"/>
      <c r="N1749" s="1" t="n"/>
    </row>
    <row r="1750">
      <c r="A1750" s="1" t="inlineStr">
        <is>
          <t>68089822818317</t>
        </is>
      </c>
      <c r="B1750" s="1" t="inlineStr">
        <is>
          <t>PULSERA T LOCK SILVER ALL ZIRCONIAS</t>
        </is>
      </c>
      <c r="C1750" s="1" t="n"/>
      <c r="D1750" s="1" t="n"/>
      <c r="E1750" s="1" t="n"/>
      <c r="F1750" s="1" t="n"/>
      <c r="G1750" s="1" t="n"/>
      <c r="H1750" s="1" t="n"/>
      <c r="I1750" s="1" t="n"/>
      <c r="J1750" s="1" t="n"/>
      <c r="K1750" s="1" t="n"/>
      <c r="L1750" s="6" t="n">
        <v>349.2106159</v>
      </c>
      <c r="M1750" s="1" t="n"/>
      <c r="N1750" s="1" t="n"/>
    </row>
    <row r="1751">
      <c r="A1751" s="1" t="inlineStr">
        <is>
          <t>68089822914925</t>
        </is>
      </c>
      <c r="B1751" s="1" t="inlineStr">
        <is>
          <t>BRAZALETE T PERLAS TITAN</t>
        </is>
      </c>
      <c r="C1751" s="1" t="n"/>
      <c r="D1751" s="1" t="n"/>
      <c r="E1751" s="1" t="n"/>
      <c r="F1751" s="1" t="n"/>
      <c r="G1751" s="1" t="n"/>
      <c r="H1751" s="1" t="n"/>
      <c r="I1751" s="1" t="n"/>
      <c r="J1751" s="1" t="n"/>
      <c r="K1751" s="1" t="n"/>
      <c r="L1751" s="6" t="n">
        <v>208.4585956</v>
      </c>
      <c r="M1751" s="1" t="n"/>
      <c r="N1751" s="1" t="n"/>
    </row>
    <row r="1752">
      <c r="A1752" s="1" t="inlineStr">
        <is>
          <t>68089823011533</t>
        </is>
      </c>
      <c r="B1752" s="1" t="inlineStr">
        <is>
          <t>PULSERA T FULL HEART</t>
        </is>
      </c>
      <c r="C1752" s="1" t="n"/>
      <c r="D1752" s="1" t="n"/>
      <c r="E1752" s="1" t="n"/>
      <c r="F1752" s="1" t="n"/>
      <c r="G1752" s="1" t="n"/>
      <c r="H1752" s="1" t="n"/>
      <c r="I1752" s="1" t="n"/>
      <c r="J1752" s="1" t="n"/>
      <c r="K1752" s="1" t="n"/>
      <c r="L1752" s="6" t="n">
        <v>184.1910059</v>
      </c>
      <c r="M1752" s="1" t="n"/>
      <c r="N1752" s="1" t="n"/>
    </row>
    <row r="1753">
      <c r="A1753" s="1" t="inlineStr">
        <is>
          <t>68089823108141</t>
        </is>
      </c>
      <c r="B1753" s="1" t="inlineStr">
        <is>
          <t>PULSERA SMILE DE TELA RED</t>
        </is>
      </c>
      <c r="C1753" s="1" t="n"/>
      <c r="D1753" s="1" t="n"/>
      <c r="E1753" s="1" t="n"/>
      <c r="F1753" s="1" t="n"/>
      <c r="G1753" s="1" t="n"/>
      <c r="H1753" s="1" t="n"/>
      <c r="I1753" s="1" t="n"/>
      <c r="J1753" s="1" t="n"/>
      <c r="K1753" s="1" t="n"/>
      <c r="L1753" s="6" t="n">
        <v>162.3501752</v>
      </c>
      <c r="M1753" s="1" t="n"/>
      <c r="N1753" s="1" t="n"/>
    </row>
    <row r="1754">
      <c r="A1754" s="1" t="inlineStr">
        <is>
          <t>68089823204749</t>
        </is>
      </c>
      <c r="B1754" s="1" t="inlineStr">
        <is>
          <t>PULSERA SMILE DE TELA BABY BLUE</t>
        </is>
      </c>
      <c r="C1754" s="1" t="n"/>
      <c r="D1754" s="1" t="n"/>
      <c r="E1754" s="1" t="n"/>
      <c r="F1754" s="1" t="n"/>
      <c r="G1754" s="1" t="n"/>
      <c r="H1754" s="1" t="n"/>
      <c r="I1754" s="1" t="n"/>
      <c r="J1754" s="1" t="n"/>
      <c r="K1754" s="1" t="n"/>
      <c r="L1754" s="6" t="n">
        <v>162.3501752</v>
      </c>
      <c r="M1754" s="1" t="n"/>
      <c r="N1754" s="1" t="n"/>
    </row>
    <row r="1755">
      <c r="A1755" s="1" t="inlineStr">
        <is>
          <t>68089823313165</t>
        </is>
      </c>
      <c r="B1755" s="1" t="inlineStr">
        <is>
          <t>PULSERA T KNOT DELGADA SILVER ALL ZIRCONIAS</t>
        </is>
      </c>
      <c r="C1755" s="1" t="n"/>
      <c r="D1755" s="1" t="n"/>
      <c r="E1755" s="1" t="n"/>
      <c r="F1755" s="1" t="n"/>
      <c r="G1755" s="1" t="n"/>
      <c r="H1755" s="1" t="n"/>
      <c r="I1755" s="1" t="n"/>
      <c r="J1755" s="1" t="n"/>
      <c r="K1755" s="1" t="n"/>
      <c r="L1755" s="6" t="n">
        <v>193.8980418</v>
      </c>
      <c r="M1755" s="1" t="n"/>
      <c r="N1755" s="1" t="n"/>
    </row>
    <row r="1756">
      <c r="A1756" s="1" t="inlineStr">
        <is>
          <t>68089823403053</t>
        </is>
      </c>
      <c r="B1756" s="1" t="inlineStr">
        <is>
          <t>PULSERA T KNOT DELGADA SILVER ZIRCONIAS</t>
        </is>
      </c>
      <c r="C1756" s="1" t="n"/>
      <c r="D1756" s="1" t="n"/>
      <c r="E1756" s="1" t="n"/>
      <c r="F1756" s="1" t="n"/>
      <c r="G1756" s="1" t="n"/>
      <c r="H1756" s="1" t="n"/>
      <c r="I1756" s="1" t="n"/>
      <c r="J1756" s="1" t="n"/>
      <c r="K1756" s="1" t="n"/>
      <c r="L1756" s="6" t="n">
        <v>181.7642469</v>
      </c>
      <c r="M1756" s="1" t="n"/>
      <c r="N1756" s="1" t="n"/>
    </row>
    <row r="1757">
      <c r="A1757" s="1" t="inlineStr">
        <is>
          <t>68339221065441</t>
        </is>
      </c>
      <c r="B1757" s="1" t="inlineStr">
        <is>
          <t>SANDALIAS H BLUE</t>
        </is>
      </c>
      <c r="C1757" s="1" t="n"/>
      <c r="D1757" s="1" t="n"/>
      <c r="E1757" s="1" t="n"/>
      <c r="F1757" s="1" t="n"/>
      <c r="G1757" s="1" t="n"/>
      <c r="H1757" s="1" t="n"/>
      <c r="I1757" s="6" t="n">
        <v>811.300956</v>
      </c>
      <c r="J1757" s="1" t="n"/>
      <c r="K1757" s="1" t="n"/>
      <c r="L1757" s="6" t="n">
        <v>795.0313493</v>
      </c>
      <c r="M1757" s="1" t="n"/>
      <c r="N1757" s="1" t="n"/>
    </row>
    <row r="1758">
      <c r="A1758" s="1" t="inlineStr">
        <is>
          <t>68374516907020</t>
        </is>
      </c>
      <c r="B1758" s="1" t="inlineStr">
        <is>
          <t>BOLSO C CLAUDE BLACK</t>
        </is>
      </c>
      <c r="C1758" s="1" t="n"/>
      <c r="D1758" s="6" t="n">
        <v>1306.127919</v>
      </c>
      <c r="E1758" s="1" t="n"/>
      <c r="F1758" s="1" t="n"/>
      <c r="G1758" s="1" t="n"/>
      <c r="H1758" s="6" t="n">
        <v>1223.021673</v>
      </c>
      <c r="I1758" s="1" t="n"/>
      <c r="J1758" s="1" t="n"/>
      <c r="K1758" s="1" t="n"/>
      <c r="L1758" s="6" t="n">
        <v>1272.050159</v>
      </c>
      <c r="M1758" s="1" t="n"/>
      <c r="N1758" s="1" t="n"/>
    </row>
    <row r="1759">
      <c r="A1759" s="1" t="inlineStr">
        <is>
          <t>68431126327692</t>
        </is>
      </c>
      <c r="B1759" s="1" t="inlineStr">
        <is>
          <t>ARETES PERLEÉ GOLD</t>
        </is>
      </c>
      <c r="C1759" s="1" t="n"/>
      <c r="D1759" s="1" t="n"/>
      <c r="E1759" s="1" t="n"/>
      <c r="F1759" s="1" t="n"/>
      <c r="G1759" s="1" t="n"/>
      <c r="H1759" s="1" t="n"/>
      <c r="I1759" s="1" t="n"/>
      <c r="J1759" s="6" t="n">
        <v>252.7841462</v>
      </c>
      <c r="K1759" s="1" t="n"/>
      <c r="L1759" s="6" t="n">
        <v>236.3410285</v>
      </c>
      <c r="M1759" s="1" t="n"/>
      <c r="N1759" s="1" t="n"/>
    </row>
    <row r="1760">
      <c r="A1760" s="1" t="inlineStr">
        <is>
          <t>68431129697036</t>
        </is>
      </c>
      <c r="B1760" s="1" t="inlineStr">
        <is>
          <t>ARETES PERLEÉ SILVER</t>
        </is>
      </c>
      <c r="C1760" s="1" t="n"/>
      <c r="D1760" s="1" t="n"/>
      <c r="E1760" s="1" t="n"/>
      <c r="F1760" s="1" t="n"/>
      <c r="G1760" s="1" t="n"/>
      <c r="H1760" s="1" t="n"/>
      <c r="I1760" s="1" t="n"/>
      <c r="J1760" s="1" t="n"/>
      <c r="K1760" s="1" t="n"/>
      <c r="L1760" s="1" t="n"/>
      <c r="M1760" s="1" t="n"/>
      <c r="N1760" s="6" t="n">
        <v>233.6648888</v>
      </c>
    </row>
    <row r="1761">
      <c r="A1761" s="1" t="inlineStr">
        <is>
          <t>68431131886732</t>
        </is>
      </c>
      <c r="B1761" s="1" t="inlineStr">
        <is>
          <t>ARETES PERLEÉ ROSEGOLD</t>
        </is>
      </c>
      <c r="C1761" s="1" t="n"/>
      <c r="D1761" s="1" t="n"/>
      <c r="E1761" s="1" t="n"/>
      <c r="F1761" s="1" t="n"/>
      <c r="G1761" s="1" t="n"/>
      <c r="H1761" s="1" t="n"/>
      <c r="I1761" s="1" t="n"/>
      <c r="J1761" s="1" t="n"/>
      <c r="K1761" s="1" t="n"/>
      <c r="L1761" s="6" t="n">
        <v>242.4332212</v>
      </c>
      <c r="M1761" s="1" t="n"/>
      <c r="N1761" s="1" t="n"/>
    </row>
    <row r="1762">
      <c r="A1762" s="1" t="inlineStr">
        <is>
          <t>68431135029516</t>
        </is>
      </c>
      <c r="B1762" s="1" t="inlineStr">
        <is>
          <t>ARETES GC COLGANTES PERLA</t>
        </is>
      </c>
      <c r="C1762" s="1" t="n"/>
      <c r="D1762" s="6" t="n">
        <v>104.5526115</v>
      </c>
      <c r="E1762" s="1" t="n"/>
      <c r="F1762" s="1" t="n"/>
      <c r="G1762" s="1" t="n"/>
      <c r="H1762" s="1" t="n"/>
      <c r="I1762" s="1" t="n"/>
      <c r="J1762" s="1" t="n"/>
      <c r="K1762" s="1" t="n"/>
      <c r="L1762" s="1" t="n"/>
      <c r="M1762" s="1" t="n"/>
      <c r="N1762" s="1" t="n"/>
    </row>
    <row r="1763">
      <c r="A1763" s="1" t="inlineStr">
        <is>
          <t>68802901471244</t>
        </is>
      </c>
      <c r="B1763" s="1" t="inlineStr">
        <is>
          <t>BOLSO LV MESSENGER</t>
        </is>
      </c>
      <c r="C1763" s="1" t="n"/>
      <c r="D1763" s="6" t="n">
        <v>1205.656541</v>
      </c>
      <c r="E1763" s="1" t="n"/>
      <c r="F1763" s="1" t="n"/>
      <c r="G1763" s="1" t="n"/>
      <c r="H1763" s="6" t="n">
        <v>1249.51677</v>
      </c>
      <c r="I1763" s="1" t="n"/>
      <c r="J1763" s="6" t="n">
        <v>1261.294835</v>
      </c>
      <c r="K1763" s="1" t="n"/>
      <c r="L1763" s="1" t="n"/>
      <c r="M1763" s="1" t="n"/>
      <c r="N1763" s="1" t="n"/>
    </row>
    <row r="1764">
      <c r="A1764" s="1" t="inlineStr">
        <is>
          <t>68802903720716</t>
        </is>
      </c>
      <c r="B1764" s="1" t="inlineStr">
        <is>
          <t>BOLSO LV HAMAC</t>
        </is>
      </c>
      <c r="C1764" s="1" t="n"/>
      <c r="D1764" s="6" t="n">
        <v>1130.303007</v>
      </c>
      <c r="E1764" s="1" t="n"/>
      <c r="F1764" s="1" t="n"/>
      <c r="G1764" s="1" t="n"/>
      <c r="H1764" s="6" t="n">
        <v>1171.421972</v>
      </c>
      <c r="I1764" s="1" t="n"/>
      <c r="J1764" s="1" t="n"/>
      <c r="K1764" s="1" t="n"/>
      <c r="L1764" s="1" t="n"/>
      <c r="M1764" s="1" t="n"/>
      <c r="N1764" s="1" t="n"/>
    </row>
    <row r="1765">
      <c r="A1765" s="1" t="inlineStr">
        <is>
          <t>68eee447fb3d</t>
        </is>
      </c>
      <c r="B1765" s="1" t="inlineStr">
        <is>
          <t>ARETES DE ESLABONES GOLD MZ</t>
        </is>
      </c>
      <c r="C1765" s="1" t="n"/>
      <c r="D1765" s="1" t="n"/>
      <c r="E1765" s="1" t="n"/>
      <c r="F1765" s="1" t="n"/>
      <c r="G1765" s="6" t="n">
        <v>165.3606224</v>
      </c>
      <c r="H1765" s="1" t="n"/>
      <c r="I1765" s="1" t="n"/>
      <c r="J1765" s="1" t="n"/>
      <c r="K1765" s="1" t="n"/>
      <c r="L1765" s="1" t="n"/>
      <c r="M1765" s="1" t="n"/>
      <c r="N1765" s="1" t="n"/>
    </row>
    <row r="1766">
      <c r="A1766" s="1" t="inlineStr">
        <is>
          <t>69428801043277</t>
        </is>
      </c>
      <c r="B1766" s="1" t="inlineStr">
        <is>
          <t>TRAJE DE BAÑO F</t>
        </is>
      </c>
      <c r="C1766" s="1" t="n"/>
      <c r="D1766" s="1" t="n"/>
      <c r="E1766" s="1" t="n"/>
      <c r="F1766" s="1" t="n"/>
      <c r="G1766" s="1" t="n"/>
      <c r="H1766" s="1" t="n"/>
      <c r="I1766" s="1" t="n"/>
      <c r="J1766" s="6" t="n">
        <v>656.9243931</v>
      </c>
      <c r="K1766" s="1" t="n"/>
      <c r="L1766" s="6" t="n">
        <v>662.6156122</v>
      </c>
      <c r="M1766" s="1" t="n"/>
      <c r="N1766" s="1" t="n"/>
    </row>
    <row r="1767">
      <c r="A1767" s="1" t="inlineStr">
        <is>
          <t>69521938776076</t>
        </is>
      </c>
      <c r="B1767" s="1" t="inlineStr">
        <is>
          <t>BOLSO CD CARO</t>
        </is>
      </c>
      <c r="C1767" s="1" t="n"/>
      <c r="D1767" s="1" t="n"/>
      <c r="E1767" s="1" t="n"/>
      <c r="F1767" s="1" t="n"/>
      <c r="G1767" s="1" t="n"/>
      <c r="H1767" s="1" t="n"/>
      <c r="I1767" s="1" t="n"/>
      <c r="J1767" s="6" t="n">
        <v>1509.711735</v>
      </c>
      <c r="K1767" s="1" t="n"/>
      <c r="L1767" s="1" t="n"/>
      <c r="M1767" s="1" t="n"/>
      <c r="N1767" s="1" t="n"/>
    </row>
    <row r="1768">
      <c r="A1768" s="1" t="inlineStr">
        <is>
          <t>69612281066221</t>
        </is>
      </c>
      <c r="B1768" s="1" t="inlineStr">
        <is>
          <t>ARETES CD GOLD WHITE CON ZIRCONIA</t>
        </is>
      </c>
      <c r="C1768" s="1" t="n"/>
      <c r="D1768" s="1" t="n"/>
      <c r="E1768" s="6" t="n">
        <v>212.615424</v>
      </c>
      <c r="F1768" s="1" t="n"/>
      <c r="G1768" s="1" t="n"/>
      <c r="H1768" s="1" t="n"/>
      <c r="I1768" s="1" t="n"/>
      <c r="J1768" s="6" t="n">
        <v>236.4927815</v>
      </c>
      <c r="K1768" s="1" t="n"/>
      <c r="L1768" s="6" t="n">
        <v>238.5416204</v>
      </c>
      <c r="M1768" s="1" t="n"/>
      <c r="N1768" s="1" t="n"/>
    </row>
    <row r="1769">
      <c r="A1769" s="1" t="inlineStr">
        <is>
          <t>69645921049005</t>
        </is>
      </c>
      <c r="B1769" s="1" t="inlineStr">
        <is>
          <t>PULSERA YSL GOLD</t>
        </is>
      </c>
      <c r="C1769" s="1" t="n"/>
      <c r="D1769" s="6" t="n">
        <v>69.62412216</v>
      </c>
      <c r="E1769" s="1" t="n"/>
      <c r="F1769" s="1" t="n"/>
      <c r="G1769" s="1" t="n"/>
      <c r="H1769" s="1" t="n"/>
      <c r="I1769" s="1" t="n"/>
      <c r="J1769" s="1" t="n"/>
      <c r="K1769" s="1" t="n"/>
      <c r="L1769" s="1" t="n"/>
      <c r="M1769" s="1" t="n"/>
      <c r="N1769" s="6" t="n">
        <v>145.949185</v>
      </c>
    </row>
    <row r="1770">
      <c r="A1770" s="1" t="inlineStr">
        <is>
          <t>69943351015917</t>
        </is>
      </c>
      <c r="B1770" s="1" t="inlineStr">
        <is>
          <t>GORRA A BROWN</t>
        </is>
      </c>
      <c r="C1770" s="1" t="n"/>
      <c r="D1770" s="1" t="n"/>
      <c r="E1770" s="6" t="n">
        <v>236.23936</v>
      </c>
      <c r="F1770" s="1" t="n"/>
      <c r="G1770" s="1" t="n"/>
      <c r="H1770" s="6" t="n">
        <v>260.3159937</v>
      </c>
      <c r="I1770" s="1" t="n"/>
      <c r="J1770" s="1" t="n"/>
      <c r="K1770" s="6" t="n">
        <v>256.0877834</v>
      </c>
      <c r="L1770" s="6" t="n">
        <v>265.0462449</v>
      </c>
      <c r="M1770" s="1" t="n"/>
      <c r="N1770" s="1" t="n"/>
    </row>
    <row r="1771">
      <c r="A1771" s="1" t="inlineStr">
        <is>
          <t>70693391064173</t>
        </is>
      </c>
      <c r="B1771" s="1" t="inlineStr">
        <is>
          <t>TRAJE DE BAÑO COMPLETO DG</t>
        </is>
      </c>
      <c r="C1771" s="1" t="n"/>
      <c r="D1771" s="1" t="n"/>
      <c r="E1771" s="1" t="n"/>
      <c r="F1771" s="1" t="n"/>
      <c r="G1771" s="1" t="n"/>
      <c r="H1771" s="1" t="n"/>
      <c r="I1771" s="1" t="n"/>
      <c r="J1771" s="6" t="n">
        <v>656.9243931</v>
      </c>
      <c r="K1771" s="1" t="n"/>
      <c r="L1771" s="6" t="n">
        <v>662.6156122</v>
      </c>
      <c r="M1771" s="1" t="n"/>
      <c r="N1771" s="1" t="n"/>
    </row>
    <row r="1772">
      <c r="A1772" s="1" t="inlineStr">
        <is>
          <t>70937181082701</t>
        </is>
      </c>
      <c r="B1772" s="1" t="inlineStr">
        <is>
          <t>TRAJE DE BAÑO GC ASIMETRICO</t>
        </is>
      </c>
      <c r="C1772" s="1" t="n"/>
      <c r="D1772" s="1" t="n"/>
      <c r="E1772" s="1" t="n"/>
      <c r="F1772" s="1" t="n"/>
      <c r="G1772" s="1" t="n"/>
      <c r="H1772" s="1" t="n"/>
      <c r="I1772" s="6" t="n">
        <v>467.6244295</v>
      </c>
      <c r="J1772" s="1" t="n"/>
      <c r="K1772" s="1" t="n"/>
      <c r="L1772" s="1" t="n"/>
      <c r="M1772" s="1" t="n"/>
      <c r="N1772" s="1" t="n"/>
    </row>
    <row r="1773">
      <c r="A1773" s="1" t="inlineStr">
        <is>
          <t>70975141082189</t>
        </is>
      </c>
      <c r="B1773" s="1" t="inlineStr">
        <is>
          <t>PULSERA LOVE UNLIMITED SILVER</t>
        </is>
      </c>
      <c r="C1773" s="1" t="n"/>
      <c r="D1773" s="1" t="n"/>
      <c r="E1773" s="1" t="n"/>
      <c r="F1773" s="1" t="n"/>
      <c r="G1773" s="6" t="n">
        <v>313.7574002</v>
      </c>
      <c r="H1773" s="1" t="n"/>
      <c r="I1773" s="1" t="n"/>
      <c r="J1773" s="6" t="n">
        <v>426.0779243</v>
      </c>
      <c r="K1773" s="1" t="n"/>
      <c r="L1773" s="6" t="n">
        <v>316.5595317</v>
      </c>
      <c r="M1773" s="1" t="n"/>
      <c r="N1773" s="1" t="n"/>
    </row>
    <row r="1774">
      <c r="A1774" s="1" t="inlineStr">
        <is>
          <t>70975151114957</t>
        </is>
      </c>
      <c r="B1774" s="1" t="inlineStr">
        <is>
          <t>PULSERA LOVE UNLIMITED SILVER</t>
        </is>
      </c>
      <c r="C1774" s="1" t="n"/>
      <c r="D1774" s="1" t="n"/>
      <c r="E1774" s="1" t="n"/>
      <c r="F1774" s="1" t="n"/>
      <c r="G1774" s="6" t="n">
        <v>313.7574002</v>
      </c>
      <c r="H1774" s="1" t="n"/>
      <c r="I1774" s="1" t="n"/>
      <c r="J1774" s="6" t="n">
        <v>426.0779243</v>
      </c>
      <c r="K1774" s="1" t="n"/>
      <c r="L1774" s="1" t="n"/>
      <c r="M1774" s="6" t="n">
        <v>315.2190969</v>
      </c>
      <c r="N1774" s="1" t="n"/>
    </row>
    <row r="1775">
      <c r="A1775" s="1" t="inlineStr">
        <is>
          <t>70975151247725</t>
        </is>
      </c>
      <c r="B1775" s="1" t="inlineStr">
        <is>
          <t>PULSERA LOVE UNLIMITED SILVER</t>
        </is>
      </c>
      <c r="C1775" s="1" t="n"/>
      <c r="D1775" s="1" t="n"/>
      <c r="E1775" s="1" t="n"/>
      <c r="F1775" s="1" t="n"/>
      <c r="G1775" s="6" t="n">
        <v>313.7574002</v>
      </c>
      <c r="H1775" s="1" t="n"/>
      <c r="I1775" s="1" t="n"/>
      <c r="J1775" s="1" t="n"/>
      <c r="K1775" s="6" t="n">
        <v>315.4721038</v>
      </c>
      <c r="L1775" s="1" t="n"/>
      <c r="M1775" s="1" t="n"/>
      <c r="N1775" s="1" t="n"/>
    </row>
    <row r="1776">
      <c r="A1776" s="1" t="inlineStr">
        <is>
          <t>71036863389452</t>
        </is>
      </c>
      <c r="B1776" s="1" t="inlineStr">
        <is>
          <t>ANILLO BV CON UNA ZIRCONIA GOLD</t>
        </is>
      </c>
      <c r="C1776" s="1" t="n"/>
      <c r="D1776" s="1" t="n"/>
      <c r="E1776" s="1" t="n"/>
      <c r="F1776" s="1" t="n"/>
      <c r="G1776" s="1" t="n"/>
      <c r="H1776" s="1" t="n"/>
      <c r="I1776" s="1" t="n"/>
      <c r="J1776" s="1" t="n"/>
      <c r="K1776" s="1" t="n"/>
      <c r="L1776" s="6" t="n">
        <v>96.82768294</v>
      </c>
      <c r="M1776" s="1" t="n"/>
      <c r="N1776" s="1" t="n"/>
    </row>
    <row r="1777">
      <c r="A1777" s="1" t="inlineStr">
        <is>
          <t>71036863422220</t>
        </is>
      </c>
      <c r="B1777" s="1" t="inlineStr">
        <is>
          <t>ANILLO BV CON UNA ZIRCONIA GOLD</t>
        </is>
      </c>
      <c r="C1777" s="1" t="n"/>
      <c r="D1777" s="1" t="n"/>
      <c r="E1777" s="1" t="n"/>
      <c r="F1777" s="1" t="n"/>
      <c r="G1777" s="1" t="n"/>
      <c r="H1777" s="1" t="n"/>
      <c r="I1777" s="1" t="n"/>
      <c r="J1777" s="1" t="n"/>
      <c r="K1777" s="1" t="n"/>
      <c r="L1777" s="6" t="n">
        <v>94.39446484</v>
      </c>
      <c r="M1777" s="1" t="n"/>
      <c r="N1777" s="1" t="n"/>
    </row>
    <row r="1778">
      <c r="A1778" s="1" t="inlineStr">
        <is>
          <t>71036864415628</t>
        </is>
      </c>
      <c r="B1778" s="1" t="inlineStr">
        <is>
          <t>ANILLO LOCK GOLD</t>
        </is>
      </c>
      <c r="C1778" s="1" t="n"/>
      <c r="D1778" s="1" t="n"/>
      <c r="E1778" s="1" t="n"/>
      <c r="F1778" s="1" t="n"/>
      <c r="G1778" s="6" t="n">
        <v>104.5858001</v>
      </c>
      <c r="H1778" s="1" t="n"/>
      <c r="I1778" s="1" t="n"/>
      <c r="J1778" s="6" t="n">
        <v>106.5194811</v>
      </c>
      <c r="K1778" s="1" t="n"/>
      <c r="L1778" s="6" t="n">
        <v>104.9464765</v>
      </c>
      <c r="M1778" s="1" t="n"/>
      <c r="N1778" s="1" t="n"/>
    </row>
    <row r="1779">
      <c r="A1779" s="1" t="inlineStr">
        <is>
          <t>71036870763532</t>
        </is>
      </c>
      <c r="B1779" s="1" t="inlineStr">
        <is>
          <t>PULSERA CC COMETE</t>
        </is>
      </c>
      <c r="C1779" s="1" t="n"/>
      <c r="D1779" s="6" t="n">
        <v>246.7551499</v>
      </c>
      <c r="E1779" s="1" t="n"/>
      <c r="F1779" s="1" t="n"/>
      <c r="G1779" s="1" t="n"/>
      <c r="H1779" s="1" t="n"/>
      <c r="I1779" s="1" t="n"/>
      <c r="J1779" s="6" t="n">
        <v>263.2026748</v>
      </c>
      <c r="K1779" s="1" t="n"/>
      <c r="L1779" s="6" t="n">
        <v>259.7102408</v>
      </c>
      <c r="M1779" s="1" t="n"/>
      <c r="N1779" s="1" t="n"/>
    </row>
    <row r="1780">
      <c r="A1780" s="1" t="inlineStr">
        <is>
          <t>71036872850956</t>
        </is>
      </c>
      <c r="B1780" s="1" t="inlineStr">
        <is>
          <t>PULSERA GC INTERLOCKING</t>
        </is>
      </c>
      <c r="C1780" s="1" t="n"/>
      <c r="D1780" s="6" t="n">
        <v>322.2924407</v>
      </c>
      <c r="E1780" s="1" t="n"/>
      <c r="F1780" s="1" t="n"/>
      <c r="G1780" s="1" t="n"/>
      <c r="H1780" s="6" t="n">
        <v>340.3190742</v>
      </c>
      <c r="I1780" s="1" t="n"/>
      <c r="J1780" s="1" t="n"/>
      <c r="K1780" s="1" t="n"/>
      <c r="L1780" s="1" t="n"/>
      <c r="M1780" s="1" t="n"/>
      <c r="N1780" s="1" t="n"/>
    </row>
    <row r="1781">
      <c r="A1781" s="1" t="inlineStr">
        <is>
          <t>71036872883724</t>
        </is>
      </c>
      <c r="B1781" s="1" t="inlineStr">
        <is>
          <t>PULSERA GC INTERLOCKING</t>
        </is>
      </c>
      <c r="C1781" s="1" t="n"/>
      <c r="D1781" s="6" t="n">
        <v>322.2924407</v>
      </c>
      <c r="E1781" s="6" t="n">
        <v>335.3833419</v>
      </c>
      <c r="F1781" s="1" t="n"/>
      <c r="G1781" s="1" t="n"/>
      <c r="H1781" s="6" t="n">
        <v>340.3190742</v>
      </c>
      <c r="I1781" s="1" t="n"/>
      <c r="J1781" s="6" t="n">
        <v>343.7749222</v>
      </c>
      <c r="K1781" s="1" t="n"/>
      <c r="L1781" s="1" t="n"/>
      <c r="M1781" s="1" t="n"/>
      <c r="N1781" s="1" t="n"/>
    </row>
    <row r="1782">
      <c r="A1782" s="1" t="inlineStr">
        <is>
          <t>71036874448396</t>
        </is>
      </c>
      <c r="B1782" s="1" t="inlineStr">
        <is>
          <t>ANILLO LOCK GOLD</t>
        </is>
      </c>
      <c r="C1782" s="1" t="n"/>
      <c r="D1782" s="6" t="n">
        <v>105.88139205</v>
      </c>
      <c r="E1782" s="1" t="n"/>
      <c r="F1782" s="6" t="n">
        <v>105.3024922</v>
      </c>
      <c r="G1782" s="6" t="n">
        <v>104.5858001</v>
      </c>
      <c r="H1782" s="1" t="n"/>
      <c r="I1782" s="1" t="n"/>
      <c r="J1782" s="1" t="n"/>
      <c r="K1782" s="6" t="n">
        <v>105.1573679</v>
      </c>
      <c r="L1782" s="1" t="n"/>
      <c r="M1782" s="1" t="n"/>
      <c r="N1782" s="1" t="n"/>
    </row>
    <row r="1783">
      <c r="A1783" s="1" t="inlineStr">
        <is>
          <t>71036874481164</t>
        </is>
      </c>
      <c r="B1783" s="1" t="inlineStr">
        <is>
          <t>ANILLO LOCK GOLD</t>
        </is>
      </c>
      <c r="C1783" s="1" t="n"/>
      <c r="D1783" s="6" t="n">
        <v>106.2783553</v>
      </c>
      <c r="E1783" s="1" t="n"/>
      <c r="F1783" s="6" t="n">
        <v>105.3024922</v>
      </c>
      <c r="G1783" s="6" t="n">
        <v>104.5858001</v>
      </c>
      <c r="H1783" s="1" t="n"/>
      <c r="I1783" s="1" t="n"/>
      <c r="J1783" s="1" t="n"/>
      <c r="K1783" s="6" t="n">
        <v>105.1573679</v>
      </c>
      <c r="L1783" s="6" t="n">
        <v>104.9464765</v>
      </c>
      <c r="M1783" s="1" t="n"/>
      <c r="N1783" s="1" t="n"/>
    </row>
    <row r="1784">
      <c r="A1784" s="1" t="inlineStr">
        <is>
          <t>71036876217868</t>
        </is>
      </c>
      <c r="B1784" s="1" t="inlineStr">
        <is>
          <t>ANILLO LOCK SILVER</t>
        </is>
      </c>
      <c r="C1784" s="1" t="n"/>
      <c r="D1784" s="1" t="n"/>
      <c r="E1784" s="1" t="n"/>
      <c r="F1784" s="6" t="n">
        <v>105.3024922</v>
      </c>
      <c r="G1784" s="6" t="n">
        <v>104.5858001</v>
      </c>
      <c r="H1784" s="1" t="n"/>
      <c r="I1784" s="1" t="n"/>
      <c r="J1784" s="1" t="n"/>
      <c r="K1784" s="1" t="n"/>
      <c r="L1784" s="6" t="n">
        <v>104.9464765</v>
      </c>
      <c r="M1784" s="1" t="n"/>
      <c r="N1784" s="1" t="n"/>
    </row>
    <row r="1785">
      <c r="A1785" s="1" t="inlineStr">
        <is>
          <t>71036876250636</t>
        </is>
      </c>
      <c r="B1785" s="1" t="inlineStr">
        <is>
          <t>ANILLO LOCK SILVER</t>
        </is>
      </c>
      <c r="C1785" s="1" t="n"/>
      <c r="D1785" s="6" t="n">
        <v>105.4844288</v>
      </c>
      <c r="E1785" s="1" t="n"/>
      <c r="F1785" s="1" t="n"/>
      <c r="G1785" s="6" t="n">
        <v>104.5858001</v>
      </c>
      <c r="H1785" s="6" t="n">
        <v>106.002089</v>
      </c>
      <c r="I1785" s="1" t="n"/>
      <c r="J1785" s="1" t="n"/>
      <c r="K1785" s="1" t="n"/>
      <c r="L1785" s="6" t="n">
        <v>104.9464765</v>
      </c>
      <c r="M1785" s="1" t="n"/>
      <c r="N1785" s="1" t="n"/>
    </row>
    <row r="1786">
      <c r="A1786" s="1" t="inlineStr">
        <is>
          <t>71036876283404</t>
        </is>
      </c>
      <c r="B1786" s="1" t="inlineStr">
        <is>
          <t>ANILLO LOCK SILVER</t>
        </is>
      </c>
      <c r="C1786" s="1" t="n"/>
      <c r="D1786" s="6" t="n">
        <v>106.2783553</v>
      </c>
      <c r="E1786" s="1" t="n"/>
      <c r="F1786" s="6" t="n">
        <v>105.3024922</v>
      </c>
      <c r="G1786" s="6" t="n">
        <v>104.5858001</v>
      </c>
      <c r="H1786" s="6" t="n">
        <v>106.002089</v>
      </c>
      <c r="I1786" s="1" t="n"/>
      <c r="J1786" s="6" t="n">
        <v>106.5194811</v>
      </c>
      <c r="K1786" s="1" t="n"/>
      <c r="L1786" s="6" t="n">
        <v>104.9464765</v>
      </c>
      <c r="M1786" s="1" t="n"/>
      <c r="N1786" s="1" t="n"/>
    </row>
    <row r="1787">
      <c r="A1787" s="1" t="inlineStr">
        <is>
          <t>71036878066828</t>
        </is>
      </c>
      <c r="B1787" s="1" t="inlineStr">
        <is>
          <t>COLLAR GC INTERLOCKING</t>
        </is>
      </c>
      <c r="C1787" s="1" t="n"/>
      <c r="D1787" s="6" t="n">
        <v>397.8297315</v>
      </c>
      <c r="E1787" s="1" t="n"/>
      <c r="F1787" s="1" t="n"/>
      <c r="G1787" s="1" t="n"/>
      <c r="H1787" s="1" t="n"/>
      <c r="I1787" s="1" t="n"/>
      <c r="J1787" s="1" t="n"/>
      <c r="K1787" s="1" t="n"/>
      <c r="L1787" s="1" t="n"/>
      <c r="M1787" s="1" t="n"/>
      <c r="N1787" s="1" t="n"/>
    </row>
    <row r="1788">
      <c r="A1788" s="1" t="inlineStr">
        <is>
          <t>71036879166988</t>
        </is>
      </c>
      <c r="B1788" s="1" t="inlineStr">
        <is>
          <t>ANILLO T DE COMPROMISO</t>
        </is>
      </c>
      <c r="C1788" s="1" t="n"/>
      <c r="D1788" s="6" t="n">
        <v>106.2783553</v>
      </c>
      <c r="E1788" s="1" t="n"/>
      <c r="F1788" s="6" t="n">
        <v>105.3024922</v>
      </c>
      <c r="G1788" s="6" t="n">
        <v>104.5858001</v>
      </c>
      <c r="H1788" s="6" t="n">
        <v>106.002089</v>
      </c>
      <c r="I1788" s="6" t="n">
        <v>105.3424803</v>
      </c>
      <c r="J1788" s="1" t="n"/>
      <c r="K1788" s="1" t="n"/>
      <c r="L1788" s="6" t="n">
        <v>106.0932113</v>
      </c>
      <c r="M1788" s="1" t="n"/>
      <c r="N1788" s="1" t="n"/>
    </row>
    <row r="1789">
      <c r="A1789" s="1" t="inlineStr">
        <is>
          <t>71036889199756</t>
        </is>
      </c>
      <c r="B1789" s="1" t="inlineStr">
        <is>
          <t>ANILLO T DE COMPROMISO</t>
        </is>
      </c>
      <c r="C1789" s="1" t="n"/>
      <c r="D1789" s="6" t="n">
        <v>106.2783553</v>
      </c>
      <c r="E1789" s="1" t="n"/>
      <c r="F1789" s="1" t="n"/>
      <c r="G1789" s="6" t="n">
        <v>104.5858001</v>
      </c>
      <c r="H1789" s="6" t="n">
        <v>106.002089</v>
      </c>
      <c r="I1789" s="1" t="n"/>
      <c r="J1789" s="1" t="n"/>
      <c r="K1789" s="1" t="n"/>
      <c r="L1789" s="6" t="n">
        <v>106.0932113</v>
      </c>
      <c r="M1789" s="1" t="n"/>
      <c r="N1789" s="1" t="n"/>
    </row>
    <row r="1790">
      <c r="A1790" s="1" t="inlineStr">
        <is>
          <t>71036889232524</t>
        </is>
      </c>
      <c r="B1790" s="1" t="inlineStr">
        <is>
          <t>ANILLO T DE COMPROMISO</t>
        </is>
      </c>
      <c r="C1790" s="1" t="n"/>
      <c r="D1790" s="6" t="n">
        <v>106.2783553</v>
      </c>
      <c r="E1790" s="1" t="n"/>
      <c r="F1790" s="1" t="n"/>
      <c r="G1790" s="1" t="n"/>
      <c r="H1790" s="1" t="n"/>
      <c r="I1790" s="6" t="n">
        <v>105.3424803</v>
      </c>
      <c r="J1790" s="1" t="n"/>
      <c r="K1790" s="1" t="n"/>
      <c r="L1790" s="6" t="n">
        <v>106.0932113</v>
      </c>
      <c r="M1790" s="6" t="n">
        <v>105.0730323</v>
      </c>
      <c r="N1790" s="1" t="n"/>
    </row>
    <row r="1791">
      <c r="A1791" s="1" t="inlineStr">
        <is>
          <t>71078751021293</t>
        </is>
      </c>
      <c r="B1791" s="1" t="inlineStr">
        <is>
          <t>PULSERA LV IDYLLE SILVER</t>
        </is>
      </c>
      <c r="C1791" s="1" t="n"/>
      <c r="D1791" s="1" t="n"/>
      <c r="E1791" s="6" t="n">
        <v>147.6865515</v>
      </c>
      <c r="F1791" s="1" t="n"/>
      <c r="G1791" s="1" t="n"/>
      <c r="H1791" s="6" t="n">
        <v>148.1909204</v>
      </c>
      <c r="I1791" s="6" t="n">
        <v>147.2687875</v>
      </c>
      <c r="J1791" s="1" t="n"/>
      <c r="K1791" s="1" t="n"/>
      <c r="L1791" s="1" t="n"/>
      <c r="M1791" s="1" t="n"/>
      <c r="N1791" s="1" t="n"/>
    </row>
    <row r="1792">
      <c r="A1792" s="1" t="inlineStr">
        <is>
          <t>71078751481933</t>
        </is>
      </c>
      <c r="B1792" s="1" t="inlineStr">
        <is>
          <t>ANILLO LV GRABADO SILVER</t>
        </is>
      </c>
      <c r="C1792" s="1" t="n"/>
      <c r="D1792" s="1" t="n"/>
      <c r="E1792" s="6" t="n">
        <v>126.5582895</v>
      </c>
      <c r="F1792" s="1" t="n"/>
      <c r="G1792" s="1" t="n"/>
      <c r="H1792" s="1" t="n"/>
      <c r="I1792" s="6" t="n">
        <v>147.2687875</v>
      </c>
      <c r="J1792" s="6" t="n">
        <v>148.9142345</v>
      </c>
      <c r="K1792" s="1" t="n"/>
      <c r="L1792" s="1" t="n"/>
      <c r="M1792" s="1" t="n"/>
      <c r="N1792" s="1" t="n"/>
    </row>
    <row r="1793">
      <c r="A1793" s="1" t="inlineStr">
        <is>
          <t>71078751659341</t>
        </is>
      </c>
      <c r="B1793" s="1" t="inlineStr">
        <is>
          <t>COLLAR C SILVER ZIRCONIAS</t>
        </is>
      </c>
      <c r="C1793" s="1" t="n"/>
      <c r="D1793" s="1" t="n"/>
      <c r="E1793" s="6" t="n">
        <v>126.5582895</v>
      </c>
      <c r="F1793" s="1" t="n"/>
      <c r="G1793" s="1" t="n"/>
      <c r="H1793" s="1" t="n"/>
      <c r="I1793" s="6" t="n">
        <v>126.2002914</v>
      </c>
      <c r="J1793" s="1" t="n"/>
      <c r="K1793" s="6" t="n">
        <v>125.9785268</v>
      </c>
      <c r="L1793" s="1" t="n"/>
      <c r="M1793" s="1" t="n"/>
      <c r="N1793" s="1" t="n"/>
    </row>
    <row r="1794">
      <c r="A1794" s="1" t="inlineStr">
        <is>
          <t>71078751862733</t>
        </is>
      </c>
      <c r="B1794" s="1" t="inlineStr">
        <is>
          <t>PULSERA C GOLD DOBLE PEARL</t>
        </is>
      </c>
      <c r="C1794" s="1" t="n"/>
      <c r="D1794" s="1" t="n"/>
      <c r="E1794" s="6" t="n">
        <v>190.1543582</v>
      </c>
      <c r="F1794" s="1" t="n"/>
      <c r="G1794" s="1" t="n"/>
      <c r="H1794" s="1" t="n"/>
      <c r="I1794" s="1" t="n"/>
      <c r="J1794" s="1" t="n"/>
      <c r="K1794" s="1" t="n"/>
      <c r="L1794" s="1" t="n"/>
      <c r="M1794" s="6" t="n">
        <v>209.9359185</v>
      </c>
      <c r="N1794" s="1" t="n"/>
    </row>
    <row r="1795">
      <c r="A1795" s="1" t="inlineStr">
        <is>
          <t>71078752279149</t>
        </is>
      </c>
      <c r="B1795" s="1" t="inlineStr">
        <is>
          <t>BRAZALETE C GOLD</t>
        </is>
      </c>
      <c r="C1795" s="1" t="n"/>
      <c r="D1795" s="1" t="n"/>
      <c r="E1795" s="6" t="n">
        <v>147.8978341</v>
      </c>
      <c r="F1795" s="1" t="n"/>
      <c r="G1795" s="1" t="n"/>
      <c r="H1795" s="1" t="n"/>
      <c r="I1795" s="1" t="n"/>
      <c r="J1795" s="1" t="n"/>
      <c r="K1795" s="6" t="n">
        <v>105.1573679</v>
      </c>
      <c r="L1795" s="1" t="n"/>
      <c r="M1795" s="6" t="n">
        <v>105.0730323</v>
      </c>
      <c r="N1795" s="1" t="n"/>
    </row>
    <row r="1796">
      <c r="A1796" s="1" t="inlineStr">
        <is>
          <t>71078752697389</t>
        </is>
      </c>
      <c r="B1796" s="1" t="inlineStr">
        <is>
          <t>PULSERA C LOGO SILVER</t>
        </is>
      </c>
      <c r="C1796" s="1" t="n"/>
      <c r="D1796" s="1" t="n"/>
      <c r="E1796" s="6" t="n">
        <v>168.8148135</v>
      </c>
      <c r="F1796" s="1" t="n"/>
      <c r="G1796" s="1" t="n"/>
      <c r="H1796" s="1" t="n"/>
      <c r="I1796" s="1" t="n"/>
      <c r="J1796" s="6" t="n">
        <v>168.3007801</v>
      </c>
      <c r="K1796" s="1" t="n"/>
      <c r="L1796" s="6" t="n">
        <v>167.6272739</v>
      </c>
      <c r="M1796" s="1" t="n"/>
      <c r="N1796" s="1" t="n"/>
    </row>
    <row r="1797">
      <c r="A1797" s="1" t="inlineStr">
        <is>
          <t>71092951015341</t>
        </is>
      </c>
      <c r="B1797" s="1" t="inlineStr">
        <is>
          <t>MOCHILA MM CANVAS</t>
        </is>
      </c>
      <c r="C1797" s="1" t="n"/>
      <c r="D1797" s="1" t="n"/>
      <c r="E1797" s="1" t="n"/>
      <c r="F1797" s="1" t="n"/>
      <c r="G1797" s="1" t="n"/>
      <c r="H1797" s="1" t="n"/>
      <c r="I1797" s="6" t="n">
        <v>1838.948834</v>
      </c>
      <c r="J1797" s="1" t="n"/>
      <c r="K1797" s="6" t="n">
        <v>1764.606298</v>
      </c>
      <c r="L1797" s="1" t="n"/>
      <c r="M1797" s="1" t="n"/>
      <c r="N1797" s="1" t="n"/>
    </row>
    <row r="1798">
      <c r="A1798" s="1" t="inlineStr">
        <is>
          <t>71092951161133</t>
        </is>
      </c>
      <c r="B1798" s="1" t="inlineStr">
        <is>
          <t>BOLSO MM TOTE ARCADIE DARK BROWN</t>
        </is>
      </c>
      <c r="C1798" s="1" t="n"/>
      <c r="D1798" s="1" t="n"/>
      <c r="E1798" s="1" t="n"/>
      <c r="F1798" s="1" t="n"/>
      <c r="G1798" s="1" t="n"/>
      <c r="H1798" s="1" t="n"/>
      <c r="I1798" s="6" t="n">
        <v>1487.385086</v>
      </c>
      <c r="J1798" s="1" t="n"/>
      <c r="K1798" s="6" t="n">
        <v>1427.255094</v>
      </c>
      <c r="L1798" s="1" t="n"/>
      <c r="M1798" s="1" t="n"/>
      <c r="N1798" s="1" t="n"/>
    </row>
    <row r="1799">
      <c r="A1799" s="1" t="inlineStr">
        <is>
          <t>71092951207469</t>
        </is>
      </c>
      <c r="B1799" s="1" t="inlineStr">
        <is>
          <t>BOLSO MM BEAU COÑAC</t>
        </is>
      </c>
      <c r="C1799" s="1" t="n"/>
      <c r="D1799" s="1" t="n"/>
      <c r="E1799" s="1" t="n"/>
      <c r="F1799" s="1" t="n"/>
      <c r="G1799" s="1" t="n"/>
      <c r="H1799" s="1" t="n"/>
      <c r="I1799" s="6" t="n">
        <v>1703.732008</v>
      </c>
      <c r="J1799" s="1" t="n"/>
      <c r="K1799" s="6" t="n">
        <v>1634.855835</v>
      </c>
      <c r="L1799" s="1" t="n"/>
      <c r="M1799" s="1" t="n"/>
      <c r="N1799" s="1" t="n"/>
    </row>
    <row r="1800">
      <c r="A1800" s="1" t="inlineStr">
        <is>
          <t>71092951310861</t>
        </is>
      </c>
      <c r="B1800" s="1" t="inlineStr">
        <is>
          <t>BOLSO CC VANITY WHITE</t>
        </is>
      </c>
      <c r="C1800" s="1" t="n"/>
      <c r="D1800" s="1" t="n"/>
      <c r="E1800" s="1" t="n"/>
      <c r="F1800" s="1" t="n"/>
      <c r="G1800" s="1" t="n"/>
      <c r="H1800" s="1" t="n"/>
      <c r="I1800" s="6" t="n">
        <v>1406.25499</v>
      </c>
      <c r="J1800" s="1" t="n"/>
      <c r="K1800" s="6" t="n">
        <v>1349.404816</v>
      </c>
      <c r="L1800" s="1" t="n"/>
      <c r="M1800" s="1" t="n"/>
      <c r="N1800" s="1" t="n"/>
    </row>
    <row r="1801">
      <c r="A1801" s="1" t="inlineStr">
        <is>
          <t>71092951414253</t>
        </is>
      </c>
      <c r="B1801" s="1" t="inlineStr">
        <is>
          <t>BOLSO GC MARMONT ALL WHITE</t>
        </is>
      </c>
      <c r="C1801" s="1" t="n"/>
      <c r="D1801" s="1" t="n"/>
      <c r="E1801" s="1" t="n"/>
      <c r="F1801" s="1" t="n"/>
      <c r="G1801" s="1" t="n"/>
      <c r="H1801" s="1" t="n"/>
      <c r="I1801" s="6" t="n">
        <v>1406.25499</v>
      </c>
      <c r="J1801" s="1" t="n"/>
      <c r="K1801" s="1" t="n"/>
      <c r="L1801" s="6" t="n">
        <v>1378.054339</v>
      </c>
      <c r="M1801" s="1" t="n"/>
      <c r="N1801" s="1" t="n"/>
    </row>
    <row r="1802">
      <c r="A1802" s="1" t="inlineStr">
        <is>
          <t>71092951532237</t>
        </is>
      </c>
      <c r="B1802" s="1" t="inlineStr">
        <is>
          <t>BOLSO C TRIOMPHE TEEN</t>
        </is>
      </c>
      <c r="C1802" s="1" t="n"/>
      <c r="D1802" s="1" t="n"/>
      <c r="E1802" s="1" t="n"/>
      <c r="F1802" s="1" t="n"/>
      <c r="G1802" s="1" t="n"/>
      <c r="H1802" s="1" t="n"/>
      <c r="I1802" s="6" t="n">
        <v>1595.558547</v>
      </c>
      <c r="J1802" s="1" t="n"/>
      <c r="K1802" s="1" t="n"/>
      <c r="L1802" s="6" t="n">
        <v>1563.561654</v>
      </c>
      <c r="M1802" s="1" t="n"/>
      <c r="N1802" s="1" t="n"/>
    </row>
    <row r="1803">
      <c r="A1803" s="1" t="inlineStr">
        <is>
          <t>71136141049485</t>
        </is>
      </c>
      <c r="B1803" s="1" t="inlineStr">
        <is>
          <t>COLLAR TRINITY SQUARE</t>
        </is>
      </c>
      <c r="C1803" s="1" t="n"/>
      <c r="D1803" s="1" t="n"/>
      <c r="E1803" s="1" t="n"/>
      <c r="F1803" s="6" t="n">
        <v>168.4839875</v>
      </c>
      <c r="G1803" s="6" t="n">
        <v>167.3372801</v>
      </c>
      <c r="H1803" s="1" t="n"/>
      <c r="I1803" s="1" t="n"/>
      <c r="J1803" s="1" t="n"/>
      <c r="K1803" s="1" t="n"/>
      <c r="L1803" s="1" t="n"/>
      <c r="M1803" s="1" t="n"/>
      <c r="N1803" s="1" t="n"/>
    </row>
    <row r="1804">
      <c r="A1804" s="1" t="inlineStr">
        <is>
          <t>71264750638476</t>
        </is>
      </c>
      <c r="B1804" s="1" t="inlineStr">
        <is>
          <t>RELOJ RX OYSTER PERPETUAL GREEN</t>
        </is>
      </c>
      <c r="C1804" s="1" t="n"/>
      <c r="D1804" s="6" t="n">
        <v>1054.949473</v>
      </c>
      <c r="E1804" s="1" t="n"/>
      <c r="F1804" s="1" t="n"/>
      <c r="G1804" s="1" t="n"/>
      <c r="H1804" s="1" t="n"/>
      <c r="I1804" s="1" t="n"/>
      <c r="J1804" s="1" t="n"/>
      <c r="K1804" s="1" t="n"/>
      <c r="L1804" s="6" t="n">
        <v>1113.194228</v>
      </c>
      <c r="M1804" s="1" t="n"/>
      <c r="N1804" s="1" t="n"/>
    </row>
    <row r="1805">
      <c r="A1805" s="1" t="inlineStr">
        <is>
          <t>71288021024429</t>
        </is>
      </c>
      <c r="B1805" s="1" t="inlineStr">
        <is>
          <t>PULSERA DE TELA BLUE ELSA PERETTI</t>
        </is>
      </c>
      <c r="C1805" s="1" t="n"/>
      <c r="D1805" s="1" t="n"/>
      <c r="E1805" s="1" t="n"/>
      <c r="F1805" s="1" t="n"/>
      <c r="G1805" s="1" t="n"/>
      <c r="H1805" s="1" t="n"/>
      <c r="I1805" s="1" t="n"/>
      <c r="J1805" s="1" t="n"/>
      <c r="K1805" s="1" t="n"/>
      <c r="L1805" s="6" t="n">
        <v>162.3501752</v>
      </c>
      <c r="M1805" s="1" t="n"/>
      <c r="N1805" s="1" t="n"/>
    </row>
    <row r="1806">
      <c r="A1806" s="1" t="inlineStr">
        <is>
          <t>71288021138541</t>
        </is>
      </c>
      <c r="B1806" s="1" t="inlineStr">
        <is>
          <t>PULSERA DE TELA BLACK ELSA PERETTI</t>
        </is>
      </c>
      <c r="C1806" s="1" t="n"/>
      <c r="D1806" s="1" t="n"/>
      <c r="E1806" s="1" t="n"/>
      <c r="F1806" s="1" t="n"/>
      <c r="G1806" s="1" t="n"/>
      <c r="H1806" s="1" t="n"/>
      <c r="I1806" s="1" t="n"/>
      <c r="J1806" s="1" t="n"/>
      <c r="K1806" s="1" t="n"/>
      <c r="L1806" s="6" t="n">
        <v>162.3501752</v>
      </c>
      <c r="M1806" s="1" t="n"/>
      <c r="N1806" s="1" t="n"/>
    </row>
    <row r="1807">
      <c r="A1807" s="1" t="inlineStr">
        <is>
          <t>71288021271309</t>
        </is>
      </c>
      <c r="B1807" s="1" t="inlineStr">
        <is>
          <t>PULSERA T ENTRELAZADOS GOLD-SILVER</t>
        </is>
      </c>
      <c r="C1807" s="1" t="n"/>
      <c r="D1807" s="1" t="n"/>
      <c r="E1807" s="1" t="n"/>
      <c r="F1807" s="1" t="n"/>
      <c r="G1807" s="1" t="n"/>
      <c r="H1807" s="1" t="n"/>
      <c r="I1807" s="1" t="n"/>
      <c r="J1807" s="1" t="n"/>
      <c r="K1807" s="1" t="n"/>
      <c r="L1807" s="6" t="n">
        <v>193.8980418</v>
      </c>
      <c r="M1807" s="1" t="n"/>
      <c r="N1807" s="1" t="n"/>
    </row>
    <row r="1808">
      <c r="A1808" s="1" t="inlineStr">
        <is>
          <t>71288021336845</t>
        </is>
      </c>
      <c r="B1808" s="1" t="inlineStr">
        <is>
          <t>ANILLO T SIXTEEN STONE ROSE GOLD</t>
        </is>
      </c>
      <c r="C1808" s="1" t="n"/>
      <c r="D1808" s="1" t="n"/>
      <c r="E1808" s="1" t="n"/>
      <c r="F1808" s="1" t="n"/>
      <c r="G1808" s="1" t="n"/>
      <c r="H1808" s="1" t="n"/>
      <c r="I1808" s="1" t="n"/>
      <c r="J1808" s="1" t="n"/>
      <c r="K1808" s="1" t="n"/>
      <c r="L1808" s="6" t="n">
        <v>169.6304521</v>
      </c>
      <c r="M1808" s="1" t="n"/>
      <c r="N1808" s="1" t="n"/>
    </row>
    <row r="1809">
      <c r="A1809" s="1" t="inlineStr">
        <is>
          <t>71288021469613</t>
        </is>
      </c>
      <c r="B1809" s="1" t="inlineStr">
        <is>
          <t>ANILLO T SIXTEEN STONE ROSE GOLD</t>
        </is>
      </c>
      <c r="C1809" s="1" t="n"/>
      <c r="D1809" s="1" t="n"/>
      <c r="E1809" s="1" t="n"/>
      <c r="F1809" s="1" t="n"/>
      <c r="G1809" s="1" t="n"/>
      <c r="H1809" s="1" t="n"/>
      <c r="I1809" s="1" t="n"/>
      <c r="J1809" s="1" t="n"/>
      <c r="K1809" s="1" t="n"/>
      <c r="L1809" s="6" t="n">
        <v>169.6304521</v>
      </c>
      <c r="M1809" s="1" t="n"/>
      <c r="N1809" s="1" t="n"/>
    </row>
    <row r="1810">
      <c r="A1810" s="1" t="inlineStr">
        <is>
          <t>71288021533453</t>
        </is>
      </c>
      <c r="B1810" s="1" t="inlineStr">
        <is>
          <t>COLLAR VF ARPELS GOLD</t>
        </is>
      </c>
      <c r="C1810" s="1" t="n"/>
      <c r="D1810" s="1" t="n"/>
      <c r="E1810" s="1" t="n"/>
      <c r="F1810" s="1" t="n"/>
      <c r="G1810" s="1" t="n"/>
      <c r="H1810" s="1" t="n"/>
      <c r="I1810" s="1" t="n"/>
      <c r="J1810" s="1" t="n"/>
      <c r="K1810" s="1" t="n"/>
      <c r="L1810" s="6" t="n">
        <v>145.3628624</v>
      </c>
      <c r="M1810" s="1" t="n"/>
      <c r="N1810" s="1" t="n"/>
    </row>
    <row r="1811">
      <c r="A1811" s="1" t="inlineStr">
        <is>
          <t>71288021662829</t>
        </is>
      </c>
      <c r="B1811" s="1" t="inlineStr">
        <is>
          <t>COLLAR VF ALHAMBRA SILVER</t>
        </is>
      </c>
      <c r="C1811" s="1" t="n"/>
      <c r="D1811" s="1" t="n"/>
      <c r="E1811" s="1" t="n"/>
      <c r="F1811" s="1" t="n"/>
      <c r="G1811" s="1" t="n"/>
      <c r="H1811" s="1" t="n"/>
      <c r="I1811" s="1" t="n"/>
      <c r="J1811" s="1" t="n"/>
      <c r="K1811" s="1" t="n"/>
      <c r="L1811" s="6" t="n">
        <v>135.6558265</v>
      </c>
      <c r="M1811" s="1" t="n"/>
      <c r="N1811" s="1" t="n"/>
    </row>
    <row r="1812">
      <c r="A1812" s="1" t="inlineStr">
        <is>
          <t>71288021719885</t>
        </is>
      </c>
      <c r="B1812" s="1" t="inlineStr">
        <is>
          <t>PULSERA VF HALF VINTAGE ALHAMBRA</t>
        </is>
      </c>
      <c r="C1812" s="1" t="n"/>
      <c r="D1812" s="1" t="n"/>
      <c r="E1812" s="1" t="n"/>
      <c r="F1812" s="1" t="n"/>
      <c r="G1812" s="1" t="n"/>
      <c r="H1812" s="1" t="n"/>
      <c r="I1812" s="1" t="n"/>
      <c r="J1812" s="1" t="n"/>
      <c r="K1812" s="1" t="n"/>
      <c r="L1812" s="6" t="n">
        <v>208.4585956</v>
      </c>
      <c r="M1812" s="1" t="n"/>
      <c r="N1812" s="1" t="n"/>
    </row>
    <row r="1813">
      <c r="A1813" s="1" t="inlineStr">
        <is>
          <t>71288021885421</t>
        </is>
      </c>
      <c r="B1813" s="1" t="inlineStr">
        <is>
          <t>PULSERA VF ALHAMBRA ROSE GOLD-RED</t>
        </is>
      </c>
      <c r="C1813" s="1" t="n"/>
      <c r="D1813" s="1" t="n"/>
      <c r="E1813" s="1" t="n"/>
      <c r="F1813" s="1" t="n"/>
      <c r="G1813" s="1" t="n"/>
      <c r="H1813" s="1" t="n"/>
      <c r="I1813" s="1" t="n"/>
      <c r="J1813" s="1" t="n"/>
      <c r="K1813" s="1" t="n"/>
      <c r="L1813" s="6" t="n">
        <v>208.4585956</v>
      </c>
      <c r="M1813" s="1" t="n"/>
      <c r="N1813" s="1" t="n"/>
    </row>
    <row r="1814">
      <c r="A1814" s="1" t="inlineStr">
        <is>
          <t>71288021950957</t>
        </is>
      </c>
      <c r="B1814" s="1" t="inlineStr">
        <is>
          <t>PULSERA VF FRIVOLE GOLD</t>
        </is>
      </c>
      <c r="C1814" s="1" t="n"/>
      <c r="D1814" s="1" t="n"/>
      <c r="E1814" s="1" t="n"/>
      <c r="F1814" s="1" t="n"/>
      <c r="G1814" s="1" t="n"/>
      <c r="H1814" s="1" t="n"/>
      <c r="I1814" s="1" t="n"/>
      <c r="J1814" s="1" t="n"/>
      <c r="K1814" s="1" t="n"/>
      <c r="L1814" s="6" t="n">
        <v>145.3628624</v>
      </c>
      <c r="M1814" s="1" t="n"/>
      <c r="N1814" s="1" t="n"/>
    </row>
    <row r="1815">
      <c r="A1815" s="1" t="inlineStr">
        <is>
          <t>71288022047565</t>
        </is>
      </c>
      <c r="B1815" s="1" t="inlineStr">
        <is>
          <t>ANILLO VF ALHAMBRA GOLD</t>
        </is>
      </c>
      <c r="C1815" s="1" t="n"/>
      <c r="D1815" s="1" t="n"/>
      <c r="E1815" s="1" t="n"/>
      <c r="F1815" s="1" t="n"/>
      <c r="G1815" s="1" t="n"/>
      <c r="H1815" s="1" t="n"/>
      <c r="I1815" s="1" t="n"/>
      <c r="J1815" s="1" t="n"/>
      <c r="K1815" s="1" t="n"/>
      <c r="L1815" s="6" t="n">
        <v>135.6558265</v>
      </c>
      <c r="M1815" s="1" t="n"/>
      <c r="N1815" s="1" t="n"/>
    </row>
    <row r="1816">
      <c r="A1816" s="1" t="inlineStr">
        <is>
          <t>71288022180333</t>
        </is>
      </c>
      <c r="B1816" s="1" t="inlineStr">
        <is>
          <t>ANILLO VF ALHAMBRA GOLD</t>
        </is>
      </c>
      <c r="C1816" s="1" t="n"/>
      <c r="D1816" s="1" t="n"/>
      <c r="E1816" s="1" t="n"/>
      <c r="F1816" s="1" t="n"/>
      <c r="G1816" s="1" t="n"/>
      <c r="H1816" s="1" t="n"/>
      <c r="I1816" s="1" t="n"/>
      <c r="J1816" s="1" t="n"/>
      <c r="K1816" s="1" t="n"/>
      <c r="L1816" s="6" t="n">
        <v>135.6558265</v>
      </c>
      <c r="M1816" s="1" t="n"/>
      <c r="N1816" s="1" t="n"/>
    </row>
    <row r="1817">
      <c r="A1817" s="1" t="inlineStr">
        <is>
          <t>71288022239085</t>
        </is>
      </c>
      <c r="B1817" s="1" t="inlineStr">
        <is>
          <t>ANILLO VF ALHAMBRA SILVER</t>
        </is>
      </c>
      <c r="C1817" s="1" t="n"/>
      <c r="D1817" s="1" t="n"/>
      <c r="E1817" s="1" t="n"/>
      <c r="F1817" s="1" t="n"/>
      <c r="G1817" s="1" t="n"/>
      <c r="H1817" s="1" t="n"/>
      <c r="I1817" s="1" t="n"/>
      <c r="J1817" s="1" t="n"/>
      <c r="K1817" s="1" t="n"/>
      <c r="L1817" s="6" t="n">
        <v>135.6558265</v>
      </c>
      <c r="M1817" s="1" t="n"/>
      <c r="N1817" s="1" t="n"/>
    </row>
    <row r="1818">
      <c r="A1818" s="1" t="inlineStr">
        <is>
          <t>71288022371853</t>
        </is>
      </c>
      <c r="B1818" s="1" t="inlineStr">
        <is>
          <t>ANILLO VF ALHAMBRA SILVER</t>
        </is>
      </c>
      <c r="C1818" s="1" t="n"/>
      <c r="D1818" s="1" t="n"/>
      <c r="E1818" s="1" t="n"/>
      <c r="F1818" s="1" t="n"/>
      <c r="G1818" s="1" t="n"/>
      <c r="H1818" s="1" t="n"/>
      <c r="I1818" s="1" t="n"/>
      <c r="J1818" s="1" t="n"/>
      <c r="K1818" s="1" t="n"/>
      <c r="L1818" s="6" t="n">
        <v>135.6558265</v>
      </c>
      <c r="M1818" s="1" t="n"/>
      <c r="N1818" s="1" t="n"/>
    </row>
    <row r="1819">
      <c r="A1819" s="1" t="inlineStr">
        <is>
          <t>71288022468461</t>
        </is>
      </c>
      <c r="B1819" s="1" t="inlineStr">
        <is>
          <t>ANILLO VF TWIN ALHAMBRA SILVER</t>
        </is>
      </c>
      <c r="C1819" s="1" t="n"/>
      <c r="D1819" s="1" t="n"/>
      <c r="E1819" s="1" t="n"/>
      <c r="F1819" s="1" t="n"/>
      <c r="G1819" s="1" t="n"/>
      <c r="H1819" s="1" t="n"/>
      <c r="I1819" s="1" t="n"/>
      <c r="J1819" s="1" t="n"/>
      <c r="K1819" s="1" t="n"/>
      <c r="L1819" s="6" t="n">
        <v>193.8980418</v>
      </c>
      <c r="M1819" s="1" t="n"/>
      <c r="N1819" s="1" t="n"/>
    </row>
    <row r="1820">
      <c r="A1820" s="1" t="inlineStr">
        <is>
          <t>71288022597837</t>
        </is>
      </c>
      <c r="B1820" s="1" t="inlineStr">
        <is>
          <t>ANILLO VF PERLÉE DUO ROSE GOLD</t>
        </is>
      </c>
      <c r="C1820" s="1" t="n"/>
      <c r="D1820" s="1" t="n"/>
      <c r="E1820" s="1" t="n"/>
      <c r="F1820" s="1" t="n"/>
      <c r="G1820" s="1" t="n"/>
      <c r="H1820" s="1" t="n"/>
      <c r="I1820" s="1" t="n"/>
      <c r="J1820" s="1" t="n"/>
      <c r="K1820" s="1" t="n"/>
      <c r="L1820" s="6" t="n">
        <v>193.8980418</v>
      </c>
      <c r="M1820" s="1" t="n"/>
      <c r="N1820" s="1" t="n"/>
    </row>
    <row r="1821">
      <c r="A1821" s="1" t="inlineStr">
        <is>
          <t>71288022630605</t>
        </is>
      </c>
      <c r="B1821" s="1" t="inlineStr">
        <is>
          <t>ANILLO VF PERLÉE DUO ROSE GOLD</t>
        </is>
      </c>
      <c r="C1821" s="1" t="n"/>
      <c r="D1821" s="1" t="n"/>
      <c r="E1821" s="1" t="n"/>
      <c r="F1821" s="1" t="n"/>
      <c r="G1821" s="1" t="n"/>
      <c r="H1821" s="1" t="n"/>
      <c r="I1821" s="1" t="n"/>
      <c r="J1821" s="1" t="n"/>
      <c r="K1821" s="1" t="n"/>
      <c r="L1821" s="6" t="n">
        <v>193.8980418</v>
      </c>
      <c r="M1821" s="1" t="n"/>
      <c r="N1821" s="1" t="n"/>
    </row>
    <row r="1822">
      <c r="A1822" s="1" t="inlineStr">
        <is>
          <t>71288022725517</t>
        </is>
      </c>
      <c r="B1822" s="1" t="inlineStr">
        <is>
          <t>ANILLO VF PERLÉE DUO GOLD</t>
        </is>
      </c>
      <c r="C1822" s="1" t="n"/>
      <c r="D1822" s="1" t="n"/>
      <c r="E1822" s="1" t="n"/>
      <c r="F1822" s="1" t="n"/>
      <c r="G1822" s="1" t="n"/>
      <c r="H1822" s="1" t="n"/>
      <c r="I1822" s="1" t="n"/>
      <c r="J1822" s="1" t="n"/>
      <c r="K1822" s="1" t="n"/>
      <c r="L1822" s="6" t="n">
        <v>193.8980418</v>
      </c>
      <c r="M1822" s="1" t="n"/>
      <c r="N1822" s="1" t="n"/>
    </row>
    <row r="1823">
      <c r="A1823" s="1" t="inlineStr">
        <is>
          <t>71288022858285</t>
        </is>
      </c>
      <c r="B1823" s="1" t="inlineStr">
        <is>
          <t>ANILLO VF PERLÉE DUO GOLD</t>
        </is>
      </c>
      <c r="C1823" s="1" t="n"/>
      <c r="D1823" s="1" t="n"/>
      <c r="E1823" s="1" t="n"/>
      <c r="F1823" s="1" t="n"/>
      <c r="G1823" s="1" t="n"/>
      <c r="H1823" s="1" t="n"/>
      <c r="I1823" s="1" t="n"/>
      <c r="J1823" s="1" t="n"/>
      <c r="K1823" s="1" t="n"/>
      <c r="L1823" s="6" t="n">
        <v>193.8980418</v>
      </c>
      <c r="M1823" s="1" t="n"/>
      <c r="N1823" s="1" t="n"/>
    </row>
    <row r="1824">
      <c r="A1824" s="1" t="inlineStr">
        <is>
          <t>71288022951501</t>
        </is>
      </c>
      <c r="B1824" s="1" t="inlineStr">
        <is>
          <t>ANILLO VF PERLÉE DUO SILVER</t>
        </is>
      </c>
      <c r="C1824" s="1" t="n"/>
      <c r="D1824" s="1" t="n"/>
      <c r="E1824" s="1" t="n"/>
      <c r="F1824" s="1" t="n"/>
      <c r="G1824" s="1" t="n"/>
      <c r="H1824" s="1" t="n"/>
      <c r="I1824" s="1" t="n"/>
      <c r="J1824" s="1" t="n"/>
      <c r="K1824" s="1" t="n"/>
      <c r="L1824" s="6" t="n">
        <v>193.8980418</v>
      </c>
      <c r="M1824" s="1" t="n"/>
      <c r="N1824" s="1" t="n"/>
    </row>
    <row r="1825">
      <c r="A1825" s="1" t="inlineStr">
        <is>
          <t>71288023084269</t>
        </is>
      </c>
      <c r="B1825" s="1" t="inlineStr">
        <is>
          <t>ANILLO VF PERLÉE DUO SILVER</t>
        </is>
      </c>
      <c r="C1825" s="1" t="n"/>
      <c r="D1825" s="1" t="n"/>
      <c r="E1825" s="1" t="n"/>
      <c r="F1825" s="1" t="n"/>
      <c r="G1825" s="1" t="n"/>
      <c r="H1825" s="1" t="n"/>
      <c r="I1825" s="1" t="n"/>
      <c r="J1825" s="1" t="n"/>
      <c r="K1825" s="1" t="n"/>
      <c r="L1825" s="6" t="n">
        <v>193.8980418</v>
      </c>
      <c r="M1825" s="1" t="n"/>
      <c r="N1825" s="1" t="n"/>
    </row>
    <row r="1826">
      <c r="A1826" s="1" t="inlineStr">
        <is>
          <t>71288023182573</t>
        </is>
      </c>
      <c r="B1826" s="1" t="inlineStr">
        <is>
          <t>COLLAR T BEAN GOLD ZIRCONIAS</t>
        </is>
      </c>
      <c r="C1826" s="1" t="n"/>
      <c r="D1826" s="1" t="n"/>
      <c r="E1826" s="1" t="n"/>
      <c r="F1826" s="1" t="n"/>
      <c r="G1826" s="1" t="n"/>
      <c r="H1826" s="1" t="n"/>
      <c r="I1826" s="1" t="n"/>
      <c r="J1826" s="1" t="n"/>
      <c r="K1826" s="1" t="n"/>
      <c r="L1826" s="6" t="n">
        <v>215.7388725</v>
      </c>
      <c r="M1826" s="1" t="n"/>
      <c r="N1826" s="1" t="n"/>
    </row>
    <row r="1827">
      <c r="A1827" s="1" t="inlineStr">
        <is>
          <t>71288023246413</t>
        </is>
      </c>
      <c r="B1827" s="1" t="inlineStr">
        <is>
          <t>COLLAR T BEAN SILVER ZIRCONIAS</t>
        </is>
      </c>
      <c r="C1827" s="1" t="n"/>
      <c r="D1827" s="1" t="n"/>
      <c r="E1827" s="1" t="n"/>
      <c r="F1827" s="1" t="n"/>
      <c r="G1827" s="1" t="n"/>
      <c r="H1827" s="1" t="n"/>
      <c r="I1827" s="1" t="n"/>
      <c r="J1827" s="1" t="n"/>
      <c r="K1827" s="1" t="n"/>
      <c r="L1827" s="6" t="n">
        <v>215.7388725</v>
      </c>
      <c r="M1827" s="1" t="n"/>
      <c r="N1827" s="1" t="n"/>
    </row>
    <row r="1828">
      <c r="A1828" s="1" t="inlineStr">
        <is>
          <t>71326661043149</t>
        </is>
      </c>
      <c r="B1828" s="1" t="inlineStr">
        <is>
          <t>TRAJE DE BAÑO COMPLETO F LOGOS</t>
        </is>
      </c>
      <c r="C1828" s="1" t="n"/>
      <c r="D1828" s="1" t="n"/>
      <c r="E1828" s="1" t="n"/>
      <c r="F1828" s="1" t="n"/>
      <c r="G1828" s="1" t="n"/>
      <c r="H1828" s="1" t="n"/>
      <c r="I1828" s="6" t="n">
        <v>587.8707114</v>
      </c>
      <c r="J1828" s="1" t="n"/>
      <c r="K1828" s="1" t="n"/>
      <c r="L1828" s="1" t="n"/>
      <c r="M1828" s="1" t="n"/>
      <c r="N1828" s="1" t="n"/>
    </row>
    <row r="1829">
      <c r="A1829" s="1" t="inlineStr">
        <is>
          <t>71417611050957</t>
        </is>
      </c>
      <c r="B1829" s="1" t="inlineStr">
        <is>
          <t>LENTES LV ESCAPE SQUARE SILVER</t>
        </is>
      </c>
      <c r="C1829" s="1" t="n"/>
      <c r="D1829" s="1" t="n"/>
      <c r="E1829" s="1" t="n"/>
      <c r="F1829" s="1" t="n"/>
      <c r="G1829" s="1" t="n"/>
      <c r="H1829" s="1" t="n"/>
      <c r="I1829" s="1" t="n"/>
      <c r="J1829" s="1" t="n"/>
      <c r="K1829" s="1" t="n"/>
      <c r="L1829" s="6" t="n">
        <v>848.1479836</v>
      </c>
      <c r="M1829" s="1" t="n"/>
      <c r="N1829" s="1" t="n"/>
    </row>
    <row r="1830">
      <c r="A1830" s="1" t="inlineStr">
        <is>
          <t>71556651035341</t>
        </is>
      </c>
      <c r="B1830" s="1" t="inlineStr">
        <is>
          <t>TRAJE DE BAÑO CD</t>
        </is>
      </c>
      <c r="C1830" s="1" t="n"/>
      <c r="D1830" s="1" t="n"/>
      <c r="E1830" s="1" t="n"/>
      <c r="F1830" s="1" t="n"/>
      <c r="G1830" s="1" t="n"/>
      <c r="H1830" s="1" t="n"/>
      <c r="I1830" s="1" t="n"/>
      <c r="J1830" s="6" t="n">
        <v>650.7378167000001</v>
      </c>
      <c r="K1830" s="1" t="n"/>
      <c r="L1830" s="1" t="n"/>
      <c r="M1830" s="1" t="n"/>
      <c r="N1830" s="1" t="n"/>
    </row>
    <row r="1831">
      <c r="A1831" s="1" t="inlineStr">
        <is>
          <t>71628204107916</t>
        </is>
      </c>
      <c r="B1831" s="1" t="n"/>
      <c r="C1831" s="1" t="n"/>
      <c r="D1831" s="1" t="n"/>
      <c r="E1831" s="1" t="n"/>
      <c r="F1831" s="1" t="n"/>
      <c r="G1831" s="1" t="n"/>
      <c r="H1831" s="1" t="n"/>
      <c r="I1831" s="6" t="n">
        <v>811.300956</v>
      </c>
      <c r="J1831" s="1" t="n"/>
      <c r="K1831" s="1" t="n"/>
      <c r="L1831" s="1" t="n"/>
      <c r="M1831" s="1" t="n"/>
      <c r="N1831" s="1" t="n"/>
    </row>
    <row r="1832">
      <c r="A1832" s="1" t="inlineStr">
        <is>
          <t>71628204927116</t>
        </is>
      </c>
      <c r="B1832" s="1" t="inlineStr">
        <is>
          <t>SANDALIAS H BLACK</t>
        </is>
      </c>
      <c r="C1832" s="1" t="n"/>
      <c r="D1832" s="6" t="n">
        <v>856.0892956</v>
      </c>
      <c r="E1832" s="1" t="n"/>
      <c r="F1832" s="1" t="n"/>
      <c r="G1832" s="1" t="n"/>
      <c r="H1832" s="1" t="n"/>
      <c r="I1832" s="6" t="n">
        <v>919.4744168</v>
      </c>
      <c r="J1832" s="6" t="n">
        <v>913.152137</v>
      </c>
      <c r="K1832" s="1" t="n"/>
      <c r="L1832" s="1" t="n"/>
      <c r="M1832" s="1" t="n"/>
      <c r="N1832" s="1" t="n"/>
    </row>
    <row r="1833">
      <c r="A1833" s="1" t="inlineStr">
        <is>
          <t>71628204959884</t>
        </is>
      </c>
      <c r="B1833" s="1" t="inlineStr">
        <is>
          <t>SANDALIAS H BLACK</t>
        </is>
      </c>
      <c r="C1833" s="1" t="n"/>
      <c r="D1833" s="6" t="n">
        <v>856.0892956</v>
      </c>
      <c r="E1833" s="1" t="n"/>
      <c r="F1833" s="1" t="n"/>
      <c r="G1833" s="1" t="n"/>
      <c r="H1833" s="6" t="n">
        <v>903.9725409</v>
      </c>
      <c r="I1833" s="6" t="n">
        <v>919.4744168</v>
      </c>
      <c r="J1833" s="1" t="n"/>
      <c r="K1833" s="1" t="n"/>
      <c r="L1833" s="1" t="n"/>
      <c r="M1833" s="1" t="n"/>
      <c r="N1833" s="1" t="n"/>
    </row>
    <row r="1834">
      <c r="A1834" s="1" t="inlineStr">
        <is>
          <t>71628205615244</t>
        </is>
      </c>
      <c r="B1834" s="1" t="inlineStr">
        <is>
          <t>SANDALIAS H BROWN</t>
        </is>
      </c>
      <c r="C1834" s="1" t="n"/>
      <c r="D1834" s="6" t="n">
        <v>755.3729079</v>
      </c>
      <c r="E1834" s="1" t="n"/>
      <c r="F1834" s="1" t="n"/>
      <c r="G1834" s="1" t="n"/>
      <c r="H1834" s="1" t="n"/>
      <c r="I1834" s="6" t="n">
        <v>811.300956</v>
      </c>
      <c r="J1834" s="1" t="n"/>
      <c r="K1834" s="1" t="n"/>
      <c r="L1834" s="6" t="n">
        <v>795.0313493</v>
      </c>
      <c r="M1834" s="1" t="n"/>
      <c r="N1834" s="1" t="n"/>
    </row>
    <row r="1835">
      <c r="A1835" s="1" t="inlineStr">
        <is>
          <t>71628205648012</t>
        </is>
      </c>
      <c r="B1835" s="1" t="inlineStr">
        <is>
          <t>SANDALIAS H BROWN</t>
        </is>
      </c>
      <c r="C1835" s="1" t="n"/>
      <c r="D1835" s="1" t="n"/>
      <c r="E1835" s="1" t="n"/>
      <c r="F1835" s="1" t="n"/>
      <c r="G1835" s="1" t="n"/>
      <c r="H1835" s="1" t="n"/>
      <c r="I1835" s="6" t="n">
        <v>811.300956</v>
      </c>
      <c r="J1835" s="6" t="n">
        <v>805.7224738</v>
      </c>
      <c r="K1835" s="1" t="n"/>
      <c r="L1835" s="6" t="n">
        <v>795.0313493</v>
      </c>
      <c r="M1835" s="1" t="n"/>
      <c r="N1835" s="1" t="n"/>
    </row>
    <row r="1836">
      <c r="A1836" s="1" t="inlineStr">
        <is>
          <t>72002479482508</t>
        </is>
      </c>
      <c r="B1836" s="1" t="inlineStr">
        <is>
          <t>ZAPATILLA J’ADIOR</t>
        </is>
      </c>
      <c r="C1836" s="1" t="n"/>
      <c r="D1836" s="1" t="n"/>
      <c r="E1836" s="1" t="n"/>
      <c r="F1836" s="1" t="n"/>
      <c r="G1836" s="1" t="n"/>
      <c r="H1836" s="6" t="n">
        <v>1509.832763</v>
      </c>
      <c r="I1836" s="1" t="n"/>
      <c r="J1836" s="1" t="n"/>
      <c r="K1836" s="1" t="n"/>
      <c r="L1836" s="1" t="n"/>
      <c r="M1836" s="1" t="n"/>
      <c r="N1836" s="1" t="n"/>
    </row>
    <row r="1837">
      <c r="A1837" s="1" t="inlineStr">
        <is>
          <t>72002488652044</t>
        </is>
      </c>
      <c r="B1837" s="1" t="inlineStr">
        <is>
          <t>ZAPATILLA J’ADIOR</t>
        </is>
      </c>
      <c r="C1837" s="1" t="n"/>
      <c r="D1837" s="1" t="n"/>
      <c r="E1837" s="6" t="n">
        <v>1438.40634</v>
      </c>
      <c r="F1837" s="1" t="n"/>
      <c r="G1837" s="1" t="n"/>
      <c r="H1837" s="6" t="n">
        <v>1509.832763</v>
      </c>
      <c r="I1837" s="1" t="n"/>
      <c r="J1837" s="1" t="n"/>
      <c r="K1837" s="1" t="n"/>
      <c r="L1837" s="6" t="n">
        <v>1537.26822</v>
      </c>
      <c r="M1837" s="1" t="n"/>
      <c r="N1837" s="1" t="n"/>
    </row>
    <row r="1838">
      <c r="A1838" s="1" t="inlineStr">
        <is>
          <t>72002489425036</t>
        </is>
      </c>
      <c r="B1838" s="1" t="inlineStr">
        <is>
          <t>ZAPATILLAS YSL OPYUM BLACK</t>
        </is>
      </c>
      <c r="C1838" s="1" t="n"/>
      <c r="D1838" s="1" t="n"/>
      <c r="E1838" s="1" t="n"/>
      <c r="F1838" s="1" t="n"/>
      <c r="G1838" s="1" t="n"/>
      <c r="H1838" s="6" t="n">
        <v>1692.053959</v>
      </c>
      <c r="I1838" s="1" t="n"/>
      <c r="J1838" s="6" t="n">
        <v>1708.003422</v>
      </c>
      <c r="K1838" s="1" t="n"/>
      <c r="L1838" s="1" t="n"/>
      <c r="M1838" s="1" t="n"/>
      <c r="N1838" s="1" t="n"/>
    </row>
    <row r="1839">
      <c r="A1839" s="1" t="inlineStr">
        <is>
          <t>72002489515276</t>
        </is>
      </c>
      <c r="B1839" s="1" t="inlineStr">
        <is>
          <t>ZAPATILLA J’ADIOR</t>
        </is>
      </c>
      <c r="C1839" s="1" t="n"/>
      <c r="D1839" s="1" t="n"/>
      <c r="E1839" s="6" t="n">
        <v>1438.40634</v>
      </c>
      <c r="F1839" s="1" t="n"/>
      <c r="G1839" s="1" t="n"/>
      <c r="H1839" s="6" t="n">
        <v>1509.832763</v>
      </c>
      <c r="I1839" s="1" t="n"/>
      <c r="J1839" s="1" t="n"/>
      <c r="K1839" s="1" t="n"/>
      <c r="L1839" s="1" t="n"/>
      <c r="M1839" s="6" t="n">
        <v>1421.663314</v>
      </c>
      <c r="N1839" s="1" t="n"/>
    </row>
    <row r="1840">
      <c r="A1840" s="1" t="inlineStr">
        <is>
          <t>72002489640844</t>
        </is>
      </c>
      <c r="B1840" s="1" t="inlineStr">
        <is>
          <t>ZAPATILLAS CL KATE</t>
        </is>
      </c>
      <c r="C1840" s="1" t="n"/>
      <c r="D1840" s="1" t="n"/>
      <c r="E1840" s="1" t="n"/>
      <c r="F1840" s="1" t="n"/>
      <c r="G1840" s="1" t="n"/>
      <c r="H1840" s="1" t="n"/>
      <c r="I1840" s="1" t="n"/>
      <c r="J1840" s="6" t="n">
        <v>1261.294835</v>
      </c>
      <c r="K1840" s="1" t="n"/>
      <c r="L1840" s="1" t="n"/>
      <c r="M1840" s="6" t="n">
        <v>1176.54895</v>
      </c>
      <c r="N1840" s="1" t="n"/>
    </row>
    <row r="1841">
      <c r="A1841" s="1" t="inlineStr">
        <is>
          <t>72002489673612</t>
        </is>
      </c>
      <c r="B1841" s="1" t="inlineStr">
        <is>
          <t>ZAPATILLAS CL KATE</t>
        </is>
      </c>
      <c r="C1841" s="1" t="n"/>
      <c r="D1841" s="1" t="n"/>
      <c r="E1841" s="1" t="n"/>
      <c r="F1841" s="1" t="n"/>
      <c r="G1841" s="1" t="n"/>
      <c r="H1841" s="1" t="n"/>
      <c r="I1841" s="1" t="n"/>
      <c r="J1841" s="6" t="n">
        <v>1249.416608</v>
      </c>
      <c r="K1841" s="1" t="n"/>
      <c r="L1841" s="1" t="n"/>
      <c r="M1841" s="1" t="n"/>
      <c r="N1841" s="1" t="n"/>
    </row>
    <row r="1842">
      <c r="A1842" s="1" t="inlineStr">
        <is>
          <t>72083641016013</t>
        </is>
      </c>
      <c r="B1842" s="1" t="inlineStr">
        <is>
          <t>PULSERA MM GOLD-WHITE</t>
        </is>
      </c>
      <c r="C1842" s="1" t="n"/>
      <c r="D1842" s="1" t="n"/>
      <c r="E1842" s="6" t="n">
        <v>147.6865515</v>
      </c>
      <c r="F1842" s="1" t="n"/>
      <c r="G1842" s="1" t="n"/>
      <c r="H1842" s="1" t="n"/>
      <c r="I1842" s="6" t="n">
        <v>147.2687875</v>
      </c>
      <c r="J1842" s="1" t="n"/>
      <c r="K1842" s="1" t="n"/>
      <c r="L1842" s="1" t="n"/>
      <c r="M1842" s="1" t="n"/>
      <c r="N1842" s="1" t="n"/>
    </row>
    <row r="1843">
      <c r="A1843" s="1" t="inlineStr">
        <is>
          <t>72142921022125</t>
        </is>
      </c>
      <c r="B1843" s="1" t="inlineStr">
        <is>
          <t>ANILLO CD GOLD WHITE CON ZIRCONIA</t>
        </is>
      </c>
      <c r="C1843" s="1" t="n"/>
      <c r="D1843" s="1" t="n"/>
      <c r="E1843" s="6" t="n">
        <v>212.615424</v>
      </c>
      <c r="F1843" s="1" t="n"/>
      <c r="G1843" s="1" t="n"/>
      <c r="H1843" s="1" t="n"/>
      <c r="I1843" s="1" t="n"/>
      <c r="J1843" s="6" t="n">
        <v>232.0384465</v>
      </c>
      <c r="K1843" s="1" t="n"/>
      <c r="L1843" s="6" t="n">
        <v>238.5416204</v>
      </c>
      <c r="M1843" s="1" t="n"/>
      <c r="N1843" s="1" t="n"/>
    </row>
    <row r="1844">
      <c r="A1844" s="1" t="inlineStr">
        <is>
          <t>72142921022126</t>
        </is>
      </c>
      <c r="B1844" s="1" t="n"/>
      <c r="C1844" s="1" t="n"/>
      <c r="D1844" s="1" t="n"/>
      <c r="E1844" s="6" t="n">
        <v>212.615424</v>
      </c>
      <c r="F1844" s="1" t="n"/>
      <c r="G1844" s="1" t="n"/>
      <c r="H1844" s="1" t="n"/>
      <c r="I1844" s="1" t="n"/>
      <c r="J1844" s="1" t="n"/>
      <c r="K1844" s="1" t="n"/>
      <c r="L1844" s="1" t="n"/>
      <c r="M1844" s="1" t="n"/>
      <c r="N1844" s="1" t="n"/>
    </row>
    <row r="1845">
      <c r="A1845" s="1" t="inlineStr">
        <is>
          <t>72142921022127</t>
        </is>
      </c>
      <c r="B1845" s="1" t="n"/>
      <c r="C1845" s="1" t="n"/>
      <c r="D1845" s="1" t="n"/>
      <c r="E1845" s="6" t="n">
        <v>212.615424</v>
      </c>
      <c r="F1845" s="1" t="n"/>
      <c r="G1845" s="1" t="n"/>
      <c r="H1845" s="1" t="n"/>
      <c r="I1845" s="1" t="n"/>
      <c r="J1845" s="1" t="n"/>
      <c r="K1845" s="1" t="n"/>
      <c r="L1845" s="1" t="n"/>
      <c r="M1845" s="1" t="n"/>
      <c r="N1845" s="1" t="n"/>
    </row>
    <row r="1846">
      <c r="A1846" s="1" t="inlineStr">
        <is>
          <t>72233622795788</t>
        </is>
      </c>
      <c r="B1846" s="1" t="inlineStr">
        <is>
          <t>SUÉTER PR MILANO WHITE</t>
        </is>
      </c>
      <c r="C1846" s="1" t="n"/>
      <c r="D1846" s="1" t="n"/>
      <c r="E1846" s="1" t="n"/>
      <c r="F1846" s="1" t="n"/>
      <c r="G1846" s="1" t="n"/>
      <c r="H1846" s="1" t="n"/>
      <c r="I1846" s="1" t="n"/>
      <c r="J1846" s="1" t="n"/>
      <c r="K1846" s="6" t="n">
        <v>973.1335768</v>
      </c>
      <c r="L1846" s="1" t="n"/>
      <c r="M1846" s="1" t="n"/>
      <c r="N1846" s="1" t="n"/>
    </row>
    <row r="1847">
      <c r="A1847" s="1" t="inlineStr">
        <is>
          <t>72293841002509</t>
        </is>
      </c>
      <c r="B1847" s="1" t="inlineStr">
        <is>
          <t>PULSERA BV ROSEGOLD CON ZIRCONIA</t>
        </is>
      </c>
      <c r="C1847" s="1" t="n"/>
      <c r="D1847" s="6" t="n">
        <v>147.6782004</v>
      </c>
      <c r="E1847" s="1" t="n"/>
      <c r="F1847" s="1" t="n"/>
      <c r="G1847" s="1" t="n"/>
      <c r="H1847" s="1" t="n"/>
      <c r="I1847" s="1" t="n"/>
      <c r="J1847" s="1" t="n"/>
      <c r="K1847" s="1" t="n"/>
      <c r="L1847" s="6" t="n">
        <v>148.5304959</v>
      </c>
      <c r="M1847" s="6" t="n">
        <v>147.1022452</v>
      </c>
      <c r="N1847" s="1" t="n"/>
    </row>
    <row r="1848">
      <c r="A1848" s="1" t="inlineStr">
        <is>
          <t>73379601029069</t>
        </is>
      </c>
      <c r="B1848" s="1" t="inlineStr">
        <is>
          <t>PULSERA LOVE UNLIMITED GOLD</t>
        </is>
      </c>
      <c r="C1848" s="1" t="n"/>
      <c r="D1848" s="1" t="n"/>
      <c r="E1848" s="1" t="n"/>
      <c r="F1848" s="1" t="n"/>
      <c r="G1848" s="6" t="n">
        <v>313.7574002</v>
      </c>
      <c r="H1848" s="1" t="n"/>
      <c r="I1848" s="1" t="n"/>
      <c r="J1848" s="6" t="n">
        <v>426.0779243</v>
      </c>
      <c r="K1848" s="1" t="n"/>
      <c r="L1848" s="6" t="n">
        <v>314.8394294</v>
      </c>
      <c r="M1848" s="6" t="n">
        <v>315.2190969</v>
      </c>
      <c r="N1848" s="1" t="n"/>
    </row>
    <row r="1849">
      <c r="A1849" s="1" t="inlineStr">
        <is>
          <t>73379601161837</t>
        </is>
      </c>
      <c r="B1849" s="1" t="inlineStr">
        <is>
          <t>PULSERA LOVE UNLIMITED GOLD</t>
        </is>
      </c>
      <c r="C1849" s="1" t="n"/>
      <c r="D1849" s="1" t="n"/>
      <c r="E1849" s="1" t="n"/>
      <c r="F1849" s="1" t="n"/>
      <c r="G1849" s="6" t="n">
        <v>313.7574002</v>
      </c>
      <c r="H1849" s="1" t="n"/>
      <c r="I1849" s="1" t="n"/>
      <c r="J1849" s="1" t="n"/>
      <c r="K1849" s="1" t="n"/>
      <c r="L1849" s="6" t="n">
        <v>314.8394294</v>
      </c>
      <c r="M1849" s="6" t="n">
        <v>315.2190969</v>
      </c>
      <c r="N1849" s="1" t="n"/>
    </row>
    <row r="1850">
      <c r="A1850" s="1" t="inlineStr">
        <is>
          <t>73626631067117</t>
        </is>
      </c>
      <c r="B1850" s="1" t="inlineStr">
        <is>
          <t>BOLSA DE MANO G GREEN</t>
        </is>
      </c>
      <c r="C1850" s="1" t="n"/>
      <c r="D1850" s="1" t="n"/>
      <c r="E1850" s="6" t="n">
        <v>1086.701056</v>
      </c>
      <c r="F1850" s="1" t="n"/>
      <c r="G1850" s="1" t="n"/>
      <c r="H1850" s="6" t="n">
        <v>911.1059779</v>
      </c>
      <c r="I1850" s="1" t="n"/>
      <c r="J1850" s="6" t="n">
        <v>902.3717365</v>
      </c>
      <c r="K1850" s="1" t="n"/>
      <c r="L1850" s="1" t="n"/>
      <c r="M1850" s="6" t="n">
        <v>857.9002759</v>
      </c>
      <c r="N1850" s="1" t="n"/>
    </row>
    <row r="1851">
      <c r="A1851" s="1" t="inlineStr">
        <is>
          <t>73794531662733</t>
        </is>
      </c>
      <c r="B1851" s="1" t="inlineStr">
        <is>
          <t>BOLSO CD MY TOP HANDLE</t>
        </is>
      </c>
      <c r="C1851" s="1" t="n"/>
      <c r="D1851" s="1" t="n"/>
      <c r="E1851" s="1" t="n"/>
      <c r="F1851" s="1" t="n"/>
      <c r="G1851" s="1" t="n"/>
      <c r="H1851" s="1" t="n"/>
      <c r="I1851" s="1" t="n"/>
      <c r="J1851" s="6" t="n">
        <v>1445.233665</v>
      </c>
      <c r="K1851" s="1" t="n"/>
      <c r="L1851" s="6" t="n">
        <v>1457.754347</v>
      </c>
      <c r="M1851" s="1" t="n"/>
      <c r="N1851" s="1" t="n"/>
    </row>
    <row r="1852">
      <c r="A1852" s="1" t="inlineStr">
        <is>
          <t>73812531045133</t>
        </is>
      </c>
      <c r="B1852" s="1" t="inlineStr">
        <is>
          <t>SUETER LV BLACK CON EFECTO DEGRADADO</t>
        </is>
      </c>
      <c r="C1852" s="1" t="n"/>
      <c r="D1852" s="1" t="n"/>
      <c r="E1852" s="6" t="n">
        <v>637.846272</v>
      </c>
      <c r="F1852" s="1" t="n"/>
      <c r="G1852" s="1" t="n"/>
      <c r="H1852" s="1" t="n"/>
      <c r="I1852" s="1" t="n"/>
      <c r="J1852" s="1" t="n"/>
      <c r="K1852" s="1" t="n"/>
      <c r="L1852" s="1" t="n"/>
      <c r="M1852" s="1" t="n"/>
      <c r="N1852" s="1" t="n"/>
    </row>
    <row r="1853">
      <c r="A1853" s="1" t="inlineStr">
        <is>
          <t>74011331080589</t>
        </is>
      </c>
      <c r="B1853" s="1" t="inlineStr">
        <is>
          <t>ARETES MM GOLD</t>
        </is>
      </c>
      <c r="C1853" s="1" t="n"/>
      <c r="D1853" s="6" t="n">
        <v>148.7896974</v>
      </c>
      <c r="E1853" s="1" t="n"/>
      <c r="F1853" s="1" t="n"/>
      <c r="G1853" s="6" t="n">
        <v>146.4201201</v>
      </c>
      <c r="H1853" s="1" t="n"/>
      <c r="I1853" s="6" t="n">
        <v>147.4794725</v>
      </c>
      <c r="J1853" s="6" t="n">
        <v>149.1272735</v>
      </c>
      <c r="K1853" s="1" t="n"/>
      <c r="L1853" s="6" t="n">
        <v>146.9250671</v>
      </c>
      <c r="M1853" s="1" t="n"/>
      <c r="N1853" s="1" t="n"/>
    </row>
    <row r="1854">
      <c r="A1854" s="1" t="inlineStr">
        <is>
          <t>74289381073037</t>
        </is>
      </c>
      <c r="B1854" s="1" t="inlineStr">
        <is>
          <t>PULSERA LOVE UNLIMITED ROSEGOLD</t>
        </is>
      </c>
      <c r="C1854" s="1" t="n"/>
      <c r="D1854" s="1" t="n"/>
      <c r="E1854" s="1" t="n"/>
      <c r="F1854" s="1" t="n"/>
      <c r="G1854" s="6" t="n">
        <v>313.7574002</v>
      </c>
      <c r="H1854" s="1" t="n"/>
      <c r="I1854" s="1" t="n"/>
      <c r="J1854" s="6" t="n">
        <v>426.0779243</v>
      </c>
      <c r="K1854" s="1" t="n"/>
      <c r="L1854" s="6" t="n">
        <v>314.8394294</v>
      </c>
      <c r="M1854" s="1" t="n"/>
      <c r="N1854" s="1" t="n"/>
    </row>
    <row r="1855">
      <c r="A1855" s="1" t="inlineStr">
        <is>
          <t>74289381105805</t>
        </is>
      </c>
      <c r="B1855" s="1" t="inlineStr">
        <is>
          <t>PULSERA LOVE UNLIMITED ROSEGOLD</t>
        </is>
      </c>
      <c r="C1855" s="1" t="n"/>
      <c r="D1855" s="1" t="n"/>
      <c r="E1855" s="1" t="n"/>
      <c r="F1855" s="1" t="n"/>
      <c r="G1855" s="6" t="n">
        <v>313.7574002</v>
      </c>
      <c r="H1855" s="1" t="n"/>
      <c r="I1855" s="1" t="n"/>
      <c r="J1855" s="6" t="n">
        <v>426.0779243</v>
      </c>
      <c r="K1855" s="6" t="n">
        <v>315.4721038</v>
      </c>
      <c r="L1855" s="1" t="n"/>
      <c r="M1855" s="1" t="n"/>
      <c r="N1855" s="1" t="n"/>
    </row>
    <row r="1856">
      <c r="A1856" s="1" t="inlineStr">
        <is>
          <t>74289381238573</t>
        </is>
      </c>
      <c r="B1856" s="1" t="inlineStr">
        <is>
          <t>PULSERA LOVE UNLIMITED ROSEGOLD</t>
        </is>
      </c>
      <c r="C1856" s="1" t="n"/>
      <c r="D1856" s="1" t="n"/>
      <c r="E1856" s="1" t="n"/>
      <c r="F1856" s="1" t="n"/>
      <c r="G1856" s="6" t="n">
        <v>313.7574002</v>
      </c>
      <c r="H1856" s="1" t="n"/>
      <c r="I1856" s="1" t="n"/>
      <c r="J1856" s="1" t="n"/>
      <c r="K1856" s="6" t="n">
        <v>315.4721038</v>
      </c>
      <c r="L1856" s="1" t="n"/>
      <c r="M1856" s="6" t="n">
        <v>315.2190969</v>
      </c>
      <c r="N1856" s="1" t="n"/>
    </row>
    <row r="1857">
      <c r="A1857" s="1" t="inlineStr">
        <is>
          <t>75012331065165</t>
        </is>
      </c>
      <c r="B1857" s="1" t="inlineStr">
        <is>
          <t>PULSERA SIGNATURE ROSEGOLD VF</t>
        </is>
      </c>
      <c r="C1857" s="1" t="n"/>
      <c r="D1857" s="1" t="n"/>
      <c r="E1857" s="1" t="n"/>
      <c r="F1857" s="1" t="n"/>
      <c r="G1857" s="1" t="n"/>
      <c r="H1857" s="1" t="n"/>
      <c r="I1857" s="1" t="n"/>
      <c r="J1857" s="1" t="n"/>
      <c r="K1857" s="1" t="n"/>
      <c r="L1857" s="6" t="n">
        <v>251.8715435</v>
      </c>
      <c r="M1857" s="1" t="n"/>
      <c r="N1857" s="1" t="n"/>
    </row>
    <row r="1858">
      <c r="A1858" s="1" t="inlineStr">
        <is>
          <t>75249151006253</t>
        </is>
      </c>
      <c r="B1858" s="1" t="inlineStr">
        <is>
          <t>ARETES BV ZERO 1 GOLD CON ZIRCONIA</t>
        </is>
      </c>
      <c r="C1858" s="1" t="n"/>
      <c r="D1858" s="1" t="n"/>
      <c r="E1858" s="6" t="n">
        <v>212.615424</v>
      </c>
      <c r="F1858" s="1" t="n"/>
      <c r="G1858" s="1" t="n"/>
      <c r="H1858" s="1" t="n"/>
      <c r="I1858" s="1" t="n"/>
      <c r="J1858" s="1" t="n"/>
      <c r="K1858" s="1" t="n"/>
      <c r="L1858" s="1" t="n"/>
      <c r="M1858" s="1" t="n"/>
      <c r="N1858" s="1" t="n"/>
    </row>
    <row r="1859">
      <c r="A1859" s="1" t="inlineStr">
        <is>
          <t>75330961067949</t>
        </is>
      </c>
      <c r="B1859" s="1" t="inlineStr">
        <is>
          <t>PULSERA DOS VUELTAS SERPENTI ROSEGOLD CON ZIRCONIA</t>
        </is>
      </c>
      <c r="C1859" s="1" t="n"/>
      <c r="D1859" s="6" t="n">
        <v>527.4221442</v>
      </c>
      <c r="E1859" s="1" t="n"/>
      <c r="F1859" s="1" t="n"/>
      <c r="G1859" s="1" t="n"/>
      <c r="H1859" s="1" t="n"/>
      <c r="I1859" s="6" t="n">
        <v>526.7124016</v>
      </c>
      <c r="J1859" s="1" t="n"/>
      <c r="K1859" s="1" t="n"/>
      <c r="L1859" s="1" t="n"/>
      <c r="M1859" s="1" t="n"/>
      <c r="N1859" s="1" t="n"/>
    </row>
    <row r="1860">
      <c r="A1860" s="1" t="inlineStr">
        <is>
          <t>75333231061005</t>
        </is>
      </c>
      <c r="B1860" s="1" t="inlineStr">
        <is>
          <t>TARJETERO YSL BURGUNDY</t>
        </is>
      </c>
      <c r="C1860" s="1" t="n"/>
      <c r="D1860" s="1" t="n"/>
      <c r="E1860" s="1" t="n"/>
      <c r="F1860" s="1" t="n"/>
      <c r="G1860" s="1" t="n"/>
      <c r="H1860" s="1" t="n"/>
      <c r="I1860" s="1" t="n"/>
      <c r="J1860" s="6" t="n">
        <v>537.1483158999999</v>
      </c>
      <c r="K1860" s="1" t="n"/>
      <c r="L1860" s="1" t="n"/>
      <c r="M1860" s="1" t="n"/>
      <c r="N1860" s="1" t="n"/>
    </row>
    <row r="1861">
      <c r="A1861" s="1" t="inlineStr">
        <is>
          <t>76195311060109</t>
        </is>
      </c>
      <c r="B1861" s="1" t="inlineStr">
        <is>
          <t>PULSERA T KNOT DELGADA GOLD ZIRCONIAS</t>
        </is>
      </c>
      <c r="C1861" s="1" t="n"/>
      <c r="D1861" s="1" t="n"/>
      <c r="E1861" s="1" t="n"/>
      <c r="F1861" s="1" t="n"/>
      <c r="G1861" s="1" t="n"/>
      <c r="H1861" s="1" t="n"/>
      <c r="I1861" s="1" t="n"/>
      <c r="J1861" s="1" t="n"/>
      <c r="K1861" s="1" t="n"/>
      <c r="L1861" s="6" t="n">
        <v>181.7642469</v>
      </c>
      <c r="M1861" s="1" t="n"/>
      <c r="N1861" s="1" t="n"/>
    </row>
    <row r="1862">
      <c r="A1862" s="1" t="inlineStr">
        <is>
          <t>76195311162349</t>
        </is>
      </c>
      <c r="B1862" s="1" t="inlineStr">
        <is>
          <t>PULSERA T KNOT DELGADA ROSEGOLD ZIRCONIAS</t>
        </is>
      </c>
      <c r="C1862" s="1" t="n"/>
      <c r="D1862" s="1" t="n"/>
      <c r="E1862" s="1" t="n"/>
      <c r="F1862" s="1" t="n"/>
      <c r="G1862" s="1" t="n"/>
      <c r="H1862" s="1" t="n"/>
      <c r="I1862" s="1" t="n"/>
      <c r="J1862" s="1" t="n"/>
      <c r="K1862" s="1" t="n"/>
      <c r="L1862" s="6" t="n">
        <v>181.7642469</v>
      </c>
      <c r="M1862" s="1" t="n"/>
      <c r="N1862" s="1" t="n"/>
    </row>
    <row r="1863">
      <c r="A1863" s="1" t="inlineStr">
        <is>
          <t>76327071018669</t>
        </is>
      </c>
      <c r="B1863" s="1" t="inlineStr">
        <is>
          <t>ARRACADAS SERPENTI VIPPER GOLD CON ZIRCONIA</t>
        </is>
      </c>
      <c r="C1863" s="1" t="n"/>
      <c r="D1863" s="1" t="n"/>
      <c r="E1863" s="6" t="n">
        <v>212.615424</v>
      </c>
      <c r="F1863" s="1" t="n"/>
      <c r="G1863" s="1" t="n"/>
      <c r="H1863" s="1" t="n"/>
      <c r="I1863" s="1" t="n"/>
      <c r="J1863" s="6" t="n">
        <v>234.265614</v>
      </c>
      <c r="K1863" s="1" t="n"/>
      <c r="L1863" s="1" t="n"/>
      <c r="M1863" s="6" t="n">
        <v>220.6029281</v>
      </c>
      <c r="N1863" s="1" t="n"/>
    </row>
    <row r="1864">
      <c r="A1864" s="1" t="inlineStr">
        <is>
          <t>76843721024525</t>
        </is>
      </c>
      <c r="B1864" s="1" t="inlineStr">
        <is>
          <t>ANILLO SIXTEEN STONE GOLD/RED</t>
        </is>
      </c>
      <c r="C1864" s="1" t="n"/>
      <c r="D1864" s="1" t="n"/>
      <c r="E1864" s="1" t="n"/>
      <c r="F1864" s="1" t="n"/>
      <c r="G1864" s="1" t="n"/>
      <c r="H1864" s="1" t="n"/>
      <c r="I1864" s="1" t="n"/>
      <c r="J1864" s="1" t="n"/>
      <c r="K1864" s="1" t="n"/>
      <c r="L1864" s="6" t="n">
        <v>125.9357718</v>
      </c>
      <c r="M1864" s="1" t="n"/>
      <c r="N1864" s="1" t="n"/>
    </row>
    <row r="1865">
      <c r="A1865" s="1" t="inlineStr">
        <is>
          <t>77000701043565</t>
        </is>
      </c>
      <c r="B1865" s="1" t="inlineStr">
        <is>
          <t>PULSERA BV SILVER CON ZIRCONIA</t>
        </is>
      </c>
      <c r="C1865" s="1" t="n"/>
      <c r="D1865" s="6" t="n">
        <v>147.6782004</v>
      </c>
      <c r="E1865" s="1" t="n"/>
      <c r="F1865" s="1" t="n"/>
      <c r="G1865" s="1" t="n"/>
      <c r="H1865" s="1" t="n"/>
      <c r="I1865" s="1" t="n"/>
      <c r="J1865" s="1" t="n"/>
      <c r="K1865" s="1" t="n"/>
      <c r="L1865" s="1" t="n"/>
      <c r="M1865" s="1" t="n"/>
      <c r="N1865" s="1" t="n"/>
    </row>
    <row r="1866">
      <c r="A1866" s="1" t="inlineStr">
        <is>
          <t>77137551049901</t>
        </is>
      </c>
      <c r="B1866" s="1" t="inlineStr">
        <is>
          <t>CINTO FR</t>
        </is>
      </c>
      <c r="C1866" s="1" t="n"/>
      <c r="D1866" s="1" t="n"/>
      <c r="E1866" s="1" t="n"/>
      <c r="F1866" s="1" t="n"/>
      <c r="G1866" s="1" t="n"/>
      <c r="H1866" s="1" t="n"/>
      <c r="I1866" s="1" t="n"/>
      <c r="J1866" s="1" t="n"/>
      <c r="K1866" s="1" t="n"/>
      <c r="L1866" s="6" t="n">
        <v>238.5094048</v>
      </c>
      <c r="M1866" s="1" t="n"/>
      <c r="N1866" s="1" t="n"/>
    </row>
    <row r="1867">
      <c r="A1867" s="1" t="inlineStr">
        <is>
          <t>77137551158381</t>
        </is>
      </c>
      <c r="B1867" s="1" t="inlineStr">
        <is>
          <t>SANDALIAS CC TONGS WHITE</t>
        </is>
      </c>
      <c r="C1867" s="1" t="n"/>
      <c r="D1867" s="1" t="n"/>
      <c r="E1867" s="1" t="n"/>
      <c r="F1867" s="1" t="n"/>
      <c r="G1867" s="1" t="n"/>
      <c r="H1867" s="1" t="n"/>
      <c r="I1867" s="1" t="n"/>
      <c r="J1867" s="1" t="n"/>
      <c r="K1867" s="1" t="n"/>
      <c r="L1867" s="6" t="n">
        <v>1033.540754</v>
      </c>
      <c r="M1867" s="1" t="n"/>
      <c r="N1867" s="1" t="n"/>
    </row>
    <row r="1868">
      <c r="A1868" s="1" t="inlineStr">
        <is>
          <t>77137551286061</t>
        </is>
      </c>
      <c r="B1868" s="1" t="inlineStr">
        <is>
          <t>TARJETERO CC CLASSIC</t>
        </is>
      </c>
      <c r="C1868" s="1" t="n"/>
      <c r="D1868" s="1" t="n"/>
      <c r="E1868" s="1" t="n"/>
      <c r="F1868" s="1" t="n"/>
      <c r="G1868" s="1" t="n"/>
      <c r="H1868" s="1" t="n"/>
      <c r="I1868" s="1" t="n"/>
      <c r="J1868" s="1" t="n"/>
      <c r="K1868" s="1" t="n"/>
      <c r="L1868" s="6" t="n">
        <v>503.5198546</v>
      </c>
      <c r="M1868" s="1" t="n"/>
      <c r="N1868" s="1" t="n"/>
    </row>
    <row r="1869">
      <c r="A1869" s="1" t="inlineStr">
        <is>
          <t>77174549298188</t>
        </is>
      </c>
      <c r="B1869" s="1" t="inlineStr">
        <is>
          <t>ANILLO ONE T CON ZIRCONIA GOLD</t>
        </is>
      </c>
      <c r="C1869" s="1" t="n"/>
      <c r="D1869" s="6" t="n">
        <v>106.2783553</v>
      </c>
      <c r="E1869" s="1" t="n"/>
      <c r="F1869" s="1" t="n"/>
      <c r="G1869" s="1" t="n"/>
      <c r="H1869" s="1" t="n"/>
      <c r="I1869" s="1" t="n"/>
      <c r="J1869" s="1" t="n"/>
      <c r="K1869" s="1" t="n"/>
      <c r="L1869" s="1" t="n"/>
      <c r="M1869" s="1" t="n"/>
      <c r="N1869" s="1" t="n"/>
    </row>
    <row r="1870">
      <c r="A1870" s="1" t="inlineStr">
        <is>
          <t>77216891573644</t>
        </is>
      </c>
      <c r="B1870" s="1" t="inlineStr">
        <is>
          <t>GARGANTILLA SIXTEEN STONE</t>
        </is>
      </c>
      <c r="C1870" s="1" t="n"/>
      <c r="D1870" s="6" t="n">
        <v>531.3917766</v>
      </c>
      <c r="E1870" s="1" t="n"/>
      <c r="F1870" s="6" t="n">
        <v>526.5124611</v>
      </c>
      <c r="G1870" s="6" t="n">
        <v>522.9290003</v>
      </c>
      <c r="H1870" s="1" t="n"/>
      <c r="I1870" s="6" t="n">
        <v>526.7124016</v>
      </c>
      <c r="J1870" s="1" t="n"/>
      <c r="K1870" s="1" t="n"/>
      <c r="L1870" s="6" t="n">
        <v>530.4660567</v>
      </c>
      <c r="M1870" s="6" t="n">
        <v>525.3651615</v>
      </c>
      <c r="N1870" s="1" t="n"/>
    </row>
    <row r="1871">
      <c r="A1871" s="1" t="inlineStr">
        <is>
          <t>77216894110092</t>
        </is>
      </c>
      <c r="B1871" s="1" t="inlineStr">
        <is>
          <t>GORRA C LOGO WHITE</t>
        </is>
      </c>
      <c r="C1871" s="1" t="n"/>
      <c r="D1871" s="1" t="n"/>
      <c r="E1871" s="1" t="n"/>
      <c r="F1871" s="1" t="n"/>
      <c r="G1871" s="1" t="n"/>
      <c r="H1871" s="6" t="n">
        <v>220.6756497</v>
      </c>
      <c r="I1871" s="6" t="n">
        <v>224.4599311</v>
      </c>
      <c r="J1871" s="1" t="n"/>
      <c r="K1871" s="6" t="n">
        <v>215.3857687</v>
      </c>
      <c r="L1871" s="1" t="n"/>
      <c r="M1871" s="1" t="n"/>
      <c r="N1871" s="1" t="n"/>
    </row>
    <row r="1872">
      <c r="A1872" s="1" t="inlineStr">
        <is>
          <t>77275241042893</t>
        </is>
      </c>
      <c r="B1872" s="1" t="inlineStr">
        <is>
          <t>ARETES MM HEART GOLD WHITE</t>
        </is>
      </c>
      <c r="C1872" s="1" t="n"/>
      <c r="D1872" s="1" t="n"/>
      <c r="E1872" s="6" t="n">
        <v>188.991488</v>
      </c>
      <c r="F1872" s="1" t="n"/>
      <c r="G1872" s="1" t="n"/>
      <c r="H1872" s="6" t="n">
        <v>208.252795</v>
      </c>
      <c r="I1872" s="1" t="n"/>
      <c r="J1872" s="6" t="n">
        <v>206.2563969</v>
      </c>
      <c r="K1872" s="1" t="n"/>
      <c r="L1872" s="6" t="n">
        <v>212.0369959</v>
      </c>
      <c r="M1872" s="6" t="n">
        <v>196.0914916</v>
      </c>
      <c r="N1872" s="1" t="n"/>
    </row>
    <row r="1873">
      <c r="A1873" s="1" t="inlineStr">
        <is>
          <t>77590341697164</t>
        </is>
      </c>
      <c r="B1873" s="1" t="inlineStr">
        <is>
          <t>TRAJE DE BAÑO F MEN</t>
        </is>
      </c>
      <c r="C1873" s="1" t="n"/>
      <c r="D1873" s="6" t="n">
        <v>753.5353381</v>
      </c>
      <c r="E1873" s="1" t="n"/>
      <c r="F1873" s="1" t="n"/>
      <c r="G1873" s="1" t="n"/>
      <c r="H1873" s="1" t="n"/>
      <c r="I1873" s="1" t="n"/>
      <c r="J1873" s="1" t="n"/>
      <c r="K1873" s="1" t="n"/>
      <c r="L1873" s="6" t="n">
        <v>795.1387346</v>
      </c>
      <c r="M1873" s="1" t="n"/>
      <c r="N1873" s="1" t="n"/>
    </row>
    <row r="1874">
      <c r="A1874" s="1" t="inlineStr">
        <is>
          <t>77590341729932</t>
        </is>
      </c>
      <c r="B1874" s="1" t="inlineStr">
        <is>
          <t>TRAJE DE BAÑO F MEN</t>
        </is>
      </c>
      <c r="C1874" s="1" t="n"/>
      <c r="D1874" s="6" t="n">
        <v>753.5353381</v>
      </c>
      <c r="E1874" s="1" t="n"/>
      <c r="F1874" s="1" t="n"/>
      <c r="G1874" s="1" t="n"/>
      <c r="H1874" s="1" t="n"/>
      <c r="I1874" s="1" t="n"/>
      <c r="J1874" s="1" t="n"/>
      <c r="K1874" s="1" t="n"/>
      <c r="L1874" s="6" t="n">
        <v>795.1387346</v>
      </c>
      <c r="M1874" s="1" t="n"/>
      <c r="N1874" s="1" t="n"/>
    </row>
    <row r="1875">
      <c r="A1875" s="1" t="inlineStr">
        <is>
          <t>77590343216012</t>
        </is>
      </c>
      <c r="B1875" s="1" t="inlineStr">
        <is>
          <t>TRAJE DE BAÑO COMPLETO PR</t>
        </is>
      </c>
      <c r="C1875" s="1" t="n"/>
      <c r="D1875" s="1" t="n"/>
      <c r="E1875" s="1" t="n"/>
      <c r="F1875" s="1" t="n"/>
      <c r="G1875" s="1" t="n"/>
      <c r="H1875" s="6" t="n">
        <v>650.7899842</v>
      </c>
      <c r="I1875" s="1" t="n"/>
      <c r="J1875" s="1" t="n"/>
      <c r="K1875" s="6" t="n">
        <v>640.2194584</v>
      </c>
      <c r="L1875" s="1" t="n"/>
      <c r="M1875" s="1" t="n"/>
      <c r="N1875" s="1" t="n"/>
    </row>
    <row r="1876">
      <c r="A1876" s="1" t="inlineStr">
        <is>
          <t>77590343248780</t>
        </is>
      </c>
      <c r="B1876" s="1" t="inlineStr">
        <is>
          <t>TRAJE DE BAÑO COMPLETO PR</t>
        </is>
      </c>
      <c r="C1876" s="1" t="n"/>
      <c r="D1876" s="1" t="n"/>
      <c r="E1876" s="1" t="n"/>
      <c r="F1876" s="1" t="n"/>
      <c r="G1876" s="1" t="n"/>
      <c r="H1876" s="6" t="n">
        <v>650.7899842</v>
      </c>
      <c r="I1876" s="1" t="n"/>
      <c r="J1876" s="6" t="n">
        <v>656.9243931</v>
      </c>
      <c r="K1876" s="6" t="n">
        <v>640.2194584</v>
      </c>
      <c r="L1876" s="1" t="n"/>
      <c r="M1876" s="1" t="n"/>
      <c r="N1876" s="1" t="n"/>
    </row>
    <row r="1877">
      <c r="A1877" s="1" t="inlineStr">
        <is>
          <t>77590343909900</t>
        </is>
      </c>
      <c r="B1877" s="1" t="inlineStr">
        <is>
          <t>TRAJE DE BAÑO F</t>
        </is>
      </c>
      <c r="C1877" s="1" t="n"/>
      <c r="D1877" s="1" t="n"/>
      <c r="E1877" s="1" t="n"/>
      <c r="F1877" s="1" t="n"/>
      <c r="G1877" s="1" t="n"/>
      <c r="H1877" s="1" t="n"/>
      <c r="I1877" s="1" t="n"/>
      <c r="J1877" s="1" t="n"/>
      <c r="K1877" s="1" t="n"/>
      <c r="L1877" s="6" t="n">
        <v>662.6156122</v>
      </c>
      <c r="M1877" s="1" t="n"/>
      <c r="N1877" s="1" t="n"/>
    </row>
    <row r="1878">
      <c r="A1878" s="1" t="inlineStr">
        <is>
          <t>77590343942668</t>
        </is>
      </c>
      <c r="B1878" s="1" t="inlineStr">
        <is>
          <t>TRAJE DE BAÑO F</t>
        </is>
      </c>
      <c r="C1878" s="1" t="n"/>
      <c r="D1878" s="1" t="n"/>
      <c r="E1878" s="1" t="n"/>
      <c r="F1878" s="1" t="n"/>
      <c r="G1878" s="1" t="n"/>
      <c r="H1878" s="6" t="n">
        <v>650.7899842</v>
      </c>
      <c r="I1878" s="1" t="n"/>
      <c r="J1878" s="1" t="n"/>
      <c r="K1878" s="1" t="n"/>
      <c r="L1878" s="1" t="n"/>
      <c r="M1878" s="6" t="n">
        <v>612.7859114</v>
      </c>
      <c r="N1878" s="1" t="n"/>
    </row>
    <row r="1879">
      <c r="A1879" s="1" t="inlineStr">
        <is>
          <t>77590344914188</t>
        </is>
      </c>
      <c r="B1879" s="1" t="inlineStr">
        <is>
          <t>TRAJE DE BAÑO COMPLETO DG</t>
        </is>
      </c>
      <c r="C1879" s="1" t="n"/>
      <c r="D1879" s="1" t="n"/>
      <c r="E1879" s="1" t="n"/>
      <c r="F1879" s="1" t="n"/>
      <c r="G1879" s="1" t="n"/>
      <c r="H1879" s="6" t="n">
        <v>650.7899842</v>
      </c>
      <c r="I1879" s="1" t="n"/>
      <c r="J1879" s="1" t="n"/>
      <c r="K1879" s="1" t="n"/>
      <c r="L1879" s="6" t="n">
        <v>662.6156122</v>
      </c>
      <c r="M1879" s="1" t="n"/>
      <c r="N1879" s="1" t="n"/>
    </row>
    <row r="1880">
      <c r="A1880" s="1" t="inlineStr">
        <is>
          <t>77724991007277</t>
        </is>
      </c>
      <c r="B1880" s="1" t="inlineStr">
        <is>
          <t>PULSERA LOVE DELGADA SILVER</t>
        </is>
      </c>
      <c r="C1880" s="1" t="n"/>
      <c r="D1880" s="6" t="n">
        <v>106.2783553</v>
      </c>
      <c r="E1880" s="1" t="n"/>
      <c r="F1880" s="6" t="n">
        <v>105.3024922</v>
      </c>
      <c r="G1880" s="6" t="n">
        <v>94.12722005000001</v>
      </c>
      <c r="H1880" s="1" t="n"/>
      <c r="I1880" s="6" t="n">
        <v>105.3424803</v>
      </c>
      <c r="J1880" s="6" t="n">
        <v>106.5194811</v>
      </c>
      <c r="K1880" s="6" t="n">
        <v>94.64163114999999</v>
      </c>
      <c r="L1880" s="6" t="n">
        <v>104.9464765</v>
      </c>
      <c r="M1880" s="1" t="n"/>
      <c r="N1880" s="1" t="n"/>
    </row>
    <row r="1881">
      <c r="A1881" s="1" t="inlineStr">
        <is>
          <t>77724991140045</t>
        </is>
      </c>
      <c r="B1881" s="1" t="inlineStr">
        <is>
          <t>PULSERA LOVE DELGADA SILVER</t>
        </is>
      </c>
      <c r="C1881" s="1" t="n"/>
      <c r="D1881" s="1" t="n"/>
      <c r="E1881" s="1" t="n"/>
      <c r="F1881" s="1" t="n"/>
      <c r="G1881" s="6" t="n">
        <v>94.12722005000001</v>
      </c>
      <c r="H1881" s="6" t="n">
        <v>106.002089</v>
      </c>
      <c r="I1881" s="6" t="n">
        <v>105.3424803</v>
      </c>
      <c r="J1881" s="1" t="n"/>
      <c r="K1881" s="6" t="n">
        <v>94.64163114999999</v>
      </c>
      <c r="L1881" s="1" t="n"/>
      <c r="M1881" s="6" t="n">
        <v>105.0730323</v>
      </c>
      <c r="N1881" s="1" t="n"/>
    </row>
    <row r="1882">
      <c r="A1882" s="1" t="inlineStr">
        <is>
          <t>77724991272813</t>
        </is>
      </c>
      <c r="B1882" s="1" t="inlineStr">
        <is>
          <t>PULSERA LOVE DELGADA SILVER</t>
        </is>
      </c>
      <c r="C1882" s="1" t="n"/>
      <c r="D1882" s="1" t="n"/>
      <c r="E1882" s="1" t="n"/>
      <c r="F1882" s="1" t="n"/>
      <c r="G1882" s="1" t="n"/>
      <c r="H1882" s="1" t="n"/>
      <c r="I1882" s="1" t="n"/>
      <c r="J1882" s="1" t="n"/>
      <c r="K1882" s="1" t="n"/>
      <c r="L1882" s="6" t="n">
        <v>105.5198439</v>
      </c>
      <c r="M1882" s="1" t="n"/>
      <c r="N1882" s="1" t="n"/>
    </row>
    <row r="1883">
      <c r="A1883" s="1" t="inlineStr">
        <is>
          <t>77724991305581</t>
        </is>
      </c>
      <c r="B1883" s="1" t="inlineStr">
        <is>
          <t>PULSERA LOVE DELGADA SILVER</t>
        </is>
      </c>
      <c r="C1883" s="1" t="n"/>
      <c r="D1883" s="1" t="n"/>
      <c r="E1883" s="1" t="n"/>
      <c r="F1883" s="6" t="n">
        <v>105.3024922</v>
      </c>
      <c r="G1883" s="6" t="n">
        <v>94.12722005000001</v>
      </c>
      <c r="H1883" s="1" t="n"/>
      <c r="I1883" s="1" t="n"/>
      <c r="J1883" s="6" t="n">
        <v>106.5194811</v>
      </c>
      <c r="K1883" s="1" t="n"/>
      <c r="L1883" s="6" t="n">
        <v>106.0932113</v>
      </c>
      <c r="M1883" s="6" t="n">
        <v>105.0730323</v>
      </c>
      <c r="N1883" s="1" t="n"/>
    </row>
    <row r="1884">
      <c r="A1884" s="1" t="inlineStr">
        <is>
          <t>77763960600332</t>
        </is>
      </c>
      <c r="B1884" s="1" t="inlineStr">
        <is>
          <t>PERFUME BACCARAT</t>
        </is>
      </c>
      <c r="C1884" s="1" t="n"/>
      <c r="D1884" s="6" t="n">
        <v>452.1212029</v>
      </c>
      <c r="E1884" s="6" t="n">
        <v>446.4019675</v>
      </c>
      <c r="F1884" s="1" t="n"/>
      <c r="G1884" s="1" t="n"/>
      <c r="H1884" s="1" t="n"/>
      <c r="I1884" s="1" t="n"/>
      <c r="J1884" s="6" t="n">
        <v>464.076893</v>
      </c>
      <c r="K1884" s="6" t="n">
        <v>460.9580101</v>
      </c>
      <c r="L1884" s="1" t="n"/>
      <c r="M1884" s="1" t="n"/>
      <c r="N1884" s="1" t="n"/>
    </row>
    <row r="1885">
      <c r="A1885" s="1" t="inlineStr">
        <is>
          <t>77763961743628</t>
        </is>
      </c>
      <c r="B1885" s="1" t="inlineStr">
        <is>
          <t>PERFUME SANTAL 33</t>
        </is>
      </c>
      <c r="C1885" s="1" t="n"/>
      <c r="D1885" s="6" t="n">
        <v>452.1212029</v>
      </c>
      <c r="E1885" s="6" t="n">
        <v>446.4019675</v>
      </c>
      <c r="F1885" s="1" t="n"/>
      <c r="G1885" s="1" t="n"/>
      <c r="H1885" s="1" t="n"/>
      <c r="I1885" s="1" t="n"/>
      <c r="J1885" s="6" t="n">
        <v>468.531228</v>
      </c>
      <c r="K1885" s="1" t="n"/>
      <c r="L1885" s="1" t="n"/>
      <c r="M1885" s="1" t="n"/>
      <c r="N1885" s="1" t="n"/>
    </row>
    <row r="1886">
      <c r="A1886" s="1" t="inlineStr">
        <is>
          <t>77791751017421</t>
        </is>
      </c>
      <c r="B1886" s="1" t="inlineStr">
        <is>
          <t>COLLAR MSS MOVE SILVER LISO</t>
        </is>
      </c>
      <c r="C1886" s="1" t="n"/>
      <c r="D1886" s="6" t="n">
        <v>170.0453685</v>
      </c>
      <c r="E1886" s="1" t="n"/>
      <c r="F1886" s="1" t="n"/>
      <c r="G1886" s="1" t="n"/>
      <c r="H1886" s="1" t="n"/>
      <c r="I1886" s="6" t="n">
        <v>168.5479685</v>
      </c>
      <c r="J1886" s="1" t="n"/>
      <c r="K1886" s="1" t="n"/>
      <c r="L1886" s="6" t="n">
        <v>169.7491381</v>
      </c>
      <c r="M1886" s="1" t="n"/>
      <c r="N1886" s="1" t="n"/>
    </row>
    <row r="1887">
      <c r="A1887" s="1" t="inlineStr">
        <is>
          <t>77944125775884</t>
        </is>
      </c>
      <c r="B1887" s="1" t="inlineStr">
        <is>
          <t>VESTIDO A BACKSPIN</t>
        </is>
      </c>
      <c r="C1887" s="1" t="n"/>
      <c r="D1887" s="1" t="n"/>
      <c r="E1887" s="1" t="n"/>
      <c r="F1887" s="1" t="n"/>
      <c r="G1887" s="1" t="n"/>
      <c r="H1887" s="1" t="n"/>
      <c r="I1887" s="1" t="n"/>
      <c r="J1887" s="1" t="n"/>
      <c r="K1887" s="1" t="n"/>
      <c r="L1887" s="1" t="n"/>
      <c r="M1887" s="6" t="n">
        <v>588.2744749</v>
      </c>
      <c r="N1887" s="1" t="n"/>
    </row>
    <row r="1888">
      <c r="A1888" s="1" t="inlineStr">
        <is>
          <t>77978447716236</t>
        </is>
      </c>
      <c r="B1888" s="1" t="inlineStr">
        <is>
          <t>PULSERA LV CON INSIGNIA</t>
        </is>
      </c>
      <c r="C1888" s="1" t="n"/>
      <c r="D1888" s="6" t="n">
        <v>221.576053</v>
      </c>
      <c r="E1888" s="1" t="n"/>
      <c r="F1888" s="1" t="n"/>
      <c r="G1888" s="1" t="n"/>
      <c r="H1888" s="1" t="n"/>
      <c r="I1888" s="1" t="n"/>
      <c r="J1888" s="1" t="n"/>
      <c r="K1888" s="1" t="n"/>
      <c r="L1888" s="6" t="n">
        <v>233.2091958</v>
      </c>
      <c r="M1888" s="1" t="n"/>
      <c r="N1888" s="1" t="n"/>
    </row>
    <row r="1889">
      <c r="A1889" s="1" t="inlineStr">
        <is>
          <t>78326321018849</t>
        </is>
      </c>
      <c r="B1889" s="1" t="inlineStr">
        <is>
          <t>COLLAR LOVESTRUCK</t>
        </is>
      </c>
      <c r="C1889" s="1" t="n"/>
      <c r="D1889" s="6" t="n">
        <v>226.0606014</v>
      </c>
      <c r="E1889" s="1" t="n"/>
      <c r="F1889" s="1" t="n"/>
      <c r="G1889" s="1" t="n"/>
      <c r="H1889" s="1" t="n"/>
      <c r="I1889" s="6" t="n">
        <v>128.1257543</v>
      </c>
      <c r="J1889" s="6" t="n">
        <v>188.52836955</v>
      </c>
      <c r="K1889" s="6" t="n">
        <v>230.479005</v>
      </c>
      <c r="L1889" s="1" t="n"/>
      <c r="M1889" s="6" t="n">
        <v>220.6029281</v>
      </c>
      <c r="N1889" s="1" t="n"/>
    </row>
    <row r="1890">
      <c r="A1890" s="1" t="inlineStr">
        <is>
          <t>78439551060397</t>
        </is>
      </c>
      <c r="B1890" s="1" t="inlineStr">
        <is>
          <t>COLLAR MM SILVER WHITE</t>
        </is>
      </c>
      <c r="C1890" s="1" t="n"/>
      <c r="D1890" s="1" t="n"/>
      <c r="E1890" s="6" t="n">
        <v>188.991488</v>
      </c>
      <c r="F1890" s="1" t="n"/>
      <c r="G1890" s="1" t="n"/>
      <c r="H1890" s="1" t="n"/>
      <c r="I1890" s="1" t="n"/>
      <c r="J1890" s="1" t="n"/>
      <c r="K1890" s="1" t="n"/>
      <c r="L1890" s="1" t="n"/>
      <c r="M1890" s="1" t="n"/>
      <c r="N1890" s="1" t="n"/>
    </row>
    <row r="1891">
      <c r="A1891" s="1" t="inlineStr">
        <is>
          <t>79010371019917</t>
        </is>
      </c>
      <c r="B1891" s="1" t="inlineStr">
        <is>
          <t>SOMBRERO MM BEACH RAFFIA CAQUI</t>
        </is>
      </c>
      <c r="C1891" s="1" t="n"/>
      <c r="D1891" s="1" t="n"/>
      <c r="E1891" s="1" t="n"/>
      <c r="F1891" s="1" t="n"/>
      <c r="G1891" s="1" t="n"/>
      <c r="H1891" s="1" t="n"/>
      <c r="I1891" s="1" t="n"/>
      <c r="J1891" s="1" t="n"/>
      <c r="K1891" s="1" t="n"/>
      <c r="L1891" s="6" t="n">
        <v>424.0167196</v>
      </c>
      <c r="M1891" s="1" t="n"/>
      <c r="N1891" s="1" t="n"/>
    </row>
    <row r="1892">
      <c r="A1892" s="1" t="inlineStr">
        <is>
          <t>79024851004397</t>
        </is>
      </c>
      <c r="B1892" s="1" t="inlineStr">
        <is>
          <t>COLLAR MSS MOVE GOLD LISO</t>
        </is>
      </c>
      <c r="C1892" s="1" t="n"/>
      <c r="D1892" s="6" t="n">
        <v>170.0453685</v>
      </c>
      <c r="E1892" s="1" t="n"/>
      <c r="F1892" s="1" t="n"/>
      <c r="G1892" s="1" t="n"/>
      <c r="H1892" s="1" t="n"/>
      <c r="I1892" s="6" t="n">
        <v>168.5479685</v>
      </c>
      <c r="J1892" s="1" t="n"/>
      <c r="K1892" s="6" t="n">
        <v>168.2517887</v>
      </c>
      <c r="L1892" s="6" t="n">
        <v>167.9143624</v>
      </c>
      <c r="M1892" s="6" t="n">
        <v>168.1168517</v>
      </c>
      <c r="N1892" s="1" t="n"/>
    </row>
    <row r="1893">
      <c r="A1893" s="1" t="inlineStr">
        <is>
          <t>79274691076205</t>
        </is>
      </c>
      <c r="B1893" s="1" t="inlineStr">
        <is>
          <t>PULSERA LOVE DELGADA GOLD</t>
        </is>
      </c>
      <c r="C1893" s="1" t="n"/>
      <c r="D1893" s="6" t="n">
        <v>106.2783553</v>
      </c>
      <c r="E1893" s="1" t="n"/>
      <c r="F1893" s="6" t="n">
        <v>105.3024922</v>
      </c>
      <c r="G1893" s="6" t="n">
        <v>94.12722005000001</v>
      </c>
      <c r="H1893" s="1" t="n"/>
      <c r="I1893" s="6" t="n">
        <v>105.3424803</v>
      </c>
      <c r="J1893" s="6" t="n">
        <v>106.5194811</v>
      </c>
      <c r="K1893" s="6" t="n">
        <v>94.64163114999999</v>
      </c>
      <c r="L1893" s="6" t="n">
        <v>104.9464765</v>
      </c>
      <c r="M1893" s="1" t="n"/>
      <c r="N1893" s="1" t="n"/>
    </row>
    <row r="1894">
      <c r="A1894" s="1" t="inlineStr">
        <is>
          <t>79274691108973</t>
        </is>
      </c>
      <c r="B1894" s="1" t="inlineStr">
        <is>
          <t>PULSERA LOVE DELGADA GOLD</t>
        </is>
      </c>
      <c r="C1894" s="1" t="n"/>
      <c r="D1894" s="6" t="n">
        <v>106.2783553</v>
      </c>
      <c r="E1894" s="1" t="n"/>
      <c r="F1894" s="6" t="n">
        <v>105.3024922</v>
      </c>
      <c r="G1894" s="6" t="n">
        <v>94.12722005000001</v>
      </c>
      <c r="H1894" s="1" t="n"/>
      <c r="I1894" s="1" t="n"/>
      <c r="J1894" s="1" t="n"/>
      <c r="K1894" s="6" t="n">
        <v>94.64163114999999</v>
      </c>
      <c r="L1894" s="6" t="n">
        <v>104.9464765</v>
      </c>
      <c r="M1894" s="1" t="n"/>
      <c r="N1894" s="1" t="n"/>
    </row>
    <row r="1895">
      <c r="A1895" s="1" t="inlineStr">
        <is>
          <t>79274691241741</t>
        </is>
      </c>
      <c r="B1895" s="1" t="inlineStr">
        <is>
          <t>PULSERA LOVE DELGADA GOLD</t>
        </is>
      </c>
      <c r="C1895" s="1" t="n"/>
      <c r="D1895" s="6" t="n">
        <v>105.4844288</v>
      </c>
      <c r="E1895" s="1" t="n"/>
      <c r="F1895" s="1" t="n"/>
      <c r="G1895" s="1" t="n"/>
      <c r="H1895" s="1" t="n"/>
      <c r="I1895" s="6" t="n">
        <v>105.3424803</v>
      </c>
      <c r="J1895" s="1" t="n"/>
      <c r="K1895" s="1" t="n"/>
      <c r="L1895" s="6" t="n">
        <v>105.5198439</v>
      </c>
      <c r="M1895" s="1" t="n"/>
      <c r="N1895" s="1" t="n"/>
    </row>
    <row r="1896">
      <c r="A1896" s="1" t="inlineStr">
        <is>
          <t>79274691374509</t>
        </is>
      </c>
      <c r="B1896" s="1" t="inlineStr">
        <is>
          <t>PULSERA LOVE DELGADA GOLD</t>
        </is>
      </c>
      <c r="C1896" s="1" t="n"/>
      <c r="D1896" s="1" t="n"/>
      <c r="E1896" s="1" t="n"/>
      <c r="F1896" s="6" t="n">
        <v>105.3024922</v>
      </c>
      <c r="G1896" s="6" t="n">
        <v>94.12722005000001</v>
      </c>
      <c r="H1896" s="1" t="n"/>
      <c r="I1896" s="1" t="n"/>
      <c r="J1896" s="6" t="n">
        <v>106.5194811</v>
      </c>
      <c r="K1896" s="1" t="n"/>
      <c r="L1896" s="6" t="n">
        <v>106.0932113</v>
      </c>
      <c r="M1896" s="1" t="n"/>
      <c r="N1896" s="1" t="n"/>
    </row>
    <row r="1897">
      <c r="A1897" s="1" t="inlineStr">
        <is>
          <t>79416181049069</t>
        </is>
      </c>
      <c r="B1897" s="1" t="inlineStr">
        <is>
          <t>COLLAR MM GOLD BLACK</t>
        </is>
      </c>
      <c r="C1897" s="1" t="n"/>
      <c r="D1897" s="1" t="n"/>
      <c r="E1897" s="6" t="n">
        <v>188.991488</v>
      </c>
      <c r="F1897" s="1" t="n"/>
      <c r="G1897" s="1" t="n"/>
      <c r="H1897" s="1" t="n"/>
      <c r="I1897" s="1" t="n"/>
      <c r="J1897" s="1" t="n"/>
      <c r="K1897" s="6" t="n">
        <v>204.8702267</v>
      </c>
      <c r="L1897" s="1" t="n"/>
      <c r="M1897" s="1" t="n"/>
      <c r="N1897" s="1" t="n"/>
    </row>
    <row r="1898">
      <c r="A1898" s="1" t="inlineStr">
        <is>
          <t>79416181049070</t>
        </is>
      </c>
      <c r="B1898" s="1" t="inlineStr">
        <is>
          <t>COLLAR MM GOLD BLACK</t>
        </is>
      </c>
      <c r="C1898" s="1" t="n"/>
      <c r="D1898" s="1" t="n"/>
      <c r="E1898" s="1" t="n"/>
      <c r="F1898" s="1" t="n"/>
      <c r="G1898" s="1" t="n"/>
      <c r="H1898" s="1" t="n"/>
      <c r="I1898" s="1" t="n"/>
      <c r="J1898" s="1" t="n"/>
      <c r="K1898" s="1" t="n"/>
      <c r="L1898" s="1" t="n"/>
      <c r="M1898" s="6" t="n">
        <v>196.0914916</v>
      </c>
      <c r="N1898" s="1" t="n"/>
    </row>
    <row r="1899">
      <c r="A1899" s="1" t="inlineStr">
        <is>
          <t>79534521160493</t>
        </is>
      </c>
      <c r="B1899" s="1" t="inlineStr">
        <is>
          <t>UGG FUNKARRA BROWN</t>
        </is>
      </c>
      <c r="C1899" s="1" t="n"/>
      <c r="D1899" s="1" t="n"/>
      <c r="E1899" s="6" t="n">
        <v>1438.40634</v>
      </c>
      <c r="F1899" s="1" t="n"/>
      <c r="G1899" s="1" t="n"/>
      <c r="H1899" s="1" t="n"/>
      <c r="I1899" s="1" t="n"/>
      <c r="J1899" s="1" t="n"/>
      <c r="K1899" s="1" t="n"/>
      <c r="L1899" s="1" t="n"/>
      <c r="M1899" s="1" t="n"/>
      <c r="N1899" s="1" t="n"/>
    </row>
    <row r="1900">
      <c r="A1900" s="1" t="inlineStr">
        <is>
          <t>79534521293261</t>
        </is>
      </c>
      <c r="B1900" s="1" t="inlineStr">
        <is>
          <t>UGG FUNKARRA BROWN</t>
        </is>
      </c>
      <c r="C1900" s="1" t="n"/>
      <c r="D1900" s="1" t="n"/>
      <c r="E1900" s="6" t="n">
        <v>1438.40634</v>
      </c>
      <c r="F1900" s="1" t="n"/>
      <c r="G1900" s="1" t="n"/>
      <c r="H1900" s="1" t="n"/>
      <c r="I1900" s="1" t="n"/>
      <c r="J1900" s="1" t="n"/>
      <c r="K1900" s="1" t="n"/>
      <c r="L1900" s="1" t="n"/>
      <c r="M1900" s="1" t="n"/>
      <c r="N1900" s="1" t="n"/>
    </row>
    <row r="1901">
      <c r="A1901" s="1" t="inlineStr">
        <is>
          <t>79534521342989</t>
        </is>
      </c>
      <c r="B1901" s="1" t="inlineStr">
        <is>
          <t>CHAMARRA MM BLACK</t>
        </is>
      </c>
      <c r="C1901" s="1" t="n"/>
      <c r="D1901" s="1" t="n"/>
      <c r="E1901" s="6" t="n">
        <v>1438.40634</v>
      </c>
      <c r="F1901" s="1" t="n"/>
      <c r="G1901" s="1" t="n"/>
      <c r="H1901" s="1" t="n"/>
      <c r="I1901" s="1" t="n"/>
      <c r="J1901" s="1" t="n"/>
      <c r="K1901" s="1" t="n"/>
      <c r="L1901" s="1" t="n"/>
      <c r="M1901" s="1" t="n"/>
      <c r="N1901" s="1" t="n"/>
    </row>
    <row r="1902">
      <c r="A1902" s="1" t="inlineStr">
        <is>
          <t>79684371047437</t>
        </is>
      </c>
      <c r="B1902" s="1" t="inlineStr">
        <is>
          <t>ANILLO GC BLONDIE ANCHO CON ZIRCONIA</t>
        </is>
      </c>
      <c r="C1902" s="1" t="n"/>
      <c r="D1902" s="1" t="n"/>
      <c r="E1902" s="6" t="n">
        <v>212.615424</v>
      </c>
      <c r="F1902" s="1" t="n"/>
      <c r="G1902" s="1" t="n"/>
      <c r="H1902" s="1" t="n"/>
      <c r="I1902" s="1" t="n"/>
      <c r="J1902" s="6" t="n">
        <v>236.4927815</v>
      </c>
      <c r="K1902" s="1" t="n"/>
      <c r="L1902" s="1" t="n"/>
      <c r="M1902" s="1" t="n"/>
      <c r="N1902" s="1" t="n"/>
    </row>
    <row r="1903">
      <c r="A1903" s="1" t="inlineStr">
        <is>
          <t>79684371047438</t>
        </is>
      </c>
      <c r="B1903" s="1" t="n"/>
      <c r="C1903" s="1" t="n"/>
      <c r="D1903" s="1" t="n"/>
      <c r="E1903" s="6" t="n">
        <v>283.487232</v>
      </c>
      <c r="F1903" s="1" t="n"/>
      <c r="G1903" s="1" t="n"/>
      <c r="H1903" s="1" t="n"/>
      <c r="I1903" s="1" t="n"/>
      <c r="J1903" s="1" t="n"/>
      <c r="K1903" s="1" t="n"/>
      <c r="L1903" s="1" t="n"/>
      <c r="M1903" s="1" t="n"/>
      <c r="N1903" s="1" t="n"/>
    </row>
    <row r="1904">
      <c r="A1904" s="1" t="inlineStr">
        <is>
          <t>79775011055341</t>
        </is>
      </c>
      <c r="B1904" s="1" t="inlineStr">
        <is>
          <t>BOLSO YSL SHOPER ICARE</t>
        </is>
      </c>
      <c r="C1904" s="1" t="n"/>
      <c r="D1904" s="1" t="n"/>
      <c r="E1904" s="1" t="n"/>
      <c r="F1904" s="1" t="n"/>
      <c r="G1904" s="1" t="n"/>
      <c r="H1904" s="1" t="n"/>
      <c r="I1904" s="1" t="n"/>
      <c r="J1904" s="1" t="n"/>
      <c r="K1904" s="6" t="n">
        <v>1531.055464</v>
      </c>
      <c r="L1904" s="1" t="n"/>
      <c r="M1904" s="1" t="n"/>
      <c r="N1904" s="1" t="n"/>
    </row>
    <row r="1905">
      <c r="A1905" s="1" t="inlineStr">
        <is>
          <t>79958551028717</t>
        </is>
      </c>
      <c r="B1905" s="1" t="inlineStr">
        <is>
          <t>COLLAR MM HEART GOLD BLUE</t>
        </is>
      </c>
      <c r="C1905" s="1" t="n"/>
      <c r="D1905" s="1" t="n"/>
      <c r="E1905" s="6" t="n">
        <v>212.615424</v>
      </c>
      <c r="F1905" s="1" t="n"/>
      <c r="G1905" s="1" t="n"/>
      <c r="H1905" s="1" t="n"/>
      <c r="I1905" s="1" t="n"/>
      <c r="J1905" s="1" t="n"/>
      <c r="K1905" s="1" t="n"/>
      <c r="L1905" s="1" t="n"/>
      <c r="M1905" s="1" t="n"/>
      <c r="N1905" s="1" t="n"/>
    </row>
    <row r="1906">
      <c r="A1906" s="1" t="inlineStr">
        <is>
          <t>80380861033869</t>
        </is>
      </c>
      <c r="B1906" s="1" t="inlineStr">
        <is>
          <t>BRAZALETE GC BLONDIE CRISTAL BANGLE GOLD</t>
        </is>
      </c>
      <c r="C1906" s="1" t="n"/>
      <c r="D1906" s="1" t="n"/>
      <c r="E1906" s="6" t="n">
        <v>259.863296</v>
      </c>
      <c r="F1906" s="1" t="n"/>
      <c r="G1906" s="1" t="n"/>
      <c r="H1906" s="1" t="n"/>
      <c r="I1906" s="1" t="n"/>
      <c r="J1906" s="6" t="n">
        <v>309.3845954</v>
      </c>
      <c r="K1906" s="1" t="n"/>
      <c r="L1906" s="1" t="n"/>
      <c r="M1906" s="1" t="n"/>
      <c r="N1906" s="1" t="n"/>
    </row>
    <row r="1907">
      <c r="A1907" s="1" t="inlineStr">
        <is>
          <t>80464311068525</t>
        </is>
      </c>
      <c r="B1907" s="1" t="inlineStr">
        <is>
          <t>ANILLO CD REVOLUTION</t>
        </is>
      </c>
      <c r="C1907" s="1" t="n"/>
      <c r="D1907" s="1" t="n"/>
      <c r="E1907" s="1" t="n"/>
      <c r="F1907" s="1" t="n"/>
      <c r="G1907" s="1" t="n"/>
      <c r="H1907" s="1" t="n"/>
      <c r="I1907" s="1" t="n"/>
      <c r="J1907" s="1" t="n"/>
      <c r="K1907" s="6" t="n">
        <v>67.03342683</v>
      </c>
      <c r="L1907" s="6" t="n">
        <v>121.0952727</v>
      </c>
      <c r="M1907" s="1" t="n"/>
      <c r="N1907" s="1" t="n"/>
    </row>
    <row r="1908">
      <c r="A1908" s="1" t="inlineStr">
        <is>
          <t>80490861006349</t>
        </is>
      </c>
      <c r="B1908" s="1" t="inlineStr">
        <is>
          <t>CAMISETA ALLS BLACK</t>
        </is>
      </c>
      <c r="C1908" s="1" t="n"/>
      <c r="D1908" s="1" t="n"/>
      <c r="E1908" s="6" t="n">
        <v>637.846272</v>
      </c>
      <c r="F1908" s="1" t="n"/>
      <c r="G1908" s="1" t="n"/>
      <c r="H1908" s="1" t="n"/>
      <c r="I1908" s="1" t="n"/>
      <c r="J1908" s="1" t="n"/>
      <c r="K1908" s="1" t="n"/>
      <c r="L1908" s="1" t="n"/>
      <c r="M1908" s="1" t="n"/>
      <c r="N1908" s="1" t="n"/>
    </row>
    <row r="1909">
      <c r="A1909" s="1" t="inlineStr">
        <is>
          <t>80490861139117</t>
        </is>
      </c>
      <c r="B1909" s="1" t="n"/>
      <c r="C1909" s="1" t="n"/>
      <c r="D1909" s="1" t="n"/>
      <c r="E1909" s="6" t="n">
        <v>637.846272</v>
      </c>
      <c r="F1909" s="1" t="n"/>
      <c r="G1909" s="1" t="n"/>
      <c r="H1909" s="1" t="n"/>
      <c r="I1909" s="1" t="n"/>
      <c r="J1909" s="1" t="n"/>
      <c r="K1909" s="1" t="n"/>
      <c r="L1909" s="1" t="n"/>
      <c r="M1909" s="1" t="n"/>
      <c r="N1909" s="1" t="n"/>
    </row>
    <row r="1910">
      <c r="A1910" s="1" t="inlineStr">
        <is>
          <t>81003591072449</t>
        </is>
      </c>
      <c r="B1910" s="1" t="inlineStr">
        <is>
          <t>LENTES FIRST CRYSTALF F</t>
        </is>
      </c>
      <c r="C1910" s="1" t="n"/>
      <c r="D1910" s="1" t="n"/>
      <c r="E1910" s="1" t="n"/>
      <c r="F1910" s="1" t="n"/>
      <c r="G1910" s="1" t="n"/>
      <c r="H1910" s="1" t="n"/>
      <c r="I1910" s="1" t="n"/>
      <c r="J1910" s="1" t="n"/>
      <c r="K1910" s="6" t="n">
        <v>285.4510188</v>
      </c>
      <c r="L1910" s="1" t="n"/>
      <c r="M1910" s="1" t="n"/>
      <c r="N1910" s="1" t="n"/>
    </row>
    <row r="1911">
      <c r="A1911" s="1" t="inlineStr">
        <is>
          <t>81078751122989</t>
        </is>
      </c>
      <c r="B1911" s="1" t="inlineStr">
        <is>
          <t>PULSERA LV MULTIBLOSSOM ROSEGOLD</t>
        </is>
      </c>
      <c r="C1911" s="1" t="n"/>
      <c r="D1911" s="1" t="n"/>
      <c r="E1911" s="6" t="n">
        <v>232.4108822</v>
      </c>
      <c r="F1911" s="1" t="n"/>
      <c r="G1911" s="1" t="n"/>
      <c r="H1911" s="6" t="n">
        <v>233.2045957</v>
      </c>
      <c r="I1911" s="1" t="n"/>
      <c r="J1911" s="1" t="n"/>
      <c r="K1911" s="1" t="n"/>
      <c r="L1911" s="1" t="n"/>
      <c r="M1911" s="1" t="n"/>
      <c r="N1911" s="1" t="n"/>
    </row>
    <row r="1912">
      <c r="A1912" s="1" t="inlineStr">
        <is>
          <t>81078751264237</t>
        </is>
      </c>
      <c r="B1912" s="1" t="inlineStr">
        <is>
          <t>PULSERA LV BLOSSOM ROSEGOLD ZIRCONIAS</t>
        </is>
      </c>
      <c r="C1912" s="1" t="n"/>
      <c r="D1912" s="1" t="n"/>
      <c r="E1912" s="6" t="n">
        <v>147.6865515</v>
      </c>
      <c r="F1912" s="1" t="n"/>
      <c r="G1912" s="1" t="n"/>
      <c r="H1912" s="1" t="n"/>
      <c r="I1912" s="1" t="n"/>
      <c r="J1912" s="6" t="n">
        <v>149.1272735</v>
      </c>
      <c r="K1912" s="6" t="n">
        <v>147.2203151</v>
      </c>
      <c r="L1912" s="1" t="n"/>
      <c r="M1912" s="1" t="n"/>
      <c r="N1912" s="1" t="n"/>
    </row>
    <row r="1913">
      <c r="A1913" s="1" t="inlineStr">
        <is>
          <t>81078751345773</t>
        </is>
      </c>
      <c r="B1913" s="1" t="inlineStr">
        <is>
          <t>ARETES BLOSSOM COLGANTES ROSEGOLD</t>
        </is>
      </c>
      <c r="C1913" s="1" t="n"/>
      <c r="D1913" s="1" t="n"/>
      <c r="E1913" s="6" t="n">
        <v>189.9430755</v>
      </c>
      <c r="F1913" s="1" t="n"/>
      <c r="G1913" s="1" t="n"/>
      <c r="H1913" s="1" t="n"/>
      <c r="I1913" s="1" t="n"/>
      <c r="J1913" s="1" t="n"/>
      <c r="K1913" s="1" t="n"/>
      <c r="L1913" s="6" t="n">
        <v>230.8822483</v>
      </c>
      <c r="M1913" s="1" t="n"/>
      <c r="N1913" s="1" t="n"/>
    </row>
    <row r="1914">
      <c r="A1914" s="1" t="inlineStr">
        <is>
          <t>81078753280493</t>
        </is>
      </c>
      <c r="B1914" s="1" t="inlineStr">
        <is>
          <t>PULSERA BV.ZERO GAPS SILVER</t>
        </is>
      </c>
      <c r="C1914" s="1" t="n"/>
      <c r="D1914" s="1" t="n"/>
      <c r="E1914" s="6" t="n">
        <v>179.5902272</v>
      </c>
      <c r="F1914" s="1" t="n"/>
      <c r="G1914" s="1" t="n"/>
      <c r="H1914" s="1" t="n"/>
      <c r="I1914" s="6" t="n">
        <v>179.0822166</v>
      </c>
      <c r="J1914" s="1" t="n"/>
      <c r="K1914" s="1" t="n"/>
      <c r="L1914" s="1" t="n"/>
      <c r="M1914" s="6" t="n">
        <v>178.6241549</v>
      </c>
      <c r="N1914" s="1" t="n"/>
    </row>
    <row r="1915">
      <c r="A1915" s="1" t="inlineStr">
        <is>
          <t>81078753595757</t>
        </is>
      </c>
      <c r="B1915" s="1" t="inlineStr">
        <is>
          <t>ARETES PANTHERE SILVER ZIRCONIAS</t>
        </is>
      </c>
      <c r="C1915" s="1" t="n"/>
      <c r="D1915" s="1" t="n"/>
      <c r="E1915" s="6" t="n">
        <v>137.3337031</v>
      </c>
      <c r="F1915" s="1" t="n"/>
      <c r="G1915" s="1" t="n"/>
      <c r="H1915" s="6" t="n">
        <v>137.8027156</v>
      </c>
      <c r="I1915" s="6" t="n">
        <v>136.9452244</v>
      </c>
      <c r="J1915" s="1" t="n"/>
      <c r="K1915" s="6" t="n">
        <v>136.7045783</v>
      </c>
      <c r="L1915" s="1" t="n"/>
      <c r="M1915" s="6" t="n">
        <v>136.594942</v>
      </c>
      <c r="N1915" s="1" t="n"/>
    </row>
    <row r="1916">
      <c r="A1916" s="1" t="inlineStr">
        <is>
          <t>81420901016909</t>
        </is>
      </c>
      <c r="B1916" s="1" t="inlineStr">
        <is>
          <t>COLLAR DE CADENA GC SCRIPT GOLD</t>
        </is>
      </c>
      <c r="C1916" s="1" t="n"/>
      <c r="D1916" s="1" t="n"/>
      <c r="E1916" s="6" t="n">
        <v>212.615424</v>
      </c>
      <c r="F1916" s="1" t="n"/>
      <c r="G1916" s="1" t="n"/>
      <c r="H1916" s="1" t="n"/>
      <c r="I1916" s="1" t="n"/>
      <c r="J1916" s="6" t="n">
        <v>236.4927815</v>
      </c>
      <c r="K1916" s="6" t="n">
        <v>230.479005</v>
      </c>
      <c r="L1916" s="1" t="n"/>
      <c r="M1916" s="1" t="n"/>
      <c r="N1916" s="1" t="n"/>
    </row>
    <row r="1917">
      <c r="A1917" s="1" t="inlineStr">
        <is>
          <t>81712804295948</t>
        </is>
      </c>
      <c r="B1917" s="1" t="inlineStr">
        <is>
          <t>SANDALIAS DG BIANCA</t>
        </is>
      </c>
      <c r="C1917" s="1" t="n"/>
      <c r="D1917" s="1" t="n"/>
      <c r="E1917" s="1" t="n"/>
      <c r="F1917" s="1" t="n"/>
      <c r="G1917" s="1" t="n"/>
      <c r="H1917" s="1" t="n"/>
      <c r="I1917" s="6" t="n">
        <v>757.2142256</v>
      </c>
      <c r="J1917" s="1" t="n"/>
      <c r="K1917" s="1" t="n"/>
      <c r="L1917" s="1" t="n"/>
      <c r="M1917" s="1" t="n"/>
      <c r="N1917" s="1" t="n"/>
    </row>
    <row r="1918">
      <c r="A1918" s="1" t="inlineStr">
        <is>
          <t>81712806088460</t>
        </is>
      </c>
      <c r="B1918" s="1" t="inlineStr">
        <is>
          <t>SANDALIAS MM</t>
        </is>
      </c>
      <c r="C1918" s="1" t="n"/>
      <c r="D1918" s="1" t="n"/>
      <c r="E1918" s="1" t="n"/>
      <c r="F1918" s="1" t="n"/>
      <c r="G1918" s="1" t="n"/>
      <c r="H1918" s="1" t="n"/>
      <c r="I1918" s="6" t="n">
        <v>757.2142256</v>
      </c>
      <c r="J1918" s="6" t="n">
        <v>752.0076422</v>
      </c>
      <c r="K1918" s="1" t="n"/>
      <c r="L1918" s="6" t="n">
        <v>742.0292594</v>
      </c>
      <c r="M1918" s="1" t="n"/>
      <c r="N1918" s="1" t="n"/>
    </row>
    <row r="1919">
      <c r="A1919" s="1" t="inlineStr">
        <is>
          <t>81712806121228</t>
        </is>
      </c>
      <c r="B1919" s="1" t="inlineStr">
        <is>
          <t>SANDALIAS MM</t>
        </is>
      </c>
      <c r="C1919" s="1" t="n"/>
      <c r="D1919" s="6" t="n">
        <v>705.014714</v>
      </c>
      <c r="E1919" s="1" t="n"/>
      <c r="F1919" s="1" t="n"/>
      <c r="G1919" s="1" t="n"/>
      <c r="H1919" s="1" t="n"/>
      <c r="I1919" s="6" t="n">
        <v>757.2142256</v>
      </c>
      <c r="J1919" s="6" t="n">
        <v>752.0076422</v>
      </c>
      <c r="K1919" s="1" t="n"/>
      <c r="L1919" s="6" t="n">
        <v>742.0292594</v>
      </c>
      <c r="M1919" s="1" t="n"/>
      <c r="N1919" s="1" t="n"/>
    </row>
    <row r="1920">
      <c r="A1920" s="1" t="inlineStr">
        <is>
          <t>81712806153996</t>
        </is>
      </c>
      <c r="B1920" s="1" t="inlineStr">
        <is>
          <t>SANDALIAS MM</t>
        </is>
      </c>
      <c r="C1920" s="1" t="n"/>
      <c r="D1920" s="6" t="n">
        <v>705.014714</v>
      </c>
      <c r="E1920" s="1" t="n"/>
      <c r="F1920" s="1" t="n"/>
      <c r="G1920" s="1" t="n"/>
      <c r="H1920" s="6" t="n">
        <v>744.4479749</v>
      </c>
      <c r="I1920" s="1" t="n"/>
      <c r="J1920" s="6" t="n">
        <v>752.0076422</v>
      </c>
      <c r="K1920" s="1" t="n"/>
      <c r="L1920" s="6" t="n">
        <v>742.0292594</v>
      </c>
      <c r="M1920" s="1" t="n"/>
      <c r="N1920" s="1" t="n"/>
    </row>
    <row r="1921">
      <c r="A1921" s="1" t="inlineStr">
        <is>
          <t>81712809885196</t>
        </is>
      </c>
      <c r="B1921" s="1" t="inlineStr">
        <is>
          <t>BOLSO C CLAUDE SILVER BLACK</t>
        </is>
      </c>
      <c r="C1921" s="1" t="n"/>
      <c r="D1921" s="1" t="n"/>
      <c r="E1921" s="6" t="n">
        <v>1257.687532</v>
      </c>
      <c r="F1921" s="1" t="n"/>
      <c r="G1921" s="1" t="n"/>
      <c r="H1921" s="6" t="n">
        <v>1223.021673</v>
      </c>
      <c r="I1921" s="1" t="n"/>
      <c r="J1921" s="1" t="n"/>
      <c r="K1921" s="1" t="n"/>
      <c r="L1921" s="6" t="n">
        <v>1272.050159</v>
      </c>
      <c r="M1921" s="1" t="n"/>
      <c r="N1921" s="1" t="n"/>
    </row>
    <row r="1922">
      <c r="A1922" s="1" t="inlineStr">
        <is>
          <t>81712814328716</t>
        </is>
      </c>
      <c r="B1922" s="1" t="n"/>
      <c r="C1922" s="1" t="n"/>
      <c r="D1922" s="1" t="n"/>
      <c r="E1922" s="1" t="n"/>
      <c r="F1922" s="1" t="n"/>
      <c r="G1922" s="1" t="n"/>
      <c r="H1922" s="1" t="n"/>
      <c r="I1922" s="6" t="n">
        <v>757.2142256</v>
      </c>
      <c r="J1922" s="1" t="n"/>
      <c r="K1922" s="1" t="n"/>
      <c r="L1922" s="1" t="n"/>
      <c r="M1922" s="1" t="n"/>
      <c r="N1922" s="1" t="n"/>
    </row>
    <row r="1923">
      <c r="A1923" s="1" t="inlineStr">
        <is>
          <t>81712814361484</t>
        </is>
      </c>
      <c r="B1923" s="1" t="n"/>
      <c r="C1923" s="1" t="n"/>
      <c r="D1923" s="1" t="n"/>
      <c r="E1923" s="1" t="n"/>
      <c r="F1923" s="1" t="n"/>
      <c r="G1923" s="1" t="n"/>
      <c r="H1923" s="6" t="n">
        <v>744.4479749</v>
      </c>
      <c r="I1923" s="1" t="n"/>
      <c r="J1923" s="1" t="n"/>
      <c r="K1923" s="1" t="n"/>
      <c r="L1923" s="1" t="n"/>
      <c r="M1923" s="1" t="n"/>
      <c r="N1923" s="1" t="n"/>
    </row>
    <row r="1924">
      <c r="A1924" s="1" t="inlineStr">
        <is>
          <t>81836201247181</t>
        </is>
      </c>
      <c r="B1924" s="1" t="inlineStr">
        <is>
          <t>ANILLO CLAVO SILVER (WITHOUT ZIRCONIAS)</t>
        </is>
      </c>
      <c r="C1924" s="1" t="n"/>
      <c r="D1924" s="1" t="n"/>
      <c r="E1924" s="1" t="n"/>
      <c r="F1924" s="1" t="n"/>
      <c r="G1924" s="1" t="n"/>
      <c r="H1924" s="1" t="n"/>
      <c r="I1924" s="1" t="n"/>
      <c r="J1924" s="1" t="n"/>
      <c r="K1924" s="6" t="n">
        <v>52.57868397</v>
      </c>
      <c r="L1924" s="1" t="n"/>
      <c r="M1924" s="1" t="n"/>
      <c r="N1924" s="1" t="n"/>
    </row>
    <row r="1925">
      <c r="A1925" s="1" t="inlineStr">
        <is>
          <t>81836201485581</t>
        </is>
      </c>
      <c r="B1925" s="1" t="inlineStr">
        <is>
          <t>COLLAR TRES AROS</t>
        </is>
      </c>
      <c r="C1925" s="1" t="n"/>
      <c r="D1925" s="1" t="n"/>
      <c r="E1925" s="1" t="n"/>
      <c r="F1925" s="1" t="n"/>
      <c r="G1925" s="6" t="n">
        <v>174.823319</v>
      </c>
      <c r="H1925" s="1" t="n"/>
      <c r="I1925" s="1" t="n"/>
      <c r="J1925" s="1" t="n"/>
      <c r="K1925" s="1" t="n"/>
      <c r="L1925" s="6" t="n">
        <v>148.5304959</v>
      </c>
      <c r="M1925" s="1" t="n"/>
      <c r="N1925" s="1" t="n"/>
    </row>
    <row r="1926">
      <c r="A1926" s="1" t="inlineStr">
        <is>
          <t>81836202265453</t>
        </is>
      </c>
      <c r="B1926" s="1" t="inlineStr">
        <is>
          <t>ANILLO P STARS</t>
        </is>
      </c>
      <c r="C1926" s="1" t="n"/>
      <c r="D1926" s="1" t="n"/>
      <c r="E1926" s="1" t="n"/>
      <c r="F1926" s="1" t="n"/>
      <c r="G1926" s="1" t="n"/>
      <c r="H1926" s="1" t="n"/>
      <c r="I1926" s="1" t="n"/>
      <c r="J1926" s="1" t="n"/>
      <c r="K1926" s="1" t="n"/>
      <c r="L1926" s="6" t="n">
        <v>45.05177646</v>
      </c>
      <c r="M1926" s="1" t="n"/>
      <c r="N1926" s="1" t="n"/>
    </row>
    <row r="1927">
      <c r="A1927" s="1" t="inlineStr">
        <is>
          <t>82014673288716</t>
        </is>
      </c>
      <c r="B1927" s="1" t="inlineStr">
        <is>
          <t>COLLAR SIXTEEN STONE</t>
        </is>
      </c>
      <c r="C1927" s="1" t="n"/>
      <c r="D1927" s="1" t="n"/>
      <c r="E1927" s="1" t="n"/>
      <c r="F1927" s="6" t="n">
        <v>157.9537383</v>
      </c>
      <c r="G1927" s="1" t="n"/>
      <c r="H1927" s="1" t="n"/>
      <c r="I1927" s="6" t="n">
        <v>158.0137205</v>
      </c>
      <c r="J1927" s="1" t="n"/>
      <c r="K1927" s="1" t="n"/>
      <c r="L1927" s="6" t="n">
        <v>157.4197147</v>
      </c>
      <c r="M1927" s="6" t="n">
        <v>157.6095484</v>
      </c>
      <c r="N1927" s="1" t="n"/>
    </row>
    <row r="1928">
      <c r="A1928" s="1" t="inlineStr">
        <is>
          <t>82014673388812</t>
        </is>
      </c>
      <c r="B1928" s="1" t="inlineStr">
        <is>
          <t>PULSERA SMILE GOLD</t>
        </is>
      </c>
      <c r="C1928" s="1" t="n"/>
      <c r="D1928" s="6" t="n">
        <v>159.417533</v>
      </c>
      <c r="E1928" s="1" t="n"/>
      <c r="F1928" s="1" t="n"/>
      <c r="G1928" s="1" t="n"/>
      <c r="H1928" s="6" t="n">
        <v>159.0031334</v>
      </c>
      <c r="I1928" s="1" t="n"/>
      <c r="J1928" s="1" t="n"/>
      <c r="K1928" s="6" t="n">
        <v>157.7360519</v>
      </c>
      <c r="L1928" s="1" t="n"/>
      <c r="M1928" s="1" t="n"/>
      <c r="N1928" s="1" t="n"/>
    </row>
    <row r="1929">
      <c r="A1929" s="1" t="inlineStr">
        <is>
          <t>82014675304844</t>
        </is>
      </c>
      <c r="B1929" s="1" t="inlineStr">
        <is>
          <t>PULSERA SMILE ROSEGOLD</t>
        </is>
      </c>
      <c r="C1929" s="1" t="n"/>
      <c r="D1929" s="1" t="n"/>
      <c r="E1929" s="1" t="n"/>
      <c r="F1929" s="1" t="n"/>
      <c r="G1929" s="1" t="n"/>
      <c r="H1929" s="1" t="n"/>
      <c r="I1929" s="1" t="n"/>
      <c r="J1929" s="6" t="n">
        <v>159.7792216</v>
      </c>
      <c r="K1929" s="1" t="n"/>
      <c r="L1929" s="1" t="n"/>
      <c r="M1929" s="6" t="n">
        <v>157.6095484</v>
      </c>
      <c r="N1929" s="1" t="n"/>
    </row>
    <row r="1930">
      <c r="A1930" s="1" t="inlineStr">
        <is>
          <t>82014675495692</t>
        </is>
      </c>
      <c r="B1930" s="1" t="inlineStr">
        <is>
          <t>PULSERA SMILE SILVER</t>
        </is>
      </c>
      <c r="C1930" s="1" t="n"/>
      <c r="D1930" s="1" t="n"/>
      <c r="E1930" s="1" t="n"/>
      <c r="F1930" s="1" t="n"/>
      <c r="G1930" s="6" t="n">
        <v>125.5029601</v>
      </c>
      <c r="H1930" s="1" t="n"/>
      <c r="I1930" s="1" t="n"/>
      <c r="J1930" s="6" t="n">
        <v>159.7792216</v>
      </c>
      <c r="K1930" s="1" t="n"/>
      <c r="L1930" s="6" t="n">
        <v>159.139817</v>
      </c>
      <c r="M1930" s="6" t="n">
        <v>157.6095484</v>
      </c>
      <c r="N1930" s="1" t="n"/>
    </row>
    <row r="1931">
      <c r="A1931" s="1" t="inlineStr">
        <is>
          <t>82112081096013</t>
        </is>
      </c>
      <c r="B1931" s="1" t="inlineStr">
        <is>
          <t>ANILLO LV INSTICT GOLD-8</t>
        </is>
      </c>
      <c r="C1931" s="1" t="n"/>
      <c r="D1931" s="6" t="n">
        <v>126.3703458</v>
      </c>
      <c r="E1931" s="1" t="n"/>
      <c r="F1931" s="1" t="n"/>
      <c r="G1931" s="1" t="n"/>
      <c r="H1931" s="1" t="n"/>
      <c r="I1931" s="1" t="n"/>
      <c r="J1931" s="1" t="n"/>
      <c r="K1931" s="1" t="n"/>
      <c r="L1931" s="1" t="n"/>
      <c r="M1931" s="1" t="n"/>
      <c r="N1931" s="1" t="n"/>
    </row>
    <row r="1932">
      <c r="A1932" s="1" t="inlineStr">
        <is>
          <t>82112081096014</t>
        </is>
      </c>
      <c r="B1932" s="1" t="inlineStr">
        <is>
          <t>ANILLO LV INSTICT GOLD-9</t>
        </is>
      </c>
      <c r="C1932" s="1" t="n"/>
      <c r="D1932" s="6" t="n">
        <v>126.3703458</v>
      </c>
      <c r="E1932" s="1" t="n"/>
      <c r="F1932" s="1" t="n"/>
      <c r="G1932" s="1" t="n"/>
      <c r="H1932" s="1" t="n"/>
      <c r="I1932" s="1" t="n"/>
      <c r="J1932" s="1" t="n"/>
      <c r="K1932" s="1" t="n"/>
      <c r="L1932" s="1" t="n"/>
      <c r="M1932" s="1" t="n"/>
      <c r="N1932" s="1" t="n"/>
    </row>
    <row r="1933">
      <c r="A1933" s="1" t="inlineStr">
        <is>
          <t>82224431085741</t>
        </is>
      </c>
      <c r="B1933" s="1" t="inlineStr">
        <is>
          <t>BOLSO MM WANDER OFF WHITE</t>
        </is>
      </c>
      <c r="C1933" s="1" t="n"/>
      <c r="D1933" s="1" t="n"/>
      <c r="E1933" s="1" t="n"/>
      <c r="F1933" s="1" t="n"/>
      <c r="G1933" s="1" t="n"/>
      <c r="H1933" s="1" t="n"/>
      <c r="I1933" s="1" t="n"/>
      <c r="J1933" s="6" t="n">
        <v>1261.294835</v>
      </c>
      <c r="K1933" s="1" t="n"/>
      <c r="L1933" s="1" t="n"/>
      <c r="M1933" s="1" t="n"/>
      <c r="N1933" s="1" t="n"/>
    </row>
    <row r="1934">
      <c r="A1934" s="1" t="inlineStr">
        <is>
          <t>82224431124141</t>
        </is>
      </c>
      <c r="B1934" s="1" t="inlineStr">
        <is>
          <t>SANDALIAS H WHITE</t>
        </is>
      </c>
      <c r="C1934" s="1" t="n"/>
      <c r="D1934" s="1" t="n"/>
      <c r="E1934" s="1" t="n"/>
      <c r="F1934" s="1" t="n"/>
      <c r="G1934" s="1" t="n"/>
      <c r="H1934" s="1" t="n"/>
      <c r="I1934" s="6" t="n">
        <v>811.300956</v>
      </c>
      <c r="J1934" s="6" t="n">
        <v>805.7224738</v>
      </c>
      <c r="K1934" s="1" t="n"/>
      <c r="L1934" s="6" t="n">
        <v>795.0313493</v>
      </c>
      <c r="M1934" s="1" t="n"/>
      <c r="N1934" s="1" t="n"/>
    </row>
    <row r="1935">
      <c r="A1935" s="1" t="inlineStr">
        <is>
          <t>82224432134061</t>
        </is>
      </c>
      <c r="B1935" s="1" t="inlineStr">
        <is>
          <t>ZAPATILLAS YSL OPYUM BLACK</t>
        </is>
      </c>
      <c r="C1935" s="1" t="n"/>
      <c r="D1935" s="1" t="n"/>
      <c r="E1935" s="1" t="n"/>
      <c r="F1935" s="1" t="n"/>
      <c r="G1935" s="1" t="n"/>
      <c r="H1935" s="6" t="n">
        <v>1692.053959</v>
      </c>
      <c r="I1935" s="1" t="n"/>
      <c r="J1935" s="1" t="n"/>
      <c r="K1935" s="1" t="n"/>
      <c r="L1935" s="1" t="n"/>
      <c r="M1935" s="1" t="n"/>
      <c r="N1935" s="1" t="n"/>
    </row>
    <row r="1936">
      <c r="A1936" s="1" t="inlineStr">
        <is>
          <t>82224432971117</t>
        </is>
      </c>
      <c r="B1936" s="1" t="inlineStr">
        <is>
          <t>PULSERA CLAVO JUST UN CLOU ZIRCONIA ROSEGOLD</t>
        </is>
      </c>
      <c r="C1936" s="1" t="n"/>
      <c r="D1936" s="6" t="n">
        <v>92.90978174</v>
      </c>
      <c r="E1936" s="1" t="n"/>
      <c r="F1936" s="1" t="n"/>
      <c r="G1936" s="6" t="n">
        <v>94.39039819</v>
      </c>
      <c r="H1936" s="1" t="n"/>
      <c r="I1936" s="1" t="n"/>
      <c r="J1936" s="6" t="n">
        <v>100.9618362</v>
      </c>
      <c r="K1936" s="6" t="n">
        <v>95.52263323</v>
      </c>
      <c r="L1936" s="1" t="n"/>
      <c r="M1936" s="1" t="n"/>
      <c r="N1936" s="1" t="n"/>
    </row>
    <row r="1937">
      <c r="A1937" s="1" t="inlineStr">
        <is>
          <t>82224433003885</t>
        </is>
      </c>
      <c r="B1937" s="1" t="inlineStr">
        <is>
          <t>PULSERA CLAVO ROSE GOLD CON ZIRCONIA</t>
        </is>
      </c>
      <c r="C1937" s="1" t="n"/>
      <c r="D1937" s="6" t="n">
        <v>92.90978174</v>
      </c>
      <c r="E1937" s="1" t="n"/>
      <c r="F1937" s="1" t="n"/>
      <c r="G1937" s="6" t="n">
        <v>94.39039819</v>
      </c>
      <c r="H1937" s="1" t="n"/>
      <c r="I1937" s="1" t="n"/>
      <c r="J1937" s="1" t="n"/>
      <c r="K1937" s="1" t="n"/>
      <c r="L1937" s="1" t="n"/>
      <c r="M1937" s="1" t="n"/>
      <c r="N1937" s="1" t="n"/>
    </row>
    <row r="1938">
      <c r="A1938" s="1" t="inlineStr">
        <is>
          <t>82224433136653</t>
        </is>
      </c>
      <c r="B1938" s="1" t="inlineStr">
        <is>
          <t>PULSERA CLAVO ROSEGOLD</t>
        </is>
      </c>
      <c r="C1938" s="1" t="n"/>
      <c r="D1938" s="1" t="n"/>
      <c r="E1938" s="1" t="n"/>
      <c r="F1938" s="1" t="n"/>
      <c r="G1938" s="1" t="n"/>
      <c r="H1938" s="1" t="n"/>
      <c r="I1938" s="1" t="n"/>
      <c r="J1938" s="6" t="n">
        <v>75.65811782</v>
      </c>
      <c r="K1938" s="6" t="n">
        <v>105.1573679</v>
      </c>
      <c r="L1938" s="6" t="n">
        <v>70.73670423</v>
      </c>
      <c r="M1938" s="1" t="n"/>
      <c r="N1938" s="6" t="n">
        <v>72.85276514</v>
      </c>
    </row>
    <row r="1939">
      <c r="A1939" s="1" t="inlineStr">
        <is>
          <t>82224433269421</t>
        </is>
      </c>
      <c r="B1939" s="1" t="inlineStr">
        <is>
          <t>PULSERA CLAVO ROSEGOLD</t>
        </is>
      </c>
      <c r="C1939" s="1" t="n"/>
      <c r="D1939" s="1" t="n"/>
      <c r="E1939" s="1" t="n"/>
      <c r="F1939" s="1" t="n"/>
      <c r="G1939" s="1" t="n"/>
      <c r="H1939" s="1" t="n"/>
      <c r="I1939" s="1" t="n"/>
      <c r="J1939" s="6" t="n">
        <v>75.65811782</v>
      </c>
      <c r="K1939" s="1" t="n"/>
      <c r="L1939" s="6" t="n">
        <v>70.73670423</v>
      </c>
      <c r="M1939" s="1" t="n"/>
      <c r="N1939" s="1" t="n"/>
    </row>
    <row r="1940">
      <c r="A1940" s="1" t="inlineStr">
        <is>
          <t>82224433400493</t>
        </is>
      </c>
      <c r="B1940" s="1" t="inlineStr">
        <is>
          <t>ANILLO LOVE CON ZIRCONIA GOLD</t>
        </is>
      </c>
      <c r="C1940" s="1" t="n"/>
      <c r="D1940" s="1" t="n"/>
      <c r="E1940" s="1" t="n"/>
      <c r="F1940" s="1" t="n"/>
      <c r="G1940" s="6" t="n">
        <v>37.65088802</v>
      </c>
      <c r="H1940" s="1" t="n"/>
      <c r="I1940" s="6" t="n">
        <v>37.92329292</v>
      </c>
      <c r="J1940" s="1" t="n"/>
      <c r="K1940" s="1" t="n"/>
      <c r="L1940" s="1" t="n"/>
      <c r="M1940" s="1" t="n"/>
      <c r="N1940" s="1" t="n"/>
    </row>
    <row r="1941">
      <c r="A1941" s="1" t="inlineStr">
        <is>
          <t>82224433533261</t>
        </is>
      </c>
      <c r="B1941" s="1" t="inlineStr">
        <is>
          <t>ANILLO LOVE CON ZIRCONIA GOLD</t>
        </is>
      </c>
      <c r="C1941" s="1" t="n"/>
      <c r="D1941" s="6" t="n">
        <v>37.97439438</v>
      </c>
      <c r="E1941" s="1" t="n"/>
      <c r="F1941" s="1" t="n"/>
      <c r="G1941" s="1" t="n"/>
      <c r="H1941" s="6" t="n">
        <v>38.16075203</v>
      </c>
      <c r="I1941" s="6" t="n">
        <v>37.92329292</v>
      </c>
      <c r="J1941" s="1" t="n"/>
      <c r="K1941" s="1" t="n"/>
      <c r="L1941" s="1" t="n"/>
      <c r="M1941" s="1" t="n"/>
      <c r="N1941" s="1" t="n"/>
    </row>
    <row r="1942">
      <c r="A1942" s="1" t="inlineStr">
        <is>
          <t>82224433666029</t>
        </is>
      </c>
      <c r="B1942" s="1" t="inlineStr">
        <is>
          <t>ANILLO LOVE CON ZIRCONIA GOLD</t>
        </is>
      </c>
      <c r="C1942" s="1" t="n"/>
      <c r="D1942" s="1" t="n"/>
      <c r="E1942" s="1" t="n"/>
      <c r="F1942" s="6" t="n">
        <v>37.9088972</v>
      </c>
      <c r="G1942" s="6" t="n">
        <v>37.65088802</v>
      </c>
      <c r="H1942" s="1" t="n"/>
      <c r="I1942" s="1" t="n"/>
      <c r="J1942" s="1" t="n"/>
      <c r="K1942" s="1" t="n"/>
      <c r="L1942" s="6" t="n">
        <v>37.78073153</v>
      </c>
      <c r="M1942" s="1" t="n"/>
      <c r="N1942" s="1" t="n"/>
    </row>
    <row r="1943">
      <c r="A1943" s="1" t="inlineStr">
        <is>
          <t>82224433798797</t>
        </is>
      </c>
      <c r="B1943" s="1" t="inlineStr">
        <is>
          <t>ANILLO LOVE CON ZIRCONIA GOLD</t>
        </is>
      </c>
      <c r="C1943" s="1" t="n"/>
      <c r="D1943" s="1" t="n"/>
      <c r="E1943" s="1" t="n"/>
      <c r="F1943" s="1" t="n"/>
      <c r="G1943" s="6" t="n">
        <v>37.65088802</v>
      </c>
      <c r="H1943" s="6" t="n">
        <v>38.16075203</v>
      </c>
      <c r="I1943" s="1" t="n"/>
      <c r="J1943" s="1" t="n"/>
      <c r="K1943" s="1" t="n"/>
      <c r="L1943" s="6" t="n">
        <v>37.78073153</v>
      </c>
      <c r="M1943" s="1" t="n"/>
      <c r="N1943" s="1" t="n"/>
    </row>
    <row r="1944">
      <c r="A1944" s="1" t="inlineStr">
        <is>
          <t>82224433831565</t>
        </is>
      </c>
      <c r="B1944" s="1" t="inlineStr">
        <is>
          <t>ANILLO LOVE CON ZIRCONIA GOLD</t>
        </is>
      </c>
      <c r="C1944" s="1" t="n"/>
      <c r="D1944" s="6" t="n">
        <v>37.97439438</v>
      </c>
      <c r="E1944" s="1" t="n"/>
      <c r="F1944" s="1" t="n"/>
      <c r="G1944" s="6" t="n">
        <v>37.65088802</v>
      </c>
      <c r="H1944" s="1" t="n"/>
      <c r="I1944" s="6" t="n">
        <v>37.92329292</v>
      </c>
      <c r="J1944" s="6" t="n">
        <v>38.34701319</v>
      </c>
      <c r="K1944" s="1" t="n"/>
      <c r="L1944" s="1" t="n"/>
      <c r="M1944" s="1" t="n"/>
      <c r="N1944" s="1" t="n"/>
    </row>
    <row r="1945">
      <c r="A1945" s="1" t="inlineStr">
        <is>
          <t>82224433964333</t>
        </is>
      </c>
      <c r="B1945" s="1" t="inlineStr">
        <is>
          <t>ANILLO LOVE CON ZIRCONIA GOLD</t>
        </is>
      </c>
      <c r="C1945" s="1" t="n"/>
      <c r="D1945" s="1" t="n"/>
      <c r="E1945" s="1" t="n"/>
      <c r="F1945" s="1" t="n"/>
      <c r="G1945" s="6" t="n">
        <v>37.65088802</v>
      </c>
      <c r="H1945" s="1" t="n"/>
      <c r="I1945" s="1" t="n"/>
      <c r="J1945" s="6" t="n">
        <v>38.34701319</v>
      </c>
      <c r="K1945" s="1" t="n"/>
      <c r="L1945" s="1" t="n"/>
      <c r="M1945" s="1" t="n"/>
      <c r="N1945" s="1" t="n"/>
    </row>
    <row r="1946">
      <c r="A1946" s="1" t="inlineStr">
        <is>
          <t>82224434159245</t>
        </is>
      </c>
      <c r="B1946" s="1" t="inlineStr">
        <is>
          <t>ANILLO LOVE CON ZIRCONIA ROSEGOLD</t>
        </is>
      </c>
      <c r="C1946" s="1" t="n"/>
      <c r="D1946" s="1" t="n"/>
      <c r="E1946" s="1" t="n"/>
      <c r="F1946" s="1" t="n"/>
      <c r="G1946" s="6" t="n">
        <v>37.65088802</v>
      </c>
      <c r="H1946" s="1" t="n"/>
      <c r="I1946" s="1" t="n"/>
      <c r="J1946" s="1" t="n"/>
      <c r="K1946" s="1" t="n"/>
      <c r="L1946" s="1" t="n"/>
      <c r="M1946" s="1" t="n"/>
      <c r="N1946" s="1" t="n"/>
    </row>
    <row r="1947">
      <c r="A1947" s="1" t="inlineStr">
        <is>
          <t>82224434292013</t>
        </is>
      </c>
      <c r="B1947" s="1" t="inlineStr">
        <is>
          <t>ANILLO LOVE CON ZIRCONIA ROSE GOLD</t>
        </is>
      </c>
      <c r="C1947" s="1" t="n"/>
      <c r="D1947" s="1" t="n"/>
      <c r="E1947" s="1" t="n"/>
      <c r="F1947" s="1" t="n"/>
      <c r="G1947" s="1" t="n"/>
      <c r="H1947" s="1" t="n"/>
      <c r="I1947" s="1" t="n"/>
      <c r="J1947" s="1" t="n"/>
      <c r="K1947" s="1" t="n"/>
      <c r="L1947" s="1" t="n"/>
      <c r="M1947" s="6" t="n">
        <v>37.82629163</v>
      </c>
      <c r="N1947" s="1" t="n"/>
    </row>
    <row r="1948">
      <c r="A1948" s="1" t="inlineStr">
        <is>
          <t>82224434457549</t>
        </is>
      </c>
      <c r="B1948" s="1" t="inlineStr">
        <is>
          <t>ANILLO LOVE CON ZIRCONIA ROSE GOLD</t>
        </is>
      </c>
      <c r="C1948" s="1" t="n"/>
      <c r="D1948" s="1" t="n"/>
      <c r="E1948" s="1" t="n"/>
      <c r="F1948" s="1" t="n"/>
      <c r="G1948" s="1" t="n"/>
      <c r="H1948" s="1" t="n"/>
      <c r="I1948" s="1" t="n"/>
      <c r="J1948" s="1" t="n"/>
      <c r="K1948" s="1" t="n"/>
      <c r="L1948" s="1" t="n"/>
      <c r="M1948" s="6" t="n">
        <v>37.82629163</v>
      </c>
      <c r="N1948" s="1" t="n"/>
    </row>
    <row r="1949">
      <c r="A1949" s="1" t="inlineStr">
        <is>
          <t>82224434630413</t>
        </is>
      </c>
      <c r="B1949" s="1" t="inlineStr">
        <is>
          <t>COLLAR TREBOL ROSEGOLD WHITE</t>
        </is>
      </c>
      <c r="C1949" s="1" t="n"/>
      <c r="D1949" s="6" t="n">
        <v>232.0657435</v>
      </c>
      <c r="E1949" s="1" t="n"/>
      <c r="F1949" s="6" t="n">
        <v>252.7259813</v>
      </c>
      <c r="G1949" s="6" t="n">
        <v>251.0059201</v>
      </c>
      <c r="H1949" s="1" t="n"/>
      <c r="I1949" s="1" t="n"/>
      <c r="J1949" s="1" t="n"/>
      <c r="K1949" s="1" t="n"/>
      <c r="L1949" s="1" t="n"/>
      <c r="M1949" s="1" t="n"/>
      <c r="N1949" s="1" t="n"/>
    </row>
    <row r="1950">
      <c r="A1950" s="1" t="inlineStr">
        <is>
          <t>82310551082381</t>
        </is>
      </c>
      <c r="B1950" s="1" t="inlineStr">
        <is>
          <t>ARRACADAS F LOGO GOLD</t>
        </is>
      </c>
      <c r="C1950" s="1" t="n"/>
      <c r="D1950" s="1" t="n"/>
      <c r="E1950" s="6" t="n">
        <v>212.615424</v>
      </c>
      <c r="F1950" s="1" t="n"/>
      <c r="G1950" s="1" t="n"/>
      <c r="H1950" s="1" t="n"/>
      <c r="I1950" s="1" t="n"/>
      <c r="J1950" s="1" t="n"/>
      <c r="K1950" s="1" t="n"/>
      <c r="L1950" s="1" t="n"/>
      <c r="M1950" s="6" t="n">
        <v>220.6029281</v>
      </c>
      <c r="N1950" s="1" t="n"/>
    </row>
    <row r="1951">
      <c r="A1951" s="1" t="inlineStr">
        <is>
          <t>82350491022541</t>
        </is>
      </c>
      <c r="B1951" s="1" t="inlineStr">
        <is>
          <t>PULSERA GC SCRIPT DE CADENA GOLD</t>
        </is>
      </c>
      <c r="C1951" s="1" t="n"/>
      <c r="D1951" s="1" t="n"/>
      <c r="E1951" s="6" t="n">
        <v>188.991488</v>
      </c>
      <c r="F1951" s="1" t="n"/>
      <c r="G1951" s="1" t="n"/>
      <c r="H1951" s="1" t="n"/>
      <c r="I1951" s="1" t="n"/>
      <c r="J1951" s="1" t="n"/>
      <c r="K1951" s="1" t="n"/>
      <c r="L1951" s="1" t="n"/>
      <c r="M1951" s="6" t="n">
        <v>220.6029281</v>
      </c>
      <c r="N1951" s="1" t="n"/>
    </row>
    <row r="1952">
      <c r="A1952" s="1" t="inlineStr">
        <is>
          <t>8275727247244</t>
        </is>
      </c>
      <c r="B1952" s="1" t="inlineStr">
        <is>
          <t>ARETES CD COLGANTES</t>
        </is>
      </c>
      <c r="C1952" s="1" t="n"/>
      <c r="D1952" s="1" t="n"/>
      <c r="E1952" s="6" t="n">
        <v>230.5760476</v>
      </c>
      <c r="F1952" s="1" t="n"/>
      <c r="G1952" s="1" t="n"/>
      <c r="H1952" s="1" t="n"/>
      <c r="I1952" s="6" t="n">
        <v>237.9816137</v>
      </c>
      <c r="J1952" s="6" t="n">
        <v>236.345259</v>
      </c>
      <c r="K1952" s="1" t="n"/>
      <c r="L1952" s="6" t="n">
        <v>233.2091958</v>
      </c>
      <c r="M1952" s="1" t="n"/>
      <c r="N1952" s="1" t="n"/>
    </row>
    <row r="1953">
      <c r="A1953" s="1" t="inlineStr">
        <is>
          <t>8275735417996</t>
        </is>
      </c>
      <c r="B1953" s="1" t="inlineStr">
        <is>
          <t>PULSERA LV BLOSSOM GOLD</t>
        </is>
      </c>
      <c r="C1953" s="1" t="n"/>
      <c r="D1953" s="6" t="n">
        <v>322.2924407</v>
      </c>
      <c r="E1953" s="6" t="n">
        <v>335.3833419</v>
      </c>
      <c r="F1953" s="1" t="n"/>
      <c r="G1953" s="1" t="n"/>
      <c r="H1953" s="6" t="n">
        <v>340.3190742</v>
      </c>
      <c r="I1953" s="1" t="n"/>
      <c r="J1953" s="1" t="n"/>
      <c r="K1953" s="1" t="n"/>
      <c r="L1953" s="6" t="n">
        <v>339.2133757</v>
      </c>
      <c r="M1953" s="1" t="n"/>
      <c r="N1953" s="1" t="n"/>
    </row>
    <row r="1954">
      <c r="A1954" s="1" t="inlineStr">
        <is>
          <t>82932047388428</t>
        </is>
      </c>
      <c r="B1954" s="1" t="inlineStr">
        <is>
          <t>PULSERA GC LOGO</t>
        </is>
      </c>
      <c r="C1954" s="1" t="n"/>
      <c r="D1954" s="1" t="n"/>
      <c r="E1954" s="1" t="n"/>
      <c r="F1954" s="1" t="n"/>
      <c r="G1954" s="1" t="n"/>
      <c r="H1954" s="1" t="n"/>
      <c r="I1954" s="1" t="n"/>
      <c r="J1954" s="6" t="n">
        <v>343.7749222</v>
      </c>
      <c r="K1954" s="1" t="n"/>
      <c r="L1954" s="1" t="n"/>
      <c r="M1954" s="1" t="n"/>
      <c r="N1954" s="1" t="n"/>
    </row>
    <row r="1955">
      <c r="A1955" s="1" t="inlineStr">
        <is>
          <t>83188051093645</t>
        </is>
      </c>
      <c r="B1955" s="1" t="inlineStr">
        <is>
          <t>BRAZALETE F GOLD BLACK</t>
        </is>
      </c>
      <c r="C1955" s="1" t="n"/>
      <c r="D1955" s="1" t="n"/>
      <c r="E1955" s="6" t="n">
        <v>259.863296</v>
      </c>
      <c r="F1955" s="1" t="n"/>
      <c r="G1955" s="1" t="n"/>
      <c r="H1955" s="1" t="n"/>
      <c r="I1955" s="1" t="n"/>
      <c r="J1955" s="1" t="n"/>
      <c r="K1955" s="1" t="n"/>
      <c r="L1955" s="1" t="n"/>
      <c r="M1955" s="1" t="n"/>
      <c r="N1955" s="1" t="n"/>
    </row>
    <row r="1956">
      <c r="A1956" s="1" t="inlineStr">
        <is>
          <t>83342111044589</t>
        </is>
      </c>
      <c r="B1956" s="1" t="inlineStr">
        <is>
          <t>TRAJE DE BAÑO DG BLACK</t>
        </is>
      </c>
      <c r="C1956" s="1" t="n"/>
      <c r="D1956" s="1" t="n"/>
      <c r="E1956" s="1" t="n"/>
      <c r="F1956" s="1" t="n"/>
      <c r="G1956" s="1" t="n"/>
      <c r="H1956" s="1" t="n"/>
      <c r="I1956" s="1" t="n"/>
      <c r="J1956" s="6" t="n">
        <v>290.0600906</v>
      </c>
      <c r="K1956" s="1" t="n"/>
      <c r="L1956" s="1" t="n"/>
      <c r="M1956" s="1" t="n"/>
      <c r="N1956" s="1" t="n"/>
    </row>
    <row r="1957">
      <c r="A1957" s="1" t="inlineStr">
        <is>
          <t>83391721047053</t>
        </is>
      </c>
      <c r="B1957" s="1" t="inlineStr">
        <is>
          <t>PULSERA SMILE ROSE GOLD CON ZIRCONIAS</t>
        </is>
      </c>
      <c r="C1957" s="1" t="n"/>
      <c r="D1957" s="1" t="n"/>
      <c r="E1957" s="1" t="n"/>
      <c r="F1957" s="1" t="n"/>
      <c r="G1957" s="1" t="n"/>
      <c r="H1957" s="1" t="n"/>
      <c r="I1957" s="6" t="n">
        <v>160.1571929</v>
      </c>
      <c r="J1957" s="1" t="n"/>
      <c r="K1957" s="1" t="n"/>
      <c r="L1957" s="1" t="n"/>
      <c r="M1957" s="1" t="n"/>
      <c r="N1957" s="1" t="n"/>
    </row>
    <row r="1958">
      <c r="A1958" s="1" t="inlineStr">
        <is>
          <t>83391731114285</t>
        </is>
      </c>
      <c r="B1958" s="1" t="inlineStr">
        <is>
          <t>PULSERA SMILE SILVER CON ZIRCONIAS</t>
        </is>
      </c>
      <c r="C1958" s="1" t="n"/>
      <c r="D1958" s="1" t="n"/>
      <c r="E1958" s="1" t="n"/>
      <c r="F1958" s="1" t="n"/>
      <c r="G1958" s="1" t="n"/>
      <c r="H1958" s="1" t="n"/>
      <c r="I1958" s="6" t="n">
        <v>160.1571929</v>
      </c>
      <c r="J1958" s="1" t="n"/>
      <c r="K1958" s="1" t="n"/>
      <c r="L1958" s="1" t="n"/>
      <c r="M1958" s="1" t="n"/>
      <c r="N1958" s="1" t="n"/>
    </row>
    <row r="1959">
      <c r="A1959" s="1" t="inlineStr">
        <is>
          <t>83391731283213</t>
        </is>
      </c>
      <c r="B1959" s="1" t="inlineStr">
        <is>
          <t>ANILLO DOBLE T SILVER ZIRCONIAS</t>
        </is>
      </c>
      <c r="C1959" s="1" t="n"/>
      <c r="D1959" s="1" t="n"/>
      <c r="E1959" s="1" t="n"/>
      <c r="F1959" s="1" t="n"/>
      <c r="G1959" s="1" t="n"/>
      <c r="H1959" s="1" t="n"/>
      <c r="I1959" s="6" t="n">
        <v>149.4800467</v>
      </c>
      <c r="J1959" s="1" t="n"/>
      <c r="K1959" s="1" t="n"/>
      <c r="L1959" s="1" t="n"/>
      <c r="M1959" s="1" t="n"/>
      <c r="N1959" s="1" t="n"/>
    </row>
    <row r="1960">
      <c r="A1960" s="1" t="inlineStr">
        <is>
          <t>83391731315981</t>
        </is>
      </c>
      <c r="B1960" s="1" t="inlineStr">
        <is>
          <t>ANILLO DOBLE T SILVER ZIRCONIAS</t>
        </is>
      </c>
      <c r="C1960" s="1" t="n"/>
      <c r="D1960" s="1" t="n"/>
      <c r="E1960" s="1" t="n"/>
      <c r="F1960" s="1" t="n"/>
      <c r="G1960" s="1" t="n"/>
      <c r="H1960" s="1" t="n"/>
      <c r="I1960" s="6" t="n">
        <v>149.4800467</v>
      </c>
      <c r="J1960" s="1" t="n"/>
      <c r="K1960" s="1" t="n"/>
      <c r="L1960" s="1" t="n"/>
      <c r="M1960" s="1" t="n"/>
      <c r="N1960" s="1" t="n"/>
    </row>
    <row r="1961">
      <c r="A1961" s="1" t="inlineStr">
        <is>
          <t>83391731482125</t>
        </is>
      </c>
      <c r="B1961" s="1" t="inlineStr">
        <is>
          <t>ANILLO DOBLE T ROSE GOLD ZIRCONIAS</t>
        </is>
      </c>
      <c r="C1961" s="1" t="n"/>
      <c r="D1961" s="1" t="n"/>
      <c r="E1961" s="1" t="n"/>
      <c r="F1961" s="1" t="n"/>
      <c r="G1961" s="1" t="n"/>
      <c r="H1961" s="1" t="n"/>
      <c r="I1961" s="6" t="n">
        <v>149.4800467</v>
      </c>
      <c r="J1961" s="1" t="n"/>
      <c r="K1961" s="1" t="n"/>
      <c r="L1961" s="1" t="n"/>
      <c r="M1961" s="1" t="n"/>
      <c r="N1961" s="1" t="n"/>
    </row>
    <row r="1962">
      <c r="A1962" s="1" t="inlineStr">
        <is>
          <t>83445961082989</t>
        </is>
      </c>
      <c r="B1962" s="1" t="inlineStr">
        <is>
          <t>ARETES GC MARMONT GOLD CON PERLA</t>
        </is>
      </c>
      <c r="C1962" s="1" t="n"/>
      <c r="D1962" s="1" t="n"/>
      <c r="E1962" s="6" t="n">
        <v>212.615424</v>
      </c>
      <c r="F1962" s="1" t="n"/>
      <c r="G1962" s="1" t="n"/>
      <c r="H1962" s="1" t="n"/>
      <c r="I1962" s="1" t="n"/>
      <c r="J1962" s="1" t="n"/>
      <c r="K1962" s="1" t="n"/>
      <c r="L1962" s="1" t="n"/>
      <c r="M1962" s="6" t="n">
        <v>196.0914916</v>
      </c>
      <c r="N1962" s="1" t="n"/>
    </row>
    <row r="1963">
      <c r="A1963" s="1" t="inlineStr">
        <is>
          <t>83765241087533</t>
        </is>
      </c>
      <c r="B1963" s="1" t="inlineStr">
        <is>
          <t>ANILLO LV INSTICT SILVER</t>
        </is>
      </c>
      <c r="C1963" s="1" t="n"/>
      <c r="D1963" s="6" t="n">
        <v>126.3703458</v>
      </c>
      <c r="E1963" s="1" t="n"/>
      <c r="F1963" s="1" t="n"/>
      <c r="G1963" s="1" t="n"/>
      <c r="H1963" s="1" t="n"/>
      <c r="I1963" s="6" t="n">
        <v>126.2002914</v>
      </c>
      <c r="J1963" s="1" t="n"/>
      <c r="K1963" s="1" t="n"/>
      <c r="L1963" s="1" t="n"/>
      <c r="M1963" s="1" t="n"/>
      <c r="N1963" s="1" t="n"/>
    </row>
    <row r="1964">
      <c r="A1964" s="1" t="inlineStr">
        <is>
          <t>83844901025261</t>
        </is>
      </c>
      <c r="B1964" s="1" t="inlineStr">
        <is>
          <t>PULSERA DE TELA F GOLD BLACK</t>
        </is>
      </c>
      <c r="C1964" s="1" t="n"/>
      <c r="D1964" s="1" t="n"/>
      <c r="E1964" s="6" t="n">
        <v>188.991488</v>
      </c>
      <c r="F1964" s="1" t="n"/>
      <c r="G1964" s="1" t="n"/>
      <c r="H1964" s="1" t="n"/>
      <c r="I1964" s="1" t="n"/>
      <c r="J1964" s="1" t="n"/>
      <c r="K1964" s="1" t="n"/>
      <c r="L1964" s="1" t="n"/>
      <c r="M1964" s="1" t="n"/>
      <c r="N1964" s="1" t="n"/>
    </row>
    <row r="1965">
      <c r="A1965" s="1" t="inlineStr">
        <is>
          <t>84158211070285</t>
        </is>
      </c>
      <c r="B1965" s="1" t="inlineStr">
        <is>
          <t>COLLAR TREBOL ROSEGOLD-RED</t>
        </is>
      </c>
      <c r="C1965" s="1" t="n"/>
      <c r="D1965" s="1" t="n"/>
      <c r="E1965" s="1" t="n"/>
      <c r="F1965" s="1" t="n"/>
      <c r="G1965" s="1" t="n"/>
      <c r="H1965" s="1" t="n"/>
      <c r="I1965" s="1" t="n"/>
      <c r="J1965" s="1" t="n"/>
      <c r="K1965" s="1" t="n"/>
      <c r="L1965" s="1" t="n"/>
      <c r="M1965" s="6" t="n">
        <v>84.05842584</v>
      </c>
      <c r="N1965" s="1" t="n"/>
    </row>
    <row r="1966">
      <c r="A1966" s="1" t="inlineStr">
        <is>
          <t>84159921033261</t>
        </is>
      </c>
      <c r="B1966" s="1" t="inlineStr">
        <is>
          <t>PULSERA GC ROSE GOLD BLONDIE CON ZIRCONIAS</t>
        </is>
      </c>
      <c r="C1966" s="1" t="n"/>
      <c r="D1966" s="1" t="n"/>
      <c r="E1966" s="6" t="n">
        <v>188.991488</v>
      </c>
      <c r="F1966" s="1" t="n"/>
      <c r="G1966" s="1" t="n"/>
      <c r="H1966" s="1" t="n"/>
      <c r="I1966" s="1" t="n"/>
      <c r="J1966" s="1" t="n"/>
      <c r="K1966" s="1" t="n"/>
      <c r="L1966" s="1" t="n"/>
      <c r="M1966" s="1" t="n"/>
      <c r="N1966" s="1" t="n"/>
    </row>
    <row r="1967">
      <c r="A1967" s="1" t="inlineStr">
        <is>
          <t>84911031092013</t>
        </is>
      </c>
      <c r="B1967" s="1" t="inlineStr">
        <is>
          <t>PULSERA GC GOLD BLONDIE CON ZIRCONIAS</t>
        </is>
      </c>
      <c r="C1967" s="1" t="n"/>
      <c r="D1967" s="1" t="n"/>
      <c r="E1967" s="6" t="n">
        <v>354.35904</v>
      </c>
      <c r="F1967" s="1" t="n"/>
      <c r="G1967" s="1" t="n"/>
      <c r="H1967" s="1" t="n"/>
      <c r="I1967" s="1" t="n"/>
      <c r="J1967" s="1" t="n"/>
      <c r="K1967" s="1" t="n"/>
      <c r="L1967" s="6" t="n">
        <v>397.5693673</v>
      </c>
      <c r="M1967" s="1" t="n"/>
      <c r="N1967" s="1" t="n"/>
    </row>
    <row r="1968">
      <c r="A1968" s="1" t="inlineStr">
        <is>
          <t>85245863092492</t>
        </is>
      </c>
      <c r="B1968" s="1" t="inlineStr">
        <is>
          <t>PULSERA DE TELA TRES AROS RED</t>
        </is>
      </c>
      <c r="C1968" s="1" t="n"/>
      <c r="D1968" s="1" t="n"/>
      <c r="E1968" s="1" t="n"/>
      <c r="F1968" s="1" t="n"/>
      <c r="G1968" s="1" t="n"/>
      <c r="H1968" s="6" t="n">
        <v>95.40188006</v>
      </c>
      <c r="I1968" s="6" t="n">
        <v>99.02193151</v>
      </c>
      <c r="J1968" s="1" t="n"/>
      <c r="K1968" s="1" t="n"/>
      <c r="L1968" s="6" t="n">
        <v>98.64968789</v>
      </c>
      <c r="M1968" s="1" t="n"/>
      <c r="N1968" s="1" t="n"/>
    </row>
    <row r="1969">
      <c r="A1969" s="1" t="inlineStr">
        <is>
          <t>85367151238285</t>
        </is>
      </c>
      <c r="B1969" s="1" t="inlineStr">
        <is>
          <t>BOLSO CD SAFARI OBLIQUE</t>
        </is>
      </c>
      <c r="C1969" s="1" t="n"/>
      <c r="D1969" s="1" t="n"/>
      <c r="E1969" s="1" t="n"/>
      <c r="F1969" s="1" t="n"/>
      <c r="G1969" s="1" t="n"/>
      <c r="H1969" s="1" t="n"/>
      <c r="I1969" s="6" t="n">
        <v>1282.627007</v>
      </c>
      <c r="J1969" s="1" t="n"/>
      <c r="K1969" s="1" t="n"/>
      <c r="L1969" s="1" t="n"/>
      <c r="M1969" s="1" t="n"/>
      <c r="N1969" s="1" t="n"/>
    </row>
    <row r="1970">
      <c r="A1970" s="1" t="inlineStr">
        <is>
          <t>85367151372749</t>
        </is>
      </c>
      <c r="B1970" s="1" t="inlineStr">
        <is>
          <t>BOLSO CD MESSENGER SOLAPA</t>
        </is>
      </c>
      <c r="C1970" s="1" t="n"/>
      <c r="D1970" s="1" t="n"/>
      <c r="E1970" s="1" t="n"/>
      <c r="F1970" s="1" t="n"/>
      <c r="G1970" s="1" t="n"/>
      <c r="H1970" s="1" t="n"/>
      <c r="I1970" s="6" t="n">
        <v>1149.020027</v>
      </c>
      <c r="J1970" s="1" t="n"/>
      <c r="K1970" s="1" t="n"/>
      <c r="L1970" s="1" t="n"/>
      <c r="M1970" s="1" t="n"/>
      <c r="N1970" s="1" t="n"/>
    </row>
    <row r="1971">
      <c r="A1971" s="1" t="inlineStr">
        <is>
          <t>85367151407213</t>
        </is>
      </c>
      <c r="B1971" s="1" t="inlineStr">
        <is>
          <t>CARTERA LV SARAH MONOGRAM</t>
        </is>
      </c>
      <c r="C1971" s="1" t="n"/>
      <c r="D1971" s="1" t="n"/>
      <c r="E1971" s="1" t="n"/>
      <c r="F1971" s="1" t="n"/>
      <c r="G1971" s="1" t="n"/>
      <c r="H1971" s="1" t="n"/>
      <c r="I1971" s="6" t="n">
        <v>480.9851275</v>
      </c>
      <c r="J1971" s="1" t="n"/>
      <c r="K1971" s="1" t="n"/>
      <c r="L1971" s="1" t="n"/>
      <c r="M1971" s="1" t="n"/>
      <c r="N1971" s="1" t="n"/>
    </row>
    <row r="1972">
      <c r="A1972" s="1" t="inlineStr">
        <is>
          <t>85367151541677</t>
        </is>
      </c>
      <c r="B1972" s="1" t="inlineStr">
        <is>
          <t>TARJETERO C LOGO</t>
        </is>
      </c>
      <c r="C1972" s="1" t="n"/>
      <c r="D1972" s="1" t="n"/>
      <c r="E1972" s="1" t="n"/>
      <c r="F1972" s="1" t="n"/>
      <c r="G1972" s="1" t="n"/>
      <c r="H1972" s="1" t="n"/>
      <c r="I1972" s="6" t="n">
        <v>320.6567517</v>
      </c>
      <c r="J1972" s="1" t="n"/>
      <c r="K1972" s="1" t="n"/>
      <c r="L1972" s="1" t="n"/>
      <c r="M1972" s="1" t="n"/>
      <c r="N1972" s="1" t="n"/>
    </row>
    <row r="1973">
      <c r="A1973" s="1" t="inlineStr">
        <is>
          <t>85367151645069</t>
        </is>
      </c>
      <c r="B1973" s="1" t="inlineStr">
        <is>
          <t>CARTERA C SMALL BLACK</t>
        </is>
      </c>
      <c r="C1973" s="1" t="n"/>
      <c r="D1973" s="1" t="n"/>
      <c r="E1973" s="1" t="n"/>
      <c r="F1973" s="1" t="n"/>
      <c r="G1973" s="1" t="n"/>
      <c r="H1973" s="1" t="n"/>
      <c r="I1973" s="6" t="n">
        <v>748.1990872</v>
      </c>
      <c r="J1973" s="1" t="n"/>
      <c r="K1973" s="1" t="n"/>
      <c r="L1973" s="1" t="n"/>
      <c r="M1973" s="1" t="n"/>
      <c r="N1973" s="1" t="n"/>
    </row>
    <row r="1974">
      <c r="A1974" s="1" t="inlineStr">
        <is>
          <t>85367151779533</t>
        </is>
      </c>
      <c r="B1974" s="1" t="inlineStr">
        <is>
          <t>CARTERA PR LOGO</t>
        </is>
      </c>
      <c r="C1974" s="1" t="n"/>
      <c r="D1974" s="1" t="n"/>
      <c r="E1974" s="1" t="n"/>
      <c r="F1974" s="1" t="n"/>
      <c r="G1974" s="1" t="n"/>
      <c r="H1974" s="1" t="n"/>
      <c r="I1974" s="6" t="n">
        <v>774.9204832</v>
      </c>
      <c r="J1974" s="1" t="n"/>
      <c r="K1974" s="1" t="n"/>
      <c r="L1974" s="1" t="n"/>
      <c r="M1974" s="1" t="n"/>
      <c r="N1974" s="1" t="n"/>
    </row>
    <row r="1975">
      <c r="A1975" s="1" t="inlineStr">
        <is>
          <t>85367151846765</t>
        </is>
      </c>
      <c r="B1975" s="1" t="inlineStr">
        <is>
          <t>CARTERA YSL SILVER LOGO</t>
        </is>
      </c>
      <c r="C1975" s="1" t="n"/>
      <c r="D1975" s="1" t="n"/>
      <c r="E1975" s="1" t="n"/>
      <c r="F1975" s="1" t="n"/>
      <c r="G1975" s="1" t="n"/>
      <c r="H1975" s="1" t="n"/>
      <c r="I1975" s="6" t="n">
        <v>668.0348993</v>
      </c>
      <c r="J1975" s="1" t="n"/>
      <c r="K1975" s="1" t="n"/>
      <c r="L1975" s="1" t="n"/>
      <c r="M1975" s="1" t="n"/>
      <c r="N1975" s="1" t="n"/>
    </row>
    <row r="1976">
      <c r="A1976" s="1" t="inlineStr">
        <is>
          <t>85367151913997</t>
        </is>
      </c>
      <c r="B1976" s="1" t="inlineStr">
        <is>
          <t>TARJETERO CC JOLIE BLACK</t>
        </is>
      </c>
      <c r="C1976" s="1" t="n"/>
      <c r="D1976" s="1" t="n"/>
      <c r="E1976" s="1" t="n"/>
      <c r="F1976" s="1" t="n"/>
      <c r="G1976" s="1" t="n"/>
      <c r="H1976" s="1" t="n"/>
      <c r="I1976" s="6" t="n">
        <v>400.8209396</v>
      </c>
      <c r="J1976" s="1" t="n"/>
      <c r="K1976" s="1" t="n"/>
      <c r="L1976" s="1" t="n"/>
      <c r="M1976" s="1" t="n"/>
      <c r="N1976" s="1" t="n"/>
    </row>
    <row r="1977">
      <c r="A1977" s="1" t="inlineStr">
        <is>
          <t>85367152015693</t>
        </is>
      </c>
      <c r="B1977" s="1" t="inlineStr">
        <is>
          <t>CARTERA CC JOLIE BLACK</t>
        </is>
      </c>
      <c r="C1977" s="1" t="n"/>
      <c r="D1977" s="1" t="n"/>
      <c r="E1977" s="1" t="n"/>
      <c r="F1977" s="1" t="n"/>
      <c r="G1977" s="1" t="n"/>
      <c r="H1977" s="1" t="n"/>
      <c r="I1977" s="6" t="n">
        <v>614.5921074</v>
      </c>
      <c r="J1977" s="1" t="n"/>
      <c r="K1977" s="1" t="n"/>
      <c r="L1977" s="1" t="n"/>
      <c r="M1977" s="1" t="n"/>
      <c r="N1977" s="1" t="n"/>
    </row>
    <row r="1978">
      <c r="A1978" s="1" t="inlineStr">
        <is>
          <t>85367152182925</t>
        </is>
      </c>
      <c r="B1978" s="1" t="inlineStr">
        <is>
          <t>BOLSO CC SHINY STAR BLACK</t>
        </is>
      </c>
      <c r="C1978" s="1" t="n"/>
      <c r="D1978" s="1" t="n"/>
      <c r="E1978" s="1" t="n"/>
      <c r="F1978" s="1" t="n"/>
      <c r="G1978" s="1" t="n"/>
      <c r="H1978" s="1" t="n"/>
      <c r="I1978" s="6" t="n">
        <v>1496.398174</v>
      </c>
      <c r="J1978" s="1" t="n"/>
      <c r="K1978" s="1" t="n"/>
      <c r="L1978" s="1" t="n"/>
      <c r="M1978" s="1" t="n"/>
      <c r="N1978" s="1" t="n"/>
    </row>
    <row r="1979">
      <c r="A1979" s="1" t="inlineStr">
        <is>
          <t>85367152250157</t>
        </is>
      </c>
      <c r="B1979" s="1" t="inlineStr">
        <is>
          <t>BOLSO C NINO BLACK</t>
        </is>
      </c>
      <c r="C1979" s="1" t="n"/>
      <c r="D1979" s="1" t="n"/>
      <c r="E1979" s="1" t="n"/>
      <c r="F1979" s="1" t="n"/>
      <c r="G1979" s="1" t="n"/>
      <c r="H1979" s="1" t="n"/>
      <c r="I1979" s="6" t="n">
        <v>1202.462819</v>
      </c>
      <c r="J1979" s="1" t="n"/>
      <c r="K1979" s="1" t="n"/>
      <c r="L1979" s="1" t="n"/>
      <c r="M1979" s="1" t="n"/>
      <c r="N1979" s="1" t="n"/>
    </row>
    <row r="1980">
      <c r="A1980" s="1" t="inlineStr">
        <is>
          <t>85367152384621</t>
        </is>
      </c>
      <c r="B1980" s="1" t="inlineStr">
        <is>
          <t>BOLSO CC BOY BLACK</t>
        </is>
      </c>
      <c r="C1980" s="1" t="n"/>
      <c r="D1980" s="1" t="n"/>
      <c r="E1980" s="1" t="n"/>
      <c r="F1980" s="1" t="n"/>
      <c r="G1980" s="1" t="n"/>
      <c r="H1980" s="1" t="n"/>
      <c r="I1980" s="6" t="n">
        <v>400.8209396</v>
      </c>
      <c r="J1980" s="1" t="n"/>
      <c r="K1980" s="1" t="n"/>
      <c r="L1980" s="1" t="n"/>
      <c r="M1980" s="1" t="n"/>
      <c r="N1980" s="1" t="n"/>
    </row>
    <row r="1981">
      <c r="A1981" s="1" t="inlineStr">
        <is>
          <t>85367152486317</t>
        </is>
      </c>
      <c r="B1981" s="1" t="inlineStr">
        <is>
          <t>CINTO FR SILVER BROWN</t>
        </is>
      </c>
      <c r="C1981" s="1" t="n"/>
      <c r="D1981" s="1" t="n"/>
      <c r="E1981" s="1" t="n"/>
      <c r="F1981" s="1" t="n"/>
      <c r="G1981" s="1" t="n"/>
      <c r="H1981" s="1" t="n"/>
      <c r="I1981" s="6" t="n">
        <v>320.6567517</v>
      </c>
      <c r="J1981" s="1" t="n"/>
      <c r="K1981" s="1" t="n"/>
      <c r="L1981" s="1" t="n"/>
      <c r="M1981" s="1" t="n"/>
      <c r="N1981" s="1" t="n"/>
    </row>
    <row r="1982">
      <c r="A1982" s="1" t="inlineStr">
        <is>
          <t>85409401017325</t>
        </is>
      </c>
      <c r="B1982" s="1" t="inlineStr">
        <is>
          <t>ARETES F OVAL GOLD CON ZIRCONIA</t>
        </is>
      </c>
      <c r="C1982" s="1" t="n"/>
      <c r="D1982" s="1" t="n"/>
      <c r="E1982" s="6" t="n">
        <v>188.991488</v>
      </c>
      <c r="F1982" s="1" t="n"/>
      <c r="G1982" s="1" t="n"/>
      <c r="H1982" s="6" t="n">
        <v>208.252795</v>
      </c>
      <c r="I1982" s="1" t="n"/>
      <c r="J1982" s="6" t="n">
        <v>210.2158058</v>
      </c>
      <c r="K1982" s="6" t="n">
        <v>204.8702267</v>
      </c>
      <c r="L1982" s="6" t="n">
        <v>212.0369959</v>
      </c>
      <c r="M1982" s="1" t="n"/>
      <c r="N1982" s="1" t="n"/>
    </row>
    <row r="1983">
      <c r="A1983" s="1" t="inlineStr">
        <is>
          <t>85430731026029</t>
        </is>
      </c>
      <c r="B1983" s="1" t="inlineStr">
        <is>
          <t>RELOJ PANTHERE SILVER</t>
        </is>
      </c>
      <c r="C1983" s="1" t="n"/>
      <c r="D1983" s="1" t="n"/>
      <c r="E1983" s="1" t="n"/>
      <c r="F1983" s="1" t="n"/>
      <c r="G1983" s="1" t="n"/>
      <c r="H1983" s="1" t="n"/>
      <c r="I1983" s="1" t="n"/>
      <c r="J1983" s="1" t="n"/>
      <c r="K1983" s="1" t="n"/>
      <c r="L1983" s="1" t="n"/>
      <c r="M1983" s="6" t="n">
        <v>1421.663314</v>
      </c>
      <c r="N1983" s="1" t="n"/>
    </row>
    <row r="1984">
      <c r="A1984" s="1" t="inlineStr">
        <is>
          <t>85549091025933</t>
        </is>
      </c>
      <c r="B1984" s="1" t="inlineStr">
        <is>
          <t>ANILLO CD LOGO GOLD CON ZIRCONIAS</t>
        </is>
      </c>
      <c r="C1984" s="1" t="n"/>
      <c r="D1984" s="1" t="n"/>
      <c r="E1984" s="1" t="n"/>
      <c r="F1984" s="1" t="n"/>
      <c r="G1984" s="6" t="n">
        <v>125.5029601</v>
      </c>
      <c r="H1984" s="1" t="n"/>
      <c r="I1984" s="1" t="n"/>
      <c r="J1984" s="1" t="n"/>
      <c r="K1984" s="1" t="n"/>
      <c r="L1984" s="1" t="n"/>
      <c r="M1984" s="1" t="n"/>
      <c r="N1984" s="1" t="n"/>
    </row>
    <row r="1985">
      <c r="A1985" s="1" t="inlineStr">
        <is>
          <t>85563421017997</t>
        </is>
      </c>
      <c r="B1985" s="1" t="inlineStr">
        <is>
          <t>COLLAR LV INSIGNIAS BLOSSOM GOLD BLACK</t>
        </is>
      </c>
      <c r="C1985" s="1" t="n"/>
      <c r="D1985" s="1" t="n"/>
      <c r="E1985" s="6" t="n">
        <v>259.863296</v>
      </c>
      <c r="F1985" s="1" t="n"/>
      <c r="G1985" s="1" t="n"/>
      <c r="H1985" s="1" t="n"/>
      <c r="I1985" s="1" t="n"/>
      <c r="J1985" s="1" t="n"/>
      <c r="K1985" s="1" t="n"/>
      <c r="L1985" s="1" t="n"/>
      <c r="M1985" s="1" t="n"/>
      <c r="N1985" s="1" t="n"/>
    </row>
    <row r="1986">
      <c r="A1986" s="1" t="inlineStr">
        <is>
          <t>85887251053901</t>
        </is>
      </c>
      <c r="B1986" s="1" t="inlineStr">
        <is>
          <t>ABRIGO CAQUI JW</t>
        </is>
      </c>
      <c r="C1986" s="1" t="n"/>
      <c r="D1986" s="1" t="n"/>
      <c r="E1986" s="6" t="n">
        <v>225.7214403</v>
      </c>
      <c r="F1986" s="1" t="n"/>
      <c r="G1986" s="1" t="n"/>
      <c r="H1986" s="1" t="n"/>
      <c r="I1986" s="1" t="n"/>
      <c r="J1986" s="1" t="n"/>
      <c r="K1986" s="1" t="n"/>
      <c r="L1986" s="1" t="n"/>
      <c r="M1986" s="1" t="n"/>
      <c r="N1986" s="1" t="n"/>
    </row>
    <row r="1987">
      <c r="A1987" s="1" t="inlineStr">
        <is>
          <t>85887251172013</t>
        </is>
      </c>
      <c r="B1987" s="1" t="inlineStr">
        <is>
          <t>ABRIGO WHITE JW</t>
        </is>
      </c>
      <c r="C1987" s="1" t="n"/>
      <c r="D1987" s="1" t="n"/>
      <c r="E1987" s="6" t="n">
        <v>422.8705464</v>
      </c>
      <c r="F1987" s="1" t="n"/>
      <c r="G1987" s="1" t="n"/>
      <c r="H1987" s="1" t="n"/>
      <c r="I1987" s="1" t="n"/>
      <c r="J1987" s="1" t="n"/>
      <c r="K1987" s="1" t="n"/>
      <c r="L1987" s="1" t="n"/>
      <c r="M1987" s="1" t="n"/>
      <c r="N1987" s="1" t="n"/>
    </row>
    <row r="1988">
      <c r="A1988" s="1" t="inlineStr">
        <is>
          <t>85887251265229</t>
        </is>
      </c>
      <c r="B1988" s="1" t="inlineStr">
        <is>
          <t>ABRIGO WHITE-BLACK JW</t>
        </is>
      </c>
      <c r="C1988" s="1" t="n"/>
      <c r="D1988" s="1" t="n"/>
      <c r="E1988" s="6" t="n">
        <v>146.2903512</v>
      </c>
      <c r="F1988" s="1" t="n"/>
      <c r="G1988" s="1" t="n"/>
      <c r="H1988" s="1" t="n"/>
      <c r="I1988" s="1" t="n"/>
      <c r="J1988" s="1" t="n"/>
      <c r="K1988" s="1" t="n"/>
      <c r="L1988" s="1" t="n"/>
      <c r="M1988" s="1" t="n"/>
      <c r="N1988" s="1" t="n"/>
    </row>
    <row r="1989">
      <c r="A1989" s="1" t="inlineStr">
        <is>
          <t>85887251331053</t>
        </is>
      </c>
      <c r="B1989" s="1" t="inlineStr">
        <is>
          <t>SUDADERA ZIPPER BEIGE JW</t>
        </is>
      </c>
      <c r="C1989" s="1" t="n"/>
      <c r="D1989" s="1" t="n"/>
      <c r="E1989" s="6" t="n">
        <v>540.0171166</v>
      </c>
      <c r="F1989" s="1" t="n"/>
      <c r="G1989" s="1" t="n"/>
      <c r="H1989" s="1" t="n"/>
      <c r="I1989" s="1" t="n"/>
      <c r="J1989" s="1" t="n"/>
      <c r="K1989" s="1" t="n"/>
      <c r="L1989" s="1" t="n"/>
      <c r="M1989" s="1" t="n"/>
      <c r="N1989" s="1" t="n"/>
    </row>
    <row r="1990">
      <c r="A1990" s="1" t="inlineStr">
        <is>
          <t>85887251403373</t>
        </is>
      </c>
      <c r="B1990" s="1" t="inlineStr">
        <is>
          <t>SUETER CLASSIC BLACK CASHMERE</t>
        </is>
      </c>
      <c r="C1990" s="1" t="n"/>
      <c r="D1990" s="1" t="n"/>
      <c r="E1990" s="6" t="n">
        <v>514.3020158</v>
      </c>
      <c r="F1990" s="1" t="n"/>
      <c r="G1990" s="1" t="n"/>
      <c r="H1990" s="1" t="n"/>
      <c r="I1990" s="1" t="n"/>
      <c r="J1990" s="1" t="n"/>
      <c r="K1990" s="1" t="n"/>
      <c r="L1990" s="1" t="n"/>
      <c r="M1990" s="1" t="n"/>
      <c r="N1990" s="1" t="n"/>
    </row>
    <row r="1991">
      <c r="A1991" s="1" t="inlineStr">
        <is>
          <t>85887251539533</t>
        </is>
      </c>
      <c r="B1991" s="1" t="inlineStr">
        <is>
          <t>SUETER CLASSIC CAQUI CASHMERE</t>
        </is>
      </c>
      <c r="C1991" s="1" t="n"/>
      <c r="D1991" s="1" t="n"/>
      <c r="E1991" s="6" t="n">
        <v>514.3020158</v>
      </c>
      <c r="F1991" s="1" t="n"/>
      <c r="G1991" s="1" t="n"/>
      <c r="H1991" s="1" t="n"/>
      <c r="I1991" s="1" t="n"/>
      <c r="J1991" s="1" t="n"/>
      <c r="K1991" s="1" t="n"/>
      <c r="L1991" s="1" t="n"/>
      <c r="M1991" s="1" t="n"/>
      <c r="N1991" s="1" t="n"/>
    </row>
    <row r="1992">
      <c r="A1992" s="1" t="inlineStr">
        <is>
          <t>85887251610157</t>
        </is>
      </c>
      <c r="B1992" s="1" t="inlineStr">
        <is>
          <t>SUETER CLASSIC GREY CASHMERE</t>
        </is>
      </c>
      <c r="C1992" s="1" t="n"/>
      <c r="D1992" s="1" t="n"/>
      <c r="E1992" s="6" t="n">
        <v>514.3020158</v>
      </c>
      <c r="F1992" s="1" t="n"/>
      <c r="G1992" s="1" t="n"/>
      <c r="H1992" s="1" t="n"/>
      <c r="I1992" s="1" t="n"/>
      <c r="J1992" s="1" t="n"/>
      <c r="K1992" s="1" t="n"/>
      <c r="L1992" s="1" t="n"/>
      <c r="M1992" s="1" t="n"/>
      <c r="N1992" s="1" t="n"/>
    </row>
    <row r="1993">
      <c r="A1993" s="1" t="inlineStr">
        <is>
          <t>85887251787565</t>
        </is>
      </c>
      <c r="B1993" s="1" t="inlineStr">
        <is>
          <t>CAMISETA GREEN JW</t>
        </is>
      </c>
      <c r="C1993" s="1" t="n"/>
      <c r="D1993" s="1" t="n"/>
      <c r="E1993" s="6" t="n">
        <v>405.7271458</v>
      </c>
      <c r="F1993" s="1" t="n"/>
      <c r="G1993" s="1" t="n"/>
      <c r="H1993" s="1" t="n"/>
      <c r="I1993" s="1" t="n"/>
      <c r="J1993" s="1" t="n"/>
      <c r="K1993" s="1" t="n"/>
      <c r="L1993" s="1" t="n"/>
      <c r="M1993" s="1" t="n"/>
      <c r="N1993" s="1" t="n"/>
    </row>
    <row r="1994">
      <c r="A1994" s="1" t="inlineStr">
        <is>
          <t>85887251827853</t>
        </is>
      </c>
      <c r="B1994" s="1" t="inlineStr">
        <is>
          <t>CAMISETA BLUE JW</t>
        </is>
      </c>
      <c r="C1994" s="1" t="n"/>
      <c r="D1994" s="1" t="n"/>
      <c r="E1994" s="6" t="n">
        <v>405.7271458</v>
      </c>
      <c r="F1994" s="1" t="n"/>
      <c r="G1994" s="1" t="n"/>
      <c r="H1994" s="1" t="n"/>
      <c r="I1994" s="1" t="n"/>
      <c r="J1994" s="1" t="n"/>
      <c r="K1994" s="1" t="n"/>
      <c r="L1994" s="1" t="n"/>
      <c r="M1994" s="1" t="n"/>
      <c r="N1994" s="1" t="n"/>
    </row>
    <row r="1995">
      <c r="A1995" s="1" t="inlineStr">
        <is>
          <t>85887251964013</t>
        </is>
      </c>
      <c r="B1995" s="1" t="inlineStr">
        <is>
          <t>CAMISETA WHITE JW</t>
        </is>
      </c>
      <c r="C1995" s="1" t="n"/>
      <c r="D1995" s="1" t="n"/>
      <c r="E1995" s="6" t="n">
        <v>405.7271458</v>
      </c>
      <c r="F1995" s="1" t="n"/>
      <c r="G1995" s="1" t="n"/>
      <c r="H1995" s="1" t="n"/>
      <c r="I1995" s="1" t="n"/>
      <c r="J1995" s="1" t="n"/>
      <c r="K1995" s="1" t="n"/>
      <c r="L1995" s="1" t="n"/>
      <c r="M1995" s="1" t="n"/>
      <c r="N1995" s="1" t="n"/>
    </row>
    <row r="1996">
      <c r="A1996" s="1" t="inlineStr">
        <is>
          <t>85887252087757</t>
        </is>
      </c>
      <c r="B1996" s="1" t="inlineStr">
        <is>
          <t>SUETER BONE JW</t>
        </is>
      </c>
      <c r="C1996" s="1" t="n"/>
      <c r="D1996" s="1" t="n"/>
      <c r="E1996" s="6" t="n">
        <v>500.0158487</v>
      </c>
      <c r="F1996" s="1" t="n"/>
      <c r="G1996" s="1" t="n"/>
      <c r="H1996" s="1" t="n"/>
      <c r="I1996" s="1" t="n"/>
      <c r="J1996" s="1" t="n"/>
      <c r="K1996" s="1" t="n"/>
      <c r="L1996" s="1" t="n"/>
      <c r="M1996" s="1" t="n"/>
      <c r="N1996" s="1" t="n"/>
    </row>
    <row r="1997">
      <c r="A1997" s="1" t="inlineStr">
        <is>
          <t>85887252166317</t>
        </is>
      </c>
      <c r="B1997" s="1" t="inlineStr">
        <is>
          <t>SUETER GREY CASHMERE</t>
        </is>
      </c>
      <c r="C1997" s="1" t="n"/>
      <c r="D1997" s="1" t="n"/>
      <c r="E1997" s="6" t="n">
        <v>500.0158487</v>
      </c>
      <c r="F1997" s="1" t="n"/>
      <c r="G1997" s="1" t="n"/>
      <c r="H1997" s="1" t="n"/>
      <c r="I1997" s="1" t="n"/>
      <c r="J1997" s="1" t="n"/>
      <c r="K1997" s="1" t="n"/>
      <c r="L1997" s="1" t="n"/>
      <c r="M1997" s="1" t="n"/>
      <c r="N1997" s="1" t="n"/>
    </row>
    <row r="1998">
      <c r="A1998" s="1" t="inlineStr">
        <is>
          <t>85887252207565</t>
        </is>
      </c>
      <c r="B1998" s="1" t="inlineStr">
        <is>
          <t>SUETER GREY PEARL JW</t>
        </is>
      </c>
      <c r="C1998" s="1" t="n"/>
      <c r="D1998" s="1" t="n"/>
      <c r="E1998" s="6" t="n">
        <v>457.1573474</v>
      </c>
      <c r="F1998" s="1" t="n"/>
      <c r="G1998" s="1" t="n"/>
      <c r="H1998" s="1" t="n"/>
      <c r="I1998" s="1" t="n"/>
      <c r="J1998" s="1" t="n"/>
      <c r="K1998" s="1" t="n"/>
      <c r="L1998" s="1" t="n"/>
      <c r="M1998" s="1" t="n"/>
      <c r="N1998" s="1" t="n"/>
    </row>
    <row r="1999">
      <c r="A1999" s="1" t="inlineStr">
        <is>
          <t>85887252345421</t>
        </is>
      </c>
      <c r="B1999" s="1" t="inlineStr">
        <is>
          <t>SUETER ZIPPER WHITE JW</t>
        </is>
      </c>
      <c r="C1999" s="1" t="n"/>
      <c r="D1999" s="1" t="n"/>
      <c r="E1999" s="6" t="n">
        <v>251.4365411</v>
      </c>
      <c r="F1999" s="1" t="n"/>
      <c r="G1999" s="1" t="n"/>
      <c r="H1999" s="1" t="n"/>
      <c r="I1999" s="1" t="n"/>
      <c r="J1999" s="1" t="n"/>
      <c r="K1999" s="1" t="n"/>
      <c r="L1999" s="1" t="n"/>
      <c r="M1999" s="1" t="n"/>
      <c r="N1999" s="1" t="n"/>
    </row>
    <row r="2000">
      <c r="A2000" s="1" t="inlineStr">
        <is>
          <t>85887252483277</t>
        </is>
      </c>
      <c r="B2000" s="1" t="inlineStr">
        <is>
          <t>CHAMARRA BLACK JW</t>
        </is>
      </c>
      <c r="C2000" s="1" t="n"/>
      <c r="D2000" s="1" t="n"/>
      <c r="E2000" s="6" t="n">
        <v>594.3045516</v>
      </c>
      <c r="F2000" s="1" t="n"/>
      <c r="G2000" s="1" t="n"/>
      <c r="H2000" s="1" t="n"/>
      <c r="I2000" s="1" t="n"/>
      <c r="J2000" s="1" t="n"/>
      <c r="K2000" s="1" t="n"/>
      <c r="L2000" s="1" t="n"/>
      <c r="M2000" s="1" t="n"/>
      <c r="N2000" s="1" t="n"/>
    </row>
    <row r="2001">
      <c r="A2001" s="1" t="inlineStr">
        <is>
          <t>85887252596845</t>
        </is>
      </c>
      <c r="B2001" s="1" t="inlineStr">
        <is>
          <t>SUETER BROWN CASHMERE</t>
        </is>
      </c>
      <c r="C2001" s="1" t="n"/>
      <c r="D2001" s="1" t="n"/>
      <c r="E2001" s="6" t="n">
        <v>457.1573474</v>
      </c>
      <c r="F2001" s="1" t="n"/>
      <c r="G2001" s="1" t="n"/>
      <c r="H2001" s="1" t="n"/>
      <c r="I2001" s="1" t="n"/>
      <c r="J2001" s="1" t="n"/>
      <c r="K2001" s="1" t="n"/>
      <c r="L2001" s="1" t="n"/>
      <c r="M2001" s="1" t="n"/>
      <c r="N2001" s="1" t="n"/>
    </row>
    <row r="2002">
      <c r="A2002" s="1" t="inlineStr">
        <is>
          <t>85887252613805</t>
        </is>
      </c>
      <c r="B2002" s="1" t="inlineStr">
        <is>
          <t>BLAZER BLACK FEATHERS JW</t>
        </is>
      </c>
      <c r="C2002" s="1" t="n"/>
      <c r="D2002" s="1" t="n"/>
      <c r="E2002" s="6" t="n">
        <v>571.4466843</v>
      </c>
      <c r="F2002" s="1" t="n"/>
      <c r="G2002" s="1" t="n"/>
      <c r="H2002" s="1" t="n"/>
      <c r="I2002" s="1" t="n"/>
      <c r="J2002" s="1" t="n"/>
      <c r="K2002" s="1" t="n"/>
      <c r="L2002" s="1" t="n"/>
      <c r="M2002" s="1" t="n"/>
      <c r="N2002" s="1" t="n"/>
    </row>
    <row r="2003">
      <c r="A2003" s="1" t="inlineStr">
        <is>
          <t>85887252725133</t>
        </is>
      </c>
      <c r="B2003" s="1" t="inlineStr">
        <is>
          <t>CONJUNTO WHITE CASHMERE</t>
        </is>
      </c>
      <c r="C2003" s="1" t="n"/>
      <c r="D2003" s="1" t="n"/>
      <c r="E2003" s="6" t="n">
        <v>482.8724482</v>
      </c>
      <c r="F2003" s="1" t="n"/>
      <c r="G2003" s="1" t="n"/>
      <c r="H2003" s="1" t="n"/>
      <c r="I2003" s="1" t="n"/>
      <c r="J2003" s="1" t="n"/>
      <c r="K2003" s="1" t="n"/>
      <c r="L2003" s="1" t="n"/>
      <c r="M2003" s="1" t="n"/>
      <c r="N2003" s="1" t="n"/>
    </row>
    <row r="2004">
      <c r="A2004" s="1" t="inlineStr">
        <is>
          <t>85887252823437</t>
        </is>
      </c>
      <c r="B2004" s="1" t="inlineStr">
        <is>
          <t>BLUSA WHITE-BLACK JW</t>
        </is>
      </c>
      <c r="C2004" s="1" t="n"/>
      <c r="D2004" s="1" t="n"/>
      <c r="E2004" s="6" t="n">
        <v>311.4384429</v>
      </c>
      <c r="F2004" s="1" t="n"/>
      <c r="G2004" s="1" t="n"/>
      <c r="H2004" s="1" t="n"/>
      <c r="I2004" s="1" t="n"/>
      <c r="J2004" s="1" t="n"/>
      <c r="K2004" s="1" t="n"/>
      <c r="L2004" s="1" t="n"/>
      <c r="M2004" s="1" t="n"/>
      <c r="N2004" s="1" t="n"/>
    </row>
    <row r="2005">
      <c r="A2005" s="1" t="inlineStr">
        <is>
          <t>86072001212237</t>
        </is>
      </c>
      <c r="B2005" s="1" t="inlineStr">
        <is>
          <t>ARRACADAS MM APPLE PEARL</t>
        </is>
      </c>
      <c r="C2005" s="1" t="n"/>
      <c r="D2005" s="1" t="n"/>
      <c r="E2005" s="1" t="n"/>
      <c r="F2005" s="1" t="n"/>
      <c r="G2005" s="1" t="n"/>
      <c r="H2005" s="1" t="n"/>
      <c r="I2005" s="1" t="n"/>
      <c r="J2005" s="1" t="n"/>
      <c r="K2005" s="1" t="n"/>
      <c r="L2005" s="1" t="n"/>
      <c r="M2005" s="1" t="n"/>
      <c r="N2005" s="6" t="n">
        <v>177.6243003</v>
      </c>
    </row>
    <row r="2006">
      <c r="A2006" s="1" t="inlineStr">
        <is>
          <t>86290411075053</t>
        </is>
      </c>
      <c r="B2006" s="1" t="inlineStr">
        <is>
          <t>COLLAR LV EVER BLOSSOM GOLD BLACK</t>
        </is>
      </c>
      <c r="C2006" s="1" t="n"/>
      <c r="D2006" s="1" t="n"/>
      <c r="E2006" s="6" t="n">
        <v>188.991488</v>
      </c>
      <c r="F2006" s="1" t="n"/>
      <c r="G2006" s="1" t="n"/>
      <c r="H2006" s="1" t="n"/>
      <c r="I2006" s="1" t="n"/>
      <c r="J2006" s="1" t="n"/>
      <c r="K2006" s="6" t="n">
        <v>281.6965617</v>
      </c>
      <c r="L2006" s="6" t="n">
        <v>212.0369959</v>
      </c>
      <c r="M2006" s="1" t="n"/>
      <c r="N2006" s="1" t="n"/>
    </row>
    <row r="2007">
      <c r="A2007" s="1" t="inlineStr">
        <is>
          <t>86312001095277</t>
        </is>
      </c>
      <c r="B2007" s="1" t="inlineStr">
        <is>
          <t>BRAZALETE F SILVER CON MICROZIRCONIAS</t>
        </is>
      </c>
      <c r="C2007" s="1" t="n"/>
      <c r="D2007" s="1" t="n"/>
      <c r="E2007" s="6" t="n">
        <v>188.991488</v>
      </c>
      <c r="F2007" s="1" t="n"/>
      <c r="G2007" s="1" t="n"/>
      <c r="H2007" s="1" t="n"/>
      <c r="I2007" s="1" t="n"/>
      <c r="J2007" s="1" t="n"/>
      <c r="K2007" s="1" t="n"/>
      <c r="L2007" s="1" t="n"/>
      <c r="M2007" s="1" t="n"/>
      <c r="N2007" s="1" t="n"/>
    </row>
    <row r="2008">
      <c r="A2008" s="1" t="inlineStr">
        <is>
          <t>86347031066381</t>
        </is>
      </c>
      <c r="B2008" s="1" t="inlineStr">
        <is>
          <t>ARETES CLAVO SILVER ZIRCONIAS</t>
        </is>
      </c>
      <c r="C2008" s="1" t="n"/>
      <c r="D2008" s="1" t="n"/>
      <c r="E2008" s="6" t="n">
        <v>147.8978341</v>
      </c>
      <c r="F2008" s="1" t="n"/>
      <c r="G2008" s="1" t="n"/>
      <c r="H2008" s="1" t="n"/>
      <c r="I2008" s="6" t="n">
        <v>147.4794725</v>
      </c>
      <c r="J2008" s="1" t="n"/>
      <c r="K2008" s="6" t="n">
        <v>105.1573679</v>
      </c>
      <c r="L2008" s="1" t="n"/>
      <c r="M2008" s="1" t="n"/>
      <c r="N2008" s="1" t="n"/>
    </row>
    <row r="2009">
      <c r="A2009" s="1" t="inlineStr">
        <is>
          <t>86347031100845</t>
        </is>
      </c>
      <c r="B2009" s="1" t="inlineStr">
        <is>
          <t>ARETES CLAVO GOLD ZIRCONIAS</t>
        </is>
      </c>
      <c r="C2009" s="1" t="n"/>
      <c r="D2009" s="1" t="n"/>
      <c r="E2009" s="6" t="n">
        <v>147.8978341</v>
      </c>
      <c r="F2009" s="1" t="n"/>
      <c r="G2009" s="1" t="n"/>
      <c r="H2009" s="6" t="n">
        <v>148.4029245</v>
      </c>
      <c r="I2009" s="6" t="n">
        <v>147.4794725</v>
      </c>
      <c r="J2009" s="1" t="n"/>
      <c r="K2009" s="6" t="n">
        <v>147.2203151</v>
      </c>
      <c r="L2009" s="6" t="n">
        <v>146.9250671</v>
      </c>
      <c r="M2009" s="6" t="n">
        <v>147.1022452</v>
      </c>
      <c r="N2009" s="1" t="n"/>
    </row>
    <row r="2010">
      <c r="A2010" s="1" t="inlineStr">
        <is>
          <t>86347031202541</t>
        </is>
      </c>
      <c r="B2010" s="1" t="inlineStr">
        <is>
          <t>ARRACADAS LOVELOVE ROSEGOLD</t>
        </is>
      </c>
      <c r="C2010" s="1" t="n"/>
      <c r="D2010" s="1" t="n"/>
      <c r="E2010" s="6" t="n">
        <v>137.3337031</v>
      </c>
      <c r="F2010" s="1" t="n"/>
      <c r="G2010" s="1" t="n"/>
      <c r="H2010" s="6" t="n">
        <v>137.8027156</v>
      </c>
      <c r="I2010" s="6" t="n">
        <v>136.9452244</v>
      </c>
      <c r="J2010" s="1" t="n"/>
      <c r="K2010" s="1" t="n"/>
      <c r="L2010" s="1" t="n"/>
      <c r="M2010" s="1" t="n"/>
      <c r="N2010" s="1" t="n"/>
    </row>
    <row r="2011">
      <c r="A2011" s="1" t="inlineStr">
        <is>
          <t>86347031304237</t>
        </is>
      </c>
      <c r="B2011" s="1" t="inlineStr">
        <is>
          <t>ARRACADAS LOVELOVE SILVER</t>
        </is>
      </c>
      <c r="C2011" s="1" t="n"/>
      <c r="D2011" s="1" t="n"/>
      <c r="E2011" s="6" t="n">
        <v>137.3337031</v>
      </c>
      <c r="F2011" s="1" t="n"/>
      <c r="G2011" s="1" t="n"/>
      <c r="H2011" s="6" t="n">
        <v>137.8027156</v>
      </c>
      <c r="I2011" s="6" t="n">
        <v>136.9452244</v>
      </c>
      <c r="J2011" s="1" t="n"/>
      <c r="K2011" s="1" t="n"/>
      <c r="L2011" s="1" t="n"/>
      <c r="M2011" s="1" t="n"/>
      <c r="N2011" s="1" t="n"/>
    </row>
    <row r="2012">
      <c r="A2012" s="1" t="inlineStr">
        <is>
          <t>86347031405933</t>
        </is>
      </c>
      <c r="B2012" s="1" t="inlineStr">
        <is>
          <t>COLLAR POP H ROSEGOLD BABYPINK</t>
        </is>
      </c>
      <c r="C2012" s="1" t="n"/>
      <c r="D2012" s="1" t="n"/>
      <c r="E2012" s="1" t="n"/>
      <c r="F2012" s="1" t="n"/>
      <c r="G2012" s="1" t="n"/>
      <c r="H2012" s="1" t="n"/>
      <c r="I2012" s="6" t="n">
        <v>168.3372836</v>
      </c>
      <c r="J2012" s="1" t="n"/>
      <c r="K2012" s="6" t="n">
        <v>168.041474</v>
      </c>
      <c r="L2012" s="1" t="n"/>
      <c r="M2012" s="1" t="n"/>
      <c r="N2012" s="1" t="n"/>
    </row>
    <row r="2013">
      <c r="A2013" s="1" t="inlineStr">
        <is>
          <t>86347031552269</t>
        </is>
      </c>
      <c r="B2013" s="1" t="inlineStr">
        <is>
          <t>ANILLO OLYMPE GOLD-BLACK</t>
        </is>
      </c>
      <c r="C2013" s="1" t="n"/>
      <c r="D2013" s="1" t="n"/>
      <c r="E2013" s="6" t="n">
        <v>126.7695721</v>
      </c>
      <c r="F2013" s="1" t="n"/>
      <c r="G2013" s="1" t="n"/>
      <c r="H2013" s="1" t="n"/>
      <c r="I2013" s="6" t="n">
        <v>189.6164646</v>
      </c>
      <c r="J2013" s="1" t="n"/>
      <c r="K2013" s="1" t="n"/>
      <c r="L2013" s="1" t="n"/>
      <c r="M2013" s="1" t="n"/>
      <c r="N2013" s="1" t="n"/>
    </row>
    <row r="2014">
      <c r="A2014" s="1" t="inlineStr">
        <is>
          <t>86347031685037</t>
        </is>
      </c>
      <c r="B2014" s="1" t="inlineStr">
        <is>
          <t>ANILLO OLYMPE GOLD-BLACK</t>
        </is>
      </c>
      <c r="C2014" s="1" t="n"/>
      <c r="D2014" s="1" t="n"/>
      <c r="E2014" s="6" t="n">
        <v>126.7695721</v>
      </c>
      <c r="F2014" s="1" t="n"/>
      <c r="G2014" s="1" t="n"/>
      <c r="H2014" s="1" t="n"/>
      <c r="I2014" s="6" t="n">
        <v>189.6164646</v>
      </c>
      <c r="J2014" s="1" t="n"/>
      <c r="K2014" s="1" t="n"/>
      <c r="L2014" s="1" t="n"/>
      <c r="M2014" s="1" t="n"/>
      <c r="N2014" s="1" t="n"/>
    </row>
    <row r="2015">
      <c r="A2015" s="1" t="inlineStr">
        <is>
          <t>86347031781645</t>
        </is>
      </c>
      <c r="B2015" s="1" t="inlineStr">
        <is>
          <t>ANILLO OLYMPE GOLD-BLACK</t>
        </is>
      </c>
      <c r="C2015" s="1" t="n"/>
      <c r="D2015" s="1" t="n"/>
      <c r="E2015" s="6" t="n">
        <v>126.7695721</v>
      </c>
      <c r="F2015" s="1" t="n"/>
      <c r="G2015" s="1" t="n"/>
      <c r="H2015" s="1" t="n"/>
      <c r="I2015" s="1" t="n"/>
      <c r="J2015" s="1" t="n"/>
      <c r="K2015" s="1" t="n"/>
      <c r="L2015" s="1" t="n"/>
      <c r="M2015" s="1" t="n"/>
      <c r="N2015" s="1" t="n"/>
    </row>
    <row r="2016">
      <c r="A2016" s="1" t="inlineStr">
        <is>
          <t>86347031857357</t>
        </is>
      </c>
      <c r="B2016" s="1" t="inlineStr">
        <is>
          <t>BRAZALETE H UNI GOLD-BLACK</t>
        </is>
      </c>
      <c r="C2016" s="1" t="n"/>
      <c r="D2016" s="1" t="n"/>
      <c r="E2016" s="6" t="n">
        <v>316.9239303</v>
      </c>
      <c r="F2016" s="1" t="n"/>
      <c r="G2016" s="1" t="n"/>
      <c r="H2016" s="6" t="n">
        <v>318.0062669</v>
      </c>
      <c r="I2016" s="6" t="n">
        <v>316.027441</v>
      </c>
      <c r="J2016" s="1" t="n"/>
      <c r="K2016" s="1" t="n"/>
      <c r="L2016" s="1" t="n"/>
      <c r="M2016" s="1" t="n"/>
      <c r="N2016" s="1" t="n"/>
    </row>
    <row r="2017">
      <c r="A2017" s="1" t="inlineStr">
        <is>
          <t>86347032026285</t>
        </is>
      </c>
      <c r="B2017" s="1" t="inlineStr">
        <is>
          <t>BRAZALETE H KELLY SILVER ZIRCONIAS</t>
        </is>
      </c>
      <c r="C2017" s="1" t="n"/>
      <c r="D2017" s="1" t="n"/>
      <c r="E2017" s="6" t="n">
        <v>232.4108822</v>
      </c>
      <c r="F2017" s="1" t="n"/>
      <c r="G2017" s="1" t="n"/>
      <c r="H2017" s="1" t="n"/>
      <c r="I2017" s="1" t="n"/>
      <c r="J2017" s="1" t="n"/>
      <c r="K2017" s="1" t="n"/>
      <c r="L2017" s="6" t="n">
        <v>212.1864227</v>
      </c>
      <c r="M2017" s="1" t="n"/>
      <c r="N2017" s="1" t="n"/>
    </row>
    <row r="2018">
      <c r="A2018" s="1" t="inlineStr">
        <is>
          <t>86347032129677</t>
        </is>
      </c>
      <c r="B2018" s="1" t="inlineStr">
        <is>
          <t>ARETES CD BAROQUE GOLD-BLACK</t>
        </is>
      </c>
      <c r="C2018" s="1" t="n"/>
      <c r="D2018" s="1" t="n"/>
      <c r="E2018" s="6" t="n">
        <v>126.7695721</v>
      </c>
      <c r="F2018" s="1" t="n"/>
      <c r="G2018" s="1" t="n"/>
      <c r="H2018" s="6" t="n">
        <v>127.2025068</v>
      </c>
      <c r="I2018" s="6" t="n">
        <v>126.4109764</v>
      </c>
      <c r="J2018" s="1" t="n"/>
      <c r="K2018" s="1" t="n"/>
      <c r="L2018" s="6" t="n">
        <v>127.3118536</v>
      </c>
      <c r="M2018" s="1" t="n"/>
      <c r="N2018" s="1" t="n"/>
    </row>
    <row r="2019">
      <c r="A2019" s="1" t="inlineStr">
        <is>
          <t>86347032270925</t>
        </is>
      </c>
      <c r="B2019" s="1" t="inlineStr">
        <is>
          <t>ARETES CD LUCKY DIAMOND SILVER</t>
        </is>
      </c>
      <c r="C2019" s="1" t="n"/>
      <c r="D2019" s="1" t="n"/>
      <c r="E2019" s="6" t="n">
        <v>116.2054411</v>
      </c>
      <c r="F2019" s="1" t="n"/>
      <c r="G2019" s="1" t="n"/>
      <c r="H2019" s="6" t="n">
        <v>116.6022979</v>
      </c>
      <c r="I2019" s="1" t="n"/>
      <c r="J2019" s="1" t="n"/>
      <c r="K2019" s="1" t="n"/>
      <c r="L2019" s="1" t="n"/>
      <c r="M2019" s="1" t="n"/>
      <c r="N2019" s="1" t="n"/>
    </row>
    <row r="2020">
      <c r="A2020" s="1" t="inlineStr">
        <is>
          <t>86347032494669</t>
        </is>
      </c>
      <c r="B2020" s="1" t="inlineStr">
        <is>
          <t>COLLAR CD PETIT LUCKY GOLD</t>
        </is>
      </c>
      <c r="C2020" s="1" t="n"/>
      <c r="D2020" s="1" t="n"/>
      <c r="E2020" s="6" t="n">
        <v>169.0260961</v>
      </c>
      <c r="F2020" s="1" t="n"/>
      <c r="G2020" s="1" t="n"/>
      <c r="H2020" s="1" t="n"/>
      <c r="I2020" s="1" t="n"/>
      <c r="J2020" s="6" t="n">
        <v>255.6467546</v>
      </c>
      <c r="K2020" s="1" t="n"/>
      <c r="L2020" s="1" t="n"/>
      <c r="M2020" s="1" t="n"/>
      <c r="N2020" s="1" t="n"/>
    </row>
    <row r="2021">
      <c r="A2021" s="1" t="inlineStr">
        <is>
          <t>86347032550093</t>
        </is>
      </c>
      <c r="B2021" s="1" t="inlineStr">
        <is>
          <t>ANILLO CD DIAMOND ZIRCONIAS</t>
        </is>
      </c>
      <c r="C2021" s="1" t="n"/>
      <c r="D2021" s="1" t="n"/>
      <c r="E2021" s="6" t="n">
        <v>126.7695721</v>
      </c>
      <c r="F2021" s="1" t="n"/>
      <c r="G2021" s="1" t="n"/>
      <c r="H2021" s="1" t="n"/>
      <c r="I2021" s="6" t="n">
        <v>103.2356307</v>
      </c>
      <c r="J2021" s="1" t="n"/>
      <c r="K2021" s="6" t="n">
        <v>103.0542206</v>
      </c>
      <c r="L2021" s="6" t="n">
        <v>102.8475469</v>
      </c>
      <c r="M2021" s="1" t="n"/>
      <c r="N2021" s="1" t="n"/>
    </row>
    <row r="2022">
      <c r="A2022" s="1" t="inlineStr">
        <is>
          <t>86347032691341</t>
        </is>
      </c>
      <c r="B2022" s="1" t="inlineStr">
        <is>
          <t>ANILLO TWO-ROW GOLD</t>
        </is>
      </c>
      <c r="C2022" s="1" t="n"/>
      <c r="D2022" s="1" t="n"/>
      <c r="E2022" s="6" t="n">
        <v>147.6865515</v>
      </c>
      <c r="F2022" s="1" t="n"/>
      <c r="G2022" s="1" t="n"/>
      <c r="H2022" s="1" t="n"/>
      <c r="I2022" s="6" t="n">
        <v>115.8767284</v>
      </c>
      <c r="J2022" s="1" t="n"/>
      <c r="K2022" s="1" t="n"/>
      <c r="L2022" s="1" t="n"/>
      <c r="M2022" s="6" t="n">
        <v>115.5803355</v>
      </c>
      <c r="N2022" s="1" t="n"/>
    </row>
    <row r="2023">
      <c r="A2023" s="1" t="inlineStr">
        <is>
          <t>86347032724109</t>
        </is>
      </c>
      <c r="B2023" s="1" t="inlineStr">
        <is>
          <t>ANILLO TWO-ROW GOLD</t>
        </is>
      </c>
      <c r="C2023" s="1" t="n"/>
      <c r="D2023" s="1" t="n"/>
      <c r="E2023" s="6" t="n">
        <v>147.6865515</v>
      </c>
      <c r="F2023" s="1" t="n"/>
      <c r="G2023" s="1" t="n"/>
      <c r="H2023" s="6" t="n">
        <v>127.2025068</v>
      </c>
      <c r="I2023" s="1" t="n"/>
      <c r="J2023" s="6" t="n">
        <v>117.1714292</v>
      </c>
      <c r="K2023" s="6" t="n">
        <v>115.6731047</v>
      </c>
      <c r="L2023" s="6" t="n">
        <v>115.4411241</v>
      </c>
      <c r="M2023" s="1" t="n"/>
      <c r="N2023" s="1" t="n"/>
    </row>
    <row r="2024">
      <c r="A2024" s="1" t="inlineStr">
        <is>
          <t>86347032827501</t>
        </is>
      </c>
      <c r="B2024" s="1" t="inlineStr">
        <is>
          <t>ANILLO ESLABONES ROSEGOLD ZIRCONIAS</t>
        </is>
      </c>
      <c r="C2024" s="1" t="n"/>
      <c r="D2024" s="1" t="n"/>
      <c r="E2024" s="6" t="n">
        <v>147.8978341</v>
      </c>
      <c r="F2024" s="1" t="n"/>
      <c r="G2024" s="1" t="n"/>
      <c r="H2024" s="6" t="n">
        <v>148.4029245</v>
      </c>
      <c r="I2024" s="6" t="n">
        <v>147.4794725</v>
      </c>
      <c r="J2024" s="1" t="n"/>
      <c r="K2024" s="1" t="n"/>
      <c r="L2024" s="1" t="n"/>
      <c r="M2024" s="1" t="n"/>
      <c r="N2024" s="1" t="n"/>
    </row>
    <row r="2025">
      <c r="A2025" s="1" t="inlineStr">
        <is>
          <t>86347032960269</t>
        </is>
      </c>
      <c r="B2025" s="1" t="inlineStr">
        <is>
          <t>ANILLO ESLABONES ROSEGOLD ZIRCONIAS</t>
        </is>
      </c>
      <c r="C2025" s="1" t="n"/>
      <c r="D2025" s="1" t="n"/>
      <c r="E2025" s="6" t="n">
        <v>147.8978341</v>
      </c>
      <c r="F2025" s="1" t="n"/>
      <c r="G2025" s="1" t="n"/>
      <c r="H2025" s="6" t="n">
        <v>148.4029245</v>
      </c>
      <c r="I2025" s="6" t="n">
        <v>147.4794725</v>
      </c>
      <c r="J2025" s="1" t="n"/>
      <c r="K2025" s="1" t="n"/>
      <c r="L2025" s="1" t="n"/>
      <c r="M2025" s="1" t="n"/>
      <c r="N2025" s="1" t="n"/>
    </row>
    <row r="2026">
      <c r="A2026" s="1" t="inlineStr">
        <is>
          <t>86347033042765</t>
        </is>
      </c>
      <c r="B2026" s="1" t="inlineStr">
        <is>
          <t>ANILLO T ENTRELAZDOS SILVER</t>
        </is>
      </c>
      <c r="C2026" s="1" t="n"/>
      <c r="D2026" s="1" t="n"/>
      <c r="E2026" s="6" t="n">
        <v>189.9430755</v>
      </c>
      <c r="F2026" s="1" t="n"/>
      <c r="G2026" s="1" t="n"/>
      <c r="H2026" s="1" t="n"/>
      <c r="I2026" s="6" t="n">
        <v>126.4109764</v>
      </c>
      <c r="J2026" s="1" t="n"/>
      <c r="K2026" s="1" t="n"/>
      <c r="L2026" s="1" t="n"/>
      <c r="M2026" s="1" t="n"/>
      <c r="N2026" s="1" t="n"/>
    </row>
    <row r="2027">
      <c r="A2027" s="1" t="inlineStr">
        <is>
          <t>86347033175533</t>
        </is>
      </c>
      <c r="B2027" s="1" t="inlineStr">
        <is>
          <t>ANILLO T ENTRELAZDOS SILVER</t>
        </is>
      </c>
      <c r="C2027" s="1" t="n"/>
      <c r="D2027" s="1" t="n"/>
      <c r="E2027" s="6" t="n">
        <v>189.9430755</v>
      </c>
      <c r="F2027" s="1" t="n"/>
      <c r="G2027" s="1" t="n"/>
      <c r="H2027" s="1" t="n"/>
      <c r="I2027" s="1" t="n"/>
      <c r="J2027" s="1" t="n"/>
      <c r="K2027" s="6" t="n">
        <v>63.09442077</v>
      </c>
      <c r="L2027" s="1" t="n"/>
      <c r="M2027" s="1" t="n"/>
      <c r="N2027" s="1" t="n"/>
    </row>
    <row r="2028">
      <c r="A2028" s="1" t="inlineStr">
        <is>
          <t>86347033266957</t>
        </is>
      </c>
      <c r="B2028" s="1" t="inlineStr">
        <is>
          <t>ANILLO KNOT DOBLE GOLD ZIRCONIAS</t>
        </is>
      </c>
      <c r="C2028" s="1" t="n"/>
      <c r="D2028" s="1" t="n"/>
      <c r="E2028" s="6" t="n">
        <v>137.3337031</v>
      </c>
      <c r="F2028" s="1" t="n"/>
      <c r="G2028" s="1" t="n"/>
      <c r="H2028" s="6" t="n">
        <v>137.8027156</v>
      </c>
      <c r="I2028" s="6" t="n">
        <v>136.9452244</v>
      </c>
      <c r="J2028" s="1" t="n"/>
      <c r="K2028" s="6" t="n">
        <v>136.7045783</v>
      </c>
      <c r="L2028" s="6" t="n">
        <v>136.4304194</v>
      </c>
      <c r="M2028" s="6" t="n">
        <v>136.594942</v>
      </c>
      <c r="N2028" s="1" t="n"/>
    </row>
    <row r="2029">
      <c r="A2029" s="1" t="inlineStr">
        <is>
          <t>86347033399725</t>
        </is>
      </c>
      <c r="B2029" s="1" t="inlineStr">
        <is>
          <t>ANILLO KNOT DOBLE GOLD ZIRCONIAS</t>
        </is>
      </c>
      <c r="C2029" s="1" t="n"/>
      <c r="D2029" s="1" t="n"/>
      <c r="E2029" s="6" t="n">
        <v>137.3337031</v>
      </c>
      <c r="F2029" s="1" t="n"/>
      <c r="G2029" s="1" t="n"/>
      <c r="H2029" s="6" t="n">
        <v>137.8027156</v>
      </c>
      <c r="I2029" s="6" t="n">
        <v>136.9452244</v>
      </c>
      <c r="J2029" s="1" t="n"/>
      <c r="K2029" s="6" t="n">
        <v>136.7045783</v>
      </c>
      <c r="L2029" s="6" t="n">
        <v>136.4304194</v>
      </c>
      <c r="M2029" s="6" t="n">
        <v>136.594942</v>
      </c>
      <c r="N2029" s="1" t="n"/>
    </row>
    <row r="2030">
      <c r="A2030" s="1" t="inlineStr">
        <is>
          <t>86347033456237</t>
        </is>
      </c>
      <c r="B2030" s="1" t="inlineStr">
        <is>
          <t>BRAZALETE TITAN GOLD ZIRCONIAS</t>
        </is>
      </c>
      <c r="C2030" s="1" t="n"/>
      <c r="D2030" s="1" t="n"/>
      <c r="E2030" s="6" t="n">
        <v>211.2826202</v>
      </c>
      <c r="F2030" s="1" t="n"/>
      <c r="G2030" s="1" t="n"/>
      <c r="H2030" s="6" t="n">
        <v>212.0041779</v>
      </c>
      <c r="I2030" s="6" t="n">
        <v>210.6849607</v>
      </c>
      <c r="J2030" s="6" t="n">
        <v>213.0389622</v>
      </c>
      <c r="K2030" s="1" t="n"/>
      <c r="L2030" s="6" t="n">
        <v>212.1864227</v>
      </c>
      <c r="M2030" s="1" t="n"/>
      <c r="N2030" s="1" t="n"/>
    </row>
    <row r="2031">
      <c r="A2031" s="1" t="inlineStr">
        <is>
          <t>86347033612749</t>
        </is>
      </c>
      <c r="B2031" s="1" t="inlineStr">
        <is>
          <t>PULSERA ESLABONES ROSEGOLD ZIRCONIA</t>
        </is>
      </c>
      <c r="C2031" s="1" t="n"/>
      <c r="D2031" s="1" t="n"/>
      <c r="E2031" s="6" t="n">
        <v>211.2826202</v>
      </c>
      <c r="F2031" s="1" t="n"/>
      <c r="G2031" s="1" t="n"/>
      <c r="H2031" s="6" t="n">
        <v>212.0041779</v>
      </c>
      <c r="I2031" s="6" t="n">
        <v>210.6849607</v>
      </c>
      <c r="J2031" s="1" t="n"/>
      <c r="K2031" s="6" t="n">
        <v>210.3147359</v>
      </c>
      <c r="L2031" s="1" t="n"/>
      <c r="M2031" s="1" t="n"/>
      <c r="N2031" s="1" t="n"/>
    </row>
    <row r="2032">
      <c r="A2032" s="1" t="inlineStr">
        <is>
          <t>86347033785069</t>
        </is>
      </c>
      <c r="B2032" s="1" t="inlineStr">
        <is>
          <t>ARRACADAS KNOT ROSEGOLD ZIRCONIAS</t>
        </is>
      </c>
      <c r="C2032" s="1" t="n"/>
      <c r="D2032" s="1" t="n"/>
      <c r="E2032" s="6" t="n">
        <v>147.8978341</v>
      </c>
      <c r="F2032" s="1" t="n"/>
      <c r="G2032" s="1" t="n"/>
      <c r="H2032" s="6" t="n">
        <v>169.6033423</v>
      </c>
      <c r="I2032" s="6" t="n">
        <v>168.5479685</v>
      </c>
      <c r="J2032" s="6" t="n">
        <v>170.4311697</v>
      </c>
      <c r="K2032" s="6" t="n">
        <v>168.2517887</v>
      </c>
      <c r="L2032" s="1" t="n"/>
      <c r="M2032" s="1" t="n"/>
      <c r="N2032" s="1" t="n"/>
    </row>
    <row r="2033">
      <c r="A2033" s="1" t="inlineStr">
        <is>
          <t>86347033884525</t>
        </is>
      </c>
      <c r="B2033" s="1" t="inlineStr">
        <is>
          <t>BRAZALETE PERETTI GOLD ZIRCONIAS</t>
        </is>
      </c>
      <c r="C2033" s="1" t="n"/>
      <c r="D2033" s="1" t="n"/>
      <c r="E2033" s="1" t="n"/>
      <c r="F2033" s="1" t="n"/>
      <c r="G2033" s="1" t="n"/>
      <c r="H2033" s="6" t="n">
        <v>169.6033423</v>
      </c>
      <c r="I2033" s="6" t="n">
        <v>168.5479685</v>
      </c>
      <c r="J2033" s="1" t="n"/>
      <c r="K2033" s="1" t="n"/>
      <c r="L2033" s="1" t="n"/>
      <c r="M2033" s="1" t="n"/>
      <c r="N2033" s="1" t="n"/>
    </row>
    <row r="2034">
      <c r="A2034" s="1" t="inlineStr">
        <is>
          <t>86347033994701</t>
        </is>
      </c>
      <c r="B2034" s="1" t="inlineStr">
        <is>
          <t>COLLAR SIXTEEN STONE SCHLUM</t>
        </is>
      </c>
      <c r="C2034" s="1" t="n"/>
      <c r="D2034" s="1" t="n"/>
      <c r="E2034" s="6" t="n">
        <v>126.7695721</v>
      </c>
      <c r="F2034" s="1" t="n"/>
      <c r="G2034" s="1" t="n"/>
      <c r="H2034" s="6" t="n">
        <v>127.2025068</v>
      </c>
      <c r="I2034" s="6" t="n">
        <v>126.4109764</v>
      </c>
      <c r="J2034" s="1" t="n"/>
      <c r="K2034" s="1" t="n"/>
      <c r="L2034" s="6" t="n">
        <v>127.3118536</v>
      </c>
      <c r="M2034" s="1" t="n"/>
      <c r="N2034" s="1" t="n"/>
    </row>
    <row r="2035">
      <c r="A2035" s="1" t="inlineStr">
        <is>
          <t>86347034024077</t>
        </is>
      </c>
      <c r="B2035" s="1" t="inlineStr">
        <is>
          <t>COLLAR SIXTEEN STONE SCHLUM RED</t>
        </is>
      </c>
      <c r="C2035" s="1" t="n"/>
      <c r="D2035" s="1" t="n"/>
      <c r="E2035" s="6" t="n">
        <v>126.7695721</v>
      </c>
      <c r="F2035" s="1" t="n"/>
      <c r="G2035" s="1" t="n"/>
      <c r="H2035" s="1" t="n"/>
      <c r="I2035" s="6" t="n">
        <v>126.4109764</v>
      </c>
      <c r="J2035" s="1" t="n"/>
      <c r="K2035" s="6" t="n">
        <v>126.1888415</v>
      </c>
      <c r="L2035" s="1" t="n"/>
      <c r="M2035" s="1" t="n"/>
      <c r="N2035" s="1" t="n"/>
    </row>
    <row r="2036">
      <c r="A2036" s="1" t="inlineStr">
        <is>
          <t>86741781048077</t>
        </is>
      </c>
      <c r="B2036" s="1" t="inlineStr">
        <is>
          <t>ARETES KNOT GOLD CON ZIRCONIAS</t>
        </is>
      </c>
      <c r="C2036" s="1" t="n"/>
      <c r="D2036" s="1" t="n"/>
      <c r="E2036" s="1" t="n"/>
      <c r="F2036" s="1" t="n"/>
      <c r="G2036" s="1" t="n"/>
      <c r="H2036" s="1" t="n"/>
      <c r="I2036" s="1" t="n"/>
      <c r="J2036" s="1" t="n"/>
      <c r="K2036" s="6" t="n">
        <v>189.2832623</v>
      </c>
      <c r="L2036" s="1" t="n"/>
      <c r="M2036" s="1" t="n"/>
      <c r="N2036" s="1" t="n"/>
    </row>
    <row r="2037">
      <c r="A2037" s="1" t="inlineStr">
        <is>
          <t>87045211023629</t>
        </is>
      </c>
      <c r="B2037" s="1" t="inlineStr">
        <is>
          <t>PULSERA LV BLOSSOM TWIST GOLD</t>
        </is>
      </c>
      <c r="C2037" s="1" t="n"/>
      <c r="D2037" s="1" t="n"/>
      <c r="E2037" s="6" t="n">
        <v>221.5957358</v>
      </c>
      <c r="F2037" s="1" t="n"/>
      <c r="G2037" s="1" t="n"/>
      <c r="H2037" s="1" t="n"/>
      <c r="I2037" s="1" t="n"/>
      <c r="J2037" s="1" t="n"/>
      <c r="K2037" s="1" t="n"/>
      <c r="L2037" s="6" t="n">
        <v>238.5416204</v>
      </c>
      <c r="M2037" s="1" t="n"/>
      <c r="N2037" s="1" t="n"/>
    </row>
    <row r="2038">
      <c r="A2038" s="1" t="inlineStr">
        <is>
          <t>87084241011085</t>
        </is>
      </c>
      <c r="B2038" s="1" t="inlineStr">
        <is>
          <t>COLLAR F SILVER CON ZIRCONIA</t>
        </is>
      </c>
      <c r="C2038" s="1" t="n"/>
      <c r="D2038" s="1" t="n"/>
      <c r="E2038" s="6" t="n">
        <v>212.615424</v>
      </c>
      <c r="F2038" s="1" t="n"/>
      <c r="G2038" s="1" t="n"/>
      <c r="H2038" s="1" t="n"/>
      <c r="I2038" s="1" t="n"/>
      <c r="J2038" s="6" t="n">
        <v>234.265614</v>
      </c>
      <c r="K2038" s="1" t="n"/>
      <c r="L2038" s="1" t="n"/>
      <c r="M2038" s="1" t="n"/>
      <c r="N2038" s="1" t="n"/>
    </row>
    <row r="2039">
      <c r="A2039" s="1" t="inlineStr">
        <is>
          <t>87401991025249</t>
        </is>
      </c>
      <c r="B2039" s="1" t="inlineStr">
        <is>
          <t>PULSERA LOVESTRUCK</t>
        </is>
      </c>
      <c r="C2039" s="1" t="n"/>
      <c r="D2039" s="6" t="n">
        <v>226.0606014</v>
      </c>
      <c r="E2039" s="1" t="n"/>
      <c r="F2039" s="1" t="n"/>
      <c r="G2039" s="1" t="n"/>
      <c r="H2039" s="1" t="n"/>
      <c r="I2039" s="6" t="n">
        <v>128.1257543</v>
      </c>
      <c r="J2039" s="6" t="n">
        <v>201.41939435</v>
      </c>
      <c r="K2039" s="1" t="n"/>
      <c r="L2039" s="6" t="n">
        <v>205.4108398</v>
      </c>
      <c r="M2039" s="1" t="n"/>
      <c r="N2039" s="1" t="n"/>
    </row>
    <row r="2040">
      <c r="A2040" s="1" t="inlineStr">
        <is>
          <t>87725181046765</t>
        </is>
      </c>
      <c r="B2040" s="1" t="inlineStr">
        <is>
          <t>PULSERA LV IDYLLE BLOSSOM TRES OROS</t>
        </is>
      </c>
      <c r="C2040" s="1" t="n"/>
      <c r="D2040" s="1" t="n"/>
      <c r="E2040" s="6" t="n">
        <v>212.615424</v>
      </c>
      <c r="F2040" s="1" t="n"/>
      <c r="G2040" s="1" t="n"/>
      <c r="H2040" s="1" t="n"/>
      <c r="I2040" s="1" t="n"/>
      <c r="J2040" s="1" t="n"/>
      <c r="K2040" s="1" t="n"/>
      <c r="L2040" s="6" t="n">
        <v>238.5416204</v>
      </c>
      <c r="M2040" s="1" t="n"/>
      <c r="N2040" s="1" t="n"/>
    </row>
    <row r="2041">
      <c r="A2041" s="1" t="inlineStr">
        <is>
          <t>87729331097505</t>
        </is>
      </c>
      <c r="B2041" s="1" t="inlineStr">
        <is>
          <t>PULSERA T BLANCA CON ZIRCONIA</t>
        </is>
      </c>
      <c r="C2041" s="1" t="n"/>
      <c r="D2041" s="1" t="n"/>
      <c r="E2041" s="1" t="n"/>
      <c r="F2041" s="1" t="n"/>
      <c r="G2041" s="1" t="n"/>
      <c r="H2041" s="1" t="n"/>
      <c r="I2041" s="1" t="n"/>
      <c r="J2041" s="1" t="n"/>
      <c r="K2041" s="1" t="n"/>
      <c r="L2041" s="6" t="n">
        <v>212.0369959</v>
      </c>
      <c r="M2041" s="1" t="n"/>
      <c r="N2041" s="1" t="n"/>
    </row>
    <row r="2042">
      <c r="A2042" s="1" t="inlineStr">
        <is>
          <t>87893051058957</t>
        </is>
      </c>
      <c r="B2042" s="1" t="inlineStr">
        <is>
          <t>BOLSO YSL NUDE</t>
        </is>
      </c>
      <c r="C2042" s="1" t="n"/>
      <c r="D2042" s="1" t="n"/>
      <c r="E2042" s="1" t="n"/>
      <c r="F2042" s="1" t="n"/>
      <c r="G2042" s="1" t="n"/>
      <c r="H2042" s="1" t="n"/>
      <c r="I2042" s="1" t="n"/>
      <c r="J2042" s="6" t="n">
        <v>1340.66658</v>
      </c>
      <c r="K2042" s="1" t="n"/>
      <c r="L2042" s="1" t="n"/>
      <c r="M2042" s="1" t="n"/>
      <c r="N2042" s="1" t="n"/>
    </row>
    <row r="2043">
      <c r="A2043" s="1" t="inlineStr">
        <is>
          <t>87904131075277</t>
        </is>
      </c>
      <c r="B2043" s="1" t="inlineStr">
        <is>
          <t>GORRA A BLACK</t>
        </is>
      </c>
      <c r="C2043" s="1" t="n"/>
      <c r="D2043" s="1" t="n"/>
      <c r="E2043" s="6" t="n">
        <v>220.306792</v>
      </c>
      <c r="F2043" s="1" t="n"/>
      <c r="G2043" s="1" t="n"/>
      <c r="H2043" s="6" t="n">
        <v>260.3159937</v>
      </c>
      <c r="I2043" s="1" t="n"/>
      <c r="J2043" s="1" t="n"/>
      <c r="K2043" s="6" t="n">
        <v>256.0877834</v>
      </c>
      <c r="L2043" s="6" t="n">
        <v>265.0462449</v>
      </c>
      <c r="M2043" s="1" t="n"/>
      <c r="N2043" s="1" t="n"/>
    </row>
    <row r="2044">
      <c r="A2044" s="1" t="inlineStr">
        <is>
          <t>88016261004301</t>
        </is>
      </c>
      <c r="B2044" s="1" t="inlineStr">
        <is>
          <t>SUDADERA ALLS BLACK</t>
        </is>
      </c>
      <c r="C2044" s="1" t="n"/>
      <c r="D2044" s="1" t="n"/>
      <c r="E2044" s="6" t="n">
        <v>826.83776</v>
      </c>
      <c r="F2044" s="1" t="n"/>
      <c r="G2044" s="1" t="n"/>
      <c r="H2044" s="1" t="n"/>
      <c r="I2044" s="1" t="n"/>
      <c r="J2044" s="1" t="n"/>
      <c r="K2044" s="1" t="n"/>
      <c r="L2044" s="1" t="n"/>
      <c r="M2044" s="1" t="n"/>
      <c r="N2044" s="1" t="n"/>
    </row>
    <row r="2045">
      <c r="A2045" s="1" t="inlineStr">
        <is>
          <t>88016261004302</t>
        </is>
      </c>
      <c r="B2045" s="1" t="n"/>
      <c r="C2045" s="1" t="n"/>
      <c r="D2045" s="1" t="n"/>
      <c r="E2045" s="6" t="n">
        <v>826.83776</v>
      </c>
      <c r="F2045" s="1" t="n"/>
      <c r="G2045" s="1" t="n"/>
      <c r="H2045" s="1" t="n"/>
      <c r="I2045" s="1" t="n"/>
      <c r="J2045" s="1" t="n"/>
      <c r="K2045" s="1" t="n"/>
      <c r="L2045" s="1" t="n"/>
      <c r="M2045" s="1" t="n"/>
      <c r="N2045" s="1" t="n"/>
    </row>
    <row r="2046">
      <c r="A2046" s="1" t="inlineStr">
        <is>
          <t>88201821024717</t>
        </is>
      </c>
      <c r="B2046" s="1" t="inlineStr">
        <is>
          <t>ANILLO LV SILVER MICROZIRCONIAS</t>
        </is>
      </c>
      <c r="C2046" s="1" t="n"/>
      <c r="D2046" s="1" t="n"/>
      <c r="E2046" s="6" t="n">
        <v>212.615424</v>
      </c>
      <c r="F2046" s="1" t="n"/>
      <c r="G2046" s="1" t="n"/>
      <c r="H2046" s="1" t="n"/>
      <c r="I2046" s="1" t="n"/>
      <c r="J2046" s="1" t="n"/>
      <c r="K2046" s="1" t="n"/>
      <c r="L2046" s="1" t="n"/>
      <c r="M2046" s="1" t="n"/>
      <c r="N2046" s="1" t="n"/>
    </row>
    <row r="2047">
      <c r="A2047" s="1" t="inlineStr">
        <is>
          <t>88621311058381</t>
        </is>
      </c>
      <c r="B2047" s="1" t="inlineStr">
        <is>
          <t>PULSERA LOVE UNLIMITED GOLD</t>
        </is>
      </c>
      <c r="C2047" s="1" t="n"/>
      <c r="D2047" s="1" t="n"/>
      <c r="E2047" s="1" t="n"/>
      <c r="F2047" s="1" t="n"/>
      <c r="G2047" s="6" t="n">
        <v>313.7574002</v>
      </c>
      <c r="H2047" s="1" t="n"/>
      <c r="I2047" s="1" t="n"/>
      <c r="J2047" s="6" t="n">
        <v>426.0779243</v>
      </c>
      <c r="K2047" s="1" t="n"/>
      <c r="L2047" s="1" t="n"/>
      <c r="M2047" s="1" t="n"/>
      <c r="N2047" s="1" t="n"/>
    </row>
    <row r="2048">
      <c r="A2048" s="1" t="inlineStr">
        <is>
          <t>89205551037229</t>
        </is>
      </c>
      <c r="B2048" s="1" t="inlineStr">
        <is>
          <t>ANILLO KNOT SILVER ANCHO</t>
        </is>
      </c>
      <c r="C2048" s="1" t="n"/>
      <c r="D2048" s="6" t="n">
        <v>105.4844288</v>
      </c>
      <c r="E2048" s="1" t="n"/>
      <c r="F2048" s="1" t="n"/>
      <c r="G2048" s="1" t="n"/>
      <c r="H2048" s="6" t="n">
        <v>106.002089</v>
      </c>
      <c r="I2048" s="1" t="n"/>
      <c r="J2048" s="6" t="n">
        <v>106.5194811</v>
      </c>
      <c r="K2048" s="6" t="n">
        <v>105.1573679</v>
      </c>
      <c r="L2048" s="1" t="n"/>
      <c r="M2048" s="6" t="n">
        <v>105.0730323</v>
      </c>
      <c r="N2048" s="1" t="n"/>
    </row>
    <row r="2049">
      <c r="A2049" s="1" t="inlineStr">
        <is>
          <t>89205551169997</t>
        </is>
      </c>
      <c r="B2049" s="1" t="inlineStr">
        <is>
          <t>ANILLO KNOT SILVER</t>
        </is>
      </c>
      <c r="C2049" s="1" t="n"/>
      <c r="D2049" s="6" t="n">
        <v>105.4844288</v>
      </c>
      <c r="E2049" s="1" t="n"/>
      <c r="F2049" s="1" t="n"/>
      <c r="G2049" s="1" t="n"/>
      <c r="H2049" s="1" t="n"/>
      <c r="I2049" s="1" t="n"/>
      <c r="J2049" s="1" t="n"/>
      <c r="K2049" s="1" t="n"/>
      <c r="L2049" s="1" t="n"/>
      <c r="M2049" s="1" t="n"/>
      <c r="N2049" s="1" t="n"/>
    </row>
    <row r="2050">
      <c r="A2050" s="1" t="inlineStr">
        <is>
          <t>89205551202765</t>
        </is>
      </c>
      <c r="B2050" s="1" t="inlineStr">
        <is>
          <t>ANILLO KNOT SILVER ANCHO</t>
        </is>
      </c>
      <c r="C2050" s="1" t="n"/>
      <c r="D2050" s="6" t="n">
        <v>105.4844288</v>
      </c>
      <c r="E2050" s="1" t="n"/>
      <c r="F2050" s="1" t="n"/>
      <c r="G2050" s="1" t="n"/>
      <c r="H2050" s="1" t="n"/>
      <c r="I2050" s="1" t="n"/>
      <c r="J2050" s="6" t="n">
        <v>106.5194811</v>
      </c>
      <c r="K2050" s="6" t="n">
        <v>105.1573679</v>
      </c>
      <c r="L2050" s="1" t="n"/>
      <c r="M2050" s="1" t="n"/>
      <c r="N2050" s="1" t="n"/>
    </row>
    <row r="2051">
      <c r="A2051" s="1" t="inlineStr">
        <is>
          <t>89205551347661</t>
        </is>
      </c>
      <c r="B2051" s="1" t="inlineStr">
        <is>
          <t>ANILLO KNOT SILVER ZIRCONIAS</t>
        </is>
      </c>
      <c r="C2051" s="1" t="n"/>
      <c r="D2051" s="6" t="n">
        <v>137.1297575</v>
      </c>
      <c r="E2051" s="1" t="n"/>
      <c r="F2051" s="1" t="n"/>
      <c r="G2051" s="1" t="n"/>
      <c r="H2051" s="6" t="n">
        <v>137.8027156</v>
      </c>
      <c r="I2051" s="1" t="n"/>
      <c r="J2051" s="1" t="n"/>
      <c r="K2051" s="6" t="n">
        <v>136.7045783</v>
      </c>
      <c r="L2051" s="1" t="n"/>
      <c r="M2051" s="6" t="n">
        <v>136.594942</v>
      </c>
      <c r="N2051" s="1" t="n"/>
    </row>
    <row r="2052">
      <c r="A2052" s="1" t="inlineStr">
        <is>
          <t>89205551480429</t>
        </is>
      </c>
      <c r="B2052" s="1" t="inlineStr">
        <is>
          <t>ANILLO KNOT SILVER ZIRCONIAS</t>
        </is>
      </c>
      <c r="C2052" s="1" t="n"/>
      <c r="D2052" s="6" t="n">
        <v>137.1297575</v>
      </c>
      <c r="E2052" s="1" t="n"/>
      <c r="F2052" s="1" t="n"/>
      <c r="G2052" s="1" t="n"/>
      <c r="H2052" s="1" t="n"/>
      <c r="I2052" s="1" t="n"/>
      <c r="J2052" s="1" t="n"/>
      <c r="K2052" s="1" t="n"/>
      <c r="L2052" s="1" t="n"/>
      <c r="M2052" s="1" t="n"/>
      <c r="N2052" s="1" t="n"/>
    </row>
    <row r="2053">
      <c r="A2053" s="1" t="inlineStr">
        <is>
          <t>89205551513197</t>
        </is>
      </c>
      <c r="B2053" s="1" t="inlineStr">
        <is>
          <t>ANILLO KNOT SILVER ZIRCONIAS</t>
        </is>
      </c>
      <c r="C2053" s="1" t="n"/>
      <c r="D2053" s="6" t="n">
        <v>137.1297575</v>
      </c>
      <c r="E2053" s="1" t="n"/>
      <c r="F2053" s="1" t="n"/>
      <c r="G2053" s="1" t="n"/>
      <c r="H2053" s="1" t="n"/>
      <c r="I2053" s="1" t="n"/>
      <c r="J2053" s="1" t="n"/>
      <c r="K2053" s="1" t="n"/>
      <c r="L2053" s="1" t="n"/>
      <c r="M2053" s="6" t="n">
        <v>136.594942</v>
      </c>
      <c r="N2053" s="1" t="n"/>
    </row>
    <row r="2054">
      <c r="A2054" s="1" t="inlineStr">
        <is>
          <t>89205551641453</t>
        </is>
      </c>
      <c r="B2054" s="1" t="inlineStr">
        <is>
          <t>ARETES BV ROSEGOLD-WHITE</t>
        </is>
      </c>
      <c r="C2054" s="1" t="n"/>
      <c r="D2054" s="6" t="n">
        <v>126.5813146</v>
      </c>
      <c r="E2054" s="1" t="n"/>
      <c r="F2054" s="1" t="n"/>
      <c r="G2054" s="1" t="n"/>
      <c r="H2054" s="6" t="n">
        <v>127.2025068</v>
      </c>
      <c r="I2054" s="6" t="n">
        <v>126.4109764</v>
      </c>
      <c r="J2054" s="1" t="n"/>
      <c r="K2054" s="1" t="n"/>
      <c r="L2054" s="6" t="n">
        <v>125.9357718</v>
      </c>
      <c r="M2054" s="1" t="n"/>
      <c r="N2054" s="1" t="n"/>
    </row>
    <row r="2055">
      <c r="A2055" s="1" t="inlineStr">
        <is>
          <t>89205551757581</t>
        </is>
      </c>
      <c r="B2055" s="1" t="inlineStr">
        <is>
          <t>PULSERA BV ROSEGOLD PEARL ZIRCONIA</t>
        </is>
      </c>
      <c r="C2055" s="1" t="n"/>
      <c r="D2055" s="1" t="n"/>
      <c r="E2055" s="1" t="n"/>
      <c r="F2055" s="1" t="n"/>
      <c r="G2055" s="1" t="n"/>
      <c r="H2055" s="1" t="n"/>
      <c r="I2055" s="1" t="n"/>
      <c r="J2055" s="1" t="n"/>
      <c r="K2055" s="1" t="n"/>
      <c r="L2055" s="6" t="n">
        <v>157.4197147</v>
      </c>
      <c r="M2055" s="1" t="n"/>
      <c r="N2055" s="1" t="n"/>
    </row>
    <row r="2056">
      <c r="A2056" s="1" t="inlineStr">
        <is>
          <t>89246881063213</t>
        </is>
      </c>
      <c r="B2056" s="1" t="inlineStr">
        <is>
          <t>ANILLO LOVE CERAMIC</t>
        </is>
      </c>
      <c r="C2056" s="1" t="n"/>
      <c r="D2056" s="1" t="n"/>
      <c r="E2056" s="1" t="n"/>
      <c r="F2056" s="1" t="n"/>
      <c r="G2056" s="1" t="n"/>
      <c r="H2056" s="1" t="n"/>
      <c r="I2056" s="1" t="n"/>
      <c r="J2056" s="1" t="n"/>
      <c r="K2056" s="6" t="n">
        <v>126.1888415</v>
      </c>
      <c r="L2056" s="1" t="n"/>
      <c r="M2056" s="1" t="n"/>
      <c r="N2056" s="1" t="n"/>
    </row>
    <row r="2057">
      <c r="A2057" s="1" t="inlineStr">
        <is>
          <t>89246881116333</t>
        </is>
      </c>
      <c r="B2057" s="1" t="inlineStr">
        <is>
          <t>ANILLO TRINITY TRES AROS</t>
        </is>
      </c>
      <c r="C2057" s="1" t="n"/>
      <c r="D2057" s="1" t="n"/>
      <c r="E2057" s="1" t="n"/>
      <c r="F2057" s="1" t="n"/>
      <c r="G2057" s="1" t="n"/>
      <c r="H2057" s="1" t="n"/>
      <c r="I2057" s="1" t="n"/>
      <c r="J2057" s="1" t="n"/>
      <c r="K2057" s="6" t="n">
        <v>126.1888415</v>
      </c>
      <c r="L2057" s="1" t="n"/>
      <c r="M2057" s="1" t="n"/>
      <c r="N2057" s="1" t="n"/>
    </row>
    <row r="2058">
      <c r="A2058" s="1" t="inlineStr">
        <is>
          <t>89246881231597</t>
        </is>
      </c>
      <c r="B2058" s="1" t="inlineStr">
        <is>
          <t>ARRACADAS TRES AROS</t>
        </is>
      </c>
      <c r="C2058" s="1" t="n"/>
      <c r="D2058" s="1" t="n"/>
      <c r="E2058" s="1" t="n"/>
      <c r="F2058" s="1" t="n"/>
      <c r="G2058" s="1" t="n"/>
      <c r="H2058" s="1" t="n"/>
      <c r="I2058" s="1" t="n"/>
      <c r="J2058" s="1" t="n"/>
      <c r="K2058" s="6" t="n">
        <v>168.2517887</v>
      </c>
      <c r="L2058" s="1" t="n"/>
      <c r="M2058" s="1" t="n"/>
      <c r="N2058" s="1" t="n"/>
    </row>
    <row r="2059">
      <c r="A2059" s="1" t="inlineStr">
        <is>
          <t>89246881340077</t>
        </is>
      </c>
      <c r="B2059" s="1" t="inlineStr">
        <is>
          <t>ARRACADAS CLAVO GOLD</t>
        </is>
      </c>
      <c r="C2059" s="1" t="n"/>
      <c r="D2059" s="1" t="n"/>
      <c r="E2059" s="1" t="n"/>
      <c r="F2059" s="1" t="n"/>
      <c r="G2059" s="1" t="n"/>
      <c r="H2059" s="1" t="n"/>
      <c r="I2059" s="1" t="n"/>
      <c r="J2059" s="1" t="n"/>
      <c r="K2059" s="6" t="n">
        <v>210.3147359</v>
      </c>
      <c r="L2059" s="1" t="n"/>
      <c r="M2059" s="1" t="n"/>
      <c r="N2059" s="1" t="n"/>
    </row>
    <row r="2060">
      <c r="A2060" s="1" t="inlineStr">
        <is>
          <t>89246881412397</t>
        </is>
      </c>
      <c r="B2060" s="1" t="inlineStr">
        <is>
          <t>BROCHE CD GOLD</t>
        </is>
      </c>
      <c r="C2060" s="1" t="n"/>
      <c r="D2060" s="1" t="n"/>
      <c r="E2060" s="1" t="n"/>
      <c r="F2060" s="1" t="n"/>
      <c r="G2060" s="1" t="n"/>
      <c r="H2060" s="1" t="n"/>
      <c r="I2060" s="1" t="n"/>
      <c r="J2060" s="1" t="n"/>
      <c r="K2060" s="6" t="n">
        <v>94.64163114999999</v>
      </c>
      <c r="L2060" s="1" t="n"/>
      <c r="M2060" s="1" t="n"/>
      <c r="N2060" s="1" t="n"/>
    </row>
    <row r="2061">
      <c r="A2061" s="1" t="inlineStr">
        <is>
          <t>89246881583021</t>
        </is>
      </c>
      <c r="B2061" s="1" t="inlineStr">
        <is>
          <t>BROCHE CD GOLD ZIRCONIAS PEARL</t>
        </is>
      </c>
      <c r="C2061" s="1" t="n"/>
      <c r="D2061" s="1" t="n"/>
      <c r="E2061" s="1" t="n"/>
      <c r="F2061" s="1" t="n"/>
      <c r="G2061" s="1" t="n"/>
      <c r="H2061" s="1" t="n"/>
      <c r="I2061" s="1" t="n"/>
      <c r="J2061" s="1" t="n"/>
      <c r="K2061" s="6" t="n">
        <v>126.1888415</v>
      </c>
      <c r="L2061" s="1" t="n"/>
      <c r="M2061" s="6" t="n">
        <v>126.0876388</v>
      </c>
      <c r="N2061" s="1" t="n"/>
    </row>
    <row r="2062">
      <c r="A2062" s="1" t="inlineStr">
        <is>
          <t>89246881658733</t>
        </is>
      </c>
      <c r="B2062" s="1" t="inlineStr">
        <is>
          <t>PULSERA CD PETIT ZIRCONIAS GOLD</t>
        </is>
      </c>
      <c r="C2062" s="1" t="n"/>
      <c r="D2062" s="1" t="n"/>
      <c r="E2062" s="1" t="n"/>
      <c r="F2062" s="1" t="n"/>
      <c r="G2062" s="1" t="n"/>
      <c r="H2062" s="1" t="n"/>
      <c r="I2062" s="1" t="n"/>
      <c r="J2062" s="1" t="n"/>
      <c r="K2062" s="6" t="n">
        <v>84.12589436</v>
      </c>
      <c r="L2062" s="1" t="n"/>
      <c r="M2062" s="1" t="n"/>
      <c r="N2062" s="1" t="n"/>
    </row>
    <row r="2063">
      <c r="A2063" s="1" t="inlineStr">
        <is>
          <t>89246881737837</t>
        </is>
      </c>
      <c r="B2063" s="1" t="inlineStr">
        <is>
          <t>PULSERA CD PETIT ZIRCONIAS SILVER</t>
        </is>
      </c>
      <c r="C2063" s="1" t="n"/>
      <c r="D2063" s="1" t="n"/>
      <c r="E2063" s="1" t="n"/>
      <c r="F2063" s="1" t="n"/>
      <c r="G2063" s="1" t="n"/>
      <c r="H2063" s="1" t="n"/>
      <c r="I2063" s="1" t="n"/>
      <c r="J2063" s="1" t="n"/>
      <c r="K2063" s="6" t="n">
        <v>84.12589436</v>
      </c>
      <c r="L2063" s="1" t="n"/>
      <c r="M2063" s="1" t="n"/>
      <c r="N2063" s="1" t="n"/>
    </row>
    <row r="2064">
      <c r="A2064" s="1" t="inlineStr">
        <is>
          <t>89246881897741</t>
        </is>
      </c>
      <c r="B2064" s="1" t="inlineStr">
        <is>
          <t>COLLAR CD CHOKER</t>
        </is>
      </c>
      <c r="C2064" s="1" t="n"/>
      <c r="D2064" s="1" t="n"/>
      <c r="E2064" s="1" t="n"/>
      <c r="F2064" s="1" t="n"/>
      <c r="G2064" s="1" t="n"/>
      <c r="H2064" s="1" t="n"/>
      <c r="I2064" s="1" t="n"/>
      <c r="J2064" s="1" t="n"/>
      <c r="K2064" s="6" t="n">
        <v>84.12589436</v>
      </c>
      <c r="L2064" s="1" t="n"/>
      <c r="M2064" s="1" t="n"/>
      <c r="N2064" s="1" t="n"/>
    </row>
    <row r="2065">
      <c r="A2065" s="1" t="inlineStr">
        <is>
          <t>89246882037293</t>
        </is>
      </c>
      <c r="B2065" s="1" t="inlineStr">
        <is>
          <t>ARETES CD HALF PEARL</t>
        </is>
      </c>
      <c r="C2065" s="1" t="n"/>
      <c r="D2065" s="1" t="n"/>
      <c r="E2065" s="1" t="n"/>
      <c r="F2065" s="1" t="n"/>
      <c r="G2065" s="1" t="n"/>
      <c r="H2065" s="1" t="n"/>
      <c r="I2065" s="1" t="n"/>
      <c r="J2065" s="1" t="n"/>
      <c r="K2065" s="6" t="n">
        <v>84.12589436</v>
      </c>
      <c r="L2065" s="1" t="n"/>
      <c r="M2065" s="1" t="n"/>
      <c r="N2065" s="1" t="n"/>
    </row>
    <row r="2066">
      <c r="A2066" s="1" t="inlineStr">
        <is>
          <t>89246882101133</t>
        </is>
      </c>
      <c r="B2066" s="1" t="inlineStr">
        <is>
          <t>ARETES CD PEARL</t>
        </is>
      </c>
      <c r="C2066" s="1" t="n"/>
      <c r="D2066" s="1" t="n"/>
      <c r="E2066" s="1" t="n"/>
      <c r="F2066" s="1" t="n"/>
      <c r="G2066" s="1" t="n"/>
      <c r="H2066" s="1" t="n"/>
      <c r="I2066" s="1" t="n"/>
      <c r="J2066" s="1" t="n"/>
      <c r="K2066" s="6" t="n">
        <v>105.1573679</v>
      </c>
      <c r="L2066" s="1" t="n"/>
      <c r="M2066" s="6" t="n">
        <v>105.0730323</v>
      </c>
      <c r="N2066" s="1" t="n"/>
    </row>
    <row r="2067">
      <c r="A2067" s="1" t="inlineStr">
        <is>
          <t>89246882202829</t>
        </is>
      </c>
      <c r="B2067" s="1" t="inlineStr">
        <is>
          <t>ARETES CD VINTAGE PEARL GOLD</t>
        </is>
      </c>
      <c r="C2067" s="1" t="n"/>
      <c r="D2067" s="1" t="n"/>
      <c r="E2067" s="1" t="n"/>
      <c r="F2067" s="1" t="n"/>
      <c r="G2067" s="1" t="n"/>
      <c r="H2067" s="1" t="n"/>
      <c r="I2067" s="1" t="n"/>
      <c r="J2067" s="1" t="n"/>
      <c r="K2067" s="6" t="n">
        <v>105.1573679</v>
      </c>
      <c r="L2067" s="1" t="n"/>
      <c r="M2067" s="1" t="n"/>
      <c r="N2067" s="1" t="n"/>
    </row>
    <row r="2068">
      <c r="A2068" s="1" t="inlineStr">
        <is>
          <t>89246882368365</t>
        </is>
      </c>
      <c r="B2068" s="1" t="inlineStr">
        <is>
          <t>ARETES CD TREASURE GOLD</t>
        </is>
      </c>
      <c r="C2068" s="1" t="n"/>
      <c r="D2068" s="1" t="n"/>
      <c r="E2068" s="1" t="n"/>
      <c r="F2068" s="1" t="n"/>
      <c r="G2068" s="1" t="n"/>
      <c r="H2068" s="1" t="n"/>
      <c r="I2068" s="1" t="n"/>
      <c r="J2068" s="1" t="n"/>
      <c r="K2068" s="6" t="n">
        <v>84.12589436</v>
      </c>
      <c r="L2068" s="1" t="n"/>
      <c r="M2068" s="1" t="n"/>
      <c r="N2068" s="1" t="n"/>
    </row>
    <row r="2069">
      <c r="A2069" s="1" t="inlineStr">
        <is>
          <t>89246882471757</t>
        </is>
      </c>
      <c r="B2069" s="1" t="inlineStr">
        <is>
          <t>ANILLO H ESCAPE SILVER</t>
        </is>
      </c>
      <c r="C2069" s="1" t="n"/>
      <c r="D2069" s="1" t="n"/>
      <c r="E2069" s="1" t="n"/>
      <c r="F2069" s="1" t="n"/>
      <c r="G2069" s="1" t="n"/>
      <c r="H2069" s="1" t="n"/>
      <c r="I2069" s="1" t="n"/>
      <c r="J2069" s="1" t="n"/>
      <c r="K2069" s="6" t="n">
        <v>147.2203151</v>
      </c>
      <c r="L2069" s="1" t="n"/>
      <c r="M2069" s="1" t="n"/>
      <c r="N2069" s="1" t="n"/>
    </row>
    <row r="2070">
      <c r="A2070" s="1" t="inlineStr">
        <is>
          <t>89246882509613</t>
        </is>
      </c>
      <c r="B2070" s="1" t="inlineStr">
        <is>
          <t>ANILLO H KELLY SILVER</t>
        </is>
      </c>
      <c r="C2070" s="1" t="n"/>
      <c r="D2070" s="1" t="n"/>
      <c r="E2070" s="1" t="n"/>
      <c r="F2070" s="1" t="n"/>
      <c r="G2070" s="1" t="n"/>
      <c r="H2070" s="1" t="n"/>
      <c r="I2070" s="1" t="n"/>
      <c r="J2070" s="1" t="n"/>
      <c r="K2070" s="6" t="n">
        <v>147.2203151</v>
      </c>
      <c r="L2070" s="1" t="n"/>
      <c r="M2070" s="1" t="n"/>
      <c r="N2070" s="1" t="n"/>
    </row>
    <row r="2071">
      <c r="A2071" s="1" t="inlineStr">
        <is>
          <t>89246882645773</t>
        </is>
      </c>
      <c r="B2071" s="1" t="inlineStr">
        <is>
          <t>PULSERA H FINESSE SILVER</t>
        </is>
      </c>
      <c r="C2071" s="1" t="n"/>
      <c r="D2071" s="1" t="n"/>
      <c r="E2071" s="1" t="n"/>
      <c r="F2071" s="1" t="n"/>
      <c r="G2071" s="1" t="n"/>
      <c r="H2071" s="1" t="n"/>
      <c r="I2071" s="1" t="n"/>
      <c r="J2071" s="1" t="n"/>
      <c r="K2071" s="6" t="n">
        <v>210.3147359</v>
      </c>
      <c r="L2071" s="1" t="n"/>
      <c r="M2071" s="1" t="n"/>
      <c r="N2071" s="1" t="n"/>
    </row>
    <row r="2072">
      <c r="A2072" s="1" t="inlineStr">
        <is>
          <t>89246882713005</t>
        </is>
      </c>
      <c r="B2072" s="1" t="inlineStr">
        <is>
          <t>BRAZALETE H ESLABONES CHAINE GOLD</t>
        </is>
      </c>
      <c r="C2072" s="1" t="n"/>
      <c r="D2072" s="1" t="n"/>
      <c r="E2072" s="1" t="n"/>
      <c r="F2072" s="1" t="n"/>
      <c r="G2072" s="1" t="n"/>
      <c r="H2072" s="1" t="n"/>
      <c r="I2072" s="1" t="n"/>
      <c r="J2072" s="1" t="n"/>
      <c r="K2072" s="6" t="n">
        <v>252.3776831</v>
      </c>
      <c r="L2072" s="1" t="n"/>
      <c r="M2072" s="1" t="n"/>
      <c r="N2072" s="1" t="n"/>
    </row>
    <row r="2073">
      <c r="A2073" s="1" t="inlineStr">
        <is>
          <t>89246882816397</t>
        </is>
      </c>
      <c r="B2073" s="1" t="inlineStr">
        <is>
          <t>BRAZALETE H FARANDOLE SILVER</t>
        </is>
      </c>
      <c r="C2073" s="1" t="n"/>
      <c r="D2073" s="1" t="n"/>
      <c r="E2073" s="1" t="n"/>
      <c r="F2073" s="1" t="n"/>
      <c r="G2073" s="1" t="n"/>
      <c r="H2073" s="1" t="n"/>
      <c r="I2073" s="1" t="n"/>
      <c r="J2073" s="1" t="n"/>
      <c r="K2073" s="6" t="n">
        <v>189.2832623</v>
      </c>
      <c r="L2073" s="1" t="n"/>
      <c r="M2073" s="1" t="n"/>
      <c r="N2073" s="1" t="n"/>
    </row>
    <row r="2074">
      <c r="A2074" s="1" t="inlineStr">
        <is>
          <t>89246882985325</t>
        </is>
      </c>
      <c r="B2074" s="1" t="inlineStr">
        <is>
          <t>COLLAR H CHAINE D'ANCRE GOLD</t>
        </is>
      </c>
      <c r="C2074" s="1" t="n"/>
      <c r="D2074" s="1" t="n"/>
      <c r="E2074" s="1" t="n"/>
      <c r="F2074" s="1" t="n"/>
      <c r="G2074" s="1" t="n"/>
      <c r="H2074" s="1" t="n"/>
      <c r="I2074" s="1" t="n"/>
      <c r="J2074" s="1" t="n"/>
      <c r="K2074" s="6" t="n">
        <v>210.3147359</v>
      </c>
      <c r="L2074" s="1" t="n"/>
      <c r="M2074" s="1" t="n"/>
      <c r="N2074" s="1" t="n"/>
    </row>
    <row r="2075">
      <c r="A2075" s="1" t="inlineStr">
        <is>
          <t>89246883050861</t>
        </is>
      </c>
      <c r="B2075" s="1" t="inlineStr">
        <is>
          <t>COLLAR H CHAINE GOLD</t>
        </is>
      </c>
      <c r="C2075" s="1" t="n"/>
      <c r="D2075" s="1" t="n"/>
      <c r="E2075" s="1" t="n"/>
      <c r="F2075" s="1" t="n"/>
      <c r="G2075" s="1" t="n"/>
      <c r="H2075" s="1" t="n"/>
      <c r="I2075" s="1" t="n"/>
      <c r="J2075" s="1" t="n"/>
      <c r="K2075" s="6" t="n">
        <v>147.2203151</v>
      </c>
      <c r="L2075" s="1" t="n"/>
      <c r="M2075" s="1" t="n"/>
      <c r="N2075" s="1" t="n"/>
    </row>
    <row r="2076">
      <c r="A2076" s="1" t="inlineStr">
        <is>
          <t>89246883152557</t>
        </is>
      </c>
      <c r="B2076" s="1" t="inlineStr">
        <is>
          <t>COLLAR H CHAINE GOLD ZIRCONIAS</t>
        </is>
      </c>
      <c r="C2076" s="1" t="n"/>
      <c r="D2076" s="1" t="n"/>
      <c r="E2076" s="1" t="n"/>
      <c r="F2076" s="1" t="n"/>
      <c r="G2076" s="1" t="n"/>
      <c r="H2076" s="1" t="n"/>
      <c r="I2076" s="1" t="n"/>
      <c r="J2076" s="1" t="n"/>
      <c r="K2076" s="6" t="n">
        <v>147.0100004</v>
      </c>
      <c r="L2076" s="1" t="n"/>
      <c r="M2076" s="1" t="n"/>
      <c r="N2076" s="1" t="n"/>
    </row>
    <row r="2077">
      <c r="A2077" s="1" t="inlineStr">
        <is>
          <t>89246883287021</t>
        </is>
      </c>
      <c r="B2077" s="1" t="inlineStr">
        <is>
          <t>ARETES H FINESSE SILVER</t>
        </is>
      </c>
      <c r="C2077" s="1" t="n"/>
      <c r="D2077" s="1" t="n"/>
      <c r="E2077" s="1" t="n"/>
      <c r="F2077" s="1" t="n"/>
      <c r="G2077" s="1" t="n"/>
      <c r="H2077" s="1" t="n"/>
      <c r="I2077" s="1" t="n"/>
      <c r="J2077" s="1" t="n"/>
      <c r="K2077" s="6" t="n">
        <v>126.1888415</v>
      </c>
      <c r="L2077" s="1" t="n"/>
      <c r="M2077" s="1" t="n"/>
      <c r="N2077" s="1" t="n"/>
    </row>
    <row r="2078">
      <c r="A2078" s="1" t="inlineStr">
        <is>
          <t>89246883343533</t>
        </is>
      </c>
      <c r="B2078" s="1" t="inlineStr">
        <is>
          <t>ARETES LOGO H GOLD ZIRCONIAS</t>
        </is>
      </c>
      <c r="C2078" s="1" t="n"/>
      <c r="D2078" s="1" t="n"/>
      <c r="E2078" s="1" t="n"/>
      <c r="F2078" s="1" t="n"/>
      <c r="G2078" s="1" t="n"/>
      <c r="H2078" s="1" t="n"/>
      <c r="I2078" s="1" t="n"/>
      <c r="J2078" s="1" t="n"/>
      <c r="K2078" s="6" t="n">
        <v>168.2517887</v>
      </c>
      <c r="L2078" s="1" t="n"/>
      <c r="M2078" s="1" t="n"/>
      <c r="N2078" s="1" t="n"/>
    </row>
    <row r="2079">
      <c r="A2079" s="1" t="inlineStr">
        <is>
          <t>89246883414157</t>
        </is>
      </c>
      <c r="B2079" s="1" t="inlineStr">
        <is>
          <t>ANILLO MOVE UNO SILVER ZIRCONIAS</t>
        </is>
      </c>
      <c r="C2079" s="1" t="n"/>
      <c r="D2079" s="1" t="n"/>
      <c r="E2079" s="1" t="n"/>
      <c r="F2079" s="1" t="n"/>
      <c r="G2079" s="1" t="n"/>
      <c r="H2079" s="1" t="n"/>
      <c r="I2079" s="1" t="n"/>
      <c r="J2079" s="1" t="n"/>
      <c r="K2079" s="6" t="n">
        <v>105.1573679</v>
      </c>
      <c r="L2079" s="1" t="n"/>
      <c r="M2079" s="1" t="n"/>
      <c r="N2079" s="1" t="n"/>
    </row>
    <row r="2080">
      <c r="A2080" s="1" t="inlineStr">
        <is>
          <t>89246883546925</t>
        </is>
      </c>
      <c r="B2080" s="1" t="inlineStr">
        <is>
          <t>ANILLO MOVE UNO SILVER ZIRCONIAS</t>
        </is>
      </c>
      <c r="C2080" s="1" t="n"/>
      <c r="D2080" s="1" t="n"/>
      <c r="E2080" s="1" t="n"/>
      <c r="F2080" s="1" t="n"/>
      <c r="G2080" s="1" t="n"/>
      <c r="H2080" s="1" t="n"/>
      <c r="I2080" s="1" t="n"/>
      <c r="J2080" s="1" t="n"/>
      <c r="K2080" s="6" t="n">
        <v>105.1573679</v>
      </c>
      <c r="L2080" s="1" t="n"/>
      <c r="M2080" s="1" t="n"/>
      <c r="N2080" s="1" t="n"/>
    </row>
    <row r="2081">
      <c r="A2081" s="1" t="inlineStr">
        <is>
          <t>89631571079533</t>
        </is>
      </c>
      <c r="B2081" s="1" t="inlineStr">
        <is>
          <t>BOLSO LV TOTE PILLOW BLACK</t>
        </is>
      </c>
      <c r="C2081" s="1" t="n"/>
      <c r="D2081" s="1" t="n"/>
      <c r="E2081" s="1" t="n"/>
      <c r="F2081" s="1" t="n"/>
      <c r="G2081" s="1" t="n"/>
      <c r="H2081" s="6" t="n">
        <v>1249.51677</v>
      </c>
      <c r="I2081" s="1" t="n"/>
      <c r="J2081" s="6" t="n">
        <v>1237.538381</v>
      </c>
      <c r="K2081" s="1" t="n"/>
      <c r="L2081" s="6" t="n">
        <v>1272.221975</v>
      </c>
      <c r="M2081" s="1" t="n"/>
      <c r="N2081" s="1" t="n"/>
    </row>
    <row r="2082">
      <c r="A2082" s="1" t="inlineStr">
        <is>
          <t>89633861063789</t>
        </is>
      </c>
      <c r="B2082" s="1" t="inlineStr">
        <is>
          <t>ARETES CD ROUND LOGO CON ZIRCONIAS</t>
        </is>
      </c>
      <c r="C2082" s="1" t="n"/>
      <c r="D2082" s="1" t="n"/>
      <c r="E2082" s="6" t="n">
        <v>155.0911686</v>
      </c>
      <c r="F2082" s="1" t="n"/>
      <c r="G2082" s="1" t="n"/>
      <c r="H2082" s="6" t="n">
        <v>186.1119937</v>
      </c>
      <c r="I2082" s="1" t="n"/>
      <c r="J2082" s="1" t="n"/>
      <c r="K2082" s="1" t="n"/>
      <c r="L2082" s="1" t="n"/>
      <c r="M2082" s="1" t="n"/>
      <c r="N2082" s="1" t="n"/>
    </row>
    <row r="2083">
      <c r="A2083" s="1" t="inlineStr">
        <is>
          <t>89668081080557</t>
        </is>
      </c>
      <c r="B2083" s="1" t="inlineStr">
        <is>
          <t>COLLAR MSS MOVE UNO GOLD</t>
        </is>
      </c>
      <c r="C2083" s="1" t="n"/>
      <c r="D2083" s="6" t="n">
        <v>170.0453685</v>
      </c>
      <c r="E2083" s="1" t="n"/>
      <c r="F2083" s="1" t="n"/>
      <c r="G2083" s="6" t="n">
        <v>167.3372801</v>
      </c>
      <c r="H2083" s="1" t="n"/>
      <c r="I2083" s="1" t="n"/>
      <c r="J2083" s="1" t="n"/>
      <c r="K2083" s="6" t="n">
        <v>168.2517887</v>
      </c>
      <c r="L2083" s="1" t="n"/>
      <c r="M2083" s="6" t="n">
        <v>168.1168517</v>
      </c>
      <c r="N2083" s="1" t="n"/>
    </row>
    <row r="2084">
      <c r="A2084" s="1" t="inlineStr">
        <is>
          <t>89695511098893</t>
        </is>
      </c>
      <c r="B2084" s="1" t="inlineStr">
        <is>
          <t>COLLAR BV SILVER CON ZIRCONIA ALREDEDOR</t>
        </is>
      </c>
      <c r="C2084" s="1" t="n"/>
      <c r="D2084" s="6" t="n">
        <v>158.2266433</v>
      </c>
      <c r="E2084" s="6" t="n">
        <v>169.0260961</v>
      </c>
      <c r="F2084" s="1" t="n"/>
      <c r="G2084" s="1" t="n"/>
      <c r="H2084" s="6" t="n">
        <v>159.0031334</v>
      </c>
      <c r="I2084" s="6" t="n">
        <v>158.0137205</v>
      </c>
      <c r="J2084" s="1" t="n"/>
      <c r="K2084" s="1" t="n"/>
      <c r="L2084" s="1" t="n"/>
      <c r="M2084" s="6" t="n">
        <v>157.6095484</v>
      </c>
      <c r="N2084" s="1" t="n"/>
    </row>
    <row r="2085">
      <c r="A2085" s="1" t="inlineStr">
        <is>
          <t>89790741012877</t>
        </is>
      </c>
      <c r="B2085" s="1" t="inlineStr">
        <is>
          <t>ARETES T SILVER LISO</t>
        </is>
      </c>
      <c r="C2085" s="1" t="n"/>
      <c r="D2085" s="6" t="n">
        <v>105.4844288</v>
      </c>
      <c r="E2085" s="1" t="n"/>
      <c r="F2085" s="1" t="n"/>
      <c r="G2085" s="1" t="n"/>
      <c r="H2085" s="6" t="n">
        <v>148.4029245</v>
      </c>
      <c r="I2085" s="1" t="n"/>
      <c r="J2085" s="1" t="n"/>
      <c r="K2085" s="1" t="n"/>
      <c r="L2085" s="6" t="n">
        <v>106.0932113</v>
      </c>
      <c r="M2085" s="1" t="n"/>
      <c r="N2085" s="1" t="n"/>
    </row>
    <row r="2086">
      <c r="A2086" s="1" t="inlineStr">
        <is>
          <t>89790741157517</t>
        </is>
      </c>
      <c r="B2086" s="1" t="inlineStr">
        <is>
          <t>ARETES T GOLD LISO</t>
        </is>
      </c>
      <c r="C2086" s="1" t="n"/>
      <c r="D2086" s="6" t="n">
        <v>105.4844288</v>
      </c>
      <c r="E2086" s="1" t="n"/>
      <c r="F2086" s="1" t="n"/>
      <c r="G2086" s="1" t="n"/>
      <c r="H2086" s="6" t="n">
        <v>148.4029245</v>
      </c>
      <c r="I2086" s="1" t="n"/>
      <c r="J2086" s="1" t="n"/>
      <c r="K2086" s="6" t="n">
        <v>147.2203151</v>
      </c>
      <c r="L2086" s="6" t="n">
        <v>146.9250671</v>
      </c>
      <c r="M2086" s="6" t="n">
        <v>147.1022452</v>
      </c>
      <c r="N2086" s="1" t="n"/>
    </row>
    <row r="2087">
      <c r="A2087" s="1" t="inlineStr">
        <is>
          <t>89790741264077</t>
        </is>
      </c>
      <c r="B2087" s="1" t="inlineStr">
        <is>
          <t>ARETES T ROSEGOLD CON ZIRCONIA</t>
        </is>
      </c>
      <c r="C2087" s="1" t="n"/>
      <c r="D2087" s="1" t="n"/>
      <c r="E2087" s="1" t="n"/>
      <c r="F2087" s="1" t="n"/>
      <c r="G2087" s="1" t="n"/>
      <c r="H2087" s="1" t="n"/>
      <c r="I2087" s="1" t="n"/>
      <c r="J2087" s="6" t="n">
        <v>213.0389622</v>
      </c>
      <c r="K2087" s="1" t="n"/>
      <c r="L2087" s="1" t="n"/>
      <c r="M2087" s="1" t="n"/>
      <c r="N2087" s="1" t="n"/>
    </row>
    <row r="2088">
      <c r="A2088" s="1" t="inlineStr">
        <is>
          <t>89790741347789</t>
        </is>
      </c>
      <c r="B2088" s="1" t="inlineStr">
        <is>
          <t>ARETES KNOT SILVER CON ZIRCONIAS</t>
        </is>
      </c>
      <c r="C2088" s="1" t="n"/>
      <c r="D2088" s="6" t="n">
        <v>158.2266433</v>
      </c>
      <c r="E2088" s="1" t="n"/>
      <c r="F2088" s="1" t="n"/>
      <c r="G2088" s="1" t="n"/>
      <c r="H2088" s="6" t="n">
        <v>190.8037601</v>
      </c>
      <c r="I2088" s="6" t="n">
        <v>189.6164646</v>
      </c>
      <c r="J2088" s="1" t="n"/>
      <c r="K2088" s="1" t="n"/>
      <c r="L2088" s="1" t="n"/>
      <c r="M2088" s="6" t="n">
        <v>189.1314581</v>
      </c>
      <c r="N2088" s="1" t="n"/>
    </row>
    <row r="2089">
      <c r="A2089" s="1" t="inlineStr">
        <is>
          <t>89790741422093</t>
        </is>
      </c>
      <c r="B2089" s="1" t="inlineStr">
        <is>
          <t>ARRACADAS CD GOLD WHITE ZIRCONIAS</t>
        </is>
      </c>
      <c r="C2089" s="1" t="n"/>
      <c r="D2089" s="6" t="n">
        <v>147.6782004</v>
      </c>
      <c r="E2089" s="1" t="n"/>
      <c r="F2089" s="1" t="n"/>
      <c r="G2089" s="1" t="n"/>
      <c r="H2089" s="6" t="n">
        <v>148.4029245</v>
      </c>
      <c r="I2089" s="1" t="n"/>
      <c r="J2089" s="1" t="n"/>
      <c r="K2089" s="1" t="n"/>
      <c r="L2089" s="1" t="n"/>
      <c r="M2089" s="6" t="n">
        <v>147.1022452</v>
      </c>
      <c r="N2089" s="1" t="n"/>
    </row>
    <row r="2090">
      <c r="A2090" s="1" t="inlineStr">
        <is>
          <t>89790741558733</t>
        </is>
      </c>
      <c r="B2090" s="1" t="inlineStr">
        <is>
          <t>COLLAR BV ROSEGOLD PEARL ZIRCONIA</t>
        </is>
      </c>
      <c r="C2090" s="1" t="n"/>
      <c r="D2090" s="6" t="n">
        <v>147.6782004</v>
      </c>
      <c r="E2090" s="1" t="n"/>
      <c r="F2090" s="1" t="n"/>
      <c r="G2090" s="1" t="n"/>
      <c r="H2090" s="1" t="n"/>
      <c r="I2090" s="6" t="n">
        <v>147.4794725</v>
      </c>
      <c r="J2090" s="1" t="n"/>
      <c r="K2090" s="1" t="n"/>
      <c r="L2090" s="1" t="n"/>
      <c r="M2090" s="6" t="n">
        <v>147.1022452</v>
      </c>
      <c r="N2090" s="1" t="n"/>
    </row>
    <row r="2091">
      <c r="A2091" s="1" t="inlineStr">
        <is>
          <t>89790741679565</t>
        </is>
      </c>
      <c r="B2091" s="1" t="inlineStr">
        <is>
          <t>COLLAR BV GOLD PEARL ZIRCONIA</t>
        </is>
      </c>
      <c r="C2091" s="1" t="n"/>
      <c r="D2091" s="6" t="n">
        <v>147.6782004</v>
      </c>
      <c r="E2091" s="1" t="n"/>
      <c r="F2091" s="1" t="n"/>
      <c r="G2091" s="1" t="n"/>
      <c r="H2091" s="1" t="n"/>
      <c r="I2091" s="1" t="n"/>
      <c r="J2091" s="1" t="n"/>
      <c r="K2091" s="1" t="n"/>
      <c r="L2091" s="6" t="n">
        <v>146.9250671</v>
      </c>
      <c r="M2091" s="1" t="n"/>
      <c r="N2091" s="1" t="n"/>
    </row>
    <row r="2092">
      <c r="A2092" s="1" t="inlineStr">
        <is>
          <t>89790741719597</t>
        </is>
      </c>
      <c r="B2092" s="1" t="inlineStr">
        <is>
          <t>COLLAR BV SILVER PEARL ZIRCONIA</t>
        </is>
      </c>
      <c r="C2092" s="1" t="n"/>
      <c r="D2092" s="6" t="n">
        <v>147.6782004</v>
      </c>
      <c r="E2092" s="1" t="n"/>
      <c r="F2092" s="1" t="n"/>
      <c r="G2092" s="1" t="n"/>
      <c r="H2092" s="1" t="n"/>
      <c r="I2092" s="1" t="n"/>
      <c r="J2092" s="1" t="n"/>
      <c r="K2092" s="1" t="n"/>
      <c r="L2092" s="6" t="n">
        <v>146.9250671</v>
      </c>
      <c r="M2092" s="1" t="n"/>
      <c r="N2092" s="1" t="n"/>
    </row>
    <row r="2093">
      <c r="A2093" s="1" t="inlineStr">
        <is>
          <t>89790741803853</t>
        </is>
      </c>
      <c r="B2093" s="1" t="inlineStr">
        <is>
          <t>COLLAR BV SILVER GRABADO CON ZIRCONIA</t>
        </is>
      </c>
      <c r="C2093" s="1" t="n"/>
      <c r="D2093" s="6" t="n">
        <v>147.6782004</v>
      </c>
      <c r="E2093" s="1" t="n"/>
      <c r="F2093" s="1" t="n"/>
      <c r="G2093" s="1" t="n"/>
      <c r="H2093" s="1" t="n"/>
      <c r="I2093" s="1" t="n"/>
      <c r="J2093" s="1" t="n"/>
      <c r="K2093" s="1" t="n"/>
      <c r="L2093" s="1" t="n"/>
      <c r="M2093" s="1" t="n"/>
      <c r="N2093" s="1" t="n"/>
    </row>
    <row r="2094">
      <c r="A2094" s="1" t="inlineStr">
        <is>
          <t>89790741914029</t>
        </is>
      </c>
      <c r="B2094" s="1" t="inlineStr">
        <is>
          <t>COLLAR BV ROSEGOLD GRABADO CON ZIRCONIA</t>
        </is>
      </c>
      <c r="C2094" s="1" t="n"/>
      <c r="D2094" s="6" t="n">
        <v>147.6782004</v>
      </c>
      <c r="E2094" s="1" t="n"/>
      <c r="F2094" s="1" t="n"/>
      <c r="G2094" s="1" t="n"/>
      <c r="H2094" s="1" t="n"/>
      <c r="I2094" s="1" t="n"/>
      <c r="J2094" s="1" t="n"/>
      <c r="K2094" s="1" t="n"/>
      <c r="L2094" s="1" t="n"/>
      <c r="M2094" s="1" t="n"/>
      <c r="N2094" s="1" t="n"/>
    </row>
    <row r="2095">
      <c r="A2095" s="1" t="inlineStr">
        <is>
          <t>89845001062349</t>
        </is>
      </c>
      <c r="B2095" s="1" t="inlineStr">
        <is>
          <t>PULSERA LV FLOWER ROSEGOLD CON ZIRCONIAS</t>
        </is>
      </c>
      <c r="C2095" s="1" t="n"/>
      <c r="D2095" s="6" t="n">
        <v>232.0657435</v>
      </c>
      <c r="E2095" s="1" t="n"/>
      <c r="F2095" s="1" t="n"/>
      <c r="G2095" s="1" t="n"/>
      <c r="H2095" s="1" t="n"/>
      <c r="I2095" s="1" t="n"/>
      <c r="J2095" s="1" t="n"/>
      <c r="K2095" s="1" t="n"/>
      <c r="L2095" s="1" t="n"/>
      <c r="M2095" s="6" t="n">
        <v>231.1606711</v>
      </c>
      <c r="N2095" s="1" t="n"/>
    </row>
    <row r="2096">
      <c r="A2096" s="1" t="inlineStr">
        <is>
          <t>90487929592844</t>
        </is>
      </c>
      <c r="B2096" s="1" t="inlineStr">
        <is>
          <t>LENTES CD B23</t>
        </is>
      </c>
      <c r="C2096" s="1" t="n"/>
      <c r="D2096" s="1" t="n"/>
      <c r="E2096" s="6" t="n">
        <v>786.0547077</v>
      </c>
      <c r="F2096" s="1" t="n"/>
      <c r="G2096" s="1" t="n"/>
      <c r="H2096" s="6" t="n">
        <v>797.6228302</v>
      </c>
      <c r="I2096" s="1" t="n"/>
      <c r="J2096" s="1" t="n"/>
      <c r="K2096" s="1" t="n"/>
      <c r="L2096" s="1" t="n"/>
      <c r="M2096" s="1" t="n"/>
      <c r="N2096" s="1" t="n"/>
    </row>
    <row r="2097">
      <c r="A2097" s="1" t="inlineStr">
        <is>
          <t>90820181028909</t>
        </is>
      </c>
      <c r="B2097" s="1" t="inlineStr">
        <is>
          <t>BOLSO SADDLE CD JACQUARD BLUE</t>
        </is>
      </c>
      <c r="C2097" s="1" t="n"/>
      <c r="D2097" s="1" t="n"/>
      <c r="E2097" s="1" t="n"/>
      <c r="F2097" s="1" t="n"/>
      <c r="G2097" s="1" t="n"/>
      <c r="H2097" s="1" t="n"/>
      <c r="I2097" s="1" t="n"/>
      <c r="J2097" s="6" t="n">
        <v>1128.011463</v>
      </c>
      <c r="K2097" s="1" t="n"/>
      <c r="L2097" s="6" t="n">
        <v>1669.565834</v>
      </c>
      <c r="M2097" s="1" t="n"/>
      <c r="N2097" s="1" t="n"/>
    </row>
    <row r="2098">
      <c r="A2098" s="1" t="inlineStr">
        <is>
          <t>90834961057229</t>
        </is>
      </c>
      <c r="B2098" s="1" t="inlineStr">
        <is>
          <t>COLLAR MSS MOVE UNO ROSE GOLD</t>
        </is>
      </c>
      <c r="C2098" s="1" t="n"/>
      <c r="D2098" s="6" t="n">
        <v>170.0453685</v>
      </c>
      <c r="E2098" s="1" t="n"/>
      <c r="F2098" s="1" t="n"/>
      <c r="G2098" s="1" t="n"/>
      <c r="H2098" s="1" t="n"/>
      <c r="I2098" s="1" t="n"/>
      <c r="J2098" s="1" t="n"/>
      <c r="K2098" s="1" t="n"/>
      <c r="L2098" s="1" t="n"/>
      <c r="M2098" s="1" t="n"/>
      <c r="N2098" s="1" t="n"/>
    </row>
    <row r="2099">
      <c r="A2099" s="1" t="inlineStr">
        <is>
          <t>90883811004365</t>
        </is>
      </c>
      <c r="B2099" s="1" t="inlineStr">
        <is>
          <t>COLLAR T CORAZÓN CON ZIRCONIA</t>
        </is>
      </c>
      <c r="C2099" s="1" t="n"/>
      <c r="D2099" s="1" t="n"/>
      <c r="E2099" s="1" t="n"/>
      <c r="F2099" s="1" t="n"/>
      <c r="G2099" s="1" t="n"/>
      <c r="H2099" s="1" t="n"/>
      <c r="I2099" s="1" t="n"/>
      <c r="J2099" s="1" t="n"/>
      <c r="K2099" s="6" t="n">
        <v>230.479005</v>
      </c>
      <c r="L2099" s="6" t="n">
        <v>238.5416204</v>
      </c>
      <c r="M2099" s="1" t="n"/>
      <c r="N2099" s="1" t="n"/>
    </row>
    <row r="2100">
      <c r="A2100" s="1" t="inlineStr">
        <is>
          <t>91078752530157</t>
        </is>
      </c>
      <c r="B2100" s="1" t="inlineStr">
        <is>
          <t>ARETES C SILVER</t>
        </is>
      </c>
      <c r="C2100" s="1" t="n"/>
      <c r="D2100" s="1" t="n"/>
      <c r="E2100" s="6" t="n">
        <v>126.5582895</v>
      </c>
      <c r="F2100" s="1" t="n"/>
      <c r="G2100" s="1" t="n"/>
      <c r="H2100" s="6" t="n">
        <v>126.9905026</v>
      </c>
      <c r="I2100" s="6" t="n">
        <v>126.2002914</v>
      </c>
      <c r="J2100" s="1" t="n"/>
      <c r="K2100" s="6" t="n">
        <v>125.9785268</v>
      </c>
      <c r="L2100" s="1" t="n"/>
      <c r="M2100" s="6" t="n">
        <v>125.8774927</v>
      </c>
      <c r="N2100" s="1" t="n"/>
    </row>
    <row r="2101">
      <c r="A2101" s="1" t="inlineStr">
        <is>
          <t>91078752962381</t>
        </is>
      </c>
      <c r="B2101" s="1" t="inlineStr">
        <is>
          <t>COLLAR BV GOLD PEAKS CON ZIRCONIA ALREDEDOR</t>
        </is>
      </c>
      <c r="C2101" s="1" t="n"/>
      <c r="D2101" s="1" t="n"/>
      <c r="E2101" s="6" t="n">
        <v>169.0260961</v>
      </c>
      <c r="F2101" s="1" t="n"/>
      <c r="G2101" s="1" t="n"/>
      <c r="H2101" s="1" t="n"/>
      <c r="I2101" s="6" t="n">
        <v>168.5479685</v>
      </c>
      <c r="J2101" s="1" t="n"/>
      <c r="K2101" s="6" t="n">
        <v>168.2517887</v>
      </c>
      <c r="L2101" s="1" t="n"/>
      <c r="M2101" s="1" t="n"/>
      <c r="N2101" s="1" t="n"/>
    </row>
    <row r="2102">
      <c r="A2102" s="1" t="inlineStr">
        <is>
          <t>91078753349421</t>
        </is>
      </c>
      <c r="B2102" s="1" t="inlineStr">
        <is>
          <t>PULSERA BV.ZERO GAPS ROSEGOLD</t>
        </is>
      </c>
      <c r="C2102" s="1" t="n"/>
      <c r="D2102" s="1" t="n"/>
      <c r="E2102" s="6" t="n">
        <v>179.5902272</v>
      </c>
      <c r="F2102" s="1" t="n"/>
      <c r="G2102" s="1" t="n"/>
      <c r="H2102" s="1" t="n"/>
      <c r="I2102" s="1" t="n"/>
      <c r="J2102" s="6" t="n">
        <v>181.0831178</v>
      </c>
      <c r="K2102" s="1" t="n"/>
      <c r="L2102" s="1" t="n"/>
      <c r="M2102" s="1" t="n"/>
      <c r="N2102" s="1" t="n"/>
    </row>
    <row r="2103">
      <c r="A2103" s="1" t="inlineStr">
        <is>
          <t>91078753456205</t>
        </is>
      </c>
      <c r="B2103" s="1" t="inlineStr">
        <is>
          <t>PULSERA BV.ZERO ROSEGOLD</t>
        </is>
      </c>
      <c r="C2103" s="1" t="n"/>
      <c r="D2103" s="1" t="n"/>
      <c r="E2103" s="6" t="n">
        <v>253.5391442</v>
      </c>
      <c r="F2103" s="1" t="n"/>
      <c r="G2103" s="1" t="n"/>
      <c r="H2103" s="6" t="n">
        <v>212.0041779</v>
      </c>
      <c r="I2103" s="6" t="n">
        <v>210.6849607</v>
      </c>
      <c r="J2103" s="1" t="n"/>
      <c r="K2103" s="1" t="n"/>
      <c r="L2103" s="1" t="n"/>
      <c r="M2103" s="1" t="n"/>
      <c r="N2103" s="1" t="n"/>
    </row>
    <row r="2104">
      <c r="A2104" s="1" t="inlineStr">
        <is>
          <t>91345321067917</t>
        </is>
      </c>
      <c r="B2104" s="1" t="inlineStr">
        <is>
          <t>PERFUME V&amp;R SPICEBOMB EXTREME</t>
        </is>
      </c>
      <c r="C2104" s="1" t="n"/>
      <c r="D2104" s="1" t="n"/>
      <c r="E2104" s="1" t="n"/>
      <c r="F2104" s="1" t="n"/>
      <c r="G2104" s="1" t="n"/>
      <c r="H2104" s="1" t="n"/>
      <c r="I2104" s="1" t="n"/>
      <c r="J2104" s="1" t="n"/>
      <c r="K2104" s="6" t="n">
        <v>460.9580101</v>
      </c>
      <c r="L2104" s="1" t="n"/>
      <c r="M2104" s="1" t="n"/>
      <c r="N2104" s="1" t="n"/>
    </row>
    <row r="2105">
      <c r="A2105" s="1" t="inlineStr">
        <is>
          <t>91345321754957</t>
        </is>
      </c>
      <c r="B2105" s="1" t="inlineStr">
        <is>
          <t>ZAPATILLAS CD HEELED</t>
        </is>
      </c>
      <c r="C2105" s="1" t="n"/>
      <c r="D2105" s="1" t="n"/>
      <c r="E2105" s="1" t="n"/>
      <c r="F2105" s="1" t="n"/>
      <c r="G2105" s="1" t="n"/>
      <c r="H2105" s="1" t="n"/>
      <c r="I2105" s="1" t="n"/>
      <c r="J2105" s="1" t="n"/>
      <c r="K2105" s="6" t="n">
        <v>1664.570592</v>
      </c>
      <c r="L2105" s="1" t="n"/>
      <c r="M2105" s="1" t="n"/>
      <c r="N2105" s="1" t="n"/>
    </row>
    <row r="2106">
      <c r="A2106" s="1" t="inlineStr">
        <is>
          <t>91345321930669</t>
        </is>
      </c>
      <c r="B2106" s="1" t="inlineStr">
        <is>
          <t>LENTES F BAGUETTE</t>
        </is>
      </c>
      <c r="C2106" s="1" t="n"/>
      <c r="D2106" s="1" t="n"/>
      <c r="E2106" s="1" t="n"/>
      <c r="F2106" s="1" t="n"/>
      <c r="G2106" s="1" t="n"/>
      <c r="H2106" s="1" t="n"/>
      <c r="I2106" s="1" t="n"/>
      <c r="J2106" s="1" t="n"/>
      <c r="K2106" s="6" t="n">
        <v>973.1335768</v>
      </c>
      <c r="L2106" s="1" t="n"/>
      <c r="M2106" s="1" t="n"/>
      <c r="N2106" s="1" t="n"/>
    </row>
    <row r="2107">
      <c r="A2107" s="1" t="inlineStr">
        <is>
          <t>91345322036909</t>
        </is>
      </c>
      <c r="B2107" s="1" t="inlineStr">
        <is>
          <t>LENTES F FIRST BROWN</t>
        </is>
      </c>
      <c r="C2107" s="1" t="n"/>
      <c r="D2107" s="1" t="n"/>
      <c r="E2107" s="1" t="n"/>
      <c r="F2107" s="1" t="n"/>
      <c r="G2107" s="1" t="n"/>
      <c r="H2107" s="1" t="n"/>
      <c r="I2107" s="1" t="n"/>
      <c r="J2107" s="1" t="n"/>
      <c r="K2107" s="6" t="n">
        <v>973.1335768</v>
      </c>
      <c r="L2107" s="1" t="n"/>
      <c r="M2107" s="1" t="n"/>
      <c r="N2107" s="1" t="n"/>
    </row>
    <row r="2108">
      <c r="A2108" s="1" t="inlineStr">
        <is>
          <t>91345322411533</t>
        </is>
      </c>
      <c r="B2108" s="1" t="inlineStr">
        <is>
          <t>BOLSO F MON TRESOR</t>
        </is>
      </c>
      <c r="C2108" s="1" t="n"/>
      <c r="D2108" s="1" t="n"/>
      <c r="E2108" s="1" t="n"/>
      <c r="F2108" s="1" t="n"/>
      <c r="G2108" s="1" t="n"/>
      <c r="H2108" s="1" t="n"/>
      <c r="I2108" s="1" t="n"/>
      <c r="J2108" s="1" t="n"/>
      <c r="K2108" s="6" t="n">
        <v>1331.656473</v>
      </c>
      <c r="L2108" s="1" t="n"/>
      <c r="M2108" s="6" t="n">
        <v>1274.594696</v>
      </c>
      <c r="N2108" s="1" t="n"/>
    </row>
    <row r="2109">
      <c r="A2109" s="1" t="inlineStr">
        <is>
          <t>91345323018381</t>
        </is>
      </c>
      <c r="B2109" s="1" t="inlineStr">
        <is>
          <t>ZAPATILLAS YSL SLINGBACK</t>
        </is>
      </c>
      <c r="C2109" s="1" t="n"/>
      <c r="D2109" s="1" t="n"/>
      <c r="E2109" s="1" t="n"/>
      <c r="F2109" s="1" t="n"/>
      <c r="G2109" s="1" t="n"/>
      <c r="H2109" s="1" t="n"/>
      <c r="I2109" s="1" t="n"/>
      <c r="J2109" s="1" t="n"/>
      <c r="K2109" s="6" t="n">
        <v>1741.396927</v>
      </c>
      <c r="L2109" s="1" t="n"/>
      <c r="M2109" s="1" t="n"/>
      <c r="N2109" s="1" t="n"/>
    </row>
    <row r="2110">
      <c r="A2110" s="1" t="inlineStr">
        <is>
          <t>91345323151149</t>
        </is>
      </c>
      <c r="B2110" s="1" t="inlineStr">
        <is>
          <t>ZAPATILLAS YSL SLINGBACK</t>
        </is>
      </c>
      <c r="C2110" s="1" t="n"/>
      <c r="D2110" s="1" t="n"/>
      <c r="E2110" s="1" t="n"/>
      <c r="F2110" s="1" t="n"/>
      <c r="G2110" s="1" t="n"/>
      <c r="H2110" s="1" t="n"/>
      <c r="I2110" s="1" t="n"/>
      <c r="J2110" s="1" t="n"/>
      <c r="K2110" s="6" t="n">
        <v>1741.396927</v>
      </c>
      <c r="L2110" s="1" t="n"/>
      <c r="M2110" s="1" t="n"/>
      <c r="N2110" s="1" t="n"/>
    </row>
    <row r="2111">
      <c r="A2111" s="1" t="inlineStr">
        <is>
          <t>91345323547213</t>
        </is>
      </c>
      <c r="B2111" s="1" t="inlineStr">
        <is>
          <t>RELOJ C BAIGNOIRE GOLD</t>
        </is>
      </c>
      <c r="C2111" s="1" t="n"/>
      <c r="D2111" s="1" t="n"/>
      <c r="E2111" s="1" t="n"/>
      <c r="F2111" s="1" t="n"/>
      <c r="G2111" s="1" t="n"/>
      <c r="H2111" s="1" t="n"/>
      <c r="I2111" s="1" t="n"/>
      <c r="J2111" s="1" t="n"/>
      <c r="K2111" s="6" t="n">
        <v>2099.919824</v>
      </c>
      <c r="L2111" s="1" t="n"/>
      <c r="M2111" s="1" t="n"/>
      <c r="N2111" s="1" t="n"/>
    </row>
    <row r="2112">
      <c r="A2112" s="1" t="inlineStr">
        <is>
          <t>91345323704269</t>
        </is>
      </c>
      <c r="B2112" s="1" t="inlineStr">
        <is>
          <t>RELOJ C BAIGNOIRE ROSEGOLD</t>
        </is>
      </c>
      <c r="C2112" s="1" t="n"/>
      <c r="D2112" s="1" t="n"/>
      <c r="E2112" s="1" t="n"/>
      <c r="F2112" s="1" t="n"/>
      <c r="G2112" s="1" t="n"/>
      <c r="H2112" s="1" t="n"/>
      <c r="I2112" s="1" t="n"/>
      <c r="J2112" s="1" t="n"/>
      <c r="K2112" s="6" t="n">
        <v>2099.919824</v>
      </c>
      <c r="L2112" s="1" t="n"/>
      <c r="M2112" s="1" t="n"/>
      <c r="N2112" s="1" t="n"/>
    </row>
    <row r="2113">
      <c r="A2113" s="1" t="inlineStr">
        <is>
          <t>93098781071405</t>
        </is>
      </c>
      <c r="B2113" s="1" t="inlineStr">
        <is>
          <t>PULSERA LV SAILOR SOO</t>
        </is>
      </c>
      <c r="C2113" s="1" t="n"/>
      <c r="D2113" s="1" t="n"/>
      <c r="E2113" s="1" t="n"/>
      <c r="F2113" s="1" t="n"/>
      <c r="G2113" s="1" t="n"/>
      <c r="H2113" s="1" t="n"/>
      <c r="I2113" s="1" t="n"/>
      <c r="J2113" s="6" t="n">
        <v>236.4927815</v>
      </c>
      <c r="K2113" s="1" t="n"/>
      <c r="L2113" s="1" t="n"/>
      <c r="M2113" s="6" t="n">
        <v>220.6029281</v>
      </c>
      <c r="N2113" s="1" t="n"/>
    </row>
    <row r="2114">
      <c r="A2114" s="1" t="inlineStr">
        <is>
          <t>93098781173101</t>
        </is>
      </c>
      <c r="B2114" s="1" t="inlineStr">
        <is>
          <t>LENTES LV ESCAPE SQUARE</t>
        </is>
      </c>
      <c r="C2114" s="1" t="n"/>
      <c r="D2114" s="1" t="n"/>
      <c r="E2114" s="1" t="n"/>
      <c r="F2114" s="1" t="n"/>
      <c r="G2114" s="1" t="n"/>
      <c r="H2114" s="1" t="n"/>
      <c r="I2114" s="1" t="n"/>
      <c r="J2114" s="6" t="n">
        <v>840.8632231</v>
      </c>
      <c r="K2114" s="1" t="n"/>
      <c r="L2114" s="1" t="n"/>
      <c r="M2114" s="1" t="n"/>
      <c r="N2114" s="1" t="n"/>
    </row>
    <row r="2115">
      <c r="A2115" s="1" t="inlineStr">
        <is>
          <t>93098781240333</t>
        </is>
      </c>
      <c r="B2115" s="1" t="inlineStr">
        <is>
          <t>PULSERA LV SPIKE SOO</t>
        </is>
      </c>
      <c r="C2115" s="1" t="n"/>
      <c r="D2115" s="1" t="n"/>
      <c r="E2115" s="1" t="n"/>
      <c r="F2115" s="1" t="n"/>
      <c r="G2115" s="1" t="n"/>
      <c r="H2115" s="1" t="n"/>
      <c r="I2115" s="1" t="n"/>
      <c r="J2115" s="6" t="n">
        <v>210.2158058</v>
      </c>
      <c r="K2115" s="1" t="n"/>
      <c r="L2115" s="1" t="n"/>
      <c r="M2115" s="1" t="n"/>
      <c r="N2115" s="1" t="n"/>
    </row>
    <row r="2116">
      <c r="A2116" s="1" t="inlineStr">
        <is>
          <t>93098781301933</t>
        </is>
      </c>
      <c r="B2116" s="1" t="inlineStr">
        <is>
          <t>LENTES LV HIT SOO</t>
        </is>
      </c>
      <c r="C2116" s="1" t="n"/>
      <c r="D2116" s="1" t="n"/>
      <c r="E2116" s="1" t="n"/>
      <c r="F2116" s="1" t="n"/>
      <c r="G2116" s="1" t="n"/>
      <c r="H2116" s="1" t="n"/>
      <c r="I2116" s="1" t="n"/>
      <c r="J2116" s="6" t="n">
        <v>840.8632231</v>
      </c>
      <c r="K2116" s="1" t="n"/>
      <c r="L2116" s="6" t="n">
        <v>848.1479836</v>
      </c>
      <c r="M2116" s="1" t="n"/>
      <c r="N2116" s="1" t="n"/>
    </row>
    <row r="2117">
      <c r="A2117" s="1" t="inlineStr">
        <is>
          <t>93098781469165</t>
        </is>
      </c>
      <c r="B2117" s="1" t="inlineStr">
        <is>
          <t>PULSERA LV CATCH IT BLACK</t>
        </is>
      </c>
      <c r="C2117" s="1" t="n"/>
      <c r="D2117" s="1" t="n"/>
      <c r="E2117" s="1" t="n"/>
      <c r="F2117" s="1" t="n"/>
      <c r="G2117" s="1" t="n"/>
      <c r="H2117" s="1" t="n"/>
      <c r="I2117" s="1" t="n"/>
      <c r="J2117" s="6" t="n">
        <v>262.7697572</v>
      </c>
      <c r="K2117" s="1" t="n"/>
      <c r="L2117" s="6" t="n">
        <v>265.0462449</v>
      </c>
      <c r="M2117" s="1" t="n"/>
      <c r="N2117" s="1" t="n"/>
    </row>
    <row r="2118">
      <c r="A2118" s="1" t="inlineStr">
        <is>
          <t>93098781536397</t>
        </is>
      </c>
      <c r="B2118" s="1" t="inlineStr">
        <is>
          <t>LENTES LV ATTITUDE SOO</t>
        </is>
      </c>
      <c r="C2118" s="1" t="n"/>
      <c r="D2118" s="1" t="n"/>
      <c r="E2118" s="1" t="n"/>
      <c r="F2118" s="1" t="n"/>
      <c r="G2118" s="1" t="n"/>
      <c r="H2118" s="1" t="n"/>
      <c r="I2118" s="1" t="n"/>
      <c r="J2118" s="6" t="n">
        <v>840.8632231</v>
      </c>
      <c r="K2118" s="1" t="n"/>
      <c r="L2118" s="6" t="n">
        <v>848.1479836</v>
      </c>
      <c r="M2118" s="1" t="n"/>
      <c r="N2118" s="1" t="n"/>
    </row>
    <row r="2119">
      <c r="A2119" s="1" t="inlineStr">
        <is>
          <t>93098781603629</t>
        </is>
      </c>
      <c r="B2119" s="1" t="inlineStr">
        <is>
          <t>CARTERA LV MULTIPLE MONOGRAM</t>
        </is>
      </c>
      <c r="C2119" s="1" t="n"/>
      <c r="D2119" s="1" t="n"/>
      <c r="E2119" s="1" t="n"/>
      <c r="F2119" s="1" t="n"/>
      <c r="G2119" s="1" t="n"/>
      <c r="H2119" s="1" t="n"/>
      <c r="I2119" s="1" t="n"/>
      <c r="J2119" s="6" t="n">
        <v>446.7085873</v>
      </c>
      <c r="K2119" s="1" t="n"/>
      <c r="L2119" s="1" t="n"/>
      <c r="M2119" s="6" t="n">
        <v>416.6944197</v>
      </c>
      <c r="N2119" s="1" t="n"/>
    </row>
    <row r="2120">
      <c r="A2120" s="1" t="inlineStr">
        <is>
          <t>93098781770861</t>
        </is>
      </c>
      <c r="B2120" s="1" t="inlineStr">
        <is>
          <t>CARTERA LV EMPREINTE BLACK</t>
        </is>
      </c>
      <c r="C2120" s="1" t="n"/>
      <c r="D2120" s="1" t="n"/>
      <c r="E2120" s="1" t="n"/>
      <c r="F2120" s="1" t="n"/>
      <c r="G2120" s="1" t="n"/>
      <c r="H2120" s="1" t="n"/>
      <c r="I2120" s="1" t="n"/>
      <c r="J2120" s="6" t="n">
        <v>446.7085873</v>
      </c>
      <c r="K2120" s="1" t="n"/>
      <c r="L2120" s="6" t="n">
        <v>450.5786163</v>
      </c>
      <c r="M2120" s="1" t="n"/>
      <c r="N2120" s="1" t="n"/>
    </row>
    <row r="2121">
      <c r="A2121" s="1" t="inlineStr">
        <is>
          <t>93098781839789</t>
        </is>
      </c>
      <c r="B2121" s="1" t="inlineStr">
        <is>
          <t>PORTADOCUMENTOS LV VOYAGE</t>
        </is>
      </c>
      <c r="C2121" s="1" t="n"/>
      <c r="D2121" s="1" t="n"/>
      <c r="E2121" s="1" t="n"/>
      <c r="F2121" s="1" t="n"/>
      <c r="G2121" s="1" t="n"/>
      <c r="H2121" s="1" t="n"/>
      <c r="I2121" s="1" t="n"/>
      <c r="J2121" s="6" t="n">
        <v>1445.233665</v>
      </c>
      <c r="K2121" s="1" t="n"/>
      <c r="L2121" s="6" t="n">
        <v>1457.754347</v>
      </c>
      <c r="M2121" s="1" t="n"/>
      <c r="N2121" s="1" t="n"/>
    </row>
    <row r="2122">
      <c r="A2122" s="1" t="inlineStr">
        <is>
          <t>93098781907021</t>
        </is>
      </c>
      <c r="B2122" s="1" t="inlineStr">
        <is>
          <t>CARTERA LV GASTON MONOGRAM</t>
        </is>
      </c>
      <c r="C2122" s="1" t="n"/>
      <c r="D2122" s="1" t="n"/>
      <c r="E2122" s="1" t="n"/>
      <c r="F2122" s="1" t="n"/>
      <c r="G2122" s="1" t="n"/>
      <c r="H2122" s="1" t="n"/>
      <c r="I2122" s="1" t="n"/>
      <c r="J2122" s="6" t="n">
        <v>1182.463908</v>
      </c>
      <c r="K2122" s="1" t="n"/>
      <c r="L2122" s="6" t="n">
        <v>1192.708102</v>
      </c>
      <c r="M2122" s="1" t="n"/>
      <c r="N2122" s="1" t="n"/>
    </row>
    <row r="2123">
      <c r="A2123" s="1" t="inlineStr">
        <is>
          <t>93098782074253</t>
        </is>
      </c>
      <c r="B2123" s="1" t="inlineStr">
        <is>
          <t>BOLSO LV CHRISTOPHER MESSENGER</t>
        </is>
      </c>
      <c r="C2123" s="1" t="n"/>
      <c r="D2123" s="1" t="n"/>
      <c r="E2123" s="1" t="n"/>
      <c r="F2123" s="1" t="n"/>
      <c r="G2123" s="1" t="n"/>
      <c r="H2123" s="1" t="n"/>
      <c r="I2123" s="1" t="n"/>
      <c r="J2123" s="6" t="n">
        <v>1182.463908</v>
      </c>
      <c r="K2123" s="1" t="n"/>
      <c r="L2123" s="6" t="n">
        <v>1192.708102</v>
      </c>
      <c r="M2123" s="6" t="n">
        <v>1103.01464</v>
      </c>
      <c r="N2123" s="1" t="n"/>
    </row>
    <row r="2124">
      <c r="A2124" s="1" t="inlineStr">
        <is>
          <t>93098782175949</t>
        </is>
      </c>
      <c r="B2124" s="1" t="inlineStr">
        <is>
          <t>CANGURERA LV HIGH RISE PM</t>
        </is>
      </c>
      <c r="C2124" s="1" t="n"/>
      <c r="D2124" s="1" t="n"/>
      <c r="E2124" s="1" t="n"/>
      <c r="F2124" s="1" t="n"/>
      <c r="G2124" s="1" t="n"/>
      <c r="H2124" s="1" t="n"/>
      <c r="I2124" s="1" t="n"/>
      <c r="J2124" s="6" t="n">
        <v>1051.079029</v>
      </c>
      <c r="K2124" s="1" t="n"/>
      <c r="L2124" s="6" t="n">
        <v>1060.184979</v>
      </c>
      <c r="M2124" s="1" t="n"/>
      <c r="N2124" s="1" t="n"/>
    </row>
    <row r="2125">
      <c r="A2125" s="1" t="inlineStr">
        <is>
          <t>93098782243181</t>
        </is>
      </c>
      <c r="B2125" s="1" t="inlineStr">
        <is>
          <t>BOLSO LV ALMA BB BLACK</t>
        </is>
      </c>
      <c r="C2125" s="1" t="n"/>
      <c r="D2125" s="1" t="n"/>
      <c r="E2125" s="1" t="n"/>
      <c r="F2125" s="1" t="n"/>
      <c r="G2125" s="1" t="n"/>
      <c r="H2125" s="1" t="n"/>
      <c r="I2125" s="1" t="n"/>
      <c r="J2125" s="6" t="n">
        <v>1235.017859</v>
      </c>
      <c r="K2125" s="1" t="n"/>
      <c r="L2125" s="6" t="n">
        <v>1245.717351</v>
      </c>
      <c r="M2125" s="1" t="n"/>
      <c r="N2125" s="1" t="n"/>
    </row>
    <row r="2126">
      <c r="A2126" s="1" t="inlineStr">
        <is>
          <t>93098782381037</t>
        </is>
      </c>
      <c r="B2126" s="1" t="inlineStr">
        <is>
          <t>BOLSO LV LOW KEY HOBO</t>
        </is>
      </c>
      <c r="C2126" s="1" t="n"/>
      <c r="D2126" s="1" t="n"/>
      <c r="E2126" s="1" t="n"/>
      <c r="F2126" s="1" t="n"/>
      <c r="G2126" s="1" t="n"/>
      <c r="H2126" s="1" t="n"/>
      <c r="I2126" s="1" t="n"/>
      <c r="J2126" s="6" t="n">
        <v>1418.956689</v>
      </c>
      <c r="K2126" s="1" t="n"/>
      <c r="L2126" s="6" t="n">
        <v>1431.249722</v>
      </c>
      <c r="M2126" s="1" t="n"/>
      <c r="N2126" s="1" t="n"/>
    </row>
    <row r="2127">
      <c r="A2127" s="1" t="inlineStr">
        <is>
          <t>93098782449965</t>
        </is>
      </c>
      <c r="B2127" s="1" t="inlineStr">
        <is>
          <t>GORRA LV MY PARIS</t>
        </is>
      </c>
      <c r="C2127" s="1" t="n"/>
      <c r="D2127" s="1" t="n"/>
      <c r="E2127" s="1" t="n"/>
      <c r="F2127" s="1" t="n"/>
      <c r="G2127" s="1" t="n"/>
      <c r="H2127" s="1" t="n"/>
      <c r="I2127" s="1" t="n"/>
      <c r="J2127" s="6" t="n">
        <v>525.5395145</v>
      </c>
      <c r="K2127" s="6" t="n">
        <v>512.1755667</v>
      </c>
      <c r="L2127" s="6" t="n">
        <v>530.0924897</v>
      </c>
      <c r="M2127" s="1" t="n"/>
      <c r="N2127" s="1" t="n"/>
    </row>
    <row r="2128">
      <c r="A2128" s="1" t="inlineStr">
        <is>
          <t>93098782555053</t>
        </is>
      </c>
      <c r="B2128" s="1" t="inlineStr">
        <is>
          <t>CINTO LV REVERSIBLE MINI</t>
        </is>
      </c>
      <c r="C2128" s="1" t="n"/>
      <c r="D2128" s="1" t="n"/>
      <c r="E2128" s="1" t="n"/>
      <c r="F2128" s="1" t="n"/>
      <c r="G2128" s="1" t="n"/>
      <c r="H2128" s="1" t="n"/>
      <c r="I2128" s="1" t="n"/>
      <c r="J2128" s="6" t="n">
        <v>1182.463908</v>
      </c>
      <c r="K2128" s="1" t="n"/>
      <c r="L2128" s="1" t="n"/>
      <c r="M2128" s="1" t="n"/>
      <c r="N2128" s="1" t="n"/>
    </row>
    <row r="2129">
      <c r="A2129" s="1" t="inlineStr">
        <is>
          <t>93098782656749</t>
        </is>
      </c>
      <c r="B2129" s="1" t="inlineStr">
        <is>
          <t>CINTO LV REVERSIBLE PRETTY</t>
        </is>
      </c>
      <c r="C2129" s="1" t="n"/>
      <c r="D2129" s="1" t="n"/>
      <c r="E2129" s="1" t="n"/>
      <c r="F2129" s="1" t="n"/>
      <c r="G2129" s="1" t="n"/>
      <c r="H2129" s="1" t="n"/>
      <c r="I2129" s="1" t="n"/>
      <c r="J2129" s="6" t="n">
        <v>1182.463908</v>
      </c>
      <c r="K2129" s="1" t="n"/>
      <c r="L2129" s="1" t="n"/>
      <c r="M2129" s="1" t="n"/>
      <c r="N2129" s="1" t="n"/>
    </row>
    <row r="2130">
      <c r="A2130" s="1" t="inlineStr">
        <is>
          <t>93098782758445</t>
        </is>
      </c>
      <c r="B2130" s="1" t="inlineStr">
        <is>
          <t>CINTO LV REVERSIBLE INITIALES</t>
        </is>
      </c>
      <c r="C2130" s="1" t="n"/>
      <c r="D2130" s="1" t="n"/>
      <c r="E2130" s="1" t="n"/>
      <c r="F2130" s="1" t="n"/>
      <c r="G2130" s="1" t="n"/>
      <c r="H2130" s="1" t="n"/>
      <c r="I2130" s="1" t="n"/>
      <c r="J2130" s="6" t="n">
        <v>919.6941503</v>
      </c>
      <c r="K2130" s="1" t="n"/>
      <c r="L2130" s="6" t="n">
        <v>927.6618571</v>
      </c>
      <c r="M2130" s="1" t="n"/>
      <c r="N2130" s="1" t="n"/>
    </row>
    <row r="2131">
      <c r="A2131" s="1" t="inlineStr">
        <is>
          <t>93098782860141</t>
        </is>
      </c>
      <c r="B2131" s="1" t="inlineStr">
        <is>
          <t>CINTO LV SKYLINE BLACK</t>
        </is>
      </c>
      <c r="C2131" s="1" t="n"/>
      <c r="D2131" s="1" t="n"/>
      <c r="E2131" s="1" t="n"/>
      <c r="F2131" s="1" t="n"/>
      <c r="G2131" s="1" t="n"/>
      <c r="H2131" s="1" t="n"/>
      <c r="I2131" s="1" t="n"/>
      <c r="J2131" s="6" t="n">
        <v>919.6941503</v>
      </c>
      <c r="K2131" s="1" t="n"/>
      <c r="L2131" s="1" t="n"/>
      <c r="M2131" s="1" t="n"/>
      <c r="N2131" s="1" t="n"/>
    </row>
    <row r="2132">
      <c r="A2132" s="1" t="inlineStr">
        <is>
          <t>93098782959597</t>
        </is>
      </c>
      <c r="B2132" s="1" t="inlineStr">
        <is>
          <t>CINTO LV PONT NEUF BLACK</t>
        </is>
      </c>
      <c r="C2132" s="1" t="n"/>
      <c r="D2132" s="1" t="n"/>
      <c r="E2132" s="1" t="n"/>
      <c r="F2132" s="1" t="n"/>
      <c r="G2132" s="1" t="n"/>
      <c r="H2132" s="1" t="n"/>
      <c r="I2132" s="1" t="n"/>
      <c r="J2132" s="6" t="n">
        <v>919.6941503</v>
      </c>
      <c r="K2132" s="1" t="n"/>
      <c r="L2132" s="1" t="n"/>
      <c r="M2132" s="1" t="n"/>
      <c r="N2132" s="1" t="n"/>
    </row>
    <row r="2133">
      <c r="A2133" s="1" t="inlineStr">
        <is>
          <t>93098783094061</t>
        </is>
      </c>
      <c r="B2133" s="1" t="inlineStr">
        <is>
          <t>BOLSO LV POCHETTE FELICIE</t>
        </is>
      </c>
      <c r="C2133" s="1" t="n"/>
      <c r="D2133" s="1" t="n"/>
      <c r="E2133" s="1" t="n"/>
      <c r="F2133" s="1" t="n"/>
      <c r="G2133" s="1" t="n"/>
      <c r="H2133" s="1" t="n"/>
      <c r="I2133" s="1" t="n"/>
      <c r="J2133" s="6" t="n">
        <v>551.8164902</v>
      </c>
      <c r="K2133" s="6" t="n">
        <v>537.7843451</v>
      </c>
      <c r="L2133" s="6" t="n">
        <v>556.5971142</v>
      </c>
      <c r="M2133" s="1" t="n"/>
      <c r="N2133" s="1" t="n"/>
    </row>
    <row r="2134">
      <c r="A2134" s="1" t="inlineStr">
        <is>
          <t>93098783161293</t>
        </is>
      </c>
      <c r="B2134" s="1" t="inlineStr">
        <is>
          <t>BOLSO LV POCHETTE HILLS</t>
        </is>
      </c>
      <c r="C2134" s="1" t="n"/>
      <c r="D2134" s="1" t="n"/>
      <c r="E2134" s="1" t="n"/>
      <c r="F2134" s="1" t="n"/>
      <c r="G2134" s="1" t="n"/>
      <c r="H2134" s="1" t="n"/>
      <c r="I2134" s="1" t="n"/>
      <c r="J2134" s="6" t="n">
        <v>1077.356005</v>
      </c>
      <c r="K2134" s="1" t="n"/>
      <c r="L2134" s="6" t="n">
        <v>1086.689604</v>
      </c>
      <c r="M2134" s="1" t="n"/>
      <c r="N2134" s="1" t="n"/>
    </row>
    <row r="2135">
      <c r="A2135" s="1" t="inlineStr">
        <is>
          <t>93098783231917</t>
        </is>
      </c>
      <c r="B2135" s="1" t="inlineStr">
        <is>
          <t>MONEDERO LV ROSALIE BLACK</t>
        </is>
      </c>
      <c r="C2135" s="1" t="n"/>
      <c r="D2135" s="1" t="n"/>
      <c r="E2135" s="1" t="n"/>
      <c r="F2135" s="1" t="n"/>
      <c r="G2135" s="1" t="n"/>
      <c r="H2135" s="1" t="n"/>
      <c r="I2135" s="1" t="n"/>
      <c r="J2135" s="6" t="n">
        <v>446.7085873</v>
      </c>
      <c r="K2135" s="1" t="n"/>
      <c r="L2135" s="6" t="n">
        <v>450.5786163</v>
      </c>
      <c r="M2135" s="1" t="n"/>
      <c r="N2135" s="1" t="n"/>
    </row>
    <row r="2136">
      <c r="A2136" s="1" t="inlineStr">
        <is>
          <t>93098783399149</t>
        </is>
      </c>
      <c r="B2136" s="1" t="inlineStr">
        <is>
          <t>CARTERA LV ZIPPY CLIP</t>
        </is>
      </c>
      <c r="C2136" s="1" t="n"/>
      <c r="D2136" s="1" t="n"/>
      <c r="E2136" s="1" t="n"/>
      <c r="F2136" s="1" t="n"/>
      <c r="G2136" s="1" t="n"/>
      <c r="H2136" s="1" t="n"/>
      <c r="I2136" s="1" t="n"/>
      <c r="J2136" s="6" t="n">
        <v>367.8776601</v>
      </c>
      <c r="K2136" s="1" t="n"/>
      <c r="L2136" s="6" t="n">
        <v>371.0647428</v>
      </c>
      <c r="M2136" s="1" t="n"/>
      <c r="N2136" s="1" t="n"/>
    </row>
    <row r="2137">
      <c r="A2137" s="1" t="inlineStr">
        <is>
          <t>93098783400845</t>
        </is>
      </c>
      <c r="B2137" s="1" t="inlineStr">
        <is>
          <t>MONEDERO LV ZIPPY</t>
        </is>
      </c>
      <c r="C2137" s="1" t="n"/>
      <c r="D2137" s="1" t="n"/>
      <c r="E2137" s="1" t="n"/>
      <c r="F2137" s="1" t="n"/>
      <c r="G2137" s="1" t="n"/>
      <c r="H2137" s="1" t="n"/>
      <c r="I2137" s="1" t="n"/>
      <c r="J2137" s="6" t="n">
        <v>367.8776601</v>
      </c>
      <c r="K2137" s="1" t="n"/>
      <c r="L2137" s="1" t="n"/>
      <c r="M2137" s="1" t="n"/>
      <c r="N2137" s="1" t="n"/>
    </row>
    <row r="2138">
      <c r="A2138" s="1" t="inlineStr">
        <is>
          <t>93378831084685</t>
        </is>
      </c>
      <c r="B2138" s="1" t="inlineStr">
        <is>
          <t>BALLERINAS CC BEIGE BLACK</t>
        </is>
      </c>
      <c r="C2138" s="1" t="n"/>
      <c r="D2138" s="1" t="n"/>
      <c r="E2138" s="6" t="n">
        <v>1364.006012</v>
      </c>
      <c r="F2138" s="1" t="n"/>
      <c r="G2138" s="1" t="n"/>
      <c r="H2138" s="6" t="n">
        <v>1431.737965</v>
      </c>
      <c r="I2138" s="1" t="n"/>
      <c r="J2138" s="1" t="n"/>
      <c r="K2138" s="1" t="n"/>
      <c r="L2138" s="6" t="n">
        <v>1457.754347</v>
      </c>
      <c r="M2138" s="1" t="n"/>
      <c r="N2138" s="1" t="n"/>
    </row>
    <row r="2139">
      <c r="A2139" s="1" t="inlineStr">
        <is>
          <t>93378841117453</t>
        </is>
      </c>
      <c r="B2139" s="1" t="inlineStr">
        <is>
          <t>BALLERINAS CC BEIGE BLACK</t>
        </is>
      </c>
      <c r="C2139" s="1" t="n"/>
      <c r="D2139" s="1" t="n"/>
      <c r="E2139" s="6" t="n">
        <v>1364.006012</v>
      </c>
      <c r="F2139" s="1" t="n"/>
      <c r="G2139" s="1" t="n"/>
      <c r="H2139" s="6" t="n">
        <v>1431.737965</v>
      </c>
      <c r="I2139" s="1" t="n"/>
      <c r="J2139" s="1" t="n"/>
      <c r="K2139" s="6" t="n">
        <v>1408.482808</v>
      </c>
      <c r="L2139" s="1" t="n"/>
      <c r="M2139" s="1" t="n"/>
      <c r="N2139" s="1" t="n"/>
    </row>
    <row r="2140">
      <c r="A2140" s="1" t="inlineStr">
        <is>
          <t>93378841221933</t>
        </is>
      </c>
      <c r="B2140" s="1" t="inlineStr">
        <is>
          <t>BALLERINAS LV BROWN CON INSIGNIAS</t>
        </is>
      </c>
      <c r="C2140" s="1" t="n"/>
      <c r="D2140" s="1" t="n"/>
      <c r="E2140" s="1" t="n"/>
      <c r="F2140" s="1" t="n"/>
      <c r="G2140" s="1" t="n"/>
      <c r="H2140" s="6" t="n">
        <v>1770.148757</v>
      </c>
      <c r="I2140" s="1" t="n"/>
      <c r="J2140" s="1" t="n"/>
      <c r="K2140" s="1" t="n"/>
      <c r="L2140" s="1" t="n"/>
      <c r="M2140" s="6" t="n">
        <v>1666.777679</v>
      </c>
      <c r="N2140" s="1" t="n"/>
    </row>
    <row r="2141">
      <c r="A2141" s="1" t="inlineStr">
        <is>
          <t>93378841354701</t>
        </is>
      </c>
      <c r="B2141" s="1" t="inlineStr">
        <is>
          <t>BALLERINAS LV BROWN CON INSIGNIAS</t>
        </is>
      </c>
      <c r="C2141" s="1" t="n"/>
      <c r="D2141" s="1" t="n"/>
      <c r="E2141" s="6" t="n">
        <v>1686.407433</v>
      </c>
      <c r="F2141" s="1" t="n"/>
      <c r="G2141" s="1" t="n"/>
      <c r="H2141" s="6" t="n">
        <v>1770.148757</v>
      </c>
      <c r="I2141" s="1" t="n"/>
      <c r="J2141" s="1" t="n"/>
      <c r="K2141" s="1" t="n"/>
      <c r="L2141" s="1" t="n"/>
      <c r="M2141" s="6" t="n">
        <v>1666.777679</v>
      </c>
      <c r="N2141" s="1" t="n"/>
    </row>
    <row r="2142">
      <c r="A2142" s="1" t="inlineStr">
        <is>
          <t>93378841495885</t>
        </is>
      </c>
      <c r="B2142" s="1" t="inlineStr">
        <is>
          <t>BALLERINAS MM BLACK CON ZIRCONIAS</t>
        </is>
      </c>
      <c r="C2142" s="1" t="n"/>
      <c r="D2142" s="1" t="n"/>
      <c r="E2142" s="6" t="n">
        <v>1785.60787</v>
      </c>
      <c r="F2142" s="1" t="n"/>
      <c r="G2142" s="1" t="n"/>
      <c r="H2142" s="1" t="n"/>
      <c r="I2142" s="1" t="n"/>
      <c r="J2142" s="1" t="n"/>
      <c r="K2142" s="1" t="n"/>
      <c r="L2142" s="1" t="n"/>
      <c r="M2142" s="1" t="n"/>
      <c r="N2142" s="1" t="n"/>
    </row>
    <row r="2143">
      <c r="A2143" s="1" t="inlineStr">
        <is>
          <t>93378841508909</t>
        </is>
      </c>
      <c r="B2143" s="1" t="inlineStr">
        <is>
          <t>BALLERINAS PR BLACK CON LOGO</t>
        </is>
      </c>
      <c r="C2143" s="1" t="n"/>
      <c r="D2143" s="1" t="n"/>
      <c r="E2143" s="6" t="n">
        <v>1438.40634</v>
      </c>
      <c r="F2143" s="1" t="n"/>
      <c r="G2143" s="1" t="n"/>
      <c r="H2143" s="6" t="n">
        <v>1509.832763</v>
      </c>
      <c r="I2143" s="1" t="n"/>
      <c r="J2143" s="1" t="n"/>
      <c r="K2143" s="1" t="n"/>
      <c r="L2143" s="1" t="n"/>
      <c r="M2143" s="1" t="n"/>
      <c r="N2143" s="1" t="n"/>
    </row>
    <row r="2144">
      <c r="A2144" s="1" t="inlineStr">
        <is>
          <t>93378841641677</t>
        </is>
      </c>
      <c r="B2144" s="1" t="inlineStr">
        <is>
          <t>BALLERINAS PR BLACK CON LOGO</t>
        </is>
      </c>
      <c r="C2144" s="1" t="n"/>
      <c r="D2144" s="1" t="n"/>
      <c r="E2144" s="6" t="n">
        <v>1438.40634</v>
      </c>
      <c r="F2144" s="1" t="n"/>
      <c r="G2144" s="1" t="n"/>
      <c r="H2144" s="6" t="n">
        <v>1509.832763</v>
      </c>
      <c r="I2144" s="1" t="n"/>
      <c r="J2144" s="1" t="n"/>
      <c r="K2144" s="6" t="n">
        <v>1485.309144</v>
      </c>
      <c r="L2144" s="1" t="n"/>
      <c r="M2144" s="1" t="n"/>
      <c r="N2144" s="1" t="n"/>
    </row>
    <row r="2145">
      <c r="A2145" s="1" t="inlineStr">
        <is>
          <t>93794531066669</t>
        </is>
      </c>
      <c r="B2145" s="1" t="inlineStr">
        <is>
          <t>LENTES CD M1U</t>
        </is>
      </c>
      <c r="C2145" s="1" t="n"/>
      <c r="D2145" s="1" t="n"/>
      <c r="E2145" s="1" t="n"/>
      <c r="F2145" s="1" t="n"/>
      <c r="G2145" s="1" t="n"/>
      <c r="H2145" s="1" t="n"/>
      <c r="I2145" s="1" t="n"/>
      <c r="J2145" s="6" t="n">
        <v>840.8632231</v>
      </c>
      <c r="K2145" s="6" t="n">
        <v>819.4809068</v>
      </c>
      <c r="L2145" s="1" t="n"/>
      <c r="M2145" s="1" t="n"/>
      <c r="N2145" s="1" t="n"/>
    </row>
    <row r="2146">
      <c r="A2146" s="1" t="inlineStr">
        <is>
          <t>93794531735053</t>
        </is>
      </c>
      <c r="B2146" s="1" t="inlineStr">
        <is>
          <t>CARTERA PR SAFFIANO</t>
        </is>
      </c>
      <c r="C2146" s="1" t="n"/>
      <c r="D2146" s="1" t="n"/>
      <c r="E2146" s="1" t="n"/>
      <c r="F2146" s="1" t="n"/>
      <c r="G2146" s="1" t="n"/>
      <c r="H2146" s="1" t="n"/>
      <c r="I2146" s="1" t="n"/>
      <c r="J2146" s="6" t="n">
        <v>499.2625387</v>
      </c>
      <c r="K2146" s="1" t="n"/>
      <c r="L2146" s="1" t="n"/>
      <c r="M2146" s="6" t="n">
        <v>465.7172926</v>
      </c>
      <c r="N2146" s="1" t="n"/>
    </row>
    <row r="2147">
      <c r="A2147" s="1" t="inlineStr">
        <is>
          <t>94122711058029</t>
        </is>
      </c>
      <c r="B2147" s="1" t="inlineStr">
        <is>
          <t>ANILLO BV ZERO 1 SILVER</t>
        </is>
      </c>
      <c r="C2147" s="1" t="n"/>
      <c r="D2147" s="6" t="n">
        <v>147.6782004</v>
      </c>
      <c r="E2147" s="1" t="n"/>
      <c r="F2147" s="1" t="n"/>
      <c r="G2147" s="1" t="n"/>
      <c r="H2147" s="1" t="n"/>
      <c r="I2147" s="1" t="n"/>
      <c r="J2147" s="6" t="n">
        <v>127.8233773</v>
      </c>
      <c r="K2147" s="1" t="n"/>
      <c r="L2147" s="1" t="n"/>
      <c r="M2147" s="1" t="n"/>
      <c r="N2147" s="1" t="n"/>
    </row>
    <row r="2148">
      <c r="A2148" s="1" t="inlineStr">
        <is>
          <t>94122711058030</t>
        </is>
      </c>
      <c r="B2148" s="1" t="inlineStr">
        <is>
          <t>ANILLO BV ZERO 1 SILVER</t>
        </is>
      </c>
      <c r="C2148" s="1" t="n"/>
      <c r="D2148" s="6" t="n">
        <v>126.5813146</v>
      </c>
      <c r="E2148" s="1" t="n"/>
      <c r="F2148" s="1" t="n"/>
      <c r="G2148" s="1" t="n"/>
      <c r="H2148" s="1" t="n"/>
      <c r="I2148" s="1" t="n"/>
      <c r="J2148" s="6" t="n">
        <v>127.8233773</v>
      </c>
      <c r="K2148" s="1" t="n"/>
      <c r="L2148" s="1" t="n"/>
      <c r="M2148" s="1" t="n"/>
      <c r="N2148" s="1" t="n"/>
    </row>
    <row r="2149">
      <c r="A2149" s="1" t="inlineStr">
        <is>
          <t>94122711058031</t>
        </is>
      </c>
      <c r="B2149" s="1" t="inlineStr">
        <is>
          <t>ANILLO BV ZERO 1 SILVER</t>
        </is>
      </c>
      <c r="C2149" s="1" t="n"/>
      <c r="D2149" s="6" t="n">
        <v>126.5813146</v>
      </c>
      <c r="E2149" s="1" t="n"/>
      <c r="F2149" s="1" t="n"/>
      <c r="G2149" s="1" t="n"/>
      <c r="H2149" s="1" t="n"/>
      <c r="I2149" s="6" t="n">
        <v>126.4109764</v>
      </c>
      <c r="J2149" s="1" t="n"/>
      <c r="K2149" s="6" t="n">
        <v>126.1888415</v>
      </c>
      <c r="L2149" s="1" t="n"/>
      <c r="M2149" s="6" t="n">
        <v>126.0876388</v>
      </c>
      <c r="N2149" s="1" t="n"/>
    </row>
    <row r="2150">
      <c r="A2150" s="1" t="inlineStr">
        <is>
          <t>94256261066701</t>
        </is>
      </c>
      <c r="B2150" s="1" t="inlineStr">
        <is>
          <t>ANILLO LV IDYLLE BLOSSOM TRICOLOR</t>
        </is>
      </c>
      <c r="C2150" s="1" t="n"/>
      <c r="D2150" s="6" t="n">
        <v>126.3703458</v>
      </c>
      <c r="E2150" s="1" t="n"/>
      <c r="F2150" s="1" t="n"/>
      <c r="G2150" s="1" t="n"/>
      <c r="H2150" s="6" t="n">
        <v>126.9905026</v>
      </c>
      <c r="I2150" s="1" t="n"/>
      <c r="J2150" s="1" t="n"/>
      <c r="K2150" s="1" t="n"/>
      <c r="L2150" s="6" t="n">
        <v>317.6430747</v>
      </c>
      <c r="M2150" s="1" t="n"/>
      <c r="N2150" s="1" t="n"/>
    </row>
    <row r="2151">
      <c r="A2151" s="1" t="inlineStr">
        <is>
          <t>94350532835596</t>
        </is>
      </c>
      <c r="B2151" s="1" t="inlineStr">
        <is>
          <t>BOLSO YSL CON CADENA NUDE</t>
        </is>
      </c>
      <c r="C2151" s="1" t="n"/>
      <c r="D2151" s="1" t="n"/>
      <c r="E2151" s="6" t="n">
        <v>1289.587432</v>
      </c>
      <c r="F2151" s="1" t="n"/>
      <c r="G2151" s="1" t="n"/>
      <c r="H2151" s="1" t="n"/>
      <c r="I2151" s="1" t="n"/>
      <c r="J2151" s="1" t="n"/>
      <c r="K2151" s="1" t="n"/>
      <c r="L2151" s="1" t="n"/>
      <c r="M2151" s="1" t="n"/>
      <c r="N2151" s="1" t="n"/>
    </row>
    <row r="2152">
      <c r="A2152" s="1" t="inlineStr">
        <is>
          <t>94350543859468</t>
        </is>
      </c>
      <c r="B2152" s="1" t="inlineStr">
        <is>
          <t>BOLSO YSL CHAROL WHITE</t>
        </is>
      </c>
      <c r="C2152" s="1" t="n"/>
      <c r="D2152" s="6" t="n">
        <v>1359.671234</v>
      </c>
      <c r="E2152" s="1" t="n"/>
      <c r="F2152" s="1" t="n"/>
      <c r="G2152" s="1" t="n"/>
      <c r="H2152" s="1" t="n"/>
      <c r="I2152" s="6" t="n">
        <v>1487.385086</v>
      </c>
      <c r="J2152" s="1" t="n"/>
      <c r="K2152" s="1" t="n"/>
      <c r="L2152" s="1" t="n"/>
      <c r="M2152" s="1" t="n"/>
      <c r="N2152" s="1" t="n"/>
    </row>
    <row r="2153">
      <c r="A2153" s="1" t="inlineStr">
        <is>
          <t>94350549840780</t>
        </is>
      </c>
      <c r="B2153" s="1" t="inlineStr">
        <is>
          <t>BOLSO A TIEDIE</t>
        </is>
      </c>
      <c r="C2153" s="1" t="n"/>
      <c r="D2153" s="6" t="n">
        <v>251.178446</v>
      </c>
      <c r="E2153" s="6" t="n">
        <v>248.001093</v>
      </c>
      <c r="F2153" s="1" t="n"/>
      <c r="G2153" s="1" t="n"/>
      <c r="H2153" s="1" t="n"/>
      <c r="I2153" s="1" t="n"/>
      <c r="J2153" s="6" t="n">
        <v>262.7697572</v>
      </c>
      <c r="K2153" s="6" t="n">
        <v>256.0877834</v>
      </c>
      <c r="L2153" s="6" t="n">
        <v>265.0462449</v>
      </c>
      <c r="M2153" s="1" t="n"/>
      <c r="N2153" s="1" t="n"/>
    </row>
    <row r="2154">
      <c r="A2154" s="1" t="inlineStr">
        <is>
          <t>94530225617804</t>
        </is>
      </c>
      <c r="B2154" s="1" t="inlineStr">
        <is>
          <t>ARETES TRIBALES CD</t>
        </is>
      </c>
      <c r="C2154" s="1" t="n"/>
      <c r="D2154" s="6" t="n">
        <v>221.576053</v>
      </c>
      <c r="E2154" s="1" t="n"/>
      <c r="F2154" s="1" t="n"/>
      <c r="G2154" s="1" t="n"/>
      <c r="H2154" s="1" t="n"/>
      <c r="I2154" s="1" t="n"/>
      <c r="J2154" s="1" t="n"/>
      <c r="K2154" s="1" t="n"/>
      <c r="L2154" s="1" t="n"/>
      <c r="M2154" s="1" t="n"/>
      <c r="N2154" s="1" t="n"/>
    </row>
    <row r="2155">
      <c r="A2155" s="1" t="inlineStr">
        <is>
          <t>94663831026189</t>
        </is>
      </c>
      <c r="B2155" s="1" t="inlineStr">
        <is>
          <t>ARETES MM ROSEGOLD</t>
        </is>
      </c>
      <c r="C2155" s="1" t="n"/>
      <c r="D2155" s="6" t="n">
        <v>148.7896974</v>
      </c>
      <c r="E2155" s="1" t="n"/>
      <c r="F2155" s="1" t="n"/>
      <c r="G2155" s="6" t="n">
        <v>146.4201201</v>
      </c>
      <c r="H2155" s="1" t="n"/>
      <c r="I2155" s="1" t="n"/>
      <c r="J2155" s="1" t="n"/>
      <c r="K2155" s="1" t="n"/>
      <c r="L2155" s="6" t="n">
        <v>146.9250671</v>
      </c>
      <c r="M2155" s="1" t="n"/>
      <c r="N2155" s="1" t="n"/>
    </row>
    <row r="2156">
      <c r="A2156" s="1" t="inlineStr">
        <is>
          <t>94758097365260</t>
        </is>
      </c>
      <c r="B2156" s="1" t="inlineStr">
        <is>
          <t>CARTERA G SAINT-MARC GREY</t>
        </is>
      </c>
      <c r="C2156" s="1" t="n"/>
      <c r="D2156" s="6" t="n">
        <v>376.7676691</v>
      </c>
      <c r="E2156" s="6" t="n">
        <v>372.0016396</v>
      </c>
      <c r="F2156" s="1" t="n"/>
      <c r="G2156" s="1" t="n"/>
      <c r="H2156" s="6" t="n">
        <v>390.4739905</v>
      </c>
      <c r="I2156" s="1" t="n"/>
      <c r="J2156" s="6" t="n">
        <v>390.44269</v>
      </c>
      <c r="K2156" s="1" t="n"/>
      <c r="L2156" s="6" t="n">
        <v>397.5693673</v>
      </c>
      <c r="M2156" s="1" t="n"/>
      <c r="N2156" s="1" t="n"/>
    </row>
    <row r="2157">
      <c r="A2157" s="1" t="inlineStr">
        <is>
          <t>94792221051565</t>
        </is>
      </c>
      <c r="B2157" s="1" t="inlineStr">
        <is>
          <t>ARETES BLOSSOM STAR GOLD</t>
        </is>
      </c>
      <c r="C2157" s="1" t="n"/>
      <c r="D2157" s="1" t="n"/>
      <c r="E2157" s="1" t="n"/>
      <c r="F2157" s="1" t="n"/>
      <c r="G2157" s="1" t="n"/>
      <c r="H2157" s="1" t="n"/>
      <c r="I2157" s="6" t="n">
        <v>183.8948834</v>
      </c>
      <c r="J2157" s="1" t="n"/>
      <c r="K2157" s="1" t="n"/>
      <c r="L2157" s="6" t="n">
        <v>180.2071058</v>
      </c>
      <c r="M2157" s="1" t="n"/>
      <c r="N2157" s="1" t="n"/>
    </row>
    <row r="2158">
      <c r="A2158" s="1" t="inlineStr">
        <is>
          <t>94956734303628</t>
        </is>
      </c>
      <c r="B2158" s="1" t="inlineStr">
        <is>
          <t>MONEDERO LV</t>
        </is>
      </c>
      <c r="C2158" s="1" t="n"/>
      <c r="D2158" s="1" t="n"/>
      <c r="E2158" s="1" t="n"/>
      <c r="F2158" s="1" t="n"/>
      <c r="G2158" s="1" t="n"/>
      <c r="H2158" s="1" t="n"/>
      <c r="I2158" s="6" t="n">
        <v>347.3781476</v>
      </c>
      <c r="J2158" s="1" t="n"/>
      <c r="K2158" s="6" t="n">
        <v>351.5760657</v>
      </c>
      <c r="L2158" s="1" t="n"/>
      <c r="M2158" s="1" t="n"/>
      <c r="N2158" s="1" t="n"/>
    </row>
    <row r="2159">
      <c r="A2159" s="1" t="inlineStr">
        <is>
          <t>94956736687244</t>
        </is>
      </c>
      <c r="B2159" s="1" t="inlineStr">
        <is>
          <t>BOLSA MINI POCHETTE LV</t>
        </is>
      </c>
      <c r="C2159" s="1" t="n"/>
      <c r="D2159" s="1" t="n"/>
      <c r="E2159" s="1" t="n"/>
      <c r="F2159" s="1" t="n"/>
      <c r="G2159" s="1" t="n"/>
      <c r="H2159" s="1" t="n"/>
      <c r="I2159" s="6" t="n">
        <v>587.8707114</v>
      </c>
      <c r="J2159" s="1" t="n"/>
      <c r="K2159" s="6" t="n">
        <v>594.9748805</v>
      </c>
      <c r="L2159" s="1" t="n"/>
      <c r="M2159" s="1" t="n"/>
      <c r="N2159" s="1" t="n"/>
    </row>
    <row r="2160">
      <c r="A2160" s="1" t="inlineStr">
        <is>
          <t>95383471436684</t>
        </is>
      </c>
      <c r="B2160" s="1" t="inlineStr">
        <is>
          <t>HOODIE C BLACK</t>
        </is>
      </c>
      <c r="C2160" s="1" t="n"/>
      <c r="D2160" s="1" t="n"/>
      <c r="E2160" s="6" t="n">
        <v>756.9317538</v>
      </c>
      <c r="F2160" s="1" t="n"/>
      <c r="G2160" s="1" t="n"/>
      <c r="H2160" s="1" t="n"/>
      <c r="I2160" s="1" t="n"/>
      <c r="J2160" s="1" t="n"/>
      <c r="K2160" s="1" t="n"/>
      <c r="L2160" s="1" t="n"/>
      <c r="M2160" s="1" t="n"/>
      <c r="N2160" s="1" t="n"/>
    </row>
    <row r="2161">
      <c r="A2161" s="1" t="inlineStr">
        <is>
          <t>95510921069549</t>
        </is>
      </c>
      <c r="B2161" s="1" t="inlineStr">
        <is>
          <t>PERFUME YSL BLACK OPIUM OVER RED</t>
        </is>
      </c>
      <c r="C2161" s="1" t="n"/>
      <c r="D2161" s="1" t="n"/>
      <c r="E2161" s="1" t="n"/>
      <c r="F2161" s="1" t="n"/>
      <c r="G2161" s="1" t="n"/>
      <c r="H2161" s="1" t="n"/>
      <c r="I2161" s="1" t="n"/>
      <c r="J2161" s="1" t="n"/>
      <c r="K2161" s="6" t="n">
        <v>460.9580101</v>
      </c>
      <c r="L2161" s="1" t="n"/>
      <c r="M2161" s="1" t="n"/>
      <c r="N2161" s="1" t="n"/>
    </row>
    <row r="2162">
      <c r="A2162" s="1" t="inlineStr">
        <is>
          <t>95510921204013</t>
        </is>
      </c>
      <c r="B2162" s="1" t="inlineStr">
        <is>
          <t>PERFUME CD HOMME INTENSE</t>
        </is>
      </c>
      <c r="C2162" s="1" t="n"/>
      <c r="D2162" s="1" t="n"/>
      <c r="E2162" s="1" t="n"/>
      <c r="F2162" s="1" t="n"/>
      <c r="G2162" s="1" t="n"/>
      <c r="H2162" s="1" t="n"/>
      <c r="I2162" s="1" t="n"/>
      <c r="J2162" s="1" t="n"/>
      <c r="K2162" s="6" t="n">
        <v>460.9580101</v>
      </c>
      <c r="L2162" s="1" t="n"/>
      <c r="M2162" s="1" t="n"/>
      <c r="N2162" s="1" t="n"/>
    </row>
    <row r="2163">
      <c r="A2163" s="1" t="inlineStr">
        <is>
          <t>95510921488205</t>
        </is>
      </c>
      <c r="B2163" s="1" t="inlineStr">
        <is>
          <t>PERFUME JEAN PAUL LE MALE</t>
        </is>
      </c>
      <c r="C2163" s="1" t="n"/>
      <c r="D2163" s="1" t="n"/>
      <c r="E2163" s="1" t="n"/>
      <c r="F2163" s="1" t="n"/>
      <c r="G2163" s="1" t="n"/>
      <c r="H2163" s="1" t="n"/>
      <c r="I2163" s="1" t="n"/>
      <c r="J2163" s="1" t="n"/>
      <c r="K2163" s="6" t="n">
        <v>460.9580101</v>
      </c>
      <c r="L2163" s="1" t="n"/>
      <c r="M2163" s="1" t="n"/>
      <c r="N2163" s="1" t="n"/>
    </row>
    <row r="2164">
      <c r="A2164" s="1" t="inlineStr">
        <is>
          <t>95510921532845</t>
        </is>
      </c>
      <c r="B2164" s="1" t="inlineStr">
        <is>
          <t>PERFUME CD HYPNOTIC POISON</t>
        </is>
      </c>
      <c r="C2164" s="1" t="n"/>
      <c r="D2164" s="1" t="n"/>
      <c r="E2164" s="1" t="n"/>
      <c r="F2164" s="1" t="n"/>
      <c r="G2164" s="1" t="n"/>
      <c r="H2164" s="1" t="n"/>
      <c r="I2164" s="1" t="n"/>
      <c r="J2164" s="1" t="n"/>
      <c r="K2164" s="6" t="n">
        <v>460.9580101</v>
      </c>
      <c r="L2164" s="1" t="n"/>
      <c r="M2164" s="6" t="n">
        <v>441.2058562</v>
      </c>
      <c r="N2164" s="1" t="n"/>
    </row>
    <row r="2165">
      <c r="A2165" s="1" t="inlineStr">
        <is>
          <t>95510922056045</t>
        </is>
      </c>
      <c r="B2165" s="1" t="inlineStr">
        <is>
          <t>PERFUME YSL MYSLF</t>
        </is>
      </c>
      <c r="C2165" s="1" t="n"/>
      <c r="D2165" s="1" t="n"/>
      <c r="E2165" s="1" t="n"/>
      <c r="F2165" s="1" t="n"/>
      <c r="G2165" s="1" t="n"/>
      <c r="H2165" s="1" t="n"/>
      <c r="I2165" s="1" t="n"/>
      <c r="J2165" s="1" t="n"/>
      <c r="K2165" s="6" t="n">
        <v>460.9580101</v>
      </c>
      <c r="L2165" s="1" t="n"/>
      <c r="M2165" s="1" t="n"/>
      <c r="N2165" s="1" t="n"/>
    </row>
    <row r="2166">
      <c r="A2166" s="1" t="inlineStr">
        <is>
          <t>95662171066189</t>
        </is>
      </c>
      <c r="B2166" s="1" t="inlineStr">
        <is>
          <t>CARTERA C TRIOMPHE CON SOLAPA</t>
        </is>
      </c>
      <c r="C2166" s="1" t="n"/>
      <c r="D2166" s="1" t="n"/>
      <c r="E2166" s="1" t="n"/>
      <c r="F2166" s="1" t="n"/>
      <c r="G2166" s="1" t="n"/>
      <c r="H2166" s="1" t="n"/>
      <c r="I2166" s="1" t="n"/>
      <c r="J2166" s="1" t="n"/>
      <c r="K2166" s="1" t="n"/>
      <c r="L2166" s="6" t="n">
        <v>583.1017387000001</v>
      </c>
      <c r="M2166" s="1" t="n"/>
      <c r="N2166" s="1" t="n"/>
    </row>
    <row r="2167">
      <c r="A2167" s="1" t="inlineStr">
        <is>
          <t>95854371043949</t>
        </is>
      </c>
      <c r="B2167" s="1" t="inlineStr">
        <is>
          <t>PULSERA GC BLONDIE GOLD</t>
        </is>
      </c>
      <c r="C2167" s="1" t="n"/>
      <c r="D2167" s="1" t="n"/>
      <c r="E2167" s="1" t="n"/>
      <c r="F2167" s="1" t="n"/>
      <c r="G2167" s="1" t="n"/>
      <c r="H2167" s="1" t="n"/>
      <c r="I2167" s="1" t="n"/>
      <c r="J2167" s="1" t="n"/>
      <c r="K2167" s="6" t="n">
        <v>126.1888415</v>
      </c>
      <c r="L2167" s="1" t="n"/>
      <c r="M2167" s="1" t="n"/>
      <c r="N2167" s="1" t="n"/>
    </row>
    <row r="2168">
      <c r="A2168" s="1" t="inlineStr">
        <is>
          <t>95854381181805</t>
        </is>
      </c>
      <c r="B2168" s="1" t="inlineStr">
        <is>
          <t>ANILLO VF PERLEE CLOVERS</t>
        </is>
      </c>
      <c r="C2168" s="1" t="n"/>
      <c r="D2168" s="1" t="n"/>
      <c r="E2168" s="1" t="n"/>
      <c r="F2168" s="1" t="n"/>
      <c r="G2168" s="1" t="n"/>
      <c r="H2168" s="1" t="n"/>
      <c r="I2168" s="1" t="n"/>
      <c r="J2168" s="1" t="n"/>
      <c r="K2168" s="6" t="n">
        <v>147.0100004</v>
      </c>
      <c r="L2168" s="1" t="n"/>
      <c r="M2168" s="1" t="n"/>
      <c r="N2168" s="1" t="n"/>
    </row>
    <row r="2169">
      <c r="A2169" s="1" t="inlineStr">
        <is>
          <t>95854381283501</t>
        </is>
      </c>
      <c r="B2169" s="1" t="inlineStr">
        <is>
          <t>ANILLO VF 1FLOR</t>
        </is>
      </c>
      <c r="C2169" s="1" t="n"/>
      <c r="D2169" s="1" t="n"/>
      <c r="E2169" s="1" t="n"/>
      <c r="F2169" s="1" t="n"/>
      <c r="G2169" s="1" t="n"/>
      <c r="H2169" s="1" t="n"/>
      <c r="I2169" s="1" t="n"/>
      <c r="J2169" s="1" t="n"/>
      <c r="K2169" s="6" t="n">
        <v>147.0100004</v>
      </c>
      <c r="L2169" s="1" t="n"/>
      <c r="M2169" s="1" t="n"/>
      <c r="N2169" s="1" t="n"/>
    </row>
    <row r="2170">
      <c r="A2170" s="1" t="inlineStr">
        <is>
          <t>95854381352429</t>
        </is>
      </c>
      <c r="B2170" s="1" t="inlineStr">
        <is>
          <t>ANILLO VF VINTAGE ALHAMBRA</t>
        </is>
      </c>
      <c r="C2170" s="1" t="n"/>
      <c r="D2170" s="1" t="n"/>
      <c r="E2170" s="1" t="n"/>
      <c r="F2170" s="1" t="n"/>
      <c r="G2170" s="1" t="n"/>
      <c r="H2170" s="1" t="n"/>
      <c r="I2170" s="1" t="n"/>
      <c r="J2170" s="1" t="n"/>
      <c r="K2170" s="6" t="n">
        <v>125.9785268</v>
      </c>
      <c r="L2170" s="1" t="n"/>
      <c r="M2170" s="1" t="n"/>
      <c r="N2170" s="1" t="n"/>
    </row>
    <row r="2171">
      <c r="A2171" s="1" t="inlineStr">
        <is>
          <t>95854381428141</t>
        </is>
      </c>
      <c r="B2171" s="1" t="inlineStr">
        <is>
          <t>PULSERA VF FRIVOLE</t>
        </is>
      </c>
      <c r="C2171" s="1" t="n"/>
      <c r="D2171" s="1" t="n"/>
      <c r="E2171" s="1" t="n"/>
      <c r="F2171" s="1" t="n"/>
      <c r="G2171" s="1" t="n"/>
      <c r="H2171" s="1" t="n"/>
      <c r="I2171" s="1" t="n"/>
      <c r="J2171" s="1" t="n"/>
      <c r="K2171" s="6" t="n">
        <v>126.1888415</v>
      </c>
      <c r="L2171" s="1" t="n"/>
      <c r="M2171" s="1" t="n"/>
      <c r="N2171" s="1" t="n"/>
    </row>
    <row r="2172">
      <c r="A2172" s="1" t="inlineStr">
        <is>
          <t>95854381581261</t>
        </is>
      </c>
      <c r="B2172" s="1" t="inlineStr">
        <is>
          <t>PULSERA VF VINTAGE ALHAMBRA</t>
        </is>
      </c>
      <c r="C2172" s="1" t="n"/>
      <c r="D2172" s="1" t="n"/>
      <c r="E2172" s="1" t="n"/>
      <c r="F2172" s="1" t="n"/>
      <c r="G2172" s="1" t="n"/>
      <c r="H2172" s="1" t="n"/>
      <c r="I2172" s="1" t="n"/>
      <c r="J2172" s="1" t="n"/>
      <c r="K2172" s="6" t="n">
        <v>147.2203151</v>
      </c>
      <c r="L2172" s="1" t="n"/>
      <c r="M2172" s="1" t="n"/>
      <c r="N2172" s="1" t="n"/>
    </row>
    <row r="2173">
      <c r="A2173" s="1" t="inlineStr">
        <is>
          <t>95854381684653</t>
        </is>
      </c>
      <c r="B2173" s="1" t="inlineStr">
        <is>
          <t>PULSERA VF LUCKY SPRING SINGLE ROSE GOLD</t>
        </is>
      </c>
      <c r="C2173" s="1" t="n"/>
      <c r="D2173" s="1" t="n"/>
      <c r="E2173" s="1" t="n"/>
      <c r="F2173" s="1" t="n"/>
      <c r="G2173" s="1" t="n"/>
      <c r="H2173" s="1" t="n"/>
      <c r="I2173" s="1" t="n"/>
      <c r="J2173" s="1" t="n"/>
      <c r="K2173" s="6" t="n">
        <v>84.12589436</v>
      </c>
      <c r="L2173" s="1" t="n"/>
      <c r="M2173" s="6" t="n">
        <v>84.05842584</v>
      </c>
      <c r="N2173" s="1" t="n"/>
    </row>
    <row r="2174">
      <c r="A2174" s="1" t="inlineStr">
        <is>
          <t>95854381747949</t>
        </is>
      </c>
      <c r="B2174" s="1" t="inlineStr">
        <is>
          <t>COLLAR VF PERLEE GOLD</t>
        </is>
      </c>
      <c r="C2174" s="1" t="n"/>
      <c r="D2174" s="1" t="n"/>
      <c r="E2174" s="1" t="n"/>
      <c r="F2174" s="1" t="n"/>
      <c r="G2174" s="1" t="n"/>
      <c r="H2174" s="1" t="n"/>
      <c r="I2174" s="1" t="n"/>
      <c r="J2174" s="1" t="n"/>
      <c r="K2174" s="6" t="n">
        <v>136.7045783</v>
      </c>
      <c r="L2174" s="1" t="n"/>
      <c r="M2174" s="1" t="n"/>
      <c r="N2174" s="1" t="n"/>
    </row>
    <row r="2175">
      <c r="A2175" s="1" t="inlineStr">
        <is>
          <t>95854381915181</t>
        </is>
      </c>
      <c r="B2175" s="1" t="inlineStr">
        <is>
          <t>COLLAR VF SWEET HEARTS ROSE GOLD</t>
        </is>
      </c>
      <c r="C2175" s="1" t="n"/>
      <c r="D2175" s="1" t="n"/>
      <c r="E2175" s="1" t="n"/>
      <c r="F2175" s="1" t="n"/>
      <c r="G2175" s="1" t="n"/>
      <c r="H2175" s="1" t="n"/>
      <c r="I2175" s="1" t="n"/>
      <c r="J2175" s="1" t="n"/>
      <c r="K2175" s="6" t="n">
        <v>84.12589436</v>
      </c>
      <c r="L2175" s="1" t="n"/>
      <c r="M2175" s="1" t="n"/>
      <c r="N2175" s="1" t="n"/>
    </row>
    <row r="2176">
      <c r="A2176" s="1" t="inlineStr">
        <is>
          <t>95854382018573</t>
        </is>
      </c>
      <c r="B2176" s="1" t="inlineStr">
        <is>
          <t>COLLAR VF BUTTERFLIES</t>
        </is>
      </c>
      <c r="C2176" s="1" t="n"/>
      <c r="D2176" s="1" t="n"/>
      <c r="E2176" s="1" t="n"/>
      <c r="F2176" s="1" t="n"/>
      <c r="G2176" s="1" t="n"/>
      <c r="H2176" s="1" t="n"/>
      <c r="I2176" s="1" t="n"/>
      <c r="J2176" s="1" t="n"/>
      <c r="K2176" s="6" t="n">
        <v>105.1573679</v>
      </c>
      <c r="L2176" s="1" t="n"/>
      <c r="M2176" s="1" t="n"/>
      <c r="N2176" s="1" t="n"/>
    </row>
    <row r="2177">
      <c r="A2177" s="1" t="inlineStr">
        <is>
          <t>95854382120269</t>
        </is>
      </c>
      <c r="B2177" s="1" t="inlineStr">
        <is>
          <t>COLLAR VF BUTTERFLY SILVER</t>
        </is>
      </c>
      <c r="C2177" s="1" t="n"/>
      <c r="D2177" s="1" t="n"/>
      <c r="E2177" s="1" t="n"/>
      <c r="F2177" s="1" t="n"/>
      <c r="G2177" s="1" t="n"/>
      <c r="H2177" s="1" t="n"/>
      <c r="I2177" s="1" t="n"/>
      <c r="J2177" s="1" t="n"/>
      <c r="K2177" s="6" t="n">
        <v>126.1888415</v>
      </c>
      <c r="L2177" s="1" t="n"/>
      <c r="M2177" s="1" t="n"/>
      <c r="N2177" s="1" t="n"/>
    </row>
    <row r="2178">
      <c r="A2178" s="1" t="inlineStr">
        <is>
          <t>95854382223661</t>
        </is>
      </c>
      <c r="B2178" s="1" t="inlineStr">
        <is>
          <t>COLLAR VF FRIVOLE GOLD</t>
        </is>
      </c>
      <c r="C2178" s="1" t="n"/>
      <c r="D2178" s="1" t="n"/>
      <c r="E2178" s="1" t="n"/>
      <c r="F2178" s="1" t="n"/>
      <c r="G2178" s="1" t="n"/>
      <c r="H2178" s="1" t="n"/>
      <c r="I2178" s="1" t="n"/>
      <c r="J2178" s="1" t="n"/>
      <c r="K2178" s="6" t="n">
        <v>84.12589436</v>
      </c>
      <c r="L2178" s="1" t="n"/>
      <c r="M2178" s="1" t="n"/>
      <c r="N2178" s="1" t="n"/>
    </row>
    <row r="2179">
      <c r="A2179" s="1" t="inlineStr">
        <is>
          <t>95854382325357</t>
        </is>
      </c>
      <c r="B2179" s="1" t="inlineStr">
        <is>
          <t>COLLAR VF VINTAGE GOLD</t>
        </is>
      </c>
      <c r="C2179" s="1" t="n"/>
      <c r="D2179" s="1" t="n"/>
      <c r="E2179" s="1" t="n"/>
      <c r="F2179" s="1" t="n"/>
      <c r="G2179" s="1" t="n"/>
      <c r="H2179" s="1" t="n"/>
      <c r="I2179" s="1" t="n"/>
      <c r="J2179" s="1" t="n"/>
      <c r="K2179" s="6" t="n">
        <v>84.12589436</v>
      </c>
      <c r="L2179" s="1" t="n"/>
      <c r="M2179" s="1" t="n"/>
      <c r="N2179" s="1" t="n"/>
    </row>
    <row r="2180">
      <c r="A2180" s="1" t="inlineStr">
        <is>
          <t>95854382461517</t>
        </is>
      </c>
      <c r="B2180" s="1" t="inlineStr">
        <is>
          <t>ARETES VF BUTTERFLIES</t>
        </is>
      </c>
      <c r="C2180" s="1" t="n"/>
      <c r="D2180" s="1" t="n"/>
      <c r="E2180" s="1" t="n"/>
      <c r="F2180" s="1" t="n"/>
      <c r="G2180" s="1" t="n"/>
      <c r="H2180" s="1" t="n"/>
      <c r="I2180" s="1" t="n"/>
      <c r="J2180" s="1" t="n"/>
      <c r="K2180" s="6" t="n">
        <v>126.1888415</v>
      </c>
      <c r="L2180" s="1" t="n"/>
      <c r="M2180" s="6" t="n">
        <v>126.0876388</v>
      </c>
      <c r="N2180" s="1" t="n"/>
    </row>
    <row r="2181">
      <c r="A2181" s="1" t="inlineStr">
        <is>
          <t>95854382554189</t>
        </is>
      </c>
      <c r="B2181" s="1" t="inlineStr">
        <is>
          <t>ANILLO TRINITY TRICOLOR</t>
        </is>
      </c>
      <c r="C2181" s="1" t="n"/>
      <c r="D2181" s="1" t="n"/>
      <c r="E2181" s="1" t="n"/>
      <c r="F2181" s="1" t="n"/>
      <c r="G2181" s="1" t="n"/>
      <c r="H2181" s="1" t="n"/>
      <c r="I2181" s="1" t="n"/>
      <c r="J2181" s="1" t="n"/>
      <c r="K2181" s="6" t="n">
        <v>157.7360519</v>
      </c>
      <c r="L2181" s="1" t="n"/>
      <c r="M2181" s="1" t="n"/>
      <c r="N2181" s="1" t="n"/>
    </row>
    <row r="2182">
      <c r="A2182" s="1" t="inlineStr">
        <is>
          <t>96547211050721</t>
        </is>
      </c>
      <c r="B2182" s="1" t="inlineStr">
        <is>
          <t>ANILLO ONE T GOLD</t>
        </is>
      </c>
      <c r="C2182" s="1" t="n"/>
      <c r="D2182" s="1" t="n"/>
      <c r="E2182" s="1" t="n"/>
      <c r="F2182" s="1" t="n"/>
      <c r="G2182" s="1" t="n"/>
      <c r="H2182" s="1" t="n"/>
      <c r="I2182" s="6" t="n">
        <v>84.27398426000001</v>
      </c>
      <c r="J2182" s="1" t="n"/>
      <c r="K2182" s="1" t="n"/>
      <c r="L2182" s="1" t="n"/>
      <c r="M2182" s="6" t="n">
        <v>84.05842584</v>
      </c>
      <c r="N2182" s="1" t="n"/>
    </row>
    <row r="2183">
      <c r="A2183" s="1" t="inlineStr">
        <is>
          <t>96676174592652</t>
        </is>
      </c>
      <c r="B2183" s="1" t="inlineStr">
        <is>
          <t>BOLSO C CLAUDE BLACK</t>
        </is>
      </c>
      <c r="C2183" s="1" t="n"/>
      <c r="D2183" s="1" t="n"/>
      <c r="E2183" s="1" t="n"/>
      <c r="F2183" s="1" t="n"/>
      <c r="G2183" s="1" t="n"/>
      <c r="H2183" s="1" t="n"/>
      <c r="I2183" s="1" t="n"/>
      <c r="J2183" s="1" t="n"/>
      <c r="K2183" s="6" t="n">
        <v>1245.604446</v>
      </c>
      <c r="L2183" s="1" t="n"/>
      <c r="M2183" s="1" t="n"/>
      <c r="N2183" s="1" t="n"/>
    </row>
    <row r="2184">
      <c r="A2184" s="1" t="inlineStr">
        <is>
          <t>97902501045901</t>
        </is>
      </c>
      <c r="B2184" s="1" t="inlineStr">
        <is>
          <t>ANILLO TB GOLD</t>
        </is>
      </c>
      <c r="C2184" s="1" t="n"/>
      <c r="D2184" s="6" t="n">
        <v>69.62412216</v>
      </c>
      <c r="E2184" s="1" t="n"/>
      <c r="F2184" s="1" t="n"/>
      <c r="G2184" s="1" t="n"/>
      <c r="H2184" s="1" t="n"/>
      <c r="I2184" s="1" t="n"/>
      <c r="J2184" s="1" t="n"/>
      <c r="K2184" s="1" t="n"/>
      <c r="L2184" s="1" t="n"/>
      <c r="M2184" s="1" t="n"/>
      <c r="N2184" s="1" t="n"/>
    </row>
    <row r="2185">
      <c r="A2185" s="1" t="inlineStr">
        <is>
          <t>98043701041197</t>
        </is>
      </c>
      <c r="B2185" s="1" t="inlineStr">
        <is>
          <t>PULSERA DE TENNIS ESSENTIAL GOLD</t>
        </is>
      </c>
      <c r="C2185" s="1" t="n"/>
      <c r="D2185" s="1" t="n"/>
      <c r="E2185" s="1" t="n"/>
      <c r="F2185" s="1" t="n"/>
      <c r="G2185" s="1" t="n"/>
      <c r="H2185" s="1" t="n"/>
      <c r="I2185" s="1" t="n"/>
      <c r="J2185" s="6" t="n">
        <v>133.7499307</v>
      </c>
      <c r="K2185" s="1" t="n"/>
      <c r="L2185" s="1" t="n"/>
      <c r="M2185" s="1" t="n"/>
      <c r="N2185" s="1" t="n"/>
    </row>
    <row r="2186">
      <c r="A2186" s="1" t="inlineStr">
        <is>
          <t>98043701173965</t>
        </is>
      </c>
      <c r="B2186" s="1" t="inlineStr">
        <is>
          <t>PULSERA DE TENNIS ESSENTIAL GOLD</t>
        </is>
      </c>
      <c r="C2186" s="1" t="n"/>
      <c r="D2186" s="1" t="n"/>
      <c r="E2186" s="1" t="n"/>
      <c r="F2186" s="1" t="n"/>
      <c r="G2186" s="1" t="n"/>
      <c r="H2186" s="1" t="n"/>
      <c r="I2186" s="1" t="n"/>
      <c r="J2186" s="6" t="n">
        <v>133.7499307</v>
      </c>
      <c r="K2186" s="1" t="n"/>
      <c r="L2186" s="1" t="n"/>
      <c r="M2186" s="1" t="n"/>
      <c r="N2186" s="1" t="n"/>
    </row>
    <row r="2187">
      <c r="A2187" s="1" t="inlineStr">
        <is>
          <t>98043701215213</t>
        </is>
      </c>
      <c r="B2187" s="1" t="inlineStr">
        <is>
          <t>PULSERA DE TENNIS ESSENTIAL SILVER</t>
        </is>
      </c>
      <c r="C2187" s="1" t="n"/>
      <c r="D2187" s="1" t="n"/>
      <c r="E2187" s="1" t="n"/>
      <c r="F2187" s="1" t="n"/>
      <c r="G2187" s="1" t="n"/>
      <c r="H2187" s="1" t="n"/>
      <c r="I2187" s="1" t="n"/>
      <c r="J2187" s="6" t="n">
        <v>131.6013374</v>
      </c>
      <c r="K2187" s="1" t="n"/>
      <c r="L2187" s="6" t="n">
        <v>125.9357718</v>
      </c>
      <c r="M2187" s="1" t="n"/>
      <c r="N2187" s="1" t="n"/>
    </row>
    <row r="2188">
      <c r="A2188" s="1" t="inlineStr">
        <is>
          <t>98043701347981</t>
        </is>
      </c>
      <c r="B2188" s="1" t="inlineStr">
        <is>
          <t>PULSERA DE TENNIS ESSENTIAL SILVER</t>
        </is>
      </c>
      <c r="C2188" s="1" t="n"/>
      <c r="D2188" s="1" t="n"/>
      <c r="E2188" s="1" t="n"/>
      <c r="F2188" s="1" t="n"/>
      <c r="G2188" s="1" t="n"/>
      <c r="H2188" s="1" t="n"/>
      <c r="I2188" s="1" t="n"/>
      <c r="J2188" s="6" t="n">
        <v>133.7499307</v>
      </c>
      <c r="K2188" s="1" t="n"/>
      <c r="L2188" s="1" t="n"/>
      <c r="M2188" s="1" t="n"/>
      <c r="N2188" s="1" t="n"/>
    </row>
    <row r="2189">
      <c r="A2189" s="1" t="inlineStr">
        <is>
          <t>98043701458157</t>
        </is>
      </c>
      <c r="B2189" s="1" t="inlineStr">
        <is>
          <t>BOLSO CD HOBO DIORSTAR</t>
        </is>
      </c>
      <c r="C2189" s="1" t="n"/>
      <c r="D2189" s="1" t="n"/>
      <c r="E2189" s="1" t="n"/>
      <c r="F2189" s="1" t="n"/>
      <c r="G2189" s="1" t="n"/>
      <c r="H2189" s="1" t="n"/>
      <c r="I2189" s="1" t="n"/>
      <c r="J2189" s="6" t="n">
        <v>1799.446858</v>
      </c>
      <c r="K2189" s="1" t="n"/>
      <c r="L2189" s="6" t="n">
        <v>1775.570013</v>
      </c>
      <c r="M2189" s="1" t="n"/>
      <c r="N2189" s="1" t="n"/>
    </row>
    <row r="2190">
      <c r="A2190" s="1" t="inlineStr">
        <is>
          <t>98219285835148</t>
        </is>
      </c>
      <c r="B2190" s="1" t="inlineStr">
        <is>
          <t>MINI BOLSO LV STEAMER</t>
        </is>
      </c>
      <c r="C2190" s="1" t="n"/>
      <c r="D2190" s="6" t="n">
        <v>1130.303007</v>
      </c>
      <c r="E2190" s="6" t="n">
        <v>1116.004919</v>
      </c>
      <c r="F2190" s="1" t="n"/>
      <c r="G2190" s="1" t="n"/>
      <c r="H2190" s="1" t="n"/>
      <c r="I2190" s="1" t="n"/>
      <c r="J2190" s="1" t="n"/>
      <c r="K2190" s="1" t="n"/>
      <c r="L2190" s="1" t="n"/>
      <c r="M2190" s="1" t="n"/>
      <c r="N2190" s="1" t="n"/>
    </row>
    <row r="2191">
      <c r="A2191" s="1" t="inlineStr">
        <is>
          <t>98269341086957</t>
        </is>
      </c>
      <c r="B2191" s="1" t="inlineStr">
        <is>
          <t>CINTO C TRIOMPHE BROWN</t>
        </is>
      </c>
      <c r="C2191" s="1" t="n"/>
      <c r="D2191" s="1" t="n"/>
      <c r="E2191" s="6" t="n">
        <v>209.6145887</v>
      </c>
      <c r="F2191" s="1" t="n"/>
      <c r="G2191" s="1" t="n"/>
      <c r="H2191" s="6" t="n">
        <v>199.4057076</v>
      </c>
      <c r="I2191" s="1" t="n"/>
      <c r="J2191" s="6" t="n">
        <v>214.8593263</v>
      </c>
      <c r="K2191" s="1" t="n"/>
      <c r="L2191" s="6" t="n">
        <v>212.0083598</v>
      </c>
      <c r="M2191" s="1" t="n"/>
      <c r="N2191" s="1" t="n"/>
    </row>
    <row r="2192">
      <c r="A2192" s="1" t="inlineStr">
        <is>
          <t>98269341115213</t>
        </is>
      </c>
      <c r="B2192" s="1" t="inlineStr">
        <is>
          <t>BOLSA CC Nº25 BURDEOS</t>
        </is>
      </c>
      <c r="C2192" s="1" t="n"/>
      <c r="D2192" s="1" t="n"/>
      <c r="E2192" s="6" t="n">
        <v>1729.320357</v>
      </c>
      <c r="F2192" s="1" t="n"/>
      <c r="G2192" s="1" t="n"/>
      <c r="H2192" s="6" t="n">
        <v>1754.770226</v>
      </c>
      <c r="I2192" s="6" t="n">
        <v>1784.862103</v>
      </c>
      <c r="J2192" s="1" t="n"/>
      <c r="K2192" s="1" t="n"/>
      <c r="L2192" s="6" t="n">
        <v>1749.068969</v>
      </c>
      <c r="M2192" s="1" t="n"/>
      <c r="N2192" s="1" t="n"/>
    </row>
    <row r="2193">
      <c r="A2193" s="1" t="inlineStr">
        <is>
          <t>98269341208877</t>
        </is>
      </c>
      <c r="B2193" s="1" t="inlineStr">
        <is>
          <t>BOLSO GC APHRODITE BROWN</t>
        </is>
      </c>
      <c r="C2193" s="1" t="n"/>
      <c r="D2193" s="1" t="n"/>
      <c r="E2193" s="6" t="n">
        <v>1807.925828</v>
      </c>
      <c r="F2193" s="1" t="n"/>
      <c r="G2193" s="1" t="n"/>
      <c r="H2193" s="1" t="n"/>
      <c r="I2193" s="1" t="n"/>
      <c r="J2193" s="1" t="n"/>
      <c r="K2193" s="1" t="n"/>
      <c r="L2193" s="6" t="n">
        <v>1828.572103</v>
      </c>
      <c r="M2193" s="1" t="n"/>
      <c r="N2193" s="1" t="n"/>
    </row>
    <row r="2194">
      <c r="A2194" s="1" t="inlineStr">
        <is>
          <t>98269351344877</t>
        </is>
      </c>
      <c r="B2194" s="1" t="inlineStr">
        <is>
          <t>BOLSO CC MINI KELLY BURDEOS</t>
        </is>
      </c>
      <c r="C2194" s="1" t="n"/>
      <c r="D2194" s="1" t="n"/>
      <c r="E2194" s="6" t="n">
        <v>1388.69665</v>
      </c>
      <c r="F2194" s="1" t="n"/>
      <c r="G2194" s="1" t="n"/>
      <c r="H2194" s="6" t="n">
        <v>1355.958811</v>
      </c>
      <c r="I2194" s="6" t="n">
        <v>1433.298356</v>
      </c>
      <c r="J2194" s="6" t="n">
        <v>1423.443037</v>
      </c>
      <c r="K2194" s="1" t="n"/>
      <c r="L2194" s="6" t="n">
        <v>1404.555384</v>
      </c>
      <c r="M2194" s="1" t="n"/>
      <c r="N2194" s="1" t="n"/>
    </row>
    <row r="2195">
      <c r="A2195" s="1" t="inlineStr">
        <is>
          <t>98269351492173</t>
        </is>
      </c>
      <c r="B2195" s="1" t="inlineStr">
        <is>
          <t>BOLSO C CLAUDE BURDEOS</t>
        </is>
      </c>
      <c r="C2195" s="1" t="n"/>
      <c r="D2195" s="1" t="n"/>
      <c r="E2195" s="6" t="n">
        <v>1283.889356</v>
      </c>
      <c r="F2195" s="1" t="n"/>
      <c r="G2195" s="1" t="n"/>
      <c r="H2195" s="1" t="n"/>
      <c r="I2195" s="1" t="n"/>
      <c r="J2195" s="1" t="n"/>
      <c r="K2195" s="1" t="n"/>
      <c r="L2195" s="6" t="n">
        <v>1298.551204</v>
      </c>
      <c r="M2195" s="1" t="n"/>
      <c r="N2195" s="1" t="n"/>
    </row>
    <row r="2196">
      <c r="A2196" s="1" t="inlineStr">
        <is>
          <t>98269351593261</t>
        </is>
      </c>
      <c r="B2196" s="1" t="inlineStr">
        <is>
          <t>SUETER PR BLACK CON PLACA DEL LOGO</t>
        </is>
      </c>
      <c r="C2196" s="1" t="n"/>
      <c r="D2196" s="1" t="n"/>
      <c r="E2196" s="1" t="n"/>
      <c r="F2196" s="1" t="n"/>
      <c r="G2196" s="1" t="n"/>
      <c r="H2196" s="1" t="n"/>
      <c r="I2196" s="1" t="n"/>
      <c r="J2196" s="6" t="n">
        <v>612.3490801</v>
      </c>
      <c r="K2196" s="1" t="n"/>
      <c r="L2196" s="6" t="n">
        <v>604.2238255</v>
      </c>
      <c r="M2196" s="1" t="n"/>
      <c r="N2196" s="1" t="n"/>
    </row>
    <row r="2197">
      <c r="A2197" s="1" t="inlineStr">
        <is>
          <t>98269351593262</t>
        </is>
      </c>
      <c r="B2197" s="1" t="inlineStr">
        <is>
          <t>SUETER PR BLACK CON PLACA DEL LOGO</t>
        </is>
      </c>
      <c r="C2197" s="1" t="n"/>
      <c r="D2197" s="1" t="n"/>
      <c r="E2197" s="1" t="n"/>
      <c r="F2197" s="1" t="n"/>
      <c r="G2197" s="1" t="n"/>
      <c r="H2197" s="1" t="n"/>
      <c r="I2197" s="1" t="n"/>
      <c r="J2197" s="1" t="n"/>
      <c r="K2197" s="1" t="n"/>
      <c r="L2197" s="6" t="n">
        <v>604.2238255</v>
      </c>
      <c r="M2197" s="1" t="n"/>
      <c r="N2197" s="1" t="n"/>
    </row>
    <row r="2198">
      <c r="A2198" s="1" t="inlineStr">
        <is>
          <t>98946151012205</t>
        </is>
      </c>
      <c r="B2198" s="1" t="inlineStr">
        <is>
          <t>COLLAR CON PASADOR Y PLACA ESTILO CORAZÓN CON ZIRCONIA</t>
        </is>
      </c>
      <c r="C2198" s="1" t="n"/>
      <c r="D2198" s="1" t="n"/>
      <c r="E2198" s="1" t="n"/>
      <c r="F2198" s="1" t="n"/>
      <c r="G2198" s="1" t="n"/>
      <c r="H2198" s="1" t="n"/>
      <c r="I2198" s="1" t="n"/>
      <c r="J2198" s="1" t="n"/>
      <c r="K2198" s="1" t="n"/>
      <c r="L2198" s="1" t="n"/>
      <c r="M2198" s="6" t="n">
        <v>220.6029281</v>
      </c>
      <c r="N2198" s="1" t="n"/>
    </row>
    <row r="2199">
      <c r="A2199" s="1" t="inlineStr">
        <is>
          <t>99045341185485</t>
        </is>
      </c>
      <c r="B2199" s="1" t="inlineStr">
        <is>
          <t>ANILLO TRÉBOL CON ZIRCONIA GOLD VF</t>
        </is>
      </c>
      <c r="C2199" s="1" t="n"/>
      <c r="D2199" s="1" t="n"/>
      <c r="E2199" s="1" t="n"/>
      <c r="F2199" s="1" t="n"/>
      <c r="G2199" s="1" t="n"/>
      <c r="H2199" s="1" t="n"/>
      <c r="I2199" s="1" t="n"/>
      <c r="J2199" s="1" t="n"/>
      <c r="K2199" s="1" t="n"/>
      <c r="L2199" s="1" t="n"/>
      <c r="M2199" s="6" t="n">
        <v>125.8774927</v>
      </c>
      <c r="N2199" s="1" t="n"/>
    </row>
    <row r="2200">
      <c r="A2200" s="1" t="inlineStr">
        <is>
          <t>99507971069997</t>
        </is>
      </c>
      <c r="B2200" s="1" t="inlineStr">
        <is>
          <t>ARETES TRES AROS CON ZIRCONIA</t>
        </is>
      </c>
      <c r="C2200" s="1" t="n"/>
      <c r="D2200" s="1" t="n"/>
      <c r="E2200" s="1" t="n"/>
      <c r="F2200" s="6" t="n">
        <v>231.6654829</v>
      </c>
      <c r="G2200" s="6" t="n">
        <v>188.2544401</v>
      </c>
      <c r="H2200" s="1" t="n"/>
      <c r="I2200" s="1" t="n"/>
      <c r="J2200" s="1" t="n"/>
      <c r="K2200" s="1" t="n"/>
      <c r="L2200" s="1" t="n"/>
      <c r="M2200" s="1" t="n"/>
      <c r="N2200" s="1" t="n"/>
    </row>
    <row r="2201">
      <c r="A2201" s="1" t="inlineStr">
        <is>
          <t>99781781012045</t>
        </is>
      </c>
      <c r="B2201" s="1" t="inlineStr">
        <is>
          <t>CINTO GC DELGADO MARMONT</t>
        </is>
      </c>
      <c r="C2201" s="1" t="n"/>
      <c r="D2201" s="1" t="n"/>
      <c r="E2201" s="1" t="n"/>
      <c r="F2201" s="1" t="n"/>
      <c r="G2201" s="1" t="n"/>
      <c r="H2201" s="1" t="n"/>
      <c r="I2201" s="1" t="n"/>
      <c r="J2201" s="6" t="n">
        <v>1182.463908</v>
      </c>
      <c r="K2201" s="1" t="n"/>
      <c r="L2201" s="6" t="n">
        <v>1192.708102</v>
      </c>
      <c r="M2201" s="1" t="n"/>
      <c r="N2201" s="1" t="n"/>
    </row>
    <row r="2202">
      <c r="A2202" s="1" t="inlineStr">
        <is>
          <t>99781781126317</t>
        </is>
      </c>
      <c r="B2202" s="1" t="inlineStr">
        <is>
          <t>CINTO GC REVERSIBLE HEBILLA</t>
        </is>
      </c>
      <c r="C2202" s="1" t="n"/>
      <c r="D2202" s="1" t="n"/>
      <c r="E2202" s="1" t="n"/>
      <c r="F2202" s="1" t="n"/>
      <c r="G2202" s="1" t="n"/>
      <c r="H2202" s="1" t="n"/>
      <c r="I2202" s="1" t="n"/>
      <c r="J2202" s="6" t="n">
        <v>1182.463908</v>
      </c>
      <c r="K2202" s="1" t="n"/>
      <c r="L2202" s="6" t="n">
        <v>1192.708102</v>
      </c>
      <c r="M2202" s="1" t="n"/>
      <c r="N2202" s="1" t="n"/>
    </row>
    <row r="2203">
      <c r="A2203" s="1" t="inlineStr">
        <is>
          <t>99781781282669</t>
        </is>
      </c>
      <c r="B2203" s="1" t="inlineStr">
        <is>
          <t>CARTERA GC CONTINENTAL BICOLOR</t>
        </is>
      </c>
      <c r="C2203" s="1" t="n"/>
      <c r="D2203" s="1" t="n"/>
      <c r="E2203" s="1" t="n"/>
      <c r="F2203" s="1" t="n"/>
      <c r="G2203" s="1" t="n"/>
      <c r="H2203" s="1" t="n"/>
      <c r="I2203" s="1" t="n"/>
      <c r="J2203" s="6" t="n">
        <v>709.4783445</v>
      </c>
      <c r="K2203" s="6" t="n">
        <v>691.4370151000001</v>
      </c>
      <c r="L2203" s="6" t="n">
        <v>715.6248612000001</v>
      </c>
      <c r="M2203" s="1" t="n"/>
      <c r="N2203" s="1" t="n"/>
    </row>
    <row r="2204">
      <c r="A2204" s="1" t="inlineStr">
        <is>
          <t>99781781384365</t>
        </is>
      </c>
      <c r="B2204" s="1" t="inlineStr">
        <is>
          <t>TARJETERO GC MARMONT</t>
        </is>
      </c>
      <c r="C2204" s="1" t="n"/>
      <c r="D2204" s="1" t="n"/>
      <c r="E2204" s="1" t="n"/>
      <c r="F2204" s="1" t="n"/>
      <c r="G2204" s="1" t="n"/>
      <c r="H2204" s="1" t="n"/>
      <c r="I2204" s="1" t="n"/>
      <c r="J2204" s="6" t="n">
        <v>367.8776601</v>
      </c>
      <c r="K2204" s="1" t="n"/>
      <c r="L2204" s="1" t="n"/>
      <c r="M2204" s="6" t="n">
        <v>343.1601104</v>
      </c>
      <c r="N2204" s="1" t="n"/>
    </row>
    <row r="2205">
      <c r="A2205" s="1" t="inlineStr">
        <is>
          <t>99781781418829</t>
        </is>
      </c>
      <c r="B2205" s="1" t="inlineStr">
        <is>
          <t>CARTERA GC PLEGABLE</t>
        </is>
      </c>
      <c r="C2205" s="1" t="n"/>
      <c r="D2205" s="1" t="n"/>
      <c r="E2205" s="1" t="n"/>
      <c r="F2205" s="1" t="n"/>
      <c r="G2205" s="1" t="n"/>
      <c r="H2205" s="1" t="n"/>
      <c r="I2205" s="1" t="n"/>
      <c r="J2205" s="6" t="n">
        <v>499.2625387</v>
      </c>
      <c r="K2205" s="1" t="n"/>
      <c r="L2205" s="1" t="n"/>
      <c r="M2205" s="1" t="n"/>
      <c r="N2205" s="1" t="n"/>
    </row>
    <row r="2206">
      <c r="A2206" s="1" t="inlineStr">
        <is>
          <t>99781781554989</t>
        </is>
      </c>
      <c r="B2206" s="1" t="inlineStr">
        <is>
          <t>CARTERA GC CADENA OPHIDIA</t>
        </is>
      </c>
      <c r="C2206" s="1" t="n"/>
      <c r="D2206" s="1" t="n"/>
      <c r="E2206" s="1" t="n"/>
      <c r="F2206" s="1" t="n"/>
      <c r="G2206" s="1" t="n"/>
      <c r="H2206" s="1" t="n"/>
      <c r="I2206" s="1" t="n"/>
      <c r="J2206" s="6" t="n">
        <v>709.4783445</v>
      </c>
      <c r="K2206" s="6" t="n">
        <v>691.4370151000001</v>
      </c>
      <c r="L2206" s="6" t="n">
        <v>715.6248612000001</v>
      </c>
      <c r="M2206" s="1" t="n"/>
      <c r="N2206" s="1" t="n"/>
    </row>
    <row r="2207">
      <c r="A2207" s="1" t="inlineStr">
        <is>
          <t>99781781623917</t>
        </is>
      </c>
      <c r="B2207" s="1" t="inlineStr">
        <is>
          <t>TARJETERO GC LEATHER LOGO SILVER</t>
        </is>
      </c>
      <c r="C2207" s="1" t="n"/>
      <c r="D2207" s="1" t="n"/>
      <c r="E2207" s="1" t="n"/>
      <c r="F2207" s="1" t="n"/>
      <c r="G2207" s="1" t="n"/>
      <c r="H2207" s="1" t="n"/>
      <c r="I2207" s="1" t="n"/>
      <c r="J2207" s="6" t="n">
        <v>499.2625387</v>
      </c>
      <c r="K2207" s="1" t="n"/>
      <c r="L2207" s="1" t="n"/>
      <c r="M2207" s="1" t="n"/>
      <c r="N2207" s="1" t="n"/>
    </row>
    <row r="2208">
      <c r="A2208" s="1" t="inlineStr">
        <is>
          <t>99781781725613</t>
        </is>
      </c>
      <c r="B2208" s="1" t="inlineStr">
        <is>
          <t>CARTERA GC LEATHER</t>
        </is>
      </c>
      <c r="C2208" s="1" t="n"/>
      <c r="D2208" s="1" t="n"/>
      <c r="E2208" s="1" t="n"/>
      <c r="F2208" s="1" t="n"/>
      <c r="G2208" s="1" t="n"/>
      <c r="H2208" s="1" t="n"/>
      <c r="I2208" s="1" t="n"/>
      <c r="J2208" s="6" t="n">
        <v>499.2625387</v>
      </c>
      <c r="K2208" s="1" t="n"/>
      <c r="L2208" s="6" t="n">
        <v>503.5878653</v>
      </c>
      <c r="M2208" s="1" t="n"/>
      <c r="N2208" s="1" t="n"/>
    </row>
    <row r="2209">
      <c r="A2209" s="1" t="inlineStr">
        <is>
          <t>99781781861773</t>
        </is>
      </c>
      <c r="B2209" s="1" t="inlineStr">
        <is>
          <t>TARJETERO GC EBANO</t>
        </is>
      </c>
      <c r="C2209" s="1" t="n"/>
      <c r="D2209" s="1" t="n"/>
      <c r="E2209" s="1" t="n"/>
      <c r="F2209" s="1" t="n"/>
      <c r="G2209" s="1" t="n"/>
      <c r="H2209" s="1" t="n"/>
      <c r="I2209" s="1" t="n"/>
      <c r="J2209" s="6" t="n">
        <v>367.8776601</v>
      </c>
      <c r="K2209" s="1" t="n"/>
      <c r="L2209" s="1" t="n"/>
      <c r="M2209" s="1" t="n"/>
      <c r="N2209" s="1" t="n"/>
    </row>
    <row r="2210">
      <c r="A2210" s="1" t="inlineStr">
        <is>
          <t>99781781934093</t>
        </is>
      </c>
      <c r="B2210" s="1" t="inlineStr">
        <is>
          <t>TARJETERO GC OPHIDIA SUPREME</t>
        </is>
      </c>
      <c r="C2210" s="1" t="n"/>
      <c r="D2210" s="1" t="n"/>
      <c r="E2210" s="1" t="n"/>
      <c r="F2210" s="1" t="n"/>
      <c r="G2210" s="1" t="n"/>
      <c r="H2210" s="1" t="n"/>
      <c r="I2210" s="1" t="n"/>
      <c r="J2210" s="6" t="n">
        <v>367.8776601</v>
      </c>
      <c r="K2210" s="1" t="n"/>
      <c r="L2210" s="1" t="n"/>
      <c r="M2210" s="1" t="n"/>
      <c r="N2210" s="1" t="n"/>
    </row>
    <row r="2211">
      <c r="A2211" s="1" t="inlineStr">
        <is>
          <t>99781782096237</t>
        </is>
      </c>
      <c r="B2211" s="1" t="inlineStr">
        <is>
          <t>TARJETERO GC SUPREME</t>
        </is>
      </c>
      <c r="C2211" s="1" t="n"/>
      <c r="D2211" s="1" t="n"/>
      <c r="E2211" s="1" t="n"/>
      <c r="F2211" s="1" t="n"/>
      <c r="G2211" s="1" t="n"/>
      <c r="H2211" s="1" t="n"/>
      <c r="I2211" s="1" t="n"/>
      <c r="J2211" s="6" t="n">
        <v>420.4316116</v>
      </c>
      <c r="K2211" s="1" t="n"/>
      <c r="L2211" s="1" t="n"/>
      <c r="M2211" s="1" t="n"/>
      <c r="N2211" s="1" t="n"/>
    </row>
    <row r="2212">
      <c r="A2212" s="1" t="inlineStr">
        <is>
          <t>99781782139949</t>
        </is>
      </c>
      <c r="B2212" s="1" t="inlineStr">
        <is>
          <t>TARJETERO GC EMBLEM</t>
        </is>
      </c>
      <c r="C2212" s="1" t="n"/>
      <c r="D2212" s="1" t="n"/>
      <c r="E2212" s="1" t="n"/>
      <c r="F2212" s="1" t="n"/>
      <c r="G2212" s="1" t="n"/>
      <c r="H2212" s="1" t="n"/>
      <c r="I2212" s="1" t="n"/>
      <c r="J2212" s="6" t="n">
        <v>367.8776601</v>
      </c>
      <c r="K2212" s="1" t="n"/>
      <c r="L2212" s="1" t="n"/>
      <c r="M2212" s="6" t="n">
        <v>343.1601104</v>
      </c>
      <c r="N2212" s="1" t="n"/>
    </row>
    <row r="2213">
      <c r="A2213" s="1" t="inlineStr">
        <is>
          <t>99781782263469</t>
        </is>
      </c>
      <c r="B2213" s="1" t="inlineStr">
        <is>
          <t>CARTERA GC ALARGADA</t>
        </is>
      </c>
      <c r="C2213" s="1" t="n"/>
      <c r="D2213" s="1" t="n"/>
      <c r="E2213" s="1" t="n"/>
      <c r="F2213" s="1" t="n"/>
      <c r="G2213" s="1" t="n"/>
      <c r="H2213" s="1" t="n"/>
      <c r="I2213" s="1" t="n"/>
      <c r="J2213" s="6" t="n">
        <v>446.7085873</v>
      </c>
      <c r="K2213" s="1" t="n"/>
      <c r="L2213" s="6" t="n">
        <v>450.5786163</v>
      </c>
      <c r="M2213" s="1" t="n"/>
      <c r="N2213" s="1" t="n"/>
    </row>
    <row r="2214">
      <c r="A2214" s="1" t="inlineStr">
        <is>
          <t>99781782370253</t>
        </is>
      </c>
      <c r="B2214" s="1" t="inlineStr">
        <is>
          <t>BOLSO GC BUCKET MARMONT</t>
        </is>
      </c>
      <c r="C2214" s="1" t="n"/>
      <c r="D2214" s="1" t="n"/>
      <c r="E2214" s="1" t="n"/>
      <c r="F2214" s="1" t="n"/>
      <c r="G2214" s="1" t="n"/>
      <c r="H2214" s="1" t="n"/>
      <c r="I2214" s="1" t="n"/>
      <c r="J2214" s="6" t="n">
        <v>1103.63298</v>
      </c>
      <c r="K2214" s="1" t="n"/>
      <c r="L2214" s="6" t="n">
        <v>1113.194228</v>
      </c>
      <c r="M2214" s="1" t="n"/>
      <c r="N2214" s="1" t="n"/>
    </row>
    <row r="2215">
      <c r="A2215" s="1" t="inlineStr">
        <is>
          <t>99781782406413</t>
        </is>
      </c>
      <c r="B2215" s="1" t="inlineStr">
        <is>
          <t>BOLSO GC BUCKET EMBLEM</t>
        </is>
      </c>
      <c r="C2215" s="1" t="n"/>
      <c r="D2215" s="1" t="n"/>
      <c r="E2215" s="1" t="n"/>
      <c r="F2215" s="1" t="n"/>
      <c r="G2215" s="1" t="n"/>
      <c r="H2215" s="1" t="n"/>
      <c r="I2215" s="1" t="n"/>
      <c r="J2215" s="6" t="n">
        <v>1524.064592</v>
      </c>
      <c r="K2215" s="6" t="n">
        <v>1485.309144</v>
      </c>
      <c r="L2215" s="6" t="n">
        <v>1537.26822</v>
      </c>
      <c r="M2215" s="6" t="n">
        <v>1421.663314</v>
      </c>
      <c r="N2215" s="1" t="n"/>
    </row>
    <row r="2216">
      <c r="A2216" s="1" t="inlineStr">
        <is>
          <t>99781782573645</t>
        </is>
      </c>
      <c r="B2216" s="1" t="inlineStr">
        <is>
          <t>BOLSO C TANK TOP</t>
        </is>
      </c>
      <c r="C2216" s="1" t="n"/>
      <c r="D2216" s="1" t="n"/>
      <c r="E2216" s="1" t="n"/>
      <c r="F2216" s="1" t="n"/>
      <c r="G2216" s="1" t="n"/>
      <c r="H2216" s="1" t="n"/>
      <c r="I2216" s="1" t="n"/>
      <c r="J2216" s="6" t="n">
        <v>1445.233665</v>
      </c>
      <c r="K2216" s="1" t="n"/>
      <c r="L2216" s="6" t="n">
        <v>1457.754347</v>
      </c>
      <c r="M2216" s="1" t="n"/>
      <c r="N2216" s="1" t="n"/>
    </row>
    <row r="2217">
      <c r="A2217" s="1" t="inlineStr">
        <is>
          <t>99781782675341</t>
        </is>
      </c>
      <c r="B2217" s="1" t="inlineStr">
        <is>
          <t>CINTO C TRIOMPHIE BUCKLE</t>
        </is>
      </c>
      <c r="C2217" s="1" t="n"/>
      <c r="D2217" s="1" t="n"/>
      <c r="E2217" s="1" t="n"/>
      <c r="F2217" s="1" t="n"/>
      <c r="G2217" s="1" t="n"/>
      <c r="H2217" s="1" t="n"/>
      <c r="I2217" s="1" t="n"/>
      <c r="J2217" s="6" t="n">
        <v>1182.463908</v>
      </c>
      <c r="K2217" s="1" t="n"/>
      <c r="L2217" s="6" t="n">
        <v>1192.708102</v>
      </c>
      <c r="M2217" s="1" t="n"/>
      <c r="N2217" s="1" t="n"/>
    </row>
    <row r="2218">
      <c r="A2218" s="1" t="inlineStr">
        <is>
          <t>99781782742573</t>
        </is>
      </c>
      <c r="B2218" s="1" t="inlineStr">
        <is>
          <t>GORRA C DENIM LAVADO</t>
        </is>
      </c>
      <c r="C2218" s="1" t="n"/>
      <c r="D2218" s="1" t="n"/>
      <c r="E2218" s="1" t="n"/>
      <c r="F2218" s="1" t="n"/>
      <c r="G2218" s="1" t="n"/>
      <c r="H2218" s="1" t="n"/>
      <c r="I2218" s="1" t="n"/>
      <c r="J2218" s="6" t="n">
        <v>446.7085873</v>
      </c>
      <c r="K2218" s="6" t="n">
        <v>435.3492317</v>
      </c>
      <c r="L2218" s="1" t="n"/>
      <c r="M2218" s="6" t="n">
        <v>416.6944197</v>
      </c>
      <c r="N2218" s="1" t="n"/>
    </row>
    <row r="2219">
      <c r="A2219" s="1" t="inlineStr">
        <is>
          <t>99781782880429</t>
        </is>
      </c>
      <c r="B2219" s="1" t="inlineStr">
        <is>
          <t>CINTO C HERITAGE</t>
        </is>
      </c>
      <c r="C2219" s="1" t="n"/>
      <c r="D2219" s="1" t="n"/>
      <c r="E2219" s="1" t="n"/>
      <c r="F2219" s="1" t="n"/>
      <c r="G2219" s="1" t="n"/>
      <c r="H2219" s="1" t="n"/>
      <c r="I2219" s="1" t="n"/>
      <c r="J2219" s="6" t="n">
        <v>1182.463908</v>
      </c>
      <c r="K2219" s="1" t="n"/>
      <c r="L2219" s="6" t="n">
        <v>1192.708102</v>
      </c>
      <c r="M2219" s="1" t="n"/>
      <c r="N2219" s="1" t="n"/>
    </row>
    <row r="2220">
      <c r="A2220" s="1" t="inlineStr">
        <is>
          <t>99781782982125</t>
        </is>
      </c>
      <c r="B2220" s="1" t="inlineStr">
        <is>
          <t>CINTO C VIVIENNE 25</t>
        </is>
      </c>
      <c r="C2220" s="1" t="n"/>
      <c r="D2220" s="1" t="n"/>
      <c r="E2220" s="1" t="n"/>
      <c r="F2220" s="1" t="n"/>
      <c r="G2220" s="1" t="n"/>
      <c r="H2220" s="1" t="n"/>
      <c r="I2220" s="1" t="n"/>
      <c r="J2220" s="6" t="n">
        <v>1182.463908</v>
      </c>
      <c r="K2220" s="6" t="n">
        <v>1152.395025</v>
      </c>
      <c r="L2220" s="1" t="n"/>
      <c r="M2220" s="6" t="n">
        <v>1103.01464</v>
      </c>
      <c r="N2220" s="1" t="n"/>
    </row>
    <row r="2221">
      <c r="A2221" s="1" t="inlineStr">
        <is>
          <t>99781783009805</t>
        </is>
      </c>
      <c r="B2221" s="1" t="inlineStr">
        <is>
          <t>CINTO C VIVIENNE 25 BLACK</t>
        </is>
      </c>
      <c r="C2221" s="1" t="n"/>
      <c r="D2221" s="1" t="n"/>
      <c r="E2221" s="1" t="n"/>
      <c r="F2221" s="1" t="n"/>
      <c r="G2221" s="1" t="n"/>
      <c r="H2221" s="1" t="n"/>
      <c r="I2221" s="1" t="n"/>
      <c r="J2221" s="6" t="n">
        <v>1182.463908</v>
      </c>
      <c r="K2221" s="6" t="n">
        <v>1152.395025</v>
      </c>
      <c r="L2221" s="1" t="n"/>
      <c r="M2221" s="6" t="n">
        <v>1103.01464</v>
      </c>
      <c r="N2221" s="1" t="n"/>
    </row>
    <row r="2222">
      <c r="A2222" s="1" t="inlineStr">
        <is>
          <t>99781783183821</t>
        </is>
      </c>
      <c r="B2222" s="1" t="inlineStr">
        <is>
          <t>CARTERA C FLAP TRIOMPHIE</t>
        </is>
      </c>
      <c r="C2222" s="1" t="n"/>
      <c r="D2222" s="1" t="n"/>
      <c r="E2222" s="1" t="n"/>
      <c r="F2222" s="1" t="n"/>
      <c r="G2222" s="1" t="n"/>
      <c r="H2222" s="1" t="n"/>
      <c r="I2222" s="1" t="n"/>
      <c r="J2222" s="6" t="n">
        <v>578.0934659</v>
      </c>
      <c r="K2222" s="1" t="n"/>
      <c r="L2222" s="1" t="n"/>
      <c r="M2222" s="6" t="n">
        <v>539.251602</v>
      </c>
      <c r="N2222" s="1" t="n"/>
    </row>
    <row r="2223">
      <c r="A2223" s="1" t="inlineStr">
        <is>
          <t>99781783219981</t>
        </is>
      </c>
      <c r="B2223" s="1" t="inlineStr">
        <is>
          <t>LENTES C TRIOMPHIE 01</t>
        </is>
      </c>
      <c r="C2223" s="1" t="n"/>
      <c r="D2223" s="1" t="n"/>
      <c r="E2223" s="1" t="n"/>
      <c r="F2223" s="1" t="n"/>
      <c r="G2223" s="1" t="n"/>
      <c r="H2223" s="1" t="n"/>
      <c r="I2223" s="1" t="n"/>
      <c r="J2223" s="6" t="n">
        <v>840.8632231</v>
      </c>
      <c r="K2223" s="1" t="n"/>
      <c r="L2223" s="1" t="n"/>
      <c r="M2223" s="1" t="n"/>
      <c r="N2223" s="1" t="n"/>
    </row>
    <row r="2224">
      <c r="A2224" s="1" t="inlineStr">
        <is>
          <t>99781783326765</t>
        </is>
      </c>
      <c r="B2224" s="1" t="inlineStr">
        <is>
          <t>LENTES PANTHERE GOLD</t>
        </is>
      </c>
      <c r="C2224" s="1" t="n"/>
      <c r="D2224" s="1" t="n"/>
      <c r="E2224" s="1" t="n"/>
      <c r="F2224" s="1" t="n"/>
      <c r="G2224" s="1" t="n"/>
      <c r="H2224" s="1" t="n"/>
      <c r="I2224" s="1" t="n"/>
      <c r="J2224" s="6" t="n">
        <v>840.8632231</v>
      </c>
      <c r="K2224" s="1" t="n"/>
      <c r="L2224" s="1" t="n"/>
      <c r="M2224" s="1" t="n"/>
      <c r="N2224" s="1" t="n"/>
    </row>
    <row r="2225">
      <c r="A2225" s="1" t="inlineStr">
        <is>
          <t>99781783430157</t>
        </is>
      </c>
      <c r="B2225" s="1" t="inlineStr">
        <is>
          <t>COLLAR LV SAILOR SOO</t>
        </is>
      </c>
      <c r="C2225" s="1" t="n"/>
      <c r="D2225" s="1" t="n"/>
      <c r="E2225" s="1" t="n"/>
      <c r="F2225" s="1" t="n"/>
      <c r="G2225" s="1" t="n"/>
      <c r="H2225" s="1" t="n"/>
      <c r="I2225" s="1" t="n"/>
      <c r="J2225" s="6" t="n">
        <v>367.8776601</v>
      </c>
      <c r="K2225" s="1" t="n"/>
      <c r="L2225" s="1" t="n"/>
      <c r="M2225" s="6" t="n">
        <v>343.1601104</v>
      </c>
      <c r="N2225" s="1" t="n"/>
    </row>
    <row r="2226">
      <c r="A2226" s="1" t="inlineStr">
        <is>
          <t>99824591015117</t>
        </is>
      </c>
      <c r="B2226" s="1" t="inlineStr">
        <is>
          <t>ANILLO TRES AROS CON ZIRCONIA</t>
        </is>
      </c>
      <c r="C2226" s="1" t="n"/>
      <c r="D2226" s="1" t="n"/>
      <c r="E2226" s="1" t="n"/>
      <c r="F2226" s="1" t="n"/>
      <c r="G2226" s="1" t="n"/>
      <c r="H2226" s="1" t="n"/>
      <c r="I2226" s="1" t="n"/>
      <c r="J2226" s="6" t="n">
        <v>213.0389622</v>
      </c>
      <c r="K2226" s="1" t="n"/>
      <c r="L2226" s="6" t="n">
        <v>209.892953</v>
      </c>
      <c r="M2226" s="1" t="n"/>
      <c r="N2226" s="1" t="n"/>
    </row>
  </sheetData>
  <autoFilter ref="A3:N2226"/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8"/>
  <sheetViews>
    <sheetView zoomScaleNormal="100" workbookViewId="0">
      <pane ySplit="3" topLeftCell="A19" activePane="bottomLeft" state="frozen"/>
      <selection pane="bottomLeft" activeCell="A1" sqref="A1"/>
    </sheetView>
  </sheetViews>
  <sheetFormatPr baseColWidth="10" defaultColWidth="8.6640625" defaultRowHeight="15"/>
  <cols>
    <col width="17" customWidth="1" min="1" max="1"/>
    <col width="48" customWidth="1" min="2" max="2"/>
    <col width="26" customWidth="1" min="3" max="3"/>
    <col width="14" customWidth="1" min="4" max="4"/>
    <col width="15" customWidth="1" min="5" max="5"/>
    <col width="9" customWidth="1" min="6" max="6"/>
    <col width="12" customWidth="1" min="7" max="7"/>
    <col width="56" customWidth="1" min="8" max="8"/>
  </cols>
  <sheetData>
    <row r="1">
      <c r="A1" s="2" t="inlineStr">
        <is>
          <t>PRODUCTOS EN SHOPIFY QUE NO APARECEN EN NINGUNA ORDEN DE COMPRA (no tienen costo → no se puede calcular ROAS)</t>
        </is>
      </c>
    </row>
    <row r="3" ht="31.5" customHeight="1">
      <c r="A3" s="3" t="inlineStr">
        <is>
          <t>SKU</t>
        </is>
      </c>
      <c r="B3" s="3" t="inlineStr">
        <is>
          <t>TÍTULO EN SHOPIFY</t>
        </is>
      </c>
      <c r="C3" s="3" t="inlineStr">
        <is>
          <t>VARIANTE</t>
        </is>
      </c>
      <c r="D3" s="3" t="inlineStr">
        <is>
          <t>PROVEEDOR</t>
        </is>
      </c>
      <c r="E3" s="3" t="inlineStr">
        <is>
          <t>PRECIO SHOPIFY</t>
        </is>
      </c>
      <c r="F3" s="3" t="inlineStr">
        <is>
          <t>STOCK</t>
        </is>
      </c>
      <c r="G3" s="3" t="inlineStr">
        <is>
          <t>ESTATUS</t>
        </is>
      </c>
      <c r="H3" s="3" t="inlineStr">
        <is>
          <t>QUÉ HACE FALTA</t>
        </is>
      </c>
    </row>
    <row r="4">
      <c r="A4" s="1" t="inlineStr">
        <is>
          <t>21123131022157</t>
        </is>
      </c>
      <c r="B4" s="1" t="inlineStr">
        <is>
          <t>CAJA DE REGALO SAINTLAURENT</t>
        </is>
      </c>
      <c r="C4" s="1" t="inlineStr">
        <is>
          <t>Default Title</t>
        </is>
      </c>
      <c r="D4" s="1" t="inlineStr">
        <is>
          <t>JEWELRY REMATE MÉXICO</t>
        </is>
      </c>
      <c r="E4" s="6" t="n">
        <v>100</v>
      </c>
      <c r="F4" s="4" t="n">
        <v>30</v>
      </c>
      <c r="G4" s="1" t="inlineStr">
        <is>
          <t>active</t>
        </is>
      </c>
      <c r="H4" s="1" t="inlineStr">
        <is>
          <t>Falta el costo de compra (no está en ninguna tabla de precios)</t>
        </is>
      </c>
    </row>
    <row r="5">
      <c r="A5" s="1" t="inlineStr">
        <is>
          <t>6438502d73d29</t>
        </is>
      </c>
      <c r="B5" s="1" t="inlineStr">
        <is>
          <t>PULSERA LOVE DELGADA ROSE GOLD CON ZIRCONIA</t>
        </is>
      </c>
      <c r="C5" s="1" t="inlineStr">
        <is>
          <t>18 cm</t>
        </is>
      </c>
      <c r="D5" s="1" t="inlineStr">
        <is>
          <t>COCOMA</t>
        </is>
      </c>
      <c r="E5" s="6" t="n">
        <v>499</v>
      </c>
      <c r="F5" s="4" t="n">
        <v>29</v>
      </c>
      <c r="G5" s="1" t="inlineStr">
        <is>
          <t>active</t>
        </is>
      </c>
      <c r="H5" s="1" t="inlineStr">
        <is>
          <t>YA TIENE COSTO EN SHOPIFY ($103.00, heredado hoy)</t>
        </is>
      </c>
    </row>
    <row r="6">
      <c r="A6" s="1" t="inlineStr">
        <is>
          <t>63e0c53db1d26</t>
        </is>
      </c>
      <c r="B6" s="1" t="inlineStr">
        <is>
          <t>PULSERA LOVE CON ZIRCONIAS SILVER</t>
        </is>
      </c>
      <c r="C6" s="1" t="inlineStr">
        <is>
          <t>17 cm</t>
        </is>
      </c>
      <c r="D6" s="1" t="inlineStr">
        <is>
          <t>HAIFENG</t>
        </is>
      </c>
      <c r="E6" s="6" t="n">
        <v>499</v>
      </c>
      <c r="F6" s="4" t="n">
        <v>23</v>
      </c>
      <c r="G6" s="1" t="inlineStr">
        <is>
          <t>active</t>
        </is>
      </c>
      <c r="H6" s="1" t="inlineStr">
        <is>
          <t>YA TIENE COSTO EN SHOPIFY ($103.00, heredado hoy)</t>
        </is>
      </c>
    </row>
    <row r="7">
      <c r="A7" s="1" t="inlineStr">
        <is>
          <t>6438502e12b7a</t>
        </is>
      </c>
      <c r="B7" s="1" t="inlineStr">
        <is>
          <t>PULSERA LOVE DELGADA ROSE GOLD CON ZIRCONIA</t>
        </is>
      </c>
      <c r="C7" s="1" t="inlineStr">
        <is>
          <t>19 cm</t>
        </is>
      </c>
      <c r="D7" s="1" t="inlineStr">
        <is>
          <t>COCOMA</t>
        </is>
      </c>
      <c r="E7" s="6" t="n">
        <v>350</v>
      </c>
      <c r="F7" s="4" t="n">
        <v>21</v>
      </c>
      <c r="G7" s="1" t="inlineStr">
        <is>
          <t>active</t>
        </is>
      </c>
      <c r="H7" s="1" t="inlineStr">
        <is>
          <t>YA TIENE COSTO EN SHOPIFY ($103.00, heredado hoy)</t>
        </is>
      </c>
    </row>
    <row r="8">
      <c r="A8" s="1" t="inlineStr">
        <is>
          <t>63e0c53faead3</t>
        </is>
      </c>
      <c r="B8" s="1" t="inlineStr">
        <is>
          <t>PULSERA LOVE CON ZIRCONIAS SILVER</t>
        </is>
      </c>
      <c r="C8" s="1" t="inlineStr">
        <is>
          <t>19 cm</t>
        </is>
      </c>
      <c r="D8" s="1" t="inlineStr">
        <is>
          <t>HAIFENG</t>
        </is>
      </c>
      <c r="E8" s="6" t="n">
        <v>499</v>
      </c>
      <c r="F8" s="4" t="n">
        <v>21</v>
      </c>
      <c r="G8" s="1" t="inlineStr">
        <is>
          <t>active</t>
        </is>
      </c>
      <c r="H8" s="1" t="inlineStr">
        <is>
          <t>YA TIENE COSTO EN SHOPIFY ($103.00, heredado hoy)</t>
        </is>
      </c>
    </row>
    <row r="9">
      <c r="A9" s="1" t="inlineStr">
        <is>
          <t>75402761063661</t>
        </is>
      </c>
      <c r="B9" s="1" t="inlineStr">
        <is>
          <t>CAJA DE REGALO SAINTLAURENT BROWN</t>
        </is>
      </c>
      <c r="C9" s="1" t="inlineStr">
        <is>
          <t>Default Title</t>
        </is>
      </c>
      <c r="D9" s="1" t="inlineStr">
        <is>
          <t>JEWELRY REMATE MX</t>
        </is>
      </c>
      <c r="E9" s="6" t="n">
        <v>149.99</v>
      </c>
      <c r="F9" s="4" t="n">
        <v>19</v>
      </c>
      <c r="G9" s="1" t="inlineStr">
        <is>
          <t>active</t>
        </is>
      </c>
      <c r="H9" s="1" t="inlineStr">
        <is>
          <t>Falta el costo de compra (no está en ninguna tabla de precios)</t>
        </is>
      </c>
    </row>
    <row r="10">
      <c r="A10" s="1" t="inlineStr">
        <is>
          <t>6438502fc9909</t>
        </is>
      </c>
      <c r="B10" s="1" t="inlineStr">
        <is>
          <t>PULSERA LOVE DELGADA SILVER CON ZIRCONIA</t>
        </is>
      </c>
      <c r="C10" s="1" t="inlineStr">
        <is>
          <t>18 cm</t>
        </is>
      </c>
      <c r="D10" s="1" t="inlineStr">
        <is>
          <t>COCOMA</t>
        </is>
      </c>
      <c r="E10" s="6" t="n">
        <v>350</v>
      </c>
      <c r="F10" s="4" t="n">
        <v>18</v>
      </c>
      <c r="G10" s="1" t="inlineStr">
        <is>
          <t>active</t>
        </is>
      </c>
      <c r="H10" s="1" t="inlineStr">
        <is>
          <t>YA TIENE COSTO EN SHOPIFY ($103.00, heredado hoy)</t>
        </is>
      </c>
    </row>
    <row r="11">
      <c r="A11" s="1" t="inlineStr">
        <is>
          <t>83473191089069</t>
        </is>
      </c>
      <c r="B11" s="1" t="inlineStr">
        <is>
          <t>BOLSA DE REGALO ROLEX</t>
        </is>
      </c>
      <c r="C11" s="1" t="inlineStr">
        <is>
          <t>Default Title</t>
        </is>
      </c>
      <c r="D11" s="1" t="inlineStr">
        <is>
          <t>JEWELRY REMATE MX</t>
        </is>
      </c>
      <c r="E11" s="6" t="n">
        <v>99</v>
      </c>
      <c r="F11" s="4" t="n">
        <v>17</v>
      </c>
      <c r="G11" s="1" t="inlineStr">
        <is>
          <t>active</t>
        </is>
      </c>
      <c r="H11" s="1" t="inlineStr">
        <is>
          <t>Falta el costo de compra (no está en ninguna tabla de precios)</t>
        </is>
      </c>
    </row>
    <row r="12">
      <c r="A12" s="1" t="inlineStr">
        <is>
          <t>6438503080ba5</t>
        </is>
      </c>
      <c r="B12" s="1" t="inlineStr">
        <is>
          <t>PULSERA LOVE DELGADA SILVER CON ZIRCONIA</t>
        </is>
      </c>
      <c r="C12" s="1" t="inlineStr">
        <is>
          <t>19 cm</t>
        </is>
      </c>
      <c r="D12" s="1" t="inlineStr">
        <is>
          <t>COCOMA</t>
        </is>
      </c>
      <c r="E12" s="6" t="n">
        <v>350</v>
      </c>
      <c r="F12" s="4" t="n">
        <v>17</v>
      </c>
      <c r="G12" s="1" t="inlineStr">
        <is>
          <t>active</t>
        </is>
      </c>
      <c r="H12" s="1" t="inlineStr">
        <is>
          <t>YA TIENE COSTO EN SHOPIFY ($103.00, heredado hoy)</t>
        </is>
      </c>
    </row>
    <row r="13">
      <c r="A13" s="1" t="inlineStr">
        <is>
          <t>63e0c53ecc1bb</t>
        </is>
      </c>
      <c r="B13" s="1" t="inlineStr">
        <is>
          <t>PULSERA LOVE GOLD CON ZIRCONIAS</t>
        </is>
      </c>
      <c r="C13" s="1" t="inlineStr">
        <is>
          <t>18 cm</t>
        </is>
      </c>
      <c r="D13" s="1" t="inlineStr">
        <is>
          <t>HAIFENG</t>
        </is>
      </c>
      <c r="E13" s="6" t="n">
        <v>350</v>
      </c>
      <c r="F13" s="4" t="n">
        <v>15</v>
      </c>
      <c r="G13" s="1" t="inlineStr">
        <is>
          <t>active</t>
        </is>
      </c>
      <c r="H13" s="1" t="inlineStr">
        <is>
          <t>YA TIENE COSTO EN SHOPIFY ($36.00, heredado hoy)</t>
        </is>
      </c>
    </row>
    <row r="14">
      <c r="A14" s="1" t="inlineStr">
        <is>
          <t>643850286c71f</t>
        </is>
      </c>
      <c r="B14" s="1" t="inlineStr">
        <is>
          <t>PULSERA LOVE DELGADA GOLD CON ZIRCONIA</t>
        </is>
      </c>
      <c r="C14" s="1" t="inlineStr">
        <is>
          <t>19cm</t>
        </is>
      </c>
      <c r="D14" s="1" t="inlineStr">
        <is>
          <t>COCOMA</t>
        </is>
      </c>
      <c r="E14" s="6" t="n">
        <v>499</v>
      </c>
      <c r="F14" s="4" t="n">
        <v>15</v>
      </c>
      <c r="G14" s="1" t="inlineStr">
        <is>
          <t>active</t>
        </is>
      </c>
      <c r="H14" s="1" t="inlineStr">
        <is>
          <t>YA TIENE COSTO EN SHOPIFY ($103.00, heredado hoy)</t>
        </is>
      </c>
    </row>
    <row r="15">
      <c r="A15" s="1" t="inlineStr">
        <is>
          <t>63e0c541cb685</t>
        </is>
      </c>
      <c r="B15" s="1" t="inlineStr">
        <is>
          <t>PULSERA LOVE CON ZIRCONIAS SILVER</t>
        </is>
      </c>
      <c r="C15" s="1" t="inlineStr">
        <is>
          <t>21 cm</t>
        </is>
      </c>
      <c r="D15" s="1" t="inlineStr">
        <is>
          <t>HAIFENG</t>
        </is>
      </c>
      <c r="E15" s="6" t="n">
        <v>499</v>
      </c>
      <c r="F15" s="4" t="n">
        <v>15</v>
      </c>
      <c r="G15" s="1" t="inlineStr">
        <is>
          <t>active</t>
        </is>
      </c>
      <c r="H15" s="1" t="inlineStr">
        <is>
          <t>YA TIENE COSTO EN SHOPIFY ($103.00, heredado hoy)</t>
        </is>
      </c>
    </row>
    <row r="16">
      <c r="A16" s="1" t="inlineStr">
        <is>
          <t>63e0c59772c33</t>
        </is>
      </c>
      <c r="B16" s="1" t="inlineStr">
        <is>
          <t>PULSERA LOVE ROSE GOLD</t>
        </is>
      </c>
      <c r="C16" s="1" t="inlineStr">
        <is>
          <t>18 cm</t>
        </is>
      </c>
      <c r="D16" s="1" t="inlineStr">
        <is>
          <t>HAIFENG</t>
        </is>
      </c>
      <c r="E16" s="6" t="n">
        <v>499</v>
      </c>
      <c r="F16" s="4" t="n">
        <v>12</v>
      </c>
      <c r="G16" s="1" t="inlineStr">
        <is>
          <t>active</t>
        </is>
      </c>
      <c r="H16" s="1" t="inlineStr">
        <is>
          <t>YA TIENE COSTO EN SHOPIFY ($160.38, heredado hoy)</t>
        </is>
      </c>
    </row>
    <row r="17">
      <c r="A17" s="1" t="inlineStr">
        <is>
          <t>63e0c53ba8cce</t>
        </is>
      </c>
      <c r="B17" s="1" t="inlineStr">
        <is>
          <t>PULSERA LOVE CON ZIRCONIA ROSE GOLD</t>
        </is>
      </c>
      <c r="C17" s="1" t="inlineStr">
        <is>
          <t>19 cm</t>
        </is>
      </c>
      <c r="D17" s="1" t="inlineStr">
        <is>
          <t>HAIFENG</t>
        </is>
      </c>
      <c r="E17" s="6" t="n">
        <v>499</v>
      </c>
      <c r="F17" s="4" t="n">
        <v>14</v>
      </c>
      <c r="G17" s="1" t="inlineStr">
        <is>
          <t>active</t>
        </is>
      </c>
      <c r="H17" s="1" t="inlineStr">
        <is>
          <t>YA TIENE COSTO EN SHOPIFY ($170.00, heredado hoy)</t>
        </is>
      </c>
    </row>
    <row r="18">
      <c r="A18" s="1" t="inlineStr">
        <is>
          <t>63e0c59859de0</t>
        </is>
      </c>
      <c r="B18" s="1" t="inlineStr">
        <is>
          <t>PULSERA LOVE ROSE GOLD</t>
        </is>
      </c>
      <c r="C18" s="1" t="inlineStr">
        <is>
          <t>19 cm</t>
        </is>
      </c>
      <c r="D18" s="1" t="inlineStr">
        <is>
          <t>HAIFENG</t>
        </is>
      </c>
      <c r="E18" s="6" t="n">
        <v>499</v>
      </c>
      <c r="F18" s="4" t="n">
        <v>13</v>
      </c>
      <c r="G18" s="1" t="inlineStr">
        <is>
          <t>active</t>
        </is>
      </c>
      <c r="H18" s="1" t="inlineStr">
        <is>
          <t>YA TIENE COSTO EN SHOPIFY ($160.38, heredado hoy)</t>
        </is>
      </c>
    </row>
    <row r="19">
      <c r="A19" s="1" t="inlineStr">
        <is>
          <t>63e0c599a6988</t>
        </is>
      </c>
      <c r="B19" s="1" t="inlineStr">
        <is>
          <t>PULSERA LOVE ROSE GOLD</t>
        </is>
      </c>
      <c r="C19" s="1" t="inlineStr">
        <is>
          <t>20 cm</t>
        </is>
      </c>
      <c r="D19" s="1" t="inlineStr">
        <is>
          <t>HAIFENG</t>
        </is>
      </c>
      <c r="E19" s="6" t="n">
        <v>499</v>
      </c>
      <c r="F19" s="4" t="n">
        <v>13</v>
      </c>
      <c r="G19" s="1" t="inlineStr">
        <is>
          <t>active</t>
        </is>
      </c>
      <c r="H19" s="1" t="inlineStr">
        <is>
          <t>YA TIENE COSTO EN SHOPIFY ($160.38, heredado hoy)</t>
        </is>
      </c>
    </row>
    <row r="20">
      <c r="A20" s="1" t="inlineStr">
        <is>
          <t>63e0c54089f3d</t>
        </is>
      </c>
      <c r="B20" s="1" t="inlineStr">
        <is>
          <t>PULSERA LOVE CON ZIRCONIAS SILVER</t>
        </is>
      </c>
      <c r="C20" s="1" t="inlineStr">
        <is>
          <t>20 cm</t>
        </is>
      </c>
      <c r="D20" s="1" t="inlineStr">
        <is>
          <t>HAIFENG</t>
        </is>
      </c>
      <c r="E20" s="6" t="n">
        <v>499</v>
      </c>
      <c r="F20" s="4" t="n">
        <v>12</v>
      </c>
      <c r="G20" s="1" t="inlineStr">
        <is>
          <t>active</t>
        </is>
      </c>
      <c r="H20" s="1" t="inlineStr">
        <is>
          <t>YA TIENE COSTO EN SHOPIFY ($103.00, heredado hoy)</t>
        </is>
      </c>
    </row>
    <row r="21">
      <c r="A21" s="1" t="inlineStr">
        <is>
          <t>63e0c53fdf015</t>
        </is>
      </c>
      <c r="B21" s="1" t="inlineStr">
        <is>
          <t>PULSERA LOVE GOLD CON ZIRCONIAS</t>
        </is>
      </c>
      <c r="C21" s="1" t="inlineStr">
        <is>
          <t>19 cm</t>
        </is>
      </c>
      <c r="D21" s="1" t="inlineStr">
        <is>
          <t>HAIFENG</t>
        </is>
      </c>
      <c r="E21" s="6" t="n">
        <v>499</v>
      </c>
      <c r="F21" s="4" t="n">
        <v>11</v>
      </c>
      <c r="G21" s="1" t="inlineStr">
        <is>
          <t>active</t>
        </is>
      </c>
      <c r="H21" s="1" t="inlineStr">
        <is>
          <t>YA TIENE COSTO EN SHOPIFY ($36.00, heredado hoy)</t>
        </is>
      </c>
    </row>
    <row r="22">
      <c r="A22" s="1" t="inlineStr">
        <is>
          <t>63e0c53cda066</t>
        </is>
      </c>
      <c r="B22" s="1" t="inlineStr">
        <is>
          <t>PULSERA LOVE CON ZIRCONIAS SILVER</t>
        </is>
      </c>
      <c r="C22" s="1" t="inlineStr">
        <is>
          <t>16 cm</t>
        </is>
      </c>
      <c r="D22" s="1" t="inlineStr">
        <is>
          <t>HAIFENG</t>
        </is>
      </c>
      <c r="E22" s="6" t="n">
        <v>499</v>
      </c>
      <c r="F22" s="4" t="n">
        <v>11</v>
      </c>
      <c r="G22" s="1" t="inlineStr">
        <is>
          <t>active</t>
        </is>
      </c>
      <c r="H22" s="1" t="inlineStr">
        <is>
          <t>YA TIENE COSTO EN SHOPIFY ($103.00, heredado hoy)</t>
        </is>
      </c>
    </row>
    <row r="23">
      <c r="A23" s="1" t="inlineStr">
        <is>
          <t>643850277ee1b</t>
        </is>
      </c>
      <c r="B23" s="1" t="inlineStr">
        <is>
          <t>PULSERA LOVE DELGADA GOLD CON ZIRCONIA</t>
        </is>
      </c>
      <c r="C23" s="1" t="inlineStr">
        <is>
          <t>18cm</t>
        </is>
      </c>
      <c r="D23" s="1" t="inlineStr">
        <is>
          <t>COCOMA</t>
        </is>
      </c>
      <c r="E23" s="6" t="n">
        <v>499</v>
      </c>
      <c r="F23" s="4" t="n">
        <v>9</v>
      </c>
      <c r="G23" s="1" t="inlineStr">
        <is>
          <t>active</t>
        </is>
      </c>
      <c r="H23" s="1" t="inlineStr">
        <is>
          <t>YA TIENE COSTO EN SHOPIFY ($103.00, heredado hoy)</t>
        </is>
      </c>
    </row>
    <row r="24">
      <c r="A24" s="1" t="inlineStr">
        <is>
          <t>94956738182156</t>
        </is>
      </c>
      <c r="B24" s="1" t="inlineStr">
        <is>
          <t>BOLSO DE VIAJE PR X AD</t>
        </is>
      </c>
      <c r="C24" s="1" t="inlineStr">
        <is>
          <t>39cm de alto x 43cm de largo x 23 cm de ancho</t>
        </is>
      </c>
      <c r="D24" s="1" t="inlineStr">
        <is>
          <t>DINA DU</t>
        </is>
      </c>
      <c r="E24" s="6" t="n">
        <v>3814</v>
      </c>
      <c r="F24" s="4" t="n">
        <v>10</v>
      </c>
      <c r="G24" s="1" t="inlineStr">
        <is>
          <t>active</t>
        </is>
      </c>
      <c r="H24" s="1" t="inlineStr">
        <is>
          <t>YA TIENE COSTO EN SHOPIFY ($1300.00, heredado hoy)</t>
        </is>
      </c>
    </row>
    <row r="25">
      <c r="A25" s="1" t="inlineStr">
        <is>
          <t>92945931097293</t>
        </is>
      </c>
      <c r="B25" s="1" t="inlineStr">
        <is>
          <t>BOLSA DE REGALO BVLGARI</t>
        </is>
      </c>
      <c r="C25" s="1" t="inlineStr">
        <is>
          <t>Default Title</t>
        </is>
      </c>
      <c r="D25" s="1" t="inlineStr">
        <is>
          <t>JEWELRY REMATE MX</t>
        </is>
      </c>
      <c r="E25" s="6" t="n">
        <v>99</v>
      </c>
      <c r="F25" s="4" t="n">
        <v>9</v>
      </c>
      <c r="G25" s="1" t="inlineStr">
        <is>
          <t>active</t>
        </is>
      </c>
      <c r="H25" s="1" t="inlineStr">
        <is>
          <t>Falta el costo de compra (no está en ninguna tabla de precios)</t>
        </is>
      </c>
    </row>
    <row r="26">
      <c r="A26" s="1" t="inlineStr">
        <is>
          <t>63e0c5410a566</t>
        </is>
      </c>
      <c r="B26" s="1" t="inlineStr">
        <is>
          <t>PULSERA LOVE GOLD CON ZIRCONIAS</t>
        </is>
      </c>
      <c r="C26" s="1" t="inlineStr">
        <is>
          <t>20 cm</t>
        </is>
      </c>
      <c r="D26" s="1" t="inlineStr">
        <is>
          <t>HAIFENG</t>
        </is>
      </c>
      <c r="E26" s="6" t="n">
        <v>350</v>
      </c>
      <c r="F26" s="4" t="n">
        <v>9</v>
      </c>
      <c r="G26" s="1" t="inlineStr">
        <is>
          <t>active</t>
        </is>
      </c>
      <c r="H26" s="1" t="inlineStr">
        <is>
          <t>YA TIENE COSTO EN SHOPIFY ($36.00, heredado hoy)</t>
        </is>
      </c>
    </row>
    <row r="27">
      <c r="A27" s="1" t="inlineStr">
        <is>
          <t>63e0c54271f55</t>
        </is>
      </c>
      <c r="B27" s="1" t="inlineStr">
        <is>
          <t>PULSERA LOVE GOLD CON ZIRCONIAS</t>
        </is>
      </c>
      <c r="C27" s="1" t="inlineStr">
        <is>
          <t>21 cm</t>
        </is>
      </c>
      <c r="D27" s="1" t="inlineStr">
        <is>
          <t>HAIFENG</t>
        </is>
      </c>
      <c r="E27" s="6" t="n">
        <v>499</v>
      </c>
      <c r="F27" s="4" t="n">
        <v>9</v>
      </c>
      <c r="G27" s="1" t="inlineStr">
        <is>
          <t>active</t>
        </is>
      </c>
      <c r="H27" s="1" t="inlineStr">
        <is>
          <t>YA TIENE COSTO EN SHOPIFY ($36.00, heredado hoy)</t>
        </is>
      </c>
    </row>
    <row r="28">
      <c r="A28" s="1" t="inlineStr">
        <is>
          <t>63e0c08a1672e</t>
        </is>
      </c>
      <c r="B28" s="1" t="inlineStr">
        <is>
          <t>LENTES DE SOL PR NEGROS HIGH QUALITY</t>
        </is>
      </c>
      <c r="C28" s="1" t="inlineStr">
        <is>
          <t>High Quality</t>
        </is>
      </c>
      <c r="D28" s="1" t="inlineStr">
        <is>
          <t>HAIFENG</t>
        </is>
      </c>
      <c r="E28" s="6" t="n">
        <v>1483.3</v>
      </c>
      <c r="F28" s="4" t="n">
        <v>9</v>
      </c>
      <c r="G28" s="1" t="inlineStr">
        <is>
          <t>active</t>
        </is>
      </c>
      <c r="H28" s="1" t="inlineStr">
        <is>
          <t>YA TIENE COSTO EN SHOPIFY ($624.36, heredado hoy)</t>
        </is>
      </c>
    </row>
    <row r="29">
      <c r="A29" s="1" t="inlineStr">
        <is>
          <t>3382860216460</t>
        </is>
      </c>
      <c r="B29" s="1" t="inlineStr">
        <is>
          <t>GORRA B WHITE</t>
        </is>
      </c>
      <c r="C29" s="1" t="inlineStr">
        <is>
          <t>HIGH QUALITY, AJUSTABLE</t>
        </is>
      </c>
      <c r="D29" s="1" t="inlineStr">
        <is>
          <t>ZOEY</t>
        </is>
      </c>
      <c r="E29" s="6" t="n">
        <v>1234</v>
      </c>
      <c r="F29" s="4" t="n">
        <v>9</v>
      </c>
      <c r="G29" s="1" t="inlineStr">
        <is>
          <t>active</t>
        </is>
      </c>
      <c r="H29" s="1" t="inlineStr">
        <is>
          <t>YA TIENE COSTO EN SHOPIFY ($353.88, heredado hoy)</t>
        </is>
      </c>
    </row>
    <row r="30">
      <c r="A30" s="1" t="inlineStr">
        <is>
          <t>63ebdfa32f8b2</t>
        </is>
      </c>
      <c r="B30" s="1" t="inlineStr">
        <is>
          <t>PULSERA LOVE DELGADA SILVER CON ZIRCONIA</t>
        </is>
      </c>
      <c r="C30" s="1" t="inlineStr">
        <is>
          <t>16cm</t>
        </is>
      </c>
      <c r="D30" s="1" t="inlineStr">
        <is>
          <t>COCOMA</t>
        </is>
      </c>
      <c r="E30" s="6" t="n">
        <v>499</v>
      </c>
      <c r="F30" s="4" t="n">
        <v>8</v>
      </c>
      <c r="G30" s="1" t="inlineStr">
        <is>
          <t>active</t>
        </is>
      </c>
      <c r="H30" s="1" t="inlineStr">
        <is>
          <t>YA TIENE COSTO EN SHOPIFY ($103.00, heredado hoy)</t>
        </is>
      </c>
    </row>
    <row r="31">
      <c r="A31" s="1" t="inlineStr">
        <is>
          <t>63e0c53ab1cc7</t>
        </is>
      </c>
      <c r="B31" s="1" t="inlineStr">
        <is>
          <t>PULSERA LOVE CON ZIRCONIA ROSE GOLD</t>
        </is>
      </c>
      <c r="C31" s="1" t="inlineStr">
        <is>
          <t>18cm</t>
        </is>
      </c>
      <c r="D31" s="1" t="inlineStr">
        <is>
          <t>HAIFENG</t>
        </is>
      </c>
      <c r="E31" s="6" t="n">
        <v>350</v>
      </c>
      <c r="F31" s="4" t="n">
        <v>8</v>
      </c>
      <c r="G31" s="1" t="inlineStr">
        <is>
          <t>active</t>
        </is>
      </c>
      <c r="H31" s="1" t="inlineStr">
        <is>
          <t>YA TIENE COSTO EN SHOPIFY ($170.00, heredado hoy)</t>
        </is>
      </c>
    </row>
    <row r="32">
      <c r="A32" s="1" t="inlineStr">
        <is>
          <t>63e0c53cc6d4c</t>
        </is>
      </c>
      <c r="B32" s="1" t="inlineStr">
        <is>
          <t>PULSERA LOVE CON ZIRCONIA ROSE GOLD</t>
        </is>
      </c>
      <c r="C32" s="1" t="inlineStr">
        <is>
          <t>20 cm</t>
        </is>
      </c>
      <c r="D32" s="1" t="inlineStr">
        <is>
          <t>HAIFENG</t>
        </is>
      </c>
      <c r="E32" s="6" t="n">
        <v>499</v>
      </c>
      <c r="F32" s="4" t="n">
        <v>8</v>
      </c>
      <c r="G32" s="1" t="inlineStr">
        <is>
          <t>active</t>
        </is>
      </c>
      <c r="H32" s="1" t="inlineStr">
        <is>
          <t>YA TIENE COSTO EN SHOPIFY ($170.00, heredado hoy)</t>
        </is>
      </c>
    </row>
    <row r="33">
      <c r="A33" s="1" t="inlineStr">
        <is>
          <t>63e0c53b0bc60</t>
        </is>
      </c>
      <c r="B33" s="1" t="inlineStr">
        <is>
          <t>PULSERA LOVE CON ZIRCONIA GOLD</t>
        </is>
      </c>
      <c r="C33" s="1" t="inlineStr">
        <is>
          <t>19 cm</t>
        </is>
      </c>
      <c r="D33" s="1" t="inlineStr">
        <is>
          <t>HAIFENG</t>
        </is>
      </c>
      <c r="E33" s="6" t="n">
        <v>499</v>
      </c>
      <c r="F33" s="4" t="n">
        <v>8</v>
      </c>
      <c r="G33" s="1" t="inlineStr">
        <is>
          <t>active</t>
        </is>
      </c>
      <c r="H33" s="1" t="inlineStr">
        <is>
          <t>YA TIENE COSTO EN SHOPIFY ($90.00, heredado hoy)</t>
        </is>
      </c>
    </row>
    <row r="34">
      <c r="A34" s="1" t="inlineStr">
        <is>
          <t>27008341052141</t>
        </is>
      </c>
      <c r="B34" s="1" t="inlineStr">
        <is>
          <t>ANILLO CLAVO JUSTE UN CLOU BLACK</t>
        </is>
      </c>
      <c r="C34" s="1" t="n">
        <v>5</v>
      </c>
      <c r="D34" s="1" t="inlineStr">
        <is>
          <t>JEWELRY REMATE MX</t>
        </is>
      </c>
      <c r="E34" s="6" t="n">
        <v>400</v>
      </c>
      <c r="F34" s="4" t="n">
        <v>7</v>
      </c>
      <c r="G34" s="1" t="inlineStr">
        <is>
          <t>active</t>
        </is>
      </c>
      <c r="H34" s="1" t="inlineStr">
        <is>
          <t>YA TIENE COSTO EN SHOPIFY ($51.50, heredado hoy)</t>
        </is>
      </c>
    </row>
    <row r="35">
      <c r="A35" s="1" t="inlineStr">
        <is>
          <t>27008341184909</t>
        </is>
      </c>
      <c r="B35" s="1" t="inlineStr">
        <is>
          <t>ANILLO CLAVO JUSTE UN CLOU BLACK</t>
        </is>
      </c>
      <c r="C35" s="1" t="n">
        <v>6</v>
      </c>
      <c r="D35" s="1" t="inlineStr">
        <is>
          <t>JEWELRY REMATE MX</t>
        </is>
      </c>
      <c r="E35" s="6" t="n">
        <v>400</v>
      </c>
      <c r="F35" s="4" t="n">
        <v>7</v>
      </c>
      <c r="G35" s="1" t="inlineStr">
        <is>
          <t>active</t>
        </is>
      </c>
      <c r="H35" s="1" t="inlineStr">
        <is>
          <t>YA TIENE COSTO EN SHOPIFY ($51.50, heredado hoy)</t>
        </is>
      </c>
    </row>
    <row r="36">
      <c r="A36" s="1" t="inlineStr">
        <is>
          <t>82224434775597</t>
        </is>
      </c>
      <c r="B36" s="1" t="inlineStr">
        <is>
          <t>PULSERA TRES AROS CON ZIRCONIA</t>
        </is>
      </c>
      <c r="C36" s="1" t="inlineStr">
        <is>
          <t>Default Title</t>
        </is>
      </c>
      <c r="D36" s="1" t="inlineStr">
        <is>
          <t>HAIFENG</t>
        </is>
      </c>
      <c r="E36" s="6" t="n">
        <v>511</v>
      </c>
      <c r="F36" s="4" t="n">
        <v>7</v>
      </c>
      <c r="G36" s="1" t="inlineStr">
        <is>
          <t>active</t>
        </is>
      </c>
      <c r="H36" s="1" t="inlineStr">
        <is>
          <t>YA TIENE COSTO EN SHOPIFY ($185.40, heredado hoy)</t>
        </is>
      </c>
    </row>
    <row r="37">
      <c r="A37" s="1" t="inlineStr">
        <is>
          <t>63e0c22821f27</t>
        </is>
      </c>
      <c r="B37" s="1" t="inlineStr">
        <is>
          <t>PULSERA CLAVO SILVER CON ZIRCONIA</t>
        </is>
      </c>
      <c r="C37" s="1" t="inlineStr">
        <is>
          <t>17CM</t>
        </is>
      </c>
      <c r="D37" s="1" t="inlineStr">
        <is>
          <t>NANCY VIP</t>
        </is>
      </c>
      <c r="E37" s="6" t="n">
        <v>480</v>
      </c>
      <c r="F37" s="4" t="n">
        <v>7</v>
      </c>
      <c r="G37" s="1" t="inlineStr">
        <is>
          <t>active</t>
        </is>
      </c>
      <c r="H37" s="1" t="inlineStr">
        <is>
          <t>YA TIENE COSTO EN SHOPIFY ($150.00, heredado hoy)</t>
        </is>
      </c>
    </row>
    <row r="38">
      <c r="A38" s="1" t="inlineStr">
        <is>
          <t>63e0c53db4230</t>
        </is>
      </c>
      <c r="B38" s="1" t="inlineStr">
        <is>
          <t>PULSERA LOVE GOLD CON ZIRCONIAS</t>
        </is>
      </c>
      <c r="C38" s="1" t="inlineStr">
        <is>
          <t>17 cm</t>
        </is>
      </c>
      <c r="D38" s="1" t="inlineStr">
        <is>
          <t>HAIFENG</t>
        </is>
      </c>
      <c r="E38" s="6" t="n">
        <v>350</v>
      </c>
      <c r="F38" s="4" t="n">
        <v>7</v>
      </c>
      <c r="G38" s="1" t="inlineStr">
        <is>
          <t>active</t>
        </is>
      </c>
      <c r="H38" s="1" t="inlineStr">
        <is>
          <t>YA TIENE COSTO EN SHOPIFY ($36.00, heredado hoy)</t>
        </is>
      </c>
    </row>
    <row r="39">
      <c r="A39" s="1" t="inlineStr">
        <is>
          <t>82224434324781</t>
        </is>
      </c>
      <c r="B39" s="1" t="inlineStr">
        <is>
          <t>ANILLO LOVE CON ZIRCONIA ROSE GOLD</t>
        </is>
      </c>
      <c r="C39" s="1" t="n">
        <v>8</v>
      </c>
      <c r="D39" s="1" t="inlineStr">
        <is>
          <t>HAIFENG</t>
        </is>
      </c>
      <c r="E39" s="6" t="n">
        <v>140</v>
      </c>
      <c r="F39" s="4" t="n">
        <v>6</v>
      </c>
      <c r="G39" s="1" t="inlineStr">
        <is>
          <t>active</t>
        </is>
      </c>
      <c r="H39" s="1" t="inlineStr">
        <is>
          <t>YA TIENE COSTO EN SHOPIFY ($36.00, heredado hoy)</t>
        </is>
      </c>
    </row>
    <row r="40">
      <c r="A40" s="1" t="inlineStr">
        <is>
          <t>668eeef883944</t>
        </is>
      </c>
      <c r="B40" s="1" t="inlineStr">
        <is>
          <t>BOLSO OPHIDIA GC</t>
        </is>
      </c>
      <c r="C40" s="1" t="inlineStr">
        <is>
          <t>18cm de largo x 10cm de alto</t>
        </is>
      </c>
      <c r="D40" s="1" t="inlineStr">
        <is>
          <t>CYNTHIA CAO</t>
        </is>
      </c>
      <c r="E40" s="6" t="n">
        <v>3857</v>
      </c>
      <c r="F40" s="4" t="n">
        <v>5</v>
      </c>
      <c r="G40" s="1" t="inlineStr">
        <is>
          <t>active</t>
        </is>
      </c>
      <c r="H40" s="1" t="inlineStr">
        <is>
          <t>YA TIENE COSTO EN SHOPIFY ($1083.56, heredado hoy)</t>
        </is>
      </c>
    </row>
    <row r="41">
      <c r="A41" s="1" t="inlineStr">
        <is>
          <t>665bd49b2e288</t>
        </is>
      </c>
      <c r="B41" s="1" t="inlineStr">
        <is>
          <t>TARJETERO GC BLACK</t>
        </is>
      </c>
      <c r="C41" s="1" t="inlineStr">
        <is>
          <t>7cm x 10cm</t>
        </is>
      </c>
      <c r="D41" s="1" t="inlineStr">
        <is>
          <t>DINA DU</t>
        </is>
      </c>
      <c r="E41" s="6" t="n">
        <v>1298</v>
      </c>
      <c r="F41" s="4" t="n">
        <v>6</v>
      </c>
      <c r="G41" s="1" t="inlineStr">
        <is>
          <t>active</t>
        </is>
      </c>
      <c r="H41" s="1" t="inlineStr">
        <is>
          <t>YA TIENE COSTO EN SHOPIFY ($364.85, heredado hoy)</t>
        </is>
      </c>
    </row>
    <row r="42">
      <c r="A42" s="1" t="inlineStr">
        <is>
          <t>654bdc29a984e</t>
        </is>
      </c>
      <c r="B42" s="1" t="inlineStr">
        <is>
          <t>GORRA B WHITE</t>
        </is>
      </c>
      <c r="C42" s="1" t="inlineStr">
        <is>
          <t>MIDDLE QUALITY, AJUSTABLE</t>
        </is>
      </c>
      <c r="D42" s="1" t="inlineStr">
        <is>
          <t>ZOEY</t>
        </is>
      </c>
      <c r="E42" s="6" t="n">
        <v>1199</v>
      </c>
      <c r="F42" s="4" t="n">
        <v>6</v>
      </c>
      <c r="G42" s="1" t="inlineStr">
        <is>
          <t>active</t>
        </is>
      </c>
      <c r="H42" s="1" t="inlineStr">
        <is>
          <t>YA TIENE COSTO EN SHOPIFY ($220.31, heredado hoy)</t>
        </is>
      </c>
    </row>
    <row r="43">
      <c r="A43" s="1" t="inlineStr">
        <is>
          <t>89411021033453</t>
        </is>
      </c>
      <c r="B43" s="1" t="inlineStr">
        <is>
          <t>SANDALIAS CD MULE BLUE</t>
        </is>
      </c>
      <c r="C43" s="1" t="inlineStr">
        <is>
          <t>36/23cm</t>
        </is>
      </c>
      <c r="D43" s="1" t="inlineStr">
        <is>
          <t>ZOEY</t>
        </is>
      </c>
      <c r="E43" s="6" t="n">
        <v>3719</v>
      </c>
      <c r="F43" s="4" t="n">
        <v>5</v>
      </c>
      <c r="G43" s="1" t="inlineStr">
        <is>
          <t>active</t>
        </is>
      </c>
      <c r="H43" s="1" t="inlineStr">
        <is>
          <t>YA TIENE COSTO EN SHOPIFY ($857.93, heredado hoy)</t>
        </is>
      </c>
    </row>
    <row r="44">
      <c r="A44" s="1" t="inlineStr">
        <is>
          <t>41186901025805</t>
        </is>
      </c>
      <c r="B44" s="1" t="inlineStr">
        <is>
          <t>ANILLO T SILVER ZIRCONIAS</t>
        </is>
      </c>
      <c r="C44" s="1" t="n">
        <v>6</v>
      </c>
      <c r="D44" s="1" t="inlineStr">
        <is>
          <t>HAIFENG</t>
        </is>
      </c>
      <c r="E44" s="6" t="n">
        <v>650</v>
      </c>
      <c r="F44" s="4" t="n">
        <v>5</v>
      </c>
      <c r="G44" s="1" t="inlineStr">
        <is>
          <t>active</t>
        </is>
      </c>
      <c r="H44" s="1" t="inlineStr">
        <is>
          <t>YA TIENE COSTO EN SHOPIFY ($82.40, heredado hoy)</t>
        </is>
      </c>
    </row>
    <row r="45">
      <c r="A45" s="1" t="inlineStr">
        <is>
          <t>27008341350445</t>
        </is>
      </c>
      <c r="B45" s="1" t="inlineStr">
        <is>
          <t>ANILLO CLAVO JUSTE UN CLOU BLACK</t>
        </is>
      </c>
      <c r="C45" s="1" t="n">
        <v>10</v>
      </c>
      <c r="D45" s="1" t="inlineStr">
        <is>
          <t>JEWELRY REMATE MX</t>
        </is>
      </c>
      <c r="E45" s="6" t="n">
        <v>400</v>
      </c>
      <c r="F45" s="4" t="n">
        <v>5</v>
      </c>
      <c r="G45" s="1" t="inlineStr">
        <is>
          <t>active</t>
        </is>
      </c>
      <c r="H45" s="1" t="inlineStr">
        <is>
          <t>YA TIENE COSTO EN SHOPIFY ($51.50, heredado hoy)</t>
        </is>
      </c>
    </row>
    <row r="46">
      <c r="A46" s="1" t="inlineStr">
        <is>
          <t>97033781006797</t>
        </is>
      </c>
      <c r="B46" s="1" t="inlineStr">
        <is>
          <t>BOLSA DE REGALO PATEK PHILIPPE</t>
        </is>
      </c>
      <c r="C46" s="1" t="inlineStr">
        <is>
          <t>Default Title</t>
        </is>
      </c>
      <c r="D46" s="1" t="inlineStr">
        <is>
          <t>JEWELRY REMATE MX</t>
        </is>
      </c>
      <c r="E46" s="6" t="n">
        <v>99</v>
      </c>
      <c r="F46" s="4" t="n">
        <v>5</v>
      </c>
      <c r="G46" s="1" t="inlineStr">
        <is>
          <t>active</t>
        </is>
      </c>
      <c r="H46" s="1" t="inlineStr">
        <is>
          <t>Falta el costo de compra (no está en ninguna tabla de precios)</t>
        </is>
      </c>
    </row>
    <row r="47">
      <c r="A47" s="1" t="inlineStr">
        <is>
          <t>66593bd0c0e85</t>
        </is>
      </c>
      <c r="B47" s="1" t="inlineStr">
        <is>
          <t>ANILLO LOVE SILVER ANCHO CON ZIRCONIA</t>
        </is>
      </c>
      <c r="C47" s="1" t="n">
        <v>10</v>
      </c>
      <c r="D47" s="1" t="inlineStr">
        <is>
          <t>HAIFENG</t>
        </is>
      </c>
      <c r="E47" s="6" t="n">
        <v>450</v>
      </c>
      <c r="F47" s="4" t="n">
        <v>5</v>
      </c>
      <c r="G47" s="1" t="inlineStr">
        <is>
          <t>active</t>
        </is>
      </c>
      <c r="H47" s="1" t="inlineStr">
        <is>
          <t>YA TIENE COSTO EN SHOPIFY ($36.00, heredado hoy)</t>
        </is>
      </c>
    </row>
    <row r="48">
      <c r="A48" s="1" t="inlineStr">
        <is>
          <t>63e0c54089620</t>
        </is>
      </c>
      <c r="B48" s="1" t="inlineStr">
        <is>
          <t>PULSERA LOVE CON ZIRCONIA SILVER</t>
        </is>
      </c>
      <c r="C48" s="1" t="inlineStr">
        <is>
          <t>20 cm</t>
        </is>
      </c>
      <c r="D48" s="1" t="inlineStr">
        <is>
          <t>HAIFENG</t>
        </is>
      </c>
      <c r="E48" s="6" t="n">
        <v>499</v>
      </c>
      <c r="F48" s="4" t="n">
        <v>5</v>
      </c>
      <c r="G48" s="1" t="inlineStr">
        <is>
          <t>active</t>
        </is>
      </c>
      <c r="H48" s="1" t="inlineStr">
        <is>
          <t>YA TIENE COSTO EN SHOPIFY ($90.00, heredado hoy)</t>
        </is>
      </c>
    </row>
    <row r="49">
      <c r="A49" s="1" t="inlineStr">
        <is>
          <t>25180371098861</t>
        </is>
      </c>
      <c r="B49" s="1" t="inlineStr">
        <is>
          <t>LENTES DE SOL PR BLANCO</t>
        </is>
      </c>
      <c r="C49" s="1" t="inlineStr">
        <is>
          <t>Regular off-white</t>
        </is>
      </c>
      <c r="D49" s="1" t="inlineStr">
        <is>
          <t>HAIFENG</t>
        </is>
      </c>
      <c r="E49" s="6" t="n">
        <v>1484</v>
      </c>
      <c r="F49" s="4" t="n">
        <v>4</v>
      </c>
      <c r="G49" s="1" t="inlineStr">
        <is>
          <t>active</t>
        </is>
      </c>
      <c r="H49" s="1" t="inlineStr">
        <is>
          <t>YA TIENE COSTO EN SHOPIFY ($560.00, heredado hoy)</t>
        </is>
      </c>
    </row>
    <row r="50">
      <c r="A50" s="1" t="inlineStr">
        <is>
          <t>99023161081581</t>
        </is>
      </c>
      <c r="B50" s="1" t="inlineStr">
        <is>
          <t>SANDALIAS CD MULE BLUE</t>
        </is>
      </c>
      <c r="C50" s="1" t="inlineStr">
        <is>
          <t>38/24cm</t>
        </is>
      </c>
      <c r="D50" s="1" t="inlineStr">
        <is>
          <t>ZOEY</t>
        </is>
      </c>
      <c r="E50" s="6" t="n">
        <v>3719</v>
      </c>
      <c r="F50" s="4" t="n">
        <v>4</v>
      </c>
      <c r="G50" s="1" t="inlineStr">
        <is>
          <t>active</t>
        </is>
      </c>
      <c r="H50" s="1" t="inlineStr">
        <is>
          <t>YA TIENE COSTO EN SHOPIFY ($857.93, heredado hoy)</t>
        </is>
      </c>
    </row>
    <row r="51">
      <c r="A51" s="1" t="inlineStr">
        <is>
          <t>27008341483213</t>
        </is>
      </c>
      <c r="B51" s="1" t="inlineStr">
        <is>
          <t>ANILLO CLAVO JUSTE UN CLOU BLACK</t>
        </is>
      </c>
      <c r="C51" s="1" t="n">
        <v>11</v>
      </c>
      <c r="D51" s="1" t="inlineStr">
        <is>
          <t>JEWELRY REMATE MX</t>
        </is>
      </c>
      <c r="E51" s="6" t="n">
        <v>400</v>
      </c>
      <c r="F51" s="4" t="n">
        <v>4</v>
      </c>
      <c r="G51" s="1" t="inlineStr">
        <is>
          <t>active</t>
        </is>
      </c>
      <c r="H51" s="1" t="inlineStr">
        <is>
          <t>YA TIENE COSTO EN SHOPIFY ($51.50, heredado hoy)</t>
        </is>
      </c>
    </row>
    <row r="52">
      <c r="A52" s="1" t="inlineStr">
        <is>
          <t>85969261098733</t>
        </is>
      </c>
      <c r="B52" s="1" t="inlineStr">
        <is>
          <t>RELOJ SANTOS SILVER</t>
        </is>
      </c>
      <c r="C52" s="1" t="inlineStr">
        <is>
          <t>28mm Mujer sin caja</t>
        </is>
      </c>
      <c r="D52" s="1" t="inlineStr">
        <is>
          <t>ZOEY</t>
        </is>
      </c>
      <c r="E52" s="6" t="n">
        <v>4929</v>
      </c>
      <c r="F52" s="4" t="n">
        <v>4</v>
      </c>
      <c r="G52" s="1" t="inlineStr">
        <is>
          <t>active</t>
        </is>
      </c>
      <c r="H52" s="1" t="inlineStr">
        <is>
          <t>YA TIENE COSTO EN SHOPIFY ($1666.83, heredado hoy)</t>
        </is>
      </c>
    </row>
    <row r="53">
      <c r="A53" s="1" t="inlineStr">
        <is>
          <t>43728133305612</t>
        </is>
      </c>
      <c r="B53" s="1" t="inlineStr">
        <is>
          <t>COLLAR TREBOL ROSEGOLD</t>
        </is>
      </c>
      <c r="C53" s="1" t="inlineStr">
        <is>
          <t>MIDDLE QUALITY</t>
        </is>
      </c>
      <c r="D53" s="1" t="inlineStr">
        <is>
          <t>HAIFENG</t>
        </is>
      </c>
      <c r="E53" s="6" t="n">
        <v>331</v>
      </c>
      <c r="F53" s="4" t="n">
        <v>4</v>
      </c>
      <c r="G53" s="1" t="inlineStr">
        <is>
          <t>active</t>
        </is>
      </c>
      <c r="H53" s="1" t="inlineStr">
        <is>
          <t>YA TIENE COSTO EN SHOPIFY ($226.60, heredado hoy)</t>
        </is>
      </c>
    </row>
    <row r="54">
      <c r="A54" s="1" t="inlineStr">
        <is>
          <t>63e0c53c5218b</t>
        </is>
      </c>
      <c r="B54" s="1" t="inlineStr">
        <is>
          <t>PULSERA LOVE GOLD CON ZIRCONIAS</t>
        </is>
      </c>
      <c r="C54" s="1" t="inlineStr">
        <is>
          <t>16 cm</t>
        </is>
      </c>
      <c r="D54" s="1" t="inlineStr">
        <is>
          <t>HAIFENG</t>
        </is>
      </c>
      <c r="E54" s="6" t="n">
        <v>499</v>
      </c>
      <c r="F54" s="4" t="n">
        <v>4</v>
      </c>
      <c r="G54" s="1" t="inlineStr">
        <is>
          <t>active</t>
        </is>
      </c>
      <c r="H54" s="1" t="inlineStr">
        <is>
          <t>YA TIENE COSTO EN SHOPIFY ($36.00, heredado hoy)</t>
        </is>
      </c>
    </row>
    <row r="55">
      <c r="A55" s="1" t="inlineStr">
        <is>
          <t>43047193870476</t>
        </is>
      </c>
      <c r="B55" s="1" t="inlineStr">
        <is>
          <t>COLLAR CORAZÓN SILVER</t>
        </is>
      </c>
      <c r="C55" s="1" t="inlineStr">
        <is>
          <t>40cm con 6.5cm de extensión.</t>
        </is>
      </c>
      <c r="D55" s="1" t="inlineStr">
        <is>
          <t>ZOEY</t>
        </is>
      </c>
      <c r="E55" s="6" t="n">
        <v>750</v>
      </c>
      <c r="F55" s="4" t="n">
        <v>3</v>
      </c>
      <c r="G55" s="1" t="inlineStr">
        <is>
          <t>active</t>
        </is>
      </c>
      <c r="H55" s="1" t="inlineStr">
        <is>
          <t>YA TIENE COSTO EN SHOPIFY ($180.00, heredado hoy)</t>
        </is>
      </c>
    </row>
    <row r="56">
      <c r="A56" s="1" t="inlineStr">
        <is>
          <t>42981979422860</t>
        </is>
      </c>
      <c r="B56" s="1" t="inlineStr">
        <is>
          <t>PULSERA DE TELA V CON ZIRCONIA</t>
        </is>
      </c>
      <c r="C56" s="1" t="inlineStr">
        <is>
          <t>Default Title</t>
        </is>
      </c>
      <c r="D56" s="1" t="inlineStr">
        <is>
          <t>NANCY VIP</t>
        </is>
      </c>
      <c r="E56" s="6" t="n">
        <v>475</v>
      </c>
      <c r="F56" s="4" t="n">
        <v>4</v>
      </c>
      <c r="G56" s="1" t="inlineStr">
        <is>
          <t>active</t>
        </is>
      </c>
      <c r="H56" s="1" t="inlineStr">
        <is>
          <t>YA TIENE COSTO EN SHOPIFY ($143.43, heredado hoy)</t>
        </is>
      </c>
    </row>
    <row r="57">
      <c r="A57" s="1" t="inlineStr">
        <is>
          <t>66581e2b882d9</t>
        </is>
      </c>
      <c r="B57" s="1" t="inlineStr">
        <is>
          <t>BOLSO KELLY BAG PINK</t>
        </is>
      </c>
      <c r="C57" s="1" t="inlineStr">
        <is>
          <t>21cm de largo x 13cm de alto x 6.5cm de ancho</t>
        </is>
      </c>
      <c r="D57" s="1" t="inlineStr">
        <is>
          <t>DINA DU</t>
        </is>
      </c>
      <c r="E57" s="6" t="n">
        <v>2493</v>
      </c>
      <c r="F57" s="4" t="n">
        <v>3</v>
      </c>
      <c r="G57" s="1" t="inlineStr">
        <is>
          <t>active</t>
        </is>
      </c>
      <c r="H57" s="1" t="inlineStr">
        <is>
          <t>YA TIENE COSTO EN SHOPIFY ($415.85, heredado hoy)</t>
        </is>
      </c>
    </row>
    <row r="58">
      <c r="A58" s="1" t="inlineStr">
        <is>
          <t>648cc606e5b5d</t>
        </is>
      </c>
      <c r="B58" s="1" t="inlineStr">
        <is>
          <t>GORRA B BLACK</t>
        </is>
      </c>
      <c r="C58" s="1" t="inlineStr">
        <is>
          <t>Ajustable</t>
        </is>
      </c>
      <c r="D58" s="1" t="inlineStr">
        <is>
          <t>ZOEY</t>
        </is>
      </c>
      <c r="E58" s="6" t="n">
        <v>1199</v>
      </c>
      <c r="F58" s="4" t="n">
        <v>4</v>
      </c>
      <c r="G58" s="1" t="inlineStr">
        <is>
          <t>active</t>
        </is>
      </c>
      <c r="H58" s="1" t="inlineStr">
        <is>
          <t>YA TIENE COSTO EN SHOPIFY ($353.88, heredado hoy)</t>
        </is>
      </c>
    </row>
    <row r="59">
      <c r="A59" s="1" t="inlineStr">
        <is>
          <t>54623401079969</t>
        </is>
      </c>
      <c r="B59" s="1" t="inlineStr">
        <is>
          <t>LENTES PR SQUARE GOLD</t>
        </is>
      </c>
      <c r="C59" s="1" t="inlineStr">
        <is>
          <t>4cm</t>
        </is>
      </c>
      <c r="D59" s="1" t="inlineStr">
        <is>
          <t>CYNTHIA CAO</t>
        </is>
      </c>
      <c r="E59" s="6" t="n">
        <v>1440</v>
      </c>
      <c r="F59" s="4" t="n">
        <v>4</v>
      </c>
      <c r="G59" s="1" t="inlineStr">
        <is>
          <t>active</t>
        </is>
      </c>
      <c r="H59" s="1" t="inlineStr">
        <is>
          <t>YA TIENE COSTO EN SHOPIFY ($747.58, heredado hoy)</t>
        </is>
      </c>
    </row>
    <row r="60">
      <c r="A60" s="1" t="inlineStr">
        <is>
          <t>76001861005581</t>
        </is>
      </c>
      <c r="B60" s="1" t="inlineStr">
        <is>
          <t>RELOJ SANTOS SILVER MEN</t>
        </is>
      </c>
      <c r="C60" s="1" t="inlineStr">
        <is>
          <t>40mm sin caja</t>
        </is>
      </c>
      <c r="D60" s="1" t="inlineStr">
        <is>
          <t>JEWELRY REMATE MX</t>
        </is>
      </c>
      <c r="E60" s="6" t="n">
        <v>4929</v>
      </c>
      <c r="F60" s="4" t="n">
        <v>3</v>
      </c>
      <c r="G60" s="1" t="inlineStr">
        <is>
          <t>active</t>
        </is>
      </c>
      <c r="H60" s="1" t="inlineStr">
        <is>
          <t>Falta el costo de compra (no está en ninguna tabla de precios)</t>
        </is>
      </c>
    </row>
    <row r="61">
      <c r="A61" s="1" t="inlineStr">
        <is>
          <t>11741151091757</t>
        </is>
      </c>
      <c r="B61" s="1" t="inlineStr">
        <is>
          <t>BOLSO YSL SHOPER ICARE BIG</t>
        </is>
      </c>
      <c r="C61" s="1" t="inlineStr">
        <is>
          <t>Default Title</t>
        </is>
      </c>
      <c r="D61" s="1" t="inlineStr">
        <is>
          <t>CYNTHIA CAO</t>
        </is>
      </c>
      <c r="E61" s="6" t="n">
        <v>5840</v>
      </c>
      <c r="F61" s="4" t="n">
        <v>3</v>
      </c>
      <c r="G61" s="1" t="inlineStr">
        <is>
          <t>active</t>
        </is>
      </c>
      <c r="H61" s="1" t="inlineStr">
        <is>
          <t>YA TIENE COSTO EN SHOPIFY ($1458.25, heredado hoy)</t>
        </is>
      </c>
    </row>
    <row r="62">
      <c r="A62" s="1" t="inlineStr">
        <is>
          <t>24019001005293</t>
        </is>
      </c>
      <c r="B62" s="1" t="inlineStr">
        <is>
          <t>PULSERA CLAVO BLACK CON ZIRCONIA</t>
        </is>
      </c>
      <c r="C62" s="1" t="inlineStr">
        <is>
          <t>17CM</t>
        </is>
      </c>
      <c r="D62" s="1" t="inlineStr">
        <is>
          <t>JEWELRY REMATE MX</t>
        </is>
      </c>
      <c r="E62" s="6" t="n">
        <v>450</v>
      </c>
      <c r="F62" s="4" t="n">
        <v>3</v>
      </c>
      <c r="G62" s="1" t="inlineStr">
        <is>
          <t>active</t>
        </is>
      </c>
      <c r="H62" s="1" t="inlineStr">
        <is>
          <t>YA TIENE COSTO EN SHOPIFY ($61.92, heredado hoy)</t>
        </is>
      </c>
    </row>
    <row r="63">
      <c r="A63" s="1" t="inlineStr">
        <is>
          <t>87812721031277</t>
        </is>
      </c>
      <c r="B63" s="1" t="inlineStr">
        <is>
          <t>BOLSA DE REGALO CARTIER</t>
        </is>
      </c>
      <c r="C63" s="1" t="inlineStr">
        <is>
          <t>Default Title</t>
        </is>
      </c>
      <c r="D63" s="1" t="inlineStr">
        <is>
          <t>JEWELRY REMATE MX</t>
        </is>
      </c>
      <c r="E63" s="6" t="n">
        <v>99</v>
      </c>
      <c r="F63" s="4" t="n">
        <v>3</v>
      </c>
      <c r="G63" s="1" t="inlineStr">
        <is>
          <t>active</t>
        </is>
      </c>
      <c r="H63" s="1" t="inlineStr">
        <is>
          <t>Falta el costo de compra (no está en ninguna tabla de precios)</t>
        </is>
      </c>
    </row>
    <row r="64">
      <c r="A64" s="1" t="inlineStr">
        <is>
          <t>66768001027085</t>
        </is>
      </c>
      <c r="B64" s="1" t="inlineStr">
        <is>
          <t>BRAZALETE H ROSE GOLD ZIRCONIAS</t>
        </is>
      </c>
      <c r="C64" s="1" t="inlineStr">
        <is>
          <t>Default Title</t>
        </is>
      </c>
      <c r="D64" s="1" t="inlineStr">
        <is>
          <t>HAIFENG</t>
        </is>
      </c>
      <c r="E64" s="6" t="n">
        <v>1236</v>
      </c>
      <c r="F64" s="4" t="n">
        <v>3</v>
      </c>
      <c r="G64" s="1" t="inlineStr">
        <is>
          <t>active</t>
        </is>
      </c>
      <c r="H64" s="1" t="inlineStr">
        <is>
          <t>YA TIENE COSTO EN SHOPIFY ($309.00, heredado hoy)</t>
        </is>
      </c>
    </row>
    <row r="65">
      <c r="A65" s="1" t="inlineStr">
        <is>
          <t>66075802307343</t>
        </is>
      </c>
      <c r="B65" s="1" t="inlineStr">
        <is>
          <t>PULSERA CLAIR D LUNE SILVER CD</t>
        </is>
      </c>
      <c r="C65" s="1" t="inlineStr">
        <is>
          <t>17cm largo 5cm de extensión dije 2cm</t>
        </is>
      </c>
      <c r="D65" s="1" t="inlineStr">
        <is>
          <t>HAIFENG</t>
        </is>
      </c>
      <c r="E65" s="6" t="n">
        <v>412</v>
      </c>
      <c r="F65" s="4" t="n">
        <v>3</v>
      </c>
      <c r="G65" s="1" t="inlineStr">
        <is>
          <t>active</t>
        </is>
      </c>
      <c r="H65" s="1" t="inlineStr">
        <is>
          <t>YA TIENE COSTO EN SHOPIFY ($82.40, heredado hoy)</t>
        </is>
      </c>
    </row>
    <row r="66">
      <c r="A66" s="1" t="inlineStr">
        <is>
          <t>66593bd02e6c3</t>
        </is>
      </c>
      <c r="B66" s="1" t="inlineStr">
        <is>
          <t>ANILLO LOVE SILVER ANCHO CON ZIRCONIA</t>
        </is>
      </c>
      <c r="C66" s="1" t="n">
        <v>9</v>
      </c>
      <c r="D66" s="1" t="inlineStr">
        <is>
          <t>HAIFENG</t>
        </is>
      </c>
      <c r="E66" s="6" t="n">
        <v>450</v>
      </c>
      <c r="F66" s="4" t="n">
        <v>3</v>
      </c>
      <c r="G66" s="1" t="inlineStr">
        <is>
          <t>active</t>
        </is>
      </c>
      <c r="H66" s="1" t="inlineStr">
        <is>
          <t>YA TIENE COSTO EN SHOPIFY ($36.00, heredado hoy)</t>
        </is>
      </c>
    </row>
    <row r="67">
      <c r="A67" s="1" t="inlineStr">
        <is>
          <t>82224434590317</t>
        </is>
      </c>
      <c r="B67" s="1" t="inlineStr">
        <is>
          <t>ANILLO LOVE CON ZIRCONIA ROSE GOLD</t>
        </is>
      </c>
      <c r="C67" s="1" t="n">
        <v>10</v>
      </c>
      <c r="D67" s="1" t="inlineStr">
        <is>
          <t>HAIFENG</t>
        </is>
      </c>
      <c r="E67" s="6" t="n">
        <v>140</v>
      </c>
      <c r="F67" s="4" t="n">
        <v>2</v>
      </c>
      <c r="G67" s="1" t="inlineStr">
        <is>
          <t>active</t>
        </is>
      </c>
      <c r="H67" s="1" t="inlineStr">
        <is>
          <t>YA TIENE COSTO EN SHOPIFY ($36.00, heredado hoy)</t>
        </is>
      </c>
    </row>
    <row r="68">
      <c r="A68" s="1" t="inlineStr">
        <is>
          <t>12491221098733</t>
        </is>
      </c>
      <c r="B68" s="1" t="inlineStr">
        <is>
          <t>PULSERA LOVE ROSE GOLD</t>
        </is>
      </c>
      <c r="C68" s="1" t="inlineStr">
        <is>
          <t>19cm OUTLET</t>
        </is>
      </c>
      <c r="D68" s="1" t="inlineStr">
        <is>
          <t>HAIFENG</t>
        </is>
      </c>
      <c r="E68" s="6" t="n">
        <v>300</v>
      </c>
      <c r="F68" s="4" t="n">
        <v>3</v>
      </c>
      <c r="G68" s="1" t="inlineStr">
        <is>
          <t>active</t>
        </is>
      </c>
      <c r="H68" s="1" t="inlineStr">
        <is>
          <t>YA TIENE COSTO EN SHOPIFY ($94.57, heredado hoy)</t>
        </is>
      </c>
    </row>
    <row r="69">
      <c r="A69" s="1" t="inlineStr">
        <is>
          <t>63e0c58e6ee5a</t>
        </is>
      </c>
      <c r="B69" s="1" t="inlineStr">
        <is>
          <t>PULSERA LOVE DELGADA ROSE GOLD CON ZIRCONIA</t>
        </is>
      </c>
      <c r="C69" s="1" t="inlineStr">
        <is>
          <t>16cm</t>
        </is>
      </c>
      <c r="D69" s="1" t="inlineStr">
        <is>
          <t>COCOMA</t>
        </is>
      </c>
      <c r="E69" s="6" t="n">
        <v>499</v>
      </c>
      <c r="F69" s="4" t="n">
        <v>3</v>
      </c>
      <c r="G69" s="1" t="inlineStr">
        <is>
          <t>active</t>
        </is>
      </c>
      <c r="H69" s="1" t="inlineStr">
        <is>
          <t>YA TIENE COSTO EN SHOPIFY ($120.00, heredado hoy)</t>
        </is>
      </c>
    </row>
    <row r="70">
      <c r="A70" s="1" t="inlineStr">
        <is>
          <t>84909921062957</t>
        </is>
      </c>
      <c r="B70" s="1" t="inlineStr">
        <is>
          <t>PULSERA LOVE GOLD</t>
        </is>
      </c>
      <c r="C70" s="1" t="inlineStr">
        <is>
          <t>17CM OUTLET</t>
        </is>
      </c>
      <c r="D70" s="1" t="inlineStr">
        <is>
          <t>HAIFENG</t>
        </is>
      </c>
      <c r="E70" s="6" t="n">
        <v>429</v>
      </c>
      <c r="F70" s="4" t="n">
        <v>3</v>
      </c>
      <c r="G70" s="1" t="inlineStr">
        <is>
          <t>active</t>
        </is>
      </c>
      <c r="H70" s="1" t="inlineStr">
        <is>
          <t>YA TIENE COSTO EN SHOPIFY ($94.65, heredado hoy)</t>
        </is>
      </c>
    </row>
    <row r="71">
      <c r="A71" s="1" t="inlineStr">
        <is>
          <t>66176c8ce2953</t>
        </is>
      </c>
      <c r="B71" s="1" t="inlineStr">
        <is>
          <t>ANILLO LOVE ROSE GOLD ANCHO</t>
        </is>
      </c>
      <c r="C71" s="1" t="n">
        <v>10</v>
      </c>
      <c r="D71" s="1" t="inlineStr">
        <is>
          <t>HAIFENG</t>
        </is>
      </c>
      <c r="E71" s="6" t="n">
        <v>400</v>
      </c>
      <c r="F71" s="4" t="n">
        <v>3</v>
      </c>
      <c r="G71" s="1" t="inlineStr">
        <is>
          <t>active</t>
        </is>
      </c>
      <c r="H71" s="1" t="inlineStr">
        <is>
          <t>YA TIENE COSTO EN SHOPIFY ($36.00, heredado hoy)</t>
        </is>
      </c>
    </row>
    <row r="72">
      <c r="A72" s="1" t="inlineStr">
        <is>
          <t>66593bc8e0b0c</t>
        </is>
      </c>
      <c r="B72" s="1" t="inlineStr">
        <is>
          <t>ANILLO LOVE ROSE GOLD ANCHO CON ZIRCONIA</t>
        </is>
      </c>
      <c r="C72" s="1" t="n">
        <v>8</v>
      </c>
      <c r="D72" s="1" t="inlineStr">
        <is>
          <t>HAIFENG</t>
        </is>
      </c>
      <c r="E72" s="6" t="n">
        <v>260</v>
      </c>
      <c r="F72" s="4" t="n">
        <v>3</v>
      </c>
      <c r="G72" s="1" t="inlineStr">
        <is>
          <t>active</t>
        </is>
      </c>
      <c r="H72" s="1" t="inlineStr">
        <is>
          <t>YA TIENE COSTO EN SHOPIFY ($36.00, heredado hoy)</t>
        </is>
      </c>
    </row>
    <row r="73">
      <c r="A73" s="1" t="inlineStr">
        <is>
          <t>63e0c53c1484a</t>
        </is>
      </c>
      <c r="B73" s="1" t="inlineStr">
        <is>
          <t>PULSERA LOVE CON ZIRCONIA SILVER</t>
        </is>
      </c>
      <c r="C73" s="1" t="inlineStr">
        <is>
          <t>16 cm</t>
        </is>
      </c>
      <c r="D73" s="1" t="inlineStr">
        <is>
          <t>HAIFENG</t>
        </is>
      </c>
      <c r="E73" s="6" t="n">
        <v>499</v>
      </c>
      <c r="F73" s="4" t="n">
        <v>3</v>
      </c>
      <c r="G73" s="1" t="inlineStr">
        <is>
          <t>active</t>
        </is>
      </c>
      <c r="H73" s="1" t="inlineStr">
        <is>
          <t>YA TIENE COSTO EN SHOPIFY ($90.00, heredado hoy)</t>
        </is>
      </c>
    </row>
    <row r="74">
      <c r="A74" s="1" t="inlineStr">
        <is>
          <t>85938951091373</t>
        </is>
      </c>
      <c r="B74" s="1" t="inlineStr">
        <is>
          <t>CINTO FR ROSEGOLD</t>
        </is>
      </c>
      <c r="C74" s="1" t="inlineStr">
        <is>
          <t>100cm OUTLET</t>
        </is>
      </c>
      <c r="D74" s="1" t="inlineStr">
        <is>
          <t>DINA DU</t>
        </is>
      </c>
      <c r="E74" s="6" t="n">
        <v>1199</v>
      </c>
      <c r="F74" s="4" t="n">
        <v>2</v>
      </c>
      <c r="G74" s="1" t="inlineStr">
        <is>
          <t>active</t>
        </is>
      </c>
      <c r="H74" s="1" t="inlineStr">
        <is>
          <t>YA TIENE COSTO EN SHOPIFY ($326.31, heredado hoy)</t>
        </is>
      </c>
    </row>
    <row r="75">
      <c r="A75" s="1" t="inlineStr">
        <is>
          <t>64e78e6aeff59</t>
        </is>
      </c>
      <c r="B75" s="1" t="inlineStr">
        <is>
          <t>PULSERA ONE T CON ZIRCONIA GOLD</t>
        </is>
      </c>
      <c r="C75" s="1" t="inlineStr">
        <is>
          <t>16cm</t>
        </is>
      </c>
      <c r="D75" s="1" t="inlineStr">
        <is>
          <t>CYNTHIA CAO</t>
        </is>
      </c>
      <c r="E75" s="6" t="n">
        <v>1215</v>
      </c>
      <c r="F75" s="4" t="n">
        <v>3</v>
      </c>
      <c r="G75" s="1" t="inlineStr">
        <is>
          <t>active</t>
        </is>
      </c>
      <c r="H75" s="1" t="inlineStr">
        <is>
          <t>YA TIENE COSTO EN SHOPIFY ($291.32, heredado hoy)</t>
        </is>
      </c>
    </row>
    <row r="76">
      <c r="A76" s="1" t="inlineStr">
        <is>
          <t>41928701034317</t>
        </is>
      </c>
      <c r="B76" s="1" t="inlineStr">
        <is>
          <t>PULSERA TB GOLD</t>
        </is>
      </c>
      <c r="C76" s="1" t="inlineStr">
        <is>
          <t>17 CM OUTLET</t>
        </is>
      </c>
      <c r="D76" s="1" t="inlineStr">
        <is>
          <t>NANCY VIP</t>
        </is>
      </c>
      <c r="E76" s="6" t="n">
        <v>424</v>
      </c>
      <c r="F76" s="4" t="n">
        <v>3</v>
      </c>
      <c r="G76" s="1" t="inlineStr">
        <is>
          <t>active</t>
        </is>
      </c>
      <c r="H76" s="1" t="inlineStr">
        <is>
          <t>YA TIENE COSTO EN SHOPIFY ($127.02, heredado hoy)</t>
        </is>
      </c>
    </row>
    <row r="77">
      <c r="A77" s="1" t="inlineStr">
        <is>
          <t>78475131038701</t>
        </is>
      </c>
      <c r="B77" s="1" t="inlineStr">
        <is>
          <t>COLLAR CLAVO ROUND ROSEGOLD</t>
        </is>
      </c>
      <c r="C77" s="1" t="inlineStr">
        <is>
          <t>OUTLET</t>
        </is>
      </c>
      <c r="D77" s="1" t="inlineStr">
        <is>
          <t>NANCY VIP</t>
        </is>
      </c>
      <c r="E77" s="6" t="n">
        <v>550</v>
      </c>
      <c r="F77" s="4" t="n">
        <v>3</v>
      </c>
      <c r="G77" s="1" t="inlineStr">
        <is>
          <t>active</t>
        </is>
      </c>
      <c r="H77" s="1" t="inlineStr">
        <is>
          <t>YA TIENE COSTO EN SHOPIFY ($181.35, heredado hoy)</t>
        </is>
      </c>
    </row>
    <row r="78">
      <c r="A78" s="1" t="inlineStr">
        <is>
          <t>63e0b1e26cab2</t>
        </is>
      </c>
      <c r="B78" s="1" t="inlineStr">
        <is>
          <t>ANILLO BV GOLD DELGADO</t>
        </is>
      </c>
      <c r="C78" s="1" t="n">
        <v>5</v>
      </c>
      <c r="D78" s="1" t="inlineStr">
        <is>
          <t>COCOMA</t>
        </is>
      </c>
      <c r="E78" s="6" t="n">
        <v>678</v>
      </c>
      <c r="F78" s="4" t="n">
        <v>3</v>
      </c>
      <c r="G78" s="1" t="inlineStr">
        <is>
          <t>active</t>
        </is>
      </c>
      <c r="H78" s="1" t="inlineStr">
        <is>
          <t>YA TIENE COSTO EN SHOPIFY ($157.80, heredado hoy)</t>
        </is>
      </c>
    </row>
    <row r="79">
      <c r="A79" s="1" t="inlineStr">
        <is>
          <t>34777701039853</t>
        </is>
      </c>
      <c r="B79" s="1" t="inlineStr">
        <is>
          <t>TRAJE DE BAÑO C</t>
        </is>
      </c>
      <c r="C79" s="1" t="inlineStr">
        <is>
          <t>S</t>
        </is>
      </c>
      <c r="D79" s="1" t="inlineStr">
        <is>
          <t>CYNTHIA CAO</t>
        </is>
      </c>
      <c r="E79" s="6" t="n">
        <v>1099</v>
      </c>
      <c r="F79" s="4" t="n">
        <v>3</v>
      </c>
      <c r="G79" s="1" t="inlineStr">
        <is>
          <t>active</t>
        </is>
      </c>
      <c r="H79" s="1" t="inlineStr">
        <is>
          <t>Falta el costo de compra (no está en ninguna tabla de precios)</t>
        </is>
      </c>
    </row>
    <row r="80">
      <c r="A80" s="1" t="inlineStr">
        <is>
          <t>76001861138349</t>
        </is>
      </c>
      <c r="B80" s="1" t="inlineStr">
        <is>
          <t>RELOJ SANTOS SILVER MEN</t>
        </is>
      </c>
      <c r="C80" s="1" t="inlineStr">
        <is>
          <t>33mm sin caja</t>
        </is>
      </c>
      <c r="D80" s="1" t="inlineStr">
        <is>
          <t>JEWELRY REMATE MX</t>
        </is>
      </c>
      <c r="E80" s="6" t="n">
        <v>4929</v>
      </c>
      <c r="F80" s="4" t="n">
        <v>2</v>
      </c>
      <c r="G80" s="1" t="inlineStr">
        <is>
          <t>active</t>
        </is>
      </c>
      <c r="H80" s="1" t="inlineStr">
        <is>
          <t>Falta el costo de compra (no está en ninguna tabla de precios)</t>
        </is>
      </c>
    </row>
    <row r="81">
      <c r="A81" s="1" t="inlineStr">
        <is>
          <t>19531111019885</t>
        </is>
      </c>
      <c r="B81" s="1" t="inlineStr">
        <is>
          <t>ANILLO DOBLE T ANCHO CON ZIRCONIAS SILVER</t>
        </is>
      </c>
      <c r="C81" s="1" t="inlineStr">
        <is>
          <t>Default Title</t>
        </is>
      </c>
      <c r="D81" s="1" t="inlineStr">
        <is>
          <t>HAIFENG</t>
        </is>
      </c>
      <c r="E81" s="6" t="n">
        <v>650</v>
      </c>
      <c r="F81" s="4" t="n">
        <v>2</v>
      </c>
      <c r="G81" s="1" t="inlineStr">
        <is>
          <t>active</t>
        </is>
      </c>
      <c r="H81" s="1" t="inlineStr">
        <is>
          <t>YA TIENE COSTO EN SHOPIFY ($140.00, heredado hoy)</t>
        </is>
      </c>
    </row>
    <row r="82">
      <c r="A82" s="1" t="inlineStr">
        <is>
          <t>40049131342382</t>
        </is>
      </c>
      <c r="B82" s="1" t="inlineStr">
        <is>
          <t>MONEDERO LV MONOGRAM BLACK</t>
        </is>
      </c>
      <c r="C82" s="1" t="inlineStr">
        <is>
          <t>OUTLET</t>
        </is>
      </c>
      <c r="D82" s="1" t="inlineStr">
        <is>
          <t>NANCY VIP</t>
        </is>
      </c>
      <c r="E82" s="6" t="n">
        <v>699</v>
      </c>
      <c r="F82" s="4" t="n">
        <v>2</v>
      </c>
      <c r="G82" s="1" t="inlineStr">
        <is>
          <t>active</t>
        </is>
      </c>
      <c r="H82" s="1" t="inlineStr">
        <is>
          <t>YA TIENE COSTO EN SHOPIFY ($222.15, heredado hoy)</t>
        </is>
      </c>
    </row>
    <row r="83">
      <c r="A83" s="1" t="inlineStr">
        <is>
          <t>34163622017518</t>
        </is>
      </c>
      <c r="B83" s="1" t="inlineStr">
        <is>
          <t>CARTERA F BAGUETTE WHITE</t>
        </is>
      </c>
      <c r="C83" s="1" t="inlineStr">
        <is>
          <t>OUTLET</t>
        </is>
      </c>
      <c r="D83" s="1" t="inlineStr">
        <is>
          <t>ZOEY</t>
        </is>
      </c>
      <c r="E83" s="6" t="n">
        <v>3999</v>
      </c>
      <c r="F83" s="4" t="n">
        <v>2</v>
      </c>
      <c r="G83" s="1" t="inlineStr">
        <is>
          <t>active</t>
        </is>
      </c>
      <c r="H83" s="1" t="inlineStr">
        <is>
          <t>YA TIENE COSTO EN SHOPIFY ($1331.66, heredado hoy)</t>
        </is>
      </c>
    </row>
    <row r="84">
      <c r="A84" s="1" t="inlineStr">
        <is>
          <t>27008341217677</t>
        </is>
      </c>
      <c r="B84" s="1" t="inlineStr">
        <is>
          <t>ANILLO CLAVO JUSTE UN CLOU BLACK</t>
        </is>
      </c>
      <c r="C84" s="1" t="n">
        <v>9</v>
      </c>
      <c r="D84" s="1" t="inlineStr">
        <is>
          <t>JEWELRY REMATE MX</t>
        </is>
      </c>
      <c r="E84" s="6" t="n">
        <v>400</v>
      </c>
      <c r="F84" s="4" t="n">
        <v>2</v>
      </c>
      <c r="G84" s="1" t="inlineStr">
        <is>
          <t>active</t>
        </is>
      </c>
      <c r="H84" s="1" t="inlineStr">
        <is>
          <t>YA TIENE COSTO EN SHOPIFY ($51.50, heredado hoy)</t>
        </is>
      </c>
    </row>
    <row r="85">
      <c r="A85" s="1" t="inlineStr">
        <is>
          <t>53718651039597</t>
        </is>
      </c>
      <c r="B85" s="1" t="inlineStr">
        <is>
          <t>ANILLO GC DIAGONAL ANCHO</t>
        </is>
      </c>
      <c r="C85" s="1" t="inlineStr">
        <is>
          <t>Default Title</t>
        </is>
      </c>
      <c r="D85" s="1" t="inlineStr">
        <is>
          <t>JEWELRY REMATE MX</t>
        </is>
      </c>
      <c r="E85" s="6" t="n">
        <v>450</v>
      </c>
      <c r="F85" s="4" t="n">
        <v>2</v>
      </c>
      <c r="G85" s="1" t="inlineStr">
        <is>
          <t>active</t>
        </is>
      </c>
      <c r="H85" s="1" t="inlineStr">
        <is>
          <t>YA TIENE COSTO EN SHOPIFY ($86.76, heredado hoy)</t>
        </is>
      </c>
    </row>
    <row r="86">
      <c r="A86" s="1" t="inlineStr">
        <is>
          <t>91424431037133</t>
        </is>
      </c>
      <c r="B86" s="1" t="inlineStr">
        <is>
          <t>COLLAR T CORAZÓN CON ZIRCONIA</t>
        </is>
      </c>
      <c r="C86" s="1" t="inlineStr">
        <is>
          <t>MIDDLE QUALITY</t>
        </is>
      </c>
      <c r="D86" s="1" t="inlineStr">
        <is>
          <t>ZOEY</t>
        </is>
      </c>
      <c r="E86" s="6" t="n">
        <v>799</v>
      </c>
      <c r="F86" s="4" t="n">
        <v>2</v>
      </c>
      <c r="G86" s="1" t="inlineStr">
        <is>
          <t>active</t>
        </is>
      </c>
      <c r="H86" s="1" t="inlineStr">
        <is>
          <t>YA TIENE COSTO EN SHOPIFY ($177.64, heredado hoy)</t>
        </is>
      </c>
    </row>
    <row r="87">
      <c r="A87" s="1" t="inlineStr">
        <is>
          <t>72561411199821</t>
        </is>
      </c>
      <c r="B87" s="1" t="inlineStr">
        <is>
          <t>COLLAR GC LOGO SILVER MINI</t>
        </is>
      </c>
      <c r="C87" s="1" t="inlineStr">
        <is>
          <t>Default Title</t>
        </is>
      </c>
      <c r="D87" s="1" t="inlineStr">
        <is>
          <t>JEWELRY REMATE MX</t>
        </is>
      </c>
      <c r="E87" s="6" t="n">
        <v>299</v>
      </c>
      <c r="F87" s="4" t="n">
        <v>2</v>
      </c>
      <c r="G87" s="1" t="inlineStr">
        <is>
          <t>active</t>
        </is>
      </c>
      <c r="H87" s="1" t="inlineStr">
        <is>
          <t>YA TIENE COSTO EN SHOPIFY ($130.08, heredado hoy)</t>
        </is>
      </c>
    </row>
    <row r="88">
      <c r="A88" s="1" t="inlineStr">
        <is>
          <t>65786751076142</t>
        </is>
      </c>
      <c r="B88" s="1" t="inlineStr">
        <is>
          <t>COLLAR POP H SILVER WHITE</t>
        </is>
      </c>
      <c r="C88" s="1" t="inlineStr">
        <is>
          <t>OUTLET</t>
        </is>
      </c>
      <c r="D88" s="1" t="inlineStr">
        <is>
          <t>NANCY VIP</t>
        </is>
      </c>
      <c r="E88" s="6" t="n">
        <v>200</v>
      </c>
      <c r="F88" s="4" t="n">
        <v>2</v>
      </c>
      <c r="G88" s="1" t="inlineStr">
        <is>
          <t>active</t>
        </is>
      </c>
      <c r="H88" s="1" t="inlineStr">
        <is>
          <t>YA TIENE COSTO EN SHOPIFY ($93.80, heredado hoy)</t>
        </is>
      </c>
    </row>
    <row r="89">
      <c r="A89" s="1" t="inlineStr">
        <is>
          <t>83342121177357</t>
        </is>
      </c>
      <c r="B89" s="1" t="inlineStr">
        <is>
          <t>TRAJE DE BAÑO DG BLACK</t>
        </is>
      </c>
      <c r="C89" s="1" t="inlineStr">
        <is>
          <t>s</t>
        </is>
      </c>
      <c r="D89" s="1" t="inlineStr">
        <is>
          <t>CYNTHIA CAO</t>
        </is>
      </c>
      <c r="E89" s="6" t="n">
        <v>1199</v>
      </c>
      <c r="F89" s="4" t="n">
        <v>2</v>
      </c>
      <c r="G89" s="1" t="inlineStr">
        <is>
          <t>active</t>
        </is>
      </c>
      <c r="H89" s="1" t="inlineStr">
        <is>
          <t>YA TIENE COSTO EN SHOPIFY ($224.27, heredado hoy)</t>
        </is>
      </c>
    </row>
    <row r="90">
      <c r="A90" s="1" t="inlineStr">
        <is>
          <t>57277821081325</t>
        </is>
      </c>
      <c r="B90" s="1" t="inlineStr">
        <is>
          <t>BOLSA DE REGALO MIU MIU PINK</t>
        </is>
      </c>
      <c r="C90" s="1" t="inlineStr">
        <is>
          <t>Default Title</t>
        </is>
      </c>
      <c r="D90" s="1" t="inlineStr">
        <is>
          <t>JEWELRY REMATE MX</t>
        </is>
      </c>
      <c r="E90" s="6" t="n">
        <v>70</v>
      </c>
      <c r="F90" s="4" t="n">
        <v>2</v>
      </c>
      <c r="G90" s="1" t="inlineStr">
        <is>
          <t>active</t>
        </is>
      </c>
      <c r="H90" s="1" t="inlineStr">
        <is>
          <t>Falta el costo de compra (no está en ninguna tabla de precios)</t>
        </is>
      </c>
    </row>
    <row r="91">
      <c r="A91" s="1" t="inlineStr">
        <is>
          <t>76070781039245</t>
        </is>
      </c>
      <c r="B91" s="1" t="inlineStr">
        <is>
          <t>BOLSA DE REGALO CELINE</t>
        </is>
      </c>
      <c r="C91" s="1" t="inlineStr">
        <is>
          <t>Default Title</t>
        </is>
      </c>
      <c r="D91" s="1" t="inlineStr">
        <is>
          <t>JEWELRY REMATE MX</t>
        </is>
      </c>
      <c r="E91" s="6" t="n">
        <v>70</v>
      </c>
      <c r="F91" s="4" t="n">
        <v>2</v>
      </c>
      <c r="G91" s="1" t="inlineStr">
        <is>
          <t>active</t>
        </is>
      </c>
      <c r="H91" s="1" t="inlineStr">
        <is>
          <t>Falta el costo de compra (no está en ninguna tabla de precios)</t>
        </is>
      </c>
    </row>
    <row r="92">
      <c r="A92" s="1" t="inlineStr">
        <is>
          <t>41889241938701</t>
        </is>
      </c>
      <c r="B92" s="1" t="inlineStr">
        <is>
          <t>ARRACADAS GC INTERLOCKING GOLD</t>
        </is>
      </c>
      <c r="C92" s="1" t="inlineStr">
        <is>
          <t>Default Title</t>
        </is>
      </c>
      <c r="D92" s="1" t="inlineStr">
        <is>
          <t>CYNTHIA CAO</t>
        </is>
      </c>
      <c r="E92" s="6" t="n">
        <v>475</v>
      </c>
      <c r="F92" s="4" t="n">
        <v>2</v>
      </c>
      <c r="G92" s="1" t="inlineStr">
        <is>
          <t>active</t>
        </is>
      </c>
      <c r="H92" s="1" t="inlineStr">
        <is>
          <t>YA TIENE COSTO EN SHOPIFY ($183.06, heredado hoy)</t>
        </is>
      </c>
    </row>
    <row r="93">
      <c r="A93" s="1" t="inlineStr">
        <is>
          <t>17360611572909</t>
        </is>
      </c>
      <c r="B93" s="1" t="inlineStr">
        <is>
          <t>RELOJ NAUTILUS PP</t>
        </is>
      </c>
      <c r="C93" s="1" t="inlineStr">
        <is>
          <t>RELOJ SIN CAJA</t>
        </is>
      </c>
      <c r="D93" s="1" t="inlineStr">
        <is>
          <t>ZOEY</t>
        </is>
      </c>
      <c r="E93" s="6" t="n">
        <v>5199</v>
      </c>
      <c r="F93" s="4" t="n">
        <v>2</v>
      </c>
      <c r="G93" s="1" t="inlineStr">
        <is>
          <t>active</t>
        </is>
      </c>
      <c r="H93" s="1" t="inlineStr">
        <is>
          <t>YA TIENE COSTO EN SHOPIFY ($1485.31, heredado hoy)</t>
        </is>
      </c>
    </row>
    <row r="94">
      <c r="A94" s="1" t="inlineStr">
        <is>
          <t>67201535562669</t>
        </is>
      </c>
      <c r="B94" s="1" t="inlineStr">
        <is>
          <t>ANILLO PERLEE SIGNATURE SILVER VF</t>
        </is>
      </c>
      <c r="C94" s="1" t="n">
        <v>8</v>
      </c>
      <c r="D94" s="1" t="inlineStr">
        <is>
          <t>HAIFENG</t>
        </is>
      </c>
      <c r="E94" s="6" t="n">
        <v>412</v>
      </c>
      <c r="F94" s="4" t="n">
        <v>2</v>
      </c>
      <c r="G94" s="1" t="inlineStr">
        <is>
          <t>active</t>
        </is>
      </c>
      <c r="H94" s="1" t="inlineStr">
        <is>
          <t>YA TIENE COSTO EN SHOPIFY ($100.00, heredado hoy)</t>
        </is>
      </c>
    </row>
    <row r="95">
      <c r="A95" s="1" t="inlineStr">
        <is>
          <t>67201534130445</t>
        </is>
      </c>
      <c r="B95" s="1" t="inlineStr">
        <is>
          <t>ANILLO KNOT CON ZIRCONIAS T GOLD</t>
        </is>
      </c>
      <c r="C95" s="1" t="n">
        <v>7</v>
      </c>
      <c r="D95" s="1" t="inlineStr">
        <is>
          <t>HAIFENG</t>
        </is>
      </c>
      <c r="E95" s="6" t="n">
        <v>230</v>
      </c>
      <c r="F95" s="4" t="n">
        <v>2</v>
      </c>
      <c r="G95" s="1" t="inlineStr">
        <is>
          <t>active</t>
        </is>
      </c>
      <c r="H95" s="1" t="inlineStr">
        <is>
          <t>YA TIENE COSTO EN SHOPIFY ($133.90, heredado hoy)</t>
        </is>
      </c>
    </row>
    <row r="96">
      <c r="A96" s="1" t="inlineStr">
        <is>
          <t>99019871073389</t>
        </is>
      </c>
      <c r="B96" s="1" t="inlineStr">
        <is>
          <t>BRAZALETE KELLY CLIC H ROSE GOLD</t>
        </is>
      </c>
      <c r="C96" s="1" t="inlineStr">
        <is>
          <t>OUTLET</t>
        </is>
      </c>
      <c r="D96" s="1" t="inlineStr">
        <is>
          <t>HAIFENG</t>
        </is>
      </c>
      <c r="E96" s="6" t="n">
        <v>700</v>
      </c>
      <c r="F96" s="4" t="n">
        <v>2</v>
      </c>
      <c r="G96" s="1" t="inlineStr">
        <is>
          <t>active</t>
        </is>
      </c>
      <c r="H96" s="1" t="inlineStr">
        <is>
          <t>YA TIENE COSTO EN SHOPIFY ($211.09, heredado hoy)</t>
        </is>
      </c>
    </row>
    <row r="97">
      <c r="A97" s="1" t="inlineStr">
        <is>
          <t>64085742661293</t>
        </is>
      </c>
      <c r="B97" s="1" t="inlineStr">
        <is>
          <t>ANILLO ALLIANCE ROSE GOLD C</t>
        </is>
      </c>
      <c r="C97" s="1" t="n">
        <v>5</v>
      </c>
      <c r="D97" s="1" t="inlineStr">
        <is>
          <t>HAIFENG</t>
        </is>
      </c>
      <c r="E97" s="6" t="n">
        <v>400</v>
      </c>
      <c r="F97" s="4" t="n">
        <v>2</v>
      </c>
      <c r="G97" s="1" t="inlineStr">
        <is>
          <t>active</t>
        </is>
      </c>
      <c r="H97" s="1" t="inlineStr">
        <is>
          <t>YA TIENE COSTO EN SHOPIFY ($41.20, heredado hoy)</t>
        </is>
      </c>
    </row>
    <row r="98">
      <c r="A98" s="1" t="inlineStr">
        <is>
          <t>64085741753581</t>
        </is>
      </c>
      <c r="B98" s="1" t="inlineStr">
        <is>
          <t>COLLAR SAPHIRS D’AMOUR PURPLE C</t>
        </is>
      </c>
      <c r="C98" s="1" t="inlineStr">
        <is>
          <t>Default Title</t>
        </is>
      </c>
      <c r="D98" s="1" t="inlineStr">
        <is>
          <t>HAIFENG</t>
        </is>
      </c>
      <c r="E98" s="6" t="n">
        <v>375</v>
      </c>
      <c r="F98" s="4" t="n">
        <v>3</v>
      </c>
      <c r="G98" s="1" t="inlineStr">
        <is>
          <t>active</t>
        </is>
      </c>
      <c r="H98" s="1" t="inlineStr">
        <is>
          <t>YA TIENE COSTO EN SHOPIFY ($144.20, heredado hoy)</t>
        </is>
      </c>
    </row>
    <row r="99">
      <c r="A99" s="1" t="inlineStr">
        <is>
          <t>66593bce11bc3</t>
        </is>
      </c>
      <c r="B99" s="1" t="inlineStr">
        <is>
          <t>ANILLO LOVE SILVER ANCHO CON ZIRCONIA</t>
        </is>
      </c>
      <c r="C99" s="1" t="n">
        <v>6</v>
      </c>
      <c r="D99" s="1" t="inlineStr">
        <is>
          <t>HAIFENG</t>
        </is>
      </c>
      <c r="E99" s="6" t="n">
        <v>450</v>
      </c>
      <c r="F99" s="4" t="n">
        <v>2</v>
      </c>
      <c r="G99" s="1" t="inlineStr">
        <is>
          <t>active</t>
        </is>
      </c>
      <c r="H99" s="1" t="inlineStr">
        <is>
          <t>YA TIENE COSTO EN SHOPIFY ($36.00, heredado hoy)</t>
        </is>
      </c>
    </row>
    <row r="100">
      <c r="A100" s="1" t="inlineStr">
        <is>
          <t>82224434026477</t>
        </is>
      </c>
      <c r="B100" s="1" t="inlineStr">
        <is>
          <t>ANILLO LOVE CON ZIRCONIA ROSE GOLD</t>
        </is>
      </c>
      <c r="C100" s="1" t="n">
        <v>5</v>
      </c>
      <c r="D100" s="1" t="inlineStr">
        <is>
          <t>HAIFENG</t>
        </is>
      </c>
      <c r="E100" s="6" t="n">
        <v>450</v>
      </c>
      <c r="F100" s="4" t="n">
        <v>2</v>
      </c>
      <c r="G100" s="1" t="inlineStr">
        <is>
          <t>active</t>
        </is>
      </c>
      <c r="H100" s="1" t="inlineStr">
        <is>
          <t>YA TIENE COSTO EN SHOPIFY ($36.00, heredado hoy)</t>
        </is>
      </c>
    </row>
    <row r="101">
      <c r="A101" s="1" t="inlineStr">
        <is>
          <t>677c26b9f18fa</t>
        </is>
      </c>
      <c r="B101" s="1" t="inlineStr">
        <is>
          <t>GARGANTILLA 10 TRÉBOLES SILVER GREEN</t>
        </is>
      </c>
      <c r="C101" s="1" t="inlineStr">
        <is>
          <t>10mm</t>
        </is>
      </c>
      <c r="D101" s="1" t="inlineStr">
        <is>
          <t>NANCY VIP</t>
        </is>
      </c>
      <c r="E101" s="6" t="n">
        <v>899</v>
      </c>
      <c r="F101" s="4" t="n">
        <v>2</v>
      </c>
      <c r="G101" s="1" t="inlineStr">
        <is>
          <t>active</t>
        </is>
      </c>
      <c r="H101" s="1" t="inlineStr">
        <is>
          <t>YA TIENE COSTO EN SHOPIFY ($345.35, heredado hoy)</t>
        </is>
      </c>
    </row>
    <row r="102">
      <c r="A102" s="1" t="inlineStr">
        <is>
          <t>11264481042765</t>
        </is>
      </c>
      <c r="B102" s="1" t="inlineStr">
        <is>
          <t>PULSERA LOVE SILVER</t>
        </is>
      </c>
      <c r="C102" s="1" t="inlineStr">
        <is>
          <t>16 cm OUTLET</t>
        </is>
      </c>
      <c r="D102" s="1" t="inlineStr">
        <is>
          <t>HAIFENG</t>
        </is>
      </c>
      <c r="E102" s="6" t="n">
        <v>399</v>
      </c>
      <c r="F102" s="4" t="n">
        <v>1</v>
      </c>
      <c r="G102" s="1" t="inlineStr">
        <is>
          <t>active</t>
        </is>
      </c>
      <c r="H102" s="1" t="inlineStr">
        <is>
          <t>YA TIENE COSTO EN SHOPIFY ($95.24, heredado hoy)</t>
        </is>
      </c>
    </row>
    <row r="103">
      <c r="A103" s="1" t="inlineStr">
        <is>
          <t>94157441060845</t>
        </is>
      </c>
      <c r="B103" s="1" t="inlineStr">
        <is>
          <t>PULSERA LOVE SILVER</t>
        </is>
      </c>
      <c r="C103" s="1" t="inlineStr">
        <is>
          <t>17cm OUTLET</t>
        </is>
      </c>
      <c r="D103" s="1" t="inlineStr">
        <is>
          <t>HAIFENG</t>
        </is>
      </c>
      <c r="E103" s="6" t="n">
        <v>399</v>
      </c>
      <c r="F103" s="4" t="n">
        <v>1</v>
      </c>
      <c r="G103" s="1" t="inlineStr">
        <is>
          <t>active</t>
        </is>
      </c>
      <c r="H103" s="1" t="inlineStr">
        <is>
          <t>YA TIENE COSTO EN SHOPIFY ($94.74, heredado hoy)</t>
        </is>
      </c>
    </row>
    <row r="104">
      <c r="A104" s="1" t="inlineStr">
        <is>
          <t>54573291096013</t>
        </is>
      </c>
      <c r="B104" s="1" t="inlineStr">
        <is>
          <t>PULSERA LOVE ROSE GOLD</t>
        </is>
      </c>
      <c r="C104" s="1" t="inlineStr">
        <is>
          <t>16cm OUTLET</t>
        </is>
      </c>
      <c r="D104" s="1" t="inlineStr">
        <is>
          <t>HAIFENG</t>
        </is>
      </c>
      <c r="E104" s="6" t="n">
        <v>399</v>
      </c>
      <c r="F104" s="4" t="n">
        <v>2</v>
      </c>
      <c r="G104" s="1" t="inlineStr">
        <is>
          <t>active</t>
        </is>
      </c>
      <c r="H104" s="1" t="inlineStr">
        <is>
          <t>YA TIENE COSTO EN SHOPIFY ($101.27, heredado hoy)</t>
        </is>
      </c>
    </row>
    <row r="105">
      <c r="A105" s="1" t="inlineStr">
        <is>
          <t>45213061014125</t>
        </is>
      </c>
      <c r="B105" s="1" t="inlineStr">
        <is>
          <t>ANILLO LOVE ROSE GOLD</t>
        </is>
      </c>
      <c r="C105" s="1" t="inlineStr">
        <is>
          <t>6 OUTLET</t>
        </is>
      </c>
      <c r="D105" s="1" t="inlineStr">
        <is>
          <t>HAIFENG</t>
        </is>
      </c>
      <c r="E105" s="6" t="n">
        <v>329</v>
      </c>
      <c r="F105" s="4" t="n">
        <v>2</v>
      </c>
      <c r="G105" s="1" t="inlineStr">
        <is>
          <t>active</t>
        </is>
      </c>
      <c r="H105" s="1" t="inlineStr">
        <is>
          <t>YA TIENE COSTO EN SHOPIFY ($38.00, heredado hoy)</t>
        </is>
      </c>
    </row>
    <row r="106">
      <c r="A106" s="1" t="inlineStr">
        <is>
          <t>66593bc708b95</t>
        </is>
      </c>
      <c r="B106" s="1" t="inlineStr">
        <is>
          <t>ANILLO LOVE ROSE GOLD ANCHO CON ZIRCONIA</t>
        </is>
      </c>
      <c r="C106" s="1" t="n">
        <v>5</v>
      </c>
      <c r="D106" s="1" t="inlineStr">
        <is>
          <t>HAIFENG</t>
        </is>
      </c>
      <c r="E106" s="6" t="n">
        <v>260</v>
      </c>
      <c r="F106" s="4" t="n">
        <v>2</v>
      </c>
      <c r="G106" s="1" t="inlineStr">
        <is>
          <t>active</t>
        </is>
      </c>
      <c r="H106" s="1" t="inlineStr">
        <is>
          <t>YA TIENE COSTO EN SHOPIFY ($36.00, heredado hoy)</t>
        </is>
      </c>
    </row>
    <row r="107">
      <c r="A107" s="1" t="inlineStr">
        <is>
          <t>66593bc84f04b</t>
        </is>
      </c>
      <c r="B107" s="1" t="inlineStr">
        <is>
          <t>ANILLO LOVE ROSE GOLD ANCHO CON ZIRCONIA</t>
        </is>
      </c>
      <c r="C107" s="1" t="n">
        <v>7</v>
      </c>
      <c r="D107" s="1" t="inlineStr">
        <is>
          <t>HAIFENG</t>
        </is>
      </c>
      <c r="E107" s="6" t="n">
        <v>260</v>
      </c>
      <c r="F107" s="4" t="n">
        <v>2</v>
      </c>
      <c r="G107" s="1" t="inlineStr">
        <is>
          <t>active</t>
        </is>
      </c>
      <c r="H107" s="1" t="inlineStr">
        <is>
          <t>YA TIENE COSTO EN SHOPIFY ($36.00, heredado hoy)</t>
        </is>
      </c>
    </row>
    <row r="108">
      <c r="A108" s="1" t="inlineStr">
        <is>
          <t>66593bc9973ad</t>
        </is>
      </c>
      <c r="B108" s="1" t="inlineStr">
        <is>
          <t>ANILLO LOVE ROSE GOLD ANCHO CON ZIRCONIA</t>
        </is>
      </c>
      <c r="C108" s="1" t="n">
        <v>9</v>
      </c>
      <c r="D108" s="1" t="inlineStr">
        <is>
          <t>HAIFENG</t>
        </is>
      </c>
      <c r="E108" s="6" t="n">
        <v>400</v>
      </c>
      <c r="F108" s="4" t="n">
        <v>2</v>
      </c>
      <c r="G108" s="1" t="inlineStr">
        <is>
          <t>active</t>
        </is>
      </c>
      <c r="H108" s="1" t="inlineStr">
        <is>
          <t>YA TIENE COSTO EN SHOPIFY ($36.00, heredado hoy)</t>
        </is>
      </c>
    </row>
    <row r="109">
      <c r="A109" s="1" t="inlineStr">
        <is>
          <t>6438502f22a96</t>
        </is>
      </c>
      <c r="B109" s="1" t="inlineStr">
        <is>
          <t>PULSERA LOVE DELGADA SILVER CON ZIRCONIA</t>
        </is>
      </c>
      <c r="C109" s="1" t="inlineStr">
        <is>
          <t>17 cm</t>
        </is>
      </c>
      <c r="D109" s="1" t="inlineStr">
        <is>
          <t>COCOMA</t>
        </is>
      </c>
      <c r="E109" s="6" t="n">
        <v>350</v>
      </c>
      <c r="F109" s="4" t="n">
        <v>2</v>
      </c>
      <c r="G109" s="1" t="inlineStr">
        <is>
          <t>active</t>
        </is>
      </c>
      <c r="H109" s="1" t="inlineStr">
        <is>
          <t>YA TIENE COSTO EN SHOPIFY ($120.00, heredado hoy)</t>
        </is>
      </c>
    </row>
    <row r="110">
      <c r="A110" s="1" t="inlineStr">
        <is>
          <t>63e0c53eb6606</t>
        </is>
      </c>
      <c r="B110" s="1" t="inlineStr">
        <is>
          <t>PULSERA LOVE CON ZIRCONIAS SILVER</t>
        </is>
      </c>
      <c r="C110" s="1" t="inlineStr">
        <is>
          <t>18 cm</t>
        </is>
      </c>
      <c r="D110" s="1" t="inlineStr">
        <is>
          <t>HAIFENG</t>
        </is>
      </c>
      <c r="E110" s="6" t="n">
        <v>499</v>
      </c>
      <c r="F110" s="4" t="n">
        <v>1</v>
      </c>
      <c r="G110" s="1" t="inlineStr">
        <is>
          <t>active</t>
        </is>
      </c>
      <c r="H110" s="1" t="inlineStr">
        <is>
          <t>YA TIENE COSTO EN SHOPIFY ($103.00, heredado hoy)</t>
        </is>
      </c>
    </row>
    <row r="111">
      <c r="A111" s="1" t="inlineStr">
        <is>
          <t>63e0c53dca176</t>
        </is>
      </c>
      <c r="B111" s="1" t="inlineStr">
        <is>
          <t>PULSERA LOVE CON ZIRCONIA ROSE GOLD</t>
        </is>
      </c>
      <c r="C111" s="1" t="inlineStr">
        <is>
          <t>21 cm</t>
        </is>
      </c>
      <c r="D111" s="1" t="inlineStr">
        <is>
          <t>HAIFENG</t>
        </is>
      </c>
      <c r="E111" s="6" t="n">
        <v>499</v>
      </c>
      <c r="F111" s="4" t="n">
        <v>2</v>
      </c>
      <c r="G111" s="1" t="inlineStr">
        <is>
          <t>active</t>
        </is>
      </c>
      <c r="H111" s="1" t="inlineStr">
        <is>
          <t>YA TIENE COSTO EN SHOPIFY ($170.00, heredado hoy)</t>
        </is>
      </c>
    </row>
    <row r="112">
      <c r="A112" s="1" t="inlineStr">
        <is>
          <t>53028451066637</t>
        </is>
      </c>
      <c r="B112" s="1" t="inlineStr">
        <is>
          <t>PULSERA LOVE CON ZIRCONIA GOLD</t>
        </is>
      </c>
      <c r="C112" s="1" t="inlineStr">
        <is>
          <t>17cm OUTLET</t>
        </is>
      </c>
      <c r="D112" s="1" t="inlineStr">
        <is>
          <t>HAIFENG</t>
        </is>
      </c>
      <c r="E112" s="6" t="n">
        <v>349</v>
      </c>
      <c r="F112" s="4" t="n">
        <v>2</v>
      </c>
      <c r="G112" s="1" t="inlineStr">
        <is>
          <t>active</t>
        </is>
      </c>
      <c r="H112" s="1" t="inlineStr">
        <is>
          <t>YA TIENE COSTO EN SHOPIFY ($94.53, heredado hoy)</t>
        </is>
      </c>
    </row>
    <row r="113">
      <c r="A113" s="1" t="inlineStr">
        <is>
          <t>38255990781324</t>
        </is>
      </c>
      <c r="B113" s="1" t="inlineStr">
        <is>
          <t>MOCHILA LV</t>
        </is>
      </c>
      <c r="C113" s="1" t="inlineStr">
        <is>
          <t>Default Title</t>
        </is>
      </c>
      <c r="D113" s="1" t="inlineStr">
        <is>
          <t>ZOEY</t>
        </is>
      </c>
      <c r="E113" s="6" t="n">
        <v>3280</v>
      </c>
      <c r="F113" s="4" t="n">
        <v>2</v>
      </c>
      <c r="G113" s="1" t="inlineStr">
        <is>
          <t>active</t>
        </is>
      </c>
      <c r="H113" s="1" t="inlineStr">
        <is>
          <t>YA TIENE COSTO EN SHOPIFY ($1144.27, heredado hoy)</t>
        </is>
      </c>
    </row>
    <row r="114">
      <c r="A114" s="1" t="inlineStr">
        <is>
          <t>677c26b19a19d</t>
        </is>
      </c>
      <c r="B114" s="1" t="inlineStr">
        <is>
          <t>LENTES GC BLACK</t>
        </is>
      </c>
      <c r="C114" s="1" t="inlineStr">
        <is>
          <t>REGULAR</t>
        </is>
      </c>
      <c r="D114" s="1" t="inlineStr">
        <is>
          <t>CYNTHIA CAO</t>
        </is>
      </c>
      <c r="E114" s="6" t="n">
        <v>694</v>
      </c>
      <c r="F114" s="4" t="n">
        <v>2</v>
      </c>
      <c r="G114" s="1" t="inlineStr">
        <is>
          <t>active</t>
        </is>
      </c>
      <c r="H114" s="1" t="inlineStr">
        <is>
          <t>YA TIENE COSTO EN SHOPIFY ($624.36, heredado hoy)</t>
        </is>
      </c>
    </row>
    <row r="115">
      <c r="A115" s="1" t="inlineStr">
        <is>
          <t>43728085210284</t>
        </is>
      </c>
      <c r="B115" s="1" t="inlineStr">
        <is>
          <t>ZAPATILLAS MM SLINGBACKS CHERRY</t>
        </is>
      </c>
      <c r="C115" s="1" t="inlineStr">
        <is>
          <t>24cm</t>
        </is>
      </c>
      <c r="D115" s="1" t="inlineStr">
        <is>
          <t>ZOEY</t>
        </is>
      </c>
      <c r="E115" s="6" t="n">
        <v>4054</v>
      </c>
      <c r="F115" s="4" t="n">
        <v>2</v>
      </c>
      <c r="G115" s="1" t="inlineStr">
        <is>
          <t>active</t>
        </is>
      </c>
      <c r="H115" s="1" t="inlineStr">
        <is>
          <t>YA TIENE COSTO EN SHOPIFY ($1300.00, heredado hoy)</t>
        </is>
      </c>
    </row>
    <row r="116">
      <c r="A116" s="1" t="inlineStr">
        <is>
          <t>43047212777612</t>
        </is>
      </c>
      <c r="B116" s="1" t="inlineStr">
        <is>
          <t>PULSERA LOCK ROSEGOLD</t>
        </is>
      </c>
      <c r="C116" s="1" t="inlineStr">
        <is>
          <t>17.5cm</t>
        </is>
      </c>
      <c r="D116" s="1" t="inlineStr">
        <is>
          <t>CYNTHIA CAO</t>
        </is>
      </c>
      <c r="E116" s="6" t="n">
        <v>1050</v>
      </c>
      <c r="F116" s="4" t="n">
        <v>2</v>
      </c>
      <c r="G116" s="1" t="inlineStr">
        <is>
          <t>active</t>
        </is>
      </c>
      <c r="H116" s="1" t="inlineStr">
        <is>
          <t>YA TIENE COSTO EN SHOPIFY ($343.24, heredado hoy)</t>
        </is>
      </c>
    </row>
    <row r="117">
      <c r="A117" s="1" t="inlineStr">
        <is>
          <t>673cd56819fce</t>
        </is>
      </c>
      <c r="B117" s="1" t="inlineStr">
        <is>
          <t>ANILLO TRUE GOLD</t>
        </is>
      </c>
      <c r="C117" s="1" t="n">
        <v>7</v>
      </c>
      <c r="D117" s="1" t="inlineStr">
        <is>
          <t>NANCY VIP</t>
        </is>
      </c>
      <c r="E117" s="6" t="n">
        <v>639</v>
      </c>
      <c r="F117" s="4" t="n">
        <v>2</v>
      </c>
      <c r="G117" s="1" t="inlineStr">
        <is>
          <t>active</t>
        </is>
      </c>
      <c r="H117" s="1" t="inlineStr">
        <is>
          <t>YA TIENE COSTO EN SHOPIFY ($151.80, heredado hoy)</t>
        </is>
      </c>
    </row>
    <row r="118">
      <c r="A118" s="1" t="inlineStr">
        <is>
          <t>11249421041101</t>
        </is>
      </c>
      <c r="B118" s="1" t="inlineStr">
        <is>
          <t>COLLAR FR GOLD</t>
        </is>
      </c>
      <c r="C118" s="1" t="inlineStr">
        <is>
          <t>OUTLET</t>
        </is>
      </c>
      <c r="D118" s="1" t="inlineStr">
        <is>
          <t>NANCY VIP</t>
        </is>
      </c>
      <c r="E118" s="6" t="n">
        <v>499</v>
      </c>
      <c r="F118" s="4" t="n">
        <v>1</v>
      </c>
      <c r="G118" s="1" t="inlineStr">
        <is>
          <t>active</t>
        </is>
      </c>
      <c r="H118" s="1" t="inlineStr">
        <is>
          <t>YA TIENE COSTO EN SHOPIFY ($148.49, heredado hoy)</t>
        </is>
      </c>
    </row>
    <row r="119">
      <c r="A119" s="1" t="inlineStr">
        <is>
          <t>40002831039789</t>
        </is>
      </c>
      <c r="B119" s="1" t="inlineStr">
        <is>
          <t>ANILLO TB SILVER</t>
        </is>
      </c>
      <c r="C119" s="1" t="n">
        <v>9</v>
      </c>
      <c r="D119" s="1" t="inlineStr">
        <is>
          <t>NANCY VIP</t>
        </is>
      </c>
      <c r="E119" s="6" t="n">
        <v>450</v>
      </c>
      <c r="F119" s="4" t="n">
        <v>2</v>
      </c>
      <c r="G119" s="1" t="inlineStr">
        <is>
          <t>active</t>
        </is>
      </c>
      <c r="H119" s="1" t="inlineStr">
        <is>
          <t>YA TIENE COSTO EN SHOPIFY ($68.13, heredado hoy)</t>
        </is>
      </c>
    </row>
    <row r="120">
      <c r="A120" s="1" t="inlineStr">
        <is>
          <t>641b3772a809f</t>
        </is>
      </c>
      <c r="B120" s="1" t="inlineStr">
        <is>
          <t>ARETES LV GOLD COLGANTE</t>
        </is>
      </c>
      <c r="C120" s="1" t="inlineStr">
        <is>
          <t>dorado</t>
        </is>
      </c>
      <c r="D120" s="1" t="inlineStr">
        <is>
          <t>CYNTHIA CAO</t>
        </is>
      </c>
      <c r="E120" s="6" t="n">
        <v>550</v>
      </c>
      <c r="F120" s="4" t="n">
        <v>2</v>
      </c>
      <c r="G120" s="1" t="inlineStr">
        <is>
          <t>active</t>
        </is>
      </c>
      <c r="H120" s="1" t="inlineStr">
        <is>
          <t>YA TIENE COSTO EN SHOPIFY ($203.51, heredado hoy)</t>
        </is>
      </c>
    </row>
    <row r="121">
      <c r="A121" s="1" t="inlineStr">
        <is>
          <t>70674011075821</t>
        </is>
      </c>
      <c r="B121" s="1" t="inlineStr">
        <is>
          <t>BRAZALETE CD WHITE</t>
        </is>
      </c>
      <c r="C121" s="1" t="inlineStr">
        <is>
          <t>OUTLET</t>
        </is>
      </c>
      <c r="D121" s="1" t="inlineStr">
        <is>
          <t>NANCY VIP</t>
        </is>
      </c>
      <c r="E121" s="6" t="n">
        <v>450</v>
      </c>
      <c r="F121" s="4" t="n">
        <v>2</v>
      </c>
      <c r="G121" s="1" t="inlineStr">
        <is>
          <t>active</t>
        </is>
      </c>
      <c r="H121" s="1" t="inlineStr">
        <is>
          <t>YA TIENE COSTO EN SHOPIFY ($157.24, heredado hoy)</t>
        </is>
      </c>
    </row>
    <row r="122">
      <c r="A122" s="1" t="inlineStr">
        <is>
          <t>86589831066093</t>
        </is>
      </c>
      <c r="B122" s="1" t="inlineStr">
        <is>
          <t>COLLAR CC SILVER</t>
        </is>
      </c>
      <c r="C122" s="1" t="inlineStr">
        <is>
          <t>49cm x 6cm de extensión OUTLET</t>
        </is>
      </c>
      <c r="D122" s="1" t="inlineStr">
        <is>
          <t>CYNTHIA CAO</t>
        </is>
      </c>
      <c r="E122" s="6" t="n">
        <v>330</v>
      </c>
      <c r="F122" s="4" t="n">
        <v>2</v>
      </c>
      <c r="G122" s="1" t="inlineStr">
        <is>
          <t>active</t>
        </is>
      </c>
      <c r="H122" s="1" t="inlineStr">
        <is>
          <t>YA TIENE COSTO EN SHOPIFY ($59.39, heredado hoy)</t>
        </is>
      </c>
    </row>
    <row r="123">
      <c r="A123" s="1" t="inlineStr">
        <is>
          <t>66593bdf53bc9</t>
        </is>
      </c>
      <c r="B123" s="1" t="inlineStr">
        <is>
          <t>ANILLO PERLEE ROSEGOLD</t>
        </is>
      </c>
      <c r="C123" s="1" t="n">
        <v>6</v>
      </c>
      <c r="D123" s="1" t="inlineStr">
        <is>
          <t>NANCY VIP</t>
        </is>
      </c>
      <c r="E123" s="6" t="n">
        <v>466</v>
      </c>
      <c r="F123" s="4" t="n">
        <v>2</v>
      </c>
      <c r="G123" s="1" t="inlineStr">
        <is>
          <t>active</t>
        </is>
      </c>
      <c r="H123" s="1" t="inlineStr">
        <is>
          <t>YA TIENE COSTO EN SHOPIFY ($111.80, heredado hoy)</t>
        </is>
      </c>
    </row>
    <row r="124">
      <c r="A124" s="1" t="inlineStr">
        <is>
          <t>2653024053900</t>
        </is>
      </c>
      <c r="B124" s="1" t="inlineStr">
        <is>
          <t>ANILLO TREBOL GOLD WHITE</t>
        </is>
      </c>
      <c r="C124" s="1" t="n">
        <v>6</v>
      </c>
      <c r="D124" s="1" t="inlineStr">
        <is>
          <t>NANCY VIP</t>
        </is>
      </c>
      <c r="E124" s="6" t="n">
        <v>599</v>
      </c>
      <c r="F124" s="4" t="n">
        <v>2</v>
      </c>
      <c r="G124" s="1" t="inlineStr">
        <is>
          <t>active</t>
        </is>
      </c>
      <c r="H124" s="1" t="inlineStr">
        <is>
          <t>YA TIENE COSTO EN SHOPIFY ($111.80, heredado hoy)</t>
        </is>
      </c>
    </row>
    <row r="125">
      <c r="A125" s="1" t="inlineStr">
        <is>
          <t>42265013125260</t>
        </is>
      </c>
      <c r="B125" s="1" t="inlineStr">
        <is>
          <t>ANILLO BV DELGADO ROSEGOLD-BLACK</t>
        </is>
      </c>
      <c r="C125" s="1" t="n">
        <v>5</v>
      </c>
      <c r="D125" s="1" t="inlineStr">
        <is>
          <t>ANA FU</t>
        </is>
      </c>
      <c r="E125" s="6" t="n">
        <v>195</v>
      </c>
      <c r="F125" s="4" t="n">
        <v>2</v>
      </c>
      <c r="G125" s="1" t="inlineStr">
        <is>
          <t>active</t>
        </is>
      </c>
      <c r="H125" s="1" t="inlineStr">
        <is>
          <t>YA TIENE COSTO EN SHOPIFY ($114.21, heredado hoy)</t>
        </is>
      </c>
    </row>
    <row r="126">
      <c r="A126" s="1" t="inlineStr">
        <is>
          <t>66176e62e891d</t>
        </is>
      </c>
      <c r="B126" s="1" t="inlineStr">
        <is>
          <t>ANILLO CLASH ROSEGOLD</t>
        </is>
      </c>
      <c r="C126" s="1" t="n">
        <v>11</v>
      </c>
      <c r="D126" s="1" t="inlineStr">
        <is>
          <t>HAIFENG</t>
        </is>
      </c>
      <c r="E126" s="6" t="n">
        <v>850</v>
      </c>
      <c r="F126" s="4" t="n">
        <v>2</v>
      </c>
      <c r="G126" s="1" t="inlineStr">
        <is>
          <t>active</t>
        </is>
      </c>
      <c r="H126" s="1" t="inlineStr">
        <is>
          <t>YA TIENE COSTO EN SHOPIFY ($200.00, heredado hoy)</t>
        </is>
      </c>
    </row>
    <row r="127">
      <c r="A127" s="1" t="inlineStr">
        <is>
          <t>29953902272526</t>
        </is>
      </c>
      <c r="B127" s="1" t="inlineStr">
        <is>
          <t>BOLSO YSL JAMIE SHOPPING</t>
        </is>
      </c>
      <c r="C127" s="1" t="inlineStr">
        <is>
          <t>SMALL</t>
        </is>
      </c>
      <c r="D127" s="1" t="inlineStr">
        <is>
          <t>ZOEY</t>
        </is>
      </c>
      <c r="E127" s="6" t="n">
        <v>5999</v>
      </c>
      <c r="F127" s="4" t="n">
        <v>1</v>
      </c>
      <c r="G127" s="1" t="inlineStr">
        <is>
          <t>active</t>
        </is>
      </c>
      <c r="H127" s="1" t="inlineStr">
        <is>
          <t>YA TIENE COSTO EN SHOPIFY ($1691.35, heredado hoy)</t>
        </is>
      </c>
    </row>
    <row r="128">
      <c r="A128" s="1" t="inlineStr">
        <is>
          <t>29953901549390</t>
        </is>
      </c>
      <c r="B128" s="1" t="inlineStr">
        <is>
          <t>CARTERA CD DAHLIA OBLIQUE</t>
        </is>
      </c>
      <c r="C128" s="1" t="inlineStr">
        <is>
          <t>OUTLET</t>
        </is>
      </c>
      <c r="D128" s="1" t="inlineStr">
        <is>
          <t>ZOEY</t>
        </is>
      </c>
      <c r="E128" s="6" t="n">
        <v>1800</v>
      </c>
      <c r="F128" s="4" t="n">
        <v>0</v>
      </c>
      <c r="G128" s="1" t="inlineStr">
        <is>
          <t>active</t>
        </is>
      </c>
      <c r="H128" s="1" t="inlineStr">
        <is>
          <t>YA TIENE COSTO EN SHOPIFY ($539.25, heredado hoy)</t>
        </is>
      </c>
    </row>
    <row r="129">
      <c r="A129" s="1" t="inlineStr">
        <is>
          <t>37784011073581</t>
        </is>
      </c>
      <c r="B129" s="1" t="inlineStr">
        <is>
          <t>PULSERA CLAVO BLACK</t>
        </is>
      </c>
      <c r="C129" s="1" t="inlineStr">
        <is>
          <t>19CM</t>
        </is>
      </c>
      <c r="D129" s="1" t="inlineStr">
        <is>
          <t>JEWELRY REMATE MX</t>
        </is>
      </c>
      <c r="E129" s="6" t="n">
        <v>450</v>
      </c>
      <c r="F129" s="4" t="n">
        <v>0</v>
      </c>
      <c r="G129" s="1" t="inlineStr">
        <is>
          <t>active</t>
        </is>
      </c>
      <c r="H129" s="1" t="inlineStr">
        <is>
          <t>Falta el costo de compra (no está en ninguna tabla de precios)</t>
        </is>
      </c>
    </row>
    <row r="130">
      <c r="A130" s="1" t="inlineStr">
        <is>
          <t>29161311043853</t>
        </is>
      </c>
      <c r="B130" s="1" t="inlineStr">
        <is>
          <t>LENTES GOLD BLACK GC ROUND</t>
        </is>
      </c>
      <c r="C130" s="1" t="inlineStr">
        <is>
          <t>Default Title</t>
        </is>
      </c>
      <c r="D130" s="1" t="inlineStr">
        <is>
          <t>HAIFENG</t>
        </is>
      </c>
      <c r="E130" s="6" t="n">
        <v>2885</v>
      </c>
      <c r="F130" s="4" t="n">
        <v>1</v>
      </c>
      <c r="G130" s="1" t="inlineStr">
        <is>
          <t>active</t>
        </is>
      </c>
      <c r="H130" s="1" t="inlineStr">
        <is>
          <t>YA TIENE COSTO EN SHOPIFY ($721.00, heredado hoy)</t>
        </is>
      </c>
    </row>
    <row r="131">
      <c r="A131" s="1" t="inlineStr">
        <is>
          <t>34163621960462</t>
        </is>
      </c>
      <c r="B131" s="1" t="inlineStr">
        <is>
          <t>CARTERA F BAGUETTE BLACK</t>
        </is>
      </c>
      <c r="C131" s="1" t="inlineStr">
        <is>
          <t>OUTLET</t>
        </is>
      </c>
      <c r="D131" s="1" t="inlineStr">
        <is>
          <t>ZOEY</t>
        </is>
      </c>
      <c r="E131" s="6" t="n">
        <v>3351</v>
      </c>
      <c r="F131" s="4" t="n">
        <v>1</v>
      </c>
      <c r="G131" s="1" t="inlineStr">
        <is>
          <t>active</t>
        </is>
      </c>
      <c r="H131" s="1" t="inlineStr">
        <is>
          <t>YA TIENE COSTO EN SHOPIFY ($1178.00, heredado hoy)</t>
        </is>
      </c>
    </row>
    <row r="132">
      <c r="A132" s="1" t="inlineStr">
        <is>
          <t>13182091075597</t>
        </is>
      </c>
      <c r="B132" s="1" t="inlineStr">
        <is>
          <t>ANILLO P HEARTS</t>
        </is>
      </c>
      <c r="C132" s="1" t="inlineStr">
        <is>
          <t>Default Title</t>
        </is>
      </c>
      <c r="D132" s="1" t="inlineStr">
        <is>
          <t>CYNTHIA CAO</t>
        </is>
      </c>
      <c r="E132" s="6" t="n">
        <v>380</v>
      </c>
      <c r="F132" s="4" t="n">
        <v>1</v>
      </c>
      <c r="G132" s="1" t="inlineStr">
        <is>
          <t>active</t>
        </is>
      </c>
      <c r="H132" s="1" t="inlineStr">
        <is>
          <t>YA TIENE COSTO EN SHOPIFY ($62.43, heredado hoy)</t>
        </is>
      </c>
    </row>
    <row r="133">
      <c r="A133" s="1" t="inlineStr">
        <is>
          <t>20792171004621</t>
        </is>
      </c>
      <c r="B133" s="1" t="inlineStr">
        <is>
          <t>PULSERA VF BUTTERFLY PEARL ROSE GOLD</t>
        </is>
      </c>
      <c r="C133" s="1" t="inlineStr">
        <is>
          <t>Default Title</t>
        </is>
      </c>
      <c r="D133" s="1" t="inlineStr">
        <is>
          <t>HAIFENG</t>
        </is>
      </c>
      <c r="E133" s="6" t="n">
        <v>699</v>
      </c>
      <c r="F133" s="4" t="n">
        <v>1</v>
      </c>
      <c r="G133" s="1" t="inlineStr">
        <is>
          <t>active</t>
        </is>
      </c>
      <c r="H133" s="1" t="inlineStr">
        <is>
          <t>YA TIENE COSTO EN SHOPIFY ($144.20, heredado hoy)</t>
        </is>
      </c>
    </row>
    <row r="134">
      <c r="A134" s="1" t="inlineStr">
        <is>
          <t>52592881194765</t>
        </is>
      </c>
      <c r="B134" s="1" t="inlineStr">
        <is>
          <t>PULSERA LOVE ROSE GOLD ZIRCONIAS RAINBOW</t>
        </is>
      </c>
      <c r="C134" s="1" t="inlineStr">
        <is>
          <t>19CM</t>
        </is>
      </c>
      <c r="D134" s="1" t="inlineStr">
        <is>
          <t>HAIFENG</t>
        </is>
      </c>
      <c r="E134" s="6" t="n">
        <v>280</v>
      </c>
      <c r="F134" s="4" t="n">
        <v>1</v>
      </c>
      <c r="G134" s="1" t="inlineStr">
        <is>
          <t>active</t>
        </is>
      </c>
      <c r="H134" s="1" t="inlineStr">
        <is>
          <t>YA TIENE COSTO EN SHOPIFY ($120.00, heredado hoy)</t>
        </is>
      </c>
    </row>
    <row r="135">
      <c r="A135" s="1" t="inlineStr">
        <is>
          <t>99781781725614</t>
        </is>
      </c>
      <c r="B135" s="1" t="inlineStr">
        <is>
          <t>CARTERA GC LEATHER</t>
        </is>
      </c>
      <c r="C135" s="1" t="inlineStr">
        <is>
          <t>SIN CAJA</t>
        </is>
      </c>
      <c r="D135" s="1" t="inlineStr">
        <is>
          <t>ZOEY</t>
        </is>
      </c>
      <c r="E135" s="6" t="n">
        <v>1599</v>
      </c>
      <c r="F135" s="4" t="n">
        <v>1</v>
      </c>
      <c r="G135" s="1" t="inlineStr">
        <is>
          <t>active</t>
        </is>
      </c>
      <c r="H135" s="1" t="inlineStr">
        <is>
          <t>YA TIENE COSTO EN SHOPIFY ($419.14, heredado hoy)</t>
        </is>
      </c>
    </row>
    <row r="136">
      <c r="A136" s="1" t="inlineStr">
        <is>
          <t>93098781536398</t>
        </is>
      </c>
      <c r="B136" s="1" t="inlineStr">
        <is>
          <t>LENTES LV ATTITUDE SOO</t>
        </is>
      </c>
      <c r="C136" s="1" t="inlineStr">
        <is>
          <t>OUTLET</t>
        </is>
      </c>
      <c r="D136" s="1" t="inlineStr">
        <is>
          <t>ZOEY</t>
        </is>
      </c>
      <c r="E136" s="6" t="n">
        <v>3000</v>
      </c>
      <c r="F136" s="4" t="n">
        <v>1</v>
      </c>
      <c r="G136" s="1" t="inlineStr">
        <is>
          <t>active</t>
        </is>
      </c>
      <c r="H136" s="1" t="inlineStr">
        <is>
          <t>YA TIENE COSTO EN SHOPIFY ($845.72, heredado hoy)</t>
        </is>
      </c>
    </row>
    <row r="137">
      <c r="A137" s="1" t="inlineStr">
        <is>
          <t>53283371177965</t>
        </is>
      </c>
      <c r="B137" s="1" t="inlineStr">
        <is>
          <t>ANILLO LV IDYLLE BLOSSOM ROSE GOLD</t>
        </is>
      </c>
      <c r="C137" s="1" t="inlineStr">
        <is>
          <t>Default Title</t>
        </is>
      </c>
      <c r="D137" s="1" t="inlineStr">
        <is>
          <t>HAIFENG</t>
        </is>
      </c>
      <c r="E137" s="6" t="n">
        <v>500</v>
      </c>
      <c r="F137" s="4" t="n">
        <v>0</v>
      </c>
      <c r="G137" s="1" t="inlineStr">
        <is>
          <t>active</t>
        </is>
      </c>
      <c r="H137" s="1" t="inlineStr">
        <is>
          <t>YA TIENE COSTO EN SHOPIFY ($123.39, heredado hoy)</t>
        </is>
      </c>
    </row>
    <row r="138">
      <c r="A138" s="1" t="inlineStr">
        <is>
          <t>99032631062413</t>
        </is>
      </c>
      <c r="B138" s="1" t="inlineStr">
        <is>
          <t>BRAZALETE LOVE GOLD</t>
        </is>
      </c>
      <c r="C138" s="1" t="inlineStr">
        <is>
          <t>19CM OUTLET</t>
        </is>
      </c>
      <c r="D138" s="1" t="inlineStr">
        <is>
          <t>HAIFENG</t>
        </is>
      </c>
      <c r="E138" s="6" t="n">
        <v>350</v>
      </c>
      <c r="F138" s="4" t="n">
        <v>1</v>
      </c>
      <c r="G138" s="1" t="inlineStr">
        <is>
          <t>active</t>
        </is>
      </c>
      <c r="H138" s="1" t="inlineStr">
        <is>
          <t>YA TIENE COSTO EN SHOPIFY ($62.76, heredado hoy)</t>
        </is>
      </c>
    </row>
    <row r="139">
      <c r="A139" s="1" t="inlineStr">
        <is>
          <t>50679621018861</t>
        </is>
      </c>
      <c r="B139" s="1" t="inlineStr">
        <is>
          <t>ANILLO CLAVO JUSTE UN CLOU BLACK</t>
        </is>
      </c>
      <c r="C139" s="1" t="n">
        <v>7</v>
      </c>
      <c r="D139" s="1" t="inlineStr">
        <is>
          <t>JEWELRY REMATE MX</t>
        </is>
      </c>
      <c r="E139" s="6" t="n">
        <v>400</v>
      </c>
      <c r="F139" s="4" t="n">
        <v>1</v>
      </c>
      <c r="G139" s="1" t="inlineStr">
        <is>
          <t>active</t>
        </is>
      </c>
      <c r="H139" s="1" t="inlineStr">
        <is>
          <t>YA TIENE COSTO EN SHOPIFY ($51.50, heredado hoy)</t>
        </is>
      </c>
    </row>
    <row r="140">
      <c r="A140" s="1" t="inlineStr">
        <is>
          <t>13337911019277</t>
        </is>
      </c>
      <c r="B140" s="1" t="inlineStr">
        <is>
          <t>ANILLO CD GOLD BLACK CON ZIRCONIA</t>
        </is>
      </c>
      <c r="C140" s="1" t="inlineStr">
        <is>
          <t>Default Title</t>
        </is>
      </c>
      <c r="D140" s="1" t="inlineStr">
        <is>
          <t>JEWELRY REMATE MX</t>
        </is>
      </c>
      <c r="E140" s="6" t="n">
        <v>559</v>
      </c>
      <c r="F140" s="4" t="n">
        <v>1</v>
      </c>
      <c r="G140" s="1" t="inlineStr">
        <is>
          <t>active</t>
        </is>
      </c>
      <c r="H140" s="1" t="inlineStr">
        <is>
          <t>YA TIENE COSTO EN SHOPIFY ($186.37, heredado hoy)</t>
        </is>
      </c>
    </row>
    <row r="141">
      <c r="A141" s="1" t="inlineStr">
        <is>
          <t>41353991156558</t>
        </is>
      </c>
      <c r="B141" s="1" t="inlineStr">
        <is>
          <t>CINTO C TRIOMPHE BURDEOS</t>
        </is>
      </c>
      <c r="C141" s="1" t="inlineStr">
        <is>
          <t>OUTLET</t>
        </is>
      </c>
      <c r="D141" s="1" t="inlineStr">
        <is>
          <t>CYNTHIA CAO</t>
        </is>
      </c>
      <c r="E141" s="6" t="n">
        <v>799</v>
      </c>
      <c r="F141" s="4" t="n">
        <v>1</v>
      </c>
      <c r="G141" s="1" t="inlineStr">
        <is>
          <t>active</t>
        </is>
      </c>
      <c r="H141" s="1" t="inlineStr">
        <is>
          <t>YA TIENE COSTO EN SHOPIFY ($210.63, heredado hoy)</t>
        </is>
      </c>
    </row>
    <row r="142">
      <c r="A142" s="1" t="inlineStr">
        <is>
          <t>24072851084558</t>
        </is>
      </c>
      <c r="B142" s="1" t="inlineStr">
        <is>
          <t>BOLSO CC MINI KELLY WHITE</t>
        </is>
      </c>
      <c r="C142" s="1" t="inlineStr">
        <is>
          <t>OUTLET</t>
        </is>
      </c>
      <c r="D142" s="1" t="inlineStr">
        <is>
          <t>CYNTHIA CAO</t>
        </is>
      </c>
      <c r="E142" s="6" t="n">
        <v>4915.94</v>
      </c>
      <c r="F142" s="4" t="n">
        <v>1</v>
      </c>
      <c r="G142" s="1" t="inlineStr">
        <is>
          <t>active</t>
        </is>
      </c>
      <c r="H142" s="1" t="inlineStr">
        <is>
          <t>YA TIENE COSTO EN SHOPIFY ($1380.26, heredado hoy)</t>
        </is>
      </c>
    </row>
    <row r="143">
      <c r="A143" s="1" t="inlineStr">
        <is>
          <t>16108611011597</t>
        </is>
      </c>
      <c r="B143" s="1" t="inlineStr">
        <is>
          <t>LENTES GC AVIADOOR BLACK</t>
        </is>
      </c>
      <c r="C143" s="1" t="inlineStr">
        <is>
          <t>Default Title</t>
        </is>
      </c>
      <c r="D143" s="1" t="inlineStr">
        <is>
          <t>JEWELRY REMATE MX</t>
        </is>
      </c>
      <c r="E143" s="6" t="n">
        <v>1500</v>
      </c>
      <c r="F143" s="4" t="n">
        <v>0</v>
      </c>
      <c r="G143" s="1" t="inlineStr">
        <is>
          <t>active</t>
        </is>
      </c>
      <c r="H143" s="1" t="inlineStr">
        <is>
          <t>YA TIENE COSTO EN SHOPIFY ($248.49, heredado hoy)</t>
        </is>
      </c>
    </row>
    <row r="144">
      <c r="A144" s="1" t="inlineStr">
        <is>
          <t>11743361032621</t>
        </is>
      </c>
      <c r="B144" s="1" t="inlineStr">
        <is>
          <t>JERSEY HOCKEY NHL BOSTON BRUINS A</t>
        </is>
      </c>
      <c r="C144" s="1" t="inlineStr">
        <is>
          <t>Default Title</t>
        </is>
      </c>
      <c r="D144" s="1" t="inlineStr">
        <is>
          <t>JEWELRY REMATE MX</t>
        </is>
      </c>
      <c r="E144" s="6" t="n">
        <v>1000</v>
      </c>
      <c r="F144" s="4" t="n">
        <v>1</v>
      </c>
      <c r="G144" s="1" t="inlineStr">
        <is>
          <t>active</t>
        </is>
      </c>
      <c r="H144" s="1" t="inlineStr">
        <is>
          <t>YA TIENE COSTO EN SHOPIFY ($328.10, heredado hoy)</t>
        </is>
      </c>
    </row>
    <row r="145">
      <c r="A145" s="1" t="inlineStr">
        <is>
          <t>40417781021069</t>
        </is>
      </c>
      <c r="B145" s="1" t="inlineStr">
        <is>
          <t>JERSEY NFL KANSAS CITY CHIEFS</t>
        </is>
      </c>
      <c r="C145" s="1" t="inlineStr">
        <is>
          <t>Default Title</t>
        </is>
      </c>
      <c r="D145" s="1" t="inlineStr">
        <is>
          <t>JEWELRY REMATE MX</t>
        </is>
      </c>
      <c r="E145" s="6" t="n">
        <v>800</v>
      </c>
      <c r="F145" s="4" t="n">
        <v>1</v>
      </c>
      <c r="G145" s="1" t="inlineStr">
        <is>
          <t>active</t>
        </is>
      </c>
      <c r="H145" s="1" t="inlineStr">
        <is>
          <t>YA TIENE COSTO EN SHOPIFY ($328.10, heredado hoy)</t>
        </is>
      </c>
    </row>
    <row r="146">
      <c r="A146" s="1" t="inlineStr">
        <is>
          <t>93294251028237</t>
        </is>
      </c>
      <c r="B146" s="1" t="inlineStr">
        <is>
          <t>JERSEY NFL CINCINNATI BENGALS</t>
        </is>
      </c>
      <c r="C146" s="1" t="inlineStr">
        <is>
          <t>Default Title</t>
        </is>
      </c>
      <c r="D146" s="1" t="inlineStr">
        <is>
          <t>JEWELRY REMATE MX</t>
        </is>
      </c>
      <c r="E146" s="6" t="n">
        <v>800</v>
      </c>
      <c r="F146" s="4" t="n">
        <v>1</v>
      </c>
      <c r="G146" s="1" t="inlineStr">
        <is>
          <t>active</t>
        </is>
      </c>
      <c r="H146" s="1" t="inlineStr">
        <is>
          <t>YA TIENE COSTO EN SHOPIFY ($328.10, heredado hoy)</t>
        </is>
      </c>
    </row>
    <row r="147">
      <c r="A147" s="1" t="inlineStr">
        <is>
          <t>89224361087725</t>
        </is>
      </c>
      <c r="B147" s="1" t="inlineStr">
        <is>
          <t>JERSEY NFL MINNESOTA VIKINGS</t>
        </is>
      </c>
      <c r="C147" s="1" t="inlineStr">
        <is>
          <t>Default Title</t>
        </is>
      </c>
      <c r="D147" s="1" t="inlineStr">
        <is>
          <t>JEWELRY REMATE MX</t>
        </is>
      </c>
      <c r="E147" s="6" t="n">
        <v>400</v>
      </c>
      <c r="F147" s="4" t="n">
        <v>1</v>
      </c>
      <c r="G147" s="1" t="inlineStr">
        <is>
          <t>active</t>
        </is>
      </c>
      <c r="H147" s="1" t="inlineStr">
        <is>
          <t>YA TIENE COSTO EN SHOPIFY ($328.10, heredado hoy)</t>
        </is>
      </c>
    </row>
    <row r="148">
      <c r="A148" s="1" t="inlineStr">
        <is>
          <t>37296341004013</t>
        </is>
      </c>
      <c r="B148" s="1" t="inlineStr">
        <is>
          <t>JERSEY NFL GREEN BAY PACKERS</t>
        </is>
      </c>
      <c r="C148" s="1" t="inlineStr">
        <is>
          <t>Default Title</t>
        </is>
      </c>
      <c r="D148" s="1" t="inlineStr">
        <is>
          <t>JEWELRY REMATE MX</t>
        </is>
      </c>
      <c r="E148" s="6" t="n">
        <v>800</v>
      </c>
      <c r="F148" s="4" t="n">
        <v>1</v>
      </c>
      <c r="G148" s="1" t="inlineStr">
        <is>
          <t>active</t>
        </is>
      </c>
      <c r="H148" s="1" t="inlineStr">
        <is>
          <t>YA TIENE COSTO EN SHOPIFY ($250.00, heredado hoy)</t>
        </is>
      </c>
    </row>
    <row r="149">
      <c r="A149" s="1" t="inlineStr">
        <is>
          <t>15414871070637</t>
        </is>
      </c>
      <c r="B149" s="1" t="inlineStr">
        <is>
          <t>CONJUNTO DEPORTIVO A BLANCO</t>
        </is>
      </c>
      <c r="C149" s="1" t="inlineStr">
        <is>
          <t>XS</t>
        </is>
      </c>
      <c r="D149" s="1" t="inlineStr">
        <is>
          <t>CYNTHIA CAO</t>
        </is>
      </c>
      <c r="E149" s="6" t="n">
        <v>1699</v>
      </c>
      <c r="F149" s="4" t="n">
        <v>1</v>
      </c>
      <c r="G149" s="1" t="inlineStr">
        <is>
          <t>active</t>
        </is>
      </c>
      <c r="H149" s="1" t="inlineStr">
        <is>
          <t>YA TIENE COSTO EN SHOPIFY ($480.00, heredado hoy)</t>
        </is>
      </c>
    </row>
    <row r="150">
      <c r="A150" s="1" t="inlineStr">
        <is>
          <t>65881731069261</t>
        </is>
      </c>
      <c r="B150" s="1" t="inlineStr">
        <is>
          <t>CAMISOLA POLO DARK BLUE</t>
        </is>
      </c>
      <c r="C150" s="1" t="inlineStr">
        <is>
          <t>m</t>
        </is>
      </c>
      <c r="D150" s="1" t="inlineStr">
        <is>
          <t>CYNTHIA CAO</t>
        </is>
      </c>
      <c r="E150" s="6" t="n">
        <v>2599</v>
      </c>
      <c r="F150" s="4" t="n">
        <v>1</v>
      </c>
      <c r="G150" s="1" t="inlineStr">
        <is>
          <t>active</t>
        </is>
      </c>
      <c r="H150" s="1" t="inlineStr">
        <is>
          <t>YA TIENE COSTO EN SHOPIFY ($739.68, heredado hoy)</t>
        </is>
      </c>
    </row>
    <row r="151">
      <c r="A151" s="1" t="inlineStr">
        <is>
          <t>65881731102029</t>
        </is>
      </c>
      <c r="B151" s="1" t="inlineStr">
        <is>
          <t>CAMISOLA POLO DARK BLUE</t>
        </is>
      </c>
      <c r="C151" s="1" t="inlineStr">
        <is>
          <t>l-1</t>
        </is>
      </c>
      <c r="D151" s="1" t="inlineStr">
        <is>
          <t>CYNTHIA CAO</t>
        </is>
      </c>
      <c r="E151" s="6" t="n">
        <v>2599</v>
      </c>
      <c r="F151" s="4" t="n">
        <v>1</v>
      </c>
      <c r="G151" s="1" t="inlineStr">
        <is>
          <t>active</t>
        </is>
      </c>
      <c r="H151" s="1" t="inlineStr">
        <is>
          <t>YA TIENE COSTO EN SHOPIFY ($739.68, heredado hoy)</t>
        </is>
      </c>
    </row>
    <row r="152">
      <c r="A152" s="1" t="inlineStr">
        <is>
          <t>67794441198157</t>
        </is>
      </c>
      <c r="B152" s="1" t="inlineStr">
        <is>
          <t>CAMISOLA POLO WHITE</t>
        </is>
      </c>
      <c r="C152" s="1" t="inlineStr">
        <is>
          <t>m</t>
        </is>
      </c>
      <c r="D152" s="1" t="inlineStr">
        <is>
          <t>CYNTHIA CAO</t>
        </is>
      </c>
      <c r="E152" s="6" t="n">
        <v>2599</v>
      </c>
      <c r="F152" s="4" t="n">
        <v>1</v>
      </c>
      <c r="G152" s="1" t="inlineStr">
        <is>
          <t>active</t>
        </is>
      </c>
      <c r="H152" s="1" t="inlineStr">
        <is>
          <t>YA TIENE COSTO EN SHOPIFY ($739.68, heredado hoy)</t>
        </is>
      </c>
    </row>
    <row r="153">
      <c r="A153" s="1" t="inlineStr">
        <is>
          <t>30515081080813</t>
        </is>
      </c>
      <c r="B153" s="1" t="inlineStr">
        <is>
          <t>CAMISOLA POLO RALPH YELLOW</t>
        </is>
      </c>
      <c r="C153" s="1" t="inlineStr">
        <is>
          <t>m</t>
        </is>
      </c>
      <c r="D153" s="1" t="inlineStr">
        <is>
          <t>CYNTHIA CAO</t>
        </is>
      </c>
      <c r="E153" s="6" t="n">
        <v>2599</v>
      </c>
      <c r="F153" s="4" t="n">
        <v>1</v>
      </c>
      <c r="G153" s="1" t="inlineStr">
        <is>
          <t>active</t>
        </is>
      </c>
      <c r="H153" s="1" t="inlineStr">
        <is>
          <t>YA TIENE COSTO EN SHOPIFY ($739.68, heredado hoy)</t>
        </is>
      </c>
    </row>
    <row r="154">
      <c r="A154" s="1" t="inlineStr">
        <is>
          <t>30515081080814</t>
        </is>
      </c>
      <c r="B154" s="1" t="inlineStr">
        <is>
          <t>CAMISOLA POLO RALPH YELLOW</t>
        </is>
      </c>
      <c r="C154" s="1" t="inlineStr">
        <is>
          <t>l-1</t>
        </is>
      </c>
      <c r="D154" s="1" t="inlineStr">
        <is>
          <t>CYNTHIA CAO</t>
        </is>
      </c>
      <c r="E154" s="6" t="n">
        <v>2599</v>
      </c>
      <c r="F154" s="4" t="n">
        <v>1</v>
      </c>
      <c r="G154" s="1" t="inlineStr">
        <is>
          <t>active</t>
        </is>
      </c>
      <c r="H154" s="1" t="inlineStr">
        <is>
          <t>YA TIENE COSTO EN SHOPIFY ($739.68, heredado hoy)</t>
        </is>
      </c>
    </row>
    <row r="155">
      <c r="A155" s="1" t="inlineStr">
        <is>
          <t>12314362665262</t>
        </is>
      </c>
      <c r="B155" s="1" t="inlineStr">
        <is>
          <t>BRAZALETE F GOLD ZIRCONIAS</t>
        </is>
      </c>
      <c r="C155" s="1" t="inlineStr">
        <is>
          <t>1 cm</t>
        </is>
      </c>
      <c r="D155" s="1" t="inlineStr">
        <is>
          <t>HAIFENG</t>
        </is>
      </c>
      <c r="E155" s="6" t="n">
        <v>840</v>
      </c>
      <c r="F155" s="4" t="n">
        <v>1</v>
      </c>
      <c r="G155" s="1" t="inlineStr">
        <is>
          <t>active</t>
        </is>
      </c>
      <c r="H155" s="1" t="inlineStr">
        <is>
          <t>YA TIENE COSTO EN SHOPIFY ($206.00, heredado hoy)</t>
        </is>
      </c>
    </row>
    <row r="156">
      <c r="A156" s="1" t="inlineStr">
        <is>
          <t>44840871046957</t>
        </is>
      </c>
      <c r="B156" s="1" t="inlineStr">
        <is>
          <t>ANILLO F GOLD ZIRCONIAS</t>
        </is>
      </c>
      <c r="C156" s="1" t="n">
        <v>8</v>
      </c>
      <c r="D156" s="1" t="inlineStr">
        <is>
          <t>HAIFENG</t>
        </is>
      </c>
      <c r="E156" s="6" t="n">
        <v>576.8</v>
      </c>
      <c r="F156" s="4" t="n">
        <v>1</v>
      </c>
      <c r="G156" s="1" t="inlineStr">
        <is>
          <t>active</t>
        </is>
      </c>
      <c r="H156" s="1" t="inlineStr">
        <is>
          <t>YA TIENE COSTO EN SHOPIFY ($144.20, heredado hoy)</t>
        </is>
      </c>
    </row>
    <row r="157">
      <c r="A157" s="1" t="inlineStr">
        <is>
          <t>12314363483982</t>
        </is>
      </c>
      <c r="B157" s="1" t="inlineStr">
        <is>
          <t>PULSERA F LOGOS GOLD-BLACK</t>
        </is>
      </c>
      <c r="C157" s="1" t="inlineStr">
        <is>
          <t>OUTLET</t>
        </is>
      </c>
      <c r="D157" s="1" t="inlineStr">
        <is>
          <t>HAIFENG</t>
        </is>
      </c>
      <c r="E157" s="6" t="n">
        <v>988.8</v>
      </c>
      <c r="F157" s="4" t="n">
        <v>1</v>
      </c>
      <c r="G157" s="1" t="inlineStr">
        <is>
          <t>active</t>
        </is>
      </c>
      <c r="H157" s="1" t="inlineStr">
        <is>
          <t>YA TIENE COSTO EN SHOPIFY ($224.07, heredado hoy)</t>
        </is>
      </c>
    </row>
    <row r="158">
      <c r="A158" s="1" t="inlineStr">
        <is>
          <t>31078752766318</t>
        </is>
      </c>
      <c r="B158" s="1" t="inlineStr">
        <is>
          <t>PULSERA C LOGO GOLD</t>
        </is>
      </c>
      <c r="C158" s="1" t="inlineStr">
        <is>
          <t>Dije 10mm 17.5cm de largo con 3.cm de extensión</t>
        </is>
      </c>
      <c r="D158" s="1" t="inlineStr">
        <is>
          <t>HAIFENG</t>
        </is>
      </c>
      <c r="E158" s="6" t="n">
        <v>660</v>
      </c>
      <c r="F158" s="4" t="n">
        <v>1</v>
      </c>
      <c r="G158" s="1" t="inlineStr">
        <is>
          <t>active</t>
        </is>
      </c>
      <c r="H158" s="1" t="inlineStr">
        <is>
          <t>YA TIENE COSTO EN SHOPIFY ($162.74, heredado hoy)</t>
        </is>
      </c>
    </row>
    <row r="159">
      <c r="A159" s="1" t="inlineStr">
        <is>
          <t>91078753456206</t>
        </is>
      </c>
      <c r="B159" s="1" t="inlineStr">
        <is>
          <t>PULSERA BV.ZERO ROSEGOLD</t>
        </is>
      </c>
      <c r="C159" s="1" t="inlineStr">
        <is>
          <t>OUTLET</t>
        </is>
      </c>
      <c r="D159" s="1" t="inlineStr">
        <is>
          <t>HAIFENG</t>
        </is>
      </c>
      <c r="E159" s="6" t="n">
        <v>475</v>
      </c>
      <c r="F159" s="4" t="n">
        <v>1</v>
      </c>
      <c r="G159" s="1" t="inlineStr">
        <is>
          <t>active</t>
        </is>
      </c>
      <c r="H159" s="1" t="inlineStr">
        <is>
          <t>YA TIENE COSTO EN SHOPIFY ($223.49, heredado hoy)</t>
        </is>
      </c>
    </row>
    <row r="160">
      <c r="A160" s="1" t="inlineStr">
        <is>
          <t>86347031100846</t>
        </is>
      </c>
      <c r="B160" s="1" t="inlineStr">
        <is>
          <t>ARETES CLAVO GOLD ZIRCONIAS</t>
        </is>
      </c>
      <c r="C160" s="1" t="inlineStr">
        <is>
          <t>OUTLET</t>
        </is>
      </c>
      <c r="D160" s="1" t="inlineStr">
        <is>
          <t>HAIFENG</t>
        </is>
      </c>
      <c r="E160" s="6" t="n">
        <v>529</v>
      </c>
      <c r="F160" s="4" t="n">
        <v>1</v>
      </c>
      <c r="G160" s="1" t="inlineStr">
        <is>
          <t>active</t>
        </is>
      </c>
      <c r="H160" s="1" t="inlineStr">
        <is>
          <t>YA TIENE COSTO EN SHOPIFY ($147.54, heredado hoy)</t>
        </is>
      </c>
    </row>
    <row r="161">
      <c r="A161" s="1" t="inlineStr">
        <is>
          <t>30463921069133</t>
        </is>
      </c>
      <c r="B161" s="1" t="inlineStr">
        <is>
          <t>ANILLO BV ZERO 1 BLACK-ROSEGOLD</t>
        </is>
      </c>
      <c r="C161" s="1" t="inlineStr">
        <is>
          <t>7 outlet</t>
        </is>
      </c>
      <c r="D161" s="1" t="inlineStr">
        <is>
          <t>HAIFENG</t>
        </is>
      </c>
      <c r="E161" s="6" t="n">
        <v>500</v>
      </c>
      <c r="F161" s="4" t="n">
        <v>1</v>
      </c>
      <c r="G161" s="1" t="inlineStr">
        <is>
          <t>active</t>
        </is>
      </c>
      <c r="H161" s="1" t="inlineStr">
        <is>
          <t>YA TIENE COSTO EN SHOPIFY ($161.52, heredado hoy)</t>
        </is>
      </c>
    </row>
    <row r="162">
      <c r="A162" s="1" t="inlineStr">
        <is>
          <t>41889241773166</t>
        </is>
      </c>
      <c r="B162" s="1" t="inlineStr">
        <is>
          <t>BRAZALETE CD GOLD-WHITE ZIRCONIAS</t>
        </is>
      </c>
      <c r="C162" s="1" t="inlineStr">
        <is>
          <t>MARMOLEADO</t>
        </is>
      </c>
      <c r="D162" s="1" t="inlineStr">
        <is>
          <t>CYNTHIA CAO</t>
        </is>
      </c>
      <c r="E162" s="6" t="n">
        <v>979</v>
      </c>
      <c r="F162" s="4" t="n">
        <v>1</v>
      </c>
      <c r="G162" s="1" t="inlineStr">
        <is>
          <t>active</t>
        </is>
      </c>
      <c r="H162" s="1" t="inlineStr">
        <is>
          <t>YA TIENE COSTO EN SHOPIFY ($224.67, heredado hoy)</t>
        </is>
      </c>
    </row>
    <row r="163">
      <c r="A163" s="1" t="inlineStr">
        <is>
          <t>41889241578254</t>
        </is>
      </c>
      <c r="B163" s="1" t="inlineStr">
        <is>
          <t>BRAZALETE CD ZIRCONIAS GOLD-BLACK</t>
        </is>
      </c>
      <c r="C163" s="1" t="inlineStr">
        <is>
          <t>Outlet</t>
        </is>
      </c>
      <c r="D163" s="1" t="inlineStr">
        <is>
          <t>CYNTHIA CAO</t>
        </is>
      </c>
      <c r="E163" s="6" t="n">
        <v>870</v>
      </c>
      <c r="F163" s="4" t="n">
        <v>1</v>
      </c>
      <c r="G163" s="1" t="inlineStr">
        <is>
          <t>active</t>
        </is>
      </c>
      <c r="H163" s="1" t="inlineStr">
        <is>
          <t>YA TIENE COSTO EN SHOPIFY ($287.63, heredado hoy)</t>
        </is>
      </c>
    </row>
    <row r="164">
      <c r="A164" s="1" t="inlineStr">
        <is>
          <t>41984181028813</t>
        </is>
      </c>
      <c r="B164" s="1" t="inlineStr">
        <is>
          <t>BALLERINAS PR BLACK CON LOGO</t>
        </is>
      </c>
      <c r="C164" s="1" t="inlineStr">
        <is>
          <t>25-cm</t>
        </is>
      </c>
      <c r="D164" s="1" t="inlineStr">
        <is>
          <t>ZOEY</t>
        </is>
      </c>
      <c r="E164" s="6" t="n">
        <v>5949</v>
      </c>
      <c r="F164" s="4" t="n">
        <v>1</v>
      </c>
      <c r="G164" s="1" t="inlineStr">
        <is>
          <t>active</t>
        </is>
      </c>
      <c r="H164" s="1" t="inlineStr">
        <is>
          <t>YA TIENE COSTO EN SHOPIFY ($1485.31, heredado hoy)</t>
        </is>
      </c>
    </row>
    <row r="165">
      <c r="A165" s="1" t="inlineStr">
        <is>
          <t>67733321025581</t>
        </is>
      </c>
      <c r="B165" s="1" t="inlineStr">
        <is>
          <t>PERFUME CREED AVENTUS EAU DE PARFUM</t>
        </is>
      </c>
      <c r="C165" s="1" t="inlineStr">
        <is>
          <t>100 ml OUTLET</t>
        </is>
      </c>
      <c r="D165" s="1" t="inlineStr">
        <is>
          <t>ZOEY</t>
        </is>
      </c>
      <c r="E165" s="6" t="n">
        <v>1274</v>
      </c>
      <c r="F165" s="4" t="n">
        <v>1</v>
      </c>
      <c r="G165" s="1" t="inlineStr">
        <is>
          <t>active</t>
        </is>
      </c>
      <c r="H165" s="1" t="inlineStr">
        <is>
          <t>YA TIENE COSTO EN SHOPIFY ($446.23, heredado hoy)</t>
        </is>
      </c>
    </row>
    <row r="166">
      <c r="A166" s="1" t="inlineStr">
        <is>
          <t>83188051093646</t>
        </is>
      </c>
      <c r="B166" s="1" t="inlineStr">
        <is>
          <t>BRAZALETE F GOLD BLACK</t>
        </is>
      </c>
      <c r="C166" s="1" t="inlineStr">
        <is>
          <t>OUTLET</t>
        </is>
      </c>
      <c r="D166" s="1" t="inlineStr">
        <is>
          <t>ZOEY</t>
        </is>
      </c>
      <c r="E166" s="6" t="n">
        <v>911.01</v>
      </c>
      <c r="F166" s="4" t="n">
        <v>1</v>
      </c>
      <c r="G166" s="1" t="inlineStr">
        <is>
          <t>active</t>
        </is>
      </c>
      <c r="H166" s="1" t="inlineStr">
        <is>
          <t>YA TIENE COSTO EN SHOPIFY ($259.86, heredado hoy)</t>
        </is>
      </c>
    </row>
    <row r="167">
      <c r="A167" s="1" t="inlineStr">
        <is>
          <t>87725181046766</t>
        </is>
      </c>
      <c r="B167" s="1" t="inlineStr">
        <is>
          <t>PULSERA LV IDYLLE BLOSSOM TRES OROS</t>
        </is>
      </c>
      <c r="C167" s="1" t="inlineStr">
        <is>
          <t>OUTLET</t>
        </is>
      </c>
      <c r="D167" s="1" t="inlineStr">
        <is>
          <t>ZOEY</t>
        </is>
      </c>
      <c r="E167" s="6" t="n">
        <v>875</v>
      </c>
      <c r="F167" s="4" t="n">
        <v>1</v>
      </c>
      <c r="G167" s="1" t="inlineStr">
        <is>
          <t>active</t>
        </is>
      </c>
      <c r="H167" s="1" t="inlineStr">
        <is>
          <t>YA TIENE COSTO EN SHOPIFY ($225.58, heredado hoy)</t>
        </is>
      </c>
    </row>
    <row r="168">
      <c r="A168" s="1" t="inlineStr">
        <is>
          <t>84911031092014</t>
        </is>
      </c>
      <c r="B168" s="1" t="inlineStr">
        <is>
          <t>PULSERA GC GOLD BLONDIE CON ZIRCONIAS</t>
        </is>
      </c>
      <c r="C168" s="1" t="inlineStr">
        <is>
          <t>OUTLET</t>
        </is>
      </c>
      <c r="D168" s="1" t="inlineStr">
        <is>
          <t>ZOEY</t>
        </is>
      </c>
      <c r="E168" s="6" t="n">
        <v>850</v>
      </c>
      <c r="F168" s="4" t="n">
        <v>1</v>
      </c>
      <c r="G168" s="1" t="inlineStr">
        <is>
          <t>active</t>
        </is>
      </c>
      <c r="H168" s="1" t="inlineStr">
        <is>
          <t>YA TIENE COSTO EN SHOPIFY ($383.17, heredado hoy)</t>
        </is>
      </c>
    </row>
    <row r="169">
      <c r="A169" s="1" t="inlineStr">
        <is>
          <t>80380861033870</t>
        </is>
      </c>
      <c r="B169" s="1" t="inlineStr">
        <is>
          <t>BRAZALETE GC BLONDIE CRISTAL BANGLE GOLD</t>
        </is>
      </c>
      <c r="C169" s="1" t="inlineStr">
        <is>
          <t>OUTLET</t>
        </is>
      </c>
      <c r="D169" s="1" t="inlineStr">
        <is>
          <t>ZOEY</t>
        </is>
      </c>
      <c r="E169" s="6" t="n">
        <v>1020</v>
      </c>
      <c r="F169" s="4" t="n">
        <v>1</v>
      </c>
      <c r="G169" s="1" t="inlineStr">
        <is>
          <t>active</t>
        </is>
      </c>
      <c r="H169" s="1" t="inlineStr">
        <is>
          <t>YA TIENE COSTO EN SHOPIFY ($289.58, heredado hoy)</t>
        </is>
      </c>
    </row>
    <row r="170">
      <c r="A170" s="1" t="inlineStr">
        <is>
          <t>22351461089710</t>
        </is>
      </c>
      <c r="B170" s="1" t="inlineStr">
        <is>
          <t>PULSERA BV ROSEGOLD WHITE CON ZIRCONIA</t>
        </is>
      </c>
      <c r="C170" s="1" t="inlineStr">
        <is>
          <t>outlet</t>
        </is>
      </c>
      <c r="D170" s="1" t="inlineStr">
        <is>
          <t>HAIFENG</t>
        </is>
      </c>
      <c r="E170" s="6" t="n">
        <v>499</v>
      </c>
      <c r="F170" s="4" t="n">
        <v>1</v>
      </c>
      <c r="G170" s="1" t="inlineStr">
        <is>
          <t>active</t>
        </is>
      </c>
      <c r="H170" s="1" t="inlineStr">
        <is>
          <t>YA TIENE COSTO EN SHOPIFY ($168.43, heredado hoy)</t>
        </is>
      </c>
    </row>
    <row r="171">
      <c r="A171" s="1" t="inlineStr">
        <is>
          <t>89633861063790</t>
        </is>
      </c>
      <c r="B171" s="1" t="inlineStr">
        <is>
          <t>ARETES CD ROUND LOGO CON ZIRCONIAS</t>
        </is>
      </c>
      <c r="C171" s="1" t="inlineStr">
        <is>
          <t>OUTLET</t>
        </is>
      </c>
      <c r="D171" s="1" t="inlineStr">
        <is>
          <t>CYNTHIA CAO</t>
        </is>
      </c>
      <c r="E171" s="6" t="n">
        <v>305</v>
      </c>
      <c r="F171" s="4" t="n">
        <v>1</v>
      </c>
      <c r="G171" s="1" t="inlineStr">
        <is>
          <t>active</t>
        </is>
      </c>
      <c r="H171" s="1" t="inlineStr">
        <is>
          <t>YA TIENE COSTO EN SHOPIFY ($173.43, heredado hoy)</t>
        </is>
      </c>
    </row>
    <row r="172">
      <c r="A172" s="1" t="inlineStr">
        <is>
          <t>10498801073741</t>
        </is>
      </c>
      <c r="B172" s="1" t="inlineStr">
        <is>
          <t>ANILLO TRÉBOL CON ZIRCONIA SILVER VF</t>
        </is>
      </c>
      <c r="C172" s="1" t="n">
        <v>6</v>
      </c>
      <c r="D172" s="1" t="inlineStr">
        <is>
          <t>HAIFENG</t>
        </is>
      </c>
      <c r="E172" s="6" t="n">
        <v>510</v>
      </c>
      <c r="F172" s="4" t="n">
        <v>1</v>
      </c>
      <c r="G172" s="1" t="inlineStr">
        <is>
          <t>active</t>
        </is>
      </c>
      <c r="H172" s="1" t="inlineStr">
        <is>
          <t>YA TIENE COSTO EN SHOPIFY ($113.30, heredado hoy)</t>
        </is>
      </c>
    </row>
    <row r="173">
      <c r="A173" s="1" t="inlineStr">
        <is>
          <t>38332091749901</t>
        </is>
      </c>
      <c r="B173" s="1" t="inlineStr">
        <is>
          <t>PULSERA GC LOGO CON ZIRCONIAS SILVER</t>
        </is>
      </c>
      <c r="C173" s="1" t="inlineStr">
        <is>
          <t>Default Title</t>
        </is>
      </c>
      <c r="D173" s="1" t="inlineStr">
        <is>
          <t>CYNTHIA CAO</t>
        </is>
      </c>
      <c r="E173" s="6" t="n">
        <v>400</v>
      </c>
      <c r="F173" s="4" t="n">
        <v>1</v>
      </c>
      <c r="G173" s="1" t="inlineStr">
        <is>
          <t>active</t>
        </is>
      </c>
      <c r="H173" s="1" t="inlineStr">
        <is>
          <t>YA TIENE COSTO EN SHOPIFY ($266.28, heredado hoy)</t>
        </is>
      </c>
    </row>
    <row r="174">
      <c r="A174" s="1" t="inlineStr">
        <is>
          <t>15711173123086</t>
        </is>
      </c>
      <c r="B174" s="1" t="inlineStr">
        <is>
          <t>PERFUME LAYTON DE MARLY 125ML</t>
        </is>
      </c>
      <c r="C174" s="1" t="inlineStr">
        <is>
          <t>OUTLET</t>
        </is>
      </c>
      <c r="D174" s="1" t="inlineStr">
        <is>
          <t>ZOEY</t>
        </is>
      </c>
      <c r="E174" s="6" t="n">
        <v>1544.27</v>
      </c>
      <c r="F174" s="4" t="n">
        <v>1</v>
      </c>
      <c r="G174" s="1" t="inlineStr">
        <is>
          <t>active</t>
        </is>
      </c>
      <c r="H174" s="1" t="inlineStr">
        <is>
          <t>YA TIENE COSTO EN SHOPIFY ($449.64, heredado hoy)</t>
        </is>
      </c>
    </row>
    <row r="175">
      <c r="A175" s="1" t="inlineStr">
        <is>
          <t>67201535872109</t>
        </is>
      </c>
      <c r="B175" s="1" t="inlineStr">
        <is>
          <t>ANILLO TRÉBOL CON ZIRCONIA ROSE GOLD VF</t>
        </is>
      </c>
      <c r="C175" s="1" t="n">
        <v>7</v>
      </c>
      <c r="D175" s="1" t="inlineStr">
        <is>
          <t>HAIFENG</t>
        </is>
      </c>
      <c r="E175" s="6" t="n">
        <v>480</v>
      </c>
      <c r="F175" s="4" t="n">
        <v>1</v>
      </c>
      <c r="G175" s="1" t="inlineStr">
        <is>
          <t>active</t>
        </is>
      </c>
      <c r="H175" s="1" t="inlineStr">
        <is>
          <t>YA TIENE COSTO EN SHOPIFY ($123.39, heredado hoy)</t>
        </is>
      </c>
    </row>
    <row r="176">
      <c r="A176" s="1" t="inlineStr">
        <is>
          <t>67201532874509</t>
        </is>
      </c>
      <c r="B176" s="1" t="inlineStr">
        <is>
          <t>ANILLO T1 T GOLD</t>
        </is>
      </c>
      <c r="C176" s="1" t="n">
        <v>6</v>
      </c>
      <c r="D176" s="1" t="inlineStr">
        <is>
          <t>HAIFENG</t>
        </is>
      </c>
      <c r="E176" s="6" t="n">
        <v>460</v>
      </c>
      <c r="F176" s="4" t="n">
        <v>1</v>
      </c>
      <c r="G176" s="1" t="inlineStr">
        <is>
          <t>active</t>
        </is>
      </c>
      <c r="H176" s="1" t="inlineStr">
        <is>
          <t>YA TIENE COSTO EN SHOPIFY ($110.00, heredado hoy)</t>
        </is>
      </c>
    </row>
    <row r="177">
      <c r="A177" s="1" t="inlineStr">
        <is>
          <t>66075801341965</t>
        </is>
      </c>
      <c r="B177" s="1" t="inlineStr">
        <is>
          <t>ANILLO LOVE SOLITAIRE ROSE GOLD C</t>
        </is>
      </c>
      <c r="C177" s="1" t="n">
        <v>5</v>
      </c>
      <c r="D177" s="1" t="inlineStr">
        <is>
          <t>HAIFENG</t>
        </is>
      </c>
      <c r="E177" s="6" t="n">
        <v>300</v>
      </c>
      <c r="F177" s="4" t="n">
        <v>1</v>
      </c>
      <c r="G177" s="1" t="inlineStr">
        <is>
          <t>active</t>
        </is>
      </c>
      <c r="H177" s="1" t="inlineStr">
        <is>
          <t>YA TIENE COSTO EN SHOPIFY ($140.00, heredado hoy)</t>
        </is>
      </c>
    </row>
    <row r="178">
      <c r="A178" s="1" t="inlineStr">
        <is>
          <t>67981321028461</t>
        </is>
      </c>
      <c r="B178" s="1" t="inlineStr">
        <is>
          <t>RELOJ SANTOS SILVER</t>
        </is>
      </c>
      <c r="C178" s="1" t="inlineStr">
        <is>
          <t>30mm Mujer sin caja</t>
        </is>
      </c>
      <c r="D178" s="1" t="inlineStr">
        <is>
          <t>ZOEY</t>
        </is>
      </c>
      <c r="E178" s="6" t="n">
        <v>4929</v>
      </c>
      <c r="F178" s="4" t="n">
        <v>1</v>
      </c>
      <c r="G178" s="1" t="inlineStr">
        <is>
          <t>active</t>
        </is>
      </c>
      <c r="H178" s="1" t="inlineStr">
        <is>
          <t>YA TIENE COSTO EN SHOPIFY ($1666.83, heredado hoy)</t>
        </is>
      </c>
    </row>
    <row r="179">
      <c r="A179" s="1" t="inlineStr">
        <is>
          <t>66593bcd517c7</t>
        </is>
      </c>
      <c r="B179" s="1" t="inlineStr">
        <is>
          <t>ANILLO LOVE SILVER ANCHO CON ZIRCONIA</t>
        </is>
      </c>
      <c r="C179" s="1" t="n">
        <v>5</v>
      </c>
      <c r="D179" s="1" t="inlineStr">
        <is>
          <t>HAIFENG</t>
        </is>
      </c>
      <c r="E179" s="6" t="n">
        <v>450</v>
      </c>
      <c r="F179" s="4" t="n">
        <v>2</v>
      </c>
      <c r="G179" s="1" t="inlineStr">
        <is>
          <t>active</t>
        </is>
      </c>
      <c r="H179" s="1" t="inlineStr">
        <is>
          <t>YA TIENE COSTO EN SHOPIFY ($36.00, heredado hoy)</t>
        </is>
      </c>
    </row>
    <row r="180">
      <c r="A180" s="1" t="inlineStr">
        <is>
          <t>55206361066093</t>
        </is>
      </c>
      <c r="B180" s="1" t="inlineStr">
        <is>
          <t>PULSERA LOVE DELGADA GOLD</t>
        </is>
      </c>
      <c r="C180" s="1" t="inlineStr">
        <is>
          <t>19 OUTLET</t>
        </is>
      </c>
      <c r="D180" s="1" t="inlineStr">
        <is>
          <t>HAIFENG</t>
        </is>
      </c>
      <c r="E180" s="6" t="n">
        <v>350</v>
      </c>
      <c r="F180" s="4" t="n">
        <v>0</v>
      </c>
      <c r="G180" s="1" t="inlineStr">
        <is>
          <t>active</t>
        </is>
      </c>
      <c r="H180" s="1" t="inlineStr">
        <is>
          <t>YA TIENE COSTO EN SHOPIFY ($103.44, heredado hoy)</t>
        </is>
      </c>
    </row>
    <row r="181">
      <c r="A181" s="1" t="inlineStr">
        <is>
          <t>70787101096781</t>
        </is>
      </c>
      <c r="B181" s="1" t="inlineStr">
        <is>
          <t>ANILLO TRES AROS</t>
        </is>
      </c>
      <c r="C181" s="1" t="inlineStr">
        <is>
          <t>7 OUTLET</t>
        </is>
      </c>
      <c r="D181" s="1" t="inlineStr">
        <is>
          <t>HAIFENG</t>
        </is>
      </c>
      <c r="E181" s="6" t="n">
        <v>550</v>
      </c>
      <c r="F181" s="4" t="n">
        <v>1</v>
      </c>
      <c r="G181" s="1" t="inlineStr">
        <is>
          <t>active</t>
        </is>
      </c>
      <c r="H181" s="1" t="inlineStr">
        <is>
          <t>YA TIENE COSTO EN SHOPIFY ($99.03, heredado hoy)</t>
        </is>
      </c>
    </row>
    <row r="182">
      <c r="A182" s="1" t="inlineStr">
        <is>
          <t>64026521015085</t>
        </is>
      </c>
      <c r="B182" s="1" t="inlineStr">
        <is>
          <t>PULSERA CLAVO GOLD</t>
        </is>
      </c>
      <c r="C182" s="1" t="inlineStr">
        <is>
          <t>17 cm OUTLET</t>
        </is>
      </c>
      <c r="D182" s="1" t="inlineStr">
        <is>
          <t>NANCY VIP</t>
        </is>
      </c>
      <c r="E182" s="6" t="n">
        <v>310</v>
      </c>
      <c r="F182" s="4" t="n">
        <v>1</v>
      </c>
      <c r="G182" s="1" t="inlineStr">
        <is>
          <t>active</t>
        </is>
      </c>
      <c r="H182" s="1" t="inlineStr">
        <is>
          <t>YA TIENE COSTO EN SHOPIFY ($71.79, heredado hoy)</t>
        </is>
      </c>
    </row>
    <row r="183">
      <c r="A183" s="1" t="inlineStr">
        <is>
          <t>80593821013101</t>
        </is>
      </c>
      <c r="B183" s="1" t="inlineStr">
        <is>
          <t>PULSERA LOVE ROSE GOLD</t>
        </is>
      </c>
      <c r="C183" s="1" t="inlineStr">
        <is>
          <t>18cm OUTLET</t>
        </is>
      </c>
      <c r="D183" s="1" t="inlineStr">
        <is>
          <t>HAIFENG</t>
        </is>
      </c>
      <c r="E183" s="6" t="n">
        <v>300</v>
      </c>
      <c r="F183" s="4" t="n">
        <v>2</v>
      </c>
      <c r="G183" s="1" t="inlineStr">
        <is>
          <t>active</t>
        </is>
      </c>
      <c r="H183" s="1" t="inlineStr">
        <is>
          <t>YA TIENE COSTO EN SHOPIFY ($94.57, heredado hoy)</t>
        </is>
      </c>
    </row>
    <row r="184">
      <c r="A184" s="1" t="inlineStr">
        <is>
          <t>85637961083661</t>
        </is>
      </c>
      <c r="B184" s="1" t="inlineStr">
        <is>
          <t>PULSERA LOVE DELGADA ROSE GOLD CON ZIRCONIA</t>
        </is>
      </c>
      <c r="C184" s="1" t="inlineStr">
        <is>
          <t>21 cm outlet</t>
        </is>
      </c>
      <c r="D184" s="1" t="inlineStr">
        <is>
          <t>COCOMA</t>
        </is>
      </c>
      <c r="E184" s="6" t="n">
        <v>350</v>
      </c>
      <c r="F184" s="4" t="n">
        <v>1</v>
      </c>
      <c r="G184" s="1" t="inlineStr">
        <is>
          <t>active</t>
        </is>
      </c>
      <c r="H184" s="1" t="inlineStr">
        <is>
          <t>YA TIENE COSTO EN SHOPIFY ($120.00, heredado hoy)</t>
        </is>
      </c>
    </row>
    <row r="185">
      <c r="A185" s="1" t="inlineStr">
        <is>
          <t>66176c89da5d2</t>
        </is>
      </c>
      <c r="B185" s="1" t="inlineStr">
        <is>
          <t>ANILLO LOVE ROSE GOLD</t>
        </is>
      </c>
      <c r="C185" s="1" t="n">
        <v>10</v>
      </c>
      <c r="D185" s="1" t="inlineStr">
        <is>
          <t>HAIFENG</t>
        </is>
      </c>
      <c r="E185" s="6" t="n">
        <v>400</v>
      </c>
      <c r="F185" s="4" t="n">
        <v>1</v>
      </c>
      <c r="G185" s="1" t="inlineStr">
        <is>
          <t>active</t>
        </is>
      </c>
      <c r="H185" s="1" t="inlineStr">
        <is>
          <t>YA TIENE COSTO EN SHOPIFY ($36.00, heredado hoy)</t>
        </is>
      </c>
    </row>
    <row r="186">
      <c r="A186" s="1" t="inlineStr">
        <is>
          <t>78579481097421</t>
        </is>
      </c>
      <c r="B186" s="1" t="inlineStr">
        <is>
          <t>PULSERA LOVE GOLD</t>
        </is>
      </c>
      <c r="C186" s="1" t="inlineStr">
        <is>
          <t>16 CM OUTLET</t>
        </is>
      </c>
      <c r="D186" s="1" t="inlineStr">
        <is>
          <t>HAIFENG</t>
        </is>
      </c>
      <c r="E186" s="6" t="n">
        <v>449</v>
      </c>
      <c r="F186" s="4" t="n">
        <v>0</v>
      </c>
      <c r="G186" s="1" t="inlineStr">
        <is>
          <t>active</t>
        </is>
      </c>
      <c r="H186" s="1" t="inlineStr">
        <is>
          <t>YA TIENE COSTO EN SHOPIFY ($96.37, heredado hoy)</t>
        </is>
      </c>
    </row>
    <row r="187">
      <c r="A187" s="1" t="inlineStr">
        <is>
          <t>82372571045869</t>
        </is>
      </c>
      <c r="B187" s="1" t="inlineStr">
        <is>
          <t>PULSERA LOVE GOLD CON ZIRCONIAS</t>
        </is>
      </c>
      <c r="C187" s="1" t="inlineStr">
        <is>
          <t>16 cm outlet</t>
        </is>
      </c>
      <c r="D187" s="1" t="inlineStr">
        <is>
          <t>HAIFENG</t>
        </is>
      </c>
      <c r="E187" s="6" t="n">
        <v>399</v>
      </c>
      <c r="F187" s="4" t="n">
        <v>1</v>
      </c>
      <c r="G187" s="1" t="inlineStr">
        <is>
          <t>active</t>
        </is>
      </c>
      <c r="H187" s="1" t="inlineStr">
        <is>
          <t>YA TIENE COSTO EN SHOPIFY ($36.00, heredado hoy)</t>
        </is>
      </c>
    </row>
    <row r="188">
      <c r="A188" s="1" t="inlineStr">
        <is>
          <t>82224432682509</t>
        </is>
      </c>
      <c r="B188" s="1" t="inlineStr">
        <is>
          <t>PULSERA LOVE CON ZIRCONIA SILVER</t>
        </is>
      </c>
      <c r="C188" s="1" t="inlineStr">
        <is>
          <t>17 cm OUTLET</t>
        </is>
      </c>
      <c r="D188" s="1" t="inlineStr">
        <is>
          <t>HAIFENG</t>
        </is>
      </c>
      <c r="E188" s="6" t="n">
        <v>249.5</v>
      </c>
      <c r="F188" s="4" t="n">
        <v>1</v>
      </c>
      <c r="G188" s="1" t="inlineStr">
        <is>
          <t>active</t>
        </is>
      </c>
      <c r="H188" s="1" t="inlineStr">
        <is>
          <t>YA TIENE COSTO EN SHOPIFY ($90.00, heredado hoy)</t>
        </is>
      </c>
    </row>
    <row r="189">
      <c r="A189" s="1" t="inlineStr">
        <is>
          <t>74359731022093</t>
        </is>
      </c>
      <c r="B189" s="1" t="inlineStr">
        <is>
          <t>PULSERA LOVE CON ZIRCONIA SILVER</t>
        </is>
      </c>
      <c r="C189" s="1" t="inlineStr">
        <is>
          <t>16cm OUTLET</t>
        </is>
      </c>
      <c r="D189" s="1" t="inlineStr">
        <is>
          <t>HAIFENG</t>
        </is>
      </c>
      <c r="E189" s="6" t="n">
        <v>399</v>
      </c>
      <c r="F189" s="4" t="n">
        <v>1</v>
      </c>
      <c r="G189" s="1" t="inlineStr">
        <is>
          <t>active</t>
        </is>
      </c>
      <c r="H189" s="1" t="inlineStr">
        <is>
          <t>YA TIENE COSTO EN SHOPIFY ($90.00, heredado hoy)</t>
        </is>
      </c>
    </row>
    <row r="190">
      <c r="A190" s="1" t="inlineStr">
        <is>
          <t>84930171036589</t>
        </is>
      </c>
      <c r="B190" s="1" t="inlineStr">
        <is>
          <t>PULSERA LOVE CON ZIRCONIA ROSE GOLD</t>
        </is>
      </c>
      <c r="C190" s="1" t="inlineStr">
        <is>
          <t>OUTLET 17CM</t>
        </is>
      </c>
      <c r="D190" s="1" t="inlineStr">
        <is>
          <t>HAIFENG</t>
        </is>
      </c>
      <c r="E190" s="6" t="n">
        <v>424.15</v>
      </c>
      <c r="F190" s="4" t="n">
        <v>1</v>
      </c>
      <c r="G190" s="1" t="inlineStr">
        <is>
          <t>active</t>
        </is>
      </c>
      <c r="H190" s="1" t="inlineStr">
        <is>
          <t>YA TIENE COSTO EN SHOPIFY ($94.67, heredado hoy)</t>
        </is>
      </c>
    </row>
    <row r="191">
      <c r="A191" s="1" t="inlineStr">
        <is>
          <t>81008431068589</t>
        </is>
      </c>
      <c r="B191" s="1" t="inlineStr">
        <is>
          <t>PERFUME SANTAL 33</t>
        </is>
      </c>
      <c r="C191" s="1" t="inlineStr">
        <is>
          <t>100ml OUTLET</t>
        </is>
      </c>
      <c r="D191" s="1" t="inlineStr">
        <is>
          <t>ZOEY</t>
        </is>
      </c>
      <c r="E191" s="6" t="n">
        <v>1399</v>
      </c>
      <c r="F191" s="4" t="n">
        <v>1</v>
      </c>
      <c r="G191" s="1" t="inlineStr">
        <is>
          <t>active</t>
        </is>
      </c>
      <c r="H191" s="1" t="inlineStr">
        <is>
          <t>YA TIENE COSTO EN SHOPIFY ($461.13, heredado hoy)</t>
        </is>
      </c>
    </row>
    <row r="192">
      <c r="A192" s="1" t="inlineStr">
        <is>
          <t>83634201051181</t>
        </is>
      </c>
      <c r="B192" s="1" t="inlineStr">
        <is>
          <t>PERFUME BACCARAT</t>
        </is>
      </c>
      <c r="C192" s="1" t="inlineStr">
        <is>
          <t>70ml OUTLET</t>
        </is>
      </c>
      <c r="D192" s="1" t="inlineStr">
        <is>
          <t>ZOEY</t>
        </is>
      </c>
      <c r="E192" s="6" t="n">
        <v>1399</v>
      </c>
      <c r="F192" s="4" t="n">
        <v>1</v>
      </c>
      <c r="G192" s="1" t="inlineStr">
        <is>
          <t>active</t>
        </is>
      </c>
      <c r="H192" s="1" t="inlineStr">
        <is>
          <t>YA TIENE COSTO EN SHOPIFY ($458.18, heredado hoy)</t>
        </is>
      </c>
    </row>
    <row r="193">
      <c r="A193" s="1" t="inlineStr">
        <is>
          <t>71036863356684</t>
        </is>
      </c>
      <c r="B193" s="1" t="inlineStr">
        <is>
          <t>ANILLO BV CON UNA ZIRCONIA GOLD</t>
        </is>
      </c>
      <c r="C193" s="1" t="n">
        <v>6</v>
      </c>
      <c r="D193" s="1" t="inlineStr">
        <is>
          <t>NANCY VIP</t>
        </is>
      </c>
      <c r="E193" s="6" t="n">
        <v>317</v>
      </c>
      <c r="F193" s="4" t="n">
        <v>1</v>
      </c>
      <c r="G193" s="1" t="inlineStr">
        <is>
          <t>active</t>
        </is>
      </c>
      <c r="H193" s="1" t="inlineStr">
        <is>
          <t>YA TIENE COSTO EN SHOPIFY ($82.62, heredado hoy)</t>
        </is>
      </c>
    </row>
    <row r="194">
      <c r="A194" s="1" t="inlineStr">
        <is>
          <t>82660031027405</t>
        </is>
      </c>
      <c r="B194" s="1" t="inlineStr">
        <is>
          <t>ANILLO CORAZÓN GRABADO</t>
        </is>
      </c>
      <c r="C194" s="1" t="inlineStr">
        <is>
          <t>8 OUTLET</t>
        </is>
      </c>
      <c r="D194" s="1" t="inlineStr">
        <is>
          <t>HAIFENG</t>
        </is>
      </c>
      <c r="E194" s="6" t="n">
        <v>300</v>
      </c>
      <c r="F194" s="4" t="n">
        <v>1</v>
      </c>
      <c r="G194" s="1" t="inlineStr">
        <is>
          <t>active</t>
        </is>
      </c>
      <c r="H194" s="1" t="inlineStr">
        <is>
          <t>YA TIENE COSTO EN SHOPIFY ($105.28, heredado hoy)</t>
        </is>
      </c>
    </row>
    <row r="195">
      <c r="A195" s="1" t="inlineStr">
        <is>
          <t>56481471878796</t>
        </is>
      </c>
      <c r="B195" s="1" t="inlineStr">
        <is>
          <t>ANILLO FORGE</t>
        </is>
      </c>
      <c r="C195" s="1" t="n">
        <v>6</v>
      </c>
      <c r="D195" s="1" t="inlineStr">
        <is>
          <t>HAIFENG</t>
        </is>
      </c>
      <c r="E195" s="6" t="n">
        <v>520</v>
      </c>
      <c r="F195" s="4" t="n">
        <v>1</v>
      </c>
      <c r="G195" s="1" t="inlineStr">
        <is>
          <t>active</t>
        </is>
      </c>
      <c r="H195" s="1" t="inlineStr">
        <is>
          <t>YA TIENE COSTO EN SHOPIFY ($103.00, heredado hoy)</t>
        </is>
      </c>
    </row>
    <row r="196">
      <c r="A196" s="1" t="inlineStr">
        <is>
          <t>72002489608076</t>
        </is>
      </c>
      <c r="B196" s="1" t="inlineStr">
        <is>
          <t>ZAPATILLAS CL KATE</t>
        </is>
      </c>
      <c r="C196" s="1" t="inlineStr">
        <is>
          <t>23cm</t>
        </is>
      </c>
      <c r="D196" s="1" t="inlineStr">
        <is>
          <t>ZOEY</t>
        </is>
      </c>
      <c r="E196" s="6" t="n">
        <v>4675</v>
      </c>
      <c r="F196" s="4" t="n">
        <v>1</v>
      </c>
      <c r="G196" s="1" t="inlineStr">
        <is>
          <t>active</t>
        </is>
      </c>
      <c r="H196" s="1" t="inlineStr">
        <is>
          <t>YA TIENE COSTO EN SHOPIFY ($1176.59, heredado hoy)</t>
        </is>
      </c>
    </row>
    <row r="197">
      <c r="A197" s="1" t="inlineStr">
        <is>
          <t>98219285835148outlet</t>
        </is>
      </c>
      <c r="B197" s="1" t="inlineStr">
        <is>
          <t>MINI BOLSO LV STEAMER</t>
        </is>
      </c>
      <c r="C197" s="1" t="inlineStr">
        <is>
          <t>17cm de largo x 10cm de alto x 7cm de ancho OUTLET</t>
        </is>
      </c>
      <c r="D197" s="1" t="inlineStr">
        <is>
          <t>ZOEY</t>
        </is>
      </c>
      <c r="E197" s="6" t="n">
        <v>3272</v>
      </c>
      <c r="F197" s="4" t="n">
        <v>1</v>
      </c>
      <c r="G197" s="1" t="inlineStr">
        <is>
          <t>active</t>
        </is>
      </c>
      <c r="H197" s="1" t="inlineStr">
        <is>
          <t>YA TIENE COSTO EN SHOPIFY ($1121.72, heredado hoy)</t>
        </is>
      </c>
    </row>
    <row r="198">
      <c r="A198" s="1" t="inlineStr">
        <is>
          <t>679be1fa82b98</t>
        </is>
      </c>
      <c r="B198" s="1" t="inlineStr">
        <is>
          <t>RELOJ C SANTOS BLACK</t>
        </is>
      </c>
      <c r="C198" s="1" t="inlineStr">
        <is>
          <t>RELOJ SIN CAJA HOMBRE 35mm</t>
        </is>
      </c>
      <c r="D198" s="1" t="inlineStr">
        <is>
          <t>ZOEY</t>
        </is>
      </c>
      <c r="E198" s="6" t="n">
        <v>2534</v>
      </c>
      <c r="F198" s="4" t="n">
        <v>1</v>
      </c>
      <c r="G198" s="1" t="inlineStr">
        <is>
          <t>active</t>
        </is>
      </c>
      <c r="H198" s="1" t="inlineStr">
        <is>
          <t>YA TIENE COSTO EN SHOPIFY ($700.00, heredado hoy)</t>
        </is>
      </c>
    </row>
    <row r="199">
      <c r="A199" s="1" t="inlineStr">
        <is>
          <t>37284761002221</t>
        </is>
      </c>
      <c r="B199" s="1" t="inlineStr">
        <is>
          <t>RELOJ RX OYSTER PERPETUAL BLACK</t>
        </is>
      </c>
      <c r="C199" s="1" t="inlineStr">
        <is>
          <t>RELOJ SIN CAJA 22cm + 2.5cm de extensión</t>
        </is>
      </c>
      <c r="D199" s="1" t="inlineStr">
        <is>
          <t>ZOEY</t>
        </is>
      </c>
      <c r="E199" s="6" t="n">
        <v>3999</v>
      </c>
      <c r="F199" s="4" t="n">
        <v>0</v>
      </c>
      <c r="G199" s="1" t="inlineStr">
        <is>
          <t>active</t>
        </is>
      </c>
      <c r="H199" s="1" t="inlineStr">
        <is>
          <t>Falta el costo de compra (no está en ninguna tabla de precios)</t>
        </is>
      </c>
    </row>
    <row r="200">
      <c r="A200" s="1" t="inlineStr">
        <is>
          <t>77480545135628</t>
        </is>
      </c>
      <c r="B200" s="1" t="inlineStr">
        <is>
          <t>CHAMARRA PR PUFF BLACK</t>
        </is>
      </c>
      <c r="C200" s="1" t="inlineStr">
        <is>
          <t>L</t>
        </is>
      </c>
      <c r="D200" s="1" t="inlineStr">
        <is>
          <t>ZOEY</t>
        </is>
      </c>
      <c r="E200" s="6" t="n">
        <v>4844.38</v>
      </c>
      <c r="F200" s="4" t="n">
        <v>1</v>
      </c>
      <c r="G200" s="1" t="inlineStr">
        <is>
          <t>active</t>
        </is>
      </c>
      <c r="H200" s="1" t="inlineStr">
        <is>
          <t>YA TIENE COSTO EN SHOPIFY ($957.57, heredado hoy)</t>
        </is>
      </c>
    </row>
    <row r="201">
      <c r="A201" s="1" t="inlineStr">
        <is>
          <t>43728084752652</t>
        </is>
      </c>
      <c r="B201" s="1" t="inlineStr">
        <is>
          <t>CHAMARRA C BLACK</t>
        </is>
      </c>
      <c r="C201" s="1" t="inlineStr">
        <is>
          <t>M</t>
        </is>
      </c>
      <c r="D201" s="1" t="inlineStr">
        <is>
          <t>ZOEY</t>
        </is>
      </c>
      <c r="E201" s="6" t="n">
        <v>4845</v>
      </c>
      <c r="F201" s="4" t="n">
        <v>1</v>
      </c>
      <c r="G201" s="1" t="inlineStr">
        <is>
          <t>active</t>
        </is>
      </c>
      <c r="H201" s="1" t="inlineStr">
        <is>
          <t>YA TIENE COSTO EN SHOPIFY ($957.57, heredado hoy)</t>
        </is>
      </c>
    </row>
    <row r="202">
      <c r="A202" s="1" t="inlineStr">
        <is>
          <t>72002489425037</t>
        </is>
      </c>
      <c r="B202" s="1" t="inlineStr">
        <is>
          <t>ZAPATILLAS YSL OPYUM BLACK</t>
        </is>
      </c>
      <c r="C202" s="1" t="inlineStr">
        <is>
          <t>26.5 cm</t>
        </is>
      </c>
      <c r="D202" s="1" t="inlineStr">
        <is>
          <t>ZOEY</t>
        </is>
      </c>
      <c r="E202" s="6" t="n">
        <v>6339</v>
      </c>
      <c r="F202" s="4" t="n">
        <v>0</v>
      </c>
      <c r="G202" s="1" t="inlineStr">
        <is>
          <t>active</t>
        </is>
      </c>
      <c r="H202" s="1" t="inlineStr">
        <is>
          <t>YA TIENE COSTO EN SHOPIFY ($1593.30, heredado hoy)</t>
        </is>
      </c>
    </row>
    <row r="203">
      <c r="A203" s="1" t="inlineStr">
        <is>
          <t>6748bba21e371</t>
        </is>
      </c>
      <c r="B203" s="1" t="inlineStr">
        <is>
          <t>ZAPATILLAS YSL STONE SEVILLA</t>
        </is>
      </c>
      <c r="C203" s="1" t="inlineStr">
        <is>
          <t>24cm</t>
        </is>
      </c>
      <c r="D203" s="1" t="inlineStr">
        <is>
          <t>ZOEY</t>
        </is>
      </c>
      <c r="E203" s="6" t="n">
        <v>5142</v>
      </c>
      <c r="F203" s="4" t="n">
        <v>1</v>
      </c>
      <c r="G203" s="1" t="inlineStr">
        <is>
          <t>active</t>
        </is>
      </c>
      <c r="H203" s="1" t="inlineStr">
        <is>
          <t>YA TIENE COSTO EN SHOPIFY ($1380.00, heredado hoy)</t>
        </is>
      </c>
    </row>
    <row r="204">
      <c r="A204" s="1" t="inlineStr">
        <is>
          <t>6748bba2bee95</t>
        </is>
      </c>
      <c r="B204" s="1" t="inlineStr">
        <is>
          <t>ZAPATILLAS YSL STONE SEVILLA</t>
        </is>
      </c>
      <c r="C204" s="1" t="inlineStr">
        <is>
          <t>25cm</t>
        </is>
      </c>
      <c r="D204" s="1" t="inlineStr">
        <is>
          <t>ZOEY</t>
        </is>
      </c>
      <c r="E204" s="6" t="n">
        <v>5200</v>
      </c>
      <c r="F204" s="4" t="n">
        <v>1</v>
      </c>
      <c r="G204" s="1" t="inlineStr">
        <is>
          <t>active</t>
        </is>
      </c>
      <c r="H204" s="1" t="inlineStr">
        <is>
          <t>YA TIENE COSTO EN SHOPIFY ($1380.00, heredado hoy)</t>
        </is>
      </c>
    </row>
    <row r="205">
      <c r="A205" s="1" t="inlineStr">
        <is>
          <t>43728089106732</t>
        </is>
      </c>
      <c r="B205" s="1" t="inlineStr">
        <is>
          <t>PULSERA T DORADA ZIRCONIA</t>
        </is>
      </c>
      <c r="C205" s="1" t="inlineStr">
        <is>
          <t>16cm OUTLET</t>
        </is>
      </c>
      <c r="D205" s="1" t="inlineStr">
        <is>
          <t>HAIFENG</t>
        </is>
      </c>
      <c r="E205" s="6" t="n">
        <v>234.5</v>
      </c>
      <c r="F205" s="4" t="n">
        <v>1</v>
      </c>
      <c r="G205" s="1" t="inlineStr">
        <is>
          <t>active</t>
        </is>
      </c>
      <c r="H205" s="1" t="inlineStr">
        <is>
          <t>YA TIENE COSTO EN SHOPIFY ($106.08, heredado hoy)</t>
        </is>
      </c>
    </row>
    <row r="206">
      <c r="A206" s="1" t="inlineStr">
        <is>
          <t>58471331081773</t>
        </is>
      </c>
      <c r="B206" s="1" t="inlineStr">
        <is>
          <t>PULSERA CON PASADOR Y PLACA ESTILO CORAZON SILVER</t>
        </is>
      </c>
      <c r="C206" s="1" t="inlineStr">
        <is>
          <t>17CM OUTLET</t>
        </is>
      </c>
      <c r="D206" s="1" t="inlineStr">
        <is>
          <t>HAIFENG</t>
        </is>
      </c>
      <c r="E206" s="6" t="n">
        <v>459</v>
      </c>
      <c r="F206" s="4" t="n">
        <v>0</v>
      </c>
      <c r="G206" s="1" t="inlineStr">
        <is>
          <t>active</t>
        </is>
      </c>
      <c r="H206" s="1" t="inlineStr">
        <is>
          <t>YA TIENE COSTO EN SHOPIFY ($147.19, heredado hoy)</t>
        </is>
      </c>
    </row>
    <row r="207">
      <c r="A207" s="1" t="inlineStr">
        <is>
          <t>71086471029549</t>
        </is>
      </c>
      <c r="B207" s="1" t="inlineStr">
        <is>
          <t>PULSERA ONE T DOBLE ZIRCONIA GOLD</t>
        </is>
      </c>
      <c r="C207" s="1" t="inlineStr">
        <is>
          <t>16.58CM OUTLET</t>
        </is>
      </c>
      <c r="D207" s="1" t="inlineStr">
        <is>
          <t>CYNTHIA CAO</t>
        </is>
      </c>
      <c r="E207" s="6" t="n">
        <v>680</v>
      </c>
      <c r="F207" s="4" t="n">
        <v>1</v>
      </c>
      <c r="G207" s="1" t="inlineStr">
        <is>
          <t>active</t>
        </is>
      </c>
      <c r="H207" s="1" t="inlineStr">
        <is>
          <t>YA TIENE COSTO EN SHOPIFY ($386.45, heredado hoy)</t>
        </is>
      </c>
    </row>
    <row r="208">
      <c r="A208" s="1" t="inlineStr">
        <is>
          <t>96793421064461</t>
        </is>
      </c>
      <c r="B208" s="1" t="inlineStr">
        <is>
          <t>PULSERA LOCK ROSEGOLD</t>
        </is>
      </c>
      <c r="C208" s="1" t="inlineStr">
        <is>
          <t>17.5cm OUTLET</t>
        </is>
      </c>
      <c r="D208" s="1" t="inlineStr">
        <is>
          <t>CYNTHIA CAO</t>
        </is>
      </c>
      <c r="E208" s="6" t="n">
        <v>799</v>
      </c>
      <c r="F208" s="4" t="n">
        <v>1</v>
      </c>
      <c r="G208" s="1" t="inlineStr">
        <is>
          <t>active</t>
        </is>
      </c>
      <c r="H208" s="1" t="inlineStr">
        <is>
          <t>YA TIENE COSTO EN SHOPIFY ($343.24, heredado hoy)</t>
        </is>
      </c>
    </row>
    <row r="209">
      <c r="A209" s="1" t="inlineStr">
        <is>
          <t>18795171029645</t>
        </is>
      </c>
      <c r="B209" s="1" t="inlineStr">
        <is>
          <t>COLLAR KNOT ROSEGOLD</t>
        </is>
      </c>
      <c r="C209" s="1" t="inlineStr">
        <is>
          <t>Tamaño del dije: 3.5cm  39cm de largo con extensión de 5cm</t>
        </is>
      </c>
      <c r="D209" s="1" t="inlineStr">
        <is>
          <t>NANCY VIP</t>
        </is>
      </c>
      <c r="E209" s="6" t="n">
        <v>545</v>
      </c>
      <c r="F209" s="4" t="n">
        <v>1</v>
      </c>
      <c r="G209" s="1" t="inlineStr">
        <is>
          <t>active</t>
        </is>
      </c>
      <c r="H209" s="1" t="inlineStr">
        <is>
          <t>YA TIENE COSTO EN SHOPIFY ($135.66, heredado hoy)</t>
        </is>
      </c>
    </row>
    <row r="210">
      <c r="A210" s="1" t="inlineStr">
        <is>
          <t>11105531009613</t>
        </is>
      </c>
      <c r="B210" s="1" t="inlineStr">
        <is>
          <t>PULSERA DE CUENTAS CON INSIGNIA DE CORAZÓN PINK</t>
        </is>
      </c>
      <c r="C210" s="1" t="inlineStr">
        <is>
          <t>16CM OUTLET</t>
        </is>
      </c>
      <c r="D210" s="1" t="inlineStr">
        <is>
          <t>HAIFENG</t>
        </is>
      </c>
      <c r="E210" s="6" t="n">
        <v>399</v>
      </c>
      <c r="F210" s="4" t="n">
        <v>1</v>
      </c>
      <c r="G210" s="1" t="inlineStr">
        <is>
          <t>active</t>
        </is>
      </c>
      <c r="H210" s="1" t="inlineStr">
        <is>
          <t>YA TIENE COSTO EN SHOPIFY ($106.31, heredado hoy)</t>
        </is>
      </c>
    </row>
    <row r="211">
      <c r="A211" s="1" t="inlineStr">
        <is>
          <t>72227771082285</t>
        </is>
      </c>
      <c r="B211" s="1" t="inlineStr">
        <is>
          <t>PULSERA DE CUENTAS CON INSIGNIA DE CORAZÓN PINK</t>
        </is>
      </c>
      <c r="C211" s="1" t="inlineStr">
        <is>
          <t>19CM OUTLET</t>
        </is>
      </c>
      <c r="D211" s="1" t="inlineStr">
        <is>
          <t>HAIFENG</t>
        </is>
      </c>
      <c r="E211" s="6" t="n">
        <v>399</v>
      </c>
      <c r="F211" s="4" t="n">
        <v>1</v>
      </c>
      <c r="G211" s="1" t="inlineStr">
        <is>
          <t>active</t>
        </is>
      </c>
      <c r="H211" s="1" t="inlineStr">
        <is>
          <t>YA TIENE COSTO EN SHOPIFY ($105.16, heredado hoy)</t>
        </is>
      </c>
    </row>
    <row r="212">
      <c r="A212" s="1" t="inlineStr">
        <is>
          <t>54308281013709</t>
        </is>
      </c>
      <c r="B212" s="1" t="inlineStr">
        <is>
          <t>PULSERA DE CUENTAS CON INSIGNIA DE CORAZÓN BLUE</t>
        </is>
      </c>
      <c r="C212" s="1" t="inlineStr">
        <is>
          <t>19cm OUTLET</t>
        </is>
      </c>
      <c r="D212" s="1" t="inlineStr">
        <is>
          <t>HAIFENG</t>
        </is>
      </c>
      <c r="E212" s="6" t="n">
        <v>276</v>
      </c>
      <c r="F212" s="4" t="n">
        <v>1</v>
      </c>
      <c r="G212" s="1" t="inlineStr">
        <is>
          <t>active</t>
        </is>
      </c>
      <c r="H212" s="1" t="inlineStr">
        <is>
          <t>YA TIENE COSTO EN SHOPIFY ($105.17, heredado hoy)</t>
        </is>
      </c>
    </row>
    <row r="213">
      <c r="A213" s="1" t="inlineStr">
        <is>
          <t>43728097086508</t>
        </is>
      </c>
      <c r="B213" s="1" t="inlineStr">
        <is>
          <t>ROUND LAB 1025 DOKDO TONER</t>
        </is>
      </c>
      <c r="C213" s="1" t="inlineStr">
        <is>
          <t>50mL</t>
        </is>
      </c>
      <c r="D213" s="1" t="inlineStr">
        <is>
          <t>Old Money Mexico</t>
        </is>
      </c>
      <c r="E213" s="6" t="n">
        <v>211</v>
      </c>
      <c r="F213" s="4" t="n">
        <v>1</v>
      </c>
      <c r="G213" s="1" t="inlineStr">
        <is>
          <t>active</t>
        </is>
      </c>
      <c r="H213" s="1" t="inlineStr">
        <is>
          <t>Falta el costo de compra (no está en ninguna tabla de precios)</t>
        </is>
      </c>
    </row>
    <row r="214">
      <c r="A214" s="1" t="inlineStr">
        <is>
          <t>6701d274d291b</t>
        </is>
      </c>
      <c r="B214" s="1" t="inlineStr">
        <is>
          <t>PULSERA VW LUZIA BAS RELIEF GOLD</t>
        </is>
      </c>
      <c r="C214" s="1" t="inlineStr">
        <is>
          <t>17cm con 3cm de extension</t>
        </is>
      </c>
      <c r="D214" s="1" t="inlineStr">
        <is>
          <t>CYNTHIA CAO</t>
        </is>
      </c>
      <c r="E214" s="6" t="n">
        <v>699</v>
      </c>
      <c r="F214" s="4" t="n">
        <v>1</v>
      </c>
      <c r="G214" s="1" t="inlineStr">
        <is>
          <t>active</t>
        </is>
      </c>
      <c r="H214" s="1" t="inlineStr">
        <is>
          <t>YA TIENE COSTO EN SHOPIFY ($182.74, heredado hoy)</t>
        </is>
      </c>
    </row>
    <row r="215">
      <c r="A215" s="1" t="inlineStr">
        <is>
          <t>94956749092236</t>
        </is>
      </c>
      <c r="B215" s="1" t="inlineStr">
        <is>
          <t>BOLSO JM WHITE</t>
        </is>
      </c>
      <c r="C215" s="1" t="inlineStr">
        <is>
          <t>13cm de alto x 17.3cm de largo x 7cm de ancho   12cm de alto de correa</t>
        </is>
      </c>
      <c r="D215" s="1" t="inlineStr">
        <is>
          <t>ZOEY</t>
        </is>
      </c>
      <c r="E215" s="6" t="n">
        <v>2000</v>
      </c>
      <c r="F215" s="4" t="n">
        <v>1</v>
      </c>
      <c r="G215" s="1" t="inlineStr">
        <is>
          <t>active</t>
        </is>
      </c>
      <c r="H215" s="1" t="inlineStr">
        <is>
          <t>YA TIENE COSTO EN SHOPIFY ($1120.00, heredado hoy)</t>
        </is>
      </c>
    </row>
    <row r="216">
      <c r="A216" s="1" t="inlineStr">
        <is>
          <t>78831231088845</t>
        </is>
      </c>
      <c r="B216" s="1" t="inlineStr">
        <is>
          <t>TRAJE DE BAÑO GC</t>
        </is>
      </c>
      <c r="C216" s="1" t="inlineStr">
        <is>
          <t>XS</t>
        </is>
      </c>
      <c r="D216" s="1" t="inlineStr">
        <is>
          <t>CYNTHIA CAO</t>
        </is>
      </c>
      <c r="E216" s="6" t="n">
        <v>1129</v>
      </c>
      <c r="F216" s="4" t="n">
        <v>1</v>
      </c>
      <c r="G216" s="1" t="inlineStr">
        <is>
          <t>active</t>
        </is>
      </c>
      <c r="H216" s="1" t="inlineStr">
        <is>
          <t>YA TIENE COSTO EN SHOPIFY ($280.26, heredado hoy)</t>
        </is>
      </c>
    </row>
    <row r="217">
      <c r="A217" s="1" t="inlineStr">
        <is>
          <t>94322651058893</t>
        </is>
      </c>
      <c r="B217" s="1" t="inlineStr">
        <is>
          <t>BOLSA LV BROWN</t>
        </is>
      </c>
      <c r="C217" s="1" t="inlineStr">
        <is>
          <t>SOLO CADENA (SIN CORREA)</t>
        </is>
      </c>
      <c r="D217" s="1" t="inlineStr">
        <is>
          <t>CYNTHIA CAO</t>
        </is>
      </c>
      <c r="E217" s="6" t="n">
        <v>5200</v>
      </c>
      <c r="F217" s="4" t="n">
        <v>1</v>
      </c>
      <c r="G217" s="1" t="inlineStr">
        <is>
          <t>active</t>
        </is>
      </c>
      <c r="H217" s="1" t="inlineStr">
        <is>
          <t>YA TIENE COSTO EN SHOPIFY ($1426.88, heredado hoy)</t>
        </is>
      </c>
    </row>
    <row r="218">
      <c r="A218" s="1" t="inlineStr">
        <is>
          <t>665bd4b2e7a3d</t>
        </is>
      </c>
      <c r="B218" s="1" t="inlineStr">
        <is>
          <t>ANILLO WORLD MAP BLACK</t>
        </is>
      </c>
      <c r="C218" s="1" t="n">
        <v>9</v>
      </c>
      <c r="D218" s="1" t="inlineStr">
        <is>
          <t>JEFF</t>
        </is>
      </c>
      <c r="E218" s="6" t="n">
        <v>429</v>
      </c>
      <c r="F218" s="4" t="n">
        <v>1</v>
      </c>
      <c r="G218" s="1" t="inlineStr">
        <is>
          <t>active</t>
        </is>
      </c>
      <c r="H218" s="1" t="inlineStr">
        <is>
          <t>YA TIENE COSTO EN SHOPIFY ($41.53, heredado hoy)</t>
        </is>
      </c>
    </row>
    <row r="219">
      <c r="A219" s="1" t="inlineStr">
        <is>
          <t>94297451070925</t>
        </is>
      </c>
      <c r="B219" s="1" t="inlineStr">
        <is>
          <t>TARJETERO YSL LOGO BLACK</t>
        </is>
      </c>
      <c r="C219" s="1" t="inlineStr">
        <is>
          <t>10cm de largo x 7.5cm de alto SIN CAJA</t>
        </is>
      </c>
      <c r="D219" s="1" t="inlineStr">
        <is>
          <t>CYNTHIA CAO</t>
        </is>
      </c>
      <c r="E219" s="6" t="n">
        <v>1799</v>
      </c>
      <c r="F219" s="4" t="n">
        <v>1</v>
      </c>
      <c r="G219" s="1" t="inlineStr">
        <is>
          <t>active</t>
        </is>
      </c>
      <c r="H219" s="1" t="inlineStr">
        <is>
          <t>YA TIENE COSTO EN SHOPIFY ($480.00, heredado hoy)</t>
        </is>
      </c>
    </row>
    <row r="220">
      <c r="A220" s="1" t="inlineStr">
        <is>
          <t>63e0b73256de0</t>
        </is>
      </c>
      <c r="B220" s="1" t="inlineStr">
        <is>
          <t>ANILLO COCO ROSE GOLD</t>
        </is>
      </c>
      <c r="C220" s="1" t="inlineStr">
        <is>
          <t>9 (REMATE)</t>
        </is>
      </c>
      <c r="D220" s="1" t="inlineStr">
        <is>
          <t>HAIFENG</t>
        </is>
      </c>
      <c r="E220" s="6" t="n">
        <v>224</v>
      </c>
      <c r="F220" s="4" t="n">
        <v>1</v>
      </c>
      <c r="G220" s="1" t="inlineStr">
        <is>
          <t>active</t>
        </is>
      </c>
      <c r="H220" s="1" t="inlineStr">
        <is>
          <t>YA TIENE COSTO EN SHOPIFY ($36.00, heredado hoy)</t>
        </is>
      </c>
    </row>
    <row r="221">
      <c r="A221" s="1" t="inlineStr">
        <is>
          <t>63ebd61958889</t>
        </is>
      </c>
      <c r="B221" s="1" t="inlineStr">
        <is>
          <t>ARETES BV ROSE GOLD-BLACK</t>
        </is>
      </c>
      <c r="C221" s="1" t="inlineStr">
        <is>
          <t>0.7cm</t>
        </is>
      </c>
      <c r="D221" s="1" t="inlineStr">
        <is>
          <t>NANCY VIP</t>
        </is>
      </c>
      <c r="E221" s="6" t="n">
        <v>499</v>
      </c>
      <c r="F221" s="4" t="n">
        <v>1</v>
      </c>
      <c r="G221" s="1" t="inlineStr">
        <is>
          <t>active</t>
        </is>
      </c>
      <c r="H221" s="1" t="inlineStr">
        <is>
          <t>YA TIENE COSTO EN SHOPIFY ($20.00, heredado hoy)</t>
        </is>
      </c>
    </row>
    <row r="222">
      <c r="A222" s="1" t="inlineStr">
        <is>
          <t>647d251745bec</t>
        </is>
      </c>
      <c r="B222" s="1" t="inlineStr">
        <is>
          <t>RELOJ HOLLOW FULL BLACK-BLUE</t>
        </is>
      </c>
      <c r="C222" s="1" t="inlineStr">
        <is>
          <t>Negro</t>
        </is>
      </c>
      <c r="D222" s="1" t="inlineStr">
        <is>
          <t>Andretti Elite Swiss</t>
        </is>
      </c>
      <c r="E222" s="6" t="n">
        <v>1799</v>
      </c>
      <c r="F222" s="4" t="n">
        <v>1</v>
      </c>
      <c r="G222" s="1" t="inlineStr">
        <is>
          <t>active</t>
        </is>
      </c>
      <c r="H222" s="1" t="inlineStr">
        <is>
          <t>YA TIENE COSTO EN SHOPIFY ($425.70, heredado hoy)</t>
        </is>
      </c>
    </row>
    <row r="223">
      <c r="A223" s="1" t="inlineStr">
        <is>
          <t>647d251f40a68</t>
        </is>
      </c>
      <c r="B223" s="1" t="inlineStr">
        <is>
          <t>RELOJ FLYBACK CR-SERIES BLUE</t>
        </is>
      </c>
      <c r="C223" s="1" t="inlineStr">
        <is>
          <t>Azul</t>
        </is>
      </c>
      <c r="D223" s="1" t="inlineStr">
        <is>
          <t>Andretti Elite Swiss</t>
        </is>
      </c>
      <c r="E223" s="6" t="n">
        <v>1850</v>
      </c>
      <c r="F223" s="4" t="n">
        <v>1</v>
      </c>
      <c r="G223" s="1" t="inlineStr">
        <is>
          <t>active</t>
        </is>
      </c>
      <c r="H223" s="1" t="inlineStr">
        <is>
          <t>YA TIENE COSTO EN SHOPIFY ($425.70, heredado hoy)</t>
        </is>
      </c>
    </row>
    <row r="224">
      <c r="A224" s="1" t="inlineStr">
        <is>
          <t>647d252061951</t>
        </is>
      </c>
      <c r="B224" s="1" t="inlineStr">
        <is>
          <t>RELOJ FLYBACK CR-SERIES YELLOW</t>
        </is>
      </c>
      <c r="C224" s="1" t="inlineStr">
        <is>
          <t>Amarillo</t>
        </is>
      </c>
      <c r="D224" s="1" t="inlineStr">
        <is>
          <t>Andretti Elite Swiss</t>
        </is>
      </c>
      <c r="E224" s="6" t="n">
        <v>1850</v>
      </c>
      <c r="F224" s="4" t="n">
        <v>1</v>
      </c>
      <c r="G224" s="1" t="inlineStr">
        <is>
          <t>active</t>
        </is>
      </c>
      <c r="H224" s="1" t="inlineStr">
        <is>
          <t>YA TIENE COSTO EN SHOPIFY ($425.70, heredado hoy)</t>
        </is>
      </c>
    </row>
    <row r="225">
      <c r="A225" s="1" t="inlineStr">
        <is>
          <t>647d2f4aa106c</t>
        </is>
      </c>
      <c r="B225" s="1" t="inlineStr">
        <is>
          <t>RELOJ FLYBACK CR-SERIES PURPLE</t>
        </is>
      </c>
      <c r="C225" s="1" t="inlineStr">
        <is>
          <t>Morado (REMATE)</t>
        </is>
      </c>
      <c r="D225" s="1" t="inlineStr">
        <is>
          <t>Andretti Elite Swiss</t>
        </is>
      </c>
      <c r="E225" s="6" t="n">
        <v>1202</v>
      </c>
      <c r="F225" s="4" t="n">
        <v>1</v>
      </c>
      <c r="G225" s="1" t="inlineStr">
        <is>
          <t>active</t>
        </is>
      </c>
      <c r="H225" s="1" t="inlineStr">
        <is>
          <t>YA TIENE COSTO EN SHOPIFY ($425.70, heredado hoy)</t>
        </is>
      </c>
    </row>
    <row r="226">
      <c r="A226" s="1" t="inlineStr">
        <is>
          <t>64e78e0e576bf</t>
        </is>
      </c>
      <c r="B226" s="1" t="inlineStr">
        <is>
          <t>ARETES GC SILVER</t>
        </is>
      </c>
      <c r="C226" s="1" t="inlineStr">
        <is>
          <t>Default Title</t>
        </is>
      </c>
      <c r="D226" s="1" t="inlineStr">
        <is>
          <t>COCOMA</t>
        </is>
      </c>
      <c r="E226" s="6" t="n">
        <v>499</v>
      </c>
      <c r="F226" s="4" t="n">
        <v>1</v>
      </c>
      <c r="G226" s="1" t="inlineStr">
        <is>
          <t>active</t>
        </is>
      </c>
      <c r="H226" s="1" t="inlineStr">
        <is>
          <t>Falta el costo de compra (no está en ninguna tabla de precios)</t>
        </is>
      </c>
    </row>
    <row r="227">
      <c r="A227" s="1" t="inlineStr">
        <is>
          <t>654bdc2ab33bc</t>
        </is>
      </c>
      <c r="B227" s="1" t="inlineStr">
        <is>
          <t>CASE CC BLACK LOGO</t>
        </is>
      </c>
      <c r="C227" s="1" t="inlineStr">
        <is>
          <t>iPhone 14</t>
        </is>
      </c>
      <c r="D227" s="1" t="inlineStr">
        <is>
          <t>DINA DU</t>
        </is>
      </c>
      <c r="E227" s="6" t="n">
        <v>292</v>
      </c>
      <c r="F227" s="4" t="n">
        <v>1</v>
      </c>
      <c r="G227" s="1" t="inlineStr">
        <is>
          <t>active</t>
        </is>
      </c>
      <c r="H227" s="1" t="inlineStr">
        <is>
          <t>YA TIENE COSTO EN SHOPIFY ($450.00, heredado hoy)</t>
        </is>
      </c>
    </row>
    <row r="228">
      <c r="A228" s="1" t="inlineStr">
        <is>
          <t>42265119916172</t>
        </is>
      </c>
      <c r="B228" s="1" t="inlineStr">
        <is>
          <t>LENTES PR SQUARE GOLD</t>
        </is>
      </c>
      <c r="C228" s="1" t="inlineStr">
        <is>
          <t>3cm</t>
        </is>
      </c>
      <c r="D228" s="1" t="inlineStr">
        <is>
          <t>CYNTHIA CAO</t>
        </is>
      </c>
      <c r="E228" s="6" t="n">
        <v>2216</v>
      </c>
      <c r="F228" s="4" t="n">
        <v>1</v>
      </c>
      <c r="G228" s="1" t="inlineStr">
        <is>
          <t>active</t>
        </is>
      </c>
      <c r="H228" s="1" t="inlineStr">
        <is>
          <t>YA TIENE COSTO EN SHOPIFY ($747.58, heredado hoy)</t>
        </is>
      </c>
    </row>
    <row r="229">
      <c r="A229" s="1" t="inlineStr">
        <is>
          <t>665bc0b8d1cab-1</t>
        </is>
      </c>
      <c r="B229" s="1" t="inlineStr">
        <is>
          <t>LENTES C GOLD SLIM BLACK</t>
        </is>
      </c>
      <c r="C229" s="1" t="inlineStr">
        <is>
          <t>OUTLET SIN ESTUCHE</t>
        </is>
      </c>
      <c r="D229" s="1" t="inlineStr">
        <is>
          <t>CYNTHIA CAO</t>
        </is>
      </c>
      <c r="E229" s="6" t="n">
        <v>475</v>
      </c>
      <c r="F229" s="4" t="n">
        <v>1</v>
      </c>
      <c r="G229" s="1" t="inlineStr">
        <is>
          <t>active</t>
        </is>
      </c>
      <c r="H229" s="1" t="inlineStr">
        <is>
          <t>YA TIENE COSTO EN SHOPIFY ($228.81, heredado hoy)</t>
        </is>
      </c>
    </row>
    <row r="230">
      <c r="A230" s="1" t="inlineStr">
        <is>
          <t>47971941030989</t>
        </is>
      </c>
      <c r="B230" s="1" t="inlineStr">
        <is>
          <t>LENTES C GOLD SLIM BLACK</t>
        </is>
      </c>
      <c r="C230" s="1" t="inlineStr">
        <is>
          <t>OUTLET SIN CAJA</t>
        </is>
      </c>
      <c r="D230" s="1" t="inlineStr">
        <is>
          <t>CYNTHIA CAO</t>
        </is>
      </c>
      <c r="E230" s="6" t="n">
        <v>799</v>
      </c>
      <c r="F230" s="4" t="n">
        <v>1</v>
      </c>
      <c r="G230" s="1" t="inlineStr">
        <is>
          <t>active</t>
        </is>
      </c>
      <c r="H230" s="1" t="inlineStr">
        <is>
          <t>YA TIENE COSTO EN SHOPIFY ($228.81, heredado hoy)</t>
        </is>
      </c>
    </row>
    <row r="231">
      <c r="A231" s="1" t="inlineStr">
        <is>
          <t>664fc85ecbb15</t>
        </is>
      </c>
      <c r="B231" s="1" t="inlineStr">
        <is>
          <t>LENTES C BROWN</t>
        </is>
      </c>
      <c r="C231" s="1" t="inlineStr">
        <is>
          <t>OUTLET</t>
        </is>
      </c>
      <c r="D231" s="1" t="inlineStr">
        <is>
          <t>CYNTHIA CAO</t>
        </is>
      </c>
      <c r="E231" s="6" t="n">
        <v>950</v>
      </c>
      <c r="F231" s="4" t="n">
        <v>1</v>
      </c>
      <c r="G231" s="1" t="inlineStr">
        <is>
          <t>active</t>
        </is>
      </c>
      <c r="H231" s="1" t="inlineStr">
        <is>
          <t>YA TIENE COSTO EN SHOPIFY ($231.98, heredado hoy)</t>
        </is>
      </c>
    </row>
    <row r="232">
      <c r="A232" s="1" t="inlineStr">
        <is>
          <t>26745091091149</t>
        </is>
      </c>
      <c r="B232" s="1" t="inlineStr">
        <is>
          <t>LENTES C GREEN</t>
        </is>
      </c>
      <c r="C232" s="1" t="inlineStr">
        <is>
          <t>LOGO OUTLET</t>
        </is>
      </c>
      <c r="D232" s="1" t="inlineStr">
        <is>
          <t>CYNTHIA CAO</t>
        </is>
      </c>
      <c r="E232" s="6" t="n">
        <v>2199</v>
      </c>
      <c r="F232" s="4" t="n">
        <v>1</v>
      </c>
      <c r="G232" s="1" t="inlineStr">
        <is>
          <t>active</t>
        </is>
      </c>
      <c r="H232" s="1" t="inlineStr">
        <is>
          <t>YA TIENE COSTO EN SHOPIFY ($249.86, heredado hoy)</t>
        </is>
      </c>
    </row>
    <row r="233">
      <c r="A233" s="1" t="inlineStr">
        <is>
          <t>665bb4ca13658</t>
        </is>
      </c>
      <c r="B233" s="1" t="inlineStr">
        <is>
          <t>ANILLO WORLD MAP SILVER</t>
        </is>
      </c>
      <c r="C233" s="1" t="n">
        <v>8</v>
      </c>
      <c r="D233" s="1" t="inlineStr">
        <is>
          <t>JEFF</t>
        </is>
      </c>
      <c r="E233" s="6" t="n">
        <v>180</v>
      </c>
      <c r="F233" s="4" t="n">
        <v>1</v>
      </c>
      <c r="G233" s="1" t="inlineStr">
        <is>
          <t>active</t>
        </is>
      </c>
      <c r="H233" s="1" t="inlineStr">
        <is>
          <t>YA TIENE COSTO EN SHOPIFY ($68.13, heredado hoy)</t>
        </is>
      </c>
    </row>
    <row r="234">
      <c r="A234" s="1" t="inlineStr">
        <is>
          <t>665bb4cab61bc</t>
        </is>
      </c>
      <c r="B234" s="1" t="inlineStr">
        <is>
          <t>ANILLO WORLD MAP SILVER</t>
        </is>
      </c>
      <c r="C234" s="1" t="n">
        <v>9</v>
      </c>
      <c r="D234" s="1" t="inlineStr">
        <is>
          <t>JEFF</t>
        </is>
      </c>
      <c r="E234" s="6" t="n">
        <v>180</v>
      </c>
      <c r="F234" s="4" t="n">
        <v>1</v>
      </c>
      <c r="G234" s="1" t="inlineStr">
        <is>
          <t>active</t>
        </is>
      </c>
      <c r="H234" s="1" t="inlineStr">
        <is>
          <t>YA TIENE COSTO EN SHOPIFY ($68.13, heredado hoy)</t>
        </is>
      </c>
    </row>
    <row r="235">
      <c r="A235" s="1" t="inlineStr">
        <is>
          <t>66593bd812701</t>
        </is>
      </c>
      <c r="B235" s="1" t="inlineStr">
        <is>
          <t>ANILLO PERLEE GOLD</t>
        </is>
      </c>
      <c r="C235" s="1" t="n">
        <v>8</v>
      </c>
      <c r="D235" s="1" t="inlineStr">
        <is>
          <t>NANCY VIP</t>
        </is>
      </c>
      <c r="E235" s="6" t="n">
        <v>499</v>
      </c>
      <c r="F235" s="4" t="n">
        <v>0</v>
      </c>
      <c r="G235" s="1" t="inlineStr">
        <is>
          <t>active</t>
        </is>
      </c>
      <c r="H235" s="1" t="inlineStr">
        <is>
          <t>YA TIENE COSTO EN SHOPIFY ($111.80, heredado hoy)</t>
        </is>
      </c>
    </row>
    <row r="236">
      <c r="A236" s="1" t="inlineStr">
        <is>
          <t>19027311055597</t>
        </is>
      </c>
      <c r="B236" s="1" t="inlineStr">
        <is>
          <t>ANILLO CLAVO SILVER</t>
        </is>
      </c>
      <c r="C236" s="1" t="inlineStr">
        <is>
          <t>7 OUTLET</t>
        </is>
      </c>
      <c r="D236" s="1" t="inlineStr">
        <is>
          <t>HAIFENG</t>
        </is>
      </c>
      <c r="E236" s="6" t="n">
        <v>213</v>
      </c>
      <c r="F236" s="4" t="n">
        <v>1</v>
      </c>
      <c r="G236" s="1" t="inlineStr">
        <is>
          <t>active</t>
        </is>
      </c>
      <c r="H236" s="1" t="inlineStr">
        <is>
          <t>YA TIENE COSTO EN SHOPIFY ($52.71, heredado hoy)</t>
        </is>
      </c>
    </row>
    <row r="237">
      <c r="A237" s="1" t="inlineStr">
        <is>
          <t>643ec10722b29</t>
        </is>
      </c>
      <c r="B237" s="1" t="inlineStr">
        <is>
          <t>ANILLO BV DELGADO SILVER-WHITE</t>
        </is>
      </c>
      <c r="C237" s="1" t="n">
        <v>6</v>
      </c>
      <c r="D237" s="1" t="inlineStr">
        <is>
          <t>ANA FU</t>
        </is>
      </c>
      <c r="E237" s="6" t="n">
        <v>317</v>
      </c>
      <c r="F237" s="4" t="n">
        <v>0</v>
      </c>
      <c r="G237" s="1" t="inlineStr">
        <is>
          <t>active</t>
        </is>
      </c>
      <c r="H237" s="1" t="inlineStr">
        <is>
          <t>YA TIENE COSTO EN SHOPIFY ($114.21, heredado hoy)</t>
        </is>
      </c>
    </row>
    <row r="238">
      <c r="A238" s="1" t="inlineStr">
        <is>
          <t>643ec10933662</t>
        </is>
      </c>
      <c r="B238" s="1" t="inlineStr">
        <is>
          <t>ANILLO BV DELGADO SILVER-WHITE</t>
        </is>
      </c>
      <c r="C238" s="1" t="n">
        <v>9</v>
      </c>
      <c r="D238" s="1" t="inlineStr">
        <is>
          <t>ANA FU</t>
        </is>
      </c>
      <c r="E238" s="6" t="n">
        <v>317</v>
      </c>
      <c r="F238" s="4" t="n">
        <v>1</v>
      </c>
      <c r="G238" s="1" t="inlineStr">
        <is>
          <t>active</t>
        </is>
      </c>
      <c r="H238" s="1" t="inlineStr">
        <is>
          <t>YA TIENE COSTO EN SHOPIFY ($114.21, heredado hoy)</t>
        </is>
      </c>
    </row>
    <row r="239">
      <c r="A239" s="1" t="inlineStr">
        <is>
          <t>63e0b1f82eb37</t>
        </is>
      </c>
      <c r="B239" s="1" t="inlineStr">
        <is>
          <t>ANILLO BV SILVER DELGADO</t>
        </is>
      </c>
      <c r="C239" s="1" t="n">
        <v>5</v>
      </c>
      <c r="D239" s="1" t="inlineStr">
        <is>
          <t>COCOMA</t>
        </is>
      </c>
      <c r="E239" s="6" t="n">
        <v>678</v>
      </c>
      <c r="F239" s="4" t="n">
        <v>1</v>
      </c>
      <c r="G239" s="1" t="inlineStr">
        <is>
          <t>active</t>
        </is>
      </c>
      <c r="H239" s="1" t="inlineStr">
        <is>
          <t>YA TIENE COSTO EN SHOPIFY ($157.80, heredado hoy)</t>
        </is>
      </c>
    </row>
    <row r="240">
      <c r="A240" s="1" t="inlineStr">
        <is>
          <t>56433951064237</t>
        </is>
      </c>
      <c r="B240" s="1" t="inlineStr">
        <is>
          <t>ANILLO BV SILVER</t>
        </is>
      </c>
      <c r="C240" s="1" t="inlineStr">
        <is>
          <t>7 outlet</t>
        </is>
      </c>
      <c r="D240" s="1" t="inlineStr">
        <is>
          <t>COCOMA</t>
        </is>
      </c>
      <c r="E240" s="6" t="n">
        <v>399</v>
      </c>
      <c r="F240" s="4" t="n">
        <v>1</v>
      </c>
      <c r="G240" s="1" t="inlineStr">
        <is>
          <t>active</t>
        </is>
      </c>
      <c r="H240" s="1" t="inlineStr">
        <is>
          <t>YA TIENE COSTO EN SHOPIFY ($98.49, heredado hoy)</t>
        </is>
      </c>
    </row>
    <row r="241">
      <c r="A241" s="1" t="inlineStr">
        <is>
          <t>11915826071980</t>
        </is>
      </c>
      <c r="B241" s="1" t="inlineStr">
        <is>
          <t>LENTES LV EVIDENCE</t>
        </is>
      </c>
      <c r="C241" s="1" t="inlineStr">
        <is>
          <t>OUTLET</t>
        </is>
      </c>
      <c r="D241" s="1" t="inlineStr">
        <is>
          <t>CYNTHIA CAO</t>
        </is>
      </c>
      <c r="E241" s="6" t="n">
        <v>750</v>
      </c>
      <c r="F241" s="4" t="n">
        <v>1</v>
      </c>
      <c r="G241" s="1" t="inlineStr">
        <is>
          <t>active</t>
        </is>
      </c>
      <c r="H241" s="1" t="inlineStr">
        <is>
          <t>YA TIENE COSTO EN SHOPIFY ($237.05, heredado hoy)</t>
        </is>
      </c>
    </row>
    <row r="242">
      <c r="A242" s="1" t="inlineStr">
        <is>
          <t>69141121059021</t>
        </is>
      </c>
      <c r="B242" s="1" t="inlineStr">
        <is>
          <t>SANDALIAS CD MULE B&amp;W</t>
        </is>
      </c>
      <c r="C242" s="1" t="inlineStr">
        <is>
          <t>25cm</t>
        </is>
      </c>
      <c r="D242" s="1" t="inlineStr">
        <is>
          <t>ZOEY</t>
        </is>
      </c>
      <c r="E242" s="6" t="n">
        <v>3100</v>
      </c>
      <c r="F242" s="4" t="n">
        <v>0</v>
      </c>
      <c r="G242" s="1" t="inlineStr">
        <is>
          <t>active</t>
        </is>
      </c>
      <c r="H242" s="1" t="inlineStr">
        <is>
          <t>YA TIENE COSTO EN SHOPIFY ($772.10, heredado hoy)</t>
        </is>
      </c>
    </row>
    <row r="243">
      <c r="A243" s="1" t="inlineStr">
        <is>
          <t>85417711016141</t>
        </is>
      </c>
      <c r="B243" s="1" t="inlineStr">
        <is>
          <t>BOLSO CC CLASIC CARAMEL</t>
        </is>
      </c>
      <c r="C243" s="1" t="inlineStr">
        <is>
          <t>Default Title</t>
        </is>
      </c>
      <c r="D243" s="1" t="inlineStr">
        <is>
          <t>CYNTHIA CAO</t>
        </is>
      </c>
      <c r="E243" s="6" t="n">
        <v>4499</v>
      </c>
      <c r="F243" s="4" t="n">
        <v>0</v>
      </c>
      <c r="G243" s="1" t="inlineStr">
        <is>
          <t>active</t>
        </is>
      </c>
      <c r="H243" s="1" t="inlineStr">
        <is>
          <t>YA TIENE COSTO EN SHOPIFY ($1123.34, heredado hoy)</t>
        </is>
      </c>
    </row>
    <row r="244">
      <c r="A244" s="1" t="inlineStr">
        <is>
          <t>40049131275150</t>
        </is>
      </c>
      <c r="B244" s="1" t="inlineStr">
        <is>
          <t>CARTERA LV VICTOIRE BICOLOR</t>
        </is>
      </c>
      <c r="C244" s="1" t="inlineStr">
        <is>
          <t>OUTLET</t>
        </is>
      </c>
      <c r="D244" s="1" t="inlineStr">
        <is>
          <t>NANCY VIP</t>
        </is>
      </c>
      <c r="E244" s="6" t="n">
        <v>1215</v>
      </c>
      <c r="F244" s="4" t="n">
        <v>0</v>
      </c>
      <c r="G244" s="1" t="inlineStr">
        <is>
          <t>active</t>
        </is>
      </c>
      <c r="H244" s="1" t="inlineStr">
        <is>
          <t>YA TIENE COSTO EN SHOPIFY ($397.21, heredado hoy)</t>
        </is>
      </c>
    </row>
    <row r="245">
      <c r="A245" s="1" t="inlineStr">
        <is>
          <t>69233101046413</t>
        </is>
      </c>
      <c r="B245" s="1" t="inlineStr">
        <is>
          <t>GORRA A BEIGE</t>
        </is>
      </c>
      <c r="C245" s="1" t="inlineStr">
        <is>
          <t>Default Title</t>
        </is>
      </c>
      <c r="D245" s="1" t="inlineStr">
        <is>
          <t>JEWELRY REMATE MX</t>
        </is>
      </c>
      <c r="E245" s="6" t="n">
        <v>850</v>
      </c>
      <c r="F245" s="4" t="n">
        <v>0</v>
      </c>
      <c r="G245" s="1" t="inlineStr">
        <is>
          <t>active</t>
        </is>
      </c>
      <c r="H245" s="1" t="inlineStr">
        <is>
          <t>YA TIENE COSTO EN SHOPIFY ($208.17, heredado hoy)</t>
        </is>
      </c>
    </row>
    <row r="246">
      <c r="A246" s="1" t="inlineStr">
        <is>
          <t>42301341041293</t>
        </is>
      </c>
      <c r="B246" s="1" t="inlineStr">
        <is>
          <t>ARETES DIORIVIERA SMALL GOLD CD</t>
        </is>
      </c>
      <c r="C246" s="1" t="inlineStr">
        <is>
          <t>Default Title</t>
        </is>
      </c>
      <c r="D246" s="1" t="inlineStr">
        <is>
          <t>CYNTHIA CAO</t>
        </is>
      </c>
      <c r="E246" s="6" t="n">
        <v>599</v>
      </c>
      <c r="F246" s="4" t="n">
        <v>0</v>
      </c>
      <c r="G246" s="1" t="inlineStr">
        <is>
          <t>active</t>
        </is>
      </c>
      <c r="H246" s="1" t="inlineStr">
        <is>
          <t>Falta el costo de compra (no está en ninguna tabla de precios)</t>
        </is>
      </c>
    </row>
    <row r="247">
      <c r="A247" s="1" t="inlineStr">
        <is>
          <t>12577711087181</t>
        </is>
      </c>
      <c r="B247" s="1" t="inlineStr">
        <is>
          <t>CHAMARRA PR CON CINTURÓN</t>
        </is>
      </c>
      <c r="C247" s="1" t="inlineStr">
        <is>
          <t>Default Title</t>
        </is>
      </c>
      <c r="D247" s="1" t="inlineStr">
        <is>
          <t>JEWELRY REMATE MX</t>
        </is>
      </c>
      <c r="E247" s="6" t="n">
        <v>2600</v>
      </c>
      <c r="F247" s="4" t="n">
        <v>0</v>
      </c>
      <c r="G247" s="1" t="inlineStr">
        <is>
          <t>active</t>
        </is>
      </c>
      <c r="H247" s="1" t="inlineStr">
        <is>
          <t>YA TIENE COSTO EN SHOPIFY ($1199.46, heredado hoy)</t>
        </is>
      </c>
    </row>
    <row r="248">
      <c r="A248" s="1" t="inlineStr">
        <is>
          <t>69816201058797</t>
        </is>
      </c>
      <c r="B248" s="1" t="inlineStr">
        <is>
          <t>SANDALIAS CD DIORACT BLACK</t>
        </is>
      </c>
      <c r="C248" s="1" t="inlineStr">
        <is>
          <t>38/25mx OUTLET 30</t>
        </is>
      </c>
      <c r="D248" s="1" t="inlineStr">
        <is>
          <t>DINA DU</t>
        </is>
      </c>
      <c r="E248" s="6" t="n">
        <v>2065</v>
      </c>
      <c r="F248" s="4" t="n">
        <v>0</v>
      </c>
      <c r="G248" s="1" t="inlineStr">
        <is>
          <t>active</t>
        </is>
      </c>
      <c r="H248" s="1" t="inlineStr">
        <is>
          <t>YA TIENE COSTO EN SHOPIFY ($946.55, heredado hoy)</t>
        </is>
      </c>
    </row>
    <row r="249">
      <c r="A249" s="1" t="inlineStr">
        <is>
          <t>41488751005261</t>
        </is>
      </c>
      <c r="B249" s="1" t="inlineStr">
        <is>
          <t>SANDALIAS CD DIORACT BLACK</t>
        </is>
      </c>
      <c r="C249" s="1" t="inlineStr">
        <is>
          <t>38/25mx OUTLET 50</t>
        </is>
      </c>
      <c r="D249" s="1" t="inlineStr">
        <is>
          <t>DINA DU</t>
        </is>
      </c>
      <c r="E249" s="6" t="n">
        <v>1475</v>
      </c>
      <c r="F249" s="4" t="n">
        <v>0</v>
      </c>
      <c r="G249" s="1" t="inlineStr">
        <is>
          <t>active</t>
        </is>
      </c>
      <c r="H249" s="1" t="inlineStr">
        <is>
          <t>YA TIENE COSTO EN SHOPIFY ($946.55, heredado hoy)</t>
        </is>
      </c>
    </row>
    <row r="250">
      <c r="A250" s="1" t="inlineStr">
        <is>
          <t>48132391087245</t>
        </is>
      </c>
      <c r="B250" s="1" t="inlineStr">
        <is>
          <t>ZAPATILLAS V ROCKSTUD BEIGE</t>
        </is>
      </c>
      <c r="C250" s="1" t="inlineStr">
        <is>
          <t>32/22mx</t>
        </is>
      </c>
      <c r="D250" s="1" t="inlineStr">
        <is>
          <t>ZOEY</t>
        </is>
      </c>
      <c r="E250" s="6" t="n">
        <v>5359</v>
      </c>
      <c r="F250" s="4" t="n">
        <v>0</v>
      </c>
      <c r="G250" s="1" t="inlineStr">
        <is>
          <t>active</t>
        </is>
      </c>
      <c r="H250" s="1" t="inlineStr">
        <is>
          <t>YA TIENE COSTO EN SHOPIFY ($1408.48, heredado hoy)</t>
        </is>
      </c>
    </row>
    <row r="251">
      <c r="A251" s="1" t="inlineStr">
        <is>
          <t>34163621551149</t>
        </is>
      </c>
      <c r="B251" s="1" t="inlineStr">
        <is>
          <t>PERFUME JEAN PAUL SCANDAL WOMEN</t>
        </is>
      </c>
      <c r="C251" s="1" t="inlineStr">
        <is>
          <t>OUTLET</t>
        </is>
      </c>
      <c r="D251" s="1" t="inlineStr">
        <is>
          <t>ZOEY</t>
        </is>
      </c>
      <c r="E251" s="6" t="n">
        <v>750</v>
      </c>
      <c r="F251" s="4" t="n">
        <v>0</v>
      </c>
      <c r="G251" s="1" t="inlineStr">
        <is>
          <t>active</t>
        </is>
      </c>
      <c r="H251" s="1" t="inlineStr">
        <is>
          <t>YA TIENE COSTO EN SHOPIFY ($460.96, heredado hoy)</t>
        </is>
      </c>
    </row>
    <row r="252">
      <c r="A252" s="1" t="inlineStr">
        <is>
          <t>27630551009325</t>
        </is>
      </c>
      <c r="B252" s="1" t="inlineStr">
        <is>
          <t>COLLAR F SILVER CON ZIRCONIAS</t>
        </is>
      </c>
      <c r="C252" s="1" t="inlineStr">
        <is>
          <t>Default Title</t>
        </is>
      </c>
      <c r="D252" s="1" t="inlineStr">
        <is>
          <t>JEWELRY REMATE MX</t>
        </is>
      </c>
      <c r="E252" s="6" t="n">
        <v>750</v>
      </c>
      <c r="F252" s="4" t="n">
        <v>0</v>
      </c>
      <c r="G252" s="1" t="inlineStr">
        <is>
          <t>active</t>
        </is>
      </c>
      <c r="H252" s="1" t="inlineStr">
        <is>
          <t>YA TIENE COSTO EN SHOPIFY ($164.80, heredado hoy)</t>
        </is>
      </c>
    </row>
    <row r="253">
      <c r="A253" s="1" t="inlineStr">
        <is>
          <t>94365801075021</t>
        </is>
      </c>
      <c r="B253" s="1" t="inlineStr">
        <is>
          <t>COLLAR LOVE LOVE ROSE GOLD</t>
        </is>
      </c>
      <c r="C253" s="1" t="inlineStr">
        <is>
          <t>Default Title</t>
        </is>
      </c>
      <c r="D253" s="1" t="inlineStr">
        <is>
          <t>HAIFENG</t>
        </is>
      </c>
      <c r="E253" s="6" t="n">
        <v>440</v>
      </c>
      <c r="F253" s="4" t="n">
        <v>0</v>
      </c>
      <c r="G253" s="1" t="inlineStr">
        <is>
          <t>active</t>
        </is>
      </c>
      <c r="H253" s="1" t="inlineStr">
        <is>
          <t>YA TIENE COSTO EN SHOPIFY ($100.00, heredado hoy)</t>
        </is>
      </c>
    </row>
    <row r="254">
      <c r="A254" s="1" t="inlineStr">
        <is>
          <t>70332771093261</t>
        </is>
      </c>
      <c r="B254" s="1" t="inlineStr">
        <is>
          <t>ZAPATILLAS CD HEELED SANDAL</t>
        </is>
      </c>
      <c r="C254" s="1" t="inlineStr">
        <is>
          <t>24MX (38UK)</t>
        </is>
      </c>
      <c r="D254" s="1" t="inlineStr">
        <is>
          <t>ZOEY</t>
        </is>
      </c>
      <c r="E254" s="6" t="n">
        <v>5826</v>
      </c>
      <c r="F254" s="4" t="n">
        <v>0</v>
      </c>
      <c r="G254" s="1" t="inlineStr">
        <is>
          <t>active</t>
        </is>
      </c>
      <c r="H254" s="1" t="inlineStr">
        <is>
          <t>YA TIENE COSTO EN SHOPIFY ($1664.57, heredado hoy)</t>
        </is>
      </c>
    </row>
    <row r="255">
      <c r="A255" s="1" t="inlineStr">
        <is>
          <t>52592881061997</t>
        </is>
      </c>
      <c r="B255" s="1" t="inlineStr">
        <is>
          <t>PULSERA LOVE ROSE GOLD ZIRCONIAS RAINBOW</t>
        </is>
      </c>
      <c r="C255" s="1" t="inlineStr">
        <is>
          <t>18CM</t>
        </is>
      </c>
      <c r="D255" s="1" t="inlineStr">
        <is>
          <t>HAIFENG</t>
        </is>
      </c>
      <c r="E255" s="6" t="n">
        <v>280</v>
      </c>
      <c r="F255" s="4" t="n">
        <v>0</v>
      </c>
      <c r="G255" s="1" t="inlineStr">
        <is>
          <t>active</t>
        </is>
      </c>
      <c r="H255" s="1" t="inlineStr">
        <is>
          <t>YA TIENE COSTO EN SHOPIFY ($120.00, heredado hoy)</t>
        </is>
      </c>
    </row>
    <row r="256">
      <c r="A256" s="1" t="inlineStr">
        <is>
          <t>22974392766478</t>
        </is>
      </c>
      <c r="B256" s="1" t="inlineStr">
        <is>
          <t>ARRACADAS CD NEW LOOK GOLD</t>
        </is>
      </c>
      <c r="C256" s="1" t="inlineStr">
        <is>
          <t>OUTLET</t>
        </is>
      </c>
      <c r="D256" s="1" t="inlineStr">
        <is>
          <t>NANCY VIP</t>
        </is>
      </c>
      <c r="E256" s="6" t="n">
        <v>449</v>
      </c>
      <c r="F256" s="4" t="n">
        <v>0</v>
      </c>
      <c r="G256" s="1" t="inlineStr">
        <is>
          <t>active</t>
        </is>
      </c>
      <c r="H256" s="1" t="inlineStr">
        <is>
          <t>YA TIENE COSTO EN SHOPIFY ($150.59, heredado hoy)</t>
        </is>
      </c>
    </row>
    <row r="257">
      <c r="A257" s="1" t="inlineStr">
        <is>
          <t>93098781173102</t>
        </is>
      </c>
      <c r="B257" s="1" t="inlineStr">
        <is>
          <t>LENTES LV ESCAPE SQUARE</t>
        </is>
      </c>
      <c r="C257" s="1" t="inlineStr">
        <is>
          <t>SIN CAJA</t>
        </is>
      </c>
      <c r="D257" s="1" t="inlineStr">
        <is>
          <t>ZOEY</t>
        </is>
      </c>
      <c r="E257" s="6" t="n">
        <v>1100</v>
      </c>
      <c r="F257" s="4" t="n">
        <v>0</v>
      </c>
      <c r="G257" s="1" t="inlineStr">
        <is>
          <t>active</t>
        </is>
      </c>
      <c r="H257" s="1" t="inlineStr">
        <is>
          <t>YA TIENE COSTO EN SHOPIFY ($640.00, heredado hoy)</t>
        </is>
      </c>
    </row>
    <row r="258">
      <c r="A258" s="1" t="inlineStr">
        <is>
          <t>93098783161294</t>
        </is>
      </c>
      <c r="B258" s="1" t="inlineStr">
        <is>
          <t>BOLSO LV POCHETTE HILLS</t>
        </is>
      </c>
      <c r="C258" s="1" t="inlineStr">
        <is>
          <t>OUTLET</t>
        </is>
      </c>
      <c r="D258" s="1" t="inlineStr">
        <is>
          <t>ZOEY</t>
        </is>
      </c>
      <c r="E258" s="6" t="n">
        <v>3165.62</v>
      </c>
      <c r="F258" s="4" t="n">
        <v>0</v>
      </c>
      <c r="G258" s="1" t="inlineStr">
        <is>
          <t>active</t>
        </is>
      </c>
      <c r="H258" s="1" t="inlineStr">
        <is>
          <t>YA TIENE COSTO EN SHOPIFY ($1083.58, heredado hoy)</t>
        </is>
      </c>
    </row>
    <row r="259">
      <c r="A259" s="1" t="inlineStr">
        <is>
          <t>80961921092333</t>
        </is>
      </c>
      <c r="B259" s="1" t="inlineStr">
        <is>
          <t>ANILLO DOBLE T SILVER MZ</t>
        </is>
      </c>
      <c r="C259" s="1" t="n">
        <v>8</v>
      </c>
      <c r="D259" s="1" t="inlineStr">
        <is>
          <t>HAIFENG</t>
        </is>
      </c>
      <c r="E259" s="6" t="n">
        <v>780</v>
      </c>
      <c r="F259" s="4" t="n">
        <v>0</v>
      </c>
      <c r="G259" s="1" t="inlineStr">
        <is>
          <t>active</t>
        </is>
      </c>
      <c r="H259" s="1" t="inlineStr">
        <is>
          <t>YA TIENE COSTO EN SHOPIFY ($144.20, heredado hoy)</t>
        </is>
      </c>
    </row>
    <row r="260">
      <c r="A260" s="1" t="inlineStr">
        <is>
          <t>25748071070829</t>
        </is>
      </c>
      <c r="B260" s="1" t="inlineStr">
        <is>
          <t>COLLAR ESLABONES GRABADO LV GOLD</t>
        </is>
      </c>
      <c r="C260" s="1" t="inlineStr">
        <is>
          <t>Default Title</t>
        </is>
      </c>
      <c r="D260" s="1" t="inlineStr">
        <is>
          <t>JEWELRY REMATE MX</t>
        </is>
      </c>
      <c r="E260" s="6" t="n">
        <v>899</v>
      </c>
      <c r="F260" s="4" t="n">
        <v>0</v>
      </c>
      <c r="G260" s="1" t="inlineStr">
        <is>
          <t>active</t>
        </is>
      </c>
      <c r="H260" s="1" t="inlineStr">
        <is>
          <t>Falta el costo de compra (no está en ninguna tabla de precios)</t>
        </is>
      </c>
    </row>
    <row r="261">
      <c r="A261" s="1" t="inlineStr">
        <is>
          <t>33984021042989</t>
        </is>
      </c>
      <c r="B261" s="1" t="inlineStr">
        <is>
          <t>PULSERA LOVE UNLIMITED ROSEGOLD</t>
        </is>
      </c>
      <c r="C261" s="1" t="inlineStr">
        <is>
          <t>outlet</t>
        </is>
      </c>
      <c r="D261" s="1" t="inlineStr">
        <is>
          <t>HAIFENG</t>
        </is>
      </c>
      <c r="E261" s="6" t="n">
        <v>230</v>
      </c>
      <c r="F261" s="4" t="n">
        <v>0</v>
      </c>
      <c r="G261" s="1" t="inlineStr">
        <is>
          <t>active</t>
        </is>
      </c>
      <c r="H261" s="1" t="inlineStr">
        <is>
          <t>YA TIENE COSTO EN SHOPIFY ($360.96, heredado hoy)</t>
        </is>
      </c>
    </row>
    <row r="262">
      <c r="A262" s="1" t="inlineStr">
        <is>
          <t>37782401080461</t>
        </is>
      </c>
      <c r="B262" s="1" t="inlineStr">
        <is>
          <t>PULSERA LOVE UNLIMITED GOLD</t>
        </is>
      </c>
      <c r="C262" s="1" t="inlineStr">
        <is>
          <t>21 OUTLET</t>
        </is>
      </c>
      <c r="D262" s="1" t="inlineStr">
        <is>
          <t>HAIFENG</t>
        </is>
      </c>
      <c r="E262" s="6" t="n">
        <v>999</v>
      </c>
      <c r="F262" s="4" t="n">
        <v>0</v>
      </c>
      <c r="G262" s="1" t="inlineStr">
        <is>
          <t>active</t>
        </is>
      </c>
      <c r="H262" s="1" t="inlineStr">
        <is>
          <t>YA TIENE COSTO EN SHOPIFY ($314.21, heredado hoy)</t>
        </is>
      </c>
    </row>
    <row r="263">
      <c r="A263" s="1" t="inlineStr">
        <is>
          <t>79957211066989</t>
        </is>
      </c>
      <c r="B263" s="1" t="inlineStr">
        <is>
          <t>CAJA DE REGALO CHANEL</t>
        </is>
      </c>
      <c r="C263" s="1" t="inlineStr">
        <is>
          <t>Default Title</t>
        </is>
      </c>
      <c r="D263" s="1" t="inlineStr">
        <is>
          <t>JEWELRY REMATE MX</t>
        </is>
      </c>
      <c r="E263" s="6" t="n">
        <v>149.99</v>
      </c>
      <c r="F263" s="4" t="n">
        <v>0</v>
      </c>
      <c r="G263" s="1" t="inlineStr">
        <is>
          <t>active</t>
        </is>
      </c>
      <c r="H263" s="1" t="inlineStr">
        <is>
          <t>Falta el costo de compra (no está en ninguna tabla de precios)</t>
        </is>
      </c>
    </row>
    <row r="264">
      <c r="A264" s="1" t="inlineStr">
        <is>
          <t>72561411067053</t>
        </is>
      </c>
      <c r="B264" s="1" t="inlineStr">
        <is>
          <t>COLLAR GC LOGO GOLD MINI</t>
        </is>
      </c>
      <c r="C264" s="1" t="inlineStr">
        <is>
          <t>Default Title</t>
        </is>
      </c>
      <c r="D264" s="1" t="inlineStr">
        <is>
          <t>JEWELRY REMATE MX</t>
        </is>
      </c>
      <c r="E264" s="6" t="n">
        <v>299</v>
      </c>
      <c r="F264" s="4" t="n">
        <v>0</v>
      </c>
      <c r="G264" s="1" t="inlineStr">
        <is>
          <t>active</t>
        </is>
      </c>
      <c r="H264" s="1" t="inlineStr">
        <is>
          <t>YA TIENE COSTO EN SHOPIFY ($130.08, heredado hoy)</t>
        </is>
      </c>
    </row>
    <row r="265">
      <c r="A265" s="1" t="inlineStr">
        <is>
          <t>14645081087277</t>
        </is>
      </c>
      <c r="B265" s="1" t="inlineStr">
        <is>
          <t>CAJA DE REGALO GUCCI</t>
        </is>
      </c>
      <c r="C265" s="1" t="inlineStr">
        <is>
          <t>Default Title</t>
        </is>
      </c>
      <c r="D265" s="1" t="inlineStr">
        <is>
          <t>JEWELRY REMATE MX</t>
        </is>
      </c>
      <c r="E265" s="6" t="n">
        <v>149</v>
      </c>
      <c r="F265" s="4" t="n">
        <v>0</v>
      </c>
      <c r="G265" s="1" t="inlineStr">
        <is>
          <t>active</t>
        </is>
      </c>
      <c r="H265" s="1" t="inlineStr">
        <is>
          <t>Falta el costo de compra (no está en ninguna tabla de precios)</t>
        </is>
      </c>
    </row>
    <row r="266">
      <c r="A266" s="1" t="inlineStr">
        <is>
          <t>37795811011533</t>
        </is>
      </c>
      <c r="B266" s="1" t="inlineStr">
        <is>
          <t>ANILLO BEAN GOLD</t>
        </is>
      </c>
      <c r="C266" s="1" t="n">
        <v>6</v>
      </c>
      <c r="D266" s="1" t="inlineStr">
        <is>
          <t>HAIFENG</t>
        </is>
      </c>
      <c r="E266" s="6" t="n">
        <v>495</v>
      </c>
      <c r="F266" s="4" t="n">
        <v>0</v>
      </c>
      <c r="G266" s="1" t="inlineStr">
        <is>
          <t>active</t>
        </is>
      </c>
      <c r="H266" s="1" t="inlineStr">
        <is>
          <t>YA TIENE COSTO EN SHOPIFY ($103.00, heredado hoy)</t>
        </is>
      </c>
    </row>
    <row r="267">
      <c r="A267" s="1" t="inlineStr">
        <is>
          <t>11409791076781</t>
        </is>
      </c>
      <c r="B267" s="1" t="inlineStr">
        <is>
          <t>CONJUNTO DEPORTIVO A NEGRO</t>
        </is>
      </c>
      <c r="C267" s="1" t="inlineStr">
        <is>
          <t>m</t>
        </is>
      </c>
      <c r="D267" s="1" t="inlineStr">
        <is>
          <t>ZOEY</t>
        </is>
      </c>
      <c r="E267" s="6" t="n">
        <v>2499</v>
      </c>
      <c r="F267" s="4" t="n">
        <v>0</v>
      </c>
      <c r="G267" s="1" t="inlineStr">
        <is>
          <t>active</t>
        </is>
      </c>
      <c r="H267" s="1" t="inlineStr">
        <is>
          <t>YA TIENE COSTO EN SHOPIFY ($480.00, heredado hoy)</t>
        </is>
      </c>
    </row>
    <row r="268">
      <c r="A268" s="1" t="inlineStr">
        <is>
          <t>10017751014509</t>
        </is>
      </c>
      <c r="B268" s="1" t="inlineStr">
        <is>
          <t>CONJUNTO DEPORTIVO A NEGRO</t>
        </is>
      </c>
      <c r="C268" s="1" t="inlineStr">
        <is>
          <t>s</t>
        </is>
      </c>
      <c r="D268" s="1" t="inlineStr">
        <is>
          <t>ZOEY</t>
        </is>
      </c>
      <c r="E268" s="6" t="n">
        <v>2499</v>
      </c>
      <c r="F268" s="4" t="n">
        <v>0</v>
      </c>
      <c r="G268" s="1" t="inlineStr">
        <is>
          <t>active</t>
        </is>
      </c>
      <c r="H268" s="1" t="inlineStr">
        <is>
          <t>YA TIENE COSTO EN SHOPIFY ($480.00, heredado hoy)</t>
        </is>
      </c>
    </row>
    <row r="269">
      <c r="A269" s="1" t="inlineStr">
        <is>
          <t>67794441065389</t>
        </is>
      </c>
      <c r="B269" s="1" t="inlineStr">
        <is>
          <t>CAMISOLA POLO WHITE</t>
        </is>
      </c>
      <c r="C269" s="1" t="inlineStr">
        <is>
          <t>l-1</t>
        </is>
      </c>
      <c r="D269" s="1" t="inlineStr">
        <is>
          <t>CYNTHIA CAO</t>
        </is>
      </c>
      <c r="E269" s="6" t="n">
        <v>2079</v>
      </c>
      <c r="F269" s="4" t="n">
        <v>0</v>
      </c>
      <c r="G269" s="1" t="inlineStr">
        <is>
          <t>active</t>
        </is>
      </c>
      <c r="H269" s="1" t="inlineStr">
        <is>
          <t>YA TIENE COSTO EN SHOPIFY ($739.68, heredado hoy)</t>
        </is>
      </c>
    </row>
    <row r="270">
      <c r="A270" s="1" t="inlineStr">
        <is>
          <t>69286191001965</t>
        </is>
      </c>
      <c r="B270" s="1" t="inlineStr">
        <is>
          <t>BOLSA DE REGALO GUCCI GREEN</t>
        </is>
      </c>
      <c r="C270" s="1" t="inlineStr">
        <is>
          <t>Default Title</t>
        </is>
      </c>
      <c r="D270" s="1" t="inlineStr">
        <is>
          <t>JEWELRY REMATE MX</t>
        </is>
      </c>
      <c r="E270" s="6" t="n">
        <v>70</v>
      </c>
      <c r="F270" s="4" t="n">
        <v>0</v>
      </c>
      <c r="G270" s="1" t="inlineStr">
        <is>
          <t>active</t>
        </is>
      </c>
      <c r="H270" s="1" t="inlineStr">
        <is>
          <t>Falta el costo de compra (no está en ninguna tabla de precios)</t>
        </is>
      </c>
    </row>
    <row r="271">
      <c r="A271" s="1" t="inlineStr">
        <is>
          <t>69279371047245</t>
        </is>
      </c>
      <c r="B271" s="1" t="inlineStr">
        <is>
          <t>ANILLO F DOBLE GOLD</t>
        </is>
      </c>
      <c r="C271" s="1" t="inlineStr">
        <is>
          <t>OUTLET</t>
        </is>
      </c>
      <c r="D271" s="1" t="inlineStr">
        <is>
          <t>HAIFENG</t>
        </is>
      </c>
      <c r="E271" s="6" t="n">
        <v>310</v>
      </c>
      <c r="F271" s="4" t="n">
        <v>0</v>
      </c>
      <c r="G271" s="1" t="inlineStr">
        <is>
          <t>active</t>
        </is>
      </c>
      <c r="H271" s="1" t="inlineStr">
        <is>
          <t>YA TIENE COSTO EN SHOPIFY ($147.75, heredado hoy)</t>
        </is>
      </c>
    </row>
    <row r="272">
      <c r="A272" s="1" t="inlineStr">
        <is>
          <t>40481701148781</t>
        </is>
      </c>
      <c r="B272" s="1" t="inlineStr">
        <is>
          <t>PULSERA MM GOLD-WHITE</t>
        </is>
      </c>
      <c r="C272" s="1" t="inlineStr">
        <is>
          <t>OUTLET</t>
        </is>
      </c>
      <c r="D272" s="1" t="inlineStr">
        <is>
          <t>HAIFENG</t>
        </is>
      </c>
      <c r="E272" s="6" t="n">
        <v>450</v>
      </c>
      <c r="F272" s="4" t="n">
        <v>0</v>
      </c>
      <c r="G272" s="1" t="inlineStr">
        <is>
          <t>active</t>
        </is>
      </c>
      <c r="H272" s="1" t="inlineStr">
        <is>
          <t>YA TIENE COSTO EN SHOPIFY ($147.52, heredado hoy)</t>
        </is>
      </c>
    </row>
    <row r="273">
      <c r="A273" s="1" t="inlineStr">
        <is>
          <t>31078752766319</t>
        </is>
      </c>
      <c r="B273" s="1" t="inlineStr">
        <is>
          <t>PULSERA C LOGO GOLD</t>
        </is>
      </c>
      <c r="C273" s="1" t="inlineStr">
        <is>
          <t>Dije 10mm 17cm de largo con 2.cm de extensión</t>
        </is>
      </c>
      <c r="D273" s="1" t="inlineStr">
        <is>
          <t>HAIFENG</t>
        </is>
      </c>
      <c r="E273" s="6" t="n">
        <v>660</v>
      </c>
      <c r="F273" s="4" t="n">
        <v>0</v>
      </c>
      <c r="G273" s="1" t="inlineStr">
        <is>
          <t>active</t>
        </is>
      </c>
      <c r="H273" s="1" t="inlineStr">
        <is>
          <t>YA TIENE COSTO EN SHOPIFY ($162.74, heredado hoy)</t>
        </is>
      </c>
    </row>
    <row r="274">
      <c r="A274" s="1" t="inlineStr">
        <is>
          <t>60332671066381</t>
        </is>
      </c>
      <c r="B274" s="1" t="inlineStr">
        <is>
          <t>SUETER BONE JW</t>
        </is>
      </c>
      <c r="C274" s="1" t="inlineStr">
        <is>
          <t>L VARIANTE</t>
        </is>
      </c>
      <c r="D274" s="1" t="inlineStr">
        <is>
          <t>MOLLY</t>
        </is>
      </c>
      <c r="E274" s="6" t="n">
        <v>1283.24</v>
      </c>
      <c r="F274" s="4" t="n">
        <v>0</v>
      </c>
      <c r="G274" s="1" t="inlineStr">
        <is>
          <t>active</t>
        </is>
      </c>
      <c r="H274" s="1" t="inlineStr">
        <is>
          <t>YA TIENE COSTO EN SHOPIFY ($350.00, heredado hoy)</t>
        </is>
      </c>
    </row>
    <row r="275">
      <c r="A275" s="1" t="inlineStr">
        <is>
          <t>47424001050509</t>
        </is>
      </c>
      <c r="B275" s="1" t="inlineStr">
        <is>
          <t>BLUSA WHITE-BLACK JW</t>
        </is>
      </c>
      <c r="C275" s="1" t="inlineStr">
        <is>
          <t>S</t>
        </is>
      </c>
      <c r="D275" s="1" t="inlineStr">
        <is>
          <t>MOLLY</t>
        </is>
      </c>
      <c r="E275" s="6" t="n">
        <v>1000</v>
      </c>
      <c r="F275" s="4" t="n">
        <v>0</v>
      </c>
      <c r="G275" s="1" t="inlineStr">
        <is>
          <t>active</t>
        </is>
      </c>
      <c r="H275" s="1" t="inlineStr">
        <is>
          <t>YA TIENE COSTO EN SHOPIFY ($218.00, heredado hoy)</t>
        </is>
      </c>
    </row>
    <row r="276">
      <c r="A276" s="1" t="inlineStr">
        <is>
          <t>64538341083373</t>
        </is>
      </c>
      <c r="B276" s="1" t="inlineStr">
        <is>
          <t>BRAZALETE CD GOLD-WHITE ZIRCONIAS</t>
        </is>
      </c>
      <c r="C276" s="1" t="inlineStr">
        <is>
          <t>STAINLESS STEEL</t>
        </is>
      </c>
      <c r="D276" s="1" t="inlineStr">
        <is>
          <t>CYNTHIA CAO</t>
        </is>
      </c>
      <c r="E276" s="6" t="n">
        <v>598</v>
      </c>
      <c r="F276" s="4" t="n">
        <v>0</v>
      </c>
      <c r="G276" s="1" t="inlineStr">
        <is>
          <t>active</t>
        </is>
      </c>
      <c r="H276" s="1" t="inlineStr">
        <is>
          <t>YA TIENE COSTO EN SHOPIFY ($224.67, heredado hoy)</t>
        </is>
      </c>
    </row>
    <row r="277">
      <c r="A277" s="1" t="inlineStr">
        <is>
          <t>64038931022925</t>
        </is>
      </c>
      <c r="B277" s="1" t="inlineStr">
        <is>
          <t>BRAZALETE CD ZIRCONIAS GOLD-BLACK</t>
        </is>
      </c>
      <c r="C277" s="1" t="inlineStr">
        <is>
          <t>STAINLESS STEEL</t>
        </is>
      </c>
      <c r="D277" s="1" t="inlineStr">
        <is>
          <t>CYNTHIA CAO</t>
        </is>
      </c>
      <c r="E277" s="6" t="n">
        <v>920</v>
      </c>
      <c r="F277" s="4" t="n">
        <v>0</v>
      </c>
      <c r="G277" s="1" t="inlineStr">
        <is>
          <t>active</t>
        </is>
      </c>
      <c r="H277" s="1" t="inlineStr">
        <is>
          <t>YA TIENE COSTO EN SHOPIFY ($224.27, heredado hoy)</t>
        </is>
      </c>
    </row>
    <row r="278">
      <c r="A278" s="1" t="inlineStr">
        <is>
          <t>17174921036141</t>
        </is>
      </c>
      <c r="B278" s="1" t="inlineStr">
        <is>
          <t>BALLERINAS CC BEIGE BLACK</t>
        </is>
      </c>
      <c r="C278" s="1" t="inlineStr">
        <is>
          <t>24-cm-sin-caja</t>
        </is>
      </c>
      <c r="D278" s="1" t="inlineStr">
        <is>
          <t>ZOEY</t>
        </is>
      </c>
      <c r="E278" s="6" t="n">
        <v>4449</v>
      </c>
      <c r="F278" s="4" t="n">
        <v>0</v>
      </c>
      <c r="G278" s="1" t="inlineStr">
        <is>
          <t>active</t>
        </is>
      </c>
      <c r="H278" s="1" t="inlineStr">
        <is>
          <t>YA TIENE COSTO EN SHOPIFY ($1144.91, heredado hoy)</t>
        </is>
      </c>
    </row>
    <row r="279">
      <c r="A279" s="1" t="inlineStr">
        <is>
          <t>37228291040909</t>
        </is>
      </c>
      <c r="B279" s="1" t="inlineStr">
        <is>
          <t>PERFUME  BV LE GEMME TYGAR EAU DE PARFUM</t>
        </is>
      </c>
      <c r="C279" s="1" t="inlineStr">
        <is>
          <t>OUTLET</t>
        </is>
      </c>
      <c r="D279" s="1" t="inlineStr">
        <is>
          <t>ZOEY</t>
        </is>
      </c>
      <c r="E279" s="6" t="n">
        <v>1199</v>
      </c>
      <c r="F279" s="4" t="n">
        <v>0</v>
      </c>
      <c r="G279" s="1" t="inlineStr">
        <is>
          <t>active</t>
        </is>
      </c>
      <c r="H279" s="1" t="inlineStr">
        <is>
          <t>YA TIENE COSTO EN SHOPIFY ($461.18, heredado hoy)</t>
        </is>
      </c>
    </row>
    <row r="280">
      <c r="A280" s="1" t="inlineStr">
        <is>
          <t>74320831084397</t>
        </is>
      </c>
      <c r="B280" s="1" t="inlineStr">
        <is>
          <t>COLLAR MM GOLD BLACK</t>
        </is>
      </c>
      <c r="C280" s="1" t="inlineStr">
        <is>
          <t>OUTLET BRASS</t>
        </is>
      </c>
      <c r="D280" s="1" t="inlineStr">
        <is>
          <t>ZOEY</t>
        </is>
      </c>
      <c r="E280" s="6" t="n">
        <v>430</v>
      </c>
      <c r="F280" s="4" t="n">
        <v>0</v>
      </c>
      <c r="G280" s="1" t="inlineStr">
        <is>
          <t>active</t>
        </is>
      </c>
      <c r="H280" s="1" t="inlineStr">
        <is>
          <t>YA TIENE COSTO EN SHOPIFY ($194.95, heredado hoy)</t>
        </is>
      </c>
    </row>
    <row r="281">
      <c r="A281" s="1" t="inlineStr">
        <is>
          <t>77275241042894</t>
        </is>
      </c>
      <c r="B281" s="1" t="inlineStr">
        <is>
          <t>ARETES MM HEART GOLD WHITE</t>
        </is>
      </c>
      <c r="C281" s="1" t="inlineStr">
        <is>
          <t>2cm outlet</t>
        </is>
      </c>
      <c r="D281" s="1" t="inlineStr">
        <is>
          <t>ZOEY</t>
        </is>
      </c>
      <c r="E281" s="6" t="n">
        <v>299</v>
      </c>
      <c r="F281" s="4" t="n">
        <v>0</v>
      </c>
      <c r="G281" s="1" t="inlineStr">
        <is>
          <t>active</t>
        </is>
      </c>
      <c r="H281" s="1" t="inlineStr">
        <is>
          <t>YA TIENE COSTO EN SHOPIFY ($204.59, heredado hoy)</t>
        </is>
      </c>
    </row>
    <row r="282">
      <c r="A282" s="1" t="inlineStr">
        <is>
          <t>38875611088269</t>
        </is>
      </c>
      <c r="B282" s="1" t="inlineStr">
        <is>
          <t>ANILLO CD GOLD WHITE CON ZIRCONIA</t>
        </is>
      </c>
      <c r="C282" s="1" t="inlineStr">
        <is>
          <t>7 OUTLET</t>
        </is>
      </c>
      <c r="D282" s="1" t="inlineStr">
        <is>
          <t>ZOEY</t>
        </is>
      </c>
      <c r="E282" s="6" t="n">
        <v>380</v>
      </c>
      <c r="F282" s="4" t="n">
        <v>0</v>
      </c>
      <c r="G282" s="1" t="inlineStr">
        <is>
          <t>active</t>
        </is>
      </c>
      <c r="H282" s="1" t="inlineStr">
        <is>
          <t>YA TIENE COSTO EN SHOPIFY ($212.62, heredado hoy)</t>
        </is>
      </c>
    </row>
    <row r="283">
      <c r="A283" s="1" t="inlineStr">
        <is>
          <t>57913391088462</t>
        </is>
      </c>
      <c r="B283" s="1" t="inlineStr">
        <is>
          <t>COLLAR T ESLABONES GOLD CON PEARL</t>
        </is>
      </c>
      <c r="C283" s="1" t="inlineStr">
        <is>
          <t>OUTLET</t>
        </is>
      </c>
      <c r="D283" s="1" t="inlineStr">
        <is>
          <t>ZOEY</t>
        </is>
      </c>
      <c r="E283" s="6" t="n">
        <v>1200</v>
      </c>
      <c r="F283" s="4" t="n">
        <v>0</v>
      </c>
      <c r="G283" s="1" t="inlineStr">
        <is>
          <t>active</t>
        </is>
      </c>
      <c r="H283" s="1" t="inlineStr">
        <is>
          <t>YA TIENE COSTO EN SHOPIFY ($422.07, heredado hoy)</t>
        </is>
      </c>
    </row>
    <row r="284">
      <c r="A284" s="1" t="inlineStr">
        <is>
          <t>42101481043502</t>
        </is>
      </c>
      <c r="B284" s="1" t="inlineStr">
        <is>
          <t>BOLSA CC Nº25</t>
        </is>
      </c>
      <c r="C284" s="1" t="inlineStr">
        <is>
          <t>OUTLET</t>
        </is>
      </c>
      <c r="D284" s="1" t="inlineStr">
        <is>
          <t>CYNTHIA CAO</t>
        </is>
      </c>
      <c r="E284" s="6" t="n">
        <v>5499</v>
      </c>
      <c r="F284" s="4" t="n">
        <v>0</v>
      </c>
      <c r="G284" s="1" t="inlineStr">
        <is>
          <t>active</t>
        </is>
      </c>
      <c r="H284" s="1" t="inlineStr">
        <is>
          <t>YA TIENE COSTO EN SHOPIFY ($1732.21, heredado hoy)</t>
        </is>
      </c>
    </row>
    <row r="285">
      <c r="A285" s="1" t="inlineStr">
        <is>
          <t>99045331052717</t>
        </is>
      </c>
      <c r="B285" s="1" t="inlineStr">
        <is>
          <t>ANILLO TRÉBOL CON ZIRCONIA GOLD VF</t>
        </is>
      </c>
      <c r="C285" s="1" t="n">
        <v>6</v>
      </c>
      <c r="D285" s="1" t="inlineStr">
        <is>
          <t>HAIFENG</t>
        </is>
      </c>
      <c r="E285" s="6" t="n">
        <v>499</v>
      </c>
      <c r="F285" s="4" t="n">
        <v>0</v>
      </c>
      <c r="G285" s="1" t="inlineStr">
        <is>
          <t>active</t>
        </is>
      </c>
      <c r="H285" s="1" t="inlineStr">
        <is>
          <t>YA TIENE COSTO EN SHOPIFY ($113.00, heredado hoy)</t>
        </is>
      </c>
    </row>
    <row r="286">
      <c r="A286" s="1" t="inlineStr">
        <is>
          <t>38332091643853</t>
        </is>
      </c>
      <c r="B286" s="1" t="inlineStr">
        <is>
          <t>PULSERA CD CLAIR GOLD CON ZIRCONIA Y PERLAS</t>
        </is>
      </c>
      <c r="C286" s="1" t="inlineStr">
        <is>
          <t>Default Title</t>
        </is>
      </c>
      <c r="D286" s="1" t="inlineStr">
        <is>
          <t>CYNTHIA CAO</t>
        </is>
      </c>
      <c r="E286" s="6" t="n">
        <v>760</v>
      </c>
      <c r="F286" s="4" t="n">
        <v>0</v>
      </c>
      <c r="G286" s="1" t="inlineStr">
        <is>
          <t>active</t>
        </is>
      </c>
      <c r="H286" s="1" t="inlineStr">
        <is>
          <t>YA TIENE COSTO EN SHOPIFY ($216.97, heredado hoy)</t>
        </is>
      </c>
    </row>
    <row r="287">
      <c r="A287" s="1" t="inlineStr">
        <is>
          <t>38332091301453</t>
        </is>
      </c>
      <c r="B287" s="1" t="inlineStr">
        <is>
          <t>COLLAR T CIRCULAR T1 SILVER</t>
        </is>
      </c>
      <c r="C287" s="1" t="inlineStr">
        <is>
          <t>Default Title</t>
        </is>
      </c>
      <c r="D287" s="1" t="inlineStr">
        <is>
          <t>CYNTHIA CAO</t>
        </is>
      </c>
      <c r="E287" s="6" t="n">
        <v>651</v>
      </c>
      <c r="F287" s="4" t="n">
        <v>0</v>
      </c>
      <c r="G287" s="1" t="inlineStr">
        <is>
          <t>active</t>
        </is>
      </c>
      <c r="H287" s="1" t="inlineStr">
        <is>
          <t>YA TIENE COSTO EN SHOPIFY ($216.97, heredado hoy)</t>
        </is>
      </c>
    </row>
    <row r="288">
      <c r="A288" s="1" t="inlineStr">
        <is>
          <t>38332091248941</t>
        </is>
      </c>
      <c r="B288" s="1" t="inlineStr">
        <is>
          <t>COLLAR T CIRCULAR T1 GOLD</t>
        </is>
      </c>
      <c r="C288" s="1" t="inlineStr">
        <is>
          <t>HIGH QUALITY</t>
        </is>
      </c>
      <c r="D288" s="1" t="inlineStr">
        <is>
          <t>CYNTHIA CAO</t>
        </is>
      </c>
      <c r="E288" s="6" t="n">
        <v>651</v>
      </c>
      <c r="F288" s="4" t="n">
        <v>0</v>
      </c>
      <c r="G288" s="1" t="inlineStr">
        <is>
          <t>active</t>
        </is>
      </c>
      <c r="H288" s="1" t="inlineStr">
        <is>
          <t>YA TIENE COSTO EN SHOPIFY ($216.97, heredado hoy)</t>
        </is>
      </c>
    </row>
    <row r="289">
      <c r="A289" s="1" t="inlineStr">
        <is>
          <t>38332091248942</t>
        </is>
      </c>
      <c r="B289" s="1" t="inlineStr">
        <is>
          <t>COLLAR T CIRCULAR T1 GOLD</t>
        </is>
      </c>
      <c r="C289" s="1" t="inlineStr">
        <is>
          <t>OUTLET</t>
        </is>
      </c>
      <c r="D289" s="1" t="inlineStr">
        <is>
          <t>CYNTHIA CAO</t>
        </is>
      </c>
      <c r="E289" s="6" t="n">
        <v>553</v>
      </c>
      <c r="F289" s="4" t="n">
        <v>0</v>
      </c>
      <c r="G289" s="1" t="inlineStr">
        <is>
          <t>active</t>
        </is>
      </c>
      <c r="H289" s="1" t="inlineStr">
        <is>
          <t>YA TIENE COSTO EN SHOPIFY ($216.97, heredado hoy)</t>
        </is>
      </c>
    </row>
    <row r="290">
      <c r="A290" s="1" t="inlineStr">
        <is>
          <t>32228851076909</t>
        </is>
      </c>
      <c r="B290" s="1" t="inlineStr">
        <is>
          <t>BOLSA SARDINE BT AGATE GREY</t>
        </is>
      </c>
      <c r="C290" s="1" t="inlineStr">
        <is>
          <t>Default Title</t>
        </is>
      </c>
      <c r="D290" s="1" t="inlineStr">
        <is>
          <t>ZOEY</t>
        </is>
      </c>
      <c r="E290" s="6" t="n">
        <v>3999</v>
      </c>
      <c r="F290" s="4" t="n">
        <v>0</v>
      </c>
      <c r="G290" s="1" t="inlineStr">
        <is>
          <t>active</t>
        </is>
      </c>
      <c r="H290" s="1" t="inlineStr">
        <is>
          <t>Falta el costo de compra (no está en ninguna tabla de precios)</t>
        </is>
      </c>
    </row>
    <row r="291">
      <c r="A291" s="1" t="inlineStr">
        <is>
          <t>43758981056077</t>
        </is>
      </c>
      <c r="B291" s="1" t="inlineStr">
        <is>
          <t>BOLSA NANO NOÉ LV BROWN</t>
        </is>
      </c>
      <c r="C291" s="1" t="inlineStr">
        <is>
          <t>Outlet</t>
        </is>
      </c>
      <c r="D291" s="1" t="inlineStr">
        <is>
          <t>ZOEY</t>
        </is>
      </c>
      <c r="E291" s="6" t="n">
        <v>999</v>
      </c>
      <c r="F291" s="4" t="n">
        <v>0</v>
      </c>
      <c r="G291" s="1" t="inlineStr">
        <is>
          <t>active</t>
        </is>
      </c>
      <c r="H291" s="1" t="inlineStr">
        <is>
          <t>YA TIENE COSTO EN SHOPIFY ($518.10, heredado hoy)</t>
        </is>
      </c>
    </row>
    <row r="292">
      <c r="A292" s="1" t="inlineStr">
        <is>
          <t>15711172966157</t>
        </is>
      </c>
      <c r="B292" s="1" t="inlineStr">
        <is>
          <t>PERFUME BLOOMING BOUQUET CD 100 ML</t>
        </is>
      </c>
      <c r="C292" s="1" t="inlineStr">
        <is>
          <t>100 ML</t>
        </is>
      </c>
      <c r="D292" s="1" t="inlineStr">
        <is>
          <t>ZOEY</t>
        </is>
      </c>
      <c r="E292" s="6" t="n">
        <v>1500</v>
      </c>
      <c r="F292" s="4" t="n">
        <v>0</v>
      </c>
      <c r="G292" s="1" t="inlineStr">
        <is>
          <t>active</t>
        </is>
      </c>
      <c r="H292" s="1" t="inlineStr">
        <is>
          <t>Falta el costo de compra (no está en ninguna tabla de precios)</t>
        </is>
      </c>
    </row>
    <row r="293">
      <c r="A293" s="1" t="inlineStr">
        <is>
          <t>15711172966158</t>
        </is>
      </c>
      <c r="B293" s="1" t="inlineStr">
        <is>
          <t>PERFUME BLOOMING BOUQUET CD 100 ML</t>
        </is>
      </c>
      <c r="C293" s="1" t="inlineStr">
        <is>
          <t>100 ML OUTLET</t>
        </is>
      </c>
      <c r="D293" s="1" t="inlineStr">
        <is>
          <t>ZOEY</t>
        </is>
      </c>
      <c r="E293" s="6" t="n">
        <v>1350</v>
      </c>
      <c r="F293" s="4" t="n">
        <v>0</v>
      </c>
      <c r="G293" s="1" t="inlineStr">
        <is>
          <t>active</t>
        </is>
      </c>
      <c r="H293" s="1" t="inlineStr">
        <is>
          <t>Falta el costo de compra (no está en ninguna tabla de precios)</t>
        </is>
      </c>
    </row>
    <row r="294">
      <c r="A294" s="1" t="inlineStr">
        <is>
          <t>17360611474254</t>
        </is>
      </c>
      <c r="B294" s="1" t="inlineStr">
        <is>
          <t>RELOJ LADY DATEJUST GOLD RX</t>
        </is>
      </c>
      <c r="C294" s="1" t="inlineStr">
        <is>
          <t>RELOJ CON CAJA</t>
        </is>
      </c>
      <c r="D294" s="1" t="inlineStr">
        <is>
          <t>ZOEY</t>
        </is>
      </c>
      <c r="E294" s="6" t="n">
        <v>5720</v>
      </c>
      <c r="F294" s="4" t="n">
        <v>0</v>
      </c>
      <c r="G294" s="1" t="inlineStr">
        <is>
          <t>active</t>
        </is>
      </c>
      <c r="H294" s="1" t="inlineStr">
        <is>
          <t>YA TIENE COSTO EN SHOPIFY ($1261.29, heredado hoy)</t>
        </is>
      </c>
    </row>
    <row r="295">
      <c r="A295" s="1" t="inlineStr">
        <is>
          <t>15711173374894</t>
        </is>
      </c>
      <c r="B295" s="1" t="inlineStr">
        <is>
          <t>PERFUME PARADOXE, EAU DE PARFUM 90ML</t>
        </is>
      </c>
      <c r="C295" s="1" t="inlineStr">
        <is>
          <t>90 ml OUTLET</t>
        </is>
      </c>
      <c r="D295" s="1" t="inlineStr">
        <is>
          <t>ZOEY</t>
        </is>
      </c>
      <c r="E295" s="6" t="n">
        <v>780</v>
      </c>
      <c r="F295" s="4" t="n">
        <v>0</v>
      </c>
      <c r="G295" s="1" t="inlineStr">
        <is>
          <t>active</t>
        </is>
      </c>
      <c r="H295" s="1" t="inlineStr">
        <is>
          <t>YA TIENE COSTO EN SHOPIFY ($477.08, heredado hoy)</t>
        </is>
      </c>
    </row>
    <row r="296">
      <c r="A296" s="1" t="inlineStr">
        <is>
          <t>15711172845806</t>
        </is>
      </c>
      <c r="B296" s="1" t="inlineStr">
        <is>
          <t>PULSERA C SILVER</t>
        </is>
      </c>
      <c r="C296" s="1" t="inlineStr">
        <is>
          <t>16 cm OUTLET</t>
        </is>
      </c>
      <c r="D296" s="1" t="inlineStr">
        <is>
          <t>CYNTHIA CAO</t>
        </is>
      </c>
      <c r="E296" s="6" t="n">
        <v>420</v>
      </c>
      <c r="F296" s="4" t="n">
        <v>0</v>
      </c>
      <c r="G296" s="1" t="inlineStr">
        <is>
          <t>active</t>
        </is>
      </c>
      <c r="H296" s="1" t="inlineStr">
        <is>
          <t>YA TIENE COSTO EN SHOPIFY ($233.97, heredado hoy)</t>
        </is>
      </c>
    </row>
    <row r="297">
      <c r="A297" s="1" t="inlineStr">
        <is>
          <t>15711172404462</t>
        </is>
      </c>
      <c r="B297" s="1" t="inlineStr">
        <is>
          <t>PULSERA PETIT CD JOLIE GOLD</t>
        </is>
      </c>
      <c r="C297" s="1" t="inlineStr">
        <is>
          <t>20cm OUTLET</t>
        </is>
      </c>
      <c r="D297" s="1" t="inlineStr">
        <is>
          <t>CYNTHIA CAO</t>
        </is>
      </c>
      <c r="E297" s="6" t="n">
        <v>450</v>
      </c>
      <c r="F297" s="4" t="n">
        <v>0</v>
      </c>
      <c r="G297" s="1" t="inlineStr">
        <is>
          <t>active</t>
        </is>
      </c>
      <c r="H297" s="1" t="inlineStr">
        <is>
          <t>YA TIENE COSTO EN SHOPIFY ($229.84, heredado hoy)</t>
        </is>
      </c>
    </row>
    <row r="298">
      <c r="A298" s="1" t="inlineStr">
        <is>
          <t>67201534966798</t>
        </is>
      </c>
      <c r="B298" s="1" t="inlineStr">
        <is>
          <t>ARETES LOVING HEART</t>
        </is>
      </c>
      <c r="C298" s="1" t="inlineStr">
        <is>
          <t>dorado-outlet</t>
        </is>
      </c>
      <c r="D298" s="1" t="inlineStr">
        <is>
          <t>HAIFENG</t>
        </is>
      </c>
      <c r="E298" s="6" t="n">
        <v>350</v>
      </c>
      <c r="F298" s="4" t="n">
        <v>0</v>
      </c>
      <c r="G298" s="1" t="inlineStr">
        <is>
          <t>active</t>
        </is>
      </c>
      <c r="H298" s="1" t="inlineStr">
        <is>
          <t>YA TIENE COSTO EN SHOPIFY ($98.84, heredado hoy)</t>
        </is>
      </c>
    </row>
    <row r="299">
      <c r="A299" s="1" t="inlineStr">
        <is>
          <t>29772121070605</t>
        </is>
      </c>
      <c r="B299" s="1" t="inlineStr">
        <is>
          <t>BRAZALETE MSS GOLD</t>
        </is>
      </c>
      <c r="C299" s="1" t="inlineStr">
        <is>
          <t>16 CM OUTLET</t>
        </is>
      </c>
      <c r="D299" s="1" t="inlineStr">
        <is>
          <t>HAIFENG</t>
        </is>
      </c>
      <c r="E299" s="6" t="n">
        <v>740</v>
      </c>
      <c r="F299" s="4" t="n">
        <v>0</v>
      </c>
      <c r="G299" s="1" t="inlineStr">
        <is>
          <t>active</t>
        </is>
      </c>
      <c r="H299" s="1" t="inlineStr">
        <is>
          <t>YA TIENE COSTO EN SHOPIFY ($210.68, heredado hoy)</t>
        </is>
      </c>
    </row>
    <row r="300">
      <c r="A300" s="1" t="inlineStr">
        <is>
          <t>67201531422990</t>
        </is>
      </c>
      <c r="B300" s="1" t="inlineStr">
        <is>
          <t>LENTES TRIOMPHE C BROWN</t>
        </is>
      </c>
      <c r="C300" s="1" t="inlineStr">
        <is>
          <t>Brown OUTLET</t>
        </is>
      </c>
      <c r="D300" s="1" t="inlineStr">
        <is>
          <t>HAIFENG</t>
        </is>
      </c>
      <c r="E300" s="6" t="n">
        <v>1568</v>
      </c>
      <c r="F300" s="4" t="n">
        <v>0</v>
      </c>
      <c r="G300" s="1" t="inlineStr">
        <is>
          <t>active</t>
        </is>
      </c>
      <c r="H300" s="1" t="inlineStr">
        <is>
          <t>YA TIENE COSTO EN SHOPIFY ($670.50, heredado hoy)</t>
        </is>
      </c>
    </row>
    <row r="301">
      <c r="A301" s="1" t="inlineStr">
        <is>
          <t>67201531075374</t>
        </is>
      </c>
      <c r="B301" s="1" t="inlineStr">
        <is>
          <t>PULSERA LUCKY GOLD CD</t>
        </is>
      </c>
      <c r="C301" s="1" t="inlineStr">
        <is>
          <t>OUTLET</t>
        </is>
      </c>
      <c r="D301" s="1" t="inlineStr">
        <is>
          <t>HAIFENG</t>
        </is>
      </c>
      <c r="E301" s="6" t="n">
        <v>399</v>
      </c>
      <c r="F301" s="4" t="n">
        <v>0</v>
      </c>
      <c r="G301" s="1" t="inlineStr">
        <is>
          <t>active</t>
        </is>
      </c>
      <c r="H301" s="1" t="inlineStr">
        <is>
          <t>YA TIENE COSTO EN SHOPIFY ($125.98, heredado hoy)</t>
        </is>
      </c>
    </row>
    <row r="302">
      <c r="A302" s="1" t="inlineStr">
        <is>
          <t>66075802307342</t>
        </is>
      </c>
      <c r="B302" s="1" t="inlineStr">
        <is>
          <t>PULSERA CLAIR D LUNE SILVER CD</t>
        </is>
      </c>
      <c r="C302" s="1" t="inlineStr">
        <is>
          <t>14cm largo con 5cm de extensión dije 1cm</t>
        </is>
      </c>
      <c r="D302" s="1" t="inlineStr">
        <is>
          <t>HAIFENG</t>
        </is>
      </c>
      <c r="E302" s="6" t="n">
        <v>412</v>
      </c>
      <c r="F302" s="4" t="n">
        <v>0</v>
      </c>
      <c r="G302" s="1" t="inlineStr">
        <is>
          <t>active</t>
        </is>
      </c>
      <c r="H302" s="1" t="inlineStr">
        <is>
          <t>YA TIENE COSTO EN SHOPIFY ($82.40, heredado hoy)</t>
        </is>
      </c>
    </row>
    <row r="303">
      <c r="A303" s="1" t="inlineStr">
        <is>
          <t>66075802259374</t>
        </is>
      </c>
      <c r="B303" s="1" t="inlineStr">
        <is>
          <t>PULSERA MONTAIGNE GOLD CD</t>
        </is>
      </c>
      <c r="C303" s="1" t="inlineStr">
        <is>
          <t>20 CM OUTLET</t>
        </is>
      </c>
      <c r="D303" s="1" t="inlineStr">
        <is>
          <t>HAIFENG</t>
        </is>
      </c>
      <c r="E303" s="6" t="n">
        <v>599</v>
      </c>
      <c r="F303" s="4" t="n">
        <v>0</v>
      </c>
      <c r="G303" s="1" t="inlineStr">
        <is>
          <t>active</t>
        </is>
      </c>
      <c r="H303" s="1" t="inlineStr">
        <is>
          <t>YA TIENE COSTO EN SHOPIFY ($147.81, heredado hoy)</t>
        </is>
      </c>
    </row>
    <row r="304">
      <c r="A304" s="1" t="inlineStr">
        <is>
          <t>66075801629421</t>
        </is>
      </c>
      <c r="B304" s="1" t="inlineStr">
        <is>
          <t>BRAZALETE PANTHERE GOLD C</t>
        </is>
      </c>
      <c r="C304" s="1" t="inlineStr">
        <is>
          <t>Default Title</t>
        </is>
      </c>
      <c r="D304" s="1" t="inlineStr">
        <is>
          <t>HAIFENG</t>
        </is>
      </c>
      <c r="E304" s="6" t="n">
        <v>1225.7</v>
      </c>
      <c r="F304" s="4" t="n">
        <v>0</v>
      </c>
      <c r="G304" s="1" t="inlineStr">
        <is>
          <t>active</t>
        </is>
      </c>
      <c r="H304" s="1" t="inlineStr">
        <is>
          <t>Falta el costo de compra (no está en ninguna tabla de precios)</t>
        </is>
      </c>
    </row>
    <row r="305">
      <c r="A305" s="1" t="inlineStr">
        <is>
          <t>27412601072353</t>
        </is>
      </c>
      <c r="B305" s="1" t="inlineStr">
        <is>
          <t>PULSERA DE TELA TRES AROS ROYAL BLUE</t>
        </is>
      </c>
      <c r="C305" s="1" t="inlineStr">
        <is>
          <t>Default Title</t>
        </is>
      </c>
      <c r="D305" s="1" t="inlineStr">
        <is>
          <t>HAIFENG</t>
        </is>
      </c>
      <c r="E305" s="6" t="n">
        <v>399</v>
      </c>
      <c r="F305" s="4" t="n">
        <v>0</v>
      </c>
      <c r="G305" s="1" t="inlineStr">
        <is>
          <t>active</t>
        </is>
      </c>
      <c r="H305" s="1" t="inlineStr">
        <is>
          <t>Falta el costo de compra (no está en ninguna tabla de precios)</t>
        </is>
      </c>
    </row>
    <row r="306">
      <c r="A306" s="1" t="inlineStr">
        <is>
          <t>66975821021217</t>
        </is>
      </c>
      <c r="B306" s="1" t="inlineStr">
        <is>
          <t>PULSERA DE TELA TRES AROS WINE</t>
        </is>
      </c>
      <c r="C306" s="1" t="inlineStr">
        <is>
          <t>Default Title</t>
        </is>
      </c>
      <c r="D306" s="1" t="inlineStr">
        <is>
          <t>HAIFENG</t>
        </is>
      </c>
      <c r="E306" s="6" t="n">
        <v>280</v>
      </c>
      <c r="F306" s="4" t="n">
        <v>0</v>
      </c>
      <c r="G306" s="1" t="inlineStr">
        <is>
          <t>active</t>
        </is>
      </c>
      <c r="H306" s="1" t="inlineStr">
        <is>
          <t>Falta el costo de compra (no está en ninguna tabla de precios)</t>
        </is>
      </c>
    </row>
    <row r="307">
      <c r="A307" s="1" t="inlineStr">
        <is>
          <t>66e1b9a07947c</t>
        </is>
      </c>
      <c r="B307" s="1" t="inlineStr">
        <is>
          <t>BOLSO SADDLE CD BLACK</t>
        </is>
      </c>
      <c r="C307" s="1" t="inlineStr">
        <is>
          <t>18cm de largo x 21cm de alto x 6cm de ancho</t>
        </is>
      </c>
      <c r="D307" s="1" t="inlineStr">
        <is>
          <t>CYNTHIA CAO</t>
        </is>
      </c>
      <c r="E307" s="6" t="n">
        <v>4800</v>
      </c>
      <c r="F307" s="4" t="n">
        <v>0</v>
      </c>
      <c r="G307" s="1" t="inlineStr">
        <is>
          <t>active</t>
        </is>
      </c>
      <c r="H307" s="1" t="inlineStr">
        <is>
          <t>YA TIENE COSTO EN SHOPIFY ($1140.00, heredado hoy)</t>
        </is>
      </c>
    </row>
    <row r="308">
      <c r="A308" s="1" t="inlineStr">
        <is>
          <t>82269151042861</t>
        </is>
      </c>
      <c r="B308" s="1" t="inlineStr">
        <is>
          <t>PULSERA LOVESTRUCK</t>
        </is>
      </c>
      <c r="C308" s="1" t="inlineStr">
        <is>
          <t>18 cm outlet</t>
        </is>
      </c>
      <c r="D308" s="1" t="inlineStr">
        <is>
          <t>ZOEY</t>
        </is>
      </c>
      <c r="E308" s="6" t="n">
        <v>460</v>
      </c>
      <c r="F308" s="4" t="n">
        <v>0</v>
      </c>
      <c r="G308" s="1" t="inlineStr">
        <is>
          <t>active</t>
        </is>
      </c>
      <c r="H308" s="1" t="inlineStr">
        <is>
          <t>YA TIENE COSTO EN SHOPIFY ($206.44, heredado hoy)</t>
        </is>
      </c>
    </row>
    <row r="309">
      <c r="A309" s="1" t="inlineStr">
        <is>
          <t>46437401023981</t>
        </is>
      </c>
      <c r="B309" s="1" t="inlineStr">
        <is>
          <t>COLLAR LOVESTRUCK</t>
        </is>
      </c>
      <c r="C309" s="1" t="inlineStr">
        <is>
          <t>43CM OUTLET</t>
        </is>
      </c>
      <c r="D309" s="1" t="inlineStr">
        <is>
          <t>ZOEY</t>
        </is>
      </c>
      <c r="E309" s="6" t="n">
        <v>748.25</v>
      </c>
      <c r="F309" s="4" t="n">
        <v>0</v>
      </c>
      <c r="G309" s="1" t="inlineStr">
        <is>
          <t>active</t>
        </is>
      </c>
      <c r="H309" s="1" t="inlineStr">
        <is>
          <t>YA TIENE COSTO EN SHOPIFY ($202.09, heredado hoy)</t>
        </is>
      </c>
    </row>
    <row r="310">
      <c r="A310" s="1" t="inlineStr">
        <is>
          <t>43843421102381</t>
        </is>
      </c>
      <c r="B310" s="1" t="inlineStr">
        <is>
          <t>PULSERA MARIQUITA VF</t>
        </is>
      </c>
      <c r="C310" s="1" t="inlineStr">
        <is>
          <t>OUTLET</t>
        </is>
      </c>
      <c r="D310" s="1" t="inlineStr">
        <is>
          <t>HAIFENG</t>
        </is>
      </c>
      <c r="E310" s="6" t="n">
        <v>310</v>
      </c>
      <c r="F310" s="4" t="n">
        <v>0</v>
      </c>
      <c r="G310" s="1" t="inlineStr">
        <is>
          <t>active</t>
        </is>
      </c>
      <c r="H310" s="1" t="inlineStr">
        <is>
          <t>YA TIENE COSTO EN SHOPIFY ($126.73, heredado hoy)</t>
        </is>
      </c>
    </row>
    <row r="311">
      <c r="A311" s="1" t="inlineStr">
        <is>
          <t>3886385575564OUTLET</t>
        </is>
      </c>
      <c r="B311" s="1" t="inlineStr">
        <is>
          <t>COLLAR TREBOL SILVER BLACK</t>
        </is>
      </c>
      <c r="C311" s="1" t="inlineStr">
        <is>
          <t>45 CM OUTLET</t>
        </is>
      </c>
      <c r="D311" s="1" t="inlineStr">
        <is>
          <t>HAIFENG</t>
        </is>
      </c>
      <c r="E311" s="6" t="n">
        <v>705</v>
      </c>
      <c r="F311" s="4" t="n">
        <v>0</v>
      </c>
      <c r="G311" s="1" t="inlineStr">
        <is>
          <t>active</t>
        </is>
      </c>
      <c r="H311" s="1" t="inlineStr">
        <is>
          <t>YA TIENE COSTO EN SHOPIFY ($251.58, heredado hoy)</t>
        </is>
      </c>
    </row>
    <row r="312">
      <c r="A312" s="1" t="inlineStr">
        <is>
          <t>66745aa7a2ba6</t>
        </is>
      </c>
      <c r="B312" s="1" t="inlineStr">
        <is>
          <t>GARGANTILLA 10 TRÉBOLES GOLD BLACK</t>
        </is>
      </c>
      <c r="C312" s="1" t="inlineStr">
        <is>
          <t>10mm</t>
        </is>
      </c>
      <c r="D312" s="1" t="inlineStr">
        <is>
          <t>NANCY VIP</t>
        </is>
      </c>
      <c r="E312" s="6" t="n">
        <v>1090</v>
      </c>
      <c r="F312" s="4" t="n">
        <v>0</v>
      </c>
      <c r="G312" s="1" t="inlineStr">
        <is>
          <t>active</t>
        </is>
      </c>
      <c r="H312" s="1" t="inlineStr">
        <is>
          <t>YA TIENE COSTO EN SHOPIFY ($331.80, heredado hoy)</t>
        </is>
      </c>
    </row>
    <row r="313">
      <c r="A313" s="1" t="inlineStr">
        <is>
          <t>66745aa830c57</t>
        </is>
      </c>
      <c r="B313" s="1" t="inlineStr">
        <is>
          <t>GARGANTILLA 10 TRÉBOLES GOLD GREEN</t>
        </is>
      </c>
      <c r="C313" s="1" t="inlineStr">
        <is>
          <t>10mm</t>
        </is>
      </c>
      <c r="D313" s="1" t="inlineStr">
        <is>
          <t>NANCY VIP</t>
        </is>
      </c>
      <c r="E313" s="6" t="n">
        <v>1090</v>
      </c>
      <c r="F313" s="4" t="n">
        <v>0</v>
      </c>
      <c r="G313" s="1" t="inlineStr">
        <is>
          <t>active</t>
        </is>
      </c>
      <c r="H313" s="1" t="inlineStr">
        <is>
          <t>YA TIENE COSTO EN SHOPIFY ($331.80, heredado hoy)</t>
        </is>
      </c>
    </row>
    <row r="314">
      <c r="A314" s="1" t="inlineStr">
        <is>
          <t>91467121428897OULET</t>
        </is>
      </c>
      <c r="B314" s="1" t="inlineStr">
        <is>
          <t>PULSERA TRÉBOL GOLD WHITE VF</t>
        </is>
      </c>
      <c r="C314" s="1" t="inlineStr">
        <is>
          <t>18 CM OULET</t>
        </is>
      </c>
      <c r="D314" s="1" t="inlineStr">
        <is>
          <t>HAIFENG</t>
        </is>
      </c>
      <c r="E314" s="6" t="n">
        <v>1030</v>
      </c>
      <c r="F314" s="4" t="n">
        <v>0</v>
      </c>
      <c r="G314" s="1" t="inlineStr">
        <is>
          <t>active</t>
        </is>
      </c>
      <c r="H314" s="1" t="inlineStr">
        <is>
          <t>YA TIENE COSTO EN SHOPIFY ($140.00, heredado hoy)</t>
        </is>
      </c>
    </row>
    <row r="315">
      <c r="A315" s="1" t="inlineStr">
        <is>
          <t>67981321161773</t>
        </is>
      </c>
      <c r="B315" s="1" t="inlineStr">
        <is>
          <t>RELOJ SANTOS SILVER</t>
        </is>
      </c>
      <c r="C315" s="1" t="inlineStr">
        <is>
          <t>39mm Hombre sin caja</t>
        </is>
      </c>
      <c r="D315" s="1" t="inlineStr">
        <is>
          <t>ZOEY</t>
        </is>
      </c>
      <c r="E315" s="6" t="n">
        <v>3203</v>
      </c>
      <c r="F315" s="4" t="n">
        <v>0</v>
      </c>
      <c r="G315" s="1" t="inlineStr">
        <is>
          <t>active</t>
        </is>
      </c>
      <c r="H315" s="1" t="inlineStr">
        <is>
          <t>Falta el costo de compra (no está en ninguna tabla de precios)</t>
        </is>
      </c>
    </row>
    <row r="316">
      <c r="A316" s="1" t="inlineStr">
        <is>
          <t>47030502675980</t>
        </is>
      </c>
      <c r="B316" s="1" t="inlineStr">
        <is>
          <t>RELOJ PANTHERE SILVER</t>
        </is>
      </c>
      <c r="C316" s="1" t="inlineStr">
        <is>
          <t>Sin diamante OUTLET</t>
        </is>
      </c>
      <c r="D316" s="1" t="inlineStr">
        <is>
          <t>ZOEY</t>
        </is>
      </c>
      <c r="E316" s="6" t="n">
        <v>4250</v>
      </c>
      <c r="F316" s="4" t="n">
        <v>0</v>
      </c>
      <c r="G316" s="1" t="inlineStr">
        <is>
          <t>active</t>
        </is>
      </c>
      <c r="H316" s="1" t="inlineStr">
        <is>
          <t>YA TIENE COSTO EN SHOPIFY ($1474.12, heredado hoy)</t>
        </is>
      </c>
    </row>
    <row r="317">
      <c r="A317" s="1" t="inlineStr">
        <is>
          <t>84595861099021</t>
        </is>
      </c>
      <c r="B317" s="1" t="inlineStr">
        <is>
          <t>PULSERA ONE TRÉBOL GOLD WHITE</t>
        </is>
      </c>
      <c r="C317" s="1" t="inlineStr">
        <is>
          <t>17cm</t>
        </is>
      </c>
      <c r="D317" s="1" t="inlineStr">
        <is>
          <t>NANCY VIP</t>
        </is>
      </c>
      <c r="E317" s="6" t="n">
        <v>575</v>
      </c>
      <c r="F317" s="4" t="n">
        <v>0</v>
      </c>
      <c r="G317" s="1" t="inlineStr">
        <is>
          <t>active</t>
        </is>
      </c>
      <c r="H317" s="1" t="inlineStr">
        <is>
          <t>YA TIENE COSTO EN SHOPIFY ($111.80, heredado hoy)</t>
        </is>
      </c>
    </row>
    <row r="318">
      <c r="A318" s="1" t="inlineStr">
        <is>
          <t>63e0c58b953e6</t>
        </is>
      </c>
      <c r="B318" s="1" t="inlineStr">
        <is>
          <t>PULSERA LOVE DELGADA GOLD CON ZIRCONIA</t>
        </is>
      </c>
      <c r="C318" s="1" t="inlineStr">
        <is>
          <t>16cm</t>
        </is>
      </c>
      <c r="D318" s="1" t="inlineStr">
        <is>
          <t>COCOMA</t>
        </is>
      </c>
      <c r="E318" s="6" t="n">
        <v>499</v>
      </c>
      <c r="F318" s="4" t="n">
        <v>0</v>
      </c>
      <c r="G318" s="1" t="inlineStr">
        <is>
          <t>active</t>
        </is>
      </c>
      <c r="H318" s="1" t="inlineStr">
        <is>
          <t>Falta el costo de compra (no está en ninguna tabla de precios)</t>
        </is>
      </c>
    </row>
    <row r="319">
      <c r="A319" s="1" t="inlineStr">
        <is>
          <t>64385026cbd51</t>
        </is>
      </c>
      <c r="B319" s="1" t="inlineStr">
        <is>
          <t>PULSERA LOVE DELGADA GOLD CON ZIRCONIA</t>
        </is>
      </c>
      <c r="C319" s="1" t="inlineStr">
        <is>
          <t>17cm</t>
        </is>
      </c>
      <c r="D319" s="1" t="inlineStr">
        <is>
          <t>COCOMA</t>
        </is>
      </c>
      <c r="E319" s="6" t="n">
        <v>499</v>
      </c>
      <c r="F319" s="4" t="n">
        <v>0</v>
      </c>
      <c r="G319" s="1" t="inlineStr">
        <is>
          <t>active</t>
        </is>
      </c>
      <c r="H319" s="1" t="inlineStr">
        <is>
          <t>Falta el costo de compra (no está en ninguna tabla de precios)</t>
        </is>
      </c>
    </row>
    <row r="320">
      <c r="A320" s="1" t="inlineStr">
        <is>
          <t>643850286c71foutlet</t>
        </is>
      </c>
      <c r="B320" s="1" t="inlineStr">
        <is>
          <t>PULSERA LOVE DELGADA GOLD CON ZIRCONIA</t>
        </is>
      </c>
      <c r="C320" s="1" t="inlineStr">
        <is>
          <t>19cm OUTLET</t>
        </is>
      </c>
      <c r="D320" s="1" t="inlineStr">
        <is>
          <t>COCOMA</t>
        </is>
      </c>
      <c r="E320" s="6" t="n">
        <v>424</v>
      </c>
      <c r="F320" s="4" t="n">
        <v>0</v>
      </c>
      <c r="G320" s="1" t="inlineStr">
        <is>
          <t>active</t>
        </is>
      </c>
      <c r="H320" s="1" t="inlineStr">
        <is>
          <t>YA TIENE COSTO EN SHOPIFY ($103.00, heredado hoy)</t>
        </is>
      </c>
    </row>
    <row r="321">
      <c r="A321" s="1" t="inlineStr">
        <is>
          <t>31719921078925</t>
        </is>
      </c>
      <c r="B321" s="1" t="inlineStr">
        <is>
          <t>ANILLO LOVE CON ZIRCONIA ROSE GOLD</t>
        </is>
      </c>
      <c r="C321" s="1" t="inlineStr">
        <is>
          <t>7 OUTLET</t>
        </is>
      </c>
      <c r="D321" s="1" t="inlineStr">
        <is>
          <t>HAIFENG</t>
        </is>
      </c>
      <c r="E321" s="6" t="n">
        <v>175</v>
      </c>
      <c r="F321" s="4" t="n">
        <v>0</v>
      </c>
      <c r="G321" s="1" t="inlineStr">
        <is>
          <t>active</t>
        </is>
      </c>
      <c r="H321" s="1" t="inlineStr">
        <is>
          <t>YA TIENE COSTO EN SHOPIFY ($37.83, heredado hoy)</t>
        </is>
      </c>
    </row>
    <row r="322">
      <c r="A322" s="1" t="inlineStr">
        <is>
          <t>82224433367725</t>
        </is>
      </c>
      <c r="B322" s="1" t="inlineStr">
        <is>
          <t>BRAZALETE PANTHERE GOLD</t>
        </is>
      </c>
      <c r="C322" s="1" t="inlineStr">
        <is>
          <t>17cm</t>
        </is>
      </c>
      <c r="D322" s="1" t="inlineStr">
        <is>
          <t>HAIFENG</t>
        </is>
      </c>
      <c r="E322" s="6" t="n">
        <v>850</v>
      </c>
      <c r="F322" s="4" t="n">
        <v>0</v>
      </c>
      <c r="G322" s="1" t="inlineStr">
        <is>
          <t>active</t>
        </is>
      </c>
      <c r="H322" s="1" t="inlineStr">
        <is>
          <t>Falta el costo de compra (no está en ninguna tabla de precios)</t>
        </is>
      </c>
    </row>
    <row r="323">
      <c r="A323" s="1" t="inlineStr">
        <is>
          <t>65308731076077</t>
        </is>
      </c>
      <c r="B323" s="1" t="inlineStr">
        <is>
          <t>PULSERA CLAVO ROSEGOLD</t>
        </is>
      </c>
      <c r="C323" s="1" t="inlineStr">
        <is>
          <t>17CM OUTLET</t>
        </is>
      </c>
      <c r="D323" s="1" t="inlineStr">
        <is>
          <t>NANCY VIP</t>
        </is>
      </c>
      <c r="E323" s="6" t="n">
        <v>300</v>
      </c>
      <c r="F323" s="4" t="n">
        <v>0</v>
      </c>
      <c r="G323" s="1" t="inlineStr">
        <is>
          <t>active</t>
        </is>
      </c>
      <c r="H323" s="1" t="inlineStr">
        <is>
          <t>YA TIENE COSTO EN SHOPIFY ($80.01, heredado hoy)</t>
        </is>
      </c>
    </row>
    <row r="324">
      <c r="A324" s="1" t="inlineStr">
        <is>
          <t>47303051032717</t>
        </is>
      </c>
      <c r="B324" s="1" t="inlineStr">
        <is>
          <t>PULSERA LOVE DELGADA SILVER</t>
        </is>
      </c>
      <c r="C324" s="1" t="inlineStr">
        <is>
          <t>16cm OUTLET</t>
        </is>
      </c>
      <c r="D324" s="1" t="inlineStr">
        <is>
          <t>HAIFENG</t>
        </is>
      </c>
      <c r="E324" s="6" t="n">
        <v>399</v>
      </c>
      <c r="F324" s="4" t="n">
        <v>0</v>
      </c>
      <c r="G324" s="1" t="inlineStr">
        <is>
          <t>active</t>
        </is>
      </c>
      <c r="H324" s="1" t="inlineStr">
        <is>
          <t>YA TIENE COSTO EN SHOPIFY ($103.05, heredado hoy)</t>
        </is>
      </c>
    </row>
    <row r="325">
      <c r="A325" s="1" t="inlineStr">
        <is>
          <t>11244961026477</t>
        </is>
      </c>
      <c r="B325" s="1" t="inlineStr">
        <is>
          <t>PULSERA LOVE DELGADA SILVER</t>
        </is>
      </c>
      <c r="C325" s="1" t="inlineStr">
        <is>
          <t>18cm OUTLET</t>
        </is>
      </c>
      <c r="D325" s="1" t="inlineStr">
        <is>
          <t>HAIFENG</t>
        </is>
      </c>
      <c r="E325" s="6" t="n">
        <v>350</v>
      </c>
      <c r="F325" s="4" t="n">
        <v>0</v>
      </c>
      <c r="G325" s="1" t="inlineStr">
        <is>
          <t>active</t>
        </is>
      </c>
      <c r="H325" s="1" t="inlineStr">
        <is>
          <t>YA TIENE COSTO EN SHOPIFY ($105.23, heredado hoy)</t>
        </is>
      </c>
    </row>
    <row r="326">
      <c r="A326" s="1" t="inlineStr">
        <is>
          <t>12039751093037</t>
        </is>
      </c>
      <c r="B326" s="1" t="inlineStr">
        <is>
          <t>PULSERA LOVE DELGADA GOLD</t>
        </is>
      </c>
      <c r="C326" s="1" t="inlineStr">
        <is>
          <t>17 cm OUTLET</t>
        </is>
      </c>
      <c r="D326" s="1" t="inlineStr">
        <is>
          <t>HAIFENG</t>
        </is>
      </c>
      <c r="E326" s="6" t="n">
        <v>250</v>
      </c>
      <c r="F326" s="4" t="n">
        <v>0</v>
      </c>
      <c r="G326" s="1" t="inlineStr">
        <is>
          <t>active</t>
        </is>
      </c>
      <c r="H326" s="1" t="inlineStr">
        <is>
          <t>YA TIENE COSTO EN SHOPIFY ($102.05, heredado hoy)</t>
        </is>
      </c>
    </row>
    <row r="327">
      <c r="A327" s="1" t="inlineStr">
        <is>
          <t>26976751042349</t>
        </is>
      </c>
      <c r="B327" s="1" t="inlineStr">
        <is>
          <t>PULSERA DE TELA TRES AROS RED</t>
        </is>
      </c>
      <c r="C327" s="1" t="inlineStr">
        <is>
          <t>OUTLET</t>
        </is>
      </c>
      <c r="D327" s="1" t="inlineStr">
        <is>
          <t>HAIFENG</t>
        </is>
      </c>
      <c r="E327" s="6" t="n">
        <v>339</v>
      </c>
      <c r="F327" s="4" t="n">
        <v>0</v>
      </c>
      <c r="G327" s="1" t="inlineStr">
        <is>
          <t>active</t>
        </is>
      </c>
      <c r="H327" s="1" t="inlineStr">
        <is>
          <t>YA TIENE COSTO EN SHOPIFY ($97.39, heredado hoy)</t>
        </is>
      </c>
    </row>
    <row r="328">
      <c r="A328" s="1" t="inlineStr">
        <is>
          <t>66177448db93eOULET</t>
        </is>
      </c>
      <c r="B328" s="1" t="inlineStr">
        <is>
          <t>PULSERA TRÉBOL GOLD-GREEN VF</t>
        </is>
      </c>
      <c r="C328" s="1" t="inlineStr">
        <is>
          <t>18cm OUTLET</t>
        </is>
      </c>
      <c r="D328" s="1" t="inlineStr">
        <is>
          <t>HAIFENG</t>
        </is>
      </c>
      <c r="E328" s="6" t="n">
        <v>400</v>
      </c>
      <c r="F328" s="4" t="n">
        <v>0</v>
      </c>
      <c r="G328" s="1" t="inlineStr">
        <is>
          <t>active</t>
        </is>
      </c>
      <c r="H328" s="1" t="inlineStr">
        <is>
          <t>YA TIENE COSTO EN SHOPIFY ($147.15, heredado hoy)</t>
        </is>
      </c>
    </row>
    <row r="329">
      <c r="A329" s="1" t="inlineStr">
        <is>
          <t>66745adb8510f-2</t>
        </is>
      </c>
      <c r="B329" s="1" t="inlineStr">
        <is>
          <t>GARGANTILLA 10 TRÉBOLES SILVER BLACK</t>
        </is>
      </c>
      <c r="C329" s="1" t="inlineStr">
        <is>
          <t>10mm</t>
        </is>
      </c>
      <c r="D329" s="1" t="inlineStr">
        <is>
          <t>NANCY VIP</t>
        </is>
      </c>
      <c r="E329" s="6" t="n">
        <v>1090</v>
      </c>
      <c r="F329" s="4" t="n">
        <v>0</v>
      </c>
      <c r="G329" s="1" t="inlineStr">
        <is>
          <t>active</t>
        </is>
      </c>
      <c r="H329" s="1" t="inlineStr">
        <is>
          <t>YA TIENE COSTO EN SHOPIFY ($345.35, heredado hoy)</t>
        </is>
      </c>
    </row>
    <row r="330">
      <c r="A330" s="1" t="inlineStr">
        <is>
          <t>66745adaed579</t>
        </is>
      </c>
      <c r="B330" s="1" t="inlineStr">
        <is>
          <t>GARGANTILLA 10 TRÉBOLES GOLD RED</t>
        </is>
      </c>
      <c r="C330" s="1" t="inlineStr">
        <is>
          <t>10mm</t>
        </is>
      </c>
      <c r="D330" s="1" t="inlineStr">
        <is>
          <t>NANCY VIP</t>
        </is>
      </c>
      <c r="E330" s="6" t="n">
        <v>1090</v>
      </c>
      <c r="F330" s="4" t="n">
        <v>0</v>
      </c>
      <c r="G330" s="1" t="inlineStr">
        <is>
          <t>active</t>
        </is>
      </c>
      <c r="H330" s="1" t="inlineStr">
        <is>
          <t>YA TIENE COSTO EN SHOPIFY ($345.45, heredado hoy)</t>
        </is>
      </c>
    </row>
    <row r="331">
      <c r="A331" s="1" t="inlineStr">
        <is>
          <t>66177b50250a5outlet</t>
        </is>
      </c>
      <c r="B331" s="1" t="inlineStr">
        <is>
          <t>COLLAR TREBOL SILVER WHITE</t>
        </is>
      </c>
      <c r="C331" s="1" t="inlineStr">
        <is>
          <t>45 cm Outlet</t>
        </is>
      </c>
      <c r="D331" s="1" t="inlineStr">
        <is>
          <t>HAIFENG</t>
        </is>
      </c>
      <c r="E331" s="6" t="n">
        <v>659</v>
      </c>
      <c r="F331" s="4" t="n">
        <v>0</v>
      </c>
      <c r="G331" s="1" t="inlineStr">
        <is>
          <t>active</t>
        </is>
      </c>
      <c r="H331" s="1" t="inlineStr">
        <is>
          <t>YA TIENE COSTO EN SHOPIFY ($167.63, heredado hoy)</t>
        </is>
      </c>
    </row>
    <row r="332">
      <c r="A332" s="1" t="inlineStr">
        <is>
          <t>661784a3704f4outlet</t>
        </is>
      </c>
      <c r="B332" s="1" t="inlineStr">
        <is>
          <t>ARETES TRÉBOL SILVER WHITE</t>
        </is>
      </c>
      <c r="C332" s="1" t="inlineStr">
        <is>
          <t>Outlet</t>
        </is>
      </c>
      <c r="D332" s="1" t="inlineStr">
        <is>
          <t>HAIFENG</t>
        </is>
      </c>
      <c r="E332" s="6" t="n">
        <v>550</v>
      </c>
      <c r="F332" s="4" t="n">
        <v>0</v>
      </c>
      <c r="G332" s="1" t="inlineStr">
        <is>
          <t>active</t>
        </is>
      </c>
      <c r="H332" s="1" t="inlineStr">
        <is>
          <t>YA TIENE COSTO EN SHOPIFY ($234.74, heredado hoy)</t>
        </is>
      </c>
    </row>
    <row r="333">
      <c r="A333" s="1" t="inlineStr">
        <is>
          <t>82224432713517</t>
        </is>
      </c>
      <c r="B333" s="1" t="inlineStr">
        <is>
          <t>COLLAR FLOWER VF</t>
        </is>
      </c>
      <c r="C333" s="1" t="inlineStr">
        <is>
          <t>OUTLET</t>
        </is>
      </c>
      <c r="D333" s="1" t="inlineStr">
        <is>
          <t>HAIFENG</t>
        </is>
      </c>
      <c r="E333" s="6" t="n">
        <v>216.3</v>
      </c>
      <c r="F333" s="4" t="n">
        <v>0</v>
      </c>
      <c r="G333" s="1" t="inlineStr">
        <is>
          <t>active</t>
        </is>
      </c>
      <c r="H333" s="1" t="inlineStr">
        <is>
          <t>YA TIENE COSTO EN SHOPIFY ($105.72, heredado hoy)</t>
        </is>
      </c>
    </row>
    <row r="334">
      <c r="A334" s="1" t="inlineStr">
        <is>
          <t>53890267165197</t>
        </is>
      </c>
      <c r="B334" s="1" t="inlineStr">
        <is>
          <t>RELOJ PANTHERE GOLD</t>
        </is>
      </c>
      <c r="C334" s="1" t="inlineStr">
        <is>
          <t>RELOJ CON CAJA</t>
        </is>
      </c>
      <c r="D334" s="1" t="inlineStr">
        <is>
          <t>ZOEY</t>
        </is>
      </c>
      <c r="E334" s="6" t="n">
        <v>6149</v>
      </c>
      <c r="F334" s="4" t="n">
        <v>0</v>
      </c>
      <c r="G334" s="1" t="inlineStr">
        <is>
          <t>active</t>
        </is>
      </c>
      <c r="H334" s="1" t="inlineStr">
        <is>
          <t>YA TIENE COSTO EN SHOPIFY ($1536.53, heredado hoy)</t>
        </is>
      </c>
    </row>
    <row r="335">
      <c r="A335" s="1" t="inlineStr">
        <is>
          <t>88672371055661</t>
        </is>
      </c>
      <c r="B335" s="1" t="inlineStr">
        <is>
          <t>PULSERA LOVE SILVER</t>
        </is>
      </c>
      <c r="C335" s="1" t="inlineStr">
        <is>
          <t>19cm OUTLET</t>
        </is>
      </c>
      <c r="D335" s="1" t="inlineStr">
        <is>
          <t>HAIFENG</t>
        </is>
      </c>
      <c r="E335" s="6" t="n">
        <v>424</v>
      </c>
      <c r="F335" s="4" t="n">
        <v>0</v>
      </c>
      <c r="G335" s="1" t="inlineStr">
        <is>
          <t>active</t>
        </is>
      </c>
      <c r="H335" s="1" t="inlineStr">
        <is>
          <t>YA TIENE COSTO EN SHOPIFY ($94.56, heredado hoy)</t>
        </is>
      </c>
    </row>
    <row r="336">
      <c r="A336" s="1" t="inlineStr">
        <is>
          <t>37704641046317</t>
        </is>
      </c>
      <c r="B336" s="1" t="inlineStr">
        <is>
          <t>ANILLO LOVE GOLD ANCHO</t>
        </is>
      </c>
      <c r="C336" s="1" t="inlineStr">
        <is>
          <t>11 OUTLET</t>
        </is>
      </c>
      <c r="D336" s="1" t="inlineStr">
        <is>
          <t>HAIFENG</t>
        </is>
      </c>
      <c r="E336" s="6" t="n">
        <v>300</v>
      </c>
      <c r="F336" s="4" t="n">
        <v>0</v>
      </c>
      <c r="G336" s="1" t="inlineStr">
        <is>
          <t>active</t>
        </is>
      </c>
      <c r="H336" s="1" t="inlineStr">
        <is>
          <t>YA TIENE COSTO EN SHOPIFY ($38.11, heredado hoy)</t>
        </is>
      </c>
    </row>
    <row r="337">
      <c r="A337" s="1" t="inlineStr">
        <is>
          <t>90774791010957</t>
        </is>
      </c>
      <c r="B337" s="1" t="inlineStr">
        <is>
          <t>ANILLO LOVE GOLD ANCHO</t>
        </is>
      </c>
      <c r="C337" s="1" t="inlineStr">
        <is>
          <t>5 OUTLET</t>
        </is>
      </c>
      <c r="D337" s="1" t="inlineStr">
        <is>
          <t>HAIFENG</t>
        </is>
      </c>
      <c r="E337" s="6" t="n">
        <v>329</v>
      </c>
      <c r="F337" s="4" t="n">
        <v>0</v>
      </c>
      <c r="G337" s="1" t="inlineStr">
        <is>
          <t>active</t>
        </is>
      </c>
      <c r="H337" s="1" t="inlineStr">
        <is>
          <t>YA TIENE COSTO EN SHOPIFY ($38.01, heredado hoy)</t>
        </is>
      </c>
    </row>
    <row r="338">
      <c r="A338" s="1" t="inlineStr">
        <is>
          <t>12312341052653</t>
        </is>
      </c>
      <c r="B338" s="1" t="inlineStr">
        <is>
          <t>ANILLO TRES AROS</t>
        </is>
      </c>
      <c r="C338" s="1" t="n">
        <v>4</v>
      </c>
      <c r="D338" s="1" t="inlineStr">
        <is>
          <t>HAIFENG</t>
        </is>
      </c>
      <c r="E338" s="6" t="n">
        <v>650</v>
      </c>
      <c r="F338" s="4" t="n">
        <v>0</v>
      </c>
      <c r="G338" s="1" t="inlineStr">
        <is>
          <t>active</t>
        </is>
      </c>
      <c r="H338" s="1" t="inlineStr">
        <is>
          <t>YA TIENE COSTO EN SHOPIFY ($94.00, heredado hoy)</t>
        </is>
      </c>
    </row>
    <row r="339">
      <c r="A339" s="1" t="inlineStr">
        <is>
          <t>23431491032365</t>
        </is>
      </c>
      <c r="B339" s="1" t="inlineStr">
        <is>
          <t>ANILLO TRES AROS</t>
        </is>
      </c>
      <c r="C339" s="1" t="inlineStr">
        <is>
          <t>5 OUTLET</t>
        </is>
      </c>
      <c r="D339" s="1" t="inlineStr">
        <is>
          <t>HAIFENG</t>
        </is>
      </c>
      <c r="E339" s="6" t="n">
        <v>400</v>
      </c>
      <c r="F339" s="4" t="n">
        <v>0</v>
      </c>
      <c r="G339" s="1" t="inlineStr">
        <is>
          <t>active</t>
        </is>
      </c>
      <c r="H339" s="1" t="inlineStr">
        <is>
          <t>YA TIENE COSTO EN SHOPIFY ($98.82, heredado hoy)</t>
        </is>
      </c>
    </row>
    <row r="340">
      <c r="A340" s="1" t="inlineStr">
        <is>
          <t>37491253854988</t>
        </is>
      </c>
      <c r="B340" s="1" t="inlineStr">
        <is>
          <t>PULSERA DE TELA TRES AROS DARK BLUE</t>
        </is>
      </c>
      <c r="C340" s="1" t="inlineStr">
        <is>
          <t>OUTLET</t>
        </is>
      </c>
      <c r="D340" s="1" t="inlineStr">
        <is>
          <t>HAIFENG</t>
        </is>
      </c>
      <c r="E340" s="6" t="n">
        <v>199.5</v>
      </c>
      <c r="F340" s="4" t="n">
        <v>0</v>
      </c>
      <c r="G340" s="1" t="inlineStr">
        <is>
          <t>active</t>
        </is>
      </c>
      <c r="H340" s="1" t="inlineStr">
        <is>
          <t>YA TIENE COSTO EN SHOPIFY ($105.16, heredado hoy)</t>
        </is>
      </c>
    </row>
    <row r="341">
      <c r="A341" s="1" t="inlineStr">
        <is>
          <t>43728110173420</t>
        </is>
      </c>
      <c r="B341" s="1" t="inlineStr">
        <is>
          <t>PULSERA CLAVO GOLD CON ZIRCONIA</t>
        </is>
      </c>
      <c r="C341" s="1" t="inlineStr">
        <is>
          <t>17cm OUTLET</t>
        </is>
      </c>
      <c r="D341" s="1" t="inlineStr">
        <is>
          <t>NANCY VIP</t>
        </is>
      </c>
      <c r="E341" s="6" t="n">
        <v>200</v>
      </c>
      <c r="F341" s="4" t="n">
        <v>0</v>
      </c>
      <c r="G341" s="1" t="inlineStr">
        <is>
          <t>active</t>
        </is>
      </c>
      <c r="H341" s="1" t="inlineStr">
        <is>
          <t>YA TIENE COSTO EN SHOPIFY ($94.79, heredado hoy)</t>
        </is>
      </c>
    </row>
    <row r="342">
      <c r="A342" s="1" t="inlineStr">
        <is>
          <t>46329491081133OUTLET</t>
        </is>
      </c>
      <c r="B342" s="1" t="inlineStr">
        <is>
          <t>PULSERA CLAVO GOLD CON ZIRCONIA</t>
        </is>
      </c>
      <c r="C342" s="1" t="inlineStr">
        <is>
          <t>19 cm OUTLET</t>
        </is>
      </c>
      <c r="D342" s="1" t="inlineStr">
        <is>
          <t>NANCY VIP</t>
        </is>
      </c>
      <c r="E342" s="6" t="n">
        <v>200</v>
      </c>
      <c r="F342" s="4" t="n">
        <v>0</v>
      </c>
      <c r="G342" s="1" t="inlineStr">
        <is>
          <t>active</t>
        </is>
      </c>
      <c r="H342" s="1" t="inlineStr">
        <is>
          <t>YA TIENE COSTO EN SHOPIFY ($94.51, heredado hoy)</t>
        </is>
      </c>
    </row>
    <row r="343">
      <c r="A343" s="1" t="inlineStr">
        <is>
          <t>25661061016109</t>
        </is>
      </c>
      <c r="B343" s="1" t="inlineStr">
        <is>
          <t>PULSERA CLAVO SILVER CON ZIRCONIA</t>
        </is>
      </c>
      <c r="C343" s="1" t="inlineStr">
        <is>
          <t>17CM OUTLET</t>
        </is>
      </c>
      <c r="D343" s="1" t="inlineStr">
        <is>
          <t>NANCY VIP</t>
        </is>
      </c>
      <c r="E343" s="6" t="n">
        <v>389</v>
      </c>
      <c r="F343" s="4" t="n">
        <v>0</v>
      </c>
      <c r="G343" s="1" t="inlineStr">
        <is>
          <t>active</t>
        </is>
      </c>
      <c r="H343" s="1" t="inlineStr">
        <is>
          <t>YA TIENE COSTO EN SHOPIFY ($93.93, heredado hoy)</t>
        </is>
      </c>
    </row>
    <row r="344">
      <c r="A344" s="1" t="inlineStr">
        <is>
          <t>6438502cb919a</t>
        </is>
      </c>
      <c r="B344" s="1" t="inlineStr">
        <is>
          <t>PULSERA LOVE DELGADA ROSE GOLD CON ZIRCONIA</t>
        </is>
      </c>
      <c r="C344" s="1" t="inlineStr">
        <is>
          <t>17 cm</t>
        </is>
      </c>
      <c r="D344" s="1" t="inlineStr">
        <is>
          <t>COCOMA</t>
        </is>
      </c>
      <c r="E344" s="6" t="n">
        <v>350</v>
      </c>
      <c r="F344" s="4" t="n">
        <v>0</v>
      </c>
      <c r="G344" s="1" t="inlineStr">
        <is>
          <t>active</t>
        </is>
      </c>
      <c r="H344" s="1" t="inlineStr">
        <is>
          <t>YA TIENE COSTO EN SHOPIFY ($103.00, heredado hoy)</t>
        </is>
      </c>
    </row>
    <row r="345">
      <c r="A345" s="1" t="inlineStr">
        <is>
          <t>55847511080141</t>
        </is>
      </c>
      <c r="B345" s="1" t="inlineStr">
        <is>
          <t>PULSERA CLAVO ROSE GOLD DELGADA</t>
        </is>
      </c>
      <c r="C345" s="1" t="inlineStr">
        <is>
          <t>17CM OUTLET</t>
        </is>
      </c>
      <c r="D345" s="1" t="inlineStr">
        <is>
          <t>NANCY VIP</t>
        </is>
      </c>
      <c r="E345" s="6" t="n">
        <v>408</v>
      </c>
      <c r="F345" s="4" t="n">
        <v>0</v>
      </c>
      <c r="G345" s="1" t="inlineStr">
        <is>
          <t>active</t>
        </is>
      </c>
      <c r="H345" s="1" t="inlineStr">
        <is>
          <t>YA TIENE COSTO EN SHOPIFY ($70.29, heredado hoy)</t>
        </is>
      </c>
    </row>
    <row r="346">
      <c r="A346" s="1" t="inlineStr">
        <is>
          <t>66176c9419a78</t>
        </is>
      </c>
      <c r="B346" s="1" t="inlineStr">
        <is>
          <t>ANILLO LOVE GOLD ANCHO CON ZIRCONIA</t>
        </is>
      </c>
      <c r="C346" s="1" t="n">
        <v>11</v>
      </c>
      <c r="D346" s="1" t="inlineStr">
        <is>
          <t>HAIFENG</t>
        </is>
      </c>
      <c r="E346" s="6" t="n">
        <v>450</v>
      </c>
      <c r="F346" s="4" t="n">
        <v>0</v>
      </c>
      <c r="G346" s="1" t="inlineStr">
        <is>
          <t>active</t>
        </is>
      </c>
      <c r="H346" s="1" t="inlineStr">
        <is>
          <t>YA TIENE COSTO EN SHOPIFY ($36.00, heredado hoy)</t>
        </is>
      </c>
    </row>
    <row r="347">
      <c r="A347" s="1" t="inlineStr">
        <is>
          <t>66176c91b3d77oulet</t>
        </is>
      </c>
      <c r="B347" s="1" t="inlineStr">
        <is>
          <t>ANILLO LOVE GOLD ANCHO CON ZIRCONIA</t>
        </is>
      </c>
      <c r="C347" s="1" t="inlineStr">
        <is>
          <t>Talla 7 OUTLET</t>
        </is>
      </c>
      <c r="D347" s="1" t="inlineStr">
        <is>
          <t>HAIFENG</t>
        </is>
      </c>
      <c r="E347" s="6" t="n">
        <v>400</v>
      </c>
      <c r="F347" s="4" t="n">
        <v>0</v>
      </c>
      <c r="G347" s="1" t="inlineStr">
        <is>
          <t>active</t>
        </is>
      </c>
      <c r="H347" s="1" t="inlineStr">
        <is>
          <t>YA TIENE COSTO EN SHOPIFY ($37.99, heredado hoy)</t>
        </is>
      </c>
    </row>
    <row r="348">
      <c r="A348" s="1" t="inlineStr">
        <is>
          <t>24318331076269</t>
        </is>
      </c>
      <c r="B348" s="1" t="inlineStr">
        <is>
          <t>PULSERA LOVE GOLD</t>
        </is>
      </c>
      <c r="C348" s="1" t="inlineStr">
        <is>
          <t>18 CM OUTLET</t>
        </is>
      </c>
      <c r="D348" s="1" t="inlineStr">
        <is>
          <t>HAIFENG</t>
        </is>
      </c>
      <c r="E348" s="6" t="n">
        <v>249.5</v>
      </c>
      <c r="F348" s="4" t="n">
        <v>0</v>
      </c>
      <c r="G348" s="1" t="inlineStr">
        <is>
          <t>active</t>
        </is>
      </c>
      <c r="H348" s="1" t="inlineStr">
        <is>
          <t>YA TIENE COSTO EN SHOPIFY ($94.79, heredado hoy)</t>
        </is>
      </c>
    </row>
    <row r="349">
      <c r="A349" s="1" t="inlineStr">
        <is>
          <t>66593bc7b3547</t>
        </is>
      </c>
      <c r="B349" s="1" t="inlineStr">
        <is>
          <t>ANILLO LOVE ROSE GOLD ANCHO CON ZIRCONIA</t>
        </is>
      </c>
      <c r="C349" s="1" t="n">
        <v>6</v>
      </c>
      <c r="D349" s="1" t="inlineStr">
        <is>
          <t>HAIFENG</t>
        </is>
      </c>
      <c r="E349" s="6" t="n">
        <v>250</v>
      </c>
      <c r="F349" s="4" t="n">
        <v>0</v>
      </c>
      <c r="G349" s="1" t="inlineStr">
        <is>
          <t>active</t>
        </is>
      </c>
      <c r="H349" s="1" t="inlineStr">
        <is>
          <t>YA TIENE COSTO EN SHOPIFY ($36.00, heredado hoy)</t>
        </is>
      </c>
    </row>
    <row r="350">
      <c r="A350" s="1" t="inlineStr">
        <is>
          <t>66593bc7b3547oulet</t>
        </is>
      </c>
      <c r="B350" s="1" t="inlineStr">
        <is>
          <t>ANILLO LOVE ROSE GOLD ANCHO CON ZIRCONIA</t>
        </is>
      </c>
      <c r="C350" s="1" t="inlineStr">
        <is>
          <t>Talla 6 OUTLET</t>
        </is>
      </c>
      <c r="D350" s="1" t="inlineStr">
        <is>
          <t>HAIFENG</t>
        </is>
      </c>
      <c r="E350" s="6" t="n">
        <v>97</v>
      </c>
      <c r="F350" s="4" t="n">
        <v>0</v>
      </c>
      <c r="G350" s="1" t="inlineStr">
        <is>
          <t>active</t>
        </is>
      </c>
      <c r="H350" s="1" t="inlineStr">
        <is>
          <t>YA TIENE COSTO EN SHOPIFY ($37.86, heredado hoy)</t>
        </is>
      </c>
    </row>
    <row r="351">
      <c r="A351" s="1" t="inlineStr">
        <is>
          <t>16171491087469</t>
        </is>
      </c>
      <c r="B351" s="1" t="inlineStr">
        <is>
          <t>PULSERA LOVE CON ZIRCONIAS SILVER</t>
        </is>
      </c>
      <c r="C351" s="1" t="inlineStr">
        <is>
          <t>17 cm OUTLET</t>
        </is>
      </c>
      <c r="D351" s="1" t="inlineStr">
        <is>
          <t>HAIFENG</t>
        </is>
      </c>
      <c r="E351" s="6" t="n">
        <v>449</v>
      </c>
      <c r="F351" s="4" t="n">
        <v>0</v>
      </c>
      <c r="G351" s="1" t="inlineStr">
        <is>
          <t>active</t>
        </is>
      </c>
      <c r="H351" s="1" t="inlineStr">
        <is>
          <t>YA TIENE COSTO EN SHOPIFY ($103.00, heredado hoy)</t>
        </is>
      </c>
    </row>
    <row r="352">
      <c r="A352" s="1" t="inlineStr">
        <is>
          <t>63e0c53d10478</t>
        </is>
      </c>
      <c r="B352" s="1" t="inlineStr">
        <is>
          <t>PULSERA LOVE CON ZIRCONIA SILVER</t>
        </is>
      </c>
      <c r="C352" s="1" t="inlineStr">
        <is>
          <t>17 cm</t>
        </is>
      </c>
      <c r="D352" s="1" t="inlineStr">
        <is>
          <t>HAIFENG</t>
        </is>
      </c>
      <c r="E352" s="6" t="n">
        <v>499</v>
      </c>
      <c r="F352" s="4" t="n">
        <v>0</v>
      </c>
      <c r="G352" s="1" t="inlineStr">
        <is>
          <t>active</t>
        </is>
      </c>
      <c r="H352" s="1" t="inlineStr">
        <is>
          <t>YA TIENE COSTO EN SHOPIFY ($90.00, heredado hoy)</t>
        </is>
      </c>
    </row>
    <row r="353">
      <c r="A353" s="1" t="inlineStr">
        <is>
          <t>63e0c53e8fd24</t>
        </is>
      </c>
      <c r="B353" s="1" t="inlineStr">
        <is>
          <t>PULSERA LOVE CON ZIRCONIA SILVER</t>
        </is>
      </c>
      <c r="C353" s="1" t="inlineStr">
        <is>
          <t>18 cm</t>
        </is>
      </c>
      <c r="D353" s="1" t="inlineStr">
        <is>
          <t>HAIFENG</t>
        </is>
      </c>
      <c r="E353" s="6" t="n">
        <v>499</v>
      </c>
      <c r="F353" s="4" t="n">
        <v>0</v>
      </c>
      <c r="G353" s="1" t="inlineStr">
        <is>
          <t>active</t>
        </is>
      </c>
      <c r="H353" s="1" t="inlineStr">
        <is>
          <t>YA TIENE COSTO EN SHOPIFY ($90.00, heredado hoy)</t>
        </is>
      </c>
    </row>
    <row r="354">
      <c r="A354" s="1" t="inlineStr">
        <is>
          <t>33706041049037</t>
        </is>
      </c>
      <c r="B354" s="1" t="inlineStr">
        <is>
          <t>PULSERA LOVE CON ZIRCONIA GOLD</t>
        </is>
      </c>
      <c r="C354" s="1" t="inlineStr">
        <is>
          <t>16cm OUTLET</t>
        </is>
      </c>
      <c r="D354" s="1" t="inlineStr">
        <is>
          <t>HAIFENG</t>
        </is>
      </c>
      <c r="E354" s="6" t="n">
        <v>349</v>
      </c>
      <c r="F354" s="4" t="n">
        <v>0</v>
      </c>
      <c r="G354" s="1" t="inlineStr">
        <is>
          <t>active</t>
        </is>
      </c>
      <c r="H354" s="1" t="inlineStr">
        <is>
          <t>YA TIENE COSTO EN SHOPIFY ($94.54, heredado hoy)</t>
        </is>
      </c>
    </row>
    <row r="355">
      <c r="A355" s="1" t="inlineStr">
        <is>
          <t>14139090074764</t>
        </is>
      </c>
      <c r="B355" s="1" t="inlineStr">
        <is>
          <t>BOLSO DE VIAJE C TRIOMPHE</t>
        </is>
      </c>
      <c r="C355" s="1" t="inlineStr">
        <is>
          <t>50cm x 25cm x 23cm</t>
        </is>
      </c>
      <c r="D355" s="1" t="inlineStr">
        <is>
          <t>ZOEY</t>
        </is>
      </c>
      <c r="E355" s="6" t="n">
        <v>3500</v>
      </c>
      <c r="F355" s="4" t="n">
        <v>0</v>
      </c>
      <c r="G355" s="1" t="inlineStr">
        <is>
          <t>active</t>
        </is>
      </c>
      <c r="H355" s="1" t="inlineStr">
        <is>
          <t>YA TIENE COSTO EN SHOPIFY ($1300.00, heredado hoy)</t>
        </is>
      </c>
    </row>
    <row r="356">
      <c r="A356" s="1" t="inlineStr">
        <is>
          <t>14139096923276</t>
        </is>
      </c>
      <c r="B356" s="1" t="inlineStr">
        <is>
          <t>BOLSO DE VIAJE C TRIOMPHE</t>
        </is>
      </c>
      <c r="C356" s="1" t="inlineStr">
        <is>
          <t>OUTLET</t>
        </is>
      </c>
      <c r="D356" s="1" t="inlineStr">
        <is>
          <t>ZOEY</t>
        </is>
      </c>
      <c r="E356" s="6" t="n">
        <v>2500</v>
      </c>
      <c r="F356" s="4" t="n">
        <v>0</v>
      </c>
      <c r="G356" s="1" t="inlineStr">
        <is>
          <t>active</t>
        </is>
      </c>
      <c r="H356" s="1" t="inlineStr">
        <is>
          <t>YA TIENE COSTO EN SHOPIFY ($1300.00, heredado hoy)</t>
        </is>
      </c>
    </row>
    <row r="357">
      <c r="A357" s="1" t="inlineStr">
        <is>
          <t>77763969765644</t>
        </is>
      </c>
      <c r="B357" s="1" t="inlineStr">
        <is>
          <t>PERFUME JADORE</t>
        </is>
      </c>
      <c r="C357" s="1" t="inlineStr">
        <is>
          <t>100ml</t>
        </is>
      </c>
      <c r="D357" s="1" t="inlineStr">
        <is>
          <t>ZOEY</t>
        </is>
      </c>
      <c r="E357" s="6" t="n">
        <v>1234</v>
      </c>
      <c r="F357" s="4" t="n">
        <v>0</v>
      </c>
      <c r="G357" s="1" t="inlineStr">
        <is>
          <t>active</t>
        </is>
      </c>
      <c r="H357" s="1" t="inlineStr">
        <is>
          <t>Falta el costo de compra (no está en ninguna tabla de precios)</t>
        </is>
      </c>
    </row>
    <row r="358">
      <c r="A358" s="1" t="inlineStr">
        <is>
          <t>77944125743116</t>
        </is>
      </c>
      <c r="B358" s="1" t="inlineStr">
        <is>
          <t>VESTIDO A BACKSPIN</t>
        </is>
      </c>
      <c r="C358" s="1" t="inlineStr">
        <is>
          <t>S</t>
        </is>
      </c>
      <c r="D358" s="1" t="inlineStr">
        <is>
          <t>ZOEY</t>
        </is>
      </c>
      <c r="E358" s="6" t="n">
        <v>2059</v>
      </c>
      <c r="F358" s="4" t="n">
        <v>0</v>
      </c>
      <c r="G358" s="1" t="inlineStr">
        <is>
          <t>active</t>
        </is>
      </c>
      <c r="H358" s="1" t="inlineStr">
        <is>
          <t>YA TIENE COSTO EN SHOPIFY ($588.29, heredado hoy)</t>
        </is>
      </c>
    </row>
    <row r="359">
      <c r="A359" s="1" t="inlineStr">
        <is>
          <t>77590344881420</t>
        </is>
      </c>
      <c r="B359" s="1" t="inlineStr">
        <is>
          <t>TRAJE DE BAÑO COMPLETO DG</t>
        </is>
      </c>
      <c r="C359" s="1" t="inlineStr">
        <is>
          <t>S</t>
        </is>
      </c>
      <c r="D359" s="1" t="inlineStr">
        <is>
          <t>ZOEY</t>
        </is>
      </c>
      <c r="E359" s="6" t="n">
        <v>2080</v>
      </c>
      <c r="F359" s="4" t="n">
        <v>0</v>
      </c>
      <c r="G359" s="1" t="inlineStr">
        <is>
          <t>active</t>
        </is>
      </c>
      <c r="H359" s="1" t="inlineStr">
        <is>
          <t>YA TIENE COSTO EN SHOPIFY ($500.00, heredado hoy)</t>
        </is>
      </c>
    </row>
    <row r="360">
      <c r="A360" s="1" t="inlineStr">
        <is>
          <t>97803001091437outlet</t>
        </is>
      </c>
      <c r="B360" s="1" t="inlineStr">
        <is>
          <t>BOLSO LV NEVERFULL</t>
        </is>
      </c>
      <c r="C360" s="1" t="inlineStr">
        <is>
          <t>Outlet</t>
        </is>
      </c>
      <c r="D360" s="1" t="inlineStr">
        <is>
          <t>ZOEY</t>
        </is>
      </c>
      <c r="E360" s="6" t="n">
        <v>2999</v>
      </c>
      <c r="F360" s="4" t="n">
        <v>0</v>
      </c>
      <c r="G360" s="1" t="inlineStr">
        <is>
          <t>active</t>
        </is>
      </c>
      <c r="H360" s="1" t="inlineStr">
        <is>
          <t>YA TIENE COSTO EN SHOPIFY ($1006.03, heredado hoy)</t>
        </is>
      </c>
    </row>
    <row r="361">
      <c r="A361" s="1" t="inlineStr">
        <is>
          <t>64188801079533</t>
        </is>
      </c>
      <c r="B361" s="1" t="inlineStr">
        <is>
          <t>BOLSO LW ANAGRAM</t>
        </is>
      </c>
      <c r="C361" s="1" t="inlineStr">
        <is>
          <t>OUTLET</t>
        </is>
      </c>
      <c r="D361" s="1" t="inlineStr">
        <is>
          <t>ZOEY</t>
        </is>
      </c>
      <c r="E361" s="6" t="n">
        <v>2950</v>
      </c>
      <c r="F361" s="4" t="n">
        <v>0</v>
      </c>
      <c r="G361" s="1" t="inlineStr">
        <is>
          <t>active</t>
        </is>
      </c>
      <c r="H361" s="1" t="inlineStr">
        <is>
          <t>YA TIENE COSTO EN SHOPIFY ($904.46, heredado hoy)</t>
        </is>
      </c>
    </row>
    <row r="362">
      <c r="A362" s="1" t="inlineStr">
        <is>
          <t>79016341049069</t>
        </is>
      </c>
      <c r="B362" s="1" t="inlineStr">
        <is>
          <t>TARJETERO CD FREESIA</t>
        </is>
      </c>
      <c r="C362" s="1" t="inlineStr">
        <is>
          <t>OUTLET</t>
        </is>
      </c>
      <c r="D362" s="1" t="inlineStr">
        <is>
          <t>ZOEY</t>
        </is>
      </c>
      <c r="E362" s="6" t="n">
        <v>1019</v>
      </c>
      <c r="F362" s="4" t="n">
        <v>0</v>
      </c>
      <c r="G362" s="1" t="inlineStr">
        <is>
          <t>active</t>
        </is>
      </c>
      <c r="H362" s="1" t="inlineStr">
        <is>
          <t>YA TIENE COSTO EN SHOPIFY ($326.53, heredado hoy)</t>
        </is>
      </c>
    </row>
    <row r="363">
      <c r="A363" s="1" t="inlineStr">
        <is>
          <t>91629974660364</t>
        </is>
      </c>
      <c r="B363" s="1" t="inlineStr">
        <is>
          <t>COMBO LV</t>
        </is>
      </c>
      <c r="C363" s="1" t="inlineStr">
        <is>
          <t>Default Title</t>
        </is>
      </c>
      <c r="D363" s="1" t="inlineStr">
        <is>
          <t>ZOEY</t>
        </is>
      </c>
      <c r="E363" s="6" t="n">
        <v>6999</v>
      </c>
      <c r="F363" s="4" t="n">
        <v>0</v>
      </c>
      <c r="G363" s="1" t="inlineStr">
        <is>
          <t>active</t>
        </is>
      </c>
      <c r="H363" s="1" t="inlineStr">
        <is>
          <t>Falta el costo de compra (no está en ninguna tabla de precios)</t>
        </is>
      </c>
    </row>
    <row r="364">
      <c r="A364" s="1" t="inlineStr">
        <is>
          <t>73582401057453</t>
        </is>
      </c>
      <c r="B364" s="1" t="inlineStr">
        <is>
          <t>PULSERA CD PETIT</t>
        </is>
      </c>
      <c r="C364" s="1" t="inlineStr">
        <is>
          <t>16cm con 4cm de extensión (small)</t>
        </is>
      </c>
      <c r="D364" s="1" t="inlineStr">
        <is>
          <t>ZOEY</t>
        </is>
      </c>
      <c r="E364" s="6" t="n">
        <v>874</v>
      </c>
      <c r="F364" s="4" t="n">
        <v>0</v>
      </c>
      <c r="G364" s="1" t="inlineStr">
        <is>
          <t>active</t>
        </is>
      </c>
      <c r="H364" s="1" t="inlineStr">
        <is>
          <t>YA TIENE COSTO EN SHOPIFY ($140.00, heredado hoy)</t>
        </is>
      </c>
    </row>
    <row r="365">
      <c r="A365" s="1" t="inlineStr">
        <is>
          <t>42834319838860</t>
        </is>
      </c>
      <c r="B365" s="1" t="inlineStr">
        <is>
          <t>SANDALIAS DG</t>
        </is>
      </c>
      <c r="C365" s="1" t="inlineStr">
        <is>
          <t>26cm</t>
        </is>
      </c>
      <c r="D365" s="1" t="inlineStr">
        <is>
          <t>ZOEY</t>
        </is>
      </c>
      <c r="E365" s="6" t="n">
        <v>3899</v>
      </c>
      <c r="F365" s="4" t="n">
        <v>0</v>
      </c>
      <c r="G365" s="1" t="inlineStr">
        <is>
          <t>active</t>
        </is>
      </c>
      <c r="H365" s="1" t="inlineStr">
        <is>
          <t>YA TIENE COSTO EN SHOPIFY ($980.49, heredado hoy)</t>
        </is>
      </c>
    </row>
    <row r="366">
      <c r="A366" s="1" t="inlineStr">
        <is>
          <t>34253141067821</t>
        </is>
      </c>
      <c r="B366" s="1" t="inlineStr">
        <is>
          <t>BOLSO C CLAUDE BLACK</t>
        </is>
      </c>
      <c r="C366" s="1" t="inlineStr">
        <is>
          <t>OUTLET 21.5cm de largo x 11.5cm de alto x 4.5cm de ancho</t>
        </is>
      </c>
      <c r="D366" s="1" t="inlineStr">
        <is>
          <t>CYNTHIA CAO</t>
        </is>
      </c>
      <c r="E366" s="6" t="n">
        <v>3000</v>
      </c>
      <c r="F366" s="4" t="n">
        <v>0</v>
      </c>
      <c r="G366" s="1" t="inlineStr">
        <is>
          <t>active</t>
        </is>
      </c>
      <c r="H366" s="1" t="inlineStr">
        <is>
          <t>YA TIENE COSTO EN SHOPIFY ($1266.61, heredado hoy)</t>
        </is>
      </c>
    </row>
    <row r="367">
      <c r="A367" s="1" t="inlineStr">
        <is>
          <t>56804938732300</t>
        </is>
      </c>
      <c r="B367" s="1" t="inlineStr">
        <is>
          <t>BOLSO H CONSTANCE</t>
        </is>
      </c>
      <c r="C367" s="1" t="inlineStr">
        <is>
          <t>23.4cm de largo x 18cm de alto x 4.4cm de ancho</t>
        </is>
      </c>
      <c r="D367" s="1" t="inlineStr">
        <is>
          <t>ZOEY</t>
        </is>
      </c>
      <c r="E367" s="6" t="n">
        <v>4474</v>
      </c>
      <c r="F367" s="4" t="n">
        <v>0</v>
      </c>
      <c r="G367" s="1" t="inlineStr">
        <is>
          <t>active</t>
        </is>
      </c>
      <c r="H367" s="1" t="inlineStr">
        <is>
          <t>Falta el costo de compra (no está en ninguna tabla de precios)</t>
        </is>
      </c>
    </row>
    <row r="368">
      <c r="A368" s="1" t="inlineStr">
        <is>
          <t>77216898763148</t>
        </is>
      </c>
      <c r="B368" s="1" t="inlineStr">
        <is>
          <t>CHAMARRA A BEIGE</t>
        </is>
      </c>
      <c r="C368" s="1" t="inlineStr">
        <is>
          <t>S</t>
        </is>
      </c>
      <c r="D368" s="1" t="inlineStr">
        <is>
          <t>ZOEY</t>
        </is>
      </c>
      <c r="E368" s="6" t="n">
        <v>874</v>
      </c>
      <c r="F368" s="4" t="n">
        <v>0</v>
      </c>
      <c r="G368" s="1" t="inlineStr">
        <is>
          <t>active</t>
        </is>
      </c>
      <c r="H368" s="1" t="inlineStr">
        <is>
          <t>Falta el costo de compra (no está en ninguna tabla de precios)</t>
        </is>
      </c>
    </row>
    <row r="369">
      <c r="A369" s="1" t="inlineStr">
        <is>
          <t>77216898795916</t>
        </is>
      </c>
      <c r="B369" s="1" t="inlineStr">
        <is>
          <t>CHAMARRA A BEIGE</t>
        </is>
      </c>
      <c r="C369" s="1" t="inlineStr">
        <is>
          <t>M</t>
        </is>
      </c>
      <c r="D369" s="1" t="inlineStr">
        <is>
          <t>ZOEY</t>
        </is>
      </c>
      <c r="E369" s="6" t="n">
        <v>874</v>
      </c>
      <c r="F369" s="4" t="n">
        <v>0</v>
      </c>
      <c r="G369" s="1" t="inlineStr">
        <is>
          <t>active</t>
        </is>
      </c>
      <c r="H369" s="1" t="inlineStr">
        <is>
          <t>Falta el costo de compra (no está en ninguna tabla de precios)</t>
        </is>
      </c>
    </row>
    <row r="370">
      <c r="A370" s="1" t="inlineStr">
        <is>
          <t>77216898828684</t>
        </is>
      </c>
      <c r="B370" s="1" t="inlineStr">
        <is>
          <t>CHAMARRA A BEIGE</t>
        </is>
      </c>
      <c r="C370" s="1" t="inlineStr">
        <is>
          <t>L</t>
        </is>
      </c>
      <c r="D370" s="1" t="inlineStr">
        <is>
          <t>ZOEY</t>
        </is>
      </c>
      <c r="E370" s="6" t="n">
        <v>874</v>
      </c>
      <c r="F370" s="4" t="n">
        <v>0</v>
      </c>
      <c r="G370" s="1" t="inlineStr">
        <is>
          <t>active</t>
        </is>
      </c>
      <c r="H370" s="1" t="inlineStr">
        <is>
          <t>Falta el costo de compra (no está en ninguna tabla de precios)</t>
        </is>
      </c>
    </row>
    <row r="371">
      <c r="A371" s="1" t="inlineStr">
        <is>
          <t>21674041055981</t>
        </is>
      </c>
      <c r="B371" s="1" t="inlineStr">
        <is>
          <t>ANILLO T DE COMPROMISO</t>
        </is>
      </c>
      <c r="C371" s="1" t="n">
        <v>9</v>
      </c>
      <c r="D371" s="1" t="inlineStr">
        <is>
          <t>HAIFENG</t>
        </is>
      </c>
      <c r="E371" s="6" t="n">
        <v>599</v>
      </c>
      <c r="F371" s="4" t="n">
        <v>0</v>
      </c>
      <c r="G371" s="1" t="inlineStr">
        <is>
          <t>active</t>
        </is>
      </c>
      <c r="H371" s="1" t="inlineStr">
        <is>
          <t>Falta el costo de compra (no está en ninguna tabla de precios)</t>
        </is>
      </c>
    </row>
    <row r="372">
      <c r="A372" s="1" t="inlineStr">
        <is>
          <t>67574771116685</t>
        </is>
      </c>
      <c r="B372" s="1" t="inlineStr">
        <is>
          <t>PULSERA GC INTERLOCKING</t>
        </is>
      </c>
      <c r="C372" s="1" t="inlineStr">
        <is>
          <t>20cm stainless steel</t>
        </is>
      </c>
      <c r="D372" s="1" t="inlineStr">
        <is>
          <t>CYNTHIA CAO</t>
        </is>
      </c>
      <c r="E372" s="6" t="n">
        <v>1205</v>
      </c>
      <c r="F372" s="4" t="n">
        <v>0</v>
      </c>
      <c r="G372" s="1" t="inlineStr">
        <is>
          <t>active</t>
        </is>
      </c>
      <c r="H372" s="1" t="inlineStr">
        <is>
          <t>YA TIENE COSTO EN SHOPIFY ($256.00, heredado hoy)</t>
        </is>
      </c>
    </row>
    <row r="373">
      <c r="A373" s="1" t="inlineStr">
        <is>
          <t>67574771082221</t>
        </is>
      </c>
      <c r="B373" s="1" t="inlineStr">
        <is>
          <t>COLLAR GC INTERLOCKING</t>
        </is>
      </c>
      <c r="C373" s="1" t="inlineStr">
        <is>
          <t>59cm stainless steel</t>
        </is>
      </c>
      <c r="D373" s="1" t="inlineStr">
        <is>
          <t>CYNTHIA CAO</t>
        </is>
      </c>
      <c r="E373" s="6" t="n">
        <v>1102</v>
      </c>
      <c r="F373" s="4" t="n">
        <v>0</v>
      </c>
      <c r="G373" s="1" t="inlineStr">
        <is>
          <t>active</t>
        </is>
      </c>
      <c r="H373" s="1" t="inlineStr">
        <is>
          <t>YA TIENE COSTO EN SHOPIFY ($328.10, heredado hoy)</t>
        </is>
      </c>
    </row>
    <row r="374">
      <c r="A374" s="1" t="inlineStr">
        <is>
          <t>68728601003181</t>
        </is>
      </c>
      <c r="B374" s="1" t="inlineStr">
        <is>
          <t>ANILLO TRES AROS SILVER/BLACK</t>
        </is>
      </c>
      <c r="C374" s="1" t="n">
        <v>6</v>
      </c>
      <c r="D374" s="1" t="inlineStr">
        <is>
          <t>HAIFENG</t>
        </is>
      </c>
      <c r="E374" s="6" t="n">
        <v>500</v>
      </c>
      <c r="F374" s="4" t="n">
        <v>0</v>
      </c>
      <c r="G374" s="1" t="inlineStr">
        <is>
          <t>active</t>
        </is>
      </c>
      <c r="H374" s="1" t="inlineStr">
        <is>
          <t>YA TIENE COSTO EN SHOPIFY ($103.00, heredado hoy)</t>
        </is>
      </c>
    </row>
    <row r="375">
      <c r="A375" s="1" t="inlineStr">
        <is>
          <t>56481488272140OUTLET</t>
        </is>
      </c>
      <c r="B375" s="1" t="inlineStr">
        <is>
          <t>COLLAR PASADOR FULL HEART</t>
        </is>
      </c>
      <c r="C375" s="1" t="inlineStr">
        <is>
          <t>45 CM OUTLET</t>
        </is>
      </c>
      <c r="D375" s="1" t="inlineStr">
        <is>
          <t>HAIFENG</t>
        </is>
      </c>
      <c r="E375" s="6" t="n">
        <v>560</v>
      </c>
      <c r="F375" s="4" t="n">
        <v>0</v>
      </c>
      <c r="G375" s="1" t="inlineStr">
        <is>
          <t>active</t>
        </is>
      </c>
      <c r="H375" s="1" t="inlineStr">
        <is>
          <t>YA TIENE COSTO EN SHOPIFY ($252.61, heredado hoy)</t>
        </is>
      </c>
    </row>
    <row r="376">
      <c r="A376" s="1" t="inlineStr">
        <is>
          <t>95807387702284</t>
        </is>
      </c>
      <c r="B376" s="1" t="inlineStr">
        <is>
          <t>COLLAR DOBLE PLACA ROSEGOLD</t>
        </is>
      </c>
      <c r="C376" s="1" t="inlineStr">
        <is>
          <t>OUTLET</t>
        </is>
      </c>
      <c r="D376" s="1" t="inlineStr">
        <is>
          <t>HAIFENG</t>
        </is>
      </c>
      <c r="E376" s="6" t="n">
        <v>299.5</v>
      </c>
      <c r="F376" s="4" t="n">
        <v>0</v>
      </c>
      <c r="G376" s="1" t="inlineStr">
        <is>
          <t>active</t>
        </is>
      </c>
      <c r="H376" s="1" t="inlineStr">
        <is>
          <t>YA TIENE COSTO EN SHOPIFY ($105.35, heredado hoy)</t>
        </is>
      </c>
    </row>
    <row r="377">
      <c r="A377" s="1" t="inlineStr">
        <is>
          <t>82224432548109</t>
        </is>
      </c>
      <c r="B377" s="1" t="inlineStr">
        <is>
          <t>COLLAR DOBLE PLACA ROSEGOLD PLATA</t>
        </is>
      </c>
      <c r="C377" s="1" t="inlineStr">
        <is>
          <t>OUTLET</t>
        </is>
      </c>
      <c r="D377" s="1" t="inlineStr">
        <is>
          <t>HAIFENG</t>
        </is>
      </c>
      <c r="E377" s="6" t="n">
        <v>299.5</v>
      </c>
      <c r="F377" s="4" t="n">
        <v>0</v>
      </c>
      <c r="G377" s="1" t="inlineStr">
        <is>
          <t>active</t>
        </is>
      </c>
      <c r="H377" s="1" t="inlineStr">
        <is>
          <t>YA TIENE COSTO EN SHOPIFY ($105.01, heredado hoy)</t>
        </is>
      </c>
    </row>
    <row r="378">
      <c r="A378" s="1" t="inlineStr">
        <is>
          <t>42158271083469</t>
        </is>
      </c>
      <c r="B378" s="1" t="inlineStr">
        <is>
          <t>COLLAR DOBLE PLACA ROSEGOLD PLATA</t>
        </is>
      </c>
      <c r="C378" s="1" t="inlineStr">
        <is>
          <t>40cm con 5cm de extensión con diamante</t>
        </is>
      </c>
      <c r="D378" s="1" t="inlineStr">
        <is>
          <t>HAIFENG</t>
        </is>
      </c>
      <c r="E378" s="6" t="n">
        <v>599</v>
      </c>
      <c r="F378" s="4" t="n">
        <v>0</v>
      </c>
      <c r="G378" s="1" t="inlineStr">
        <is>
          <t>active</t>
        </is>
      </c>
      <c r="H378" s="1" t="inlineStr">
        <is>
          <t>YA TIENE COSTO EN SHOPIFY ($105.01, heredado hoy)</t>
        </is>
      </c>
    </row>
    <row r="379">
      <c r="A379" s="1" t="inlineStr">
        <is>
          <t>56481473296780</t>
        </is>
      </c>
      <c r="B379" s="1" t="inlineStr">
        <is>
          <t>PULSERA T DE CUENTAS LOVE</t>
        </is>
      </c>
      <c r="C379" s="1" t="inlineStr">
        <is>
          <t>16cm</t>
        </is>
      </c>
      <c r="D379" s="1" t="inlineStr">
        <is>
          <t>HAIFENG</t>
        </is>
      </c>
      <c r="E379" s="6" t="n">
        <v>692</v>
      </c>
      <c r="F379" s="4" t="n">
        <v>0</v>
      </c>
      <c r="G379" s="1" t="inlineStr">
        <is>
          <t>active</t>
        </is>
      </c>
      <c r="H379" s="1" t="inlineStr">
        <is>
          <t>YA TIENE COSTO EN SHOPIFY ($160.00, heredado hoy)</t>
        </is>
      </c>
    </row>
    <row r="380">
      <c r="A380" s="1" t="inlineStr">
        <is>
          <t>95807379111308</t>
        </is>
      </c>
      <c r="B380" s="1" t="inlineStr">
        <is>
          <t>PULSERA T DE CUENTAS LOVE</t>
        </is>
      </c>
      <c r="C380" s="1" t="inlineStr">
        <is>
          <t>18 outlet</t>
        </is>
      </c>
      <c r="D380" s="1" t="inlineStr">
        <is>
          <t>HAIFENG</t>
        </is>
      </c>
      <c r="E380" s="6" t="n">
        <v>346</v>
      </c>
      <c r="F380" s="4" t="n">
        <v>0</v>
      </c>
      <c r="G380" s="1" t="inlineStr">
        <is>
          <t>active</t>
        </is>
      </c>
      <c r="H380" s="1" t="inlineStr">
        <is>
          <t>YA TIENE COSTO EN SHOPIFY ($167.89, heredado hoy)</t>
        </is>
      </c>
    </row>
    <row r="381">
      <c r="A381" s="1" t="inlineStr">
        <is>
          <t>97664856155276</t>
        </is>
      </c>
      <c r="B381" s="1" t="inlineStr">
        <is>
          <t>ANILLO T ROSEGOLD CON ZIRCONIA</t>
        </is>
      </c>
      <c r="C381" s="1" t="n">
        <v>7</v>
      </c>
      <c r="D381" s="1" t="inlineStr">
        <is>
          <t>JUDY LI</t>
        </is>
      </c>
      <c r="E381" s="6" t="n">
        <v>399</v>
      </c>
      <c r="F381" s="4" t="n">
        <v>0</v>
      </c>
      <c r="G381" s="1" t="inlineStr">
        <is>
          <t>active</t>
        </is>
      </c>
      <c r="H381" s="1" t="inlineStr">
        <is>
          <t>Falta el costo de compra (no está en ninguna tabla de precios)</t>
        </is>
      </c>
    </row>
    <row r="382">
      <c r="A382" s="1" t="inlineStr">
        <is>
          <t>97664866188044</t>
        </is>
      </c>
      <c r="B382" s="1" t="inlineStr">
        <is>
          <t>ANILLO T ROSEGOLD CON ZIRCONIA</t>
        </is>
      </c>
      <c r="C382" s="1" t="n">
        <v>8</v>
      </c>
      <c r="D382" s="1" t="inlineStr">
        <is>
          <t>JUDY LI</t>
        </is>
      </c>
      <c r="E382" s="6" t="n">
        <v>399</v>
      </c>
      <c r="F382" s="4" t="n">
        <v>0</v>
      </c>
      <c r="G382" s="1" t="inlineStr">
        <is>
          <t>active</t>
        </is>
      </c>
      <c r="H382" s="1" t="inlineStr">
        <is>
          <t>Falta el costo de compra (no está en ninguna tabla de precios)</t>
        </is>
      </c>
    </row>
    <row r="383">
      <c r="A383" s="1" t="inlineStr">
        <is>
          <t>56481470372620</t>
        </is>
      </c>
      <c r="B383" s="1" t="inlineStr">
        <is>
          <t>ANILLO GC DIAGONAL</t>
        </is>
      </c>
      <c r="C383" s="1" t="n">
        <v>6</v>
      </c>
      <c r="D383" s="1" t="inlineStr">
        <is>
          <t>NANCY VIP</t>
        </is>
      </c>
      <c r="E383" s="6" t="n">
        <v>410</v>
      </c>
      <c r="F383" s="4" t="n">
        <v>0</v>
      </c>
      <c r="G383" s="1" t="inlineStr">
        <is>
          <t>active</t>
        </is>
      </c>
      <c r="H383" s="1" t="inlineStr">
        <is>
          <t>Falta el costo de compra (no está en ninguna tabla de precios)</t>
        </is>
      </c>
    </row>
    <row r="384">
      <c r="A384" s="1" t="inlineStr">
        <is>
          <t>56481470405388</t>
        </is>
      </c>
      <c r="B384" s="1" t="inlineStr">
        <is>
          <t>ANILLO GC DIAGONAL</t>
        </is>
      </c>
      <c r="C384" s="1" t="n">
        <v>7</v>
      </c>
      <c r="D384" s="1" t="inlineStr">
        <is>
          <t>NANCY VIP</t>
        </is>
      </c>
      <c r="E384" s="6" t="n">
        <v>410</v>
      </c>
      <c r="F384" s="4" t="n">
        <v>0</v>
      </c>
      <c r="G384" s="1" t="inlineStr">
        <is>
          <t>active</t>
        </is>
      </c>
      <c r="H384" s="1" t="inlineStr">
        <is>
          <t>Falta el costo de compra (no está en ninguna tabla de precios)</t>
        </is>
      </c>
    </row>
    <row r="385">
      <c r="A385" s="1" t="inlineStr">
        <is>
          <t>56481470438156</t>
        </is>
      </c>
      <c r="B385" s="1" t="inlineStr">
        <is>
          <t>ANILLO GC DIAGONAL</t>
        </is>
      </c>
      <c r="C385" s="1" t="n">
        <v>8</v>
      </c>
      <c r="D385" s="1" t="inlineStr">
        <is>
          <t>NANCY VIP</t>
        </is>
      </c>
      <c r="E385" s="6" t="n">
        <v>410</v>
      </c>
      <c r="F385" s="4" t="n">
        <v>0</v>
      </c>
      <c r="G385" s="1" t="inlineStr">
        <is>
          <t>active</t>
        </is>
      </c>
      <c r="H385" s="1" t="inlineStr">
        <is>
          <t>Falta el costo de compra (no está en ninguna tabla de precios)</t>
        </is>
      </c>
    </row>
    <row r="386">
      <c r="A386" s="1" t="inlineStr">
        <is>
          <t>85353121005355</t>
        </is>
      </c>
      <c r="B386" s="1" t="inlineStr">
        <is>
          <t>TENIS GG</t>
        </is>
      </c>
      <c r="C386" s="1" t="inlineStr">
        <is>
          <t>23cm</t>
        </is>
      </c>
      <c r="D386" s="1" t="inlineStr">
        <is>
          <t>CYNTHIA CAO</t>
        </is>
      </c>
      <c r="E386" s="6" t="n">
        <v>2503</v>
      </c>
      <c r="F386" s="4" t="n">
        <v>0</v>
      </c>
      <c r="G386" s="1" t="inlineStr">
        <is>
          <t>active</t>
        </is>
      </c>
      <c r="H386" s="1" t="inlineStr">
        <is>
          <t>Falta el costo de compra (no está en ninguna tabla de precios)</t>
        </is>
      </c>
    </row>
    <row r="387">
      <c r="A387" s="1" t="inlineStr">
        <is>
          <t>85353121138123</t>
        </is>
      </c>
      <c r="B387" s="1" t="inlineStr">
        <is>
          <t>TENIS GG</t>
        </is>
      </c>
      <c r="C387" s="1" t="inlineStr">
        <is>
          <t>24cm</t>
        </is>
      </c>
      <c r="D387" s="1" t="inlineStr">
        <is>
          <t>CYNTHIA CAO</t>
        </is>
      </c>
      <c r="E387" s="6" t="n">
        <v>2503</v>
      </c>
      <c r="F387" s="4" t="n">
        <v>0</v>
      </c>
      <c r="G387" s="1" t="inlineStr">
        <is>
          <t>active</t>
        </is>
      </c>
      <c r="H387" s="1" t="inlineStr">
        <is>
          <t>Falta el costo de compra (no está en ninguna tabla de precios)</t>
        </is>
      </c>
    </row>
    <row r="388">
      <c r="A388" s="1" t="inlineStr">
        <is>
          <t>85353121292811</t>
        </is>
      </c>
      <c r="B388" s="1" t="inlineStr">
        <is>
          <t>TENIS GG</t>
        </is>
      </c>
      <c r="C388" s="1" t="inlineStr">
        <is>
          <t>27cm</t>
        </is>
      </c>
      <c r="D388" s="1" t="inlineStr">
        <is>
          <t>CYNTHIA CAO</t>
        </is>
      </c>
      <c r="E388" s="6" t="n">
        <v>2503</v>
      </c>
      <c r="F388" s="4" t="n">
        <v>0</v>
      </c>
      <c r="G388" s="1" t="inlineStr">
        <is>
          <t>active</t>
        </is>
      </c>
      <c r="H388" s="1" t="inlineStr">
        <is>
          <t>Falta el costo de compra (no está en ninguna tabla de precios)</t>
        </is>
      </c>
    </row>
    <row r="389">
      <c r="A389" s="1" t="inlineStr">
        <is>
          <t>85353121325579</t>
        </is>
      </c>
      <c r="B389" s="1" t="inlineStr">
        <is>
          <t>TENIS GG</t>
        </is>
      </c>
      <c r="C389" s="1" t="inlineStr">
        <is>
          <t>28cm</t>
        </is>
      </c>
      <c r="D389" s="1" t="inlineStr">
        <is>
          <t>CYNTHIA CAO</t>
        </is>
      </c>
      <c r="E389" s="6" t="n">
        <v>2503</v>
      </c>
      <c r="F389" s="4" t="n">
        <v>0</v>
      </c>
      <c r="G389" s="1" t="inlineStr">
        <is>
          <t>active</t>
        </is>
      </c>
      <c r="H389" s="1" t="inlineStr">
        <is>
          <t>Falta el costo de compra (no está en ninguna tabla de precios)</t>
        </is>
      </c>
    </row>
    <row r="390">
      <c r="A390" s="1" t="inlineStr">
        <is>
          <t>64118835523243</t>
        </is>
      </c>
      <c r="B390" s="1" t="inlineStr">
        <is>
          <t>TENIS GG</t>
        </is>
      </c>
      <c r="C390" s="1" t="inlineStr">
        <is>
          <t>27cm OUTLET</t>
        </is>
      </c>
      <c r="D390" s="1" t="inlineStr">
        <is>
          <t>CYNTHIA CAO</t>
        </is>
      </c>
      <c r="E390" s="6" t="n">
        <v>1251.5</v>
      </c>
      <c r="F390" s="4" t="n">
        <v>0</v>
      </c>
      <c r="G390" s="1" t="inlineStr">
        <is>
          <t>active</t>
        </is>
      </c>
      <c r="H390" s="1" t="inlineStr">
        <is>
          <t>Falta el costo de compra (no está en ninguna tabla de precios)</t>
        </is>
      </c>
    </row>
    <row r="391">
      <c r="A391" s="1" t="inlineStr">
        <is>
          <t>72233622217740</t>
        </is>
      </c>
      <c r="B391" s="1" t="inlineStr">
        <is>
          <t>TENIS DG PORTOFINO</t>
        </is>
      </c>
      <c r="C391" s="1" t="inlineStr">
        <is>
          <t>28cm</t>
        </is>
      </c>
      <c r="D391" s="1" t="inlineStr">
        <is>
          <t>ZOEY</t>
        </is>
      </c>
      <c r="E391" s="6" t="n">
        <v>2544</v>
      </c>
      <c r="F391" s="4" t="n">
        <v>0</v>
      </c>
      <c r="G391" s="1" t="inlineStr">
        <is>
          <t>active</t>
        </is>
      </c>
      <c r="H391" s="1" t="inlineStr">
        <is>
          <t>Falta el costo de compra (no está en ninguna tabla de precios)</t>
        </is>
      </c>
    </row>
    <row r="392">
      <c r="A392" s="1" t="inlineStr">
        <is>
          <t>72233628171916</t>
        </is>
      </c>
      <c r="B392" s="1" t="inlineStr">
        <is>
          <t>TENIS DG PORTOFINO</t>
        </is>
      </c>
      <c r="C392" s="1" t="inlineStr">
        <is>
          <t>27cm</t>
        </is>
      </c>
      <c r="D392" s="1" t="inlineStr">
        <is>
          <t>ZOEY</t>
        </is>
      </c>
      <c r="E392" s="6" t="n">
        <v>2544</v>
      </c>
      <c r="F392" s="4" t="n">
        <v>0</v>
      </c>
      <c r="G392" s="1" t="inlineStr">
        <is>
          <t>active</t>
        </is>
      </c>
      <c r="H392" s="1" t="inlineStr">
        <is>
          <t>Falta el costo de compra (no está en ninguna tabla de precios)</t>
        </is>
      </c>
    </row>
    <row r="393">
      <c r="A393" s="1" t="inlineStr">
        <is>
          <t>72233623703820</t>
        </is>
      </c>
      <c r="B393" s="1" t="inlineStr">
        <is>
          <t>TENIS TRAINER</t>
        </is>
      </c>
      <c r="C393" s="1" t="inlineStr">
        <is>
          <t>28cm</t>
        </is>
      </c>
      <c r="D393" s="1" t="inlineStr">
        <is>
          <t>ZOEY</t>
        </is>
      </c>
      <c r="E393" s="6" t="n">
        <v>3804</v>
      </c>
      <c r="F393" s="4" t="n">
        <v>0</v>
      </c>
      <c r="G393" s="1" t="inlineStr">
        <is>
          <t>active</t>
        </is>
      </c>
      <c r="H393" s="1" t="inlineStr">
        <is>
          <t>Falta el costo de compra (no está en ninguna tabla de precios)</t>
        </is>
      </c>
    </row>
    <row r="394">
      <c r="A394" s="1" t="inlineStr">
        <is>
          <t>38255983992588</t>
        </is>
      </c>
      <c r="B394" s="1" t="inlineStr">
        <is>
          <t>BOLSO CD WEEKENDER</t>
        </is>
      </c>
      <c r="C394" s="1" t="inlineStr">
        <is>
          <t>53cm de largo x 31cm de alto x 18cm de ancho</t>
        </is>
      </c>
      <c r="D394" s="1" t="inlineStr">
        <is>
          <t>ZOEY</t>
        </is>
      </c>
      <c r="E394" s="6" t="n">
        <v>5074</v>
      </c>
      <c r="F394" s="4" t="n">
        <v>0</v>
      </c>
      <c r="G394" s="1" t="inlineStr">
        <is>
          <t>active</t>
        </is>
      </c>
      <c r="H394" s="1" t="inlineStr">
        <is>
          <t>Falta el costo de compra (no está en ninguna tabla de precios)</t>
        </is>
      </c>
    </row>
    <row r="395">
      <c r="A395" s="1" t="inlineStr">
        <is>
          <t>679bf16676242</t>
        </is>
      </c>
      <c r="B395" s="1" t="inlineStr">
        <is>
          <t>CHAMARRA LW BROWN</t>
        </is>
      </c>
      <c r="C395" s="1" t="inlineStr">
        <is>
          <t>M</t>
        </is>
      </c>
      <c r="D395" s="1" t="inlineStr">
        <is>
          <t>ZOEY</t>
        </is>
      </c>
      <c r="E395" s="6" t="n">
        <v>2123.8</v>
      </c>
      <c r="F395" s="4" t="n">
        <v>0</v>
      </c>
      <c r="G395" s="1" t="inlineStr">
        <is>
          <t>active</t>
        </is>
      </c>
      <c r="H395" s="1" t="inlineStr">
        <is>
          <t>YA TIENE COSTO EN SHOPIFY ($957.57, heredado hoy)</t>
        </is>
      </c>
    </row>
    <row r="396">
      <c r="A396" s="1" t="inlineStr">
        <is>
          <t>679bf1659c189</t>
        </is>
      </c>
      <c r="B396" s="1" t="inlineStr">
        <is>
          <t>CHAMARRA LW BLACK</t>
        </is>
      </c>
      <c r="C396" s="1" t="inlineStr">
        <is>
          <t>S</t>
        </is>
      </c>
      <c r="D396" s="1" t="inlineStr">
        <is>
          <t>ZOEY</t>
        </is>
      </c>
      <c r="E396" s="6" t="n">
        <v>1520</v>
      </c>
      <c r="F396" s="4" t="n">
        <v>0</v>
      </c>
      <c r="G396" s="1" t="inlineStr">
        <is>
          <t>active</t>
        </is>
      </c>
      <c r="H396" s="1" t="inlineStr">
        <is>
          <t>YA TIENE COSTO EN SHOPIFY ($957.57, heredado hoy)</t>
        </is>
      </c>
    </row>
    <row r="397">
      <c r="A397" s="1" t="inlineStr">
        <is>
          <t>679bf1659c189OUTLET</t>
        </is>
      </c>
      <c r="B397" s="1" t="inlineStr">
        <is>
          <t>CHAMARRA LW BLACK</t>
        </is>
      </c>
      <c r="C397" s="1" t="inlineStr">
        <is>
          <t>S OUTLET</t>
        </is>
      </c>
      <c r="D397" s="1" t="inlineStr">
        <is>
          <t>ZOEY</t>
        </is>
      </c>
      <c r="E397" s="6" t="n">
        <v>2427</v>
      </c>
      <c r="F397" s="4" t="n">
        <v>0</v>
      </c>
      <c r="G397" s="1" t="inlineStr">
        <is>
          <t>active</t>
        </is>
      </c>
      <c r="H397" s="1" t="inlineStr">
        <is>
          <t>YA TIENE COSTO EN SHOPIFY ($957.57, heredado hoy)</t>
        </is>
      </c>
    </row>
    <row r="398">
      <c r="A398" s="1" t="inlineStr">
        <is>
          <t>679bf1657ac03</t>
        </is>
      </c>
      <c r="B398" s="1" t="inlineStr">
        <is>
          <t>CHAMARRA MM NUDE</t>
        </is>
      </c>
      <c r="C398" s="1" t="inlineStr">
        <is>
          <t>S (REMATE)</t>
        </is>
      </c>
      <c r="D398" s="1" t="inlineStr">
        <is>
          <t>ZOEY</t>
        </is>
      </c>
      <c r="E398" s="6" t="n">
        <v>1703.8</v>
      </c>
      <c r="F398" s="4" t="n">
        <v>0</v>
      </c>
      <c r="G398" s="1" t="inlineStr">
        <is>
          <t>active</t>
        </is>
      </c>
      <c r="H398" s="1" t="inlineStr">
        <is>
          <t>Falta el costo de compra (no está en ninguna tabla de precios)</t>
        </is>
      </c>
    </row>
    <row r="399">
      <c r="A399" s="1" t="inlineStr">
        <is>
          <t>679bf164c5184</t>
        </is>
      </c>
      <c r="B399" s="1" t="inlineStr">
        <is>
          <t>CHAMARRA MM NUDE</t>
        </is>
      </c>
      <c r="C399" s="1" t="inlineStr">
        <is>
          <t>M (REMATE)</t>
        </is>
      </c>
      <c r="D399" s="1" t="inlineStr">
        <is>
          <t>ZOEY</t>
        </is>
      </c>
      <c r="E399" s="6" t="n">
        <v>1703.8</v>
      </c>
      <c r="F399" s="4" t="n">
        <v>0</v>
      </c>
      <c r="G399" s="1" t="inlineStr">
        <is>
          <t>active</t>
        </is>
      </c>
      <c r="H399" s="1" t="inlineStr">
        <is>
          <t>Falta el costo de compra (no está en ninguna tabla de precios)</t>
        </is>
      </c>
    </row>
    <row r="400">
      <c r="A400" s="1" t="inlineStr">
        <is>
          <t>36002951299852</t>
        </is>
      </c>
      <c r="B400" s="1" t="inlineStr">
        <is>
          <t>COLLAR LV SILVER</t>
        </is>
      </c>
      <c r="C400" s="1" t="inlineStr">
        <is>
          <t>42cm de largo con 5cm de extensión</t>
        </is>
      </c>
      <c r="D400" s="1" t="inlineStr">
        <is>
          <t>CYNTHIA CAO</t>
        </is>
      </c>
      <c r="E400" s="6" t="n">
        <v>499</v>
      </c>
      <c r="F400" s="4" t="n">
        <v>0</v>
      </c>
      <c r="G400" s="1" t="inlineStr">
        <is>
          <t>active</t>
        </is>
      </c>
      <c r="H400" s="1" t="inlineStr">
        <is>
          <t>Falta el costo de compra (no está en ninguna tabla de precios)</t>
        </is>
      </c>
    </row>
    <row r="401">
      <c r="A401" s="1" t="inlineStr">
        <is>
          <t>94350540158732</t>
        </is>
      </c>
      <c r="B401" s="1" t="inlineStr">
        <is>
          <t>BOLSO GC JACKIE RED</t>
        </is>
      </c>
      <c r="C401" s="1" t="inlineStr">
        <is>
          <t>26cm de largo x 19cm de alto x 8cm de ancho</t>
        </is>
      </c>
      <c r="D401" s="1" t="inlineStr">
        <is>
          <t>DINA DU</t>
        </is>
      </c>
      <c r="E401" s="6" t="n">
        <v>3334</v>
      </c>
      <c r="F401" s="4" t="n">
        <v>0</v>
      </c>
      <c r="G401" s="1" t="inlineStr">
        <is>
          <t>active</t>
        </is>
      </c>
      <c r="H401" s="1" t="inlineStr">
        <is>
          <t>Falta el costo de compra (no está en ninguna tabla de precios)</t>
        </is>
      </c>
    </row>
    <row r="402">
      <c r="A402" s="1" t="inlineStr">
        <is>
          <t>677c26b19a19d-2</t>
        </is>
      </c>
      <c r="B402" s="1" t="inlineStr">
        <is>
          <t>LENTES GC BLACK</t>
        </is>
      </c>
      <c r="C402" s="1" t="inlineStr">
        <is>
          <t>OUTLET</t>
        </is>
      </c>
      <c r="D402" s="1" t="inlineStr">
        <is>
          <t>CYNTHIA CAO</t>
        </is>
      </c>
      <c r="E402" s="6" t="n">
        <v>347</v>
      </c>
      <c r="F402" s="4" t="n">
        <v>0</v>
      </c>
      <c r="G402" s="1" t="inlineStr">
        <is>
          <t>active</t>
        </is>
      </c>
      <c r="H402" s="1" t="inlineStr">
        <is>
          <t>YA TIENE COSTO EN SHOPIFY ($624.36, heredado hoy)</t>
        </is>
      </c>
    </row>
    <row r="403">
      <c r="A403" s="1" t="inlineStr">
        <is>
          <t>679be1fb57d7e-2</t>
        </is>
      </c>
      <c r="B403" s="1" t="inlineStr">
        <is>
          <t>RELOJ RX DAY DATE ROSEGOLD</t>
        </is>
      </c>
      <c r="C403" s="1" t="inlineStr">
        <is>
          <t>RELOJ CON CAJA</t>
        </is>
      </c>
      <c r="D403" s="1" t="inlineStr">
        <is>
          <t>ZOEY</t>
        </is>
      </c>
      <c r="E403" s="6" t="n">
        <v>5120</v>
      </c>
      <c r="F403" s="4" t="n">
        <v>0</v>
      </c>
      <c r="G403" s="1" t="inlineStr">
        <is>
          <t>active</t>
        </is>
      </c>
      <c r="H403" s="1" t="inlineStr">
        <is>
          <t>YA TIENE COSTO EN SHOPIFY ($960.00, heredado hoy)</t>
        </is>
      </c>
    </row>
    <row r="404">
      <c r="A404" s="1" t="inlineStr">
        <is>
          <t>61924901099789</t>
        </is>
      </c>
      <c r="B404" s="1" t="inlineStr">
        <is>
          <t>ARETES CD SILVER</t>
        </is>
      </c>
      <c r="C404" s="1" t="inlineStr">
        <is>
          <t>STAINLESS STEEL</t>
        </is>
      </c>
      <c r="D404" s="1" t="inlineStr">
        <is>
          <t>CYNTHIA CAO</t>
        </is>
      </c>
      <c r="E404" s="6" t="n">
        <v>745</v>
      </c>
      <c r="F404" s="4" t="n">
        <v>0</v>
      </c>
      <c r="G404" s="1" t="inlineStr">
        <is>
          <t>active</t>
        </is>
      </c>
      <c r="H404" s="1" t="inlineStr">
        <is>
          <t>YA TIENE COSTO EN SHOPIFY ($185.51, heredado hoy)</t>
        </is>
      </c>
    </row>
    <row r="405">
      <c r="A405" s="1" t="inlineStr">
        <is>
          <t>78579301004173</t>
        </is>
      </c>
      <c r="B405" s="1" t="inlineStr">
        <is>
          <t>CINTO H KELLY BROWN</t>
        </is>
      </c>
      <c r="C405" s="1" t="inlineStr">
        <is>
          <t>AJUSTABLE OUTLET</t>
        </is>
      </c>
      <c r="D405" s="1" t="inlineStr">
        <is>
          <t>CYNTHIA CAO</t>
        </is>
      </c>
      <c r="E405" s="6" t="n">
        <v>446</v>
      </c>
      <c r="F405" s="4" t="n">
        <v>0</v>
      </c>
      <c r="G405" s="1" t="inlineStr">
        <is>
          <t>active</t>
        </is>
      </c>
      <c r="H405" s="1" t="inlineStr">
        <is>
          <t>YA TIENE COSTO EN SHOPIFY ($166.44, heredado hoy)</t>
        </is>
      </c>
    </row>
    <row r="406">
      <c r="A406" s="1" t="inlineStr">
        <is>
          <t>43728082885132</t>
        </is>
      </c>
      <c r="B406" s="1" t="inlineStr">
        <is>
          <t>TARJETERO LV LOGO BLUE</t>
        </is>
      </c>
      <c r="C406" s="1" t="inlineStr">
        <is>
          <t>8.6cm de alto x 11cm de ancho</t>
        </is>
      </c>
      <c r="D406" s="1" t="inlineStr">
        <is>
          <t>ZOEY</t>
        </is>
      </c>
      <c r="E406" s="6" t="n">
        <v>654</v>
      </c>
      <c r="F406" s="4" t="n">
        <v>0</v>
      </c>
      <c r="G406" s="1" t="inlineStr">
        <is>
          <t>active</t>
        </is>
      </c>
      <c r="H406" s="1" t="inlineStr">
        <is>
          <t>Falta el costo de compra (no está en ninguna tabla de precios)</t>
        </is>
      </c>
    </row>
    <row r="407">
      <c r="A407" s="1" t="inlineStr">
        <is>
          <t>43728082910092</t>
        </is>
      </c>
      <c r="B407" s="1" t="inlineStr">
        <is>
          <t>CHAMARRA PR PUFF BLACK</t>
        </is>
      </c>
      <c r="C407" s="1" t="inlineStr">
        <is>
          <t>S</t>
        </is>
      </c>
      <c r="D407" s="1" t="inlineStr">
        <is>
          <t>ZOEY</t>
        </is>
      </c>
      <c r="E407" s="6" t="n">
        <v>4844.38</v>
      </c>
      <c r="F407" s="4" t="n">
        <v>0</v>
      </c>
      <c r="G407" s="1" t="inlineStr">
        <is>
          <t>active</t>
        </is>
      </c>
      <c r="H407" s="1" t="inlineStr">
        <is>
          <t>YA TIENE COSTO EN SHOPIFY ($957.57, heredado hoy)</t>
        </is>
      </c>
    </row>
    <row r="408">
      <c r="A408" s="1" t="inlineStr">
        <is>
          <t>43728083042860</t>
        </is>
      </c>
      <c r="B408" s="1" t="inlineStr">
        <is>
          <t>CHAMARRA PR PUFF BLACK</t>
        </is>
      </c>
      <c r="C408" s="1" t="inlineStr">
        <is>
          <t>M (REMATE)</t>
        </is>
      </c>
      <c r="D408" s="1" t="inlineStr">
        <is>
          <t>ZOEY</t>
        </is>
      </c>
      <c r="E408" s="6" t="n">
        <v>4488.38</v>
      </c>
      <c r="F408" s="4" t="n">
        <v>0</v>
      </c>
      <c r="G408" s="1" t="inlineStr">
        <is>
          <t>active</t>
        </is>
      </c>
      <c r="H408" s="1" t="inlineStr">
        <is>
          <t>YA TIENE COSTO EN SHOPIFY ($957.57, heredado hoy)</t>
        </is>
      </c>
    </row>
    <row r="409">
      <c r="A409" s="1" t="inlineStr">
        <is>
          <t>43728083603628</t>
        </is>
      </c>
      <c r="B409" s="1" t="inlineStr">
        <is>
          <t>CHAQUETA MM DE GAMUZA</t>
        </is>
      </c>
      <c r="C409" s="1" t="inlineStr">
        <is>
          <t>S</t>
        </is>
      </c>
      <c r="D409" s="1" t="inlineStr">
        <is>
          <t>ZOEY</t>
        </is>
      </c>
      <c r="E409" s="6" t="n">
        <v>2434</v>
      </c>
      <c r="F409" s="4" t="n">
        <v>0</v>
      </c>
      <c r="G409" s="1" t="inlineStr">
        <is>
          <t>active</t>
        </is>
      </c>
      <c r="H409" s="1" t="inlineStr">
        <is>
          <t>Falta el costo de compra (no está en ninguna tabla de precios)</t>
        </is>
      </c>
    </row>
    <row r="410">
      <c r="A410" s="1" t="inlineStr">
        <is>
          <t>43728083736396</t>
        </is>
      </c>
      <c r="B410" s="1" t="inlineStr">
        <is>
          <t>CHAQUETA MM DE GAMUZA</t>
        </is>
      </c>
      <c r="C410" s="1" t="inlineStr">
        <is>
          <t>M</t>
        </is>
      </c>
      <c r="D410" s="1" t="inlineStr">
        <is>
          <t>ZOEY</t>
        </is>
      </c>
      <c r="E410" s="6" t="n">
        <v>2434</v>
      </c>
      <c r="F410" s="4" t="n">
        <v>0</v>
      </c>
      <c r="G410" s="1" t="inlineStr">
        <is>
          <t>active</t>
        </is>
      </c>
      <c r="H410" s="1" t="inlineStr">
        <is>
          <t>Falta el costo de compra (no está en ninguna tabla de precios)</t>
        </is>
      </c>
    </row>
    <row r="411">
      <c r="A411" s="1" t="inlineStr">
        <is>
          <t>72233619083276</t>
        </is>
      </c>
      <c r="B411" s="1" t="inlineStr">
        <is>
          <t>CHAQUETA MM DE GAMUZA</t>
        </is>
      </c>
      <c r="C411" s="1" t="inlineStr">
        <is>
          <t>L</t>
        </is>
      </c>
      <c r="D411" s="1" t="inlineStr">
        <is>
          <t>ZOEY</t>
        </is>
      </c>
      <c r="E411" s="6" t="n">
        <v>1704</v>
      </c>
      <c r="F411" s="4" t="n">
        <v>0</v>
      </c>
      <c r="G411" s="1" t="inlineStr">
        <is>
          <t>active</t>
        </is>
      </c>
      <c r="H411" s="1" t="inlineStr">
        <is>
          <t>Falta el costo de compra (no está en ninguna tabla de precios)</t>
        </is>
      </c>
    </row>
    <row r="412">
      <c r="A412" s="1" t="inlineStr">
        <is>
          <t>43728084413196</t>
        </is>
      </c>
      <c r="B412" s="1" t="inlineStr">
        <is>
          <t>CHAMARRA CD LOGO</t>
        </is>
      </c>
      <c r="C412" s="1" t="inlineStr">
        <is>
          <t>M</t>
        </is>
      </c>
      <c r="D412" s="1" t="inlineStr">
        <is>
          <t>ZOEY</t>
        </is>
      </c>
      <c r="E412" s="6" t="n">
        <v>1600</v>
      </c>
      <c r="F412" s="4" t="n">
        <v>0</v>
      </c>
      <c r="G412" s="1" t="inlineStr">
        <is>
          <t>active</t>
        </is>
      </c>
      <c r="H412" s="1" t="inlineStr">
        <is>
          <t>Falta el costo de compra (no está en ninguna tabla de precios)</t>
        </is>
      </c>
    </row>
    <row r="413">
      <c r="A413" s="1" t="inlineStr">
        <is>
          <t>77830101021069</t>
        </is>
      </c>
      <c r="B413" s="1" t="inlineStr">
        <is>
          <t>SUÉTER YSL</t>
        </is>
      </c>
      <c r="C413" s="1" t="inlineStr">
        <is>
          <t>M OUTLET</t>
        </is>
      </c>
      <c r="D413" s="1" t="inlineStr">
        <is>
          <t>ZOEY</t>
        </is>
      </c>
      <c r="E413" s="6" t="n">
        <v>1416</v>
      </c>
      <c r="F413" s="4" t="n">
        <v>0</v>
      </c>
      <c r="G413" s="1" t="inlineStr">
        <is>
          <t>active</t>
        </is>
      </c>
      <c r="H413" s="1" t="inlineStr">
        <is>
          <t>YA TIENE COSTO EN SHOPIFY ($947.23, heredado hoy)</t>
        </is>
      </c>
    </row>
    <row r="414">
      <c r="A414" s="1" t="inlineStr">
        <is>
          <t>72002489750540</t>
        </is>
      </c>
      <c r="B414" s="1" t="inlineStr">
        <is>
          <t>ZAPATILLAS MM SLINGBACKS CHERRY</t>
        </is>
      </c>
      <c r="C414" s="1" t="inlineStr">
        <is>
          <t>23cm</t>
        </is>
      </c>
      <c r="D414" s="1" t="inlineStr">
        <is>
          <t>ZOEY</t>
        </is>
      </c>
      <c r="E414" s="6" t="n">
        <v>2838</v>
      </c>
      <c r="F414" s="4" t="n">
        <v>0</v>
      </c>
      <c r="G414" s="1" t="inlineStr">
        <is>
          <t>active</t>
        </is>
      </c>
      <c r="H414" s="1" t="inlineStr">
        <is>
          <t>YA TIENE COSTO EN SHOPIFY ($1300.00, heredado hoy)</t>
        </is>
      </c>
    </row>
    <row r="415">
      <c r="A415" s="1" t="inlineStr">
        <is>
          <t>43728085343052</t>
        </is>
      </c>
      <c r="B415" s="1" t="inlineStr">
        <is>
          <t>ZAPATILLAS MM SLINGBACKS CHERRY</t>
        </is>
      </c>
      <c r="C415" s="1" t="inlineStr">
        <is>
          <t>25cm</t>
        </is>
      </c>
      <c r="D415" s="1" t="inlineStr">
        <is>
          <t>ZOEY</t>
        </is>
      </c>
      <c r="E415" s="6" t="n">
        <v>4054</v>
      </c>
      <c r="F415" s="4" t="n">
        <v>0</v>
      </c>
      <c r="G415" s="1" t="inlineStr">
        <is>
          <t>active</t>
        </is>
      </c>
      <c r="H415" s="1" t="inlineStr">
        <is>
          <t>YA TIENE COSTO EN SHOPIFY ($1300.00, heredado hoy)</t>
        </is>
      </c>
    </row>
    <row r="416">
      <c r="A416" s="1" t="inlineStr">
        <is>
          <t>72002489546380</t>
        </is>
      </c>
      <c r="B416" s="1" t="inlineStr">
        <is>
          <t>ZAPATILLAS MM SLINGBACKS CHERRY</t>
        </is>
      </c>
      <c r="C416" s="1" t="inlineStr">
        <is>
          <t>26cm</t>
        </is>
      </c>
      <c r="D416" s="1" t="inlineStr">
        <is>
          <t>ZOEY</t>
        </is>
      </c>
      <c r="E416" s="6" t="n">
        <v>2838</v>
      </c>
      <c r="F416" s="4" t="n">
        <v>0</v>
      </c>
      <c r="G416" s="1" t="inlineStr">
        <is>
          <t>active</t>
        </is>
      </c>
      <c r="H416" s="1" t="inlineStr">
        <is>
          <t>YA TIENE COSTO EN SHOPIFY ($1300.00, heredado hoy)</t>
        </is>
      </c>
    </row>
    <row r="417">
      <c r="A417" s="1" t="inlineStr">
        <is>
          <t>72002495625740</t>
        </is>
      </c>
      <c r="B417" s="1" t="inlineStr">
        <is>
          <t>ZAPATILLAS YSL STONE SEVILLA</t>
        </is>
      </c>
      <c r="C417" s="1" t="inlineStr">
        <is>
          <t>23cm</t>
        </is>
      </c>
      <c r="D417" s="1" t="inlineStr">
        <is>
          <t>ZOEY</t>
        </is>
      </c>
      <c r="E417" s="6" t="n">
        <v>5142.49</v>
      </c>
      <c r="F417" s="4" t="n">
        <v>0</v>
      </c>
      <c r="G417" s="1" t="inlineStr">
        <is>
          <t>active</t>
        </is>
      </c>
      <c r="H417" s="1" t="inlineStr">
        <is>
          <t>YA TIENE COSTO EN SHOPIFY ($1380.00, heredado hoy)</t>
        </is>
      </c>
    </row>
    <row r="418">
      <c r="A418" s="1" t="inlineStr">
        <is>
          <t>77978459668492</t>
        </is>
      </c>
      <c r="B418" s="1" t="inlineStr">
        <is>
          <t>PULSERA SMILE SILVER</t>
        </is>
      </c>
      <c r="C418" s="1" t="inlineStr">
        <is>
          <t>OUTLET</t>
        </is>
      </c>
      <c r="D418" s="1" t="inlineStr">
        <is>
          <t>HAIFENG</t>
        </is>
      </c>
      <c r="E418" s="6" t="n">
        <v>227</v>
      </c>
      <c r="F418" s="4" t="n">
        <v>0</v>
      </c>
      <c r="G418" s="1" t="inlineStr">
        <is>
          <t>active</t>
        </is>
      </c>
      <c r="H418" s="1" t="inlineStr">
        <is>
          <t>YA TIENE COSTO EN SHOPIFY ($154.79, heredado hoy)</t>
        </is>
      </c>
    </row>
    <row r="419">
      <c r="A419" s="1" t="inlineStr">
        <is>
          <t>77978458750988</t>
        </is>
      </c>
      <c r="B419" s="1" t="inlineStr">
        <is>
          <t>PULSERA SMILE GOLD</t>
        </is>
      </c>
      <c r="C419" s="1" t="inlineStr">
        <is>
          <t>OUTLET</t>
        </is>
      </c>
      <c r="D419" s="1" t="inlineStr">
        <is>
          <t>HAIFENG</t>
        </is>
      </c>
      <c r="E419" s="6" t="n">
        <v>227</v>
      </c>
      <c r="F419" s="4" t="n">
        <v>0</v>
      </c>
      <c r="G419" s="1" t="inlineStr">
        <is>
          <t>active</t>
        </is>
      </c>
      <c r="H419" s="1" t="inlineStr">
        <is>
          <t>YA TIENE COSTO EN SHOPIFY ($158.68, heredado hoy)</t>
        </is>
      </c>
    </row>
    <row r="420">
      <c r="A420" s="1" t="inlineStr">
        <is>
          <t>668eecb8df0ebOUTLET</t>
        </is>
      </c>
      <c r="B420" s="1" t="inlineStr">
        <is>
          <t>PULSERA T GOLD</t>
        </is>
      </c>
      <c r="C420" s="1" t="inlineStr">
        <is>
          <t>16 cm OUTLET</t>
        </is>
      </c>
      <c r="D420" s="1" t="inlineStr">
        <is>
          <t>CYNTHIA CAO</t>
        </is>
      </c>
      <c r="E420" s="6" t="n">
        <v>670</v>
      </c>
      <c r="F420" s="4" t="n">
        <v>0</v>
      </c>
      <c r="G420" s="1" t="inlineStr">
        <is>
          <t>active</t>
        </is>
      </c>
      <c r="H420" s="1" t="inlineStr">
        <is>
          <t>YA TIENE COSTO EN SHOPIFY ($250.18, heredado hoy)</t>
        </is>
      </c>
    </row>
    <row r="421">
      <c r="A421" s="1" t="inlineStr">
        <is>
          <t>43728088906124</t>
        </is>
      </c>
      <c r="B421" s="1" t="inlineStr">
        <is>
          <t>PULSERA T PLATA</t>
        </is>
      </c>
      <c r="C421" s="1" t="inlineStr">
        <is>
          <t>16cm OUTLET</t>
        </is>
      </c>
      <c r="D421" s="1" t="inlineStr">
        <is>
          <t>CYNTHIA CAO</t>
        </is>
      </c>
      <c r="E421" s="6" t="n">
        <v>399.5</v>
      </c>
      <c r="F421" s="4" t="n">
        <v>0</v>
      </c>
      <c r="G421" s="1" t="inlineStr">
        <is>
          <t>active</t>
        </is>
      </c>
      <c r="H421" s="1" t="inlineStr">
        <is>
          <t>YA TIENE COSTO EN SHOPIFY ($239.25, heredado hoy)</t>
        </is>
      </c>
    </row>
    <row r="422">
      <c r="A422" s="1" t="inlineStr">
        <is>
          <t>82224431917709</t>
        </is>
      </c>
      <c r="B422" s="1" t="inlineStr">
        <is>
          <t>PULSERA T PLATA</t>
        </is>
      </c>
      <c r="C422" s="1" t="inlineStr">
        <is>
          <t>16cm MIDDLE QUALITY</t>
        </is>
      </c>
      <c r="D422" s="1" t="inlineStr">
        <is>
          <t>CYNTHIA CAO</t>
        </is>
      </c>
      <c r="E422" s="6" t="n">
        <v>757.05</v>
      </c>
      <c r="F422" s="4" t="n">
        <v>0</v>
      </c>
      <c r="G422" s="1" t="inlineStr">
        <is>
          <t>active</t>
        </is>
      </c>
      <c r="H422" s="1" t="inlineStr">
        <is>
          <t>YA TIENE COSTO EN SHOPIFY ($170.00, heredado hoy)</t>
        </is>
      </c>
    </row>
    <row r="423">
      <c r="A423" s="1" t="inlineStr">
        <is>
          <t>77978449197452</t>
        </is>
      </c>
      <c r="B423" s="1" t="inlineStr">
        <is>
          <t>PULSERA T CON ZIRCONIA Y COLOR TURQUESA</t>
        </is>
      </c>
      <c r="C423" s="1" t="inlineStr">
        <is>
          <t>16cm OUTLET</t>
        </is>
      </c>
      <c r="D423" s="1" t="inlineStr">
        <is>
          <t>CYNTHIA CAO</t>
        </is>
      </c>
      <c r="E423" s="6" t="n">
        <v>186</v>
      </c>
      <c r="F423" s="4" t="n">
        <v>0</v>
      </c>
      <c r="G423" s="1" t="inlineStr">
        <is>
          <t>active</t>
        </is>
      </c>
      <c r="H423" s="1" t="inlineStr">
        <is>
          <t>YA TIENE COSTO EN SHOPIFY ($159.20, heredado hoy)</t>
        </is>
      </c>
    </row>
    <row r="424">
      <c r="A424" s="1" t="inlineStr">
        <is>
          <t>94528381082273</t>
        </is>
      </c>
      <c r="B424" s="1" t="inlineStr">
        <is>
          <t>PULSERA DE CUENTAS CON INSIGNIA DE CORAZÓN ROSE GOLD</t>
        </is>
      </c>
      <c r="C424" s="1" t="inlineStr">
        <is>
          <t>18 cm</t>
        </is>
      </c>
      <c r="D424" s="1" t="inlineStr">
        <is>
          <t>COCOMA</t>
        </is>
      </c>
      <c r="E424" s="6" t="n">
        <v>525</v>
      </c>
      <c r="F424" s="4" t="n">
        <v>0</v>
      </c>
      <c r="G424" s="1" t="inlineStr">
        <is>
          <t>active</t>
        </is>
      </c>
      <c r="H424" s="1" t="inlineStr">
        <is>
          <t>YA TIENE COSTO EN SHOPIFY ($170.00, heredado hoy)</t>
        </is>
      </c>
    </row>
    <row r="425">
      <c r="A425" s="1" t="inlineStr">
        <is>
          <t>668eee4709a5fOUTLET</t>
        </is>
      </c>
      <c r="B425" s="1" t="inlineStr">
        <is>
          <t>PULSERA DE CUENTAS CON INSIGNIA DE CORAZÓN ROSE GOLD</t>
        </is>
      </c>
      <c r="C425" s="1" t="inlineStr">
        <is>
          <t>16 cm OUTLET</t>
        </is>
      </c>
      <c r="D425" s="1" t="inlineStr">
        <is>
          <t>COCOMA</t>
        </is>
      </c>
      <c r="E425" s="6" t="n">
        <v>450</v>
      </c>
      <c r="F425" s="4" t="n">
        <v>0</v>
      </c>
      <c r="G425" s="1" t="inlineStr">
        <is>
          <t>active</t>
        </is>
      </c>
      <c r="H425" s="1" t="inlineStr">
        <is>
          <t>YA TIENE COSTO EN SHOPIFY ($107.64, heredado hoy)</t>
        </is>
      </c>
    </row>
    <row r="426">
      <c r="A426" s="1" t="inlineStr">
        <is>
          <t>84883511059821</t>
        </is>
      </c>
      <c r="B426" s="1" t="inlineStr">
        <is>
          <t>PULSERA T ANGOSTA GOLD</t>
        </is>
      </c>
      <c r="C426" s="1" t="inlineStr">
        <is>
          <t>OUTLET</t>
        </is>
      </c>
      <c r="D426" s="1" t="inlineStr">
        <is>
          <t>CYNTHIA CAO</t>
        </is>
      </c>
      <c r="E426" s="6" t="n">
        <v>845</v>
      </c>
      <c r="F426" s="4" t="n">
        <v>0</v>
      </c>
      <c r="G426" s="1" t="inlineStr">
        <is>
          <t>active</t>
        </is>
      </c>
      <c r="H426" s="1" t="inlineStr">
        <is>
          <t>YA TIENE COSTO EN SHOPIFY ($364.26, heredado hoy)</t>
        </is>
      </c>
    </row>
    <row r="427">
      <c r="A427" s="1" t="inlineStr">
        <is>
          <t>43728084479180</t>
        </is>
      </c>
      <c r="B427" s="1" t="inlineStr">
        <is>
          <t>PULSERA DE CUENTAS CON INSIGNIA DE CORAZÓN RED</t>
        </is>
      </c>
      <c r="C427" s="1" t="inlineStr">
        <is>
          <t>16cm OUTLET</t>
        </is>
      </c>
      <c r="D427" s="1" t="inlineStr">
        <is>
          <t>HAIFENG</t>
        </is>
      </c>
      <c r="E427" s="6" t="n">
        <v>550</v>
      </c>
      <c r="F427" s="4" t="n">
        <v>0</v>
      </c>
      <c r="G427" s="1" t="inlineStr">
        <is>
          <t>active</t>
        </is>
      </c>
      <c r="H427" s="1" t="inlineStr">
        <is>
          <t>YA TIENE COSTO EN SHOPIFY ($105.16, heredado hoy)</t>
        </is>
      </c>
    </row>
    <row r="428">
      <c r="A428" s="1" t="inlineStr">
        <is>
          <t>43728084640140</t>
        </is>
      </c>
      <c r="B428" s="1" t="inlineStr">
        <is>
          <t>PULSERA DE CUENTAS CON INSIGNIA DE CORAZÓN RED</t>
        </is>
      </c>
      <c r="C428" s="1" t="inlineStr">
        <is>
          <t>17cm OUTLET</t>
        </is>
      </c>
      <c r="D428" s="1" t="inlineStr">
        <is>
          <t>HAIFENG</t>
        </is>
      </c>
      <c r="E428" s="6" t="n">
        <v>262.5</v>
      </c>
      <c r="F428" s="4" t="n">
        <v>0</v>
      </c>
      <c r="G428" s="1" t="inlineStr">
        <is>
          <t>active</t>
        </is>
      </c>
      <c r="H428" s="1" t="inlineStr">
        <is>
          <t>YA TIENE COSTO EN SHOPIFY ($105.12, heredado hoy)</t>
        </is>
      </c>
    </row>
    <row r="429">
      <c r="A429" s="1" t="inlineStr">
        <is>
          <t>43047222575244</t>
        </is>
      </c>
      <c r="B429" s="1" t="inlineStr">
        <is>
          <t>COLLAR ESLABON DOBLE CADENA GOLD</t>
        </is>
      </c>
      <c r="C429" s="1" t="inlineStr">
        <is>
          <t>45cm MIDDLE QUALITY</t>
        </is>
      </c>
      <c r="D429" s="1" t="inlineStr">
        <is>
          <t>CYNTHIA CAO</t>
        </is>
      </c>
      <c r="E429" s="6" t="n">
        <v>520</v>
      </c>
      <c r="F429" s="4" t="n">
        <v>0</v>
      </c>
      <c r="G429" s="1" t="inlineStr">
        <is>
          <t>active</t>
        </is>
      </c>
      <c r="H429" s="1" t="inlineStr">
        <is>
          <t>YA TIENE COSTO EN SHOPIFY ($245.04, heredado hoy)</t>
        </is>
      </c>
    </row>
    <row r="430">
      <c r="A430" s="1" t="inlineStr">
        <is>
          <t>81160679065868</t>
        </is>
      </c>
      <c r="B430" s="1" t="inlineStr">
        <is>
          <t>COLLAR ESLABON DOBLE CADENA GOLD</t>
        </is>
      </c>
      <c r="C430" s="1" t="inlineStr">
        <is>
          <t>44cm COPPER</t>
        </is>
      </c>
      <c r="D430" s="1" t="inlineStr">
        <is>
          <t>CYNTHIA CAO</t>
        </is>
      </c>
      <c r="E430" s="6" t="n">
        <v>514</v>
      </c>
      <c r="F430" s="4" t="n">
        <v>0</v>
      </c>
      <c r="G430" s="1" t="inlineStr">
        <is>
          <t>active</t>
        </is>
      </c>
      <c r="H430" s="1" t="inlineStr">
        <is>
          <t>YA TIENE COSTO EN SHOPIFY ($245.04, heredado hoy)</t>
        </is>
      </c>
    </row>
    <row r="431">
      <c r="A431" s="1" t="inlineStr">
        <is>
          <t>96963226112865</t>
        </is>
      </c>
      <c r="B431" s="1" t="inlineStr">
        <is>
          <t>PULSERA DE CUENTAS GOLD</t>
        </is>
      </c>
      <c r="C431" s="1" t="inlineStr">
        <is>
          <t>16cm High Quality</t>
        </is>
      </c>
      <c r="D431" s="1" t="inlineStr">
        <is>
          <t>COCOMA</t>
        </is>
      </c>
      <c r="E431" s="6" t="n">
        <v>599</v>
      </c>
      <c r="F431" s="4" t="n">
        <v>0</v>
      </c>
      <c r="G431" s="1" t="inlineStr">
        <is>
          <t>active</t>
        </is>
      </c>
      <c r="H431" s="1" t="inlineStr">
        <is>
          <t>YA TIENE COSTO EN SHOPIFY ($286.57, heredado hoy)</t>
        </is>
      </c>
    </row>
    <row r="432">
      <c r="A432" s="1" t="inlineStr">
        <is>
          <t>43047221198988OUTLET</t>
        </is>
      </c>
      <c r="B432" s="1" t="inlineStr">
        <is>
          <t>PULSERA DE CUENTAS GOLD</t>
        </is>
      </c>
      <c r="C432" s="1" t="inlineStr">
        <is>
          <t>17cm OUTLET</t>
        </is>
      </c>
      <c r="D432" s="1" t="inlineStr">
        <is>
          <t>COCOMA</t>
        </is>
      </c>
      <c r="E432" s="6" t="n">
        <v>370</v>
      </c>
      <c r="F432" s="4" t="n">
        <v>0</v>
      </c>
      <c r="G432" s="1" t="inlineStr">
        <is>
          <t>active</t>
        </is>
      </c>
      <c r="H432" s="1" t="inlineStr">
        <is>
          <t>YA TIENE COSTO EN SHOPIFY ($107.78, heredado hoy)</t>
        </is>
      </c>
    </row>
    <row r="433">
      <c r="A433" s="1" t="inlineStr">
        <is>
          <t>66849261086093</t>
        </is>
      </c>
      <c r="B433" s="1" t="inlineStr">
        <is>
          <t>PULSERA DE CUENTAS GOLD</t>
        </is>
      </c>
      <c r="C433" s="1" t="inlineStr">
        <is>
          <t>18CM</t>
        </is>
      </c>
      <c r="D433" s="1" t="inlineStr">
        <is>
          <t>COCOMA</t>
        </is>
      </c>
      <c r="E433" s="6" t="n">
        <v>525</v>
      </c>
      <c r="F433" s="4" t="n">
        <v>0</v>
      </c>
      <c r="G433" s="1" t="inlineStr">
        <is>
          <t>active</t>
        </is>
      </c>
      <c r="H433" s="1" t="inlineStr">
        <is>
          <t>YA TIENE COSTO EN SHOPIFY ($286.57, heredado hoy)</t>
        </is>
      </c>
    </row>
    <row r="434">
      <c r="A434" s="1" t="inlineStr">
        <is>
          <t>43047218708620</t>
        </is>
      </c>
      <c r="B434" s="1" t="inlineStr">
        <is>
          <t>COLLAR CON PASADOR Y PLACA ESTILO CORAZÓN SILVER</t>
        </is>
      </c>
      <c r="C434" s="1" t="inlineStr">
        <is>
          <t>44 cm OUTLET</t>
        </is>
      </c>
      <c r="D434" s="1" t="inlineStr">
        <is>
          <t>HAIFENG</t>
        </is>
      </c>
      <c r="E434" s="6" t="n">
        <v>485</v>
      </c>
      <c r="F434" s="4" t="n">
        <v>0</v>
      </c>
      <c r="G434" s="1" t="inlineStr">
        <is>
          <t>active</t>
        </is>
      </c>
      <c r="H434" s="1" t="inlineStr">
        <is>
          <t>YA TIENE COSTO EN SHOPIFY ($253.01, heredado hoy)</t>
        </is>
      </c>
    </row>
    <row r="435">
      <c r="A435" s="1" t="inlineStr">
        <is>
          <t>43047217758349</t>
        </is>
      </c>
      <c r="B435" s="1" t="inlineStr">
        <is>
          <t>ARETES CORAZÓN GRABADO GOLD</t>
        </is>
      </c>
      <c r="C435" s="1" t="inlineStr">
        <is>
          <t>OUTLET</t>
        </is>
      </c>
      <c r="D435" s="1" t="inlineStr">
        <is>
          <t>CYNTHIA CAO</t>
        </is>
      </c>
      <c r="E435" s="6" t="n">
        <v>440</v>
      </c>
      <c r="F435" s="4" t="n">
        <v>0</v>
      </c>
      <c r="G435" s="1" t="inlineStr">
        <is>
          <t>active</t>
        </is>
      </c>
      <c r="H435" s="1" t="inlineStr">
        <is>
          <t>YA TIENE COSTO EN SHOPIFY ($151.56, heredado hoy)</t>
        </is>
      </c>
    </row>
    <row r="436">
      <c r="A436" s="1" t="inlineStr">
        <is>
          <t>43047216840844</t>
        </is>
      </c>
      <c r="B436" s="1" t="inlineStr">
        <is>
          <t>PULSERA T CON GRABADO Y ZIRCONIA GOLD</t>
        </is>
      </c>
      <c r="C436" s="1" t="inlineStr">
        <is>
          <t>16cm</t>
        </is>
      </c>
      <c r="D436" s="1" t="inlineStr">
        <is>
          <t>COCOMA</t>
        </is>
      </c>
      <c r="E436" s="6" t="n">
        <v>499</v>
      </c>
      <c r="F436" s="4" t="n">
        <v>0</v>
      </c>
      <c r="G436" s="1" t="inlineStr">
        <is>
          <t>active</t>
        </is>
      </c>
      <c r="H436" s="1" t="inlineStr">
        <is>
          <t>Falta el costo de compra (no está en ninguna tabla de precios)</t>
        </is>
      </c>
    </row>
    <row r="437">
      <c r="A437" s="1" t="inlineStr">
        <is>
          <t>43047213498508</t>
        </is>
      </c>
      <c r="B437" s="1" t="inlineStr">
        <is>
          <t>COLLAR ESLABON DOBLE CADENA SILVER MZ</t>
        </is>
      </c>
      <c r="C437" s="1" t="inlineStr">
        <is>
          <t>45cm</t>
        </is>
      </c>
      <c r="D437" s="1" t="inlineStr">
        <is>
          <t>ANA FU</t>
        </is>
      </c>
      <c r="E437" s="6" t="n">
        <v>710</v>
      </c>
      <c r="F437" s="4" t="n">
        <v>0</v>
      </c>
      <c r="G437" s="1" t="inlineStr">
        <is>
          <t>active</t>
        </is>
      </c>
      <c r="H437" s="1" t="inlineStr">
        <is>
          <t>Falta el costo de compra (no está en ninguna tabla de precios)</t>
        </is>
      </c>
    </row>
    <row r="438">
      <c r="A438" s="1" t="inlineStr">
        <is>
          <t>75483431015533</t>
        </is>
      </c>
      <c r="B438" s="1" t="inlineStr">
        <is>
          <t>PULSERA KNOT GOLD</t>
        </is>
      </c>
      <c r="C438" s="1" t="inlineStr">
        <is>
          <t>17CM OUTLET</t>
        </is>
      </c>
      <c r="D438" s="1" t="inlineStr">
        <is>
          <t>CYNTHIA CAO</t>
        </is>
      </c>
      <c r="E438" s="6" t="n">
        <v>499</v>
      </c>
      <c r="F438" s="4" t="n">
        <v>0</v>
      </c>
      <c r="G438" s="1" t="inlineStr">
        <is>
          <t>active</t>
        </is>
      </c>
      <c r="H438" s="1" t="inlineStr">
        <is>
          <t>YA TIENE COSTO EN SHOPIFY ($365.75, heredado hoy)</t>
        </is>
      </c>
    </row>
    <row r="439">
      <c r="A439" s="1" t="inlineStr">
        <is>
          <t>67574d7be7028OUTLET</t>
        </is>
      </c>
      <c r="B439" s="1" t="inlineStr">
        <is>
          <t>PULSERA LOCK SILVER</t>
        </is>
      </c>
      <c r="C439" s="1" t="inlineStr">
        <is>
          <t>17.5cm OUTLET</t>
        </is>
      </c>
      <c r="D439" s="1" t="inlineStr">
        <is>
          <t>CYNTHIA CAO</t>
        </is>
      </c>
      <c r="E439" s="6" t="n">
        <v>750</v>
      </c>
      <c r="F439" s="4" t="n">
        <v>0</v>
      </c>
      <c r="G439" s="1" t="inlineStr">
        <is>
          <t>active</t>
        </is>
      </c>
      <c r="H439" s="1" t="inlineStr">
        <is>
          <t>YA TIENE COSTO EN SHOPIFY ($418.05, heredado hoy)</t>
        </is>
      </c>
    </row>
    <row r="440">
      <c r="A440" s="1" t="inlineStr">
        <is>
          <t>97692051056909</t>
        </is>
      </c>
      <c r="B440" s="1" t="inlineStr">
        <is>
          <t>PULSERA DE CUENTAS GOLD CON INSIGNIA DE CORAZÓN RED</t>
        </is>
      </c>
      <c r="C440" s="1" t="inlineStr">
        <is>
          <t>18cm</t>
        </is>
      </c>
      <c r="D440" s="1" t="inlineStr">
        <is>
          <t>COCOMA</t>
        </is>
      </c>
      <c r="E440" s="6" t="n">
        <v>525</v>
      </c>
      <c r="F440" s="4" t="n">
        <v>0</v>
      </c>
      <c r="G440" s="1" t="inlineStr">
        <is>
          <t>active</t>
        </is>
      </c>
      <c r="H440" s="1" t="inlineStr">
        <is>
          <t>YA TIENE COSTO EN SHOPIFY ($93.20, heredado hoy)</t>
        </is>
      </c>
    </row>
    <row r="441">
      <c r="A441" s="1" t="inlineStr">
        <is>
          <t>43728088298284</t>
        </is>
      </c>
      <c r="B441" s="1" t="inlineStr">
        <is>
          <t>PULSERA DE CUENTAS GOLD CON INSIGNIA DE CORAZÓN BLUE</t>
        </is>
      </c>
      <c r="C441" s="1" t="inlineStr">
        <is>
          <t>16cm OUTLET</t>
        </is>
      </c>
      <c r="D441" s="1" t="inlineStr">
        <is>
          <t>COCOMA</t>
        </is>
      </c>
      <c r="E441" s="6" t="n">
        <v>262.5</v>
      </c>
      <c r="F441" s="4" t="n">
        <v>0</v>
      </c>
      <c r="G441" s="1" t="inlineStr">
        <is>
          <t>active</t>
        </is>
      </c>
      <c r="H441" s="1" t="inlineStr">
        <is>
          <t>YA TIENE COSTO EN SHOPIFY ($113.38, heredado hoy)</t>
        </is>
      </c>
    </row>
    <row r="442">
      <c r="A442" s="1" t="inlineStr">
        <is>
          <t>96190291029293</t>
        </is>
      </c>
      <c r="B442" s="1" t="inlineStr">
        <is>
          <t>PULSERA DE CUENTAS GOLD CON INSIGNIA DE CORAZÓN BLUE</t>
        </is>
      </c>
      <c r="C442" s="1" t="inlineStr">
        <is>
          <t>18cm</t>
        </is>
      </c>
      <c r="D442" s="1" t="inlineStr">
        <is>
          <t>COCOMA</t>
        </is>
      </c>
      <c r="E442" s="6" t="n">
        <v>525</v>
      </c>
      <c r="F442" s="4" t="n">
        <v>0</v>
      </c>
      <c r="G442" s="1" t="inlineStr">
        <is>
          <t>active</t>
        </is>
      </c>
      <c r="H442" s="1" t="inlineStr">
        <is>
          <t>YA TIENE COSTO EN SHOPIFY ($93.20, heredado hoy)</t>
        </is>
      </c>
    </row>
    <row r="443">
      <c r="A443" s="1" t="inlineStr">
        <is>
          <t>42716221030381</t>
        </is>
      </c>
      <c r="B443" s="1" t="inlineStr">
        <is>
          <t>PULSERA DE CUENTAS GOLD CON INSIGNIA DE CORAZÓN BLUE</t>
        </is>
      </c>
      <c r="C443" s="1" t="inlineStr">
        <is>
          <t>17cm</t>
        </is>
      </c>
      <c r="D443" s="1" t="inlineStr">
        <is>
          <t>COCOMA</t>
        </is>
      </c>
      <c r="E443" s="6" t="n">
        <v>525</v>
      </c>
      <c r="F443" s="4" t="n">
        <v>0</v>
      </c>
      <c r="G443" s="1" t="inlineStr">
        <is>
          <t>active</t>
        </is>
      </c>
      <c r="H443" s="1" t="inlineStr">
        <is>
          <t>YA TIENE COSTO EN SHOPIFY ($93.20, heredado hoy)</t>
        </is>
      </c>
    </row>
    <row r="444">
      <c r="A444" s="1" t="inlineStr">
        <is>
          <t>43047209500812</t>
        </is>
      </c>
      <c r="B444" s="1" t="inlineStr">
        <is>
          <t>PULSERA T TURQUESA</t>
        </is>
      </c>
      <c r="C444" s="1" t="inlineStr">
        <is>
          <t>16cm</t>
        </is>
      </c>
      <c r="D444" s="1" t="inlineStr">
        <is>
          <t>ANA FU</t>
        </is>
      </c>
      <c r="E444" s="6" t="n">
        <v>550</v>
      </c>
      <c r="F444" s="4" t="n">
        <v>0</v>
      </c>
      <c r="G444" s="1" t="inlineStr">
        <is>
          <t>active</t>
        </is>
      </c>
      <c r="H444" s="1" t="inlineStr">
        <is>
          <t>Falta el costo de compra (no está en ninguna tabla de precios)</t>
        </is>
      </c>
    </row>
    <row r="445">
      <c r="A445" s="1" t="inlineStr">
        <is>
          <t>43047208517772OUTLET</t>
        </is>
      </c>
      <c r="B445" s="1" t="inlineStr">
        <is>
          <t>COLLAR ESLABÓN DOBLE CADENA ROSEGOLD</t>
        </is>
      </c>
      <c r="C445" s="1" t="inlineStr">
        <is>
          <t>47 CM OUTLET</t>
        </is>
      </c>
      <c r="D445" s="1" t="inlineStr">
        <is>
          <t>CYNTHIA CAO</t>
        </is>
      </c>
      <c r="E445" s="6" t="n">
        <v>700</v>
      </c>
      <c r="F445" s="4" t="n">
        <v>0</v>
      </c>
      <c r="G445" s="1" t="inlineStr">
        <is>
          <t>active</t>
        </is>
      </c>
      <c r="H445" s="1" t="inlineStr">
        <is>
          <t>YA TIENE COSTO EN SHOPIFY ($288.43, heredado hoy)</t>
        </is>
      </c>
    </row>
    <row r="446">
      <c r="A446" s="1" t="inlineStr">
        <is>
          <t>43047207010444outlet</t>
        </is>
      </c>
      <c r="B446" s="1" t="inlineStr">
        <is>
          <t>PULSERA T ANGOSTA SILVER</t>
        </is>
      </c>
      <c r="C446" s="1" t="inlineStr">
        <is>
          <t>16 cm Outlet</t>
        </is>
      </c>
      <c r="D446" s="1" t="inlineStr">
        <is>
          <t>CYNTHIA CAO</t>
        </is>
      </c>
      <c r="E446" s="6" t="n">
        <v>805</v>
      </c>
      <c r="F446" s="4" t="n">
        <v>0</v>
      </c>
      <c r="G446" s="1" t="inlineStr">
        <is>
          <t>active</t>
        </is>
      </c>
      <c r="H446" s="1" t="inlineStr">
        <is>
          <t>YA TIENE COSTO EN SHOPIFY ($365.56, heredado hoy)</t>
        </is>
      </c>
    </row>
    <row r="447">
      <c r="A447" s="1" t="inlineStr">
        <is>
          <t>78853626089740</t>
        </is>
      </c>
      <c r="B447" s="1" t="inlineStr">
        <is>
          <t>ANILLO LOCK ROSEGOLD-SILVER CON ZIRCONIAS</t>
        </is>
      </c>
      <c r="C447" s="1" t="inlineStr">
        <is>
          <t>6 middle quality</t>
        </is>
      </c>
      <c r="D447" s="1" t="inlineStr">
        <is>
          <t>CYNTHIA CAO</t>
        </is>
      </c>
      <c r="E447" s="6" t="n">
        <v>484</v>
      </c>
      <c r="F447" s="4" t="n">
        <v>0</v>
      </c>
      <c r="G447" s="1" t="inlineStr">
        <is>
          <t>active</t>
        </is>
      </c>
      <c r="H447" s="1" t="inlineStr">
        <is>
          <t>YA TIENE COSTO EN SHOPIFY ($236.00, heredado hoy)</t>
        </is>
      </c>
    </row>
    <row r="448">
      <c r="A448" s="1" t="inlineStr">
        <is>
          <t>37380841032909</t>
        </is>
      </c>
      <c r="B448" s="1" t="inlineStr">
        <is>
          <t>ANILLO LOCK ROSEGOLD-SILVER CON ZIRCONIAS</t>
        </is>
      </c>
      <c r="C448" s="1" t="inlineStr">
        <is>
          <t>7 OUTLET</t>
        </is>
      </c>
      <c r="D448" s="1" t="inlineStr">
        <is>
          <t>CYNTHIA CAO</t>
        </is>
      </c>
      <c r="E448" s="6" t="n">
        <v>451.5</v>
      </c>
      <c r="F448" s="4" t="n">
        <v>0</v>
      </c>
      <c r="G448" s="1" t="inlineStr">
        <is>
          <t>active</t>
        </is>
      </c>
      <c r="H448" s="1" t="inlineStr">
        <is>
          <t>YA TIENE COSTO EN SHOPIFY ($313.73, heredado hoy)</t>
        </is>
      </c>
    </row>
    <row r="449">
      <c r="A449" s="1" t="inlineStr">
        <is>
          <t>82224431799117</t>
        </is>
      </c>
      <c r="B449" s="1" t="inlineStr">
        <is>
          <t>ANILLO LOCK GOLD-SILVER CON ZIRCONIAS</t>
        </is>
      </c>
      <c r="C449" s="1" t="inlineStr">
        <is>
          <t>8 OUTLET</t>
        </is>
      </c>
      <c r="D449" s="1" t="inlineStr">
        <is>
          <t>CYNTHIA CAO</t>
        </is>
      </c>
      <c r="E449" s="6" t="n">
        <v>451.5</v>
      </c>
      <c r="F449" s="4" t="n">
        <v>0</v>
      </c>
      <c r="G449" s="1" t="inlineStr">
        <is>
          <t>active</t>
        </is>
      </c>
      <c r="H449" s="1" t="inlineStr">
        <is>
          <t>YA TIENE COSTO EN SHOPIFY ($313.73, heredado hoy)</t>
        </is>
      </c>
    </row>
    <row r="450">
      <c r="A450" s="1" t="inlineStr">
        <is>
          <t>79671681037421</t>
        </is>
      </c>
      <c r="B450" s="1" t="inlineStr">
        <is>
          <t>ANILLO LOCK GOLD-SILVER CON ZIRCONIAS</t>
        </is>
      </c>
      <c r="C450" s="1" t="inlineStr">
        <is>
          <t>6 middle quality</t>
        </is>
      </c>
      <c r="D450" s="1" t="inlineStr">
        <is>
          <t>CYNTHIA CAO</t>
        </is>
      </c>
      <c r="E450" s="6" t="n">
        <v>450</v>
      </c>
      <c r="F450" s="4" t="n">
        <v>0</v>
      </c>
      <c r="G450" s="1" t="inlineStr">
        <is>
          <t>active</t>
        </is>
      </c>
      <c r="H450" s="1" t="inlineStr">
        <is>
          <t>YA TIENE COSTO EN SHOPIFY ($236.00, heredado hoy)</t>
        </is>
      </c>
    </row>
    <row r="451">
      <c r="A451" s="1" t="inlineStr">
        <is>
          <t>42928881046317</t>
        </is>
      </c>
      <c r="B451" s="1" t="inlineStr">
        <is>
          <t>COLLAR KNOT GOLD</t>
        </is>
      </c>
      <c r="C451" s="1" t="inlineStr">
        <is>
          <t>40 cm OUTLET</t>
        </is>
      </c>
      <c r="D451" s="1" t="inlineStr">
        <is>
          <t>NANCY VIP</t>
        </is>
      </c>
      <c r="E451" s="6" t="n">
        <v>420</v>
      </c>
      <c r="F451" s="4" t="n">
        <v>0</v>
      </c>
      <c r="G451" s="1" t="inlineStr">
        <is>
          <t>active</t>
        </is>
      </c>
      <c r="H451" s="1" t="inlineStr">
        <is>
          <t>YA TIENE COSTO EN SHOPIFY ($136.61, heredado hoy)</t>
        </is>
      </c>
    </row>
    <row r="452">
      <c r="A452" s="1" t="inlineStr">
        <is>
          <t>43047204749453</t>
        </is>
      </c>
      <c r="B452" s="1" t="inlineStr">
        <is>
          <t>ARRACADAS T CORAZÓN</t>
        </is>
      </c>
      <c r="C452" s="1" t="inlineStr">
        <is>
          <t>OUTLET</t>
        </is>
      </c>
      <c r="D452" s="1" t="inlineStr">
        <is>
          <t>NANCY VIP</t>
        </is>
      </c>
      <c r="E452" s="6" t="n">
        <v>210</v>
      </c>
      <c r="F452" s="4" t="n">
        <v>0</v>
      </c>
      <c r="G452" s="1" t="inlineStr">
        <is>
          <t>active</t>
        </is>
      </c>
      <c r="H452" s="1" t="inlineStr">
        <is>
          <t>YA TIENE COSTO EN SHOPIFY ($132.54, heredado hoy)</t>
        </is>
      </c>
    </row>
    <row r="453">
      <c r="A453" s="1" t="inlineStr">
        <is>
          <t>95584551005409</t>
        </is>
      </c>
      <c r="B453" s="1" t="inlineStr">
        <is>
          <t>PULSERA DE CUENTAS CON INSIGNIA DE CORAZÓN PINK</t>
        </is>
      </c>
      <c r="C453" s="1" t="inlineStr">
        <is>
          <t>20 cm</t>
        </is>
      </c>
      <c r="D453" s="1" t="inlineStr">
        <is>
          <t>HAIFENG</t>
        </is>
      </c>
      <c r="E453" s="6" t="n">
        <v>550</v>
      </c>
      <c r="F453" s="4" t="n">
        <v>0</v>
      </c>
      <c r="G453" s="1" t="inlineStr">
        <is>
          <t>active</t>
        </is>
      </c>
      <c r="H453" s="1" t="inlineStr">
        <is>
          <t>YA TIENE COSTO EN SHOPIFY ($100.00, heredado hoy)</t>
        </is>
      </c>
    </row>
    <row r="454">
      <c r="A454" s="1" t="inlineStr">
        <is>
          <t>11966951037197</t>
        </is>
      </c>
      <c r="B454" s="1" t="inlineStr">
        <is>
          <t>PULSERA DE CUENTAS CON INSIGNIA DE CORAZÓN BLUE</t>
        </is>
      </c>
      <c r="C454" s="1" t="inlineStr">
        <is>
          <t>15 cm</t>
        </is>
      </c>
      <c r="D454" s="1" t="inlineStr">
        <is>
          <t>HAIFENG</t>
        </is>
      </c>
      <c r="E454" s="6" t="n">
        <v>550</v>
      </c>
      <c r="F454" s="4" t="n">
        <v>0</v>
      </c>
      <c r="G454" s="1" t="inlineStr">
        <is>
          <t>active</t>
        </is>
      </c>
      <c r="H454" s="1" t="inlineStr">
        <is>
          <t>YA TIENE COSTO EN SHOPIFY ($170.00, heredado hoy)</t>
        </is>
      </c>
    </row>
    <row r="455">
      <c r="A455" s="1" t="inlineStr">
        <is>
          <t>76347331092045</t>
        </is>
      </c>
      <c r="B455" s="1" t="inlineStr">
        <is>
          <t>PULSERA DE CUENTAS CON INSIGNIA DE CORAZÓN BLUE</t>
        </is>
      </c>
      <c r="C455" s="1" t="inlineStr">
        <is>
          <t>18 cm OUTLET</t>
        </is>
      </c>
      <c r="D455" s="1" t="inlineStr">
        <is>
          <t>HAIFENG</t>
        </is>
      </c>
      <c r="E455" s="6" t="n">
        <v>425</v>
      </c>
      <c r="F455" s="4" t="n">
        <v>0</v>
      </c>
      <c r="G455" s="1" t="inlineStr">
        <is>
          <t>active</t>
        </is>
      </c>
      <c r="H455" s="1" t="inlineStr">
        <is>
          <t>YA TIENE COSTO EN SHOPIFY ($105.01, heredado hoy)</t>
        </is>
      </c>
    </row>
    <row r="456">
      <c r="A456" s="1" t="inlineStr">
        <is>
          <t>69260501056749</t>
        </is>
      </c>
      <c r="B456" s="1" t="inlineStr">
        <is>
          <t>PULSERA DE CUENTAS CON INSIGNIA DE CORAZÓN BLUE</t>
        </is>
      </c>
      <c r="C456" s="1" t="inlineStr">
        <is>
          <t>17cm OUTLET</t>
        </is>
      </c>
      <c r="D456" s="1" t="inlineStr">
        <is>
          <t>HAIFENG</t>
        </is>
      </c>
      <c r="E456" s="6" t="n">
        <v>459</v>
      </c>
      <c r="F456" s="4" t="n">
        <v>0</v>
      </c>
      <c r="G456" s="1" t="inlineStr">
        <is>
          <t>active</t>
        </is>
      </c>
      <c r="H456" s="1" t="inlineStr">
        <is>
          <t>YA TIENE COSTO EN SHOPIFY ($105.26, heredado hoy)</t>
        </is>
      </c>
    </row>
    <row r="457">
      <c r="A457" s="1" t="inlineStr">
        <is>
          <t>43728081817996</t>
        </is>
      </c>
      <c r="B457" s="1" t="inlineStr">
        <is>
          <t>COLLAR DOBLE PLACA CORAZÓN ROSA-PLATA</t>
        </is>
      </c>
      <c r="C457" s="1" t="inlineStr">
        <is>
          <t>OUTLET</t>
        </is>
      </c>
      <c r="D457" s="1" t="inlineStr">
        <is>
          <t>CYNTHIA CAO</t>
        </is>
      </c>
      <c r="E457" s="6" t="n">
        <v>475</v>
      </c>
      <c r="F457" s="4" t="n">
        <v>0</v>
      </c>
      <c r="G457" s="1" t="inlineStr">
        <is>
          <t>active</t>
        </is>
      </c>
      <c r="H457" s="1" t="inlineStr">
        <is>
          <t>YA TIENE COSTO EN SHOPIFY ($270.14, heredado hoy)</t>
        </is>
      </c>
    </row>
    <row r="458">
      <c r="A458" s="1" t="inlineStr">
        <is>
          <t>77661961089325</t>
        </is>
      </c>
      <c r="B458" s="1" t="inlineStr">
        <is>
          <t>COLLAR DOBLE PLACA CORAZÓN TURQUESA-PLATA</t>
        </is>
      </c>
      <c r="C458" s="1" t="inlineStr">
        <is>
          <t>Stainless Steel</t>
        </is>
      </c>
      <c r="D458" s="1" t="inlineStr">
        <is>
          <t>HAIFENG</t>
        </is>
      </c>
      <c r="E458" s="6" t="n">
        <v>950</v>
      </c>
      <c r="F458" s="4" t="n">
        <v>0</v>
      </c>
      <c r="G458" s="1" t="inlineStr">
        <is>
          <t>active</t>
        </is>
      </c>
      <c r="H458" s="1" t="inlineStr">
        <is>
          <t>YA TIENE COSTO EN SHOPIFY ($105.11, heredado hoy)</t>
        </is>
      </c>
    </row>
    <row r="459">
      <c r="A459" s="1" t="inlineStr">
        <is>
          <t>10100245345292</t>
        </is>
      </c>
      <c r="B459" s="1" t="inlineStr">
        <is>
          <t>COLLAR DOBLE PLACA CORAZÓN TURQUESA-PLATA</t>
        </is>
      </c>
      <c r="C459" s="1" t="inlineStr">
        <is>
          <t>OUTLET</t>
        </is>
      </c>
      <c r="D459" s="1" t="inlineStr">
        <is>
          <t>HAIFENG</t>
        </is>
      </c>
      <c r="E459" s="6" t="n">
        <v>475</v>
      </c>
      <c r="F459" s="4" t="n">
        <v>0</v>
      </c>
      <c r="G459" s="1" t="inlineStr">
        <is>
          <t>active</t>
        </is>
      </c>
      <c r="H459" s="1" t="inlineStr">
        <is>
          <t>YA TIENE COSTO EN SHOPIFY ($105.11, heredado hoy)</t>
        </is>
      </c>
    </row>
    <row r="460">
      <c r="A460" s="1" t="inlineStr">
        <is>
          <t>66148647460876</t>
        </is>
      </c>
      <c r="B460" s="1" t="inlineStr">
        <is>
          <t>COLLAR DOBLE PLACA CORAZÓN ROJO-PLATA</t>
        </is>
      </c>
      <c r="C460" s="1" t="inlineStr">
        <is>
          <t>OUTLET</t>
        </is>
      </c>
      <c r="D460" s="1" t="inlineStr">
        <is>
          <t>HAIFENG</t>
        </is>
      </c>
      <c r="E460" s="6" t="n">
        <v>475</v>
      </c>
      <c r="F460" s="4" t="n">
        <v>0</v>
      </c>
      <c r="G460" s="1" t="inlineStr">
        <is>
          <t>active</t>
        </is>
      </c>
      <c r="H460" s="1" t="inlineStr">
        <is>
          <t>YA TIENE COSTO EN SHOPIFY ($105.47, heredado hoy)</t>
        </is>
      </c>
    </row>
    <row r="461">
      <c r="A461" s="1" t="inlineStr">
        <is>
          <t>99773561041933</t>
        </is>
      </c>
      <c r="B461" s="1" t="inlineStr">
        <is>
          <t>ANILLO T GOLD</t>
        </is>
      </c>
      <c r="C461" s="1" t="inlineStr">
        <is>
          <t>8 OUTLET</t>
        </is>
      </c>
      <c r="D461" s="1" t="inlineStr">
        <is>
          <t>HAIFENG</t>
        </is>
      </c>
      <c r="E461" s="6" t="n">
        <v>375</v>
      </c>
      <c r="F461" s="4" t="n">
        <v>0</v>
      </c>
      <c r="G461" s="1" t="inlineStr">
        <is>
          <t>active</t>
        </is>
      </c>
      <c r="H461" s="1" t="inlineStr">
        <is>
          <t>YA TIENE COSTO EN SHOPIFY ($105.54, heredado hoy)</t>
        </is>
      </c>
    </row>
    <row r="462">
      <c r="A462" s="1" t="inlineStr">
        <is>
          <t>59977461071949</t>
        </is>
      </c>
      <c r="B462" s="1" t="inlineStr">
        <is>
          <t>COLLAR DOBLE PLACA - GOLD PINK</t>
        </is>
      </c>
      <c r="C462" s="1" t="inlineStr">
        <is>
          <t>MIDDLE QUALITY</t>
        </is>
      </c>
      <c r="D462" s="1" t="inlineStr">
        <is>
          <t>ZOEY</t>
        </is>
      </c>
      <c r="E462" s="6" t="n">
        <v>820</v>
      </c>
      <c r="F462" s="4" t="n">
        <v>0</v>
      </c>
      <c r="G462" s="1" t="inlineStr">
        <is>
          <t>active</t>
        </is>
      </c>
      <c r="H462" s="1" t="inlineStr">
        <is>
          <t>YA TIENE COSTO EN SHOPIFY ($234.28, heredado hoy)</t>
        </is>
      </c>
    </row>
    <row r="463">
      <c r="A463" s="1" t="inlineStr">
        <is>
          <t>59977471154797</t>
        </is>
      </c>
      <c r="B463" s="1" t="inlineStr">
        <is>
          <t>COLLAR DOBLE PLACA - GOLD PINK</t>
        </is>
      </c>
      <c r="C463" s="1" t="inlineStr">
        <is>
          <t>MIDDLE QUALITY OUTLET</t>
        </is>
      </c>
      <c r="D463" s="1" t="inlineStr">
        <is>
          <t>ZOEY</t>
        </is>
      </c>
      <c r="E463" s="6" t="n">
        <v>750</v>
      </c>
      <c r="F463" s="4" t="n">
        <v>0</v>
      </c>
      <c r="G463" s="1" t="inlineStr">
        <is>
          <t>active</t>
        </is>
      </c>
      <c r="H463" s="1" t="inlineStr">
        <is>
          <t>YA TIENE COSTO EN SHOPIFY ($231.35, heredado hoy)</t>
        </is>
      </c>
    </row>
    <row r="464">
      <c r="A464" s="1" t="inlineStr">
        <is>
          <t>6737d91d66417outlet</t>
        </is>
      </c>
      <c r="B464" s="1" t="inlineStr">
        <is>
          <t>TARJETERO CD SADDLE</t>
        </is>
      </c>
      <c r="C464" s="1" t="inlineStr">
        <is>
          <t>11cm de largo x 8cm de Alto Outlet</t>
        </is>
      </c>
      <c r="D464" s="1" t="inlineStr">
        <is>
          <t>ZOEY</t>
        </is>
      </c>
      <c r="E464" s="6" t="n">
        <v>1112</v>
      </c>
      <c r="F464" s="4" t="n">
        <v>0</v>
      </c>
      <c r="G464" s="1" t="inlineStr">
        <is>
          <t>active</t>
        </is>
      </c>
      <c r="H464" s="1" t="inlineStr">
        <is>
          <t>YA TIENE COSTO EN SHOPIFY ($458.37, heredado hoy)</t>
        </is>
      </c>
    </row>
    <row r="465">
      <c r="A465" s="1" t="inlineStr">
        <is>
          <t>43728083564972</t>
        </is>
      </c>
      <c r="B465" s="1" t="inlineStr">
        <is>
          <t>BOLSO CD 30 MONTAIGNE</t>
        </is>
      </c>
      <c r="C465" s="1" t="inlineStr">
        <is>
          <t>22.5cm de largo x 12cm de alto x 6.5cm de ancho</t>
        </is>
      </c>
      <c r="D465" s="1" t="inlineStr">
        <is>
          <t>ZOEY</t>
        </is>
      </c>
      <c r="E465" s="6" t="n">
        <v>4323.21</v>
      </c>
      <c r="F465" s="4" t="n">
        <v>0</v>
      </c>
      <c r="G465" s="1" t="inlineStr">
        <is>
          <t>active</t>
        </is>
      </c>
      <c r="H465" s="1" t="inlineStr">
        <is>
          <t>YA TIENE COSTO EN SHOPIFY ($1040.00, heredado hoy)</t>
        </is>
      </c>
    </row>
    <row r="466">
      <c r="A466" s="1" t="inlineStr">
        <is>
          <t>43728084150892</t>
        </is>
      </c>
      <c r="B466" s="1" t="inlineStr">
        <is>
          <t>BOLSO JM CHERRY</t>
        </is>
      </c>
      <c r="C466" s="1" t="inlineStr">
        <is>
          <t>15cm de alto x 19.5cm de largo x 7.5cm de ancho</t>
        </is>
      </c>
      <c r="D466" s="1" t="inlineStr">
        <is>
          <t>DINA DU</t>
        </is>
      </c>
      <c r="E466" s="6" t="n">
        <v>1500</v>
      </c>
      <c r="F466" s="4" t="n">
        <v>0</v>
      </c>
      <c r="G466" s="1" t="inlineStr">
        <is>
          <t>active</t>
        </is>
      </c>
      <c r="H466" s="1" t="inlineStr">
        <is>
          <t>Falta el costo de compra (no está en ninguna tabla de precios)</t>
        </is>
      </c>
    </row>
    <row r="467">
      <c r="A467" s="1" t="inlineStr">
        <is>
          <t>68802901721612</t>
        </is>
      </c>
      <c r="B467" s="1" t="inlineStr">
        <is>
          <t>BOLSO LV DISTRICT BLACK</t>
        </is>
      </c>
      <c r="C467" s="1" t="inlineStr">
        <is>
          <t>HIGH QUALITY</t>
        </is>
      </c>
      <c r="D467" s="1" t="inlineStr">
        <is>
          <t>DINA DU</t>
        </is>
      </c>
      <c r="E467" s="6" t="n">
        <v>1998</v>
      </c>
      <c r="F467" s="4" t="n">
        <v>0</v>
      </c>
      <c r="G467" s="1" t="inlineStr">
        <is>
          <t>active</t>
        </is>
      </c>
      <c r="H467" s="1" t="inlineStr">
        <is>
          <t>YA TIENE COSTO EN SHOPIFY ($439.46, heredado hoy)</t>
        </is>
      </c>
    </row>
    <row r="468">
      <c r="A468" s="1" t="inlineStr">
        <is>
          <t>43728095196716</t>
        </is>
      </c>
      <c r="B468" s="1" t="inlineStr">
        <is>
          <t>ANUA HEARTLEAF PORE CONTROL CLEANSING OIL</t>
        </is>
      </c>
      <c r="C468" s="1" t="inlineStr">
        <is>
          <t>200mL</t>
        </is>
      </c>
      <c r="D468" s="1" t="inlineStr">
        <is>
          <t>Old Money Mexico</t>
        </is>
      </c>
      <c r="E468" s="6" t="n">
        <v>493</v>
      </c>
      <c r="F468" s="4" t="n">
        <v>0</v>
      </c>
      <c r="G468" s="1" t="inlineStr">
        <is>
          <t>active</t>
        </is>
      </c>
      <c r="H468" s="1" t="inlineStr">
        <is>
          <t>Falta el costo de compra (no está en ninguna tabla de precios)</t>
        </is>
      </c>
    </row>
    <row r="469">
      <c r="A469" s="1" t="inlineStr">
        <is>
          <t>43728095229484</t>
        </is>
      </c>
      <c r="B469" s="1" t="inlineStr">
        <is>
          <t>ANUA HEARTLEAF PORE CONTROL CLEANSING OIL</t>
        </is>
      </c>
      <c r="C469" s="1" t="inlineStr">
        <is>
          <t>20mL</t>
        </is>
      </c>
      <c r="D469" s="1" t="inlineStr">
        <is>
          <t>Old Money Mexico</t>
        </is>
      </c>
      <c r="E469" s="6" t="n">
        <v>246.5</v>
      </c>
      <c r="F469" s="4" t="n">
        <v>0</v>
      </c>
      <c r="G469" s="1" t="inlineStr">
        <is>
          <t>active</t>
        </is>
      </c>
      <c r="H469" s="1" t="inlineStr">
        <is>
          <t>Falta el costo de compra (no está en ninguna tabla de precios)</t>
        </is>
      </c>
    </row>
    <row r="470">
      <c r="A470" s="1" t="inlineStr">
        <is>
          <t>43728095329004</t>
        </is>
      </c>
      <c r="B470" s="1" t="inlineStr">
        <is>
          <t>ANUA HEARTLEAF QUERCETINOL PORE DEEP CLEANSING FOAM 150mL</t>
        </is>
      </c>
      <c r="C470" s="1" t="inlineStr">
        <is>
          <t>Default Title</t>
        </is>
      </c>
      <c r="D470" s="1" t="inlineStr">
        <is>
          <t>Old Money Mexico</t>
        </is>
      </c>
      <c r="E470" s="6" t="n">
        <v>493</v>
      </c>
      <c r="F470" s="4" t="n">
        <v>0</v>
      </c>
      <c r="G470" s="1" t="inlineStr">
        <is>
          <t>active</t>
        </is>
      </c>
      <c r="H470" s="1" t="inlineStr">
        <is>
          <t>YA TIENE COSTO EN SHOPIFY ($250.00, heredado hoy)</t>
        </is>
      </c>
    </row>
    <row r="471">
      <c r="A471" s="1" t="inlineStr">
        <is>
          <t>43728096953740</t>
        </is>
      </c>
      <c r="B471" s="1" t="inlineStr">
        <is>
          <t>ROUND LAB 1025 DOKDO TONER</t>
        </is>
      </c>
      <c r="C471" s="1" t="inlineStr">
        <is>
          <t>200mL</t>
        </is>
      </c>
      <c r="D471" s="1" t="inlineStr">
        <is>
          <t>Old Money Mexico</t>
        </is>
      </c>
      <c r="E471" s="6" t="n">
        <v>105.5</v>
      </c>
      <c r="F471" s="4" t="n">
        <v>0</v>
      </c>
      <c r="G471" s="1" t="inlineStr">
        <is>
          <t>active</t>
        </is>
      </c>
      <c r="H471" s="1" t="inlineStr">
        <is>
          <t>Falta el costo de compra (no está en ninguna tabla de precios)</t>
        </is>
      </c>
    </row>
    <row r="472">
      <c r="A472" s="1" t="inlineStr">
        <is>
          <t>93216720447277</t>
        </is>
      </c>
      <c r="B472" s="1" t="inlineStr">
        <is>
          <t>RELOJ RX OYSTER PERPETUAL GREEN</t>
        </is>
      </c>
      <c r="C472" s="1" t="inlineStr">
        <is>
          <t>OUTLET SIN CAJA</t>
        </is>
      </c>
      <c r="D472" s="1" t="inlineStr">
        <is>
          <t>ZOEY</t>
        </is>
      </c>
      <c r="E472" s="6" t="n">
        <v>3000</v>
      </c>
      <c r="F472" s="4" t="n">
        <v>0</v>
      </c>
      <c r="G472" s="1" t="inlineStr">
        <is>
          <t>active</t>
        </is>
      </c>
      <c r="H472" s="1" t="inlineStr">
        <is>
          <t>YA TIENE COSTO EN SHOPIFY ($1055.19, heredado hoy)</t>
        </is>
      </c>
    </row>
    <row r="473">
      <c r="A473" s="1" t="inlineStr">
        <is>
          <t>66ec814e52941</t>
        </is>
      </c>
      <c r="B473" s="1" t="inlineStr">
        <is>
          <t>BOLSO BT MINI GREEN</t>
        </is>
      </c>
      <c r="C473" s="1" t="inlineStr">
        <is>
          <t>28cm de largo x 17cm de alto</t>
        </is>
      </c>
      <c r="D473" s="1" t="inlineStr">
        <is>
          <t>ZOEY</t>
        </is>
      </c>
      <c r="E473" s="6" t="n">
        <v>2000</v>
      </c>
      <c r="F473" s="4" t="n">
        <v>0</v>
      </c>
      <c r="G473" s="1" t="inlineStr">
        <is>
          <t>active</t>
        </is>
      </c>
      <c r="H473" s="1" t="inlineStr">
        <is>
          <t>Falta el costo de compra (no está en ninguna tabla de precios)</t>
        </is>
      </c>
    </row>
    <row r="474">
      <c r="A474" s="1" t="inlineStr">
        <is>
          <t>66ec814d9cc3b</t>
        </is>
      </c>
      <c r="B474" s="1" t="inlineStr">
        <is>
          <t>BOLSO BT MINI BLACK</t>
        </is>
      </c>
      <c r="C474" s="1" t="inlineStr">
        <is>
          <t>28cm de largo x 17cm de alto (REMATE)</t>
        </is>
      </c>
      <c r="D474" s="1" t="inlineStr">
        <is>
          <t>ZOEY</t>
        </is>
      </c>
      <c r="E474" s="6" t="n">
        <v>2627.8</v>
      </c>
      <c r="F474" s="4" t="n">
        <v>0</v>
      </c>
      <c r="G474" s="1" t="inlineStr">
        <is>
          <t>active</t>
        </is>
      </c>
      <c r="H474" s="1" t="inlineStr">
        <is>
          <t>Falta el costo de compra (no está en ninguna tabla de precios)</t>
        </is>
      </c>
    </row>
    <row r="475">
      <c r="A475" s="1" t="inlineStr">
        <is>
          <t>66ec814cb0079</t>
        </is>
      </c>
      <c r="B475" s="1" t="inlineStr">
        <is>
          <t>BOLSO BT MINI ORANGE</t>
        </is>
      </c>
      <c r="C475" s="1" t="inlineStr">
        <is>
          <t>28cm de largo x 17cm de alto</t>
        </is>
      </c>
      <c r="D475" s="1" t="inlineStr">
        <is>
          <t>ZOEY</t>
        </is>
      </c>
      <c r="E475" s="6" t="n">
        <v>1900</v>
      </c>
      <c r="F475" s="4" t="n">
        <v>0</v>
      </c>
      <c r="G475" s="1" t="inlineStr">
        <is>
          <t>active</t>
        </is>
      </c>
      <c r="H475" s="1" t="inlineStr">
        <is>
          <t>YA TIENE COSTO EN SHOPIFY ($1248.30, heredado hoy)</t>
        </is>
      </c>
    </row>
    <row r="476">
      <c r="A476" s="1" t="inlineStr">
        <is>
          <t>66ec814b96ded</t>
        </is>
      </c>
      <c r="B476" s="1" t="inlineStr">
        <is>
          <t>BOLSO BT MINI PINK</t>
        </is>
      </c>
      <c r="C476" s="1" t="inlineStr">
        <is>
          <t>28cm de largo x 17cm de alto (REMATE)</t>
        </is>
      </c>
      <c r="D476" s="1" t="inlineStr">
        <is>
          <t>ZOEY</t>
        </is>
      </c>
      <c r="E476" s="6" t="n">
        <v>2627.8</v>
      </c>
      <c r="F476" s="4" t="n">
        <v>0</v>
      </c>
      <c r="G476" s="1" t="inlineStr">
        <is>
          <t>active</t>
        </is>
      </c>
      <c r="H476" s="1" t="inlineStr">
        <is>
          <t>Falta el costo de compra (no está en ninguna tabla de precios)</t>
        </is>
      </c>
    </row>
    <row r="477">
      <c r="A477" s="1" t="inlineStr">
        <is>
          <t>66ec814a34a4c</t>
        </is>
      </c>
      <c r="B477" s="1" t="inlineStr">
        <is>
          <t>BOLSO BT MINI BROWN</t>
        </is>
      </c>
      <c r="C477" s="1" t="inlineStr">
        <is>
          <t>28cm de largo x 17cm de alto</t>
        </is>
      </c>
      <c r="D477" s="1" t="inlineStr">
        <is>
          <t>ZOEY</t>
        </is>
      </c>
      <c r="E477" s="6" t="n">
        <v>3754</v>
      </c>
      <c r="F477" s="4" t="n">
        <v>0</v>
      </c>
      <c r="G477" s="1" t="inlineStr">
        <is>
          <t>active</t>
        </is>
      </c>
      <c r="H477" s="1" t="inlineStr">
        <is>
          <t>Falta el costo de compra (no está en ninguna tabla de precios)</t>
        </is>
      </c>
    </row>
    <row r="478">
      <c r="A478" s="1" t="inlineStr">
        <is>
          <t>6701d279938e2</t>
        </is>
      </c>
      <c r="B478" s="1" t="inlineStr">
        <is>
          <t>BOLSO JODIE BT GREEN LIME</t>
        </is>
      </c>
      <c r="C478" s="1" t="inlineStr">
        <is>
          <t>26cm de largo x 23cm de alto</t>
        </is>
      </c>
      <c r="D478" s="1" t="inlineStr">
        <is>
          <t>CYNTHIA CAO</t>
        </is>
      </c>
      <c r="E478" s="6" t="n">
        <v>1250</v>
      </c>
      <c r="F478" s="4" t="n">
        <v>0</v>
      </c>
      <c r="G478" s="1" t="inlineStr">
        <is>
          <t>active</t>
        </is>
      </c>
      <c r="H478" s="1" t="inlineStr">
        <is>
          <t>YA TIENE COSTO EN SHOPIFY ($806.45, heredado hoy)</t>
        </is>
      </c>
    </row>
    <row r="479">
      <c r="A479" s="1" t="inlineStr">
        <is>
          <t>43728099271500</t>
        </is>
      </c>
      <c r="B479" s="1" t="inlineStr">
        <is>
          <t>PULSERA VW BAS RELIEF PEARL GOLD</t>
        </is>
      </c>
      <c r="C479" s="1" t="inlineStr">
        <is>
          <t>17cm con 3cm de Extension</t>
        </is>
      </c>
      <c r="D479" s="1" t="inlineStr">
        <is>
          <t>CYNTHIA CAO</t>
        </is>
      </c>
      <c r="E479" s="6" t="n">
        <v>350</v>
      </c>
      <c r="F479" s="4" t="n">
        <v>0</v>
      </c>
      <c r="G479" s="1" t="inlineStr">
        <is>
          <t>active</t>
        </is>
      </c>
      <c r="H479" s="1" t="inlineStr">
        <is>
          <t>Falta el costo de compra (no está en ninguna tabla de precios)</t>
        </is>
      </c>
    </row>
    <row r="480">
      <c r="A480" s="1" t="inlineStr">
        <is>
          <t>6701d271613b9</t>
        </is>
      </c>
      <c r="B480" s="1" t="inlineStr">
        <is>
          <t>ARETES VW CANDY GOLD</t>
        </is>
      </c>
      <c r="C480" s="1" t="inlineStr">
        <is>
          <t>Default Title</t>
        </is>
      </c>
      <c r="D480" s="1" t="inlineStr">
        <is>
          <t>CYNTHIA CAO</t>
        </is>
      </c>
      <c r="E480" s="6" t="n">
        <v>500</v>
      </c>
      <c r="F480" s="4" t="n">
        <v>0</v>
      </c>
      <c r="G480" s="1" t="inlineStr">
        <is>
          <t>active</t>
        </is>
      </c>
      <c r="H480" s="1" t="inlineStr">
        <is>
          <t>YA TIENE COSTO EN SHOPIFY ($182.74, heredado hoy)</t>
        </is>
      </c>
    </row>
    <row r="481">
      <c r="A481" s="1" t="inlineStr">
        <is>
          <t>6701d26eeaa45</t>
        </is>
      </c>
      <c r="B481" s="1" t="inlineStr">
        <is>
          <t>LENTES DE SOL MM GLIMPSE LEOPARDO</t>
        </is>
      </c>
      <c r="C481" s="1" t="inlineStr">
        <is>
          <t>Default Title</t>
        </is>
      </c>
      <c r="D481" s="1" t="inlineStr">
        <is>
          <t>CYNTHIA CAO</t>
        </is>
      </c>
      <c r="E481" s="6" t="n">
        <v>2665</v>
      </c>
      <c r="F481" s="4" t="n">
        <v>0</v>
      </c>
      <c r="G481" s="1" t="inlineStr">
        <is>
          <t>active</t>
        </is>
      </c>
      <c r="H481" s="1" t="inlineStr">
        <is>
          <t>Falta el costo de compra (no está en ninguna tabla de precios)</t>
        </is>
      </c>
    </row>
    <row r="482">
      <c r="A482" s="1" t="inlineStr">
        <is>
          <t>51747701018221</t>
        </is>
      </c>
      <c r="B482" s="1" t="inlineStr">
        <is>
          <t>LENTES DE SOL MM GLIMPSE BLACK</t>
        </is>
      </c>
      <c r="C482" s="1" t="inlineStr">
        <is>
          <t>OUTLET</t>
        </is>
      </c>
      <c r="D482" s="1" t="inlineStr">
        <is>
          <t>CYNTHIA CAO</t>
        </is>
      </c>
      <c r="E482" s="6" t="n">
        <v>1554</v>
      </c>
      <c r="F482" s="4" t="n">
        <v>0</v>
      </c>
      <c r="G482" s="1" t="inlineStr">
        <is>
          <t>active</t>
        </is>
      </c>
      <c r="H482" s="1" t="inlineStr">
        <is>
          <t>YA TIENE COSTO EN SHOPIFY ($839.72, heredado hoy)</t>
        </is>
      </c>
    </row>
    <row r="483">
      <c r="A483" s="1" t="inlineStr">
        <is>
          <t>6701d2635aeff</t>
        </is>
      </c>
      <c r="B483" s="1" t="inlineStr">
        <is>
          <t>ANILLO P ME RED</t>
        </is>
      </c>
      <c r="C483" s="1" t="n">
        <v>7</v>
      </c>
      <c r="D483" s="1" t="inlineStr">
        <is>
          <t>CYNTHIA CAO</t>
        </is>
      </c>
      <c r="E483" s="6" t="n">
        <v>450</v>
      </c>
      <c r="F483" s="4" t="n">
        <v>0</v>
      </c>
      <c r="G483" s="1" t="inlineStr">
        <is>
          <t>active</t>
        </is>
      </c>
      <c r="H483" s="1" t="inlineStr">
        <is>
          <t>Falta el costo de compra (no está en ninguna tabla de precios)</t>
        </is>
      </c>
    </row>
    <row r="484">
      <c r="A484" s="1" t="inlineStr">
        <is>
          <t>43728091071468</t>
        </is>
      </c>
      <c r="B484" s="1" t="inlineStr">
        <is>
          <t>ANILLO P ME RED</t>
        </is>
      </c>
      <c r="C484" s="1" t="n">
        <v>6</v>
      </c>
      <c r="D484" s="1" t="inlineStr">
        <is>
          <t>CYNTHIA CAO</t>
        </is>
      </c>
      <c r="E484" s="6" t="n">
        <v>450</v>
      </c>
      <c r="F484" s="4" t="n">
        <v>0</v>
      </c>
      <c r="G484" s="1" t="inlineStr">
        <is>
          <t>active</t>
        </is>
      </c>
      <c r="H484" s="1" t="inlineStr">
        <is>
          <t>Falta el costo de compra (no está en ninguna tabla de precios)</t>
        </is>
      </c>
    </row>
    <row r="485">
      <c r="A485" s="1" t="inlineStr">
        <is>
          <t>6701d2626950f</t>
        </is>
      </c>
      <c r="B485" s="1" t="inlineStr">
        <is>
          <t>CHARM RED HEART</t>
        </is>
      </c>
      <c r="C485" s="1" t="inlineStr">
        <is>
          <t>Default Title</t>
        </is>
      </c>
      <c r="D485" s="1" t="inlineStr">
        <is>
          <t>CYNTHIA CAO</t>
        </is>
      </c>
      <c r="E485" s="6" t="n">
        <v>499</v>
      </c>
      <c r="F485" s="4" t="n">
        <v>0</v>
      </c>
      <c r="G485" s="1" t="inlineStr">
        <is>
          <t>active</t>
        </is>
      </c>
      <c r="H485" s="1" t="inlineStr">
        <is>
          <t>Falta el costo de compra (no está en ninguna tabla de precios)</t>
        </is>
      </c>
    </row>
    <row r="486">
      <c r="A486" s="1" t="inlineStr">
        <is>
          <t>82224431284589</t>
        </is>
      </c>
      <c r="B486" s="1" t="inlineStr">
        <is>
          <t>PULSERA P DIAMOND</t>
        </is>
      </c>
      <c r="C486" s="1" t="inlineStr">
        <is>
          <t>16 cm OUTLET</t>
        </is>
      </c>
      <c r="D486" s="1" t="inlineStr">
        <is>
          <t>CYNTHIA CAO</t>
        </is>
      </c>
      <c r="E486" s="6" t="n">
        <v>301</v>
      </c>
      <c r="F486" s="4" t="n">
        <v>0</v>
      </c>
      <c r="G486" s="1" t="inlineStr">
        <is>
          <t>active</t>
        </is>
      </c>
      <c r="H486" s="1" t="inlineStr">
        <is>
          <t>YA TIENE COSTO EN SHOPIFY ($158.27, heredado hoy)</t>
        </is>
      </c>
    </row>
    <row r="487">
      <c r="A487" s="1" t="inlineStr">
        <is>
          <t>6701d25fdb85f</t>
        </is>
      </c>
      <c r="B487" s="1" t="inlineStr">
        <is>
          <t>SANDALIAS H BLACK</t>
        </is>
      </c>
      <c r="C487" s="1" t="inlineStr">
        <is>
          <t>39 (24.5cm)</t>
        </is>
      </c>
      <c r="D487" s="1" t="inlineStr">
        <is>
          <t>CYNTHIA CAO</t>
        </is>
      </c>
      <c r="E487" s="6" t="n">
        <v>3649</v>
      </c>
      <c r="F487" s="4" t="n">
        <v>0</v>
      </c>
      <c r="G487" s="1" t="inlineStr">
        <is>
          <t>active</t>
        </is>
      </c>
      <c r="H487" s="1" t="inlineStr">
        <is>
          <t>YA TIENE COSTO EN SHOPIFY ($706.04, heredado hoy)</t>
        </is>
      </c>
    </row>
    <row r="488">
      <c r="A488" s="1" t="inlineStr">
        <is>
          <t>6701d25ddf852</t>
        </is>
      </c>
      <c r="B488" s="1" t="inlineStr">
        <is>
          <t>SANDALIAS H BROWN</t>
        </is>
      </c>
      <c r="C488" s="1" t="inlineStr">
        <is>
          <t>39 (24.5cm)</t>
        </is>
      </c>
      <c r="D488" s="1" t="inlineStr">
        <is>
          <t>CYNTHIA CAO</t>
        </is>
      </c>
      <c r="E488" s="6" t="n">
        <v>3189</v>
      </c>
      <c r="F488" s="4" t="n">
        <v>0</v>
      </c>
      <c r="G488" s="1" t="inlineStr">
        <is>
          <t>active</t>
        </is>
      </c>
      <c r="H488" s="1" t="inlineStr">
        <is>
          <t>YA TIENE COSTO EN SHOPIFY ($795.03, heredado hoy)</t>
        </is>
      </c>
    </row>
    <row r="489">
      <c r="A489" s="1" t="inlineStr">
        <is>
          <t>93216726941101</t>
        </is>
      </c>
      <c r="B489" s="1" t="inlineStr">
        <is>
          <t>BOLSO LV CAPUCINES</t>
        </is>
      </c>
      <c r="C489" s="1" t="inlineStr">
        <is>
          <t>OUTLET</t>
        </is>
      </c>
      <c r="D489" s="1" t="inlineStr">
        <is>
          <t>ZOEY</t>
        </is>
      </c>
      <c r="E489" s="6" t="n">
        <v>1800</v>
      </c>
      <c r="F489" s="4" t="n">
        <v>0</v>
      </c>
      <c r="G489" s="1" t="inlineStr">
        <is>
          <t>active</t>
        </is>
      </c>
      <c r="H489" s="1" t="inlineStr">
        <is>
          <t>YA TIENE COSTO EN SHOPIFY ($1474.54, heredado hoy)</t>
        </is>
      </c>
    </row>
    <row r="490">
      <c r="A490" s="1" t="inlineStr">
        <is>
          <t>6701d1cb766a6</t>
        </is>
      </c>
      <c r="B490" s="1" t="inlineStr">
        <is>
          <t>BOLSO MM HOBO BLACK</t>
        </is>
      </c>
      <c r="C490" s="1" t="inlineStr">
        <is>
          <t>20.5cm de largo x 16cm de alto (sin incluir la correa) x 6cm de ancho</t>
        </is>
      </c>
      <c r="D490" s="1" t="inlineStr">
        <is>
          <t>ZOEY</t>
        </is>
      </c>
      <c r="E490" s="6" t="n">
        <v>3700</v>
      </c>
      <c r="F490" s="4" t="n">
        <v>0</v>
      </c>
      <c r="G490" s="1" t="inlineStr">
        <is>
          <t>active</t>
        </is>
      </c>
      <c r="H490" s="1" t="inlineStr">
        <is>
          <t>Falta el costo de compra (no está en ninguna tabla de precios)</t>
        </is>
      </c>
    </row>
    <row r="491">
      <c r="A491" s="1" t="inlineStr">
        <is>
          <t>43728094783020</t>
        </is>
      </c>
      <c r="B491" s="1" t="inlineStr">
        <is>
          <t>BOLSO LADY D CHAROL OFF WHITE</t>
        </is>
      </c>
      <c r="C491" s="1" t="inlineStr">
        <is>
          <t>OUTLET</t>
        </is>
      </c>
      <c r="D491" s="1" t="inlineStr">
        <is>
          <t>ZOEY</t>
        </is>
      </c>
      <c r="E491" s="6" t="n">
        <v>1500</v>
      </c>
      <c r="F491" s="4" t="n">
        <v>0</v>
      </c>
      <c r="G491" s="1" t="inlineStr">
        <is>
          <t>active</t>
        </is>
      </c>
      <c r="H491" s="1" t="inlineStr">
        <is>
          <t>YA TIENE COSTO EN SHOPIFY ($1372.64, heredado hoy)</t>
        </is>
      </c>
    </row>
    <row r="492">
      <c r="A492" s="1" t="inlineStr">
        <is>
          <t>54715741016301</t>
        </is>
      </c>
      <c r="B492" s="1" t="inlineStr">
        <is>
          <t>BOLSO LADY D CHAROL DUSTY PINK</t>
        </is>
      </c>
      <c r="C492" s="1" t="inlineStr">
        <is>
          <t>OUTLET 23.5cm de largo x 21cm de alto x 12cm de ancho</t>
        </is>
      </c>
      <c r="D492" s="1" t="inlineStr">
        <is>
          <t>ZOEY</t>
        </is>
      </c>
      <c r="E492" s="6" t="n">
        <v>4190</v>
      </c>
      <c r="F492" s="4" t="n">
        <v>0</v>
      </c>
      <c r="G492" s="1" t="inlineStr">
        <is>
          <t>active</t>
        </is>
      </c>
      <c r="H492" s="1" t="inlineStr">
        <is>
          <t>YA TIENE COSTO EN SHOPIFY ($1448.11, heredado hoy)</t>
        </is>
      </c>
    </row>
    <row r="493">
      <c r="A493" s="1" t="inlineStr">
        <is>
          <t>49784251083949OUTLET</t>
        </is>
      </c>
      <c r="B493" s="1" t="inlineStr">
        <is>
          <t>BOLSO MM WANDER BLACK</t>
        </is>
      </c>
      <c r="C493" s="1" t="inlineStr">
        <is>
          <t>OUTLET</t>
        </is>
      </c>
      <c r="D493" s="1" t="inlineStr">
        <is>
          <t>ZOEY</t>
        </is>
      </c>
      <c r="E493" s="6" t="n">
        <v>3050</v>
      </c>
      <c r="F493" s="4" t="n">
        <v>0</v>
      </c>
      <c r="G493" s="1" t="inlineStr">
        <is>
          <t>active</t>
        </is>
      </c>
      <c r="H493" s="1" t="inlineStr">
        <is>
          <t>YA TIENE COSTO EN SHOPIFY ($1239.37, heredado hoy)</t>
        </is>
      </c>
    </row>
    <row r="494">
      <c r="A494" s="1" t="inlineStr">
        <is>
          <t>6706a87c0e9d5</t>
        </is>
      </c>
      <c r="B494" s="1" t="inlineStr">
        <is>
          <t>BOLSO DE MANO MEN TB</t>
        </is>
      </c>
      <c r="C494" s="1" t="inlineStr">
        <is>
          <t>35.5cm de largo x 26cm de alto</t>
        </is>
      </c>
      <c r="D494" s="1" t="inlineStr">
        <is>
          <t>DINA DU</t>
        </is>
      </c>
      <c r="E494" s="6" t="n">
        <v>999</v>
      </c>
      <c r="F494" s="4" t="n">
        <v>0</v>
      </c>
      <c r="G494" s="1" t="inlineStr">
        <is>
          <t>active</t>
        </is>
      </c>
      <c r="H494" s="1" t="inlineStr">
        <is>
          <t>Falta el costo de compra (no está en ninguna tabla de precios)</t>
        </is>
      </c>
    </row>
    <row r="495">
      <c r="A495" s="1" t="inlineStr">
        <is>
          <t>35505681026317</t>
        </is>
      </c>
      <c r="B495" s="1" t="inlineStr">
        <is>
          <t>COLLAR FR SILVER</t>
        </is>
      </c>
      <c r="C495" s="1" t="inlineStr">
        <is>
          <t>OUTLET</t>
        </is>
      </c>
      <c r="D495" s="1" t="inlineStr">
        <is>
          <t>NANCY VIP</t>
        </is>
      </c>
      <c r="E495" s="6" t="n">
        <v>250</v>
      </c>
      <c r="F495" s="4" t="n">
        <v>0</v>
      </c>
      <c r="G495" s="1" t="inlineStr">
        <is>
          <t>active</t>
        </is>
      </c>
      <c r="H495" s="1" t="inlineStr">
        <is>
          <t>YA TIENE COSTO EN SHOPIFY ($139.84, heredado hoy)</t>
        </is>
      </c>
    </row>
    <row r="496">
      <c r="A496" s="1" t="inlineStr">
        <is>
          <t>66b51336ea846</t>
        </is>
      </c>
      <c r="B496" s="1" t="inlineStr">
        <is>
          <t>BOLSO JM BLACK</t>
        </is>
      </c>
      <c r="C496" s="1" t="inlineStr">
        <is>
          <t>13cm de alto x 17.3cm de largo x 7cm de ancho  12cm de alto de correa</t>
        </is>
      </c>
      <c r="D496" s="1" t="inlineStr">
        <is>
          <t>ZOEY</t>
        </is>
      </c>
      <c r="E496" s="6" t="n">
        <v>2100</v>
      </c>
      <c r="F496" s="4" t="n">
        <v>0</v>
      </c>
      <c r="G496" s="1" t="inlineStr">
        <is>
          <t>active</t>
        </is>
      </c>
      <c r="H496" s="1" t="inlineStr">
        <is>
          <t>YA TIENE COSTO EN SHOPIFY ($1165.08, heredado hoy)</t>
        </is>
      </c>
    </row>
    <row r="497">
      <c r="A497" s="1" t="inlineStr">
        <is>
          <t>43728097265004</t>
        </is>
      </c>
      <c r="B497" s="1" t="inlineStr">
        <is>
          <t>BOLSO JM BLACK</t>
        </is>
      </c>
      <c r="C497" s="1" t="inlineStr">
        <is>
          <t>16cm de alto x 19.5cm de largo x 7cm de ancho 15cm de alto de correa</t>
        </is>
      </c>
      <c r="D497" s="1" t="inlineStr">
        <is>
          <t>ZOEY</t>
        </is>
      </c>
      <c r="E497" s="6" t="n">
        <v>1500</v>
      </c>
      <c r="F497" s="4" t="n">
        <v>0</v>
      </c>
      <c r="G497" s="1" t="inlineStr">
        <is>
          <t>active</t>
        </is>
      </c>
      <c r="H497" s="1" t="inlineStr">
        <is>
          <t>YA TIENE COSTO EN SHOPIFY ($1165.08, heredado hoy)</t>
        </is>
      </c>
    </row>
    <row r="498">
      <c r="A498" s="1" t="inlineStr">
        <is>
          <t>43078894125196</t>
        </is>
      </c>
      <c r="B498" s="1" t="inlineStr">
        <is>
          <t>PULSERA T GRABADA CON ZIRCONIAS</t>
        </is>
      </c>
      <c r="C498" s="1" t="inlineStr">
        <is>
          <t>16cm</t>
        </is>
      </c>
      <c r="D498" s="1" t="inlineStr">
        <is>
          <t>CYNTHIA CAO</t>
        </is>
      </c>
      <c r="E498" s="6" t="n">
        <v>450</v>
      </c>
      <c r="F498" s="4" t="n">
        <v>0</v>
      </c>
      <c r="G498" s="1" t="inlineStr">
        <is>
          <t>active</t>
        </is>
      </c>
      <c r="H498" s="1" t="inlineStr">
        <is>
          <t>Falta el costo de compra (no está en ninguna tabla de precios)</t>
        </is>
      </c>
    </row>
    <row r="499">
      <c r="A499" s="1" t="inlineStr">
        <is>
          <t>43078807421068</t>
        </is>
      </c>
      <c r="B499" s="1" t="inlineStr">
        <is>
          <t>CHARM STAR GOLD BLACK</t>
        </is>
      </c>
      <c r="C499" s="1" t="inlineStr">
        <is>
          <t>Default Title</t>
        </is>
      </c>
      <c r="D499" s="1" t="inlineStr">
        <is>
          <t>CYNTHIA CAO</t>
        </is>
      </c>
      <c r="E499" s="6" t="n">
        <v>399</v>
      </c>
      <c r="F499" s="4" t="n">
        <v>0</v>
      </c>
      <c r="G499" s="1" t="inlineStr">
        <is>
          <t>active</t>
        </is>
      </c>
      <c r="H499" s="1" t="inlineStr">
        <is>
          <t>Falta el costo de compra (no está en ninguna tabla de precios)</t>
        </is>
      </c>
    </row>
    <row r="500">
      <c r="A500" s="1" t="inlineStr">
        <is>
          <t>43078653280396</t>
        </is>
      </c>
      <c r="B500" s="1" t="inlineStr">
        <is>
          <t>ANILLO P CORAZÓN MINI</t>
        </is>
      </c>
      <c r="C500" s="1" t="n">
        <v>5</v>
      </c>
      <c r="D500" s="1" t="inlineStr">
        <is>
          <t>CYNTHIA CAO</t>
        </is>
      </c>
      <c r="E500" s="6" t="n">
        <v>420</v>
      </c>
      <c r="F500" s="4" t="n">
        <v>0</v>
      </c>
      <c r="G500" s="1" t="inlineStr">
        <is>
          <t>active</t>
        </is>
      </c>
      <c r="H500" s="1" t="inlineStr">
        <is>
          <t>Falta el costo de compra (no está en ninguna tabla de precios)</t>
        </is>
      </c>
    </row>
    <row r="501">
      <c r="A501" s="1" t="inlineStr">
        <is>
          <t>43078653313164</t>
        </is>
      </c>
      <c r="B501" s="1" t="inlineStr">
        <is>
          <t>ANILLO P CORAZÓN MINI</t>
        </is>
      </c>
      <c r="C501" s="1" t="n">
        <v>6</v>
      </c>
      <c r="D501" s="1" t="inlineStr">
        <is>
          <t>CYNTHIA CAO</t>
        </is>
      </c>
      <c r="E501" s="6" t="n">
        <v>420</v>
      </c>
      <c r="F501" s="4" t="n">
        <v>0</v>
      </c>
      <c r="G501" s="1" t="inlineStr">
        <is>
          <t>active</t>
        </is>
      </c>
      <c r="H501" s="1" t="inlineStr">
        <is>
          <t>Falta el costo de compra (no está en ninguna tabla de precios)</t>
        </is>
      </c>
    </row>
    <row r="502">
      <c r="A502" s="1" t="inlineStr">
        <is>
          <t>43078653345932</t>
        </is>
      </c>
      <c r="B502" s="1" t="inlineStr">
        <is>
          <t>ANILLO P CORAZÓN MINI</t>
        </is>
      </c>
      <c r="C502" s="1" t="n">
        <v>7</v>
      </c>
      <c r="D502" s="1" t="inlineStr">
        <is>
          <t>CYNTHIA CAO</t>
        </is>
      </c>
      <c r="E502" s="6" t="n">
        <v>420</v>
      </c>
      <c r="F502" s="4" t="n">
        <v>0</v>
      </c>
      <c r="G502" s="1" t="inlineStr">
        <is>
          <t>active</t>
        </is>
      </c>
      <c r="H502" s="1" t="inlineStr">
        <is>
          <t>Falta el costo de compra (no está en ninguna tabla de precios)</t>
        </is>
      </c>
    </row>
    <row r="503">
      <c r="A503" s="1" t="inlineStr">
        <is>
          <t>43078653378700</t>
        </is>
      </c>
      <c r="B503" s="1" t="inlineStr">
        <is>
          <t>ANILLO P CORAZÓN MINI</t>
        </is>
      </c>
      <c r="C503" s="1" t="n">
        <v>8</v>
      </c>
      <c r="D503" s="1" t="inlineStr">
        <is>
          <t>CYNTHIA CAO</t>
        </is>
      </c>
      <c r="E503" s="6" t="n">
        <v>420</v>
      </c>
      <c r="F503" s="4" t="n">
        <v>0</v>
      </c>
      <c r="G503" s="1" t="inlineStr">
        <is>
          <t>active</t>
        </is>
      </c>
      <c r="H503" s="1" t="inlineStr">
        <is>
          <t>Falta el costo de compra (no está en ninguna tabla de precios)</t>
        </is>
      </c>
    </row>
    <row r="504">
      <c r="A504" s="1" t="inlineStr">
        <is>
          <t>43078653411468</t>
        </is>
      </c>
      <c r="B504" s="1" t="inlineStr">
        <is>
          <t>ANILLO P CORAZÓN MINI</t>
        </is>
      </c>
      <c r="C504" s="1" t="n">
        <v>10</v>
      </c>
      <c r="D504" s="1" t="inlineStr">
        <is>
          <t>CYNTHIA CAO</t>
        </is>
      </c>
      <c r="E504" s="6" t="n">
        <v>420</v>
      </c>
      <c r="F504" s="4" t="n">
        <v>0</v>
      </c>
      <c r="G504" s="1" t="inlineStr">
        <is>
          <t>active</t>
        </is>
      </c>
      <c r="H504" s="1" t="inlineStr">
        <is>
          <t>Falta el costo de compra (no está en ninguna tabla de precios)</t>
        </is>
      </c>
    </row>
    <row r="505">
      <c r="A505" s="1" t="inlineStr">
        <is>
          <t>43078633128076</t>
        </is>
      </c>
      <c r="B505" s="1" t="inlineStr">
        <is>
          <t>ANILLO P WHITE HEART</t>
        </is>
      </c>
      <c r="C505" s="1" t="n">
        <v>6</v>
      </c>
      <c r="D505" s="1" t="inlineStr">
        <is>
          <t>CYNTHIA CAO</t>
        </is>
      </c>
      <c r="E505" s="6" t="n">
        <v>450</v>
      </c>
      <c r="F505" s="4" t="n">
        <v>0</v>
      </c>
      <c r="G505" s="1" t="inlineStr">
        <is>
          <t>active</t>
        </is>
      </c>
      <c r="H505" s="1" t="inlineStr">
        <is>
          <t>Falta el costo de compra (no está en ninguna tabla de precios)</t>
        </is>
      </c>
    </row>
    <row r="506">
      <c r="A506" s="1" t="inlineStr">
        <is>
          <t>43078633160844</t>
        </is>
      </c>
      <c r="B506" s="1" t="inlineStr">
        <is>
          <t>ANILLO P WHITE HEART</t>
        </is>
      </c>
      <c r="C506" s="1" t="n">
        <v>7</v>
      </c>
      <c r="D506" s="1" t="inlineStr">
        <is>
          <t>CYNTHIA CAO</t>
        </is>
      </c>
      <c r="E506" s="6" t="n">
        <v>450</v>
      </c>
      <c r="F506" s="4" t="n">
        <v>0</v>
      </c>
      <c r="G506" s="1" t="inlineStr">
        <is>
          <t>active</t>
        </is>
      </c>
      <c r="H506" s="1" t="inlineStr">
        <is>
          <t>Falta el costo de compra (no está en ninguna tabla de precios)</t>
        </is>
      </c>
    </row>
    <row r="507">
      <c r="A507" s="1" t="inlineStr">
        <is>
          <t>43078633193612</t>
        </is>
      </c>
      <c r="B507" s="1" t="inlineStr">
        <is>
          <t>ANILLO P WHITE HEART</t>
        </is>
      </c>
      <c r="C507" s="1" t="n">
        <v>8</v>
      </c>
      <c r="D507" s="1" t="inlineStr">
        <is>
          <t>CYNTHIA CAO</t>
        </is>
      </c>
      <c r="E507" s="6" t="n">
        <v>300</v>
      </c>
      <c r="F507" s="4" t="n">
        <v>0</v>
      </c>
      <c r="G507" s="1" t="inlineStr">
        <is>
          <t>active</t>
        </is>
      </c>
      <c r="H507" s="1" t="inlineStr">
        <is>
          <t>Falta el costo de compra (no está en ninguna tabla de precios)</t>
        </is>
      </c>
    </row>
    <row r="508">
      <c r="A508" s="1" t="inlineStr">
        <is>
          <t>43071764562061</t>
        </is>
      </c>
      <c r="B508" s="1" t="inlineStr">
        <is>
          <t>ARRACADAS V GOLD</t>
        </is>
      </c>
      <c r="C508" s="1" t="inlineStr">
        <is>
          <t>OUTLET</t>
        </is>
      </c>
      <c r="D508" s="1" t="inlineStr">
        <is>
          <t>CYNTHIA CAO</t>
        </is>
      </c>
      <c r="E508" s="6" t="n">
        <v>334</v>
      </c>
      <c r="F508" s="4" t="n">
        <v>0</v>
      </c>
      <c r="G508" s="1" t="inlineStr">
        <is>
          <t>active</t>
        </is>
      </c>
      <c r="H508" s="1" t="inlineStr">
        <is>
          <t>YA TIENE COSTO EN SHOPIFY ($228.36, heredado hoy)</t>
        </is>
      </c>
    </row>
    <row r="509">
      <c r="A509" s="1" t="inlineStr">
        <is>
          <t>83863571061057</t>
        </is>
      </c>
      <c r="B509" s="1" t="inlineStr">
        <is>
          <t>ARETES V CON PERLA</t>
        </is>
      </c>
      <c r="C509" s="1" t="inlineStr">
        <is>
          <t>Titanio</t>
        </is>
      </c>
      <c r="D509" s="1" t="inlineStr">
        <is>
          <t>CYNTHIA CAO</t>
        </is>
      </c>
      <c r="E509" s="6" t="n">
        <v>915</v>
      </c>
      <c r="F509" s="4" t="n">
        <v>0</v>
      </c>
      <c r="G509" s="1" t="inlineStr">
        <is>
          <t>active</t>
        </is>
      </c>
      <c r="H509" s="1" t="inlineStr">
        <is>
          <t>YA TIENE COSTO EN SHOPIFY ($228.36, heredado hoy)</t>
        </is>
      </c>
    </row>
    <row r="510">
      <c r="A510" s="1" t="inlineStr">
        <is>
          <t>83073651025485</t>
        </is>
      </c>
      <c r="B510" s="1" t="inlineStr">
        <is>
          <t>TRAJE DE BAÑO PR BLACK</t>
        </is>
      </c>
      <c r="C510" s="1" t="inlineStr">
        <is>
          <t>S</t>
        </is>
      </c>
      <c r="D510" s="1" t="inlineStr">
        <is>
          <t>CYNTHIA CAO</t>
        </is>
      </c>
      <c r="E510" s="6" t="n">
        <v>1199</v>
      </c>
      <c r="F510" s="4" t="n">
        <v>0</v>
      </c>
      <c r="G510" s="1" t="inlineStr">
        <is>
          <t>active</t>
        </is>
      </c>
      <c r="H510" s="1" t="inlineStr">
        <is>
          <t>YA TIENE COSTO EN SHOPIFY ($286.21, heredado hoy)</t>
        </is>
      </c>
    </row>
    <row r="511">
      <c r="A511" s="1" t="inlineStr">
        <is>
          <t>668eeef2324de</t>
        </is>
      </c>
      <c r="B511" s="1" t="inlineStr">
        <is>
          <t>BOLSO JODIE BT BLACK</t>
        </is>
      </c>
      <c r="C511" s="1" t="inlineStr">
        <is>
          <t>27cm de largo x 17cm de alto</t>
        </is>
      </c>
      <c r="D511" s="1" t="inlineStr">
        <is>
          <t>CYNTHIA CAO</t>
        </is>
      </c>
      <c r="E511" s="6" t="n">
        <v>2250</v>
      </c>
      <c r="F511" s="4" t="n">
        <v>0</v>
      </c>
      <c r="G511" s="1" t="inlineStr">
        <is>
          <t>active</t>
        </is>
      </c>
      <c r="H511" s="1" t="inlineStr">
        <is>
          <t>Falta el costo de compra (no está en ninguna tabla de precios)</t>
        </is>
      </c>
    </row>
    <row r="512">
      <c r="A512" s="1" t="inlineStr">
        <is>
          <t>668eeef28619c</t>
        </is>
      </c>
      <c r="B512" s="1" t="inlineStr">
        <is>
          <t>BOLSO JODIE BT PINK</t>
        </is>
      </c>
      <c r="C512" s="1" t="inlineStr">
        <is>
          <t>27cm de largo x 17cm</t>
        </is>
      </c>
      <c r="D512" s="1" t="inlineStr">
        <is>
          <t>CYNTHIA CAO</t>
        </is>
      </c>
      <c r="E512" s="6" t="n">
        <v>2250</v>
      </c>
      <c r="F512" s="4" t="n">
        <v>0</v>
      </c>
      <c r="G512" s="1" t="inlineStr">
        <is>
          <t>active</t>
        </is>
      </c>
      <c r="H512" s="1" t="inlineStr">
        <is>
          <t>Falta el costo de compra (no está en ninguna tabla de precios)</t>
        </is>
      </c>
    </row>
    <row r="513">
      <c r="A513" s="1" t="inlineStr">
        <is>
          <t>668eeef28225a</t>
        </is>
      </c>
      <c r="B513" s="1" t="inlineStr">
        <is>
          <t>BOLSO JODIE BT GREEN</t>
        </is>
      </c>
      <c r="C513" s="1" t="inlineStr">
        <is>
          <t>27cm largo x 16cm de alto</t>
        </is>
      </c>
      <c r="D513" s="1" t="inlineStr">
        <is>
          <t>CYNTHIA CAO</t>
        </is>
      </c>
      <c r="E513" s="6" t="n">
        <v>1875</v>
      </c>
      <c r="F513" s="4" t="n">
        <v>0</v>
      </c>
      <c r="G513" s="1" t="inlineStr">
        <is>
          <t>active</t>
        </is>
      </c>
      <c r="H513" s="1" t="inlineStr">
        <is>
          <t>Falta el costo de compra (no está en ninguna tabla de precios)</t>
        </is>
      </c>
    </row>
    <row r="514">
      <c r="A514" s="1" t="inlineStr">
        <is>
          <t>43728114993836</t>
        </is>
      </c>
      <c r="B514" s="1" t="inlineStr">
        <is>
          <t>BOLSO OPHIDIA GC</t>
        </is>
      </c>
      <c r="C514" s="1" t="inlineStr">
        <is>
          <t>OUTLET</t>
        </is>
      </c>
      <c r="D514" s="1" t="inlineStr">
        <is>
          <t>CYNTHIA CAO</t>
        </is>
      </c>
      <c r="E514" s="6" t="n">
        <v>999.5</v>
      </c>
      <c r="F514" s="4" t="n">
        <v>0</v>
      </c>
      <c r="G514" s="1" t="inlineStr">
        <is>
          <t>active</t>
        </is>
      </c>
      <c r="H514" s="1" t="inlineStr">
        <is>
          <t>YA TIENE COSTO EN SHOPIFY ($1083.56, heredado hoy)</t>
        </is>
      </c>
    </row>
    <row r="515">
      <c r="A515" s="1" t="inlineStr">
        <is>
          <t>13096811034113OUTLET</t>
        </is>
      </c>
      <c r="B515" s="1" t="inlineStr">
        <is>
          <t>BOLSO YSL KATE</t>
        </is>
      </c>
      <c r="C515" s="1" t="inlineStr">
        <is>
          <t>27 cm largo x 18 cm de alto OUTLET</t>
        </is>
      </c>
      <c r="D515" s="1" t="inlineStr">
        <is>
          <t>CYNTHIA CAO</t>
        </is>
      </c>
      <c r="E515" s="6" t="n">
        <v>1334</v>
      </c>
      <c r="F515" s="4" t="n">
        <v>0</v>
      </c>
      <c r="G515" s="1" t="inlineStr">
        <is>
          <t>active</t>
        </is>
      </c>
      <c r="H515" s="1" t="inlineStr">
        <is>
          <t>YA TIENE COSTO EN SHOPIFY ($900.51, heredado hoy)</t>
        </is>
      </c>
    </row>
    <row r="516">
      <c r="A516" s="1" t="inlineStr">
        <is>
          <t>43026599575693</t>
        </is>
      </c>
      <c r="B516" s="1" t="inlineStr">
        <is>
          <t>LENTES YSL</t>
        </is>
      </c>
      <c r="C516" s="1" t="inlineStr">
        <is>
          <t>OUTLET</t>
        </is>
      </c>
      <c r="D516" s="1" t="inlineStr">
        <is>
          <t>CYNTHIA CAO</t>
        </is>
      </c>
      <c r="E516" s="6" t="n">
        <v>699</v>
      </c>
      <c r="F516" s="4" t="n">
        <v>0</v>
      </c>
      <c r="G516" s="1" t="inlineStr">
        <is>
          <t>active</t>
        </is>
      </c>
      <c r="H516" s="1" t="inlineStr">
        <is>
          <t>YA TIENE COSTO EN SHOPIFY ($214.69, heredado hoy)</t>
        </is>
      </c>
    </row>
    <row r="517">
      <c r="A517" s="1" t="inlineStr">
        <is>
          <t>43026586435725</t>
        </is>
      </c>
      <c r="B517" s="1" t="inlineStr">
        <is>
          <t>LENTES YSL SQUARE</t>
        </is>
      </c>
      <c r="C517" s="1" t="inlineStr">
        <is>
          <t>OUTLET</t>
        </is>
      </c>
      <c r="D517" s="1" t="inlineStr">
        <is>
          <t>CYNTHIA CAO</t>
        </is>
      </c>
      <c r="E517" s="6" t="n">
        <v>650</v>
      </c>
      <c r="F517" s="4" t="n">
        <v>0</v>
      </c>
      <c r="G517" s="1" t="inlineStr">
        <is>
          <t>active</t>
        </is>
      </c>
      <c r="H517" s="1" t="inlineStr">
        <is>
          <t>YA TIENE COSTO EN SHOPIFY ($213.09, heredado hoy)</t>
        </is>
      </c>
    </row>
    <row r="518">
      <c r="A518" s="1" t="inlineStr">
        <is>
          <t>91467121315361OULET</t>
        </is>
      </c>
      <c r="B518" s="1" t="inlineStr">
        <is>
          <t>ARETES TRES AROS CON ZIRCONIA</t>
        </is>
      </c>
      <c r="C518" s="1" t="inlineStr">
        <is>
          <t>2cm outlet</t>
        </is>
      </c>
      <c r="D518" s="1" t="inlineStr">
        <is>
          <t>HAIFENG</t>
        </is>
      </c>
      <c r="E518" s="6" t="n">
        <v>496</v>
      </c>
      <c r="F518" s="4" t="n">
        <v>0</v>
      </c>
      <c r="G518" s="1" t="inlineStr">
        <is>
          <t>active</t>
        </is>
      </c>
      <c r="H518" s="1" t="inlineStr">
        <is>
          <t>YA TIENE COSTO EN SHOPIFY ($207.99, heredado hoy)</t>
        </is>
      </c>
    </row>
    <row r="519">
      <c r="A519" s="1" t="inlineStr">
        <is>
          <t>16021561066733</t>
        </is>
      </c>
      <c r="B519" s="1" t="inlineStr">
        <is>
          <t>ARETES FR GOLD</t>
        </is>
      </c>
      <c r="C519" s="1" t="inlineStr">
        <is>
          <t>OUTLET</t>
        </is>
      </c>
      <c r="D519" s="1" t="inlineStr">
        <is>
          <t>NANCY VIP</t>
        </is>
      </c>
      <c r="E519" s="6" t="n">
        <v>299</v>
      </c>
      <c r="F519" s="4" t="n">
        <v>0</v>
      </c>
      <c r="G519" s="1" t="inlineStr">
        <is>
          <t>active</t>
        </is>
      </c>
      <c r="H519" s="1" t="inlineStr">
        <is>
          <t>YA TIENE COSTO EN SHOPIFY ($114.66, heredado hoy)</t>
        </is>
      </c>
    </row>
    <row r="520">
      <c r="A520" s="1" t="inlineStr">
        <is>
          <t>42981986795661</t>
        </is>
      </c>
      <c r="B520" s="1" t="inlineStr">
        <is>
          <t>ARETES V ROUND GOLD</t>
        </is>
      </c>
      <c r="C520" s="1" t="inlineStr">
        <is>
          <t>OUTLET</t>
        </is>
      </c>
      <c r="D520" s="1" t="inlineStr">
        <is>
          <t>NANCY VIP</t>
        </is>
      </c>
      <c r="E520" s="6" t="n">
        <v>190</v>
      </c>
      <c r="F520" s="4" t="n">
        <v>0</v>
      </c>
      <c r="G520" s="1" t="inlineStr">
        <is>
          <t>active</t>
        </is>
      </c>
      <c r="H520" s="1" t="inlineStr">
        <is>
          <t>YA TIENE COSTO EN SHOPIFY ($145.36, heredado hoy)</t>
        </is>
      </c>
    </row>
    <row r="521">
      <c r="A521" s="1" t="inlineStr">
        <is>
          <t>43728118484652</t>
        </is>
      </c>
      <c r="B521" s="1" t="inlineStr">
        <is>
          <t>COLLAR POP H ROSEGOLD WHITE</t>
        </is>
      </c>
      <c r="C521" s="1" t="inlineStr">
        <is>
          <t>OUTLET</t>
        </is>
      </c>
      <c r="D521" s="1" t="inlineStr">
        <is>
          <t>NANCY VIP</t>
        </is>
      </c>
      <c r="E521" s="6" t="n">
        <v>160</v>
      </c>
      <c r="F521" s="4" t="n">
        <v>0</v>
      </c>
      <c r="G521" s="1" t="inlineStr">
        <is>
          <t>active</t>
        </is>
      </c>
      <c r="H521" s="1" t="inlineStr">
        <is>
          <t>YA TIENE COSTO EN SHOPIFY ($112.97, heredado hoy)</t>
        </is>
      </c>
    </row>
    <row r="522">
      <c r="A522" s="1" t="inlineStr">
        <is>
          <t>74009831076833</t>
        </is>
      </c>
      <c r="B522" s="1" t="inlineStr">
        <is>
          <t>SET DE COLLAR Y PULSERA CORAZÓN</t>
        </is>
      </c>
      <c r="C522" s="1" t="inlineStr">
        <is>
          <t>44 cm / 18 cm titanio</t>
        </is>
      </c>
      <c r="D522" s="1" t="inlineStr">
        <is>
          <t>NANCY VIP</t>
        </is>
      </c>
      <c r="E522" s="6" t="n">
        <v>1228</v>
      </c>
      <c r="F522" s="4" t="n">
        <v>0</v>
      </c>
      <c r="G522" s="1" t="inlineStr">
        <is>
          <t>active</t>
        </is>
      </c>
      <c r="H522" s="1" t="inlineStr">
        <is>
          <t>YA TIENE COSTO EN SHOPIFY ($171.80, heredado hoy)</t>
        </is>
      </c>
    </row>
    <row r="523">
      <c r="A523" s="1" t="inlineStr">
        <is>
          <t>42981773246605</t>
        </is>
      </c>
      <c r="B523" s="1" t="inlineStr">
        <is>
          <t>ANILLO PANTHERE GOLD</t>
        </is>
      </c>
      <c r="C523" s="1" t="inlineStr">
        <is>
          <t>OUTLET</t>
        </is>
      </c>
      <c r="D523" s="1" t="inlineStr">
        <is>
          <t>NANCY VIP</t>
        </is>
      </c>
      <c r="E523" s="6" t="n">
        <v>199.5</v>
      </c>
      <c r="F523" s="4" t="n">
        <v>0</v>
      </c>
      <c r="G523" s="1" t="inlineStr">
        <is>
          <t>active</t>
        </is>
      </c>
      <c r="H523" s="1" t="inlineStr">
        <is>
          <t>YA TIENE COSTO EN SHOPIFY ($150.82, heredado hoy)</t>
        </is>
      </c>
    </row>
    <row r="524">
      <c r="A524" s="1" t="inlineStr">
        <is>
          <t>42981640208525</t>
        </is>
      </c>
      <c r="B524" s="1" t="inlineStr">
        <is>
          <t>ARETES CD GOLD CON PERLA COLGANTE</t>
        </is>
      </c>
      <c r="C524" s="1" t="inlineStr">
        <is>
          <t>OUTLET</t>
        </is>
      </c>
      <c r="D524" s="1" t="inlineStr">
        <is>
          <t>NANCY VIP</t>
        </is>
      </c>
      <c r="E524" s="6" t="n">
        <v>399</v>
      </c>
      <c r="F524" s="4" t="n">
        <v>0</v>
      </c>
      <c r="G524" s="1" t="inlineStr">
        <is>
          <t>active</t>
        </is>
      </c>
      <c r="H524" s="1" t="inlineStr">
        <is>
          <t>YA TIENE COSTO EN SHOPIFY ($126.11, heredado hoy)</t>
        </is>
      </c>
    </row>
    <row r="525">
      <c r="A525" s="1" t="inlineStr">
        <is>
          <t>94268861096749</t>
        </is>
      </c>
      <c r="B525" s="1" t="inlineStr">
        <is>
          <t>ANILLO BLOSSOM STAR ROSEGOLD</t>
        </is>
      </c>
      <c r="C525" s="1" t="inlineStr">
        <is>
          <t>OUTLET</t>
        </is>
      </c>
      <c r="D525" s="1" t="inlineStr">
        <is>
          <t>NANCY VIP</t>
        </is>
      </c>
      <c r="E525" s="6" t="n">
        <v>431</v>
      </c>
      <c r="F525" s="4" t="n">
        <v>0</v>
      </c>
      <c r="G525" s="1" t="inlineStr">
        <is>
          <t>active</t>
        </is>
      </c>
      <c r="H525" s="1" t="inlineStr">
        <is>
          <t>YA TIENE COSTO EN SHOPIFY ($102.67, heredado hoy)</t>
        </is>
      </c>
    </row>
    <row r="526">
      <c r="A526" s="1" t="inlineStr">
        <is>
          <t>33548431093549</t>
        </is>
      </c>
      <c r="B526" s="1" t="inlineStr">
        <is>
          <t>ANILLO CD REVOLUTION</t>
        </is>
      </c>
      <c r="C526" s="1" t="inlineStr">
        <is>
          <t>6 OUTLET</t>
        </is>
      </c>
      <c r="D526" s="1" t="inlineStr">
        <is>
          <t>HAIFENG</t>
        </is>
      </c>
      <c r="E526" s="6" t="n">
        <v>430</v>
      </c>
      <c r="F526" s="4" t="n">
        <v>0</v>
      </c>
      <c r="G526" s="1" t="inlineStr">
        <is>
          <t>active</t>
        </is>
      </c>
      <c r="H526" s="1" t="inlineStr">
        <is>
          <t>YA TIENE COSTO EN SHOPIFY ($94.06, heredado hoy)</t>
        </is>
      </c>
    </row>
    <row r="527">
      <c r="A527" s="1" t="inlineStr">
        <is>
          <t>42833577705613</t>
        </is>
      </c>
      <c r="B527" s="1" t="inlineStr">
        <is>
          <t>COLLAR CLAVO ROUND SILVER</t>
        </is>
      </c>
      <c r="C527" s="1" t="inlineStr">
        <is>
          <t>Titanio</t>
        </is>
      </c>
      <c r="D527" s="1" t="inlineStr">
        <is>
          <t>NANCY VIP</t>
        </is>
      </c>
      <c r="E527" s="6" t="n">
        <v>680</v>
      </c>
      <c r="F527" s="4" t="n">
        <v>0</v>
      </c>
      <c r="G527" s="1" t="inlineStr">
        <is>
          <t>active</t>
        </is>
      </c>
      <c r="H527" s="1" t="inlineStr">
        <is>
          <t>YA TIENE COSTO EN SHOPIFY ($151.80, heredado hoy)</t>
        </is>
      </c>
    </row>
    <row r="528">
      <c r="A528" s="1" t="inlineStr">
        <is>
          <t>665bd4b404e32</t>
        </is>
      </c>
      <c r="B528" s="1" t="inlineStr">
        <is>
          <t>ANILLO LOVE GOLD ZIRCONIAS RAINBOW</t>
        </is>
      </c>
      <c r="C528" s="1" t="n">
        <v>5</v>
      </c>
      <c r="D528" s="1" t="inlineStr">
        <is>
          <t>HAIFENG</t>
        </is>
      </c>
      <c r="E528" s="6" t="n">
        <v>200</v>
      </c>
      <c r="F528" s="4" t="n">
        <v>0</v>
      </c>
      <c r="G528" s="1" t="inlineStr">
        <is>
          <t>active</t>
        </is>
      </c>
      <c r="H528" s="1" t="inlineStr">
        <is>
          <t>Falta el costo de compra (no está en ninguna tabla de precios)</t>
        </is>
      </c>
    </row>
    <row r="529">
      <c r="A529" s="1" t="inlineStr">
        <is>
          <t>665bd4b4a659c</t>
        </is>
      </c>
      <c r="B529" s="1" t="inlineStr">
        <is>
          <t>ANILLO LOVE GOLD ZIRCONIAS RAINBOW</t>
        </is>
      </c>
      <c r="C529" s="1" t="n">
        <v>6</v>
      </c>
      <c r="D529" s="1" t="inlineStr">
        <is>
          <t>HAIFENG</t>
        </is>
      </c>
      <c r="E529" s="6" t="n">
        <v>380</v>
      </c>
      <c r="F529" s="4" t="n">
        <v>0</v>
      </c>
      <c r="G529" s="1" t="inlineStr">
        <is>
          <t>active</t>
        </is>
      </c>
      <c r="H529" s="1" t="inlineStr">
        <is>
          <t>Falta el costo de compra (no está en ninguna tabla de precios)</t>
        </is>
      </c>
    </row>
    <row r="530">
      <c r="A530" s="1" t="inlineStr">
        <is>
          <t>665bd4b558851</t>
        </is>
      </c>
      <c r="B530" s="1" t="inlineStr">
        <is>
          <t>ANILLO LOVE GOLD ZIRCONIAS RAINBOW</t>
        </is>
      </c>
      <c r="C530" s="1" t="n">
        <v>7</v>
      </c>
      <c r="D530" s="1" t="inlineStr">
        <is>
          <t>HAIFENG</t>
        </is>
      </c>
      <c r="E530" s="6" t="n">
        <v>380</v>
      </c>
      <c r="F530" s="4" t="n">
        <v>0</v>
      </c>
      <c r="G530" s="1" t="inlineStr">
        <is>
          <t>active</t>
        </is>
      </c>
      <c r="H530" s="1" t="inlineStr">
        <is>
          <t>Falta el costo de compra (no está en ninguna tabla de precios)</t>
        </is>
      </c>
    </row>
    <row r="531">
      <c r="A531" s="1" t="inlineStr">
        <is>
          <t>665bd4b198166</t>
        </is>
      </c>
      <c r="B531" s="1" t="inlineStr">
        <is>
          <t>ANILLO WORLD MAP BLACK</t>
        </is>
      </c>
      <c r="C531" s="1" t="n">
        <v>7</v>
      </c>
      <c r="D531" s="1" t="inlineStr">
        <is>
          <t>JEFF</t>
        </is>
      </c>
      <c r="E531" s="6" t="n">
        <v>429</v>
      </c>
      <c r="F531" s="4" t="n">
        <v>0</v>
      </c>
      <c r="G531" s="1" t="inlineStr">
        <is>
          <t>active</t>
        </is>
      </c>
      <c r="H531" s="1" t="inlineStr">
        <is>
          <t>YA TIENE COSTO EN SHOPIFY ($41.53, heredado hoy)</t>
        </is>
      </c>
    </row>
    <row r="532">
      <c r="A532" s="1" t="inlineStr">
        <is>
          <t>665bd4b24c015</t>
        </is>
      </c>
      <c r="B532" s="1" t="inlineStr">
        <is>
          <t>ANILLO WORLD MAP BLACK</t>
        </is>
      </c>
      <c r="C532" s="1" t="n">
        <v>8</v>
      </c>
      <c r="D532" s="1" t="inlineStr">
        <is>
          <t>JEFF</t>
        </is>
      </c>
      <c r="E532" s="6" t="n">
        <v>429</v>
      </c>
      <c r="F532" s="4" t="n">
        <v>0</v>
      </c>
      <c r="G532" s="1" t="inlineStr">
        <is>
          <t>active</t>
        </is>
      </c>
      <c r="H532" s="1" t="inlineStr">
        <is>
          <t>YA TIENE COSTO EN SHOPIFY ($41.53, heredado hoy)</t>
        </is>
      </c>
    </row>
    <row r="533">
      <c r="A533" s="1" t="inlineStr">
        <is>
          <t>66581e2b33862</t>
        </is>
      </c>
      <c r="B533" s="1" t="inlineStr">
        <is>
          <t>BOLSO B PINK GOLD</t>
        </is>
      </c>
      <c r="C533" s="1" t="inlineStr">
        <is>
          <t>17cm de largo x 11cm de alto x 8cm de ancho</t>
        </is>
      </c>
      <c r="D533" s="1" t="inlineStr">
        <is>
          <t>DINA DU</t>
        </is>
      </c>
      <c r="E533" s="6" t="n">
        <v>1500</v>
      </c>
      <c r="F533" s="4" t="n">
        <v>0</v>
      </c>
      <c r="G533" s="1" t="inlineStr">
        <is>
          <t>active</t>
        </is>
      </c>
      <c r="H533" s="1" t="inlineStr">
        <is>
          <t>Falta el costo de compra (no está en ninguna tabla de precios)</t>
        </is>
      </c>
    </row>
    <row r="534">
      <c r="A534" s="1" t="inlineStr">
        <is>
          <t>11053011013069</t>
        </is>
      </c>
      <c r="B534" s="1" t="inlineStr">
        <is>
          <t>ARETES FR GOLD CON ZIRCONIA</t>
        </is>
      </c>
      <c r="C534" s="1" t="inlineStr">
        <is>
          <t>OUTLET</t>
        </is>
      </c>
      <c r="D534" s="1" t="inlineStr">
        <is>
          <t>NANCY VIP</t>
        </is>
      </c>
      <c r="E534" s="6" t="n">
        <v>399</v>
      </c>
      <c r="F534" s="4" t="n">
        <v>0</v>
      </c>
      <c r="G534" s="1" t="inlineStr">
        <is>
          <t>active</t>
        </is>
      </c>
      <c r="H534" s="1" t="inlineStr">
        <is>
          <t>YA TIENE COSTO EN SHOPIFY ($125.98, heredado hoy)</t>
        </is>
      </c>
    </row>
    <row r="535">
      <c r="A535" s="1" t="inlineStr">
        <is>
          <t>43728139900556</t>
        </is>
      </c>
      <c r="B535" s="1" t="inlineStr">
        <is>
          <t>PULSERA CLAVO GOLD DELGADA</t>
        </is>
      </c>
      <c r="C535" s="1" t="inlineStr">
        <is>
          <t>16cm OUTLET</t>
        </is>
      </c>
      <c r="D535" s="1" t="inlineStr">
        <is>
          <t>NANCY VIP</t>
        </is>
      </c>
      <c r="E535" s="6" t="n">
        <v>400</v>
      </c>
      <c r="F535" s="4" t="n">
        <v>0</v>
      </c>
      <c r="G535" s="1" t="inlineStr">
        <is>
          <t>active</t>
        </is>
      </c>
      <c r="H535" s="1" t="inlineStr">
        <is>
          <t>YA TIENE COSTO EN SHOPIFY ($68.35, heredado hoy)</t>
        </is>
      </c>
    </row>
    <row r="536">
      <c r="A536" s="1" t="inlineStr">
        <is>
          <t>94993001062189</t>
        </is>
      </c>
      <c r="B536" s="1" t="inlineStr">
        <is>
          <t>PULSERA CLAVO DELGADA ROSE GOLD CON ZIRCONIA</t>
        </is>
      </c>
      <c r="C536" s="1" t="inlineStr">
        <is>
          <t>17cm OUTLET</t>
        </is>
      </c>
      <c r="D536" s="1" t="inlineStr">
        <is>
          <t>NANCY VIP</t>
        </is>
      </c>
      <c r="E536" s="6" t="n">
        <v>399</v>
      </c>
      <c r="F536" s="4" t="n">
        <v>0</v>
      </c>
      <c r="G536" s="1" t="inlineStr">
        <is>
          <t>active</t>
        </is>
      </c>
      <c r="H536" s="1" t="inlineStr">
        <is>
          <t>YA TIENE COSTO EN SHOPIFY ($93.25, heredado hoy)</t>
        </is>
      </c>
    </row>
    <row r="537">
      <c r="A537" s="1" t="inlineStr">
        <is>
          <t>43728130270892</t>
        </is>
      </c>
      <c r="B537" s="1" t="inlineStr">
        <is>
          <t>PULSERA CLAVO GOLD DELGADA CON ZIRCONIA</t>
        </is>
      </c>
      <c r="C537" s="1" t="inlineStr">
        <is>
          <t>17cm OUTLET</t>
        </is>
      </c>
      <c r="D537" s="1" t="inlineStr">
        <is>
          <t>NANCY VIP</t>
        </is>
      </c>
      <c r="E537" s="6" t="n">
        <v>349</v>
      </c>
      <c r="F537" s="4" t="n">
        <v>2</v>
      </c>
      <c r="G537" s="1" t="inlineStr">
        <is>
          <t>active</t>
        </is>
      </c>
      <c r="H537" s="1" t="inlineStr">
        <is>
          <t>YA TIENE COSTO EN SHOPIFY ($93.73, heredado hoy)</t>
        </is>
      </c>
    </row>
    <row r="538">
      <c r="A538" s="1" t="inlineStr">
        <is>
          <t>81836202175149</t>
        </is>
      </c>
      <c r="B538" s="1" t="inlineStr">
        <is>
          <t>PULSERA DE TELA TRES AROS BLACK</t>
        </is>
      </c>
      <c r="C538" s="1" t="inlineStr">
        <is>
          <t>OUTLET</t>
        </is>
      </c>
      <c r="D538" s="1" t="inlineStr">
        <is>
          <t>HAIFENG</t>
        </is>
      </c>
      <c r="E538" s="6" t="n">
        <v>199.5</v>
      </c>
      <c r="F538" s="4" t="n">
        <v>0</v>
      </c>
      <c r="G538" s="1" t="inlineStr">
        <is>
          <t>active</t>
        </is>
      </c>
      <c r="H538" s="1" t="inlineStr">
        <is>
          <t>YA TIENE COSTO EN SHOPIFY ($99.07, heredado hoy)</t>
        </is>
      </c>
    </row>
    <row r="539">
      <c r="A539" s="1" t="inlineStr">
        <is>
          <t>665bbe99a713b</t>
        </is>
      </c>
      <c r="B539" s="1" t="inlineStr">
        <is>
          <t>DESTORNILLADOR GOLD</t>
        </is>
      </c>
      <c r="C539" s="1" t="inlineStr">
        <is>
          <t>Delgado</t>
        </is>
      </c>
      <c r="D539" s="1" t="inlineStr">
        <is>
          <t>HAIFENG</t>
        </is>
      </c>
      <c r="E539" s="6" t="n">
        <v>50</v>
      </c>
      <c r="F539" s="4" t="n">
        <v>0</v>
      </c>
      <c r="G539" s="1" t="inlineStr">
        <is>
          <t>active</t>
        </is>
      </c>
      <c r="H539" s="1" t="inlineStr">
        <is>
          <t>Falta el costo de compra (no está en ninguna tabla de precios)</t>
        </is>
      </c>
    </row>
    <row r="540">
      <c r="A540" s="1" t="inlineStr">
        <is>
          <t>665bbe9a53f52</t>
        </is>
      </c>
      <c r="B540" s="1" t="inlineStr">
        <is>
          <t>DESTORNILLADOR GOLD</t>
        </is>
      </c>
      <c r="C540" s="1" t="inlineStr">
        <is>
          <t>Regular</t>
        </is>
      </c>
      <c r="D540" s="1" t="inlineStr">
        <is>
          <t>HAIFENG</t>
        </is>
      </c>
      <c r="E540" s="6" t="n">
        <v>35</v>
      </c>
      <c r="F540" s="4" t="n">
        <v>0</v>
      </c>
      <c r="G540" s="1" t="inlineStr">
        <is>
          <t>active</t>
        </is>
      </c>
      <c r="H540" s="1" t="inlineStr">
        <is>
          <t>Falta el costo de compra (no está en ninguna tabla de precios)</t>
        </is>
      </c>
    </row>
    <row r="541">
      <c r="A541" s="1" t="inlineStr">
        <is>
          <t>665bbe94a5e15</t>
        </is>
      </c>
      <c r="B541" s="1" t="inlineStr">
        <is>
          <t>DESTORNILLADOR SILVER</t>
        </is>
      </c>
      <c r="C541" s="1" t="inlineStr">
        <is>
          <t>Delgado</t>
        </is>
      </c>
      <c r="D541" s="1" t="inlineStr">
        <is>
          <t>HAIFENG</t>
        </is>
      </c>
      <c r="E541" s="6" t="n">
        <v>50</v>
      </c>
      <c r="F541" s="4" t="n">
        <v>0</v>
      </c>
      <c r="G541" s="1" t="inlineStr">
        <is>
          <t>active</t>
        </is>
      </c>
      <c r="H541" s="1" t="inlineStr">
        <is>
          <t>Falta el costo de compra (no está en ninguna tabla de precios)</t>
        </is>
      </c>
    </row>
    <row r="542">
      <c r="A542" s="1" t="inlineStr">
        <is>
          <t>665bbe954e6a6</t>
        </is>
      </c>
      <c r="B542" s="1" t="inlineStr">
        <is>
          <t>DESTORNILLADOR SILVER</t>
        </is>
      </c>
      <c r="C542" s="1" t="inlineStr">
        <is>
          <t>Regular</t>
        </is>
      </c>
      <c r="D542" s="1" t="inlineStr">
        <is>
          <t>HAIFENG</t>
        </is>
      </c>
      <c r="E542" s="6" t="n">
        <v>50</v>
      </c>
      <c r="F542" s="4" t="n">
        <v>0</v>
      </c>
      <c r="G542" s="1" t="inlineStr">
        <is>
          <t>active</t>
        </is>
      </c>
      <c r="H542" s="1" t="inlineStr">
        <is>
          <t>Falta el costo de compra (no está en ninguna tabla de precios)</t>
        </is>
      </c>
    </row>
    <row r="543">
      <c r="A543" s="1" t="inlineStr">
        <is>
          <t>665bbe9d5a192</t>
        </is>
      </c>
      <c r="B543" s="1" t="inlineStr">
        <is>
          <t>DESTORNILLADOR ROSEGOLD</t>
        </is>
      </c>
      <c r="C543" s="1" t="inlineStr">
        <is>
          <t>Delgado</t>
        </is>
      </c>
      <c r="D543" s="1" t="inlineStr">
        <is>
          <t>HAIFENG</t>
        </is>
      </c>
      <c r="E543" s="6" t="n">
        <v>50</v>
      </c>
      <c r="F543" s="4" t="n">
        <v>0</v>
      </c>
      <c r="G543" s="1" t="inlineStr">
        <is>
          <t>active</t>
        </is>
      </c>
      <c r="H543" s="1" t="inlineStr">
        <is>
          <t>Falta el costo de compra (no está en ninguna tabla de precios)</t>
        </is>
      </c>
    </row>
    <row r="544">
      <c r="A544" s="1" t="inlineStr">
        <is>
          <t>665bbe9e10df2</t>
        </is>
      </c>
      <c r="B544" s="1" t="inlineStr">
        <is>
          <t>DESTORNILLADOR ROSEGOLD</t>
        </is>
      </c>
      <c r="C544" s="1" t="inlineStr">
        <is>
          <t>Regular</t>
        </is>
      </c>
      <c r="D544" s="1" t="inlineStr">
        <is>
          <t>HAIFENG</t>
        </is>
      </c>
      <c r="E544" s="6" t="n">
        <v>50</v>
      </c>
      <c r="F544" s="4" t="n">
        <v>0</v>
      </c>
      <c r="G544" s="1" t="inlineStr">
        <is>
          <t>active</t>
        </is>
      </c>
      <c r="H544" s="1" t="inlineStr">
        <is>
          <t>Falta el costo de compra (no está en ninguna tabla de precios)</t>
        </is>
      </c>
    </row>
    <row r="545">
      <c r="A545" s="1" t="inlineStr">
        <is>
          <t>63e0c231cf23f</t>
        </is>
      </c>
      <c r="B545" s="1" t="inlineStr">
        <is>
          <t>PULSERA CLIC H SILVER WHITE</t>
        </is>
      </c>
      <c r="C545" s="1" t="inlineStr">
        <is>
          <t>19 cm</t>
        </is>
      </c>
      <c r="D545" s="1" t="inlineStr">
        <is>
          <t>HAIFENG</t>
        </is>
      </c>
      <c r="E545" s="6" t="n">
        <v>569</v>
      </c>
      <c r="F545" s="4" t="n">
        <v>0</v>
      </c>
      <c r="G545" s="1" t="inlineStr">
        <is>
          <t>active</t>
        </is>
      </c>
      <c r="H545" s="1" t="inlineStr">
        <is>
          <t>YA TIENE COSTO EN SHOPIFY ($103.00, heredado hoy)</t>
        </is>
      </c>
    </row>
    <row r="546">
      <c r="A546" s="1" t="inlineStr">
        <is>
          <t>81836202019789</t>
        </is>
      </c>
      <c r="B546" s="1" t="inlineStr">
        <is>
          <t>PULSERA CLIC H SILVER WHITE</t>
        </is>
      </c>
      <c r="C546" s="1" t="inlineStr">
        <is>
          <t>OUTLET</t>
        </is>
      </c>
      <c r="D546" s="1" t="inlineStr">
        <is>
          <t>HAIFENG</t>
        </is>
      </c>
      <c r="E546" s="6" t="n">
        <v>499</v>
      </c>
      <c r="F546" s="4" t="n">
        <v>0</v>
      </c>
      <c r="G546" s="1" t="inlineStr">
        <is>
          <t>active</t>
        </is>
      </c>
      <c r="H546" s="1" t="inlineStr">
        <is>
          <t>YA TIENE COSTO EN SHOPIFY ($105.43, heredado hoy)</t>
        </is>
      </c>
    </row>
    <row r="547">
      <c r="A547" s="1" t="inlineStr">
        <is>
          <t>63e0c232a4eba</t>
        </is>
      </c>
      <c r="B547" s="1" t="inlineStr">
        <is>
          <t>PULSERA CLIC H GOLD PINK</t>
        </is>
      </c>
      <c r="C547" s="1" t="inlineStr">
        <is>
          <t>19 cm</t>
        </is>
      </c>
      <c r="D547" s="1" t="inlineStr">
        <is>
          <t>HAIFENG</t>
        </is>
      </c>
      <c r="E547" s="6" t="n">
        <v>569</v>
      </c>
      <c r="F547" s="4" t="n">
        <v>0</v>
      </c>
      <c r="G547" s="1" t="inlineStr">
        <is>
          <t>active</t>
        </is>
      </c>
      <c r="H547" s="1" t="inlineStr">
        <is>
          <t>YA TIENE COSTO EN SHOPIFY ($100.00, heredado hoy)</t>
        </is>
      </c>
    </row>
    <row r="548">
      <c r="A548" s="1" t="inlineStr">
        <is>
          <t>63e0c23532a41</t>
        </is>
      </c>
      <c r="B548" s="1" t="inlineStr">
        <is>
          <t>PULSERA CLIC H GOLD BLACK</t>
        </is>
      </c>
      <c r="C548" s="1" t="inlineStr">
        <is>
          <t>19 cm</t>
        </is>
      </c>
      <c r="D548" s="1" t="inlineStr">
        <is>
          <t>HAIFENG</t>
        </is>
      </c>
      <c r="E548" s="6" t="n">
        <v>569</v>
      </c>
      <c r="F548" s="4" t="n">
        <v>0</v>
      </c>
      <c r="G548" s="1" t="inlineStr">
        <is>
          <t>active</t>
        </is>
      </c>
      <c r="H548" s="1" t="inlineStr">
        <is>
          <t>YA TIENE COSTO EN SHOPIFY ($103.00, heredado hoy)</t>
        </is>
      </c>
    </row>
    <row r="549">
      <c r="A549" s="1" t="inlineStr">
        <is>
          <t>63e0c235a913f</t>
        </is>
      </c>
      <c r="B549" s="1" t="inlineStr">
        <is>
          <t>PULSERA CLIC H SILVER BLACK</t>
        </is>
      </c>
      <c r="C549" s="1" t="inlineStr">
        <is>
          <t>19 cm</t>
        </is>
      </c>
      <c r="D549" s="1" t="inlineStr">
        <is>
          <t>HAIFENG</t>
        </is>
      </c>
      <c r="E549" s="6" t="n">
        <v>569</v>
      </c>
      <c r="F549" s="4" t="n">
        <v>0</v>
      </c>
      <c r="G549" s="1" t="inlineStr">
        <is>
          <t>active</t>
        </is>
      </c>
      <c r="H549" s="1" t="inlineStr">
        <is>
          <t>YA TIENE COSTO EN SHOPIFY ($103.00, heredado hoy)</t>
        </is>
      </c>
    </row>
    <row r="550">
      <c r="A550" s="1" t="inlineStr">
        <is>
          <t>81605441073229</t>
        </is>
      </c>
      <c r="B550" s="1" t="inlineStr">
        <is>
          <t>PULSERA CLIC H SILVER BLACK</t>
        </is>
      </c>
      <c r="C550" s="1" t="inlineStr">
        <is>
          <t>16.8 cm OUTLET</t>
        </is>
      </c>
      <c r="D550" s="1" t="inlineStr">
        <is>
          <t>HAIFENG</t>
        </is>
      </c>
      <c r="E550" s="6" t="n">
        <v>449</v>
      </c>
      <c r="F550" s="4" t="n">
        <v>1</v>
      </c>
      <c r="G550" s="1" t="inlineStr">
        <is>
          <t>active</t>
        </is>
      </c>
      <c r="H550" s="1" t="inlineStr">
        <is>
          <t>YA TIENE COSTO EN SHOPIFY ($105.18, heredado hoy)</t>
        </is>
      </c>
    </row>
    <row r="551">
      <c r="A551" s="1" t="inlineStr">
        <is>
          <t>63ebdddc9bcd9</t>
        </is>
      </c>
      <c r="B551" s="1" t="inlineStr">
        <is>
          <t>PULSERA CLIC H SILVER ORANGE</t>
        </is>
      </c>
      <c r="C551" s="1" t="inlineStr">
        <is>
          <t>16.8 cm</t>
        </is>
      </c>
      <c r="D551" s="1" t="inlineStr">
        <is>
          <t>HAIFENG</t>
        </is>
      </c>
      <c r="E551" s="6" t="n">
        <v>550</v>
      </c>
      <c r="F551" s="4" t="n">
        <v>0</v>
      </c>
      <c r="G551" s="1" t="inlineStr">
        <is>
          <t>active</t>
        </is>
      </c>
      <c r="H551" s="1" t="inlineStr">
        <is>
          <t>Falta el costo de compra (no está en ninguna tabla de precios)</t>
        </is>
      </c>
    </row>
    <row r="552">
      <c r="A552" s="1" t="inlineStr">
        <is>
          <t>63ebddde91fa6</t>
        </is>
      </c>
      <c r="B552" s="1" t="inlineStr">
        <is>
          <t>PULSERA CLIC H GOLD WHITE</t>
        </is>
      </c>
      <c r="C552" s="1" t="inlineStr">
        <is>
          <t>19 cm</t>
        </is>
      </c>
      <c r="D552" s="1" t="inlineStr">
        <is>
          <t>HAIFENG</t>
        </is>
      </c>
      <c r="E552" s="6" t="n">
        <v>569</v>
      </c>
      <c r="F552" s="4" t="n">
        <v>0</v>
      </c>
      <c r="G552" s="1" t="inlineStr">
        <is>
          <t>active</t>
        </is>
      </c>
      <c r="H552" s="1" t="inlineStr">
        <is>
          <t>Falta el costo de compra (no está en ninguna tabla de precios)</t>
        </is>
      </c>
    </row>
    <row r="553">
      <c r="A553" s="1" t="inlineStr">
        <is>
          <t>99021401089633OUTLET</t>
        </is>
      </c>
      <c r="B553" s="1" t="inlineStr">
        <is>
          <t>PULSERA CLIC H GOLD WHITE</t>
        </is>
      </c>
      <c r="C553" s="1" t="inlineStr">
        <is>
          <t>OUTLET</t>
        </is>
      </c>
      <c r="D553" s="1" t="inlineStr">
        <is>
          <t>HAIFENG</t>
        </is>
      </c>
      <c r="E553" s="6" t="n">
        <v>275</v>
      </c>
      <c r="F553" s="4" t="n">
        <v>0</v>
      </c>
      <c r="G553" s="1" t="inlineStr">
        <is>
          <t>active</t>
        </is>
      </c>
      <c r="H553" s="1" t="inlineStr">
        <is>
          <t>YA TIENE COSTO EN SHOPIFY ($106.07, heredado hoy)</t>
        </is>
      </c>
    </row>
    <row r="554">
      <c r="A554" s="1" t="inlineStr">
        <is>
          <t>63e0bf97c0728</t>
        </is>
      </c>
      <c r="B554" s="1" t="inlineStr">
        <is>
          <t>GARGANTILLA CD DORADA</t>
        </is>
      </c>
      <c r="C554" s="1" t="inlineStr">
        <is>
          <t>43cm</t>
        </is>
      </c>
      <c r="D554" s="1" t="inlineStr">
        <is>
          <t>JEFF</t>
        </is>
      </c>
      <c r="E554" s="6" t="n">
        <v>499</v>
      </c>
      <c r="F554" s="4" t="n">
        <v>0</v>
      </c>
      <c r="G554" s="1" t="inlineStr">
        <is>
          <t>active</t>
        </is>
      </c>
      <c r="H554" s="1" t="inlineStr">
        <is>
          <t>Falta el costo de compra (no está en ninguna tabla de precios)</t>
        </is>
      </c>
    </row>
    <row r="555">
      <c r="A555" s="1" t="inlineStr">
        <is>
          <t>665bbea640236</t>
        </is>
      </c>
      <c r="B555" s="1" t="inlineStr">
        <is>
          <t>GARGANTILLA CD DORADA</t>
        </is>
      </c>
      <c r="C555" s="1" t="inlineStr">
        <is>
          <t>High Quality</t>
        </is>
      </c>
      <c r="D555" s="1" t="inlineStr">
        <is>
          <t>JEFF</t>
        </is>
      </c>
      <c r="E555" s="6" t="n">
        <v>850</v>
      </c>
      <c r="F555" s="4" t="n">
        <v>0</v>
      </c>
      <c r="G555" s="1" t="inlineStr">
        <is>
          <t>active</t>
        </is>
      </c>
      <c r="H555" s="1" t="inlineStr">
        <is>
          <t>Falta el costo de compra (no está en ninguna tabla de precios)</t>
        </is>
      </c>
    </row>
    <row r="556">
      <c r="A556" s="1" t="inlineStr">
        <is>
          <t>64384ea45a500</t>
        </is>
      </c>
      <c r="B556" s="1" t="inlineStr">
        <is>
          <t>PULSERA CLIC H SILVER PINK</t>
        </is>
      </c>
      <c r="C556" s="1" t="inlineStr">
        <is>
          <t>19 cm</t>
        </is>
      </c>
      <c r="D556" s="1" t="inlineStr">
        <is>
          <t>HAIFENG</t>
        </is>
      </c>
      <c r="E556" s="6" t="n">
        <v>569</v>
      </c>
      <c r="F556" s="4" t="n">
        <v>0</v>
      </c>
      <c r="G556" s="1" t="inlineStr">
        <is>
          <t>active</t>
        </is>
      </c>
      <c r="H556" s="1" t="inlineStr">
        <is>
          <t>YA TIENE COSTO EN SHOPIFY ($100.00, heredado hoy)</t>
        </is>
      </c>
    </row>
    <row r="557">
      <c r="A557" s="1" t="inlineStr">
        <is>
          <t>63ebd5513ef30</t>
        </is>
      </c>
      <c r="B557" s="1" t="inlineStr">
        <is>
          <t>ANILLO SERPENTI SILVER CON ZIRCONIA</t>
        </is>
      </c>
      <c r="C557" s="1" t="inlineStr">
        <is>
          <t>Ajustable</t>
        </is>
      </c>
      <c r="D557" s="1" t="inlineStr">
        <is>
          <t>ANA FU</t>
        </is>
      </c>
      <c r="E557" s="6" t="n">
        <v>720</v>
      </c>
      <c r="F557" s="4" t="n">
        <v>0</v>
      </c>
      <c r="G557" s="1" t="inlineStr">
        <is>
          <t>active</t>
        </is>
      </c>
      <c r="H557" s="1" t="inlineStr">
        <is>
          <t>Falta el costo de compra (no está en ninguna tabla de precios)</t>
        </is>
      </c>
    </row>
    <row r="558">
      <c r="A558" s="1" t="inlineStr">
        <is>
          <t>63ebd55123915</t>
        </is>
      </c>
      <c r="B558" s="1" t="inlineStr">
        <is>
          <t>ANILLO SERPENTI ROSE GOLD CON ZIRCONIA</t>
        </is>
      </c>
      <c r="C558" s="1" t="inlineStr">
        <is>
          <t>AJUSTABLE</t>
        </is>
      </c>
      <c r="D558" s="1" t="inlineStr">
        <is>
          <t>ANA FU</t>
        </is>
      </c>
      <c r="E558" s="6" t="n">
        <v>720</v>
      </c>
      <c r="F558" s="4" t="n">
        <v>0</v>
      </c>
      <c r="G558" s="1" t="inlineStr">
        <is>
          <t>active</t>
        </is>
      </c>
      <c r="H558" s="1" t="inlineStr">
        <is>
          <t>Falta el costo de compra (no está en ninguna tabla de precios)</t>
        </is>
      </c>
    </row>
    <row r="559">
      <c r="A559" s="1" t="inlineStr">
        <is>
          <t>63697921069741</t>
        </is>
      </c>
      <c r="B559" s="1" t="inlineStr">
        <is>
          <t>COLLAR SMILE DORADO</t>
        </is>
      </c>
      <c r="C559" s="1" t="inlineStr">
        <is>
          <t>MÉDIUM OUTLET</t>
        </is>
      </c>
      <c r="D559" s="1" t="inlineStr">
        <is>
          <t>HAIFENG</t>
        </is>
      </c>
      <c r="E559" s="6" t="n">
        <v>370</v>
      </c>
      <c r="F559" s="4" t="n">
        <v>0</v>
      </c>
      <c r="G559" s="1" t="inlineStr">
        <is>
          <t>active</t>
        </is>
      </c>
      <c r="H559" s="1" t="inlineStr">
        <is>
          <t>YA TIENE COSTO EN SHOPIFY ($74.56, heredado hoy)</t>
        </is>
      </c>
    </row>
    <row r="560">
      <c r="A560" s="1" t="inlineStr">
        <is>
          <t>63e0c0e31c245</t>
        </is>
      </c>
      <c r="B560" s="1" t="inlineStr">
        <is>
          <t>PULSERA CD SILVER</t>
        </is>
      </c>
      <c r="C560" s="1" t="inlineStr">
        <is>
          <t>17 cm y 4 cm de extensión.</t>
        </is>
      </c>
      <c r="D560" s="1" t="inlineStr">
        <is>
          <t>JEFF</t>
        </is>
      </c>
      <c r="E560" s="6" t="n">
        <v>400</v>
      </c>
      <c r="F560" s="4" t="n">
        <v>0</v>
      </c>
      <c r="G560" s="1" t="inlineStr">
        <is>
          <t>active</t>
        </is>
      </c>
      <c r="H560" s="1" t="inlineStr">
        <is>
          <t>Falta el costo de compra (no está en ninguna tabla de precios)</t>
        </is>
      </c>
    </row>
    <row r="561">
      <c r="A561" s="1" t="inlineStr">
        <is>
          <t>43728138271180</t>
        </is>
      </c>
      <c r="B561" s="1" t="inlineStr">
        <is>
          <t>PULSERA CD SILVER</t>
        </is>
      </c>
      <c r="C561" s="1" t="inlineStr">
        <is>
          <t>OUTLET</t>
        </is>
      </c>
      <c r="D561" s="1" t="inlineStr">
        <is>
          <t>JEFF</t>
        </is>
      </c>
      <c r="E561" s="6" t="n">
        <v>200</v>
      </c>
      <c r="F561" s="4" t="n">
        <v>0</v>
      </c>
      <c r="G561" s="1" t="inlineStr">
        <is>
          <t>active</t>
        </is>
      </c>
      <c r="H561" s="1" t="inlineStr">
        <is>
          <t>Falta el costo de compra (no está en ninguna tabla de precios)</t>
        </is>
      </c>
    </row>
    <row r="562">
      <c r="A562" s="1" t="inlineStr">
        <is>
          <t>63e0c534a644f</t>
        </is>
      </c>
      <c r="B562" s="1" t="inlineStr">
        <is>
          <t>PULSERA ESTILO TENNIS DE BRILLOS DORADA</t>
        </is>
      </c>
      <c r="C562" s="1" t="inlineStr">
        <is>
          <t>16 cm de largo y 3 cm de extensión</t>
        </is>
      </c>
      <c r="D562" s="1" t="inlineStr">
        <is>
          <t>JEFF</t>
        </is>
      </c>
      <c r="E562" s="6" t="n">
        <v>389</v>
      </c>
      <c r="F562" s="4" t="n">
        <v>0</v>
      </c>
      <c r="G562" s="1" t="inlineStr">
        <is>
          <t>active</t>
        </is>
      </c>
      <c r="H562" s="1" t="inlineStr">
        <is>
          <t>Falta el costo de compra (no está en ninguna tabla de precios)</t>
        </is>
      </c>
    </row>
    <row r="563">
      <c r="A563" s="1" t="inlineStr">
        <is>
          <t>63e0c5f77fc32</t>
        </is>
      </c>
      <c r="B563" s="1" t="inlineStr">
        <is>
          <t>PULSERA TENNIS DE BRILLOS SILVER</t>
        </is>
      </c>
      <c r="C563" s="1" t="inlineStr">
        <is>
          <t>16 cm de largo y 3 cm de extensión</t>
        </is>
      </c>
      <c r="D563" s="1" t="inlineStr">
        <is>
          <t>JEFF</t>
        </is>
      </c>
      <c r="E563" s="6" t="n">
        <v>389</v>
      </c>
      <c r="F563" s="4" t="n">
        <v>0</v>
      </c>
      <c r="G563" s="1" t="inlineStr">
        <is>
          <t>active</t>
        </is>
      </c>
      <c r="H563" s="1" t="inlineStr">
        <is>
          <t>Falta el costo de compra (no está en ninguna tabla de precios)</t>
        </is>
      </c>
    </row>
    <row r="564">
      <c r="A564" s="1" t="inlineStr">
        <is>
          <t>77978434642444</t>
        </is>
      </c>
      <c r="B564" s="1" t="inlineStr">
        <is>
          <t>PULSERA TENNIS DE BRILLOS SILVER</t>
        </is>
      </c>
      <c r="C564" s="1" t="inlineStr">
        <is>
          <t>OUTLET</t>
        </is>
      </c>
      <c r="D564" s="1" t="inlineStr">
        <is>
          <t>JEFF</t>
        </is>
      </c>
      <c r="E564" s="6" t="n">
        <v>194.5</v>
      </c>
      <c r="F564" s="4" t="n">
        <v>0</v>
      </c>
      <c r="G564" s="1" t="inlineStr">
        <is>
          <t>active</t>
        </is>
      </c>
      <c r="H564" s="1" t="inlineStr">
        <is>
          <t>Falta el costo de compra (no está en ninguna tabla de precios)</t>
        </is>
      </c>
    </row>
    <row r="565">
      <c r="A565" s="1" t="inlineStr">
        <is>
          <t>81836201855405</t>
        </is>
      </c>
      <c r="B565" s="1" t="inlineStr">
        <is>
          <t>PULSERA TENNIS DE BRILLOS SILVER</t>
        </is>
      </c>
      <c r="C565" s="1" t="inlineStr">
        <is>
          <t>16.5cm HIGH QUALITY</t>
        </is>
      </c>
      <c r="D565" s="1" t="inlineStr">
        <is>
          <t>JEFF</t>
        </is>
      </c>
      <c r="E565" s="6" t="n">
        <v>536.36</v>
      </c>
      <c r="F565" s="4" t="n">
        <v>0</v>
      </c>
      <c r="G565" s="1" t="inlineStr">
        <is>
          <t>active</t>
        </is>
      </c>
      <c r="H565" s="1" t="inlineStr">
        <is>
          <t>Falta el costo de compra (no está en ninguna tabla de precios)</t>
        </is>
      </c>
    </row>
    <row r="566">
      <c r="A566" s="1" t="inlineStr">
        <is>
          <t>81836201988173</t>
        </is>
      </c>
      <c r="B566" s="1" t="inlineStr">
        <is>
          <t>PULSERA TENNIS DE BRILLOS SILVER</t>
        </is>
      </c>
      <c r="C566" s="1" t="inlineStr">
        <is>
          <t>19cm HIGH QUALITY</t>
        </is>
      </c>
      <c r="D566" s="1" t="inlineStr">
        <is>
          <t>JEFF</t>
        </is>
      </c>
      <c r="E566" s="6" t="n">
        <v>536.36</v>
      </c>
      <c r="F566" s="4" t="n">
        <v>0</v>
      </c>
      <c r="G566" s="1" t="inlineStr">
        <is>
          <t>active</t>
        </is>
      </c>
      <c r="H566" s="1" t="inlineStr">
        <is>
          <t>Falta el costo de compra (no está en ninguna tabla de precios)</t>
        </is>
      </c>
    </row>
    <row r="567">
      <c r="A567" s="1" t="inlineStr">
        <is>
          <t>63e0c531ac868</t>
        </is>
      </c>
      <c r="B567" s="1" t="inlineStr">
        <is>
          <t>PULSERA ESTILO TENNIS DE BRILLOS BLACK</t>
        </is>
      </c>
      <c r="C567" s="1" t="inlineStr">
        <is>
          <t>16 cm de largo y 3 cm de extensión</t>
        </is>
      </c>
      <c r="D567" s="1" t="inlineStr">
        <is>
          <t>JEFF</t>
        </is>
      </c>
      <c r="E567" s="6" t="n">
        <v>389</v>
      </c>
      <c r="F567" s="4" t="n">
        <v>0</v>
      </c>
      <c r="G567" s="1" t="inlineStr">
        <is>
          <t>active</t>
        </is>
      </c>
      <c r="H567" s="1" t="inlineStr">
        <is>
          <t>Falta el costo de compra (no está en ninguna tabla de precios)</t>
        </is>
      </c>
    </row>
    <row r="568">
      <c r="A568" s="1" t="inlineStr">
        <is>
          <t>63ebde494d721</t>
        </is>
      </c>
      <c r="B568" s="1" t="inlineStr">
        <is>
          <t>PULSERA CLIC H GOLD BLUE</t>
        </is>
      </c>
      <c r="C568" s="1" t="inlineStr">
        <is>
          <t>19 cm</t>
        </is>
      </c>
      <c r="D568" s="1" t="inlineStr">
        <is>
          <t>HAIFENG</t>
        </is>
      </c>
      <c r="E568" s="6" t="n">
        <v>569</v>
      </c>
      <c r="F568" s="4" t="n">
        <v>0</v>
      </c>
      <c r="G568" s="1" t="inlineStr">
        <is>
          <t>active</t>
        </is>
      </c>
      <c r="H568" s="1" t="inlineStr">
        <is>
          <t>YA TIENE COSTO EN SHOPIFY ($103.00, heredado hoy)</t>
        </is>
      </c>
    </row>
    <row r="569">
      <c r="A569" s="1" t="inlineStr">
        <is>
          <t>64384cb85d061</t>
        </is>
      </c>
      <c r="B569" s="1" t="inlineStr">
        <is>
          <t>COLLAR BV BICOLOR GOLD</t>
        </is>
      </c>
      <c r="C569" s="1" t="inlineStr">
        <is>
          <t>Largo de cadena total 47.5 cm  Extensión 9 cm  Dije 1.5 cm</t>
        </is>
      </c>
      <c r="D569" s="1" t="inlineStr">
        <is>
          <t>COCOMA</t>
        </is>
      </c>
      <c r="E569" s="6" t="n">
        <v>495</v>
      </c>
      <c r="F569" s="4" t="n">
        <v>0</v>
      </c>
      <c r="G569" s="1" t="inlineStr">
        <is>
          <t>active</t>
        </is>
      </c>
      <c r="H569" s="1" t="inlineStr">
        <is>
          <t>Falta el costo de compra (no está en ninguna tabla de precios)</t>
        </is>
      </c>
    </row>
    <row r="570">
      <c r="A570" s="1" t="inlineStr">
        <is>
          <t>85233981026977</t>
        </is>
      </c>
      <c r="B570" s="1" t="inlineStr">
        <is>
          <t>COLLAR BV BICOLOR GOLD</t>
        </is>
      </c>
      <c r="C570" s="1" t="inlineStr">
        <is>
          <t>Titanio con diamantes  largo 40cm extensión 9cm</t>
        </is>
      </c>
      <c r="D570" s="1" t="inlineStr">
        <is>
          <t>COCOMA</t>
        </is>
      </c>
      <c r="E570" s="6" t="n">
        <v>572</v>
      </c>
      <c r="F570" s="4" t="n">
        <v>0</v>
      </c>
      <c r="G570" s="1" t="inlineStr">
        <is>
          <t>active</t>
        </is>
      </c>
      <c r="H570" s="1" t="inlineStr">
        <is>
          <t>Falta el costo de compra (no está en ninguna tabla de precios)</t>
        </is>
      </c>
    </row>
    <row r="571">
      <c r="A571" s="1" t="inlineStr">
        <is>
          <t>63ebda578780e</t>
        </is>
      </c>
      <c r="B571" s="1" t="inlineStr">
        <is>
          <t>COLLAR BV BICOLOR SILVER</t>
        </is>
      </c>
      <c r="C571" s="1" t="inlineStr">
        <is>
          <t>Largo de cadena total 47.5 cm  Extensión 9 cm  Dije 1.5 cm</t>
        </is>
      </c>
      <c r="D571" s="1" t="inlineStr">
        <is>
          <t>COCOMA</t>
        </is>
      </c>
      <c r="E571" s="6" t="n">
        <v>465</v>
      </c>
      <c r="F571" s="4" t="n">
        <v>0</v>
      </c>
      <c r="G571" s="1" t="inlineStr">
        <is>
          <t>active</t>
        </is>
      </c>
      <c r="H571" s="1" t="inlineStr">
        <is>
          <t>YA TIENE COSTO EN SHOPIFY ($144.82, heredado hoy)</t>
        </is>
      </c>
    </row>
    <row r="572">
      <c r="A572" s="1" t="inlineStr">
        <is>
          <t>83640771001409</t>
        </is>
      </c>
      <c r="B572" s="1" t="inlineStr">
        <is>
          <t>COLLAR BV BICOLOR SILVER</t>
        </is>
      </c>
      <c r="C572" s="1" t="inlineStr">
        <is>
          <t>Titanio con diamantes  largo 40cm extensión 9cm</t>
        </is>
      </c>
      <c r="D572" s="1" t="inlineStr">
        <is>
          <t>COCOMA</t>
        </is>
      </c>
      <c r="E572" s="6" t="n">
        <v>572</v>
      </c>
      <c r="F572" s="4" t="n">
        <v>0</v>
      </c>
      <c r="G572" s="1" t="inlineStr">
        <is>
          <t>active</t>
        </is>
      </c>
      <c r="H572" s="1" t="inlineStr">
        <is>
          <t>YA TIENE COSTO EN SHOPIFY ($144.82, heredado hoy)</t>
        </is>
      </c>
    </row>
    <row r="573">
      <c r="A573" s="1" t="inlineStr">
        <is>
          <t>63ebdf1a151a4</t>
        </is>
      </c>
      <c r="B573" s="1" t="inlineStr">
        <is>
          <t>PULSERA HELLOICE CUBANA DE DIENTES ZIRCONIAS GOLD HIGH QUALITY</t>
        </is>
      </c>
      <c r="C573" s="1" t="inlineStr">
        <is>
          <t>17.78 cm</t>
        </is>
      </c>
      <c r="D573" s="1" t="inlineStr">
        <is>
          <t>JEWERLY REMATE</t>
        </is>
      </c>
      <c r="E573" s="6" t="n">
        <v>1100</v>
      </c>
      <c r="F573" s="4" t="n">
        <v>0</v>
      </c>
      <c r="G573" s="1" t="inlineStr">
        <is>
          <t>active</t>
        </is>
      </c>
      <c r="H573" s="1" t="inlineStr">
        <is>
          <t>Falta el costo de compra (no está en ninguna tabla de precios)</t>
        </is>
      </c>
    </row>
    <row r="574">
      <c r="A574" s="1" t="inlineStr">
        <is>
          <t>63ebdf1ae6276</t>
        </is>
      </c>
      <c r="B574" s="1" t="inlineStr">
        <is>
          <t>PULSERA HELLOICE CUBANA DE DIENTES ZIRCONIAS GOLD HIGH QUALITY</t>
        </is>
      </c>
      <c r="C574" s="1" t="inlineStr">
        <is>
          <t>20.32 cm</t>
        </is>
      </c>
      <c r="D574" s="1" t="inlineStr">
        <is>
          <t>JEWERLY REMATE</t>
        </is>
      </c>
      <c r="E574" s="6" t="n">
        <v>840</v>
      </c>
      <c r="F574" s="4" t="n">
        <v>0</v>
      </c>
      <c r="G574" s="1" t="inlineStr">
        <is>
          <t>active</t>
        </is>
      </c>
      <c r="H574" s="1" t="inlineStr">
        <is>
          <t>Falta el costo de compra (no está en ninguna tabla de precios)</t>
        </is>
      </c>
    </row>
    <row r="575">
      <c r="A575" s="1" t="inlineStr">
        <is>
          <t>43728130415884</t>
        </is>
      </c>
      <c r="B575" s="1" t="inlineStr">
        <is>
          <t>LENTES DE SOL PR NEGROS HIGH QUALITY</t>
        </is>
      </c>
      <c r="C575" s="1" t="inlineStr">
        <is>
          <t>OUTLET</t>
        </is>
      </c>
      <c r="D575" s="1" t="inlineStr">
        <is>
          <t>HAIFENG</t>
        </is>
      </c>
      <c r="E575" s="6" t="n">
        <v>449.5</v>
      </c>
      <c r="F575" s="4" t="n">
        <v>0</v>
      </c>
      <c r="G575" s="1" t="inlineStr">
        <is>
          <t>active</t>
        </is>
      </c>
      <c r="H575" s="1" t="inlineStr">
        <is>
          <t>YA TIENE COSTO EN SHOPIFY ($624.36, heredado hoy)</t>
        </is>
      </c>
    </row>
    <row r="576">
      <c r="A576" s="1" t="inlineStr">
        <is>
          <t>54938841082509</t>
        </is>
      </c>
      <c r="B576" s="1" t="inlineStr">
        <is>
          <t>LENTES DE SOL PR NEGROS HIGH QUALITY</t>
        </is>
      </c>
      <c r="C576" s="1" t="inlineStr">
        <is>
          <t>SIN CAJA/ ESTUCHE</t>
        </is>
      </c>
      <c r="D576" s="1" t="inlineStr">
        <is>
          <t>HAIFENG</t>
        </is>
      </c>
      <c r="E576" s="6" t="n">
        <v>999</v>
      </c>
      <c r="F576" s="4" t="n">
        <v>0</v>
      </c>
      <c r="G576" s="1" t="inlineStr">
        <is>
          <t>active</t>
        </is>
      </c>
      <c r="H576" s="1" t="inlineStr">
        <is>
          <t>YA TIENE COSTO EN SHOPIFY ($624.36, heredado hoy)</t>
        </is>
      </c>
    </row>
    <row r="577">
      <c r="A577" s="1" t="inlineStr">
        <is>
          <t>648cc38968e97outlet</t>
        </is>
      </c>
      <c r="B577" s="1" t="inlineStr">
        <is>
          <t>LENTES DE SOL PR BLANCO</t>
        </is>
      </c>
      <c r="C577" s="1" t="inlineStr">
        <is>
          <t>Blanco Outlet</t>
        </is>
      </c>
      <c r="D577" s="1" t="inlineStr">
        <is>
          <t>HAIFENG</t>
        </is>
      </c>
      <c r="E577" s="6" t="n">
        <v>1484</v>
      </c>
      <c r="F577" s="4" t="n">
        <v>0</v>
      </c>
      <c r="G577" s="1" t="inlineStr">
        <is>
          <t>active</t>
        </is>
      </c>
      <c r="H577" s="1" t="inlineStr">
        <is>
          <t>YA TIENE COSTO EN SHOPIFY ($593.61, heredado hoy)</t>
        </is>
      </c>
    </row>
    <row r="578">
      <c r="A578" s="1" t="inlineStr">
        <is>
          <t>64384e59bbaff</t>
        </is>
      </c>
      <c r="B578" s="1" t="inlineStr">
        <is>
          <t>PULSERA CD CON PERLAS</t>
        </is>
      </c>
      <c r="C578" s="1" t="inlineStr">
        <is>
          <t>16 cm + extensión de 5 cm</t>
        </is>
      </c>
      <c r="D578" s="1" t="inlineStr">
        <is>
          <t>JEFF</t>
        </is>
      </c>
      <c r="E578" s="6" t="n">
        <v>460</v>
      </c>
      <c r="F578" s="4" t="n">
        <v>0</v>
      </c>
      <c r="G578" s="1" t="inlineStr">
        <is>
          <t>active</t>
        </is>
      </c>
      <c r="H578" s="1" t="inlineStr">
        <is>
          <t>Falta el costo de compra (no está en ninguna tabla de precios)</t>
        </is>
      </c>
    </row>
    <row r="579">
      <c r="A579" s="1" t="inlineStr">
        <is>
          <t>43843421065069</t>
        </is>
      </c>
      <c r="B579" s="1" t="inlineStr">
        <is>
          <t>COLLAR ARO LOVE ROSE GOLD</t>
        </is>
      </c>
      <c r="C579" s="1" t="inlineStr">
        <is>
          <t>OUTLET</t>
        </is>
      </c>
      <c r="D579" s="1" t="inlineStr">
        <is>
          <t>HAIFENG</t>
        </is>
      </c>
      <c r="E579" s="6" t="n">
        <v>230</v>
      </c>
      <c r="F579" s="4" t="n">
        <v>0</v>
      </c>
      <c r="G579" s="1" t="inlineStr">
        <is>
          <t>active</t>
        </is>
      </c>
      <c r="H579" s="1" t="inlineStr">
        <is>
          <t>YA TIENE COSTO EN SHOPIFY ($105.23, heredado hoy)</t>
        </is>
      </c>
    </row>
    <row r="580">
      <c r="A580" s="1" t="inlineStr">
        <is>
          <t>43728133179180</t>
        </is>
      </c>
      <c r="B580" s="1" t="inlineStr">
        <is>
          <t>PULSERA SERPENTI ROSE GOLD CON ZIRCONIA</t>
        </is>
      </c>
      <c r="C580" s="1" t="inlineStr">
        <is>
          <t>18cm OUTLET</t>
        </is>
      </c>
      <c r="D580" s="1" t="inlineStr">
        <is>
          <t>CYNTHIA CAO</t>
        </is>
      </c>
      <c r="E580" s="6" t="n">
        <v>450</v>
      </c>
      <c r="F580" s="4" t="n">
        <v>0</v>
      </c>
      <c r="G580" s="1" t="inlineStr">
        <is>
          <t>active</t>
        </is>
      </c>
      <c r="H580" s="1" t="inlineStr">
        <is>
          <t>YA TIENE COSTO EN SHOPIFY ($373.20, heredado hoy)</t>
        </is>
      </c>
    </row>
    <row r="581">
      <c r="A581" s="1" t="inlineStr">
        <is>
          <t>63e0bd2165d37</t>
        </is>
      </c>
      <c r="B581" s="1" t="inlineStr">
        <is>
          <t>ARETES T-SMILE ROSE GOLD</t>
        </is>
      </c>
      <c r="C581" s="1" t="inlineStr">
        <is>
          <t>1.5cm</t>
        </is>
      </c>
      <c r="D581" s="1" t="inlineStr">
        <is>
          <t>CYNTHIA CAO</t>
        </is>
      </c>
      <c r="E581" s="6" t="n">
        <v>350</v>
      </c>
      <c r="F581" s="4" t="n">
        <v>0</v>
      </c>
      <c r="G581" s="1" t="inlineStr">
        <is>
          <t>active</t>
        </is>
      </c>
      <c r="H581" s="1" t="inlineStr">
        <is>
          <t>YA TIENE COSTO EN SHOPIFY ($66.00, heredado hoy)</t>
        </is>
      </c>
    </row>
    <row r="582">
      <c r="A582" s="1" t="inlineStr">
        <is>
          <t>63e0bd172995f-2</t>
        </is>
      </c>
      <c r="B582" s="1" t="inlineStr">
        <is>
          <t>ARETES LV GOLD</t>
        </is>
      </c>
      <c r="C582" s="1" t="inlineStr">
        <is>
          <t>Middle quality</t>
        </is>
      </c>
      <c r="D582" s="1" t="inlineStr">
        <is>
          <t>CYNTHIA CAO</t>
        </is>
      </c>
      <c r="E582" s="6" t="n">
        <v>363</v>
      </c>
      <c r="F582" s="4" t="n">
        <v>0</v>
      </c>
      <c r="G582" s="1" t="inlineStr">
        <is>
          <t>active</t>
        </is>
      </c>
      <c r="H582" s="1" t="inlineStr">
        <is>
          <t>YA TIENE COSTO EN SHOPIFY ($107.57, heredado hoy)</t>
        </is>
      </c>
    </row>
    <row r="583">
      <c r="A583" s="1" t="inlineStr">
        <is>
          <t>63e0c0e2cafcb</t>
        </is>
      </c>
      <c r="B583" s="1" t="inlineStr">
        <is>
          <t>LENTES PR SQUARE NEGROS</t>
        </is>
      </c>
      <c r="C583" s="1" t="inlineStr">
        <is>
          <t>Negro</t>
        </is>
      </c>
      <c r="D583" s="1" t="inlineStr">
        <is>
          <t>CYNTHIA CAO</t>
        </is>
      </c>
      <c r="E583" s="6" t="n">
        <v>950</v>
      </c>
      <c r="F583" s="4" t="n">
        <v>0</v>
      </c>
      <c r="G583" s="1" t="inlineStr">
        <is>
          <t>active</t>
        </is>
      </c>
      <c r="H583" s="1" t="inlineStr">
        <is>
          <t>Falta el costo de compra (no está en ninguna tabla de precios)</t>
        </is>
      </c>
    </row>
    <row r="584">
      <c r="A584" s="1" t="inlineStr">
        <is>
          <t>63ebd72976d61</t>
        </is>
      </c>
      <c r="B584" s="1" t="inlineStr">
        <is>
          <t>ARETES CC ROSE GOLD</t>
        </is>
      </c>
      <c r="C584" s="1" t="inlineStr">
        <is>
          <t>OUTLET</t>
        </is>
      </c>
      <c r="D584" s="1" t="inlineStr">
        <is>
          <t>CYNTHIA CAO</t>
        </is>
      </c>
      <c r="E584" s="6" t="n">
        <v>359</v>
      </c>
      <c r="F584" s="4" t="n">
        <v>0</v>
      </c>
      <c r="G584" s="1" t="inlineStr">
        <is>
          <t>active</t>
        </is>
      </c>
      <c r="H584" s="1" t="inlineStr">
        <is>
          <t>YA TIENE COSTO EN SHOPIFY ($52.83, heredado hoy)</t>
        </is>
      </c>
    </row>
    <row r="585">
      <c r="A585" s="1" t="inlineStr">
        <is>
          <t>63ebdc812c68b</t>
        </is>
      </c>
      <c r="B585" s="1" t="inlineStr">
        <is>
          <t>PULSERA CD GOLD CON PERLA Y ZIRCONIA</t>
        </is>
      </c>
      <c r="C585" s="1" t="inlineStr">
        <is>
          <t>17cm</t>
        </is>
      </c>
      <c r="D585" s="1" t="inlineStr">
        <is>
          <t>ANA FU</t>
        </is>
      </c>
      <c r="E585" s="6" t="n">
        <v>599</v>
      </c>
      <c r="F585" s="4" t="n">
        <v>0</v>
      </c>
      <c r="G585" s="1" t="inlineStr">
        <is>
          <t>active</t>
        </is>
      </c>
      <c r="H585" s="1" t="inlineStr">
        <is>
          <t>Falta el costo de compra (no está en ninguna tabla de precios)</t>
        </is>
      </c>
    </row>
    <row r="586">
      <c r="A586" s="1" t="inlineStr">
        <is>
          <t>677c25ccee78a</t>
        </is>
      </c>
      <c r="B586" s="1" t="inlineStr">
        <is>
          <t>COLLAR BV GOLD</t>
        </is>
      </c>
      <c r="C586" s="1" t="inlineStr">
        <is>
          <t>OUTLET</t>
        </is>
      </c>
      <c r="D586" s="1" t="inlineStr">
        <is>
          <t>HAIFENG</t>
        </is>
      </c>
      <c r="E586" s="6" t="n">
        <v>249.5</v>
      </c>
      <c r="F586" s="4" t="n">
        <v>0</v>
      </c>
      <c r="G586" s="1" t="inlineStr">
        <is>
          <t>active</t>
        </is>
      </c>
      <c r="H586" s="1" t="inlineStr">
        <is>
          <t>YA TIENE COSTO EN SHOPIFY ($86.32, heredado hoy)</t>
        </is>
      </c>
    </row>
    <row r="587">
      <c r="A587" s="1" t="inlineStr">
        <is>
          <t>43728136675180</t>
        </is>
      </c>
      <c r="B587" s="1" t="inlineStr">
        <is>
          <t>COLLAR BV SILVER</t>
        </is>
      </c>
      <c r="C587" s="1" t="inlineStr">
        <is>
          <t>OUTLET</t>
        </is>
      </c>
      <c r="D587" s="1" t="inlineStr">
        <is>
          <t>HAIFENG</t>
        </is>
      </c>
      <c r="E587" s="6" t="n">
        <v>249.5</v>
      </c>
      <c r="F587" s="4" t="n">
        <v>0</v>
      </c>
      <c r="G587" s="1" t="inlineStr">
        <is>
          <t>active</t>
        </is>
      </c>
      <c r="H587" s="1" t="inlineStr">
        <is>
          <t>YA TIENE COSTO EN SHOPIFY ($109.58, heredado hoy)</t>
        </is>
      </c>
    </row>
    <row r="588">
      <c r="A588" s="1" t="inlineStr">
        <is>
          <t>643ec13ca0dfc</t>
        </is>
      </c>
      <c r="B588" s="1" t="inlineStr">
        <is>
          <t>PULSERA CD CON ZIRCONIAS</t>
        </is>
      </c>
      <c r="C588" s="1" t="inlineStr">
        <is>
          <t>16cm con extensión de 5cm</t>
        </is>
      </c>
      <c r="D588" s="1" t="inlineStr">
        <is>
          <t>ANA FU</t>
        </is>
      </c>
      <c r="E588" s="6" t="n">
        <v>799</v>
      </c>
      <c r="F588" s="4" t="n">
        <v>0</v>
      </c>
      <c r="G588" s="1" t="inlineStr">
        <is>
          <t>active</t>
        </is>
      </c>
      <c r="H588" s="1" t="inlineStr">
        <is>
          <t>Falta el costo de compra (no está en ninguna tabla de precios)</t>
        </is>
      </c>
    </row>
    <row r="589">
      <c r="A589" s="1" t="inlineStr">
        <is>
          <t>647d23bb4674d</t>
        </is>
      </c>
      <c r="B589" s="1" t="inlineStr">
        <is>
          <t>RELOJ DIAMOND SPEED BLACK-RED</t>
        </is>
      </c>
      <c r="C589" s="1" t="inlineStr">
        <is>
          <t>Rojo (REMATE)</t>
        </is>
      </c>
      <c r="D589" s="1" t="inlineStr">
        <is>
          <t>Andretti Elite Swiss</t>
        </is>
      </c>
      <c r="E589" s="6" t="n">
        <v>1399.3</v>
      </c>
      <c r="F589" s="4" t="n">
        <v>0</v>
      </c>
      <c r="G589" s="1" t="inlineStr">
        <is>
          <t>active</t>
        </is>
      </c>
      <c r="H589" s="1" t="inlineStr">
        <is>
          <t>Falta el costo de compra (no está en ninguna tabla de precios)</t>
        </is>
      </c>
    </row>
    <row r="590">
      <c r="A590" s="1" t="inlineStr">
        <is>
          <t>647d250fa6dfc</t>
        </is>
      </c>
      <c r="B590" s="1" t="inlineStr">
        <is>
          <t>RELOJ DIAMOND SPEED BLACK-ORANGE</t>
        </is>
      </c>
      <c r="C590" s="1" t="inlineStr">
        <is>
          <t>Default Title</t>
        </is>
      </c>
      <c r="D590" s="1" t="inlineStr">
        <is>
          <t>Andretti Elite Swiss</t>
        </is>
      </c>
      <c r="E590" s="6" t="n">
        <v>999</v>
      </c>
      <c r="F590" s="4" t="n">
        <v>0</v>
      </c>
      <c r="G590" s="1" t="inlineStr">
        <is>
          <t>active</t>
        </is>
      </c>
      <c r="H590" s="1" t="inlineStr">
        <is>
          <t>Falta el costo de compra (no está en ninguna tabla de precios)</t>
        </is>
      </c>
    </row>
    <row r="591">
      <c r="A591" s="1" t="inlineStr">
        <is>
          <t>647d25179cfec</t>
        </is>
      </c>
      <c r="B591" s="1" t="inlineStr">
        <is>
          <t>RELOJ HOLLOW FULL SILVER-BLACK BLUE</t>
        </is>
      </c>
      <c r="C591" s="1" t="inlineStr">
        <is>
          <t>Azul (REMATE)</t>
        </is>
      </c>
      <c r="D591" s="1" t="inlineStr">
        <is>
          <t>Andretti Elite Swiss</t>
        </is>
      </c>
      <c r="E591" s="6" t="n">
        <v>1259.3</v>
      </c>
      <c r="F591" s="4" t="n">
        <v>0</v>
      </c>
      <c r="G591" s="1" t="inlineStr">
        <is>
          <t>active</t>
        </is>
      </c>
      <c r="H591" s="1" t="inlineStr">
        <is>
          <t>Falta el costo de compra (no está en ninguna tabla de precios)</t>
        </is>
      </c>
    </row>
    <row r="592">
      <c r="A592" s="1" t="inlineStr">
        <is>
          <t>647d2518d997a</t>
        </is>
      </c>
      <c r="B592" s="1" t="inlineStr">
        <is>
          <t>RELOJ HOLLOW FULL SILVER-WHITE</t>
        </is>
      </c>
      <c r="C592" s="1" t="inlineStr">
        <is>
          <t>Blanco</t>
        </is>
      </c>
      <c r="D592" s="1" t="inlineStr">
        <is>
          <t>Andretti Elite Swiss</t>
        </is>
      </c>
      <c r="E592" s="6" t="n">
        <v>700</v>
      </c>
      <c r="F592" s="4" t="n">
        <v>0</v>
      </c>
      <c r="G592" s="1" t="inlineStr">
        <is>
          <t>active</t>
        </is>
      </c>
      <c r="H592" s="1" t="inlineStr">
        <is>
          <t>YA TIENE COSTO EN SHOPIFY ($425.70, heredado hoy)</t>
        </is>
      </c>
    </row>
    <row r="593">
      <c r="A593" s="1" t="inlineStr">
        <is>
          <t>647d251beed66</t>
        </is>
      </c>
      <c r="B593" s="1" t="inlineStr">
        <is>
          <t>RELOJ HOLLOW FULL GREEN</t>
        </is>
      </c>
      <c r="C593" s="1" t="inlineStr">
        <is>
          <t>Verde</t>
        </is>
      </c>
      <c r="D593" s="1" t="inlineStr">
        <is>
          <t>Andretti Elite Swiss</t>
        </is>
      </c>
      <c r="E593" s="6" t="n">
        <v>700</v>
      </c>
      <c r="F593" s="4" t="n">
        <v>0</v>
      </c>
      <c r="G593" s="1" t="inlineStr">
        <is>
          <t>active</t>
        </is>
      </c>
      <c r="H593" s="1" t="inlineStr">
        <is>
          <t>YA TIENE COSTO EN SHOPIFY ($425.70, heredado hoy)</t>
        </is>
      </c>
    </row>
    <row r="594">
      <c r="A594" s="1" t="inlineStr">
        <is>
          <t>647d25220551f</t>
        </is>
      </c>
      <c r="B594" s="1" t="inlineStr">
        <is>
          <t>RELOJ FLYBACK CR-SERIES ROSEGOLD-WHITE</t>
        </is>
      </c>
      <c r="C594" s="1" t="inlineStr">
        <is>
          <t>Default Title</t>
        </is>
      </c>
      <c r="D594" s="1" t="inlineStr">
        <is>
          <t>Andretti Elite Swiss</t>
        </is>
      </c>
      <c r="E594" s="6" t="n">
        <v>700</v>
      </c>
      <c r="F594" s="4" t="n">
        <v>0</v>
      </c>
      <c r="G594" s="1" t="inlineStr">
        <is>
          <t>active</t>
        </is>
      </c>
      <c r="H594" s="1" t="inlineStr">
        <is>
          <t>Falta el costo de compra (no está en ninguna tabla de precios)</t>
        </is>
      </c>
    </row>
    <row r="595">
      <c r="A595" s="1" t="inlineStr">
        <is>
          <t>646f84c070460</t>
        </is>
      </c>
      <c r="B595" s="1" t="inlineStr">
        <is>
          <t>ARETES LV COLGANTE</t>
        </is>
      </c>
      <c r="C595" s="1" t="inlineStr">
        <is>
          <t>OUTLET</t>
        </is>
      </c>
      <c r="D595" s="1" t="inlineStr">
        <is>
          <t>COCOMA</t>
        </is>
      </c>
      <c r="E595" s="6" t="n">
        <v>240</v>
      </c>
      <c r="F595" s="4" t="n">
        <v>0</v>
      </c>
      <c r="G595" s="1" t="inlineStr">
        <is>
          <t>active</t>
        </is>
      </c>
      <c r="H595" s="1" t="inlineStr">
        <is>
          <t>YA TIENE COSTO EN SHOPIFY ($89.41, heredado hoy)</t>
        </is>
      </c>
    </row>
    <row r="596">
      <c r="A596" s="1" t="inlineStr">
        <is>
          <t>646f84cb9d0db</t>
        </is>
      </c>
      <c r="B596" s="1" t="inlineStr">
        <is>
          <t>CHARM LIBELULA</t>
        </is>
      </c>
      <c r="C596" s="1" t="inlineStr">
        <is>
          <t>Default Title</t>
        </is>
      </c>
      <c r="D596" s="1" t="inlineStr">
        <is>
          <t>CYNTHIA CAO</t>
        </is>
      </c>
      <c r="E596" s="6" t="n">
        <v>399</v>
      </c>
      <c r="F596" s="4" t="n">
        <v>0</v>
      </c>
      <c r="G596" s="1" t="inlineStr">
        <is>
          <t>active</t>
        </is>
      </c>
      <c r="H596" s="1" t="inlineStr">
        <is>
          <t>Falta el costo de compra (no está en ninguna tabla de precios)</t>
        </is>
      </c>
    </row>
    <row r="597">
      <c r="A597" s="1" t="inlineStr">
        <is>
          <t>646f84cf48ec0</t>
        </is>
      </c>
      <c r="B597" s="1" t="inlineStr">
        <is>
          <t>BALL HEART CHARM</t>
        </is>
      </c>
      <c r="C597" s="1" t="inlineStr">
        <is>
          <t>Default Title</t>
        </is>
      </c>
      <c r="D597" s="1" t="inlineStr">
        <is>
          <t>CYNTHIA CAO</t>
        </is>
      </c>
      <c r="E597" s="6" t="n">
        <v>420</v>
      </c>
      <c r="F597" s="4" t="n">
        <v>0</v>
      </c>
      <c r="G597" s="1" t="inlineStr">
        <is>
          <t>active</t>
        </is>
      </c>
      <c r="H597" s="1" t="inlineStr">
        <is>
          <t>Falta el costo de compra (no está en ninguna tabla de precios)</t>
        </is>
      </c>
    </row>
    <row r="598">
      <c r="A598" s="1" t="inlineStr">
        <is>
          <t>648cc5b33a8a1</t>
        </is>
      </c>
      <c r="B598" s="1" t="inlineStr">
        <is>
          <t>ARETES SQUARE V GOLD</t>
        </is>
      </c>
      <c r="C598" s="1" t="inlineStr">
        <is>
          <t>Large 5cm</t>
        </is>
      </c>
      <c r="D598" s="1" t="inlineStr">
        <is>
          <t>NANCY VIP</t>
        </is>
      </c>
      <c r="E598" s="6" t="n">
        <v>599</v>
      </c>
      <c r="F598" s="4" t="n">
        <v>0</v>
      </c>
      <c r="G598" s="1" t="inlineStr">
        <is>
          <t>active</t>
        </is>
      </c>
      <c r="H598" s="1" t="inlineStr">
        <is>
          <t>YA TIENE COSTO EN SHOPIFY ($131.80, heredado hoy)</t>
        </is>
      </c>
    </row>
    <row r="599">
      <c r="A599" s="1" t="inlineStr">
        <is>
          <t>648cc5b7144c9</t>
        </is>
      </c>
      <c r="B599" s="1" t="inlineStr">
        <is>
          <t>ARETES MM MOÑO SILVER</t>
        </is>
      </c>
      <c r="C599" s="1" t="inlineStr">
        <is>
          <t>Regular</t>
        </is>
      </c>
      <c r="D599" s="1" t="inlineStr">
        <is>
          <t>DINA DU</t>
        </is>
      </c>
      <c r="E599" s="6" t="n">
        <v>550</v>
      </c>
      <c r="F599" s="4" t="n">
        <v>0</v>
      </c>
      <c r="G599" s="1" t="inlineStr">
        <is>
          <t>active</t>
        </is>
      </c>
      <c r="H599" s="1" t="inlineStr">
        <is>
          <t>Falta el costo de compra (no está en ninguna tabla de precios)</t>
        </is>
      </c>
    </row>
    <row r="600">
      <c r="A600" s="1" t="inlineStr">
        <is>
          <t>648cc5b7144c10</t>
        </is>
      </c>
      <c r="B600" s="1" t="inlineStr">
        <is>
          <t>ARETES MM MOÑO SILVER</t>
        </is>
      </c>
      <c r="C600" s="1" t="inlineStr">
        <is>
          <t>OUTLET</t>
        </is>
      </c>
      <c r="D600" s="1" t="inlineStr">
        <is>
          <t>DINA DU</t>
        </is>
      </c>
      <c r="E600" s="6" t="n">
        <v>225</v>
      </c>
      <c r="F600" s="4" t="n">
        <v>0</v>
      </c>
      <c r="G600" s="1" t="inlineStr">
        <is>
          <t>active</t>
        </is>
      </c>
      <c r="H600" s="1" t="inlineStr">
        <is>
          <t>Falta el costo de compra (no está en ninguna tabla de precios)</t>
        </is>
      </c>
    </row>
    <row r="601">
      <c r="A601" s="1" t="inlineStr">
        <is>
          <t>648cc5ba66bf6</t>
        </is>
      </c>
      <c r="B601" s="1" t="inlineStr">
        <is>
          <t>PULSERA DR GOLD</t>
        </is>
      </c>
      <c r="C601" s="1" t="inlineStr">
        <is>
          <t>18cm con 5.5cm de extensión</t>
        </is>
      </c>
      <c r="D601" s="1" t="inlineStr">
        <is>
          <t>ANA FU</t>
        </is>
      </c>
      <c r="E601" s="6" t="n">
        <v>300</v>
      </c>
      <c r="F601" s="4" t="n">
        <v>0</v>
      </c>
      <c r="G601" s="1" t="inlineStr">
        <is>
          <t>active</t>
        </is>
      </c>
      <c r="H601" s="1" t="inlineStr">
        <is>
          <t>Falta el costo de compra (no está en ninguna tabla de precios)</t>
        </is>
      </c>
    </row>
    <row r="602">
      <c r="A602" s="1" t="inlineStr">
        <is>
          <t>665bcd2e6494e</t>
        </is>
      </c>
      <c r="B602" s="1" t="inlineStr">
        <is>
          <t>PULSERA DR GOLD</t>
        </is>
      </c>
      <c r="C602" s="1" t="inlineStr">
        <is>
          <t>Middle Quality 17cm con ext 4cm</t>
        </is>
      </c>
      <c r="D602" s="1" t="inlineStr">
        <is>
          <t>ANA FU</t>
        </is>
      </c>
      <c r="E602" s="6" t="n">
        <v>199</v>
      </c>
      <c r="F602" s="4" t="n">
        <v>0</v>
      </c>
      <c r="G602" s="1" t="inlineStr">
        <is>
          <t>active</t>
        </is>
      </c>
      <c r="H602" s="1" t="inlineStr">
        <is>
          <t>Falta el costo de compra (no está en ninguna tabla de precios)</t>
        </is>
      </c>
    </row>
    <row r="603">
      <c r="A603" s="1" t="inlineStr">
        <is>
          <t>43728134045996</t>
        </is>
      </c>
      <c r="B603" s="1" t="inlineStr">
        <is>
          <t>CHOKER MM ZIRCONIAS</t>
        </is>
      </c>
      <c r="C603" s="1" t="inlineStr">
        <is>
          <t>OUTLET</t>
        </is>
      </c>
      <c r="D603" s="1" t="inlineStr">
        <is>
          <t>DINA DU</t>
        </is>
      </c>
      <c r="E603" s="6" t="n">
        <v>300</v>
      </c>
      <c r="F603" s="4" t="n">
        <v>0</v>
      </c>
      <c r="G603" s="1" t="inlineStr">
        <is>
          <t>active</t>
        </is>
      </c>
      <c r="H603" s="1" t="inlineStr">
        <is>
          <t>YA TIENE COSTO EN SHOPIFY ($110.61, heredado hoy)</t>
        </is>
      </c>
    </row>
    <row r="604">
      <c r="A604" s="1" t="inlineStr">
        <is>
          <t>43728134937100</t>
        </is>
      </c>
      <c r="B604" s="1" t="inlineStr">
        <is>
          <t>COLLAR YSL GOLD</t>
        </is>
      </c>
      <c r="C604" s="1" t="inlineStr">
        <is>
          <t>20cm MIDDLE QUALITY</t>
        </is>
      </c>
      <c r="D604" s="1" t="inlineStr">
        <is>
          <t>NANCY VIP</t>
        </is>
      </c>
      <c r="E604" s="6" t="n">
        <v>399</v>
      </c>
      <c r="F604" s="4" t="n">
        <v>0</v>
      </c>
      <c r="G604" s="1" t="inlineStr">
        <is>
          <t>active</t>
        </is>
      </c>
      <c r="H604" s="1" t="inlineStr">
        <is>
          <t>YA TIENE COSTO EN SHOPIFY ($125.80, heredado hoy)</t>
        </is>
      </c>
    </row>
    <row r="605">
      <c r="A605" s="1" t="inlineStr">
        <is>
          <t>43728135215692</t>
        </is>
      </c>
      <c r="B605" s="1" t="inlineStr">
        <is>
          <t>GORRO PR BLACK</t>
        </is>
      </c>
      <c r="C605" s="1" t="inlineStr">
        <is>
          <t>M OUTLET</t>
        </is>
      </c>
      <c r="D605" s="1" t="inlineStr">
        <is>
          <t>DINA DU</t>
        </is>
      </c>
      <c r="E605" s="6" t="n">
        <v>499</v>
      </c>
      <c r="F605" s="4" t="n">
        <v>0</v>
      </c>
      <c r="G605" s="1" t="inlineStr">
        <is>
          <t>active</t>
        </is>
      </c>
      <c r="H605" s="1" t="inlineStr">
        <is>
          <t>YA TIENE COSTO EN SHOPIFY ($297.49, heredado hoy)</t>
        </is>
      </c>
    </row>
    <row r="606">
      <c r="A606" s="1" t="inlineStr">
        <is>
          <t>648cc6017ddc0</t>
        </is>
      </c>
      <c r="B606" s="1" t="inlineStr">
        <is>
          <t>GORRO PR WHITE</t>
        </is>
      </c>
      <c r="C606" s="1" t="inlineStr">
        <is>
          <t>M</t>
        </is>
      </c>
      <c r="D606" s="1" t="inlineStr">
        <is>
          <t>DINA DU</t>
        </is>
      </c>
      <c r="E606" s="6" t="n">
        <v>700</v>
      </c>
      <c r="F606" s="4" t="n">
        <v>0</v>
      </c>
      <c r="G606" s="1" t="inlineStr">
        <is>
          <t>active</t>
        </is>
      </c>
      <c r="H606" s="1" t="inlineStr">
        <is>
          <t>Falta el costo de compra (no está en ninguna tabla de precios)</t>
        </is>
      </c>
    </row>
    <row r="607">
      <c r="A607" s="1" t="inlineStr">
        <is>
          <t>648cc60a02f9a</t>
        </is>
      </c>
      <c r="B607" s="1" t="inlineStr">
        <is>
          <t>GORRA B NUDE</t>
        </is>
      </c>
      <c r="C607" s="1" t="inlineStr">
        <is>
          <t>HIGH QUALITY-AJUSTABLE (REMATE)</t>
        </is>
      </c>
      <c r="D607" s="1" t="inlineStr">
        <is>
          <t>DINA DU</t>
        </is>
      </c>
      <c r="E607" s="6" t="n">
        <v>839.3</v>
      </c>
      <c r="F607" s="4" t="n">
        <v>0</v>
      </c>
      <c r="G607" s="1" t="inlineStr">
        <is>
          <t>active</t>
        </is>
      </c>
      <c r="H607" s="1" t="inlineStr">
        <is>
          <t>Falta el costo de compra (no está en ninguna tabla de precios)</t>
        </is>
      </c>
    </row>
    <row r="608">
      <c r="A608" s="1" t="inlineStr">
        <is>
          <t>64e78c9c19fe8</t>
        </is>
      </c>
      <c r="B608" s="1" t="inlineStr">
        <is>
          <t>ARETES V CON PERLA COLGANTE</t>
        </is>
      </c>
      <c r="C608" s="1" t="inlineStr">
        <is>
          <t>OUTLET</t>
        </is>
      </c>
      <c r="D608" s="1" t="inlineStr">
        <is>
          <t>NANCY VIP</t>
        </is>
      </c>
      <c r="E608" s="6" t="n">
        <v>299.5</v>
      </c>
      <c r="F608" s="4" t="n">
        <v>0</v>
      </c>
      <c r="G608" s="1" t="inlineStr">
        <is>
          <t>active</t>
        </is>
      </c>
      <c r="H608" s="1" t="inlineStr">
        <is>
          <t>YA TIENE COSTO EN SHOPIFY ($164.72, heredado hoy)</t>
        </is>
      </c>
    </row>
    <row r="609">
      <c r="A609" s="1" t="inlineStr">
        <is>
          <t>64e78cac4bb4d</t>
        </is>
      </c>
      <c r="B609" s="1" t="inlineStr">
        <is>
          <t>ARETES DOUBLE LV GOLD</t>
        </is>
      </c>
      <c r="C609" s="1" t="inlineStr">
        <is>
          <t>Default Title</t>
        </is>
      </c>
      <c r="D609" s="1" t="inlineStr">
        <is>
          <t>ANA FU</t>
        </is>
      </c>
      <c r="E609" s="6" t="n">
        <v>580</v>
      </c>
      <c r="F609" s="4" t="n">
        <v>0</v>
      </c>
      <c r="G609" s="1" t="inlineStr">
        <is>
          <t>active</t>
        </is>
      </c>
      <c r="H609" s="1" t="inlineStr">
        <is>
          <t>Falta el costo de compra (no está en ninguna tabla de precios)</t>
        </is>
      </c>
    </row>
    <row r="610">
      <c r="A610" s="1" t="inlineStr">
        <is>
          <t>40481701084333</t>
        </is>
      </c>
      <c r="B610" s="1" t="inlineStr">
        <is>
          <t>ARETES BLOSSOM STAR GOLD</t>
        </is>
      </c>
      <c r="C610" s="1" t="inlineStr">
        <is>
          <t>OUTLET</t>
        </is>
      </c>
      <c r="D610" s="1" t="inlineStr">
        <is>
          <t>CYNTHIA CAO</t>
        </is>
      </c>
      <c r="E610" s="6" t="n">
        <v>380</v>
      </c>
      <c r="F610" s="4" t="n">
        <v>0</v>
      </c>
      <c r="G610" s="1" t="inlineStr">
        <is>
          <t>active</t>
        </is>
      </c>
      <c r="H610" s="1" t="inlineStr">
        <is>
          <t>YA TIENE COSTO EN SHOPIFY ($176.01, heredado hoy)</t>
        </is>
      </c>
    </row>
    <row r="611">
      <c r="A611" s="1" t="inlineStr">
        <is>
          <t>64e78dfc1baee-1</t>
        </is>
      </c>
      <c r="B611" s="1" t="inlineStr">
        <is>
          <t>LENTES PR MEN</t>
        </is>
      </c>
      <c r="C611" s="1" t="inlineStr">
        <is>
          <t>HIGH QUALITY CON CAJA</t>
        </is>
      </c>
      <c r="D611" s="1" t="inlineStr">
        <is>
          <t>CYNTHIA CAO</t>
        </is>
      </c>
      <c r="E611" s="6" t="n">
        <v>1239</v>
      </c>
      <c r="F611" s="4" t="n">
        <v>0</v>
      </c>
      <c r="G611" s="1" t="inlineStr">
        <is>
          <t>active</t>
        </is>
      </c>
      <c r="H611" s="1" t="inlineStr">
        <is>
          <t>YA TIENE COSTO EN SHOPIFY ($308.86, heredado hoy)</t>
        </is>
      </c>
    </row>
    <row r="612">
      <c r="A612" s="1" t="inlineStr">
        <is>
          <t>64e78dfc1baee-2</t>
        </is>
      </c>
      <c r="B612" s="1" t="inlineStr">
        <is>
          <t>LENTES PR MEN</t>
        </is>
      </c>
      <c r="C612" s="1" t="inlineStr">
        <is>
          <t>HIGH QUALITY SIN CAJA</t>
        </is>
      </c>
      <c r="D612" s="1" t="inlineStr">
        <is>
          <t>CYNTHIA CAO</t>
        </is>
      </c>
      <c r="E612" s="6" t="n">
        <v>760</v>
      </c>
      <c r="F612" s="4" t="n">
        <v>0</v>
      </c>
      <c r="G612" s="1" t="inlineStr">
        <is>
          <t>active</t>
        </is>
      </c>
      <c r="H612" s="1" t="inlineStr">
        <is>
          <t>YA TIENE COSTO EN SHOPIFY ($238.81, heredado hoy)</t>
        </is>
      </c>
    </row>
    <row r="613">
      <c r="A613" s="1" t="inlineStr">
        <is>
          <t>64e78e740ecaf-2</t>
        </is>
      </c>
      <c r="B613" s="1" t="inlineStr">
        <is>
          <t>ARETES LV LOGO GOLD</t>
        </is>
      </c>
      <c r="C613" s="1" t="inlineStr">
        <is>
          <t>Titanio</t>
        </is>
      </c>
      <c r="D613" s="1" t="inlineStr">
        <is>
          <t>CYNTHIA CAO</t>
        </is>
      </c>
      <c r="E613" s="6" t="n">
        <v>599</v>
      </c>
      <c r="F613" s="4" t="n">
        <v>0</v>
      </c>
      <c r="G613" s="1" t="inlineStr">
        <is>
          <t>active</t>
        </is>
      </c>
      <c r="H613" s="1" t="inlineStr">
        <is>
          <t>YA TIENE COSTO EN SHOPIFY ($141.21, heredado hoy)</t>
        </is>
      </c>
    </row>
    <row r="614">
      <c r="A614" s="1" t="inlineStr">
        <is>
          <t>31768881234913</t>
        </is>
      </c>
      <c r="B614" s="1" t="inlineStr">
        <is>
          <t>ARETES LV LOGO GOLD</t>
        </is>
      </c>
      <c r="C614" s="1" t="inlineStr">
        <is>
          <t>Titanio outlet</t>
        </is>
      </c>
      <c r="D614" s="1" t="inlineStr">
        <is>
          <t>CYNTHIA CAO</t>
        </is>
      </c>
      <c r="E614" s="6" t="n">
        <v>224.5</v>
      </c>
      <c r="F614" s="4" t="n">
        <v>0</v>
      </c>
      <c r="G614" s="1" t="inlineStr">
        <is>
          <t>active</t>
        </is>
      </c>
      <c r="H614" s="1" t="inlineStr">
        <is>
          <t>YA TIENE COSTO EN SHOPIFY ($170.41, heredado hoy)</t>
        </is>
      </c>
    </row>
    <row r="615">
      <c r="A615" s="1" t="inlineStr">
        <is>
          <t>81836201711437</t>
        </is>
      </c>
      <c r="B615" s="1" t="inlineStr">
        <is>
          <t>PULSERA BLOSSOM STAR ROSEGOLD</t>
        </is>
      </c>
      <c r="C615" s="1" t="inlineStr">
        <is>
          <t>OUTLET</t>
        </is>
      </c>
      <c r="D615" s="1" t="inlineStr">
        <is>
          <t>CYNTHIA CAO</t>
        </is>
      </c>
      <c r="E615" s="6" t="n">
        <v>220</v>
      </c>
      <c r="F615" s="4" t="n">
        <v>0</v>
      </c>
      <c r="G615" s="1" t="inlineStr">
        <is>
          <t>active</t>
        </is>
      </c>
      <c r="H615" s="1" t="inlineStr">
        <is>
          <t>YA TIENE COSTO EN SHOPIFY ($104.14, heredado hoy)</t>
        </is>
      </c>
    </row>
    <row r="616">
      <c r="A616" s="1" t="inlineStr">
        <is>
          <t>64e78f24a7fa3</t>
        </is>
      </c>
      <c r="B616" s="1" t="inlineStr">
        <is>
          <t>BROCHE YSL ROSE GOLD</t>
        </is>
      </c>
      <c r="C616" s="1" t="inlineStr">
        <is>
          <t>7cm</t>
        </is>
      </c>
      <c r="D616" s="1" t="inlineStr">
        <is>
          <t>CYNTHIA CAO</t>
        </is>
      </c>
      <c r="E616" s="6" t="n">
        <v>200</v>
      </c>
      <c r="F616" s="4" t="n">
        <v>0</v>
      </c>
      <c r="G616" s="1" t="inlineStr">
        <is>
          <t>active</t>
        </is>
      </c>
      <c r="H616" s="1" t="inlineStr">
        <is>
          <t>YA TIENE COSTO EN SHOPIFY ($95.52, heredado hoy)</t>
        </is>
      </c>
    </row>
    <row r="617">
      <c r="A617" s="1" t="inlineStr">
        <is>
          <t>64e78f2fafa3d</t>
        </is>
      </c>
      <c r="B617" s="1" t="inlineStr">
        <is>
          <t>BOLSA YSL WHITE</t>
        </is>
      </c>
      <c r="C617" s="1" t="inlineStr">
        <is>
          <t>24cm x 15cm</t>
        </is>
      </c>
      <c r="D617" s="1" t="inlineStr">
        <is>
          <t>ZOEY</t>
        </is>
      </c>
      <c r="E617" s="6" t="n">
        <v>4660</v>
      </c>
      <c r="F617" s="4" t="n">
        <v>0</v>
      </c>
      <c r="G617" s="1" t="inlineStr">
        <is>
          <t>active</t>
        </is>
      </c>
      <c r="H617" s="1" t="inlineStr">
        <is>
          <t>YA TIENE COSTO EN SHOPIFY ($1331.66, heredado hoy)</t>
        </is>
      </c>
    </row>
    <row r="618">
      <c r="A618" s="1" t="inlineStr">
        <is>
          <t>64e78f30d1f52</t>
        </is>
      </c>
      <c r="B618" s="1" t="inlineStr">
        <is>
          <t>BOLSO YSL BEIGE</t>
        </is>
      </c>
      <c r="C618" s="1" t="inlineStr">
        <is>
          <t>24cmx15cm</t>
        </is>
      </c>
      <c r="D618" s="1" t="inlineStr">
        <is>
          <t>ZOEY</t>
        </is>
      </c>
      <c r="E618" s="6" t="n">
        <v>2850</v>
      </c>
      <c r="F618" s="4" t="n">
        <v>0</v>
      </c>
      <c r="G618" s="1" t="inlineStr">
        <is>
          <t>active</t>
        </is>
      </c>
      <c r="H618" s="1" t="inlineStr">
        <is>
          <t>YA TIENE COSTO EN SHOPIFY ($1081.86, heredado hoy)</t>
        </is>
      </c>
    </row>
    <row r="619">
      <c r="A619" s="1" t="inlineStr">
        <is>
          <t>94350535606540</t>
        </is>
      </c>
      <c r="B619" s="1" t="inlineStr">
        <is>
          <t>BOLSO V BLACK</t>
        </is>
      </c>
      <c r="C619" s="1" t="inlineStr">
        <is>
          <t>OUTLET</t>
        </is>
      </c>
      <c r="D619" s="1" t="inlineStr">
        <is>
          <t>DINA DU</t>
        </is>
      </c>
      <c r="E619" s="6" t="n">
        <v>499</v>
      </c>
      <c r="F619" s="4" t="n">
        <v>0</v>
      </c>
      <c r="G619" s="1" t="inlineStr">
        <is>
          <t>active</t>
        </is>
      </c>
      <c r="H619" s="1" t="inlineStr">
        <is>
          <t>YA TIENE COSTO EN SHOPIFY ($1249.32, heredado hoy)</t>
        </is>
      </c>
    </row>
    <row r="620">
      <c r="A620" s="1" t="inlineStr">
        <is>
          <t>654bdb2332906</t>
        </is>
      </c>
      <c r="B620" s="1" t="inlineStr">
        <is>
          <t>ARETES V GOLD</t>
        </is>
      </c>
      <c r="C620" s="1" t="inlineStr">
        <is>
          <t>OUTLET</t>
        </is>
      </c>
      <c r="D620" s="1" t="inlineStr">
        <is>
          <t>NANCY VIP</t>
        </is>
      </c>
      <c r="E620" s="6" t="n">
        <v>225</v>
      </c>
      <c r="F620" s="4" t="n">
        <v>0</v>
      </c>
      <c r="G620" s="1" t="inlineStr">
        <is>
          <t>active</t>
        </is>
      </c>
      <c r="H620" s="1" t="inlineStr">
        <is>
          <t>YA TIENE COSTO EN SHOPIFY ($134.21, heredado hoy)</t>
        </is>
      </c>
    </row>
    <row r="621">
      <c r="A621" s="1" t="inlineStr">
        <is>
          <t>92494811017773</t>
        </is>
      </c>
      <c r="B621" s="1" t="inlineStr">
        <is>
          <t>CAMISETA GC MUJER</t>
        </is>
      </c>
      <c r="C621" s="1" t="inlineStr">
        <is>
          <t>S (REMATE)</t>
        </is>
      </c>
      <c r="D621" s="1" t="inlineStr">
        <is>
          <t>DINA DU</t>
        </is>
      </c>
      <c r="E621" s="6" t="n">
        <v>1046.5</v>
      </c>
      <c r="F621" s="4" t="n">
        <v>0</v>
      </c>
      <c r="G621" s="1" t="inlineStr">
        <is>
          <t>active</t>
        </is>
      </c>
      <c r="H621" s="1" t="inlineStr">
        <is>
          <t>Falta el costo de compra (no está en ninguna tabla de precios)</t>
        </is>
      </c>
    </row>
    <row r="622">
      <c r="A622" s="1" t="inlineStr">
        <is>
          <t>92494811150541</t>
        </is>
      </c>
      <c r="B622" s="1" t="inlineStr">
        <is>
          <t>CAMISETA GC MUJER</t>
        </is>
      </c>
      <c r="C622" s="1" t="inlineStr">
        <is>
          <t>M</t>
        </is>
      </c>
      <c r="D622" s="1" t="inlineStr">
        <is>
          <t>DINA DU</t>
        </is>
      </c>
      <c r="E622" s="6" t="n">
        <v>1495</v>
      </c>
      <c r="F622" s="4" t="n">
        <v>0</v>
      </c>
      <c r="G622" s="1" t="inlineStr">
        <is>
          <t>active</t>
        </is>
      </c>
      <c r="H622" s="1" t="inlineStr">
        <is>
          <t>Falta el costo de compra (no está en ninguna tabla de precios)</t>
        </is>
      </c>
    </row>
    <row r="623">
      <c r="A623" s="1" t="inlineStr">
        <is>
          <t>92494811283309</t>
        </is>
      </c>
      <c r="B623" s="1" t="inlineStr">
        <is>
          <t>CAMISETA GC MUJER</t>
        </is>
      </c>
      <c r="C623" s="1" t="inlineStr">
        <is>
          <t>L (REMATE)</t>
        </is>
      </c>
      <c r="D623" s="1" t="inlineStr">
        <is>
          <t>DINA DU</t>
        </is>
      </c>
      <c r="E623" s="6" t="n">
        <v>1046.5</v>
      </c>
      <c r="F623" s="4" t="n">
        <v>0</v>
      </c>
      <c r="G623" s="1" t="inlineStr">
        <is>
          <t>active</t>
        </is>
      </c>
      <c r="H623" s="1" t="inlineStr">
        <is>
          <t>Falta el costo de compra (no está en ninguna tabla de precios)</t>
        </is>
      </c>
    </row>
    <row r="624">
      <c r="A624" s="1" t="inlineStr">
        <is>
          <t>654bdb81039f8</t>
        </is>
      </c>
      <c r="B624" s="1" t="inlineStr">
        <is>
          <t>ARETES LV LOGO SILVER</t>
        </is>
      </c>
      <c r="C624" s="1" t="inlineStr">
        <is>
          <t>Titanio</t>
        </is>
      </c>
      <c r="D624" s="1" t="inlineStr">
        <is>
          <t>CYNTHIA CAO</t>
        </is>
      </c>
      <c r="E624" s="6" t="n">
        <v>250</v>
      </c>
      <c r="F624" s="4" t="n">
        <v>0</v>
      </c>
      <c r="G624" s="1" t="inlineStr">
        <is>
          <t>active</t>
        </is>
      </c>
      <c r="H624" s="1" t="inlineStr">
        <is>
          <t>YA TIENE COSTO EN SHOPIFY ($141.50, heredado hoy)</t>
        </is>
      </c>
    </row>
    <row r="625">
      <c r="A625" s="1" t="inlineStr">
        <is>
          <t>654bdbcfcd033</t>
        </is>
      </c>
      <c r="B625" s="1" t="inlineStr">
        <is>
          <t>CINTO FR SILVER BLACK</t>
        </is>
      </c>
      <c r="C625" s="1" t="inlineStr">
        <is>
          <t>100cm</t>
        </is>
      </c>
      <c r="D625" s="1" t="inlineStr">
        <is>
          <t>DINA DU</t>
        </is>
      </c>
      <c r="E625" s="6" t="n">
        <v>1495</v>
      </c>
      <c r="F625" s="4" t="n">
        <v>0</v>
      </c>
      <c r="G625" s="1" t="inlineStr">
        <is>
          <t>active</t>
        </is>
      </c>
      <c r="H625" s="1" t="inlineStr">
        <is>
          <t>Falta el costo de compra (no está en ninguna tabla de precios)</t>
        </is>
      </c>
    </row>
    <row r="626">
      <c r="A626" s="1" t="inlineStr">
        <is>
          <t>43728133917356</t>
        </is>
      </c>
      <c r="B626" s="1" t="inlineStr">
        <is>
          <t>BOLSO B WHITE</t>
        </is>
      </c>
      <c r="C626" s="1" t="inlineStr">
        <is>
          <t>OUTLET</t>
        </is>
      </c>
      <c r="D626" s="1" t="inlineStr">
        <is>
          <t>ZOEY</t>
        </is>
      </c>
      <c r="E626" s="6" t="n">
        <v>999.5</v>
      </c>
      <c r="F626" s="4" t="n">
        <v>0</v>
      </c>
      <c r="G626" s="1" t="inlineStr">
        <is>
          <t>active</t>
        </is>
      </c>
      <c r="H626" s="1" t="inlineStr">
        <is>
          <t>YA TIENE COSTO EN SHOPIFY ($1150.86, heredado hoy)</t>
        </is>
      </c>
    </row>
    <row r="627">
      <c r="A627" s="1" t="inlineStr">
        <is>
          <t>654bdbd837308</t>
        </is>
      </c>
      <c r="B627" s="1" t="inlineStr">
        <is>
          <t>GORRA C BLACK</t>
        </is>
      </c>
      <c r="C627" s="1" t="inlineStr">
        <is>
          <t>MIDDLE QUALITY</t>
        </is>
      </c>
      <c r="D627" s="1" t="inlineStr">
        <is>
          <t>ZOEY</t>
        </is>
      </c>
      <c r="E627" s="6" t="n">
        <v>645</v>
      </c>
      <c r="F627" s="4" t="n">
        <v>0</v>
      </c>
      <c r="G627" s="1" t="inlineStr">
        <is>
          <t>active</t>
        </is>
      </c>
      <c r="H627" s="1" t="inlineStr">
        <is>
          <t>YA TIENE COSTO EN SHOPIFY ($360.00, heredado hoy)</t>
        </is>
      </c>
    </row>
    <row r="628">
      <c r="A628" s="1" t="inlineStr">
        <is>
          <t>654bdbd882142</t>
        </is>
      </c>
      <c r="B628" s="1" t="inlineStr">
        <is>
          <t>GORRA C BROWN</t>
        </is>
      </c>
      <c r="C628" s="1" t="inlineStr">
        <is>
          <t>MIDDLE QUALITY</t>
        </is>
      </c>
      <c r="D628" s="1" t="inlineStr">
        <is>
          <t>ZOEY</t>
        </is>
      </c>
      <c r="E628" s="6" t="n">
        <v>640</v>
      </c>
      <c r="F628" s="4" t="n">
        <v>0</v>
      </c>
      <c r="G628" s="1" t="inlineStr">
        <is>
          <t>active</t>
        </is>
      </c>
      <c r="H628" s="1" t="inlineStr">
        <is>
          <t>YA TIENE COSTO EN SHOPIFY ($374.70, heredado hoy)</t>
        </is>
      </c>
    </row>
    <row r="629">
      <c r="A629" s="1" t="inlineStr">
        <is>
          <t>38247415710220</t>
        </is>
      </c>
      <c r="B629" s="1" t="inlineStr">
        <is>
          <t>GORRA C WHITE</t>
        </is>
      </c>
      <c r="C629" s="1" t="inlineStr">
        <is>
          <t>MIDDLE QUALITY</t>
        </is>
      </c>
      <c r="D629" s="1" t="inlineStr">
        <is>
          <t>ZOEY</t>
        </is>
      </c>
      <c r="E629" s="6" t="n">
        <v>640</v>
      </c>
      <c r="F629" s="4" t="n">
        <v>0</v>
      </c>
      <c r="G629" s="1" t="inlineStr">
        <is>
          <t>active</t>
        </is>
      </c>
      <c r="H629" s="1" t="inlineStr">
        <is>
          <t>YA TIENE COSTO EN SHOPIFY ($360.00, heredado hoy)</t>
        </is>
      </c>
    </row>
    <row r="630">
      <c r="A630" s="1" t="inlineStr">
        <is>
          <t>654bdc2a13853</t>
        </is>
      </c>
      <c r="B630" s="1" t="inlineStr">
        <is>
          <t>CASE CC BLACK LOGO</t>
        </is>
      </c>
      <c r="C630" s="1" t="inlineStr">
        <is>
          <t>13 Pro Max</t>
        </is>
      </c>
      <c r="D630" s="1" t="inlineStr">
        <is>
          <t>DINA DU</t>
        </is>
      </c>
      <c r="E630" s="6" t="n">
        <v>450</v>
      </c>
      <c r="F630" s="4" t="n">
        <v>0</v>
      </c>
      <c r="G630" s="1" t="inlineStr">
        <is>
          <t>active</t>
        </is>
      </c>
      <c r="H630" s="1" t="inlineStr">
        <is>
          <t>Falta el costo de compra (no está en ninguna tabla de precios)</t>
        </is>
      </c>
    </row>
    <row r="631">
      <c r="A631" s="1" t="inlineStr">
        <is>
          <t>67572cbdc0928</t>
        </is>
      </c>
      <c r="B631" s="1" t="inlineStr">
        <is>
          <t>BOLSO YSL CON CADENA OFF WHITE</t>
        </is>
      </c>
      <c r="C631" s="1" t="inlineStr">
        <is>
          <t>OUTLET</t>
        </is>
      </c>
      <c r="D631" s="1" t="inlineStr">
        <is>
          <t>DINA DU</t>
        </is>
      </c>
      <c r="E631" s="6" t="n">
        <v>750</v>
      </c>
      <c r="F631" s="4" t="n">
        <v>0</v>
      </c>
      <c r="G631" s="1" t="inlineStr">
        <is>
          <t>active</t>
        </is>
      </c>
      <c r="H631" s="1" t="inlineStr">
        <is>
          <t>YA TIENE COSTO EN SHOPIFY ($1244.04, heredado hoy)</t>
        </is>
      </c>
    </row>
    <row r="632">
      <c r="A632" s="1" t="inlineStr">
        <is>
          <t>654bdc4124b1c</t>
        </is>
      </c>
      <c r="B632" s="1" t="inlineStr">
        <is>
          <t>BOLSO DE VIAJE BROWN LV</t>
        </is>
      </c>
      <c r="C632" s="1" t="inlineStr">
        <is>
          <t>54cm de largo x 37cm de alto x 26cm de ancho</t>
        </is>
      </c>
      <c r="D632" s="1" t="inlineStr">
        <is>
          <t>DINA DU</t>
        </is>
      </c>
      <c r="E632" s="6" t="n">
        <v>1800</v>
      </c>
      <c r="F632" s="4" t="n">
        <v>0</v>
      </c>
      <c r="G632" s="1" t="inlineStr">
        <is>
          <t>active</t>
        </is>
      </c>
      <c r="H632" s="1" t="inlineStr">
        <is>
          <t>YA TIENE COSTO EN SHOPIFY ($1260.00, heredado hoy)</t>
        </is>
      </c>
    </row>
    <row r="633">
      <c r="A633" s="1" t="inlineStr">
        <is>
          <t>665bc0c7c4d24</t>
        </is>
      </c>
      <c r="B633" s="1" t="inlineStr">
        <is>
          <t>LENTES DE SOL GC LOGO</t>
        </is>
      </c>
      <c r="C633" s="1" t="inlineStr">
        <is>
          <t>Default Title</t>
        </is>
      </c>
      <c r="D633" s="1" t="inlineStr">
        <is>
          <t>CYNTHIA CAO</t>
        </is>
      </c>
      <c r="E633" s="6" t="n">
        <v>699</v>
      </c>
      <c r="F633" s="4" t="n">
        <v>0</v>
      </c>
      <c r="G633" s="1" t="inlineStr">
        <is>
          <t>active</t>
        </is>
      </c>
      <c r="H633" s="1" t="inlineStr">
        <is>
          <t>Falta el costo de compra (no está en ninguna tabla de precios)</t>
        </is>
      </c>
    </row>
    <row r="634">
      <c r="A634" s="1" t="inlineStr">
        <is>
          <t>665bb75c10370</t>
        </is>
      </c>
      <c r="B634" s="1" t="inlineStr">
        <is>
          <t>ARETES LV MY GOLD</t>
        </is>
      </c>
      <c r="C634" s="1" t="inlineStr">
        <is>
          <t>OUTLET</t>
        </is>
      </c>
      <c r="D634" s="1" t="inlineStr">
        <is>
          <t>NANCY VIP</t>
        </is>
      </c>
      <c r="E634" s="6" t="n">
        <v>190</v>
      </c>
      <c r="F634" s="4" t="n">
        <v>0</v>
      </c>
      <c r="G634" s="1" t="inlineStr">
        <is>
          <t>active</t>
        </is>
      </c>
      <c r="H634" s="1" t="inlineStr">
        <is>
          <t>YA TIENE COSTO EN SHOPIFY ($143.90, heredado hoy)</t>
        </is>
      </c>
    </row>
    <row r="635">
      <c r="A635" s="1" t="inlineStr">
        <is>
          <t>665bb79d85c5b-2</t>
        </is>
      </c>
      <c r="B635" s="1" t="inlineStr">
        <is>
          <t>ARRACADAS VC</t>
        </is>
      </c>
      <c r="C635" s="1" t="inlineStr">
        <is>
          <t>OUTLET</t>
        </is>
      </c>
      <c r="D635" s="1" t="inlineStr">
        <is>
          <t>NANCY VIP</t>
        </is>
      </c>
      <c r="E635" s="6" t="n">
        <v>234.5</v>
      </c>
      <c r="F635" s="4" t="n">
        <v>0</v>
      </c>
      <c r="G635" s="1" t="inlineStr">
        <is>
          <t>active</t>
        </is>
      </c>
      <c r="H635" s="1" t="inlineStr">
        <is>
          <t>YA TIENE COSTO EN SHOPIFY ($132.25, heredado hoy)</t>
        </is>
      </c>
    </row>
    <row r="636">
      <c r="A636" s="1" t="inlineStr">
        <is>
          <t>665bb76e6de17</t>
        </is>
      </c>
      <c r="B636" s="1" t="inlineStr">
        <is>
          <t>ARETES TB GOLD</t>
        </is>
      </c>
      <c r="C636" s="1" t="inlineStr">
        <is>
          <t>OUTLET</t>
        </is>
      </c>
      <c r="D636" s="1" t="inlineStr">
        <is>
          <t>NANCY VIP</t>
        </is>
      </c>
      <c r="E636" s="6" t="n">
        <v>225</v>
      </c>
      <c r="F636" s="4" t="n">
        <v>0</v>
      </c>
      <c r="G636" s="1" t="inlineStr">
        <is>
          <t>active</t>
        </is>
      </c>
      <c r="H636" s="1" t="inlineStr">
        <is>
          <t>YA TIENE COSTO EN SHOPIFY ($67.32, heredado hoy)</t>
        </is>
      </c>
    </row>
    <row r="637">
      <c r="A637" s="1" t="inlineStr">
        <is>
          <t>81836201673101</t>
        </is>
      </c>
      <c r="B637" s="1" t="inlineStr">
        <is>
          <t>LENTES C GOLD SLIM BLACK</t>
        </is>
      </c>
      <c r="C637" s="1" t="inlineStr">
        <is>
          <t>SIN LOGO</t>
        </is>
      </c>
      <c r="D637" s="1" t="inlineStr">
        <is>
          <t>CYNTHIA CAO</t>
        </is>
      </c>
      <c r="E637" s="6" t="n">
        <v>400</v>
      </c>
      <c r="F637" s="4" t="n">
        <v>0</v>
      </c>
      <c r="G637" s="1" t="inlineStr">
        <is>
          <t>active</t>
        </is>
      </c>
      <c r="H637" s="1" t="inlineStr">
        <is>
          <t>YA TIENE COSTO EN SHOPIFY ($170.00, heredado hoy)</t>
        </is>
      </c>
    </row>
    <row r="638">
      <c r="A638" s="1" t="inlineStr">
        <is>
          <t>70766681016045</t>
        </is>
      </c>
      <c r="B638" s="1" t="inlineStr">
        <is>
          <t>BOLSO DOUBLE V LV</t>
        </is>
      </c>
      <c r="C638" s="1" t="inlineStr">
        <is>
          <t>OUTLET</t>
        </is>
      </c>
      <c r="D638" s="1" t="inlineStr">
        <is>
          <t>DINA DU</t>
        </is>
      </c>
      <c r="E638" s="6" t="n">
        <v>3390</v>
      </c>
      <c r="F638" s="4" t="n">
        <v>0</v>
      </c>
      <c r="G638" s="1" t="inlineStr">
        <is>
          <t>active</t>
        </is>
      </c>
      <c r="H638" s="1" t="inlineStr">
        <is>
          <t>YA TIENE COSTO EN SHOPIFY ($1261.55, heredado hoy)</t>
        </is>
      </c>
    </row>
    <row r="639">
      <c r="A639" s="1" t="inlineStr">
        <is>
          <t>43728130537932</t>
        </is>
      </c>
      <c r="B639" s="1" t="inlineStr">
        <is>
          <t>PULSERA C KNOT SILVER</t>
        </is>
      </c>
      <c r="C639" s="1" t="inlineStr">
        <is>
          <t>AJUSTABLE OUTLET</t>
        </is>
      </c>
      <c r="D639" s="1" t="inlineStr">
        <is>
          <t>CYNTHIA CAO</t>
        </is>
      </c>
      <c r="E639" s="6" t="n">
        <v>390</v>
      </c>
      <c r="F639" s="4" t="n">
        <v>0</v>
      </c>
      <c r="G639" s="1" t="inlineStr">
        <is>
          <t>active</t>
        </is>
      </c>
      <c r="H639" s="1" t="inlineStr">
        <is>
          <t>YA TIENE COSTO EN SHOPIFY ($286.21, heredado hoy)</t>
        </is>
      </c>
    </row>
    <row r="640">
      <c r="A640" s="1" t="inlineStr">
        <is>
          <t>42265114935436</t>
        </is>
      </c>
      <c r="B640" s="1" t="inlineStr">
        <is>
          <t>CHARM CON CADENA SILVER</t>
        </is>
      </c>
      <c r="C640" s="1" t="inlineStr">
        <is>
          <t>Default Title</t>
        </is>
      </c>
      <c r="D640" s="1" t="inlineStr">
        <is>
          <t>CYNTHIA CAO</t>
        </is>
      </c>
      <c r="E640" s="6" t="n">
        <v>499</v>
      </c>
      <c r="F640" s="4" t="n">
        <v>0</v>
      </c>
      <c r="G640" s="1" t="inlineStr">
        <is>
          <t>active</t>
        </is>
      </c>
      <c r="H640" s="1" t="inlineStr">
        <is>
          <t>Falta el costo de compra (no está en ninguna tabla de precios)</t>
        </is>
      </c>
    </row>
    <row r="641">
      <c r="A641" s="1" t="inlineStr">
        <is>
          <t>665bb4e678423</t>
        </is>
      </c>
      <c r="B641" s="1" t="inlineStr">
        <is>
          <t>ARETES CD GOLD</t>
        </is>
      </c>
      <c r="C641" s="1" t="inlineStr">
        <is>
          <t>STAINLESS STEEL</t>
        </is>
      </c>
      <c r="D641" s="1" t="inlineStr">
        <is>
          <t>CYNTHIA CAO</t>
        </is>
      </c>
      <c r="E641" s="6" t="n">
        <v>745</v>
      </c>
      <c r="F641" s="4" t="n">
        <v>0</v>
      </c>
      <c r="G641" s="1" t="inlineStr">
        <is>
          <t>active</t>
        </is>
      </c>
      <c r="H641" s="1" t="inlineStr">
        <is>
          <t>YA TIENE COSTO EN SHOPIFY ($185.51, heredado hoy)</t>
        </is>
      </c>
    </row>
    <row r="642">
      <c r="A642" s="1" t="inlineStr">
        <is>
          <t>44639911003373</t>
        </is>
      </c>
      <c r="B642" s="1" t="inlineStr">
        <is>
          <t>LENTES C BROWN</t>
        </is>
      </c>
      <c r="C642" s="1" t="inlineStr">
        <is>
          <t>SIN CAJA</t>
        </is>
      </c>
      <c r="D642" s="1" t="inlineStr">
        <is>
          <t>CYNTHIA CAO</t>
        </is>
      </c>
      <c r="E642" s="6" t="n">
        <v>1999</v>
      </c>
      <c r="F642" s="4" t="n">
        <v>0</v>
      </c>
      <c r="G642" s="1" t="inlineStr">
        <is>
          <t>active</t>
        </is>
      </c>
      <c r="H642" s="1" t="inlineStr">
        <is>
          <t>YA TIENE COSTO EN SHOPIFY ($612.60, heredado hoy)</t>
        </is>
      </c>
    </row>
    <row r="643">
      <c r="A643" s="1" t="inlineStr">
        <is>
          <t>89308571071073</t>
        </is>
      </c>
      <c r="B643" s="1" t="inlineStr">
        <is>
          <t>ARETES PERLA YSL</t>
        </is>
      </c>
      <c r="C643" s="1" t="inlineStr">
        <is>
          <t>Titanio</t>
        </is>
      </c>
      <c r="D643" s="1" t="inlineStr">
        <is>
          <t>NANCY VIP</t>
        </is>
      </c>
      <c r="E643" s="6" t="n">
        <v>480</v>
      </c>
      <c r="F643" s="4" t="n">
        <v>0</v>
      </c>
      <c r="G643" s="1" t="inlineStr">
        <is>
          <t>active</t>
        </is>
      </c>
      <c r="H643" s="1" t="inlineStr">
        <is>
          <t>YA TIENE COSTO EN SHOPIFY ($111.80, heredado hoy)</t>
        </is>
      </c>
    </row>
    <row r="644">
      <c r="A644" s="1" t="inlineStr">
        <is>
          <t>665bce699c07e-2</t>
        </is>
      </c>
      <c r="B644" s="1" t="inlineStr">
        <is>
          <t>PULSERA SERPENTI LISA GOLD</t>
        </is>
      </c>
      <c r="C644" s="1" t="inlineStr">
        <is>
          <t>18cm OUTLET</t>
        </is>
      </c>
      <c r="D644" s="1" t="inlineStr">
        <is>
          <t>NANCY VIP</t>
        </is>
      </c>
      <c r="E644" s="6" t="n">
        <v>350</v>
      </c>
      <c r="F644" s="4" t="n">
        <v>0</v>
      </c>
      <c r="G644" s="1" t="inlineStr">
        <is>
          <t>active</t>
        </is>
      </c>
      <c r="H644" s="1" t="inlineStr">
        <is>
          <t>YA TIENE COSTO EN SHOPIFY ($231.52, heredado hoy)</t>
        </is>
      </c>
    </row>
    <row r="645">
      <c r="A645" s="1" t="inlineStr">
        <is>
          <t>6769b774b9cb6</t>
        </is>
      </c>
      <c r="B645" s="1" t="inlineStr">
        <is>
          <t>PULSERA SERPENTI LISA ROSEGOLD</t>
        </is>
      </c>
      <c r="C645" s="1" t="inlineStr">
        <is>
          <t>18cm OUTLET</t>
        </is>
      </c>
      <c r="D645" s="1" t="inlineStr">
        <is>
          <t>NANCY VIP</t>
        </is>
      </c>
      <c r="E645" s="6" t="n">
        <v>359.5</v>
      </c>
      <c r="F645" s="4" t="n">
        <v>0</v>
      </c>
      <c r="G645" s="1" t="inlineStr">
        <is>
          <t>active</t>
        </is>
      </c>
      <c r="H645" s="1" t="inlineStr">
        <is>
          <t>YA TIENE COSTO EN SHOPIFY ($227.30, heredado hoy)</t>
        </is>
      </c>
    </row>
    <row r="646">
      <c r="A646" s="1" t="inlineStr">
        <is>
          <t>77978442234636</t>
        </is>
      </c>
      <c r="B646" s="1" t="inlineStr">
        <is>
          <t>PULSERA TB CON UNA INSIGNIA BLACK</t>
        </is>
      </c>
      <c r="C646" s="1" t="inlineStr">
        <is>
          <t>17CM OUTLET</t>
        </is>
      </c>
      <c r="D646" s="1" t="inlineStr">
        <is>
          <t>NANCY VIP</t>
        </is>
      </c>
      <c r="E646" s="6" t="n">
        <v>200</v>
      </c>
      <c r="F646" s="4" t="n">
        <v>0</v>
      </c>
      <c r="G646" s="1" t="inlineStr">
        <is>
          <t>active</t>
        </is>
      </c>
      <c r="H646" s="1" t="inlineStr">
        <is>
          <t>YA TIENE COSTO EN SHOPIFY ($138.06, heredado hoy)</t>
        </is>
      </c>
    </row>
    <row r="647">
      <c r="A647" s="1" t="inlineStr">
        <is>
          <t>43728133017900</t>
        </is>
      </c>
      <c r="B647" s="1" t="inlineStr">
        <is>
          <t>PULSERA TB CON UNA INSIGNIA WHITE</t>
        </is>
      </c>
      <c r="C647" s="1" t="inlineStr">
        <is>
          <t>17cm OUTLET</t>
        </is>
      </c>
      <c r="D647" s="1" t="inlineStr">
        <is>
          <t>NANCY VIP</t>
        </is>
      </c>
      <c r="E647" s="6" t="n">
        <v>250</v>
      </c>
      <c r="F647" s="4" t="n">
        <v>0</v>
      </c>
      <c r="G647" s="1" t="inlineStr">
        <is>
          <t>active</t>
        </is>
      </c>
      <c r="H647" s="1" t="inlineStr">
        <is>
          <t>YA TIENE COSTO EN SHOPIFY ($132.91, heredado hoy)</t>
        </is>
      </c>
    </row>
    <row r="648">
      <c r="A648" s="1" t="inlineStr">
        <is>
          <t>66581dfe2ed7f</t>
        </is>
      </c>
      <c r="B648" s="1" t="inlineStr">
        <is>
          <t>BOLSO YSL CON CADENA BROWN</t>
        </is>
      </c>
      <c r="C648" s="1" t="inlineStr">
        <is>
          <t>17.5cm de alto x 23.5cm de largo x 6cm de ancho</t>
        </is>
      </c>
      <c r="D648" s="1" t="inlineStr">
        <is>
          <t>DINA DU</t>
        </is>
      </c>
      <c r="E648" s="6" t="n">
        <v>1500</v>
      </c>
      <c r="F648" s="4" t="n">
        <v>0</v>
      </c>
      <c r="G648" s="1" t="inlineStr">
        <is>
          <t>active</t>
        </is>
      </c>
      <c r="H648" s="1" t="inlineStr">
        <is>
          <t>YA TIENE COSTO EN SHOPIFY ($920.00, heredado hoy)</t>
        </is>
      </c>
    </row>
    <row r="649">
      <c r="A649" s="1" t="inlineStr">
        <is>
          <t>665bb4c91da74</t>
        </is>
      </c>
      <c r="B649" s="1" t="inlineStr">
        <is>
          <t>ANILLO WORLD MAP SILVER</t>
        </is>
      </c>
      <c r="C649" s="1" t="n">
        <v>7</v>
      </c>
      <c r="D649" s="1" t="inlineStr">
        <is>
          <t>JEFF</t>
        </is>
      </c>
      <c r="E649" s="6" t="n">
        <v>429</v>
      </c>
      <c r="F649" s="4" t="n">
        <v>0</v>
      </c>
      <c r="G649" s="1" t="inlineStr">
        <is>
          <t>active</t>
        </is>
      </c>
      <c r="H649" s="1" t="inlineStr">
        <is>
          <t>YA TIENE COSTO EN SHOPIFY ($68.13, heredado hoy)</t>
        </is>
      </c>
    </row>
    <row r="650">
      <c r="A650" s="1" t="inlineStr">
        <is>
          <t>66178ba29ca25</t>
        </is>
      </c>
      <c r="B650" s="1" t="inlineStr">
        <is>
          <t>ARETES BT SILVER</t>
        </is>
      </c>
      <c r="C650" s="1" t="inlineStr">
        <is>
          <t>Default Title</t>
        </is>
      </c>
      <c r="D650" s="1" t="inlineStr">
        <is>
          <t>JEFF</t>
        </is>
      </c>
      <c r="E650" s="6" t="n">
        <v>300</v>
      </c>
      <c r="F650" s="4" t="n">
        <v>0</v>
      </c>
      <c r="G650" s="1" t="inlineStr">
        <is>
          <t>active</t>
        </is>
      </c>
      <c r="H650" s="1" t="inlineStr">
        <is>
          <t>Falta el costo de compra (no está en ninguna tabla de precios)</t>
        </is>
      </c>
    </row>
    <row r="651">
      <c r="A651" s="1" t="inlineStr">
        <is>
          <t>42265108021388</t>
        </is>
      </c>
      <c r="B651" s="1" t="inlineStr">
        <is>
          <t>CAMISETA PA BLACK PINK</t>
        </is>
      </c>
      <c r="C651" s="1" t="inlineStr">
        <is>
          <t>M</t>
        </is>
      </c>
      <c r="D651" s="1" t="inlineStr">
        <is>
          <t>JEWERLY REMATE</t>
        </is>
      </c>
      <c r="E651" s="6" t="n">
        <v>910</v>
      </c>
      <c r="F651" s="4" t="n">
        <v>0</v>
      </c>
      <c r="G651" s="1" t="inlineStr">
        <is>
          <t>active</t>
        </is>
      </c>
      <c r="H651" s="1" t="inlineStr">
        <is>
          <t>Falta el costo de compra (no está en ninguna tabla de precios)</t>
        </is>
      </c>
    </row>
    <row r="652">
      <c r="A652" s="1" t="inlineStr">
        <is>
          <t>42265108054156</t>
        </is>
      </c>
      <c r="B652" s="1" t="inlineStr">
        <is>
          <t>CAMISETA PA BLACK PINK</t>
        </is>
      </c>
      <c r="C652" s="1" t="inlineStr">
        <is>
          <t>L</t>
        </is>
      </c>
      <c r="D652" s="1" t="inlineStr">
        <is>
          <t>JEWERLY REMATE</t>
        </is>
      </c>
      <c r="E652" s="6" t="n">
        <v>1400</v>
      </c>
      <c r="F652" s="4" t="n">
        <v>0</v>
      </c>
      <c r="G652" s="1" t="inlineStr">
        <is>
          <t>active</t>
        </is>
      </c>
      <c r="H652" s="1" t="inlineStr">
        <is>
          <t>Falta el costo de compra (no está en ninguna tabla de precios)</t>
        </is>
      </c>
    </row>
    <row r="653">
      <c r="A653" s="1" t="inlineStr">
        <is>
          <t>665bb78f1ae44</t>
        </is>
      </c>
      <c r="B653" s="1" t="inlineStr">
        <is>
          <t>ARETES YSL GOLD CON ZIRCONIA</t>
        </is>
      </c>
      <c r="C653" s="1" t="inlineStr">
        <is>
          <t>OUTLET</t>
        </is>
      </c>
      <c r="D653" s="1" t="inlineStr">
        <is>
          <t>NANCY VIP</t>
        </is>
      </c>
      <c r="E653" s="6" t="n">
        <v>249.5</v>
      </c>
      <c r="F653" s="4" t="n">
        <v>0</v>
      </c>
      <c r="G653" s="1" t="inlineStr">
        <is>
          <t>active</t>
        </is>
      </c>
      <c r="H653" s="1" t="inlineStr">
        <is>
          <t>YA TIENE COSTO EN SHOPIFY ($167.07, heredado hoy)</t>
        </is>
      </c>
    </row>
    <row r="654">
      <c r="A654" s="1" t="inlineStr">
        <is>
          <t>665bbe4f55774</t>
        </is>
      </c>
      <c r="B654" s="1" t="inlineStr">
        <is>
          <t>COLLAR SERPENTI SILVER LISO</t>
        </is>
      </c>
      <c r="C654" s="1" t="inlineStr">
        <is>
          <t>OUTLET</t>
        </is>
      </c>
      <c r="D654" s="1" t="inlineStr">
        <is>
          <t>NANCY VIP</t>
        </is>
      </c>
      <c r="E654" s="6" t="n">
        <v>449.5</v>
      </c>
      <c r="F654" s="4" t="n">
        <v>0</v>
      </c>
      <c r="G654" s="1" t="inlineStr">
        <is>
          <t>active</t>
        </is>
      </c>
      <c r="H654" s="1" t="inlineStr">
        <is>
          <t>YA TIENE COSTO EN SHOPIFY ($445.43, heredado hoy)</t>
        </is>
      </c>
    </row>
    <row r="655">
      <c r="A655" s="1" t="inlineStr">
        <is>
          <t>94350534892300</t>
        </is>
      </c>
      <c r="B655" s="1" t="inlineStr">
        <is>
          <t>BOLSO LADY D NUDE</t>
        </is>
      </c>
      <c r="C655" s="1" t="inlineStr">
        <is>
          <t>OUTLET</t>
        </is>
      </c>
      <c r="D655" s="1" t="inlineStr">
        <is>
          <t>ZOEY</t>
        </is>
      </c>
      <c r="E655" s="6" t="n">
        <v>2000</v>
      </c>
      <c r="F655" s="4" t="n">
        <v>0</v>
      </c>
      <c r="G655" s="1" t="inlineStr">
        <is>
          <t>active</t>
        </is>
      </c>
      <c r="H655" s="1" t="inlineStr">
        <is>
          <t>YA TIENE COSTO EN SHOPIFY ($1432.54, heredado hoy)</t>
        </is>
      </c>
    </row>
    <row r="656">
      <c r="A656" s="1" t="inlineStr">
        <is>
          <t>66581dfb3078d</t>
        </is>
      </c>
      <c r="B656" s="1" t="inlineStr">
        <is>
          <t>BOLSO KELLY BAG BLACK</t>
        </is>
      </c>
      <c r="C656" s="1" t="inlineStr">
        <is>
          <t>13.5cm de alto x 21.5cm de largo x 6cm de ancho</t>
        </is>
      </c>
      <c r="D656" s="1" t="inlineStr">
        <is>
          <t>DINA DU</t>
        </is>
      </c>
      <c r="E656" s="6" t="n">
        <v>2493</v>
      </c>
      <c r="F656" s="4" t="n">
        <v>0</v>
      </c>
      <c r="G656" s="1" t="inlineStr">
        <is>
          <t>active</t>
        </is>
      </c>
      <c r="H656" s="1" t="inlineStr">
        <is>
          <t>YA TIENE COSTO EN SHOPIFY ($415.85, heredado hoy)</t>
        </is>
      </c>
    </row>
    <row r="657">
      <c r="A657" s="1" t="inlineStr">
        <is>
          <t>664fc858469b2</t>
        </is>
      </c>
      <c r="B657" s="1" t="inlineStr">
        <is>
          <t>LENTES C OVAL GREEN</t>
        </is>
      </c>
      <c r="C657" s="1" t="inlineStr">
        <is>
          <t>OUTLET</t>
        </is>
      </c>
      <c r="D657" s="1" t="inlineStr">
        <is>
          <t>CYNTHIA CAO</t>
        </is>
      </c>
      <c r="E657" s="6" t="n">
        <v>499</v>
      </c>
      <c r="F657" s="4" t="n">
        <v>0</v>
      </c>
      <c r="G657" s="1" t="inlineStr">
        <is>
          <t>active</t>
        </is>
      </c>
      <c r="H657" s="1" t="inlineStr">
        <is>
          <t>YA TIENE COSTO EN SHOPIFY ($778.26, heredado hoy)</t>
        </is>
      </c>
    </row>
    <row r="658">
      <c r="A658" s="1" t="inlineStr">
        <is>
          <t>66176c8cafc26</t>
        </is>
      </c>
      <c r="B658" s="1" t="inlineStr">
        <is>
          <t>ANILLO LOVE ROSEGOLD ZIRCONIAS RAINBOW</t>
        </is>
      </c>
      <c r="C658" s="1" t="n">
        <v>5</v>
      </c>
      <c r="D658" s="1" t="inlineStr">
        <is>
          <t>HAIFENG</t>
        </is>
      </c>
      <c r="E658" s="6" t="n">
        <v>380</v>
      </c>
      <c r="F658" s="4" t="n">
        <v>0</v>
      </c>
      <c r="G658" s="1" t="inlineStr">
        <is>
          <t>active</t>
        </is>
      </c>
      <c r="H658" s="1" t="inlineStr">
        <is>
          <t>Falta el costo de compra (no está en ninguna tabla de precios)</t>
        </is>
      </c>
    </row>
    <row r="659">
      <c r="A659" s="1" t="inlineStr">
        <is>
          <t>66176c8d55f3a</t>
        </is>
      </c>
      <c r="B659" s="1" t="inlineStr">
        <is>
          <t>ANILLO LOVE ROSEGOLD ZIRCONIAS RAINBOW</t>
        </is>
      </c>
      <c r="C659" s="1" t="n">
        <v>6</v>
      </c>
      <c r="D659" s="1" t="inlineStr">
        <is>
          <t>HAIFENG</t>
        </is>
      </c>
      <c r="E659" s="6" t="n">
        <v>200</v>
      </c>
      <c r="F659" s="4" t="n">
        <v>0</v>
      </c>
      <c r="G659" s="1" t="inlineStr">
        <is>
          <t>active</t>
        </is>
      </c>
      <c r="H659" s="1" t="inlineStr">
        <is>
          <t>Falta el costo de compra (no está en ninguna tabla de precios)</t>
        </is>
      </c>
    </row>
    <row r="660">
      <c r="A660" s="1" t="inlineStr">
        <is>
          <t>66176c8ddd369</t>
        </is>
      </c>
      <c r="B660" s="1" t="inlineStr">
        <is>
          <t>ANILLO LOVE ROSEGOLD ZIRCONIAS RAINBOW</t>
        </is>
      </c>
      <c r="C660" s="1" t="n">
        <v>7</v>
      </c>
      <c r="D660" s="1" t="inlineStr">
        <is>
          <t>HAIFENG</t>
        </is>
      </c>
      <c r="E660" s="6" t="n">
        <v>380</v>
      </c>
      <c r="F660" s="4" t="n">
        <v>0</v>
      </c>
      <c r="G660" s="1" t="inlineStr">
        <is>
          <t>active</t>
        </is>
      </c>
      <c r="H660" s="1" t="inlineStr">
        <is>
          <t>Falta el costo de compra (no está en ninguna tabla de precios)</t>
        </is>
      </c>
    </row>
    <row r="661">
      <c r="A661" s="1" t="inlineStr">
        <is>
          <t>81836201399693</t>
        </is>
      </c>
      <c r="B661" s="1" t="inlineStr">
        <is>
          <t>ARETES SCREW LOVE GOLD</t>
        </is>
      </c>
      <c r="C661" s="1" t="inlineStr">
        <is>
          <t>MEDIUM OUTLET</t>
        </is>
      </c>
      <c r="D661" s="1" t="inlineStr">
        <is>
          <t>HAIFENG</t>
        </is>
      </c>
      <c r="E661" s="6" t="n">
        <v>265</v>
      </c>
      <c r="F661" s="4" t="n">
        <v>0</v>
      </c>
      <c r="G661" s="1" t="inlineStr">
        <is>
          <t>active</t>
        </is>
      </c>
      <c r="H661" s="1" t="inlineStr">
        <is>
          <t>YA TIENE COSTO EN SHOPIFY ($62.96, heredado hoy)</t>
        </is>
      </c>
    </row>
    <row r="662">
      <c r="A662" s="1" t="inlineStr">
        <is>
          <t>66197911087873</t>
        </is>
      </c>
      <c r="B662" s="1" t="inlineStr">
        <is>
          <t>COLLAR CLAVO ROUND GOLD</t>
        </is>
      </c>
      <c r="C662" s="1" t="inlineStr">
        <is>
          <t>Titanio</t>
        </is>
      </c>
      <c r="D662" s="1" t="inlineStr">
        <is>
          <t>NANCY VIP</t>
        </is>
      </c>
      <c r="E662" s="6" t="n">
        <v>680</v>
      </c>
      <c r="F662" s="4" t="n">
        <v>0</v>
      </c>
      <c r="G662" s="1" t="inlineStr">
        <is>
          <t>active</t>
        </is>
      </c>
      <c r="H662" s="1" t="inlineStr">
        <is>
          <t>YA TIENE COSTO EN SHOPIFY ($157.13, heredado hoy)</t>
        </is>
      </c>
    </row>
    <row r="663">
      <c r="A663" s="1" t="inlineStr">
        <is>
          <t>51935821098669</t>
        </is>
      </c>
      <c r="B663" s="1" t="inlineStr">
        <is>
          <t>COLLAR CLAVO ROUND GOLD</t>
        </is>
      </c>
      <c r="C663" s="1" t="inlineStr">
        <is>
          <t>OUTLET</t>
        </is>
      </c>
      <c r="D663" s="1" t="inlineStr">
        <is>
          <t>NANCY VIP</t>
        </is>
      </c>
      <c r="E663" s="6" t="n">
        <v>499</v>
      </c>
      <c r="F663" s="4" t="n">
        <v>0</v>
      </c>
      <c r="G663" s="1" t="inlineStr">
        <is>
          <t>active</t>
        </is>
      </c>
      <c r="H663" s="1" t="inlineStr">
        <is>
          <t>YA TIENE COSTO EN SHOPIFY ($181.58, heredado hoy)</t>
        </is>
      </c>
    </row>
    <row r="664">
      <c r="A664" s="1" t="inlineStr">
        <is>
          <t>69388611087329</t>
        </is>
      </c>
      <c r="B664" s="1" t="inlineStr">
        <is>
          <t>COLLAR CLAVO ROUND ROSEGOLD</t>
        </is>
      </c>
      <c r="C664" s="1" t="inlineStr">
        <is>
          <t>Titanio</t>
        </is>
      </c>
      <c r="D664" s="1" t="inlineStr">
        <is>
          <t>NANCY VIP</t>
        </is>
      </c>
      <c r="E664" s="6" t="n">
        <v>476</v>
      </c>
      <c r="F664" s="4" t="n">
        <v>0</v>
      </c>
      <c r="G664" s="1" t="inlineStr">
        <is>
          <t>active</t>
        </is>
      </c>
      <c r="H664" s="1" t="inlineStr">
        <is>
          <t>YA TIENE COSTO EN SHOPIFY ($157.13, heredado hoy)</t>
        </is>
      </c>
    </row>
    <row r="665">
      <c r="A665" s="1" t="inlineStr">
        <is>
          <t>19448491034349</t>
        </is>
      </c>
      <c r="B665" s="1" t="inlineStr">
        <is>
          <t>COLLAR LOVE-LOVE GOLD</t>
        </is>
      </c>
      <c r="C665" s="1" t="inlineStr">
        <is>
          <t>OUTLET 46cm con 5cm de extension</t>
        </is>
      </c>
      <c r="D665" s="1" t="inlineStr">
        <is>
          <t>HAIFENG</t>
        </is>
      </c>
      <c r="E665" s="6" t="n">
        <v>299</v>
      </c>
      <c r="F665" s="4" t="n">
        <v>0</v>
      </c>
      <c r="G665" s="1" t="inlineStr">
        <is>
          <t>active</t>
        </is>
      </c>
      <c r="H665" s="1" t="inlineStr">
        <is>
          <t>YA TIENE COSTO EN SHOPIFY ($80.02, heredado hoy)</t>
        </is>
      </c>
    </row>
    <row r="666">
      <c r="A666" s="1" t="inlineStr">
        <is>
          <t>8002505290508</t>
        </is>
      </c>
      <c r="B666" s="1" t="inlineStr">
        <is>
          <t>ANILLO PERLEE SILVER</t>
        </is>
      </c>
      <c r="C666" s="1" t="inlineStr">
        <is>
          <t>6 OUTLET</t>
        </is>
      </c>
      <c r="D666" s="1" t="inlineStr">
        <is>
          <t>NANCY VIP</t>
        </is>
      </c>
      <c r="E666" s="6" t="n">
        <v>199.5</v>
      </c>
      <c r="F666" s="4" t="n">
        <v>0</v>
      </c>
      <c r="G666" s="1" t="inlineStr">
        <is>
          <t>active</t>
        </is>
      </c>
      <c r="H666" s="1" t="inlineStr">
        <is>
          <t>YA TIENE COSTO EN SHOPIFY ($138.91, heredado hoy)</t>
        </is>
      </c>
    </row>
    <row r="667">
      <c r="A667" s="1" t="inlineStr">
        <is>
          <t>665bb779989a5outlet</t>
        </is>
      </c>
      <c r="B667" s="1" t="inlineStr">
        <is>
          <t>ARETES TRÉBOL GOLD-WHITE</t>
        </is>
      </c>
      <c r="C667" s="1" t="inlineStr">
        <is>
          <t>Outlet</t>
        </is>
      </c>
      <c r="D667" s="1" t="inlineStr">
        <is>
          <t>HAIFENG</t>
        </is>
      </c>
      <c r="E667" s="6" t="n">
        <v>500</v>
      </c>
      <c r="F667" s="4" t="n">
        <v>0</v>
      </c>
      <c r="G667" s="1" t="inlineStr">
        <is>
          <t>active</t>
        </is>
      </c>
      <c r="H667" s="1" t="inlineStr">
        <is>
          <t>YA TIENE COSTO EN SHOPIFY ($168.35, heredado hoy)</t>
        </is>
      </c>
    </row>
    <row r="668">
      <c r="A668" s="1" t="inlineStr">
        <is>
          <t>81836201117805</t>
        </is>
      </c>
      <c r="B668" s="1" t="inlineStr">
        <is>
          <t>ANILLO CLAVO ROSE GOLD</t>
        </is>
      </c>
      <c r="C668" s="1" t="inlineStr">
        <is>
          <t>7 OUTLET</t>
        </is>
      </c>
      <c r="D668" s="1" t="inlineStr">
        <is>
          <t>HAIFENG</t>
        </is>
      </c>
      <c r="E668" s="6" t="n">
        <v>200</v>
      </c>
      <c r="F668" s="4" t="n">
        <v>0</v>
      </c>
      <c r="G668" s="1" t="inlineStr">
        <is>
          <t>active</t>
        </is>
      </c>
      <c r="H668" s="1" t="inlineStr">
        <is>
          <t>YA TIENE COSTO EN SHOPIFY ($52.72, heredado hoy)</t>
        </is>
      </c>
    </row>
    <row r="669">
      <c r="A669" s="1" t="inlineStr">
        <is>
          <t>42265015124108</t>
        </is>
      </c>
      <c r="B669" s="1" t="inlineStr">
        <is>
          <t>ANILLO BRÚJULA SILVER</t>
        </is>
      </c>
      <c r="C669" s="1" t="n">
        <v>8</v>
      </c>
      <c r="D669" s="1" t="inlineStr">
        <is>
          <t>JEFF</t>
        </is>
      </c>
      <c r="E669" s="6" t="n">
        <v>320</v>
      </c>
      <c r="F669" s="4" t="n">
        <v>0</v>
      </c>
      <c r="G669" s="1" t="inlineStr">
        <is>
          <t>active</t>
        </is>
      </c>
      <c r="H669" s="1" t="inlineStr">
        <is>
          <t>Falta el costo de compra (no está en ninguna tabla de precios)</t>
        </is>
      </c>
    </row>
    <row r="670">
      <c r="A670" s="1" t="inlineStr">
        <is>
          <t>42265015156876</t>
        </is>
      </c>
      <c r="B670" s="1" t="inlineStr">
        <is>
          <t>ANILLO BRÚJULA SILVER</t>
        </is>
      </c>
      <c r="C670" s="1" t="n">
        <v>9</v>
      </c>
      <c r="D670" s="1" t="inlineStr">
        <is>
          <t>JEFF</t>
        </is>
      </c>
      <c r="E670" s="6" t="n">
        <v>320</v>
      </c>
      <c r="F670" s="4" t="n">
        <v>0</v>
      </c>
      <c r="G670" s="1" t="inlineStr">
        <is>
          <t>active</t>
        </is>
      </c>
      <c r="H670" s="1" t="inlineStr">
        <is>
          <t>Falta el costo de compra (no está en ninguna tabla de precios)</t>
        </is>
      </c>
    </row>
    <row r="671">
      <c r="A671" s="1" t="inlineStr">
        <is>
          <t>42265015058572</t>
        </is>
      </c>
      <c r="B671" s="1" t="inlineStr">
        <is>
          <t>ANILLO BRÚJULA GOLD</t>
        </is>
      </c>
      <c r="C671" s="1" t="n">
        <v>8</v>
      </c>
      <c r="D671" s="1" t="inlineStr">
        <is>
          <t>JEFF</t>
        </is>
      </c>
      <c r="E671" s="6" t="n">
        <v>180</v>
      </c>
      <c r="F671" s="4" t="n">
        <v>0</v>
      </c>
      <c r="G671" s="1" t="inlineStr">
        <is>
          <t>active</t>
        </is>
      </c>
      <c r="H671" s="1" t="inlineStr">
        <is>
          <t>YA TIENE COSTO EN SHOPIFY ($41.53, heredado hoy)</t>
        </is>
      </c>
    </row>
    <row r="672">
      <c r="A672" s="1" t="inlineStr">
        <is>
          <t>42265015091340</t>
        </is>
      </c>
      <c r="B672" s="1" t="inlineStr">
        <is>
          <t>ANILLO BRÚJULA GOLD</t>
        </is>
      </c>
      <c r="C672" s="1" t="n">
        <v>9</v>
      </c>
      <c r="D672" s="1" t="inlineStr">
        <is>
          <t>JEFF</t>
        </is>
      </c>
      <c r="E672" s="6" t="n">
        <v>320</v>
      </c>
      <c r="F672" s="4" t="n">
        <v>0</v>
      </c>
      <c r="G672" s="1" t="inlineStr">
        <is>
          <t>active</t>
        </is>
      </c>
      <c r="H672" s="1" t="inlineStr">
        <is>
          <t>YA TIENE COSTO EN SHOPIFY ($41.53, heredado hoy)</t>
        </is>
      </c>
    </row>
    <row r="673">
      <c r="A673" s="1" t="inlineStr">
        <is>
          <t>64e78eca6cf9f</t>
        </is>
      </c>
      <c r="B673" s="1" t="inlineStr">
        <is>
          <t>ANILLO CHURUMBELA DELGADO TRIANGLE PINK 925</t>
        </is>
      </c>
      <c r="C673" s="1" t="n">
        <v>8</v>
      </c>
      <c r="D673" s="1" t="inlineStr">
        <is>
          <t>JEWERLY REMATE</t>
        </is>
      </c>
      <c r="E673" s="6" t="n">
        <v>350</v>
      </c>
      <c r="F673" s="4" t="n">
        <v>0</v>
      </c>
      <c r="G673" s="1" t="inlineStr">
        <is>
          <t>active</t>
        </is>
      </c>
      <c r="H673" s="1" t="inlineStr">
        <is>
          <t>Falta el costo de compra (no está en ninguna tabla de precios)</t>
        </is>
      </c>
    </row>
    <row r="674">
      <c r="A674" s="1" t="inlineStr">
        <is>
          <t>64e78ecb490cc</t>
        </is>
      </c>
      <c r="B674" s="1" t="inlineStr">
        <is>
          <t>ANILLO CHURUMBELA DELGADO TRIANGLE PINK 925</t>
        </is>
      </c>
      <c r="C674" s="1" t="n">
        <v>9</v>
      </c>
      <c r="D674" s="1" t="inlineStr">
        <is>
          <t>JEWERLY REMATE</t>
        </is>
      </c>
      <c r="E674" s="6" t="n">
        <v>350</v>
      </c>
      <c r="F674" s="4" t="n">
        <v>0</v>
      </c>
      <c r="G674" s="1" t="inlineStr">
        <is>
          <t>active</t>
        </is>
      </c>
      <c r="H674" s="1" t="inlineStr">
        <is>
          <t>Falta el costo de compra (no está en ninguna tabla de precios)</t>
        </is>
      </c>
    </row>
    <row r="675">
      <c r="A675" s="1" t="inlineStr">
        <is>
          <t>64e78e774a50d</t>
        </is>
      </c>
      <c r="B675" s="1" t="inlineStr">
        <is>
          <t>ANILLO BV BICOLOR ROSEGOLD</t>
        </is>
      </c>
      <c r="C675" s="1" t="n">
        <v>6</v>
      </c>
      <c r="D675" s="1" t="inlineStr">
        <is>
          <t>COCOMA</t>
        </is>
      </c>
      <c r="E675" s="6" t="n">
        <v>450</v>
      </c>
      <c r="F675" s="4" t="n">
        <v>0</v>
      </c>
      <c r="G675" s="1" t="inlineStr">
        <is>
          <t>active</t>
        </is>
      </c>
      <c r="H675" s="1" t="inlineStr">
        <is>
          <t>Falta el costo de compra (no está en ninguna tabla de precios)</t>
        </is>
      </c>
    </row>
    <row r="676">
      <c r="A676" s="1" t="inlineStr">
        <is>
          <t>64e78e77f008d</t>
        </is>
      </c>
      <c r="B676" s="1" t="inlineStr">
        <is>
          <t>ANILLO BV BICOLOR ROSEGOLD</t>
        </is>
      </c>
      <c r="C676" s="1" t="n">
        <v>7</v>
      </c>
      <c r="D676" s="1" t="inlineStr">
        <is>
          <t>COCOMA</t>
        </is>
      </c>
      <c r="E676" s="6" t="n">
        <v>450</v>
      </c>
      <c r="F676" s="4" t="n">
        <v>0</v>
      </c>
      <c r="G676" s="1" t="inlineStr">
        <is>
          <t>active</t>
        </is>
      </c>
      <c r="H676" s="1" t="inlineStr">
        <is>
          <t>Falta el costo de compra (no está en ninguna tabla de precios)</t>
        </is>
      </c>
    </row>
    <row r="677">
      <c r="A677" s="1" t="inlineStr">
        <is>
          <t>64e78e78b269c</t>
        </is>
      </c>
      <c r="B677" s="1" t="inlineStr">
        <is>
          <t>ANILLO BV BICOLOR ROSEGOLD</t>
        </is>
      </c>
      <c r="C677" s="1" t="n">
        <v>8</v>
      </c>
      <c r="D677" s="1" t="inlineStr">
        <is>
          <t>COCOMA</t>
        </is>
      </c>
      <c r="E677" s="6" t="n">
        <v>450</v>
      </c>
      <c r="F677" s="4" t="n">
        <v>0</v>
      </c>
      <c r="G677" s="1" t="inlineStr">
        <is>
          <t>active</t>
        </is>
      </c>
      <c r="H677" s="1" t="inlineStr">
        <is>
          <t>Falta el costo de compra (no está en ninguna tabla de precios)</t>
        </is>
      </c>
    </row>
    <row r="678">
      <c r="A678" s="1" t="inlineStr">
        <is>
          <t>64e78e767fbf8</t>
        </is>
      </c>
      <c r="B678" s="1" t="inlineStr">
        <is>
          <t>ANILLO BV BICOLOR GOLD</t>
        </is>
      </c>
      <c r="C678" s="1" t="n">
        <v>6</v>
      </c>
      <c r="D678" s="1" t="inlineStr">
        <is>
          <t>COCOMA</t>
        </is>
      </c>
      <c r="E678" s="6" t="n">
        <v>450</v>
      </c>
      <c r="F678" s="4" t="n">
        <v>0</v>
      </c>
      <c r="G678" s="1" t="inlineStr">
        <is>
          <t>active</t>
        </is>
      </c>
      <c r="H678" s="1" t="inlineStr">
        <is>
          <t>Falta el costo de compra (no está en ninguna tabla de precios)</t>
        </is>
      </c>
    </row>
    <row r="679">
      <c r="A679" s="1" t="inlineStr">
        <is>
          <t>64e78e774fc01</t>
        </is>
      </c>
      <c r="B679" s="1" t="inlineStr">
        <is>
          <t>ANILLO BV BICOLOR GOLD</t>
        </is>
      </c>
      <c r="C679" s="1" t="n">
        <v>7</v>
      </c>
      <c r="D679" s="1" t="inlineStr">
        <is>
          <t>COCOMA</t>
        </is>
      </c>
      <c r="E679" s="6" t="n">
        <v>450</v>
      </c>
      <c r="F679" s="4" t="n">
        <v>0</v>
      </c>
      <c r="G679" s="1" t="inlineStr">
        <is>
          <t>active</t>
        </is>
      </c>
      <c r="H679" s="1" t="inlineStr">
        <is>
          <t>Falta el costo de compra (no está en ninguna tabla de precios)</t>
        </is>
      </c>
    </row>
    <row r="680">
      <c r="A680" s="1" t="inlineStr">
        <is>
          <t>64e78e781627e</t>
        </is>
      </c>
      <c r="B680" s="1" t="inlineStr">
        <is>
          <t>ANILLO BV BICOLOR GOLD</t>
        </is>
      </c>
      <c r="C680" s="1" t="n">
        <v>8</v>
      </c>
      <c r="D680" s="1" t="inlineStr">
        <is>
          <t>COCOMA</t>
        </is>
      </c>
      <c r="E680" s="6" t="n">
        <v>450</v>
      </c>
      <c r="F680" s="4" t="n">
        <v>0</v>
      </c>
      <c r="G680" s="1" t="inlineStr">
        <is>
          <t>active</t>
        </is>
      </c>
      <c r="H680" s="1" t="inlineStr">
        <is>
          <t>Falta el costo de compra (no está en ninguna tabla de precios)</t>
        </is>
      </c>
    </row>
    <row r="681">
      <c r="A681" s="1" t="inlineStr">
        <is>
          <t>42265013616780</t>
        </is>
      </c>
      <c r="B681" s="1" t="inlineStr">
        <is>
          <t>ANILLO BV DELGADO SILVER-WHITE</t>
        </is>
      </c>
      <c r="C681" s="1" t="n">
        <v>5</v>
      </c>
      <c r="D681" s="1" t="inlineStr">
        <is>
          <t>ANA FU</t>
        </is>
      </c>
      <c r="E681" s="6" t="n">
        <v>343</v>
      </c>
      <c r="F681" s="4" t="n">
        <v>0</v>
      </c>
      <c r="G681" s="1" t="inlineStr">
        <is>
          <t>active</t>
        </is>
      </c>
      <c r="H681" s="1" t="inlineStr">
        <is>
          <t>YA TIENE COSTO EN SHOPIFY ($114.21, heredado hoy)</t>
        </is>
      </c>
    </row>
    <row r="682">
      <c r="A682" s="1" t="inlineStr">
        <is>
          <t>643ec107bb6b7</t>
        </is>
      </c>
      <c r="B682" s="1" t="inlineStr">
        <is>
          <t>ANILLO BV DELGADO SILVER-WHITE</t>
        </is>
      </c>
      <c r="C682" s="1" t="n">
        <v>7</v>
      </c>
      <c r="D682" s="1" t="inlineStr">
        <is>
          <t>ANA FU</t>
        </is>
      </c>
      <c r="E682" s="6" t="n">
        <v>489</v>
      </c>
      <c r="F682" s="4" t="n">
        <v>0</v>
      </c>
      <c r="G682" s="1" t="inlineStr">
        <is>
          <t>active</t>
        </is>
      </c>
      <c r="H682" s="1" t="inlineStr">
        <is>
          <t>YA TIENE COSTO EN SHOPIFY ($114.21, heredado hoy)</t>
        </is>
      </c>
    </row>
    <row r="683">
      <c r="A683" s="1" t="inlineStr">
        <is>
          <t>643ec10875703</t>
        </is>
      </c>
      <c r="B683" s="1" t="inlineStr">
        <is>
          <t>ANILLO BV DELGADO SILVER-WHITE</t>
        </is>
      </c>
      <c r="C683" s="1" t="n">
        <v>8</v>
      </c>
      <c r="D683" s="1" t="inlineStr">
        <is>
          <t>ANA FU</t>
        </is>
      </c>
      <c r="E683" s="6" t="n">
        <v>489</v>
      </c>
      <c r="F683" s="4" t="n">
        <v>0</v>
      </c>
      <c r="G683" s="1" t="inlineStr">
        <is>
          <t>active</t>
        </is>
      </c>
      <c r="H683" s="1" t="inlineStr">
        <is>
          <t>YA TIENE COSTO EN SHOPIFY ($114.21, heredado hoy)</t>
        </is>
      </c>
    </row>
    <row r="684">
      <c r="A684" s="1" t="inlineStr">
        <is>
          <t>42265013452940</t>
        </is>
      </c>
      <c r="B684" s="1" t="inlineStr">
        <is>
          <t>ANILLO BV DELGADO ROSE GOLD-WHITE</t>
        </is>
      </c>
      <c r="C684" s="1" t="n">
        <v>5</v>
      </c>
      <c r="D684" s="1" t="inlineStr">
        <is>
          <t>ANA FU</t>
        </is>
      </c>
      <c r="E684" s="6" t="n">
        <v>299</v>
      </c>
      <c r="F684" s="4" t="n">
        <v>0</v>
      </c>
      <c r="G684" s="1" t="inlineStr">
        <is>
          <t>active</t>
        </is>
      </c>
      <c r="H684" s="1" t="inlineStr">
        <is>
          <t>Falta el costo de compra (no está en ninguna tabla de precios)</t>
        </is>
      </c>
    </row>
    <row r="685">
      <c r="A685" s="1" t="inlineStr">
        <is>
          <t>643ec106dd2cb</t>
        </is>
      </c>
      <c r="B685" s="1" t="inlineStr">
        <is>
          <t>ANILLO BV DELGADO ROSE GOLD-WHITE</t>
        </is>
      </c>
      <c r="C685" s="1" t="n">
        <v>6</v>
      </c>
      <c r="D685" s="1" t="inlineStr">
        <is>
          <t>ANA FU</t>
        </is>
      </c>
      <c r="E685" s="6" t="n">
        <v>299</v>
      </c>
      <c r="F685" s="4" t="n">
        <v>0</v>
      </c>
      <c r="G685" s="1" t="inlineStr">
        <is>
          <t>active</t>
        </is>
      </c>
      <c r="H685" s="1" t="inlineStr">
        <is>
          <t>Falta el costo de compra (no está en ninguna tabla de precios)</t>
        </is>
      </c>
    </row>
    <row r="686">
      <c r="A686" s="1" t="inlineStr">
        <is>
          <t>643ec107bf2c9</t>
        </is>
      </c>
      <c r="B686" s="1" t="inlineStr">
        <is>
          <t>ANILLO BV DELGADO ROSE GOLD-WHITE</t>
        </is>
      </c>
      <c r="C686" s="1" t="n">
        <v>7</v>
      </c>
      <c r="D686" s="1" t="inlineStr">
        <is>
          <t>ANA FU</t>
        </is>
      </c>
      <c r="E686" s="6" t="n">
        <v>299</v>
      </c>
      <c r="F686" s="4" t="n">
        <v>0</v>
      </c>
      <c r="G686" s="1" t="inlineStr">
        <is>
          <t>active</t>
        </is>
      </c>
      <c r="H686" s="1" t="inlineStr">
        <is>
          <t>Falta el costo de compra (no está en ninguna tabla de precios)</t>
        </is>
      </c>
    </row>
    <row r="687">
      <c r="A687" s="1" t="inlineStr">
        <is>
          <t>643ec1088c802</t>
        </is>
      </c>
      <c r="B687" s="1" t="inlineStr">
        <is>
          <t>ANILLO BV DELGADO ROSE GOLD-WHITE</t>
        </is>
      </c>
      <c r="C687" s="1" t="n">
        <v>8</v>
      </c>
      <c r="D687" s="1" t="inlineStr">
        <is>
          <t>ANA FU</t>
        </is>
      </c>
      <c r="E687" s="6" t="n">
        <v>299</v>
      </c>
      <c r="F687" s="4" t="n">
        <v>0</v>
      </c>
      <c r="G687" s="1" t="inlineStr">
        <is>
          <t>active</t>
        </is>
      </c>
      <c r="H687" s="1" t="inlineStr">
        <is>
          <t>Falta el costo de compra (no está en ninguna tabla de precios)</t>
        </is>
      </c>
    </row>
    <row r="688">
      <c r="A688" s="1" t="inlineStr">
        <is>
          <t>643ec1093bd87</t>
        </is>
      </c>
      <c r="B688" s="1" t="inlineStr">
        <is>
          <t>ANILLO BV DELGADO ROSE GOLD-WHITE</t>
        </is>
      </c>
      <c r="C688" s="1" t="n">
        <v>9</v>
      </c>
      <c r="D688" s="1" t="inlineStr">
        <is>
          <t>ANA FU</t>
        </is>
      </c>
      <c r="E688" s="6" t="n">
        <v>299</v>
      </c>
      <c r="F688" s="4" t="n">
        <v>0</v>
      </c>
      <c r="G688" s="1" t="inlineStr">
        <is>
          <t>active</t>
        </is>
      </c>
      <c r="H688" s="1" t="inlineStr">
        <is>
          <t>Falta el costo de compra (no está en ninguna tabla de precios)</t>
        </is>
      </c>
    </row>
    <row r="689">
      <c r="A689" s="1" t="inlineStr">
        <is>
          <t>42265013289100</t>
        </is>
      </c>
      <c r="B689" s="1" t="inlineStr">
        <is>
          <t>ANILLO BV DELGADO SILVER-BLACK</t>
        </is>
      </c>
      <c r="C689" s="1" t="n">
        <v>5</v>
      </c>
      <c r="D689" s="1" t="inlineStr">
        <is>
          <t>ANA FU</t>
        </is>
      </c>
      <c r="E689" s="6" t="n">
        <v>195</v>
      </c>
      <c r="F689" s="4" t="n">
        <v>0</v>
      </c>
      <c r="G689" s="1" t="inlineStr">
        <is>
          <t>active</t>
        </is>
      </c>
      <c r="H689" s="1" t="inlineStr">
        <is>
          <t>Falta el costo de compra (no está en ninguna tabla de precios)</t>
        </is>
      </c>
    </row>
    <row r="690">
      <c r="A690" s="1" t="inlineStr">
        <is>
          <t>643ec106bc46d</t>
        </is>
      </c>
      <c r="B690" s="1" t="inlineStr">
        <is>
          <t>ANILLO BV DELGADO SILVER-BLACK</t>
        </is>
      </c>
      <c r="C690" s="1" t="n">
        <v>6</v>
      </c>
      <c r="D690" s="1" t="inlineStr">
        <is>
          <t>ANA FU</t>
        </is>
      </c>
      <c r="E690" s="6" t="n">
        <v>195</v>
      </c>
      <c r="F690" s="4" t="n">
        <v>0</v>
      </c>
      <c r="G690" s="1" t="inlineStr">
        <is>
          <t>active</t>
        </is>
      </c>
      <c r="H690" s="1" t="inlineStr">
        <is>
          <t>Falta el costo de compra (no está en ninguna tabla de precios)</t>
        </is>
      </c>
    </row>
    <row r="691">
      <c r="A691" s="1" t="inlineStr">
        <is>
          <t>643ec10784717</t>
        </is>
      </c>
      <c r="B691" s="1" t="inlineStr">
        <is>
          <t>ANILLO BV DELGADO SILVER-BLACK</t>
        </is>
      </c>
      <c r="C691" s="1" t="n">
        <v>7</v>
      </c>
      <c r="D691" s="1" t="inlineStr">
        <is>
          <t>ANA FU</t>
        </is>
      </c>
      <c r="E691" s="6" t="n">
        <v>195</v>
      </c>
      <c r="F691" s="4" t="n">
        <v>0</v>
      </c>
      <c r="G691" s="1" t="inlineStr">
        <is>
          <t>active</t>
        </is>
      </c>
      <c r="H691" s="1" t="inlineStr">
        <is>
          <t>Falta el costo de compra (no está en ninguna tabla de precios)</t>
        </is>
      </c>
    </row>
    <row r="692">
      <c r="A692" s="1" t="inlineStr">
        <is>
          <t>643ec1084bd8f</t>
        </is>
      </c>
      <c r="B692" s="1" t="inlineStr">
        <is>
          <t>ANILLO BV DELGADO SILVER-BLACK</t>
        </is>
      </c>
      <c r="C692" s="1" t="n">
        <v>8</v>
      </c>
      <c r="D692" s="1" t="inlineStr">
        <is>
          <t>ANA FU</t>
        </is>
      </c>
      <c r="E692" s="6" t="n">
        <v>195</v>
      </c>
      <c r="F692" s="4" t="n">
        <v>0</v>
      </c>
      <c r="G692" s="1" t="inlineStr">
        <is>
          <t>active</t>
        </is>
      </c>
      <c r="H692" s="1" t="inlineStr">
        <is>
          <t>Falta el costo de compra (no está en ninguna tabla de precios)</t>
        </is>
      </c>
    </row>
    <row r="693">
      <c r="A693" s="1" t="inlineStr">
        <is>
          <t>643ec10902738</t>
        </is>
      </c>
      <c r="B693" s="1" t="inlineStr">
        <is>
          <t>ANILLO BV DELGADO SILVER-BLACK</t>
        </is>
      </c>
      <c r="C693" s="1" t="n">
        <v>9</v>
      </c>
      <c r="D693" s="1" t="inlineStr">
        <is>
          <t>ANA FU</t>
        </is>
      </c>
      <c r="E693" s="6" t="n">
        <v>195</v>
      </c>
      <c r="F693" s="4" t="n">
        <v>0</v>
      </c>
      <c r="G693" s="1" t="inlineStr">
        <is>
          <t>active</t>
        </is>
      </c>
      <c r="H693" s="1" t="inlineStr">
        <is>
          <t>Falta el costo de compra (no está en ninguna tabla de precios)</t>
        </is>
      </c>
    </row>
    <row r="694">
      <c r="A694" s="1" t="inlineStr">
        <is>
          <t>643ec1037b860</t>
        </is>
      </c>
      <c r="B694" s="1" t="inlineStr">
        <is>
          <t>ANILLO BV DELGADO ROSEGOLD-BLACK</t>
        </is>
      </c>
      <c r="C694" s="1" t="n">
        <v>6</v>
      </c>
      <c r="D694" s="1" t="inlineStr">
        <is>
          <t>ANA FU</t>
        </is>
      </c>
      <c r="E694" s="6" t="n">
        <v>195</v>
      </c>
      <c r="F694" s="4" t="n">
        <v>0</v>
      </c>
      <c r="G694" s="1" t="inlineStr">
        <is>
          <t>active</t>
        </is>
      </c>
      <c r="H694" s="1" t="inlineStr">
        <is>
          <t>YA TIENE COSTO EN SHOPIFY ($114.21, heredado hoy)</t>
        </is>
      </c>
    </row>
    <row r="695">
      <c r="A695" s="1" t="inlineStr">
        <is>
          <t>643ec1044e233</t>
        </is>
      </c>
      <c r="B695" s="1" t="inlineStr">
        <is>
          <t>ANILLO BV DELGADO ROSEGOLD-BLACK</t>
        </is>
      </c>
      <c r="C695" s="1" t="n">
        <v>7</v>
      </c>
      <c r="D695" s="1" t="inlineStr">
        <is>
          <t>ANA FU</t>
        </is>
      </c>
      <c r="E695" s="6" t="n">
        <v>195</v>
      </c>
      <c r="F695" s="4" t="n">
        <v>0</v>
      </c>
      <c r="G695" s="1" t="inlineStr">
        <is>
          <t>active</t>
        </is>
      </c>
      <c r="H695" s="1" t="inlineStr">
        <is>
          <t>YA TIENE COSTO EN SHOPIFY ($114.22, heredado hoy)</t>
        </is>
      </c>
    </row>
    <row r="696">
      <c r="A696" s="1" t="inlineStr">
        <is>
          <t>643ec10507b88</t>
        </is>
      </c>
      <c r="B696" s="1" t="inlineStr">
        <is>
          <t>ANILLO BV DELGADO ROSEGOLD-BLACK</t>
        </is>
      </c>
      <c r="C696" s="1" t="n">
        <v>8</v>
      </c>
      <c r="D696" s="1" t="inlineStr">
        <is>
          <t>ANA FU</t>
        </is>
      </c>
      <c r="E696" s="6" t="n">
        <v>195</v>
      </c>
      <c r="F696" s="4" t="n">
        <v>0</v>
      </c>
      <c r="G696" s="1" t="inlineStr">
        <is>
          <t>active</t>
        </is>
      </c>
      <c r="H696" s="1" t="inlineStr">
        <is>
          <t>YA TIENE COSTO EN SHOPIFY ($114.23, heredado hoy)</t>
        </is>
      </c>
    </row>
    <row r="697">
      <c r="A697" s="1" t="inlineStr">
        <is>
          <t>643ec105ab07e</t>
        </is>
      </c>
      <c r="B697" s="1" t="inlineStr">
        <is>
          <t>ANILLO BV DELGADO ROSEGOLD-BLACK</t>
        </is>
      </c>
      <c r="C697" s="1" t="n">
        <v>9</v>
      </c>
      <c r="D697" s="1" t="inlineStr">
        <is>
          <t>ANA FU</t>
        </is>
      </c>
      <c r="E697" s="6" t="n">
        <v>195</v>
      </c>
      <c r="F697" s="4" t="n">
        <v>0</v>
      </c>
      <c r="G697" s="1" t="inlineStr">
        <is>
          <t>active</t>
        </is>
      </c>
      <c r="H697" s="1" t="inlineStr">
        <is>
          <t>YA TIENE COSTO EN SHOPIFY ($114.24, heredado hoy)</t>
        </is>
      </c>
    </row>
    <row r="698">
      <c r="A698" s="1" t="inlineStr">
        <is>
          <t>63e0b1e748da0</t>
        </is>
      </c>
      <c r="B698" s="1" t="inlineStr">
        <is>
          <t>ANILLO BV ROSE GOLD DELGADO</t>
        </is>
      </c>
      <c r="C698" s="1" t="n">
        <v>10</v>
      </c>
      <c r="D698" s="1" t="inlineStr">
        <is>
          <t>COCOMA</t>
        </is>
      </c>
      <c r="E698" s="6" t="n">
        <v>678</v>
      </c>
      <c r="F698" s="4" t="n">
        <v>0</v>
      </c>
      <c r="G698" s="1" t="inlineStr">
        <is>
          <t>active</t>
        </is>
      </c>
      <c r="H698" s="1" t="inlineStr">
        <is>
          <t>YA TIENE COSTO EN SHOPIFY ($157.80, heredado hoy)</t>
        </is>
      </c>
    </row>
    <row r="699">
      <c r="A699" s="1" t="inlineStr">
        <is>
          <t>63e0b1e847a91</t>
        </is>
      </c>
      <c r="B699" s="1" t="inlineStr">
        <is>
          <t>ANILLO BV ROSE GOLD DELGADO</t>
        </is>
      </c>
      <c r="C699" s="1" t="n">
        <v>11</v>
      </c>
      <c r="D699" s="1" t="inlineStr">
        <is>
          <t>COCOMA</t>
        </is>
      </c>
      <c r="E699" s="6" t="n">
        <v>678</v>
      </c>
      <c r="F699" s="4" t="n">
        <v>0</v>
      </c>
      <c r="G699" s="1" t="inlineStr">
        <is>
          <t>active</t>
        </is>
      </c>
      <c r="H699" s="1" t="inlineStr">
        <is>
          <t>YA TIENE COSTO EN SHOPIFY ($157.80, heredado hoy)</t>
        </is>
      </c>
    </row>
    <row r="700">
      <c r="A700" s="1" t="inlineStr">
        <is>
          <t>63e0b1e9323d0</t>
        </is>
      </c>
      <c r="B700" s="1" t="inlineStr">
        <is>
          <t>ANILLO BV ROSE GOLD DELGADO</t>
        </is>
      </c>
      <c r="C700" s="1" t="n">
        <v>12</v>
      </c>
      <c r="D700" s="1" t="inlineStr">
        <is>
          <t>COCOMA</t>
        </is>
      </c>
      <c r="E700" s="6" t="n">
        <v>678</v>
      </c>
      <c r="F700" s="4" t="n">
        <v>0</v>
      </c>
      <c r="G700" s="1" t="inlineStr">
        <is>
          <t>active</t>
        </is>
      </c>
      <c r="H700" s="1" t="inlineStr">
        <is>
          <t>YA TIENE COSTO EN SHOPIFY ($157.80, heredado hoy)</t>
        </is>
      </c>
    </row>
    <row r="701">
      <c r="A701" s="1" t="inlineStr">
        <is>
          <t>15947548564492</t>
        </is>
      </c>
      <c r="B701" s="1" t="inlineStr">
        <is>
          <t>ANILLO BV GOLD DELGADO</t>
        </is>
      </c>
      <c r="C701" s="1" t="inlineStr">
        <is>
          <t>5 HIGH QUALITY</t>
        </is>
      </c>
      <c r="D701" s="1" t="inlineStr">
        <is>
          <t>COCOMA</t>
        </is>
      </c>
      <c r="E701" s="6" t="n">
        <v>678</v>
      </c>
      <c r="F701" s="4" t="n">
        <v>0</v>
      </c>
      <c r="G701" s="1" t="inlineStr">
        <is>
          <t>active</t>
        </is>
      </c>
      <c r="H701" s="1" t="inlineStr">
        <is>
          <t>YA TIENE COSTO EN SHOPIFY ($157.80, heredado hoy)</t>
        </is>
      </c>
    </row>
    <row r="702">
      <c r="A702" s="1" t="inlineStr">
        <is>
          <t>63ebd3e94b2ed</t>
        </is>
      </c>
      <c r="B702" s="1" t="inlineStr">
        <is>
          <t>ANILLO BV SILVER ZIRCONIA</t>
        </is>
      </c>
      <c r="C702" s="1" t="n">
        <v>5</v>
      </c>
      <c r="D702" s="1" t="inlineStr">
        <is>
          <t>ANA FU</t>
        </is>
      </c>
      <c r="E702" s="6" t="n">
        <v>550</v>
      </c>
      <c r="F702" s="4" t="n">
        <v>0</v>
      </c>
      <c r="G702" s="1" t="inlineStr">
        <is>
          <t>active</t>
        </is>
      </c>
      <c r="H702" s="1" t="inlineStr">
        <is>
          <t>Falta el costo de compra (no está en ninguna tabla de precios)</t>
        </is>
      </c>
    </row>
    <row r="703">
      <c r="A703" s="1" t="inlineStr">
        <is>
          <t>63ebd3ea2b208</t>
        </is>
      </c>
      <c r="B703" s="1" t="inlineStr">
        <is>
          <t>ANILLO BV SILVER ZIRCONIA</t>
        </is>
      </c>
      <c r="C703" s="1" t="n">
        <v>6</v>
      </c>
      <c r="D703" s="1" t="inlineStr">
        <is>
          <t>ANA FU</t>
        </is>
      </c>
      <c r="E703" s="6" t="n">
        <v>550</v>
      </c>
      <c r="F703" s="4" t="n">
        <v>0</v>
      </c>
      <c r="G703" s="1" t="inlineStr">
        <is>
          <t>active</t>
        </is>
      </c>
      <c r="H703" s="1" t="inlineStr">
        <is>
          <t>Falta el costo de compra (no está en ninguna tabla de precios)</t>
        </is>
      </c>
    </row>
    <row r="704">
      <c r="A704" s="1" t="inlineStr">
        <is>
          <t>63ebd3eb19348</t>
        </is>
      </c>
      <c r="B704" s="1" t="inlineStr">
        <is>
          <t>ANILLO BV SILVER ZIRCONIA</t>
        </is>
      </c>
      <c r="C704" s="1" t="n">
        <v>7</v>
      </c>
      <c r="D704" s="1" t="inlineStr">
        <is>
          <t>ANA FU</t>
        </is>
      </c>
      <c r="E704" s="6" t="n">
        <v>550</v>
      </c>
      <c r="F704" s="4" t="n">
        <v>0</v>
      </c>
      <c r="G704" s="1" t="inlineStr">
        <is>
          <t>active</t>
        </is>
      </c>
      <c r="H704" s="1" t="inlineStr">
        <is>
          <t>Falta el costo de compra (no está en ninguna tabla de precios)</t>
        </is>
      </c>
    </row>
    <row r="705">
      <c r="A705" s="1" t="inlineStr">
        <is>
          <t>63ebd3ec109fe</t>
        </is>
      </c>
      <c r="B705" s="1" t="inlineStr">
        <is>
          <t>ANILLO BV SILVER ZIRCONIA</t>
        </is>
      </c>
      <c r="C705" s="1" t="n">
        <v>8</v>
      </c>
      <c r="D705" s="1" t="inlineStr">
        <is>
          <t>ANA FU</t>
        </is>
      </c>
      <c r="E705" s="6" t="n">
        <v>400</v>
      </c>
      <c r="F705" s="4" t="n">
        <v>0</v>
      </c>
      <c r="G705" s="1" t="inlineStr">
        <is>
          <t>active</t>
        </is>
      </c>
      <c r="H705" s="1" t="inlineStr">
        <is>
          <t>Falta el costo de compra (no está en ninguna tabla de precios)</t>
        </is>
      </c>
    </row>
    <row r="706">
      <c r="A706" s="1" t="inlineStr">
        <is>
          <t>63ebd3ed36d8c</t>
        </is>
      </c>
      <c r="B706" s="1" t="inlineStr">
        <is>
          <t>ANILLO BV SILVER ZIRCONIA</t>
        </is>
      </c>
      <c r="C706" s="1" t="n">
        <v>9</v>
      </c>
      <c r="D706" s="1" t="inlineStr">
        <is>
          <t>ANA FU</t>
        </is>
      </c>
      <c r="E706" s="6" t="n">
        <v>550</v>
      </c>
      <c r="F706" s="4" t="n">
        <v>0</v>
      </c>
      <c r="G706" s="1" t="inlineStr">
        <is>
          <t>active</t>
        </is>
      </c>
      <c r="H706" s="1" t="inlineStr">
        <is>
          <t>Falta el costo de compra (no está en ninguna tabla de precios)</t>
        </is>
      </c>
    </row>
    <row r="707">
      <c r="A707" s="1" t="inlineStr">
        <is>
          <t>63ebd3ee29e2e</t>
        </is>
      </c>
      <c r="B707" s="1" t="inlineStr">
        <is>
          <t>ANILLO BV SILVER ZIRCONIA</t>
        </is>
      </c>
      <c r="C707" s="1" t="n">
        <v>10</v>
      </c>
      <c r="D707" s="1" t="inlineStr">
        <is>
          <t>ANA FU</t>
        </is>
      </c>
      <c r="E707" s="6" t="n">
        <v>400</v>
      </c>
      <c r="F707" s="4" t="n">
        <v>0</v>
      </c>
      <c r="G707" s="1" t="inlineStr">
        <is>
          <t>active</t>
        </is>
      </c>
      <c r="H707" s="1" t="inlineStr">
        <is>
          <t>Falta el costo de compra (no está en ninguna tabla de precios)</t>
        </is>
      </c>
    </row>
    <row r="708">
      <c r="A708" s="1" t="inlineStr">
        <is>
          <t>63ebd3ef3090b</t>
        </is>
      </c>
      <c r="B708" s="1" t="inlineStr">
        <is>
          <t>ANILLO BV SILVER ZIRCONIA</t>
        </is>
      </c>
      <c r="C708" s="1" t="n">
        <v>11</v>
      </c>
      <c r="D708" s="1" t="inlineStr">
        <is>
          <t>ANA FU</t>
        </is>
      </c>
      <c r="E708" s="6" t="n">
        <v>550</v>
      </c>
      <c r="F708" s="4" t="n">
        <v>0</v>
      </c>
      <c r="G708" s="1" t="inlineStr">
        <is>
          <t>active</t>
        </is>
      </c>
      <c r="H708" s="1" t="inlineStr">
        <is>
          <t>Falta el costo de compra (no está en ninguna tabla de precios)</t>
        </is>
      </c>
    </row>
    <row r="709">
      <c r="A709" s="1" t="inlineStr">
        <is>
          <t>63ebd3e319141</t>
        </is>
      </c>
      <c r="B709" s="1" t="inlineStr">
        <is>
          <t>ANILLO BV ROSE GOLD ZIRCONIA</t>
        </is>
      </c>
      <c r="C709" s="1" t="n">
        <v>5</v>
      </c>
      <c r="D709" s="1" t="inlineStr">
        <is>
          <t>ANA FU</t>
        </is>
      </c>
      <c r="E709" s="6" t="n">
        <v>550</v>
      </c>
      <c r="F709" s="4" t="n">
        <v>0</v>
      </c>
      <c r="G709" s="1" t="inlineStr">
        <is>
          <t>active</t>
        </is>
      </c>
      <c r="H709" s="1" t="inlineStr">
        <is>
          <t>Falta el costo de compra (no está en ninguna tabla de precios)</t>
        </is>
      </c>
    </row>
    <row r="710">
      <c r="A710" s="1" t="inlineStr">
        <is>
          <t>63ebd3e3e0a95</t>
        </is>
      </c>
      <c r="B710" s="1" t="inlineStr">
        <is>
          <t>ANILLO BV ROSE GOLD ZIRCONIA</t>
        </is>
      </c>
      <c r="C710" s="1" t="n">
        <v>6</v>
      </c>
      <c r="D710" s="1" t="inlineStr">
        <is>
          <t>ANA FU</t>
        </is>
      </c>
      <c r="E710" s="6" t="n">
        <v>400</v>
      </c>
      <c r="F710" s="4" t="n">
        <v>0</v>
      </c>
      <c r="G710" s="1" t="inlineStr">
        <is>
          <t>active</t>
        </is>
      </c>
      <c r="H710" s="1" t="inlineStr">
        <is>
          <t>Falta el costo de compra (no está en ninguna tabla de precios)</t>
        </is>
      </c>
    </row>
    <row r="711">
      <c r="A711" s="1" t="inlineStr">
        <is>
          <t>63ebd3e4c9e97</t>
        </is>
      </c>
      <c r="B711" s="1" t="inlineStr">
        <is>
          <t>ANILLO BV ROSE GOLD ZIRCONIA</t>
        </is>
      </c>
      <c r="C711" s="1" t="n">
        <v>7</v>
      </c>
      <c r="D711" s="1" t="inlineStr">
        <is>
          <t>ANA FU</t>
        </is>
      </c>
      <c r="E711" s="6" t="n">
        <v>400</v>
      </c>
      <c r="F711" s="4" t="n">
        <v>0</v>
      </c>
      <c r="G711" s="1" t="inlineStr">
        <is>
          <t>active</t>
        </is>
      </c>
      <c r="H711" s="1" t="inlineStr">
        <is>
          <t>Falta el costo de compra (no está en ninguna tabla de precios)</t>
        </is>
      </c>
    </row>
    <row r="712">
      <c r="A712" s="1" t="inlineStr">
        <is>
          <t>63ebd3e5be173</t>
        </is>
      </c>
      <c r="B712" s="1" t="inlineStr">
        <is>
          <t>ANILLO BV ROSE GOLD ZIRCONIA</t>
        </is>
      </c>
      <c r="C712" s="1" t="n">
        <v>8</v>
      </c>
      <c r="D712" s="1" t="inlineStr">
        <is>
          <t>ANA FU</t>
        </is>
      </c>
      <c r="E712" s="6" t="n">
        <v>550</v>
      </c>
      <c r="F712" s="4" t="n">
        <v>0</v>
      </c>
      <c r="G712" s="1" t="inlineStr">
        <is>
          <t>active</t>
        </is>
      </c>
      <c r="H712" s="1" t="inlineStr">
        <is>
          <t>Falta el costo de compra (no está en ninguna tabla de precios)</t>
        </is>
      </c>
    </row>
    <row r="713">
      <c r="A713" s="1" t="inlineStr">
        <is>
          <t>63ebd3e6c19c7</t>
        </is>
      </c>
      <c r="B713" s="1" t="inlineStr">
        <is>
          <t>ANILLO BV ROSE GOLD ZIRCONIA</t>
        </is>
      </c>
      <c r="C713" s="1" t="n">
        <v>9</v>
      </c>
      <c r="D713" s="1" t="inlineStr">
        <is>
          <t>ANA FU</t>
        </is>
      </c>
      <c r="E713" s="6" t="n">
        <v>400</v>
      </c>
      <c r="F713" s="4" t="n">
        <v>0</v>
      </c>
      <c r="G713" s="1" t="inlineStr">
        <is>
          <t>active</t>
        </is>
      </c>
      <c r="H713" s="1" t="inlineStr">
        <is>
          <t>Falta el costo de compra (no está en ninguna tabla de precios)</t>
        </is>
      </c>
    </row>
    <row r="714">
      <c r="A714" s="1" t="inlineStr">
        <is>
          <t>63ebd3e7a4245</t>
        </is>
      </c>
      <c r="B714" s="1" t="inlineStr">
        <is>
          <t>ANILLO BV ROSE GOLD ZIRCONIA</t>
        </is>
      </c>
      <c r="C714" s="1" t="n">
        <v>10</v>
      </c>
      <c r="D714" s="1" t="inlineStr">
        <is>
          <t>ANA FU</t>
        </is>
      </c>
      <c r="E714" s="6" t="n">
        <v>550</v>
      </c>
      <c r="F714" s="4" t="n">
        <v>0</v>
      </c>
      <c r="G714" s="1" t="inlineStr">
        <is>
          <t>active</t>
        </is>
      </c>
      <c r="H714" s="1" t="inlineStr">
        <is>
          <t>Falta el costo de compra (no está en ninguna tabla de precios)</t>
        </is>
      </c>
    </row>
    <row r="715">
      <c r="A715" s="1" t="inlineStr">
        <is>
          <t>63e0b1f6e98db</t>
        </is>
      </c>
      <c r="B715" s="1" t="inlineStr">
        <is>
          <t>ANILLO BV SILVER</t>
        </is>
      </c>
      <c r="C715" s="1" t="n">
        <v>5</v>
      </c>
      <c r="D715" s="1" t="inlineStr">
        <is>
          <t>COCOMA</t>
        </is>
      </c>
      <c r="E715" s="6" t="n">
        <v>520</v>
      </c>
      <c r="F715" s="4" t="n">
        <v>0</v>
      </c>
      <c r="G715" s="1" t="inlineStr">
        <is>
          <t>active</t>
        </is>
      </c>
      <c r="H715" s="1" t="inlineStr">
        <is>
          <t>YA TIENE COSTO EN SHOPIFY ($81.20, heredado hoy)</t>
        </is>
      </c>
    </row>
    <row r="716">
      <c r="A716" s="1" t="inlineStr">
        <is>
          <t>17933276176012</t>
        </is>
      </c>
      <c r="B716" s="1" t="inlineStr">
        <is>
          <t>ANILLO BV ROSE GOLD</t>
        </is>
      </c>
      <c r="C716" s="1" t="inlineStr">
        <is>
          <t>6 outlet</t>
        </is>
      </c>
      <c r="D716" s="1" t="inlineStr">
        <is>
          <t>COCOMA</t>
        </is>
      </c>
      <c r="E716" s="6" t="n">
        <v>210</v>
      </c>
      <c r="F716" s="4" t="n">
        <v>0</v>
      </c>
      <c r="G716" s="1" t="inlineStr">
        <is>
          <t>active</t>
        </is>
      </c>
      <c r="H716" s="1" t="inlineStr">
        <is>
          <t>YA TIENE COSTO EN SHOPIFY ($103.91, heredado hoy)</t>
        </is>
      </c>
    </row>
    <row r="717">
      <c r="A717" s="1" t="inlineStr">
        <is>
          <t>11915828541099</t>
        </is>
      </c>
      <c r="B717" s="1" t="inlineStr">
        <is>
          <t>GORRA B GRAY</t>
        </is>
      </c>
      <c r="C717" s="1" t="inlineStr">
        <is>
          <t>HIGH QUALITY, AJUSTABLE</t>
        </is>
      </c>
      <c r="D717" s="1" t="inlineStr">
        <is>
          <t>ZOEY</t>
        </is>
      </c>
      <c r="E717" s="6" t="n">
        <v>1234</v>
      </c>
      <c r="F717" s="4" t="n">
        <v>0</v>
      </c>
      <c r="G717" s="1" t="inlineStr">
        <is>
          <t>active</t>
        </is>
      </c>
      <c r="H717" s="1" t="inlineStr">
        <is>
          <t>YA TIENE COSTO EN SHOPIFY ($561.67, heredado hoy)</t>
        </is>
      </c>
    </row>
    <row r="718">
      <c r="A718" s="1" t="inlineStr">
        <is>
          <t>11915826415147</t>
        </is>
      </c>
      <c r="B718" s="1" t="inlineStr">
        <is>
          <t>BOLSO DE VIAJE G BOWLING 55 BLACK</t>
        </is>
      </c>
      <c r="C718" s="1" t="inlineStr">
        <is>
          <t>50cm</t>
        </is>
      </c>
      <c r="D718" s="1" t="inlineStr">
        <is>
          <t>CYNTHIA CAO</t>
        </is>
      </c>
      <c r="E718" s="6" t="n">
        <v>4760</v>
      </c>
      <c r="F718" s="4" t="n">
        <v>0</v>
      </c>
      <c r="G718" s="1" t="inlineStr">
        <is>
          <t>active</t>
        </is>
      </c>
      <c r="H718" s="1" t="inlineStr">
        <is>
          <t>YA TIENE COSTO EN SHOPIFY ($1560.67, heredado hoy)</t>
        </is>
      </c>
    </row>
    <row r="719">
      <c r="A719" s="1" t="inlineStr">
        <is>
          <t>84774141004781</t>
        </is>
      </c>
      <c r="B719" s="1" t="inlineStr">
        <is>
          <t>CAJA DE REGALO LOUIS VUITTON</t>
        </is>
      </c>
      <c r="C719" s="1" t="inlineStr">
        <is>
          <t>Default Title</t>
        </is>
      </c>
      <c r="D719" s="1" t="inlineStr">
        <is>
          <t>JEWELRY REMATE MX</t>
        </is>
      </c>
      <c r="E719" s="6" t="n">
        <v>149.99</v>
      </c>
      <c r="F719" s="4" t="n">
        <v>-1</v>
      </c>
      <c r="G719" s="1" t="inlineStr">
        <is>
          <t>active</t>
        </is>
      </c>
      <c r="H719" s="1" t="inlineStr">
        <is>
          <t>Falta el costo de compra (no está en ninguna tabla de precios)</t>
        </is>
      </c>
    </row>
    <row r="720">
      <c r="A720" s="1" t="inlineStr">
        <is>
          <t>43124056981644</t>
        </is>
      </c>
      <c r="B720" s="1" t="inlineStr">
        <is>
          <t>Sin nombre 11jul_09:26</t>
        </is>
      </c>
      <c r="C720" s="1" t="inlineStr">
        <is>
          <t>Default Title</t>
        </is>
      </c>
      <c r="D720" s="1" t="inlineStr">
        <is>
          <t>Old Money Mexico</t>
        </is>
      </c>
      <c r="E720" s="6" t="n">
        <v>0</v>
      </c>
      <c r="F720" s="4" t="n">
        <v>0</v>
      </c>
      <c r="G720" s="1" t="inlineStr">
        <is>
          <t>archived</t>
        </is>
      </c>
      <c r="H720" s="1" t="inlineStr">
        <is>
          <t>Falta el costo de compra (no está en ninguna tabla de precios)</t>
        </is>
      </c>
    </row>
    <row r="721">
      <c r="A721" s="1" t="inlineStr">
        <is>
          <t>63e0c5fa6a450</t>
        </is>
      </c>
      <c r="B721" s="1" t="inlineStr">
        <is>
          <t>PULSERA TRÉBOL GOLD-GREEN LV</t>
        </is>
      </c>
      <c r="C721" s="1" t="inlineStr">
        <is>
          <t>16cm</t>
        </is>
      </c>
      <c r="D721" s="1" t="inlineStr">
        <is>
          <t>JEWERLY REMATE</t>
        </is>
      </c>
      <c r="E721" s="6" t="n">
        <v>350</v>
      </c>
      <c r="F721" s="4" t="n">
        <v>0</v>
      </c>
      <c r="G721" s="1" t="inlineStr">
        <is>
          <t>archived</t>
        </is>
      </c>
      <c r="H721" s="1" t="inlineStr">
        <is>
          <t>YA TIENE COSTO EN SHOPIFY ($453.20, heredado hoy)</t>
        </is>
      </c>
    </row>
    <row r="722">
      <c r="A722" s="1" t="inlineStr">
        <is>
          <t>64e78f8d782ca</t>
        </is>
      </c>
      <c r="B722" s="1" t="inlineStr">
        <is>
          <t>BOLSA CH WHITE ESTAMPADA</t>
        </is>
      </c>
      <c r="C722" s="1" t="inlineStr">
        <is>
          <t>25cmx15.5cm</t>
        </is>
      </c>
      <c r="D722" s="1" t="inlineStr">
        <is>
          <t>JEWERLY REMATE</t>
        </is>
      </c>
      <c r="E722" s="6" t="n">
        <v>699</v>
      </c>
      <c r="F722" s="4" t="n">
        <v>0</v>
      </c>
      <c r="G722" s="1" t="inlineStr">
        <is>
          <t>archived</t>
        </is>
      </c>
      <c r="H722" s="1" t="inlineStr">
        <is>
          <t>Falta el costo de compra (no está en ninguna tabla de precios)</t>
        </is>
      </c>
    </row>
    <row r="723">
      <c r="A723" s="1" t="inlineStr">
        <is>
          <t>43728082510220</t>
        </is>
      </c>
      <c r="B723" s="1" t="inlineStr">
        <is>
          <t>CAJA DE REGALO JEWELRY</t>
        </is>
      </c>
      <c r="C723" s="1" t="inlineStr">
        <is>
          <t>Default Title</t>
        </is>
      </c>
      <c r="D723" s="1" t="inlineStr">
        <is>
          <t>Old Money Mexico</t>
        </is>
      </c>
      <c r="E723" s="6" t="n">
        <v>199</v>
      </c>
      <c r="F723" s="4" t="n">
        <v>57</v>
      </c>
      <c r="G723" s="1" t="inlineStr">
        <is>
          <t>draft</t>
        </is>
      </c>
      <c r="H723" s="1" t="inlineStr">
        <is>
          <t>YA TIENE COSTO EN SHOPIFY ($69.10, heredado hoy)</t>
        </is>
      </c>
    </row>
    <row r="724">
      <c r="A724" s="1" t="inlineStr">
        <is>
          <t>39252671608301</t>
        </is>
      </c>
      <c r="B724" s="1" t="inlineStr">
        <is>
          <t>GORRA A BLACK</t>
        </is>
      </c>
      <c r="C724" s="1" t="inlineStr">
        <is>
          <t>Default Title</t>
        </is>
      </c>
      <c r="D724" s="1" t="inlineStr">
        <is>
          <t>CYNTHIA CAO</t>
        </is>
      </c>
      <c r="E724" s="6" t="n">
        <v>0</v>
      </c>
      <c r="F724" s="4" t="n">
        <v>4</v>
      </c>
      <c r="G724" s="1" t="inlineStr">
        <is>
          <t>draft</t>
        </is>
      </c>
      <c r="H724" s="1" t="inlineStr">
        <is>
          <t>Falta el costo de compra (no está en ninguna tabla de precios)</t>
        </is>
      </c>
    </row>
    <row r="725">
      <c r="A725" s="1" t="inlineStr">
        <is>
          <t>45785971058477</t>
        </is>
      </c>
      <c r="B725" s="1" t="inlineStr">
        <is>
          <t>ANILLO BV GOLD MEDIUM</t>
        </is>
      </c>
      <c r="C725" s="1" t="inlineStr">
        <is>
          <t>5 HIGH QUALITY</t>
        </is>
      </c>
      <c r="D725" s="1" t="inlineStr">
        <is>
          <t>COCOMA</t>
        </is>
      </c>
      <c r="E725" s="6" t="n">
        <v>689</v>
      </c>
      <c r="F725" s="4" t="n">
        <v>3</v>
      </c>
      <c r="G725" s="1" t="inlineStr">
        <is>
          <t>draft</t>
        </is>
      </c>
      <c r="H725" s="1" t="inlineStr">
        <is>
          <t>YA TIENE COSTO EN SHOPIFY ($157.80, heredado hoy)</t>
        </is>
      </c>
    </row>
    <row r="726">
      <c r="A726" s="1" t="inlineStr">
        <is>
          <t>29734171082029</t>
        </is>
      </c>
      <c r="B726" s="1" t="inlineStr">
        <is>
          <t>PULSERA V GOLD CON ZIRCONIA</t>
        </is>
      </c>
      <c r="C726" s="1" t="inlineStr">
        <is>
          <t>18CM</t>
        </is>
      </c>
      <c r="D726" s="1" t="inlineStr">
        <is>
          <t>JEWELRY REMATE MX</t>
        </is>
      </c>
      <c r="E726" s="6" t="n">
        <v>0</v>
      </c>
      <c r="F726" s="4" t="n">
        <v>3</v>
      </c>
      <c r="G726" s="1" t="inlineStr">
        <is>
          <t>draft</t>
        </is>
      </c>
      <c r="H726" s="1" t="inlineStr">
        <is>
          <t>YA TIENE COSTO EN SHOPIFY ($143.43, heredado hoy)</t>
        </is>
      </c>
    </row>
    <row r="727">
      <c r="A727" s="1" t="inlineStr">
        <is>
          <t>99832491089869</t>
        </is>
      </c>
      <c r="B727" s="1" t="inlineStr">
        <is>
          <t>BOLSA DE REGALO DIOR</t>
        </is>
      </c>
      <c r="C727" s="1" t="inlineStr">
        <is>
          <t>Default Title</t>
        </is>
      </c>
      <c r="D727" s="1" t="inlineStr">
        <is>
          <t>ZOEY</t>
        </is>
      </c>
      <c r="E727" s="6" t="n">
        <v>100</v>
      </c>
      <c r="F727" s="4" t="n">
        <v>3</v>
      </c>
      <c r="G727" s="1" t="inlineStr">
        <is>
          <t>draft</t>
        </is>
      </c>
      <c r="H727" s="1" t="inlineStr">
        <is>
          <t>Falta el costo de compra (no está en ninguna tabla de precios)</t>
        </is>
      </c>
    </row>
    <row r="728">
      <c r="A728" s="1" t="inlineStr">
        <is>
          <t>96256401072365</t>
        </is>
      </c>
      <c r="B728" s="1" t="inlineStr">
        <is>
          <t>ANILLO TRINITY TRES AROS</t>
        </is>
      </c>
      <c r="C728" s="1" t="n">
        <v>6</v>
      </c>
      <c r="D728" s="1" t="inlineStr">
        <is>
          <t>HAIFENG</t>
        </is>
      </c>
      <c r="E728" s="6" t="n">
        <v>499</v>
      </c>
      <c r="F728" s="4" t="n">
        <v>2</v>
      </c>
      <c r="G728" s="1" t="inlineStr">
        <is>
          <t>draft</t>
        </is>
      </c>
      <c r="H728" s="1" t="inlineStr">
        <is>
          <t>YA TIENE COSTO EN SHOPIFY ($123.60, heredado hoy)</t>
        </is>
      </c>
    </row>
    <row r="729">
      <c r="A729" s="1" t="inlineStr">
        <is>
          <t>89246881932205</t>
        </is>
      </c>
      <c r="B729" s="1" t="inlineStr">
        <is>
          <t>COLLAR CD GOLD CON ZIRCONIAS</t>
        </is>
      </c>
      <c r="C729" s="1" t="inlineStr">
        <is>
          <t>Default Title</t>
        </is>
      </c>
      <c r="D729" s="1" t="inlineStr">
        <is>
          <t>HAIFENG</t>
        </is>
      </c>
      <c r="E729" s="6" t="n">
        <v>850</v>
      </c>
      <c r="F729" s="4" t="n">
        <v>2</v>
      </c>
      <c r="G729" s="1" t="inlineStr">
        <is>
          <t>draft</t>
        </is>
      </c>
      <c r="H729" s="1" t="inlineStr">
        <is>
          <t>YA TIENE COSTO EN SHOPIFY ($206.00, heredado hoy)</t>
        </is>
      </c>
    </row>
    <row r="730">
      <c r="A730" s="1" t="inlineStr">
        <is>
          <t>72558001018829</t>
        </is>
      </c>
      <c r="B730" s="1" t="inlineStr">
        <is>
          <t>ARETES LOVE CON MICRO ZIRCONIAS SILVER C</t>
        </is>
      </c>
      <c r="C730" s="1" t="inlineStr">
        <is>
          <t>Default Title</t>
        </is>
      </c>
      <c r="D730" s="1" t="inlineStr">
        <is>
          <t>HAIFENG</t>
        </is>
      </c>
      <c r="E730" s="6" t="n">
        <v>0</v>
      </c>
      <c r="F730" s="4" t="n">
        <v>1</v>
      </c>
      <c r="G730" s="1" t="inlineStr">
        <is>
          <t>draft</t>
        </is>
      </c>
      <c r="H730" s="1" t="inlineStr">
        <is>
          <t>Falta el costo de compra (no está en ninguna tabla de precios)</t>
        </is>
      </c>
    </row>
    <row r="731">
      <c r="A731" s="1" t="inlineStr">
        <is>
          <t>71078753000237</t>
        </is>
      </c>
      <c r="B731" s="1" t="inlineStr">
        <is>
          <t>COLLAR SERPENTI CON ZIRCONIA</t>
        </is>
      </c>
      <c r="C731" s="1" t="inlineStr">
        <is>
          <t>Default Title</t>
        </is>
      </c>
      <c r="D731" s="1" t="inlineStr">
        <is>
          <t>HAIFENG</t>
        </is>
      </c>
      <c r="E731" s="6" t="n">
        <v>0</v>
      </c>
      <c r="F731" s="4" t="n">
        <v>1</v>
      </c>
      <c r="G731" s="1" t="inlineStr">
        <is>
          <t>draft</t>
        </is>
      </c>
      <c r="H731" s="1" t="inlineStr">
        <is>
          <t>YA TIENE COSTO EN SHOPIFY ($659.20, heredado hoy)</t>
        </is>
      </c>
    </row>
    <row r="732">
      <c r="A732" s="1" t="inlineStr">
        <is>
          <t>36196401953709</t>
        </is>
      </c>
      <c r="B732" s="1" t="inlineStr">
        <is>
          <t>PULSERA LV EMPPREINTE SILVER</t>
        </is>
      </c>
      <c r="C732" s="1" t="inlineStr">
        <is>
          <t>Default Title</t>
        </is>
      </c>
      <c r="D732" s="1" t="inlineStr">
        <is>
          <t>HAIFENG</t>
        </is>
      </c>
      <c r="E732" s="6" t="n">
        <v>0</v>
      </c>
      <c r="F732" s="4" t="n">
        <v>0</v>
      </c>
      <c r="G732" s="1" t="inlineStr">
        <is>
          <t>draft</t>
        </is>
      </c>
      <c r="H732" s="1" t="inlineStr">
        <is>
          <t>Falta el costo de compra (no está en ninguna tabla de precios)</t>
        </is>
      </c>
    </row>
    <row r="733">
      <c r="A733" s="1" t="inlineStr">
        <is>
          <t>36196401893261</t>
        </is>
      </c>
      <c r="B733" s="1" t="inlineStr">
        <is>
          <t>ARETES CD DISCO SILVER</t>
        </is>
      </c>
      <c r="C733" s="1" t="inlineStr">
        <is>
          <t>Default Title</t>
        </is>
      </c>
      <c r="D733" s="1" t="inlineStr">
        <is>
          <t>HAIFENG</t>
        </is>
      </c>
      <c r="E733" s="6" t="n">
        <v>0</v>
      </c>
      <c r="F733" s="4" t="n">
        <v>0</v>
      </c>
      <c r="G733" s="1" t="inlineStr">
        <is>
          <t>draft</t>
        </is>
      </c>
      <c r="H733" s="1" t="inlineStr">
        <is>
          <t>Falta el costo de compra (no está en ninguna tabla de precios)</t>
        </is>
      </c>
    </row>
    <row r="734">
      <c r="A734" s="1" t="inlineStr">
        <is>
          <t>36196401703437</t>
        </is>
      </c>
      <c r="B734" s="1" t="inlineStr">
        <is>
          <t>ARETES FR GANCINI GOLD</t>
        </is>
      </c>
      <c r="C734" s="1" t="inlineStr">
        <is>
          <t>Default Title</t>
        </is>
      </c>
      <c r="D734" s="1" t="inlineStr">
        <is>
          <t>HAIFENG</t>
        </is>
      </c>
      <c r="E734" s="6" t="n">
        <v>0</v>
      </c>
      <c r="F734" s="4" t="n">
        <v>0</v>
      </c>
      <c r="G734" s="1" t="inlineStr">
        <is>
          <t>draft</t>
        </is>
      </c>
      <c r="H734" s="1" t="inlineStr">
        <is>
          <t>Falta el costo de compra (no está en ninguna tabla de precios)</t>
        </is>
      </c>
    </row>
    <row r="735">
      <c r="A735" s="1" t="inlineStr">
        <is>
          <t>36196401649773</t>
        </is>
      </c>
      <c r="B735" s="1" t="inlineStr">
        <is>
          <t>ARETES F FOREVER GOLD ZIRCONIAS</t>
        </is>
      </c>
      <c r="C735" s="1" t="inlineStr">
        <is>
          <t>Default Title</t>
        </is>
      </c>
      <c r="D735" s="1" t="inlineStr">
        <is>
          <t>HAIFENG</t>
        </is>
      </c>
      <c r="E735" s="6" t="n">
        <v>0</v>
      </c>
      <c r="F735" s="4" t="n">
        <v>0</v>
      </c>
      <c r="G735" s="1" t="inlineStr">
        <is>
          <t>draft</t>
        </is>
      </c>
      <c r="H735" s="1" t="inlineStr">
        <is>
          <t>Falta el costo de compra (no está en ninguna tabla de precios)</t>
        </is>
      </c>
    </row>
    <row r="736">
      <c r="A736" s="1" t="inlineStr">
        <is>
          <t>36196401522093</t>
        </is>
      </c>
      <c r="B736" s="1" t="inlineStr">
        <is>
          <t>ARETES F FOREVER WHITE</t>
        </is>
      </c>
      <c r="C736" s="1" t="inlineStr">
        <is>
          <t>Default Title</t>
        </is>
      </c>
      <c r="D736" s="1" t="inlineStr">
        <is>
          <t>HAIFENG</t>
        </is>
      </c>
      <c r="E736" s="6" t="n">
        <v>0</v>
      </c>
      <c r="F736" s="4" t="n">
        <v>0</v>
      </c>
      <c r="G736" s="1" t="inlineStr">
        <is>
          <t>draft</t>
        </is>
      </c>
      <c r="H736" s="1" t="inlineStr">
        <is>
          <t>Falta el costo de compra (no está en ninguna tabla de precios)</t>
        </is>
      </c>
    </row>
    <row r="737">
      <c r="A737" s="1" t="inlineStr">
        <is>
          <t>36196401494413</t>
        </is>
      </c>
      <c r="B737" s="1" t="inlineStr">
        <is>
          <t>ARRACADAS F DOBLE COLOR</t>
        </is>
      </c>
      <c r="C737" s="1" t="inlineStr">
        <is>
          <t>Default Title</t>
        </is>
      </c>
      <c r="D737" s="1" t="inlineStr">
        <is>
          <t>HAIFENG</t>
        </is>
      </c>
      <c r="E737" s="6" t="n">
        <v>0</v>
      </c>
      <c r="F737" s="4" t="n">
        <v>0</v>
      </c>
      <c r="G737" s="1" t="inlineStr">
        <is>
          <t>draft</t>
        </is>
      </c>
      <c r="H737" s="1" t="inlineStr">
        <is>
          <t>Falta el costo de compra (no está en ninguna tabla de precios)</t>
        </is>
      </c>
    </row>
    <row r="738">
      <c r="A738" s="1" t="inlineStr">
        <is>
          <t>36196401265037</t>
        </is>
      </c>
      <c r="B738" s="1" t="inlineStr">
        <is>
          <t>ARETES F CUFF GRAPHY BLACK</t>
        </is>
      </c>
      <c r="C738" s="1" t="inlineStr">
        <is>
          <t>Default Title</t>
        </is>
      </c>
      <c r="D738" s="1" t="inlineStr">
        <is>
          <t>HAIFENG</t>
        </is>
      </c>
      <c r="E738" s="6" t="n">
        <v>0</v>
      </c>
      <c r="F738" s="4" t="n">
        <v>0</v>
      </c>
      <c r="G738" s="1" t="inlineStr">
        <is>
          <t>draft</t>
        </is>
      </c>
      <c r="H738" s="1" t="inlineStr">
        <is>
          <t>Falta el costo de compra (no está en ninguna tabla de precios)</t>
        </is>
      </c>
    </row>
    <row r="739">
      <c r="A739" s="1" t="inlineStr">
        <is>
          <t>36196401342445</t>
        </is>
      </c>
      <c r="B739" s="1" t="inlineStr">
        <is>
          <t>ARETES F GRAPHY BLACK</t>
        </is>
      </c>
      <c r="C739" s="1" t="inlineStr">
        <is>
          <t>Default Title</t>
        </is>
      </c>
      <c r="D739" s="1" t="inlineStr">
        <is>
          <t>HAIFENG</t>
        </is>
      </c>
      <c r="E739" s="6" t="n">
        <v>0</v>
      </c>
      <c r="F739" s="4" t="n">
        <v>0</v>
      </c>
      <c r="G739" s="1" t="inlineStr">
        <is>
          <t>draft</t>
        </is>
      </c>
      <c r="H739" s="1" t="inlineStr">
        <is>
          <t>Falta el costo de compra (no está en ninguna tabla de precios)</t>
        </is>
      </c>
    </row>
    <row r="740">
      <c r="A740" s="1" t="inlineStr">
        <is>
          <t>36196401187693</t>
        </is>
      </c>
      <c r="B740" s="1" t="inlineStr">
        <is>
          <t>ANILLO VF MARIPOSA BICOLOR DARK BLUE</t>
        </is>
      </c>
      <c r="C740" s="1" t="inlineStr">
        <is>
          <t>Default Title</t>
        </is>
      </c>
      <c r="D740" s="1" t="inlineStr">
        <is>
          <t>HAIFENG</t>
        </is>
      </c>
      <c r="E740" s="6" t="n">
        <v>0</v>
      </c>
      <c r="F740" s="4" t="n">
        <v>0</v>
      </c>
      <c r="G740" s="1" t="inlineStr">
        <is>
          <t>draft</t>
        </is>
      </c>
      <c r="H740" s="1" t="inlineStr">
        <is>
          <t>Falta el costo de compra (no está en ninguna tabla de precios)</t>
        </is>
      </c>
    </row>
    <row r="741">
      <c r="A741" s="1" t="inlineStr">
        <is>
          <t>36196401011437</t>
        </is>
      </c>
      <c r="B741" s="1" t="inlineStr">
        <is>
          <t>PULSERA VF TREBOL BICOLOR SILVER BLACK</t>
        </is>
      </c>
      <c r="C741" s="1" t="inlineStr">
        <is>
          <t>Default Title</t>
        </is>
      </c>
      <c r="D741" s="1" t="inlineStr">
        <is>
          <t>HAIFENG</t>
        </is>
      </c>
      <c r="E741" s="6" t="n">
        <v>0</v>
      </c>
      <c r="F741" s="4" t="n">
        <v>0</v>
      </c>
      <c r="G741" s="1" t="inlineStr">
        <is>
          <t>draft</t>
        </is>
      </c>
      <c r="H741" s="1" t="inlineStr">
        <is>
          <t>Falta el costo de compra (no está en ninguna tabla de precios)</t>
        </is>
      </c>
    </row>
    <row r="742">
      <c r="A742" s="1" t="inlineStr">
        <is>
          <t>28619774052685</t>
        </is>
      </c>
      <c r="B742" s="1" t="inlineStr">
        <is>
          <t>PULSERA VF TREBOL GOLD BLUE</t>
        </is>
      </c>
      <c r="C742" s="1" t="inlineStr">
        <is>
          <t>Default Title</t>
        </is>
      </c>
      <c r="D742" s="1" t="inlineStr">
        <is>
          <t>HAIFENG</t>
        </is>
      </c>
      <c r="E742" s="6" t="n">
        <v>0</v>
      </c>
      <c r="F742" s="4" t="n">
        <v>0</v>
      </c>
      <c r="G742" s="1" t="inlineStr">
        <is>
          <t>draft</t>
        </is>
      </c>
      <c r="H742" s="1" t="inlineStr">
        <is>
          <t>Falta el costo de compra (no está en ninguna tabla de precios)</t>
        </is>
      </c>
    </row>
    <row r="743">
      <c r="A743" s="1" t="inlineStr">
        <is>
          <t>28619773999021</t>
        </is>
      </c>
      <c r="B743" s="1" t="inlineStr">
        <is>
          <t>ARETES VF COLGANTE DOBLE GOLD WHITE</t>
        </is>
      </c>
      <c r="C743" s="1" t="inlineStr">
        <is>
          <t>Default Title</t>
        </is>
      </c>
      <c r="D743" s="1" t="inlineStr">
        <is>
          <t>HAIFENG</t>
        </is>
      </c>
      <c r="E743" s="6" t="n">
        <v>0</v>
      </c>
      <c r="F743" s="4" t="n">
        <v>0</v>
      </c>
      <c r="G743" s="1" t="inlineStr">
        <is>
          <t>draft</t>
        </is>
      </c>
      <c r="H743" s="1" t="inlineStr">
        <is>
          <t>Falta el costo de compra (no está en ninguna tabla de precios)</t>
        </is>
      </c>
    </row>
    <row r="744">
      <c r="A744" s="1" t="inlineStr">
        <is>
          <t>28619773838573</t>
        </is>
      </c>
      <c r="B744" s="1" t="inlineStr">
        <is>
          <t>ARETES VF COLGANTE DOBLE SILVER BLACK</t>
        </is>
      </c>
      <c r="C744" s="1" t="inlineStr">
        <is>
          <t>Default Title</t>
        </is>
      </c>
      <c r="D744" s="1" t="inlineStr">
        <is>
          <t>HAIFENG</t>
        </is>
      </c>
      <c r="E744" s="6" t="n">
        <v>0</v>
      </c>
      <c r="F744" s="4" t="n">
        <v>0</v>
      </c>
      <c r="G744" s="1" t="inlineStr">
        <is>
          <t>draft</t>
        </is>
      </c>
      <c r="H744" s="1" t="inlineStr">
        <is>
          <t>Falta el costo de compra (no está en ninguna tabla de precios)</t>
        </is>
      </c>
    </row>
    <row r="745">
      <c r="A745" s="1" t="inlineStr">
        <is>
          <t>28619773770797</t>
        </is>
      </c>
      <c r="B745" s="1" t="inlineStr">
        <is>
          <t>ARETES VF MARIPOSA BICOLOR SILVER GOLD</t>
        </is>
      </c>
      <c r="C745" s="1" t="inlineStr">
        <is>
          <t>Default Title</t>
        </is>
      </c>
      <c r="D745" s="1" t="inlineStr">
        <is>
          <t>HAIFENG</t>
        </is>
      </c>
      <c r="E745" s="6" t="n">
        <v>0</v>
      </c>
      <c r="F745" s="4" t="n">
        <v>0</v>
      </c>
      <c r="G745" s="1" t="inlineStr">
        <is>
          <t>draft</t>
        </is>
      </c>
      <c r="H745" s="1" t="inlineStr">
        <is>
          <t>Falta el costo de compra (no está en ninguna tabla de precios)</t>
        </is>
      </c>
    </row>
    <row r="746">
      <c r="A746" s="1" t="inlineStr">
        <is>
          <t>28619773609805</t>
        </is>
      </c>
      <c r="B746" s="1" t="inlineStr">
        <is>
          <t>ARETES VF MARIPOSA BICOLOR DARK BLUE</t>
        </is>
      </c>
      <c r="C746" s="1" t="inlineStr">
        <is>
          <t>Default Title</t>
        </is>
      </c>
      <c r="D746" s="1" t="inlineStr">
        <is>
          <t>HAIFENG</t>
        </is>
      </c>
      <c r="E746" s="6" t="n">
        <v>0</v>
      </c>
      <c r="F746" s="4" t="n">
        <v>0</v>
      </c>
      <c r="G746" s="1" t="inlineStr">
        <is>
          <t>draft</t>
        </is>
      </c>
      <c r="H746" s="1" t="inlineStr">
        <is>
          <t>Falta el costo de compra (no está en ninguna tabla de precios)</t>
        </is>
      </c>
    </row>
    <row r="747">
      <c r="A747" s="1" t="inlineStr">
        <is>
          <t>28619773554445</t>
        </is>
      </c>
      <c r="B747" s="1" t="inlineStr">
        <is>
          <t>ANILLO PIAG SILVER ONE ZIRCONIA</t>
        </is>
      </c>
      <c r="C747" s="1" t="inlineStr">
        <is>
          <t>Default Title</t>
        </is>
      </c>
      <c r="D747" s="1" t="inlineStr">
        <is>
          <t>HAIFENG</t>
        </is>
      </c>
      <c r="E747" s="6" t="n">
        <v>0</v>
      </c>
      <c r="F747" s="4" t="n">
        <v>0</v>
      </c>
      <c r="G747" s="1" t="inlineStr">
        <is>
          <t>draft</t>
        </is>
      </c>
      <c r="H747" s="1" t="inlineStr">
        <is>
          <t>Falta el costo de compra (no está en ninguna tabla de precios)</t>
        </is>
      </c>
    </row>
    <row r="748">
      <c r="A748" s="1" t="inlineStr">
        <is>
          <t>28619773376493</t>
        </is>
      </c>
      <c r="B748" s="1" t="inlineStr">
        <is>
          <t>ARETES CHOP PENDANT HEART ICON SILVER</t>
        </is>
      </c>
      <c r="C748" s="1" t="inlineStr">
        <is>
          <t>Default Title</t>
        </is>
      </c>
      <c r="D748" s="1" t="inlineStr">
        <is>
          <t>HAIFENG</t>
        </is>
      </c>
      <c r="E748" s="6" t="n">
        <v>0</v>
      </c>
      <c r="F748" s="4" t="n">
        <v>0</v>
      </c>
      <c r="G748" s="1" t="inlineStr">
        <is>
          <t>draft</t>
        </is>
      </c>
      <c r="H748" s="1" t="inlineStr">
        <is>
          <t>Falta el costo de compra (no está en ninguna tabla de precios)</t>
        </is>
      </c>
    </row>
    <row r="749">
      <c r="A749" s="1" t="inlineStr">
        <is>
          <t>28619773483277</t>
        </is>
      </c>
      <c r="B749" s="1" t="inlineStr">
        <is>
          <t>BRAZALETE CHOP HAPPY DIAMONDS ICONS</t>
        </is>
      </c>
      <c r="C749" s="1" t="inlineStr">
        <is>
          <t>Default Title</t>
        </is>
      </c>
      <c r="D749" s="1" t="inlineStr">
        <is>
          <t>HAIFENG</t>
        </is>
      </c>
      <c r="E749" s="6" t="n">
        <v>0</v>
      </c>
      <c r="F749" s="4" t="n">
        <v>0</v>
      </c>
      <c r="G749" s="1" t="inlineStr">
        <is>
          <t>draft</t>
        </is>
      </c>
      <c r="H749" s="1" t="inlineStr">
        <is>
          <t>Falta el costo de compra (no está en ninguna tabla de precios)</t>
        </is>
      </c>
    </row>
    <row r="750">
      <c r="A750" s="1" t="inlineStr">
        <is>
          <t>28619772891757</t>
        </is>
      </c>
      <c r="B750" s="1" t="inlineStr">
        <is>
          <t>COLLAR CHOP HAPPY DIAMONDS HEART</t>
        </is>
      </c>
      <c r="C750" s="1" t="inlineStr">
        <is>
          <t>Default Title</t>
        </is>
      </c>
      <c r="D750" s="1" t="inlineStr">
        <is>
          <t>HAIFENG</t>
        </is>
      </c>
      <c r="E750" s="6" t="n">
        <v>0</v>
      </c>
      <c r="F750" s="4" t="n">
        <v>0</v>
      </c>
      <c r="G750" s="1" t="inlineStr">
        <is>
          <t>draft</t>
        </is>
      </c>
      <c r="H750" s="1" t="inlineStr">
        <is>
          <t>Falta el costo de compra (no está en ninguna tabla de precios)</t>
        </is>
      </c>
    </row>
    <row r="751">
      <c r="A751" s="1" t="inlineStr">
        <is>
          <t>28619773233005</t>
        </is>
      </c>
      <c r="B751" s="1" t="inlineStr">
        <is>
          <t>ARETES CHOP PENDANT HEART</t>
        </is>
      </c>
      <c r="C751" s="1" t="inlineStr">
        <is>
          <t>Default Title</t>
        </is>
      </c>
      <c r="D751" s="1" t="inlineStr">
        <is>
          <t>HAIFENG</t>
        </is>
      </c>
      <c r="E751" s="6" t="n">
        <v>0</v>
      </c>
      <c r="F751" s="4" t="n">
        <v>0</v>
      </c>
      <c r="G751" s="1" t="inlineStr">
        <is>
          <t>draft</t>
        </is>
      </c>
      <c r="H751" s="1" t="inlineStr">
        <is>
          <t>Falta el costo de compra (no está en ninguna tabla de precios)</t>
        </is>
      </c>
    </row>
    <row r="752">
      <c r="A752" s="1" t="inlineStr">
        <is>
          <t>28619773038093</t>
        </is>
      </c>
      <c r="B752" s="1" t="inlineStr">
        <is>
          <t>ANILLO CHOP HAPPY HEARTS</t>
        </is>
      </c>
      <c r="C752" s="1" t="n">
        <v>6</v>
      </c>
      <c r="D752" s="1" t="inlineStr">
        <is>
          <t>HAIFENG</t>
        </is>
      </c>
      <c r="E752" s="6" t="n">
        <v>0</v>
      </c>
      <c r="F752" s="4" t="n">
        <v>0</v>
      </c>
      <c r="G752" s="1" t="inlineStr">
        <is>
          <t>draft</t>
        </is>
      </c>
      <c r="H752" s="1" t="inlineStr">
        <is>
          <t>Falta el costo de compra (no está en ninguna tabla de precios)</t>
        </is>
      </c>
    </row>
    <row r="753">
      <c r="A753" s="1" t="inlineStr">
        <is>
          <t>28619773170861</t>
        </is>
      </c>
      <c r="B753" s="1" t="inlineStr">
        <is>
          <t>ANILLO CHOP HAPPY HEARTS</t>
        </is>
      </c>
      <c r="C753" s="1" t="n">
        <v>7</v>
      </c>
      <c r="D753" s="1" t="inlineStr">
        <is>
          <t>HAIFENG</t>
        </is>
      </c>
      <c r="E753" s="6" t="n">
        <v>0</v>
      </c>
      <c r="F753" s="4" t="n">
        <v>0</v>
      </c>
      <c r="G753" s="1" t="inlineStr">
        <is>
          <t>draft</t>
        </is>
      </c>
      <c r="H753" s="1" t="inlineStr">
        <is>
          <t>Falta el costo de compra (no está en ninguna tabla de precios)</t>
        </is>
      </c>
    </row>
    <row r="754">
      <c r="A754" s="1" t="inlineStr">
        <is>
          <t>28619772951661</t>
        </is>
      </c>
      <c r="B754" s="1" t="inlineStr">
        <is>
          <t>COLLAR CHOP PENDANT HEART</t>
        </is>
      </c>
      <c r="C754" s="1" t="inlineStr">
        <is>
          <t>Default Title</t>
        </is>
      </c>
      <c r="D754" s="1" t="inlineStr">
        <is>
          <t>HAIFENG</t>
        </is>
      </c>
      <c r="E754" s="6" t="n">
        <v>0</v>
      </c>
      <c r="F754" s="4" t="n">
        <v>0</v>
      </c>
      <c r="G754" s="1" t="inlineStr">
        <is>
          <t>draft</t>
        </is>
      </c>
      <c r="H754" s="1" t="inlineStr">
        <is>
          <t>Falta el costo de compra (no está en ninguna tabla de precios)</t>
        </is>
      </c>
    </row>
    <row r="755">
      <c r="A755" s="1" t="inlineStr">
        <is>
          <t>28619772760141</t>
        </is>
      </c>
      <c r="B755" s="1" t="inlineStr">
        <is>
          <t>COLLAR CHOP DIAMOND</t>
        </is>
      </c>
      <c r="C755" s="1" t="inlineStr">
        <is>
          <t>Default Title</t>
        </is>
      </c>
      <c r="D755" s="1" t="inlineStr">
        <is>
          <t>HAIFENG</t>
        </is>
      </c>
      <c r="E755" s="6" t="n">
        <v>0</v>
      </c>
      <c r="F755" s="4" t="n">
        <v>0</v>
      </c>
      <c r="G755" s="1" t="inlineStr">
        <is>
          <t>draft</t>
        </is>
      </c>
      <c r="H755" s="1" t="inlineStr">
        <is>
          <t>Falta el costo de compra (no está en ninguna tabla de precios)</t>
        </is>
      </c>
    </row>
    <row r="756">
      <c r="A756" s="1" t="inlineStr">
        <is>
          <t>28619772570317</t>
        </is>
      </c>
      <c r="B756" s="1" t="inlineStr">
        <is>
          <t>ANILLO CHOP DI LUSSO GOLD</t>
        </is>
      </c>
      <c r="C756" s="1" t="n">
        <v>6</v>
      </c>
      <c r="D756" s="1" t="inlineStr">
        <is>
          <t>HAIFENG</t>
        </is>
      </c>
      <c r="E756" s="6" t="n">
        <v>0</v>
      </c>
      <c r="F756" s="4" t="n">
        <v>0</v>
      </c>
      <c r="G756" s="1" t="inlineStr">
        <is>
          <t>draft</t>
        </is>
      </c>
      <c r="H756" s="1" t="inlineStr">
        <is>
          <t>Falta el costo de compra (no está en ninguna tabla de precios)</t>
        </is>
      </c>
    </row>
    <row r="757">
      <c r="A757" s="1" t="inlineStr">
        <is>
          <t>28619772603085</t>
        </is>
      </c>
      <c r="B757" s="1" t="inlineStr">
        <is>
          <t>ANILLO CHOP DI LUSSO GOLD</t>
        </is>
      </c>
      <c r="C757" s="1" t="n">
        <v>7</v>
      </c>
      <c r="D757" s="1" t="inlineStr">
        <is>
          <t>HAIFENG</t>
        </is>
      </c>
      <c r="E757" s="6" t="n">
        <v>0</v>
      </c>
      <c r="F757" s="4" t="n">
        <v>0</v>
      </c>
      <c r="G757" s="1" t="inlineStr">
        <is>
          <t>draft</t>
        </is>
      </c>
      <c r="H757" s="1" t="inlineStr">
        <is>
          <t>Falta el costo de compra (no está en ninguna tabla de precios)</t>
        </is>
      </c>
    </row>
    <row r="758">
      <c r="A758" s="1" t="inlineStr">
        <is>
          <t>28619772382189</t>
        </is>
      </c>
      <c r="B758" s="1" t="inlineStr">
        <is>
          <t>ANILLO CHOP DI LUSSO SILVER</t>
        </is>
      </c>
      <c r="C758" s="1" t="n">
        <v>6</v>
      </c>
      <c r="D758" s="1" t="inlineStr">
        <is>
          <t>HAIFENG</t>
        </is>
      </c>
      <c r="E758" s="6" t="n">
        <v>0</v>
      </c>
      <c r="F758" s="4" t="n">
        <v>0</v>
      </c>
      <c r="G758" s="1" t="inlineStr">
        <is>
          <t>draft</t>
        </is>
      </c>
      <c r="H758" s="1" t="inlineStr">
        <is>
          <t>Falta el costo de compra (no está en ninguna tabla de precios)</t>
        </is>
      </c>
    </row>
    <row r="759">
      <c r="A759" s="1" t="inlineStr">
        <is>
          <t>28619772414957</t>
        </is>
      </c>
      <c r="B759" s="1" t="inlineStr">
        <is>
          <t>ANILLO CHOP DI LUSSO SILVER</t>
        </is>
      </c>
      <c r="C759" s="1" t="n">
        <v>7</v>
      </c>
      <c r="D759" s="1" t="inlineStr">
        <is>
          <t>HAIFENG</t>
        </is>
      </c>
      <c r="E759" s="6" t="n">
        <v>0</v>
      </c>
      <c r="F759" s="4" t="n">
        <v>0</v>
      </c>
      <c r="G759" s="1" t="inlineStr">
        <is>
          <t>draft</t>
        </is>
      </c>
      <c r="H759" s="1" t="inlineStr">
        <is>
          <t>Falta el costo de compra (no está en ninguna tabla de precios)</t>
        </is>
      </c>
    </row>
    <row r="760">
      <c r="A760" s="1" t="inlineStr">
        <is>
          <t>28619772292365</t>
        </is>
      </c>
      <c r="B760" s="1" t="inlineStr">
        <is>
          <t>PULSERA CHOP ICE CUB</t>
        </is>
      </c>
      <c r="C760" s="1" t="inlineStr">
        <is>
          <t>Default Title</t>
        </is>
      </c>
      <c r="D760" s="1" t="inlineStr">
        <is>
          <t>HAIFENG</t>
        </is>
      </c>
      <c r="E760" s="6" t="n">
        <v>0</v>
      </c>
      <c r="F760" s="4" t="n">
        <v>0</v>
      </c>
      <c r="G760" s="1" t="inlineStr">
        <is>
          <t>draft</t>
        </is>
      </c>
      <c r="H760" s="1" t="inlineStr">
        <is>
          <t>Falta el costo de compra (no está en ninguna tabla de precios)</t>
        </is>
      </c>
    </row>
    <row r="761">
      <c r="A761" s="1" t="inlineStr">
        <is>
          <t>28619772097453</t>
        </is>
      </c>
      <c r="B761" s="1" t="inlineStr">
        <is>
          <t>ANILLO CHOP ICE CUB</t>
        </is>
      </c>
      <c r="C761" s="1" t="n">
        <v>6</v>
      </c>
      <c r="D761" s="1" t="inlineStr">
        <is>
          <t>HAIFENG</t>
        </is>
      </c>
      <c r="E761" s="6" t="n">
        <v>0</v>
      </c>
      <c r="F761" s="4" t="n">
        <v>0</v>
      </c>
      <c r="G761" s="1" t="inlineStr">
        <is>
          <t>draft</t>
        </is>
      </c>
      <c r="H761" s="1" t="inlineStr">
        <is>
          <t>Falta el costo de compra (no está en ninguna tabla de precios)</t>
        </is>
      </c>
    </row>
    <row r="762">
      <c r="A762" s="1" t="inlineStr">
        <is>
          <t>28619772130221</t>
        </is>
      </c>
      <c r="B762" s="1" t="inlineStr">
        <is>
          <t>ANILLO CHOP ICE CUB</t>
        </is>
      </c>
      <c r="C762" s="1" t="n">
        <v>7</v>
      </c>
      <c r="D762" s="1" t="inlineStr">
        <is>
          <t>HAIFENG</t>
        </is>
      </c>
      <c r="E762" s="6" t="n">
        <v>0</v>
      </c>
      <c r="F762" s="4" t="n">
        <v>0</v>
      </c>
      <c r="G762" s="1" t="inlineStr">
        <is>
          <t>draft</t>
        </is>
      </c>
      <c r="H762" s="1" t="inlineStr">
        <is>
          <t>Falta el costo de compra (no está en ninguna tabla de precios)</t>
        </is>
      </c>
    </row>
    <row r="763">
      <c r="A763" s="1" t="inlineStr">
        <is>
          <t>28619771974861</t>
        </is>
      </c>
      <c r="B763" s="1" t="inlineStr">
        <is>
          <t>PULSERA CHOP SILVER HAPPY HEART</t>
        </is>
      </c>
      <c r="C763" s="1" t="inlineStr">
        <is>
          <t>Default Title</t>
        </is>
      </c>
      <c r="D763" s="1" t="inlineStr">
        <is>
          <t>HAIFENG</t>
        </is>
      </c>
      <c r="E763" s="6" t="n">
        <v>0</v>
      </c>
      <c r="F763" s="4" t="n">
        <v>0</v>
      </c>
      <c r="G763" s="1" t="inlineStr">
        <is>
          <t>draft</t>
        </is>
      </c>
      <c r="H763" s="1" t="inlineStr">
        <is>
          <t>Falta el costo de compra (no está en ninguna tabla de precios)</t>
        </is>
      </c>
    </row>
    <row r="764">
      <c r="A764" s="1" t="inlineStr">
        <is>
          <t>28619771783341</t>
        </is>
      </c>
      <c r="B764" s="1" t="inlineStr">
        <is>
          <t>ANILLO CHAUM JEUX</t>
        </is>
      </c>
      <c r="C764" s="1" t="n">
        <v>6</v>
      </c>
      <c r="D764" s="1" t="inlineStr">
        <is>
          <t>HAIFENG</t>
        </is>
      </c>
      <c r="E764" s="6" t="n">
        <v>0</v>
      </c>
      <c r="F764" s="4" t="n">
        <v>0</v>
      </c>
      <c r="G764" s="1" t="inlineStr">
        <is>
          <t>draft</t>
        </is>
      </c>
      <c r="H764" s="1" t="inlineStr">
        <is>
          <t>Falta el costo de compra (no está en ninguna tabla de precios)</t>
        </is>
      </c>
    </row>
    <row r="765">
      <c r="A765" s="1" t="inlineStr">
        <is>
          <t>28619771816109</t>
        </is>
      </c>
      <c r="B765" s="1" t="inlineStr">
        <is>
          <t>ANILLO CHAUM JEUX</t>
        </is>
      </c>
      <c r="C765" s="1" t="n">
        <v>7</v>
      </c>
      <c r="D765" s="1" t="inlineStr">
        <is>
          <t>HAIFENG</t>
        </is>
      </c>
      <c r="E765" s="6" t="n">
        <v>0</v>
      </c>
      <c r="F765" s="4" t="n">
        <v>0</v>
      </c>
      <c r="G765" s="1" t="inlineStr">
        <is>
          <t>draft</t>
        </is>
      </c>
      <c r="H765" s="1" t="inlineStr">
        <is>
          <t>Falta el costo de compra (no está en ninguna tabla de precios)</t>
        </is>
      </c>
    </row>
    <row r="766">
      <c r="A766" s="1" t="inlineStr">
        <is>
          <t>28619771695821</t>
        </is>
      </c>
      <c r="B766" s="1" t="inlineStr">
        <is>
          <t>ARETES CHAUM JOSEPHINE</t>
        </is>
      </c>
      <c r="C766" s="1" t="inlineStr">
        <is>
          <t>Default Title</t>
        </is>
      </c>
      <c r="D766" s="1" t="inlineStr">
        <is>
          <t>HAIFENG</t>
        </is>
      </c>
      <c r="E766" s="6" t="n">
        <v>0</v>
      </c>
      <c r="F766" s="4" t="n">
        <v>0</v>
      </c>
      <c r="G766" s="1" t="inlineStr">
        <is>
          <t>draft</t>
        </is>
      </c>
      <c r="H766" s="1" t="inlineStr">
        <is>
          <t>Falta el costo de compra (no está en ninguna tabla de precios)</t>
        </is>
      </c>
    </row>
    <row r="767">
      <c r="A767" s="1" t="inlineStr">
        <is>
          <t>28619771502605</t>
        </is>
      </c>
      <c r="B767" s="1" t="inlineStr">
        <is>
          <t>ARETES CHAUM 0.25 SILVER</t>
        </is>
      </c>
      <c r="C767" s="1" t="inlineStr">
        <is>
          <t>Default Title</t>
        </is>
      </c>
      <c r="D767" s="1" t="inlineStr">
        <is>
          <t>HAIFENG</t>
        </is>
      </c>
      <c r="E767" s="6" t="n">
        <v>0</v>
      </c>
      <c r="F767" s="4" t="n">
        <v>0</v>
      </c>
      <c r="G767" s="1" t="inlineStr">
        <is>
          <t>draft</t>
        </is>
      </c>
      <c r="H767" s="1" t="inlineStr">
        <is>
          <t>Falta el costo de compra (no está en ninguna tabla de precios)</t>
        </is>
      </c>
    </row>
    <row r="768">
      <c r="A768" s="1" t="inlineStr">
        <is>
          <t>28619771442157</t>
        </is>
      </c>
      <c r="B768" s="1" t="inlineStr">
        <is>
          <t>ARETES CHAUM HOOP</t>
        </is>
      </c>
      <c r="C768" s="1" t="inlineStr">
        <is>
          <t>Default Title</t>
        </is>
      </c>
      <c r="D768" s="1" t="inlineStr">
        <is>
          <t>HAIFENG</t>
        </is>
      </c>
      <c r="E768" s="6" t="n">
        <v>0</v>
      </c>
      <c r="F768" s="4" t="n">
        <v>0</v>
      </c>
      <c r="G768" s="1" t="inlineStr">
        <is>
          <t>draft</t>
        </is>
      </c>
      <c r="H768" s="1" t="inlineStr">
        <is>
          <t>Falta el costo de compra (no está en ninguna tabla de precios)</t>
        </is>
      </c>
    </row>
    <row r="769">
      <c r="A769" s="1" t="inlineStr">
        <is>
          <t>28619771354029</t>
        </is>
      </c>
      <c r="B769" s="1" t="inlineStr">
        <is>
          <t>PULSERA DE TELA CHAUM BEE DARK BLUE</t>
        </is>
      </c>
      <c r="C769" s="1" t="inlineStr">
        <is>
          <t>Default Title</t>
        </is>
      </c>
      <c r="D769" s="1" t="inlineStr">
        <is>
          <t>HAIFENG</t>
        </is>
      </c>
      <c r="E769" s="6" t="n">
        <v>0</v>
      </c>
      <c r="F769" s="4" t="n">
        <v>0</v>
      </c>
      <c r="G769" s="1" t="inlineStr">
        <is>
          <t>draft</t>
        </is>
      </c>
      <c r="H769" s="1" t="inlineStr">
        <is>
          <t>Falta el costo de compra (no está en ninguna tabla de precios)</t>
        </is>
      </c>
    </row>
    <row r="770">
      <c r="A770" s="1" t="inlineStr">
        <is>
          <t>28619771116429</t>
        </is>
      </c>
      <c r="B770" s="1" t="inlineStr">
        <is>
          <t>ANILLO CHAUM AIGRETTE SILVER</t>
        </is>
      </c>
      <c r="C770" s="1" t="n">
        <v>6</v>
      </c>
      <c r="D770" s="1" t="inlineStr">
        <is>
          <t>HAIFENG</t>
        </is>
      </c>
      <c r="E770" s="6" t="n">
        <v>0</v>
      </c>
      <c r="F770" s="4" t="n">
        <v>0</v>
      </c>
      <c r="G770" s="1" t="inlineStr">
        <is>
          <t>draft</t>
        </is>
      </c>
      <c r="H770" s="1" t="inlineStr">
        <is>
          <t>Falta el costo de compra (no está en ninguna tabla de precios)</t>
        </is>
      </c>
    </row>
    <row r="771">
      <c r="A771" s="1" t="inlineStr">
        <is>
          <t>28619771249197</t>
        </is>
      </c>
      <c r="B771" s="1" t="inlineStr">
        <is>
          <t>ANILLO CHAUM AIGRETTE SILVER</t>
        </is>
      </c>
      <c r="C771" s="1" t="n">
        <v>7</v>
      </c>
      <c r="D771" s="1" t="inlineStr">
        <is>
          <t>HAIFENG</t>
        </is>
      </c>
      <c r="E771" s="6" t="n">
        <v>0</v>
      </c>
      <c r="F771" s="4" t="n">
        <v>0</v>
      </c>
      <c r="G771" s="1" t="inlineStr">
        <is>
          <t>draft</t>
        </is>
      </c>
      <c r="H771" s="1" t="inlineStr">
        <is>
          <t>Falta el costo de compra (no está en ninguna tabla de precios)</t>
        </is>
      </c>
    </row>
    <row r="772">
      <c r="A772" s="1" t="inlineStr">
        <is>
          <t>28619771028301</t>
        </is>
      </c>
      <c r="B772" s="1" t="inlineStr">
        <is>
          <t>COLLAR CHAUM BEE SILVER</t>
        </is>
      </c>
      <c r="C772" s="1" t="inlineStr">
        <is>
          <t>Default Title</t>
        </is>
      </c>
      <c r="D772" s="1" t="inlineStr">
        <is>
          <t>HAIFENG</t>
        </is>
      </c>
      <c r="E772" s="6" t="n">
        <v>0</v>
      </c>
      <c r="F772" s="4" t="n">
        <v>0</v>
      </c>
      <c r="G772" s="1" t="inlineStr">
        <is>
          <t>draft</t>
        </is>
      </c>
      <c r="H772" s="1" t="inlineStr">
        <is>
          <t>Falta el costo de compra (no está en ninguna tabla de precios)</t>
        </is>
      </c>
    </row>
    <row r="773">
      <c r="A773" s="1" t="inlineStr">
        <is>
          <t>18307642698573</t>
        </is>
      </c>
      <c r="B773" s="1" t="inlineStr">
        <is>
          <t>BOLSO YSL CROSSBODY KATE SILVER</t>
        </is>
      </c>
      <c r="C773" s="1" t="inlineStr">
        <is>
          <t>Default Title</t>
        </is>
      </c>
      <c r="D773" s="1" t="inlineStr">
        <is>
          <t>ZOEY</t>
        </is>
      </c>
      <c r="E773" s="6" t="n">
        <v>0</v>
      </c>
      <c r="F773" s="4" t="n">
        <v>0</v>
      </c>
      <c r="G773" s="1" t="inlineStr">
        <is>
          <t>draft</t>
        </is>
      </c>
      <c r="H773" s="1" t="inlineStr">
        <is>
          <t>Falta el costo de compra (no está en ninguna tabla de precios)</t>
        </is>
      </c>
    </row>
    <row r="774">
      <c r="A774" s="1" t="inlineStr">
        <is>
          <t>18307642567501</t>
        </is>
      </c>
      <c r="B774" s="1" t="inlineStr">
        <is>
          <t>BOLSO YSL BLACK MONOGRAMA</t>
        </is>
      </c>
      <c r="C774" s="1" t="inlineStr">
        <is>
          <t>Default Title</t>
        </is>
      </c>
      <c r="D774" s="1" t="inlineStr">
        <is>
          <t>ZOEY</t>
        </is>
      </c>
      <c r="E774" s="6" t="n">
        <v>0</v>
      </c>
      <c r="F774" s="4" t="n">
        <v>0</v>
      </c>
      <c r="G774" s="1" t="inlineStr">
        <is>
          <t>draft</t>
        </is>
      </c>
      <c r="H774" s="1" t="inlineStr">
        <is>
          <t>Falta el costo de compra (no está en ninguna tabla de precios)</t>
        </is>
      </c>
    </row>
    <row r="775">
      <c r="A775" s="1" t="inlineStr">
        <is>
          <t>18307642469197</t>
        </is>
      </c>
      <c r="B775" s="1" t="inlineStr">
        <is>
          <t>BOLSO CC 19 WALLET CHAIN</t>
        </is>
      </c>
      <c r="C775" s="1" t="inlineStr">
        <is>
          <t>Default Title</t>
        </is>
      </c>
      <c r="D775" s="1" t="inlineStr">
        <is>
          <t>ZOEY</t>
        </is>
      </c>
      <c r="E775" s="6" t="n">
        <v>0</v>
      </c>
      <c r="F775" s="4" t="n">
        <v>0</v>
      </c>
      <c r="G775" s="1" t="inlineStr">
        <is>
          <t>draft</t>
        </is>
      </c>
      <c r="H775" s="1" t="inlineStr">
        <is>
          <t>Falta el costo de compra (no está en ninguna tabla de precios)</t>
        </is>
      </c>
    </row>
    <row r="776">
      <c r="A776" s="1" t="inlineStr">
        <is>
          <t>18307642336429</t>
        </is>
      </c>
      <c r="B776" s="1" t="inlineStr">
        <is>
          <t>BOLSO CD BOW GOLDEN</t>
        </is>
      </c>
      <c r="C776" s="1" t="inlineStr">
        <is>
          <t>Default Title</t>
        </is>
      </c>
      <c r="D776" s="1" t="inlineStr">
        <is>
          <t>ZOEY</t>
        </is>
      </c>
      <c r="E776" s="6" t="n">
        <v>0</v>
      </c>
      <c r="F776" s="4" t="n">
        <v>0</v>
      </c>
      <c r="G776" s="1" t="inlineStr">
        <is>
          <t>draft</t>
        </is>
      </c>
      <c r="H776" s="1" t="inlineStr">
        <is>
          <t>Falta el costo de compra (no está en ninguna tabla de precios)</t>
        </is>
      </c>
    </row>
    <row r="777">
      <c r="A777" s="1" t="inlineStr">
        <is>
          <t>18307642212141</t>
        </is>
      </c>
      <c r="B777" s="1" t="inlineStr">
        <is>
          <t>BOLSO YSL GABY VANITY BURGUNDY</t>
        </is>
      </c>
      <c r="C777" s="1" t="inlineStr">
        <is>
          <t>Default Title</t>
        </is>
      </c>
      <c r="D777" s="1" t="inlineStr">
        <is>
          <t>ZOEY</t>
        </is>
      </c>
      <c r="E777" s="6" t="n">
        <v>0</v>
      </c>
      <c r="F777" s="4" t="n">
        <v>0</v>
      </c>
      <c r="G777" s="1" t="inlineStr">
        <is>
          <t>draft</t>
        </is>
      </c>
      <c r="H777" s="1" t="inlineStr">
        <is>
          <t>Falta el costo de compra (no está en ninguna tabla de precios)</t>
        </is>
      </c>
    </row>
    <row r="778">
      <c r="A778" s="1" t="inlineStr">
        <is>
          <t>18307642146605</t>
        </is>
      </c>
      <c r="B778" s="1" t="inlineStr">
        <is>
          <t>BOLSO YSL KATE NUDE</t>
        </is>
      </c>
      <c r="C778" s="1" t="inlineStr">
        <is>
          <t>Default Title</t>
        </is>
      </c>
      <c r="D778" s="1" t="inlineStr">
        <is>
          <t>ZOEY</t>
        </is>
      </c>
      <c r="E778" s="6" t="n">
        <v>0</v>
      </c>
      <c r="F778" s="4" t="n">
        <v>0</v>
      </c>
      <c r="G778" s="1" t="inlineStr">
        <is>
          <t>draft</t>
        </is>
      </c>
      <c r="H778" s="1" t="inlineStr">
        <is>
          <t>Falta el costo de compra (no está en ninguna tabla de precios)</t>
        </is>
      </c>
    </row>
    <row r="779">
      <c r="A779" s="1" t="inlineStr">
        <is>
          <t>18307642081069</t>
        </is>
      </c>
      <c r="B779" s="1" t="inlineStr">
        <is>
          <t>ARETES MM GOLD METAL</t>
        </is>
      </c>
      <c r="C779" s="1" t="inlineStr">
        <is>
          <t>Default Title</t>
        </is>
      </c>
      <c r="D779" s="1" t="inlineStr">
        <is>
          <t>ZOEY</t>
        </is>
      </c>
      <c r="E779" s="6" t="n">
        <v>0</v>
      </c>
      <c r="F779" s="4" t="n">
        <v>0</v>
      </c>
      <c r="G779" s="1" t="inlineStr">
        <is>
          <t>draft</t>
        </is>
      </c>
      <c r="H779" s="1" t="inlineStr">
        <is>
          <t>Falta el costo de compra (no está en ninguna tabla de precios)</t>
        </is>
      </c>
    </row>
    <row r="780">
      <c r="A780" s="1" t="inlineStr">
        <is>
          <t>18307641622317</t>
        </is>
      </c>
      <c r="B780" s="1" t="inlineStr">
        <is>
          <t>ANILLO PIAG SILVER ZIRCONIAS</t>
        </is>
      </c>
      <c r="C780" s="1" t="n">
        <v>6</v>
      </c>
      <c r="D780" s="1" t="inlineStr">
        <is>
          <t>ZOEY</t>
        </is>
      </c>
      <c r="E780" s="6" t="n">
        <v>0</v>
      </c>
      <c r="F780" s="4" t="n">
        <v>0</v>
      </c>
      <c r="G780" s="1" t="inlineStr">
        <is>
          <t>draft</t>
        </is>
      </c>
      <c r="H780" s="1" t="inlineStr">
        <is>
          <t>Falta el costo de compra (no está en ninguna tabla de precios)</t>
        </is>
      </c>
    </row>
    <row r="781">
      <c r="A781" s="1" t="inlineStr">
        <is>
          <t>18307641755085</t>
        </is>
      </c>
      <c r="B781" s="1" t="inlineStr">
        <is>
          <t>ANILLO PIAG SILVER ZIRCONIAS</t>
        </is>
      </c>
      <c r="C781" s="1" t="n">
        <v>7</v>
      </c>
      <c r="D781" s="1" t="inlineStr">
        <is>
          <t>ZOEY</t>
        </is>
      </c>
      <c r="E781" s="6" t="n">
        <v>0</v>
      </c>
      <c r="F781" s="4" t="n">
        <v>0</v>
      </c>
      <c r="G781" s="1" t="inlineStr">
        <is>
          <t>draft</t>
        </is>
      </c>
      <c r="H781" s="1" t="inlineStr">
        <is>
          <t>Falta el costo de compra (no está en ninguna tabla de precios)</t>
        </is>
      </c>
    </row>
    <row r="782">
      <c r="A782" s="1" t="inlineStr">
        <is>
          <t>18307641891245</t>
        </is>
      </c>
      <c r="B782" s="1" t="inlineStr">
        <is>
          <t>ANILLO PIAG GOLD</t>
        </is>
      </c>
      <c r="C782" s="1" t="n">
        <v>6</v>
      </c>
      <c r="D782" s="1" t="inlineStr">
        <is>
          <t>ZOEY</t>
        </is>
      </c>
      <c r="E782" s="6" t="n">
        <v>0</v>
      </c>
      <c r="F782" s="4" t="n">
        <v>0</v>
      </c>
      <c r="G782" s="1" t="inlineStr">
        <is>
          <t>draft</t>
        </is>
      </c>
      <c r="H782" s="1" t="inlineStr">
        <is>
          <t>Falta el costo de compra (no está en ninguna tabla de precios)</t>
        </is>
      </c>
    </row>
    <row r="783">
      <c r="A783" s="1" t="inlineStr">
        <is>
          <t>18307641924013</t>
        </is>
      </c>
      <c r="B783" s="1" t="inlineStr">
        <is>
          <t>ANILLO PIAG GOLD</t>
        </is>
      </c>
      <c r="C783" s="1" t="n">
        <v>7</v>
      </c>
      <c r="D783" s="1" t="inlineStr">
        <is>
          <t>ZOEY</t>
        </is>
      </c>
      <c r="E783" s="6" t="n">
        <v>0</v>
      </c>
      <c r="F783" s="4" t="n">
        <v>0</v>
      </c>
      <c r="G783" s="1" t="inlineStr">
        <is>
          <t>draft</t>
        </is>
      </c>
      <c r="H783" s="1" t="inlineStr">
        <is>
          <t>Falta el costo de compra (no está en ninguna tabla de precios)</t>
        </is>
      </c>
    </row>
    <row r="784">
      <c r="A784" s="1" t="inlineStr">
        <is>
          <t>18307641485613</t>
        </is>
      </c>
      <c r="B784" s="1" t="inlineStr">
        <is>
          <t>ANILLO PIAG SILVER</t>
        </is>
      </c>
      <c r="C784" s="1" t="n">
        <v>6</v>
      </c>
      <c r="D784" s="1" t="inlineStr">
        <is>
          <t>ZOEY</t>
        </is>
      </c>
      <c r="E784" s="6" t="n">
        <v>0</v>
      </c>
      <c r="F784" s="4" t="n">
        <v>0</v>
      </c>
      <c r="G784" s="1" t="inlineStr">
        <is>
          <t>draft</t>
        </is>
      </c>
      <c r="H784" s="1" t="inlineStr">
        <is>
          <t>Falta el costo de compra (no está en ninguna tabla de precios)</t>
        </is>
      </c>
    </row>
    <row r="785">
      <c r="A785" s="1" t="inlineStr">
        <is>
          <t>18307641518381</t>
        </is>
      </c>
      <c r="B785" s="1" t="inlineStr">
        <is>
          <t>ANILLO PIAG SILVER</t>
        </is>
      </c>
      <c r="C785" s="1" t="n">
        <v>7</v>
      </c>
      <c r="D785" s="1" t="inlineStr">
        <is>
          <t>ZOEY</t>
        </is>
      </c>
      <c r="E785" s="6" t="n">
        <v>0</v>
      </c>
      <c r="F785" s="4" t="n">
        <v>0</v>
      </c>
      <c r="G785" s="1" t="inlineStr">
        <is>
          <t>draft</t>
        </is>
      </c>
      <c r="H785" s="1" t="inlineStr">
        <is>
          <t>Falta el costo de compra (no está en ninguna tabla de precios)</t>
        </is>
      </c>
    </row>
    <row r="786">
      <c r="A786" s="1" t="inlineStr">
        <is>
          <t>18307641329293</t>
        </is>
      </c>
      <c r="B786" s="1" t="inlineStr">
        <is>
          <t>ARETES CHOP HAPPY DIAMONDS SILVER</t>
        </is>
      </c>
      <c r="C786" s="1" t="inlineStr">
        <is>
          <t>Default Title</t>
        </is>
      </c>
      <c r="D786" s="1" t="inlineStr">
        <is>
          <t>ZOEY</t>
        </is>
      </c>
      <c r="E786" s="6" t="n">
        <v>0</v>
      </c>
      <c r="F786" s="4" t="n">
        <v>0</v>
      </c>
      <c r="G786" s="1" t="inlineStr">
        <is>
          <t>draft</t>
        </is>
      </c>
      <c r="H786" s="1" t="inlineStr">
        <is>
          <t>Falta el costo de compra (no está en ninguna tabla de precios)</t>
        </is>
      </c>
    </row>
    <row r="787">
      <c r="A787" s="1" t="inlineStr">
        <is>
          <t>18307641230989</t>
        </is>
      </c>
      <c r="B787" s="1" t="inlineStr">
        <is>
          <t>ARETES CHOP HAPPY DIAMONDS GOLD</t>
        </is>
      </c>
      <c r="C787" s="1" t="inlineStr">
        <is>
          <t>Default Title</t>
        </is>
      </c>
      <c r="D787" s="1" t="inlineStr">
        <is>
          <t>ZOEY</t>
        </is>
      </c>
      <c r="E787" s="6" t="n">
        <v>0</v>
      </c>
      <c r="F787" s="4" t="n">
        <v>0</v>
      </c>
      <c r="G787" s="1" t="inlineStr">
        <is>
          <t>draft</t>
        </is>
      </c>
      <c r="H787" s="1" t="inlineStr">
        <is>
          <t>Falta el costo de compra (no está en ninguna tabla de precios)</t>
        </is>
      </c>
    </row>
    <row r="788">
      <c r="A788" s="1" t="inlineStr">
        <is>
          <t>18307641032685</t>
        </is>
      </c>
      <c r="B788" s="1" t="inlineStr">
        <is>
          <t>BLUSA TANK LW ANAGRAM</t>
        </is>
      </c>
      <c r="C788" s="1" t="inlineStr">
        <is>
          <t>S</t>
        </is>
      </c>
      <c r="D788" s="1" t="inlineStr">
        <is>
          <t>ZOEY</t>
        </is>
      </c>
      <c r="E788" s="6" t="n">
        <v>0</v>
      </c>
      <c r="F788" s="4" t="n">
        <v>0</v>
      </c>
      <c r="G788" s="1" t="inlineStr">
        <is>
          <t>draft</t>
        </is>
      </c>
      <c r="H788" s="1" t="inlineStr">
        <is>
          <t>Falta el costo de compra (no está en ninguna tabla de precios)</t>
        </is>
      </c>
    </row>
    <row r="789">
      <c r="A789" s="1" t="inlineStr">
        <is>
          <t>18307641165453</t>
        </is>
      </c>
      <c r="B789" s="1" t="inlineStr">
        <is>
          <t>BLUSA TANK LW ANAGRAM</t>
        </is>
      </c>
      <c r="C789" s="1" t="inlineStr">
        <is>
          <t>M</t>
        </is>
      </c>
      <c r="D789" s="1" t="inlineStr">
        <is>
          <t>ZOEY</t>
        </is>
      </c>
      <c r="E789" s="6" t="n">
        <v>0</v>
      </c>
      <c r="F789" s="4" t="n">
        <v>0</v>
      </c>
      <c r="G789" s="1" t="inlineStr">
        <is>
          <t>draft</t>
        </is>
      </c>
      <c r="H789" s="1" t="inlineStr">
        <is>
          <t>Falta el costo de compra (no está en ninguna tabla de precios)</t>
        </is>
      </c>
    </row>
    <row r="790">
      <c r="A790" s="1" t="inlineStr">
        <is>
          <t>96072001057901</t>
        </is>
      </c>
      <c r="B790" s="1" t="inlineStr">
        <is>
          <t>ARETES F FOREVER SILVER HALF ZIRCONIAS</t>
        </is>
      </c>
      <c r="C790" s="1" t="inlineStr">
        <is>
          <t>Default Title</t>
        </is>
      </c>
      <c r="D790" s="1" t="inlineStr">
        <is>
          <t>NANCY VIP</t>
        </is>
      </c>
      <c r="E790" s="6" t="n">
        <v>0</v>
      </c>
      <c r="F790" s="4" t="n">
        <v>0</v>
      </c>
      <c r="G790" s="1" t="inlineStr">
        <is>
          <t>draft</t>
        </is>
      </c>
      <c r="H790" s="1" t="inlineStr">
        <is>
          <t>Falta el costo de compra (no está en ninguna tabla de precios)</t>
        </is>
      </c>
    </row>
    <row r="791">
      <c r="A791" s="1" t="inlineStr">
        <is>
          <t>60170081006029</t>
        </is>
      </c>
      <c r="B791" s="1" t="inlineStr">
        <is>
          <t>COLLAR DE CUENTAS GOLD</t>
        </is>
      </c>
      <c r="C791" s="1" t="inlineStr">
        <is>
          <t>Default Title</t>
        </is>
      </c>
      <c r="D791" s="1" t="inlineStr">
        <is>
          <t>CYNTHIA CAO</t>
        </is>
      </c>
      <c r="E791" s="6" t="n">
        <v>0</v>
      </c>
      <c r="F791" s="4" t="n">
        <v>0</v>
      </c>
      <c r="G791" s="1" t="inlineStr">
        <is>
          <t>draft</t>
        </is>
      </c>
      <c r="H791" s="1" t="inlineStr">
        <is>
          <t>Falta el costo de compra (no está en ninguna tabla de precios)</t>
        </is>
      </c>
    </row>
    <row r="792">
      <c r="A792" s="1" t="inlineStr">
        <is>
          <t>60170081240493</t>
        </is>
      </c>
      <c r="B792" s="1" t="inlineStr">
        <is>
          <t>PULSERA T ESLABON GOLD</t>
        </is>
      </c>
      <c r="C792" s="1" t="inlineStr">
        <is>
          <t>Default Title</t>
        </is>
      </c>
      <c r="D792" s="1" t="inlineStr">
        <is>
          <t>CYNTHIA CAO</t>
        </is>
      </c>
      <c r="E792" s="6" t="n">
        <v>0</v>
      </c>
      <c r="F792" s="4" t="n">
        <v>0</v>
      </c>
      <c r="G792" s="1" t="inlineStr">
        <is>
          <t>draft</t>
        </is>
      </c>
      <c r="H792" s="1" t="inlineStr">
        <is>
          <t>Falta el costo de compra (no está en ninguna tabla de precios)</t>
        </is>
      </c>
    </row>
    <row r="793">
      <c r="A793" s="1" t="inlineStr">
        <is>
          <t>60170081143885</t>
        </is>
      </c>
      <c r="B793" s="1" t="inlineStr">
        <is>
          <t>PULSERA T ESLABON SILVER</t>
        </is>
      </c>
      <c r="C793" s="1" t="inlineStr">
        <is>
          <t>Default Title</t>
        </is>
      </c>
      <c r="D793" s="1" t="inlineStr">
        <is>
          <t>CYNTHIA CAO</t>
        </is>
      </c>
      <c r="E793" s="6" t="n">
        <v>0</v>
      </c>
      <c r="F793" s="4" t="n">
        <v>0</v>
      </c>
      <c r="G793" s="1" t="inlineStr">
        <is>
          <t>draft</t>
        </is>
      </c>
      <c r="H793" s="1" t="inlineStr">
        <is>
          <t>Falta el costo de compra (no está en ninguna tabla de precios)</t>
        </is>
      </c>
    </row>
    <row r="794">
      <c r="A794" s="1" t="inlineStr">
        <is>
          <t>60170081348973</t>
        </is>
      </c>
      <c r="B794" s="1" t="inlineStr">
        <is>
          <t>COLLAR T COLGANTE ESLABON GOLD</t>
        </is>
      </c>
      <c r="C794" s="1" t="inlineStr">
        <is>
          <t>Default Title</t>
        </is>
      </c>
      <c r="D794" s="1" t="inlineStr">
        <is>
          <t>CYNTHIA CAO</t>
        </is>
      </c>
      <c r="E794" s="6" t="n">
        <v>0</v>
      </c>
      <c r="F794" s="4" t="n">
        <v>0</v>
      </c>
      <c r="G794" s="1" t="inlineStr">
        <is>
          <t>draft</t>
        </is>
      </c>
      <c r="H794" s="1" t="inlineStr">
        <is>
          <t>Falta el costo de compra (no está en ninguna tabla de precios)</t>
        </is>
      </c>
    </row>
    <row r="795">
      <c r="A795" s="1" t="inlineStr">
        <is>
          <t>60170081488525</t>
        </is>
      </c>
      <c r="B795" s="1" t="inlineStr">
        <is>
          <t>COLLAR T COLGANTE ESLABON SILVER</t>
        </is>
      </c>
      <c r="C795" s="1" t="inlineStr">
        <is>
          <t>Default Title</t>
        </is>
      </c>
      <c r="D795" s="1" t="inlineStr">
        <is>
          <t>CYNTHIA CAO</t>
        </is>
      </c>
      <c r="E795" s="6" t="n">
        <v>0</v>
      </c>
      <c r="F795" s="4" t="n">
        <v>0</v>
      </c>
      <c r="G795" s="1" t="inlineStr">
        <is>
          <t>draft</t>
        </is>
      </c>
      <c r="H795" s="1" t="inlineStr">
        <is>
          <t>Falta el costo de compra (no está en ninguna tabla de precios)</t>
        </is>
      </c>
    </row>
    <row r="796">
      <c r="A796" s="1" t="inlineStr">
        <is>
          <t>79974251049133</t>
        </is>
      </c>
      <c r="B796" s="1" t="inlineStr">
        <is>
          <t>ANILLO TRES AROS CON UNA ZIRCONIA</t>
        </is>
      </c>
      <c r="C796" s="1" t="inlineStr">
        <is>
          <t>Default Title</t>
        </is>
      </c>
      <c r="D796" s="1" t="inlineStr">
        <is>
          <t>JEWELRY REMATE MX</t>
        </is>
      </c>
      <c r="E796" s="6" t="n">
        <v>0</v>
      </c>
      <c r="F796" s="4" t="n">
        <v>0</v>
      </c>
      <c r="G796" s="1" t="inlineStr">
        <is>
          <t>draft</t>
        </is>
      </c>
      <c r="H796" s="1" t="inlineStr">
        <is>
          <t>Falta el costo de compra (no está en ninguna tabla de precios)</t>
        </is>
      </c>
    </row>
    <row r="797">
      <c r="A797" s="1" t="inlineStr">
        <is>
          <t>665bd4b7426d6</t>
        </is>
      </c>
      <c r="B797" s="1" t="inlineStr">
        <is>
          <t>ARETES LV LOGO ROUND GOLD (Copia)</t>
        </is>
      </c>
      <c r="C797" s="1" t="inlineStr">
        <is>
          <t>OUTLET</t>
        </is>
      </c>
      <c r="D797" s="1" t="inlineStr">
        <is>
          <t>CYNTHIA CAO</t>
        </is>
      </c>
      <c r="E797" s="6" t="n">
        <v>249.5</v>
      </c>
      <c r="F797" s="4" t="n">
        <v>0</v>
      </c>
      <c r="G797" s="1" t="inlineStr">
        <is>
          <t>draft</t>
        </is>
      </c>
      <c r="H797" s="1" t="inlineStr">
        <is>
          <t>YA TIENE COSTO EN SHOPIFY ($99.99, heredado hoy)</t>
        </is>
      </c>
    </row>
    <row r="798">
      <c r="A798" s="1" t="inlineStr">
        <is>
          <t>43728113598860</t>
        </is>
      </c>
      <c r="B798" s="1" t="inlineStr">
        <is>
          <t>ARETES LV LOGO ROUND GOLD (Copia)</t>
        </is>
      </c>
      <c r="C798" s="1" t="inlineStr">
        <is>
          <t>MIDDLE QUALITY</t>
        </is>
      </c>
      <c r="D798" s="1" t="inlineStr">
        <is>
          <t>CYNTHIA CAO</t>
        </is>
      </c>
      <c r="E798" s="6" t="n">
        <v>499</v>
      </c>
      <c r="F798" s="4" t="n">
        <v>0</v>
      </c>
      <c r="G798" s="1" t="inlineStr">
        <is>
          <t>draft</t>
        </is>
      </c>
      <c r="H798" s="1" t="inlineStr">
        <is>
          <t>YA TIENE COSTO EN SHOPIFY ($79.09, heredado hoy)</t>
        </is>
      </c>
    </row>
    <row r="799">
      <c r="A799" s="1" t="inlineStr">
        <is>
          <t>33644562118125</t>
        </is>
      </c>
      <c r="B799" s="1" t="inlineStr">
        <is>
          <t>SOMBRERO MM ROLL EDGE DENIM</t>
        </is>
      </c>
      <c r="C799" s="1" t="inlineStr">
        <is>
          <t>Default Title</t>
        </is>
      </c>
      <c r="D799" s="1" t="inlineStr">
        <is>
          <t>CYNTHIA CAO</t>
        </is>
      </c>
      <c r="E799" s="6" t="n">
        <v>0</v>
      </c>
      <c r="F799" s="4" t="n">
        <v>0</v>
      </c>
      <c r="G799" s="1" t="inlineStr">
        <is>
          <t>draft</t>
        </is>
      </c>
      <c r="H799" s="1" t="inlineStr">
        <is>
          <t>Falta el costo de compra (no está en ninguna tabla de precios)</t>
        </is>
      </c>
    </row>
    <row r="800">
      <c r="A800" s="1" t="inlineStr">
        <is>
          <t>31696001021837</t>
        </is>
      </c>
      <c r="B800" s="1" t="inlineStr">
        <is>
          <t>ANILLO CD EVOLUTION</t>
        </is>
      </c>
      <c r="C800" s="1" t="n">
        <v>6</v>
      </c>
      <c r="D800" s="1" t="inlineStr">
        <is>
          <t>NANCY VIP</t>
        </is>
      </c>
      <c r="E800" s="6" t="n">
        <v>0</v>
      </c>
      <c r="F800" s="4" t="n">
        <v>0</v>
      </c>
      <c r="G800" s="1" t="inlineStr">
        <is>
          <t>draft</t>
        </is>
      </c>
      <c r="H800" s="1" t="inlineStr">
        <is>
          <t>Falta el costo de compra (no está en ninguna tabla de precios)</t>
        </is>
      </c>
    </row>
    <row r="801">
      <c r="A801" s="1" t="inlineStr">
        <is>
          <t>95510921109101</t>
        </is>
      </c>
      <c r="B801" s="1" t="inlineStr">
        <is>
          <t>PERFUME JEAN PAUL SCANDAL POUR HOMME</t>
        </is>
      </c>
      <c r="C801" s="1" t="inlineStr">
        <is>
          <t>Default Title</t>
        </is>
      </c>
      <c r="D801" s="1" t="inlineStr">
        <is>
          <t>ZOEY</t>
        </is>
      </c>
      <c r="E801" s="6" t="n">
        <v>1500</v>
      </c>
      <c r="F801" s="4" t="n">
        <v>0</v>
      </c>
      <c r="G801" s="1" t="inlineStr">
        <is>
          <t>draft</t>
        </is>
      </c>
      <c r="H801" s="1" t="inlineStr">
        <is>
          <t>Falta el costo de compra (no está en ninguna tabla de precios)</t>
        </is>
      </c>
    </row>
    <row r="802">
      <c r="A802" s="1" t="inlineStr">
        <is>
          <t>95510921350349</t>
        </is>
      </c>
      <c r="B802" s="1" t="inlineStr">
        <is>
          <t>PERFUME JEAN PAUL LA BELLE</t>
        </is>
      </c>
      <c r="C802" s="1" t="inlineStr">
        <is>
          <t>Default Title</t>
        </is>
      </c>
      <c r="D802" s="1" t="inlineStr">
        <is>
          <t>ZOEY</t>
        </is>
      </c>
      <c r="E802" s="6" t="n">
        <v>1500</v>
      </c>
      <c r="F802" s="4" t="n">
        <v>0</v>
      </c>
      <c r="G802" s="1" t="inlineStr">
        <is>
          <t>draft</t>
        </is>
      </c>
      <c r="H802" s="1" t="inlineStr">
        <is>
          <t>Falta el costo de compra (no está en ninguna tabla de precios)</t>
        </is>
      </c>
    </row>
    <row r="803">
      <c r="A803" s="1" t="inlineStr">
        <is>
          <t>95510921636237</t>
        </is>
      </c>
      <c r="B803" s="1" t="inlineStr">
        <is>
          <t>PERFUME V CRYSTAL NOIR</t>
        </is>
      </c>
      <c r="C803" s="1" t="inlineStr">
        <is>
          <t>Default Title</t>
        </is>
      </c>
      <c r="D803" s="1" t="inlineStr">
        <is>
          <t>ZOEY</t>
        </is>
      </c>
      <c r="E803" s="6" t="n">
        <v>1500</v>
      </c>
      <c r="F803" s="4" t="n">
        <v>0</v>
      </c>
      <c r="G803" s="1" t="inlineStr">
        <is>
          <t>draft</t>
        </is>
      </c>
      <c r="H803" s="1" t="inlineStr">
        <is>
          <t>Falta el costo de compra (no está en ninguna tabla de precios)</t>
        </is>
      </c>
    </row>
    <row r="804">
      <c r="A804" s="1" t="inlineStr">
        <is>
          <t>95510921715341</t>
        </is>
      </c>
      <c r="B804" s="1" t="inlineStr">
        <is>
          <t>PERFUME JEAN PAUL SCANDAL</t>
        </is>
      </c>
      <c r="C804" s="1" t="inlineStr">
        <is>
          <t>Default Title</t>
        </is>
      </c>
      <c r="D804" s="1" t="inlineStr">
        <is>
          <t>ZOEY</t>
        </is>
      </c>
      <c r="E804" s="6" t="n">
        <v>1500</v>
      </c>
      <c r="F804" s="4" t="n">
        <v>0</v>
      </c>
      <c r="G804" s="1" t="inlineStr">
        <is>
          <t>draft</t>
        </is>
      </c>
      <c r="H804" s="1" t="inlineStr">
        <is>
          <t>Falta el costo de compra (no está en ninguna tabla de precios)</t>
        </is>
      </c>
    </row>
    <row r="805">
      <c r="A805" s="1" t="inlineStr">
        <is>
          <t>95510921884269</t>
        </is>
      </c>
      <c r="B805" s="1" t="inlineStr">
        <is>
          <t>PERFUME GIORGIO PASSIONE INTENSE</t>
        </is>
      </c>
      <c r="C805" s="1" t="inlineStr">
        <is>
          <t>Default Title</t>
        </is>
      </c>
      <c r="D805" s="1" t="inlineStr">
        <is>
          <t>ZOEY</t>
        </is>
      </c>
      <c r="E805" s="6" t="n">
        <v>1500</v>
      </c>
      <c r="F805" s="4" t="n">
        <v>0</v>
      </c>
      <c r="G805" s="1" t="inlineStr">
        <is>
          <t>draft</t>
        </is>
      </c>
      <c r="H805" s="1" t="inlineStr">
        <is>
          <t>Falta el costo de compra (no está en ninguna tabla de precios)</t>
        </is>
      </c>
    </row>
    <row r="806">
      <c r="A806" s="1" t="inlineStr">
        <is>
          <t>95510921987661</t>
        </is>
      </c>
      <c r="B806" s="1" t="inlineStr">
        <is>
          <t>PERFUME YSL EDP</t>
        </is>
      </c>
      <c r="C806" s="1" t="inlineStr">
        <is>
          <t>Default Title</t>
        </is>
      </c>
      <c r="D806" s="1" t="inlineStr">
        <is>
          <t>ZOEY</t>
        </is>
      </c>
      <c r="E806" s="6" t="n">
        <v>1500</v>
      </c>
      <c r="F806" s="4" t="n">
        <v>0</v>
      </c>
      <c r="G806" s="1" t="inlineStr">
        <is>
          <t>draft</t>
        </is>
      </c>
      <c r="H806" s="1" t="inlineStr">
        <is>
          <t>Falta el costo de compra (no está en ninguna tabla de precios)</t>
        </is>
      </c>
    </row>
    <row r="807">
      <c r="A807" s="1" t="inlineStr">
        <is>
          <t>91345321173005</t>
        </is>
      </c>
      <c r="B807" s="1" t="inlineStr">
        <is>
          <t>PERFUME YOU EMPORIO STRONGER</t>
        </is>
      </c>
      <c r="C807" s="1" t="inlineStr">
        <is>
          <t>Default Title</t>
        </is>
      </c>
      <c r="D807" s="1" t="inlineStr">
        <is>
          <t>ZOEY</t>
        </is>
      </c>
      <c r="E807" s="6" t="n">
        <v>1500</v>
      </c>
      <c r="F807" s="4" t="n">
        <v>0</v>
      </c>
      <c r="G807" s="1" t="inlineStr">
        <is>
          <t>draft</t>
        </is>
      </c>
      <c r="H807" s="1" t="inlineStr">
        <is>
          <t>Falta el costo de compra (no está en ninguna tabla de precios)</t>
        </is>
      </c>
    </row>
    <row r="808">
      <c r="A808" s="1" t="inlineStr">
        <is>
          <t>91345321236301</t>
        </is>
      </c>
      <c r="B808" s="1" t="inlineStr">
        <is>
          <t>LENTES YSL SL914</t>
        </is>
      </c>
      <c r="C808" s="1" t="inlineStr">
        <is>
          <t>Default Title</t>
        </is>
      </c>
      <c r="D808" s="1" t="inlineStr">
        <is>
          <t>ZOEY</t>
        </is>
      </c>
      <c r="E808" s="6" t="n">
        <v>1250</v>
      </c>
      <c r="F808" s="4" t="n">
        <v>0</v>
      </c>
      <c r="G808" s="1" t="inlineStr">
        <is>
          <t>draft</t>
        </is>
      </c>
      <c r="H808" s="1" t="inlineStr">
        <is>
          <t>Falta el costo de compra (no está en ninguna tabla de precios)</t>
        </is>
      </c>
    </row>
    <row r="809">
      <c r="A809" s="1" t="inlineStr">
        <is>
          <t>91345321374157</t>
        </is>
      </c>
      <c r="B809" s="1" t="inlineStr">
        <is>
          <t>BOLSO YSL ICARINO BLACK</t>
        </is>
      </c>
      <c r="C809" s="1" t="inlineStr">
        <is>
          <t>Default Title</t>
        </is>
      </c>
      <c r="D809" s="1" t="inlineStr">
        <is>
          <t>ZOEY</t>
        </is>
      </c>
      <c r="E809" s="6" t="n">
        <v>1550</v>
      </c>
      <c r="F809" s="4" t="n">
        <v>0</v>
      </c>
      <c r="G809" s="1" t="inlineStr">
        <is>
          <t>draft</t>
        </is>
      </c>
      <c r="H809" s="1" t="inlineStr">
        <is>
          <t>Falta el costo de compra (no está en ninguna tabla de precios)</t>
        </is>
      </c>
    </row>
    <row r="810">
      <c r="A810" s="1" t="inlineStr">
        <is>
          <t>91345321641389</t>
        </is>
      </c>
      <c r="B810" s="1" t="inlineStr">
        <is>
          <t>SANDALIAS LV BOM DIA</t>
        </is>
      </c>
      <c r="C810" s="1" t="inlineStr">
        <is>
          <t>25MX</t>
        </is>
      </c>
      <c r="D810" s="1" t="inlineStr">
        <is>
          <t>ZOEY</t>
        </is>
      </c>
      <c r="E810" s="6" t="n">
        <v>1550</v>
      </c>
      <c r="F810" s="4" t="n">
        <v>0</v>
      </c>
      <c r="G810" s="1" t="inlineStr">
        <is>
          <t>draft</t>
        </is>
      </c>
      <c r="H810" s="1" t="inlineStr">
        <is>
          <t>Falta el costo de compra (no está en ninguna tabla de precios)</t>
        </is>
      </c>
    </row>
    <row r="811">
      <c r="A811" s="1" t="inlineStr">
        <is>
          <t>91345321868525</t>
        </is>
      </c>
      <c r="B811" s="1" t="inlineStr">
        <is>
          <t>LENTES F FIRST CRYSTAL SILVER</t>
        </is>
      </c>
      <c r="C811" s="1" t="inlineStr">
        <is>
          <t>Default Title</t>
        </is>
      </c>
      <c r="D811" s="1" t="inlineStr">
        <is>
          <t>ZOEY</t>
        </is>
      </c>
      <c r="E811" s="6" t="n">
        <v>1200</v>
      </c>
      <c r="F811" s="4" t="n">
        <v>0</v>
      </c>
      <c r="G811" s="1" t="inlineStr">
        <is>
          <t>draft</t>
        </is>
      </c>
      <c r="H811" s="1" t="inlineStr">
        <is>
          <t>Falta el costo de compra (no está en ninguna tabla de precios)</t>
        </is>
      </c>
    </row>
    <row r="812">
      <c r="A812" s="1" t="inlineStr">
        <is>
          <t>91345322105837</t>
        </is>
      </c>
      <c r="B812" s="1" t="inlineStr">
        <is>
          <t>LENTES F FIRST CRYSTAL</t>
        </is>
      </c>
      <c r="C812" s="1" t="inlineStr">
        <is>
          <t>Default Title</t>
        </is>
      </c>
      <c r="D812" s="1" t="inlineStr">
        <is>
          <t>ZOEY</t>
        </is>
      </c>
      <c r="E812" s="6" t="n">
        <v>1200</v>
      </c>
      <c r="F812" s="4" t="n">
        <v>0</v>
      </c>
      <c r="G812" s="1" t="inlineStr">
        <is>
          <t>draft</t>
        </is>
      </c>
      <c r="H812" s="1" t="inlineStr">
        <is>
          <t>Falta el costo de compra (no está en ninguna tabla de precios)</t>
        </is>
      </c>
    </row>
    <row r="813">
      <c r="A813" s="1" t="inlineStr">
        <is>
          <t>91345322366893</t>
        </is>
      </c>
      <c r="B813" s="1" t="inlineStr">
        <is>
          <t>BOLSO F BAGUETTE WHITE</t>
        </is>
      </c>
      <c r="C813" s="1" t="inlineStr">
        <is>
          <t>Default Title</t>
        </is>
      </c>
      <c r="D813" s="1" t="inlineStr">
        <is>
          <t>ZOEY</t>
        </is>
      </c>
      <c r="E813" s="6" t="n">
        <v>1999</v>
      </c>
      <c r="F813" s="4" t="n">
        <v>0</v>
      </c>
      <c r="G813" s="1" t="inlineStr">
        <is>
          <t>draft</t>
        </is>
      </c>
      <c r="H813" s="1" t="inlineStr">
        <is>
          <t>Falta el costo de compra (no está en ninguna tabla de precios)</t>
        </is>
      </c>
    </row>
    <row r="814">
      <c r="A814" s="1" t="inlineStr">
        <is>
          <t>91345322520621</t>
        </is>
      </c>
      <c r="B814" s="1" t="inlineStr">
        <is>
          <t>BOLSA F BAGUETTE</t>
        </is>
      </c>
      <c r="C814" s="1" t="inlineStr">
        <is>
          <t>Default Title</t>
        </is>
      </c>
      <c r="D814" s="1" t="inlineStr">
        <is>
          <t>ZOEY</t>
        </is>
      </c>
      <c r="E814" s="6" t="n">
        <v>1899</v>
      </c>
      <c r="F814" s="4" t="n">
        <v>0</v>
      </c>
      <c r="G814" s="1" t="inlineStr">
        <is>
          <t>draft</t>
        </is>
      </c>
      <c r="H814" s="1" t="inlineStr">
        <is>
          <t>Falta el costo de compra (no está en ninguna tabla de precios)</t>
        </is>
      </c>
    </row>
    <row r="815">
      <c r="A815" s="1" t="inlineStr">
        <is>
          <t>91345322660173</t>
        </is>
      </c>
      <c r="B815" s="1" t="inlineStr">
        <is>
          <t>BOLSO F SUNSHINE</t>
        </is>
      </c>
      <c r="C815" s="1" t="inlineStr">
        <is>
          <t>Default Title</t>
        </is>
      </c>
      <c r="D815" s="1" t="inlineStr">
        <is>
          <t>ZOEY</t>
        </is>
      </c>
      <c r="E815" s="6" t="n">
        <v>2100</v>
      </c>
      <c r="F815" s="4" t="n">
        <v>0</v>
      </c>
      <c r="G815" s="1" t="inlineStr">
        <is>
          <t>draft</t>
        </is>
      </c>
      <c r="H815" s="1" t="inlineStr">
        <is>
          <t>Falta el costo de compra (no está en ninguna tabla de precios)</t>
        </is>
      </c>
    </row>
    <row r="816">
      <c r="A816" s="1" t="inlineStr">
        <is>
          <t>91345322730797</t>
        </is>
      </c>
      <c r="B816" s="1" t="inlineStr">
        <is>
          <t>BOLSO F BAGUETTE LOGOS</t>
        </is>
      </c>
      <c r="C816" s="1" t="inlineStr">
        <is>
          <t>Default Title</t>
        </is>
      </c>
      <c r="D816" s="1" t="inlineStr">
        <is>
          <t>ZOEY</t>
        </is>
      </c>
      <c r="E816" s="6" t="n">
        <v>2000</v>
      </c>
      <c r="F816" s="4" t="n">
        <v>0</v>
      </c>
      <c r="G816" s="1" t="inlineStr">
        <is>
          <t>draft</t>
        </is>
      </c>
      <c r="H816" s="1" t="inlineStr">
        <is>
          <t>Falta el costo de compra (no está en ninguna tabla de precios)</t>
        </is>
      </c>
    </row>
    <row r="817">
      <c r="A817" s="1" t="inlineStr">
        <is>
          <t>91345322834189</t>
        </is>
      </c>
      <c r="B817" s="1" t="inlineStr">
        <is>
          <t>ZAPATILLAS V GARAVANI</t>
        </is>
      </c>
      <c r="C817" s="1" t="inlineStr">
        <is>
          <t>25MX</t>
        </is>
      </c>
      <c r="D817" s="1" t="inlineStr">
        <is>
          <t>ZOEY</t>
        </is>
      </c>
      <c r="E817" s="6" t="n">
        <v>2500</v>
      </c>
      <c r="F817" s="4" t="n">
        <v>0</v>
      </c>
      <c r="G817" s="1" t="inlineStr">
        <is>
          <t>draft</t>
        </is>
      </c>
      <c r="H817" s="1" t="inlineStr">
        <is>
          <t>Falta el costo de compra (no está en ninguna tabla de precios)</t>
        </is>
      </c>
    </row>
    <row r="818">
      <c r="A818" s="1" t="inlineStr">
        <is>
          <t>91345322966957</t>
        </is>
      </c>
      <c r="B818" s="1" t="inlineStr">
        <is>
          <t>ZAPATILLAS V GARAVANI</t>
        </is>
      </c>
      <c r="C818" s="1" t="inlineStr">
        <is>
          <t>24MX</t>
        </is>
      </c>
      <c r="D818" s="1" t="inlineStr">
        <is>
          <t>ZOEY</t>
        </is>
      </c>
      <c r="E818" s="6" t="n">
        <v>2500</v>
      </c>
      <c r="F818" s="4" t="n">
        <v>0</v>
      </c>
      <c r="G818" s="1" t="inlineStr">
        <is>
          <t>draft</t>
        </is>
      </c>
      <c r="H818" s="1" t="inlineStr">
        <is>
          <t>Falta el costo de compra (no está en ninguna tabla de precios)</t>
        </is>
      </c>
    </row>
    <row r="819">
      <c r="A819" s="1" t="inlineStr">
        <is>
          <t>91345323297485</t>
        </is>
      </c>
      <c r="B819" s="1" t="inlineStr">
        <is>
          <t>PULSERA T DE TENNIS CUENTAS SILVER</t>
        </is>
      </c>
      <c r="C819" s="1" t="inlineStr">
        <is>
          <t>Default Title</t>
        </is>
      </c>
      <c r="D819" s="1" t="inlineStr">
        <is>
          <t>ZOEY</t>
        </is>
      </c>
      <c r="E819" s="6" t="n">
        <v>1199</v>
      </c>
      <c r="F819" s="4" t="n">
        <v>0</v>
      </c>
      <c r="G819" s="1" t="inlineStr">
        <is>
          <t>draft</t>
        </is>
      </c>
      <c r="H819" s="1" t="inlineStr">
        <is>
          <t>Falta el costo de compra (no está en ninguna tabla de precios)</t>
        </is>
      </c>
    </row>
    <row r="820">
      <c r="A820" s="1" t="inlineStr">
        <is>
          <t>91345323399181</t>
        </is>
      </c>
      <c r="B820" s="1" t="inlineStr">
        <is>
          <t>PULSERA T DE TENNIS CUENTAS BLUE</t>
        </is>
      </c>
      <c r="C820" s="1" t="inlineStr">
        <is>
          <t>Default Title</t>
        </is>
      </c>
      <c r="D820" s="1" t="inlineStr">
        <is>
          <t>ZOEY</t>
        </is>
      </c>
      <c r="E820" s="6" t="n">
        <v>1199</v>
      </c>
      <c r="F820" s="4" t="n">
        <v>0</v>
      </c>
      <c r="G820" s="1" t="inlineStr">
        <is>
          <t>draft</t>
        </is>
      </c>
      <c r="H820" s="1" t="inlineStr">
        <is>
          <t>Falta el costo de compra (no está en ninguna tabla de precios)</t>
        </is>
      </c>
    </row>
    <row r="821">
      <c r="A821" s="1" t="inlineStr">
        <is>
          <t>91345323468109</t>
        </is>
      </c>
      <c r="B821" s="1" t="inlineStr">
        <is>
          <t>PULSERA T DE TENNIS CUENTAS GOLD</t>
        </is>
      </c>
      <c r="C821" s="1" t="inlineStr">
        <is>
          <t>Default Title</t>
        </is>
      </c>
      <c r="D821" s="1" t="inlineStr">
        <is>
          <t>ZOEY</t>
        </is>
      </c>
      <c r="E821" s="6" t="n">
        <v>1199</v>
      </c>
      <c r="F821" s="4" t="n">
        <v>0</v>
      </c>
      <c r="G821" s="1" t="inlineStr">
        <is>
          <t>draft</t>
        </is>
      </c>
      <c r="H821" s="1" t="inlineStr">
        <is>
          <t>Falta el costo de compra (no está en ninguna tabla de precios)</t>
        </is>
      </c>
    </row>
    <row r="822">
      <c r="A822" s="1" t="inlineStr">
        <is>
          <t>95854381853581</t>
        </is>
      </c>
      <c r="B822" s="1" t="inlineStr">
        <is>
          <t>PULSERA VF SWEET HEART ROSE GOLD</t>
        </is>
      </c>
      <c r="C822" s="1" t="inlineStr">
        <is>
          <t>Default Title</t>
        </is>
      </c>
      <c r="D822" s="1" t="inlineStr">
        <is>
          <t>HAIFENG</t>
        </is>
      </c>
      <c r="E822" s="6" t="n">
        <v>400</v>
      </c>
      <c r="F822" s="4" t="n">
        <v>0</v>
      </c>
      <c r="G822" s="1" t="inlineStr">
        <is>
          <t>draft</t>
        </is>
      </c>
      <c r="H822" s="1" t="inlineStr">
        <is>
          <t>Falta el costo de compra (no está en ninguna tabla de precios)</t>
        </is>
      </c>
    </row>
    <row r="823">
      <c r="A823" s="1" t="inlineStr">
        <is>
          <t>15554121915309</t>
        </is>
      </c>
      <c r="B823" s="1" t="inlineStr">
        <is>
          <t>PULSERA MOVE UNO GOLD ZIRCONIAS</t>
        </is>
      </c>
      <c r="C823" s="1" t="inlineStr">
        <is>
          <t>Default Title</t>
        </is>
      </c>
      <c r="D823" s="1" t="inlineStr">
        <is>
          <t>HAIFENG</t>
        </is>
      </c>
      <c r="E823" s="6" t="n">
        <v>699</v>
      </c>
      <c r="F823" s="4" t="n">
        <v>0</v>
      </c>
      <c r="G823" s="1" t="inlineStr">
        <is>
          <t>draft</t>
        </is>
      </c>
      <c r="H823" s="1" t="inlineStr">
        <is>
          <t>Falta el costo de compra (no está en ninguna tabla de precios)</t>
        </is>
      </c>
    </row>
    <row r="824">
      <c r="A824" s="1" t="inlineStr">
        <is>
          <t>48374931038285</t>
        </is>
      </c>
      <c r="B824" s="1" t="inlineStr">
        <is>
          <t>COLLAR TREBOL GOLD-WHITE</t>
        </is>
      </c>
      <c r="C824" s="1" t="inlineStr">
        <is>
          <t>Default Title</t>
        </is>
      </c>
      <c r="D824" s="1" t="inlineStr">
        <is>
          <t>JEWELRY REMATE MX</t>
        </is>
      </c>
      <c r="E824" s="6" t="n">
        <v>899</v>
      </c>
      <c r="F824" s="4" t="n">
        <v>0</v>
      </c>
      <c r="G824" s="1" t="inlineStr">
        <is>
          <t>draft</t>
        </is>
      </c>
      <c r="H824" s="1" t="inlineStr">
        <is>
          <t>YA TIENE COSTO EN SHOPIFY ($226.60, heredado hoy)</t>
        </is>
      </c>
    </row>
    <row r="825">
      <c r="A825" s="1" t="inlineStr">
        <is>
          <t>26486661051629</t>
        </is>
      </c>
      <c r="B825" s="1" t="inlineStr">
        <is>
          <t>ANILLO V GARAVANI GOLD</t>
        </is>
      </c>
      <c r="C825" s="1" t="n">
        <v>7</v>
      </c>
      <c r="D825" s="1" t="inlineStr">
        <is>
          <t>NANCY VIP</t>
        </is>
      </c>
      <c r="E825" s="6" t="n">
        <v>0</v>
      </c>
      <c r="F825" s="4" t="n">
        <v>0</v>
      </c>
      <c r="G825" s="1" t="inlineStr">
        <is>
          <t>draft</t>
        </is>
      </c>
      <c r="H825" s="1" t="inlineStr">
        <is>
          <t>Falta el costo de compra (no está en ninguna tabla de precios)</t>
        </is>
      </c>
    </row>
    <row r="826">
      <c r="A826" s="1" t="inlineStr">
        <is>
          <t>22974392921837</t>
        </is>
      </c>
      <c r="B826" s="1" t="inlineStr">
        <is>
          <t>BRAZALETE V GRECA GOLD</t>
        </is>
      </c>
      <c r="C826" s="1" t="inlineStr">
        <is>
          <t>Default Title</t>
        </is>
      </c>
      <c r="D826" s="1" t="inlineStr">
        <is>
          <t>NANCY VIP</t>
        </is>
      </c>
      <c r="E826" s="6" t="n">
        <v>0</v>
      </c>
      <c r="F826" s="4" t="n">
        <v>0</v>
      </c>
      <c r="G826" s="1" t="inlineStr">
        <is>
          <t>draft</t>
        </is>
      </c>
      <c r="H826" s="1" t="inlineStr">
        <is>
          <t>Falta el costo de compra (no está en ninguna tabla de precios)</t>
        </is>
      </c>
    </row>
    <row r="827">
      <c r="A827" s="1" t="inlineStr">
        <is>
          <t>22974392894157</t>
        </is>
      </c>
      <c r="B827" s="1" t="inlineStr">
        <is>
          <t>ARETES CD PEARL AND LOGO GOLD</t>
        </is>
      </c>
      <c r="C827" s="1" t="inlineStr">
        <is>
          <t>Default Title</t>
        </is>
      </c>
      <c r="D827" s="1" t="inlineStr">
        <is>
          <t>NANCY VIP</t>
        </is>
      </c>
      <c r="E827" s="6" t="n">
        <v>0</v>
      </c>
      <c r="F827" s="4" t="n">
        <v>0</v>
      </c>
      <c r="G827" s="1" t="inlineStr">
        <is>
          <t>draft</t>
        </is>
      </c>
      <c r="H827" s="1" t="inlineStr">
        <is>
          <t>Falta el costo de compra (no está en ninguna tabla de precios)</t>
        </is>
      </c>
    </row>
    <row r="828">
      <c r="A828" s="1" t="inlineStr">
        <is>
          <t>22974391837165</t>
        </is>
      </c>
      <c r="B828" s="1" t="inlineStr">
        <is>
          <t>COLLAR CC LOGO HEART SILVER</t>
        </is>
      </c>
      <c r="C828" s="1" t="inlineStr">
        <is>
          <t>Default Title</t>
        </is>
      </c>
      <c r="D828" s="1" t="inlineStr">
        <is>
          <t>NANCY VIP</t>
        </is>
      </c>
      <c r="E828" s="6" t="n">
        <v>0</v>
      </c>
      <c r="F828" s="4" t="n">
        <v>0</v>
      </c>
      <c r="G828" s="1" t="inlineStr">
        <is>
          <t>draft</t>
        </is>
      </c>
      <c r="H828" s="1" t="inlineStr">
        <is>
          <t>Falta el costo de compra (no está en ninguna tabla de precios)</t>
        </is>
      </c>
    </row>
    <row r="829">
      <c r="A829" s="1" t="inlineStr">
        <is>
          <t>22974391745645</t>
        </is>
      </c>
      <c r="B829" s="1" t="inlineStr">
        <is>
          <t>COLLAR CC COLGANTE HEART BLACK</t>
        </is>
      </c>
      <c r="C829" s="1" t="inlineStr">
        <is>
          <t>Default Title</t>
        </is>
      </c>
      <c r="D829" s="1" t="inlineStr">
        <is>
          <t>NANCY VIP</t>
        </is>
      </c>
      <c r="E829" s="6" t="n">
        <v>0</v>
      </c>
      <c r="F829" s="4" t="n">
        <v>0</v>
      </c>
      <c r="G829" s="1" t="inlineStr">
        <is>
          <t>draft</t>
        </is>
      </c>
      <c r="H829" s="1" t="inlineStr">
        <is>
          <t>Falta el costo de compra (no está en ninguna tabla de precios)</t>
        </is>
      </c>
    </row>
    <row r="830">
      <c r="A830" s="1" t="inlineStr">
        <is>
          <t>26486661342605</t>
        </is>
      </c>
      <c r="B830" s="1" t="inlineStr">
        <is>
          <t>ANILLO LV DOBLE IDYLLE GOLD</t>
        </is>
      </c>
      <c r="C830" s="1" t="n">
        <v>7</v>
      </c>
      <c r="D830" s="1" t="inlineStr">
        <is>
          <t>NANCY VIP</t>
        </is>
      </c>
      <c r="E830" s="6" t="n">
        <v>0</v>
      </c>
      <c r="F830" s="4" t="n">
        <v>0</v>
      </c>
      <c r="G830" s="1" t="inlineStr">
        <is>
          <t>draft</t>
        </is>
      </c>
      <c r="H830" s="1" t="inlineStr">
        <is>
          <t>Falta el costo de compra (no está en ninguna tabla de precios)</t>
        </is>
      </c>
    </row>
    <row r="831">
      <c r="A831" s="1" t="inlineStr">
        <is>
          <t>22974391508941</t>
        </is>
      </c>
      <c r="B831" s="1" t="inlineStr">
        <is>
          <t>PULSERA LV NANOGRAMA GOLD</t>
        </is>
      </c>
      <c r="C831" s="1" t="inlineStr">
        <is>
          <t>Default Title</t>
        </is>
      </c>
      <c r="D831" s="1" t="inlineStr">
        <is>
          <t>NANCY VIP</t>
        </is>
      </c>
      <c r="E831" s="6" t="n">
        <v>0</v>
      </c>
      <c r="F831" s="4" t="n">
        <v>0</v>
      </c>
      <c r="G831" s="1" t="inlineStr">
        <is>
          <t>draft</t>
        </is>
      </c>
      <c r="H831" s="1" t="inlineStr">
        <is>
          <t>Falta el costo de compra (no está en ninguna tabla de precios)</t>
        </is>
      </c>
    </row>
    <row r="832">
      <c r="A832" s="1" t="inlineStr">
        <is>
          <t>12314361809293</t>
        </is>
      </c>
      <c r="B832" s="1" t="inlineStr">
        <is>
          <t>ARETES F BALL SILVER</t>
        </is>
      </c>
      <c r="C832" s="1" t="inlineStr">
        <is>
          <t>Default Title</t>
        </is>
      </c>
      <c r="D832" s="1" t="inlineStr">
        <is>
          <t>HAIFENG</t>
        </is>
      </c>
      <c r="E832" s="6" t="n">
        <v>0</v>
      </c>
      <c r="F832" s="4" t="n">
        <v>0</v>
      </c>
      <c r="G832" s="1" t="inlineStr">
        <is>
          <t>draft</t>
        </is>
      </c>
      <c r="H832" s="1" t="inlineStr">
        <is>
          <t>Falta el costo de compra (no está en ninguna tabla de precios)</t>
        </is>
      </c>
    </row>
    <row r="833">
      <c r="A833" s="1" t="inlineStr">
        <is>
          <t>12314363712813</t>
        </is>
      </c>
      <c r="B833" s="1" t="inlineStr">
        <is>
          <t>COLLAR MM GOLD-BLACK</t>
        </is>
      </c>
      <c r="C833" s="1" t="inlineStr">
        <is>
          <t>Default Title</t>
        </is>
      </c>
      <c r="D833" s="1" t="inlineStr">
        <is>
          <t>HAIFENG</t>
        </is>
      </c>
      <c r="E833" s="6" t="n">
        <v>575.98</v>
      </c>
      <c r="F833" s="4" t="n">
        <v>0</v>
      </c>
      <c r="G833" s="1" t="inlineStr">
        <is>
          <t>draft</t>
        </is>
      </c>
      <c r="H833" s="1" t="inlineStr">
        <is>
          <t>YA TIENE COSTO EN SHOPIFY ($143.99, heredado hoy)</t>
        </is>
      </c>
    </row>
    <row r="834">
      <c r="A834" s="1" t="inlineStr">
        <is>
          <t>86347031991821</t>
        </is>
      </c>
      <c r="B834" s="1" t="inlineStr">
        <is>
          <t>ARRACADAS H OLYMPE</t>
        </is>
      </c>
      <c r="C834" s="1" t="inlineStr">
        <is>
          <t>Default Title</t>
        </is>
      </c>
      <c r="D834" s="1" t="inlineStr">
        <is>
          <t>HAIFENG</t>
        </is>
      </c>
      <c r="E834" s="6" t="n">
        <v>0</v>
      </c>
      <c r="F834" s="4" t="n">
        <v>0</v>
      </c>
      <c r="G834" s="1" t="inlineStr">
        <is>
          <t>draft</t>
        </is>
      </c>
      <c r="H834" s="1" t="inlineStr">
        <is>
          <t>Falta el costo de compra (no está en ninguna tabla de precios)</t>
        </is>
      </c>
    </row>
    <row r="835">
      <c r="A835" s="1" t="inlineStr">
        <is>
          <t>86347033509357</t>
        </is>
      </c>
      <c r="B835" s="1" t="inlineStr">
        <is>
          <t>COLLAR PEARL OLIVE SILVER</t>
        </is>
      </c>
      <c r="C835" s="1" t="inlineStr">
        <is>
          <t>Default Title</t>
        </is>
      </c>
      <c r="D835" s="1" t="inlineStr">
        <is>
          <t>HAIFENG</t>
        </is>
      </c>
      <c r="E835" s="6" t="n">
        <v>0</v>
      </c>
      <c r="F835" s="4" t="n">
        <v>0</v>
      </c>
      <c r="G835" s="1" t="inlineStr">
        <is>
          <t>draft</t>
        </is>
      </c>
      <c r="H835" s="1" t="inlineStr">
        <is>
          <t>Falta el costo de compra (no está en ninguna tabla de precios)</t>
        </is>
      </c>
    </row>
    <row r="836">
      <c r="A836" s="1" t="inlineStr">
        <is>
          <t>16117871359277</t>
        </is>
      </c>
      <c r="B836" s="1" t="inlineStr">
        <is>
          <t>ARETES T SILVER ONE ZIRCONIA</t>
        </is>
      </c>
      <c r="C836" s="1" t="inlineStr">
        <is>
          <t>Default Title</t>
        </is>
      </c>
      <c r="D836" s="1" t="inlineStr">
        <is>
          <t>HAIFENG</t>
        </is>
      </c>
      <c r="E836" s="6" t="n">
        <v>0</v>
      </c>
      <c r="F836" s="4" t="n">
        <v>0</v>
      </c>
      <c r="G836" s="1" t="inlineStr">
        <is>
          <t>draft</t>
        </is>
      </c>
      <c r="H836" s="1" t="inlineStr">
        <is>
          <t>Falta el costo de compra (no está en ninguna tabla de precios)</t>
        </is>
      </c>
    </row>
    <row r="837">
      <c r="A837" s="1" t="inlineStr">
        <is>
          <t>16117871816461</t>
        </is>
      </c>
      <c r="B837" s="1" t="inlineStr">
        <is>
          <t>PULSERA BV SILVER PEARL ZIRCONIA</t>
        </is>
      </c>
      <c r="C837" s="1" t="inlineStr">
        <is>
          <t>Default Title</t>
        </is>
      </c>
      <c r="D837" s="1" t="inlineStr">
        <is>
          <t>HAIFENG</t>
        </is>
      </c>
      <c r="E837" s="6" t="n">
        <v>0</v>
      </c>
      <c r="F837" s="4" t="n">
        <v>0</v>
      </c>
      <c r="G837" s="1" t="inlineStr">
        <is>
          <t>draft</t>
        </is>
      </c>
      <c r="H837" s="1" t="inlineStr">
        <is>
          <t>Falta el costo de compra (no está en ninguna tabla de precios)</t>
        </is>
      </c>
    </row>
    <row r="838">
      <c r="A838" s="1" t="inlineStr">
        <is>
          <t>10540951036333</t>
        </is>
      </c>
      <c r="B838" s="1" t="inlineStr">
        <is>
          <t>PULSERA LV BLOSSOM GOLD WHITE</t>
        </is>
      </c>
      <c r="C838" s="1" t="inlineStr">
        <is>
          <t>Default Title</t>
        </is>
      </c>
      <c r="D838" s="1" t="inlineStr">
        <is>
          <t>HAIFENG</t>
        </is>
      </c>
      <c r="E838" s="6" t="n">
        <v>0</v>
      </c>
      <c r="F838" s="4" t="n">
        <v>0</v>
      </c>
      <c r="G838" s="1" t="inlineStr">
        <is>
          <t>draft</t>
        </is>
      </c>
      <c r="H838" s="1" t="inlineStr">
        <is>
          <t>Falta el costo de compra (no está en ninguna tabla de precios)</t>
        </is>
      </c>
    </row>
    <row r="839">
      <c r="A839" s="1" t="inlineStr">
        <is>
          <t>38332092125165</t>
        </is>
      </c>
      <c r="B839" s="1" t="inlineStr">
        <is>
          <t>BOLSO YSL BLACK EN PIEL</t>
        </is>
      </c>
      <c r="C839" s="1" t="inlineStr">
        <is>
          <t>Default Title</t>
        </is>
      </c>
      <c r="D839" s="1" t="inlineStr">
        <is>
          <t>CYNTHIA CAO</t>
        </is>
      </c>
      <c r="E839" s="6" t="n">
        <v>0</v>
      </c>
      <c r="F839" s="4" t="n">
        <v>0</v>
      </c>
      <c r="G839" s="1" t="inlineStr">
        <is>
          <t>draft</t>
        </is>
      </c>
      <c r="H839" s="1" t="inlineStr">
        <is>
          <t>Falta el costo de compra (no está en ninguna tabla de precios)</t>
        </is>
      </c>
    </row>
    <row r="840">
      <c r="A840" s="1" t="inlineStr">
        <is>
          <t>67201536017773</t>
        </is>
      </c>
      <c r="B840" s="1" t="inlineStr">
        <is>
          <t>PULSERA KNOT GOLD VF</t>
        </is>
      </c>
      <c r="C840" s="1" t="inlineStr">
        <is>
          <t>Default Title</t>
        </is>
      </c>
      <c r="D840" s="1" t="inlineStr">
        <is>
          <t>CYNTHIA CAO</t>
        </is>
      </c>
      <c r="E840" s="6" t="n">
        <v>570</v>
      </c>
      <c r="F840" s="4" t="n">
        <v>0</v>
      </c>
      <c r="G840" s="1" t="inlineStr">
        <is>
          <t>draft</t>
        </is>
      </c>
      <c r="H840" s="1" t="inlineStr">
        <is>
          <t>Falta el costo de compra (no está en ninguna tabla de precios)</t>
        </is>
      </c>
    </row>
    <row r="841">
      <c r="A841" s="1" t="inlineStr">
        <is>
          <t>82224432810125</t>
        </is>
      </c>
      <c r="B841" s="1" t="inlineStr">
        <is>
          <t>COLLAR TREBOL BLANCO ROSE GOLD</t>
        </is>
      </c>
      <c r="C841" s="1" t="inlineStr">
        <is>
          <t>Default Title</t>
        </is>
      </c>
      <c r="D841" s="1" t="inlineStr">
        <is>
          <t>Old Money Mexico</t>
        </is>
      </c>
      <c r="E841" s="6" t="n">
        <v>450</v>
      </c>
      <c r="F841" s="4" t="n">
        <v>0</v>
      </c>
      <c r="G841" s="1" t="inlineStr">
        <is>
          <t>draft</t>
        </is>
      </c>
      <c r="H841" s="1" t="inlineStr">
        <is>
          <t>YA TIENE COSTO EN SHOPIFY ($226.60, heredado hoy)</t>
        </is>
      </c>
    </row>
    <row r="842">
      <c r="A842" s="1" t="inlineStr">
        <is>
          <t>18780761050285</t>
        </is>
      </c>
      <c r="B842" s="1" t="inlineStr">
        <is>
          <t>PULSERA LOVE ROSE GOLD</t>
        </is>
      </c>
      <c r="C842" s="1" t="inlineStr">
        <is>
          <t>Default Title</t>
        </is>
      </c>
      <c r="D842" s="1" t="inlineStr">
        <is>
          <t>HAIFENG</t>
        </is>
      </c>
      <c r="E842" s="6" t="n">
        <v>499</v>
      </c>
      <c r="F842" s="4" t="n">
        <v>0</v>
      </c>
      <c r="G842" s="1" t="inlineStr">
        <is>
          <t>draft</t>
        </is>
      </c>
      <c r="H842" s="1" t="inlineStr">
        <is>
          <t>Falta el costo de compra (no está en ninguna tabla de precios)</t>
        </is>
      </c>
    </row>
    <row r="843">
      <c r="A843" s="1" t="inlineStr">
        <is>
          <t>77216886814732</t>
        </is>
      </c>
      <c r="B843" s="1" t="inlineStr">
        <is>
          <t>PULSERA TRUE MZ SILVER</t>
        </is>
      </c>
      <c r="C843" s="1" t="inlineStr">
        <is>
          <t>16cm</t>
        </is>
      </c>
      <c r="D843" s="1" t="inlineStr">
        <is>
          <t>CYNTHIA CAO</t>
        </is>
      </c>
      <c r="E843" s="6" t="n">
        <v>599</v>
      </c>
      <c r="F843" s="4" t="n">
        <v>0</v>
      </c>
      <c r="G843" s="1" t="inlineStr">
        <is>
          <t>draft</t>
        </is>
      </c>
      <c r="H843" s="1" t="inlineStr">
        <is>
          <t>Falta el costo de compra (no está en ninguna tabla de precios)</t>
        </is>
      </c>
    </row>
    <row r="844">
      <c r="A844" s="1" t="inlineStr">
        <is>
          <t>82224432482573</t>
        </is>
      </c>
      <c r="B844" s="1" t="inlineStr">
        <is>
          <t>PULSERA CLIC H ROSEGOLD BEIGE</t>
        </is>
      </c>
      <c r="C844" s="1" t="inlineStr">
        <is>
          <t>19cm</t>
        </is>
      </c>
      <c r="D844" s="1" t="inlineStr">
        <is>
          <t>ANA FU</t>
        </is>
      </c>
      <c r="E844" s="6" t="n">
        <v>550</v>
      </c>
      <c r="F844" s="4" t="n">
        <v>0</v>
      </c>
      <c r="G844" s="1" t="inlineStr">
        <is>
          <t>draft</t>
        </is>
      </c>
      <c r="H844" s="1" t="inlineStr">
        <is>
          <t>Falta el costo de compra (no está en ninguna tabla de precios)</t>
        </is>
      </c>
    </row>
    <row r="845">
      <c r="A845" s="1" t="inlineStr">
        <is>
          <t>85778646664716</t>
        </is>
      </c>
      <c r="B845" s="1" t="inlineStr">
        <is>
          <t>BOLSO YSL BABY BLACK</t>
        </is>
      </c>
      <c r="C845" s="1" t="inlineStr">
        <is>
          <t>15cm de largo x 16.5cm de alto x 6.5cm de ancho</t>
        </is>
      </c>
      <c r="D845" s="1" t="inlineStr">
        <is>
          <t>ZOEY</t>
        </is>
      </c>
      <c r="E845" s="6" t="n">
        <v>3634</v>
      </c>
      <c r="F845" s="4" t="n">
        <v>0</v>
      </c>
      <c r="G845" s="1" t="inlineStr">
        <is>
          <t>draft</t>
        </is>
      </c>
      <c r="H845" s="1" t="inlineStr">
        <is>
          <t>Falta el costo de compra (no está en ninguna tabla de precios)</t>
        </is>
      </c>
    </row>
    <row r="846">
      <c r="A846" s="1" t="inlineStr">
        <is>
          <t>63ebd3e9409c3</t>
        </is>
      </c>
      <c r="B846" s="1" t="inlineStr">
        <is>
          <t>ANILLO CC GOLD CON ZIRCONIA</t>
        </is>
      </c>
      <c r="C846" s="1" t="n">
        <v>6</v>
      </c>
      <c r="D846" s="1" t="inlineStr">
        <is>
          <t>JEWERLY REMATE</t>
        </is>
      </c>
      <c r="E846" s="6" t="n">
        <v>350</v>
      </c>
      <c r="F846" s="4" t="n">
        <v>0</v>
      </c>
      <c r="G846" s="1" t="inlineStr">
        <is>
          <t>draft</t>
        </is>
      </c>
      <c r="H846" s="1" t="inlineStr">
        <is>
          <t>Falta el costo de compra (no está en ninguna tabla de precios)</t>
        </is>
      </c>
    </row>
    <row r="847">
      <c r="A847" s="1" t="inlineStr">
        <is>
          <t>63ebd3ea37671</t>
        </is>
      </c>
      <c r="B847" s="1" t="inlineStr">
        <is>
          <t>ANILLO CC GOLD CON ZIRCONIA</t>
        </is>
      </c>
      <c r="C847" s="1" t="n">
        <v>7</v>
      </c>
      <c r="D847" s="1" t="inlineStr">
        <is>
          <t>JEWERLY REMATE</t>
        </is>
      </c>
      <c r="E847" s="6" t="n">
        <v>350</v>
      </c>
      <c r="F847" s="4" t="n">
        <v>0</v>
      </c>
      <c r="G847" s="1" t="inlineStr">
        <is>
          <t>draft</t>
        </is>
      </c>
      <c r="H847" s="1" t="inlineStr">
        <is>
          <t>Falta el costo de compra (no está en ninguna tabla de precios)</t>
        </is>
      </c>
    </row>
    <row r="848">
      <c r="A848" s="1" t="inlineStr">
        <is>
          <t>63ebd3eb3f7af</t>
        </is>
      </c>
      <c r="B848" s="1" t="inlineStr">
        <is>
          <t>ANILLO CC GOLD CON ZIRCONIA</t>
        </is>
      </c>
      <c r="C848" s="1" t="n">
        <v>8</v>
      </c>
      <c r="D848" s="1" t="inlineStr">
        <is>
          <t>JEWERLY REMATE</t>
        </is>
      </c>
      <c r="E848" s="6" t="n">
        <v>350</v>
      </c>
      <c r="F848" s="4" t="n">
        <v>0</v>
      </c>
      <c r="G848" s="1" t="inlineStr">
        <is>
          <t>draft</t>
        </is>
      </c>
      <c r="H848" s="1" t="inlineStr">
        <is>
          <t>Falta el costo de compra (no está en ninguna tabla de precios)</t>
        </is>
      </c>
    </row>
    <row r="849">
      <c r="A849" s="1" t="inlineStr">
        <is>
          <t>648cc611670f3</t>
        </is>
      </c>
      <c r="B849" s="1" t="inlineStr">
        <is>
          <t>BOLSA TOTE NUDE</t>
        </is>
      </c>
      <c r="C849" s="1" t="inlineStr">
        <is>
          <t>27cm de ancho y 21cm de largo</t>
        </is>
      </c>
      <c r="D849" s="1" t="inlineStr">
        <is>
          <t>JEWERLY REMATE</t>
        </is>
      </c>
      <c r="E849" s="6" t="n">
        <v>899</v>
      </c>
      <c r="F849" s="4" t="n">
        <v>0</v>
      </c>
      <c r="G849" s="1" t="inlineStr">
        <is>
          <t>draft</t>
        </is>
      </c>
      <c r="H849" s="1" t="inlineStr">
        <is>
          <t>Falta el costo de compra (no está en ninguna tabla de precios)</t>
        </is>
      </c>
    </row>
    <row r="850">
      <c r="A850" s="1" t="inlineStr">
        <is>
          <t>82224431878637</t>
        </is>
      </c>
      <c r="B850" s="1" t="inlineStr">
        <is>
          <t>PULSERA CORAZÓN COLGANTE</t>
        </is>
      </c>
      <c r="C850" s="1" t="inlineStr">
        <is>
          <t>16cm</t>
        </is>
      </c>
      <c r="D850" s="1" t="inlineStr">
        <is>
          <t>CYNTHIA CAO</t>
        </is>
      </c>
      <c r="E850" s="6" t="n">
        <v>499</v>
      </c>
      <c r="F850" s="4" t="n">
        <v>0</v>
      </c>
      <c r="G850" s="1" t="inlineStr">
        <is>
          <t>draft</t>
        </is>
      </c>
      <c r="H850" s="1" t="inlineStr">
        <is>
          <t>Falta el costo de compra (no está en ninguna tabla de precios)</t>
        </is>
      </c>
    </row>
    <row r="851">
      <c r="A851" s="1" t="inlineStr">
        <is>
          <t>82224432345869</t>
        </is>
      </c>
      <c r="B851" s="1" t="inlineStr">
        <is>
          <t>ARRACADAS ROUND VC</t>
        </is>
      </c>
      <c r="C851" s="1" t="inlineStr">
        <is>
          <t>Default Title</t>
        </is>
      </c>
      <c r="D851" s="1" t="inlineStr">
        <is>
          <t>CYNTHIA CAO</t>
        </is>
      </c>
      <c r="E851" s="6" t="n">
        <v>499</v>
      </c>
      <c r="F851" s="4" t="n">
        <v>0</v>
      </c>
      <c r="G851" s="1" t="inlineStr">
        <is>
          <t>draft</t>
        </is>
      </c>
      <c r="H851" s="1" t="inlineStr">
        <is>
          <t>Falta el costo de compra (no está en ninguna tabla de precios)</t>
        </is>
      </c>
    </row>
    <row r="852">
      <c r="A852" s="1" t="inlineStr">
        <is>
          <t>679be97ded7a3</t>
        </is>
      </c>
      <c r="B852" s="1" t="inlineStr">
        <is>
          <t>SUÉTER DE BOTÓN YSL</t>
        </is>
      </c>
      <c r="C852" s="1" t="inlineStr">
        <is>
          <t>S</t>
        </is>
      </c>
      <c r="D852" s="1" t="inlineStr">
        <is>
          <t>ZOEY</t>
        </is>
      </c>
      <c r="E852" s="6" t="n">
        <v>2832.1</v>
      </c>
      <c r="F852" s="4" t="n">
        <v>0</v>
      </c>
      <c r="G852" s="1" t="inlineStr">
        <is>
          <t>draft</t>
        </is>
      </c>
      <c r="H852" s="1" t="inlineStr">
        <is>
          <t>Falta el costo de compra (no está en ninguna tabla de precios)</t>
        </is>
      </c>
    </row>
    <row r="853">
      <c r="A853" s="1" t="inlineStr">
        <is>
          <t>679be97d4c737</t>
        </is>
      </c>
      <c r="B853" s="1" t="inlineStr">
        <is>
          <t>SUÉTER DE BOTÓN YSL</t>
        </is>
      </c>
      <c r="C853" s="1" t="inlineStr">
        <is>
          <t>M</t>
        </is>
      </c>
      <c r="D853" s="1" t="inlineStr">
        <is>
          <t>ZOEY</t>
        </is>
      </c>
      <c r="E853" s="6" t="n">
        <v>2832.1</v>
      </c>
      <c r="F853" s="4" t="n">
        <v>0</v>
      </c>
      <c r="G853" s="1" t="inlineStr">
        <is>
          <t>draft</t>
        </is>
      </c>
      <c r="H853" s="1" t="inlineStr">
        <is>
          <t>Falta el costo de compra (no está en ninguna tabla de precios)</t>
        </is>
      </c>
    </row>
    <row r="854">
      <c r="A854" s="1" t="inlineStr">
        <is>
          <t>678a9afb1a132</t>
        </is>
      </c>
      <c r="B854" s="1" t="inlineStr">
        <is>
          <t>ARRACADAS YSL GOLD</t>
        </is>
      </c>
      <c r="C854" s="1" t="inlineStr">
        <is>
          <t>Default Title</t>
        </is>
      </c>
      <c r="D854" s="1" t="inlineStr">
        <is>
          <t>CYNTHIA CAO</t>
        </is>
      </c>
      <c r="E854" s="6" t="n">
        <v>499</v>
      </c>
      <c r="F854" s="4" t="n">
        <v>0</v>
      </c>
      <c r="G854" s="1" t="inlineStr">
        <is>
          <t>draft</t>
        </is>
      </c>
      <c r="H854" s="1" t="inlineStr">
        <is>
          <t>Falta el costo de compra (no está en ninguna tabla de precios)</t>
        </is>
      </c>
    </row>
    <row r="855">
      <c r="A855" s="1" t="inlineStr">
        <is>
          <t>677c26b0e4e2d</t>
        </is>
      </c>
      <c r="B855" s="1" t="inlineStr">
        <is>
          <t>BOLSO PR MOON RE EDITION</t>
        </is>
      </c>
      <c r="C855" s="1" t="inlineStr">
        <is>
          <t>21cm de ancho x 15cm de alto x 7cm de ancho</t>
        </is>
      </c>
      <c r="D855" s="1" t="inlineStr">
        <is>
          <t>DINA DU</t>
        </is>
      </c>
      <c r="E855" s="6" t="n">
        <v>2854</v>
      </c>
      <c r="F855" s="4" t="n">
        <v>0</v>
      </c>
      <c r="G855" s="1" t="inlineStr">
        <is>
          <t>draft</t>
        </is>
      </c>
      <c r="H855" s="1" t="inlineStr">
        <is>
          <t>Falta el costo de compra (no está en ninguna tabla de precios)</t>
        </is>
      </c>
    </row>
    <row r="856">
      <c r="A856" s="1" t="inlineStr">
        <is>
          <t>678a9af22e97d</t>
        </is>
      </c>
      <c r="B856" s="1" t="inlineStr">
        <is>
          <t>ARRACADAS TB GOLD</t>
        </is>
      </c>
      <c r="C856" s="1" t="inlineStr">
        <is>
          <t>Default Title</t>
        </is>
      </c>
      <c r="D856" s="1" t="inlineStr">
        <is>
          <t>CYNTHIA CAO</t>
        </is>
      </c>
      <c r="E856" s="6" t="n">
        <v>550</v>
      </c>
      <c r="F856" s="4" t="n">
        <v>0</v>
      </c>
      <c r="G856" s="1" t="inlineStr">
        <is>
          <t>draft</t>
        </is>
      </c>
      <c r="H856" s="1" t="inlineStr">
        <is>
          <t>Falta el costo de compra (no está en ninguna tabla de precios)</t>
        </is>
      </c>
    </row>
    <row r="857">
      <c r="A857" s="1" t="inlineStr">
        <is>
          <t>67535d2eb80ac</t>
        </is>
      </c>
      <c r="B857" s="1" t="inlineStr">
        <is>
          <t>RELOJ C BALLON BLEU</t>
        </is>
      </c>
      <c r="C857" s="1" t="inlineStr">
        <is>
          <t>Default Title</t>
        </is>
      </c>
      <c r="D857" s="1" t="inlineStr">
        <is>
          <t>ZOEY</t>
        </is>
      </c>
      <c r="E857" s="6" t="n">
        <v>3513</v>
      </c>
      <c r="F857" s="4" t="n">
        <v>0</v>
      </c>
      <c r="G857" s="1" t="inlineStr">
        <is>
          <t>draft</t>
        </is>
      </c>
      <c r="H857" s="1" t="inlineStr">
        <is>
          <t>Falta el costo de compra (no está en ninguna tabla de precios)</t>
        </is>
      </c>
    </row>
    <row r="858">
      <c r="A858" s="1" t="inlineStr">
        <is>
          <t>43728082780556</t>
        </is>
      </c>
      <c r="B858" s="1" t="inlineStr">
        <is>
          <t>TARJETERO GC OPHIDIA</t>
        </is>
      </c>
      <c r="C858" s="1" t="inlineStr">
        <is>
          <t>19cm de alto x 10cm de ancho</t>
        </is>
      </c>
      <c r="D858" s="1" t="inlineStr">
        <is>
          <t>ZOEY</t>
        </is>
      </c>
      <c r="E858" s="6" t="n">
        <v>1299</v>
      </c>
      <c r="F858" s="4" t="n">
        <v>0</v>
      </c>
      <c r="G858" s="1" t="inlineStr">
        <is>
          <t>draft</t>
        </is>
      </c>
      <c r="H858" s="1" t="inlineStr">
        <is>
          <t>Falta el costo de compra (no está en ninguna tabla de precios)</t>
        </is>
      </c>
    </row>
    <row r="859">
      <c r="A859" s="1" t="inlineStr">
        <is>
          <t>43728083132204</t>
        </is>
      </c>
      <c r="B859" s="1" t="inlineStr">
        <is>
          <t>BOLSO MM HOBO WHITE</t>
        </is>
      </c>
      <c r="C859" s="1" t="inlineStr">
        <is>
          <t>20.5cm de largo x 16cm de alto (sin incluir la correa) x 6cm de ancho</t>
        </is>
      </c>
      <c r="D859" s="1" t="inlineStr">
        <is>
          <t>ZOEY</t>
        </is>
      </c>
      <c r="E859" s="6" t="n">
        <v>2775</v>
      </c>
      <c r="F859" s="4" t="n">
        <v>0</v>
      </c>
      <c r="G859" s="1" t="inlineStr">
        <is>
          <t>draft</t>
        </is>
      </c>
      <c r="H859" s="1" t="inlineStr">
        <is>
          <t>Falta el costo de compra (no está en ninguna tabla de precios)</t>
        </is>
      </c>
    </row>
    <row r="860">
      <c r="A860" s="1" t="inlineStr">
        <is>
          <t>43728083222380</t>
        </is>
      </c>
      <c r="B860" s="1" t="inlineStr">
        <is>
          <t>BOLSO MM HOBO WHITE</t>
        </is>
      </c>
      <c r="C860" s="1" t="inlineStr">
        <is>
          <t>OUTLET</t>
        </is>
      </c>
      <c r="D860" s="1" t="inlineStr">
        <is>
          <t>ZOEY</t>
        </is>
      </c>
      <c r="E860" s="6" t="n">
        <v>1850</v>
      </c>
      <c r="F860" s="4" t="n">
        <v>0</v>
      </c>
      <c r="G860" s="1" t="inlineStr">
        <is>
          <t>draft</t>
        </is>
      </c>
      <c r="H860" s="1" t="inlineStr">
        <is>
          <t>Falta el costo de compra (no está en ninguna tabla de precios)</t>
        </is>
      </c>
    </row>
    <row r="861">
      <c r="A861" s="1" t="inlineStr">
        <is>
          <t>43728083359340</t>
        </is>
      </c>
      <c r="B861" s="1" t="inlineStr">
        <is>
          <t>BOLSO MM WANDER PINK</t>
        </is>
      </c>
      <c r="C861" s="1" t="inlineStr">
        <is>
          <t>20cm de alto x 25cm de largo x 8cm de ancho</t>
        </is>
      </c>
      <c r="D861" s="1" t="inlineStr">
        <is>
          <t>ZOEY</t>
        </is>
      </c>
      <c r="E861" s="6" t="n">
        <v>2475</v>
      </c>
      <c r="F861" s="4" t="n">
        <v>0</v>
      </c>
      <c r="G861" s="1" t="inlineStr">
        <is>
          <t>draft</t>
        </is>
      </c>
      <c r="H861" s="1" t="inlineStr">
        <is>
          <t>Falta el costo de compra (no está en ninguna tabla de precios)</t>
        </is>
      </c>
    </row>
    <row r="862">
      <c r="A862" s="1" t="inlineStr">
        <is>
          <t>43728083410540</t>
        </is>
      </c>
      <c r="B862" s="1" t="inlineStr">
        <is>
          <t>BOLSO MM WANDER PINK</t>
        </is>
      </c>
      <c r="C862" s="1" t="inlineStr">
        <is>
          <t>OUTLET</t>
        </is>
      </c>
      <c r="D862" s="1" t="inlineStr">
        <is>
          <t>ZOEY</t>
        </is>
      </c>
      <c r="E862" s="6" t="n">
        <v>1649.5</v>
      </c>
      <c r="F862" s="4" t="n">
        <v>0</v>
      </c>
      <c r="G862" s="1" t="inlineStr">
        <is>
          <t>draft</t>
        </is>
      </c>
      <c r="H862" s="1" t="inlineStr">
        <is>
          <t>Falta el costo de compra (no está en ninguna tabla de precios)</t>
        </is>
      </c>
    </row>
    <row r="863">
      <c r="A863" s="1" t="inlineStr">
        <is>
          <t>43728083564492</t>
        </is>
      </c>
      <c r="B863" s="1" t="inlineStr">
        <is>
          <t>BOLSO MM WANDER NUDE</t>
        </is>
      </c>
      <c r="C863" s="1" t="inlineStr">
        <is>
          <t>20cm de alto x 25cm de largo x 8cm de ancho</t>
        </is>
      </c>
      <c r="D863" s="1" t="inlineStr">
        <is>
          <t>ZOEY</t>
        </is>
      </c>
      <c r="E863" s="6" t="n">
        <v>1800</v>
      </c>
      <c r="F863" s="4" t="n">
        <v>0</v>
      </c>
      <c r="G863" s="1" t="inlineStr">
        <is>
          <t>draft</t>
        </is>
      </c>
      <c r="H863" s="1" t="inlineStr">
        <is>
          <t>YA TIENE COSTO EN SHOPIFY ($960.00, heredado hoy)</t>
        </is>
      </c>
    </row>
    <row r="864">
      <c r="A864" s="1" t="inlineStr">
        <is>
          <t>6748bbb69c6d7</t>
        </is>
      </c>
      <c r="B864" s="1" t="inlineStr">
        <is>
          <t>CHAQUETA LV DAMIER DENIM</t>
        </is>
      </c>
      <c r="C864" s="1" t="inlineStr">
        <is>
          <t>S</t>
        </is>
      </c>
      <c r="D864" s="1" t="inlineStr">
        <is>
          <t>ZOEY</t>
        </is>
      </c>
      <c r="E864" s="6" t="n">
        <v>2500</v>
      </c>
      <c r="F864" s="4" t="n">
        <v>0</v>
      </c>
      <c r="G864" s="1" t="inlineStr">
        <is>
          <t>draft</t>
        </is>
      </c>
      <c r="H864" s="1" t="inlineStr">
        <is>
          <t>Falta el costo de compra (no está en ninguna tabla de precios)</t>
        </is>
      </c>
    </row>
    <row r="865">
      <c r="A865" s="1" t="inlineStr">
        <is>
          <t>6748bbb60895e</t>
        </is>
      </c>
      <c r="B865" s="1" t="inlineStr">
        <is>
          <t>CHAQUETA LV DAMIER DENIM</t>
        </is>
      </c>
      <c r="C865" s="1" t="inlineStr">
        <is>
          <t>M</t>
        </is>
      </c>
      <c r="D865" s="1" t="inlineStr">
        <is>
          <t>ZOEY</t>
        </is>
      </c>
      <c r="E865" s="6" t="n">
        <v>3454</v>
      </c>
      <c r="F865" s="4" t="n">
        <v>0</v>
      </c>
      <c r="G865" s="1" t="inlineStr">
        <is>
          <t>draft</t>
        </is>
      </c>
      <c r="H865" s="1" t="inlineStr">
        <is>
          <t>Falta el costo de compra (no está en ninguna tabla de precios)</t>
        </is>
      </c>
    </row>
    <row r="866">
      <c r="A866" s="1" t="inlineStr">
        <is>
          <t>43728084044012</t>
        </is>
      </c>
      <c r="B866" s="1" t="inlineStr">
        <is>
          <t>GABARDINA DE BOTONES MM</t>
        </is>
      </c>
      <c r="C866" s="1" t="inlineStr">
        <is>
          <t>S</t>
        </is>
      </c>
      <c r="D866" s="1" t="inlineStr">
        <is>
          <t>ZOEY</t>
        </is>
      </c>
      <c r="E866" s="6" t="n">
        <v>1500</v>
      </c>
      <c r="F866" s="4" t="n">
        <v>0</v>
      </c>
      <c r="G866" s="1" t="inlineStr">
        <is>
          <t>draft</t>
        </is>
      </c>
      <c r="H866" s="1" t="inlineStr">
        <is>
          <t>Falta el costo de compra (no está en ninguna tabla de precios)</t>
        </is>
      </c>
    </row>
    <row r="867">
      <c r="A867" s="1" t="inlineStr">
        <is>
          <t>43728084176780</t>
        </is>
      </c>
      <c r="B867" s="1" t="inlineStr">
        <is>
          <t>GABARDINA DE BOTONES MM</t>
        </is>
      </c>
      <c r="C867" s="1" t="inlineStr">
        <is>
          <t>M</t>
        </is>
      </c>
      <c r="D867" s="1" t="inlineStr">
        <is>
          <t>ZOEY</t>
        </is>
      </c>
      <c r="E867" s="6" t="n">
        <v>1500</v>
      </c>
      <c r="F867" s="4" t="n">
        <v>0</v>
      </c>
      <c r="G867" s="1" t="inlineStr">
        <is>
          <t>draft</t>
        </is>
      </c>
      <c r="H867" s="1" t="inlineStr">
        <is>
          <t>Falta el costo de compra (no está en ninguna tabla de precios)</t>
        </is>
      </c>
    </row>
    <row r="868">
      <c r="A868" s="1" t="inlineStr">
        <is>
          <t>6748bbb3b11f5</t>
        </is>
      </c>
      <c r="B868" s="1" t="inlineStr">
        <is>
          <t>CHAQUETA LV DENIM</t>
        </is>
      </c>
      <c r="C868" s="1" t="inlineStr">
        <is>
          <t>S</t>
        </is>
      </c>
      <c r="D868" s="1" t="inlineStr">
        <is>
          <t>ZOEY</t>
        </is>
      </c>
      <c r="E868" s="6" t="n">
        <v>5434</v>
      </c>
      <c r="F868" s="4" t="n">
        <v>0</v>
      </c>
      <c r="G868" s="1" t="inlineStr">
        <is>
          <t>draft</t>
        </is>
      </c>
      <c r="H868" s="1" t="inlineStr">
        <is>
          <t>Falta el costo de compra (no está en ninguna tabla de precios)</t>
        </is>
      </c>
    </row>
    <row r="869">
      <c r="A869" s="1" t="inlineStr">
        <is>
          <t>6748bbb3002e5</t>
        </is>
      </c>
      <c r="B869" s="1" t="inlineStr">
        <is>
          <t>CHAQUETA LV DENIM</t>
        </is>
      </c>
      <c r="C869" s="1" t="inlineStr">
        <is>
          <t>M</t>
        </is>
      </c>
      <c r="D869" s="1" t="inlineStr">
        <is>
          <t>ZOEY</t>
        </is>
      </c>
      <c r="E869" s="6" t="n">
        <v>5434</v>
      </c>
      <c r="F869" s="4" t="n">
        <v>0</v>
      </c>
      <c r="G869" s="1" t="inlineStr">
        <is>
          <t>draft</t>
        </is>
      </c>
      <c r="H869" s="1" t="inlineStr">
        <is>
          <t>Falta el costo de compra (no está en ninguna tabla de precios)</t>
        </is>
      </c>
    </row>
    <row r="870">
      <c r="A870" s="1" t="inlineStr">
        <is>
          <t>43728086185004</t>
        </is>
      </c>
      <c r="B870" s="1" t="inlineStr">
        <is>
          <t>BOLSO JM LE BAMBINO LEOPARD</t>
        </is>
      </c>
      <c r="C870" s="1" t="inlineStr">
        <is>
          <t>28cm de largo x 14.5cm de alto x 6cm de ancho</t>
        </is>
      </c>
      <c r="D870" s="1" t="inlineStr">
        <is>
          <t>ZOEY</t>
        </is>
      </c>
      <c r="E870" s="6" t="n">
        <v>3599</v>
      </c>
      <c r="F870" s="4" t="n">
        <v>0</v>
      </c>
      <c r="G870" s="1" t="inlineStr">
        <is>
          <t>draft</t>
        </is>
      </c>
      <c r="H870" s="1" t="inlineStr">
        <is>
          <t>Falta el costo de compra (no está en ninguna tabla de precios)</t>
        </is>
      </c>
    </row>
    <row r="871">
      <c r="A871" s="1" t="inlineStr">
        <is>
          <t>43728086470604</t>
        </is>
      </c>
      <c r="B871" s="1" t="inlineStr">
        <is>
          <t>BOLSO BT ANDIAMO CLUTCH BROWN</t>
        </is>
      </c>
      <c r="C871" s="1" t="inlineStr">
        <is>
          <t>30.5cm de largo x 15cm de ancho x 4cm de ancho</t>
        </is>
      </c>
      <c r="D871" s="1" t="inlineStr">
        <is>
          <t>ZOEY</t>
        </is>
      </c>
      <c r="E871" s="6" t="n">
        <v>3754</v>
      </c>
      <c r="F871" s="4" t="n">
        <v>0</v>
      </c>
      <c r="G871" s="1" t="inlineStr">
        <is>
          <t>draft</t>
        </is>
      </c>
      <c r="H871" s="1" t="inlineStr">
        <is>
          <t>YA TIENE COSTO EN SHOPIFY ($1200.00, heredado hoy)</t>
        </is>
      </c>
    </row>
    <row r="872">
      <c r="A872" s="1" t="inlineStr">
        <is>
          <t>43728086647788</t>
        </is>
      </c>
      <c r="B872" s="1" t="inlineStr">
        <is>
          <t>BOLSO MM WANDER RED</t>
        </is>
      </c>
      <c r="C872" s="1" t="inlineStr">
        <is>
          <t>20cm de alto x 25cm de largo x 8cm de ancho</t>
        </is>
      </c>
      <c r="D872" s="1" t="inlineStr">
        <is>
          <t>ZOEY</t>
        </is>
      </c>
      <c r="E872" s="6" t="n">
        <v>3299</v>
      </c>
      <c r="F872" s="4" t="n">
        <v>0</v>
      </c>
      <c r="G872" s="1" t="inlineStr">
        <is>
          <t>draft</t>
        </is>
      </c>
      <c r="H872" s="1" t="inlineStr">
        <is>
          <t>YA TIENE COSTO EN SHOPIFY ($960.00, heredado hoy)</t>
        </is>
      </c>
    </row>
    <row r="873">
      <c r="A873" s="1" t="inlineStr">
        <is>
          <t>43728086837868</t>
        </is>
      </c>
      <c r="B873" s="1" t="inlineStr">
        <is>
          <t>BOLSO MM HOBO RED CHAROL</t>
        </is>
      </c>
      <c r="C873" s="1" t="inlineStr">
        <is>
          <t>20.5cm de largo x 16cm de alto (sin incluir la correa) x 6cm de ancho</t>
        </is>
      </c>
      <c r="D873" s="1" t="inlineStr">
        <is>
          <t>ZOEY</t>
        </is>
      </c>
      <c r="E873" s="6" t="n">
        <v>2775</v>
      </c>
      <c r="F873" s="4" t="n">
        <v>0</v>
      </c>
      <c r="G873" s="1" t="inlineStr">
        <is>
          <t>draft</t>
        </is>
      </c>
      <c r="H873" s="1" t="inlineStr">
        <is>
          <t>Falta el costo de compra (no está en ninguna tabla de precios)</t>
        </is>
      </c>
    </row>
    <row r="874">
      <c r="A874" s="1" t="inlineStr">
        <is>
          <t>43728088005356</t>
        </is>
      </c>
      <c r="B874" s="1" t="inlineStr">
        <is>
          <t>BOLSO JM MUSTARD</t>
        </is>
      </c>
      <c r="C874" s="1" t="inlineStr">
        <is>
          <t>13cm de alto x 17.3cm de largo x 7cm de ancho   12cm de alto de correa</t>
        </is>
      </c>
      <c r="D874" s="1" t="inlineStr">
        <is>
          <t>ZOEY</t>
        </is>
      </c>
      <c r="E874" s="6" t="n">
        <v>2000</v>
      </c>
      <c r="F874" s="4" t="n">
        <v>0</v>
      </c>
      <c r="G874" s="1" t="inlineStr">
        <is>
          <t>draft</t>
        </is>
      </c>
      <c r="H874" s="1" t="inlineStr">
        <is>
          <t>Falta el costo de compra (no está en ninguna tabla de precios)</t>
        </is>
      </c>
    </row>
    <row r="875">
      <c r="A875" s="1" t="inlineStr">
        <is>
          <t>43047222837388</t>
        </is>
      </c>
      <c r="B875" s="1" t="inlineStr">
        <is>
          <t>PULSERA T CON GRABADO GOLD</t>
        </is>
      </c>
      <c r="C875" s="1" t="inlineStr">
        <is>
          <t>17cm</t>
        </is>
      </c>
      <c r="D875" s="1" t="inlineStr">
        <is>
          <t>COCOMA</t>
        </is>
      </c>
      <c r="E875" s="6" t="n">
        <v>350</v>
      </c>
      <c r="F875" s="4" t="n">
        <v>0</v>
      </c>
      <c r="G875" s="1" t="inlineStr">
        <is>
          <t>draft</t>
        </is>
      </c>
      <c r="H875" s="1" t="inlineStr">
        <is>
          <t>Falta el costo de compra (no está en ninguna tabla de precios)</t>
        </is>
      </c>
    </row>
    <row r="876">
      <c r="A876" s="1" t="inlineStr">
        <is>
          <t>43047199834252</t>
        </is>
      </c>
      <c r="B876" s="1" t="inlineStr">
        <is>
          <t>PULSERA LOCK ROSEGOLD CON ZIRCONIAS</t>
        </is>
      </c>
      <c r="C876" s="1" t="inlineStr">
        <is>
          <t>17cm</t>
        </is>
      </c>
      <c r="D876" s="1" t="inlineStr">
        <is>
          <t>NANCY VIP</t>
        </is>
      </c>
      <c r="E876" s="6" t="n">
        <v>900</v>
      </c>
      <c r="F876" s="4" t="n">
        <v>0</v>
      </c>
      <c r="G876" s="1" t="inlineStr">
        <is>
          <t>draft</t>
        </is>
      </c>
      <c r="H876" s="1" t="inlineStr">
        <is>
          <t>Falta el costo de compra (no está en ninguna tabla de precios)</t>
        </is>
      </c>
    </row>
    <row r="877">
      <c r="A877" s="1" t="inlineStr">
        <is>
          <t>43728083938476</t>
        </is>
      </c>
      <c r="B877" s="1" t="inlineStr">
        <is>
          <t>BOLSO MM WANDER SILVER</t>
        </is>
      </c>
      <c r="C877" s="1" t="inlineStr">
        <is>
          <t>20cm de alto x 25cm de largo x 8cm de ancho</t>
        </is>
      </c>
      <c r="D877" s="1" t="inlineStr">
        <is>
          <t>ZOEY</t>
        </is>
      </c>
      <c r="E877" s="6" t="n">
        <v>3299</v>
      </c>
      <c r="F877" s="4" t="n">
        <v>0</v>
      </c>
      <c r="G877" s="1" t="inlineStr">
        <is>
          <t>draft</t>
        </is>
      </c>
      <c r="H877" s="1" t="inlineStr">
        <is>
          <t>Falta el costo de compra (no está en ninguna tabla de precios)</t>
        </is>
      </c>
    </row>
    <row r="878">
      <c r="A878" s="1" t="inlineStr">
        <is>
          <t>43728091766924</t>
        </is>
      </c>
      <c r="B878" s="1" t="inlineStr">
        <is>
          <t>CARTERA YSL BLACK</t>
        </is>
      </c>
      <c r="C878" s="1" t="inlineStr">
        <is>
          <t>9.5cm de alto x 19cm de largo x 2cm de ancho</t>
        </is>
      </c>
      <c r="D878" s="1" t="inlineStr">
        <is>
          <t>Old Money Mexico</t>
        </is>
      </c>
      <c r="E878" s="6" t="n">
        <v>1100</v>
      </c>
      <c r="F878" s="4" t="n">
        <v>0</v>
      </c>
      <c r="G878" s="1" t="inlineStr">
        <is>
          <t>draft</t>
        </is>
      </c>
      <c r="H878" s="1" t="inlineStr">
        <is>
          <t>Falta el costo de compra (no está en ninguna tabla de precios)</t>
        </is>
      </c>
    </row>
    <row r="879">
      <c r="A879" s="1" t="inlineStr">
        <is>
          <t>43728095456268</t>
        </is>
      </c>
      <c r="B879" s="1" t="inlineStr">
        <is>
          <t>CLIO KILL COVER MESH GLOW CUSHION 3-BY</t>
        </is>
      </c>
      <c r="C879" s="1" t="inlineStr">
        <is>
          <t>Default Title</t>
        </is>
      </c>
      <c r="D879" s="1" t="inlineStr">
        <is>
          <t>Old Money Mexico</t>
        </is>
      </c>
      <c r="E879" s="6" t="n">
        <v>475</v>
      </c>
      <c r="F879" s="4" t="n">
        <v>0</v>
      </c>
      <c r="G879" s="1" t="inlineStr">
        <is>
          <t>draft</t>
        </is>
      </c>
      <c r="H879" s="1" t="inlineStr">
        <is>
          <t>Falta el costo de compra (no está en ninguna tabla de precios)</t>
        </is>
      </c>
    </row>
    <row r="880">
      <c r="A880" s="1" t="inlineStr">
        <is>
          <t>43728095583404</t>
        </is>
      </c>
      <c r="B880" s="1" t="inlineStr">
        <is>
          <t>BEAUTY OF JOSEON REVIVE EYE SERUM GINSENG+ RETINOL 30mL</t>
        </is>
      </c>
      <c r="C880" s="1" t="inlineStr">
        <is>
          <t>Default Title</t>
        </is>
      </c>
      <c r="D880" s="1" t="inlineStr">
        <is>
          <t>Old Money Mexico</t>
        </is>
      </c>
      <c r="E880" s="6" t="n">
        <v>310</v>
      </c>
      <c r="F880" s="4" t="n">
        <v>0</v>
      </c>
      <c r="G880" s="1" t="inlineStr">
        <is>
          <t>draft</t>
        </is>
      </c>
      <c r="H880" s="1" t="inlineStr">
        <is>
          <t>Falta el costo de compra (no está en ninguna tabla de precios)</t>
        </is>
      </c>
    </row>
    <row r="881">
      <c r="A881" s="1" t="inlineStr">
        <is>
          <t>43728095856396</t>
        </is>
      </c>
      <c r="B881" s="1" t="inlineStr">
        <is>
          <t>BEAUTY OF JOSEON GLOW SERUMN:PROPOLIS+NIACINAMIDE 30mL</t>
        </is>
      </c>
      <c r="C881" s="1" t="inlineStr">
        <is>
          <t>Default Title</t>
        </is>
      </c>
      <c r="D881" s="1" t="inlineStr">
        <is>
          <t>Old Money Mexico</t>
        </is>
      </c>
      <c r="E881" s="6" t="n">
        <v>345</v>
      </c>
      <c r="F881" s="4" t="n">
        <v>0</v>
      </c>
      <c r="G881" s="1" t="inlineStr">
        <is>
          <t>draft</t>
        </is>
      </c>
      <c r="H881" s="1" t="inlineStr">
        <is>
          <t>Falta el costo de compra (no está en ninguna tabla de precios)</t>
        </is>
      </c>
    </row>
    <row r="882">
      <c r="A882" s="1" t="inlineStr">
        <is>
          <t>43728095990924</t>
        </is>
      </c>
      <c r="B882" s="1" t="inlineStr">
        <is>
          <t>MADAGASCAR CENTELLA LIGHT CLEANSING OIL 200mL</t>
        </is>
      </c>
      <c r="C882" s="1" t="inlineStr">
        <is>
          <t>Default Title</t>
        </is>
      </c>
      <c r="D882" s="1" t="inlineStr">
        <is>
          <t>Old Money Mexico</t>
        </is>
      </c>
      <c r="E882" s="6" t="n">
        <v>357</v>
      </c>
      <c r="F882" s="4" t="n">
        <v>0</v>
      </c>
      <c r="G882" s="1" t="inlineStr">
        <is>
          <t>draft</t>
        </is>
      </c>
      <c r="H882" s="1" t="inlineStr">
        <is>
          <t>Falta el costo de compra (no está en ninguna tabla de precios)</t>
        </is>
      </c>
    </row>
    <row r="883">
      <c r="A883" s="1" t="inlineStr">
        <is>
          <t>43728096172428</t>
        </is>
      </c>
      <c r="B883" s="1" t="inlineStr">
        <is>
          <t>FWEE BLURRY PUDDING POT BABY</t>
        </is>
      </c>
      <c r="C883" s="1" t="inlineStr">
        <is>
          <t>Default Title</t>
        </is>
      </c>
      <c r="D883" s="1" t="inlineStr">
        <is>
          <t>Old Money Mexico</t>
        </is>
      </c>
      <c r="E883" s="6" t="n">
        <v>387</v>
      </c>
      <c r="F883" s="4" t="n">
        <v>0</v>
      </c>
      <c r="G883" s="1" t="inlineStr">
        <is>
          <t>draft</t>
        </is>
      </c>
      <c r="H883" s="1" t="inlineStr">
        <is>
          <t>Falta el costo de compra (no está en ninguna tabla de precios)</t>
        </is>
      </c>
    </row>
    <row r="884">
      <c r="A884" s="1" t="inlineStr">
        <is>
          <t>43728096275404</t>
        </is>
      </c>
      <c r="B884" s="1" t="inlineStr">
        <is>
          <t>FWEE BLURRY PUDDING POT GIRLS</t>
        </is>
      </c>
      <c r="C884" s="1" t="inlineStr">
        <is>
          <t>Default Title</t>
        </is>
      </c>
      <c r="D884" s="1" t="inlineStr">
        <is>
          <t>Old Money Mexico</t>
        </is>
      </c>
      <c r="E884" s="6" t="n">
        <v>387</v>
      </c>
      <c r="F884" s="4" t="n">
        <v>0</v>
      </c>
      <c r="G884" s="1" t="inlineStr">
        <is>
          <t>draft</t>
        </is>
      </c>
      <c r="H884" s="1" t="inlineStr">
        <is>
          <t>Falta el costo de compra (no está en ninguna tabla de precios)</t>
        </is>
      </c>
    </row>
    <row r="885">
      <c r="A885" s="1" t="inlineStr">
        <is>
          <t>43728096323564</t>
        </is>
      </c>
      <c r="B885" s="1" t="inlineStr">
        <is>
          <t>FWEE BLURRY PUDDING POT D-DAY</t>
        </is>
      </c>
      <c r="C885" s="1" t="inlineStr">
        <is>
          <t>Default Title</t>
        </is>
      </c>
      <c r="D885" s="1" t="inlineStr">
        <is>
          <t>Old Money Mexico</t>
        </is>
      </c>
      <c r="E885" s="6" t="n">
        <v>387</v>
      </c>
      <c r="F885" s="4" t="n">
        <v>0</v>
      </c>
      <c r="G885" s="1" t="inlineStr">
        <is>
          <t>draft</t>
        </is>
      </c>
      <c r="H885" s="1" t="inlineStr">
        <is>
          <t>Falta el costo de compra (no está en ninguna tabla de precios)</t>
        </is>
      </c>
    </row>
    <row r="886">
      <c r="A886" s="1" t="inlineStr">
        <is>
          <t>43728096433324</t>
        </is>
      </c>
      <c r="B886" s="1" t="inlineStr">
        <is>
          <t>TIR TIR MASK FIT RED CUSHION 23N SAND</t>
        </is>
      </c>
      <c r="C886" s="1" t="inlineStr">
        <is>
          <t>Default Title</t>
        </is>
      </c>
      <c r="D886" s="1" t="inlineStr">
        <is>
          <t>Old Money Mexico</t>
        </is>
      </c>
      <c r="E886" s="6" t="n">
        <v>527</v>
      </c>
      <c r="F886" s="4" t="n">
        <v>0</v>
      </c>
      <c r="G886" s="1" t="inlineStr">
        <is>
          <t>draft</t>
        </is>
      </c>
      <c r="H886" s="1" t="inlineStr">
        <is>
          <t>Falta el costo de compra (no está en ninguna tabla de precios)</t>
        </is>
      </c>
    </row>
    <row r="887">
      <c r="A887" s="1" t="inlineStr">
        <is>
          <t>43728096599116</t>
        </is>
      </c>
      <c r="B887" s="1" t="inlineStr">
        <is>
          <t>TIR TIR MASK FIT RED CUSHION 24N LATTE</t>
        </is>
      </c>
      <c r="C887" s="1" t="inlineStr">
        <is>
          <t>Default Title</t>
        </is>
      </c>
      <c r="D887" s="1" t="inlineStr">
        <is>
          <t>Old Money Mexico</t>
        </is>
      </c>
      <c r="E887" s="6" t="n">
        <v>527</v>
      </c>
      <c r="F887" s="4" t="n">
        <v>0</v>
      </c>
      <c r="G887" s="1" t="inlineStr">
        <is>
          <t>draft</t>
        </is>
      </c>
      <c r="H887" s="1" t="inlineStr">
        <is>
          <t>Falta el costo de compra (no está en ninguna tabla de precios)</t>
        </is>
      </c>
    </row>
    <row r="888">
      <c r="A888" s="1" t="inlineStr">
        <is>
          <t>43728096682796</t>
        </is>
      </c>
      <c r="B888" s="1" t="inlineStr">
        <is>
          <t>TORRIDEN DIVE-IN SERUM 50mL</t>
        </is>
      </c>
      <c r="C888" s="1" t="inlineStr">
        <is>
          <t>Default Title</t>
        </is>
      </c>
      <c r="D888" s="1" t="inlineStr">
        <is>
          <t>Old Money Mexico</t>
        </is>
      </c>
      <c r="E888" s="6" t="n">
        <v>780</v>
      </c>
      <c r="F888" s="4" t="n">
        <v>0</v>
      </c>
      <c r="G888" s="1" t="inlineStr">
        <is>
          <t>draft</t>
        </is>
      </c>
      <c r="H888" s="1" t="inlineStr">
        <is>
          <t>Falta el costo de compra (no está en ninguna tabla de precios)</t>
        </is>
      </c>
    </row>
    <row r="889">
      <c r="A889" s="1" t="inlineStr">
        <is>
          <t>43728096785836</t>
        </is>
      </c>
      <c r="B889" s="1" t="inlineStr">
        <is>
          <t>ROUND LAB 1025 DOKDO CLEANSER 200mL</t>
        </is>
      </c>
      <c r="C889" s="1" t="inlineStr">
        <is>
          <t>Default Title</t>
        </is>
      </c>
      <c r="D889" s="1" t="inlineStr">
        <is>
          <t>Old Money Mexico</t>
        </is>
      </c>
      <c r="E889" s="6" t="n">
        <v>400</v>
      </c>
      <c r="F889" s="4" t="n">
        <v>0</v>
      </c>
      <c r="G889" s="1" t="inlineStr">
        <is>
          <t>draft</t>
        </is>
      </c>
      <c r="H889" s="1" t="inlineStr">
        <is>
          <t>Falta el costo de compra (no está en ninguna tabla de precios)</t>
        </is>
      </c>
    </row>
    <row r="890">
      <c r="A890" s="1" t="inlineStr">
        <is>
          <t>6701d27c360a1</t>
        </is>
      </c>
      <c r="B890" s="1" t="inlineStr">
        <is>
          <t>COLLAR VW GOLD</t>
        </is>
      </c>
      <c r="C890" s="1" t="inlineStr">
        <is>
          <t>41cm con 6cm de extensión</t>
        </is>
      </c>
      <c r="D890" s="1" t="inlineStr">
        <is>
          <t>CYNTHIA CAO</t>
        </is>
      </c>
      <c r="E890" s="6" t="n">
        <v>500</v>
      </c>
      <c r="F890" s="4" t="n">
        <v>0</v>
      </c>
      <c r="G890" s="1" t="inlineStr">
        <is>
          <t>draft</t>
        </is>
      </c>
      <c r="H890" s="1" t="inlineStr">
        <is>
          <t>Falta el costo de compra (no está en ninguna tabla de precios)</t>
        </is>
      </c>
    </row>
    <row r="891">
      <c r="A891" s="1" t="inlineStr">
        <is>
          <t>6701d27bb1638</t>
        </is>
      </c>
      <c r="B891" s="1" t="inlineStr">
        <is>
          <t>ARETES VW MARELLA</t>
        </is>
      </c>
      <c r="C891" s="1" t="inlineStr">
        <is>
          <t>Default Title</t>
        </is>
      </c>
      <c r="D891" s="1" t="inlineStr">
        <is>
          <t>CYNTHIA CAO</t>
        </is>
      </c>
      <c r="E891" s="6" t="n">
        <v>412</v>
      </c>
      <c r="F891" s="4" t="n">
        <v>0</v>
      </c>
      <c r="G891" s="1" t="inlineStr">
        <is>
          <t>draft</t>
        </is>
      </c>
      <c r="H891" s="1" t="inlineStr">
        <is>
          <t>Falta el costo de compra (no está en ninguna tabla de precios)</t>
        </is>
      </c>
    </row>
    <row r="892">
      <c r="A892" s="1" t="inlineStr">
        <is>
          <t>6701d2744b7f8</t>
        </is>
      </c>
      <c r="B892" s="1" t="inlineStr">
        <is>
          <t>PULSERA VW LUZIA BAS RELIEF SILVER</t>
        </is>
      </c>
      <c r="C892" s="1" t="inlineStr">
        <is>
          <t>17cm con 3cm de Extension</t>
        </is>
      </c>
      <c r="D892" s="1" t="inlineStr">
        <is>
          <t>CYNTHIA CAO</t>
        </is>
      </c>
      <c r="E892" s="6" t="n">
        <v>450</v>
      </c>
      <c r="F892" s="4" t="n">
        <v>0</v>
      </c>
      <c r="G892" s="1" t="inlineStr">
        <is>
          <t>draft</t>
        </is>
      </c>
      <c r="H892" s="1" t="inlineStr">
        <is>
          <t>Falta el costo de compra (no está en ninguna tabla de precios)</t>
        </is>
      </c>
    </row>
    <row r="893">
      <c r="A893" s="1" t="inlineStr">
        <is>
          <t>6701d270e2de9</t>
        </is>
      </c>
      <c r="B893" s="1" t="inlineStr">
        <is>
          <t>ARETES VW CANDY SILVER</t>
        </is>
      </c>
      <c r="C893" s="1" t="inlineStr">
        <is>
          <t>Default Title</t>
        </is>
      </c>
      <c r="D893" s="1" t="inlineStr">
        <is>
          <t>CYNTHIA CAO</t>
        </is>
      </c>
      <c r="E893" s="6" t="n">
        <v>500</v>
      </c>
      <c r="F893" s="4" t="n">
        <v>0</v>
      </c>
      <c r="G893" s="1" t="inlineStr">
        <is>
          <t>draft</t>
        </is>
      </c>
      <c r="H893" s="1" t="inlineStr">
        <is>
          <t>Falta el costo de compra (no está en ninguna tabla de precios)</t>
        </is>
      </c>
    </row>
    <row r="894">
      <c r="A894" s="1" t="inlineStr">
        <is>
          <t>6701d1d17851a</t>
        </is>
      </c>
      <c r="B894" s="1" t="inlineStr">
        <is>
          <t>BOLSO JM MEZCLILLA</t>
        </is>
      </c>
      <c r="C894" s="1" t="inlineStr">
        <is>
          <t>18cm de largo x 25.8cm de alto x 7cm de ancho</t>
        </is>
      </c>
      <c r="D894" s="1" t="inlineStr">
        <is>
          <t>ZOEY</t>
        </is>
      </c>
      <c r="E894" s="6" t="n">
        <v>2399</v>
      </c>
      <c r="F894" s="4" t="n">
        <v>0</v>
      </c>
      <c r="G894" s="1" t="inlineStr">
        <is>
          <t>draft</t>
        </is>
      </c>
      <c r="H894" s="1" t="inlineStr">
        <is>
          <t>Falta el costo de compra (no está en ninguna tabla de precios)</t>
        </is>
      </c>
    </row>
    <row r="895">
      <c r="A895" s="1" t="inlineStr">
        <is>
          <t>6701d1d0b042a</t>
        </is>
      </c>
      <c r="B895" s="1" t="inlineStr">
        <is>
          <t>BOLSO MM HOBO BLACK CHAROL</t>
        </is>
      </c>
      <c r="C895" s="1" t="inlineStr">
        <is>
          <t>20.5cm de largo x 16cm de alto (sin incluir la correa) x 6cm de ancho</t>
        </is>
      </c>
      <c r="D895" s="1" t="inlineStr">
        <is>
          <t>ZOEY</t>
        </is>
      </c>
      <c r="E895" s="6" t="n">
        <v>2775</v>
      </c>
      <c r="F895" s="4" t="n">
        <v>0</v>
      </c>
      <c r="G895" s="1" t="inlineStr">
        <is>
          <t>draft</t>
        </is>
      </c>
      <c r="H895" s="1" t="inlineStr">
        <is>
          <t>Falta el costo de compra (no está en ninguna tabla de precios)</t>
        </is>
      </c>
    </row>
    <row r="896">
      <c r="A896" s="1" t="inlineStr">
        <is>
          <t>43239684079756</t>
        </is>
      </c>
      <c r="B896" s="1" t="inlineStr">
        <is>
          <t>COSMETIC BAG RHODE</t>
        </is>
      </c>
      <c r="C896" s="1" t="inlineStr">
        <is>
          <t>37cm de largo x 24cm de alto</t>
        </is>
      </c>
      <c r="D896" s="1" t="inlineStr">
        <is>
          <t>Old Money Mexico</t>
        </is>
      </c>
      <c r="E896" s="6" t="n">
        <v>799</v>
      </c>
      <c r="F896" s="4" t="n">
        <v>0</v>
      </c>
      <c r="G896" s="1" t="inlineStr">
        <is>
          <t>draft</t>
        </is>
      </c>
      <c r="H896" s="1" t="inlineStr">
        <is>
          <t>Falta el costo de compra (no está en ninguna tabla de precios)</t>
        </is>
      </c>
    </row>
    <row r="897">
      <c r="A897" s="1" t="inlineStr">
        <is>
          <t>43239603142796</t>
        </is>
      </c>
      <c r="B897" s="1" t="inlineStr">
        <is>
          <t>RHODE PINEAPPLE REFRESH</t>
        </is>
      </c>
      <c r="C897" s="1" t="inlineStr">
        <is>
          <t>Default Title</t>
        </is>
      </c>
      <c r="D897" s="1" t="inlineStr">
        <is>
          <t>Old Money Mexico</t>
        </is>
      </c>
      <c r="E897" s="6" t="n">
        <v>823</v>
      </c>
      <c r="F897" s="4" t="n">
        <v>0</v>
      </c>
      <c r="G897" s="1" t="inlineStr">
        <is>
          <t>draft</t>
        </is>
      </c>
      <c r="H897" s="1" t="inlineStr">
        <is>
          <t>Falta el costo de compra (no está en ninguna tabla de precios)</t>
        </is>
      </c>
    </row>
    <row r="898">
      <c r="A898" s="1" t="inlineStr">
        <is>
          <t>43239534395532</t>
        </is>
      </c>
      <c r="B898" s="1" t="inlineStr">
        <is>
          <t>RHODE BARRIER RESTORE CREAM</t>
        </is>
      </c>
      <c r="C898" s="1" t="inlineStr">
        <is>
          <t>Default Title</t>
        </is>
      </c>
      <c r="D898" s="1" t="inlineStr">
        <is>
          <t>Old Money Mexico</t>
        </is>
      </c>
      <c r="E898" s="6" t="n">
        <v>823.75</v>
      </c>
      <c r="F898" s="4" t="n">
        <v>0</v>
      </c>
      <c r="G898" s="1" t="inlineStr">
        <is>
          <t>draft</t>
        </is>
      </c>
      <c r="H898" s="1" t="inlineStr">
        <is>
          <t>Falta el costo de compra (no está en ninguna tabla de precios)</t>
        </is>
      </c>
    </row>
    <row r="899">
      <c r="A899" s="1" t="inlineStr">
        <is>
          <t>43239523549324</t>
        </is>
      </c>
      <c r="B899" s="1" t="inlineStr">
        <is>
          <t>RHODE PEPTIDE GLAZING FLUID</t>
        </is>
      </c>
      <c r="C899" s="1" t="inlineStr">
        <is>
          <t>Default Title</t>
        </is>
      </c>
      <c r="D899" s="1" t="inlineStr">
        <is>
          <t>Old Money Mexico</t>
        </is>
      </c>
      <c r="E899" s="6" t="n">
        <v>823.7</v>
      </c>
      <c r="F899" s="4" t="n">
        <v>0</v>
      </c>
      <c r="G899" s="1" t="inlineStr">
        <is>
          <t>draft</t>
        </is>
      </c>
      <c r="H899" s="1" t="inlineStr">
        <is>
          <t>Falta el costo de compra (no está en ninguna tabla de precios)</t>
        </is>
      </c>
    </row>
    <row r="900">
      <c r="A900" s="1" t="inlineStr">
        <is>
          <t>43239482425484</t>
        </is>
      </c>
      <c r="B900" s="1" t="inlineStr">
        <is>
          <t>RHODE GLAZING MILK</t>
        </is>
      </c>
      <c r="C900" s="1" t="inlineStr">
        <is>
          <t>Default Title</t>
        </is>
      </c>
      <c r="D900" s="1" t="inlineStr">
        <is>
          <t>Old Money Mexico</t>
        </is>
      </c>
      <c r="E900" s="6" t="n">
        <v>823</v>
      </c>
      <c r="F900" s="4" t="n">
        <v>0</v>
      </c>
      <c r="G900" s="1" t="inlineStr">
        <is>
          <t>draft</t>
        </is>
      </c>
      <c r="H900" s="1" t="inlineStr">
        <is>
          <t>Falta el costo de compra (no está en ninguna tabla de precios)</t>
        </is>
      </c>
    </row>
    <row r="901">
      <c r="A901" s="1" t="inlineStr">
        <is>
          <t>43239444938892</t>
        </is>
      </c>
      <c r="B901" s="1" t="inlineStr">
        <is>
          <t>RHODE CASE GUAVA SPRITZ</t>
        </is>
      </c>
      <c r="C901" s="1" t="inlineStr">
        <is>
          <t>iPhone 15 Pro</t>
        </is>
      </c>
      <c r="D901" s="1" t="inlineStr">
        <is>
          <t>Old Money Mexico</t>
        </is>
      </c>
      <c r="E901" s="6" t="n">
        <v>975</v>
      </c>
      <c r="F901" s="4" t="n">
        <v>0</v>
      </c>
      <c r="G901" s="1" t="inlineStr">
        <is>
          <t>draft</t>
        </is>
      </c>
      <c r="H901" s="1" t="inlineStr">
        <is>
          <t>Falta el costo de compra (no está en ninguna tabla de precios)</t>
        </is>
      </c>
    </row>
    <row r="902">
      <c r="A902" s="1" t="inlineStr">
        <is>
          <t>43239328776332</t>
        </is>
      </c>
      <c r="B902" s="1" t="inlineStr">
        <is>
          <t>RHODE CASE SALTY TAN</t>
        </is>
      </c>
      <c r="C902" s="1" t="inlineStr">
        <is>
          <t>iPhone 15 Pro</t>
        </is>
      </c>
      <c r="D902" s="1" t="inlineStr">
        <is>
          <t>Old Money Mexico</t>
        </is>
      </c>
      <c r="E902" s="6" t="n">
        <v>975</v>
      </c>
      <c r="F902" s="4" t="n">
        <v>0</v>
      </c>
      <c r="G902" s="1" t="inlineStr">
        <is>
          <t>draft</t>
        </is>
      </c>
      <c r="H902" s="1" t="inlineStr">
        <is>
          <t>Falta el costo de compra (no está en ninguna tabla de precios)</t>
        </is>
      </c>
    </row>
    <row r="903">
      <c r="A903" s="1" t="inlineStr">
        <is>
          <t>43239303184524</t>
        </is>
      </c>
      <c r="B903" s="1" t="inlineStr">
        <is>
          <t>PEPTIDE LIP TINT PEACH PIT</t>
        </is>
      </c>
      <c r="C903" s="1" t="inlineStr">
        <is>
          <t>Default Title</t>
        </is>
      </c>
      <c r="D903" s="1" t="inlineStr">
        <is>
          <t>Old Money Mexico</t>
        </is>
      </c>
      <c r="E903" s="6" t="n">
        <v>510</v>
      </c>
      <c r="F903" s="4" t="n">
        <v>0</v>
      </c>
      <c r="G903" s="1" t="inlineStr">
        <is>
          <t>draft</t>
        </is>
      </c>
      <c r="H903" s="1" t="inlineStr">
        <is>
          <t>Falta el costo de compra (no está en ninguna tabla de precios)</t>
        </is>
      </c>
    </row>
    <row r="904">
      <c r="A904" s="1" t="inlineStr">
        <is>
          <t>43239287816332</t>
        </is>
      </c>
      <c r="B904" s="1" t="inlineStr">
        <is>
          <t>PEPTIDE LIP TINT SALTY TAN</t>
        </is>
      </c>
      <c r="C904" s="1" t="inlineStr">
        <is>
          <t>Default Title</t>
        </is>
      </c>
      <c r="D904" s="1" t="inlineStr">
        <is>
          <t>Old Money Mexico</t>
        </is>
      </c>
      <c r="E904" s="6" t="n">
        <v>680</v>
      </c>
      <c r="F904" s="4" t="n">
        <v>0</v>
      </c>
      <c r="G904" s="1" t="inlineStr">
        <is>
          <t>draft</t>
        </is>
      </c>
      <c r="H904" s="1" t="inlineStr">
        <is>
          <t>Falta el costo de compra (no está en ninguna tabla de precios)</t>
        </is>
      </c>
    </row>
    <row r="905">
      <c r="A905" s="1" t="inlineStr">
        <is>
          <t>43239276347532</t>
        </is>
      </c>
      <c r="B905" s="1" t="inlineStr">
        <is>
          <t>PEPTIDE LIP TINT SHORTCAKE</t>
        </is>
      </c>
      <c r="C905" s="1" t="inlineStr">
        <is>
          <t>Default Title</t>
        </is>
      </c>
      <c r="D905" s="1" t="inlineStr">
        <is>
          <t>Old Money Mexico</t>
        </is>
      </c>
      <c r="E905" s="6" t="n">
        <v>510</v>
      </c>
      <c r="F905" s="4" t="n">
        <v>0</v>
      </c>
      <c r="G905" s="1" t="inlineStr">
        <is>
          <t>draft</t>
        </is>
      </c>
      <c r="H905" s="1" t="inlineStr">
        <is>
          <t>Falta el costo de compra (no está en ninguna tabla de precios)</t>
        </is>
      </c>
    </row>
    <row r="906">
      <c r="A906" s="1" t="inlineStr">
        <is>
          <t>43239198032012</t>
        </is>
      </c>
      <c r="B906" s="1" t="inlineStr">
        <is>
          <t>PEPTIDE LIP TINT GUAVA SPRITZ</t>
        </is>
      </c>
      <c r="C906" s="1" t="inlineStr">
        <is>
          <t>Default Title</t>
        </is>
      </c>
      <c r="D906" s="1" t="inlineStr">
        <is>
          <t>Old Money Mexico</t>
        </is>
      </c>
      <c r="E906" s="6" t="n">
        <v>510</v>
      </c>
      <c r="F906" s="4" t="n">
        <v>0</v>
      </c>
      <c r="G906" s="1" t="inlineStr">
        <is>
          <t>draft</t>
        </is>
      </c>
      <c r="H906" s="1" t="inlineStr">
        <is>
          <t>Falta el costo de compra (no está en ninguna tabla de precios)</t>
        </is>
      </c>
    </row>
    <row r="907">
      <c r="A907" s="1" t="inlineStr">
        <is>
          <t>43239143735436</t>
        </is>
      </c>
      <c r="B907" s="1" t="inlineStr">
        <is>
          <t>POCKET BLUSH JUICE BOX</t>
        </is>
      </c>
      <c r="C907" s="1" t="inlineStr">
        <is>
          <t>Default Title</t>
        </is>
      </c>
      <c r="D907" s="1" t="inlineStr">
        <is>
          <t>Old Money Mexico</t>
        </is>
      </c>
      <c r="E907" s="6" t="n">
        <v>637</v>
      </c>
      <c r="F907" s="4" t="n">
        <v>0</v>
      </c>
      <c r="G907" s="1" t="inlineStr">
        <is>
          <t>draft</t>
        </is>
      </c>
      <c r="H907" s="1" t="inlineStr">
        <is>
          <t>Falta el costo de compra (no está en ninguna tabla de precios)</t>
        </is>
      </c>
    </row>
    <row r="908">
      <c r="A908" s="1" t="inlineStr">
        <is>
          <t>43216649715852</t>
        </is>
      </c>
      <c r="B908" s="1" t="inlineStr">
        <is>
          <t>POCKET BLUSH SPICY MARG</t>
        </is>
      </c>
      <c r="C908" s="1" t="inlineStr">
        <is>
          <t>Default Title</t>
        </is>
      </c>
      <c r="D908" s="1" t="inlineStr">
        <is>
          <t>Old Money Mexico</t>
        </is>
      </c>
      <c r="E908" s="6" t="n">
        <v>637</v>
      </c>
      <c r="F908" s="4" t="n">
        <v>0</v>
      </c>
      <c r="G908" s="1" t="inlineStr">
        <is>
          <t>draft</t>
        </is>
      </c>
      <c r="H908" s="1" t="inlineStr">
        <is>
          <t>Falta el costo de compra (no está en ninguna tabla de precios)</t>
        </is>
      </c>
    </row>
    <row r="909">
      <c r="A909" s="1" t="inlineStr">
        <is>
          <t>94956737586572</t>
        </is>
      </c>
      <c r="B909" s="1" t="inlineStr">
        <is>
          <t>BOLSO DE VIAJE GC</t>
        </is>
      </c>
      <c r="C909" s="1" t="inlineStr">
        <is>
          <t>39cm de alto x 51cm de largo x 20cm ancho</t>
        </is>
      </c>
      <c r="D909" s="1" t="inlineStr">
        <is>
          <t>DINA DU</t>
        </is>
      </c>
      <c r="E909" s="6" t="n">
        <v>2500</v>
      </c>
      <c r="F909" s="4" t="n">
        <v>0</v>
      </c>
      <c r="G909" s="1" t="inlineStr">
        <is>
          <t>draft</t>
        </is>
      </c>
      <c r="H909" s="1" t="inlineStr">
        <is>
          <t>Falta el costo de compra (no está en ninguna tabla de precios)</t>
        </is>
      </c>
    </row>
    <row r="910">
      <c r="A910" s="1" t="inlineStr">
        <is>
          <t>66be5d65543d5</t>
        </is>
      </c>
      <c r="B910" s="1" t="inlineStr">
        <is>
          <t>BOLSO JODIE BT OFF WHITE</t>
        </is>
      </c>
      <c r="C910" s="1" t="inlineStr">
        <is>
          <t>16cm de alto x 26cm de largo</t>
        </is>
      </c>
      <c r="D910" s="1" t="inlineStr">
        <is>
          <t>Old Money Mexico</t>
        </is>
      </c>
      <c r="E910" s="6" t="n">
        <v>1600</v>
      </c>
      <c r="F910" s="4" t="n">
        <v>0</v>
      </c>
      <c r="G910" s="1" t="inlineStr">
        <is>
          <t>draft</t>
        </is>
      </c>
      <c r="H910" s="1" t="inlineStr">
        <is>
          <t>Falta el costo de compra (no está en ninguna tabla de precios)</t>
        </is>
      </c>
    </row>
    <row r="911">
      <c r="A911" s="1" t="inlineStr">
        <is>
          <t>94956728654732</t>
        </is>
      </c>
      <c r="B911" s="1" t="inlineStr">
        <is>
          <t>BOLSO SARDINE BT OFF WHITE CON CUERDA</t>
        </is>
      </c>
      <c r="C911" s="1" t="inlineStr">
        <is>
          <t>18cm de alto x 27cm de largo</t>
        </is>
      </c>
      <c r="D911" s="1" t="inlineStr">
        <is>
          <t>DINA DU</t>
        </is>
      </c>
      <c r="E911" s="6" t="n">
        <v>1999</v>
      </c>
      <c r="F911" s="4" t="n">
        <v>0</v>
      </c>
      <c r="G911" s="1" t="inlineStr">
        <is>
          <t>draft</t>
        </is>
      </c>
      <c r="H911" s="1" t="inlineStr">
        <is>
          <t>Falta el costo de compra (no está en ninguna tabla de precios)</t>
        </is>
      </c>
    </row>
    <row r="912">
      <c r="A912" s="1" t="inlineStr">
        <is>
          <t>94956742237964</t>
        </is>
      </c>
      <c r="B912" s="1" t="inlineStr">
        <is>
          <t>BOLSO JM GREEN</t>
        </is>
      </c>
      <c r="C912" s="1" t="inlineStr">
        <is>
          <t>13cm de alto x 17.3cm de largo x 7cm de ancho   12cm de alto de correa</t>
        </is>
      </c>
      <c r="D912" s="1" t="inlineStr">
        <is>
          <t>ZOEY</t>
        </is>
      </c>
      <c r="E912" s="6" t="n">
        <v>2625</v>
      </c>
      <c r="F912" s="4" t="n">
        <v>0</v>
      </c>
      <c r="G912" s="1" t="inlineStr">
        <is>
          <t>draft</t>
        </is>
      </c>
      <c r="H912" s="1" t="inlineStr">
        <is>
          <t>Falta el costo de compra (no está en ninguna tabla de precios)</t>
        </is>
      </c>
    </row>
    <row r="913">
      <c r="A913" s="1" t="inlineStr">
        <is>
          <t>43728099522252</t>
        </is>
      </c>
      <c r="B913" s="1" t="inlineStr">
        <is>
          <t>BOLSO JM GREEN</t>
        </is>
      </c>
      <c r="C913" s="1" t="inlineStr">
        <is>
          <t>16cm de alto x 19.5cm de largo x 7cm de ancho 15cm de alto de correa</t>
        </is>
      </c>
      <c r="D913" s="1" t="inlineStr">
        <is>
          <t>ZOEY</t>
        </is>
      </c>
      <c r="E913" s="6" t="n">
        <v>1125</v>
      </c>
      <c r="F913" s="4" t="n">
        <v>0</v>
      </c>
      <c r="G913" s="1" t="inlineStr">
        <is>
          <t>draft</t>
        </is>
      </c>
      <c r="H913" s="1" t="inlineStr">
        <is>
          <t>Falta el costo de compra (no está en ninguna tabla de precios)</t>
        </is>
      </c>
    </row>
    <row r="914">
      <c r="A914" s="1" t="inlineStr">
        <is>
          <t>43078698762380</t>
        </is>
      </c>
      <c r="B914" s="1" t="inlineStr">
        <is>
          <t>CHARM SUNLIGHT</t>
        </is>
      </c>
      <c r="C914" s="1" t="inlineStr">
        <is>
          <t>Default Title</t>
        </is>
      </c>
      <c r="D914" s="1" t="inlineStr">
        <is>
          <t>CYNTHIA CAO</t>
        </is>
      </c>
      <c r="E914" s="6" t="n">
        <v>399</v>
      </c>
      <c r="F914" s="4" t="n">
        <v>0</v>
      </c>
      <c r="G914" s="1" t="inlineStr">
        <is>
          <t>draft</t>
        </is>
      </c>
      <c r="H914" s="1" t="inlineStr">
        <is>
          <t>Falta el costo de compra (no está en ninguna tabla de precios)</t>
        </is>
      </c>
    </row>
    <row r="915">
      <c r="A915" s="1" t="inlineStr">
        <is>
          <t>43078615564428</t>
        </is>
      </c>
      <c r="B915" s="1" t="inlineStr">
        <is>
          <t>ANILLO P BANDA TRIPLE</t>
        </is>
      </c>
      <c r="C915" s="1" t="n">
        <v>6</v>
      </c>
      <c r="D915" s="1" t="inlineStr">
        <is>
          <t>CYNTHIA CAO</t>
        </is>
      </c>
      <c r="E915" s="6" t="n">
        <v>450</v>
      </c>
      <c r="F915" s="4" t="n">
        <v>0</v>
      </c>
      <c r="G915" s="1" t="inlineStr">
        <is>
          <t>draft</t>
        </is>
      </c>
      <c r="H915" s="1" t="inlineStr">
        <is>
          <t>Falta el costo de compra (no está en ninguna tabla de precios)</t>
        </is>
      </c>
    </row>
    <row r="916">
      <c r="A916" s="1" t="inlineStr">
        <is>
          <t>43078615597196</t>
        </is>
      </c>
      <c r="B916" s="1" t="inlineStr">
        <is>
          <t>ANILLO P BANDA TRIPLE</t>
        </is>
      </c>
      <c r="C916" s="1" t="n">
        <v>7</v>
      </c>
      <c r="D916" s="1" t="inlineStr">
        <is>
          <t>CYNTHIA CAO</t>
        </is>
      </c>
      <c r="E916" s="6" t="n">
        <v>450</v>
      </c>
      <c r="F916" s="4" t="n">
        <v>0</v>
      </c>
      <c r="G916" s="1" t="inlineStr">
        <is>
          <t>draft</t>
        </is>
      </c>
      <c r="H916" s="1" t="inlineStr">
        <is>
          <t>Falta el costo de compra (no está en ninguna tabla de precios)</t>
        </is>
      </c>
    </row>
    <row r="917">
      <c r="A917" s="1" t="inlineStr">
        <is>
          <t>43071839568012</t>
        </is>
      </c>
      <c r="B917" s="1" t="inlineStr">
        <is>
          <t>ANILLO P RED HEART</t>
        </is>
      </c>
      <c r="C917" s="1" t="n">
        <v>6</v>
      </c>
      <c r="D917" s="1" t="inlineStr">
        <is>
          <t>CYNTHIA CAO</t>
        </is>
      </c>
      <c r="E917" s="6" t="n">
        <v>450</v>
      </c>
      <c r="F917" s="4" t="n">
        <v>0</v>
      </c>
      <c r="G917" s="1" t="inlineStr">
        <is>
          <t>draft</t>
        </is>
      </c>
      <c r="H917" s="1" t="inlineStr">
        <is>
          <t>Falta el costo de compra (no está en ninguna tabla de precios)</t>
        </is>
      </c>
    </row>
    <row r="918">
      <c r="A918" s="1" t="inlineStr">
        <is>
          <t>43071839600780</t>
        </is>
      </c>
      <c r="B918" s="1" t="inlineStr">
        <is>
          <t>ANILLO P RED HEART</t>
        </is>
      </c>
      <c r="C918" s="1" t="n">
        <v>7</v>
      </c>
      <c r="D918" s="1" t="inlineStr">
        <is>
          <t>CYNTHIA CAO</t>
        </is>
      </c>
      <c r="E918" s="6" t="n">
        <v>450</v>
      </c>
      <c r="F918" s="4" t="n">
        <v>0</v>
      </c>
      <c r="G918" s="1" t="inlineStr">
        <is>
          <t>draft</t>
        </is>
      </c>
      <c r="H918" s="1" t="inlineStr">
        <is>
          <t>Falta el costo de compra (no está en ninguna tabla de precios)</t>
        </is>
      </c>
    </row>
    <row r="919">
      <c r="A919" s="1" t="inlineStr">
        <is>
          <t>43071839633548</t>
        </is>
      </c>
      <c r="B919" s="1" t="inlineStr">
        <is>
          <t>ANILLO P RED HEART</t>
        </is>
      </c>
      <c r="C919" s="1" t="n">
        <v>8</v>
      </c>
      <c r="D919" s="1" t="inlineStr">
        <is>
          <t>CYNTHIA CAO</t>
        </is>
      </c>
      <c r="E919" s="6" t="n">
        <v>450</v>
      </c>
      <c r="F919" s="4" t="n">
        <v>0</v>
      </c>
      <c r="G919" s="1" t="inlineStr">
        <is>
          <t>draft</t>
        </is>
      </c>
      <c r="H919" s="1" t="inlineStr">
        <is>
          <t>Falta el costo de compra (no está en ninguna tabla de precios)</t>
        </is>
      </c>
    </row>
    <row r="920">
      <c r="A920" s="1" t="inlineStr">
        <is>
          <t>43071822299276</t>
        </is>
      </c>
      <c r="B920" s="1" t="inlineStr">
        <is>
          <t>CHARM STRAWBERRY</t>
        </is>
      </c>
      <c r="C920" s="1" t="inlineStr">
        <is>
          <t>Default Title</t>
        </is>
      </c>
      <c r="D920" s="1" t="inlineStr">
        <is>
          <t>CYNTHIA CAO</t>
        </is>
      </c>
      <c r="E920" s="6" t="n">
        <v>399</v>
      </c>
      <c r="F920" s="4" t="n">
        <v>0</v>
      </c>
      <c r="G920" s="1" t="inlineStr">
        <is>
          <t>draft</t>
        </is>
      </c>
      <c r="H920" s="1" t="inlineStr">
        <is>
          <t>Falta el costo de compra (no está en ninguna tabla de precios)</t>
        </is>
      </c>
    </row>
    <row r="921">
      <c r="A921" s="1" t="inlineStr">
        <is>
          <t>668eeef286b6e</t>
        </is>
      </c>
      <c r="B921" s="1" t="inlineStr">
        <is>
          <t>BOLSO SARDINE BT OFF WHITE</t>
        </is>
      </c>
      <c r="C921" s="1" t="inlineStr">
        <is>
          <t>30cm de largo x 17cm de largo</t>
        </is>
      </c>
      <c r="D921" s="1" t="inlineStr">
        <is>
          <t>CYNTHIA CAO</t>
        </is>
      </c>
      <c r="E921" s="6" t="n">
        <v>2625</v>
      </c>
      <c r="F921" s="4" t="n">
        <v>0</v>
      </c>
      <c r="G921" s="1" t="inlineStr">
        <is>
          <t>draft</t>
        </is>
      </c>
      <c r="H921" s="1" t="inlineStr">
        <is>
          <t>Falta el costo de compra (no está en ninguna tabla de precios)</t>
        </is>
      </c>
    </row>
    <row r="922">
      <c r="A922" s="1" t="inlineStr">
        <is>
          <t>668eeef579eae</t>
        </is>
      </c>
      <c r="B922" s="1" t="inlineStr">
        <is>
          <t>BOLSO SARDINE BT BLACK</t>
        </is>
      </c>
      <c r="C922" s="1" t="inlineStr">
        <is>
          <t>28cm de largo x 18cm de alto</t>
        </is>
      </c>
      <c r="D922" s="1" t="inlineStr">
        <is>
          <t>CYNTHIA CAO</t>
        </is>
      </c>
      <c r="E922" s="6" t="n">
        <v>2625</v>
      </c>
      <c r="F922" s="4" t="n">
        <v>0</v>
      </c>
      <c r="G922" s="1" t="inlineStr">
        <is>
          <t>draft</t>
        </is>
      </c>
      <c r="H922" s="1" t="inlineStr">
        <is>
          <t>Falta el costo de compra (no está en ninguna tabla de precios)</t>
        </is>
      </c>
    </row>
    <row r="923">
      <c r="A923" s="1" t="inlineStr">
        <is>
          <t>66581e36d9758</t>
        </is>
      </c>
      <c r="B923" s="1" t="inlineStr">
        <is>
          <t>BOLSO YSL BLACK CROCODILE</t>
        </is>
      </c>
      <c r="C923" s="1" t="inlineStr">
        <is>
          <t>15cm de alto x 22cm de ancho x 4.5cm de ancho</t>
        </is>
      </c>
      <c r="D923" s="1" t="inlineStr">
        <is>
          <t>Old Money Mexico</t>
        </is>
      </c>
      <c r="E923" s="6" t="n">
        <v>1100</v>
      </c>
      <c r="F923" s="4" t="n">
        <v>0</v>
      </c>
      <c r="G923" s="1" t="inlineStr">
        <is>
          <t>draft</t>
        </is>
      </c>
      <c r="H923" s="1" t="inlineStr">
        <is>
          <t>Falta el costo de compra (no está en ninguna tabla de precios)</t>
        </is>
      </c>
    </row>
    <row r="924">
      <c r="A924" s="1" t="inlineStr">
        <is>
          <t>66b684a284f43</t>
        </is>
      </c>
      <c r="B924" s="1" t="inlineStr">
        <is>
          <t>BOLSO YSL BLACK CROCODILE</t>
        </is>
      </c>
      <c r="C924" s="1" t="inlineStr">
        <is>
          <t>15cm de alto x 22cm de ancho x 4.5cm de ancho (OUTLET)</t>
        </is>
      </c>
      <c r="D924" s="1" t="inlineStr">
        <is>
          <t>Old Money Mexico</t>
        </is>
      </c>
      <c r="E924" s="6" t="n">
        <v>599</v>
      </c>
      <c r="F924" s="4" t="n">
        <v>0</v>
      </c>
      <c r="G924" s="1" t="inlineStr">
        <is>
          <t>draft</t>
        </is>
      </c>
      <c r="H924" s="1" t="inlineStr">
        <is>
          <t>Falta el costo de compra (no está en ninguna tabla de precios)</t>
        </is>
      </c>
    </row>
    <row r="925">
      <c r="A925" s="1" t="inlineStr">
        <is>
          <t>42735296315532</t>
        </is>
      </c>
      <c r="B925" s="1" t="inlineStr">
        <is>
          <t>GORRA AM BEIGE</t>
        </is>
      </c>
      <c r="C925" s="1" t="inlineStr">
        <is>
          <t>AJUSTABLE</t>
        </is>
      </c>
      <c r="D925" s="1" t="inlineStr">
        <is>
          <t>Old Money Mexico</t>
        </is>
      </c>
      <c r="E925" s="6" t="n">
        <v>960</v>
      </c>
      <c r="F925" s="4" t="n">
        <v>0</v>
      </c>
      <c r="G925" s="1" t="inlineStr">
        <is>
          <t>draft</t>
        </is>
      </c>
      <c r="H925" s="1" t="inlineStr">
        <is>
          <t>Falta el costo de compra (no está en ninguna tabla de precios)</t>
        </is>
      </c>
    </row>
    <row r="926">
      <c r="A926" s="1" t="inlineStr">
        <is>
          <t>42735262761100</t>
        </is>
      </c>
      <c r="B926" s="1" t="inlineStr">
        <is>
          <t>GORRA AM WHITE</t>
        </is>
      </c>
      <c r="C926" s="1" t="inlineStr">
        <is>
          <t>AJUSTABLE</t>
        </is>
      </c>
      <c r="D926" s="1" t="inlineStr">
        <is>
          <t>Old Money Mexico</t>
        </is>
      </c>
      <c r="E926" s="6" t="n">
        <v>960</v>
      </c>
      <c r="F926" s="4" t="n">
        <v>0</v>
      </c>
      <c r="G926" s="1" t="inlineStr">
        <is>
          <t>draft</t>
        </is>
      </c>
      <c r="H926" s="1" t="inlineStr">
        <is>
          <t>Falta el costo de compra (no está en ninguna tabla de precios)</t>
        </is>
      </c>
    </row>
    <row r="927">
      <c r="A927" s="1" t="inlineStr">
        <is>
          <t>42735253979276</t>
        </is>
      </c>
      <c r="B927" s="1" t="inlineStr">
        <is>
          <t>GORRA AM LOGO COLORS</t>
        </is>
      </c>
      <c r="C927" s="1" t="inlineStr">
        <is>
          <t>AJUSTABLE</t>
        </is>
      </c>
      <c r="D927" s="1" t="inlineStr">
        <is>
          <t>Old Money Mexico</t>
        </is>
      </c>
      <c r="E927" s="6" t="n">
        <v>960</v>
      </c>
      <c r="F927" s="4" t="n">
        <v>0</v>
      </c>
      <c r="G927" s="1" t="inlineStr">
        <is>
          <t>draft</t>
        </is>
      </c>
      <c r="H927" s="1" t="inlineStr">
        <is>
          <t>Falta el costo de compra (no está en ninguna tabla de precios)</t>
        </is>
      </c>
    </row>
    <row r="928">
      <c r="A928" s="1" t="inlineStr">
        <is>
          <t>42735236415628</t>
        </is>
      </c>
      <c r="B928" s="1" t="inlineStr">
        <is>
          <t>GORRA AM COLORS</t>
        </is>
      </c>
      <c r="C928" s="1" t="inlineStr">
        <is>
          <t>AJUSTABLE</t>
        </is>
      </c>
      <c r="D928" s="1" t="inlineStr">
        <is>
          <t>Old Money Mexico</t>
        </is>
      </c>
      <c r="E928" s="6" t="n">
        <v>960</v>
      </c>
      <c r="F928" s="4" t="n">
        <v>0</v>
      </c>
      <c r="G928" s="1" t="inlineStr">
        <is>
          <t>draft</t>
        </is>
      </c>
      <c r="H928" s="1" t="inlineStr">
        <is>
          <t>Falta el costo de compra (no está en ninguna tabla de precios)</t>
        </is>
      </c>
    </row>
    <row r="929">
      <c r="A929" s="1" t="inlineStr">
        <is>
          <t>42735027683468</t>
        </is>
      </c>
      <c r="B929" s="1" t="inlineStr">
        <is>
          <t>CAMISETA K WHITE</t>
        </is>
      </c>
      <c r="C929" s="1" t="inlineStr">
        <is>
          <t>M</t>
        </is>
      </c>
      <c r="D929" s="1" t="inlineStr">
        <is>
          <t>Old Money Mexico</t>
        </is>
      </c>
      <c r="E929" s="6" t="n">
        <v>720</v>
      </c>
      <c r="F929" s="4" t="n">
        <v>0</v>
      </c>
      <c r="G929" s="1" t="inlineStr">
        <is>
          <t>draft</t>
        </is>
      </c>
      <c r="H929" s="1" t="inlineStr">
        <is>
          <t>Falta el costo de compra (no está en ninguna tabla de precios)</t>
        </is>
      </c>
    </row>
    <row r="930">
      <c r="A930" s="1" t="inlineStr">
        <is>
          <t>42735005204620</t>
        </is>
      </c>
      <c r="B930" s="1" t="inlineStr">
        <is>
          <t>CAMISETA K BLACK</t>
        </is>
      </c>
      <c r="C930" s="1" t="inlineStr">
        <is>
          <t>L</t>
        </is>
      </c>
      <c r="D930" s="1" t="inlineStr">
        <is>
          <t>Old Money Mexico</t>
        </is>
      </c>
      <c r="E930" s="6" t="n">
        <v>720</v>
      </c>
      <c r="F930" s="4" t="n">
        <v>0</v>
      </c>
      <c r="G930" s="1" t="inlineStr">
        <is>
          <t>draft</t>
        </is>
      </c>
      <c r="H930" s="1" t="inlineStr">
        <is>
          <t>Falta el costo de compra (no está en ninguna tabla de precios)</t>
        </is>
      </c>
    </row>
    <row r="931">
      <c r="A931" s="1" t="inlineStr">
        <is>
          <t>42734806401164</t>
        </is>
      </c>
      <c r="B931" s="1" t="inlineStr">
        <is>
          <t>CAMISETAS OFF BLACK &amp; WHITE</t>
        </is>
      </c>
      <c r="C931" s="1" t="inlineStr">
        <is>
          <t>WHITE / M</t>
        </is>
      </c>
      <c r="D931" s="1" t="inlineStr">
        <is>
          <t>Old Money Mexico</t>
        </is>
      </c>
      <c r="E931" s="6" t="n">
        <v>900</v>
      </c>
      <c r="F931" s="4" t="n">
        <v>0</v>
      </c>
      <c r="G931" s="1" t="inlineStr">
        <is>
          <t>draft</t>
        </is>
      </c>
      <c r="H931" s="1" t="inlineStr">
        <is>
          <t>Falta el costo de compra (no está en ninguna tabla de precios)</t>
        </is>
      </c>
    </row>
    <row r="932">
      <c r="A932" s="1" t="inlineStr">
        <is>
          <t>42734806433932</t>
        </is>
      </c>
      <c r="B932" s="1" t="inlineStr">
        <is>
          <t>CAMISETAS OFF BLACK &amp; WHITE</t>
        </is>
      </c>
      <c r="C932" s="1" t="inlineStr">
        <is>
          <t>BLACK / L</t>
        </is>
      </c>
      <c r="D932" s="1" t="inlineStr">
        <is>
          <t>Old Money Mexico</t>
        </is>
      </c>
      <c r="E932" s="6" t="n">
        <v>1460</v>
      </c>
      <c r="F932" s="4" t="n">
        <v>0</v>
      </c>
      <c r="G932" s="1" t="inlineStr">
        <is>
          <t>draft</t>
        </is>
      </c>
      <c r="H932" s="1" t="inlineStr">
        <is>
          <t>Falta el costo de compra (no está en ninguna tabla de precios)</t>
        </is>
      </c>
    </row>
    <row r="933">
      <c r="A933" s="1" t="inlineStr">
        <is>
          <t>42711574184076</t>
        </is>
      </c>
      <c r="B933" s="1" t="inlineStr">
        <is>
          <t>CHARM WINNIE POOH</t>
        </is>
      </c>
      <c r="C933" s="1" t="inlineStr">
        <is>
          <t>Default Title</t>
        </is>
      </c>
      <c r="D933" s="1" t="inlineStr">
        <is>
          <t>CYNTHIA CAO</t>
        </is>
      </c>
      <c r="E933" s="6" t="n">
        <v>320</v>
      </c>
      <c r="F933" s="4" t="n">
        <v>0</v>
      </c>
      <c r="G933" s="1" t="inlineStr">
        <is>
          <t>draft</t>
        </is>
      </c>
      <c r="H933" s="1" t="inlineStr">
        <is>
          <t>Falta el costo de compra (no está en ninguna tabla de precios)</t>
        </is>
      </c>
    </row>
    <row r="934">
      <c r="A934" s="1" t="inlineStr">
        <is>
          <t>42711571595404</t>
        </is>
      </c>
      <c r="B934" s="1" t="inlineStr">
        <is>
          <t>CHARM BUTTERFLY</t>
        </is>
      </c>
      <c r="C934" s="1" t="inlineStr">
        <is>
          <t>Default Title</t>
        </is>
      </c>
      <c r="D934" s="1" t="inlineStr">
        <is>
          <t>CYNTHIA CAO</t>
        </is>
      </c>
      <c r="E934" s="6" t="n">
        <v>350</v>
      </c>
      <c r="F934" s="4" t="n">
        <v>0</v>
      </c>
      <c r="G934" s="1" t="inlineStr">
        <is>
          <t>draft</t>
        </is>
      </c>
      <c r="H934" s="1" t="inlineStr">
        <is>
          <t>Falta el costo de compra (no está en ninguna tabla de precios)</t>
        </is>
      </c>
    </row>
    <row r="935">
      <c r="A935" s="1" t="inlineStr">
        <is>
          <t>66581e2b53fdf</t>
        </is>
      </c>
      <c r="B935" s="1" t="inlineStr">
        <is>
          <t>BOLSO B WHITE GOLD</t>
        </is>
      </c>
      <c r="C935" s="1" t="inlineStr">
        <is>
          <t>17cm de largo x 11cm de alto x 8cm de ancho</t>
        </is>
      </c>
      <c r="D935" s="1" t="inlineStr">
        <is>
          <t>DINA DU</t>
        </is>
      </c>
      <c r="E935" s="6" t="n">
        <v>1500</v>
      </c>
      <c r="F935" s="4" t="n">
        <v>0</v>
      </c>
      <c r="G935" s="1" t="inlineStr">
        <is>
          <t>draft</t>
        </is>
      </c>
      <c r="H935" s="1" t="inlineStr">
        <is>
          <t>Falta el costo de compra (no está en ninguna tabla de precios)</t>
        </is>
      </c>
    </row>
    <row r="936">
      <c r="A936" s="1" t="inlineStr">
        <is>
          <t>63ebdfa982ca2</t>
        </is>
      </c>
      <c r="B936" s="1" t="inlineStr">
        <is>
          <t>PULSERA LOVE SILVER ZIRCONIAS RAINBOW</t>
        </is>
      </c>
      <c r="C936" s="1" t="inlineStr">
        <is>
          <t>16cm</t>
        </is>
      </c>
      <c r="D936" s="1" t="inlineStr">
        <is>
          <t>HAIFENG</t>
        </is>
      </c>
      <c r="E936" s="6" t="n">
        <v>480</v>
      </c>
      <c r="F936" s="4" t="n">
        <v>0</v>
      </c>
      <c r="G936" s="1" t="inlineStr">
        <is>
          <t>draft</t>
        </is>
      </c>
      <c r="H936" s="1" t="inlineStr">
        <is>
          <t>Falta el costo de compra (no está en ninguna tabla de precios)</t>
        </is>
      </c>
    </row>
    <row r="937">
      <c r="A937" s="1" t="inlineStr">
        <is>
          <t>43728117508300</t>
        </is>
      </c>
      <c r="B937" s="1" t="inlineStr">
        <is>
          <t>PULSERA LOVE SILVER ZIRCONIAS RAINBOW</t>
        </is>
      </c>
      <c r="C937" s="1" t="inlineStr">
        <is>
          <t>16cm OUTLET</t>
        </is>
      </c>
      <c r="D937" s="1" t="inlineStr">
        <is>
          <t>HAIFENG</t>
        </is>
      </c>
      <c r="E937" s="6" t="n">
        <v>240</v>
      </c>
      <c r="F937" s="4" t="n">
        <v>0</v>
      </c>
      <c r="G937" s="1" t="inlineStr">
        <is>
          <t>draft</t>
        </is>
      </c>
      <c r="H937" s="1" t="inlineStr">
        <is>
          <t>Falta el costo de compra (no está en ninguna tabla de precios)</t>
        </is>
      </c>
    </row>
    <row r="938">
      <c r="A938" s="1" t="inlineStr">
        <is>
          <t>63ebdfaa5e297</t>
        </is>
      </c>
      <c r="B938" s="1" t="inlineStr">
        <is>
          <t>PULSERA LOVE SILVER ZIRCONIAS RAINBOW</t>
        </is>
      </c>
      <c r="C938" s="1" t="inlineStr">
        <is>
          <t>17cm</t>
        </is>
      </c>
      <c r="D938" s="1" t="inlineStr">
        <is>
          <t>HAIFENG</t>
        </is>
      </c>
      <c r="E938" s="6" t="n">
        <v>480</v>
      </c>
      <c r="F938" s="4" t="n">
        <v>0</v>
      </c>
      <c r="G938" s="1" t="inlineStr">
        <is>
          <t>draft</t>
        </is>
      </c>
      <c r="H938" s="1" t="inlineStr">
        <is>
          <t>Falta el costo de compra (no está en ninguna tabla de precios)</t>
        </is>
      </c>
    </row>
    <row r="939">
      <c r="A939" s="1" t="inlineStr">
        <is>
          <t>63ebdfab26ff6</t>
        </is>
      </c>
      <c r="B939" s="1" t="inlineStr">
        <is>
          <t>PULSERA LOVE SILVER ZIRCONIAS RAINBOW</t>
        </is>
      </c>
      <c r="C939" s="1" t="inlineStr">
        <is>
          <t>18cm</t>
        </is>
      </c>
      <c r="D939" s="1" t="inlineStr">
        <is>
          <t>HAIFENG</t>
        </is>
      </c>
      <c r="E939" s="6" t="n">
        <v>200</v>
      </c>
      <c r="F939" s="4" t="n">
        <v>0</v>
      </c>
      <c r="G939" s="1" t="inlineStr">
        <is>
          <t>draft</t>
        </is>
      </c>
      <c r="H939" s="1" t="inlineStr">
        <is>
          <t>Falta el costo de compra (no está en ninguna tabla de precios)</t>
        </is>
      </c>
    </row>
    <row r="940">
      <c r="A940" s="1" t="inlineStr">
        <is>
          <t>63ebdfac08280</t>
        </is>
      </c>
      <c r="B940" s="1" t="inlineStr">
        <is>
          <t>PULSERA LOVE SILVER ZIRCONIAS RAINBOW</t>
        </is>
      </c>
      <c r="C940" s="1" t="inlineStr">
        <is>
          <t>19cm</t>
        </is>
      </c>
      <c r="D940" s="1" t="inlineStr">
        <is>
          <t>HAIFENG</t>
        </is>
      </c>
      <c r="E940" s="6" t="n">
        <v>300</v>
      </c>
      <c r="F940" s="4" t="n">
        <v>0</v>
      </c>
      <c r="G940" s="1" t="inlineStr">
        <is>
          <t>draft</t>
        </is>
      </c>
      <c r="H940" s="1" t="inlineStr">
        <is>
          <t>Falta el costo de compra (no está en ninguna tabla de precios)</t>
        </is>
      </c>
    </row>
    <row r="941">
      <c r="A941" s="1" t="inlineStr">
        <is>
          <t>63e0c5a0b26ac</t>
        </is>
      </c>
      <c r="B941" s="1" t="inlineStr">
        <is>
          <t>PULSERA NUMEROS ROMANOS GOLD</t>
        </is>
      </c>
      <c r="C941" s="1" t="inlineStr">
        <is>
          <t>17 cm</t>
        </is>
      </c>
      <c r="D941" s="1" t="inlineStr">
        <is>
          <t>JUDY LI</t>
        </is>
      </c>
      <c r="E941" s="6" t="n">
        <v>300</v>
      </c>
      <c r="F941" s="4" t="n">
        <v>0</v>
      </c>
      <c r="G941" s="1" t="inlineStr">
        <is>
          <t>draft</t>
        </is>
      </c>
      <c r="H941" s="1" t="inlineStr">
        <is>
          <t>Falta el costo de compra (no está en ninguna tabla de precios)</t>
        </is>
      </c>
    </row>
    <row r="942">
      <c r="A942" s="1" t="inlineStr">
        <is>
          <t>63e0c0dfe5893</t>
        </is>
      </c>
      <c r="B942" s="1" t="inlineStr">
        <is>
          <t>PULSERA CD DORADA</t>
        </is>
      </c>
      <c r="C942" s="1" t="inlineStr">
        <is>
          <t>17 cm y 4 cm de extensión.</t>
        </is>
      </c>
      <c r="D942" s="1" t="inlineStr">
        <is>
          <t>JEFF</t>
        </is>
      </c>
      <c r="E942" s="6" t="n">
        <v>399</v>
      </c>
      <c r="F942" s="4" t="n">
        <v>0</v>
      </c>
      <c r="G942" s="1" t="inlineStr">
        <is>
          <t>draft</t>
        </is>
      </c>
      <c r="H942" s="1" t="inlineStr">
        <is>
          <t>Falta el costo de compra (no está en ninguna tabla de precios)</t>
        </is>
      </c>
    </row>
    <row r="943">
      <c r="A943" s="1" t="inlineStr">
        <is>
          <t>665bcce6e0537</t>
        </is>
      </c>
      <c r="B943" s="1" t="inlineStr">
        <is>
          <t>PULSERA CD DORADA</t>
        </is>
      </c>
      <c r="C943" s="1" t="inlineStr">
        <is>
          <t>High Quality</t>
        </is>
      </c>
      <c r="D943" s="1" t="inlineStr">
        <is>
          <t>JEFF</t>
        </is>
      </c>
      <c r="E943" s="6" t="n">
        <v>799</v>
      </c>
      <c r="F943" s="4" t="n">
        <v>0</v>
      </c>
      <c r="G943" s="1" t="inlineStr">
        <is>
          <t>draft</t>
        </is>
      </c>
      <c r="H943" s="1" t="inlineStr">
        <is>
          <t>Falta el costo de compra (no está en ninguna tabla de precios)</t>
        </is>
      </c>
    </row>
    <row r="944">
      <c r="A944" s="1" t="inlineStr">
        <is>
          <t>63e0bf9715aa9</t>
        </is>
      </c>
      <c r="B944" s="1" t="inlineStr">
        <is>
          <t>GARGANTILLA CD SILVER</t>
        </is>
      </c>
      <c r="C944" s="1" t="inlineStr">
        <is>
          <t>Largo 43 cm  Más Extensión 5 cm</t>
        </is>
      </c>
      <c r="D944" s="1" t="inlineStr">
        <is>
          <t>JEFF</t>
        </is>
      </c>
      <c r="E944" s="6" t="n">
        <v>389</v>
      </c>
      <c r="F944" s="4" t="n">
        <v>0</v>
      </c>
      <c r="G944" s="1" t="inlineStr">
        <is>
          <t>draft</t>
        </is>
      </c>
      <c r="H944" s="1" t="inlineStr">
        <is>
          <t>Falta el costo de compra (no está en ninguna tabla de precios)</t>
        </is>
      </c>
    </row>
    <row r="945">
      <c r="A945" s="1" t="inlineStr">
        <is>
          <t>63ebdb9760bc8</t>
        </is>
      </c>
      <c r="B945" s="1" t="inlineStr">
        <is>
          <t>GARGANTILLA CD DORADA CON ZIRCONIA</t>
        </is>
      </c>
      <c r="C945" s="1" t="inlineStr">
        <is>
          <t>Largo 43 cm  Más Extensión 5 cm</t>
        </is>
      </c>
      <c r="D945" s="1" t="inlineStr">
        <is>
          <t>JEWERLY REMATE</t>
        </is>
      </c>
      <c r="E945" s="6" t="n">
        <v>789</v>
      </c>
      <c r="F945" s="4" t="n">
        <v>0</v>
      </c>
      <c r="G945" s="1" t="inlineStr">
        <is>
          <t>draft</t>
        </is>
      </c>
      <c r="H945" s="1" t="inlineStr">
        <is>
          <t>Falta el costo de compra (no está en ninguna tabla de precios)</t>
        </is>
      </c>
    </row>
    <row r="946">
      <c r="A946" s="1" t="inlineStr">
        <is>
          <t>63ebd91b11305</t>
        </is>
      </c>
      <c r="B946" s="1" t="inlineStr">
        <is>
          <t>ARETES GC PEARL-ZIRCONIA</t>
        </is>
      </c>
      <c r="C946" s="1" t="inlineStr">
        <is>
          <t>Default Title</t>
        </is>
      </c>
      <c r="D946" s="1" t="inlineStr">
        <is>
          <t>COCOMA</t>
        </is>
      </c>
      <c r="E946" s="6" t="n">
        <v>575</v>
      </c>
      <c r="F946" s="4" t="n">
        <v>0</v>
      </c>
      <c r="G946" s="1" t="inlineStr">
        <is>
          <t>draft</t>
        </is>
      </c>
      <c r="H946" s="1" t="inlineStr">
        <is>
          <t>Falta el costo de compra (no está en ninguna tabla de precios)</t>
        </is>
      </c>
    </row>
    <row r="947">
      <c r="A947" s="1" t="inlineStr">
        <is>
          <t>63ebd914a1a3c</t>
        </is>
      </c>
      <c r="B947" s="1" t="inlineStr">
        <is>
          <t>ARETES LV  GRABADO GOLD</t>
        </is>
      </c>
      <c r="C947" s="1" t="inlineStr">
        <is>
          <t>Default Title</t>
        </is>
      </c>
      <c r="D947" s="1" t="inlineStr">
        <is>
          <t>CYNTHIA CAO</t>
        </is>
      </c>
      <c r="E947" s="6" t="n">
        <v>260</v>
      </c>
      <c r="F947" s="4" t="n">
        <v>0</v>
      </c>
      <c r="G947" s="1" t="inlineStr">
        <is>
          <t>draft</t>
        </is>
      </c>
      <c r="H947" s="1" t="inlineStr">
        <is>
          <t>Falta el costo de compra (no está en ninguna tabla de precios)</t>
        </is>
      </c>
    </row>
    <row r="948">
      <c r="A948" s="1" t="inlineStr">
        <is>
          <t>63ebd730d3647</t>
        </is>
      </c>
      <c r="B948" s="1" t="inlineStr">
        <is>
          <t>ARETES CD GOLD CON PERLA</t>
        </is>
      </c>
      <c r="C948" s="1" t="inlineStr">
        <is>
          <t>Default Title</t>
        </is>
      </c>
      <c r="D948" s="1" t="inlineStr">
        <is>
          <t>JEWERLY REMATE</t>
        </is>
      </c>
      <c r="E948" s="6" t="n">
        <v>550</v>
      </c>
      <c r="F948" s="4" t="n">
        <v>0</v>
      </c>
      <c r="G948" s="1" t="inlineStr">
        <is>
          <t>draft</t>
        </is>
      </c>
      <c r="H948" s="1" t="inlineStr">
        <is>
          <t>Falta el costo de compra (no está en ninguna tabla de precios)</t>
        </is>
      </c>
    </row>
    <row r="949">
      <c r="A949" s="1" t="inlineStr">
        <is>
          <t>63ebd7316b43b</t>
        </is>
      </c>
      <c r="B949" s="1" t="inlineStr">
        <is>
          <t>ARETES CD ROSE GOLD CON PERLA</t>
        </is>
      </c>
      <c r="C949" s="1" t="inlineStr">
        <is>
          <t>Default Title</t>
        </is>
      </c>
      <c r="D949" s="1" t="inlineStr">
        <is>
          <t>JEWERLY REMATE</t>
        </is>
      </c>
      <c r="E949" s="6" t="n">
        <v>550</v>
      </c>
      <c r="F949" s="4" t="n">
        <v>0</v>
      </c>
      <c r="G949" s="1" t="inlineStr">
        <is>
          <t>draft</t>
        </is>
      </c>
      <c r="H949" s="1" t="inlineStr">
        <is>
          <t>Falta el costo de compra (no está en ninguna tabla de precios)</t>
        </is>
      </c>
    </row>
    <row r="950">
      <c r="A950" s="1" t="inlineStr">
        <is>
          <t>63ebe1a859d77</t>
        </is>
      </c>
      <c r="B950" s="1" t="inlineStr">
        <is>
          <t>LENTES V LOGO REDONDO WHITE</t>
        </is>
      </c>
      <c r="C950" s="1" t="inlineStr">
        <is>
          <t>Default Title</t>
        </is>
      </c>
      <c r="D950" s="1" t="inlineStr">
        <is>
          <t>CYNTHIA CAO</t>
        </is>
      </c>
      <c r="E950" s="6" t="n">
        <v>599</v>
      </c>
      <c r="F950" s="4" t="n">
        <v>0</v>
      </c>
      <c r="G950" s="1" t="inlineStr">
        <is>
          <t>draft</t>
        </is>
      </c>
      <c r="H950" s="1" t="inlineStr">
        <is>
          <t>Falta el costo de compra (no está en ninguna tabla de precios)</t>
        </is>
      </c>
    </row>
    <row r="951">
      <c r="A951" s="1" t="inlineStr">
        <is>
          <t>643ec1431e093</t>
        </is>
      </c>
      <c r="B951" s="1" t="inlineStr">
        <is>
          <t>ANILLO ECHAPPEE</t>
        </is>
      </c>
      <c r="C951" s="1" t="n">
        <v>6</v>
      </c>
      <c r="D951" s="1" t="inlineStr">
        <is>
          <t>ANA FU</t>
        </is>
      </c>
      <c r="E951" s="6" t="n">
        <v>489</v>
      </c>
      <c r="F951" s="4" t="n">
        <v>0</v>
      </c>
      <c r="G951" s="1" t="inlineStr">
        <is>
          <t>draft</t>
        </is>
      </c>
      <c r="H951" s="1" t="inlineStr">
        <is>
          <t>Falta el costo de compra (no está en ninguna tabla de precios)</t>
        </is>
      </c>
    </row>
    <row r="952">
      <c r="A952" s="1" t="inlineStr">
        <is>
          <t>643ec143cf133</t>
        </is>
      </c>
      <c r="B952" s="1" t="inlineStr">
        <is>
          <t>ANILLO ECHAPPEE</t>
        </is>
      </c>
      <c r="C952" s="1" t="n">
        <v>7</v>
      </c>
      <c r="D952" s="1" t="inlineStr">
        <is>
          <t>ANA FU</t>
        </is>
      </c>
      <c r="E952" s="6" t="n">
        <v>489</v>
      </c>
      <c r="F952" s="4" t="n">
        <v>0</v>
      </c>
      <c r="G952" s="1" t="inlineStr">
        <is>
          <t>draft</t>
        </is>
      </c>
      <c r="H952" s="1" t="inlineStr">
        <is>
          <t>Falta el costo de compra (no está en ninguna tabla de precios)</t>
        </is>
      </c>
    </row>
    <row r="953">
      <c r="A953" s="1" t="inlineStr">
        <is>
          <t>643ec144883c5</t>
        </is>
      </c>
      <c r="B953" s="1" t="inlineStr">
        <is>
          <t>ANILLO ECHAPPEE</t>
        </is>
      </c>
      <c r="C953" s="1" t="n">
        <v>8</v>
      </c>
      <c r="D953" s="1" t="inlineStr">
        <is>
          <t>ANA FU</t>
        </is>
      </c>
      <c r="E953" s="6" t="n">
        <v>290</v>
      </c>
      <c r="F953" s="4" t="n">
        <v>0</v>
      </c>
      <c r="G953" s="1" t="inlineStr">
        <is>
          <t>draft</t>
        </is>
      </c>
      <c r="H953" s="1" t="inlineStr">
        <is>
          <t>Falta el costo de compra (no está en ninguna tabla de precios)</t>
        </is>
      </c>
    </row>
    <row r="954">
      <c r="A954" s="1" t="inlineStr">
        <is>
          <t>647d23ba1c2f3</t>
        </is>
      </c>
      <c r="B954" s="1" t="inlineStr">
        <is>
          <t>RELOJ GHOST RED</t>
        </is>
      </c>
      <c r="C954" s="1" t="inlineStr">
        <is>
          <t>Default Title</t>
        </is>
      </c>
      <c r="D954" s="1" t="inlineStr">
        <is>
          <t>Andretti Elite Swiss</t>
        </is>
      </c>
      <c r="E954" s="6" t="n">
        <v>999</v>
      </c>
      <c r="F954" s="4" t="n">
        <v>0</v>
      </c>
      <c r="G954" s="1" t="inlineStr">
        <is>
          <t>draft</t>
        </is>
      </c>
      <c r="H954" s="1" t="inlineStr">
        <is>
          <t>Falta el costo de compra (no está en ninguna tabla de precios)</t>
        </is>
      </c>
    </row>
    <row r="955">
      <c r="A955" s="1" t="inlineStr">
        <is>
          <t>647d251765888</t>
        </is>
      </c>
      <c r="B955" s="1" t="inlineStr">
        <is>
          <t>RELOJ HOLLOW FULL ROSEGOLD-WHITE</t>
        </is>
      </c>
      <c r="C955" s="1" t="inlineStr">
        <is>
          <t>Default Title</t>
        </is>
      </c>
      <c r="D955" s="1" t="inlineStr">
        <is>
          <t>Andretti Elite Swiss</t>
        </is>
      </c>
      <c r="E955" s="6" t="n">
        <v>999</v>
      </c>
      <c r="F955" s="4" t="n">
        <v>0</v>
      </c>
      <c r="G955" s="1" t="inlineStr">
        <is>
          <t>draft</t>
        </is>
      </c>
      <c r="H955" s="1" t="inlineStr">
        <is>
          <t>Falta el costo de compra (no está en ninguna tabla de precios)</t>
        </is>
      </c>
    </row>
    <row r="956">
      <c r="A956" s="1" t="inlineStr">
        <is>
          <t>647d251b66498</t>
        </is>
      </c>
      <c r="B956" s="1" t="inlineStr">
        <is>
          <t>RELOJ HOLLOW FULL BLACK-BLACK RED</t>
        </is>
      </c>
      <c r="C956" s="1" t="inlineStr">
        <is>
          <t>Default Title</t>
        </is>
      </c>
      <c r="D956" s="1" t="inlineStr">
        <is>
          <t>Andretti Elite Swiss</t>
        </is>
      </c>
      <c r="E956" s="6" t="n">
        <v>999</v>
      </c>
      <c r="F956" s="4" t="n">
        <v>0</v>
      </c>
      <c r="G956" s="1" t="inlineStr">
        <is>
          <t>draft</t>
        </is>
      </c>
      <c r="H956" s="1" t="inlineStr">
        <is>
          <t>Falta el costo de compra (no está en ninguna tabla de precios)</t>
        </is>
      </c>
    </row>
    <row r="957">
      <c r="A957" s="1" t="inlineStr">
        <is>
          <t>647d2f5b4eefd</t>
        </is>
      </c>
      <c r="B957" s="1" t="inlineStr">
        <is>
          <t>RELOJ RX-SERIES SILVER-WHITE</t>
        </is>
      </c>
      <c r="C957" s="1" t="inlineStr">
        <is>
          <t>Default Title</t>
        </is>
      </c>
      <c r="D957" s="1" t="inlineStr">
        <is>
          <t>Andretti Elite Swiss</t>
        </is>
      </c>
      <c r="E957" s="6" t="n">
        <v>999</v>
      </c>
      <c r="F957" s="4" t="n">
        <v>0</v>
      </c>
      <c r="G957" s="1" t="inlineStr">
        <is>
          <t>draft</t>
        </is>
      </c>
      <c r="H957" s="1" t="inlineStr">
        <is>
          <t>Falta el costo de compra (no está en ninguna tabla de precios)</t>
        </is>
      </c>
    </row>
    <row r="958">
      <c r="A958" s="1" t="inlineStr">
        <is>
          <t>646f84c964891</t>
        </is>
      </c>
      <c r="B958" s="1" t="inlineStr">
        <is>
          <t>CHARM MARIQUITA</t>
        </is>
      </c>
      <c r="C958" s="1" t="inlineStr">
        <is>
          <t>Default Title</t>
        </is>
      </c>
      <c r="D958" s="1" t="inlineStr">
        <is>
          <t>CYNTHIA CAO</t>
        </is>
      </c>
      <c r="E958" s="6" t="n">
        <v>480</v>
      </c>
      <c r="F958" s="4" t="n">
        <v>0</v>
      </c>
      <c r="G958" s="1" t="inlineStr">
        <is>
          <t>draft</t>
        </is>
      </c>
      <c r="H958" s="1" t="inlineStr">
        <is>
          <t>Falta el costo de compra (no está en ninguna tabla de precios)</t>
        </is>
      </c>
    </row>
    <row r="959">
      <c r="A959" s="1" t="inlineStr">
        <is>
          <t>64778d7556cc6</t>
        </is>
      </c>
      <c r="B959" s="1" t="inlineStr">
        <is>
          <t>RELOJ SPEEDOMETER WATCH RED-RED STRIPES</t>
        </is>
      </c>
      <c r="C959" s="1" t="inlineStr">
        <is>
          <t>Rojo</t>
        </is>
      </c>
      <c r="D959" s="1" t="inlineStr">
        <is>
          <t>Andretti Marcovich</t>
        </is>
      </c>
      <c r="E959" s="6" t="n">
        <v>1500</v>
      </c>
      <c r="F959" s="4" t="n">
        <v>0</v>
      </c>
      <c r="G959" s="1" t="inlineStr">
        <is>
          <t>draft</t>
        </is>
      </c>
      <c r="H959" s="1" t="inlineStr">
        <is>
          <t>YA TIENE COSTO EN SHOPIFY ($425.70, heredado hoy)</t>
        </is>
      </c>
    </row>
    <row r="960">
      <c r="A960" s="1" t="inlineStr">
        <is>
          <t>64778df01092a</t>
        </is>
      </c>
      <c r="B960" s="1" t="inlineStr">
        <is>
          <t>SPEEDOMETER WATCH BLACK-GREY STRIPES</t>
        </is>
      </c>
      <c r="C960" s="1" t="inlineStr">
        <is>
          <t>Default Title</t>
        </is>
      </c>
      <c r="D960" s="1" t="inlineStr">
        <is>
          <t>Andretti Marcovich</t>
        </is>
      </c>
      <c r="E960" s="6" t="n">
        <v>999</v>
      </c>
      <c r="F960" s="4" t="n">
        <v>0</v>
      </c>
      <c r="G960" s="1" t="inlineStr">
        <is>
          <t>draft</t>
        </is>
      </c>
      <c r="H960" s="1" t="inlineStr">
        <is>
          <t>Falta el costo de compra (no está en ninguna tabla de precios)</t>
        </is>
      </c>
    </row>
    <row r="961">
      <c r="A961" s="1" t="inlineStr">
        <is>
          <t>64778df0384a3</t>
        </is>
      </c>
      <c r="B961" s="1" t="inlineStr">
        <is>
          <t>RELOJ SPEEDOMETER WATCH RED-GREY STRIPES</t>
        </is>
      </c>
      <c r="C961" s="1" t="inlineStr">
        <is>
          <t>Default Title</t>
        </is>
      </c>
      <c r="D961" s="1" t="inlineStr">
        <is>
          <t>Andretti Marcovich</t>
        </is>
      </c>
      <c r="E961" s="6" t="n">
        <v>999</v>
      </c>
      <c r="F961" s="4" t="n">
        <v>0</v>
      </c>
      <c r="G961" s="1" t="inlineStr">
        <is>
          <t>draft</t>
        </is>
      </c>
      <c r="H961" s="1" t="inlineStr">
        <is>
          <t>Falta el costo de compra (no está en ninguna tabla de precios)</t>
        </is>
      </c>
    </row>
    <row r="962">
      <c r="A962" s="1" t="inlineStr">
        <is>
          <t>64778df3471cd</t>
        </is>
      </c>
      <c r="B962" s="1" t="inlineStr">
        <is>
          <t>RELOJ LUXURY ROUND WATCH WHITE</t>
        </is>
      </c>
      <c r="C962" s="1" t="inlineStr">
        <is>
          <t>Default Title</t>
        </is>
      </c>
      <c r="D962" s="1" t="inlineStr">
        <is>
          <t>Andretti Marcovich</t>
        </is>
      </c>
      <c r="E962" s="6" t="n">
        <v>999</v>
      </c>
      <c r="F962" s="4" t="n">
        <v>0</v>
      </c>
      <c r="G962" s="1" t="inlineStr">
        <is>
          <t>draft</t>
        </is>
      </c>
      <c r="H962" s="1" t="inlineStr">
        <is>
          <t>Falta el costo de compra (no está en ninguna tabla de precios)</t>
        </is>
      </c>
    </row>
    <row r="963">
      <c r="A963" s="1" t="inlineStr">
        <is>
          <t>64778df611d65</t>
        </is>
      </c>
      <c r="B963" s="1" t="inlineStr">
        <is>
          <t>RELOJ LUXURY ROUND WATCH BLUE</t>
        </is>
      </c>
      <c r="C963" s="1" t="inlineStr">
        <is>
          <t>Default Title</t>
        </is>
      </c>
      <c r="D963" s="1" t="inlineStr">
        <is>
          <t>Andretti Marcovich</t>
        </is>
      </c>
      <c r="E963" s="6" t="n">
        <v>999</v>
      </c>
      <c r="F963" s="4" t="n">
        <v>0</v>
      </c>
      <c r="G963" s="1" t="inlineStr">
        <is>
          <t>draft</t>
        </is>
      </c>
      <c r="H963" s="1" t="inlineStr">
        <is>
          <t>Falta el costo de compra (no está en ninguna tabla de precios)</t>
        </is>
      </c>
    </row>
    <row r="964">
      <c r="A964" s="1" t="inlineStr">
        <is>
          <t>64778df6662dc</t>
        </is>
      </c>
      <c r="B964" s="1" t="inlineStr">
        <is>
          <t>RELOJ LUXURY ROUND WATCH RED</t>
        </is>
      </c>
      <c r="C964" s="1" t="inlineStr">
        <is>
          <t>Default Title</t>
        </is>
      </c>
      <c r="D964" s="1" t="inlineStr">
        <is>
          <t>Andretti Marcovich</t>
        </is>
      </c>
      <c r="E964" s="6" t="n">
        <v>999</v>
      </c>
      <c r="F964" s="4" t="n">
        <v>0</v>
      </c>
      <c r="G964" s="1" t="inlineStr">
        <is>
          <t>draft</t>
        </is>
      </c>
      <c r="H964" s="1" t="inlineStr">
        <is>
          <t>Falta el costo de compra (no está en ninguna tabla de precios)</t>
        </is>
      </c>
    </row>
    <row r="965">
      <c r="A965" s="1" t="inlineStr">
        <is>
          <t>64778df95ce53</t>
        </is>
      </c>
      <c r="B965" s="1" t="inlineStr">
        <is>
          <t>RELOJ TRANSPARENT SILICONE WATCH WHITE</t>
        </is>
      </c>
      <c r="C965" s="1" t="inlineStr">
        <is>
          <t>Default Title</t>
        </is>
      </c>
      <c r="D965" s="1" t="inlineStr">
        <is>
          <t>Andretti Marcovich</t>
        </is>
      </c>
      <c r="E965" s="6" t="n">
        <v>999</v>
      </c>
      <c r="F965" s="4" t="n">
        <v>0</v>
      </c>
      <c r="G965" s="1" t="inlineStr">
        <is>
          <t>draft</t>
        </is>
      </c>
      <c r="H965" s="1" t="inlineStr">
        <is>
          <t>Falta el costo de compra (no está en ninguna tabla de precios)</t>
        </is>
      </c>
    </row>
    <row r="966">
      <c r="A966" s="1" t="inlineStr">
        <is>
          <t>64778dfb40d6a</t>
        </is>
      </c>
      <c r="B966" s="1" t="inlineStr">
        <is>
          <t>RELOJ TRANSPARENT SILICONE WATCH BLUE</t>
        </is>
      </c>
      <c r="C966" s="1" t="inlineStr">
        <is>
          <t>Default Title</t>
        </is>
      </c>
      <c r="D966" s="1" t="inlineStr">
        <is>
          <t>Andretti Marcovich</t>
        </is>
      </c>
      <c r="E966" s="6" t="n">
        <v>999</v>
      </c>
      <c r="F966" s="4" t="n">
        <v>0</v>
      </c>
      <c r="G966" s="1" t="inlineStr">
        <is>
          <t>draft</t>
        </is>
      </c>
      <c r="H966" s="1" t="inlineStr">
        <is>
          <t>Falta el costo de compra (no está en ninguna tabla de precios)</t>
        </is>
      </c>
    </row>
    <row r="967">
      <c r="A967" s="1" t="inlineStr">
        <is>
          <t>64778dfec0ee7</t>
        </is>
      </c>
      <c r="B967" s="1" t="inlineStr">
        <is>
          <t>RELOJ TRIANGLE WATCH BLACK-RED</t>
        </is>
      </c>
      <c r="C967" s="1" t="inlineStr">
        <is>
          <t>Default Title</t>
        </is>
      </c>
      <c r="D967" s="1" t="inlineStr">
        <is>
          <t>Andretti Marcovich</t>
        </is>
      </c>
      <c r="E967" s="6" t="n">
        <v>999</v>
      </c>
      <c r="F967" s="4" t="n">
        <v>0</v>
      </c>
      <c r="G967" s="1" t="inlineStr">
        <is>
          <t>draft</t>
        </is>
      </c>
      <c r="H967" s="1" t="inlineStr">
        <is>
          <t>Falta el costo de compra (no está en ninguna tabla de precios)</t>
        </is>
      </c>
    </row>
    <row r="968">
      <c r="A968" s="1" t="inlineStr">
        <is>
          <t>64778dff20d31</t>
        </is>
      </c>
      <c r="B968" s="1" t="inlineStr">
        <is>
          <t>RELOJ RUSSELL WATCH SILVER -RED</t>
        </is>
      </c>
      <c r="C968" s="1" t="inlineStr">
        <is>
          <t>Default Title</t>
        </is>
      </c>
      <c r="D968" s="1" t="inlineStr">
        <is>
          <t>Andretti Marcovich</t>
        </is>
      </c>
      <c r="E968" s="6" t="n">
        <v>999</v>
      </c>
      <c r="F968" s="4" t="n">
        <v>0</v>
      </c>
      <c r="G968" s="1" t="inlineStr">
        <is>
          <t>draft</t>
        </is>
      </c>
      <c r="H968" s="1" t="inlineStr">
        <is>
          <t>Falta el costo de compra (no está en ninguna tabla de precios)</t>
        </is>
      </c>
    </row>
    <row r="969">
      <c r="A969" s="1" t="inlineStr">
        <is>
          <t>64778dff859b8</t>
        </is>
      </c>
      <c r="B969" s="1" t="inlineStr">
        <is>
          <t>RELOJ RUSSELL WATCH SILVER-BLUE</t>
        </is>
      </c>
      <c r="C969" s="1" t="inlineStr">
        <is>
          <t>Default Title</t>
        </is>
      </c>
      <c r="D969" s="1" t="inlineStr">
        <is>
          <t>Andretti Marcovich</t>
        </is>
      </c>
      <c r="E969" s="6" t="n">
        <v>1199</v>
      </c>
      <c r="F969" s="4" t="n">
        <v>0</v>
      </c>
      <c r="G969" s="1" t="inlineStr">
        <is>
          <t>draft</t>
        </is>
      </c>
      <c r="H969" s="1" t="inlineStr">
        <is>
          <t>Falta el costo de compra (no está en ninguna tabla de precios)</t>
        </is>
      </c>
    </row>
    <row r="970">
      <c r="A970" s="1" t="inlineStr">
        <is>
          <t>64778e03b5ba9</t>
        </is>
      </c>
      <c r="B970" s="1" t="inlineStr">
        <is>
          <t>RELOJ RUSSELL WATCH BLACK-BLUE</t>
        </is>
      </c>
      <c r="C970" s="1" t="inlineStr">
        <is>
          <t>Default Title</t>
        </is>
      </c>
      <c r="D970" s="1" t="inlineStr">
        <is>
          <t>Andretti Marcovich</t>
        </is>
      </c>
      <c r="E970" s="6" t="n">
        <v>999</v>
      </c>
      <c r="F970" s="4" t="n">
        <v>0</v>
      </c>
      <c r="G970" s="1" t="inlineStr">
        <is>
          <t>draft</t>
        </is>
      </c>
      <c r="H970" s="1" t="inlineStr">
        <is>
          <t>Falta el costo de compra (no está en ninguna tabla de precios)</t>
        </is>
      </c>
    </row>
    <row r="971">
      <c r="A971" s="1" t="inlineStr">
        <is>
          <t>64778e04843a9</t>
        </is>
      </c>
      <c r="B971" s="1" t="inlineStr">
        <is>
          <t>RELOJ RUSSELL WATCH BLACK-RED</t>
        </is>
      </c>
      <c r="C971" s="1" t="inlineStr">
        <is>
          <t>Default Title</t>
        </is>
      </c>
      <c r="D971" s="1" t="inlineStr">
        <is>
          <t>Andretti Marcovich</t>
        </is>
      </c>
      <c r="E971" s="6" t="n">
        <v>999</v>
      </c>
      <c r="F971" s="4" t="n">
        <v>0</v>
      </c>
      <c r="G971" s="1" t="inlineStr">
        <is>
          <t>draft</t>
        </is>
      </c>
      <c r="H971" s="1" t="inlineStr">
        <is>
          <t>Falta el costo de compra (no está en ninguna tabla de precios)</t>
        </is>
      </c>
    </row>
    <row r="972">
      <c r="A972" s="1" t="inlineStr">
        <is>
          <t>64778e05a04b8</t>
        </is>
      </c>
      <c r="B972" s="1" t="inlineStr">
        <is>
          <t>RELOJ RUSSELL WATCH ROSEGOLD-BLUE</t>
        </is>
      </c>
      <c r="C972" s="1" t="inlineStr">
        <is>
          <t>Default Title</t>
        </is>
      </c>
      <c r="D972" s="1" t="inlineStr">
        <is>
          <t>Andretti Marcovich</t>
        </is>
      </c>
      <c r="E972" s="6" t="n">
        <v>999</v>
      </c>
      <c r="F972" s="4" t="n">
        <v>0</v>
      </c>
      <c r="G972" s="1" t="inlineStr">
        <is>
          <t>draft</t>
        </is>
      </c>
      <c r="H972" s="1" t="inlineStr">
        <is>
          <t>Falta el costo de compra (no está en ninguna tabla de precios)</t>
        </is>
      </c>
    </row>
    <row r="973">
      <c r="A973" s="1" t="inlineStr">
        <is>
          <t>64778e0626750</t>
        </is>
      </c>
      <c r="B973" s="1" t="inlineStr">
        <is>
          <t>RELOJ RUSSELL WATCH ROSEGOLD-GREEN</t>
        </is>
      </c>
      <c r="C973" s="1" t="inlineStr">
        <is>
          <t>Default Title</t>
        </is>
      </c>
      <c r="D973" s="1" t="inlineStr">
        <is>
          <t>Andretti Marcovich</t>
        </is>
      </c>
      <c r="E973" s="6" t="n">
        <v>999</v>
      </c>
      <c r="F973" s="4" t="n">
        <v>0</v>
      </c>
      <c r="G973" s="1" t="inlineStr">
        <is>
          <t>draft</t>
        </is>
      </c>
      <c r="H973" s="1" t="inlineStr">
        <is>
          <t>Falta el costo de compra (no está en ninguna tabla de precios)</t>
        </is>
      </c>
    </row>
    <row r="974">
      <c r="A974" s="1" t="inlineStr">
        <is>
          <t>6478f319ee749</t>
        </is>
      </c>
      <c r="B974" s="1" t="inlineStr">
        <is>
          <t>BROCHE CD</t>
        </is>
      </c>
      <c r="C974" s="1" t="inlineStr">
        <is>
          <t>5.5cm</t>
        </is>
      </c>
      <c r="D974" s="1" t="inlineStr">
        <is>
          <t>JEWERLY REMATE</t>
        </is>
      </c>
      <c r="E974" s="6" t="n">
        <v>680</v>
      </c>
      <c r="F974" s="4" t="n">
        <v>0</v>
      </c>
      <c r="G974" s="1" t="inlineStr">
        <is>
          <t>draft</t>
        </is>
      </c>
      <c r="H974" s="1" t="inlineStr">
        <is>
          <t>Falta el costo de compra (no está en ninguna tabla de precios)</t>
        </is>
      </c>
    </row>
    <row r="975">
      <c r="A975" s="1" t="inlineStr">
        <is>
          <t>6478f3242a846</t>
        </is>
      </c>
      <c r="B975" s="1" t="inlineStr">
        <is>
          <t>BROCHE YSL</t>
        </is>
      </c>
      <c r="C975" s="1" t="inlineStr">
        <is>
          <t>6cm</t>
        </is>
      </c>
      <c r="D975" s="1" t="inlineStr">
        <is>
          <t>JEWERLY REMATE</t>
        </is>
      </c>
      <c r="E975" s="6" t="n">
        <v>650</v>
      </c>
      <c r="F975" s="4" t="n">
        <v>0</v>
      </c>
      <c r="G975" s="1" t="inlineStr">
        <is>
          <t>draft</t>
        </is>
      </c>
      <c r="H975" s="1" t="inlineStr">
        <is>
          <t>Falta el costo de compra (no está en ninguna tabla de precios)</t>
        </is>
      </c>
    </row>
    <row r="976">
      <c r="A976" s="1" t="inlineStr">
        <is>
          <t>654bd3ebe9715</t>
        </is>
      </c>
      <c r="B976" s="1" t="inlineStr">
        <is>
          <t>Reloj ghost black</t>
        </is>
      </c>
      <c r="C976" s="1" t="inlineStr">
        <is>
          <t>Default Title</t>
        </is>
      </c>
      <c r="D976" s="1" t="inlineStr">
        <is>
          <t>JEWERLY REMATE</t>
        </is>
      </c>
      <c r="E976" s="6" t="n">
        <v>999</v>
      </c>
      <c r="F976" s="4" t="n">
        <v>0</v>
      </c>
      <c r="G976" s="1" t="inlineStr">
        <is>
          <t>draft</t>
        </is>
      </c>
      <c r="H976" s="1" t="inlineStr">
        <is>
          <t>Falta el costo de compra (no está en ninguna tabla de precios)</t>
        </is>
      </c>
    </row>
    <row r="977">
      <c r="A977" s="1" t="inlineStr">
        <is>
          <t>64e78c9e72750</t>
        </is>
      </c>
      <c r="B977" s="1" t="inlineStr">
        <is>
          <t>COLLAR CD GOLD CON PERLA Y ZIRCONIA</t>
        </is>
      </c>
      <c r="C977" s="1" t="inlineStr">
        <is>
          <t>40cm de largo y 6 de extensión</t>
        </is>
      </c>
      <c r="D977" s="1" t="inlineStr">
        <is>
          <t>JEWERLY REMATE</t>
        </is>
      </c>
      <c r="E977" s="6" t="n">
        <v>699</v>
      </c>
      <c r="F977" s="4" t="n">
        <v>0</v>
      </c>
      <c r="G977" s="1" t="inlineStr">
        <is>
          <t>draft</t>
        </is>
      </c>
      <c r="H977" s="1" t="inlineStr">
        <is>
          <t>Falta el costo de compra (no está en ninguna tabla de precios)</t>
        </is>
      </c>
    </row>
    <row r="978">
      <c r="A978" s="1" t="inlineStr">
        <is>
          <t>64e78dfc03455</t>
        </is>
      </c>
      <c r="B978" s="1" t="inlineStr">
        <is>
          <t>LENTES PR PINK PINK STAR</t>
        </is>
      </c>
      <c r="C978" s="1" t="inlineStr">
        <is>
          <t>Default Title</t>
        </is>
      </c>
      <c r="D978" s="1" t="inlineStr">
        <is>
          <t>CYNTHIA CAO</t>
        </is>
      </c>
      <c r="E978" s="6" t="n">
        <v>430</v>
      </c>
      <c r="F978" s="4" t="n">
        <v>0</v>
      </c>
      <c r="G978" s="1" t="inlineStr">
        <is>
          <t>draft</t>
        </is>
      </c>
      <c r="H978" s="1" t="inlineStr">
        <is>
          <t>Falta el costo de compra (no está en ninguna tabla de precios)</t>
        </is>
      </c>
    </row>
    <row r="979">
      <c r="A979" s="1" t="inlineStr">
        <is>
          <t>64e78ebf1256b-2</t>
        </is>
      </c>
      <c r="B979" s="1" t="inlineStr">
        <is>
          <t>PULSERA V ROUND GOLD</t>
        </is>
      </c>
      <c r="C979" s="1" t="inlineStr">
        <is>
          <t>17cm</t>
        </is>
      </c>
      <c r="D979" s="1" t="inlineStr">
        <is>
          <t>ANA FU</t>
        </is>
      </c>
      <c r="E979" s="6" t="n">
        <v>699</v>
      </c>
      <c r="F979" s="4" t="n">
        <v>0</v>
      </c>
      <c r="G979" s="1" t="inlineStr">
        <is>
          <t>draft</t>
        </is>
      </c>
      <c r="H979" s="1" t="inlineStr">
        <is>
          <t>Falta el costo de compra (no está en ninguna tabla de precios)</t>
        </is>
      </c>
    </row>
    <row r="980">
      <c r="A980" s="1" t="inlineStr">
        <is>
          <t>64e78fe27d6ad</t>
        </is>
      </c>
      <c r="B980" s="1" t="inlineStr">
        <is>
          <t>GORRO PR MEZCLILLA</t>
        </is>
      </c>
      <c r="C980" s="1" t="inlineStr">
        <is>
          <t>S</t>
        </is>
      </c>
      <c r="D980" s="1" t="inlineStr">
        <is>
          <t>DINA DU</t>
        </is>
      </c>
      <c r="E980" s="6" t="n">
        <v>599</v>
      </c>
      <c r="F980" s="4" t="n">
        <v>0</v>
      </c>
      <c r="G980" s="1" t="inlineStr">
        <is>
          <t>draft</t>
        </is>
      </c>
      <c r="H980" s="1" t="inlineStr">
        <is>
          <t>Falta el costo de compra (no está en ninguna tabla de precios)</t>
        </is>
      </c>
    </row>
    <row r="981">
      <c r="A981" s="1" t="inlineStr">
        <is>
          <t>94956735709580</t>
        </is>
      </c>
      <c r="B981" s="1" t="inlineStr">
        <is>
          <t>GORRO PR MEZCLILLA</t>
        </is>
      </c>
      <c r="C981" s="1" t="inlineStr">
        <is>
          <t>S outlet</t>
        </is>
      </c>
      <c r="D981" s="1" t="inlineStr">
        <is>
          <t>DINA DU</t>
        </is>
      </c>
      <c r="E981" s="6" t="n">
        <v>399</v>
      </c>
      <c r="F981" s="4" t="n">
        <v>0</v>
      </c>
      <c r="G981" s="1" t="inlineStr">
        <is>
          <t>draft</t>
        </is>
      </c>
      <c r="H981" s="1" t="inlineStr">
        <is>
          <t>Falta el costo de compra (no está en ninguna tabla de precios)</t>
        </is>
      </c>
    </row>
    <row r="982">
      <c r="A982" s="1" t="inlineStr">
        <is>
          <t>654bdb1b7a13d</t>
        </is>
      </c>
      <c r="B982" s="1" t="inlineStr">
        <is>
          <t>BROCHE GC CON ZIRCONIAS</t>
        </is>
      </c>
      <c r="C982" s="1" t="inlineStr">
        <is>
          <t>5cm</t>
        </is>
      </c>
      <c r="D982" s="1" t="inlineStr">
        <is>
          <t>ANA FU</t>
        </is>
      </c>
      <c r="E982" s="6" t="n">
        <v>595</v>
      </c>
      <c r="F982" s="4" t="n">
        <v>0</v>
      </c>
      <c r="G982" s="1" t="inlineStr">
        <is>
          <t>draft</t>
        </is>
      </c>
      <c r="H982" s="1" t="inlineStr">
        <is>
          <t>Falta el costo de compra (no está en ninguna tabla de precios)</t>
        </is>
      </c>
    </row>
    <row r="983">
      <c r="A983" s="1" t="inlineStr">
        <is>
          <t>654bdbcfdd8f2</t>
        </is>
      </c>
      <c r="B983" s="1" t="inlineStr">
        <is>
          <t>BOLSO YSL PINK</t>
        </is>
      </c>
      <c r="C983" s="1" t="inlineStr">
        <is>
          <t>23cmx14cm</t>
        </is>
      </c>
      <c r="D983" s="1" t="inlineStr">
        <is>
          <t>DINA DU</t>
        </is>
      </c>
      <c r="E983" s="6" t="n">
        <v>1999</v>
      </c>
      <c r="F983" s="4" t="n">
        <v>0</v>
      </c>
      <c r="G983" s="1" t="inlineStr">
        <is>
          <t>draft</t>
        </is>
      </c>
      <c r="H983" s="1" t="inlineStr">
        <is>
          <t>Falta el costo de compra (no está en ninguna tabla de precios)</t>
        </is>
      </c>
    </row>
    <row r="984">
      <c r="A984" s="1" t="inlineStr">
        <is>
          <t>654bdbd2b92c4</t>
        </is>
      </c>
      <c r="B984" s="1" t="inlineStr">
        <is>
          <t>BOLSA B PINK</t>
        </is>
      </c>
      <c r="C984" s="1" t="inlineStr">
        <is>
          <t>17cm de largo x 11cm de alto x 8.3cm de ancho</t>
        </is>
      </c>
      <c r="D984" s="1" t="inlineStr">
        <is>
          <t>ZOEY</t>
        </is>
      </c>
      <c r="E984" s="6" t="n">
        <v>1999</v>
      </c>
      <c r="F984" s="4" t="n">
        <v>0</v>
      </c>
      <c r="G984" s="1" t="inlineStr">
        <is>
          <t>draft</t>
        </is>
      </c>
      <c r="H984" s="1" t="inlineStr">
        <is>
          <t>Falta el costo de compra (no está en ninguna tabla de precios)</t>
        </is>
      </c>
    </row>
    <row r="985">
      <c r="A985" s="1" t="inlineStr">
        <is>
          <t>66df5d5fae6be</t>
        </is>
      </c>
      <c r="B985" s="1" t="inlineStr">
        <is>
          <t>BOLSA B PINK</t>
        </is>
      </c>
      <c r="C985" s="1" t="inlineStr">
        <is>
          <t>HIGH QUALITY 23cm de largo x 14.5cm de alto x 10cm de ancho</t>
        </is>
      </c>
      <c r="D985" s="1" t="inlineStr">
        <is>
          <t>ZOEY</t>
        </is>
      </c>
      <c r="E985" s="6" t="n">
        <v>999</v>
      </c>
      <c r="F985" s="4" t="n">
        <v>0</v>
      </c>
      <c r="G985" s="1" t="inlineStr">
        <is>
          <t>draft</t>
        </is>
      </c>
      <c r="H985" s="1" t="inlineStr">
        <is>
          <t>Falta el costo de compra (no está en ninguna tabla de precios)</t>
        </is>
      </c>
    </row>
    <row r="986">
      <c r="A986" s="1" t="inlineStr">
        <is>
          <t>654bdbd6f08fc</t>
        </is>
      </c>
      <c r="B986" s="1" t="inlineStr">
        <is>
          <t>BOLSA TOTE GREEN</t>
        </is>
      </c>
      <c r="C986" s="1" t="inlineStr">
        <is>
          <t>27cm de ancho y 21cm de largo</t>
        </is>
      </c>
      <c r="D986" s="1" t="inlineStr">
        <is>
          <t>DINA DU</t>
        </is>
      </c>
      <c r="E986" s="6" t="n">
        <v>899</v>
      </c>
      <c r="F986" s="4" t="n">
        <v>0</v>
      </c>
      <c r="G986" s="1" t="inlineStr">
        <is>
          <t>draft</t>
        </is>
      </c>
      <c r="H986" s="1" t="inlineStr">
        <is>
          <t>Falta el costo de compra (no está en ninguna tabla de precios)</t>
        </is>
      </c>
    </row>
    <row r="987">
      <c r="A987" s="1" t="inlineStr">
        <is>
          <t>665bb927cd99f</t>
        </is>
      </c>
      <c r="B987" s="1" t="inlineStr">
        <is>
          <t>BROCHE CC SILVER</t>
        </is>
      </c>
      <c r="C987" s="1" t="inlineStr">
        <is>
          <t>5cm, largo de la cadena 12cm</t>
        </is>
      </c>
      <c r="D987" s="1" t="inlineStr">
        <is>
          <t>NANCY VIP</t>
        </is>
      </c>
      <c r="E987" s="6" t="n">
        <v>270</v>
      </c>
      <c r="F987" s="4" t="n">
        <v>0</v>
      </c>
      <c r="G987" s="1" t="inlineStr">
        <is>
          <t>draft</t>
        </is>
      </c>
      <c r="H987" s="1" t="inlineStr">
        <is>
          <t>Falta el costo de compra (no está en ninguna tabla de precios)</t>
        </is>
      </c>
    </row>
    <row r="988">
      <c r="A988" s="1" t="inlineStr">
        <is>
          <t>42265118015628</t>
        </is>
      </c>
      <c r="B988" s="1" t="inlineStr">
        <is>
          <t>COLLAR GC GOLD</t>
        </is>
      </c>
      <c r="C988" s="1" t="inlineStr">
        <is>
          <t>51cm con 5cm de Extension</t>
        </is>
      </c>
      <c r="D988" s="1" t="inlineStr">
        <is>
          <t>NANCY VIP</t>
        </is>
      </c>
      <c r="E988" s="6" t="n">
        <v>470</v>
      </c>
      <c r="F988" s="4" t="n">
        <v>0</v>
      </c>
      <c r="G988" s="1" t="inlineStr">
        <is>
          <t>draft</t>
        </is>
      </c>
      <c r="H988" s="1" t="inlineStr">
        <is>
          <t>Falta el costo de compra (no está en ninguna tabla de precios)</t>
        </is>
      </c>
    </row>
    <row r="989">
      <c r="A989" s="1" t="inlineStr">
        <is>
          <t>665bbd307aaf7</t>
        </is>
      </c>
      <c r="B989" s="1" t="inlineStr">
        <is>
          <t>COLLAR BT GOLD</t>
        </is>
      </c>
      <c r="C989" s="1" t="inlineStr">
        <is>
          <t>39cm con extensión de 6cm</t>
        </is>
      </c>
      <c r="D989" s="1" t="inlineStr">
        <is>
          <t>NANCY VIP</t>
        </is>
      </c>
      <c r="E989" s="6" t="n">
        <v>400</v>
      </c>
      <c r="F989" s="4" t="n">
        <v>0</v>
      </c>
      <c r="G989" s="1" t="inlineStr">
        <is>
          <t>draft</t>
        </is>
      </c>
      <c r="H989" s="1" t="inlineStr">
        <is>
          <t>Falta el costo de compra (no está en ninguna tabla de precios)</t>
        </is>
      </c>
    </row>
    <row r="990">
      <c r="A990" s="1" t="inlineStr">
        <is>
          <t>42265114902668</t>
        </is>
      </c>
      <c r="B990" s="1" t="inlineStr">
        <is>
          <t>CHARM STITCH</t>
        </is>
      </c>
      <c r="C990" s="1" t="inlineStr">
        <is>
          <t>Default Title</t>
        </is>
      </c>
      <c r="D990" s="1" t="inlineStr">
        <is>
          <t>CYNTHIA CAO</t>
        </is>
      </c>
      <c r="E990" s="6" t="n">
        <v>380</v>
      </c>
      <c r="F990" s="4" t="n">
        <v>0</v>
      </c>
      <c r="G990" s="1" t="inlineStr">
        <is>
          <t>draft</t>
        </is>
      </c>
      <c r="H990" s="1" t="inlineStr">
        <is>
          <t>Falta el costo de compra (no está en ninguna tabla de precios)</t>
        </is>
      </c>
    </row>
    <row r="991">
      <c r="A991" s="1" t="inlineStr">
        <is>
          <t>665bb4cbdbb43</t>
        </is>
      </c>
      <c r="B991" s="1" t="inlineStr">
        <is>
          <t>ARETES B GOLD</t>
        </is>
      </c>
      <c r="C991" s="1" t="inlineStr">
        <is>
          <t>Default Title</t>
        </is>
      </c>
      <c r="D991" s="1" t="inlineStr">
        <is>
          <t>DINA DU</t>
        </is>
      </c>
      <c r="E991" s="6" t="n">
        <v>399</v>
      </c>
      <c r="F991" s="4" t="n">
        <v>0</v>
      </c>
      <c r="G991" s="1" t="inlineStr">
        <is>
          <t>draft</t>
        </is>
      </c>
      <c r="H991" s="1" t="inlineStr">
        <is>
          <t>Falta el costo de compra (no está en ninguna tabla de precios)</t>
        </is>
      </c>
    </row>
    <row r="992">
      <c r="A992" s="1" t="inlineStr">
        <is>
          <t>66581df44d5eb-2</t>
        </is>
      </c>
      <c r="B992" s="1" t="inlineStr">
        <is>
          <t>BOLSO B BLUE</t>
        </is>
      </c>
      <c r="C992" s="1" t="inlineStr">
        <is>
          <t>Textura</t>
        </is>
      </c>
      <c r="D992" s="1" t="inlineStr">
        <is>
          <t>DINA DU</t>
        </is>
      </c>
      <c r="E992" s="6" t="n">
        <v>999</v>
      </c>
      <c r="F992" s="4" t="n">
        <v>0</v>
      </c>
      <c r="G992" s="1" t="inlineStr">
        <is>
          <t>draft</t>
        </is>
      </c>
      <c r="H992" s="1" t="inlineStr">
        <is>
          <t>Falta el costo de compra (no está en ninguna tabla de precios)</t>
        </is>
      </c>
    </row>
    <row r="993">
      <c r="A993" s="1" t="inlineStr">
        <is>
          <t>665bb4c56f44a</t>
        </is>
      </c>
      <c r="B993" s="1" t="inlineStr">
        <is>
          <t>ANILLO WORLD MAP GOLD</t>
        </is>
      </c>
      <c r="C993" s="1" t="n">
        <v>7</v>
      </c>
      <c r="D993" s="1" t="inlineStr">
        <is>
          <t>JEFF</t>
        </is>
      </c>
      <c r="E993" s="6" t="n">
        <v>429</v>
      </c>
      <c r="F993" s="4" t="n">
        <v>0</v>
      </c>
      <c r="G993" s="1" t="inlineStr">
        <is>
          <t>draft</t>
        </is>
      </c>
      <c r="H993" s="1" t="inlineStr">
        <is>
          <t>Falta el costo de compra (no está en ninguna tabla de precios)</t>
        </is>
      </c>
    </row>
    <row r="994">
      <c r="A994" s="1" t="inlineStr">
        <is>
          <t>665bb4c60c237</t>
        </is>
      </c>
      <c r="B994" s="1" t="inlineStr">
        <is>
          <t>ANILLO WORLD MAP GOLD</t>
        </is>
      </c>
      <c r="C994" s="1" t="n">
        <v>8</v>
      </c>
      <c r="D994" s="1" t="inlineStr">
        <is>
          <t>JEFF</t>
        </is>
      </c>
      <c r="E994" s="6" t="n">
        <v>320</v>
      </c>
      <c r="F994" s="4" t="n">
        <v>0</v>
      </c>
      <c r="G994" s="1" t="inlineStr">
        <is>
          <t>draft</t>
        </is>
      </c>
      <c r="H994" s="1" t="inlineStr">
        <is>
          <t>Falta el costo de compra (no está en ninguna tabla de precios)</t>
        </is>
      </c>
    </row>
    <row r="995">
      <c r="A995" s="1" t="inlineStr">
        <is>
          <t>665bb4c6be7b8</t>
        </is>
      </c>
      <c r="B995" s="1" t="inlineStr">
        <is>
          <t>ANILLO WORLD MAP GOLD</t>
        </is>
      </c>
      <c r="C995" s="1" t="n">
        <v>9</v>
      </c>
      <c r="D995" s="1" t="inlineStr">
        <is>
          <t>JEFF</t>
        </is>
      </c>
      <c r="E995" s="6" t="n">
        <v>429</v>
      </c>
      <c r="F995" s="4" t="n">
        <v>0</v>
      </c>
      <c r="G995" s="1" t="inlineStr">
        <is>
          <t>draft</t>
        </is>
      </c>
      <c r="H995" s="1" t="inlineStr">
        <is>
          <t>Falta el costo de compra (no está en ninguna tabla de precios)</t>
        </is>
      </c>
    </row>
    <row r="996">
      <c r="A996" s="1" t="inlineStr">
        <is>
          <t>42265107660940</t>
        </is>
      </c>
      <c r="B996" s="1" t="inlineStr">
        <is>
          <t>CAMISETA AM BROWN HEART</t>
        </is>
      </c>
      <c r="C996" s="1" t="inlineStr">
        <is>
          <t>L</t>
        </is>
      </c>
      <c r="D996" s="1" t="inlineStr">
        <is>
          <t>JEWERLY REMATE</t>
        </is>
      </c>
      <c r="E996" s="6" t="n">
        <v>899</v>
      </c>
      <c r="F996" s="4" t="n">
        <v>0</v>
      </c>
      <c r="G996" s="1" t="inlineStr">
        <is>
          <t>draft</t>
        </is>
      </c>
      <c r="H996" s="1" t="inlineStr">
        <is>
          <t>Falta el costo de compra (no está en ninguna tabla de precios)</t>
        </is>
      </c>
    </row>
    <row r="997">
      <c r="A997" s="1" t="inlineStr">
        <is>
          <t>42667132354700</t>
        </is>
      </c>
      <c r="B997" s="1" t="inlineStr">
        <is>
          <t>CAMISETA AM BROWN HEART</t>
        </is>
      </c>
      <c r="C997" s="1" t="inlineStr">
        <is>
          <t>M</t>
        </is>
      </c>
      <c r="D997" s="1" t="inlineStr">
        <is>
          <t>JEWERLY REMATE</t>
        </is>
      </c>
      <c r="E997" s="6" t="n">
        <v>1380</v>
      </c>
      <c r="F997" s="4" t="n">
        <v>0</v>
      </c>
      <c r="G997" s="1" t="inlineStr">
        <is>
          <t>draft</t>
        </is>
      </c>
      <c r="H997" s="1" t="inlineStr">
        <is>
          <t>Falta el costo de compra (no está en ninguna tabla de precios)</t>
        </is>
      </c>
    </row>
    <row r="998">
      <c r="A998" s="1" t="inlineStr">
        <is>
          <t>66593bcdc3622</t>
        </is>
      </c>
      <c r="B998" s="1" t="inlineStr">
        <is>
          <t>ANILLO LOVE SILVER ZIRCONIAS RAINBOW</t>
        </is>
      </c>
      <c r="C998" s="1" t="n">
        <v>5</v>
      </c>
      <c r="D998" s="1" t="inlineStr">
        <is>
          <t>HAIFENG</t>
        </is>
      </c>
      <c r="E998" s="6" t="n">
        <v>200</v>
      </c>
      <c r="F998" s="4" t="n">
        <v>0</v>
      </c>
      <c r="G998" s="1" t="inlineStr">
        <is>
          <t>draft</t>
        </is>
      </c>
      <c r="H998" s="1" t="inlineStr">
        <is>
          <t>Falta el costo de compra (no está en ninguna tabla de precios)</t>
        </is>
      </c>
    </row>
    <row r="999">
      <c r="A999" s="1" t="inlineStr">
        <is>
          <t>66593bce63c2c</t>
        </is>
      </c>
      <c r="B999" s="1" t="inlineStr">
        <is>
          <t>ANILLO LOVE SILVER ZIRCONIAS RAINBOW</t>
        </is>
      </c>
      <c r="C999" s="1" t="n">
        <v>6</v>
      </c>
      <c r="D999" s="1" t="inlineStr">
        <is>
          <t>HAIFENG</t>
        </is>
      </c>
      <c r="E999" s="6" t="n">
        <v>380</v>
      </c>
      <c r="F999" s="4" t="n">
        <v>0</v>
      </c>
      <c r="G999" s="1" t="inlineStr">
        <is>
          <t>draft</t>
        </is>
      </c>
      <c r="H999" s="1" t="inlineStr">
        <is>
          <t>Falta el costo de compra (no está en ninguna tabla de precios)</t>
        </is>
      </c>
    </row>
    <row r="1000">
      <c r="A1000" s="1" t="inlineStr">
        <is>
          <t>66593bcf0f28d</t>
        </is>
      </c>
      <c r="B1000" s="1" t="inlineStr">
        <is>
          <t>ANILLO LOVE SILVER ZIRCONIAS RAINBOW</t>
        </is>
      </c>
      <c r="C1000" s="1" t="n">
        <v>7</v>
      </c>
      <c r="D1000" s="1" t="inlineStr">
        <is>
          <t>HAIFENG</t>
        </is>
      </c>
      <c r="E1000" s="6" t="n">
        <v>380</v>
      </c>
      <c r="F1000" s="4" t="n">
        <v>0</v>
      </c>
      <c r="G1000" s="1" t="inlineStr">
        <is>
          <t>draft</t>
        </is>
      </c>
      <c r="H1000" s="1" t="inlineStr">
        <is>
          <t>Falta el costo de compra (no está en ninguna tabla de precios)</t>
        </is>
      </c>
    </row>
    <row r="1001">
      <c r="A1001" s="1" t="inlineStr">
        <is>
          <t>66581e010d95e</t>
        </is>
      </c>
      <c r="B1001" s="1" t="inlineStr">
        <is>
          <t>CARTERA YSL LISA BLACK</t>
        </is>
      </c>
      <c r="C1001" s="1" t="inlineStr">
        <is>
          <t>Default Title</t>
        </is>
      </c>
      <c r="D1001" s="1" t="inlineStr">
        <is>
          <t>DINA DU</t>
        </is>
      </c>
      <c r="E1001" s="6" t="n">
        <v>999</v>
      </c>
      <c r="F1001" s="4" t="n">
        <v>0</v>
      </c>
      <c r="G1001" s="1" t="inlineStr">
        <is>
          <t>draft</t>
        </is>
      </c>
      <c r="H1001" s="1" t="inlineStr">
        <is>
          <t>Falta el costo de compra (no está en ninguna tabla de precios)</t>
        </is>
      </c>
    </row>
    <row r="1002">
      <c r="A1002" s="1" t="inlineStr">
        <is>
          <t>66177b57a0433</t>
        </is>
      </c>
      <c r="B1002" s="1" t="inlineStr">
        <is>
          <t>COLLAR TRÉBOL GOLD-GREEN CON ZIRCONIA</t>
        </is>
      </c>
      <c r="C1002" s="1" t="inlineStr">
        <is>
          <t>Largo: 44cm con extension de 5 cm</t>
        </is>
      </c>
      <c r="D1002" s="1" t="inlineStr">
        <is>
          <t>JEFF</t>
        </is>
      </c>
      <c r="E1002" s="6" t="n">
        <v>499</v>
      </c>
      <c r="F1002" s="4" t="n">
        <v>0</v>
      </c>
      <c r="G1002" s="1" t="inlineStr">
        <is>
          <t>draft</t>
        </is>
      </c>
      <c r="H1002" s="1" t="inlineStr">
        <is>
          <t>Falta el costo de compra (no está en ninguna tabla de precios)</t>
        </is>
      </c>
    </row>
    <row r="1003">
      <c r="A1003" s="1" t="inlineStr">
        <is>
          <t>43728136830476</t>
        </is>
      </c>
      <c r="B1003" s="1" t="inlineStr">
        <is>
          <t>COLLAR TRÉBOL GOLD-GREEN CON ZIRCONIA</t>
        </is>
      </c>
      <c r="C1003" s="1" t="inlineStr">
        <is>
          <t>OUTLET</t>
        </is>
      </c>
      <c r="D1003" s="1" t="inlineStr">
        <is>
          <t>JEFF</t>
        </is>
      </c>
      <c r="E1003" s="6" t="n">
        <v>249.5</v>
      </c>
      <c r="F1003" s="4" t="n">
        <v>0</v>
      </c>
      <c r="G1003" s="1" t="inlineStr">
        <is>
          <t>draft</t>
        </is>
      </c>
      <c r="H1003" s="1" t="inlineStr">
        <is>
          <t>Falta el costo de compra (no está en ninguna tabla de precios)</t>
        </is>
      </c>
    </row>
    <row r="1004">
      <c r="A1004" s="1" t="inlineStr">
        <is>
          <t>643ec111de6ad</t>
        </is>
      </c>
      <c r="B1004" s="1" t="inlineStr">
        <is>
          <t>ANILLO CD DIAMOND (AJUSTABLE)</t>
        </is>
      </c>
      <c r="C1004" s="1" t="inlineStr">
        <is>
          <t>Ajustable</t>
        </is>
      </c>
      <c r="D1004" s="1" t="inlineStr">
        <is>
          <t>ANA FU</t>
        </is>
      </c>
      <c r="E1004" s="6" t="n">
        <v>499</v>
      </c>
      <c r="F1004" s="4" t="n">
        <v>0</v>
      </c>
      <c r="G1004" s="1" t="inlineStr">
        <is>
          <t>draft</t>
        </is>
      </c>
      <c r="H1004" s="1" t="inlineStr">
        <is>
          <t>Falta el costo de compra (no está en ninguna tabla de precios)</t>
        </is>
      </c>
    </row>
    <row r="1005">
      <c r="A1005" s="1" t="inlineStr">
        <is>
          <t>665937545b6f5</t>
        </is>
      </c>
      <c r="B1005" s="1" t="inlineStr">
        <is>
          <t>ANILLO BV GOLD DELGADO CON ZIRCONIA</t>
        </is>
      </c>
      <c r="C1005" s="1" t="n">
        <v>5</v>
      </c>
      <c r="D1005" s="1" t="inlineStr">
        <is>
          <t>ANA FU</t>
        </is>
      </c>
      <c r="E1005" s="6" t="n">
        <v>299</v>
      </c>
      <c r="F1005" s="4" t="n">
        <v>0</v>
      </c>
      <c r="G1005" s="1" t="inlineStr">
        <is>
          <t>draft</t>
        </is>
      </c>
      <c r="H1005" s="1" t="inlineStr">
        <is>
          <t>Falta el costo de compra (no está en ninguna tabla de precios)</t>
        </is>
      </c>
    </row>
    <row r="1006">
      <c r="A1006" s="1" t="inlineStr">
        <is>
          <t>63ebd3dc810f2</t>
        </is>
      </c>
      <c r="B1006" s="1" t="inlineStr">
        <is>
          <t>ANILLO BV GOLD DELGADO CON ZIRCONIA</t>
        </is>
      </c>
      <c r="C1006" s="1" t="n">
        <v>6</v>
      </c>
      <c r="D1006" s="1" t="inlineStr">
        <is>
          <t>ANA FU</t>
        </is>
      </c>
      <c r="E1006" s="6" t="n">
        <v>299</v>
      </c>
      <c r="F1006" s="4" t="n">
        <v>0</v>
      </c>
      <c r="G1006" s="1" t="inlineStr">
        <is>
          <t>draft</t>
        </is>
      </c>
      <c r="H1006" s="1" t="inlineStr">
        <is>
          <t>Falta el costo de compra (no está en ninguna tabla de precios)</t>
        </is>
      </c>
    </row>
    <row r="1007">
      <c r="A1007" s="1" t="inlineStr">
        <is>
          <t>63ebd3dd57feb</t>
        </is>
      </c>
      <c r="B1007" s="1" t="inlineStr">
        <is>
          <t>ANILLO BV GOLD DELGADO CON ZIRCONIA</t>
        </is>
      </c>
      <c r="C1007" s="1" t="n">
        <v>7</v>
      </c>
      <c r="D1007" s="1" t="inlineStr">
        <is>
          <t>ANA FU</t>
        </is>
      </c>
      <c r="E1007" s="6" t="n">
        <v>349</v>
      </c>
      <c r="F1007" s="4" t="n">
        <v>0</v>
      </c>
      <c r="G1007" s="1" t="inlineStr">
        <is>
          <t>draft</t>
        </is>
      </c>
      <c r="H1007" s="1" t="inlineStr">
        <is>
          <t>Falta el costo de compra (no está en ninguna tabla de precios)</t>
        </is>
      </c>
    </row>
    <row r="1008">
      <c r="A1008" s="1" t="inlineStr">
        <is>
          <t>63ebd3de3a2fe</t>
        </is>
      </c>
      <c r="B1008" s="1" t="inlineStr">
        <is>
          <t>ANILLO BV GOLD DELGADO CON ZIRCONIA</t>
        </is>
      </c>
      <c r="C1008" s="1" t="n">
        <v>8</v>
      </c>
      <c r="D1008" s="1" t="inlineStr">
        <is>
          <t>ANA FU</t>
        </is>
      </c>
      <c r="E1008" s="6" t="n">
        <v>299</v>
      </c>
      <c r="F1008" s="4" t="n">
        <v>0</v>
      </c>
      <c r="G1008" s="1" t="inlineStr">
        <is>
          <t>draft</t>
        </is>
      </c>
      <c r="H1008" s="1" t="inlineStr">
        <is>
          <t>Falta el costo de compra (no está en ninguna tabla de precios)</t>
        </is>
      </c>
    </row>
    <row r="1009">
      <c r="A1009" s="1" t="inlineStr">
        <is>
          <t>66593755216bc</t>
        </is>
      </c>
      <c r="B1009" s="1" t="inlineStr">
        <is>
          <t>ANILLO BV GOLD DELGADO CON ZIRCONIA</t>
        </is>
      </c>
      <c r="C1009" s="1" t="n">
        <v>9</v>
      </c>
      <c r="D1009" s="1" t="inlineStr">
        <is>
          <t>ANA FU</t>
        </is>
      </c>
      <c r="E1009" s="6" t="n">
        <v>299</v>
      </c>
      <c r="F1009" s="4" t="n">
        <v>0</v>
      </c>
      <c r="G1009" s="1" t="inlineStr">
        <is>
          <t>draft</t>
        </is>
      </c>
      <c r="H1009" s="1" t="inlineStr">
        <is>
          <t>Falta el costo de compra (no está en ninguna tabla de precios)</t>
        </is>
      </c>
    </row>
    <row r="1010">
      <c r="A1010" s="1" t="inlineStr">
        <is>
          <t>66593755c50ec</t>
        </is>
      </c>
      <c r="B1010" s="1" t="inlineStr">
        <is>
          <t>ANILLO BV GOLD DELGADO CON ZIRCONIA</t>
        </is>
      </c>
      <c r="C1010" s="1" t="n">
        <v>10</v>
      </c>
      <c r="D1010" s="1" t="inlineStr">
        <is>
          <t>ANA FU</t>
        </is>
      </c>
      <c r="E1010" s="6" t="n">
        <v>299</v>
      </c>
      <c r="F1010" s="4" t="n">
        <v>0</v>
      </c>
      <c r="G1010" s="1" t="inlineStr">
        <is>
          <t>draft</t>
        </is>
      </c>
      <c r="H1010" s="1" t="inlineStr">
        <is>
          <t>Falta el costo de compra (no está en ninguna tabla de precios)</t>
        </is>
      </c>
    </row>
    <row r="1011">
      <c r="A1011" s="1" t="inlineStr">
        <is>
          <t>6659375670665</t>
        </is>
      </c>
      <c r="B1011" s="1" t="inlineStr">
        <is>
          <t>ANILLO BV GOLD DELGADO CON ZIRCONIA</t>
        </is>
      </c>
      <c r="C1011" s="1" t="n">
        <v>11</v>
      </c>
      <c r="D1011" s="1" t="inlineStr">
        <is>
          <t>ANA FU</t>
        </is>
      </c>
      <c r="E1011" s="6" t="n">
        <v>299</v>
      </c>
      <c r="F1011" s="4" t="n">
        <v>0</v>
      </c>
      <c r="G1011" s="1" t="inlineStr">
        <is>
          <t>draft</t>
        </is>
      </c>
      <c r="H1011" s="1" t="inlineStr">
        <is>
          <t>Falta el costo de compra (no está en ninguna tabla de precios)</t>
        </is>
      </c>
    </row>
    <row r="1012">
      <c r="A1012" s="1" t="inlineStr">
        <is>
          <t>665937744d88e</t>
        </is>
      </c>
      <c r="B1012" s="1" t="inlineStr">
        <is>
          <t>ANILLO BV SILVER DELGADO CON ZIRCONIA</t>
        </is>
      </c>
      <c r="C1012" s="1" t="n">
        <v>5</v>
      </c>
      <c r="D1012" s="1" t="inlineStr">
        <is>
          <t>ANA FU</t>
        </is>
      </c>
      <c r="E1012" s="6" t="n">
        <v>195</v>
      </c>
      <c r="F1012" s="4" t="n">
        <v>0</v>
      </c>
      <c r="G1012" s="1" t="inlineStr">
        <is>
          <t>draft</t>
        </is>
      </c>
      <c r="H1012" s="1" t="inlineStr">
        <is>
          <t>Falta el costo de compra (no está en ninguna tabla de precios)</t>
        </is>
      </c>
    </row>
    <row r="1013">
      <c r="A1013" s="1" t="inlineStr">
        <is>
          <t>63ebd3e5e059c</t>
        </is>
      </c>
      <c r="B1013" s="1" t="inlineStr">
        <is>
          <t>ANILLO BV SILVER DELGADO CON ZIRCONIA</t>
        </is>
      </c>
      <c r="C1013" s="1" t="n">
        <v>6</v>
      </c>
      <c r="D1013" s="1" t="inlineStr">
        <is>
          <t>ANA FU</t>
        </is>
      </c>
      <c r="E1013" s="6" t="n">
        <v>499</v>
      </c>
      <c r="F1013" s="4" t="n">
        <v>0</v>
      </c>
      <c r="G1013" s="1" t="inlineStr">
        <is>
          <t>draft</t>
        </is>
      </c>
      <c r="H1013" s="1" t="inlineStr">
        <is>
          <t>Falta el costo de compra (no está en ninguna tabla de precios)</t>
        </is>
      </c>
    </row>
    <row r="1014">
      <c r="A1014" s="1" t="inlineStr">
        <is>
          <t>63ebd3e6e47a1</t>
        </is>
      </c>
      <c r="B1014" s="1" t="inlineStr">
        <is>
          <t>ANILLO BV SILVER DELGADO CON ZIRCONIA</t>
        </is>
      </c>
      <c r="C1014" s="1" t="n">
        <v>7</v>
      </c>
      <c r="D1014" s="1" t="inlineStr">
        <is>
          <t>ANA FU</t>
        </is>
      </c>
      <c r="E1014" s="6" t="n">
        <v>499</v>
      </c>
      <c r="F1014" s="4" t="n">
        <v>0</v>
      </c>
      <c r="G1014" s="1" t="inlineStr">
        <is>
          <t>draft</t>
        </is>
      </c>
      <c r="H1014" s="1" t="inlineStr">
        <is>
          <t>Falta el costo de compra (no está en ninguna tabla de precios)</t>
        </is>
      </c>
    </row>
    <row r="1015">
      <c r="A1015" s="1" t="inlineStr">
        <is>
          <t>63ebd3e7cd95f</t>
        </is>
      </c>
      <c r="B1015" s="1" t="inlineStr">
        <is>
          <t>ANILLO BV SILVER DELGADO CON ZIRCONIA</t>
        </is>
      </c>
      <c r="C1015" s="1" t="n">
        <v>8</v>
      </c>
      <c r="D1015" s="1" t="inlineStr">
        <is>
          <t>ANA FU</t>
        </is>
      </c>
      <c r="E1015" s="6" t="n">
        <v>499</v>
      </c>
      <c r="F1015" s="4" t="n">
        <v>0</v>
      </c>
      <c r="G1015" s="1" t="inlineStr">
        <is>
          <t>draft</t>
        </is>
      </c>
      <c r="H1015" s="1" t="inlineStr">
        <is>
          <t>Falta el costo de compra (no está en ninguna tabla de precios)</t>
        </is>
      </c>
    </row>
    <row r="1016">
      <c r="A1016" s="1" t="inlineStr">
        <is>
          <t>66593774ebb4e</t>
        </is>
      </c>
      <c r="B1016" s="1" t="inlineStr">
        <is>
          <t>ANILLO BV SILVER DELGADO CON ZIRCONIA</t>
        </is>
      </c>
      <c r="C1016" s="1" t="n">
        <v>9</v>
      </c>
      <c r="D1016" s="1" t="inlineStr">
        <is>
          <t>ANA FU</t>
        </is>
      </c>
      <c r="E1016" s="6" t="n">
        <v>499</v>
      </c>
      <c r="F1016" s="4" t="n">
        <v>0</v>
      </c>
      <c r="G1016" s="1" t="inlineStr">
        <is>
          <t>draft</t>
        </is>
      </c>
      <c r="H1016" s="1" t="inlineStr">
        <is>
          <t>Falta el costo de compra (no está en ninguna tabla de precios)</t>
        </is>
      </c>
    </row>
    <row r="1017">
      <c r="A1017" s="1" t="inlineStr">
        <is>
          <t>665937759175b</t>
        </is>
      </c>
      <c r="B1017" s="1" t="inlineStr">
        <is>
          <t>ANILLO BV SILVER DELGADO CON ZIRCONIA</t>
        </is>
      </c>
      <c r="C1017" s="1" t="n">
        <v>10</v>
      </c>
      <c r="D1017" s="1" t="inlineStr">
        <is>
          <t>ANA FU</t>
        </is>
      </c>
      <c r="E1017" s="6" t="n">
        <v>499</v>
      </c>
      <c r="F1017" s="4" t="n">
        <v>0</v>
      </c>
      <c r="G1017" s="1" t="inlineStr">
        <is>
          <t>draft</t>
        </is>
      </c>
      <c r="H1017" s="1" t="inlineStr">
        <is>
          <t>Falta el costo de compra (no está en ninguna tabla de precios)</t>
        </is>
      </c>
    </row>
    <row r="1018">
      <c r="A1018" s="1" t="inlineStr">
        <is>
          <t>6659377647ae0</t>
        </is>
      </c>
      <c r="B1018" s="1" t="inlineStr">
        <is>
          <t>ANILLO BV SILVER DELGADO CON ZIRCONIA</t>
        </is>
      </c>
      <c r="C1018" s="1" t="n">
        <v>11</v>
      </c>
      <c r="D1018" s="1" t="inlineStr">
        <is>
          <t>ANA FU</t>
        </is>
      </c>
      <c r="E1018" s="6" t="n">
        <v>499</v>
      </c>
      <c r="F1018" s="4" t="n">
        <v>0</v>
      </c>
      <c r="G1018" s="1" t="inlineStr">
        <is>
          <t>draft</t>
        </is>
      </c>
      <c r="H1018" s="1" t="inlineStr">
        <is>
          <t>Falta el costo de compra (no está en ninguna tabla de precios)</t>
        </is>
      </c>
    </row>
  </sheetData>
  <autoFilter ref="A3:H1018"/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2026-08-06T23:20:30Z</dcterms:created>
  <dcterms:modified xsi:type="dcterms:W3CDTF">2026-08-11T20:29:07Z</dcterms:modified>
  <cp:lastModifiedBy>REYNA ISABEL SALAZAR CORDOVA</cp:lastModifiedBy>
  <cp:revision>0</cp:revision>
</cp:coreProperties>
</file>